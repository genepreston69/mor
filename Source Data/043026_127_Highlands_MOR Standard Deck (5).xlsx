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ummitbhc.sharepoint.com/sites/dept-fin-ops/Shared Documents/Acute East Division/Highland/2026/4-April/"/>
    </mc:Choice>
  </mc:AlternateContent>
  <xr:revisionPtr revIDLastSave="31" documentId="8_{6BDB1C9E-CD34-4352-8DAA-67F5B0C52A94}" xr6:coauthVersionLast="47" xr6:coauthVersionMax="47" xr10:uidLastSave="{FF509318-D2AF-4895-852B-E3346A371076}"/>
  <bookViews>
    <workbookView xWindow="-105" yWindow="0" windowWidth="26010" windowHeight="20985" activeTab="2" xr2:uid="{AE1C7A34-BAE6-4871-93E8-7E55FD854859}"/>
  </bookViews>
  <sheets>
    <sheet name="Revenue Waterfall" sheetId="22" r:id="rId1"/>
    <sheet name="EBITDA Waterfall" sheetId="14" r:id="rId2"/>
    <sheet name="MOR_MTD" sheetId="13" r:id="rId3"/>
    <sheet name="MOR_YTD" sheetId="21" r:id="rId4"/>
    <sheet name="Mid Month" sheetId="26" r:id="rId5"/>
    <sheet name="Facility" sheetId="3" r:id="rId6"/>
    <sheet name="Trended P&amp;L" sheetId="24" r:id="rId7"/>
    <sheet name="GL Transactions" sheetId="25" r:id="rId8"/>
  </sheets>
  <definedNames>
    <definedName name="__FDS_HYPERLINK_TOGGLE_STATE__" hidden="1">"ON"</definedName>
    <definedName name="__FDS_UNIQUE_RANGE_ID_GENERATOR_COUNTER" hidden="1">1</definedName>
    <definedName name="__FDS_USED_FOR_REUSING_RANGE_IDS_RECYCLE" localSheetId="6" hidden="1">{31,6,23,21,54,11,58,59,60,29,62,27,33}</definedName>
    <definedName name="__FDS_USED_FOR_REUSING_RANGE_IDS_RECYCLE" hidden="1">{31,6,23,21,54,11,58,59,60,29,62,27,33}</definedName>
    <definedName name="__xlfn.BAHTTEXT" hidden="1">#NAME?</definedName>
    <definedName name="_1__FDSAUDITLINK__" localSheetId="6" hidden="1">{"fdsup://directions/FAT Viewer?action=UPDATE&amp;creator=factset&amp;DYN_ARGS=TRUE&amp;DOC_NAME=FAT:FQL_AUDITING_CLIENT_TEMPLATE.FAT&amp;display_string=Audit&amp;VAR:KEY=KXYVMFEJMX&amp;VAR:QUERY=QVZHKENTRl9ORVRfSU5DKEFOTiwwRlksLTZGWSxZKSkgLyAoQVZHKENTRl9BU1NFVFMoQU5OLDBGWSwtNkZZL","EZZKSkgLSBBVkcoQ1NGX0lOVEFORyhBTk4sMCwtNkZZLEZZKSkp&amp;WINDOW=FIRST_POPUP&amp;HEIGHT=450&amp;WIDTH=450&amp;START_MAXIMIZED=FALSE&amp;VAR:CALENDAR=US&amp;VAR:SYMBOL=PRGN"}</definedName>
    <definedName name="_1__FDSAUDITLINK__" hidden="1">{"fdsup://directions/FAT Viewer?action=UPDATE&amp;creator=factset&amp;DYN_ARGS=TRUE&amp;DOC_NAME=FAT:FQL_AUDITING_CLIENT_TEMPLATE.FAT&amp;display_string=Audit&amp;VAR:KEY=KXYVMFEJMX&amp;VAR:QUERY=QVZHKENTRl9ORVRfSU5DKEFOTiwwRlksLTZGWSxZKSkgLyAoQVZHKENTRl9BU1NFVFMoQU5OLDBGWSwtNkZZL","EZZKSkgLSBBVkcoQ1NGX0lOVEFORyhBTk4sMCwtNkZZLEZZKSkp&amp;WINDOW=FIRST_POPUP&amp;HEIGHT=450&amp;WIDTH=450&amp;START_MAXIMIZED=FALSE&amp;VAR:CALENDAR=US&amp;VAR:SYMBOL=PRGN"}</definedName>
    <definedName name="_10__FDSAUDITLINK__" localSheetId="6" hidden="1">{"fdsup://directions/FAT Viewer?action=UPDATE&amp;creator=factset&amp;DYN_ARGS=TRUE&amp;DOC_NAME=FAT:FQL_AUDITING_CLIENT_TEMPLATE.FAT&amp;display_string=Audit&amp;VAR:KEY=ZGFEPIRMJM&amp;VAR:QUERY=QVZHKENTRl9ORVRfSU5DKEFOTiwwRlksLTZGWSxZKSkgLyAoQVZHKENTRl9BU1NFVFMoQU5OLDBGWSwtNkZZL","EZZKSkgLSBBVkcoQ1NGX0lOVEFORyhBTk4sMCwtNkZZLEZZKSkp&amp;WINDOW=FIRST_POPUP&amp;HEIGHT=450&amp;WIDTH=450&amp;START_MAXIMIZED=FALSE&amp;VAR:CALENDAR=US&amp;VAR:SYMBOL=HRZ-US"}</definedName>
    <definedName name="_10__FDSAUDITLINK__" hidden="1">{"fdsup://directions/FAT Viewer?action=UPDATE&amp;creator=factset&amp;DYN_ARGS=TRUE&amp;DOC_NAME=FAT:FQL_AUDITING_CLIENT_TEMPLATE.FAT&amp;display_string=Audit&amp;VAR:KEY=ZGFEPIRMJM&amp;VAR:QUERY=QVZHKENTRl9ORVRfSU5DKEFOTiwwRlksLTZGWSxZKSkgLyAoQVZHKENTRl9BU1NFVFMoQU5OLDBGWSwtNkZZL","EZZKSkgLSBBVkcoQ1NGX0lOVEFORyhBTk4sMCwtNkZZLEZZKSkp&amp;WINDOW=FIRST_POPUP&amp;HEIGHT=450&amp;WIDTH=450&amp;START_MAXIMIZED=FALSE&amp;VAR:CALENDAR=US&amp;VAR:SYMBOL=HRZ-US"}</definedName>
    <definedName name="_100__FDSAUDITLINK__" localSheetId="6" hidden="1">{"fdsup://directions/FAT Viewer?action=UPDATE&amp;creator=factset&amp;DYN_ARGS=TRUE&amp;DOC_NAME=FAT:FQL_AUDITING_CLIENT_TEMPLATE.FAT&amp;display_string=Audit&amp;VAR:KEY=IXWXABCNQP&amp;VAR:QUERY=QVZHKENTRl9ORVRfSU5DKEFOTiwwRlksLTZGWSxZKSkvKEFWRyhDU0ZfQVNTRVRTKEFOTiwwRlksLTZGWSxGW","SkpLUFWRyhDU0ZfSU5UQU5HKEFOTiwwLC02RlksRlkpKSk=&amp;WINDOW=FIRST_POPUP&amp;HEIGHT=450&amp;WIDTH=450&amp;START_MAXIMIZED=FALSE&amp;VAR:CALENDAR=US&amp;VAR:SYMBOL=DAC"}</definedName>
    <definedName name="_100__FDSAUDITLINK__" hidden="1">{"fdsup://directions/FAT Viewer?action=UPDATE&amp;creator=factset&amp;DYN_ARGS=TRUE&amp;DOC_NAME=FAT:FQL_AUDITING_CLIENT_TEMPLATE.FAT&amp;display_string=Audit&amp;VAR:KEY=IXWXABCNQP&amp;VAR:QUERY=QVZHKENTRl9ORVRfSU5DKEFOTiwwRlksLTZGWSxZKSkvKEFWRyhDU0ZfQVNTRVRTKEFOTiwwRlksLTZGWSxGW","SkpLUFWRyhDU0ZfSU5UQU5HKEFOTiwwLC02RlksRlkpKSk=&amp;WINDOW=FIRST_POPUP&amp;HEIGHT=450&amp;WIDTH=450&amp;START_MAXIMIZED=FALSE&amp;VAR:CALENDAR=US&amp;VAR:SYMBOL=DAC"}</definedName>
    <definedName name="_1000__FDSAUDITLINK__" localSheetId="6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0__FDSAUDITLINK__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00__FDSAUDITLINK__" localSheetId="6" hidden="1">{"fdsup://directions/FAT Viewer?action=UPDATE&amp;creator=factset&amp;DYN_ARGS=TRUE&amp;DOC_NAME=FAT:FQL_AUDITING_CLIENT_TEMPLATE.FAT&amp;display_string=Audit&amp;VAR:KEY=NMRUNSHULU&amp;VAR:QUERY=RkZfRUJJVERBX0lCKCdMVE1TJywzOTM2OSk=&amp;WINDOW=FIRST_POPUP&amp;HEIGHT=450&amp;WIDTH=450&amp;START_MA","XIMIZED=FALSE&amp;VAR:CALENDAR=US&amp;VAR:SYMBOL=04916420&amp;VAR:INDEX=0"}</definedName>
    <definedName name="_10000__FDSAUDITLINK__" hidden="1">{"fdsup://directions/FAT Viewer?action=UPDATE&amp;creator=factset&amp;DYN_ARGS=TRUE&amp;DOC_NAME=FAT:FQL_AUDITING_CLIENT_TEMPLATE.FAT&amp;display_string=Audit&amp;VAR:KEY=NMRUNSHULU&amp;VAR:QUERY=RkZfRUJJVERBX0lCKCdMVE1TJywzOTM2OSk=&amp;WINDOW=FIRST_POPUP&amp;HEIGHT=450&amp;WIDTH=450&amp;START_MA","XIMIZED=FALSE&amp;VAR:CALENDAR=US&amp;VAR:SYMBOL=04916420&amp;VAR:INDEX=0"}</definedName>
    <definedName name="_10001__FDSAUDITLINK__" localSheetId="6" hidden="1">{"fdsup://directions/FAT Viewer?action=UPDATE&amp;creator=factset&amp;DYN_ARGS=TRUE&amp;DOC_NAME=FAT:FQL_AUDITING_CLIENT_TEMPLATE.FAT&amp;display_string=Audit&amp;VAR:KEY=RUPINQXCTI&amp;VAR:QUERY=RkZfRUJJVERBX0lCKCdMVE1TJywzOTM2OCk=&amp;WINDOW=FIRST_POPUP&amp;HEIGHT=450&amp;WIDTH=450&amp;START_MA","XIMIZED=FALSE&amp;VAR:CALENDAR=US&amp;VAR:SYMBOL=04916420&amp;VAR:INDEX=0"}</definedName>
    <definedName name="_10001__FDSAUDITLINK__" hidden="1">{"fdsup://directions/FAT Viewer?action=UPDATE&amp;creator=factset&amp;DYN_ARGS=TRUE&amp;DOC_NAME=FAT:FQL_AUDITING_CLIENT_TEMPLATE.FAT&amp;display_string=Audit&amp;VAR:KEY=RUPINQXCTI&amp;VAR:QUERY=RkZfRUJJVERBX0lCKCdMVE1TJywzOTM2OCk=&amp;WINDOW=FIRST_POPUP&amp;HEIGHT=450&amp;WIDTH=450&amp;START_MA","XIMIZED=FALSE&amp;VAR:CALENDAR=US&amp;VAR:SYMBOL=04916420&amp;VAR:INDEX=0"}</definedName>
    <definedName name="_10002__FDSAUDITLINK__" localSheetId="6" hidden="1">{"fdsup://directions/FAT Viewer?action=UPDATE&amp;creator=factset&amp;DYN_ARGS=TRUE&amp;DOC_NAME=FAT:FQL_AUDITING_CLIENT_TEMPLATE.FAT&amp;display_string=Audit&amp;VAR:KEY=ZMZSHANOJO&amp;VAR:QUERY=RkZfRUJJVERBX0lCKCdMVE1TJywzOTM2Nyk=&amp;WINDOW=FIRST_POPUP&amp;HEIGHT=450&amp;WIDTH=450&amp;START_MA","XIMIZED=FALSE&amp;VAR:CALENDAR=US&amp;VAR:SYMBOL=04916420&amp;VAR:INDEX=0"}</definedName>
    <definedName name="_10002__FDSAUDITLINK__" hidden="1">{"fdsup://directions/FAT Viewer?action=UPDATE&amp;creator=factset&amp;DYN_ARGS=TRUE&amp;DOC_NAME=FAT:FQL_AUDITING_CLIENT_TEMPLATE.FAT&amp;display_string=Audit&amp;VAR:KEY=ZMZSHANOJO&amp;VAR:QUERY=RkZfRUJJVERBX0lCKCdMVE1TJywzOTM2Nyk=&amp;WINDOW=FIRST_POPUP&amp;HEIGHT=450&amp;WIDTH=450&amp;START_MA","XIMIZED=FALSE&amp;VAR:CALENDAR=US&amp;VAR:SYMBOL=04916420&amp;VAR:INDEX=0"}</definedName>
    <definedName name="_10003__FDSAUDITLINK__" localSheetId="6" hidden="1">{"fdsup://directions/FAT Viewer?action=UPDATE&amp;creator=factset&amp;DYN_ARGS=TRUE&amp;DOC_NAME=FAT:FQL_AUDITING_CLIENT_TEMPLATE.FAT&amp;display_string=Audit&amp;VAR:KEY=BIPMFGHUPQ&amp;VAR:QUERY=RkZfRUJJVERBX0lCKCdMVE1TJywzOTM2Nik=&amp;WINDOW=FIRST_POPUP&amp;HEIGHT=450&amp;WIDTH=450&amp;START_MA","XIMIZED=FALSE&amp;VAR:CALENDAR=US&amp;VAR:SYMBOL=04916420&amp;VAR:INDEX=0"}</definedName>
    <definedName name="_10003__FDSAUDITLINK__" hidden="1">{"fdsup://directions/FAT Viewer?action=UPDATE&amp;creator=factset&amp;DYN_ARGS=TRUE&amp;DOC_NAME=FAT:FQL_AUDITING_CLIENT_TEMPLATE.FAT&amp;display_string=Audit&amp;VAR:KEY=BIPMFGHUPQ&amp;VAR:QUERY=RkZfRUJJVERBX0lCKCdMVE1TJywzOTM2Nik=&amp;WINDOW=FIRST_POPUP&amp;HEIGHT=450&amp;WIDTH=450&amp;START_MA","XIMIZED=FALSE&amp;VAR:CALENDAR=US&amp;VAR:SYMBOL=04916420&amp;VAR:INDEX=0"}</definedName>
    <definedName name="_10004__FDSAUDITLINK__" localSheetId="6" hidden="1">{"fdsup://directions/FAT Viewer?action=UPDATE&amp;creator=factset&amp;DYN_ARGS=TRUE&amp;DOC_NAME=FAT:FQL_AUDITING_CLIENT_TEMPLATE.FAT&amp;display_string=Audit&amp;VAR:KEY=PQBKBSVEPE&amp;VAR:QUERY=RkZfRUJJVERBX0lCKCdMVE1TJywzOTM2NSk=&amp;WINDOW=FIRST_POPUP&amp;HEIGHT=450&amp;WIDTH=450&amp;START_MA","XIMIZED=FALSE&amp;VAR:CALENDAR=US&amp;VAR:SYMBOL=04916420&amp;VAR:INDEX=0"}</definedName>
    <definedName name="_10004__FDSAUDITLINK__" hidden="1">{"fdsup://directions/FAT Viewer?action=UPDATE&amp;creator=factset&amp;DYN_ARGS=TRUE&amp;DOC_NAME=FAT:FQL_AUDITING_CLIENT_TEMPLATE.FAT&amp;display_string=Audit&amp;VAR:KEY=PQBKBSVEPE&amp;VAR:QUERY=RkZfRUJJVERBX0lCKCdMVE1TJywzOTM2NSk=&amp;WINDOW=FIRST_POPUP&amp;HEIGHT=450&amp;WIDTH=450&amp;START_MA","XIMIZED=FALSE&amp;VAR:CALENDAR=US&amp;VAR:SYMBOL=04916420&amp;VAR:INDEX=0"}</definedName>
    <definedName name="_10005__FDSAUDITLINK__" localSheetId="6" hidden="1">{"fdsup://directions/FAT Viewer?action=UPDATE&amp;creator=factset&amp;DYN_ARGS=TRUE&amp;DOC_NAME=FAT:FQL_AUDITING_CLIENT_TEMPLATE.FAT&amp;display_string=Audit&amp;VAR:KEY=BCVUVALENC&amp;VAR:QUERY=RkZfRUJJVERBX0lCKCdMVE1TJywzOTM2NCk=&amp;WINDOW=FIRST_POPUP&amp;HEIGHT=450&amp;WIDTH=450&amp;START_MA","XIMIZED=FALSE&amp;VAR:CALENDAR=US&amp;VAR:SYMBOL=04916420&amp;VAR:INDEX=0"}</definedName>
    <definedName name="_10005__FDSAUDITLINK__" hidden="1">{"fdsup://directions/FAT Viewer?action=UPDATE&amp;creator=factset&amp;DYN_ARGS=TRUE&amp;DOC_NAME=FAT:FQL_AUDITING_CLIENT_TEMPLATE.FAT&amp;display_string=Audit&amp;VAR:KEY=BCVUVALENC&amp;VAR:QUERY=RkZfRUJJVERBX0lCKCdMVE1TJywzOTM2NCk=&amp;WINDOW=FIRST_POPUP&amp;HEIGHT=450&amp;WIDTH=450&amp;START_MA","XIMIZED=FALSE&amp;VAR:CALENDAR=US&amp;VAR:SYMBOL=04916420&amp;VAR:INDEX=0"}</definedName>
    <definedName name="_10006__FDSAUDITLINK__" localSheetId="6" hidden="1">{"fdsup://directions/FAT Viewer?action=UPDATE&amp;creator=factset&amp;DYN_ARGS=TRUE&amp;DOC_NAME=FAT:FQL_AUDITING_CLIENT_TEMPLATE.FAT&amp;display_string=Audit&amp;VAR:KEY=ZSFGBMFWXQ&amp;VAR:QUERY=RkZfRUJJVERBX0lCKCdMVE1TJywzOTM2Myk=&amp;WINDOW=FIRST_POPUP&amp;HEIGHT=450&amp;WIDTH=450&amp;START_MA","XIMIZED=FALSE&amp;VAR:CALENDAR=US&amp;VAR:SYMBOL=04916420&amp;VAR:INDEX=0"}</definedName>
    <definedName name="_10006__FDSAUDITLINK__" hidden="1">{"fdsup://directions/FAT Viewer?action=UPDATE&amp;creator=factset&amp;DYN_ARGS=TRUE&amp;DOC_NAME=FAT:FQL_AUDITING_CLIENT_TEMPLATE.FAT&amp;display_string=Audit&amp;VAR:KEY=ZSFGBMFWXQ&amp;VAR:QUERY=RkZfRUJJVERBX0lCKCdMVE1TJywzOTM2Myk=&amp;WINDOW=FIRST_POPUP&amp;HEIGHT=450&amp;WIDTH=450&amp;START_MA","XIMIZED=FALSE&amp;VAR:CALENDAR=US&amp;VAR:SYMBOL=04916420&amp;VAR:INDEX=0"}</definedName>
    <definedName name="_10007__FDSAUDITLINK__" localSheetId="6" hidden="1">{"fdsup://directions/FAT Viewer?action=UPDATE&amp;creator=factset&amp;DYN_ARGS=TRUE&amp;DOC_NAME=FAT:FQL_AUDITING_CLIENT_TEMPLATE.FAT&amp;display_string=Audit&amp;VAR:KEY=TIJGTSNWFG&amp;VAR:QUERY=RkZfRUJJVERBX0lCKCdMVE1TJywzOTM2Mik=&amp;WINDOW=FIRST_POPUP&amp;HEIGHT=450&amp;WIDTH=450&amp;START_MA","XIMIZED=FALSE&amp;VAR:CALENDAR=US&amp;VAR:SYMBOL=04916420&amp;VAR:INDEX=0"}</definedName>
    <definedName name="_10007__FDSAUDITLINK__" hidden="1">{"fdsup://directions/FAT Viewer?action=UPDATE&amp;creator=factset&amp;DYN_ARGS=TRUE&amp;DOC_NAME=FAT:FQL_AUDITING_CLIENT_TEMPLATE.FAT&amp;display_string=Audit&amp;VAR:KEY=TIJGTSNWFG&amp;VAR:QUERY=RkZfRUJJVERBX0lCKCdMVE1TJywzOTM2Mik=&amp;WINDOW=FIRST_POPUP&amp;HEIGHT=450&amp;WIDTH=450&amp;START_MA","XIMIZED=FALSE&amp;VAR:CALENDAR=US&amp;VAR:SYMBOL=04916420&amp;VAR:INDEX=0"}</definedName>
    <definedName name="_10008__FDSAUDITLINK__" localSheetId="6" hidden="1">{"fdsup://directions/FAT Viewer?action=UPDATE&amp;creator=factset&amp;DYN_ARGS=TRUE&amp;DOC_NAME=FAT:FQL_AUDITING_CLIENT_TEMPLATE.FAT&amp;display_string=Audit&amp;VAR:KEY=LUNUNMPELW&amp;VAR:QUERY=RkZfRUJJVERBX0lCKCdMVE1TJywzOTM2MSk=&amp;WINDOW=FIRST_POPUP&amp;HEIGHT=450&amp;WIDTH=450&amp;START_MA","XIMIZED=FALSE&amp;VAR:CALENDAR=US&amp;VAR:SYMBOL=04916420&amp;VAR:INDEX=0"}</definedName>
    <definedName name="_10008__FDSAUDITLINK__" hidden="1">{"fdsup://directions/FAT Viewer?action=UPDATE&amp;creator=factset&amp;DYN_ARGS=TRUE&amp;DOC_NAME=FAT:FQL_AUDITING_CLIENT_TEMPLATE.FAT&amp;display_string=Audit&amp;VAR:KEY=LUNUNMPELW&amp;VAR:QUERY=RkZfRUJJVERBX0lCKCdMVE1TJywzOTM2MSk=&amp;WINDOW=FIRST_POPUP&amp;HEIGHT=450&amp;WIDTH=450&amp;START_MA","XIMIZED=FALSE&amp;VAR:CALENDAR=US&amp;VAR:SYMBOL=04916420&amp;VAR:INDEX=0"}</definedName>
    <definedName name="_10009__FDSAUDITLINK__" localSheetId="6" hidden="1">{"fdsup://directions/FAT Viewer?action=UPDATE&amp;creator=factset&amp;DYN_ARGS=TRUE&amp;DOC_NAME=FAT:FQL_AUDITING_CLIENT_TEMPLATE.FAT&amp;display_string=Audit&amp;VAR:KEY=NAVEDAHWVW&amp;VAR:QUERY=RkZfRUJJVERBX0lCKCdMVE1TJywzOTM2MCk=&amp;WINDOW=FIRST_POPUP&amp;HEIGHT=450&amp;WIDTH=450&amp;START_MA","XIMIZED=FALSE&amp;VAR:CALENDAR=US&amp;VAR:SYMBOL=04916420&amp;VAR:INDEX=0"}</definedName>
    <definedName name="_10009__FDSAUDITLINK__" hidden="1">{"fdsup://directions/FAT Viewer?action=UPDATE&amp;creator=factset&amp;DYN_ARGS=TRUE&amp;DOC_NAME=FAT:FQL_AUDITING_CLIENT_TEMPLATE.FAT&amp;display_string=Audit&amp;VAR:KEY=NAVEDAHWVW&amp;VAR:QUERY=RkZfRUJJVERBX0lCKCdMVE1TJywzOTM2MCk=&amp;WINDOW=FIRST_POPUP&amp;HEIGHT=450&amp;WIDTH=450&amp;START_MA","XIMIZED=FALSE&amp;VAR:CALENDAR=US&amp;VAR:SYMBOL=04916420&amp;VAR:INDEX=0"}</definedName>
    <definedName name="_1001__FDSAUDITLINK__" localSheetId="6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1__FDSAUDITLINK__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10__FDSAUDITLINK__" localSheetId="6" hidden="1">{"fdsup://directions/FAT Viewer?action=UPDATE&amp;creator=factset&amp;DYN_ARGS=TRUE&amp;DOC_NAME=FAT:FQL_AUDITING_CLIENT_TEMPLATE.FAT&amp;display_string=Audit&amp;VAR:KEY=LEDEJWXCJC&amp;VAR:QUERY=RkZfRUJJVERBX0lCKCdMVE1TJywzOTM1OSk=&amp;WINDOW=FIRST_POPUP&amp;HEIGHT=450&amp;WIDTH=450&amp;START_MA","XIMIZED=FALSE&amp;VAR:CALENDAR=US&amp;VAR:SYMBOL=04916420&amp;VAR:INDEX=0"}</definedName>
    <definedName name="_10010__FDSAUDITLINK__" hidden="1">{"fdsup://directions/FAT Viewer?action=UPDATE&amp;creator=factset&amp;DYN_ARGS=TRUE&amp;DOC_NAME=FAT:FQL_AUDITING_CLIENT_TEMPLATE.FAT&amp;display_string=Audit&amp;VAR:KEY=LEDEJWXCJC&amp;VAR:QUERY=RkZfRUJJVERBX0lCKCdMVE1TJywzOTM1OSk=&amp;WINDOW=FIRST_POPUP&amp;HEIGHT=450&amp;WIDTH=450&amp;START_MA","XIMIZED=FALSE&amp;VAR:CALENDAR=US&amp;VAR:SYMBOL=04916420&amp;VAR:INDEX=0"}</definedName>
    <definedName name="_10011__FDSAUDITLINK__" localSheetId="6" hidden="1">{"fdsup://directions/FAT Viewer?action=UPDATE&amp;creator=factset&amp;DYN_ARGS=TRUE&amp;DOC_NAME=FAT:FQL_AUDITING_CLIENT_TEMPLATE.FAT&amp;display_string=Audit&amp;VAR:KEY=FIZQPOJUDU&amp;VAR:QUERY=RkZfRUJJVERBX0lCKCdMVE1TJywzOTM1OCk=&amp;WINDOW=FIRST_POPUP&amp;HEIGHT=450&amp;WIDTH=450&amp;START_MA","XIMIZED=FALSE&amp;VAR:CALENDAR=US&amp;VAR:SYMBOL=04916420&amp;VAR:INDEX=0"}</definedName>
    <definedName name="_10011__FDSAUDITLINK__" hidden="1">{"fdsup://directions/FAT Viewer?action=UPDATE&amp;creator=factset&amp;DYN_ARGS=TRUE&amp;DOC_NAME=FAT:FQL_AUDITING_CLIENT_TEMPLATE.FAT&amp;display_string=Audit&amp;VAR:KEY=FIZQPOJUDU&amp;VAR:QUERY=RkZfRUJJVERBX0lCKCdMVE1TJywzOTM1OCk=&amp;WINDOW=FIRST_POPUP&amp;HEIGHT=450&amp;WIDTH=450&amp;START_MA","XIMIZED=FALSE&amp;VAR:CALENDAR=US&amp;VAR:SYMBOL=04916420&amp;VAR:INDEX=0"}</definedName>
    <definedName name="_10012__FDSAUDITLINK__" localSheetId="6" hidden="1">{"fdsup://directions/FAT Viewer?action=UPDATE&amp;creator=factset&amp;DYN_ARGS=TRUE&amp;DOC_NAME=FAT:FQL_AUDITING_CLIENT_TEMPLATE.FAT&amp;display_string=Audit&amp;VAR:KEY=HURWXOBAXI&amp;VAR:QUERY=RkZfRUJJVERBX0lCKCdMVE1TJywzOTM1Nyk=&amp;WINDOW=FIRST_POPUP&amp;HEIGHT=450&amp;WIDTH=450&amp;START_MA","XIMIZED=FALSE&amp;VAR:CALENDAR=US&amp;VAR:SYMBOL=04916420&amp;VAR:INDEX=0"}</definedName>
    <definedName name="_10012__FDSAUDITLINK__" hidden="1">{"fdsup://directions/FAT Viewer?action=UPDATE&amp;creator=factset&amp;DYN_ARGS=TRUE&amp;DOC_NAME=FAT:FQL_AUDITING_CLIENT_TEMPLATE.FAT&amp;display_string=Audit&amp;VAR:KEY=HURWXOBAXI&amp;VAR:QUERY=RkZfRUJJVERBX0lCKCdMVE1TJywzOTM1Nyk=&amp;WINDOW=FIRST_POPUP&amp;HEIGHT=450&amp;WIDTH=450&amp;START_MA","XIMIZED=FALSE&amp;VAR:CALENDAR=US&amp;VAR:SYMBOL=04916420&amp;VAR:INDEX=0"}</definedName>
    <definedName name="_10013__FDSAUDITLINK__" localSheetId="6" hidden="1">{"fdsup://directions/FAT Viewer?action=UPDATE&amp;creator=factset&amp;DYN_ARGS=TRUE&amp;DOC_NAME=FAT:FQL_AUDITING_CLIENT_TEMPLATE.FAT&amp;display_string=Audit&amp;VAR:KEY=LGTSXGFEFK&amp;VAR:QUERY=RkZfRUJJVERBX0lCKCdMVE1TJywzOTM1Nik=&amp;WINDOW=FIRST_POPUP&amp;HEIGHT=450&amp;WIDTH=450&amp;START_MA","XIMIZED=FALSE&amp;VAR:CALENDAR=US&amp;VAR:SYMBOL=04916420&amp;VAR:INDEX=0"}</definedName>
    <definedName name="_10013__FDSAUDITLINK__" hidden="1">{"fdsup://directions/FAT Viewer?action=UPDATE&amp;creator=factset&amp;DYN_ARGS=TRUE&amp;DOC_NAME=FAT:FQL_AUDITING_CLIENT_TEMPLATE.FAT&amp;display_string=Audit&amp;VAR:KEY=LGTSXGFEFK&amp;VAR:QUERY=RkZfRUJJVERBX0lCKCdMVE1TJywzOTM1Nik=&amp;WINDOW=FIRST_POPUP&amp;HEIGHT=450&amp;WIDTH=450&amp;START_MA","XIMIZED=FALSE&amp;VAR:CALENDAR=US&amp;VAR:SYMBOL=04916420&amp;VAR:INDEX=0"}</definedName>
    <definedName name="_10014__FDSAUDITLINK__" localSheetId="6" hidden="1">{"fdsup://directions/FAT Viewer?action=UPDATE&amp;creator=factset&amp;DYN_ARGS=TRUE&amp;DOC_NAME=FAT:FQL_AUDITING_CLIENT_TEMPLATE.FAT&amp;display_string=Audit&amp;VAR:KEY=VCBGBGPWFG&amp;VAR:QUERY=RkZfRUJJVERBX0lCKCdMVE1TJywzOTM1NSk=&amp;WINDOW=FIRST_POPUP&amp;HEIGHT=450&amp;WIDTH=450&amp;START_MA","XIMIZED=FALSE&amp;VAR:CALENDAR=US&amp;VAR:SYMBOL=04916420&amp;VAR:INDEX=0"}</definedName>
    <definedName name="_10014__FDSAUDITLINK__" hidden="1">{"fdsup://directions/FAT Viewer?action=UPDATE&amp;creator=factset&amp;DYN_ARGS=TRUE&amp;DOC_NAME=FAT:FQL_AUDITING_CLIENT_TEMPLATE.FAT&amp;display_string=Audit&amp;VAR:KEY=VCBGBGPWFG&amp;VAR:QUERY=RkZfRUJJVERBX0lCKCdMVE1TJywzOTM1NSk=&amp;WINDOW=FIRST_POPUP&amp;HEIGHT=450&amp;WIDTH=450&amp;START_MA","XIMIZED=FALSE&amp;VAR:CALENDAR=US&amp;VAR:SYMBOL=04916420&amp;VAR:INDEX=0"}</definedName>
    <definedName name="_10015__FDSAUDITLINK__" localSheetId="6" hidden="1">{"fdsup://directions/FAT Viewer?action=UPDATE&amp;creator=factset&amp;DYN_ARGS=TRUE&amp;DOC_NAME=FAT:FQL_AUDITING_CLIENT_TEMPLATE.FAT&amp;display_string=Audit&amp;VAR:KEY=BADAXMBORE&amp;VAR:QUERY=RkZfRUJJVERBX0lCKCdMVE1TJywzOTM1NCk=&amp;WINDOW=FIRST_POPUP&amp;HEIGHT=450&amp;WIDTH=450&amp;START_MA","XIMIZED=FALSE&amp;VAR:CALENDAR=US&amp;VAR:SYMBOL=04916420&amp;VAR:INDEX=0"}</definedName>
    <definedName name="_10015__FDSAUDITLINK__" hidden="1">{"fdsup://directions/FAT Viewer?action=UPDATE&amp;creator=factset&amp;DYN_ARGS=TRUE&amp;DOC_NAME=FAT:FQL_AUDITING_CLIENT_TEMPLATE.FAT&amp;display_string=Audit&amp;VAR:KEY=BADAXMBORE&amp;VAR:QUERY=RkZfRUJJVERBX0lCKCdMVE1TJywzOTM1NCk=&amp;WINDOW=FIRST_POPUP&amp;HEIGHT=450&amp;WIDTH=450&amp;START_MA","XIMIZED=FALSE&amp;VAR:CALENDAR=US&amp;VAR:SYMBOL=04916420&amp;VAR:INDEX=0"}</definedName>
    <definedName name="_10016__FDSAUDITLINK__" localSheetId="6" hidden="1">{"fdsup://directions/FAT Viewer?action=UPDATE&amp;creator=factset&amp;DYN_ARGS=TRUE&amp;DOC_NAME=FAT:FQL_AUDITING_CLIENT_TEMPLATE.FAT&amp;display_string=Audit&amp;VAR:KEY=HAPGFATKJA&amp;VAR:QUERY=RkZfRUJJVERBX0lCKCdMVE1TJywzOTM1Myk=&amp;WINDOW=FIRST_POPUP&amp;HEIGHT=450&amp;WIDTH=450&amp;START_MA","XIMIZED=FALSE&amp;VAR:CALENDAR=US&amp;VAR:SYMBOL=04916420&amp;VAR:INDEX=0"}</definedName>
    <definedName name="_10016__FDSAUDITLINK__" hidden="1">{"fdsup://directions/FAT Viewer?action=UPDATE&amp;creator=factset&amp;DYN_ARGS=TRUE&amp;DOC_NAME=FAT:FQL_AUDITING_CLIENT_TEMPLATE.FAT&amp;display_string=Audit&amp;VAR:KEY=HAPGFATKJA&amp;VAR:QUERY=RkZfRUJJVERBX0lCKCdMVE1TJywzOTM1Myk=&amp;WINDOW=FIRST_POPUP&amp;HEIGHT=450&amp;WIDTH=450&amp;START_MA","XIMIZED=FALSE&amp;VAR:CALENDAR=US&amp;VAR:SYMBOL=04916420&amp;VAR:INDEX=0"}</definedName>
    <definedName name="_10017__FDSAUDITLINK__" localSheetId="6" hidden="1">{"fdsup://directions/FAT Viewer?action=UPDATE&amp;creator=factset&amp;DYN_ARGS=TRUE&amp;DOC_NAME=FAT:FQL_AUDITING_CLIENT_TEMPLATE.FAT&amp;display_string=Audit&amp;VAR:KEY=LALWRYPKPC&amp;VAR:QUERY=RkZfRUJJVERBX0lCKCdMVE1TJywzOTM1Mik=&amp;WINDOW=FIRST_POPUP&amp;HEIGHT=450&amp;WIDTH=450&amp;START_MA","XIMIZED=FALSE&amp;VAR:CALENDAR=US&amp;VAR:SYMBOL=04916420&amp;VAR:INDEX=0"}</definedName>
    <definedName name="_10017__FDSAUDITLINK__" hidden="1">{"fdsup://directions/FAT Viewer?action=UPDATE&amp;creator=factset&amp;DYN_ARGS=TRUE&amp;DOC_NAME=FAT:FQL_AUDITING_CLIENT_TEMPLATE.FAT&amp;display_string=Audit&amp;VAR:KEY=LALWRYPKPC&amp;VAR:QUERY=RkZfRUJJVERBX0lCKCdMVE1TJywzOTM1Mik=&amp;WINDOW=FIRST_POPUP&amp;HEIGHT=450&amp;WIDTH=450&amp;START_MA","XIMIZED=FALSE&amp;VAR:CALENDAR=US&amp;VAR:SYMBOL=04916420&amp;VAR:INDEX=0"}</definedName>
    <definedName name="_10018__FDSAUDITLINK__" localSheetId="6" hidden="1">{"fdsup://directions/FAT Viewer?action=UPDATE&amp;creator=factset&amp;DYN_ARGS=TRUE&amp;DOC_NAME=FAT:FQL_AUDITING_CLIENT_TEMPLATE.FAT&amp;display_string=Audit&amp;VAR:KEY=BUFGPCDMNY&amp;VAR:QUERY=RkZfRUJJVERBX0lCKCdMVE1TJywzOTM1MSk=&amp;WINDOW=FIRST_POPUP&amp;HEIGHT=450&amp;WIDTH=450&amp;START_MA","XIMIZED=FALSE&amp;VAR:CALENDAR=US&amp;VAR:SYMBOL=04916420&amp;VAR:INDEX=0"}</definedName>
    <definedName name="_10018__FDSAUDITLINK__" hidden="1">{"fdsup://directions/FAT Viewer?action=UPDATE&amp;creator=factset&amp;DYN_ARGS=TRUE&amp;DOC_NAME=FAT:FQL_AUDITING_CLIENT_TEMPLATE.FAT&amp;display_string=Audit&amp;VAR:KEY=BUFGPCDMNY&amp;VAR:QUERY=RkZfRUJJVERBX0lCKCdMVE1TJywzOTM1MSk=&amp;WINDOW=FIRST_POPUP&amp;HEIGHT=450&amp;WIDTH=450&amp;START_MA","XIMIZED=FALSE&amp;VAR:CALENDAR=US&amp;VAR:SYMBOL=04916420&amp;VAR:INDEX=0"}</definedName>
    <definedName name="_10019__FDSAUDITLINK__" localSheetId="6" hidden="1">{"fdsup://directions/FAT Viewer?action=UPDATE&amp;creator=factset&amp;DYN_ARGS=TRUE&amp;DOC_NAME=FAT:FQL_AUDITING_CLIENT_TEMPLATE.FAT&amp;display_string=Audit&amp;VAR:KEY=ZAZSDERWBC&amp;VAR:QUERY=RkZfRUJJVERBX0lCKCdMVE1TJywzOTM1MCk=&amp;WINDOW=FIRST_POPUP&amp;HEIGHT=450&amp;WIDTH=450&amp;START_MA","XIMIZED=FALSE&amp;VAR:CALENDAR=US&amp;VAR:SYMBOL=04916420&amp;VAR:INDEX=0"}</definedName>
    <definedName name="_10019__FDSAUDITLINK__" hidden="1">{"fdsup://directions/FAT Viewer?action=UPDATE&amp;creator=factset&amp;DYN_ARGS=TRUE&amp;DOC_NAME=FAT:FQL_AUDITING_CLIENT_TEMPLATE.FAT&amp;display_string=Audit&amp;VAR:KEY=ZAZSDERWBC&amp;VAR:QUERY=RkZfRUJJVERBX0lCKCdMVE1TJywzOTM1MCk=&amp;WINDOW=FIRST_POPUP&amp;HEIGHT=450&amp;WIDTH=450&amp;START_MA","XIMIZED=FALSE&amp;VAR:CALENDAR=US&amp;VAR:SYMBOL=04916420&amp;VAR:INDEX=0"}</definedName>
    <definedName name="_1002__FDSAUDITLINK__" localSheetId="6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2__FDSAUDITLINK__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20__FDSAUDITLINK__" localSheetId="6" hidden="1">{"fdsup://directions/FAT Viewer?action=UPDATE&amp;creator=factset&amp;DYN_ARGS=TRUE&amp;DOC_NAME=FAT:FQL_AUDITING_CLIENT_TEMPLATE.FAT&amp;display_string=Audit&amp;VAR:KEY=FQVERAXWNE&amp;VAR:QUERY=RkZfRUJJVERBX0lCKCdMVE1TJywzOTM0OSk=&amp;WINDOW=FIRST_POPUP&amp;HEIGHT=450&amp;WIDTH=450&amp;START_MA","XIMIZED=FALSE&amp;VAR:CALENDAR=US&amp;VAR:SYMBOL=04916420&amp;VAR:INDEX=0"}</definedName>
    <definedName name="_10020__FDSAUDITLINK__" hidden="1">{"fdsup://directions/FAT Viewer?action=UPDATE&amp;creator=factset&amp;DYN_ARGS=TRUE&amp;DOC_NAME=FAT:FQL_AUDITING_CLIENT_TEMPLATE.FAT&amp;display_string=Audit&amp;VAR:KEY=FQVERAXWNE&amp;VAR:QUERY=RkZfRUJJVERBX0lCKCdMVE1TJywzOTM0OSk=&amp;WINDOW=FIRST_POPUP&amp;HEIGHT=450&amp;WIDTH=450&amp;START_MA","XIMIZED=FALSE&amp;VAR:CALENDAR=US&amp;VAR:SYMBOL=04916420&amp;VAR:INDEX=0"}</definedName>
    <definedName name="_10021__FDSAUDITLINK__" localSheetId="6" hidden="1">{"fdsup://directions/FAT Viewer?action=UPDATE&amp;creator=factset&amp;DYN_ARGS=TRUE&amp;DOC_NAME=FAT:FQL_AUDITING_CLIENT_TEMPLATE.FAT&amp;display_string=Audit&amp;VAR:KEY=ZCTQLIXAJG&amp;VAR:QUERY=RkZfRUJJVERBX0lCKCdMVE1TJywzOTM0OCk=&amp;WINDOW=FIRST_POPUP&amp;HEIGHT=450&amp;WIDTH=450&amp;START_MA","XIMIZED=FALSE&amp;VAR:CALENDAR=US&amp;VAR:SYMBOL=04916420&amp;VAR:INDEX=0"}</definedName>
    <definedName name="_10021__FDSAUDITLINK__" hidden="1">{"fdsup://directions/FAT Viewer?action=UPDATE&amp;creator=factset&amp;DYN_ARGS=TRUE&amp;DOC_NAME=FAT:FQL_AUDITING_CLIENT_TEMPLATE.FAT&amp;display_string=Audit&amp;VAR:KEY=ZCTQLIXAJG&amp;VAR:QUERY=RkZfRUJJVERBX0lCKCdMVE1TJywzOTM0OCk=&amp;WINDOW=FIRST_POPUP&amp;HEIGHT=450&amp;WIDTH=450&amp;START_MA","XIMIZED=FALSE&amp;VAR:CALENDAR=US&amp;VAR:SYMBOL=04916420&amp;VAR:INDEX=0"}</definedName>
    <definedName name="_10022__FDSAUDITLINK__" localSheetId="6" hidden="1">{"fdsup://directions/FAT Viewer?action=UPDATE&amp;creator=factset&amp;DYN_ARGS=TRUE&amp;DOC_NAME=FAT:FQL_AUDITING_CLIENT_TEMPLATE.FAT&amp;display_string=Audit&amp;VAR:KEY=RQTCLSLCRU&amp;VAR:QUERY=RkZfRUJJVERBX0lCKCdMVE1TJywzOTM0Nyk=&amp;WINDOW=FIRST_POPUP&amp;HEIGHT=450&amp;WIDTH=450&amp;START_MA","XIMIZED=FALSE&amp;VAR:CALENDAR=US&amp;VAR:SYMBOL=04916420&amp;VAR:INDEX=0"}</definedName>
    <definedName name="_10022__FDSAUDITLINK__" hidden="1">{"fdsup://directions/FAT Viewer?action=UPDATE&amp;creator=factset&amp;DYN_ARGS=TRUE&amp;DOC_NAME=FAT:FQL_AUDITING_CLIENT_TEMPLATE.FAT&amp;display_string=Audit&amp;VAR:KEY=RQTCLSLCRU&amp;VAR:QUERY=RkZfRUJJVERBX0lCKCdMVE1TJywzOTM0Nyk=&amp;WINDOW=FIRST_POPUP&amp;HEIGHT=450&amp;WIDTH=450&amp;START_MA","XIMIZED=FALSE&amp;VAR:CALENDAR=US&amp;VAR:SYMBOL=04916420&amp;VAR:INDEX=0"}</definedName>
    <definedName name="_10023__FDSAUDITLINK__" localSheetId="6" hidden="1">{"fdsup://directions/FAT Viewer?action=UPDATE&amp;creator=factset&amp;DYN_ARGS=TRUE&amp;DOC_NAME=FAT:FQL_AUDITING_CLIENT_TEMPLATE.FAT&amp;display_string=Audit&amp;VAR:KEY=DSVALWPGHA&amp;VAR:QUERY=RkZfRUJJVERBX0lCKCdMVE1TJywzOTM0Nik=&amp;WINDOW=FIRST_POPUP&amp;HEIGHT=450&amp;WIDTH=450&amp;START_MA","XIMIZED=FALSE&amp;VAR:CALENDAR=US&amp;VAR:SYMBOL=04916420&amp;VAR:INDEX=0"}</definedName>
    <definedName name="_10023__FDSAUDITLINK__" hidden="1">{"fdsup://directions/FAT Viewer?action=UPDATE&amp;creator=factset&amp;DYN_ARGS=TRUE&amp;DOC_NAME=FAT:FQL_AUDITING_CLIENT_TEMPLATE.FAT&amp;display_string=Audit&amp;VAR:KEY=DSVALWPGHA&amp;VAR:QUERY=RkZfRUJJVERBX0lCKCdMVE1TJywzOTM0Nik=&amp;WINDOW=FIRST_POPUP&amp;HEIGHT=450&amp;WIDTH=450&amp;START_MA","XIMIZED=FALSE&amp;VAR:CALENDAR=US&amp;VAR:SYMBOL=04916420&amp;VAR:INDEX=0"}</definedName>
    <definedName name="_10024__FDSAUDITLINK__" localSheetId="6" hidden="1">{"fdsup://directions/FAT Viewer?action=UPDATE&amp;creator=factset&amp;DYN_ARGS=TRUE&amp;DOC_NAME=FAT:FQL_AUDITING_CLIENT_TEMPLATE.FAT&amp;display_string=Audit&amp;VAR:KEY=PSTUZINAHE&amp;VAR:QUERY=RkZfRUJJVERBX0lCKCdMVE1TJywzOTM0NSk=&amp;WINDOW=FIRST_POPUP&amp;HEIGHT=450&amp;WIDTH=450&amp;START_MA","XIMIZED=FALSE&amp;VAR:CALENDAR=US&amp;VAR:SYMBOL=04916420&amp;VAR:INDEX=0"}</definedName>
    <definedName name="_10024__FDSAUDITLINK__" hidden="1">{"fdsup://directions/FAT Viewer?action=UPDATE&amp;creator=factset&amp;DYN_ARGS=TRUE&amp;DOC_NAME=FAT:FQL_AUDITING_CLIENT_TEMPLATE.FAT&amp;display_string=Audit&amp;VAR:KEY=PSTUZINAHE&amp;VAR:QUERY=RkZfRUJJVERBX0lCKCdMVE1TJywzOTM0NSk=&amp;WINDOW=FIRST_POPUP&amp;HEIGHT=450&amp;WIDTH=450&amp;START_MA","XIMIZED=FALSE&amp;VAR:CALENDAR=US&amp;VAR:SYMBOL=04916420&amp;VAR:INDEX=0"}</definedName>
    <definedName name="_10025__FDSAUDITLINK__" localSheetId="6" hidden="1">{"fdsup://directions/FAT Viewer?action=UPDATE&amp;creator=factset&amp;DYN_ARGS=TRUE&amp;DOC_NAME=FAT:FQL_AUDITING_CLIENT_TEMPLATE.FAT&amp;display_string=Audit&amp;VAR:KEY=FKROTMZYJS&amp;VAR:QUERY=RkZfRUJJVERBX0lCKCdMVE1TJywzOTM0NCk=&amp;WINDOW=FIRST_POPUP&amp;HEIGHT=450&amp;WIDTH=450&amp;START_MA","XIMIZED=FALSE&amp;VAR:CALENDAR=US&amp;VAR:SYMBOL=04916420&amp;VAR:INDEX=0"}</definedName>
    <definedName name="_10025__FDSAUDITLINK__" hidden="1">{"fdsup://directions/FAT Viewer?action=UPDATE&amp;creator=factset&amp;DYN_ARGS=TRUE&amp;DOC_NAME=FAT:FQL_AUDITING_CLIENT_TEMPLATE.FAT&amp;display_string=Audit&amp;VAR:KEY=FKROTMZYJS&amp;VAR:QUERY=RkZfRUJJVERBX0lCKCdMVE1TJywzOTM0NCk=&amp;WINDOW=FIRST_POPUP&amp;HEIGHT=450&amp;WIDTH=450&amp;START_MA","XIMIZED=FALSE&amp;VAR:CALENDAR=US&amp;VAR:SYMBOL=04916420&amp;VAR:INDEX=0"}</definedName>
    <definedName name="_10026__FDSAUDITLINK__" localSheetId="6" hidden="1">{"fdsup://directions/FAT Viewer?action=UPDATE&amp;creator=factset&amp;DYN_ARGS=TRUE&amp;DOC_NAME=FAT:FQL_AUDITING_CLIENT_TEMPLATE.FAT&amp;display_string=Audit&amp;VAR:KEY=DIVANWLGRC&amp;VAR:QUERY=RkZfRUJJVERBX0lCKCdMVE1TJywzOTM0Myk=&amp;WINDOW=FIRST_POPUP&amp;HEIGHT=450&amp;WIDTH=450&amp;START_MA","XIMIZED=FALSE&amp;VAR:CALENDAR=US&amp;VAR:SYMBOL=04916420&amp;VAR:INDEX=0"}</definedName>
    <definedName name="_10026__FDSAUDITLINK__" hidden="1">{"fdsup://directions/FAT Viewer?action=UPDATE&amp;creator=factset&amp;DYN_ARGS=TRUE&amp;DOC_NAME=FAT:FQL_AUDITING_CLIENT_TEMPLATE.FAT&amp;display_string=Audit&amp;VAR:KEY=DIVANWLGRC&amp;VAR:QUERY=RkZfRUJJVERBX0lCKCdMVE1TJywzOTM0Myk=&amp;WINDOW=FIRST_POPUP&amp;HEIGHT=450&amp;WIDTH=450&amp;START_MA","XIMIZED=FALSE&amp;VAR:CALENDAR=US&amp;VAR:SYMBOL=04916420&amp;VAR:INDEX=0"}</definedName>
    <definedName name="_10027__FDSAUDITLINK__" localSheetId="6" hidden="1">{"fdsup://directions/FAT Viewer?action=UPDATE&amp;creator=factset&amp;DYN_ARGS=TRUE&amp;DOC_NAME=FAT:FQL_AUDITING_CLIENT_TEMPLATE.FAT&amp;display_string=Audit&amp;VAR:KEY=PIBIPWHGBE&amp;VAR:QUERY=RkZfRUJJVERBX0lCKCdMVE1TJywzOTM0Mik=&amp;WINDOW=FIRST_POPUP&amp;HEIGHT=450&amp;WIDTH=450&amp;START_MA","XIMIZED=FALSE&amp;VAR:CALENDAR=US&amp;VAR:SYMBOL=04916420&amp;VAR:INDEX=0"}</definedName>
    <definedName name="_10027__FDSAUDITLINK__" hidden="1">{"fdsup://directions/FAT Viewer?action=UPDATE&amp;creator=factset&amp;DYN_ARGS=TRUE&amp;DOC_NAME=FAT:FQL_AUDITING_CLIENT_TEMPLATE.FAT&amp;display_string=Audit&amp;VAR:KEY=PIBIPWHGBE&amp;VAR:QUERY=RkZfRUJJVERBX0lCKCdMVE1TJywzOTM0Mik=&amp;WINDOW=FIRST_POPUP&amp;HEIGHT=450&amp;WIDTH=450&amp;START_MA","XIMIZED=FALSE&amp;VAR:CALENDAR=US&amp;VAR:SYMBOL=04916420&amp;VAR:INDEX=0"}</definedName>
    <definedName name="_10028__FDSAUDITLINK__" localSheetId="6" hidden="1">{"fdsup://directions/FAT Viewer?action=UPDATE&amp;creator=factset&amp;DYN_ARGS=TRUE&amp;DOC_NAME=FAT:FQL_AUDITING_CLIENT_TEMPLATE.FAT&amp;display_string=Audit&amp;VAR:KEY=JKJUFCXQNG&amp;VAR:QUERY=RkZfRUJJVERBX0lCKCdMVE1TJywzOTM0MSk=&amp;WINDOW=FIRST_POPUP&amp;HEIGHT=450&amp;WIDTH=450&amp;START_MA","XIMIZED=FALSE&amp;VAR:CALENDAR=US&amp;VAR:SYMBOL=04916420&amp;VAR:INDEX=0"}</definedName>
    <definedName name="_10028__FDSAUDITLINK__" hidden="1">{"fdsup://directions/FAT Viewer?action=UPDATE&amp;creator=factset&amp;DYN_ARGS=TRUE&amp;DOC_NAME=FAT:FQL_AUDITING_CLIENT_TEMPLATE.FAT&amp;display_string=Audit&amp;VAR:KEY=JKJUFCXQNG&amp;VAR:QUERY=RkZfRUJJVERBX0lCKCdMVE1TJywzOTM0MSk=&amp;WINDOW=FIRST_POPUP&amp;HEIGHT=450&amp;WIDTH=450&amp;START_MA","XIMIZED=FALSE&amp;VAR:CALENDAR=US&amp;VAR:SYMBOL=04916420&amp;VAR:INDEX=0"}</definedName>
    <definedName name="_10029__FDSAUDITLINK__" localSheetId="6" hidden="1">{"fdsup://directions/FAT Viewer?action=UPDATE&amp;creator=factset&amp;DYN_ARGS=TRUE&amp;DOC_NAME=FAT:FQL_AUDITING_CLIENT_TEMPLATE.FAT&amp;display_string=Audit&amp;VAR:KEY=BGDAHEFOZW&amp;VAR:QUERY=RkZfRUJJVERBX0lCKCdMVE1TJywzOTM0MCk=&amp;WINDOW=FIRST_POPUP&amp;HEIGHT=450&amp;WIDTH=450&amp;START_MA","XIMIZED=FALSE&amp;VAR:CALENDAR=US&amp;VAR:SYMBOL=04916420&amp;VAR:INDEX=0"}</definedName>
    <definedName name="_10029__FDSAUDITLINK__" hidden="1">{"fdsup://directions/FAT Viewer?action=UPDATE&amp;creator=factset&amp;DYN_ARGS=TRUE&amp;DOC_NAME=FAT:FQL_AUDITING_CLIENT_TEMPLATE.FAT&amp;display_string=Audit&amp;VAR:KEY=BGDAHEFOZW&amp;VAR:QUERY=RkZfRUJJVERBX0lCKCdMVE1TJywzOTM0MCk=&amp;WINDOW=FIRST_POPUP&amp;HEIGHT=450&amp;WIDTH=450&amp;START_MA","XIMIZED=FALSE&amp;VAR:CALENDAR=US&amp;VAR:SYMBOL=04916420&amp;VAR:INDEX=0"}</definedName>
    <definedName name="_1003__FDSAUDITLINK__" localSheetId="6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3__FDSAUDITLINK__" hidden="1">{"fdsup://directions/FAT%20Viewer?VAR:PED=LTM&amp;VAR:AUDIT_MODE=SUMMARY&amp;VAR:PERIOD=FIXED&amp;VAR:AUDIT_ID=00000117&amp;VAR:DATE=20070525&amp;action=UPDATE&amp;creator=factset&amp;DOC_NAME=FAT:FMA_audit_SUMMARY.fat&amp;DISPLAY_STRING=Display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30__FDSAUDITLINK__" localSheetId="6" hidden="1">{"fdsup://directions/FAT Viewer?action=UPDATE&amp;creator=factset&amp;DYN_ARGS=TRUE&amp;DOC_NAME=FAT:FQL_AUDITING_CLIENT_TEMPLATE.FAT&amp;display_string=Audit&amp;VAR:KEY=LUXYDOJKVW&amp;VAR:QUERY=RkZfRUJJVERBX0lCKCdMVE1TJywzOTMzOSk=&amp;WINDOW=FIRST_POPUP&amp;HEIGHT=450&amp;WIDTH=450&amp;START_MA","XIMIZED=FALSE&amp;VAR:CALENDAR=US&amp;VAR:SYMBOL=04916420&amp;VAR:INDEX=0"}</definedName>
    <definedName name="_10030__FDSAUDITLINK__" hidden="1">{"fdsup://directions/FAT Viewer?action=UPDATE&amp;creator=factset&amp;DYN_ARGS=TRUE&amp;DOC_NAME=FAT:FQL_AUDITING_CLIENT_TEMPLATE.FAT&amp;display_string=Audit&amp;VAR:KEY=LUXYDOJKVW&amp;VAR:QUERY=RkZfRUJJVERBX0lCKCdMVE1TJywzOTMzOSk=&amp;WINDOW=FIRST_POPUP&amp;HEIGHT=450&amp;WIDTH=450&amp;START_MA","XIMIZED=FALSE&amp;VAR:CALENDAR=US&amp;VAR:SYMBOL=04916420&amp;VAR:INDEX=0"}</definedName>
    <definedName name="_10031__FDSAUDITLINK__" localSheetId="6" hidden="1">{"fdsup://directions/FAT Viewer?action=UPDATE&amp;creator=factset&amp;DYN_ARGS=TRUE&amp;DOC_NAME=FAT:FQL_AUDITING_CLIENT_TEMPLATE.FAT&amp;display_string=Audit&amp;VAR:KEY=TEXIDINCBI&amp;VAR:QUERY=RkZfRUJJVERBX0lCKCdMVE1TJywzOTMzOCk=&amp;WINDOW=FIRST_POPUP&amp;HEIGHT=450&amp;WIDTH=450&amp;START_MA","XIMIZED=FALSE&amp;VAR:CALENDAR=US&amp;VAR:SYMBOL=04916420&amp;VAR:INDEX=0"}</definedName>
    <definedName name="_10031__FDSAUDITLINK__" hidden="1">{"fdsup://directions/FAT Viewer?action=UPDATE&amp;creator=factset&amp;DYN_ARGS=TRUE&amp;DOC_NAME=FAT:FQL_AUDITING_CLIENT_TEMPLATE.FAT&amp;display_string=Audit&amp;VAR:KEY=TEXIDINCBI&amp;VAR:QUERY=RkZfRUJJVERBX0lCKCdMVE1TJywzOTMzOCk=&amp;WINDOW=FIRST_POPUP&amp;HEIGHT=450&amp;WIDTH=450&amp;START_MA","XIMIZED=FALSE&amp;VAR:CALENDAR=US&amp;VAR:SYMBOL=04916420&amp;VAR:INDEX=0"}</definedName>
    <definedName name="_10032__FDSAUDITLINK__" localSheetId="6" hidden="1">{"fdsup://directions/FAT Viewer?action=UPDATE&amp;creator=factset&amp;DYN_ARGS=TRUE&amp;DOC_NAME=FAT:FQL_AUDITING_CLIENT_TEMPLATE.FAT&amp;display_string=Audit&amp;VAR:KEY=VYNORILEPQ&amp;VAR:QUERY=RkZfRUJJVERBX0lCKCdMVE1TJywzOTMzNyk=&amp;WINDOW=FIRST_POPUP&amp;HEIGHT=450&amp;WIDTH=450&amp;START_MA","XIMIZED=FALSE&amp;VAR:CALENDAR=US&amp;VAR:SYMBOL=04916420&amp;VAR:INDEX=0"}</definedName>
    <definedName name="_10032__FDSAUDITLINK__" hidden="1">{"fdsup://directions/FAT Viewer?action=UPDATE&amp;creator=factset&amp;DYN_ARGS=TRUE&amp;DOC_NAME=FAT:FQL_AUDITING_CLIENT_TEMPLATE.FAT&amp;display_string=Audit&amp;VAR:KEY=VYNORILEPQ&amp;VAR:QUERY=RkZfRUJJVERBX0lCKCdMVE1TJywzOTMzNyk=&amp;WINDOW=FIRST_POPUP&amp;HEIGHT=450&amp;WIDTH=450&amp;START_MA","XIMIZED=FALSE&amp;VAR:CALENDAR=US&amp;VAR:SYMBOL=04916420&amp;VAR:INDEX=0"}</definedName>
    <definedName name="_10033__FDSAUDITLINK__" localSheetId="6" hidden="1">{"fdsup://directions/FAT Viewer?action=UPDATE&amp;creator=factset&amp;DYN_ARGS=TRUE&amp;DOC_NAME=FAT:FQL_AUDITING_CLIENT_TEMPLATE.FAT&amp;display_string=Audit&amp;VAR:KEY=HSHWRSVIVG&amp;VAR:QUERY=RkZfRUJJVERBX0lCKCdMVE1TJywzOTMzNik=&amp;WINDOW=FIRST_POPUP&amp;HEIGHT=450&amp;WIDTH=450&amp;START_MA","XIMIZED=FALSE&amp;VAR:CALENDAR=US&amp;VAR:SYMBOL=04916420&amp;VAR:INDEX=0"}</definedName>
    <definedName name="_10033__FDSAUDITLINK__" hidden="1">{"fdsup://directions/FAT Viewer?action=UPDATE&amp;creator=factset&amp;DYN_ARGS=TRUE&amp;DOC_NAME=FAT:FQL_AUDITING_CLIENT_TEMPLATE.FAT&amp;display_string=Audit&amp;VAR:KEY=HSHWRSVIVG&amp;VAR:QUERY=RkZfRUJJVERBX0lCKCdMVE1TJywzOTMzNik=&amp;WINDOW=FIRST_POPUP&amp;HEIGHT=450&amp;WIDTH=450&amp;START_MA","XIMIZED=FALSE&amp;VAR:CALENDAR=US&amp;VAR:SYMBOL=04916420&amp;VAR:INDEX=0"}</definedName>
    <definedName name="_10034__FDSAUDITLINK__" localSheetId="6" hidden="1">{"fdsup://directions/FAT Viewer?action=UPDATE&amp;creator=factset&amp;DYN_ARGS=TRUE&amp;DOC_NAME=FAT:FQL_AUDITING_CLIENT_TEMPLATE.FAT&amp;display_string=Audit&amp;VAR:KEY=RKVYLYZURO&amp;VAR:QUERY=RkZfRUJJVERBX0lCKCdMVE1TJywzOTMzNSk=&amp;WINDOW=FIRST_POPUP&amp;HEIGHT=450&amp;WIDTH=450&amp;START_MA","XIMIZED=FALSE&amp;VAR:CALENDAR=US&amp;VAR:SYMBOL=04916420&amp;VAR:INDEX=0"}</definedName>
    <definedName name="_10034__FDSAUDITLINK__" hidden="1">{"fdsup://directions/FAT Viewer?action=UPDATE&amp;creator=factset&amp;DYN_ARGS=TRUE&amp;DOC_NAME=FAT:FQL_AUDITING_CLIENT_TEMPLATE.FAT&amp;display_string=Audit&amp;VAR:KEY=RKVYLYZURO&amp;VAR:QUERY=RkZfRUJJVERBX0lCKCdMVE1TJywzOTMzNSk=&amp;WINDOW=FIRST_POPUP&amp;HEIGHT=450&amp;WIDTH=450&amp;START_MA","XIMIZED=FALSE&amp;VAR:CALENDAR=US&amp;VAR:SYMBOL=04916420&amp;VAR:INDEX=0"}</definedName>
    <definedName name="_10035__FDSAUDITLINK__" localSheetId="6" hidden="1">{"fdsup://directions/FAT Viewer?action=UPDATE&amp;creator=factset&amp;DYN_ARGS=TRUE&amp;DOC_NAME=FAT:FQL_AUDITING_CLIENT_TEMPLATE.FAT&amp;display_string=Audit&amp;VAR:KEY=XSTSTIRQVI&amp;VAR:QUERY=RkZfRUJJVERBX0lCKCdMVE1TJywzOTMzNCk=&amp;WINDOW=FIRST_POPUP&amp;HEIGHT=450&amp;WIDTH=450&amp;START_MA","XIMIZED=FALSE&amp;VAR:CALENDAR=US&amp;VAR:SYMBOL=04916420&amp;VAR:INDEX=0"}</definedName>
    <definedName name="_10035__FDSAUDITLINK__" hidden="1">{"fdsup://directions/FAT Viewer?action=UPDATE&amp;creator=factset&amp;DYN_ARGS=TRUE&amp;DOC_NAME=FAT:FQL_AUDITING_CLIENT_TEMPLATE.FAT&amp;display_string=Audit&amp;VAR:KEY=XSTSTIRQVI&amp;VAR:QUERY=RkZfRUJJVERBX0lCKCdMVE1TJywzOTMzNCk=&amp;WINDOW=FIRST_POPUP&amp;HEIGHT=450&amp;WIDTH=450&amp;START_MA","XIMIZED=FALSE&amp;VAR:CALENDAR=US&amp;VAR:SYMBOL=04916420&amp;VAR:INDEX=0"}</definedName>
    <definedName name="_10036__FDSAUDITLINK__" localSheetId="6" hidden="1">{"fdsup://directions/FAT Viewer?action=UPDATE&amp;creator=factset&amp;DYN_ARGS=TRUE&amp;DOC_NAME=FAT:FQL_AUDITING_CLIENT_TEMPLATE.FAT&amp;display_string=Audit&amp;VAR:KEY=XOHOXUXERQ&amp;VAR:QUERY=RkZfRUJJVERBX0lCKCdMVE1TJywzOTMzMyk=&amp;WINDOW=FIRST_POPUP&amp;HEIGHT=450&amp;WIDTH=450&amp;START_MA","XIMIZED=FALSE&amp;VAR:CALENDAR=US&amp;VAR:SYMBOL=04916420&amp;VAR:INDEX=0"}</definedName>
    <definedName name="_10036__FDSAUDITLINK__" hidden="1">{"fdsup://directions/FAT Viewer?action=UPDATE&amp;creator=factset&amp;DYN_ARGS=TRUE&amp;DOC_NAME=FAT:FQL_AUDITING_CLIENT_TEMPLATE.FAT&amp;display_string=Audit&amp;VAR:KEY=XOHOXUXERQ&amp;VAR:QUERY=RkZfRUJJVERBX0lCKCdMVE1TJywzOTMzMyk=&amp;WINDOW=FIRST_POPUP&amp;HEIGHT=450&amp;WIDTH=450&amp;START_MA","XIMIZED=FALSE&amp;VAR:CALENDAR=US&amp;VAR:SYMBOL=04916420&amp;VAR:INDEX=0"}</definedName>
    <definedName name="_10037__FDSAUDITLINK__" localSheetId="6" hidden="1">{"fdsup://directions/FAT Viewer?action=UPDATE&amp;creator=factset&amp;DYN_ARGS=TRUE&amp;DOC_NAME=FAT:FQL_AUDITING_CLIENT_TEMPLATE.FAT&amp;display_string=Audit&amp;VAR:KEY=HYTIROPOLC&amp;VAR:QUERY=RkZfRUJJVERBX0lCKCdMVE1TJywzOTMzMik=&amp;WINDOW=FIRST_POPUP&amp;HEIGHT=450&amp;WIDTH=450&amp;START_MA","XIMIZED=FALSE&amp;VAR:CALENDAR=US&amp;VAR:SYMBOL=04916420&amp;VAR:INDEX=0"}</definedName>
    <definedName name="_10037__FDSAUDITLINK__" hidden="1">{"fdsup://directions/FAT Viewer?action=UPDATE&amp;creator=factset&amp;DYN_ARGS=TRUE&amp;DOC_NAME=FAT:FQL_AUDITING_CLIENT_TEMPLATE.FAT&amp;display_string=Audit&amp;VAR:KEY=HYTIROPOLC&amp;VAR:QUERY=RkZfRUJJVERBX0lCKCdMVE1TJywzOTMzMik=&amp;WINDOW=FIRST_POPUP&amp;HEIGHT=450&amp;WIDTH=450&amp;START_MA","XIMIZED=FALSE&amp;VAR:CALENDAR=US&amp;VAR:SYMBOL=04916420&amp;VAR:INDEX=0"}</definedName>
    <definedName name="_10038__FDSAUDITLINK__" localSheetId="6" hidden="1">{"fdsup://directions/FAT Viewer?action=UPDATE&amp;creator=factset&amp;DYN_ARGS=TRUE&amp;DOC_NAME=FAT:FQL_AUDITING_CLIENT_TEMPLATE.FAT&amp;display_string=Audit&amp;VAR:KEY=BEVCXWPUNS&amp;VAR:QUERY=RkZfRUJJVERBX0lCKCdMVE1TJywzOTMzMSk=&amp;WINDOW=FIRST_POPUP&amp;HEIGHT=450&amp;WIDTH=450&amp;START_MA","XIMIZED=FALSE&amp;VAR:CALENDAR=US&amp;VAR:SYMBOL=04916420&amp;VAR:INDEX=0"}</definedName>
    <definedName name="_10038__FDSAUDITLINK__" hidden="1">{"fdsup://directions/FAT Viewer?action=UPDATE&amp;creator=factset&amp;DYN_ARGS=TRUE&amp;DOC_NAME=FAT:FQL_AUDITING_CLIENT_TEMPLATE.FAT&amp;display_string=Audit&amp;VAR:KEY=BEVCXWPUNS&amp;VAR:QUERY=RkZfRUJJVERBX0lCKCdMVE1TJywzOTMzMSk=&amp;WINDOW=FIRST_POPUP&amp;HEIGHT=450&amp;WIDTH=450&amp;START_MA","XIMIZED=FALSE&amp;VAR:CALENDAR=US&amp;VAR:SYMBOL=04916420&amp;VAR:INDEX=0"}</definedName>
    <definedName name="_10039__FDSAUDITLINK__" localSheetId="6" hidden="1">{"fdsup://directions/FAT Viewer?action=UPDATE&amp;creator=factset&amp;DYN_ARGS=TRUE&amp;DOC_NAME=FAT:FQL_AUDITING_CLIENT_TEMPLATE.FAT&amp;display_string=Audit&amp;VAR:KEY=XUXULEXYTK&amp;VAR:QUERY=RkZfRUJJVERBX0lCKCdMVE1TJywzOTMzMCk=&amp;WINDOW=FIRST_POPUP&amp;HEIGHT=450&amp;WIDTH=450&amp;START_MA","XIMIZED=FALSE&amp;VAR:CALENDAR=US&amp;VAR:SYMBOL=04916420&amp;VAR:INDEX=0"}</definedName>
    <definedName name="_10039__FDSAUDITLINK__" hidden="1">{"fdsup://directions/FAT Viewer?action=UPDATE&amp;creator=factset&amp;DYN_ARGS=TRUE&amp;DOC_NAME=FAT:FQL_AUDITING_CLIENT_TEMPLATE.FAT&amp;display_string=Audit&amp;VAR:KEY=XUXULEXYTK&amp;VAR:QUERY=RkZfRUJJVERBX0lCKCdMVE1TJywzOTMzMCk=&amp;WINDOW=FIRST_POPUP&amp;HEIGHT=450&amp;WIDTH=450&amp;START_MA","XIMIZED=FALSE&amp;VAR:CALENDAR=US&amp;VAR:SYMBOL=04916420&amp;VAR:INDEX=0"}</definedName>
    <definedName name="_1004__FDSAUDITLINK__" localSheetId="6" hidden="1">{"fdsup://directions/FAT%20Viewer?VAR:PED=LTM&amp;VAR:AUDIT_MODE=SUMMARY&amp;VAR:PERIOD=FIXED&amp;VAR:AUDIT_ID=00000117&amp;VAR:DATE=20070524&amp;action=UPDATE&amp;creator=factset&amp;DOC_NAME=FAT:FMA_audit_SUMMARY.fat&amp;DISPLAY_STRING=Display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4__FDSAUDITLINK__" hidden="1">{"fdsup://directions/FAT%20Viewer?VAR:PED=LTM&amp;VAR:AUDIT_MODE=SUMMARY&amp;VAR:PERIOD=FIXED&amp;VAR:AUDIT_ID=00000117&amp;VAR:DATE=20070524&amp;action=UPDATE&amp;creator=factset&amp;DOC_NAME=FAT:FMA_audit_SUMMARY.fat&amp;DISPLAY_STRING=Display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40__FDSAUDITLINK__" localSheetId="6" hidden="1">{"fdsup://directions/FAT Viewer?action=UPDATE&amp;creator=factset&amp;DYN_ARGS=TRUE&amp;DOC_NAME=FAT:FQL_AUDITING_CLIENT_TEMPLATE.FAT&amp;display_string=Audit&amp;VAR:KEY=XSFCZKXMHM&amp;VAR:QUERY=RkZfRUJJVERBX0lCKCdMVE1TJywzOTMyOSk=&amp;WINDOW=FIRST_POPUP&amp;HEIGHT=450&amp;WIDTH=450&amp;START_MA","XIMIZED=FALSE&amp;VAR:CALENDAR=US&amp;VAR:SYMBOL=04916420&amp;VAR:INDEX=0"}</definedName>
    <definedName name="_10040__FDSAUDITLINK__" hidden="1">{"fdsup://directions/FAT Viewer?action=UPDATE&amp;creator=factset&amp;DYN_ARGS=TRUE&amp;DOC_NAME=FAT:FQL_AUDITING_CLIENT_TEMPLATE.FAT&amp;display_string=Audit&amp;VAR:KEY=XSFCZKXMHM&amp;VAR:QUERY=RkZfRUJJVERBX0lCKCdMVE1TJywzOTMyOSk=&amp;WINDOW=FIRST_POPUP&amp;HEIGHT=450&amp;WIDTH=450&amp;START_MA","XIMIZED=FALSE&amp;VAR:CALENDAR=US&amp;VAR:SYMBOL=04916420&amp;VAR:INDEX=0"}</definedName>
    <definedName name="_10041__FDSAUDITLINK__" localSheetId="6" hidden="1">{"fdsup://directions/FAT Viewer?action=UPDATE&amp;creator=factset&amp;DYN_ARGS=TRUE&amp;DOC_NAME=FAT:FQL_AUDITING_CLIENT_TEMPLATE.FAT&amp;display_string=Audit&amp;VAR:KEY=PCZSBORKTS&amp;VAR:QUERY=RkZfRUJJVERBX0lCKCdMVE1TJywzOTMyOCk=&amp;WINDOW=FIRST_POPUP&amp;HEIGHT=450&amp;WIDTH=450&amp;START_MA","XIMIZED=FALSE&amp;VAR:CALENDAR=US&amp;VAR:SYMBOL=04916420&amp;VAR:INDEX=0"}</definedName>
    <definedName name="_10041__FDSAUDITLINK__" hidden="1">{"fdsup://directions/FAT Viewer?action=UPDATE&amp;creator=factset&amp;DYN_ARGS=TRUE&amp;DOC_NAME=FAT:FQL_AUDITING_CLIENT_TEMPLATE.FAT&amp;display_string=Audit&amp;VAR:KEY=PCZSBORKTS&amp;VAR:QUERY=RkZfRUJJVERBX0lCKCdMVE1TJywzOTMyOCk=&amp;WINDOW=FIRST_POPUP&amp;HEIGHT=450&amp;WIDTH=450&amp;START_MA","XIMIZED=FALSE&amp;VAR:CALENDAR=US&amp;VAR:SYMBOL=04916420&amp;VAR:INDEX=0"}</definedName>
    <definedName name="_10042__FDSAUDITLINK__" localSheetId="6" hidden="1">{"fdsup://directions/FAT Viewer?action=UPDATE&amp;creator=factset&amp;DYN_ARGS=TRUE&amp;DOC_NAME=FAT:FQL_AUDITING_CLIENT_TEMPLATE.FAT&amp;display_string=Audit&amp;VAR:KEY=FELQRSRMZK&amp;VAR:QUERY=RkZfRUJJVERBX0lCKCdMVE1TJywzOTMyNyk=&amp;WINDOW=FIRST_POPUP&amp;HEIGHT=450&amp;WIDTH=450&amp;START_MA","XIMIZED=FALSE&amp;VAR:CALENDAR=US&amp;VAR:SYMBOL=04916420&amp;VAR:INDEX=0"}</definedName>
    <definedName name="_10042__FDSAUDITLINK__" hidden="1">{"fdsup://directions/FAT Viewer?action=UPDATE&amp;creator=factset&amp;DYN_ARGS=TRUE&amp;DOC_NAME=FAT:FQL_AUDITING_CLIENT_TEMPLATE.FAT&amp;display_string=Audit&amp;VAR:KEY=FELQRSRMZK&amp;VAR:QUERY=RkZfRUJJVERBX0lCKCdMVE1TJywzOTMyNyk=&amp;WINDOW=FIRST_POPUP&amp;HEIGHT=450&amp;WIDTH=450&amp;START_MA","XIMIZED=FALSE&amp;VAR:CALENDAR=US&amp;VAR:SYMBOL=04916420&amp;VAR:INDEX=0"}</definedName>
    <definedName name="_10043__FDSAUDITLINK__" localSheetId="6" hidden="1">{"fdsup://directions/FAT Viewer?action=UPDATE&amp;creator=factset&amp;DYN_ARGS=TRUE&amp;DOC_NAME=FAT:FQL_AUDITING_CLIENT_TEMPLATE.FAT&amp;display_string=Audit&amp;VAR:KEY=JUVERUZYPY&amp;VAR:QUERY=RkZfRUJJVERBX0lCKCdMVE1TJywzOTMyNik=&amp;WINDOW=FIRST_POPUP&amp;HEIGHT=450&amp;WIDTH=450&amp;START_MA","XIMIZED=FALSE&amp;VAR:CALENDAR=US&amp;VAR:SYMBOL=04916420&amp;VAR:INDEX=0"}</definedName>
    <definedName name="_10043__FDSAUDITLINK__" hidden="1">{"fdsup://directions/FAT Viewer?action=UPDATE&amp;creator=factset&amp;DYN_ARGS=TRUE&amp;DOC_NAME=FAT:FQL_AUDITING_CLIENT_TEMPLATE.FAT&amp;display_string=Audit&amp;VAR:KEY=JUVERUZYPY&amp;VAR:QUERY=RkZfRUJJVERBX0lCKCdMVE1TJywzOTMyNik=&amp;WINDOW=FIRST_POPUP&amp;HEIGHT=450&amp;WIDTH=450&amp;START_MA","XIMIZED=FALSE&amp;VAR:CALENDAR=US&amp;VAR:SYMBOL=04916420&amp;VAR:INDEX=0"}</definedName>
    <definedName name="_10044__FDSAUDITLINK__" localSheetId="6" hidden="1">{"fdsup://directions/FAT Viewer?action=UPDATE&amp;creator=factset&amp;DYN_ARGS=TRUE&amp;DOC_NAME=FAT:FQL_AUDITING_CLIENT_TEMPLATE.FAT&amp;display_string=Audit&amp;VAR:KEY=PMFUHGFSHA&amp;VAR:QUERY=RkZfRUJJVERBX0lCKCdMVE1TJywzOTMyNSk=&amp;WINDOW=FIRST_POPUP&amp;HEIGHT=450&amp;WIDTH=450&amp;START_MA","XIMIZED=FALSE&amp;VAR:CALENDAR=US&amp;VAR:SYMBOL=04916420&amp;VAR:INDEX=0"}</definedName>
    <definedName name="_10044__FDSAUDITLINK__" hidden="1">{"fdsup://directions/FAT Viewer?action=UPDATE&amp;creator=factset&amp;DYN_ARGS=TRUE&amp;DOC_NAME=FAT:FQL_AUDITING_CLIENT_TEMPLATE.FAT&amp;display_string=Audit&amp;VAR:KEY=PMFUHGFSHA&amp;VAR:QUERY=RkZfRUJJVERBX0lCKCdMVE1TJywzOTMyNSk=&amp;WINDOW=FIRST_POPUP&amp;HEIGHT=450&amp;WIDTH=450&amp;START_MA","XIMIZED=FALSE&amp;VAR:CALENDAR=US&amp;VAR:SYMBOL=04916420&amp;VAR:INDEX=0"}</definedName>
    <definedName name="_10045__FDSAUDITLINK__" localSheetId="6" hidden="1">{"fdsup://directions/FAT Viewer?action=UPDATE&amp;creator=factset&amp;DYN_ARGS=TRUE&amp;DOC_NAME=FAT:FQL_AUDITING_CLIENT_TEMPLATE.FAT&amp;display_string=Audit&amp;VAR:KEY=JIVUBYNQNC&amp;VAR:QUERY=RkZfRUJJVERBX0lCKCdMVE1TJywzOTMyNCk=&amp;WINDOW=FIRST_POPUP&amp;HEIGHT=450&amp;WIDTH=450&amp;START_MA","XIMIZED=FALSE&amp;VAR:CALENDAR=US&amp;VAR:SYMBOL=04916420&amp;VAR:INDEX=0"}</definedName>
    <definedName name="_10045__FDSAUDITLINK__" hidden="1">{"fdsup://directions/FAT Viewer?action=UPDATE&amp;creator=factset&amp;DYN_ARGS=TRUE&amp;DOC_NAME=FAT:FQL_AUDITING_CLIENT_TEMPLATE.FAT&amp;display_string=Audit&amp;VAR:KEY=JIVUBYNQNC&amp;VAR:QUERY=RkZfRUJJVERBX0lCKCdMVE1TJywzOTMyNCk=&amp;WINDOW=FIRST_POPUP&amp;HEIGHT=450&amp;WIDTH=450&amp;START_MA","XIMIZED=FALSE&amp;VAR:CALENDAR=US&amp;VAR:SYMBOL=04916420&amp;VAR:INDEX=0"}</definedName>
    <definedName name="_10046__FDSAUDITLINK__" localSheetId="6" hidden="1">{"fdsup://directions/FAT Viewer?action=UPDATE&amp;creator=factset&amp;DYN_ARGS=TRUE&amp;DOC_NAME=FAT:FQL_AUDITING_CLIENT_TEMPLATE.FAT&amp;display_string=Audit&amp;VAR:KEY=BIFWTOBWHY&amp;VAR:QUERY=RkZfRUJJVERBX0lCKCdMVE1TJywzOTMyMyk=&amp;WINDOW=FIRST_POPUP&amp;HEIGHT=450&amp;WIDTH=450&amp;START_MA","XIMIZED=FALSE&amp;VAR:CALENDAR=US&amp;VAR:SYMBOL=04916420&amp;VAR:INDEX=0"}</definedName>
    <definedName name="_10046__FDSAUDITLINK__" hidden="1">{"fdsup://directions/FAT Viewer?action=UPDATE&amp;creator=factset&amp;DYN_ARGS=TRUE&amp;DOC_NAME=FAT:FQL_AUDITING_CLIENT_TEMPLATE.FAT&amp;display_string=Audit&amp;VAR:KEY=BIFWTOBWHY&amp;VAR:QUERY=RkZfRUJJVERBX0lCKCdMVE1TJywzOTMyMyk=&amp;WINDOW=FIRST_POPUP&amp;HEIGHT=450&amp;WIDTH=450&amp;START_MA","XIMIZED=FALSE&amp;VAR:CALENDAR=US&amp;VAR:SYMBOL=04916420&amp;VAR:INDEX=0"}</definedName>
    <definedName name="_10047__FDSAUDITLINK__" localSheetId="6" hidden="1">{"fdsup://directions/FAT Viewer?action=UPDATE&amp;creator=factset&amp;DYN_ARGS=TRUE&amp;DOC_NAME=FAT:FQL_AUDITING_CLIENT_TEMPLATE.FAT&amp;display_string=Audit&amp;VAR:KEY=XEDGBCNOHM&amp;VAR:QUERY=RkZfRUJJVERBX0lCKCdMVE1TJywzOTMyMik=&amp;WINDOW=FIRST_POPUP&amp;HEIGHT=450&amp;WIDTH=450&amp;START_MA","XIMIZED=FALSE&amp;VAR:CALENDAR=US&amp;VAR:SYMBOL=04916420&amp;VAR:INDEX=0"}</definedName>
    <definedName name="_10047__FDSAUDITLINK__" hidden="1">{"fdsup://directions/FAT Viewer?action=UPDATE&amp;creator=factset&amp;DYN_ARGS=TRUE&amp;DOC_NAME=FAT:FQL_AUDITING_CLIENT_TEMPLATE.FAT&amp;display_string=Audit&amp;VAR:KEY=XEDGBCNOHM&amp;VAR:QUERY=RkZfRUJJVERBX0lCKCdMVE1TJywzOTMyMik=&amp;WINDOW=FIRST_POPUP&amp;HEIGHT=450&amp;WIDTH=450&amp;START_MA","XIMIZED=FALSE&amp;VAR:CALENDAR=US&amp;VAR:SYMBOL=04916420&amp;VAR:INDEX=0"}</definedName>
    <definedName name="_10048__FDSAUDITLINK__" localSheetId="6" hidden="1">{"fdsup://directions/FAT Viewer?action=UPDATE&amp;creator=factset&amp;DYN_ARGS=TRUE&amp;DOC_NAME=FAT:FQL_AUDITING_CLIENT_TEMPLATE.FAT&amp;display_string=Audit&amp;VAR:KEY=PINKROVIFY&amp;VAR:QUERY=RkZfRUJJVERBX0lCKCdMVE1TJywzOTMyMSk=&amp;WINDOW=FIRST_POPUP&amp;HEIGHT=450&amp;WIDTH=450&amp;START_MA","XIMIZED=FALSE&amp;VAR:CALENDAR=US&amp;VAR:SYMBOL=04916420&amp;VAR:INDEX=0"}</definedName>
    <definedName name="_10048__FDSAUDITLINK__" hidden="1">{"fdsup://directions/FAT Viewer?action=UPDATE&amp;creator=factset&amp;DYN_ARGS=TRUE&amp;DOC_NAME=FAT:FQL_AUDITING_CLIENT_TEMPLATE.FAT&amp;display_string=Audit&amp;VAR:KEY=PINKROVIFY&amp;VAR:QUERY=RkZfRUJJVERBX0lCKCdMVE1TJywzOTMyMSk=&amp;WINDOW=FIRST_POPUP&amp;HEIGHT=450&amp;WIDTH=450&amp;START_MA","XIMIZED=FALSE&amp;VAR:CALENDAR=US&amp;VAR:SYMBOL=04916420&amp;VAR:INDEX=0"}</definedName>
    <definedName name="_10049__FDSAUDITLINK__" localSheetId="6" hidden="1">{"fdsup://directions/FAT Viewer?action=UPDATE&amp;creator=factset&amp;DYN_ARGS=TRUE&amp;DOC_NAME=FAT:FQL_AUDITING_CLIENT_TEMPLATE.FAT&amp;display_string=Audit&amp;VAR:KEY=FIZGFUFQVS&amp;VAR:QUERY=RkZfRUJJVERBX0lCKCdMVE1TJywzOTMyMCk=&amp;WINDOW=FIRST_POPUP&amp;HEIGHT=450&amp;WIDTH=450&amp;START_MA","XIMIZED=FALSE&amp;VAR:CALENDAR=US&amp;VAR:SYMBOL=04916420&amp;VAR:INDEX=0"}</definedName>
    <definedName name="_10049__FDSAUDITLINK__" hidden="1">{"fdsup://directions/FAT Viewer?action=UPDATE&amp;creator=factset&amp;DYN_ARGS=TRUE&amp;DOC_NAME=FAT:FQL_AUDITING_CLIENT_TEMPLATE.FAT&amp;display_string=Audit&amp;VAR:KEY=FIZGFUFQVS&amp;VAR:QUERY=RkZfRUJJVERBX0lCKCdMVE1TJywzOTMyMCk=&amp;WINDOW=FIRST_POPUP&amp;HEIGHT=450&amp;WIDTH=450&amp;START_MA","XIMIZED=FALSE&amp;VAR:CALENDAR=US&amp;VAR:SYMBOL=04916420&amp;VAR:INDEX=0"}</definedName>
    <definedName name="_1005__FDSAUDITLINK__" localSheetId="6" hidden="1">{"fdsup://directions/FAT%20Viewer?VAR:PED=LTM&amp;VAR:AUDIT_MODE=SUMMARY&amp;VAR:PERIOD=FIXED&amp;VAR:AUDIT_ID=00000117&amp;VAR:DATE=20070523&amp;action=UPDATE&amp;creator=factset&amp;DOC_NAME=FAT:FMA_audit_SUMMARY.fat&amp;DISPLAY_STRING=Display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5__FDSAUDITLINK__" hidden="1">{"fdsup://directions/FAT%20Viewer?VAR:PED=LTM&amp;VAR:AUDIT_MODE=SUMMARY&amp;VAR:PERIOD=FIXED&amp;VAR:AUDIT_ID=00000117&amp;VAR:DATE=20070523&amp;action=UPDATE&amp;creator=factset&amp;DOC_NAME=FAT:FMA_audit_SUMMARY.fat&amp;DISPLAY_STRING=Display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50__FDSAUDITLINK__" localSheetId="6" hidden="1">{"fdsup://directions/FAT Viewer?action=UPDATE&amp;creator=factset&amp;DYN_ARGS=TRUE&amp;DOC_NAME=FAT:FQL_AUDITING_CLIENT_TEMPLATE.FAT&amp;display_string=Audit&amp;VAR:KEY=VKZUDYHGTQ&amp;VAR:QUERY=RkZfRUJJVERBX0lCKCdMVE1TJywzOTMxOSk=&amp;WINDOW=FIRST_POPUP&amp;HEIGHT=450&amp;WIDTH=450&amp;START_MA","XIMIZED=FALSE&amp;VAR:CALENDAR=US&amp;VAR:SYMBOL=04916420&amp;VAR:INDEX=0"}</definedName>
    <definedName name="_10050__FDSAUDITLINK__" hidden="1">{"fdsup://directions/FAT Viewer?action=UPDATE&amp;creator=factset&amp;DYN_ARGS=TRUE&amp;DOC_NAME=FAT:FQL_AUDITING_CLIENT_TEMPLATE.FAT&amp;display_string=Audit&amp;VAR:KEY=VKZUDYHGTQ&amp;VAR:QUERY=RkZfRUJJVERBX0lCKCdMVE1TJywzOTMxOSk=&amp;WINDOW=FIRST_POPUP&amp;HEIGHT=450&amp;WIDTH=450&amp;START_MA","XIMIZED=FALSE&amp;VAR:CALENDAR=US&amp;VAR:SYMBOL=04916420&amp;VAR:INDEX=0"}</definedName>
    <definedName name="_10051__FDSAUDITLINK__" localSheetId="6" hidden="1">{"fdsup://directions/FAT Viewer?action=UPDATE&amp;creator=factset&amp;DYN_ARGS=TRUE&amp;DOC_NAME=FAT:FQL_AUDITING_CLIENT_TEMPLATE.FAT&amp;display_string=Audit&amp;VAR:KEY=PSVMFELIHW&amp;VAR:QUERY=RkZfRUJJVERBX0lCKCdMVE1TJywzOTMxOCk=&amp;WINDOW=FIRST_POPUP&amp;HEIGHT=450&amp;WIDTH=450&amp;START_MA","XIMIZED=FALSE&amp;VAR:CALENDAR=US&amp;VAR:SYMBOL=04916420&amp;VAR:INDEX=0"}</definedName>
    <definedName name="_10051__FDSAUDITLINK__" hidden="1">{"fdsup://directions/FAT Viewer?action=UPDATE&amp;creator=factset&amp;DYN_ARGS=TRUE&amp;DOC_NAME=FAT:FQL_AUDITING_CLIENT_TEMPLATE.FAT&amp;display_string=Audit&amp;VAR:KEY=PSVMFELIHW&amp;VAR:QUERY=RkZfRUJJVERBX0lCKCdMVE1TJywzOTMxOCk=&amp;WINDOW=FIRST_POPUP&amp;HEIGHT=450&amp;WIDTH=450&amp;START_MA","XIMIZED=FALSE&amp;VAR:CALENDAR=US&amp;VAR:SYMBOL=04916420&amp;VAR:INDEX=0"}</definedName>
    <definedName name="_10052__FDSAUDITLINK__" localSheetId="6" hidden="1">{"fdsup://directions/FAT Viewer?action=UPDATE&amp;creator=factset&amp;DYN_ARGS=TRUE&amp;DOC_NAME=FAT:FQL_AUDITING_CLIENT_TEMPLATE.FAT&amp;display_string=Audit&amp;VAR:KEY=HUPWBIPCZI&amp;VAR:QUERY=RkZfRUJJVERBX0lCKCdMVE1TJywzOTMxNyk=&amp;WINDOW=FIRST_POPUP&amp;HEIGHT=450&amp;WIDTH=450&amp;START_MA","XIMIZED=FALSE&amp;VAR:CALENDAR=US&amp;VAR:SYMBOL=04916420&amp;VAR:INDEX=0"}</definedName>
    <definedName name="_10052__FDSAUDITLINK__" hidden="1">{"fdsup://directions/FAT Viewer?action=UPDATE&amp;creator=factset&amp;DYN_ARGS=TRUE&amp;DOC_NAME=FAT:FQL_AUDITING_CLIENT_TEMPLATE.FAT&amp;display_string=Audit&amp;VAR:KEY=HUPWBIPCZI&amp;VAR:QUERY=RkZfRUJJVERBX0lCKCdMVE1TJywzOTMxNyk=&amp;WINDOW=FIRST_POPUP&amp;HEIGHT=450&amp;WIDTH=450&amp;START_MA","XIMIZED=FALSE&amp;VAR:CALENDAR=US&amp;VAR:SYMBOL=04916420&amp;VAR:INDEX=0"}</definedName>
    <definedName name="_10053__FDSAUDITLINK__" localSheetId="6" hidden="1">{"fdsup://directions/FAT Viewer?action=UPDATE&amp;creator=factset&amp;DYN_ARGS=TRUE&amp;DOC_NAME=FAT:FQL_AUDITING_CLIENT_TEMPLATE.FAT&amp;display_string=Audit&amp;VAR:KEY=BQDEXQZYXU&amp;VAR:QUERY=RkZfRUJJVERBX0lCKCdMVE1TJywzOTMxNik=&amp;WINDOW=FIRST_POPUP&amp;HEIGHT=450&amp;WIDTH=450&amp;START_MA","XIMIZED=FALSE&amp;VAR:CALENDAR=US&amp;VAR:SYMBOL=04916420&amp;VAR:INDEX=0"}</definedName>
    <definedName name="_10053__FDSAUDITLINK__" hidden="1">{"fdsup://directions/FAT Viewer?action=UPDATE&amp;creator=factset&amp;DYN_ARGS=TRUE&amp;DOC_NAME=FAT:FQL_AUDITING_CLIENT_TEMPLATE.FAT&amp;display_string=Audit&amp;VAR:KEY=BQDEXQZYXU&amp;VAR:QUERY=RkZfRUJJVERBX0lCKCdMVE1TJywzOTMxNik=&amp;WINDOW=FIRST_POPUP&amp;HEIGHT=450&amp;WIDTH=450&amp;START_MA","XIMIZED=FALSE&amp;VAR:CALENDAR=US&amp;VAR:SYMBOL=04916420&amp;VAR:INDEX=0"}</definedName>
    <definedName name="_10054__FDSAUDITLINK__" localSheetId="6" hidden="1">{"fdsup://directions/FAT Viewer?action=UPDATE&amp;creator=factset&amp;DYN_ARGS=TRUE&amp;DOC_NAME=FAT:FQL_AUDITING_CLIENT_TEMPLATE.FAT&amp;display_string=Audit&amp;VAR:KEY=RUBQNMVAPO&amp;VAR:QUERY=RkZfRUJJVERBX0lCKCdMVE1TJywzOTMxNSk=&amp;WINDOW=FIRST_POPUP&amp;HEIGHT=450&amp;WIDTH=450&amp;START_MA","XIMIZED=FALSE&amp;VAR:CALENDAR=US&amp;VAR:SYMBOL=04916420&amp;VAR:INDEX=0"}</definedName>
    <definedName name="_10054__FDSAUDITLINK__" hidden="1">{"fdsup://directions/FAT Viewer?action=UPDATE&amp;creator=factset&amp;DYN_ARGS=TRUE&amp;DOC_NAME=FAT:FQL_AUDITING_CLIENT_TEMPLATE.FAT&amp;display_string=Audit&amp;VAR:KEY=RUBQNMVAPO&amp;VAR:QUERY=RkZfRUJJVERBX0lCKCdMVE1TJywzOTMxNSk=&amp;WINDOW=FIRST_POPUP&amp;HEIGHT=450&amp;WIDTH=450&amp;START_MA","XIMIZED=FALSE&amp;VAR:CALENDAR=US&amp;VAR:SYMBOL=04916420&amp;VAR:INDEX=0"}</definedName>
    <definedName name="_10055__FDSAUDITLINK__" localSheetId="6" hidden="1">{"fdsup://directions/FAT Viewer?action=UPDATE&amp;creator=factset&amp;DYN_ARGS=TRUE&amp;DOC_NAME=FAT:FQL_AUDITING_CLIENT_TEMPLATE.FAT&amp;display_string=Audit&amp;VAR:KEY=DINUTKPEDG&amp;VAR:QUERY=RkZfRUJJVERBX0lCKCdMVE1TJywzOTMxNCk=&amp;WINDOW=FIRST_POPUP&amp;HEIGHT=450&amp;WIDTH=450&amp;START_MA","XIMIZED=FALSE&amp;VAR:CALENDAR=US&amp;VAR:SYMBOL=04916420&amp;VAR:INDEX=0"}</definedName>
    <definedName name="_10055__FDSAUDITLINK__" hidden="1">{"fdsup://directions/FAT Viewer?action=UPDATE&amp;creator=factset&amp;DYN_ARGS=TRUE&amp;DOC_NAME=FAT:FQL_AUDITING_CLIENT_TEMPLATE.FAT&amp;display_string=Audit&amp;VAR:KEY=DINUTKPEDG&amp;VAR:QUERY=RkZfRUJJVERBX0lCKCdMVE1TJywzOTMxNCk=&amp;WINDOW=FIRST_POPUP&amp;HEIGHT=450&amp;WIDTH=450&amp;START_MA","XIMIZED=FALSE&amp;VAR:CALENDAR=US&amp;VAR:SYMBOL=04916420&amp;VAR:INDEX=0"}</definedName>
    <definedName name="_10056__FDSAUDITLINK__" localSheetId="6" hidden="1">{"fdsup://directions/FAT Viewer?action=UPDATE&amp;creator=factset&amp;DYN_ARGS=TRUE&amp;DOC_NAME=FAT:FQL_AUDITING_CLIENT_TEMPLATE.FAT&amp;display_string=Audit&amp;VAR:KEY=XOTMBARMVA&amp;VAR:QUERY=RkZfRUJJVERBX0lCKCdMVE1TJywzOTMxMyk=&amp;WINDOW=FIRST_POPUP&amp;HEIGHT=450&amp;WIDTH=450&amp;START_MA","XIMIZED=FALSE&amp;VAR:CALENDAR=US&amp;VAR:SYMBOL=04916420&amp;VAR:INDEX=0"}</definedName>
    <definedName name="_10056__FDSAUDITLINK__" hidden="1">{"fdsup://directions/FAT Viewer?action=UPDATE&amp;creator=factset&amp;DYN_ARGS=TRUE&amp;DOC_NAME=FAT:FQL_AUDITING_CLIENT_TEMPLATE.FAT&amp;display_string=Audit&amp;VAR:KEY=XOTMBARMVA&amp;VAR:QUERY=RkZfRUJJVERBX0lCKCdMVE1TJywzOTMxMyk=&amp;WINDOW=FIRST_POPUP&amp;HEIGHT=450&amp;WIDTH=450&amp;START_MA","XIMIZED=FALSE&amp;VAR:CALENDAR=US&amp;VAR:SYMBOL=04916420&amp;VAR:INDEX=0"}</definedName>
    <definedName name="_10057__FDSAUDITLINK__" localSheetId="6" hidden="1">{"fdsup://directions/FAT Viewer?action=UPDATE&amp;creator=factset&amp;DYN_ARGS=TRUE&amp;DOC_NAME=FAT:FQL_AUDITING_CLIENT_TEMPLATE.FAT&amp;display_string=Audit&amp;VAR:KEY=LODWLOREPE&amp;VAR:QUERY=RkZfRUJJVERBX0lCKCdMVE1TJywzOTMxMik=&amp;WINDOW=FIRST_POPUP&amp;HEIGHT=450&amp;WIDTH=450&amp;START_MA","XIMIZED=FALSE&amp;VAR:CALENDAR=US&amp;VAR:SYMBOL=04916420&amp;VAR:INDEX=0"}</definedName>
    <definedName name="_10057__FDSAUDITLINK__" hidden="1">{"fdsup://directions/FAT Viewer?action=UPDATE&amp;creator=factset&amp;DYN_ARGS=TRUE&amp;DOC_NAME=FAT:FQL_AUDITING_CLIENT_TEMPLATE.FAT&amp;display_string=Audit&amp;VAR:KEY=LODWLOREPE&amp;VAR:QUERY=RkZfRUJJVERBX0lCKCdMVE1TJywzOTMxMik=&amp;WINDOW=FIRST_POPUP&amp;HEIGHT=450&amp;WIDTH=450&amp;START_MA","XIMIZED=FALSE&amp;VAR:CALENDAR=US&amp;VAR:SYMBOL=04916420&amp;VAR:INDEX=0"}</definedName>
    <definedName name="_10058__FDSAUDITLINK__" localSheetId="6" hidden="1">{"fdsup://directions/FAT Viewer?action=UPDATE&amp;creator=factset&amp;DYN_ARGS=TRUE&amp;DOC_NAME=FAT:FQL_AUDITING_CLIENT_TEMPLATE.FAT&amp;display_string=Audit&amp;VAR:KEY=NCVUNUDWJY&amp;VAR:QUERY=RkZfRUJJVERBX0lCKCdMVE1TJywzOTMxMSk=&amp;WINDOW=FIRST_POPUP&amp;HEIGHT=450&amp;WIDTH=450&amp;START_MA","XIMIZED=FALSE&amp;VAR:CALENDAR=US&amp;VAR:SYMBOL=04916420&amp;VAR:INDEX=0"}</definedName>
    <definedName name="_10058__FDSAUDITLINK__" hidden="1">{"fdsup://directions/FAT Viewer?action=UPDATE&amp;creator=factset&amp;DYN_ARGS=TRUE&amp;DOC_NAME=FAT:FQL_AUDITING_CLIENT_TEMPLATE.FAT&amp;display_string=Audit&amp;VAR:KEY=NCVUNUDWJY&amp;VAR:QUERY=RkZfRUJJVERBX0lCKCdMVE1TJywzOTMxMSk=&amp;WINDOW=FIRST_POPUP&amp;HEIGHT=450&amp;WIDTH=450&amp;START_MA","XIMIZED=FALSE&amp;VAR:CALENDAR=US&amp;VAR:SYMBOL=04916420&amp;VAR:INDEX=0"}</definedName>
    <definedName name="_10059__FDSAUDITLINK__" localSheetId="6" hidden="1">{"fdsup://directions/FAT Viewer?action=UPDATE&amp;creator=factset&amp;DYN_ARGS=TRUE&amp;DOC_NAME=FAT:FQL_AUDITING_CLIENT_TEMPLATE.FAT&amp;display_string=Audit&amp;VAR:KEY=ROPEHGRWFW&amp;VAR:QUERY=RkZfRUJJVERBX0lCKCdMVE1TJywzOTMxMCk=&amp;WINDOW=FIRST_POPUP&amp;HEIGHT=450&amp;WIDTH=450&amp;START_MA","XIMIZED=FALSE&amp;VAR:CALENDAR=US&amp;VAR:SYMBOL=04916420&amp;VAR:INDEX=0"}</definedName>
    <definedName name="_10059__FDSAUDITLINK__" hidden="1">{"fdsup://directions/FAT Viewer?action=UPDATE&amp;creator=factset&amp;DYN_ARGS=TRUE&amp;DOC_NAME=FAT:FQL_AUDITING_CLIENT_TEMPLATE.FAT&amp;display_string=Audit&amp;VAR:KEY=ROPEHGRWFW&amp;VAR:QUERY=RkZfRUJJVERBX0lCKCdMVE1TJywzOTMxMCk=&amp;WINDOW=FIRST_POPUP&amp;HEIGHT=450&amp;WIDTH=450&amp;START_MA","XIMIZED=FALSE&amp;VAR:CALENDAR=US&amp;VAR:SYMBOL=04916420&amp;VAR:INDEX=0"}</definedName>
    <definedName name="_1006__FDSAUDITLINK__" localSheetId="6" hidden="1">{"fdsup://directions/FAT%20Viewer?VAR:PED=LTM&amp;VAR:AUDIT_MODE=SUMMARY&amp;VAR:PERIOD=FIXED&amp;VAR:AUDIT_ID=00000117&amp;VAR:DATE=20070522&amp;action=UPDATE&amp;creator=factset&amp;DOC_NAME=FAT:FMA_audit_SUMMARY.fat&amp;DISPLAY_STRING=Display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6__FDSAUDITLINK__" hidden="1">{"fdsup://directions/FAT%20Viewer?VAR:PED=LTM&amp;VAR:AUDIT_MODE=SUMMARY&amp;VAR:PERIOD=FIXED&amp;VAR:AUDIT_ID=00000117&amp;VAR:DATE=20070522&amp;action=UPDATE&amp;creator=factset&amp;DOC_NAME=FAT:FMA_audit_SUMMARY.fat&amp;DISPLAY_STRING=Display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60__FDSAUDITLINK__" localSheetId="6" hidden="1">{"fdsup://directions/FAT Viewer?action=UPDATE&amp;creator=factset&amp;DYN_ARGS=TRUE&amp;DOC_NAME=FAT:FQL_AUDITING_CLIENT_TEMPLATE.FAT&amp;display_string=Audit&amp;VAR:KEY=BQLKPAXIXQ&amp;VAR:QUERY=RkZfRUJJVERBX0lCKCdMVE1TJywzOTMwOSk=&amp;WINDOW=FIRST_POPUP&amp;HEIGHT=450&amp;WIDTH=450&amp;START_MA","XIMIZED=FALSE&amp;VAR:CALENDAR=US&amp;VAR:SYMBOL=04916420&amp;VAR:INDEX=0"}</definedName>
    <definedName name="_10060__FDSAUDITLINK__" hidden="1">{"fdsup://directions/FAT Viewer?action=UPDATE&amp;creator=factset&amp;DYN_ARGS=TRUE&amp;DOC_NAME=FAT:FQL_AUDITING_CLIENT_TEMPLATE.FAT&amp;display_string=Audit&amp;VAR:KEY=BQLKPAXIXQ&amp;VAR:QUERY=RkZfRUJJVERBX0lCKCdMVE1TJywzOTMwOSk=&amp;WINDOW=FIRST_POPUP&amp;HEIGHT=450&amp;WIDTH=450&amp;START_MA","XIMIZED=FALSE&amp;VAR:CALENDAR=US&amp;VAR:SYMBOL=04916420&amp;VAR:INDEX=0"}</definedName>
    <definedName name="_10061__FDSAUDITLINK__" localSheetId="6" hidden="1">{"fdsup://directions/FAT Viewer?action=UPDATE&amp;creator=factset&amp;DYN_ARGS=TRUE&amp;DOC_NAME=FAT:FQL_AUDITING_CLIENT_TEMPLATE.FAT&amp;display_string=Audit&amp;VAR:KEY=RYJALQTCTE&amp;VAR:QUERY=RkZfRUJJVERBX0lCKCdMVE1TJywzOTMwOCk=&amp;WINDOW=FIRST_POPUP&amp;HEIGHT=450&amp;WIDTH=450&amp;START_MA","XIMIZED=FALSE&amp;VAR:CALENDAR=US&amp;VAR:SYMBOL=04916420&amp;VAR:INDEX=0"}</definedName>
    <definedName name="_10061__FDSAUDITLINK__" hidden="1">{"fdsup://directions/FAT Viewer?action=UPDATE&amp;creator=factset&amp;DYN_ARGS=TRUE&amp;DOC_NAME=FAT:FQL_AUDITING_CLIENT_TEMPLATE.FAT&amp;display_string=Audit&amp;VAR:KEY=RYJALQTCTE&amp;VAR:QUERY=RkZfRUJJVERBX0lCKCdMVE1TJywzOTMwOCk=&amp;WINDOW=FIRST_POPUP&amp;HEIGHT=450&amp;WIDTH=450&amp;START_MA","XIMIZED=FALSE&amp;VAR:CALENDAR=US&amp;VAR:SYMBOL=04916420&amp;VAR:INDEX=0"}</definedName>
    <definedName name="_10062__FDSAUDITLINK__" localSheetId="6" hidden="1">{"fdsup://directions/FAT Viewer?action=UPDATE&amp;creator=factset&amp;DYN_ARGS=TRUE&amp;DOC_NAME=FAT:FQL_AUDITING_CLIENT_TEMPLATE.FAT&amp;display_string=Audit&amp;VAR:KEY=LUNQZIPELU&amp;VAR:QUERY=RkZfRUJJVERBX0lCKCdMVE1TJywzOTMwNyk=&amp;WINDOW=FIRST_POPUP&amp;HEIGHT=450&amp;WIDTH=450&amp;START_MA","XIMIZED=FALSE&amp;VAR:CALENDAR=US&amp;VAR:SYMBOL=04916420&amp;VAR:INDEX=0"}</definedName>
    <definedName name="_10062__FDSAUDITLINK__" hidden="1">{"fdsup://directions/FAT Viewer?action=UPDATE&amp;creator=factset&amp;DYN_ARGS=TRUE&amp;DOC_NAME=FAT:FQL_AUDITING_CLIENT_TEMPLATE.FAT&amp;display_string=Audit&amp;VAR:KEY=LUNQZIPELU&amp;VAR:QUERY=RkZfRUJJVERBX0lCKCdMVE1TJywzOTMwNyk=&amp;WINDOW=FIRST_POPUP&amp;HEIGHT=450&amp;WIDTH=450&amp;START_MA","XIMIZED=FALSE&amp;VAR:CALENDAR=US&amp;VAR:SYMBOL=04916420&amp;VAR:INDEX=0"}</definedName>
    <definedName name="_10063__FDSAUDITLINK__" localSheetId="6" hidden="1">{"fdsup://directions/FAT Viewer?action=UPDATE&amp;creator=factset&amp;DYN_ARGS=TRUE&amp;DOC_NAME=FAT:FQL_AUDITING_CLIENT_TEMPLATE.FAT&amp;display_string=Audit&amp;VAR:KEY=TAPIJKZMLC&amp;VAR:QUERY=RkZfRUJJVERBX0lCKCdMVE1TJywzOTMwNik=&amp;WINDOW=FIRST_POPUP&amp;HEIGHT=450&amp;WIDTH=450&amp;START_MA","XIMIZED=FALSE&amp;VAR:CALENDAR=US&amp;VAR:SYMBOL=04916420&amp;VAR:INDEX=0"}</definedName>
    <definedName name="_10063__FDSAUDITLINK__" hidden="1">{"fdsup://directions/FAT Viewer?action=UPDATE&amp;creator=factset&amp;DYN_ARGS=TRUE&amp;DOC_NAME=FAT:FQL_AUDITING_CLIENT_TEMPLATE.FAT&amp;display_string=Audit&amp;VAR:KEY=TAPIJKZMLC&amp;VAR:QUERY=RkZfRUJJVERBX0lCKCdMVE1TJywzOTMwNik=&amp;WINDOW=FIRST_POPUP&amp;HEIGHT=450&amp;WIDTH=450&amp;START_MA","XIMIZED=FALSE&amp;VAR:CALENDAR=US&amp;VAR:SYMBOL=04916420&amp;VAR:INDEX=0"}</definedName>
    <definedName name="_10064__FDSAUDITLINK__" localSheetId="6" hidden="1">{"fdsup://directions/FAT Viewer?action=UPDATE&amp;creator=factset&amp;DYN_ARGS=TRUE&amp;DOC_NAME=FAT:FQL_AUDITING_CLIENT_TEMPLATE.FAT&amp;display_string=Audit&amp;VAR:KEY=DIFIHIJUDK&amp;VAR:QUERY=RkZfRUJJVERBX0lCKCdMVE1TJywzOTMwNSk=&amp;WINDOW=FIRST_POPUP&amp;HEIGHT=450&amp;WIDTH=450&amp;START_MA","XIMIZED=FALSE&amp;VAR:CALENDAR=US&amp;VAR:SYMBOL=04916420&amp;VAR:INDEX=0"}</definedName>
    <definedName name="_10064__FDSAUDITLINK__" hidden="1">{"fdsup://directions/FAT Viewer?action=UPDATE&amp;creator=factset&amp;DYN_ARGS=TRUE&amp;DOC_NAME=FAT:FQL_AUDITING_CLIENT_TEMPLATE.FAT&amp;display_string=Audit&amp;VAR:KEY=DIFIHIJUDK&amp;VAR:QUERY=RkZfRUJJVERBX0lCKCdMVE1TJywzOTMwNSk=&amp;WINDOW=FIRST_POPUP&amp;HEIGHT=450&amp;WIDTH=450&amp;START_MA","XIMIZED=FALSE&amp;VAR:CALENDAR=US&amp;VAR:SYMBOL=04916420&amp;VAR:INDEX=0"}</definedName>
    <definedName name="_10065__FDSAUDITLINK__" localSheetId="6" hidden="1">{"fdsup://directions/FAT Viewer?action=UPDATE&amp;creator=factset&amp;DYN_ARGS=TRUE&amp;DOC_NAME=FAT:FQL_AUDITING_CLIENT_TEMPLATE.FAT&amp;display_string=Audit&amp;VAR:KEY=RERSHYJILE&amp;VAR:QUERY=RkZfRUJJVERBX0lCKCdMVE1TJywzOTMwNCk=&amp;WINDOW=FIRST_POPUP&amp;HEIGHT=450&amp;WIDTH=450&amp;START_MA","XIMIZED=FALSE&amp;VAR:CALENDAR=US&amp;VAR:SYMBOL=04916420&amp;VAR:INDEX=0"}</definedName>
    <definedName name="_10065__FDSAUDITLINK__" hidden="1">{"fdsup://directions/FAT Viewer?action=UPDATE&amp;creator=factset&amp;DYN_ARGS=TRUE&amp;DOC_NAME=FAT:FQL_AUDITING_CLIENT_TEMPLATE.FAT&amp;display_string=Audit&amp;VAR:KEY=RERSHYJILE&amp;VAR:QUERY=RkZfRUJJVERBX0lCKCdMVE1TJywzOTMwNCk=&amp;WINDOW=FIRST_POPUP&amp;HEIGHT=450&amp;WIDTH=450&amp;START_MA","XIMIZED=FALSE&amp;VAR:CALENDAR=US&amp;VAR:SYMBOL=04916420&amp;VAR:INDEX=0"}</definedName>
    <definedName name="_10066__FDSAUDITLINK__" localSheetId="6" hidden="1">{"fdsup://directions/FAT Viewer?action=UPDATE&amp;creator=factset&amp;DYN_ARGS=TRUE&amp;DOC_NAME=FAT:FQL_AUDITING_CLIENT_TEMPLATE.FAT&amp;display_string=Audit&amp;VAR:KEY=XMBAXMZGXW&amp;VAR:QUERY=RkZfRUJJVERBX0lCKCdMVE1TJywzOTMwMyk=&amp;WINDOW=FIRST_POPUP&amp;HEIGHT=450&amp;WIDTH=450&amp;START_MA","XIMIZED=FALSE&amp;VAR:CALENDAR=US&amp;VAR:SYMBOL=04916420&amp;VAR:INDEX=0"}</definedName>
    <definedName name="_10066__FDSAUDITLINK__" hidden="1">{"fdsup://directions/FAT Viewer?action=UPDATE&amp;creator=factset&amp;DYN_ARGS=TRUE&amp;DOC_NAME=FAT:FQL_AUDITING_CLIENT_TEMPLATE.FAT&amp;display_string=Audit&amp;VAR:KEY=XMBAXMZGXW&amp;VAR:QUERY=RkZfRUJJVERBX0lCKCdMVE1TJywzOTMwMyk=&amp;WINDOW=FIRST_POPUP&amp;HEIGHT=450&amp;WIDTH=450&amp;START_MA","XIMIZED=FALSE&amp;VAR:CALENDAR=US&amp;VAR:SYMBOL=04916420&amp;VAR:INDEX=0"}</definedName>
    <definedName name="_10067__FDSAUDITLINK__" localSheetId="6" hidden="1">{"fdsup://directions/FAT Viewer?action=UPDATE&amp;creator=factset&amp;DYN_ARGS=TRUE&amp;DOC_NAME=FAT:FQL_AUDITING_CLIENT_TEMPLATE.FAT&amp;display_string=Audit&amp;VAR:KEY=POFAJUFOZS&amp;VAR:QUERY=RkZfRUJJVERBX0lCKCdMVE1TJywzOTMwMik=&amp;WINDOW=FIRST_POPUP&amp;HEIGHT=450&amp;WIDTH=450&amp;START_MA","XIMIZED=FALSE&amp;VAR:CALENDAR=US&amp;VAR:SYMBOL=04916420&amp;VAR:INDEX=0"}</definedName>
    <definedName name="_10067__FDSAUDITLINK__" hidden="1">{"fdsup://directions/FAT Viewer?action=UPDATE&amp;creator=factset&amp;DYN_ARGS=TRUE&amp;DOC_NAME=FAT:FQL_AUDITING_CLIENT_TEMPLATE.FAT&amp;display_string=Audit&amp;VAR:KEY=POFAJUFOZS&amp;VAR:QUERY=RkZfRUJJVERBX0lCKCdMVE1TJywzOTMwMik=&amp;WINDOW=FIRST_POPUP&amp;HEIGHT=450&amp;WIDTH=450&amp;START_MA","XIMIZED=FALSE&amp;VAR:CALENDAR=US&amp;VAR:SYMBOL=04916420&amp;VAR:INDEX=0"}</definedName>
    <definedName name="_10068__FDSAUDITLINK__" localSheetId="6" hidden="1">{"fdsup://directions/FAT Viewer?action=UPDATE&amp;creator=factset&amp;DYN_ARGS=TRUE&amp;DOC_NAME=FAT:FQL_AUDITING_CLIENT_TEMPLATE.FAT&amp;display_string=Audit&amp;VAR:KEY=XYLCNMZSFM&amp;VAR:QUERY=RkZfRUJJVERBX0lCKCdMVE1TJywzOTMwMSk=&amp;WINDOW=FIRST_POPUP&amp;HEIGHT=450&amp;WIDTH=450&amp;START_MA","XIMIZED=FALSE&amp;VAR:CALENDAR=US&amp;VAR:SYMBOL=04916420&amp;VAR:INDEX=0"}</definedName>
    <definedName name="_10068__FDSAUDITLINK__" hidden="1">{"fdsup://directions/FAT Viewer?action=UPDATE&amp;creator=factset&amp;DYN_ARGS=TRUE&amp;DOC_NAME=FAT:FQL_AUDITING_CLIENT_TEMPLATE.FAT&amp;display_string=Audit&amp;VAR:KEY=XYLCNMZSFM&amp;VAR:QUERY=RkZfRUJJVERBX0lCKCdMVE1TJywzOTMwMSk=&amp;WINDOW=FIRST_POPUP&amp;HEIGHT=450&amp;WIDTH=450&amp;START_MA","XIMIZED=FALSE&amp;VAR:CALENDAR=US&amp;VAR:SYMBOL=04916420&amp;VAR:INDEX=0"}</definedName>
    <definedName name="_10069__FDSAUDITLINK__" localSheetId="6" hidden="1">{"fdsup://directions/FAT Viewer?action=UPDATE&amp;creator=factset&amp;DYN_ARGS=TRUE&amp;DOC_NAME=FAT:FQL_AUDITING_CLIENT_TEMPLATE.FAT&amp;display_string=Audit&amp;VAR:KEY=TANCFEPEPK&amp;VAR:QUERY=RkZfRUJJVERBX0lCKCdMVE1TJywzOTMwMCk=&amp;WINDOW=FIRST_POPUP&amp;HEIGHT=450&amp;WIDTH=450&amp;START_MA","XIMIZED=FALSE&amp;VAR:CALENDAR=US&amp;VAR:SYMBOL=04916420&amp;VAR:INDEX=0"}</definedName>
    <definedName name="_10069__FDSAUDITLINK__" hidden="1">{"fdsup://directions/FAT Viewer?action=UPDATE&amp;creator=factset&amp;DYN_ARGS=TRUE&amp;DOC_NAME=FAT:FQL_AUDITING_CLIENT_TEMPLATE.FAT&amp;display_string=Audit&amp;VAR:KEY=TANCFEPEPK&amp;VAR:QUERY=RkZfRUJJVERBX0lCKCdMVE1TJywzOTMwMCk=&amp;WINDOW=FIRST_POPUP&amp;HEIGHT=450&amp;WIDTH=450&amp;START_MA","XIMIZED=FALSE&amp;VAR:CALENDAR=US&amp;VAR:SYMBOL=04916420&amp;VAR:INDEX=0"}</definedName>
    <definedName name="_1007__FDSAUDITLINK__" localSheetId="6" hidden="1">{"fdsup://directions/FAT%20Viewer?VAR:PED=LTM&amp;VAR:AUDIT_MODE=SUMMARY&amp;VAR:PERIOD=FIXED&amp;VAR:AUDIT_ID=00000117&amp;VAR:DATE=20070521&amp;action=UPDATE&amp;creator=factset&amp;DOC_NAME=FAT:FMA_audit_SUMMARY.fat&amp;DISPLAY_STRING=Display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7__FDSAUDITLINK__" hidden="1">{"fdsup://directions/FAT%20Viewer?VAR:PED=LTM&amp;VAR:AUDIT_MODE=SUMMARY&amp;VAR:PERIOD=FIXED&amp;VAR:AUDIT_ID=00000117&amp;VAR:DATE=20070521&amp;action=UPDATE&amp;creator=factset&amp;DOC_NAME=FAT:FMA_audit_SUMMARY.fat&amp;DISPLAY_STRING=Display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70__FDSAUDITLINK__" localSheetId="6" hidden="1">{"fdsup://directions/FAT Viewer?action=UPDATE&amp;creator=factset&amp;DYN_ARGS=TRUE&amp;DOC_NAME=FAT:FQL_AUDITING_CLIENT_TEMPLATE.FAT&amp;display_string=Audit&amp;VAR:KEY=HGBOLGVOJA&amp;VAR:QUERY=RkZfRUJJVERBX0lCKCdMVE1TJywzOTI5OSk=&amp;WINDOW=FIRST_POPUP&amp;HEIGHT=450&amp;WIDTH=450&amp;START_MA","XIMIZED=FALSE&amp;VAR:CALENDAR=US&amp;VAR:SYMBOL=04916420&amp;VAR:INDEX=0"}</definedName>
    <definedName name="_10070__FDSAUDITLINK__" hidden="1">{"fdsup://directions/FAT Viewer?action=UPDATE&amp;creator=factset&amp;DYN_ARGS=TRUE&amp;DOC_NAME=FAT:FQL_AUDITING_CLIENT_TEMPLATE.FAT&amp;display_string=Audit&amp;VAR:KEY=HGBOLGVOJA&amp;VAR:QUERY=RkZfRUJJVERBX0lCKCdMVE1TJywzOTI5OSk=&amp;WINDOW=FIRST_POPUP&amp;HEIGHT=450&amp;WIDTH=450&amp;START_MA","XIMIZED=FALSE&amp;VAR:CALENDAR=US&amp;VAR:SYMBOL=04916420&amp;VAR:INDEX=0"}</definedName>
    <definedName name="_10071__FDSAUDITLINK__" localSheetId="6" hidden="1">{"fdsup://directions/FAT Viewer?action=UPDATE&amp;creator=factset&amp;DYN_ARGS=TRUE&amp;DOC_NAME=FAT:FQL_AUDITING_CLIENT_TEMPLATE.FAT&amp;display_string=Audit&amp;VAR:KEY=XGJYVYLQZO&amp;VAR:QUERY=RkZfRUJJVERBX0lCKCdMVE1TJywzOTI5OCk=&amp;WINDOW=FIRST_POPUP&amp;HEIGHT=450&amp;WIDTH=450&amp;START_MA","XIMIZED=FALSE&amp;VAR:CALENDAR=US&amp;VAR:SYMBOL=04916420&amp;VAR:INDEX=0"}</definedName>
    <definedName name="_10071__FDSAUDITLINK__" hidden="1">{"fdsup://directions/FAT Viewer?action=UPDATE&amp;creator=factset&amp;DYN_ARGS=TRUE&amp;DOC_NAME=FAT:FQL_AUDITING_CLIENT_TEMPLATE.FAT&amp;display_string=Audit&amp;VAR:KEY=XGJYVYLQZO&amp;VAR:QUERY=RkZfRUJJVERBX0lCKCdMVE1TJywzOTI5OCk=&amp;WINDOW=FIRST_POPUP&amp;HEIGHT=450&amp;WIDTH=450&amp;START_MA","XIMIZED=FALSE&amp;VAR:CALENDAR=US&amp;VAR:SYMBOL=04916420&amp;VAR:INDEX=0"}</definedName>
    <definedName name="_10072__FDSAUDITLINK__" localSheetId="6" hidden="1">{"fdsup://directions/FAT Viewer?action=UPDATE&amp;creator=factset&amp;DYN_ARGS=TRUE&amp;DOC_NAME=FAT:FQL_AUDITING_CLIENT_TEMPLATE.FAT&amp;display_string=Audit&amp;VAR:KEY=VUTAXYZIHG&amp;VAR:QUERY=RkZfRUJJVERBX0lCKCdMVE1TJywzOTI5Nyk=&amp;WINDOW=FIRST_POPUP&amp;HEIGHT=450&amp;WIDTH=450&amp;START_MA","XIMIZED=FALSE&amp;VAR:CALENDAR=US&amp;VAR:SYMBOL=04916420&amp;VAR:INDEX=0"}</definedName>
    <definedName name="_10072__FDSAUDITLINK__" hidden="1">{"fdsup://directions/FAT Viewer?action=UPDATE&amp;creator=factset&amp;DYN_ARGS=TRUE&amp;DOC_NAME=FAT:FQL_AUDITING_CLIENT_TEMPLATE.FAT&amp;display_string=Audit&amp;VAR:KEY=VUTAXYZIHG&amp;VAR:QUERY=RkZfRUJJVERBX0lCKCdMVE1TJywzOTI5Nyk=&amp;WINDOW=FIRST_POPUP&amp;HEIGHT=450&amp;WIDTH=450&amp;START_MA","XIMIZED=FALSE&amp;VAR:CALENDAR=US&amp;VAR:SYMBOL=04916420&amp;VAR:INDEX=0"}</definedName>
    <definedName name="_10073__FDSAUDITLINK__" localSheetId="6" hidden="1">{"fdsup://directions/FAT Viewer?action=UPDATE&amp;creator=factset&amp;DYN_ARGS=TRUE&amp;DOC_NAME=FAT:FQL_AUDITING_CLIENT_TEMPLATE.FAT&amp;display_string=Audit&amp;VAR:KEY=DWFYFCXCFA&amp;VAR:QUERY=RkZfRUJJVERBX0lCKCdMVE1TJywzOTI5Nik=&amp;WINDOW=FIRST_POPUP&amp;HEIGHT=450&amp;WIDTH=450&amp;START_MA","XIMIZED=FALSE&amp;VAR:CALENDAR=US&amp;VAR:SYMBOL=04916420&amp;VAR:INDEX=0"}</definedName>
    <definedName name="_10073__FDSAUDITLINK__" hidden="1">{"fdsup://directions/FAT Viewer?action=UPDATE&amp;creator=factset&amp;DYN_ARGS=TRUE&amp;DOC_NAME=FAT:FQL_AUDITING_CLIENT_TEMPLATE.FAT&amp;display_string=Audit&amp;VAR:KEY=DWFYFCXCFA&amp;VAR:QUERY=RkZfRUJJVERBX0lCKCdMVE1TJywzOTI5Nik=&amp;WINDOW=FIRST_POPUP&amp;HEIGHT=450&amp;WIDTH=450&amp;START_MA","XIMIZED=FALSE&amp;VAR:CALENDAR=US&amp;VAR:SYMBOL=04916420&amp;VAR:INDEX=0"}</definedName>
    <definedName name="_10074__FDSAUDITLINK__" localSheetId="6" hidden="1">{"fdsup://directions/FAT Viewer?action=UPDATE&amp;creator=factset&amp;DYN_ARGS=TRUE&amp;DOC_NAME=FAT:FQL_AUDITING_CLIENT_TEMPLATE.FAT&amp;display_string=Audit&amp;VAR:KEY=DWTITMBCHG&amp;VAR:QUERY=RkZfRUJJVERBX0lCKCdMVE1TJywzOTI5NSk=&amp;WINDOW=FIRST_POPUP&amp;HEIGHT=450&amp;WIDTH=450&amp;START_MA","XIMIZED=FALSE&amp;VAR:CALENDAR=US&amp;VAR:SYMBOL=04916420&amp;VAR:INDEX=0"}</definedName>
    <definedName name="_10074__FDSAUDITLINK__" hidden="1">{"fdsup://directions/FAT Viewer?action=UPDATE&amp;creator=factset&amp;DYN_ARGS=TRUE&amp;DOC_NAME=FAT:FQL_AUDITING_CLIENT_TEMPLATE.FAT&amp;display_string=Audit&amp;VAR:KEY=DWTITMBCHG&amp;VAR:QUERY=RkZfRUJJVERBX0lCKCdMVE1TJywzOTI5NSk=&amp;WINDOW=FIRST_POPUP&amp;HEIGHT=450&amp;WIDTH=450&amp;START_MA","XIMIZED=FALSE&amp;VAR:CALENDAR=US&amp;VAR:SYMBOL=04916420&amp;VAR:INDEX=0"}</definedName>
    <definedName name="_10075__FDSAUDITLINK__" localSheetId="6" hidden="1">{"fdsup://directions/FAT Viewer?action=UPDATE&amp;creator=factset&amp;DYN_ARGS=TRUE&amp;DOC_NAME=FAT:FQL_AUDITING_CLIENT_TEMPLATE.FAT&amp;display_string=Audit&amp;VAR:KEY=TSTGPYXKLY&amp;VAR:QUERY=RkZfRUJJVERBX0lCKCdMVE1TJywzOTI5NCk=&amp;WINDOW=FIRST_POPUP&amp;HEIGHT=450&amp;WIDTH=450&amp;START_MA","XIMIZED=FALSE&amp;VAR:CALENDAR=US&amp;VAR:SYMBOL=04916420&amp;VAR:INDEX=0"}</definedName>
    <definedName name="_10075__FDSAUDITLINK__" hidden="1">{"fdsup://directions/FAT Viewer?action=UPDATE&amp;creator=factset&amp;DYN_ARGS=TRUE&amp;DOC_NAME=FAT:FQL_AUDITING_CLIENT_TEMPLATE.FAT&amp;display_string=Audit&amp;VAR:KEY=TSTGPYXKLY&amp;VAR:QUERY=RkZfRUJJVERBX0lCKCdMVE1TJywzOTI5NCk=&amp;WINDOW=FIRST_POPUP&amp;HEIGHT=450&amp;WIDTH=450&amp;START_MA","XIMIZED=FALSE&amp;VAR:CALENDAR=US&amp;VAR:SYMBOL=04916420&amp;VAR:INDEX=0"}</definedName>
    <definedName name="_10076__FDSAUDITLINK__" localSheetId="6" hidden="1">{"fdsup://directions/FAT Viewer?action=UPDATE&amp;creator=factset&amp;DYN_ARGS=TRUE&amp;DOC_NAME=FAT:FQL_AUDITING_CLIENT_TEMPLATE.FAT&amp;display_string=Audit&amp;VAR:KEY=TGFEVYVODC&amp;VAR:QUERY=RkZfRUJJVERBX0lCKCdMVE1TJywzOTI5Myk=&amp;WINDOW=FIRST_POPUP&amp;HEIGHT=450&amp;WIDTH=450&amp;START_MA","XIMIZED=FALSE&amp;VAR:CALENDAR=US&amp;VAR:SYMBOL=04916420&amp;VAR:INDEX=0"}</definedName>
    <definedName name="_10076__FDSAUDITLINK__" hidden="1">{"fdsup://directions/FAT Viewer?action=UPDATE&amp;creator=factset&amp;DYN_ARGS=TRUE&amp;DOC_NAME=FAT:FQL_AUDITING_CLIENT_TEMPLATE.FAT&amp;display_string=Audit&amp;VAR:KEY=TGFEVYVODC&amp;VAR:QUERY=RkZfRUJJVERBX0lCKCdMVE1TJywzOTI5Myk=&amp;WINDOW=FIRST_POPUP&amp;HEIGHT=450&amp;WIDTH=450&amp;START_MA","XIMIZED=FALSE&amp;VAR:CALENDAR=US&amp;VAR:SYMBOL=04916420&amp;VAR:INDEX=0"}</definedName>
    <definedName name="_10077__FDSAUDITLINK__" localSheetId="6" hidden="1">{"fdsup://directions/FAT Viewer?action=UPDATE&amp;creator=factset&amp;DYN_ARGS=TRUE&amp;DOC_NAME=FAT:FQL_AUDITING_CLIENT_TEMPLATE.FAT&amp;display_string=Audit&amp;VAR:KEY=XGLKXYBKFU&amp;VAR:QUERY=RkZfRUJJVERBX0lCKCdMVE1TJywzOTI5Mik=&amp;WINDOW=FIRST_POPUP&amp;HEIGHT=450&amp;WIDTH=450&amp;START_MA","XIMIZED=FALSE&amp;VAR:CALENDAR=US&amp;VAR:SYMBOL=04916420&amp;VAR:INDEX=0"}</definedName>
    <definedName name="_10077__FDSAUDITLINK__" hidden="1">{"fdsup://directions/FAT Viewer?action=UPDATE&amp;creator=factset&amp;DYN_ARGS=TRUE&amp;DOC_NAME=FAT:FQL_AUDITING_CLIENT_TEMPLATE.FAT&amp;display_string=Audit&amp;VAR:KEY=XGLKXYBKFU&amp;VAR:QUERY=RkZfRUJJVERBX0lCKCdMVE1TJywzOTI5Mik=&amp;WINDOW=FIRST_POPUP&amp;HEIGHT=450&amp;WIDTH=450&amp;START_MA","XIMIZED=FALSE&amp;VAR:CALENDAR=US&amp;VAR:SYMBOL=04916420&amp;VAR:INDEX=0"}</definedName>
    <definedName name="_10078__FDSAUDITLINK__" localSheetId="6" hidden="1">{"fdsup://directions/FAT Viewer?action=UPDATE&amp;creator=factset&amp;DYN_ARGS=TRUE&amp;DOC_NAME=FAT:FQL_AUDITING_CLIENT_TEMPLATE.FAT&amp;display_string=Audit&amp;VAR:KEY=LQTYVWHWHM&amp;VAR:QUERY=RkZfRUJJVERBX0lCKCdMVE1TJywzOTI5MSk=&amp;WINDOW=FIRST_POPUP&amp;HEIGHT=450&amp;WIDTH=450&amp;START_MA","XIMIZED=FALSE&amp;VAR:CALENDAR=US&amp;VAR:SYMBOL=04916420&amp;VAR:INDEX=0"}</definedName>
    <definedName name="_10078__FDSAUDITLINK__" hidden="1">{"fdsup://directions/FAT Viewer?action=UPDATE&amp;creator=factset&amp;DYN_ARGS=TRUE&amp;DOC_NAME=FAT:FQL_AUDITING_CLIENT_TEMPLATE.FAT&amp;display_string=Audit&amp;VAR:KEY=LQTYVWHWHM&amp;VAR:QUERY=RkZfRUJJVERBX0lCKCdMVE1TJywzOTI5MSk=&amp;WINDOW=FIRST_POPUP&amp;HEIGHT=450&amp;WIDTH=450&amp;START_MA","XIMIZED=FALSE&amp;VAR:CALENDAR=US&amp;VAR:SYMBOL=04916420&amp;VAR:INDEX=0"}</definedName>
    <definedName name="_10079__FDSAUDITLINK__" localSheetId="6" hidden="1">{"fdsup://directions/FAT Viewer?action=UPDATE&amp;creator=factset&amp;DYN_ARGS=TRUE&amp;DOC_NAME=FAT:FQL_AUDITING_CLIENT_TEMPLATE.FAT&amp;display_string=Audit&amp;VAR:KEY=JSXEPQDUVU&amp;VAR:QUERY=RkZfRUJJVERBX0lCKCdMVE1TJywzOTI5MCk=&amp;WINDOW=FIRST_POPUP&amp;HEIGHT=450&amp;WIDTH=450&amp;START_MA","XIMIZED=FALSE&amp;VAR:CALENDAR=US&amp;VAR:SYMBOL=04916420&amp;VAR:INDEX=0"}</definedName>
    <definedName name="_10079__FDSAUDITLINK__" hidden="1">{"fdsup://directions/FAT Viewer?action=UPDATE&amp;creator=factset&amp;DYN_ARGS=TRUE&amp;DOC_NAME=FAT:FQL_AUDITING_CLIENT_TEMPLATE.FAT&amp;display_string=Audit&amp;VAR:KEY=JSXEPQDUVU&amp;VAR:QUERY=RkZfRUJJVERBX0lCKCdMVE1TJywzOTI5MCk=&amp;WINDOW=FIRST_POPUP&amp;HEIGHT=450&amp;WIDTH=450&amp;START_MA","XIMIZED=FALSE&amp;VAR:CALENDAR=US&amp;VAR:SYMBOL=04916420&amp;VAR:INDEX=0"}</definedName>
    <definedName name="_1008__FDSAUDITLINK__" localSheetId="6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8__FDSAUDITLINK__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80__FDSAUDITLINK__" localSheetId="6" hidden="1">{"fdsup://directions/FAT Viewer?action=UPDATE&amp;creator=factset&amp;DYN_ARGS=TRUE&amp;DOC_NAME=FAT:FQL_AUDITING_CLIENT_TEMPLATE.FAT&amp;display_string=Audit&amp;VAR:KEY=RYXKXORIBG&amp;VAR:QUERY=RkZfRUJJVERBX0lCKCdMVE1TJywzOTI4OSk=&amp;WINDOW=FIRST_POPUP&amp;HEIGHT=450&amp;WIDTH=450&amp;START_MA","XIMIZED=FALSE&amp;VAR:CALENDAR=US&amp;VAR:SYMBOL=04916420&amp;VAR:INDEX=0"}</definedName>
    <definedName name="_10080__FDSAUDITLINK__" hidden="1">{"fdsup://directions/FAT Viewer?action=UPDATE&amp;creator=factset&amp;DYN_ARGS=TRUE&amp;DOC_NAME=FAT:FQL_AUDITING_CLIENT_TEMPLATE.FAT&amp;display_string=Audit&amp;VAR:KEY=RYXKXORIBG&amp;VAR:QUERY=RkZfRUJJVERBX0lCKCdMVE1TJywzOTI4OSk=&amp;WINDOW=FIRST_POPUP&amp;HEIGHT=450&amp;WIDTH=450&amp;START_MA","XIMIZED=FALSE&amp;VAR:CALENDAR=US&amp;VAR:SYMBOL=04916420&amp;VAR:INDEX=0"}</definedName>
    <definedName name="_10081__FDSAUDITLINK__" localSheetId="6" hidden="1">{"fdsup://directions/FAT Viewer?action=UPDATE&amp;creator=factset&amp;DYN_ARGS=TRUE&amp;DOC_NAME=FAT:FQL_AUDITING_CLIENT_TEMPLATE.FAT&amp;display_string=Audit&amp;VAR:KEY=XEDGVORGJA&amp;VAR:QUERY=RkZfRUJJVERBX0lCKCdMVE1TJywzOTI4OCk=&amp;WINDOW=FIRST_POPUP&amp;HEIGHT=450&amp;WIDTH=450&amp;START_MA","XIMIZED=FALSE&amp;VAR:CALENDAR=US&amp;VAR:SYMBOL=04916420&amp;VAR:INDEX=0"}</definedName>
    <definedName name="_10081__FDSAUDITLINK__" hidden="1">{"fdsup://directions/FAT Viewer?action=UPDATE&amp;creator=factset&amp;DYN_ARGS=TRUE&amp;DOC_NAME=FAT:FQL_AUDITING_CLIENT_TEMPLATE.FAT&amp;display_string=Audit&amp;VAR:KEY=XEDGVORGJA&amp;VAR:QUERY=RkZfRUJJVERBX0lCKCdMVE1TJywzOTI4OCk=&amp;WINDOW=FIRST_POPUP&amp;HEIGHT=450&amp;WIDTH=450&amp;START_MA","XIMIZED=FALSE&amp;VAR:CALENDAR=US&amp;VAR:SYMBOL=04916420&amp;VAR:INDEX=0"}</definedName>
    <definedName name="_10082__FDSAUDITLINK__" localSheetId="6" hidden="1">{"fdsup://directions/FAT Viewer?action=UPDATE&amp;creator=factset&amp;DYN_ARGS=TRUE&amp;DOC_NAME=FAT:FQL_AUDITING_CLIENT_TEMPLATE.FAT&amp;display_string=Audit&amp;VAR:KEY=POLETAPATM&amp;VAR:QUERY=RkZfRUJJVERBX0lCKCdMVE1TJywzOTI4Nyk=&amp;WINDOW=FIRST_POPUP&amp;HEIGHT=450&amp;WIDTH=450&amp;START_MA","XIMIZED=FALSE&amp;VAR:CALENDAR=US&amp;VAR:SYMBOL=04916420&amp;VAR:INDEX=0"}</definedName>
    <definedName name="_10082__FDSAUDITLINK__" hidden="1">{"fdsup://directions/FAT Viewer?action=UPDATE&amp;creator=factset&amp;DYN_ARGS=TRUE&amp;DOC_NAME=FAT:FQL_AUDITING_CLIENT_TEMPLATE.FAT&amp;display_string=Audit&amp;VAR:KEY=POLETAPATM&amp;VAR:QUERY=RkZfRUJJVERBX0lCKCdMVE1TJywzOTI4Nyk=&amp;WINDOW=FIRST_POPUP&amp;HEIGHT=450&amp;WIDTH=450&amp;START_MA","XIMIZED=FALSE&amp;VAR:CALENDAR=US&amp;VAR:SYMBOL=04916420&amp;VAR:INDEX=0"}</definedName>
    <definedName name="_10083__FDSAUDITLINK__" localSheetId="6" hidden="1">{"fdsup://directions/FAT Viewer?action=UPDATE&amp;creator=factset&amp;DYN_ARGS=TRUE&amp;DOC_NAME=FAT:FQL_AUDITING_CLIENT_TEMPLATE.FAT&amp;display_string=Audit&amp;VAR:KEY=XYNENIVSLU&amp;VAR:QUERY=RkZfRUJJVERBX0lCKCdMVE1TJywzOTI4Nik=&amp;WINDOW=FIRST_POPUP&amp;HEIGHT=450&amp;WIDTH=450&amp;START_MA","XIMIZED=FALSE&amp;VAR:CALENDAR=US&amp;VAR:SYMBOL=04916420&amp;VAR:INDEX=0"}</definedName>
    <definedName name="_10083__FDSAUDITLINK__" hidden="1">{"fdsup://directions/FAT Viewer?action=UPDATE&amp;creator=factset&amp;DYN_ARGS=TRUE&amp;DOC_NAME=FAT:FQL_AUDITING_CLIENT_TEMPLATE.FAT&amp;display_string=Audit&amp;VAR:KEY=XYNENIVSLU&amp;VAR:QUERY=RkZfRUJJVERBX0lCKCdMVE1TJywzOTI4Nik=&amp;WINDOW=FIRST_POPUP&amp;HEIGHT=450&amp;WIDTH=450&amp;START_MA","XIMIZED=FALSE&amp;VAR:CALENDAR=US&amp;VAR:SYMBOL=04916420&amp;VAR:INDEX=0"}</definedName>
    <definedName name="_10084__FDSAUDITLINK__" localSheetId="6" hidden="1">{"fdsup://directions/FAT Viewer?action=UPDATE&amp;creator=factset&amp;DYN_ARGS=TRUE&amp;DOC_NAME=FAT:FQL_AUDITING_CLIENT_TEMPLATE.FAT&amp;display_string=Audit&amp;VAR:KEY=DMBWHMBIVS&amp;VAR:QUERY=RkZfRUJJVERBX0lCKCdMVE1TJywzOTI4NSk=&amp;WINDOW=FIRST_POPUP&amp;HEIGHT=450&amp;WIDTH=450&amp;START_MA","XIMIZED=FALSE&amp;VAR:CALENDAR=US&amp;VAR:SYMBOL=04916420&amp;VAR:INDEX=0"}</definedName>
    <definedName name="_10084__FDSAUDITLINK__" hidden="1">{"fdsup://directions/FAT Viewer?action=UPDATE&amp;creator=factset&amp;DYN_ARGS=TRUE&amp;DOC_NAME=FAT:FQL_AUDITING_CLIENT_TEMPLATE.FAT&amp;display_string=Audit&amp;VAR:KEY=DMBWHMBIVS&amp;VAR:QUERY=RkZfRUJJVERBX0lCKCdMVE1TJywzOTI4NSk=&amp;WINDOW=FIRST_POPUP&amp;HEIGHT=450&amp;WIDTH=450&amp;START_MA","XIMIZED=FALSE&amp;VAR:CALENDAR=US&amp;VAR:SYMBOL=04916420&amp;VAR:INDEX=0"}</definedName>
    <definedName name="_10085__FDSAUDITLINK__" localSheetId="6" hidden="1">{"fdsup://directions/FAT Viewer?action=UPDATE&amp;creator=factset&amp;DYN_ARGS=TRUE&amp;DOC_NAME=FAT:FQL_AUDITING_CLIENT_TEMPLATE.FAT&amp;display_string=Audit&amp;VAR:KEY=POZEFUNETO&amp;VAR:QUERY=RkZfRUJJVERBX0lCKCdMVE1TJywzOTI4NCk=&amp;WINDOW=FIRST_POPUP&amp;HEIGHT=450&amp;WIDTH=450&amp;START_MA","XIMIZED=FALSE&amp;VAR:CALENDAR=US&amp;VAR:SYMBOL=04916420&amp;VAR:INDEX=0"}</definedName>
    <definedName name="_10085__FDSAUDITLINK__" hidden="1">{"fdsup://directions/FAT Viewer?action=UPDATE&amp;creator=factset&amp;DYN_ARGS=TRUE&amp;DOC_NAME=FAT:FQL_AUDITING_CLIENT_TEMPLATE.FAT&amp;display_string=Audit&amp;VAR:KEY=POZEFUNETO&amp;VAR:QUERY=RkZfRUJJVERBX0lCKCdMVE1TJywzOTI4NCk=&amp;WINDOW=FIRST_POPUP&amp;HEIGHT=450&amp;WIDTH=450&amp;START_MA","XIMIZED=FALSE&amp;VAR:CALENDAR=US&amp;VAR:SYMBOL=04916420&amp;VAR:INDEX=0"}</definedName>
    <definedName name="_10086__FDSAUDITLINK__" localSheetId="6" hidden="1">{"fdsup://directions/FAT Viewer?action=UPDATE&amp;creator=factset&amp;DYN_ARGS=TRUE&amp;DOC_NAME=FAT:FQL_AUDITING_CLIENT_TEMPLATE.FAT&amp;display_string=Audit&amp;VAR:KEY=FUTQLMRUNI&amp;VAR:QUERY=RkZfRUJJVERBX0lCKCdMVE1TJywzOTI4Myk=&amp;WINDOW=FIRST_POPUP&amp;HEIGHT=450&amp;WIDTH=450&amp;START_MA","XIMIZED=FALSE&amp;VAR:CALENDAR=US&amp;VAR:SYMBOL=04916420&amp;VAR:INDEX=0"}</definedName>
    <definedName name="_10086__FDSAUDITLINK__" hidden="1">{"fdsup://directions/FAT Viewer?action=UPDATE&amp;creator=factset&amp;DYN_ARGS=TRUE&amp;DOC_NAME=FAT:FQL_AUDITING_CLIENT_TEMPLATE.FAT&amp;display_string=Audit&amp;VAR:KEY=FUTQLMRUNI&amp;VAR:QUERY=RkZfRUJJVERBX0lCKCdMVE1TJywzOTI4Myk=&amp;WINDOW=FIRST_POPUP&amp;HEIGHT=450&amp;WIDTH=450&amp;START_MA","XIMIZED=FALSE&amp;VAR:CALENDAR=US&amp;VAR:SYMBOL=04916420&amp;VAR:INDEX=0"}</definedName>
    <definedName name="_10087__FDSAUDITLINK__" localSheetId="6" hidden="1">{"fdsup://directions/FAT Viewer?action=UPDATE&amp;creator=factset&amp;DYN_ARGS=TRUE&amp;DOC_NAME=FAT:FQL_AUDITING_CLIENT_TEMPLATE.FAT&amp;display_string=Audit&amp;VAR:KEY=NWXKXGDMDO&amp;VAR:QUERY=RkZfRUJJVERBX0lCKCdMVE1TJywzOTI4Mik=&amp;WINDOW=FIRST_POPUP&amp;HEIGHT=450&amp;WIDTH=450&amp;START_MA","XIMIZED=FALSE&amp;VAR:CALENDAR=US&amp;VAR:SYMBOL=04916420&amp;VAR:INDEX=0"}</definedName>
    <definedName name="_10087__FDSAUDITLINK__" hidden="1">{"fdsup://directions/FAT Viewer?action=UPDATE&amp;creator=factset&amp;DYN_ARGS=TRUE&amp;DOC_NAME=FAT:FQL_AUDITING_CLIENT_TEMPLATE.FAT&amp;display_string=Audit&amp;VAR:KEY=NWXKXGDMDO&amp;VAR:QUERY=RkZfRUJJVERBX0lCKCdMVE1TJywzOTI4Mik=&amp;WINDOW=FIRST_POPUP&amp;HEIGHT=450&amp;WIDTH=450&amp;START_MA","XIMIZED=FALSE&amp;VAR:CALENDAR=US&amp;VAR:SYMBOL=04916420&amp;VAR:INDEX=0"}</definedName>
    <definedName name="_10088__FDSAUDITLINK__" localSheetId="6" hidden="1">{"fdsup://directions/FAT Viewer?action=UPDATE&amp;creator=factset&amp;DYN_ARGS=TRUE&amp;DOC_NAME=FAT:FQL_AUDITING_CLIENT_TEMPLATE.FAT&amp;display_string=Audit&amp;VAR:KEY=ZYJYNKVQVK&amp;VAR:QUERY=RkZfRUJJVERBX0lCKCdMVE1TJywzOTI4MSk=&amp;WINDOW=FIRST_POPUP&amp;HEIGHT=450&amp;WIDTH=450&amp;START_MA","XIMIZED=FALSE&amp;VAR:CALENDAR=US&amp;VAR:SYMBOL=04916420&amp;VAR:INDEX=0"}</definedName>
    <definedName name="_10088__FDSAUDITLINK__" hidden="1">{"fdsup://directions/FAT Viewer?action=UPDATE&amp;creator=factset&amp;DYN_ARGS=TRUE&amp;DOC_NAME=FAT:FQL_AUDITING_CLIENT_TEMPLATE.FAT&amp;display_string=Audit&amp;VAR:KEY=ZYJYNKVQVK&amp;VAR:QUERY=RkZfRUJJVERBX0lCKCdMVE1TJywzOTI4MSk=&amp;WINDOW=FIRST_POPUP&amp;HEIGHT=450&amp;WIDTH=450&amp;START_MA","XIMIZED=FALSE&amp;VAR:CALENDAR=US&amp;VAR:SYMBOL=04916420&amp;VAR:INDEX=0"}</definedName>
    <definedName name="_10089__FDSAUDITLINK__" localSheetId="6" hidden="1">{"fdsup://directions/FAT Viewer?action=UPDATE&amp;creator=factset&amp;DYN_ARGS=TRUE&amp;DOC_NAME=FAT:FQL_AUDITING_CLIENT_TEMPLATE.FAT&amp;display_string=Audit&amp;VAR:KEY=PUHABADANC&amp;VAR:QUERY=RkZfRUJJVERBX0lCKCdMVE1TJywzOTI4MCk=&amp;WINDOW=FIRST_POPUP&amp;HEIGHT=450&amp;WIDTH=450&amp;START_MA","XIMIZED=FALSE&amp;VAR:CALENDAR=US&amp;VAR:SYMBOL=04916420&amp;VAR:INDEX=0"}</definedName>
    <definedName name="_10089__FDSAUDITLINK__" hidden="1">{"fdsup://directions/FAT Viewer?action=UPDATE&amp;creator=factset&amp;DYN_ARGS=TRUE&amp;DOC_NAME=FAT:FQL_AUDITING_CLIENT_TEMPLATE.FAT&amp;display_string=Audit&amp;VAR:KEY=PUHABADANC&amp;VAR:QUERY=RkZfRUJJVERBX0lCKCdMVE1TJywzOTI4MCk=&amp;WINDOW=FIRST_POPUP&amp;HEIGHT=450&amp;WIDTH=450&amp;START_MA","XIMIZED=FALSE&amp;VAR:CALENDAR=US&amp;VAR:SYMBOL=04916420&amp;VAR:INDEX=0"}</definedName>
    <definedName name="_1009__FDSAUDITLINK__" localSheetId="6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9__FDSAUDITLINK__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090__FDSAUDITLINK__" localSheetId="6" hidden="1">{"fdsup://directions/FAT Viewer?action=UPDATE&amp;creator=factset&amp;DYN_ARGS=TRUE&amp;DOC_NAME=FAT:FQL_AUDITING_CLIENT_TEMPLATE.FAT&amp;display_string=Audit&amp;VAR:KEY=HSHIVEDWJE&amp;VAR:QUERY=RkZfRUJJVERBX0lCKCdMVE1TJywzOTI3OSk=&amp;WINDOW=FIRST_POPUP&amp;HEIGHT=450&amp;WIDTH=450&amp;START_MA","XIMIZED=FALSE&amp;VAR:CALENDAR=US&amp;VAR:SYMBOL=04916420&amp;VAR:INDEX=0"}</definedName>
    <definedName name="_10090__FDSAUDITLINK__" hidden="1">{"fdsup://directions/FAT Viewer?action=UPDATE&amp;creator=factset&amp;DYN_ARGS=TRUE&amp;DOC_NAME=FAT:FQL_AUDITING_CLIENT_TEMPLATE.FAT&amp;display_string=Audit&amp;VAR:KEY=HSHIVEDWJE&amp;VAR:QUERY=RkZfRUJJVERBX0lCKCdMVE1TJywzOTI3OSk=&amp;WINDOW=FIRST_POPUP&amp;HEIGHT=450&amp;WIDTH=450&amp;START_MA","XIMIZED=FALSE&amp;VAR:CALENDAR=US&amp;VAR:SYMBOL=04916420&amp;VAR:INDEX=0"}</definedName>
    <definedName name="_10091__FDSAUDITLINK__" localSheetId="6" hidden="1">{"fdsup://directions/FAT Viewer?action=UPDATE&amp;creator=factset&amp;DYN_ARGS=TRUE&amp;DOC_NAME=FAT:FQL_AUDITING_CLIENT_TEMPLATE.FAT&amp;display_string=Audit&amp;VAR:KEY=BSJIFALOXG&amp;VAR:QUERY=RkZfRUJJVERBX0lCKCdMVE1TJywzOTI3OCk=&amp;WINDOW=FIRST_POPUP&amp;HEIGHT=450&amp;WIDTH=450&amp;START_MA","XIMIZED=FALSE&amp;VAR:CALENDAR=US&amp;VAR:SYMBOL=04916420&amp;VAR:INDEX=0"}</definedName>
    <definedName name="_10091__FDSAUDITLINK__" hidden="1">{"fdsup://directions/FAT Viewer?action=UPDATE&amp;creator=factset&amp;DYN_ARGS=TRUE&amp;DOC_NAME=FAT:FQL_AUDITING_CLIENT_TEMPLATE.FAT&amp;display_string=Audit&amp;VAR:KEY=BSJIFALOXG&amp;VAR:QUERY=RkZfRUJJVERBX0lCKCdMVE1TJywzOTI3OCk=&amp;WINDOW=FIRST_POPUP&amp;HEIGHT=450&amp;WIDTH=450&amp;START_MA","XIMIZED=FALSE&amp;VAR:CALENDAR=US&amp;VAR:SYMBOL=04916420&amp;VAR:INDEX=0"}</definedName>
    <definedName name="_10092__FDSAUDITLINK__" localSheetId="6" hidden="1">{"fdsup://directions/FAT Viewer?action=UPDATE&amp;creator=factset&amp;DYN_ARGS=TRUE&amp;DOC_NAME=FAT:FQL_AUDITING_CLIENT_TEMPLATE.FAT&amp;display_string=Audit&amp;VAR:KEY=LWZAZYBAJG&amp;VAR:QUERY=RkZfRUJJVERBX0lCKCdMVE1TJywzOTI3Nyk=&amp;WINDOW=FIRST_POPUP&amp;HEIGHT=450&amp;WIDTH=450&amp;START_MA","XIMIZED=FALSE&amp;VAR:CALENDAR=US&amp;VAR:SYMBOL=04916420&amp;VAR:INDEX=0"}</definedName>
    <definedName name="_10092__FDSAUDITLINK__" hidden="1">{"fdsup://directions/FAT Viewer?action=UPDATE&amp;creator=factset&amp;DYN_ARGS=TRUE&amp;DOC_NAME=FAT:FQL_AUDITING_CLIENT_TEMPLATE.FAT&amp;display_string=Audit&amp;VAR:KEY=LWZAZYBAJG&amp;VAR:QUERY=RkZfRUJJVERBX0lCKCdMVE1TJywzOTI3Nyk=&amp;WINDOW=FIRST_POPUP&amp;HEIGHT=450&amp;WIDTH=450&amp;START_MA","XIMIZED=FALSE&amp;VAR:CALENDAR=US&amp;VAR:SYMBOL=04916420&amp;VAR:INDEX=0"}</definedName>
    <definedName name="_10093__FDSAUDITLINK__" localSheetId="6" hidden="1">{"fdsup://directions/FAT Viewer?action=UPDATE&amp;creator=factset&amp;DYN_ARGS=TRUE&amp;DOC_NAME=FAT:FQL_AUDITING_CLIENT_TEMPLATE.FAT&amp;display_string=Audit&amp;VAR:KEY=LCJSXOTYBQ&amp;VAR:QUERY=RkZfRUJJVERBX0lCKCdMVE1TJywzOTI3Nik=&amp;WINDOW=FIRST_POPUP&amp;HEIGHT=450&amp;WIDTH=450&amp;START_MA","XIMIZED=FALSE&amp;VAR:CALENDAR=US&amp;VAR:SYMBOL=04916420&amp;VAR:INDEX=0"}</definedName>
    <definedName name="_10093__FDSAUDITLINK__" hidden="1">{"fdsup://directions/FAT Viewer?action=UPDATE&amp;creator=factset&amp;DYN_ARGS=TRUE&amp;DOC_NAME=FAT:FQL_AUDITING_CLIENT_TEMPLATE.FAT&amp;display_string=Audit&amp;VAR:KEY=LCJSXOTYBQ&amp;VAR:QUERY=RkZfRUJJVERBX0lCKCdMVE1TJywzOTI3Nik=&amp;WINDOW=FIRST_POPUP&amp;HEIGHT=450&amp;WIDTH=450&amp;START_MA","XIMIZED=FALSE&amp;VAR:CALENDAR=US&amp;VAR:SYMBOL=04916420&amp;VAR:INDEX=0"}</definedName>
    <definedName name="_10094__FDSAUDITLINK__" localSheetId="6" hidden="1">{"fdsup://directions/FAT Viewer?action=UPDATE&amp;creator=factset&amp;DYN_ARGS=TRUE&amp;DOC_NAME=FAT:FQL_AUDITING_CLIENT_TEMPLATE.FAT&amp;display_string=Audit&amp;VAR:KEY=PYTYBGHIJK&amp;VAR:QUERY=RkZfRUJJVERBX0lCKCdMVE1TJywzOTI3NSk=&amp;WINDOW=FIRST_POPUP&amp;HEIGHT=450&amp;WIDTH=450&amp;START_MA","XIMIZED=FALSE&amp;VAR:CALENDAR=US&amp;VAR:SYMBOL=04916420&amp;VAR:INDEX=0"}</definedName>
    <definedName name="_10094__FDSAUDITLINK__" hidden="1">{"fdsup://directions/FAT Viewer?action=UPDATE&amp;creator=factset&amp;DYN_ARGS=TRUE&amp;DOC_NAME=FAT:FQL_AUDITING_CLIENT_TEMPLATE.FAT&amp;display_string=Audit&amp;VAR:KEY=PYTYBGHIJK&amp;VAR:QUERY=RkZfRUJJVERBX0lCKCdMVE1TJywzOTI3NSk=&amp;WINDOW=FIRST_POPUP&amp;HEIGHT=450&amp;WIDTH=450&amp;START_MA","XIMIZED=FALSE&amp;VAR:CALENDAR=US&amp;VAR:SYMBOL=04916420&amp;VAR:INDEX=0"}</definedName>
    <definedName name="_10095__FDSAUDITLINK__" localSheetId="6" hidden="1">{"fdsup://directions/FAT Viewer?action=UPDATE&amp;creator=factset&amp;DYN_ARGS=TRUE&amp;DOC_NAME=FAT:FQL_AUDITING_CLIENT_TEMPLATE.FAT&amp;display_string=Audit&amp;VAR:KEY=DQPINYPYPI&amp;VAR:QUERY=RkZfRUJJVERBX0lCKCdMVE1TJywzOTI3NCk=&amp;WINDOW=FIRST_POPUP&amp;HEIGHT=450&amp;WIDTH=450&amp;START_MA","XIMIZED=FALSE&amp;VAR:CALENDAR=US&amp;VAR:SYMBOL=04916420&amp;VAR:INDEX=0"}</definedName>
    <definedName name="_10095__FDSAUDITLINK__" hidden="1">{"fdsup://directions/FAT Viewer?action=UPDATE&amp;creator=factset&amp;DYN_ARGS=TRUE&amp;DOC_NAME=FAT:FQL_AUDITING_CLIENT_TEMPLATE.FAT&amp;display_string=Audit&amp;VAR:KEY=DQPINYPYPI&amp;VAR:QUERY=RkZfRUJJVERBX0lCKCdMVE1TJywzOTI3NCk=&amp;WINDOW=FIRST_POPUP&amp;HEIGHT=450&amp;WIDTH=450&amp;START_MA","XIMIZED=FALSE&amp;VAR:CALENDAR=US&amp;VAR:SYMBOL=04916420&amp;VAR:INDEX=0"}</definedName>
    <definedName name="_10096__FDSAUDITLINK__" localSheetId="6" hidden="1">{"fdsup://directions/FAT Viewer?action=UPDATE&amp;creator=factset&amp;DYN_ARGS=TRUE&amp;DOC_NAME=FAT:FQL_AUDITING_CLIENT_TEMPLATE.FAT&amp;display_string=Audit&amp;VAR:KEY=HILQHUNCNW&amp;VAR:QUERY=RkZfRUJJVERBX0lCKCdMVE1TJywzOTI3Myk=&amp;WINDOW=FIRST_POPUP&amp;HEIGHT=450&amp;WIDTH=450&amp;START_MA","XIMIZED=FALSE&amp;VAR:CALENDAR=US&amp;VAR:SYMBOL=04916420&amp;VAR:INDEX=0"}</definedName>
    <definedName name="_10096__FDSAUDITLINK__" hidden="1">{"fdsup://directions/FAT Viewer?action=UPDATE&amp;creator=factset&amp;DYN_ARGS=TRUE&amp;DOC_NAME=FAT:FQL_AUDITING_CLIENT_TEMPLATE.FAT&amp;display_string=Audit&amp;VAR:KEY=HILQHUNCNW&amp;VAR:QUERY=RkZfRUJJVERBX0lCKCdMVE1TJywzOTI3Myk=&amp;WINDOW=FIRST_POPUP&amp;HEIGHT=450&amp;WIDTH=450&amp;START_MA","XIMIZED=FALSE&amp;VAR:CALENDAR=US&amp;VAR:SYMBOL=04916420&amp;VAR:INDEX=0"}</definedName>
    <definedName name="_10097__FDSAUDITLINK__" localSheetId="6" hidden="1">{"fdsup://directions/FAT Viewer?action=UPDATE&amp;creator=factset&amp;DYN_ARGS=TRUE&amp;DOC_NAME=FAT:FQL_AUDITING_CLIENT_TEMPLATE.FAT&amp;display_string=Audit&amp;VAR:KEY=RABGZAJERG&amp;VAR:QUERY=RkZfRUJJVERBX0lCKCdMVE1TJywzOTI3Mik=&amp;WINDOW=FIRST_POPUP&amp;HEIGHT=450&amp;WIDTH=450&amp;START_MA","XIMIZED=FALSE&amp;VAR:CALENDAR=US&amp;VAR:SYMBOL=04916420&amp;VAR:INDEX=0"}</definedName>
    <definedName name="_10097__FDSAUDITLINK__" hidden="1">{"fdsup://directions/FAT Viewer?action=UPDATE&amp;creator=factset&amp;DYN_ARGS=TRUE&amp;DOC_NAME=FAT:FQL_AUDITING_CLIENT_TEMPLATE.FAT&amp;display_string=Audit&amp;VAR:KEY=RABGZAJERG&amp;VAR:QUERY=RkZfRUJJVERBX0lCKCdMVE1TJywzOTI3Mik=&amp;WINDOW=FIRST_POPUP&amp;HEIGHT=450&amp;WIDTH=450&amp;START_MA","XIMIZED=FALSE&amp;VAR:CALENDAR=US&amp;VAR:SYMBOL=04916420&amp;VAR:INDEX=0"}</definedName>
    <definedName name="_10098__FDSAUDITLINK__" localSheetId="6" hidden="1">{"fdsup://directions/FAT Viewer?action=UPDATE&amp;creator=factset&amp;DYN_ARGS=TRUE&amp;DOC_NAME=FAT:FQL_AUDITING_CLIENT_TEMPLATE.FAT&amp;display_string=Audit&amp;VAR:KEY=ZERYPUZIDC&amp;VAR:QUERY=RkZfRUJJVERBX0lCKCdMVE1TJywzOTI3MSk=&amp;WINDOW=FIRST_POPUP&amp;HEIGHT=450&amp;WIDTH=450&amp;START_MA","XIMIZED=FALSE&amp;VAR:CALENDAR=US&amp;VAR:SYMBOL=04916420&amp;VAR:INDEX=0"}</definedName>
    <definedName name="_10098__FDSAUDITLINK__" hidden="1">{"fdsup://directions/FAT Viewer?action=UPDATE&amp;creator=factset&amp;DYN_ARGS=TRUE&amp;DOC_NAME=FAT:FQL_AUDITING_CLIENT_TEMPLATE.FAT&amp;display_string=Audit&amp;VAR:KEY=ZERYPUZIDC&amp;VAR:QUERY=RkZfRUJJVERBX0lCKCdMVE1TJywzOTI3MSk=&amp;WINDOW=FIRST_POPUP&amp;HEIGHT=450&amp;WIDTH=450&amp;START_MA","XIMIZED=FALSE&amp;VAR:CALENDAR=US&amp;VAR:SYMBOL=04916420&amp;VAR:INDEX=0"}</definedName>
    <definedName name="_10099__FDSAUDITLINK__" localSheetId="6" hidden="1">{"fdsup://directions/FAT Viewer?action=UPDATE&amp;creator=factset&amp;DYN_ARGS=TRUE&amp;DOC_NAME=FAT:FQL_AUDITING_CLIENT_TEMPLATE.FAT&amp;display_string=Audit&amp;VAR:KEY=JAHYRGHKLM&amp;VAR:QUERY=RkZfRUJJVERBX0lCKCdMVE1TJywzOTI3MCk=&amp;WINDOW=FIRST_POPUP&amp;HEIGHT=450&amp;WIDTH=450&amp;START_MA","XIMIZED=FALSE&amp;VAR:CALENDAR=US&amp;VAR:SYMBOL=04916420&amp;VAR:INDEX=0"}</definedName>
    <definedName name="_10099__FDSAUDITLINK__" hidden="1">{"fdsup://directions/FAT Viewer?action=UPDATE&amp;creator=factset&amp;DYN_ARGS=TRUE&amp;DOC_NAME=FAT:FQL_AUDITING_CLIENT_TEMPLATE.FAT&amp;display_string=Audit&amp;VAR:KEY=JAHYRGHKLM&amp;VAR:QUERY=RkZfRUJJVERBX0lCKCdMVE1TJywzOTI3MCk=&amp;WINDOW=FIRST_POPUP&amp;HEIGHT=450&amp;WIDTH=450&amp;START_MA","XIMIZED=FALSE&amp;VAR:CALENDAR=US&amp;VAR:SYMBOL=04916420&amp;VAR:INDEX=0"}</definedName>
    <definedName name="_101__FDSAUDITLINK__" localSheetId="6" hidden="1">{"fdsup://directions/FAT Viewer?action=UPDATE&amp;creator=factset&amp;DYN_ARGS=TRUE&amp;DOC_NAME=FAT:FQL_AUDITING_CLIENT_TEMPLATE.FAT&amp;display_string=Audit&amp;VAR:KEY=QFAZMXKHAR&amp;VAR:QUERY=QVZHKENTRl9ORVRfSU5DKEFOTiwwRlksLTZGWSxZKSkvKEFWRyhDU0ZfQVNTRVRTKEFOTiwwRlksLTZGWSxGW","SkpLUFWRyhDU0ZfSU5UQU5HKEFOTiwwLC02RlksRlkpKSk=&amp;WINDOW=FIRST_POPUP&amp;HEIGHT=450&amp;WIDTH=450&amp;START_MAXIMIZED=FALSE&amp;VAR:CALENDAR=US&amp;VAR:SYMBOL=SSW"}</definedName>
    <definedName name="_101__FDSAUDITLINK__" hidden="1">{"fdsup://directions/FAT Viewer?action=UPDATE&amp;creator=factset&amp;DYN_ARGS=TRUE&amp;DOC_NAME=FAT:FQL_AUDITING_CLIENT_TEMPLATE.FAT&amp;display_string=Audit&amp;VAR:KEY=QFAZMXKHAR&amp;VAR:QUERY=QVZHKENTRl9ORVRfSU5DKEFOTiwwRlksLTZGWSxZKSkvKEFWRyhDU0ZfQVNTRVRTKEFOTiwwRlksLTZGWSxGW","SkpLUFWRyhDU0ZfSU5UQU5HKEFOTiwwLC02RlksRlkpKSk=&amp;WINDOW=FIRST_POPUP&amp;HEIGHT=450&amp;WIDTH=450&amp;START_MAXIMIZED=FALSE&amp;VAR:CALENDAR=US&amp;VAR:SYMBOL=SSW"}</definedName>
    <definedName name="_1010__FDSAUDITLINK__" localSheetId="6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0__FDSAUDITLINK__" hidden="1">{"fdsup://directions/FAT%20Viewer?VAR:PED=LTM&amp;VAR:AUDIT_MODE=SUMMARY&amp;VAR:PERIOD=FIXED&amp;VAR:AUDIT_ID=00000117&amp;VAR:DATE=20070518&amp;action=UPDATE&amp;creator=factset&amp;DOC_NAME=FAT:FMA_audit_SUMMARY.fat&amp;DISPLAY_STRING=Display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00__FDSAUDITLINK__" localSheetId="6" hidden="1">{"fdsup://directions/FAT Viewer?action=UPDATE&amp;creator=factset&amp;DYN_ARGS=TRUE&amp;DOC_NAME=FAT:FQL_AUDITING_CLIENT_TEMPLATE.FAT&amp;display_string=Audit&amp;VAR:KEY=FSJUNYVOJI&amp;VAR:QUERY=RkZfRUJJVERBX0lCKCdMVE1TJywzOTI2OSk=&amp;WINDOW=FIRST_POPUP&amp;HEIGHT=450&amp;WIDTH=450&amp;START_MA","XIMIZED=FALSE&amp;VAR:CALENDAR=US&amp;VAR:SYMBOL=04916420&amp;VAR:INDEX=0"}</definedName>
    <definedName name="_10100__FDSAUDITLINK__" hidden="1">{"fdsup://directions/FAT Viewer?action=UPDATE&amp;creator=factset&amp;DYN_ARGS=TRUE&amp;DOC_NAME=FAT:FQL_AUDITING_CLIENT_TEMPLATE.FAT&amp;display_string=Audit&amp;VAR:KEY=FSJUNYVOJI&amp;VAR:QUERY=RkZfRUJJVERBX0lCKCdMVE1TJywzOTI2OSk=&amp;WINDOW=FIRST_POPUP&amp;HEIGHT=450&amp;WIDTH=450&amp;START_MA","XIMIZED=FALSE&amp;VAR:CALENDAR=US&amp;VAR:SYMBOL=04916420&amp;VAR:INDEX=0"}</definedName>
    <definedName name="_10101__FDSAUDITLINK__" localSheetId="6" hidden="1">{"fdsup://directions/FAT Viewer?action=UPDATE&amp;creator=factset&amp;DYN_ARGS=TRUE&amp;DOC_NAME=FAT:FQL_AUDITING_CLIENT_TEMPLATE.FAT&amp;display_string=Audit&amp;VAR:KEY=JMVGJEXYHS&amp;VAR:QUERY=RkZfRUJJVERBX0lCKCdMVE1TJywzOTI2OCk=&amp;WINDOW=FIRST_POPUP&amp;HEIGHT=450&amp;WIDTH=450&amp;START_MA","XIMIZED=FALSE&amp;VAR:CALENDAR=US&amp;VAR:SYMBOL=04916420&amp;VAR:INDEX=0"}</definedName>
    <definedName name="_10101__FDSAUDITLINK__" hidden="1">{"fdsup://directions/FAT Viewer?action=UPDATE&amp;creator=factset&amp;DYN_ARGS=TRUE&amp;DOC_NAME=FAT:FQL_AUDITING_CLIENT_TEMPLATE.FAT&amp;display_string=Audit&amp;VAR:KEY=JMVGJEXYHS&amp;VAR:QUERY=RkZfRUJJVERBX0lCKCdMVE1TJywzOTI2OCk=&amp;WINDOW=FIRST_POPUP&amp;HEIGHT=450&amp;WIDTH=450&amp;START_MA","XIMIZED=FALSE&amp;VAR:CALENDAR=US&amp;VAR:SYMBOL=04916420&amp;VAR:INDEX=0"}</definedName>
    <definedName name="_10102__FDSAUDITLINK__" localSheetId="6" hidden="1">{"fdsup://directions/FAT Viewer?action=UPDATE&amp;creator=factset&amp;DYN_ARGS=TRUE&amp;DOC_NAME=FAT:FQL_AUDITING_CLIENT_TEMPLATE.FAT&amp;display_string=Audit&amp;VAR:KEY=TGBCJSHAHC&amp;VAR:QUERY=RkZfRUJJVERBX0lCKCdMVE1TJywzOTI2Nyk=&amp;WINDOW=FIRST_POPUP&amp;HEIGHT=450&amp;WIDTH=450&amp;START_MA","XIMIZED=FALSE&amp;VAR:CALENDAR=US&amp;VAR:SYMBOL=04916420&amp;VAR:INDEX=0"}</definedName>
    <definedName name="_10102__FDSAUDITLINK__" hidden="1">{"fdsup://directions/FAT Viewer?action=UPDATE&amp;creator=factset&amp;DYN_ARGS=TRUE&amp;DOC_NAME=FAT:FQL_AUDITING_CLIENT_TEMPLATE.FAT&amp;display_string=Audit&amp;VAR:KEY=TGBCJSHAHC&amp;VAR:QUERY=RkZfRUJJVERBX0lCKCdMVE1TJywzOTI2Nyk=&amp;WINDOW=FIRST_POPUP&amp;HEIGHT=450&amp;WIDTH=450&amp;START_MA","XIMIZED=FALSE&amp;VAR:CALENDAR=US&amp;VAR:SYMBOL=04916420&amp;VAR:INDEX=0"}</definedName>
    <definedName name="_10103__FDSAUDITLINK__" localSheetId="6" hidden="1">{"fdsup://directions/FAT Viewer?action=UPDATE&amp;creator=factset&amp;DYN_ARGS=TRUE&amp;DOC_NAME=FAT:FQL_AUDITING_CLIENT_TEMPLATE.FAT&amp;display_string=Audit&amp;VAR:KEY=FMNCREDKLU&amp;VAR:QUERY=RkZfRUJJVERBX0lCKCdMVE1TJywzOTI2Nik=&amp;WINDOW=FIRST_POPUP&amp;HEIGHT=450&amp;WIDTH=450&amp;START_MA","XIMIZED=FALSE&amp;VAR:CALENDAR=US&amp;VAR:SYMBOL=04916420&amp;VAR:INDEX=0"}</definedName>
    <definedName name="_10103__FDSAUDITLINK__" hidden="1">{"fdsup://directions/FAT Viewer?action=UPDATE&amp;creator=factset&amp;DYN_ARGS=TRUE&amp;DOC_NAME=FAT:FQL_AUDITING_CLIENT_TEMPLATE.FAT&amp;display_string=Audit&amp;VAR:KEY=FMNCREDKLU&amp;VAR:QUERY=RkZfRUJJVERBX0lCKCdMVE1TJywzOTI2Nik=&amp;WINDOW=FIRST_POPUP&amp;HEIGHT=450&amp;WIDTH=450&amp;START_MA","XIMIZED=FALSE&amp;VAR:CALENDAR=US&amp;VAR:SYMBOL=04916420&amp;VAR:INDEX=0"}</definedName>
    <definedName name="_10104__FDSAUDITLINK__" localSheetId="6" hidden="1">{"fdsup://directions/FAT Viewer?action=UPDATE&amp;creator=factset&amp;DYN_ARGS=TRUE&amp;DOC_NAME=FAT:FQL_AUDITING_CLIENT_TEMPLATE.FAT&amp;display_string=Audit&amp;VAR:KEY=JOHWLCPCLU&amp;VAR:QUERY=RkZfRUJJVERBX0lCKCdMVE1TJywzOTI2NSk=&amp;WINDOW=FIRST_POPUP&amp;HEIGHT=450&amp;WIDTH=450&amp;START_MA","XIMIZED=FALSE&amp;VAR:CALENDAR=US&amp;VAR:SYMBOL=04916420&amp;VAR:INDEX=0"}</definedName>
    <definedName name="_10104__FDSAUDITLINK__" hidden="1">{"fdsup://directions/FAT Viewer?action=UPDATE&amp;creator=factset&amp;DYN_ARGS=TRUE&amp;DOC_NAME=FAT:FQL_AUDITING_CLIENT_TEMPLATE.FAT&amp;display_string=Audit&amp;VAR:KEY=JOHWLCPCLU&amp;VAR:QUERY=RkZfRUJJVERBX0lCKCdMVE1TJywzOTI2NSk=&amp;WINDOW=FIRST_POPUP&amp;HEIGHT=450&amp;WIDTH=450&amp;START_MA","XIMIZED=FALSE&amp;VAR:CALENDAR=US&amp;VAR:SYMBOL=04916420&amp;VAR:INDEX=0"}</definedName>
    <definedName name="_10105__FDSAUDITLINK__" localSheetId="6" hidden="1">{"fdsup://directions/FAT Viewer?action=UPDATE&amp;creator=factset&amp;DYN_ARGS=TRUE&amp;DOC_NAME=FAT:FQL_AUDITING_CLIENT_TEMPLATE.FAT&amp;display_string=Audit&amp;VAR:KEY=NYZYREBSVU&amp;VAR:QUERY=RkZfRUJJVERBX0lCKCdMVE1TJywzOTI2NCk=&amp;WINDOW=FIRST_POPUP&amp;HEIGHT=450&amp;WIDTH=450&amp;START_MA","XIMIZED=FALSE&amp;VAR:CALENDAR=US&amp;VAR:SYMBOL=04916420&amp;VAR:INDEX=0"}</definedName>
    <definedName name="_10105__FDSAUDITLINK__" hidden="1">{"fdsup://directions/FAT Viewer?action=UPDATE&amp;creator=factset&amp;DYN_ARGS=TRUE&amp;DOC_NAME=FAT:FQL_AUDITING_CLIENT_TEMPLATE.FAT&amp;display_string=Audit&amp;VAR:KEY=NYZYREBSVU&amp;VAR:QUERY=RkZfRUJJVERBX0lCKCdMVE1TJywzOTI2NCk=&amp;WINDOW=FIRST_POPUP&amp;HEIGHT=450&amp;WIDTH=450&amp;START_MA","XIMIZED=FALSE&amp;VAR:CALENDAR=US&amp;VAR:SYMBOL=04916420&amp;VAR:INDEX=0"}</definedName>
    <definedName name="_10106__FDSAUDITLINK__" localSheetId="6" hidden="1">{"fdsup://directions/FAT Viewer?action=UPDATE&amp;creator=factset&amp;DYN_ARGS=TRUE&amp;DOC_NAME=FAT:FQL_AUDITING_CLIENT_TEMPLATE.FAT&amp;display_string=Audit&amp;VAR:KEY=VKLEZGRGTA&amp;VAR:QUERY=RkZfRUJJVERBX0lCKCdMVE1TJywzOTI2Myk=&amp;WINDOW=FIRST_POPUP&amp;HEIGHT=450&amp;WIDTH=450&amp;START_MA","XIMIZED=FALSE&amp;VAR:CALENDAR=US&amp;VAR:SYMBOL=04916420&amp;VAR:INDEX=0"}</definedName>
    <definedName name="_10106__FDSAUDITLINK__" hidden="1">{"fdsup://directions/FAT Viewer?action=UPDATE&amp;creator=factset&amp;DYN_ARGS=TRUE&amp;DOC_NAME=FAT:FQL_AUDITING_CLIENT_TEMPLATE.FAT&amp;display_string=Audit&amp;VAR:KEY=VKLEZGRGTA&amp;VAR:QUERY=RkZfRUJJVERBX0lCKCdMVE1TJywzOTI2Myk=&amp;WINDOW=FIRST_POPUP&amp;HEIGHT=450&amp;WIDTH=450&amp;START_MA","XIMIZED=FALSE&amp;VAR:CALENDAR=US&amp;VAR:SYMBOL=04916420&amp;VAR:INDEX=0"}</definedName>
    <definedName name="_10107__FDSAUDITLINK__" localSheetId="6" hidden="1">{"fdsup://directions/FAT Viewer?action=UPDATE&amp;creator=factset&amp;DYN_ARGS=TRUE&amp;DOC_NAME=FAT:FQL_AUDITING_CLIENT_TEMPLATE.FAT&amp;display_string=Audit&amp;VAR:KEY=ZENGJMRULG&amp;VAR:QUERY=RkZfRUJJVERBX0lCKCdMVE1TJywzOTI2Mik=&amp;WINDOW=FIRST_POPUP&amp;HEIGHT=450&amp;WIDTH=450&amp;START_MA","XIMIZED=FALSE&amp;VAR:CALENDAR=US&amp;VAR:SYMBOL=04916420&amp;VAR:INDEX=0"}</definedName>
    <definedName name="_10107__FDSAUDITLINK__" hidden="1">{"fdsup://directions/FAT Viewer?action=UPDATE&amp;creator=factset&amp;DYN_ARGS=TRUE&amp;DOC_NAME=FAT:FQL_AUDITING_CLIENT_TEMPLATE.FAT&amp;display_string=Audit&amp;VAR:KEY=ZENGJMRULG&amp;VAR:QUERY=RkZfRUJJVERBX0lCKCdMVE1TJywzOTI2Mik=&amp;WINDOW=FIRST_POPUP&amp;HEIGHT=450&amp;WIDTH=450&amp;START_MA","XIMIZED=FALSE&amp;VAR:CALENDAR=US&amp;VAR:SYMBOL=04916420&amp;VAR:INDEX=0"}</definedName>
    <definedName name="_10108__FDSAUDITLINK__" localSheetId="6" hidden="1">{"fdsup://directions/FAT Viewer?action=UPDATE&amp;creator=factset&amp;DYN_ARGS=TRUE&amp;DOC_NAME=FAT:FQL_AUDITING_CLIENT_TEMPLATE.FAT&amp;display_string=Audit&amp;VAR:KEY=RSZULMVIZA&amp;VAR:QUERY=RkZfRUJJVERBX0lCKCdMVE1TJywzOTI2MSk=&amp;WINDOW=FIRST_POPUP&amp;HEIGHT=450&amp;WIDTH=450&amp;START_MA","XIMIZED=FALSE&amp;VAR:CALENDAR=US&amp;VAR:SYMBOL=04916420&amp;VAR:INDEX=0"}</definedName>
    <definedName name="_10108__FDSAUDITLINK__" hidden="1">{"fdsup://directions/FAT Viewer?action=UPDATE&amp;creator=factset&amp;DYN_ARGS=TRUE&amp;DOC_NAME=FAT:FQL_AUDITING_CLIENT_TEMPLATE.FAT&amp;display_string=Audit&amp;VAR:KEY=RSZULMVIZA&amp;VAR:QUERY=RkZfRUJJVERBX0lCKCdMVE1TJywzOTI2MSk=&amp;WINDOW=FIRST_POPUP&amp;HEIGHT=450&amp;WIDTH=450&amp;START_MA","XIMIZED=FALSE&amp;VAR:CALENDAR=US&amp;VAR:SYMBOL=04916420&amp;VAR:INDEX=0"}</definedName>
    <definedName name="_10109__FDSAUDITLINK__" localSheetId="6" hidden="1">{"fdsup://directions/FAT Viewer?action=UPDATE&amp;creator=factset&amp;DYN_ARGS=TRUE&amp;DOC_NAME=FAT:FQL_AUDITING_CLIENT_TEMPLATE.FAT&amp;display_string=Audit&amp;VAR:KEY=JCTQXIPEZW&amp;VAR:QUERY=RkZfRUJJVERBX0lCKCdMVE1TJywzOTI2MCk=&amp;WINDOW=FIRST_POPUP&amp;HEIGHT=450&amp;WIDTH=450&amp;START_MA","XIMIZED=FALSE&amp;VAR:CALENDAR=US&amp;VAR:SYMBOL=04916420&amp;VAR:INDEX=0"}</definedName>
    <definedName name="_10109__FDSAUDITLINK__" hidden="1">{"fdsup://directions/FAT Viewer?action=UPDATE&amp;creator=factset&amp;DYN_ARGS=TRUE&amp;DOC_NAME=FAT:FQL_AUDITING_CLIENT_TEMPLATE.FAT&amp;display_string=Audit&amp;VAR:KEY=JCTQXIPEZW&amp;VAR:QUERY=RkZfRUJJVERBX0lCKCdMVE1TJywzOTI2MCk=&amp;WINDOW=FIRST_POPUP&amp;HEIGHT=450&amp;WIDTH=450&amp;START_MA","XIMIZED=FALSE&amp;VAR:CALENDAR=US&amp;VAR:SYMBOL=04916420&amp;VAR:INDEX=0"}</definedName>
    <definedName name="_1011__FDSAUDITLINK__" localSheetId="6" hidden="1">{"fdsup://directions/FAT%20Viewer?VAR:PED=LTM&amp;VAR:AUDIT_MODE=SUMMARY&amp;VAR:PERIOD=FIXED&amp;VAR:AUDIT_ID=00000117&amp;VAR:DATE=20070517&amp;action=UPDATE&amp;creator=factset&amp;DOC_NAME=FAT:FMA_audit_SUMMARY.fat&amp;DISPLAY_STRING=Display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1__FDSAUDITLINK__" hidden="1">{"fdsup://directions/FAT%20Viewer?VAR:PED=LTM&amp;VAR:AUDIT_MODE=SUMMARY&amp;VAR:PERIOD=FIXED&amp;VAR:AUDIT_ID=00000117&amp;VAR:DATE=20070517&amp;action=UPDATE&amp;creator=factset&amp;DOC_NAME=FAT:FMA_audit_SUMMARY.fat&amp;DISPLAY_STRING=Display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10__FDSAUDITLINK__" localSheetId="6" hidden="1">{"fdsup://directions/FAT Viewer?action=UPDATE&amp;creator=factset&amp;DYN_ARGS=TRUE&amp;DOC_NAME=FAT:FQL_AUDITING_CLIENT_TEMPLATE.FAT&amp;display_string=Audit&amp;VAR:KEY=LEJSHIFOJI&amp;VAR:QUERY=RkZfRUJJVERBX0lCKCdMVE1TJywzOTI1OSk=&amp;WINDOW=FIRST_POPUP&amp;HEIGHT=450&amp;WIDTH=450&amp;START_MA","XIMIZED=FALSE&amp;VAR:CALENDAR=US&amp;VAR:SYMBOL=04916420&amp;VAR:INDEX=0"}</definedName>
    <definedName name="_10110__FDSAUDITLINK__" hidden="1">{"fdsup://directions/FAT Viewer?action=UPDATE&amp;creator=factset&amp;DYN_ARGS=TRUE&amp;DOC_NAME=FAT:FQL_AUDITING_CLIENT_TEMPLATE.FAT&amp;display_string=Audit&amp;VAR:KEY=LEJSHIFOJI&amp;VAR:QUERY=RkZfRUJJVERBX0lCKCdMVE1TJywzOTI1OSk=&amp;WINDOW=FIRST_POPUP&amp;HEIGHT=450&amp;WIDTH=450&amp;START_MA","XIMIZED=FALSE&amp;VAR:CALENDAR=US&amp;VAR:SYMBOL=04916420&amp;VAR:INDEX=0"}</definedName>
    <definedName name="_10111__FDSAUDITLINK__" localSheetId="6" hidden="1">{"fdsup://directions/FAT Viewer?action=UPDATE&amp;creator=factset&amp;DYN_ARGS=TRUE&amp;DOC_NAME=FAT:FQL_AUDITING_CLIENT_TEMPLATE.FAT&amp;display_string=Audit&amp;VAR:KEY=HEXEREHUFY&amp;VAR:QUERY=RkZfRUJJVERBX0lCKCdMVE1TJywzOTI1OCk=&amp;WINDOW=FIRST_POPUP&amp;HEIGHT=450&amp;WIDTH=450&amp;START_MA","XIMIZED=FALSE&amp;VAR:CALENDAR=US&amp;VAR:SYMBOL=04916420&amp;VAR:INDEX=0"}</definedName>
    <definedName name="_10111__FDSAUDITLINK__" hidden="1">{"fdsup://directions/FAT Viewer?action=UPDATE&amp;creator=factset&amp;DYN_ARGS=TRUE&amp;DOC_NAME=FAT:FQL_AUDITING_CLIENT_TEMPLATE.FAT&amp;display_string=Audit&amp;VAR:KEY=HEXEREHUFY&amp;VAR:QUERY=RkZfRUJJVERBX0lCKCdMVE1TJywzOTI1OCk=&amp;WINDOW=FIRST_POPUP&amp;HEIGHT=450&amp;WIDTH=450&amp;START_MA","XIMIZED=FALSE&amp;VAR:CALENDAR=US&amp;VAR:SYMBOL=04916420&amp;VAR:INDEX=0"}</definedName>
    <definedName name="_10112__FDSAUDITLINK__" localSheetId="6" hidden="1">{"fdsup://directions/FAT Viewer?action=UPDATE&amp;creator=factset&amp;DYN_ARGS=TRUE&amp;DOC_NAME=FAT:FQL_AUDITING_CLIENT_TEMPLATE.FAT&amp;display_string=Audit&amp;VAR:KEY=ZKHMNUPOZM&amp;VAR:QUERY=RkZfRUJJVERBX0lCKCdMVE1TJywzOTI1Nyk=&amp;WINDOW=FIRST_POPUP&amp;HEIGHT=450&amp;WIDTH=450&amp;START_MA","XIMIZED=FALSE&amp;VAR:CALENDAR=US&amp;VAR:SYMBOL=04916420&amp;VAR:INDEX=0"}</definedName>
    <definedName name="_10112__FDSAUDITLINK__" hidden="1">{"fdsup://directions/FAT Viewer?action=UPDATE&amp;creator=factset&amp;DYN_ARGS=TRUE&amp;DOC_NAME=FAT:FQL_AUDITING_CLIENT_TEMPLATE.FAT&amp;display_string=Audit&amp;VAR:KEY=ZKHMNUPOZM&amp;VAR:QUERY=RkZfRUJJVERBX0lCKCdMVE1TJywzOTI1Nyk=&amp;WINDOW=FIRST_POPUP&amp;HEIGHT=450&amp;WIDTH=450&amp;START_MA","XIMIZED=FALSE&amp;VAR:CALENDAR=US&amp;VAR:SYMBOL=04916420&amp;VAR:INDEX=0"}</definedName>
    <definedName name="_10113__FDSAUDITLINK__" localSheetId="6" hidden="1">{"fdsup://directions/FAT Viewer?action=UPDATE&amp;creator=factset&amp;DYN_ARGS=TRUE&amp;DOC_NAME=FAT:FQL_AUDITING_CLIENT_TEMPLATE.FAT&amp;display_string=Audit&amp;VAR:KEY=FCVSZWLYDS&amp;VAR:QUERY=RkZfRUJJVERBX0lCKCdMVE1TJywzOTI1Nik=&amp;WINDOW=FIRST_POPUP&amp;HEIGHT=450&amp;WIDTH=450&amp;START_MA","XIMIZED=FALSE&amp;VAR:CALENDAR=US&amp;VAR:SYMBOL=04916420&amp;VAR:INDEX=0"}</definedName>
    <definedName name="_10113__FDSAUDITLINK__" hidden="1">{"fdsup://directions/FAT Viewer?action=UPDATE&amp;creator=factset&amp;DYN_ARGS=TRUE&amp;DOC_NAME=FAT:FQL_AUDITING_CLIENT_TEMPLATE.FAT&amp;display_string=Audit&amp;VAR:KEY=FCVSZWLYDS&amp;VAR:QUERY=RkZfRUJJVERBX0lCKCdMVE1TJywzOTI1Nik=&amp;WINDOW=FIRST_POPUP&amp;HEIGHT=450&amp;WIDTH=450&amp;START_MA","XIMIZED=FALSE&amp;VAR:CALENDAR=US&amp;VAR:SYMBOL=04916420&amp;VAR:INDEX=0"}</definedName>
    <definedName name="_10114__FDSAUDITLINK__" localSheetId="6" hidden="1">{"fdsup://directions/FAT Viewer?action=UPDATE&amp;creator=factset&amp;DYN_ARGS=TRUE&amp;DOC_NAME=FAT:FQL_AUDITING_CLIENT_TEMPLATE.FAT&amp;display_string=Audit&amp;VAR:KEY=NKJEFGZWJS&amp;VAR:QUERY=RkZfRUJJVERBX0lCKCdMVE1TJywzOTI1NSk=&amp;WINDOW=FIRST_POPUP&amp;HEIGHT=450&amp;WIDTH=450&amp;START_MA","XIMIZED=FALSE&amp;VAR:CALENDAR=US&amp;VAR:SYMBOL=04916420&amp;VAR:INDEX=0"}</definedName>
    <definedName name="_10114__FDSAUDITLINK__" hidden="1">{"fdsup://directions/FAT Viewer?action=UPDATE&amp;creator=factset&amp;DYN_ARGS=TRUE&amp;DOC_NAME=FAT:FQL_AUDITING_CLIENT_TEMPLATE.FAT&amp;display_string=Audit&amp;VAR:KEY=NKJEFGZWJS&amp;VAR:QUERY=RkZfRUJJVERBX0lCKCdMVE1TJywzOTI1NSk=&amp;WINDOW=FIRST_POPUP&amp;HEIGHT=450&amp;WIDTH=450&amp;START_MA","XIMIZED=FALSE&amp;VAR:CALENDAR=US&amp;VAR:SYMBOL=04916420&amp;VAR:INDEX=0"}</definedName>
    <definedName name="_10115__FDSAUDITLINK__" localSheetId="6" hidden="1">{"fdsup://directions/FAT Viewer?action=UPDATE&amp;creator=factset&amp;DYN_ARGS=TRUE&amp;DOC_NAME=FAT:FQL_AUDITING_CLIENT_TEMPLATE.FAT&amp;display_string=Audit&amp;VAR:KEY=ZUZCJCZSTG&amp;VAR:QUERY=RkZfRUJJVERBX0lCKCdMVE1TJywzOTI1NCk=&amp;WINDOW=FIRST_POPUP&amp;HEIGHT=450&amp;WIDTH=450&amp;START_MA","XIMIZED=FALSE&amp;VAR:CALENDAR=US&amp;VAR:SYMBOL=04916420&amp;VAR:INDEX=0"}</definedName>
    <definedName name="_10115__FDSAUDITLINK__" hidden="1">{"fdsup://directions/FAT Viewer?action=UPDATE&amp;creator=factset&amp;DYN_ARGS=TRUE&amp;DOC_NAME=FAT:FQL_AUDITING_CLIENT_TEMPLATE.FAT&amp;display_string=Audit&amp;VAR:KEY=ZUZCJCZSTG&amp;VAR:QUERY=RkZfRUJJVERBX0lCKCdMVE1TJywzOTI1NCk=&amp;WINDOW=FIRST_POPUP&amp;HEIGHT=450&amp;WIDTH=450&amp;START_MA","XIMIZED=FALSE&amp;VAR:CALENDAR=US&amp;VAR:SYMBOL=04916420&amp;VAR:INDEX=0"}</definedName>
    <definedName name="_10116__FDSAUDITLINK__" localSheetId="6" hidden="1">{"fdsup://directions/FAT Viewer?action=UPDATE&amp;creator=factset&amp;DYN_ARGS=TRUE&amp;DOC_NAME=FAT:FQL_AUDITING_CLIENT_TEMPLATE.FAT&amp;display_string=Audit&amp;VAR:KEY=BETYTCPEZU&amp;VAR:QUERY=RkZfRUJJVERBX0lCKCdMVE1TJywzOTI1Myk=&amp;WINDOW=FIRST_POPUP&amp;HEIGHT=450&amp;WIDTH=450&amp;START_MA","XIMIZED=FALSE&amp;VAR:CALENDAR=US&amp;VAR:SYMBOL=04916420&amp;VAR:INDEX=0"}</definedName>
    <definedName name="_10116__FDSAUDITLINK__" hidden="1">{"fdsup://directions/FAT Viewer?action=UPDATE&amp;creator=factset&amp;DYN_ARGS=TRUE&amp;DOC_NAME=FAT:FQL_AUDITING_CLIENT_TEMPLATE.FAT&amp;display_string=Audit&amp;VAR:KEY=BETYTCPEZU&amp;VAR:QUERY=RkZfRUJJVERBX0lCKCdMVE1TJywzOTI1Myk=&amp;WINDOW=FIRST_POPUP&amp;HEIGHT=450&amp;WIDTH=450&amp;START_MA","XIMIZED=FALSE&amp;VAR:CALENDAR=US&amp;VAR:SYMBOL=04916420&amp;VAR:INDEX=0"}</definedName>
    <definedName name="_10117__FDSAUDITLINK__" localSheetId="6" hidden="1">{"fdsup://directions/FAT Viewer?action=UPDATE&amp;creator=factset&amp;DYN_ARGS=TRUE&amp;DOC_NAME=FAT:FQL_AUDITING_CLIENT_TEMPLATE.FAT&amp;display_string=Audit&amp;VAR:KEY=NSXMDMRITW&amp;VAR:QUERY=RkZfRUJJVERBX0lCKCdMVE1TJywzOTI1Mik=&amp;WINDOW=FIRST_POPUP&amp;HEIGHT=450&amp;WIDTH=450&amp;START_MA","XIMIZED=FALSE&amp;VAR:CALENDAR=US&amp;VAR:SYMBOL=04916420&amp;VAR:INDEX=0"}</definedName>
    <definedName name="_10117__FDSAUDITLINK__" hidden="1">{"fdsup://directions/FAT Viewer?action=UPDATE&amp;creator=factset&amp;DYN_ARGS=TRUE&amp;DOC_NAME=FAT:FQL_AUDITING_CLIENT_TEMPLATE.FAT&amp;display_string=Audit&amp;VAR:KEY=NSXMDMRITW&amp;VAR:QUERY=RkZfRUJJVERBX0lCKCdMVE1TJywzOTI1Mik=&amp;WINDOW=FIRST_POPUP&amp;HEIGHT=450&amp;WIDTH=450&amp;START_MA","XIMIZED=FALSE&amp;VAR:CALENDAR=US&amp;VAR:SYMBOL=04916420&amp;VAR:INDEX=0"}</definedName>
    <definedName name="_10118__FDSAUDITLINK__" localSheetId="6" hidden="1">{"fdsup://directions/FAT Viewer?action=UPDATE&amp;creator=factset&amp;DYN_ARGS=TRUE&amp;DOC_NAME=FAT:FQL_AUDITING_CLIENT_TEMPLATE.FAT&amp;display_string=Audit&amp;VAR:KEY=ZWXERKBCZI&amp;VAR:QUERY=RkZfRUJJVERBX0lCKCdMVE1TJywzOTI1MSk=&amp;WINDOW=FIRST_POPUP&amp;HEIGHT=450&amp;WIDTH=450&amp;START_MA","XIMIZED=FALSE&amp;VAR:CALENDAR=US&amp;VAR:SYMBOL=04916420&amp;VAR:INDEX=0"}</definedName>
    <definedName name="_10118__FDSAUDITLINK__" hidden="1">{"fdsup://directions/FAT Viewer?action=UPDATE&amp;creator=factset&amp;DYN_ARGS=TRUE&amp;DOC_NAME=FAT:FQL_AUDITING_CLIENT_TEMPLATE.FAT&amp;display_string=Audit&amp;VAR:KEY=ZWXERKBCZI&amp;VAR:QUERY=RkZfRUJJVERBX0lCKCdMVE1TJywzOTI1MSk=&amp;WINDOW=FIRST_POPUP&amp;HEIGHT=450&amp;WIDTH=450&amp;START_MA","XIMIZED=FALSE&amp;VAR:CALENDAR=US&amp;VAR:SYMBOL=04916420&amp;VAR:INDEX=0"}</definedName>
    <definedName name="_10119__FDSAUDITLINK__" localSheetId="6" hidden="1">{"fdsup://directions/FAT Viewer?action=UPDATE&amp;creator=factset&amp;DYN_ARGS=TRUE&amp;DOC_NAME=FAT:FQL_AUDITING_CLIENT_TEMPLATE.FAT&amp;display_string=Audit&amp;VAR:KEY=LSPALIXQVW&amp;VAR:QUERY=RkZfRUJJVERBX0lCKCdMVE1TJywzOTI1MCk=&amp;WINDOW=FIRST_POPUP&amp;HEIGHT=450&amp;WIDTH=450&amp;START_MA","XIMIZED=FALSE&amp;VAR:CALENDAR=US&amp;VAR:SYMBOL=04916420&amp;VAR:INDEX=0"}</definedName>
    <definedName name="_10119__FDSAUDITLINK__" hidden="1">{"fdsup://directions/FAT Viewer?action=UPDATE&amp;creator=factset&amp;DYN_ARGS=TRUE&amp;DOC_NAME=FAT:FQL_AUDITING_CLIENT_TEMPLATE.FAT&amp;display_string=Audit&amp;VAR:KEY=LSPALIXQVW&amp;VAR:QUERY=RkZfRUJJVERBX0lCKCdMVE1TJywzOTI1MCk=&amp;WINDOW=FIRST_POPUP&amp;HEIGHT=450&amp;WIDTH=450&amp;START_MA","XIMIZED=FALSE&amp;VAR:CALENDAR=US&amp;VAR:SYMBOL=04916420&amp;VAR:INDEX=0"}</definedName>
    <definedName name="_1012__FDSAUDITLINK__" localSheetId="6" hidden="1">{"fdsup://directions/FAT%20Viewer?VAR:PED=LTM&amp;VAR:AUDIT_MODE=SUMMARY&amp;VAR:PERIOD=FIXED&amp;VAR:AUDIT_ID=00000117&amp;VAR:DATE=20070516&amp;action=UPDATE&amp;creator=factset&amp;DOC_NAME=FAT:FMA_audit_SUMMARY.fat&amp;DISPLAY_STRING=Display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2__FDSAUDITLINK__" hidden="1">{"fdsup://directions/FAT%20Viewer?VAR:PED=LTM&amp;VAR:AUDIT_MODE=SUMMARY&amp;VAR:PERIOD=FIXED&amp;VAR:AUDIT_ID=00000117&amp;VAR:DATE=20070516&amp;action=UPDATE&amp;creator=factset&amp;DOC_NAME=FAT:FMA_audit_SUMMARY.fat&amp;DISPLAY_STRING=Display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20__FDSAUDITLINK__" localSheetId="6" hidden="1">{"fdsup://directions/FAT Viewer?action=UPDATE&amp;creator=factset&amp;DYN_ARGS=TRUE&amp;DOC_NAME=FAT:FQL_AUDITING_CLIENT_TEMPLATE.FAT&amp;display_string=Audit&amp;VAR:KEY=XEPILEPSZS&amp;VAR:QUERY=RkZfRUJJVERBX0lCKCdMVE1TJywzOTI0OSk=&amp;WINDOW=FIRST_POPUP&amp;HEIGHT=450&amp;WIDTH=450&amp;START_MA","XIMIZED=FALSE&amp;VAR:CALENDAR=US&amp;VAR:SYMBOL=04916420&amp;VAR:INDEX=0"}</definedName>
    <definedName name="_10120__FDSAUDITLINK__" hidden="1">{"fdsup://directions/FAT Viewer?action=UPDATE&amp;creator=factset&amp;DYN_ARGS=TRUE&amp;DOC_NAME=FAT:FQL_AUDITING_CLIENT_TEMPLATE.FAT&amp;display_string=Audit&amp;VAR:KEY=XEPILEPSZS&amp;VAR:QUERY=RkZfRUJJVERBX0lCKCdMVE1TJywzOTI0OSk=&amp;WINDOW=FIRST_POPUP&amp;HEIGHT=450&amp;WIDTH=450&amp;START_MA","XIMIZED=FALSE&amp;VAR:CALENDAR=US&amp;VAR:SYMBOL=04916420&amp;VAR:INDEX=0"}</definedName>
    <definedName name="_10121__FDSAUDITLINK__" localSheetId="6" hidden="1">{"fdsup://directions/FAT Viewer?action=UPDATE&amp;creator=factset&amp;DYN_ARGS=TRUE&amp;DOC_NAME=FAT:FQL_AUDITING_CLIENT_TEMPLATE.FAT&amp;display_string=Audit&amp;VAR:KEY=VMHWRAFAHI&amp;VAR:QUERY=RkZfRUJJVERBX0lCKCdMVE1TJywzOTI0OCk=&amp;WINDOW=FIRST_POPUP&amp;HEIGHT=450&amp;WIDTH=450&amp;START_MA","XIMIZED=FALSE&amp;VAR:CALENDAR=US&amp;VAR:SYMBOL=04916420&amp;VAR:INDEX=0"}</definedName>
    <definedName name="_10121__FDSAUDITLINK__" hidden="1">{"fdsup://directions/FAT Viewer?action=UPDATE&amp;creator=factset&amp;DYN_ARGS=TRUE&amp;DOC_NAME=FAT:FQL_AUDITING_CLIENT_TEMPLATE.FAT&amp;display_string=Audit&amp;VAR:KEY=VMHWRAFAHI&amp;VAR:QUERY=RkZfRUJJVERBX0lCKCdMVE1TJywzOTI0OCk=&amp;WINDOW=FIRST_POPUP&amp;HEIGHT=450&amp;WIDTH=450&amp;START_MA","XIMIZED=FALSE&amp;VAR:CALENDAR=US&amp;VAR:SYMBOL=04916420&amp;VAR:INDEX=0"}</definedName>
    <definedName name="_10122__FDSAUDITLINK__" localSheetId="6" hidden="1">{"fdsup://directions/FAT Viewer?action=UPDATE&amp;creator=factset&amp;DYN_ARGS=TRUE&amp;DOC_NAME=FAT:FQL_AUDITING_CLIENT_TEMPLATE.FAT&amp;display_string=Audit&amp;VAR:KEY=TGLENYTITS&amp;VAR:QUERY=RkZfRUJJVERBX0lCKCdMVE1TJywzOTI0Nyk=&amp;WINDOW=FIRST_POPUP&amp;HEIGHT=450&amp;WIDTH=450&amp;START_MA","XIMIZED=FALSE&amp;VAR:CALENDAR=US&amp;VAR:SYMBOL=04916420&amp;VAR:INDEX=0"}</definedName>
    <definedName name="_10122__FDSAUDITLINK__" hidden="1">{"fdsup://directions/FAT Viewer?action=UPDATE&amp;creator=factset&amp;DYN_ARGS=TRUE&amp;DOC_NAME=FAT:FQL_AUDITING_CLIENT_TEMPLATE.FAT&amp;display_string=Audit&amp;VAR:KEY=TGLENYTITS&amp;VAR:QUERY=RkZfRUJJVERBX0lCKCdMVE1TJywzOTI0Nyk=&amp;WINDOW=FIRST_POPUP&amp;HEIGHT=450&amp;WIDTH=450&amp;START_MA","XIMIZED=FALSE&amp;VAR:CALENDAR=US&amp;VAR:SYMBOL=04916420&amp;VAR:INDEX=0"}</definedName>
    <definedName name="_10123__FDSAUDITLINK__" localSheetId="6" hidden="1">{"fdsup://directions/FAT Viewer?action=UPDATE&amp;creator=factset&amp;DYN_ARGS=TRUE&amp;DOC_NAME=FAT:FQL_AUDITING_CLIENT_TEMPLATE.FAT&amp;display_string=Audit&amp;VAR:KEY=DUVWXEDWTM&amp;VAR:QUERY=RkZfRUJJVERBX0lCKCdMVE1TJywzOTI0Nik=&amp;WINDOW=FIRST_POPUP&amp;HEIGHT=450&amp;WIDTH=450&amp;START_MA","XIMIZED=FALSE&amp;VAR:CALENDAR=US&amp;VAR:SYMBOL=04916420&amp;VAR:INDEX=0"}</definedName>
    <definedName name="_10123__FDSAUDITLINK__" hidden="1">{"fdsup://directions/FAT Viewer?action=UPDATE&amp;creator=factset&amp;DYN_ARGS=TRUE&amp;DOC_NAME=FAT:FQL_AUDITING_CLIENT_TEMPLATE.FAT&amp;display_string=Audit&amp;VAR:KEY=DUVWXEDWTM&amp;VAR:QUERY=RkZfRUJJVERBX0lCKCdMVE1TJywzOTI0Nik=&amp;WINDOW=FIRST_POPUP&amp;HEIGHT=450&amp;WIDTH=450&amp;START_MA","XIMIZED=FALSE&amp;VAR:CALENDAR=US&amp;VAR:SYMBOL=04916420&amp;VAR:INDEX=0"}</definedName>
    <definedName name="_10124__FDSAUDITLINK__" localSheetId="6" hidden="1">{"fdsup://directions/FAT Viewer?action=UPDATE&amp;creator=factset&amp;DYN_ARGS=TRUE&amp;DOC_NAME=FAT:FQL_AUDITING_CLIENT_TEMPLATE.FAT&amp;display_string=Audit&amp;VAR:KEY=ZIXAZKHKFG&amp;VAR:QUERY=RkZfRUJJVERBX0lCKCdMVE1TJywzOTI0NSk=&amp;WINDOW=FIRST_POPUP&amp;HEIGHT=450&amp;WIDTH=450&amp;START_MA","XIMIZED=FALSE&amp;VAR:CALENDAR=US&amp;VAR:SYMBOL=04916420&amp;VAR:INDEX=0"}</definedName>
    <definedName name="_10124__FDSAUDITLINK__" hidden="1">{"fdsup://directions/FAT Viewer?action=UPDATE&amp;creator=factset&amp;DYN_ARGS=TRUE&amp;DOC_NAME=FAT:FQL_AUDITING_CLIENT_TEMPLATE.FAT&amp;display_string=Audit&amp;VAR:KEY=ZIXAZKHKFG&amp;VAR:QUERY=RkZfRUJJVERBX0lCKCdMVE1TJywzOTI0NSk=&amp;WINDOW=FIRST_POPUP&amp;HEIGHT=450&amp;WIDTH=450&amp;START_MA","XIMIZED=FALSE&amp;VAR:CALENDAR=US&amp;VAR:SYMBOL=04916420&amp;VAR:INDEX=0"}</definedName>
    <definedName name="_10125__FDSAUDITLINK__" localSheetId="6" hidden="1">{"fdsup://directions/FAT Viewer?action=UPDATE&amp;creator=factset&amp;DYN_ARGS=TRUE&amp;DOC_NAME=FAT:FQL_AUDITING_CLIENT_TEMPLATE.FAT&amp;display_string=Audit&amp;VAR:KEY=LOHYNORMJO&amp;VAR:QUERY=RkZfRUJJVERBX0lCKCdMVE1TJywzOTI0NCk=&amp;WINDOW=FIRST_POPUP&amp;HEIGHT=450&amp;WIDTH=450&amp;START_MA","XIMIZED=FALSE&amp;VAR:CALENDAR=US&amp;VAR:SYMBOL=04916420&amp;VAR:INDEX=0"}</definedName>
    <definedName name="_10125__FDSAUDITLINK__" hidden="1">{"fdsup://directions/FAT Viewer?action=UPDATE&amp;creator=factset&amp;DYN_ARGS=TRUE&amp;DOC_NAME=FAT:FQL_AUDITING_CLIENT_TEMPLATE.FAT&amp;display_string=Audit&amp;VAR:KEY=LOHYNORMJO&amp;VAR:QUERY=RkZfRUJJVERBX0lCKCdMVE1TJywzOTI0NCk=&amp;WINDOW=FIRST_POPUP&amp;HEIGHT=450&amp;WIDTH=450&amp;START_MA","XIMIZED=FALSE&amp;VAR:CALENDAR=US&amp;VAR:SYMBOL=04916420&amp;VAR:INDEX=0"}</definedName>
    <definedName name="_10126__FDSAUDITLINK__" localSheetId="6" hidden="1">{"fdsup://directions/FAT Viewer?action=UPDATE&amp;creator=factset&amp;DYN_ARGS=TRUE&amp;DOC_NAME=FAT:FQL_AUDITING_CLIENT_TEMPLATE.FAT&amp;display_string=Audit&amp;VAR:KEY=BKTUBCFKNQ&amp;VAR:QUERY=RkZfRUJJVERBX0lCKCdMVE1TJywzOTI0Myk=&amp;WINDOW=FIRST_POPUP&amp;HEIGHT=450&amp;WIDTH=450&amp;START_MA","XIMIZED=FALSE&amp;VAR:CALENDAR=US&amp;VAR:SYMBOL=04916420&amp;VAR:INDEX=0"}</definedName>
    <definedName name="_10126__FDSAUDITLINK__" hidden="1">{"fdsup://directions/FAT Viewer?action=UPDATE&amp;creator=factset&amp;DYN_ARGS=TRUE&amp;DOC_NAME=FAT:FQL_AUDITING_CLIENT_TEMPLATE.FAT&amp;display_string=Audit&amp;VAR:KEY=BKTUBCFKNQ&amp;VAR:QUERY=RkZfRUJJVERBX0lCKCdMVE1TJywzOTI0Myk=&amp;WINDOW=FIRST_POPUP&amp;HEIGHT=450&amp;WIDTH=450&amp;START_MA","XIMIZED=FALSE&amp;VAR:CALENDAR=US&amp;VAR:SYMBOL=04916420&amp;VAR:INDEX=0"}</definedName>
    <definedName name="_10127__FDSAUDITLINK__" localSheetId="6" hidden="1">{"fdsup://directions/FAT Viewer?action=UPDATE&amp;creator=factset&amp;DYN_ARGS=TRUE&amp;DOC_NAME=FAT:FQL_AUDITING_CLIENT_TEMPLATE.FAT&amp;display_string=Audit&amp;VAR:KEY=HEXGHUNUDS&amp;VAR:QUERY=RkZfRUJJVERBX0lCKCdMVE1TJywzOTI0Mik=&amp;WINDOW=FIRST_POPUP&amp;HEIGHT=450&amp;WIDTH=450&amp;START_MA","XIMIZED=FALSE&amp;VAR:CALENDAR=US&amp;VAR:SYMBOL=04916420&amp;VAR:INDEX=0"}</definedName>
    <definedName name="_10127__FDSAUDITLINK__" hidden="1">{"fdsup://directions/FAT Viewer?action=UPDATE&amp;creator=factset&amp;DYN_ARGS=TRUE&amp;DOC_NAME=FAT:FQL_AUDITING_CLIENT_TEMPLATE.FAT&amp;display_string=Audit&amp;VAR:KEY=HEXGHUNUDS&amp;VAR:QUERY=RkZfRUJJVERBX0lCKCdMVE1TJywzOTI0Mik=&amp;WINDOW=FIRST_POPUP&amp;HEIGHT=450&amp;WIDTH=450&amp;START_MA","XIMIZED=FALSE&amp;VAR:CALENDAR=US&amp;VAR:SYMBOL=04916420&amp;VAR:INDEX=0"}</definedName>
    <definedName name="_10128__FDSAUDITLINK__" localSheetId="6" hidden="1">{"fdsup://directions/FAT Viewer?action=UPDATE&amp;creator=factset&amp;DYN_ARGS=TRUE&amp;DOC_NAME=FAT:FQL_AUDITING_CLIENT_TEMPLATE.FAT&amp;display_string=Audit&amp;VAR:KEY=NGJKZCVCTG&amp;VAR:QUERY=RkZfRUJJVERBX0lCKCdMVE1TJywzOTI0MSk=&amp;WINDOW=FIRST_POPUP&amp;HEIGHT=450&amp;WIDTH=450&amp;START_MA","XIMIZED=FALSE&amp;VAR:CALENDAR=US&amp;VAR:SYMBOL=04916420&amp;VAR:INDEX=0"}</definedName>
    <definedName name="_10128__FDSAUDITLINK__" hidden="1">{"fdsup://directions/FAT Viewer?action=UPDATE&amp;creator=factset&amp;DYN_ARGS=TRUE&amp;DOC_NAME=FAT:FQL_AUDITING_CLIENT_TEMPLATE.FAT&amp;display_string=Audit&amp;VAR:KEY=NGJKZCVCTG&amp;VAR:QUERY=RkZfRUJJVERBX0lCKCdMVE1TJywzOTI0MSk=&amp;WINDOW=FIRST_POPUP&amp;HEIGHT=450&amp;WIDTH=450&amp;START_MA","XIMIZED=FALSE&amp;VAR:CALENDAR=US&amp;VAR:SYMBOL=04916420&amp;VAR:INDEX=0"}</definedName>
    <definedName name="_10129__FDSAUDITLINK__" localSheetId="6" hidden="1">{"fdsup://directions/FAT Viewer?action=UPDATE&amp;creator=factset&amp;DYN_ARGS=TRUE&amp;DOC_NAME=FAT:FQL_AUDITING_CLIENT_TEMPLATE.FAT&amp;display_string=Audit&amp;VAR:KEY=PMBCBCXGBA&amp;VAR:QUERY=RkZfRUJJVERBX0lCKCdMVE1TJywzOTI0MCk=&amp;WINDOW=FIRST_POPUP&amp;HEIGHT=450&amp;WIDTH=450&amp;START_MA","XIMIZED=FALSE&amp;VAR:CALENDAR=US&amp;VAR:SYMBOL=04916420&amp;VAR:INDEX=0"}</definedName>
    <definedName name="_10129__FDSAUDITLINK__" hidden="1">{"fdsup://directions/FAT Viewer?action=UPDATE&amp;creator=factset&amp;DYN_ARGS=TRUE&amp;DOC_NAME=FAT:FQL_AUDITING_CLIENT_TEMPLATE.FAT&amp;display_string=Audit&amp;VAR:KEY=PMBCBCXGBA&amp;VAR:QUERY=RkZfRUJJVERBX0lCKCdMVE1TJywzOTI0MCk=&amp;WINDOW=FIRST_POPUP&amp;HEIGHT=450&amp;WIDTH=450&amp;START_MA","XIMIZED=FALSE&amp;VAR:CALENDAR=US&amp;VAR:SYMBOL=04916420&amp;VAR:INDEX=0"}</definedName>
    <definedName name="_1013__FDSAUDITLINK__" localSheetId="6" hidden="1">{"fdsup://directions/FAT%20Viewer?VAR:PED=LTM&amp;VAR:AUDIT_MODE=SUMMARY&amp;VAR:PERIOD=FIXED&amp;VAR:AUDIT_ID=00000117&amp;VAR:DATE=20070515&amp;action=UPDATE&amp;creator=factset&amp;DOC_NAME=FAT:FMA_audit_SUMMARY.fat&amp;DISPLAY_STRING=Display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3__FDSAUDITLINK__" hidden="1">{"fdsup://directions/FAT%20Viewer?VAR:PED=LTM&amp;VAR:AUDIT_MODE=SUMMARY&amp;VAR:PERIOD=FIXED&amp;VAR:AUDIT_ID=00000117&amp;VAR:DATE=20070515&amp;action=UPDATE&amp;creator=factset&amp;DOC_NAME=FAT:FMA_audit_SUMMARY.fat&amp;DISPLAY_STRING=Display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30__FDSAUDITLINK__" localSheetId="6" hidden="1">{"fdsup://directions/FAT Viewer?action=UPDATE&amp;creator=factset&amp;DYN_ARGS=TRUE&amp;DOC_NAME=FAT:FQL_AUDITING_CLIENT_TEMPLATE.FAT&amp;display_string=Audit&amp;VAR:KEY=VOFCDOVYZC&amp;VAR:QUERY=RkZfRUJJVERBX0lCKCdMVE1TJywzOTIzOSk=&amp;WINDOW=FIRST_POPUP&amp;HEIGHT=450&amp;WIDTH=450&amp;START_MA","XIMIZED=FALSE&amp;VAR:CALENDAR=US&amp;VAR:SYMBOL=04916420&amp;VAR:INDEX=0"}</definedName>
    <definedName name="_10130__FDSAUDITLINK__" hidden="1">{"fdsup://directions/FAT Viewer?action=UPDATE&amp;creator=factset&amp;DYN_ARGS=TRUE&amp;DOC_NAME=FAT:FQL_AUDITING_CLIENT_TEMPLATE.FAT&amp;display_string=Audit&amp;VAR:KEY=VOFCDOVYZC&amp;VAR:QUERY=RkZfRUJJVERBX0lCKCdMVE1TJywzOTIzOSk=&amp;WINDOW=FIRST_POPUP&amp;HEIGHT=450&amp;WIDTH=450&amp;START_MA","XIMIZED=FALSE&amp;VAR:CALENDAR=US&amp;VAR:SYMBOL=04916420&amp;VAR:INDEX=0"}</definedName>
    <definedName name="_10131__FDSAUDITLINK__" localSheetId="6" hidden="1">{"fdsup://directions/FAT Viewer?action=UPDATE&amp;creator=factset&amp;DYN_ARGS=TRUE&amp;DOC_NAME=FAT:FQL_AUDITING_CLIENT_TEMPLATE.FAT&amp;display_string=Audit&amp;VAR:KEY=XWRKTWRGFU&amp;VAR:QUERY=RkZfRUJJVERBX0lCKCdMVE1TJywzOTIzOCk=&amp;WINDOW=FIRST_POPUP&amp;HEIGHT=450&amp;WIDTH=450&amp;START_MA","XIMIZED=FALSE&amp;VAR:CALENDAR=US&amp;VAR:SYMBOL=04916420&amp;VAR:INDEX=0"}</definedName>
    <definedName name="_10131__FDSAUDITLINK__" hidden="1">{"fdsup://directions/FAT Viewer?action=UPDATE&amp;creator=factset&amp;DYN_ARGS=TRUE&amp;DOC_NAME=FAT:FQL_AUDITING_CLIENT_TEMPLATE.FAT&amp;display_string=Audit&amp;VAR:KEY=XWRKTWRGFU&amp;VAR:QUERY=RkZfRUJJVERBX0lCKCdMVE1TJywzOTIzOCk=&amp;WINDOW=FIRST_POPUP&amp;HEIGHT=450&amp;WIDTH=450&amp;START_MA","XIMIZED=FALSE&amp;VAR:CALENDAR=US&amp;VAR:SYMBOL=04916420&amp;VAR:INDEX=0"}</definedName>
    <definedName name="_10132__FDSAUDITLINK__" localSheetId="6" hidden="1">{"fdsup://directions/FAT Viewer?action=UPDATE&amp;creator=factset&amp;DYN_ARGS=TRUE&amp;DOC_NAME=FAT:FQL_AUDITING_CLIENT_TEMPLATE.FAT&amp;display_string=Audit&amp;VAR:KEY=RCJEXMRGTI&amp;VAR:QUERY=RkZfRUJJVERBX0lCKCdMVE1TJywzOTIzNyk=&amp;WINDOW=FIRST_POPUP&amp;HEIGHT=450&amp;WIDTH=450&amp;START_MA","XIMIZED=FALSE&amp;VAR:CALENDAR=US&amp;VAR:SYMBOL=04916420&amp;VAR:INDEX=0"}</definedName>
    <definedName name="_10132__FDSAUDITLINK__" hidden="1">{"fdsup://directions/FAT Viewer?action=UPDATE&amp;creator=factset&amp;DYN_ARGS=TRUE&amp;DOC_NAME=FAT:FQL_AUDITING_CLIENT_TEMPLATE.FAT&amp;display_string=Audit&amp;VAR:KEY=RCJEXMRGTI&amp;VAR:QUERY=RkZfRUJJVERBX0lCKCdMVE1TJywzOTIzNyk=&amp;WINDOW=FIRST_POPUP&amp;HEIGHT=450&amp;WIDTH=450&amp;START_MA","XIMIZED=FALSE&amp;VAR:CALENDAR=US&amp;VAR:SYMBOL=04916420&amp;VAR:INDEX=0"}</definedName>
    <definedName name="_10133__FDSAUDITLINK__" localSheetId="6" hidden="1">{"fdsup://directions/FAT Viewer?action=UPDATE&amp;creator=factset&amp;DYN_ARGS=TRUE&amp;DOC_NAME=FAT:FQL_AUDITING_CLIENT_TEMPLATE.FAT&amp;display_string=Audit&amp;VAR:KEY=VYDMLANGFY&amp;VAR:QUERY=RkZfRUJJVERBX0lCKCdMVE1TJywzOTIzNik=&amp;WINDOW=FIRST_POPUP&amp;HEIGHT=450&amp;WIDTH=450&amp;START_MA","XIMIZED=FALSE&amp;VAR:CALENDAR=US&amp;VAR:SYMBOL=04916420&amp;VAR:INDEX=0"}</definedName>
    <definedName name="_10133__FDSAUDITLINK__" hidden="1">{"fdsup://directions/FAT Viewer?action=UPDATE&amp;creator=factset&amp;DYN_ARGS=TRUE&amp;DOC_NAME=FAT:FQL_AUDITING_CLIENT_TEMPLATE.FAT&amp;display_string=Audit&amp;VAR:KEY=VYDMLANGFY&amp;VAR:QUERY=RkZfRUJJVERBX0lCKCdMVE1TJywzOTIzNik=&amp;WINDOW=FIRST_POPUP&amp;HEIGHT=450&amp;WIDTH=450&amp;START_MA","XIMIZED=FALSE&amp;VAR:CALENDAR=US&amp;VAR:SYMBOL=04916420&amp;VAR:INDEX=0"}</definedName>
    <definedName name="_10134__FDSAUDITLINK__" localSheetId="6" hidden="1">{"fdsup://directions/FAT Viewer?action=UPDATE&amp;creator=factset&amp;DYN_ARGS=TRUE&amp;DOC_NAME=FAT:FQL_AUDITING_CLIENT_TEMPLATE.FAT&amp;display_string=Audit&amp;VAR:KEY=ZILOVABQLS&amp;VAR:QUERY=RkZfRUJJVERBX0lCKCdMVE1TJywzOTIzNSk=&amp;WINDOW=FIRST_POPUP&amp;HEIGHT=450&amp;WIDTH=450&amp;START_MA","XIMIZED=FALSE&amp;VAR:CALENDAR=US&amp;VAR:SYMBOL=04916420&amp;VAR:INDEX=0"}</definedName>
    <definedName name="_10134__FDSAUDITLINK__" hidden="1">{"fdsup://directions/FAT Viewer?action=UPDATE&amp;creator=factset&amp;DYN_ARGS=TRUE&amp;DOC_NAME=FAT:FQL_AUDITING_CLIENT_TEMPLATE.FAT&amp;display_string=Audit&amp;VAR:KEY=ZILOVABQLS&amp;VAR:QUERY=RkZfRUJJVERBX0lCKCdMVE1TJywzOTIzNSk=&amp;WINDOW=FIRST_POPUP&amp;HEIGHT=450&amp;WIDTH=450&amp;START_MA","XIMIZED=FALSE&amp;VAR:CALENDAR=US&amp;VAR:SYMBOL=04916420&amp;VAR:INDEX=0"}</definedName>
    <definedName name="_10135__FDSAUDITLINK__" localSheetId="6" hidden="1">{"fdsup://directions/FAT Viewer?action=UPDATE&amp;creator=factset&amp;DYN_ARGS=TRUE&amp;DOC_NAME=FAT:FQL_AUDITING_CLIENT_TEMPLATE.FAT&amp;display_string=Audit&amp;VAR:KEY=TMZEDGNQHQ&amp;VAR:QUERY=RkZfRUJJVERBX0lCKCdMVE1TJywzOTIzNCk=&amp;WINDOW=FIRST_POPUP&amp;HEIGHT=450&amp;WIDTH=450&amp;START_MA","XIMIZED=FALSE&amp;VAR:CALENDAR=US&amp;VAR:SYMBOL=04916420&amp;VAR:INDEX=0"}</definedName>
    <definedName name="_10135__FDSAUDITLINK__" hidden="1">{"fdsup://directions/FAT Viewer?action=UPDATE&amp;creator=factset&amp;DYN_ARGS=TRUE&amp;DOC_NAME=FAT:FQL_AUDITING_CLIENT_TEMPLATE.FAT&amp;display_string=Audit&amp;VAR:KEY=TMZEDGNQHQ&amp;VAR:QUERY=RkZfRUJJVERBX0lCKCdMVE1TJywzOTIzNCk=&amp;WINDOW=FIRST_POPUP&amp;HEIGHT=450&amp;WIDTH=450&amp;START_MA","XIMIZED=FALSE&amp;VAR:CALENDAR=US&amp;VAR:SYMBOL=04916420&amp;VAR:INDEX=0"}</definedName>
    <definedName name="_10136__FDSAUDITLINK__" localSheetId="6" hidden="1">{"fdsup://directions/FAT Viewer?action=UPDATE&amp;creator=factset&amp;DYN_ARGS=TRUE&amp;DOC_NAME=FAT:FQL_AUDITING_CLIENT_TEMPLATE.FAT&amp;display_string=Audit&amp;VAR:KEY=FGFMNGFOBI&amp;VAR:QUERY=RkZfRUJJVERBX0lCKCdMVE1TJywzOTIzMyk=&amp;WINDOW=FIRST_POPUP&amp;HEIGHT=450&amp;WIDTH=450&amp;START_MA","XIMIZED=FALSE&amp;VAR:CALENDAR=US&amp;VAR:SYMBOL=04916420&amp;VAR:INDEX=0"}</definedName>
    <definedName name="_10136__FDSAUDITLINK__" hidden="1">{"fdsup://directions/FAT Viewer?action=UPDATE&amp;creator=factset&amp;DYN_ARGS=TRUE&amp;DOC_NAME=FAT:FQL_AUDITING_CLIENT_TEMPLATE.FAT&amp;display_string=Audit&amp;VAR:KEY=FGFMNGFOBI&amp;VAR:QUERY=RkZfRUJJVERBX0lCKCdMVE1TJywzOTIzMyk=&amp;WINDOW=FIRST_POPUP&amp;HEIGHT=450&amp;WIDTH=450&amp;START_MA","XIMIZED=FALSE&amp;VAR:CALENDAR=US&amp;VAR:SYMBOL=04916420&amp;VAR:INDEX=0"}</definedName>
    <definedName name="_10137__FDSAUDITLINK__" localSheetId="6" hidden="1">{"fdsup://directions/FAT Viewer?action=UPDATE&amp;creator=factset&amp;DYN_ARGS=TRUE&amp;DOC_NAME=FAT:FQL_AUDITING_CLIENT_TEMPLATE.FAT&amp;display_string=Audit&amp;VAR:KEY=LMJMZWTSNO&amp;VAR:QUERY=RkZfRUJJVERBX0lCKCdMVE1TJywzOTIzMik=&amp;WINDOW=FIRST_POPUP&amp;HEIGHT=450&amp;WIDTH=450&amp;START_MA","XIMIZED=FALSE&amp;VAR:CALENDAR=US&amp;VAR:SYMBOL=04916420&amp;VAR:INDEX=0"}</definedName>
    <definedName name="_10137__FDSAUDITLINK__" hidden="1">{"fdsup://directions/FAT Viewer?action=UPDATE&amp;creator=factset&amp;DYN_ARGS=TRUE&amp;DOC_NAME=FAT:FQL_AUDITING_CLIENT_TEMPLATE.FAT&amp;display_string=Audit&amp;VAR:KEY=LMJMZWTSNO&amp;VAR:QUERY=RkZfRUJJVERBX0lCKCdMVE1TJywzOTIzMik=&amp;WINDOW=FIRST_POPUP&amp;HEIGHT=450&amp;WIDTH=450&amp;START_MA","XIMIZED=FALSE&amp;VAR:CALENDAR=US&amp;VAR:SYMBOL=04916420&amp;VAR:INDEX=0"}</definedName>
    <definedName name="_10138__FDSAUDITLINK__" localSheetId="6" hidden="1">{"fdsup://directions/FAT Viewer?action=UPDATE&amp;creator=factset&amp;DYN_ARGS=TRUE&amp;DOC_NAME=FAT:FQL_AUDITING_CLIENT_TEMPLATE.FAT&amp;display_string=Audit&amp;VAR:KEY=PWJIHOVSHM&amp;VAR:QUERY=RkZfRUJJVERBX0lCKCdMVE1TJywzOTIzMSk=&amp;WINDOW=FIRST_POPUP&amp;HEIGHT=450&amp;WIDTH=450&amp;START_MA","XIMIZED=FALSE&amp;VAR:CALENDAR=US&amp;VAR:SYMBOL=04916420&amp;VAR:INDEX=0"}</definedName>
    <definedName name="_10138__FDSAUDITLINK__" hidden="1">{"fdsup://directions/FAT Viewer?action=UPDATE&amp;creator=factset&amp;DYN_ARGS=TRUE&amp;DOC_NAME=FAT:FQL_AUDITING_CLIENT_TEMPLATE.FAT&amp;display_string=Audit&amp;VAR:KEY=PWJIHOVSHM&amp;VAR:QUERY=RkZfRUJJVERBX0lCKCdMVE1TJywzOTIzMSk=&amp;WINDOW=FIRST_POPUP&amp;HEIGHT=450&amp;WIDTH=450&amp;START_MA","XIMIZED=FALSE&amp;VAR:CALENDAR=US&amp;VAR:SYMBOL=04916420&amp;VAR:INDEX=0"}</definedName>
    <definedName name="_10139__FDSAUDITLINK__" localSheetId="6" hidden="1">{"fdsup://directions/FAT Viewer?action=UPDATE&amp;creator=factset&amp;DYN_ARGS=TRUE&amp;DOC_NAME=FAT:FQL_AUDITING_CLIENT_TEMPLATE.FAT&amp;display_string=Audit&amp;VAR:KEY=DQBYJOPEXU&amp;VAR:QUERY=RkZfRUJJVERBX0lCKCdMVE1TJywzOTIzMCk=&amp;WINDOW=FIRST_POPUP&amp;HEIGHT=450&amp;WIDTH=450&amp;START_MA","XIMIZED=FALSE&amp;VAR:CALENDAR=US&amp;VAR:SYMBOL=04916420&amp;VAR:INDEX=0"}</definedName>
    <definedName name="_10139__FDSAUDITLINK__" hidden="1">{"fdsup://directions/FAT Viewer?action=UPDATE&amp;creator=factset&amp;DYN_ARGS=TRUE&amp;DOC_NAME=FAT:FQL_AUDITING_CLIENT_TEMPLATE.FAT&amp;display_string=Audit&amp;VAR:KEY=DQBYJOPEXU&amp;VAR:QUERY=RkZfRUJJVERBX0lCKCdMVE1TJywzOTIzMCk=&amp;WINDOW=FIRST_POPUP&amp;HEIGHT=450&amp;WIDTH=450&amp;START_MA","XIMIZED=FALSE&amp;VAR:CALENDAR=US&amp;VAR:SYMBOL=04916420&amp;VAR:INDEX=0"}</definedName>
    <definedName name="_1014__FDSAUDITLINK__" localSheetId="6" hidden="1">{"fdsup://directions/FAT%20Viewer?VAR:PED=LTM&amp;VAR:AUDIT_MODE=SUMMARY&amp;VAR:PERIOD=FIXED&amp;VAR:AUDIT_ID=00000117&amp;VAR:DATE=20070514&amp;action=UPDATE&amp;creator=factset&amp;DOC_NAME=FAT:FMA_audit_SUMMARY.fat&amp;DISPLAY_STRING=Display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4__FDSAUDITLINK__" hidden="1">{"fdsup://directions/FAT%20Viewer?VAR:PED=LTM&amp;VAR:AUDIT_MODE=SUMMARY&amp;VAR:PERIOD=FIXED&amp;VAR:AUDIT_ID=00000117&amp;VAR:DATE=20070514&amp;action=UPDATE&amp;creator=factset&amp;DOC_NAME=FAT:FMA_audit_SUMMARY.fat&amp;DISPLAY_STRING=Display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40__FDSAUDITLINK__" localSheetId="6" hidden="1">{"fdsup://directions/FAT Viewer?action=UPDATE&amp;creator=factset&amp;DYN_ARGS=TRUE&amp;DOC_NAME=FAT:FQL_AUDITING_CLIENT_TEMPLATE.FAT&amp;display_string=Audit&amp;VAR:KEY=PYDAREVGZW&amp;VAR:QUERY=RkZfRUJJVERBX0lCKCdMVE1TJywzOTIyOSk=&amp;WINDOW=FIRST_POPUP&amp;HEIGHT=450&amp;WIDTH=450&amp;START_MA","XIMIZED=FALSE&amp;VAR:CALENDAR=US&amp;VAR:SYMBOL=04916420&amp;VAR:INDEX=0"}</definedName>
    <definedName name="_10140__FDSAUDITLINK__" hidden="1">{"fdsup://directions/FAT Viewer?action=UPDATE&amp;creator=factset&amp;DYN_ARGS=TRUE&amp;DOC_NAME=FAT:FQL_AUDITING_CLIENT_TEMPLATE.FAT&amp;display_string=Audit&amp;VAR:KEY=PYDAREVGZW&amp;VAR:QUERY=RkZfRUJJVERBX0lCKCdMVE1TJywzOTIyOSk=&amp;WINDOW=FIRST_POPUP&amp;HEIGHT=450&amp;WIDTH=450&amp;START_MA","XIMIZED=FALSE&amp;VAR:CALENDAR=US&amp;VAR:SYMBOL=04916420&amp;VAR:INDEX=0"}</definedName>
    <definedName name="_10141__FDSAUDITLINK__" localSheetId="6" hidden="1">{"fdsup://directions/FAT Viewer?action=UPDATE&amp;creator=factset&amp;DYN_ARGS=TRUE&amp;DOC_NAME=FAT:FQL_AUDITING_CLIENT_TEMPLATE.FAT&amp;display_string=Audit&amp;VAR:KEY=VMHARONIZI&amp;VAR:QUERY=RkZfRUJJVERBX0lCKCdMVE1TJywzOTIyOCk=&amp;WINDOW=FIRST_POPUP&amp;HEIGHT=450&amp;WIDTH=450&amp;START_MA","XIMIZED=FALSE&amp;VAR:CALENDAR=US&amp;VAR:SYMBOL=04916420&amp;VAR:INDEX=0"}</definedName>
    <definedName name="_10141__FDSAUDITLINK__" hidden="1">{"fdsup://directions/FAT Viewer?action=UPDATE&amp;creator=factset&amp;DYN_ARGS=TRUE&amp;DOC_NAME=FAT:FQL_AUDITING_CLIENT_TEMPLATE.FAT&amp;display_string=Audit&amp;VAR:KEY=VMHARONIZI&amp;VAR:QUERY=RkZfRUJJVERBX0lCKCdMVE1TJywzOTIyOCk=&amp;WINDOW=FIRST_POPUP&amp;HEIGHT=450&amp;WIDTH=450&amp;START_MA","XIMIZED=FALSE&amp;VAR:CALENDAR=US&amp;VAR:SYMBOL=04916420&amp;VAR:INDEX=0"}</definedName>
    <definedName name="_10142__FDSAUDITLINK__" localSheetId="6" hidden="1">{"fdsup://directions/FAT Viewer?action=UPDATE&amp;creator=factset&amp;DYN_ARGS=TRUE&amp;DOC_NAME=FAT:FQL_AUDITING_CLIENT_TEMPLATE.FAT&amp;display_string=Audit&amp;VAR:KEY=XWBWTKDGFC&amp;VAR:QUERY=RkZfRUJJVERBX0lCKCdMVE1TJywzOTIyNyk=&amp;WINDOW=FIRST_POPUP&amp;HEIGHT=450&amp;WIDTH=450&amp;START_MA","XIMIZED=FALSE&amp;VAR:CALENDAR=US&amp;VAR:SYMBOL=04916420&amp;VAR:INDEX=0"}</definedName>
    <definedName name="_10142__FDSAUDITLINK__" hidden="1">{"fdsup://directions/FAT Viewer?action=UPDATE&amp;creator=factset&amp;DYN_ARGS=TRUE&amp;DOC_NAME=FAT:FQL_AUDITING_CLIENT_TEMPLATE.FAT&amp;display_string=Audit&amp;VAR:KEY=XWBWTKDGFC&amp;VAR:QUERY=RkZfRUJJVERBX0lCKCdMVE1TJywzOTIyNyk=&amp;WINDOW=FIRST_POPUP&amp;HEIGHT=450&amp;WIDTH=450&amp;START_MA","XIMIZED=FALSE&amp;VAR:CALENDAR=US&amp;VAR:SYMBOL=04916420&amp;VAR:INDEX=0"}</definedName>
    <definedName name="_10143__FDSAUDITLINK__" localSheetId="6" hidden="1">{"fdsup://directions/FAT Viewer?action=UPDATE&amp;creator=factset&amp;DYN_ARGS=TRUE&amp;DOC_NAME=FAT:FQL_AUDITING_CLIENT_TEMPLATE.FAT&amp;display_string=Audit&amp;VAR:KEY=VMTYBCVQZI&amp;VAR:QUERY=RkZfRUJJVERBX0lCKCdMVE1TJywzOTIyNik=&amp;WINDOW=FIRST_POPUP&amp;HEIGHT=450&amp;WIDTH=450&amp;START_MA","XIMIZED=FALSE&amp;VAR:CALENDAR=US&amp;VAR:SYMBOL=04916420&amp;VAR:INDEX=0"}</definedName>
    <definedName name="_10143__FDSAUDITLINK__" hidden="1">{"fdsup://directions/FAT Viewer?action=UPDATE&amp;creator=factset&amp;DYN_ARGS=TRUE&amp;DOC_NAME=FAT:FQL_AUDITING_CLIENT_TEMPLATE.FAT&amp;display_string=Audit&amp;VAR:KEY=VMTYBCVQZI&amp;VAR:QUERY=RkZfRUJJVERBX0lCKCdMVE1TJywzOTIyNik=&amp;WINDOW=FIRST_POPUP&amp;HEIGHT=450&amp;WIDTH=450&amp;START_MA","XIMIZED=FALSE&amp;VAR:CALENDAR=US&amp;VAR:SYMBOL=04916420&amp;VAR:INDEX=0"}</definedName>
    <definedName name="_10144__FDSAUDITLINK__" localSheetId="6" hidden="1">{"fdsup://directions/FAT Viewer?action=UPDATE&amp;creator=factset&amp;DYN_ARGS=TRUE&amp;DOC_NAME=FAT:FQL_AUDITING_CLIENT_TEMPLATE.FAT&amp;display_string=Audit&amp;VAR:KEY=PSJIPMFQXO&amp;VAR:QUERY=RkZfRUJJVERBX0lCKCdMVE1TJywzOTIyNSk=&amp;WINDOW=FIRST_POPUP&amp;HEIGHT=450&amp;WIDTH=450&amp;START_MA","XIMIZED=FALSE&amp;VAR:CALENDAR=US&amp;VAR:SYMBOL=04916420&amp;VAR:INDEX=0"}</definedName>
    <definedName name="_10144__FDSAUDITLINK__" hidden="1">{"fdsup://directions/FAT Viewer?action=UPDATE&amp;creator=factset&amp;DYN_ARGS=TRUE&amp;DOC_NAME=FAT:FQL_AUDITING_CLIENT_TEMPLATE.FAT&amp;display_string=Audit&amp;VAR:KEY=PSJIPMFQXO&amp;VAR:QUERY=RkZfRUJJVERBX0lCKCdMVE1TJywzOTIyNSk=&amp;WINDOW=FIRST_POPUP&amp;HEIGHT=450&amp;WIDTH=450&amp;START_MA","XIMIZED=FALSE&amp;VAR:CALENDAR=US&amp;VAR:SYMBOL=04916420&amp;VAR:INDEX=0"}</definedName>
    <definedName name="_10145__FDSAUDITLINK__" localSheetId="6" hidden="1">{"fdsup://directions/FAT Viewer?action=UPDATE&amp;creator=factset&amp;DYN_ARGS=TRUE&amp;DOC_NAME=FAT:FQL_AUDITING_CLIENT_TEMPLATE.FAT&amp;display_string=Audit&amp;VAR:KEY=HYNGRQNYLK&amp;VAR:QUERY=RkZfRUJJVERBX0lCKCdMVE1TJywzOTIyNCk=&amp;WINDOW=FIRST_POPUP&amp;HEIGHT=450&amp;WIDTH=450&amp;START_MA","XIMIZED=FALSE&amp;VAR:CALENDAR=US&amp;VAR:SYMBOL=04916420&amp;VAR:INDEX=0"}</definedName>
    <definedName name="_10145__FDSAUDITLINK__" hidden="1">{"fdsup://directions/FAT Viewer?action=UPDATE&amp;creator=factset&amp;DYN_ARGS=TRUE&amp;DOC_NAME=FAT:FQL_AUDITING_CLIENT_TEMPLATE.FAT&amp;display_string=Audit&amp;VAR:KEY=HYNGRQNYLK&amp;VAR:QUERY=RkZfRUJJVERBX0lCKCdMVE1TJywzOTIyNCk=&amp;WINDOW=FIRST_POPUP&amp;HEIGHT=450&amp;WIDTH=450&amp;START_MA","XIMIZED=FALSE&amp;VAR:CALENDAR=US&amp;VAR:SYMBOL=04916420&amp;VAR:INDEX=0"}</definedName>
    <definedName name="_10146__FDSAUDITLINK__" localSheetId="6" hidden="1">{"fdsup://directions/FAT Viewer?action=UPDATE&amp;creator=factset&amp;DYN_ARGS=TRUE&amp;DOC_NAME=FAT:FQL_AUDITING_CLIENT_TEMPLATE.FAT&amp;display_string=Audit&amp;VAR:KEY=DSZYVCFOZC&amp;VAR:QUERY=RkZfRUJJVERBX0lCKCdMVE1TJywzOTIyMyk=&amp;WINDOW=FIRST_POPUP&amp;HEIGHT=450&amp;WIDTH=450&amp;START_MA","XIMIZED=FALSE&amp;VAR:CALENDAR=US&amp;VAR:SYMBOL=04916420&amp;VAR:INDEX=0"}</definedName>
    <definedName name="_10146__FDSAUDITLINK__" hidden="1">{"fdsup://directions/FAT Viewer?action=UPDATE&amp;creator=factset&amp;DYN_ARGS=TRUE&amp;DOC_NAME=FAT:FQL_AUDITING_CLIENT_TEMPLATE.FAT&amp;display_string=Audit&amp;VAR:KEY=DSZYVCFOZC&amp;VAR:QUERY=RkZfRUJJVERBX0lCKCdMVE1TJywzOTIyMyk=&amp;WINDOW=FIRST_POPUP&amp;HEIGHT=450&amp;WIDTH=450&amp;START_MA","XIMIZED=FALSE&amp;VAR:CALENDAR=US&amp;VAR:SYMBOL=04916420&amp;VAR:INDEX=0"}</definedName>
    <definedName name="_10147__FDSAUDITLINK__" localSheetId="6" hidden="1">{"fdsup://directions/FAT Viewer?action=UPDATE&amp;creator=factset&amp;DYN_ARGS=TRUE&amp;DOC_NAME=FAT:FQL_AUDITING_CLIENT_TEMPLATE.FAT&amp;display_string=Audit&amp;VAR:KEY=HSPWNKLCVA&amp;VAR:QUERY=RkZfRUJJVERBX0lCKCdMVE1TJywzOTIyMik=&amp;WINDOW=FIRST_POPUP&amp;HEIGHT=450&amp;WIDTH=450&amp;START_MA","XIMIZED=FALSE&amp;VAR:CALENDAR=US&amp;VAR:SYMBOL=04916420&amp;VAR:INDEX=0"}</definedName>
    <definedName name="_10147__FDSAUDITLINK__" hidden="1">{"fdsup://directions/FAT Viewer?action=UPDATE&amp;creator=factset&amp;DYN_ARGS=TRUE&amp;DOC_NAME=FAT:FQL_AUDITING_CLIENT_TEMPLATE.FAT&amp;display_string=Audit&amp;VAR:KEY=HSPWNKLCVA&amp;VAR:QUERY=RkZfRUJJVERBX0lCKCdMVE1TJywzOTIyMik=&amp;WINDOW=FIRST_POPUP&amp;HEIGHT=450&amp;WIDTH=450&amp;START_MA","XIMIZED=FALSE&amp;VAR:CALENDAR=US&amp;VAR:SYMBOL=04916420&amp;VAR:INDEX=0"}</definedName>
    <definedName name="_10148__FDSAUDITLINK__" localSheetId="6" hidden="1">{"fdsup://directions/FAT Viewer?action=UPDATE&amp;creator=factset&amp;DYN_ARGS=TRUE&amp;DOC_NAME=FAT:FQL_AUDITING_CLIENT_TEMPLATE.FAT&amp;display_string=Audit&amp;VAR:KEY=RUVCFIHWTK&amp;VAR:QUERY=RkZfRUJJVERBX0lCKCdMVE1TJywzOTIyMSk=&amp;WINDOW=FIRST_POPUP&amp;HEIGHT=450&amp;WIDTH=450&amp;START_MA","XIMIZED=FALSE&amp;VAR:CALENDAR=US&amp;VAR:SYMBOL=04916420&amp;VAR:INDEX=0"}</definedName>
    <definedName name="_10148__FDSAUDITLINK__" hidden="1">{"fdsup://directions/FAT Viewer?action=UPDATE&amp;creator=factset&amp;DYN_ARGS=TRUE&amp;DOC_NAME=FAT:FQL_AUDITING_CLIENT_TEMPLATE.FAT&amp;display_string=Audit&amp;VAR:KEY=RUVCFIHWTK&amp;VAR:QUERY=RkZfRUJJVERBX0lCKCdMVE1TJywzOTIyMSk=&amp;WINDOW=FIRST_POPUP&amp;HEIGHT=450&amp;WIDTH=450&amp;START_MA","XIMIZED=FALSE&amp;VAR:CALENDAR=US&amp;VAR:SYMBOL=04916420&amp;VAR:INDEX=0"}</definedName>
    <definedName name="_10149__FDSAUDITLINK__" localSheetId="6" hidden="1">{"fdsup://directions/FAT Viewer?action=UPDATE&amp;creator=factset&amp;DYN_ARGS=TRUE&amp;DOC_NAME=FAT:FQL_AUDITING_CLIENT_TEMPLATE.FAT&amp;display_string=Audit&amp;VAR:KEY=BOXMXGBONO&amp;VAR:QUERY=RkZfRUJJVERBX0lCKCdMVE1TJywzOTIyMCk=&amp;WINDOW=FIRST_POPUP&amp;HEIGHT=450&amp;WIDTH=450&amp;START_MA","XIMIZED=FALSE&amp;VAR:CALENDAR=US&amp;VAR:SYMBOL=04916420&amp;VAR:INDEX=0"}</definedName>
    <definedName name="_10149__FDSAUDITLINK__" hidden="1">{"fdsup://directions/FAT Viewer?action=UPDATE&amp;creator=factset&amp;DYN_ARGS=TRUE&amp;DOC_NAME=FAT:FQL_AUDITING_CLIENT_TEMPLATE.FAT&amp;display_string=Audit&amp;VAR:KEY=BOXMXGBONO&amp;VAR:QUERY=RkZfRUJJVERBX0lCKCdMVE1TJywzOTIyMCk=&amp;WINDOW=FIRST_POPUP&amp;HEIGHT=450&amp;WIDTH=450&amp;START_MA","XIMIZED=FALSE&amp;VAR:CALENDAR=US&amp;VAR:SYMBOL=04916420&amp;VAR:INDEX=0"}</definedName>
    <definedName name="_1015__FDSAUDITLINK__" localSheetId="6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5__FDSAUDITLINK__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50__FDSAUDITLINK__" localSheetId="6" hidden="1">{"fdsup://directions/FAT Viewer?action=UPDATE&amp;creator=factset&amp;DYN_ARGS=TRUE&amp;DOC_NAME=FAT:FQL_AUDITING_CLIENT_TEMPLATE.FAT&amp;display_string=Audit&amp;VAR:KEY=JSXWBWVWXE&amp;VAR:QUERY=RkZfRUJJVERBX0lCKCdMVE1TJywzOTIxOSk=&amp;WINDOW=FIRST_POPUP&amp;HEIGHT=450&amp;WIDTH=450&amp;START_MA","XIMIZED=FALSE&amp;VAR:CALENDAR=US&amp;VAR:SYMBOL=04916420&amp;VAR:INDEX=0"}</definedName>
    <definedName name="_10150__FDSAUDITLINK__" hidden="1">{"fdsup://directions/FAT Viewer?action=UPDATE&amp;creator=factset&amp;DYN_ARGS=TRUE&amp;DOC_NAME=FAT:FQL_AUDITING_CLIENT_TEMPLATE.FAT&amp;display_string=Audit&amp;VAR:KEY=JSXWBWVWXE&amp;VAR:QUERY=RkZfRUJJVERBX0lCKCdMVE1TJywzOTIxOSk=&amp;WINDOW=FIRST_POPUP&amp;HEIGHT=450&amp;WIDTH=450&amp;START_MA","XIMIZED=FALSE&amp;VAR:CALENDAR=US&amp;VAR:SYMBOL=04916420&amp;VAR:INDEX=0"}</definedName>
    <definedName name="_10151__FDSAUDITLINK__" localSheetId="6" hidden="1">{"fdsup://directions/FAT Viewer?action=UPDATE&amp;creator=factset&amp;DYN_ARGS=TRUE&amp;DOC_NAME=FAT:FQL_AUDITING_CLIENT_TEMPLATE.FAT&amp;display_string=Audit&amp;VAR:KEY=RUTKHAFMZI&amp;VAR:QUERY=RkZfRUJJVERBX0lCKCdMVE1TJywzOTIxOCk=&amp;WINDOW=FIRST_POPUP&amp;HEIGHT=450&amp;WIDTH=450&amp;START_MA","XIMIZED=FALSE&amp;VAR:CALENDAR=US&amp;VAR:SYMBOL=04916420&amp;VAR:INDEX=0"}</definedName>
    <definedName name="_10151__FDSAUDITLINK__" hidden="1">{"fdsup://directions/FAT Viewer?action=UPDATE&amp;creator=factset&amp;DYN_ARGS=TRUE&amp;DOC_NAME=FAT:FQL_AUDITING_CLIENT_TEMPLATE.FAT&amp;display_string=Audit&amp;VAR:KEY=RUTKHAFMZI&amp;VAR:QUERY=RkZfRUJJVERBX0lCKCdMVE1TJywzOTIxOCk=&amp;WINDOW=FIRST_POPUP&amp;HEIGHT=450&amp;WIDTH=450&amp;START_MA","XIMIZED=FALSE&amp;VAR:CALENDAR=US&amp;VAR:SYMBOL=04916420&amp;VAR:INDEX=0"}</definedName>
    <definedName name="_10152__FDSAUDITLINK__" localSheetId="6" hidden="1">{"fdsup://directions/FAT Viewer?action=UPDATE&amp;creator=factset&amp;DYN_ARGS=TRUE&amp;DOC_NAME=FAT:FQL_AUDITING_CLIENT_TEMPLATE.FAT&amp;display_string=Audit&amp;VAR:KEY=XENGDKZCFW&amp;VAR:QUERY=RkZfRUJJVERBX0lCKCdMVE1TJywzOTIxNyk=&amp;WINDOW=FIRST_POPUP&amp;HEIGHT=450&amp;WIDTH=450&amp;START_MA","XIMIZED=FALSE&amp;VAR:CALENDAR=US&amp;VAR:SYMBOL=04916420&amp;VAR:INDEX=0"}</definedName>
    <definedName name="_10152__FDSAUDITLINK__" hidden="1">{"fdsup://directions/FAT Viewer?action=UPDATE&amp;creator=factset&amp;DYN_ARGS=TRUE&amp;DOC_NAME=FAT:FQL_AUDITING_CLIENT_TEMPLATE.FAT&amp;display_string=Audit&amp;VAR:KEY=XENGDKZCFW&amp;VAR:QUERY=RkZfRUJJVERBX0lCKCdMVE1TJywzOTIxNyk=&amp;WINDOW=FIRST_POPUP&amp;HEIGHT=450&amp;WIDTH=450&amp;START_MA","XIMIZED=FALSE&amp;VAR:CALENDAR=US&amp;VAR:SYMBOL=04916420&amp;VAR:INDEX=0"}</definedName>
    <definedName name="_10153__FDSAUDITLINK__" localSheetId="6" hidden="1">{"fdsup://directions/FAT Viewer?action=UPDATE&amp;creator=factset&amp;DYN_ARGS=TRUE&amp;DOC_NAME=FAT:FQL_AUDITING_CLIENT_TEMPLATE.FAT&amp;display_string=Audit&amp;VAR:KEY=NMXWNMBKTC&amp;VAR:QUERY=RkZfRUJJVERBX0lCKCdMVE1TJywzOTIxNik=&amp;WINDOW=FIRST_POPUP&amp;HEIGHT=450&amp;WIDTH=450&amp;START_MA","XIMIZED=FALSE&amp;VAR:CALENDAR=US&amp;VAR:SYMBOL=04916420&amp;VAR:INDEX=0"}</definedName>
    <definedName name="_10153__FDSAUDITLINK__" hidden="1">{"fdsup://directions/FAT Viewer?action=UPDATE&amp;creator=factset&amp;DYN_ARGS=TRUE&amp;DOC_NAME=FAT:FQL_AUDITING_CLIENT_TEMPLATE.FAT&amp;display_string=Audit&amp;VAR:KEY=NMXWNMBKTC&amp;VAR:QUERY=RkZfRUJJVERBX0lCKCdMVE1TJywzOTIxNik=&amp;WINDOW=FIRST_POPUP&amp;HEIGHT=450&amp;WIDTH=450&amp;START_MA","XIMIZED=FALSE&amp;VAR:CALENDAR=US&amp;VAR:SYMBOL=04916420&amp;VAR:INDEX=0"}</definedName>
    <definedName name="_10154__FDSAUDITLINK__" localSheetId="6" hidden="1">{"fdsup://directions/FAT Viewer?action=UPDATE&amp;creator=factset&amp;DYN_ARGS=TRUE&amp;DOC_NAME=FAT:FQL_AUDITING_CLIENT_TEMPLATE.FAT&amp;display_string=Audit&amp;VAR:KEY=BMTKDKZUHE&amp;VAR:QUERY=RkZfRUJJVERBX0lCKCdMVE1TJywzOTIxNSk=&amp;WINDOW=FIRST_POPUP&amp;HEIGHT=450&amp;WIDTH=450&amp;START_MA","XIMIZED=FALSE&amp;VAR:CALENDAR=US&amp;VAR:SYMBOL=04916420&amp;VAR:INDEX=0"}</definedName>
    <definedName name="_10154__FDSAUDITLINK__" hidden="1">{"fdsup://directions/FAT Viewer?action=UPDATE&amp;creator=factset&amp;DYN_ARGS=TRUE&amp;DOC_NAME=FAT:FQL_AUDITING_CLIENT_TEMPLATE.FAT&amp;display_string=Audit&amp;VAR:KEY=BMTKDKZUHE&amp;VAR:QUERY=RkZfRUJJVERBX0lCKCdMVE1TJywzOTIxNSk=&amp;WINDOW=FIRST_POPUP&amp;HEIGHT=450&amp;WIDTH=450&amp;START_MA","XIMIZED=FALSE&amp;VAR:CALENDAR=US&amp;VAR:SYMBOL=04916420&amp;VAR:INDEX=0"}</definedName>
    <definedName name="_10155__FDSAUDITLINK__" localSheetId="6" hidden="1">{"fdsup://directions/FAT Viewer?action=UPDATE&amp;creator=factset&amp;DYN_ARGS=TRUE&amp;DOC_NAME=FAT:FQL_AUDITING_CLIENT_TEMPLATE.FAT&amp;display_string=Audit&amp;VAR:KEY=TARKRSNOVI&amp;VAR:QUERY=RkZfRUJJVERBX0lCKCdMVE1TJywzOTIxNCk=&amp;WINDOW=FIRST_POPUP&amp;HEIGHT=450&amp;WIDTH=450&amp;START_MA","XIMIZED=FALSE&amp;VAR:CALENDAR=US&amp;VAR:SYMBOL=04916420&amp;VAR:INDEX=0"}</definedName>
    <definedName name="_10155__FDSAUDITLINK__" hidden="1">{"fdsup://directions/FAT Viewer?action=UPDATE&amp;creator=factset&amp;DYN_ARGS=TRUE&amp;DOC_NAME=FAT:FQL_AUDITING_CLIENT_TEMPLATE.FAT&amp;display_string=Audit&amp;VAR:KEY=TARKRSNOVI&amp;VAR:QUERY=RkZfRUJJVERBX0lCKCdMVE1TJywzOTIxNCk=&amp;WINDOW=FIRST_POPUP&amp;HEIGHT=450&amp;WIDTH=450&amp;START_MA","XIMIZED=FALSE&amp;VAR:CALENDAR=US&amp;VAR:SYMBOL=04916420&amp;VAR:INDEX=0"}</definedName>
    <definedName name="_10156__FDSAUDITLINK__" localSheetId="6" hidden="1">{"fdsup://directions/FAT Viewer?action=UPDATE&amp;creator=factset&amp;DYN_ARGS=TRUE&amp;DOC_NAME=FAT:FQL_AUDITING_CLIENT_TEMPLATE.FAT&amp;display_string=Audit&amp;VAR:KEY=TYROVOVGDO&amp;VAR:QUERY=RkZfRUJJVERBX0lCKCdMVE1TJywzOTIxMyk=&amp;WINDOW=FIRST_POPUP&amp;HEIGHT=450&amp;WIDTH=450&amp;START_MA","XIMIZED=FALSE&amp;VAR:CALENDAR=US&amp;VAR:SYMBOL=04916420&amp;VAR:INDEX=0"}</definedName>
    <definedName name="_10156__FDSAUDITLINK__" hidden="1">{"fdsup://directions/FAT Viewer?action=UPDATE&amp;creator=factset&amp;DYN_ARGS=TRUE&amp;DOC_NAME=FAT:FQL_AUDITING_CLIENT_TEMPLATE.FAT&amp;display_string=Audit&amp;VAR:KEY=TYROVOVGDO&amp;VAR:QUERY=RkZfRUJJVERBX0lCKCdMVE1TJywzOTIxMyk=&amp;WINDOW=FIRST_POPUP&amp;HEIGHT=450&amp;WIDTH=450&amp;START_MA","XIMIZED=FALSE&amp;VAR:CALENDAR=US&amp;VAR:SYMBOL=04916420&amp;VAR:INDEX=0"}</definedName>
    <definedName name="_10157__FDSAUDITLINK__" localSheetId="6" hidden="1">{"fdsup://directions/FAT Viewer?action=UPDATE&amp;creator=factset&amp;DYN_ARGS=TRUE&amp;DOC_NAME=FAT:FQL_AUDITING_CLIENT_TEMPLATE.FAT&amp;display_string=Audit&amp;VAR:KEY=LOJWZARWLO&amp;VAR:QUERY=RkZfRUJJVERBX0lCKCdMVE1TJywzOTIxMik=&amp;WINDOW=FIRST_POPUP&amp;HEIGHT=450&amp;WIDTH=450&amp;START_MA","XIMIZED=FALSE&amp;VAR:CALENDAR=US&amp;VAR:SYMBOL=04916420&amp;VAR:INDEX=0"}</definedName>
    <definedName name="_10157__FDSAUDITLINK__" hidden="1">{"fdsup://directions/FAT Viewer?action=UPDATE&amp;creator=factset&amp;DYN_ARGS=TRUE&amp;DOC_NAME=FAT:FQL_AUDITING_CLIENT_TEMPLATE.FAT&amp;display_string=Audit&amp;VAR:KEY=LOJWZARWLO&amp;VAR:QUERY=RkZfRUJJVERBX0lCKCdMVE1TJywzOTIxMik=&amp;WINDOW=FIRST_POPUP&amp;HEIGHT=450&amp;WIDTH=450&amp;START_MA","XIMIZED=FALSE&amp;VAR:CALENDAR=US&amp;VAR:SYMBOL=04916420&amp;VAR:INDEX=0"}</definedName>
    <definedName name="_10158__FDSAUDITLINK__" localSheetId="6" hidden="1">{"fdsup://directions/FAT Viewer?action=UPDATE&amp;creator=factset&amp;DYN_ARGS=TRUE&amp;DOC_NAME=FAT:FQL_AUDITING_CLIENT_TEMPLATE.FAT&amp;display_string=Audit&amp;VAR:KEY=PQNWJEJIHA&amp;VAR:QUERY=RkZfRUJJVERBX0lCKCdMVE1TJywzOTIxMSk=&amp;WINDOW=FIRST_POPUP&amp;HEIGHT=450&amp;WIDTH=450&amp;START_MA","XIMIZED=FALSE&amp;VAR:CALENDAR=US&amp;VAR:SYMBOL=04916420&amp;VAR:INDEX=0"}</definedName>
    <definedName name="_10158__FDSAUDITLINK__" hidden="1">{"fdsup://directions/FAT Viewer?action=UPDATE&amp;creator=factset&amp;DYN_ARGS=TRUE&amp;DOC_NAME=FAT:FQL_AUDITING_CLIENT_TEMPLATE.FAT&amp;display_string=Audit&amp;VAR:KEY=PQNWJEJIHA&amp;VAR:QUERY=RkZfRUJJVERBX0lCKCdMVE1TJywzOTIxMSk=&amp;WINDOW=FIRST_POPUP&amp;HEIGHT=450&amp;WIDTH=450&amp;START_MA","XIMIZED=FALSE&amp;VAR:CALENDAR=US&amp;VAR:SYMBOL=04916420&amp;VAR:INDEX=0"}</definedName>
    <definedName name="_10159__FDSAUDITLINK__" localSheetId="6" hidden="1">{"fdsup://directions/FAT Viewer?action=UPDATE&amp;creator=factset&amp;DYN_ARGS=TRUE&amp;DOC_NAME=FAT:FQL_AUDITING_CLIENT_TEMPLATE.FAT&amp;display_string=Audit&amp;VAR:KEY=LKFSHCJSJM&amp;VAR:QUERY=RkZfRUJJVERBX0lCKCdMVE1TJywzOTIxMCk=&amp;WINDOW=FIRST_POPUP&amp;HEIGHT=450&amp;WIDTH=450&amp;START_MA","XIMIZED=FALSE&amp;VAR:CALENDAR=US&amp;VAR:SYMBOL=04916420&amp;VAR:INDEX=0"}</definedName>
    <definedName name="_10159__FDSAUDITLINK__" hidden="1">{"fdsup://directions/FAT Viewer?action=UPDATE&amp;creator=factset&amp;DYN_ARGS=TRUE&amp;DOC_NAME=FAT:FQL_AUDITING_CLIENT_TEMPLATE.FAT&amp;display_string=Audit&amp;VAR:KEY=LKFSHCJSJM&amp;VAR:QUERY=RkZfRUJJVERBX0lCKCdMVE1TJywzOTIxMCk=&amp;WINDOW=FIRST_POPUP&amp;HEIGHT=450&amp;WIDTH=450&amp;START_MA","XIMIZED=FALSE&amp;VAR:CALENDAR=US&amp;VAR:SYMBOL=04916420&amp;VAR:INDEX=0"}</definedName>
    <definedName name="_1016__FDSAUDITLINK__" localSheetId="6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6__FDSAUDITLINK__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60__FDSAUDITLINK__" localSheetId="6" hidden="1">{"fdsup://directions/FAT Viewer?action=UPDATE&amp;creator=factset&amp;DYN_ARGS=TRUE&amp;DOC_NAME=FAT:FQL_AUDITING_CLIENT_TEMPLATE.FAT&amp;display_string=Audit&amp;VAR:KEY=RWPCJKXEHK&amp;VAR:QUERY=RkZfRUJJVERBX0lCKCdMVE1TJywzOTIwOSk=&amp;WINDOW=FIRST_POPUP&amp;HEIGHT=450&amp;WIDTH=450&amp;START_MA","XIMIZED=FALSE&amp;VAR:CALENDAR=US&amp;VAR:SYMBOL=04916420&amp;VAR:INDEX=0"}</definedName>
    <definedName name="_10160__FDSAUDITLINK__" hidden="1">{"fdsup://directions/FAT Viewer?action=UPDATE&amp;creator=factset&amp;DYN_ARGS=TRUE&amp;DOC_NAME=FAT:FQL_AUDITING_CLIENT_TEMPLATE.FAT&amp;display_string=Audit&amp;VAR:KEY=RWPCJKXEHK&amp;VAR:QUERY=RkZfRUJJVERBX0lCKCdMVE1TJywzOTIwOSk=&amp;WINDOW=FIRST_POPUP&amp;HEIGHT=450&amp;WIDTH=450&amp;START_MA","XIMIZED=FALSE&amp;VAR:CALENDAR=US&amp;VAR:SYMBOL=04916420&amp;VAR:INDEX=0"}</definedName>
    <definedName name="_10161__FDSAUDITLINK__" localSheetId="6" hidden="1">{"fdsup://directions/FAT Viewer?action=UPDATE&amp;creator=factset&amp;DYN_ARGS=TRUE&amp;DOC_NAME=FAT:FQL_AUDITING_CLIENT_TEMPLATE.FAT&amp;display_string=Audit&amp;VAR:KEY=LEROFUVQTU&amp;VAR:QUERY=RkZfRUJJVERBX0lCKCdMVE1TJywzOTIwOCk=&amp;WINDOW=FIRST_POPUP&amp;HEIGHT=450&amp;WIDTH=450&amp;START_MA","XIMIZED=FALSE&amp;VAR:CALENDAR=US&amp;VAR:SYMBOL=04916420&amp;VAR:INDEX=0"}</definedName>
    <definedName name="_10161__FDSAUDITLINK__" hidden="1">{"fdsup://directions/FAT Viewer?action=UPDATE&amp;creator=factset&amp;DYN_ARGS=TRUE&amp;DOC_NAME=FAT:FQL_AUDITING_CLIENT_TEMPLATE.FAT&amp;display_string=Audit&amp;VAR:KEY=LEROFUVQTU&amp;VAR:QUERY=RkZfRUJJVERBX0lCKCdMVE1TJywzOTIwOCk=&amp;WINDOW=FIRST_POPUP&amp;HEIGHT=450&amp;WIDTH=450&amp;START_MA","XIMIZED=FALSE&amp;VAR:CALENDAR=US&amp;VAR:SYMBOL=04916420&amp;VAR:INDEX=0"}</definedName>
    <definedName name="_10162__FDSAUDITLINK__" localSheetId="6" hidden="1">{"fdsup://directions/FAT Viewer?action=UPDATE&amp;creator=factset&amp;DYN_ARGS=TRUE&amp;DOC_NAME=FAT:FQL_AUDITING_CLIENT_TEMPLATE.FAT&amp;display_string=Audit&amp;VAR:KEY=VEPKLCRMNI&amp;VAR:QUERY=RkZfRUJJVERBX0lCKCdMVE1TJywzOTIwNyk=&amp;WINDOW=FIRST_POPUP&amp;HEIGHT=450&amp;WIDTH=450&amp;START_MA","XIMIZED=FALSE&amp;VAR:CALENDAR=US&amp;VAR:SYMBOL=04916420&amp;VAR:INDEX=0"}</definedName>
    <definedName name="_10162__FDSAUDITLINK__" hidden="1">{"fdsup://directions/FAT Viewer?action=UPDATE&amp;creator=factset&amp;DYN_ARGS=TRUE&amp;DOC_NAME=FAT:FQL_AUDITING_CLIENT_TEMPLATE.FAT&amp;display_string=Audit&amp;VAR:KEY=VEPKLCRMNI&amp;VAR:QUERY=RkZfRUJJVERBX0lCKCdMVE1TJywzOTIwNyk=&amp;WINDOW=FIRST_POPUP&amp;HEIGHT=450&amp;WIDTH=450&amp;START_MA","XIMIZED=FALSE&amp;VAR:CALENDAR=US&amp;VAR:SYMBOL=04916420&amp;VAR:INDEX=0"}</definedName>
    <definedName name="_10163__FDSAUDITLINK__" localSheetId="6" hidden="1">{"fdsup://directions/FAT Viewer?action=UPDATE&amp;creator=factset&amp;DYN_ARGS=TRUE&amp;DOC_NAME=FAT:FQL_AUDITING_CLIENT_TEMPLATE.FAT&amp;display_string=Audit&amp;VAR:KEY=LEPADGRURC&amp;VAR:QUERY=RkZfRUJJVERBX0lCKCdMVE1TJywzOTIwNik=&amp;WINDOW=FIRST_POPUP&amp;HEIGHT=450&amp;WIDTH=450&amp;START_MA","XIMIZED=FALSE&amp;VAR:CALENDAR=US&amp;VAR:SYMBOL=04916420&amp;VAR:INDEX=0"}</definedName>
    <definedName name="_10163__FDSAUDITLINK__" hidden="1">{"fdsup://directions/FAT Viewer?action=UPDATE&amp;creator=factset&amp;DYN_ARGS=TRUE&amp;DOC_NAME=FAT:FQL_AUDITING_CLIENT_TEMPLATE.FAT&amp;display_string=Audit&amp;VAR:KEY=LEPADGRURC&amp;VAR:QUERY=RkZfRUJJVERBX0lCKCdMVE1TJywzOTIwNik=&amp;WINDOW=FIRST_POPUP&amp;HEIGHT=450&amp;WIDTH=450&amp;START_MA","XIMIZED=FALSE&amp;VAR:CALENDAR=US&amp;VAR:SYMBOL=04916420&amp;VAR:INDEX=0"}</definedName>
    <definedName name="_10164__FDSAUDITLINK__" localSheetId="6" hidden="1">{"fdsup://directions/FAT Viewer?action=UPDATE&amp;creator=factset&amp;DYN_ARGS=TRUE&amp;DOC_NAME=FAT:FQL_AUDITING_CLIENT_TEMPLATE.FAT&amp;display_string=Audit&amp;VAR:KEY=VQHAHEBMRG&amp;VAR:QUERY=RkZfRUJJVERBX0lCKCdMVE1TJywzOTIwNSk=&amp;WINDOW=FIRST_POPUP&amp;HEIGHT=450&amp;WIDTH=450&amp;START_MA","XIMIZED=FALSE&amp;VAR:CALENDAR=US&amp;VAR:SYMBOL=04916420&amp;VAR:INDEX=0"}</definedName>
    <definedName name="_10164__FDSAUDITLINK__" hidden="1">{"fdsup://directions/FAT Viewer?action=UPDATE&amp;creator=factset&amp;DYN_ARGS=TRUE&amp;DOC_NAME=FAT:FQL_AUDITING_CLIENT_TEMPLATE.FAT&amp;display_string=Audit&amp;VAR:KEY=VQHAHEBMRG&amp;VAR:QUERY=RkZfRUJJVERBX0lCKCdMVE1TJywzOTIwNSk=&amp;WINDOW=FIRST_POPUP&amp;HEIGHT=450&amp;WIDTH=450&amp;START_MA","XIMIZED=FALSE&amp;VAR:CALENDAR=US&amp;VAR:SYMBOL=04916420&amp;VAR:INDEX=0"}</definedName>
    <definedName name="_10165__FDSAUDITLINK__" localSheetId="6" hidden="1">{"fdsup://directions/FAT Viewer?action=UPDATE&amp;creator=factset&amp;DYN_ARGS=TRUE&amp;DOC_NAME=FAT:FQL_AUDITING_CLIENT_TEMPLATE.FAT&amp;display_string=Audit&amp;VAR:KEY=HQBCLWRAVW&amp;VAR:QUERY=RkZfRUJJVERBX0lCKCdMVE1TJywzOTIwNCk=&amp;WINDOW=FIRST_POPUP&amp;HEIGHT=450&amp;WIDTH=450&amp;START_MA","XIMIZED=FALSE&amp;VAR:CALENDAR=US&amp;VAR:SYMBOL=04916420&amp;VAR:INDEX=0"}</definedName>
    <definedName name="_10165__FDSAUDITLINK__" hidden="1">{"fdsup://directions/FAT Viewer?action=UPDATE&amp;creator=factset&amp;DYN_ARGS=TRUE&amp;DOC_NAME=FAT:FQL_AUDITING_CLIENT_TEMPLATE.FAT&amp;display_string=Audit&amp;VAR:KEY=HQBCLWRAVW&amp;VAR:QUERY=RkZfRUJJVERBX0lCKCdMVE1TJywzOTIwNCk=&amp;WINDOW=FIRST_POPUP&amp;HEIGHT=450&amp;WIDTH=450&amp;START_MA","XIMIZED=FALSE&amp;VAR:CALENDAR=US&amp;VAR:SYMBOL=04916420&amp;VAR:INDEX=0"}</definedName>
    <definedName name="_10166__FDSAUDITLINK__" localSheetId="6" hidden="1">{"fdsup://directions/FAT Viewer?action=UPDATE&amp;creator=factset&amp;DYN_ARGS=TRUE&amp;DOC_NAME=FAT:FQL_AUDITING_CLIENT_TEMPLATE.FAT&amp;display_string=Audit&amp;VAR:KEY=ZSLGLIPCRG&amp;VAR:QUERY=RkZfRUJJVERBX0lCKCdMVE1TJywzOTIwMyk=&amp;WINDOW=FIRST_POPUP&amp;HEIGHT=450&amp;WIDTH=450&amp;START_MA","XIMIZED=FALSE&amp;VAR:CALENDAR=US&amp;VAR:SYMBOL=04916420&amp;VAR:INDEX=0"}</definedName>
    <definedName name="_10166__FDSAUDITLINK__" hidden="1">{"fdsup://directions/FAT Viewer?action=UPDATE&amp;creator=factset&amp;DYN_ARGS=TRUE&amp;DOC_NAME=FAT:FQL_AUDITING_CLIENT_TEMPLATE.FAT&amp;display_string=Audit&amp;VAR:KEY=ZSLGLIPCRG&amp;VAR:QUERY=RkZfRUJJVERBX0lCKCdMVE1TJywzOTIwMyk=&amp;WINDOW=FIRST_POPUP&amp;HEIGHT=450&amp;WIDTH=450&amp;START_MA","XIMIZED=FALSE&amp;VAR:CALENDAR=US&amp;VAR:SYMBOL=04916420&amp;VAR:INDEX=0"}</definedName>
    <definedName name="_10167__FDSAUDITLINK__" localSheetId="6" hidden="1">{"fdsup://directions/FAT Viewer?action=UPDATE&amp;creator=factset&amp;DYN_ARGS=TRUE&amp;DOC_NAME=FAT:FQL_AUDITING_CLIENT_TEMPLATE.FAT&amp;display_string=Audit&amp;VAR:KEY=ZWPQBMPSBE&amp;VAR:QUERY=RkZfRUJJVERBX0lCKCdMVE1TJywzOTIwMik=&amp;WINDOW=FIRST_POPUP&amp;HEIGHT=450&amp;WIDTH=450&amp;START_MA","XIMIZED=FALSE&amp;VAR:CALENDAR=US&amp;VAR:SYMBOL=04916420&amp;VAR:INDEX=0"}</definedName>
    <definedName name="_10167__FDSAUDITLINK__" hidden="1">{"fdsup://directions/FAT Viewer?action=UPDATE&amp;creator=factset&amp;DYN_ARGS=TRUE&amp;DOC_NAME=FAT:FQL_AUDITING_CLIENT_TEMPLATE.FAT&amp;display_string=Audit&amp;VAR:KEY=ZWPQBMPSBE&amp;VAR:QUERY=RkZfRUJJVERBX0lCKCdMVE1TJywzOTIwMik=&amp;WINDOW=FIRST_POPUP&amp;HEIGHT=450&amp;WIDTH=450&amp;START_MA","XIMIZED=FALSE&amp;VAR:CALENDAR=US&amp;VAR:SYMBOL=04916420&amp;VAR:INDEX=0"}</definedName>
    <definedName name="_10168__FDSAUDITLINK__" localSheetId="6" hidden="1">{"fdsup://directions/FAT Viewer?action=UPDATE&amp;creator=factset&amp;DYN_ARGS=TRUE&amp;DOC_NAME=FAT:FQL_AUDITING_CLIENT_TEMPLATE.FAT&amp;display_string=Audit&amp;VAR:KEY=LMPEFEPYXK&amp;VAR:QUERY=RkZfRUJJVERBX0lCKCdMVE1TJywzOTIwMSk=&amp;WINDOW=FIRST_POPUP&amp;HEIGHT=450&amp;WIDTH=450&amp;START_MA","XIMIZED=FALSE&amp;VAR:CALENDAR=US&amp;VAR:SYMBOL=04916420&amp;VAR:INDEX=0"}</definedName>
    <definedName name="_10168__FDSAUDITLINK__" hidden="1">{"fdsup://directions/FAT Viewer?action=UPDATE&amp;creator=factset&amp;DYN_ARGS=TRUE&amp;DOC_NAME=FAT:FQL_AUDITING_CLIENT_TEMPLATE.FAT&amp;display_string=Audit&amp;VAR:KEY=LMPEFEPYXK&amp;VAR:QUERY=RkZfRUJJVERBX0lCKCdMVE1TJywzOTIwMSk=&amp;WINDOW=FIRST_POPUP&amp;HEIGHT=450&amp;WIDTH=450&amp;START_MA","XIMIZED=FALSE&amp;VAR:CALENDAR=US&amp;VAR:SYMBOL=04916420&amp;VAR:INDEX=0"}</definedName>
    <definedName name="_10169__FDSAUDITLINK__" localSheetId="6" hidden="1">{"fdsup://directions/FAT Viewer?action=UPDATE&amp;creator=factset&amp;DYN_ARGS=TRUE&amp;DOC_NAME=FAT:FQL_AUDITING_CLIENT_TEMPLATE.FAT&amp;display_string=Audit&amp;VAR:KEY=FYVQJSDWTG&amp;VAR:QUERY=RkZfRUJJVERBX0lCKCdMVE1TJywzOTIwMCk=&amp;WINDOW=FIRST_POPUP&amp;HEIGHT=450&amp;WIDTH=450&amp;START_MA","XIMIZED=FALSE&amp;VAR:CALENDAR=US&amp;VAR:SYMBOL=04916420&amp;VAR:INDEX=0"}</definedName>
    <definedName name="_10169__FDSAUDITLINK__" hidden="1">{"fdsup://directions/FAT Viewer?action=UPDATE&amp;creator=factset&amp;DYN_ARGS=TRUE&amp;DOC_NAME=FAT:FQL_AUDITING_CLIENT_TEMPLATE.FAT&amp;display_string=Audit&amp;VAR:KEY=FYVQJSDWTG&amp;VAR:QUERY=RkZfRUJJVERBX0lCKCdMVE1TJywzOTIwMCk=&amp;WINDOW=FIRST_POPUP&amp;HEIGHT=450&amp;WIDTH=450&amp;START_MA","XIMIZED=FALSE&amp;VAR:CALENDAR=US&amp;VAR:SYMBOL=04916420&amp;VAR:INDEX=0"}</definedName>
    <definedName name="_1017__FDSAUDITLINK__" localSheetId="6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7__FDSAUDITLINK__" hidden="1">{"fdsup://directions/FAT%20Viewer?VAR:PED=LTM&amp;VAR:AUDIT_MODE=SUMMARY&amp;VAR:PERIOD=FIXED&amp;VAR:AUDIT_ID=00000117&amp;VAR:DATE=20070511&amp;action=UPDATE&amp;creator=factset&amp;DOC_NAME=FAT:FMA_audit_SUMMARY.fat&amp;DISPLAY_STRING=Display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70__FDSAUDITLINK__" localSheetId="6" hidden="1">{"fdsup://directions/FAT Viewer?action=UPDATE&amp;creator=factset&amp;DYN_ARGS=TRUE&amp;DOC_NAME=FAT:FQL_AUDITING_CLIENT_TEMPLATE.FAT&amp;display_string=Audit&amp;VAR:KEY=HQXSVQBSJA&amp;VAR:QUERY=RkZfRUJJVERBX0lCKCdMVE1TJywzOTE5OSk=&amp;WINDOW=FIRST_POPUP&amp;HEIGHT=450&amp;WIDTH=450&amp;START_MA","XIMIZED=FALSE&amp;VAR:CALENDAR=US&amp;VAR:SYMBOL=04916420&amp;VAR:INDEX=0"}</definedName>
    <definedName name="_10170__FDSAUDITLINK__" hidden="1">{"fdsup://directions/FAT Viewer?action=UPDATE&amp;creator=factset&amp;DYN_ARGS=TRUE&amp;DOC_NAME=FAT:FQL_AUDITING_CLIENT_TEMPLATE.FAT&amp;display_string=Audit&amp;VAR:KEY=HQXSVQBSJA&amp;VAR:QUERY=RkZfRUJJVERBX0lCKCdMVE1TJywzOTE5OSk=&amp;WINDOW=FIRST_POPUP&amp;HEIGHT=450&amp;WIDTH=450&amp;START_MA","XIMIZED=FALSE&amp;VAR:CALENDAR=US&amp;VAR:SYMBOL=04916420&amp;VAR:INDEX=0"}</definedName>
    <definedName name="_10171__FDSAUDITLINK__" localSheetId="6" hidden="1">{"fdsup://directions/FAT Viewer?action=UPDATE&amp;creator=factset&amp;DYN_ARGS=TRUE&amp;DOC_NAME=FAT:FQL_AUDITING_CLIENT_TEMPLATE.FAT&amp;display_string=Audit&amp;VAR:KEY=VGBWNQJERG&amp;VAR:QUERY=RkZfRUJJVERBX0lCKCdMVE1TJywzOTE5OCk=&amp;WINDOW=FIRST_POPUP&amp;HEIGHT=450&amp;WIDTH=450&amp;START_MA","XIMIZED=FALSE&amp;VAR:CALENDAR=US&amp;VAR:SYMBOL=04916420&amp;VAR:INDEX=0"}</definedName>
    <definedName name="_10171__FDSAUDITLINK__" hidden="1">{"fdsup://directions/FAT Viewer?action=UPDATE&amp;creator=factset&amp;DYN_ARGS=TRUE&amp;DOC_NAME=FAT:FQL_AUDITING_CLIENT_TEMPLATE.FAT&amp;display_string=Audit&amp;VAR:KEY=VGBWNQJERG&amp;VAR:QUERY=RkZfRUJJVERBX0lCKCdMVE1TJywzOTE5OCk=&amp;WINDOW=FIRST_POPUP&amp;HEIGHT=450&amp;WIDTH=450&amp;START_MA","XIMIZED=FALSE&amp;VAR:CALENDAR=US&amp;VAR:SYMBOL=04916420&amp;VAR:INDEX=0"}</definedName>
    <definedName name="_10172__FDSAUDITLINK__" localSheetId="6" hidden="1">{"fdsup://directions/FAT Viewer?action=UPDATE&amp;creator=factset&amp;DYN_ARGS=TRUE&amp;DOC_NAME=FAT:FQL_AUDITING_CLIENT_TEMPLATE.FAT&amp;display_string=Audit&amp;VAR:KEY=LMZMJWVANC&amp;VAR:QUERY=RkZfRUJJVERBX0lCKCdMVE1TJywzOTE5Nyk=&amp;WINDOW=FIRST_POPUP&amp;HEIGHT=450&amp;WIDTH=450&amp;START_MA","XIMIZED=FALSE&amp;VAR:CALENDAR=US&amp;VAR:SYMBOL=04916420&amp;VAR:INDEX=0"}</definedName>
    <definedName name="_10172__FDSAUDITLINK__" hidden="1">{"fdsup://directions/FAT Viewer?action=UPDATE&amp;creator=factset&amp;DYN_ARGS=TRUE&amp;DOC_NAME=FAT:FQL_AUDITING_CLIENT_TEMPLATE.FAT&amp;display_string=Audit&amp;VAR:KEY=LMZMJWVANC&amp;VAR:QUERY=RkZfRUJJVERBX0lCKCdMVE1TJywzOTE5Nyk=&amp;WINDOW=FIRST_POPUP&amp;HEIGHT=450&amp;WIDTH=450&amp;START_MA","XIMIZED=FALSE&amp;VAR:CALENDAR=US&amp;VAR:SYMBOL=04916420&amp;VAR:INDEX=0"}</definedName>
    <definedName name="_10173__FDSAUDITLINK__" localSheetId="6" hidden="1">{"fdsup://directions/FAT Viewer?action=UPDATE&amp;creator=factset&amp;DYN_ARGS=TRUE&amp;DOC_NAME=FAT:FQL_AUDITING_CLIENT_TEMPLATE.FAT&amp;display_string=Audit&amp;VAR:KEY=RILUPQLOXO&amp;VAR:QUERY=RkZfRUJJVERBX0lCKCdMVE1TJywzOTE5Nik=&amp;WINDOW=FIRST_POPUP&amp;HEIGHT=450&amp;WIDTH=450&amp;START_MA","XIMIZED=FALSE&amp;VAR:CALENDAR=US&amp;VAR:SYMBOL=04916420&amp;VAR:INDEX=0"}</definedName>
    <definedName name="_10173__FDSAUDITLINK__" hidden="1">{"fdsup://directions/FAT Viewer?action=UPDATE&amp;creator=factset&amp;DYN_ARGS=TRUE&amp;DOC_NAME=FAT:FQL_AUDITING_CLIENT_TEMPLATE.FAT&amp;display_string=Audit&amp;VAR:KEY=RILUPQLOXO&amp;VAR:QUERY=RkZfRUJJVERBX0lCKCdMVE1TJywzOTE5Nik=&amp;WINDOW=FIRST_POPUP&amp;HEIGHT=450&amp;WIDTH=450&amp;START_MA","XIMIZED=FALSE&amp;VAR:CALENDAR=US&amp;VAR:SYMBOL=04916420&amp;VAR:INDEX=0"}</definedName>
    <definedName name="_10174__FDSAUDITLINK__" localSheetId="6" hidden="1">{"fdsup://directions/FAT Viewer?action=UPDATE&amp;creator=factset&amp;DYN_ARGS=TRUE&amp;DOC_NAME=FAT:FQL_AUDITING_CLIENT_TEMPLATE.FAT&amp;display_string=Audit&amp;VAR:KEY=HAJUDEZOXC&amp;VAR:QUERY=RkZfRUJJVERBX0lCKCdMVE1TJywzOTE5NSk=&amp;WINDOW=FIRST_POPUP&amp;HEIGHT=450&amp;WIDTH=450&amp;START_MA","XIMIZED=FALSE&amp;VAR:CALENDAR=US&amp;VAR:SYMBOL=04916420&amp;VAR:INDEX=0"}</definedName>
    <definedName name="_10174__FDSAUDITLINK__" hidden="1">{"fdsup://directions/FAT Viewer?action=UPDATE&amp;creator=factset&amp;DYN_ARGS=TRUE&amp;DOC_NAME=FAT:FQL_AUDITING_CLIENT_TEMPLATE.FAT&amp;display_string=Audit&amp;VAR:KEY=HAJUDEZOXC&amp;VAR:QUERY=RkZfRUJJVERBX0lCKCdMVE1TJywzOTE5NSk=&amp;WINDOW=FIRST_POPUP&amp;HEIGHT=450&amp;WIDTH=450&amp;START_MA","XIMIZED=FALSE&amp;VAR:CALENDAR=US&amp;VAR:SYMBOL=04916420&amp;VAR:INDEX=0"}</definedName>
    <definedName name="_10175__FDSAUDITLINK__" localSheetId="6" hidden="1">{"fdsup://directions/FAT Viewer?action=UPDATE&amp;creator=factset&amp;DYN_ARGS=TRUE&amp;DOC_NAME=FAT:FQL_AUDITING_CLIENT_TEMPLATE.FAT&amp;display_string=Audit&amp;VAR:KEY=VEXWVKFSDA&amp;VAR:QUERY=RkZfRUJJVERBX0lCKCdMVE1TJywzOTE5NCk=&amp;WINDOW=FIRST_POPUP&amp;HEIGHT=450&amp;WIDTH=450&amp;START_MA","XIMIZED=FALSE&amp;VAR:CALENDAR=US&amp;VAR:SYMBOL=04916420&amp;VAR:INDEX=0"}</definedName>
    <definedName name="_10175__FDSAUDITLINK__" hidden="1">{"fdsup://directions/FAT Viewer?action=UPDATE&amp;creator=factset&amp;DYN_ARGS=TRUE&amp;DOC_NAME=FAT:FQL_AUDITING_CLIENT_TEMPLATE.FAT&amp;display_string=Audit&amp;VAR:KEY=VEXWVKFSDA&amp;VAR:QUERY=RkZfRUJJVERBX0lCKCdMVE1TJywzOTE5NCk=&amp;WINDOW=FIRST_POPUP&amp;HEIGHT=450&amp;WIDTH=450&amp;START_MA","XIMIZED=FALSE&amp;VAR:CALENDAR=US&amp;VAR:SYMBOL=04916420&amp;VAR:INDEX=0"}</definedName>
    <definedName name="_10176__FDSAUDITLINK__" localSheetId="6" hidden="1">{"fdsup://directions/FAT Viewer?action=UPDATE&amp;creator=factset&amp;DYN_ARGS=TRUE&amp;DOC_NAME=FAT:FQL_AUDITING_CLIENT_TEMPLATE.FAT&amp;display_string=Audit&amp;VAR:KEY=BMTCVMXWVA&amp;VAR:QUERY=RkZfRUJJVERBX0lCKCdMVE1TJywzOTE5Myk=&amp;WINDOW=FIRST_POPUP&amp;HEIGHT=450&amp;WIDTH=450&amp;START_MA","XIMIZED=FALSE&amp;VAR:CALENDAR=US&amp;VAR:SYMBOL=04916420&amp;VAR:INDEX=0"}</definedName>
    <definedName name="_10176__FDSAUDITLINK__" hidden="1">{"fdsup://directions/FAT Viewer?action=UPDATE&amp;creator=factset&amp;DYN_ARGS=TRUE&amp;DOC_NAME=FAT:FQL_AUDITING_CLIENT_TEMPLATE.FAT&amp;display_string=Audit&amp;VAR:KEY=BMTCVMXWVA&amp;VAR:QUERY=RkZfRUJJVERBX0lCKCdMVE1TJywzOTE5Myk=&amp;WINDOW=FIRST_POPUP&amp;HEIGHT=450&amp;WIDTH=450&amp;START_MA","XIMIZED=FALSE&amp;VAR:CALENDAR=US&amp;VAR:SYMBOL=04916420&amp;VAR:INDEX=0"}</definedName>
    <definedName name="_10177__FDSAUDITLINK__" localSheetId="6" hidden="1">{"fdsup://directions/FAT Viewer?action=UPDATE&amp;creator=factset&amp;DYN_ARGS=TRUE&amp;DOC_NAME=FAT:FQL_AUDITING_CLIENT_TEMPLATE.FAT&amp;display_string=Audit&amp;VAR:KEY=TIBWJEJCDW&amp;VAR:QUERY=RkZfRUJJVERBX0lCKCdMVE1TJywzOTE5Mik=&amp;WINDOW=FIRST_POPUP&amp;HEIGHT=450&amp;WIDTH=450&amp;START_MA","XIMIZED=FALSE&amp;VAR:CALENDAR=US&amp;VAR:SYMBOL=04916420&amp;VAR:INDEX=0"}</definedName>
    <definedName name="_10177__FDSAUDITLINK__" hidden="1">{"fdsup://directions/FAT Viewer?action=UPDATE&amp;creator=factset&amp;DYN_ARGS=TRUE&amp;DOC_NAME=FAT:FQL_AUDITING_CLIENT_TEMPLATE.FAT&amp;display_string=Audit&amp;VAR:KEY=TIBWJEJCDW&amp;VAR:QUERY=RkZfRUJJVERBX0lCKCdMVE1TJywzOTE5Mik=&amp;WINDOW=FIRST_POPUP&amp;HEIGHT=450&amp;WIDTH=450&amp;START_MA","XIMIZED=FALSE&amp;VAR:CALENDAR=US&amp;VAR:SYMBOL=04916420&amp;VAR:INDEX=0"}</definedName>
    <definedName name="_10178__FDSAUDITLINK__" localSheetId="6" hidden="1">{"fdsup://directions/FAT Viewer?action=UPDATE&amp;creator=factset&amp;DYN_ARGS=TRUE&amp;DOC_NAME=FAT:FQL_AUDITING_CLIENT_TEMPLATE.FAT&amp;display_string=Audit&amp;VAR:KEY=TWBEDSHEHS&amp;VAR:QUERY=RkZfRUJJVERBX0lCKCdMVE1TJywzOTE5MSk=&amp;WINDOW=FIRST_POPUP&amp;HEIGHT=450&amp;WIDTH=450&amp;START_MA","XIMIZED=FALSE&amp;VAR:CALENDAR=US&amp;VAR:SYMBOL=04916420&amp;VAR:INDEX=0"}</definedName>
    <definedName name="_10178__FDSAUDITLINK__" hidden="1">{"fdsup://directions/FAT Viewer?action=UPDATE&amp;creator=factset&amp;DYN_ARGS=TRUE&amp;DOC_NAME=FAT:FQL_AUDITING_CLIENT_TEMPLATE.FAT&amp;display_string=Audit&amp;VAR:KEY=TWBEDSHEHS&amp;VAR:QUERY=RkZfRUJJVERBX0lCKCdMVE1TJywzOTE5MSk=&amp;WINDOW=FIRST_POPUP&amp;HEIGHT=450&amp;WIDTH=450&amp;START_MA","XIMIZED=FALSE&amp;VAR:CALENDAR=US&amp;VAR:SYMBOL=04916420&amp;VAR:INDEX=0"}</definedName>
    <definedName name="_10179__FDSAUDITLINK__" localSheetId="6" hidden="1">{"fdsup://directions/FAT Viewer?action=UPDATE&amp;creator=factset&amp;DYN_ARGS=TRUE&amp;DOC_NAME=FAT:FQL_AUDITING_CLIENT_TEMPLATE.FAT&amp;display_string=Audit&amp;VAR:KEY=TMLSLQFIXM&amp;VAR:QUERY=RkZfRUJJVERBX0lCKCdMVE1TJywzOTE5MCk=&amp;WINDOW=FIRST_POPUP&amp;HEIGHT=450&amp;WIDTH=450&amp;START_MA","XIMIZED=FALSE&amp;VAR:CALENDAR=US&amp;VAR:SYMBOL=04916420&amp;VAR:INDEX=0"}</definedName>
    <definedName name="_10179__FDSAUDITLINK__" hidden="1">{"fdsup://directions/FAT Viewer?action=UPDATE&amp;creator=factset&amp;DYN_ARGS=TRUE&amp;DOC_NAME=FAT:FQL_AUDITING_CLIENT_TEMPLATE.FAT&amp;display_string=Audit&amp;VAR:KEY=TMLSLQFIXM&amp;VAR:QUERY=RkZfRUJJVERBX0lCKCdMVE1TJywzOTE5MCk=&amp;WINDOW=FIRST_POPUP&amp;HEIGHT=450&amp;WIDTH=450&amp;START_MA","XIMIZED=FALSE&amp;VAR:CALENDAR=US&amp;VAR:SYMBOL=04916420&amp;VAR:INDEX=0"}</definedName>
    <definedName name="_1018__FDSAUDITLINK__" localSheetId="6" hidden="1">{"fdsup://directions/FAT%20Viewer?VAR:PED=LTM&amp;VAR:AUDIT_MODE=SUMMARY&amp;VAR:PERIOD=FIXED&amp;VAR:AUDIT_ID=00000117&amp;VAR:DATE=20070510&amp;action=UPDATE&amp;creator=factset&amp;DOC_NAME=FAT:FMA_audit_SUMMARY.fat&amp;DISPLAY_STRING=Display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8__FDSAUDITLINK__" hidden="1">{"fdsup://directions/FAT%20Viewer?VAR:PED=LTM&amp;VAR:AUDIT_MODE=SUMMARY&amp;VAR:PERIOD=FIXED&amp;VAR:AUDIT_ID=00000117&amp;VAR:DATE=20070510&amp;action=UPDATE&amp;creator=factset&amp;DOC_NAME=FAT:FMA_audit_SUMMARY.fat&amp;DISPLAY_STRING=Display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80__FDSAUDITLINK__" localSheetId="6" hidden="1">{"fdsup://directions/FAT Viewer?action=UPDATE&amp;creator=factset&amp;DYN_ARGS=TRUE&amp;DOC_NAME=FAT:FQL_AUDITING_CLIENT_TEMPLATE.FAT&amp;display_string=Audit&amp;VAR:KEY=JWTCBYNWDC&amp;VAR:QUERY=RkZfRUJJVERBX0lCKCdMVE1TJywzOTE4OSk=&amp;WINDOW=FIRST_POPUP&amp;HEIGHT=450&amp;WIDTH=450&amp;START_MA","XIMIZED=FALSE&amp;VAR:CALENDAR=US&amp;VAR:SYMBOL=04916420&amp;VAR:INDEX=0"}</definedName>
    <definedName name="_10180__FDSAUDITLINK__" hidden="1">{"fdsup://directions/FAT Viewer?action=UPDATE&amp;creator=factset&amp;DYN_ARGS=TRUE&amp;DOC_NAME=FAT:FQL_AUDITING_CLIENT_TEMPLATE.FAT&amp;display_string=Audit&amp;VAR:KEY=JWTCBYNWDC&amp;VAR:QUERY=RkZfRUJJVERBX0lCKCdMVE1TJywzOTE4OSk=&amp;WINDOW=FIRST_POPUP&amp;HEIGHT=450&amp;WIDTH=450&amp;START_MA","XIMIZED=FALSE&amp;VAR:CALENDAR=US&amp;VAR:SYMBOL=04916420&amp;VAR:INDEX=0"}</definedName>
    <definedName name="_10181__FDSAUDITLINK__" localSheetId="6" hidden="1">{"fdsup://directions/FAT Viewer?action=UPDATE&amp;creator=factset&amp;DYN_ARGS=TRUE&amp;DOC_NAME=FAT:FQL_AUDITING_CLIENT_TEMPLATE.FAT&amp;display_string=Audit&amp;VAR:KEY=DYRIBWTMBA&amp;VAR:QUERY=RkZfRUJJVERBX0lCKCdMVE1TJywzOTE4OCk=&amp;WINDOW=FIRST_POPUP&amp;HEIGHT=450&amp;WIDTH=450&amp;START_MA","XIMIZED=FALSE&amp;VAR:CALENDAR=US&amp;VAR:SYMBOL=04916420&amp;VAR:INDEX=0"}</definedName>
    <definedName name="_10181__FDSAUDITLINK__" hidden="1">{"fdsup://directions/FAT Viewer?action=UPDATE&amp;creator=factset&amp;DYN_ARGS=TRUE&amp;DOC_NAME=FAT:FQL_AUDITING_CLIENT_TEMPLATE.FAT&amp;display_string=Audit&amp;VAR:KEY=DYRIBWTMBA&amp;VAR:QUERY=RkZfRUJJVERBX0lCKCdMVE1TJywzOTE4OCk=&amp;WINDOW=FIRST_POPUP&amp;HEIGHT=450&amp;WIDTH=450&amp;START_MA","XIMIZED=FALSE&amp;VAR:CALENDAR=US&amp;VAR:SYMBOL=04916420&amp;VAR:INDEX=0"}</definedName>
    <definedName name="_10182__FDSAUDITLINK__" localSheetId="6" hidden="1">{"fdsup://directions/FAT Viewer?action=UPDATE&amp;creator=factset&amp;DYN_ARGS=TRUE&amp;DOC_NAME=FAT:FQL_AUDITING_CLIENT_TEMPLATE.FAT&amp;display_string=Audit&amp;VAR:KEY=FMPWZQFWTY&amp;VAR:QUERY=RkZfRUJJVERBX0lCKCdMVE1TJywzOTE4Nyk=&amp;WINDOW=FIRST_POPUP&amp;HEIGHT=450&amp;WIDTH=450&amp;START_MA","XIMIZED=FALSE&amp;VAR:CALENDAR=US&amp;VAR:SYMBOL=04916420&amp;VAR:INDEX=0"}</definedName>
    <definedName name="_10182__FDSAUDITLINK__" hidden="1">{"fdsup://directions/FAT Viewer?action=UPDATE&amp;creator=factset&amp;DYN_ARGS=TRUE&amp;DOC_NAME=FAT:FQL_AUDITING_CLIENT_TEMPLATE.FAT&amp;display_string=Audit&amp;VAR:KEY=FMPWZQFWTY&amp;VAR:QUERY=RkZfRUJJVERBX0lCKCdMVE1TJywzOTE4Nyk=&amp;WINDOW=FIRST_POPUP&amp;HEIGHT=450&amp;WIDTH=450&amp;START_MA","XIMIZED=FALSE&amp;VAR:CALENDAR=US&amp;VAR:SYMBOL=04916420&amp;VAR:INDEX=0"}</definedName>
    <definedName name="_10183__FDSAUDITLINK__" localSheetId="6" hidden="1">{"fdsup://directions/FAT Viewer?action=UPDATE&amp;creator=factset&amp;DYN_ARGS=TRUE&amp;DOC_NAME=FAT:FQL_AUDITING_CLIENT_TEMPLATE.FAT&amp;display_string=Audit&amp;VAR:KEY=JIBQBETKZU&amp;VAR:QUERY=RkZfRUJJVERBX0lCKCdMVE1TJywzOTE4Nik=&amp;WINDOW=FIRST_POPUP&amp;HEIGHT=450&amp;WIDTH=450&amp;START_MA","XIMIZED=FALSE&amp;VAR:CALENDAR=US&amp;VAR:SYMBOL=04916420&amp;VAR:INDEX=0"}</definedName>
    <definedName name="_10183__FDSAUDITLINK__" hidden="1">{"fdsup://directions/FAT Viewer?action=UPDATE&amp;creator=factset&amp;DYN_ARGS=TRUE&amp;DOC_NAME=FAT:FQL_AUDITING_CLIENT_TEMPLATE.FAT&amp;display_string=Audit&amp;VAR:KEY=JIBQBETKZU&amp;VAR:QUERY=RkZfRUJJVERBX0lCKCdMVE1TJywzOTE4Nik=&amp;WINDOW=FIRST_POPUP&amp;HEIGHT=450&amp;WIDTH=450&amp;START_MA","XIMIZED=FALSE&amp;VAR:CALENDAR=US&amp;VAR:SYMBOL=04916420&amp;VAR:INDEX=0"}</definedName>
    <definedName name="_10184__FDSAUDITLINK__" localSheetId="6" hidden="1">{"fdsup://directions/FAT Viewer?action=UPDATE&amp;creator=factset&amp;DYN_ARGS=TRUE&amp;DOC_NAME=FAT:FQL_AUDITING_CLIENT_TEMPLATE.FAT&amp;display_string=Audit&amp;VAR:KEY=BMZSVSRYHC&amp;VAR:QUERY=RkZfRUJJVERBX0lCKCdMVE1TJywzOTE4NSk=&amp;WINDOW=FIRST_POPUP&amp;HEIGHT=450&amp;WIDTH=450&amp;START_MA","XIMIZED=FALSE&amp;VAR:CALENDAR=US&amp;VAR:SYMBOL=04916420&amp;VAR:INDEX=0"}</definedName>
    <definedName name="_10184__FDSAUDITLINK__" hidden="1">{"fdsup://directions/FAT Viewer?action=UPDATE&amp;creator=factset&amp;DYN_ARGS=TRUE&amp;DOC_NAME=FAT:FQL_AUDITING_CLIENT_TEMPLATE.FAT&amp;display_string=Audit&amp;VAR:KEY=BMZSVSRYHC&amp;VAR:QUERY=RkZfRUJJVERBX0lCKCdMVE1TJywzOTE4NSk=&amp;WINDOW=FIRST_POPUP&amp;HEIGHT=450&amp;WIDTH=450&amp;START_MA","XIMIZED=FALSE&amp;VAR:CALENDAR=US&amp;VAR:SYMBOL=04916420&amp;VAR:INDEX=0"}</definedName>
    <definedName name="_10185__FDSAUDITLINK__" localSheetId="6" hidden="1">{"fdsup://directions/FAT Viewer?action=UPDATE&amp;creator=factset&amp;DYN_ARGS=TRUE&amp;DOC_NAME=FAT:FQL_AUDITING_CLIENT_TEMPLATE.FAT&amp;display_string=Audit&amp;VAR:KEY=VANWPSTQZE&amp;VAR:QUERY=RkZfRUJJVERBX0lCKCdMVE1TJywzOTE4NCk=&amp;WINDOW=FIRST_POPUP&amp;HEIGHT=450&amp;WIDTH=450&amp;START_MA","XIMIZED=FALSE&amp;VAR:CALENDAR=US&amp;VAR:SYMBOL=04916420&amp;VAR:INDEX=0"}</definedName>
    <definedName name="_10185__FDSAUDITLINK__" hidden="1">{"fdsup://directions/FAT Viewer?action=UPDATE&amp;creator=factset&amp;DYN_ARGS=TRUE&amp;DOC_NAME=FAT:FQL_AUDITING_CLIENT_TEMPLATE.FAT&amp;display_string=Audit&amp;VAR:KEY=VANWPSTQZE&amp;VAR:QUERY=RkZfRUJJVERBX0lCKCdMVE1TJywzOTE4NCk=&amp;WINDOW=FIRST_POPUP&amp;HEIGHT=450&amp;WIDTH=450&amp;START_MA","XIMIZED=FALSE&amp;VAR:CALENDAR=US&amp;VAR:SYMBOL=04916420&amp;VAR:INDEX=0"}</definedName>
    <definedName name="_10186__FDSAUDITLINK__" localSheetId="6" hidden="1">{"fdsup://directions/FAT Viewer?action=UPDATE&amp;creator=factset&amp;DYN_ARGS=TRUE&amp;DOC_NAME=FAT:FQL_AUDITING_CLIENT_TEMPLATE.FAT&amp;display_string=Audit&amp;VAR:KEY=RKLOXKJGDS&amp;VAR:QUERY=RkZfRUJJVERBX0lCKCdMVE1TJywzOTE4Myk=&amp;WINDOW=FIRST_POPUP&amp;HEIGHT=450&amp;WIDTH=450&amp;START_MA","XIMIZED=FALSE&amp;VAR:CALENDAR=US&amp;VAR:SYMBOL=04916420&amp;VAR:INDEX=0"}</definedName>
    <definedName name="_10186__FDSAUDITLINK__" hidden="1">{"fdsup://directions/FAT Viewer?action=UPDATE&amp;creator=factset&amp;DYN_ARGS=TRUE&amp;DOC_NAME=FAT:FQL_AUDITING_CLIENT_TEMPLATE.FAT&amp;display_string=Audit&amp;VAR:KEY=RKLOXKJGDS&amp;VAR:QUERY=RkZfRUJJVERBX0lCKCdMVE1TJywzOTE4Myk=&amp;WINDOW=FIRST_POPUP&amp;HEIGHT=450&amp;WIDTH=450&amp;START_MA","XIMIZED=FALSE&amp;VAR:CALENDAR=US&amp;VAR:SYMBOL=04916420&amp;VAR:INDEX=0"}</definedName>
    <definedName name="_10187__FDSAUDITLINK__" localSheetId="6" hidden="1">{"fdsup://directions/FAT Viewer?action=UPDATE&amp;creator=factset&amp;DYN_ARGS=TRUE&amp;DOC_NAME=FAT:FQL_AUDITING_CLIENT_TEMPLATE.FAT&amp;display_string=Audit&amp;VAR:KEY=JEJAFWFWPA&amp;VAR:QUERY=RkZfRUJJVERBX0lCKCdMVE1TJywzOTE4Mik=&amp;WINDOW=FIRST_POPUP&amp;HEIGHT=450&amp;WIDTH=450&amp;START_MA","XIMIZED=FALSE&amp;VAR:CALENDAR=US&amp;VAR:SYMBOL=04916420&amp;VAR:INDEX=0"}</definedName>
    <definedName name="_10187__FDSAUDITLINK__" hidden="1">{"fdsup://directions/FAT Viewer?action=UPDATE&amp;creator=factset&amp;DYN_ARGS=TRUE&amp;DOC_NAME=FAT:FQL_AUDITING_CLIENT_TEMPLATE.FAT&amp;display_string=Audit&amp;VAR:KEY=JEJAFWFWPA&amp;VAR:QUERY=RkZfRUJJVERBX0lCKCdMVE1TJywzOTE4Mik=&amp;WINDOW=FIRST_POPUP&amp;HEIGHT=450&amp;WIDTH=450&amp;START_MA","XIMIZED=FALSE&amp;VAR:CALENDAR=US&amp;VAR:SYMBOL=04916420&amp;VAR:INDEX=0"}</definedName>
    <definedName name="_10188__FDSAUDITLINK__" localSheetId="6" hidden="1">{"fdsup://directions/FAT Viewer?action=UPDATE&amp;creator=factset&amp;DYN_ARGS=TRUE&amp;DOC_NAME=FAT:FQL_AUDITING_CLIENT_TEMPLATE.FAT&amp;display_string=Audit&amp;VAR:KEY=NAFCFYLGNI&amp;VAR:QUERY=RkZfRUJJVERBX0lCKCdMVE1TJywzOTE4MSk=&amp;WINDOW=FIRST_POPUP&amp;HEIGHT=450&amp;WIDTH=450&amp;START_MA","XIMIZED=FALSE&amp;VAR:CALENDAR=US&amp;VAR:SYMBOL=04916420&amp;VAR:INDEX=0"}</definedName>
    <definedName name="_10188__FDSAUDITLINK__" hidden="1">{"fdsup://directions/FAT Viewer?action=UPDATE&amp;creator=factset&amp;DYN_ARGS=TRUE&amp;DOC_NAME=FAT:FQL_AUDITING_CLIENT_TEMPLATE.FAT&amp;display_string=Audit&amp;VAR:KEY=NAFCFYLGNI&amp;VAR:QUERY=RkZfRUJJVERBX0lCKCdMVE1TJywzOTE4MSk=&amp;WINDOW=FIRST_POPUP&amp;HEIGHT=450&amp;WIDTH=450&amp;START_MA","XIMIZED=FALSE&amp;VAR:CALENDAR=US&amp;VAR:SYMBOL=04916420&amp;VAR:INDEX=0"}</definedName>
    <definedName name="_10189__FDSAUDITLINK__" localSheetId="6" hidden="1">{"fdsup://directions/FAT Viewer?action=UPDATE&amp;creator=factset&amp;DYN_ARGS=TRUE&amp;DOC_NAME=FAT:FQL_AUDITING_CLIENT_TEMPLATE.FAT&amp;display_string=Audit&amp;VAR:KEY=RYTOHQFOXA&amp;VAR:QUERY=RkZfRUJJVERBX0lCKCdMVE1TJywzOTE4MCk=&amp;WINDOW=FIRST_POPUP&amp;HEIGHT=450&amp;WIDTH=450&amp;START_MA","XIMIZED=FALSE&amp;VAR:CALENDAR=US&amp;VAR:SYMBOL=04916420&amp;VAR:INDEX=0"}</definedName>
    <definedName name="_10189__FDSAUDITLINK__" hidden="1">{"fdsup://directions/FAT Viewer?action=UPDATE&amp;creator=factset&amp;DYN_ARGS=TRUE&amp;DOC_NAME=FAT:FQL_AUDITING_CLIENT_TEMPLATE.FAT&amp;display_string=Audit&amp;VAR:KEY=RYTOHQFOXA&amp;VAR:QUERY=RkZfRUJJVERBX0lCKCdMVE1TJywzOTE4MCk=&amp;WINDOW=FIRST_POPUP&amp;HEIGHT=450&amp;WIDTH=450&amp;START_MA","XIMIZED=FALSE&amp;VAR:CALENDAR=US&amp;VAR:SYMBOL=04916420&amp;VAR:INDEX=0"}</definedName>
    <definedName name="_1019__FDSAUDITLINK__" localSheetId="6" hidden="1">{"fdsup://directions/FAT%20Viewer?VAR:PED=LTM&amp;VAR:AUDIT_MODE=SUMMARY&amp;VAR:PERIOD=FIXED&amp;VAR:AUDIT_ID=00000117&amp;VAR:DATE=20070509&amp;action=UPDATE&amp;creator=factset&amp;DOC_NAME=FAT:FMA_audit_SUMMARY.fat&amp;DISPLAY_STRING=Display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9__FDSAUDITLINK__" hidden="1">{"fdsup://directions/FAT%20Viewer?VAR:PED=LTM&amp;VAR:AUDIT_MODE=SUMMARY&amp;VAR:PERIOD=FIXED&amp;VAR:AUDIT_ID=00000117&amp;VAR:DATE=20070509&amp;action=UPDATE&amp;creator=factset&amp;DOC_NAME=FAT:FMA_audit_SUMMARY.fat&amp;DISPLAY_STRING=Display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190__FDSAUDITLINK__" localSheetId="6" hidden="1">{"fdsup://directions/FAT Viewer?action=UPDATE&amp;creator=factset&amp;DYN_ARGS=TRUE&amp;DOC_NAME=FAT:FQL_AUDITING_CLIENT_TEMPLATE.FAT&amp;display_string=Audit&amp;VAR:KEY=LWFATGNONO&amp;VAR:QUERY=RkZfRUJJVERBX0lCKCdMVE1TJywzOTE3OSk=&amp;WINDOW=FIRST_POPUP&amp;HEIGHT=450&amp;WIDTH=450&amp;START_MA","XIMIZED=FALSE&amp;VAR:CALENDAR=US&amp;VAR:SYMBOL=04916420&amp;VAR:INDEX=0"}</definedName>
    <definedName name="_10190__FDSAUDITLINK__" hidden="1">{"fdsup://directions/FAT Viewer?action=UPDATE&amp;creator=factset&amp;DYN_ARGS=TRUE&amp;DOC_NAME=FAT:FQL_AUDITING_CLIENT_TEMPLATE.FAT&amp;display_string=Audit&amp;VAR:KEY=LWFATGNONO&amp;VAR:QUERY=RkZfRUJJVERBX0lCKCdMVE1TJywzOTE3OSk=&amp;WINDOW=FIRST_POPUP&amp;HEIGHT=450&amp;WIDTH=450&amp;START_MA","XIMIZED=FALSE&amp;VAR:CALENDAR=US&amp;VAR:SYMBOL=04916420&amp;VAR:INDEX=0"}</definedName>
    <definedName name="_10191__FDSAUDITLINK__" localSheetId="6" hidden="1">{"fdsup://directions/FAT Viewer?action=UPDATE&amp;creator=factset&amp;DYN_ARGS=TRUE&amp;DOC_NAME=FAT:FQL_AUDITING_CLIENT_TEMPLATE.FAT&amp;display_string=Audit&amp;VAR:KEY=ZOJUFOFABG&amp;VAR:QUERY=RkZfRUJJVERBX0lCKCdMVE1TJywzOTE3OCk=&amp;WINDOW=FIRST_POPUP&amp;HEIGHT=450&amp;WIDTH=450&amp;START_MA","XIMIZED=FALSE&amp;VAR:CALENDAR=US&amp;VAR:SYMBOL=04916420&amp;VAR:INDEX=0"}</definedName>
    <definedName name="_10191__FDSAUDITLINK__" hidden="1">{"fdsup://directions/FAT Viewer?action=UPDATE&amp;creator=factset&amp;DYN_ARGS=TRUE&amp;DOC_NAME=FAT:FQL_AUDITING_CLIENT_TEMPLATE.FAT&amp;display_string=Audit&amp;VAR:KEY=ZOJUFOFABG&amp;VAR:QUERY=RkZfRUJJVERBX0lCKCdMVE1TJywzOTE3OCk=&amp;WINDOW=FIRST_POPUP&amp;HEIGHT=450&amp;WIDTH=450&amp;START_MA","XIMIZED=FALSE&amp;VAR:CALENDAR=US&amp;VAR:SYMBOL=04916420&amp;VAR:INDEX=0"}</definedName>
    <definedName name="_10192__FDSAUDITLINK__" localSheetId="6" hidden="1">{"fdsup://directions/FAT Viewer?action=UPDATE&amp;creator=factset&amp;DYN_ARGS=TRUE&amp;DOC_NAME=FAT:FQL_AUDITING_CLIENT_TEMPLATE.FAT&amp;display_string=Audit&amp;VAR:KEY=XMHQTCRGDK&amp;VAR:QUERY=RkZfRUJJVERBX0lCKCdMVE1TJywzOTE3Nyk=&amp;WINDOW=FIRST_POPUP&amp;HEIGHT=450&amp;WIDTH=450&amp;START_MA","XIMIZED=FALSE&amp;VAR:CALENDAR=US&amp;VAR:SYMBOL=04916420&amp;VAR:INDEX=0"}</definedName>
    <definedName name="_10192__FDSAUDITLINK__" hidden="1">{"fdsup://directions/FAT Viewer?action=UPDATE&amp;creator=factset&amp;DYN_ARGS=TRUE&amp;DOC_NAME=FAT:FQL_AUDITING_CLIENT_TEMPLATE.FAT&amp;display_string=Audit&amp;VAR:KEY=XMHQTCRGDK&amp;VAR:QUERY=RkZfRUJJVERBX0lCKCdMVE1TJywzOTE3Nyk=&amp;WINDOW=FIRST_POPUP&amp;HEIGHT=450&amp;WIDTH=450&amp;START_MA","XIMIZED=FALSE&amp;VAR:CALENDAR=US&amp;VAR:SYMBOL=04916420&amp;VAR:INDEX=0"}</definedName>
    <definedName name="_10193__FDSAUDITLINK__" localSheetId="6" hidden="1">{"fdsup://directions/FAT Viewer?action=UPDATE&amp;creator=factset&amp;DYN_ARGS=TRUE&amp;DOC_NAME=FAT:FQL_AUDITING_CLIENT_TEMPLATE.FAT&amp;display_string=Audit&amp;VAR:KEY=NIPKTKJUHC&amp;VAR:QUERY=RkZfRUJJVERBX0lCKCdMVE1TJywzOTE3Nik=&amp;WINDOW=FIRST_POPUP&amp;HEIGHT=450&amp;WIDTH=450&amp;START_MA","XIMIZED=FALSE&amp;VAR:CALENDAR=US&amp;VAR:SYMBOL=04916420&amp;VAR:INDEX=0"}</definedName>
    <definedName name="_10193__FDSAUDITLINK__" hidden="1">{"fdsup://directions/FAT Viewer?action=UPDATE&amp;creator=factset&amp;DYN_ARGS=TRUE&amp;DOC_NAME=FAT:FQL_AUDITING_CLIENT_TEMPLATE.FAT&amp;display_string=Audit&amp;VAR:KEY=NIPKTKJUHC&amp;VAR:QUERY=RkZfRUJJVERBX0lCKCdMVE1TJywzOTE3Nik=&amp;WINDOW=FIRST_POPUP&amp;HEIGHT=450&amp;WIDTH=450&amp;START_MA","XIMIZED=FALSE&amp;VAR:CALENDAR=US&amp;VAR:SYMBOL=04916420&amp;VAR:INDEX=0"}</definedName>
    <definedName name="_10194__FDSAUDITLINK__" localSheetId="6" hidden="1">{"fdsup://directions/FAT Viewer?action=UPDATE&amp;creator=factset&amp;DYN_ARGS=TRUE&amp;DOC_NAME=FAT:FQL_AUDITING_CLIENT_TEMPLATE.FAT&amp;display_string=Audit&amp;VAR:KEY=XAJIXCPUFU&amp;VAR:QUERY=RkZfRUJJVERBX0lCKCdMVE1TJywzOTE3NSk=&amp;WINDOW=FIRST_POPUP&amp;HEIGHT=450&amp;WIDTH=450&amp;START_MA","XIMIZED=FALSE&amp;VAR:CALENDAR=US&amp;VAR:SYMBOL=04916420&amp;VAR:INDEX=0"}</definedName>
    <definedName name="_10194__FDSAUDITLINK__" hidden="1">{"fdsup://directions/FAT Viewer?action=UPDATE&amp;creator=factset&amp;DYN_ARGS=TRUE&amp;DOC_NAME=FAT:FQL_AUDITING_CLIENT_TEMPLATE.FAT&amp;display_string=Audit&amp;VAR:KEY=XAJIXCPUFU&amp;VAR:QUERY=RkZfRUJJVERBX0lCKCdMVE1TJywzOTE3NSk=&amp;WINDOW=FIRST_POPUP&amp;HEIGHT=450&amp;WIDTH=450&amp;START_MA","XIMIZED=FALSE&amp;VAR:CALENDAR=US&amp;VAR:SYMBOL=04916420&amp;VAR:INDEX=0"}</definedName>
    <definedName name="_10195__FDSAUDITLINK__" localSheetId="6" hidden="1">{"fdsup://directions/FAT Viewer?action=UPDATE&amp;creator=factset&amp;DYN_ARGS=TRUE&amp;DOC_NAME=FAT:FQL_AUDITING_CLIENT_TEMPLATE.FAT&amp;display_string=Audit&amp;VAR:KEY=RUTQXODGTS&amp;VAR:QUERY=RkZfRUJJVERBX0lCKCdMVE1TJywzOTE3NCk=&amp;WINDOW=FIRST_POPUP&amp;HEIGHT=450&amp;WIDTH=450&amp;START_MA","XIMIZED=FALSE&amp;VAR:CALENDAR=US&amp;VAR:SYMBOL=04916420&amp;VAR:INDEX=0"}</definedName>
    <definedName name="_10195__FDSAUDITLINK__" hidden="1">{"fdsup://directions/FAT Viewer?action=UPDATE&amp;creator=factset&amp;DYN_ARGS=TRUE&amp;DOC_NAME=FAT:FQL_AUDITING_CLIENT_TEMPLATE.FAT&amp;display_string=Audit&amp;VAR:KEY=RUTQXODGTS&amp;VAR:QUERY=RkZfRUJJVERBX0lCKCdMVE1TJywzOTE3NCk=&amp;WINDOW=FIRST_POPUP&amp;HEIGHT=450&amp;WIDTH=450&amp;START_MA","XIMIZED=FALSE&amp;VAR:CALENDAR=US&amp;VAR:SYMBOL=04916420&amp;VAR:INDEX=0"}</definedName>
    <definedName name="_10196__FDSAUDITLINK__" localSheetId="6" hidden="1">{"fdsup://directions/FAT Viewer?action=UPDATE&amp;creator=factset&amp;DYN_ARGS=TRUE&amp;DOC_NAME=FAT:FQL_AUDITING_CLIENT_TEMPLATE.FAT&amp;display_string=Audit&amp;VAR:KEY=PUNYTIJURE&amp;VAR:QUERY=RkZfRUJJVERBX0lCKCdMVE1TJywzOTE3Myk=&amp;WINDOW=FIRST_POPUP&amp;HEIGHT=450&amp;WIDTH=450&amp;START_MA","XIMIZED=FALSE&amp;VAR:CALENDAR=US&amp;VAR:SYMBOL=04916420&amp;VAR:INDEX=0"}</definedName>
    <definedName name="_10196__FDSAUDITLINK__" hidden="1">{"fdsup://directions/FAT Viewer?action=UPDATE&amp;creator=factset&amp;DYN_ARGS=TRUE&amp;DOC_NAME=FAT:FQL_AUDITING_CLIENT_TEMPLATE.FAT&amp;display_string=Audit&amp;VAR:KEY=PUNYTIJURE&amp;VAR:QUERY=RkZfRUJJVERBX0lCKCdMVE1TJywzOTE3Myk=&amp;WINDOW=FIRST_POPUP&amp;HEIGHT=450&amp;WIDTH=450&amp;START_MA","XIMIZED=FALSE&amp;VAR:CALENDAR=US&amp;VAR:SYMBOL=04916420&amp;VAR:INDEX=0"}</definedName>
    <definedName name="_10197__FDSAUDITLINK__" localSheetId="6" hidden="1">{"fdsup://directions/FAT Viewer?action=UPDATE&amp;creator=factset&amp;DYN_ARGS=TRUE&amp;DOC_NAME=FAT:FQL_AUDITING_CLIENT_TEMPLATE.FAT&amp;display_string=Audit&amp;VAR:KEY=DCBSVKLSRO&amp;VAR:QUERY=RkZfRUJJVERBX0lCKCdMVE1TJywzOTE3Mik=&amp;WINDOW=FIRST_POPUP&amp;HEIGHT=450&amp;WIDTH=450&amp;START_MA","XIMIZED=FALSE&amp;VAR:CALENDAR=US&amp;VAR:SYMBOL=04916420&amp;VAR:INDEX=0"}</definedName>
    <definedName name="_10197__FDSAUDITLINK__" hidden="1">{"fdsup://directions/FAT Viewer?action=UPDATE&amp;creator=factset&amp;DYN_ARGS=TRUE&amp;DOC_NAME=FAT:FQL_AUDITING_CLIENT_TEMPLATE.FAT&amp;display_string=Audit&amp;VAR:KEY=DCBSVKLSRO&amp;VAR:QUERY=RkZfRUJJVERBX0lCKCdMVE1TJywzOTE3Mik=&amp;WINDOW=FIRST_POPUP&amp;HEIGHT=450&amp;WIDTH=450&amp;START_MA","XIMIZED=FALSE&amp;VAR:CALENDAR=US&amp;VAR:SYMBOL=04916420&amp;VAR:INDEX=0"}</definedName>
    <definedName name="_10198__FDSAUDITLINK__" localSheetId="6" hidden="1">{"fdsup://directions/FAT Viewer?action=UPDATE&amp;creator=factset&amp;DYN_ARGS=TRUE&amp;DOC_NAME=FAT:FQL_AUDITING_CLIENT_TEMPLATE.FAT&amp;display_string=Audit&amp;VAR:KEY=LOTELGBUFS&amp;VAR:QUERY=RkZfRUJJVERBX0lCKCdMVE1TJywzOTE3MSk=&amp;WINDOW=FIRST_POPUP&amp;HEIGHT=450&amp;WIDTH=450&amp;START_MA","XIMIZED=FALSE&amp;VAR:CALENDAR=US&amp;VAR:SYMBOL=04916420&amp;VAR:INDEX=0"}</definedName>
    <definedName name="_10198__FDSAUDITLINK__" hidden="1">{"fdsup://directions/FAT Viewer?action=UPDATE&amp;creator=factset&amp;DYN_ARGS=TRUE&amp;DOC_NAME=FAT:FQL_AUDITING_CLIENT_TEMPLATE.FAT&amp;display_string=Audit&amp;VAR:KEY=LOTELGBUFS&amp;VAR:QUERY=RkZfRUJJVERBX0lCKCdMVE1TJywzOTE3MSk=&amp;WINDOW=FIRST_POPUP&amp;HEIGHT=450&amp;WIDTH=450&amp;START_MA","XIMIZED=FALSE&amp;VAR:CALENDAR=US&amp;VAR:SYMBOL=04916420&amp;VAR:INDEX=0"}</definedName>
    <definedName name="_10199__FDSAUDITLINK__" localSheetId="6" hidden="1">{"fdsup://directions/FAT Viewer?action=UPDATE&amp;creator=factset&amp;DYN_ARGS=TRUE&amp;DOC_NAME=FAT:FQL_AUDITING_CLIENT_TEMPLATE.FAT&amp;display_string=Audit&amp;VAR:KEY=TWRGTIXAZY&amp;VAR:QUERY=RkZfRUJJVERBX0lCKCdMVE1TJywzOTE3MCk=&amp;WINDOW=FIRST_POPUP&amp;HEIGHT=450&amp;WIDTH=450&amp;START_MA","XIMIZED=FALSE&amp;VAR:CALENDAR=US&amp;VAR:SYMBOL=04916420&amp;VAR:INDEX=0"}</definedName>
    <definedName name="_10199__FDSAUDITLINK__" hidden="1">{"fdsup://directions/FAT Viewer?action=UPDATE&amp;creator=factset&amp;DYN_ARGS=TRUE&amp;DOC_NAME=FAT:FQL_AUDITING_CLIENT_TEMPLATE.FAT&amp;display_string=Audit&amp;VAR:KEY=TWRGTIXAZY&amp;VAR:QUERY=RkZfRUJJVERBX0lCKCdMVE1TJywzOTE3MCk=&amp;WINDOW=FIRST_POPUP&amp;HEIGHT=450&amp;WIDTH=450&amp;START_MA","XIMIZED=FALSE&amp;VAR:CALENDAR=US&amp;VAR:SYMBOL=04916420&amp;VAR:INDEX=0"}</definedName>
    <definedName name="_102__FDSAUDITLINK__" localSheetId="6" hidden="1">{"fdsup://directions/FAT Viewer?action=UPDATE&amp;creator=factset&amp;DYN_ARGS=TRUE&amp;DOC_NAME=FAT:FQL_AUDITING_CLIENT_TEMPLATE.FAT&amp;display_string=Audit&amp;VAR:KEY=UZONWTSFKD&amp;VAR:QUERY=QVZHKENTRl9ORVRfSU5DKEFOTiwwRlksLTZGWSxZKSkvKEFWRyhDU0ZfQVNTRVRTKEFOTiwwRlksLTZGWSxGW","SkpLUFWRyhDU0ZfSU5UQU5HKEFOTiwwLC02RlksRlkpKSk=&amp;WINDOW=FIRST_POPUP&amp;HEIGHT=450&amp;WIDTH=450&amp;START_MAXIMIZED=FALSE&amp;VAR:CALENDAR=US&amp;VAR:SYMBOL=KSP"}</definedName>
    <definedName name="_102__FDSAUDITLINK__" hidden="1">{"fdsup://directions/FAT Viewer?action=UPDATE&amp;creator=factset&amp;DYN_ARGS=TRUE&amp;DOC_NAME=FAT:FQL_AUDITING_CLIENT_TEMPLATE.FAT&amp;display_string=Audit&amp;VAR:KEY=UZONWTSFKD&amp;VAR:QUERY=QVZHKENTRl9ORVRfSU5DKEFOTiwwRlksLTZGWSxZKSkvKEFWRyhDU0ZfQVNTRVRTKEFOTiwwRlksLTZGWSxGW","SkpLUFWRyhDU0ZfSU5UQU5HKEFOTiwwLC02RlksRlkpKSk=&amp;WINDOW=FIRST_POPUP&amp;HEIGHT=450&amp;WIDTH=450&amp;START_MAXIMIZED=FALSE&amp;VAR:CALENDAR=US&amp;VAR:SYMBOL=KSP"}</definedName>
    <definedName name="_1020__FDSAUDITLINK__" localSheetId="6" hidden="1">{"fdsup://directions/FAT%20Viewer?VAR:PED=LTM&amp;VAR:AUDIT_MODE=SUMMARY&amp;VAR:PERIOD=FIXED&amp;VAR:AUDIT_ID=00000117&amp;VAR:DATE=20070508&amp;action=UPDATE&amp;creator=factset&amp;DOC_NAME=FAT:FMA_audit_SUMMARY.fat&amp;DISPLAY_STRING=Display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0__FDSAUDITLINK__" hidden="1">{"fdsup://directions/FAT%20Viewer?VAR:PED=LTM&amp;VAR:AUDIT_MODE=SUMMARY&amp;VAR:PERIOD=FIXED&amp;VAR:AUDIT_ID=00000117&amp;VAR:DATE=20070508&amp;action=UPDATE&amp;creator=factset&amp;DOC_NAME=FAT:FMA_audit_SUMMARY.fat&amp;DISPLAY_STRING=Display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00__FDSAUDITLINK__" localSheetId="6" hidden="1">{"fdsup://directions/FAT Viewer?action=UPDATE&amp;creator=factset&amp;DYN_ARGS=TRUE&amp;DOC_NAME=FAT:FQL_AUDITING_CLIENT_TEMPLATE.FAT&amp;display_string=Audit&amp;VAR:KEY=VMXUJKDCLC&amp;VAR:QUERY=RkZfRUJJVERBX0lCKCdMVE1TJywzOTE2OSk=&amp;WINDOW=FIRST_POPUP&amp;HEIGHT=450&amp;WIDTH=450&amp;START_MA","XIMIZED=FALSE&amp;VAR:CALENDAR=US&amp;VAR:SYMBOL=04916420&amp;VAR:INDEX=0"}</definedName>
    <definedName name="_10200__FDSAUDITLINK__" hidden="1">{"fdsup://directions/FAT Viewer?action=UPDATE&amp;creator=factset&amp;DYN_ARGS=TRUE&amp;DOC_NAME=FAT:FQL_AUDITING_CLIENT_TEMPLATE.FAT&amp;display_string=Audit&amp;VAR:KEY=VMXUJKDCLC&amp;VAR:QUERY=RkZfRUJJVERBX0lCKCdMVE1TJywzOTE2OSk=&amp;WINDOW=FIRST_POPUP&amp;HEIGHT=450&amp;WIDTH=450&amp;START_MA","XIMIZED=FALSE&amp;VAR:CALENDAR=US&amp;VAR:SYMBOL=04916420&amp;VAR:INDEX=0"}</definedName>
    <definedName name="_10201__FDSAUDITLINK__" localSheetId="6" hidden="1">{"fdsup://directions/FAT Viewer?action=UPDATE&amp;creator=factset&amp;DYN_ARGS=TRUE&amp;DOC_NAME=FAT:FQL_AUDITING_CLIENT_TEMPLATE.FAT&amp;display_string=Audit&amp;VAR:KEY=POLCJUROLO&amp;VAR:QUERY=RkZfRUJJVERBX0lCKCdMVE1TJywzOTE2OCk=&amp;WINDOW=FIRST_POPUP&amp;HEIGHT=450&amp;WIDTH=450&amp;START_MA","XIMIZED=FALSE&amp;VAR:CALENDAR=US&amp;VAR:SYMBOL=04916420&amp;VAR:INDEX=0"}</definedName>
    <definedName name="_10201__FDSAUDITLINK__" hidden="1">{"fdsup://directions/FAT Viewer?action=UPDATE&amp;creator=factset&amp;DYN_ARGS=TRUE&amp;DOC_NAME=FAT:FQL_AUDITING_CLIENT_TEMPLATE.FAT&amp;display_string=Audit&amp;VAR:KEY=POLCJUROLO&amp;VAR:QUERY=RkZfRUJJVERBX0lCKCdMVE1TJywzOTE2OCk=&amp;WINDOW=FIRST_POPUP&amp;HEIGHT=450&amp;WIDTH=450&amp;START_MA","XIMIZED=FALSE&amp;VAR:CALENDAR=US&amp;VAR:SYMBOL=04916420&amp;VAR:INDEX=0"}</definedName>
    <definedName name="_10202__FDSAUDITLINK__" localSheetId="6" hidden="1">{"fdsup://directions/FAT Viewer?action=UPDATE&amp;creator=factset&amp;DYN_ARGS=TRUE&amp;DOC_NAME=FAT:FQL_AUDITING_CLIENT_TEMPLATE.FAT&amp;display_string=Audit&amp;VAR:KEY=ZMXORATAXK&amp;VAR:QUERY=RkZfRUJJVERBX0lCKCdMVE1TJywzOTE2Nyk=&amp;WINDOW=FIRST_POPUP&amp;HEIGHT=450&amp;WIDTH=450&amp;START_MA","XIMIZED=FALSE&amp;VAR:CALENDAR=US&amp;VAR:SYMBOL=04916420&amp;VAR:INDEX=0"}</definedName>
    <definedName name="_10202__FDSAUDITLINK__" hidden="1">{"fdsup://directions/FAT Viewer?action=UPDATE&amp;creator=factset&amp;DYN_ARGS=TRUE&amp;DOC_NAME=FAT:FQL_AUDITING_CLIENT_TEMPLATE.FAT&amp;display_string=Audit&amp;VAR:KEY=ZMXORATAXK&amp;VAR:QUERY=RkZfRUJJVERBX0lCKCdMVE1TJywzOTE2Nyk=&amp;WINDOW=FIRST_POPUP&amp;HEIGHT=450&amp;WIDTH=450&amp;START_MA","XIMIZED=FALSE&amp;VAR:CALENDAR=US&amp;VAR:SYMBOL=04916420&amp;VAR:INDEX=0"}</definedName>
    <definedName name="_10203__FDSAUDITLINK__" localSheetId="6" hidden="1">{"fdsup://directions/FAT Viewer?action=UPDATE&amp;creator=factset&amp;DYN_ARGS=TRUE&amp;DOC_NAME=FAT:FQL_AUDITING_CLIENT_TEMPLATE.FAT&amp;display_string=Audit&amp;VAR:KEY=FOPQLSFWBK&amp;VAR:QUERY=RkZfRUJJVERBX0lCKCdMVE1TJywzOTE2Nik=&amp;WINDOW=FIRST_POPUP&amp;HEIGHT=450&amp;WIDTH=450&amp;START_MA","XIMIZED=FALSE&amp;VAR:CALENDAR=US&amp;VAR:SYMBOL=04916420&amp;VAR:INDEX=0"}</definedName>
    <definedName name="_10203__FDSAUDITLINK__" hidden="1">{"fdsup://directions/FAT Viewer?action=UPDATE&amp;creator=factset&amp;DYN_ARGS=TRUE&amp;DOC_NAME=FAT:FQL_AUDITING_CLIENT_TEMPLATE.FAT&amp;display_string=Audit&amp;VAR:KEY=FOPQLSFWBK&amp;VAR:QUERY=RkZfRUJJVERBX0lCKCdMVE1TJywzOTE2Nik=&amp;WINDOW=FIRST_POPUP&amp;HEIGHT=450&amp;WIDTH=450&amp;START_MA","XIMIZED=FALSE&amp;VAR:CALENDAR=US&amp;VAR:SYMBOL=04916420&amp;VAR:INDEX=0"}</definedName>
    <definedName name="_10204__FDSAUDITLINK__" localSheetId="6" hidden="1">{"fdsup://directions/FAT Viewer?action=UPDATE&amp;creator=factset&amp;DYN_ARGS=TRUE&amp;DOC_NAME=FAT:FQL_AUDITING_CLIENT_TEMPLATE.FAT&amp;display_string=Audit&amp;VAR:KEY=PQDQZYJYRY&amp;VAR:QUERY=RkZfRUJJVERBX0lCKCdMVE1TJywzOTE2NSk=&amp;WINDOW=FIRST_POPUP&amp;HEIGHT=450&amp;WIDTH=450&amp;START_MA","XIMIZED=FALSE&amp;VAR:CALENDAR=US&amp;VAR:SYMBOL=04916420&amp;VAR:INDEX=0"}</definedName>
    <definedName name="_10204__FDSAUDITLINK__" hidden="1">{"fdsup://directions/FAT Viewer?action=UPDATE&amp;creator=factset&amp;DYN_ARGS=TRUE&amp;DOC_NAME=FAT:FQL_AUDITING_CLIENT_TEMPLATE.FAT&amp;display_string=Audit&amp;VAR:KEY=PQDQZYJYRY&amp;VAR:QUERY=RkZfRUJJVERBX0lCKCdMVE1TJywzOTE2NSk=&amp;WINDOW=FIRST_POPUP&amp;HEIGHT=450&amp;WIDTH=450&amp;START_MA","XIMIZED=FALSE&amp;VAR:CALENDAR=US&amp;VAR:SYMBOL=04916420&amp;VAR:INDEX=0"}</definedName>
    <definedName name="_10205__FDSAUDITLINK__" localSheetId="6" hidden="1">{"fdsup://directions/FAT Viewer?action=UPDATE&amp;creator=factset&amp;DYN_ARGS=TRUE&amp;DOC_NAME=FAT:FQL_AUDITING_CLIENT_TEMPLATE.FAT&amp;display_string=Audit&amp;VAR:KEY=XGVKLCVGTO&amp;VAR:QUERY=RkZfRUJJVERBX0lCKCdMVE1TJywzOTE2NCk=&amp;WINDOW=FIRST_POPUP&amp;HEIGHT=450&amp;WIDTH=450&amp;START_MA","XIMIZED=FALSE&amp;VAR:CALENDAR=US&amp;VAR:SYMBOL=04916420&amp;VAR:INDEX=0"}</definedName>
    <definedName name="_10205__FDSAUDITLINK__" hidden="1">{"fdsup://directions/FAT Viewer?action=UPDATE&amp;creator=factset&amp;DYN_ARGS=TRUE&amp;DOC_NAME=FAT:FQL_AUDITING_CLIENT_TEMPLATE.FAT&amp;display_string=Audit&amp;VAR:KEY=XGVKLCVGTO&amp;VAR:QUERY=RkZfRUJJVERBX0lCKCdMVE1TJywzOTE2NCk=&amp;WINDOW=FIRST_POPUP&amp;HEIGHT=450&amp;WIDTH=450&amp;START_MA","XIMIZED=FALSE&amp;VAR:CALENDAR=US&amp;VAR:SYMBOL=04916420&amp;VAR:INDEX=0"}</definedName>
    <definedName name="_10206__FDSAUDITLINK__" localSheetId="6" hidden="1">{"fdsup://directions/FAT Viewer?action=UPDATE&amp;creator=factset&amp;DYN_ARGS=TRUE&amp;DOC_NAME=FAT:FQL_AUDITING_CLIENT_TEMPLATE.FAT&amp;display_string=Audit&amp;VAR:KEY=RMLAZEFUBC&amp;VAR:QUERY=RkZfRUJJVERBX0lCKCdMVE1TJywzOTE2Myk=&amp;WINDOW=FIRST_POPUP&amp;HEIGHT=450&amp;WIDTH=450&amp;START_MA","XIMIZED=FALSE&amp;VAR:CALENDAR=US&amp;VAR:SYMBOL=04916420&amp;VAR:INDEX=0"}</definedName>
    <definedName name="_10206__FDSAUDITLINK__" hidden="1">{"fdsup://directions/FAT Viewer?action=UPDATE&amp;creator=factset&amp;DYN_ARGS=TRUE&amp;DOC_NAME=FAT:FQL_AUDITING_CLIENT_TEMPLATE.FAT&amp;display_string=Audit&amp;VAR:KEY=RMLAZEFUBC&amp;VAR:QUERY=RkZfRUJJVERBX0lCKCdMVE1TJywzOTE2Myk=&amp;WINDOW=FIRST_POPUP&amp;HEIGHT=450&amp;WIDTH=450&amp;START_MA","XIMIZED=FALSE&amp;VAR:CALENDAR=US&amp;VAR:SYMBOL=04916420&amp;VAR:INDEX=0"}</definedName>
    <definedName name="_10207__FDSAUDITLINK__" localSheetId="6" hidden="1">{"fdsup://directions/FAT Viewer?action=UPDATE&amp;creator=factset&amp;DYN_ARGS=TRUE&amp;DOC_NAME=FAT:FQL_AUDITING_CLIENT_TEMPLATE.FAT&amp;display_string=Audit&amp;VAR:KEY=RGZSPQHEDK&amp;VAR:QUERY=RkZfRUJJVERBX0lCKCdMVE1TJywzOTE2Mik=&amp;WINDOW=FIRST_POPUP&amp;HEIGHT=450&amp;WIDTH=450&amp;START_MA","XIMIZED=FALSE&amp;VAR:CALENDAR=US&amp;VAR:SYMBOL=04916420&amp;VAR:INDEX=0"}</definedName>
    <definedName name="_10207__FDSAUDITLINK__" hidden="1">{"fdsup://directions/FAT Viewer?action=UPDATE&amp;creator=factset&amp;DYN_ARGS=TRUE&amp;DOC_NAME=FAT:FQL_AUDITING_CLIENT_TEMPLATE.FAT&amp;display_string=Audit&amp;VAR:KEY=RGZSPQHEDK&amp;VAR:QUERY=RkZfRUJJVERBX0lCKCdMVE1TJywzOTE2Mik=&amp;WINDOW=FIRST_POPUP&amp;HEIGHT=450&amp;WIDTH=450&amp;START_MA","XIMIZED=FALSE&amp;VAR:CALENDAR=US&amp;VAR:SYMBOL=04916420&amp;VAR:INDEX=0"}</definedName>
    <definedName name="_10208__FDSAUDITLINK__" localSheetId="6" hidden="1">{"fdsup://directions/FAT Viewer?action=UPDATE&amp;creator=factset&amp;DYN_ARGS=TRUE&amp;DOC_NAME=FAT:FQL_AUDITING_CLIENT_TEMPLATE.FAT&amp;display_string=Audit&amp;VAR:KEY=JSDQHYJWRU&amp;VAR:QUERY=RkZfRUJJVERBX0lCKCdMVE1TJywzOTE2MSk=&amp;WINDOW=FIRST_POPUP&amp;HEIGHT=450&amp;WIDTH=450&amp;START_MA","XIMIZED=FALSE&amp;VAR:CALENDAR=US&amp;VAR:SYMBOL=04916420&amp;VAR:INDEX=0"}</definedName>
    <definedName name="_10208__FDSAUDITLINK__" hidden="1">{"fdsup://directions/FAT Viewer?action=UPDATE&amp;creator=factset&amp;DYN_ARGS=TRUE&amp;DOC_NAME=FAT:FQL_AUDITING_CLIENT_TEMPLATE.FAT&amp;display_string=Audit&amp;VAR:KEY=JSDQHYJWRU&amp;VAR:QUERY=RkZfRUJJVERBX0lCKCdMVE1TJywzOTE2MSk=&amp;WINDOW=FIRST_POPUP&amp;HEIGHT=450&amp;WIDTH=450&amp;START_MA","XIMIZED=FALSE&amp;VAR:CALENDAR=US&amp;VAR:SYMBOL=04916420&amp;VAR:INDEX=0"}</definedName>
    <definedName name="_10209__FDSAUDITLINK__" localSheetId="6" hidden="1">{"fdsup://directions/FAT Viewer?action=UPDATE&amp;creator=factset&amp;DYN_ARGS=TRUE&amp;DOC_NAME=FAT:FQL_AUDITING_CLIENT_TEMPLATE.FAT&amp;display_string=Audit&amp;VAR:KEY=RATADMZMNO&amp;VAR:QUERY=RkZfRUJJVERBX0lCKCdMVE1TJywzOTE2MCk=&amp;WINDOW=FIRST_POPUP&amp;HEIGHT=450&amp;WIDTH=450&amp;START_MA","XIMIZED=FALSE&amp;VAR:CALENDAR=US&amp;VAR:SYMBOL=04916420&amp;VAR:INDEX=0"}</definedName>
    <definedName name="_10209__FDSAUDITLINK__" hidden="1">{"fdsup://directions/FAT Viewer?action=UPDATE&amp;creator=factset&amp;DYN_ARGS=TRUE&amp;DOC_NAME=FAT:FQL_AUDITING_CLIENT_TEMPLATE.FAT&amp;display_string=Audit&amp;VAR:KEY=RATADMZMNO&amp;VAR:QUERY=RkZfRUJJVERBX0lCKCdMVE1TJywzOTE2MCk=&amp;WINDOW=FIRST_POPUP&amp;HEIGHT=450&amp;WIDTH=450&amp;START_MA","XIMIZED=FALSE&amp;VAR:CALENDAR=US&amp;VAR:SYMBOL=04916420&amp;VAR:INDEX=0"}</definedName>
    <definedName name="_1021__FDSAUDITLINK__" localSheetId="6" hidden="1">{"fdsup://directions/FAT%20Viewer?VAR:PED=LTM&amp;VAR:AUDIT_MODE=SUMMARY&amp;VAR:PERIOD=FIXED&amp;VAR:AUDIT_ID=00000117&amp;VAR:DATE=20070507&amp;action=UPDATE&amp;creator=factset&amp;DOC_NAME=FAT:FMA_audit_SUMMARY.fat&amp;DISPLAY_STRING=Display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1__FDSAUDITLINK__" hidden="1">{"fdsup://directions/FAT%20Viewer?VAR:PED=LTM&amp;VAR:AUDIT_MODE=SUMMARY&amp;VAR:PERIOD=FIXED&amp;VAR:AUDIT_ID=00000117&amp;VAR:DATE=20070507&amp;action=UPDATE&amp;creator=factset&amp;DOC_NAME=FAT:FMA_audit_SUMMARY.fat&amp;DISPLAY_STRING=Display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10__FDSAUDITLINK__" localSheetId="6" hidden="1">{"fdsup://directions/FAT Viewer?action=UPDATE&amp;creator=factset&amp;DYN_ARGS=TRUE&amp;DOC_NAME=FAT:FQL_AUDITING_CLIENT_TEMPLATE.FAT&amp;display_string=Audit&amp;VAR:KEY=VOTANKTIRK&amp;VAR:QUERY=RkZfRUJJVERBX0lCKCdMVE1TJywzOTE1OSk=&amp;WINDOW=FIRST_POPUP&amp;HEIGHT=450&amp;WIDTH=450&amp;START_MA","XIMIZED=FALSE&amp;VAR:CALENDAR=US&amp;VAR:SYMBOL=04916420&amp;VAR:INDEX=0"}</definedName>
    <definedName name="_10210__FDSAUDITLINK__" hidden="1">{"fdsup://directions/FAT Viewer?action=UPDATE&amp;creator=factset&amp;DYN_ARGS=TRUE&amp;DOC_NAME=FAT:FQL_AUDITING_CLIENT_TEMPLATE.FAT&amp;display_string=Audit&amp;VAR:KEY=VOTANKTIRK&amp;VAR:QUERY=RkZfRUJJVERBX0lCKCdMVE1TJywzOTE1OSk=&amp;WINDOW=FIRST_POPUP&amp;HEIGHT=450&amp;WIDTH=450&amp;START_MA","XIMIZED=FALSE&amp;VAR:CALENDAR=US&amp;VAR:SYMBOL=04916420&amp;VAR:INDEX=0"}</definedName>
    <definedName name="_10211__FDSAUDITLINK__" localSheetId="6" hidden="1">{"fdsup://directions/FAT Viewer?action=UPDATE&amp;creator=factset&amp;DYN_ARGS=TRUE&amp;DOC_NAME=FAT:FQL_AUDITING_CLIENT_TEMPLATE.FAT&amp;display_string=Audit&amp;VAR:KEY=XQZKVSXMPQ&amp;VAR:QUERY=RkZfRUJJVERBX0lCKCdMVE1TJywzOTE1OCk=&amp;WINDOW=FIRST_POPUP&amp;HEIGHT=450&amp;WIDTH=450&amp;START_MA","XIMIZED=FALSE&amp;VAR:CALENDAR=US&amp;VAR:SYMBOL=04916420&amp;VAR:INDEX=0"}</definedName>
    <definedName name="_10211__FDSAUDITLINK__" hidden="1">{"fdsup://directions/FAT Viewer?action=UPDATE&amp;creator=factset&amp;DYN_ARGS=TRUE&amp;DOC_NAME=FAT:FQL_AUDITING_CLIENT_TEMPLATE.FAT&amp;display_string=Audit&amp;VAR:KEY=XQZKVSXMPQ&amp;VAR:QUERY=RkZfRUJJVERBX0lCKCdMVE1TJywzOTE1OCk=&amp;WINDOW=FIRST_POPUP&amp;HEIGHT=450&amp;WIDTH=450&amp;START_MA","XIMIZED=FALSE&amp;VAR:CALENDAR=US&amp;VAR:SYMBOL=04916420&amp;VAR:INDEX=0"}</definedName>
    <definedName name="_10212__FDSAUDITLINK__" localSheetId="6" hidden="1">{"fdsup://directions/FAT Viewer?action=UPDATE&amp;creator=factset&amp;DYN_ARGS=TRUE&amp;DOC_NAME=FAT:FQL_AUDITING_CLIENT_TEMPLATE.FAT&amp;display_string=Audit&amp;VAR:KEY=RKRABEFINS&amp;VAR:QUERY=RkZfRUJJVERBX0lCKCdMVE1TJywzOTE1Nyk=&amp;WINDOW=FIRST_POPUP&amp;HEIGHT=450&amp;WIDTH=450&amp;START_MA","XIMIZED=FALSE&amp;VAR:CALENDAR=US&amp;VAR:SYMBOL=04916420&amp;VAR:INDEX=0"}</definedName>
    <definedName name="_10212__FDSAUDITLINK__" hidden="1">{"fdsup://directions/FAT Viewer?action=UPDATE&amp;creator=factset&amp;DYN_ARGS=TRUE&amp;DOC_NAME=FAT:FQL_AUDITING_CLIENT_TEMPLATE.FAT&amp;display_string=Audit&amp;VAR:KEY=RKRABEFINS&amp;VAR:QUERY=RkZfRUJJVERBX0lCKCdMVE1TJywzOTE1Nyk=&amp;WINDOW=FIRST_POPUP&amp;HEIGHT=450&amp;WIDTH=450&amp;START_MA","XIMIZED=FALSE&amp;VAR:CALENDAR=US&amp;VAR:SYMBOL=04916420&amp;VAR:INDEX=0"}</definedName>
    <definedName name="_10213__FDSAUDITLINK__" localSheetId="6" hidden="1">{"fdsup://directions/FAT Viewer?action=UPDATE&amp;creator=factset&amp;DYN_ARGS=TRUE&amp;DOC_NAME=FAT:FQL_AUDITING_CLIENT_TEMPLATE.FAT&amp;display_string=Audit&amp;VAR:KEY=DGDGVUPKVY&amp;VAR:QUERY=RkZfRUJJVERBX0lCKCdMVE1TJywzOTE1Nik=&amp;WINDOW=FIRST_POPUP&amp;HEIGHT=450&amp;WIDTH=450&amp;START_MA","XIMIZED=FALSE&amp;VAR:CALENDAR=US&amp;VAR:SYMBOL=04916420&amp;VAR:INDEX=0"}</definedName>
    <definedName name="_10213__FDSAUDITLINK__" hidden="1">{"fdsup://directions/FAT Viewer?action=UPDATE&amp;creator=factset&amp;DYN_ARGS=TRUE&amp;DOC_NAME=FAT:FQL_AUDITING_CLIENT_TEMPLATE.FAT&amp;display_string=Audit&amp;VAR:KEY=DGDGVUPKVY&amp;VAR:QUERY=RkZfRUJJVERBX0lCKCdMVE1TJywzOTE1Nik=&amp;WINDOW=FIRST_POPUP&amp;HEIGHT=450&amp;WIDTH=450&amp;START_MA","XIMIZED=FALSE&amp;VAR:CALENDAR=US&amp;VAR:SYMBOL=04916420&amp;VAR:INDEX=0"}</definedName>
    <definedName name="_10214__FDSAUDITLINK__" localSheetId="6" hidden="1">{"fdsup://directions/FAT Viewer?action=UPDATE&amp;creator=factset&amp;DYN_ARGS=TRUE&amp;DOC_NAME=FAT:FQL_AUDITING_CLIENT_TEMPLATE.FAT&amp;display_string=Audit&amp;VAR:KEY=TYLULGBARI&amp;VAR:QUERY=RkZfRUJJVERBX0lCKCdMVE1TJywzOTE1NSk=&amp;WINDOW=FIRST_POPUP&amp;HEIGHT=450&amp;WIDTH=450&amp;START_MA","XIMIZED=FALSE&amp;VAR:CALENDAR=US&amp;VAR:SYMBOL=04916420&amp;VAR:INDEX=0"}</definedName>
    <definedName name="_10214__FDSAUDITLINK__" hidden="1">{"fdsup://directions/FAT Viewer?action=UPDATE&amp;creator=factset&amp;DYN_ARGS=TRUE&amp;DOC_NAME=FAT:FQL_AUDITING_CLIENT_TEMPLATE.FAT&amp;display_string=Audit&amp;VAR:KEY=TYLULGBARI&amp;VAR:QUERY=RkZfRUJJVERBX0lCKCdMVE1TJywzOTE1NSk=&amp;WINDOW=FIRST_POPUP&amp;HEIGHT=450&amp;WIDTH=450&amp;START_MA","XIMIZED=FALSE&amp;VAR:CALENDAR=US&amp;VAR:SYMBOL=04916420&amp;VAR:INDEX=0"}</definedName>
    <definedName name="_10215__FDSAUDITLINK__" localSheetId="6" hidden="1">{"fdsup://directions/FAT Viewer?action=UPDATE&amp;creator=factset&amp;DYN_ARGS=TRUE&amp;DOC_NAME=FAT:FQL_AUDITING_CLIENT_TEMPLATE.FAT&amp;display_string=Audit&amp;VAR:KEY=DIRKVATKRQ&amp;VAR:QUERY=RkZfRUJJVERBX0lCKCdMVE1TJywzOTE1NCk=&amp;WINDOW=FIRST_POPUP&amp;HEIGHT=450&amp;WIDTH=450&amp;START_MA","XIMIZED=FALSE&amp;VAR:CALENDAR=US&amp;VAR:SYMBOL=04916420&amp;VAR:INDEX=0"}</definedName>
    <definedName name="_10215__FDSAUDITLINK__" hidden="1">{"fdsup://directions/FAT Viewer?action=UPDATE&amp;creator=factset&amp;DYN_ARGS=TRUE&amp;DOC_NAME=FAT:FQL_AUDITING_CLIENT_TEMPLATE.FAT&amp;display_string=Audit&amp;VAR:KEY=DIRKVATKRQ&amp;VAR:QUERY=RkZfRUJJVERBX0lCKCdMVE1TJywzOTE1NCk=&amp;WINDOW=FIRST_POPUP&amp;HEIGHT=450&amp;WIDTH=450&amp;START_MA","XIMIZED=FALSE&amp;VAR:CALENDAR=US&amp;VAR:SYMBOL=04916420&amp;VAR:INDEX=0"}</definedName>
    <definedName name="_10216__FDSAUDITLINK__" localSheetId="6" hidden="1">{"fdsup://directions/FAT Viewer?action=UPDATE&amp;creator=factset&amp;DYN_ARGS=TRUE&amp;DOC_NAME=FAT:FQL_AUDITING_CLIENT_TEMPLATE.FAT&amp;display_string=Audit&amp;VAR:KEY=RYFIVIVUHK&amp;VAR:QUERY=RkZfRUJJVERBX0lCKCdMVE1TJywzOTE1Myk=&amp;WINDOW=FIRST_POPUP&amp;HEIGHT=450&amp;WIDTH=450&amp;START_MA","XIMIZED=FALSE&amp;VAR:CALENDAR=US&amp;VAR:SYMBOL=04916420&amp;VAR:INDEX=0"}</definedName>
    <definedName name="_10216__FDSAUDITLINK__" hidden="1">{"fdsup://directions/FAT Viewer?action=UPDATE&amp;creator=factset&amp;DYN_ARGS=TRUE&amp;DOC_NAME=FAT:FQL_AUDITING_CLIENT_TEMPLATE.FAT&amp;display_string=Audit&amp;VAR:KEY=RYFIVIVUHK&amp;VAR:QUERY=RkZfRUJJVERBX0lCKCdMVE1TJywzOTE1Myk=&amp;WINDOW=FIRST_POPUP&amp;HEIGHT=450&amp;WIDTH=450&amp;START_MA","XIMIZED=FALSE&amp;VAR:CALENDAR=US&amp;VAR:SYMBOL=04916420&amp;VAR:INDEX=0"}</definedName>
    <definedName name="_10217__FDSAUDITLINK__" localSheetId="6" hidden="1">{"fdsup://directions/FAT Viewer?action=UPDATE&amp;creator=factset&amp;DYN_ARGS=TRUE&amp;DOC_NAME=FAT:FQL_AUDITING_CLIENT_TEMPLATE.FAT&amp;display_string=Audit&amp;VAR:KEY=DARGBMNATW&amp;VAR:QUERY=RkZfRUJJVERBX0lCKCdMVE1TJywzOTE1Mik=&amp;WINDOW=FIRST_POPUP&amp;HEIGHT=450&amp;WIDTH=450&amp;START_MA","XIMIZED=FALSE&amp;VAR:CALENDAR=US&amp;VAR:SYMBOL=04916420&amp;VAR:INDEX=0"}</definedName>
    <definedName name="_10217__FDSAUDITLINK__" hidden="1">{"fdsup://directions/FAT Viewer?action=UPDATE&amp;creator=factset&amp;DYN_ARGS=TRUE&amp;DOC_NAME=FAT:FQL_AUDITING_CLIENT_TEMPLATE.FAT&amp;display_string=Audit&amp;VAR:KEY=DARGBMNATW&amp;VAR:QUERY=RkZfRUJJVERBX0lCKCdMVE1TJywzOTE1Mik=&amp;WINDOW=FIRST_POPUP&amp;HEIGHT=450&amp;WIDTH=450&amp;START_MA","XIMIZED=FALSE&amp;VAR:CALENDAR=US&amp;VAR:SYMBOL=04916420&amp;VAR:INDEX=0"}</definedName>
    <definedName name="_10218__FDSAUDITLINK__" localSheetId="6" hidden="1">{"fdsup://directions/FAT Viewer?action=UPDATE&amp;creator=factset&amp;DYN_ARGS=TRUE&amp;DOC_NAME=FAT:FQL_AUDITING_CLIENT_TEMPLATE.FAT&amp;display_string=Audit&amp;VAR:KEY=NUDQJKTIZU&amp;VAR:QUERY=RkZfRUJJVERBX0lCKCdMVE1TJywzOTE1MSk=&amp;WINDOW=FIRST_POPUP&amp;HEIGHT=450&amp;WIDTH=450&amp;START_MA","XIMIZED=FALSE&amp;VAR:CALENDAR=US&amp;VAR:SYMBOL=04916420&amp;VAR:INDEX=0"}</definedName>
    <definedName name="_10218__FDSAUDITLINK__" hidden="1">{"fdsup://directions/FAT Viewer?action=UPDATE&amp;creator=factset&amp;DYN_ARGS=TRUE&amp;DOC_NAME=FAT:FQL_AUDITING_CLIENT_TEMPLATE.FAT&amp;display_string=Audit&amp;VAR:KEY=NUDQJKTIZU&amp;VAR:QUERY=RkZfRUJJVERBX0lCKCdMVE1TJywzOTE1MSk=&amp;WINDOW=FIRST_POPUP&amp;HEIGHT=450&amp;WIDTH=450&amp;START_MA","XIMIZED=FALSE&amp;VAR:CALENDAR=US&amp;VAR:SYMBOL=04916420&amp;VAR:INDEX=0"}</definedName>
    <definedName name="_10219__FDSAUDITLINK__" localSheetId="6" hidden="1">{"fdsup://directions/FAT Viewer?action=UPDATE&amp;creator=factset&amp;DYN_ARGS=TRUE&amp;DOC_NAME=FAT:FQL_AUDITING_CLIENT_TEMPLATE.FAT&amp;display_string=Audit&amp;VAR:KEY=RQRIRIBSFK&amp;VAR:QUERY=RkZfRUJJVERBX0lCKCdMVE1TJywzOTE1MCk=&amp;WINDOW=FIRST_POPUP&amp;HEIGHT=450&amp;WIDTH=450&amp;START_MA","XIMIZED=FALSE&amp;VAR:CALENDAR=US&amp;VAR:SYMBOL=04916420&amp;VAR:INDEX=0"}</definedName>
    <definedName name="_10219__FDSAUDITLINK__" hidden="1">{"fdsup://directions/FAT Viewer?action=UPDATE&amp;creator=factset&amp;DYN_ARGS=TRUE&amp;DOC_NAME=FAT:FQL_AUDITING_CLIENT_TEMPLATE.FAT&amp;display_string=Audit&amp;VAR:KEY=RQRIRIBSFK&amp;VAR:QUERY=RkZfRUJJVERBX0lCKCdMVE1TJywzOTE1MCk=&amp;WINDOW=FIRST_POPUP&amp;HEIGHT=450&amp;WIDTH=450&amp;START_MA","XIMIZED=FALSE&amp;VAR:CALENDAR=US&amp;VAR:SYMBOL=04916420&amp;VAR:INDEX=0"}</definedName>
    <definedName name="_1022__FDSAUDITLINK__" localSheetId="6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2__FDSAUDITLINK__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20__FDSAUDITLINK__" localSheetId="6" hidden="1">{"fdsup://directions/FAT Viewer?action=UPDATE&amp;creator=factset&amp;DYN_ARGS=TRUE&amp;DOC_NAME=FAT:FQL_AUDITING_CLIENT_TEMPLATE.FAT&amp;display_string=Audit&amp;VAR:KEY=FMZSJOLIDM&amp;VAR:QUERY=RkZfRUJJVERBX0lCKCdMVE1TJywzOTE0OSk=&amp;WINDOW=FIRST_POPUP&amp;HEIGHT=450&amp;WIDTH=450&amp;START_MA","XIMIZED=FALSE&amp;VAR:CALENDAR=US&amp;VAR:SYMBOL=04916420&amp;VAR:INDEX=0"}</definedName>
    <definedName name="_10220__FDSAUDITLINK__" hidden="1">{"fdsup://directions/FAT Viewer?action=UPDATE&amp;creator=factset&amp;DYN_ARGS=TRUE&amp;DOC_NAME=FAT:FQL_AUDITING_CLIENT_TEMPLATE.FAT&amp;display_string=Audit&amp;VAR:KEY=FMZSJOLIDM&amp;VAR:QUERY=RkZfRUJJVERBX0lCKCdMVE1TJywzOTE0OSk=&amp;WINDOW=FIRST_POPUP&amp;HEIGHT=450&amp;WIDTH=450&amp;START_MA","XIMIZED=FALSE&amp;VAR:CALENDAR=US&amp;VAR:SYMBOL=04916420&amp;VAR:INDEX=0"}</definedName>
    <definedName name="_10221__FDSAUDITLINK__" localSheetId="6" hidden="1">{"fdsup://directions/FAT Viewer?action=UPDATE&amp;creator=factset&amp;DYN_ARGS=TRUE&amp;DOC_NAME=FAT:FQL_AUDITING_CLIENT_TEMPLATE.FAT&amp;display_string=Audit&amp;VAR:KEY=TWRCBQHQLM&amp;VAR:QUERY=RkZfRUJJVERBX0lCKCdMVE1TJywzOTE0OCk=&amp;WINDOW=FIRST_POPUP&amp;HEIGHT=450&amp;WIDTH=450&amp;START_MA","XIMIZED=FALSE&amp;VAR:CALENDAR=US&amp;VAR:SYMBOL=04916420&amp;VAR:INDEX=0"}</definedName>
    <definedName name="_10221__FDSAUDITLINK__" hidden="1">{"fdsup://directions/FAT Viewer?action=UPDATE&amp;creator=factset&amp;DYN_ARGS=TRUE&amp;DOC_NAME=FAT:FQL_AUDITING_CLIENT_TEMPLATE.FAT&amp;display_string=Audit&amp;VAR:KEY=TWRCBQHQLM&amp;VAR:QUERY=RkZfRUJJVERBX0lCKCdMVE1TJywzOTE0OCk=&amp;WINDOW=FIRST_POPUP&amp;HEIGHT=450&amp;WIDTH=450&amp;START_MA","XIMIZED=FALSE&amp;VAR:CALENDAR=US&amp;VAR:SYMBOL=04916420&amp;VAR:INDEX=0"}</definedName>
    <definedName name="_10222__FDSAUDITLINK__" localSheetId="6" hidden="1">{"fdsup://directions/FAT Viewer?action=UPDATE&amp;creator=factset&amp;DYN_ARGS=TRUE&amp;DOC_NAME=FAT:FQL_AUDITING_CLIENT_TEMPLATE.FAT&amp;display_string=Audit&amp;VAR:KEY=DORSLSTEPU&amp;VAR:QUERY=RkZfRUJJVERBX0lCKCdMVE1TJywzOTE0Nyk=&amp;WINDOW=FIRST_POPUP&amp;HEIGHT=450&amp;WIDTH=450&amp;START_MA","XIMIZED=FALSE&amp;VAR:CALENDAR=US&amp;VAR:SYMBOL=04916420&amp;VAR:INDEX=0"}</definedName>
    <definedName name="_10222__FDSAUDITLINK__" hidden="1">{"fdsup://directions/FAT Viewer?action=UPDATE&amp;creator=factset&amp;DYN_ARGS=TRUE&amp;DOC_NAME=FAT:FQL_AUDITING_CLIENT_TEMPLATE.FAT&amp;display_string=Audit&amp;VAR:KEY=DORSLSTEPU&amp;VAR:QUERY=RkZfRUJJVERBX0lCKCdMVE1TJywzOTE0Nyk=&amp;WINDOW=FIRST_POPUP&amp;HEIGHT=450&amp;WIDTH=450&amp;START_MA","XIMIZED=FALSE&amp;VAR:CALENDAR=US&amp;VAR:SYMBOL=04916420&amp;VAR:INDEX=0"}</definedName>
    <definedName name="_10223__FDSAUDITLINK__" localSheetId="6" hidden="1">{"fdsup://directions/FAT Viewer?action=UPDATE&amp;creator=factset&amp;DYN_ARGS=TRUE&amp;DOC_NAME=FAT:FQL_AUDITING_CLIENT_TEMPLATE.FAT&amp;display_string=Audit&amp;VAR:KEY=BKZYPKTMJE&amp;VAR:QUERY=RkZfRUJJVERBX0lCKCdMVE1TJywzOTE0Nik=&amp;WINDOW=FIRST_POPUP&amp;HEIGHT=450&amp;WIDTH=450&amp;START_MA","XIMIZED=FALSE&amp;VAR:CALENDAR=US&amp;VAR:SYMBOL=04916420&amp;VAR:INDEX=0"}</definedName>
    <definedName name="_10223__FDSAUDITLINK__" hidden="1">{"fdsup://directions/FAT Viewer?action=UPDATE&amp;creator=factset&amp;DYN_ARGS=TRUE&amp;DOC_NAME=FAT:FQL_AUDITING_CLIENT_TEMPLATE.FAT&amp;display_string=Audit&amp;VAR:KEY=BKZYPKTMJE&amp;VAR:QUERY=RkZfRUJJVERBX0lCKCdMVE1TJywzOTE0Nik=&amp;WINDOW=FIRST_POPUP&amp;HEIGHT=450&amp;WIDTH=450&amp;START_MA","XIMIZED=FALSE&amp;VAR:CALENDAR=US&amp;VAR:SYMBOL=04916420&amp;VAR:INDEX=0"}</definedName>
    <definedName name="_10224__FDSAUDITLINK__" localSheetId="6" hidden="1">{"fdsup://directions/FAT Viewer?action=UPDATE&amp;creator=factset&amp;DYN_ARGS=TRUE&amp;DOC_NAME=FAT:FQL_AUDITING_CLIENT_TEMPLATE.FAT&amp;display_string=Audit&amp;VAR:KEY=FWBQZGPUTC&amp;VAR:QUERY=RkZfRUJJVERBX0lCKCdMVE1TJywzOTE0NSk=&amp;WINDOW=FIRST_POPUP&amp;HEIGHT=450&amp;WIDTH=450&amp;START_MA","XIMIZED=FALSE&amp;VAR:CALENDAR=US&amp;VAR:SYMBOL=04916420&amp;VAR:INDEX=0"}</definedName>
    <definedName name="_10224__FDSAUDITLINK__" hidden="1">{"fdsup://directions/FAT Viewer?action=UPDATE&amp;creator=factset&amp;DYN_ARGS=TRUE&amp;DOC_NAME=FAT:FQL_AUDITING_CLIENT_TEMPLATE.FAT&amp;display_string=Audit&amp;VAR:KEY=FWBQZGPUTC&amp;VAR:QUERY=RkZfRUJJVERBX0lCKCdMVE1TJywzOTE0NSk=&amp;WINDOW=FIRST_POPUP&amp;HEIGHT=450&amp;WIDTH=450&amp;START_MA","XIMIZED=FALSE&amp;VAR:CALENDAR=US&amp;VAR:SYMBOL=04916420&amp;VAR:INDEX=0"}</definedName>
    <definedName name="_10225__FDSAUDITLINK__" localSheetId="6" hidden="1">{"fdsup://directions/FAT Viewer?action=UPDATE&amp;creator=factset&amp;DYN_ARGS=TRUE&amp;DOC_NAME=FAT:FQL_AUDITING_CLIENT_TEMPLATE.FAT&amp;display_string=Audit&amp;VAR:KEY=VSBYHODSTC&amp;VAR:QUERY=RkZfRUJJVERBX0lCKCdMVE1TJywzOTE0NCk=&amp;WINDOW=FIRST_POPUP&amp;HEIGHT=450&amp;WIDTH=450&amp;START_MA","XIMIZED=FALSE&amp;VAR:CALENDAR=US&amp;VAR:SYMBOL=04916420&amp;VAR:INDEX=0"}</definedName>
    <definedName name="_10225__FDSAUDITLINK__" hidden="1">{"fdsup://directions/FAT Viewer?action=UPDATE&amp;creator=factset&amp;DYN_ARGS=TRUE&amp;DOC_NAME=FAT:FQL_AUDITING_CLIENT_TEMPLATE.FAT&amp;display_string=Audit&amp;VAR:KEY=VSBYHODSTC&amp;VAR:QUERY=RkZfRUJJVERBX0lCKCdMVE1TJywzOTE0NCk=&amp;WINDOW=FIRST_POPUP&amp;HEIGHT=450&amp;WIDTH=450&amp;START_MA","XIMIZED=FALSE&amp;VAR:CALENDAR=US&amp;VAR:SYMBOL=04916420&amp;VAR:INDEX=0"}</definedName>
    <definedName name="_10226__FDSAUDITLINK__" localSheetId="6" hidden="1">{"fdsup://directions/FAT Viewer?action=UPDATE&amp;creator=factset&amp;DYN_ARGS=TRUE&amp;DOC_NAME=FAT:FQL_AUDITING_CLIENT_TEMPLATE.FAT&amp;display_string=Audit&amp;VAR:KEY=HOLUPURKHY&amp;VAR:QUERY=RkZfRUJJVERBX0lCKCdMVE1TJywzOTE0Myk=&amp;WINDOW=FIRST_POPUP&amp;HEIGHT=450&amp;WIDTH=450&amp;START_MA","XIMIZED=FALSE&amp;VAR:CALENDAR=US&amp;VAR:SYMBOL=04916420&amp;VAR:INDEX=0"}</definedName>
    <definedName name="_10226__FDSAUDITLINK__" hidden="1">{"fdsup://directions/FAT Viewer?action=UPDATE&amp;creator=factset&amp;DYN_ARGS=TRUE&amp;DOC_NAME=FAT:FQL_AUDITING_CLIENT_TEMPLATE.FAT&amp;display_string=Audit&amp;VAR:KEY=HOLUPURKHY&amp;VAR:QUERY=RkZfRUJJVERBX0lCKCdMVE1TJywzOTE0Myk=&amp;WINDOW=FIRST_POPUP&amp;HEIGHT=450&amp;WIDTH=450&amp;START_MA","XIMIZED=FALSE&amp;VAR:CALENDAR=US&amp;VAR:SYMBOL=04916420&amp;VAR:INDEX=0"}</definedName>
    <definedName name="_10227__FDSAUDITLINK__" localSheetId="6" hidden="1">{"fdsup://directions/FAT Viewer?action=UPDATE&amp;creator=factset&amp;DYN_ARGS=TRUE&amp;DOC_NAME=FAT:FQL_AUDITING_CLIENT_TEMPLATE.FAT&amp;display_string=Audit&amp;VAR:KEY=ZULUTOJKXE&amp;VAR:QUERY=RkZfRUJJVERBX0lCKCdMVE1TJywzOTE0Mik=&amp;WINDOW=FIRST_POPUP&amp;HEIGHT=450&amp;WIDTH=450&amp;START_MA","XIMIZED=FALSE&amp;VAR:CALENDAR=US&amp;VAR:SYMBOL=04916420&amp;VAR:INDEX=0"}</definedName>
    <definedName name="_10227__FDSAUDITLINK__" hidden="1">{"fdsup://directions/FAT Viewer?action=UPDATE&amp;creator=factset&amp;DYN_ARGS=TRUE&amp;DOC_NAME=FAT:FQL_AUDITING_CLIENT_TEMPLATE.FAT&amp;display_string=Audit&amp;VAR:KEY=ZULUTOJKXE&amp;VAR:QUERY=RkZfRUJJVERBX0lCKCdMVE1TJywzOTE0Mik=&amp;WINDOW=FIRST_POPUP&amp;HEIGHT=450&amp;WIDTH=450&amp;START_MA","XIMIZED=FALSE&amp;VAR:CALENDAR=US&amp;VAR:SYMBOL=04916420&amp;VAR:INDEX=0"}</definedName>
    <definedName name="_10228__FDSAUDITLINK__" localSheetId="6" hidden="1">{"fdsup://directions/FAT Viewer?action=UPDATE&amp;creator=factset&amp;DYN_ARGS=TRUE&amp;DOC_NAME=FAT:FQL_AUDITING_CLIENT_TEMPLATE.FAT&amp;display_string=Audit&amp;VAR:KEY=NCVQVABWZU&amp;VAR:QUERY=RkZfRUJJVERBX0lCKCdMVE1TJywzOTE0MSk=&amp;WINDOW=FIRST_POPUP&amp;HEIGHT=450&amp;WIDTH=450&amp;START_MA","XIMIZED=FALSE&amp;VAR:CALENDAR=US&amp;VAR:SYMBOL=04916420&amp;VAR:INDEX=0"}</definedName>
    <definedName name="_10228__FDSAUDITLINK__" hidden="1">{"fdsup://directions/FAT Viewer?action=UPDATE&amp;creator=factset&amp;DYN_ARGS=TRUE&amp;DOC_NAME=FAT:FQL_AUDITING_CLIENT_TEMPLATE.FAT&amp;display_string=Audit&amp;VAR:KEY=NCVQVABWZU&amp;VAR:QUERY=RkZfRUJJVERBX0lCKCdMVE1TJywzOTE0MSk=&amp;WINDOW=FIRST_POPUP&amp;HEIGHT=450&amp;WIDTH=450&amp;START_MA","XIMIZED=FALSE&amp;VAR:CALENDAR=US&amp;VAR:SYMBOL=04916420&amp;VAR:INDEX=0"}</definedName>
    <definedName name="_10229__FDSAUDITLINK__" localSheetId="6" hidden="1">{"fdsup://directions/FAT Viewer?action=UPDATE&amp;creator=factset&amp;DYN_ARGS=TRUE&amp;DOC_NAME=FAT:FQL_AUDITING_CLIENT_TEMPLATE.FAT&amp;display_string=Audit&amp;VAR:KEY=POZMLQDGFM&amp;VAR:QUERY=RkZfRUJJVERBX0lCKCdMVE1TJywzOTE0MCk=&amp;WINDOW=FIRST_POPUP&amp;HEIGHT=450&amp;WIDTH=450&amp;START_MA","XIMIZED=FALSE&amp;VAR:CALENDAR=US&amp;VAR:SYMBOL=04916420&amp;VAR:INDEX=0"}</definedName>
    <definedName name="_10229__FDSAUDITLINK__" hidden="1">{"fdsup://directions/FAT Viewer?action=UPDATE&amp;creator=factset&amp;DYN_ARGS=TRUE&amp;DOC_NAME=FAT:FQL_AUDITING_CLIENT_TEMPLATE.FAT&amp;display_string=Audit&amp;VAR:KEY=POZMLQDGFM&amp;VAR:QUERY=RkZfRUJJVERBX0lCKCdMVE1TJywzOTE0MCk=&amp;WINDOW=FIRST_POPUP&amp;HEIGHT=450&amp;WIDTH=450&amp;START_MA","XIMIZED=FALSE&amp;VAR:CALENDAR=US&amp;VAR:SYMBOL=04916420&amp;VAR:INDEX=0"}</definedName>
    <definedName name="_1023__FDSAUDITLINK__" localSheetId="6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3__FDSAUDITLINK__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30__FDSAUDITLINK__" localSheetId="6" hidden="1">{"fdsup://directions/FAT Viewer?action=UPDATE&amp;creator=factset&amp;DYN_ARGS=TRUE&amp;DOC_NAME=FAT:FQL_AUDITING_CLIENT_TEMPLATE.FAT&amp;display_string=Audit&amp;VAR:KEY=JELONYVOVI&amp;VAR:QUERY=RkZfRUJJVERBX0lCKCdMVE1TJywzOTEzOSk=&amp;WINDOW=FIRST_POPUP&amp;HEIGHT=450&amp;WIDTH=450&amp;START_MA","XIMIZED=FALSE&amp;VAR:CALENDAR=US&amp;VAR:SYMBOL=04916420&amp;VAR:INDEX=0"}</definedName>
    <definedName name="_10230__FDSAUDITLINK__" hidden="1">{"fdsup://directions/FAT Viewer?action=UPDATE&amp;creator=factset&amp;DYN_ARGS=TRUE&amp;DOC_NAME=FAT:FQL_AUDITING_CLIENT_TEMPLATE.FAT&amp;display_string=Audit&amp;VAR:KEY=JELONYVOVI&amp;VAR:QUERY=RkZfRUJJVERBX0lCKCdMVE1TJywzOTEzOSk=&amp;WINDOW=FIRST_POPUP&amp;HEIGHT=450&amp;WIDTH=450&amp;START_MA","XIMIZED=FALSE&amp;VAR:CALENDAR=US&amp;VAR:SYMBOL=04916420&amp;VAR:INDEX=0"}</definedName>
    <definedName name="_10231__FDSAUDITLINK__" localSheetId="6" hidden="1">{"fdsup://directions/FAT Viewer?action=UPDATE&amp;creator=factset&amp;DYN_ARGS=TRUE&amp;DOC_NAME=FAT:FQL_AUDITING_CLIENT_TEMPLATE.FAT&amp;display_string=Audit&amp;VAR:KEY=NAFQXYJAPA&amp;VAR:QUERY=RkZfRUJJVERBX0lCKCdMVE1TJywzOTEzOCk=&amp;WINDOW=FIRST_POPUP&amp;HEIGHT=450&amp;WIDTH=450&amp;START_MA","XIMIZED=FALSE&amp;VAR:CALENDAR=US&amp;VAR:SYMBOL=04916420&amp;VAR:INDEX=0"}</definedName>
    <definedName name="_10231__FDSAUDITLINK__" hidden="1">{"fdsup://directions/FAT Viewer?action=UPDATE&amp;creator=factset&amp;DYN_ARGS=TRUE&amp;DOC_NAME=FAT:FQL_AUDITING_CLIENT_TEMPLATE.FAT&amp;display_string=Audit&amp;VAR:KEY=NAFQXYJAPA&amp;VAR:QUERY=RkZfRUJJVERBX0lCKCdMVE1TJywzOTEzOCk=&amp;WINDOW=FIRST_POPUP&amp;HEIGHT=450&amp;WIDTH=450&amp;START_MA","XIMIZED=FALSE&amp;VAR:CALENDAR=US&amp;VAR:SYMBOL=04916420&amp;VAR:INDEX=0"}</definedName>
    <definedName name="_10232__FDSAUDITLINK__" localSheetId="6" hidden="1">{"fdsup://directions/FAT Viewer?action=UPDATE&amp;creator=factset&amp;DYN_ARGS=TRUE&amp;DOC_NAME=FAT:FQL_AUDITING_CLIENT_TEMPLATE.FAT&amp;display_string=Audit&amp;VAR:KEY=LYHSHUTKLC&amp;VAR:QUERY=RkZfRUJJVERBX0lCKCdMVE1TJywzOTEzNyk=&amp;WINDOW=FIRST_POPUP&amp;HEIGHT=450&amp;WIDTH=450&amp;START_MA","XIMIZED=FALSE&amp;VAR:CALENDAR=US&amp;VAR:SYMBOL=04916420&amp;VAR:INDEX=0"}</definedName>
    <definedName name="_10232__FDSAUDITLINK__" hidden="1">{"fdsup://directions/FAT Viewer?action=UPDATE&amp;creator=factset&amp;DYN_ARGS=TRUE&amp;DOC_NAME=FAT:FQL_AUDITING_CLIENT_TEMPLATE.FAT&amp;display_string=Audit&amp;VAR:KEY=LYHSHUTKLC&amp;VAR:QUERY=RkZfRUJJVERBX0lCKCdMVE1TJywzOTEzNyk=&amp;WINDOW=FIRST_POPUP&amp;HEIGHT=450&amp;WIDTH=450&amp;START_MA","XIMIZED=FALSE&amp;VAR:CALENDAR=US&amp;VAR:SYMBOL=04916420&amp;VAR:INDEX=0"}</definedName>
    <definedName name="_10233__FDSAUDITLINK__" localSheetId="6" hidden="1">{"fdsup://directions/FAT Viewer?action=UPDATE&amp;creator=factset&amp;DYN_ARGS=TRUE&amp;DOC_NAME=FAT:FQL_AUDITING_CLIENT_TEMPLATE.FAT&amp;display_string=Audit&amp;VAR:KEY=VWPWDOPQBK&amp;VAR:QUERY=RkZfRUJJVERBX0lCKCdMVE1TJywzOTEzNik=&amp;WINDOW=FIRST_POPUP&amp;HEIGHT=450&amp;WIDTH=450&amp;START_MA","XIMIZED=FALSE&amp;VAR:CALENDAR=US&amp;VAR:SYMBOL=04916420&amp;VAR:INDEX=0"}</definedName>
    <definedName name="_10233__FDSAUDITLINK__" hidden="1">{"fdsup://directions/FAT Viewer?action=UPDATE&amp;creator=factset&amp;DYN_ARGS=TRUE&amp;DOC_NAME=FAT:FQL_AUDITING_CLIENT_TEMPLATE.FAT&amp;display_string=Audit&amp;VAR:KEY=VWPWDOPQBK&amp;VAR:QUERY=RkZfRUJJVERBX0lCKCdMVE1TJywzOTEzNik=&amp;WINDOW=FIRST_POPUP&amp;HEIGHT=450&amp;WIDTH=450&amp;START_MA","XIMIZED=FALSE&amp;VAR:CALENDAR=US&amp;VAR:SYMBOL=04916420&amp;VAR:INDEX=0"}</definedName>
    <definedName name="_10234__FDSAUDITLINK__" localSheetId="6" hidden="1">{"fdsup://directions/FAT Viewer?action=UPDATE&amp;creator=factset&amp;DYN_ARGS=TRUE&amp;DOC_NAME=FAT:FQL_AUDITING_CLIENT_TEMPLATE.FAT&amp;display_string=Audit&amp;VAR:KEY=RWTUZUNAJA&amp;VAR:QUERY=RkZfRUJJVERBX0lCKCdMVE1TJywzOTEzNSk=&amp;WINDOW=FIRST_POPUP&amp;HEIGHT=450&amp;WIDTH=450&amp;START_MA","XIMIZED=FALSE&amp;VAR:CALENDAR=US&amp;VAR:SYMBOL=04916420&amp;VAR:INDEX=0"}</definedName>
    <definedName name="_10234__FDSAUDITLINK__" hidden="1">{"fdsup://directions/FAT Viewer?action=UPDATE&amp;creator=factset&amp;DYN_ARGS=TRUE&amp;DOC_NAME=FAT:FQL_AUDITING_CLIENT_TEMPLATE.FAT&amp;display_string=Audit&amp;VAR:KEY=RWTUZUNAJA&amp;VAR:QUERY=RkZfRUJJVERBX0lCKCdMVE1TJywzOTEzNSk=&amp;WINDOW=FIRST_POPUP&amp;HEIGHT=450&amp;WIDTH=450&amp;START_MA","XIMIZED=FALSE&amp;VAR:CALENDAR=US&amp;VAR:SYMBOL=04916420&amp;VAR:INDEX=0"}</definedName>
    <definedName name="_10235__FDSAUDITLINK__" localSheetId="6" hidden="1">{"fdsup://directions/FAT Viewer?action=UPDATE&amp;creator=factset&amp;DYN_ARGS=TRUE&amp;DOC_NAME=FAT:FQL_AUDITING_CLIENT_TEMPLATE.FAT&amp;display_string=Audit&amp;VAR:KEY=XQHUZKRSTY&amp;VAR:QUERY=RkZfRUJJVERBX0lCKCdMVE1TJywzOTEzNCk=&amp;WINDOW=FIRST_POPUP&amp;HEIGHT=450&amp;WIDTH=450&amp;START_MA","XIMIZED=FALSE&amp;VAR:CALENDAR=US&amp;VAR:SYMBOL=04916420&amp;VAR:INDEX=0"}</definedName>
    <definedName name="_10235__FDSAUDITLINK__" hidden="1">{"fdsup://directions/FAT Viewer?action=UPDATE&amp;creator=factset&amp;DYN_ARGS=TRUE&amp;DOC_NAME=FAT:FQL_AUDITING_CLIENT_TEMPLATE.FAT&amp;display_string=Audit&amp;VAR:KEY=XQHUZKRSTY&amp;VAR:QUERY=RkZfRUJJVERBX0lCKCdMVE1TJywzOTEzNCk=&amp;WINDOW=FIRST_POPUP&amp;HEIGHT=450&amp;WIDTH=450&amp;START_MA","XIMIZED=FALSE&amp;VAR:CALENDAR=US&amp;VAR:SYMBOL=04916420&amp;VAR:INDEX=0"}</definedName>
    <definedName name="_10236__FDSAUDITLINK__" localSheetId="6" hidden="1">{"fdsup://directions/FAT Viewer?action=UPDATE&amp;creator=factset&amp;DYN_ARGS=TRUE&amp;DOC_NAME=FAT:FQL_AUDITING_CLIENT_TEMPLATE.FAT&amp;display_string=Audit&amp;VAR:KEY=VUVCLCPUBS&amp;VAR:QUERY=RkZfRUJJVERBX0lCKCdMVE1TJywzOTEzMyk=&amp;WINDOW=FIRST_POPUP&amp;HEIGHT=450&amp;WIDTH=450&amp;START_MA","XIMIZED=FALSE&amp;VAR:CALENDAR=US&amp;VAR:SYMBOL=04916420&amp;VAR:INDEX=0"}</definedName>
    <definedName name="_10236__FDSAUDITLINK__" hidden="1">{"fdsup://directions/FAT Viewer?action=UPDATE&amp;creator=factset&amp;DYN_ARGS=TRUE&amp;DOC_NAME=FAT:FQL_AUDITING_CLIENT_TEMPLATE.FAT&amp;display_string=Audit&amp;VAR:KEY=VUVCLCPUBS&amp;VAR:QUERY=RkZfRUJJVERBX0lCKCdMVE1TJywzOTEzMyk=&amp;WINDOW=FIRST_POPUP&amp;HEIGHT=450&amp;WIDTH=450&amp;START_MA","XIMIZED=FALSE&amp;VAR:CALENDAR=US&amp;VAR:SYMBOL=04916420&amp;VAR:INDEX=0"}</definedName>
    <definedName name="_10237__FDSAUDITLINK__" localSheetId="6" hidden="1">{"fdsup://directions/FAT Viewer?action=UPDATE&amp;creator=factset&amp;DYN_ARGS=TRUE&amp;DOC_NAME=FAT:FQL_AUDITING_CLIENT_TEMPLATE.FAT&amp;display_string=Audit&amp;VAR:KEY=ZGPYNWJCJW&amp;VAR:QUERY=RkZfRUJJVERBX0lCKCdMVE1TJywzOTEzMik=&amp;WINDOW=FIRST_POPUP&amp;HEIGHT=450&amp;WIDTH=450&amp;START_MA","XIMIZED=FALSE&amp;VAR:CALENDAR=US&amp;VAR:SYMBOL=04916420&amp;VAR:INDEX=0"}</definedName>
    <definedName name="_10237__FDSAUDITLINK__" hidden="1">{"fdsup://directions/FAT Viewer?action=UPDATE&amp;creator=factset&amp;DYN_ARGS=TRUE&amp;DOC_NAME=FAT:FQL_AUDITING_CLIENT_TEMPLATE.FAT&amp;display_string=Audit&amp;VAR:KEY=ZGPYNWJCJW&amp;VAR:QUERY=RkZfRUJJVERBX0lCKCdMVE1TJywzOTEzMik=&amp;WINDOW=FIRST_POPUP&amp;HEIGHT=450&amp;WIDTH=450&amp;START_MA","XIMIZED=FALSE&amp;VAR:CALENDAR=US&amp;VAR:SYMBOL=04916420&amp;VAR:INDEX=0"}</definedName>
    <definedName name="_10238__FDSAUDITLINK__" localSheetId="6" hidden="1">{"fdsup://directions/FAT Viewer?action=UPDATE&amp;creator=factset&amp;DYN_ARGS=TRUE&amp;DOC_NAME=FAT:FQL_AUDITING_CLIENT_TEMPLATE.FAT&amp;display_string=Audit&amp;VAR:KEY=JMRALMROVI&amp;VAR:QUERY=RkZfRUJJVERBX0lCKCdMVE1TJywzOTEzMSk=&amp;WINDOW=FIRST_POPUP&amp;HEIGHT=450&amp;WIDTH=450&amp;START_MA","XIMIZED=FALSE&amp;VAR:CALENDAR=US&amp;VAR:SYMBOL=04916420&amp;VAR:INDEX=0"}</definedName>
    <definedName name="_10238__FDSAUDITLINK__" hidden="1">{"fdsup://directions/FAT Viewer?action=UPDATE&amp;creator=factset&amp;DYN_ARGS=TRUE&amp;DOC_NAME=FAT:FQL_AUDITING_CLIENT_TEMPLATE.FAT&amp;display_string=Audit&amp;VAR:KEY=JMRALMROVI&amp;VAR:QUERY=RkZfRUJJVERBX0lCKCdMVE1TJywzOTEzMSk=&amp;WINDOW=FIRST_POPUP&amp;HEIGHT=450&amp;WIDTH=450&amp;START_MA","XIMIZED=FALSE&amp;VAR:CALENDAR=US&amp;VAR:SYMBOL=04916420&amp;VAR:INDEX=0"}</definedName>
    <definedName name="_10239__FDSAUDITLINK__" localSheetId="6" hidden="1">{"fdsup://directions/FAT Viewer?action=UPDATE&amp;creator=factset&amp;DYN_ARGS=TRUE&amp;DOC_NAME=FAT:FQL_AUDITING_CLIENT_TEMPLATE.FAT&amp;display_string=Audit&amp;VAR:KEY=DEJUNQJMZK&amp;VAR:QUERY=RkZfRUJJVERBX0lCKCdMVE1TJywzOTEzMCk=&amp;WINDOW=FIRST_POPUP&amp;HEIGHT=450&amp;WIDTH=450&amp;START_MA","XIMIZED=FALSE&amp;VAR:CALENDAR=US&amp;VAR:SYMBOL=04916420&amp;VAR:INDEX=0"}</definedName>
    <definedName name="_10239__FDSAUDITLINK__" hidden="1">{"fdsup://directions/FAT Viewer?action=UPDATE&amp;creator=factset&amp;DYN_ARGS=TRUE&amp;DOC_NAME=FAT:FQL_AUDITING_CLIENT_TEMPLATE.FAT&amp;display_string=Audit&amp;VAR:KEY=DEJUNQJMZK&amp;VAR:QUERY=RkZfRUJJVERBX0lCKCdMVE1TJywzOTEzMCk=&amp;WINDOW=FIRST_POPUP&amp;HEIGHT=450&amp;WIDTH=450&amp;START_MA","XIMIZED=FALSE&amp;VAR:CALENDAR=US&amp;VAR:SYMBOL=04916420&amp;VAR:INDEX=0"}</definedName>
    <definedName name="_1024__FDSAUDITLINK__" localSheetId="6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4__FDSAUDITLINK__" hidden="1">{"fdsup://directions/FAT%20Viewer?VAR:PED=LTM&amp;VAR:AUDIT_MODE=SUMMARY&amp;VAR:PERIOD=FIXED&amp;VAR:AUDIT_ID=00000117&amp;VAR:DATE=20070504&amp;action=UPDATE&amp;creator=factset&amp;DOC_NAME=FAT:FMA_audit_SUMMARY.fat&amp;DISPLAY_STRING=Display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40__FDSAUDITLINK__" localSheetId="6" hidden="1">{"fdsup://directions/FAT Viewer?action=UPDATE&amp;creator=factset&amp;DYN_ARGS=TRUE&amp;DOC_NAME=FAT:FQL_AUDITING_CLIENT_TEMPLATE.FAT&amp;display_string=Audit&amp;VAR:KEY=BYBAPSVWPK&amp;VAR:QUERY=RkZfRUJJVERBX0lCKCdMVE1TJywzOTEyOSk=&amp;WINDOW=FIRST_POPUP&amp;HEIGHT=450&amp;WIDTH=450&amp;START_MA","XIMIZED=FALSE&amp;VAR:CALENDAR=US&amp;VAR:SYMBOL=04916420&amp;VAR:INDEX=0"}</definedName>
    <definedName name="_10240__FDSAUDITLINK__" hidden="1">{"fdsup://directions/FAT Viewer?action=UPDATE&amp;creator=factset&amp;DYN_ARGS=TRUE&amp;DOC_NAME=FAT:FQL_AUDITING_CLIENT_TEMPLATE.FAT&amp;display_string=Audit&amp;VAR:KEY=BYBAPSVWPK&amp;VAR:QUERY=RkZfRUJJVERBX0lCKCdMVE1TJywzOTEyOSk=&amp;WINDOW=FIRST_POPUP&amp;HEIGHT=450&amp;WIDTH=450&amp;START_MA","XIMIZED=FALSE&amp;VAR:CALENDAR=US&amp;VAR:SYMBOL=04916420&amp;VAR:INDEX=0"}</definedName>
    <definedName name="_10241__FDSAUDITLINK__" localSheetId="6" hidden="1">{"fdsup://directions/FAT Viewer?action=UPDATE&amp;creator=factset&amp;DYN_ARGS=TRUE&amp;DOC_NAME=FAT:FQL_AUDITING_CLIENT_TEMPLATE.FAT&amp;display_string=Audit&amp;VAR:KEY=XQNWJATYLI&amp;VAR:QUERY=RkZfRUJJVERBX0lCKCdMVE1TJywzOTEyOCk=&amp;WINDOW=FIRST_POPUP&amp;HEIGHT=450&amp;WIDTH=450&amp;START_MA","XIMIZED=FALSE&amp;VAR:CALENDAR=US&amp;VAR:SYMBOL=04916420&amp;VAR:INDEX=0"}</definedName>
    <definedName name="_10241__FDSAUDITLINK__" hidden="1">{"fdsup://directions/FAT Viewer?action=UPDATE&amp;creator=factset&amp;DYN_ARGS=TRUE&amp;DOC_NAME=FAT:FQL_AUDITING_CLIENT_TEMPLATE.FAT&amp;display_string=Audit&amp;VAR:KEY=XQNWJATYLI&amp;VAR:QUERY=RkZfRUJJVERBX0lCKCdMVE1TJywzOTEyOCk=&amp;WINDOW=FIRST_POPUP&amp;HEIGHT=450&amp;WIDTH=450&amp;START_MA","XIMIZED=FALSE&amp;VAR:CALENDAR=US&amp;VAR:SYMBOL=04916420&amp;VAR:INDEX=0"}</definedName>
    <definedName name="_10242__FDSAUDITLINK__" localSheetId="6" hidden="1">{"fdsup://directions/FAT Viewer?action=UPDATE&amp;creator=factset&amp;DYN_ARGS=TRUE&amp;DOC_NAME=FAT:FQL_AUDITING_CLIENT_TEMPLATE.FAT&amp;display_string=Audit&amp;VAR:KEY=PYXERGTGZG&amp;VAR:QUERY=RkZfRUJJVERBX0lCKCdMVE1TJywzOTEyNyk=&amp;WINDOW=FIRST_POPUP&amp;HEIGHT=450&amp;WIDTH=450&amp;START_MA","XIMIZED=FALSE&amp;VAR:CALENDAR=US&amp;VAR:SYMBOL=04916420&amp;VAR:INDEX=0"}</definedName>
    <definedName name="_10242__FDSAUDITLINK__" hidden="1">{"fdsup://directions/FAT Viewer?action=UPDATE&amp;creator=factset&amp;DYN_ARGS=TRUE&amp;DOC_NAME=FAT:FQL_AUDITING_CLIENT_TEMPLATE.FAT&amp;display_string=Audit&amp;VAR:KEY=PYXERGTGZG&amp;VAR:QUERY=RkZfRUJJVERBX0lCKCdMVE1TJywzOTEyNyk=&amp;WINDOW=FIRST_POPUP&amp;HEIGHT=450&amp;WIDTH=450&amp;START_MA","XIMIZED=FALSE&amp;VAR:CALENDAR=US&amp;VAR:SYMBOL=04916420&amp;VAR:INDEX=0"}</definedName>
    <definedName name="_10243__FDSAUDITLINK__" localSheetId="6" hidden="1">{"fdsup://directions/FAT Viewer?action=UPDATE&amp;creator=factset&amp;DYN_ARGS=TRUE&amp;DOC_NAME=FAT:FQL_AUDITING_CLIENT_TEMPLATE.FAT&amp;display_string=Audit&amp;VAR:KEY=TCDGBCRYDS&amp;VAR:QUERY=RkZfRUJJVERBX0lCKCdMVE1TJywzOTEyNik=&amp;WINDOW=FIRST_POPUP&amp;HEIGHT=450&amp;WIDTH=450&amp;START_MA","XIMIZED=FALSE&amp;VAR:CALENDAR=US&amp;VAR:SYMBOL=04916420&amp;VAR:INDEX=0"}</definedName>
    <definedName name="_10243__FDSAUDITLINK__" hidden="1">{"fdsup://directions/FAT Viewer?action=UPDATE&amp;creator=factset&amp;DYN_ARGS=TRUE&amp;DOC_NAME=FAT:FQL_AUDITING_CLIENT_TEMPLATE.FAT&amp;display_string=Audit&amp;VAR:KEY=TCDGBCRYDS&amp;VAR:QUERY=RkZfRUJJVERBX0lCKCdMVE1TJywzOTEyNik=&amp;WINDOW=FIRST_POPUP&amp;HEIGHT=450&amp;WIDTH=450&amp;START_MA","XIMIZED=FALSE&amp;VAR:CALENDAR=US&amp;VAR:SYMBOL=04916420&amp;VAR:INDEX=0"}</definedName>
    <definedName name="_10244__FDSAUDITLINK__" localSheetId="6" hidden="1">{"fdsup://directions/FAT Viewer?action=UPDATE&amp;creator=factset&amp;DYN_ARGS=TRUE&amp;DOC_NAME=FAT:FQL_AUDITING_CLIENT_TEMPLATE.FAT&amp;display_string=Audit&amp;VAR:KEY=ZYFQNSTYXQ&amp;VAR:QUERY=RkZfRUJJVERBX0lCKCdMVE1TJywzOTEyNSk=&amp;WINDOW=FIRST_POPUP&amp;HEIGHT=450&amp;WIDTH=450&amp;START_MA","XIMIZED=FALSE&amp;VAR:CALENDAR=US&amp;VAR:SYMBOL=04916420&amp;VAR:INDEX=0"}</definedName>
    <definedName name="_10244__FDSAUDITLINK__" hidden="1">{"fdsup://directions/FAT Viewer?action=UPDATE&amp;creator=factset&amp;DYN_ARGS=TRUE&amp;DOC_NAME=FAT:FQL_AUDITING_CLIENT_TEMPLATE.FAT&amp;display_string=Audit&amp;VAR:KEY=ZYFQNSTYXQ&amp;VAR:QUERY=RkZfRUJJVERBX0lCKCdMVE1TJywzOTEyNSk=&amp;WINDOW=FIRST_POPUP&amp;HEIGHT=450&amp;WIDTH=450&amp;START_MA","XIMIZED=FALSE&amp;VAR:CALENDAR=US&amp;VAR:SYMBOL=04916420&amp;VAR:INDEX=0"}</definedName>
    <definedName name="_10245__FDSAUDITLINK__" localSheetId="6" hidden="1">{"fdsup://directions/FAT Viewer?action=UPDATE&amp;creator=factset&amp;DYN_ARGS=TRUE&amp;DOC_NAME=FAT:FQL_AUDITING_CLIENT_TEMPLATE.FAT&amp;display_string=Audit&amp;VAR:KEY=TMZKZURWZW&amp;VAR:QUERY=RkZfRUJJVERBX0lCKCdMVE1TJywzOTEyNCk=&amp;WINDOW=FIRST_POPUP&amp;HEIGHT=450&amp;WIDTH=450&amp;START_MA","XIMIZED=FALSE&amp;VAR:CALENDAR=US&amp;VAR:SYMBOL=04916420&amp;VAR:INDEX=0"}</definedName>
    <definedName name="_10245__FDSAUDITLINK__" hidden="1">{"fdsup://directions/FAT Viewer?action=UPDATE&amp;creator=factset&amp;DYN_ARGS=TRUE&amp;DOC_NAME=FAT:FQL_AUDITING_CLIENT_TEMPLATE.FAT&amp;display_string=Audit&amp;VAR:KEY=TMZKZURWZW&amp;VAR:QUERY=RkZfRUJJVERBX0lCKCdMVE1TJywzOTEyNCk=&amp;WINDOW=FIRST_POPUP&amp;HEIGHT=450&amp;WIDTH=450&amp;START_MA","XIMIZED=FALSE&amp;VAR:CALENDAR=US&amp;VAR:SYMBOL=04916420&amp;VAR:INDEX=0"}</definedName>
    <definedName name="_10246__FDSAUDITLINK__" localSheetId="6" hidden="1">{"fdsup://directions/FAT Viewer?action=UPDATE&amp;creator=factset&amp;DYN_ARGS=TRUE&amp;DOC_NAME=FAT:FQL_AUDITING_CLIENT_TEMPLATE.FAT&amp;display_string=Audit&amp;VAR:KEY=XGLSVOPABM&amp;VAR:QUERY=RkZfRUJJVERBX0lCKCdMVE1TJywzOTEyMyk=&amp;WINDOW=FIRST_POPUP&amp;HEIGHT=450&amp;WIDTH=450&amp;START_MA","XIMIZED=FALSE&amp;VAR:CALENDAR=US&amp;VAR:SYMBOL=04916420&amp;VAR:INDEX=0"}</definedName>
    <definedName name="_10246__FDSAUDITLINK__" hidden="1">{"fdsup://directions/FAT Viewer?action=UPDATE&amp;creator=factset&amp;DYN_ARGS=TRUE&amp;DOC_NAME=FAT:FQL_AUDITING_CLIENT_TEMPLATE.FAT&amp;display_string=Audit&amp;VAR:KEY=XGLSVOPABM&amp;VAR:QUERY=RkZfRUJJVERBX0lCKCdMVE1TJywzOTEyMyk=&amp;WINDOW=FIRST_POPUP&amp;HEIGHT=450&amp;WIDTH=450&amp;START_MA","XIMIZED=FALSE&amp;VAR:CALENDAR=US&amp;VAR:SYMBOL=04916420&amp;VAR:INDEX=0"}</definedName>
    <definedName name="_10247__FDSAUDITLINK__" localSheetId="6" hidden="1">{"fdsup://directions/FAT Viewer?action=UPDATE&amp;creator=factset&amp;DYN_ARGS=TRUE&amp;DOC_NAME=FAT:FQL_AUDITING_CLIENT_TEMPLATE.FAT&amp;display_string=Audit&amp;VAR:KEY=FEHUZMBSLO&amp;VAR:QUERY=RkZfRUJJVERBX0lCKCdMVE1TJywzOTEyMik=&amp;WINDOW=FIRST_POPUP&amp;HEIGHT=450&amp;WIDTH=450&amp;START_MA","XIMIZED=FALSE&amp;VAR:CALENDAR=US&amp;VAR:SYMBOL=04916420&amp;VAR:INDEX=0"}</definedName>
    <definedName name="_10247__FDSAUDITLINK__" hidden="1">{"fdsup://directions/FAT Viewer?action=UPDATE&amp;creator=factset&amp;DYN_ARGS=TRUE&amp;DOC_NAME=FAT:FQL_AUDITING_CLIENT_TEMPLATE.FAT&amp;display_string=Audit&amp;VAR:KEY=FEHUZMBSLO&amp;VAR:QUERY=RkZfRUJJVERBX0lCKCdMVE1TJywzOTEyMik=&amp;WINDOW=FIRST_POPUP&amp;HEIGHT=450&amp;WIDTH=450&amp;START_MA","XIMIZED=FALSE&amp;VAR:CALENDAR=US&amp;VAR:SYMBOL=04916420&amp;VAR:INDEX=0"}</definedName>
    <definedName name="_10248__FDSAUDITLINK__" localSheetId="6" hidden="1">{"fdsup://directions/FAT Viewer?action=UPDATE&amp;creator=factset&amp;DYN_ARGS=TRUE&amp;DOC_NAME=FAT:FQL_AUDITING_CLIENT_TEMPLATE.FAT&amp;display_string=Audit&amp;VAR:KEY=TYBGHUZSRC&amp;VAR:QUERY=RkZfRUJJVERBX0lCKCdMVE1TJywzOTEyMSk=&amp;WINDOW=FIRST_POPUP&amp;HEIGHT=450&amp;WIDTH=450&amp;START_MA","XIMIZED=FALSE&amp;VAR:CALENDAR=US&amp;VAR:SYMBOL=04916420&amp;VAR:INDEX=0"}</definedName>
    <definedName name="_10248__FDSAUDITLINK__" hidden="1">{"fdsup://directions/FAT Viewer?action=UPDATE&amp;creator=factset&amp;DYN_ARGS=TRUE&amp;DOC_NAME=FAT:FQL_AUDITING_CLIENT_TEMPLATE.FAT&amp;display_string=Audit&amp;VAR:KEY=TYBGHUZSRC&amp;VAR:QUERY=RkZfRUJJVERBX0lCKCdMVE1TJywzOTEyMSk=&amp;WINDOW=FIRST_POPUP&amp;HEIGHT=450&amp;WIDTH=450&amp;START_MA","XIMIZED=FALSE&amp;VAR:CALENDAR=US&amp;VAR:SYMBOL=04916420&amp;VAR:INDEX=0"}</definedName>
    <definedName name="_10249__FDSAUDITLINK__" localSheetId="6" hidden="1">{"fdsup://directions/FAT Viewer?action=UPDATE&amp;creator=factset&amp;DYN_ARGS=TRUE&amp;DOC_NAME=FAT:FQL_AUDITING_CLIENT_TEMPLATE.FAT&amp;display_string=Audit&amp;VAR:KEY=NWVWZCFYFY&amp;VAR:QUERY=RkZfRUJJVERBX0lCKCdMVE1TJywzOTEyMCk=&amp;WINDOW=FIRST_POPUP&amp;HEIGHT=450&amp;WIDTH=450&amp;START_MA","XIMIZED=FALSE&amp;VAR:CALENDAR=US&amp;VAR:SYMBOL=04916420&amp;VAR:INDEX=0"}</definedName>
    <definedName name="_10249__FDSAUDITLINK__" hidden="1">{"fdsup://directions/FAT Viewer?action=UPDATE&amp;creator=factset&amp;DYN_ARGS=TRUE&amp;DOC_NAME=FAT:FQL_AUDITING_CLIENT_TEMPLATE.FAT&amp;display_string=Audit&amp;VAR:KEY=NWVWZCFYFY&amp;VAR:QUERY=RkZfRUJJVERBX0lCKCdMVE1TJywzOTEyMCk=&amp;WINDOW=FIRST_POPUP&amp;HEIGHT=450&amp;WIDTH=450&amp;START_MA","XIMIZED=FALSE&amp;VAR:CALENDAR=US&amp;VAR:SYMBOL=04916420&amp;VAR:INDEX=0"}</definedName>
    <definedName name="_1025__FDSAUDITLINK__" localSheetId="6" hidden="1">{"fdsup://directions/FAT%20Viewer?VAR:PED=LTM&amp;VAR:AUDIT_MODE=SUMMARY&amp;VAR:PERIOD=FIXED&amp;VAR:AUDIT_ID=00000117&amp;VAR:DATE=20070503&amp;action=UPDATE&amp;creator=factset&amp;DOC_NAME=FAT:FMA_audit_SUMMARY.fat&amp;DISPLAY_STRING=Display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5__FDSAUDITLINK__" hidden="1">{"fdsup://directions/FAT%20Viewer?VAR:PED=LTM&amp;VAR:AUDIT_MODE=SUMMARY&amp;VAR:PERIOD=FIXED&amp;VAR:AUDIT_ID=00000117&amp;VAR:DATE=20070503&amp;action=UPDATE&amp;creator=factset&amp;DOC_NAME=FAT:FMA_audit_SUMMARY.fat&amp;DISPLAY_STRING=Display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50__FDSAUDITLINK__" localSheetId="6" hidden="1">{"fdsup://directions/FAT Viewer?action=UPDATE&amp;creator=factset&amp;DYN_ARGS=TRUE&amp;DOC_NAME=FAT:FQL_AUDITING_CLIENT_TEMPLATE.FAT&amp;display_string=Audit&amp;VAR:KEY=FQVIPETYBO&amp;VAR:QUERY=RkZfRUJJVERBX0lCKCdMVE1TJywzOTExOSk=&amp;WINDOW=FIRST_POPUP&amp;HEIGHT=450&amp;WIDTH=450&amp;START_MA","XIMIZED=FALSE&amp;VAR:CALENDAR=US&amp;VAR:SYMBOL=04916420&amp;VAR:INDEX=0"}</definedName>
    <definedName name="_10250__FDSAUDITLINK__" hidden="1">{"fdsup://directions/FAT Viewer?action=UPDATE&amp;creator=factset&amp;DYN_ARGS=TRUE&amp;DOC_NAME=FAT:FQL_AUDITING_CLIENT_TEMPLATE.FAT&amp;display_string=Audit&amp;VAR:KEY=FQVIPETYBO&amp;VAR:QUERY=RkZfRUJJVERBX0lCKCdMVE1TJywzOTExOSk=&amp;WINDOW=FIRST_POPUP&amp;HEIGHT=450&amp;WIDTH=450&amp;START_MA","XIMIZED=FALSE&amp;VAR:CALENDAR=US&amp;VAR:SYMBOL=04916420&amp;VAR:INDEX=0"}</definedName>
    <definedName name="_10251__FDSAUDITLINK__" localSheetId="6" hidden="1">{"fdsup://directions/FAT Viewer?action=UPDATE&amp;creator=factset&amp;DYN_ARGS=TRUE&amp;DOC_NAME=FAT:FQL_AUDITING_CLIENT_TEMPLATE.FAT&amp;display_string=Audit&amp;VAR:KEY=FEZMXMLKFO&amp;VAR:QUERY=RkZfRUJJVERBX0lCKCdMVE1TJywzOTExOCk=&amp;WINDOW=FIRST_POPUP&amp;HEIGHT=450&amp;WIDTH=450&amp;START_MA","XIMIZED=FALSE&amp;VAR:CALENDAR=US&amp;VAR:SYMBOL=04916420&amp;VAR:INDEX=0"}</definedName>
    <definedName name="_10251__FDSAUDITLINK__" hidden="1">{"fdsup://directions/FAT Viewer?action=UPDATE&amp;creator=factset&amp;DYN_ARGS=TRUE&amp;DOC_NAME=FAT:FQL_AUDITING_CLIENT_TEMPLATE.FAT&amp;display_string=Audit&amp;VAR:KEY=FEZMXMLKFO&amp;VAR:QUERY=RkZfRUJJVERBX0lCKCdMVE1TJywzOTExOCk=&amp;WINDOW=FIRST_POPUP&amp;HEIGHT=450&amp;WIDTH=450&amp;START_MA","XIMIZED=FALSE&amp;VAR:CALENDAR=US&amp;VAR:SYMBOL=04916420&amp;VAR:INDEX=0"}</definedName>
    <definedName name="_10252__FDSAUDITLINK__" localSheetId="6" hidden="1">{"fdsup://directions/FAT Viewer?action=UPDATE&amp;creator=factset&amp;DYN_ARGS=TRUE&amp;DOC_NAME=FAT:FQL_AUDITING_CLIENT_TEMPLATE.FAT&amp;display_string=Audit&amp;VAR:KEY=NQZYVCTYHG&amp;VAR:QUERY=RkZfRUJJVERBX0lCKCdMVE1TJywzOTExNyk=&amp;WINDOW=FIRST_POPUP&amp;HEIGHT=450&amp;WIDTH=450&amp;START_MA","XIMIZED=FALSE&amp;VAR:CALENDAR=US&amp;VAR:SYMBOL=04916420&amp;VAR:INDEX=0"}</definedName>
    <definedName name="_10252__FDSAUDITLINK__" hidden="1">{"fdsup://directions/FAT Viewer?action=UPDATE&amp;creator=factset&amp;DYN_ARGS=TRUE&amp;DOC_NAME=FAT:FQL_AUDITING_CLIENT_TEMPLATE.FAT&amp;display_string=Audit&amp;VAR:KEY=NQZYVCTYHG&amp;VAR:QUERY=RkZfRUJJVERBX0lCKCdMVE1TJywzOTExNyk=&amp;WINDOW=FIRST_POPUP&amp;HEIGHT=450&amp;WIDTH=450&amp;START_MA","XIMIZED=FALSE&amp;VAR:CALENDAR=US&amp;VAR:SYMBOL=04916420&amp;VAR:INDEX=0"}</definedName>
    <definedName name="_10253__FDSAUDITLINK__" localSheetId="6" hidden="1">{"fdsup://directions/FAT Viewer?action=UPDATE&amp;creator=factset&amp;DYN_ARGS=TRUE&amp;DOC_NAME=FAT:FQL_AUDITING_CLIENT_TEMPLATE.FAT&amp;display_string=Audit&amp;VAR:KEY=BGFMFUPSPI&amp;VAR:QUERY=RkZfRUJJVERBX0lCKCdMVE1TJywzOTExNik=&amp;WINDOW=FIRST_POPUP&amp;HEIGHT=450&amp;WIDTH=450&amp;START_MA","XIMIZED=FALSE&amp;VAR:CALENDAR=US&amp;VAR:SYMBOL=04916420&amp;VAR:INDEX=0"}</definedName>
    <definedName name="_10253__FDSAUDITLINK__" hidden="1">{"fdsup://directions/FAT Viewer?action=UPDATE&amp;creator=factset&amp;DYN_ARGS=TRUE&amp;DOC_NAME=FAT:FQL_AUDITING_CLIENT_TEMPLATE.FAT&amp;display_string=Audit&amp;VAR:KEY=BGFMFUPSPI&amp;VAR:QUERY=RkZfRUJJVERBX0lCKCdMVE1TJywzOTExNik=&amp;WINDOW=FIRST_POPUP&amp;HEIGHT=450&amp;WIDTH=450&amp;START_MA","XIMIZED=FALSE&amp;VAR:CALENDAR=US&amp;VAR:SYMBOL=04916420&amp;VAR:INDEX=0"}</definedName>
    <definedName name="_10254__FDSAUDITLINK__" localSheetId="6" hidden="1">{"fdsup://directions/FAT Viewer?action=UPDATE&amp;creator=factset&amp;DYN_ARGS=TRUE&amp;DOC_NAME=FAT:FQL_AUDITING_CLIENT_TEMPLATE.FAT&amp;display_string=Audit&amp;VAR:KEY=ZWFCHGTMLU&amp;VAR:QUERY=RkZfRUJJVERBX0lCKCdMVE1TJywzOTExNSk=&amp;WINDOW=FIRST_POPUP&amp;HEIGHT=450&amp;WIDTH=450&amp;START_MA","XIMIZED=FALSE&amp;VAR:CALENDAR=US&amp;VAR:SYMBOL=04916420&amp;VAR:INDEX=0"}</definedName>
    <definedName name="_10254__FDSAUDITLINK__" hidden="1">{"fdsup://directions/FAT Viewer?action=UPDATE&amp;creator=factset&amp;DYN_ARGS=TRUE&amp;DOC_NAME=FAT:FQL_AUDITING_CLIENT_TEMPLATE.FAT&amp;display_string=Audit&amp;VAR:KEY=ZWFCHGTMLU&amp;VAR:QUERY=RkZfRUJJVERBX0lCKCdMVE1TJywzOTExNSk=&amp;WINDOW=FIRST_POPUP&amp;HEIGHT=450&amp;WIDTH=450&amp;START_MA","XIMIZED=FALSE&amp;VAR:CALENDAR=US&amp;VAR:SYMBOL=04916420&amp;VAR:INDEX=0"}</definedName>
    <definedName name="_10255__FDSAUDITLINK__" localSheetId="6" hidden="1">{"fdsup://directions/FAT Viewer?action=UPDATE&amp;creator=factset&amp;DYN_ARGS=TRUE&amp;DOC_NAME=FAT:FQL_AUDITING_CLIENT_TEMPLATE.FAT&amp;display_string=Audit&amp;VAR:KEY=FEDIHKDIDA&amp;VAR:QUERY=RkZfRUJJVERBX0lCKCdMVE1TJywzOTExNCk=&amp;WINDOW=FIRST_POPUP&amp;HEIGHT=450&amp;WIDTH=450&amp;START_MA","XIMIZED=FALSE&amp;VAR:CALENDAR=US&amp;VAR:SYMBOL=04916420&amp;VAR:INDEX=0"}</definedName>
    <definedName name="_10255__FDSAUDITLINK__" hidden="1">{"fdsup://directions/FAT Viewer?action=UPDATE&amp;creator=factset&amp;DYN_ARGS=TRUE&amp;DOC_NAME=FAT:FQL_AUDITING_CLIENT_TEMPLATE.FAT&amp;display_string=Audit&amp;VAR:KEY=FEDIHKDIDA&amp;VAR:QUERY=RkZfRUJJVERBX0lCKCdMVE1TJywzOTExNCk=&amp;WINDOW=FIRST_POPUP&amp;HEIGHT=450&amp;WIDTH=450&amp;START_MA","XIMIZED=FALSE&amp;VAR:CALENDAR=US&amp;VAR:SYMBOL=04916420&amp;VAR:INDEX=0"}</definedName>
    <definedName name="_10256__FDSAUDITLINK__" localSheetId="6" hidden="1">{"fdsup://directions/FAT Viewer?action=UPDATE&amp;creator=factset&amp;DYN_ARGS=TRUE&amp;DOC_NAME=FAT:FQL_AUDITING_CLIENT_TEMPLATE.FAT&amp;display_string=Audit&amp;VAR:KEY=RKBYLKRQDQ&amp;VAR:QUERY=RkZfRUJJVERBX0lCKCdMVE1TJywzOTExMyk=&amp;WINDOW=FIRST_POPUP&amp;HEIGHT=450&amp;WIDTH=450&amp;START_MA","XIMIZED=FALSE&amp;VAR:CALENDAR=US&amp;VAR:SYMBOL=04916420&amp;VAR:INDEX=0"}</definedName>
    <definedName name="_10256__FDSAUDITLINK__" hidden="1">{"fdsup://directions/FAT Viewer?action=UPDATE&amp;creator=factset&amp;DYN_ARGS=TRUE&amp;DOC_NAME=FAT:FQL_AUDITING_CLIENT_TEMPLATE.FAT&amp;display_string=Audit&amp;VAR:KEY=RKBYLKRQDQ&amp;VAR:QUERY=RkZfRUJJVERBX0lCKCdMVE1TJywzOTExMyk=&amp;WINDOW=FIRST_POPUP&amp;HEIGHT=450&amp;WIDTH=450&amp;START_MA","XIMIZED=FALSE&amp;VAR:CALENDAR=US&amp;VAR:SYMBOL=04916420&amp;VAR:INDEX=0"}</definedName>
    <definedName name="_10257__FDSAUDITLINK__" localSheetId="6" hidden="1">{"fdsup://directions/FAT Viewer?action=UPDATE&amp;creator=factset&amp;DYN_ARGS=TRUE&amp;DOC_NAME=FAT:FQL_AUDITING_CLIENT_TEMPLATE.FAT&amp;display_string=Audit&amp;VAR:KEY=ROPYFMLUTM&amp;VAR:QUERY=RkZfRUJJVERBX0lCKCdMVE1TJywzOTExMik=&amp;WINDOW=FIRST_POPUP&amp;HEIGHT=450&amp;WIDTH=450&amp;START_MA","XIMIZED=FALSE&amp;VAR:CALENDAR=US&amp;VAR:SYMBOL=04916420&amp;VAR:INDEX=0"}</definedName>
    <definedName name="_10257__FDSAUDITLINK__" hidden="1">{"fdsup://directions/FAT Viewer?action=UPDATE&amp;creator=factset&amp;DYN_ARGS=TRUE&amp;DOC_NAME=FAT:FQL_AUDITING_CLIENT_TEMPLATE.FAT&amp;display_string=Audit&amp;VAR:KEY=ROPYFMLUTM&amp;VAR:QUERY=RkZfRUJJVERBX0lCKCdMVE1TJywzOTExMik=&amp;WINDOW=FIRST_POPUP&amp;HEIGHT=450&amp;WIDTH=450&amp;START_MA","XIMIZED=FALSE&amp;VAR:CALENDAR=US&amp;VAR:SYMBOL=04916420&amp;VAR:INDEX=0"}</definedName>
    <definedName name="_10258__FDSAUDITLINK__" localSheetId="6" hidden="1">{"fdsup://directions/FAT Viewer?action=UPDATE&amp;creator=factset&amp;DYN_ARGS=TRUE&amp;DOC_NAME=FAT:FQL_AUDITING_CLIENT_TEMPLATE.FAT&amp;display_string=Audit&amp;VAR:KEY=BWLGZWZCDQ&amp;VAR:QUERY=RkZfRUJJVERBX0lCKCdMVE1TJywzOTExMSk=&amp;WINDOW=FIRST_POPUP&amp;HEIGHT=450&amp;WIDTH=450&amp;START_MA","XIMIZED=FALSE&amp;VAR:CALENDAR=US&amp;VAR:SYMBOL=04916420&amp;VAR:INDEX=0"}</definedName>
    <definedName name="_10258__FDSAUDITLINK__" hidden="1">{"fdsup://directions/FAT Viewer?action=UPDATE&amp;creator=factset&amp;DYN_ARGS=TRUE&amp;DOC_NAME=FAT:FQL_AUDITING_CLIENT_TEMPLATE.FAT&amp;display_string=Audit&amp;VAR:KEY=BWLGZWZCDQ&amp;VAR:QUERY=RkZfRUJJVERBX0lCKCdMVE1TJywzOTExMSk=&amp;WINDOW=FIRST_POPUP&amp;HEIGHT=450&amp;WIDTH=450&amp;START_MA","XIMIZED=FALSE&amp;VAR:CALENDAR=US&amp;VAR:SYMBOL=04916420&amp;VAR:INDEX=0"}</definedName>
    <definedName name="_10259__FDSAUDITLINK__" localSheetId="6" hidden="1">{"fdsup://directions/FAT Viewer?action=UPDATE&amp;creator=factset&amp;DYN_ARGS=TRUE&amp;DOC_NAME=FAT:FQL_AUDITING_CLIENT_TEMPLATE.FAT&amp;display_string=Audit&amp;VAR:KEY=BWFKRGFKZQ&amp;VAR:QUERY=RkZfRUJJVERBX0lCKCdMVE1TJywzOTExMCk=&amp;WINDOW=FIRST_POPUP&amp;HEIGHT=450&amp;WIDTH=450&amp;START_MA","XIMIZED=FALSE&amp;VAR:CALENDAR=US&amp;VAR:SYMBOL=04916420&amp;VAR:INDEX=0"}</definedName>
    <definedName name="_10259__FDSAUDITLINK__" hidden="1">{"fdsup://directions/FAT Viewer?action=UPDATE&amp;creator=factset&amp;DYN_ARGS=TRUE&amp;DOC_NAME=FAT:FQL_AUDITING_CLIENT_TEMPLATE.FAT&amp;display_string=Audit&amp;VAR:KEY=BWFKRGFKZQ&amp;VAR:QUERY=RkZfRUJJVERBX0lCKCdMVE1TJywzOTExMCk=&amp;WINDOW=FIRST_POPUP&amp;HEIGHT=450&amp;WIDTH=450&amp;START_MA","XIMIZED=FALSE&amp;VAR:CALENDAR=US&amp;VAR:SYMBOL=04916420&amp;VAR:INDEX=0"}</definedName>
    <definedName name="_1026__FDSAUDITLINK__" localSheetId="6" hidden="1">{"fdsup://directions/FAT%20Viewer?VAR:PED=LTM&amp;VAR:AUDIT_MODE=SUMMARY&amp;VAR:PERIOD=FIXED&amp;VAR:AUDIT_ID=00000117&amp;VAR:DATE=20070502&amp;action=UPDATE&amp;creator=factset&amp;DOC_NAME=FAT:FMA_audit_SUMMARY.fat&amp;DISPLAY_STRING=Display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6__FDSAUDITLINK__" hidden="1">{"fdsup://directions/FAT%20Viewer?VAR:PED=LTM&amp;VAR:AUDIT_MODE=SUMMARY&amp;VAR:PERIOD=FIXED&amp;VAR:AUDIT_ID=00000117&amp;VAR:DATE=20070502&amp;action=UPDATE&amp;creator=factset&amp;DOC_NAME=FAT:FMA_audit_SUMMARY.fat&amp;DISPLAY_STRING=Display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60__FDSAUDITLINK__" localSheetId="6" hidden="1">{"fdsup://directions/FAT Viewer?action=UPDATE&amp;creator=factset&amp;DYN_ARGS=TRUE&amp;DOC_NAME=FAT:FQL_AUDITING_CLIENT_TEMPLATE.FAT&amp;display_string=Audit&amp;VAR:KEY=PYPQPQLGDI&amp;VAR:QUERY=RkZfRUJJVERBX0lCKCdMVE1TJywzOTEwOSk=&amp;WINDOW=FIRST_POPUP&amp;HEIGHT=450&amp;WIDTH=450&amp;START_MA","XIMIZED=FALSE&amp;VAR:CALENDAR=US&amp;VAR:SYMBOL=04916420&amp;VAR:INDEX=0"}</definedName>
    <definedName name="_10260__FDSAUDITLINK__" hidden="1">{"fdsup://directions/FAT Viewer?action=UPDATE&amp;creator=factset&amp;DYN_ARGS=TRUE&amp;DOC_NAME=FAT:FQL_AUDITING_CLIENT_TEMPLATE.FAT&amp;display_string=Audit&amp;VAR:KEY=PYPQPQLGDI&amp;VAR:QUERY=RkZfRUJJVERBX0lCKCdMVE1TJywzOTEwOSk=&amp;WINDOW=FIRST_POPUP&amp;HEIGHT=450&amp;WIDTH=450&amp;START_MA","XIMIZED=FALSE&amp;VAR:CALENDAR=US&amp;VAR:SYMBOL=04916420&amp;VAR:INDEX=0"}</definedName>
    <definedName name="_10261__FDSAUDITLINK__" localSheetId="6" hidden="1">{"fdsup://directions/FAT Viewer?action=UPDATE&amp;creator=factset&amp;DYN_ARGS=TRUE&amp;DOC_NAME=FAT:FQL_AUDITING_CLIENT_TEMPLATE.FAT&amp;display_string=Audit&amp;VAR:KEY=FQZGVITADU&amp;VAR:QUERY=RkZfRUJJVERBX0lCKCdMVE1TJywzOTEwOCk=&amp;WINDOW=FIRST_POPUP&amp;HEIGHT=450&amp;WIDTH=450&amp;START_MA","XIMIZED=FALSE&amp;VAR:CALENDAR=US&amp;VAR:SYMBOL=04916420&amp;VAR:INDEX=0"}</definedName>
    <definedName name="_10261__FDSAUDITLINK__" hidden="1">{"fdsup://directions/FAT Viewer?action=UPDATE&amp;creator=factset&amp;DYN_ARGS=TRUE&amp;DOC_NAME=FAT:FQL_AUDITING_CLIENT_TEMPLATE.FAT&amp;display_string=Audit&amp;VAR:KEY=FQZGVITADU&amp;VAR:QUERY=RkZfRUJJVERBX0lCKCdMVE1TJywzOTEwOCk=&amp;WINDOW=FIRST_POPUP&amp;HEIGHT=450&amp;WIDTH=450&amp;START_MA","XIMIZED=FALSE&amp;VAR:CALENDAR=US&amp;VAR:SYMBOL=04916420&amp;VAR:INDEX=0"}</definedName>
    <definedName name="_10262__FDSAUDITLINK__" localSheetId="6" hidden="1">{"fdsup://directions/FAT Viewer?action=UPDATE&amp;creator=factset&amp;DYN_ARGS=TRUE&amp;DOC_NAME=FAT:FQL_AUDITING_CLIENT_TEMPLATE.FAT&amp;display_string=Audit&amp;VAR:KEY=HOJKREBUTE&amp;VAR:QUERY=RkZfRUJJVERBX0lCKCdMVE1TJywzOTEwNyk=&amp;WINDOW=FIRST_POPUP&amp;HEIGHT=450&amp;WIDTH=450&amp;START_MA","XIMIZED=FALSE&amp;VAR:CALENDAR=US&amp;VAR:SYMBOL=04916420&amp;VAR:INDEX=0"}</definedName>
    <definedName name="_10262__FDSAUDITLINK__" hidden="1">{"fdsup://directions/FAT Viewer?action=UPDATE&amp;creator=factset&amp;DYN_ARGS=TRUE&amp;DOC_NAME=FAT:FQL_AUDITING_CLIENT_TEMPLATE.FAT&amp;display_string=Audit&amp;VAR:KEY=HOJKREBUTE&amp;VAR:QUERY=RkZfRUJJVERBX0lCKCdMVE1TJywzOTEwNyk=&amp;WINDOW=FIRST_POPUP&amp;HEIGHT=450&amp;WIDTH=450&amp;START_MA","XIMIZED=FALSE&amp;VAR:CALENDAR=US&amp;VAR:SYMBOL=04916420&amp;VAR:INDEX=0"}</definedName>
    <definedName name="_10263__FDSAUDITLINK__" localSheetId="6" hidden="1">{"fdsup://directions/FAT Viewer?action=UPDATE&amp;creator=factset&amp;DYN_ARGS=TRUE&amp;DOC_NAME=FAT:FQL_AUDITING_CLIENT_TEMPLATE.FAT&amp;display_string=Audit&amp;VAR:KEY=HKRQVWNYBY&amp;VAR:QUERY=RkZfRUJJVERBX0lCKCdMVE1TJywzOTEwNik=&amp;WINDOW=FIRST_POPUP&amp;HEIGHT=450&amp;WIDTH=450&amp;START_MA","XIMIZED=FALSE&amp;VAR:CALENDAR=US&amp;VAR:SYMBOL=04916420&amp;VAR:INDEX=0"}</definedName>
    <definedName name="_10263__FDSAUDITLINK__" hidden="1">{"fdsup://directions/FAT Viewer?action=UPDATE&amp;creator=factset&amp;DYN_ARGS=TRUE&amp;DOC_NAME=FAT:FQL_AUDITING_CLIENT_TEMPLATE.FAT&amp;display_string=Audit&amp;VAR:KEY=HKRQVWNYBY&amp;VAR:QUERY=RkZfRUJJVERBX0lCKCdMVE1TJywzOTEwNik=&amp;WINDOW=FIRST_POPUP&amp;HEIGHT=450&amp;WIDTH=450&amp;START_MA","XIMIZED=FALSE&amp;VAR:CALENDAR=US&amp;VAR:SYMBOL=04916420&amp;VAR:INDEX=0"}</definedName>
    <definedName name="_10264__FDSAUDITLINK__" localSheetId="6" hidden="1">{"fdsup://directions/FAT Viewer?action=UPDATE&amp;creator=factset&amp;DYN_ARGS=TRUE&amp;DOC_NAME=FAT:FQL_AUDITING_CLIENT_TEMPLATE.FAT&amp;display_string=Audit&amp;VAR:KEY=ZAFSRSTQJK&amp;VAR:QUERY=RkZfRUJJVERBX0lCKCdMVE1TJywzOTEwNSk=&amp;WINDOW=FIRST_POPUP&amp;HEIGHT=450&amp;WIDTH=450&amp;START_MA","XIMIZED=FALSE&amp;VAR:CALENDAR=US&amp;VAR:SYMBOL=04916420&amp;VAR:INDEX=0"}</definedName>
    <definedName name="_10264__FDSAUDITLINK__" hidden="1">{"fdsup://directions/FAT Viewer?action=UPDATE&amp;creator=factset&amp;DYN_ARGS=TRUE&amp;DOC_NAME=FAT:FQL_AUDITING_CLIENT_TEMPLATE.FAT&amp;display_string=Audit&amp;VAR:KEY=ZAFSRSTQJK&amp;VAR:QUERY=RkZfRUJJVERBX0lCKCdMVE1TJywzOTEwNSk=&amp;WINDOW=FIRST_POPUP&amp;HEIGHT=450&amp;WIDTH=450&amp;START_MA","XIMIZED=FALSE&amp;VAR:CALENDAR=US&amp;VAR:SYMBOL=04916420&amp;VAR:INDEX=0"}</definedName>
    <definedName name="_10265__FDSAUDITLINK__" localSheetId="6" hidden="1">{"fdsup://directions/FAT Viewer?action=UPDATE&amp;creator=factset&amp;DYN_ARGS=TRUE&amp;DOC_NAME=FAT:FQL_AUDITING_CLIENT_TEMPLATE.FAT&amp;display_string=Audit&amp;VAR:KEY=TWJSFGLMPI&amp;VAR:QUERY=RkZfRUJJVERBX0lCKCdMVE1TJywzOTEwNCk=&amp;WINDOW=FIRST_POPUP&amp;HEIGHT=450&amp;WIDTH=450&amp;START_MA","XIMIZED=FALSE&amp;VAR:CALENDAR=US&amp;VAR:SYMBOL=04916420&amp;VAR:INDEX=0"}</definedName>
    <definedName name="_10265__FDSAUDITLINK__" hidden="1">{"fdsup://directions/FAT Viewer?action=UPDATE&amp;creator=factset&amp;DYN_ARGS=TRUE&amp;DOC_NAME=FAT:FQL_AUDITING_CLIENT_TEMPLATE.FAT&amp;display_string=Audit&amp;VAR:KEY=TWJSFGLMPI&amp;VAR:QUERY=RkZfRUJJVERBX0lCKCdMVE1TJywzOTEwNCk=&amp;WINDOW=FIRST_POPUP&amp;HEIGHT=450&amp;WIDTH=450&amp;START_MA","XIMIZED=FALSE&amp;VAR:CALENDAR=US&amp;VAR:SYMBOL=04916420&amp;VAR:INDEX=0"}</definedName>
    <definedName name="_10266__FDSAUDITLINK__" localSheetId="6" hidden="1">{"fdsup://directions/FAT Viewer?action=UPDATE&amp;creator=factset&amp;DYN_ARGS=TRUE&amp;DOC_NAME=FAT:FQL_AUDITING_CLIENT_TEMPLATE.FAT&amp;display_string=Audit&amp;VAR:KEY=JQHQTQPKRQ&amp;VAR:QUERY=RkZfRUJJVERBX0lCKCdMVE1TJywzOTEwMyk=&amp;WINDOW=FIRST_POPUP&amp;HEIGHT=450&amp;WIDTH=450&amp;START_MA","XIMIZED=FALSE&amp;VAR:CALENDAR=US&amp;VAR:SYMBOL=04916420&amp;VAR:INDEX=0"}</definedName>
    <definedName name="_10266__FDSAUDITLINK__" hidden="1">{"fdsup://directions/FAT Viewer?action=UPDATE&amp;creator=factset&amp;DYN_ARGS=TRUE&amp;DOC_NAME=FAT:FQL_AUDITING_CLIENT_TEMPLATE.FAT&amp;display_string=Audit&amp;VAR:KEY=JQHQTQPKRQ&amp;VAR:QUERY=RkZfRUJJVERBX0lCKCdMVE1TJywzOTEwMyk=&amp;WINDOW=FIRST_POPUP&amp;HEIGHT=450&amp;WIDTH=450&amp;START_MA","XIMIZED=FALSE&amp;VAR:CALENDAR=US&amp;VAR:SYMBOL=04916420&amp;VAR:INDEX=0"}</definedName>
    <definedName name="_10267__FDSAUDITLINK__" localSheetId="6" hidden="1">{"fdsup://directions/FAT Viewer?action=UPDATE&amp;creator=factset&amp;DYN_ARGS=TRUE&amp;DOC_NAME=FAT:FQL_AUDITING_CLIENT_TEMPLATE.FAT&amp;display_string=Audit&amp;VAR:KEY=BAFCPSBWFU&amp;VAR:QUERY=RkZfRUJJVERBX0lCKCdMVE1TJywzOTEwMik=&amp;WINDOW=FIRST_POPUP&amp;HEIGHT=450&amp;WIDTH=450&amp;START_MA","XIMIZED=FALSE&amp;VAR:CALENDAR=US&amp;VAR:SYMBOL=04916420&amp;VAR:INDEX=0"}</definedName>
    <definedName name="_10267__FDSAUDITLINK__" hidden="1">{"fdsup://directions/FAT Viewer?action=UPDATE&amp;creator=factset&amp;DYN_ARGS=TRUE&amp;DOC_NAME=FAT:FQL_AUDITING_CLIENT_TEMPLATE.FAT&amp;display_string=Audit&amp;VAR:KEY=BAFCPSBWFU&amp;VAR:QUERY=RkZfRUJJVERBX0lCKCdMVE1TJywzOTEwMik=&amp;WINDOW=FIRST_POPUP&amp;HEIGHT=450&amp;WIDTH=450&amp;START_MA","XIMIZED=FALSE&amp;VAR:CALENDAR=US&amp;VAR:SYMBOL=04916420&amp;VAR:INDEX=0"}</definedName>
    <definedName name="_10268__FDSAUDITLINK__" localSheetId="6" hidden="1">{"fdsup://directions/FAT Viewer?action=UPDATE&amp;creator=factset&amp;DYN_ARGS=TRUE&amp;DOC_NAME=FAT:FQL_AUDITING_CLIENT_TEMPLATE.FAT&amp;display_string=Audit&amp;VAR:KEY=LETGHSZSPQ&amp;VAR:QUERY=RkZfRUJJVERBX0lCKCdMVE1TJywzOTEwMSk=&amp;WINDOW=FIRST_POPUP&amp;HEIGHT=450&amp;WIDTH=450&amp;START_MA","XIMIZED=FALSE&amp;VAR:CALENDAR=US&amp;VAR:SYMBOL=04916420&amp;VAR:INDEX=0"}</definedName>
    <definedName name="_10268__FDSAUDITLINK__" hidden="1">{"fdsup://directions/FAT Viewer?action=UPDATE&amp;creator=factset&amp;DYN_ARGS=TRUE&amp;DOC_NAME=FAT:FQL_AUDITING_CLIENT_TEMPLATE.FAT&amp;display_string=Audit&amp;VAR:KEY=LETGHSZSPQ&amp;VAR:QUERY=RkZfRUJJVERBX0lCKCdMVE1TJywzOTEwMSk=&amp;WINDOW=FIRST_POPUP&amp;HEIGHT=450&amp;WIDTH=450&amp;START_MA","XIMIZED=FALSE&amp;VAR:CALENDAR=US&amp;VAR:SYMBOL=04916420&amp;VAR:INDEX=0"}</definedName>
    <definedName name="_10269__FDSAUDITLINK__" localSheetId="6" hidden="1">{"fdsup://directions/FAT Viewer?action=UPDATE&amp;creator=factset&amp;DYN_ARGS=TRUE&amp;DOC_NAME=FAT:FQL_AUDITING_CLIENT_TEMPLATE.FAT&amp;display_string=Audit&amp;VAR:KEY=XUNYRMJOTI&amp;VAR:QUERY=RkZfRUJJVERBX0lCKCdMVE1TJywzOTEwMCk=&amp;WINDOW=FIRST_POPUP&amp;HEIGHT=450&amp;WIDTH=450&amp;START_MA","XIMIZED=FALSE&amp;VAR:CALENDAR=US&amp;VAR:SYMBOL=04916420&amp;VAR:INDEX=0"}</definedName>
    <definedName name="_10269__FDSAUDITLINK__" hidden="1">{"fdsup://directions/FAT Viewer?action=UPDATE&amp;creator=factset&amp;DYN_ARGS=TRUE&amp;DOC_NAME=FAT:FQL_AUDITING_CLIENT_TEMPLATE.FAT&amp;display_string=Audit&amp;VAR:KEY=XUNYRMJOTI&amp;VAR:QUERY=RkZfRUJJVERBX0lCKCdMVE1TJywzOTEwMCk=&amp;WINDOW=FIRST_POPUP&amp;HEIGHT=450&amp;WIDTH=450&amp;START_MA","XIMIZED=FALSE&amp;VAR:CALENDAR=US&amp;VAR:SYMBOL=04916420&amp;VAR:INDEX=0"}</definedName>
    <definedName name="_1027__FDSAUDITLINK__" localSheetId="6" hidden="1">{"fdsup://directions/FAT%20Viewer?VAR:PED=LTM&amp;VAR:AUDIT_MODE=SUMMARY&amp;VAR:PERIOD=FIXED&amp;VAR:AUDIT_ID=00000117&amp;VAR:DATE=20070501&amp;action=UPDATE&amp;creator=factset&amp;DOC_NAME=FAT:FMA_audit_SUMMARY.fat&amp;DISPLAY_STRING=Display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7__FDSAUDITLINK__" hidden="1">{"fdsup://directions/FAT%20Viewer?VAR:PED=LTM&amp;VAR:AUDIT_MODE=SUMMARY&amp;VAR:PERIOD=FIXED&amp;VAR:AUDIT_ID=00000117&amp;VAR:DATE=20070501&amp;action=UPDATE&amp;creator=factset&amp;DOC_NAME=FAT:FMA_audit_SUMMARY.fat&amp;DISPLAY_STRING=Display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70__FDSAUDITLINK__" localSheetId="6" hidden="1">{"fdsup://directions/FAT Viewer?action=UPDATE&amp;creator=factset&amp;DYN_ARGS=TRUE&amp;DOC_NAME=FAT:FQL_AUDITING_CLIENT_TEMPLATE.FAT&amp;display_string=Audit&amp;VAR:KEY=HYFKZOTEVQ&amp;VAR:QUERY=RkZfRUJJVERBX0lCKCdMVE1TJywzOTA5OSk=&amp;WINDOW=FIRST_POPUP&amp;HEIGHT=450&amp;WIDTH=450&amp;START_MA","XIMIZED=FALSE&amp;VAR:CALENDAR=US&amp;VAR:SYMBOL=04916420&amp;VAR:INDEX=0"}</definedName>
    <definedName name="_10270__FDSAUDITLINK__" hidden="1">{"fdsup://directions/FAT Viewer?action=UPDATE&amp;creator=factset&amp;DYN_ARGS=TRUE&amp;DOC_NAME=FAT:FQL_AUDITING_CLIENT_TEMPLATE.FAT&amp;display_string=Audit&amp;VAR:KEY=HYFKZOTEVQ&amp;VAR:QUERY=RkZfRUJJVERBX0lCKCdMVE1TJywzOTA5OSk=&amp;WINDOW=FIRST_POPUP&amp;HEIGHT=450&amp;WIDTH=450&amp;START_MA","XIMIZED=FALSE&amp;VAR:CALENDAR=US&amp;VAR:SYMBOL=04916420&amp;VAR:INDEX=0"}</definedName>
    <definedName name="_10271__FDSAUDITLINK__" localSheetId="6" hidden="1">{"fdsup://directions/FAT Viewer?action=UPDATE&amp;creator=factset&amp;DYN_ARGS=TRUE&amp;DOC_NAME=FAT:FQL_AUDITING_CLIENT_TEMPLATE.FAT&amp;display_string=Audit&amp;VAR:KEY=NAXUHWLODK&amp;VAR:QUERY=RkZfRUJJVERBX0lCKCdMVE1TJywzOTA5OCk=&amp;WINDOW=FIRST_POPUP&amp;HEIGHT=450&amp;WIDTH=450&amp;START_MA","XIMIZED=FALSE&amp;VAR:CALENDAR=US&amp;VAR:SYMBOL=04916420&amp;VAR:INDEX=0"}</definedName>
    <definedName name="_10271__FDSAUDITLINK__" hidden="1">{"fdsup://directions/FAT Viewer?action=UPDATE&amp;creator=factset&amp;DYN_ARGS=TRUE&amp;DOC_NAME=FAT:FQL_AUDITING_CLIENT_TEMPLATE.FAT&amp;display_string=Audit&amp;VAR:KEY=NAXUHWLODK&amp;VAR:QUERY=RkZfRUJJVERBX0lCKCdMVE1TJywzOTA5OCk=&amp;WINDOW=FIRST_POPUP&amp;HEIGHT=450&amp;WIDTH=450&amp;START_MA","XIMIZED=FALSE&amp;VAR:CALENDAR=US&amp;VAR:SYMBOL=04916420&amp;VAR:INDEX=0"}</definedName>
    <definedName name="_10272__FDSAUDITLINK__" localSheetId="6" hidden="1">{"fdsup://directions/FAT Viewer?action=UPDATE&amp;creator=factset&amp;DYN_ARGS=TRUE&amp;DOC_NAME=FAT:FQL_AUDITING_CLIENT_TEMPLATE.FAT&amp;display_string=Audit&amp;VAR:KEY=HEJCZAZOHU&amp;VAR:QUERY=RkZfRUJJVERBX0lCKCdMVE1TJywzOTA5Nyk=&amp;WINDOW=FIRST_POPUP&amp;HEIGHT=450&amp;WIDTH=450&amp;START_MA","XIMIZED=FALSE&amp;VAR:CALENDAR=US&amp;VAR:SYMBOL=04916420&amp;VAR:INDEX=0"}</definedName>
    <definedName name="_10272__FDSAUDITLINK__" hidden="1">{"fdsup://directions/FAT Viewer?action=UPDATE&amp;creator=factset&amp;DYN_ARGS=TRUE&amp;DOC_NAME=FAT:FQL_AUDITING_CLIENT_TEMPLATE.FAT&amp;display_string=Audit&amp;VAR:KEY=HEJCZAZOHU&amp;VAR:QUERY=RkZfRUJJVERBX0lCKCdMVE1TJywzOTA5Nyk=&amp;WINDOW=FIRST_POPUP&amp;HEIGHT=450&amp;WIDTH=450&amp;START_MA","XIMIZED=FALSE&amp;VAR:CALENDAR=US&amp;VAR:SYMBOL=04916420&amp;VAR:INDEX=0"}</definedName>
    <definedName name="_10273__FDSAUDITLINK__" localSheetId="6" hidden="1">{"fdsup://directions/FAT Viewer?action=UPDATE&amp;creator=factset&amp;DYN_ARGS=TRUE&amp;DOC_NAME=FAT:FQL_AUDITING_CLIENT_TEMPLATE.FAT&amp;display_string=Audit&amp;VAR:KEY=JCVUDSTQFQ&amp;VAR:QUERY=RkZfRUJJVERBX0lCKCdMVE1TJywzOTA5Nik=&amp;WINDOW=FIRST_POPUP&amp;HEIGHT=450&amp;WIDTH=450&amp;START_MA","XIMIZED=FALSE&amp;VAR:CALENDAR=US&amp;VAR:SYMBOL=04916420&amp;VAR:INDEX=0"}</definedName>
    <definedName name="_10273__FDSAUDITLINK__" hidden="1">{"fdsup://directions/FAT Viewer?action=UPDATE&amp;creator=factset&amp;DYN_ARGS=TRUE&amp;DOC_NAME=FAT:FQL_AUDITING_CLIENT_TEMPLATE.FAT&amp;display_string=Audit&amp;VAR:KEY=JCVUDSTQFQ&amp;VAR:QUERY=RkZfRUJJVERBX0lCKCdMVE1TJywzOTA5Nik=&amp;WINDOW=FIRST_POPUP&amp;HEIGHT=450&amp;WIDTH=450&amp;START_MA","XIMIZED=FALSE&amp;VAR:CALENDAR=US&amp;VAR:SYMBOL=04916420&amp;VAR:INDEX=0"}</definedName>
    <definedName name="_10274__FDSAUDITLINK__" localSheetId="6" hidden="1">{"fdsup://directions/FAT Viewer?action=UPDATE&amp;creator=factset&amp;DYN_ARGS=TRUE&amp;DOC_NAME=FAT:FQL_AUDITING_CLIENT_TEMPLATE.FAT&amp;display_string=Audit&amp;VAR:KEY=PARWTQXQLA&amp;VAR:QUERY=RkZfRUJJVERBX0lCKCdMVE1TJywzOTA5NSk=&amp;WINDOW=FIRST_POPUP&amp;HEIGHT=450&amp;WIDTH=450&amp;START_MA","XIMIZED=FALSE&amp;VAR:CALENDAR=US&amp;VAR:SYMBOL=04916420&amp;VAR:INDEX=0"}</definedName>
    <definedName name="_10274__FDSAUDITLINK__" hidden="1">{"fdsup://directions/FAT Viewer?action=UPDATE&amp;creator=factset&amp;DYN_ARGS=TRUE&amp;DOC_NAME=FAT:FQL_AUDITING_CLIENT_TEMPLATE.FAT&amp;display_string=Audit&amp;VAR:KEY=PARWTQXQLA&amp;VAR:QUERY=RkZfRUJJVERBX0lCKCdMVE1TJywzOTA5NSk=&amp;WINDOW=FIRST_POPUP&amp;HEIGHT=450&amp;WIDTH=450&amp;START_MA","XIMIZED=FALSE&amp;VAR:CALENDAR=US&amp;VAR:SYMBOL=04916420&amp;VAR:INDEX=0"}</definedName>
    <definedName name="_10275__FDSAUDITLINK__" localSheetId="6" hidden="1">{"fdsup://directions/FAT Viewer?action=UPDATE&amp;creator=factset&amp;DYN_ARGS=TRUE&amp;DOC_NAME=FAT:FQL_AUDITING_CLIENT_TEMPLATE.FAT&amp;display_string=Audit&amp;VAR:KEY=TILWBOXQDQ&amp;VAR:QUERY=RkZfRUJJVERBX0lCKCdMVE1TJywzOTA5NCk=&amp;WINDOW=FIRST_POPUP&amp;HEIGHT=450&amp;WIDTH=450&amp;START_MA","XIMIZED=FALSE&amp;VAR:CALENDAR=US&amp;VAR:SYMBOL=04916420&amp;VAR:INDEX=0"}</definedName>
    <definedName name="_10275__FDSAUDITLINK__" hidden="1">{"fdsup://directions/FAT Viewer?action=UPDATE&amp;creator=factset&amp;DYN_ARGS=TRUE&amp;DOC_NAME=FAT:FQL_AUDITING_CLIENT_TEMPLATE.FAT&amp;display_string=Audit&amp;VAR:KEY=TILWBOXQDQ&amp;VAR:QUERY=RkZfRUJJVERBX0lCKCdMVE1TJywzOTA5NCk=&amp;WINDOW=FIRST_POPUP&amp;HEIGHT=450&amp;WIDTH=450&amp;START_MA","XIMIZED=FALSE&amp;VAR:CALENDAR=US&amp;VAR:SYMBOL=04916420&amp;VAR:INDEX=0"}</definedName>
    <definedName name="_10276__FDSAUDITLINK__" localSheetId="6" hidden="1">{"fdsup://directions/FAT Viewer?action=UPDATE&amp;creator=factset&amp;DYN_ARGS=TRUE&amp;DOC_NAME=FAT:FQL_AUDITING_CLIENT_TEMPLATE.FAT&amp;display_string=Audit&amp;VAR:KEY=XGLAFSDUNW&amp;VAR:QUERY=RkZfRUJJVERBX0lCKCdMVE1TJywzOTA5Myk=&amp;WINDOW=FIRST_POPUP&amp;HEIGHT=450&amp;WIDTH=450&amp;START_MA","XIMIZED=FALSE&amp;VAR:CALENDAR=US&amp;VAR:SYMBOL=04916420&amp;VAR:INDEX=0"}</definedName>
    <definedName name="_10276__FDSAUDITLINK__" hidden="1">{"fdsup://directions/FAT Viewer?action=UPDATE&amp;creator=factset&amp;DYN_ARGS=TRUE&amp;DOC_NAME=FAT:FQL_AUDITING_CLIENT_TEMPLATE.FAT&amp;display_string=Audit&amp;VAR:KEY=XGLAFSDUNW&amp;VAR:QUERY=RkZfRUJJVERBX0lCKCdMVE1TJywzOTA5Myk=&amp;WINDOW=FIRST_POPUP&amp;HEIGHT=450&amp;WIDTH=450&amp;START_MA","XIMIZED=FALSE&amp;VAR:CALENDAR=US&amp;VAR:SYMBOL=04916420&amp;VAR:INDEX=0"}</definedName>
    <definedName name="_10277__FDSAUDITLINK__" localSheetId="6" hidden="1">{"fdsup://directions/FAT Viewer?action=UPDATE&amp;creator=factset&amp;DYN_ARGS=TRUE&amp;DOC_NAME=FAT:FQL_AUDITING_CLIENT_TEMPLATE.FAT&amp;display_string=Audit&amp;VAR:KEY=JAFAPKPEZO&amp;VAR:QUERY=RkZfRUJJVERBX0lCKCdMVE1TJywzOTA5Mik=&amp;WINDOW=FIRST_POPUP&amp;HEIGHT=450&amp;WIDTH=450&amp;START_MA","XIMIZED=FALSE&amp;VAR:CALENDAR=US&amp;VAR:SYMBOL=04916420&amp;VAR:INDEX=0"}</definedName>
    <definedName name="_10277__FDSAUDITLINK__" hidden="1">{"fdsup://directions/FAT Viewer?action=UPDATE&amp;creator=factset&amp;DYN_ARGS=TRUE&amp;DOC_NAME=FAT:FQL_AUDITING_CLIENT_TEMPLATE.FAT&amp;display_string=Audit&amp;VAR:KEY=JAFAPKPEZO&amp;VAR:QUERY=RkZfRUJJVERBX0lCKCdMVE1TJywzOTA5Mik=&amp;WINDOW=FIRST_POPUP&amp;HEIGHT=450&amp;WIDTH=450&amp;START_MA","XIMIZED=FALSE&amp;VAR:CALENDAR=US&amp;VAR:SYMBOL=04916420&amp;VAR:INDEX=0"}</definedName>
    <definedName name="_10278__FDSAUDITLINK__" localSheetId="6" hidden="1">{"fdsup://directions/FAT Viewer?action=UPDATE&amp;creator=factset&amp;DYN_ARGS=TRUE&amp;DOC_NAME=FAT:FQL_AUDITING_CLIENT_TEMPLATE.FAT&amp;display_string=Audit&amp;VAR:KEY=XCBGBYPYZC&amp;VAR:QUERY=RkZfRUJJVERBX0lCKCdMVE1TJywzOTA5MSk=&amp;WINDOW=FIRST_POPUP&amp;HEIGHT=450&amp;WIDTH=450&amp;START_MA","XIMIZED=FALSE&amp;VAR:CALENDAR=US&amp;VAR:SYMBOL=04916420&amp;VAR:INDEX=0"}</definedName>
    <definedName name="_10278__FDSAUDITLINK__" hidden="1">{"fdsup://directions/FAT Viewer?action=UPDATE&amp;creator=factset&amp;DYN_ARGS=TRUE&amp;DOC_NAME=FAT:FQL_AUDITING_CLIENT_TEMPLATE.FAT&amp;display_string=Audit&amp;VAR:KEY=XCBGBYPYZC&amp;VAR:QUERY=RkZfRUJJVERBX0lCKCdMVE1TJywzOTA5MSk=&amp;WINDOW=FIRST_POPUP&amp;HEIGHT=450&amp;WIDTH=450&amp;START_MA","XIMIZED=FALSE&amp;VAR:CALENDAR=US&amp;VAR:SYMBOL=04916420&amp;VAR:INDEX=0"}</definedName>
    <definedName name="_10279__FDSAUDITLINK__" localSheetId="6" hidden="1">{"fdsup://directions/FAT Viewer?action=UPDATE&amp;creator=factset&amp;DYN_ARGS=TRUE&amp;DOC_NAME=FAT:FQL_AUDITING_CLIENT_TEMPLATE.FAT&amp;display_string=Audit&amp;VAR:KEY=FQBQPYXIFA&amp;VAR:QUERY=RkZfRUJJVERBX0lCKCdMVE1TJywzOTA5MCk=&amp;WINDOW=FIRST_POPUP&amp;HEIGHT=450&amp;WIDTH=450&amp;START_MA","XIMIZED=FALSE&amp;VAR:CALENDAR=US&amp;VAR:SYMBOL=04916420&amp;VAR:INDEX=0"}</definedName>
    <definedName name="_10279__FDSAUDITLINK__" hidden="1">{"fdsup://directions/FAT Viewer?action=UPDATE&amp;creator=factset&amp;DYN_ARGS=TRUE&amp;DOC_NAME=FAT:FQL_AUDITING_CLIENT_TEMPLATE.FAT&amp;display_string=Audit&amp;VAR:KEY=FQBQPYXIFA&amp;VAR:QUERY=RkZfRUJJVERBX0lCKCdMVE1TJywzOTA5MCk=&amp;WINDOW=FIRST_POPUP&amp;HEIGHT=450&amp;WIDTH=450&amp;START_MA","XIMIZED=FALSE&amp;VAR:CALENDAR=US&amp;VAR:SYMBOL=04916420&amp;VAR:INDEX=0"}</definedName>
    <definedName name="_1028__FDSAUDITLINK__" localSheetId="6" hidden="1">{"fdsup://directions/FAT%20Viewer?VAR:PED=LTM&amp;VAR:AUDIT_MODE=SUMMARY&amp;VAR:PERIOD=FIXED&amp;VAR:AUDIT_ID=00000117&amp;VAR:DATE=20070430&amp;action=UPDATE&amp;creator=factset&amp;DOC_NAME=FAT:FMA_audit_SUMMARY.fat&amp;DISPLAY_STRING=Display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8__FDSAUDITLINK__" hidden="1">{"fdsup://directions/FAT%20Viewer?VAR:PED=LTM&amp;VAR:AUDIT_MODE=SUMMARY&amp;VAR:PERIOD=FIXED&amp;VAR:AUDIT_ID=00000117&amp;VAR:DATE=20070430&amp;action=UPDATE&amp;creator=factset&amp;DOC_NAME=FAT:FMA_audit_SUMMARY.fat&amp;DISPLAY_STRING=Display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10280__FDSAUDITLINK__" localSheetId="6" hidden="1">{"fdsup://directions/FAT Viewer?action=UPDATE&amp;creator=factset&amp;DYN_ARGS=TRUE&amp;DOC_NAME=FAT:FQL_AUDITING_CLIENT_TEMPLATE.FAT&amp;display_string=Audit&amp;VAR:KEY=PKTYPIJGTY&amp;VAR:QUERY=RkZfRUJJVERBX0lCKCdMVE1TJywzOTA4OSk=&amp;WINDOW=FIRST_POPUP&amp;HEIGHT=450&amp;WIDTH=450&amp;START_MA","XIMIZED=FALSE&amp;VAR:CALENDAR=US&amp;VAR:SYMBOL=04916420&amp;VAR:INDEX=0"}</definedName>
    <definedName name="_10280__FDSAUDITLINK__" hidden="1">{"fdsup://directions/FAT Viewer?action=UPDATE&amp;creator=factset&amp;DYN_ARGS=TRUE&amp;DOC_NAME=FAT:FQL_AUDITING_CLIENT_TEMPLATE.FAT&amp;display_string=Audit&amp;VAR:KEY=PKTYPIJGTY&amp;VAR:QUERY=RkZfRUJJVERBX0lCKCdMVE1TJywzOTA4OSk=&amp;WINDOW=FIRST_POPUP&amp;HEIGHT=450&amp;WIDTH=450&amp;START_MA","XIMIZED=FALSE&amp;VAR:CALENDAR=US&amp;VAR:SYMBOL=04916420&amp;VAR:INDEX=0"}</definedName>
    <definedName name="_10281__FDSAUDITLINK__" localSheetId="6" hidden="1">{"fdsup://directions/FAT Viewer?action=UPDATE&amp;creator=factset&amp;DYN_ARGS=TRUE&amp;DOC_NAME=FAT:FQL_AUDITING_CLIENT_TEMPLATE.FAT&amp;display_string=Audit&amp;VAR:KEY=NIPEPKFQDS&amp;VAR:QUERY=RkZfRUJJVERBX0lCKCdMVE1TJywzOTA4OCk=&amp;WINDOW=FIRST_POPUP&amp;HEIGHT=450&amp;WIDTH=450&amp;START_MA","XIMIZED=FALSE&amp;VAR:CALENDAR=US&amp;VAR:SYMBOL=04916420&amp;VAR:INDEX=0"}</definedName>
    <definedName name="_10281__FDSAUDITLINK__" hidden="1">{"fdsup://directions/FAT Viewer?action=UPDATE&amp;creator=factset&amp;DYN_ARGS=TRUE&amp;DOC_NAME=FAT:FQL_AUDITING_CLIENT_TEMPLATE.FAT&amp;display_string=Audit&amp;VAR:KEY=NIPEPKFQDS&amp;VAR:QUERY=RkZfRUJJVERBX0lCKCdMVE1TJywzOTA4OCk=&amp;WINDOW=FIRST_POPUP&amp;HEIGHT=450&amp;WIDTH=450&amp;START_MA","XIMIZED=FALSE&amp;VAR:CALENDAR=US&amp;VAR:SYMBOL=04916420&amp;VAR:INDEX=0"}</definedName>
    <definedName name="_10282__FDSAUDITLINK__" localSheetId="6" hidden="1">{"fdsup://directions/FAT Viewer?action=UPDATE&amp;creator=factset&amp;DYN_ARGS=TRUE&amp;DOC_NAME=FAT:FQL_AUDITING_CLIENT_TEMPLATE.FAT&amp;display_string=Audit&amp;VAR:KEY=RSHOFCDQZQ&amp;VAR:QUERY=RkZfRUJJVERBX0lCKCdMVE1TJywzOTA4Nyk=&amp;WINDOW=FIRST_POPUP&amp;HEIGHT=450&amp;WIDTH=450&amp;START_MA","XIMIZED=FALSE&amp;VAR:CALENDAR=US&amp;VAR:SYMBOL=04916420&amp;VAR:INDEX=0"}</definedName>
    <definedName name="_10282__FDSAUDITLINK__" hidden="1">{"fdsup://directions/FAT Viewer?action=UPDATE&amp;creator=factset&amp;DYN_ARGS=TRUE&amp;DOC_NAME=FAT:FQL_AUDITING_CLIENT_TEMPLATE.FAT&amp;display_string=Audit&amp;VAR:KEY=RSHOFCDQZQ&amp;VAR:QUERY=RkZfRUJJVERBX0lCKCdMVE1TJywzOTA4Nyk=&amp;WINDOW=FIRST_POPUP&amp;HEIGHT=450&amp;WIDTH=450&amp;START_MA","XIMIZED=FALSE&amp;VAR:CALENDAR=US&amp;VAR:SYMBOL=04916420&amp;VAR:INDEX=0"}</definedName>
    <definedName name="_10283__FDSAUDITLINK__" localSheetId="6" hidden="1">{"fdsup://directions/FAT Viewer?action=UPDATE&amp;creator=factset&amp;DYN_ARGS=TRUE&amp;DOC_NAME=FAT:FQL_AUDITING_CLIENT_TEMPLATE.FAT&amp;display_string=Audit&amp;VAR:KEY=VCFCZANUPK&amp;VAR:QUERY=RkZfRUJJVERBX0lCKCdMVE1TJywzOTA4Nik=&amp;WINDOW=FIRST_POPUP&amp;HEIGHT=450&amp;WIDTH=450&amp;START_MA","XIMIZED=FALSE&amp;VAR:CALENDAR=US&amp;VAR:SYMBOL=04916420&amp;VAR:INDEX=0"}</definedName>
    <definedName name="_10283__FDSAUDITLINK__" hidden="1">{"fdsup://directions/FAT Viewer?action=UPDATE&amp;creator=factset&amp;DYN_ARGS=TRUE&amp;DOC_NAME=FAT:FQL_AUDITING_CLIENT_TEMPLATE.FAT&amp;display_string=Audit&amp;VAR:KEY=VCFCZANUPK&amp;VAR:QUERY=RkZfRUJJVERBX0lCKCdMVE1TJywzOTA4Nik=&amp;WINDOW=FIRST_POPUP&amp;HEIGHT=450&amp;WIDTH=450&amp;START_MA","XIMIZED=FALSE&amp;VAR:CALENDAR=US&amp;VAR:SYMBOL=04916420&amp;VAR:INDEX=0"}</definedName>
    <definedName name="_10284__FDSAUDITLINK__" localSheetId="6" hidden="1">{"fdsup://directions/FAT Viewer?action=UPDATE&amp;creator=factset&amp;DYN_ARGS=TRUE&amp;DOC_NAME=FAT:FQL_AUDITING_CLIENT_TEMPLATE.FAT&amp;display_string=Audit&amp;VAR:KEY=NKRSZONCRK&amp;VAR:QUERY=RkZfRUJJVERBX0lCKCdMVE1TJywzOTA4NSk=&amp;WINDOW=FIRST_POPUP&amp;HEIGHT=450&amp;WIDTH=450&amp;START_MA","XIMIZED=FALSE&amp;VAR:CALENDAR=US&amp;VAR:SYMBOL=04916420&amp;VAR:INDEX=0"}</definedName>
    <definedName name="_10284__FDSAUDITLINK__" hidden="1">{"fdsup://directions/FAT Viewer?action=UPDATE&amp;creator=factset&amp;DYN_ARGS=TRUE&amp;DOC_NAME=FAT:FQL_AUDITING_CLIENT_TEMPLATE.FAT&amp;display_string=Audit&amp;VAR:KEY=NKRSZONCRK&amp;VAR:QUERY=RkZfRUJJVERBX0lCKCdMVE1TJywzOTA4NSk=&amp;WINDOW=FIRST_POPUP&amp;HEIGHT=450&amp;WIDTH=450&amp;START_MA","XIMIZED=FALSE&amp;VAR:CALENDAR=US&amp;VAR:SYMBOL=04916420&amp;VAR:INDEX=0"}</definedName>
    <definedName name="_10285__FDSAUDITLINK__" localSheetId="6" hidden="1">{"fdsup://directions/FAT Viewer?action=UPDATE&amp;creator=factset&amp;DYN_ARGS=TRUE&amp;DOC_NAME=FAT:FQL_AUDITING_CLIENT_TEMPLATE.FAT&amp;display_string=Audit&amp;VAR:KEY=DIVALIZSDC&amp;VAR:QUERY=RkZfRUJJVERBX0lCKCdMVE1TJywzOTA4NCk=&amp;WINDOW=FIRST_POPUP&amp;HEIGHT=450&amp;WIDTH=450&amp;START_MA","XIMIZED=FALSE&amp;VAR:CALENDAR=US&amp;VAR:SYMBOL=04916420&amp;VAR:INDEX=0"}</definedName>
    <definedName name="_10285__FDSAUDITLINK__" hidden="1">{"fdsup://directions/FAT Viewer?action=UPDATE&amp;creator=factset&amp;DYN_ARGS=TRUE&amp;DOC_NAME=FAT:FQL_AUDITING_CLIENT_TEMPLATE.FAT&amp;display_string=Audit&amp;VAR:KEY=DIVALIZSDC&amp;VAR:QUERY=RkZfRUJJVERBX0lCKCdMVE1TJywzOTA4NCk=&amp;WINDOW=FIRST_POPUP&amp;HEIGHT=450&amp;WIDTH=450&amp;START_MA","XIMIZED=FALSE&amp;VAR:CALENDAR=US&amp;VAR:SYMBOL=04916420&amp;VAR:INDEX=0"}</definedName>
    <definedName name="_10286__FDSAUDITLINK__" localSheetId="6" hidden="1">{"fdsup://directions/FAT Viewer?action=UPDATE&amp;creator=factset&amp;DYN_ARGS=TRUE&amp;DOC_NAME=FAT:FQL_AUDITING_CLIENT_TEMPLATE.FAT&amp;display_string=Audit&amp;VAR:KEY=RIPONEROLY&amp;VAR:QUERY=RkZfRUJJVERBX0lCKCdMVE1TJywzOTA4Myk=&amp;WINDOW=FIRST_POPUP&amp;HEIGHT=450&amp;WIDTH=450&amp;START_MA","XIMIZED=FALSE&amp;VAR:CALENDAR=US&amp;VAR:SYMBOL=04916420&amp;VAR:INDEX=0"}</definedName>
    <definedName name="_10286__FDSAUDITLINK__" hidden="1">{"fdsup://directions/FAT Viewer?action=UPDATE&amp;creator=factset&amp;DYN_ARGS=TRUE&amp;DOC_NAME=FAT:FQL_AUDITING_CLIENT_TEMPLATE.FAT&amp;display_string=Audit&amp;VAR:KEY=RIPONEROLY&amp;VAR:QUERY=RkZfRUJJVERBX0lCKCdMVE1TJywzOTA4Myk=&amp;WINDOW=FIRST_POPUP&amp;HEIGHT=450&amp;WIDTH=450&amp;START_MA","XIMIZED=FALSE&amp;VAR:CALENDAR=US&amp;VAR:SYMBOL=04916420&amp;VAR:INDEX=0"}</definedName>
    <definedName name="_10287__FDSAUDITLINK__" localSheetId="6" hidden="1">{"fdsup://directions/FAT Viewer?action=UPDATE&amp;creator=factset&amp;DYN_ARGS=TRUE&amp;DOC_NAME=FAT:FQL_AUDITING_CLIENT_TEMPLATE.FAT&amp;display_string=Audit&amp;VAR:KEY=LQHKRSZINY&amp;VAR:QUERY=RkZfRUJJVERBX0lCKCdMVE1TJywzOTA4Mik=&amp;WINDOW=FIRST_POPUP&amp;HEIGHT=450&amp;WIDTH=450&amp;START_MA","XIMIZED=FALSE&amp;VAR:CALENDAR=US&amp;VAR:SYMBOL=04916420&amp;VAR:INDEX=0"}</definedName>
    <definedName name="_10287__FDSAUDITLINK__" hidden="1">{"fdsup://directions/FAT Viewer?action=UPDATE&amp;creator=factset&amp;DYN_ARGS=TRUE&amp;DOC_NAME=FAT:FQL_AUDITING_CLIENT_TEMPLATE.FAT&amp;display_string=Audit&amp;VAR:KEY=LQHKRSZINY&amp;VAR:QUERY=RkZfRUJJVERBX0lCKCdMVE1TJywzOTA4Mik=&amp;WINDOW=FIRST_POPUP&amp;HEIGHT=450&amp;WIDTH=450&amp;START_MA","XIMIZED=FALSE&amp;VAR:CALENDAR=US&amp;VAR:SYMBOL=04916420&amp;VAR:INDEX=0"}</definedName>
    <definedName name="_10288__FDSAUDITLINK__" localSheetId="6" hidden="1">{"fdsup://directions/FAT Viewer?action=UPDATE&amp;creator=factset&amp;DYN_ARGS=TRUE&amp;DOC_NAME=FAT:FQL_AUDITING_CLIENT_TEMPLATE.FAT&amp;display_string=Audit&amp;VAR:KEY=FWZABONIRU&amp;VAR:QUERY=RkZfRUJJVERBX0lCKCdMVE1TJywzOTA4MSk=&amp;WINDOW=FIRST_POPUP&amp;HEIGHT=450&amp;WIDTH=450&amp;START_MA","XIMIZED=FALSE&amp;VAR:CALENDAR=US&amp;VAR:SYMBOL=04916420&amp;VAR:INDEX=0"}</definedName>
    <definedName name="_10288__FDSAUDITLINK__" hidden="1">{"fdsup://directions/FAT Viewer?action=UPDATE&amp;creator=factset&amp;DYN_ARGS=TRUE&amp;DOC_NAME=FAT:FQL_AUDITING_CLIENT_TEMPLATE.FAT&amp;display_string=Audit&amp;VAR:KEY=FWZABONIRU&amp;VAR:QUERY=RkZfRUJJVERBX0lCKCdMVE1TJywzOTA4MSk=&amp;WINDOW=FIRST_POPUP&amp;HEIGHT=450&amp;WIDTH=450&amp;START_MA","XIMIZED=FALSE&amp;VAR:CALENDAR=US&amp;VAR:SYMBOL=04916420&amp;VAR:INDEX=0"}</definedName>
    <definedName name="_10289__FDSAUDITLINK__" localSheetId="6" hidden="1">{"fdsup://directions/FAT Viewer?action=UPDATE&amp;creator=factset&amp;DYN_ARGS=TRUE&amp;DOC_NAME=FAT:FQL_AUDITING_CLIENT_TEMPLATE.FAT&amp;display_string=Audit&amp;VAR:KEY=ZOHOFUZCHM&amp;VAR:QUERY=RkZfRUJJVERBX0lCKCdMVE1TJywzOTA4MCk=&amp;WINDOW=FIRST_POPUP&amp;HEIGHT=450&amp;WIDTH=450&amp;START_MA","XIMIZED=FALSE&amp;VAR:CALENDAR=US&amp;VAR:SYMBOL=04916420&amp;VAR:INDEX=0"}</definedName>
    <definedName name="_10289__FDSAUDITLINK__" hidden="1">{"fdsup://directions/FAT Viewer?action=UPDATE&amp;creator=factset&amp;DYN_ARGS=TRUE&amp;DOC_NAME=FAT:FQL_AUDITING_CLIENT_TEMPLATE.FAT&amp;display_string=Audit&amp;VAR:KEY=ZOHOFUZCHM&amp;VAR:QUERY=RkZfRUJJVERBX0lCKCdMVE1TJywzOTA4MCk=&amp;WINDOW=FIRST_POPUP&amp;HEIGHT=450&amp;WIDTH=450&amp;START_MA","XIMIZED=FALSE&amp;VAR:CALENDAR=US&amp;VAR:SYMBOL=04916420&amp;VAR:INDEX=0"}</definedName>
    <definedName name="_1029__FDSAUDITLINK__" localSheetId="6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29__FDSAUDITLINK__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290__FDSAUDITLINK__" localSheetId="6" hidden="1">{"fdsup://directions/FAT Viewer?action=UPDATE&amp;creator=factset&amp;DYN_ARGS=TRUE&amp;DOC_NAME=FAT:FQL_AUDITING_CLIENT_TEMPLATE.FAT&amp;display_string=Audit&amp;VAR:KEY=LKFOZQRIZM&amp;VAR:QUERY=RkZfRUJJVERBX0lCKCdMVE1TJywzOTA3OSk=&amp;WINDOW=FIRST_POPUP&amp;HEIGHT=450&amp;WIDTH=450&amp;START_MA","XIMIZED=FALSE&amp;VAR:CALENDAR=US&amp;VAR:SYMBOL=04916420&amp;VAR:INDEX=0"}</definedName>
    <definedName name="_10290__FDSAUDITLINK__" hidden="1">{"fdsup://directions/FAT Viewer?action=UPDATE&amp;creator=factset&amp;DYN_ARGS=TRUE&amp;DOC_NAME=FAT:FQL_AUDITING_CLIENT_TEMPLATE.FAT&amp;display_string=Audit&amp;VAR:KEY=LKFOZQRIZM&amp;VAR:QUERY=RkZfRUJJVERBX0lCKCdMVE1TJywzOTA3OSk=&amp;WINDOW=FIRST_POPUP&amp;HEIGHT=450&amp;WIDTH=450&amp;START_MA","XIMIZED=FALSE&amp;VAR:CALENDAR=US&amp;VAR:SYMBOL=04916420&amp;VAR:INDEX=0"}</definedName>
    <definedName name="_10291__FDSAUDITLINK__" localSheetId="6" hidden="1">{"fdsup://directions/FAT Viewer?action=UPDATE&amp;creator=factset&amp;DYN_ARGS=TRUE&amp;DOC_NAME=FAT:FQL_AUDITING_CLIENT_TEMPLATE.FAT&amp;display_string=Audit&amp;VAR:KEY=BENCHIZYNS&amp;VAR:QUERY=RkZfRUJJVERBX0lCKCdMVE1TJywzOTA3OCk=&amp;WINDOW=FIRST_POPUP&amp;HEIGHT=450&amp;WIDTH=450&amp;START_MA","XIMIZED=FALSE&amp;VAR:CALENDAR=US&amp;VAR:SYMBOL=04916420&amp;VAR:INDEX=0"}</definedName>
    <definedName name="_10291__FDSAUDITLINK__" hidden="1">{"fdsup://directions/FAT Viewer?action=UPDATE&amp;creator=factset&amp;DYN_ARGS=TRUE&amp;DOC_NAME=FAT:FQL_AUDITING_CLIENT_TEMPLATE.FAT&amp;display_string=Audit&amp;VAR:KEY=BENCHIZYNS&amp;VAR:QUERY=RkZfRUJJVERBX0lCKCdMVE1TJywzOTA3OCk=&amp;WINDOW=FIRST_POPUP&amp;HEIGHT=450&amp;WIDTH=450&amp;START_MA","XIMIZED=FALSE&amp;VAR:CALENDAR=US&amp;VAR:SYMBOL=04916420&amp;VAR:INDEX=0"}</definedName>
    <definedName name="_10292__FDSAUDITLINK__" localSheetId="6" hidden="1">{"fdsup://directions/FAT Viewer?action=UPDATE&amp;creator=factset&amp;DYN_ARGS=TRUE&amp;DOC_NAME=FAT:FQL_AUDITING_CLIENT_TEMPLATE.FAT&amp;display_string=Audit&amp;VAR:KEY=FYRUREDULI&amp;VAR:QUERY=RkZfRUJJVERBX0lCKCdMVE1TJywzOTA3Nyk=&amp;WINDOW=FIRST_POPUP&amp;HEIGHT=450&amp;WIDTH=450&amp;START_MA","XIMIZED=FALSE&amp;VAR:CALENDAR=US&amp;VAR:SYMBOL=04916420&amp;VAR:INDEX=0"}</definedName>
    <definedName name="_10292__FDSAUDITLINK__" hidden="1">{"fdsup://directions/FAT Viewer?action=UPDATE&amp;creator=factset&amp;DYN_ARGS=TRUE&amp;DOC_NAME=FAT:FQL_AUDITING_CLIENT_TEMPLATE.FAT&amp;display_string=Audit&amp;VAR:KEY=FYRUREDULI&amp;VAR:QUERY=RkZfRUJJVERBX0lCKCdMVE1TJywzOTA3Nyk=&amp;WINDOW=FIRST_POPUP&amp;HEIGHT=450&amp;WIDTH=450&amp;START_MA","XIMIZED=FALSE&amp;VAR:CALENDAR=US&amp;VAR:SYMBOL=04916420&amp;VAR:INDEX=0"}</definedName>
    <definedName name="_10293__FDSAUDITLINK__" localSheetId="6" hidden="1">{"fdsup://directions/FAT Viewer?action=UPDATE&amp;creator=factset&amp;DYN_ARGS=TRUE&amp;DOC_NAME=FAT:FQL_AUDITING_CLIENT_TEMPLATE.FAT&amp;display_string=Audit&amp;VAR:KEY=DMBCVMPYRE&amp;VAR:QUERY=RkZfRUJJVERBX0lCKCdMVE1TJywzOTA3Nik=&amp;WINDOW=FIRST_POPUP&amp;HEIGHT=450&amp;WIDTH=450&amp;START_MA","XIMIZED=FALSE&amp;VAR:CALENDAR=US&amp;VAR:SYMBOL=04916420&amp;VAR:INDEX=0"}</definedName>
    <definedName name="_10293__FDSAUDITLINK__" hidden="1">{"fdsup://directions/FAT Viewer?action=UPDATE&amp;creator=factset&amp;DYN_ARGS=TRUE&amp;DOC_NAME=FAT:FQL_AUDITING_CLIENT_TEMPLATE.FAT&amp;display_string=Audit&amp;VAR:KEY=DMBCVMPYRE&amp;VAR:QUERY=RkZfRUJJVERBX0lCKCdMVE1TJywzOTA3Nik=&amp;WINDOW=FIRST_POPUP&amp;HEIGHT=450&amp;WIDTH=450&amp;START_MA","XIMIZED=FALSE&amp;VAR:CALENDAR=US&amp;VAR:SYMBOL=04916420&amp;VAR:INDEX=0"}</definedName>
    <definedName name="_10294__FDSAUDITLINK__" localSheetId="6" hidden="1">{"fdsup://directions/FAT Viewer?action=UPDATE&amp;creator=factset&amp;DYN_ARGS=TRUE&amp;DOC_NAME=FAT:FQL_AUDITING_CLIENT_TEMPLATE.FAT&amp;display_string=Audit&amp;VAR:KEY=JENATADITM&amp;VAR:QUERY=RkZfRUJJVERBX0lCKCdMVE1TJywzOTA3NSk=&amp;WINDOW=FIRST_POPUP&amp;HEIGHT=450&amp;WIDTH=450&amp;START_MA","XIMIZED=FALSE&amp;VAR:CALENDAR=US&amp;VAR:SYMBOL=04916420&amp;VAR:INDEX=0"}</definedName>
    <definedName name="_10294__FDSAUDITLINK__" hidden="1">{"fdsup://directions/FAT Viewer?action=UPDATE&amp;creator=factset&amp;DYN_ARGS=TRUE&amp;DOC_NAME=FAT:FQL_AUDITING_CLIENT_TEMPLATE.FAT&amp;display_string=Audit&amp;VAR:KEY=JENATADITM&amp;VAR:QUERY=RkZfRUJJVERBX0lCKCdMVE1TJywzOTA3NSk=&amp;WINDOW=FIRST_POPUP&amp;HEIGHT=450&amp;WIDTH=450&amp;START_MA","XIMIZED=FALSE&amp;VAR:CALENDAR=US&amp;VAR:SYMBOL=04916420&amp;VAR:INDEX=0"}</definedName>
    <definedName name="_10295__FDSAUDITLINK__" localSheetId="6" hidden="1">{"fdsup://directions/FAT Viewer?action=UPDATE&amp;creator=factset&amp;DYN_ARGS=TRUE&amp;DOC_NAME=FAT:FQL_AUDITING_CLIENT_TEMPLATE.FAT&amp;display_string=Audit&amp;VAR:KEY=JUXOHGLIXW&amp;VAR:QUERY=RkZfRUJJVERBX0lCKCdMVE1TJywzOTA3NCk=&amp;WINDOW=FIRST_POPUP&amp;HEIGHT=450&amp;WIDTH=450&amp;START_MA","XIMIZED=FALSE&amp;VAR:CALENDAR=US&amp;VAR:SYMBOL=04916420&amp;VAR:INDEX=0"}</definedName>
    <definedName name="_10295__FDSAUDITLINK__" hidden="1">{"fdsup://directions/FAT Viewer?action=UPDATE&amp;creator=factset&amp;DYN_ARGS=TRUE&amp;DOC_NAME=FAT:FQL_AUDITING_CLIENT_TEMPLATE.FAT&amp;display_string=Audit&amp;VAR:KEY=JUXOHGLIXW&amp;VAR:QUERY=RkZfRUJJVERBX0lCKCdMVE1TJywzOTA3NCk=&amp;WINDOW=FIRST_POPUP&amp;HEIGHT=450&amp;WIDTH=450&amp;START_MA","XIMIZED=FALSE&amp;VAR:CALENDAR=US&amp;VAR:SYMBOL=04916420&amp;VAR:INDEX=0"}</definedName>
    <definedName name="_10296__FDSAUDITLINK__" localSheetId="6" hidden="1">{"fdsup://directions/FAT Viewer?action=UPDATE&amp;creator=factset&amp;DYN_ARGS=TRUE&amp;DOC_NAME=FAT:FQL_AUDITING_CLIENT_TEMPLATE.FAT&amp;display_string=Audit&amp;VAR:KEY=RIRGTABAXQ&amp;VAR:QUERY=RkZfRUJJVERBX0lCKCdMVE1TJywzOTA3Myk=&amp;WINDOW=FIRST_POPUP&amp;HEIGHT=450&amp;WIDTH=450&amp;START_MA","XIMIZED=FALSE&amp;VAR:CALENDAR=US&amp;VAR:SYMBOL=04916420&amp;VAR:INDEX=0"}</definedName>
    <definedName name="_10296__FDSAUDITLINK__" hidden="1">{"fdsup://directions/FAT Viewer?action=UPDATE&amp;creator=factset&amp;DYN_ARGS=TRUE&amp;DOC_NAME=FAT:FQL_AUDITING_CLIENT_TEMPLATE.FAT&amp;display_string=Audit&amp;VAR:KEY=RIRGTABAXQ&amp;VAR:QUERY=RkZfRUJJVERBX0lCKCdMVE1TJywzOTA3Myk=&amp;WINDOW=FIRST_POPUP&amp;HEIGHT=450&amp;WIDTH=450&amp;START_MA","XIMIZED=FALSE&amp;VAR:CALENDAR=US&amp;VAR:SYMBOL=04916420&amp;VAR:INDEX=0"}</definedName>
    <definedName name="_10297__FDSAUDITLINK__" localSheetId="6" hidden="1">{"fdsup://directions/FAT Viewer?action=UPDATE&amp;creator=factset&amp;DYN_ARGS=TRUE&amp;DOC_NAME=FAT:FQL_AUDITING_CLIENT_TEMPLATE.FAT&amp;display_string=Audit&amp;VAR:KEY=PIHSVGHYNI&amp;VAR:QUERY=RkZfRUJJVERBX0lCKCdMVE1TJywzOTA3Mik=&amp;WINDOW=FIRST_POPUP&amp;HEIGHT=450&amp;WIDTH=450&amp;START_MA","XIMIZED=FALSE&amp;VAR:CALENDAR=US&amp;VAR:SYMBOL=04916420&amp;VAR:INDEX=0"}</definedName>
    <definedName name="_10297__FDSAUDITLINK__" hidden="1">{"fdsup://directions/FAT Viewer?action=UPDATE&amp;creator=factset&amp;DYN_ARGS=TRUE&amp;DOC_NAME=FAT:FQL_AUDITING_CLIENT_TEMPLATE.FAT&amp;display_string=Audit&amp;VAR:KEY=PIHSVGHYNI&amp;VAR:QUERY=RkZfRUJJVERBX0lCKCdMVE1TJywzOTA3Mik=&amp;WINDOW=FIRST_POPUP&amp;HEIGHT=450&amp;WIDTH=450&amp;START_MA","XIMIZED=FALSE&amp;VAR:CALENDAR=US&amp;VAR:SYMBOL=04916420&amp;VAR:INDEX=0"}</definedName>
    <definedName name="_10298__FDSAUDITLINK__" localSheetId="6" hidden="1">{"fdsup://directions/FAT Viewer?action=UPDATE&amp;creator=factset&amp;DYN_ARGS=TRUE&amp;DOC_NAME=FAT:FQL_AUDITING_CLIENT_TEMPLATE.FAT&amp;display_string=Audit&amp;VAR:KEY=ZGXYHOTMHO&amp;VAR:QUERY=RkZfRUJJVERBX0lCKCdMVE1TJywzOTA3MSk=&amp;WINDOW=FIRST_POPUP&amp;HEIGHT=450&amp;WIDTH=450&amp;START_MA","XIMIZED=FALSE&amp;VAR:CALENDAR=US&amp;VAR:SYMBOL=04916420&amp;VAR:INDEX=0"}</definedName>
    <definedName name="_10298__FDSAUDITLINK__" hidden="1">{"fdsup://directions/FAT Viewer?action=UPDATE&amp;creator=factset&amp;DYN_ARGS=TRUE&amp;DOC_NAME=FAT:FQL_AUDITING_CLIENT_TEMPLATE.FAT&amp;display_string=Audit&amp;VAR:KEY=ZGXYHOTMHO&amp;VAR:QUERY=RkZfRUJJVERBX0lCKCdMVE1TJywzOTA3MSk=&amp;WINDOW=FIRST_POPUP&amp;HEIGHT=450&amp;WIDTH=450&amp;START_MA","XIMIZED=FALSE&amp;VAR:CALENDAR=US&amp;VAR:SYMBOL=04916420&amp;VAR:INDEX=0"}</definedName>
    <definedName name="_10299__FDSAUDITLINK__" localSheetId="6" hidden="1">{"fdsup://directions/FAT Viewer?action=UPDATE&amp;creator=factset&amp;DYN_ARGS=TRUE&amp;DOC_NAME=FAT:FQL_AUDITING_CLIENT_TEMPLATE.FAT&amp;display_string=Audit&amp;VAR:KEY=DSZYHCBYFK&amp;VAR:QUERY=RkZfRUJJVERBX0lCKCdMVE1TJywzOTA3MCk=&amp;WINDOW=FIRST_POPUP&amp;HEIGHT=450&amp;WIDTH=450&amp;START_MA","XIMIZED=FALSE&amp;VAR:CALENDAR=US&amp;VAR:SYMBOL=04916420&amp;VAR:INDEX=0"}</definedName>
    <definedName name="_10299__FDSAUDITLINK__" hidden="1">{"fdsup://directions/FAT Viewer?action=UPDATE&amp;creator=factset&amp;DYN_ARGS=TRUE&amp;DOC_NAME=FAT:FQL_AUDITING_CLIENT_TEMPLATE.FAT&amp;display_string=Audit&amp;VAR:KEY=DSZYHCBYFK&amp;VAR:QUERY=RkZfRUJJVERBX0lCKCdMVE1TJywzOTA3MCk=&amp;WINDOW=FIRST_POPUP&amp;HEIGHT=450&amp;WIDTH=450&amp;START_MA","XIMIZED=FALSE&amp;VAR:CALENDAR=US&amp;VAR:SYMBOL=04916420&amp;VAR:INDEX=0"}</definedName>
    <definedName name="_103__FDSAUDITLINK__" localSheetId="6" hidden="1">{"fdsup://directions/FAT Viewer?action=UPDATE&amp;creator=factset&amp;DYN_ARGS=TRUE&amp;DOC_NAME=FAT:FQL_AUDITING_CLIENT_TEMPLATE.FAT&amp;display_string=Audit&amp;VAR:KEY=CLGRYBUBOJ&amp;VAR:QUERY=QVZHKENTRl9ORVRfSU5DKEFOTiwwRlksLTZGWSxZKSkvKEFWRyhDU0ZfQVNTRVRTKEFOTiwwRlksLTZGWSxGW","SkpLUFWRyhDU0ZfSU5UQU5HKEFOTiwwLC02RlksRlkpKSk=&amp;WINDOW=FIRST_POPUP&amp;HEIGHT=450&amp;WIDTH=450&amp;START_MAXIMIZED=FALSE&amp;VAR:CALENDAR=US&amp;VAR:SYMBOL=49726610"}</definedName>
    <definedName name="_103__FDSAUDITLINK__" hidden="1">{"fdsup://directions/FAT Viewer?action=UPDATE&amp;creator=factset&amp;DYN_ARGS=TRUE&amp;DOC_NAME=FAT:FQL_AUDITING_CLIENT_TEMPLATE.FAT&amp;display_string=Audit&amp;VAR:KEY=CLGRYBUBOJ&amp;VAR:QUERY=QVZHKENTRl9ORVRfSU5DKEFOTiwwRlksLTZGWSxZKSkvKEFWRyhDU0ZfQVNTRVRTKEFOTiwwRlksLTZGWSxGW","SkpLUFWRyhDU0ZfSU5UQU5HKEFOTiwwLC02RlksRlkpKSk=&amp;WINDOW=FIRST_POPUP&amp;HEIGHT=450&amp;WIDTH=450&amp;START_MAXIMIZED=FALSE&amp;VAR:CALENDAR=US&amp;VAR:SYMBOL=49726610"}</definedName>
    <definedName name="_1030__FDSAUDITLINK__" localSheetId="6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0__FDSAUDITLINK__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00__FDSAUDITLINK__" localSheetId="6" hidden="1">{"fdsup://directions/FAT Viewer?action=UPDATE&amp;creator=factset&amp;DYN_ARGS=TRUE&amp;DOC_NAME=FAT:FQL_AUDITING_CLIENT_TEMPLATE.FAT&amp;display_string=Audit&amp;VAR:KEY=LKDUJSPOZE&amp;VAR:QUERY=RkZfRUJJVERBX0lCKCdMVE1TJywzOTA2OSk=&amp;WINDOW=FIRST_POPUP&amp;HEIGHT=450&amp;WIDTH=450&amp;START_MA","XIMIZED=FALSE&amp;VAR:CALENDAR=US&amp;VAR:SYMBOL=04916420&amp;VAR:INDEX=0"}</definedName>
    <definedName name="_10300__FDSAUDITLINK__" hidden="1">{"fdsup://directions/FAT Viewer?action=UPDATE&amp;creator=factset&amp;DYN_ARGS=TRUE&amp;DOC_NAME=FAT:FQL_AUDITING_CLIENT_TEMPLATE.FAT&amp;display_string=Audit&amp;VAR:KEY=LKDUJSPOZE&amp;VAR:QUERY=RkZfRUJJVERBX0lCKCdMVE1TJywzOTA2OSk=&amp;WINDOW=FIRST_POPUP&amp;HEIGHT=450&amp;WIDTH=450&amp;START_MA","XIMIZED=FALSE&amp;VAR:CALENDAR=US&amp;VAR:SYMBOL=04916420&amp;VAR:INDEX=0"}</definedName>
    <definedName name="_10301__FDSAUDITLINK__" localSheetId="6" hidden="1">{"fdsup://directions/FAT Viewer?action=UPDATE&amp;creator=factset&amp;DYN_ARGS=TRUE&amp;DOC_NAME=FAT:FQL_AUDITING_CLIENT_TEMPLATE.FAT&amp;display_string=Audit&amp;VAR:KEY=ZATQFWPGPM&amp;VAR:QUERY=RkZfRUJJVERBX0lCKCdMVE1TJywzOTA2OCk=&amp;WINDOW=FIRST_POPUP&amp;HEIGHT=450&amp;WIDTH=450&amp;START_MA","XIMIZED=FALSE&amp;VAR:CALENDAR=US&amp;VAR:SYMBOL=04916420&amp;VAR:INDEX=0"}</definedName>
    <definedName name="_10301__FDSAUDITLINK__" hidden="1">{"fdsup://directions/FAT Viewer?action=UPDATE&amp;creator=factset&amp;DYN_ARGS=TRUE&amp;DOC_NAME=FAT:FQL_AUDITING_CLIENT_TEMPLATE.FAT&amp;display_string=Audit&amp;VAR:KEY=ZATQFWPGPM&amp;VAR:QUERY=RkZfRUJJVERBX0lCKCdMVE1TJywzOTA2OCk=&amp;WINDOW=FIRST_POPUP&amp;HEIGHT=450&amp;WIDTH=450&amp;START_MA","XIMIZED=FALSE&amp;VAR:CALENDAR=US&amp;VAR:SYMBOL=04916420&amp;VAR:INDEX=0"}</definedName>
    <definedName name="_10302__FDSAUDITLINK__" localSheetId="6" hidden="1">{"fdsup://directions/FAT Viewer?action=UPDATE&amp;creator=factset&amp;DYN_ARGS=TRUE&amp;DOC_NAME=FAT:FQL_AUDITING_CLIENT_TEMPLATE.FAT&amp;display_string=Audit&amp;VAR:KEY=ZEPKPOHIFG&amp;VAR:QUERY=RkZfRUJJVERBX0lCKCdMVE1TJywzOTA2Nyk=&amp;WINDOW=FIRST_POPUP&amp;HEIGHT=450&amp;WIDTH=450&amp;START_MA","XIMIZED=FALSE&amp;VAR:CALENDAR=US&amp;VAR:SYMBOL=04916420&amp;VAR:INDEX=0"}</definedName>
    <definedName name="_10302__FDSAUDITLINK__" hidden="1">{"fdsup://directions/FAT Viewer?action=UPDATE&amp;creator=factset&amp;DYN_ARGS=TRUE&amp;DOC_NAME=FAT:FQL_AUDITING_CLIENT_TEMPLATE.FAT&amp;display_string=Audit&amp;VAR:KEY=ZEPKPOHIFG&amp;VAR:QUERY=RkZfRUJJVERBX0lCKCdMVE1TJywzOTA2Nyk=&amp;WINDOW=FIRST_POPUP&amp;HEIGHT=450&amp;WIDTH=450&amp;START_MA","XIMIZED=FALSE&amp;VAR:CALENDAR=US&amp;VAR:SYMBOL=04916420&amp;VAR:INDEX=0"}</definedName>
    <definedName name="_10303__FDSAUDITLINK__" localSheetId="6" hidden="1">{"fdsup://directions/FAT Viewer?action=UPDATE&amp;creator=factset&amp;DYN_ARGS=TRUE&amp;DOC_NAME=FAT:FQL_AUDITING_CLIENT_TEMPLATE.FAT&amp;display_string=Audit&amp;VAR:KEY=NETEBKVARK&amp;VAR:QUERY=RkZfRUJJVERBX0lCKCdMVE1TJywzOTA2Nik=&amp;WINDOW=FIRST_POPUP&amp;HEIGHT=450&amp;WIDTH=450&amp;START_MA","XIMIZED=FALSE&amp;VAR:CALENDAR=US&amp;VAR:SYMBOL=04916420&amp;VAR:INDEX=0"}</definedName>
    <definedName name="_10303__FDSAUDITLINK__" hidden="1">{"fdsup://directions/FAT Viewer?action=UPDATE&amp;creator=factset&amp;DYN_ARGS=TRUE&amp;DOC_NAME=FAT:FQL_AUDITING_CLIENT_TEMPLATE.FAT&amp;display_string=Audit&amp;VAR:KEY=NETEBKVARK&amp;VAR:QUERY=RkZfRUJJVERBX0lCKCdMVE1TJywzOTA2Nik=&amp;WINDOW=FIRST_POPUP&amp;HEIGHT=450&amp;WIDTH=450&amp;START_MA","XIMIZED=FALSE&amp;VAR:CALENDAR=US&amp;VAR:SYMBOL=04916420&amp;VAR:INDEX=0"}</definedName>
    <definedName name="_10304__FDSAUDITLINK__" localSheetId="6" hidden="1">{"fdsup://directions/FAT Viewer?action=UPDATE&amp;creator=factset&amp;DYN_ARGS=TRUE&amp;DOC_NAME=FAT:FQL_AUDITING_CLIENT_TEMPLATE.FAT&amp;display_string=Audit&amp;VAR:KEY=LCNYZQDAZO&amp;VAR:QUERY=RkZfRUJJVERBX0lCKCdMVE1TJywzOTA2NSk=&amp;WINDOW=FIRST_POPUP&amp;HEIGHT=450&amp;WIDTH=450&amp;START_MA","XIMIZED=FALSE&amp;VAR:CALENDAR=US&amp;VAR:SYMBOL=04916420&amp;VAR:INDEX=0"}</definedName>
    <definedName name="_10304__FDSAUDITLINK__" hidden="1">{"fdsup://directions/FAT Viewer?action=UPDATE&amp;creator=factset&amp;DYN_ARGS=TRUE&amp;DOC_NAME=FAT:FQL_AUDITING_CLIENT_TEMPLATE.FAT&amp;display_string=Audit&amp;VAR:KEY=LCNYZQDAZO&amp;VAR:QUERY=RkZfRUJJVERBX0lCKCdMVE1TJywzOTA2NSk=&amp;WINDOW=FIRST_POPUP&amp;HEIGHT=450&amp;WIDTH=450&amp;START_MA","XIMIZED=FALSE&amp;VAR:CALENDAR=US&amp;VAR:SYMBOL=04916420&amp;VAR:INDEX=0"}</definedName>
    <definedName name="_10305__FDSAUDITLINK__" localSheetId="6" hidden="1">{"fdsup://directions/FAT Viewer?action=UPDATE&amp;creator=factset&amp;DYN_ARGS=TRUE&amp;DOC_NAME=FAT:FQL_AUDITING_CLIENT_TEMPLATE.FAT&amp;display_string=Audit&amp;VAR:KEY=VWLUXALKTK&amp;VAR:QUERY=RkZfRUJJVERBX0lCKCdMVE1TJywzOTA2NCk=&amp;WINDOW=FIRST_POPUP&amp;HEIGHT=450&amp;WIDTH=450&amp;START_MA","XIMIZED=FALSE&amp;VAR:CALENDAR=US&amp;VAR:SYMBOL=04916420&amp;VAR:INDEX=0"}</definedName>
    <definedName name="_10305__FDSAUDITLINK__" hidden="1">{"fdsup://directions/FAT Viewer?action=UPDATE&amp;creator=factset&amp;DYN_ARGS=TRUE&amp;DOC_NAME=FAT:FQL_AUDITING_CLIENT_TEMPLATE.FAT&amp;display_string=Audit&amp;VAR:KEY=VWLUXALKTK&amp;VAR:QUERY=RkZfRUJJVERBX0lCKCdMVE1TJywzOTA2NCk=&amp;WINDOW=FIRST_POPUP&amp;HEIGHT=450&amp;WIDTH=450&amp;START_MA","XIMIZED=FALSE&amp;VAR:CALENDAR=US&amp;VAR:SYMBOL=04916420&amp;VAR:INDEX=0"}</definedName>
    <definedName name="_10306__FDSAUDITLINK__" localSheetId="6" hidden="1">{"fdsup://directions/FAT Viewer?action=UPDATE&amp;creator=factset&amp;DYN_ARGS=TRUE&amp;DOC_NAME=FAT:FQL_AUDITING_CLIENT_TEMPLATE.FAT&amp;display_string=Audit&amp;VAR:KEY=BWVUPSDMZU&amp;VAR:QUERY=RkZfRUJJVERBX0lCKCdMVE1TJywzOTA2Myk=&amp;WINDOW=FIRST_POPUP&amp;HEIGHT=450&amp;WIDTH=450&amp;START_MA","XIMIZED=FALSE&amp;VAR:CALENDAR=US&amp;VAR:SYMBOL=04916420&amp;VAR:INDEX=0"}</definedName>
    <definedName name="_10306__FDSAUDITLINK__" hidden="1">{"fdsup://directions/FAT Viewer?action=UPDATE&amp;creator=factset&amp;DYN_ARGS=TRUE&amp;DOC_NAME=FAT:FQL_AUDITING_CLIENT_TEMPLATE.FAT&amp;display_string=Audit&amp;VAR:KEY=BWVUPSDMZU&amp;VAR:QUERY=RkZfRUJJVERBX0lCKCdMVE1TJywzOTA2Myk=&amp;WINDOW=FIRST_POPUP&amp;HEIGHT=450&amp;WIDTH=450&amp;START_MA","XIMIZED=FALSE&amp;VAR:CALENDAR=US&amp;VAR:SYMBOL=04916420&amp;VAR:INDEX=0"}</definedName>
    <definedName name="_10307__FDSAUDITLINK__" localSheetId="6" hidden="1">{"fdsup://directions/FAT Viewer?action=UPDATE&amp;creator=factset&amp;DYN_ARGS=TRUE&amp;DOC_NAME=FAT:FQL_AUDITING_CLIENT_TEMPLATE.FAT&amp;display_string=Audit&amp;VAR:KEY=ZGXOBQVAXW&amp;VAR:QUERY=RkZfRUJJVERBX0lCKCdMVE1TJywzOTA2Mik=&amp;WINDOW=FIRST_POPUP&amp;HEIGHT=450&amp;WIDTH=450&amp;START_MA","XIMIZED=FALSE&amp;VAR:CALENDAR=US&amp;VAR:SYMBOL=04916420&amp;VAR:INDEX=0"}</definedName>
    <definedName name="_10307__FDSAUDITLINK__" hidden="1">{"fdsup://directions/FAT Viewer?action=UPDATE&amp;creator=factset&amp;DYN_ARGS=TRUE&amp;DOC_NAME=FAT:FQL_AUDITING_CLIENT_TEMPLATE.FAT&amp;display_string=Audit&amp;VAR:KEY=ZGXOBQVAXW&amp;VAR:QUERY=RkZfRUJJVERBX0lCKCdMVE1TJywzOTA2Mik=&amp;WINDOW=FIRST_POPUP&amp;HEIGHT=450&amp;WIDTH=450&amp;START_MA","XIMIZED=FALSE&amp;VAR:CALENDAR=US&amp;VAR:SYMBOL=04916420&amp;VAR:INDEX=0"}</definedName>
    <definedName name="_10308__FDSAUDITLINK__" localSheetId="6" hidden="1">{"fdsup://directions/FAT Viewer?action=UPDATE&amp;creator=factset&amp;DYN_ARGS=TRUE&amp;DOC_NAME=FAT:FQL_AUDITING_CLIENT_TEMPLATE.FAT&amp;display_string=Audit&amp;VAR:KEY=TAXUPWTOLU&amp;VAR:QUERY=RkZfRUJJVERBX0lCKCdMVE1TJywzOTA2MSk=&amp;WINDOW=FIRST_POPUP&amp;HEIGHT=450&amp;WIDTH=450&amp;START_MA","XIMIZED=FALSE&amp;VAR:CALENDAR=US&amp;VAR:SYMBOL=04916420&amp;VAR:INDEX=0"}</definedName>
    <definedName name="_10308__FDSAUDITLINK__" hidden="1">{"fdsup://directions/FAT Viewer?action=UPDATE&amp;creator=factset&amp;DYN_ARGS=TRUE&amp;DOC_NAME=FAT:FQL_AUDITING_CLIENT_TEMPLATE.FAT&amp;display_string=Audit&amp;VAR:KEY=TAXUPWTOLU&amp;VAR:QUERY=RkZfRUJJVERBX0lCKCdMVE1TJywzOTA2MSk=&amp;WINDOW=FIRST_POPUP&amp;HEIGHT=450&amp;WIDTH=450&amp;START_MA","XIMIZED=FALSE&amp;VAR:CALENDAR=US&amp;VAR:SYMBOL=04916420&amp;VAR:INDEX=0"}</definedName>
    <definedName name="_10309__FDSAUDITLINK__" localSheetId="6" hidden="1">{"fdsup://directions/FAT Viewer?action=UPDATE&amp;creator=factset&amp;DYN_ARGS=TRUE&amp;DOC_NAME=FAT:FQL_AUDITING_CLIENT_TEMPLATE.FAT&amp;display_string=Audit&amp;VAR:KEY=XSJGHIPUVI&amp;VAR:QUERY=RkZfRUJJVERBX0lCKCdMVE1TJywzOTA2MCk=&amp;WINDOW=FIRST_POPUP&amp;HEIGHT=450&amp;WIDTH=450&amp;START_MA","XIMIZED=FALSE&amp;VAR:CALENDAR=US&amp;VAR:SYMBOL=04916420&amp;VAR:INDEX=0"}</definedName>
    <definedName name="_10309__FDSAUDITLINK__" hidden="1">{"fdsup://directions/FAT Viewer?action=UPDATE&amp;creator=factset&amp;DYN_ARGS=TRUE&amp;DOC_NAME=FAT:FQL_AUDITING_CLIENT_TEMPLATE.FAT&amp;display_string=Audit&amp;VAR:KEY=XSJGHIPUVI&amp;VAR:QUERY=RkZfRUJJVERBX0lCKCdMVE1TJywzOTA2MCk=&amp;WINDOW=FIRST_POPUP&amp;HEIGHT=450&amp;WIDTH=450&amp;START_MA","XIMIZED=FALSE&amp;VAR:CALENDAR=US&amp;VAR:SYMBOL=04916420&amp;VAR:INDEX=0"}</definedName>
    <definedName name="_1031__FDSAUDITLINK__" localSheetId="6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1__FDSAUDITLINK__" hidden="1">{"fdsup://directions/FAT%20Viewer?VAR:PED=LTM&amp;VAR:AUDIT_MODE=SUMMARY&amp;VAR:PERIOD=FIXED&amp;VAR:AUDIT_ID=00000117&amp;VAR:DATE=20070427&amp;action=UPDATE&amp;creator=factset&amp;DOC_NAME=FAT:FMA_audit_SUMMARY.fat&amp;DISPLAY_STRING=Display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10__FDSAUDITLINK__" localSheetId="6" hidden="1">{"fdsup://directions/FAT Viewer?action=UPDATE&amp;creator=factset&amp;DYN_ARGS=TRUE&amp;DOC_NAME=FAT:FQL_AUDITING_CLIENT_TEMPLATE.FAT&amp;display_string=Audit&amp;VAR:KEY=PSBONMHKVE&amp;VAR:QUERY=RkZfRUJJVERBX0lCKCdMVE1TJywzOTA1OSk=&amp;WINDOW=FIRST_POPUP&amp;HEIGHT=450&amp;WIDTH=450&amp;START_MA","XIMIZED=FALSE&amp;VAR:CALENDAR=US&amp;VAR:SYMBOL=04916420&amp;VAR:INDEX=0"}</definedName>
    <definedName name="_10310__FDSAUDITLINK__" hidden="1">{"fdsup://directions/FAT Viewer?action=UPDATE&amp;creator=factset&amp;DYN_ARGS=TRUE&amp;DOC_NAME=FAT:FQL_AUDITING_CLIENT_TEMPLATE.FAT&amp;display_string=Audit&amp;VAR:KEY=PSBONMHKVE&amp;VAR:QUERY=RkZfRUJJVERBX0lCKCdMVE1TJywzOTA1OSk=&amp;WINDOW=FIRST_POPUP&amp;HEIGHT=450&amp;WIDTH=450&amp;START_MA","XIMIZED=FALSE&amp;VAR:CALENDAR=US&amp;VAR:SYMBOL=04916420&amp;VAR:INDEX=0"}</definedName>
    <definedName name="_10311__FDSAUDITLINK__" localSheetId="6" hidden="1">{"fdsup://directions/FAT Viewer?action=UPDATE&amp;creator=factset&amp;DYN_ARGS=TRUE&amp;DOC_NAME=FAT:FQL_AUDITING_CLIENT_TEMPLATE.FAT&amp;display_string=Audit&amp;VAR:KEY=JCPAFCZQHS&amp;VAR:QUERY=RkZfRUJJVERBX0lCKCdMVE1TJywzOTA1OCk=&amp;WINDOW=FIRST_POPUP&amp;HEIGHT=450&amp;WIDTH=450&amp;START_MA","XIMIZED=FALSE&amp;VAR:CALENDAR=US&amp;VAR:SYMBOL=04916420&amp;VAR:INDEX=0"}</definedName>
    <definedName name="_10311__FDSAUDITLINK__" hidden="1">{"fdsup://directions/FAT Viewer?action=UPDATE&amp;creator=factset&amp;DYN_ARGS=TRUE&amp;DOC_NAME=FAT:FQL_AUDITING_CLIENT_TEMPLATE.FAT&amp;display_string=Audit&amp;VAR:KEY=JCPAFCZQHS&amp;VAR:QUERY=RkZfRUJJVERBX0lCKCdMVE1TJywzOTA1OCk=&amp;WINDOW=FIRST_POPUP&amp;HEIGHT=450&amp;WIDTH=450&amp;START_MA","XIMIZED=FALSE&amp;VAR:CALENDAR=US&amp;VAR:SYMBOL=04916420&amp;VAR:INDEX=0"}</definedName>
    <definedName name="_10312__FDSAUDITLINK__" localSheetId="6" hidden="1">{"fdsup://directions/FAT Viewer?action=UPDATE&amp;creator=factset&amp;DYN_ARGS=TRUE&amp;DOC_NAME=FAT:FQL_AUDITING_CLIENT_TEMPLATE.FAT&amp;display_string=Audit&amp;VAR:KEY=FWDQXMLOXK&amp;VAR:QUERY=RkZfRUJJVERBX0lCKCdMVE1TJywzOTA1Nyk=&amp;WINDOW=FIRST_POPUP&amp;HEIGHT=450&amp;WIDTH=450&amp;START_MA","XIMIZED=FALSE&amp;VAR:CALENDAR=US&amp;VAR:SYMBOL=04916420&amp;VAR:INDEX=0"}</definedName>
    <definedName name="_10312__FDSAUDITLINK__" hidden="1">{"fdsup://directions/FAT Viewer?action=UPDATE&amp;creator=factset&amp;DYN_ARGS=TRUE&amp;DOC_NAME=FAT:FQL_AUDITING_CLIENT_TEMPLATE.FAT&amp;display_string=Audit&amp;VAR:KEY=FWDQXMLOXK&amp;VAR:QUERY=RkZfRUJJVERBX0lCKCdMVE1TJywzOTA1Nyk=&amp;WINDOW=FIRST_POPUP&amp;HEIGHT=450&amp;WIDTH=450&amp;START_MA","XIMIZED=FALSE&amp;VAR:CALENDAR=US&amp;VAR:SYMBOL=04916420&amp;VAR:INDEX=0"}</definedName>
    <definedName name="_10313__FDSAUDITLINK__" localSheetId="6" hidden="1">{"fdsup://directions/FAT Viewer?action=UPDATE&amp;creator=factset&amp;DYN_ARGS=TRUE&amp;DOC_NAME=FAT:FQL_AUDITING_CLIENT_TEMPLATE.FAT&amp;display_string=Audit&amp;VAR:KEY=DUJCVSJSTY&amp;VAR:QUERY=RkZfRUJJVERBX0lCKCdMVE1TJywzOTA1Nik=&amp;WINDOW=FIRST_POPUP&amp;HEIGHT=450&amp;WIDTH=450&amp;START_MA","XIMIZED=FALSE&amp;VAR:CALENDAR=US&amp;VAR:SYMBOL=04916420&amp;VAR:INDEX=0"}</definedName>
    <definedName name="_10313__FDSAUDITLINK__" hidden="1">{"fdsup://directions/FAT Viewer?action=UPDATE&amp;creator=factset&amp;DYN_ARGS=TRUE&amp;DOC_NAME=FAT:FQL_AUDITING_CLIENT_TEMPLATE.FAT&amp;display_string=Audit&amp;VAR:KEY=DUJCVSJSTY&amp;VAR:QUERY=RkZfRUJJVERBX0lCKCdMVE1TJywzOTA1Nik=&amp;WINDOW=FIRST_POPUP&amp;HEIGHT=450&amp;WIDTH=450&amp;START_MA","XIMIZED=FALSE&amp;VAR:CALENDAR=US&amp;VAR:SYMBOL=04916420&amp;VAR:INDEX=0"}</definedName>
    <definedName name="_10314__FDSAUDITLINK__" localSheetId="6" hidden="1">{"fdsup://directions/FAT Viewer?action=UPDATE&amp;creator=factset&amp;DYN_ARGS=TRUE&amp;DOC_NAME=FAT:FQL_AUDITING_CLIENT_TEMPLATE.FAT&amp;display_string=Audit&amp;VAR:KEY=NCNYHANMBY&amp;VAR:QUERY=RkZfRUJJVERBX0lCKCdMVE1TJywzOTA1NSk=&amp;WINDOW=FIRST_POPUP&amp;HEIGHT=450&amp;WIDTH=450&amp;START_MA","XIMIZED=FALSE&amp;VAR:CALENDAR=US&amp;VAR:SYMBOL=04916420&amp;VAR:INDEX=0"}</definedName>
    <definedName name="_10314__FDSAUDITLINK__" hidden="1">{"fdsup://directions/FAT Viewer?action=UPDATE&amp;creator=factset&amp;DYN_ARGS=TRUE&amp;DOC_NAME=FAT:FQL_AUDITING_CLIENT_TEMPLATE.FAT&amp;display_string=Audit&amp;VAR:KEY=NCNYHANMBY&amp;VAR:QUERY=RkZfRUJJVERBX0lCKCdMVE1TJywzOTA1NSk=&amp;WINDOW=FIRST_POPUP&amp;HEIGHT=450&amp;WIDTH=450&amp;START_MA","XIMIZED=FALSE&amp;VAR:CALENDAR=US&amp;VAR:SYMBOL=04916420&amp;VAR:INDEX=0"}</definedName>
    <definedName name="_10315__FDSAUDITLINK__" localSheetId="6" hidden="1">{"fdsup://directions/FAT Viewer?action=UPDATE&amp;creator=factset&amp;DYN_ARGS=TRUE&amp;DOC_NAME=FAT:FQL_AUDITING_CLIENT_TEMPLATE.FAT&amp;display_string=Audit&amp;VAR:KEY=TGPEPGNCZC&amp;VAR:QUERY=RkZfRUJJVERBX0lCKCdMVE1TJywzOTA1NCk=&amp;WINDOW=FIRST_POPUP&amp;HEIGHT=450&amp;WIDTH=450&amp;START_MA","XIMIZED=FALSE&amp;VAR:CALENDAR=US&amp;VAR:SYMBOL=04916420&amp;VAR:INDEX=0"}</definedName>
    <definedName name="_10315__FDSAUDITLINK__" hidden="1">{"fdsup://directions/FAT Viewer?action=UPDATE&amp;creator=factset&amp;DYN_ARGS=TRUE&amp;DOC_NAME=FAT:FQL_AUDITING_CLIENT_TEMPLATE.FAT&amp;display_string=Audit&amp;VAR:KEY=TGPEPGNCZC&amp;VAR:QUERY=RkZfRUJJVERBX0lCKCdMVE1TJywzOTA1NCk=&amp;WINDOW=FIRST_POPUP&amp;HEIGHT=450&amp;WIDTH=450&amp;START_MA","XIMIZED=FALSE&amp;VAR:CALENDAR=US&amp;VAR:SYMBOL=04916420&amp;VAR:INDEX=0"}</definedName>
    <definedName name="_10316__FDSAUDITLINK__" localSheetId="6" hidden="1">{"fdsup://directions/FAT Viewer?action=UPDATE&amp;creator=factset&amp;DYN_ARGS=TRUE&amp;DOC_NAME=FAT:FQL_AUDITING_CLIENT_TEMPLATE.FAT&amp;display_string=Audit&amp;VAR:KEY=VCBQLORKRI&amp;VAR:QUERY=RkZfRUJJVERBX0lCKCdMVE1TJywzOTA1Myk=&amp;WINDOW=FIRST_POPUP&amp;HEIGHT=450&amp;WIDTH=450&amp;START_MA","XIMIZED=FALSE&amp;VAR:CALENDAR=US&amp;VAR:SYMBOL=04916420&amp;VAR:INDEX=0"}</definedName>
    <definedName name="_10316__FDSAUDITLINK__" hidden="1">{"fdsup://directions/FAT Viewer?action=UPDATE&amp;creator=factset&amp;DYN_ARGS=TRUE&amp;DOC_NAME=FAT:FQL_AUDITING_CLIENT_TEMPLATE.FAT&amp;display_string=Audit&amp;VAR:KEY=VCBQLORKRI&amp;VAR:QUERY=RkZfRUJJVERBX0lCKCdMVE1TJywzOTA1Myk=&amp;WINDOW=FIRST_POPUP&amp;HEIGHT=450&amp;WIDTH=450&amp;START_MA","XIMIZED=FALSE&amp;VAR:CALENDAR=US&amp;VAR:SYMBOL=04916420&amp;VAR:INDEX=0"}</definedName>
    <definedName name="_10317__FDSAUDITLINK__" localSheetId="6" hidden="1">{"fdsup://directions/FAT Viewer?action=UPDATE&amp;creator=factset&amp;DYN_ARGS=TRUE&amp;DOC_NAME=FAT:FQL_AUDITING_CLIENT_TEMPLATE.FAT&amp;display_string=Audit&amp;VAR:KEY=HUJKRADGNE&amp;VAR:QUERY=RkZfRUJJVERBX0lCKCdMVE1TJywzOTA1Mik=&amp;WINDOW=FIRST_POPUP&amp;HEIGHT=450&amp;WIDTH=450&amp;START_MA","XIMIZED=FALSE&amp;VAR:CALENDAR=US&amp;VAR:SYMBOL=04916420&amp;VAR:INDEX=0"}</definedName>
    <definedName name="_10317__FDSAUDITLINK__" hidden="1">{"fdsup://directions/FAT Viewer?action=UPDATE&amp;creator=factset&amp;DYN_ARGS=TRUE&amp;DOC_NAME=FAT:FQL_AUDITING_CLIENT_TEMPLATE.FAT&amp;display_string=Audit&amp;VAR:KEY=HUJKRADGNE&amp;VAR:QUERY=RkZfRUJJVERBX0lCKCdMVE1TJywzOTA1Mik=&amp;WINDOW=FIRST_POPUP&amp;HEIGHT=450&amp;WIDTH=450&amp;START_MA","XIMIZED=FALSE&amp;VAR:CALENDAR=US&amp;VAR:SYMBOL=04916420&amp;VAR:INDEX=0"}</definedName>
    <definedName name="_10318__FDSAUDITLINK__" localSheetId="6" hidden="1">{"fdsup://directions/FAT Viewer?action=UPDATE&amp;creator=factset&amp;DYN_ARGS=TRUE&amp;DOC_NAME=FAT:FQL_AUDITING_CLIENT_TEMPLATE.FAT&amp;display_string=Audit&amp;VAR:KEY=JAFCXIBWJK&amp;VAR:QUERY=RkZfRUJJVERBX0lCKCdMVE1TJywzOTA1MSk=&amp;WINDOW=FIRST_POPUP&amp;HEIGHT=450&amp;WIDTH=450&amp;START_MA","XIMIZED=FALSE&amp;VAR:CALENDAR=US&amp;VAR:SYMBOL=04916420&amp;VAR:INDEX=0"}</definedName>
    <definedName name="_10318__FDSAUDITLINK__" hidden="1">{"fdsup://directions/FAT Viewer?action=UPDATE&amp;creator=factset&amp;DYN_ARGS=TRUE&amp;DOC_NAME=FAT:FQL_AUDITING_CLIENT_TEMPLATE.FAT&amp;display_string=Audit&amp;VAR:KEY=JAFCXIBWJK&amp;VAR:QUERY=RkZfRUJJVERBX0lCKCdMVE1TJywzOTA1MSk=&amp;WINDOW=FIRST_POPUP&amp;HEIGHT=450&amp;WIDTH=450&amp;START_MA","XIMIZED=FALSE&amp;VAR:CALENDAR=US&amp;VAR:SYMBOL=04916420&amp;VAR:INDEX=0"}</definedName>
    <definedName name="_10319__FDSAUDITLINK__" localSheetId="6" hidden="1">{"fdsup://directions/FAT Viewer?action=UPDATE&amp;creator=factset&amp;DYN_ARGS=TRUE&amp;DOC_NAME=FAT:FQL_AUDITING_CLIENT_TEMPLATE.FAT&amp;display_string=Audit&amp;VAR:KEY=JANERCJUHS&amp;VAR:QUERY=RkZfRUJJVERBX0lCKCdMVE1TJywzOTA1MCk=&amp;WINDOW=FIRST_POPUP&amp;HEIGHT=450&amp;WIDTH=450&amp;START_MA","XIMIZED=FALSE&amp;VAR:CALENDAR=US&amp;VAR:SYMBOL=04916420&amp;VAR:INDEX=0"}</definedName>
    <definedName name="_10319__FDSAUDITLINK__" hidden="1">{"fdsup://directions/FAT Viewer?action=UPDATE&amp;creator=factset&amp;DYN_ARGS=TRUE&amp;DOC_NAME=FAT:FQL_AUDITING_CLIENT_TEMPLATE.FAT&amp;display_string=Audit&amp;VAR:KEY=JANERCJUHS&amp;VAR:QUERY=RkZfRUJJVERBX0lCKCdMVE1TJywzOTA1MCk=&amp;WINDOW=FIRST_POPUP&amp;HEIGHT=450&amp;WIDTH=450&amp;START_MA","XIMIZED=FALSE&amp;VAR:CALENDAR=US&amp;VAR:SYMBOL=04916420&amp;VAR:INDEX=0"}</definedName>
    <definedName name="_1032__FDSAUDITLINK__" localSheetId="6" hidden="1">{"fdsup://directions/FAT%20Viewer?VAR:PED=LTM&amp;VAR:AUDIT_MODE=SUMMARY&amp;VAR:PERIOD=FIXED&amp;VAR:AUDIT_ID=00000117&amp;VAR:DATE=20070426&amp;action=UPDATE&amp;creator=factset&amp;DOC_NAME=FAT:FMA_audit_SUMMARY.fat&amp;DISPLAY_STRING=Display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2__FDSAUDITLINK__" hidden="1">{"fdsup://directions/FAT%20Viewer?VAR:PED=LTM&amp;VAR:AUDIT_MODE=SUMMARY&amp;VAR:PERIOD=FIXED&amp;VAR:AUDIT_ID=00000117&amp;VAR:DATE=20070426&amp;action=UPDATE&amp;creator=factset&amp;DOC_NAME=FAT:FMA_audit_SUMMARY.fat&amp;DISPLAY_STRING=Display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20__FDSAUDITLINK__" localSheetId="6" hidden="1">{"fdsup://directions/FAT Viewer?action=UPDATE&amp;creator=factset&amp;DYN_ARGS=TRUE&amp;DOC_NAME=FAT:FQL_AUDITING_CLIENT_TEMPLATE.FAT&amp;display_string=Audit&amp;VAR:KEY=BMZWHGXWLW&amp;VAR:QUERY=RkZfRUJJVERBX0lCKCdMVE1TJywzOTA0OSk=&amp;WINDOW=FIRST_POPUP&amp;HEIGHT=450&amp;WIDTH=450&amp;START_MA","XIMIZED=FALSE&amp;VAR:CALENDAR=US&amp;VAR:SYMBOL=04916420&amp;VAR:INDEX=0"}</definedName>
    <definedName name="_10320__FDSAUDITLINK__" hidden="1">{"fdsup://directions/FAT Viewer?action=UPDATE&amp;creator=factset&amp;DYN_ARGS=TRUE&amp;DOC_NAME=FAT:FQL_AUDITING_CLIENT_TEMPLATE.FAT&amp;display_string=Audit&amp;VAR:KEY=BMZWHGXWLW&amp;VAR:QUERY=RkZfRUJJVERBX0lCKCdMVE1TJywzOTA0OSk=&amp;WINDOW=FIRST_POPUP&amp;HEIGHT=450&amp;WIDTH=450&amp;START_MA","XIMIZED=FALSE&amp;VAR:CALENDAR=US&amp;VAR:SYMBOL=04916420&amp;VAR:INDEX=0"}</definedName>
    <definedName name="_10321__FDSAUDITLINK__" localSheetId="6" hidden="1">{"fdsup://directions/FAT Viewer?action=UPDATE&amp;creator=factset&amp;DYN_ARGS=TRUE&amp;DOC_NAME=FAT:FQL_AUDITING_CLIENT_TEMPLATE.FAT&amp;display_string=Audit&amp;VAR:KEY=DWXQNSBABQ&amp;VAR:QUERY=RkZfRUJJVERBX0lCKCdMVE1TJywzOTA0OCk=&amp;WINDOW=FIRST_POPUP&amp;HEIGHT=450&amp;WIDTH=450&amp;START_MA","XIMIZED=FALSE&amp;VAR:CALENDAR=US&amp;VAR:SYMBOL=04916420&amp;VAR:INDEX=0"}</definedName>
    <definedName name="_10321__FDSAUDITLINK__" hidden="1">{"fdsup://directions/FAT Viewer?action=UPDATE&amp;creator=factset&amp;DYN_ARGS=TRUE&amp;DOC_NAME=FAT:FQL_AUDITING_CLIENT_TEMPLATE.FAT&amp;display_string=Audit&amp;VAR:KEY=DWXQNSBABQ&amp;VAR:QUERY=RkZfRUJJVERBX0lCKCdMVE1TJywzOTA0OCk=&amp;WINDOW=FIRST_POPUP&amp;HEIGHT=450&amp;WIDTH=450&amp;START_MA","XIMIZED=FALSE&amp;VAR:CALENDAR=US&amp;VAR:SYMBOL=04916420&amp;VAR:INDEX=0"}</definedName>
    <definedName name="_10322__FDSAUDITLINK__" localSheetId="6" hidden="1">{"fdsup://directions/FAT Viewer?action=UPDATE&amp;creator=factset&amp;DYN_ARGS=TRUE&amp;DOC_NAME=FAT:FQL_AUDITING_CLIENT_TEMPLATE.FAT&amp;display_string=Audit&amp;VAR:KEY=JGHGDURAFG&amp;VAR:QUERY=RkZfRUJJVERBX0lCKCdMVE1TJywzOTA0Nyk=&amp;WINDOW=FIRST_POPUP&amp;HEIGHT=450&amp;WIDTH=450&amp;START_MA","XIMIZED=FALSE&amp;VAR:CALENDAR=US&amp;VAR:SYMBOL=04916420&amp;VAR:INDEX=0"}</definedName>
    <definedName name="_10322__FDSAUDITLINK__" hidden="1">{"fdsup://directions/FAT Viewer?action=UPDATE&amp;creator=factset&amp;DYN_ARGS=TRUE&amp;DOC_NAME=FAT:FQL_AUDITING_CLIENT_TEMPLATE.FAT&amp;display_string=Audit&amp;VAR:KEY=JGHGDURAFG&amp;VAR:QUERY=RkZfRUJJVERBX0lCKCdMVE1TJywzOTA0Nyk=&amp;WINDOW=FIRST_POPUP&amp;HEIGHT=450&amp;WIDTH=450&amp;START_MA","XIMIZED=FALSE&amp;VAR:CALENDAR=US&amp;VAR:SYMBOL=04916420&amp;VAR:INDEX=0"}</definedName>
    <definedName name="_10323__FDSAUDITLINK__" localSheetId="6" hidden="1">{"fdsup://directions/FAT Viewer?action=UPDATE&amp;creator=factset&amp;DYN_ARGS=TRUE&amp;DOC_NAME=FAT:FQL_AUDITING_CLIENT_TEMPLATE.FAT&amp;display_string=Audit&amp;VAR:KEY=TMXSPALEJM&amp;VAR:QUERY=RkZfRUJJVERBX0lCKCdMVE1TJywzOTA0Nik=&amp;WINDOW=FIRST_POPUP&amp;HEIGHT=450&amp;WIDTH=450&amp;START_MA","XIMIZED=FALSE&amp;VAR:CALENDAR=US&amp;VAR:SYMBOL=04916420&amp;VAR:INDEX=0"}</definedName>
    <definedName name="_10323__FDSAUDITLINK__" hidden="1">{"fdsup://directions/FAT Viewer?action=UPDATE&amp;creator=factset&amp;DYN_ARGS=TRUE&amp;DOC_NAME=FAT:FQL_AUDITING_CLIENT_TEMPLATE.FAT&amp;display_string=Audit&amp;VAR:KEY=TMXSPALEJM&amp;VAR:QUERY=RkZfRUJJVERBX0lCKCdMVE1TJywzOTA0Nik=&amp;WINDOW=FIRST_POPUP&amp;HEIGHT=450&amp;WIDTH=450&amp;START_MA","XIMIZED=FALSE&amp;VAR:CALENDAR=US&amp;VAR:SYMBOL=04916420&amp;VAR:INDEX=0"}</definedName>
    <definedName name="_10324__FDSAUDITLINK__" localSheetId="6" hidden="1">{"fdsup://directions/FAT Viewer?action=UPDATE&amp;creator=factset&amp;DYN_ARGS=TRUE&amp;DOC_NAME=FAT:FQL_AUDITING_CLIENT_TEMPLATE.FAT&amp;display_string=Audit&amp;VAR:KEY=JMHMBAJUPC&amp;VAR:QUERY=RkZfRUJJVERBX0lCKCdMVE1TJywzOTA0NSk=&amp;WINDOW=FIRST_POPUP&amp;HEIGHT=450&amp;WIDTH=450&amp;START_MA","XIMIZED=FALSE&amp;VAR:CALENDAR=US&amp;VAR:SYMBOL=04916420&amp;VAR:INDEX=0"}</definedName>
    <definedName name="_10324__FDSAUDITLINK__" hidden="1">{"fdsup://directions/FAT Viewer?action=UPDATE&amp;creator=factset&amp;DYN_ARGS=TRUE&amp;DOC_NAME=FAT:FQL_AUDITING_CLIENT_TEMPLATE.FAT&amp;display_string=Audit&amp;VAR:KEY=JMHMBAJUPC&amp;VAR:QUERY=RkZfRUJJVERBX0lCKCdMVE1TJywzOTA0NSk=&amp;WINDOW=FIRST_POPUP&amp;HEIGHT=450&amp;WIDTH=450&amp;START_MA","XIMIZED=FALSE&amp;VAR:CALENDAR=US&amp;VAR:SYMBOL=04916420&amp;VAR:INDEX=0"}</definedName>
    <definedName name="_10325__FDSAUDITLINK__" localSheetId="6" hidden="1">{"fdsup://directions/FAT Viewer?action=UPDATE&amp;creator=factset&amp;DYN_ARGS=TRUE&amp;DOC_NAME=FAT:FQL_AUDITING_CLIENT_TEMPLATE.FAT&amp;display_string=Audit&amp;VAR:KEY=VWJUXUPKRO&amp;VAR:QUERY=RkZfRUJJVERBX0lCKCdMVE1TJywzOTA0NCk=&amp;WINDOW=FIRST_POPUP&amp;HEIGHT=450&amp;WIDTH=450&amp;START_MA","XIMIZED=FALSE&amp;VAR:CALENDAR=US&amp;VAR:SYMBOL=04916420&amp;VAR:INDEX=0"}</definedName>
    <definedName name="_10325__FDSAUDITLINK__" hidden="1">{"fdsup://directions/FAT Viewer?action=UPDATE&amp;creator=factset&amp;DYN_ARGS=TRUE&amp;DOC_NAME=FAT:FQL_AUDITING_CLIENT_TEMPLATE.FAT&amp;display_string=Audit&amp;VAR:KEY=VWJUXUPKRO&amp;VAR:QUERY=RkZfRUJJVERBX0lCKCdMVE1TJywzOTA0NCk=&amp;WINDOW=FIRST_POPUP&amp;HEIGHT=450&amp;WIDTH=450&amp;START_MA","XIMIZED=FALSE&amp;VAR:CALENDAR=US&amp;VAR:SYMBOL=04916420&amp;VAR:INDEX=0"}</definedName>
    <definedName name="_10326__FDSAUDITLINK__" localSheetId="6" hidden="1">{"fdsup://directions/FAT Viewer?action=UPDATE&amp;creator=factset&amp;DYN_ARGS=TRUE&amp;DOC_NAME=FAT:FQL_AUDITING_CLIENT_TEMPLATE.FAT&amp;display_string=Audit&amp;VAR:KEY=BYTGVGFKDG&amp;VAR:QUERY=RkZfRUJJVERBX0lCKCdMVE1TJywzOTA0Myk=&amp;WINDOW=FIRST_POPUP&amp;HEIGHT=450&amp;WIDTH=450&amp;START_MA","XIMIZED=FALSE&amp;VAR:CALENDAR=US&amp;VAR:SYMBOL=04916420&amp;VAR:INDEX=0"}</definedName>
    <definedName name="_10326__FDSAUDITLINK__" hidden="1">{"fdsup://directions/FAT Viewer?action=UPDATE&amp;creator=factset&amp;DYN_ARGS=TRUE&amp;DOC_NAME=FAT:FQL_AUDITING_CLIENT_TEMPLATE.FAT&amp;display_string=Audit&amp;VAR:KEY=BYTGVGFKDG&amp;VAR:QUERY=RkZfRUJJVERBX0lCKCdMVE1TJywzOTA0Myk=&amp;WINDOW=FIRST_POPUP&amp;HEIGHT=450&amp;WIDTH=450&amp;START_MA","XIMIZED=FALSE&amp;VAR:CALENDAR=US&amp;VAR:SYMBOL=04916420&amp;VAR:INDEX=0"}</definedName>
    <definedName name="_10327__FDSAUDITLINK__" localSheetId="6" hidden="1">{"fdsup://directions/FAT Viewer?action=UPDATE&amp;creator=factset&amp;DYN_ARGS=TRUE&amp;DOC_NAME=FAT:FQL_AUDITING_CLIENT_TEMPLATE.FAT&amp;display_string=Audit&amp;VAR:KEY=TEHMNQNMJE&amp;VAR:QUERY=RkZfRUJJVERBX0lCKCdMVE1TJywzOTA0Mik=&amp;WINDOW=FIRST_POPUP&amp;HEIGHT=450&amp;WIDTH=450&amp;START_MA","XIMIZED=FALSE&amp;VAR:CALENDAR=US&amp;VAR:SYMBOL=04916420&amp;VAR:INDEX=0"}</definedName>
    <definedName name="_10327__FDSAUDITLINK__" hidden="1">{"fdsup://directions/FAT Viewer?action=UPDATE&amp;creator=factset&amp;DYN_ARGS=TRUE&amp;DOC_NAME=FAT:FQL_AUDITING_CLIENT_TEMPLATE.FAT&amp;display_string=Audit&amp;VAR:KEY=TEHMNQNMJE&amp;VAR:QUERY=RkZfRUJJVERBX0lCKCdMVE1TJywzOTA0Mik=&amp;WINDOW=FIRST_POPUP&amp;HEIGHT=450&amp;WIDTH=450&amp;START_MA","XIMIZED=FALSE&amp;VAR:CALENDAR=US&amp;VAR:SYMBOL=04916420&amp;VAR:INDEX=0"}</definedName>
    <definedName name="_10328__FDSAUDITLINK__" localSheetId="6" hidden="1">{"fdsup://directions/FAT Viewer?action=UPDATE&amp;creator=factset&amp;DYN_ARGS=TRUE&amp;DOC_NAME=FAT:FQL_AUDITING_CLIENT_TEMPLATE.FAT&amp;display_string=Audit&amp;VAR:KEY=BCDAHCZMNA&amp;VAR:QUERY=RkZfRUJJVERBX0lCKCdMVE1TJywzOTA0MSk=&amp;WINDOW=FIRST_POPUP&amp;HEIGHT=450&amp;WIDTH=450&amp;START_MA","XIMIZED=FALSE&amp;VAR:CALENDAR=US&amp;VAR:SYMBOL=04916420&amp;VAR:INDEX=0"}</definedName>
    <definedName name="_10328__FDSAUDITLINK__" hidden="1">{"fdsup://directions/FAT Viewer?action=UPDATE&amp;creator=factset&amp;DYN_ARGS=TRUE&amp;DOC_NAME=FAT:FQL_AUDITING_CLIENT_TEMPLATE.FAT&amp;display_string=Audit&amp;VAR:KEY=BCDAHCZMNA&amp;VAR:QUERY=RkZfRUJJVERBX0lCKCdMVE1TJywzOTA0MSk=&amp;WINDOW=FIRST_POPUP&amp;HEIGHT=450&amp;WIDTH=450&amp;START_MA","XIMIZED=FALSE&amp;VAR:CALENDAR=US&amp;VAR:SYMBOL=04916420&amp;VAR:INDEX=0"}</definedName>
    <definedName name="_10329__FDSAUDITLINK__" localSheetId="6" hidden="1">{"fdsup://directions/FAT Viewer?action=UPDATE&amp;creator=factset&amp;DYN_ARGS=TRUE&amp;DOC_NAME=FAT:FQL_AUDITING_CLIENT_TEMPLATE.FAT&amp;display_string=Audit&amp;VAR:KEY=DGHONUVIRC&amp;VAR:QUERY=RkZfRUJJVERBX0lCKCdMVE1TJywzOTA0MCk=&amp;WINDOW=FIRST_POPUP&amp;HEIGHT=450&amp;WIDTH=450&amp;START_MA","XIMIZED=FALSE&amp;VAR:CALENDAR=US&amp;VAR:SYMBOL=04916420&amp;VAR:INDEX=0"}</definedName>
    <definedName name="_10329__FDSAUDITLINK__" hidden="1">{"fdsup://directions/FAT Viewer?action=UPDATE&amp;creator=factset&amp;DYN_ARGS=TRUE&amp;DOC_NAME=FAT:FQL_AUDITING_CLIENT_TEMPLATE.FAT&amp;display_string=Audit&amp;VAR:KEY=DGHONUVIRC&amp;VAR:QUERY=RkZfRUJJVERBX0lCKCdMVE1TJywzOTA0MCk=&amp;WINDOW=FIRST_POPUP&amp;HEIGHT=450&amp;WIDTH=450&amp;START_MA","XIMIZED=FALSE&amp;VAR:CALENDAR=US&amp;VAR:SYMBOL=04916420&amp;VAR:INDEX=0"}</definedName>
    <definedName name="_1033__FDSAUDITLINK__" localSheetId="6" hidden="1">{"fdsup://directions/FAT%20Viewer?VAR:PED=LTM&amp;VAR:AUDIT_MODE=SUMMARY&amp;VAR:PERIOD=FIXED&amp;VAR:AUDIT_ID=00000117&amp;VAR:DATE=20070425&amp;action=UPDATE&amp;creator=factset&amp;DOC_NAME=FAT:FMA_audit_SUMMARY.fat&amp;DISPLAY_STRING=Display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3__FDSAUDITLINK__" hidden="1">{"fdsup://directions/FAT%20Viewer?VAR:PED=LTM&amp;VAR:AUDIT_MODE=SUMMARY&amp;VAR:PERIOD=FIXED&amp;VAR:AUDIT_ID=00000117&amp;VAR:DATE=20070425&amp;action=UPDATE&amp;creator=factset&amp;DOC_NAME=FAT:FMA_audit_SUMMARY.fat&amp;DISPLAY_STRING=Display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30__FDSAUDITLINK__" localSheetId="6" hidden="1">{"fdsup://directions/FAT Viewer?action=UPDATE&amp;creator=factset&amp;DYN_ARGS=TRUE&amp;DOC_NAME=FAT:FQL_AUDITING_CLIENT_TEMPLATE.FAT&amp;display_string=Audit&amp;VAR:KEY=TOLAJIBAFS&amp;VAR:QUERY=RkZfRUJJVERBX0lCKCdMVE1TJywzOTAzOSk=&amp;WINDOW=FIRST_POPUP&amp;HEIGHT=450&amp;WIDTH=450&amp;START_MA","XIMIZED=FALSE&amp;VAR:CALENDAR=US&amp;VAR:SYMBOL=04916420&amp;VAR:INDEX=0"}</definedName>
    <definedName name="_10330__FDSAUDITLINK__" hidden="1">{"fdsup://directions/FAT Viewer?action=UPDATE&amp;creator=factset&amp;DYN_ARGS=TRUE&amp;DOC_NAME=FAT:FQL_AUDITING_CLIENT_TEMPLATE.FAT&amp;display_string=Audit&amp;VAR:KEY=TOLAJIBAFS&amp;VAR:QUERY=RkZfRUJJVERBX0lCKCdMVE1TJywzOTAzOSk=&amp;WINDOW=FIRST_POPUP&amp;HEIGHT=450&amp;WIDTH=450&amp;START_MA","XIMIZED=FALSE&amp;VAR:CALENDAR=US&amp;VAR:SYMBOL=04916420&amp;VAR:INDEX=0"}</definedName>
    <definedName name="_10331__FDSAUDITLINK__" localSheetId="6" hidden="1">{"fdsup://directions/FAT Viewer?action=UPDATE&amp;creator=factset&amp;DYN_ARGS=TRUE&amp;DOC_NAME=FAT:FQL_AUDITING_CLIENT_TEMPLATE.FAT&amp;display_string=Audit&amp;VAR:KEY=LKRGNQXAZW&amp;VAR:QUERY=RkZfRUJJVERBX0lCKCdMVE1TJywzOTAzOCk=&amp;WINDOW=FIRST_POPUP&amp;HEIGHT=450&amp;WIDTH=450&amp;START_MA","XIMIZED=FALSE&amp;VAR:CALENDAR=US&amp;VAR:SYMBOL=04916420&amp;VAR:INDEX=0"}</definedName>
    <definedName name="_10331__FDSAUDITLINK__" hidden="1">{"fdsup://directions/FAT Viewer?action=UPDATE&amp;creator=factset&amp;DYN_ARGS=TRUE&amp;DOC_NAME=FAT:FQL_AUDITING_CLIENT_TEMPLATE.FAT&amp;display_string=Audit&amp;VAR:KEY=LKRGNQXAZW&amp;VAR:QUERY=RkZfRUJJVERBX0lCKCdMVE1TJywzOTAzOCk=&amp;WINDOW=FIRST_POPUP&amp;HEIGHT=450&amp;WIDTH=450&amp;START_MA","XIMIZED=FALSE&amp;VAR:CALENDAR=US&amp;VAR:SYMBOL=04916420&amp;VAR:INDEX=0"}</definedName>
    <definedName name="_10332__FDSAUDITLINK__" localSheetId="6" hidden="1">{"fdsup://directions/FAT Viewer?action=UPDATE&amp;creator=factset&amp;DYN_ARGS=TRUE&amp;DOC_NAME=FAT:FQL_AUDITING_CLIENT_TEMPLATE.FAT&amp;display_string=Audit&amp;VAR:KEY=DMTCFGBMBK&amp;VAR:QUERY=RkZfRUJJVERBX0lCKCdMVE1TJywzOTAzNyk=&amp;WINDOW=FIRST_POPUP&amp;HEIGHT=450&amp;WIDTH=450&amp;START_MA","XIMIZED=FALSE&amp;VAR:CALENDAR=US&amp;VAR:SYMBOL=04916420&amp;VAR:INDEX=0"}</definedName>
    <definedName name="_10332__FDSAUDITLINK__" hidden="1">{"fdsup://directions/FAT Viewer?action=UPDATE&amp;creator=factset&amp;DYN_ARGS=TRUE&amp;DOC_NAME=FAT:FQL_AUDITING_CLIENT_TEMPLATE.FAT&amp;display_string=Audit&amp;VAR:KEY=DMTCFGBMBK&amp;VAR:QUERY=RkZfRUJJVERBX0lCKCdMVE1TJywzOTAzNyk=&amp;WINDOW=FIRST_POPUP&amp;HEIGHT=450&amp;WIDTH=450&amp;START_MA","XIMIZED=FALSE&amp;VAR:CALENDAR=US&amp;VAR:SYMBOL=04916420&amp;VAR:INDEX=0"}</definedName>
    <definedName name="_10333__FDSAUDITLINK__" localSheetId="6" hidden="1">{"fdsup://directions/FAT Viewer?action=UPDATE&amp;creator=factset&amp;DYN_ARGS=TRUE&amp;DOC_NAME=FAT:FQL_AUDITING_CLIENT_TEMPLATE.FAT&amp;display_string=Audit&amp;VAR:KEY=JKZKVQJOBI&amp;VAR:QUERY=RkZfRUJJVERBX0lCKCdMVE1TJywzOTAzNik=&amp;WINDOW=FIRST_POPUP&amp;HEIGHT=450&amp;WIDTH=450&amp;START_MA","XIMIZED=FALSE&amp;VAR:CALENDAR=US&amp;VAR:SYMBOL=04916420&amp;VAR:INDEX=0"}</definedName>
    <definedName name="_10333__FDSAUDITLINK__" hidden="1">{"fdsup://directions/FAT Viewer?action=UPDATE&amp;creator=factset&amp;DYN_ARGS=TRUE&amp;DOC_NAME=FAT:FQL_AUDITING_CLIENT_TEMPLATE.FAT&amp;display_string=Audit&amp;VAR:KEY=JKZKVQJOBI&amp;VAR:QUERY=RkZfRUJJVERBX0lCKCdMVE1TJywzOTAzNik=&amp;WINDOW=FIRST_POPUP&amp;HEIGHT=450&amp;WIDTH=450&amp;START_MA","XIMIZED=FALSE&amp;VAR:CALENDAR=US&amp;VAR:SYMBOL=04916420&amp;VAR:INDEX=0"}</definedName>
    <definedName name="_10334__FDSAUDITLINK__" localSheetId="6" hidden="1">{"fdsup://directions/FAT Viewer?action=UPDATE&amp;creator=factset&amp;DYN_ARGS=TRUE&amp;DOC_NAME=FAT:FQL_AUDITING_CLIENT_TEMPLATE.FAT&amp;display_string=Audit&amp;VAR:KEY=JYVWXYVEPW&amp;VAR:QUERY=RkZfRUJJVERBX0lCKCdMVE1TJywzOTAzNSk=&amp;WINDOW=FIRST_POPUP&amp;HEIGHT=450&amp;WIDTH=450&amp;START_MA","XIMIZED=FALSE&amp;VAR:CALENDAR=US&amp;VAR:SYMBOL=04916420&amp;VAR:INDEX=0"}</definedName>
    <definedName name="_10334__FDSAUDITLINK__" hidden="1">{"fdsup://directions/FAT Viewer?action=UPDATE&amp;creator=factset&amp;DYN_ARGS=TRUE&amp;DOC_NAME=FAT:FQL_AUDITING_CLIENT_TEMPLATE.FAT&amp;display_string=Audit&amp;VAR:KEY=JYVWXYVEPW&amp;VAR:QUERY=RkZfRUJJVERBX0lCKCdMVE1TJywzOTAzNSk=&amp;WINDOW=FIRST_POPUP&amp;HEIGHT=450&amp;WIDTH=450&amp;START_MA","XIMIZED=FALSE&amp;VAR:CALENDAR=US&amp;VAR:SYMBOL=04916420&amp;VAR:INDEX=0"}</definedName>
    <definedName name="_10335__FDSAUDITLINK__" localSheetId="6" hidden="1">{"fdsup://directions/FAT Viewer?action=UPDATE&amp;creator=factset&amp;DYN_ARGS=TRUE&amp;DOC_NAME=FAT:FQL_AUDITING_CLIENT_TEMPLATE.FAT&amp;display_string=Audit&amp;VAR:KEY=PSTOLQJYZW&amp;VAR:QUERY=RkZfRUJJVERBX0lCKCdMVE1TJywzOTAzNCk=&amp;WINDOW=FIRST_POPUP&amp;HEIGHT=450&amp;WIDTH=450&amp;START_MA","XIMIZED=FALSE&amp;VAR:CALENDAR=US&amp;VAR:SYMBOL=04916420&amp;VAR:INDEX=0"}</definedName>
    <definedName name="_10335__FDSAUDITLINK__" hidden="1">{"fdsup://directions/FAT Viewer?action=UPDATE&amp;creator=factset&amp;DYN_ARGS=TRUE&amp;DOC_NAME=FAT:FQL_AUDITING_CLIENT_TEMPLATE.FAT&amp;display_string=Audit&amp;VAR:KEY=PSTOLQJYZW&amp;VAR:QUERY=RkZfRUJJVERBX0lCKCdMVE1TJywzOTAzNCk=&amp;WINDOW=FIRST_POPUP&amp;HEIGHT=450&amp;WIDTH=450&amp;START_MA","XIMIZED=FALSE&amp;VAR:CALENDAR=US&amp;VAR:SYMBOL=04916420&amp;VAR:INDEX=0"}</definedName>
    <definedName name="_10336__FDSAUDITLINK__" localSheetId="6" hidden="1">{"fdsup://directions/FAT Viewer?action=UPDATE&amp;creator=factset&amp;DYN_ARGS=TRUE&amp;DOC_NAME=FAT:FQL_AUDITING_CLIENT_TEMPLATE.FAT&amp;display_string=Audit&amp;VAR:KEY=RQHKVWZCLO&amp;VAR:QUERY=RkZfRUJJVERBX0lCKCdMVE1TJywzOTAzMyk=&amp;WINDOW=FIRST_POPUP&amp;HEIGHT=450&amp;WIDTH=450&amp;START_MA","XIMIZED=FALSE&amp;VAR:CALENDAR=US&amp;VAR:SYMBOL=04916420&amp;VAR:INDEX=0"}</definedName>
    <definedName name="_10336__FDSAUDITLINK__" hidden="1">{"fdsup://directions/FAT Viewer?action=UPDATE&amp;creator=factset&amp;DYN_ARGS=TRUE&amp;DOC_NAME=FAT:FQL_AUDITING_CLIENT_TEMPLATE.FAT&amp;display_string=Audit&amp;VAR:KEY=RQHKVWZCLO&amp;VAR:QUERY=RkZfRUJJVERBX0lCKCdMVE1TJywzOTAzMyk=&amp;WINDOW=FIRST_POPUP&amp;HEIGHT=450&amp;WIDTH=450&amp;START_MA","XIMIZED=FALSE&amp;VAR:CALENDAR=US&amp;VAR:SYMBOL=04916420&amp;VAR:INDEX=0"}</definedName>
    <definedName name="_10337__FDSAUDITLINK__" localSheetId="6" hidden="1">{"fdsup://directions/FAT Viewer?action=UPDATE&amp;creator=factset&amp;DYN_ARGS=TRUE&amp;DOC_NAME=FAT:FQL_AUDITING_CLIENT_TEMPLATE.FAT&amp;display_string=Audit&amp;VAR:KEY=LYTMPUTIHA&amp;VAR:QUERY=RkZfRUJJVERBX0lCKCdMVE1TJywzOTAzMik=&amp;WINDOW=FIRST_POPUP&amp;HEIGHT=450&amp;WIDTH=450&amp;START_MA","XIMIZED=FALSE&amp;VAR:CALENDAR=US&amp;VAR:SYMBOL=04916420&amp;VAR:INDEX=0"}</definedName>
    <definedName name="_10337__FDSAUDITLINK__" hidden="1">{"fdsup://directions/FAT Viewer?action=UPDATE&amp;creator=factset&amp;DYN_ARGS=TRUE&amp;DOC_NAME=FAT:FQL_AUDITING_CLIENT_TEMPLATE.FAT&amp;display_string=Audit&amp;VAR:KEY=LYTMPUTIHA&amp;VAR:QUERY=RkZfRUJJVERBX0lCKCdMVE1TJywzOTAzMik=&amp;WINDOW=FIRST_POPUP&amp;HEIGHT=450&amp;WIDTH=450&amp;START_MA","XIMIZED=FALSE&amp;VAR:CALENDAR=US&amp;VAR:SYMBOL=04916420&amp;VAR:INDEX=0"}</definedName>
    <definedName name="_10338__FDSAUDITLINK__" localSheetId="6" hidden="1">{"fdsup://directions/FAT Viewer?action=UPDATE&amp;creator=factset&amp;DYN_ARGS=TRUE&amp;DOC_NAME=FAT:FQL_AUDITING_CLIENT_TEMPLATE.FAT&amp;display_string=Audit&amp;VAR:KEY=PGPAHUFOVM&amp;VAR:QUERY=RkZfRUJJVERBX0lCKCdMVE1TJywzOTAzMSk=&amp;WINDOW=FIRST_POPUP&amp;HEIGHT=450&amp;WIDTH=450&amp;START_MA","XIMIZED=FALSE&amp;VAR:CALENDAR=US&amp;VAR:SYMBOL=04916420&amp;VAR:INDEX=0"}</definedName>
    <definedName name="_10338__FDSAUDITLINK__" hidden="1">{"fdsup://directions/FAT Viewer?action=UPDATE&amp;creator=factset&amp;DYN_ARGS=TRUE&amp;DOC_NAME=FAT:FQL_AUDITING_CLIENT_TEMPLATE.FAT&amp;display_string=Audit&amp;VAR:KEY=PGPAHUFOVM&amp;VAR:QUERY=RkZfRUJJVERBX0lCKCdMVE1TJywzOTAzMSk=&amp;WINDOW=FIRST_POPUP&amp;HEIGHT=450&amp;WIDTH=450&amp;START_MA","XIMIZED=FALSE&amp;VAR:CALENDAR=US&amp;VAR:SYMBOL=04916420&amp;VAR:INDEX=0"}</definedName>
    <definedName name="_10339__FDSAUDITLINK__" localSheetId="6" hidden="1">{"fdsup://directions/FAT Viewer?action=UPDATE&amp;creator=factset&amp;DYN_ARGS=TRUE&amp;DOC_NAME=FAT:FQL_AUDITING_CLIENT_TEMPLATE.FAT&amp;display_string=Audit&amp;VAR:KEY=VGXAXCXAZC&amp;VAR:QUERY=RkZfRUJJVERBX0lCKCdMVE1TJywzOTAzMCk=&amp;WINDOW=FIRST_POPUP&amp;HEIGHT=450&amp;WIDTH=450&amp;START_MA","XIMIZED=FALSE&amp;VAR:CALENDAR=US&amp;VAR:SYMBOL=04916420&amp;VAR:INDEX=0"}</definedName>
    <definedName name="_10339__FDSAUDITLINK__" hidden="1">{"fdsup://directions/FAT Viewer?action=UPDATE&amp;creator=factset&amp;DYN_ARGS=TRUE&amp;DOC_NAME=FAT:FQL_AUDITING_CLIENT_TEMPLATE.FAT&amp;display_string=Audit&amp;VAR:KEY=VGXAXCXAZC&amp;VAR:QUERY=RkZfRUJJVERBX0lCKCdMVE1TJywzOTAzMCk=&amp;WINDOW=FIRST_POPUP&amp;HEIGHT=450&amp;WIDTH=450&amp;START_MA","XIMIZED=FALSE&amp;VAR:CALENDAR=US&amp;VAR:SYMBOL=04916420&amp;VAR:INDEX=0"}</definedName>
    <definedName name="_1034__FDSAUDITLINK__" localSheetId="6" hidden="1">{"fdsup://directions/FAT%20Viewer?VAR:PED=LTM&amp;VAR:AUDIT_MODE=SUMMARY&amp;VAR:PERIOD=FIXED&amp;VAR:AUDIT_ID=00000117&amp;VAR:DATE=20070424&amp;action=UPDATE&amp;creator=factset&amp;DOC_NAME=FAT:FMA_audit_SUMMARY.fat&amp;DISPLAY_STRING=Display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4__FDSAUDITLINK__" hidden="1">{"fdsup://directions/FAT%20Viewer?VAR:PED=LTM&amp;VAR:AUDIT_MODE=SUMMARY&amp;VAR:PERIOD=FIXED&amp;VAR:AUDIT_ID=00000117&amp;VAR:DATE=20070424&amp;action=UPDATE&amp;creator=factset&amp;DOC_NAME=FAT:FMA_audit_SUMMARY.fat&amp;DISPLAY_STRING=Display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40__FDSAUDITLINK__" localSheetId="6" hidden="1">{"fdsup://directions/FAT Viewer?action=UPDATE&amp;creator=factset&amp;DYN_ARGS=TRUE&amp;DOC_NAME=FAT:FQL_AUDITING_CLIENT_TEMPLATE.FAT&amp;display_string=Audit&amp;VAR:KEY=DEREJKNGZI&amp;VAR:QUERY=RkZfRUJJVERBX0lCKCdMVE1TJywzOTAyOSk=&amp;WINDOW=FIRST_POPUP&amp;HEIGHT=450&amp;WIDTH=450&amp;START_MA","XIMIZED=FALSE&amp;VAR:CALENDAR=US&amp;VAR:SYMBOL=04916420&amp;VAR:INDEX=0"}</definedName>
    <definedName name="_10340__FDSAUDITLINK__" hidden="1">{"fdsup://directions/FAT Viewer?action=UPDATE&amp;creator=factset&amp;DYN_ARGS=TRUE&amp;DOC_NAME=FAT:FQL_AUDITING_CLIENT_TEMPLATE.FAT&amp;display_string=Audit&amp;VAR:KEY=DEREJKNGZI&amp;VAR:QUERY=RkZfRUJJVERBX0lCKCdMVE1TJywzOTAyOSk=&amp;WINDOW=FIRST_POPUP&amp;HEIGHT=450&amp;WIDTH=450&amp;START_MA","XIMIZED=FALSE&amp;VAR:CALENDAR=US&amp;VAR:SYMBOL=04916420&amp;VAR:INDEX=0"}</definedName>
    <definedName name="_10341__FDSAUDITLINK__" localSheetId="6" hidden="1">{"fdsup://directions/FAT Viewer?action=UPDATE&amp;creator=factset&amp;DYN_ARGS=TRUE&amp;DOC_NAME=FAT:FQL_AUDITING_CLIENT_TEMPLATE.FAT&amp;display_string=Audit&amp;VAR:KEY=PYPMLAJCZA&amp;VAR:QUERY=RkZfRUJJVERBX0lCKCdMVE1TJywzOTAyOCk=&amp;WINDOW=FIRST_POPUP&amp;HEIGHT=450&amp;WIDTH=450&amp;START_MA","XIMIZED=FALSE&amp;VAR:CALENDAR=US&amp;VAR:SYMBOL=04916420&amp;VAR:INDEX=0"}</definedName>
    <definedName name="_10341__FDSAUDITLINK__" hidden="1">{"fdsup://directions/FAT Viewer?action=UPDATE&amp;creator=factset&amp;DYN_ARGS=TRUE&amp;DOC_NAME=FAT:FQL_AUDITING_CLIENT_TEMPLATE.FAT&amp;display_string=Audit&amp;VAR:KEY=PYPMLAJCZA&amp;VAR:QUERY=RkZfRUJJVERBX0lCKCdMVE1TJywzOTAyOCk=&amp;WINDOW=FIRST_POPUP&amp;HEIGHT=450&amp;WIDTH=450&amp;START_MA","XIMIZED=FALSE&amp;VAR:CALENDAR=US&amp;VAR:SYMBOL=04916420&amp;VAR:INDEX=0"}</definedName>
    <definedName name="_10342__FDSAUDITLINK__" localSheetId="6" hidden="1">{"fdsup://directions/FAT Viewer?action=UPDATE&amp;creator=factset&amp;DYN_ARGS=TRUE&amp;DOC_NAME=FAT:FQL_AUDITING_CLIENT_TEMPLATE.FAT&amp;display_string=Audit&amp;VAR:KEY=JUXIBKPKVK&amp;VAR:QUERY=RkZfRUJJVERBX0lCKCdMVE1TJywzOTAyNyk=&amp;WINDOW=FIRST_POPUP&amp;HEIGHT=450&amp;WIDTH=450&amp;START_MA","XIMIZED=FALSE&amp;VAR:CALENDAR=US&amp;VAR:SYMBOL=04916420&amp;VAR:INDEX=0"}</definedName>
    <definedName name="_10342__FDSAUDITLINK__" hidden="1">{"fdsup://directions/FAT Viewer?action=UPDATE&amp;creator=factset&amp;DYN_ARGS=TRUE&amp;DOC_NAME=FAT:FQL_AUDITING_CLIENT_TEMPLATE.FAT&amp;display_string=Audit&amp;VAR:KEY=JUXIBKPKVK&amp;VAR:QUERY=RkZfRUJJVERBX0lCKCdMVE1TJywzOTAyNyk=&amp;WINDOW=FIRST_POPUP&amp;HEIGHT=450&amp;WIDTH=450&amp;START_MA","XIMIZED=FALSE&amp;VAR:CALENDAR=US&amp;VAR:SYMBOL=04916420&amp;VAR:INDEX=0"}</definedName>
    <definedName name="_10343__FDSAUDITLINK__" localSheetId="6" hidden="1">{"fdsup://directions/FAT Viewer?action=UPDATE&amp;creator=factset&amp;DYN_ARGS=TRUE&amp;DOC_NAME=FAT:FQL_AUDITING_CLIENT_TEMPLATE.FAT&amp;display_string=Audit&amp;VAR:KEY=HOBQVMPMNA&amp;VAR:QUERY=RkZfRUJJVERBX0lCKCdMVE1TJywzOTAyNik=&amp;WINDOW=FIRST_POPUP&amp;HEIGHT=450&amp;WIDTH=450&amp;START_MA","XIMIZED=FALSE&amp;VAR:CALENDAR=US&amp;VAR:SYMBOL=04916420&amp;VAR:INDEX=0"}</definedName>
    <definedName name="_10343__FDSAUDITLINK__" hidden="1">{"fdsup://directions/FAT Viewer?action=UPDATE&amp;creator=factset&amp;DYN_ARGS=TRUE&amp;DOC_NAME=FAT:FQL_AUDITING_CLIENT_TEMPLATE.FAT&amp;display_string=Audit&amp;VAR:KEY=HOBQVMPMNA&amp;VAR:QUERY=RkZfRUJJVERBX0lCKCdMVE1TJywzOTAyNik=&amp;WINDOW=FIRST_POPUP&amp;HEIGHT=450&amp;WIDTH=450&amp;START_MA","XIMIZED=FALSE&amp;VAR:CALENDAR=US&amp;VAR:SYMBOL=04916420&amp;VAR:INDEX=0"}</definedName>
    <definedName name="_10344__FDSAUDITLINK__" localSheetId="6" hidden="1">{"fdsup://directions/FAT Viewer?action=UPDATE&amp;creator=factset&amp;DYN_ARGS=TRUE&amp;DOC_NAME=FAT:FQL_AUDITING_CLIENT_TEMPLATE.FAT&amp;display_string=Audit&amp;VAR:KEY=XCHWPMLAJI&amp;VAR:QUERY=RkZfRUJJVERBX0lCKCdMVE1TJywzOTAyNSk=&amp;WINDOW=FIRST_POPUP&amp;HEIGHT=450&amp;WIDTH=450&amp;START_MA","XIMIZED=FALSE&amp;VAR:CALENDAR=US&amp;VAR:SYMBOL=04916420&amp;VAR:INDEX=0"}</definedName>
    <definedName name="_10344__FDSAUDITLINK__" hidden="1">{"fdsup://directions/FAT Viewer?action=UPDATE&amp;creator=factset&amp;DYN_ARGS=TRUE&amp;DOC_NAME=FAT:FQL_AUDITING_CLIENT_TEMPLATE.FAT&amp;display_string=Audit&amp;VAR:KEY=XCHWPMLAJI&amp;VAR:QUERY=RkZfRUJJVERBX0lCKCdMVE1TJywzOTAyNSk=&amp;WINDOW=FIRST_POPUP&amp;HEIGHT=450&amp;WIDTH=450&amp;START_MA","XIMIZED=FALSE&amp;VAR:CALENDAR=US&amp;VAR:SYMBOL=04916420&amp;VAR:INDEX=0"}</definedName>
    <definedName name="_10345__FDSAUDITLINK__" localSheetId="6" hidden="1">{"fdsup://directions/FAT Viewer?action=UPDATE&amp;creator=factset&amp;DYN_ARGS=TRUE&amp;DOC_NAME=FAT:FQL_AUDITING_CLIENT_TEMPLATE.FAT&amp;display_string=Audit&amp;VAR:KEY=XATWBUZGRY&amp;VAR:QUERY=RkZfRUJJVERBX0lCKCdMVE1TJywzOTAyNCk=&amp;WINDOW=FIRST_POPUP&amp;HEIGHT=450&amp;WIDTH=450&amp;START_MA","XIMIZED=FALSE&amp;VAR:CALENDAR=US&amp;VAR:SYMBOL=04916420&amp;VAR:INDEX=0"}</definedName>
    <definedName name="_10345__FDSAUDITLINK__" hidden="1">{"fdsup://directions/FAT Viewer?action=UPDATE&amp;creator=factset&amp;DYN_ARGS=TRUE&amp;DOC_NAME=FAT:FQL_AUDITING_CLIENT_TEMPLATE.FAT&amp;display_string=Audit&amp;VAR:KEY=XATWBUZGRY&amp;VAR:QUERY=RkZfRUJJVERBX0lCKCdMVE1TJywzOTAyNCk=&amp;WINDOW=FIRST_POPUP&amp;HEIGHT=450&amp;WIDTH=450&amp;START_MA","XIMIZED=FALSE&amp;VAR:CALENDAR=US&amp;VAR:SYMBOL=04916420&amp;VAR:INDEX=0"}</definedName>
    <definedName name="_10346__FDSAUDITLINK__" localSheetId="6" hidden="1">{"fdsup://directions/FAT Viewer?action=UPDATE&amp;creator=factset&amp;DYN_ARGS=TRUE&amp;DOC_NAME=FAT:FQL_AUDITING_CLIENT_TEMPLATE.FAT&amp;display_string=Audit&amp;VAR:KEY=PKFQNITAXE&amp;VAR:QUERY=RkZfRUJJVERBX0lCKCdMVE1TJywzOTAyMyk=&amp;WINDOW=FIRST_POPUP&amp;HEIGHT=450&amp;WIDTH=450&amp;START_MA","XIMIZED=FALSE&amp;VAR:CALENDAR=US&amp;VAR:SYMBOL=04916420&amp;VAR:INDEX=0"}</definedName>
    <definedName name="_10346__FDSAUDITLINK__" hidden="1">{"fdsup://directions/FAT Viewer?action=UPDATE&amp;creator=factset&amp;DYN_ARGS=TRUE&amp;DOC_NAME=FAT:FQL_AUDITING_CLIENT_TEMPLATE.FAT&amp;display_string=Audit&amp;VAR:KEY=PKFQNITAXE&amp;VAR:QUERY=RkZfRUJJVERBX0lCKCdMVE1TJywzOTAyMyk=&amp;WINDOW=FIRST_POPUP&amp;HEIGHT=450&amp;WIDTH=450&amp;START_MA","XIMIZED=FALSE&amp;VAR:CALENDAR=US&amp;VAR:SYMBOL=04916420&amp;VAR:INDEX=0"}</definedName>
    <definedName name="_10347__FDSAUDITLINK__" localSheetId="6" hidden="1">{"fdsup://directions/FAT Viewer?action=UPDATE&amp;creator=factset&amp;DYN_ARGS=TRUE&amp;DOC_NAME=FAT:FQL_AUDITING_CLIENT_TEMPLATE.FAT&amp;display_string=Audit&amp;VAR:KEY=ZYZMBANGHK&amp;VAR:QUERY=RkZfRUJJVERBX0lCKCdMVE1TJywzOTAyMik=&amp;WINDOW=FIRST_POPUP&amp;HEIGHT=450&amp;WIDTH=450&amp;START_MA","XIMIZED=FALSE&amp;VAR:CALENDAR=US&amp;VAR:SYMBOL=04916420&amp;VAR:INDEX=0"}</definedName>
    <definedName name="_10347__FDSAUDITLINK__" hidden="1">{"fdsup://directions/FAT Viewer?action=UPDATE&amp;creator=factset&amp;DYN_ARGS=TRUE&amp;DOC_NAME=FAT:FQL_AUDITING_CLIENT_TEMPLATE.FAT&amp;display_string=Audit&amp;VAR:KEY=ZYZMBANGHK&amp;VAR:QUERY=RkZfRUJJVERBX0lCKCdMVE1TJywzOTAyMik=&amp;WINDOW=FIRST_POPUP&amp;HEIGHT=450&amp;WIDTH=450&amp;START_MA","XIMIZED=FALSE&amp;VAR:CALENDAR=US&amp;VAR:SYMBOL=04916420&amp;VAR:INDEX=0"}</definedName>
    <definedName name="_10348__FDSAUDITLINK__" localSheetId="6" hidden="1">{"fdsup://directions/FAT Viewer?action=UPDATE&amp;creator=factset&amp;DYN_ARGS=TRUE&amp;DOC_NAME=FAT:FQL_AUDITING_CLIENT_TEMPLATE.FAT&amp;display_string=Audit&amp;VAR:KEY=NOLUJEJSBS&amp;VAR:QUERY=RkZfRUJJVERBX0lCKCdMVE1TJywzOTAyMSk=&amp;WINDOW=FIRST_POPUP&amp;HEIGHT=450&amp;WIDTH=450&amp;START_MA","XIMIZED=FALSE&amp;VAR:CALENDAR=US&amp;VAR:SYMBOL=04916420&amp;VAR:INDEX=0"}</definedName>
    <definedName name="_10348__FDSAUDITLINK__" hidden="1">{"fdsup://directions/FAT Viewer?action=UPDATE&amp;creator=factset&amp;DYN_ARGS=TRUE&amp;DOC_NAME=FAT:FQL_AUDITING_CLIENT_TEMPLATE.FAT&amp;display_string=Audit&amp;VAR:KEY=NOLUJEJSBS&amp;VAR:QUERY=RkZfRUJJVERBX0lCKCdMVE1TJywzOTAyMSk=&amp;WINDOW=FIRST_POPUP&amp;HEIGHT=450&amp;WIDTH=450&amp;START_MA","XIMIZED=FALSE&amp;VAR:CALENDAR=US&amp;VAR:SYMBOL=04916420&amp;VAR:INDEX=0"}</definedName>
    <definedName name="_10349__FDSAUDITLINK__" localSheetId="6" hidden="1">{"fdsup://directions/FAT Viewer?action=UPDATE&amp;creator=factset&amp;DYN_ARGS=TRUE&amp;DOC_NAME=FAT:FQL_AUDITING_CLIENT_TEMPLATE.FAT&amp;display_string=Audit&amp;VAR:KEY=FAHCPCZIRC&amp;VAR:QUERY=RkZfRUJJVERBX0lCKCdMVE1TJywzOTAyMCk=&amp;WINDOW=FIRST_POPUP&amp;HEIGHT=450&amp;WIDTH=450&amp;START_MA","XIMIZED=FALSE&amp;VAR:CALENDAR=US&amp;VAR:SYMBOL=04916420&amp;VAR:INDEX=0"}</definedName>
    <definedName name="_10349__FDSAUDITLINK__" hidden="1">{"fdsup://directions/FAT Viewer?action=UPDATE&amp;creator=factset&amp;DYN_ARGS=TRUE&amp;DOC_NAME=FAT:FQL_AUDITING_CLIENT_TEMPLATE.FAT&amp;display_string=Audit&amp;VAR:KEY=FAHCPCZIRC&amp;VAR:QUERY=RkZfRUJJVERBX0lCKCdMVE1TJywzOTAyMCk=&amp;WINDOW=FIRST_POPUP&amp;HEIGHT=450&amp;WIDTH=450&amp;START_MA","XIMIZED=FALSE&amp;VAR:CALENDAR=US&amp;VAR:SYMBOL=04916420&amp;VAR:INDEX=0"}</definedName>
    <definedName name="_1035__FDSAUDITLINK__" localSheetId="6" hidden="1">{"fdsup://directions/FAT%20Viewer?VAR:PED=LTM&amp;VAR:AUDIT_MODE=SUMMARY&amp;VAR:PERIOD=FIXED&amp;VAR:AUDIT_ID=00000117&amp;VAR:DATE=20070423&amp;action=UPDATE&amp;creator=factset&amp;DOC_NAME=FAT:FMA_audit_SUMMARY.fat&amp;DISPLAY_STRING=Display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5__FDSAUDITLINK__" hidden="1">{"fdsup://directions/FAT%20Viewer?VAR:PED=LTM&amp;VAR:AUDIT_MODE=SUMMARY&amp;VAR:PERIOD=FIXED&amp;VAR:AUDIT_ID=00000117&amp;VAR:DATE=20070423&amp;action=UPDATE&amp;creator=factset&amp;DOC_NAME=FAT:FMA_audit_SUMMARY.fat&amp;DISPLAY_STRING=Display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50__FDSAUDITLINK__" localSheetId="6" hidden="1">{"fdsup://directions/FAT Viewer?action=UPDATE&amp;creator=factset&amp;DYN_ARGS=TRUE&amp;DOC_NAME=FAT:FQL_AUDITING_CLIENT_TEMPLATE.FAT&amp;display_string=Audit&amp;VAR:KEY=TMVGVYDGRO&amp;VAR:QUERY=RkZfRUJJVERBX0lCKCdMVE1TJywzOTAxOSk=&amp;WINDOW=FIRST_POPUP&amp;HEIGHT=450&amp;WIDTH=450&amp;START_MA","XIMIZED=FALSE&amp;VAR:CALENDAR=US&amp;VAR:SYMBOL=04916420&amp;VAR:INDEX=0"}</definedName>
    <definedName name="_10350__FDSAUDITLINK__" hidden="1">{"fdsup://directions/FAT Viewer?action=UPDATE&amp;creator=factset&amp;DYN_ARGS=TRUE&amp;DOC_NAME=FAT:FQL_AUDITING_CLIENT_TEMPLATE.FAT&amp;display_string=Audit&amp;VAR:KEY=TMVGVYDGRO&amp;VAR:QUERY=RkZfRUJJVERBX0lCKCdMVE1TJywzOTAxOSk=&amp;WINDOW=FIRST_POPUP&amp;HEIGHT=450&amp;WIDTH=450&amp;START_MA","XIMIZED=FALSE&amp;VAR:CALENDAR=US&amp;VAR:SYMBOL=04916420&amp;VAR:INDEX=0"}</definedName>
    <definedName name="_10351__FDSAUDITLINK__" localSheetId="6" hidden="1">{"fdsup://directions/FAT Viewer?action=UPDATE&amp;creator=factset&amp;DYN_ARGS=TRUE&amp;DOC_NAME=FAT:FQL_AUDITING_CLIENT_TEMPLATE.FAT&amp;display_string=Audit&amp;VAR:KEY=ZCJIRSZKRI&amp;VAR:QUERY=RkZfRUJJVERBX0lCKCdMVE1TJywzOTAxOCk=&amp;WINDOW=FIRST_POPUP&amp;HEIGHT=450&amp;WIDTH=450&amp;START_MA","XIMIZED=FALSE&amp;VAR:CALENDAR=US&amp;VAR:SYMBOL=04916420&amp;VAR:INDEX=0"}</definedName>
    <definedName name="_10351__FDSAUDITLINK__" hidden="1">{"fdsup://directions/FAT Viewer?action=UPDATE&amp;creator=factset&amp;DYN_ARGS=TRUE&amp;DOC_NAME=FAT:FQL_AUDITING_CLIENT_TEMPLATE.FAT&amp;display_string=Audit&amp;VAR:KEY=ZCJIRSZKRI&amp;VAR:QUERY=RkZfRUJJVERBX0lCKCdMVE1TJywzOTAxOCk=&amp;WINDOW=FIRST_POPUP&amp;HEIGHT=450&amp;WIDTH=450&amp;START_MA","XIMIZED=FALSE&amp;VAR:CALENDAR=US&amp;VAR:SYMBOL=04916420&amp;VAR:INDEX=0"}</definedName>
    <definedName name="_10352__FDSAUDITLINK__" localSheetId="6" hidden="1">{"fdsup://directions/FAT Viewer?action=UPDATE&amp;creator=factset&amp;DYN_ARGS=TRUE&amp;DOC_NAME=FAT:FQL_AUDITING_CLIENT_TEMPLATE.FAT&amp;display_string=Audit&amp;VAR:KEY=ZCRYVKNMXK&amp;VAR:QUERY=RkZfRUJJVERBX0lCKCdMVE1TJywzOTAxNyk=&amp;WINDOW=FIRST_POPUP&amp;HEIGHT=450&amp;WIDTH=450&amp;START_MA","XIMIZED=FALSE&amp;VAR:CALENDAR=US&amp;VAR:SYMBOL=04916420&amp;VAR:INDEX=0"}</definedName>
    <definedName name="_10352__FDSAUDITLINK__" hidden="1">{"fdsup://directions/FAT Viewer?action=UPDATE&amp;creator=factset&amp;DYN_ARGS=TRUE&amp;DOC_NAME=FAT:FQL_AUDITING_CLIENT_TEMPLATE.FAT&amp;display_string=Audit&amp;VAR:KEY=ZCRYVKNMXK&amp;VAR:QUERY=RkZfRUJJVERBX0lCKCdMVE1TJywzOTAxNyk=&amp;WINDOW=FIRST_POPUP&amp;HEIGHT=450&amp;WIDTH=450&amp;START_MA","XIMIZED=FALSE&amp;VAR:CALENDAR=US&amp;VAR:SYMBOL=04916420&amp;VAR:INDEX=0"}</definedName>
    <definedName name="_10353__FDSAUDITLINK__" localSheetId="6" hidden="1">{"fdsup://directions/FAT Viewer?action=UPDATE&amp;creator=factset&amp;DYN_ARGS=TRUE&amp;DOC_NAME=FAT:FQL_AUDITING_CLIENT_TEMPLATE.FAT&amp;display_string=Audit&amp;VAR:KEY=BGLKVAHQDC&amp;VAR:QUERY=RkZfRUJJVERBX0lCKCdMVE1TJywzOTAxNik=&amp;WINDOW=FIRST_POPUP&amp;HEIGHT=450&amp;WIDTH=450&amp;START_MA","XIMIZED=FALSE&amp;VAR:CALENDAR=US&amp;VAR:SYMBOL=04916420&amp;VAR:INDEX=0"}</definedName>
    <definedName name="_10353__FDSAUDITLINK__" hidden="1">{"fdsup://directions/FAT Viewer?action=UPDATE&amp;creator=factset&amp;DYN_ARGS=TRUE&amp;DOC_NAME=FAT:FQL_AUDITING_CLIENT_TEMPLATE.FAT&amp;display_string=Audit&amp;VAR:KEY=BGLKVAHQDC&amp;VAR:QUERY=RkZfRUJJVERBX0lCKCdMVE1TJywzOTAxNik=&amp;WINDOW=FIRST_POPUP&amp;HEIGHT=450&amp;WIDTH=450&amp;START_MA","XIMIZED=FALSE&amp;VAR:CALENDAR=US&amp;VAR:SYMBOL=04916420&amp;VAR:INDEX=0"}</definedName>
    <definedName name="_10354__FDSAUDITLINK__" localSheetId="6" hidden="1">{"fdsup://directions/FAT Viewer?action=UPDATE&amp;creator=factset&amp;DYN_ARGS=TRUE&amp;DOC_NAME=FAT:FQL_AUDITING_CLIENT_TEMPLATE.FAT&amp;display_string=Audit&amp;VAR:KEY=HWTGJOHODO&amp;VAR:QUERY=RkZfRUJJVERBX0lCKCdMVE1TJywzOTAxNSk=&amp;WINDOW=FIRST_POPUP&amp;HEIGHT=450&amp;WIDTH=450&amp;START_MA","XIMIZED=FALSE&amp;VAR:CALENDAR=US&amp;VAR:SYMBOL=04916420&amp;VAR:INDEX=0"}</definedName>
    <definedName name="_10354__FDSAUDITLINK__" hidden="1">{"fdsup://directions/FAT Viewer?action=UPDATE&amp;creator=factset&amp;DYN_ARGS=TRUE&amp;DOC_NAME=FAT:FQL_AUDITING_CLIENT_TEMPLATE.FAT&amp;display_string=Audit&amp;VAR:KEY=HWTGJOHODO&amp;VAR:QUERY=RkZfRUJJVERBX0lCKCdMVE1TJywzOTAxNSk=&amp;WINDOW=FIRST_POPUP&amp;HEIGHT=450&amp;WIDTH=450&amp;START_MA","XIMIZED=FALSE&amp;VAR:CALENDAR=US&amp;VAR:SYMBOL=04916420&amp;VAR:INDEX=0"}</definedName>
    <definedName name="_10355__FDSAUDITLINK__" localSheetId="6" hidden="1">{"fdsup://directions/FAT Viewer?action=UPDATE&amp;creator=factset&amp;DYN_ARGS=TRUE&amp;DOC_NAME=FAT:FQL_AUDITING_CLIENT_TEMPLATE.FAT&amp;display_string=Audit&amp;VAR:KEY=LYTWHYXWZO&amp;VAR:QUERY=RkZfRUJJVERBX0lCKCdMVE1TJywzOTAxNCk=&amp;WINDOW=FIRST_POPUP&amp;HEIGHT=450&amp;WIDTH=450&amp;START_MA","XIMIZED=FALSE&amp;VAR:CALENDAR=US&amp;VAR:SYMBOL=04916420&amp;VAR:INDEX=0"}</definedName>
    <definedName name="_10355__FDSAUDITLINK__" hidden="1">{"fdsup://directions/FAT Viewer?action=UPDATE&amp;creator=factset&amp;DYN_ARGS=TRUE&amp;DOC_NAME=FAT:FQL_AUDITING_CLIENT_TEMPLATE.FAT&amp;display_string=Audit&amp;VAR:KEY=LYTWHYXWZO&amp;VAR:QUERY=RkZfRUJJVERBX0lCKCdMVE1TJywzOTAxNCk=&amp;WINDOW=FIRST_POPUP&amp;HEIGHT=450&amp;WIDTH=450&amp;START_MA","XIMIZED=FALSE&amp;VAR:CALENDAR=US&amp;VAR:SYMBOL=04916420&amp;VAR:INDEX=0"}</definedName>
    <definedName name="_10356__FDSAUDITLINK__" localSheetId="6" hidden="1">{"fdsup://directions/FAT Viewer?action=UPDATE&amp;creator=factset&amp;DYN_ARGS=TRUE&amp;DOC_NAME=FAT:FQL_AUDITING_CLIENT_TEMPLATE.FAT&amp;display_string=Audit&amp;VAR:KEY=PCLSJETCPG&amp;VAR:QUERY=RkZfRUJJVERBX0lCKCdMVE1TJywzOTAxMyk=&amp;WINDOW=FIRST_POPUP&amp;HEIGHT=450&amp;WIDTH=450&amp;START_MA","XIMIZED=FALSE&amp;VAR:CALENDAR=US&amp;VAR:SYMBOL=04916420&amp;VAR:INDEX=0"}</definedName>
    <definedName name="_10356__FDSAUDITLINK__" hidden="1">{"fdsup://directions/FAT Viewer?action=UPDATE&amp;creator=factset&amp;DYN_ARGS=TRUE&amp;DOC_NAME=FAT:FQL_AUDITING_CLIENT_TEMPLATE.FAT&amp;display_string=Audit&amp;VAR:KEY=PCLSJETCPG&amp;VAR:QUERY=RkZfRUJJVERBX0lCKCdMVE1TJywzOTAxMyk=&amp;WINDOW=FIRST_POPUP&amp;HEIGHT=450&amp;WIDTH=450&amp;START_MA","XIMIZED=FALSE&amp;VAR:CALENDAR=US&amp;VAR:SYMBOL=04916420&amp;VAR:INDEX=0"}</definedName>
    <definedName name="_10357__FDSAUDITLINK__" localSheetId="6" hidden="1">{"fdsup://directions/FAT Viewer?action=UPDATE&amp;creator=factset&amp;DYN_ARGS=TRUE&amp;DOC_NAME=FAT:FQL_AUDITING_CLIENT_TEMPLATE.FAT&amp;display_string=Audit&amp;VAR:KEY=LUXMXIHKHQ&amp;VAR:QUERY=RkZfRUJJVERBX0lCKCdMVE1TJywzOTAxMik=&amp;WINDOW=FIRST_POPUP&amp;HEIGHT=450&amp;WIDTH=450&amp;START_MA","XIMIZED=FALSE&amp;VAR:CALENDAR=US&amp;VAR:SYMBOL=04916420&amp;VAR:INDEX=0"}</definedName>
    <definedName name="_10357__FDSAUDITLINK__" hidden="1">{"fdsup://directions/FAT Viewer?action=UPDATE&amp;creator=factset&amp;DYN_ARGS=TRUE&amp;DOC_NAME=FAT:FQL_AUDITING_CLIENT_TEMPLATE.FAT&amp;display_string=Audit&amp;VAR:KEY=LUXMXIHKHQ&amp;VAR:QUERY=RkZfRUJJVERBX0lCKCdMVE1TJywzOTAxMik=&amp;WINDOW=FIRST_POPUP&amp;HEIGHT=450&amp;WIDTH=450&amp;START_MA","XIMIZED=FALSE&amp;VAR:CALENDAR=US&amp;VAR:SYMBOL=04916420&amp;VAR:INDEX=0"}</definedName>
    <definedName name="_10358__FDSAUDITLINK__" localSheetId="6" hidden="1">{"fdsup://directions/FAT Viewer?action=UPDATE&amp;creator=factset&amp;DYN_ARGS=TRUE&amp;DOC_NAME=FAT:FQL_AUDITING_CLIENT_TEMPLATE.FAT&amp;display_string=Audit&amp;VAR:KEY=NKBMNYRANU&amp;VAR:QUERY=RkZfRUJJVERBX0lCKCdMVE1TJywzOTAxMSk=&amp;WINDOW=FIRST_POPUP&amp;HEIGHT=450&amp;WIDTH=450&amp;START_MA","XIMIZED=FALSE&amp;VAR:CALENDAR=US&amp;VAR:SYMBOL=04916420&amp;VAR:INDEX=0"}</definedName>
    <definedName name="_10358__FDSAUDITLINK__" hidden="1">{"fdsup://directions/FAT Viewer?action=UPDATE&amp;creator=factset&amp;DYN_ARGS=TRUE&amp;DOC_NAME=FAT:FQL_AUDITING_CLIENT_TEMPLATE.FAT&amp;display_string=Audit&amp;VAR:KEY=NKBMNYRANU&amp;VAR:QUERY=RkZfRUJJVERBX0lCKCdMVE1TJywzOTAxMSk=&amp;WINDOW=FIRST_POPUP&amp;HEIGHT=450&amp;WIDTH=450&amp;START_MA","XIMIZED=FALSE&amp;VAR:CALENDAR=US&amp;VAR:SYMBOL=04916420&amp;VAR:INDEX=0"}</definedName>
    <definedName name="_10359__FDSAUDITLINK__" localSheetId="6" hidden="1">{"fdsup://directions/FAT Viewer?action=UPDATE&amp;creator=factset&amp;DYN_ARGS=TRUE&amp;DOC_NAME=FAT:FQL_AUDITING_CLIENT_TEMPLATE.FAT&amp;display_string=Audit&amp;VAR:KEY=VGTULCXWZC&amp;VAR:QUERY=RkZfRUJJVERBX0lCKCdMVE1TJywzOTAxMCk=&amp;WINDOW=FIRST_POPUP&amp;HEIGHT=450&amp;WIDTH=450&amp;START_MA","XIMIZED=FALSE&amp;VAR:CALENDAR=US&amp;VAR:SYMBOL=04916420&amp;VAR:INDEX=0"}</definedName>
    <definedName name="_10359__FDSAUDITLINK__" hidden="1">{"fdsup://directions/FAT Viewer?action=UPDATE&amp;creator=factset&amp;DYN_ARGS=TRUE&amp;DOC_NAME=FAT:FQL_AUDITING_CLIENT_TEMPLATE.FAT&amp;display_string=Audit&amp;VAR:KEY=VGTULCXWZC&amp;VAR:QUERY=RkZfRUJJVERBX0lCKCdMVE1TJywzOTAxMCk=&amp;WINDOW=FIRST_POPUP&amp;HEIGHT=450&amp;WIDTH=450&amp;START_MA","XIMIZED=FALSE&amp;VAR:CALENDAR=US&amp;VAR:SYMBOL=04916420&amp;VAR:INDEX=0"}</definedName>
    <definedName name="_1036__FDSAUDITLINK__" localSheetId="6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6__FDSAUDITLINK__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60__FDSAUDITLINK__" localSheetId="6" hidden="1">{"fdsup://directions/FAT Viewer?action=UPDATE&amp;creator=factset&amp;DYN_ARGS=TRUE&amp;DOC_NAME=FAT:FQL_AUDITING_CLIENT_TEMPLATE.FAT&amp;display_string=Audit&amp;VAR:KEY=JYTMPWLIBA&amp;VAR:QUERY=RkZfRUJJVERBX0lCKCdMVE1TJywzOTAwOSk=&amp;WINDOW=FIRST_POPUP&amp;HEIGHT=450&amp;WIDTH=450&amp;START_MA","XIMIZED=FALSE&amp;VAR:CALENDAR=US&amp;VAR:SYMBOL=04916420&amp;VAR:INDEX=0"}</definedName>
    <definedName name="_10360__FDSAUDITLINK__" hidden="1">{"fdsup://directions/FAT Viewer?action=UPDATE&amp;creator=factset&amp;DYN_ARGS=TRUE&amp;DOC_NAME=FAT:FQL_AUDITING_CLIENT_TEMPLATE.FAT&amp;display_string=Audit&amp;VAR:KEY=JYTMPWLIBA&amp;VAR:QUERY=RkZfRUJJVERBX0lCKCdMVE1TJywzOTAwOSk=&amp;WINDOW=FIRST_POPUP&amp;HEIGHT=450&amp;WIDTH=450&amp;START_MA","XIMIZED=FALSE&amp;VAR:CALENDAR=US&amp;VAR:SYMBOL=04916420&amp;VAR:INDEX=0"}</definedName>
    <definedName name="_10361__FDSAUDITLINK__" localSheetId="6" hidden="1">{"fdsup://directions/FAT Viewer?action=UPDATE&amp;creator=factset&amp;DYN_ARGS=TRUE&amp;DOC_NAME=FAT:FQL_AUDITING_CLIENT_TEMPLATE.FAT&amp;display_string=Audit&amp;VAR:KEY=PEXILIBQRM&amp;VAR:QUERY=RkZfRUJJVERBX0lCKCdMVE1TJywzOTAwOCk=&amp;WINDOW=FIRST_POPUP&amp;HEIGHT=450&amp;WIDTH=450&amp;START_MA","XIMIZED=FALSE&amp;VAR:CALENDAR=US&amp;VAR:SYMBOL=04916420&amp;VAR:INDEX=0"}</definedName>
    <definedName name="_10361__FDSAUDITLINK__" hidden="1">{"fdsup://directions/FAT Viewer?action=UPDATE&amp;creator=factset&amp;DYN_ARGS=TRUE&amp;DOC_NAME=FAT:FQL_AUDITING_CLIENT_TEMPLATE.FAT&amp;display_string=Audit&amp;VAR:KEY=PEXILIBQRM&amp;VAR:QUERY=RkZfRUJJVERBX0lCKCdMVE1TJywzOTAwOCk=&amp;WINDOW=FIRST_POPUP&amp;HEIGHT=450&amp;WIDTH=450&amp;START_MA","XIMIZED=FALSE&amp;VAR:CALENDAR=US&amp;VAR:SYMBOL=04916420&amp;VAR:INDEX=0"}</definedName>
    <definedName name="_10362__FDSAUDITLINK__" localSheetId="6" hidden="1">{"fdsup://directions/FAT Viewer?action=UPDATE&amp;creator=factset&amp;DYN_ARGS=TRUE&amp;DOC_NAME=FAT:FQL_AUDITING_CLIENT_TEMPLATE.FAT&amp;display_string=Audit&amp;VAR:KEY=JYHQLWJITI&amp;VAR:QUERY=RkZfRUJJVERBX0lCKCdMVE1TJywzOTAwNyk=&amp;WINDOW=FIRST_POPUP&amp;HEIGHT=450&amp;WIDTH=450&amp;START_MA","XIMIZED=FALSE&amp;VAR:CALENDAR=US&amp;VAR:SYMBOL=04916420&amp;VAR:INDEX=0"}</definedName>
    <definedName name="_10362__FDSAUDITLINK__" hidden="1">{"fdsup://directions/FAT Viewer?action=UPDATE&amp;creator=factset&amp;DYN_ARGS=TRUE&amp;DOC_NAME=FAT:FQL_AUDITING_CLIENT_TEMPLATE.FAT&amp;display_string=Audit&amp;VAR:KEY=JYHQLWJITI&amp;VAR:QUERY=RkZfRUJJVERBX0lCKCdMVE1TJywzOTAwNyk=&amp;WINDOW=FIRST_POPUP&amp;HEIGHT=450&amp;WIDTH=450&amp;START_MA","XIMIZED=FALSE&amp;VAR:CALENDAR=US&amp;VAR:SYMBOL=04916420&amp;VAR:INDEX=0"}</definedName>
    <definedName name="_10363__FDSAUDITLINK__" localSheetId="6" hidden="1">{"fdsup://directions/FAT Viewer?action=UPDATE&amp;creator=factset&amp;DYN_ARGS=TRUE&amp;DOC_NAME=FAT:FQL_AUDITING_CLIENT_TEMPLATE.FAT&amp;display_string=Audit&amp;VAR:KEY=LAZGDWDOHQ&amp;VAR:QUERY=RkZfRUJJVERBX0lCKCdMVE1TJywzOTAwNik=&amp;WINDOW=FIRST_POPUP&amp;HEIGHT=450&amp;WIDTH=450&amp;START_MA","XIMIZED=FALSE&amp;VAR:CALENDAR=US&amp;VAR:SYMBOL=04916420&amp;VAR:INDEX=0"}</definedName>
    <definedName name="_10363__FDSAUDITLINK__" hidden="1">{"fdsup://directions/FAT Viewer?action=UPDATE&amp;creator=factset&amp;DYN_ARGS=TRUE&amp;DOC_NAME=FAT:FQL_AUDITING_CLIENT_TEMPLATE.FAT&amp;display_string=Audit&amp;VAR:KEY=LAZGDWDOHQ&amp;VAR:QUERY=RkZfRUJJVERBX0lCKCdMVE1TJywzOTAwNik=&amp;WINDOW=FIRST_POPUP&amp;HEIGHT=450&amp;WIDTH=450&amp;START_MA","XIMIZED=FALSE&amp;VAR:CALENDAR=US&amp;VAR:SYMBOL=04916420&amp;VAR:INDEX=0"}</definedName>
    <definedName name="_10364__FDSAUDITLINK__" localSheetId="6" hidden="1">{"fdsup://directions/FAT Viewer?action=UPDATE&amp;creator=factset&amp;DYN_ARGS=TRUE&amp;DOC_NAME=FAT:FQL_AUDITING_CLIENT_TEMPLATE.FAT&amp;display_string=Audit&amp;VAR:KEY=HETYRIJINU&amp;VAR:QUERY=RkZfRUJJVERBX0lCKCdMVE1TJywzOTAwNSk=&amp;WINDOW=FIRST_POPUP&amp;HEIGHT=450&amp;WIDTH=450&amp;START_MA","XIMIZED=FALSE&amp;VAR:CALENDAR=US&amp;VAR:SYMBOL=04916420&amp;VAR:INDEX=0"}</definedName>
    <definedName name="_10364__FDSAUDITLINK__" hidden="1">{"fdsup://directions/FAT Viewer?action=UPDATE&amp;creator=factset&amp;DYN_ARGS=TRUE&amp;DOC_NAME=FAT:FQL_AUDITING_CLIENT_TEMPLATE.FAT&amp;display_string=Audit&amp;VAR:KEY=HETYRIJINU&amp;VAR:QUERY=RkZfRUJJVERBX0lCKCdMVE1TJywzOTAwNSk=&amp;WINDOW=FIRST_POPUP&amp;HEIGHT=450&amp;WIDTH=450&amp;START_MA","XIMIZED=FALSE&amp;VAR:CALENDAR=US&amp;VAR:SYMBOL=04916420&amp;VAR:INDEX=0"}</definedName>
    <definedName name="_10365__FDSAUDITLINK__" localSheetId="6" hidden="1">{"fdsup://directions/FAT Viewer?action=UPDATE&amp;creator=factset&amp;DYN_ARGS=TRUE&amp;DOC_NAME=FAT:FQL_AUDITING_CLIENT_TEMPLATE.FAT&amp;display_string=Audit&amp;VAR:KEY=JYJMZULITG&amp;VAR:QUERY=RkZfRUJJVERBX0lCKCdMVE1TJywzOTAwNCk=&amp;WINDOW=FIRST_POPUP&amp;HEIGHT=450&amp;WIDTH=450&amp;START_MA","XIMIZED=FALSE&amp;VAR:CALENDAR=US&amp;VAR:SYMBOL=04916420&amp;VAR:INDEX=0"}</definedName>
    <definedName name="_10365__FDSAUDITLINK__" hidden="1">{"fdsup://directions/FAT Viewer?action=UPDATE&amp;creator=factset&amp;DYN_ARGS=TRUE&amp;DOC_NAME=FAT:FQL_AUDITING_CLIENT_TEMPLATE.FAT&amp;display_string=Audit&amp;VAR:KEY=JYJMZULITG&amp;VAR:QUERY=RkZfRUJJVERBX0lCKCdMVE1TJywzOTAwNCk=&amp;WINDOW=FIRST_POPUP&amp;HEIGHT=450&amp;WIDTH=450&amp;START_MA","XIMIZED=FALSE&amp;VAR:CALENDAR=US&amp;VAR:SYMBOL=04916420&amp;VAR:INDEX=0"}</definedName>
    <definedName name="_10366__FDSAUDITLINK__" localSheetId="6" hidden="1">{"fdsup://directions/FAT Viewer?action=UPDATE&amp;creator=factset&amp;DYN_ARGS=TRUE&amp;DOC_NAME=FAT:FQL_AUDITING_CLIENT_TEMPLATE.FAT&amp;display_string=Audit&amp;VAR:KEY=VQNYXUDOBU&amp;VAR:QUERY=RkZfRUJJVERBX0lCKCdMVE1TJywzOTAwMyk=&amp;WINDOW=FIRST_POPUP&amp;HEIGHT=450&amp;WIDTH=450&amp;START_MA","XIMIZED=FALSE&amp;VAR:CALENDAR=US&amp;VAR:SYMBOL=04916420&amp;VAR:INDEX=0"}</definedName>
    <definedName name="_10366__FDSAUDITLINK__" hidden="1">{"fdsup://directions/FAT Viewer?action=UPDATE&amp;creator=factset&amp;DYN_ARGS=TRUE&amp;DOC_NAME=FAT:FQL_AUDITING_CLIENT_TEMPLATE.FAT&amp;display_string=Audit&amp;VAR:KEY=VQNYXUDOBU&amp;VAR:QUERY=RkZfRUJJVERBX0lCKCdMVE1TJywzOTAwMyk=&amp;WINDOW=FIRST_POPUP&amp;HEIGHT=450&amp;WIDTH=450&amp;START_MA","XIMIZED=FALSE&amp;VAR:CALENDAR=US&amp;VAR:SYMBOL=04916420&amp;VAR:INDEX=0"}</definedName>
    <definedName name="_10367__FDSAUDITLINK__" localSheetId="6" hidden="1">{"fdsup://directions/FAT Viewer?action=UPDATE&amp;creator=factset&amp;DYN_ARGS=TRUE&amp;DOC_NAME=FAT:FQL_AUDITING_CLIENT_TEMPLATE.FAT&amp;display_string=Audit&amp;VAR:KEY=LEDKNONQDQ&amp;VAR:QUERY=RkZfRUJJVERBX0lCKCdMVE1TJywzOTAwMik=&amp;WINDOW=FIRST_POPUP&amp;HEIGHT=450&amp;WIDTH=450&amp;START_MA","XIMIZED=FALSE&amp;VAR:CALENDAR=US&amp;VAR:SYMBOL=04916420&amp;VAR:INDEX=0"}</definedName>
    <definedName name="_10367__FDSAUDITLINK__" hidden="1">{"fdsup://directions/FAT Viewer?action=UPDATE&amp;creator=factset&amp;DYN_ARGS=TRUE&amp;DOC_NAME=FAT:FQL_AUDITING_CLIENT_TEMPLATE.FAT&amp;display_string=Audit&amp;VAR:KEY=LEDKNONQDQ&amp;VAR:QUERY=RkZfRUJJVERBX0lCKCdMVE1TJywzOTAwMik=&amp;WINDOW=FIRST_POPUP&amp;HEIGHT=450&amp;WIDTH=450&amp;START_MA","XIMIZED=FALSE&amp;VAR:CALENDAR=US&amp;VAR:SYMBOL=04916420&amp;VAR:INDEX=0"}</definedName>
    <definedName name="_10368__FDSAUDITLINK__" localSheetId="6" hidden="1">{"fdsup://directions/FAT Viewer?action=UPDATE&amp;creator=factset&amp;DYN_ARGS=TRUE&amp;DOC_NAME=FAT:FQL_AUDITING_CLIENT_TEMPLATE.FAT&amp;display_string=Audit&amp;VAR:KEY=LIDQZIVWVG&amp;VAR:QUERY=RkZfRUJJVERBX0lCKCdMVE1TJywzOTAwMSk=&amp;WINDOW=FIRST_POPUP&amp;HEIGHT=450&amp;WIDTH=450&amp;START_MA","XIMIZED=FALSE&amp;VAR:CALENDAR=US&amp;VAR:SYMBOL=04916420&amp;VAR:INDEX=0"}</definedName>
    <definedName name="_10368__FDSAUDITLINK__" hidden="1">{"fdsup://directions/FAT Viewer?action=UPDATE&amp;creator=factset&amp;DYN_ARGS=TRUE&amp;DOC_NAME=FAT:FQL_AUDITING_CLIENT_TEMPLATE.FAT&amp;display_string=Audit&amp;VAR:KEY=LIDQZIVWVG&amp;VAR:QUERY=RkZfRUJJVERBX0lCKCdMVE1TJywzOTAwMSk=&amp;WINDOW=FIRST_POPUP&amp;HEIGHT=450&amp;WIDTH=450&amp;START_MA","XIMIZED=FALSE&amp;VAR:CALENDAR=US&amp;VAR:SYMBOL=04916420&amp;VAR:INDEX=0"}</definedName>
    <definedName name="_10369__FDSAUDITLINK__" localSheetId="6" hidden="1">{"fdsup://directions/FAT Viewer?action=UPDATE&amp;creator=factset&amp;DYN_ARGS=TRUE&amp;DOC_NAME=FAT:FQL_AUDITING_CLIENT_TEMPLATE.FAT&amp;display_string=Audit&amp;VAR:KEY=VSRWVMDGTI&amp;VAR:QUERY=RkZfRUJJVERBX0lCKCdMVE1TJywzOTAwMCk=&amp;WINDOW=FIRST_POPUP&amp;HEIGHT=450&amp;WIDTH=450&amp;START_MA","XIMIZED=FALSE&amp;VAR:CALENDAR=US&amp;VAR:SYMBOL=04916420&amp;VAR:INDEX=0"}</definedName>
    <definedName name="_10369__FDSAUDITLINK__" hidden="1">{"fdsup://directions/FAT Viewer?action=UPDATE&amp;creator=factset&amp;DYN_ARGS=TRUE&amp;DOC_NAME=FAT:FQL_AUDITING_CLIENT_TEMPLATE.FAT&amp;display_string=Audit&amp;VAR:KEY=VSRWVMDGTI&amp;VAR:QUERY=RkZfRUJJVERBX0lCKCdMVE1TJywzOTAwMCk=&amp;WINDOW=FIRST_POPUP&amp;HEIGHT=450&amp;WIDTH=450&amp;START_MA","XIMIZED=FALSE&amp;VAR:CALENDAR=US&amp;VAR:SYMBOL=04916420&amp;VAR:INDEX=0"}</definedName>
    <definedName name="_1037__FDSAUDITLINK__" localSheetId="6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7__FDSAUDITLINK__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70__FDSAUDITLINK__" localSheetId="6" hidden="1">{"fdsup://directions/FAT Viewer?action=UPDATE&amp;creator=factset&amp;DYN_ARGS=TRUE&amp;DOC_NAME=FAT:FQL_AUDITING_CLIENT_TEMPLATE.FAT&amp;display_string=Audit&amp;VAR:KEY=HOVIRYBAVC&amp;VAR:QUERY=RkZfRUJJVERBX0lCKCdMVE1TJywzODk5OSk=&amp;WINDOW=FIRST_POPUP&amp;HEIGHT=450&amp;WIDTH=450&amp;START_MA","XIMIZED=FALSE&amp;VAR:CALENDAR=US&amp;VAR:SYMBOL=04916420&amp;VAR:INDEX=0"}</definedName>
    <definedName name="_10370__FDSAUDITLINK__" hidden="1">{"fdsup://directions/FAT Viewer?action=UPDATE&amp;creator=factset&amp;DYN_ARGS=TRUE&amp;DOC_NAME=FAT:FQL_AUDITING_CLIENT_TEMPLATE.FAT&amp;display_string=Audit&amp;VAR:KEY=HOVIRYBAVC&amp;VAR:QUERY=RkZfRUJJVERBX0lCKCdMVE1TJywzODk5OSk=&amp;WINDOW=FIRST_POPUP&amp;HEIGHT=450&amp;WIDTH=450&amp;START_MA","XIMIZED=FALSE&amp;VAR:CALENDAR=US&amp;VAR:SYMBOL=04916420&amp;VAR:INDEX=0"}</definedName>
    <definedName name="_10371__FDSAUDITLINK__" localSheetId="6" hidden="1">{"fdsup://directions/FAT Viewer?action=UPDATE&amp;creator=factset&amp;DYN_ARGS=TRUE&amp;DOC_NAME=FAT:FQL_AUDITING_CLIENT_TEMPLATE.FAT&amp;display_string=Audit&amp;VAR:KEY=HGLMXMHEPW&amp;VAR:QUERY=RkZfRUJJVERBX0lCKCdMVE1TJywzODk5OCk=&amp;WINDOW=FIRST_POPUP&amp;HEIGHT=450&amp;WIDTH=450&amp;START_MA","XIMIZED=FALSE&amp;VAR:CALENDAR=US&amp;VAR:SYMBOL=04916420&amp;VAR:INDEX=0"}</definedName>
    <definedName name="_10371__FDSAUDITLINK__" hidden="1">{"fdsup://directions/FAT Viewer?action=UPDATE&amp;creator=factset&amp;DYN_ARGS=TRUE&amp;DOC_NAME=FAT:FQL_AUDITING_CLIENT_TEMPLATE.FAT&amp;display_string=Audit&amp;VAR:KEY=HGLMXMHEPW&amp;VAR:QUERY=RkZfRUJJVERBX0lCKCdMVE1TJywzODk5OCk=&amp;WINDOW=FIRST_POPUP&amp;HEIGHT=450&amp;WIDTH=450&amp;START_MA","XIMIZED=FALSE&amp;VAR:CALENDAR=US&amp;VAR:SYMBOL=04916420&amp;VAR:INDEX=0"}</definedName>
    <definedName name="_10372__FDSAUDITLINK__" localSheetId="6" hidden="1">{"fdsup://directions/FAT Viewer?action=UPDATE&amp;creator=factset&amp;DYN_ARGS=TRUE&amp;DOC_NAME=FAT:FQL_AUDITING_CLIENT_TEMPLATE.FAT&amp;display_string=Audit&amp;VAR:KEY=JELUXAVQBW&amp;VAR:QUERY=RkZfRUJJVERBX0lCKCdMVE1TJywzODk5Nyk=&amp;WINDOW=FIRST_POPUP&amp;HEIGHT=450&amp;WIDTH=450&amp;START_MA","XIMIZED=FALSE&amp;VAR:CALENDAR=US&amp;VAR:SYMBOL=04916420&amp;VAR:INDEX=0"}</definedName>
    <definedName name="_10372__FDSAUDITLINK__" hidden="1">{"fdsup://directions/FAT Viewer?action=UPDATE&amp;creator=factset&amp;DYN_ARGS=TRUE&amp;DOC_NAME=FAT:FQL_AUDITING_CLIENT_TEMPLATE.FAT&amp;display_string=Audit&amp;VAR:KEY=JELUXAVQBW&amp;VAR:QUERY=RkZfRUJJVERBX0lCKCdMVE1TJywzODk5Nyk=&amp;WINDOW=FIRST_POPUP&amp;HEIGHT=450&amp;WIDTH=450&amp;START_MA","XIMIZED=FALSE&amp;VAR:CALENDAR=US&amp;VAR:SYMBOL=04916420&amp;VAR:INDEX=0"}</definedName>
    <definedName name="_10373__FDSAUDITLINK__" localSheetId="6" hidden="1">{"fdsup://directions/FAT Viewer?action=UPDATE&amp;creator=factset&amp;DYN_ARGS=TRUE&amp;DOC_NAME=FAT:FQL_AUDITING_CLIENT_TEMPLATE.FAT&amp;display_string=Audit&amp;VAR:KEY=HSLQNIXQPA&amp;VAR:QUERY=RkZfRUJJVERBX0lCKCdMVE1TJywzODk5Nik=&amp;WINDOW=FIRST_POPUP&amp;HEIGHT=450&amp;WIDTH=450&amp;START_MA","XIMIZED=FALSE&amp;VAR:CALENDAR=US&amp;VAR:SYMBOL=04916420&amp;VAR:INDEX=0"}</definedName>
    <definedName name="_10373__FDSAUDITLINK__" hidden="1">{"fdsup://directions/FAT Viewer?action=UPDATE&amp;creator=factset&amp;DYN_ARGS=TRUE&amp;DOC_NAME=FAT:FQL_AUDITING_CLIENT_TEMPLATE.FAT&amp;display_string=Audit&amp;VAR:KEY=HSLQNIXQPA&amp;VAR:QUERY=RkZfRUJJVERBX0lCKCdMVE1TJywzODk5Nik=&amp;WINDOW=FIRST_POPUP&amp;HEIGHT=450&amp;WIDTH=450&amp;START_MA","XIMIZED=FALSE&amp;VAR:CALENDAR=US&amp;VAR:SYMBOL=04916420&amp;VAR:INDEX=0"}</definedName>
    <definedName name="_10374__FDSAUDITLINK__" localSheetId="6" hidden="1">{"fdsup://directions/FAT Viewer?action=UPDATE&amp;creator=factset&amp;DYN_ARGS=TRUE&amp;DOC_NAME=FAT:FQL_AUDITING_CLIENT_TEMPLATE.FAT&amp;display_string=Audit&amp;VAR:KEY=XMROFUPQHY&amp;VAR:QUERY=RkZfRUJJVERBX0lCKCdMVE1TJywzODk5NSk=&amp;WINDOW=FIRST_POPUP&amp;HEIGHT=450&amp;WIDTH=450&amp;START_MA","XIMIZED=FALSE&amp;VAR:CALENDAR=US&amp;VAR:SYMBOL=04916420&amp;VAR:INDEX=0"}</definedName>
    <definedName name="_10374__FDSAUDITLINK__" hidden="1">{"fdsup://directions/FAT Viewer?action=UPDATE&amp;creator=factset&amp;DYN_ARGS=TRUE&amp;DOC_NAME=FAT:FQL_AUDITING_CLIENT_TEMPLATE.FAT&amp;display_string=Audit&amp;VAR:KEY=XMROFUPQHY&amp;VAR:QUERY=RkZfRUJJVERBX0lCKCdMVE1TJywzODk5NSk=&amp;WINDOW=FIRST_POPUP&amp;HEIGHT=450&amp;WIDTH=450&amp;START_MA","XIMIZED=FALSE&amp;VAR:CALENDAR=US&amp;VAR:SYMBOL=04916420&amp;VAR:INDEX=0"}</definedName>
    <definedName name="_10375__FDSAUDITLINK__" localSheetId="6" hidden="1">{"fdsup://directions/FAT Viewer?action=UPDATE&amp;creator=factset&amp;DYN_ARGS=TRUE&amp;DOC_NAME=FAT:FQL_AUDITING_CLIENT_TEMPLATE.FAT&amp;display_string=Audit&amp;VAR:KEY=HGDOBUNGHQ&amp;VAR:QUERY=RkZfRUJJVERBX0lCKCdMVE1TJywzODk5NCk=&amp;WINDOW=FIRST_POPUP&amp;HEIGHT=450&amp;WIDTH=450&amp;START_MA","XIMIZED=FALSE&amp;VAR:CALENDAR=US&amp;VAR:SYMBOL=04916420&amp;VAR:INDEX=0"}</definedName>
    <definedName name="_10375__FDSAUDITLINK__" hidden="1">{"fdsup://directions/FAT Viewer?action=UPDATE&amp;creator=factset&amp;DYN_ARGS=TRUE&amp;DOC_NAME=FAT:FQL_AUDITING_CLIENT_TEMPLATE.FAT&amp;display_string=Audit&amp;VAR:KEY=HGDOBUNGHQ&amp;VAR:QUERY=RkZfRUJJVERBX0lCKCdMVE1TJywzODk5NCk=&amp;WINDOW=FIRST_POPUP&amp;HEIGHT=450&amp;WIDTH=450&amp;START_MA","XIMIZED=FALSE&amp;VAR:CALENDAR=US&amp;VAR:SYMBOL=04916420&amp;VAR:INDEX=0"}</definedName>
    <definedName name="_10376__FDSAUDITLINK__" localSheetId="6" hidden="1">{"fdsup://directions/FAT Viewer?action=UPDATE&amp;creator=factset&amp;DYN_ARGS=TRUE&amp;DOC_NAME=FAT:FQL_AUDITING_CLIENT_TEMPLATE.FAT&amp;display_string=Audit&amp;VAR:KEY=TOFSRYXWTA&amp;VAR:QUERY=RkZfRUJJVERBX0lCKCdMVE1TJywzODk5Myk=&amp;WINDOW=FIRST_POPUP&amp;HEIGHT=450&amp;WIDTH=450&amp;START_MA","XIMIZED=FALSE&amp;VAR:CALENDAR=US&amp;VAR:SYMBOL=04916420&amp;VAR:INDEX=0"}</definedName>
    <definedName name="_10376__FDSAUDITLINK__" hidden="1">{"fdsup://directions/FAT Viewer?action=UPDATE&amp;creator=factset&amp;DYN_ARGS=TRUE&amp;DOC_NAME=FAT:FQL_AUDITING_CLIENT_TEMPLATE.FAT&amp;display_string=Audit&amp;VAR:KEY=TOFSRYXWTA&amp;VAR:QUERY=RkZfRUJJVERBX0lCKCdMVE1TJywzODk5Myk=&amp;WINDOW=FIRST_POPUP&amp;HEIGHT=450&amp;WIDTH=450&amp;START_MA","XIMIZED=FALSE&amp;VAR:CALENDAR=US&amp;VAR:SYMBOL=04916420&amp;VAR:INDEX=0"}</definedName>
    <definedName name="_10377__FDSAUDITLINK__" localSheetId="6" hidden="1">{"fdsup://directions/FAT Viewer?action=UPDATE&amp;creator=factset&amp;DYN_ARGS=TRUE&amp;DOC_NAME=FAT:FQL_AUDITING_CLIENT_TEMPLATE.FAT&amp;display_string=Audit&amp;VAR:KEY=VKDMBAZUFK&amp;VAR:QUERY=RkZfRUJJVERBX0lCKCdMVE1TJywzODk5Mik=&amp;WINDOW=FIRST_POPUP&amp;HEIGHT=450&amp;WIDTH=450&amp;START_MA","XIMIZED=FALSE&amp;VAR:CALENDAR=US&amp;VAR:SYMBOL=04916420&amp;VAR:INDEX=0"}</definedName>
    <definedName name="_10377__FDSAUDITLINK__" hidden="1">{"fdsup://directions/FAT Viewer?action=UPDATE&amp;creator=factset&amp;DYN_ARGS=TRUE&amp;DOC_NAME=FAT:FQL_AUDITING_CLIENT_TEMPLATE.FAT&amp;display_string=Audit&amp;VAR:KEY=VKDMBAZUFK&amp;VAR:QUERY=RkZfRUJJVERBX0lCKCdMVE1TJywzODk5Mik=&amp;WINDOW=FIRST_POPUP&amp;HEIGHT=450&amp;WIDTH=450&amp;START_MA","XIMIZED=FALSE&amp;VAR:CALENDAR=US&amp;VAR:SYMBOL=04916420&amp;VAR:INDEX=0"}</definedName>
    <definedName name="_10378__FDSAUDITLINK__" localSheetId="6" hidden="1">{"fdsup://directions/FAT Viewer?action=UPDATE&amp;creator=factset&amp;DYN_ARGS=TRUE&amp;DOC_NAME=FAT:FQL_AUDITING_CLIENT_TEMPLATE.FAT&amp;display_string=Audit&amp;VAR:KEY=PWLAXUJGRK&amp;VAR:QUERY=RkZfRUJJVERBX0lCKCdMVE1TJywzODk5MSk=&amp;WINDOW=FIRST_POPUP&amp;HEIGHT=450&amp;WIDTH=450&amp;START_MA","XIMIZED=FALSE&amp;VAR:CALENDAR=US&amp;VAR:SYMBOL=04916420&amp;VAR:INDEX=0"}</definedName>
    <definedName name="_10378__FDSAUDITLINK__" hidden="1">{"fdsup://directions/FAT Viewer?action=UPDATE&amp;creator=factset&amp;DYN_ARGS=TRUE&amp;DOC_NAME=FAT:FQL_AUDITING_CLIENT_TEMPLATE.FAT&amp;display_string=Audit&amp;VAR:KEY=PWLAXUJGRK&amp;VAR:QUERY=RkZfRUJJVERBX0lCKCdMVE1TJywzODk5MSk=&amp;WINDOW=FIRST_POPUP&amp;HEIGHT=450&amp;WIDTH=450&amp;START_MA","XIMIZED=FALSE&amp;VAR:CALENDAR=US&amp;VAR:SYMBOL=04916420&amp;VAR:INDEX=0"}</definedName>
    <definedName name="_10379__FDSAUDITLINK__" localSheetId="6" hidden="1">{"fdsup://directions/FAT Viewer?action=UPDATE&amp;creator=factset&amp;DYN_ARGS=TRUE&amp;DOC_NAME=FAT:FQL_AUDITING_CLIENT_TEMPLATE.FAT&amp;display_string=Audit&amp;VAR:KEY=VYVYBMXMFO&amp;VAR:QUERY=RkZfRUJJVERBX0lCKCdMVE1TJywzODk5MCk=&amp;WINDOW=FIRST_POPUP&amp;HEIGHT=450&amp;WIDTH=450&amp;START_MA","XIMIZED=FALSE&amp;VAR:CALENDAR=US&amp;VAR:SYMBOL=04916420&amp;VAR:INDEX=0"}</definedName>
    <definedName name="_10379__FDSAUDITLINK__" hidden="1">{"fdsup://directions/FAT Viewer?action=UPDATE&amp;creator=factset&amp;DYN_ARGS=TRUE&amp;DOC_NAME=FAT:FQL_AUDITING_CLIENT_TEMPLATE.FAT&amp;display_string=Audit&amp;VAR:KEY=VYVYBMXMFO&amp;VAR:QUERY=RkZfRUJJVERBX0lCKCdMVE1TJywzODk5MCk=&amp;WINDOW=FIRST_POPUP&amp;HEIGHT=450&amp;WIDTH=450&amp;START_MA","XIMIZED=FALSE&amp;VAR:CALENDAR=US&amp;VAR:SYMBOL=04916420&amp;VAR:INDEX=0"}</definedName>
    <definedName name="_1038__FDSAUDITLINK__" localSheetId="6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8__FDSAUDITLINK__" hidden="1">{"fdsup://directions/FAT%20Viewer?VAR:PED=LTM&amp;VAR:AUDIT_MODE=SUMMARY&amp;VAR:PERIOD=FIXED&amp;VAR:AUDIT_ID=00000117&amp;VAR:DATE=20070420&amp;action=UPDATE&amp;creator=factset&amp;DOC_NAME=FAT:FMA_audit_SUMMARY.fat&amp;DISPLAY_STRING=Display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80__FDSAUDITLINK__" localSheetId="6" hidden="1">{"fdsup://directions/FAT Viewer?action=UPDATE&amp;creator=factset&amp;DYN_ARGS=TRUE&amp;DOC_NAME=FAT:FQL_AUDITING_CLIENT_TEMPLATE.FAT&amp;display_string=Audit&amp;VAR:KEY=FEXOLAPQBY&amp;VAR:QUERY=RkZfRUJJVERBX0lCKCdMVE1TJywzODk4OSk=&amp;WINDOW=FIRST_POPUP&amp;HEIGHT=450&amp;WIDTH=450&amp;START_MA","XIMIZED=FALSE&amp;VAR:CALENDAR=US&amp;VAR:SYMBOL=04916420&amp;VAR:INDEX=0"}</definedName>
    <definedName name="_10380__FDSAUDITLINK__" hidden="1">{"fdsup://directions/FAT Viewer?action=UPDATE&amp;creator=factset&amp;DYN_ARGS=TRUE&amp;DOC_NAME=FAT:FQL_AUDITING_CLIENT_TEMPLATE.FAT&amp;display_string=Audit&amp;VAR:KEY=FEXOLAPQBY&amp;VAR:QUERY=RkZfRUJJVERBX0lCKCdMVE1TJywzODk4OSk=&amp;WINDOW=FIRST_POPUP&amp;HEIGHT=450&amp;WIDTH=450&amp;START_MA","XIMIZED=FALSE&amp;VAR:CALENDAR=US&amp;VAR:SYMBOL=04916420&amp;VAR:INDEX=0"}</definedName>
    <definedName name="_10381__FDSAUDITLINK__" localSheetId="6" hidden="1">{"fdsup://directions/FAT Viewer?action=UPDATE&amp;creator=factset&amp;DYN_ARGS=TRUE&amp;DOC_NAME=FAT:FQL_AUDITING_CLIENT_TEMPLATE.FAT&amp;display_string=Audit&amp;VAR:KEY=BUPYDIDMZG&amp;VAR:QUERY=RkZfRUJJVERBX0lCKCdMVE1TJywzODk4OCk=&amp;WINDOW=FIRST_POPUP&amp;HEIGHT=450&amp;WIDTH=450&amp;START_MA","XIMIZED=FALSE&amp;VAR:CALENDAR=US&amp;VAR:SYMBOL=04916420&amp;VAR:INDEX=0"}</definedName>
    <definedName name="_10381__FDSAUDITLINK__" hidden="1">{"fdsup://directions/FAT Viewer?action=UPDATE&amp;creator=factset&amp;DYN_ARGS=TRUE&amp;DOC_NAME=FAT:FQL_AUDITING_CLIENT_TEMPLATE.FAT&amp;display_string=Audit&amp;VAR:KEY=BUPYDIDMZG&amp;VAR:QUERY=RkZfRUJJVERBX0lCKCdMVE1TJywzODk4OCk=&amp;WINDOW=FIRST_POPUP&amp;HEIGHT=450&amp;WIDTH=450&amp;START_MA","XIMIZED=FALSE&amp;VAR:CALENDAR=US&amp;VAR:SYMBOL=04916420&amp;VAR:INDEX=0"}</definedName>
    <definedName name="_10382__FDSAUDITLINK__" localSheetId="6" hidden="1">{"fdsup://directions/FAT Viewer?action=UPDATE&amp;creator=factset&amp;DYN_ARGS=TRUE&amp;DOC_NAME=FAT:FQL_AUDITING_CLIENT_TEMPLATE.FAT&amp;display_string=Audit&amp;VAR:KEY=BWRABWPIHM&amp;VAR:QUERY=RkZfRUJJVERBX0lCKCdMVE1TJywzODk4Nyk=&amp;WINDOW=FIRST_POPUP&amp;HEIGHT=450&amp;WIDTH=450&amp;START_MA","XIMIZED=FALSE&amp;VAR:CALENDAR=US&amp;VAR:SYMBOL=04916420&amp;VAR:INDEX=0"}</definedName>
    <definedName name="_10382__FDSAUDITLINK__" hidden="1">{"fdsup://directions/FAT Viewer?action=UPDATE&amp;creator=factset&amp;DYN_ARGS=TRUE&amp;DOC_NAME=FAT:FQL_AUDITING_CLIENT_TEMPLATE.FAT&amp;display_string=Audit&amp;VAR:KEY=BWRABWPIHM&amp;VAR:QUERY=RkZfRUJJVERBX0lCKCdMVE1TJywzODk4Nyk=&amp;WINDOW=FIRST_POPUP&amp;HEIGHT=450&amp;WIDTH=450&amp;START_MA","XIMIZED=FALSE&amp;VAR:CALENDAR=US&amp;VAR:SYMBOL=04916420&amp;VAR:INDEX=0"}</definedName>
    <definedName name="_10383__FDSAUDITLINK__" localSheetId="6" hidden="1">{"fdsup://directions/FAT Viewer?action=UPDATE&amp;creator=factset&amp;DYN_ARGS=TRUE&amp;DOC_NAME=FAT:FQL_AUDITING_CLIENT_TEMPLATE.FAT&amp;display_string=Audit&amp;VAR:KEY=XCVUPIXMLQ&amp;VAR:QUERY=RkZfRUJJVERBX0lCKCdMVE1TJywzODk4Nik=&amp;WINDOW=FIRST_POPUP&amp;HEIGHT=450&amp;WIDTH=450&amp;START_MA","XIMIZED=FALSE&amp;VAR:CALENDAR=US&amp;VAR:SYMBOL=04916420&amp;VAR:INDEX=0"}</definedName>
    <definedName name="_10383__FDSAUDITLINK__" hidden="1">{"fdsup://directions/FAT Viewer?action=UPDATE&amp;creator=factset&amp;DYN_ARGS=TRUE&amp;DOC_NAME=FAT:FQL_AUDITING_CLIENT_TEMPLATE.FAT&amp;display_string=Audit&amp;VAR:KEY=XCVUPIXMLQ&amp;VAR:QUERY=RkZfRUJJVERBX0lCKCdMVE1TJywzODk4Nik=&amp;WINDOW=FIRST_POPUP&amp;HEIGHT=450&amp;WIDTH=450&amp;START_MA","XIMIZED=FALSE&amp;VAR:CALENDAR=US&amp;VAR:SYMBOL=04916420&amp;VAR:INDEX=0"}</definedName>
    <definedName name="_10384__FDSAUDITLINK__" localSheetId="6" hidden="1">{"fdsup://directions/FAT Viewer?action=UPDATE&amp;creator=factset&amp;DYN_ARGS=TRUE&amp;DOC_NAME=FAT:FQL_AUDITING_CLIENT_TEMPLATE.FAT&amp;display_string=Audit&amp;VAR:KEY=HYFGFOHGZU&amp;VAR:QUERY=RkZfRUJJVERBX0lCKCdMVE1TJywzODk4NSk=&amp;WINDOW=FIRST_POPUP&amp;HEIGHT=450&amp;WIDTH=450&amp;START_MA","XIMIZED=FALSE&amp;VAR:CALENDAR=US&amp;VAR:SYMBOL=04916420&amp;VAR:INDEX=0"}</definedName>
    <definedName name="_10384__FDSAUDITLINK__" hidden="1">{"fdsup://directions/FAT Viewer?action=UPDATE&amp;creator=factset&amp;DYN_ARGS=TRUE&amp;DOC_NAME=FAT:FQL_AUDITING_CLIENT_TEMPLATE.FAT&amp;display_string=Audit&amp;VAR:KEY=HYFGFOHGZU&amp;VAR:QUERY=RkZfRUJJVERBX0lCKCdMVE1TJywzODk4NSk=&amp;WINDOW=FIRST_POPUP&amp;HEIGHT=450&amp;WIDTH=450&amp;START_MA","XIMIZED=FALSE&amp;VAR:CALENDAR=US&amp;VAR:SYMBOL=04916420&amp;VAR:INDEX=0"}</definedName>
    <definedName name="_10385__FDSAUDITLINK__" localSheetId="6" hidden="1">{"fdsup://directions/FAT Viewer?action=UPDATE&amp;creator=factset&amp;DYN_ARGS=TRUE&amp;DOC_NAME=FAT:FQL_AUDITING_CLIENT_TEMPLATE.FAT&amp;display_string=Audit&amp;VAR:KEY=DYPSLSXKZQ&amp;VAR:QUERY=RkZfRUJJVERBX0lCKCdMVE1TJywzODk4NCk=&amp;WINDOW=FIRST_POPUP&amp;HEIGHT=450&amp;WIDTH=450&amp;START_MA","XIMIZED=FALSE&amp;VAR:CALENDAR=US&amp;VAR:SYMBOL=04916420&amp;VAR:INDEX=0"}</definedName>
    <definedName name="_10385__FDSAUDITLINK__" hidden="1">{"fdsup://directions/FAT Viewer?action=UPDATE&amp;creator=factset&amp;DYN_ARGS=TRUE&amp;DOC_NAME=FAT:FQL_AUDITING_CLIENT_TEMPLATE.FAT&amp;display_string=Audit&amp;VAR:KEY=DYPSLSXKZQ&amp;VAR:QUERY=RkZfRUJJVERBX0lCKCdMVE1TJywzODk4NCk=&amp;WINDOW=FIRST_POPUP&amp;HEIGHT=450&amp;WIDTH=450&amp;START_MA","XIMIZED=FALSE&amp;VAR:CALENDAR=US&amp;VAR:SYMBOL=04916420&amp;VAR:INDEX=0"}</definedName>
    <definedName name="_10386__FDSAUDITLINK__" localSheetId="6" hidden="1">{"fdsup://directions/FAT Viewer?action=UPDATE&amp;creator=factset&amp;DYN_ARGS=TRUE&amp;DOC_NAME=FAT:FQL_AUDITING_CLIENT_TEMPLATE.FAT&amp;display_string=Audit&amp;VAR:KEY=ZGZYFSJWDG&amp;VAR:QUERY=RkZfRUJJVERBX0lCKCdMVE1TJywzODk4Myk=&amp;WINDOW=FIRST_POPUP&amp;HEIGHT=450&amp;WIDTH=450&amp;START_MA","XIMIZED=FALSE&amp;VAR:CALENDAR=US&amp;VAR:SYMBOL=04916420&amp;VAR:INDEX=0"}</definedName>
    <definedName name="_10386__FDSAUDITLINK__" hidden="1">{"fdsup://directions/FAT Viewer?action=UPDATE&amp;creator=factset&amp;DYN_ARGS=TRUE&amp;DOC_NAME=FAT:FQL_AUDITING_CLIENT_TEMPLATE.FAT&amp;display_string=Audit&amp;VAR:KEY=ZGZYFSJWDG&amp;VAR:QUERY=RkZfRUJJVERBX0lCKCdMVE1TJywzODk4Myk=&amp;WINDOW=FIRST_POPUP&amp;HEIGHT=450&amp;WIDTH=450&amp;START_MA","XIMIZED=FALSE&amp;VAR:CALENDAR=US&amp;VAR:SYMBOL=04916420&amp;VAR:INDEX=0"}</definedName>
    <definedName name="_10387__FDSAUDITLINK__" localSheetId="6" hidden="1">{"fdsup://directions/FAT Viewer?action=UPDATE&amp;creator=factset&amp;DYN_ARGS=TRUE&amp;DOC_NAME=FAT:FQL_AUDITING_CLIENT_TEMPLATE.FAT&amp;display_string=Audit&amp;VAR:KEY=VEPKLGHEHE&amp;VAR:QUERY=RkZfRUJJVERBX0lCKCdMVE1TJywzODk4Mik=&amp;WINDOW=FIRST_POPUP&amp;HEIGHT=450&amp;WIDTH=450&amp;START_MA","XIMIZED=FALSE&amp;VAR:CALENDAR=US&amp;VAR:SYMBOL=04916420&amp;VAR:INDEX=0"}</definedName>
    <definedName name="_10387__FDSAUDITLINK__" hidden="1">{"fdsup://directions/FAT Viewer?action=UPDATE&amp;creator=factset&amp;DYN_ARGS=TRUE&amp;DOC_NAME=FAT:FQL_AUDITING_CLIENT_TEMPLATE.FAT&amp;display_string=Audit&amp;VAR:KEY=VEPKLGHEHE&amp;VAR:QUERY=RkZfRUJJVERBX0lCKCdMVE1TJywzODk4Mik=&amp;WINDOW=FIRST_POPUP&amp;HEIGHT=450&amp;WIDTH=450&amp;START_MA","XIMIZED=FALSE&amp;VAR:CALENDAR=US&amp;VAR:SYMBOL=04916420&amp;VAR:INDEX=0"}</definedName>
    <definedName name="_10388__FDSAUDITLINK__" localSheetId="6" hidden="1">{"fdsup://directions/FAT Viewer?action=UPDATE&amp;creator=factset&amp;DYN_ARGS=TRUE&amp;DOC_NAME=FAT:FQL_AUDITING_CLIENT_TEMPLATE.FAT&amp;display_string=Audit&amp;VAR:KEY=VEHUPCNGDY&amp;VAR:QUERY=RkZfRUJJVERBX0lCKCdMVE1TJywzODk4MSk=&amp;WINDOW=FIRST_POPUP&amp;HEIGHT=450&amp;WIDTH=450&amp;START_MA","XIMIZED=FALSE&amp;VAR:CALENDAR=US&amp;VAR:SYMBOL=04916420&amp;VAR:INDEX=0"}</definedName>
    <definedName name="_10388__FDSAUDITLINK__" hidden="1">{"fdsup://directions/FAT Viewer?action=UPDATE&amp;creator=factset&amp;DYN_ARGS=TRUE&amp;DOC_NAME=FAT:FQL_AUDITING_CLIENT_TEMPLATE.FAT&amp;display_string=Audit&amp;VAR:KEY=VEHUPCNGDY&amp;VAR:QUERY=RkZfRUJJVERBX0lCKCdMVE1TJywzODk4MSk=&amp;WINDOW=FIRST_POPUP&amp;HEIGHT=450&amp;WIDTH=450&amp;START_MA","XIMIZED=FALSE&amp;VAR:CALENDAR=US&amp;VAR:SYMBOL=04916420&amp;VAR:INDEX=0"}</definedName>
    <definedName name="_10389__FDSAUDITLINK__" localSheetId="6" hidden="1">{"fdsup://directions/FAT Viewer?action=UPDATE&amp;creator=factset&amp;DYN_ARGS=TRUE&amp;DOC_NAME=FAT:FQL_AUDITING_CLIENT_TEMPLATE.FAT&amp;display_string=Audit&amp;VAR:KEY=NYVYLUNILO&amp;VAR:QUERY=RkZfRUJJVERBX0lCKCdMVE1TJywzODk4MCk=&amp;WINDOW=FIRST_POPUP&amp;HEIGHT=450&amp;WIDTH=450&amp;START_MA","XIMIZED=FALSE&amp;VAR:CALENDAR=US&amp;VAR:SYMBOL=04916420&amp;VAR:INDEX=0"}</definedName>
    <definedName name="_10389__FDSAUDITLINK__" hidden="1">{"fdsup://directions/FAT Viewer?action=UPDATE&amp;creator=factset&amp;DYN_ARGS=TRUE&amp;DOC_NAME=FAT:FQL_AUDITING_CLIENT_TEMPLATE.FAT&amp;display_string=Audit&amp;VAR:KEY=NYVYLUNILO&amp;VAR:QUERY=RkZfRUJJVERBX0lCKCdMVE1TJywzODk4MCk=&amp;WINDOW=FIRST_POPUP&amp;HEIGHT=450&amp;WIDTH=450&amp;START_MA","XIMIZED=FALSE&amp;VAR:CALENDAR=US&amp;VAR:SYMBOL=04916420&amp;VAR:INDEX=0"}</definedName>
    <definedName name="_1039__FDSAUDITLINK__" localSheetId="6" hidden="1">{"fdsup://directions/FAT%20Viewer?VAR:PED=LTM&amp;VAR:AUDIT_MODE=SUMMARY&amp;VAR:PERIOD=FIXED&amp;VAR:AUDIT_ID=00000117&amp;VAR:DATE=20070419&amp;action=UPDATE&amp;creator=factset&amp;DOC_NAME=FAT:FMA_audit_SUMMARY.fat&amp;DISPLAY_STRING=Display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9__FDSAUDITLINK__" hidden="1">{"fdsup://directions/FAT%20Viewer?VAR:PED=LTM&amp;VAR:AUDIT_MODE=SUMMARY&amp;VAR:PERIOD=FIXED&amp;VAR:AUDIT_ID=00000117&amp;VAR:DATE=20070419&amp;action=UPDATE&amp;creator=factset&amp;DOC_NAME=FAT:FMA_audit_SUMMARY.fat&amp;DISPLAY_STRING=Display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390__FDSAUDITLINK__" localSheetId="6" hidden="1">{"fdsup://directions/FAT Viewer?action=UPDATE&amp;creator=factset&amp;DYN_ARGS=TRUE&amp;DOC_NAME=FAT:FQL_AUDITING_CLIENT_TEMPLATE.FAT&amp;display_string=Audit&amp;VAR:KEY=HKHQDURKHY&amp;VAR:QUERY=RkZfRUJJVERBX0lCKCdMVE1TJywzODk3OSk=&amp;WINDOW=FIRST_POPUP&amp;HEIGHT=450&amp;WIDTH=450&amp;START_MA","XIMIZED=FALSE&amp;VAR:CALENDAR=US&amp;VAR:SYMBOL=04916420&amp;VAR:INDEX=0"}</definedName>
    <definedName name="_10390__FDSAUDITLINK__" hidden="1">{"fdsup://directions/FAT Viewer?action=UPDATE&amp;creator=factset&amp;DYN_ARGS=TRUE&amp;DOC_NAME=FAT:FQL_AUDITING_CLIENT_TEMPLATE.FAT&amp;display_string=Audit&amp;VAR:KEY=HKHQDURKHY&amp;VAR:QUERY=RkZfRUJJVERBX0lCKCdMVE1TJywzODk3OSk=&amp;WINDOW=FIRST_POPUP&amp;HEIGHT=450&amp;WIDTH=450&amp;START_MA","XIMIZED=FALSE&amp;VAR:CALENDAR=US&amp;VAR:SYMBOL=04916420&amp;VAR:INDEX=0"}</definedName>
    <definedName name="_10391__FDSAUDITLINK__" localSheetId="6" hidden="1">{"fdsup://directions/FAT Viewer?action=UPDATE&amp;creator=factset&amp;DYN_ARGS=TRUE&amp;DOC_NAME=FAT:FQL_AUDITING_CLIENT_TEMPLATE.FAT&amp;display_string=Audit&amp;VAR:KEY=PAVKDIZSXC&amp;VAR:QUERY=RkZfRUJJVERBX0lCKCdMVE1TJywzODk3OCk=&amp;WINDOW=FIRST_POPUP&amp;HEIGHT=450&amp;WIDTH=450&amp;START_MA","XIMIZED=FALSE&amp;VAR:CALENDAR=US&amp;VAR:SYMBOL=04916420&amp;VAR:INDEX=0"}</definedName>
    <definedName name="_10391__FDSAUDITLINK__" hidden="1">{"fdsup://directions/FAT Viewer?action=UPDATE&amp;creator=factset&amp;DYN_ARGS=TRUE&amp;DOC_NAME=FAT:FQL_AUDITING_CLIENT_TEMPLATE.FAT&amp;display_string=Audit&amp;VAR:KEY=PAVKDIZSXC&amp;VAR:QUERY=RkZfRUJJVERBX0lCKCdMVE1TJywzODk3OCk=&amp;WINDOW=FIRST_POPUP&amp;HEIGHT=450&amp;WIDTH=450&amp;START_MA","XIMIZED=FALSE&amp;VAR:CALENDAR=US&amp;VAR:SYMBOL=04916420&amp;VAR:INDEX=0"}</definedName>
    <definedName name="_10392__FDSAUDITLINK__" localSheetId="6" hidden="1">{"fdsup://directions/FAT Viewer?action=UPDATE&amp;creator=factset&amp;DYN_ARGS=TRUE&amp;DOC_NAME=FAT:FQL_AUDITING_CLIENT_TEMPLATE.FAT&amp;display_string=Audit&amp;VAR:KEY=FAZKJUTGTW&amp;VAR:QUERY=RkZfRUJJVERBX0lCKCdMVE1TJywzODk3Nyk=&amp;WINDOW=FIRST_POPUP&amp;HEIGHT=450&amp;WIDTH=450&amp;START_MA","XIMIZED=FALSE&amp;VAR:CALENDAR=US&amp;VAR:SYMBOL=04916420&amp;VAR:INDEX=0"}</definedName>
    <definedName name="_10392__FDSAUDITLINK__" hidden="1">{"fdsup://directions/FAT Viewer?action=UPDATE&amp;creator=factset&amp;DYN_ARGS=TRUE&amp;DOC_NAME=FAT:FQL_AUDITING_CLIENT_TEMPLATE.FAT&amp;display_string=Audit&amp;VAR:KEY=FAZKJUTGTW&amp;VAR:QUERY=RkZfRUJJVERBX0lCKCdMVE1TJywzODk3Nyk=&amp;WINDOW=FIRST_POPUP&amp;HEIGHT=450&amp;WIDTH=450&amp;START_MA","XIMIZED=FALSE&amp;VAR:CALENDAR=US&amp;VAR:SYMBOL=04916420&amp;VAR:INDEX=0"}</definedName>
    <definedName name="_10393__FDSAUDITLINK__" localSheetId="6" hidden="1">{"fdsup://directions/FAT Viewer?action=UPDATE&amp;creator=factset&amp;DYN_ARGS=TRUE&amp;DOC_NAME=FAT:FQL_AUDITING_CLIENT_TEMPLATE.FAT&amp;display_string=Audit&amp;VAR:KEY=XGDQFWPCJA&amp;VAR:QUERY=RkZfRUJJVERBX0lCKCdMVE1TJywzODk3Nik=&amp;WINDOW=FIRST_POPUP&amp;HEIGHT=450&amp;WIDTH=450&amp;START_MA","XIMIZED=FALSE&amp;VAR:CALENDAR=US&amp;VAR:SYMBOL=04916420&amp;VAR:INDEX=0"}</definedName>
    <definedName name="_10393__FDSAUDITLINK__" hidden="1">{"fdsup://directions/FAT Viewer?action=UPDATE&amp;creator=factset&amp;DYN_ARGS=TRUE&amp;DOC_NAME=FAT:FQL_AUDITING_CLIENT_TEMPLATE.FAT&amp;display_string=Audit&amp;VAR:KEY=XGDQFWPCJA&amp;VAR:QUERY=RkZfRUJJVERBX0lCKCdMVE1TJywzODk3Nik=&amp;WINDOW=FIRST_POPUP&amp;HEIGHT=450&amp;WIDTH=450&amp;START_MA","XIMIZED=FALSE&amp;VAR:CALENDAR=US&amp;VAR:SYMBOL=04916420&amp;VAR:INDEX=0"}</definedName>
    <definedName name="_10394__FDSAUDITLINK__" localSheetId="6" hidden="1">{"fdsup://directions/FAT Viewer?action=UPDATE&amp;creator=factset&amp;DYN_ARGS=TRUE&amp;DOC_NAME=FAT:FQL_AUDITING_CLIENT_TEMPLATE.FAT&amp;display_string=Audit&amp;VAR:KEY=DIHCHYTCZG&amp;VAR:QUERY=RkZfRUJJVERBX0lCKCdMVE1TJywzODk3NSk=&amp;WINDOW=FIRST_POPUP&amp;HEIGHT=450&amp;WIDTH=450&amp;START_MA","XIMIZED=FALSE&amp;VAR:CALENDAR=US&amp;VAR:SYMBOL=04916420&amp;VAR:INDEX=0"}</definedName>
    <definedName name="_10394__FDSAUDITLINK__" hidden="1">{"fdsup://directions/FAT Viewer?action=UPDATE&amp;creator=factset&amp;DYN_ARGS=TRUE&amp;DOC_NAME=FAT:FQL_AUDITING_CLIENT_TEMPLATE.FAT&amp;display_string=Audit&amp;VAR:KEY=DIHCHYTCZG&amp;VAR:QUERY=RkZfRUJJVERBX0lCKCdMVE1TJywzODk3NSk=&amp;WINDOW=FIRST_POPUP&amp;HEIGHT=450&amp;WIDTH=450&amp;START_MA","XIMIZED=FALSE&amp;VAR:CALENDAR=US&amp;VAR:SYMBOL=04916420&amp;VAR:INDEX=0"}</definedName>
    <definedName name="_10395__FDSAUDITLINK__" localSheetId="6" hidden="1">{"fdsup://directions/FAT Viewer?action=UPDATE&amp;creator=factset&amp;DYN_ARGS=TRUE&amp;DOC_NAME=FAT:FQL_AUDITING_CLIENT_TEMPLATE.FAT&amp;display_string=Audit&amp;VAR:KEY=HEVWTUDUPQ&amp;VAR:QUERY=RkZfRUJJVERBX0lCKCdMVE1TJywzODk3NCk=&amp;WINDOW=FIRST_POPUP&amp;HEIGHT=450&amp;WIDTH=450&amp;START_MA","XIMIZED=FALSE&amp;VAR:CALENDAR=US&amp;VAR:SYMBOL=04916420&amp;VAR:INDEX=0"}</definedName>
    <definedName name="_10395__FDSAUDITLINK__" hidden="1">{"fdsup://directions/FAT Viewer?action=UPDATE&amp;creator=factset&amp;DYN_ARGS=TRUE&amp;DOC_NAME=FAT:FQL_AUDITING_CLIENT_TEMPLATE.FAT&amp;display_string=Audit&amp;VAR:KEY=HEVWTUDUPQ&amp;VAR:QUERY=RkZfRUJJVERBX0lCKCdMVE1TJywzODk3NCk=&amp;WINDOW=FIRST_POPUP&amp;HEIGHT=450&amp;WIDTH=450&amp;START_MA","XIMIZED=FALSE&amp;VAR:CALENDAR=US&amp;VAR:SYMBOL=04916420&amp;VAR:INDEX=0"}</definedName>
    <definedName name="_10396__FDSAUDITLINK__" localSheetId="6" hidden="1">{"fdsup://directions/FAT Viewer?action=UPDATE&amp;creator=factset&amp;DYN_ARGS=TRUE&amp;DOC_NAME=FAT:FQL_AUDITING_CLIENT_TEMPLATE.FAT&amp;display_string=Audit&amp;VAR:KEY=HMVMFCZGHO&amp;VAR:QUERY=RkZfRUJJVERBX0lCKCdMVE1TJywzODk3Myk=&amp;WINDOW=FIRST_POPUP&amp;HEIGHT=450&amp;WIDTH=450&amp;START_MA","XIMIZED=FALSE&amp;VAR:CALENDAR=US&amp;VAR:SYMBOL=04916420&amp;VAR:INDEX=0"}</definedName>
    <definedName name="_10396__FDSAUDITLINK__" hidden="1">{"fdsup://directions/FAT Viewer?action=UPDATE&amp;creator=factset&amp;DYN_ARGS=TRUE&amp;DOC_NAME=FAT:FQL_AUDITING_CLIENT_TEMPLATE.FAT&amp;display_string=Audit&amp;VAR:KEY=HMVMFCZGHO&amp;VAR:QUERY=RkZfRUJJVERBX0lCKCdMVE1TJywzODk3Myk=&amp;WINDOW=FIRST_POPUP&amp;HEIGHT=450&amp;WIDTH=450&amp;START_MA","XIMIZED=FALSE&amp;VAR:CALENDAR=US&amp;VAR:SYMBOL=04916420&amp;VAR:INDEX=0"}</definedName>
    <definedName name="_10397__FDSAUDITLINK__" localSheetId="6" hidden="1">{"fdsup://directions/FAT Viewer?action=UPDATE&amp;creator=factset&amp;DYN_ARGS=TRUE&amp;DOC_NAME=FAT:FQL_AUDITING_CLIENT_TEMPLATE.FAT&amp;display_string=Audit&amp;VAR:KEY=ZETIJSDUVI&amp;VAR:QUERY=RkZfRUJJVERBX0lCKCdMVE1TJywzODk3Mik=&amp;WINDOW=FIRST_POPUP&amp;HEIGHT=450&amp;WIDTH=450&amp;START_MA","XIMIZED=FALSE&amp;VAR:CALENDAR=US&amp;VAR:SYMBOL=04916420&amp;VAR:INDEX=0"}</definedName>
    <definedName name="_10397__FDSAUDITLINK__" hidden="1">{"fdsup://directions/FAT Viewer?action=UPDATE&amp;creator=factset&amp;DYN_ARGS=TRUE&amp;DOC_NAME=FAT:FQL_AUDITING_CLIENT_TEMPLATE.FAT&amp;display_string=Audit&amp;VAR:KEY=ZETIJSDUVI&amp;VAR:QUERY=RkZfRUJJVERBX0lCKCdMVE1TJywzODk3Mik=&amp;WINDOW=FIRST_POPUP&amp;HEIGHT=450&amp;WIDTH=450&amp;START_MA","XIMIZED=FALSE&amp;VAR:CALENDAR=US&amp;VAR:SYMBOL=04916420&amp;VAR:INDEX=0"}</definedName>
    <definedName name="_10398__FDSAUDITLINK__" localSheetId="6" hidden="1">{"fdsup://directions/FAT Viewer?action=UPDATE&amp;creator=factset&amp;DYN_ARGS=TRUE&amp;DOC_NAME=FAT:FQL_AUDITING_CLIENT_TEMPLATE.FAT&amp;display_string=Audit&amp;VAR:KEY=JCTMDQRQJW&amp;VAR:QUERY=RkZfRUJJVERBX0lCKCdMVE1TJywzODk3MSk=&amp;WINDOW=FIRST_POPUP&amp;HEIGHT=450&amp;WIDTH=450&amp;START_MA","XIMIZED=FALSE&amp;VAR:CALENDAR=US&amp;VAR:SYMBOL=04916420&amp;VAR:INDEX=0"}</definedName>
    <definedName name="_10398__FDSAUDITLINK__" hidden="1">{"fdsup://directions/FAT Viewer?action=UPDATE&amp;creator=factset&amp;DYN_ARGS=TRUE&amp;DOC_NAME=FAT:FQL_AUDITING_CLIENT_TEMPLATE.FAT&amp;display_string=Audit&amp;VAR:KEY=JCTMDQRQJW&amp;VAR:QUERY=RkZfRUJJVERBX0lCKCdMVE1TJywzODk3MSk=&amp;WINDOW=FIRST_POPUP&amp;HEIGHT=450&amp;WIDTH=450&amp;START_MA","XIMIZED=FALSE&amp;VAR:CALENDAR=US&amp;VAR:SYMBOL=04916420&amp;VAR:INDEX=0"}</definedName>
    <definedName name="_10399__FDSAUDITLINK__" localSheetId="6" hidden="1">{"fdsup://directions/FAT Viewer?action=UPDATE&amp;creator=factset&amp;DYN_ARGS=TRUE&amp;DOC_NAME=FAT:FQL_AUDITING_CLIENT_TEMPLATE.FAT&amp;display_string=Audit&amp;VAR:KEY=LKVKBQFIPG&amp;VAR:QUERY=RkZfRUJJVERBX0lCKCdMVE1TJywzODk3MCk=&amp;WINDOW=FIRST_POPUP&amp;HEIGHT=450&amp;WIDTH=450&amp;START_MA","XIMIZED=FALSE&amp;VAR:CALENDAR=US&amp;VAR:SYMBOL=04916420&amp;VAR:INDEX=0"}</definedName>
    <definedName name="_10399__FDSAUDITLINK__" hidden="1">{"fdsup://directions/FAT Viewer?action=UPDATE&amp;creator=factset&amp;DYN_ARGS=TRUE&amp;DOC_NAME=FAT:FQL_AUDITING_CLIENT_TEMPLATE.FAT&amp;display_string=Audit&amp;VAR:KEY=LKVKBQFIPG&amp;VAR:QUERY=RkZfRUJJVERBX0lCKCdMVE1TJywzODk3MCk=&amp;WINDOW=FIRST_POPUP&amp;HEIGHT=450&amp;WIDTH=450&amp;START_MA","XIMIZED=FALSE&amp;VAR:CALENDAR=US&amp;VAR:SYMBOL=04916420&amp;VAR:INDEX=0"}</definedName>
    <definedName name="_104__FDSAUDITLINK__" localSheetId="6" hidden="1">{"fdsup://directions/FAT Viewer?action=UPDATE&amp;creator=factset&amp;DYN_ARGS=TRUE&amp;DOC_NAME=FAT:FQL_AUDITING_CLIENT_TEMPLATE.FAT&amp;display_string=Audit&amp;VAR:KEY=WTQFQXQBEZ&amp;VAR:QUERY=QVZHKENTRl9ORVRfSU5DKEFOTiwwRlksLTZGWSxZKSkvKEFWRyhDU0ZfQVNTRVRTKEFOTiwwRlksLTZGWSxGW","SkpLUFWRyhDU0ZfSU5UQU5HKEFOTiwwLC02RlksRlkpKSk=&amp;WINDOW=FIRST_POPUP&amp;HEIGHT=450&amp;WIDTH=450&amp;START_MAXIMIZED=FALSE&amp;VAR:CALENDAR=US&amp;VAR:SYMBOL=01448210"}</definedName>
    <definedName name="_104__FDSAUDITLINK__" hidden="1">{"fdsup://directions/FAT Viewer?action=UPDATE&amp;creator=factset&amp;DYN_ARGS=TRUE&amp;DOC_NAME=FAT:FQL_AUDITING_CLIENT_TEMPLATE.FAT&amp;display_string=Audit&amp;VAR:KEY=WTQFQXQBEZ&amp;VAR:QUERY=QVZHKENTRl9ORVRfSU5DKEFOTiwwRlksLTZGWSxZKSkvKEFWRyhDU0ZfQVNTRVRTKEFOTiwwRlksLTZGWSxGW","SkpLUFWRyhDU0ZfSU5UQU5HKEFOTiwwLC02RlksRlkpKSk=&amp;WINDOW=FIRST_POPUP&amp;HEIGHT=450&amp;WIDTH=450&amp;START_MAXIMIZED=FALSE&amp;VAR:CALENDAR=US&amp;VAR:SYMBOL=01448210"}</definedName>
    <definedName name="_1040__FDSAUDITLINK__" localSheetId="6" hidden="1">{"fdsup://directions/FAT%20Viewer?VAR:PED=LTM&amp;VAR:AUDIT_MODE=SUMMARY&amp;VAR:PERIOD=FIXED&amp;VAR:AUDIT_ID=00000117&amp;VAR:DATE=20070418&amp;action=UPDATE&amp;creator=factset&amp;DOC_NAME=FAT:FMA_audit_SUMMARY.fat&amp;DISPLAY_STRING=Display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0__FDSAUDITLINK__" hidden="1">{"fdsup://directions/FAT%20Viewer?VAR:PED=LTM&amp;VAR:AUDIT_MODE=SUMMARY&amp;VAR:PERIOD=FIXED&amp;VAR:AUDIT_ID=00000117&amp;VAR:DATE=20070418&amp;action=UPDATE&amp;creator=factset&amp;DOC_NAME=FAT:FMA_audit_SUMMARY.fat&amp;DISPLAY_STRING=Display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00__FDSAUDITLINK__" localSheetId="6" hidden="1">{"fdsup://directions/FAT Viewer?action=UPDATE&amp;creator=factset&amp;DYN_ARGS=TRUE&amp;DOC_NAME=FAT:FQL_AUDITING_CLIENT_TEMPLATE.FAT&amp;display_string=Audit&amp;VAR:KEY=TIZITMJAXS&amp;VAR:QUERY=RkZfRUJJVERBX0lCKCdMVE1TJywzODk2OSk=&amp;WINDOW=FIRST_POPUP&amp;HEIGHT=450&amp;WIDTH=450&amp;START_MA","XIMIZED=FALSE&amp;VAR:CALENDAR=US&amp;VAR:SYMBOL=04916420&amp;VAR:INDEX=0"}</definedName>
    <definedName name="_10400__FDSAUDITLINK__" hidden="1">{"fdsup://directions/FAT Viewer?action=UPDATE&amp;creator=factset&amp;DYN_ARGS=TRUE&amp;DOC_NAME=FAT:FQL_AUDITING_CLIENT_TEMPLATE.FAT&amp;display_string=Audit&amp;VAR:KEY=TIZITMJAXS&amp;VAR:QUERY=RkZfRUJJVERBX0lCKCdMVE1TJywzODk2OSk=&amp;WINDOW=FIRST_POPUP&amp;HEIGHT=450&amp;WIDTH=450&amp;START_MA","XIMIZED=FALSE&amp;VAR:CALENDAR=US&amp;VAR:SYMBOL=04916420&amp;VAR:INDEX=0"}</definedName>
    <definedName name="_10401__FDSAUDITLINK__" localSheetId="6" hidden="1">{"fdsup://directions/FAT Viewer?action=UPDATE&amp;creator=factset&amp;DYN_ARGS=TRUE&amp;DOC_NAME=FAT:FQL_AUDITING_CLIENT_TEMPLATE.FAT&amp;display_string=Audit&amp;VAR:KEY=DGPINERKJU&amp;VAR:QUERY=RkZfRUJJVERBX0lCKCdMVE1TJywzODk2OCk=&amp;WINDOW=FIRST_POPUP&amp;HEIGHT=450&amp;WIDTH=450&amp;START_MA","XIMIZED=FALSE&amp;VAR:CALENDAR=US&amp;VAR:SYMBOL=04916420&amp;VAR:INDEX=0"}</definedName>
    <definedName name="_10401__FDSAUDITLINK__" hidden="1">{"fdsup://directions/FAT Viewer?action=UPDATE&amp;creator=factset&amp;DYN_ARGS=TRUE&amp;DOC_NAME=FAT:FQL_AUDITING_CLIENT_TEMPLATE.FAT&amp;display_string=Audit&amp;VAR:KEY=DGPINERKJU&amp;VAR:QUERY=RkZfRUJJVERBX0lCKCdMVE1TJywzODk2OCk=&amp;WINDOW=FIRST_POPUP&amp;HEIGHT=450&amp;WIDTH=450&amp;START_MA","XIMIZED=FALSE&amp;VAR:CALENDAR=US&amp;VAR:SYMBOL=04916420&amp;VAR:INDEX=0"}</definedName>
    <definedName name="_10402__FDSAUDITLINK__" localSheetId="6" hidden="1">{"fdsup://directions/FAT Viewer?action=UPDATE&amp;creator=factset&amp;DYN_ARGS=TRUE&amp;DOC_NAME=FAT:FQL_AUDITING_CLIENT_TEMPLATE.FAT&amp;display_string=Audit&amp;VAR:KEY=VMPYXQJMJM&amp;VAR:QUERY=RkZfRUJJVERBX0lCKCdMVE1TJywzODk2Nyk=&amp;WINDOW=FIRST_POPUP&amp;HEIGHT=450&amp;WIDTH=450&amp;START_MA","XIMIZED=FALSE&amp;VAR:CALENDAR=US&amp;VAR:SYMBOL=04916420&amp;VAR:INDEX=0"}</definedName>
    <definedName name="_10402__FDSAUDITLINK__" hidden="1">{"fdsup://directions/FAT Viewer?action=UPDATE&amp;creator=factset&amp;DYN_ARGS=TRUE&amp;DOC_NAME=FAT:FQL_AUDITING_CLIENT_TEMPLATE.FAT&amp;display_string=Audit&amp;VAR:KEY=VMPYXQJMJM&amp;VAR:QUERY=RkZfRUJJVERBX0lCKCdMVE1TJywzODk2Nyk=&amp;WINDOW=FIRST_POPUP&amp;HEIGHT=450&amp;WIDTH=450&amp;START_MA","XIMIZED=FALSE&amp;VAR:CALENDAR=US&amp;VAR:SYMBOL=04916420&amp;VAR:INDEX=0"}</definedName>
    <definedName name="_10403__FDSAUDITLINK__" localSheetId="6" hidden="1">{"fdsup://directions/FAT Viewer?action=UPDATE&amp;creator=factset&amp;DYN_ARGS=TRUE&amp;DOC_NAME=FAT:FQL_AUDITING_CLIENT_TEMPLATE.FAT&amp;display_string=Audit&amp;VAR:KEY=XWZSZQNKLY&amp;VAR:QUERY=RkZfRUJJVERBX0lCKCdMVE1TJywzODk2Nik=&amp;WINDOW=FIRST_POPUP&amp;HEIGHT=450&amp;WIDTH=450&amp;START_MA","XIMIZED=FALSE&amp;VAR:CALENDAR=US&amp;VAR:SYMBOL=04916420&amp;VAR:INDEX=0"}</definedName>
    <definedName name="_10403__FDSAUDITLINK__" hidden="1">{"fdsup://directions/FAT Viewer?action=UPDATE&amp;creator=factset&amp;DYN_ARGS=TRUE&amp;DOC_NAME=FAT:FQL_AUDITING_CLIENT_TEMPLATE.FAT&amp;display_string=Audit&amp;VAR:KEY=XWZSZQNKLY&amp;VAR:QUERY=RkZfRUJJVERBX0lCKCdMVE1TJywzODk2Nik=&amp;WINDOW=FIRST_POPUP&amp;HEIGHT=450&amp;WIDTH=450&amp;START_MA","XIMIZED=FALSE&amp;VAR:CALENDAR=US&amp;VAR:SYMBOL=04916420&amp;VAR:INDEX=0"}</definedName>
    <definedName name="_10404__FDSAUDITLINK__" localSheetId="6" hidden="1">{"fdsup://directions/FAT Viewer?action=UPDATE&amp;creator=factset&amp;DYN_ARGS=TRUE&amp;DOC_NAME=FAT:FQL_AUDITING_CLIENT_TEMPLATE.FAT&amp;display_string=Audit&amp;VAR:KEY=DYDUBYTSFI&amp;VAR:QUERY=RkZfRUJJVERBX0lCKCdMVE1TJywzODk2NSk=&amp;WINDOW=FIRST_POPUP&amp;HEIGHT=450&amp;WIDTH=450&amp;START_MA","XIMIZED=FALSE&amp;VAR:CALENDAR=US&amp;VAR:SYMBOL=04916420&amp;VAR:INDEX=0"}</definedName>
    <definedName name="_10404__FDSAUDITLINK__" hidden="1">{"fdsup://directions/FAT Viewer?action=UPDATE&amp;creator=factset&amp;DYN_ARGS=TRUE&amp;DOC_NAME=FAT:FQL_AUDITING_CLIENT_TEMPLATE.FAT&amp;display_string=Audit&amp;VAR:KEY=DYDUBYTSFI&amp;VAR:QUERY=RkZfRUJJVERBX0lCKCdMVE1TJywzODk2NSk=&amp;WINDOW=FIRST_POPUP&amp;HEIGHT=450&amp;WIDTH=450&amp;START_MA","XIMIZED=FALSE&amp;VAR:CALENDAR=US&amp;VAR:SYMBOL=04916420&amp;VAR:INDEX=0"}</definedName>
    <definedName name="_10405__FDSAUDITLINK__" localSheetId="6" hidden="1">{"fdsup://directions/FAT Viewer?action=UPDATE&amp;creator=factset&amp;DYN_ARGS=TRUE&amp;DOC_NAME=FAT:FQL_AUDITING_CLIENT_TEMPLATE.FAT&amp;display_string=Audit&amp;VAR:KEY=HKZCVQBQDE&amp;VAR:QUERY=RkZfRUJJVERBX0lCKCdMVE1TJywzODk2NCk=&amp;WINDOW=FIRST_POPUP&amp;HEIGHT=450&amp;WIDTH=450&amp;START_MA","XIMIZED=FALSE&amp;VAR:CALENDAR=US&amp;VAR:SYMBOL=04916420&amp;VAR:INDEX=0"}</definedName>
    <definedName name="_10405__FDSAUDITLINK__" hidden="1">{"fdsup://directions/FAT Viewer?action=UPDATE&amp;creator=factset&amp;DYN_ARGS=TRUE&amp;DOC_NAME=FAT:FQL_AUDITING_CLIENT_TEMPLATE.FAT&amp;display_string=Audit&amp;VAR:KEY=HKZCVQBQDE&amp;VAR:QUERY=RkZfRUJJVERBX0lCKCdMVE1TJywzODk2NCk=&amp;WINDOW=FIRST_POPUP&amp;HEIGHT=450&amp;WIDTH=450&amp;START_MA","XIMIZED=FALSE&amp;VAR:CALENDAR=US&amp;VAR:SYMBOL=04916420&amp;VAR:INDEX=0"}</definedName>
    <definedName name="_10406__FDSAUDITLINK__" localSheetId="6" hidden="1">{"fdsup://directions/FAT Viewer?action=UPDATE&amp;creator=factset&amp;DYN_ARGS=TRUE&amp;DOC_NAME=FAT:FQL_AUDITING_CLIENT_TEMPLATE.FAT&amp;display_string=Audit&amp;VAR:KEY=RQPAXYDCFK&amp;VAR:QUERY=RkZfRUJJVERBX0lCKCdMVE1TJywzODk2Myk=&amp;WINDOW=FIRST_POPUP&amp;HEIGHT=450&amp;WIDTH=450&amp;START_MA","XIMIZED=FALSE&amp;VAR:CALENDAR=US&amp;VAR:SYMBOL=04916420&amp;VAR:INDEX=0"}</definedName>
    <definedName name="_10406__FDSAUDITLINK__" hidden="1">{"fdsup://directions/FAT Viewer?action=UPDATE&amp;creator=factset&amp;DYN_ARGS=TRUE&amp;DOC_NAME=FAT:FQL_AUDITING_CLIENT_TEMPLATE.FAT&amp;display_string=Audit&amp;VAR:KEY=RQPAXYDCFK&amp;VAR:QUERY=RkZfRUJJVERBX0lCKCdMVE1TJywzODk2Myk=&amp;WINDOW=FIRST_POPUP&amp;HEIGHT=450&amp;WIDTH=450&amp;START_MA","XIMIZED=FALSE&amp;VAR:CALENDAR=US&amp;VAR:SYMBOL=04916420&amp;VAR:INDEX=0"}</definedName>
    <definedName name="_10407__FDSAUDITLINK__" localSheetId="6" hidden="1">{"fdsup://directions/FAT Viewer?action=UPDATE&amp;creator=factset&amp;DYN_ARGS=TRUE&amp;DOC_NAME=FAT:FQL_AUDITING_CLIENT_TEMPLATE.FAT&amp;display_string=Audit&amp;VAR:KEY=XEBOTKZWLA&amp;VAR:QUERY=RkZfRUJJVERBX0lCKCdMVE1TJywzODk2Mik=&amp;WINDOW=FIRST_POPUP&amp;HEIGHT=450&amp;WIDTH=450&amp;START_MA","XIMIZED=FALSE&amp;VAR:CALENDAR=US&amp;VAR:SYMBOL=04916420&amp;VAR:INDEX=0"}</definedName>
    <definedName name="_10407__FDSAUDITLINK__" hidden="1">{"fdsup://directions/FAT Viewer?action=UPDATE&amp;creator=factset&amp;DYN_ARGS=TRUE&amp;DOC_NAME=FAT:FQL_AUDITING_CLIENT_TEMPLATE.FAT&amp;display_string=Audit&amp;VAR:KEY=XEBOTKZWLA&amp;VAR:QUERY=RkZfRUJJVERBX0lCKCdMVE1TJywzODk2Mik=&amp;WINDOW=FIRST_POPUP&amp;HEIGHT=450&amp;WIDTH=450&amp;START_MA","XIMIZED=FALSE&amp;VAR:CALENDAR=US&amp;VAR:SYMBOL=04916420&amp;VAR:INDEX=0"}</definedName>
    <definedName name="_10408__FDSAUDITLINK__" localSheetId="6" hidden="1">{"fdsup://directions/FAT Viewer?action=UPDATE&amp;creator=factset&amp;DYN_ARGS=TRUE&amp;DOC_NAME=FAT:FQL_AUDITING_CLIENT_TEMPLATE.FAT&amp;display_string=Audit&amp;VAR:KEY=ZGZURYBOBI&amp;VAR:QUERY=RkZfRUJJVERBX0lCKCdMVE1TJywzODk2MSk=&amp;WINDOW=FIRST_POPUP&amp;HEIGHT=450&amp;WIDTH=450&amp;START_MA","XIMIZED=FALSE&amp;VAR:CALENDAR=US&amp;VAR:SYMBOL=04916420&amp;VAR:INDEX=0"}</definedName>
    <definedName name="_10408__FDSAUDITLINK__" hidden="1">{"fdsup://directions/FAT Viewer?action=UPDATE&amp;creator=factset&amp;DYN_ARGS=TRUE&amp;DOC_NAME=FAT:FQL_AUDITING_CLIENT_TEMPLATE.FAT&amp;display_string=Audit&amp;VAR:KEY=ZGZURYBOBI&amp;VAR:QUERY=RkZfRUJJVERBX0lCKCdMVE1TJywzODk2MSk=&amp;WINDOW=FIRST_POPUP&amp;HEIGHT=450&amp;WIDTH=450&amp;START_MA","XIMIZED=FALSE&amp;VAR:CALENDAR=US&amp;VAR:SYMBOL=04916420&amp;VAR:INDEX=0"}</definedName>
    <definedName name="_10409__FDSAUDITLINK__" localSheetId="6" hidden="1">{"fdsup://directions/FAT Viewer?action=UPDATE&amp;creator=factset&amp;DYN_ARGS=TRUE&amp;DOC_NAME=FAT:FQL_AUDITING_CLIENT_TEMPLATE.FAT&amp;display_string=Audit&amp;VAR:KEY=NWDKHEROZQ&amp;VAR:QUERY=RkZfRUJJVERBX0lCKCdMVE1TJywzODk2MCk=&amp;WINDOW=FIRST_POPUP&amp;HEIGHT=450&amp;WIDTH=450&amp;START_MA","XIMIZED=FALSE&amp;VAR:CALENDAR=US&amp;VAR:SYMBOL=04916420&amp;VAR:INDEX=0"}</definedName>
    <definedName name="_10409__FDSAUDITLINK__" hidden="1">{"fdsup://directions/FAT Viewer?action=UPDATE&amp;creator=factset&amp;DYN_ARGS=TRUE&amp;DOC_NAME=FAT:FQL_AUDITING_CLIENT_TEMPLATE.FAT&amp;display_string=Audit&amp;VAR:KEY=NWDKHEROZQ&amp;VAR:QUERY=RkZfRUJJVERBX0lCKCdMVE1TJywzODk2MCk=&amp;WINDOW=FIRST_POPUP&amp;HEIGHT=450&amp;WIDTH=450&amp;START_MA","XIMIZED=FALSE&amp;VAR:CALENDAR=US&amp;VAR:SYMBOL=04916420&amp;VAR:INDEX=0"}</definedName>
    <definedName name="_1041__FDSAUDITLINK__" localSheetId="6" hidden="1">{"fdsup://directions/FAT%20Viewer?VAR:PED=LTM&amp;VAR:AUDIT_MODE=SUMMARY&amp;VAR:PERIOD=FIXED&amp;VAR:AUDIT_ID=00000117&amp;VAR:DATE=20070417&amp;action=UPDATE&amp;creator=factset&amp;DOC_NAME=FAT:FMA_audit_SUMMARY.fat&amp;DISPLAY_STRING=Display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1__FDSAUDITLINK__" hidden="1">{"fdsup://directions/FAT%20Viewer?VAR:PED=LTM&amp;VAR:AUDIT_MODE=SUMMARY&amp;VAR:PERIOD=FIXED&amp;VAR:AUDIT_ID=00000117&amp;VAR:DATE=20070417&amp;action=UPDATE&amp;creator=factset&amp;DOC_NAME=FAT:FMA_audit_SUMMARY.fat&amp;DISPLAY_STRING=Display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10__FDSAUDITLINK__" localSheetId="6" hidden="1">{"fdsup://directions/FAT Viewer?action=UPDATE&amp;creator=factset&amp;DYN_ARGS=TRUE&amp;DOC_NAME=FAT:FQL_AUDITING_CLIENT_TEMPLATE.FAT&amp;display_string=Audit&amp;VAR:KEY=JATIBWHSDE&amp;VAR:QUERY=RkZfRUJJVERBX0lCKCdMVE1TJywzODk1OSk=&amp;WINDOW=FIRST_POPUP&amp;HEIGHT=450&amp;WIDTH=450&amp;START_MA","XIMIZED=FALSE&amp;VAR:CALENDAR=US&amp;VAR:SYMBOL=04916420&amp;VAR:INDEX=0"}</definedName>
    <definedName name="_10410__FDSAUDITLINK__" hidden="1">{"fdsup://directions/FAT Viewer?action=UPDATE&amp;creator=factset&amp;DYN_ARGS=TRUE&amp;DOC_NAME=FAT:FQL_AUDITING_CLIENT_TEMPLATE.FAT&amp;display_string=Audit&amp;VAR:KEY=JATIBWHSDE&amp;VAR:QUERY=RkZfRUJJVERBX0lCKCdMVE1TJywzODk1OSk=&amp;WINDOW=FIRST_POPUP&amp;HEIGHT=450&amp;WIDTH=450&amp;START_MA","XIMIZED=FALSE&amp;VAR:CALENDAR=US&amp;VAR:SYMBOL=04916420&amp;VAR:INDEX=0"}</definedName>
    <definedName name="_10411__FDSAUDITLINK__" localSheetId="6" hidden="1">{"fdsup://directions/FAT Viewer?action=UPDATE&amp;creator=factset&amp;DYN_ARGS=TRUE&amp;DOC_NAME=FAT:FQL_AUDITING_CLIENT_TEMPLATE.FAT&amp;display_string=Audit&amp;VAR:KEY=DOZITOPUVI&amp;VAR:QUERY=RkZfRUJJVERBX0lCKCdMVE1TJywzODk1OCk=&amp;WINDOW=FIRST_POPUP&amp;HEIGHT=450&amp;WIDTH=450&amp;START_MA","XIMIZED=FALSE&amp;VAR:CALENDAR=US&amp;VAR:SYMBOL=04916420&amp;VAR:INDEX=0"}</definedName>
    <definedName name="_10411__FDSAUDITLINK__" hidden="1">{"fdsup://directions/FAT Viewer?action=UPDATE&amp;creator=factset&amp;DYN_ARGS=TRUE&amp;DOC_NAME=FAT:FQL_AUDITING_CLIENT_TEMPLATE.FAT&amp;display_string=Audit&amp;VAR:KEY=DOZITOPUVI&amp;VAR:QUERY=RkZfRUJJVERBX0lCKCdMVE1TJywzODk1OCk=&amp;WINDOW=FIRST_POPUP&amp;HEIGHT=450&amp;WIDTH=450&amp;START_MA","XIMIZED=FALSE&amp;VAR:CALENDAR=US&amp;VAR:SYMBOL=04916420&amp;VAR:INDEX=0"}</definedName>
    <definedName name="_10412__FDSAUDITLINK__" localSheetId="6" hidden="1">{"fdsup://directions/FAT Viewer?action=UPDATE&amp;creator=factset&amp;DYN_ARGS=TRUE&amp;DOC_NAME=FAT:FQL_AUDITING_CLIENT_TEMPLATE.FAT&amp;display_string=Audit&amp;VAR:KEY=ZUXCXANCNU&amp;VAR:QUERY=RkZfRUJJVERBX0lCKCdMVE1TJywzODk1Nyk=&amp;WINDOW=FIRST_POPUP&amp;HEIGHT=450&amp;WIDTH=450&amp;START_MA","XIMIZED=FALSE&amp;VAR:CALENDAR=US&amp;VAR:SYMBOL=04916420&amp;VAR:INDEX=0"}</definedName>
    <definedName name="_10412__FDSAUDITLINK__" hidden="1">{"fdsup://directions/FAT Viewer?action=UPDATE&amp;creator=factset&amp;DYN_ARGS=TRUE&amp;DOC_NAME=FAT:FQL_AUDITING_CLIENT_TEMPLATE.FAT&amp;display_string=Audit&amp;VAR:KEY=ZUXCXANCNU&amp;VAR:QUERY=RkZfRUJJVERBX0lCKCdMVE1TJywzODk1Nyk=&amp;WINDOW=FIRST_POPUP&amp;HEIGHT=450&amp;WIDTH=450&amp;START_MA","XIMIZED=FALSE&amp;VAR:CALENDAR=US&amp;VAR:SYMBOL=04916420&amp;VAR:INDEX=0"}</definedName>
    <definedName name="_10413__FDSAUDITLINK__" localSheetId="6" hidden="1">{"fdsup://directions/FAT Viewer?action=UPDATE&amp;creator=factset&amp;DYN_ARGS=TRUE&amp;DOC_NAME=FAT:FQL_AUDITING_CLIENT_TEMPLATE.FAT&amp;display_string=Audit&amp;VAR:KEY=PITEXANWHI&amp;VAR:QUERY=RkZfRUJJVERBX0lCKCdMVE1TJywzODk1Nik=&amp;WINDOW=FIRST_POPUP&amp;HEIGHT=450&amp;WIDTH=450&amp;START_MA","XIMIZED=FALSE&amp;VAR:CALENDAR=US&amp;VAR:SYMBOL=04916420&amp;VAR:INDEX=0"}</definedName>
    <definedName name="_10413__FDSAUDITLINK__" hidden="1">{"fdsup://directions/FAT Viewer?action=UPDATE&amp;creator=factset&amp;DYN_ARGS=TRUE&amp;DOC_NAME=FAT:FQL_AUDITING_CLIENT_TEMPLATE.FAT&amp;display_string=Audit&amp;VAR:KEY=PITEXANWHI&amp;VAR:QUERY=RkZfRUJJVERBX0lCKCdMVE1TJywzODk1Nik=&amp;WINDOW=FIRST_POPUP&amp;HEIGHT=450&amp;WIDTH=450&amp;START_MA","XIMIZED=FALSE&amp;VAR:CALENDAR=US&amp;VAR:SYMBOL=04916420&amp;VAR:INDEX=0"}</definedName>
    <definedName name="_10414__FDSAUDITLINK__" localSheetId="6" hidden="1">{"fdsup://directions/FAT Viewer?action=UPDATE&amp;creator=factset&amp;DYN_ARGS=TRUE&amp;DOC_NAME=FAT:FQL_AUDITING_CLIENT_TEMPLATE.FAT&amp;display_string=Audit&amp;VAR:KEY=ZSPWTKLANS&amp;VAR:QUERY=RkZfRUJJVERBX0lCKCdMVE1TJywzODk1NSk=&amp;WINDOW=FIRST_POPUP&amp;HEIGHT=450&amp;WIDTH=450&amp;START_MA","XIMIZED=FALSE&amp;VAR:CALENDAR=US&amp;VAR:SYMBOL=04916420&amp;VAR:INDEX=0"}</definedName>
    <definedName name="_10414__FDSAUDITLINK__" hidden="1">{"fdsup://directions/FAT Viewer?action=UPDATE&amp;creator=factset&amp;DYN_ARGS=TRUE&amp;DOC_NAME=FAT:FQL_AUDITING_CLIENT_TEMPLATE.FAT&amp;display_string=Audit&amp;VAR:KEY=ZSPWTKLANS&amp;VAR:QUERY=RkZfRUJJVERBX0lCKCdMVE1TJywzODk1NSk=&amp;WINDOW=FIRST_POPUP&amp;HEIGHT=450&amp;WIDTH=450&amp;START_MA","XIMIZED=FALSE&amp;VAR:CALENDAR=US&amp;VAR:SYMBOL=04916420&amp;VAR:INDEX=0"}</definedName>
    <definedName name="_10415__FDSAUDITLINK__" localSheetId="6" hidden="1">{"fdsup://directions/FAT Viewer?action=UPDATE&amp;creator=factset&amp;DYN_ARGS=TRUE&amp;DOC_NAME=FAT:FQL_AUDITING_CLIENT_TEMPLATE.FAT&amp;display_string=Audit&amp;VAR:KEY=FUNETCVUVU&amp;VAR:QUERY=RkZfRUJJVERBX0lCKCdMVE1TJywzODk1NCk=&amp;WINDOW=FIRST_POPUP&amp;HEIGHT=450&amp;WIDTH=450&amp;START_MA","XIMIZED=FALSE&amp;VAR:CALENDAR=US&amp;VAR:SYMBOL=04916420&amp;VAR:INDEX=0"}</definedName>
    <definedName name="_10415__FDSAUDITLINK__" hidden="1">{"fdsup://directions/FAT Viewer?action=UPDATE&amp;creator=factset&amp;DYN_ARGS=TRUE&amp;DOC_NAME=FAT:FQL_AUDITING_CLIENT_TEMPLATE.FAT&amp;display_string=Audit&amp;VAR:KEY=FUNETCVUVU&amp;VAR:QUERY=RkZfRUJJVERBX0lCKCdMVE1TJywzODk1NCk=&amp;WINDOW=FIRST_POPUP&amp;HEIGHT=450&amp;WIDTH=450&amp;START_MA","XIMIZED=FALSE&amp;VAR:CALENDAR=US&amp;VAR:SYMBOL=04916420&amp;VAR:INDEX=0"}</definedName>
    <definedName name="_10416__FDSAUDITLINK__" localSheetId="6" hidden="1">{"fdsup://directions/FAT Viewer?action=UPDATE&amp;creator=factset&amp;DYN_ARGS=TRUE&amp;DOC_NAME=FAT:FQL_AUDITING_CLIENT_TEMPLATE.FAT&amp;display_string=Audit&amp;VAR:KEY=VYFEFUPQDS&amp;VAR:QUERY=RkZfRUJJVERBX0lCKCdMVE1TJywzODk1Myk=&amp;WINDOW=FIRST_POPUP&amp;HEIGHT=450&amp;WIDTH=450&amp;START_MA","XIMIZED=FALSE&amp;VAR:CALENDAR=US&amp;VAR:SYMBOL=04916420&amp;VAR:INDEX=0"}</definedName>
    <definedName name="_10416__FDSAUDITLINK__" hidden="1">{"fdsup://directions/FAT Viewer?action=UPDATE&amp;creator=factset&amp;DYN_ARGS=TRUE&amp;DOC_NAME=FAT:FQL_AUDITING_CLIENT_TEMPLATE.FAT&amp;display_string=Audit&amp;VAR:KEY=VYFEFUPQDS&amp;VAR:QUERY=RkZfRUJJVERBX0lCKCdMVE1TJywzODk1Myk=&amp;WINDOW=FIRST_POPUP&amp;HEIGHT=450&amp;WIDTH=450&amp;START_MA","XIMIZED=FALSE&amp;VAR:CALENDAR=US&amp;VAR:SYMBOL=04916420&amp;VAR:INDEX=0"}</definedName>
    <definedName name="_10417__FDSAUDITLINK__" localSheetId="6" hidden="1">{"fdsup://directions/FAT Viewer?action=UPDATE&amp;creator=factset&amp;DYN_ARGS=TRUE&amp;DOC_NAME=FAT:FQL_AUDITING_CLIENT_TEMPLATE.FAT&amp;display_string=Audit&amp;VAR:KEY=HQNSDQRIVG&amp;VAR:QUERY=RkZfRUJJVERBX0lCKCdMVE1TJywzODk1Mik=&amp;WINDOW=FIRST_POPUP&amp;HEIGHT=450&amp;WIDTH=450&amp;START_MA","XIMIZED=FALSE&amp;VAR:CALENDAR=US&amp;VAR:SYMBOL=04916420&amp;VAR:INDEX=0"}</definedName>
    <definedName name="_10417__FDSAUDITLINK__" hidden="1">{"fdsup://directions/FAT Viewer?action=UPDATE&amp;creator=factset&amp;DYN_ARGS=TRUE&amp;DOC_NAME=FAT:FQL_AUDITING_CLIENT_TEMPLATE.FAT&amp;display_string=Audit&amp;VAR:KEY=HQNSDQRIVG&amp;VAR:QUERY=RkZfRUJJVERBX0lCKCdMVE1TJywzODk1Mik=&amp;WINDOW=FIRST_POPUP&amp;HEIGHT=450&amp;WIDTH=450&amp;START_MA","XIMIZED=FALSE&amp;VAR:CALENDAR=US&amp;VAR:SYMBOL=04916420&amp;VAR:INDEX=0"}</definedName>
    <definedName name="_10418__FDSAUDITLINK__" localSheetId="6" hidden="1">{"fdsup://directions/FAT Viewer?action=UPDATE&amp;creator=factset&amp;DYN_ARGS=TRUE&amp;DOC_NAME=FAT:FQL_AUDITING_CLIENT_TEMPLATE.FAT&amp;display_string=Audit&amp;VAR:KEY=VAZINKFIHU&amp;VAR:QUERY=RkZfRUJJVERBX0lCKCdMVE1TJywzODk1MSk=&amp;WINDOW=FIRST_POPUP&amp;HEIGHT=450&amp;WIDTH=450&amp;START_MA","XIMIZED=FALSE&amp;VAR:CALENDAR=US&amp;VAR:SYMBOL=04916420&amp;VAR:INDEX=0"}</definedName>
    <definedName name="_10418__FDSAUDITLINK__" hidden="1">{"fdsup://directions/FAT Viewer?action=UPDATE&amp;creator=factset&amp;DYN_ARGS=TRUE&amp;DOC_NAME=FAT:FQL_AUDITING_CLIENT_TEMPLATE.FAT&amp;display_string=Audit&amp;VAR:KEY=VAZINKFIHU&amp;VAR:QUERY=RkZfRUJJVERBX0lCKCdMVE1TJywzODk1MSk=&amp;WINDOW=FIRST_POPUP&amp;HEIGHT=450&amp;WIDTH=450&amp;START_MA","XIMIZED=FALSE&amp;VAR:CALENDAR=US&amp;VAR:SYMBOL=04916420&amp;VAR:INDEX=0"}</definedName>
    <definedName name="_10419__FDSAUDITLINK__" localSheetId="6" hidden="1">{"fdsup://directions/FAT Viewer?action=UPDATE&amp;creator=factset&amp;DYN_ARGS=TRUE&amp;DOC_NAME=FAT:FQL_AUDITING_CLIENT_TEMPLATE.FAT&amp;display_string=Audit&amp;VAR:KEY=FMVWNOXWRU&amp;VAR:QUERY=RkZfRUJJVERBX0lCKCdMVE1TJywzODk1MCk=&amp;WINDOW=FIRST_POPUP&amp;HEIGHT=450&amp;WIDTH=450&amp;START_MA","XIMIZED=FALSE&amp;VAR:CALENDAR=US&amp;VAR:SYMBOL=04916420&amp;VAR:INDEX=0"}</definedName>
    <definedName name="_10419__FDSAUDITLINK__" hidden="1">{"fdsup://directions/FAT Viewer?action=UPDATE&amp;creator=factset&amp;DYN_ARGS=TRUE&amp;DOC_NAME=FAT:FQL_AUDITING_CLIENT_TEMPLATE.FAT&amp;display_string=Audit&amp;VAR:KEY=FMVWNOXWRU&amp;VAR:QUERY=RkZfRUJJVERBX0lCKCdMVE1TJywzODk1MCk=&amp;WINDOW=FIRST_POPUP&amp;HEIGHT=450&amp;WIDTH=450&amp;START_MA","XIMIZED=FALSE&amp;VAR:CALENDAR=US&amp;VAR:SYMBOL=04916420&amp;VAR:INDEX=0"}</definedName>
    <definedName name="_1042__FDSAUDITLINK__" localSheetId="6" hidden="1">{"fdsup://directions/FAT%20Viewer?VAR:PED=LTM&amp;VAR:AUDIT_MODE=SUMMARY&amp;VAR:PERIOD=FIXED&amp;VAR:AUDIT_ID=00000117&amp;VAR:DATE=20070416&amp;action=UPDATE&amp;creator=factset&amp;DOC_NAME=FAT:FMA_audit_SUMMARY.fat&amp;DISPLAY_STRING=Display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2__FDSAUDITLINK__" hidden="1">{"fdsup://directions/FAT%20Viewer?VAR:PED=LTM&amp;VAR:AUDIT_MODE=SUMMARY&amp;VAR:PERIOD=FIXED&amp;VAR:AUDIT_ID=00000117&amp;VAR:DATE=20070416&amp;action=UPDATE&amp;creator=factset&amp;DOC_NAME=FAT:FMA_audit_SUMMARY.fat&amp;DISPLAY_STRING=Display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20__FDSAUDITLINK__" localSheetId="6" hidden="1">{"fdsup://directions/FAT Viewer?action=UPDATE&amp;creator=factset&amp;DYN_ARGS=TRUE&amp;DOC_NAME=FAT:FQL_AUDITING_CLIENT_TEMPLATE.FAT&amp;display_string=Audit&amp;VAR:KEY=NITQJQJYNW&amp;VAR:QUERY=RkZfRUJJVERBX0lCKCdMVE1TJywzODk0OSk=&amp;WINDOW=FIRST_POPUP&amp;HEIGHT=450&amp;WIDTH=450&amp;START_MA","XIMIZED=FALSE&amp;VAR:CALENDAR=US&amp;VAR:SYMBOL=04916420&amp;VAR:INDEX=0"}</definedName>
    <definedName name="_10420__FDSAUDITLINK__" hidden="1">{"fdsup://directions/FAT Viewer?action=UPDATE&amp;creator=factset&amp;DYN_ARGS=TRUE&amp;DOC_NAME=FAT:FQL_AUDITING_CLIENT_TEMPLATE.FAT&amp;display_string=Audit&amp;VAR:KEY=NITQJQJYNW&amp;VAR:QUERY=RkZfRUJJVERBX0lCKCdMVE1TJywzODk0OSk=&amp;WINDOW=FIRST_POPUP&amp;HEIGHT=450&amp;WIDTH=450&amp;START_MA","XIMIZED=FALSE&amp;VAR:CALENDAR=US&amp;VAR:SYMBOL=04916420&amp;VAR:INDEX=0"}</definedName>
    <definedName name="_10421__FDSAUDITLINK__" localSheetId="6" hidden="1">{"fdsup://directions/FAT Viewer?action=UPDATE&amp;creator=factset&amp;DYN_ARGS=TRUE&amp;DOC_NAME=FAT:FQL_AUDITING_CLIENT_TEMPLATE.FAT&amp;display_string=Audit&amp;VAR:KEY=HOBGFEPCJS&amp;VAR:QUERY=RkZfRUJJVERBX0lCKCdMVE1TJywzODk0OCk=&amp;WINDOW=FIRST_POPUP&amp;HEIGHT=450&amp;WIDTH=450&amp;START_MA","XIMIZED=FALSE&amp;VAR:CALENDAR=US&amp;VAR:SYMBOL=04916420&amp;VAR:INDEX=0"}</definedName>
    <definedName name="_10421__FDSAUDITLINK__" hidden="1">{"fdsup://directions/FAT Viewer?action=UPDATE&amp;creator=factset&amp;DYN_ARGS=TRUE&amp;DOC_NAME=FAT:FQL_AUDITING_CLIENT_TEMPLATE.FAT&amp;display_string=Audit&amp;VAR:KEY=HOBGFEPCJS&amp;VAR:QUERY=RkZfRUJJVERBX0lCKCdMVE1TJywzODk0OCk=&amp;WINDOW=FIRST_POPUP&amp;HEIGHT=450&amp;WIDTH=450&amp;START_MA","XIMIZED=FALSE&amp;VAR:CALENDAR=US&amp;VAR:SYMBOL=04916420&amp;VAR:INDEX=0"}</definedName>
    <definedName name="_10422__FDSAUDITLINK__" localSheetId="6" hidden="1">{"fdsup://directions/FAT Viewer?action=UPDATE&amp;creator=factset&amp;DYN_ARGS=TRUE&amp;DOC_NAME=FAT:FQL_AUDITING_CLIENT_TEMPLATE.FAT&amp;display_string=Audit&amp;VAR:KEY=LKLCDYRKDG&amp;VAR:QUERY=RkZfRUJJVERBX0lCKCdMVE1TJywzODk0Nyk=&amp;WINDOW=FIRST_POPUP&amp;HEIGHT=450&amp;WIDTH=450&amp;START_MA","XIMIZED=FALSE&amp;VAR:CALENDAR=US&amp;VAR:SYMBOL=04916420&amp;VAR:INDEX=0"}</definedName>
    <definedName name="_10422__FDSAUDITLINK__" hidden="1">{"fdsup://directions/FAT Viewer?action=UPDATE&amp;creator=factset&amp;DYN_ARGS=TRUE&amp;DOC_NAME=FAT:FQL_AUDITING_CLIENT_TEMPLATE.FAT&amp;display_string=Audit&amp;VAR:KEY=LKLCDYRKDG&amp;VAR:QUERY=RkZfRUJJVERBX0lCKCdMVE1TJywzODk0Nyk=&amp;WINDOW=FIRST_POPUP&amp;HEIGHT=450&amp;WIDTH=450&amp;START_MA","XIMIZED=FALSE&amp;VAR:CALENDAR=US&amp;VAR:SYMBOL=04916420&amp;VAR:INDEX=0"}</definedName>
    <definedName name="_10423__FDSAUDITLINK__" localSheetId="6" hidden="1">{"fdsup://directions/FAT Viewer?action=UPDATE&amp;creator=factset&amp;DYN_ARGS=TRUE&amp;DOC_NAME=FAT:FQL_AUDITING_CLIENT_TEMPLATE.FAT&amp;display_string=Audit&amp;VAR:KEY=LIFQLITQRG&amp;VAR:QUERY=RkZfRUJJVERBX0lCKCdMVE1TJywzODk0Nik=&amp;WINDOW=FIRST_POPUP&amp;HEIGHT=450&amp;WIDTH=450&amp;START_MA","XIMIZED=FALSE&amp;VAR:CALENDAR=US&amp;VAR:SYMBOL=04916420&amp;VAR:INDEX=0"}</definedName>
    <definedName name="_10423__FDSAUDITLINK__" hidden="1">{"fdsup://directions/FAT Viewer?action=UPDATE&amp;creator=factset&amp;DYN_ARGS=TRUE&amp;DOC_NAME=FAT:FQL_AUDITING_CLIENT_TEMPLATE.FAT&amp;display_string=Audit&amp;VAR:KEY=LIFQLITQRG&amp;VAR:QUERY=RkZfRUJJVERBX0lCKCdMVE1TJywzODk0Nik=&amp;WINDOW=FIRST_POPUP&amp;HEIGHT=450&amp;WIDTH=450&amp;START_MA","XIMIZED=FALSE&amp;VAR:CALENDAR=US&amp;VAR:SYMBOL=04916420&amp;VAR:INDEX=0"}</definedName>
    <definedName name="_10424__FDSAUDITLINK__" localSheetId="6" hidden="1">{"fdsup://directions/FAT Viewer?action=UPDATE&amp;creator=factset&amp;DYN_ARGS=TRUE&amp;DOC_NAME=FAT:FQL_AUDITING_CLIENT_TEMPLATE.FAT&amp;display_string=Audit&amp;VAR:KEY=VCTEXQVSPC&amp;VAR:QUERY=RkZfRUJJVERBX0lCKCdMVE1TJywzODk0NSk=&amp;WINDOW=FIRST_POPUP&amp;HEIGHT=450&amp;WIDTH=450&amp;START_MA","XIMIZED=FALSE&amp;VAR:CALENDAR=US&amp;VAR:SYMBOL=04916420&amp;VAR:INDEX=0"}</definedName>
    <definedName name="_10424__FDSAUDITLINK__" hidden="1">{"fdsup://directions/FAT Viewer?action=UPDATE&amp;creator=factset&amp;DYN_ARGS=TRUE&amp;DOC_NAME=FAT:FQL_AUDITING_CLIENT_TEMPLATE.FAT&amp;display_string=Audit&amp;VAR:KEY=VCTEXQVSPC&amp;VAR:QUERY=RkZfRUJJVERBX0lCKCdMVE1TJywzODk0NSk=&amp;WINDOW=FIRST_POPUP&amp;HEIGHT=450&amp;WIDTH=450&amp;START_MA","XIMIZED=FALSE&amp;VAR:CALENDAR=US&amp;VAR:SYMBOL=04916420&amp;VAR:INDEX=0"}</definedName>
    <definedName name="_10425__FDSAUDITLINK__" localSheetId="6" hidden="1">{"fdsup://directions/FAT Viewer?action=UPDATE&amp;creator=factset&amp;DYN_ARGS=TRUE&amp;DOC_NAME=FAT:FQL_AUDITING_CLIENT_TEMPLATE.FAT&amp;display_string=Audit&amp;VAR:KEY=DCNSXEROHW&amp;VAR:QUERY=RkZfRUJJVERBX0lCKCdMVE1TJywzODk0NCk=&amp;WINDOW=FIRST_POPUP&amp;HEIGHT=450&amp;WIDTH=450&amp;START_MA","XIMIZED=FALSE&amp;VAR:CALENDAR=US&amp;VAR:SYMBOL=04916420&amp;VAR:INDEX=0"}</definedName>
    <definedName name="_10425__FDSAUDITLINK__" hidden="1">{"fdsup://directions/FAT Viewer?action=UPDATE&amp;creator=factset&amp;DYN_ARGS=TRUE&amp;DOC_NAME=FAT:FQL_AUDITING_CLIENT_TEMPLATE.FAT&amp;display_string=Audit&amp;VAR:KEY=DCNSXEROHW&amp;VAR:QUERY=RkZfRUJJVERBX0lCKCdMVE1TJywzODk0NCk=&amp;WINDOW=FIRST_POPUP&amp;HEIGHT=450&amp;WIDTH=450&amp;START_MA","XIMIZED=FALSE&amp;VAR:CALENDAR=US&amp;VAR:SYMBOL=04916420&amp;VAR:INDEX=0"}</definedName>
    <definedName name="_10426__FDSAUDITLINK__" localSheetId="6" hidden="1">{"fdsup://directions/FAT Viewer?action=UPDATE&amp;creator=factset&amp;DYN_ARGS=TRUE&amp;DOC_NAME=FAT:FQL_AUDITING_CLIENT_TEMPLATE.FAT&amp;display_string=Audit&amp;VAR:KEY=VAVGHMBSFW&amp;VAR:QUERY=RkZfRUJJVERBX0lCKCdMVE1TJywzODk0Myk=&amp;WINDOW=FIRST_POPUP&amp;HEIGHT=450&amp;WIDTH=450&amp;START_MA","XIMIZED=FALSE&amp;VAR:CALENDAR=US&amp;VAR:SYMBOL=04916420&amp;VAR:INDEX=0"}</definedName>
    <definedName name="_10426__FDSAUDITLINK__" hidden="1">{"fdsup://directions/FAT Viewer?action=UPDATE&amp;creator=factset&amp;DYN_ARGS=TRUE&amp;DOC_NAME=FAT:FQL_AUDITING_CLIENT_TEMPLATE.FAT&amp;display_string=Audit&amp;VAR:KEY=VAVGHMBSFW&amp;VAR:QUERY=RkZfRUJJVERBX0lCKCdMVE1TJywzODk0Myk=&amp;WINDOW=FIRST_POPUP&amp;HEIGHT=450&amp;WIDTH=450&amp;START_MA","XIMIZED=FALSE&amp;VAR:CALENDAR=US&amp;VAR:SYMBOL=04916420&amp;VAR:INDEX=0"}</definedName>
    <definedName name="_10427__FDSAUDITLINK__" localSheetId="6" hidden="1">{"fdsup://directions/FAT Viewer?action=UPDATE&amp;creator=factset&amp;DYN_ARGS=TRUE&amp;DOC_NAME=FAT:FQL_AUDITING_CLIENT_TEMPLATE.FAT&amp;display_string=Audit&amp;VAR:KEY=RAZMHALENM&amp;VAR:QUERY=RkZfRUJJVERBX0lCKCdMVE1TJywzODk0Mik=&amp;WINDOW=FIRST_POPUP&amp;HEIGHT=450&amp;WIDTH=450&amp;START_MA","XIMIZED=FALSE&amp;VAR:CALENDAR=US&amp;VAR:SYMBOL=04916420&amp;VAR:INDEX=0"}</definedName>
    <definedName name="_10427__FDSAUDITLINK__" hidden="1">{"fdsup://directions/FAT Viewer?action=UPDATE&amp;creator=factset&amp;DYN_ARGS=TRUE&amp;DOC_NAME=FAT:FQL_AUDITING_CLIENT_TEMPLATE.FAT&amp;display_string=Audit&amp;VAR:KEY=RAZMHALENM&amp;VAR:QUERY=RkZfRUJJVERBX0lCKCdMVE1TJywzODk0Mik=&amp;WINDOW=FIRST_POPUP&amp;HEIGHT=450&amp;WIDTH=450&amp;START_MA","XIMIZED=FALSE&amp;VAR:CALENDAR=US&amp;VAR:SYMBOL=04916420&amp;VAR:INDEX=0"}</definedName>
    <definedName name="_10428__FDSAUDITLINK__" localSheetId="6" hidden="1">{"fdsup://directions/FAT Viewer?action=UPDATE&amp;creator=factset&amp;DYN_ARGS=TRUE&amp;DOC_NAME=FAT:FQL_AUDITING_CLIENT_TEMPLATE.FAT&amp;display_string=Audit&amp;VAR:KEY=ZAFQVODCZA&amp;VAR:QUERY=RkZfRUJJVERBX0lCKCdMVE1TJywzODk0MSk=&amp;WINDOW=FIRST_POPUP&amp;HEIGHT=450&amp;WIDTH=450&amp;START_MA","XIMIZED=FALSE&amp;VAR:CALENDAR=US&amp;VAR:SYMBOL=04916420&amp;VAR:INDEX=0"}</definedName>
    <definedName name="_10428__FDSAUDITLINK__" hidden="1">{"fdsup://directions/FAT Viewer?action=UPDATE&amp;creator=factset&amp;DYN_ARGS=TRUE&amp;DOC_NAME=FAT:FQL_AUDITING_CLIENT_TEMPLATE.FAT&amp;display_string=Audit&amp;VAR:KEY=ZAFQVODCZA&amp;VAR:QUERY=RkZfRUJJVERBX0lCKCdMVE1TJywzODk0MSk=&amp;WINDOW=FIRST_POPUP&amp;HEIGHT=450&amp;WIDTH=450&amp;START_MA","XIMIZED=FALSE&amp;VAR:CALENDAR=US&amp;VAR:SYMBOL=04916420&amp;VAR:INDEX=0"}</definedName>
    <definedName name="_10429__FDSAUDITLINK__" localSheetId="6" hidden="1">{"fdsup://directions/FAT Viewer?action=UPDATE&amp;creator=factset&amp;DYN_ARGS=TRUE&amp;DOC_NAME=FAT:FQL_AUDITING_CLIENT_TEMPLATE.FAT&amp;display_string=Audit&amp;VAR:KEY=TEDCHMFSZY&amp;VAR:QUERY=RkZfRUJJVERBX0lCKCdMVE1TJywzODk0MCk=&amp;WINDOW=FIRST_POPUP&amp;HEIGHT=450&amp;WIDTH=450&amp;START_MA","XIMIZED=FALSE&amp;VAR:CALENDAR=US&amp;VAR:SYMBOL=04916420&amp;VAR:INDEX=0"}</definedName>
    <definedName name="_10429__FDSAUDITLINK__" hidden="1">{"fdsup://directions/FAT Viewer?action=UPDATE&amp;creator=factset&amp;DYN_ARGS=TRUE&amp;DOC_NAME=FAT:FQL_AUDITING_CLIENT_TEMPLATE.FAT&amp;display_string=Audit&amp;VAR:KEY=TEDCHMFSZY&amp;VAR:QUERY=RkZfRUJJVERBX0lCKCdMVE1TJywzODk0MCk=&amp;WINDOW=FIRST_POPUP&amp;HEIGHT=450&amp;WIDTH=450&amp;START_MA","XIMIZED=FALSE&amp;VAR:CALENDAR=US&amp;VAR:SYMBOL=04916420&amp;VAR:INDEX=0"}</definedName>
    <definedName name="_1043__FDSAUDITLINK__" localSheetId="6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3__FDSAUDITLINK__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30__FDSAUDITLINK__" localSheetId="6" hidden="1">{"fdsup://directions/FAT Viewer?action=UPDATE&amp;creator=factset&amp;DYN_ARGS=TRUE&amp;DOC_NAME=FAT:FQL_AUDITING_CLIENT_TEMPLATE.FAT&amp;display_string=Audit&amp;VAR:KEY=LQBSPOJANG&amp;VAR:QUERY=RkZfRUJJVERBX0lCKCdMVE1TJywzODkzOSk=&amp;WINDOW=FIRST_POPUP&amp;HEIGHT=450&amp;WIDTH=450&amp;START_MA","XIMIZED=FALSE&amp;VAR:CALENDAR=US&amp;VAR:SYMBOL=04916420&amp;VAR:INDEX=0"}</definedName>
    <definedName name="_10430__FDSAUDITLINK__" hidden="1">{"fdsup://directions/FAT Viewer?action=UPDATE&amp;creator=factset&amp;DYN_ARGS=TRUE&amp;DOC_NAME=FAT:FQL_AUDITING_CLIENT_TEMPLATE.FAT&amp;display_string=Audit&amp;VAR:KEY=LQBSPOJANG&amp;VAR:QUERY=RkZfRUJJVERBX0lCKCdMVE1TJywzODkzOSk=&amp;WINDOW=FIRST_POPUP&amp;HEIGHT=450&amp;WIDTH=450&amp;START_MA","XIMIZED=FALSE&amp;VAR:CALENDAR=US&amp;VAR:SYMBOL=04916420&amp;VAR:INDEX=0"}</definedName>
    <definedName name="_10431__FDSAUDITLINK__" localSheetId="6" hidden="1">{"fdsup://directions/FAT Viewer?action=UPDATE&amp;creator=factset&amp;DYN_ARGS=TRUE&amp;DOC_NAME=FAT:FQL_AUDITING_CLIENT_TEMPLATE.FAT&amp;display_string=Audit&amp;VAR:KEY=JAZWDWRIJO&amp;VAR:QUERY=RkZfRUJJVERBX0lCKCdMVE1TJywzODkzOCk=&amp;WINDOW=FIRST_POPUP&amp;HEIGHT=450&amp;WIDTH=450&amp;START_MA","XIMIZED=FALSE&amp;VAR:CALENDAR=US&amp;VAR:SYMBOL=04916420&amp;VAR:INDEX=0"}</definedName>
    <definedName name="_10431__FDSAUDITLINK__" hidden="1">{"fdsup://directions/FAT Viewer?action=UPDATE&amp;creator=factset&amp;DYN_ARGS=TRUE&amp;DOC_NAME=FAT:FQL_AUDITING_CLIENT_TEMPLATE.FAT&amp;display_string=Audit&amp;VAR:KEY=JAZWDWRIJO&amp;VAR:QUERY=RkZfRUJJVERBX0lCKCdMVE1TJywzODkzOCk=&amp;WINDOW=FIRST_POPUP&amp;HEIGHT=450&amp;WIDTH=450&amp;START_MA","XIMIZED=FALSE&amp;VAR:CALENDAR=US&amp;VAR:SYMBOL=04916420&amp;VAR:INDEX=0"}</definedName>
    <definedName name="_10432__FDSAUDITLINK__" localSheetId="6" hidden="1">{"fdsup://directions/FAT Viewer?action=UPDATE&amp;creator=factset&amp;DYN_ARGS=TRUE&amp;DOC_NAME=FAT:FQL_AUDITING_CLIENT_TEMPLATE.FAT&amp;display_string=Audit&amp;VAR:KEY=HCFURYTUXK&amp;VAR:QUERY=RkZfRUJJVERBX0lCKCdMVE1TJywzODkzNyk=&amp;WINDOW=FIRST_POPUP&amp;HEIGHT=450&amp;WIDTH=450&amp;START_MA","XIMIZED=FALSE&amp;VAR:CALENDAR=US&amp;VAR:SYMBOL=04916420&amp;VAR:INDEX=0"}</definedName>
    <definedName name="_10432__FDSAUDITLINK__" hidden="1">{"fdsup://directions/FAT Viewer?action=UPDATE&amp;creator=factset&amp;DYN_ARGS=TRUE&amp;DOC_NAME=FAT:FQL_AUDITING_CLIENT_TEMPLATE.FAT&amp;display_string=Audit&amp;VAR:KEY=HCFURYTUXK&amp;VAR:QUERY=RkZfRUJJVERBX0lCKCdMVE1TJywzODkzNyk=&amp;WINDOW=FIRST_POPUP&amp;HEIGHT=450&amp;WIDTH=450&amp;START_MA","XIMIZED=FALSE&amp;VAR:CALENDAR=US&amp;VAR:SYMBOL=04916420&amp;VAR:INDEX=0"}</definedName>
    <definedName name="_10433__FDSAUDITLINK__" localSheetId="6" hidden="1">{"fdsup://directions/FAT Viewer?action=UPDATE&amp;creator=factset&amp;DYN_ARGS=TRUE&amp;DOC_NAME=FAT:FQL_AUDITING_CLIENT_TEMPLATE.FAT&amp;display_string=Audit&amp;VAR:KEY=ZYLCFCTKBG&amp;VAR:QUERY=RkZfRUJJVERBX0lCKCdMVE1TJywzODkzNik=&amp;WINDOW=FIRST_POPUP&amp;HEIGHT=450&amp;WIDTH=450&amp;START_MA","XIMIZED=FALSE&amp;VAR:CALENDAR=US&amp;VAR:SYMBOL=04916420&amp;VAR:INDEX=0"}</definedName>
    <definedName name="_10433__FDSAUDITLINK__" hidden="1">{"fdsup://directions/FAT Viewer?action=UPDATE&amp;creator=factset&amp;DYN_ARGS=TRUE&amp;DOC_NAME=FAT:FQL_AUDITING_CLIENT_TEMPLATE.FAT&amp;display_string=Audit&amp;VAR:KEY=ZYLCFCTKBG&amp;VAR:QUERY=RkZfRUJJVERBX0lCKCdMVE1TJywzODkzNik=&amp;WINDOW=FIRST_POPUP&amp;HEIGHT=450&amp;WIDTH=450&amp;START_MA","XIMIZED=FALSE&amp;VAR:CALENDAR=US&amp;VAR:SYMBOL=04916420&amp;VAR:INDEX=0"}</definedName>
    <definedName name="_10434__FDSAUDITLINK__" localSheetId="6" hidden="1">{"fdsup://directions/FAT Viewer?action=UPDATE&amp;creator=factset&amp;DYN_ARGS=TRUE&amp;DOC_NAME=FAT:FQL_AUDITING_CLIENT_TEMPLATE.FAT&amp;display_string=Audit&amp;VAR:KEY=HGTKTWFEDS&amp;VAR:QUERY=RkZfRUJJVERBX0lCKCdMVE1TJywzODkzNSk=&amp;WINDOW=FIRST_POPUP&amp;HEIGHT=450&amp;WIDTH=450&amp;START_MA","XIMIZED=FALSE&amp;VAR:CALENDAR=US&amp;VAR:SYMBOL=04916420&amp;VAR:INDEX=0"}</definedName>
    <definedName name="_10434__FDSAUDITLINK__" hidden="1">{"fdsup://directions/FAT Viewer?action=UPDATE&amp;creator=factset&amp;DYN_ARGS=TRUE&amp;DOC_NAME=FAT:FQL_AUDITING_CLIENT_TEMPLATE.FAT&amp;display_string=Audit&amp;VAR:KEY=HGTKTWFEDS&amp;VAR:QUERY=RkZfRUJJVERBX0lCKCdMVE1TJywzODkzNSk=&amp;WINDOW=FIRST_POPUP&amp;HEIGHT=450&amp;WIDTH=450&amp;START_MA","XIMIZED=FALSE&amp;VAR:CALENDAR=US&amp;VAR:SYMBOL=04916420&amp;VAR:INDEX=0"}</definedName>
    <definedName name="_10435__FDSAUDITLINK__" localSheetId="6" hidden="1">{"fdsup://directions/FAT Viewer?action=UPDATE&amp;creator=factset&amp;DYN_ARGS=TRUE&amp;DOC_NAME=FAT:FQL_AUDITING_CLIENT_TEMPLATE.FAT&amp;display_string=Audit&amp;VAR:KEY=PUNYLYPCRS&amp;VAR:QUERY=RkZfRUJJVERBX0lCKCdMVE1TJywzODkzNCk=&amp;WINDOW=FIRST_POPUP&amp;HEIGHT=450&amp;WIDTH=450&amp;START_MA","XIMIZED=FALSE&amp;VAR:CALENDAR=US&amp;VAR:SYMBOL=04916420&amp;VAR:INDEX=0"}</definedName>
    <definedName name="_10435__FDSAUDITLINK__" hidden="1">{"fdsup://directions/FAT Viewer?action=UPDATE&amp;creator=factset&amp;DYN_ARGS=TRUE&amp;DOC_NAME=FAT:FQL_AUDITING_CLIENT_TEMPLATE.FAT&amp;display_string=Audit&amp;VAR:KEY=PUNYLYPCRS&amp;VAR:QUERY=RkZfRUJJVERBX0lCKCdMVE1TJywzODkzNCk=&amp;WINDOW=FIRST_POPUP&amp;HEIGHT=450&amp;WIDTH=450&amp;START_MA","XIMIZED=FALSE&amp;VAR:CALENDAR=US&amp;VAR:SYMBOL=04916420&amp;VAR:INDEX=0"}</definedName>
    <definedName name="_10436__FDSAUDITLINK__" localSheetId="6" hidden="1">{"fdsup://directions/FAT Viewer?action=UPDATE&amp;creator=factset&amp;DYN_ARGS=TRUE&amp;DOC_NAME=FAT:FQL_AUDITING_CLIENT_TEMPLATE.FAT&amp;display_string=Audit&amp;VAR:KEY=TCLUBUNCFG&amp;VAR:QUERY=RkZfRUJJVERBX0lCKCdMVE1TJywzODkzMyk=&amp;WINDOW=FIRST_POPUP&amp;HEIGHT=450&amp;WIDTH=450&amp;START_MA","XIMIZED=FALSE&amp;VAR:CALENDAR=US&amp;VAR:SYMBOL=04916420&amp;VAR:INDEX=0"}</definedName>
    <definedName name="_10436__FDSAUDITLINK__" hidden="1">{"fdsup://directions/FAT Viewer?action=UPDATE&amp;creator=factset&amp;DYN_ARGS=TRUE&amp;DOC_NAME=FAT:FQL_AUDITING_CLIENT_TEMPLATE.FAT&amp;display_string=Audit&amp;VAR:KEY=TCLUBUNCFG&amp;VAR:QUERY=RkZfRUJJVERBX0lCKCdMVE1TJywzODkzMyk=&amp;WINDOW=FIRST_POPUP&amp;HEIGHT=450&amp;WIDTH=450&amp;START_MA","XIMIZED=FALSE&amp;VAR:CALENDAR=US&amp;VAR:SYMBOL=04916420&amp;VAR:INDEX=0"}</definedName>
    <definedName name="_10437__FDSAUDITLINK__" localSheetId="6" hidden="1">{"fdsup://directions/FAT Viewer?action=UPDATE&amp;creator=factset&amp;DYN_ARGS=TRUE&amp;DOC_NAME=FAT:FQL_AUDITING_CLIENT_TEMPLATE.FAT&amp;display_string=Audit&amp;VAR:KEY=PWTYBWXUPS&amp;VAR:QUERY=RkZfRUJJVERBX0lCKCdMVE1TJywzODkzMik=&amp;WINDOW=FIRST_POPUP&amp;HEIGHT=450&amp;WIDTH=450&amp;START_MA","XIMIZED=FALSE&amp;VAR:CALENDAR=US&amp;VAR:SYMBOL=04916420&amp;VAR:INDEX=0"}</definedName>
    <definedName name="_10437__FDSAUDITLINK__" hidden="1">{"fdsup://directions/FAT Viewer?action=UPDATE&amp;creator=factset&amp;DYN_ARGS=TRUE&amp;DOC_NAME=FAT:FQL_AUDITING_CLIENT_TEMPLATE.FAT&amp;display_string=Audit&amp;VAR:KEY=PWTYBWXUPS&amp;VAR:QUERY=RkZfRUJJVERBX0lCKCdMVE1TJywzODkzMik=&amp;WINDOW=FIRST_POPUP&amp;HEIGHT=450&amp;WIDTH=450&amp;START_MA","XIMIZED=FALSE&amp;VAR:CALENDAR=US&amp;VAR:SYMBOL=04916420&amp;VAR:INDEX=0"}</definedName>
    <definedName name="_10438__FDSAUDITLINK__" localSheetId="6" hidden="1">{"fdsup://directions/FAT Viewer?action=UPDATE&amp;creator=factset&amp;DYN_ARGS=TRUE&amp;DOC_NAME=FAT:FQL_AUDITING_CLIENT_TEMPLATE.FAT&amp;display_string=Audit&amp;VAR:KEY=JGTQJUNMHA&amp;VAR:QUERY=RkZfRUJJVERBX0lCKCdMVE1TJywzODkzMSk=&amp;WINDOW=FIRST_POPUP&amp;HEIGHT=450&amp;WIDTH=450&amp;START_MA","XIMIZED=FALSE&amp;VAR:CALENDAR=US&amp;VAR:SYMBOL=04916420&amp;VAR:INDEX=0"}</definedName>
    <definedName name="_10438__FDSAUDITLINK__" hidden="1">{"fdsup://directions/FAT Viewer?action=UPDATE&amp;creator=factset&amp;DYN_ARGS=TRUE&amp;DOC_NAME=FAT:FQL_AUDITING_CLIENT_TEMPLATE.FAT&amp;display_string=Audit&amp;VAR:KEY=JGTQJUNMHA&amp;VAR:QUERY=RkZfRUJJVERBX0lCKCdMVE1TJywzODkzMSk=&amp;WINDOW=FIRST_POPUP&amp;HEIGHT=450&amp;WIDTH=450&amp;START_MA","XIMIZED=FALSE&amp;VAR:CALENDAR=US&amp;VAR:SYMBOL=04916420&amp;VAR:INDEX=0"}</definedName>
    <definedName name="_10439__FDSAUDITLINK__" localSheetId="6" hidden="1">{"fdsup://directions/FAT Viewer?action=UPDATE&amp;creator=factset&amp;DYN_ARGS=TRUE&amp;DOC_NAME=FAT:FQL_AUDITING_CLIENT_TEMPLATE.FAT&amp;display_string=Audit&amp;VAR:KEY=LOLWNETQLW&amp;VAR:QUERY=RkZfRUJJVERBX0lCKCdMVE1TJywzODkzMCk=&amp;WINDOW=FIRST_POPUP&amp;HEIGHT=450&amp;WIDTH=450&amp;START_MA","XIMIZED=FALSE&amp;VAR:CALENDAR=US&amp;VAR:SYMBOL=04916420&amp;VAR:INDEX=0"}</definedName>
    <definedName name="_10439__FDSAUDITLINK__" hidden="1">{"fdsup://directions/FAT Viewer?action=UPDATE&amp;creator=factset&amp;DYN_ARGS=TRUE&amp;DOC_NAME=FAT:FQL_AUDITING_CLIENT_TEMPLATE.FAT&amp;display_string=Audit&amp;VAR:KEY=LOLWNETQLW&amp;VAR:QUERY=RkZfRUJJVERBX0lCKCdMVE1TJywzODkzMCk=&amp;WINDOW=FIRST_POPUP&amp;HEIGHT=450&amp;WIDTH=450&amp;START_MA","XIMIZED=FALSE&amp;VAR:CALENDAR=US&amp;VAR:SYMBOL=04916420&amp;VAR:INDEX=0"}</definedName>
    <definedName name="_1044__FDSAUDITLINK__" localSheetId="6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4__FDSAUDITLINK__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40__FDSAUDITLINK__" localSheetId="6" hidden="1">{"fdsup://directions/FAT Viewer?action=UPDATE&amp;creator=factset&amp;DYN_ARGS=TRUE&amp;DOC_NAME=FAT:FQL_AUDITING_CLIENT_TEMPLATE.FAT&amp;display_string=Audit&amp;VAR:KEY=PMNGRGJEZS&amp;VAR:QUERY=RkZfRUJJVERBX0lCKCdMVE1TJywzODkyOSk=&amp;WINDOW=FIRST_POPUP&amp;HEIGHT=450&amp;WIDTH=450&amp;START_MA","XIMIZED=FALSE&amp;VAR:CALENDAR=US&amp;VAR:SYMBOL=04916420&amp;VAR:INDEX=0"}</definedName>
    <definedName name="_10440__FDSAUDITLINK__" hidden="1">{"fdsup://directions/FAT Viewer?action=UPDATE&amp;creator=factset&amp;DYN_ARGS=TRUE&amp;DOC_NAME=FAT:FQL_AUDITING_CLIENT_TEMPLATE.FAT&amp;display_string=Audit&amp;VAR:KEY=PMNGRGJEZS&amp;VAR:QUERY=RkZfRUJJVERBX0lCKCdMVE1TJywzODkyOSk=&amp;WINDOW=FIRST_POPUP&amp;HEIGHT=450&amp;WIDTH=450&amp;START_MA","XIMIZED=FALSE&amp;VAR:CALENDAR=US&amp;VAR:SYMBOL=04916420&amp;VAR:INDEX=0"}</definedName>
    <definedName name="_10441__FDSAUDITLINK__" localSheetId="6" hidden="1">{"fdsup://directions/FAT Viewer?action=UPDATE&amp;creator=factset&amp;DYN_ARGS=TRUE&amp;DOC_NAME=FAT:FQL_AUDITING_CLIENT_TEMPLATE.FAT&amp;display_string=Audit&amp;VAR:KEY=VQDIPMXEHK&amp;VAR:QUERY=RkZfRUJJVERBX0lCKCdMVE1TJywzODkyOCk=&amp;WINDOW=FIRST_POPUP&amp;HEIGHT=450&amp;WIDTH=450&amp;START_MA","XIMIZED=FALSE&amp;VAR:CALENDAR=US&amp;VAR:SYMBOL=04916420&amp;VAR:INDEX=0"}</definedName>
    <definedName name="_10441__FDSAUDITLINK__" hidden="1">{"fdsup://directions/FAT Viewer?action=UPDATE&amp;creator=factset&amp;DYN_ARGS=TRUE&amp;DOC_NAME=FAT:FQL_AUDITING_CLIENT_TEMPLATE.FAT&amp;display_string=Audit&amp;VAR:KEY=VQDIPMXEHK&amp;VAR:QUERY=RkZfRUJJVERBX0lCKCdMVE1TJywzODkyOCk=&amp;WINDOW=FIRST_POPUP&amp;HEIGHT=450&amp;WIDTH=450&amp;START_MA","XIMIZED=FALSE&amp;VAR:CALENDAR=US&amp;VAR:SYMBOL=04916420&amp;VAR:INDEX=0"}</definedName>
    <definedName name="_10442__FDSAUDITLINK__" localSheetId="6" hidden="1">{"fdsup://directions/FAT Viewer?action=UPDATE&amp;creator=factset&amp;DYN_ARGS=TRUE&amp;DOC_NAME=FAT:FQL_AUDITING_CLIENT_TEMPLATE.FAT&amp;display_string=Audit&amp;VAR:KEY=LALYDKZKNO&amp;VAR:QUERY=RkZfRUJJVERBX0lCKCdMVE1TJywzODkyNyk=&amp;WINDOW=FIRST_POPUP&amp;HEIGHT=450&amp;WIDTH=450&amp;START_MA","XIMIZED=FALSE&amp;VAR:CALENDAR=US&amp;VAR:SYMBOL=04916420&amp;VAR:INDEX=0"}</definedName>
    <definedName name="_10442__FDSAUDITLINK__" hidden="1">{"fdsup://directions/FAT Viewer?action=UPDATE&amp;creator=factset&amp;DYN_ARGS=TRUE&amp;DOC_NAME=FAT:FQL_AUDITING_CLIENT_TEMPLATE.FAT&amp;display_string=Audit&amp;VAR:KEY=LALYDKZKNO&amp;VAR:QUERY=RkZfRUJJVERBX0lCKCdMVE1TJywzODkyNyk=&amp;WINDOW=FIRST_POPUP&amp;HEIGHT=450&amp;WIDTH=450&amp;START_MA","XIMIZED=FALSE&amp;VAR:CALENDAR=US&amp;VAR:SYMBOL=04916420&amp;VAR:INDEX=0"}</definedName>
    <definedName name="_10443__FDSAUDITLINK__" localSheetId="6" hidden="1">{"fdsup://directions/FAT Viewer?action=UPDATE&amp;creator=factset&amp;DYN_ARGS=TRUE&amp;DOC_NAME=FAT:FQL_AUDITING_CLIENT_TEMPLATE.FAT&amp;display_string=Audit&amp;VAR:KEY=JSRQXKDINA&amp;VAR:QUERY=RkZfRUJJVERBX0lCKCdMVE1TJywzODkyNik=&amp;WINDOW=FIRST_POPUP&amp;HEIGHT=450&amp;WIDTH=450&amp;START_MA","XIMIZED=FALSE&amp;VAR:CALENDAR=US&amp;VAR:SYMBOL=04916420&amp;VAR:INDEX=0"}</definedName>
    <definedName name="_10443__FDSAUDITLINK__" hidden="1">{"fdsup://directions/FAT Viewer?action=UPDATE&amp;creator=factset&amp;DYN_ARGS=TRUE&amp;DOC_NAME=FAT:FQL_AUDITING_CLIENT_TEMPLATE.FAT&amp;display_string=Audit&amp;VAR:KEY=JSRQXKDINA&amp;VAR:QUERY=RkZfRUJJVERBX0lCKCdMVE1TJywzODkyNik=&amp;WINDOW=FIRST_POPUP&amp;HEIGHT=450&amp;WIDTH=450&amp;START_MA","XIMIZED=FALSE&amp;VAR:CALENDAR=US&amp;VAR:SYMBOL=04916420&amp;VAR:INDEX=0"}</definedName>
    <definedName name="_10444__FDSAUDITLINK__" localSheetId="6" hidden="1">{"fdsup://directions/FAT Viewer?action=UPDATE&amp;creator=factset&amp;DYN_ARGS=TRUE&amp;DOC_NAME=FAT:FQL_AUDITING_CLIENT_TEMPLATE.FAT&amp;display_string=Audit&amp;VAR:KEY=NUHYNYZQTM&amp;VAR:QUERY=RkZfRUJJVERBX0lCKCdMVE1TJywzODkyNSk=&amp;WINDOW=FIRST_POPUP&amp;HEIGHT=450&amp;WIDTH=450&amp;START_MA","XIMIZED=FALSE&amp;VAR:CALENDAR=US&amp;VAR:SYMBOL=04916420&amp;VAR:INDEX=0"}</definedName>
    <definedName name="_10444__FDSAUDITLINK__" hidden="1">{"fdsup://directions/FAT Viewer?action=UPDATE&amp;creator=factset&amp;DYN_ARGS=TRUE&amp;DOC_NAME=FAT:FQL_AUDITING_CLIENT_TEMPLATE.FAT&amp;display_string=Audit&amp;VAR:KEY=NUHYNYZQTM&amp;VAR:QUERY=RkZfRUJJVERBX0lCKCdMVE1TJywzODkyNSk=&amp;WINDOW=FIRST_POPUP&amp;HEIGHT=450&amp;WIDTH=450&amp;START_MA","XIMIZED=FALSE&amp;VAR:CALENDAR=US&amp;VAR:SYMBOL=04916420&amp;VAR:INDEX=0"}</definedName>
    <definedName name="_10445__FDSAUDITLINK__" localSheetId="6" hidden="1">{"fdsup://directions/FAT Viewer?action=UPDATE&amp;creator=factset&amp;DYN_ARGS=TRUE&amp;DOC_NAME=FAT:FQL_AUDITING_CLIENT_TEMPLATE.FAT&amp;display_string=Audit&amp;VAR:KEY=ZKPQZUVYBM&amp;VAR:QUERY=RkZfRUJJVERBX0lCKCdMVE1TJywzODkyNCk=&amp;WINDOW=FIRST_POPUP&amp;HEIGHT=450&amp;WIDTH=450&amp;START_MA","XIMIZED=FALSE&amp;VAR:CALENDAR=US&amp;VAR:SYMBOL=04916420&amp;VAR:INDEX=0"}</definedName>
    <definedName name="_10445__FDSAUDITLINK__" hidden="1">{"fdsup://directions/FAT Viewer?action=UPDATE&amp;creator=factset&amp;DYN_ARGS=TRUE&amp;DOC_NAME=FAT:FQL_AUDITING_CLIENT_TEMPLATE.FAT&amp;display_string=Audit&amp;VAR:KEY=ZKPQZUVYBM&amp;VAR:QUERY=RkZfRUJJVERBX0lCKCdMVE1TJywzODkyNCk=&amp;WINDOW=FIRST_POPUP&amp;HEIGHT=450&amp;WIDTH=450&amp;START_MA","XIMIZED=FALSE&amp;VAR:CALENDAR=US&amp;VAR:SYMBOL=04916420&amp;VAR:INDEX=0"}</definedName>
    <definedName name="_10446__FDSAUDITLINK__" localSheetId="6" hidden="1">{"fdsup://directions/FAT Viewer?action=UPDATE&amp;creator=factset&amp;DYN_ARGS=TRUE&amp;DOC_NAME=FAT:FQL_AUDITING_CLIENT_TEMPLATE.FAT&amp;display_string=Audit&amp;VAR:KEY=RCZUXINUHE&amp;VAR:QUERY=RkZfRUJJVERBX0lCKCdMVE1TJywzODkyMyk=&amp;WINDOW=FIRST_POPUP&amp;HEIGHT=450&amp;WIDTH=450&amp;START_MA","XIMIZED=FALSE&amp;VAR:CALENDAR=US&amp;VAR:SYMBOL=04916420&amp;VAR:INDEX=0"}</definedName>
    <definedName name="_10446__FDSAUDITLINK__" hidden="1">{"fdsup://directions/FAT Viewer?action=UPDATE&amp;creator=factset&amp;DYN_ARGS=TRUE&amp;DOC_NAME=FAT:FQL_AUDITING_CLIENT_TEMPLATE.FAT&amp;display_string=Audit&amp;VAR:KEY=RCZUXINUHE&amp;VAR:QUERY=RkZfRUJJVERBX0lCKCdMVE1TJywzODkyMyk=&amp;WINDOW=FIRST_POPUP&amp;HEIGHT=450&amp;WIDTH=450&amp;START_MA","XIMIZED=FALSE&amp;VAR:CALENDAR=US&amp;VAR:SYMBOL=04916420&amp;VAR:INDEX=0"}</definedName>
    <definedName name="_10447__FDSAUDITLINK__" localSheetId="6" hidden="1">{"fdsup://directions/FAT Viewer?action=UPDATE&amp;creator=factset&amp;DYN_ARGS=TRUE&amp;DOC_NAME=FAT:FQL_AUDITING_CLIENT_TEMPLATE.FAT&amp;display_string=Audit&amp;VAR:KEY=JKJMDUVQNK&amp;VAR:QUERY=RkZfRUJJVERBX0lCKCdMVE1TJywzODkyMik=&amp;WINDOW=FIRST_POPUP&amp;HEIGHT=450&amp;WIDTH=450&amp;START_MA","XIMIZED=FALSE&amp;VAR:CALENDAR=US&amp;VAR:SYMBOL=04916420&amp;VAR:INDEX=0"}</definedName>
    <definedName name="_10447__FDSAUDITLINK__" hidden="1">{"fdsup://directions/FAT Viewer?action=UPDATE&amp;creator=factset&amp;DYN_ARGS=TRUE&amp;DOC_NAME=FAT:FQL_AUDITING_CLIENT_TEMPLATE.FAT&amp;display_string=Audit&amp;VAR:KEY=JKJMDUVQNK&amp;VAR:QUERY=RkZfRUJJVERBX0lCKCdMVE1TJywzODkyMik=&amp;WINDOW=FIRST_POPUP&amp;HEIGHT=450&amp;WIDTH=450&amp;START_MA","XIMIZED=FALSE&amp;VAR:CALENDAR=US&amp;VAR:SYMBOL=04916420&amp;VAR:INDEX=0"}</definedName>
    <definedName name="_10448__FDSAUDITLINK__" localSheetId="6" hidden="1">{"fdsup://directions/FAT Viewer?action=UPDATE&amp;creator=factset&amp;DYN_ARGS=TRUE&amp;DOC_NAME=FAT:FQL_AUDITING_CLIENT_TEMPLATE.FAT&amp;display_string=Audit&amp;VAR:KEY=VGVUHQPKLK&amp;VAR:QUERY=RkZfRUJJVERBX0lCKCdMVE1TJywzODkyMSk=&amp;WINDOW=FIRST_POPUP&amp;HEIGHT=450&amp;WIDTH=450&amp;START_MA","XIMIZED=FALSE&amp;VAR:CALENDAR=US&amp;VAR:SYMBOL=04916420&amp;VAR:INDEX=0"}</definedName>
    <definedName name="_10448__FDSAUDITLINK__" hidden="1">{"fdsup://directions/FAT Viewer?action=UPDATE&amp;creator=factset&amp;DYN_ARGS=TRUE&amp;DOC_NAME=FAT:FQL_AUDITING_CLIENT_TEMPLATE.FAT&amp;display_string=Audit&amp;VAR:KEY=VGVUHQPKLK&amp;VAR:QUERY=RkZfRUJJVERBX0lCKCdMVE1TJywzODkyMSk=&amp;WINDOW=FIRST_POPUP&amp;HEIGHT=450&amp;WIDTH=450&amp;START_MA","XIMIZED=FALSE&amp;VAR:CALENDAR=US&amp;VAR:SYMBOL=04916420&amp;VAR:INDEX=0"}</definedName>
    <definedName name="_10449__FDSAUDITLINK__" localSheetId="6" hidden="1">{"fdsup://directions/FAT Viewer?action=UPDATE&amp;creator=factset&amp;DYN_ARGS=TRUE&amp;DOC_NAME=FAT:FQL_AUDITING_CLIENT_TEMPLATE.FAT&amp;display_string=Audit&amp;VAR:KEY=XQVGZWVWFS&amp;VAR:QUERY=RkZfRUJJVERBX0lCKCdMVE1TJywzODkyMCk=&amp;WINDOW=FIRST_POPUP&amp;HEIGHT=450&amp;WIDTH=450&amp;START_MA","XIMIZED=FALSE&amp;VAR:CALENDAR=US&amp;VAR:SYMBOL=04916420&amp;VAR:INDEX=0"}</definedName>
    <definedName name="_10449__FDSAUDITLINK__" hidden="1">{"fdsup://directions/FAT Viewer?action=UPDATE&amp;creator=factset&amp;DYN_ARGS=TRUE&amp;DOC_NAME=FAT:FQL_AUDITING_CLIENT_TEMPLATE.FAT&amp;display_string=Audit&amp;VAR:KEY=XQVGZWVWFS&amp;VAR:QUERY=RkZfRUJJVERBX0lCKCdMVE1TJywzODkyMCk=&amp;WINDOW=FIRST_POPUP&amp;HEIGHT=450&amp;WIDTH=450&amp;START_MA","XIMIZED=FALSE&amp;VAR:CALENDAR=US&amp;VAR:SYMBOL=04916420&amp;VAR:INDEX=0"}</definedName>
    <definedName name="_1045__FDSAUDITLINK__" localSheetId="6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5__FDSAUDITLINK__" hidden="1">{"fdsup://directions/FAT%20Viewer?VAR:PED=LTM&amp;VAR:AUDIT_MODE=SUMMARY&amp;VAR:PERIOD=FIXED&amp;VAR:AUDIT_ID=00000117&amp;VAR:DATE=20070413&amp;action=UPDATE&amp;creator=factset&amp;DOC_NAME=FAT:FMA_audit_SUMMARY.fat&amp;DISPLAY_STRING=Display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50__FDSAUDITLINK__" localSheetId="6" hidden="1">{"fdsup://directions/FAT Viewer?action=UPDATE&amp;creator=factset&amp;DYN_ARGS=TRUE&amp;DOC_NAME=FAT:FQL_AUDITING_CLIENT_TEMPLATE.FAT&amp;display_string=Audit&amp;VAR:KEY=VAHUXMRUHE&amp;VAR:QUERY=RkZfRUJJVERBX0lCKCdMVE1TJywzODkxOSk=&amp;WINDOW=FIRST_POPUP&amp;HEIGHT=450&amp;WIDTH=450&amp;START_MA","XIMIZED=FALSE&amp;VAR:CALENDAR=US&amp;VAR:SYMBOL=04916420&amp;VAR:INDEX=0"}</definedName>
    <definedName name="_10450__FDSAUDITLINK__" hidden="1">{"fdsup://directions/FAT Viewer?action=UPDATE&amp;creator=factset&amp;DYN_ARGS=TRUE&amp;DOC_NAME=FAT:FQL_AUDITING_CLIENT_TEMPLATE.FAT&amp;display_string=Audit&amp;VAR:KEY=VAHUXMRUHE&amp;VAR:QUERY=RkZfRUJJVERBX0lCKCdMVE1TJywzODkxOSk=&amp;WINDOW=FIRST_POPUP&amp;HEIGHT=450&amp;WIDTH=450&amp;START_MA","XIMIZED=FALSE&amp;VAR:CALENDAR=US&amp;VAR:SYMBOL=04916420&amp;VAR:INDEX=0"}</definedName>
    <definedName name="_10451__FDSAUDITLINK__" localSheetId="6" hidden="1">{"fdsup://directions/FAT Viewer?action=UPDATE&amp;creator=factset&amp;DYN_ARGS=TRUE&amp;DOC_NAME=FAT:FQL_AUDITING_CLIENT_TEMPLATE.FAT&amp;display_string=Audit&amp;VAR:KEY=FMDGTCLCDS&amp;VAR:QUERY=RkZfRUJJVERBX0lCKCdMVE1TJywzODkxOCk=&amp;WINDOW=FIRST_POPUP&amp;HEIGHT=450&amp;WIDTH=450&amp;START_MA","XIMIZED=FALSE&amp;VAR:CALENDAR=US&amp;VAR:SYMBOL=04916420&amp;VAR:INDEX=0"}</definedName>
    <definedName name="_10451__FDSAUDITLINK__" hidden="1">{"fdsup://directions/FAT Viewer?action=UPDATE&amp;creator=factset&amp;DYN_ARGS=TRUE&amp;DOC_NAME=FAT:FQL_AUDITING_CLIENT_TEMPLATE.FAT&amp;display_string=Audit&amp;VAR:KEY=FMDGTCLCDS&amp;VAR:QUERY=RkZfRUJJVERBX0lCKCdMVE1TJywzODkxOCk=&amp;WINDOW=FIRST_POPUP&amp;HEIGHT=450&amp;WIDTH=450&amp;START_MA","XIMIZED=FALSE&amp;VAR:CALENDAR=US&amp;VAR:SYMBOL=04916420&amp;VAR:INDEX=0"}</definedName>
    <definedName name="_10452__FDSAUDITLINK__" localSheetId="6" hidden="1">{"fdsup://directions/FAT Viewer?action=UPDATE&amp;creator=factset&amp;DYN_ARGS=TRUE&amp;DOC_NAME=FAT:FQL_AUDITING_CLIENT_TEMPLATE.FAT&amp;display_string=Audit&amp;VAR:KEY=RYFQVKLQFE&amp;VAR:QUERY=RkZfRUJJVERBX0lCKCdMVE1TJywzODkxNyk=&amp;WINDOW=FIRST_POPUP&amp;HEIGHT=450&amp;WIDTH=450&amp;START_MA","XIMIZED=FALSE&amp;VAR:CALENDAR=US&amp;VAR:SYMBOL=04916420&amp;VAR:INDEX=0"}</definedName>
    <definedName name="_10452__FDSAUDITLINK__" hidden="1">{"fdsup://directions/FAT Viewer?action=UPDATE&amp;creator=factset&amp;DYN_ARGS=TRUE&amp;DOC_NAME=FAT:FQL_AUDITING_CLIENT_TEMPLATE.FAT&amp;display_string=Audit&amp;VAR:KEY=RYFQVKLQFE&amp;VAR:QUERY=RkZfRUJJVERBX0lCKCdMVE1TJywzODkxNyk=&amp;WINDOW=FIRST_POPUP&amp;HEIGHT=450&amp;WIDTH=450&amp;START_MA","XIMIZED=FALSE&amp;VAR:CALENDAR=US&amp;VAR:SYMBOL=04916420&amp;VAR:INDEX=0"}</definedName>
    <definedName name="_10453__FDSAUDITLINK__" localSheetId="6" hidden="1">{"fdsup://directions/FAT Viewer?action=UPDATE&amp;creator=factset&amp;DYN_ARGS=TRUE&amp;DOC_NAME=FAT:FQL_AUDITING_CLIENT_TEMPLATE.FAT&amp;display_string=Audit&amp;VAR:KEY=DGXGVGPCTK&amp;VAR:QUERY=RkZfRUJJVERBX0lCKCdMVE1TJywzODkxNik=&amp;WINDOW=FIRST_POPUP&amp;HEIGHT=450&amp;WIDTH=450&amp;START_MA","XIMIZED=FALSE&amp;VAR:CALENDAR=US&amp;VAR:SYMBOL=04916420&amp;VAR:INDEX=0"}</definedName>
    <definedName name="_10453__FDSAUDITLINK__" hidden="1">{"fdsup://directions/FAT Viewer?action=UPDATE&amp;creator=factset&amp;DYN_ARGS=TRUE&amp;DOC_NAME=FAT:FQL_AUDITING_CLIENT_TEMPLATE.FAT&amp;display_string=Audit&amp;VAR:KEY=DGXGVGPCTK&amp;VAR:QUERY=RkZfRUJJVERBX0lCKCdMVE1TJywzODkxNik=&amp;WINDOW=FIRST_POPUP&amp;HEIGHT=450&amp;WIDTH=450&amp;START_MA","XIMIZED=FALSE&amp;VAR:CALENDAR=US&amp;VAR:SYMBOL=04916420&amp;VAR:INDEX=0"}</definedName>
    <definedName name="_10454__FDSAUDITLINK__" localSheetId="6" hidden="1">{"fdsup://directions/FAT Viewer?action=UPDATE&amp;creator=factset&amp;DYN_ARGS=TRUE&amp;DOC_NAME=FAT:FQL_AUDITING_CLIENT_TEMPLATE.FAT&amp;display_string=Audit&amp;VAR:KEY=NKJQVEPKJO&amp;VAR:QUERY=RkZfRUJJVERBX0lCKCdMVE1TJywzODkxNSk=&amp;WINDOW=FIRST_POPUP&amp;HEIGHT=450&amp;WIDTH=450&amp;START_MA","XIMIZED=FALSE&amp;VAR:CALENDAR=US&amp;VAR:SYMBOL=04916420&amp;VAR:INDEX=0"}</definedName>
    <definedName name="_10454__FDSAUDITLINK__" hidden="1">{"fdsup://directions/FAT Viewer?action=UPDATE&amp;creator=factset&amp;DYN_ARGS=TRUE&amp;DOC_NAME=FAT:FQL_AUDITING_CLIENT_TEMPLATE.FAT&amp;display_string=Audit&amp;VAR:KEY=NKJQVEPKJO&amp;VAR:QUERY=RkZfRUJJVERBX0lCKCdMVE1TJywzODkxNSk=&amp;WINDOW=FIRST_POPUP&amp;HEIGHT=450&amp;WIDTH=450&amp;START_MA","XIMIZED=FALSE&amp;VAR:CALENDAR=US&amp;VAR:SYMBOL=04916420&amp;VAR:INDEX=0"}</definedName>
    <definedName name="_10455__FDSAUDITLINK__" localSheetId="6" hidden="1">{"fdsup://directions/FAT Viewer?action=UPDATE&amp;creator=factset&amp;DYN_ARGS=TRUE&amp;DOC_NAME=FAT:FQL_AUDITING_CLIENT_TEMPLATE.FAT&amp;display_string=Audit&amp;VAR:KEY=HCNOTSTUNE&amp;VAR:QUERY=RkZfRUJJVERBX0lCKCdMVE1TJywzODkxNCk=&amp;WINDOW=FIRST_POPUP&amp;HEIGHT=450&amp;WIDTH=450&amp;START_MA","XIMIZED=FALSE&amp;VAR:CALENDAR=US&amp;VAR:SYMBOL=04916420&amp;VAR:INDEX=0"}</definedName>
    <definedName name="_10455__FDSAUDITLINK__" hidden="1">{"fdsup://directions/FAT Viewer?action=UPDATE&amp;creator=factset&amp;DYN_ARGS=TRUE&amp;DOC_NAME=FAT:FQL_AUDITING_CLIENT_TEMPLATE.FAT&amp;display_string=Audit&amp;VAR:KEY=HCNOTSTUNE&amp;VAR:QUERY=RkZfRUJJVERBX0lCKCdMVE1TJywzODkxNCk=&amp;WINDOW=FIRST_POPUP&amp;HEIGHT=450&amp;WIDTH=450&amp;START_MA","XIMIZED=FALSE&amp;VAR:CALENDAR=US&amp;VAR:SYMBOL=04916420&amp;VAR:INDEX=0"}</definedName>
    <definedName name="_10456__FDSAUDITLINK__" localSheetId="6" hidden="1">{"fdsup://directions/FAT Viewer?action=UPDATE&amp;creator=factset&amp;DYN_ARGS=TRUE&amp;DOC_NAME=FAT:FQL_AUDITING_CLIENT_TEMPLATE.FAT&amp;display_string=Audit&amp;VAR:KEY=VGTOZUZKXU&amp;VAR:QUERY=RkZfRUJJVERBX0lCKCdMVE1TJywzODkxMyk=&amp;WINDOW=FIRST_POPUP&amp;HEIGHT=450&amp;WIDTH=450&amp;START_MA","XIMIZED=FALSE&amp;VAR:CALENDAR=US&amp;VAR:SYMBOL=04916420&amp;VAR:INDEX=0"}</definedName>
    <definedName name="_10456__FDSAUDITLINK__" hidden="1">{"fdsup://directions/FAT Viewer?action=UPDATE&amp;creator=factset&amp;DYN_ARGS=TRUE&amp;DOC_NAME=FAT:FQL_AUDITING_CLIENT_TEMPLATE.FAT&amp;display_string=Audit&amp;VAR:KEY=VGTOZUZKXU&amp;VAR:QUERY=RkZfRUJJVERBX0lCKCdMVE1TJywzODkxMyk=&amp;WINDOW=FIRST_POPUP&amp;HEIGHT=450&amp;WIDTH=450&amp;START_MA","XIMIZED=FALSE&amp;VAR:CALENDAR=US&amp;VAR:SYMBOL=04916420&amp;VAR:INDEX=0"}</definedName>
    <definedName name="_10457__FDSAUDITLINK__" localSheetId="6" hidden="1">{"fdsup://directions/FAT Viewer?action=UPDATE&amp;creator=factset&amp;DYN_ARGS=TRUE&amp;DOC_NAME=FAT:FQL_AUDITING_CLIENT_TEMPLATE.FAT&amp;display_string=Audit&amp;VAR:KEY=FSBEDCRMJM&amp;VAR:QUERY=RkZfRUJJVERBX0lCKCdMVE1TJywzODkxMik=&amp;WINDOW=FIRST_POPUP&amp;HEIGHT=450&amp;WIDTH=450&amp;START_MA","XIMIZED=FALSE&amp;VAR:CALENDAR=US&amp;VAR:SYMBOL=04916420&amp;VAR:INDEX=0"}</definedName>
    <definedName name="_10457__FDSAUDITLINK__" hidden="1">{"fdsup://directions/FAT Viewer?action=UPDATE&amp;creator=factset&amp;DYN_ARGS=TRUE&amp;DOC_NAME=FAT:FQL_AUDITING_CLIENT_TEMPLATE.FAT&amp;display_string=Audit&amp;VAR:KEY=FSBEDCRMJM&amp;VAR:QUERY=RkZfRUJJVERBX0lCKCdMVE1TJywzODkxMik=&amp;WINDOW=FIRST_POPUP&amp;HEIGHT=450&amp;WIDTH=450&amp;START_MA","XIMIZED=FALSE&amp;VAR:CALENDAR=US&amp;VAR:SYMBOL=04916420&amp;VAR:INDEX=0"}</definedName>
    <definedName name="_10458__FDSAUDITLINK__" localSheetId="6" hidden="1">{"fdsup://directions/FAT Viewer?action=UPDATE&amp;creator=factset&amp;DYN_ARGS=TRUE&amp;DOC_NAME=FAT:FQL_AUDITING_CLIENT_TEMPLATE.FAT&amp;display_string=Audit&amp;VAR:KEY=PATMHGJYNY&amp;VAR:QUERY=RkZfRUJJVERBX0lCKCdMVE1TJywzODkxMSk=&amp;WINDOW=FIRST_POPUP&amp;HEIGHT=450&amp;WIDTH=450&amp;START_MA","XIMIZED=FALSE&amp;VAR:CALENDAR=US&amp;VAR:SYMBOL=04916420&amp;VAR:INDEX=0"}</definedName>
    <definedName name="_10458__FDSAUDITLINK__" hidden="1">{"fdsup://directions/FAT Viewer?action=UPDATE&amp;creator=factset&amp;DYN_ARGS=TRUE&amp;DOC_NAME=FAT:FQL_AUDITING_CLIENT_TEMPLATE.FAT&amp;display_string=Audit&amp;VAR:KEY=PATMHGJYNY&amp;VAR:QUERY=RkZfRUJJVERBX0lCKCdMVE1TJywzODkxMSk=&amp;WINDOW=FIRST_POPUP&amp;HEIGHT=450&amp;WIDTH=450&amp;START_MA","XIMIZED=FALSE&amp;VAR:CALENDAR=US&amp;VAR:SYMBOL=04916420&amp;VAR:INDEX=0"}</definedName>
    <definedName name="_10459__FDSAUDITLINK__" localSheetId="6" hidden="1">{"fdsup://directions/FAT Viewer?action=UPDATE&amp;creator=factset&amp;DYN_ARGS=TRUE&amp;DOC_NAME=FAT:FQL_AUDITING_CLIENT_TEMPLATE.FAT&amp;display_string=Audit&amp;VAR:KEY=RYLWDMJUNC&amp;VAR:QUERY=RkZfRUJJVERBX0lCKCdMVE1TJywzODkxMCk=&amp;WINDOW=FIRST_POPUP&amp;HEIGHT=450&amp;WIDTH=450&amp;START_MA","XIMIZED=FALSE&amp;VAR:CALENDAR=US&amp;VAR:SYMBOL=04916420&amp;VAR:INDEX=0"}</definedName>
    <definedName name="_10459__FDSAUDITLINK__" hidden="1">{"fdsup://directions/FAT Viewer?action=UPDATE&amp;creator=factset&amp;DYN_ARGS=TRUE&amp;DOC_NAME=FAT:FQL_AUDITING_CLIENT_TEMPLATE.FAT&amp;display_string=Audit&amp;VAR:KEY=RYLWDMJUNC&amp;VAR:QUERY=RkZfRUJJVERBX0lCKCdMVE1TJywzODkxMCk=&amp;WINDOW=FIRST_POPUP&amp;HEIGHT=450&amp;WIDTH=450&amp;START_MA","XIMIZED=FALSE&amp;VAR:CALENDAR=US&amp;VAR:SYMBOL=04916420&amp;VAR:INDEX=0"}</definedName>
    <definedName name="_1046__FDSAUDITLINK__" localSheetId="6" hidden="1">{"fdsup://directions/FAT%20Viewer?VAR:PED=LTM&amp;VAR:AUDIT_MODE=SUMMARY&amp;VAR:PERIOD=FIXED&amp;VAR:AUDIT_ID=00000117&amp;VAR:DATE=20070412&amp;action=UPDATE&amp;creator=factset&amp;DOC_NAME=FAT:FMA_audit_SUMMARY.fat&amp;DISPLAY_STRING=Display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6__FDSAUDITLINK__" hidden="1">{"fdsup://directions/FAT%20Viewer?VAR:PED=LTM&amp;VAR:AUDIT_MODE=SUMMARY&amp;VAR:PERIOD=FIXED&amp;VAR:AUDIT_ID=00000117&amp;VAR:DATE=20070412&amp;action=UPDATE&amp;creator=factset&amp;DOC_NAME=FAT:FMA_audit_SUMMARY.fat&amp;DISPLAY_STRING=Display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60__FDSAUDITLINK__" localSheetId="6" hidden="1">{"fdsup://directions/FAT Viewer?action=UPDATE&amp;creator=factset&amp;DYN_ARGS=TRUE&amp;DOC_NAME=FAT:FQL_AUDITING_CLIENT_TEMPLATE.FAT&amp;display_string=Audit&amp;VAR:KEY=TWPQXWFCPK&amp;VAR:QUERY=RkZfRUJJVERBX0lCKCdMVE1TJywzODkwOSk=&amp;WINDOW=FIRST_POPUP&amp;HEIGHT=450&amp;WIDTH=450&amp;START_MA","XIMIZED=FALSE&amp;VAR:CALENDAR=US&amp;VAR:SYMBOL=04916420&amp;VAR:INDEX=0"}</definedName>
    <definedName name="_10460__FDSAUDITLINK__" hidden="1">{"fdsup://directions/FAT Viewer?action=UPDATE&amp;creator=factset&amp;DYN_ARGS=TRUE&amp;DOC_NAME=FAT:FQL_AUDITING_CLIENT_TEMPLATE.FAT&amp;display_string=Audit&amp;VAR:KEY=TWPQXWFCPK&amp;VAR:QUERY=RkZfRUJJVERBX0lCKCdMVE1TJywzODkwOSk=&amp;WINDOW=FIRST_POPUP&amp;HEIGHT=450&amp;WIDTH=450&amp;START_MA","XIMIZED=FALSE&amp;VAR:CALENDAR=US&amp;VAR:SYMBOL=04916420&amp;VAR:INDEX=0"}</definedName>
    <definedName name="_10461__FDSAUDITLINK__" localSheetId="6" hidden="1">{"fdsup://directions/FAT Viewer?action=UPDATE&amp;creator=factset&amp;DYN_ARGS=TRUE&amp;DOC_NAME=FAT:FQL_AUDITING_CLIENT_TEMPLATE.FAT&amp;display_string=Audit&amp;VAR:KEY=NMHKPOZKHA&amp;VAR:QUERY=RkZfRUJJVERBX0lCKCdMVE1TJywzODkwOCk=&amp;WINDOW=FIRST_POPUP&amp;HEIGHT=450&amp;WIDTH=450&amp;START_MA","XIMIZED=FALSE&amp;VAR:CALENDAR=US&amp;VAR:SYMBOL=04916420&amp;VAR:INDEX=0"}</definedName>
    <definedName name="_10461__FDSAUDITLINK__" hidden="1">{"fdsup://directions/FAT Viewer?action=UPDATE&amp;creator=factset&amp;DYN_ARGS=TRUE&amp;DOC_NAME=FAT:FQL_AUDITING_CLIENT_TEMPLATE.FAT&amp;display_string=Audit&amp;VAR:KEY=NMHKPOZKHA&amp;VAR:QUERY=RkZfRUJJVERBX0lCKCdMVE1TJywzODkwOCk=&amp;WINDOW=FIRST_POPUP&amp;HEIGHT=450&amp;WIDTH=450&amp;START_MA","XIMIZED=FALSE&amp;VAR:CALENDAR=US&amp;VAR:SYMBOL=04916420&amp;VAR:INDEX=0"}</definedName>
    <definedName name="_10462__FDSAUDITLINK__" localSheetId="6" hidden="1">{"fdsup://directions/FAT Viewer?action=UPDATE&amp;creator=factset&amp;DYN_ARGS=TRUE&amp;DOC_NAME=FAT:FQL_AUDITING_CLIENT_TEMPLATE.FAT&amp;display_string=Audit&amp;VAR:KEY=ZALGXANCFS&amp;VAR:QUERY=RkZfRUJJVERBX0lCKCdMVE1TJywzODkwNyk=&amp;WINDOW=FIRST_POPUP&amp;HEIGHT=450&amp;WIDTH=450&amp;START_MA","XIMIZED=FALSE&amp;VAR:CALENDAR=US&amp;VAR:SYMBOL=04916420&amp;VAR:INDEX=0"}</definedName>
    <definedName name="_10462__FDSAUDITLINK__" hidden="1">{"fdsup://directions/FAT Viewer?action=UPDATE&amp;creator=factset&amp;DYN_ARGS=TRUE&amp;DOC_NAME=FAT:FQL_AUDITING_CLIENT_TEMPLATE.FAT&amp;display_string=Audit&amp;VAR:KEY=ZALGXANCFS&amp;VAR:QUERY=RkZfRUJJVERBX0lCKCdMVE1TJywzODkwNyk=&amp;WINDOW=FIRST_POPUP&amp;HEIGHT=450&amp;WIDTH=450&amp;START_MA","XIMIZED=FALSE&amp;VAR:CALENDAR=US&amp;VAR:SYMBOL=04916420&amp;VAR:INDEX=0"}</definedName>
    <definedName name="_10463__FDSAUDITLINK__" localSheetId="6" hidden="1">{"fdsup://directions/FAT Viewer?action=UPDATE&amp;creator=factset&amp;DYN_ARGS=TRUE&amp;DOC_NAME=FAT:FQL_AUDITING_CLIENT_TEMPLATE.FAT&amp;display_string=Audit&amp;VAR:KEY=NCNQLQVWVC&amp;VAR:QUERY=RkZfRUJJVERBX0lCKCdMVE1TJywzODkwNik=&amp;WINDOW=FIRST_POPUP&amp;HEIGHT=450&amp;WIDTH=450&amp;START_MA","XIMIZED=FALSE&amp;VAR:CALENDAR=US&amp;VAR:SYMBOL=04916420&amp;VAR:INDEX=0"}</definedName>
    <definedName name="_10463__FDSAUDITLINK__" hidden="1">{"fdsup://directions/FAT Viewer?action=UPDATE&amp;creator=factset&amp;DYN_ARGS=TRUE&amp;DOC_NAME=FAT:FQL_AUDITING_CLIENT_TEMPLATE.FAT&amp;display_string=Audit&amp;VAR:KEY=NCNQLQVWVC&amp;VAR:QUERY=RkZfRUJJVERBX0lCKCdMVE1TJywzODkwNik=&amp;WINDOW=FIRST_POPUP&amp;HEIGHT=450&amp;WIDTH=450&amp;START_MA","XIMIZED=FALSE&amp;VAR:CALENDAR=US&amp;VAR:SYMBOL=04916420&amp;VAR:INDEX=0"}</definedName>
    <definedName name="_10464__FDSAUDITLINK__" localSheetId="6" hidden="1">{"fdsup://directions/FAT Viewer?action=UPDATE&amp;creator=factset&amp;DYN_ARGS=TRUE&amp;DOC_NAME=FAT:FQL_AUDITING_CLIENT_TEMPLATE.FAT&amp;display_string=Audit&amp;VAR:KEY=ZQRQVAXUPI&amp;VAR:QUERY=RkZfRUJJVERBX0lCKCdMVE1TJywzODkwNSk=&amp;WINDOW=FIRST_POPUP&amp;HEIGHT=450&amp;WIDTH=450&amp;START_MA","XIMIZED=FALSE&amp;VAR:CALENDAR=US&amp;VAR:SYMBOL=04916420&amp;VAR:INDEX=0"}</definedName>
    <definedName name="_10464__FDSAUDITLINK__" hidden="1">{"fdsup://directions/FAT Viewer?action=UPDATE&amp;creator=factset&amp;DYN_ARGS=TRUE&amp;DOC_NAME=FAT:FQL_AUDITING_CLIENT_TEMPLATE.FAT&amp;display_string=Audit&amp;VAR:KEY=ZQRQVAXUPI&amp;VAR:QUERY=RkZfRUJJVERBX0lCKCdMVE1TJywzODkwNSk=&amp;WINDOW=FIRST_POPUP&amp;HEIGHT=450&amp;WIDTH=450&amp;START_MA","XIMIZED=FALSE&amp;VAR:CALENDAR=US&amp;VAR:SYMBOL=04916420&amp;VAR:INDEX=0"}</definedName>
    <definedName name="_10465__FDSAUDITLINK__" localSheetId="6" hidden="1">{"fdsup://directions/FAT Viewer?action=UPDATE&amp;creator=factset&amp;DYN_ARGS=TRUE&amp;DOC_NAME=FAT:FQL_AUDITING_CLIENT_TEMPLATE.FAT&amp;display_string=Audit&amp;VAR:KEY=NUNMTILQBG&amp;VAR:QUERY=RkZfRUJJVERBX0lCKCdMVE1TJywzODkwNCk=&amp;WINDOW=FIRST_POPUP&amp;HEIGHT=450&amp;WIDTH=450&amp;START_MA","XIMIZED=FALSE&amp;VAR:CALENDAR=US&amp;VAR:SYMBOL=04916420&amp;VAR:INDEX=0"}</definedName>
    <definedName name="_10465__FDSAUDITLINK__" hidden="1">{"fdsup://directions/FAT Viewer?action=UPDATE&amp;creator=factset&amp;DYN_ARGS=TRUE&amp;DOC_NAME=FAT:FQL_AUDITING_CLIENT_TEMPLATE.FAT&amp;display_string=Audit&amp;VAR:KEY=NUNMTILQBG&amp;VAR:QUERY=RkZfRUJJVERBX0lCKCdMVE1TJywzODkwNCk=&amp;WINDOW=FIRST_POPUP&amp;HEIGHT=450&amp;WIDTH=450&amp;START_MA","XIMIZED=FALSE&amp;VAR:CALENDAR=US&amp;VAR:SYMBOL=04916420&amp;VAR:INDEX=0"}</definedName>
    <definedName name="_10466__FDSAUDITLINK__" localSheetId="6" hidden="1">{"fdsup://directions/FAT Viewer?action=UPDATE&amp;creator=factset&amp;DYN_ARGS=TRUE&amp;DOC_NAME=FAT:FQL_AUDITING_CLIENT_TEMPLATE.FAT&amp;display_string=Audit&amp;VAR:KEY=JQLCJAFQNO&amp;VAR:QUERY=RkZfRUJJVERBX0lCKCdMVE1TJywzODkwMyk=&amp;WINDOW=FIRST_POPUP&amp;HEIGHT=450&amp;WIDTH=450&amp;START_MA","XIMIZED=FALSE&amp;VAR:CALENDAR=US&amp;VAR:SYMBOL=04916420&amp;VAR:INDEX=0"}</definedName>
    <definedName name="_10466__FDSAUDITLINK__" hidden="1">{"fdsup://directions/FAT Viewer?action=UPDATE&amp;creator=factset&amp;DYN_ARGS=TRUE&amp;DOC_NAME=FAT:FQL_AUDITING_CLIENT_TEMPLATE.FAT&amp;display_string=Audit&amp;VAR:KEY=JQLCJAFQNO&amp;VAR:QUERY=RkZfRUJJVERBX0lCKCdMVE1TJywzODkwMyk=&amp;WINDOW=FIRST_POPUP&amp;HEIGHT=450&amp;WIDTH=450&amp;START_MA","XIMIZED=FALSE&amp;VAR:CALENDAR=US&amp;VAR:SYMBOL=04916420&amp;VAR:INDEX=0"}</definedName>
    <definedName name="_10467__FDSAUDITLINK__" localSheetId="6" hidden="1">{"fdsup://directions/FAT Viewer?action=UPDATE&amp;creator=factset&amp;DYN_ARGS=TRUE&amp;DOC_NAME=FAT:FQL_AUDITING_CLIENT_TEMPLATE.FAT&amp;display_string=Audit&amp;VAR:KEY=ZQPWDIFIZC&amp;VAR:QUERY=RkZfRUJJVERBX0lCKCdMVE1TJywzODkwMik=&amp;WINDOW=FIRST_POPUP&amp;HEIGHT=450&amp;WIDTH=450&amp;START_MA","XIMIZED=FALSE&amp;VAR:CALENDAR=US&amp;VAR:SYMBOL=04916420&amp;VAR:INDEX=0"}</definedName>
    <definedName name="_10467__FDSAUDITLINK__" hidden="1">{"fdsup://directions/FAT Viewer?action=UPDATE&amp;creator=factset&amp;DYN_ARGS=TRUE&amp;DOC_NAME=FAT:FQL_AUDITING_CLIENT_TEMPLATE.FAT&amp;display_string=Audit&amp;VAR:KEY=ZQPWDIFIZC&amp;VAR:QUERY=RkZfRUJJVERBX0lCKCdMVE1TJywzODkwMik=&amp;WINDOW=FIRST_POPUP&amp;HEIGHT=450&amp;WIDTH=450&amp;START_MA","XIMIZED=FALSE&amp;VAR:CALENDAR=US&amp;VAR:SYMBOL=04916420&amp;VAR:INDEX=0"}</definedName>
    <definedName name="_10468__FDSAUDITLINK__" localSheetId="6" hidden="1">{"fdsup://directions/FAT Viewer?action=UPDATE&amp;creator=factset&amp;DYN_ARGS=TRUE&amp;DOC_NAME=FAT:FQL_AUDITING_CLIENT_TEMPLATE.FAT&amp;display_string=Audit&amp;VAR:KEY=VMLCTWFALK&amp;VAR:QUERY=RkZfRUJJVERBX0lCKCdMVE1TJywzODkwMSk=&amp;WINDOW=FIRST_POPUP&amp;HEIGHT=450&amp;WIDTH=450&amp;START_MA","XIMIZED=FALSE&amp;VAR:CALENDAR=US&amp;VAR:SYMBOL=04916420&amp;VAR:INDEX=0"}</definedName>
    <definedName name="_10468__FDSAUDITLINK__" hidden="1">{"fdsup://directions/FAT Viewer?action=UPDATE&amp;creator=factset&amp;DYN_ARGS=TRUE&amp;DOC_NAME=FAT:FQL_AUDITING_CLIENT_TEMPLATE.FAT&amp;display_string=Audit&amp;VAR:KEY=VMLCTWFALK&amp;VAR:QUERY=RkZfRUJJVERBX0lCKCdMVE1TJywzODkwMSk=&amp;WINDOW=FIRST_POPUP&amp;HEIGHT=450&amp;WIDTH=450&amp;START_MA","XIMIZED=FALSE&amp;VAR:CALENDAR=US&amp;VAR:SYMBOL=04916420&amp;VAR:INDEX=0"}</definedName>
    <definedName name="_10469__FDSAUDITLINK__" localSheetId="6" hidden="1">{"fdsup://directions/FAT Viewer?action=UPDATE&amp;creator=factset&amp;DYN_ARGS=TRUE&amp;DOC_NAME=FAT:FQL_AUDITING_CLIENT_TEMPLATE.FAT&amp;display_string=Audit&amp;VAR:KEY=JMTQHGBENQ&amp;VAR:QUERY=RkZfRUJJVERBX0lCKCdMVE1TJywzODkwMCk=&amp;WINDOW=FIRST_POPUP&amp;HEIGHT=450&amp;WIDTH=450&amp;START_MA","XIMIZED=FALSE&amp;VAR:CALENDAR=US&amp;VAR:SYMBOL=04916420&amp;VAR:INDEX=0"}</definedName>
    <definedName name="_10469__FDSAUDITLINK__" hidden="1">{"fdsup://directions/FAT Viewer?action=UPDATE&amp;creator=factset&amp;DYN_ARGS=TRUE&amp;DOC_NAME=FAT:FQL_AUDITING_CLIENT_TEMPLATE.FAT&amp;display_string=Audit&amp;VAR:KEY=JMTQHGBENQ&amp;VAR:QUERY=RkZfRUJJVERBX0lCKCdMVE1TJywzODkwMCk=&amp;WINDOW=FIRST_POPUP&amp;HEIGHT=450&amp;WIDTH=450&amp;START_MA","XIMIZED=FALSE&amp;VAR:CALENDAR=US&amp;VAR:SYMBOL=04916420&amp;VAR:INDEX=0"}</definedName>
    <definedName name="_1047__FDSAUDITLINK__" localSheetId="6" hidden="1">{"fdsup://directions/FAT%20Viewer?VAR:PED=LTM&amp;VAR:AUDIT_MODE=SUMMARY&amp;VAR:PERIOD=FIXED&amp;VAR:AUDIT_ID=00000117&amp;VAR:DATE=20070411&amp;action=UPDATE&amp;creator=factset&amp;DOC_NAME=FAT:FMA_audit_SUMMARY.fat&amp;DISPLAY_STRING=Display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7__FDSAUDITLINK__" hidden="1">{"fdsup://directions/FAT%20Viewer?VAR:PED=LTM&amp;VAR:AUDIT_MODE=SUMMARY&amp;VAR:PERIOD=FIXED&amp;VAR:AUDIT_ID=00000117&amp;VAR:DATE=20070411&amp;action=UPDATE&amp;creator=factset&amp;DOC_NAME=FAT:FMA_audit_SUMMARY.fat&amp;DISPLAY_STRING=Display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70__FDSAUDITLINK__" localSheetId="6" hidden="1">{"fdsup://directions/FAT Viewer?action=UPDATE&amp;creator=factset&amp;DYN_ARGS=TRUE&amp;DOC_NAME=FAT:FQL_AUDITING_CLIENT_TEMPLATE.FAT&amp;display_string=Audit&amp;VAR:KEY=JGNGRWNUJI&amp;VAR:QUERY=RkZfRUJJVERBX0lCKCdMVE1TJywzODg5OSk=&amp;WINDOW=FIRST_POPUP&amp;HEIGHT=450&amp;WIDTH=450&amp;START_MA","XIMIZED=FALSE&amp;VAR:CALENDAR=US&amp;VAR:SYMBOL=04916420&amp;VAR:INDEX=0"}</definedName>
    <definedName name="_10470__FDSAUDITLINK__" hidden="1">{"fdsup://directions/FAT Viewer?action=UPDATE&amp;creator=factset&amp;DYN_ARGS=TRUE&amp;DOC_NAME=FAT:FQL_AUDITING_CLIENT_TEMPLATE.FAT&amp;display_string=Audit&amp;VAR:KEY=JGNGRWNUJI&amp;VAR:QUERY=RkZfRUJJVERBX0lCKCdMVE1TJywzODg5OSk=&amp;WINDOW=FIRST_POPUP&amp;HEIGHT=450&amp;WIDTH=450&amp;START_MA","XIMIZED=FALSE&amp;VAR:CALENDAR=US&amp;VAR:SYMBOL=04916420&amp;VAR:INDEX=0"}</definedName>
    <definedName name="_10471__FDSAUDITLINK__" localSheetId="6" hidden="1">{"fdsup://directions/FAT Viewer?action=UPDATE&amp;creator=factset&amp;DYN_ARGS=TRUE&amp;DOC_NAME=FAT:FQL_AUDITING_CLIENT_TEMPLATE.FAT&amp;display_string=Audit&amp;VAR:KEY=LIJALMBOZQ&amp;VAR:QUERY=RkZfRUJJVERBX0lCKCdMVE1TJywzODg5OCk=&amp;WINDOW=FIRST_POPUP&amp;HEIGHT=450&amp;WIDTH=450&amp;START_MA","XIMIZED=FALSE&amp;VAR:CALENDAR=US&amp;VAR:SYMBOL=04916420&amp;VAR:INDEX=0"}</definedName>
    <definedName name="_10471__FDSAUDITLINK__" hidden="1">{"fdsup://directions/FAT Viewer?action=UPDATE&amp;creator=factset&amp;DYN_ARGS=TRUE&amp;DOC_NAME=FAT:FQL_AUDITING_CLIENT_TEMPLATE.FAT&amp;display_string=Audit&amp;VAR:KEY=LIJALMBOZQ&amp;VAR:QUERY=RkZfRUJJVERBX0lCKCdMVE1TJywzODg5OCk=&amp;WINDOW=FIRST_POPUP&amp;HEIGHT=450&amp;WIDTH=450&amp;START_MA","XIMIZED=FALSE&amp;VAR:CALENDAR=US&amp;VAR:SYMBOL=04916420&amp;VAR:INDEX=0"}</definedName>
    <definedName name="_10472__FDSAUDITLINK__" localSheetId="6" hidden="1">{"fdsup://directions/FAT Viewer?action=UPDATE&amp;creator=factset&amp;DYN_ARGS=TRUE&amp;DOC_NAME=FAT:FQL_AUDITING_CLIENT_TEMPLATE.FAT&amp;display_string=Audit&amp;VAR:KEY=BGZODWBGPY&amp;VAR:QUERY=RkZfRUJJVERBX0lCKCdMVE1TJywzODg5Nyk=&amp;WINDOW=FIRST_POPUP&amp;HEIGHT=450&amp;WIDTH=450&amp;START_MA","XIMIZED=FALSE&amp;VAR:CALENDAR=US&amp;VAR:SYMBOL=04916420&amp;VAR:INDEX=0"}</definedName>
    <definedName name="_10472__FDSAUDITLINK__" hidden="1">{"fdsup://directions/FAT Viewer?action=UPDATE&amp;creator=factset&amp;DYN_ARGS=TRUE&amp;DOC_NAME=FAT:FQL_AUDITING_CLIENT_TEMPLATE.FAT&amp;display_string=Audit&amp;VAR:KEY=BGZODWBGPY&amp;VAR:QUERY=RkZfRUJJVERBX0lCKCdMVE1TJywzODg5Nyk=&amp;WINDOW=FIRST_POPUP&amp;HEIGHT=450&amp;WIDTH=450&amp;START_MA","XIMIZED=FALSE&amp;VAR:CALENDAR=US&amp;VAR:SYMBOL=04916420&amp;VAR:INDEX=0"}</definedName>
    <definedName name="_10473__FDSAUDITLINK__" localSheetId="6" hidden="1">{"fdsup://directions/FAT Viewer?action=UPDATE&amp;creator=factset&amp;DYN_ARGS=TRUE&amp;DOC_NAME=FAT:FQL_AUDITING_CLIENT_TEMPLATE.FAT&amp;display_string=Audit&amp;VAR:KEY=JOVUHYBQTC&amp;VAR:QUERY=RkZfRUJJVERBX0lCKCdMVE1TJywzODg5Nik=&amp;WINDOW=FIRST_POPUP&amp;HEIGHT=450&amp;WIDTH=450&amp;START_MA","XIMIZED=FALSE&amp;VAR:CALENDAR=US&amp;VAR:SYMBOL=04916420&amp;VAR:INDEX=0"}</definedName>
    <definedName name="_10473__FDSAUDITLINK__" hidden="1">{"fdsup://directions/FAT Viewer?action=UPDATE&amp;creator=factset&amp;DYN_ARGS=TRUE&amp;DOC_NAME=FAT:FQL_AUDITING_CLIENT_TEMPLATE.FAT&amp;display_string=Audit&amp;VAR:KEY=JOVUHYBQTC&amp;VAR:QUERY=RkZfRUJJVERBX0lCKCdMVE1TJywzODg5Nik=&amp;WINDOW=FIRST_POPUP&amp;HEIGHT=450&amp;WIDTH=450&amp;START_MA","XIMIZED=FALSE&amp;VAR:CALENDAR=US&amp;VAR:SYMBOL=04916420&amp;VAR:INDEX=0"}</definedName>
    <definedName name="_10474__FDSAUDITLINK__" localSheetId="6" hidden="1">{"fdsup://directions/FAT Viewer?action=UPDATE&amp;creator=factset&amp;DYN_ARGS=TRUE&amp;DOC_NAME=FAT:FQL_AUDITING_CLIENT_TEMPLATE.FAT&amp;display_string=Audit&amp;VAR:KEY=XOZCRSJYJE&amp;VAR:QUERY=RkZfRUJJVERBX0lCKCdMVE1TJywzODg5NSk=&amp;WINDOW=FIRST_POPUP&amp;HEIGHT=450&amp;WIDTH=450&amp;START_MA","XIMIZED=FALSE&amp;VAR:CALENDAR=US&amp;VAR:SYMBOL=04916420&amp;VAR:INDEX=0"}</definedName>
    <definedName name="_10474__FDSAUDITLINK__" hidden="1">{"fdsup://directions/FAT Viewer?action=UPDATE&amp;creator=factset&amp;DYN_ARGS=TRUE&amp;DOC_NAME=FAT:FQL_AUDITING_CLIENT_TEMPLATE.FAT&amp;display_string=Audit&amp;VAR:KEY=XOZCRSJYJE&amp;VAR:QUERY=RkZfRUJJVERBX0lCKCdMVE1TJywzODg5NSk=&amp;WINDOW=FIRST_POPUP&amp;HEIGHT=450&amp;WIDTH=450&amp;START_MA","XIMIZED=FALSE&amp;VAR:CALENDAR=US&amp;VAR:SYMBOL=04916420&amp;VAR:INDEX=0"}</definedName>
    <definedName name="_10475__FDSAUDITLINK__" localSheetId="6" hidden="1">{"fdsup://directions/FAT Viewer?action=UPDATE&amp;creator=factset&amp;DYN_ARGS=TRUE&amp;DOC_NAME=FAT:FQL_AUDITING_CLIENT_TEMPLATE.FAT&amp;display_string=Audit&amp;VAR:KEY=HOVMRWJYLG&amp;VAR:QUERY=RkZfRUJJVERBX0lCKCdMVE1TJywzODg5NCk=&amp;WINDOW=FIRST_POPUP&amp;HEIGHT=450&amp;WIDTH=450&amp;START_MA","XIMIZED=FALSE&amp;VAR:CALENDAR=US&amp;VAR:SYMBOL=04916420&amp;VAR:INDEX=0"}</definedName>
    <definedName name="_10475__FDSAUDITLINK__" hidden="1">{"fdsup://directions/FAT Viewer?action=UPDATE&amp;creator=factset&amp;DYN_ARGS=TRUE&amp;DOC_NAME=FAT:FQL_AUDITING_CLIENT_TEMPLATE.FAT&amp;display_string=Audit&amp;VAR:KEY=HOVMRWJYLG&amp;VAR:QUERY=RkZfRUJJVERBX0lCKCdMVE1TJywzODg5NCk=&amp;WINDOW=FIRST_POPUP&amp;HEIGHT=450&amp;WIDTH=450&amp;START_MA","XIMIZED=FALSE&amp;VAR:CALENDAR=US&amp;VAR:SYMBOL=04916420&amp;VAR:INDEX=0"}</definedName>
    <definedName name="_10476__FDSAUDITLINK__" localSheetId="6" hidden="1">{"fdsup://directions/FAT Viewer?action=UPDATE&amp;creator=factset&amp;DYN_ARGS=TRUE&amp;DOC_NAME=FAT:FQL_AUDITING_CLIENT_TEMPLATE.FAT&amp;display_string=Audit&amp;VAR:KEY=TYRAJSHGLY&amp;VAR:QUERY=RkZfRUJJVERBX0lCKCdMVE1TJywzODg5Myk=&amp;WINDOW=FIRST_POPUP&amp;HEIGHT=450&amp;WIDTH=450&amp;START_MA","XIMIZED=FALSE&amp;VAR:CALENDAR=US&amp;VAR:SYMBOL=04916420&amp;VAR:INDEX=0"}</definedName>
    <definedName name="_10476__FDSAUDITLINK__" hidden="1">{"fdsup://directions/FAT Viewer?action=UPDATE&amp;creator=factset&amp;DYN_ARGS=TRUE&amp;DOC_NAME=FAT:FQL_AUDITING_CLIENT_TEMPLATE.FAT&amp;display_string=Audit&amp;VAR:KEY=TYRAJSHGLY&amp;VAR:QUERY=RkZfRUJJVERBX0lCKCdMVE1TJywzODg5Myk=&amp;WINDOW=FIRST_POPUP&amp;HEIGHT=450&amp;WIDTH=450&amp;START_MA","XIMIZED=FALSE&amp;VAR:CALENDAR=US&amp;VAR:SYMBOL=04916420&amp;VAR:INDEX=0"}</definedName>
    <definedName name="_10477__FDSAUDITLINK__" localSheetId="6" hidden="1">{"fdsup://directions/FAT Viewer?action=UPDATE&amp;creator=factset&amp;DYN_ARGS=TRUE&amp;DOC_NAME=FAT:FQL_AUDITING_CLIENT_TEMPLATE.FAT&amp;display_string=Audit&amp;VAR:KEY=ZKRQXYBUDK&amp;VAR:QUERY=RkZfRUJJVERBX0lCKCdMVE1TJywzODg5Mik=&amp;WINDOW=FIRST_POPUP&amp;HEIGHT=450&amp;WIDTH=450&amp;START_MA","XIMIZED=FALSE&amp;VAR:CALENDAR=US&amp;VAR:SYMBOL=04916420&amp;VAR:INDEX=0"}</definedName>
    <definedName name="_10477__FDSAUDITLINK__" hidden="1">{"fdsup://directions/FAT Viewer?action=UPDATE&amp;creator=factset&amp;DYN_ARGS=TRUE&amp;DOC_NAME=FAT:FQL_AUDITING_CLIENT_TEMPLATE.FAT&amp;display_string=Audit&amp;VAR:KEY=ZKRQXYBUDK&amp;VAR:QUERY=RkZfRUJJVERBX0lCKCdMVE1TJywzODg5Mik=&amp;WINDOW=FIRST_POPUP&amp;HEIGHT=450&amp;WIDTH=450&amp;START_MA","XIMIZED=FALSE&amp;VAR:CALENDAR=US&amp;VAR:SYMBOL=04916420&amp;VAR:INDEX=0"}</definedName>
    <definedName name="_10478__FDSAUDITLINK__" localSheetId="6" hidden="1">{"fdsup://directions/FAT Viewer?action=UPDATE&amp;creator=factset&amp;DYN_ARGS=TRUE&amp;DOC_NAME=FAT:FQL_AUDITING_CLIENT_TEMPLATE.FAT&amp;display_string=Audit&amp;VAR:KEY=VONIPWTOZM&amp;VAR:QUERY=RkZfRUJJVERBX0lCKCdMVE1TJywzODg5MSk=&amp;WINDOW=FIRST_POPUP&amp;HEIGHT=450&amp;WIDTH=450&amp;START_MA","XIMIZED=FALSE&amp;VAR:CALENDAR=US&amp;VAR:SYMBOL=04916420&amp;VAR:INDEX=0"}</definedName>
    <definedName name="_10478__FDSAUDITLINK__" hidden="1">{"fdsup://directions/FAT Viewer?action=UPDATE&amp;creator=factset&amp;DYN_ARGS=TRUE&amp;DOC_NAME=FAT:FQL_AUDITING_CLIENT_TEMPLATE.FAT&amp;display_string=Audit&amp;VAR:KEY=VONIPWTOZM&amp;VAR:QUERY=RkZfRUJJVERBX0lCKCdMVE1TJywzODg5MSk=&amp;WINDOW=FIRST_POPUP&amp;HEIGHT=450&amp;WIDTH=450&amp;START_MA","XIMIZED=FALSE&amp;VAR:CALENDAR=US&amp;VAR:SYMBOL=04916420&amp;VAR:INDEX=0"}</definedName>
    <definedName name="_10479__FDSAUDITLINK__" localSheetId="6" hidden="1">{"fdsup://directions/FAT Viewer?action=UPDATE&amp;creator=factset&amp;DYN_ARGS=TRUE&amp;DOC_NAME=FAT:FQL_AUDITING_CLIENT_TEMPLATE.FAT&amp;display_string=Audit&amp;VAR:KEY=JQBGDQPSVS&amp;VAR:QUERY=RkZfRUJJVERBX0lCKCdMVE1TJywzODg5MCk=&amp;WINDOW=FIRST_POPUP&amp;HEIGHT=450&amp;WIDTH=450&amp;START_MA","XIMIZED=FALSE&amp;VAR:CALENDAR=US&amp;VAR:SYMBOL=04916420&amp;VAR:INDEX=0"}</definedName>
    <definedName name="_10479__FDSAUDITLINK__" hidden="1">{"fdsup://directions/FAT Viewer?action=UPDATE&amp;creator=factset&amp;DYN_ARGS=TRUE&amp;DOC_NAME=FAT:FQL_AUDITING_CLIENT_TEMPLATE.FAT&amp;display_string=Audit&amp;VAR:KEY=JQBGDQPSVS&amp;VAR:QUERY=RkZfRUJJVERBX0lCKCdMVE1TJywzODg5MCk=&amp;WINDOW=FIRST_POPUP&amp;HEIGHT=450&amp;WIDTH=450&amp;START_MA","XIMIZED=FALSE&amp;VAR:CALENDAR=US&amp;VAR:SYMBOL=04916420&amp;VAR:INDEX=0"}</definedName>
    <definedName name="_1048__FDSAUDITLINK__" localSheetId="6" hidden="1">{"fdsup://directions/FAT%20Viewer?VAR:PED=LTM&amp;VAR:AUDIT_MODE=SUMMARY&amp;VAR:PERIOD=FIXED&amp;VAR:AUDIT_ID=00000117&amp;VAR:DATE=20070410&amp;action=UPDATE&amp;creator=factset&amp;DOC_NAME=FAT:FMA_audit_SUMMARY.fat&amp;DISPLAY_STRING=Display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8__FDSAUDITLINK__" hidden="1">{"fdsup://directions/FAT%20Viewer?VAR:PED=LTM&amp;VAR:AUDIT_MODE=SUMMARY&amp;VAR:PERIOD=FIXED&amp;VAR:AUDIT_ID=00000117&amp;VAR:DATE=20070410&amp;action=UPDATE&amp;creator=factset&amp;DOC_NAME=FAT:FMA_audit_SUMMARY.fat&amp;DISPLAY_STRING=Display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80__FDSAUDITLINK__" localSheetId="6" hidden="1">{"fdsup://directions/FAT Viewer?action=UPDATE&amp;creator=factset&amp;DYN_ARGS=TRUE&amp;DOC_NAME=FAT:FQL_AUDITING_CLIENT_TEMPLATE.FAT&amp;display_string=Audit&amp;VAR:KEY=BSTMHYREHQ&amp;VAR:QUERY=RkZfRUJJVERBX0lCKCdMVE1TJywzODg4OSk=&amp;WINDOW=FIRST_POPUP&amp;HEIGHT=450&amp;WIDTH=450&amp;START_MA","XIMIZED=FALSE&amp;VAR:CALENDAR=US&amp;VAR:SYMBOL=04916420&amp;VAR:INDEX=0"}</definedName>
    <definedName name="_10480__FDSAUDITLINK__" hidden="1">{"fdsup://directions/FAT Viewer?action=UPDATE&amp;creator=factset&amp;DYN_ARGS=TRUE&amp;DOC_NAME=FAT:FQL_AUDITING_CLIENT_TEMPLATE.FAT&amp;display_string=Audit&amp;VAR:KEY=BSTMHYREHQ&amp;VAR:QUERY=RkZfRUJJVERBX0lCKCdMVE1TJywzODg4OSk=&amp;WINDOW=FIRST_POPUP&amp;HEIGHT=450&amp;WIDTH=450&amp;START_MA","XIMIZED=FALSE&amp;VAR:CALENDAR=US&amp;VAR:SYMBOL=04916420&amp;VAR:INDEX=0"}</definedName>
    <definedName name="_10481__FDSAUDITLINK__" localSheetId="6" hidden="1">{"fdsup://directions/FAT Viewer?action=UPDATE&amp;creator=factset&amp;DYN_ARGS=TRUE&amp;DOC_NAME=FAT:FQL_AUDITING_CLIENT_TEMPLATE.FAT&amp;display_string=Audit&amp;VAR:KEY=VMPMXEBYDC&amp;VAR:QUERY=RkZfRUJJVERBX0lCKCdMVE1TJywzODg4OCk=&amp;WINDOW=FIRST_POPUP&amp;HEIGHT=450&amp;WIDTH=450&amp;START_MA","XIMIZED=FALSE&amp;VAR:CALENDAR=US&amp;VAR:SYMBOL=04916420&amp;VAR:INDEX=0"}</definedName>
    <definedName name="_10481__FDSAUDITLINK__" hidden="1">{"fdsup://directions/FAT Viewer?action=UPDATE&amp;creator=factset&amp;DYN_ARGS=TRUE&amp;DOC_NAME=FAT:FQL_AUDITING_CLIENT_TEMPLATE.FAT&amp;display_string=Audit&amp;VAR:KEY=VMPMXEBYDC&amp;VAR:QUERY=RkZfRUJJVERBX0lCKCdMVE1TJywzODg4OCk=&amp;WINDOW=FIRST_POPUP&amp;HEIGHT=450&amp;WIDTH=450&amp;START_MA","XIMIZED=FALSE&amp;VAR:CALENDAR=US&amp;VAR:SYMBOL=04916420&amp;VAR:INDEX=0"}</definedName>
    <definedName name="_10482__FDSAUDITLINK__" localSheetId="6" hidden="1">{"fdsup://directions/FAT Viewer?action=UPDATE&amp;creator=factset&amp;DYN_ARGS=TRUE&amp;DOC_NAME=FAT:FQL_AUDITING_CLIENT_TEMPLATE.FAT&amp;display_string=Audit&amp;VAR:KEY=FWXGHCBUDW&amp;VAR:QUERY=RkZfRUJJVERBX0lCKCdMVE1TJywzODg4Nyk=&amp;WINDOW=FIRST_POPUP&amp;HEIGHT=450&amp;WIDTH=450&amp;START_MA","XIMIZED=FALSE&amp;VAR:CALENDAR=US&amp;VAR:SYMBOL=04916420&amp;VAR:INDEX=0"}</definedName>
    <definedName name="_10482__FDSAUDITLINK__" hidden="1">{"fdsup://directions/FAT Viewer?action=UPDATE&amp;creator=factset&amp;DYN_ARGS=TRUE&amp;DOC_NAME=FAT:FQL_AUDITING_CLIENT_TEMPLATE.FAT&amp;display_string=Audit&amp;VAR:KEY=FWXGHCBUDW&amp;VAR:QUERY=RkZfRUJJVERBX0lCKCdMVE1TJywzODg4Nyk=&amp;WINDOW=FIRST_POPUP&amp;HEIGHT=450&amp;WIDTH=450&amp;START_MA","XIMIZED=FALSE&amp;VAR:CALENDAR=US&amp;VAR:SYMBOL=04916420&amp;VAR:INDEX=0"}</definedName>
    <definedName name="_10483__FDSAUDITLINK__" localSheetId="6" hidden="1">{"fdsup://directions/FAT Viewer?action=UPDATE&amp;creator=factset&amp;DYN_ARGS=TRUE&amp;DOC_NAME=FAT:FQL_AUDITING_CLIENT_TEMPLATE.FAT&amp;display_string=Audit&amp;VAR:KEY=DKRARMHODM&amp;VAR:QUERY=RkZfRUJJVERBX0lCKCdMVE1TJywzODg4Nik=&amp;WINDOW=FIRST_POPUP&amp;HEIGHT=450&amp;WIDTH=450&amp;START_MA","XIMIZED=FALSE&amp;VAR:CALENDAR=US&amp;VAR:SYMBOL=04916420&amp;VAR:INDEX=0"}</definedName>
    <definedName name="_10483__FDSAUDITLINK__" hidden="1">{"fdsup://directions/FAT Viewer?action=UPDATE&amp;creator=factset&amp;DYN_ARGS=TRUE&amp;DOC_NAME=FAT:FQL_AUDITING_CLIENT_TEMPLATE.FAT&amp;display_string=Audit&amp;VAR:KEY=DKRARMHODM&amp;VAR:QUERY=RkZfRUJJVERBX0lCKCdMVE1TJywzODg4Nik=&amp;WINDOW=FIRST_POPUP&amp;HEIGHT=450&amp;WIDTH=450&amp;START_MA","XIMIZED=FALSE&amp;VAR:CALENDAR=US&amp;VAR:SYMBOL=04916420&amp;VAR:INDEX=0"}</definedName>
    <definedName name="_10484__FDSAUDITLINK__" localSheetId="6" hidden="1">{"fdsup://directions/FAT Viewer?action=UPDATE&amp;creator=factset&amp;DYN_ARGS=TRUE&amp;DOC_NAME=FAT:FQL_AUDITING_CLIENT_TEMPLATE.FAT&amp;display_string=Audit&amp;VAR:KEY=ROJUJGJENO&amp;VAR:QUERY=RkZfRUJJVERBX0lCKCdMVE1TJywzODg4NSk=&amp;WINDOW=FIRST_POPUP&amp;HEIGHT=450&amp;WIDTH=450&amp;START_MA","XIMIZED=FALSE&amp;VAR:CALENDAR=US&amp;VAR:SYMBOL=04916420&amp;VAR:INDEX=0"}</definedName>
    <definedName name="_10484__FDSAUDITLINK__" hidden="1">{"fdsup://directions/FAT Viewer?action=UPDATE&amp;creator=factset&amp;DYN_ARGS=TRUE&amp;DOC_NAME=FAT:FQL_AUDITING_CLIENT_TEMPLATE.FAT&amp;display_string=Audit&amp;VAR:KEY=ROJUJGJENO&amp;VAR:QUERY=RkZfRUJJVERBX0lCKCdMVE1TJywzODg4NSk=&amp;WINDOW=FIRST_POPUP&amp;HEIGHT=450&amp;WIDTH=450&amp;START_MA","XIMIZED=FALSE&amp;VAR:CALENDAR=US&amp;VAR:SYMBOL=04916420&amp;VAR:INDEX=0"}</definedName>
    <definedName name="_10485__FDSAUDITLINK__" localSheetId="6" hidden="1">{"fdsup://directions/FAT Viewer?action=UPDATE&amp;creator=factset&amp;DYN_ARGS=TRUE&amp;DOC_NAME=FAT:FQL_AUDITING_CLIENT_TEMPLATE.FAT&amp;display_string=Audit&amp;VAR:KEY=FCBADATGZC&amp;VAR:QUERY=RkZfRUJJVERBX0lCKCdMVE1TJywzODg4NCk=&amp;WINDOW=FIRST_POPUP&amp;HEIGHT=450&amp;WIDTH=450&amp;START_MA","XIMIZED=FALSE&amp;VAR:CALENDAR=US&amp;VAR:SYMBOL=04916420&amp;VAR:INDEX=0"}</definedName>
    <definedName name="_10485__FDSAUDITLINK__" hidden="1">{"fdsup://directions/FAT Viewer?action=UPDATE&amp;creator=factset&amp;DYN_ARGS=TRUE&amp;DOC_NAME=FAT:FQL_AUDITING_CLIENT_TEMPLATE.FAT&amp;display_string=Audit&amp;VAR:KEY=FCBADATGZC&amp;VAR:QUERY=RkZfRUJJVERBX0lCKCdMVE1TJywzODg4NCk=&amp;WINDOW=FIRST_POPUP&amp;HEIGHT=450&amp;WIDTH=450&amp;START_MA","XIMIZED=FALSE&amp;VAR:CALENDAR=US&amp;VAR:SYMBOL=04916420&amp;VAR:INDEX=0"}</definedName>
    <definedName name="_10486__FDSAUDITLINK__" localSheetId="6" hidden="1">{"fdsup://directions/FAT Viewer?action=UPDATE&amp;creator=factset&amp;DYN_ARGS=TRUE&amp;DOC_NAME=FAT:FQL_AUDITING_CLIENT_TEMPLATE.FAT&amp;display_string=Audit&amp;VAR:KEY=PUFSXODERE&amp;VAR:QUERY=RkZfRUJJVERBX0lCKCdMVE1TJywzODg4Myk=&amp;WINDOW=FIRST_POPUP&amp;HEIGHT=450&amp;WIDTH=450&amp;START_MA","XIMIZED=FALSE&amp;VAR:CALENDAR=US&amp;VAR:SYMBOL=04916420&amp;VAR:INDEX=0"}</definedName>
    <definedName name="_10486__FDSAUDITLINK__" hidden="1">{"fdsup://directions/FAT Viewer?action=UPDATE&amp;creator=factset&amp;DYN_ARGS=TRUE&amp;DOC_NAME=FAT:FQL_AUDITING_CLIENT_TEMPLATE.FAT&amp;display_string=Audit&amp;VAR:KEY=PUFSXODERE&amp;VAR:QUERY=RkZfRUJJVERBX0lCKCdMVE1TJywzODg4Myk=&amp;WINDOW=FIRST_POPUP&amp;HEIGHT=450&amp;WIDTH=450&amp;START_MA","XIMIZED=FALSE&amp;VAR:CALENDAR=US&amp;VAR:SYMBOL=04916420&amp;VAR:INDEX=0"}</definedName>
    <definedName name="_10487__FDSAUDITLINK__" localSheetId="6" hidden="1">{"fdsup://directions/FAT Viewer?action=UPDATE&amp;creator=factset&amp;DYN_ARGS=TRUE&amp;DOC_NAME=FAT:FQL_AUDITING_CLIENT_TEMPLATE.FAT&amp;display_string=Audit&amp;VAR:KEY=NAPMPQBUZW&amp;VAR:QUERY=RkZfRUJJVERBX0lCKCdMVE1TJywzODg4Mik=&amp;WINDOW=FIRST_POPUP&amp;HEIGHT=450&amp;WIDTH=450&amp;START_MA","XIMIZED=FALSE&amp;VAR:CALENDAR=US&amp;VAR:SYMBOL=04916420&amp;VAR:INDEX=0"}</definedName>
    <definedName name="_10487__FDSAUDITLINK__" hidden="1">{"fdsup://directions/FAT Viewer?action=UPDATE&amp;creator=factset&amp;DYN_ARGS=TRUE&amp;DOC_NAME=FAT:FQL_AUDITING_CLIENT_TEMPLATE.FAT&amp;display_string=Audit&amp;VAR:KEY=NAPMPQBUZW&amp;VAR:QUERY=RkZfRUJJVERBX0lCKCdMVE1TJywzODg4Mik=&amp;WINDOW=FIRST_POPUP&amp;HEIGHT=450&amp;WIDTH=450&amp;START_MA","XIMIZED=FALSE&amp;VAR:CALENDAR=US&amp;VAR:SYMBOL=04916420&amp;VAR:INDEX=0"}</definedName>
    <definedName name="_10488__FDSAUDITLINK__" localSheetId="6" hidden="1">{"fdsup://directions/FAT Viewer?action=UPDATE&amp;creator=factset&amp;DYN_ARGS=TRUE&amp;DOC_NAME=FAT:FQL_AUDITING_CLIENT_TEMPLATE.FAT&amp;display_string=Audit&amp;VAR:KEY=LGZATGDSLQ&amp;VAR:QUERY=RkZfRUJJVERBX0lCKCdMVE1TJywzODg4MSk=&amp;WINDOW=FIRST_POPUP&amp;HEIGHT=450&amp;WIDTH=450&amp;START_MA","XIMIZED=FALSE&amp;VAR:CALENDAR=US&amp;VAR:SYMBOL=04916420&amp;VAR:INDEX=0"}</definedName>
    <definedName name="_10488__FDSAUDITLINK__" hidden="1">{"fdsup://directions/FAT Viewer?action=UPDATE&amp;creator=factset&amp;DYN_ARGS=TRUE&amp;DOC_NAME=FAT:FQL_AUDITING_CLIENT_TEMPLATE.FAT&amp;display_string=Audit&amp;VAR:KEY=LGZATGDSLQ&amp;VAR:QUERY=RkZfRUJJVERBX0lCKCdMVE1TJywzODg4MSk=&amp;WINDOW=FIRST_POPUP&amp;HEIGHT=450&amp;WIDTH=450&amp;START_MA","XIMIZED=FALSE&amp;VAR:CALENDAR=US&amp;VAR:SYMBOL=04916420&amp;VAR:INDEX=0"}</definedName>
    <definedName name="_10489__FDSAUDITLINK__" localSheetId="6" hidden="1">{"fdsup://directions/FAT Viewer?action=UPDATE&amp;creator=factset&amp;DYN_ARGS=TRUE&amp;DOC_NAME=FAT:FQL_AUDITING_CLIENT_TEMPLATE.FAT&amp;display_string=Audit&amp;VAR:KEY=HUHEBGVQBY&amp;VAR:QUERY=RkZfRUJJVERBX0lCKCdMVE1TJywzODg4MCk=&amp;WINDOW=FIRST_POPUP&amp;HEIGHT=450&amp;WIDTH=450&amp;START_MA","XIMIZED=FALSE&amp;VAR:CALENDAR=US&amp;VAR:SYMBOL=04916420&amp;VAR:INDEX=0"}</definedName>
    <definedName name="_10489__FDSAUDITLINK__" hidden="1">{"fdsup://directions/FAT Viewer?action=UPDATE&amp;creator=factset&amp;DYN_ARGS=TRUE&amp;DOC_NAME=FAT:FQL_AUDITING_CLIENT_TEMPLATE.FAT&amp;display_string=Audit&amp;VAR:KEY=HUHEBGVQBY&amp;VAR:QUERY=RkZfRUJJVERBX0lCKCdMVE1TJywzODg4MCk=&amp;WINDOW=FIRST_POPUP&amp;HEIGHT=450&amp;WIDTH=450&amp;START_MA","XIMIZED=FALSE&amp;VAR:CALENDAR=US&amp;VAR:SYMBOL=04916420&amp;VAR:INDEX=0"}</definedName>
    <definedName name="_1049__FDSAUDITLINK__" localSheetId="6" hidden="1">{"fdsup://directions/FAT%20Viewer?VAR:PED=LTM&amp;VAR:AUDIT_MODE=SUMMARY&amp;VAR:PERIOD=FIXED&amp;VAR:AUDIT_ID=00000117&amp;VAR:DATE=20070409&amp;action=UPDATE&amp;creator=factset&amp;DOC_NAME=FAT:FMA_audit_SUMMARY.fat&amp;DISPLAY_STRING=Display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9__FDSAUDITLINK__" hidden="1">{"fdsup://directions/FAT%20Viewer?VAR:PED=LTM&amp;VAR:AUDIT_MODE=SUMMARY&amp;VAR:PERIOD=FIXED&amp;VAR:AUDIT_ID=00000117&amp;VAR:DATE=20070409&amp;action=UPDATE&amp;creator=factset&amp;DOC_NAME=FAT:FMA_audit_SUMMARY.fat&amp;DISPLAY_STRING=Display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490__FDSAUDITLINK__" localSheetId="6" hidden="1">{"fdsup://directions/FAT Viewer?action=UPDATE&amp;creator=factset&amp;DYN_ARGS=TRUE&amp;DOC_NAME=FAT:FQL_AUDITING_CLIENT_TEMPLATE.FAT&amp;display_string=Audit&amp;VAR:KEY=JQJKRINYHU&amp;VAR:QUERY=RkZfRUJJVERBX0lCKCdMVE1TJywzODg3OSk=&amp;WINDOW=FIRST_POPUP&amp;HEIGHT=450&amp;WIDTH=450&amp;START_MA","XIMIZED=FALSE&amp;VAR:CALENDAR=US&amp;VAR:SYMBOL=04916420&amp;VAR:INDEX=0"}</definedName>
    <definedName name="_10490__FDSAUDITLINK__" hidden="1">{"fdsup://directions/FAT Viewer?action=UPDATE&amp;creator=factset&amp;DYN_ARGS=TRUE&amp;DOC_NAME=FAT:FQL_AUDITING_CLIENT_TEMPLATE.FAT&amp;display_string=Audit&amp;VAR:KEY=JQJKRINYHU&amp;VAR:QUERY=RkZfRUJJVERBX0lCKCdMVE1TJywzODg3OSk=&amp;WINDOW=FIRST_POPUP&amp;HEIGHT=450&amp;WIDTH=450&amp;START_MA","XIMIZED=FALSE&amp;VAR:CALENDAR=US&amp;VAR:SYMBOL=04916420&amp;VAR:INDEX=0"}</definedName>
    <definedName name="_10491__FDSAUDITLINK__" localSheetId="6" hidden="1">{"fdsup://directions/FAT Viewer?action=UPDATE&amp;creator=factset&amp;DYN_ARGS=TRUE&amp;DOC_NAME=FAT:FQL_AUDITING_CLIENT_TEMPLATE.FAT&amp;display_string=Audit&amp;VAR:KEY=VEXMHSNIJA&amp;VAR:QUERY=RkZfRUJJVERBX0lCKCdMVE1TJywzODg3OCk=&amp;WINDOW=FIRST_POPUP&amp;HEIGHT=450&amp;WIDTH=450&amp;START_MA","XIMIZED=FALSE&amp;VAR:CALENDAR=US&amp;VAR:SYMBOL=04916420&amp;VAR:INDEX=0"}</definedName>
    <definedName name="_10491__FDSAUDITLINK__" hidden="1">{"fdsup://directions/FAT Viewer?action=UPDATE&amp;creator=factset&amp;DYN_ARGS=TRUE&amp;DOC_NAME=FAT:FQL_AUDITING_CLIENT_TEMPLATE.FAT&amp;display_string=Audit&amp;VAR:KEY=VEXMHSNIJA&amp;VAR:QUERY=RkZfRUJJVERBX0lCKCdMVE1TJywzODg3OCk=&amp;WINDOW=FIRST_POPUP&amp;HEIGHT=450&amp;WIDTH=450&amp;START_MA","XIMIZED=FALSE&amp;VAR:CALENDAR=US&amp;VAR:SYMBOL=04916420&amp;VAR:INDEX=0"}</definedName>
    <definedName name="_10492__FDSAUDITLINK__" localSheetId="6" hidden="1">{"fdsup://directions/FAT Viewer?action=UPDATE&amp;creator=factset&amp;DYN_ARGS=TRUE&amp;DOC_NAME=FAT:FQL_AUDITING_CLIENT_TEMPLATE.FAT&amp;display_string=Audit&amp;VAR:KEY=LSDELALYTE&amp;VAR:QUERY=RkZfRUJJVERBX0lCKCdMVE1TJywzODg3Nyk=&amp;WINDOW=FIRST_POPUP&amp;HEIGHT=450&amp;WIDTH=450&amp;START_MA","XIMIZED=FALSE&amp;VAR:CALENDAR=US&amp;VAR:SYMBOL=04916420&amp;VAR:INDEX=0"}</definedName>
    <definedName name="_10492__FDSAUDITLINK__" hidden="1">{"fdsup://directions/FAT Viewer?action=UPDATE&amp;creator=factset&amp;DYN_ARGS=TRUE&amp;DOC_NAME=FAT:FQL_AUDITING_CLIENT_TEMPLATE.FAT&amp;display_string=Audit&amp;VAR:KEY=LSDELALYTE&amp;VAR:QUERY=RkZfRUJJVERBX0lCKCdMVE1TJywzODg3Nyk=&amp;WINDOW=FIRST_POPUP&amp;HEIGHT=450&amp;WIDTH=450&amp;START_MA","XIMIZED=FALSE&amp;VAR:CALENDAR=US&amp;VAR:SYMBOL=04916420&amp;VAR:INDEX=0"}</definedName>
    <definedName name="_10493__FDSAUDITLINK__" localSheetId="6" hidden="1">{"fdsup://directions/FAT Viewer?action=UPDATE&amp;creator=factset&amp;DYN_ARGS=TRUE&amp;DOC_NAME=FAT:FQL_AUDITING_CLIENT_TEMPLATE.FAT&amp;display_string=Audit&amp;VAR:KEY=TALEPAFSLC&amp;VAR:QUERY=RkZfRUJJVERBX0lCKCdMVE1TJywzODg3Nik=&amp;WINDOW=FIRST_POPUP&amp;HEIGHT=450&amp;WIDTH=450&amp;START_MA","XIMIZED=FALSE&amp;VAR:CALENDAR=US&amp;VAR:SYMBOL=04916420&amp;VAR:INDEX=0"}</definedName>
    <definedName name="_10493__FDSAUDITLINK__" hidden="1">{"fdsup://directions/FAT Viewer?action=UPDATE&amp;creator=factset&amp;DYN_ARGS=TRUE&amp;DOC_NAME=FAT:FQL_AUDITING_CLIENT_TEMPLATE.FAT&amp;display_string=Audit&amp;VAR:KEY=TALEPAFSLC&amp;VAR:QUERY=RkZfRUJJVERBX0lCKCdMVE1TJywzODg3Nik=&amp;WINDOW=FIRST_POPUP&amp;HEIGHT=450&amp;WIDTH=450&amp;START_MA","XIMIZED=FALSE&amp;VAR:CALENDAR=US&amp;VAR:SYMBOL=04916420&amp;VAR:INDEX=0"}</definedName>
    <definedName name="_10494__FDSAUDITLINK__" localSheetId="6" hidden="1">{"fdsup://directions/FAT Viewer?action=UPDATE&amp;creator=factset&amp;DYN_ARGS=TRUE&amp;DOC_NAME=FAT:FQL_AUDITING_CLIENT_TEMPLATE.FAT&amp;display_string=Audit&amp;VAR:KEY=JQLMZCDMPO&amp;VAR:QUERY=RkZfRUJJVERBX0lCKCdMVE1TJywzODg3NSk=&amp;WINDOW=FIRST_POPUP&amp;HEIGHT=450&amp;WIDTH=450&amp;START_MA","XIMIZED=FALSE&amp;VAR:CALENDAR=US&amp;VAR:SYMBOL=04916420&amp;VAR:INDEX=0"}</definedName>
    <definedName name="_10494__FDSAUDITLINK__" hidden="1">{"fdsup://directions/FAT Viewer?action=UPDATE&amp;creator=factset&amp;DYN_ARGS=TRUE&amp;DOC_NAME=FAT:FQL_AUDITING_CLIENT_TEMPLATE.FAT&amp;display_string=Audit&amp;VAR:KEY=JQLMZCDMPO&amp;VAR:QUERY=RkZfRUJJVERBX0lCKCdMVE1TJywzODg3NSk=&amp;WINDOW=FIRST_POPUP&amp;HEIGHT=450&amp;WIDTH=450&amp;START_MA","XIMIZED=FALSE&amp;VAR:CALENDAR=US&amp;VAR:SYMBOL=04916420&amp;VAR:INDEX=0"}</definedName>
    <definedName name="_10495__FDSAUDITLINK__" localSheetId="6" hidden="1">{"fdsup://directions/FAT Viewer?action=UPDATE&amp;creator=factset&amp;DYN_ARGS=TRUE&amp;DOC_NAME=FAT:FQL_AUDITING_CLIENT_TEMPLATE.FAT&amp;display_string=Audit&amp;VAR:KEY=RYPYBYDGDQ&amp;VAR:QUERY=RkZfRUJJVERBX0lCKCdMVE1TJywzODg3NCk=&amp;WINDOW=FIRST_POPUP&amp;HEIGHT=450&amp;WIDTH=450&amp;START_MA","XIMIZED=FALSE&amp;VAR:CALENDAR=US&amp;VAR:SYMBOL=04916420&amp;VAR:INDEX=0"}</definedName>
    <definedName name="_10495__FDSAUDITLINK__" hidden="1">{"fdsup://directions/FAT Viewer?action=UPDATE&amp;creator=factset&amp;DYN_ARGS=TRUE&amp;DOC_NAME=FAT:FQL_AUDITING_CLIENT_TEMPLATE.FAT&amp;display_string=Audit&amp;VAR:KEY=RYPYBYDGDQ&amp;VAR:QUERY=RkZfRUJJVERBX0lCKCdMVE1TJywzODg3NCk=&amp;WINDOW=FIRST_POPUP&amp;HEIGHT=450&amp;WIDTH=450&amp;START_MA","XIMIZED=FALSE&amp;VAR:CALENDAR=US&amp;VAR:SYMBOL=04916420&amp;VAR:INDEX=0"}</definedName>
    <definedName name="_10496__FDSAUDITLINK__" localSheetId="6" hidden="1">{"fdsup://directions/FAT Viewer?action=UPDATE&amp;creator=factset&amp;DYN_ARGS=TRUE&amp;DOC_NAME=FAT:FQL_AUDITING_CLIENT_TEMPLATE.FAT&amp;display_string=Audit&amp;VAR:KEY=JQVCZOZGDY&amp;VAR:QUERY=RkZfRUJJVERBX0lCKCdMVE1TJywzODg3Myk=&amp;WINDOW=FIRST_POPUP&amp;HEIGHT=450&amp;WIDTH=450&amp;START_MA","XIMIZED=FALSE&amp;VAR:CALENDAR=US&amp;VAR:SYMBOL=04916420&amp;VAR:INDEX=0"}</definedName>
    <definedName name="_10496__FDSAUDITLINK__" hidden="1">{"fdsup://directions/FAT Viewer?action=UPDATE&amp;creator=factset&amp;DYN_ARGS=TRUE&amp;DOC_NAME=FAT:FQL_AUDITING_CLIENT_TEMPLATE.FAT&amp;display_string=Audit&amp;VAR:KEY=JQVCZOZGDY&amp;VAR:QUERY=RkZfRUJJVERBX0lCKCdMVE1TJywzODg3Myk=&amp;WINDOW=FIRST_POPUP&amp;HEIGHT=450&amp;WIDTH=450&amp;START_MA","XIMIZED=FALSE&amp;VAR:CALENDAR=US&amp;VAR:SYMBOL=04916420&amp;VAR:INDEX=0"}</definedName>
    <definedName name="_10497__FDSAUDITLINK__" localSheetId="6" hidden="1">{"fdsup://directions/FAT Viewer?action=UPDATE&amp;creator=factset&amp;DYN_ARGS=TRUE&amp;DOC_NAME=FAT:FQL_AUDITING_CLIENT_TEMPLATE.FAT&amp;display_string=Audit&amp;VAR:KEY=LGROVGBUJM&amp;VAR:QUERY=RkZfRUJJVERBX0lCKCdMVE1TJywzODg3Mik=&amp;WINDOW=FIRST_POPUP&amp;HEIGHT=450&amp;WIDTH=450&amp;START_MA","XIMIZED=FALSE&amp;VAR:CALENDAR=US&amp;VAR:SYMBOL=04916420&amp;VAR:INDEX=0"}</definedName>
    <definedName name="_10497__FDSAUDITLINK__" hidden="1">{"fdsup://directions/FAT Viewer?action=UPDATE&amp;creator=factset&amp;DYN_ARGS=TRUE&amp;DOC_NAME=FAT:FQL_AUDITING_CLIENT_TEMPLATE.FAT&amp;display_string=Audit&amp;VAR:KEY=LGROVGBUJM&amp;VAR:QUERY=RkZfRUJJVERBX0lCKCdMVE1TJywzODg3Mik=&amp;WINDOW=FIRST_POPUP&amp;HEIGHT=450&amp;WIDTH=450&amp;START_MA","XIMIZED=FALSE&amp;VAR:CALENDAR=US&amp;VAR:SYMBOL=04916420&amp;VAR:INDEX=0"}</definedName>
    <definedName name="_10498__FDSAUDITLINK__" localSheetId="6" hidden="1">{"fdsup://directions/FAT Viewer?action=UPDATE&amp;creator=factset&amp;DYN_ARGS=TRUE&amp;DOC_NAME=FAT:FQL_AUDITING_CLIENT_TEMPLATE.FAT&amp;display_string=Audit&amp;VAR:KEY=DANMPGHCLG&amp;VAR:QUERY=RkZfRUJJVERBX0lCKCdMVE1TJywzODg3MSk=&amp;WINDOW=FIRST_POPUP&amp;HEIGHT=450&amp;WIDTH=450&amp;START_MA","XIMIZED=FALSE&amp;VAR:CALENDAR=US&amp;VAR:SYMBOL=04916420&amp;VAR:INDEX=0"}</definedName>
    <definedName name="_10498__FDSAUDITLINK__" hidden="1">{"fdsup://directions/FAT Viewer?action=UPDATE&amp;creator=factset&amp;DYN_ARGS=TRUE&amp;DOC_NAME=FAT:FQL_AUDITING_CLIENT_TEMPLATE.FAT&amp;display_string=Audit&amp;VAR:KEY=DANMPGHCLG&amp;VAR:QUERY=RkZfRUJJVERBX0lCKCdMVE1TJywzODg3MSk=&amp;WINDOW=FIRST_POPUP&amp;HEIGHT=450&amp;WIDTH=450&amp;START_MA","XIMIZED=FALSE&amp;VAR:CALENDAR=US&amp;VAR:SYMBOL=04916420&amp;VAR:INDEX=0"}</definedName>
    <definedName name="_10499__FDSAUDITLINK__" localSheetId="6" hidden="1">{"fdsup://directions/FAT Viewer?action=UPDATE&amp;creator=factset&amp;DYN_ARGS=TRUE&amp;DOC_NAME=FAT:FQL_AUDITING_CLIENT_TEMPLATE.FAT&amp;display_string=Audit&amp;VAR:KEY=XGBSHEJKNM&amp;VAR:QUERY=RkZfRUJJVERBX0lCKCdMVE1TJywzODg3MCk=&amp;WINDOW=FIRST_POPUP&amp;HEIGHT=450&amp;WIDTH=450&amp;START_MA","XIMIZED=FALSE&amp;VAR:CALENDAR=US&amp;VAR:SYMBOL=04916420&amp;VAR:INDEX=0"}</definedName>
    <definedName name="_10499__FDSAUDITLINK__" hidden="1">{"fdsup://directions/FAT Viewer?action=UPDATE&amp;creator=factset&amp;DYN_ARGS=TRUE&amp;DOC_NAME=FAT:FQL_AUDITING_CLIENT_TEMPLATE.FAT&amp;display_string=Audit&amp;VAR:KEY=XGBSHEJKNM&amp;VAR:QUERY=RkZfRUJJVERBX0lCKCdMVE1TJywzODg3MCk=&amp;WINDOW=FIRST_POPUP&amp;HEIGHT=450&amp;WIDTH=450&amp;START_MA","XIMIZED=FALSE&amp;VAR:CALENDAR=US&amp;VAR:SYMBOL=04916420&amp;VAR:INDEX=0"}</definedName>
    <definedName name="_105__FDSAUDITLINK__" localSheetId="6" hidden="1">{"fdsup://directions/FAT Viewer?action=UPDATE&amp;creator=factset&amp;DYN_ARGS=TRUE&amp;DOC_NAME=FAT:FQL_AUDITING_CLIENT_TEMPLATE.FAT&amp;display_string=Audit&amp;VAR:KEY=ETIHQFITOP&amp;VAR:QUERY=QVZHKENTRl9ORVRfSU5DKEFOTiwwRlksLTZGWSxZKSkvKEFWRyhDU0ZfQVNTRVRTKEFOTiwwRlksLTZGWSxGW","SkpLUFWRyhDU0ZfSU5UQU5HKEFOTiwwLC02RlksRlkpKSk=&amp;WINDOW=FIRST_POPUP&amp;HEIGHT=450&amp;WIDTH=450&amp;START_MAXIMIZED=FALSE&amp;VAR:CALENDAR=US&amp;VAR:SYMBOL=89278210"}</definedName>
    <definedName name="_105__FDSAUDITLINK__" hidden="1">{"fdsup://directions/FAT Viewer?action=UPDATE&amp;creator=factset&amp;DYN_ARGS=TRUE&amp;DOC_NAME=FAT:FQL_AUDITING_CLIENT_TEMPLATE.FAT&amp;display_string=Audit&amp;VAR:KEY=ETIHQFITOP&amp;VAR:QUERY=QVZHKENTRl9ORVRfSU5DKEFOTiwwRlksLTZGWSxZKSkvKEFWRyhDU0ZfQVNTRVRTKEFOTiwwRlksLTZGWSxGW","SkpLUFWRyhDU0ZfSU5UQU5HKEFOTiwwLC02RlksRlkpKSk=&amp;WINDOW=FIRST_POPUP&amp;HEIGHT=450&amp;WIDTH=450&amp;START_MAXIMIZED=FALSE&amp;VAR:CALENDAR=US&amp;VAR:SYMBOL=89278210"}</definedName>
    <definedName name="_1050__FDSAUDITLINK__" localSheetId="6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0__FDSAUDITLINK__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00__FDSAUDITLINK__" localSheetId="6" hidden="1">{"fdsup://directions/FAT Viewer?action=UPDATE&amp;creator=factset&amp;DYN_ARGS=TRUE&amp;DOC_NAME=FAT:FQL_AUDITING_CLIENT_TEMPLATE.FAT&amp;display_string=Audit&amp;VAR:KEY=PSRELWFAZG&amp;VAR:QUERY=RkZfRUJJVERBX0lCKCdMVE1TJywzODg2OSk=&amp;WINDOW=FIRST_POPUP&amp;HEIGHT=450&amp;WIDTH=450&amp;START_MA","XIMIZED=FALSE&amp;VAR:CALENDAR=US&amp;VAR:SYMBOL=04916420&amp;VAR:INDEX=0"}</definedName>
    <definedName name="_10500__FDSAUDITLINK__" hidden="1">{"fdsup://directions/FAT Viewer?action=UPDATE&amp;creator=factset&amp;DYN_ARGS=TRUE&amp;DOC_NAME=FAT:FQL_AUDITING_CLIENT_TEMPLATE.FAT&amp;display_string=Audit&amp;VAR:KEY=PSRELWFAZG&amp;VAR:QUERY=RkZfRUJJVERBX0lCKCdMVE1TJywzODg2OSk=&amp;WINDOW=FIRST_POPUP&amp;HEIGHT=450&amp;WIDTH=450&amp;START_MA","XIMIZED=FALSE&amp;VAR:CALENDAR=US&amp;VAR:SYMBOL=04916420&amp;VAR:INDEX=0"}</definedName>
    <definedName name="_10501__FDSAUDITLINK__" localSheetId="6" hidden="1">{"fdsup://directions/FAT Viewer?action=UPDATE&amp;creator=factset&amp;DYN_ARGS=TRUE&amp;DOC_NAME=FAT:FQL_AUDITING_CLIENT_TEMPLATE.FAT&amp;display_string=Audit&amp;VAR:KEY=LGTAFWVOXE&amp;VAR:QUERY=RkZfRUJJVERBX0lCKCdMVE1TJywzODg2OCk=&amp;WINDOW=FIRST_POPUP&amp;HEIGHT=450&amp;WIDTH=450&amp;START_MA","XIMIZED=FALSE&amp;VAR:CALENDAR=US&amp;VAR:SYMBOL=04916420&amp;VAR:INDEX=0"}</definedName>
    <definedName name="_10501__FDSAUDITLINK__" hidden="1">{"fdsup://directions/FAT Viewer?action=UPDATE&amp;creator=factset&amp;DYN_ARGS=TRUE&amp;DOC_NAME=FAT:FQL_AUDITING_CLIENT_TEMPLATE.FAT&amp;display_string=Audit&amp;VAR:KEY=LGTAFWVOXE&amp;VAR:QUERY=RkZfRUJJVERBX0lCKCdMVE1TJywzODg2OCk=&amp;WINDOW=FIRST_POPUP&amp;HEIGHT=450&amp;WIDTH=450&amp;START_MA","XIMIZED=FALSE&amp;VAR:CALENDAR=US&amp;VAR:SYMBOL=04916420&amp;VAR:INDEX=0"}</definedName>
    <definedName name="_10502__FDSAUDITLINK__" localSheetId="6" hidden="1">{"fdsup://directions/FAT Viewer?action=UPDATE&amp;creator=factset&amp;DYN_ARGS=TRUE&amp;DOC_NAME=FAT:FQL_AUDITING_CLIENT_TEMPLATE.FAT&amp;display_string=Audit&amp;VAR:KEY=LQTUFYHSZM&amp;VAR:QUERY=RkZfRUJJVERBX0lCKCdMVE1TJywzODg2Nyk=&amp;WINDOW=FIRST_POPUP&amp;HEIGHT=450&amp;WIDTH=450&amp;START_MA","XIMIZED=FALSE&amp;VAR:CALENDAR=US&amp;VAR:SYMBOL=04916420&amp;VAR:INDEX=0"}</definedName>
    <definedName name="_10502__FDSAUDITLINK__" hidden="1">{"fdsup://directions/FAT Viewer?action=UPDATE&amp;creator=factset&amp;DYN_ARGS=TRUE&amp;DOC_NAME=FAT:FQL_AUDITING_CLIENT_TEMPLATE.FAT&amp;display_string=Audit&amp;VAR:KEY=LQTUFYHSZM&amp;VAR:QUERY=RkZfRUJJVERBX0lCKCdMVE1TJywzODg2Nyk=&amp;WINDOW=FIRST_POPUP&amp;HEIGHT=450&amp;WIDTH=450&amp;START_MA","XIMIZED=FALSE&amp;VAR:CALENDAR=US&amp;VAR:SYMBOL=04916420&amp;VAR:INDEX=0"}</definedName>
    <definedName name="_10503__FDSAUDITLINK__" localSheetId="6" hidden="1">{"fdsup://directions/FAT Viewer?action=UPDATE&amp;creator=factset&amp;DYN_ARGS=TRUE&amp;DOC_NAME=FAT:FQL_AUDITING_CLIENT_TEMPLATE.FAT&amp;display_string=Audit&amp;VAR:KEY=FYPEXCRYPY&amp;VAR:QUERY=RkZfRUJJVERBX0lCKCdMVE1TJywzODg2Nik=&amp;WINDOW=FIRST_POPUP&amp;HEIGHT=450&amp;WIDTH=450&amp;START_MA","XIMIZED=FALSE&amp;VAR:CALENDAR=US&amp;VAR:SYMBOL=04916420&amp;VAR:INDEX=0"}</definedName>
    <definedName name="_10503__FDSAUDITLINK__" hidden="1">{"fdsup://directions/FAT Viewer?action=UPDATE&amp;creator=factset&amp;DYN_ARGS=TRUE&amp;DOC_NAME=FAT:FQL_AUDITING_CLIENT_TEMPLATE.FAT&amp;display_string=Audit&amp;VAR:KEY=FYPEXCRYPY&amp;VAR:QUERY=RkZfRUJJVERBX0lCKCdMVE1TJywzODg2Nik=&amp;WINDOW=FIRST_POPUP&amp;HEIGHT=450&amp;WIDTH=450&amp;START_MA","XIMIZED=FALSE&amp;VAR:CALENDAR=US&amp;VAR:SYMBOL=04916420&amp;VAR:INDEX=0"}</definedName>
    <definedName name="_10504__FDSAUDITLINK__" localSheetId="6" hidden="1">{"fdsup://directions/FAT Viewer?action=UPDATE&amp;creator=factset&amp;DYN_ARGS=TRUE&amp;DOC_NAME=FAT:FQL_AUDITING_CLIENT_TEMPLATE.FAT&amp;display_string=Audit&amp;VAR:KEY=DYFUZMRYNK&amp;VAR:QUERY=RkZfRUJJVERBX0lCKCdMVE1TJywzODg2NSk=&amp;WINDOW=FIRST_POPUP&amp;HEIGHT=450&amp;WIDTH=450&amp;START_MA","XIMIZED=FALSE&amp;VAR:CALENDAR=US&amp;VAR:SYMBOL=04916420&amp;VAR:INDEX=0"}</definedName>
    <definedName name="_10504__FDSAUDITLINK__" hidden="1">{"fdsup://directions/FAT Viewer?action=UPDATE&amp;creator=factset&amp;DYN_ARGS=TRUE&amp;DOC_NAME=FAT:FQL_AUDITING_CLIENT_TEMPLATE.FAT&amp;display_string=Audit&amp;VAR:KEY=DYFUZMRYNK&amp;VAR:QUERY=RkZfRUJJVERBX0lCKCdMVE1TJywzODg2NSk=&amp;WINDOW=FIRST_POPUP&amp;HEIGHT=450&amp;WIDTH=450&amp;START_MA","XIMIZED=FALSE&amp;VAR:CALENDAR=US&amp;VAR:SYMBOL=04916420&amp;VAR:INDEX=0"}</definedName>
    <definedName name="_10505__FDSAUDITLINK__" localSheetId="6" hidden="1">{"fdsup://directions/FAT Viewer?action=UPDATE&amp;creator=factset&amp;DYN_ARGS=TRUE&amp;DOC_NAME=FAT:FQL_AUDITING_CLIENT_TEMPLATE.FAT&amp;display_string=Audit&amp;VAR:KEY=FANQJQXOPK&amp;VAR:QUERY=RkZfRUJJVERBX0lCKCdMVE1TJywzODg2NCk=&amp;WINDOW=FIRST_POPUP&amp;HEIGHT=450&amp;WIDTH=450&amp;START_MA","XIMIZED=FALSE&amp;VAR:CALENDAR=US&amp;VAR:SYMBOL=04916420&amp;VAR:INDEX=0"}</definedName>
    <definedName name="_10505__FDSAUDITLINK__" hidden="1">{"fdsup://directions/FAT Viewer?action=UPDATE&amp;creator=factset&amp;DYN_ARGS=TRUE&amp;DOC_NAME=FAT:FQL_AUDITING_CLIENT_TEMPLATE.FAT&amp;display_string=Audit&amp;VAR:KEY=FANQJQXOPK&amp;VAR:QUERY=RkZfRUJJVERBX0lCKCdMVE1TJywzODg2NCk=&amp;WINDOW=FIRST_POPUP&amp;HEIGHT=450&amp;WIDTH=450&amp;START_MA","XIMIZED=FALSE&amp;VAR:CALENDAR=US&amp;VAR:SYMBOL=04916420&amp;VAR:INDEX=0"}</definedName>
    <definedName name="_10506__FDSAUDITLINK__" localSheetId="6" hidden="1">{"fdsup://directions/FAT Viewer?action=UPDATE&amp;creator=factset&amp;DYN_ARGS=TRUE&amp;DOC_NAME=FAT:FQL_AUDITING_CLIENT_TEMPLATE.FAT&amp;display_string=Audit&amp;VAR:KEY=HSNGTSZGZA&amp;VAR:QUERY=RkZfRUJJVERBX0lCKCdMVE1TJywzODg2Myk=&amp;WINDOW=FIRST_POPUP&amp;HEIGHT=450&amp;WIDTH=450&amp;START_MA","XIMIZED=FALSE&amp;VAR:CALENDAR=US&amp;VAR:SYMBOL=04916420&amp;VAR:INDEX=0"}</definedName>
    <definedName name="_10506__FDSAUDITLINK__" hidden="1">{"fdsup://directions/FAT Viewer?action=UPDATE&amp;creator=factset&amp;DYN_ARGS=TRUE&amp;DOC_NAME=FAT:FQL_AUDITING_CLIENT_TEMPLATE.FAT&amp;display_string=Audit&amp;VAR:KEY=HSNGTSZGZA&amp;VAR:QUERY=RkZfRUJJVERBX0lCKCdMVE1TJywzODg2Myk=&amp;WINDOW=FIRST_POPUP&amp;HEIGHT=450&amp;WIDTH=450&amp;START_MA","XIMIZED=FALSE&amp;VAR:CALENDAR=US&amp;VAR:SYMBOL=04916420&amp;VAR:INDEX=0"}</definedName>
    <definedName name="_10507__FDSAUDITLINK__" localSheetId="6" hidden="1">{"fdsup://directions/FAT Viewer?action=UPDATE&amp;creator=factset&amp;DYN_ARGS=TRUE&amp;DOC_NAME=FAT:FQL_AUDITING_CLIENT_TEMPLATE.FAT&amp;display_string=Audit&amp;VAR:KEY=HYTAVETAFI&amp;VAR:QUERY=RkZfRUJJVERBX0lCKCdMVE1TJywzODg2Mik=&amp;WINDOW=FIRST_POPUP&amp;HEIGHT=450&amp;WIDTH=450&amp;START_MA","XIMIZED=FALSE&amp;VAR:CALENDAR=US&amp;VAR:SYMBOL=04916420&amp;VAR:INDEX=0"}</definedName>
    <definedName name="_10507__FDSAUDITLINK__" hidden="1">{"fdsup://directions/FAT Viewer?action=UPDATE&amp;creator=factset&amp;DYN_ARGS=TRUE&amp;DOC_NAME=FAT:FQL_AUDITING_CLIENT_TEMPLATE.FAT&amp;display_string=Audit&amp;VAR:KEY=HYTAVETAFI&amp;VAR:QUERY=RkZfRUJJVERBX0lCKCdMVE1TJywzODg2Mik=&amp;WINDOW=FIRST_POPUP&amp;HEIGHT=450&amp;WIDTH=450&amp;START_MA","XIMIZED=FALSE&amp;VAR:CALENDAR=US&amp;VAR:SYMBOL=04916420&amp;VAR:INDEX=0"}</definedName>
    <definedName name="_10508__FDSAUDITLINK__" localSheetId="6" hidden="1">{"fdsup://directions/FAT Viewer?action=UPDATE&amp;creator=factset&amp;DYN_ARGS=TRUE&amp;DOC_NAME=FAT:FQL_AUDITING_CLIENT_TEMPLATE.FAT&amp;display_string=Audit&amp;VAR:KEY=LSZYDYFIXI&amp;VAR:QUERY=RkZfRUJJVERBX0lCKCdMVE1TJywzODg2MSk=&amp;WINDOW=FIRST_POPUP&amp;HEIGHT=450&amp;WIDTH=450&amp;START_MA","XIMIZED=FALSE&amp;VAR:CALENDAR=US&amp;VAR:SYMBOL=04916420&amp;VAR:INDEX=0"}</definedName>
    <definedName name="_10508__FDSAUDITLINK__" hidden="1">{"fdsup://directions/FAT Viewer?action=UPDATE&amp;creator=factset&amp;DYN_ARGS=TRUE&amp;DOC_NAME=FAT:FQL_AUDITING_CLIENT_TEMPLATE.FAT&amp;display_string=Audit&amp;VAR:KEY=LSZYDYFIXI&amp;VAR:QUERY=RkZfRUJJVERBX0lCKCdMVE1TJywzODg2MSk=&amp;WINDOW=FIRST_POPUP&amp;HEIGHT=450&amp;WIDTH=450&amp;START_MA","XIMIZED=FALSE&amp;VAR:CALENDAR=US&amp;VAR:SYMBOL=04916420&amp;VAR:INDEX=0"}</definedName>
    <definedName name="_10509__FDSAUDITLINK__" localSheetId="6" hidden="1">{"fdsup://directions/FAT Viewer?action=UPDATE&amp;creator=factset&amp;DYN_ARGS=TRUE&amp;DOC_NAME=FAT:FQL_AUDITING_CLIENT_TEMPLATE.FAT&amp;display_string=Audit&amp;VAR:KEY=TAVCRGRWXK&amp;VAR:QUERY=RkZfRUJJVERBX0lCKCdMVE1TJywzODg2MCk=&amp;WINDOW=FIRST_POPUP&amp;HEIGHT=450&amp;WIDTH=450&amp;START_MA","XIMIZED=FALSE&amp;VAR:CALENDAR=US&amp;VAR:SYMBOL=04916420&amp;VAR:INDEX=0"}</definedName>
    <definedName name="_10509__FDSAUDITLINK__" hidden="1">{"fdsup://directions/FAT Viewer?action=UPDATE&amp;creator=factset&amp;DYN_ARGS=TRUE&amp;DOC_NAME=FAT:FQL_AUDITING_CLIENT_TEMPLATE.FAT&amp;display_string=Audit&amp;VAR:KEY=TAVCRGRWXK&amp;VAR:QUERY=RkZfRUJJVERBX0lCKCdMVE1TJywzODg2MCk=&amp;WINDOW=FIRST_POPUP&amp;HEIGHT=450&amp;WIDTH=450&amp;START_MA","XIMIZED=FALSE&amp;VAR:CALENDAR=US&amp;VAR:SYMBOL=04916420&amp;VAR:INDEX=0"}</definedName>
    <definedName name="_1051__FDSAUDITLINK__" localSheetId="6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1__FDSAUDITLINK__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10__FDSAUDITLINK__" localSheetId="6" hidden="1">{"fdsup://directions/FAT Viewer?action=UPDATE&amp;creator=factset&amp;DYN_ARGS=TRUE&amp;DOC_NAME=FAT:FQL_AUDITING_CLIENT_TEMPLATE.FAT&amp;display_string=Audit&amp;VAR:KEY=RGNMTYZWLQ&amp;VAR:QUERY=RkZfRUJJVERBX0lCKCdMVE1TJywzODg1OSk=&amp;WINDOW=FIRST_POPUP&amp;HEIGHT=450&amp;WIDTH=450&amp;START_MA","XIMIZED=FALSE&amp;VAR:CALENDAR=US&amp;VAR:SYMBOL=04916420&amp;VAR:INDEX=0"}</definedName>
    <definedName name="_10510__FDSAUDITLINK__" hidden="1">{"fdsup://directions/FAT Viewer?action=UPDATE&amp;creator=factset&amp;DYN_ARGS=TRUE&amp;DOC_NAME=FAT:FQL_AUDITING_CLIENT_TEMPLATE.FAT&amp;display_string=Audit&amp;VAR:KEY=RGNMTYZWLQ&amp;VAR:QUERY=RkZfRUJJVERBX0lCKCdMVE1TJywzODg1OSk=&amp;WINDOW=FIRST_POPUP&amp;HEIGHT=450&amp;WIDTH=450&amp;START_MA","XIMIZED=FALSE&amp;VAR:CALENDAR=US&amp;VAR:SYMBOL=04916420&amp;VAR:INDEX=0"}</definedName>
    <definedName name="_10511__FDSAUDITLINK__" localSheetId="6" hidden="1">{"fdsup://directions/FAT Viewer?action=UPDATE&amp;creator=factset&amp;DYN_ARGS=TRUE&amp;DOC_NAME=FAT:FQL_AUDITING_CLIENT_TEMPLATE.FAT&amp;display_string=Audit&amp;VAR:KEY=ZWLOPIDGNK&amp;VAR:QUERY=RkZfRUJJVERBX0lCKCdMVE1TJywzODg1OCk=&amp;WINDOW=FIRST_POPUP&amp;HEIGHT=450&amp;WIDTH=450&amp;START_MA","XIMIZED=FALSE&amp;VAR:CALENDAR=US&amp;VAR:SYMBOL=04916420&amp;VAR:INDEX=0"}</definedName>
    <definedName name="_10511__FDSAUDITLINK__" hidden="1">{"fdsup://directions/FAT Viewer?action=UPDATE&amp;creator=factset&amp;DYN_ARGS=TRUE&amp;DOC_NAME=FAT:FQL_AUDITING_CLIENT_TEMPLATE.FAT&amp;display_string=Audit&amp;VAR:KEY=ZWLOPIDGNK&amp;VAR:QUERY=RkZfRUJJVERBX0lCKCdMVE1TJywzODg1OCk=&amp;WINDOW=FIRST_POPUP&amp;HEIGHT=450&amp;WIDTH=450&amp;START_MA","XIMIZED=FALSE&amp;VAR:CALENDAR=US&amp;VAR:SYMBOL=04916420&amp;VAR:INDEX=0"}</definedName>
    <definedName name="_10512__FDSAUDITLINK__" localSheetId="6" hidden="1">{"fdsup://directions/FAT Viewer?action=UPDATE&amp;creator=factset&amp;DYN_ARGS=TRUE&amp;DOC_NAME=FAT:FQL_AUDITING_CLIENT_TEMPLATE.FAT&amp;display_string=Audit&amp;VAR:KEY=VQBEPKXWPQ&amp;VAR:QUERY=RkZfRUJJVERBX0lCKCdMVE1TJywzODg1Nyk=&amp;WINDOW=FIRST_POPUP&amp;HEIGHT=450&amp;WIDTH=450&amp;START_MA","XIMIZED=FALSE&amp;VAR:CALENDAR=US&amp;VAR:SYMBOL=04916420&amp;VAR:INDEX=0"}</definedName>
    <definedName name="_10512__FDSAUDITLINK__" hidden="1">{"fdsup://directions/FAT Viewer?action=UPDATE&amp;creator=factset&amp;DYN_ARGS=TRUE&amp;DOC_NAME=FAT:FQL_AUDITING_CLIENT_TEMPLATE.FAT&amp;display_string=Audit&amp;VAR:KEY=VQBEPKXWPQ&amp;VAR:QUERY=RkZfRUJJVERBX0lCKCdMVE1TJywzODg1Nyk=&amp;WINDOW=FIRST_POPUP&amp;HEIGHT=450&amp;WIDTH=450&amp;START_MA","XIMIZED=FALSE&amp;VAR:CALENDAR=US&amp;VAR:SYMBOL=04916420&amp;VAR:INDEX=0"}</definedName>
    <definedName name="_10513__FDSAUDITLINK__" localSheetId="6" hidden="1">{"fdsup://directions/FAT Viewer?action=UPDATE&amp;creator=factset&amp;DYN_ARGS=TRUE&amp;DOC_NAME=FAT:FQL_AUDITING_CLIENT_TEMPLATE.FAT&amp;display_string=Audit&amp;VAR:KEY=NONIBSPCHE&amp;VAR:QUERY=RkZfRUJJVERBX0lCKCdMVE1TJywzODg1Nik=&amp;WINDOW=FIRST_POPUP&amp;HEIGHT=450&amp;WIDTH=450&amp;START_MA","XIMIZED=FALSE&amp;VAR:CALENDAR=US&amp;VAR:SYMBOL=04916420&amp;VAR:INDEX=0"}</definedName>
    <definedName name="_10513__FDSAUDITLINK__" hidden="1">{"fdsup://directions/FAT Viewer?action=UPDATE&amp;creator=factset&amp;DYN_ARGS=TRUE&amp;DOC_NAME=FAT:FQL_AUDITING_CLIENT_TEMPLATE.FAT&amp;display_string=Audit&amp;VAR:KEY=NONIBSPCHE&amp;VAR:QUERY=RkZfRUJJVERBX0lCKCdMVE1TJywzODg1Nik=&amp;WINDOW=FIRST_POPUP&amp;HEIGHT=450&amp;WIDTH=450&amp;START_MA","XIMIZED=FALSE&amp;VAR:CALENDAR=US&amp;VAR:SYMBOL=04916420&amp;VAR:INDEX=0"}</definedName>
    <definedName name="_10514__FDSAUDITLINK__" localSheetId="6" hidden="1">{"fdsup://directions/FAT Viewer?action=UPDATE&amp;creator=factset&amp;DYN_ARGS=TRUE&amp;DOC_NAME=FAT:FQL_AUDITING_CLIENT_TEMPLATE.FAT&amp;display_string=Audit&amp;VAR:KEY=ZQFEDYHCHS&amp;VAR:QUERY=RkZfRUJJVERBX0lCKCdMVE1TJywzODg1NSk=&amp;WINDOW=FIRST_POPUP&amp;HEIGHT=450&amp;WIDTH=450&amp;START_MA","XIMIZED=FALSE&amp;VAR:CALENDAR=US&amp;VAR:SYMBOL=04916420&amp;VAR:INDEX=0"}</definedName>
    <definedName name="_10514__FDSAUDITLINK__" hidden="1">{"fdsup://directions/FAT Viewer?action=UPDATE&amp;creator=factset&amp;DYN_ARGS=TRUE&amp;DOC_NAME=FAT:FQL_AUDITING_CLIENT_TEMPLATE.FAT&amp;display_string=Audit&amp;VAR:KEY=ZQFEDYHCHS&amp;VAR:QUERY=RkZfRUJJVERBX0lCKCdMVE1TJywzODg1NSk=&amp;WINDOW=FIRST_POPUP&amp;HEIGHT=450&amp;WIDTH=450&amp;START_MA","XIMIZED=FALSE&amp;VAR:CALENDAR=US&amp;VAR:SYMBOL=04916420&amp;VAR:INDEX=0"}</definedName>
    <definedName name="_10515__FDSAUDITLINK__" localSheetId="6" hidden="1">{"fdsup://directions/FAT Viewer?action=UPDATE&amp;creator=factset&amp;DYN_ARGS=TRUE&amp;DOC_NAME=FAT:FQL_AUDITING_CLIENT_TEMPLATE.FAT&amp;display_string=Audit&amp;VAR:KEY=RUFEJUJMLE&amp;VAR:QUERY=RkZfRUJJVERBX0lCKCdMVE1TJywzODg1NCk=&amp;WINDOW=FIRST_POPUP&amp;HEIGHT=450&amp;WIDTH=450&amp;START_MA","XIMIZED=FALSE&amp;VAR:CALENDAR=US&amp;VAR:SYMBOL=04916420&amp;VAR:INDEX=0"}</definedName>
    <definedName name="_10515__FDSAUDITLINK__" hidden="1">{"fdsup://directions/FAT Viewer?action=UPDATE&amp;creator=factset&amp;DYN_ARGS=TRUE&amp;DOC_NAME=FAT:FQL_AUDITING_CLIENT_TEMPLATE.FAT&amp;display_string=Audit&amp;VAR:KEY=RUFEJUJMLE&amp;VAR:QUERY=RkZfRUJJVERBX0lCKCdMVE1TJywzODg1NCk=&amp;WINDOW=FIRST_POPUP&amp;HEIGHT=450&amp;WIDTH=450&amp;START_MA","XIMIZED=FALSE&amp;VAR:CALENDAR=US&amp;VAR:SYMBOL=04916420&amp;VAR:INDEX=0"}</definedName>
    <definedName name="_10516__FDSAUDITLINK__" localSheetId="6" hidden="1">{"fdsup://directions/FAT Viewer?action=UPDATE&amp;creator=factset&amp;DYN_ARGS=TRUE&amp;DOC_NAME=FAT:FQL_AUDITING_CLIENT_TEMPLATE.FAT&amp;display_string=Audit&amp;VAR:KEY=RORKFQJYDC&amp;VAR:QUERY=RkZfRUJJVERBX0lCKCdMVE1TJywzODg1Myk=&amp;WINDOW=FIRST_POPUP&amp;HEIGHT=450&amp;WIDTH=450&amp;START_MA","XIMIZED=FALSE&amp;VAR:CALENDAR=US&amp;VAR:SYMBOL=04916420&amp;VAR:INDEX=0"}</definedName>
    <definedName name="_10516__FDSAUDITLINK__" hidden="1">{"fdsup://directions/FAT Viewer?action=UPDATE&amp;creator=factset&amp;DYN_ARGS=TRUE&amp;DOC_NAME=FAT:FQL_AUDITING_CLIENT_TEMPLATE.FAT&amp;display_string=Audit&amp;VAR:KEY=RORKFQJYDC&amp;VAR:QUERY=RkZfRUJJVERBX0lCKCdMVE1TJywzODg1Myk=&amp;WINDOW=FIRST_POPUP&amp;HEIGHT=450&amp;WIDTH=450&amp;START_MA","XIMIZED=FALSE&amp;VAR:CALENDAR=US&amp;VAR:SYMBOL=04916420&amp;VAR:INDEX=0"}</definedName>
    <definedName name="_10517__FDSAUDITLINK__" localSheetId="6" hidden="1">{"fdsup://directions/FAT Viewer?action=UPDATE&amp;creator=factset&amp;DYN_ARGS=TRUE&amp;DOC_NAME=FAT:FQL_AUDITING_CLIENT_TEMPLATE.FAT&amp;display_string=Audit&amp;VAR:KEY=FWBKNGFCRY&amp;VAR:QUERY=RkZfRUJJVERBX0lCKCdMVE1TJywzODg1Mik=&amp;WINDOW=FIRST_POPUP&amp;HEIGHT=450&amp;WIDTH=450&amp;START_MA","XIMIZED=FALSE&amp;VAR:CALENDAR=US&amp;VAR:SYMBOL=04916420&amp;VAR:INDEX=0"}</definedName>
    <definedName name="_10517__FDSAUDITLINK__" hidden="1">{"fdsup://directions/FAT Viewer?action=UPDATE&amp;creator=factset&amp;DYN_ARGS=TRUE&amp;DOC_NAME=FAT:FQL_AUDITING_CLIENT_TEMPLATE.FAT&amp;display_string=Audit&amp;VAR:KEY=FWBKNGFCRY&amp;VAR:QUERY=RkZfRUJJVERBX0lCKCdMVE1TJywzODg1Mik=&amp;WINDOW=FIRST_POPUP&amp;HEIGHT=450&amp;WIDTH=450&amp;START_MA","XIMIZED=FALSE&amp;VAR:CALENDAR=US&amp;VAR:SYMBOL=04916420&amp;VAR:INDEX=0"}</definedName>
    <definedName name="_10518__FDSAUDITLINK__" localSheetId="6" hidden="1">{"fdsup://directions/FAT Viewer?action=UPDATE&amp;creator=factset&amp;DYN_ARGS=TRUE&amp;DOC_NAME=FAT:FQL_AUDITING_CLIENT_TEMPLATE.FAT&amp;display_string=Audit&amp;VAR:KEY=HQNEJSFEJA&amp;VAR:QUERY=RkZfRUJJVERBX0lCKCdMVE1TJywzODg1MSk=&amp;WINDOW=FIRST_POPUP&amp;HEIGHT=450&amp;WIDTH=450&amp;START_MA","XIMIZED=FALSE&amp;VAR:CALENDAR=US&amp;VAR:SYMBOL=04916420&amp;VAR:INDEX=0"}</definedName>
    <definedName name="_10518__FDSAUDITLINK__" hidden="1">{"fdsup://directions/FAT Viewer?action=UPDATE&amp;creator=factset&amp;DYN_ARGS=TRUE&amp;DOC_NAME=FAT:FQL_AUDITING_CLIENT_TEMPLATE.FAT&amp;display_string=Audit&amp;VAR:KEY=HQNEJSFEJA&amp;VAR:QUERY=RkZfRUJJVERBX0lCKCdMVE1TJywzODg1MSk=&amp;WINDOW=FIRST_POPUP&amp;HEIGHT=450&amp;WIDTH=450&amp;START_MA","XIMIZED=FALSE&amp;VAR:CALENDAR=US&amp;VAR:SYMBOL=04916420&amp;VAR:INDEX=0"}</definedName>
    <definedName name="_10519__FDSAUDITLINK__" localSheetId="6" hidden="1">{"fdsup://directions/FAT Viewer?action=UPDATE&amp;creator=factset&amp;DYN_ARGS=TRUE&amp;DOC_NAME=FAT:FQL_AUDITING_CLIENT_TEMPLATE.FAT&amp;display_string=Audit&amp;VAR:KEY=FGTINODWFY&amp;VAR:QUERY=RkZfRUJJVERBX0lCKCdMVE1TJywzODg1MCk=&amp;WINDOW=FIRST_POPUP&amp;HEIGHT=450&amp;WIDTH=450&amp;START_MA","XIMIZED=FALSE&amp;VAR:CALENDAR=US&amp;VAR:SYMBOL=04916420&amp;VAR:INDEX=0"}</definedName>
    <definedName name="_10519__FDSAUDITLINK__" hidden="1">{"fdsup://directions/FAT Viewer?action=UPDATE&amp;creator=factset&amp;DYN_ARGS=TRUE&amp;DOC_NAME=FAT:FQL_AUDITING_CLIENT_TEMPLATE.FAT&amp;display_string=Audit&amp;VAR:KEY=FGTINODWFY&amp;VAR:QUERY=RkZfRUJJVERBX0lCKCdMVE1TJywzODg1MCk=&amp;WINDOW=FIRST_POPUP&amp;HEIGHT=450&amp;WIDTH=450&amp;START_MA","XIMIZED=FALSE&amp;VAR:CALENDAR=US&amp;VAR:SYMBOL=04916420&amp;VAR:INDEX=0"}</definedName>
    <definedName name="_1052__FDSAUDITLINK__" localSheetId="6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2__FDSAUDITLINK__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20__FDSAUDITLINK__" localSheetId="6" hidden="1">{"fdsup://directions/FAT Viewer?action=UPDATE&amp;creator=factset&amp;DYN_ARGS=TRUE&amp;DOC_NAME=FAT:FQL_AUDITING_CLIENT_TEMPLATE.FAT&amp;display_string=Audit&amp;VAR:KEY=FEVIBINKRS&amp;VAR:QUERY=RkZfRUJJVERBX0lCKCdMVE1TJywzODg0OSk=&amp;WINDOW=FIRST_POPUP&amp;HEIGHT=450&amp;WIDTH=450&amp;START_MA","XIMIZED=FALSE&amp;VAR:CALENDAR=US&amp;VAR:SYMBOL=04916420&amp;VAR:INDEX=0"}</definedName>
    <definedName name="_10520__FDSAUDITLINK__" hidden="1">{"fdsup://directions/FAT Viewer?action=UPDATE&amp;creator=factset&amp;DYN_ARGS=TRUE&amp;DOC_NAME=FAT:FQL_AUDITING_CLIENT_TEMPLATE.FAT&amp;display_string=Audit&amp;VAR:KEY=FEVIBINKRS&amp;VAR:QUERY=RkZfRUJJVERBX0lCKCdMVE1TJywzODg0OSk=&amp;WINDOW=FIRST_POPUP&amp;HEIGHT=450&amp;WIDTH=450&amp;START_MA","XIMIZED=FALSE&amp;VAR:CALENDAR=US&amp;VAR:SYMBOL=04916420&amp;VAR:INDEX=0"}</definedName>
    <definedName name="_10521__FDSAUDITLINK__" localSheetId="6" hidden="1">{"fdsup://directions/FAT Viewer?action=UPDATE&amp;creator=factset&amp;DYN_ARGS=TRUE&amp;DOC_NAME=FAT:FQL_AUDITING_CLIENT_TEMPLATE.FAT&amp;display_string=Audit&amp;VAR:KEY=FKDGHUTKHQ&amp;VAR:QUERY=RkZfRUJJVERBX0lCKCdMVE1TJywzODg0OCk=&amp;WINDOW=FIRST_POPUP&amp;HEIGHT=450&amp;WIDTH=450&amp;START_MA","XIMIZED=FALSE&amp;VAR:CALENDAR=US&amp;VAR:SYMBOL=04916420&amp;VAR:INDEX=0"}</definedName>
    <definedName name="_10521__FDSAUDITLINK__" hidden="1">{"fdsup://directions/FAT Viewer?action=UPDATE&amp;creator=factset&amp;DYN_ARGS=TRUE&amp;DOC_NAME=FAT:FQL_AUDITING_CLIENT_TEMPLATE.FAT&amp;display_string=Audit&amp;VAR:KEY=FKDGHUTKHQ&amp;VAR:QUERY=RkZfRUJJVERBX0lCKCdMVE1TJywzODg0OCk=&amp;WINDOW=FIRST_POPUP&amp;HEIGHT=450&amp;WIDTH=450&amp;START_MA","XIMIZED=FALSE&amp;VAR:CALENDAR=US&amp;VAR:SYMBOL=04916420&amp;VAR:INDEX=0"}</definedName>
    <definedName name="_10522__FDSAUDITLINK__" localSheetId="6" hidden="1">{"fdsup://directions/FAT Viewer?action=UPDATE&amp;creator=factset&amp;DYN_ARGS=TRUE&amp;DOC_NAME=FAT:FQL_AUDITING_CLIENT_TEMPLATE.FAT&amp;display_string=Audit&amp;VAR:KEY=HSROFIPQNI&amp;VAR:QUERY=RkZfRUJJVERBX0lCKCdMVE1TJywzODg0Nyk=&amp;WINDOW=FIRST_POPUP&amp;HEIGHT=450&amp;WIDTH=450&amp;START_MA","XIMIZED=FALSE&amp;VAR:CALENDAR=US&amp;VAR:SYMBOL=04916420&amp;VAR:INDEX=0"}</definedName>
    <definedName name="_10522__FDSAUDITLINK__" hidden="1">{"fdsup://directions/FAT Viewer?action=UPDATE&amp;creator=factset&amp;DYN_ARGS=TRUE&amp;DOC_NAME=FAT:FQL_AUDITING_CLIENT_TEMPLATE.FAT&amp;display_string=Audit&amp;VAR:KEY=HSROFIPQNI&amp;VAR:QUERY=RkZfRUJJVERBX0lCKCdMVE1TJywzODg0Nyk=&amp;WINDOW=FIRST_POPUP&amp;HEIGHT=450&amp;WIDTH=450&amp;START_MA","XIMIZED=FALSE&amp;VAR:CALENDAR=US&amp;VAR:SYMBOL=04916420&amp;VAR:INDEX=0"}</definedName>
    <definedName name="_10523__FDSAUDITLINK__" localSheetId="6" hidden="1">{"fdsup://directions/FAT Viewer?action=UPDATE&amp;creator=factset&amp;DYN_ARGS=TRUE&amp;DOC_NAME=FAT:FQL_AUDITING_CLIENT_TEMPLATE.FAT&amp;display_string=Audit&amp;VAR:KEY=JEJCFUDSHG&amp;VAR:QUERY=RkZfRUJJVERBX0lCKCdMVE1TJywzODg0Nik=&amp;WINDOW=FIRST_POPUP&amp;HEIGHT=450&amp;WIDTH=450&amp;START_MA","XIMIZED=FALSE&amp;VAR:CALENDAR=US&amp;VAR:SYMBOL=04916420&amp;VAR:INDEX=0"}</definedName>
    <definedName name="_10523__FDSAUDITLINK__" hidden="1">{"fdsup://directions/FAT Viewer?action=UPDATE&amp;creator=factset&amp;DYN_ARGS=TRUE&amp;DOC_NAME=FAT:FQL_AUDITING_CLIENT_TEMPLATE.FAT&amp;display_string=Audit&amp;VAR:KEY=JEJCFUDSHG&amp;VAR:QUERY=RkZfRUJJVERBX0lCKCdMVE1TJywzODg0Nik=&amp;WINDOW=FIRST_POPUP&amp;HEIGHT=450&amp;WIDTH=450&amp;START_MA","XIMIZED=FALSE&amp;VAR:CALENDAR=US&amp;VAR:SYMBOL=04916420&amp;VAR:INDEX=0"}</definedName>
    <definedName name="_10524__FDSAUDITLINK__" localSheetId="6" hidden="1">{"fdsup://directions/FAT Viewer?action=UPDATE&amp;creator=factset&amp;DYN_ARGS=TRUE&amp;DOC_NAME=FAT:FQL_AUDITING_CLIENT_TEMPLATE.FAT&amp;display_string=Audit&amp;VAR:KEY=JQRQVEFWJK&amp;VAR:QUERY=RkZfRUJJVERBX0lCKCdMVE1TJywzODg0NSk=&amp;WINDOW=FIRST_POPUP&amp;HEIGHT=450&amp;WIDTH=450&amp;START_MA","XIMIZED=FALSE&amp;VAR:CALENDAR=US&amp;VAR:SYMBOL=04916420&amp;VAR:INDEX=0"}</definedName>
    <definedName name="_10524__FDSAUDITLINK__" hidden="1">{"fdsup://directions/FAT Viewer?action=UPDATE&amp;creator=factset&amp;DYN_ARGS=TRUE&amp;DOC_NAME=FAT:FQL_AUDITING_CLIENT_TEMPLATE.FAT&amp;display_string=Audit&amp;VAR:KEY=JQRQVEFWJK&amp;VAR:QUERY=RkZfRUJJVERBX0lCKCdMVE1TJywzODg0NSk=&amp;WINDOW=FIRST_POPUP&amp;HEIGHT=450&amp;WIDTH=450&amp;START_MA","XIMIZED=FALSE&amp;VAR:CALENDAR=US&amp;VAR:SYMBOL=04916420&amp;VAR:INDEX=0"}</definedName>
    <definedName name="_10525__FDSAUDITLINK__" localSheetId="6" hidden="1">{"fdsup://directions/FAT Viewer?action=UPDATE&amp;creator=factset&amp;DYN_ARGS=TRUE&amp;DOC_NAME=FAT:FQL_AUDITING_CLIENT_TEMPLATE.FAT&amp;display_string=Audit&amp;VAR:KEY=NMHCBGFWPE&amp;VAR:QUERY=RkZfRUJJVERBX0lCKCdMVE1TJywzODg0NCk=&amp;WINDOW=FIRST_POPUP&amp;HEIGHT=450&amp;WIDTH=450&amp;START_MA","XIMIZED=FALSE&amp;VAR:CALENDAR=US&amp;VAR:SYMBOL=04916420&amp;VAR:INDEX=0"}</definedName>
    <definedName name="_10525__FDSAUDITLINK__" hidden="1">{"fdsup://directions/FAT Viewer?action=UPDATE&amp;creator=factset&amp;DYN_ARGS=TRUE&amp;DOC_NAME=FAT:FQL_AUDITING_CLIENT_TEMPLATE.FAT&amp;display_string=Audit&amp;VAR:KEY=NMHCBGFWPE&amp;VAR:QUERY=RkZfRUJJVERBX0lCKCdMVE1TJywzODg0NCk=&amp;WINDOW=FIRST_POPUP&amp;HEIGHT=450&amp;WIDTH=450&amp;START_MA","XIMIZED=FALSE&amp;VAR:CALENDAR=US&amp;VAR:SYMBOL=04916420&amp;VAR:INDEX=0"}</definedName>
    <definedName name="_10526__FDSAUDITLINK__" localSheetId="6" hidden="1">{"fdsup://directions/FAT Viewer?action=UPDATE&amp;creator=factset&amp;DYN_ARGS=TRUE&amp;DOC_NAME=FAT:FQL_AUDITING_CLIENT_TEMPLATE.FAT&amp;display_string=Audit&amp;VAR:KEY=PGFENKNKFO&amp;VAR:QUERY=RkZfRUJJVERBX0lCKCdMVE1TJywzODg0Myk=&amp;WINDOW=FIRST_POPUP&amp;HEIGHT=450&amp;WIDTH=450&amp;START_MA","XIMIZED=FALSE&amp;VAR:CALENDAR=US&amp;VAR:SYMBOL=04916420&amp;VAR:INDEX=0"}</definedName>
    <definedName name="_10526__FDSAUDITLINK__" hidden="1">{"fdsup://directions/FAT Viewer?action=UPDATE&amp;creator=factset&amp;DYN_ARGS=TRUE&amp;DOC_NAME=FAT:FQL_AUDITING_CLIENT_TEMPLATE.FAT&amp;display_string=Audit&amp;VAR:KEY=PGFENKNKFO&amp;VAR:QUERY=RkZfRUJJVERBX0lCKCdMVE1TJywzODg0Myk=&amp;WINDOW=FIRST_POPUP&amp;HEIGHT=450&amp;WIDTH=450&amp;START_MA","XIMIZED=FALSE&amp;VAR:CALENDAR=US&amp;VAR:SYMBOL=04916420&amp;VAR:INDEX=0"}</definedName>
    <definedName name="_10527__FDSAUDITLINK__" localSheetId="6" hidden="1">{"fdsup://directions/FAT Viewer?action=UPDATE&amp;creator=factset&amp;DYN_ARGS=TRUE&amp;DOC_NAME=FAT:FQL_AUDITING_CLIENT_TEMPLATE.FAT&amp;display_string=Audit&amp;VAR:KEY=DQZQRILQRU&amp;VAR:QUERY=RkZfRUJJVERBX0lCKCdMVE1TJywzODg0Mik=&amp;WINDOW=FIRST_POPUP&amp;HEIGHT=450&amp;WIDTH=450&amp;START_MA","XIMIZED=FALSE&amp;VAR:CALENDAR=US&amp;VAR:SYMBOL=04916420&amp;VAR:INDEX=0"}</definedName>
    <definedName name="_10527__FDSAUDITLINK__" hidden="1">{"fdsup://directions/FAT Viewer?action=UPDATE&amp;creator=factset&amp;DYN_ARGS=TRUE&amp;DOC_NAME=FAT:FQL_AUDITING_CLIENT_TEMPLATE.FAT&amp;display_string=Audit&amp;VAR:KEY=DQZQRILQRU&amp;VAR:QUERY=RkZfRUJJVERBX0lCKCdMVE1TJywzODg0Mik=&amp;WINDOW=FIRST_POPUP&amp;HEIGHT=450&amp;WIDTH=450&amp;START_MA","XIMIZED=FALSE&amp;VAR:CALENDAR=US&amp;VAR:SYMBOL=04916420&amp;VAR:INDEX=0"}</definedName>
    <definedName name="_10528__FDSAUDITLINK__" localSheetId="6" hidden="1">{"fdsup://directions/FAT Viewer?action=UPDATE&amp;creator=factset&amp;DYN_ARGS=TRUE&amp;DOC_NAME=FAT:FQL_AUDITING_CLIENT_TEMPLATE.FAT&amp;display_string=Audit&amp;VAR:KEY=LANAFSRYFE&amp;VAR:QUERY=RkZfRUJJVERBX0lCKCdMVE1TJywzODg0MSk=&amp;WINDOW=FIRST_POPUP&amp;HEIGHT=450&amp;WIDTH=450&amp;START_MA","XIMIZED=FALSE&amp;VAR:CALENDAR=US&amp;VAR:SYMBOL=04916420&amp;VAR:INDEX=0"}</definedName>
    <definedName name="_10528__FDSAUDITLINK__" hidden="1">{"fdsup://directions/FAT Viewer?action=UPDATE&amp;creator=factset&amp;DYN_ARGS=TRUE&amp;DOC_NAME=FAT:FQL_AUDITING_CLIENT_TEMPLATE.FAT&amp;display_string=Audit&amp;VAR:KEY=LANAFSRYFE&amp;VAR:QUERY=RkZfRUJJVERBX0lCKCdMVE1TJywzODg0MSk=&amp;WINDOW=FIRST_POPUP&amp;HEIGHT=450&amp;WIDTH=450&amp;START_MA","XIMIZED=FALSE&amp;VAR:CALENDAR=US&amp;VAR:SYMBOL=04916420&amp;VAR:INDEX=0"}</definedName>
    <definedName name="_10529__FDSAUDITLINK__" localSheetId="6" hidden="1">{"fdsup://directions/FAT Viewer?action=UPDATE&amp;creator=factset&amp;DYN_ARGS=TRUE&amp;DOC_NAME=FAT:FQL_AUDITING_CLIENT_TEMPLATE.FAT&amp;display_string=Audit&amp;VAR:KEY=XIJWHURADO&amp;VAR:QUERY=RkZfRUJJVERBX0lCKCdMVE1TJywzODg0MCk=&amp;WINDOW=FIRST_POPUP&amp;HEIGHT=450&amp;WIDTH=450&amp;START_MA","XIMIZED=FALSE&amp;VAR:CALENDAR=US&amp;VAR:SYMBOL=04916420&amp;VAR:INDEX=0"}</definedName>
    <definedName name="_10529__FDSAUDITLINK__" hidden="1">{"fdsup://directions/FAT Viewer?action=UPDATE&amp;creator=factset&amp;DYN_ARGS=TRUE&amp;DOC_NAME=FAT:FQL_AUDITING_CLIENT_TEMPLATE.FAT&amp;display_string=Audit&amp;VAR:KEY=XIJWHURADO&amp;VAR:QUERY=RkZfRUJJVERBX0lCKCdMVE1TJywzODg0MCk=&amp;WINDOW=FIRST_POPUP&amp;HEIGHT=450&amp;WIDTH=450&amp;START_MA","XIMIZED=FALSE&amp;VAR:CALENDAR=US&amp;VAR:SYMBOL=04916420&amp;VAR:INDEX=0"}</definedName>
    <definedName name="_1053__FDSAUDITLINK__" localSheetId="6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3__FDSAUDITLINK__" hidden="1">{"fdsup://directions/FAT%20Viewer?VAR:PED=LTM&amp;VAR:AUDIT_MODE=SUMMARY&amp;VAR:PERIOD=FIXED&amp;VAR:AUDIT_ID=00000117&amp;VAR:DATE=20070405&amp;action=UPDATE&amp;creator=factset&amp;DOC_NAME=FAT:FMA_audit_SUMMARY.fat&amp;DISPLAY_STRING=Display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30__FDSAUDITLINK__" localSheetId="6" hidden="1">{"fdsup://directions/FAT Viewer?action=UPDATE&amp;creator=factset&amp;DYN_ARGS=TRUE&amp;DOC_NAME=FAT:FQL_AUDITING_CLIENT_TEMPLATE.FAT&amp;display_string=Audit&amp;VAR:KEY=FADYPWFEZK&amp;VAR:QUERY=RkZfRUJJVERBX0lCKCdMVE1TJywzODgzOSk=&amp;WINDOW=FIRST_POPUP&amp;HEIGHT=450&amp;WIDTH=450&amp;START_MA","XIMIZED=FALSE&amp;VAR:CALENDAR=US&amp;VAR:SYMBOL=04916420&amp;VAR:INDEX=0"}</definedName>
    <definedName name="_10530__FDSAUDITLINK__" hidden="1">{"fdsup://directions/FAT Viewer?action=UPDATE&amp;creator=factset&amp;DYN_ARGS=TRUE&amp;DOC_NAME=FAT:FQL_AUDITING_CLIENT_TEMPLATE.FAT&amp;display_string=Audit&amp;VAR:KEY=FADYPWFEZK&amp;VAR:QUERY=RkZfRUJJVERBX0lCKCdMVE1TJywzODgzOSk=&amp;WINDOW=FIRST_POPUP&amp;HEIGHT=450&amp;WIDTH=450&amp;START_MA","XIMIZED=FALSE&amp;VAR:CALENDAR=US&amp;VAR:SYMBOL=04916420&amp;VAR:INDEX=0"}</definedName>
    <definedName name="_10531__FDSAUDITLINK__" localSheetId="6" hidden="1">{"fdsup://directions/FAT Viewer?action=UPDATE&amp;creator=factset&amp;DYN_ARGS=TRUE&amp;DOC_NAME=FAT:FQL_AUDITING_CLIENT_TEMPLATE.FAT&amp;display_string=Audit&amp;VAR:KEY=ZCLGVKPIBQ&amp;VAR:QUERY=RkZfRUJJVERBX0lCKCdMVE1TJywzODgzOCk=&amp;WINDOW=FIRST_POPUP&amp;HEIGHT=450&amp;WIDTH=450&amp;START_MA","XIMIZED=FALSE&amp;VAR:CALENDAR=US&amp;VAR:SYMBOL=04916420&amp;VAR:INDEX=0"}</definedName>
    <definedName name="_10531__FDSAUDITLINK__" hidden="1">{"fdsup://directions/FAT Viewer?action=UPDATE&amp;creator=factset&amp;DYN_ARGS=TRUE&amp;DOC_NAME=FAT:FQL_AUDITING_CLIENT_TEMPLATE.FAT&amp;display_string=Audit&amp;VAR:KEY=ZCLGVKPIBQ&amp;VAR:QUERY=RkZfRUJJVERBX0lCKCdMVE1TJywzODgzOCk=&amp;WINDOW=FIRST_POPUP&amp;HEIGHT=450&amp;WIDTH=450&amp;START_MA","XIMIZED=FALSE&amp;VAR:CALENDAR=US&amp;VAR:SYMBOL=04916420&amp;VAR:INDEX=0"}</definedName>
    <definedName name="_10532__FDSAUDITLINK__" localSheetId="6" hidden="1">{"fdsup://directions/FAT Viewer?action=UPDATE&amp;creator=factset&amp;DYN_ARGS=TRUE&amp;DOC_NAME=FAT:FQL_AUDITING_CLIENT_TEMPLATE.FAT&amp;display_string=Audit&amp;VAR:KEY=XSHIBYLGDS&amp;VAR:QUERY=RkZfRUJJVERBX0lCKCdMVE1TJywzODgzNyk=&amp;WINDOW=FIRST_POPUP&amp;HEIGHT=450&amp;WIDTH=450&amp;START_MA","XIMIZED=FALSE&amp;VAR:CALENDAR=US&amp;VAR:SYMBOL=04916420&amp;VAR:INDEX=0"}</definedName>
    <definedName name="_10532__FDSAUDITLINK__" hidden="1">{"fdsup://directions/FAT Viewer?action=UPDATE&amp;creator=factset&amp;DYN_ARGS=TRUE&amp;DOC_NAME=FAT:FQL_AUDITING_CLIENT_TEMPLATE.FAT&amp;display_string=Audit&amp;VAR:KEY=XSHIBYLGDS&amp;VAR:QUERY=RkZfRUJJVERBX0lCKCdMVE1TJywzODgzNyk=&amp;WINDOW=FIRST_POPUP&amp;HEIGHT=450&amp;WIDTH=450&amp;START_MA","XIMIZED=FALSE&amp;VAR:CALENDAR=US&amp;VAR:SYMBOL=04916420&amp;VAR:INDEX=0"}</definedName>
    <definedName name="_10533__FDSAUDITLINK__" localSheetId="6" hidden="1">{"fdsup://directions/FAT Viewer?action=UPDATE&amp;creator=factset&amp;DYN_ARGS=TRUE&amp;DOC_NAME=FAT:FQL_AUDITING_CLIENT_TEMPLATE.FAT&amp;display_string=Audit&amp;VAR:KEY=HMPODYTAHG&amp;VAR:QUERY=RkZfRUJJVERBX0lCKCdMVE1TJywzODgzNik=&amp;WINDOW=FIRST_POPUP&amp;HEIGHT=450&amp;WIDTH=450&amp;START_MA","XIMIZED=FALSE&amp;VAR:CALENDAR=US&amp;VAR:SYMBOL=04916420&amp;VAR:INDEX=0"}</definedName>
    <definedName name="_10533__FDSAUDITLINK__" hidden="1">{"fdsup://directions/FAT Viewer?action=UPDATE&amp;creator=factset&amp;DYN_ARGS=TRUE&amp;DOC_NAME=FAT:FQL_AUDITING_CLIENT_TEMPLATE.FAT&amp;display_string=Audit&amp;VAR:KEY=HMPODYTAHG&amp;VAR:QUERY=RkZfRUJJVERBX0lCKCdMVE1TJywzODgzNik=&amp;WINDOW=FIRST_POPUP&amp;HEIGHT=450&amp;WIDTH=450&amp;START_MA","XIMIZED=FALSE&amp;VAR:CALENDAR=US&amp;VAR:SYMBOL=04916420&amp;VAR:INDEX=0"}</definedName>
    <definedName name="_10534__FDSAUDITLINK__" localSheetId="6" hidden="1">{"fdsup://directions/FAT Viewer?action=UPDATE&amp;creator=factset&amp;DYN_ARGS=TRUE&amp;DOC_NAME=FAT:FQL_AUDITING_CLIENT_TEMPLATE.FAT&amp;display_string=Audit&amp;VAR:KEY=ZEZAVOVGDC&amp;VAR:QUERY=RkZfRUJJVERBX0lCKCdMVE1TJywzODgzNSk=&amp;WINDOW=FIRST_POPUP&amp;HEIGHT=450&amp;WIDTH=450&amp;START_MA","XIMIZED=FALSE&amp;VAR:CALENDAR=US&amp;VAR:SYMBOL=04916420&amp;VAR:INDEX=0"}</definedName>
    <definedName name="_10534__FDSAUDITLINK__" hidden="1">{"fdsup://directions/FAT Viewer?action=UPDATE&amp;creator=factset&amp;DYN_ARGS=TRUE&amp;DOC_NAME=FAT:FQL_AUDITING_CLIENT_TEMPLATE.FAT&amp;display_string=Audit&amp;VAR:KEY=ZEZAVOVGDC&amp;VAR:QUERY=RkZfRUJJVERBX0lCKCdMVE1TJywzODgzNSk=&amp;WINDOW=FIRST_POPUP&amp;HEIGHT=450&amp;WIDTH=450&amp;START_MA","XIMIZED=FALSE&amp;VAR:CALENDAR=US&amp;VAR:SYMBOL=04916420&amp;VAR:INDEX=0"}</definedName>
    <definedName name="_10535__FDSAUDITLINK__" localSheetId="6" hidden="1">{"fdsup://directions/FAT Viewer?action=UPDATE&amp;creator=factset&amp;DYN_ARGS=TRUE&amp;DOC_NAME=FAT:FQL_AUDITING_CLIENT_TEMPLATE.FAT&amp;display_string=Audit&amp;VAR:KEY=HEFCBKXUBE&amp;VAR:QUERY=RkZfRUJJVERBX0lCKCdMVE1TJywzODgzNCk=&amp;WINDOW=FIRST_POPUP&amp;HEIGHT=450&amp;WIDTH=450&amp;START_MA","XIMIZED=FALSE&amp;VAR:CALENDAR=US&amp;VAR:SYMBOL=04916420&amp;VAR:INDEX=0"}</definedName>
    <definedName name="_10535__FDSAUDITLINK__" hidden="1">{"fdsup://directions/FAT Viewer?action=UPDATE&amp;creator=factset&amp;DYN_ARGS=TRUE&amp;DOC_NAME=FAT:FQL_AUDITING_CLIENT_TEMPLATE.FAT&amp;display_string=Audit&amp;VAR:KEY=HEFCBKXUBE&amp;VAR:QUERY=RkZfRUJJVERBX0lCKCdMVE1TJywzODgzNCk=&amp;WINDOW=FIRST_POPUP&amp;HEIGHT=450&amp;WIDTH=450&amp;START_MA","XIMIZED=FALSE&amp;VAR:CALENDAR=US&amp;VAR:SYMBOL=04916420&amp;VAR:INDEX=0"}</definedName>
    <definedName name="_10536__FDSAUDITLINK__" localSheetId="6" hidden="1">{"fdsup://directions/FAT Viewer?action=UPDATE&amp;creator=factset&amp;DYN_ARGS=TRUE&amp;DOC_NAME=FAT:FQL_AUDITING_CLIENT_TEMPLATE.FAT&amp;display_string=Audit&amp;VAR:KEY=LOLSVGLSTY&amp;VAR:QUERY=RkZfRUJJVERBX0lCKCdMVE1TJywzODgzMyk=&amp;WINDOW=FIRST_POPUP&amp;HEIGHT=450&amp;WIDTH=450&amp;START_MA","XIMIZED=FALSE&amp;VAR:CALENDAR=US&amp;VAR:SYMBOL=04916420&amp;VAR:INDEX=0"}</definedName>
    <definedName name="_10536__FDSAUDITLINK__" hidden="1">{"fdsup://directions/FAT Viewer?action=UPDATE&amp;creator=factset&amp;DYN_ARGS=TRUE&amp;DOC_NAME=FAT:FQL_AUDITING_CLIENT_TEMPLATE.FAT&amp;display_string=Audit&amp;VAR:KEY=LOLSVGLSTY&amp;VAR:QUERY=RkZfRUJJVERBX0lCKCdMVE1TJywzODgzMyk=&amp;WINDOW=FIRST_POPUP&amp;HEIGHT=450&amp;WIDTH=450&amp;START_MA","XIMIZED=FALSE&amp;VAR:CALENDAR=US&amp;VAR:SYMBOL=04916420&amp;VAR:INDEX=0"}</definedName>
    <definedName name="_10537__FDSAUDITLINK__" localSheetId="6" hidden="1">{"fdsup://directions/FAT Viewer?action=UPDATE&amp;creator=factset&amp;DYN_ARGS=TRUE&amp;DOC_NAME=FAT:FQL_AUDITING_CLIENT_TEMPLATE.FAT&amp;display_string=Audit&amp;VAR:KEY=VWXGZOXCPO&amp;VAR:QUERY=RkZfRUJJVERBX0lCKCdMVE1TJywzODgzMik=&amp;WINDOW=FIRST_POPUP&amp;HEIGHT=450&amp;WIDTH=450&amp;START_MA","XIMIZED=FALSE&amp;VAR:CALENDAR=US&amp;VAR:SYMBOL=04916420&amp;VAR:INDEX=0"}</definedName>
    <definedName name="_10537__FDSAUDITLINK__" hidden="1">{"fdsup://directions/FAT Viewer?action=UPDATE&amp;creator=factset&amp;DYN_ARGS=TRUE&amp;DOC_NAME=FAT:FQL_AUDITING_CLIENT_TEMPLATE.FAT&amp;display_string=Audit&amp;VAR:KEY=VWXGZOXCPO&amp;VAR:QUERY=RkZfRUJJVERBX0lCKCdMVE1TJywzODgzMik=&amp;WINDOW=FIRST_POPUP&amp;HEIGHT=450&amp;WIDTH=450&amp;START_MA","XIMIZED=FALSE&amp;VAR:CALENDAR=US&amp;VAR:SYMBOL=04916420&amp;VAR:INDEX=0"}</definedName>
    <definedName name="_10538__FDSAUDITLINK__" localSheetId="6" hidden="1">{"fdsup://directions/FAT Viewer?action=UPDATE&amp;creator=factset&amp;DYN_ARGS=TRUE&amp;DOC_NAME=FAT:FQL_AUDITING_CLIENT_TEMPLATE.FAT&amp;display_string=Audit&amp;VAR:KEY=LEPMBQTWBU&amp;VAR:QUERY=RkZfRUJJVERBX0lCKCdMVE1TJywzODgzMSk=&amp;WINDOW=FIRST_POPUP&amp;HEIGHT=450&amp;WIDTH=450&amp;START_MA","XIMIZED=FALSE&amp;VAR:CALENDAR=US&amp;VAR:SYMBOL=04916420&amp;VAR:INDEX=0"}</definedName>
    <definedName name="_10538__FDSAUDITLINK__" hidden="1">{"fdsup://directions/FAT Viewer?action=UPDATE&amp;creator=factset&amp;DYN_ARGS=TRUE&amp;DOC_NAME=FAT:FQL_AUDITING_CLIENT_TEMPLATE.FAT&amp;display_string=Audit&amp;VAR:KEY=LEPMBQTWBU&amp;VAR:QUERY=RkZfRUJJVERBX0lCKCdMVE1TJywzODgzMSk=&amp;WINDOW=FIRST_POPUP&amp;HEIGHT=450&amp;WIDTH=450&amp;START_MA","XIMIZED=FALSE&amp;VAR:CALENDAR=US&amp;VAR:SYMBOL=04916420&amp;VAR:INDEX=0"}</definedName>
    <definedName name="_10539__FDSAUDITLINK__" localSheetId="6" hidden="1">{"fdsup://directions/FAT Viewer?action=UPDATE&amp;creator=factset&amp;DYN_ARGS=TRUE&amp;DOC_NAME=FAT:FQL_AUDITING_CLIENT_TEMPLATE.FAT&amp;display_string=Audit&amp;VAR:KEY=FGJWNEFKTA&amp;VAR:QUERY=RkZfRUJJVERBX0lCKCdMVE1TJywzODgzMCk=&amp;WINDOW=FIRST_POPUP&amp;HEIGHT=450&amp;WIDTH=450&amp;START_MA","XIMIZED=FALSE&amp;VAR:CALENDAR=US&amp;VAR:SYMBOL=04916420&amp;VAR:INDEX=0"}</definedName>
    <definedName name="_10539__FDSAUDITLINK__" hidden="1">{"fdsup://directions/FAT Viewer?action=UPDATE&amp;creator=factset&amp;DYN_ARGS=TRUE&amp;DOC_NAME=FAT:FQL_AUDITING_CLIENT_TEMPLATE.FAT&amp;display_string=Audit&amp;VAR:KEY=FGJWNEFKTA&amp;VAR:QUERY=RkZfRUJJVERBX0lCKCdMVE1TJywzODgzMCk=&amp;WINDOW=FIRST_POPUP&amp;HEIGHT=450&amp;WIDTH=450&amp;START_MA","XIMIZED=FALSE&amp;VAR:CALENDAR=US&amp;VAR:SYMBOL=04916420&amp;VAR:INDEX=0"}</definedName>
    <definedName name="_1054__FDSAUDITLINK__" localSheetId="6" hidden="1">{"fdsup://directions/FAT%20Viewer?VAR:PED=LTM&amp;VAR:AUDIT_MODE=SUMMARY&amp;VAR:PERIOD=FIXED&amp;VAR:AUDIT_ID=00000117&amp;VAR:DATE=20070404&amp;action=UPDATE&amp;creator=factset&amp;DOC_NAME=FAT:FMA_audit_SUMMARY.fat&amp;DISPLAY_STRING=Display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4__FDSAUDITLINK__" hidden="1">{"fdsup://directions/FAT%20Viewer?VAR:PED=LTM&amp;VAR:AUDIT_MODE=SUMMARY&amp;VAR:PERIOD=FIXED&amp;VAR:AUDIT_ID=00000117&amp;VAR:DATE=20070404&amp;action=UPDATE&amp;creator=factset&amp;DOC_NAME=FAT:FMA_audit_SUMMARY.fat&amp;DISPLAY_STRING=Display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40__FDSAUDITLINK__" localSheetId="6" hidden="1">{"fdsup://directions/FAT Viewer?action=UPDATE&amp;creator=factset&amp;DYN_ARGS=TRUE&amp;DOC_NAME=FAT:FQL_AUDITING_CLIENT_TEMPLATE.FAT&amp;display_string=Audit&amp;VAR:KEY=PYPQDUBCBM&amp;VAR:QUERY=RkZfRUJJVERBX0lCKCdMVE1TJywzODgyOSk=&amp;WINDOW=FIRST_POPUP&amp;HEIGHT=450&amp;WIDTH=450&amp;START_MA","XIMIZED=FALSE&amp;VAR:CALENDAR=US&amp;VAR:SYMBOL=04916420&amp;VAR:INDEX=0"}</definedName>
    <definedName name="_10540__FDSAUDITLINK__" hidden="1">{"fdsup://directions/FAT Viewer?action=UPDATE&amp;creator=factset&amp;DYN_ARGS=TRUE&amp;DOC_NAME=FAT:FQL_AUDITING_CLIENT_TEMPLATE.FAT&amp;display_string=Audit&amp;VAR:KEY=PYPQDUBCBM&amp;VAR:QUERY=RkZfRUJJVERBX0lCKCdMVE1TJywzODgyOSk=&amp;WINDOW=FIRST_POPUP&amp;HEIGHT=450&amp;WIDTH=450&amp;START_MA","XIMIZED=FALSE&amp;VAR:CALENDAR=US&amp;VAR:SYMBOL=04916420&amp;VAR:INDEX=0"}</definedName>
    <definedName name="_10541__FDSAUDITLINK__" localSheetId="6" hidden="1">{"fdsup://directions/FAT Viewer?action=UPDATE&amp;creator=factset&amp;DYN_ARGS=TRUE&amp;DOC_NAME=FAT:FQL_AUDITING_CLIENT_TEMPLATE.FAT&amp;display_string=Audit&amp;VAR:KEY=BMPGVYTIHC&amp;VAR:QUERY=RkZfRUJJVERBX0lCKCdMVE1TJywzODgyOCk=&amp;WINDOW=FIRST_POPUP&amp;HEIGHT=450&amp;WIDTH=450&amp;START_MA","XIMIZED=FALSE&amp;VAR:CALENDAR=US&amp;VAR:SYMBOL=04916420&amp;VAR:INDEX=0"}</definedName>
    <definedName name="_10541__FDSAUDITLINK__" hidden="1">{"fdsup://directions/FAT Viewer?action=UPDATE&amp;creator=factset&amp;DYN_ARGS=TRUE&amp;DOC_NAME=FAT:FQL_AUDITING_CLIENT_TEMPLATE.FAT&amp;display_string=Audit&amp;VAR:KEY=BMPGVYTIHC&amp;VAR:QUERY=RkZfRUJJVERBX0lCKCdMVE1TJywzODgyOCk=&amp;WINDOW=FIRST_POPUP&amp;HEIGHT=450&amp;WIDTH=450&amp;START_MA","XIMIZED=FALSE&amp;VAR:CALENDAR=US&amp;VAR:SYMBOL=04916420&amp;VAR:INDEX=0"}</definedName>
    <definedName name="_10542__FDSAUDITLINK__" localSheetId="6" hidden="1">{"fdsup://directions/FAT Viewer?action=UPDATE&amp;creator=factset&amp;DYN_ARGS=TRUE&amp;DOC_NAME=FAT:FQL_AUDITING_CLIENT_TEMPLATE.FAT&amp;display_string=Audit&amp;VAR:KEY=XSXSRUHOBA&amp;VAR:QUERY=RkZfRUJJVERBX0lCKCdMVE1TJywzODgyNyk=&amp;WINDOW=FIRST_POPUP&amp;HEIGHT=450&amp;WIDTH=450&amp;START_MA","XIMIZED=FALSE&amp;VAR:CALENDAR=US&amp;VAR:SYMBOL=04916420&amp;VAR:INDEX=0"}</definedName>
    <definedName name="_10542__FDSAUDITLINK__" hidden="1">{"fdsup://directions/FAT Viewer?action=UPDATE&amp;creator=factset&amp;DYN_ARGS=TRUE&amp;DOC_NAME=FAT:FQL_AUDITING_CLIENT_TEMPLATE.FAT&amp;display_string=Audit&amp;VAR:KEY=XSXSRUHOBA&amp;VAR:QUERY=RkZfRUJJVERBX0lCKCdMVE1TJywzODgyNyk=&amp;WINDOW=FIRST_POPUP&amp;HEIGHT=450&amp;WIDTH=450&amp;START_MA","XIMIZED=FALSE&amp;VAR:CALENDAR=US&amp;VAR:SYMBOL=04916420&amp;VAR:INDEX=0"}</definedName>
    <definedName name="_10543__FDSAUDITLINK__" localSheetId="6" hidden="1">{"fdsup://directions/FAT Viewer?action=UPDATE&amp;creator=factset&amp;DYN_ARGS=TRUE&amp;DOC_NAME=FAT:FQL_AUDITING_CLIENT_TEMPLATE.FAT&amp;display_string=Audit&amp;VAR:KEY=BSFYXCFCRS&amp;VAR:QUERY=RkZfRUJJVERBX0lCKCdMVE1TJywzODgyNik=&amp;WINDOW=FIRST_POPUP&amp;HEIGHT=450&amp;WIDTH=450&amp;START_MA","XIMIZED=FALSE&amp;VAR:CALENDAR=US&amp;VAR:SYMBOL=04916420&amp;VAR:INDEX=0"}</definedName>
    <definedName name="_10543__FDSAUDITLINK__" hidden="1">{"fdsup://directions/FAT Viewer?action=UPDATE&amp;creator=factset&amp;DYN_ARGS=TRUE&amp;DOC_NAME=FAT:FQL_AUDITING_CLIENT_TEMPLATE.FAT&amp;display_string=Audit&amp;VAR:KEY=BSFYXCFCRS&amp;VAR:QUERY=RkZfRUJJVERBX0lCKCdMVE1TJywzODgyNik=&amp;WINDOW=FIRST_POPUP&amp;HEIGHT=450&amp;WIDTH=450&amp;START_MA","XIMIZED=FALSE&amp;VAR:CALENDAR=US&amp;VAR:SYMBOL=04916420&amp;VAR:INDEX=0"}</definedName>
    <definedName name="_10544__FDSAUDITLINK__" localSheetId="6" hidden="1">{"fdsup://directions/FAT Viewer?action=UPDATE&amp;creator=factset&amp;DYN_ARGS=TRUE&amp;DOC_NAME=FAT:FQL_AUDITING_CLIENT_TEMPLATE.FAT&amp;display_string=Audit&amp;VAR:KEY=ZWNMDYRUBA&amp;VAR:QUERY=RkZfRUJJVERBX0lCKCdMVE1TJywzODgyNSk=&amp;WINDOW=FIRST_POPUP&amp;HEIGHT=450&amp;WIDTH=450&amp;START_MA","XIMIZED=FALSE&amp;VAR:CALENDAR=US&amp;VAR:SYMBOL=04916420&amp;VAR:INDEX=0"}</definedName>
    <definedName name="_10544__FDSAUDITLINK__" hidden="1">{"fdsup://directions/FAT Viewer?action=UPDATE&amp;creator=factset&amp;DYN_ARGS=TRUE&amp;DOC_NAME=FAT:FQL_AUDITING_CLIENT_TEMPLATE.FAT&amp;display_string=Audit&amp;VAR:KEY=ZWNMDYRUBA&amp;VAR:QUERY=RkZfRUJJVERBX0lCKCdMVE1TJywzODgyNSk=&amp;WINDOW=FIRST_POPUP&amp;HEIGHT=450&amp;WIDTH=450&amp;START_MA","XIMIZED=FALSE&amp;VAR:CALENDAR=US&amp;VAR:SYMBOL=04916420&amp;VAR:INDEX=0"}</definedName>
    <definedName name="_10545__FDSAUDITLINK__" localSheetId="6" hidden="1">{"fdsup://directions/FAT Viewer?action=UPDATE&amp;creator=factset&amp;DYN_ARGS=TRUE&amp;DOC_NAME=FAT:FQL_AUDITING_CLIENT_TEMPLATE.FAT&amp;display_string=Audit&amp;VAR:KEY=XMTYFCFKTY&amp;VAR:QUERY=RkZfRUJJVERBX0lCKCdMVE1TJywzODgyNCk=&amp;WINDOW=FIRST_POPUP&amp;HEIGHT=450&amp;WIDTH=450&amp;START_MA","XIMIZED=FALSE&amp;VAR:CALENDAR=US&amp;VAR:SYMBOL=04916420&amp;VAR:INDEX=0"}</definedName>
    <definedName name="_10545__FDSAUDITLINK__" hidden="1">{"fdsup://directions/FAT Viewer?action=UPDATE&amp;creator=factset&amp;DYN_ARGS=TRUE&amp;DOC_NAME=FAT:FQL_AUDITING_CLIENT_TEMPLATE.FAT&amp;display_string=Audit&amp;VAR:KEY=XMTYFCFKTY&amp;VAR:QUERY=RkZfRUJJVERBX0lCKCdMVE1TJywzODgyNCk=&amp;WINDOW=FIRST_POPUP&amp;HEIGHT=450&amp;WIDTH=450&amp;START_MA","XIMIZED=FALSE&amp;VAR:CALENDAR=US&amp;VAR:SYMBOL=04916420&amp;VAR:INDEX=0"}</definedName>
    <definedName name="_10546__FDSAUDITLINK__" localSheetId="6" hidden="1">{"fdsup://directions/FAT Viewer?action=UPDATE&amp;creator=factset&amp;DYN_ARGS=TRUE&amp;DOC_NAME=FAT:FQL_AUDITING_CLIENT_TEMPLATE.FAT&amp;display_string=Audit&amp;VAR:KEY=LSJOLKRGZG&amp;VAR:QUERY=RkZfRUJJVERBX0lCKCdMVE1TJywzODgyMyk=&amp;WINDOW=FIRST_POPUP&amp;HEIGHT=450&amp;WIDTH=450&amp;START_MA","XIMIZED=FALSE&amp;VAR:CALENDAR=US&amp;VAR:SYMBOL=04916420&amp;VAR:INDEX=0"}</definedName>
    <definedName name="_10546__FDSAUDITLINK__" hidden="1">{"fdsup://directions/FAT Viewer?action=UPDATE&amp;creator=factset&amp;DYN_ARGS=TRUE&amp;DOC_NAME=FAT:FQL_AUDITING_CLIENT_TEMPLATE.FAT&amp;display_string=Audit&amp;VAR:KEY=LSJOLKRGZG&amp;VAR:QUERY=RkZfRUJJVERBX0lCKCdMVE1TJywzODgyMyk=&amp;WINDOW=FIRST_POPUP&amp;HEIGHT=450&amp;WIDTH=450&amp;START_MA","XIMIZED=FALSE&amp;VAR:CALENDAR=US&amp;VAR:SYMBOL=04916420&amp;VAR:INDEX=0"}</definedName>
    <definedName name="_10547__FDSAUDITLINK__" localSheetId="6" hidden="1">{"fdsup://directions/FAT Viewer?action=UPDATE&amp;creator=factset&amp;DYN_ARGS=TRUE&amp;DOC_NAME=FAT:FQL_AUDITING_CLIENT_TEMPLATE.FAT&amp;display_string=Audit&amp;VAR:KEY=FAZEJUVOPK&amp;VAR:QUERY=RkZfRUJJVERBX0lCKCdMVE1TJywzODgyMik=&amp;WINDOW=FIRST_POPUP&amp;HEIGHT=450&amp;WIDTH=450&amp;START_MA","XIMIZED=FALSE&amp;VAR:CALENDAR=US&amp;VAR:SYMBOL=04916420&amp;VAR:INDEX=0"}</definedName>
    <definedName name="_10547__FDSAUDITLINK__" hidden="1">{"fdsup://directions/FAT Viewer?action=UPDATE&amp;creator=factset&amp;DYN_ARGS=TRUE&amp;DOC_NAME=FAT:FQL_AUDITING_CLIENT_TEMPLATE.FAT&amp;display_string=Audit&amp;VAR:KEY=FAZEJUVOPK&amp;VAR:QUERY=RkZfRUJJVERBX0lCKCdMVE1TJywzODgyMik=&amp;WINDOW=FIRST_POPUP&amp;HEIGHT=450&amp;WIDTH=450&amp;START_MA","XIMIZED=FALSE&amp;VAR:CALENDAR=US&amp;VAR:SYMBOL=04916420&amp;VAR:INDEX=0"}</definedName>
    <definedName name="_10548__FDSAUDITLINK__" localSheetId="6" hidden="1">{"fdsup://directions/FAT Viewer?action=UPDATE&amp;creator=factset&amp;DYN_ARGS=TRUE&amp;DOC_NAME=FAT:FQL_AUDITING_CLIENT_TEMPLATE.FAT&amp;display_string=Audit&amp;VAR:KEY=BQZMVOFUBQ&amp;VAR:QUERY=RkZfRUJJVERBX0lCKCdMVE1TJywzODgyMSk=&amp;WINDOW=FIRST_POPUP&amp;HEIGHT=450&amp;WIDTH=450&amp;START_MA","XIMIZED=FALSE&amp;VAR:CALENDAR=US&amp;VAR:SYMBOL=04916420&amp;VAR:INDEX=0"}</definedName>
    <definedName name="_10548__FDSAUDITLINK__" hidden="1">{"fdsup://directions/FAT Viewer?action=UPDATE&amp;creator=factset&amp;DYN_ARGS=TRUE&amp;DOC_NAME=FAT:FQL_AUDITING_CLIENT_TEMPLATE.FAT&amp;display_string=Audit&amp;VAR:KEY=BQZMVOFUBQ&amp;VAR:QUERY=RkZfRUJJVERBX0lCKCdMVE1TJywzODgyMSk=&amp;WINDOW=FIRST_POPUP&amp;HEIGHT=450&amp;WIDTH=450&amp;START_MA","XIMIZED=FALSE&amp;VAR:CALENDAR=US&amp;VAR:SYMBOL=04916420&amp;VAR:INDEX=0"}</definedName>
    <definedName name="_10549__FDSAUDITLINK__" localSheetId="6" hidden="1">{"fdsup://directions/FAT Viewer?action=UPDATE&amp;creator=factset&amp;DYN_ARGS=TRUE&amp;DOC_NAME=FAT:FQL_AUDITING_CLIENT_TEMPLATE.FAT&amp;display_string=Audit&amp;VAR:KEY=BQNMBWDKHM&amp;VAR:QUERY=RkZfRUJJVERBX0lCKCdMVE1TJywzODgyMCk=&amp;WINDOW=FIRST_POPUP&amp;HEIGHT=450&amp;WIDTH=450&amp;START_MA","XIMIZED=FALSE&amp;VAR:CALENDAR=US&amp;VAR:SYMBOL=04916420&amp;VAR:INDEX=0"}</definedName>
    <definedName name="_10549__FDSAUDITLINK__" hidden="1">{"fdsup://directions/FAT Viewer?action=UPDATE&amp;creator=factset&amp;DYN_ARGS=TRUE&amp;DOC_NAME=FAT:FQL_AUDITING_CLIENT_TEMPLATE.FAT&amp;display_string=Audit&amp;VAR:KEY=BQNMBWDKHM&amp;VAR:QUERY=RkZfRUJJVERBX0lCKCdMVE1TJywzODgyMCk=&amp;WINDOW=FIRST_POPUP&amp;HEIGHT=450&amp;WIDTH=450&amp;START_MA","XIMIZED=FALSE&amp;VAR:CALENDAR=US&amp;VAR:SYMBOL=04916420&amp;VAR:INDEX=0"}</definedName>
    <definedName name="_1055__FDSAUDITLINK__" localSheetId="6" hidden="1">{"fdsup://directions/FAT%20Viewer?VAR:PED=LTM&amp;VAR:AUDIT_MODE=SUMMARY&amp;VAR:PERIOD=FIXED&amp;VAR:AUDIT_ID=00000117&amp;VAR:DATE=20070403&amp;action=UPDATE&amp;creator=factset&amp;DOC_NAME=FAT:FMA_audit_SUMMARY.fat&amp;DISPLAY_STRING=Display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5__FDSAUDITLINK__" hidden="1">{"fdsup://directions/FAT%20Viewer?VAR:PED=LTM&amp;VAR:AUDIT_MODE=SUMMARY&amp;VAR:PERIOD=FIXED&amp;VAR:AUDIT_ID=00000117&amp;VAR:DATE=20070403&amp;action=UPDATE&amp;creator=factset&amp;DOC_NAME=FAT:FMA_audit_SUMMARY.fat&amp;DISPLAY_STRING=Display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50__FDSAUDITLINK__" localSheetId="6" hidden="1">{"fdsup://directions/FAT Viewer?action=UPDATE&amp;creator=factset&amp;DYN_ARGS=TRUE&amp;DOC_NAME=FAT:FQL_AUDITING_CLIENT_TEMPLATE.FAT&amp;display_string=Audit&amp;VAR:KEY=RGRKZYLEDM&amp;VAR:QUERY=RkZfRUJJVERBX0lCKCdMVE1TJywzODgxOSk=&amp;WINDOW=FIRST_POPUP&amp;HEIGHT=450&amp;WIDTH=450&amp;START_MA","XIMIZED=FALSE&amp;VAR:CALENDAR=US&amp;VAR:SYMBOL=04916420&amp;VAR:INDEX=0"}</definedName>
    <definedName name="_10550__FDSAUDITLINK__" hidden="1">{"fdsup://directions/FAT Viewer?action=UPDATE&amp;creator=factset&amp;DYN_ARGS=TRUE&amp;DOC_NAME=FAT:FQL_AUDITING_CLIENT_TEMPLATE.FAT&amp;display_string=Audit&amp;VAR:KEY=RGRKZYLEDM&amp;VAR:QUERY=RkZfRUJJVERBX0lCKCdMVE1TJywzODgxOSk=&amp;WINDOW=FIRST_POPUP&amp;HEIGHT=450&amp;WIDTH=450&amp;START_MA","XIMIZED=FALSE&amp;VAR:CALENDAR=US&amp;VAR:SYMBOL=04916420&amp;VAR:INDEX=0"}</definedName>
    <definedName name="_10551__FDSAUDITLINK__" localSheetId="6" hidden="1">{"fdsup://directions/FAT Viewer?action=UPDATE&amp;creator=factset&amp;DYN_ARGS=TRUE&amp;DOC_NAME=FAT:FQL_AUDITING_CLIENT_TEMPLATE.FAT&amp;display_string=Audit&amp;VAR:KEY=PKBQBSXMTI&amp;VAR:QUERY=RkZfRUJJVERBX0lCKCdMVE1TJywzODgxOCk=&amp;WINDOW=FIRST_POPUP&amp;HEIGHT=450&amp;WIDTH=450&amp;START_MA","XIMIZED=FALSE&amp;VAR:CALENDAR=US&amp;VAR:SYMBOL=04916420&amp;VAR:INDEX=0"}</definedName>
    <definedName name="_10551__FDSAUDITLINK__" hidden="1">{"fdsup://directions/FAT Viewer?action=UPDATE&amp;creator=factset&amp;DYN_ARGS=TRUE&amp;DOC_NAME=FAT:FQL_AUDITING_CLIENT_TEMPLATE.FAT&amp;display_string=Audit&amp;VAR:KEY=PKBQBSXMTI&amp;VAR:QUERY=RkZfRUJJVERBX0lCKCdMVE1TJywzODgxOCk=&amp;WINDOW=FIRST_POPUP&amp;HEIGHT=450&amp;WIDTH=450&amp;START_MA","XIMIZED=FALSE&amp;VAR:CALENDAR=US&amp;VAR:SYMBOL=04916420&amp;VAR:INDEX=0"}</definedName>
    <definedName name="_10552__FDSAUDITLINK__" localSheetId="6" hidden="1">{"fdsup://directions/FAT Viewer?action=UPDATE&amp;creator=factset&amp;DYN_ARGS=TRUE&amp;DOC_NAME=FAT:FQL_AUDITING_CLIENT_TEMPLATE.FAT&amp;display_string=Audit&amp;VAR:KEY=JSJUFYFUJO&amp;VAR:QUERY=RkZfRUJJVERBX0lCKCdMVE1TJywzODgxNyk=&amp;WINDOW=FIRST_POPUP&amp;HEIGHT=450&amp;WIDTH=450&amp;START_MA","XIMIZED=FALSE&amp;VAR:CALENDAR=US&amp;VAR:SYMBOL=04916420&amp;VAR:INDEX=0"}</definedName>
    <definedName name="_10552__FDSAUDITLINK__" hidden="1">{"fdsup://directions/FAT Viewer?action=UPDATE&amp;creator=factset&amp;DYN_ARGS=TRUE&amp;DOC_NAME=FAT:FQL_AUDITING_CLIENT_TEMPLATE.FAT&amp;display_string=Audit&amp;VAR:KEY=JSJUFYFUJO&amp;VAR:QUERY=RkZfRUJJVERBX0lCKCdMVE1TJywzODgxNyk=&amp;WINDOW=FIRST_POPUP&amp;HEIGHT=450&amp;WIDTH=450&amp;START_MA","XIMIZED=FALSE&amp;VAR:CALENDAR=US&amp;VAR:SYMBOL=04916420&amp;VAR:INDEX=0"}</definedName>
    <definedName name="_10553__FDSAUDITLINK__" localSheetId="6" hidden="1">{"fdsup://directions/FAT Viewer?action=UPDATE&amp;creator=factset&amp;DYN_ARGS=TRUE&amp;DOC_NAME=FAT:FQL_AUDITING_CLIENT_TEMPLATE.FAT&amp;display_string=Audit&amp;VAR:KEY=FCDQXENQNS&amp;VAR:QUERY=RkZfRUJJVERBX0lCKCdMVE1TJywzODgxNik=&amp;WINDOW=FIRST_POPUP&amp;HEIGHT=450&amp;WIDTH=450&amp;START_MA","XIMIZED=FALSE&amp;VAR:CALENDAR=US&amp;VAR:SYMBOL=04916420&amp;VAR:INDEX=0"}</definedName>
    <definedName name="_10553__FDSAUDITLINK__" hidden="1">{"fdsup://directions/FAT Viewer?action=UPDATE&amp;creator=factset&amp;DYN_ARGS=TRUE&amp;DOC_NAME=FAT:FQL_AUDITING_CLIENT_TEMPLATE.FAT&amp;display_string=Audit&amp;VAR:KEY=FCDQXENQNS&amp;VAR:QUERY=RkZfRUJJVERBX0lCKCdMVE1TJywzODgxNik=&amp;WINDOW=FIRST_POPUP&amp;HEIGHT=450&amp;WIDTH=450&amp;START_MA","XIMIZED=FALSE&amp;VAR:CALENDAR=US&amp;VAR:SYMBOL=04916420&amp;VAR:INDEX=0"}</definedName>
    <definedName name="_10554__FDSAUDITLINK__" localSheetId="6" hidden="1">{"fdsup://directions/FAT Viewer?action=UPDATE&amp;creator=factset&amp;DYN_ARGS=TRUE&amp;DOC_NAME=FAT:FQL_AUDITING_CLIENT_TEMPLATE.FAT&amp;display_string=Audit&amp;VAR:KEY=BUZOHGJINU&amp;VAR:QUERY=RkZfRUJJVERBX0lCKCdMVE1TJywzODgxNSk=&amp;WINDOW=FIRST_POPUP&amp;HEIGHT=450&amp;WIDTH=450&amp;START_MA","XIMIZED=FALSE&amp;VAR:CALENDAR=US&amp;VAR:SYMBOL=04916420&amp;VAR:INDEX=0"}</definedName>
    <definedName name="_10554__FDSAUDITLINK__" hidden="1">{"fdsup://directions/FAT Viewer?action=UPDATE&amp;creator=factset&amp;DYN_ARGS=TRUE&amp;DOC_NAME=FAT:FQL_AUDITING_CLIENT_TEMPLATE.FAT&amp;display_string=Audit&amp;VAR:KEY=BUZOHGJINU&amp;VAR:QUERY=RkZfRUJJVERBX0lCKCdMVE1TJywzODgxNSk=&amp;WINDOW=FIRST_POPUP&amp;HEIGHT=450&amp;WIDTH=450&amp;START_MA","XIMIZED=FALSE&amp;VAR:CALENDAR=US&amp;VAR:SYMBOL=04916420&amp;VAR:INDEX=0"}</definedName>
    <definedName name="_10555__FDSAUDITLINK__" localSheetId="6" hidden="1">{"fdsup://directions/FAT Viewer?action=UPDATE&amp;creator=factset&amp;DYN_ARGS=TRUE&amp;DOC_NAME=FAT:FQL_AUDITING_CLIENT_TEMPLATE.FAT&amp;display_string=Audit&amp;VAR:KEY=VALEVGXQDG&amp;VAR:QUERY=RkZfRUJJVERBX0lCKCdMVE1TJywzODgxNCk=&amp;WINDOW=FIRST_POPUP&amp;HEIGHT=450&amp;WIDTH=450&amp;START_MA","XIMIZED=FALSE&amp;VAR:CALENDAR=US&amp;VAR:SYMBOL=04916420&amp;VAR:INDEX=0"}</definedName>
    <definedName name="_10555__FDSAUDITLINK__" hidden="1">{"fdsup://directions/FAT Viewer?action=UPDATE&amp;creator=factset&amp;DYN_ARGS=TRUE&amp;DOC_NAME=FAT:FQL_AUDITING_CLIENT_TEMPLATE.FAT&amp;display_string=Audit&amp;VAR:KEY=VALEVGXQDG&amp;VAR:QUERY=RkZfRUJJVERBX0lCKCdMVE1TJywzODgxNCk=&amp;WINDOW=FIRST_POPUP&amp;HEIGHT=450&amp;WIDTH=450&amp;START_MA","XIMIZED=FALSE&amp;VAR:CALENDAR=US&amp;VAR:SYMBOL=04916420&amp;VAR:INDEX=0"}</definedName>
    <definedName name="_10556__FDSAUDITLINK__" localSheetId="6" hidden="1">{"fdsup://directions/FAT Viewer?action=UPDATE&amp;creator=factset&amp;DYN_ARGS=TRUE&amp;DOC_NAME=FAT:FQL_AUDITING_CLIENT_TEMPLATE.FAT&amp;display_string=Audit&amp;VAR:KEY=JEJUZIRSZQ&amp;VAR:QUERY=RkZfRUJJVERBX0lCKCdMVE1TJywzODgxMyk=&amp;WINDOW=FIRST_POPUP&amp;HEIGHT=450&amp;WIDTH=450&amp;START_MA","XIMIZED=FALSE&amp;VAR:CALENDAR=US&amp;VAR:SYMBOL=04916420&amp;VAR:INDEX=0"}</definedName>
    <definedName name="_10556__FDSAUDITLINK__" hidden="1">{"fdsup://directions/FAT Viewer?action=UPDATE&amp;creator=factset&amp;DYN_ARGS=TRUE&amp;DOC_NAME=FAT:FQL_AUDITING_CLIENT_TEMPLATE.FAT&amp;display_string=Audit&amp;VAR:KEY=JEJUZIRSZQ&amp;VAR:QUERY=RkZfRUJJVERBX0lCKCdMVE1TJywzODgxMyk=&amp;WINDOW=FIRST_POPUP&amp;HEIGHT=450&amp;WIDTH=450&amp;START_MA","XIMIZED=FALSE&amp;VAR:CALENDAR=US&amp;VAR:SYMBOL=04916420&amp;VAR:INDEX=0"}</definedName>
    <definedName name="_10557__FDSAUDITLINK__" localSheetId="6" hidden="1">{"fdsup://directions/FAT Viewer?action=UPDATE&amp;creator=factset&amp;DYN_ARGS=TRUE&amp;DOC_NAME=FAT:FQL_AUDITING_CLIENT_TEMPLATE.FAT&amp;display_string=Audit&amp;VAR:KEY=FSZGHIVSJQ&amp;VAR:QUERY=RkZfRUJJVERBX0lCKCdMVE1TJywzODgxMik=&amp;WINDOW=FIRST_POPUP&amp;HEIGHT=450&amp;WIDTH=450&amp;START_MA","XIMIZED=FALSE&amp;VAR:CALENDAR=US&amp;VAR:SYMBOL=04916420&amp;VAR:INDEX=0"}</definedName>
    <definedName name="_10557__FDSAUDITLINK__" hidden="1">{"fdsup://directions/FAT Viewer?action=UPDATE&amp;creator=factset&amp;DYN_ARGS=TRUE&amp;DOC_NAME=FAT:FQL_AUDITING_CLIENT_TEMPLATE.FAT&amp;display_string=Audit&amp;VAR:KEY=FSZGHIVSJQ&amp;VAR:QUERY=RkZfRUJJVERBX0lCKCdMVE1TJywzODgxMik=&amp;WINDOW=FIRST_POPUP&amp;HEIGHT=450&amp;WIDTH=450&amp;START_MA","XIMIZED=FALSE&amp;VAR:CALENDAR=US&amp;VAR:SYMBOL=04916420&amp;VAR:INDEX=0"}</definedName>
    <definedName name="_10558__FDSAUDITLINK__" localSheetId="6" hidden="1">{"fdsup://directions/FAT Viewer?action=UPDATE&amp;creator=factset&amp;DYN_ARGS=TRUE&amp;DOC_NAME=FAT:FQL_AUDITING_CLIENT_TEMPLATE.FAT&amp;display_string=Audit&amp;VAR:KEY=BGFMLYPOHY&amp;VAR:QUERY=RkZfRUJJVERBX0lCKCdMVE1TJywzODgxMSk=&amp;WINDOW=FIRST_POPUP&amp;HEIGHT=450&amp;WIDTH=450&amp;START_MA","XIMIZED=FALSE&amp;VAR:CALENDAR=US&amp;VAR:SYMBOL=04916420&amp;VAR:INDEX=0"}</definedName>
    <definedName name="_10558__FDSAUDITLINK__" hidden="1">{"fdsup://directions/FAT Viewer?action=UPDATE&amp;creator=factset&amp;DYN_ARGS=TRUE&amp;DOC_NAME=FAT:FQL_AUDITING_CLIENT_TEMPLATE.FAT&amp;display_string=Audit&amp;VAR:KEY=BGFMLYPOHY&amp;VAR:QUERY=RkZfRUJJVERBX0lCKCdMVE1TJywzODgxMSk=&amp;WINDOW=FIRST_POPUP&amp;HEIGHT=450&amp;WIDTH=450&amp;START_MA","XIMIZED=FALSE&amp;VAR:CALENDAR=US&amp;VAR:SYMBOL=04916420&amp;VAR:INDEX=0"}</definedName>
    <definedName name="_10559__FDSAUDITLINK__" localSheetId="6" hidden="1">{"fdsup://directions/FAT Viewer?action=UPDATE&amp;creator=factset&amp;DYN_ARGS=TRUE&amp;DOC_NAME=FAT:FQL_AUDITING_CLIENT_TEMPLATE.FAT&amp;display_string=Audit&amp;VAR:KEY=TSDALQDONK&amp;VAR:QUERY=RkZfRUJJVERBX0lCKCdMVE1TJywzODgxMCk=&amp;WINDOW=FIRST_POPUP&amp;HEIGHT=450&amp;WIDTH=450&amp;START_MA","XIMIZED=FALSE&amp;VAR:CALENDAR=US&amp;VAR:SYMBOL=04916420&amp;VAR:INDEX=0"}</definedName>
    <definedName name="_10559__FDSAUDITLINK__" hidden="1">{"fdsup://directions/FAT Viewer?action=UPDATE&amp;creator=factset&amp;DYN_ARGS=TRUE&amp;DOC_NAME=FAT:FQL_AUDITING_CLIENT_TEMPLATE.FAT&amp;display_string=Audit&amp;VAR:KEY=TSDALQDONK&amp;VAR:QUERY=RkZfRUJJVERBX0lCKCdMVE1TJywzODgxMCk=&amp;WINDOW=FIRST_POPUP&amp;HEIGHT=450&amp;WIDTH=450&amp;START_MA","XIMIZED=FALSE&amp;VAR:CALENDAR=US&amp;VAR:SYMBOL=04916420&amp;VAR:INDEX=0"}</definedName>
    <definedName name="_1056__FDSAUDITLINK__" localSheetId="6" hidden="1">{"fdsup://directions/FAT%20Viewer?VAR:PED=LTM&amp;VAR:AUDIT_MODE=SUMMARY&amp;VAR:PERIOD=FIXED&amp;VAR:AUDIT_ID=00000117&amp;VAR:DATE=20070402&amp;action=UPDATE&amp;creator=factset&amp;DOC_NAME=FAT:FMA_audit_SUMMARY.fat&amp;DISPLAY_STRING=Display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6__FDSAUDITLINK__" hidden="1">{"fdsup://directions/FAT%20Viewer?VAR:PED=LTM&amp;VAR:AUDIT_MODE=SUMMARY&amp;VAR:PERIOD=FIXED&amp;VAR:AUDIT_ID=00000117&amp;VAR:DATE=20070402&amp;action=UPDATE&amp;creator=factset&amp;DOC_NAME=FAT:FMA_audit_SUMMARY.fat&amp;DISPLAY_STRING=Display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EBITDA&amp;VAR:CHGPERIOD=NA&amp;VAR:FQLFORMULA=FMA_EVAL_EBITDA&amp;VAR:CURRENCY=NA&amp;VAR:P=NA&amp;VAR:V=10.5","21849&amp;VAR:null=.html"}</definedName>
    <definedName name="_10560__FDSAUDITLINK__" localSheetId="6" hidden="1">{"fdsup://directions/FAT Viewer?action=UPDATE&amp;creator=factset&amp;DYN_ARGS=TRUE&amp;DOC_NAME=FAT:FQL_AUDITING_CLIENT_TEMPLATE.FAT&amp;display_string=Audit&amp;VAR:KEY=XIDKDGHWDO&amp;VAR:QUERY=RkZfRUJJVERBX0lCKCdMVE1TJywzODgwOSk=&amp;WINDOW=FIRST_POPUP&amp;HEIGHT=450&amp;WIDTH=450&amp;START_MA","XIMIZED=FALSE&amp;VAR:CALENDAR=US&amp;VAR:SYMBOL=04916420&amp;VAR:INDEX=0"}</definedName>
    <definedName name="_10560__FDSAUDITLINK__" hidden="1">{"fdsup://directions/FAT Viewer?action=UPDATE&amp;creator=factset&amp;DYN_ARGS=TRUE&amp;DOC_NAME=FAT:FQL_AUDITING_CLIENT_TEMPLATE.FAT&amp;display_string=Audit&amp;VAR:KEY=XIDKDGHWDO&amp;VAR:QUERY=RkZfRUJJVERBX0lCKCdMVE1TJywzODgwOSk=&amp;WINDOW=FIRST_POPUP&amp;HEIGHT=450&amp;WIDTH=450&amp;START_MA","XIMIZED=FALSE&amp;VAR:CALENDAR=US&amp;VAR:SYMBOL=04916420&amp;VAR:INDEX=0"}</definedName>
    <definedName name="_10561__FDSAUDITLINK__" localSheetId="6" hidden="1">{"fdsup://directions/FAT Viewer?action=UPDATE&amp;creator=factset&amp;DYN_ARGS=TRUE&amp;DOC_NAME=FAT:FQL_AUDITING_CLIENT_TEMPLATE.FAT&amp;display_string=Audit&amp;VAR:KEY=LKNMRKVCJI&amp;VAR:QUERY=RkZfRUJJVERBX0lCKCdMVE1TJywzODgwOCk=&amp;WINDOW=FIRST_POPUP&amp;HEIGHT=450&amp;WIDTH=450&amp;START_MA","XIMIZED=FALSE&amp;VAR:CALENDAR=US&amp;VAR:SYMBOL=04916420&amp;VAR:INDEX=0"}</definedName>
    <definedName name="_10561__FDSAUDITLINK__" hidden="1">{"fdsup://directions/FAT Viewer?action=UPDATE&amp;creator=factset&amp;DYN_ARGS=TRUE&amp;DOC_NAME=FAT:FQL_AUDITING_CLIENT_TEMPLATE.FAT&amp;display_string=Audit&amp;VAR:KEY=LKNMRKVCJI&amp;VAR:QUERY=RkZfRUJJVERBX0lCKCdMVE1TJywzODgwOCk=&amp;WINDOW=FIRST_POPUP&amp;HEIGHT=450&amp;WIDTH=450&amp;START_MA","XIMIZED=FALSE&amp;VAR:CALENDAR=US&amp;VAR:SYMBOL=04916420&amp;VAR:INDEX=0"}</definedName>
    <definedName name="_10562__FDSAUDITLINK__" localSheetId="6" hidden="1">{"fdsup://directions/FAT Viewer?action=UPDATE&amp;creator=factset&amp;DYN_ARGS=TRUE&amp;DOC_NAME=FAT:FQL_AUDITING_CLIENT_TEMPLATE.FAT&amp;display_string=Audit&amp;VAR:KEY=TYBABYZAFI&amp;VAR:QUERY=RkZfRUJJVERBX0lCKCdMVE1TJywzODgwNyk=&amp;WINDOW=FIRST_POPUP&amp;HEIGHT=450&amp;WIDTH=450&amp;START_MA","XIMIZED=FALSE&amp;VAR:CALENDAR=US&amp;VAR:SYMBOL=04916420&amp;VAR:INDEX=0"}</definedName>
    <definedName name="_10562__FDSAUDITLINK__" hidden="1">{"fdsup://directions/FAT Viewer?action=UPDATE&amp;creator=factset&amp;DYN_ARGS=TRUE&amp;DOC_NAME=FAT:FQL_AUDITING_CLIENT_TEMPLATE.FAT&amp;display_string=Audit&amp;VAR:KEY=TYBABYZAFI&amp;VAR:QUERY=RkZfRUJJVERBX0lCKCdMVE1TJywzODgwNyk=&amp;WINDOW=FIRST_POPUP&amp;HEIGHT=450&amp;WIDTH=450&amp;START_MA","XIMIZED=FALSE&amp;VAR:CALENDAR=US&amp;VAR:SYMBOL=04916420&amp;VAR:INDEX=0"}</definedName>
    <definedName name="_10563__FDSAUDITLINK__" localSheetId="6" hidden="1">{"fdsup://directions/FAT Viewer?action=UPDATE&amp;creator=factset&amp;DYN_ARGS=TRUE&amp;DOC_NAME=FAT:FQL_AUDITING_CLIENT_TEMPLATE.FAT&amp;display_string=Audit&amp;VAR:KEY=BCTSDMZOPA&amp;VAR:QUERY=RkZfRUJJVERBX0lCKCdMVE1TJywzODgwNik=&amp;WINDOW=FIRST_POPUP&amp;HEIGHT=450&amp;WIDTH=450&amp;START_MA","XIMIZED=FALSE&amp;VAR:CALENDAR=US&amp;VAR:SYMBOL=04916420&amp;VAR:INDEX=0"}</definedName>
    <definedName name="_10563__FDSAUDITLINK__" hidden="1">{"fdsup://directions/FAT Viewer?action=UPDATE&amp;creator=factset&amp;DYN_ARGS=TRUE&amp;DOC_NAME=FAT:FQL_AUDITING_CLIENT_TEMPLATE.FAT&amp;display_string=Audit&amp;VAR:KEY=BCTSDMZOPA&amp;VAR:QUERY=RkZfRUJJVERBX0lCKCdMVE1TJywzODgwNik=&amp;WINDOW=FIRST_POPUP&amp;HEIGHT=450&amp;WIDTH=450&amp;START_MA","XIMIZED=FALSE&amp;VAR:CALENDAR=US&amp;VAR:SYMBOL=04916420&amp;VAR:INDEX=0"}</definedName>
    <definedName name="_10564__FDSAUDITLINK__" localSheetId="6" hidden="1">{"fdsup://directions/FAT Viewer?action=UPDATE&amp;creator=factset&amp;DYN_ARGS=TRUE&amp;DOC_NAME=FAT:FQL_AUDITING_CLIENT_TEMPLATE.FAT&amp;display_string=Audit&amp;VAR:KEY=VYVCTUJKVG&amp;VAR:QUERY=RkZfRUJJVERBX0lCKCdMVE1TJywzODgwNSk=&amp;WINDOW=FIRST_POPUP&amp;HEIGHT=450&amp;WIDTH=450&amp;START_MA","XIMIZED=FALSE&amp;VAR:CALENDAR=US&amp;VAR:SYMBOL=04916420&amp;VAR:INDEX=0"}</definedName>
    <definedName name="_10564__FDSAUDITLINK__" hidden="1">{"fdsup://directions/FAT Viewer?action=UPDATE&amp;creator=factset&amp;DYN_ARGS=TRUE&amp;DOC_NAME=FAT:FQL_AUDITING_CLIENT_TEMPLATE.FAT&amp;display_string=Audit&amp;VAR:KEY=VYVCTUJKVG&amp;VAR:QUERY=RkZfRUJJVERBX0lCKCdMVE1TJywzODgwNSk=&amp;WINDOW=FIRST_POPUP&amp;HEIGHT=450&amp;WIDTH=450&amp;START_MA","XIMIZED=FALSE&amp;VAR:CALENDAR=US&amp;VAR:SYMBOL=04916420&amp;VAR:INDEX=0"}</definedName>
    <definedName name="_10565__FDSAUDITLINK__" localSheetId="6" hidden="1">{"fdsup://directions/FAT Viewer?action=UPDATE&amp;creator=factset&amp;DYN_ARGS=TRUE&amp;DOC_NAME=FAT:FQL_AUDITING_CLIENT_TEMPLATE.FAT&amp;display_string=Audit&amp;VAR:KEY=PEBINIZGTC&amp;VAR:QUERY=RkZfRUJJVERBX0lCKCdMVE1TJywzODgwNCk=&amp;WINDOW=FIRST_POPUP&amp;HEIGHT=450&amp;WIDTH=450&amp;START_MA","XIMIZED=FALSE&amp;VAR:CALENDAR=US&amp;VAR:SYMBOL=04916420&amp;VAR:INDEX=0"}</definedName>
    <definedName name="_10565__FDSAUDITLINK__" hidden="1">{"fdsup://directions/FAT Viewer?action=UPDATE&amp;creator=factset&amp;DYN_ARGS=TRUE&amp;DOC_NAME=FAT:FQL_AUDITING_CLIENT_TEMPLATE.FAT&amp;display_string=Audit&amp;VAR:KEY=PEBINIZGTC&amp;VAR:QUERY=RkZfRUJJVERBX0lCKCdMVE1TJywzODgwNCk=&amp;WINDOW=FIRST_POPUP&amp;HEIGHT=450&amp;WIDTH=450&amp;START_MA","XIMIZED=FALSE&amp;VAR:CALENDAR=US&amp;VAR:SYMBOL=04916420&amp;VAR:INDEX=0"}</definedName>
    <definedName name="_10566__FDSAUDITLINK__" localSheetId="6" hidden="1">{"fdsup://directions/FAT Viewer?action=UPDATE&amp;creator=factset&amp;DYN_ARGS=TRUE&amp;DOC_NAME=FAT:FQL_AUDITING_CLIENT_TEMPLATE.FAT&amp;display_string=Audit&amp;VAR:KEY=TCDYBODAJK&amp;VAR:QUERY=RkZfRUJJVERBX0lCKCdMVE1TJywzODgwMyk=&amp;WINDOW=FIRST_POPUP&amp;HEIGHT=450&amp;WIDTH=450&amp;START_MA","XIMIZED=FALSE&amp;VAR:CALENDAR=US&amp;VAR:SYMBOL=04916420&amp;VAR:INDEX=0"}</definedName>
    <definedName name="_10566__FDSAUDITLINK__" hidden="1">{"fdsup://directions/FAT Viewer?action=UPDATE&amp;creator=factset&amp;DYN_ARGS=TRUE&amp;DOC_NAME=FAT:FQL_AUDITING_CLIENT_TEMPLATE.FAT&amp;display_string=Audit&amp;VAR:KEY=TCDYBODAJK&amp;VAR:QUERY=RkZfRUJJVERBX0lCKCdMVE1TJywzODgwMyk=&amp;WINDOW=FIRST_POPUP&amp;HEIGHT=450&amp;WIDTH=450&amp;START_MA","XIMIZED=FALSE&amp;VAR:CALENDAR=US&amp;VAR:SYMBOL=04916420&amp;VAR:INDEX=0"}</definedName>
    <definedName name="_10567__FDSAUDITLINK__" localSheetId="6" hidden="1">{"fdsup://directions/FAT Viewer?action=UPDATE&amp;creator=factset&amp;DYN_ARGS=TRUE&amp;DOC_NAME=FAT:FQL_AUDITING_CLIENT_TEMPLATE.FAT&amp;display_string=Audit&amp;VAR:KEY=ZMZYJGJITG&amp;VAR:QUERY=RkZfRUJJVERBX0lCKCdMVE1TJywzODgwMik=&amp;WINDOW=FIRST_POPUP&amp;HEIGHT=450&amp;WIDTH=450&amp;START_MA","XIMIZED=FALSE&amp;VAR:CALENDAR=US&amp;VAR:SYMBOL=04916420&amp;VAR:INDEX=0"}</definedName>
    <definedName name="_10567__FDSAUDITLINK__" hidden="1">{"fdsup://directions/FAT Viewer?action=UPDATE&amp;creator=factset&amp;DYN_ARGS=TRUE&amp;DOC_NAME=FAT:FQL_AUDITING_CLIENT_TEMPLATE.FAT&amp;display_string=Audit&amp;VAR:KEY=ZMZYJGJITG&amp;VAR:QUERY=RkZfRUJJVERBX0lCKCdMVE1TJywzODgwMik=&amp;WINDOW=FIRST_POPUP&amp;HEIGHT=450&amp;WIDTH=450&amp;START_MA","XIMIZED=FALSE&amp;VAR:CALENDAR=US&amp;VAR:SYMBOL=04916420&amp;VAR:INDEX=0"}</definedName>
    <definedName name="_10568__FDSAUDITLINK__" localSheetId="6" hidden="1">{"fdsup://directions/FAT Viewer?action=UPDATE&amp;creator=factset&amp;DYN_ARGS=TRUE&amp;DOC_NAME=FAT:FQL_AUDITING_CLIENT_TEMPLATE.FAT&amp;display_string=Audit&amp;VAR:KEY=RINGPUVQZY&amp;VAR:QUERY=RkZfRUJJVERBX0lCKCdMVE1TJywzODgwMSk=&amp;WINDOW=FIRST_POPUP&amp;HEIGHT=450&amp;WIDTH=450&amp;START_MA","XIMIZED=FALSE&amp;VAR:CALENDAR=US&amp;VAR:SYMBOL=04916420&amp;VAR:INDEX=0"}</definedName>
    <definedName name="_10568__FDSAUDITLINK__" hidden="1">{"fdsup://directions/FAT Viewer?action=UPDATE&amp;creator=factset&amp;DYN_ARGS=TRUE&amp;DOC_NAME=FAT:FQL_AUDITING_CLIENT_TEMPLATE.FAT&amp;display_string=Audit&amp;VAR:KEY=RINGPUVQZY&amp;VAR:QUERY=RkZfRUJJVERBX0lCKCdMVE1TJywzODgwMSk=&amp;WINDOW=FIRST_POPUP&amp;HEIGHT=450&amp;WIDTH=450&amp;START_MA","XIMIZED=FALSE&amp;VAR:CALENDAR=US&amp;VAR:SYMBOL=04916420&amp;VAR:INDEX=0"}</definedName>
    <definedName name="_10569__FDSAUDITLINK__" localSheetId="6" hidden="1">{"fdsup://directions/FAT Viewer?action=UPDATE&amp;creator=factset&amp;DYN_ARGS=TRUE&amp;DOC_NAME=FAT:FQL_AUDITING_CLIENT_TEMPLATE.FAT&amp;display_string=Audit&amp;VAR:KEY=FKHOFYVYXM&amp;VAR:QUERY=RkZfRUJJVERBX0lCKCdMVE1TJywzODgwMCk=&amp;WINDOW=FIRST_POPUP&amp;HEIGHT=450&amp;WIDTH=450&amp;START_MA","XIMIZED=FALSE&amp;VAR:CALENDAR=US&amp;VAR:SYMBOL=04916420&amp;VAR:INDEX=0"}</definedName>
    <definedName name="_10569__FDSAUDITLINK__" hidden="1">{"fdsup://directions/FAT Viewer?action=UPDATE&amp;creator=factset&amp;DYN_ARGS=TRUE&amp;DOC_NAME=FAT:FQL_AUDITING_CLIENT_TEMPLATE.FAT&amp;display_string=Audit&amp;VAR:KEY=FKHOFYVYXM&amp;VAR:QUERY=RkZfRUJJVERBX0lCKCdMVE1TJywzODgwMCk=&amp;WINDOW=FIRST_POPUP&amp;HEIGHT=450&amp;WIDTH=450&amp;START_MA","XIMIZED=FALSE&amp;VAR:CALENDAR=US&amp;VAR:SYMBOL=04916420&amp;VAR:INDEX=0"}</definedName>
    <definedName name="_1057__FDSAUDITLINK__" localSheetId="6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7__FDSAUDITLINK__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70__FDSAUDITLINK__" localSheetId="6" hidden="1">{"fdsup://directions/FAT Viewer?action=UPDATE&amp;creator=factset&amp;DYN_ARGS=TRUE&amp;DOC_NAME=FAT:FQL_AUDITING_CLIENT_TEMPLATE.FAT&amp;display_string=Audit&amp;VAR:KEY=ZANKRMDYVK&amp;VAR:QUERY=RkZfRUJJVERBX0lCKCdMVE1TJywzODc5OSk=&amp;WINDOW=FIRST_POPUP&amp;HEIGHT=450&amp;WIDTH=450&amp;START_MA","XIMIZED=FALSE&amp;VAR:CALENDAR=US&amp;VAR:SYMBOL=04916420&amp;VAR:INDEX=0"}</definedName>
    <definedName name="_10570__FDSAUDITLINK__" hidden="1">{"fdsup://directions/FAT Viewer?action=UPDATE&amp;creator=factset&amp;DYN_ARGS=TRUE&amp;DOC_NAME=FAT:FQL_AUDITING_CLIENT_TEMPLATE.FAT&amp;display_string=Audit&amp;VAR:KEY=ZANKRMDYVK&amp;VAR:QUERY=RkZfRUJJVERBX0lCKCdMVE1TJywzODc5OSk=&amp;WINDOW=FIRST_POPUP&amp;HEIGHT=450&amp;WIDTH=450&amp;START_MA","XIMIZED=FALSE&amp;VAR:CALENDAR=US&amp;VAR:SYMBOL=04916420&amp;VAR:INDEX=0"}</definedName>
    <definedName name="_10571__FDSAUDITLINK__" localSheetId="6" hidden="1">{"fdsup://directions/FAT Viewer?action=UPDATE&amp;creator=factset&amp;DYN_ARGS=TRUE&amp;DOC_NAME=FAT:FQL_AUDITING_CLIENT_TEMPLATE.FAT&amp;display_string=Audit&amp;VAR:KEY=LGZCNCHKTO&amp;VAR:QUERY=RkZfRUJJVERBX0lCKCdMVE1TJywzODc5OCk=&amp;WINDOW=FIRST_POPUP&amp;HEIGHT=450&amp;WIDTH=450&amp;START_MA","XIMIZED=FALSE&amp;VAR:CALENDAR=US&amp;VAR:SYMBOL=04916420&amp;VAR:INDEX=0"}</definedName>
    <definedName name="_10571__FDSAUDITLINK__" hidden="1">{"fdsup://directions/FAT Viewer?action=UPDATE&amp;creator=factset&amp;DYN_ARGS=TRUE&amp;DOC_NAME=FAT:FQL_AUDITING_CLIENT_TEMPLATE.FAT&amp;display_string=Audit&amp;VAR:KEY=LGZCNCHKTO&amp;VAR:QUERY=RkZfRUJJVERBX0lCKCdMVE1TJywzODc5OCk=&amp;WINDOW=FIRST_POPUP&amp;HEIGHT=450&amp;WIDTH=450&amp;START_MA","XIMIZED=FALSE&amp;VAR:CALENDAR=US&amp;VAR:SYMBOL=04916420&amp;VAR:INDEX=0"}</definedName>
    <definedName name="_10572__FDSAUDITLINK__" localSheetId="6" hidden="1">{"fdsup://directions/FAT Viewer?action=UPDATE&amp;creator=factset&amp;DYN_ARGS=TRUE&amp;DOC_NAME=FAT:FQL_AUDITING_CLIENT_TEMPLATE.FAT&amp;display_string=Audit&amp;VAR:KEY=VYNUXUTUZS&amp;VAR:QUERY=RkZfRUJJVERBX0lCKCdMVE1TJywzODc5Nyk=&amp;WINDOW=FIRST_POPUP&amp;HEIGHT=450&amp;WIDTH=450&amp;START_MA","XIMIZED=FALSE&amp;VAR:CALENDAR=US&amp;VAR:SYMBOL=04916420&amp;VAR:INDEX=0"}</definedName>
    <definedName name="_10572__FDSAUDITLINK__" hidden="1">{"fdsup://directions/FAT Viewer?action=UPDATE&amp;creator=factset&amp;DYN_ARGS=TRUE&amp;DOC_NAME=FAT:FQL_AUDITING_CLIENT_TEMPLATE.FAT&amp;display_string=Audit&amp;VAR:KEY=VYNUXUTUZS&amp;VAR:QUERY=RkZfRUJJVERBX0lCKCdMVE1TJywzODc5Nyk=&amp;WINDOW=FIRST_POPUP&amp;HEIGHT=450&amp;WIDTH=450&amp;START_MA","XIMIZED=FALSE&amp;VAR:CALENDAR=US&amp;VAR:SYMBOL=04916420&amp;VAR:INDEX=0"}</definedName>
    <definedName name="_10573__FDSAUDITLINK__" localSheetId="6" hidden="1">{"fdsup://directions/FAT Viewer?action=UPDATE&amp;creator=factset&amp;DYN_ARGS=TRUE&amp;DOC_NAME=FAT:FQL_AUDITING_CLIENT_TEMPLATE.FAT&amp;display_string=Audit&amp;VAR:KEY=DSXANSVQTU&amp;VAR:QUERY=RkZfRUJJVERBX0lCKCdMVE1TJywzODc5Nik=&amp;WINDOW=FIRST_POPUP&amp;HEIGHT=450&amp;WIDTH=450&amp;START_MA","XIMIZED=FALSE&amp;VAR:CALENDAR=US&amp;VAR:SYMBOL=04916420&amp;VAR:INDEX=0"}</definedName>
    <definedName name="_10573__FDSAUDITLINK__" hidden="1">{"fdsup://directions/FAT Viewer?action=UPDATE&amp;creator=factset&amp;DYN_ARGS=TRUE&amp;DOC_NAME=FAT:FQL_AUDITING_CLIENT_TEMPLATE.FAT&amp;display_string=Audit&amp;VAR:KEY=DSXANSVQTU&amp;VAR:QUERY=RkZfRUJJVERBX0lCKCdMVE1TJywzODc5Nik=&amp;WINDOW=FIRST_POPUP&amp;HEIGHT=450&amp;WIDTH=450&amp;START_MA","XIMIZED=FALSE&amp;VAR:CALENDAR=US&amp;VAR:SYMBOL=04916420&amp;VAR:INDEX=0"}</definedName>
    <definedName name="_10574__FDSAUDITLINK__" localSheetId="6" hidden="1">{"fdsup://directions/FAT Viewer?action=UPDATE&amp;creator=factset&amp;DYN_ARGS=TRUE&amp;DOC_NAME=FAT:FQL_AUDITING_CLIENT_TEMPLATE.FAT&amp;display_string=Audit&amp;VAR:KEY=RAVAZEFGRW&amp;VAR:QUERY=RkZfRUJJVERBX0lCKCdMVE1TJywzODc5NSk=&amp;WINDOW=FIRST_POPUP&amp;HEIGHT=450&amp;WIDTH=450&amp;START_MA","XIMIZED=FALSE&amp;VAR:CALENDAR=US&amp;VAR:SYMBOL=04916420&amp;VAR:INDEX=0"}</definedName>
    <definedName name="_10574__FDSAUDITLINK__" hidden="1">{"fdsup://directions/FAT Viewer?action=UPDATE&amp;creator=factset&amp;DYN_ARGS=TRUE&amp;DOC_NAME=FAT:FQL_AUDITING_CLIENT_TEMPLATE.FAT&amp;display_string=Audit&amp;VAR:KEY=RAVAZEFGRW&amp;VAR:QUERY=RkZfRUJJVERBX0lCKCdMVE1TJywzODc5NSk=&amp;WINDOW=FIRST_POPUP&amp;HEIGHT=450&amp;WIDTH=450&amp;START_MA","XIMIZED=FALSE&amp;VAR:CALENDAR=US&amp;VAR:SYMBOL=04916420&amp;VAR:INDEX=0"}</definedName>
    <definedName name="_10575__FDSAUDITLINK__" localSheetId="6" hidden="1">{"fdsup://directions/FAT Viewer?action=UPDATE&amp;creator=factset&amp;DYN_ARGS=TRUE&amp;DOC_NAME=FAT:FQL_AUDITING_CLIENT_TEMPLATE.FAT&amp;display_string=Audit&amp;VAR:KEY=FMJMZQZMFG&amp;VAR:QUERY=RkZfRUJJVERBX0lCKCdMVE1TJywzODc5NCk=&amp;WINDOW=FIRST_POPUP&amp;HEIGHT=450&amp;WIDTH=450&amp;START_MA","XIMIZED=FALSE&amp;VAR:CALENDAR=US&amp;VAR:SYMBOL=04916420&amp;VAR:INDEX=0"}</definedName>
    <definedName name="_10575__FDSAUDITLINK__" hidden="1">{"fdsup://directions/FAT Viewer?action=UPDATE&amp;creator=factset&amp;DYN_ARGS=TRUE&amp;DOC_NAME=FAT:FQL_AUDITING_CLIENT_TEMPLATE.FAT&amp;display_string=Audit&amp;VAR:KEY=FMJMZQZMFG&amp;VAR:QUERY=RkZfRUJJVERBX0lCKCdMVE1TJywzODc5NCk=&amp;WINDOW=FIRST_POPUP&amp;HEIGHT=450&amp;WIDTH=450&amp;START_MA","XIMIZED=FALSE&amp;VAR:CALENDAR=US&amp;VAR:SYMBOL=04916420&amp;VAR:INDEX=0"}</definedName>
    <definedName name="_10576__FDSAUDITLINK__" localSheetId="6" hidden="1">{"fdsup://directions/FAT Viewer?action=UPDATE&amp;creator=factset&amp;DYN_ARGS=TRUE&amp;DOC_NAME=FAT:FQL_AUDITING_CLIENT_TEMPLATE.FAT&amp;display_string=Audit&amp;VAR:KEY=RQDGFCZYJE&amp;VAR:QUERY=RkZfRUJJVERBX0lCKCdMVE1TJywzODc5Myk=&amp;WINDOW=FIRST_POPUP&amp;HEIGHT=450&amp;WIDTH=450&amp;START_MA","XIMIZED=FALSE&amp;VAR:CALENDAR=US&amp;VAR:SYMBOL=04916420&amp;VAR:INDEX=0"}</definedName>
    <definedName name="_10576__FDSAUDITLINK__" hidden="1">{"fdsup://directions/FAT Viewer?action=UPDATE&amp;creator=factset&amp;DYN_ARGS=TRUE&amp;DOC_NAME=FAT:FQL_AUDITING_CLIENT_TEMPLATE.FAT&amp;display_string=Audit&amp;VAR:KEY=RQDGFCZYJE&amp;VAR:QUERY=RkZfRUJJVERBX0lCKCdMVE1TJywzODc5Myk=&amp;WINDOW=FIRST_POPUP&amp;HEIGHT=450&amp;WIDTH=450&amp;START_MA","XIMIZED=FALSE&amp;VAR:CALENDAR=US&amp;VAR:SYMBOL=04916420&amp;VAR:INDEX=0"}</definedName>
    <definedName name="_10577__FDSAUDITLINK__" localSheetId="6" hidden="1">{"fdsup://directions/FAT Viewer?action=UPDATE&amp;creator=factset&amp;DYN_ARGS=TRUE&amp;DOC_NAME=FAT:FQL_AUDITING_CLIENT_TEMPLATE.FAT&amp;display_string=Audit&amp;VAR:KEY=FMVCPQBEZG&amp;VAR:QUERY=RkZfRUJJVERBX0lCKCdMVE1TJywzODc5Mik=&amp;WINDOW=FIRST_POPUP&amp;HEIGHT=450&amp;WIDTH=450&amp;START_MA","XIMIZED=FALSE&amp;VAR:CALENDAR=US&amp;VAR:SYMBOL=04916420&amp;VAR:INDEX=0"}</definedName>
    <definedName name="_10577__FDSAUDITLINK__" hidden="1">{"fdsup://directions/FAT Viewer?action=UPDATE&amp;creator=factset&amp;DYN_ARGS=TRUE&amp;DOC_NAME=FAT:FQL_AUDITING_CLIENT_TEMPLATE.FAT&amp;display_string=Audit&amp;VAR:KEY=FMVCPQBEZG&amp;VAR:QUERY=RkZfRUJJVERBX0lCKCdMVE1TJywzODc5Mik=&amp;WINDOW=FIRST_POPUP&amp;HEIGHT=450&amp;WIDTH=450&amp;START_MA","XIMIZED=FALSE&amp;VAR:CALENDAR=US&amp;VAR:SYMBOL=04916420&amp;VAR:INDEX=0"}</definedName>
    <definedName name="_10578__FDSAUDITLINK__" localSheetId="6" hidden="1">{"fdsup://directions/FAT Viewer?action=UPDATE&amp;creator=factset&amp;DYN_ARGS=TRUE&amp;DOC_NAME=FAT:FQL_AUDITING_CLIENT_TEMPLATE.FAT&amp;display_string=Audit&amp;VAR:KEY=NERSPAZATK&amp;VAR:QUERY=RkZfRUJJVERBX0lCKCdMVE1TJywzODc5MSk=&amp;WINDOW=FIRST_POPUP&amp;HEIGHT=450&amp;WIDTH=450&amp;START_MA","XIMIZED=FALSE&amp;VAR:CALENDAR=US&amp;VAR:SYMBOL=04916420&amp;VAR:INDEX=0"}</definedName>
    <definedName name="_10578__FDSAUDITLINK__" hidden="1">{"fdsup://directions/FAT Viewer?action=UPDATE&amp;creator=factset&amp;DYN_ARGS=TRUE&amp;DOC_NAME=FAT:FQL_AUDITING_CLIENT_TEMPLATE.FAT&amp;display_string=Audit&amp;VAR:KEY=NERSPAZATK&amp;VAR:QUERY=RkZfRUJJVERBX0lCKCdMVE1TJywzODc5MSk=&amp;WINDOW=FIRST_POPUP&amp;HEIGHT=450&amp;WIDTH=450&amp;START_MA","XIMIZED=FALSE&amp;VAR:CALENDAR=US&amp;VAR:SYMBOL=04916420&amp;VAR:INDEX=0"}</definedName>
    <definedName name="_10579__FDSAUDITLINK__" localSheetId="6" hidden="1">{"fdsup://directions/FAT Viewer?action=UPDATE&amp;creator=factset&amp;DYN_ARGS=TRUE&amp;DOC_NAME=FAT:FQL_AUDITING_CLIENT_TEMPLATE.FAT&amp;display_string=Audit&amp;VAR:KEY=JSRYVQPANK&amp;VAR:QUERY=RkZfRUJJVERBX0lCKCdMVE1TJywzODc5MCk=&amp;WINDOW=FIRST_POPUP&amp;HEIGHT=450&amp;WIDTH=450&amp;START_MA","XIMIZED=FALSE&amp;VAR:CALENDAR=US&amp;VAR:SYMBOL=04916420&amp;VAR:INDEX=0"}</definedName>
    <definedName name="_10579__FDSAUDITLINK__" hidden="1">{"fdsup://directions/FAT Viewer?action=UPDATE&amp;creator=factset&amp;DYN_ARGS=TRUE&amp;DOC_NAME=FAT:FQL_AUDITING_CLIENT_TEMPLATE.FAT&amp;display_string=Audit&amp;VAR:KEY=JSRYVQPANK&amp;VAR:QUERY=RkZfRUJJVERBX0lCKCdMVE1TJywzODc5MCk=&amp;WINDOW=FIRST_POPUP&amp;HEIGHT=450&amp;WIDTH=450&amp;START_MA","XIMIZED=FALSE&amp;VAR:CALENDAR=US&amp;VAR:SYMBOL=04916420&amp;VAR:INDEX=0"}</definedName>
    <definedName name="_1058__FDSAUDITLINK__" localSheetId="6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8__FDSAUDITLINK__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80__FDSAUDITLINK__" localSheetId="6" hidden="1">{"fdsup://directions/FAT Viewer?action=UPDATE&amp;creator=factset&amp;DYN_ARGS=TRUE&amp;DOC_NAME=FAT:FQL_AUDITING_CLIENT_TEMPLATE.FAT&amp;display_string=Audit&amp;VAR:KEY=TANGJKXEBE&amp;VAR:QUERY=RkZfRUJJVERBX0lCKCdMVE1TJywzODc4OSk=&amp;WINDOW=FIRST_POPUP&amp;HEIGHT=450&amp;WIDTH=450&amp;START_MA","XIMIZED=FALSE&amp;VAR:CALENDAR=US&amp;VAR:SYMBOL=04916420&amp;VAR:INDEX=0"}</definedName>
    <definedName name="_10580__FDSAUDITLINK__" hidden="1">{"fdsup://directions/FAT Viewer?action=UPDATE&amp;creator=factset&amp;DYN_ARGS=TRUE&amp;DOC_NAME=FAT:FQL_AUDITING_CLIENT_TEMPLATE.FAT&amp;display_string=Audit&amp;VAR:KEY=TANGJKXEBE&amp;VAR:QUERY=RkZfRUJJVERBX0lCKCdMVE1TJywzODc4OSk=&amp;WINDOW=FIRST_POPUP&amp;HEIGHT=450&amp;WIDTH=450&amp;START_MA","XIMIZED=FALSE&amp;VAR:CALENDAR=US&amp;VAR:SYMBOL=04916420&amp;VAR:INDEX=0"}</definedName>
    <definedName name="_10581__FDSAUDITLINK__" localSheetId="6" hidden="1">{"fdsup://directions/FAT Viewer?action=UPDATE&amp;creator=factset&amp;DYN_ARGS=TRUE&amp;DOC_NAME=FAT:FQL_AUDITING_CLIENT_TEMPLATE.FAT&amp;display_string=Audit&amp;VAR:KEY=LCXYZSPQLW&amp;VAR:QUERY=RkZfRUJJVERBX0lCKCdMVE1TJywzODc4OCk=&amp;WINDOW=FIRST_POPUP&amp;HEIGHT=450&amp;WIDTH=450&amp;START_MA","XIMIZED=FALSE&amp;VAR:CALENDAR=US&amp;VAR:SYMBOL=04916420&amp;VAR:INDEX=0"}</definedName>
    <definedName name="_10581__FDSAUDITLINK__" hidden="1">{"fdsup://directions/FAT Viewer?action=UPDATE&amp;creator=factset&amp;DYN_ARGS=TRUE&amp;DOC_NAME=FAT:FQL_AUDITING_CLIENT_TEMPLATE.FAT&amp;display_string=Audit&amp;VAR:KEY=LCXYZSPQLW&amp;VAR:QUERY=RkZfRUJJVERBX0lCKCdMVE1TJywzODc4OCk=&amp;WINDOW=FIRST_POPUP&amp;HEIGHT=450&amp;WIDTH=450&amp;START_MA","XIMIZED=FALSE&amp;VAR:CALENDAR=US&amp;VAR:SYMBOL=04916420&amp;VAR:INDEX=0"}</definedName>
    <definedName name="_10582__FDSAUDITLINK__" localSheetId="6" hidden="1">{"fdsup://directions/FAT Viewer?action=UPDATE&amp;creator=factset&amp;DYN_ARGS=TRUE&amp;DOC_NAME=FAT:FQL_AUDITING_CLIENT_TEMPLATE.FAT&amp;display_string=Audit&amp;VAR:KEY=FQDIZWROHM&amp;VAR:QUERY=RkZfRUJJVERBX0lCKCdMVE1TJywzODc4Nyk=&amp;WINDOW=FIRST_POPUP&amp;HEIGHT=450&amp;WIDTH=450&amp;START_MA","XIMIZED=FALSE&amp;VAR:CALENDAR=US&amp;VAR:SYMBOL=04916420&amp;VAR:INDEX=0"}</definedName>
    <definedName name="_10582__FDSAUDITLINK__" hidden="1">{"fdsup://directions/FAT Viewer?action=UPDATE&amp;creator=factset&amp;DYN_ARGS=TRUE&amp;DOC_NAME=FAT:FQL_AUDITING_CLIENT_TEMPLATE.FAT&amp;display_string=Audit&amp;VAR:KEY=FQDIZWROHM&amp;VAR:QUERY=RkZfRUJJVERBX0lCKCdMVE1TJywzODc4Nyk=&amp;WINDOW=FIRST_POPUP&amp;HEIGHT=450&amp;WIDTH=450&amp;START_MA","XIMIZED=FALSE&amp;VAR:CALENDAR=US&amp;VAR:SYMBOL=04916420&amp;VAR:INDEX=0"}</definedName>
    <definedName name="_10583__FDSAUDITLINK__" localSheetId="6" hidden="1">{"fdsup://directions/FAT Viewer?action=UPDATE&amp;creator=factset&amp;DYN_ARGS=TRUE&amp;DOC_NAME=FAT:FQL_AUDITING_CLIENT_TEMPLATE.FAT&amp;display_string=Audit&amp;VAR:KEY=TMVGPOZYVU&amp;VAR:QUERY=RkZfRUJJVERBX0lCKCdMVE1TJywzODc4Nik=&amp;WINDOW=FIRST_POPUP&amp;HEIGHT=450&amp;WIDTH=450&amp;START_MA","XIMIZED=FALSE&amp;VAR:CALENDAR=US&amp;VAR:SYMBOL=04916420&amp;VAR:INDEX=0"}</definedName>
    <definedName name="_10583__FDSAUDITLINK__" hidden="1">{"fdsup://directions/FAT Viewer?action=UPDATE&amp;creator=factset&amp;DYN_ARGS=TRUE&amp;DOC_NAME=FAT:FQL_AUDITING_CLIENT_TEMPLATE.FAT&amp;display_string=Audit&amp;VAR:KEY=TMVGPOZYVU&amp;VAR:QUERY=RkZfRUJJVERBX0lCKCdMVE1TJywzODc4Nik=&amp;WINDOW=FIRST_POPUP&amp;HEIGHT=450&amp;WIDTH=450&amp;START_MA","XIMIZED=FALSE&amp;VAR:CALENDAR=US&amp;VAR:SYMBOL=04916420&amp;VAR:INDEX=0"}</definedName>
    <definedName name="_10584__FDSAUDITLINK__" localSheetId="6" hidden="1">{"fdsup://directions/FAT Viewer?action=UPDATE&amp;creator=factset&amp;DYN_ARGS=TRUE&amp;DOC_NAME=FAT:FQL_AUDITING_CLIENT_TEMPLATE.FAT&amp;display_string=Audit&amp;VAR:KEY=PCFIVMLSXI&amp;VAR:QUERY=RkZfRUJJVERBX0lCKCdMVE1TJywzODc4NSk=&amp;WINDOW=FIRST_POPUP&amp;HEIGHT=450&amp;WIDTH=450&amp;START_MA","XIMIZED=FALSE&amp;VAR:CALENDAR=US&amp;VAR:SYMBOL=04916420&amp;VAR:INDEX=0"}</definedName>
    <definedName name="_10584__FDSAUDITLINK__" hidden="1">{"fdsup://directions/FAT Viewer?action=UPDATE&amp;creator=factset&amp;DYN_ARGS=TRUE&amp;DOC_NAME=FAT:FQL_AUDITING_CLIENT_TEMPLATE.FAT&amp;display_string=Audit&amp;VAR:KEY=PCFIVMLSXI&amp;VAR:QUERY=RkZfRUJJVERBX0lCKCdMVE1TJywzODc4NSk=&amp;WINDOW=FIRST_POPUP&amp;HEIGHT=450&amp;WIDTH=450&amp;START_MA","XIMIZED=FALSE&amp;VAR:CALENDAR=US&amp;VAR:SYMBOL=04916420&amp;VAR:INDEX=0"}</definedName>
    <definedName name="_10585__FDSAUDITLINK__" localSheetId="6" hidden="1">{"fdsup://directions/FAT Viewer?action=UPDATE&amp;creator=factset&amp;DYN_ARGS=TRUE&amp;DOC_NAME=FAT:FQL_AUDITING_CLIENT_TEMPLATE.FAT&amp;display_string=Audit&amp;VAR:KEY=DAHYNORSVS&amp;VAR:QUERY=RkZfRUJJVERBX0lCKCdMVE1TJywzODc4NCk=&amp;WINDOW=FIRST_POPUP&amp;HEIGHT=450&amp;WIDTH=450&amp;START_MA","XIMIZED=FALSE&amp;VAR:CALENDAR=US&amp;VAR:SYMBOL=04916420&amp;VAR:INDEX=0"}</definedName>
    <definedName name="_10585__FDSAUDITLINK__" hidden="1">{"fdsup://directions/FAT Viewer?action=UPDATE&amp;creator=factset&amp;DYN_ARGS=TRUE&amp;DOC_NAME=FAT:FQL_AUDITING_CLIENT_TEMPLATE.FAT&amp;display_string=Audit&amp;VAR:KEY=DAHYNORSVS&amp;VAR:QUERY=RkZfRUJJVERBX0lCKCdMVE1TJywzODc4NCk=&amp;WINDOW=FIRST_POPUP&amp;HEIGHT=450&amp;WIDTH=450&amp;START_MA","XIMIZED=FALSE&amp;VAR:CALENDAR=US&amp;VAR:SYMBOL=04916420&amp;VAR:INDEX=0"}</definedName>
    <definedName name="_10586__FDSAUDITLINK__" localSheetId="6" hidden="1">{"fdsup://directions/FAT Viewer?action=UPDATE&amp;creator=factset&amp;DYN_ARGS=TRUE&amp;DOC_NAME=FAT:FQL_AUDITING_CLIENT_TEMPLATE.FAT&amp;display_string=Audit&amp;VAR:KEY=BQDUVUBQJA&amp;VAR:QUERY=RkZfRUJJVERBX0lCKCdMVE1TJywzODc4Myk=&amp;WINDOW=FIRST_POPUP&amp;HEIGHT=450&amp;WIDTH=450&amp;START_MA","XIMIZED=FALSE&amp;VAR:CALENDAR=US&amp;VAR:SYMBOL=04916420&amp;VAR:INDEX=0"}</definedName>
    <definedName name="_10586__FDSAUDITLINK__" hidden="1">{"fdsup://directions/FAT Viewer?action=UPDATE&amp;creator=factset&amp;DYN_ARGS=TRUE&amp;DOC_NAME=FAT:FQL_AUDITING_CLIENT_TEMPLATE.FAT&amp;display_string=Audit&amp;VAR:KEY=BQDUVUBQJA&amp;VAR:QUERY=RkZfRUJJVERBX0lCKCdMVE1TJywzODc4Myk=&amp;WINDOW=FIRST_POPUP&amp;HEIGHT=450&amp;WIDTH=450&amp;START_MA","XIMIZED=FALSE&amp;VAR:CALENDAR=US&amp;VAR:SYMBOL=04916420&amp;VAR:INDEX=0"}</definedName>
    <definedName name="_10587__FDSAUDITLINK__" localSheetId="6" hidden="1">{"fdsup://directions/FAT Viewer?action=UPDATE&amp;creator=factset&amp;DYN_ARGS=TRUE&amp;DOC_NAME=FAT:FQL_AUDITING_CLIENT_TEMPLATE.FAT&amp;display_string=Audit&amp;VAR:KEY=JGHMRCZCFA&amp;VAR:QUERY=RkZfRUJJVERBX0lCKCdMVE1TJywzODc4Mik=&amp;WINDOW=FIRST_POPUP&amp;HEIGHT=450&amp;WIDTH=450&amp;START_MA","XIMIZED=FALSE&amp;VAR:CALENDAR=US&amp;VAR:SYMBOL=04916420&amp;VAR:INDEX=0"}</definedName>
    <definedName name="_10587__FDSAUDITLINK__" hidden="1">{"fdsup://directions/FAT Viewer?action=UPDATE&amp;creator=factset&amp;DYN_ARGS=TRUE&amp;DOC_NAME=FAT:FQL_AUDITING_CLIENT_TEMPLATE.FAT&amp;display_string=Audit&amp;VAR:KEY=JGHMRCZCFA&amp;VAR:QUERY=RkZfRUJJVERBX0lCKCdMVE1TJywzODc4Mik=&amp;WINDOW=FIRST_POPUP&amp;HEIGHT=450&amp;WIDTH=450&amp;START_MA","XIMIZED=FALSE&amp;VAR:CALENDAR=US&amp;VAR:SYMBOL=04916420&amp;VAR:INDEX=0"}</definedName>
    <definedName name="_10588__FDSAUDITLINK__" localSheetId="6" hidden="1">{"fdsup://directions/FAT Viewer?action=UPDATE&amp;creator=factset&amp;DYN_ARGS=TRUE&amp;DOC_NAME=FAT:FQL_AUDITING_CLIENT_TEMPLATE.FAT&amp;display_string=Audit&amp;VAR:KEY=XOXYLQHQTW&amp;VAR:QUERY=RkZfRUJJVERBX0lCKCdMVE1TJywzODc4MSk=&amp;WINDOW=FIRST_POPUP&amp;HEIGHT=450&amp;WIDTH=450&amp;START_MA","XIMIZED=FALSE&amp;VAR:CALENDAR=US&amp;VAR:SYMBOL=04916420&amp;VAR:INDEX=0"}</definedName>
    <definedName name="_10588__FDSAUDITLINK__" hidden="1">{"fdsup://directions/FAT Viewer?action=UPDATE&amp;creator=factset&amp;DYN_ARGS=TRUE&amp;DOC_NAME=FAT:FQL_AUDITING_CLIENT_TEMPLATE.FAT&amp;display_string=Audit&amp;VAR:KEY=XOXYLQHQTW&amp;VAR:QUERY=RkZfRUJJVERBX0lCKCdMVE1TJywzODc4MSk=&amp;WINDOW=FIRST_POPUP&amp;HEIGHT=450&amp;WIDTH=450&amp;START_MA","XIMIZED=FALSE&amp;VAR:CALENDAR=US&amp;VAR:SYMBOL=04916420&amp;VAR:INDEX=0"}</definedName>
    <definedName name="_10589__FDSAUDITLINK__" localSheetId="6" hidden="1">{"fdsup://directions/FAT Viewer?action=UPDATE&amp;creator=factset&amp;DYN_ARGS=TRUE&amp;DOC_NAME=FAT:FQL_AUDITING_CLIENT_TEMPLATE.FAT&amp;display_string=Audit&amp;VAR:KEY=TKFCBSDMXM&amp;VAR:QUERY=RkZfRUJJVERBX0lCKCdMVE1TJywzODc4MCk=&amp;WINDOW=FIRST_POPUP&amp;HEIGHT=450&amp;WIDTH=450&amp;START_MA","XIMIZED=FALSE&amp;VAR:CALENDAR=US&amp;VAR:SYMBOL=04916420&amp;VAR:INDEX=0"}</definedName>
    <definedName name="_10589__FDSAUDITLINK__" hidden="1">{"fdsup://directions/FAT Viewer?action=UPDATE&amp;creator=factset&amp;DYN_ARGS=TRUE&amp;DOC_NAME=FAT:FQL_AUDITING_CLIENT_TEMPLATE.FAT&amp;display_string=Audit&amp;VAR:KEY=TKFCBSDMXM&amp;VAR:QUERY=RkZfRUJJVERBX0lCKCdMVE1TJywzODc4MCk=&amp;WINDOW=FIRST_POPUP&amp;HEIGHT=450&amp;WIDTH=450&amp;START_MA","XIMIZED=FALSE&amp;VAR:CALENDAR=US&amp;VAR:SYMBOL=04916420&amp;VAR:INDEX=0"}</definedName>
    <definedName name="_1059__FDSAUDITLINK__" localSheetId="6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9__FDSAUDITLINK__" hidden="1">{"fdsup://directions/FAT%20Viewer?VAR:PED=LTM&amp;VAR:AUDIT_MODE=SUMMARY&amp;VAR:PERIOD=FIXED&amp;VAR:AUDIT_ID=00000117&amp;VAR:DATE=20070330&amp;action=UPDATE&amp;creator=factset&amp;DOC_NAME=FAT:FMA_audit_SUMMARY.fat&amp;DISPLAY_STRING=Display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590__FDSAUDITLINK__" localSheetId="6" hidden="1">{"fdsup://directions/FAT Viewer?action=UPDATE&amp;creator=factset&amp;DYN_ARGS=TRUE&amp;DOC_NAME=FAT:FQL_AUDITING_CLIENT_TEMPLATE.FAT&amp;display_string=Audit&amp;VAR:KEY=TMNEHGTGJO&amp;VAR:QUERY=RkZfRUJJVERBX0lCKCdMVE1TJywzODc3OSk=&amp;WINDOW=FIRST_POPUP&amp;HEIGHT=450&amp;WIDTH=450&amp;START_MA","XIMIZED=FALSE&amp;VAR:CALENDAR=US&amp;VAR:SYMBOL=04916420&amp;VAR:INDEX=0"}</definedName>
    <definedName name="_10590__FDSAUDITLINK__" hidden="1">{"fdsup://directions/FAT Viewer?action=UPDATE&amp;creator=factset&amp;DYN_ARGS=TRUE&amp;DOC_NAME=FAT:FQL_AUDITING_CLIENT_TEMPLATE.FAT&amp;display_string=Audit&amp;VAR:KEY=TMNEHGTGJO&amp;VAR:QUERY=RkZfRUJJVERBX0lCKCdMVE1TJywzODc3OSk=&amp;WINDOW=FIRST_POPUP&amp;HEIGHT=450&amp;WIDTH=450&amp;START_MA","XIMIZED=FALSE&amp;VAR:CALENDAR=US&amp;VAR:SYMBOL=04916420&amp;VAR:INDEX=0"}</definedName>
    <definedName name="_10591__FDSAUDITLINK__" localSheetId="6" hidden="1">{"fdsup://directions/FAT Viewer?action=UPDATE&amp;creator=factset&amp;DYN_ARGS=TRUE&amp;DOC_NAME=FAT:FQL_AUDITING_CLIENT_TEMPLATE.FAT&amp;display_string=Audit&amp;VAR:KEY=TERUZKBWBW&amp;VAR:QUERY=RkZfRUJJVERBX0lCKCdMVE1TJywzODc3OCk=&amp;WINDOW=FIRST_POPUP&amp;HEIGHT=450&amp;WIDTH=450&amp;START_MA","XIMIZED=FALSE&amp;VAR:CALENDAR=US&amp;VAR:SYMBOL=04916420&amp;VAR:INDEX=0"}</definedName>
    <definedName name="_10591__FDSAUDITLINK__" hidden="1">{"fdsup://directions/FAT Viewer?action=UPDATE&amp;creator=factset&amp;DYN_ARGS=TRUE&amp;DOC_NAME=FAT:FQL_AUDITING_CLIENT_TEMPLATE.FAT&amp;display_string=Audit&amp;VAR:KEY=TERUZKBWBW&amp;VAR:QUERY=RkZfRUJJVERBX0lCKCdMVE1TJywzODc3OCk=&amp;WINDOW=FIRST_POPUP&amp;HEIGHT=450&amp;WIDTH=450&amp;START_MA","XIMIZED=FALSE&amp;VAR:CALENDAR=US&amp;VAR:SYMBOL=04916420&amp;VAR:INDEX=0"}</definedName>
    <definedName name="_10592__FDSAUDITLINK__" localSheetId="6" hidden="1">{"fdsup://directions/FAT Viewer?action=UPDATE&amp;creator=factset&amp;DYN_ARGS=TRUE&amp;DOC_NAME=FAT:FQL_AUDITING_CLIENT_TEMPLATE.FAT&amp;display_string=Audit&amp;VAR:KEY=PSREVMNWPC&amp;VAR:QUERY=RkZfRUJJVERBX0lCKCdMVE1TJywzODc3Nyk=&amp;WINDOW=FIRST_POPUP&amp;HEIGHT=450&amp;WIDTH=450&amp;START_MA","XIMIZED=FALSE&amp;VAR:CALENDAR=US&amp;VAR:SYMBOL=04916420&amp;VAR:INDEX=0"}</definedName>
    <definedName name="_10592__FDSAUDITLINK__" hidden="1">{"fdsup://directions/FAT Viewer?action=UPDATE&amp;creator=factset&amp;DYN_ARGS=TRUE&amp;DOC_NAME=FAT:FQL_AUDITING_CLIENT_TEMPLATE.FAT&amp;display_string=Audit&amp;VAR:KEY=PSREVMNWPC&amp;VAR:QUERY=RkZfRUJJVERBX0lCKCdMVE1TJywzODc3Nyk=&amp;WINDOW=FIRST_POPUP&amp;HEIGHT=450&amp;WIDTH=450&amp;START_MA","XIMIZED=FALSE&amp;VAR:CALENDAR=US&amp;VAR:SYMBOL=04916420&amp;VAR:INDEX=0"}</definedName>
    <definedName name="_10593__FDSAUDITLINK__" localSheetId="6" hidden="1">{"fdsup://directions/FAT Viewer?action=UPDATE&amp;creator=factset&amp;DYN_ARGS=TRUE&amp;DOC_NAME=FAT:FQL_AUDITING_CLIENT_TEMPLATE.FAT&amp;display_string=Audit&amp;VAR:KEY=JOJUZAJIFC&amp;VAR:QUERY=RkZfRUJJVERBX0lCKCdMVE1TJywzODc3Nik=&amp;WINDOW=FIRST_POPUP&amp;HEIGHT=450&amp;WIDTH=450&amp;START_MA","XIMIZED=FALSE&amp;VAR:CALENDAR=US&amp;VAR:SYMBOL=04916420&amp;VAR:INDEX=0"}</definedName>
    <definedName name="_10593__FDSAUDITLINK__" hidden="1">{"fdsup://directions/FAT Viewer?action=UPDATE&amp;creator=factset&amp;DYN_ARGS=TRUE&amp;DOC_NAME=FAT:FQL_AUDITING_CLIENT_TEMPLATE.FAT&amp;display_string=Audit&amp;VAR:KEY=JOJUZAJIFC&amp;VAR:QUERY=RkZfRUJJVERBX0lCKCdMVE1TJywzODc3Nik=&amp;WINDOW=FIRST_POPUP&amp;HEIGHT=450&amp;WIDTH=450&amp;START_MA","XIMIZED=FALSE&amp;VAR:CALENDAR=US&amp;VAR:SYMBOL=04916420&amp;VAR:INDEX=0"}</definedName>
    <definedName name="_10594__FDSAUDITLINK__" localSheetId="6" hidden="1">{"fdsup://directions/FAT Viewer?action=UPDATE&amp;creator=factset&amp;DYN_ARGS=TRUE&amp;DOC_NAME=FAT:FQL_AUDITING_CLIENT_TEMPLATE.FAT&amp;display_string=Audit&amp;VAR:KEY=LOPAFADIFQ&amp;VAR:QUERY=RkZfRUJJVERBX0lCKCdMVE1TJywzODc3NSk=&amp;WINDOW=FIRST_POPUP&amp;HEIGHT=450&amp;WIDTH=450&amp;START_MA","XIMIZED=FALSE&amp;VAR:CALENDAR=US&amp;VAR:SYMBOL=04916420&amp;VAR:INDEX=0"}</definedName>
    <definedName name="_10594__FDSAUDITLINK__" hidden="1">{"fdsup://directions/FAT Viewer?action=UPDATE&amp;creator=factset&amp;DYN_ARGS=TRUE&amp;DOC_NAME=FAT:FQL_AUDITING_CLIENT_TEMPLATE.FAT&amp;display_string=Audit&amp;VAR:KEY=LOPAFADIFQ&amp;VAR:QUERY=RkZfRUJJVERBX0lCKCdMVE1TJywzODc3NSk=&amp;WINDOW=FIRST_POPUP&amp;HEIGHT=450&amp;WIDTH=450&amp;START_MA","XIMIZED=FALSE&amp;VAR:CALENDAR=US&amp;VAR:SYMBOL=04916420&amp;VAR:INDEX=0"}</definedName>
    <definedName name="_10595__FDSAUDITLINK__" localSheetId="6" hidden="1">{"fdsup://directions/FAT Viewer?action=UPDATE&amp;creator=factset&amp;DYN_ARGS=TRUE&amp;DOC_NAME=FAT:FQL_AUDITING_CLIENT_TEMPLATE.FAT&amp;display_string=Audit&amp;VAR:KEY=TQLUXEFCZO&amp;VAR:QUERY=RkZfRUJJVERBX0lCKCdMVE1TJywzODc3NCk=&amp;WINDOW=FIRST_POPUP&amp;HEIGHT=450&amp;WIDTH=450&amp;START_MA","XIMIZED=FALSE&amp;VAR:CALENDAR=US&amp;VAR:SYMBOL=04916420&amp;VAR:INDEX=0"}</definedName>
    <definedName name="_10595__FDSAUDITLINK__" hidden="1">{"fdsup://directions/FAT Viewer?action=UPDATE&amp;creator=factset&amp;DYN_ARGS=TRUE&amp;DOC_NAME=FAT:FQL_AUDITING_CLIENT_TEMPLATE.FAT&amp;display_string=Audit&amp;VAR:KEY=TQLUXEFCZO&amp;VAR:QUERY=RkZfRUJJVERBX0lCKCdMVE1TJywzODc3NCk=&amp;WINDOW=FIRST_POPUP&amp;HEIGHT=450&amp;WIDTH=450&amp;START_MA","XIMIZED=FALSE&amp;VAR:CALENDAR=US&amp;VAR:SYMBOL=04916420&amp;VAR:INDEX=0"}</definedName>
    <definedName name="_10596__FDSAUDITLINK__" localSheetId="6" hidden="1">{"fdsup://directions/FAT Viewer?action=UPDATE&amp;creator=factset&amp;DYN_ARGS=TRUE&amp;DOC_NAME=FAT:FQL_AUDITING_CLIENT_TEMPLATE.FAT&amp;display_string=Audit&amp;VAR:KEY=DKHSLOVMLU&amp;VAR:QUERY=RkZfRUJJVERBX0lCKCdMVE1TJywzODc3Myk=&amp;WINDOW=FIRST_POPUP&amp;HEIGHT=450&amp;WIDTH=450&amp;START_MA","XIMIZED=FALSE&amp;VAR:CALENDAR=US&amp;VAR:SYMBOL=04916420&amp;VAR:INDEX=0"}</definedName>
    <definedName name="_10596__FDSAUDITLINK__" hidden="1">{"fdsup://directions/FAT Viewer?action=UPDATE&amp;creator=factset&amp;DYN_ARGS=TRUE&amp;DOC_NAME=FAT:FQL_AUDITING_CLIENT_TEMPLATE.FAT&amp;display_string=Audit&amp;VAR:KEY=DKHSLOVMLU&amp;VAR:QUERY=RkZfRUJJVERBX0lCKCdMVE1TJywzODc3Myk=&amp;WINDOW=FIRST_POPUP&amp;HEIGHT=450&amp;WIDTH=450&amp;START_MA","XIMIZED=FALSE&amp;VAR:CALENDAR=US&amp;VAR:SYMBOL=04916420&amp;VAR:INDEX=0"}</definedName>
    <definedName name="_10597__FDSAUDITLINK__" localSheetId="6" hidden="1">{"fdsup://directions/FAT Viewer?action=UPDATE&amp;creator=factset&amp;DYN_ARGS=TRUE&amp;DOC_NAME=FAT:FQL_AUDITING_CLIENT_TEMPLATE.FAT&amp;display_string=Audit&amp;VAR:KEY=VSBQTOHMTQ&amp;VAR:QUERY=RkZfRUJJVERBX0lCKCdMVE1TJywzODc3Mik=&amp;WINDOW=FIRST_POPUP&amp;HEIGHT=450&amp;WIDTH=450&amp;START_MA","XIMIZED=FALSE&amp;VAR:CALENDAR=US&amp;VAR:SYMBOL=04916420&amp;VAR:INDEX=0"}</definedName>
    <definedName name="_10597__FDSAUDITLINK__" hidden="1">{"fdsup://directions/FAT Viewer?action=UPDATE&amp;creator=factset&amp;DYN_ARGS=TRUE&amp;DOC_NAME=FAT:FQL_AUDITING_CLIENT_TEMPLATE.FAT&amp;display_string=Audit&amp;VAR:KEY=VSBQTOHMTQ&amp;VAR:QUERY=RkZfRUJJVERBX0lCKCdMVE1TJywzODc3Mik=&amp;WINDOW=FIRST_POPUP&amp;HEIGHT=450&amp;WIDTH=450&amp;START_MA","XIMIZED=FALSE&amp;VAR:CALENDAR=US&amp;VAR:SYMBOL=04916420&amp;VAR:INDEX=0"}</definedName>
    <definedName name="_10598__FDSAUDITLINK__" localSheetId="6" hidden="1">{"fdsup://directions/FAT Viewer?action=UPDATE&amp;creator=factset&amp;DYN_ARGS=TRUE&amp;DOC_NAME=FAT:FQL_AUDITING_CLIENT_TEMPLATE.FAT&amp;display_string=Audit&amp;VAR:KEY=DCNIRKFERY&amp;VAR:QUERY=RkZfRUJJVERBX0lCKCdMVE1TJywzODc3MSk=&amp;WINDOW=FIRST_POPUP&amp;HEIGHT=450&amp;WIDTH=450&amp;START_MA","XIMIZED=FALSE&amp;VAR:CALENDAR=US&amp;VAR:SYMBOL=04916420&amp;VAR:INDEX=0"}</definedName>
    <definedName name="_10598__FDSAUDITLINK__" hidden="1">{"fdsup://directions/FAT Viewer?action=UPDATE&amp;creator=factset&amp;DYN_ARGS=TRUE&amp;DOC_NAME=FAT:FQL_AUDITING_CLIENT_TEMPLATE.FAT&amp;display_string=Audit&amp;VAR:KEY=DCNIRKFERY&amp;VAR:QUERY=RkZfRUJJVERBX0lCKCdMVE1TJywzODc3MSk=&amp;WINDOW=FIRST_POPUP&amp;HEIGHT=450&amp;WIDTH=450&amp;START_MA","XIMIZED=FALSE&amp;VAR:CALENDAR=US&amp;VAR:SYMBOL=04916420&amp;VAR:INDEX=0"}</definedName>
    <definedName name="_10599__FDSAUDITLINK__" localSheetId="6" hidden="1">{"fdsup://directions/FAT Viewer?action=UPDATE&amp;creator=factset&amp;DYN_ARGS=TRUE&amp;DOC_NAME=FAT:FQL_AUDITING_CLIENT_TEMPLATE.FAT&amp;display_string=Audit&amp;VAR:KEY=XQZKXYNOPI&amp;VAR:QUERY=RkZfRUJJVERBX0lCKCdMVE1TJywzODc3MCk=&amp;WINDOW=FIRST_POPUP&amp;HEIGHT=450&amp;WIDTH=450&amp;START_MA","XIMIZED=FALSE&amp;VAR:CALENDAR=US&amp;VAR:SYMBOL=04916420&amp;VAR:INDEX=0"}</definedName>
    <definedName name="_10599__FDSAUDITLINK__" hidden="1">{"fdsup://directions/FAT Viewer?action=UPDATE&amp;creator=factset&amp;DYN_ARGS=TRUE&amp;DOC_NAME=FAT:FQL_AUDITING_CLIENT_TEMPLATE.FAT&amp;display_string=Audit&amp;VAR:KEY=XQZKXYNOPI&amp;VAR:QUERY=RkZfRUJJVERBX0lCKCdMVE1TJywzODc3MCk=&amp;WINDOW=FIRST_POPUP&amp;HEIGHT=450&amp;WIDTH=450&amp;START_MA","XIMIZED=FALSE&amp;VAR:CALENDAR=US&amp;VAR:SYMBOL=04916420&amp;VAR:INDEX=0"}</definedName>
    <definedName name="_106__FDSAUDITLINK__" localSheetId="6" hidden="1">{"fdsup://directions/FAT Viewer?action=UPDATE&amp;creator=factset&amp;DYN_ARGS=TRUE&amp;DOC_NAME=FAT:FQL_AUDITING_CLIENT_TEMPLATE.FAT&amp;display_string=Audit&amp;VAR:KEY=ORIJKZEDGL&amp;VAR:QUERY=QVZHKENTRl9ORVRfSU5DKEFOTiwwRlksLTZGWSxZKSkvKEFWRyhDU0ZfQVNTRVRTKEFOTiwwRlksLTZGWSxGW","SkpLUFWRyhDU0ZfSU5UQU5HKEFOTiwwLC02RlksRlkpKSk=&amp;WINDOW=FIRST_POPUP&amp;HEIGHT=450&amp;WIDTH=450&amp;START_MAXIMIZED=FALSE&amp;VAR:CALENDAR=US&amp;VAR:SYMBOL=44044K10"}</definedName>
    <definedName name="_106__FDSAUDITLINK__" hidden="1">{"fdsup://directions/FAT Viewer?action=UPDATE&amp;creator=factset&amp;DYN_ARGS=TRUE&amp;DOC_NAME=FAT:FQL_AUDITING_CLIENT_TEMPLATE.FAT&amp;display_string=Audit&amp;VAR:KEY=ORIJKZEDGL&amp;VAR:QUERY=QVZHKENTRl9ORVRfSU5DKEFOTiwwRlksLTZGWSxZKSkvKEFWRyhDU0ZfQVNTRVRTKEFOTiwwRlksLTZGWSxGW","SkpLUFWRyhDU0ZfSU5UQU5HKEFOTiwwLC02RlksRlkpKSk=&amp;WINDOW=FIRST_POPUP&amp;HEIGHT=450&amp;WIDTH=450&amp;START_MAXIMIZED=FALSE&amp;VAR:CALENDAR=US&amp;VAR:SYMBOL=44044K10"}</definedName>
    <definedName name="_1060__FDSAUDITLINK__" localSheetId="6" hidden="1">{"fdsup://directions/FAT%20Viewer?VAR:PED=LTM&amp;VAR:AUDIT_MODE=SUMMARY&amp;VAR:PERIOD=FIXED&amp;VAR:AUDIT_ID=00000117&amp;VAR:DATE=20070329&amp;action=UPDATE&amp;creator=factset&amp;DOC_NAME=FAT:FMA_audit_SUMMARY.fat&amp;DISPLAY_STRING=Display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0__FDSAUDITLINK__" hidden="1">{"fdsup://directions/FAT%20Viewer?VAR:PED=LTM&amp;VAR:AUDIT_MODE=SUMMARY&amp;VAR:PERIOD=FIXED&amp;VAR:AUDIT_ID=00000117&amp;VAR:DATE=20070329&amp;action=UPDATE&amp;creator=factset&amp;DOC_NAME=FAT:FMA_audit_SUMMARY.fat&amp;DISPLAY_STRING=Display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00__FDSAUDITLINK__" localSheetId="6" hidden="1">{"fdsup://directions/FAT Viewer?action=UPDATE&amp;creator=factset&amp;DYN_ARGS=TRUE&amp;DOC_NAME=FAT:FQL_AUDITING_CLIENT_TEMPLATE.FAT&amp;display_string=Audit&amp;VAR:KEY=LKPCVGBIHE&amp;VAR:QUERY=RkZfRUJJVERBX0lCKCdMVE1TJywzODc2OSk=&amp;WINDOW=FIRST_POPUP&amp;HEIGHT=450&amp;WIDTH=450&amp;START_MA","XIMIZED=FALSE&amp;VAR:CALENDAR=US&amp;VAR:SYMBOL=04916420&amp;VAR:INDEX=0"}</definedName>
    <definedName name="_10600__FDSAUDITLINK__" hidden="1">{"fdsup://directions/FAT Viewer?action=UPDATE&amp;creator=factset&amp;DYN_ARGS=TRUE&amp;DOC_NAME=FAT:FQL_AUDITING_CLIENT_TEMPLATE.FAT&amp;display_string=Audit&amp;VAR:KEY=LKPCVGBIHE&amp;VAR:QUERY=RkZfRUJJVERBX0lCKCdMVE1TJywzODc2OSk=&amp;WINDOW=FIRST_POPUP&amp;HEIGHT=450&amp;WIDTH=450&amp;START_MA","XIMIZED=FALSE&amp;VAR:CALENDAR=US&amp;VAR:SYMBOL=04916420&amp;VAR:INDEX=0"}</definedName>
    <definedName name="_10601__FDSAUDITLINK__" localSheetId="6" hidden="1">{"fdsup://directions/FAT Viewer?action=UPDATE&amp;creator=factset&amp;DYN_ARGS=TRUE&amp;DOC_NAME=FAT:FQL_AUDITING_CLIENT_TEMPLATE.FAT&amp;display_string=Audit&amp;VAR:KEY=XOJYHQZAFI&amp;VAR:QUERY=RkZfRUJJVERBX0lCKCdMVE1TJywzODc2OCk=&amp;WINDOW=FIRST_POPUP&amp;HEIGHT=450&amp;WIDTH=450&amp;START_MA","XIMIZED=FALSE&amp;VAR:CALENDAR=US&amp;VAR:SYMBOL=04916420&amp;VAR:INDEX=0"}</definedName>
    <definedName name="_10601__FDSAUDITLINK__" hidden="1">{"fdsup://directions/FAT Viewer?action=UPDATE&amp;creator=factset&amp;DYN_ARGS=TRUE&amp;DOC_NAME=FAT:FQL_AUDITING_CLIENT_TEMPLATE.FAT&amp;display_string=Audit&amp;VAR:KEY=XOJYHQZAFI&amp;VAR:QUERY=RkZfRUJJVERBX0lCKCdMVE1TJywzODc2OCk=&amp;WINDOW=FIRST_POPUP&amp;HEIGHT=450&amp;WIDTH=450&amp;START_MA","XIMIZED=FALSE&amp;VAR:CALENDAR=US&amp;VAR:SYMBOL=04916420&amp;VAR:INDEX=0"}</definedName>
    <definedName name="_10602__FDSAUDITLINK__" localSheetId="6" hidden="1">{"fdsup://directions/FAT Viewer?action=UPDATE&amp;creator=factset&amp;DYN_ARGS=TRUE&amp;DOC_NAME=FAT:FQL_AUDITING_CLIENT_TEMPLATE.FAT&amp;display_string=Audit&amp;VAR:KEY=VYTYDOBWVO&amp;VAR:QUERY=RkZfRUJJVERBX0lCKCdMVE1TJywzODc2Nyk=&amp;WINDOW=FIRST_POPUP&amp;HEIGHT=450&amp;WIDTH=450&amp;START_MA","XIMIZED=FALSE&amp;VAR:CALENDAR=US&amp;VAR:SYMBOL=04916420&amp;VAR:INDEX=0"}</definedName>
    <definedName name="_10602__FDSAUDITLINK__" hidden="1">{"fdsup://directions/FAT Viewer?action=UPDATE&amp;creator=factset&amp;DYN_ARGS=TRUE&amp;DOC_NAME=FAT:FQL_AUDITING_CLIENT_TEMPLATE.FAT&amp;display_string=Audit&amp;VAR:KEY=VYTYDOBWVO&amp;VAR:QUERY=RkZfRUJJVERBX0lCKCdMVE1TJywzODc2Nyk=&amp;WINDOW=FIRST_POPUP&amp;HEIGHT=450&amp;WIDTH=450&amp;START_MA","XIMIZED=FALSE&amp;VAR:CALENDAR=US&amp;VAR:SYMBOL=04916420&amp;VAR:INDEX=0"}</definedName>
    <definedName name="_10603__FDSAUDITLINK__" localSheetId="6" hidden="1">{"fdsup://directions/FAT Viewer?action=UPDATE&amp;creator=factset&amp;DYN_ARGS=TRUE&amp;DOC_NAME=FAT:FQL_AUDITING_CLIENT_TEMPLATE.FAT&amp;display_string=Audit&amp;VAR:KEY=XGLIZSVUDS&amp;VAR:QUERY=RkZfRUJJVERBX0lCKCdMVE1TJywzODc2Nik=&amp;WINDOW=FIRST_POPUP&amp;HEIGHT=450&amp;WIDTH=450&amp;START_MA","XIMIZED=FALSE&amp;VAR:CALENDAR=US&amp;VAR:SYMBOL=04916420&amp;VAR:INDEX=0"}</definedName>
    <definedName name="_10603__FDSAUDITLINK__" hidden="1">{"fdsup://directions/FAT Viewer?action=UPDATE&amp;creator=factset&amp;DYN_ARGS=TRUE&amp;DOC_NAME=FAT:FQL_AUDITING_CLIENT_TEMPLATE.FAT&amp;display_string=Audit&amp;VAR:KEY=XGLIZSVUDS&amp;VAR:QUERY=RkZfRUJJVERBX0lCKCdMVE1TJywzODc2Nik=&amp;WINDOW=FIRST_POPUP&amp;HEIGHT=450&amp;WIDTH=450&amp;START_MA","XIMIZED=FALSE&amp;VAR:CALENDAR=US&amp;VAR:SYMBOL=04916420&amp;VAR:INDEX=0"}</definedName>
    <definedName name="_10604__FDSAUDITLINK__" localSheetId="6" hidden="1">{"fdsup://directions/FAT Viewer?action=UPDATE&amp;creator=factset&amp;DYN_ARGS=TRUE&amp;DOC_NAME=FAT:FQL_AUDITING_CLIENT_TEMPLATE.FAT&amp;display_string=Audit&amp;VAR:KEY=HODITYLQRW&amp;VAR:QUERY=RkZfRUJJVERBX0lCKCdMVE1TJywzODc2NSk=&amp;WINDOW=FIRST_POPUP&amp;HEIGHT=450&amp;WIDTH=450&amp;START_MA","XIMIZED=FALSE&amp;VAR:CALENDAR=US&amp;VAR:SYMBOL=04916420&amp;VAR:INDEX=0"}</definedName>
    <definedName name="_10604__FDSAUDITLINK__" hidden="1">{"fdsup://directions/FAT Viewer?action=UPDATE&amp;creator=factset&amp;DYN_ARGS=TRUE&amp;DOC_NAME=FAT:FQL_AUDITING_CLIENT_TEMPLATE.FAT&amp;display_string=Audit&amp;VAR:KEY=HODITYLQRW&amp;VAR:QUERY=RkZfRUJJVERBX0lCKCdMVE1TJywzODc2NSk=&amp;WINDOW=FIRST_POPUP&amp;HEIGHT=450&amp;WIDTH=450&amp;START_MA","XIMIZED=FALSE&amp;VAR:CALENDAR=US&amp;VAR:SYMBOL=04916420&amp;VAR:INDEX=0"}</definedName>
    <definedName name="_10605__FDSAUDITLINK__" localSheetId="6" hidden="1">{"fdsup://directions/FAT Viewer?action=UPDATE&amp;creator=factset&amp;DYN_ARGS=TRUE&amp;DOC_NAME=FAT:FQL_AUDITING_CLIENT_TEMPLATE.FAT&amp;display_string=Audit&amp;VAR:KEY=PWDOHYZWBE&amp;VAR:QUERY=RkZfRUJJVERBX0lCKCdMVE1TJywzODc2NCk=&amp;WINDOW=FIRST_POPUP&amp;HEIGHT=450&amp;WIDTH=450&amp;START_MA","XIMIZED=FALSE&amp;VAR:CALENDAR=US&amp;VAR:SYMBOL=04916420&amp;VAR:INDEX=0"}</definedName>
    <definedName name="_10605__FDSAUDITLINK__" hidden="1">{"fdsup://directions/FAT Viewer?action=UPDATE&amp;creator=factset&amp;DYN_ARGS=TRUE&amp;DOC_NAME=FAT:FQL_AUDITING_CLIENT_TEMPLATE.FAT&amp;display_string=Audit&amp;VAR:KEY=PWDOHYZWBE&amp;VAR:QUERY=RkZfRUJJVERBX0lCKCdMVE1TJywzODc2NCk=&amp;WINDOW=FIRST_POPUP&amp;HEIGHT=450&amp;WIDTH=450&amp;START_MA","XIMIZED=FALSE&amp;VAR:CALENDAR=US&amp;VAR:SYMBOL=04916420&amp;VAR:INDEX=0"}</definedName>
    <definedName name="_10606__FDSAUDITLINK__" localSheetId="6" hidden="1">{"fdsup://directions/FAT Viewer?action=UPDATE&amp;creator=factset&amp;DYN_ARGS=TRUE&amp;DOC_NAME=FAT:FQL_AUDITING_CLIENT_TEMPLATE.FAT&amp;display_string=Audit&amp;VAR:KEY=TSFYDKBWVM&amp;VAR:QUERY=RkZfRUJJVERBX0lCKCdMVE1TJywzODc2Myk=&amp;WINDOW=FIRST_POPUP&amp;HEIGHT=450&amp;WIDTH=450&amp;START_MA","XIMIZED=FALSE&amp;VAR:CALENDAR=US&amp;VAR:SYMBOL=04916420&amp;VAR:INDEX=0"}</definedName>
    <definedName name="_10606__FDSAUDITLINK__" hidden="1">{"fdsup://directions/FAT Viewer?action=UPDATE&amp;creator=factset&amp;DYN_ARGS=TRUE&amp;DOC_NAME=FAT:FQL_AUDITING_CLIENT_TEMPLATE.FAT&amp;display_string=Audit&amp;VAR:KEY=TSFYDKBWVM&amp;VAR:QUERY=RkZfRUJJVERBX0lCKCdMVE1TJywzODc2Myk=&amp;WINDOW=FIRST_POPUP&amp;HEIGHT=450&amp;WIDTH=450&amp;START_MA","XIMIZED=FALSE&amp;VAR:CALENDAR=US&amp;VAR:SYMBOL=04916420&amp;VAR:INDEX=0"}</definedName>
    <definedName name="_10607__FDSAUDITLINK__" localSheetId="6" hidden="1">{"fdsup://directions/FAT Viewer?action=UPDATE&amp;creator=factset&amp;DYN_ARGS=TRUE&amp;DOC_NAME=FAT:FQL_AUDITING_CLIENT_TEMPLATE.FAT&amp;display_string=Audit&amp;VAR:KEY=NYLQHCXEHE&amp;VAR:QUERY=RkZfRUJJVERBX0lCKCdMVE1TJywzODc2Mik=&amp;WINDOW=FIRST_POPUP&amp;HEIGHT=450&amp;WIDTH=450&amp;START_MA","XIMIZED=FALSE&amp;VAR:CALENDAR=US&amp;VAR:SYMBOL=04916420&amp;VAR:INDEX=0"}</definedName>
    <definedName name="_10607__FDSAUDITLINK__" hidden="1">{"fdsup://directions/FAT Viewer?action=UPDATE&amp;creator=factset&amp;DYN_ARGS=TRUE&amp;DOC_NAME=FAT:FQL_AUDITING_CLIENT_TEMPLATE.FAT&amp;display_string=Audit&amp;VAR:KEY=NYLQHCXEHE&amp;VAR:QUERY=RkZfRUJJVERBX0lCKCdMVE1TJywzODc2Mik=&amp;WINDOW=FIRST_POPUP&amp;HEIGHT=450&amp;WIDTH=450&amp;START_MA","XIMIZED=FALSE&amp;VAR:CALENDAR=US&amp;VAR:SYMBOL=04916420&amp;VAR:INDEX=0"}</definedName>
    <definedName name="_10608__FDSAUDITLINK__" localSheetId="6" hidden="1">{"fdsup://directions/FAT Viewer?action=UPDATE&amp;creator=factset&amp;DYN_ARGS=TRUE&amp;DOC_NAME=FAT:FQL_AUDITING_CLIENT_TEMPLATE.FAT&amp;display_string=Audit&amp;VAR:KEY=VSPATWLUFS&amp;VAR:QUERY=RkZfRUJJVERBX0lCKCdMVE1TJywzODc2MSk=&amp;WINDOW=FIRST_POPUP&amp;HEIGHT=450&amp;WIDTH=450&amp;START_MA","XIMIZED=FALSE&amp;VAR:CALENDAR=US&amp;VAR:SYMBOL=04916420&amp;VAR:INDEX=0"}</definedName>
    <definedName name="_10608__FDSAUDITLINK__" hidden="1">{"fdsup://directions/FAT Viewer?action=UPDATE&amp;creator=factset&amp;DYN_ARGS=TRUE&amp;DOC_NAME=FAT:FQL_AUDITING_CLIENT_TEMPLATE.FAT&amp;display_string=Audit&amp;VAR:KEY=VSPATWLUFS&amp;VAR:QUERY=RkZfRUJJVERBX0lCKCdMVE1TJywzODc2MSk=&amp;WINDOW=FIRST_POPUP&amp;HEIGHT=450&amp;WIDTH=450&amp;START_MA","XIMIZED=FALSE&amp;VAR:CALENDAR=US&amp;VAR:SYMBOL=04916420&amp;VAR:INDEX=0"}</definedName>
    <definedName name="_10609__FDSAUDITLINK__" localSheetId="6" hidden="1">{"fdsup://directions/FAT Viewer?action=UPDATE&amp;creator=factset&amp;DYN_ARGS=TRUE&amp;DOC_NAME=FAT:FQL_AUDITING_CLIENT_TEMPLATE.FAT&amp;display_string=Audit&amp;VAR:KEY=NIZAXYXMFA&amp;VAR:QUERY=RkZfRUJJVERBX0lCKCdMVE1TJywzODc2MCk=&amp;WINDOW=FIRST_POPUP&amp;HEIGHT=450&amp;WIDTH=450&amp;START_MA","XIMIZED=FALSE&amp;VAR:CALENDAR=US&amp;VAR:SYMBOL=04916420&amp;VAR:INDEX=0"}</definedName>
    <definedName name="_10609__FDSAUDITLINK__" hidden="1">{"fdsup://directions/FAT Viewer?action=UPDATE&amp;creator=factset&amp;DYN_ARGS=TRUE&amp;DOC_NAME=FAT:FQL_AUDITING_CLIENT_TEMPLATE.FAT&amp;display_string=Audit&amp;VAR:KEY=NIZAXYXMFA&amp;VAR:QUERY=RkZfRUJJVERBX0lCKCdMVE1TJywzODc2MCk=&amp;WINDOW=FIRST_POPUP&amp;HEIGHT=450&amp;WIDTH=450&amp;START_MA","XIMIZED=FALSE&amp;VAR:CALENDAR=US&amp;VAR:SYMBOL=04916420&amp;VAR:INDEX=0"}</definedName>
    <definedName name="_1061__FDSAUDITLINK__" localSheetId="6" hidden="1">{"fdsup://directions/FAT%20Viewer?VAR:PED=LTM&amp;VAR:AUDIT_MODE=SUMMARY&amp;VAR:PERIOD=FIXED&amp;VAR:AUDIT_ID=00000117&amp;VAR:DATE=20070328&amp;action=UPDATE&amp;creator=factset&amp;DOC_NAME=FAT:FMA_audit_SUMMARY.fat&amp;DISPLAY_STRING=Display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1__FDSAUDITLINK__" hidden="1">{"fdsup://directions/FAT%20Viewer?VAR:PED=LTM&amp;VAR:AUDIT_MODE=SUMMARY&amp;VAR:PERIOD=FIXED&amp;VAR:AUDIT_ID=00000117&amp;VAR:DATE=20070328&amp;action=UPDATE&amp;creator=factset&amp;DOC_NAME=FAT:FMA_audit_SUMMARY.fat&amp;DISPLAY_STRING=Display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10__FDSAUDITLINK__" localSheetId="6" hidden="1">{"fdsup://directions/FAT Viewer?action=UPDATE&amp;creator=factset&amp;DYN_ARGS=TRUE&amp;DOC_NAME=FAT:FQL_AUDITING_CLIENT_TEMPLATE.FAT&amp;display_string=Audit&amp;VAR:KEY=POHQTENWPQ&amp;VAR:QUERY=RkZfRUJJVERBX0lCKCdMVE1TJywzODc1OSk=&amp;WINDOW=FIRST_POPUP&amp;HEIGHT=450&amp;WIDTH=450&amp;START_MA","XIMIZED=FALSE&amp;VAR:CALENDAR=US&amp;VAR:SYMBOL=04916420&amp;VAR:INDEX=0"}</definedName>
    <definedName name="_10610__FDSAUDITLINK__" hidden="1">{"fdsup://directions/FAT Viewer?action=UPDATE&amp;creator=factset&amp;DYN_ARGS=TRUE&amp;DOC_NAME=FAT:FQL_AUDITING_CLIENT_TEMPLATE.FAT&amp;display_string=Audit&amp;VAR:KEY=POHQTENWPQ&amp;VAR:QUERY=RkZfRUJJVERBX0lCKCdMVE1TJywzODc1OSk=&amp;WINDOW=FIRST_POPUP&amp;HEIGHT=450&amp;WIDTH=450&amp;START_MA","XIMIZED=FALSE&amp;VAR:CALENDAR=US&amp;VAR:SYMBOL=04916420&amp;VAR:INDEX=0"}</definedName>
    <definedName name="_10611__FDSAUDITLINK__" localSheetId="6" hidden="1">{"fdsup://directions/FAT Viewer?action=UPDATE&amp;creator=factset&amp;DYN_ARGS=TRUE&amp;DOC_NAME=FAT:FQL_AUDITING_CLIENT_TEMPLATE.FAT&amp;display_string=Audit&amp;VAR:KEY=JYPCHWXMRS&amp;VAR:QUERY=RkZfRUJJVERBX0lCKCdMVE1TJywzODc1OCk=&amp;WINDOW=FIRST_POPUP&amp;HEIGHT=450&amp;WIDTH=450&amp;START_MA","XIMIZED=FALSE&amp;VAR:CALENDAR=US&amp;VAR:SYMBOL=04916420&amp;VAR:INDEX=0"}</definedName>
    <definedName name="_10611__FDSAUDITLINK__" hidden="1">{"fdsup://directions/FAT Viewer?action=UPDATE&amp;creator=factset&amp;DYN_ARGS=TRUE&amp;DOC_NAME=FAT:FQL_AUDITING_CLIENT_TEMPLATE.FAT&amp;display_string=Audit&amp;VAR:KEY=JYPCHWXMRS&amp;VAR:QUERY=RkZfRUJJVERBX0lCKCdMVE1TJywzODc1OCk=&amp;WINDOW=FIRST_POPUP&amp;HEIGHT=450&amp;WIDTH=450&amp;START_MA","XIMIZED=FALSE&amp;VAR:CALENDAR=US&amp;VAR:SYMBOL=04916420&amp;VAR:INDEX=0"}</definedName>
    <definedName name="_10612__FDSAUDITLINK__" localSheetId="6" hidden="1">{"fdsup://directions/FAT Viewer?action=UPDATE&amp;creator=factset&amp;DYN_ARGS=TRUE&amp;DOC_NAME=FAT:FQL_AUDITING_CLIENT_TEMPLATE.FAT&amp;display_string=Audit&amp;VAR:KEY=FKDWHCFWHM&amp;VAR:QUERY=RkZfRUJJVERBX0lCKCdMVE1TJywzODc1Nyk=&amp;WINDOW=FIRST_POPUP&amp;HEIGHT=450&amp;WIDTH=450&amp;START_MA","XIMIZED=FALSE&amp;VAR:CALENDAR=US&amp;VAR:SYMBOL=04916420&amp;VAR:INDEX=0"}</definedName>
    <definedName name="_10612__FDSAUDITLINK__" hidden="1">{"fdsup://directions/FAT Viewer?action=UPDATE&amp;creator=factset&amp;DYN_ARGS=TRUE&amp;DOC_NAME=FAT:FQL_AUDITING_CLIENT_TEMPLATE.FAT&amp;display_string=Audit&amp;VAR:KEY=FKDWHCFWHM&amp;VAR:QUERY=RkZfRUJJVERBX0lCKCdMVE1TJywzODc1Nyk=&amp;WINDOW=FIRST_POPUP&amp;HEIGHT=450&amp;WIDTH=450&amp;START_MA","XIMIZED=FALSE&amp;VAR:CALENDAR=US&amp;VAR:SYMBOL=04916420&amp;VAR:INDEX=0"}</definedName>
    <definedName name="_10613__FDSAUDITLINK__" localSheetId="6" hidden="1">{"fdsup://directions/FAT Viewer?action=UPDATE&amp;creator=factset&amp;DYN_ARGS=TRUE&amp;DOC_NAME=FAT:FQL_AUDITING_CLIENT_TEMPLATE.FAT&amp;display_string=Audit&amp;VAR:KEY=LIXAJSZUNS&amp;VAR:QUERY=RkZfRUJJVERBX0lCKCdMVE1TJywzODc1Nik=&amp;WINDOW=FIRST_POPUP&amp;HEIGHT=450&amp;WIDTH=450&amp;START_MA","XIMIZED=FALSE&amp;VAR:CALENDAR=US&amp;VAR:SYMBOL=04916420&amp;VAR:INDEX=0"}</definedName>
    <definedName name="_10613__FDSAUDITLINK__" hidden="1">{"fdsup://directions/FAT Viewer?action=UPDATE&amp;creator=factset&amp;DYN_ARGS=TRUE&amp;DOC_NAME=FAT:FQL_AUDITING_CLIENT_TEMPLATE.FAT&amp;display_string=Audit&amp;VAR:KEY=LIXAJSZUNS&amp;VAR:QUERY=RkZfRUJJVERBX0lCKCdMVE1TJywzODc1Nik=&amp;WINDOW=FIRST_POPUP&amp;HEIGHT=450&amp;WIDTH=450&amp;START_MA","XIMIZED=FALSE&amp;VAR:CALENDAR=US&amp;VAR:SYMBOL=04916420&amp;VAR:INDEX=0"}</definedName>
    <definedName name="_10614__FDSAUDITLINK__" localSheetId="6" hidden="1">{"fdsup://directions/FAT Viewer?action=UPDATE&amp;creator=factset&amp;DYN_ARGS=TRUE&amp;DOC_NAME=FAT:FQL_AUDITING_CLIENT_TEMPLATE.FAT&amp;display_string=Audit&amp;VAR:KEY=BIFEXQPAPK&amp;VAR:QUERY=RkZfRUJJVERBX0lCKCdMVE1TJywzODc1NSk=&amp;WINDOW=FIRST_POPUP&amp;HEIGHT=450&amp;WIDTH=450&amp;START_MA","XIMIZED=FALSE&amp;VAR:CALENDAR=US&amp;VAR:SYMBOL=04916420&amp;VAR:INDEX=0"}</definedName>
    <definedName name="_10614__FDSAUDITLINK__" hidden="1">{"fdsup://directions/FAT Viewer?action=UPDATE&amp;creator=factset&amp;DYN_ARGS=TRUE&amp;DOC_NAME=FAT:FQL_AUDITING_CLIENT_TEMPLATE.FAT&amp;display_string=Audit&amp;VAR:KEY=BIFEXQPAPK&amp;VAR:QUERY=RkZfRUJJVERBX0lCKCdMVE1TJywzODc1NSk=&amp;WINDOW=FIRST_POPUP&amp;HEIGHT=450&amp;WIDTH=450&amp;START_MA","XIMIZED=FALSE&amp;VAR:CALENDAR=US&amp;VAR:SYMBOL=04916420&amp;VAR:INDEX=0"}</definedName>
    <definedName name="_10615__FDSAUDITLINK__" localSheetId="6" hidden="1">{"fdsup://directions/FAT Viewer?action=UPDATE&amp;creator=factset&amp;DYN_ARGS=TRUE&amp;DOC_NAME=FAT:FQL_AUDITING_CLIENT_TEMPLATE.FAT&amp;display_string=Audit&amp;VAR:KEY=ZIZMXGHUXG&amp;VAR:QUERY=RkZfRUJJVERBX0lCKCdMVE1TJywzODc1NCk=&amp;WINDOW=FIRST_POPUP&amp;HEIGHT=450&amp;WIDTH=450&amp;START_MA","XIMIZED=FALSE&amp;VAR:CALENDAR=US&amp;VAR:SYMBOL=04916420&amp;VAR:INDEX=0"}</definedName>
    <definedName name="_10615__FDSAUDITLINK__" hidden="1">{"fdsup://directions/FAT Viewer?action=UPDATE&amp;creator=factset&amp;DYN_ARGS=TRUE&amp;DOC_NAME=FAT:FQL_AUDITING_CLIENT_TEMPLATE.FAT&amp;display_string=Audit&amp;VAR:KEY=ZIZMXGHUXG&amp;VAR:QUERY=RkZfRUJJVERBX0lCKCdMVE1TJywzODc1NCk=&amp;WINDOW=FIRST_POPUP&amp;HEIGHT=450&amp;WIDTH=450&amp;START_MA","XIMIZED=FALSE&amp;VAR:CALENDAR=US&amp;VAR:SYMBOL=04916420&amp;VAR:INDEX=0"}</definedName>
    <definedName name="_10616__FDSAUDITLINK__" localSheetId="6" hidden="1">{"fdsup://directions/FAT Viewer?action=UPDATE&amp;creator=factset&amp;DYN_ARGS=TRUE&amp;DOC_NAME=FAT:FQL_AUDITING_CLIENT_TEMPLATE.FAT&amp;display_string=Audit&amp;VAR:KEY=BWHGFUBKDS&amp;VAR:QUERY=RkZfRUJJVERBX0lCKCdMVE1TJywzODc1Myk=&amp;WINDOW=FIRST_POPUP&amp;HEIGHT=450&amp;WIDTH=450&amp;START_MA","XIMIZED=FALSE&amp;VAR:CALENDAR=US&amp;VAR:SYMBOL=04916420&amp;VAR:INDEX=0"}</definedName>
    <definedName name="_10616__FDSAUDITLINK__" hidden="1">{"fdsup://directions/FAT Viewer?action=UPDATE&amp;creator=factset&amp;DYN_ARGS=TRUE&amp;DOC_NAME=FAT:FQL_AUDITING_CLIENT_TEMPLATE.FAT&amp;display_string=Audit&amp;VAR:KEY=BWHGFUBKDS&amp;VAR:QUERY=RkZfRUJJVERBX0lCKCdMVE1TJywzODc1Myk=&amp;WINDOW=FIRST_POPUP&amp;HEIGHT=450&amp;WIDTH=450&amp;START_MA","XIMIZED=FALSE&amp;VAR:CALENDAR=US&amp;VAR:SYMBOL=04916420&amp;VAR:INDEX=0"}</definedName>
    <definedName name="_10617__FDSAUDITLINK__" localSheetId="6" hidden="1">{"fdsup://directions/FAT Viewer?action=UPDATE&amp;creator=factset&amp;DYN_ARGS=TRUE&amp;DOC_NAME=FAT:FQL_AUDITING_CLIENT_TEMPLATE.FAT&amp;display_string=Audit&amp;VAR:KEY=DQBGHIJMNQ&amp;VAR:QUERY=RkZfRUJJVERBX0lCKCdMVE1TJywzODc1Mik=&amp;WINDOW=FIRST_POPUP&amp;HEIGHT=450&amp;WIDTH=450&amp;START_MA","XIMIZED=FALSE&amp;VAR:CALENDAR=US&amp;VAR:SYMBOL=04916420&amp;VAR:INDEX=0"}</definedName>
    <definedName name="_10617__FDSAUDITLINK__" hidden="1">{"fdsup://directions/FAT Viewer?action=UPDATE&amp;creator=factset&amp;DYN_ARGS=TRUE&amp;DOC_NAME=FAT:FQL_AUDITING_CLIENT_TEMPLATE.FAT&amp;display_string=Audit&amp;VAR:KEY=DQBGHIJMNQ&amp;VAR:QUERY=RkZfRUJJVERBX0lCKCdMVE1TJywzODc1Mik=&amp;WINDOW=FIRST_POPUP&amp;HEIGHT=450&amp;WIDTH=450&amp;START_MA","XIMIZED=FALSE&amp;VAR:CALENDAR=US&amp;VAR:SYMBOL=04916420&amp;VAR:INDEX=0"}</definedName>
    <definedName name="_10618__FDSAUDITLINK__" localSheetId="6" hidden="1">{"fdsup://directions/FAT Viewer?action=UPDATE&amp;creator=factset&amp;DYN_ARGS=TRUE&amp;DOC_NAME=FAT:FQL_AUDITING_CLIENT_TEMPLATE.FAT&amp;display_string=Audit&amp;VAR:KEY=ZSLCBCJYJK&amp;VAR:QUERY=RkZfRUJJVERBX0lCKCdMVE1TJywzODc1MSk=&amp;WINDOW=FIRST_POPUP&amp;HEIGHT=450&amp;WIDTH=450&amp;START_MA","XIMIZED=FALSE&amp;VAR:CALENDAR=US&amp;VAR:SYMBOL=04916420&amp;VAR:INDEX=0"}</definedName>
    <definedName name="_10618__FDSAUDITLINK__" hidden="1">{"fdsup://directions/FAT Viewer?action=UPDATE&amp;creator=factset&amp;DYN_ARGS=TRUE&amp;DOC_NAME=FAT:FQL_AUDITING_CLIENT_TEMPLATE.FAT&amp;display_string=Audit&amp;VAR:KEY=ZSLCBCJYJK&amp;VAR:QUERY=RkZfRUJJVERBX0lCKCdMVE1TJywzODc1MSk=&amp;WINDOW=FIRST_POPUP&amp;HEIGHT=450&amp;WIDTH=450&amp;START_MA","XIMIZED=FALSE&amp;VAR:CALENDAR=US&amp;VAR:SYMBOL=04916420&amp;VAR:INDEX=0"}</definedName>
    <definedName name="_10619__FDSAUDITLINK__" localSheetId="6" hidden="1">{"fdsup://directions/FAT Viewer?action=UPDATE&amp;creator=factset&amp;DYN_ARGS=TRUE&amp;DOC_NAME=FAT:FQL_AUDITING_CLIENT_TEMPLATE.FAT&amp;display_string=Audit&amp;VAR:KEY=NYLKRWBUHC&amp;VAR:QUERY=RkZfRUJJVERBX0lCKCdMVE1TJywzODc1MCk=&amp;WINDOW=FIRST_POPUP&amp;HEIGHT=450&amp;WIDTH=450&amp;START_MA","XIMIZED=FALSE&amp;VAR:CALENDAR=US&amp;VAR:SYMBOL=04916420&amp;VAR:INDEX=0"}</definedName>
    <definedName name="_10619__FDSAUDITLINK__" hidden="1">{"fdsup://directions/FAT Viewer?action=UPDATE&amp;creator=factset&amp;DYN_ARGS=TRUE&amp;DOC_NAME=FAT:FQL_AUDITING_CLIENT_TEMPLATE.FAT&amp;display_string=Audit&amp;VAR:KEY=NYLKRWBUHC&amp;VAR:QUERY=RkZfRUJJVERBX0lCKCdMVE1TJywzODc1MCk=&amp;WINDOW=FIRST_POPUP&amp;HEIGHT=450&amp;WIDTH=450&amp;START_MA","XIMIZED=FALSE&amp;VAR:CALENDAR=US&amp;VAR:SYMBOL=04916420&amp;VAR:INDEX=0"}</definedName>
    <definedName name="_1062__FDSAUDITLINK__" localSheetId="6" hidden="1">{"fdsup://directions/FAT%20Viewer?VAR:PED=LTM&amp;VAR:AUDIT_MODE=SUMMARY&amp;VAR:PERIOD=FIXED&amp;VAR:AUDIT_ID=00000117&amp;VAR:DATE=20070327&amp;action=UPDATE&amp;creator=factset&amp;DOC_NAME=FAT:FMA_audit_SUMMARY.fat&amp;DISPLAY_STRING=Display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2__FDSAUDITLINK__" hidden="1">{"fdsup://directions/FAT%20Viewer?VAR:PED=LTM&amp;VAR:AUDIT_MODE=SUMMARY&amp;VAR:PERIOD=FIXED&amp;VAR:AUDIT_ID=00000117&amp;VAR:DATE=20070327&amp;action=UPDATE&amp;creator=factset&amp;DOC_NAME=FAT:FMA_audit_SUMMARY.fat&amp;DISPLAY_STRING=Display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20__FDSAUDITLINK__" localSheetId="6" hidden="1">{"fdsup://directions/FAT Viewer?action=UPDATE&amp;creator=factset&amp;DYN_ARGS=TRUE&amp;DOC_NAME=FAT:FQL_AUDITING_CLIENT_TEMPLATE.FAT&amp;display_string=Audit&amp;VAR:KEY=RILUDCFKBS&amp;VAR:QUERY=RkZfRUJJVERBX0lCKCdMVE1TJywzODc0OSk=&amp;WINDOW=FIRST_POPUP&amp;HEIGHT=450&amp;WIDTH=450&amp;START_MA","XIMIZED=FALSE&amp;VAR:CALENDAR=US&amp;VAR:SYMBOL=04916420&amp;VAR:INDEX=0"}</definedName>
    <definedName name="_10620__FDSAUDITLINK__" hidden="1">{"fdsup://directions/FAT Viewer?action=UPDATE&amp;creator=factset&amp;DYN_ARGS=TRUE&amp;DOC_NAME=FAT:FQL_AUDITING_CLIENT_TEMPLATE.FAT&amp;display_string=Audit&amp;VAR:KEY=RILUDCFKBS&amp;VAR:QUERY=RkZfRUJJVERBX0lCKCdMVE1TJywzODc0OSk=&amp;WINDOW=FIRST_POPUP&amp;HEIGHT=450&amp;WIDTH=450&amp;START_MA","XIMIZED=FALSE&amp;VAR:CALENDAR=US&amp;VAR:SYMBOL=04916420&amp;VAR:INDEX=0"}</definedName>
    <definedName name="_10621__FDSAUDITLINK__" localSheetId="6" hidden="1">{"fdsup://directions/FAT Viewer?action=UPDATE&amp;creator=factset&amp;DYN_ARGS=TRUE&amp;DOC_NAME=FAT:FQL_AUDITING_CLIENT_TEMPLATE.FAT&amp;display_string=Audit&amp;VAR:KEY=RMDWTKDCXE&amp;VAR:QUERY=RkZfRUJJVERBX0lCKCdMVE1TJywzODc0OCk=&amp;WINDOW=FIRST_POPUP&amp;HEIGHT=450&amp;WIDTH=450&amp;START_MA","XIMIZED=FALSE&amp;VAR:CALENDAR=US&amp;VAR:SYMBOL=04916420&amp;VAR:INDEX=0"}</definedName>
    <definedName name="_10621__FDSAUDITLINK__" hidden="1">{"fdsup://directions/FAT Viewer?action=UPDATE&amp;creator=factset&amp;DYN_ARGS=TRUE&amp;DOC_NAME=FAT:FQL_AUDITING_CLIENT_TEMPLATE.FAT&amp;display_string=Audit&amp;VAR:KEY=RMDWTKDCXE&amp;VAR:QUERY=RkZfRUJJVERBX0lCKCdMVE1TJywzODc0OCk=&amp;WINDOW=FIRST_POPUP&amp;HEIGHT=450&amp;WIDTH=450&amp;START_MA","XIMIZED=FALSE&amp;VAR:CALENDAR=US&amp;VAR:SYMBOL=04916420&amp;VAR:INDEX=0"}</definedName>
    <definedName name="_10622__FDSAUDITLINK__" localSheetId="6" hidden="1">{"fdsup://directions/FAT Viewer?action=UPDATE&amp;creator=factset&amp;DYN_ARGS=TRUE&amp;DOC_NAME=FAT:FQL_AUDITING_CLIENT_TEMPLATE.FAT&amp;display_string=Audit&amp;VAR:KEY=DETMFKXCRM&amp;VAR:QUERY=RkZfRUJJVERBX0lCKCdMVE1TJywzODc0Nyk=&amp;WINDOW=FIRST_POPUP&amp;HEIGHT=450&amp;WIDTH=450&amp;START_MA","XIMIZED=FALSE&amp;VAR:CALENDAR=US&amp;VAR:SYMBOL=04916420&amp;VAR:INDEX=0"}</definedName>
    <definedName name="_10622__FDSAUDITLINK__" hidden="1">{"fdsup://directions/FAT Viewer?action=UPDATE&amp;creator=factset&amp;DYN_ARGS=TRUE&amp;DOC_NAME=FAT:FQL_AUDITING_CLIENT_TEMPLATE.FAT&amp;display_string=Audit&amp;VAR:KEY=DETMFKXCRM&amp;VAR:QUERY=RkZfRUJJVERBX0lCKCdMVE1TJywzODc0Nyk=&amp;WINDOW=FIRST_POPUP&amp;HEIGHT=450&amp;WIDTH=450&amp;START_MA","XIMIZED=FALSE&amp;VAR:CALENDAR=US&amp;VAR:SYMBOL=04916420&amp;VAR:INDEX=0"}</definedName>
    <definedName name="_10623__FDSAUDITLINK__" localSheetId="6" hidden="1">{"fdsup://directions/FAT Viewer?action=UPDATE&amp;creator=factset&amp;DYN_ARGS=TRUE&amp;DOC_NAME=FAT:FQL_AUDITING_CLIENT_TEMPLATE.FAT&amp;display_string=Audit&amp;VAR:KEY=ZKZILQPGJG&amp;VAR:QUERY=RkZfRUJJVERBX0lCKCdMVE1TJywzODc0Nik=&amp;WINDOW=FIRST_POPUP&amp;HEIGHT=450&amp;WIDTH=450&amp;START_MA","XIMIZED=FALSE&amp;VAR:CALENDAR=US&amp;VAR:SYMBOL=04916420&amp;VAR:INDEX=0"}</definedName>
    <definedName name="_10623__FDSAUDITLINK__" hidden="1">{"fdsup://directions/FAT Viewer?action=UPDATE&amp;creator=factset&amp;DYN_ARGS=TRUE&amp;DOC_NAME=FAT:FQL_AUDITING_CLIENT_TEMPLATE.FAT&amp;display_string=Audit&amp;VAR:KEY=ZKZILQPGJG&amp;VAR:QUERY=RkZfRUJJVERBX0lCKCdMVE1TJywzODc0Nik=&amp;WINDOW=FIRST_POPUP&amp;HEIGHT=450&amp;WIDTH=450&amp;START_MA","XIMIZED=FALSE&amp;VAR:CALENDAR=US&amp;VAR:SYMBOL=04916420&amp;VAR:INDEX=0"}</definedName>
    <definedName name="_10624__FDSAUDITLINK__" localSheetId="6" hidden="1">{"fdsup://directions/FAT Viewer?action=UPDATE&amp;creator=factset&amp;DYN_ARGS=TRUE&amp;DOC_NAME=FAT:FQL_AUDITING_CLIENT_TEMPLATE.FAT&amp;display_string=Audit&amp;VAR:KEY=FQLKBEPAVG&amp;VAR:QUERY=RkZfRUJJVERBX0lCKCdMVE1TJywzODc0NSk=&amp;WINDOW=FIRST_POPUP&amp;HEIGHT=450&amp;WIDTH=450&amp;START_MA","XIMIZED=FALSE&amp;VAR:CALENDAR=US&amp;VAR:SYMBOL=04916420&amp;VAR:INDEX=0"}</definedName>
    <definedName name="_10624__FDSAUDITLINK__" hidden="1">{"fdsup://directions/FAT Viewer?action=UPDATE&amp;creator=factset&amp;DYN_ARGS=TRUE&amp;DOC_NAME=FAT:FQL_AUDITING_CLIENT_TEMPLATE.FAT&amp;display_string=Audit&amp;VAR:KEY=FQLKBEPAVG&amp;VAR:QUERY=RkZfRUJJVERBX0lCKCdMVE1TJywzODc0NSk=&amp;WINDOW=FIRST_POPUP&amp;HEIGHT=450&amp;WIDTH=450&amp;START_MA","XIMIZED=FALSE&amp;VAR:CALENDAR=US&amp;VAR:SYMBOL=04916420&amp;VAR:INDEX=0"}</definedName>
    <definedName name="_10625__FDSAUDITLINK__" localSheetId="6" hidden="1">{"fdsup://directions/FAT Viewer?action=UPDATE&amp;creator=factset&amp;DYN_ARGS=TRUE&amp;DOC_NAME=FAT:FQL_AUDITING_CLIENT_TEMPLATE.FAT&amp;display_string=Audit&amp;VAR:KEY=DCXWPCVIRW&amp;VAR:QUERY=RkZfRUJJVERBX0lCKCdMVE1TJywzODc0NCk=&amp;WINDOW=FIRST_POPUP&amp;HEIGHT=450&amp;WIDTH=450&amp;START_MA","XIMIZED=FALSE&amp;VAR:CALENDAR=US&amp;VAR:SYMBOL=04916420&amp;VAR:INDEX=0"}</definedName>
    <definedName name="_10625__FDSAUDITLINK__" hidden="1">{"fdsup://directions/FAT Viewer?action=UPDATE&amp;creator=factset&amp;DYN_ARGS=TRUE&amp;DOC_NAME=FAT:FQL_AUDITING_CLIENT_TEMPLATE.FAT&amp;display_string=Audit&amp;VAR:KEY=DCXWPCVIRW&amp;VAR:QUERY=RkZfRUJJVERBX0lCKCdMVE1TJywzODc0NCk=&amp;WINDOW=FIRST_POPUP&amp;HEIGHT=450&amp;WIDTH=450&amp;START_MA","XIMIZED=FALSE&amp;VAR:CALENDAR=US&amp;VAR:SYMBOL=04916420&amp;VAR:INDEX=0"}</definedName>
    <definedName name="_10626__FDSAUDITLINK__" localSheetId="6" hidden="1">{"fdsup://directions/FAT Viewer?action=UPDATE&amp;creator=factset&amp;DYN_ARGS=TRUE&amp;DOC_NAME=FAT:FQL_AUDITING_CLIENT_TEMPLATE.FAT&amp;display_string=Audit&amp;VAR:KEY=JEJMVYVGBO&amp;VAR:QUERY=RkZfRUJJVERBX0lCKCdMVE1TJywzODc0Myk=&amp;WINDOW=FIRST_POPUP&amp;HEIGHT=450&amp;WIDTH=450&amp;START_MA","XIMIZED=FALSE&amp;VAR:CALENDAR=US&amp;VAR:SYMBOL=04916420&amp;VAR:INDEX=0"}</definedName>
    <definedName name="_10626__FDSAUDITLINK__" hidden="1">{"fdsup://directions/FAT Viewer?action=UPDATE&amp;creator=factset&amp;DYN_ARGS=TRUE&amp;DOC_NAME=FAT:FQL_AUDITING_CLIENT_TEMPLATE.FAT&amp;display_string=Audit&amp;VAR:KEY=JEJMVYVGBO&amp;VAR:QUERY=RkZfRUJJVERBX0lCKCdMVE1TJywzODc0Myk=&amp;WINDOW=FIRST_POPUP&amp;HEIGHT=450&amp;WIDTH=450&amp;START_MA","XIMIZED=FALSE&amp;VAR:CALENDAR=US&amp;VAR:SYMBOL=04916420&amp;VAR:INDEX=0"}</definedName>
    <definedName name="_10627__FDSAUDITLINK__" localSheetId="6" hidden="1">{"fdsup://directions/FAT Viewer?action=UPDATE&amp;creator=factset&amp;DYN_ARGS=TRUE&amp;DOC_NAME=FAT:FQL_AUDITING_CLIENT_TEMPLATE.FAT&amp;display_string=Audit&amp;VAR:KEY=BULUNADIJM&amp;VAR:QUERY=RkZfRUJJVERBX0lCKCdMVE1TJywzODc0Mik=&amp;WINDOW=FIRST_POPUP&amp;HEIGHT=450&amp;WIDTH=450&amp;START_MA","XIMIZED=FALSE&amp;VAR:CALENDAR=US&amp;VAR:SYMBOL=04916420&amp;VAR:INDEX=0"}</definedName>
    <definedName name="_10627__FDSAUDITLINK__" hidden="1">{"fdsup://directions/FAT Viewer?action=UPDATE&amp;creator=factset&amp;DYN_ARGS=TRUE&amp;DOC_NAME=FAT:FQL_AUDITING_CLIENT_TEMPLATE.FAT&amp;display_string=Audit&amp;VAR:KEY=BULUNADIJM&amp;VAR:QUERY=RkZfRUJJVERBX0lCKCdMVE1TJywzODc0Mik=&amp;WINDOW=FIRST_POPUP&amp;HEIGHT=450&amp;WIDTH=450&amp;START_MA","XIMIZED=FALSE&amp;VAR:CALENDAR=US&amp;VAR:SYMBOL=04916420&amp;VAR:INDEX=0"}</definedName>
    <definedName name="_10628__FDSAUDITLINK__" localSheetId="6" hidden="1">{"fdsup://directions/FAT Viewer?action=UPDATE&amp;creator=factset&amp;DYN_ARGS=TRUE&amp;DOC_NAME=FAT:FQL_AUDITING_CLIENT_TEMPLATE.FAT&amp;display_string=Audit&amp;VAR:KEY=BOLULCHCXS&amp;VAR:QUERY=RkZfRUJJVERBX0lCKCdMVE1TJywzODc0MSk=&amp;WINDOW=FIRST_POPUP&amp;HEIGHT=450&amp;WIDTH=450&amp;START_MA","XIMIZED=FALSE&amp;VAR:CALENDAR=US&amp;VAR:SYMBOL=04916420&amp;VAR:INDEX=0"}</definedName>
    <definedName name="_10628__FDSAUDITLINK__" hidden="1">{"fdsup://directions/FAT Viewer?action=UPDATE&amp;creator=factset&amp;DYN_ARGS=TRUE&amp;DOC_NAME=FAT:FQL_AUDITING_CLIENT_TEMPLATE.FAT&amp;display_string=Audit&amp;VAR:KEY=BOLULCHCXS&amp;VAR:QUERY=RkZfRUJJVERBX0lCKCdMVE1TJywzODc0MSk=&amp;WINDOW=FIRST_POPUP&amp;HEIGHT=450&amp;WIDTH=450&amp;START_MA","XIMIZED=FALSE&amp;VAR:CALENDAR=US&amp;VAR:SYMBOL=04916420&amp;VAR:INDEX=0"}</definedName>
    <definedName name="_10629__FDSAUDITLINK__" localSheetId="6" hidden="1">{"fdsup://directions/FAT Viewer?action=UPDATE&amp;creator=factset&amp;DYN_ARGS=TRUE&amp;DOC_NAME=FAT:FQL_AUDITING_CLIENT_TEMPLATE.FAT&amp;display_string=Audit&amp;VAR:KEY=RYFMLIRIHE&amp;VAR:QUERY=RkZfRUJJVERBX0lCKCdMVE1TJywzODc0MCk=&amp;WINDOW=FIRST_POPUP&amp;HEIGHT=450&amp;WIDTH=450&amp;START_MA","XIMIZED=FALSE&amp;VAR:CALENDAR=US&amp;VAR:SYMBOL=04916420&amp;VAR:INDEX=0"}</definedName>
    <definedName name="_10629__FDSAUDITLINK__" hidden="1">{"fdsup://directions/FAT Viewer?action=UPDATE&amp;creator=factset&amp;DYN_ARGS=TRUE&amp;DOC_NAME=FAT:FQL_AUDITING_CLIENT_TEMPLATE.FAT&amp;display_string=Audit&amp;VAR:KEY=RYFMLIRIHE&amp;VAR:QUERY=RkZfRUJJVERBX0lCKCdMVE1TJywzODc0MCk=&amp;WINDOW=FIRST_POPUP&amp;HEIGHT=450&amp;WIDTH=450&amp;START_MA","XIMIZED=FALSE&amp;VAR:CALENDAR=US&amp;VAR:SYMBOL=04916420&amp;VAR:INDEX=0"}</definedName>
    <definedName name="_1063__FDSAUDITLINK__" localSheetId="6" hidden="1">{"fdsup://directions/FAT%20Viewer?VAR:PED=LTM&amp;VAR:AUDIT_MODE=SUMMARY&amp;VAR:PERIOD=FIXED&amp;VAR:AUDIT_ID=00000117&amp;VAR:DATE=20070326&amp;action=UPDATE&amp;creator=factset&amp;DOC_NAME=FAT:FMA_audit_SUMMARY.fat&amp;DISPLAY_STRING=Display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3__FDSAUDITLINK__" hidden="1">{"fdsup://directions/FAT%20Viewer?VAR:PED=LTM&amp;VAR:AUDIT_MODE=SUMMARY&amp;VAR:PERIOD=FIXED&amp;VAR:AUDIT_ID=00000117&amp;VAR:DATE=20070326&amp;action=UPDATE&amp;creator=factset&amp;DOC_NAME=FAT:FMA_audit_SUMMARY.fat&amp;DISPLAY_STRING=Display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30__FDSAUDITLINK__" localSheetId="6" hidden="1">{"fdsup://directions/FAT Viewer?action=UPDATE&amp;creator=factset&amp;DYN_ARGS=TRUE&amp;DOC_NAME=FAT:FQL_AUDITING_CLIENT_TEMPLATE.FAT&amp;display_string=Audit&amp;VAR:KEY=XKFEDYFEPY&amp;VAR:QUERY=RkZfRUJJVERBX0lCKCdMVE1TJywzODczOSk=&amp;WINDOW=FIRST_POPUP&amp;HEIGHT=450&amp;WIDTH=450&amp;START_MA","XIMIZED=FALSE&amp;VAR:CALENDAR=US&amp;VAR:SYMBOL=04916420&amp;VAR:INDEX=0"}</definedName>
    <definedName name="_10630__FDSAUDITLINK__" hidden="1">{"fdsup://directions/FAT Viewer?action=UPDATE&amp;creator=factset&amp;DYN_ARGS=TRUE&amp;DOC_NAME=FAT:FQL_AUDITING_CLIENT_TEMPLATE.FAT&amp;display_string=Audit&amp;VAR:KEY=XKFEDYFEPY&amp;VAR:QUERY=RkZfRUJJVERBX0lCKCdMVE1TJywzODczOSk=&amp;WINDOW=FIRST_POPUP&amp;HEIGHT=450&amp;WIDTH=450&amp;START_MA","XIMIZED=FALSE&amp;VAR:CALENDAR=US&amp;VAR:SYMBOL=04916420&amp;VAR:INDEX=0"}</definedName>
    <definedName name="_10631__FDSAUDITLINK__" localSheetId="6" hidden="1">{"fdsup://directions/FAT Viewer?action=UPDATE&amp;creator=factset&amp;DYN_ARGS=TRUE&amp;DOC_NAME=FAT:FQL_AUDITING_CLIENT_TEMPLATE.FAT&amp;display_string=Audit&amp;VAR:KEY=HCXOBIXUVG&amp;VAR:QUERY=RkZfRUJJVERBX0lCKCdMVE1TJywzODczOCk=&amp;WINDOW=FIRST_POPUP&amp;HEIGHT=450&amp;WIDTH=450&amp;START_MA","XIMIZED=FALSE&amp;VAR:CALENDAR=US&amp;VAR:SYMBOL=04916420&amp;VAR:INDEX=0"}</definedName>
    <definedName name="_10631__FDSAUDITLINK__" hidden="1">{"fdsup://directions/FAT Viewer?action=UPDATE&amp;creator=factset&amp;DYN_ARGS=TRUE&amp;DOC_NAME=FAT:FQL_AUDITING_CLIENT_TEMPLATE.FAT&amp;display_string=Audit&amp;VAR:KEY=HCXOBIXUVG&amp;VAR:QUERY=RkZfRUJJVERBX0lCKCdMVE1TJywzODczOCk=&amp;WINDOW=FIRST_POPUP&amp;HEIGHT=450&amp;WIDTH=450&amp;START_MA","XIMIZED=FALSE&amp;VAR:CALENDAR=US&amp;VAR:SYMBOL=04916420&amp;VAR:INDEX=0"}</definedName>
    <definedName name="_10632__FDSAUDITLINK__" localSheetId="6" hidden="1">{"fdsup://directions/FAT Viewer?action=UPDATE&amp;creator=factset&amp;DYN_ARGS=TRUE&amp;DOC_NAME=FAT:FQL_AUDITING_CLIENT_TEMPLATE.FAT&amp;display_string=Audit&amp;VAR:KEY=LANIPGRWHC&amp;VAR:QUERY=RkZfRUJJVERBX0lCKCdMVE1TJywzODczNyk=&amp;WINDOW=FIRST_POPUP&amp;HEIGHT=450&amp;WIDTH=450&amp;START_MA","XIMIZED=FALSE&amp;VAR:CALENDAR=US&amp;VAR:SYMBOL=04916420&amp;VAR:INDEX=0"}</definedName>
    <definedName name="_10632__FDSAUDITLINK__" hidden="1">{"fdsup://directions/FAT Viewer?action=UPDATE&amp;creator=factset&amp;DYN_ARGS=TRUE&amp;DOC_NAME=FAT:FQL_AUDITING_CLIENT_TEMPLATE.FAT&amp;display_string=Audit&amp;VAR:KEY=LANIPGRWHC&amp;VAR:QUERY=RkZfRUJJVERBX0lCKCdMVE1TJywzODczNyk=&amp;WINDOW=FIRST_POPUP&amp;HEIGHT=450&amp;WIDTH=450&amp;START_MA","XIMIZED=FALSE&amp;VAR:CALENDAR=US&amp;VAR:SYMBOL=04916420&amp;VAR:INDEX=0"}</definedName>
    <definedName name="_10633__FDSAUDITLINK__" localSheetId="6" hidden="1">{"fdsup://directions/FAT Viewer?action=UPDATE&amp;creator=factset&amp;DYN_ARGS=TRUE&amp;DOC_NAME=FAT:FQL_AUDITING_CLIENT_TEMPLATE.FAT&amp;display_string=Audit&amp;VAR:KEY=ZOLEDYJAVW&amp;VAR:QUERY=RkZfRUJJVERBX0lCKCdMVE1TJywzODczNik=&amp;WINDOW=FIRST_POPUP&amp;HEIGHT=450&amp;WIDTH=450&amp;START_MA","XIMIZED=FALSE&amp;VAR:CALENDAR=US&amp;VAR:SYMBOL=04916420&amp;VAR:INDEX=0"}</definedName>
    <definedName name="_10633__FDSAUDITLINK__" hidden="1">{"fdsup://directions/FAT Viewer?action=UPDATE&amp;creator=factset&amp;DYN_ARGS=TRUE&amp;DOC_NAME=FAT:FQL_AUDITING_CLIENT_TEMPLATE.FAT&amp;display_string=Audit&amp;VAR:KEY=ZOLEDYJAVW&amp;VAR:QUERY=RkZfRUJJVERBX0lCKCdMVE1TJywzODczNik=&amp;WINDOW=FIRST_POPUP&amp;HEIGHT=450&amp;WIDTH=450&amp;START_MA","XIMIZED=FALSE&amp;VAR:CALENDAR=US&amp;VAR:SYMBOL=04916420&amp;VAR:INDEX=0"}</definedName>
    <definedName name="_10634__FDSAUDITLINK__" localSheetId="6" hidden="1">{"fdsup://directions/FAT Viewer?action=UPDATE&amp;creator=factset&amp;DYN_ARGS=TRUE&amp;DOC_NAME=FAT:FQL_AUDITING_CLIENT_TEMPLATE.FAT&amp;display_string=Audit&amp;VAR:KEY=RCLURSBSLI&amp;VAR:QUERY=RkZfRUJJVERBX0lCKCdMVE1TJywzODczNSk=&amp;WINDOW=FIRST_POPUP&amp;HEIGHT=450&amp;WIDTH=450&amp;START_MA","XIMIZED=FALSE&amp;VAR:CALENDAR=US&amp;VAR:SYMBOL=04916420&amp;VAR:INDEX=0"}</definedName>
    <definedName name="_10634__FDSAUDITLINK__" hidden="1">{"fdsup://directions/FAT Viewer?action=UPDATE&amp;creator=factset&amp;DYN_ARGS=TRUE&amp;DOC_NAME=FAT:FQL_AUDITING_CLIENT_TEMPLATE.FAT&amp;display_string=Audit&amp;VAR:KEY=RCLURSBSLI&amp;VAR:QUERY=RkZfRUJJVERBX0lCKCdMVE1TJywzODczNSk=&amp;WINDOW=FIRST_POPUP&amp;HEIGHT=450&amp;WIDTH=450&amp;START_MA","XIMIZED=FALSE&amp;VAR:CALENDAR=US&amp;VAR:SYMBOL=04916420&amp;VAR:INDEX=0"}</definedName>
    <definedName name="_10635__FDSAUDITLINK__" localSheetId="6" hidden="1">{"fdsup://directions/FAT Viewer?action=UPDATE&amp;creator=factset&amp;DYN_ARGS=TRUE&amp;DOC_NAME=FAT:FQL_AUDITING_CLIENT_TEMPLATE.FAT&amp;display_string=Audit&amp;VAR:KEY=XCBQPIJYNS&amp;VAR:QUERY=RkZfRUJJVERBX0lCKCdMVE1TJywzODczNCk=&amp;WINDOW=FIRST_POPUP&amp;HEIGHT=450&amp;WIDTH=450&amp;START_MA","XIMIZED=FALSE&amp;VAR:CALENDAR=US&amp;VAR:SYMBOL=04916420&amp;VAR:INDEX=0"}</definedName>
    <definedName name="_10635__FDSAUDITLINK__" hidden="1">{"fdsup://directions/FAT Viewer?action=UPDATE&amp;creator=factset&amp;DYN_ARGS=TRUE&amp;DOC_NAME=FAT:FQL_AUDITING_CLIENT_TEMPLATE.FAT&amp;display_string=Audit&amp;VAR:KEY=XCBQPIJYNS&amp;VAR:QUERY=RkZfRUJJVERBX0lCKCdMVE1TJywzODczNCk=&amp;WINDOW=FIRST_POPUP&amp;HEIGHT=450&amp;WIDTH=450&amp;START_MA","XIMIZED=FALSE&amp;VAR:CALENDAR=US&amp;VAR:SYMBOL=04916420&amp;VAR:INDEX=0"}</definedName>
    <definedName name="_10636__FDSAUDITLINK__" localSheetId="6" hidden="1">{"fdsup://directions/FAT Viewer?action=UPDATE&amp;creator=factset&amp;DYN_ARGS=TRUE&amp;DOC_NAME=FAT:FQL_AUDITING_CLIENT_TEMPLATE.FAT&amp;display_string=Audit&amp;VAR:KEY=NEPUJYZYFE&amp;VAR:QUERY=RkZfRUJJVERBX0lCKCdMVE1TJywzODczMyk=&amp;WINDOW=FIRST_POPUP&amp;HEIGHT=450&amp;WIDTH=450&amp;START_MA","XIMIZED=FALSE&amp;VAR:CALENDAR=US&amp;VAR:SYMBOL=04916420&amp;VAR:INDEX=0"}</definedName>
    <definedName name="_10636__FDSAUDITLINK__" hidden="1">{"fdsup://directions/FAT Viewer?action=UPDATE&amp;creator=factset&amp;DYN_ARGS=TRUE&amp;DOC_NAME=FAT:FQL_AUDITING_CLIENT_TEMPLATE.FAT&amp;display_string=Audit&amp;VAR:KEY=NEPUJYZYFE&amp;VAR:QUERY=RkZfRUJJVERBX0lCKCdMVE1TJywzODczMyk=&amp;WINDOW=FIRST_POPUP&amp;HEIGHT=450&amp;WIDTH=450&amp;START_MA","XIMIZED=FALSE&amp;VAR:CALENDAR=US&amp;VAR:SYMBOL=04916420&amp;VAR:INDEX=0"}</definedName>
    <definedName name="_10637__FDSAUDITLINK__" localSheetId="6" hidden="1">{"fdsup://directions/FAT Viewer?action=UPDATE&amp;creator=factset&amp;DYN_ARGS=TRUE&amp;DOC_NAME=FAT:FQL_AUDITING_CLIENT_TEMPLATE.FAT&amp;display_string=Audit&amp;VAR:KEY=RSFWDGROTM&amp;VAR:QUERY=RkZfRUJJVERBX0lCKCdMVE1TJywzODczMik=&amp;WINDOW=FIRST_POPUP&amp;HEIGHT=450&amp;WIDTH=450&amp;START_MA","XIMIZED=FALSE&amp;VAR:CALENDAR=US&amp;VAR:SYMBOL=04916420&amp;VAR:INDEX=0"}</definedName>
    <definedName name="_10637__FDSAUDITLINK__" hidden="1">{"fdsup://directions/FAT Viewer?action=UPDATE&amp;creator=factset&amp;DYN_ARGS=TRUE&amp;DOC_NAME=FAT:FQL_AUDITING_CLIENT_TEMPLATE.FAT&amp;display_string=Audit&amp;VAR:KEY=RSFWDGROTM&amp;VAR:QUERY=RkZfRUJJVERBX0lCKCdMVE1TJywzODczMik=&amp;WINDOW=FIRST_POPUP&amp;HEIGHT=450&amp;WIDTH=450&amp;START_MA","XIMIZED=FALSE&amp;VAR:CALENDAR=US&amp;VAR:SYMBOL=04916420&amp;VAR:INDEX=0"}</definedName>
    <definedName name="_10638__FDSAUDITLINK__" localSheetId="6" hidden="1">{"fdsup://directions/FAT Viewer?action=UPDATE&amp;creator=factset&amp;DYN_ARGS=TRUE&amp;DOC_NAME=FAT:FQL_AUDITING_CLIENT_TEMPLATE.FAT&amp;display_string=Audit&amp;VAR:KEY=FWFKXGJUFA&amp;VAR:QUERY=RkZfRUJJVERBX0lCKCdMVE1TJywzODczMSk=&amp;WINDOW=FIRST_POPUP&amp;HEIGHT=450&amp;WIDTH=450&amp;START_MA","XIMIZED=FALSE&amp;VAR:CALENDAR=US&amp;VAR:SYMBOL=04916420&amp;VAR:INDEX=0"}</definedName>
    <definedName name="_10638__FDSAUDITLINK__" hidden="1">{"fdsup://directions/FAT Viewer?action=UPDATE&amp;creator=factset&amp;DYN_ARGS=TRUE&amp;DOC_NAME=FAT:FQL_AUDITING_CLIENT_TEMPLATE.FAT&amp;display_string=Audit&amp;VAR:KEY=FWFKXGJUFA&amp;VAR:QUERY=RkZfRUJJVERBX0lCKCdMVE1TJywzODczMSk=&amp;WINDOW=FIRST_POPUP&amp;HEIGHT=450&amp;WIDTH=450&amp;START_MA","XIMIZED=FALSE&amp;VAR:CALENDAR=US&amp;VAR:SYMBOL=04916420&amp;VAR:INDEX=0"}</definedName>
    <definedName name="_10639__FDSAUDITLINK__" localSheetId="6" hidden="1">{"fdsup://directions/FAT Viewer?action=UPDATE&amp;creator=factset&amp;DYN_ARGS=TRUE&amp;DOC_NAME=FAT:FQL_AUDITING_CLIENT_TEMPLATE.FAT&amp;display_string=Audit&amp;VAR:KEY=PILMRKHKRI&amp;VAR:QUERY=RkZfRUJJVERBX0lCKCdMVE1TJywzODczMCk=&amp;WINDOW=FIRST_POPUP&amp;HEIGHT=450&amp;WIDTH=450&amp;START_MA","XIMIZED=FALSE&amp;VAR:CALENDAR=US&amp;VAR:SYMBOL=04916420&amp;VAR:INDEX=0"}</definedName>
    <definedName name="_10639__FDSAUDITLINK__" hidden="1">{"fdsup://directions/FAT Viewer?action=UPDATE&amp;creator=factset&amp;DYN_ARGS=TRUE&amp;DOC_NAME=FAT:FQL_AUDITING_CLIENT_TEMPLATE.FAT&amp;display_string=Audit&amp;VAR:KEY=PILMRKHKRI&amp;VAR:QUERY=RkZfRUJJVERBX0lCKCdMVE1TJywzODczMCk=&amp;WINDOW=FIRST_POPUP&amp;HEIGHT=450&amp;WIDTH=450&amp;START_MA","XIMIZED=FALSE&amp;VAR:CALENDAR=US&amp;VAR:SYMBOL=04916420&amp;VAR:INDEX=0"}</definedName>
    <definedName name="_1064__FDSAUDITLINK__" localSheetId="6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4__FDSAUDITLINK__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40__FDSAUDITLINK__" localSheetId="6" hidden="1">{"fdsup://directions/FAT Viewer?action=UPDATE&amp;creator=factset&amp;DYN_ARGS=TRUE&amp;DOC_NAME=FAT:FQL_AUDITING_CLIENT_TEMPLATE.FAT&amp;display_string=Audit&amp;VAR:KEY=PKDSDUXGNY&amp;VAR:QUERY=RkZfRUJJVERBX0lCKCdMVE1TJywzODcyOSk=&amp;WINDOW=FIRST_POPUP&amp;HEIGHT=450&amp;WIDTH=450&amp;START_MA","XIMIZED=FALSE&amp;VAR:CALENDAR=US&amp;VAR:SYMBOL=04916420&amp;VAR:INDEX=0"}</definedName>
    <definedName name="_10640__FDSAUDITLINK__" hidden="1">{"fdsup://directions/FAT Viewer?action=UPDATE&amp;creator=factset&amp;DYN_ARGS=TRUE&amp;DOC_NAME=FAT:FQL_AUDITING_CLIENT_TEMPLATE.FAT&amp;display_string=Audit&amp;VAR:KEY=PKDSDUXGNY&amp;VAR:QUERY=RkZfRUJJVERBX0lCKCdMVE1TJywzODcyOSk=&amp;WINDOW=FIRST_POPUP&amp;HEIGHT=450&amp;WIDTH=450&amp;START_MA","XIMIZED=FALSE&amp;VAR:CALENDAR=US&amp;VAR:SYMBOL=04916420&amp;VAR:INDEX=0"}</definedName>
    <definedName name="_10641__FDSAUDITLINK__" localSheetId="6" hidden="1">{"fdsup://directions/FAT Viewer?action=UPDATE&amp;creator=factset&amp;DYN_ARGS=TRUE&amp;DOC_NAME=FAT:FQL_AUDITING_CLIENT_TEMPLATE.FAT&amp;display_string=Audit&amp;VAR:KEY=DETQLGZSZC&amp;VAR:QUERY=RkZfRUJJVERBX0lCKCdMVE1TJywzODcyOCk=&amp;WINDOW=FIRST_POPUP&amp;HEIGHT=450&amp;WIDTH=450&amp;START_MA","XIMIZED=FALSE&amp;VAR:CALENDAR=US&amp;VAR:SYMBOL=04916420&amp;VAR:INDEX=0"}</definedName>
    <definedName name="_10641__FDSAUDITLINK__" hidden="1">{"fdsup://directions/FAT Viewer?action=UPDATE&amp;creator=factset&amp;DYN_ARGS=TRUE&amp;DOC_NAME=FAT:FQL_AUDITING_CLIENT_TEMPLATE.FAT&amp;display_string=Audit&amp;VAR:KEY=DETQLGZSZC&amp;VAR:QUERY=RkZfRUJJVERBX0lCKCdMVE1TJywzODcyOCk=&amp;WINDOW=FIRST_POPUP&amp;HEIGHT=450&amp;WIDTH=450&amp;START_MA","XIMIZED=FALSE&amp;VAR:CALENDAR=US&amp;VAR:SYMBOL=04916420&amp;VAR:INDEX=0"}</definedName>
    <definedName name="_10642__FDSAUDITLINK__" localSheetId="6" hidden="1">{"fdsup://directions/FAT Viewer?action=UPDATE&amp;creator=factset&amp;DYN_ARGS=TRUE&amp;DOC_NAME=FAT:FQL_AUDITING_CLIENT_TEMPLATE.FAT&amp;display_string=Audit&amp;VAR:KEY=LUPUFOHSDW&amp;VAR:QUERY=RkZfRUJJVERBX0lCKCdMVE1TJywzODcyNyk=&amp;WINDOW=FIRST_POPUP&amp;HEIGHT=450&amp;WIDTH=450&amp;START_MA","XIMIZED=FALSE&amp;VAR:CALENDAR=US&amp;VAR:SYMBOL=04916420&amp;VAR:INDEX=0"}</definedName>
    <definedName name="_10642__FDSAUDITLINK__" hidden="1">{"fdsup://directions/FAT Viewer?action=UPDATE&amp;creator=factset&amp;DYN_ARGS=TRUE&amp;DOC_NAME=FAT:FQL_AUDITING_CLIENT_TEMPLATE.FAT&amp;display_string=Audit&amp;VAR:KEY=LUPUFOHSDW&amp;VAR:QUERY=RkZfRUJJVERBX0lCKCdMVE1TJywzODcyNyk=&amp;WINDOW=FIRST_POPUP&amp;HEIGHT=450&amp;WIDTH=450&amp;START_MA","XIMIZED=FALSE&amp;VAR:CALENDAR=US&amp;VAR:SYMBOL=04916420&amp;VAR:INDEX=0"}</definedName>
    <definedName name="_10643__FDSAUDITLINK__" localSheetId="6" hidden="1">{"fdsup://directions/FAT Viewer?action=UPDATE&amp;creator=factset&amp;DYN_ARGS=TRUE&amp;DOC_NAME=FAT:FQL_AUDITING_CLIENT_TEMPLATE.FAT&amp;display_string=Audit&amp;VAR:KEY=ZOJQVSRGXM&amp;VAR:QUERY=RkZfRUJJVERBX0lCKCdMVE1TJywzODcyNik=&amp;WINDOW=FIRST_POPUP&amp;HEIGHT=450&amp;WIDTH=450&amp;START_MA","XIMIZED=FALSE&amp;VAR:CALENDAR=US&amp;VAR:SYMBOL=04916420&amp;VAR:INDEX=0"}</definedName>
    <definedName name="_10643__FDSAUDITLINK__" hidden="1">{"fdsup://directions/FAT Viewer?action=UPDATE&amp;creator=factset&amp;DYN_ARGS=TRUE&amp;DOC_NAME=FAT:FQL_AUDITING_CLIENT_TEMPLATE.FAT&amp;display_string=Audit&amp;VAR:KEY=ZOJQVSRGXM&amp;VAR:QUERY=RkZfRUJJVERBX0lCKCdMVE1TJywzODcyNik=&amp;WINDOW=FIRST_POPUP&amp;HEIGHT=450&amp;WIDTH=450&amp;START_MA","XIMIZED=FALSE&amp;VAR:CALENDAR=US&amp;VAR:SYMBOL=04916420&amp;VAR:INDEX=0"}</definedName>
    <definedName name="_10644__FDSAUDITLINK__" localSheetId="6" hidden="1">{"fdsup://directions/FAT Viewer?action=UPDATE&amp;creator=factset&amp;DYN_ARGS=TRUE&amp;DOC_NAME=FAT:FQL_AUDITING_CLIENT_TEMPLATE.FAT&amp;display_string=Audit&amp;VAR:KEY=PCFMVGJGLS&amp;VAR:QUERY=RkZfRUJJVERBX0lCKCdMVE1TJywzODcyNSk=&amp;WINDOW=FIRST_POPUP&amp;HEIGHT=450&amp;WIDTH=450&amp;START_MA","XIMIZED=FALSE&amp;VAR:CALENDAR=US&amp;VAR:SYMBOL=04916420&amp;VAR:INDEX=0"}</definedName>
    <definedName name="_10644__FDSAUDITLINK__" hidden="1">{"fdsup://directions/FAT Viewer?action=UPDATE&amp;creator=factset&amp;DYN_ARGS=TRUE&amp;DOC_NAME=FAT:FQL_AUDITING_CLIENT_TEMPLATE.FAT&amp;display_string=Audit&amp;VAR:KEY=PCFMVGJGLS&amp;VAR:QUERY=RkZfRUJJVERBX0lCKCdMVE1TJywzODcyNSk=&amp;WINDOW=FIRST_POPUP&amp;HEIGHT=450&amp;WIDTH=450&amp;START_MA","XIMIZED=FALSE&amp;VAR:CALENDAR=US&amp;VAR:SYMBOL=04916420&amp;VAR:INDEX=0"}</definedName>
    <definedName name="_10645__FDSAUDITLINK__" localSheetId="6" hidden="1">{"fdsup://directions/FAT Viewer?action=UPDATE&amp;creator=factset&amp;DYN_ARGS=TRUE&amp;DOC_NAME=FAT:FQL_AUDITING_CLIENT_TEMPLATE.FAT&amp;display_string=Audit&amp;VAR:KEY=PEXMPQDEFY&amp;VAR:QUERY=RkZfRUJJVERBX0lCKCdMVE1TJywzODcyNCk=&amp;WINDOW=FIRST_POPUP&amp;HEIGHT=450&amp;WIDTH=450&amp;START_MA","XIMIZED=FALSE&amp;VAR:CALENDAR=US&amp;VAR:SYMBOL=04916420&amp;VAR:INDEX=0"}</definedName>
    <definedName name="_10645__FDSAUDITLINK__" hidden="1">{"fdsup://directions/FAT Viewer?action=UPDATE&amp;creator=factset&amp;DYN_ARGS=TRUE&amp;DOC_NAME=FAT:FQL_AUDITING_CLIENT_TEMPLATE.FAT&amp;display_string=Audit&amp;VAR:KEY=PEXMPQDEFY&amp;VAR:QUERY=RkZfRUJJVERBX0lCKCdMVE1TJywzODcyNCk=&amp;WINDOW=FIRST_POPUP&amp;HEIGHT=450&amp;WIDTH=450&amp;START_MA","XIMIZED=FALSE&amp;VAR:CALENDAR=US&amp;VAR:SYMBOL=04916420&amp;VAR:INDEX=0"}</definedName>
    <definedName name="_10646__FDSAUDITLINK__" localSheetId="6" hidden="1">{"fdsup://directions/FAT Viewer?action=UPDATE&amp;creator=factset&amp;DYN_ARGS=TRUE&amp;DOC_NAME=FAT:FQL_AUDITING_CLIENT_TEMPLATE.FAT&amp;display_string=Audit&amp;VAR:KEY=TEPYXWDCHC&amp;VAR:QUERY=RkZfRUJJVERBX0lCKCdMVE1TJywzODcyMyk=&amp;WINDOW=FIRST_POPUP&amp;HEIGHT=450&amp;WIDTH=450&amp;START_MA","XIMIZED=FALSE&amp;VAR:CALENDAR=US&amp;VAR:SYMBOL=04916420&amp;VAR:INDEX=0"}</definedName>
    <definedName name="_10646__FDSAUDITLINK__" hidden="1">{"fdsup://directions/FAT Viewer?action=UPDATE&amp;creator=factset&amp;DYN_ARGS=TRUE&amp;DOC_NAME=FAT:FQL_AUDITING_CLIENT_TEMPLATE.FAT&amp;display_string=Audit&amp;VAR:KEY=TEPYXWDCHC&amp;VAR:QUERY=RkZfRUJJVERBX0lCKCdMVE1TJywzODcyMyk=&amp;WINDOW=FIRST_POPUP&amp;HEIGHT=450&amp;WIDTH=450&amp;START_MA","XIMIZED=FALSE&amp;VAR:CALENDAR=US&amp;VAR:SYMBOL=04916420&amp;VAR:INDEX=0"}</definedName>
    <definedName name="_10647__FDSAUDITLINK__" localSheetId="6" hidden="1">{"fdsup://directions/FAT Viewer?action=UPDATE&amp;creator=factset&amp;DYN_ARGS=TRUE&amp;DOC_NAME=FAT:FQL_AUDITING_CLIENT_TEMPLATE.FAT&amp;display_string=Audit&amp;VAR:KEY=HWXMHKJEHG&amp;VAR:QUERY=RkZfRUJJVERBX0lCKCdMVE1TJywzODcyMik=&amp;WINDOW=FIRST_POPUP&amp;HEIGHT=450&amp;WIDTH=450&amp;START_MA","XIMIZED=FALSE&amp;VAR:CALENDAR=US&amp;VAR:SYMBOL=04916420&amp;VAR:INDEX=0"}</definedName>
    <definedName name="_10647__FDSAUDITLINK__" hidden="1">{"fdsup://directions/FAT Viewer?action=UPDATE&amp;creator=factset&amp;DYN_ARGS=TRUE&amp;DOC_NAME=FAT:FQL_AUDITING_CLIENT_TEMPLATE.FAT&amp;display_string=Audit&amp;VAR:KEY=HWXMHKJEHG&amp;VAR:QUERY=RkZfRUJJVERBX0lCKCdMVE1TJywzODcyMik=&amp;WINDOW=FIRST_POPUP&amp;HEIGHT=450&amp;WIDTH=450&amp;START_MA","XIMIZED=FALSE&amp;VAR:CALENDAR=US&amp;VAR:SYMBOL=04916420&amp;VAR:INDEX=0"}</definedName>
    <definedName name="_10648__FDSAUDITLINK__" localSheetId="6" hidden="1">{"fdsup://directions/FAT Viewer?action=UPDATE&amp;creator=factset&amp;DYN_ARGS=TRUE&amp;DOC_NAME=FAT:FQL_AUDITING_CLIENT_TEMPLATE.FAT&amp;display_string=Audit&amp;VAR:KEY=JIDKDGLULS&amp;VAR:QUERY=RkZfRUJJVERBX0lCKCdMVE1TJywzODcyMSk=&amp;WINDOW=FIRST_POPUP&amp;HEIGHT=450&amp;WIDTH=450&amp;START_MA","XIMIZED=FALSE&amp;VAR:CALENDAR=US&amp;VAR:SYMBOL=04916420&amp;VAR:INDEX=0"}</definedName>
    <definedName name="_10648__FDSAUDITLINK__" hidden="1">{"fdsup://directions/FAT Viewer?action=UPDATE&amp;creator=factset&amp;DYN_ARGS=TRUE&amp;DOC_NAME=FAT:FQL_AUDITING_CLIENT_TEMPLATE.FAT&amp;display_string=Audit&amp;VAR:KEY=JIDKDGLULS&amp;VAR:QUERY=RkZfRUJJVERBX0lCKCdMVE1TJywzODcyMSk=&amp;WINDOW=FIRST_POPUP&amp;HEIGHT=450&amp;WIDTH=450&amp;START_MA","XIMIZED=FALSE&amp;VAR:CALENDAR=US&amp;VAR:SYMBOL=04916420&amp;VAR:INDEX=0"}</definedName>
    <definedName name="_10649__FDSAUDITLINK__" localSheetId="6" hidden="1">{"fdsup://directions/FAT Viewer?action=UPDATE&amp;creator=factset&amp;DYN_ARGS=TRUE&amp;DOC_NAME=FAT:FQL_AUDITING_CLIENT_TEMPLATE.FAT&amp;display_string=Audit&amp;VAR:KEY=BGPIVUFIRY&amp;VAR:QUERY=RkZfRUJJVERBX0lCKCdMVE1TJywzODcyMCk=&amp;WINDOW=FIRST_POPUP&amp;HEIGHT=450&amp;WIDTH=450&amp;START_MA","XIMIZED=FALSE&amp;VAR:CALENDAR=US&amp;VAR:SYMBOL=04916420&amp;VAR:INDEX=0"}</definedName>
    <definedName name="_10649__FDSAUDITLINK__" hidden="1">{"fdsup://directions/FAT Viewer?action=UPDATE&amp;creator=factset&amp;DYN_ARGS=TRUE&amp;DOC_NAME=FAT:FQL_AUDITING_CLIENT_TEMPLATE.FAT&amp;display_string=Audit&amp;VAR:KEY=BGPIVUFIRY&amp;VAR:QUERY=RkZfRUJJVERBX0lCKCdMVE1TJywzODcyMCk=&amp;WINDOW=FIRST_POPUP&amp;HEIGHT=450&amp;WIDTH=450&amp;START_MA","XIMIZED=FALSE&amp;VAR:CALENDAR=US&amp;VAR:SYMBOL=04916420&amp;VAR:INDEX=0"}</definedName>
    <definedName name="_1065__FDSAUDITLINK__" localSheetId="6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5__FDSAUDITLINK__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50__FDSAUDITLINK__" localSheetId="6" hidden="1">{"fdsup://directions/FAT Viewer?action=UPDATE&amp;creator=factset&amp;DYN_ARGS=TRUE&amp;DOC_NAME=FAT:FQL_AUDITING_CLIENT_TEMPLATE.FAT&amp;display_string=Audit&amp;VAR:KEY=DUXUXSNYRS&amp;VAR:QUERY=RkZfRUJJVERBX0lCKCdMVE1TJywzODcxOSk=&amp;WINDOW=FIRST_POPUP&amp;HEIGHT=450&amp;WIDTH=450&amp;START_MA","XIMIZED=FALSE&amp;VAR:CALENDAR=US&amp;VAR:SYMBOL=04916420&amp;VAR:INDEX=0"}</definedName>
    <definedName name="_10650__FDSAUDITLINK__" hidden="1">{"fdsup://directions/FAT Viewer?action=UPDATE&amp;creator=factset&amp;DYN_ARGS=TRUE&amp;DOC_NAME=FAT:FQL_AUDITING_CLIENT_TEMPLATE.FAT&amp;display_string=Audit&amp;VAR:KEY=DUXUXSNYRS&amp;VAR:QUERY=RkZfRUJJVERBX0lCKCdMVE1TJywzODcxOSk=&amp;WINDOW=FIRST_POPUP&amp;HEIGHT=450&amp;WIDTH=450&amp;START_MA","XIMIZED=FALSE&amp;VAR:CALENDAR=US&amp;VAR:SYMBOL=04916420&amp;VAR:INDEX=0"}</definedName>
    <definedName name="_10651__FDSAUDITLINK__" localSheetId="6" hidden="1">{"fdsup://directions/FAT Viewer?action=UPDATE&amp;creator=factset&amp;DYN_ARGS=TRUE&amp;DOC_NAME=FAT:FQL_AUDITING_CLIENT_TEMPLATE.FAT&amp;display_string=Audit&amp;VAR:KEY=NSBUFOLQRK&amp;VAR:QUERY=RkZfRUJJVERBX0lCKCdMVE1TJywzODcxOCk=&amp;WINDOW=FIRST_POPUP&amp;HEIGHT=450&amp;WIDTH=450&amp;START_MA","XIMIZED=FALSE&amp;VAR:CALENDAR=US&amp;VAR:SYMBOL=04916420&amp;VAR:INDEX=0"}</definedName>
    <definedName name="_10651__FDSAUDITLINK__" hidden="1">{"fdsup://directions/FAT Viewer?action=UPDATE&amp;creator=factset&amp;DYN_ARGS=TRUE&amp;DOC_NAME=FAT:FQL_AUDITING_CLIENT_TEMPLATE.FAT&amp;display_string=Audit&amp;VAR:KEY=NSBUFOLQRK&amp;VAR:QUERY=RkZfRUJJVERBX0lCKCdMVE1TJywzODcxOCk=&amp;WINDOW=FIRST_POPUP&amp;HEIGHT=450&amp;WIDTH=450&amp;START_MA","XIMIZED=FALSE&amp;VAR:CALENDAR=US&amp;VAR:SYMBOL=04916420&amp;VAR:INDEX=0"}</definedName>
    <definedName name="_10652__FDSAUDITLINK__" localSheetId="6" hidden="1">{"fdsup://directions/FAT Viewer?action=UPDATE&amp;creator=factset&amp;DYN_ARGS=TRUE&amp;DOC_NAME=FAT:FQL_AUDITING_CLIENT_TEMPLATE.FAT&amp;display_string=Audit&amp;VAR:KEY=DOVQLWZIDC&amp;VAR:QUERY=RkZfRUJJVERBX0lCKCdMVE1TJywzODcxNyk=&amp;WINDOW=FIRST_POPUP&amp;HEIGHT=450&amp;WIDTH=450&amp;START_MA","XIMIZED=FALSE&amp;VAR:CALENDAR=US&amp;VAR:SYMBOL=04916420&amp;VAR:INDEX=0"}</definedName>
    <definedName name="_10652__FDSAUDITLINK__" hidden="1">{"fdsup://directions/FAT Viewer?action=UPDATE&amp;creator=factset&amp;DYN_ARGS=TRUE&amp;DOC_NAME=FAT:FQL_AUDITING_CLIENT_TEMPLATE.FAT&amp;display_string=Audit&amp;VAR:KEY=DOVQLWZIDC&amp;VAR:QUERY=RkZfRUJJVERBX0lCKCdMVE1TJywzODcxNyk=&amp;WINDOW=FIRST_POPUP&amp;HEIGHT=450&amp;WIDTH=450&amp;START_MA","XIMIZED=FALSE&amp;VAR:CALENDAR=US&amp;VAR:SYMBOL=04916420&amp;VAR:INDEX=0"}</definedName>
    <definedName name="_10653__FDSAUDITLINK__" localSheetId="6" hidden="1">{"fdsup://directions/FAT Viewer?action=UPDATE&amp;creator=factset&amp;DYN_ARGS=TRUE&amp;DOC_NAME=FAT:FQL_AUDITING_CLIENT_TEMPLATE.FAT&amp;display_string=Audit&amp;VAR:KEY=VOPADYBSLS&amp;VAR:QUERY=RkZfRUJJVERBX0lCKCdMVE1TJywzODcxNik=&amp;WINDOW=FIRST_POPUP&amp;HEIGHT=450&amp;WIDTH=450&amp;START_MA","XIMIZED=FALSE&amp;VAR:CALENDAR=US&amp;VAR:SYMBOL=04916420&amp;VAR:INDEX=0"}</definedName>
    <definedName name="_10653__FDSAUDITLINK__" hidden="1">{"fdsup://directions/FAT Viewer?action=UPDATE&amp;creator=factset&amp;DYN_ARGS=TRUE&amp;DOC_NAME=FAT:FQL_AUDITING_CLIENT_TEMPLATE.FAT&amp;display_string=Audit&amp;VAR:KEY=VOPADYBSLS&amp;VAR:QUERY=RkZfRUJJVERBX0lCKCdMVE1TJywzODcxNik=&amp;WINDOW=FIRST_POPUP&amp;HEIGHT=450&amp;WIDTH=450&amp;START_MA","XIMIZED=FALSE&amp;VAR:CALENDAR=US&amp;VAR:SYMBOL=04916420&amp;VAR:INDEX=0"}</definedName>
    <definedName name="_10654__FDSAUDITLINK__" localSheetId="6" hidden="1">{"fdsup://directions/FAT Viewer?action=UPDATE&amp;creator=factset&amp;DYN_ARGS=TRUE&amp;DOC_NAME=FAT:FQL_AUDITING_CLIENT_TEMPLATE.FAT&amp;display_string=Audit&amp;VAR:KEY=DGVGPWLKVS&amp;VAR:QUERY=RkZfRUJJVERBX0lCKCdMVE1TJywzODcxNSk=&amp;WINDOW=FIRST_POPUP&amp;HEIGHT=450&amp;WIDTH=450&amp;START_MA","XIMIZED=FALSE&amp;VAR:CALENDAR=US&amp;VAR:SYMBOL=04916420&amp;VAR:INDEX=0"}</definedName>
    <definedName name="_10654__FDSAUDITLINK__" hidden="1">{"fdsup://directions/FAT Viewer?action=UPDATE&amp;creator=factset&amp;DYN_ARGS=TRUE&amp;DOC_NAME=FAT:FQL_AUDITING_CLIENT_TEMPLATE.FAT&amp;display_string=Audit&amp;VAR:KEY=DGVGPWLKVS&amp;VAR:QUERY=RkZfRUJJVERBX0lCKCdMVE1TJywzODcxNSk=&amp;WINDOW=FIRST_POPUP&amp;HEIGHT=450&amp;WIDTH=450&amp;START_MA","XIMIZED=FALSE&amp;VAR:CALENDAR=US&amp;VAR:SYMBOL=04916420&amp;VAR:INDEX=0"}</definedName>
    <definedName name="_10655__FDSAUDITLINK__" localSheetId="6" hidden="1">{"fdsup://directions/FAT Viewer?action=UPDATE&amp;creator=factset&amp;DYN_ARGS=TRUE&amp;DOC_NAME=FAT:FQL_AUDITING_CLIENT_TEMPLATE.FAT&amp;display_string=Audit&amp;VAR:KEY=VOVMNSPOVW&amp;VAR:QUERY=RkZfRUJJVERBX0lCKCdMVE1TJywzODcxNCk=&amp;WINDOW=FIRST_POPUP&amp;HEIGHT=450&amp;WIDTH=450&amp;START_MA","XIMIZED=FALSE&amp;VAR:CALENDAR=US&amp;VAR:SYMBOL=04916420&amp;VAR:INDEX=0"}</definedName>
    <definedName name="_10655__FDSAUDITLINK__" hidden="1">{"fdsup://directions/FAT Viewer?action=UPDATE&amp;creator=factset&amp;DYN_ARGS=TRUE&amp;DOC_NAME=FAT:FQL_AUDITING_CLIENT_TEMPLATE.FAT&amp;display_string=Audit&amp;VAR:KEY=VOVMNSPOVW&amp;VAR:QUERY=RkZfRUJJVERBX0lCKCdMVE1TJywzODcxNCk=&amp;WINDOW=FIRST_POPUP&amp;HEIGHT=450&amp;WIDTH=450&amp;START_MA","XIMIZED=FALSE&amp;VAR:CALENDAR=US&amp;VAR:SYMBOL=04916420&amp;VAR:INDEX=0"}</definedName>
    <definedName name="_10656__FDSAUDITLINK__" localSheetId="6" hidden="1">{"fdsup://directions/FAT Viewer?action=UPDATE&amp;creator=factset&amp;DYN_ARGS=TRUE&amp;DOC_NAME=FAT:FQL_AUDITING_CLIENT_TEMPLATE.FAT&amp;display_string=Audit&amp;VAR:KEY=RCJYVOJCNY&amp;VAR:QUERY=RkZfRUJJVERBX0lCKCdMVE1TJywzODcxMyk=&amp;WINDOW=FIRST_POPUP&amp;HEIGHT=450&amp;WIDTH=450&amp;START_MA","XIMIZED=FALSE&amp;VAR:CALENDAR=US&amp;VAR:SYMBOL=04916420&amp;VAR:INDEX=0"}</definedName>
    <definedName name="_10656__FDSAUDITLINK__" hidden="1">{"fdsup://directions/FAT Viewer?action=UPDATE&amp;creator=factset&amp;DYN_ARGS=TRUE&amp;DOC_NAME=FAT:FQL_AUDITING_CLIENT_TEMPLATE.FAT&amp;display_string=Audit&amp;VAR:KEY=RCJYVOJCNY&amp;VAR:QUERY=RkZfRUJJVERBX0lCKCdMVE1TJywzODcxMyk=&amp;WINDOW=FIRST_POPUP&amp;HEIGHT=450&amp;WIDTH=450&amp;START_MA","XIMIZED=FALSE&amp;VAR:CALENDAR=US&amp;VAR:SYMBOL=04916420&amp;VAR:INDEX=0"}</definedName>
    <definedName name="_10657__FDSAUDITLINK__" localSheetId="6" hidden="1">{"fdsup://directions/FAT Viewer?action=UPDATE&amp;creator=factset&amp;DYN_ARGS=TRUE&amp;DOC_NAME=FAT:FQL_AUDITING_CLIENT_TEMPLATE.FAT&amp;display_string=Audit&amp;VAR:KEY=BELGRMFKZA&amp;VAR:QUERY=RkZfRUJJVERBX0lCKCdMVE1TJywzODcxMik=&amp;WINDOW=FIRST_POPUP&amp;HEIGHT=450&amp;WIDTH=450&amp;START_MA","XIMIZED=FALSE&amp;VAR:CALENDAR=US&amp;VAR:SYMBOL=04916420&amp;VAR:INDEX=0"}</definedName>
    <definedName name="_10657__FDSAUDITLINK__" hidden="1">{"fdsup://directions/FAT Viewer?action=UPDATE&amp;creator=factset&amp;DYN_ARGS=TRUE&amp;DOC_NAME=FAT:FQL_AUDITING_CLIENT_TEMPLATE.FAT&amp;display_string=Audit&amp;VAR:KEY=BELGRMFKZA&amp;VAR:QUERY=RkZfRUJJVERBX0lCKCdMVE1TJywzODcxMik=&amp;WINDOW=FIRST_POPUP&amp;HEIGHT=450&amp;WIDTH=450&amp;START_MA","XIMIZED=FALSE&amp;VAR:CALENDAR=US&amp;VAR:SYMBOL=04916420&amp;VAR:INDEX=0"}</definedName>
    <definedName name="_10658__FDSAUDITLINK__" localSheetId="6" hidden="1">{"fdsup://directions/FAT Viewer?action=UPDATE&amp;creator=factset&amp;DYN_ARGS=TRUE&amp;DOC_NAME=FAT:FQL_AUDITING_CLIENT_TEMPLATE.FAT&amp;display_string=Audit&amp;VAR:KEY=BMTUDGRKVU&amp;VAR:QUERY=RkZfRUJJVERBX0lCKCdMVE1TJywzODcxMSk=&amp;WINDOW=FIRST_POPUP&amp;HEIGHT=450&amp;WIDTH=450&amp;START_MA","XIMIZED=FALSE&amp;VAR:CALENDAR=US&amp;VAR:SYMBOL=04916420&amp;VAR:INDEX=0"}</definedName>
    <definedName name="_10658__FDSAUDITLINK__" hidden="1">{"fdsup://directions/FAT Viewer?action=UPDATE&amp;creator=factset&amp;DYN_ARGS=TRUE&amp;DOC_NAME=FAT:FQL_AUDITING_CLIENT_TEMPLATE.FAT&amp;display_string=Audit&amp;VAR:KEY=BMTUDGRKVU&amp;VAR:QUERY=RkZfRUJJVERBX0lCKCdMVE1TJywzODcxMSk=&amp;WINDOW=FIRST_POPUP&amp;HEIGHT=450&amp;WIDTH=450&amp;START_MA","XIMIZED=FALSE&amp;VAR:CALENDAR=US&amp;VAR:SYMBOL=04916420&amp;VAR:INDEX=0"}</definedName>
    <definedName name="_10659__FDSAUDITLINK__" localSheetId="6" hidden="1">{"fdsup://directions/FAT Viewer?action=UPDATE&amp;creator=factset&amp;DYN_ARGS=TRUE&amp;DOC_NAME=FAT:FQL_AUDITING_CLIENT_TEMPLATE.FAT&amp;display_string=Audit&amp;VAR:KEY=JYHIXWNGHS&amp;VAR:QUERY=RkZfRUJJVERBX0lCKCdMVE1TJywzODcxMCk=&amp;WINDOW=FIRST_POPUP&amp;HEIGHT=450&amp;WIDTH=450&amp;START_MA","XIMIZED=FALSE&amp;VAR:CALENDAR=US&amp;VAR:SYMBOL=04916420&amp;VAR:INDEX=0"}</definedName>
    <definedName name="_10659__FDSAUDITLINK__" hidden="1">{"fdsup://directions/FAT Viewer?action=UPDATE&amp;creator=factset&amp;DYN_ARGS=TRUE&amp;DOC_NAME=FAT:FQL_AUDITING_CLIENT_TEMPLATE.FAT&amp;display_string=Audit&amp;VAR:KEY=JYHIXWNGHS&amp;VAR:QUERY=RkZfRUJJVERBX0lCKCdMVE1TJywzODcxMCk=&amp;WINDOW=FIRST_POPUP&amp;HEIGHT=450&amp;WIDTH=450&amp;START_MA","XIMIZED=FALSE&amp;VAR:CALENDAR=US&amp;VAR:SYMBOL=04916420&amp;VAR:INDEX=0"}</definedName>
    <definedName name="_1066__FDSAUDITLINK__" localSheetId="6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6__FDSAUDITLINK__" hidden="1">{"fdsup://directions/FAT%20Viewer?VAR:PED=LTM&amp;VAR:AUDIT_MODE=SUMMARY&amp;VAR:PERIOD=FIXED&amp;VAR:AUDIT_ID=00000117&amp;VAR:DATE=20070323&amp;action=UPDATE&amp;creator=factset&amp;DOC_NAME=FAT:FMA_audit_SUMMARY.fat&amp;DISPLAY_STRING=Display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60__FDSAUDITLINK__" localSheetId="6" hidden="1">{"fdsup://directions/FAT Viewer?action=UPDATE&amp;creator=factset&amp;DYN_ARGS=TRUE&amp;DOC_NAME=FAT:FQL_AUDITING_CLIENT_TEMPLATE.FAT&amp;display_string=Audit&amp;VAR:KEY=JKFMPOTMRY&amp;VAR:QUERY=RkZfRUJJVERBX0lCKCdMVE1TJywzODcwOSk=&amp;WINDOW=FIRST_POPUP&amp;HEIGHT=450&amp;WIDTH=450&amp;START_MA","XIMIZED=FALSE&amp;VAR:CALENDAR=US&amp;VAR:SYMBOL=04916420&amp;VAR:INDEX=0"}</definedName>
    <definedName name="_10660__FDSAUDITLINK__" hidden="1">{"fdsup://directions/FAT Viewer?action=UPDATE&amp;creator=factset&amp;DYN_ARGS=TRUE&amp;DOC_NAME=FAT:FQL_AUDITING_CLIENT_TEMPLATE.FAT&amp;display_string=Audit&amp;VAR:KEY=JKFMPOTMRY&amp;VAR:QUERY=RkZfRUJJVERBX0lCKCdMVE1TJywzODcwOSk=&amp;WINDOW=FIRST_POPUP&amp;HEIGHT=450&amp;WIDTH=450&amp;START_MA","XIMIZED=FALSE&amp;VAR:CALENDAR=US&amp;VAR:SYMBOL=04916420&amp;VAR:INDEX=0"}</definedName>
    <definedName name="_10661__FDSAUDITLINK__" localSheetId="6" hidden="1">{"fdsup://directions/FAT Viewer?action=UPDATE&amp;creator=factset&amp;DYN_ARGS=TRUE&amp;DOC_NAME=FAT:FQL_AUDITING_CLIENT_TEMPLATE.FAT&amp;display_string=Audit&amp;VAR:KEY=PINITCZAXQ&amp;VAR:QUERY=RkZfRUJJVERBX0lCKCdMVE1TJywzODcwOCk=&amp;WINDOW=FIRST_POPUP&amp;HEIGHT=450&amp;WIDTH=450&amp;START_MA","XIMIZED=FALSE&amp;VAR:CALENDAR=US&amp;VAR:SYMBOL=04916420&amp;VAR:INDEX=0"}</definedName>
    <definedName name="_10661__FDSAUDITLINK__" hidden="1">{"fdsup://directions/FAT Viewer?action=UPDATE&amp;creator=factset&amp;DYN_ARGS=TRUE&amp;DOC_NAME=FAT:FQL_AUDITING_CLIENT_TEMPLATE.FAT&amp;display_string=Audit&amp;VAR:KEY=PINITCZAXQ&amp;VAR:QUERY=RkZfRUJJVERBX0lCKCdMVE1TJywzODcwOCk=&amp;WINDOW=FIRST_POPUP&amp;HEIGHT=450&amp;WIDTH=450&amp;START_MA","XIMIZED=FALSE&amp;VAR:CALENDAR=US&amp;VAR:SYMBOL=04916420&amp;VAR:INDEX=0"}</definedName>
    <definedName name="_10662__FDSAUDITLINK__" localSheetId="6" hidden="1">{"fdsup://directions/FAT Viewer?action=UPDATE&amp;creator=factset&amp;DYN_ARGS=TRUE&amp;DOC_NAME=FAT:FQL_AUDITING_CLIENT_TEMPLATE.FAT&amp;display_string=Audit&amp;VAR:KEY=HQPEJSZGBY&amp;VAR:QUERY=RkZfRUJJVERBX0lCKCdMVE1TJywzODcwNyk=&amp;WINDOW=FIRST_POPUP&amp;HEIGHT=450&amp;WIDTH=450&amp;START_MA","XIMIZED=FALSE&amp;VAR:CALENDAR=US&amp;VAR:SYMBOL=04916420&amp;VAR:INDEX=0"}</definedName>
    <definedName name="_10662__FDSAUDITLINK__" hidden="1">{"fdsup://directions/FAT Viewer?action=UPDATE&amp;creator=factset&amp;DYN_ARGS=TRUE&amp;DOC_NAME=FAT:FQL_AUDITING_CLIENT_TEMPLATE.FAT&amp;display_string=Audit&amp;VAR:KEY=HQPEJSZGBY&amp;VAR:QUERY=RkZfRUJJVERBX0lCKCdMVE1TJywzODcwNyk=&amp;WINDOW=FIRST_POPUP&amp;HEIGHT=450&amp;WIDTH=450&amp;START_MA","XIMIZED=FALSE&amp;VAR:CALENDAR=US&amp;VAR:SYMBOL=04916420&amp;VAR:INDEX=0"}</definedName>
    <definedName name="_10663__FDSAUDITLINK__" localSheetId="6" hidden="1">{"fdsup://directions/FAT Viewer?action=UPDATE&amp;creator=factset&amp;DYN_ARGS=TRUE&amp;DOC_NAME=FAT:FQL_AUDITING_CLIENT_TEMPLATE.FAT&amp;display_string=Audit&amp;VAR:KEY=TSXCZUZALK&amp;VAR:QUERY=RkZfRUJJVERBX0lCKCdMVE1TJywzODcwNik=&amp;WINDOW=FIRST_POPUP&amp;HEIGHT=450&amp;WIDTH=450&amp;START_MA","XIMIZED=FALSE&amp;VAR:CALENDAR=US&amp;VAR:SYMBOL=04916420&amp;VAR:INDEX=0"}</definedName>
    <definedName name="_10663__FDSAUDITLINK__" hidden="1">{"fdsup://directions/FAT Viewer?action=UPDATE&amp;creator=factset&amp;DYN_ARGS=TRUE&amp;DOC_NAME=FAT:FQL_AUDITING_CLIENT_TEMPLATE.FAT&amp;display_string=Audit&amp;VAR:KEY=TSXCZUZALK&amp;VAR:QUERY=RkZfRUJJVERBX0lCKCdMVE1TJywzODcwNik=&amp;WINDOW=FIRST_POPUP&amp;HEIGHT=450&amp;WIDTH=450&amp;START_MA","XIMIZED=FALSE&amp;VAR:CALENDAR=US&amp;VAR:SYMBOL=04916420&amp;VAR:INDEX=0"}</definedName>
    <definedName name="_10664__FDSAUDITLINK__" localSheetId="6" hidden="1">{"fdsup://directions/FAT Viewer?action=UPDATE&amp;creator=factset&amp;DYN_ARGS=TRUE&amp;DOC_NAME=FAT:FQL_AUDITING_CLIENT_TEMPLATE.FAT&amp;display_string=Audit&amp;VAR:KEY=HEPMHYXSBO&amp;VAR:QUERY=RkZfRUJJVERBX0lCKCdMVE1TJywzODcwNSk=&amp;WINDOW=FIRST_POPUP&amp;HEIGHT=450&amp;WIDTH=450&amp;START_MA","XIMIZED=FALSE&amp;VAR:CALENDAR=US&amp;VAR:SYMBOL=04916420&amp;VAR:INDEX=0"}</definedName>
    <definedName name="_10664__FDSAUDITLINK__" hidden="1">{"fdsup://directions/FAT Viewer?action=UPDATE&amp;creator=factset&amp;DYN_ARGS=TRUE&amp;DOC_NAME=FAT:FQL_AUDITING_CLIENT_TEMPLATE.FAT&amp;display_string=Audit&amp;VAR:KEY=HEPMHYXSBO&amp;VAR:QUERY=RkZfRUJJVERBX0lCKCdMVE1TJywzODcwNSk=&amp;WINDOW=FIRST_POPUP&amp;HEIGHT=450&amp;WIDTH=450&amp;START_MA","XIMIZED=FALSE&amp;VAR:CALENDAR=US&amp;VAR:SYMBOL=04916420&amp;VAR:INDEX=0"}</definedName>
    <definedName name="_10665__FDSAUDITLINK__" localSheetId="6" hidden="1">{"fdsup://directions/FAT Viewer?action=UPDATE&amp;creator=factset&amp;DYN_ARGS=TRUE&amp;DOC_NAME=FAT:FQL_AUDITING_CLIENT_TEMPLATE.FAT&amp;display_string=Audit&amp;VAR:KEY=VIFUDOFCJM&amp;VAR:QUERY=RkZfRUJJVERBX0lCKCdMVE1TJywzODcwNCk=&amp;WINDOW=FIRST_POPUP&amp;HEIGHT=450&amp;WIDTH=450&amp;START_MA","XIMIZED=FALSE&amp;VAR:CALENDAR=US&amp;VAR:SYMBOL=04916420&amp;VAR:INDEX=0"}</definedName>
    <definedName name="_10665__FDSAUDITLINK__" hidden="1">{"fdsup://directions/FAT Viewer?action=UPDATE&amp;creator=factset&amp;DYN_ARGS=TRUE&amp;DOC_NAME=FAT:FQL_AUDITING_CLIENT_TEMPLATE.FAT&amp;display_string=Audit&amp;VAR:KEY=VIFUDOFCJM&amp;VAR:QUERY=RkZfRUJJVERBX0lCKCdMVE1TJywzODcwNCk=&amp;WINDOW=FIRST_POPUP&amp;HEIGHT=450&amp;WIDTH=450&amp;START_MA","XIMIZED=FALSE&amp;VAR:CALENDAR=US&amp;VAR:SYMBOL=04916420&amp;VAR:INDEX=0"}</definedName>
    <definedName name="_10666__FDSAUDITLINK__" localSheetId="6" hidden="1">{"fdsup://directions/FAT Viewer?action=UPDATE&amp;creator=factset&amp;DYN_ARGS=TRUE&amp;DOC_NAME=FAT:FQL_AUDITING_CLIENT_TEMPLATE.FAT&amp;display_string=Audit&amp;VAR:KEY=HAFARIZAFG&amp;VAR:QUERY=RkZfRUJJVERBX0lCKCdMVE1TJywzODcwMyk=&amp;WINDOW=FIRST_POPUP&amp;HEIGHT=450&amp;WIDTH=450&amp;START_MA","XIMIZED=FALSE&amp;VAR:CALENDAR=US&amp;VAR:SYMBOL=04916420&amp;VAR:INDEX=0"}</definedName>
    <definedName name="_10666__FDSAUDITLINK__" hidden="1">{"fdsup://directions/FAT Viewer?action=UPDATE&amp;creator=factset&amp;DYN_ARGS=TRUE&amp;DOC_NAME=FAT:FQL_AUDITING_CLIENT_TEMPLATE.FAT&amp;display_string=Audit&amp;VAR:KEY=HAFARIZAFG&amp;VAR:QUERY=RkZfRUJJVERBX0lCKCdMVE1TJywzODcwMyk=&amp;WINDOW=FIRST_POPUP&amp;HEIGHT=450&amp;WIDTH=450&amp;START_MA","XIMIZED=FALSE&amp;VAR:CALENDAR=US&amp;VAR:SYMBOL=04916420&amp;VAR:INDEX=0"}</definedName>
    <definedName name="_10667__FDSAUDITLINK__" localSheetId="6" hidden="1">{"fdsup://directions/FAT Viewer?action=UPDATE&amp;creator=factset&amp;DYN_ARGS=TRUE&amp;DOC_NAME=FAT:FQL_AUDITING_CLIENT_TEMPLATE.FAT&amp;display_string=Audit&amp;VAR:KEY=HCVQPURQXI&amp;VAR:QUERY=RkZfRUJJVERBX0lCKCdMVE1TJywzODcwMik=&amp;WINDOW=FIRST_POPUP&amp;HEIGHT=450&amp;WIDTH=450&amp;START_MA","XIMIZED=FALSE&amp;VAR:CALENDAR=US&amp;VAR:SYMBOL=04916420&amp;VAR:INDEX=0"}</definedName>
    <definedName name="_10667__FDSAUDITLINK__" hidden="1">{"fdsup://directions/FAT Viewer?action=UPDATE&amp;creator=factset&amp;DYN_ARGS=TRUE&amp;DOC_NAME=FAT:FQL_AUDITING_CLIENT_TEMPLATE.FAT&amp;display_string=Audit&amp;VAR:KEY=HCVQPURQXI&amp;VAR:QUERY=RkZfRUJJVERBX0lCKCdMVE1TJywzODcwMik=&amp;WINDOW=FIRST_POPUP&amp;HEIGHT=450&amp;WIDTH=450&amp;START_MA","XIMIZED=FALSE&amp;VAR:CALENDAR=US&amp;VAR:SYMBOL=04916420&amp;VAR:INDEX=0"}</definedName>
    <definedName name="_10668__FDSAUDITLINK__" localSheetId="6" hidden="1">{"fdsup://directions/FAT Viewer?action=UPDATE&amp;creator=factset&amp;DYN_ARGS=TRUE&amp;DOC_NAME=FAT:FQL_AUDITING_CLIENT_TEMPLATE.FAT&amp;display_string=Audit&amp;VAR:KEY=PSDEVSRWPK&amp;VAR:QUERY=RkZfRUJJVERBX0lCKCdMVE1TJywzODcwMSk=&amp;WINDOW=FIRST_POPUP&amp;HEIGHT=450&amp;WIDTH=450&amp;START_MA","XIMIZED=FALSE&amp;VAR:CALENDAR=US&amp;VAR:SYMBOL=04916420&amp;VAR:INDEX=0"}</definedName>
    <definedName name="_10668__FDSAUDITLINK__" hidden="1">{"fdsup://directions/FAT Viewer?action=UPDATE&amp;creator=factset&amp;DYN_ARGS=TRUE&amp;DOC_NAME=FAT:FQL_AUDITING_CLIENT_TEMPLATE.FAT&amp;display_string=Audit&amp;VAR:KEY=PSDEVSRWPK&amp;VAR:QUERY=RkZfRUJJVERBX0lCKCdMVE1TJywzODcwMSk=&amp;WINDOW=FIRST_POPUP&amp;HEIGHT=450&amp;WIDTH=450&amp;START_MA","XIMIZED=FALSE&amp;VAR:CALENDAR=US&amp;VAR:SYMBOL=04916420&amp;VAR:INDEX=0"}</definedName>
    <definedName name="_10669__FDSAUDITLINK__" localSheetId="6" hidden="1">{"fdsup://directions/FAT Viewer?action=UPDATE&amp;creator=factset&amp;DYN_ARGS=TRUE&amp;DOC_NAME=FAT:FQL_AUDITING_CLIENT_TEMPLATE.FAT&amp;display_string=Audit&amp;VAR:KEY=BQTGPAXUPI&amp;VAR:QUERY=RkZfRUJJVERBX0lCKCdMVE1TJywzODcwMCk=&amp;WINDOW=FIRST_POPUP&amp;HEIGHT=450&amp;WIDTH=450&amp;START_MA","XIMIZED=FALSE&amp;VAR:CALENDAR=US&amp;VAR:SYMBOL=04916420&amp;VAR:INDEX=0"}</definedName>
    <definedName name="_10669__FDSAUDITLINK__" hidden="1">{"fdsup://directions/FAT Viewer?action=UPDATE&amp;creator=factset&amp;DYN_ARGS=TRUE&amp;DOC_NAME=FAT:FQL_AUDITING_CLIENT_TEMPLATE.FAT&amp;display_string=Audit&amp;VAR:KEY=BQTGPAXUPI&amp;VAR:QUERY=RkZfRUJJVERBX0lCKCdMVE1TJywzODcwMCk=&amp;WINDOW=FIRST_POPUP&amp;HEIGHT=450&amp;WIDTH=450&amp;START_MA","XIMIZED=FALSE&amp;VAR:CALENDAR=US&amp;VAR:SYMBOL=04916420&amp;VAR:INDEX=0"}</definedName>
    <definedName name="_1067__FDSAUDITLINK__" localSheetId="6" hidden="1">{"fdsup://directions/FAT%20Viewer?VAR:PED=LTM&amp;VAR:AUDIT_MODE=SUMMARY&amp;VAR:PERIOD=FIXED&amp;VAR:AUDIT_ID=00000117&amp;VAR:DATE=20070322&amp;action=UPDATE&amp;creator=factset&amp;DOC_NAME=FAT:FMA_audit_SUMMARY.fat&amp;DISPLAY_STRING=Display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7__FDSAUDITLINK__" hidden="1">{"fdsup://directions/FAT%20Viewer?VAR:PED=LTM&amp;VAR:AUDIT_MODE=SUMMARY&amp;VAR:PERIOD=FIXED&amp;VAR:AUDIT_ID=00000117&amp;VAR:DATE=20070322&amp;action=UPDATE&amp;creator=factset&amp;DOC_NAME=FAT:FMA_audit_SUMMARY.fat&amp;DISPLAY_STRING=Display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70__FDSAUDITLINK__" localSheetId="6" hidden="1">{"fdsup://directions/FAT Viewer?action=UPDATE&amp;creator=factset&amp;DYN_ARGS=TRUE&amp;DOC_NAME=FAT:FQL_AUDITING_CLIENT_TEMPLATE.FAT&amp;display_string=Audit&amp;VAR:KEY=VEVYLCJCHW&amp;VAR:QUERY=RkZfRUJJVERBX0lCKCdMVE1TJywzODY5OSk=&amp;WINDOW=FIRST_POPUP&amp;HEIGHT=450&amp;WIDTH=450&amp;START_MA","XIMIZED=FALSE&amp;VAR:CALENDAR=US&amp;VAR:SYMBOL=04916420&amp;VAR:INDEX=0"}</definedName>
    <definedName name="_10670__FDSAUDITLINK__" hidden="1">{"fdsup://directions/FAT Viewer?action=UPDATE&amp;creator=factset&amp;DYN_ARGS=TRUE&amp;DOC_NAME=FAT:FQL_AUDITING_CLIENT_TEMPLATE.FAT&amp;display_string=Audit&amp;VAR:KEY=VEVYLCJCHW&amp;VAR:QUERY=RkZfRUJJVERBX0lCKCdMVE1TJywzODY5OSk=&amp;WINDOW=FIRST_POPUP&amp;HEIGHT=450&amp;WIDTH=450&amp;START_MA","XIMIZED=FALSE&amp;VAR:CALENDAR=US&amp;VAR:SYMBOL=04916420&amp;VAR:INDEX=0"}</definedName>
    <definedName name="_10671__FDSAUDITLINK__" localSheetId="6" hidden="1">{"fdsup://directions/FAT Viewer?action=UPDATE&amp;creator=factset&amp;DYN_ARGS=TRUE&amp;DOC_NAME=FAT:FQL_AUDITING_CLIENT_TEMPLATE.FAT&amp;display_string=Audit&amp;VAR:KEY=JIXQLOPANS&amp;VAR:QUERY=RkZfRUJJVERBX0lCKCdMVE1TJywzODY5OCk=&amp;WINDOW=FIRST_POPUP&amp;HEIGHT=450&amp;WIDTH=450&amp;START_MA","XIMIZED=FALSE&amp;VAR:CALENDAR=US&amp;VAR:SYMBOL=04916420&amp;VAR:INDEX=0"}</definedName>
    <definedName name="_10671__FDSAUDITLINK__" hidden="1">{"fdsup://directions/FAT Viewer?action=UPDATE&amp;creator=factset&amp;DYN_ARGS=TRUE&amp;DOC_NAME=FAT:FQL_AUDITING_CLIENT_TEMPLATE.FAT&amp;display_string=Audit&amp;VAR:KEY=JIXQLOPANS&amp;VAR:QUERY=RkZfRUJJVERBX0lCKCdMVE1TJywzODY5OCk=&amp;WINDOW=FIRST_POPUP&amp;HEIGHT=450&amp;WIDTH=450&amp;START_MA","XIMIZED=FALSE&amp;VAR:CALENDAR=US&amp;VAR:SYMBOL=04916420&amp;VAR:INDEX=0"}</definedName>
    <definedName name="_10672__FDSAUDITLINK__" localSheetId="6" hidden="1">{"fdsup://directions/FAT Viewer?action=UPDATE&amp;creator=factset&amp;DYN_ARGS=TRUE&amp;DOC_NAME=FAT:FQL_AUDITING_CLIENT_TEMPLATE.FAT&amp;display_string=Audit&amp;VAR:KEY=XOHUFWZSRO&amp;VAR:QUERY=RkZfRUJJVERBX0lCKCdMVE1TJywzODY5Nyk=&amp;WINDOW=FIRST_POPUP&amp;HEIGHT=450&amp;WIDTH=450&amp;START_MA","XIMIZED=FALSE&amp;VAR:CALENDAR=US&amp;VAR:SYMBOL=04916420&amp;VAR:INDEX=0"}</definedName>
    <definedName name="_10672__FDSAUDITLINK__" hidden="1">{"fdsup://directions/FAT Viewer?action=UPDATE&amp;creator=factset&amp;DYN_ARGS=TRUE&amp;DOC_NAME=FAT:FQL_AUDITING_CLIENT_TEMPLATE.FAT&amp;display_string=Audit&amp;VAR:KEY=XOHUFWZSRO&amp;VAR:QUERY=RkZfRUJJVERBX0lCKCdMVE1TJywzODY5Nyk=&amp;WINDOW=FIRST_POPUP&amp;HEIGHT=450&amp;WIDTH=450&amp;START_MA","XIMIZED=FALSE&amp;VAR:CALENDAR=US&amp;VAR:SYMBOL=04916420&amp;VAR:INDEX=0"}</definedName>
    <definedName name="_10673__FDSAUDITLINK__" localSheetId="6" hidden="1">{"fdsup://directions/FAT Viewer?action=UPDATE&amp;creator=factset&amp;DYN_ARGS=TRUE&amp;DOC_NAME=FAT:FQL_AUDITING_CLIENT_TEMPLATE.FAT&amp;display_string=Audit&amp;VAR:KEY=ZUJAXEZAJO&amp;VAR:QUERY=RkZfRUJJVERBX0lCKCdMVE1TJywzODY5Nik=&amp;WINDOW=FIRST_POPUP&amp;HEIGHT=450&amp;WIDTH=450&amp;START_MA","XIMIZED=FALSE&amp;VAR:CALENDAR=US&amp;VAR:SYMBOL=04916420&amp;VAR:INDEX=0"}</definedName>
    <definedName name="_10673__FDSAUDITLINK__" hidden="1">{"fdsup://directions/FAT Viewer?action=UPDATE&amp;creator=factset&amp;DYN_ARGS=TRUE&amp;DOC_NAME=FAT:FQL_AUDITING_CLIENT_TEMPLATE.FAT&amp;display_string=Audit&amp;VAR:KEY=ZUJAXEZAJO&amp;VAR:QUERY=RkZfRUJJVERBX0lCKCdMVE1TJywzODY5Nik=&amp;WINDOW=FIRST_POPUP&amp;HEIGHT=450&amp;WIDTH=450&amp;START_MA","XIMIZED=FALSE&amp;VAR:CALENDAR=US&amp;VAR:SYMBOL=04916420&amp;VAR:INDEX=0"}</definedName>
    <definedName name="_10674__FDSAUDITLINK__" localSheetId="6" hidden="1">{"fdsup://directions/FAT Viewer?action=UPDATE&amp;creator=factset&amp;DYN_ARGS=TRUE&amp;DOC_NAME=FAT:FQL_AUDITING_CLIENT_TEMPLATE.FAT&amp;display_string=Audit&amp;VAR:KEY=PMPCZILYJQ&amp;VAR:QUERY=RkZfRUJJVERBX0lCKCdMVE1TJywzODY5NSk=&amp;WINDOW=FIRST_POPUP&amp;HEIGHT=450&amp;WIDTH=450&amp;START_MA","XIMIZED=FALSE&amp;VAR:CALENDAR=US&amp;VAR:SYMBOL=04916420&amp;VAR:INDEX=0"}</definedName>
    <definedName name="_10674__FDSAUDITLINK__" hidden="1">{"fdsup://directions/FAT Viewer?action=UPDATE&amp;creator=factset&amp;DYN_ARGS=TRUE&amp;DOC_NAME=FAT:FQL_AUDITING_CLIENT_TEMPLATE.FAT&amp;display_string=Audit&amp;VAR:KEY=PMPCZILYJQ&amp;VAR:QUERY=RkZfRUJJVERBX0lCKCdMVE1TJywzODY5NSk=&amp;WINDOW=FIRST_POPUP&amp;HEIGHT=450&amp;WIDTH=450&amp;START_MA","XIMIZED=FALSE&amp;VAR:CALENDAR=US&amp;VAR:SYMBOL=04916420&amp;VAR:INDEX=0"}</definedName>
    <definedName name="_10675__FDSAUDITLINK__" localSheetId="6" hidden="1">{"fdsup://directions/FAT Viewer?action=UPDATE&amp;creator=factset&amp;DYN_ARGS=TRUE&amp;DOC_NAME=FAT:FQL_AUDITING_CLIENT_TEMPLATE.FAT&amp;display_string=Audit&amp;VAR:KEY=NQFWBWDWRI&amp;VAR:QUERY=RkZfRUJJVERBX0lCKCdMVE1TJywzODY5NCk=&amp;WINDOW=FIRST_POPUP&amp;HEIGHT=450&amp;WIDTH=450&amp;START_MA","XIMIZED=FALSE&amp;VAR:CALENDAR=US&amp;VAR:SYMBOL=04916420&amp;VAR:INDEX=0"}</definedName>
    <definedName name="_10675__FDSAUDITLINK__" hidden="1">{"fdsup://directions/FAT Viewer?action=UPDATE&amp;creator=factset&amp;DYN_ARGS=TRUE&amp;DOC_NAME=FAT:FQL_AUDITING_CLIENT_TEMPLATE.FAT&amp;display_string=Audit&amp;VAR:KEY=NQFWBWDWRI&amp;VAR:QUERY=RkZfRUJJVERBX0lCKCdMVE1TJywzODY5NCk=&amp;WINDOW=FIRST_POPUP&amp;HEIGHT=450&amp;WIDTH=450&amp;START_MA","XIMIZED=FALSE&amp;VAR:CALENDAR=US&amp;VAR:SYMBOL=04916420&amp;VAR:INDEX=0"}</definedName>
    <definedName name="_10676__FDSAUDITLINK__" localSheetId="6" hidden="1">{"fdsup://directions/FAT Viewer?action=UPDATE&amp;creator=factset&amp;DYN_ARGS=TRUE&amp;DOC_NAME=FAT:FQL_AUDITING_CLIENT_TEMPLATE.FAT&amp;display_string=Audit&amp;VAR:KEY=DUPEJQZGPO&amp;VAR:QUERY=RkZfRUJJVERBX0lCKCdMVE1TJywzODY5Myk=&amp;WINDOW=FIRST_POPUP&amp;HEIGHT=450&amp;WIDTH=450&amp;START_MA","XIMIZED=FALSE&amp;VAR:CALENDAR=US&amp;VAR:SYMBOL=04916420&amp;VAR:INDEX=0"}</definedName>
    <definedName name="_10676__FDSAUDITLINK__" hidden="1">{"fdsup://directions/FAT Viewer?action=UPDATE&amp;creator=factset&amp;DYN_ARGS=TRUE&amp;DOC_NAME=FAT:FQL_AUDITING_CLIENT_TEMPLATE.FAT&amp;display_string=Audit&amp;VAR:KEY=DUPEJQZGPO&amp;VAR:QUERY=RkZfRUJJVERBX0lCKCdMVE1TJywzODY5Myk=&amp;WINDOW=FIRST_POPUP&amp;HEIGHT=450&amp;WIDTH=450&amp;START_MA","XIMIZED=FALSE&amp;VAR:CALENDAR=US&amp;VAR:SYMBOL=04916420&amp;VAR:INDEX=0"}</definedName>
    <definedName name="_10677__FDSAUDITLINK__" localSheetId="6" hidden="1">{"fdsup://directions/FAT Viewer?action=UPDATE&amp;creator=factset&amp;DYN_ARGS=TRUE&amp;DOC_NAME=FAT:FQL_AUDITING_CLIENT_TEMPLATE.FAT&amp;display_string=Audit&amp;VAR:KEY=ZOTMPMPSTI&amp;VAR:QUERY=RkZfRUJJVERBX0lCKCdMVE1TJywzODY5Mik=&amp;WINDOW=FIRST_POPUP&amp;HEIGHT=450&amp;WIDTH=450&amp;START_MA","XIMIZED=FALSE&amp;VAR:CALENDAR=US&amp;VAR:SYMBOL=04916420&amp;VAR:INDEX=0"}</definedName>
    <definedName name="_10677__FDSAUDITLINK__" hidden="1">{"fdsup://directions/FAT Viewer?action=UPDATE&amp;creator=factset&amp;DYN_ARGS=TRUE&amp;DOC_NAME=FAT:FQL_AUDITING_CLIENT_TEMPLATE.FAT&amp;display_string=Audit&amp;VAR:KEY=ZOTMPMPSTI&amp;VAR:QUERY=RkZfRUJJVERBX0lCKCdMVE1TJywzODY5Mik=&amp;WINDOW=FIRST_POPUP&amp;HEIGHT=450&amp;WIDTH=450&amp;START_MA","XIMIZED=FALSE&amp;VAR:CALENDAR=US&amp;VAR:SYMBOL=04916420&amp;VAR:INDEX=0"}</definedName>
    <definedName name="_10678__FDSAUDITLINK__" localSheetId="6" hidden="1">{"fdsup://directions/FAT Viewer?action=UPDATE&amp;creator=factset&amp;DYN_ARGS=TRUE&amp;DOC_NAME=FAT:FQL_AUDITING_CLIENT_TEMPLATE.FAT&amp;display_string=Audit&amp;VAR:KEY=JQJYTWVODA&amp;VAR:QUERY=RkZfRUJJVERBX0lCKCdMVE1TJywzODY5MSk=&amp;WINDOW=FIRST_POPUP&amp;HEIGHT=450&amp;WIDTH=450&amp;START_MA","XIMIZED=FALSE&amp;VAR:CALENDAR=US&amp;VAR:SYMBOL=04916420&amp;VAR:INDEX=0"}</definedName>
    <definedName name="_10678__FDSAUDITLINK__" hidden="1">{"fdsup://directions/FAT Viewer?action=UPDATE&amp;creator=factset&amp;DYN_ARGS=TRUE&amp;DOC_NAME=FAT:FQL_AUDITING_CLIENT_TEMPLATE.FAT&amp;display_string=Audit&amp;VAR:KEY=JQJYTWVODA&amp;VAR:QUERY=RkZfRUJJVERBX0lCKCdMVE1TJywzODY5MSk=&amp;WINDOW=FIRST_POPUP&amp;HEIGHT=450&amp;WIDTH=450&amp;START_MA","XIMIZED=FALSE&amp;VAR:CALENDAR=US&amp;VAR:SYMBOL=04916420&amp;VAR:INDEX=0"}</definedName>
    <definedName name="_10679__FDSAUDITLINK__" localSheetId="6" hidden="1">{"fdsup://directions/FAT Viewer?action=UPDATE&amp;creator=factset&amp;DYN_ARGS=TRUE&amp;DOC_NAME=FAT:FQL_AUDITING_CLIENT_TEMPLATE.FAT&amp;display_string=Audit&amp;VAR:KEY=DWPMJCHULY&amp;VAR:QUERY=RkZfRUJJVERBX0lCKCdMVE1TJywzODY5MCk=&amp;WINDOW=FIRST_POPUP&amp;HEIGHT=450&amp;WIDTH=450&amp;START_MA","XIMIZED=FALSE&amp;VAR:CALENDAR=US&amp;VAR:SYMBOL=04916420&amp;VAR:INDEX=0"}</definedName>
    <definedName name="_10679__FDSAUDITLINK__" hidden="1">{"fdsup://directions/FAT Viewer?action=UPDATE&amp;creator=factset&amp;DYN_ARGS=TRUE&amp;DOC_NAME=FAT:FQL_AUDITING_CLIENT_TEMPLATE.FAT&amp;display_string=Audit&amp;VAR:KEY=DWPMJCHULY&amp;VAR:QUERY=RkZfRUJJVERBX0lCKCdMVE1TJywzODY5MCk=&amp;WINDOW=FIRST_POPUP&amp;HEIGHT=450&amp;WIDTH=450&amp;START_MA","XIMIZED=FALSE&amp;VAR:CALENDAR=US&amp;VAR:SYMBOL=04916420&amp;VAR:INDEX=0"}</definedName>
    <definedName name="_1068__FDSAUDITLINK__" localSheetId="6" hidden="1">{"fdsup://directions/FAT%20Viewer?VAR:PED=LTM&amp;VAR:AUDIT_MODE=SUMMARY&amp;VAR:PERIOD=FIXED&amp;VAR:AUDIT_ID=00000117&amp;VAR:DATE=20070321&amp;action=UPDATE&amp;creator=factset&amp;DOC_NAME=FAT:FMA_audit_SUMMARY.fat&amp;DISPLAY_STRING=Display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8__FDSAUDITLINK__" hidden="1">{"fdsup://directions/FAT%20Viewer?VAR:PED=LTM&amp;VAR:AUDIT_MODE=SUMMARY&amp;VAR:PERIOD=FIXED&amp;VAR:AUDIT_ID=00000117&amp;VAR:DATE=20070321&amp;action=UPDATE&amp;creator=factset&amp;DOC_NAME=FAT:FMA_audit_SUMMARY.fat&amp;DISPLAY_STRING=Display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80__FDSAUDITLINK__" localSheetId="6" hidden="1">{"fdsup://directions/FAT Viewer?action=UPDATE&amp;creator=factset&amp;DYN_ARGS=TRUE&amp;DOC_NAME=FAT:FQL_AUDITING_CLIENT_TEMPLATE.FAT&amp;display_string=Audit&amp;VAR:KEY=TAVCXWNCPY&amp;VAR:QUERY=RkZfRUJJVERBX0lCKCdMVE1TJywzODY4OSk=&amp;WINDOW=FIRST_POPUP&amp;HEIGHT=450&amp;WIDTH=450&amp;START_MA","XIMIZED=FALSE&amp;VAR:CALENDAR=US&amp;VAR:SYMBOL=04916420&amp;VAR:INDEX=0"}</definedName>
    <definedName name="_10680__FDSAUDITLINK__" hidden="1">{"fdsup://directions/FAT Viewer?action=UPDATE&amp;creator=factset&amp;DYN_ARGS=TRUE&amp;DOC_NAME=FAT:FQL_AUDITING_CLIENT_TEMPLATE.FAT&amp;display_string=Audit&amp;VAR:KEY=TAVCXWNCPY&amp;VAR:QUERY=RkZfRUJJVERBX0lCKCdMVE1TJywzODY4OSk=&amp;WINDOW=FIRST_POPUP&amp;HEIGHT=450&amp;WIDTH=450&amp;START_MA","XIMIZED=FALSE&amp;VAR:CALENDAR=US&amp;VAR:SYMBOL=04916420&amp;VAR:INDEX=0"}</definedName>
    <definedName name="_10681__FDSAUDITLINK__" localSheetId="6" hidden="1">{"fdsup://directions/FAT Viewer?action=UPDATE&amp;creator=factset&amp;DYN_ARGS=TRUE&amp;DOC_NAME=FAT:FQL_AUDITING_CLIENT_TEMPLATE.FAT&amp;display_string=Audit&amp;VAR:KEY=FGHGFGHCRU&amp;VAR:QUERY=RkZfRUJJVERBX0lCKCdMVE1TJywzODY4OCk=&amp;WINDOW=FIRST_POPUP&amp;HEIGHT=450&amp;WIDTH=450&amp;START_MA","XIMIZED=FALSE&amp;VAR:CALENDAR=US&amp;VAR:SYMBOL=04916420&amp;VAR:INDEX=0"}</definedName>
    <definedName name="_10681__FDSAUDITLINK__" hidden="1">{"fdsup://directions/FAT Viewer?action=UPDATE&amp;creator=factset&amp;DYN_ARGS=TRUE&amp;DOC_NAME=FAT:FQL_AUDITING_CLIENT_TEMPLATE.FAT&amp;display_string=Audit&amp;VAR:KEY=FGHGFGHCRU&amp;VAR:QUERY=RkZfRUJJVERBX0lCKCdMVE1TJywzODY4OCk=&amp;WINDOW=FIRST_POPUP&amp;HEIGHT=450&amp;WIDTH=450&amp;START_MA","XIMIZED=FALSE&amp;VAR:CALENDAR=US&amp;VAR:SYMBOL=04916420&amp;VAR:INDEX=0"}</definedName>
    <definedName name="_10682__FDSAUDITLINK__" localSheetId="6" hidden="1">{"fdsup://directions/FAT Viewer?action=UPDATE&amp;creator=factset&amp;DYN_ARGS=TRUE&amp;DOC_NAME=FAT:FQL_AUDITING_CLIENT_TEMPLATE.FAT&amp;display_string=Audit&amp;VAR:KEY=FKTQRSDCNG&amp;VAR:QUERY=RkZfRUJJVERBX0lCKCdMVE1TJywzODY4Nyk=&amp;WINDOW=FIRST_POPUP&amp;HEIGHT=450&amp;WIDTH=450&amp;START_MA","XIMIZED=FALSE&amp;VAR:CALENDAR=US&amp;VAR:SYMBOL=04916420&amp;VAR:INDEX=0"}</definedName>
    <definedName name="_10682__FDSAUDITLINK__" hidden="1">{"fdsup://directions/FAT Viewer?action=UPDATE&amp;creator=factset&amp;DYN_ARGS=TRUE&amp;DOC_NAME=FAT:FQL_AUDITING_CLIENT_TEMPLATE.FAT&amp;display_string=Audit&amp;VAR:KEY=FKTQRSDCNG&amp;VAR:QUERY=RkZfRUJJVERBX0lCKCdMVE1TJywzODY4Nyk=&amp;WINDOW=FIRST_POPUP&amp;HEIGHT=450&amp;WIDTH=450&amp;START_MA","XIMIZED=FALSE&amp;VAR:CALENDAR=US&amp;VAR:SYMBOL=04916420&amp;VAR:INDEX=0"}</definedName>
    <definedName name="_10683__FDSAUDITLINK__" localSheetId="6" hidden="1">{"fdsup://directions/FAT Viewer?action=UPDATE&amp;creator=factset&amp;DYN_ARGS=TRUE&amp;DOC_NAME=FAT:FQL_AUDITING_CLIENT_TEMPLATE.FAT&amp;display_string=Audit&amp;VAR:KEY=XORAJUTGHO&amp;VAR:QUERY=RkZfRUJJVERBX0lCKCdMVE1TJywzODY4Nik=&amp;WINDOW=FIRST_POPUP&amp;HEIGHT=450&amp;WIDTH=450&amp;START_MA","XIMIZED=FALSE&amp;VAR:CALENDAR=US&amp;VAR:SYMBOL=04916420&amp;VAR:INDEX=0"}</definedName>
    <definedName name="_10683__FDSAUDITLINK__" hidden="1">{"fdsup://directions/FAT Viewer?action=UPDATE&amp;creator=factset&amp;DYN_ARGS=TRUE&amp;DOC_NAME=FAT:FQL_AUDITING_CLIENT_TEMPLATE.FAT&amp;display_string=Audit&amp;VAR:KEY=XORAJUTGHO&amp;VAR:QUERY=RkZfRUJJVERBX0lCKCdMVE1TJywzODY4Nik=&amp;WINDOW=FIRST_POPUP&amp;HEIGHT=450&amp;WIDTH=450&amp;START_MA","XIMIZED=FALSE&amp;VAR:CALENDAR=US&amp;VAR:SYMBOL=04916420&amp;VAR:INDEX=0"}</definedName>
    <definedName name="_10684__FDSAUDITLINK__" localSheetId="6" hidden="1">{"fdsup://directions/FAT Viewer?action=UPDATE&amp;creator=factset&amp;DYN_ARGS=TRUE&amp;DOC_NAME=FAT:FQL_AUDITING_CLIENT_TEMPLATE.FAT&amp;display_string=Audit&amp;VAR:KEY=BWDGJWPCJU&amp;VAR:QUERY=RkZfRUJJVERBX0lCKCdMVE1TJywzODY4NSk=&amp;WINDOW=FIRST_POPUP&amp;HEIGHT=450&amp;WIDTH=450&amp;START_MA","XIMIZED=FALSE&amp;VAR:CALENDAR=US&amp;VAR:SYMBOL=04916420&amp;VAR:INDEX=0"}</definedName>
    <definedName name="_10684__FDSAUDITLINK__" hidden="1">{"fdsup://directions/FAT Viewer?action=UPDATE&amp;creator=factset&amp;DYN_ARGS=TRUE&amp;DOC_NAME=FAT:FQL_AUDITING_CLIENT_TEMPLATE.FAT&amp;display_string=Audit&amp;VAR:KEY=BWDGJWPCJU&amp;VAR:QUERY=RkZfRUJJVERBX0lCKCdMVE1TJywzODY4NSk=&amp;WINDOW=FIRST_POPUP&amp;HEIGHT=450&amp;WIDTH=450&amp;START_MA","XIMIZED=FALSE&amp;VAR:CALENDAR=US&amp;VAR:SYMBOL=04916420&amp;VAR:INDEX=0"}</definedName>
    <definedName name="_10685__FDSAUDITLINK__" localSheetId="6" hidden="1">{"fdsup://directions/FAT Viewer?action=UPDATE&amp;creator=factset&amp;DYN_ARGS=TRUE&amp;DOC_NAME=FAT:FQL_AUDITING_CLIENT_TEMPLATE.FAT&amp;display_string=Audit&amp;VAR:KEY=VOPSNGREFO&amp;VAR:QUERY=RkZfRUJJVERBX0lCKCdMVE1TJywzODY4NCk=&amp;WINDOW=FIRST_POPUP&amp;HEIGHT=450&amp;WIDTH=450&amp;START_MA","XIMIZED=FALSE&amp;VAR:CALENDAR=US&amp;VAR:SYMBOL=04916420&amp;VAR:INDEX=0"}</definedName>
    <definedName name="_10685__FDSAUDITLINK__" hidden="1">{"fdsup://directions/FAT Viewer?action=UPDATE&amp;creator=factset&amp;DYN_ARGS=TRUE&amp;DOC_NAME=FAT:FQL_AUDITING_CLIENT_TEMPLATE.FAT&amp;display_string=Audit&amp;VAR:KEY=VOPSNGREFO&amp;VAR:QUERY=RkZfRUJJVERBX0lCKCdMVE1TJywzODY4NCk=&amp;WINDOW=FIRST_POPUP&amp;HEIGHT=450&amp;WIDTH=450&amp;START_MA","XIMIZED=FALSE&amp;VAR:CALENDAR=US&amp;VAR:SYMBOL=04916420&amp;VAR:INDEX=0"}</definedName>
    <definedName name="_10686__FDSAUDITLINK__" localSheetId="6" hidden="1">{"fdsup://directions/FAT Viewer?action=UPDATE&amp;creator=factset&amp;DYN_ARGS=TRUE&amp;DOC_NAME=FAT:FQL_AUDITING_CLIENT_TEMPLATE.FAT&amp;display_string=Audit&amp;VAR:KEY=FALQNUHWVI&amp;VAR:QUERY=RkZfRUJJVERBX0lCKCdMVE1TJywzODY4Myk=&amp;WINDOW=FIRST_POPUP&amp;HEIGHT=450&amp;WIDTH=450&amp;START_MA","XIMIZED=FALSE&amp;VAR:CALENDAR=US&amp;VAR:SYMBOL=04916420&amp;VAR:INDEX=0"}</definedName>
    <definedName name="_10686__FDSAUDITLINK__" hidden="1">{"fdsup://directions/FAT Viewer?action=UPDATE&amp;creator=factset&amp;DYN_ARGS=TRUE&amp;DOC_NAME=FAT:FQL_AUDITING_CLIENT_TEMPLATE.FAT&amp;display_string=Audit&amp;VAR:KEY=FALQNUHWVI&amp;VAR:QUERY=RkZfRUJJVERBX0lCKCdMVE1TJywzODY4Myk=&amp;WINDOW=FIRST_POPUP&amp;HEIGHT=450&amp;WIDTH=450&amp;START_MA","XIMIZED=FALSE&amp;VAR:CALENDAR=US&amp;VAR:SYMBOL=04916420&amp;VAR:INDEX=0"}</definedName>
    <definedName name="_10687__FDSAUDITLINK__" localSheetId="6" hidden="1">{"fdsup://directions/FAT Viewer?action=UPDATE&amp;creator=factset&amp;DYN_ARGS=TRUE&amp;DOC_NAME=FAT:FQL_AUDITING_CLIENT_TEMPLATE.FAT&amp;display_string=Audit&amp;VAR:KEY=ZALKHQPMNS&amp;VAR:QUERY=RkZfRUJJVERBX0lCKCdMVE1TJywzODY4Mik=&amp;WINDOW=FIRST_POPUP&amp;HEIGHT=450&amp;WIDTH=450&amp;START_MA","XIMIZED=FALSE&amp;VAR:CALENDAR=US&amp;VAR:SYMBOL=04916420&amp;VAR:INDEX=0"}</definedName>
    <definedName name="_10687__FDSAUDITLINK__" hidden="1">{"fdsup://directions/FAT Viewer?action=UPDATE&amp;creator=factset&amp;DYN_ARGS=TRUE&amp;DOC_NAME=FAT:FQL_AUDITING_CLIENT_TEMPLATE.FAT&amp;display_string=Audit&amp;VAR:KEY=ZALKHQPMNS&amp;VAR:QUERY=RkZfRUJJVERBX0lCKCdMVE1TJywzODY4Mik=&amp;WINDOW=FIRST_POPUP&amp;HEIGHT=450&amp;WIDTH=450&amp;START_MA","XIMIZED=FALSE&amp;VAR:CALENDAR=US&amp;VAR:SYMBOL=04916420&amp;VAR:INDEX=0"}</definedName>
    <definedName name="_10688__FDSAUDITLINK__" localSheetId="6" hidden="1">{"fdsup://directions/FAT Viewer?action=UPDATE&amp;creator=factset&amp;DYN_ARGS=TRUE&amp;DOC_NAME=FAT:FQL_AUDITING_CLIENT_TEMPLATE.FAT&amp;display_string=Audit&amp;VAR:KEY=PUVWVMZGXU&amp;VAR:QUERY=RkZfRUJJVERBX0lCKCdMVE1TJywzODY4MSk=&amp;WINDOW=FIRST_POPUP&amp;HEIGHT=450&amp;WIDTH=450&amp;START_MA","XIMIZED=FALSE&amp;VAR:CALENDAR=US&amp;VAR:SYMBOL=04916420&amp;VAR:INDEX=0"}</definedName>
    <definedName name="_10688__FDSAUDITLINK__" hidden="1">{"fdsup://directions/FAT Viewer?action=UPDATE&amp;creator=factset&amp;DYN_ARGS=TRUE&amp;DOC_NAME=FAT:FQL_AUDITING_CLIENT_TEMPLATE.FAT&amp;display_string=Audit&amp;VAR:KEY=PUVWVMZGXU&amp;VAR:QUERY=RkZfRUJJVERBX0lCKCdMVE1TJywzODY4MSk=&amp;WINDOW=FIRST_POPUP&amp;HEIGHT=450&amp;WIDTH=450&amp;START_MA","XIMIZED=FALSE&amp;VAR:CALENDAR=US&amp;VAR:SYMBOL=04916420&amp;VAR:INDEX=0"}</definedName>
    <definedName name="_10689__FDSAUDITLINK__" localSheetId="6" hidden="1">{"fdsup://directions/FAT Viewer?action=UPDATE&amp;creator=factset&amp;DYN_ARGS=TRUE&amp;DOC_NAME=FAT:FQL_AUDITING_CLIENT_TEMPLATE.FAT&amp;display_string=Audit&amp;VAR:KEY=REZWRSXGBK&amp;VAR:QUERY=RkZfRUJJVERBX0lCKCdMVE1TJywzODY4MCk=&amp;WINDOW=FIRST_POPUP&amp;HEIGHT=450&amp;WIDTH=450&amp;START_MA","XIMIZED=FALSE&amp;VAR:CALENDAR=US&amp;VAR:SYMBOL=04916420&amp;VAR:INDEX=0"}</definedName>
    <definedName name="_10689__FDSAUDITLINK__" hidden="1">{"fdsup://directions/FAT Viewer?action=UPDATE&amp;creator=factset&amp;DYN_ARGS=TRUE&amp;DOC_NAME=FAT:FQL_AUDITING_CLIENT_TEMPLATE.FAT&amp;display_string=Audit&amp;VAR:KEY=REZWRSXGBK&amp;VAR:QUERY=RkZfRUJJVERBX0lCKCdMVE1TJywzODY4MCk=&amp;WINDOW=FIRST_POPUP&amp;HEIGHT=450&amp;WIDTH=450&amp;START_MA","XIMIZED=FALSE&amp;VAR:CALENDAR=US&amp;VAR:SYMBOL=04916420&amp;VAR:INDEX=0"}</definedName>
    <definedName name="_1069__FDSAUDITLINK__" localSheetId="6" hidden="1">{"fdsup://directions/FAT%20Viewer?VAR:PED=LTM&amp;VAR:AUDIT_MODE=SUMMARY&amp;VAR:PERIOD=FIXED&amp;VAR:AUDIT_ID=00000117&amp;VAR:DATE=20070320&amp;action=UPDATE&amp;creator=factset&amp;DOC_NAME=FAT:FMA_audit_SUMMARY.fat&amp;DISPLAY_STRING=Display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9__FDSAUDITLINK__" hidden="1">{"fdsup://directions/FAT%20Viewer?VAR:PED=LTM&amp;VAR:AUDIT_MODE=SUMMARY&amp;VAR:PERIOD=FIXED&amp;VAR:AUDIT_ID=00000117&amp;VAR:DATE=20070320&amp;action=UPDATE&amp;creator=factset&amp;DOC_NAME=FAT:FMA_audit_SUMMARY.fat&amp;DISPLAY_STRING=Display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690__FDSAUDITLINK__" localSheetId="6" hidden="1">{"fdsup://directions/FAT Viewer?action=UPDATE&amp;creator=factset&amp;DYN_ARGS=TRUE&amp;DOC_NAME=FAT:FQL_AUDITING_CLIENT_TEMPLATE.FAT&amp;display_string=Audit&amp;VAR:KEY=VUHKVARYLM&amp;VAR:QUERY=RkZfRUJJVERBX0lCKCdMVE1TJywzODY3OSk=&amp;WINDOW=FIRST_POPUP&amp;HEIGHT=450&amp;WIDTH=450&amp;START_MA","XIMIZED=FALSE&amp;VAR:CALENDAR=US&amp;VAR:SYMBOL=04916420&amp;VAR:INDEX=0"}</definedName>
    <definedName name="_10690__FDSAUDITLINK__" hidden="1">{"fdsup://directions/FAT Viewer?action=UPDATE&amp;creator=factset&amp;DYN_ARGS=TRUE&amp;DOC_NAME=FAT:FQL_AUDITING_CLIENT_TEMPLATE.FAT&amp;display_string=Audit&amp;VAR:KEY=VUHKVARYLM&amp;VAR:QUERY=RkZfRUJJVERBX0lCKCdMVE1TJywzODY3OSk=&amp;WINDOW=FIRST_POPUP&amp;HEIGHT=450&amp;WIDTH=450&amp;START_MA","XIMIZED=FALSE&amp;VAR:CALENDAR=US&amp;VAR:SYMBOL=04916420&amp;VAR:INDEX=0"}</definedName>
    <definedName name="_10691__FDSAUDITLINK__" localSheetId="6" hidden="1">{"fdsup://directions/FAT Viewer?action=UPDATE&amp;creator=factset&amp;DYN_ARGS=TRUE&amp;DOC_NAME=FAT:FQL_AUDITING_CLIENT_TEMPLATE.FAT&amp;display_string=Audit&amp;VAR:KEY=TYXUHCJGDS&amp;VAR:QUERY=RkZfRUJJVERBX0lCKCdMVE1TJywzODY3OCk=&amp;WINDOW=FIRST_POPUP&amp;HEIGHT=450&amp;WIDTH=450&amp;START_MA","XIMIZED=FALSE&amp;VAR:CALENDAR=US&amp;VAR:SYMBOL=04916420&amp;VAR:INDEX=0"}</definedName>
    <definedName name="_10691__FDSAUDITLINK__" hidden="1">{"fdsup://directions/FAT Viewer?action=UPDATE&amp;creator=factset&amp;DYN_ARGS=TRUE&amp;DOC_NAME=FAT:FQL_AUDITING_CLIENT_TEMPLATE.FAT&amp;display_string=Audit&amp;VAR:KEY=TYXUHCJGDS&amp;VAR:QUERY=RkZfRUJJVERBX0lCKCdMVE1TJywzODY3OCk=&amp;WINDOW=FIRST_POPUP&amp;HEIGHT=450&amp;WIDTH=450&amp;START_MA","XIMIZED=FALSE&amp;VAR:CALENDAR=US&amp;VAR:SYMBOL=04916420&amp;VAR:INDEX=0"}</definedName>
    <definedName name="_10692__FDSAUDITLINK__" localSheetId="6" hidden="1">{"fdsup://directions/FAT Viewer?action=UPDATE&amp;creator=factset&amp;DYN_ARGS=TRUE&amp;DOC_NAME=FAT:FQL_AUDITING_CLIENT_TEMPLATE.FAT&amp;display_string=Audit&amp;VAR:KEY=HKHMDONGRW&amp;VAR:QUERY=RkZfRUJJVERBX0lCKCdMVE1TJywzODY3Nyk=&amp;WINDOW=FIRST_POPUP&amp;HEIGHT=450&amp;WIDTH=450&amp;START_MA","XIMIZED=FALSE&amp;VAR:CALENDAR=US&amp;VAR:SYMBOL=04916420&amp;VAR:INDEX=0"}</definedName>
    <definedName name="_10692__FDSAUDITLINK__" hidden="1">{"fdsup://directions/FAT Viewer?action=UPDATE&amp;creator=factset&amp;DYN_ARGS=TRUE&amp;DOC_NAME=FAT:FQL_AUDITING_CLIENT_TEMPLATE.FAT&amp;display_string=Audit&amp;VAR:KEY=HKHMDONGRW&amp;VAR:QUERY=RkZfRUJJVERBX0lCKCdMVE1TJywzODY3Nyk=&amp;WINDOW=FIRST_POPUP&amp;HEIGHT=450&amp;WIDTH=450&amp;START_MA","XIMIZED=FALSE&amp;VAR:CALENDAR=US&amp;VAR:SYMBOL=04916420&amp;VAR:INDEX=0"}</definedName>
    <definedName name="_10693__FDSAUDITLINK__" localSheetId="6" hidden="1">{"fdsup://directions/FAT Viewer?action=UPDATE&amp;creator=factset&amp;DYN_ARGS=TRUE&amp;DOC_NAME=FAT:FQL_AUDITING_CLIENT_TEMPLATE.FAT&amp;display_string=Audit&amp;VAR:KEY=JSTCHSHERG&amp;VAR:QUERY=RkZfRUJJVERBX0lCKCdMVE1TJywzODY3Nik=&amp;WINDOW=FIRST_POPUP&amp;HEIGHT=450&amp;WIDTH=450&amp;START_MA","XIMIZED=FALSE&amp;VAR:CALENDAR=US&amp;VAR:SYMBOL=04916420&amp;VAR:INDEX=0"}</definedName>
    <definedName name="_10693__FDSAUDITLINK__" hidden="1">{"fdsup://directions/FAT Viewer?action=UPDATE&amp;creator=factset&amp;DYN_ARGS=TRUE&amp;DOC_NAME=FAT:FQL_AUDITING_CLIENT_TEMPLATE.FAT&amp;display_string=Audit&amp;VAR:KEY=JSTCHSHERG&amp;VAR:QUERY=RkZfRUJJVERBX0lCKCdMVE1TJywzODY3Nik=&amp;WINDOW=FIRST_POPUP&amp;HEIGHT=450&amp;WIDTH=450&amp;START_MA","XIMIZED=FALSE&amp;VAR:CALENDAR=US&amp;VAR:SYMBOL=04916420&amp;VAR:INDEX=0"}</definedName>
    <definedName name="_10694__FDSAUDITLINK__" localSheetId="6" hidden="1">{"fdsup://directions/FAT Viewer?action=UPDATE&amp;creator=factset&amp;DYN_ARGS=TRUE&amp;DOC_NAME=FAT:FQL_AUDITING_CLIENT_TEMPLATE.FAT&amp;display_string=Audit&amp;VAR:KEY=HCNKVORWPE&amp;VAR:QUERY=RkZfRUJJVERBX0lCKCdMVE1TJywzODY3NSk=&amp;WINDOW=FIRST_POPUP&amp;HEIGHT=450&amp;WIDTH=450&amp;START_MA","XIMIZED=FALSE&amp;VAR:CALENDAR=US&amp;VAR:SYMBOL=04916420&amp;VAR:INDEX=0"}</definedName>
    <definedName name="_10694__FDSAUDITLINK__" hidden="1">{"fdsup://directions/FAT Viewer?action=UPDATE&amp;creator=factset&amp;DYN_ARGS=TRUE&amp;DOC_NAME=FAT:FQL_AUDITING_CLIENT_TEMPLATE.FAT&amp;display_string=Audit&amp;VAR:KEY=HCNKVORWPE&amp;VAR:QUERY=RkZfRUJJVERBX0lCKCdMVE1TJywzODY3NSk=&amp;WINDOW=FIRST_POPUP&amp;HEIGHT=450&amp;WIDTH=450&amp;START_MA","XIMIZED=FALSE&amp;VAR:CALENDAR=US&amp;VAR:SYMBOL=04916420&amp;VAR:INDEX=0"}</definedName>
    <definedName name="_10695__FDSAUDITLINK__" localSheetId="6" hidden="1">{"fdsup://directions/FAT Viewer?action=UPDATE&amp;creator=factset&amp;DYN_ARGS=TRUE&amp;DOC_NAME=FAT:FQL_AUDITING_CLIENT_TEMPLATE.FAT&amp;display_string=Audit&amp;VAR:KEY=LURGDCJORO&amp;VAR:QUERY=RkZfRUJJVERBX0lCKCdMVE1TJywzODY3NCk=&amp;WINDOW=FIRST_POPUP&amp;HEIGHT=450&amp;WIDTH=450&amp;START_MA","XIMIZED=FALSE&amp;VAR:CALENDAR=US&amp;VAR:SYMBOL=04916420&amp;VAR:INDEX=0"}</definedName>
    <definedName name="_10695__FDSAUDITLINK__" hidden="1">{"fdsup://directions/FAT Viewer?action=UPDATE&amp;creator=factset&amp;DYN_ARGS=TRUE&amp;DOC_NAME=FAT:FQL_AUDITING_CLIENT_TEMPLATE.FAT&amp;display_string=Audit&amp;VAR:KEY=LURGDCJORO&amp;VAR:QUERY=RkZfRUJJVERBX0lCKCdMVE1TJywzODY3NCk=&amp;WINDOW=FIRST_POPUP&amp;HEIGHT=450&amp;WIDTH=450&amp;START_MA","XIMIZED=FALSE&amp;VAR:CALENDAR=US&amp;VAR:SYMBOL=04916420&amp;VAR:INDEX=0"}</definedName>
    <definedName name="_10696__FDSAUDITLINK__" localSheetId="6" hidden="1">{"fdsup://directions/FAT Viewer?action=UPDATE&amp;creator=factset&amp;DYN_ARGS=TRUE&amp;DOC_NAME=FAT:FQL_AUDITING_CLIENT_TEMPLATE.FAT&amp;display_string=Audit&amp;VAR:KEY=VINQZAFYFY&amp;VAR:QUERY=RkZfRUJJVERBX0lCKCdMVE1TJywzODY3Myk=&amp;WINDOW=FIRST_POPUP&amp;HEIGHT=450&amp;WIDTH=450&amp;START_MA","XIMIZED=FALSE&amp;VAR:CALENDAR=US&amp;VAR:SYMBOL=04916420&amp;VAR:INDEX=0"}</definedName>
    <definedName name="_10696__FDSAUDITLINK__" hidden="1">{"fdsup://directions/FAT Viewer?action=UPDATE&amp;creator=factset&amp;DYN_ARGS=TRUE&amp;DOC_NAME=FAT:FQL_AUDITING_CLIENT_TEMPLATE.FAT&amp;display_string=Audit&amp;VAR:KEY=VINQZAFYFY&amp;VAR:QUERY=RkZfRUJJVERBX0lCKCdMVE1TJywzODY3Myk=&amp;WINDOW=FIRST_POPUP&amp;HEIGHT=450&amp;WIDTH=450&amp;START_MA","XIMIZED=FALSE&amp;VAR:CALENDAR=US&amp;VAR:SYMBOL=04916420&amp;VAR:INDEX=0"}</definedName>
    <definedName name="_10697__FDSAUDITLINK__" localSheetId="6" hidden="1">{"fdsup://directions/FAT Viewer?action=UPDATE&amp;creator=factset&amp;DYN_ARGS=TRUE&amp;DOC_NAME=FAT:FQL_AUDITING_CLIENT_TEMPLATE.FAT&amp;display_string=Audit&amp;VAR:KEY=REBQBYJWZW&amp;VAR:QUERY=RkZfRUJJVERBX0lCKCdMVE1TJywzODY3Mik=&amp;WINDOW=FIRST_POPUP&amp;HEIGHT=450&amp;WIDTH=450&amp;START_MA","XIMIZED=FALSE&amp;VAR:CALENDAR=US&amp;VAR:SYMBOL=04916420&amp;VAR:INDEX=0"}</definedName>
    <definedName name="_10697__FDSAUDITLINK__" hidden="1">{"fdsup://directions/FAT Viewer?action=UPDATE&amp;creator=factset&amp;DYN_ARGS=TRUE&amp;DOC_NAME=FAT:FQL_AUDITING_CLIENT_TEMPLATE.FAT&amp;display_string=Audit&amp;VAR:KEY=REBQBYJWZW&amp;VAR:QUERY=RkZfRUJJVERBX0lCKCdMVE1TJywzODY3Mik=&amp;WINDOW=FIRST_POPUP&amp;HEIGHT=450&amp;WIDTH=450&amp;START_MA","XIMIZED=FALSE&amp;VAR:CALENDAR=US&amp;VAR:SYMBOL=04916420&amp;VAR:INDEX=0"}</definedName>
    <definedName name="_10698__FDSAUDITLINK__" localSheetId="6" hidden="1">{"fdsup://directions/FAT Viewer?action=UPDATE&amp;creator=factset&amp;DYN_ARGS=TRUE&amp;DOC_NAME=FAT:FQL_AUDITING_CLIENT_TEMPLATE.FAT&amp;display_string=Audit&amp;VAR:KEY=JYDCLEJWJK&amp;VAR:QUERY=RkZfRUJJVERBX0lCKCdMVE1TJywzODY3MSk=&amp;WINDOW=FIRST_POPUP&amp;HEIGHT=450&amp;WIDTH=450&amp;START_MA","XIMIZED=FALSE&amp;VAR:CALENDAR=US&amp;VAR:SYMBOL=04916420&amp;VAR:INDEX=0"}</definedName>
    <definedName name="_10698__FDSAUDITLINK__" hidden="1">{"fdsup://directions/FAT Viewer?action=UPDATE&amp;creator=factset&amp;DYN_ARGS=TRUE&amp;DOC_NAME=FAT:FQL_AUDITING_CLIENT_TEMPLATE.FAT&amp;display_string=Audit&amp;VAR:KEY=JYDCLEJWJK&amp;VAR:QUERY=RkZfRUJJVERBX0lCKCdMVE1TJywzODY3MSk=&amp;WINDOW=FIRST_POPUP&amp;HEIGHT=450&amp;WIDTH=450&amp;START_MA","XIMIZED=FALSE&amp;VAR:CALENDAR=US&amp;VAR:SYMBOL=04916420&amp;VAR:INDEX=0"}</definedName>
    <definedName name="_10699__FDSAUDITLINK__" localSheetId="6" hidden="1">{"fdsup://directions/FAT Viewer?action=UPDATE&amp;creator=factset&amp;DYN_ARGS=TRUE&amp;DOC_NAME=FAT:FQL_AUDITING_CLIENT_TEMPLATE.FAT&amp;display_string=Audit&amp;VAR:KEY=LYXMTGLGXS&amp;VAR:QUERY=RkZfRUJJVERBX0lCKCdMVE1TJywzODY3MCk=&amp;WINDOW=FIRST_POPUP&amp;HEIGHT=450&amp;WIDTH=450&amp;START_MA","XIMIZED=FALSE&amp;VAR:CALENDAR=US&amp;VAR:SYMBOL=04916420&amp;VAR:INDEX=0"}</definedName>
    <definedName name="_10699__FDSAUDITLINK__" hidden="1">{"fdsup://directions/FAT Viewer?action=UPDATE&amp;creator=factset&amp;DYN_ARGS=TRUE&amp;DOC_NAME=FAT:FQL_AUDITING_CLIENT_TEMPLATE.FAT&amp;display_string=Audit&amp;VAR:KEY=LYXMTGLGXS&amp;VAR:QUERY=RkZfRUJJVERBX0lCKCdMVE1TJywzODY3MCk=&amp;WINDOW=FIRST_POPUP&amp;HEIGHT=450&amp;WIDTH=450&amp;START_MA","XIMIZED=FALSE&amp;VAR:CALENDAR=US&amp;VAR:SYMBOL=04916420&amp;VAR:INDEX=0"}</definedName>
    <definedName name="_107__FDSAUDITLINK__" localSheetId="6" hidden="1">{"fdsup://directions/FAT Viewer?action=UPDATE&amp;creator=factset&amp;DYN_ARGS=TRUE&amp;DOC_NAME=FAT:FQL_AUDITING_CLIENT_TEMPLATE.FAT&amp;display_string=Audit&amp;VAR:KEY=WTONQHQDUZ&amp;VAR:QUERY=QVZHKENTRl9ORVRfSU5DKEFOTiwwRlksLTZGWSxZKSkvKEFWRyhDU0ZfQVNTRVRTKEFOTiwwRlksLTZGWSxGW","SkpLUFWRyhDU0ZfSU5UQU5HKEFOTiwwLC02RlksRlkpKSk=&amp;WINDOW=FIRST_POPUP&amp;HEIGHT=450&amp;WIDTH=450&amp;START_MAXIMIZED=FALSE&amp;VAR:CALENDAR=US&amp;VAR:SYMBOL=BOX"}</definedName>
    <definedName name="_107__FDSAUDITLINK__" hidden="1">{"fdsup://directions/FAT Viewer?action=UPDATE&amp;creator=factset&amp;DYN_ARGS=TRUE&amp;DOC_NAME=FAT:FQL_AUDITING_CLIENT_TEMPLATE.FAT&amp;display_string=Audit&amp;VAR:KEY=WTONQHQDUZ&amp;VAR:QUERY=QVZHKENTRl9ORVRfSU5DKEFOTiwwRlksLTZGWSxZKSkvKEFWRyhDU0ZfQVNTRVRTKEFOTiwwRlksLTZGWSxGW","SkpLUFWRyhDU0ZfSU5UQU5HKEFOTiwwLC02RlksRlkpKSk=&amp;WINDOW=FIRST_POPUP&amp;HEIGHT=450&amp;WIDTH=450&amp;START_MAXIMIZED=FALSE&amp;VAR:CALENDAR=US&amp;VAR:SYMBOL=BOX"}</definedName>
    <definedName name="_1070__FDSAUDITLINK__" localSheetId="6" hidden="1">{"fdsup://directions/FAT%20Viewer?VAR:PED=LTM&amp;VAR:AUDIT_MODE=SUMMARY&amp;VAR:PERIOD=FIXED&amp;VAR:AUDIT_ID=00000117&amp;VAR:DATE=20070319&amp;action=UPDATE&amp;creator=factset&amp;DOC_NAME=FAT:FMA_audit_SUMMARY.fat&amp;DISPLAY_STRING=Display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0__FDSAUDITLINK__" hidden="1">{"fdsup://directions/FAT%20Viewer?VAR:PED=LTM&amp;VAR:AUDIT_MODE=SUMMARY&amp;VAR:PERIOD=FIXED&amp;VAR:AUDIT_ID=00000117&amp;VAR:DATE=20070319&amp;action=UPDATE&amp;creator=factset&amp;DOC_NAME=FAT:FMA_audit_SUMMARY.fat&amp;DISPLAY_STRING=Display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00__FDSAUDITLINK__" localSheetId="6" hidden="1">{"fdsup://directions/FAT Viewer?action=UPDATE&amp;creator=factset&amp;DYN_ARGS=TRUE&amp;DOC_NAME=FAT:FQL_AUDITING_CLIENT_TEMPLATE.FAT&amp;display_string=Audit&amp;VAR:KEY=FKXCZAHWXY&amp;VAR:QUERY=RkZfRUJJVERBX0lCKCdMVE1TJywzODY2OSk=&amp;WINDOW=FIRST_POPUP&amp;HEIGHT=450&amp;WIDTH=450&amp;START_MA","XIMIZED=FALSE&amp;VAR:CALENDAR=US&amp;VAR:SYMBOL=04916420&amp;VAR:INDEX=0"}</definedName>
    <definedName name="_10700__FDSAUDITLINK__" hidden="1">{"fdsup://directions/FAT Viewer?action=UPDATE&amp;creator=factset&amp;DYN_ARGS=TRUE&amp;DOC_NAME=FAT:FQL_AUDITING_CLIENT_TEMPLATE.FAT&amp;display_string=Audit&amp;VAR:KEY=FKXCZAHWXY&amp;VAR:QUERY=RkZfRUJJVERBX0lCKCdMVE1TJywzODY2OSk=&amp;WINDOW=FIRST_POPUP&amp;HEIGHT=450&amp;WIDTH=450&amp;START_MA","XIMIZED=FALSE&amp;VAR:CALENDAR=US&amp;VAR:SYMBOL=04916420&amp;VAR:INDEX=0"}</definedName>
    <definedName name="_10701__FDSAUDITLINK__" localSheetId="6" hidden="1">{"fdsup://directions/FAT Viewer?action=UPDATE&amp;creator=factset&amp;DYN_ARGS=TRUE&amp;DOC_NAME=FAT:FQL_AUDITING_CLIENT_TEMPLATE.FAT&amp;display_string=Audit&amp;VAR:KEY=BKNKTUJCBC&amp;VAR:QUERY=RkZfRUJJVERBX0lCKCdMVE1TJywzODY2OCk=&amp;WINDOW=FIRST_POPUP&amp;HEIGHT=450&amp;WIDTH=450&amp;START_MA","XIMIZED=FALSE&amp;VAR:CALENDAR=US&amp;VAR:SYMBOL=04916420&amp;VAR:INDEX=0"}</definedName>
    <definedName name="_10701__FDSAUDITLINK__" hidden="1">{"fdsup://directions/FAT Viewer?action=UPDATE&amp;creator=factset&amp;DYN_ARGS=TRUE&amp;DOC_NAME=FAT:FQL_AUDITING_CLIENT_TEMPLATE.FAT&amp;display_string=Audit&amp;VAR:KEY=BKNKTUJCBC&amp;VAR:QUERY=RkZfRUJJVERBX0lCKCdMVE1TJywzODY2OCk=&amp;WINDOW=FIRST_POPUP&amp;HEIGHT=450&amp;WIDTH=450&amp;START_MA","XIMIZED=FALSE&amp;VAR:CALENDAR=US&amp;VAR:SYMBOL=04916420&amp;VAR:INDEX=0"}</definedName>
    <definedName name="_10702__FDSAUDITLINK__" localSheetId="6" hidden="1">{"fdsup://directions/FAT Viewer?action=UPDATE&amp;creator=factset&amp;DYN_ARGS=TRUE&amp;DOC_NAME=FAT:FQL_AUDITING_CLIENT_TEMPLATE.FAT&amp;display_string=Audit&amp;VAR:KEY=TOFORSRGZE&amp;VAR:QUERY=RkZfRUJJVERBX0lCKCdMVE1TJywzODY2Nyk=&amp;WINDOW=FIRST_POPUP&amp;HEIGHT=450&amp;WIDTH=450&amp;START_MA","XIMIZED=FALSE&amp;VAR:CALENDAR=US&amp;VAR:SYMBOL=04916420&amp;VAR:INDEX=0"}</definedName>
    <definedName name="_10702__FDSAUDITLINK__" hidden="1">{"fdsup://directions/FAT Viewer?action=UPDATE&amp;creator=factset&amp;DYN_ARGS=TRUE&amp;DOC_NAME=FAT:FQL_AUDITING_CLIENT_TEMPLATE.FAT&amp;display_string=Audit&amp;VAR:KEY=TOFORSRGZE&amp;VAR:QUERY=RkZfRUJJVERBX0lCKCdMVE1TJywzODY2Nyk=&amp;WINDOW=FIRST_POPUP&amp;HEIGHT=450&amp;WIDTH=450&amp;START_MA","XIMIZED=FALSE&amp;VAR:CALENDAR=US&amp;VAR:SYMBOL=04916420&amp;VAR:INDEX=0"}</definedName>
    <definedName name="_10703__FDSAUDITLINK__" localSheetId="6" hidden="1">{"fdsup://directions/FAT Viewer?action=UPDATE&amp;creator=factset&amp;DYN_ARGS=TRUE&amp;DOC_NAME=FAT:FQL_AUDITING_CLIENT_TEMPLATE.FAT&amp;display_string=Audit&amp;VAR:KEY=LGXAPIDERC&amp;VAR:QUERY=RkZfRUJJVERBX0lCKCdMVE1TJywzODY2Nik=&amp;WINDOW=FIRST_POPUP&amp;HEIGHT=450&amp;WIDTH=450&amp;START_MA","XIMIZED=FALSE&amp;VAR:CALENDAR=US&amp;VAR:SYMBOL=04916420&amp;VAR:INDEX=0"}</definedName>
    <definedName name="_10703__FDSAUDITLINK__" hidden="1">{"fdsup://directions/FAT Viewer?action=UPDATE&amp;creator=factset&amp;DYN_ARGS=TRUE&amp;DOC_NAME=FAT:FQL_AUDITING_CLIENT_TEMPLATE.FAT&amp;display_string=Audit&amp;VAR:KEY=LGXAPIDERC&amp;VAR:QUERY=RkZfRUJJVERBX0lCKCdMVE1TJywzODY2Nik=&amp;WINDOW=FIRST_POPUP&amp;HEIGHT=450&amp;WIDTH=450&amp;START_MA","XIMIZED=FALSE&amp;VAR:CALENDAR=US&amp;VAR:SYMBOL=04916420&amp;VAR:INDEX=0"}</definedName>
    <definedName name="_10704__FDSAUDITLINK__" localSheetId="6" hidden="1">{"fdsup://directions/FAT Viewer?action=UPDATE&amp;creator=factset&amp;DYN_ARGS=TRUE&amp;DOC_NAME=FAT:FQL_AUDITING_CLIENT_TEMPLATE.FAT&amp;display_string=Audit&amp;VAR:KEY=ZMHGJQNETU&amp;VAR:QUERY=RkZfRUJJVERBX0lCKCdMVE1TJywzODY2NSk=&amp;WINDOW=FIRST_POPUP&amp;HEIGHT=450&amp;WIDTH=450&amp;START_MA","XIMIZED=FALSE&amp;VAR:CALENDAR=US&amp;VAR:SYMBOL=04916420&amp;VAR:INDEX=0"}</definedName>
    <definedName name="_10704__FDSAUDITLINK__" hidden="1">{"fdsup://directions/FAT Viewer?action=UPDATE&amp;creator=factset&amp;DYN_ARGS=TRUE&amp;DOC_NAME=FAT:FQL_AUDITING_CLIENT_TEMPLATE.FAT&amp;display_string=Audit&amp;VAR:KEY=ZMHGJQNETU&amp;VAR:QUERY=RkZfRUJJVERBX0lCKCdMVE1TJywzODY2NSk=&amp;WINDOW=FIRST_POPUP&amp;HEIGHT=450&amp;WIDTH=450&amp;START_MA","XIMIZED=FALSE&amp;VAR:CALENDAR=US&amp;VAR:SYMBOL=04916420&amp;VAR:INDEX=0"}</definedName>
    <definedName name="_10705__FDSAUDITLINK__" localSheetId="6" hidden="1">{"fdsup://directions/FAT Viewer?action=UPDATE&amp;creator=factset&amp;DYN_ARGS=TRUE&amp;DOC_NAME=FAT:FQL_AUDITING_CLIENT_TEMPLATE.FAT&amp;display_string=Audit&amp;VAR:KEY=LIHCPYFUXA&amp;VAR:QUERY=RkZfRUJJVERBX0lCKCdMVE1TJywzODY2NCk=&amp;WINDOW=FIRST_POPUP&amp;HEIGHT=450&amp;WIDTH=450&amp;START_MA","XIMIZED=FALSE&amp;VAR:CALENDAR=US&amp;VAR:SYMBOL=04916420&amp;VAR:INDEX=0"}</definedName>
    <definedName name="_10705__FDSAUDITLINK__" hidden="1">{"fdsup://directions/FAT Viewer?action=UPDATE&amp;creator=factset&amp;DYN_ARGS=TRUE&amp;DOC_NAME=FAT:FQL_AUDITING_CLIENT_TEMPLATE.FAT&amp;display_string=Audit&amp;VAR:KEY=LIHCPYFUXA&amp;VAR:QUERY=RkZfRUJJVERBX0lCKCdMVE1TJywzODY2NCk=&amp;WINDOW=FIRST_POPUP&amp;HEIGHT=450&amp;WIDTH=450&amp;START_MA","XIMIZED=FALSE&amp;VAR:CALENDAR=US&amp;VAR:SYMBOL=04916420&amp;VAR:INDEX=0"}</definedName>
    <definedName name="_10706__FDSAUDITLINK__" localSheetId="6" hidden="1">{"fdsup://directions/FAT Viewer?action=UPDATE&amp;creator=factset&amp;DYN_ARGS=TRUE&amp;DOC_NAME=FAT:FQL_AUDITING_CLIENT_TEMPLATE.FAT&amp;display_string=Audit&amp;VAR:KEY=XQXYPIXOZU&amp;VAR:QUERY=RkZfRUJJVERBX0lCKCdMVE1TJywzODY2Myk=&amp;WINDOW=FIRST_POPUP&amp;HEIGHT=450&amp;WIDTH=450&amp;START_MA","XIMIZED=FALSE&amp;VAR:CALENDAR=US&amp;VAR:SYMBOL=04916420&amp;VAR:INDEX=0"}</definedName>
    <definedName name="_10706__FDSAUDITLINK__" hidden="1">{"fdsup://directions/FAT Viewer?action=UPDATE&amp;creator=factset&amp;DYN_ARGS=TRUE&amp;DOC_NAME=FAT:FQL_AUDITING_CLIENT_TEMPLATE.FAT&amp;display_string=Audit&amp;VAR:KEY=XQXYPIXOZU&amp;VAR:QUERY=RkZfRUJJVERBX0lCKCdMVE1TJywzODY2Myk=&amp;WINDOW=FIRST_POPUP&amp;HEIGHT=450&amp;WIDTH=450&amp;START_MA","XIMIZED=FALSE&amp;VAR:CALENDAR=US&amp;VAR:SYMBOL=04916420&amp;VAR:INDEX=0"}</definedName>
    <definedName name="_10707__FDSAUDITLINK__" localSheetId="6" hidden="1">{"fdsup://directions/FAT Viewer?action=UPDATE&amp;creator=factset&amp;DYN_ARGS=TRUE&amp;DOC_NAME=FAT:FQL_AUDITING_CLIENT_TEMPLATE.FAT&amp;display_string=Audit&amp;VAR:KEY=PYZWBKFSXK&amp;VAR:QUERY=RkZfRUJJVERBX0lCKCdMVE1TJywzODY2Mik=&amp;WINDOW=FIRST_POPUP&amp;HEIGHT=450&amp;WIDTH=450&amp;START_MA","XIMIZED=FALSE&amp;VAR:CALENDAR=US&amp;VAR:SYMBOL=04916420&amp;VAR:INDEX=0"}</definedName>
    <definedName name="_10707__FDSAUDITLINK__" hidden="1">{"fdsup://directions/FAT Viewer?action=UPDATE&amp;creator=factset&amp;DYN_ARGS=TRUE&amp;DOC_NAME=FAT:FQL_AUDITING_CLIENT_TEMPLATE.FAT&amp;display_string=Audit&amp;VAR:KEY=PYZWBKFSXK&amp;VAR:QUERY=RkZfRUJJVERBX0lCKCdMVE1TJywzODY2Mik=&amp;WINDOW=FIRST_POPUP&amp;HEIGHT=450&amp;WIDTH=450&amp;START_MA","XIMIZED=FALSE&amp;VAR:CALENDAR=US&amp;VAR:SYMBOL=04916420&amp;VAR:INDEX=0"}</definedName>
    <definedName name="_10708__FDSAUDITLINK__" localSheetId="6" hidden="1">{"fdsup://directions/FAT Viewer?action=UPDATE&amp;creator=factset&amp;DYN_ARGS=TRUE&amp;DOC_NAME=FAT:FQL_AUDITING_CLIENT_TEMPLATE.FAT&amp;display_string=Audit&amp;VAR:KEY=ZQPGDUFGLC&amp;VAR:QUERY=RkZfRUJJVERBX0lCKCdMVE1TJywzODY2MSk=&amp;WINDOW=FIRST_POPUP&amp;HEIGHT=450&amp;WIDTH=450&amp;START_MA","XIMIZED=FALSE&amp;VAR:CALENDAR=US&amp;VAR:SYMBOL=04916420&amp;VAR:INDEX=0"}</definedName>
    <definedName name="_10708__FDSAUDITLINK__" hidden="1">{"fdsup://directions/FAT Viewer?action=UPDATE&amp;creator=factset&amp;DYN_ARGS=TRUE&amp;DOC_NAME=FAT:FQL_AUDITING_CLIENT_TEMPLATE.FAT&amp;display_string=Audit&amp;VAR:KEY=ZQPGDUFGLC&amp;VAR:QUERY=RkZfRUJJVERBX0lCKCdMVE1TJywzODY2MSk=&amp;WINDOW=FIRST_POPUP&amp;HEIGHT=450&amp;WIDTH=450&amp;START_MA","XIMIZED=FALSE&amp;VAR:CALENDAR=US&amp;VAR:SYMBOL=04916420&amp;VAR:INDEX=0"}</definedName>
    <definedName name="_10709__FDSAUDITLINK__" localSheetId="6" hidden="1">{"fdsup://directions/FAT Viewer?action=UPDATE&amp;creator=factset&amp;DYN_ARGS=TRUE&amp;DOC_NAME=FAT:FQL_AUDITING_CLIENT_TEMPLATE.FAT&amp;display_string=Audit&amp;VAR:KEY=FGTSVYDYBY&amp;VAR:QUERY=RkZfRUJJVERBX0lCKCdMVE1TJywzODY2MCk=&amp;WINDOW=FIRST_POPUP&amp;HEIGHT=450&amp;WIDTH=450&amp;START_MA","XIMIZED=FALSE&amp;VAR:CALENDAR=US&amp;VAR:SYMBOL=04916420&amp;VAR:INDEX=0"}</definedName>
    <definedName name="_10709__FDSAUDITLINK__" hidden="1">{"fdsup://directions/FAT Viewer?action=UPDATE&amp;creator=factset&amp;DYN_ARGS=TRUE&amp;DOC_NAME=FAT:FQL_AUDITING_CLIENT_TEMPLATE.FAT&amp;display_string=Audit&amp;VAR:KEY=FGTSVYDYBY&amp;VAR:QUERY=RkZfRUJJVERBX0lCKCdMVE1TJywzODY2MCk=&amp;WINDOW=FIRST_POPUP&amp;HEIGHT=450&amp;WIDTH=450&amp;START_MA","XIMIZED=FALSE&amp;VAR:CALENDAR=US&amp;VAR:SYMBOL=04916420&amp;VAR:INDEX=0"}</definedName>
    <definedName name="_1071__FDSAUDITLINK__" localSheetId="6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1__FDSAUDITLINK__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10__FDSAUDITLINK__" localSheetId="6" hidden="1">{"fdsup://directions/FAT Viewer?action=UPDATE&amp;creator=factset&amp;DYN_ARGS=TRUE&amp;DOC_NAME=FAT:FQL_AUDITING_CLIENT_TEMPLATE.FAT&amp;display_string=Audit&amp;VAR:KEY=NSJCNETSLY&amp;VAR:QUERY=RkZfRUJJVERBX0lCKCdMVE1TJywzODY1OSk=&amp;WINDOW=FIRST_POPUP&amp;HEIGHT=450&amp;WIDTH=450&amp;START_MA","XIMIZED=FALSE&amp;VAR:CALENDAR=US&amp;VAR:SYMBOL=04916420&amp;VAR:INDEX=0"}</definedName>
    <definedName name="_10710__FDSAUDITLINK__" hidden="1">{"fdsup://directions/FAT Viewer?action=UPDATE&amp;creator=factset&amp;DYN_ARGS=TRUE&amp;DOC_NAME=FAT:FQL_AUDITING_CLIENT_TEMPLATE.FAT&amp;display_string=Audit&amp;VAR:KEY=NSJCNETSLY&amp;VAR:QUERY=RkZfRUJJVERBX0lCKCdMVE1TJywzODY1OSk=&amp;WINDOW=FIRST_POPUP&amp;HEIGHT=450&amp;WIDTH=450&amp;START_MA","XIMIZED=FALSE&amp;VAR:CALENDAR=US&amp;VAR:SYMBOL=04916420&amp;VAR:INDEX=0"}</definedName>
    <definedName name="_10711__FDSAUDITLINK__" localSheetId="6" hidden="1">{"fdsup://directions/FAT Viewer?action=UPDATE&amp;creator=factset&amp;DYN_ARGS=TRUE&amp;DOC_NAME=FAT:FQL_AUDITING_CLIENT_TEMPLATE.FAT&amp;display_string=Audit&amp;VAR:KEY=LILKPYLSPW&amp;VAR:QUERY=RkZfRUJJVERBX0lCKCdMVE1TJywzODY1OCk=&amp;WINDOW=FIRST_POPUP&amp;HEIGHT=450&amp;WIDTH=450&amp;START_MA","XIMIZED=FALSE&amp;VAR:CALENDAR=US&amp;VAR:SYMBOL=04916420&amp;VAR:INDEX=0"}</definedName>
    <definedName name="_10711__FDSAUDITLINK__" hidden="1">{"fdsup://directions/FAT Viewer?action=UPDATE&amp;creator=factset&amp;DYN_ARGS=TRUE&amp;DOC_NAME=FAT:FQL_AUDITING_CLIENT_TEMPLATE.FAT&amp;display_string=Audit&amp;VAR:KEY=LILKPYLSPW&amp;VAR:QUERY=RkZfRUJJVERBX0lCKCdMVE1TJywzODY1OCk=&amp;WINDOW=FIRST_POPUP&amp;HEIGHT=450&amp;WIDTH=450&amp;START_MA","XIMIZED=FALSE&amp;VAR:CALENDAR=US&amp;VAR:SYMBOL=04916420&amp;VAR:INDEX=0"}</definedName>
    <definedName name="_10712__FDSAUDITLINK__" localSheetId="6" hidden="1">{"fdsup://directions/FAT Viewer?action=UPDATE&amp;creator=factset&amp;DYN_ARGS=TRUE&amp;DOC_NAME=FAT:FQL_AUDITING_CLIENT_TEMPLATE.FAT&amp;display_string=Audit&amp;VAR:KEY=TGVEDWREZO&amp;VAR:QUERY=RkZfRUJJVERBX0lCKCdMVE1TJywzODY1Nyk=&amp;WINDOW=FIRST_POPUP&amp;HEIGHT=450&amp;WIDTH=450&amp;START_MA","XIMIZED=FALSE&amp;VAR:CALENDAR=US&amp;VAR:SYMBOL=04916420&amp;VAR:INDEX=0"}</definedName>
    <definedName name="_10712__FDSAUDITLINK__" hidden="1">{"fdsup://directions/FAT Viewer?action=UPDATE&amp;creator=factset&amp;DYN_ARGS=TRUE&amp;DOC_NAME=FAT:FQL_AUDITING_CLIENT_TEMPLATE.FAT&amp;display_string=Audit&amp;VAR:KEY=TGVEDWREZO&amp;VAR:QUERY=RkZfRUJJVERBX0lCKCdMVE1TJywzODY1Nyk=&amp;WINDOW=FIRST_POPUP&amp;HEIGHT=450&amp;WIDTH=450&amp;START_MA","XIMIZED=FALSE&amp;VAR:CALENDAR=US&amp;VAR:SYMBOL=04916420&amp;VAR:INDEX=0"}</definedName>
    <definedName name="_10713__FDSAUDITLINK__" localSheetId="6" hidden="1">{"fdsup://directions/FAT Viewer?action=UPDATE&amp;creator=factset&amp;DYN_ARGS=TRUE&amp;DOC_NAME=FAT:FQL_AUDITING_CLIENT_TEMPLATE.FAT&amp;display_string=Audit&amp;VAR:KEY=HWDOBAFALQ&amp;VAR:QUERY=RkZfRUJJVERBX0lCKCdMVE1TJywzODY1Nik=&amp;WINDOW=FIRST_POPUP&amp;HEIGHT=450&amp;WIDTH=450&amp;START_MA","XIMIZED=FALSE&amp;VAR:CALENDAR=US&amp;VAR:SYMBOL=04916420&amp;VAR:INDEX=0"}</definedName>
    <definedName name="_10713__FDSAUDITLINK__" hidden="1">{"fdsup://directions/FAT Viewer?action=UPDATE&amp;creator=factset&amp;DYN_ARGS=TRUE&amp;DOC_NAME=FAT:FQL_AUDITING_CLIENT_TEMPLATE.FAT&amp;display_string=Audit&amp;VAR:KEY=HWDOBAFALQ&amp;VAR:QUERY=RkZfRUJJVERBX0lCKCdMVE1TJywzODY1Nik=&amp;WINDOW=FIRST_POPUP&amp;HEIGHT=450&amp;WIDTH=450&amp;START_MA","XIMIZED=FALSE&amp;VAR:CALENDAR=US&amp;VAR:SYMBOL=04916420&amp;VAR:INDEX=0"}</definedName>
    <definedName name="_10714__FDSAUDITLINK__" localSheetId="6" hidden="1">{"fdsup://directions/FAT Viewer?action=UPDATE&amp;creator=factset&amp;DYN_ARGS=TRUE&amp;DOC_NAME=FAT:FQL_AUDITING_CLIENT_TEMPLATE.FAT&amp;display_string=Audit&amp;VAR:KEY=LIZYHUNAZW&amp;VAR:QUERY=RkZfRUJJVERBX0lCKCdMVE1TJywzODY1NSk=&amp;WINDOW=FIRST_POPUP&amp;HEIGHT=450&amp;WIDTH=450&amp;START_MA","XIMIZED=FALSE&amp;VAR:CALENDAR=US&amp;VAR:SYMBOL=04916420&amp;VAR:INDEX=0"}</definedName>
    <definedName name="_10714__FDSAUDITLINK__" hidden="1">{"fdsup://directions/FAT Viewer?action=UPDATE&amp;creator=factset&amp;DYN_ARGS=TRUE&amp;DOC_NAME=FAT:FQL_AUDITING_CLIENT_TEMPLATE.FAT&amp;display_string=Audit&amp;VAR:KEY=LIZYHUNAZW&amp;VAR:QUERY=RkZfRUJJVERBX0lCKCdMVE1TJywzODY1NSk=&amp;WINDOW=FIRST_POPUP&amp;HEIGHT=450&amp;WIDTH=450&amp;START_MA","XIMIZED=FALSE&amp;VAR:CALENDAR=US&amp;VAR:SYMBOL=04916420&amp;VAR:INDEX=0"}</definedName>
    <definedName name="_10715__FDSAUDITLINK__" localSheetId="6" hidden="1">{"fdsup://directions/FAT Viewer?action=UPDATE&amp;creator=factset&amp;DYN_ARGS=TRUE&amp;DOC_NAME=FAT:FQL_AUDITING_CLIENT_TEMPLATE.FAT&amp;display_string=Audit&amp;VAR:KEY=VCLWNMDUFM&amp;VAR:QUERY=RkZfRUJJVERBX0lCKCdMVE1TJywzODY1NCk=&amp;WINDOW=FIRST_POPUP&amp;HEIGHT=450&amp;WIDTH=450&amp;START_MA","XIMIZED=FALSE&amp;VAR:CALENDAR=US&amp;VAR:SYMBOL=04916420&amp;VAR:INDEX=0"}</definedName>
    <definedName name="_10715__FDSAUDITLINK__" hidden="1">{"fdsup://directions/FAT Viewer?action=UPDATE&amp;creator=factset&amp;DYN_ARGS=TRUE&amp;DOC_NAME=FAT:FQL_AUDITING_CLIENT_TEMPLATE.FAT&amp;display_string=Audit&amp;VAR:KEY=VCLWNMDUFM&amp;VAR:QUERY=RkZfRUJJVERBX0lCKCdMVE1TJywzODY1NCk=&amp;WINDOW=FIRST_POPUP&amp;HEIGHT=450&amp;WIDTH=450&amp;START_MA","XIMIZED=FALSE&amp;VAR:CALENDAR=US&amp;VAR:SYMBOL=04916420&amp;VAR:INDEX=0"}</definedName>
    <definedName name="_10716__FDSAUDITLINK__" localSheetId="6" hidden="1">{"fdsup://directions/FAT Viewer?action=UPDATE&amp;creator=factset&amp;DYN_ARGS=TRUE&amp;DOC_NAME=FAT:FQL_AUDITING_CLIENT_TEMPLATE.FAT&amp;display_string=Audit&amp;VAR:KEY=VMDYHKPATO&amp;VAR:QUERY=RkZfRUJJVERBX0lCKCdMVE1TJywzODY1Myk=&amp;WINDOW=FIRST_POPUP&amp;HEIGHT=450&amp;WIDTH=450&amp;START_MA","XIMIZED=FALSE&amp;VAR:CALENDAR=US&amp;VAR:SYMBOL=04916420&amp;VAR:INDEX=0"}</definedName>
    <definedName name="_10716__FDSAUDITLINK__" hidden="1">{"fdsup://directions/FAT Viewer?action=UPDATE&amp;creator=factset&amp;DYN_ARGS=TRUE&amp;DOC_NAME=FAT:FQL_AUDITING_CLIENT_TEMPLATE.FAT&amp;display_string=Audit&amp;VAR:KEY=VMDYHKPATO&amp;VAR:QUERY=RkZfRUJJVERBX0lCKCdMVE1TJywzODY1Myk=&amp;WINDOW=FIRST_POPUP&amp;HEIGHT=450&amp;WIDTH=450&amp;START_MA","XIMIZED=FALSE&amp;VAR:CALENDAR=US&amp;VAR:SYMBOL=04916420&amp;VAR:INDEX=0"}</definedName>
    <definedName name="_10717__FDSAUDITLINK__" localSheetId="6" hidden="1">{"fdsup://directions/FAT Viewer?action=UPDATE&amp;creator=factset&amp;DYN_ARGS=TRUE&amp;DOC_NAME=FAT:FQL_AUDITING_CLIENT_TEMPLATE.FAT&amp;display_string=Audit&amp;VAR:KEY=LCZMPYFUJQ&amp;VAR:QUERY=RkZfRUJJVERBX0lCKCdMVE1TJywzODY1Mik=&amp;WINDOW=FIRST_POPUP&amp;HEIGHT=450&amp;WIDTH=450&amp;START_MA","XIMIZED=FALSE&amp;VAR:CALENDAR=US&amp;VAR:SYMBOL=04916420&amp;VAR:INDEX=0"}</definedName>
    <definedName name="_10717__FDSAUDITLINK__" hidden="1">{"fdsup://directions/FAT Viewer?action=UPDATE&amp;creator=factset&amp;DYN_ARGS=TRUE&amp;DOC_NAME=FAT:FQL_AUDITING_CLIENT_TEMPLATE.FAT&amp;display_string=Audit&amp;VAR:KEY=LCZMPYFUJQ&amp;VAR:QUERY=RkZfRUJJVERBX0lCKCdMVE1TJywzODY1Mik=&amp;WINDOW=FIRST_POPUP&amp;HEIGHT=450&amp;WIDTH=450&amp;START_MA","XIMIZED=FALSE&amp;VAR:CALENDAR=US&amp;VAR:SYMBOL=04916420&amp;VAR:INDEX=0"}</definedName>
    <definedName name="_10718__FDSAUDITLINK__" localSheetId="6" hidden="1">{"fdsup://directions/FAT Viewer?action=UPDATE&amp;creator=factset&amp;DYN_ARGS=TRUE&amp;DOC_NAME=FAT:FQL_AUDITING_CLIENT_TEMPLATE.FAT&amp;display_string=Audit&amp;VAR:KEY=HGNKPQTQLE&amp;VAR:QUERY=RkZfRUJJVERBX0lCKCdMVE1TJywzODY1MSk=&amp;WINDOW=FIRST_POPUP&amp;HEIGHT=450&amp;WIDTH=450&amp;START_MA","XIMIZED=FALSE&amp;VAR:CALENDAR=US&amp;VAR:SYMBOL=04916420&amp;VAR:INDEX=0"}</definedName>
    <definedName name="_10718__FDSAUDITLINK__" hidden="1">{"fdsup://directions/FAT Viewer?action=UPDATE&amp;creator=factset&amp;DYN_ARGS=TRUE&amp;DOC_NAME=FAT:FQL_AUDITING_CLIENT_TEMPLATE.FAT&amp;display_string=Audit&amp;VAR:KEY=HGNKPQTQLE&amp;VAR:QUERY=RkZfRUJJVERBX0lCKCdMVE1TJywzODY1MSk=&amp;WINDOW=FIRST_POPUP&amp;HEIGHT=450&amp;WIDTH=450&amp;START_MA","XIMIZED=FALSE&amp;VAR:CALENDAR=US&amp;VAR:SYMBOL=04916420&amp;VAR:INDEX=0"}</definedName>
    <definedName name="_10719__FDSAUDITLINK__" localSheetId="6" hidden="1">{"fdsup://directions/FAT Viewer?action=UPDATE&amp;creator=factset&amp;DYN_ARGS=TRUE&amp;DOC_NAME=FAT:FQL_AUDITING_CLIENT_TEMPLATE.FAT&amp;display_string=Audit&amp;VAR:KEY=TWRYLWHWZE&amp;VAR:QUERY=RkZfRUJJVERBX0lCKCdMVE1TJywzODY1MCk=&amp;WINDOW=FIRST_POPUP&amp;HEIGHT=450&amp;WIDTH=450&amp;START_MA","XIMIZED=FALSE&amp;VAR:CALENDAR=US&amp;VAR:SYMBOL=04916420&amp;VAR:INDEX=0"}</definedName>
    <definedName name="_10719__FDSAUDITLINK__" hidden="1">{"fdsup://directions/FAT Viewer?action=UPDATE&amp;creator=factset&amp;DYN_ARGS=TRUE&amp;DOC_NAME=FAT:FQL_AUDITING_CLIENT_TEMPLATE.FAT&amp;display_string=Audit&amp;VAR:KEY=TWRYLWHWZE&amp;VAR:QUERY=RkZfRUJJVERBX0lCKCdMVE1TJywzODY1MCk=&amp;WINDOW=FIRST_POPUP&amp;HEIGHT=450&amp;WIDTH=450&amp;START_MA","XIMIZED=FALSE&amp;VAR:CALENDAR=US&amp;VAR:SYMBOL=04916420&amp;VAR:INDEX=0"}</definedName>
    <definedName name="_1072__FDSAUDITLINK__" localSheetId="6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2__FDSAUDITLINK__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20__FDSAUDITLINK__" localSheetId="6" hidden="1">{"fdsup://directions/FAT Viewer?action=UPDATE&amp;creator=factset&amp;DYN_ARGS=TRUE&amp;DOC_NAME=FAT:FQL_AUDITING_CLIENT_TEMPLATE.FAT&amp;display_string=Audit&amp;VAR:KEY=BORYDADETQ&amp;VAR:QUERY=RkZfRUJJVERBX0lCKCdMVE1TJywzODY0OSk=&amp;WINDOW=FIRST_POPUP&amp;HEIGHT=450&amp;WIDTH=450&amp;START_MA","XIMIZED=FALSE&amp;VAR:CALENDAR=US&amp;VAR:SYMBOL=04916420&amp;VAR:INDEX=0"}</definedName>
    <definedName name="_10720__FDSAUDITLINK__" hidden="1">{"fdsup://directions/FAT Viewer?action=UPDATE&amp;creator=factset&amp;DYN_ARGS=TRUE&amp;DOC_NAME=FAT:FQL_AUDITING_CLIENT_TEMPLATE.FAT&amp;display_string=Audit&amp;VAR:KEY=BORYDADETQ&amp;VAR:QUERY=RkZfRUJJVERBX0lCKCdMVE1TJywzODY0OSk=&amp;WINDOW=FIRST_POPUP&amp;HEIGHT=450&amp;WIDTH=450&amp;START_MA","XIMIZED=FALSE&amp;VAR:CALENDAR=US&amp;VAR:SYMBOL=04916420&amp;VAR:INDEX=0"}</definedName>
    <definedName name="_10721__FDSAUDITLINK__" localSheetId="6" hidden="1">{"fdsup://directions/FAT Viewer?action=UPDATE&amp;creator=factset&amp;DYN_ARGS=TRUE&amp;DOC_NAME=FAT:FQL_AUDITING_CLIENT_TEMPLATE.FAT&amp;display_string=Audit&amp;VAR:KEY=FATILSZEDM&amp;VAR:QUERY=RkZfRUJJVERBX0lCKCdMVE1TJywzODY0OCk=&amp;WINDOW=FIRST_POPUP&amp;HEIGHT=450&amp;WIDTH=450&amp;START_MA","XIMIZED=FALSE&amp;VAR:CALENDAR=US&amp;VAR:SYMBOL=04916420&amp;VAR:INDEX=0"}</definedName>
    <definedName name="_10721__FDSAUDITLINK__" hidden="1">{"fdsup://directions/FAT Viewer?action=UPDATE&amp;creator=factset&amp;DYN_ARGS=TRUE&amp;DOC_NAME=FAT:FQL_AUDITING_CLIENT_TEMPLATE.FAT&amp;display_string=Audit&amp;VAR:KEY=FATILSZEDM&amp;VAR:QUERY=RkZfRUJJVERBX0lCKCdMVE1TJywzODY0OCk=&amp;WINDOW=FIRST_POPUP&amp;HEIGHT=450&amp;WIDTH=450&amp;START_MA","XIMIZED=FALSE&amp;VAR:CALENDAR=US&amp;VAR:SYMBOL=04916420&amp;VAR:INDEX=0"}</definedName>
    <definedName name="_10722__FDSAUDITLINK__" localSheetId="6" hidden="1">{"fdsup://directions/FAT Viewer?action=UPDATE&amp;creator=factset&amp;DYN_ARGS=TRUE&amp;DOC_NAME=FAT:FQL_AUDITING_CLIENT_TEMPLATE.FAT&amp;display_string=Audit&amp;VAR:KEY=FWLSDOLOHM&amp;VAR:QUERY=RkZfRUJJVERBX0lCKCdMVE1TJywzODY0Nyk=&amp;WINDOW=FIRST_POPUP&amp;HEIGHT=450&amp;WIDTH=450&amp;START_MA","XIMIZED=FALSE&amp;VAR:CALENDAR=US&amp;VAR:SYMBOL=04916420&amp;VAR:INDEX=0"}</definedName>
    <definedName name="_10722__FDSAUDITLINK__" hidden="1">{"fdsup://directions/FAT Viewer?action=UPDATE&amp;creator=factset&amp;DYN_ARGS=TRUE&amp;DOC_NAME=FAT:FQL_AUDITING_CLIENT_TEMPLATE.FAT&amp;display_string=Audit&amp;VAR:KEY=FWLSDOLOHM&amp;VAR:QUERY=RkZfRUJJVERBX0lCKCdMVE1TJywzODY0Nyk=&amp;WINDOW=FIRST_POPUP&amp;HEIGHT=450&amp;WIDTH=450&amp;START_MA","XIMIZED=FALSE&amp;VAR:CALENDAR=US&amp;VAR:SYMBOL=04916420&amp;VAR:INDEX=0"}</definedName>
    <definedName name="_10723__FDSAUDITLINK__" localSheetId="6" hidden="1">{"fdsup://directions/FAT Viewer?action=UPDATE&amp;creator=factset&amp;DYN_ARGS=TRUE&amp;DOC_NAME=FAT:FQL_AUDITING_CLIENT_TEMPLATE.FAT&amp;display_string=Audit&amp;VAR:KEY=PGVUPQFILG&amp;VAR:QUERY=RkZfRUJJVERBX0lCKCdMVE1TJywzODY0Nik=&amp;WINDOW=FIRST_POPUP&amp;HEIGHT=450&amp;WIDTH=450&amp;START_MA","XIMIZED=FALSE&amp;VAR:CALENDAR=US&amp;VAR:SYMBOL=04916420&amp;VAR:INDEX=0"}</definedName>
    <definedName name="_10723__FDSAUDITLINK__" hidden="1">{"fdsup://directions/FAT Viewer?action=UPDATE&amp;creator=factset&amp;DYN_ARGS=TRUE&amp;DOC_NAME=FAT:FQL_AUDITING_CLIENT_TEMPLATE.FAT&amp;display_string=Audit&amp;VAR:KEY=PGVUPQFILG&amp;VAR:QUERY=RkZfRUJJVERBX0lCKCdMVE1TJywzODY0Nik=&amp;WINDOW=FIRST_POPUP&amp;HEIGHT=450&amp;WIDTH=450&amp;START_MA","XIMIZED=FALSE&amp;VAR:CALENDAR=US&amp;VAR:SYMBOL=04916420&amp;VAR:INDEX=0"}</definedName>
    <definedName name="_10724__FDSAUDITLINK__" localSheetId="6" hidden="1">{"fdsup://directions/FAT Viewer?action=UPDATE&amp;creator=factset&amp;DYN_ARGS=TRUE&amp;DOC_NAME=FAT:FQL_AUDITING_CLIENT_TEMPLATE.FAT&amp;display_string=Audit&amp;VAR:KEY=LQRYXIPKFM&amp;VAR:QUERY=RkZfRUJJVERBX0lCKCdMVE1TJywzODY0NSk=&amp;WINDOW=FIRST_POPUP&amp;HEIGHT=450&amp;WIDTH=450&amp;START_MA","XIMIZED=FALSE&amp;VAR:CALENDAR=US&amp;VAR:SYMBOL=04916420&amp;VAR:INDEX=0"}</definedName>
    <definedName name="_10724__FDSAUDITLINK__" hidden="1">{"fdsup://directions/FAT Viewer?action=UPDATE&amp;creator=factset&amp;DYN_ARGS=TRUE&amp;DOC_NAME=FAT:FQL_AUDITING_CLIENT_TEMPLATE.FAT&amp;display_string=Audit&amp;VAR:KEY=LQRYXIPKFM&amp;VAR:QUERY=RkZfRUJJVERBX0lCKCdMVE1TJywzODY0NSk=&amp;WINDOW=FIRST_POPUP&amp;HEIGHT=450&amp;WIDTH=450&amp;START_MA","XIMIZED=FALSE&amp;VAR:CALENDAR=US&amp;VAR:SYMBOL=04916420&amp;VAR:INDEX=0"}</definedName>
    <definedName name="_10725__FDSAUDITLINK__" localSheetId="6" hidden="1">{"fdsup://directions/FAT Viewer?action=UPDATE&amp;creator=factset&amp;DYN_ARGS=TRUE&amp;DOC_NAME=FAT:FQL_AUDITING_CLIENT_TEMPLATE.FAT&amp;display_string=Audit&amp;VAR:KEY=JOTIJOFYBW&amp;VAR:QUERY=RkZfRUJJVERBX0lCKCdMVE1TJywzODY0NCk=&amp;WINDOW=FIRST_POPUP&amp;HEIGHT=450&amp;WIDTH=450&amp;START_MA","XIMIZED=FALSE&amp;VAR:CALENDAR=US&amp;VAR:SYMBOL=04916420&amp;VAR:INDEX=0"}</definedName>
    <definedName name="_10725__FDSAUDITLINK__" hidden="1">{"fdsup://directions/FAT Viewer?action=UPDATE&amp;creator=factset&amp;DYN_ARGS=TRUE&amp;DOC_NAME=FAT:FQL_AUDITING_CLIENT_TEMPLATE.FAT&amp;display_string=Audit&amp;VAR:KEY=JOTIJOFYBW&amp;VAR:QUERY=RkZfRUJJVERBX0lCKCdMVE1TJywzODY0NCk=&amp;WINDOW=FIRST_POPUP&amp;HEIGHT=450&amp;WIDTH=450&amp;START_MA","XIMIZED=FALSE&amp;VAR:CALENDAR=US&amp;VAR:SYMBOL=04916420&amp;VAR:INDEX=0"}</definedName>
    <definedName name="_10726__FDSAUDITLINK__" localSheetId="6" hidden="1">{"fdsup://directions/FAT Viewer?action=UPDATE&amp;creator=factset&amp;DYN_ARGS=TRUE&amp;DOC_NAME=FAT:FQL_AUDITING_CLIENT_TEMPLATE.FAT&amp;display_string=Audit&amp;VAR:KEY=BKLOJYDGFG&amp;VAR:QUERY=RkZfRUJJVERBX0lCKCdMVE1TJywzODY0Myk=&amp;WINDOW=FIRST_POPUP&amp;HEIGHT=450&amp;WIDTH=450&amp;START_MA","XIMIZED=FALSE&amp;VAR:CALENDAR=US&amp;VAR:SYMBOL=04916420&amp;VAR:INDEX=0"}</definedName>
    <definedName name="_10726__FDSAUDITLINK__" hidden="1">{"fdsup://directions/FAT Viewer?action=UPDATE&amp;creator=factset&amp;DYN_ARGS=TRUE&amp;DOC_NAME=FAT:FQL_AUDITING_CLIENT_TEMPLATE.FAT&amp;display_string=Audit&amp;VAR:KEY=BKLOJYDGFG&amp;VAR:QUERY=RkZfRUJJVERBX0lCKCdMVE1TJywzODY0Myk=&amp;WINDOW=FIRST_POPUP&amp;HEIGHT=450&amp;WIDTH=450&amp;START_MA","XIMIZED=FALSE&amp;VAR:CALENDAR=US&amp;VAR:SYMBOL=04916420&amp;VAR:INDEX=0"}</definedName>
    <definedName name="_10727__FDSAUDITLINK__" localSheetId="6" hidden="1">{"fdsup://directions/FAT Viewer?action=UPDATE&amp;creator=factset&amp;DYN_ARGS=TRUE&amp;DOC_NAME=FAT:FQL_AUDITING_CLIENT_TEMPLATE.FAT&amp;display_string=Audit&amp;VAR:KEY=DIHSPQHINA&amp;VAR:QUERY=RkZfRUJJVERBX0lCKCdMVE1TJywzODY0Mik=&amp;WINDOW=FIRST_POPUP&amp;HEIGHT=450&amp;WIDTH=450&amp;START_MA","XIMIZED=FALSE&amp;VAR:CALENDAR=US&amp;VAR:SYMBOL=04916420&amp;VAR:INDEX=0"}</definedName>
    <definedName name="_10727__FDSAUDITLINK__" hidden="1">{"fdsup://directions/FAT Viewer?action=UPDATE&amp;creator=factset&amp;DYN_ARGS=TRUE&amp;DOC_NAME=FAT:FQL_AUDITING_CLIENT_TEMPLATE.FAT&amp;display_string=Audit&amp;VAR:KEY=DIHSPQHINA&amp;VAR:QUERY=RkZfRUJJVERBX0lCKCdMVE1TJywzODY0Mik=&amp;WINDOW=FIRST_POPUP&amp;HEIGHT=450&amp;WIDTH=450&amp;START_MA","XIMIZED=FALSE&amp;VAR:CALENDAR=US&amp;VAR:SYMBOL=04916420&amp;VAR:INDEX=0"}</definedName>
    <definedName name="_10728__FDSAUDITLINK__" localSheetId="6" hidden="1">{"fdsup://directions/FAT Viewer?action=UPDATE&amp;creator=factset&amp;DYN_ARGS=TRUE&amp;DOC_NAME=FAT:FQL_AUDITING_CLIENT_TEMPLATE.FAT&amp;display_string=Audit&amp;VAR:KEY=LGPMFOVEVY&amp;VAR:QUERY=RkZfRUJJVERBX0lCKCdMVE1TJywzODY0MSk=&amp;WINDOW=FIRST_POPUP&amp;HEIGHT=450&amp;WIDTH=450&amp;START_MA","XIMIZED=FALSE&amp;VAR:CALENDAR=US&amp;VAR:SYMBOL=04916420&amp;VAR:INDEX=0"}</definedName>
    <definedName name="_10728__FDSAUDITLINK__" hidden="1">{"fdsup://directions/FAT Viewer?action=UPDATE&amp;creator=factset&amp;DYN_ARGS=TRUE&amp;DOC_NAME=FAT:FQL_AUDITING_CLIENT_TEMPLATE.FAT&amp;display_string=Audit&amp;VAR:KEY=LGPMFOVEVY&amp;VAR:QUERY=RkZfRUJJVERBX0lCKCdMVE1TJywzODY0MSk=&amp;WINDOW=FIRST_POPUP&amp;HEIGHT=450&amp;WIDTH=450&amp;START_MA","XIMIZED=FALSE&amp;VAR:CALENDAR=US&amp;VAR:SYMBOL=04916420&amp;VAR:INDEX=0"}</definedName>
    <definedName name="_10729__FDSAUDITLINK__" localSheetId="6" hidden="1">{"fdsup://directions/FAT Viewer?action=UPDATE&amp;creator=factset&amp;DYN_ARGS=TRUE&amp;DOC_NAME=FAT:FQL_AUDITING_CLIENT_TEMPLATE.FAT&amp;display_string=Audit&amp;VAR:KEY=VWPCJWHIPK&amp;VAR:QUERY=RkZfRUJJVERBX0lCKCdMVE1TJywzODY0MCk=&amp;WINDOW=FIRST_POPUP&amp;HEIGHT=450&amp;WIDTH=450&amp;START_MA","XIMIZED=FALSE&amp;VAR:CALENDAR=US&amp;VAR:SYMBOL=04916420&amp;VAR:INDEX=0"}</definedName>
    <definedName name="_10729__FDSAUDITLINK__" hidden="1">{"fdsup://directions/FAT Viewer?action=UPDATE&amp;creator=factset&amp;DYN_ARGS=TRUE&amp;DOC_NAME=FAT:FQL_AUDITING_CLIENT_TEMPLATE.FAT&amp;display_string=Audit&amp;VAR:KEY=VWPCJWHIPK&amp;VAR:QUERY=RkZfRUJJVERBX0lCKCdMVE1TJywzODY0MCk=&amp;WINDOW=FIRST_POPUP&amp;HEIGHT=450&amp;WIDTH=450&amp;START_MA","XIMIZED=FALSE&amp;VAR:CALENDAR=US&amp;VAR:SYMBOL=04916420&amp;VAR:INDEX=0"}</definedName>
    <definedName name="_1073__FDSAUDITLINK__" localSheetId="6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3__FDSAUDITLINK__" hidden="1">{"fdsup://directions/FAT%20Viewer?VAR:PED=LTM&amp;VAR:AUDIT_MODE=SUMMARY&amp;VAR:PERIOD=FIXED&amp;VAR:AUDIT_ID=00000117&amp;VAR:DATE=20070316&amp;action=UPDATE&amp;creator=factset&amp;DOC_NAME=FAT:FMA_audit_SUMMARY.fat&amp;DISPLAY_STRING=Display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30__FDSAUDITLINK__" localSheetId="6" hidden="1">{"fdsup://directions/FAT Viewer?action=UPDATE&amp;creator=factset&amp;DYN_ARGS=TRUE&amp;DOC_NAME=FAT:FQL_AUDITING_CLIENT_TEMPLATE.FAT&amp;display_string=Audit&amp;VAR:KEY=TOZCLSDSRK&amp;VAR:QUERY=RkZfRUJJVERBX0lCKCdMVE1TJywzODYzOSk=&amp;WINDOW=FIRST_POPUP&amp;HEIGHT=450&amp;WIDTH=450&amp;START_MA","XIMIZED=FALSE&amp;VAR:CALENDAR=US&amp;VAR:SYMBOL=04916420&amp;VAR:INDEX=0"}</definedName>
    <definedName name="_10730__FDSAUDITLINK__" hidden="1">{"fdsup://directions/FAT Viewer?action=UPDATE&amp;creator=factset&amp;DYN_ARGS=TRUE&amp;DOC_NAME=FAT:FQL_AUDITING_CLIENT_TEMPLATE.FAT&amp;display_string=Audit&amp;VAR:KEY=TOZCLSDSRK&amp;VAR:QUERY=RkZfRUJJVERBX0lCKCdMVE1TJywzODYzOSk=&amp;WINDOW=FIRST_POPUP&amp;HEIGHT=450&amp;WIDTH=450&amp;START_MA","XIMIZED=FALSE&amp;VAR:CALENDAR=US&amp;VAR:SYMBOL=04916420&amp;VAR:INDEX=0"}</definedName>
    <definedName name="_10731__FDSAUDITLINK__" localSheetId="6" hidden="1">{"fdsup://directions/FAT Viewer?action=UPDATE&amp;creator=factset&amp;DYN_ARGS=TRUE&amp;DOC_NAME=FAT:FQL_AUDITING_CLIENT_TEMPLATE.FAT&amp;display_string=Audit&amp;VAR:KEY=HCHUFOJQPS&amp;VAR:QUERY=RkZfRUJJVERBX0lCKCdMVE1TJywzODYzOCk=&amp;WINDOW=FIRST_POPUP&amp;HEIGHT=450&amp;WIDTH=450&amp;START_MA","XIMIZED=FALSE&amp;VAR:CALENDAR=US&amp;VAR:SYMBOL=04916420&amp;VAR:INDEX=0"}</definedName>
    <definedName name="_10731__FDSAUDITLINK__" hidden="1">{"fdsup://directions/FAT Viewer?action=UPDATE&amp;creator=factset&amp;DYN_ARGS=TRUE&amp;DOC_NAME=FAT:FQL_AUDITING_CLIENT_TEMPLATE.FAT&amp;display_string=Audit&amp;VAR:KEY=HCHUFOJQPS&amp;VAR:QUERY=RkZfRUJJVERBX0lCKCdMVE1TJywzODYzOCk=&amp;WINDOW=FIRST_POPUP&amp;HEIGHT=450&amp;WIDTH=450&amp;START_MA","XIMIZED=FALSE&amp;VAR:CALENDAR=US&amp;VAR:SYMBOL=04916420&amp;VAR:INDEX=0"}</definedName>
    <definedName name="_10732__FDSAUDITLINK__" localSheetId="6" hidden="1">{"fdsup://directions/FAT Viewer?action=UPDATE&amp;creator=factset&amp;DYN_ARGS=TRUE&amp;DOC_NAME=FAT:FQL_AUDITING_CLIENT_TEMPLATE.FAT&amp;display_string=Audit&amp;VAR:KEY=LGFOXUFUDM&amp;VAR:QUERY=RkZfRUJJVERBX0lCKCdMVE1TJywzODYzNyk=&amp;WINDOW=FIRST_POPUP&amp;HEIGHT=450&amp;WIDTH=450&amp;START_MA","XIMIZED=FALSE&amp;VAR:CALENDAR=US&amp;VAR:SYMBOL=04916420&amp;VAR:INDEX=0"}</definedName>
    <definedName name="_10732__FDSAUDITLINK__" hidden="1">{"fdsup://directions/FAT Viewer?action=UPDATE&amp;creator=factset&amp;DYN_ARGS=TRUE&amp;DOC_NAME=FAT:FQL_AUDITING_CLIENT_TEMPLATE.FAT&amp;display_string=Audit&amp;VAR:KEY=LGFOXUFUDM&amp;VAR:QUERY=RkZfRUJJVERBX0lCKCdMVE1TJywzODYzNyk=&amp;WINDOW=FIRST_POPUP&amp;HEIGHT=450&amp;WIDTH=450&amp;START_MA","XIMIZED=FALSE&amp;VAR:CALENDAR=US&amp;VAR:SYMBOL=04916420&amp;VAR:INDEX=0"}</definedName>
    <definedName name="_10733__FDSAUDITLINK__" localSheetId="6" hidden="1">{"fdsup://directions/FAT Viewer?action=UPDATE&amp;creator=factset&amp;DYN_ARGS=TRUE&amp;DOC_NAME=FAT:FQL_AUDITING_CLIENT_TEMPLATE.FAT&amp;display_string=Audit&amp;VAR:KEY=HGBUFAZMBK&amp;VAR:QUERY=RkZfRUJJVERBX0lCKCdMVE1TJywzODYzNik=&amp;WINDOW=FIRST_POPUP&amp;HEIGHT=450&amp;WIDTH=450&amp;START_MA","XIMIZED=FALSE&amp;VAR:CALENDAR=US&amp;VAR:SYMBOL=04916420&amp;VAR:INDEX=0"}</definedName>
    <definedName name="_10733__FDSAUDITLINK__" hidden="1">{"fdsup://directions/FAT Viewer?action=UPDATE&amp;creator=factset&amp;DYN_ARGS=TRUE&amp;DOC_NAME=FAT:FQL_AUDITING_CLIENT_TEMPLATE.FAT&amp;display_string=Audit&amp;VAR:KEY=HGBUFAZMBK&amp;VAR:QUERY=RkZfRUJJVERBX0lCKCdMVE1TJywzODYzNik=&amp;WINDOW=FIRST_POPUP&amp;HEIGHT=450&amp;WIDTH=450&amp;START_MA","XIMIZED=FALSE&amp;VAR:CALENDAR=US&amp;VAR:SYMBOL=04916420&amp;VAR:INDEX=0"}</definedName>
    <definedName name="_10734__FDSAUDITLINK__" localSheetId="6" hidden="1">{"fdsup://directions/FAT Viewer?action=UPDATE&amp;creator=factset&amp;DYN_ARGS=TRUE&amp;DOC_NAME=FAT:FQL_AUDITING_CLIENT_TEMPLATE.FAT&amp;display_string=Audit&amp;VAR:KEY=TSFUVIJCPK&amp;VAR:QUERY=RkZfRUJJVERBX0lCKCdMVE1TJywzODYzNSk=&amp;WINDOW=FIRST_POPUP&amp;HEIGHT=450&amp;WIDTH=450&amp;START_MA","XIMIZED=FALSE&amp;VAR:CALENDAR=US&amp;VAR:SYMBOL=04916420&amp;VAR:INDEX=0"}</definedName>
    <definedName name="_10734__FDSAUDITLINK__" hidden="1">{"fdsup://directions/FAT Viewer?action=UPDATE&amp;creator=factset&amp;DYN_ARGS=TRUE&amp;DOC_NAME=FAT:FQL_AUDITING_CLIENT_TEMPLATE.FAT&amp;display_string=Audit&amp;VAR:KEY=TSFUVIJCPK&amp;VAR:QUERY=RkZfRUJJVERBX0lCKCdMVE1TJywzODYzNSk=&amp;WINDOW=FIRST_POPUP&amp;HEIGHT=450&amp;WIDTH=450&amp;START_MA","XIMIZED=FALSE&amp;VAR:CALENDAR=US&amp;VAR:SYMBOL=04916420&amp;VAR:INDEX=0"}</definedName>
    <definedName name="_10735__FDSAUDITLINK__" localSheetId="6" hidden="1">{"fdsup://directions/FAT Viewer?action=UPDATE&amp;creator=factset&amp;DYN_ARGS=TRUE&amp;DOC_NAME=FAT:FQL_AUDITING_CLIENT_TEMPLATE.FAT&amp;display_string=Audit&amp;VAR:KEY=XUXIPAJSJQ&amp;VAR:QUERY=RkZfRUJJVERBX0lCKCdMVE1TJywzODYzNCk=&amp;WINDOW=FIRST_POPUP&amp;HEIGHT=450&amp;WIDTH=450&amp;START_MA","XIMIZED=FALSE&amp;VAR:CALENDAR=US&amp;VAR:SYMBOL=04916420&amp;VAR:INDEX=0"}</definedName>
    <definedName name="_10735__FDSAUDITLINK__" hidden="1">{"fdsup://directions/FAT Viewer?action=UPDATE&amp;creator=factset&amp;DYN_ARGS=TRUE&amp;DOC_NAME=FAT:FQL_AUDITING_CLIENT_TEMPLATE.FAT&amp;display_string=Audit&amp;VAR:KEY=XUXIPAJSJQ&amp;VAR:QUERY=RkZfRUJJVERBX0lCKCdMVE1TJywzODYzNCk=&amp;WINDOW=FIRST_POPUP&amp;HEIGHT=450&amp;WIDTH=450&amp;START_MA","XIMIZED=FALSE&amp;VAR:CALENDAR=US&amp;VAR:SYMBOL=04916420&amp;VAR:INDEX=0"}</definedName>
    <definedName name="_10736__FDSAUDITLINK__" localSheetId="6" hidden="1">{"fdsup://directions/FAT Viewer?action=UPDATE&amp;creator=factset&amp;DYN_ARGS=TRUE&amp;DOC_NAME=FAT:FQL_AUDITING_CLIENT_TEMPLATE.FAT&amp;display_string=Audit&amp;VAR:KEY=PWRONADCFK&amp;VAR:QUERY=RkZfRUJJVERBX0lCKCdMVE1TJywzODYzMyk=&amp;WINDOW=FIRST_POPUP&amp;HEIGHT=450&amp;WIDTH=450&amp;START_MA","XIMIZED=FALSE&amp;VAR:CALENDAR=US&amp;VAR:SYMBOL=04916420&amp;VAR:INDEX=0"}</definedName>
    <definedName name="_10736__FDSAUDITLINK__" hidden="1">{"fdsup://directions/FAT Viewer?action=UPDATE&amp;creator=factset&amp;DYN_ARGS=TRUE&amp;DOC_NAME=FAT:FQL_AUDITING_CLIENT_TEMPLATE.FAT&amp;display_string=Audit&amp;VAR:KEY=PWRONADCFK&amp;VAR:QUERY=RkZfRUJJVERBX0lCKCdMVE1TJywzODYzMyk=&amp;WINDOW=FIRST_POPUP&amp;HEIGHT=450&amp;WIDTH=450&amp;START_MA","XIMIZED=FALSE&amp;VAR:CALENDAR=US&amp;VAR:SYMBOL=04916420&amp;VAR:INDEX=0"}</definedName>
    <definedName name="_10737__FDSAUDITLINK__" localSheetId="6" hidden="1">{"fdsup://directions/FAT Viewer?action=UPDATE&amp;creator=factset&amp;DYN_ARGS=TRUE&amp;DOC_NAME=FAT:FQL_AUDITING_CLIENT_TEMPLATE.FAT&amp;display_string=Audit&amp;VAR:KEY=LOXYFGFATS&amp;VAR:QUERY=RkZfRUJJVERBX0lCKCdMVE1TJywzODYzMik=&amp;WINDOW=FIRST_POPUP&amp;HEIGHT=450&amp;WIDTH=450&amp;START_MA","XIMIZED=FALSE&amp;VAR:CALENDAR=US&amp;VAR:SYMBOL=04916420&amp;VAR:INDEX=0"}</definedName>
    <definedName name="_10737__FDSAUDITLINK__" hidden="1">{"fdsup://directions/FAT Viewer?action=UPDATE&amp;creator=factset&amp;DYN_ARGS=TRUE&amp;DOC_NAME=FAT:FQL_AUDITING_CLIENT_TEMPLATE.FAT&amp;display_string=Audit&amp;VAR:KEY=LOXYFGFATS&amp;VAR:QUERY=RkZfRUJJVERBX0lCKCdMVE1TJywzODYzMik=&amp;WINDOW=FIRST_POPUP&amp;HEIGHT=450&amp;WIDTH=450&amp;START_MA","XIMIZED=FALSE&amp;VAR:CALENDAR=US&amp;VAR:SYMBOL=04916420&amp;VAR:INDEX=0"}</definedName>
    <definedName name="_10738__FDSAUDITLINK__" localSheetId="6" hidden="1">{"fdsup://directions/FAT Viewer?action=UPDATE&amp;creator=factset&amp;DYN_ARGS=TRUE&amp;DOC_NAME=FAT:FQL_AUDITING_CLIENT_TEMPLATE.FAT&amp;display_string=Audit&amp;VAR:KEY=RSHGBUZUZW&amp;VAR:QUERY=RkZfRUJJVERBX0lCKCdMVE1TJywzODYzMSk=&amp;WINDOW=FIRST_POPUP&amp;HEIGHT=450&amp;WIDTH=450&amp;START_MA","XIMIZED=FALSE&amp;VAR:CALENDAR=US&amp;VAR:SYMBOL=04916420&amp;VAR:INDEX=0"}</definedName>
    <definedName name="_10738__FDSAUDITLINK__" hidden="1">{"fdsup://directions/FAT Viewer?action=UPDATE&amp;creator=factset&amp;DYN_ARGS=TRUE&amp;DOC_NAME=FAT:FQL_AUDITING_CLIENT_TEMPLATE.FAT&amp;display_string=Audit&amp;VAR:KEY=RSHGBUZUZW&amp;VAR:QUERY=RkZfRUJJVERBX0lCKCdMVE1TJywzODYzMSk=&amp;WINDOW=FIRST_POPUP&amp;HEIGHT=450&amp;WIDTH=450&amp;START_MA","XIMIZED=FALSE&amp;VAR:CALENDAR=US&amp;VAR:SYMBOL=04916420&amp;VAR:INDEX=0"}</definedName>
    <definedName name="_10739__FDSAUDITLINK__" localSheetId="6" hidden="1">{"fdsup://directions/FAT Viewer?action=UPDATE&amp;creator=factset&amp;DYN_ARGS=TRUE&amp;DOC_NAME=FAT:FQL_AUDITING_CLIENT_TEMPLATE.FAT&amp;display_string=Audit&amp;VAR:KEY=NQVCLABKBI&amp;VAR:QUERY=RkZfRUJJVERBX0lCKCdMVE1TJywzODYzMCk=&amp;WINDOW=FIRST_POPUP&amp;HEIGHT=450&amp;WIDTH=450&amp;START_MA","XIMIZED=FALSE&amp;VAR:CALENDAR=US&amp;VAR:SYMBOL=04916420&amp;VAR:INDEX=0"}</definedName>
    <definedName name="_10739__FDSAUDITLINK__" hidden="1">{"fdsup://directions/FAT Viewer?action=UPDATE&amp;creator=factset&amp;DYN_ARGS=TRUE&amp;DOC_NAME=FAT:FQL_AUDITING_CLIENT_TEMPLATE.FAT&amp;display_string=Audit&amp;VAR:KEY=NQVCLABKBI&amp;VAR:QUERY=RkZfRUJJVERBX0lCKCdMVE1TJywzODYzMCk=&amp;WINDOW=FIRST_POPUP&amp;HEIGHT=450&amp;WIDTH=450&amp;START_MA","XIMIZED=FALSE&amp;VAR:CALENDAR=US&amp;VAR:SYMBOL=04916420&amp;VAR:INDEX=0"}</definedName>
    <definedName name="_1074__FDSAUDITLINK__" localSheetId="6" hidden="1">{"fdsup://directions/FAT%20Viewer?VAR:PED=LTM&amp;VAR:AUDIT_MODE=SUMMARY&amp;VAR:PERIOD=FIXED&amp;VAR:AUDIT_ID=00000117&amp;VAR:DATE=20070315&amp;action=UPDATE&amp;creator=factset&amp;DOC_NAME=FAT:FMA_audit_SUMMARY.fat&amp;DISPLAY_STRING=Display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4__FDSAUDITLINK__" hidden="1">{"fdsup://directions/FAT%20Viewer?VAR:PED=LTM&amp;VAR:AUDIT_MODE=SUMMARY&amp;VAR:PERIOD=FIXED&amp;VAR:AUDIT_ID=00000117&amp;VAR:DATE=20070315&amp;action=UPDATE&amp;creator=factset&amp;DOC_NAME=FAT:FMA_audit_SUMMARY.fat&amp;DISPLAY_STRING=Display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40__FDSAUDITLINK__" localSheetId="6" hidden="1">{"fdsup://directions/FAT Viewer?action=UPDATE&amp;creator=factset&amp;DYN_ARGS=TRUE&amp;DOC_NAME=FAT:FQL_AUDITING_CLIENT_TEMPLATE.FAT&amp;display_string=Audit&amp;VAR:KEY=PMBSPSTCDC&amp;VAR:QUERY=RkZfRUJJVERBX0lCKCdMVE1TJywzODYyOSk=&amp;WINDOW=FIRST_POPUP&amp;HEIGHT=450&amp;WIDTH=450&amp;START_MA","XIMIZED=FALSE&amp;VAR:CALENDAR=US&amp;VAR:SYMBOL=04916420&amp;VAR:INDEX=0"}</definedName>
    <definedName name="_10740__FDSAUDITLINK__" hidden="1">{"fdsup://directions/FAT Viewer?action=UPDATE&amp;creator=factset&amp;DYN_ARGS=TRUE&amp;DOC_NAME=FAT:FQL_AUDITING_CLIENT_TEMPLATE.FAT&amp;display_string=Audit&amp;VAR:KEY=PMBSPSTCDC&amp;VAR:QUERY=RkZfRUJJVERBX0lCKCdMVE1TJywzODYyOSk=&amp;WINDOW=FIRST_POPUP&amp;HEIGHT=450&amp;WIDTH=450&amp;START_MA","XIMIZED=FALSE&amp;VAR:CALENDAR=US&amp;VAR:SYMBOL=04916420&amp;VAR:INDEX=0"}</definedName>
    <definedName name="_10741__FDSAUDITLINK__" localSheetId="6" hidden="1">{"fdsup://directions/FAT Viewer?action=UPDATE&amp;creator=factset&amp;DYN_ARGS=TRUE&amp;DOC_NAME=FAT:FQL_AUDITING_CLIENT_TEMPLATE.FAT&amp;display_string=Audit&amp;VAR:KEY=JMTKDEHSHG&amp;VAR:QUERY=RkZfRUJJVERBX0lCKCdMVE1TJywzODYyOCk=&amp;WINDOW=FIRST_POPUP&amp;HEIGHT=450&amp;WIDTH=450&amp;START_MA","XIMIZED=FALSE&amp;VAR:CALENDAR=US&amp;VAR:SYMBOL=04916420&amp;VAR:INDEX=0"}</definedName>
    <definedName name="_10741__FDSAUDITLINK__" hidden="1">{"fdsup://directions/FAT Viewer?action=UPDATE&amp;creator=factset&amp;DYN_ARGS=TRUE&amp;DOC_NAME=FAT:FQL_AUDITING_CLIENT_TEMPLATE.FAT&amp;display_string=Audit&amp;VAR:KEY=JMTKDEHSHG&amp;VAR:QUERY=RkZfRUJJVERBX0lCKCdMVE1TJywzODYyOCk=&amp;WINDOW=FIRST_POPUP&amp;HEIGHT=450&amp;WIDTH=450&amp;START_MA","XIMIZED=FALSE&amp;VAR:CALENDAR=US&amp;VAR:SYMBOL=04916420&amp;VAR:INDEX=0"}</definedName>
    <definedName name="_10742__FDSAUDITLINK__" localSheetId="6" hidden="1">{"fdsup://directions/FAT Viewer?action=UPDATE&amp;creator=factset&amp;DYN_ARGS=TRUE&amp;DOC_NAME=FAT:FQL_AUDITING_CLIENT_TEMPLATE.FAT&amp;display_string=Audit&amp;VAR:KEY=FUPSXCJKVK&amp;VAR:QUERY=RkZfRUJJVERBX0lCKCdMVE1TJywzODYyNyk=&amp;WINDOW=FIRST_POPUP&amp;HEIGHT=450&amp;WIDTH=450&amp;START_MA","XIMIZED=FALSE&amp;VAR:CALENDAR=US&amp;VAR:SYMBOL=04916420&amp;VAR:INDEX=0"}</definedName>
    <definedName name="_10742__FDSAUDITLINK__" hidden="1">{"fdsup://directions/FAT Viewer?action=UPDATE&amp;creator=factset&amp;DYN_ARGS=TRUE&amp;DOC_NAME=FAT:FQL_AUDITING_CLIENT_TEMPLATE.FAT&amp;display_string=Audit&amp;VAR:KEY=FUPSXCJKVK&amp;VAR:QUERY=RkZfRUJJVERBX0lCKCdMVE1TJywzODYyNyk=&amp;WINDOW=FIRST_POPUP&amp;HEIGHT=450&amp;WIDTH=450&amp;START_MA","XIMIZED=FALSE&amp;VAR:CALENDAR=US&amp;VAR:SYMBOL=04916420&amp;VAR:INDEX=0"}</definedName>
    <definedName name="_10743__FDSAUDITLINK__" localSheetId="6" hidden="1">{"fdsup://directions/FAT Viewer?action=UPDATE&amp;creator=factset&amp;DYN_ARGS=TRUE&amp;DOC_NAME=FAT:FQL_AUDITING_CLIENT_TEMPLATE.FAT&amp;display_string=Audit&amp;VAR:KEY=NYJURYXQFC&amp;VAR:QUERY=RkZfRUJJVERBX0lCKCdMVE1TJywzODYyNik=&amp;WINDOW=FIRST_POPUP&amp;HEIGHT=450&amp;WIDTH=450&amp;START_MA","XIMIZED=FALSE&amp;VAR:CALENDAR=US&amp;VAR:SYMBOL=04916420&amp;VAR:INDEX=0"}</definedName>
    <definedName name="_10743__FDSAUDITLINK__" hidden="1">{"fdsup://directions/FAT Viewer?action=UPDATE&amp;creator=factset&amp;DYN_ARGS=TRUE&amp;DOC_NAME=FAT:FQL_AUDITING_CLIENT_TEMPLATE.FAT&amp;display_string=Audit&amp;VAR:KEY=NYJURYXQFC&amp;VAR:QUERY=RkZfRUJJVERBX0lCKCdMVE1TJywzODYyNik=&amp;WINDOW=FIRST_POPUP&amp;HEIGHT=450&amp;WIDTH=450&amp;START_MA","XIMIZED=FALSE&amp;VAR:CALENDAR=US&amp;VAR:SYMBOL=04916420&amp;VAR:INDEX=0"}</definedName>
    <definedName name="_10744__FDSAUDITLINK__" localSheetId="6" hidden="1">{"fdsup://directions/FAT Viewer?action=UPDATE&amp;creator=factset&amp;DYN_ARGS=TRUE&amp;DOC_NAME=FAT:FQL_AUDITING_CLIENT_TEMPLATE.FAT&amp;display_string=Audit&amp;VAR:KEY=RQDAFIRILE&amp;VAR:QUERY=RkZfRUJJVERBX0lCKCdMVE1TJywzODYyNSk=&amp;WINDOW=FIRST_POPUP&amp;HEIGHT=450&amp;WIDTH=450&amp;START_MA","XIMIZED=FALSE&amp;VAR:CALENDAR=US&amp;VAR:SYMBOL=04916420&amp;VAR:INDEX=0"}</definedName>
    <definedName name="_10744__FDSAUDITLINK__" hidden="1">{"fdsup://directions/FAT Viewer?action=UPDATE&amp;creator=factset&amp;DYN_ARGS=TRUE&amp;DOC_NAME=FAT:FQL_AUDITING_CLIENT_TEMPLATE.FAT&amp;display_string=Audit&amp;VAR:KEY=RQDAFIRILE&amp;VAR:QUERY=RkZfRUJJVERBX0lCKCdMVE1TJywzODYyNSk=&amp;WINDOW=FIRST_POPUP&amp;HEIGHT=450&amp;WIDTH=450&amp;START_MA","XIMIZED=FALSE&amp;VAR:CALENDAR=US&amp;VAR:SYMBOL=04916420&amp;VAR:INDEX=0"}</definedName>
    <definedName name="_10745__FDSAUDITLINK__" localSheetId="6" hidden="1">{"fdsup://directions/FAT Viewer?action=UPDATE&amp;creator=factset&amp;DYN_ARGS=TRUE&amp;DOC_NAME=FAT:FQL_AUDITING_CLIENT_TEMPLATE.FAT&amp;display_string=Audit&amp;VAR:KEY=POTONKZENM&amp;VAR:QUERY=RkZfRUJJVERBX0lCKCdMVE1TJywzODYyNCk=&amp;WINDOW=FIRST_POPUP&amp;HEIGHT=450&amp;WIDTH=450&amp;START_MA","XIMIZED=FALSE&amp;VAR:CALENDAR=US&amp;VAR:SYMBOL=04916420&amp;VAR:INDEX=0"}</definedName>
    <definedName name="_10745__FDSAUDITLINK__" hidden="1">{"fdsup://directions/FAT Viewer?action=UPDATE&amp;creator=factset&amp;DYN_ARGS=TRUE&amp;DOC_NAME=FAT:FQL_AUDITING_CLIENT_TEMPLATE.FAT&amp;display_string=Audit&amp;VAR:KEY=POTONKZENM&amp;VAR:QUERY=RkZfRUJJVERBX0lCKCdMVE1TJywzODYyNCk=&amp;WINDOW=FIRST_POPUP&amp;HEIGHT=450&amp;WIDTH=450&amp;START_MA","XIMIZED=FALSE&amp;VAR:CALENDAR=US&amp;VAR:SYMBOL=04916420&amp;VAR:INDEX=0"}</definedName>
    <definedName name="_10746__FDSAUDITLINK__" localSheetId="6" hidden="1">{"fdsup://directions/FAT Viewer?action=UPDATE&amp;creator=factset&amp;DYN_ARGS=TRUE&amp;DOC_NAME=FAT:FQL_AUDITING_CLIENT_TEMPLATE.FAT&amp;display_string=Audit&amp;VAR:KEY=RAVOZAJALY&amp;VAR:QUERY=RkZfRUJJVERBX0lCKCdMVE1TJywzODYyMyk=&amp;WINDOW=FIRST_POPUP&amp;HEIGHT=450&amp;WIDTH=450&amp;START_MA","XIMIZED=FALSE&amp;VAR:CALENDAR=US&amp;VAR:SYMBOL=04916420&amp;VAR:INDEX=0"}</definedName>
    <definedName name="_10746__FDSAUDITLINK__" hidden="1">{"fdsup://directions/FAT Viewer?action=UPDATE&amp;creator=factset&amp;DYN_ARGS=TRUE&amp;DOC_NAME=FAT:FQL_AUDITING_CLIENT_TEMPLATE.FAT&amp;display_string=Audit&amp;VAR:KEY=RAVOZAJALY&amp;VAR:QUERY=RkZfRUJJVERBX0lCKCdMVE1TJywzODYyMyk=&amp;WINDOW=FIRST_POPUP&amp;HEIGHT=450&amp;WIDTH=450&amp;START_MA","XIMIZED=FALSE&amp;VAR:CALENDAR=US&amp;VAR:SYMBOL=04916420&amp;VAR:INDEX=0"}</definedName>
    <definedName name="_10747__FDSAUDITLINK__" localSheetId="6" hidden="1">{"fdsup://directions/FAT Viewer?action=UPDATE&amp;creator=factset&amp;DYN_ARGS=TRUE&amp;DOC_NAME=FAT:FQL_AUDITING_CLIENT_TEMPLATE.FAT&amp;display_string=Audit&amp;VAR:KEY=XIZUREHULQ&amp;VAR:QUERY=RkZfRUJJVERBX0lCKCdMVE1TJywzODYyMik=&amp;WINDOW=FIRST_POPUP&amp;HEIGHT=450&amp;WIDTH=450&amp;START_MA","XIMIZED=FALSE&amp;VAR:CALENDAR=US&amp;VAR:SYMBOL=04916420&amp;VAR:INDEX=0"}</definedName>
    <definedName name="_10747__FDSAUDITLINK__" hidden="1">{"fdsup://directions/FAT Viewer?action=UPDATE&amp;creator=factset&amp;DYN_ARGS=TRUE&amp;DOC_NAME=FAT:FQL_AUDITING_CLIENT_TEMPLATE.FAT&amp;display_string=Audit&amp;VAR:KEY=XIZUREHULQ&amp;VAR:QUERY=RkZfRUJJVERBX0lCKCdMVE1TJywzODYyMik=&amp;WINDOW=FIRST_POPUP&amp;HEIGHT=450&amp;WIDTH=450&amp;START_MA","XIMIZED=FALSE&amp;VAR:CALENDAR=US&amp;VAR:SYMBOL=04916420&amp;VAR:INDEX=0"}</definedName>
    <definedName name="_10748__FDSAUDITLINK__" localSheetId="6" hidden="1">{"fdsup://directions/FAT Viewer?action=UPDATE&amp;creator=factset&amp;DYN_ARGS=TRUE&amp;DOC_NAME=FAT:FQL_AUDITING_CLIENT_TEMPLATE.FAT&amp;display_string=Audit&amp;VAR:KEY=JWBMDIDSZE&amp;VAR:QUERY=RkZfRUJJVERBX0lCKCdMVE1TJywzODYyMSk=&amp;WINDOW=FIRST_POPUP&amp;HEIGHT=450&amp;WIDTH=450&amp;START_MA","XIMIZED=FALSE&amp;VAR:CALENDAR=US&amp;VAR:SYMBOL=04916420&amp;VAR:INDEX=0"}</definedName>
    <definedName name="_10748__FDSAUDITLINK__" hidden="1">{"fdsup://directions/FAT Viewer?action=UPDATE&amp;creator=factset&amp;DYN_ARGS=TRUE&amp;DOC_NAME=FAT:FQL_AUDITING_CLIENT_TEMPLATE.FAT&amp;display_string=Audit&amp;VAR:KEY=JWBMDIDSZE&amp;VAR:QUERY=RkZfRUJJVERBX0lCKCdMVE1TJywzODYyMSk=&amp;WINDOW=FIRST_POPUP&amp;HEIGHT=450&amp;WIDTH=450&amp;START_MA","XIMIZED=FALSE&amp;VAR:CALENDAR=US&amp;VAR:SYMBOL=04916420&amp;VAR:INDEX=0"}</definedName>
    <definedName name="_10749__FDSAUDITLINK__" localSheetId="6" hidden="1">{"fdsup://directions/FAT Viewer?action=UPDATE&amp;creator=factset&amp;DYN_ARGS=TRUE&amp;DOC_NAME=FAT:FQL_AUDITING_CLIENT_TEMPLATE.FAT&amp;display_string=Audit&amp;VAR:KEY=JEXKVWNKNK&amp;VAR:QUERY=RkZfRUJJVERBX0lCKCdMVE1TJywzODYyMCk=&amp;WINDOW=FIRST_POPUP&amp;HEIGHT=450&amp;WIDTH=450&amp;START_MA","XIMIZED=FALSE&amp;VAR:CALENDAR=US&amp;VAR:SYMBOL=04916420&amp;VAR:INDEX=0"}</definedName>
    <definedName name="_10749__FDSAUDITLINK__" hidden="1">{"fdsup://directions/FAT Viewer?action=UPDATE&amp;creator=factset&amp;DYN_ARGS=TRUE&amp;DOC_NAME=FAT:FQL_AUDITING_CLIENT_TEMPLATE.FAT&amp;display_string=Audit&amp;VAR:KEY=JEXKVWNKNK&amp;VAR:QUERY=RkZfRUJJVERBX0lCKCdMVE1TJywzODYyMCk=&amp;WINDOW=FIRST_POPUP&amp;HEIGHT=450&amp;WIDTH=450&amp;START_MA","XIMIZED=FALSE&amp;VAR:CALENDAR=US&amp;VAR:SYMBOL=04916420&amp;VAR:INDEX=0"}</definedName>
    <definedName name="_1075__FDSAUDITLINK__" localSheetId="6" hidden="1">{"fdsup://directions/FAT%20Viewer?VAR:PED=LTM&amp;VAR:AUDIT_MODE=SUMMARY&amp;VAR:PERIOD=FIXED&amp;VAR:AUDIT_ID=00000117&amp;VAR:DATE=20070314&amp;action=UPDATE&amp;creator=factset&amp;DOC_NAME=FAT:FMA_audit_SUMMARY.fat&amp;DISPLAY_STRING=Display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5__FDSAUDITLINK__" hidden="1">{"fdsup://directions/FAT%20Viewer?VAR:PED=LTM&amp;VAR:AUDIT_MODE=SUMMARY&amp;VAR:PERIOD=FIXED&amp;VAR:AUDIT_ID=00000117&amp;VAR:DATE=20070314&amp;action=UPDATE&amp;creator=factset&amp;DOC_NAME=FAT:FMA_audit_SUMMARY.fat&amp;DISPLAY_STRING=Display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50__FDSAUDITLINK__" localSheetId="6" hidden="1">{"fdsup://directions/FAT Viewer?action=UPDATE&amp;creator=factset&amp;DYN_ARGS=TRUE&amp;DOC_NAME=FAT:FQL_AUDITING_CLIENT_TEMPLATE.FAT&amp;display_string=Audit&amp;VAR:KEY=TGTUTMVKVM&amp;VAR:QUERY=RkZfRUJJVERBX0lCKCdMVE1TJywzODYxOSk=&amp;WINDOW=FIRST_POPUP&amp;HEIGHT=450&amp;WIDTH=450&amp;START_MA","XIMIZED=FALSE&amp;VAR:CALENDAR=US&amp;VAR:SYMBOL=04916420&amp;VAR:INDEX=0"}</definedName>
    <definedName name="_10750__FDSAUDITLINK__" hidden="1">{"fdsup://directions/FAT Viewer?action=UPDATE&amp;creator=factset&amp;DYN_ARGS=TRUE&amp;DOC_NAME=FAT:FQL_AUDITING_CLIENT_TEMPLATE.FAT&amp;display_string=Audit&amp;VAR:KEY=TGTUTMVKVM&amp;VAR:QUERY=RkZfRUJJVERBX0lCKCdMVE1TJywzODYxOSk=&amp;WINDOW=FIRST_POPUP&amp;HEIGHT=450&amp;WIDTH=450&amp;START_MA","XIMIZED=FALSE&amp;VAR:CALENDAR=US&amp;VAR:SYMBOL=04916420&amp;VAR:INDEX=0"}</definedName>
    <definedName name="_10751__FDSAUDITLINK__" localSheetId="6" hidden="1">{"fdsup://directions/FAT Viewer?action=UPDATE&amp;creator=factset&amp;DYN_ARGS=TRUE&amp;DOC_NAME=FAT:FQL_AUDITING_CLIENT_TEMPLATE.FAT&amp;display_string=Audit&amp;VAR:KEY=ZMTKDKDIBG&amp;VAR:QUERY=RkZfRUJJVERBX0lCKCdMVE1TJywzODYxOCk=&amp;WINDOW=FIRST_POPUP&amp;HEIGHT=450&amp;WIDTH=450&amp;START_MA","XIMIZED=FALSE&amp;VAR:CALENDAR=US&amp;VAR:SYMBOL=04916420&amp;VAR:INDEX=0"}</definedName>
    <definedName name="_10751__FDSAUDITLINK__" hidden="1">{"fdsup://directions/FAT Viewer?action=UPDATE&amp;creator=factset&amp;DYN_ARGS=TRUE&amp;DOC_NAME=FAT:FQL_AUDITING_CLIENT_TEMPLATE.FAT&amp;display_string=Audit&amp;VAR:KEY=ZMTKDKDIBG&amp;VAR:QUERY=RkZfRUJJVERBX0lCKCdMVE1TJywzODYxOCk=&amp;WINDOW=FIRST_POPUP&amp;HEIGHT=450&amp;WIDTH=450&amp;START_MA","XIMIZED=FALSE&amp;VAR:CALENDAR=US&amp;VAR:SYMBOL=04916420&amp;VAR:INDEX=0"}</definedName>
    <definedName name="_10752__FDSAUDITLINK__" localSheetId="6" hidden="1">{"fdsup://directions/FAT Viewer?action=UPDATE&amp;creator=factset&amp;DYN_ARGS=TRUE&amp;DOC_NAME=FAT:FQL_AUDITING_CLIENT_TEMPLATE.FAT&amp;display_string=Audit&amp;VAR:KEY=LELKLEDAHC&amp;VAR:QUERY=RkZfRUJJVERBX0lCKCdMVE1TJywzODYxNyk=&amp;WINDOW=FIRST_POPUP&amp;HEIGHT=450&amp;WIDTH=450&amp;START_MA","XIMIZED=FALSE&amp;VAR:CALENDAR=US&amp;VAR:SYMBOL=04916420&amp;VAR:INDEX=0"}</definedName>
    <definedName name="_10752__FDSAUDITLINK__" hidden="1">{"fdsup://directions/FAT Viewer?action=UPDATE&amp;creator=factset&amp;DYN_ARGS=TRUE&amp;DOC_NAME=FAT:FQL_AUDITING_CLIENT_TEMPLATE.FAT&amp;display_string=Audit&amp;VAR:KEY=LELKLEDAHC&amp;VAR:QUERY=RkZfRUJJVERBX0lCKCdMVE1TJywzODYxNyk=&amp;WINDOW=FIRST_POPUP&amp;HEIGHT=450&amp;WIDTH=450&amp;START_MA","XIMIZED=FALSE&amp;VAR:CALENDAR=US&amp;VAR:SYMBOL=04916420&amp;VAR:INDEX=0"}</definedName>
    <definedName name="_10753__FDSAUDITLINK__" localSheetId="6" hidden="1">{"fdsup://directions/FAT Viewer?action=UPDATE&amp;creator=factset&amp;DYN_ARGS=TRUE&amp;DOC_NAME=FAT:FQL_AUDITING_CLIENT_TEMPLATE.FAT&amp;display_string=Audit&amp;VAR:KEY=HERQRWVUDE&amp;VAR:QUERY=RkZfRUJJVERBX0lCKCdMVE1TJywzODYxNik=&amp;WINDOW=FIRST_POPUP&amp;HEIGHT=450&amp;WIDTH=450&amp;START_MA","XIMIZED=FALSE&amp;VAR:CALENDAR=US&amp;VAR:SYMBOL=04916420&amp;VAR:INDEX=0"}</definedName>
    <definedName name="_10753__FDSAUDITLINK__" hidden="1">{"fdsup://directions/FAT Viewer?action=UPDATE&amp;creator=factset&amp;DYN_ARGS=TRUE&amp;DOC_NAME=FAT:FQL_AUDITING_CLIENT_TEMPLATE.FAT&amp;display_string=Audit&amp;VAR:KEY=HERQRWVUDE&amp;VAR:QUERY=RkZfRUJJVERBX0lCKCdMVE1TJywzODYxNik=&amp;WINDOW=FIRST_POPUP&amp;HEIGHT=450&amp;WIDTH=450&amp;START_MA","XIMIZED=FALSE&amp;VAR:CALENDAR=US&amp;VAR:SYMBOL=04916420&amp;VAR:INDEX=0"}</definedName>
    <definedName name="_10754__FDSAUDITLINK__" localSheetId="6" hidden="1">{"fdsup://directions/FAT Viewer?action=UPDATE&amp;creator=factset&amp;DYN_ARGS=TRUE&amp;DOC_NAME=FAT:FQL_AUDITING_CLIENT_TEMPLATE.FAT&amp;display_string=Audit&amp;VAR:KEY=JYVGVABKBU&amp;VAR:QUERY=RkZfRUJJVERBX0lCKCdMVE1TJywzODYxNSk=&amp;WINDOW=FIRST_POPUP&amp;HEIGHT=450&amp;WIDTH=450&amp;START_MA","XIMIZED=FALSE&amp;VAR:CALENDAR=US&amp;VAR:SYMBOL=04916420&amp;VAR:INDEX=0"}</definedName>
    <definedName name="_10754__FDSAUDITLINK__" hidden="1">{"fdsup://directions/FAT Viewer?action=UPDATE&amp;creator=factset&amp;DYN_ARGS=TRUE&amp;DOC_NAME=FAT:FQL_AUDITING_CLIENT_TEMPLATE.FAT&amp;display_string=Audit&amp;VAR:KEY=JYVGVABKBU&amp;VAR:QUERY=RkZfRUJJVERBX0lCKCdMVE1TJywzODYxNSk=&amp;WINDOW=FIRST_POPUP&amp;HEIGHT=450&amp;WIDTH=450&amp;START_MA","XIMIZED=FALSE&amp;VAR:CALENDAR=US&amp;VAR:SYMBOL=04916420&amp;VAR:INDEX=0"}</definedName>
    <definedName name="_10755__FDSAUDITLINK__" localSheetId="6" hidden="1">{"fdsup://directions/FAT Viewer?action=UPDATE&amp;creator=factset&amp;DYN_ARGS=TRUE&amp;DOC_NAME=FAT:FQL_AUDITING_CLIENT_TEMPLATE.FAT&amp;display_string=Audit&amp;VAR:KEY=BWZOBWDYJU&amp;VAR:QUERY=RkZfRUJJVERBX0lCKCdMVE1TJywzODYxNCk=&amp;WINDOW=FIRST_POPUP&amp;HEIGHT=450&amp;WIDTH=450&amp;START_MA","XIMIZED=FALSE&amp;VAR:CALENDAR=US&amp;VAR:SYMBOL=04916420&amp;VAR:INDEX=0"}</definedName>
    <definedName name="_10755__FDSAUDITLINK__" hidden="1">{"fdsup://directions/FAT Viewer?action=UPDATE&amp;creator=factset&amp;DYN_ARGS=TRUE&amp;DOC_NAME=FAT:FQL_AUDITING_CLIENT_TEMPLATE.FAT&amp;display_string=Audit&amp;VAR:KEY=BWZOBWDYJU&amp;VAR:QUERY=RkZfRUJJVERBX0lCKCdMVE1TJywzODYxNCk=&amp;WINDOW=FIRST_POPUP&amp;HEIGHT=450&amp;WIDTH=450&amp;START_MA","XIMIZED=FALSE&amp;VAR:CALENDAR=US&amp;VAR:SYMBOL=04916420&amp;VAR:INDEX=0"}</definedName>
    <definedName name="_10756__FDSAUDITLINK__" localSheetId="6" hidden="1">{"fdsup://directions/FAT Viewer?action=UPDATE&amp;creator=factset&amp;DYN_ARGS=TRUE&amp;DOC_NAME=FAT:FQL_AUDITING_CLIENT_TEMPLATE.FAT&amp;display_string=Audit&amp;VAR:KEY=DMZKHQLSHC&amp;VAR:QUERY=RkZfRUJJVERBX0lCKCdMVE1TJywzODYxMyk=&amp;WINDOW=FIRST_POPUP&amp;HEIGHT=450&amp;WIDTH=450&amp;START_MA","XIMIZED=FALSE&amp;VAR:CALENDAR=US&amp;VAR:SYMBOL=04916420&amp;VAR:INDEX=0"}</definedName>
    <definedName name="_10756__FDSAUDITLINK__" hidden="1">{"fdsup://directions/FAT Viewer?action=UPDATE&amp;creator=factset&amp;DYN_ARGS=TRUE&amp;DOC_NAME=FAT:FQL_AUDITING_CLIENT_TEMPLATE.FAT&amp;display_string=Audit&amp;VAR:KEY=DMZKHQLSHC&amp;VAR:QUERY=RkZfRUJJVERBX0lCKCdMVE1TJywzODYxMyk=&amp;WINDOW=FIRST_POPUP&amp;HEIGHT=450&amp;WIDTH=450&amp;START_MA","XIMIZED=FALSE&amp;VAR:CALENDAR=US&amp;VAR:SYMBOL=04916420&amp;VAR:INDEX=0"}</definedName>
    <definedName name="_10757__FDSAUDITLINK__" localSheetId="6" hidden="1">{"fdsup://directions/FAT Viewer?action=UPDATE&amp;creator=factset&amp;DYN_ARGS=TRUE&amp;DOC_NAME=FAT:FQL_AUDITING_CLIENT_TEMPLATE.FAT&amp;display_string=Audit&amp;VAR:KEY=JSFWNOZADY&amp;VAR:QUERY=RkZfRUJJVERBX0lCKCdMVE1TJywzODYxMik=&amp;WINDOW=FIRST_POPUP&amp;HEIGHT=450&amp;WIDTH=450&amp;START_MA","XIMIZED=FALSE&amp;VAR:CALENDAR=US&amp;VAR:SYMBOL=04916420&amp;VAR:INDEX=0"}</definedName>
    <definedName name="_10757__FDSAUDITLINK__" hidden="1">{"fdsup://directions/FAT Viewer?action=UPDATE&amp;creator=factset&amp;DYN_ARGS=TRUE&amp;DOC_NAME=FAT:FQL_AUDITING_CLIENT_TEMPLATE.FAT&amp;display_string=Audit&amp;VAR:KEY=JSFWNOZADY&amp;VAR:QUERY=RkZfRUJJVERBX0lCKCdMVE1TJywzODYxMik=&amp;WINDOW=FIRST_POPUP&amp;HEIGHT=450&amp;WIDTH=450&amp;START_MA","XIMIZED=FALSE&amp;VAR:CALENDAR=US&amp;VAR:SYMBOL=04916420&amp;VAR:INDEX=0"}</definedName>
    <definedName name="_10758__FDSAUDITLINK__" localSheetId="6" hidden="1">{"fdsup://directions/FAT Viewer?action=UPDATE&amp;creator=factset&amp;DYN_ARGS=TRUE&amp;DOC_NAME=FAT:FQL_AUDITING_CLIENT_TEMPLATE.FAT&amp;display_string=Audit&amp;VAR:KEY=NUJQJSRYLG&amp;VAR:QUERY=RkZfRUJJVERBX0lCKCdMVE1TJywzODYxMSk=&amp;WINDOW=FIRST_POPUP&amp;HEIGHT=450&amp;WIDTH=450&amp;START_MA","XIMIZED=FALSE&amp;VAR:CALENDAR=US&amp;VAR:SYMBOL=04916420&amp;VAR:INDEX=0"}</definedName>
    <definedName name="_10758__FDSAUDITLINK__" hidden="1">{"fdsup://directions/FAT Viewer?action=UPDATE&amp;creator=factset&amp;DYN_ARGS=TRUE&amp;DOC_NAME=FAT:FQL_AUDITING_CLIENT_TEMPLATE.FAT&amp;display_string=Audit&amp;VAR:KEY=NUJQJSRYLG&amp;VAR:QUERY=RkZfRUJJVERBX0lCKCdMVE1TJywzODYxMSk=&amp;WINDOW=FIRST_POPUP&amp;HEIGHT=450&amp;WIDTH=450&amp;START_MA","XIMIZED=FALSE&amp;VAR:CALENDAR=US&amp;VAR:SYMBOL=04916420&amp;VAR:INDEX=0"}</definedName>
    <definedName name="_10759__FDSAUDITLINK__" localSheetId="6" hidden="1">{"fdsup://directions/FAT Viewer?action=UPDATE&amp;creator=factset&amp;DYN_ARGS=TRUE&amp;DOC_NAME=FAT:FQL_AUDITING_CLIENT_TEMPLATE.FAT&amp;display_string=Audit&amp;VAR:KEY=XONOVIRQHO&amp;VAR:QUERY=RkZfRUJJVERBX0lCKCdMVE1TJywzODYxMCk=&amp;WINDOW=FIRST_POPUP&amp;HEIGHT=450&amp;WIDTH=450&amp;START_MA","XIMIZED=FALSE&amp;VAR:CALENDAR=US&amp;VAR:SYMBOL=04916420&amp;VAR:INDEX=0"}</definedName>
    <definedName name="_10759__FDSAUDITLINK__" hidden="1">{"fdsup://directions/FAT Viewer?action=UPDATE&amp;creator=factset&amp;DYN_ARGS=TRUE&amp;DOC_NAME=FAT:FQL_AUDITING_CLIENT_TEMPLATE.FAT&amp;display_string=Audit&amp;VAR:KEY=XONOVIRQHO&amp;VAR:QUERY=RkZfRUJJVERBX0lCKCdMVE1TJywzODYxMCk=&amp;WINDOW=FIRST_POPUP&amp;HEIGHT=450&amp;WIDTH=450&amp;START_MA","XIMIZED=FALSE&amp;VAR:CALENDAR=US&amp;VAR:SYMBOL=04916420&amp;VAR:INDEX=0"}</definedName>
    <definedName name="_1076__FDSAUDITLINK__" localSheetId="6" hidden="1">{"fdsup://directions/FAT%20Viewer?VAR:PED=LTM&amp;VAR:AUDIT_MODE=SUMMARY&amp;VAR:PERIOD=FIXED&amp;VAR:AUDIT_ID=00000117&amp;VAR:DATE=20070313&amp;action=UPDATE&amp;creator=factset&amp;DOC_NAME=FAT:FMA_audit_SUMMARY.fat&amp;DISPLAY_STRING=Display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6__FDSAUDITLINK__" hidden="1">{"fdsup://directions/FAT%20Viewer?VAR:PED=LTM&amp;VAR:AUDIT_MODE=SUMMARY&amp;VAR:PERIOD=FIXED&amp;VAR:AUDIT_ID=00000117&amp;VAR:DATE=20070313&amp;action=UPDATE&amp;creator=factset&amp;DOC_NAME=FAT:FMA_audit_SUMMARY.fat&amp;DISPLAY_STRING=Display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60__FDSAUDITLINK__" localSheetId="6" hidden="1">{"fdsup://directions/FAT Viewer?action=UPDATE&amp;creator=factset&amp;DYN_ARGS=TRUE&amp;DOC_NAME=FAT:FQL_AUDITING_CLIENT_TEMPLATE.FAT&amp;display_string=Audit&amp;VAR:KEY=BOPCVEHMNC&amp;VAR:QUERY=RkZfRUJJVERBX0lCKCdMVE1TJywzODYwOSk=&amp;WINDOW=FIRST_POPUP&amp;HEIGHT=450&amp;WIDTH=450&amp;START_MA","XIMIZED=FALSE&amp;VAR:CALENDAR=US&amp;VAR:SYMBOL=04916420&amp;VAR:INDEX=0"}</definedName>
    <definedName name="_10760__FDSAUDITLINK__" hidden="1">{"fdsup://directions/FAT Viewer?action=UPDATE&amp;creator=factset&amp;DYN_ARGS=TRUE&amp;DOC_NAME=FAT:FQL_AUDITING_CLIENT_TEMPLATE.FAT&amp;display_string=Audit&amp;VAR:KEY=BOPCVEHMNC&amp;VAR:QUERY=RkZfRUJJVERBX0lCKCdMVE1TJywzODYwOSk=&amp;WINDOW=FIRST_POPUP&amp;HEIGHT=450&amp;WIDTH=450&amp;START_MA","XIMIZED=FALSE&amp;VAR:CALENDAR=US&amp;VAR:SYMBOL=04916420&amp;VAR:INDEX=0"}</definedName>
    <definedName name="_10761__FDSAUDITLINK__" localSheetId="6" hidden="1">{"fdsup://directions/FAT Viewer?action=UPDATE&amp;creator=factset&amp;DYN_ARGS=TRUE&amp;DOC_NAME=FAT:FQL_AUDITING_CLIENT_TEMPLATE.FAT&amp;display_string=Audit&amp;VAR:KEY=LYFAXQREFS&amp;VAR:QUERY=RkZfRUJJVERBX0lCKCdMVE1TJywzODYwOCk=&amp;WINDOW=FIRST_POPUP&amp;HEIGHT=450&amp;WIDTH=450&amp;START_MA","XIMIZED=FALSE&amp;VAR:CALENDAR=US&amp;VAR:SYMBOL=04916420&amp;VAR:INDEX=0"}</definedName>
    <definedName name="_10761__FDSAUDITLINK__" hidden="1">{"fdsup://directions/FAT Viewer?action=UPDATE&amp;creator=factset&amp;DYN_ARGS=TRUE&amp;DOC_NAME=FAT:FQL_AUDITING_CLIENT_TEMPLATE.FAT&amp;display_string=Audit&amp;VAR:KEY=LYFAXQREFS&amp;VAR:QUERY=RkZfRUJJVERBX0lCKCdMVE1TJywzODYwOCk=&amp;WINDOW=FIRST_POPUP&amp;HEIGHT=450&amp;WIDTH=450&amp;START_MA","XIMIZED=FALSE&amp;VAR:CALENDAR=US&amp;VAR:SYMBOL=04916420&amp;VAR:INDEX=0"}</definedName>
    <definedName name="_10762__FDSAUDITLINK__" localSheetId="6" hidden="1">{"fdsup://directions/FAT Viewer?action=UPDATE&amp;creator=factset&amp;DYN_ARGS=TRUE&amp;DOC_NAME=FAT:FQL_AUDITING_CLIENT_TEMPLATE.FAT&amp;display_string=Audit&amp;VAR:KEY=BWRQVSVOHG&amp;VAR:QUERY=RkZfRUJJVERBX0lCKCdMVE1TJywzODYwNyk=&amp;WINDOW=FIRST_POPUP&amp;HEIGHT=450&amp;WIDTH=450&amp;START_MA","XIMIZED=FALSE&amp;VAR:CALENDAR=US&amp;VAR:SYMBOL=04916420&amp;VAR:INDEX=0"}</definedName>
    <definedName name="_10762__FDSAUDITLINK__" hidden="1">{"fdsup://directions/FAT Viewer?action=UPDATE&amp;creator=factset&amp;DYN_ARGS=TRUE&amp;DOC_NAME=FAT:FQL_AUDITING_CLIENT_TEMPLATE.FAT&amp;display_string=Audit&amp;VAR:KEY=BWRQVSVOHG&amp;VAR:QUERY=RkZfRUJJVERBX0lCKCdMVE1TJywzODYwNyk=&amp;WINDOW=FIRST_POPUP&amp;HEIGHT=450&amp;WIDTH=450&amp;START_MA","XIMIZED=FALSE&amp;VAR:CALENDAR=US&amp;VAR:SYMBOL=04916420&amp;VAR:INDEX=0"}</definedName>
    <definedName name="_10763__FDSAUDITLINK__" localSheetId="6" hidden="1">{"fdsup://directions/FAT Viewer?action=UPDATE&amp;creator=factset&amp;DYN_ARGS=TRUE&amp;DOC_NAME=FAT:FQL_AUDITING_CLIENT_TEMPLATE.FAT&amp;display_string=Audit&amp;VAR:KEY=DGFORYDALO&amp;VAR:QUERY=RkZfRUJJVERBX0lCKCdMVE1TJywzODYwNik=&amp;WINDOW=FIRST_POPUP&amp;HEIGHT=450&amp;WIDTH=450&amp;START_MA","XIMIZED=FALSE&amp;VAR:CALENDAR=US&amp;VAR:SYMBOL=04916420&amp;VAR:INDEX=0"}</definedName>
    <definedName name="_10763__FDSAUDITLINK__" hidden="1">{"fdsup://directions/FAT Viewer?action=UPDATE&amp;creator=factset&amp;DYN_ARGS=TRUE&amp;DOC_NAME=FAT:FQL_AUDITING_CLIENT_TEMPLATE.FAT&amp;display_string=Audit&amp;VAR:KEY=DGFORYDALO&amp;VAR:QUERY=RkZfRUJJVERBX0lCKCdMVE1TJywzODYwNik=&amp;WINDOW=FIRST_POPUP&amp;HEIGHT=450&amp;WIDTH=450&amp;START_MA","XIMIZED=FALSE&amp;VAR:CALENDAR=US&amp;VAR:SYMBOL=04916420&amp;VAR:INDEX=0"}</definedName>
    <definedName name="_10764__FDSAUDITLINK__" localSheetId="6" hidden="1">{"fdsup://directions/FAT Viewer?action=UPDATE&amp;creator=factset&amp;DYN_ARGS=TRUE&amp;DOC_NAME=FAT:FQL_AUDITING_CLIENT_TEMPLATE.FAT&amp;display_string=Audit&amp;VAR:KEY=VMBAJSFIJK&amp;VAR:QUERY=RkZfRUJJVERBX0lCKCdMVE1TJywzODYwNSk=&amp;WINDOW=FIRST_POPUP&amp;HEIGHT=450&amp;WIDTH=450&amp;START_MA","XIMIZED=FALSE&amp;VAR:CALENDAR=US&amp;VAR:SYMBOL=04916420&amp;VAR:INDEX=0"}</definedName>
    <definedName name="_10764__FDSAUDITLINK__" hidden="1">{"fdsup://directions/FAT Viewer?action=UPDATE&amp;creator=factset&amp;DYN_ARGS=TRUE&amp;DOC_NAME=FAT:FQL_AUDITING_CLIENT_TEMPLATE.FAT&amp;display_string=Audit&amp;VAR:KEY=VMBAJSFIJK&amp;VAR:QUERY=RkZfRUJJVERBX0lCKCdMVE1TJywzODYwNSk=&amp;WINDOW=FIRST_POPUP&amp;HEIGHT=450&amp;WIDTH=450&amp;START_MA","XIMIZED=FALSE&amp;VAR:CALENDAR=US&amp;VAR:SYMBOL=04916420&amp;VAR:INDEX=0"}</definedName>
    <definedName name="_10765__FDSAUDITLINK__" localSheetId="6" hidden="1">{"fdsup://directions/FAT Viewer?action=UPDATE&amp;creator=factset&amp;DYN_ARGS=TRUE&amp;DOC_NAME=FAT:FQL_AUDITING_CLIENT_TEMPLATE.FAT&amp;display_string=Audit&amp;VAR:KEY=ZYFEZIJOXK&amp;VAR:QUERY=RkZfRUJJVERBX0lCKCdMVE1TJywzODYwNCk=&amp;WINDOW=FIRST_POPUP&amp;HEIGHT=450&amp;WIDTH=450&amp;START_MA","XIMIZED=FALSE&amp;VAR:CALENDAR=US&amp;VAR:SYMBOL=04916420&amp;VAR:INDEX=0"}</definedName>
    <definedName name="_10765__FDSAUDITLINK__" hidden="1">{"fdsup://directions/FAT Viewer?action=UPDATE&amp;creator=factset&amp;DYN_ARGS=TRUE&amp;DOC_NAME=FAT:FQL_AUDITING_CLIENT_TEMPLATE.FAT&amp;display_string=Audit&amp;VAR:KEY=ZYFEZIJOXK&amp;VAR:QUERY=RkZfRUJJVERBX0lCKCdMVE1TJywzODYwNCk=&amp;WINDOW=FIRST_POPUP&amp;HEIGHT=450&amp;WIDTH=450&amp;START_MA","XIMIZED=FALSE&amp;VAR:CALENDAR=US&amp;VAR:SYMBOL=04916420&amp;VAR:INDEX=0"}</definedName>
    <definedName name="_10766__FDSAUDITLINK__" localSheetId="6" hidden="1">{"fdsup://directions/FAT Viewer?action=UPDATE&amp;creator=factset&amp;DYN_ARGS=TRUE&amp;DOC_NAME=FAT:FQL_AUDITING_CLIENT_TEMPLATE.FAT&amp;display_string=Audit&amp;VAR:KEY=ZQBORUFEZO&amp;VAR:QUERY=RkZfRUJJVERBX0lCKCdMVE1TJywzODYwMyk=&amp;WINDOW=FIRST_POPUP&amp;HEIGHT=450&amp;WIDTH=450&amp;START_MA","XIMIZED=FALSE&amp;VAR:CALENDAR=US&amp;VAR:SYMBOL=04916420&amp;VAR:INDEX=0"}</definedName>
    <definedName name="_10766__FDSAUDITLINK__" hidden="1">{"fdsup://directions/FAT Viewer?action=UPDATE&amp;creator=factset&amp;DYN_ARGS=TRUE&amp;DOC_NAME=FAT:FQL_AUDITING_CLIENT_TEMPLATE.FAT&amp;display_string=Audit&amp;VAR:KEY=ZQBORUFEZO&amp;VAR:QUERY=RkZfRUJJVERBX0lCKCdMVE1TJywzODYwMyk=&amp;WINDOW=FIRST_POPUP&amp;HEIGHT=450&amp;WIDTH=450&amp;START_MA","XIMIZED=FALSE&amp;VAR:CALENDAR=US&amp;VAR:SYMBOL=04916420&amp;VAR:INDEX=0"}</definedName>
    <definedName name="_10767__FDSAUDITLINK__" localSheetId="6" hidden="1">{"fdsup://directions/FAT Viewer?action=UPDATE&amp;creator=factset&amp;DYN_ARGS=TRUE&amp;DOC_NAME=FAT:FQL_AUDITING_CLIENT_TEMPLATE.FAT&amp;display_string=Audit&amp;VAR:KEY=FIBMDIPWHC&amp;VAR:QUERY=RkZfRUJJVERBX0lCKCdMVE1TJywzODYwMik=&amp;WINDOW=FIRST_POPUP&amp;HEIGHT=450&amp;WIDTH=450&amp;START_MA","XIMIZED=FALSE&amp;VAR:CALENDAR=US&amp;VAR:SYMBOL=04916420&amp;VAR:INDEX=0"}</definedName>
    <definedName name="_10767__FDSAUDITLINK__" hidden="1">{"fdsup://directions/FAT Viewer?action=UPDATE&amp;creator=factset&amp;DYN_ARGS=TRUE&amp;DOC_NAME=FAT:FQL_AUDITING_CLIENT_TEMPLATE.FAT&amp;display_string=Audit&amp;VAR:KEY=FIBMDIPWHC&amp;VAR:QUERY=RkZfRUJJVERBX0lCKCdMVE1TJywzODYwMik=&amp;WINDOW=FIRST_POPUP&amp;HEIGHT=450&amp;WIDTH=450&amp;START_MA","XIMIZED=FALSE&amp;VAR:CALENDAR=US&amp;VAR:SYMBOL=04916420&amp;VAR:INDEX=0"}</definedName>
    <definedName name="_10768__FDSAUDITLINK__" localSheetId="6" hidden="1">{"fdsup://directions/FAT Viewer?action=UPDATE&amp;creator=factset&amp;DYN_ARGS=TRUE&amp;DOC_NAME=FAT:FQL_AUDITING_CLIENT_TEMPLATE.FAT&amp;display_string=Audit&amp;VAR:KEY=BCRQBQVIZQ&amp;VAR:QUERY=RkZfRUJJVERBX0lCKCdMVE1TJywzODYwMSk=&amp;WINDOW=FIRST_POPUP&amp;HEIGHT=450&amp;WIDTH=450&amp;START_MA","XIMIZED=FALSE&amp;VAR:CALENDAR=US&amp;VAR:SYMBOL=04916420&amp;VAR:INDEX=0"}</definedName>
    <definedName name="_10768__FDSAUDITLINK__" hidden="1">{"fdsup://directions/FAT Viewer?action=UPDATE&amp;creator=factset&amp;DYN_ARGS=TRUE&amp;DOC_NAME=FAT:FQL_AUDITING_CLIENT_TEMPLATE.FAT&amp;display_string=Audit&amp;VAR:KEY=BCRQBQVIZQ&amp;VAR:QUERY=RkZfRUJJVERBX0lCKCdMVE1TJywzODYwMSk=&amp;WINDOW=FIRST_POPUP&amp;HEIGHT=450&amp;WIDTH=450&amp;START_MA","XIMIZED=FALSE&amp;VAR:CALENDAR=US&amp;VAR:SYMBOL=04916420&amp;VAR:INDEX=0"}</definedName>
    <definedName name="_10769__FDSAUDITLINK__" localSheetId="6" hidden="1">{"fdsup://directions/FAT Viewer?action=UPDATE&amp;creator=factset&amp;DYN_ARGS=TRUE&amp;DOC_NAME=FAT:FQL_AUDITING_CLIENT_TEMPLATE.FAT&amp;display_string=Audit&amp;VAR:KEY=JSPMXGLELG&amp;VAR:QUERY=RkZfRUJJVERBX0lCKCdMVE1TJywzODYwMCk=&amp;WINDOW=FIRST_POPUP&amp;HEIGHT=450&amp;WIDTH=450&amp;START_MA","XIMIZED=FALSE&amp;VAR:CALENDAR=US&amp;VAR:SYMBOL=04916420&amp;VAR:INDEX=0"}</definedName>
    <definedName name="_10769__FDSAUDITLINK__" hidden="1">{"fdsup://directions/FAT Viewer?action=UPDATE&amp;creator=factset&amp;DYN_ARGS=TRUE&amp;DOC_NAME=FAT:FQL_AUDITING_CLIENT_TEMPLATE.FAT&amp;display_string=Audit&amp;VAR:KEY=JSPMXGLELG&amp;VAR:QUERY=RkZfRUJJVERBX0lCKCdMVE1TJywzODYwMCk=&amp;WINDOW=FIRST_POPUP&amp;HEIGHT=450&amp;WIDTH=450&amp;START_MA","XIMIZED=FALSE&amp;VAR:CALENDAR=US&amp;VAR:SYMBOL=04916420&amp;VAR:INDEX=0"}</definedName>
    <definedName name="_1077__FDSAUDITLINK__" localSheetId="6" hidden="1">{"fdsup://directions/FAT%20Viewer?VAR:PED=LTM&amp;VAR:AUDIT_MODE=SUMMARY&amp;VAR:PERIOD=FIXED&amp;VAR:AUDIT_ID=00000117&amp;VAR:DATE=20070312&amp;action=UPDATE&amp;creator=factset&amp;DOC_NAME=FAT:FMA_audit_SUMMARY.fat&amp;DISPLAY_STRING=Display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7__FDSAUDITLINK__" hidden="1">{"fdsup://directions/FAT%20Viewer?VAR:PED=LTM&amp;VAR:AUDIT_MODE=SUMMARY&amp;VAR:PERIOD=FIXED&amp;VAR:AUDIT_ID=00000117&amp;VAR:DATE=20070312&amp;action=UPDATE&amp;creator=factset&amp;DOC_NAME=FAT:FMA_audit_SUMMARY.fat&amp;DISPLAY_STRING=Display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70__FDSAUDITLINK__" localSheetId="6" hidden="1">{"fdsup://directions/FAT Viewer?action=UPDATE&amp;creator=factset&amp;DYN_ARGS=TRUE&amp;DOC_NAME=FAT:FQL_AUDITING_CLIENT_TEMPLATE.FAT&amp;display_string=Audit&amp;VAR:KEY=VSLQTIPQXS&amp;VAR:QUERY=RkZfRUJJVERBX0lCKCdMVE1TJywzODU5OSk=&amp;WINDOW=FIRST_POPUP&amp;HEIGHT=450&amp;WIDTH=450&amp;START_MA","XIMIZED=FALSE&amp;VAR:CALENDAR=US&amp;VAR:SYMBOL=04916420&amp;VAR:INDEX=0"}</definedName>
    <definedName name="_10770__FDSAUDITLINK__" hidden="1">{"fdsup://directions/FAT Viewer?action=UPDATE&amp;creator=factset&amp;DYN_ARGS=TRUE&amp;DOC_NAME=FAT:FQL_AUDITING_CLIENT_TEMPLATE.FAT&amp;display_string=Audit&amp;VAR:KEY=VSLQTIPQXS&amp;VAR:QUERY=RkZfRUJJVERBX0lCKCdMVE1TJywzODU5OSk=&amp;WINDOW=FIRST_POPUP&amp;HEIGHT=450&amp;WIDTH=450&amp;START_MA","XIMIZED=FALSE&amp;VAR:CALENDAR=US&amp;VAR:SYMBOL=04916420&amp;VAR:INDEX=0"}</definedName>
    <definedName name="_10771__FDSAUDITLINK__" localSheetId="6" hidden="1">{"fdsup://directions/FAT Viewer?action=UPDATE&amp;creator=factset&amp;DYN_ARGS=TRUE&amp;DOC_NAME=FAT:FQL_AUDITING_CLIENT_TEMPLATE.FAT&amp;display_string=Audit&amp;VAR:KEY=BILQFYREZC&amp;VAR:QUERY=RkZfRUJJVERBX0lCKCdMVE1TJywzODU5OCk=&amp;WINDOW=FIRST_POPUP&amp;HEIGHT=450&amp;WIDTH=450&amp;START_MA","XIMIZED=FALSE&amp;VAR:CALENDAR=US&amp;VAR:SYMBOL=04916420&amp;VAR:INDEX=0"}</definedName>
    <definedName name="_10771__FDSAUDITLINK__" hidden="1">{"fdsup://directions/FAT Viewer?action=UPDATE&amp;creator=factset&amp;DYN_ARGS=TRUE&amp;DOC_NAME=FAT:FQL_AUDITING_CLIENT_TEMPLATE.FAT&amp;display_string=Audit&amp;VAR:KEY=BILQFYREZC&amp;VAR:QUERY=RkZfRUJJVERBX0lCKCdMVE1TJywzODU5OCk=&amp;WINDOW=FIRST_POPUP&amp;HEIGHT=450&amp;WIDTH=450&amp;START_MA","XIMIZED=FALSE&amp;VAR:CALENDAR=US&amp;VAR:SYMBOL=04916420&amp;VAR:INDEX=0"}</definedName>
    <definedName name="_10772__FDSAUDITLINK__" localSheetId="6" hidden="1">{"fdsup://directions/FAT Viewer?action=UPDATE&amp;creator=factset&amp;DYN_ARGS=TRUE&amp;DOC_NAME=FAT:FQL_AUDITING_CLIENT_TEMPLATE.FAT&amp;display_string=Audit&amp;VAR:KEY=VOHWVSVCLQ&amp;VAR:QUERY=RkZfRUJJVERBX0lCKCdMVE1TJywzODU5Nyk=&amp;WINDOW=FIRST_POPUP&amp;HEIGHT=450&amp;WIDTH=450&amp;START_MA","XIMIZED=FALSE&amp;VAR:CALENDAR=US&amp;VAR:SYMBOL=04916420&amp;VAR:INDEX=0"}</definedName>
    <definedName name="_10772__FDSAUDITLINK__" hidden="1">{"fdsup://directions/FAT Viewer?action=UPDATE&amp;creator=factset&amp;DYN_ARGS=TRUE&amp;DOC_NAME=FAT:FQL_AUDITING_CLIENT_TEMPLATE.FAT&amp;display_string=Audit&amp;VAR:KEY=VOHWVSVCLQ&amp;VAR:QUERY=RkZfRUJJVERBX0lCKCdMVE1TJywzODU5Nyk=&amp;WINDOW=FIRST_POPUP&amp;HEIGHT=450&amp;WIDTH=450&amp;START_MA","XIMIZED=FALSE&amp;VAR:CALENDAR=US&amp;VAR:SYMBOL=04916420&amp;VAR:INDEX=0"}</definedName>
    <definedName name="_10773__FDSAUDITLINK__" localSheetId="6" hidden="1">{"fdsup://directions/FAT Viewer?action=UPDATE&amp;creator=factset&amp;DYN_ARGS=TRUE&amp;DOC_NAME=FAT:FQL_AUDITING_CLIENT_TEMPLATE.FAT&amp;display_string=Audit&amp;VAR:KEY=ZSXEZUVKHM&amp;VAR:QUERY=RkZfRUJJVERBX0lCKCdMVE1TJywzODU5Nik=&amp;WINDOW=FIRST_POPUP&amp;HEIGHT=450&amp;WIDTH=450&amp;START_MA","XIMIZED=FALSE&amp;VAR:CALENDAR=US&amp;VAR:SYMBOL=04916420&amp;VAR:INDEX=0"}</definedName>
    <definedName name="_10773__FDSAUDITLINK__" hidden="1">{"fdsup://directions/FAT Viewer?action=UPDATE&amp;creator=factset&amp;DYN_ARGS=TRUE&amp;DOC_NAME=FAT:FQL_AUDITING_CLIENT_TEMPLATE.FAT&amp;display_string=Audit&amp;VAR:KEY=ZSXEZUVKHM&amp;VAR:QUERY=RkZfRUJJVERBX0lCKCdMVE1TJywzODU5Nik=&amp;WINDOW=FIRST_POPUP&amp;HEIGHT=450&amp;WIDTH=450&amp;START_MA","XIMIZED=FALSE&amp;VAR:CALENDAR=US&amp;VAR:SYMBOL=04916420&amp;VAR:INDEX=0"}</definedName>
    <definedName name="_10774__FDSAUDITLINK__" localSheetId="6" hidden="1">{"fdsup://directions/FAT Viewer?action=UPDATE&amp;creator=factset&amp;DYN_ARGS=TRUE&amp;DOC_NAME=FAT:FQL_AUDITING_CLIENT_TEMPLATE.FAT&amp;display_string=Audit&amp;VAR:KEY=ZWTSBCTAPE&amp;VAR:QUERY=RkZfRUJJVERBX0lCKCdMVE1TJywzODU5NSk=&amp;WINDOW=FIRST_POPUP&amp;HEIGHT=450&amp;WIDTH=450&amp;START_MA","XIMIZED=FALSE&amp;VAR:CALENDAR=US&amp;VAR:SYMBOL=04916420&amp;VAR:INDEX=0"}</definedName>
    <definedName name="_10774__FDSAUDITLINK__" hidden="1">{"fdsup://directions/FAT Viewer?action=UPDATE&amp;creator=factset&amp;DYN_ARGS=TRUE&amp;DOC_NAME=FAT:FQL_AUDITING_CLIENT_TEMPLATE.FAT&amp;display_string=Audit&amp;VAR:KEY=ZWTSBCTAPE&amp;VAR:QUERY=RkZfRUJJVERBX0lCKCdMVE1TJywzODU5NSk=&amp;WINDOW=FIRST_POPUP&amp;HEIGHT=450&amp;WIDTH=450&amp;START_MA","XIMIZED=FALSE&amp;VAR:CALENDAR=US&amp;VAR:SYMBOL=04916420&amp;VAR:INDEX=0"}</definedName>
    <definedName name="_10775__FDSAUDITLINK__" localSheetId="6" hidden="1">{"fdsup://directions/FAT Viewer?action=UPDATE&amp;creator=factset&amp;DYN_ARGS=TRUE&amp;DOC_NAME=FAT:FQL_AUDITING_CLIENT_TEMPLATE.FAT&amp;display_string=Audit&amp;VAR:KEY=LURMVUFQPC&amp;VAR:QUERY=RkZfRUJJVERBX0lCKCdMVE1TJywzODU5NCk=&amp;WINDOW=FIRST_POPUP&amp;HEIGHT=450&amp;WIDTH=450&amp;START_MA","XIMIZED=FALSE&amp;VAR:CALENDAR=US&amp;VAR:SYMBOL=04916420&amp;VAR:INDEX=0"}</definedName>
    <definedName name="_10775__FDSAUDITLINK__" hidden="1">{"fdsup://directions/FAT Viewer?action=UPDATE&amp;creator=factset&amp;DYN_ARGS=TRUE&amp;DOC_NAME=FAT:FQL_AUDITING_CLIENT_TEMPLATE.FAT&amp;display_string=Audit&amp;VAR:KEY=LURMVUFQPC&amp;VAR:QUERY=RkZfRUJJVERBX0lCKCdMVE1TJywzODU5NCk=&amp;WINDOW=FIRST_POPUP&amp;HEIGHT=450&amp;WIDTH=450&amp;START_MA","XIMIZED=FALSE&amp;VAR:CALENDAR=US&amp;VAR:SYMBOL=04916420&amp;VAR:INDEX=0"}</definedName>
    <definedName name="_10776__FDSAUDITLINK__" localSheetId="6" hidden="1">{"fdsup://directions/FAT Viewer?action=UPDATE&amp;creator=factset&amp;DYN_ARGS=TRUE&amp;DOC_NAME=FAT:FQL_AUDITING_CLIENT_TEMPLATE.FAT&amp;display_string=Audit&amp;VAR:KEY=BIJMXMXKLU&amp;VAR:QUERY=RkZfRUJJVERBX0lCKCdMVE1TJywzODU5Myk=&amp;WINDOW=FIRST_POPUP&amp;HEIGHT=450&amp;WIDTH=450&amp;START_MA","XIMIZED=FALSE&amp;VAR:CALENDAR=US&amp;VAR:SYMBOL=04916420&amp;VAR:INDEX=0"}</definedName>
    <definedName name="_10776__FDSAUDITLINK__" hidden="1">{"fdsup://directions/FAT Viewer?action=UPDATE&amp;creator=factset&amp;DYN_ARGS=TRUE&amp;DOC_NAME=FAT:FQL_AUDITING_CLIENT_TEMPLATE.FAT&amp;display_string=Audit&amp;VAR:KEY=BIJMXMXKLU&amp;VAR:QUERY=RkZfRUJJVERBX0lCKCdMVE1TJywzODU5Myk=&amp;WINDOW=FIRST_POPUP&amp;HEIGHT=450&amp;WIDTH=450&amp;START_MA","XIMIZED=FALSE&amp;VAR:CALENDAR=US&amp;VAR:SYMBOL=04916420&amp;VAR:INDEX=0"}</definedName>
    <definedName name="_10777__FDSAUDITLINK__" localSheetId="6" hidden="1">{"fdsup://directions/FAT Viewer?action=UPDATE&amp;creator=factset&amp;DYN_ARGS=TRUE&amp;DOC_NAME=FAT:FQL_AUDITING_CLIENT_TEMPLATE.FAT&amp;display_string=Audit&amp;VAR:KEY=XOZUFSJSXW&amp;VAR:QUERY=RkZfRUJJVERBX0lCKCdMVE1TJywzODU5Mik=&amp;WINDOW=FIRST_POPUP&amp;HEIGHT=450&amp;WIDTH=450&amp;START_MA","XIMIZED=FALSE&amp;VAR:CALENDAR=US&amp;VAR:SYMBOL=04916420&amp;VAR:INDEX=0"}</definedName>
    <definedName name="_10777__FDSAUDITLINK__" hidden="1">{"fdsup://directions/FAT Viewer?action=UPDATE&amp;creator=factset&amp;DYN_ARGS=TRUE&amp;DOC_NAME=FAT:FQL_AUDITING_CLIENT_TEMPLATE.FAT&amp;display_string=Audit&amp;VAR:KEY=XOZUFSJSXW&amp;VAR:QUERY=RkZfRUJJVERBX0lCKCdMVE1TJywzODU5Mik=&amp;WINDOW=FIRST_POPUP&amp;HEIGHT=450&amp;WIDTH=450&amp;START_MA","XIMIZED=FALSE&amp;VAR:CALENDAR=US&amp;VAR:SYMBOL=04916420&amp;VAR:INDEX=0"}</definedName>
    <definedName name="_10778__FDSAUDITLINK__" localSheetId="6" hidden="1">{"fdsup://directions/FAT Viewer?action=UPDATE&amp;creator=factset&amp;DYN_ARGS=TRUE&amp;DOC_NAME=FAT:FQL_AUDITING_CLIENT_TEMPLATE.FAT&amp;display_string=Audit&amp;VAR:KEY=DKHUTYVWVG&amp;VAR:QUERY=RkZfRUJJVERBX0lCKCdMVE1TJywzODU5MSk=&amp;WINDOW=FIRST_POPUP&amp;HEIGHT=450&amp;WIDTH=450&amp;START_MA","XIMIZED=FALSE&amp;VAR:CALENDAR=US&amp;VAR:SYMBOL=04916420&amp;VAR:INDEX=0"}</definedName>
    <definedName name="_10778__FDSAUDITLINK__" hidden="1">{"fdsup://directions/FAT Viewer?action=UPDATE&amp;creator=factset&amp;DYN_ARGS=TRUE&amp;DOC_NAME=FAT:FQL_AUDITING_CLIENT_TEMPLATE.FAT&amp;display_string=Audit&amp;VAR:KEY=DKHUTYVWVG&amp;VAR:QUERY=RkZfRUJJVERBX0lCKCdMVE1TJywzODU5MSk=&amp;WINDOW=FIRST_POPUP&amp;HEIGHT=450&amp;WIDTH=450&amp;START_MA","XIMIZED=FALSE&amp;VAR:CALENDAR=US&amp;VAR:SYMBOL=04916420&amp;VAR:INDEX=0"}</definedName>
    <definedName name="_10779__FDSAUDITLINK__" localSheetId="6" hidden="1">{"fdsup://directions/FAT Viewer?action=UPDATE&amp;creator=factset&amp;DYN_ARGS=TRUE&amp;DOC_NAME=FAT:FQL_AUDITING_CLIENT_TEMPLATE.FAT&amp;display_string=Audit&amp;VAR:KEY=FUJQHYLIFC&amp;VAR:QUERY=RkZfRUJJVERBX0lCKCdMVE1TJywzODU5MCk=&amp;WINDOW=FIRST_POPUP&amp;HEIGHT=450&amp;WIDTH=450&amp;START_MA","XIMIZED=FALSE&amp;VAR:CALENDAR=US&amp;VAR:SYMBOL=04916420&amp;VAR:INDEX=0"}</definedName>
    <definedName name="_10779__FDSAUDITLINK__" hidden="1">{"fdsup://directions/FAT Viewer?action=UPDATE&amp;creator=factset&amp;DYN_ARGS=TRUE&amp;DOC_NAME=FAT:FQL_AUDITING_CLIENT_TEMPLATE.FAT&amp;display_string=Audit&amp;VAR:KEY=FUJQHYLIFC&amp;VAR:QUERY=RkZfRUJJVERBX0lCKCdMVE1TJywzODU5MCk=&amp;WINDOW=FIRST_POPUP&amp;HEIGHT=450&amp;WIDTH=450&amp;START_MA","XIMIZED=FALSE&amp;VAR:CALENDAR=US&amp;VAR:SYMBOL=04916420&amp;VAR:INDEX=0"}</definedName>
    <definedName name="_1078__FDSAUDITLINK__" localSheetId="6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8__FDSAUDITLINK__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80__FDSAUDITLINK__" localSheetId="6" hidden="1">{"fdsup://directions/FAT Viewer?action=UPDATE&amp;creator=factset&amp;DYN_ARGS=TRUE&amp;DOC_NAME=FAT:FQL_AUDITING_CLIENT_TEMPLATE.FAT&amp;display_string=Audit&amp;VAR:KEY=XCNELYROZQ&amp;VAR:QUERY=RkZfRUJJVERBX0lCKCdMVE1TJywzODU4OSk=&amp;WINDOW=FIRST_POPUP&amp;HEIGHT=450&amp;WIDTH=450&amp;START_MA","XIMIZED=FALSE&amp;VAR:CALENDAR=US&amp;VAR:SYMBOL=04916420&amp;VAR:INDEX=0"}</definedName>
    <definedName name="_10780__FDSAUDITLINK__" hidden="1">{"fdsup://directions/FAT Viewer?action=UPDATE&amp;creator=factset&amp;DYN_ARGS=TRUE&amp;DOC_NAME=FAT:FQL_AUDITING_CLIENT_TEMPLATE.FAT&amp;display_string=Audit&amp;VAR:KEY=XCNELYROZQ&amp;VAR:QUERY=RkZfRUJJVERBX0lCKCdMVE1TJywzODU4OSk=&amp;WINDOW=FIRST_POPUP&amp;HEIGHT=450&amp;WIDTH=450&amp;START_MA","XIMIZED=FALSE&amp;VAR:CALENDAR=US&amp;VAR:SYMBOL=04916420&amp;VAR:INDEX=0"}</definedName>
    <definedName name="_10781__FDSAUDITLINK__" localSheetId="6" hidden="1">{"fdsup://directions/FAT Viewer?action=UPDATE&amp;creator=factset&amp;DYN_ARGS=TRUE&amp;DOC_NAME=FAT:FQL_AUDITING_CLIENT_TEMPLATE.FAT&amp;display_string=Audit&amp;VAR:KEY=JGZCZQXEVW&amp;VAR:QUERY=RkZfRUJJVERBX0lCKCdMVE1TJywzODU4OCk=&amp;WINDOW=FIRST_POPUP&amp;HEIGHT=450&amp;WIDTH=450&amp;START_MA","XIMIZED=FALSE&amp;VAR:CALENDAR=US&amp;VAR:SYMBOL=04916420&amp;VAR:INDEX=0"}</definedName>
    <definedName name="_10781__FDSAUDITLINK__" hidden="1">{"fdsup://directions/FAT Viewer?action=UPDATE&amp;creator=factset&amp;DYN_ARGS=TRUE&amp;DOC_NAME=FAT:FQL_AUDITING_CLIENT_TEMPLATE.FAT&amp;display_string=Audit&amp;VAR:KEY=JGZCZQXEVW&amp;VAR:QUERY=RkZfRUJJVERBX0lCKCdMVE1TJywzODU4OCk=&amp;WINDOW=FIRST_POPUP&amp;HEIGHT=450&amp;WIDTH=450&amp;START_MA","XIMIZED=FALSE&amp;VAR:CALENDAR=US&amp;VAR:SYMBOL=04916420&amp;VAR:INDEX=0"}</definedName>
    <definedName name="_10782__FDSAUDITLINK__" localSheetId="6" hidden="1">{"fdsup://directions/FAT Viewer?action=UPDATE&amp;creator=factset&amp;DYN_ARGS=TRUE&amp;DOC_NAME=FAT:FQL_AUDITING_CLIENT_TEMPLATE.FAT&amp;display_string=Audit&amp;VAR:KEY=PABORWXOLC&amp;VAR:QUERY=RkZfRUJJVERBX0lCKCdMVE1TJywzODU4Nyk=&amp;WINDOW=FIRST_POPUP&amp;HEIGHT=450&amp;WIDTH=450&amp;START_MA","XIMIZED=FALSE&amp;VAR:CALENDAR=US&amp;VAR:SYMBOL=04916420&amp;VAR:INDEX=0"}</definedName>
    <definedName name="_10782__FDSAUDITLINK__" hidden="1">{"fdsup://directions/FAT Viewer?action=UPDATE&amp;creator=factset&amp;DYN_ARGS=TRUE&amp;DOC_NAME=FAT:FQL_AUDITING_CLIENT_TEMPLATE.FAT&amp;display_string=Audit&amp;VAR:KEY=PABORWXOLC&amp;VAR:QUERY=RkZfRUJJVERBX0lCKCdMVE1TJywzODU4Nyk=&amp;WINDOW=FIRST_POPUP&amp;HEIGHT=450&amp;WIDTH=450&amp;START_MA","XIMIZED=FALSE&amp;VAR:CALENDAR=US&amp;VAR:SYMBOL=04916420&amp;VAR:INDEX=0"}</definedName>
    <definedName name="_10783__FDSAUDITLINK__" localSheetId="6" hidden="1">{"fdsup://directions/FAT Viewer?action=UPDATE&amp;creator=factset&amp;DYN_ARGS=TRUE&amp;DOC_NAME=FAT:FQL_AUDITING_CLIENT_TEMPLATE.FAT&amp;display_string=Audit&amp;VAR:KEY=ZAPQZSBWJK&amp;VAR:QUERY=RkZfRUJJVERBX0lCKCdMVE1TJywzODU4Nik=&amp;WINDOW=FIRST_POPUP&amp;HEIGHT=450&amp;WIDTH=450&amp;START_MA","XIMIZED=FALSE&amp;VAR:CALENDAR=US&amp;VAR:SYMBOL=04916420&amp;VAR:INDEX=0"}</definedName>
    <definedName name="_10783__FDSAUDITLINK__" hidden="1">{"fdsup://directions/FAT Viewer?action=UPDATE&amp;creator=factset&amp;DYN_ARGS=TRUE&amp;DOC_NAME=FAT:FQL_AUDITING_CLIENT_TEMPLATE.FAT&amp;display_string=Audit&amp;VAR:KEY=ZAPQZSBWJK&amp;VAR:QUERY=RkZfRUJJVERBX0lCKCdMVE1TJywzODU4Nik=&amp;WINDOW=FIRST_POPUP&amp;HEIGHT=450&amp;WIDTH=450&amp;START_MA","XIMIZED=FALSE&amp;VAR:CALENDAR=US&amp;VAR:SYMBOL=04916420&amp;VAR:INDEX=0"}</definedName>
    <definedName name="_10784__FDSAUDITLINK__" localSheetId="6" hidden="1">{"fdsup://directions/FAT Viewer?action=UPDATE&amp;creator=factset&amp;DYN_ARGS=TRUE&amp;DOC_NAME=FAT:FQL_AUDITING_CLIENT_TEMPLATE.FAT&amp;display_string=Audit&amp;VAR:KEY=XMXYXATMDA&amp;VAR:QUERY=RkZfRUJJVERBX0lCKCdMVE1TJywzODU4NSk=&amp;WINDOW=FIRST_POPUP&amp;HEIGHT=450&amp;WIDTH=450&amp;START_MA","XIMIZED=FALSE&amp;VAR:CALENDAR=US&amp;VAR:SYMBOL=04916420&amp;VAR:INDEX=0"}</definedName>
    <definedName name="_10784__FDSAUDITLINK__" hidden="1">{"fdsup://directions/FAT Viewer?action=UPDATE&amp;creator=factset&amp;DYN_ARGS=TRUE&amp;DOC_NAME=FAT:FQL_AUDITING_CLIENT_TEMPLATE.FAT&amp;display_string=Audit&amp;VAR:KEY=XMXYXATMDA&amp;VAR:QUERY=RkZfRUJJVERBX0lCKCdMVE1TJywzODU4NSk=&amp;WINDOW=FIRST_POPUP&amp;HEIGHT=450&amp;WIDTH=450&amp;START_MA","XIMIZED=FALSE&amp;VAR:CALENDAR=US&amp;VAR:SYMBOL=04916420&amp;VAR:INDEX=0"}</definedName>
    <definedName name="_10785__FDSAUDITLINK__" localSheetId="6" hidden="1">{"fdsup://directions/FAT Viewer?action=UPDATE&amp;creator=factset&amp;DYN_ARGS=TRUE&amp;DOC_NAME=FAT:FQL_AUDITING_CLIENT_TEMPLATE.FAT&amp;display_string=Audit&amp;VAR:KEY=ZSFGFENMHW&amp;VAR:QUERY=RkZfRUJJVERBX0lCKCdMVE1TJywzODU4NCk=&amp;WINDOW=FIRST_POPUP&amp;HEIGHT=450&amp;WIDTH=450&amp;START_MA","XIMIZED=FALSE&amp;VAR:CALENDAR=US&amp;VAR:SYMBOL=04916420&amp;VAR:INDEX=0"}</definedName>
    <definedName name="_10785__FDSAUDITLINK__" hidden="1">{"fdsup://directions/FAT Viewer?action=UPDATE&amp;creator=factset&amp;DYN_ARGS=TRUE&amp;DOC_NAME=FAT:FQL_AUDITING_CLIENT_TEMPLATE.FAT&amp;display_string=Audit&amp;VAR:KEY=ZSFGFENMHW&amp;VAR:QUERY=RkZfRUJJVERBX0lCKCdMVE1TJywzODU4NCk=&amp;WINDOW=FIRST_POPUP&amp;HEIGHT=450&amp;WIDTH=450&amp;START_MA","XIMIZED=FALSE&amp;VAR:CALENDAR=US&amp;VAR:SYMBOL=04916420&amp;VAR:INDEX=0"}</definedName>
    <definedName name="_10786__FDSAUDITLINK__" localSheetId="6" hidden="1">{"fdsup://directions/FAT Viewer?action=UPDATE&amp;creator=factset&amp;DYN_ARGS=TRUE&amp;DOC_NAME=FAT:FQL_AUDITING_CLIENT_TEMPLATE.FAT&amp;display_string=Audit&amp;VAR:KEY=VURIZSDCDI&amp;VAR:QUERY=RkZfRUJJVERBX0lCKCdMVE1TJywzODU4Myk=&amp;WINDOW=FIRST_POPUP&amp;HEIGHT=450&amp;WIDTH=450&amp;START_MA","XIMIZED=FALSE&amp;VAR:CALENDAR=US&amp;VAR:SYMBOL=04916420&amp;VAR:INDEX=0"}</definedName>
    <definedName name="_10786__FDSAUDITLINK__" hidden="1">{"fdsup://directions/FAT Viewer?action=UPDATE&amp;creator=factset&amp;DYN_ARGS=TRUE&amp;DOC_NAME=FAT:FQL_AUDITING_CLIENT_TEMPLATE.FAT&amp;display_string=Audit&amp;VAR:KEY=VURIZSDCDI&amp;VAR:QUERY=RkZfRUJJVERBX0lCKCdMVE1TJywzODU4Myk=&amp;WINDOW=FIRST_POPUP&amp;HEIGHT=450&amp;WIDTH=450&amp;START_MA","XIMIZED=FALSE&amp;VAR:CALENDAR=US&amp;VAR:SYMBOL=04916420&amp;VAR:INDEX=0"}</definedName>
    <definedName name="_10787__FDSAUDITLINK__" localSheetId="6" hidden="1">{"fdsup://directions/FAT Viewer?action=UPDATE&amp;creator=factset&amp;DYN_ARGS=TRUE&amp;DOC_NAME=FAT:FQL_AUDITING_CLIENT_TEMPLATE.FAT&amp;display_string=Audit&amp;VAR:KEY=NGXWNURARC&amp;VAR:QUERY=RkZfRUJJVERBX0lCKCdMVE1TJywzODU4Mik=&amp;WINDOW=FIRST_POPUP&amp;HEIGHT=450&amp;WIDTH=450&amp;START_MA","XIMIZED=FALSE&amp;VAR:CALENDAR=US&amp;VAR:SYMBOL=04916420&amp;VAR:INDEX=0"}</definedName>
    <definedName name="_10787__FDSAUDITLINK__" hidden="1">{"fdsup://directions/FAT Viewer?action=UPDATE&amp;creator=factset&amp;DYN_ARGS=TRUE&amp;DOC_NAME=FAT:FQL_AUDITING_CLIENT_TEMPLATE.FAT&amp;display_string=Audit&amp;VAR:KEY=NGXWNURARC&amp;VAR:QUERY=RkZfRUJJVERBX0lCKCdMVE1TJywzODU4Mik=&amp;WINDOW=FIRST_POPUP&amp;HEIGHT=450&amp;WIDTH=450&amp;START_MA","XIMIZED=FALSE&amp;VAR:CALENDAR=US&amp;VAR:SYMBOL=04916420&amp;VAR:INDEX=0"}</definedName>
    <definedName name="_10788__FDSAUDITLINK__" localSheetId="6" hidden="1">{"fdsup://directions/FAT Viewer?action=UPDATE&amp;creator=factset&amp;DYN_ARGS=TRUE&amp;DOC_NAME=FAT:FQL_AUDITING_CLIENT_TEMPLATE.FAT&amp;display_string=Audit&amp;VAR:KEY=DYHEBQXGHU&amp;VAR:QUERY=RkZfRUJJVERBX0lCKCdMVE1TJywzODU4MSk=&amp;WINDOW=FIRST_POPUP&amp;HEIGHT=450&amp;WIDTH=450&amp;START_MA","XIMIZED=FALSE&amp;VAR:CALENDAR=US&amp;VAR:SYMBOL=04916420&amp;VAR:INDEX=0"}</definedName>
    <definedName name="_10788__FDSAUDITLINK__" hidden="1">{"fdsup://directions/FAT Viewer?action=UPDATE&amp;creator=factset&amp;DYN_ARGS=TRUE&amp;DOC_NAME=FAT:FQL_AUDITING_CLIENT_TEMPLATE.FAT&amp;display_string=Audit&amp;VAR:KEY=DYHEBQXGHU&amp;VAR:QUERY=RkZfRUJJVERBX0lCKCdMVE1TJywzODU4MSk=&amp;WINDOW=FIRST_POPUP&amp;HEIGHT=450&amp;WIDTH=450&amp;START_MA","XIMIZED=FALSE&amp;VAR:CALENDAR=US&amp;VAR:SYMBOL=04916420&amp;VAR:INDEX=0"}</definedName>
    <definedName name="_10789__FDSAUDITLINK__" localSheetId="6" hidden="1">{"fdsup://directions/FAT Viewer?action=UPDATE&amp;creator=factset&amp;DYN_ARGS=TRUE&amp;DOC_NAME=FAT:FQL_AUDITING_CLIENT_TEMPLATE.FAT&amp;display_string=Audit&amp;VAR:KEY=RQDEBAFOHG&amp;VAR:QUERY=RkZfRUJJVERBX0lCKCdMVE1TJywzODU4MCk=&amp;WINDOW=FIRST_POPUP&amp;HEIGHT=450&amp;WIDTH=450&amp;START_MA","XIMIZED=FALSE&amp;VAR:CALENDAR=US&amp;VAR:SYMBOL=04916420&amp;VAR:INDEX=0"}</definedName>
    <definedName name="_10789__FDSAUDITLINK__" hidden="1">{"fdsup://directions/FAT Viewer?action=UPDATE&amp;creator=factset&amp;DYN_ARGS=TRUE&amp;DOC_NAME=FAT:FQL_AUDITING_CLIENT_TEMPLATE.FAT&amp;display_string=Audit&amp;VAR:KEY=RQDEBAFOHG&amp;VAR:QUERY=RkZfRUJJVERBX0lCKCdMVE1TJywzODU4MCk=&amp;WINDOW=FIRST_POPUP&amp;HEIGHT=450&amp;WIDTH=450&amp;START_MA","XIMIZED=FALSE&amp;VAR:CALENDAR=US&amp;VAR:SYMBOL=04916420&amp;VAR:INDEX=0"}</definedName>
    <definedName name="_1079__FDSAUDITLINK__" localSheetId="6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9__FDSAUDITLINK__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790__FDSAUDITLINK__" localSheetId="6" hidden="1">{"fdsup://directions/FAT Viewer?action=UPDATE&amp;creator=factset&amp;DYN_ARGS=TRUE&amp;DOC_NAME=FAT:FQL_AUDITING_CLIENT_TEMPLATE.FAT&amp;display_string=Audit&amp;VAR:KEY=ZYRKVKZYHW&amp;VAR:QUERY=RkZfRUJJVERBX0lCKCdMVE1TJywzODU3OSk=&amp;WINDOW=FIRST_POPUP&amp;HEIGHT=450&amp;WIDTH=450&amp;START_MA","XIMIZED=FALSE&amp;VAR:CALENDAR=US&amp;VAR:SYMBOL=04916420&amp;VAR:INDEX=0"}</definedName>
    <definedName name="_10790__FDSAUDITLINK__" hidden="1">{"fdsup://directions/FAT Viewer?action=UPDATE&amp;creator=factset&amp;DYN_ARGS=TRUE&amp;DOC_NAME=FAT:FQL_AUDITING_CLIENT_TEMPLATE.FAT&amp;display_string=Audit&amp;VAR:KEY=ZYRKVKZYHW&amp;VAR:QUERY=RkZfRUJJVERBX0lCKCdMVE1TJywzODU3OSk=&amp;WINDOW=FIRST_POPUP&amp;HEIGHT=450&amp;WIDTH=450&amp;START_MA","XIMIZED=FALSE&amp;VAR:CALENDAR=US&amp;VAR:SYMBOL=04916420&amp;VAR:INDEX=0"}</definedName>
    <definedName name="_10791__FDSAUDITLINK__" localSheetId="6" hidden="1">{"fdsup://directions/FAT Viewer?action=UPDATE&amp;creator=factset&amp;DYN_ARGS=TRUE&amp;DOC_NAME=FAT:FQL_AUDITING_CLIENT_TEMPLATE.FAT&amp;display_string=Audit&amp;VAR:KEY=NMLMVIPMXO&amp;VAR:QUERY=RkZfRUJJVERBX0lCKCdMVE1TJywzODU3OCk=&amp;WINDOW=FIRST_POPUP&amp;HEIGHT=450&amp;WIDTH=450&amp;START_MA","XIMIZED=FALSE&amp;VAR:CALENDAR=US&amp;VAR:SYMBOL=04916420&amp;VAR:INDEX=0"}</definedName>
    <definedName name="_10791__FDSAUDITLINK__" hidden="1">{"fdsup://directions/FAT Viewer?action=UPDATE&amp;creator=factset&amp;DYN_ARGS=TRUE&amp;DOC_NAME=FAT:FQL_AUDITING_CLIENT_TEMPLATE.FAT&amp;display_string=Audit&amp;VAR:KEY=NMLMVIPMXO&amp;VAR:QUERY=RkZfRUJJVERBX0lCKCdMVE1TJywzODU3OCk=&amp;WINDOW=FIRST_POPUP&amp;HEIGHT=450&amp;WIDTH=450&amp;START_MA","XIMIZED=FALSE&amp;VAR:CALENDAR=US&amp;VAR:SYMBOL=04916420&amp;VAR:INDEX=0"}</definedName>
    <definedName name="_10792__FDSAUDITLINK__" localSheetId="6" hidden="1">{"fdsup://directions/FAT Viewer?action=UPDATE&amp;creator=factset&amp;DYN_ARGS=TRUE&amp;DOC_NAME=FAT:FQL_AUDITING_CLIENT_TEMPLATE.FAT&amp;display_string=Audit&amp;VAR:KEY=BATYNATIJE&amp;VAR:QUERY=RkZfRUJJVERBX0lCKCdMVE1TJywzODU3Nyk=&amp;WINDOW=FIRST_POPUP&amp;HEIGHT=450&amp;WIDTH=450&amp;START_MA","XIMIZED=FALSE&amp;VAR:CALENDAR=US&amp;VAR:SYMBOL=04916420&amp;VAR:INDEX=0"}</definedName>
    <definedName name="_10792__FDSAUDITLINK__" hidden="1">{"fdsup://directions/FAT Viewer?action=UPDATE&amp;creator=factset&amp;DYN_ARGS=TRUE&amp;DOC_NAME=FAT:FQL_AUDITING_CLIENT_TEMPLATE.FAT&amp;display_string=Audit&amp;VAR:KEY=BATYNATIJE&amp;VAR:QUERY=RkZfRUJJVERBX0lCKCdMVE1TJywzODU3Nyk=&amp;WINDOW=FIRST_POPUP&amp;HEIGHT=450&amp;WIDTH=450&amp;START_MA","XIMIZED=FALSE&amp;VAR:CALENDAR=US&amp;VAR:SYMBOL=04916420&amp;VAR:INDEX=0"}</definedName>
    <definedName name="_10793__FDSAUDITLINK__" localSheetId="6" hidden="1">{"fdsup://directions/FAT Viewer?action=UPDATE&amp;creator=factset&amp;DYN_ARGS=TRUE&amp;DOC_NAME=FAT:FQL_AUDITING_CLIENT_TEMPLATE.FAT&amp;display_string=Audit&amp;VAR:KEY=BANUZAZKPG&amp;VAR:QUERY=RkZfRUJJVERBX0lCKCdMVE1TJywzODU3Nik=&amp;WINDOW=FIRST_POPUP&amp;HEIGHT=450&amp;WIDTH=450&amp;START_MA","XIMIZED=FALSE&amp;VAR:CALENDAR=US&amp;VAR:SYMBOL=04916420&amp;VAR:INDEX=0"}</definedName>
    <definedName name="_10793__FDSAUDITLINK__" hidden="1">{"fdsup://directions/FAT Viewer?action=UPDATE&amp;creator=factset&amp;DYN_ARGS=TRUE&amp;DOC_NAME=FAT:FQL_AUDITING_CLIENT_TEMPLATE.FAT&amp;display_string=Audit&amp;VAR:KEY=BANUZAZKPG&amp;VAR:QUERY=RkZfRUJJVERBX0lCKCdMVE1TJywzODU3Nik=&amp;WINDOW=FIRST_POPUP&amp;HEIGHT=450&amp;WIDTH=450&amp;START_MA","XIMIZED=FALSE&amp;VAR:CALENDAR=US&amp;VAR:SYMBOL=04916420&amp;VAR:INDEX=0"}</definedName>
    <definedName name="_10794__FDSAUDITLINK__" localSheetId="6" hidden="1">{"fdsup://directions/FAT Viewer?action=UPDATE&amp;creator=factset&amp;DYN_ARGS=TRUE&amp;DOC_NAME=FAT:FQL_AUDITING_CLIENT_TEMPLATE.FAT&amp;display_string=Audit&amp;VAR:KEY=HOXSFQHAVO&amp;VAR:QUERY=RkZfRUJJVERBX0lCKCdMVE1TJywzODU3NSk=&amp;WINDOW=FIRST_POPUP&amp;HEIGHT=450&amp;WIDTH=450&amp;START_MA","XIMIZED=FALSE&amp;VAR:CALENDAR=US&amp;VAR:SYMBOL=04916420&amp;VAR:INDEX=0"}</definedName>
    <definedName name="_10794__FDSAUDITLINK__" hidden="1">{"fdsup://directions/FAT Viewer?action=UPDATE&amp;creator=factset&amp;DYN_ARGS=TRUE&amp;DOC_NAME=FAT:FQL_AUDITING_CLIENT_TEMPLATE.FAT&amp;display_string=Audit&amp;VAR:KEY=HOXSFQHAVO&amp;VAR:QUERY=RkZfRUJJVERBX0lCKCdMVE1TJywzODU3NSk=&amp;WINDOW=FIRST_POPUP&amp;HEIGHT=450&amp;WIDTH=450&amp;START_MA","XIMIZED=FALSE&amp;VAR:CALENDAR=US&amp;VAR:SYMBOL=04916420&amp;VAR:INDEX=0"}</definedName>
    <definedName name="_10795__FDSAUDITLINK__" localSheetId="6" hidden="1">{"fdsup://directions/FAT Viewer?action=UPDATE&amp;creator=factset&amp;DYN_ARGS=TRUE&amp;DOC_NAME=FAT:FQL_AUDITING_CLIENT_TEMPLATE.FAT&amp;display_string=Audit&amp;VAR:KEY=VWPOJGLGPA&amp;VAR:QUERY=RkZfRUJJVERBX0lCKCdMVE1TJywzODU3NCk=&amp;WINDOW=FIRST_POPUP&amp;HEIGHT=450&amp;WIDTH=450&amp;START_MA","XIMIZED=FALSE&amp;VAR:CALENDAR=US&amp;VAR:SYMBOL=04916420&amp;VAR:INDEX=0"}</definedName>
    <definedName name="_10795__FDSAUDITLINK__" hidden="1">{"fdsup://directions/FAT Viewer?action=UPDATE&amp;creator=factset&amp;DYN_ARGS=TRUE&amp;DOC_NAME=FAT:FQL_AUDITING_CLIENT_TEMPLATE.FAT&amp;display_string=Audit&amp;VAR:KEY=VWPOJGLGPA&amp;VAR:QUERY=RkZfRUJJVERBX0lCKCdMVE1TJywzODU3NCk=&amp;WINDOW=FIRST_POPUP&amp;HEIGHT=450&amp;WIDTH=450&amp;START_MA","XIMIZED=FALSE&amp;VAR:CALENDAR=US&amp;VAR:SYMBOL=04916420&amp;VAR:INDEX=0"}</definedName>
    <definedName name="_10796__FDSAUDITLINK__" localSheetId="6" hidden="1">{"fdsup://directions/FAT Viewer?action=UPDATE&amp;creator=factset&amp;DYN_ARGS=TRUE&amp;DOC_NAME=FAT:FQL_AUDITING_CLIENT_TEMPLATE.FAT&amp;display_string=Audit&amp;VAR:KEY=NYZQNUPKNK&amp;VAR:QUERY=RkZfRUJJVERBX0lCKCdMVE1TJywzODU3Myk=&amp;WINDOW=FIRST_POPUP&amp;HEIGHT=450&amp;WIDTH=450&amp;START_MA","XIMIZED=FALSE&amp;VAR:CALENDAR=US&amp;VAR:SYMBOL=04916420&amp;VAR:INDEX=0"}</definedName>
    <definedName name="_10796__FDSAUDITLINK__" hidden="1">{"fdsup://directions/FAT Viewer?action=UPDATE&amp;creator=factset&amp;DYN_ARGS=TRUE&amp;DOC_NAME=FAT:FQL_AUDITING_CLIENT_TEMPLATE.FAT&amp;display_string=Audit&amp;VAR:KEY=NYZQNUPKNK&amp;VAR:QUERY=RkZfRUJJVERBX0lCKCdMVE1TJywzODU3Myk=&amp;WINDOW=FIRST_POPUP&amp;HEIGHT=450&amp;WIDTH=450&amp;START_MA","XIMIZED=FALSE&amp;VAR:CALENDAR=US&amp;VAR:SYMBOL=04916420&amp;VAR:INDEX=0"}</definedName>
    <definedName name="_10797__FDSAUDITLINK__" localSheetId="6" hidden="1">{"fdsup://directions/FAT Viewer?action=UPDATE&amp;creator=factset&amp;DYN_ARGS=TRUE&amp;DOC_NAME=FAT:FQL_AUDITING_CLIENT_TEMPLATE.FAT&amp;display_string=Audit&amp;VAR:KEY=XSNWNANINY&amp;VAR:QUERY=RkZfRUJJVERBX0lCKCdMVE1TJywzODU3Mik=&amp;WINDOW=FIRST_POPUP&amp;HEIGHT=450&amp;WIDTH=450&amp;START_MA","XIMIZED=FALSE&amp;VAR:CALENDAR=US&amp;VAR:SYMBOL=04916420&amp;VAR:INDEX=0"}</definedName>
    <definedName name="_10797__FDSAUDITLINK__" hidden="1">{"fdsup://directions/FAT Viewer?action=UPDATE&amp;creator=factset&amp;DYN_ARGS=TRUE&amp;DOC_NAME=FAT:FQL_AUDITING_CLIENT_TEMPLATE.FAT&amp;display_string=Audit&amp;VAR:KEY=XSNWNANINY&amp;VAR:QUERY=RkZfRUJJVERBX0lCKCdMVE1TJywzODU3Mik=&amp;WINDOW=FIRST_POPUP&amp;HEIGHT=450&amp;WIDTH=450&amp;START_MA","XIMIZED=FALSE&amp;VAR:CALENDAR=US&amp;VAR:SYMBOL=04916420&amp;VAR:INDEX=0"}</definedName>
    <definedName name="_10798__FDSAUDITLINK__" localSheetId="6" hidden="1">{"fdsup://directions/FAT Viewer?action=UPDATE&amp;creator=factset&amp;DYN_ARGS=TRUE&amp;DOC_NAME=FAT:FQL_AUDITING_CLIENT_TEMPLATE.FAT&amp;display_string=Audit&amp;VAR:KEY=BYTMPIFMRC&amp;VAR:QUERY=RkZfRUJJVERBX0lCKCdMVE1TJywzODU3MSk=&amp;WINDOW=FIRST_POPUP&amp;HEIGHT=450&amp;WIDTH=450&amp;START_MA","XIMIZED=FALSE&amp;VAR:CALENDAR=US&amp;VAR:SYMBOL=04916420&amp;VAR:INDEX=0"}</definedName>
    <definedName name="_10798__FDSAUDITLINK__" hidden="1">{"fdsup://directions/FAT Viewer?action=UPDATE&amp;creator=factset&amp;DYN_ARGS=TRUE&amp;DOC_NAME=FAT:FQL_AUDITING_CLIENT_TEMPLATE.FAT&amp;display_string=Audit&amp;VAR:KEY=BYTMPIFMRC&amp;VAR:QUERY=RkZfRUJJVERBX0lCKCdMVE1TJywzODU3MSk=&amp;WINDOW=FIRST_POPUP&amp;HEIGHT=450&amp;WIDTH=450&amp;START_MA","XIMIZED=FALSE&amp;VAR:CALENDAR=US&amp;VAR:SYMBOL=04916420&amp;VAR:INDEX=0"}</definedName>
    <definedName name="_10799__FDSAUDITLINK__" localSheetId="6" hidden="1">{"fdsup://directions/FAT Viewer?action=UPDATE&amp;creator=factset&amp;DYN_ARGS=TRUE&amp;DOC_NAME=FAT:FQL_AUDITING_CLIENT_TEMPLATE.FAT&amp;display_string=Audit&amp;VAR:KEY=NMVCTKHKTO&amp;VAR:QUERY=RkZfRUJJVERBX0lCKCdMVE1TJywzODU3MCk=&amp;WINDOW=FIRST_POPUP&amp;HEIGHT=450&amp;WIDTH=450&amp;START_MA","XIMIZED=FALSE&amp;VAR:CALENDAR=US&amp;VAR:SYMBOL=04916420&amp;VAR:INDEX=0"}</definedName>
    <definedName name="_10799__FDSAUDITLINK__" hidden="1">{"fdsup://directions/FAT Viewer?action=UPDATE&amp;creator=factset&amp;DYN_ARGS=TRUE&amp;DOC_NAME=FAT:FQL_AUDITING_CLIENT_TEMPLATE.FAT&amp;display_string=Audit&amp;VAR:KEY=NMVCTKHKTO&amp;VAR:QUERY=RkZfRUJJVERBX0lCKCdMVE1TJywzODU3MCk=&amp;WINDOW=FIRST_POPUP&amp;HEIGHT=450&amp;WIDTH=450&amp;START_MA","XIMIZED=FALSE&amp;VAR:CALENDAR=US&amp;VAR:SYMBOL=04916420&amp;VAR:INDEX=0"}</definedName>
    <definedName name="_108__FDSAUDITLINK__" localSheetId="6" hidden="1">{"fdsup://directions/FAT Viewer?action=UPDATE&amp;creator=factset&amp;DYN_ARGS=TRUE&amp;DOC_NAME=FAT:FQL_AUDITING_CLIENT_TEMPLATE.FAT&amp;display_string=Audit&amp;VAR:KEY=QJOLOPGHWH&amp;VAR:QUERY=QVZHKENTRl9ORVRfSU5DKEFOTiwwRlksLTZGWSxZKSkvKEFWRyhDU0ZfQVNTRVRTKEFOTiwwRlksLTZGWSxGW","SkpLUFWRyhDU0ZfSU5UQU5HKEFOTiwwLC02RlksRlkpKSk=&amp;WINDOW=FIRST_POPUP&amp;HEIGHT=450&amp;WIDTH=450&amp;START_MAXIMIZED=FALSE&amp;VAR:CALENDAR=US&amp;VAR:SYMBOL=12477X10"}</definedName>
    <definedName name="_108__FDSAUDITLINK__" hidden="1">{"fdsup://directions/FAT Viewer?action=UPDATE&amp;creator=factset&amp;DYN_ARGS=TRUE&amp;DOC_NAME=FAT:FQL_AUDITING_CLIENT_TEMPLATE.FAT&amp;display_string=Audit&amp;VAR:KEY=QJOLOPGHWH&amp;VAR:QUERY=QVZHKENTRl9ORVRfSU5DKEFOTiwwRlksLTZGWSxZKSkvKEFWRyhDU0ZfQVNTRVRTKEFOTiwwRlksLTZGWSxGW","SkpLUFWRyhDU0ZfSU5UQU5HKEFOTiwwLC02RlksRlkpKSk=&amp;WINDOW=FIRST_POPUP&amp;HEIGHT=450&amp;WIDTH=450&amp;START_MAXIMIZED=FALSE&amp;VAR:CALENDAR=US&amp;VAR:SYMBOL=12477X10"}</definedName>
    <definedName name="_1080__FDSAUDITLINK__" localSheetId="6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0__FDSAUDITLINK__" hidden="1">{"fdsup://directions/FAT%20Viewer?VAR:PED=LTM&amp;VAR:AUDIT_MODE=SUMMARY&amp;VAR:PERIOD=FIXED&amp;VAR:AUDIT_ID=00000117&amp;VAR:DATE=20070309&amp;action=UPDATE&amp;creator=factset&amp;DOC_NAME=FAT:FMA_audit_SUMMARY.fat&amp;DISPLAY_STRING=Display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00__FDSAUDITLINK__" localSheetId="6" hidden="1">{"fdsup://directions/FAT Viewer?action=UPDATE&amp;creator=factset&amp;DYN_ARGS=TRUE&amp;DOC_NAME=FAT:FQL_AUDITING_CLIENT_TEMPLATE.FAT&amp;display_string=Audit&amp;VAR:KEY=DYZYVKXINE&amp;VAR:QUERY=RkZfRUJJVERBX0lCKCdMVE1TJywzODU2OSk=&amp;WINDOW=FIRST_POPUP&amp;HEIGHT=450&amp;WIDTH=450&amp;START_MA","XIMIZED=FALSE&amp;VAR:CALENDAR=US&amp;VAR:SYMBOL=04916420&amp;VAR:INDEX=0"}</definedName>
    <definedName name="_10800__FDSAUDITLINK__" hidden="1">{"fdsup://directions/FAT Viewer?action=UPDATE&amp;creator=factset&amp;DYN_ARGS=TRUE&amp;DOC_NAME=FAT:FQL_AUDITING_CLIENT_TEMPLATE.FAT&amp;display_string=Audit&amp;VAR:KEY=DYZYVKXINE&amp;VAR:QUERY=RkZfRUJJVERBX0lCKCdMVE1TJywzODU2OSk=&amp;WINDOW=FIRST_POPUP&amp;HEIGHT=450&amp;WIDTH=450&amp;START_MA","XIMIZED=FALSE&amp;VAR:CALENDAR=US&amp;VAR:SYMBOL=04916420&amp;VAR:INDEX=0"}</definedName>
    <definedName name="_10801__FDSAUDITLINK__" localSheetId="6" hidden="1">{"fdsup://directions/FAT Viewer?action=UPDATE&amp;creator=factset&amp;DYN_ARGS=TRUE&amp;DOC_NAME=FAT:FQL_AUDITING_CLIENT_TEMPLATE.FAT&amp;display_string=Audit&amp;VAR:KEY=BKRYPQLGBU&amp;VAR:QUERY=RkZfRUJJVERBX0lCKCdMVE1TJywzODU2OCk=&amp;WINDOW=FIRST_POPUP&amp;HEIGHT=450&amp;WIDTH=450&amp;START_MA","XIMIZED=FALSE&amp;VAR:CALENDAR=US&amp;VAR:SYMBOL=04916420&amp;VAR:INDEX=0"}</definedName>
    <definedName name="_10801__FDSAUDITLINK__" hidden="1">{"fdsup://directions/FAT Viewer?action=UPDATE&amp;creator=factset&amp;DYN_ARGS=TRUE&amp;DOC_NAME=FAT:FQL_AUDITING_CLIENT_TEMPLATE.FAT&amp;display_string=Audit&amp;VAR:KEY=BKRYPQLGBU&amp;VAR:QUERY=RkZfRUJJVERBX0lCKCdMVE1TJywzODU2OCk=&amp;WINDOW=FIRST_POPUP&amp;HEIGHT=450&amp;WIDTH=450&amp;START_MA","XIMIZED=FALSE&amp;VAR:CALENDAR=US&amp;VAR:SYMBOL=04916420&amp;VAR:INDEX=0"}</definedName>
    <definedName name="_10802__FDSAUDITLINK__" localSheetId="6" hidden="1">{"fdsup://directions/FAT Viewer?action=UPDATE&amp;creator=factset&amp;DYN_ARGS=TRUE&amp;DOC_NAME=FAT:FQL_AUDITING_CLIENT_TEMPLATE.FAT&amp;display_string=Audit&amp;VAR:KEY=TGFURGXMXW&amp;VAR:QUERY=RkZfRUJJVERBX0lCKCdMVE1TJywzODU2Nyk=&amp;WINDOW=FIRST_POPUP&amp;HEIGHT=450&amp;WIDTH=450&amp;START_MA","XIMIZED=FALSE&amp;VAR:CALENDAR=US&amp;VAR:SYMBOL=04916420&amp;VAR:INDEX=0"}</definedName>
    <definedName name="_10802__FDSAUDITLINK__" hidden="1">{"fdsup://directions/FAT Viewer?action=UPDATE&amp;creator=factset&amp;DYN_ARGS=TRUE&amp;DOC_NAME=FAT:FQL_AUDITING_CLIENT_TEMPLATE.FAT&amp;display_string=Audit&amp;VAR:KEY=TGFURGXMXW&amp;VAR:QUERY=RkZfRUJJVERBX0lCKCdMVE1TJywzODU2Nyk=&amp;WINDOW=FIRST_POPUP&amp;HEIGHT=450&amp;WIDTH=450&amp;START_MA","XIMIZED=FALSE&amp;VAR:CALENDAR=US&amp;VAR:SYMBOL=04916420&amp;VAR:INDEX=0"}</definedName>
    <definedName name="_10803__FDSAUDITLINK__" localSheetId="6" hidden="1">{"fdsup://directions/FAT Viewer?action=UPDATE&amp;creator=factset&amp;DYN_ARGS=TRUE&amp;DOC_NAME=FAT:FQL_AUDITING_CLIENT_TEMPLATE.FAT&amp;display_string=Audit&amp;VAR:KEY=LGBWBQHSFM&amp;VAR:QUERY=RkZfRUJJVERBX0lCKCdMVE1TJywzODU2Nik=&amp;WINDOW=FIRST_POPUP&amp;HEIGHT=450&amp;WIDTH=450&amp;START_MA","XIMIZED=FALSE&amp;VAR:CALENDAR=US&amp;VAR:SYMBOL=04916420&amp;VAR:INDEX=0"}</definedName>
    <definedName name="_10803__FDSAUDITLINK__" hidden="1">{"fdsup://directions/FAT Viewer?action=UPDATE&amp;creator=factset&amp;DYN_ARGS=TRUE&amp;DOC_NAME=FAT:FQL_AUDITING_CLIENT_TEMPLATE.FAT&amp;display_string=Audit&amp;VAR:KEY=LGBWBQHSFM&amp;VAR:QUERY=RkZfRUJJVERBX0lCKCdMVE1TJywzODU2Nik=&amp;WINDOW=FIRST_POPUP&amp;HEIGHT=450&amp;WIDTH=450&amp;START_MA","XIMIZED=FALSE&amp;VAR:CALENDAR=US&amp;VAR:SYMBOL=04916420&amp;VAR:INDEX=0"}</definedName>
    <definedName name="_10804__FDSAUDITLINK__" localSheetId="6" hidden="1">{"fdsup://directions/FAT Viewer?action=UPDATE&amp;creator=factset&amp;DYN_ARGS=TRUE&amp;DOC_NAME=FAT:FQL_AUDITING_CLIENT_TEMPLATE.FAT&amp;display_string=Audit&amp;VAR:KEY=HODQLWBGJM&amp;VAR:QUERY=RkZfRUJJVERBX0lCKCdMVE1TJywzODU2NSk=&amp;WINDOW=FIRST_POPUP&amp;HEIGHT=450&amp;WIDTH=450&amp;START_MA","XIMIZED=FALSE&amp;VAR:CALENDAR=US&amp;VAR:SYMBOL=04916420&amp;VAR:INDEX=0"}</definedName>
    <definedName name="_10804__FDSAUDITLINK__" hidden="1">{"fdsup://directions/FAT Viewer?action=UPDATE&amp;creator=factset&amp;DYN_ARGS=TRUE&amp;DOC_NAME=FAT:FQL_AUDITING_CLIENT_TEMPLATE.FAT&amp;display_string=Audit&amp;VAR:KEY=HODQLWBGJM&amp;VAR:QUERY=RkZfRUJJVERBX0lCKCdMVE1TJywzODU2NSk=&amp;WINDOW=FIRST_POPUP&amp;HEIGHT=450&amp;WIDTH=450&amp;START_MA","XIMIZED=FALSE&amp;VAR:CALENDAR=US&amp;VAR:SYMBOL=04916420&amp;VAR:INDEX=0"}</definedName>
    <definedName name="_10805__FDSAUDITLINK__" localSheetId="6" hidden="1">{"fdsup://directions/FAT Viewer?action=UPDATE&amp;creator=factset&amp;DYN_ARGS=TRUE&amp;DOC_NAME=FAT:FQL_AUDITING_CLIENT_TEMPLATE.FAT&amp;display_string=Audit&amp;VAR:KEY=HGFIJUHAHE&amp;VAR:QUERY=RkZfRUJJVERBX0lCKCdMVE1TJywzODU2NCk=&amp;WINDOW=FIRST_POPUP&amp;HEIGHT=450&amp;WIDTH=450&amp;START_MA","XIMIZED=FALSE&amp;VAR:CALENDAR=US&amp;VAR:SYMBOL=04916420&amp;VAR:INDEX=0"}</definedName>
    <definedName name="_10805__FDSAUDITLINK__" hidden="1">{"fdsup://directions/FAT Viewer?action=UPDATE&amp;creator=factset&amp;DYN_ARGS=TRUE&amp;DOC_NAME=FAT:FQL_AUDITING_CLIENT_TEMPLATE.FAT&amp;display_string=Audit&amp;VAR:KEY=HGFIJUHAHE&amp;VAR:QUERY=RkZfRUJJVERBX0lCKCdMVE1TJywzODU2NCk=&amp;WINDOW=FIRST_POPUP&amp;HEIGHT=450&amp;WIDTH=450&amp;START_MA","XIMIZED=FALSE&amp;VAR:CALENDAR=US&amp;VAR:SYMBOL=04916420&amp;VAR:INDEX=0"}</definedName>
    <definedName name="_10806__FDSAUDITLINK__" localSheetId="6" hidden="1">{"fdsup://directions/FAT Viewer?action=UPDATE&amp;creator=factset&amp;DYN_ARGS=TRUE&amp;DOC_NAME=FAT:FQL_AUDITING_CLIENT_TEMPLATE.FAT&amp;display_string=Audit&amp;VAR:KEY=ZKDKROJKPS&amp;VAR:QUERY=RkZfRUJJVERBX0lCKCdMVE1TJywzODU2Myk=&amp;WINDOW=FIRST_POPUP&amp;HEIGHT=450&amp;WIDTH=450&amp;START_MA","XIMIZED=FALSE&amp;VAR:CALENDAR=US&amp;VAR:SYMBOL=04916420&amp;VAR:INDEX=0"}</definedName>
    <definedName name="_10806__FDSAUDITLINK__" hidden="1">{"fdsup://directions/FAT Viewer?action=UPDATE&amp;creator=factset&amp;DYN_ARGS=TRUE&amp;DOC_NAME=FAT:FQL_AUDITING_CLIENT_TEMPLATE.FAT&amp;display_string=Audit&amp;VAR:KEY=ZKDKROJKPS&amp;VAR:QUERY=RkZfRUJJVERBX0lCKCdMVE1TJywzODU2Myk=&amp;WINDOW=FIRST_POPUP&amp;HEIGHT=450&amp;WIDTH=450&amp;START_MA","XIMIZED=FALSE&amp;VAR:CALENDAR=US&amp;VAR:SYMBOL=04916420&amp;VAR:INDEX=0"}</definedName>
    <definedName name="_10807__FDSAUDITLINK__" localSheetId="6" hidden="1">{"fdsup://directions/FAT Viewer?action=UPDATE&amp;creator=factset&amp;DYN_ARGS=TRUE&amp;DOC_NAME=FAT:FQL_AUDITING_CLIENT_TEMPLATE.FAT&amp;display_string=Audit&amp;VAR:KEY=NOJYVOHKFY&amp;VAR:QUERY=RkZfRUJJVERBX0lCKCdMVE1TJywzODU2Mik=&amp;WINDOW=FIRST_POPUP&amp;HEIGHT=450&amp;WIDTH=450&amp;START_MA","XIMIZED=FALSE&amp;VAR:CALENDAR=US&amp;VAR:SYMBOL=04916420&amp;VAR:INDEX=0"}</definedName>
    <definedName name="_10807__FDSAUDITLINK__" hidden="1">{"fdsup://directions/FAT Viewer?action=UPDATE&amp;creator=factset&amp;DYN_ARGS=TRUE&amp;DOC_NAME=FAT:FQL_AUDITING_CLIENT_TEMPLATE.FAT&amp;display_string=Audit&amp;VAR:KEY=NOJYVOHKFY&amp;VAR:QUERY=RkZfRUJJVERBX0lCKCdMVE1TJywzODU2Mik=&amp;WINDOW=FIRST_POPUP&amp;HEIGHT=450&amp;WIDTH=450&amp;START_MA","XIMIZED=FALSE&amp;VAR:CALENDAR=US&amp;VAR:SYMBOL=04916420&amp;VAR:INDEX=0"}</definedName>
    <definedName name="_10808__FDSAUDITLINK__" localSheetId="6" hidden="1">{"fdsup://directions/FAT Viewer?action=UPDATE&amp;creator=factset&amp;DYN_ARGS=TRUE&amp;DOC_NAME=FAT:FQL_AUDITING_CLIENT_TEMPLATE.FAT&amp;display_string=Audit&amp;VAR:KEY=DYLWJGHQPE&amp;VAR:QUERY=RkZfRUJJVERBX0lCKCdMVE1TJywzODU2MSk=&amp;WINDOW=FIRST_POPUP&amp;HEIGHT=450&amp;WIDTH=450&amp;START_MA","XIMIZED=FALSE&amp;VAR:CALENDAR=US&amp;VAR:SYMBOL=04916420&amp;VAR:INDEX=0"}</definedName>
    <definedName name="_10808__FDSAUDITLINK__" hidden="1">{"fdsup://directions/FAT Viewer?action=UPDATE&amp;creator=factset&amp;DYN_ARGS=TRUE&amp;DOC_NAME=FAT:FQL_AUDITING_CLIENT_TEMPLATE.FAT&amp;display_string=Audit&amp;VAR:KEY=DYLWJGHQPE&amp;VAR:QUERY=RkZfRUJJVERBX0lCKCdMVE1TJywzODU2MSk=&amp;WINDOW=FIRST_POPUP&amp;HEIGHT=450&amp;WIDTH=450&amp;START_MA","XIMIZED=FALSE&amp;VAR:CALENDAR=US&amp;VAR:SYMBOL=04916420&amp;VAR:INDEX=0"}</definedName>
    <definedName name="_10809__FDSAUDITLINK__" localSheetId="6" hidden="1">{"fdsup://directions/FAT Viewer?action=UPDATE&amp;creator=factset&amp;DYN_ARGS=TRUE&amp;DOC_NAME=FAT:FQL_AUDITING_CLIENT_TEMPLATE.FAT&amp;display_string=Audit&amp;VAR:KEY=NKLKFIJQXW&amp;VAR:QUERY=RkZfRUJJVERBX0lCKCdMVE1TJywzODU2MCk=&amp;WINDOW=FIRST_POPUP&amp;HEIGHT=450&amp;WIDTH=450&amp;START_MA","XIMIZED=FALSE&amp;VAR:CALENDAR=US&amp;VAR:SYMBOL=04916420&amp;VAR:INDEX=0"}</definedName>
    <definedName name="_10809__FDSAUDITLINK__" hidden="1">{"fdsup://directions/FAT Viewer?action=UPDATE&amp;creator=factset&amp;DYN_ARGS=TRUE&amp;DOC_NAME=FAT:FQL_AUDITING_CLIENT_TEMPLATE.FAT&amp;display_string=Audit&amp;VAR:KEY=NKLKFIJQXW&amp;VAR:QUERY=RkZfRUJJVERBX0lCKCdMVE1TJywzODU2MCk=&amp;WINDOW=FIRST_POPUP&amp;HEIGHT=450&amp;WIDTH=450&amp;START_MA","XIMIZED=FALSE&amp;VAR:CALENDAR=US&amp;VAR:SYMBOL=04916420&amp;VAR:INDEX=0"}</definedName>
    <definedName name="_1081__FDSAUDITLINK__" localSheetId="6" hidden="1">{"fdsup://directions/FAT%20Viewer?VAR:PED=LTM&amp;VAR:AUDIT_MODE=SUMMARY&amp;VAR:PERIOD=FIXED&amp;VAR:AUDIT_ID=00000117&amp;VAR:DATE=20070308&amp;action=UPDATE&amp;creator=factset&amp;DOC_NAME=FAT:FMA_audit_SUMMARY.fat&amp;DISPLAY_STRING=Display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1__FDSAUDITLINK__" hidden="1">{"fdsup://directions/FAT%20Viewer?VAR:PED=LTM&amp;VAR:AUDIT_MODE=SUMMARY&amp;VAR:PERIOD=FIXED&amp;VAR:AUDIT_ID=00000117&amp;VAR:DATE=20070308&amp;action=UPDATE&amp;creator=factset&amp;DOC_NAME=FAT:FMA_audit_SUMMARY.fat&amp;DISPLAY_STRING=Display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10__FDSAUDITLINK__" localSheetId="6" hidden="1">{"fdsup://directions/FAT Viewer?action=UPDATE&amp;creator=factset&amp;DYN_ARGS=TRUE&amp;DOC_NAME=FAT:FQL_AUDITING_CLIENT_TEMPLATE.FAT&amp;display_string=Audit&amp;VAR:KEY=NSPKTURYPC&amp;VAR:QUERY=RkZfRUJJVERBX0lCKCdMVE1TJywzODU1OSk=&amp;WINDOW=FIRST_POPUP&amp;HEIGHT=450&amp;WIDTH=450&amp;START_MA","XIMIZED=FALSE&amp;VAR:CALENDAR=US&amp;VAR:SYMBOL=04916420&amp;VAR:INDEX=0"}</definedName>
    <definedName name="_10810__FDSAUDITLINK__" hidden="1">{"fdsup://directions/FAT Viewer?action=UPDATE&amp;creator=factset&amp;DYN_ARGS=TRUE&amp;DOC_NAME=FAT:FQL_AUDITING_CLIENT_TEMPLATE.FAT&amp;display_string=Audit&amp;VAR:KEY=NSPKTURYPC&amp;VAR:QUERY=RkZfRUJJVERBX0lCKCdMVE1TJywzODU1OSk=&amp;WINDOW=FIRST_POPUP&amp;HEIGHT=450&amp;WIDTH=450&amp;START_MA","XIMIZED=FALSE&amp;VAR:CALENDAR=US&amp;VAR:SYMBOL=04916420&amp;VAR:INDEX=0"}</definedName>
    <definedName name="_10811__FDSAUDITLINK__" localSheetId="6" hidden="1">{"fdsup://directions/FAT Viewer?action=UPDATE&amp;creator=factset&amp;DYN_ARGS=TRUE&amp;DOC_NAME=FAT:FQL_AUDITING_CLIENT_TEMPLATE.FAT&amp;display_string=Audit&amp;VAR:KEY=LQDUHIJYJI&amp;VAR:QUERY=RkZfRUJJVERBX0lCKCdMVE1TJywzODU1OCk=&amp;WINDOW=FIRST_POPUP&amp;HEIGHT=450&amp;WIDTH=450&amp;START_MA","XIMIZED=FALSE&amp;VAR:CALENDAR=US&amp;VAR:SYMBOL=04916420&amp;VAR:INDEX=0"}</definedName>
    <definedName name="_10811__FDSAUDITLINK__" hidden="1">{"fdsup://directions/FAT Viewer?action=UPDATE&amp;creator=factset&amp;DYN_ARGS=TRUE&amp;DOC_NAME=FAT:FQL_AUDITING_CLIENT_TEMPLATE.FAT&amp;display_string=Audit&amp;VAR:KEY=LQDUHIJYJI&amp;VAR:QUERY=RkZfRUJJVERBX0lCKCdMVE1TJywzODU1OCk=&amp;WINDOW=FIRST_POPUP&amp;HEIGHT=450&amp;WIDTH=450&amp;START_MA","XIMIZED=FALSE&amp;VAR:CALENDAR=US&amp;VAR:SYMBOL=04916420&amp;VAR:INDEX=0"}</definedName>
    <definedName name="_10812__FDSAUDITLINK__" localSheetId="6" hidden="1">{"fdsup://directions/FAT Viewer?action=UPDATE&amp;creator=factset&amp;DYN_ARGS=TRUE&amp;DOC_NAME=FAT:FQL_AUDITING_CLIENT_TEMPLATE.FAT&amp;display_string=Audit&amp;VAR:KEY=JYVUDCHGJI&amp;VAR:QUERY=RkZfRUJJVERBX0lCKCdMVE1TJywzODU1Nyk=&amp;WINDOW=FIRST_POPUP&amp;HEIGHT=450&amp;WIDTH=450&amp;START_MA","XIMIZED=FALSE&amp;VAR:CALENDAR=US&amp;VAR:SYMBOL=04916420&amp;VAR:INDEX=0"}</definedName>
    <definedName name="_10812__FDSAUDITLINK__" hidden="1">{"fdsup://directions/FAT Viewer?action=UPDATE&amp;creator=factset&amp;DYN_ARGS=TRUE&amp;DOC_NAME=FAT:FQL_AUDITING_CLIENT_TEMPLATE.FAT&amp;display_string=Audit&amp;VAR:KEY=JYVUDCHGJI&amp;VAR:QUERY=RkZfRUJJVERBX0lCKCdMVE1TJywzODU1Nyk=&amp;WINDOW=FIRST_POPUP&amp;HEIGHT=450&amp;WIDTH=450&amp;START_MA","XIMIZED=FALSE&amp;VAR:CALENDAR=US&amp;VAR:SYMBOL=04916420&amp;VAR:INDEX=0"}</definedName>
    <definedName name="_10813__FDSAUDITLINK__" localSheetId="6" hidden="1">{"fdsup://directions/FAT Viewer?action=UPDATE&amp;creator=factset&amp;DYN_ARGS=TRUE&amp;DOC_NAME=FAT:FQL_AUDITING_CLIENT_TEMPLATE.FAT&amp;display_string=Audit&amp;VAR:KEY=XMNOHEDAXM&amp;VAR:QUERY=RkZfRUJJVERBX0lCKCdMVE1TJywzODU1Nik=&amp;WINDOW=FIRST_POPUP&amp;HEIGHT=450&amp;WIDTH=450&amp;START_MA","XIMIZED=FALSE&amp;VAR:CALENDAR=US&amp;VAR:SYMBOL=04916420&amp;VAR:INDEX=0"}</definedName>
    <definedName name="_10813__FDSAUDITLINK__" hidden="1">{"fdsup://directions/FAT Viewer?action=UPDATE&amp;creator=factset&amp;DYN_ARGS=TRUE&amp;DOC_NAME=FAT:FQL_AUDITING_CLIENT_TEMPLATE.FAT&amp;display_string=Audit&amp;VAR:KEY=XMNOHEDAXM&amp;VAR:QUERY=RkZfRUJJVERBX0lCKCdMVE1TJywzODU1Nik=&amp;WINDOW=FIRST_POPUP&amp;HEIGHT=450&amp;WIDTH=450&amp;START_MA","XIMIZED=FALSE&amp;VAR:CALENDAR=US&amp;VAR:SYMBOL=04916420&amp;VAR:INDEX=0"}</definedName>
    <definedName name="_10814__FDSAUDITLINK__" localSheetId="6" hidden="1">{"fdsup://directions/FAT Viewer?action=UPDATE&amp;creator=factset&amp;DYN_ARGS=TRUE&amp;DOC_NAME=FAT:FQL_AUDITING_CLIENT_TEMPLATE.FAT&amp;display_string=Audit&amp;VAR:KEY=HQDAFWVQPE&amp;VAR:QUERY=RkZfRUJJVERBX0lCKCdMVE1TJywzODU1NSk=&amp;WINDOW=FIRST_POPUP&amp;HEIGHT=450&amp;WIDTH=450&amp;START_MA","XIMIZED=FALSE&amp;VAR:CALENDAR=US&amp;VAR:SYMBOL=04916420&amp;VAR:INDEX=0"}</definedName>
    <definedName name="_10814__FDSAUDITLINK__" hidden="1">{"fdsup://directions/FAT Viewer?action=UPDATE&amp;creator=factset&amp;DYN_ARGS=TRUE&amp;DOC_NAME=FAT:FQL_AUDITING_CLIENT_TEMPLATE.FAT&amp;display_string=Audit&amp;VAR:KEY=HQDAFWVQPE&amp;VAR:QUERY=RkZfRUJJVERBX0lCKCdMVE1TJywzODU1NSk=&amp;WINDOW=FIRST_POPUP&amp;HEIGHT=450&amp;WIDTH=450&amp;START_MA","XIMIZED=FALSE&amp;VAR:CALENDAR=US&amp;VAR:SYMBOL=04916420&amp;VAR:INDEX=0"}</definedName>
    <definedName name="_10815__FDSAUDITLINK__" localSheetId="6" hidden="1">{"fdsup://directions/FAT Viewer?action=UPDATE&amp;creator=factset&amp;DYN_ARGS=TRUE&amp;DOC_NAME=FAT:FQL_AUDITING_CLIENT_TEMPLATE.FAT&amp;display_string=Audit&amp;VAR:KEY=LWHWDSJAVK&amp;VAR:QUERY=RkZfRUJJVERBX0lCKCdMVE1TJywzODU1NCk=&amp;WINDOW=FIRST_POPUP&amp;HEIGHT=450&amp;WIDTH=450&amp;START_MA","XIMIZED=FALSE&amp;VAR:CALENDAR=US&amp;VAR:SYMBOL=04916420&amp;VAR:INDEX=0"}</definedName>
    <definedName name="_10815__FDSAUDITLINK__" hidden="1">{"fdsup://directions/FAT Viewer?action=UPDATE&amp;creator=factset&amp;DYN_ARGS=TRUE&amp;DOC_NAME=FAT:FQL_AUDITING_CLIENT_TEMPLATE.FAT&amp;display_string=Audit&amp;VAR:KEY=LWHWDSJAVK&amp;VAR:QUERY=RkZfRUJJVERBX0lCKCdMVE1TJywzODU1NCk=&amp;WINDOW=FIRST_POPUP&amp;HEIGHT=450&amp;WIDTH=450&amp;START_MA","XIMIZED=FALSE&amp;VAR:CALENDAR=US&amp;VAR:SYMBOL=04916420&amp;VAR:INDEX=0"}</definedName>
    <definedName name="_10816__FDSAUDITLINK__" localSheetId="6" hidden="1">{"fdsup://directions/FAT Viewer?action=UPDATE&amp;creator=factset&amp;DYN_ARGS=TRUE&amp;DOC_NAME=FAT:FQL_AUDITING_CLIENT_TEMPLATE.FAT&amp;display_string=Audit&amp;VAR:KEY=XELWBKFURA&amp;VAR:QUERY=RkZfRUJJVERBX0lCKCdMVE1TJywzODU1Myk=&amp;WINDOW=FIRST_POPUP&amp;HEIGHT=450&amp;WIDTH=450&amp;START_MA","XIMIZED=FALSE&amp;VAR:CALENDAR=US&amp;VAR:SYMBOL=04916420&amp;VAR:INDEX=0"}</definedName>
    <definedName name="_10816__FDSAUDITLINK__" hidden="1">{"fdsup://directions/FAT Viewer?action=UPDATE&amp;creator=factset&amp;DYN_ARGS=TRUE&amp;DOC_NAME=FAT:FQL_AUDITING_CLIENT_TEMPLATE.FAT&amp;display_string=Audit&amp;VAR:KEY=XELWBKFURA&amp;VAR:QUERY=RkZfRUJJVERBX0lCKCdMVE1TJywzODU1Myk=&amp;WINDOW=FIRST_POPUP&amp;HEIGHT=450&amp;WIDTH=450&amp;START_MA","XIMIZED=FALSE&amp;VAR:CALENDAR=US&amp;VAR:SYMBOL=04916420&amp;VAR:INDEX=0"}</definedName>
    <definedName name="_10817__FDSAUDITLINK__" localSheetId="6" hidden="1">{"fdsup://directions/FAT Viewer?action=UPDATE&amp;creator=factset&amp;DYN_ARGS=TRUE&amp;DOC_NAME=FAT:FQL_AUDITING_CLIENT_TEMPLATE.FAT&amp;display_string=Audit&amp;VAR:KEY=BYFENALUPK&amp;VAR:QUERY=RkZfRUJJVERBX0lCKCdMVE1TJywzODU1Mik=&amp;WINDOW=FIRST_POPUP&amp;HEIGHT=450&amp;WIDTH=450&amp;START_MA","XIMIZED=FALSE&amp;VAR:CALENDAR=US&amp;VAR:SYMBOL=04916420&amp;VAR:INDEX=0"}</definedName>
    <definedName name="_10817__FDSAUDITLINK__" hidden="1">{"fdsup://directions/FAT Viewer?action=UPDATE&amp;creator=factset&amp;DYN_ARGS=TRUE&amp;DOC_NAME=FAT:FQL_AUDITING_CLIENT_TEMPLATE.FAT&amp;display_string=Audit&amp;VAR:KEY=BYFENALUPK&amp;VAR:QUERY=RkZfRUJJVERBX0lCKCdMVE1TJywzODU1Mik=&amp;WINDOW=FIRST_POPUP&amp;HEIGHT=450&amp;WIDTH=450&amp;START_MA","XIMIZED=FALSE&amp;VAR:CALENDAR=US&amp;VAR:SYMBOL=04916420&amp;VAR:INDEX=0"}</definedName>
    <definedName name="_10818__FDSAUDITLINK__" localSheetId="6" hidden="1">{"fdsup://directions/FAT Viewer?action=UPDATE&amp;creator=factset&amp;DYN_ARGS=TRUE&amp;DOC_NAME=FAT:FQL_AUDITING_CLIENT_TEMPLATE.FAT&amp;display_string=Audit&amp;VAR:KEY=XQVONUTWJC&amp;VAR:QUERY=RkZfRUJJVERBX0lCKCdMVE1TJywzODU1MSk=&amp;WINDOW=FIRST_POPUP&amp;HEIGHT=450&amp;WIDTH=450&amp;START_MA","XIMIZED=FALSE&amp;VAR:CALENDAR=US&amp;VAR:SYMBOL=04916420&amp;VAR:INDEX=0"}</definedName>
    <definedName name="_10818__FDSAUDITLINK__" hidden="1">{"fdsup://directions/FAT Viewer?action=UPDATE&amp;creator=factset&amp;DYN_ARGS=TRUE&amp;DOC_NAME=FAT:FQL_AUDITING_CLIENT_TEMPLATE.FAT&amp;display_string=Audit&amp;VAR:KEY=XQVONUTWJC&amp;VAR:QUERY=RkZfRUJJVERBX0lCKCdMVE1TJywzODU1MSk=&amp;WINDOW=FIRST_POPUP&amp;HEIGHT=450&amp;WIDTH=450&amp;START_MA","XIMIZED=FALSE&amp;VAR:CALENDAR=US&amp;VAR:SYMBOL=04916420&amp;VAR:INDEX=0"}</definedName>
    <definedName name="_10819__FDSAUDITLINK__" localSheetId="6" hidden="1">{"fdsup://directions/FAT Viewer?action=UPDATE&amp;creator=factset&amp;DYN_ARGS=TRUE&amp;DOC_NAME=FAT:FQL_AUDITING_CLIENT_TEMPLATE.FAT&amp;display_string=Audit&amp;VAR:KEY=ZGLALQZANO&amp;VAR:QUERY=RkZfRUJJVERBX0lCKCdMVE1TJywzODU1MCk=&amp;WINDOW=FIRST_POPUP&amp;HEIGHT=450&amp;WIDTH=450&amp;START_MA","XIMIZED=FALSE&amp;VAR:CALENDAR=US&amp;VAR:SYMBOL=04916420&amp;VAR:INDEX=0"}</definedName>
    <definedName name="_10819__FDSAUDITLINK__" hidden="1">{"fdsup://directions/FAT Viewer?action=UPDATE&amp;creator=factset&amp;DYN_ARGS=TRUE&amp;DOC_NAME=FAT:FQL_AUDITING_CLIENT_TEMPLATE.FAT&amp;display_string=Audit&amp;VAR:KEY=ZGLALQZANO&amp;VAR:QUERY=RkZfRUJJVERBX0lCKCdMVE1TJywzODU1MCk=&amp;WINDOW=FIRST_POPUP&amp;HEIGHT=450&amp;WIDTH=450&amp;START_MA","XIMIZED=FALSE&amp;VAR:CALENDAR=US&amp;VAR:SYMBOL=04916420&amp;VAR:INDEX=0"}</definedName>
    <definedName name="_1082__FDSAUDITLINK__" localSheetId="6" hidden="1">{"fdsup://directions/FAT%20Viewer?VAR:PED=LTM&amp;VAR:AUDIT_MODE=SUMMARY&amp;VAR:PERIOD=FIXED&amp;VAR:AUDIT_ID=00000117&amp;VAR:DATE=20070307&amp;action=UPDATE&amp;creator=factset&amp;DOC_NAME=FAT:FMA_audit_SUMMARY.fat&amp;DISPLAY_STRING=Display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2__FDSAUDITLINK__" hidden="1">{"fdsup://directions/FAT%20Viewer?VAR:PED=LTM&amp;VAR:AUDIT_MODE=SUMMARY&amp;VAR:PERIOD=FIXED&amp;VAR:AUDIT_ID=00000117&amp;VAR:DATE=20070307&amp;action=UPDATE&amp;creator=factset&amp;DOC_NAME=FAT:FMA_audit_SUMMARY.fat&amp;DISPLAY_STRING=Display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20__FDSAUDITLINK__" localSheetId="6" hidden="1">{"fdsup://directions/FAT Viewer?action=UPDATE&amp;creator=factset&amp;DYN_ARGS=TRUE&amp;DOC_NAME=FAT:FQL_AUDITING_CLIENT_TEMPLATE.FAT&amp;display_string=Audit&amp;VAR:KEY=NMHWNCLODU&amp;VAR:QUERY=RkZfRUJJVERBX0lCKCdMVE1TJywzODU0OSk=&amp;WINDOW=FIRST_POPUP&amp;HEIGHT=450&amp;WIDTH=450&amp;START_MA","XIMIZED=FALSE&amp;VAR:CALENDAR=US&amp;VAR:SYMBOL=04916420&amp;VAR:INDEX=0"}</definedName>
    <definedName name="_10820__FDSAUDITLINK__" hidden="1">{"fdsup://directions/FAT Viewer?action=UPDATE&amp;creator=factset&amp;DYN_ARGS=TRUE&amp;DOC_NAME=FAT:FQL_AUDITING_CLIENT_TEMPLATE.FAT&amp;display_string=Audit&amp;VAR:KEY=NMHWNCLODU&amp;VAR:QUERY=RkZfRUJJVERBX0lCKCdMVE1TJywzODU0OSk=&amp;WINDOW=FIRST_POPUP&amp;HEIGHT=450&amp;WIDTH=450&amp;START_MA","XIMIZED=FALSE&amp;VAR:CALENDAR=US&amp;VAR:SYMBOL=04916420&amp;VAR:INDEX=0"}</definedName>
    <definedName name="_10821__FDSAUDITLINK__" localSheetId="6" hidden="1">{"fdsup://directions/FAT Viewer?action=UPDATE&amp;creator=factset&amp;DYN_ARGS=TRUE&amp;DOC_NAME=FAT:FQL_AUDITING_CLIENT_TEMPLATE.FAT&amp;display_string=Audit&amp;VAR:KEY=FEDIPUDITC&amp;VAR:QUERY=RkZfRUJJVERBX0lCKCdMVE1TJywzODU0OCk=&amp;WINDOW=FIRST_POPUP&amp;HEIGHT=450&amp;WIDTH=450&amp;START_MA","XIMIZED=FALSE&amp;VAR:CALENDAR=US&amp;VAR:SYMBOL=04916420&amp;VAR:INDEX=0"}</definedName>
    <definedName name="_10821__FDSAUDITLINK__" hidden="1">{"fdsup://directions/FAT Viewer?action=UPDATE&amp;creator=factset&amp;DYN_ARGS=TRUE&amp;DOC_NAME=FAT:FQL_AUDITING_CLIENT_TEMPLATE.FAT&amp;display_string=Audit&amp;VAR:KEY=FEDIPUDITC&amp;VAR:QUERY=RkZfRUJJVERBX0lCKCdMVE1TJywzODU0OCk=&amp;WINDOW=FIRST_POPUP&amp;HEIGHT=450&amp;WIDTH=450&amp;START_MA","XIMIZED=FALSE&amp;VAR:CALENDAR=US&amp;VAR:SYMBOL=04916420&amp;VAR:INDEX=0"}</definedName>
    <definedName name="_10822__FDSAUDITLINK__" localSheetId="6" hidden="1">{"fdsup://directions/FAT Viewer?action=UPDATE&amp;creator=factset&amp;DYN_ARGS=TRUE&amp;DOC_NAME=FAT:FQL_AUDITING_CLIENT_TEMPLATE.FAT&amp;display_string=Audit&amp;VAR:KEY=FCHWDUJYFG&amp;VAR:QUERY=RkZfRUJJVERBX0lCKCdMVE1TJywzODU0Nyk=&amp;WINDOW=FIRST_POPUP&amp;HEIGHT=450&amp;WIDTH=450&amp;START_MA","XIMIZED=FALSE&amp;VAR:CALENDAR=US&amp;VAR:SYMBOL=04916420&amp;VAR:INDEX=0"}</definedName>
    <definedName name="_10822__FDSAUDITLINK__" hidden="1">{"fdsup://directions/FAT Viewer?action=UPDATE&amp;creator=factset&amp;DYN_ARGS=TRUE&amp;DOC_NAME=FAT:FQL_AUDITING_CLIENT_TEMPLATE.FAT&amp;display_string=Audit&amp;VAR:KEY=FCHWDUJYFG&amp;VAR:QUERY=RkZfRUJJVERBX0lCKCdMVE1TJywzODU0Nyk=&amp;WINDOW=FIRST_POPUP&amp;HEIGHT=450&amp;WIDTH=450&amp;START_MA","XIMIZED=FALSE&amp;VAR:CALENDAR=US&amp;VAR:SYMBOL=04916420&amp;VAR:INDEX=0"}</definedName>
    <definedName name="_10823__FDSAUDITLINK__" localSheetId="6" hidden="1">{"fdsup://directions/FAT Viewer?action=UPDATE&amp;creator=factset&amp;DYN_ARGS=TRUE&amp;DOC_NAME=FAT:FQL_AUDITING_CLIENT_TEMPLATE.FAT&amp;display_string=Audit&amp;VAR:KEY=BKTQFQXEPS&amp;VAR:QUERY=RkZfRUJJVERBX0lCKCdMVE1TJywzODU0Nik=&amp;WINDOW=FIRST_POPUP&amp;HEIGHT=450&amp;WIDTH=450&amp;START_MA","XIMIZED=FALSE&amp;VAR:CALENDAR=US&amp;VAR:SYMBOL=04916420&amp;VAR:INDEX=0"}</definedName>
    <definedName name="_10823__FDSAUDITLINK__" hidden="1">{"fdsup://directions/FAT Viewer?action=UPDATE&amp;creator=factset&amp;DYN_ARGS=TRUE&amp;DOC_NAME=FAT:FQL_AUDITING_CLIENT_TEMPLATE.FAT&amp;display_string=Audit&amp;VAR:KEY=BKTQFQXEPS&amp;VAR:QUERY=RkZfRUJJVERBX0lCKCdMVE1TJywzODU0Nik=&amp;WINDOW=FIRST_POPUP&amp;HEIGHT=450&amp;WIDTH=450&amp;START_MA","XIMIZED=FALSE&amp;VAR:CALENDAR=US&amp;VAR:SYMBOL=04916420&amp;VAR:INDEX=0"}</definedName>
    <definedName name="_10824__FDSAUDITLINK__" localSheetId="6" hidden="1">{"fdsup://directions/FAT Viewer?action=UPDATE&amp;creator=factset&amp;DYN_ARGS=TRUE&amp;DOC_NAME=FAT:FQL_AUDITING_CLIENT_TEMPLATE.FAT&amp;display_string=Audit&amp;VAR:KEY=JEXGFUXWBO&amp;VAR:QUERY=RkZfRUJJVERBX0lCKCdMVE1TJywzODU0NSk=&amp;WINDOW=FIRST_POPUP&amp;HEIGHT=450&amp;WIDTH=450&amp;START_MA","XIMIZED=FALSE&amp;VAR:CALENDAR=US&amp;VAR:SYMBOL=04916420&amp;VAR:INDEX=0"}</definedName>
    <definedName name="_10824__FDSAUDITLINK__" hidden="1">{"fdsup://directions/FAT Viewer?action=UPDATE&amp;creator=factset&amp;DYN_ARGS=TRUE&amp;DOC_NAME=FAT:FQL_AUDITING_CLIENT_TEMPLATE.FAT&amp;display_string=Audit&amp;VAR:KEY=JEXGFUXWBO&amp;VAR:QUERY=RkZfRUJJVERBX0lCKCdMVE1TJywzODU0NSk=&amp;WINDOW=FIRST_POPUP&amp;HEIGHT=450&amp;WIDTH=450&amp;START_MA","XIMIZED=FALSE&amp;VAR:CALENDAR=US&amp;VAR:SYMBOL=04916420&amp;VAR:INDEX=0"}</definedName>
    <definedName name="_10825__FDSAUDITLINK__" localSheetId="6" hidden="1">{"fdsup://directions/FAT Viewer?action=UPDATE&amp;creator=factset&amp;DYN_ARGS=TRUE&amp;DOC_NAME=FAT:FQL_AUDITING_CLIENT_TEMPLATE.FAT&amp;display_string=Audit&amp;VAR:KEY=NOXKPKBUZQ&amp;VAR:QUERY=RkZfRUJJVERBX0lCKCdMVE1TJywzODU0NCk=&amp;WINDOW=FIRST_POPUP&amp;HEIGHT=450&amp;WIDTH=450&amp;START_MA","XIMIZED=FALSE&amp;VAR:CALENDAR=US&amp;VAR:SYMBOL=04916420&amp;VAR:INDEX=0"}</definedName>
    <definedName name="_10825__FDSAUDITLINK__" hidden="1">{"fdsup://directions/FAT Viewer?action=UPDATE&amp;creator=factset&amp;DYN_ARGS=TRUE&amp;DOC_NAME=FAT:FQL_AUDITING_CLIENT_TEMPLATE.FAT&amp;display_string=Audit&amp;VAR:KEY=NOXKPKBUZQ&amp;VAR:QUERY=RkZfRUJJVERBX0lCKCdMVE1TJywzODU0NCk=&amp;WINDOW=FIRST_POPUP&amp;HEIGHT=450&amp;WIDTH=450&amp;START_MA","XIMIZED=FALSE&amp;VAR:CALENDAR=US&amp;VAR:SYMBOL=04916420&amp;VAR:INDEX=0"}</definedName>
    <definedName name="_10826__FDSAUDITLINK__" localSheetId="6" hidden="1">{"fdsup://directions/FAT Viewer?action=UPDATE&amp;creator=factset&amp;DYN_ARGS=TRUE&amp;DOC_NAME=FAT:FQL_AUDITING_CLIENT_TEMPLATE.FAT&amp;display_string=Audit&amp;VAR:KEY=ZUTYRGBCPK&amp;VAR:QUERY=RkZfRUJJVERBX0lCKCdMVE1TJywzODU0Myk=&amp;WINDOW=FIRST_POPUP&amp;HEIGHT=450&amp;WIDTH=450&amp;START_MA","XIMIZED=FALSE&amp;VAR:CALENDAR=US&amp;VAR:SYMBOL=04916420&amp;VAR:INDEX=0"}</definedName>
    <definedName name="_10826__FDSAUDITLINK__" hidden="1">{"fdsup://directions/FAT Viewer?action=UPDATE&amp;creator=factset&amp;DYN_ARGS=TRUE&amp;DOC_NAME=FAT:FQL_AUDITING_CLIENT_TEMPLATE.FAT&amp;display_string=Audit&amp;VAR:KEY=ZUTYRGBCPK&amp;VAR:QUERY=RkZfRUJJVERBX0lCKCdMVE1TJywzODU0Myk=&amp;WINDOW=FIRST_POPUP&amp;HEIGHT=450&amp;WIDTH=450&amp;START_MA","XIMIZED=FALSE&amp;VAR:CALENDAR=US&amp;VAR:SYMBOL=04916420&amp;VAR:INDEX=0"}</definedName>
    <definedName name="_10827__FDSAUDITLINK__" localSheetId="6" hidden="1">{"fdsup://directions/FAT Viewer?action=UPDATE&amp;creator=factset&amp;DYN_ARGS=TRUE&amp;DOC_NAME=FAT:FQL_AUDITING_CLIENT_TEMPLATE.FAT&amp;display_string=Audit&amp;VAR:KEY=TOVUZSXUNI&amp;VAR:QUERY=RkZfRUJJVERBX0lCKCdMVE1TJywzODU0Mik=&amp;WINDOW=FIRST_POPUP&amp;HEIGHT=450&amp;WIDTH=450&amp;START_MA","XIMIZED=FALSE&amp;VAR:CALENDAR=US&amp;VAR:SYMBOL=04916420&amp;VAR:INDEX=0"}</definedName>
    <definedName name="_10827__FDSAUDITLINK__" hidden="1">{"fdsup://directions/FAT Viewer?action=UPDATE&amp;creator=factset&amp;DYN_ARGS=TRUE&amp;DOC_NAME=FAT:FQL_AUDITING_CLIENT_TEMPLATE.FAT&amp;display_string=Audit&amp;VAR:KEY=TOVUZSXUNI&amp;VAR:QUERY=RkZfRUJJVERBX0lCKCdMVE1TJywzODU0Mik=&amp;WINDOW=FIRST_POPUP&amp;HEIGHT=450&amp;WIDTH=450&amp;START_MA","XIMIZED=FALSE&amp;VAR:CALENDAR=US&amp;VAR:SYMBOL=04916420&amp;VAR:INDEX=0"}</definedName>
    <definedName name="_10828__FDSAUDITLINK__" localSheetId="6" hidden="1">{"fdsup://directions/FAT Viewer?action=UPDATE&amp;creator=factset&amp;DYN_ARGS=TRUE&amp;DOC_NAME=FAT:FQL_AUDITING_CLIENT_TEMPLATE.FAT&amp;display_string=Audit&amp;VAR:KEY=BCXUDODOVW&amp;VAR:QUERY=RkZfRUJJVERBX0lCKCdMVE1TJywzODU0MSk=&amp;WINDOW=FIRST_POPUP&amp;HEIGHT=450&amp;WIDTH=450&amp;START_MA","XIMIZED=FALSE&amp;VAR:CALENDAR=US&amp;VAR:SYMBOL=04916420&amp;VAR:INDEX=0"}</definedName>
    <definedName name="_10828__FDSAUDITLINK__" hidden="1">{"fdsup://directions/FAT Viewer?action=UPDATE&amp;creator=factset&amp;DYN_ARGS=TRUE&amp;DOC_NAME=FAT:FQL_AUDITING_CLIENT_TEMPLATE.FAT&amp;display_string=Audit&amp;VAR:KEY=BCXUDODOVW&amp;VAR:QUERY=RkZfRUJJVERBX0lCKCdMVE1TJywzODU0MSk=&amp;WINDOW=FIRST_POPUP&amp;HEIGHT=450&amp;WIDTH=450&amp;START_MA","XIMIZED=FALSE&amp;VAR:CALENDAR=US&amp;VAR:SYMBOL=04916420&amp;VAR:INDEX=0"}</definedName>
    <definedName name="_10829__FDSAUDITLINK__" localSheetId="6" hidden="1">{"fdsup://directions/FAT Viewer?action=UPDATE&amp;creator=factset&amp;DYN_ARGS=TRUE&amp;DOC_NAME=FAT:FQL_AUDITING_CLIENT_TEMPLATE.FAT&amp;display_string=Audit&amp;VAR:KEY=FMXSBWXIJE&amp;VAR:QUERY=RkZfRUJJVERBX0lCKCdMVE1TJywzODU0MCk=&amp;WINDOW=FIRST_POPUP&amp;HEIGHT=450&amp;WIDTH=450&amp;START_MA","XIMIZED=FALSE&amp;VAR:CALENDAR=US&amp;VAR:SYMBOL=04916420&amp;VAR:INDEX=0"}</definedName>
    <definedName name="_10829__FDSAUDITLINK__" hidden="1">{"fdsup://directions/FAT Viewer?action=UPDATE&amp;creator=factset&amp;DYN_ARGS=TRUE&amp;DOC_NAME=FAT:FQL_AUDITING_CLIENT_TEMPLATE.FAT&amp;display_string=Audit&amp;VAR:KEY=FMXSBWXIJE&amp;VAR:QUERY=RkZfRUJJVERBX0lCKCdMVE1TJywzODU0MCk=&amp;WINDOW=FIRST_POPUP&amp;HEIGHT=450&amp;WIDTH=450&amp;START_MA","XIMIZED=FALSE&amp;VAR:CALENDAR=US&amp;VAR:SYMBOL=04916420&amp;VAR:INDEX=0"}</definedName>
    <definedName name="_1083__FDSAUDITLINK__" localSheetId="6" hidden="1">{"fdsup://directions/FAT%20Viewer?VAR:PED=LTM&amp;VAR:AUDIT_MODE=SUMMARY&amp;VAR:PERIOD=FIXED&amp;VAR:AUDIT_ID=00000117&amp;VAR:DATE=20070306&amp;action=UPDATE&amp;creator=factset&amp;DOC_NAME=FAT:FMA_audit_SUMMARY.fat&amp;DISPLAY_STRING=Display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3__FDSAUDITLINK__" hidden="1">{"fdsup://directions/FAT%20Viewer?VAR:PED=LTM&amp;VAR:AUDIT_MODE=SUMMARY&amp;VAR:PERIOD=FIXED&amp;VAR:AUDIT_ID=00000117&amp;VAR:DATE=20070306&amp;action=UPDATE&amp;creator=factset&amp;DOC_NAME=FAT:FMA_audit_SUMMARY.fat&amp;DISPLAY_STRING=Display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30__FDSAUDITLINK__" localSheetId="6" hidden="1">{"fdsup://directions/FAT Viewer?action=UPDATE&amp;creator=factset&amp;DYN_ARGS=TRUE&amp;DOC_NAME=FAT:FQL_AUDITING_CLIENT_TEMPLATE.FAT&amp;display_string=Audit&amp;VAR:KEY=HSJKHWDMLC&amp;VAR:QUERY=RkZfRUJJVERBX0lCKCdMVE1TJywzODUzOSk=&amp;WINDOW=FIRST_POPUP&amp;HEIGHT=450&amp;WIDTH=450&amp;START_MA","XIMIZED=FALSE&amp;VAR:CALENDAR=US&amp;VAR:SYMBOL=04916420&amp;VAR:INDEX=0"}</definedName>
    <definedName name="_10830__FDSAUDITLINK__" hidden="1">{"fdsup://directions/FAT Viewer?action=UPDATE&amp;creator=factset&amp;DYN_ARGS=TRUE&amp;DOC_NAME=FAT:FQL_AUDITING_CLIENT_TEMPLATE.FAT&amp;display_string=Audit&amp;VAR:KEY=HSJKHWDMLC&amp;VAR:QUERY=RkZfRUJJVERBX0lCKCdMVE1TJywzODUzOSk=&amp;WINDOW=FIRST_POPUP&amp;HEIGHT=450&amp;WIDTH=450&amp;START_MA","XIMIZED=FALSE&amp;VAR:CALENDAR=US&amp;VAR:SYMBOL=04916420&amp;VAR:INDEX=0"}</definedName>
    <definedName name="_10831__FDSAUDITLINK__" localSheetId="6" hidden="1">{"fdsup://directions/FAT Viewer?action=UPDATE&amp;creator=factset&amp;DYN_ARGS=TRUE&amp;DOC_NAME=FAT:FQL_AUDITING_CLIENT_TEMPLATE.FAT&amp;display_string=Audit&amp;VAR:KEY=JMHCJYTQJU&amp;VAR:QUERY=RkZfRUJJVERBX0lCKCdMVE1TJywzODUzOCk=&amp;WINDOW=FIRST_POPUP&amp;HEIGHT=450&amp;WIDTH=450&amp;START_MA","XIMIZED=FALSE&amp;VAR:CALENDAR=US&amp;VAR:SYMBOL=04916420&amp;VAR:INDEX=0"}</definedName>
    <definedName name="_10831__FDSAUDITLINK__" hidden="1">{"fdsup://directions/FAT Viewer?action=UPDATE&amp;creator=factset&amp;DYN_ARGS=TRUE&amp;DOC_NAME=FAT:FQL_AUDITING_CLIENT_TEMPLATE.FAT&amp;display_string=Audit&amp;VAR:KEY=JMHCJYTQJU&amp;VAR:QUERY=RkZfRUJJVERBX0lCKCdMVE1TJywzODUzOCk=&amp;WINDOW=FIRST_POPUP&amp;HEIGHT=450&amp;WIDTH=450&amp;START_MA","XIMIZED=FALSE&amp;VAR:CALENDAR=US&amp;VAR:SYMBOL=04916420&amp;VAR:INDEX=0"}</definedName>
    <definedName name="_10832__FDSAUDITLINK__" localSheetId="6" hidden="1">{"fdsup://directions/FAT Viewer?action=UPDATE&amp;creator=factset&amp;DYN_ARGS=TRUE&amp;DOC_NAME=FAT:FQL_AUDITING_CLIENT_TEMPLATE.FAT&amp;display_string=Audit&amp;VAR:KEY=DSPODYPCXI&amp;VAR:QUERY=RkZfRUJJVERBX0lCKCdMVE1TJywzODUzNyk=&amp;WINDOW=FIRST_POPUP&amp;HEIGHT=450&amp;WIDTH=450&amp;START_MA","XIMIZED=FALSE&amp;VAR:CALENDAR=US&amp;VAR:SYMBOL=04916420&amp;VAR:INDEX=0"}</definedName>
    <definedName name="_10832__FDSAUDITLINK__" hidden="1">{"fdsup://directions/FAT Viewer?action=UPDATE&amp;creator=factset&amp;DYN_ARGS=TRUE&amp;DOC_NAME=FAT:FQL_AUDITING_CLIENT_TEMPLATE.FAT&amp;display_string=Audit&amp;VAR:KEY=DSPODYPCXI&amp;VAR:QUERY=RkZfRUJJVERBX0lCKCdMVE1TJywzODUzNyk=&amp;WINDOW=FIRST_POPUP&amp;HEIGHT=450&amp;WIDTH=450&amp;START_MA","XIMIZED=FALSE&amp;VAR:CALENDAR=US&amp;VAR:SYMBOL=04916420&amp;VAR:INDEX=0"}</definedName>
    <definedName name="_10833__FDSAUDITLINK__" localSheetId="6" hidden="1">{"fdsup://directions/FAT Viewer?action=UPDATE&amp;creator=factset&amp;DYN_ARGS=TRUE&amp;DOC_NAME=FAT:FQL_AUDITING_CLIENT_TEMPLATE.FAT&amp;display_string=Audit&amp;VAR:KEY=ZAPCLQNSHA&amp;VAR:QUERY=RkZfRUJJVERBX0lCKCdMVE1TJywzODUzNik=&amp;WINDOW=FIRST_POPUP&amp;HEIGHT=450&amp;WIDTH=450&amp;START_MA","XIMIZED=FALSE&amp;VAR:CALENDAR=US&amp;VAR:SYMBOL=04916420&amp;VAR:INDEX=0"}</definedName>
    <definedName name="_10833__FDSAUDITLINK__" hidden="1">{"fdsup://directions/FAT Viewer?action=UPDATE&amp;creator=factset&amp;DYN_ARGS=TRUE&amp;DOC_NAME=FAT:FQL_AUDITING_CLIENT_TEMPLATE.FAT&amp;display_string=Audit&amp;VAR:KEY=ZAPCLQNSHA&amp;VAR:QUERY=RkZfRUJJVERBX0lCKCdMVE1TJywzODUzNik=&amp;WINDOW=FIRST_POPUP&amp;HEIGHT=450&amp;WIDTH=450&amp;START_MA","XIMIZED=FALSE&amp;VAR:CALENDAR=US&amp;VAR:SYMBOL=04916420&amp;VAR:INDEX=0"}</definedName>
    <definedName name="_10834__FDSAUDITLINK__" localSheetId="6" hidden="1">{"fdsup://directions/FAT Viewer?action=UPDATE&amp;creator=factset&amp;DYN_ARGS=TRUE&amp;DOC_NAME=FAT:FQL_AUDITING_CLIENT_TEMPLATE.FAT&amp;display_string=Audit&amp;VAR:KEY=HEFIHGXGLG&amp;VAR:QUERY=RkZfRUJJVERBX0lCKCdMVE1TJywzODUzNSk=&amp;WINDOW=FIRST_POPUP&amp;HEIGHT=450&amp;WIDTH=450&amp;START_MA","XIMIZED=FALSE&amp;VAR:CALENDAR=US&amp;VAR:SYMBOL=04916420&amp;VAR:INDEX=0"}</definedName>
    <definedName name="_10834__FDSAUDITLINK__" hidden="1">{"fdsup://directions/FAT Viewer?action=UPDATE&amp;creator=factset&amp;DYN_ARGS=TRUE&amp;DOC_NAME=FAT:FQL_AUDITING_CLIENT_TEMPLATE.FAT&amp;display_string=Audit&amp;VAR:KEY=HEFIHGXGLG&amp;VAR:QUERY=RkZfRUJJVERBX0lCKCdMVE1TJywzODUzNSk=&amp;WINDOW=FIRST_POPUP&amp;HEIGHT=450&amp;WIDTH=450&amp;START_MA","XIMIZED=FALSE&amp;VAR:CALENDAR=US&amp;VAR:SYMBOL=04916420&amp;VAR:INDEX=0"}</definedName>
    <definedName name="_10835__FDSAUDITLINK__" localSheetId="6" hidden="1">{"fdsup://directions/FAT Viewer?action=UPDATE&amp;creator=factset&amp;DYN_ARGS=TRUE&amp;DOC_NAME=FAT:FQL_AUDITING_CLIENT_TEMPLATE.FAT&amp;display_string=Audit&amp;VAR:KEY=JELUZMREPQ&amp;VAR:QUERY=RkZfRUJJVERBX0lCKCdMVE1TJywzODUzNCk=&amp;WINDOW=FIRST_POPUP&amp;HEIGHT=450&amp;WIDTH=450&amp;START_MA","XIMIZED=FALSE&amp;VAR:CALENDAR=US&amp;VAR:SYMBOL=04916420&amp;VAR:INDEX=0"}</definedName>
    <definedName name="_10835__FDSAUDITLINK__" hidden="1">{"fdsup://directions/FAT Viewer?action=UPDATE&amp;creator=factset&amp;DYN_ARGS=TRUE&amp;DOC_NAME=FAT:FQL_AUDITING_CLIENT_TEMPLATE.FAT&amp;display_string=Audit&amp;VAR:KEY=JELUZMREPQ&amp;VAR:QUERY=RkZfRUJJVERBX0lCKCdMVE1TJywzODUzNCk=&amp;WINDOW=FIRST_POPUP&amp;HEIGHT=450&amp;WIDTH=450&amp;START_MA","XIMIZED=FALSE&amp;VAR:CALENDAR=US&amp;VAR:SYMBOL=04916420&amp;VAR:INDEX=0"}</definedName>
    <definedName name="_10836__FDSAUDITLINK__" localSheetId="6" hidden="1">{"fdsup://directions/FAT Viewer?action=UPDATE&amp;creator=factset&amp;DYN_ARGS=TRUE&amp;DOC_NAME=FAT:FQL_AUDITING_CLIENT_TEMPLATE.FAT&amp;display_string=Audit&amp;VAR:KEY=XSXMLOPURS&amp;VAR:QUERY=RkZfRUJJVERBX0lCKCdMVE1TJywzODUzMyk=&amp;WINDOW=FIRST_POPUP&amp;HEIGHT=450&amp;WIDTH=450&amp;START_MA","XIMIZED=FALSE&amp;VAR:CALENDAR=US&amp;VAR:SYMBOL=04916420&amp;VAR:INDEX=0"}</definedName>
    <definedName name="_10836__FDSAUDITLINK__" hidden="1">{"fdsup://directions/FAT Viewer?action=UPDATE&amp;creator=factset&amp;DYN_ARGS=TRUE&amp;DOC_NAME=FAT:FQL_AUDITING_CLIENT_TEMPLATE.FAT&amp;display_string=Audit&amp;VAR:KEY=XSXMLOPURS&amp;VAR:QUERY=RkZfRUJJVERBX0lCKCdMVE1TJywzODUzMyk=&amp;WINDOW=FIRST_POPUP&amp;HEIGHT=450&amp;WIDTH=450&amp;START_MA","XIMIZED=FALSE&amp;VAR:CALENDAR=US&amp;VAR:SYMBOL=04916420&amp;VAR:INDEX=0"}</definedName>
    <definedName name="_10837__FDSAUDITLINK__" localSheetId="6" hidden="1">{"fdsup://directions/FAT Viewer?action=UPDATE&amp;creator=factset&amp;DYN_ARGS=TRUE&amp;DOC_NAME=FAT:FQL_AUDITING_CLIENT_TEMPLATE.FAT&amp;display_string=Audit&amp;VAR:KEY=RSZMPYNYZK&amp;VAR:QUERY=RkZfRUJJVERBX0lCKCdMVE1TJywzODUzMik=&amp;WINDOW=FIRST_POPUP&amp;HEIGHT=450&amp;WIDTH=450&amp;START_MA","XIMIZED=FALSE&amp;VAR:CALENDAR=US&amp;VAR:SYMBOL=04916420&amp;VAR:INDEX=0"}</definedName>
    <definedName name="_10837__FDSAUDITLINK__" hidden="1">{"fdsup://directions/FAT Viewer?action=UPDATE&amp;creator=factset&amp;DYN_ARGS=TRUE&amp;DOC_NAME=FAT:FQL_AUDITING_CLIENT_TEMPLATE.FAT&amp;display_string=Audit&amp;VAR:KEY=RSZMPYNYZK&amp;VAR:QUERY=RkZfRUJJVERBX0lCKCdMVE1TJywzODUzMik=&amp;WINDOW=FIRST_POPUP&amp;HEIGHT=450&amp;WIDTH=450&amp;START_MA","XIMIZED=FALSE&amp;VAR:CALENDAR=US&amp;VAR:SYMBOL=04916420&amp;VAR:INDEX=0"}</definedName>
    <definedName name="_10838__FDSAUDITLINK__" localSheetId="6" hidden="1">{"fdsup://directions/FAT Viewer?action=UPDATE&amp;creator=factset&amp;DYN_ARGS=TRUE&amp;DOC_NAME=FAT:FQL_AUDITING_CLIENT_TEMPLATE.FAT&amp;display_string=Audit&amp;VAR:KEY=VIJUVAFWZW&amp;VAR:QUERY=RkZfRUJJVERBX0lCKCdMVE1TJywzODUzMSk=&amp;WINDOW=FIRST_POPUP&amp;HEIGHT=450&amp;WIDTH=450&amp;START_MA","XIMIZED=FALSE&amp;VAR:CALENDAR=US&amp;VAR:SYMBOL=04916420&amp;VAR:INDEX=0"}</definedName>
    <definedName name="_10838__FDSAUDITLINK__" hidden="1">{"fdsup://directions/FAT Viewer?action=UPDATE&amp;creator=factset&amp;DYN_ARGS=TRUE&amp;DOC_NAME=FAT:FQL_AUDITING_CLIENT_TEMPLATE.FAT&amp;display_string=Audit&amp;VAR:KEY=VIJUVAFWZW&amp;VAR:QUERY=RkZfRUJJVERBX0lCKCdMVE1TJywzODUzMSk=&amp;WINDOW=FIRST_POPUP&amp;HEIGHT=450&amp;WIDTH=450&amp;START_MA","XIMIZED=FALSE&amp;VAR:CALENDAR=US&amp;VAR:SYMBOL=04916420&amp;VAR:INDEX=0"}</definedName>
    <definedName name="_10839__FDSAUDITLINK__" localSheetId="6" hidden="1">{"fdsup://directions/FAT Viewer?action=UPDATE&amp;creator=factset&amp;DYN_ARGS=TRUE&amp;DOC_NAME=FAT:FQL_AUDITING_CLIENT_TEMPLATE.FAT&amp;display_string=Audit&amp;VAR:KEY=TIXCBURCFI&amp;VAR:QUERY=RkZfRUJJVERBX0lCKCdMVE1TJywzODUzMCk=&amp;WINDOW=FIRST_POPUP&amp;HEIGHT=450&amp;WIDTH=450&amp;START_MA","XIMIZED=FALSE&amp;VAR:CALENDAR=US&amp;VAR:SYMBOL=04916420&amp;VAR:INDEX=0"}</definedName>
    <definedName name="_10839__FDSAUDITLINK__" hidden="1">{"fdsup://directions/FAT Viewer?action=UPDATE&amp;creator=factset&amp;DYN_ARGS=TRUE&amp;DOC_NAME=FAT:FQL_AUDITING_CLIENT_TEMPLATE.FAT&amp;display_string=Audit&amp;VAR:KEY=TIXCBURCFI&amp;VAR:QUERY=RkZfRUJJVERBX0lCKCdMVE1TJywzODUzMCk=&amp;WINDOW=FIRST_POPUP&amp;HEIGHT=450&amp;WIDTH=450&amp;START_MA","XIMIZED=FALSE&amp;VAR:CALENDAR=US&amp;VAR:SYMBOL=04916420&amp;VAR:INDEX=0"}</definedName>
    <definedName name="_1084__FDSAUDITLINK__" localSheetId="6" hidden="1">{"fdsup://directions/FAT%20Viewer?VAR:PED=LTM&amp;VAR:AUDIT_MODE=SUMMARY&amp;VAR:PERIOD=FIXED&amp;VAR:AUDIT_ID=00000117&amp;VAR:DATE=20070305&amp;action=UPDATE&amp;creator=factset&amp;DOC_NAME=FAT:FMA_audit_SUMMARY.fat&amp;DISPLAY_STRING=Display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4__FDSAUDITLINK__" hidden="1">{"fdsup://directions/FAT%20Viewer?VAR:PED=LTM&amp;VAR:AUDIT_MODE=SUMMARY&amp;VAR:PERIOD=FIXED&amp;VAR:AUDIT_ID=00000117&amp;VAR:DATE=20070305&amp;action=UPDATE&amp;creator=factset&amp;DOC_NAME=FAT:FMA_audit_SUMMARY.fat&amp;DISPLAY_STRING=Display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40__FDSAUDITLINK__" localSheetId="6" hidden="1">{"fdsup://directions/FAT Viewer?action=UPDATE&amp;creator=factset&amp;DYN_ARGS=TRUE&amp;DOC_NAME=FAT:FQL_AUDITING_CLIENT_TEMPLATE.FAT&amp;display_string=Audit&amp;VAR:KEY=PUZAJADWNG&amp;VAR:QUERY=RkZfRUJJVERBX0lCKCdMVE1TJywzODUyOSk=&amp;WINDOW=FIRST_POPUP&amp;HEIGHT=450&amp;WIDTH=450&amp;START_MA","XIMIZED=FALSE&amp;VAR:CALENDAR=US&amp;VAR:SYMBOL=04916420&amp;VAR:INDEX=0"}</definedName>
    <definedName name="_10840__FDSAUDITLINK__" hidden="1">{"fdsup://directions/FAT Viewer?action=UPDATE&amp;creator=factset&amp;DYN_ARGS=TRUE&amp;DOC_NAME=FAT:FQL_AUDITING_CLIENT_TEMPLATE.FAT&amp;display_string=Audit&amp;VAR:KEY=PUZAJADWNG&amp;VAR:QUERY=RkZfRUJJVERBX0lCKCdMVE1TJywzODUyOSk=&amp;WINDOW=FIRST_POPUP&amp;HEIGHT=450&amp;WIDTH=450&amp;START_MA","XIMIZED=FALSE&amp;VAR:CALENDAR=US&amp;VAR:SYMBOL=04916420&amp;VAR:INDEX=0"}</definedName>
    <definedName name="_10841__FDSAUDITLINK__" localSheetId="6" hidden="1">{"fdsup://directions/FAT Viewer?action=UPDATE&amp;creator=factset&amp;DYN_ARGS=TRUE&amp;DOC_NAME=FAT:FQL_AUDITING_CLIENT_TEMPLATE.FAT&amp;display_string=Audit&amp;VAR:KEY=DEDCDINGPA&amp;VAR:QUERY=RkZfRUJJVERBX0lCKCdMVE1TJywzODUyOCk=&amp;WINDOW=FIRST_POPUP&amp;HEIGHT=450&amp;WIDTH=450&amp;START_MA","XIMIZED=FALSE&amp;VAR:CALENDAR=US&amp;VAR:SYMBOL=04916420&amp;VAR:INDEX=0"}</definedName>
    <definedName name="_10841__FDSAUDITLINK__" hidden="1">{"fdsup://directions/FAT Viewer?action=UPDATE&amp;creator=factset&amp;DYN_ARGS=TRUE&amp;DOC_NAME=FAT:FQL_AUDITING_CLIENT_TEMPLATE.FAT&amp;display_string=Audit&amp;VAR:KEY=DEDCDINGPA&amp;VAR:QUERY=RkZfRUJJVERBX0lCKCdMVE1TJywzODUyOCk=&amp;WINDOW=FIRST_POPUP&amp;HEIGHT=450&amp;WIDTH=450&amp;START_MA","XIMIZED=FALSE&amp;VAR:CALENDAR=US&amp;VAR:SYMBOL=04916420&amp;VAR:INDEX=0"}</definedName>
    <definedName name="_10842__FDSAUDITLINK__" localSheetId="6" hidden="1">{"fdsup://directions/FAT Viewer?action=UPDATE&amp;creator=factset&amp;DYN_ARGS=TRUE&amp;DOC_NAME=FAT:FQL_AUDITING_CLIENT_TEMPLATE.FAT&amp;display_string=Audit&amp;VAR:KEY=DATUBABYTI&amp;VAR:QUERY=RkZfRUJJVERBX0lCKCdMVE1TJywzODUyNyk=&amp;WINDOW=FIRST_POPUP&amp;HEIGHT=450&amp;WIDTH=450&amp;START_MA","XIMIZED=FALSE&amp;VAR:CALENDAR=US&amp;VAR:SYMBOL=04916420&amp;VAR:INDEX=0"}</definedName>
    <definedName name="_10842__FDSAUDITLINK__" hidden="1">{"fdsup://directions/FAT Viewer?action=UPDATE&amp;creator=factset&amp;DYN_ARGS=TRUE&amp;DOC_NAME=FAT:FQL_AUDITING_CLIENT_TEMPLATE.FAT&amp;display_string=Audit&amp;VAR:KEY=DATUBABYTI&amp;VAR:QUERY=RkZfRUJJVERBX0lCKCdMVE1TJywzODUyNyk=&amp;WINDOW=FIRST_POPUP&amp;HEIGHT=450&amp;WIDTH=450&amp;START_MA","XIMIZED=FALSE&amp;VAR:CALENDAR=US&amp;VAR:SYMBOL=04916420&amp;VAR:INDEX=0"}</definedName>
    <definedName name="_10843__FDSAUDITLINK__" localSheetId="6" hidden="1">{"fdsup://directions/FAT Viewer?action=UPDATE&amp;creator=factset&amp;DYN_ARGS=TRUE&amp;DOC_NAME=FAT:FQL_AUDITING_CLIENT_TEMPLATE.FAT&amp;display_string=Audit&amp;VAR:KEY=PILYDKDSDI&amp;VAR:QUERY=RkZfRUJJVERBX0lCKCdMVE1TJywzODUyNik=&amp;WINDOW=FIRST_POPUP&amp;HEIGHT=450&amp;WIDTH=450&amp;START_MA","XIMIZED=FALSE&amp;VAR:CALENDAR=US&amp;VAR:SYMBOL=04916420&amp;VAR:INDEX=0"}</definedName>
    <definedName name="_10843__FDSAUDITLINK__" hidden="1">{"fdsup://directions/FAT Viewer?action=UPDATE&amp;creator=factset&amp;DYN_ARGS=TRUE&amp;DOC_NAME=FAT:FQL_AUDITING_CLIENT_TEMPLATE.FAT&amp;display_string=Audit&amp;VAR:KEY=PILYDKDSDI&amp;VAR:QUERY=RkZfRUJJVERBX0lCKCdMVE1TJywzODUyNik=&amp;WINDOW=FIRST_POPUP&amp;HEIGHT=450&amp;WIDTH=450&amp;START_MA","XIMIZED=FALSE&amp;VAR:CALENDAR=US&amp;VAR:SYMBOL=04916420&amp;VAR:INDEX=0"}</definedName>
    <definedName name="_10844__FDSAUDITLINK__" localSheetId="6" hidden="1">{"fdsup://directions/FAT Viewer?action=UPDATE&amp;creator=factset&amp;DYN_ARGS=TRUE&amp;DOC_NAME=FAT:FQL_AUDITING_CLIENT_TEMPLATE.FAT&amp;display_string=Audit&amp;VAR:KEY=BKROPCNADM&amp;VAR:QUERY=RkZfRUJJVERBX0lCKCdMVE1TJywzODUyNSk=&amp;WINDOW=FIRST_POPUP&amp;HEIGHT=450&amp;WIDTH=450&amp;START_MA","XIMIZED=FALSE&amp;VAR:CALENDAR=US&amp;VAR:SYMBOL=04916420&amp;VAR:INDEX=0"}</definedName>
    <definedName name="_10844__FDSAUDITLINK__" hidden="1">{"fdsup://directions/FAT Viewer?action=UPDATE&amp;creator=factset&amp;DYN_ARGS=TRUE&amp;DOC_NAME=FAT:FQL_AUDITING_CLIENT_TEMPLATE.FAT&amp;display_string=Audit&amp;VAR:KEY=BKROPCNADM&amp;VAR:QUERY=RkZfRUJJVERBX0lCKCdMVE1TJywzODUyNSk=&amp;WINDOW=FIRST_POPUP&amp;HEIGHT=450&amp;WIDTH=450&amp;START_MA","XIMIZED=FALSE&amp;VAR:CALENDAR=US&amp;VAR:SYMBOL=04916420&amp;VAR:INDEX=0"}</definedName>
    <definedName name="_10845__FDSAUDITLINK__" localSheetId="6" hidden="1">{"fdsup://directions/FAT Viewer?action=UPDATE&amp;creator=factset&amp;DYN_ARGS=TRUE&amp;DOC_NAME=FAT:FQL_AUDITING_CLIENT_TEMPLATE.FAT&amp;display_string=Audit&amp;VAR:KEY=BIDKPCNEZG&amp;VAR:QUERY=RkZfRUJJVERBX0lCKCdMVE1TJywzODUyNCk=&amp;WINDOW=FIRST_POPUP&amp;HEIGHT=450&amp;WIDTH=450&amp;START_MA","XIMIZED=FALSE&amp;VAR:CALENDAR=US&amp;VAR:SYMBOL=04916420&amp;VAR:INDEX=0"}</definedName>
    <definedName name="_10845__FDSAUDITLINK__" hidden="1">{"fdsup://directions/FAT Viewer?action=UPDATE&amp;creator=factset&amp;DYN_ARGS=TRUE&amp;DOC_NAME=FAT:FQL_AUDITING_CLIENT_TEMPLATE.FAT&amp;display_string=Audit&amp;VAR:KEY=BIDKPCNEZG&amp;VAR:QUERY=RkZfRUJJVERBX0lCKCdMVE1TJywzODUyNCk=&amp;WINDOW=FIRST_POPUP&amp;HEIGHT=450&amp;WIDTH=450&amp;START_MA","XIMIZED=FALSE&amp;VAR:CALENDAR=US&amp;VAR:SYMBOL=04916420&amp;VAR:INDEX=0"}</definedName>
    <definedName name="_10846__FDSAUDITLINK__" localSheetId="6" hidden="1">{"fdsup://directions/FAT Viewer?action=UPDATE&amp;creator=factset&amp;DYN_ARGS=TRUE&amp;DOC_NAME=FAT:FQL_AUDITING_CLIENT_TEMPLATE.FAT&amp;display_string=Audit&amp;VAR:KEY=TEVWBYBAVM&amp;VAR:QUERY=RkZfRUJJVERBX0lCKCdMVE1TJywzODUyMyk=&amp;WINDOW=FIRST_POPUP&amp;HEIGHT=450&amp;WIDTH=450&amp;START_MA","XIMIZED=FALSE&amp;VAR:CALENDAR=US&amp;VAR:SYMBOL=04916420&amp;VAR:INDEX=0"}</definedName>
    <definedName name="_10846__FDSAUDITLINK__" hidden="1">{"fdsup://directions/FAT Viewer?action=UPDATE&amp;creator=factset&amp;DYN_ARGS=TRUE&amp;DOC_NAME=FAT:FQL_AUDITING_CLIENT_TEMPLATE.FAT&amp;display_string=Audit&amp;VAR:KEY=TEVWBYBAVM&amp;VAR:QUERY=RkZfRUJJVERBX0lCKCdMVE1TJywzODUyMyk=&amp;WINDOW=FIRST_POPUP&amp;HEIGHT=450&amp;WIDTH=450&amp;START_MA","XIMIZED=FALSE&amp;VAR:CALENDAR=US&amp;VAR:SYMBOL=04916420&amp;VAR:INDEX=0"}</definedName>
    <definedName name="_10847__FDSAUDITLINK__" localSheetId="6" hidden="1">{"fdsup://directions/FAT Viewer?action=UPDATE&amp;creator=factset&amp;DYN_ARGS=TRUE&amp;DOC_NAME=FAT:FQL_AUDITING_CLIENT_TEMPLATE.FAT&amp;display_string=Audit&amp;VAR:KEY=VAVYHYBSZW&amp;VAR:QUERY=RkZfRUJJVERBX0lCKCdMVE1TJywzODUyMik=&amp;WINDOW=FIRST_POPUP&amp;HEIGHT=450&amp;WIDTH=450&amp;START_MA","XIMIZED=FALSE&amp;VAR:CALENDAR=US&amp;VAR:SYMBOL=04916420&amp;VAR:INDEX=0"}</definedName>
    <definedName name="_10847__FDSAUDITLINK__" hidden="1">{"fdsup://directions/FAT Viewer?action=UPDATE&amp;creator=factset&amp;DYN_ARGS=TRUE&amp;DOC_NAME=FAT:FQL_AUDITING_CLIENT_TEMPLATE.FAT&amp;display_string=Audit&amp;VAR:KEY=VAVYHYBSZW&amp;VAR:QUERY=RkZfRUJJVERBX0lCKCdMVE1TJywzODUyMik=&amp;WINDOW=FIRST_POPUP&amp;HEIGHT=450&amp;WIDTH=450&amp;START_MA","XIMIZED=FALSE&amp;VAR:CALENDAR=US&amp;VAR:SYMBOL=04916420&amp;VAR:INDEX=0"}</definedName>
    <definedName name="_10848__FDSAUDITLINK__" localSheetId="6" hidden="1">{"fdsup://directions/FAT Viewer?action=UPDATE&amp;creator=factset&amp;DYN_ARGS=TRUE&amp;DOC_NAME=FAT:FQL_AUDITING_CLIENT_TEMPLATE.FAT&amp;display_string=Audit&amp;VAR:KEY=NGDUBOFQNY&amp;VAR:QUERY=RkZfRUJJVERBX0lCKCdMVE1TJywzODUyMSk=&amp;WINDOW=FIRST_POPUP&amp;HEIGHT=450&amp;WIDTH=450&amp;START_MA","XIMIZED=FALSE&amp;VAR:CALENDAR=US&amp;VAR:SYMBOL=04916420&amp;VAR:INDEX=0"}</definedName>
    <definedName name="_10848__FDSAUDITLINK__" hidden="1">{"fdsup://directions/FAT Viewer?action=UPDATE&amp;creator=factset&amp;DYN_ARGS=TRUE&amp;DOC_NAME=FAT:FQL_AUDITING_CLIENT_TEMPLATE.FAT&amp;display_string=Audit&amp;VAR:KEY=NGDUBOFQNY&amp;VAR:QUERY=RkZfRUJJVERBX0lCKCdMVE1TJywzODUyMSk=&amp;WINDOW=FIRST_POPUP&amp;HEIGHT=450&amp;WIDTH=450&amp;START_MA","XIMIZED=FALSE&amp;VAR:CALENDAR=US&amp;VAR:SYMBOL=04916420&amp;VAR:INDEX=0"}</definedName>
    <definedName name="_10849__FDSAUDITLINK__" localSheetId="6" hidden="1">{"fdsup://directions/FAT Viewer?action=UPDATE&amp;creator=factset&amp;DYN_ARGS=TRUE&amp;DOC_NAME=FAT:FQL_AUDITING_CLIENT_TEMPLATE.FAT&amp;display_string=Audit&amp;VAR:KEY=PAZATIPCFI&amp;VAR:QUERY=RkZfRUJJVERBX0lCKCdMVE1TJywzODUyMCk=&amp;WINDOW=FIRST_POPUP&amp;HEIGHT=450&amp;WIDTH=450&amp;START_MA","XIMIZED=FALSE&amp;VAR:CALENDAR=US&amp;VAR:SYMBOL=04916420&amp;VAR:INDEX=0"}</definedName>
    <definedName name="_10849__FDSAUDITLINK__" hidden="1">{"fdsup://directions/FAT Viewer?action=UPDATE&amp;creator=factset&amp;DYN_ARGS=TRUE&amp;DOC_NAME=FAT:FQL_AUDITING_CLIENT_TEMPLATE.FAT&amp;display_string=Audit&amp;VAR:KEY=PAZATIPCFI&amp;VAR:QUERY=RkZfRUJJVERBX0lCKCdMVE1TJywzODUyMCk=&amp;WINDOW=FIRST_POPUP&amp;HEIGHT=450&amp;WIDTH=450&amp;START_MA","XIMIZED=FALSE&amp;VAR:CALENDAR=US&amp;VAR:SYMBOL=04916420&amp;VAR:INDEX=0"}</definedName>
    <definedName name="_1085__FDSAUDITLINK__" localSheetId="6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5__FDSAUDITLINK__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50__FDSAUDITLINK__" localSheetId="6" hidden="1">{"fdsup://directions/FAT Viewer?action=UPDATE&amp;creator=factset&amp;DYN_ARGS=TRUE&amp;DOC_NAME=FAT:FQL_AUDITING_CLIENT_TEMPLATE.FAT&amp;display_string=Audit&amp;VAR:KEY=BKJCNQLGBY&amp;VAR:QUERY=RkZfRUJJVERBX0lCKCdMVE1TJywzODUxOSk=&amp;WINDOW=FIRST_POPUP&amp;HEIGHT=450&amp;WIDTH=450&amp;START_MA","XIMIZED=FALSE&amp;VAR:CALENDAR=US&amp;VAR:SYMBOL=04916420&amp;VAR:INDEX=0"}</definedName>
    <definedName name="_10850__FDSAUDITLINK__" hidden="1">{"fdsup://directions/FAT Viewer?action=UPDATE&amp;creator=factset&amp;DYN_ARGS=TRUE&amp;DOC_NAME=FAT:FQL_AUDITING_CLIENT_TEMPLATE.FAT&amp;display_string=Audit&amp;VAR:KEY=BKJCNQLGBY&amp;VAR:QUERY=RkZfRUJJVERBX0lCKCdMVE1TJywzODUxOSk=&amp;WINDOW=FIRST_POPUP&amp;HEIGHT=450&amp;WIDTH=450&amp;START_MA","XIMIZED=FALSE&amp;VAR:CALENDAR=US&amp;VAR:SYMBOL=04916420&amp;VAR:INDEX=0"}</definedName>
    <definedName name="_10851__FDSAUDITLINK__" localSheetId="6" hidden="1">{"fdsup://directions/FAT Viewer?action=UPDATE&amp;creator=factset&amp;DYN_ARGS=TRUE&amp;DOC_NAME=FAT:FQL_AUDITING_CLIENT_TEMPLATE.FAT&amp;display_string=Audit&amp;VAR:KEY=XGFONMPWPE&amp;VAR:QUERY=RkZfRUJJVERBX0lCKCdMVE1TJywzODUxOCk=&amp;WINDOW=FIRST_POPUP&amp;HEIGHT=450&amp;WIDTH=450&amp;START_MA","XIMIZED=FALSE&amp;VAR:CALENDAR=US&amp;VAR:SYMBOL=04916420&amp;VAR:INDEX=0"}</definedName>
    <definedName name="_10851__FDSAUDITLINK__" hidden="1">{"fdsup://directions/FAT Viewer?action=UPDATE&amp;creator=factset&amp;DYN_ARGS=TRUE&amp;DOC_NAME=FAT:FQL_AUDITING_CLIENT_TEMPLATE.FAT&amp;display_string=Audit&amp;VAR:KEY=XGFONMPWPE&amp;VAR:QUERY=RkZfRUJJVERBX0lCKCdMVE1TJywzODUxOCk=&amp;WINDOW=FIRST_POPUP&amp;HEIGHT=450&amp;WIDTH=450&amp;START_MA","XIMIZED=FALSE&amp;VAR:CALENDAR=US&amp;VAR:SYMBOL=04916420&amp;VAR:INDEX=0"}</definedName>
    <definedName name="_10852__FDSAUDITLINK__" localSheetId="6" hidden="1">{"fdsup://directions/FAT Viewer?action=UPDATE&amp;creator=factset&amp;DYN_ARGS=TRUE&amp;DOC_NAME=FAT:FQL_AUDITING_CLIENT_TEMPLATE.FAT&amp;display_string=Audit&amp;VAR:KEY=DCXONCZWFE&amp;VAR:QUERY=RkZfRUJJVERBX0lCKCdMVE1TJywzODUxNyk=&amp;WINDOW=FIRST_POPUP&amp;HEIGHT=450&amp;WIDTH=450&amp;START_MA","XIMIZED=FALSE&amp;VAR:CALENDAR=US&amp;VAR:SYMBOL=04916420&amp;VAR:INDEX=0"}</definedName>
    <definedName name="_10852__FDSAUDITLINK__" hidden="1">{"fdsup://directions/FAT Viewer?action=UPDATE&amp;creator=factset&amp;DYN_ARGS=TRUE&amp;DOC_NAME=FAT:FQL_AUDITING_CLIENT_TEMPLATE.FAT&amp;display_string=Audit&amp;VAR:KEY=DCXONCZWFE&amp;VAR:QUERY=RkZfRUJJVERBX0lCKCdMVE1TJywzODUxNyk=&amp;WINDOW=FIRST_POPUP&amp;HEIGHT=450&amp;WIDTH=450&amp;START_MA","XIMIZED=FALSE&amp;VAR:CALENDAR=US&amp;VAR:SYMBOL=04916420&amp;VAR:INDEX=0"}</definedName>
    <definedName name="_10853__FDSAUDITLINK__" localSheetId="6" hidden="1">{"fdsup://directions/FAT Viewer?action=UPDATE&amp;creator=factset&amp;DYN_ARGS=TRUE&amp;DOC_NAME=FAT:FQL_AUDITING_CLIENT_TEMPLATE.FAT&amp;display_string=Audit&amp;VAR:KEY=HWHQHIHIXI&amp;VAR:QUERY=RkZfRUJJVERBX0lCKCdMVE1TJywzODUxNik=&amp;WINDOW=FIRST_POPUP&amp;HEIGHT=450&amp;WIDTH=450&amp;START_MA","XIMIZED=FALSE&amp;VAR:CALENDAR=US&amp;VAR:SYMBOL=04916420&amp;VAR:INDEX=0"}</definedName>
    <definedName name="_10853__FDSAUDITLINK__" hidden="1">{"fdsup://directions/FAT Viewer?action=UPDATE&amp;creator=factset&amp;DYN_ARGS=TRUE&amp;DOC_NAME=FAT:FQL_AUDITING_CLIENT_TEMPLATE.FAT&amp;display_string=Audit&amp;VAR:KEY=HWHQHIHIXI&amp;VAR:QUERY=RkZfRUJJVERBX0lCKCdMVE1TJywzODUxNik=&amp;WINDOW=FIRST_POPUP&amp;HEIGHT=450&amp;WIDTH=450&amp;START_MA","XIMIZED=FALSE&amp;VAR:CALENDAR=US&amp;VAR:SYMBOL=04916420&amp;VAR:INDEX=0"}</definedName>
    <definedName name="_10854__FDSAUDITLINK__" localSheetId="6" hidden="1">{"fdsup://directions/FAT Viewer?action=UPDATE&amp;creator=factset&amp;DYN_ARGS=TRUE&amp;DOC_NAME=FAT:FQL_AUDITING_CLIENT_TEMPLATE.FAT&amp;display_string=Audit&amp;VAR:KEY=NWRSFKPAFA&amp;VAR:QUERY=RkZfRUJJVERBX0lCKCdMVE1TJywzODUxNSk=&amp;WINDOW=FIRST_POPUP&amp;HEIGHT=450&amp;WIDTH=450&amp;START_MA","XIMIZED=FALSE&amp;VAR:CALENDAR=US&amp;VAR:SYMBOL=04916420&amp;VAR:INDEX=0"}</definedName>
    <definedName name="_10854__FDSAUDITLINK__" hidden="1">{"fdsup://directions/FAT Viewer?action=UPDATE&amp;creator=factset&amp;DYN_ARGS=TRUE&amp;DOC_NAME=FAT:FQL_AUDITING_CLIENT_TEMPLATE.FAT&amp;display_string=Audit&amp;VAR:KEY=NWRSFKPAFA&amp;VAR:QUERY=RkZfRUJJVERBX0lCKCdMVE1TJywzODUxNSk=&amp;WINDOW=FIRST_POPUP&amp;HEIGHT=450&amp;WIDTH=450&amp;START_MA","XIMIZED=FALSE&amp;VAR:CALENDAR=US&amp;VAR:SYMBOL=04916420&amp;VAR:INDEX=0"}</definedName>
    <definedName name="_10855__FDSAUDITLINK__" localSheetId="6" hidden="1">{"fdsup://directions/FAT Viewer?action=UPDATE&amp;creator=factset&amp;DYN_ARGS=TRUE&amp;DOC_NAME=FAT:FQL_AUDITING_CLIENT_TEMPLATE.FAT&amp;display_string=Audit&amp;VAR:KEY=JERUZOXSJM&amp;VAR:QUERY=RkZfRUJJVERBX0lCKCdMVE1TJywzODUxNCk=&amp;WINDOW=FIRST_POPUP&amp;HEIGHT=450&amp;WIDTH=450&amp;START_MA","XIMIZED=FALSE&amp;VAR:CALENDAR=US&amp;VAR:SYMBOL=04916420&amp;VAR:INDEX=0"}</definedName>
    <definedName name="_10855__FDSAUDITLINK__" hidden="1">{"fdsup://directions/FAT Viewer?action=UPDATE&amp;creator=factset&amp;DYN_ARGS=TRUE&amp;DOC_NAME=FAT:FQL_AUDITING_CLIENT_TEMPLATE.FAT&amp;display_string=Audit&amp;VAR:KEY=JERUZOXSJM&amp;VAR:QUERY=RkZfRUJJVERBX0lCKCdMVE1TJywzODUxNCk=&amp;WINDOW=FIRST_POPUP&amp;HEIGHT=450&amp;WIDTH=450&amp;START_MA","XIMIZED=FALSE&amp;VAR:CALENDAR=US&amp;VAR:SYMBOL=04916420&amp;VAR:INDEX=0"}</definedName>
    <definedName name="_10856__FDSAUDITLINK__" localSheetId="6" hidden="1">{"fdsup://directions/FAT Viewer?action=UPDATE&amp;creator=factset&amp;DYN_ARGS=TRUE&amp;DOC_NAME=FAT:FQL_AUDITING_CLIENT_TEMPLATE.FAT&amp;display_string=Audit&amp;VAR:KEY=LWHQLQRQPC&amp;VAR:QUERY=RkZfRUJJVERBX0lCKCdMVE1TJywzODUxMyk=&amp;WINDOW=FIRST_POPUP&amp;HEIGHT=450&amp;WIDTH=450&amp;START_MA","XIMIZED=FALSE&amp;VAR:CALENDAR=US&amp;VAR:SYMBOL=04916420&amp;VAR:INDEX=0"}</definedName>
    <definedName name="_10856__FDSAUDITLINK__" hidden="1">{"fdsup://directions/FAT Viewer?action=UPDATE&amp;creator=factset&amp;DYN_ARGS=TRUE&amp;DOC_NAME=FAT:FQL_AUDITING_CLIENT_TEMPLATE.FAT&amp;display_string=Audit&amp;VAR:KEY=LWHQLQRQPC&amp;VAR:QUERY=RkZfRUJJVERBX0lCKCdMVE1TJywzODUxMyk=&amp;WINDOW=FIRST_POPUP&amp;HEIGHT=450&amp;WIDTH=450&amp;START_MA","XIMIZED=FALSE&amp;VAR:CALENDAR=US&amp;VAR:SYMBOL=04916420&amp;VAR:INDEX=0"}</definedName>
    <definedName name="_10857__FDSAUDITLINK__" localSheetId="6" hidden="1">{"fdsup://directions/FAT Viewer?action=UPDATE&amp;creator=factset&amp;DYN_ARGS=TRUE&amp;DOC_NAME=FAT:FQL_AUDITING_CLIENT_TEMPLATE.FAT&amp;display_string=Audit&amp;VAR:KEY=PMZEXMFKDG&amp;VAR:QUERY=RkZfRUJJVERBX0lCKCdMVE1TJywzODUxMik=&amp;WINDOW=FIRST_POPUP&amp;HEIGHT=450&amp;WIDTH=450&amp;START_MA","XIMIZED=FALSE&amp;VAR:CALENDAR=US&amp;VAR:SYMBOL=04916420&amp;VAR:INDEX=0"}</definedName>
    <definedName name="_10857__FDSAUDITLINK__" hidden="1">{"fdsup://directions/FAT Viewer?action=UPDATE&amp;creator=factset&amp;DYN_ARGS=TRUE&amp;DOC_NAME=FAT:FQL_AUDITING_CLIENT_TEMPLATE.FAT&amp;display_string=Audit&amp;VAR:KEY=PMZEXMFKDG&amp;VAR:QUERY=RkZfRUJJVERBX0lCKCdMVE1TJywzODUxMik=&amp;WINDOW=FIRST_POPUP&amp;HEIGHT=450&amp;WIDTH=450&amp;START_MA","XIMIZED=FALSE&amp;VAR:CALENDAR=US&amp;VAR:SYMBOL=04916420&amp;VAR:INDEX=0"}</definedName>
    <definedName name="_10858__FDSAUDITLINK__" localSheetId="6" hidden="1">{"fdsup://directions/FAT Viewer?action=UPDATE&amp;creator=factset&amp;DYN_ARGS=TRUE&amp;DOC_NAME=FAT:FQL_AUDITING_CLIENT_TEMPLATE.FAT&amp;display_string=Audit&amp;VAR:KEY=ZEXKVYBIHK&amp;VAR:QUERY=RkZfRUJJVERBX0lCKCdMVE1TJywzODUxMSk=&amp;WINDOW=FIRST_POPUP&amp;HEIGHT=450&amp;WIDTH=450&amp;START_MA","XIMIZED=FALSE&amp;VAR:CALENDAR=US&amp;VAR:SYMBOL=04916420&amp;VAR:INDEX=0"}</definedName>
    <definedName name="_10858__FDSAUDITLINK__" hidden="1">{"fdsup://directions/FAT Viewer?action=UPDATE&amp;creator=factset&amp;DYN_ARGS=TRUE&amp;DOC_NAME=FAT:FQL_AUDITING_CLIENT_TEMPLATE.FAT&amp;display_string=Audit&amp;VAR:KEY=ZEXKVYBIHK&amp;VAR:QUERY=RkZfRUJJVERBX0lCKCdMVE1TJywzODUxMSk=&amp;WINDOW=FIRST_POPUP&amp;HEIGHT=450&amp;WIDTH=450&amp;START_MA","XIMIZED=FALSE&amp;VAR:CALENDAR=US&amp;VAR:SYMBOL=04916420&amp;VAR:INDEX=0"}</definedName>
    <definedName name="_10859__FDSAUDITLINK__" localSheetId="6" hidden="1">{"fdsup://directions/FAT Viewer?action=UPDATE&amp;creator=factset&amp;DYN_ARGS=TRUE&amp;DOC_NAME=FAT:FQL_AUDITING_CLIENT_TEMPLATE.FAT&amp;display_string=Audit&amp;VAR:KEY=TURUVELGHE&amp;VAR:QUERY=RkZfRUJJVERBX0lCKCdMVE1TJywzODUxMCk=&amp;WINDOW=FIRST_POPUP&amp;HEIGHT=450&amp;WIDTH=450&amp;START_MA","XIMIZED=FALSE&amp;VAR:CALENDAR=US&amp;VAR:SYMBOL=04916420&amp;VAR:INDEX=0"}</definedName>
    <definedName name="_10859__FDSAUDITLINK__" hidden="1">{"fdsup://directions/FAT Viewer?action=UPDATE&amp;creator=factset&amp;DYN_ARGS=TRUE&amp;DOC_NAME=FAT:FQL_AUDITING_CLIENT_TEMPLATE.FAT&amp;display_string=Audit&amp;VAR:KEY=TURUVELGHE&amp;VAR:QUERY=RkZfRUJJVERBX0lCKCdMVE1TJywzODUxMCk=&amp;WINDOW=FIRST_POPUP&amp;HEIGHT=450&amp;WIDTH=450&amp;START_MA","XIMIZED=FALSE&amp;VAR:CALENDAR=US&amp;VAR:SYMBOL=04916420&amp;VAR:INDEX=0"}</definedName>
    <definedName name="_1086__FDSAUDITLINK__" localSheetId="6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6__FDSAUDITLINK__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60__FDSAUDITLINK__" localSheetId="6" hidden="1">{"fdsup://directions/FAT Viewer?action=UPDATE&amp;creator=factset&amp;DYN_ARGS=TRUE&amp;DOC_NAME=FAT:FQL_AUDITING_CLIENT_TEMPLATE.FAT&amp;display_string=Audit&amp;VAR:KEY=PUFQHEDSDQ&amp;VAR:QUERY=RkZfRUJJVERBX0lCKCdMVE1TJywzODUwOSk=&amp;WINDOW=FIRST_POPUP&amp;HEIGHT=450&amp;WIDTH=450&amp;START_MA","XIMIZED=FALSE&amp;VAR:CALENDAR=US&amp;VAR:SYMBOL=04916420&amp;VAR:INDEX=0"}</definedName>
    <definedName name="_10860__FDSAUDITLINK__" hidden="1">{"fdsup://directions/FAT Viewer?action=UPDATE&amp;creator=factset&amp;DYN_ARGS=TRUE&amp;DOC_NAME=FAT:FQL_AUDITING_CLIENT_TEMPLATE.FAT&amp;display_string=Audit&amp;VAR:KEY=PUFQHEDSDQ&amp;VAR:QUERY=RkZfRUJJVERBX0lCKCdMVE1TJywzODUwOSk=&amp;WINDOW=FIRST_POPUP&amp;HEIGHT=450&amp;WIDTH=450&amp;START_MA","XIMIZED=FALSE&amp;VAR:CALENDAR=US&amp;VAR:SYMBOL=04916420&amp;VAR:INDEX=0"}</definedName>
    <definedName name="_10861__FDSAUDITLINK__" localSheetId="6" hidden="1">{"fdsup://directions/FAT Viewer?action=UPDATE&amp;creator=factset&amp;DYN_ARGS=TRUE&amp;DOC_NAME=FAT:FQL_AUDITING_CLIENT_TEMPLATE.FAT&amp;display_string=Audit&amp;VAR:KEY=NMTCZAROHU&amp;VAR:QUERY=RkZfRUJJVERBX0lCKCdMVE1TJywzODUwOCk=&amp;WINDOW=FIRST_POPUP&amp;HEIGHT=450&amp;WIDTH=450&amp;START_MA","XIMIZED=FALSE&amp;VAR:CALENDAR=US&amp;VAR:SYMBOL=04916420&amp;VAR:INDEX=0"}</definedName>
    <definedName name="_10861__FDSAUDITLINK__" hidden="1">{"fdsup://directions/FAT Viewer?action=UPDATE&amp;creator=factset&amp;DYN_ARGS=TRUE&amp;DOC_NAME=FAT:FQL_AUDITING_CLIENT_TEMPLATE.FAT&amp;display_string=Audit&amp;VAR:KEY=NMTCZAROHU&amp;VAR:QUERY=RkZfRUJJVERBX0lCKCdMVE1TJywzODUwOCk=&amp;WINDOW=FIRST_POPUP&amp;HEIGHT=450&amp;WIDTH=450&amp;START_MA","XIMIZED=FALSE&amp;VAR:CALENDAR=US&amp;VAR:SYMBOL=04916420&amp;VAR:INDEX=0"}</definedName>
    <definedName name="_10862__FDSAUDITLINK__" localSheetId="6" hidden="1">{"fdsup://directions/FAT Viewer?action=UPDATE&amp;creator=factset&amp;DYN_ARGS=TRUE&amp;DOC_NAME=FAT:FQL_AUDITING_CLIENT_TEMPLATE.FAT&amp;display_string=Audit&amp;VAR:KEY=JMXWZOBCRC&amp;VAR:QUERY=RkZfRUJJVERBX0lCKCdMVE1TJywzODUwNyk=&amp;WINDOW=FIRST_POPUP&amp;HEIGHT=450&amp;WIDTH=450&amp;START_MA","XIMIZED=FALSE&amp;VAR:CALENDAR=US&amp;VAR:SYMBOL=04916420&amp;VAR:INDEX=0"}</definedName>
    <definedName name="_10862__FDSAUDITLINK__" hidden="1">{"fdsup://directions/FAT Viewer?action=UPDATE&amp;creator=factset&amp;DYN_ARGS=TRUE&amp;DOC_NAME=FAT:FQL_AUDITING_CLIENT_TEMPLATE.FAT&amp;display_string=Audit&amp;VAR:KEY=JMXWZOBCRC&amp;VAR:QUERY=RkZfRUJJVERBX0lCKCdMVE1TJywzODUwNyk=&amp;WINDOW=FIRST_POPUP&amp;HEIGHT=450&amp;WIDTH=450&amp;START_MA","XIMIZED=FALSE&amp;VAR:CALENDAR=US&amp;VAR:SYMBOL=04916420&amp;VAR:INDEX=0"}</definedName>
    <definedName name="_10863__FDSAUDITLINK__" localSheetId="6" hidden="1">{"fdsup://directions/FAT Viewer?action=UPDATE&amp;creator=factset&amp;DYN_ARGS=TRUE&amp;DOC_NAME=FAT:FQL_AUDITING_CLIENT_TEMPLATE.FAT&amp;display_string=Audit&amp;VAR:KEY=TEXGHGLELY&amp;VAR:QUERY=RkZfRUJJVERBX0lCKCdMVE1TJywzODUwNik=&amp;WINDOW=FIRST_POPUP&amp;HEIGHT=450&amp;WIDTH=450&amp;START_MA","XIMIZED=FALSE&amp;VAR:CALENDAR=US&amp;VAR:SYMBOL=04916420&amp;VAR:INDEX=0"}</definedName>
    <definedName name="_10863__FDSAUDITLINK__" hidden="1">{"fdsup://directions/FAT Viewer?action=UPDATE&amp;creator=factset&amp;DYN_ARGS=TRUE&amp;DOC_NAME=FAT:FQL_AUDITING_CLIENT_TEMPLATE.FAT&amp;display_string=Audit&amp;VAR:KEY=TEXGHGLELY&amp;VAR:QUERY=RkZfRUJJVERBX0lCKCdMVE1TJywzODUwNik=&amp;WINDOW=FIRST_POPUP&amp;HEIGHT=450&amp;WIDTH=450&amp;START_MA","XIMIZED=FALSE&amp;VAR:CALENDAR=US&amp;VAR:SYMBOL=04916420&amp;VAR:INDEX=0"}</definedName>
    <definedName name="_10864__FDSAUDITLINK__" localSheetId="6" hidden="1">{"fdsup://directions/FAT Viewer?action=UPDATE&amp;creator=factset&amp;DYN_ARGS=TRUE&amp;DOC_NAME=FAT:FQL_AUDITING_CLIENT_TEMPLATE.FAT&amp;display_string=Audit&amp;VAR:KEY=VEHWBGFANS&amp;VAR:QUERY=RkZfRUJJVERBX0lCKCdMVE1TJywzODUwNSk=&amp;WINDOW=FIRST_POPUP&amp;HEIGHT=450&amp;WIDTH=450&amp;START_MA","XIMIZED=FALSE&amp;VAR:CALENDAR=US&amp;VAR:SYMBOL=04916420&amp;VAR:INDEX=0"}</definedName>
    <definedName name="_10864__FDSAUDITLINK__" hidden="1">{"fdsup://directions/FAT Viewer?action=UPDATE&amp;creator=factset&amp;DYN_ARGS=TRUE&amp;DOC_NAME=FAT:FQL_AUDITING_CLIENT_TEMPLATE.FAT&amp;display_string=Audit&amp;VAR:KEY=VEHWBGFANS&amp;VAR:QUERY=RkZfRUJJVERBX0lCKCdMVE1TJywzODUwNSk=&amp;WINDOW=FIRST_POPUP&amp;HEIGHT=450&amp;WIDTH=450&amp;START_MA","XIMIZED=FALSE&amp;VAR:CALENDAR=US&amp;VAR:SYMBOL=04916420&amp;VAR:INDEX=0"}</definedName>
    <definedName name="_10865__FDSAUDITLINK__" localSheetId="6" hidden="1">{"fdsup://directions/FAT Viewer?action=UPDATE&amp;creator=factset&amp;DYN_ARGS=TRUE&amp;DOC_NAME=FAT:FQL_AUDITING_CLIENT_TEMPLATE.FAT&amp;display_string=Audit&amp;VAR:KEY=BERCDYJMBA&amp;VAR:QUERY=RkZfRUJJVERBX0lCKCdMVE1TJywzODUwNCk=&amp;WINDOW=FIRST_POPUP&amp;HEIGHT=450&amp;WIDTH=450&amp;START_MA","XIMIZED=FALSE&amp;VAR:CALENDAR=US&amp;VAR:SYMBOL=04916420&amp;VAR:INDEX=0"}</definedName>
    <definedName name="_10865__FDSAUDITLINK__" hidden="1">{"fdsup://directions/FAT Viewer?action=UPDATE&amp;creator=factset&amp;DYN_ARGS=TRUE&amp;DOC_NAME=FAT:FQL_AUDITING_CLIENT_TEMPLATE.FAT&amp;display_string=Audit&amp;VAR:KEY=BERCDYJMBA&amp;VAR:QUERY=RkZfRUJJVERBX0lCKCdMVE1TJywzODUwNCk=&amp;WINDOW=FIRST_POPUP&amp;HEIGHT=450&amp;WIDTH=450&amp;START_MA","XIMIZED=FALSE&amp;VAR:CALENDAR=US&amp;VAR:SYMBOL=04916420&amp;VAR:INDEX=0"}</definedName>
    <definedName name="_10866__FDSAUDITLINK__" localSheetId="6" hidden="1">{"fdsup://directions/FAT Viewer?action=UPDATE&amp;creator=factset&amp;DYN_ARGS=TRUE&amp;DOC_NAME=FAT:FQL_AUDITING_CLIENT_TEMPLATE.FAT&amp;display_string=Audit&amp;VAR:KEY=VEHCRQVIPI&amp;VAR:QUERY=RkZfRUJJVERBX0lCKCdMVE1TJywzODUwMyk=&amp;WINDOW=FIRST_POPUP&amp;HEIGHT=450&amp;WIDTH=450&amp;START_MA","XIMIZED=FALSE&amp;VAR:CALENDAR=US&amp;VAR:SYMBOL=04916420&amp;VAR:INDEX=0"}</definedName>
    <definedName name="_10866__FDSAUDITLINK__" hidden="1">{"fdsup://directions/FAT Viewer?action=UPDATE&amp;creator=factset&amp;DYN_ARGS=TRUE&amp;DOC_NAME=FAT:FQL_AUDITING_CLIENT_TEMPLATE.FAT&amp;display_string=Audit&amp;VAR:KEY=VEHCRQVIPI&amp;VAR:QUERY=RkZfRUJJVERBX0lCKCdMVE1TJywzODUwMyk=&amp;WINDOW=FIRST_POPUP&amp;HEIGHT=450&amp;WIDTH=450&amp;START_MA","XIMIZED=FALSE&amp;VAR:CALENDAR=US&amp;VAR:SYMBOL=04916420&amp;VAR:INDEX=0"}</definedName>
    <definedName name="_10867__FDSAUDITLINK__" localSheetId="6" hidden="1">{"fdsup://directions/FAT Viewer?action=UPDATE&amp;creator=factset&amp;DYN_ARGS=TRUE&amp;DOC_NAME=FAT:FQL_AUDITING_CLIENT_TEMPLATE.FAT&amp;display_string=Audit&amp;VAR:KEY=BETWPYFGPA&amp;VAR:QUERY=RkZfRUJJVERBX0lCKCdMVE1TJywzODUwMik=&amp;WINDOW=FIRST_POPUP&amp;HEIGHT=450&amp;WIDTH=450&amp;START_MA","XIMIZED=FALSE&amp;VAR:CALENDAR=US&amp;VAR:SYMBOL=04916420&amp;VAR:INDEX=0"}</definedName>
    <definedName name="_10867__FDSAUDITLINK__" hidden="1">{"fdsup://directions/FAT Viewer?action=UPDATE&amp;creator=factset&amp;DYN_ARGS=TRUE&amp;DOC_NAME=FAT:FQL_AUDITING_CLIENT_TEMPLATE.FAT&amp;display_string=Audit&amp;VAR:KEY=BETWPYFGPA&amp;VAR:QUERY=RkZfRUJJVERBX0lCKCdMVE1TJywzODUwMik=&amp;WINDOW=FIRST_POPUP&amp;HEIGHT=450&amp;WIDTH=450&amp;START_MA","XIMIZED=FALSE&amp;VAR:CALENDAR=US&amp;VAR:SYMBOL=04916420&amp;VAR:INDEX=0"}</definedName>
    <definedName name="_10868__FDSAUDITLINK__" localSheetId="6" hidden="1">{"fdsup://directions/FAT Viewer?action=UPDATE&amp;creator=factset&amp;DYN_ARGS=TRUE&amp;DOC_NAME=FAT:FQL_AUDITING_CLIENT_TEMPLATE.FAT&amp;display_string=Audit&amp;VAR:KEY=BSNGNUFSNC&amp;VAR:QUERY=RkZfRUJJVERBX0lCKCdMVE1TJywzODUwMSk=&amp;WINDOW=FIRST_POPUP&amp;HEIGHT=450&amp;WIDTH=450&amp;START_MA","XIMIZED=FALSE&amp;VAR:CALENDAR=US&amp;VAR:SYMBOL=04916420&amp;VAR:INDEX=0"}</definedName>
    <definedName name="_10868__FDSAUDITLINK__" hidden="1">{"fdsup://directions/FAT Viewer?action=UPDATE&amp;creator=factset&amp;DYN_ARGS=TRUE&amp;DOC_NAME=FAT:FQL_AUDITING_CLIENT_TEMPLATE.FAT&amp;display_string=Audit&amp;VAR:KEY=BSNGNUFSNC&amp;VAR:QUERY=RkZfRUJJVERBX0lCKCdMVE1TJywzODUwMSk=&amp;WINDOW=FIRST_POPUP&amp;HEIGHT=450&amp;WIDTH=450&amp;START_MA","XIMIZED=FALSE&amp;VAR:CALENDAR=US&amp;VAR:SYMBOL=04916420&amp;VAR:INDEX=0"}</definedName>
    <definedName name="_10869__FDSAUDITLINK__" localSheetId="6" hidden="1">{"fdsup://directions/FAT Viewer?action=UPDATE&amp;creator=factset&amp;DYN_ARGS=TRUE&amp;DOC_NAME=FAT:FQL_AUDITING_CLIENT_TEMPLATE.FAT&amp;display_string=Audit&amp;VAR:KEY=JGXWRIZAVS&amp;VAR:QUERY=RkZfRUJJVERBX0lCKCdMVE1TJywzODUwMCk=&amp;WINDOW=FIRST_POPUP&amp;HEIGHT=450&amp;WIDTH=450&amp;START_MA","XIMIZED=FALSE&amp;VAR:CALENDAR=US&amp;VAR:SYMBOL=04916420&amp;VAR:INDEX=0"}</definedName>
    <definedName name="_10869__FDSAUDITLINK__" hidden="1">{"fdsup://directions/FAT Viewer?action=UPDATE&amp;creator=factset&amp;DYN_ARGS=TRUE&amp;DOC_NAME=FAT:FQL_AUDITING_CLIENT_TEMPLATE.FAT&amp;display_string=Audit&amp;VAR:KEY=JGXWRIZAVS&amp;VAR:QUERY=RkZfRUJJVERBX0lCKCdMVE1TJywzODUwMCk=&amp;WINDOW=FIRST_POPUP&amp;HEIGHT=450&amp;WIDTH=450&amp;START_MA","XIMIZED=FALSE&amp;VAR:CALENDAR=US&amp;VAR:SYMBOL=04916420&amp;VAR:INDEX=0"}</definedName>
    <definedName name="_1087__FDSAUDITLINK__" localSheetId="6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7__FDSAUDITLINK__" hidden="1">{"fdsup://directions/FAT%20Viewer?VAR:PED=LTM&amp;VAR:AUDIT_MODE=SUMMARY&amp;VAR:PERIOD=FIXED&amp;VAR:AUDIT_ID=00000117&amp;VAR:DATE=20070302&amp;action=UPDATE&amp;creator=factset&amp;DOC_NAME=FAT:FMA_audit_SUMMARY.fat&amp;DISPLAY_STRING=Display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70__FDSAUDITLINK__" localSheetId="6" hidden="1">{"fdsup://directions/FAT Viewer?action=UPDATE&amp;creator=factset&amp;DYN_ARGS=TRUE&amp;DOC_NAME=FAT:FQL_AUDITING_CLIENT_TEMPLATE.FAT&amp;display_string=Audit&amp;VAR:KEY=JCPEHUXEPA&amp;VAR:QUERY=RkZfRUJJVERBX0lCKCdMVE1TJywzODQ5OSk=&amp;WINDOW=FIRST_POPUP&amp;HEIGHT=450&amp;WIDTH=450&amp;START_MA","XIMIZED=FALSE&amp;VAR:CALENDAR=US&amp;VAR:SYMBOL=04916420&amp;VAR:INDEX=0"}</definedName>
    <definedName name="_10870__FDSAUDITLINK__" hidden="1">{"fdsup://directions/FAT Viewer?action=UPDATE&amp;creator=factset&amp;DYN_ARGS=TRUE&amp;DOC_NAME=FAT:FQL_AUDITING_CLIENT_TEMPLATE.FAT&amp;display_string=Audit&amp;VAR:KEY=JCPEHUXEPA&amp;VAR:QUERY=RkZfRUJJVERBX0lCKCdMVE1TJywzODQ5OSk=&amp;WINDOW=FIRST_POPUP&amp;HEIGHT=450&amp;WIDTH=450&amp;START_MA","XIMIZED=FALSE&amp;VAR:CALENDAR=US&amp;VAR:SYMBOL=04916420&amp;VAR:INDEX=0"}</definedName>
    <definedName name="_10871__FDSAUDITLINK__" localSheetId="6" hidden="1">{"fdsup://directions/FAT Viewer?action=UPDATE&amp;creator=factset&amp;DYN_ARGS=TRUE&amp;DOC_NAME=FAT:FQL_AUDITING_CLIENT_TEMPLATE.FAT&amp;display_string=Audit&amp;VAR:KEY=PUBGFOJGHG&amp;VAR:QUERY=RkZfRUJJVERBX0lCKCdMVE1TJywzODQ5OCk=&amp;WINDOW=FIRST_POPUP&amp;HEIGHT=450&amp;WIDTH=450&amp;START_MA","XIMIZED=FALSE&amp;VAR:CALENDAR=US&amp;VAR:SYMBOL=04916420&amp;VAR:INDEX=0"}</definedName>
    <definedName name="_10871__FDSAUDITLINK__" hidden="1">{"fdsup://directions/FAT Viewer?action=UPDATE&amp;creator=factset&amp;DYN_ARGS=TRUE&amp;DOC_NAME=FAT:FQL_AUDITING_CLIENT_TEMPLATE.FAT&amp;display_string=Audit&amp;VAR:KEY=PUBGFOJGHG&amp;VAR:QUERY=RkZfRUJJVERBX0lCKCdMVE1TJywzODQ5OCk=&amp;WINDOW=FIRST_POPUP&amp;HEIGHT=450&amp;WIDTH=450&amp;START_MA","XIMIZED=FALSE&amp;VAR:CALENDAR=US&amp;VAR:SYMBOL=04916420&amp;VAR:INDEX=0"}</definedName>
    <definedName name="_10872__FDSAUDITLINK__" localSheetId="6" hidden="1">{"fdsup://directions/FAT Viewer?action=UPDATE&amp;creator=factset&amp;DYN_ARGS=TRUE&amp;DOC_NAME=FAT:FQL_AUDITING_CLIENT_TEMPLATE.FAT&amp;display_string=Audit&amp;VAR:KEY=NKXGHSJKVU&amp;VAR:QUERY=RkZfRUJJVERBX0lCKCdMVE1TJywzODQ5Nyk=&amp;WINDOW=FIRST_POPUP&amp;HEIGHT=450&amp;WIDTH=450&amp;START_MA","XIMIZED=FALSE&amp;VAR:CALENDAR=US&amp;VAR:SYMBOL=04916420&amp;VAR:INDEX=0"}</definedName>
    <definedName name="_10872__FDSAUDITLINK__" hidden="1">{"fdsup://directions/FAT Viewer?action=UPDATE&amp;creator=factset&amp;DYN_ARGS=TRUE&amp;DOC_NAME=FAT:FQL_AUDITING_CLIENT_TEMPLATE.FAT&amp;display_string=Audit&amp;VAR:KEY=NKXGHSJKVU&amp;VAR:QUERY=RkZfRUJJVERBX0lCKCdMVE1TJywzODQ5Nyk=&amp;WINDOW=FIRST_POPUP&amp;HEIGHT=450&amp;WIDTH=450&amp;START_MA","XIMIZED=FALSE&amp;VAR:CALENDAR=US&amp;VAR:SYMBOL=04916420&amp;VAR:INDEX=0"}</definedName>
    <definedName name="_10873__FDSAUDITLINK__" localSheetId="6" hidden="1">{"fdsup://directions/FAT Viewer?action=UPDATE&amp;creator=factset&amp;DYN_ARGS=TRUE&amp;DOC_NAME=FAT:FQL_AUDITING_CLIENT_TEMPLATE.FAT&amp;display_string=Audit&amp;VAR:KEY=BMNWDKBKLI&amp;VAR:QUERY=RkZfRUJJVERBX0lCKCdMVE1TJywzODQ5Nik=&amp;WINDOW=FIRST_POPUP&amp;HEIGHT=450&amp;WIDTH=450&amp;START_MA","XIMIZED=FALSE&amp;VAR:CALENDAR=US&amp;VAR:SYMBOL=04916420&amp;VAR:INDEX=0"}</definedName>
    <definedName name="_10873__FDSAUDITLINK__" hidden="1">{"fdsup://directions/FAT Viewer?action=UPDATE&amp;creator=factset&amp;DYN_ARGS=TRUE&amp;DOC_NAME=FAT:FQL_AUDITING_CLIENT_TEMPLATE.FAT&amp;display_string=Audit&amp;VAR:KEY=BMNWDKBKLI&amp;VAR:QUERY=RkZfRUJJVERBX0lCKCdMVE1TJywzODQ5Nik=&amp;WINDOW=FIRST_POPUP&amp;HEIGHT=450&amp;WIDTH=450&amp;START_MA","XIMIZED=FALSE&amp;VAR:CALENDAR=US&amp;VAR:SYMBOL=04916420&amp;VAR:INDEX=0"}</definedName>
    <definedName name="_10874__FDSAUDITLINK__" localSheetId="6" hidden="1">{"fdsup://directions/FAT Viewer?action=UPDATE&amp;creator=factset&amp;DYN_ARGS=TRUE&amp;DOC_NAME=FAT:FQL_AUDITING_CLIENT_TEMPLATE.FAT&amp;display_string=Audit&amp;VAR:KEY=TQZQVWTCRI&amp;VAR:QUERY=RkZfRUJJVERBX0lCKCdMVE1TJywzODQ5NSk=&amp;WINDOW=FIRST_POPUP&amp;HEIGHT=450&amp;WIDTH=450&amp;START_MA","XIMIZED=FALSE&amp;VAR:CALENDAR=US&amp;VAR:SYMBOL=04916420&amp;VAR:INDEX=0"}</definedName>
    <definedName name="_10874__FDSAUDITLINK__" hidden="1">{"fdsup://directions/FAT Viewer?action=UPDATE&amp;creator=factset&amp;DYN_ARGS=TRUE&amp;DOC_NAME=FAT:FQL_AUDITING_CLIENT_TEMPLATE.FAT&amp;display_string=Audit&amp;VAR:KEY=TQZQVWTCRI&amp;VAR:QUERY=RkZfRUJJVERBX0lCKCdMVE1TJywzODQ5NSk=&amp;WINDOW=FIRST_POPUP&amp;HEIGHT=450&amp;WIDTH=450&amp;START_MA","XIMIZED=FALSE&amp;VAR:CALENDAR=US&amp;VAR:SYMBOL=04916420&amp;VAR:INDEX=0"}</definedName>
    <definedName name="_10875__FDSAUDITLINK__" localSheetId="6" hidden="1">{"fdsup://directions/FAT Viewer?action=UPDATE&amp;creator=factset&amp;DYN_ARGS=TRUE&amp;DOC_NAME=FAT:FQL_AUDITING_CLIENT_TEMPLATE.FAT&amp;display_string=Audit&amp;VAR:KEY=HAXQVOLIHQ&amp;VAR:QUERY=RkZfRUJJVERBX0lCKCdMVE1TJywzODQ5NCk=&amp;WINDOW=FIRST_POPUP&amp;HEIGHT=450&amp;WIDTH=450&amp;START_MA","XIMIZED=FALSE&amp;VAR:CALENDAR=US&amp;VAR:SYMBOL=04916420&amp;VAR:INDEX=0"}</definedName>
    <definedName name="_10875__FDSAUDITLINK__" hidden="1">{"fdsup://directions/FAT Viewer?action=UPDATE&amp;creator=factset&amp;DYN_ARGS=TRUE&amp;DOC_NAME=FAT:FQL_AUDITING_CLIENT_TEMPLATE.FAT&amp;display_string=Audit&amp;VAR:KEY=HAXQVOLIHQ&amp;VAR:QUERY=RkZfRUJJVERBX0lCKCdMVE1TJywzODQ5NCk=&amp;WINDOW=FIRST_POPUP&amp;HEIGHT=450&amp;WIDTH=450&amp;START_MA","XIMIZED=FALSE&amp;VAR:CALENDAR=US&amp;VAR:SYMBOL=04916420&amp;VAR:INDEX=0"}</definedName>
    <definedName name="_10876__FDSAUDITLINK__" localSheetId="6" hidden="1">{"fdsup://directions/FAT Viewer?action=UPDATE&amp;creator=factset&amp;DYN_ARGS=TRUE&amp;DOC_NAME=FAT:FQL_AUDITING_CLIENT_TEMPLATE.FAT&amp;display_string=Audit&amp;VAR:KEY=VEFIVUNSTO&amp;VAR:QUERY=RkZfRUJJVERBX0lCKCdMVE1TJywzODQ5Myk=&amp;WINDOW=FIRST_POPUP&amp;HEIGHT=450&amp;WIDTH=450&amp;START_MA","XIMIZED=FALSE&amp;VAR:CALENDAR=US&amp;VAR:SYMBOL=04916420&amp;VAR:INDEX=0"}</definedName>
    <definedName name="_10876__FDSAUDITLINK__" hidden="1">{"fdsup://directions/FAT Viewer?action=UPDATE&amp;creator=factset&amp;DYN_ARGS=TRUE&amp;DOC_NAME=FAT:FQL_AUDITING_CLIENT_TEMPLATE.FAT&amp;display_string=Audit&amp;VAR:KEY=VEFIVUNSTO&amp;VAR:QUERY=RkZfRUJJVERBX0lCKCdMVE1TJywzODQ5Myk=&amp;WINDOW=FIRST_POPUP&amp;HEIGHT=450&amp;WIDTH=450&amp;START_MA","XIMIZED=FALSE&amp;VAR:CALENDAR=US&amp;VAR:SYMBOL=04916420&amp;VAR:INDEX=0"}</definedName>
    <definedName name="_10877__FDSAUDITLINK__" localSheetId="6" hidden="1">{"fdsup://directions/FAT Viewer?action=UPDATE&amp;creator=factset&amp;DYN_ARGS=TRUE&amp;DOC_NAME=FAT:FQL_AUDITING_CLIENT_TEMPLATE.FAT&amp;display_string=Audit&amp;VAR:KEY=FWZSHGTMPQ&amp;VAR:QUERY=RkZfRUJJVERBX0lCKCdMVE1TJywzODQ5Mik=&amp;WINDOW=FIRST_POPUP&amp;HEIGHT=450&amp;WIDTH=450&amp;START_MA","XIMIZED=FALSE&amp;VAR:CALENDAR=US&amp;VAR:SYMBOL=04916420&amp;VAR:INDEX=0"}</definedName>
    <definedName name="_10877__FDSAUDITLINK__" hidden="1">{"fdsup://directions/FAT Viewer?action=UPDATE&amp;creator=factset&amp;DYN_ARGS=TRUE&amp;DOC_NAME=FAT:FQL_AUDITING_CLIENT_TEMPLATE.FAT&amp;display_string=Audit&amp;VAR:KEY=FWZSHGTMPQ&amp;VAR:QUERY=RkZfRUJJVERBX0lCKCdMVE1TJywzODQ5Mik=&amp;WINDOW=FIRST_POPUP&amp;HEIGHT=450&amp;WIDTH=450&amp;START_MA","XIMIZED=FALSE&amp;VAR:CALENDAR=US&amp;VAR:SYMBOL=04916420&amp;VAR:INDEX=0"}</definedName>
    <definedName name="_10878__FDSAUDITLINK__" localSheetId="6" hidden="1">{"fdsup://directions/FAT Viewer?action=UPDATE&amp;creator=factset&amp;DYN_ARGS=TRUE&amp;DOC_NAME=FAT:FQL_AUDITING_CLIENT_TEMPLATE.FAT&amp;display_string=Audit&amp;VAR:KEY=JUXGFGJGFK&amp;VAR:QUERY=RkZfRUJJVERBX0lCKCdMVE1TJywzODQ5MSk=&amp;WINDOW=FIRST_POPUP&amp;HEIGHT=450&amp;WIDTH=450&amp;START_MA","XIMIZED=FALSE&amp;VAR:CALENDAR=US&amp;VAR:SYMBOL=04916420&amp;VAR:INDEX=0"}</definedName>
    <definedName name="_10878__FDSAUDITLINK__" hidden="1">{"fdsup://directions/FAT Viewer?action=UPDATE&amp;creator=factset&amp;DYN_ARGS=TRUE&amp;DOC_NAME=FAT:FQL_AUDITING_CLIENT_TEMPLATE.FAT&amp;display_string=Audit&amp;VAR:KEY=JUXGFGJGFK&amp;VAR:QUERY=RkZfRUJJVERBX0lCKCdMVE1TJywzODQ5MSk=&amp;WINDOW=FIRST_POPUP&amp;HEIGHT=450&amp;WIDTH=450&amp;START_MA","XIMIZED=FALSE&amp;VAR:CALENDAR=US&amp;VAR:SYMBOL=04916420&amp;VAR:INDEX=0"}</definedName>
    <definedName name="_10879__FDSAUDITLINK__" localSheetId="6" hidden="1">{"fdsup://directions/FAT Viewer?action=UPDATE&amp;creator=factset&amp;DYN_ARGS=TRUE&amp;DOC_NAME=FAT:FQL_AUDITING_CLIENT_TEMPLATE.FAT&amp;display_string=Audit&amp;VAR:KEY=XAJANGHMTQ&amp;VAR:QUERY=RkZfRUJJVERBX0lCKCdMVE1TJywzODQ5MCk=&amp;WINDOW=FIRST_POPUP&amp;HEIGHT=450&amp;WIDTH=450&amp;START_MA","XIMIZED=FALSE&amp;VAR:CALENDAR=US&amp;VAR:SYMBOL=04916420&amp;VAR:INDEX=0"}</definedName>
    <definedName name="_10879__FDSAUDITLINK__" hidden="1">{"fdsup://directions/FAT Viewer?action=UPDATE&amp;creator=factset&amp;DYN_ARGS=TRUE&amp;DOC_NAME=FAT:FQL_AUDITING_CLIENT_TEMPLATE.FAT&amp;display_string=Audit&amp;VAR:KEY=XAJANGHMTQ&amp;VAR:QUERY=RkZfRUJJVERBX0lCKCdMVE1TJywzODQ5MCk=&amp;WINDOW=FIRST_POPUP&amp;HEIGHT=450&amp;WIDTH=450&amp;START_MA","XIMIZED=FALSE&amp;VAR:CALENDAR=US&amp;VAR:SYMBOL=04916420&amp;VAR:INDEX=0"}</definedName>
    <definedName name="_1088__FDSAUDITLINK__" localSheetId="6" hidden="1">{"fdsup://directions/FAT%20Viewer?VAR:PED=LTM&amp;VAR:AUDIT_MODE=SUMMARY&amp;VAR:PERIOD=FIXED&amp;VAR:AUDIT_ID=00000117&amp;VAR:DATE=20070301&amp;action=UPDATE&amp;creator=factset&amp;DOC_NAME=FAT:FMA_audit_SUMMARY.fat&amp;DISPLAY_STRING=Display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8__FDSAUDITLINK__" hidden="1">{"fdsup://directions/FAT%20Viewer?VAR:PED=LTM&amp;VAR:AUDIT_MODE=SUMMARY&amp;VAR:PERIOD=FIXED&amp;VAR:AUDIT_ID=00000117&amp;VAR:DATE=20070301&amp;action=UPDATE&amp;creator=factset&amp;DOC_NAME=FAT:FMA_audit_SUMMARY.fat&amp;DISPLAY_STRING=Display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80__FDSAUDITLINK__" localSheetId="6" hidden="1">{"fdsup://directions/FAT Viewer?action=UPDATE&amp;creator=factset&amp;DYN_ARGS=TRUE&amp;DOC_NAME=FAT:FQL_AUDITING_CLIENT_TEMPLATE.FAT&amp;display_string=Audit&amp;VAR:KEY=JEDYPIZCXI&amp;VAR:QUERY=RkZfRUJJVERBX0lCKCdMVE1TJywzODQ4OSk=&amp;WINDOW=FIRST_POPUP&amp;HEIGHT=450&amp;WIDTH=450&amp;START_MA","XIMIZED=FALSE&amp;VAR:CALENDAR=US&amp;VAR:SYMBOL=04916420&amp;VAR:INDEX=0"}</definedName>
    <definedName name="_10880__FDSAUDITLINK__" hidden="1">{"fdsup://directions/FAT Viewer?action=UPDATE&amp;creator=factset&amp;DYN_ARGS=TRUE&amp;DOC_NAME=FAT:FQL_AUDITING_CLIENT_TEMPLATE.FAT&amp;display_string=Audit&amp;VAR:KEY=JEDYPIZCXI&amp;VAR:QUERY=RkZfRUJJVERBX0lCKCdMVE1TJywzODQ4OSk=&amp;WINDOW=FIRST_POPUP&amp;HEIGHT=450&amp;WIDTH=450&amp;START_MA","XIMIZED=FALSE&amp;VAR:CALENDAR=US&amp;VAR:SYMBOL=04916420&amp;VAR:INDEX=0"}</definedName>
    <definedName name="_10881__FDSAUDITLINK__" localSheetId="6" hidden="1">{"fdsup://directions/FAT Viewer?action=UPDATE&amp;creator=factset&amp;DYN_ARGS=TRUE&amp;DOC_NAME=FAT:FQL_AUDITING_CLIENT_TEMPLATE.FAT&amp;display_string=Audit&amp;VAR:KEY=FGNSHOLCBK&amp;VAR:QUERY=RkZfRUJJVERBX0lCKCdMVE1TJywzODQ4OCk=&amp;WINDOW=FIRST_POPUP&amp;HEIGHT=450&amp;WIDTH=450&amp;START_MA","XIMIZED=FALSE&amp;VAR:CALENDAR=US&amp;VAR:SYMBOL=04916420&amp;VAR:INDEX=0"}</definedName>
    <definedName name="_10881__FDSAUDITLINK__" hidden="1">{"fdsup://directions/FAT Viewer?action=UPDATE&amp;creator=factset&amp;DYN_ARGS=TRUE&amp;DOC_NAME=FAT:FQL_AUDITING_CLIENT_TEMPLATE.FAT&amp;display_string=Audit&amp;VAR:KEY=FGNSHOLCBK&amp;VAR:QUERY=RkZfRUJJVERBX0lCKCdMVE1TJywzODQ4OCk=&amp;WINDOW=FIRST_POPUP&amp;HEIGHT=450&amp;WIDTH=450&amp;START_MA","XIMIZED=FALSE&amp;VAR:CALENDAR=US&amp;VAR:SYMBOL=04916420&amp;VAR:INDEX=0"}</definedName>
    <definedName name="_10882__FDSAUDITLINK__" localSheetId="6" hidden="1">{"fdsup://directions/FAT Viewer?action=UPDATE&amp;creator=factset&amp;DYN_ARGS=TRUE&amp;DOC_NAME=FAT:FQL_AUDITING_CLIENT_TEMPLATE.FAT&amp;display_string=Audit&amp;VAR:KEY=NEDSVGHMXY&amp;VAR:QUERY=RkZfRUJJVERBX0lCKCdMVE1TJywzODQ4Nyk=&amp;WINDOW=FIRST_POPUP&amp;HEIGHT=450&amp;WIDTH=450&amp;START_MA","XIMIZED=FALSE&amp;VAR:CALENDAR=US&amp;VAR:SYMBOL=04916420&amp;VAR:INDEX=0"}</definedName>
    <definedName name="_10882__FDSAUDITLINK__" hidden="1">{"fdsup://directions/FAT Viewer?action=UPDATE&amp;creator=factset&amp;DYN_ARGS=TRUE&amp;DOC_NAME=FAT:FQL_AUDITING_CLIENT_TEMPLATE.FAT&amp;display_string=Audit&amp;VAR:KEY=NEDSVGHMXY&amp;VAR:QUERY=RkZfRUJJVERBX0lCKCdMVE1TJywzODQ4Nyk=&amp;WINDOW=FIRST_POPUP&amp;HEIGHT=450&amp;WIDTH=450&amp;START_MA","XIMIZED=FALSE&amp;VAR:CALENDAR=US&amp;VAR:SYMBOL=04916420&amp;VAR:INDEX=0"}</definedName>
    <definedName name="_10883__FDSAUDITLINK__" localSheetId="6" hidden="1">{"fdsup://directions/FAT Viewer?action=UPDATE&amp;creator=factset&amp;DYN_ARGS=TRUE&amp;DOC_NAME=FAT:FQL_AUDITING_CLIENT_TEMPLATE.FAT&amp;display_string=Audit&amp;VAR:KEY=HKBYDQNAZE&amp;VAR:QUERY=RkZfRUJJVERBX0lCKCdMVE1TJywzODQ4Nik=&amp;WINDOW=FIRST_POPUP&amp;HEIGHT=450&amp;WIDTH=450&amp;START_MA","XIMIZED=FALSE&amp;VAR:CALENDAR=US&amp;VAR:SYMBOL=04916420&amp;VAR:INDEX=0"}</definedName>
    <definedName name="_10883__FDSAUDITLINK__" hidden="1">{"fdsup://directions/FAT Viewer?action=UPDATE&amp;creator=factset&amp;DYN_ARGS=TRUE&amp;DOC_NAME=FAT:FQL_AUDITING_CLIENT_TEMPLATE.FAT&amp;display_string=Audit&amp;VAR:KEY=HKBYDQNAZE&amp;VAR:QUERY=RkZfRUJJVERBX0lCKCdMVE1TJywzODQ4Nik=&amp;WINDOW=FIRST_POPUP&amp;HEIGHT=450&amp;WIDTH=450&amp;START_MA","XIMIZED=FALSE&amp;VAR:CALENDAR=US&amp;VAR:SYMBOL=04916420&amp;VAR:INDEX=0"}</definedName>
    <definedName name="_10884__FDSAUDITLINK__" localSheetId="6" hidden="1">{"fdsup://directions/FAT Viewer?action=UPDATE&amp;creator=factset&amp;DYN_ARGS=TRUE&amp;DOC_NAME=FAT:FQL_AUDITING_CLIENT_TEMPLATE.FAT&amp;display_string=Audit&amp;VAR:KEY=FITAJKZSLI&amp;VAR:QUERY=RkZfRUJJVERBX0lCKCdMVE1TJywzODQ4NSk=&amp;WINDOW=FIRST_POPUP&amp;HEIGHT=450&amp;WIDTH=450&amp;START_MA","XIMIZED=FALSE&amp;VAR:CALENDAR=US&amp;VAR:SYMBOL=04916420&amp;VAR:INDEX=0"}</definedName>
    <definedName name="_10884__FDSAUDITLINK__" hidden="1">{"fdsup://directions/FAT Viewer?action=UPDATE&amp;creator=factset&amp;DYN_ARGS=TRUE&amp;DOC_NAME=FAT:FQL_AUDITING_CLIENT_TEMPLATE.FAT&amp;display_string=Audit&amp;VAR:KEY=FITAJKZSLI&amp;VAR:QUERY=RkZfRUJJVERBX0lCKCdMVE1TJywzODQ4NSk=&amp;WINDOW=FIRST_POPUP&amp;HEIGHT=450&amp;WIDTH=450&amp;START_MA","XIMIZED=FALSE&amp;VAR:CALENDAR=US&amp;VAR:SYMBOL=04916420&amp;VAR:INDEX=0"}</definedName>
    <definedName name="_10885__FDSAUDITLINK__" localSheetId="6" hidden="1">{"fdsup://directions/FAT Viewer?action=UPDATE&amp;creator=factset&amp;DYN_ARGS=TRUE&amp;DOC_NAME=FAT:FQL_AUDITING_CLIENT_TEMPLATE.FAT&amp;display_string=Audit&amp;VAR:KEY=TKBAXMZKTI&amp;VAR:QUERY=RkZfRUJJVERBX0lCKCdMVE1TJywzODQ4NCk=&amp;WINDOW=FIRST_POPUP&amp;HEIGHT=450&amp;WIDTH=450&amp;START_MA","XIMIZED=FALSE&amp;VAR:CALENDAR=US&amp;VAR:SYMBOL=04916420&amp;VAR:INDEX=0"}</definedName>
    <definedName name="_10885__FDSAUDITLINK__" hidden="1">{"fdsup://directions/FAT Viewer?action=UPDATE&amp;creator=factset&amp;DYN_ARGS=TRUE&amp;DOC_NAME=FAT:FQL_AUDITING_CLIENT_TEMPLATE.FAT&amp;display_string=Audit&amp;VAR:KEY=TKBAXMZKTI&amp;VAR:QUERY=RkZfRUJJVERBX0lCKCdMVE1TJywzODQ4NCk=&amp;WINDOW=FIRST_POPUP&amp;HEIGHT=450&amp;WIDTH=450&amp;START_MA","XIMIZED=FALSE&amp;VAR:CALENDAR=US&amp;VAR:SYMBOL=04916420&amp;VAR:INDEX=0"}</definedName>
    <definedName name="_10886__FDSAUDITLINK__" localSheetId="6" hidden="1">{"fdsup://directions/FAT Viewer?action=UPDATE&amp;creator=factset&amp;DYN_ARGS=TRUE&amp;DOC_NAME=FAT:FQL_AUDITING_CLIENT_TEMPLATE.FAT&amp;display_string=Audit&amp;VAR:KEY=VQRAJCZUXI&amp;VAR:QUERY=RkZfRUJJVERBX0lCKCdMVE1TJywzODQ4Myk=&amp;WINDOW=FIRST_POPUP&amp;HEIGHT=450&amp;WIDTH=450&amp;START_MA","XIMIZED=FALSE&amp;VAR:CALENDAR=US&amp;VAR:SYMBOL=04916420&amp;VAR:INDEX=0"}</definedName>
    <definedName name="_10886__FDSAUDITLINK__" hidden="1">{"fdsup://directions/FAT Viewer?action=UPDATE&amp;creator=factset&amp;DYN_ARGS=TRUE&amp;DOC_NAME=FAT:FQL_AUDITING_CLIENT_TEMPLATE.FAT&amp;display_string=Audit&amp;VAR:KEY=VQRAJCZUXI&amp;VAR:QUERY=RkZfRUJJVERBX0lCKCdMVE1TJywzODQ4Myk=&amp;WINDOW=FIRST_POPUP&amp;HEIGHT=450&amp;WIDTH=450&amp;START_MA","XIMIZED=FALSE&amp;VAR:CALENDAR=US&amp;VAR:SYMBOL=04916420&amp;VAR:INDEX=0"}</definedName>
    <definedName name="_10887__FDSAUDITLINK__" localSheetId="6" hidden="1">{"fdsup://directions/FAT Viewer?action=UPDATE&amp;creator=factset&amp;DYN_ARGS=TRUE&amp;DOC_NAME=FAT:FQL_AUDITING_CLIENT_TEMPLATE.FAT&amp;display_string=Audit&amp;VAR:KEY=LGTANYFILQ&amp;VAR:QUERY=RkZfRUJJVERBX0lCKCdMVE1TJywzODQ4Mik=&amp;WINDOW=FIRST_POPUP&amp;HEIGHT=450&amp;WIDTH=450&amp;START_MA","XIMIZED=FALSE&amp;VAR:CALENDAR=US&amp;VAR:SYMBOL=04916420&amp;VAR:INDEX=0"}</definedName>
    <definedName name="_10887__FDSAUDITLINK__" hidden="1">{"fdsup://directions/FAT Viewer?action=UPDATE&amp;creator=factset&amp;DYN_ARGS=TRUE&amp;DOC_NAME=FAT:FQL_AUDITING_CLIENT_TEMPLATE.FAT&amp;display_string=Audit&amp;VAR:KEY=LGTANYFILQ&amp;VAR:QUERY=RkZfRUJJVERBX0lCKCdMVE1TJywzODQ4Mik=&amp;WINDOW=FIRST_POPUP&amp;HEIGHT=450&amp;WIDTH=450&amp;START_MA","XIMIZED=FALSE&amp;VAR:CALENDAR=US&amp;VAR:SYMBOL=04916420&amp;VAR:INDEX=0"}</definedName>
    <definedName name="_10888__FDSAUDITLINK__" localSheetId="6" hidden="1">{"fdsup://directions/FAT Viewer?action=UPDATE&amp;creator=factset&amp;DYN_ARGS=TRUE&amp;DOC_NAME=FAT:FQL_AUDITING_CLIENT_TEMPLATE.FAT&amp;display_string=Audit&amp;VAR:KEY=FMRADCXSPE&amp;VAR:QUERY=RkZfRUJJVERBX0lCKCdMVE1TJywzODQ4MSk=&amp;WINDOW=FIRST_POPUP&amp;HEIGHT=450&amp;WIDTH=450&amp;START_MA","XIMIZED=FALSE&amp;VAR:CALENDAR=US&amp;VAR:SYMBOL=04916420&amp;VAR:INDEX=0"}</definedName>
    <definedName name="_10888__FDSAUDITLINK__" hidden="1">{"fdsup://directions/FAT Viewer?action=UPDATE&amp;creator=factset&amp;DYN_ARGS=TRUE&amp;DOC_NAME=FAT:FQL_AUDITING_CLIENT_TEMPLATE.FAT&amp;display_string=Audit&amp;VAR:KEY=FMRADCXSPE&amp;VAR:QUERY=RkZfRUJJVERBX0lCKCdMVE1TJywzODQ4MSk=&amp;WINDOW=FIRST_POPUP&amp;HEIGHT=450&amp;WIDTH=450&amp;START_MA","XIMIZED=FALSE&amp;VAR:CALENDAR=US&amp;VAR:SYMBOL=04916420&amp;VAR:INDEX=0"}</definedName>
    <definedName name="_10889__FDSAUDITLINK__" localSheetId="6" hidden="1">{"fdsup://directions/FAT Viewer?action=UPDATE&amp;creator=factset&amp;DYN_ARGS=TRUE&amp;DOC_NAME=FAT:FQL_AUDITING_CLIENT_TEMPLATE.FAT&amp;display_string=Audit&amp;VAR:KEY=DYFYZSHSDW&amp;VAR:QUERY=RkZfRUJJVERBX0lCKCdMVE1TJywzODQ4MCk=&amp;WINDOW=FIRST_POPUP&amp;HEIGHT=450&amp;WIDTH=450&amp;START_MA","XIMIZED=FALSE&amp;VAR:CALENDAR=US&amp;VAR:SYMBOL=04916420&amp;VAR:INDEX=0"}</definedName>
    <definedName name="_10889__FDSAUDITLINK__" hidden="1">{"fdsup://directions/FAT Viewer?action=UPDATE&amp;creator=factset&amp;DYN_ARGS=TRUE&amp;DOC_NAME=FAT:FQL_AUDITING_CLIENT_TEMPLATE.FAT&amp;display_string=Audit&amp;VAR:KEY=DYFYZSHSDW&amp;VAR:QUERY=RkZfRUJJVERBX0lCKCdMVE1TJywzODQ4MCk=&amp;WINDOW=FIRST_POPUP&amp;HEIGHT=450&amp;WIDTH=450&amp;START_MA","XIMIZED=FALSE&amp;VAR:CALENDAR=US&amp;VAR:SYMBOL=04916420&amp;VAR:INDEX=0"}</definedName>
    <definedName name="_1089__FDSAUDITLINK__" localSheetId="6" hidden="1">{"fdsup://directions/FAT%20Viewer?VAR:PED=LTM&amp;VAR:AUDIT_MODE=SUMMARY&amp;VAR:PERIOD=FIXED&amp;VAR:AUDIT_ID=00000117&amp;VAR:DATE=20070228&amp;action=UPDATE&amp;creator=factset&amp;DOC_NAME=FAT:FMA_audit_SUMMARY.fat&amp;DISPLAY_STRING=Display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9__FDSAUDITLINK__" hidden="1">{"fdsup://directions/FAT%20Viewer?VAR:PED=LTM&amp;VAR:AUDIT_MODE=SUMMARY&amp;VAR:PERIOD=FIXED&amp;VAR:AUDIT_ID=00000117&amp;VAR:DATE=20070228&amp;action=UPDATE&amp;creator=factset&amp;DOC_NAME=FAT:FMA_audit_SUMMARY.fat&amp;DISPLAY_STRING=Display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EBITDA&amp;VAR:CHGPERIOD=NA&amp;VAR:FQLFORMULA=FMA_EVAL_EBITDA&amp;VAR:CURRENCY=NA&amp;VAR:P=NA&amp;VAR:V=10.4","24783&amp;VAR:null=.html"}</definedName>
    <definedName name="_10890__FDSAUDITLINK__" localSheetId="6" hidden="1">{"fdsup://directions/FAT Viewer?action=UPDATE&amp;creator=factset&amp;DYN_ARGS=TRUE&amp;DOC_NAME=FAT:FQL_AUDITING_CLIENT_TEMPLATE.FAT&amp;display_string=Audit&amp;VAR:KEY=ZYNOTQTSZO&amp;VAR:QUERY=RkZfRUJJVERBX0lCKCdMVE1TJywzODQ3OSk=&amp;WINDOW=FIRST_POPUP&amp;HEIGHT=450&amp;WIDTH=450&amp;START_MA","XIMIZED=FALSE&amp;VAR:CALENDAR=US&amp;VAR:SYMBOL=04916420&amp;VAR:INDEX=0"}</definedName>
    <definedName name="_10890__FDSAUDITLINK__" hidden="1">{"fdsup://directions/FAT Viewer?action=UPDATE&amp;creator=factset&amp;DYN_ARGS=TRUE&amp;DOC_NAME=FAT:FQL_AUDITING_CLIENT_TEMPLATE.FAT&amp;display_string=Audit&amp;VAR:KEY=ZYNOTQTSZO&amp;VAR:QUERY=RkZfRUJJVERBX0lCKCdMVE1TJywzODQ3OSk=&amp;WINDOW=FIRST_POPUP&amp;HEIGHT=450&amp;WIDTH=450&amp;START_MA","XIMIZED=FALSE&amp;VAR:CALENDAR=US&amp;VAR:SYMBOL=04916420&amp;VAR:INDEX=0"}</definedName>
    <definedName name="_10891__FDSAUDITLINK__" localSheetId="6" hidden="1">{"fdsup://directions/FAT Viewer?action=UPDATE&amp;creator=factset&amp;DYN_ARGS=TRUE&amp;DOC_NAME=FAT:FQL_AUDITING_CLIENT_TEMPLATE.FAT&amp;display_string=Audit&amp;VAR:KEY=HINWLUJENW&amp;VAR:QUERY=RkZfRUJJVERBX0lCKCdMVE1TJywzODQ3OCk=&amp;WINDOW=FIRST_POPUP&amp;HEIGHT=450&amp;WIDTH=450&amp;START_MA","XIMIZED=FALSE&amp;VAR:CALENDAR=US&amp;VAR:SYMBOL=04916420&amp;VAR:INDEX=0"}</definedName>
    <definedName name="_10891__FDSAUDITLINK__" hidden="1">{"fdsup://directions/FAT Viewer?action=UPDATE&amp;creator=factset&amp;DYN_ARGS=TRUE&amp;DOC_NAME=FAT:FQL_AUDITING_CLIENT_TEMPLATE.FAT&amp;display_string=Audit&amp;VAR:KEY=HINWLUJENW&amp;VAR:QUERY=RkZfRUJJVERBX0lCKCdMVE1TJywzODQ3OCk=&amp;WINDOW=FIRST_POPUP&amp;HEIGHT=450&amp;WIDTH=450&amp;START_MA","XIMIZED=FALSE&amp;VAR:CALENDAR=US&amp;VAR:SYMBOL=04916420&amp;VAR:INDEX=0"}</definedName>
    <definedName name="_10892__FDSAUDITLINK__" localSheetId="6" hidden="1">{"fdsup://directions/FAT Viewer?action=UPDATE&amp;creator=factset&amp;DYN_ARGS=TRUE&amp;DOC_NAME=FAT:FQL_AUDITING_CLIENT_TEMPLATE.FAT&amp;display_string=Audit&amp;VAR:KEY=TIXQREJKRW&amp;VAR:QUERY=RkZfRUJJVERBX0lCKCdMVE1TJywzODQ3Nyk=&amp;WINDOW=FIRST_POPUP&amp;HEIGHT=450&amp;WIDTH=450&amp;START_MA","XIMIZED=FALSE&amp;VAR:CALENDAR=US&amp;VAR:SYMBOL=04916420&amp;VAR:INDEX=0"}</definedName>
    <definedName name="_10892__FDSAUDITLINK__" hidden="1">{"fdsup://directions/FAT Viewer?action=UPDATE&amp;creator=factset&amp;DYN_ARGS=TRUE&amp;DOC_NAME=FAT:FQL_AUDITING_CLIENT_TEMPLATE.FAT&amp;display_string=Audit&amp;VAR:KEY=TIXQREJKRW&amp;VAR:QUERY=RkZfRUJJVERBX0lCKCdMVE1TJywzODQ3Nyk=&amp;WINDOW=FIRST_POPUP&amp;HEIGHT=450&amp;WIDTH=450&amp;START_MA","XIMIZED=FALSE&amp;VAR:CALENDAR=US&amp;VAR:SYMBOL=04916420&amp;VAR:INDEX=0"}</definedName>
    <definedName name="_10893__FDSAUDITLINK__" localSheetId="6" hidden="1">{"fdsup://directions/FAT Viewer?action=UPDATE&amp;creator=factset&amp;DYN_ARGS=TRUE&amp;DOC_NAME=FAT:FQL_AUDITING_CLIENT_TEMPLATE.FAT&amp;display_string=Audit&amp;VAR:KEY=FKDUNIHSRC&amp;VAR:QUERY=RkZfRUJJVERBX0lCKCdMVE1TJywzODQ3Nik=&amp;WINDOW=FIRST_POPUP&amp;HEIGHT=450&amp;WIDTH=450&amp;START_MA","XIMIZED=FALSE&amp;VAR:CALENDAR=US&amp;VAR:SYMBOL=04916420&amp;VAR:INDEX=0"}</definedName>
    <definedName name="_10893__FDSAUDITLINK__" hidden="1">{"fdsup://directions/FAT Viewer?action=UPDATE&amp;creator=factset&amp;DYN_ARGS=TRUE&amp;DOC_NAME=FAT:FQL_AUDITING_CLIENT_TEMPLATE.FAT&amp;display_string=Audit&amp;VAR:KEY=FKDUNIHSRC&amp;VAR:QUERY=RkZfRUJJVERBX0lCKCdMVE1TJywzODQ3Nik=&amp;WINDOW=FIRST_POPUP&amp;HEIGHT=450&amp;WIDTH=450&amp;START_MA","XIMIZED=FALSE&amp;VAR:CALENDAR=US&amp;VAR:SYMBOL=04916420&amp;VAR:INDEX=0"}</definedName>
    <definedName name="_10894__FDSAUDITLINK__" localSheetId="6" hidden="1">{"fdsup://directions/FAT Viewer?action=UPDATE&amp;creator=factset&amp;DYN_ARGS=TRUE&amp;DOC_NAME=FAT:FQL_AUDITING_CLIENT_TEMPLATE.FAT&amp;display_string=Audit&amp;VAR:KEY=JKNYPIRUFC&amp;VAR:QUERY=RkZfRUJJVERBX0lCKCdMVE1TJywzODQ3NSk=&amp;WINDOW=FIRST_POPUP&amp;HEIGHT=450&amp;WIDTH=450&amp;START_MA","XIMIZED=FALSE&amp;VAR:CALENDAR=US&amp;VAR:SYMBOL=04916420&amp;VAR:INDEX=0"}</definedName>
    <definedName name="_10894__FDSAUDITLINK__" hidden="1">{"fdsup://directions/FAT Viewer?action=UPDATE&amp;creator=factset&amp;DYN_ARGS=TRUE&amp;DOC_NAME=FAT:FQL_AUDITING_CLIENT_TEMPLATE.FAT&amp;display_string=Audit&amp;VAR:KEY=JKNYPIRUFC&amp;VAR:QUERY=RkZfRUJJVERBX0lCKCdMVE1TJywzODQ3NSk=&amp;WINDOW=FIRST_POPUP&amp;HEIGHT=450&amp;WIDTH=450&amp;START_MA","XIMIZED=FALSE&amp;VAR:CALENDAR=US&amp;VAR:SYMBOL=04916420&amp;VAR:INDEX=0"}</definedName>
    <definedName name="_10895__FDSAUDITLINK__" localSheetId="6" hidden="1">{"fdsup://directions/FAT Viewer?action=UPDATE&amp;creator=factset&amp;DYN_ARGS=TRUE&amp;DOC_NAME=FAT:FQL_AUDITING_CLIENT_TEMPLATE.FAT&amp;display_string=Audit&amp;VAR:KEY=FUTKLANMVS&amp;VAR:QUERY=RkZfRUJJVERBX0lCKCdMVE1TJywzODQ3NCk=&amp;WINDOW=FIRST_POPUP&amp;HEIGHT=450&amp;WIDTH=450&amp;START_MA","XIMIZED=FALSE&amp;VAR:CALENDAR=US&amp;VAR:SYMBOL=04916420&amp;VAR:INDEX=0"}</definedName>
    <definedName name="_10895__FDSAUDITLINK__" hidden="1">{"fdsup://directions/FAT Viewer?action=UPDATE&amp;creator=factset&amp;DYN_ARGS=TRUE&amp;DOC_NAME=FAT:FQL_AUDITING_CLIENT_TEMPLATE.FAT&amp;display_string=Audit&amp;VAR:KEY=FUTKLANMVS&amp;VAR:QUERY=RkZfRUJJVERBX0lCKCdMVE1TJywzODQ3NCk=&amp;WINDOW=FIRST_POPUP&amp;HEIGHT=450&amp;WIDTH=450&amp;START_MA","XIMIZED=FALSE&amp;VAR:CALENDAR=US&amp;VAR:SYMBOL=04916420&amp;VAR:INDEX=0"}</definedName>
    <definedName name="_10896__FDSAUDITLINK__" localSheetId="6" hidden="1">{"fdsup://directions/FAT Viewer?action=UPDATE&amp;creator=factset&amp;DYN_ARGS=TRUE&amp;DOC_NAME=FAT:FQL_AUDITING_CLIENT_TEMPLATE.FAT&amp;display_string=Audit&amp;VAR:KEY=NQDUVSVAJQ&amp;VAR:QUERY=RkZfRUJJVERBX0lCKCdMVE1TJywzODQ3Myk=&amp;WINDOW=FIRST_POPUP&amp;HEIGHT=450&amp;WIDTH=450&amp;START_MA","XIMIZED=FALSE&amp;VAR:CALENDAR=US&amp;VAR:SYMBOL=04916420&amp;VAR:INDEX=0"}</definedName>
    <definedName name="_10896__FDSAUDITLINK__" hidden="1">{"fdsup://directions/FAT Viewer?action=UPDATE&amp;creator=factset&amp;DYN_ARGS=TRUE&amp;DOC_NAME=FAT:FQL_AUDITING_CLIENT_TEMPLATE.FAT&amp;display_string=Audit&amp;VAR:KEY=NQDUVSVAJQ&amp;VAR:QUERY=RkZfRUJJVERBX0lCKCdMVE1TJywzODQ3Myk=&amp;WINDOW=FIRST_POPUP&amp;HEIGHT=450&amp;WIDTH=450&amp;START_MA","XIMIZED=FALSE&amp;VAR:CALENDAR=US&amp;VAR:SYMBOL=04916420&amp;VAR:INDEX=0"}</definedName>
    <definedName name="_10897__FDSAUDITLINK__" localSheetId="6" hidden="1">{"fdsup://directions/FAT Viewer?action=UPDATE&amp;creator=factset&amp;DYN_ARGS=TRUE&amp;DOC_NAME=FAT:FQL_AUDITING_CLIENT_TEMPLATE.FAT&amp;display_string=Audit&amp;VAR:KEY=NALWZQHGBM&amp;VAR:QUERY=RkZfRUJJVERBX0lCKCdMVE1TJywzODQ3Mik=&amp;WINDOW=FIRST_POPUP&amp;HEIGHT=450&amp;WIDTH=450&amp;START_MA","XIMIZED=FALSE&amp;VAR:CALENDAR=US&amp;VAR:SYMBOL=04916420&amp;VAR:INDEX=0"}</definedName>
    <definedName name="_10897__FDSAUDITLINK__" hidden="1">{"fdsup://directions/FAT Viewer?action=UPDATE&amp;creator=factset&amp;DYN_ARGS=TRUE&amp;DOC_NAME=FAT:FQL_AUDITING_CLIENT_TEMPLATE.FAT&amp;display_string=Audit&amp;VAR:KEY=NALWZQHGBM&amp;VAR:QUERY=RkZfRUJJVERBX0lCKCdMVE1TJywzODQ3Mik=&amp;WINDOW=FIRST_POPUP&amp;HEIGHT=450&amp;WIDTH=450&amp;START_MA","XIMIZED=FALSE&amp;VAR:CALENDAR=US&amp;VAR:SYMBOL=04916420&amp;VAR:INDEX=0"}</definedName>
    <definedName name="_10898__FDSAUDITLINK__" localSheetId="6" hidden="1">{"fdsup://directions/FAT Viewer?action=UPDATE&amp;creator=factset&amp;DYN_ARGS=TRUE&amp;DOC_NAME=FAT:FQL_AUDITING_CLIENT_TEMPLATE.FAT&amp;display_string=Audit&amp;VAR:KEY=JEDODCPQBA&amp;VAR:QUERY=RkZfRUJJVERBX0lCKCdMVE1TJywzODQ3MSk=&amp;WINDOW=FIRST_POPUP&amp;HEIGHT=450&amp;WIDTH=450&amp;START_MA","XIMIZED=FALSE&amp;VAR:CALENDAR=US&amp;VAR:SYMBOL=04916420&amp;VAR:INDEX=0"}</definedName>
    <definedName name="_10898__FDSAUDITLINK__" hidden="1">{"fdsup://directions/FAT Viewer?action=UPDATE&amp;creator=factset&amp;DYN_ARGS=TRUE&amp;DOC_NAME=FAT:FQL_AUDITING_CLIENT_TEMPLATE.FAT&amp;display_string=Audit&amp;VAR:KEY=JEDODCPQBA&amp;VAR:QUERY=RkZfRUJJVERBX0lCKCdMVE1TJywzODQ3MSk=&amp;WINDOW=FIRST_POPUP&amp;HEIGHT=450&amp;WIDTH=450&amp;START_MA","XIMIZED=FALSE&amp;VAR:CALENDAR=US&amp;VAR:SYMBOL=04916420&amp;VAR:INDEX=0"}</definedName>
    <definedName name="_10899__FDSAUDITLINK__" localSheetId="6" hidden="1">{"fdsup://directions/FAT Viewer?action=UPDATE&amp;creator=factset&amp;DYN_ARGS=TRUE&amp;DOC_NAME=FAT:FQL_AUDITING_CLIENT_TEMPLATE.FAT&amp;display_string=Audit&amp;VAR:KEY=HYVCZGTGDW&amp;VAR:QUERY=RkZfRUJJVERBX0lCKCdMVE1TJywzODQ3MCk=&amp;WINDOW=FIRST_POPUP&amp;HEIGHT=450&amp;WIDTH=450&amp;START_MA","XIMIZED=FALSE&amp;VAR:CALENDAR=US&amp;VAR:SYMBOL=04916420&amp;VAR:INDEX=0"}</definedName>
    <definedName name="_10899__FDSAUDITLINK__" hidden="1">{"fdsup://directions/FAT Viewer?action=UPDATE&amp;creator=factset&amp;DYN_ARGS=TRUE&amp;DOC_NAME=FAT:FQL_AUDITING_CLIENT_TEMPLATE.FAT&amp;display_string=Audit&amp;VAR:KEY=HYVCZGTGDW&amp;VAR:QUERY=RkZfRUJJVERBX0lCKCdMVE1TJywzODQ3MCk=&amp;WINDOW=FIRST_POPUP&amp;HEIGHT=450&amp;WIDTH=450&amp;START_MA","XIMIZED=FALSE&amp;VAR:CALENDAR=US&amp;VAR:SYMBOL=04916420&amp;VAR:INDEX=0"}</definedName>
    <definedName name="_109__FDSAUDITLINK__" localSheetId="6" hidden="1">{"fdsup://directions/FAT Viewer?action=UPDATE&amp;creator=factset&amp;DYN_ARGS=TRUE&amp;DOC_NAME=FAT:FQL_AUDITING_CLIENT_TEMPLATE.FAT&amp;display_string=Audit&amp;VAR:KEY=KFEZCLCRSD&amp;VAR:QUERY=QVZHKENTRl9ORVRfSU5DKEFOTiwwRlksLTZGWSxZKSkvKEFWRyhDU0ZfQVNTRVRTKEFOTiwwRlksLTZGWSxGW","SkpLUFWRyhDU0ZfSU5UQU5HKEFOTiwwLC02RlksRlkpKSk=&amp;WINDOW=FIRST_POPUP&amp;HEIGHT=450&amp;WIDTH=450&amp;START_MAXIMIZED=FALSE&amp;VAR:CALENDAR=US&amp;VAR:SYMBOL=87408310"}</definedName>
    <definedName name="_109__FDSAUDITLINK__" hidden="1">{"fdsup://directions/FAT Viewer?action=UPDATE&amp;creator=factset&amp;DYN_ARGS=TRUE&amp;DOC_NAME=FAT:FQL_AUDITING_CLIENT_TEMPLATE.FAT&amp;display_string=Audit&amp;VAR:KEY=KFEZCLCRSD&amp;VAR:QUERY=QVZHKENTRl9ORVRfSU5DKEFOTiwwRlksLTZGWSxZKSkvKEFWRyhDU0ZfQVNTRVRTKEFOTiwwRlksLTZGWSxGW","SkpLUFWRyhDU0ZfSU5UQU5HKEFOTiwwLC02RlksRlkpKSk=&amp;WINDOW=FIRST_POPUP&amp;HEIGHT=450&amp;WIDTH=450&amp;START_MAXIMIZED=FALSE&amp;VAR:CALENDAR=US&amp;VAR:SYMBOL=87408310"}</definedName>
    <definedName name="_1090__FDSAUDITLINK__" localSheetId="6" hidden="1">{"fdsup://directions/FAT%20Viewer?VAR:PED=LTM&amp;VAR:AUDIT_MODE=SUMMARY&amp;VAR:PERIOD=FIXED&amp;VAR:AUDIT_ID=00000117&amp;VAR:DATE=20070227&amp;action=UPDATE&amp;creator=factset&amp;DOC_NAME=FAT:FMA_audit_SUMMARY.fat&amp;DISPLAY_STRING=Display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0__FDSAUDITLINK__" hidden="1">{"fdsup://directions/FAT%20Viewer?VAR:PED=LTM&amp;VAR:AUDIT_MODE=SUMMARY&amp;VAR:PERIOD=FIXED&amp;VAR:AUDIT_ID=00000117&amp;VAR:DATE=20070227&amp;action=UPDATE&amp;creator=factset&amp;DOC_NAME=FAT:FMA_audit_SUMMARY.fat&amp;DISPLAY_STRING=Display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00__FDSAUDITLINK__" localSheetId="6" hidden="1">{"fdsup://directions/FAT Viewer?action=UPDATE&amp;creator=factset&amp;DYN_ARGS=TRUE&amp;DOC_NAME=FAT:FQL_AUDITING_CLIENT_TEMPLATE.FAT&amp;display_string=Audit&amp;VAR:KEY=XWFIPYBINS&amp;VAR:QUERY=RkZfRUJJVERBX0lCKCdMVE1TJywzODQ2OSk=&amp;WINDOW=FIRST_POPUP&amp;HEIGHT=450&amp;WIDTH=450&amp;START_MA","XIMIZED=FALSE&amp;VAR:CALENDAR=US&amp;VAR:SYMBOL=04916420&amp;VAR:INDEX=0"}</definedName>
    <definedName name="_10900__FDSAUDITLINK__" hidden="1">{"fdsup://directions/FAT Viewer?action=UPDATE&amp;creator=factset&amp;DYN_ARGS=TRUE&amp;DOC_NAME=FAT:FQL_AUDITING_CLIENT_TEMPLATE.FAT&amp;display_string=Audit&amp;VAR:KEY=XWFIPYBINS&amp;VAR:QUERY=RkZfRUJJVERBX0lCKCdMVE1TJywzODQ2OSk=&amp;WINDOW=FIRST_POPUP&amp;HEIGHT=450&amp;WIDTH=450&amp;START_MA","XIMIZED=FALSE&amp;VAR:CALENDAR=US&amp;VAR:SYMBOL=04916420&amp;VAR:INDEX=0"}</definedName>
    <definedName name="_10901__FDSAUDITLINK__" localSheetId="6" hidden="1">{"fdsup://directions/FAT Viewer?action=UPDATE&amp;creator=factset&amp;DYN_ARGS=TRUE&amp;DOC_NAME=FAT:FQL_AUDITING_CLIENT_TEMPLATE.FAT&amp;display_string=Audit&amp;VAR:KEY=XMJGBONUJI&amp;VAR:QUERY=RkZfRUJJVERBX0lCKCdMVE1TJywzODQ2OCk=&amp;WINDOW=FIRST_POPUP&amp;HEIGHT=450&amp;WIDTH=450&amp;START_MA","XIMIZED=FALSE&amp;VAR:CALENDAR=US&amp;VAR:SYMBOL=04916420&amp;VAR:INDEX=0"}</definedName>
    <definedName name="_10901__FDSAUDITLINK__" hidden="1">{"fdsup://directions/FAT Viewer?action=UPDATE&amp;creator=factset&amp;DYN_ARGS=TRUE&amp;DOC_NAME=FAT:FQL_AUDITING_CLIENT_TEMPLATE.FAT&amp;display_string=Audit&amp;VAR:KEY=XMJGBONUJI&amp;VAR:QUERY=RkZfRUJJVERBX0lCKCdMVE1TJywzODQ2OCk=&amp;WINDOW=FIRST_POPUP&amp;HEIGHT=450&amp;WIDTH=450&amp;START_MA","XIMIZED=FALSE&amp;VAR:CALENDAR=US&amp;VAR:SYMBOL=04916420&amp;VAR:INDEX=0"}</definedName>
    <definedName name="_10902__FDSAUDITLINK__" localSheetId="6" hidden="1">{"fdsup://directions/FAT Viewer?action=UPDATE&amp;creator=factset&amp;DYN_ARGS=TRUE&amp;DOC_NAME=FAT:FQL_AUDITING_CLIENT_TEMPLATE.FAT&amp;display_string=Audit&amp;VAR:KEY=LQLKFILWPC&amp;VAR:QUERY=RkZfRUJJVERBX0lCKCdMVE1TJywzODQ2Nyk=&amp;WINDOW=FIRST_POPUP&amp;HEIGHT=450&amp;WIDTH=450&amp;START_MA","XIMIZED=FALSE&amp;VAR:CALENDAR=US&amp;VAR:SYMBOL=04916420&amp;VAR:INDEX=0"}</definedName>
    <definedName name="_10902__FDSAUDITLINK__" hidden="1">{"fdsup://directions/FAT Viewer?action=UPDATE&amp;creator=factset&amp;DYN_ARGS=TRUE&amp;DOC_NAME=FAT:FQL_AUDITING_CLIENT_TEMPLATE.FAT&amp;display_string=Audit&amp;VAR:KEY=LQLKFILWPC&amp;VAR:QUERY=RkZfRUJJVERBX0lCKCdMVE1TJywzODQ2Nyk=&amp;WINDOW=FIRST_POPUP&amp;HEIGHT=450&amp;WIDTH=450&amp;START_MA","XIMIZED=FALSE&amp;VAR:CALENDAR=US&amp;VAR:SYMBOL=04916420&amp;VAR:INDEX=0"}</definedName>
    <definedName name="_10903__FDSAUDITLINK__" localSheetId="6" hidden="1">{"fdsup://directions/FAT Viewer?action=UPDATE&amp;creator=factset&amp;DYN_ARGS=TRUE&amp;DOC_NAME=FAT:FQL_AUDITING_CLIENT_TEMPLATE.FAT&amp;display_string=Audit&amp;VAR:KEY=XYJKNOXCLE&amp;VAR:QUERY=RkZfRUJJVERBX0lCKCdMVE1TJywzODQ2Nik=&amp;WINDOW=FIRST_POPUP&amp;HEIGHT=450&amp;WIDTH=450&amp;START_MA","XIMIZED=FALSE&amp;VAR:CALENDAR=US&amp;VAR:SYMBOL=04916420&amp;VAR:INDEX=0"}</definedName>
    <definedName name="_10903__FDSAUDITLINK__" hidden="1">{"fdsup://directions/FAT Viewer?action=UPDATE&amp;creator=factset&amp;DYN_ARGS=TRUE&amp;DOC_NAME=FAT:FQL_AUDITING_CLIENT_TEMPLATE.FAT&amp;display_string=Audit&amp;VAR:KEY=XYJKNOXCLE&amp;VAR:QUERY=RkZfRUJJVERBX0lCKCdMVE1TJywzODQ2Nik=&amp;WINDOW=FIRST_POPUP&amp;HEIGHT=450&amp;WIDTH=450&amp;START_MA","XIMIZED=FALSE&amp;VAR:CALENDAR=US&amp;VAR:SYMBOL=04916420&amp;VAR:INDEX=0"}</definedName>
    <definedName name="_10904__FDSAUDITLINK__" localSheetId="6" hidden="1">{"fdsup://directions/FAT Viewer?action=UPDATE&amp;creator=factset&amp;DYN_ARGS=TRUE&amp;DOC_NAME=FAT:FQL_AUDITING_CLIENT_TEMPLATE.FAT&amp;display_string=Audit&amp;VAR:KEY=RAVMTSFCZW&amp;VAR:QUERY=RkZfRUJJVERBX0lCKCdMVE1TJywzODQ2NSk=&amp;WINDOW=FIRST_POPUP&amp;HEIGHT=450&amp;WIDTH=450&amp;START_MA","XIMIZED=FALSE&amp;VAR:CALENDAR=US&amp;VAR:SYMBOL=04916420&amp;VAR:INDEX=0"}</definedName>
    <definedName name="_10904__FDSAUDITLINK__" hidden="1">{"fdsup://directions/FAT Viewer?action=UPDATE&amp;creator=factset&amp;DYN_ARGS=TRUE&amp;DOC_NAME=FAT:FQL_AUDITING_CLIENT_TEMPLATE.FAT&amp;display_string=Audit&amp;VAR:KEY=RAVMTSFCZW&amp;VAR:QUERY=RkZfRUJJVERBX0lCKCdMVE1TJywzODQ2NSk=&amp;WINDOW=FIRST_POPUP&amp;HEIGHT=450&amp;WIDTH=450&amp;START_MA","XIMIZED=FALSE&amp;VAR:CALENDAR=US&amp;VAR:SYMBOL=04916420&amp;VAR:INDEX=0"}</definedName>
    <definedName name="_10905__FDSAUDITLINK__" localSheetId="6" hidden="1">{"fdsup://directions/FAT Viewer?action=UPDATE&amp;creator=factset&amp;DYN_ARGS=TRUE&amp;DOC_NAME=FAT:FQL_AUDITING_CLIENT_TEMPLATE.FAT&amp;display_string=Audit&amp;VAR:KEY=BIRMVMNMJG&amp;VAR:QUERY=RkZfRUJJVERBX0lCKCdMVE1TJywzODQ2NCk=&amp;WINDOW=FIRST_POPUP&amp;HEIGHT=450&amp;WIDTH=450&amp;START_MA","XIMIZED=FALSE&amp;VAR:CALENDAR=US&amp;VAR:SYMBOL=04916420&amp;VAR:INDEX=0"}</definedName>
    <definedName name="_10905__FDSAUDITLINK__" hidden="1">{"fdsup://directions/FAT Viewer?action=UPDATE&amp;creator=factset&amp;DYN_ARGS=TRUE&amp;DOC_NAME=FAT:FQL_AUDITING_CLIENT_TEMPLATE.FAT&amp;display_string=Audit&amp;VAR:KEY=BIRMVMNMJG&amp;VAR:QUERY=RkZfRUJJVERBX0lCKCdMVE1TJywzODQ2NCk=&amp;WINDOW=FIRST_POPUP&amp;HEIGHT=450&amp;WIDTH=450&amp;START_MA","XIMIZED=FALSE&amp;VAR:CALENDAR=US&amp;VAR:SYMBOL=04916420&amp;VAR:INDEX=0"}</definedName>
    <definedName name="_10906__FDSAUDITLINK__" localSheetId="6" hidden="1">{"fdsup://directions/FAT Viewer?action=UPDATE&amp;creator=factset&amp;DYN_ARGS=TRUE&amp;DOC_NAME=FAT:FQL_AUDITING_CLIENT_TEMPLATE.FAT&amp;display_string=Audit&amp;VAR:KEY=PKFKBYZIJW&amp;VAR:QUERY=RkZfRUJJVERBX0lCKCdMVE1TJywzODQ2Myk=&amp;WINDOW=FIRST_POPUP&amp;HEIGHT=450&amp;WIDTH=450&amp;START_MA","XIMIZED=FALSE&amp;VAR:CALENDAR=US&amp;VAR:SYMBOL=04916420&amp;VAR:INDEX=0"}</definedName>
    <definedName name="_10906__FDSAUDITLINK__" hidden="1">{"fdsup://directions/FAT Viewer?action=UPDATE&amp;creator=factset&amp;DYN_ARGS=TRUE&amp;DOC_NAME=FAT:FQL_AUDITING_CLIENT_TEMPLATE.FAT&amp;display_string=Audit&amp;VAR:KEY=PKFKBYZIJW&amp;VAR:QUERY=RkZfRUJJVERBX0lCKCdMVE1TJywzODQ2Myk=&amp;WINDOW=FIRST_POPUP&amp;HEIGHT=450&amp;WIDTH=450&amp;START_MA","XIMIZED=FALSE&amp;VAR:CALENDAR=US&amp;VAR:SYMBOL=04916420&amp;VAR:INDEX=0"}</definedName>
    <definedName name="_10907__FDSAUDITLINK__" localSheetId="6" hidden="1">{"fdsup://directions/FAT Viewer?action=UPDATE&amp;creator=factset&amp;DYN_ARGS=TRUE&amp;DOC_NAME=FAT:FQL_AUDITING_CLIENT_TEMPLATE.FAT&amp;display_string=Audit&amp;VAR:KEY=VEPSTWPSHE&amp;VAR:QUERY=RkZfRUJJVERBX0lCKCdMVE1TJywzODQ2Mik=&amp;WINDOW=FIRST_POPUP&amp;HEIGHT=450&amp;WIDTH=450&amp;START_MA","XIMIZED=FALSE&amp;VAR:CALENDAR=US&amp;VAR:SYMBOL=04916420&amp;VAR:INDEX=0"}</definedName>
    <definedName name="_10907__FDSAUDITLINK__" hidden="1">{"fdsup://directions/FAT Viewer?action=UPDATE&amp;creator=factset&amp;DYN_ARGS=TRUE&amp;DOC_NAME=FAT:FQL_AUDITING_CLIENT_TEMPLATE.FAT&amp;display_string=Audit&amp;VAR:KEY=VEPSTWPSHE&amp;VAR:QUERY=RkZfRUJJVERBX0lCKCdMVE1TJywzODQ2Mik=&amp;WINDOW=FIRST_POPUP&amp;HEIGHT=450&amp;WIDTH=450&amp;START_MA","XIMIZED=FALSE&amp;VAR:CALENDAR=US&amp;VAR:SYMBOL=04916420&amp;VAR:INDEX=0"}</definedName>
    <definedName name="_10908__FDSAUDITLINK__" localSheetId="6" hidden="1">{"fdsup://directions/FAT Viewer?action=UPDATE&amp;creator=factset&amp;DYN_ARGS=TRUE&amp;DOC_NAME=FAT:FQL_AUDITING_CLIENT_TEMPLATE.FAT&amp;display_string=Audit&amp;VAR:KEY=DGFGHKRKJQ&amp;VAR:QUERY=RkZfRUJJVERBX0lCKCdMVE1TJywzODQ2MSk=&amp;WINDOW=FIRST_POPUP&amp;HEIGHT=450&amp;WIDTH=450&amp;START_MA","XIMIZED=FALSE&amp;VAR:CALENDAR=US&amp;VAR:SYMBOL=04916420&amp;VAR:INDEX=0"}</definedName>
    <definedName name="_10908__FDSAUDITLINK__" hidden="1">{"fdsup://directions/FAT Viewer?action=UPDATE&amp;creator=factset&amp;DYN_ARGS=TRUE&amp;DOC_NAME=FAT:FQL_AUDITING_CLIENT_TEMPLATE.FAT&amp;display_string=Audit&amp;VAR:KEY=DGFGHKRKJQ&amp;VAR:QUERY=RkZfRUJJVERBX0lCKCdMVE1TJywzODQ2MSk=&amp;WINDOW=FIRST_POPUP&amp;HEIGHT=450&amp;WIDTH=450&amp;START_MA","XIMIZED=FALSE&amp;VAR:CALENDAR=US&amp;VAR:SYMBOL=04916420&amp;VAR:INDEX=0"}</definedName>
    <definedName name="_10909__FDSAUDITLINK__" localSheetId="6" hidden="1">{"fdsup://directions/FAT Viewer?action=UPDATE&amp;creator=factset&amp;DYN_ARGS=TRUE&amp;DOC_NAME=FAT:FQL_AUDITING_CLIENT_TEMPLATE.FAT&amp;display_string=Audit&amp;VAR:KEY=JOXCZGHEZM&amp;VAR:QUERY=RkZfRUJJVERBX0lCKCdMVE1TJywzODQ2MCk=&amp;WINDOW=FIRST_POPUP&amp;HEIGHT=450&amp;WIDTH=450&amp;START_MA","XIMIZED=FALSE&amp;VAR:CALENDAR=US&amp;VAR:SYMBOL=04916420&amp;VAR:INDEX=0"}</definedName>
    <definedName name="_10909__FDSAUDITLINK__" hidden="1">{"fdsup://directions/FAT Viewer?action=UPDATE&amp;creator=factset&amp;DYN_ARGS=TRUE&amp;DOC_NAME=FAT:FQL_AUDITING_CLIENT_TEMPLATE.FAT&amp;display_string=Audit&amp;VAR:KEY=JOXCZGHEZM&amp;VAR:QUERY=RkZfRUJJVERBX0lCKCdMVE1TJywzODQ2MCk=&amp;WINDOW=FIRST_POPUP&amp;HEIGHT=450&amp;WIDTH=450&amp;START_MA","XIMIZED=FALSE&amp;VAR:CALENDAR=US&amp;VAR:SYMBOL=04916420&amp;VAR:INDEX=0"}</definedName>
    <definedName name="_1091__FDSAUDITLINK__" localSheetId="6" hidden="1">{"fdsup://directions/FAT%20Viewer?VAR:PED=LTM&amp;VAR:AUDIT_MODE=SUMMARY&amp;VAR:PERIOD=FIXED&amp;VAR:AUDIT_ID=00000117&amp;VAR:DATE=20070226&amp;action=UPDATE&amp;creator=factset&amp;DOC_NAME=FAT:FMA_audit_SUMMARY.fat&amp;DISPLAY_STRING=Display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1__FDSAUDITLINK__" hidden="1">{"fdsup://directions/FAT%20Viewer?VAR:PED=LTM&amp;VAR:AUDIT_MODE=SUMMARY&amp;VAR:PERIOD=FIXED&amp;VAR:AUDIT_ID=00000117&amp;VAR:DATE=20070226&amp;action=UPDATE&amp;creator=factset&amp;DOC_NAME=FAT:FMA_audit_SUMMARY.fat&amp;DISPLAY_STRING=Display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10__FDSAUDITLINK__" localSheetId="6" hidden="1">{"fdsup://directions/FAT Viewer?action=UPDATE&amp;creator=factset&amp;DYN_ARGS=TRUE&amp;DOC_NAME=FAT:FQL_AUDITING_CLIENT_TEMPLATE.FAT&amp;display_string=Audit&amp;VAR:KEY=FIHCDGHSNO&amp;VAR:QUERY=RkZfRUJJVERBX0lCKCdMVE1TJywzODQ1OSk=&amp;WINDOW=FIRST_POPUP&amp;HEIGHT=450&amp;WIDTH=450&amp;START_MA","XIMIZED=FALSE&amp;VAR:CALENDAR=US&amp;VAR:SYMBOL=04916420&amp;VAR:INDEX=0"}</definedName>
    <definedName name="_10910__FDSAUDITLINK__" hidden="1">{"fdsup://directions/FAT Viewer?action=UPDATE&amp;creator=factset&amp;DYN_ARGS=TRUE&amp;DOC_NAME=FAT:FQL_AUDITING_CLIENT_TEMPLATE.FAT&amp;display_string=Audit&amp;VAR:KEY=FIHCDGHSNO&amp;VAR:QUERY=RkZfRUJJVERBX0lCKCdMVE1TJywzODQ1OSk=&amp;WINDOW=FIRST_POPUP&amp;HEIGHT=450&amp;WIDTH=450&amp;START_MA","XIMIZED=FALSE&amp;VAR:CALENDAR=US&amp;VAR:SYMBOL=04916420&amp;VAR:INDEX=0"}</definedName>
    <definedName name="_10911__FDSAUDITLINK__" localSheetId="6" hidden="1">{"fdsup://directions/FAT Viewer?action=UPDATE&amp;creator=factset&amp;DYN_ARGS=TRUE&amp;DOC_NAME=FAT:FQL_AUDITING_CLIENT_TEMPLATE.FAT&amp;display_string=Audit&amp;VAR:KEY=XWRCLGFMRE&amp;VAR:QUERY=RkZfRUJJVERBX0lCKCdMVE1TJywzODQ1OCk=&amp;WINDOW=FIRST_POPUP&amp;HEIGHT=450&amp;WIDTH=450&amp;START_MA","XIMIZED=FALSE&amp;VAR:CALENDAR=US&amp;VAR:SYMBOL=04916420&amp;VAR:INDEX=0"}</definedName>
    <definedName name="_10911__FDSAUDITLINK__" hidden="1">{"fdsup://directions/FAT Viewer?action=UPDATE&amp;creator=factset&amp;DYN_ARGS=TRUE&amp;DOC_NAME=FAT:FQL_AUDITING_CLIENT_TEMPLATE.FAT&amp;display_string=Audit&amp;VAR:KEY=XWRCLGFMRE&amp;VAR:QUERY=RkZfRUJJVERBX0lCKCdMVE1TJywzODQ1OCk=&amp;WINDOW=FIRST_POPUP&amp;HEIGHT=450&amp;WIDTH=450&amp;START_MA","XIMIZED=FALSE&amp;VAR:CALENDAR=US&amp;VAR:SYMBOL=04916420&amp;VAR:INDEX=0"}</definedName>
    <definedName name="_10912__FDSAUDITLINK__" localSheetId="6" hidden="1">{"fdsup://directions/FAT Viewer?action=UPDATE&amp;creator=factset&amp;DYN_ARGS=TRUE&amp;DOC_NAME=FAT:FQL_AUDITING_CLIENT_TEMPLATE.FAT&amp;display_string=Audit&amp;VAR:KEY=JCNAVWHYPG&amp;VAR:QUERY=RkZfRUJJVERBX0lCKCdMVE1TJywzODQ1Nyk=&amp;WINDOW=FIRST_POPUP&amp;HEIGHT=450&amp;WIDTH=450&amp;START_MA","XIMIZED=FALSE&amp;VAR:CALENDAR=US&amp;VAR:SYMBOL=04916420&amp;VAR:INDEX=0"}</definedName>
    <definedName name="_10912__FDSAUDITLINK__" hidden="1">{"fdsup://directions/FAT Viewer?action=UPDATE&amp;creator=factset&amp;DYN_ARGS=TRUE&amp;DOC_NAME=FAT:FQL_AUDITING_CLIENT_TEMPLATE.FAT&amp;display_string=Audit&amp;VAR:KEY=JCNAVWHYPG&amp;VAR:QUERY=RkZfRUJJVERBX0lCKCdMVE1TJywzODQ1Nyk=&amp;WINDOW=FIRST_POPUP&amp;HEIGHT=450&amp;WIDTH=450&amp;START_MA","XIMIZED=FALSE&amp;VAR:CALENDAR=US&amp;VAR:SYMBOL=04916420&amp;VAR:INDEX=0"}</definedName>
    <definedName name="_10913__FDSAUDITLINK__" localSheetId="6" hidden="1">{"fdsup://directions/FAT Viewer?action=UPDATE&amp;creator=factset&amp;DYN_ARGS=TRUE&amp;DOC_NAME=FAT:FQL_AUDITING_CLIENT_TEMPLATE.FAT&amp;display_string=Audit&amp;VAR:KEY=DSBUDQBALC&amp;VAR:QUERY=RkZfRUJJVERBX0lCKCdMVE1TJywzODQ1Nik=&amp;WINDOW=FIRST_POPUP&amp;HEIGHT=450&amp;WIDTH=450&amp;START_MA","XIMIZED=FALSE&amp;VAR:CALENDAR=US&amp;VAR:SYMBOL=04916420&amp;VAR:INDEX=0"}</definedName>
    <definedName name="_10913__FDSAUDITLINK__" hidden="1">{"fdsup://directions/FAT Viewer?action=UPDATE&amp;creator=factset&amp;DYN_ARGS=TRUE&amp;DOC_NAME=FAT:FQL_AUDITING_CLIENT_TEMPLATE.FAT&amp;display_string=Audit&amp;VAR:KEY=DSBUDQBALC&amp;VAR:QUERY=RkZfRUJJVERBX0lCKCdMVE1TJywzODQ1Nik=&amp;WINDOW=FIRST_POPUP&amp;HEIGHT=450&amp;WIDTH=450&amp;START_MA","XIMIZED=FALSE&amp;VAR:CALENDAR=US&amp;VAR:SYMBOL=04916420&amp;VAR:INDEX=0"}</definedName>
    <definedName name="_10914__FDSAUDITLINK__" localSheetId="6" hidden="1">{"fdsup://directions/FAT Viewer?action=UPDATE&amp;creator=factset&amp;DYN_ARGS=TRUE&amp;DOC_NAME=FAT:FQL_AUDITING_CLIENT_TEMPLATE.FAT&amp;display_string=Audit&amp;VAR:KEY=XULMNCZELY&amp;VAR:QUERY=RkZfRUJJVERBX0lCKCdMVE1TJywzODQ1NSk=&amp;WINDOW=FIRST_POPUP&amp;HEIGHT=450&amp;WIDTH=450&amp;START_MA","XIMIZED=FALSE&amp;VAR:CALENDAR=US&amp;VAR:SYMBOL=04916420&amp;VAR:INDEX=0"}</definedName>
    <definedName name="_10914__FDSAUDITLINK__" hidden="1">{"fdsup://directions/FAT Viewer?action=UPDATE&amp;creator=factset&amp;DYN_ARGS=TRUE&amp;DOC_NAME=FAT:FQL_AUDITING_CLIENT_TEMPLATE.FAT&amp;display_string=Audit&amp;VAR:KEY=XULMNCZELY&amp;VAR:QUERY=RkZfRUJJVERBX0lCKCdMVE1TJywzODQ1NSk=&amp;WINDOW=FIRST_POPUP&amp;HEIGHT=450&amp;WIDTH=450&amp;START_MA","XIMIZED=FALSE&amp;VAR:CALENDAR=US&amp;VAR:SYMBOL=04916420&amp;VAR:INDEX=0"}</definedName>
    <definedName name="_10915__FDSAUDITLINK__" localSheetId="6" hidden="1">{"fdsup://directions/FAT Viewer?action=UPDATE&amp;creator=factset&amp;DYN_ARGS=TRUE&amp;DOC_NAME=FAT:FQL_AUDITING_CLIENT_TEMPLATE.FAT&amp;display_string=Audit&amp;VAR:KEY=TYPSFALMNM&amp;VAR:QUERY=RkZfRUJJVERBX0lCKCdMVE1TJywzODQ1NCk=&amp;WINDOW=FIRST_POPUP&amp;HEIGHT=450&amp;WIDTH=450&amp;START_MA","XIMIZED=FALSE&amp;VAR:CALENDAR=US&amp;VAR:SYMBOL=04916420&amp;VAR:INDEX=0"}</definedName>
    <definedName name="_10915__FDSAUDITLINK__" hidden="1">{"fdsup://directions/FAT Viewer?action=UPDATE&amp;creator=factset&amp;DYN_ARGS=TRUE&amp;DOC_NAME=FAT:FQL_AUDITING_CLIENT_TEMPLATE.FAT&amp;display_string=Audit&amp;VAR:KEY=TYPSFALMNM&amp;VAR:QUERY=RkZfRUJJVERBX0lCKCdMVE1TJywzODQ1NCk=&amp;WINDOW=FIRST_POPUP&amp;HEIGHT=450&amp;WIDTH=450&amp;START_MA","XIMIZED=FALSE&amp;VAR:CALENDAR=US&amp;VAR:SYMBOL=04916420&amp;VAR:INDEX=0"}</definedName>
    <definedName name="_10916__FDSAUDITLINK__" localSheetId="6" hidden="1">{"fdsup://directions/FAT Viewer?action=UPDATE&amp;creator=factset&amp;DYN_ARGS=TRUE&amp;DOC_NAME=FAT:FQL_AUDITING_CLIENT_TEMPLATE.FAT&amp;display_string=Audit&amp;VAR:KEY=JCZGVEJIHE&amp;VAR:QUERY=RkZfRUJJVERBX0lCKCdMVE1TJywzODQ1Myk=&amp;WINDOW=FIRST_POPUP&amp;HEIGHT=450&amp;WIDTH=450&amp;START_MA","XIMIZED=FALSE&amp;VAR:CALENDAR=US&amp;VAR:SYMBOL=04916420&amp;VAR:INDEX=0"}</definedName>
    <definedName name="_10916__FDSAUDITLINK__" hidden="1">{"fdsup://directions/FAT Viewer?action=UPDATE&amp;creator=factset&amp;DYN_ARGS=TRUE&amp;DOC_NAME=FAT:FQL_AUDITING_CLIENT_TEMPLATE.FAT&amp;display_string=Audit&amp;VAR:KEY=JCZGVEJIHE&amp;VAR:QUERY=RkZfRUJJVERBX0lCKCdMVE1TJywzODQ1Myk=&amp;WINDOW=FIRST_POPUP&amp;HEIGHT=450&amp;WIDTH=450&amp;START_MA","XIMIZED=FALSE&amp;VAR:CALENDAR=US&amp;VAR:SYMBOL=04916420&amp;VAR:INDEX=0"}</definedName>
    <definedName name="_10917__FDSAUDITLINK__" localSheetId="6" hidden="1">{"fdsup://directions/FAT Viewer?action=UPDATE&amp;creator=factset&amp;DYN_ARGS=TRUE&amp;DOC_NAME=FAT:FQL_AUDITING_CLIENT_TEMPLATE.FAT&amp;display_string=Audit&amp;VAR:KEY=XIRCNOTOXY&amp;VAR:QUERY=RkZfRUJJVERBX0lCKCdMVE1TJywzODQ1Mik=&amp;WINDOW=FIRST_POPUP&amp;HEIGHT=450&amp;WIDTH=450&amp;START_MA","XIMIZED=FALSE&amp;VAR:CALENDAR=US&amp;VAR:SYMBOL=04916420&amp;VAR:INDEX=0"}</definedName>
    <definedName name="_10917__FDSAUDITLINK__" hidden="1">{"fdsup://directions/FAT Viewer?action=UPDATE&amp;creator=factset&amp;DYN_ARGS=TRUE&amp;DOC_NAME=FAT:FQL_AUDITING_CLIENT_TEMPLATE.FAT&amp;display_string=Audit&amp;VAR:KEY=XIRCNOTOXY&amp;VAR:QUERY=RkZfRUJJVERBX0lCKCdMVE1TJywzODQ1Mik=&amp;WINDOW=FIRST_POPUP&amp;HEIGHT=450&amp;WIDTH=450&amp;START_MA","XIMIZED=FALSE&amp;VAR:CALENDAR=US&amp;VAR:SYMBOL=04916420&amp;VAR:INDEX=0"}</definedName>
    <definedName name="_10918__FDSAUDITLINK__" localSheetId="6" hidden="1">{"fdsup://directions/FAT Viewer?action=UPDATE&amp;creator=factset&amp;DYN_ARGS=TRUE&amp;DOC_NAME=FAT:FQL_AUDITING_CLIENT_TEMPLATE.FAT&amp;display_string=Audit&amp;VAR:KEY=HWTMPIHGFU&amp;VAR:QUERY=RkZfRUJJVERBX0lCKCdMVE1TJywzODQ1MSk=&amp;WINDOW=FIRST_POPUP&amp;HEIGHT=450&amp;WIDTH=450&amp;START_MA","XIMIZED=FALSE&amp;VAR:CALENDAR=US&amp;VAR:SYMBOL=04916420&amp;VAR:INDEX=0"}</definedName>
    <definedName name="_10918__FDSAUDITLINK__" hidden="1">{"fdsup://directions/FAT Viewer?action=UPDATE&amp;creator=factset&amp;DYN_ARGS=TRUE&amp;DOC_NAME=FAT:FQL_AUDITING_CLIENT_TEMPLATE.FAT&amp;display_string=Audit&amp;VAR:KEY=HWTMPIHGFU&amp;VAR:QUERY=RkZfRUJJVERBX0lCKCdMVE1TJywzODQ1MSk=&amp;WINDOW=FIRST_POPUP&amp;HEIGHT=450&amp;WIDTH=450&amp;START_MA","XIMIZED=FALSE&amp;VAR:CALENDAR=US&amp;VAR:SYMBOL=04916420&amp;VAR:INDEX=0"}</definedName>
    <definedName name="_10919__FDSAUDITLINK__" localSheetId="6" hidden="1">{"fdsup://directions/FAT Viewer?action=UPDATE&amp;creator=factset&amp;DYN_ARGS=TRUE&amp;DOC_NAME=FAT:FQL_AUDITING_CLIENT_TEMPLATE.FAT&amp;display_string=Audit&amp;VAR:KEY=BKHABCDAVK&amp;VAR:QUERY=RkZfRUJJVERBX0lCKCdMVE1TJywzODQ1MCk=&amp;WINDOW=FIRST_POPUP&amp;HEIGHT=450&amp;WIDTH=450&amp;START_MA","XIMIZED=FALSE&amp;VAR:CALENDAR=US&amp;VAR:SYMBOL=04916420&amp;VAR:INDEX=0"}</definedName>
    <definedName name="_10919__FDSAUDITLINK__" hidden="1">{"fdsup://directions/FAT Viewer?action=UPDATE&amp;creator=factset&amp;DYN_ARGS=TRUE&amp;DOC_NAME=FAT:FQL_AUDITING_CLIENT_TEMPLATE.FAT&amp;display_string=Audit&amp;VAR:KEY=BKHABCDAVK&amp;VAR:QUERY=RkZfRUJJVERBX0lCKCdMVE1TJywzODQ1MCk=&amp;WINDOW=FIRST_POPUP&amp;HEIGHT=450&amp;WIDTH=450&amp;START_MA","XIMIZED=FALSE&amp;VAR:CALENDAR=US&amp;VAR:SYMBOL=04916420&amp;VAR:INDEX=0"}</definedName>
    <definedName name="_1092__FDSAUDITLINK__" localSheetId="6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2__FDSAUDITLINK__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20__FDSAUDITLINK__" localSheetId="6" hidden="1">{"fdsup://directions/FAT Viewer?action=UPDATE&amp;creator=factset&amp;DYN_ARGS=TRUE&amp;DOC_NAME=FAT:FQL_AUDITING_CLIENT_TEMPLATE.FAT&amp;display_string=Audit&amp;VAR:KEY=ZAHCXINODO&amp;VAR:QUERY=RkZfRUJJVERBX0lCKCdMVE1TJywzODQ0OSk=&amp;WINDOW=FIRST_POPUP&amp;HEIGHT=450&amp;WIDTH=450&amp;START_MA","XIMIZED=FALSE&amp;VAR:CALENDAR=US&amp;VAR:SYMBOL=04916420&amp;VAR:INDEX=0"}</definedName>
    <definedName name="_10920__FDSAUDITLINK__" hidden="1">{"fdsup://directions/FAT Viewer?action=UPDATE&amp;creator=factset&amp;DYN_ARGS=TRUE&amp;DOC_NAME=FAT:FQL_AUDITING_CLIENT_TEMPLATE.FAT&amp;display_string=Audit&amp;VAR:KEY=ZAHCXINODO&amp;VAR:QUERY=RkZfRUJJVERBX0lCKCdMVE1TJywzODQ0OSk=&amp;WINDOW=FIRST_POPUP&amp;HEIGHT=450&amp;WIDTH=450&amp;START_MA","XIMIZED=FALSE&amp;VAR:CALENDAR=US&amp;VAR:SYMBOL=04916420&amp;VAR:INDEX=0"}</definedName>
    <definedName name="_10921__FDSAUDITLINK__" localSheetId="6" hidden="1">{"fdsup://directions/FAT Viewer?action=UPDATE&amp;creator=factset&amp;DYN_ARGS=TRUE&amp;DOC_NAME=FAT:FQL_AUDITING_CLIENT_TEMPLATE.FAT&amp;display_string=Audit&amp;VAR:KEY=RWDEBURYTS&amp;VAR:QUERY=RkZfRUJJVERBX0lCKCdMVE1TJywzODQ0OCk=&amp;WINDOW=FIRST_POPUP&amp;HEIGHT=450&amp;WIDTH=450&amp;START_MA","XIMIZED=FALSE&amp;VAR:CALENDAR=US&amp;VAR:SYMBOL=04916420&amp;VAR:INDEX=0"}</definedName>
    <definedName name="_10921__FDSAUDITLINK__" hidden="1">{"fdsup://directions/FAT Viewer?action=UPDATE&amp;creator=factset&amp;DYN_ARGS=TRUE&amp;DOC_NAME=FAT:FQL_AUDITING_CLIENT_TEMPLATE.FAT&amp;display_string=Audit&amp;VAR:KEY=RWDEBURYTS&amp;VAR:QUERY=RkZfRUJJVERBX0lCKCdMVE1TJywzODQ0OCk=&amp;WINDOW=FIRST_POPUP&amp;HEIGHT=450&amp;WIDTH=450&amp;START_MA","XIMIZED=FALSE&amp;VAR:CALENDAR=US&amp;VAR:SYMBOL=04916420&amp;VAR:INDEX=0"}</definedName>
    <definedName name="_10922__FDSAUDITLINK__" localSheetId="6" hidden="1">{"fdsup://directions/FAT Viewer?action=UPDATE&amp;creator=factset&amp;DYN_ARGS=TRUE&amp;DOC_NAME=FAT:FQL_AUDITING_CLIENT_TEMPLATE.FAT&amp;display_string=Audit&amp;VAR:KEY=XOBOBOBULM&amp;VAR:QUERY=RkZfRUJJVERBX0lCKCdMVE1TJywzODQ0Nyk=&amp;WINDOW=FIRST_POPUP&amp;HEIGHT=450&amp;WIDTH=450&amp;START_MA","XIMIZED=FALSE&amp;VAR:CALENDAR=US&amp;VAR:SYMBOL=04916420&amp;VAR:INDEX=0"}</definedName>
    <definedName name="_10922__FDSAUDITLINK__" hidden="1">{"fdsup://directions/FAT Viewer?action=UPDATE&amp;creator=factset&amp;DYN_ARGS=TRUE&amp;DOC_NAME=FAT:FQL_AUDITING_CLIENT_TEMPLATE.FAT&amp;display_string=Audit&amp;VAR:KEY=XOBOBOBULM&amp;VAR:QUERY=RkZfRUJJVERBX0lCKCdMVE1TJywzODQ0Nyk=&amp;WINDOW=FIRST_POPUP&amp;HEIGHT=450&amp;WIDTH=450&amp;START_MA","XIMIZED=FALSE&amp;VAR:CALENDAR=US&amp;VAR:SYMBOL=04916420&amp;VAR:INDEX=0"}</definedName>
    <definedName name="_10923__FDSAUDITLINK__" localSheetId="6" hidden="1">{"fdsup://directions/FAT Viewer?action=UPDATE&amp;creator=factset&amp;DYN_ARGS=TRUE&amp;DOC_NAME=FAT:FQL_AUDITING_CLIENT_TEMPLATE.FAT&amp;display_string=Audit&amp;VAR:KEY=DMFMFMVGDC&amp;VAR:QUERY=RkZfRUJJVERBX0lCKCdMVE1TJywzODQ0Nik=&amp;WINDOW=FIRST_POPUP&amp;HEIGHT=450&amp;WIDTH=450&amp;START_MA","XIMIZED=FALSE&amp;VAR:CALENDAR=US&amp;VAR:SYMBOL=04916420&amp;VAR:INDEX=0"}</definedName>
    <definedName name="_10923__FDSAUDITLINK__" hidden="1">{"fdsup://directions/FAT Viewer?action=UPDATE&amp;creator=factset&amp;DYN_ARGS=TRUE&amp;DOC_NAME=FAT:FQL_AUDITING_CLIENT_TEMPLATE.FAT&amp;display_string=Audit&amp;VAR:KEY=DMFMFMVGDC&amp;VAR:QUERY=RkZfRUJJVERBX0lCKCdMVE1TJywzODQ0Nik=&amp;WINDOW=FIRST_POPUP&amp;HEIGHT=450&amp;WIDTH=450&amp;START_MA","XIMIZED=FALSE&amp;VAR:CALENDAR=US&amp;VAR:SYMBOL=04916420&amp;VAR:INDEX=0"}</definedName>
    <definedName name="_10924__FDSAUDITLINK__" localSheetId="6" hidden="1">{"fdsup://directions/FAT Viewer?action=UPDATE&amp;creator=factset&amp;DYN_ARGS=TRUE&amp;DOC_NAME=FAT:FQL_AUDITING_CLIENT_TEMPLATE.FAT&amp;display_string=Audit&amp;VAR:KEY=PQLUPSHQHK&amp;VAR:QUERY=RkZfRUJJVERBX0lCKCdMVE1TJywzODQ0NSk=&amp;WINDOW=FIRST_POPUP&amp;HEIGHT=450&amp;WIDTH=450&amp;START_MA","XIMIZED=FALSE&amp;VAR:CALENDAR=US&amp;VAR:SYMBOL=04916420&amp;VAR:INDEX=0"}</definedName>
    <definedName name="_10924__FDSAUDITLINK__" hidden="1">{"fdsup://directions/FAT Viewer?action=UPDATE&amp;creator=factset&amp;DYN_ARGS=TRUE&amp;DOC_NAME=FAT:FQL_AUDITING_CLIENT_TEMPLATE.FAT&amp;display_string=Audit&amp;VAR:KEY=PQLUPSHQHK&amp;VAR:QUERY=RkZfRUJJVERBX0lCKCdMVE1TJywzODQ0NSk=&amp;WINDOW=FIRST_POPUP&amp;HEIGHT=450&amp;WIDTH=450&amp;START_MA","XIMIZED=FALSE&amp;VAR:CALENDAR=US&amp;VAR:SYMBOL=04916420&amp;VAR:INDEX=0"}</definedName>
    <definedName name="_10925__FDSAUDITLINK__" localSheetId="6" hidden="1">{"fdsup://directions/FAT Viewer?action=UPDATE&amp;creator=factset&amp;DYN_ARGS=TRUE&amp;DOC_NAME=FAT:FQL_AUDITING_CLIENT_TEMPLATE.FAT&amp;display_string=Audit&amp;VAR:KEY=XOJCBATSLS&amp;VAR:QUERY=RkZfRUJJVERBX0lCKCdMVE1TJywzODQ0NCk=&amp;WINDOW=FIRST_POPUP&amp;HEIGHT=450&amp;WIDTH=450&amp;START_MA","XIMIZED=FALSE&amp;VAR:CALENDAR=US&amp;VAR:SYMBOL=04916420&amp;VAR:INDEX=0"}</definedName>
    <definedName name="_10925__FDSAUDITLINK__" hidden="1">{"fdsup://directions/FAT Viewer?action=UPDATE&amp;creator=factset&amp;DYN_ARGS=TRUE&amp;DOC_NAME=FAT:FQL_AUDITING_CLIENT_TEMPLATE.FAT&amp;display_string=Audit&amp;VAR:KEY=XOJCBATSLS&amp;VAR:QUERY=RkZfRUJJVERBX0lCKCdMVE1TJywzODQ0NCk=&amp;WINDOW=FIRST_POPUP&amp;HEIGHT=450&amp;WIDTH=450&amp;START_MA","XIMIZED=FALSE&amp;VAR:CALENDAR=US&amp;VAR:SYMBOL=04916420&amp;VAR:INDEX=0"}</definedName>
    <definedName name="_10926__FDSAUDITLINK__" localSheetId="6" hidden="1">{"fdsup://directions/FAT Viewer?action=UPDATE&amp;creator=factset&amp;DYN_ARGS=TRUE&amp;DOC_NAME=FAT:FQL_AUDITING_CLIENT_TEMPLATE.FAT&amp;display_string=Audit&amp;VAR:KEY=BYBCLIDONO&amp;VAR:QUERY=RkZfRUJJVERBX0lCKCdMVE1TJywzODQ0Myk=&amp;WINDOW=FIRST_POPUP&amp;HEIGHT=450&amp;WIDTH=450&amp;START_MA","XIMIZED=FALSE&amp;VAR:CALENDAR=US&amp;VAR:SYMBOL=04916420&amp;VAR:INDEX=0"}</definedName>
    <definedName name="_10926__FDSAUDITLINK__" hidden="1">{"fdsup://directions/FAT Viewer?action=UPDATE&amp;creator=factset&amp;DYN_ARGS=TRUE&amp;DOC_NAME=FAT:FQL_AUDITING_CLIENT_TEMPLATE.FAT&amp;display_string=Audit&amp;VAR:KEY=BYBCLIDONO&amp;VAR:QUERY=RkZfRUJJVERBX0lCKCdMVE1TJywzODQ0Myk=&amp;WINDOW=FIRST_POPUP&amp;HEIGHT=450&amp;WIDTH=450&amp;START_MA","XIMIZED=FALSE&amp;VAR:CALENDAR=US&amp;VAR:SYMBOL=04916420&amp;VAR:INDEX=0"}</definedName>
    <definedName name="_10927__FDSAUDITLINK__" localSheetId="6" hidden="1">{"fdsup://directions/FAT Viewer?action=UPDATE&amp;creator=factset&amp;DYN_ARGS=TRUE&amp;DOC_NAME=FAT:FQL_AUDITING_CLIENT_TEMPLATE.FAT&amp;display_string=Audit&amp;VAR:KEY=XALEHKTEPG&amp;VAR:QUERY=RkZfRUJJVERBX0lCKCdMVE1TJywzODQ0Mik=&amp;WINDOW=FIRST_POPUP&amp;HEIGHT=450&amp;WIDTH=450&amp;START_MA","XIMIZED=FALSE&amp;VAR:CALENDAR=US&amp;VAR:SYMBOL=04916420&amp;VAR:INDEX=0"}</definedName>
    <definedName name="_10927__FDSAUDITLINK__" hidden="1">{"fdsup://directions/FAT Viewer?action=UPDATE&amp;creator=factset&amp;DYN_ARGS=TRUE&amp;DOC_NAME=FAT:FQL_AUDITING_CLIENT_TEMPLATE.FAT&amp;display_string=Audit&amp;VAR:KEY=XALEHKTEPG&amp;VAR:QUERY=RkZfRUJJVERBX0lCKCdMVE1TJywzODQ0Mik=&amp;WINDOW=FIRST_POPUP&amp;HEIGHT=450&amp;WIDTH=450&amp;START_MA","XIMIZED=FALSE&amp;VAR:CALENDAR=US&amp;VAR:SYMBOL=04916420&amp;VAR:INDEX=0"}</definedName>
    <definedName name="_10928__FDSAUDITLINK__" localSheetId="6" hidden="1">{"fdsup://directions/FAT Viewer?action=UPDATE&amp;creator=factset&amp;DYN_ARGS=TRUE&amp;DOC_NAME=FAT:FQL_AUDITING_CLIENT_TEMPLATE.FAT&amp;display_string=Audit&amp;VAR:KEY=XWVYHOXOZW&amp;VAR:QUERY=RkZfRUJJVERBX0lCKCdMVE1TJywzODQ0MSk=&amp;WINDOW=FIRST_POPUP&amp;HEIGHT=450&amp;WIDTH=450&amp;START_MA","XIMIZED=FALSE&amp;VAR:CALENDAR=US&amp;VAR:SYMBOL=04916420&amp;VAR:INDEX=0"}</definedName>
    <definedName name="_10928__FDSAUDITLINK__" hidden="1">{"fdsup://directions/FAT Viewer?action=UPDATE&amp;creator=factset&amp;DYN_ARGS=TRUE&amp;DOC_NAME=FAT:FQL_AUDITING_CLIENT_TEMPLATE.FAT&amp;display_string=Audit&amp;VAR:KEY=XWVYHOXOZW&amp;VAR:QUERY=RkZfRUJJVERBX0lCKCdMVE1TJywzODQ0MSk=&amp;WINDOW=FIRST_POPUP&amp;HEIGHT=450&amp;WIDTH=450&amp;START_MA","XIMIZED=FALSE&amp;VAR:CALENDAR=US&amp;VAR:SYMBOL=04916420&amp;VAR:INDEX=0"}</definedName>
    <definedName name="_10929__FDSAUDITLINK__" localSheetId="6" hidden="1">{"fdsup://directions/FAT Viewer?action=UPDATE&amp;creator=factset&amp;DYN_ARGS=TRUE&amp;DOC_NAME=FAT:FQL_AUDITING_CLIENT_TEMPLATE.FAT&amp;display_string=Audit&amp;VAR:KEY=LKBORMXUHQ&amp;VAR:QUERY=RkZfRUJJVERBX0lCKCdMVE1TJywzODQ0MCk=&amp;WINDOW=FIRST_POPUP&amp;HEIGHT=450&amp;WIDTH=450&amp;START_MA","XIMIZED=FALSE&amp;VAR:CALENDAR=US&amp;VAR:SYMBOL=04916420&amp;VAR:INDEX=0"}</definedName>
    <definedName name="_10929__FDSAUDITLINK__" hidden="1">{"fdsup://directions/FAT Viewer?action=UPDATE&amp;creator=factset&amp;DYN_ARGS=TRUE&amp;DOC_NAME=FAT:FQL_AUDITING_CLIENT_TEMPLATE.FAT&amp;display_string=Audit&amp;VAR:KEY=LKBORMXUHQ&amp;VAR:QUERY=RkZfRUJJVERBX0lCKCdMVE1TJywzODQ0MCk=&amp;WINDOW=FIRST_POPUP&amp;HEIGHT=450&amp;WIDTH=450&amp;START_MA","XIMIZED=FALSE&amp;VAR:CALENDAR=US&amp;VAR:SYMBOL=04916420&amp;VAR:INDEX=0"}</definedName>
    <definedName name="_1093__FDSAUDITLINK__" localSheetId="6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3__FDSAUDITLINK__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30__FDSAUDITLINK__" localSheetId="6" hidden="1">{"fdsup://directions/FAT Viewer?action=UPDATE&amp;creator=factset&amp;DYN_ARGS=TRUE&amp;DOC_NAME=FAT:FQL_AUDITING_CLIENT_TEMPLATE.FAT&amp;display_string=Audit&amp;VAR:KEY=DSNQTWLOTU&amp;VAR:QUERY=RkZfRUJJVERBX0lCKCdMVE1TJywzODQzOSk=&amp;WINDOW=FIRST_POPUP&amp;HEIGHT=450&amp;WIDTH=450&amp;START_MA","XIMIZED=FALSE&amp;VAR:CALENDAR=US&amp;VAR:SYMBOL=04916420&amp;VAR:INDEX=0"}</definedName>
    <definedName name="_10930__FDSAUDITLINK__" hidden="1">{"fdsup://directions/FAT Viewer?action=UPDATE&amp;creator=factset&amp;DYN_ARGS=TRUE&amp;DOC_NAME=FAT:FQL_AUDITING_CLIENT_TEMPLATE.FAT&amp;display_string=Audit&amp;VAR:KEY=DSNQTWLOTU&amp;VAR:QUERY=RkZfRUJJVERBX0lCKCdMVE1TJywzODQzOSk=&amp;WINDOW=FIRST_POPUP&amp;HEIGHT=450&amp;WIDTH=450&amp;START_MA","XIMIZED=FALSE&amp;VAR:CALENDAR=US&amp;VAR:SYMBOL=04916420&amp;VAR:INDEX=0"}</definedName>
    <definedName name="_10931__FDSAUDITLINK__" localSheetId="6" hidden="1">{"fdsup://directions/FAT Viewer?action=UPDATE&amp;creator=factset&amp;DYN_ARGS=TRUE&amp;DOC_NAME=FAT:FQL_AUDITING_CLIENT_TEMPLATE.FAT&amp;display_string=Audit&amp;VAR:KEY=JSTARCNURU&amp;VAR:QUERY=RkZfRUJJVERBX0lCKCdMVE1TJywzODQzOCk=&amp;WINDOW=FIRST_POPUP&amp;HEIGHT=450&amp;WIDTH=450&amp;START_MA","XIMIZED=FALSE&amp;VAR:CALENDAR=US&amp;VAR:SYMBOL=04916420&amp;VAR:INDEX=0"}</definedName>
    <definedName name="_10931__FDSAUDITLINK__" hidden="1">{"fdsup://directions/FAT Viewer?action=UPDATE&amp;creator=factset&amp;DYN_ARGS=TRUE&amp;DOC_NAME=FAT:FQL_AUDITING_CLIENT_TEMPLATE.FAT&amp;display_string=Audit&amp;VAR:KEY=JSTARCNURU&amp;VAR:QUERY=RkZfRUJJVERBX0lCKCdMVE1TJywzODQzOCk=&amp;WINDOW=FIRST_POPUP&amp;HEIGHT=450&amp;WIDTH=450&amp;START_MA","XIMIZED=FALSE&amp;VAR:CALENDAR=US&amp;VAR:SYMBOL=04916420&amp;VAR:INDEX=0"}</definedName>
    <definedName name="_10932__FDSAUDITLINK__" localSheetId="6" hidden="1">{"fdsup://directions/FAT Viewer?action=UPDATE&amp;creator=factset&amp;DYN_ARGS=TRUE&amp;DOC_NAME=FAT:FQL_AUDITING_CLIENT_TEMPLATE.FAT&amp;display_string=Audit&amp;VAR:KEY=TWVSHCVOXI&amp;VAR:QUERY=RkZfRUJJVERBX0lCKCdMVE1TJywzODQzNyk=&amp;WINDOW=FIRST_POPUP&amp;HEIGHT=450&amp;WIDTH=450&amp;START_MA","XIMIZED=FALSE&amp;VAR:CALENDAR=US&amp;VAR:SYMBOL=04916420&amp;VAR:INDEX=0"}</definedName>
    <definedName name="_10932__FDSAUDITLINK__" hidden="1">{"fdsup://directions/FAT Viewer?action=UPDATE&amp;creator=factset&amp;DYN_ARGS=TRUE&amp;DOC_NAME=FAT:FQL_AUDITING_CLIENT_TEMPLATE.FAT&amp;display_string=Audit&amp;VAR:KEY=TWVSHCVOXI&amp;VAR:QUERY=RkZfRUJJVERBX0lCKCdMVE1TJywzODQzNyk=&amp;WINDOW=FIRST_POPUP&amp;HEIGHT=450&amp;WIDTH=450&amp;START_MA","XIMIZED=FALSE&amp;VAR:CALENDAR=US&amp;VAR:SYMBOL=04916420&amp;VAR:INDEX=0"}</definedName>
    <definedName name="_10933__FDSAUDITLINK__" localSheetId="6" hidden="1">{"fdsup://directions/FAT Viewer?action=UPDATE&amp;creator=factset&amp;DYN_ARGS=TRUE&amp;DOC_NAME=FAT:FQL_AUDITING_CLIENT_TEMPLATE.FAT&amp;display_string=Audit&amp;VAR:KEY=JQFSPUPCBU&amp;VAR:QUERY=RkZfRUJJVERBX0lCKCdMVE1TJywzODQzNik=&amp;WINDOW=FIRST_POPUP&amp;HEIGHT=450&amp;WIDTH=450&amp;START_MA","XIMIZED=FALSE&amp;VAR:CALENDAR=US&amp;VAR:SYMBOL=04916420&amp;VAR:INDEX=0"}</definedName>
    <definedName name="_10933__FDSAUDITLINK__" hidden="1">{"fdsup://directions/FAT Viewer?action=UPDATE&amp;creator=factset&amp;DYN_ARGS=TRUE&amp;DOC_NAME=FAT:FQL_AUDITING_CLIENT_TEMPLATE.FAT&amp;display_string=Audit&amp;VAR:KEY=JQFSPUPCBU&amp;VAR:QUERY=RkZfRUJJVERBX0lCKCdMVE1TJywzODQzNik=&amp;WINDOW=FIRST_POPUP&amp;HEIGHT=450&amp;WIDTH=450&amp;START_MA","XIMIZED=FALSE&amp;VAR:CALENDAR=US&amp;VAR:SYMBOL=04916420&amp;VAR:INDEX=0"}</definedName>
    <definedName name="_10934__FDSAUDITLINK__" localSheetId="6" hidden="1">{"fdsup://directions/FAT Viewer?action=UPDATE&amp;creator=factset&amp;DYN_ARGS=TRUE&amp;DOC_NAME=FAT:FQL_AUDITING_CLIENT_TEMPLATE.FAT&amp;display_string=Audit&amp;VAR:KEY=XMHUFYHOTK&amp;VAR:QUERY=RkZfRUJJVERBX0lCKCdMVE1TJywzODQzNSk=&amp;WINDOW=FIRST_POPUP&amp;HEIGHT=450&amp;WIDTH=450&amp;START_MA","XIMIZED=FALSE&amp;VAR:CALENDAR=US&amp;VAR:SYMBOL=04916420&amp;VAR:INDEX=0"}</definedName>
    <definedName name="_10934__FDSAUDITLINK__" hidden="1">{"fdsup://directions/FAT Viewer?action=UPDATE&amp;creator=factset&amp;DYN_ARGS=TRUE&amp;DOC_NAME=FAT:FQL_AUDITING_CLIENT_TEMPLATE.FAT&amp;display_string=Audit&amp;VAR:KEY=XMHUFYHOTK&amp;VAR:QUERY=RkZfRUJJVERBX0lCKCdMVE1TJywzODQzNSk=&amp;WINDOW=FIRST_POPUP&amp;HEIGHT=450&amp;WIDTH=450&amp;START_MA","XIMIZED=FALSE&amp;VAR:CALENDAR=US&amp;VAR:SYMBOL=04916420&amp;VAR:INDEX=0"}</definedName>
    <definedName name="_10935__FDSAUDITLINK__" localSheetId="6" hidden="1">{"fdsup://directions/FAT Viewer?action=UPDATE&amp;creator=factset&amp;DYN_ARGS=TRUE&amp;DOC_NAME=FAT:FQL_AUDITING_CLIENT_TEMPLATE.FAT&amp;display_string=Audit&amp;VAR:KEY=BMRAVUFGJG&amp;VAR:QUERY=RkZfRUJJVERBX0lCKCdMVE1TJywzODQzNCk=&amp;WINDOW=FIRST_POPUP&amp;HEIGHT=450&amp;WIDTH=450&amp;START_MA","XIMIZED=FALSE&amp;VAR:CALENDAR=US&amp;VAR:SYMBOL=04916420&amp;VAR:INDEX=0"}</definedName>
    <definedName name="_10935__FDSAUDITLINK__" hidden="1">{"fdsup://directions/FAT Viewer?action=UPDATE&amp;creator=factset&amp;DYN_ARGS=TRUE&amp;DOC_NAME=FAT:FQL_AUDITING_CLIENT_TEMPLATE.FAT&amp;display_string=Audit&amp;VAR:KEY=BMRAVUFGJG&amp;VAR:QUERY=RkZfRUJJVERBX0lCKCdMVE1TJywzODQzNCk=&amp;WINDOW=FIRST_POPUP&amp;HEIGHT=450&amp;WIDTH=450&amp;START_MA","XIMIZED=FALSE&amp;VAR:CALENDAR=US&amp;VAR:SYMBOL=04916420&amp;VAR:INDEX=0"}</definedName>
    <definedName name="_10936__FDSAUDITLINK__" localSheetId="6" hidden="1">{"fdsup://directions/FAT Viewer?action=UPDATE&amp;creator=factset&amp;DYN_ARGS=TRUE&amp;DOC_NAME=FAT:FQL_AUDITING_CLIENT_TEMPLATE.FAT&amp;display_string=Audit&amp;VAR:KEY=BIRABYTEXA&amp;VAR:QUERY=RkZfRUJJVERBX0lCKCdMVE1TJywzODQzMyk=&amp;WINDOW=FIRST_POPUP&amp;HEIGHT=450&amp;WIDTH=450&amp;START_MA","XIMIZED=FALSE&amp;VAR:CALENDAR=US&amp;VAR:SYMBOL=04916420&amp;VAR:INDEX=0"}</definedName>
    <definedName name="_10936__FDSAUDITLINK__" hidden="1">{"fdsup://directions/FAT Viewer?action=UPDATE&amp;creator=factset&amp;DYN_ARGS=TRUE&amp;DOC_NAME=FAT:FQL_AUDITING_CLIENT_TEMPLATE.FAT&amp;display_string=Audit&amp;VAR:KEY=BIRABYTEXA&amp;VAR:QUERY=RkZfRUJJVERBX0lCKCdMVE1TJywzODQzMyk=&amp;WINDOW=FIRST_POPUP&amp;HEIGHT=450&amp;WIDTH=450&amp;START_MA","XIMIZED=FALSE&amp;VAR:CALENDAR=US&amp;VAR:SYMBOL=04916420&amp;VAR:INDEX=0"}</definedName>
    <definedName name="_10937__FDSAUDITLINK__" localSheetId="6" hidden="1">{"fdsup://directions/FAT Viewer?action=UPDATE&amp;creator=factset&amp;DYN_ARGS=TRUE&amp;DOC_NAME=FAT:FQL_AUDITING_CLIENT_TEMPLATE.FAT&amp;display_string=Audit&amp;VAR:KEY=LMBCFEBITY&amp;VAR:QUERY=RkZfRUJJVERBX0lCKCdMVE1TJywzODQzMik=&amp;WINDOW=FIRST_POPUP&amp;HEIGHT=450&amp;WIDTH=450&amp;START_MA","XIMIZED=FALSE&amp;VAR:CALENDAR=US&amp;VAR:SYMBOL=04916420&amp;VAR:INDEX=0"}</definedName>
    <definedName name="_10937__FDSAUDITLINK__" hidden="1">{"fdsup://directions/FAT Viewer?action=UPDATE&amp;creator=factset&amp;DYN_ARGS=TRUE&amp;DOC_NAME=FAT:FQL_AUDITING_CLIENT_TEMPLATE.FAT&amp;display_string=Audit&amp;VAR:KEY=LMBCFEBITY&amp;VAR:QUERY=RkZfRUJJVERBX0lCKCdMVE1TJywzODQzMik=&amp;WINDOW=FIRST_POPUP&amp;HEIGHT=450&amp;WIDTH=450&amp;START_MA","XIMIZED=FALSE&amp;VAR:CALENDAR=US&amp;VAR:SYMBOL=04916420&amp;VAR:INDEX=0"}</definedName>
    <definedName name="_10938__FDSAUDITLINK__" localSheetId="6" hidden="1">{"fdsup://directions/FAT Viewer?action=UPDATE&amp;creator=factset&amp;DYN_ARGS=TRUE&amp;DOC_NAME=FAT:FQL_AUDITING_CLIENT_TEMPLATE.FAT&amp;display_string=Audit&amp;VAR:KEY=LSVUZGJUFG&amp;VAR:QUERY=RkZfRUJJVERBX0lCKCdMVE1TJywzODQzMSk=&amp;WINDOW=FIRST_POPUP&amp;HEIGHT=450&amp;WIDTH=450&amp;START_MA","XIMIZED=FALSE&amp;VAR:CALENDAR=US&amp;VAR:SYMBOL=04916420&amp;VAR:INDEX=0"}</definedName>
    <definedName name="_10938__FDSAUDITLINK__" hidden="1">{"fdsup://directions/FAT Viewer?action=UPDATE&amp;creator=factset&amp;DYN_ARGS=TRUE&amp;DOC_NAME=FAT:FQL_AUDITING_CLIENT_TEMPLATE.FAT&amp;display_string=Audit&amp;VAR:KEY=LSVUZGJUFG&amp;VAR:QUERY=RkZfRUJJVERBX0lCKCdMVE1TJywzODQzMSk=&amp;WINDOW=FIRST_POPUP&amp;HEIGHT=450&amp;WIDTH=450&amp;START_MA","XIMIZED=FALSE&amp;VAR:CALENDAR=US&amp;VAR:SYMBOL=04916420&amp;VAR:INDEX=0"}</definedName>
    <definedName name="_10939__FDSAUDITLINK__" localSheetId="6" hidden="1">{"fdsup://directions/FAT Viewer?action=UPDATE&amp;creator=factset&amp;DYN_ARGS=TRUE&amp;DOC_NAME=FAT:FQL_AUDITING_CLIENT_TEMPLATE.FAT&amp;display_string=Audit&amp;VAR:KEY=PADKXYFMTM&amp;VAR:QUERY=RkZfRUJJVERBX0lCKCdMVE1TJywzODQzMCk=&amp;WINDOW=FIRST_POPUP&amp;HEIGHT=450&amp;WIDTH=450&amp;START_MA","XIMIZED=FALSE&amp;VAR:CALENDAR=US&amp;VAR:SYMBOL=04916420&amp;VAR:INDEX=0"}</definedName>
    <definedName name="_10939__FDSAUDITLINK__" hidden="1">{"fdsup://directions/FAT Viewer?action=UPDATE&amp;creator=factset&amp;DYN_ARGS=TRUE&amp;DOC_NAME=FAT:FQL_AUDITING_CLIENT_TEMPLATE.FAT&amp;display_string=Audit&amp;VAR:KEY=PADKXYFMTM&amp;VAR:QUERY=RkZfRUJJVERBX0lCKCdMVE1TJywzODQzMCk=&amp;WINDOW=FIRST_POPUP&amp;HEIGHT=450&amp;WIDTH=450&amp;START_MA","XIMIZED=FALSE&amp;VAR:CALENDAR=US&amp;VAR:SYMBOL=04916420&amp;VAR:INDEX=0"}</definedName>
    <definedName name="_1094__FDSAUDITLINK__" localSheetId="6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4__FDSAUDITLINK__" hidden="1">{"fdsup://directions/FAT%20Viewer?VAR:PED=LTM&amp;VAR:AUDIT_MODE=SUMMARY&amp;VAR:PERIOD=FIXED&amp;VAR:AUDIT_ID=00000117&amp;VAR:DATE=20070223&amp;action=UPDATE&amp;creator=factset&amp;DOC_NAME=FAT:FMA_audit_SUMMARY.fat&amp;DISPLAY_STRING=Display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40__FDSAUDITLINK__" localSheetId="6" hidden="1">{"fdsup://directions/FAT Viewer?action=UPDATE&amp;creator=factset&amp;DYN_ARGS=TRUE&amp;DOC_NAME=FAT:FQL_AUDITING_CLIENT_TEMPLATE.FAT&amp;display_string=Audit&amp;VAR:KEY=RGVIVWDANG&amp;VAR:QUERY=RkZfRUJJVERBX0lCKCdMVE1TJywzODQyOSk=&amp;WINDOW=FIRST_POPUP&amp;HEIGHT=450&amp;WIDTH=450&amp;START_MA","XIMIZED=FALSE&amp;VAR:CALENDAR=US&amp;VAR:SYMBOL=04916420&amp;VAR:INDEX=0"}</definedName>
    <definedName name="_10940__FDSAUDITLINK__" hidden="1">{"fdsup://directions/FAT Viewer?action=UPDATE&amp;creator=factset&amp;DYN_ARGS=TRUE&amp;DOC_NAME=FAT:FQL_AUDITING_CLIENT_TEMPLATE.FAT&amp;display_string=Audit&amp;VAR:KEY=RGVIVWDANG&amp;VAR:QUERY=RkZfRUJJVERBX0lCKCdMVE1TJywzODQyOSk=&amp;WINDOW=FIRST_POPUP&amp;HEIGHT=450&amp;WIDTH=450&amp;START_MA","XIMIZED=FALSE&amp;VAR:CALENDAR=US&amp;VAR:SYMBOL=04916420&amp;VAR:INDEX=0"}</definedName>
    <definedName name="_10941__FDSAUDITLINK__" localSheetId="6" hidden="1">{"fdsup://directions/FAT Viewer?action=UPDATE&amp;creator=factset&amp;DYN_ARGS=TRUE&amp;DOC_NAME=FAT:FQL_AUDITING_CLIENT_TEMPLATE.FAT&amp;display_string=Audit&amp;VAR:KEY=XMZODATCTK&amp;VAR:QUERY=RkZfRUJJVERBX0lCKCdMVE1TJywzODQyOCk=&amp;WINDOW=FIRST_POPUP&amp;HEIGHT=450&amp;WIDTH=450&amp;START_MA","XIMIZED=FALSE&amp;VAR:CALENDAR=US&amp;VAR:SYMBOL=04916420&amp;VAR:INDEX=0"}</definedName>
    <definedName name="_10941__FDSAUDITLINK__" hidden="1">{"fdsup://directions/FAT Viewer?action=UPDATE&amp;creator=factset&amp;DYN_ARGS=TRUE&amp;DOC_NAME=FAT:FQL_AUDITING_CLIENT_TEMPLATE.FAT&amp;display_string=Audit&amp;VAR:KEY=XMZODATCTK&amp;VAR:QUERY=RkZfRUJJVERBX0lCKCdMVE1TJywzODQyOCk=&amp;WINDOW=FIRST_POPUP&amp;HEIGHT=450&amp;WIDTH=450&amp;START_MA","XIMIZED=FALSE&amp;VAR:CALENDAR=US&amp;VAR:SYMBOL=04916420&amp;VAR:INDEX=0"}</definedName>
    <definedName name="_10942__FDSAUDITLINK__" localSheetId="6" hidden="1">{"fdsup://directions/FAT Viewer?action=UPDATE&amp;creator=factset&amp;DYN_ARGS=TRUE&amp;DOC_NAME=FAT:FQL_AUDITING_CLIENT_TEMPLATE.FAT&amp;display_string=Audit&amp;VAR:KEY=PEPOZARYVI&amp;VAR:QUERY=RkZfRUJJVERBX0lCKCdMVE1TJywzODQyNyk=&amp;WINDOW=FIRST_POPUP&amp;HEIGHT=450&amp;WIDTH=450&amp;START_MA","XIMIZED=FALSE&amp;VAR:CALENDAR=US&amp;VAR:SYMBOL=04916420&amp;VAR:INDEX=0"}</definedName>
    <definedName name="_10942__FDSAUDITLINK__" hidden="1">{"fdsup://directions/FAT Viewer?action=UPDATE&amp;creator=factset&amp;DYN_ARGS=TRUE&amp;DOC_NAME=FAT:FQL_AUDITING_CLIENT_TEMPLATE.FAT&amp;display_string=Audit&amp;VAR:KEY=PEPOZARYVI&amp;VAR:QUERY=RkZfRUJJVERBX0lCKCdMVE1TJywzODQyNyk=&amp;WINDOW=FIRST_POPUP&amp;HEIGHT=450&amp;WIDTH=450&amp;START_MA","XIMIZED=FALSE&amp;VAR:CALENDAR=US&amp;VAR:SYMBOL=04916420&amp;VAR:INDEX=0"}</definedName>
    <definedName name="_10943__FDSAUDITLINK__" localSheetId="6" hidden="1">{"fdsup://directions/FAT Viewer?action=UPDATE&amp;creator=factset&amp;DYN_ARGS=TRUE&amp;DOC_NAME=FAT:FQL_AUDITING_CLIENT_TEMPLATE.FAT&amp;display_string=Audit&amp;VAR:KEY=PADIJUZATK&amp;VAR:QUERY=RkZfRUJJVERBX0lCKCdMVE1TJywzODQyNik=&amp;WINDOW=FIRST_POPUP&amp;HEIGHT=450&amp;WIDTH=450&amp;START_MA","XIMIZED=FALSE&amp;VAR:CALENDAR=US&amp;VAR:SYMBOL=04916420&amp;VAR:INDEX=0"}</definedName>
    <definedName name="_10943__FDSAUDITLINK__" hidden="1">{"fdsup://directions/FAT Viewer?action=UPDATE&amp;creator=factset&amp;DYN_ARGS=TRUE&amp;DOC_NAME=FAT:FQL_AUDITING_CLIENT_TEMPLATE.FAT&amp;display_string=Audit&amp;VAR:KEY=PADIJUZATK&amp;VAR:QUERY=RkZfRUJJVERBX0lCKCdMVE1TJywzODQyNik=&amp;WINDOW=FIRST_POPUP&amp;HEIGHT=450&amp;WIDTH=450&amp;START_MA","XIMIZED=FALSE&amp;VAR:CALENDAR=US&amp;VAR:SYMBOL=04916420&amp;VAR:INDEX=0"}</definedName>
    <definedName name="_10944__FDSAUDITLINK__" localSheetId="6" hidden="1">{"fdsup://directions/FAT Viewer?action=UPDATE&amp;creator=factset&amp;DYN_ARGS=TRUE&amp;DOC_NAME=FAT:FQL_AUDITING_CLIENT_TEMPLATE.FAT&amp;display_string=Audit&amp;VAR:KEY=BMPIHALKTA&amp;VAR:QUERY=RkZfRUJJVERBX0lCKCdMVE1TJywzODQyNSk=&amp;WINDOW=FIRST_POPUP&amp;HEIGHT=450&amp;WIDTH=450&amp;START_MA","XIMIZED=FALSE&amp;VAR:CALENDAR=US&amp;VAR:SYMBOL=04916420&amp;VAR:INDEX=0"}</definedName>
    <definedName name="_10944__FDSAUDITLINK__" hidden="1">{"fdsup://directions/FAT Viewer?action=UPDATE&amp;creator=factset&amp;DYN_ARGS=TRUE&amp;DOC_NAME=FAT:FQL_AUDITING_CLIENT_TEMPLATE.FAT&amp;display_string=Audit&amp;VAR:KEY=BMPIHALKTA&amp;VAR:QUERY=RkZfRUJJVERBX0lCKCdMVE1TJywzODQyNSk=&amp;WINDOW=FIRST_POPUP&amp;HEIGHT=450&amp;WIDTH=450&amp;START_MA","XIMIZED=FALSE&amp;VAR:CALENDAR=US&amp;VAR:SYMBOL=04916420&amp;VAR:INDEX=0"}</definedName>
    <definedName name="_10945__FDSAUDITLINK__" localSheetId="6" hidden="1">{"fdsup://directions/FAT Viewer?action=UPDATE&amp;creator=factset&amp;DYN_ARGS=TRUE&amp;DOC_NAME=FAT:FQL_AUDITING_CLIENT_TEMPLATE.FAT&amp;display_string=Audit&amp;VAR:KEY=XUPITATQFG&amp;VAR:QUERY=RkZfRUJJVERBX0lCKCdMVE1TJywzODQyNCk=&amp;WINDOW=FIRST_POPUP&amp;HEIGHT=450&amp;WIDTH=450&amp;START_MA","XIMIZED=FALSE&amp;VAR:CALENDAR=US&amp;VAR:SYMBOL=04916420&amp;VAR:INDEX=0"}</definedName>
    <definedName name="_10945__FDSAUDITLINK__" hidden="1">{"fdsup://directions/FAT Viewer?action=UPDATE&amp;creator=factset&amp;DYN_ARGS=TRUE&amp;DOC_NAME=FAT:FQL_AUDITING_CLIENT_TEMPLATE.FAT&amp;display_string=Audit&amp;VAR:KEY=XUPITATQFG&amp;VAR:QUERY=RkZfRUJJVERBX0lCKCdMVE1TJywzODQyNCk=&amp;WINDOW=FIRST_POPUP&amp;HEIGHT=450&amp;WIDTH=450&amp;START_MA","XIMIZED=FALSE&amp;VAR:CALENDAR=US&amp;VAR:SYMBOL=04916420&amp;VAR:INDEX=0"}</definedName>
    <definedName name="_10946__FDSAUDITLINK__" localSheetId="6" hidden="1">{"fdsup://directions/FAT Viewer?action=UPDATE&amp;creator=factset&amp;DYN_ARGS=TRUE&amp;DOC_NAME=FAT:FQL_AUDITING_CLIENT_TEMPLATE.FAT&amp;display_string=Audit&amp;VAR:KEY=HMXELENOHA&amp;VAR:QUERY=RkZfRUJJVERBX0lCKCdMVE1TJywzODQyMyk=&amp;WINDOW=FIRST_POPUP&amp;HEIGHT=450&amp;WIDTH=450&amp;START_MA","XIMIZED=FALSE&amp;VAR:CALENDAR=US&amp;VAR:SYMBOL=04916420&amp;VAR:INDEX=0"}</definedName>
    <definedName name="_10946__FDSAUDITLINK__" hidden="1">{"fdsup://directions/FAT Viewer?action=UPDATE&amp;creator=factset&amp;DYN_ARGS=TRUE&amp;DOC_NAME=FAT:FQL_AUDITING_CLIENT_TEMPLATE.FAT&amp;display_string=Audit&amp;VAR:KEY=HMXELENOHA&amp;VAR:QUERY=RkZfRUJJVERBX0lCKCdMVE1TJywzODQyMyk=&amp;WINDOW=FIRST_POPUP&amp;HEIGHT=450&amp;WIDTH=450&amp;START_MA","XIMIZED=FALSE&amp;VAR:CALENDAR=US&amp;VAR:SYMBOL=04916420&amp;VAR:INDEX=0"}</definedName>
    <definedName name="_10947__FDSAUDITLINK__" localSheetId="6" hidden="1">{"fdsup://directions/FAT Viewer?action=UPDATE&amp;creator=factset&amp;DYN_ARGS=TRUE&amp;DOC_NAME=FAT:FQL_AUDITING_CLIENT_TEMPLATE.FAT&amp;display_string=Audit&amp;VAR:KEY=DWRGXCJSFM&amp;VAR:QUERY=RkZfRUJJVERBX0lCKCdMVE1TJywzODQyMik=&amp;WINDOW=FIRST_POPUP&amp;HEIGHT=450&amp;WIDTH=450&amp;START_MA","XIMIZED=FALSE&amp;VAR:CALENDAR=US&amp;VAR:SYMBOL=04916420&amp;VAR:INDEX=0"}</definedName>
    <definedName name="_10947__FDSAUDITLINK__" hidden="1">{"fdsup://directions/FAT Viewer?action=UPDATE&amp;creator=factset&amp;DYN_ARGS=TRUE&amp;DOC_NAME=FAT:FQL_AUDITING_CLIENT_TEMPLATE.FAT&amp;display_string=Audit&amp;VAR:KEY=DWRGXCJSFM&amp;VAR:QUERY=RkZfRUJJVERBX0lCKCdMVE1TJywzODQyMik=&amp;WINDOW=FIRST_POPUP&amp;HEIGHT=450&amp;WIDTH=450&amp;START_MA","XIMIZED=FALSE&amp;VAR:CALENDAR=US&amp;VAR:SYMBOL=04916420&amp;VAR:INDEX=0"}</definedName>
    <definedName name="_10948__FDSAUDITLINK__" localSheetId="6" hidden="1">{"fdsup://directions/FAT Viewer?action=UPDATE&amp;creator=factset&amp;DYN_ARGS=TRUE&amp;DOC_NAME=FAT:FQL_AUDITING_CLIENT_TEMPLATE.FAT&amp;display_string=Audit&amp;VAR:KEY=ZYDCJENGPA&amp;VAR:QUERY=RkZfRUJJVERBX0lCKCdMVE1TJywzODQyMSk=&amp;WINDOW=FIRST_POPUP&amp;HEIGHT=450&amp;WIDTH=450&amp;START_MA","XIMIZED=FALSE&amp;VAR:CALENDAR=US&amp;VAR:SYMBOL=04916420&amp;VAR:INDEX=0"}</definedName>
    <definedName name="_10948__FDSAUDITLINK__" hidden="1">{"fdsup://directions/FAT Viewer?action=UPDATE&amp;creator=factset&amp;DYN_ARGS=TRUE&amp;DOC_NAME=FAT:FQL_AUDITING_CLIENT_TEMPLATE.FAT&amp;display_string=Audit&amp;VAR:KEY=ZYDCJENGPA&amp;VAR:QUERY=RkZfRUJJVERBX0lCKCdMVE1TJywzODQyMSk=&amp;WINDOW=FIRST_POPUP&amp;HEIGHT=450&amp;WIDTH=450&amp;START_MA","XIMIZED=FALSE&amp;VAR:CALENDAR=US&amp;VAR:SYMBOL=04916420&amp;VAR:INDEX=0"}</definedName>
    <definedName name="_10949__FDSAUDITLINK__" localSheetId="6" hidden="1">{"fdsup://directions/FAT Viewer?action=UPDATE&amp;creator=factset&amp;DYN_ARGS=TRUE&amp;DOC_NAME=FAT:FQL_AUDITING_CLIENT_TEMPLATE.FAT&amp;display_string=Audit&amp;VAR:KEY=POPSVOXOJK&amp;VAR:QUERY=RkZfRUJJVERBX0lCKCdMVE1TJywzODQyMCk=&amp;WINDOW=FIRST_POPUP&amp;HEIGHT=450&amp;WIDTH=450&amp;START_MA","XIMIZED=FALSE&amp;VAR:CALENDAR=US&amp;VAR:SYMBOL=04916420&amp;VAR:INDEX=0"}</definedName>
    <definedName name="_10949__FDSAUDITLINK__" hidden="1">{"fdsup://directions/FAT Viewer?action=UPDATE&amp;creator=factset&amp;DYN_ARGS=TRUE&amp;DOC_NAME=FAT:FQL_AUDITING_CLIENT_TEMPLATE.FAT&amp;display_string=Audit&amp;VAR:KEY=POPSVOXOJK&amp;VAR:QUERY=RkZfRUJJVERBX0lCKCdMVE1TJywzODQyMCk=&amp;WINDOW=FIRST_POPUP&amp;HEIGHT=450&amp;WIDTH=450&amp;START_MA","XIMIZED=FALSE&amp;VAR:CALENDAR=US&amp;VAR:SYMBOL=04916420&amp;VAR:INDEX=0"}</definedName>
    <definedName name="_1095__FDSAUDITLINK__" localSheetId="6" hidden="1">{"fdsup://directions/FAT%20Viewer?VAR:PED=LTM&amp;VAR:AUDIT_MODE=SUMMARY&amp;VAR:PERIOD=FIXED&amp;VAR:AUDIT_ID=00000117&amp;VAR:DATE=20070222&amp;action=UPDATE&amp;creator=factset&amp;DOC_NAME=FAT:FMA_audit_SUMMARY.fat&amp;DISPLAY_STRING=Display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5__FDSAUDITLINK__" hidden="1">{"fdsup://directions/FAT%20Viewer?VAR:PED=LTM&amp;VAR:AUDIT_MODE=SUMMARY&amp;VAR:PERIOD=FIXED&amp;VAR:AUDIT_ID=00000117&amp;VAR:DATE=20070222&amp;action=UPDATE&amp;creator=factset&amp;DOC_NAME=FAT:FMA_audit_SUMMARY.fat&amp;DISPLAY_STRING=Display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50__FDSAUDITLINK__" localSheetId="6" hidden="1">{"fdsup://directions/FAT Viewer?action=UPDATE&amp;creator=factset&amp;DYN_ARGS=TRUE&amp;DOC_NAME=FAT:FQL_AUDITING_CLIENT_TEMPLATE.FAT&amp;display_string=Audit&amp;VAR:KEY=XYXEJARCRM&amp;VAR:QUERY=RkZfRUJJVERBX0lCKCdMVE1TJywzODQxOSk=&amp;WINDOW=FIRST_POPUP&amp;HEIGHT=450&amp;WIDTH=450&amp;START_MA","XIMIZED=FALSE&amp;VAR:CALENDAR=US&amp;VAR:SYMBOL=04916420&amp;VAR:INDEX=0"}</definedName>
    <definedName name="_10950__FDSAUDITLINK__" hidden="1">{"fdsup://directions/FAT Viewer?action=UPDATE&amp;creator=factset&amp;DYN_ARGS=TRUE&amp;DOC_NAME=FAT:FQL_AUDITING_CLIENT_TEMPLATE.FAT&amp;display_string=Audit&amp;VAR:KEY=XYXEJARCRM&amp;VAR:QUERY=RkZfRUJJVERBX0lCKCdMVE1TJywzODQxOSk=&amp;WINDOW=FIRST_POPUP&amp;HEIGHT=450&amp;WIDTH=450&amp;START_MA","XIMIZED=FALSE&amp;VAR:CALENDAR=US&amp;VAR:SYMBOL=04916420&amp;VAR:INDEX=0"}</definedName>
    <definedName name="_10951__FDSAUDITLINK__" localSheetId="6" hidden="1">{"fdsup://directions/FAT Viewer?action=UPDATE&amp;creator=factset&amp;DYN_ARGS=TRUE&amp;DOC_NAME=FAT:FQL_AUDITING_CLIENT_TEMPLATE.FAT&amp;display_string=Audit&amp;VAR:KEY=JCTYZWNEVS&amp;VAR:QUERY=RkZfRUJJVERBX0lCKCdMVE1TJywzODQxOCk=&amp;WINDOW=FIRST_POPUP&amp;HEIGHT=450&amp;WIDTH=450&amp;START_MA","XIMIZED=FALSE&amp;VAR:CALENDAR=US&amp;VAR:SYMBOL=04916420&amp;VAR:INDEX=0"}</definedName>
    <definedName name="_10951__FDSAUDITLINK__" hidden="1">{"fdsup://directions/FAT Viewer?action=UPDATE&amp;creator=factset&amp;DYN_ARGS=TRUE&amp;DOC_NAME=FAT:FQL_AUDITING_CLIENT_TEMPLATE.FAT&amp;display_string=Audit&amp;VAR:KEY=JCTYZWNEVS&amp;VAR:QUERY=RkZfRUJJVERBX0lCKCdMVE1TJywzODQxOCk=&amp;WINDOW=FIRST_POPUP&amp;HEIGHT=450&amp;WIDTH=450&amp;START_MA","XIMIZED=FALSE&amp;VAR:CALENDAR=US&amp;VAR:SYMBOL=04916420&amp;VAR:INDEX=0"}</definedName>
    <definedName name="_10952__FDSAUDITLINK__" localSheetId="6" hidden="1">{"fdsup://directions/FAT Viewer?action=UPDATE&amp;creator=factset&amp;DYN_ARGS=TRUE&amp;DOC_NAME=FAT:FQL_AUDITING_CLIENT_TEMPLATE.FAT&amp;display_string=Audit&amp;VAR:KEY=TWBARAFIXS&amp;VAR:QUERY=RkZfRUJJVERBX0lCKCdMVE1TJywzODQxNyk=&amp;WINDOW=FIRST_POPUP&amp;HEIGHT=450&amp;WIDTH=450&amp;START_MA","XIMIZED=FALSE&amp;VAR:CALENDAR=US&amp;VAR:SYMBOL=04916420&amp;VAR:INDEX=0"}</definedName>
    <definedName name="_10952__FDSAUDITLINK__" hidden="1">{"fdsup://directions/FAT Viewer?action=UPDATE&amp;creator=factset&amp;DYN_ARGS=TRUE&amp;DOC_NAME=FAT:FQL_AUDITING_CLIENT_TEMPLATE.FAT&amp;display_string=Audit&amp;VAR:KEY=TWBARAFIXS&amp;VAR:QUERY=RkZfRUJJVERBX0lCKCdMVE1TJywzODQxNyk=&amp;WINDOW=FIRST_POPUP&amp;HEIGHT=450&amp;WIDTH=450&amp;START_MA","XIMIZED=FALSE&amp;VAR:CALENDAR=US&amp;VAR:SYMBOL=04916420&amp;VAR:INDEX=0"}</definedName>
    <definedName name="_10953__FDSAUDITLINK__" localSheetId="6" hidden="1">{"fdsup://directions/FAT Viewer?action=UPDATE&amp;creator=factset&amp;DYN_ARGS=TRUE&amp;DOC_NAME=FAT:FQL_AUDITING_CLIENT_TEMPLATE.FAT&amp;display_string=Audit&amp;VAR:KEY=HQDUBCDSHO&amp;VAR:QUERY=RkZfRUJJVERBX0lCKCdMVE1TJywzODQxNik=&amp;WINDOW=FIRST_POPUP&amp;HEIGHT=450&amp;WIDTH=450&amp;START_MA","XIMIZED=FALSE&amp;VAR:CALENDAR=US&amp;VAR:SYMBOL=04916420&amp;VAR:INDEX=0"}</definedName>
    <definedName name="_10953__FDSAUDITLINK__" hidden="1">{"fdsup://directions/FAT Viewer?action=UPDATE&amp;creator=factset&amp;DYN_ARGS=TRUE&amp;DOC_NAME=FAT:FQL_AUDITING_CLIENT_TEMPLATE.FAT&amp;display_string=Audit&amp;VAR:KEY=HQDUBCDSHO&amp;VAR:QUERY=RkZfRUJJVERBX0lCKCdMVE1TJywzODQxNik=&amp;WINDOW=FIRST_POPUP&amp;HEIGHT=450&amp;WIDTH=450&amp;START_MA","XIMIZED=FALSE&amp;VAR:CALENDAR=US&amp;VAR:SYMBOL=04916420&amp;VAR:INDEX=0"}</definedName>
    <definedName name="_10954__FDSAUDITLINK__" localSheetId="6" hidden="1">{"fdsup://directions/FAT Viewer?action=UPDATE&amp;creator=factset&amp;DYN_ARGS=TRUE&amp;DOC_NAME=FAT:FQL_AUDITING_CLIENT_TEMPLATE.FAT&amp;display_string=Audit&amp;VAR:KEY=FIRYVQNOXG&amp;VAR:QUERY=RkZfRUJJVERBX0lCKCdMVE1TJywzODQxNSk=&amp;WINDOW=FIRST_POPUP&amp;HEIGHT=450&amp;WIDTH=450&amp;START_MA","XIMIZED=FALSE&amp;VAR:CALENDAR=US&amp;VAR:SYMBOL=04916420&amp;VAR:INDEX=0"}</definedName>
    <definedName name="_10954__FDSAUDITLINK__" hidden="1">{"fdsup://directions/FAT Viewer?action=UPDATE&amp;creator=factset&amp;DYN_ARGS=TRUE&amp;DOC_NAME=FAT:FQL_AUDITING_CLIENT_TEMPLATE.FAT&amp;display_string=Audit&amp;VAR:KEY=FIRYVQNOXG&amp;VAR:QUERY=RkZfRUJJVERBX0lCKCdMVE1TJywzODQxNSk=&amp;WINDOW=FIRST_POPUP&amp;HEIGHT=450&amp;WIDTH=450&amp;START_MA","XIMIZED=FALSE&amp;VAR:CALENDAR=US&amp;VAR:SYMBOL=04916420&amp;VAR:INDEX=0"}</definedName>
    <definedName name="_10955__FDSAUDITLINK__" localSheetId="6" hidden="1">{"fdsup://directions/FAT Viewer?action=UPDATE&amp;creator=factset&amp;DYN_ARGS=TRUE&amp;DOC_NAME=FAT:FQL_AUDITING_CLIENT_TEMPLATE.FAT&amp;display_string=Audit&amp;VAR:KEY=RABSRKDUVE&amp;VAR:QUERY=RkZfRUJJVERBX0lCKCdMVE1TJywzODQxNCk=&amp;WINDOW=FIRST_POPUP&amp;HEIGHT=450&amp;WIDTH=450&amp;START_MA","XIMIZED=FALSE&amp;VAR:CALENDAR=US&amp;VAR:SYMBOL=04916420&amp;VAR:INDEX=0"}</definedName>
    <definedName name="_10955__FDSAUDITLINK__" hidden="1">{"fdsup://directions/FAT Viewer?action=UPDATE&amp;creator=factset&amp;DYN_ARGS=TRUE&amp;DOC_NAME=FAT:FQL_AUDITING_CLIENT_TEMPLATE.FAT&amp;display_string=Audit&amp;VAR:KEY=RABSRKDUVE&amp;VAR:QUERY=RkZfRUJJVERBX0lCKCdMVE1TJywzODQxNCk=&amp;WINDOW=FIRST_POPUP&amp;HEIGHT=450&amp;WIDTH=450&amp;START_MA","XIMIZED=FALSE&amp;VAR:CALENDAR=US&amp;VAR:SYMBOL=04916420&amp;VAR:INDEX=0"}</definedName>
    <definedName name="_10956__FDSAUDITLINK__" localSheetId="6" hidden="1">{"fdsup://directions/FAT Viewer?action=UPDATE&amp;creator=factset&amp;DYN_ARGS=TRUE&amp;DOC_NAME=FAT:FQL_AUDITING_CLIENT_TEMPLATE.FAT&amp;display_string=Audit&amp;VAR:KEY=RYVSRGNWDO&amp;VAR:QUERY=RkZfRUJJVERBX0lCKCdMVE1TJywzODQxMyk=&amp;WINDOW=FIRST_POPUP&amp;HEIGHT=450&amp;WIDTH=450&amp;START_MA","XIMIZED=FALSE&amp;VAR:CALENDAR=US&amp;VAR:SYMBOL=04916420&amp;VAR:INDEX=0"}</definedName>
    <definedName name="_10956__FDSAUDITLINK__" hidden="1">{"fdsup://directions/FAT Viewer?action=UPDATE&amp;creator=factset&amp;DYN_ARGS=TRUE&amp;DOC_NAME=FAT:FQL_AUDITING_CLIENT_TEMPLATE.FAT&amp;display_string=Audit&amp;VAR:KEY=RYVSRGNWDO&amp;VAR:QUERY=RkZfRUJJVERBX0lCKCdMVE1TJywzODQxMyk=&amp;WINDOW=FIRST_POPUP&amp;HEIGHT=450&amp;WIDTH=450&amp;START_MA","XIMIZED=FALSE&amp;VAR:CALENDAR=US&amp;VAR:SYMBOL=04916420&amp;VAR:INDEX=0"}</definedName>
    <definedName name="_10957__FDSAUDITLINK__" localSheetId="6" hidden="1">{"fdsup://directions/FAT Viewer?action=UPDATE&amp;creator=factset&amp;DYN_ARGS=TRUE&amp;DOC_NAME=FAT:FQL_AUDITING_CLIENT_TEMPLATE.FAT&amp;display_string=Audit&amp;VAR:KEY=VULWTUTCZY&amp;VAR:QUERY=RkZfRUJJVERBX0lCKCdMVE1TJywzODQxMik=&amp;WINDOW=FIRST_POPUP&amp;HEIGHT=450&amp;WIDTH=450&amp;START_MA","XIMIZED=FALSE&amp;VAR:CALENDAR=US&amp;VAR:SYMBOL=04916420&amp;VAR:INDEX=0"}</definedName>
    <definedName name="_10957__FDSAUDITLINK__" hidden="1">{"fdsup://directions/FAT Viewer?action=UPDATE&amp;creator=factset&amp;DYN_ARGS=TRUE&amp;DOC_NAME=FAT:FQL_AUDITING_CLIENT_TEMPLATE.FAT&amp;display_string=Audit&amp;VAR:KEY=VULWTUTCZY&amp;VAR:QUERY=RkZfRUJJVERBX0lCKCdMVE1TJywzODQxMik=&amp;WINDOW=FIRST_POPUP&amp;HEIGHT=450&amp;WIDTH=450&amp;START_MA","XIMIZED=FALSE&amp;VAR:CALENDAR=US&amp;VAR:SYMBOL=04916420&amp;VAR:INDEX=0"}</definedName>
    <definedName name="_10958__FDSAUDITLINK__" localSheetId="6" hidden="1">{"fdsup://directions/FAT Viewer?action=UPDATE&amp;creator=factset&amp;DYN_ARGS=TRUE&amp;DOC_NAME=FAT:FQL_AUDITING_CLIENT_TEMPLATE.FAT&amp;display_string=Audit&amp;VAR:KEY=RIVIDMBYLO&amp;VAR:QUERY=RkZfRUJJVERBX0lCKCdMVE1TJywzODQxMSk=&amp;WINDOW=FIRST_POPUP&amp;HEIGHT=450&amp;WIDTH=450&amp;START_MA","XIMIZED=FALSE&amp;VAR:CALENDAR=US&amp;VAR:SYMBOL=04916420&amp;VAR:INDEX=0"}</definedName>
    <definedName name="_10958__FDSAUDITLINK__" hidden="1">{"fdsup://directions/FAT Viewer?action=UPDATE&amp;creator=factset&amp;DYN_ARGS=TRUE&amp;DOC_NAME=FAT:FQL_AUDITING_CLIENT_TEMPLATE.FAT&amp;display_string=Audit&amp;VAR:KEY=RIVIDMBYLO&amp;VAR:QUERY=RkZfRUJJVERBX0lCKCdMVE1TJywzODQxMSk=&amp;WINDOW=FIRST_POPUP&amp;HEIGHT=450&amp;WIDTH=450&amp;START_MA","XIMIZED=FALSE&amp;VAR:CALENDAR=US&amp;VAR:SYMBOL=04916420&amp;VAR:INDEX=0"}</definedName>
    <definedName name="_10959__FDSAUDITLINK__" localSheetId="6" hidden="1">{"fdsup://directions/FAT Viewer?action=UPDATE&amp;creator=factset&amp;DYN_ARGS=TRUE&amp;DOC_NAME=FAT:FQL_AUDITING_CLIENT_TEMPLATE.FAT&amp;display_string=Audit&amp;VAR:KEY=HCXOPGDQPG&amp;VAR:QUERY=RkZfRUJJVERBX0lCKCdMVE1TJywzODQxMCk=&amp;WINDOW=FIRST_POPUP&amp;HEIGHT=450&amp;WIDTH=450&amp;START_MA","XIMIZED=FALSE&amp;VAR:CALENDAR=US&amp;VAR:SYMBOL=04916420&amp;VAR:INDEX=0"}</definedName>
    <definedName name="_10959__FDSAUDITLINK__" hidden="1">{"fdsup://directions/FAT Viewer?action=UPDATE&amp;creator=factset&amp;DYN_ARGS=TRUE&amp;DOC_NAME=FAT:FQL_AUDITING_CLIENT_TEMPLATE.FAT&amp;display_string=Audit&amp;VAR:KEY=HCXOPGDQPG&amp;VAR:QUERY=RkZfRUJJVERBX0lCKCdMVE1TJywzODQxMCk=&amp;WINDOW=FIRST_POPUP&amp;HEIGHT=450&amp;WIDTH=450&amp;START_MA","XIMIZED=FALSE&amp;VAR:CALENDAR=US&amp;VAR:SYMBOL=04916420&amp;VAR:INDEX=0"}</definedName>
    <definedName name="_1096__FDSAUDITLINK__" localSheetId="6" hidden="1">{"fdsup://directions/FAT%20Viewer?VAR:PED=LTM&amp;VAR:AUDIT_MODE=SUMMARY&amp;VAR:PERIOD=FIXED&amp;VAR:AUDIT_ID=00000117&amp;VAR:DATE=20070221&amp;action=UPDATE&amp;creator=factset&amp;DOC_NAME=FAT:FMA_audit_SUMMARY.fat&amp;DISPLAY_STRING=Display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6__FDSAUDITLINK__" hidden="1">{"fdsup://directions/FAT%20Viewer?VAR:PED=LTM&amp;VAR:AUDIT_MODE=SUMMARY&amp;VAR:PERIOD=FIXED&amp;VAR:AUDIT_ID=00000117&amp;VAR:DATE=20070221&amp;action=UPDATE&amp;creator=factset&amp;DOC_NAME=FAT:FMA_audit_SUMMARY.fat&amp;DISPLAY_STRING=Display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60__FDSAUDITLINK__" localSheetId="6" hidden="1">{"fdsup://directions/FAT Viewer?action=UPDATE&amp;creator=factset&amp;DYN_ARGS=TRUE&amp;DOC_NAME=FAT:FQL_AUDITING_CLIENT_TEMPLATE.FAT&amp;display_string=Audit&amp;VAR:KEY=LGNCZCNMFM&amp;VAR:QUERY=RkZfRUJJVERBX0lCKCdMVE1TJywzODQwOSk=&amp;WINDOW=FIRST_POPUP&amp;HEIGHT=450&amp;WIDTH=450&amp;START_MA","XIMIZED=FALSE&amp;VAR:CALENDAR=US&amp;VAR:SYMBOL=04916420&amp;VAR:INDEX=0"}</definedName>
    <definedName name="_10960__FDSAUDITLINK__" hidden="1">{"fdsup://directions/FAT Viewer?action=UPDATE&amp;creator=factset&amp;DYN_ARGS=TRUE&amp;DOC_NAME=FAT:FQL_AUDITING_CLIENT_TEMPLATE.FAT&amp;display_string=Audit&amp;VAR:KEY=LGNCZCNMFM&amp;VAR:QUERY=RkZfRUJJVERBX0lCKCdMVE1TJywzODQwOSk=&amp;WINDOW=FIRST_POPUP&amp;HEIGHT=450&amp;WIDTH=450&amp;START_MA","XIMIZED=FALSE&amp;VAR:CALENDAR=US&amp;VAR:SYMBOL=04916420&amp;VAR:INDEX=0"}</definedName>
    <definedName name="_10961__FDSAUDITLINK__" localSheetId="6" hidden="1">{"fdsup://directions/FAT Viewer?action=UPDATE&amp;creator=factset&amp;DYN_ARGS=TRUE&amp;DOC_NAME=FAT:FQL_AUDITING_CLIENT_TEMPLATE.FAT&amp;display_string=Audit&amp;VAR:KEY=FMDYLQLQLA&amp;VAR:QUERY=RkZfRUJJVERBX0lCKCdMVE1TJywzODQwOCk=&amp;WINDOW=FIRST_POPUP&amp;HEIGHT=450&amp;WIDTH=450&amp;START_MA","XIMIZED=FALSE&amp;VAR:CALENDAR=US&amp;VAR:SYMBOL=04916420&amp;VAR:INDEX=0"}</definedName>
    <definedName name="_10961__FDSAUDITLINK__" hidden="1">{"fdsup://directions/FAT Viewer?action=UPDATE&amp;creator=factset&amp;DYN_ARGS=TRUE&amp;DOC_NAME=FAT:FQL_AUDITING_CLIENT_TEMPLATE.FAT&amp;display_string=Audit&amp;VAR:KEY=FMDYLQLQLA&amp;VAR:QUERY=RkZfRUJJVERBX0lCKCdMVE1TJywzODQwOCk=&amp;WINDOW=FIRST_POPUP&amp;HEIGHT=450&amp;WIDTH=450&amp;START_MA","XIMIZED=FALSE&amp;VAR:CALENDAR=US&amp;VAR:SYMBOL=04916420&amp;VAR:INDEX=0"}</definedName>
    <definedName name="_10962__FDSAUDITLINK__" localSheetId="6" hidden="1">{"fdsup://directions/FAT Viewer?action=UPDATE&amp;creator=factset&amp;DYN_ARGS=TRUE&amp;DOC_NAME=FAT:FQL_AUDITING_CLIENT_TEMPLATE.FAT&amp;display_string=Audit&amp;VAR:KEY=BUBSBSHAJQ&amp;VAR:QUERY=RkZfRUJJVERBX0lCKCdMVE1TJywzODQwNyk=&amp;WINDOW=FIRST_POPUP&amp;HEIGHT=450&amp;WIDTH=450&amp;START_MA","XIMIZED=FALSE&amp;VAR:CALENDAR=US&amp;VAR:SYMBOL=04916420&amp;VAR:INDEX=0"}</definedName>
    <definedName name="_10962__FDSAUDITLINK__" hidden="1">{"fdsup://directions/FAT Viewer?action=UPDATE&amp;creator=factset&amp;DYN_ARGS=TRUE&amp;DOC_NAME=FAT:FQL_AUDITING_CLIENT_TEMPLATE.FAT&amp;display_string=Audit&amp;VAR:KEY=BUBSBSHAJQ&amp;VAR:QUERY=RkZfRUJJVERBX0lCKCdMVE1TJywzODQwNyk=&amp;WINDOW=FIRST_POPUP&amp;HEIGHT=450&amp;WIDTH=450&amp;START_MA","XIMIZED=FALSE&amp;VAR:CALENDAR=US&amp;VAR:SYMBOL=04916420&amp;VAR:INDEX=0"}</definedName>
    <definedName name="_10963__FDSAUDITLINK__" localSheetId="6" hidden="1">{"fdsup://directions/FAT Viewer?action=UPDATE&amp;creator=factset&amp;DYN_ARGS=TRUE&amp;DOC_NAME=FAT:FQL_AUDITING_CLIENT_TEMPLATE.FAT&amp;display_string=Audit&amp;VAR:KEY=XEJOVOLCBW&amp;VAR:QUERY=RkZfRUJJVERBX0lCKCdMVE1TJywzODQwNik=&amp;WINDOW=FIRST_POPUP&amp;HEIGHT=450&amp;WIDTH=450&amp;START_MA","XIMIZED=FALSE&amp;VAR:CALENDAR=US&amp;VAR:SYMBOL=04916420&amp;VAR:INDEX=0"}</definedName>
    <definedName name="_10963__FDSAUDITLINK__" hidden="1">{"fdsup://directions/FAT Viewer?action=UPDATE&amp;creator=factset&amp;DYN_ARGS=TRUE&amp;DOC_NAME=FAT:FQL_AUDITING_CLIENT_TEMPLATE.FAT&amp;display_string=Audit&amp;VAR:KEY=XEJOVOLCBW&amp;VAR:QUERY=RkZfRUJJVERBX0lCKCdMVE1TJywzODQwNik=&amp;WINDOW=FIRST_POPUP&amp;HEIGHT=450&amp;WIDTH=450&amp;START_MA","XIMIZED=FALSE&amp;VAR:CALENDAR=US&amp;VAR:SYMBOL=04916420&amp;VAR:INDEX=0"}</definedName>
    <definedName name="_10964__FDSAUDITLINK__" localSheetId="6" hidden="1">{"fdsup://directions/FAT Viewer?action=UPDATE&amp;creator=factset&amp;DYN_ARGS=TRUE&amp;DOC_NAME=FAT:FQL_AUDITING_CLIENT_TEMPLATE.FAT&amp;display_string=Audit&amp;VAR:KEY=RATSTOPSHA&amp;VAR:QUERY=RkZfRUJJVERBX0lCKCdMVE1TJywzODQwNSk=&amp;WINDOW=FIRST_POPUP&amp;HEIGHT=450&amp;WIDTH=450&amp;START_MA","XIMIZED=FALSE&amp;VAR:CALENDAR=US&amp;VAR:SYMBOL=04916420&amp;VAR:INDEX=0"}</definedName>
    <definedName name="_10964__FDSAUDITLINK__" hidden="1">{"fdsup://directions/FAT Viewer?action=UPDATE&amp;creator=factset&amp;DYN_ARGS=TRUE&amp;DOC_NAME=FAT:FQL_AUDITING_CLIENT_TEMPLATE.FAT&amp;display_string=Audit&amp;VAR:KEY=RATSTOPSHA&amp;VAR:QUERY=RkZfRUJJVERBX0lCKCdMVE1TJywzODQwNSk=&amp;WINDOW=FIRST_POPUP&amp;HEIGHT=450&amp;WIDTH=450&amp;START_MA","XIMIZED=FALSE&amp;VAR:CALENDAR=US&amp;VAR:SYMBOL=04916420&amp;VAR:INDEX=0"}</definedName>
    <definedName name="_10965__FDSAUDITLINK__" localSheetId="6" hidden="1">{"fdsup://directions/FAT Viewer?action=UPDATE&amp;creator=factset&amp;DYN_ARGS=TRUE&amp;DOC_NAME=FAT:FQL_AUDITING_CLIENT_TEMPLATE.FAT&amp;display_string=Audit&amp;VAR:KEY=JGTCTODIPC&amp;VAR:QUERY=RkZfRUJJVERBX0lCKCdMVE1TJywzODQwNCk=&amp;WINDOW=FIRST_POPUP&amp;HEIGHT=450&amp;WIDTH=450&amp;START_MA","XIMIZED=FALSE&amp;VAR:CALENDAR=US&amp;VAR:SYMBOL=04916420&amp;VAR:INDEX=0"}</definedName>
    <definedName name="_10965__FDSAUDITLINK__" hidden="1">{"fdsup://directions/FAT Viewer?action=UPDATE&amp;creator=factset&amp;DYN_ARGS=TRUE&amp;DOC_NAME=FAT:FQL_AUDITING_CLIENT_TEMPLATE.FAT&amp;display_string=Audit&amp;VAR:KEY=JGTCTODIPC&amp;VAR:QUERY=RkZfRUJJVERBX0lCKCdMVE1TJywzODQwNCk=&amp;WINDOW=FIRST_POPUP&amp;HEIGHT=450&amp;WIDTH=450&amp;START_MA","XIMIZED=FALSE&amp;VAR:CALENDAR=US&amp;VAR:SYMBOL=04916420&amp;VAR:INDEX=0"}</definedName>
    <definedName name="_10966__FDSAUDITLINK__" localSheetId="6" hidden="1">{"fdsup://directions/FAT Viewer?action=UPDATE&amp;creator=factset&amp;DYN_ARGS=TRUE&amp;DOC_NAME=FAT:FQL_AUDITING_CLIENT_TEMPLATE.FAT&amp;display_string=Audit&amp;VAR:KEY=LMPKLILULY&amp;VAR:QUERY=RkZfRUJJVERBX0lCKCdMVE1TJywzODQwMyk=&amp;WINDOW=FIRST_POPUP&amp;HEIGHT=450&amp;WIDTH=450&amp;START_MA","XIMIZED=FALSE&amp;VAR:CALENDAR=US&amp;VAR:SYMBOL=04916420&amp;VAR:INDEX=0"}</definedName>
    <definedName name="_10966__FDSAUDITLINK__" hidden="1">{"fdsup://directions/FAT Viewer?action=UPDATE&amp;creator=factset&amp;DYN_ARGS=TRUE&amp;DOC_NAME=FAT:FQL_AUDITING_CLIENT_TEMPLATE.FAT&amp;display_string=Audit&amp;VAR:KEY=LMPKLILULY&amp;VAR:QUERY=RkZfRUJJVERBX0lCKCdMVE1TJywzODQwMyk=&amp;WINDOW=FIRST_POPUP&amp;HEIGHT=450&amp;WIDTH=450&amp;START_MA","XIMIZED=FALSE&amp;VAR:CALENDAR=US&amp;VAR:SYMBOL=04916420&amp;VAR:INDEX=0"}</definedName>
    <definedName name="_10967__FDSAUDITLINK__" localSheetId="6" hidden="1">{"fdsup://directions/FAT Viewer?action=UPDATE&amp;creator=factset&amp;DYN_ARGS=TRUE&amp;DOC_NAME=FAT:FQL_AUDITING_CLIENT_TEMPLATE.FAT&amp;display_string=Audit&amp;VAR:KEY=DMLYJYXUDA&amp;VAR:QUERY=RkZfRUJJVERBX0lCKCdMVE1TJywzODQwMik=&amp;WINDOW=FIRST_POPUP&amp;HEIGHT=450&amp;WIDTH=450&amp;START_MA","XIMIZED=FALSE&amp;VAR:CALENDAR=US&amp;VAR:SYMBOL=04916420&amp;VAR:INDEX=0"}</definedName>
    <definedName name="_10967__FDSAUDITLINK__" hidden="1">{"fdsup://directions/FAT Viewer?action=UPDATE&amp;creator=factset&amp;DYN_ARGS=TRUE&amp;DOC_NAME=FAT:FQL_AUDITING_CLIENT_TEMPLATE.FAT&amp;display_string=Audit&amp;VAR:KEY=DMLYJYXUDA&amp;VAR:QUERY=RkZfRUJJVERBX0lCKCdMVE1TJywzODQwMik=&amp;WINDOW=FIRST_POPUP&amp;HEIGHT=450&amp;WIDTH=450&amp;START_MA","XIMIZED=FALSE&amp;VAR:CALENDAR=US&amp;VAR:SYMBOL=04916420&amp;VAR:INDEX=0"}</definedName>
    <definedName name="_10968__FDSAUDITLINK__" localSheetId="6" hidden="1">{"fdsup://directions/FAT Viewer?action=UPDATE&amp;creator=factset&amp;DYN_ARGS=TRUE&amp;DOC_NAME=FAT:FQL_AUDITING_CLIENT_TEMPLATE.FAT&amp;display_string=Audit&amp;VAR:KEY=MFKTSHKFCT&amp;VAR:QUERY=RkZfRUJJVERBX0lCKCdMVE1TJyw0MDIyNCk=&amp;WINDOW=FIRST_POPUP&amp;HEIGHT=450&amp;WIDTH=450&amp;START_MA","XIMIZED=FALSE&amp;VAR:CALENDAR=US&amp;VAR:SYMBOL=05614P10&amp;VAR:INDEX=0"}</definedName>
    <definedName name="_10968__FDSAUDITLINK__" hidden="1">{"fdsup://directions/FAT Viewer?action=UPDATE&amp;creator=factset&amp;DYN_ARGS=TRUE&amp;DOC_NAME=FAT:FQL_AUDITING_CLIENT_TEMPLATE.FAT&amp;display_string=Audit&amp;VAR:KEY=MFKTSHKFCT&amp;VAR:QUERY=RkZfRUJJVERBX0lCKCdMVE1TJyw0MDIyNCk=&amp;WINDOW=FIRST_POPUP&amp;HEIGHT=450&amp;WIDTH=450&amp;START_MA","XIMIZED=FALSE&amp;VAR:CALENDAR=US&amp;VAR:SYMBOL=05614P10&amp;VAR:INDEX=0"}</definedName>
    <definedName name="_10969__FDSAUDITLINK__" localSheetId="6" hidden="1">{"fdsup://directions/FAT Viewer?action=UPDATE&amp;creator=factset&amp;DYN_ARGS=TRUE&amp;DOC_NAME=FAT:FQL_AUDITING_CLIENT_TEMPLATE.FAT&amp;display_string=Audit&amp;VAR:KEY=EDWVCZUTGX&amp;VAR:QUERY=RkZfSU5WRU5fREFZUygnUVRSJyw0MDA4Nik=&amp;WINDOW=FIRST_POPUP&amp;HEIGHT=450&amp;WIDTH=450&amp;START_MA","XIMIZED=FALSE&amp;VAR:CALENDAR=US&amp;VAR:SYMBOL=89652210&amp;VAR:INDEX=0"}</definedName>
    <definedName name="_10969__FDSAUDITLINK__" hidden="1">{"fdsup://directions/FAT Viewer?action=UPDATE&amp;creator=factset&amp;DYN_ARGS=TRUE&amp;DOC_NAME=FAT:FQL_AUDITING_CLIENT_TEMPLATE.FAT&amp;display_string=Audit&amp;VAR:KEY=EDWVCZUTGX&amp;VAR:QUERY=RkZfSU5WRU5fREFZUygnUVRSJyw0MDA4Nik=&amp;WINDOW=FIRST_POPUP&amp;HEIGHT=450&amp;WIDTH=450&amp;START_MA","XIMIZED=FALSE&amp;VAR:CALENDAR=US&amp;VAR:SYMBOL=89652210&amp;VAR:INDEX=0"}</definedName>
    <definedName name="_1097__FDSAUDITLINK__" localSheetId="6" hidden="1">{"fdsup://directions/FAT%20Viewer?VAR:PED=LTM&amp;VAR:AUDIT_MODE=SUMMARY&amp;VAR:PERIOD=FIXED&amp;VAR:AUDIT_ID=00000117&amp;VAR:DATE=20070220&amp;action=UPDATE&amp;creator=factset&amp;DOC_NAME=FAT:FMA_audit_SUMMARY.fat&amp;DISPLAY_STRING=Display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7__FDSAUDITLINK__" hidden="1">{"fdsup://directions/FAT%20Viewer?VAR:PED=LTM&amp;VAR:AUDIT_MODE=SUMMARY&amp;VAR:PERIOD=FIXED&amp;VAR:AUDIT_ID=00000117&amp;VAR:DATE=20070220&amp;action=UPDATE&amp;creator=factset&amp;DOC_NAME=FAT:FMA_audit_SUMMARY.fat&amp;DISPLAY_STRING=Display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70__FDSAUDITLINK__" localSheetId="6" hidden="1">{"fdsup://directions/FAT Viewer?action=UPDATE&amp;creator=factset&amp;DYN_ARGS=TRUE&amp;DOC_NAME=FAT:FQL_AUDITING_CLIENT_TEMPLATE.FAT&amp;display_string=Audit&amp;VAR:KEY=ORAZMBCFWP&amp;VAR:QUERY=RkZfSU5WRU5fREFZUygnQU5OJyw0MDA4Nik=&amp;WINDOW=FIRST_POPUP&amp;HEIGHT=450&amp;WIDTH=450&amp;START_MA","XIMIZED=FALSE&amp;VAR:CALENDAR=US&amp;VAR:SYMBOL=89652210&amp;VAR:INDEX=0"}</definedName>
    <definedName name="_10970__FDSAUDITLINK__" hidden="1">{"fdsup://directions/FAT Viewer?action=UPDATE&amp;creator=factset&amp;DYN_ARGS=TRUE&amp;DOC_NAME=FAT:FQL_AUDITING_CLIENT_TEMPLATE.FAT&amp;display_string=Audit&amp;VAR:KEY=ORAZMBCFWP&amp;VAR:QUERY=RkZfSU5WRU5fREFZUygnQU5OJyw0MDA4Nik=&amp;WINDOW=FIRST_POPUP&amp;HEIGHT=450&amp;WIDTH=450&amp;START_MA","XIMIZED=FALSE&amp;VAR:CALENDAR=US&amp;VAR:SYMBOL=89652210&amp;VAR:INDEX=0"}</definedName>
    <definedName name="_10971__FDSAUDITLINK__" localSheetId="6" hidden="1">{"fdsup://directions/FAT Viewer?action=UPDATE&amp;creator=factset&amp;DYN_ARGS=TRUE&amp;DOC_NAME=FAT:FQL_AUDITING_CLIENT_TEMPLATE.FAT&amp;display_string=Audit&amp;VAR:KEY=CBYNEXEDUX&amp;VAR:QUERY=RkZfSU5WRU5fREFZUygnQU5OJyw0MDA4Nik=&amp;WINDOW=FIRST_POPUP&amp;HEIGHT=450&amp;WIDTH=450&amp;START_MA","XIMIZED=FALSE&amp;VAR:CALENDAR=US&amp;VAR:SYMBOL=LSTR&amp;VAR:INDEX=0"}</definedName>
    <definedName name="_10971__FDSAUDITLINK__" hidden="1">{"fdsup://directions/FAT Viewer?action=UPDATE&amp;creator=factset&amp;DYN_ARGS=TRUE&amp;DOC_NAME=FAT:FQL_AUDITING_CLIENT_TEMPLATE.FAT&amp;display_string=Audit&amp;VAR:KEY=CBYNEXEDUX&amp;VAR:QUERY=RkZfSU5WRU5fREFZUygnQU5OJyw0MDA4Nik=&amp;WINDOW=FIRST_POPUP&amp;HEIGHT=450&amp;WIDTH=450&amp;START_MA","XIMIZED=FALSE&amp;VAR:CALENDAR=US&amp;VAR:SYMBOL=LSTR&amp;VAR:INDEX=0"}</definedName>
    <definedName name="_10972__FDSAUDITLINK__" localSheetId="6" hidden="1">{"fdsup://directions/FAT Viewer?action=UPDATE&amp;creator=factset&amp;DYN_ARGS=TRUE&amp;DOC_NAME=FAT:FQL_AUDITING_CLIENT_TEMPLATE.FAT&amp;display_string=Audit&amp;VAR:KEY=QHMPUTQDOX&amp;VAR:QUERY=RkZfSU5WRU5fREFZUygnQU5OJyw0MDA4Nik=&amp;WINDOW=FIRST_POPUP&amp;HEIGHT=450&amp;WIDTH=450&amp;START_MA","XIMIZED=FALSE&amp;VAR:CALENDAR=US&amp;VAR:SYMBOL=89652210&amp;VAR:INDEX=0"}</definedName>
    <definedName name="_10972__FDSAUDITLINK__" hidden="1">{"fdsup://directions/FAT Viewer?action=UPDATE&amp;creator=factset&amp;DYN_ARGS=TRUE&amp;DOC_NAME=FAT:FQL_AUDITING_CLIENT_TEMPLATE.FAT&amp;display_string=Audit&amp;VAR:KEY=QHMPUTQDOX&amp;VAR:QUERY=RkZfSU5WRU5fREFZUygnQU5OJyw0MDA4Nik=&amp;WINDOW=FIRST_POPUP&amp;HEIGHT=450&amp;WIDTH=450&amp;START_MA","XIMIZED=FALSE&amp;VAR:CALENDAR=US&amp;VAR:SYMBOL=89652210&amp;VAR:INDEX=0"}</definedName>
    <definedName name="_10973__FDSAUDITLINK__" localSheetId="6" hidden="1">{"fdsup://directions/FAT Viewer?action=UPDATE&amp;creator=factset&amp;DYN_ARGS=TRUE&amp;DOC_NAME=FAT:FQL_AUDITING_CLIENT_TEMPLATE.FAT&amp;display_string=Audit&amp;VAR:KEY=CZWNMLMHUZ&amp;VAR:QUERY=RkZfSU5WRU5fREFZUygnQU5OJyw0MDA4Nik=&amp;WINDOW=FIRST_POPUP&amp;HEIGHT=450&amp;WIDTH=450&amp;START_MA","XIMIZED=FALSE&amp;VAR:CALENDAR=US&amp;VAR:SYMBOL=ESEA&amp;VAR:INDEX=0"}</definedName>
    <definedName name="_10973__FDSAUDITLINK__" hidden="1">{"fdsup://directions/FAT Viewer?action=UPDATE&amp;creator=factset&amp;DYN_ARGS=TRUE&amp;DOC_NAME=FAT:FQL_AUDITING_CLIENT_TEMPLATE.FAT&amp;display_string=Audit&amp;VAR:KEY=CZWNMLMHUZ&amp;VAR:QUERY=RkZfSU5WRU5fREFZUygnQU5OJyw0MDA4Nik=&amp;WINDOW=FIRST_POPUP&amp;HEIGHT=450&amp;WIDTH=450&amp;START_MA","XIMIZED=FALSE&amp;VAR:CALENDAR=US&amp;VAR:SYMBOL=ESEA&amp;VAR:INDEX=0"}</definedName>
    <definedName name="_10974__FDSAUDITLINK__" localSheetId="6" hidden="1">{"fdsup://directions/FAT Viewer?action=UPDATE&amp;creator=factset&amp;DYN_ARGS=TRUE&amp;DOC_NAME=FAT:FQL_AUDITING_CLIENT_TEMPLATE.FAT&amp;display_string=Audit&amp;VAR:KEY=OJYJUJAPCV&amp;VAR:QUERY=RkZfSU5WRU5fREFZUygnQU5OJyw0MDA4Nik=&amp;WINDOW=FIRST_POPUP&amp;HEIGHT=450&amp;WIDTH=450&amp;START_MA","XIMIZED=FALSE&amp;VAR:CALENDAR=US&amp;VAR:SYMBOL=ESEA&amp;VAR:INDEX=0"}</definedName>
    <definedName name="_10974__FDSAUDITLINK__" hidden="1">{"fdsup://directions/FAT Viewer?action=UPDATE&amp;creator=factset&amp;DYN_ARGS=TRUE&amp;DOC_NAME=FAT:FQL_AUDITING_CLIENT_TEMPLATE.FAT&amp;display_string=Audit&amp;VAR:KEY=OJYJUJAPCV&amp;VAR:QUERY=RkZfSU5WRU5fREFZUygnQU5OJyw0MDA4Nik=&amp;WINDOW=FIRST_POPUP&amp;HEIGHT=450&amp;WIDTH=450&amp;START_MA","XIMIZED=FALSE&amp;VAR:CALENDAR=US&amp;VAR:SYMBOL=ESEA&amp;VAR:INDEX=0"}</definedName>
    <definedName name="_10975__FDSAUDITLINK__" localSheetId="6" hidden="1">{"fdsup://directions/FAT Viewer?action=UPDATE&amp;creator=factset&amp;DYN_ARGS=TRUE&amp;DOC_NAME=FAT:FQL_AUDITING_CLIENT_TEMPLATE.FAT&amp;display_string=Audit&amp;VAR:KEY=WHYFOTOFIB&amp;VAR:QUERY=RkZfSU5WRU5fREFZUygnQU5OJyw0MDA4Nik=&amp;WINDOW=FIRST_POPUP&amp;HEIGHT=450&amp;WIDTH=450&amp;START_MA","XIMIZED=FALSE&amp;VAR:CALENDAR=US&amp;VAR:SYMBOL=ESEA&amp;VAR:INDEX=0"}</definedName>
    <definedName name="_10975__FDSAUDITLINK__" hidden="1">{"fdsup://directions/FAT Viewer?action=UPDATE&amp;creator=factset&amp;DYN_ARGS=TRUE&amp;DOC_NAME=FAT:FQL_AUDITING_CLIENT_TEMPLATE.FAT&amp;display_string=Audit&amp;VAR:KEY=WHYFOTOFIB&amp;VAR:QUERY=RkZfSU5WRU5fREFZUygnQU5OJyw0MDA4Nik=&amp;WINDOW=FIRST_POPUP&amp;HEIGHT=450&amp;WIDTH=450&amp;START_MA","XIMIZED=FALSE&amp;VAR:CALENDAR=US&amp;VAR:SYMBOL=ESEA&amp;VAR:INDEX=0"}</definedName>
    <definedName name="_1098__FDSAUDITLINK__" localSheetId="6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8__FDSAUDITLINK__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9__FDSAUDITLINK__" localSheetId="6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099__FDSAUDITLINK__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__FDSAUDITLINK__" localSheetId="6" hidden="1">{"fdsup://directions/FAT Viewer?action=UPDATE&amp;creator=factset&amp;DYN_ARGS=TRUE&amp;DOC_NAME=FAT:FQL_AUDITING_CLIENT_TEMPLATE.FAT&amp;display_string=Audit&amp;VAR:KEY=FCHOVANILS&amp;VAR:QUERY=QVZHKENTRl9ORVRfSU5DKEFOTiwwRlksLTZGWSxZKSkgLyAoQVZHKENTRl9BU1NFVFMoQU5OLDBGWSwtNkZZL","EZZKSkgLSBBVkcoQ1NGX0lOVEFORyhBTk4sMCwtNkZZLEZZKSkp&amp;WINDOW=FIRST_POPUP&amp;HEIGHT=450&amp;WIDTH=450&amp;START_MAXIMIZED=FALSE&amp;VAR:CALENDAR=US&amp;VAR:SYMBOL=HEES"}</definedName>
    <definedName name="_110__FDSAUDITLINK__" hidden="1">{"fdsup://directions/FAT Viewer?action=UPDATE&amp;creator=factset&amp;DYN_ARGS=TRUE&amp;DOC_NAME=FAT:FQL_AUDITING_CLIENT_TEMPLATE.FAT&amp;display_string=Audit&amp;VAR:KEY=FCHOVANILS&amp;VAR:QUERY=QVZHKENTRl9ORVRfSU5DKEFOTiwwRlksLTZGWSxZKSkgLyAoQVZHKENTRl9BU1NFVFMoQU5OLDBGWSwtNkZZL","EZZKSkgLSBBVkcoQ1NGX0lOVEFORyhBTk4sMCwtNkZZLEZZKSkp&amp;WINDOW=FIRST_POPUP&amp;HEIGHT=450&amp;WIDTH=450&amp;START_MAXIMIZED=FALSE&amp;VAR:CALENDAR=US&amp;VAR:SYMBOL=HEES"}</definedName>
    <definedName name="_1100__FDSAUDITLINK__" localSheetId="6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0__FDSAUDITLINK__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1__FDSAUDITLINK__" localSheetId="6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1__FDSAUDITLINK__" hidden="1">{"fdsup://directions/FAT%20Viewer?VAR:PED=LTM&amp;VAR:AUDIT_MODE=SUMMARY&amp;VAR:PERIOD=FIXED&amp;VAR:AUDIT_ID=00000117&amp;VAR:DATE=20070216&amp;action=UPDATE&amp;creator=factset&amp;DOC_NAME=FAT:FMA_audit_SUMMARY.fat&amp;DISPLAY_STRING=Display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2__FDSAUDITLINK__" localSheetId="6" hidden="1">{"fdsup://directions/FAT%20Viewer?VAR:PED=LTM&amp;VAR:AUDIT_MODE=SUMMARY&amp;VAR:PERIOD=FIXED&amp;VAR:AUDIT_ID=00000117&amp;VAR:DATE=20070215&amp;action=UPDATE&amp;creator=factset&amp;DOC_NAME=FAT:FMA_audit_SUMMARY.fat&amp;DISPLAY_STRING=Display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2__FDSAUDITLINK__" hidden="1">{"fdsup://directions/FAT%20Viewer?VAR:PED=LTM&amp;VAR:AUDIT_MODE=SUMMARY&amp;VAR:PERIOD=FIXED&amp;VAR:AUDIT_ID=00000117&amp;VAR:DATE=20070215&amp;action=UPDATE&amp;creator=factset&amp;DOC_NAME=FAT:FMA_audit_SUMMARY.fat&amp;DISPLAY_STRING=Display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3__FDSAUDITLINK__" localSheetId="6" hidden="1">{"fdsup://directions/FAT%20Viewer?VAR:PED=LTM&amp;VAR:AUDIT_MODE=SUMMARY&amp;VAR:PERIOD=FIXED&amp;VAR:AUDIT_ID=00000117&amp;VAR:DATE=20070214&amp;action=UPDATE&amp;creator=factset&amp;DOC_NAME=FAT:FMA_audit_SUMMARY.fat&amp;DISPLAY_STRING=Display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3__FDSAUDITLINK__" hidden="1">{"fdsup://directions/FAT%20Viewer?VAR:PED=LTM&amp;VAR:AUDIT_MODE=SUMMARY&amp;VAR:PERIOD=FIXED&amp;VAR:AUDIT_ID=00000117&amp;VAR:DATE=20070214&amp;action=UPDATE&amp;creator=factset&amp;DOC_NAME=FAT:FMA_audit_SUMMARY.fat&amp;DISPLAY_STRING=Display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4__FDSAUDITLINK__" localSheetId="6" hidden="1">{"fdsup://directions/FAT%20Viewer?VAR:PED=LTM&amp;VAR:AUDIT_MODE=SUMMARY&amp;VAR:PERIOD=FIXED&amp;VAR:AUDIT_ID=00000117&amp;VAR:DATE=20070213&amp;action=UPDATE&amp;creator=factset&amp;DOC_NAME=FAT:FMA_audit_SUMMARY.fat&amp;DISPLAY_STRING=Display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4__FDSAUDITLINK__" hidden="1">{"fdsup://directions/FAT%20Viewer?VAR:PED=LTM&amp;VAR:AUDIT_MODE=SUMMARY&amp;VAR:PERIOD=FIXED&amp;VAR:AUDIT_ID=00000117&amp;VAR:DATE=20070213&amp;action=UPDATE&amp;creator=factset&amp;DOC_NAME=FAT:FMA_audit_SUMMARY.fat&amp;DISPLAY_STRING=Display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5__FDSAUDITLINK__" localSheetId="6" hidden="1">{"fdsup://directions/FAT%20Viewer?VAR:PED=LTM&amp;VAR:AUDIT_MODE=SUMMARY&amp;VAR:PERIOD=FIXED&amp;VAR:AUDIT_ID=00000117&amp;VAR:DATE=20070212&amp;action=UPDATE&amp;creator=factset&amp;DOC_NAME=FAT:FMA_audit_SUMMARY.fat&amp;DISPLAY_STRING=Display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5__FDSAUDITLINK__" hidden="1">{"fdsup://directions/FAT%20Viewer?VAR:PED=LTM&amp;VAR:AUDIT_MODE=SUMMARY&amp;VAR:PERIOD=FIXED&amp;VAR:AUDIT_ID=00000117&amp;VAR:DATE=20070212&amp;action=UPDATE&amp;creator=factset&amp;DOC_NAME=FAT:FMA_audit_SUMMARY.fat&amp;DISPLAY_STRING=Display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6__FDSAUDITLINK__" localSheetId="6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6__FDSAUDITLINK__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7__FDSAUDITLINK__" localSheetId="6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7__FDSAUDITLINK__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8__FDSAUDITLINK__" localSheetId="6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8__FDSAUDITLINK__" hidden="1">{"fdsup://directions/FAT%20Viewer?VAR:PED=LTM&amp;VAR:AUDIT_MODE=SUMMARY&amp;VAR:PERIOD=FIXED&amp;VAR:AUDIT_ID=00000117&amp;VAR:DATE=20070209&amp;action=UPDATE&amp;creator=factset&amp;DOC_NAME=FAT:FMA_audit_SUMMARY.fat&amp;DISPLAY_STRING=Display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9__FDSAUDITLINK__" localSheetId="6" hidden="1">{"fdsup://directions/FAT%20Viewer?VAR:PED=LTM&amp;VAR:AUDIT_MODE=SUMMARY&amp;VAR:PERIOD=FIXED&amp;VAR:AUDIT_ID=00000117&amp;VAR:DATE=20070208&amp;action=UPDATE&amp;creator=factset&amp;DOC_NAME=FAT:FMA_audit_SUMMARY.fat&amp;DISPLAY_STRING=Display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09__FDSAUDITLINK__" hidden="1">{"fdsup://directions/FAT%20Viewer?VAR:PED=LTM&amp;VAR:AUDIT_MODE=SUMMARY&amp;VAR:PERIOD=FIXED&amp;VAR:AUDIT_ID=00000117&amp;VAR:DATE=20070208&amp;action=UPDATE&amp;creator=factset&amp;DOC_NAME=FAT:FMA_audit_SUMMARY.fat&amp;DISPLAY_STRING=Display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__FDSAUDITLINK__" localSheetId="6" hidden="1">{"fdsup://directions/FAT Viewer?action=UPDATE&amp;creator=factset&amp;DYN_ARGS=TRUE&amp;DOC_NAME=FAT:FQL_AUDITING_CLIENT_TEMPLATE.FAT&amp;display_string=Audit&amp;VAR:KEY=CBKLCDCTEN&amp;VAR:QUERY=QVZHKENTRl9ORVRfSU5DKEFOTiwwRlksLTZGWSxZKSkvKEFWRyhDU0ZfQVNTRVRTKEFOTiwwRlksLTZGWSxGW","SkpLUFWRyhDU0ZfSU5UQU5HKEFOTiwwLC02RlksRlkpKSk=&amp;WINDOW=FIRST_POPUP&amp;HEIGHT=450&amp;WIDTH=450&amp;START_MAXIMIZED=FALSE&amp;VAR:CALENDAR=US&amp;VAR:SYMBOL=MMLP"}</definedName>
    <definedName name="_111__FDSAUDITLINK__" hidden="1">{"fdsup://directions/FAT Viewer?action=UPDATE&amp;creator=factset&amp;DYN_ARGS=TRUE&amp;DOC_NAME=FAT:FQL_AUDITING_CLIENT_TEMPLATE.FAT&amp;display_string=Audit&amp;VAR:KEY=CBKLCDCTEN&amp;VAR:QUERY=QVZHKENTRl9ORVRfSU5DKEFOTiwwRlksLTZGWSxZKSkvKEFWRyhDU0ZfQVNTRVRTKEFOTiwwRlksLTZGWSxGW","SkpLUFWRyhDU0ZfSU5UQU5HKEFOTiwwLC02RlksRlkpKSk=&amp;WINDOW=FIRST_POPUP&amp;HEIGHT=450&amp;WIDTH=450&amp;START_MAXIMIZED=FALSE&amp;VAR:CALENDAR=US&amp;VAR:SYMBOL=MMLP"}</definedName>
    <definedName name="_1110__FDSAUDITLINK__" localSheetId="6" hidden="1">{"fdsup://directions/FAT%20Viewer?VAR:PED=LTM&amp;VAR:AUDIT_MODE=SUMMARY&amp;VAR:PERIOD=FIXED&amp;VAR:AUDIT_ID=00000117&amp;VAR:DATE=20070207&amp;action=UPDATE&amp;creator=factset&amp;DOC_NAME=FAT:FMA_audit_SUMMARY.fat&amp;DISPLAY_STRING=Display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0__FDSAUDITLINK__" hidden="1">{"fdsup://directions/FAT%20Viewer?VAR:PED=LTM&amp;VAR:AUDIT_MODE=SUMMARY&amp;VAR:PERIOD=FIXED&amp;VAR:AUDIT_ID=00000117&amp;VAR:DATE=20070207&amp;action=UPDATE&amp;creator=factset&amp;DOC_NAME=FAT:FMA_audit_SUMMARY.fat&amp;DISPLAY_STRING=Display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1__FDSAUDITLINK__" localSheetId="6" hidden="1">{"fdsup://directions/FAT%20Viewer?VAR:PED=LTM&amp;VAR:AUDIT_MODE=SUMMARY&amp;VAR:PERIOD=FIXED&amp;VAR:AUDIT_ID=00000117&amp;VAR:DATE=20070206&amp;action=UPDATE&amp;creator=factset&amp;DOC_NAME=FAT:FMA_audit_SUMMARY.fat&amp;DISPLAY_STRING=Display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1__FDSAUDITLINK__" hidden="1">{"fdsup://directions/FAT%20Viewer?VAR:PED=LTM&amp;VAR:AUDIT_MODE=SUMMARY&amp;VAR:PERIOD=FIXED&amp;VAR:AUDIT_ID=00000117&amp;VAR:DATE=20070206&amp;action=UPDATE&amp;creator=factset&amp;DOC_NAME=FAT:FMA_audit_SUMMARY.fat&amp;DISPLAY_STRING=Display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2__FDSAUDITLINK__" localSheetId="6" hidden="1">{"fdsup://directions/FAT%20Viewer?VAR:PED=LTM&amp;VAR:AUDIT_MODE=SUMMARY&amp;VAR:PERIOD=FIXED&amp;VAR:AUDIT_ID=00000117&amp;VAR:DATE=20070205&amp;action=UPDATE&amp;creator=factset&amp;DOC_NAME=FAT:FMA_audit_SUMMARY.fat&amp;DISPLAY_STRING=Display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2__FDSAUDITLINK__" hidden="1">{"fdsup://directions/FAT%20Viewer?VAR:PED=LTM&amp;VAR:AUDIT_MODE=SUMMARY&amp;VAR:PERIOD=FIXED&amp;VAR:AUDIT_ID=00000117&amp;VAR:DATE=20070205&amp;action=UPDATE&amp;creator=factset&amp;DOC_NAME=FAT:FMA_audit_SUMMARY.fat&amp;DISPLAY_STRING=Display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3__FDSAUDITLINK__" localSheetId="6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3__FDSAUDITLINK__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4__FDSAUDITLINK__" localSheetId="6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4__FDSAUDITLINK__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5__FDSAUDITLINK__" localSheetId="6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5__FDSAUDITLINK__" hidden="1">{"fdsup://directions/FAT%20Viewer?VAR:PED=LTM&amp;VAR:AUDIT_MODE=SUMMARY&amp;VAR:PERIOD=FIXED&amp;VAR:AUDIT_ID=00000117&amp;VAR:DATE=20070202&amp;action=UPDATE&amp;creator=factset&amp;DOC_NAME=FAT:FMA_audit_SUMMARY.fat&amp;DISPLAY_STRING=Display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6__FDSAUDITLINK__" localSheetId="6" hidden="1">{"fdsup://directions/FAT%20Viewer?VAR:PED=LTM&amp;VAR:AUDIT_MODE=SUMMARY&amp;VAR:PERIOD=FIXED&amp;VAR:AUDIT_ID=00000117&amp;VAR:DATE=20070201&amp;action=UPDATE&amp;creator=factset&amp;DOC_NAME=FAT:FMA_audit_SUMMARY.fat&amp;DISPLAY_STRING=Display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6__FDSAUDITLINK__" hidden="1">{"fdsup://directions/FAT%20Viewer?VAR:PED=LTM&amp;VAR:AUDIT_MODE=SUMMARY&amp;VAR:PERIOD=FIXED&amp;VAR:AUDIT_ID=00000117&amp;VAR:DATE=20070201&amp;action=UPDATE&amp;creator=factset&amp;DOC_NAME=FAT:FMA_audit_SUMMARY.fat&amp;DISPLAY_STRING=Display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7__FDSAUDITLINK__" localSheetId="6" hidden="1">{"fdsup://directions/FAT%20Viewer?VAR:PED=LTM&amp;VAR:AUDIT_MODE=SUMMARY&amp;VAR:PERIOD=FIXED&amp;VAR:AUDIT_ID=00000117&amp;VAR:DATE=20070131&amp;action=UPDATE&amp;creator=factset&amp;DOC_NAME=FAT:FMA_audit_SUMMARY.fat&amp;DISPLAY_STRING=Display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7__FDSAUDITLINK__" hidden="1">{"fdsup://directions/FAT%20Viewer?VAR:PED=LTM&amp;VAR:AUDIT_MODE=SUMMARY&amp;VAR:PERIOD=FIXED&amp;VAR:AUDIT_ID=00000117&amp;VAR:DATE=20070131&amp;action=UPDATE&amp;creator=factset&amp;DOC_NAME=FAT:FMA_audit_SUMMARY.fat&amp;DISPLAY_STRING=Display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EBITDA&amp;VAR:CHGPERIOD=NA&amp;VAR:FQLFORMULA=FMA_EVAL_EBITDA&amp;VAR:CURRENCY=NA&amp;VAR:P=NA&amp;VAR:V=10.9","55945&amp;VAR:null=.html"}</definedName>
    <definedName name="_1118__FDSAUDITLINK__" localSheetId="6" hidden="1">{"fdsup://directions/FAT%20Viewer?VAR:PED=LTM&amp;VAR:AUDIT_MODE=SUMMARY&amp;VAR:PERIOD=FIXED&amp;VAR:AUDIT_ID=00000117&amp;VAR:DATE=20070130&amp;action=UPDATE&amp;creator=factset&amp;DOC_NAME=FAT:FMA_audit_SUMMARY.fat&amp;DISPLAY_STRING=Display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18__FDSAUDITLINK__" hidden="1">{"fdsup://directions/FAT%20Viewer?VAR:PED=LTM&amp;VAR:AUDIT_MODE=SUMMARY&amp;VAR:PERIOD=FIXED&amp;VAR:AUDIT_ID=00000117&amp;VAR:DATE=20070130&amp;action=UPDATE&amp;creator=factset&amp;DOC_NAME=FAT:FMA_audit_SUMMARY.fat&amp;DISPLAY_STRING=Display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19__FDSAUDITLINK__" localSheetId="6" hidden="1">{"fdsup://directions/FAT%20Viewer?VAR:PED=LTM&amp;VAR:AUDIT_MODE=SUMMARY&amp;VAR:PERIOD=FIXED&amp;VAR:AUDIT_ID=00000117&amp;VAR:DATE=20070129&amp;action=UPDATE&amp;creator=factset&amp;DOC_NAME=FAT:FMA_audit_SUMMARY.fat&amp;DISPLAY_STRING=Display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19__FDSAUDITLINK__" hidden="1">{"fdsup://directions/FAT%20Viewer?VAR:PED=LTM&amp;VAR:AUDIT_MODE=SUMMARY&amp;VAR:PERIOD=FIXED&amp;VAR:AUDIT_ID=00000117&amp;VAR:DATE=20070129&amp;action=UPDATE&amp;creator=factset&amp;DOC_NAME=FAT:FMA_audit_SUMMARY.fat&amp;DISPLAY_STRING=Display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__FDSAUDITLINK__" localSheetId="6" hidden="1">{"fdsup://directions/FAT Viewer?action=UPDATE&amp;creator=factset&amp;DYN_ARGS=TRUE&amp;DOC_NAME=FAT:FQL_AUDITING_CLIENT_TEMPLATE.FAT&amp;display_string=Audit&amp;VAR:KEY=GXSBOHUDSD&amp;VAR:QUERY=QVZHKENTRl9ORVRfSU5DKEFOTiwwRlksLTZGWSxZKSkvKEFWRyhDU0ZfQVNTRVRTKEFOTiwwRlksLTZGWSxGW","SkpLUFWRyhDU0ZfSU5UQU5HKEFOTiwwLC02RlksRlkpKSk=&amp;WINDOW=FIRST_POPUP&amp;HEIGHT=450&amp;WIDTH=450&amp;START_MAXIMIZED=FALSE&amp;VAR:CALENDAR=US&amp;VAR:SYMBOL=NMM"}</definedName>
    <definedName name="_112__FDSAUDITLINK__" hidden="1">{"fdsup://directions/FAT Viewer?action=UPDATE&amp;creator=factset&amp;DYN_ARGS=TRUE&amp;DOC_NAME=FAT:FQL_AUDITING_CLIENT_TEMPLATE.FAT&amp;display_string=Audit&amp;VAR:KEY=GXSBOHUDSD&amp;VAR:QUERY=QVZHKENTRl9ORVRfSU5DKEFOTiwwRlksLTZGWSxZKSkvKEFWRyhDU0ZfQVNTRVRTKEFOTiwwRlksLTZGWSxGW","SkpLUFWRyhDU0ZfSU5UQU5HKEFOTiwwLC02RlksRlkpKSk=&amp;WINDOW=FIRST_POPUP&amp;HEIGHT=450&amp;WIDTH=450&amp;START_MAXIMIZED=FALSE&amp;VAR:CALENDAR=US&amp;VAR:SYMBOL=NMM"}</definedName>
    <definedName name="_1120__FDSAUDITLINK__" localSheetId="6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0__FDSAUDITLINK__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1__FDSAUDITLINK__" localSheetId="6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1__FDSAUDITLINK__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2__FDSAUDITLINK__" localSheetId="6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2__FDSAUDITLINK__" hidden="1">{"fdsup://directions/FAT%20Viewer?VAR:PED=LTM&amp;VAR:AUDIT_MODE=SUMMARY&amp;VAR:PERIOD=FIXED&amp;VAR:AUDIT_ID=00000117&amp;VAR:DATE=20070126&amp;action=UPDATE&amp;creator=factset&amp;DOC_NAME=FAT:FMA_audit_SUMMARY.fat&amp;DISPLAY_STRING=Display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3__FDSAUDITLINK__" localSheetId="6" hidden="1">{"fdsup://directions/FAT%20Viewer?VAR:PED=LTM&amp;VAR:AUDIT_MODE=SUMMARY&amp;VAR:PERIOD=FIXED&amp;VAR:AUDIT_ID=00000117&amp;VAR:DATE=20070125&amp;action=UPDATE&amp;creator=factset&amp;DOC_NAME=FAT:FMA_audit_SUMMARY.fat&amp;DISPLAY_STRING=Display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3__FDSAUDITLINK__" hidden="1">{"fdsup://directions/FAT%20Viewer?VAR:PED=LTM&amp;VAR:AUDIT_MODE=SUMMARY&amp;VAR:PERIOD=FIXED&amp;VAR:AUDIT_ID=00000117&amp;VAR:DATE=20070125&amp;action=UPDATE&amp;creator=factset&amp;DOC_NAME=FAT:FMA_audit_SUMMARY.fat&amp;DISPLAY_STRING=Display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4__FDSAUDITLINK__" localSheetId="6" hidden="1">{"fdsup://directions/FAT%20Viewer?VAR:PED=LTM&amp;VAR:AUDIT_MODE=SUMMARY&amp;VAR:PERIOD=FIXED&amp;VAR:AUDIT_ID=00000117&amp;VAR:DATE=20070124&amp;action=UPDATE&amp;creator=factset&amp;DOC_NAME=FAT:FMA_audit_SUMMARY.fat&amp;DISPLAY_STRING=Display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4__FDSAUDITLINK__" hidden="1">{"fdsup://directions/FAT%20Viewer?VAR:PED=LTM&amp;VAR:AUDIT_MODE=SUMMARY&amp;VAR:PERIOD=FIXED&amp;VAR:AUDIT_ID=00000117&amp;VAR:DATE=20070124&amp;action=UPDATE&amp;creator=factset&amp;DOC_NAME=FAT:FMA_audit_SUMMARY.fat&amp;DISPLAY_STRING=Display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5__FDSAUDITLINK__" localSheetId="6" hidden="1">{"fdsup://directions/FAT%20Viewer?VAR:PED=LTM&amp;VAR:AUDIT_MODE=SUMMARY&amp;VAR:PERIOD=FIXED&amp;VAR:AUDIT_ID=00000117&amp;VAR:DATE=20070123&amp;action=UPDATE&amp;creator=factset&amp;DOC_NAME=FAT:FMA_audit_SUMMARY.fat&amp;DISPLAY_STRING=Display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5__FDSAUDITLINK__" hidden="1">{"fdsup://directions/FAT%20Viewer?VAR:PED=LTM&amp;VAR:AUDIT_MODE=SUMMARY&amp;VAR:PERIOD=FIXED&amp;VAR:AUDIT_ID=00000117&amp;VAR:DATE=20070123&amp;action=UPDATE&amp;creator=factset&amp;DOC_NAME=FAT:FMA_audit_SUMMARY.fat&amp;DISPLAY_STRING=Display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6__FDSAUDITLINK__" localSheetId="6" hidden="1">{"fdsup://directions/FAT%20Viewer?VAR:PED=LTM&amp;VAR:AUDIT_MODE=SUMMARY&amp;VAR:PERIOD=FIXED&amp;VAR:AUDIT_ID=00000117&amp;VAR:DATE=20070122&amp;action=UPDATE&amp;creator=factset&amp;DOC_NAME=FAT:FMA_audit_SUMMARY.fat&amp;DISPLAY_STRING=Display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6__FDSAUDITLINK__" hidden="1">{"fdsup://directions/FAT%20Viewer?VAR:PED=LTM&amp;VAR:AUDIT_MODE=SUMMARY&amp;VAR:PERIOD=FIXED&amp;VAR:AUDIT_ID=00000117&amp;VAR:DATE=20070122&amp;action=UPDATE&amp;creator=factset&amp;DOC_NAME=FAT:FMA_audit_SUMMARY.fat&amp;DISPLAY_STRING=Display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7__FDSAUDITLINK__" localSheetId="6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7__FDSAUDITLINK__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8__FDSAUDITLINK__" localSheetId="6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8__FDSAUDITLINK__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9__FDSAUDITLINK__" localSheetId="6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29__FDSAUDITLINK__" hidden="1">{"fdsup://directions/FAT%20Viewer?VAR:PED=LTM&amp;VAR:AUDIT_MODE=SUMMARY&amp;VAR:PERIOD=FIXED&amp;VAR:AUDIT_ID=00000117&amp;VAR:DATE=20070119&amp;action=UPDATE&amp;creator=factset&amp;DOC_NAME=FAT:FMA_audit_SUMMARY.fat&amp;DISPLAY_STRING=Display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__FDSAUDITLINK__" localSheetId="6" hidden="1">{"fdsup://directions/FAT Viewer?action=UPDATE&amp;creator=factset&amp;DYN_ARGS=TRUE&amp;DOC_NAME=FAT:FQL_AUDITING_CLIENT_TEMPLATE.FAT&amp;display_string=Audit&amp;VAR:KEY=MBCVAPOVAP&amp;VAR:QUERY=QVZHKENTRl9ORVRfSU5DKEFOTiwwRlksLTZGWSxZKSkvKEFWRyhDU0ZfQVNTRVRTKEFOTiwwRlksLTZGWSxGW","SkpLUFWRyhDU0ZfSU5UQU5HKEFOTiwwLC02RlksRlkpKSk=&amp;WINDOW=FIRST_POPUP&amp;HEIGHT=450&amp;WIDTH=450&amp;START_MAXIMIZED=FALSE&amp;VAR:CALENDAR=US&amp;VAR:SYMBOL=TGP"}</definedName>
    <definedName name="_113__FDSAUDITLINK__" hidden="1">{"fdsup://directions/FAT Viewer?action=UPDATE&amp;creator=factset&amp;DYN_ARGS=TRUE&amp;DOC_NAME=FAT:FQL_AUDITING_CLIENT_TEMPLATE.FAT&amp;display_string=Audit&amp;VAR:KEY=MBCVAPOVAP&amp;VAR:QUERY=QVZHKENTRl9ORVRfSU5DKEFOTiwwRlksLTZGWSxZKSkvKEFWRyhDU0ZfQVNTRVRTKEFOTiwwRlksLTZGWSxGW","SkpLUFWRyhDU0ZfSU5UQU5HKEFOTiwwLC02RlksRlkpKSk=&amp;WINDOW=FIRST_POPUP&amp;HEIGHT=450&amp;WIDTH=450&amp;START_MAXIMIZED=FALSE&amp;VAR:CALENDAR=US&amp;VAR:SYMBOL=TGP"}</definedName>
    <definedName name="_1130__FDSAUDITLINK__" localSheetId="6" hidden="1">{"fdsup://directions/FAT%20Viewer?VAR:PED=LTM&amp;VAR:AUDIT_MODE=SUMMARY&amp;VAR:PERIOD=FIXED&amp;VAR:AUDIT_ID=00000117&amp;VAR:DATE=20070118&amp;action=UPDATE&amp;creator=factset&amp;DOC_NAME=FAT:FMA_audit_SUMMARY.fat&amp;DISPLAY_STRING=Display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0__FDSAUDITLINK__" hidden="1">{"fdsup://directions/FAT%20Viewer?VAR:PED=LTM&amp;VAR:AUDIT_MODE=SUMMARY&amp;VAR:PERIOD=FIXED&amp;VAR:AUDIT_ID=00000117&amp;VAR:DATE=20070118&amp;action=UPDATE&amp;creator=factset&amp;DOC_NAME=FAT:FMA_audit_SUMMARY.fat&amp;DISPLAY_STRING=Display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1__FDSAUDITLINK__" localSheetId="6" hidden="1">{"fdsup://directions/FAT%20Viewer?VAR:PED=LTM&amp;VAR:AUDIT_MODE=SUMMARY&amp;VAR:PERIOD=FIXED&amp;VAR:AUDIT_ID=00000117&amp;VAR:DATE=20070117&amp;action=UPDATE&amp;creator=factset&amp;DOC_NAME=FAT:FMA_audit_SUMMARY.fat&amp;DISPLAY_STRING=Display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1__FDSAUDITLINK__" hidden="1">{"fdsup://directions/FAT%20Viewer?VAR:PED=LTM&amp;VAR:AUDIT_MODE=SUMMARY&amp;VAR:PERIOD=FIXED&amp;VAR:AUDIT_ID=00000117&amp;VAR:DATE=20070117&amp;action=UPDATE&amp;creator=factset&amp;DOC_NAME=FAT:FMA_audit_SUMMARY.fat&amp;DISPLAY_STRING=Display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2__FDSAUDITLINK__" localSheetId="6" hidden="1">{"fdsup://directions/FAT%20Viewer?VAR:PED=LTM&amp;VAR:AUDIT_MODE=SUMMARY&amp;VAR:PERIOD=FIXED&amp;VAR:AUDIT_ID=00000117&amp;VAR:DATE=20070116&amp;action=UPDATE&amp;creator=factset&amp;DOC_NAME=FAT:FMA_audit_SUMMARY.fat&amp;DISPLAY_STRING=Display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2__FDSAUDITLINK__" hidden="1">{"fdsup://directions/FAT%20Viewer?VAR:PED=LTM&amp;VAR:AUDIT_MODE=SUMMARY&amp;VAR:PERIOD=FIXED&amp;VAR:AUDIT_ID=00000117&amp;VAR:DATE=20070116&amp;action=UPDATE&amp;creator=factset&amp;DOC_NAME=FAT:FMA_audit_SUMMARY.fat&amp;DISPLAY_STRING=Display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3__FDSAUDITLINK__" localSheetId="6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3__FDSAUDITLINK__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4__FDSAUDITLINK__" localSheetId="6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4__FDSAUDITLINK__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5__FDSAUDITLINK__" localSheetId="6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5__FDSAUDITLINK__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6__FDSAUDITLINK__" localSheetId="6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6__FDSAUDITLINK__" hidden="1">{"fdsup://directions/FAT%20Viewer?VAR:PED=LTM&amp;VAR:AUDIT_MODE=SUMMARY&amp;VAR:PERIOD=FIXED&amp;VAR:AUDIT_ID=00000117&amp;VAR:DATE=20070112&amp;action=UPDATE&amp;creator=factset&amp;DOC_NAME=FAT:FMA_audit_SUMMARY.fat&amp;DISPLAY_STRING=Display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7__FDSAUDITLINK__" localSheetId="6" hidden="1">{"fdsup://directions/FAT%20Viewer?VAR:PED=LTM&amp;VAR:AUDIT_MODE=SUMMARY&amp;VAR:PERIOD=FIXED&amp;VAR:AUDIT_ID=00000117&amp;VAR:DATE=20070111&amp;action=UPDATE&amp;creator=factset&amp;DOC_NAME=FAT:FMA_audit_SUMMARY.fat&amp;DISPLAY_STRING=Display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7__FDSAUDITLINK__" hidden="1">{"fdsup://directions/FAT%20Viewer?VAR:PED=LTM&amp;VAR:AUDIT_MODE=SUMMARY&amp;VAR:PERIOD=FIXED&amp;VAR:AUDIT_ID=00000117&amp;VAR:DATE=20070111&amp;action=UPDATE&amp;creator=factset&amp;DOC_NAME=FAT:FMA_audit_SUMMARY.fat&amp;DISPLAY_STRING=Display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8__FDSAUDITLINK__" localSheetId="6" hidden="1">{"fdsup://directions/FAT%20Viewer?VAR:PED=LTM&amp;VAR:AUDIT_MODE=SUMMARY&amp;VAR:PERIOD=FIXED&amp;VAR:AUDIT_ID=00000117&amp;VAR:DATE=20070110&amp;action=UPDATE&amp;creator=factset&amp;DOC_NAME=FAT:FMA_audit_SUMMARY.fat&amp;DISPLAY_STRING=Display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8__FDSAUDITLINK__" hidden="1">{"fdsup://directions/FAT%20Viewer?VAR:PED=LTM&amp;VAR:AUDIT_MODE=SUMMARY&amp;VAR:PERIOD=FIXED&amp;VAR:AUDIT_ID=00000117&amp;VAR:DATE=20070110&amp;action=UPDATE&amp;creator=factset&amp;DOC_NAME=FAT:FMA_audit_SUMMARY.fat&amp;DISPLAY_STRING=Display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9__FDSAUDITLINK__" localSheetId="6" hidden="1">{"fdsup://directions/FAT%20Viewer?VAR:PED=LTM&amp;VAR:AUDIT_MODE=SUMMARY&amp;VAR:PERIOD=FIXED&amp;VAR:AUDIT_ID=00000117&amp;VAR:DATE=20070109&amp;action=UPDATE&amp;creator=factset&amp;DOC_NAME=FAT:FMA_audit_SUMMARY.fat&amp;DISPLAY_STRING=Display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39__FDSAUDITLINK__" hidden="1">{"fdsup://directions/FAT%20Viewer?VAR:PED=LTM&amp;VAR:AUDIT_MODE=SUMMARY&amp;VAR:PERIOD=FIXED&amp;VAR:AUDIT_ID=00000117&amp;VAR:DATE=20070109&amp;action=UPDATE&amp;creator=factset&amp;DOC_NAME=FAT:FMA_audit_SUMMARY.fat&amp;DISPLAY_STRING=Display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__FDSAUDITLINK__" localSheetId="6" hidden="1">{"fdsup://directions/FAT Viewer?action=UPDATE&amp;creator=factset&amp;DYN_ARGS=TRUE&amp;DOC_NAME=FAT:FQL_AUDITING_CLIENT_TEMPLATE.FAT&amp;display_string=Audit&amp;VAR:KEY=KHOXAJADGZ&amp;VAR:QUERY=QVZHKENTRl9ORVRfSU5DKEFOTiwwRlksLTZGWSxZKSkvKEFWRyhDU0ZfQVNTRVRTKEFOTiwwRlksLTZGWSxGW","SkpLUFWRyhDU0ZfSU5UQU5HKEFOTiwwLC02RlksRlkpKSk=&amp;WINDOW=FIRST_POPUP&amp;HEIGHT=450&amp;WIDTH=450&amp;START_MAXIMIZED=FALSE&amp;VAR:CALENDAR=US&amp;VAR:SYMBOL=FRO"}</definedName>
    <definedName name="_114__FDSAUDITLINK__" hidden="1">{"fdsup://directions/FAT Viewer?action=UPDATE&amp;creator=factset&amp;DYN_ARGS=TRUE&amp;DOC_NAME=FAT:FQL_AUDITING_CLIENT_TEMPLATE.FAT&amp;display_string=Audit&amp;VAR:KEY=KHOXAJADGZ&amp;VAR:QUERY=QVZHKENTRl9ORVRfSU5DKEFOTiwwRlksLTZGWSxZKSkvKEFWRyhDU0ZfQVNTRVRTKEFOTiwwRlksLTZGWSxGW","SkpLUFWRyhDU0ZfSU5UQU5HKEFOTiwwLC02RlksRlkpKSk=&amp;WINDOW=FIRST_POPUP&amp;HEIGHT=450&amp;WIDTH=450&amp;START_MAXIMIZED=FALSE&amp;VAR:CALENDAR=US&amp;VAR:SYMBOL=FRO"}</definedName>
    <definedName name="_1140__FDSAUDITLINK__" localSheetId="6" hidden="1">{"fdsup://directions/FAT%20Viewer?VAR:PED=LTM&amp;VAR:AUDIT_MODE=SUMMARY&amp;VAR:PERIOD=FIXED&amp;VAR:AUDIT_ID=00000117&amp;VAR:DATE=20070108&amp;action=UPDATE&amp;creator=factset&amp;DOC_NAME=FAT:FMA_audit_SUMMARY.fat&amp;DISPLAY_STRING=Display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0__FDSAUDITLINK__" hidden="1">{"fdsup://directions/FAT%20Viewer?VAR:PED=LTM&amp;VAR:AUDIT_MODE=SUMMARY&amp;VAR:PERIOD=FIXED&amp;VAR:AUDIT_ID=00000117&amp;VAR:DATE=20070108&amp;action=UPDATE&amp;creator=factset&amp;DOC_NAME=FAT:FMA_audit_SUMMARY.fat&amp;DISPLAY_STRING=Display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1__FDSAUDITLINK__" localSheetId="6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1__FDSAUDITLINK__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2__FDSAUDITLINK__" localSheetId="6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2__FDSAUDITLINK__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3__FDSAUDITLINK__" localSheetId="6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3__FDSAUDITLINK__" hidden="1">{"fdsup://directions/FAT%20Viewer?VAR:PED=LTM&amp;VAR:AUDIT_MODE=SUMMARY&amp;VAR:PERIOD=FIXED&amp;VAR:AUDIT_ID=00000117&amp;VAR:DATE=20070105&amp;action=UPDATE&amp;creator=factset&amp;DOC_NAME=FAT:FMA_audit_SUMMARY.fat&amp;DISPLAY_STRING=Display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4__FDSAUDITLINK__" localSheetId="6" hidden="1">{"fdsup://directions/FAT%20Viewer?VAR:PED=LTM&amp;VAR:AUDIT_MODE=SUMMARY&amp;VAR:PERIOD=FIXED&amp;VAR:AUDIT_ID=00000117&amp;VAR:DATE=20070104&amp;action=UPDATE&amp;creator=factset&amp;DOC_NAME=FAT:FMA_audit_SUMMARY.fat&amp;DISPLAY_STRING=Display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4__FDSAUDITLINK__" hidden="1">{"fdsup://directions/FAT%20Viewer?VAR:PED=LTM&amp;VAR:AUDIT_MODE=SUMMARY&amp;VAR:PERIOD=FIXED&amp;VAR:AUDIT_ID=00000117&amp;VAR:DATE=20070104&amp;action=UPDATE&amp;creator=factset&amp;DOC_NAME=FAT:FMA_audit_SUMMARY.fat&amp;DISPLAY_STRING=Display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5__FDSAUDITLINK__" localSheetId="6" hidden="1">{"fdsup://directions/FAT%20Viewer?VAR:PED=LTM&amp;VAR:AUDIT_MODE=SUMMARY&amp;VAR:PERIOD=FIXED&amp;VAR:AUDIT_ID=00000117&amp;VAR:DATE=20070103&amp;action=UPDATE&amp;creator=factset&amp;DOC_NAME=FAT:FMA_audit_SUMMARY.fat&amp;DISPLAY_STRING=Display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5__FDSAUDITLINK__" hidden="1">{"fdsup://directions/FAT%20Viewer?VAR:PED=LTM&amp;VAR:AUDIT_MODE=SUMMARY&amp;VAR:PERIOD=FIXED&amp;VAR:AUDIT_ID=00000117&amp;VAR:DATE=20070103&amp;action=UPDATE&amp;creator=factset&amp;DOC_NAME=FAT:FMA_audit_SUMMARY.fat&amp;DISPLAY_STRING=Display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EBITDA&amp;VAR:CHGPERIOD=NA&amp;VAR:FQLFORMULA=FMA_EVAL_EBITDA&amp;VAR:CURRENCY=NA&amp;VAR:P=NA&amp;VAR:V=11.4","07192&amp;VAR:null=.html"}</definedName>
    <definedName name="_1146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6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7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7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8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8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9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49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__FDSAUDITLINK__" localSheetId="6" hidden="1">{"fdsup://directions/FAT Viewer?action=UPDATE&amp;creator=factset&amp;DYN_ARGS=TRUE&amp;DOC_NAME=FAT:FQL_AUDITING_CLIENT_TEMPLATE.FAT&amp;display_string=Audit&amp;VAR:KEY=KBWPWHIVUL&amp;VAR:QUERY=QVZHKENTRl9ORVRfSU5DKEFOTiwwRlksLTZGWSxZKSkvKEFWRyhDU0ZfQVNTRVRTKEFOTiwwRlksLTZGWSxGW","SkpLUFWRyhDU0ZfSU5UQU5HKEFOTiwwLC02RlksRlkpKSk=&amp;WINDOW=FIRST_POPUP&amp;HEIGHT=450&amp;WIDTH=450&amp;START_MAXIMIZED=FALSE&amp;VAR:CALENDAR=US&amp;VAR:SYMBOL=OSG"}</definedName>
    <definedName name="_115__FDSAUDITLINK__" hidden="1">{"fdsup://directions/FAT Viewer?action=UPDATE&amp;creator=factset&amp;DYN_ARGS=TRUE&amp;DOC_NAME=FAT:FQL_AUDITING_CLIENT_TEMPLATE.FAT&amp;display_string=Audit&amp;VAR:KEY=KBWPWHIVUL&amp;VAR:QUERY=QVZHKENTRl9ORVRfSU5DKEFOTiwwRlksLTZGWSxZKSkvKEFWRyhDU0ZfQVNTRVRTKEFOTiwwRlksLTZGWSxGW","SkpLUFWRyhDU0ZfSU5UQU5HKEFOTiwwLC02RlksRlkpKSk=&amp;WINDOW=FIRST_POPUP&amp;HEIGHT=450&amp;WIDTH=450&amp;START_MAXIMIZED=FALSE&amp;VAR:CALENDAR=US&amp;VAR:SYMBOL=OSG"}</definedName>
    <definedName name="_1150__FDSAUDITLINK__" localSheetId="6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0__FDSAUDITLINK__" hidden="1">{"fdsup://directions/FAT%20Viewer?VAR:PED=LTM&amp;VAR:AUDIT_MODE=SUMMARY&amp;VAR:PERIOD=FIXED&amp;VAR:AUDIT_ID=00000117&amp;VAR:DATE=20061229&amp;action=UPDATE&amp;creator=factset&amp;DOC_NAME=FAT:FMA_audit_SUMMARY.fat&amp;DISPLAY_STRING=Display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1__FDSAUDITLINK__" localSheetId="6" hidden="1">{"fdsup://directions/FAT%20Viewer?VAR:PED=LTM&amp;VAR:AUDIT_MODE=SUMMARY&amp;VAR:PERIOD=FIXED&amp;VAR:AUDIT_ID=00000117&amp;VAR:DATE=20061228&amp;action=UPDATE&amp;creator=factset&amp;DOC_NAME=FAT:FMA_audit_SUMMARY.fat&amp;DISPLAY_STRING=Display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1__FDSAUDITLINK__" hidden="1">{"fdsup://directions/FAT%20Viewer?VAR:PED=LTM&amp;VAR:AUDIT_MODE=SUMMARY&amp;VAR:PERIOD=FIXED&amp;VAR:AUDIT_ID=00000117&amp;VAR:DATE=20061228&amp;action=UPDATE&amp;creator=factset&amp;DOC_NAME=FAT:FMA_audit_SUMMARY.fat&amp;DISPLAY_STRING=Display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2__FDSAUDITLINK__" localSheetId="6" hidden="1">{"fdsup://directions/FAT%20Viewer?VAR:PED=LTM&amp;VAR:AUDIT_MODE=SUMMARY&amp;VAR:PERIOD=FIXED&amp;VAR:AUDIT_ID=00000117&amp;VAR:DATE=20061227&amp;action=UPDATE&amp;creator=factset&amp;DOC_NAME=FAT:FMA_audit_SUMMARY.fat&amp;DISPLAY_STRING=Display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2__FDSAUDITLINK__" hidden="1">{"fdsup://directions/FAT%20Viewer?VAR:PED=LTM&amp;VAR:AUDIT_MODE=SUMMARY&amp;VAR:PERIOD=FIXED&amp;VAR:AUDIT_ID=00000117&amp;VAR:DATE=20061227&amp;action=UPDATE&amp;creator=factset&amp;DOC_NAME=FAT:FMA_audit_SUMMARY.fat&amp;DISPLAY_STRING=Display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3__FDSAUDITLINK__" localSheetId="6" hidden="1">{"fdsup://directions/FAT%20Viewer?VAR:PED=LTM&amp;VAR:AUDIT_MODE=SUMMARY&amp;VAR:PERIOD=FIXED&amp;VAR:AUDIT_ID=00000117&amp;VAR:DATE=20061226&amp;action=UPDATE&amp;creator=factset&amp;DOC_NAME=FAT:FMA_audit_SUMMARY.fat&amp;DISPLAY_STRING=Display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3__FDSAUDITLINK__" hidden="1">{"fdsup://directions/FAT%20Viewer?VAR:PED=LTM&amp;VAR:AUDIT_MODE=SUMMARY&amp;VAR:PERIOD=FIXED&amp;VAR:AUDIT_ID=00000117&amp;VAR:DATE=20061226&amp;action=UPDATE&amp;creator=factset&amp;DOC_NAME=FAT:FMA_audit_SUMMARY.fat&amp;DISPLAY_STRING=Display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4__FDSAUDITLINK__" localSheetId="6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4__FDSAUDITLINK__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5__FDSAUDITLINK__" localSheetId="6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5__FDSAUDITLINK__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6__FDSAUDITLINK__" localSheetId="6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6__FDSAUDITLINK__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7__FDSAUDITLINK__" localSheetId="6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7__FDSAUDITLINK__" hidden="1">{"fdsup://directions/FAT%20Viewer?VAR:PED=LTM&amp;VAR:AUDIT_MODE=SUMMARY&amp;VAR:PERIOD=FIXED&amp;VAR:AUDIT_ID=00000117&amp;VAR:DATE=20061222&amp;action=UPDATE&amp;creator=factset&amp;DOC_NAME=FAT:FMA_audit_SUMMARY.fat&amp;DISPLAY_STRING=Display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8__FDSAUDITLINK__" localSheetId="6" hidden="1">{"fdsup://directions/FAT%20Viewer?VAR:PED=LTM&amp;VAR:AUDIT_MODE=SUMMARY&amp;VAR:PERIOD=FIXED&amp;VAR:AUDIT_ID=00000117&amp;VAR:DATE=20061221&amp;action=UPDATE&amp;creator=factset&amp;DOC_NAME=FAT:FMA_audit_SUMMARY.fat&amp;DISPLAY_STRING=Display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8__FDSAUDITLINK__" hidden="1">{"fdsup://directions/FAT%20Viewer?VAR:PED=LTM&amp;VAR:AUDIT_MODE=SUMMARY&amp;VAR:PERIOD=FIXED&amp;VAR:AUDIT_ID=00000117&amp;VAR:DATE=20061221&amp;action=UPDATE&amp;creator=factset&amp;DOC_NAME=FAT:FMA_audit_SUMMARY.fat&amp;DISPLAY_STRING=Display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9__FDSAUDITLINK__" localSheetId="6" hidden="1">{"fdsup://directions/FAT%20Viewer?VAR:PED=LTM&amp;VAR:AUDIT_MODE=SUMMARY&amp;VAR:PERIOD=FIXED&amp;VAR:AUDIT_ID=00000117&amp;VAR:DATE=20061220&amp;action=UPDATE&amp;creator=factset&amp;DOC_NAME=FAT:FMA_audit_SUMMARY.fat&amp;DISPLAY_STRING=Display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59__FDSAUDITLINK__" hidden="1">{"fdsup://directions/FAT%20Viewer?VAR:PED=LTM&amp;VAR:AUDIT_MODE=SUMMARY&amp;VAR:PERIOD=FIXED&amp;VAR:AUDIT_ID=00000117&amp;VAR:DATE=20061220&amp;action=UPDATE&amp;creator=factset&amp;DOC_NAME=FAT:FMA_audit_SUMMARY.fat&amp;DISPLAY_STRING=Display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__FDSAUDITLINK__" localSheetId="6" hidden="1">{"fdsup://directions/FAT Viewer?action=UPDATE&amp;creator=factset&amp;DYN_ARGS=TRUE&amp;DOC_NAME=FAT:FQL_AUDITING_CLIENT_TEMPLATE.FAT&amp;display_string=Audit&amp;VAR:KEY=WFGTYNGXCR&amp;VAR:QUERY=QVZHKENTRl9ORVRfSU5DKEFOTiwwRlksLTZGWSxZKSkvKEFWRyhDU0ZfQVNTRVRTKEFOTiwwRlksLTZGWSxGW","SkpLUFWRyhDU0ZfSU5UQU5HKEFOTiwwLC02RlksRlkpKSk=&amp;WINDOW=FIRST_POPUP&amp;HEIGHT=450&amp;WIDTH=450&amp;START_MAXIMIZED=FALSE&amp;VAR:CALENDAR=US&amp;VAR:SYMBOL=DHT"}</definedName>
    <definedName name="_116__FDSAUDITLINK__" hidden="1">{"fdsup://directions/FAT Viewer?action=UPDATE&amp;creator=factset&amp;DYN_ARGS=TRUE&amp;DOC_NAME=FAT:FQL_AUDITING_CLIENT_TEMPLATE.FAT&amp;display_string=Audit&amp;VAR:KEY=WFGTYNGXCR&amp;VAR:QUERY=QVZHKENTRl9ORVRfSU5DKEFOTiwwRlksLTZGWSxZKSkvKEFWRyhDU0ZfQVNTRVRTKEFOTiwwRlksLTZGWSxGW","SkpLUFWRyhDU0ZfSU5UQU5HKEFOTiwwLC02RlksRlkpKSk=&amp;WINDOW=FIRST_POPUP&amp;HEIGHT=450&amp;WIDTH=450&amp;START_MAXIMIZED=FALSE&amp;VAR:CALENDAR=US&amp;VAR:SYMBOL=DHT"}</definedName>
    <definedName name="_1160__FDSAUDITLINK__" localSheetId="6" hidden="1">{"fdsup://directions/FAT%20Viewer?VAR:PED=LTM&amp;VAR:AUDIT_MODE=SUMMARY&amp;VAR:PERIOD=FIXED&amp;VAR:AUDIT_ID=00000117&amp;VAR:DATE=20061219&amp;action=UPDATE&amp;creator=factset&amp;DOC_NAME=FAT:FMA_audit_SUMMARY.fat&amp;DISPLAY_STRING=Display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0__FDSAUDITLINK__" hidden="1">{"fdsup://directions/FAT%20Viewer?VAR:PED=LTM&amp;VAR:AUDIT_MODE=SUMMARY&amp;VAR:PERIOD=FIXED&amp;VAR:AUDIT_ID=00000117&amp;VAR:DATE=20061219&amp;action=UPDATE&amp;creator=factset&amp;DOC_NAME=FAT:FMA_audit_SUMMARY.fat&amp;DISPLAY_STRING=Display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1__FDSAUDITLINK__" localSheetId="6" hidden="1">{"fdsup://directions/FAT%20Viewer?VAR:PED=LTM&amp;VAR:AUDIT_MODE=SUMMARY&amp;VAR:PERIOD=FIXED&amp;VAR:AUDIT_ID=00000117&amp;VAR:DATE=20061218&amp;action=UPDATE&amp;creator=factset&amp;DOC_NAME=FAT:FMA_audit_SUMMARY.fat&amp;DISPLAY_STRING=Display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1__FDSAUDITLINK__" hidden="1">{"fdsup://directions/FAT%20Viewer?VAR:PED=LTM&amp;VAR:AUDIT_MODE=SUMMARY&amp;VAR:PERIOD=FIXED&amp;VAR:AUDIT_ID=00000117&amp;VAR:DATE=20061218&amp;action=UPDATE&amp;creator=factset&amp;DOC_NAME=FAT:FMA_audit_SUMMARY.fat&amp;DISPLAY_STRING=Display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2__FDSAUDITLINK__" localSheetId="6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2__FDSAUDITLINK__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3__FDSAUDITLINK__" localSheetId="6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3__FDSAUDITLINK__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4__FDSAUDITLINK__" localSheetId="6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4__FDSAUDITLINK__" hidden="1">{"fdsup://directions/FAT%20Viewer?VAR:PED=LTM&amp;VAR:AUDIT_MODE=SUMMARY&amp;VAR:PERIOD=FIXED&amp;VAR:AUDIT_ID=00000117&amp;VAR:DATE=20061215&amp;action=UPDATE&amp;creator=factset&amp;DOC_NAME=FAT:FMA_audit_SUMMARY.fat&amp;DISPLAY_STRING=Display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5__FDSAUDITLINK__" localSheetId="6" hidden="1">{"fdsup://directions/FAT%20Viewer?VAR:PED=LTM&amp;VAR:AUDIT_MODE=SUMMARY&amp;VAR:PERIOD=FIXED&amp;VAR:AUDIT_ID=00000117&amp;VAR:DATE=20061214&amp;action=UPDATE&amp;creator=factset&amp;DOC_NAME=FAT:FMA_audit_SUMMARY.fat&amp;DISPLAY_STRING=Display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5__FDSAUDITLINK__" hidden="1">{"fdsup://directions/FAT%20Viewer?VAR:PED=LTM&amp;VAR:AUDIT_MODE=SUMMARY&amp;VAR:PERIOD=FIXED&amp;VAR:AUDIT_ID=00000117&amp;VAR:DATE=20061214&amp;action=UPDATE&amp;creator=factset&amp;DOC_NAME=FAT:FMA_audit_SUMMARY.fat&amp;DISPLAY_STRING=Display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6__FDSAUDITLINK__" localSheetId="6" hidden="1">{"fdsup://directions/FAT%20Viewer?VAR:PED=LTM&amp;VAR:AUDIT_MODE=SUMMARY&amp;VAR:PERIOD=FIXED&amp;VAR:AUDIT_ID=00000117&amp;VAR:DATE=20061213&amp;action=UPDATE&amp;creator=factset&amp;DOC_NAME=FAT:FMA_audit_SUMMARY.fat&amp;DISPLAY_STRING=Display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6__FDSAUDITLINK__" hidden="1">{"fdsup://directions/FAT%20Viewer?VAR:PED=LTM&amp;VAR:AUDIT_MODE=SUMMARY&amp;VAR:PERIOD=FIXED&amp;VAR:AUDIT_ID=00000117&amp;VAR:DATE=20061213&amp;action=UPDATE&amp;creator=factset&amp;DOC_NAME=FAT:FMA_audit_SUMMARY.fat&amp;DISPLAY_STRING=Display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7__FDSAUDITLINK__" localSheetId="6" hidden="1">{"fdsup://directions/FAT%20Viewer?VAR:PED=LTM&amp;VAR:AUDIT_MODE=SUMMARY&amp;VAR:PERIOD=FIXED&amp;VAR:AUDIT_ID=00000117&amp;VAR:DATE=20061212&amp;action=UPDATE&amp;creator=factset&amp;DOC_NAME=FAT:FMA_audit_SUMMARY.fat&amp;DISPLAY_STRING=Display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7__FDSAUDITLINK__" hidden="1">{"fdsup://directions/FAT%20Viewer?VAR:PED=LTM&amp;VAR:AUDIT_MODE=SUMMARY&amp;VAR:PERIOD=FIXED&amp;VAR:AUDIT_ID=00000117&amp;VAR:DATE=20061212&amp;action=UPDATE&amp;creator=factset&amp;DOC_NAME=FAT:FMA_audit_SUMMARY.fat&amp;DISPLAY_STRING=Display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8__FDSAUDITLINK__" localSheetId="6" hidden="1">{"fdsup://directions/FAT%20Viewer?VAR:PED=LTM&amp;VAR:AUDIT_MODE=SUMMARY&amp;VAR:PERIOD=FIXED&amp;VAR:AUDIT_ID=00000117&amp;VAR:DATE=20061211&amp;action=UPDATE&amp;creator=factset&amp;DOC_NAME=FAT:FMA_audit_SUMMARY.fat&amp;DISPLAY_STRING=Display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8__FDSAUDITLINK__" hidden="1">{"fdsup://directions/FAT%20Viewer?VAR:PED=LTM&amp;VAR:AUDIT_MODE=SUMMARY&amp;VAR:PERIOD=FIXED&amp;VAR:AUDIT_ID=00000117&amp;VAR:DATE=20061211&amp;action=UPDATE&amp;creator=factset&amp;DOC_NAME=FAT:FMA_audit_SUMMARY.fat&amp;DISPLAY_STRING=Display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9__FDSAUDITLINK__" localSheetId="6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69__FDSAUDITLINK__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__FDSAUDITLINK__" localSheetId="6" hidden="1">{"fdsup://directions/FAT Viewer?action=UPDATE&amp;creator=factset&amp;DYN_ARGS=TRUE&amp;DOC_NAME=FAT:FQL_AUDITING_CLIENT_TEMPLATE.FAT&amp;display_string=Audit&amp;VAR:KEY=GNMJETYXED&amp;VAR:QUERY=QVZHKENTRl9ORVRfSU5DKEFOTiwwRlksLTZGWSxZKSkvKEFWRyhDU0ZfQVNTRVRTKEFOTiwwRlksLTZGWSxGW","SkpLUFWRyhDU0ZfSU5UQU5HKEFOTiwwLC02RlksRlkpKSk=&amp;WINDOW=FIRST_POPUP&amp;HEIGHT=450&amp;WIDTH=450&amp;START_MAXIMIZED=FALSE&amp;VAR:CALENDAR=US&amp;VAR:SYMBOL=TNP"}</definedName>
    <definedName name="_117__FDSAUDITLINK__" hidden="1">{"fdsup://directions/FAT Viewer?action=UPDATE&amp;creator=factset&amp;DYN_ARGS=TRUE&amp;DOC_NAME=FAT:FQL_AUDITING_CLIENT_TEMPLATE.FAT&amp;display_string=Audit&amp;VAR:KEY=GNMJETYXED&amp;VAR:QUERY=QVZHKENTRl9ORVRfSU5DKEFOTiwwRlksLTZGWSxZKSkvKEFWRyhDU0ZfQVNTRVRTKEFOTiwwRlksLTZGWSxGW","SkpLUFWRyhDU0ZfSU5UQU5HKEFOTiwwLC02RlksRlkpKSk=&amp;WINDOW=FIRST_POPUP&amp;HEIGHT=450&amp;WIDTH=450&amp;START_MAXIMIZED=FALSE&amp;VAR:CALENDAR=US&amp;VAR:SYMBOL=TNP"}</definedName>
    <definedName name="_1170__FDSAUDITLINK__" localSheetId="6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0__FDSAUDITLINK__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1__FDSAUDITLINK__" localSheetId="6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1__FDSAUDITLINK__" hidden="1">{"fdsup://directions/FAT%20Viewer?VAR:PED=LTM&amp;VAR:AUDIT_MODE=SUMMARY&amp;VAR:PERIOD=FIXED&amp;VAR:AUDIT_ID=00000117&amp;VAR:DATE=20061208&amp;action=UPDATE&amp;creator=factset&amp;DOC_NAME=FAT:FMA_audit_SUMMARY.fat&amp;DISPLAY_STRING=Display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2__FDSAUDITLINK__" localSheetId="6" hidden="1">{"fdsup://directions/FAT%20Viewer?VAR:PED=LTM&amp;VAR:AUDIT_MODE=SUMMARY&amp;VAR:PERIOD=FIXED&amp;VAR:AUDIT_ID=00000117&amp;VAR:DATE=20061207&amp;action=UPDATE&amp;creator=factset&amp;DOC_NAME=FAT:FMA_audit_SUMMARY.fat&amp;DISPLAY_STRING=Display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2__FDSAUDITLINK__" hidden="1">{"fdsup://directions/FAT%20Viewer?VAR:PED=LTM&amp;VAR:AUDIT_MODE=SUMMARY&amp;VAR:PERIOD=FIXED&amp;VAR:AUDIT_ID=00000117&amp;VAR:DATE=20061207&amp;action=UPDATE&amp;creator=factset&amp;DOC_NAME=FAT:FMA_audit_SUMMARY.fat&amp;DISPLAY_STRING=Display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3__FDSAUDITLINK__" localSheetId="6" hidden="1">{"fdsup://directions/FAT%20Viewer?VAR:PED=LTM&amp;VAR:AUDIT_MODE=SUMMARY&amp;VAR:PERIOD=FIXED&amp;VAR:AUDIT_ID=00000117&amp;VAR:DATE=20061206&amp;action=UPDATE&amp;creator=factset&amp;DOC_NAME=FAT:FMA_audit_SUMMARY.fat&amp;DISPLAY_STRING=Display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3__FDSAUDITLINK__" hidden="1">{"fdsup://directions/FAT%20Viewer?VAR:PED=LTM&amp;VAR:AUDIT_MODE=SUMMARY&amp;VAR:PERIOD=FIXED&amp;VAR:AUDIT_ID=00000117&amp;VAR:DATE=20061206&amp;action=UPDATE&amp;creator=factset&amp;DOC_NAME=FAT:FMA_audit_SUMMARY.fat&amp;DISPLAY_STRING=Display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4__FDSAUDITLINK__" localSheetId="6" hidden="1">{"fdsup://directions/FAT%20Viewer?VAR:PED=LTM&amp;VAR:AUDIT_MODE=SUMMARY&amp;VAR:PERIOD=FIXED&amp;VAR:AUDIT_ID=00000117&amp;VAR:DATE=20061205&amp;action=UPDATE&amp;creator=factset&amp;DOC_NAME=FAT:FMA_audit_SUMMARY.fat&amp;DISPLAY_STRING=Display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4__FDSAUDITLINK__" hidden="1">{"fdsup://directions/FAT%20Viewer?VAR:PED=LTM&amp;VAR:AUDIT_MODE=SUMMARY&amp;VAR:PERIOD=FIXED&amp;VAR:AUDIT_ID=00000117&amp;VAR:DATE=20061205&amp;action=UPDATE&amp;creator=factset&amp;DOC_NAME=FAT:FMA_audit_SUMMARY.fat&amp;DISPLAY_STRING=Display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5__FDSAUDITLINK__" localSheetId="6" hidden="1">{"fdsup://directions/FAT%20Viewer?VAR:PED=LTM&amp;VAR:AUDIT_MODE=SUMMARY&amp;VAR:PERIOD=FIXED&amp;VAR:AUDIT_ID=00000117&amp;VAR:DATE=20061204&amp;action=UPDATE&amp;creator=factset&amp;DOC_NAME=FAT:FMA_audit_SUMMARY.fat&amp;DISPLAY_STRING=Display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5__FDSAUDITLINK__" hidden="1">{"fdsup://directions/FAT%20Viewer?VAR:PED=LTM&amp;VAR:AUDIT_MODE=SUMMARY&amp;VAR:PERIOD=FIXED&amp;VAR:AUDIT_ID=00000117&amp;VAR:DATE=20061204&amp;action=UPDATE&amp;creator=factset&amp;DOC_NAME=FAT:FMA_audit_SUMMARY.fat&amp;DISPLAY_STRING=Display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6__FDSAUDITLINK__" localSheetId="6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6__FDSAUDITLINK__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7__FDSAUDITLINK__" localSheetId="6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7__FDSAUDITLINK__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8__FDSAUDITLINK__" localSheetId="6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8__FDSAUDITLINK__" hidden="1">{"fdsup://directions/FAT%20Viewer?VAR:PED=LTM&amp;VAR:AUDIT_MODE=SUMMARY&amp;VAR:PERIOD=FIXED&amp;VAR:AUDIT_ID=00000117&amp;VAR:DATE=20061201&amp;action=UPDATE&amp;creator=factset&amp;DOC_NAME=FAT:FMA_audit_SUMMARY.fat&amp;DISPLAY_STRING=Display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9__FDSAUDITLINK__" localSheetId="6" hidden="1">{"fdsup://directions/FAT%20Viewer?VAR:PED=LTM&amp;VAR:AUDIT_MODE=SUMMARY&amp;VAR:PERIOD=FIXED&amp;VAR:AUDIT_ID=00000117&amp;VAR:DATE=20061130&amp;action=UPDATE&amp;creator=factset&amp;DOC_NAME=FAT:FMA_audit_SUMMARY.fat&amp;DISPLAY_STRING=Display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79__FDSAUDITLINK__" hidden="1">{"fdsup://directions/FAT%20Viewer?VAR:PED=LTM&amp;VAR:AUDIT_MODE=SUMMARY&amp;VAR:PERIOD=FIXED&amp;VAR:AUDIT_ID=00000117&amp;VAR:DATE=20061130&amp;action=UPDATE&amp;creator=factset&amp;DOC_NAME=FAT:FMA_audit_SUMMARY.fat&amp;DISPLAY_STRING=Display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EBITDA&amp;VAR:CHGPERIOD=NA&amp;VAR:FQLFORMULA=FMA_EVAL_EBITDA&amp;VAR:CURRENCY=NA&amp;VAR:P=NA&amp;VAR:V=11.3","94660&amp;VAR:null=.html"}</definedName>
    <definedName name="_118__FDSAUDITLINK__" localSheetId="6" hidden="1">{"fdsup://directions/FAT Viewer?action=UPDATE&amp;creator=factset&amp;DYN_ARGS=TRUE&amp;DOC_NAME=FAT:FQL_AUDITING_CLIENT_TEMPLATE.FAT&amp;display_string=Audit&amp;VAR:KEY=MJGLIFKDAF&amp;VAR:QUERY=QVZHKENTRl9ORVRfSU5DKEFOTiwwRlksLTZGWSxZKSkvKEFWRyhDU0ZfQVNTRVRTKEFOTiwwRlksLTZGWSxGW","SkpLUFWRyhDU0ZfSU5UQU5HKEFOTiwwLC02RlksRlkpKSk=&amp;WINDOW=FIRST_POPUP&amp;HEIGHT=450&amp;WIDTH=450&amp;START_MAXIMIZED=FALSE&amp;VAR:CALENDAR=US&amp;VAR:SYMBOL=B1XHYR"}</definedName>
    <definedName name="_118__FDSAUDITLINK__" hidden="1">{"fdsup://directions/FAT Viewer?action=UPDATE&amp;creator=factset&amp;DYN_ARGS=TRUE&amp;DOC_NAME=FAT:FQL_AUDITING_CLIENT_TEMPLATE.FAT&amp;display_string=Audit&amp;VAR:KEY=MJGLIFKDAF&amp;VAR:QUERY=QVZHKENTRl9ORVRfSU5DKEFOTiwwRlksLTZGWSxZKSkvKEFWRyhDU0ZfQVNTRVRTKEFOTiwwRlksLTZGWSxGW","SkpLUFWRyhDU0ZfSU5UQU5HKEFOTiwwLC02RlksRlkpKSk=&amp;WINDOW=FIRST_POPUP&amp;HEIGHT=450&amp;WIDTH=450&amp;START_MAXIMIZED=FALSE&amp;VAR:CALENDAR=US&amp;VAR:SYMBOL=B1XHYR"}</definedName>
    <definedName name="_1180__FDSAUDITLINK__" localSheetId="6" hidden="1">{"fdsup://directions/FAT%20Viewer?VAR:PED=LTM&amp;VAR:AUDIT_MODE=SUMMARY&amp;VAR:PERIOD=FIXED&amp;VAR:AUDIT_ID=00000117&amp;VAR:DATE=20061129&amp;action=UPDATE&amp;creator=factset&amp;DOC_NAME=FAT:FMA_audit_SUMMARY.fat&amp;DISPLAY_STRING=Display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0__FDSAUDITLINK__" hidden="1">{"fdsup://directions/FAT%20Viewer?VAR:PED=LTM&amp;VAR:AUDIT_MODE=SUMMARY&amp;VAR:PERIOD=FIXED&amp;VAR:AUDIT_ID=00000117&amp;VAR:DATE=20061129&amp;action=UPDATE&amp;creator=factset&amp;DOC_NAME=FAT:FMA_audit_SUMMARY.fat&amp;DISPLAY_STRING=Display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1__FDSAUDITLINK__" localSheetId="6" hidden="1">{"fdsup://directions/FAT%20Viewer?VAR:PED=LTM&amp;VAR:AUDIT_MODE=SUMMARY&amp;VAR:PERIOD=FIXED&amp;VAR:AUDIT_ID=00000117&amp;VAR:DATE=20061128&amp;action=UPDATE&amp;creator=factset&amp;DOC_NAME=FAT:FMA_audit_SUMMARY.fat&amp;DISPLAY_STRING=Display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1__FDSAUDITLINK__" hidden="1">{"fdsup://directions/FAT%20Viewer?VAR:PED=LTM&amp;VAR:AUDIT_MODE=SUMMARY&amp;VAR:PERIOD=FIXED&amp;VAR:AUDIT_ID=00000117&amp;VAR:DATE=20061128&amp;action=UPDATE&amp;creator=factset&amp;DOC_NAME=FAT:FMA_audit_SUMMARY.fat&amp;DISPLAY_STRING=Display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2__FDSAUDITLINK__" localSheetId="6" hidden="1">{"fdsup://directions/FAT%20Viewer?VAR:PED=LTM&amp;VAR:AUDIT_MODE=SUMMARY&amp;VAR:PERIOD=FIXED&amp;VAR:AUDIT_ID=00000117&amp;VAR:DATE=20061127&amp;action=UPDATE&amp;creator=factset&amp;DOC_NAME=FAT:FMA_audit_SUMMARY.fat&amp;DISPLAY_STRING=Display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2__FDSAUDITLINK__" hidden="1">{"fdsup://directions/FAT%20Viewer?VAR:PED=LTM&amp;VAR:AUDIT_MODE=SUMMARY&amp;VAR:PERIOD=FIXED&amp;VAR:AUDIT_ID=00000117&amp;VAR:DATE=20061127&amp;action=UPDATE&amp;creator=factset&amp;DOC_NAME=FAT:FMA_audit_SUMMARY.fat&amp;DISPLAY_STRING=Display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3__FDSAUDITLINK__" localSheetId="6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3__FDSAUDITLINK__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4__FDSAUDITLINK__" localSheetId="6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4__FDSAUDITLINK__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5__FDSAUDITLINK__" localSheetId="6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5__FDSAUDITLINK__" hidden="1">{"fdsup://directions/FAT%20Viewer?VAR:PED=LTM&amp;VAR:AUDIT_MODE=SUMMARY&amp;VAR:PERIOD=FIXED&amp;VAR:AUDIT_ID=00000117&amp;VAR:DATE=20061124&amp;action=UPDATE&amp;creator=factset&amp;DOC_NAME=FAT:FMA_audit_SUMMARY.fat&amp;DISPLAY_STRING=Display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6__FDSAUDITLINK__" localSheetId="6" hidden="1">{"fdsup://directions/FAT%20Viewer?VAR:PED=LTM&amp;VAR:AUDIT_MODE=SUMMARY&amp;VAR:PERIOD=FIXED&amp;VAR:AUDIT_ID=00000117&amp;VAR:DATE=20061122&amp;action=UPDATE&amp;creator=factset&amp;DOC_NAME=FAT:FMA_audit_SUMMARY.fat&amp;DISPLAY_STRING=Display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6__FDSAUDITLINK__" hidden="1">{"fdsup://directions/FAT%20Viewer?VAR:PED=LTM&amp;VAR:AUDIT_MODE=SUMMARY&amp;VAR:PERIOD=FIXED&amp;VAR:AUDIT_ID=00000117&amp;VAR:DATE=20061122&amp;action=UPDATE&amp;creator=factset&amp;DOC_NAME=FAT:FMA_audit_SUMMARY.fat&amp;DISPLAY_STRING=Display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7__FDSAUDITLINK__" localSheetId="6" hidden="1">{"fdsup://directions/FAT%20Viewer?VAR:PED=LTM&amp;VAR:AUDIT_MODE=SUMMARY&amp;VAR:PERIOD=FIXED&amp;VAR:AUDIT_ID=00000117&amp;VAR:DATE=20061122&amp;action=UPDATE&amp;creator=factset&amp;DOC_NAME=FAT:FMA_audit_SUMMARY.fat&amp;DISPLAY_STRING=Display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7__FDSAUDITLINK__" hidden="1">{"fdsup://directions/FAT%20Viewer?VAR:PED=LTM&amp;VAR:AUDIT_MODE=SUMMARY&amp;VAR:PERIOD=FIXED&amp;VAR:AUDIT_ID=00000117&amp;VAR:DATE=20061122&amp;action=UPDATE&amp;creator=factset&amp;DOC_NAME=FAT:FMA_audit_SUMMARY.fat&amp;DISPLAY_STRING=Display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8__FDSAUDITLINK__" localSheetId="6" hidden="1">{"fdsup://directions/FAT%20Viewer?VAR:PED=LTM&amp;VAR:AUDIT_MODE=SUMMARY&amp;VAR:PERIOD=FIXED&amp;VAR:AUDIT_ID=00000117&amp;VAR:DATE=20061121&amp;action=UPDATE&amp;creator=factset&amp;DOC_NAME=FAT:FMA_audit_SUMMARY.fat&amp;DISPLAY_STRING=Display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8__FDSAUDITLINK__" hidden="1">{"fdsup://directions/FAT%20Viewer?VAR:PED=LTM&amp;VAR:AUDIT_MODE=SUMMARY&amp;VAR:PERIOD=FIXED&amp;VAR:AUDIT_ID=00000117&amp;VAR:DATE=20061121&amp;action=UPDATE&amp;creator=factset&amp;DOC_NAME=FAT:FMA_audit_SUMMARY.fat&amp;DISPLAY_STRING=Display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9__FDSAUDITLINK__" localSheetId="6" hidden="1">{"fdsup://directions/FAT%20Viewer?VAR:PED=LTM&amp;VAR:AUDIT_MODE=SUMMARY&amp;VAR:PERIOD=FIXED&amp;VAR:AUDIT_ID=00000117&amp;VAR:DATE=20061120&amp;action=UPDATE&amp;creator=factset&amp;DOC_NAME=FAT:FMA_audit_SUMMARY.fat&amp;DISPLAY_STRING=Display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89__FDSAUDITLINK__" hidden="1">{"fdsup://directions/FAT%20Viewer?VAR:PED=LTM&amp;VAR:AUDIT_MODE=SUMMARY&amp;VAR:PERIOD=FIXED&amp;VAR:AUDIT_ID=00000117&amp;VAR:DATE=20061120&amp;action=UPDATE&amp;creator=factset&amp;DOC_NAME=FAT:FMA_audit_SUMMARY.fat&amp;DISPLAY_STRING=Display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__FDSAUDITLINK__" localSheetId="6" hidden="1">{"fdsup://directions/FAT Viewer?action=UPDATE&amp;creator=factset&amp;DYN_ARGS=TRUE&amp;DOC_NAME=FAT:FQL_AUDITING_CLIENT_TEMPLATE.FAT&amp;display_string=Audit&amp;VAR:KEY=ONEZOBMNEJ&amp;VAR:QUERY=QVZHKENTRl9ORVRfSU5DKEFOTiwwRlksLTZGWSxZKSkvKEFWRyhDU0ZfQVNTRVRTKEFOTiwwRlksLTZGWSxGW","SkpLUFWRyhDU0ZfSU5UQU5HKEFOTiwwLC02RlksRlkpKSk=&amp;WINDOW=FIRST_POPUP&amp;HEIGHT=450&amp;WIDTH=450&amp;START_MAXIMIZED=FALSE&amp;VAR:CALENDAR=US&amp;VAR:SYMBOL=G6462611"}</definedName>
    <definedName name="_119__FDSAUDITLINK__" hidden="1">{"fdsup://directions/FAT Viewer?action=UPDATE&amp;creator=factset&amp;DYN_ARGS=TRUE&amp;DOC_NAME=FAT:FQL_AUDITING_CLIENT_TEMPLATE.FAT&amp;display_string=Audit&amp;VAR:KEY=ONEZOBMNEJ&amp;VAR:QUERY=QVZHKENTRl9ORVRfSU5DKEFOTiwwRlksLTZGWSxZKSkvKEFWRyhDU0ZfQVNTRVRTKEFOTiwwRlksLTZGWSxGW","SkpLUFWRyhDU0ZfSU5UQU5HKEFOTiwwLC02RlksRlkpKSk=&amp;WINDOW=FIRST_POPUP&amp;HEIGHT=450&amp;WIDTH=450&amp;START_MAXIMIZED=FALSE&amp;VAR:CALENDAR=US&amp;VAR:SYMBOL=G6462611"}</definedName>
    <definedName name="_1190__FDSAUDITLINK__" localSheetId="6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0__FDSAUDITLINK__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1__FDSAUDITLINK__" localSheetId="6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1__FDSAUDITLINK__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2__FDSAUDITLINK__" localSheetId="6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2__FDSAUDITLINK__" hidden="1">{"fdsup://directions/FAT%20Viewer?VAR:PED=LTM&amp;VAR:AUDIT_MODE=SUMMARY&amp;VAR:PERIOD=FIXED&amp;VAR:AUDIT_ID=00000117&amp;VAR:DATE=20061117&amp;action=UPDATE&amp;creator=factset&amp;DOC_NAME=FAT:FMA_audit_SUMMARY.fat&amp;DISPLAY_STRING=Display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3__FDSAUDITLINK__" localSheetId="6" hidden="1">{"fdsup://directions/FAT%20Viewer?VAR:PED=LTM&amp;VAR:AUDIT_MODE=SUMMARY&amp;VAR:PERIOD=FIXED&amp;VAR:AUDIT_ID=00000117&amp;VAR:DATE=20061116&amp;action=UPDATE&amp;creator=factset&amp;DOC_NAME=FAT:FMA_audit_SUMMARY.fat&amp;DISPLAY_STRING=Display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3__FDSAUDITLINK__" hidden="1">{"fdsup://directions/FAT%20Viewer?VAR:PED=LTM&amp;VAR:AUDIT_MODE=SUMMARY&amp;VAR:PERIOD=FIXED&amp;VAR:AUDIT_ID=00000117&amp;VAR:DATE=20061116&amp;action=UPDATE&amp;creator=factset&amp;DOC_NAME=FAT:FMA_audit_SUMMARY.fat&amp;DISPLAY_STRING=Display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4__FDSAUDITLINK__" localSheetId="6" hidden="1">{"fdsup://directions/FAT%20Viewer?VAR:PED=LTM&amp;VAR:AUDIT_MODE=SUMMARY&amp;VAR:PERIOD=FIXED&amp;VAR:AUDIT_ID=00000117&amp;VAR:DATE=20061115&amp;action=UPDATE&amp;creator=factset&amp;DOC_NAME=FAT:FMA_audit_SUMMARY.fat&amp;DISPLAY_STRING=Display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4__FDSAUDITLINK__" hidden="1">{"fdsup://directions/FAT%20Viewer?VAR:PED=LTM&amp;VAR:AUDIT_MODE=SUMMARY&amp;VAR:PERIOD=FIXED&amp;VAR:AUDIT_ID=00000117&amp;VAR:DATE=20061115&amp;action=UPDATE&amp;creator=factset&amp;DOC_NAME=FAT:FMA_audit_SUMMARY.fat&amp;DISPLAY_STRING=Display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5__FDSAUDITLINK__" localSheetId="6" hidden="1">{"fdsup://directions/FAT%20Viewer?VAR:PED=LTM&amp;VAR:AUDIT_MODE=SUMMARY&amp;VAR:PERIOD=FIXED&amp;VAR:AUDIT_ID=00000117&amp;VAR:DATE=20061114&amp;action=UPDATE&amp;creator=factset&amp;DOC_NAME=FAT:FMA_audit_SUMMARY.fat&amp;DISPLAY_STRING=Display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5__FDSAUDITLINK__" hidden="1">{"fdsup://directions/FAT%20Viewer?VAR:PED=LTM&amp;VAR:AUDIT_MODE=SUMMARY&amp;VAR:PERIOD=FIXED&amp;VAR:AUDIT_ID=00000117&amp;VAR:DATE=20061114&amp;action=UPDATE&amp;creator=factset&amp;DOC_NAME=FAT:FMA_audit_SUMMARY.fat&amp;DISPLAY_STRING=Display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6__FDSAUDITLINK__" localSheetId="6" hidden="1">{"fdsup://directions/FAT%20Viewer?VAR:PED=LTM&amp;VAR:AUDIT_MODE=SUMMARY&amp;VAR:PERIOD=FIXED&amp;VAR:AUDIT_ID=00000117&amp;VAR:DATE=20061113&amp;action=UPDATE&amp;creator=factset&amp;DOC_NAME=FAT:FMA_audit_SUMMARY.fat&amp;DISPLAY_STRING=Display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6__FDSAUDITLINK__" hidden="1">{"fdsup://directions/FAT%20Viewer?VAR:PED=LTM&amp;VAR:AUDIT_MODE=SUMMARY&amp;VAR:PERIOD=FIXED&amp;VAR:AUDIT_ID=00000117&amp;VAR:DATE=20061113&amp;action=UPDATE&amp;creator=factset&amp;DOC_NAME=FAT:FMA_audit_SUMMARY.fat&amp;DISPLAY_STRING=Display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7__FDSAUDITLINK__" localSheetId="6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7__FDSAUDITLINK__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8__FDSAUDITLINK__" localSheetId="6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8__FDSAUDITLINK__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9__FDSAUDITLINK__" localSheetId="6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199__FDSAUDITLINK__" hidden="1">{"fdsup://directions/FAT%20Viewer?VAR:PED=LTM&amp;VAR:AUDIT_MODE=SUMMARY&amp;VAR:PERIOD=FIXED&amp;VAR:AUDIT_ID=00000117&amp;VAR:DATE=20061110&amp;action=UPDATE&amp;creator=factset&amp;DOC_NAME=FAT:FMA_audit_SUMMARY.fat&amp;DISPLAY_STRING=Display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__FDSAUDITLINK__" localSheetId="6" hidden="1">{"fdsup://directions/FAT Viewer?action=UPDATE&amp;creator=factset&amp;DYN_ARGS=TRUE&amp;DOC_NAME=FAT:FQL_AUDITING_CLIENT_TEMPLATE.FAT&amp;display_string=Audit&amp;VAR:KEY=DCXEPGJGNQ&amp;VAR:QUERY=QVZHKENTRl9ORVRfSU5DKEFOTiwwRlksLTZGWSxZKSkgLyAoQVZHKENTRl9BU1NFVFMoQU5OLDBGWSwtNkZZL","EZZKSkgLSBBVkcoQ1NGX0lOVEFORyhBTk4sMCwtNkZZLEZZKSkp&amp;WINDOW=FIRST_POPUP&amp;HEIGHT=450&amp;WIDTH=450&amp;START_MAXIMIZED=FALSE&amp;VAR:CALENDAR=US&amp;VAR:SYMBOL=NMM"}</definedName>
    <definedName name="_12__FDSAUDITLINK__" hidden="1">{"fdsup://directions/FAT Viewer?action=UPDATE&amp;creator=factset&amp;DYN_ARGS=TRUE&amp;DOC_NAME=FAT:FQL_AUDITING_CLIENT_TEMPLATE.FAT&amp;display_string=Audit&amp;VAR:KEY=DCXEPGJGNQ&amp;VAR:QUERY=QVZHKENTRl9ORVRfSU5DKEFOTiwwRlksLTZGWSxZKSkgLyAoQVZHKENTRl9BU1NFVFMoQU5OLDBGWSwtNkZZL","EZZKSkgLSBBVkcoQ1NGX0lOVEFORyhBTk4sMCwtNkZZLEZZKSkp&amp;WINDOW=FIRST_POPUP&amp;HEIGHT=450&amp;WIDTH=450&amp;START_MAXIMIZED=FALSE&amp;VAR:CALENDAR=US&amp;VAR:SYMBOL=NMM"}</definedName>
    <definedName name="_120__FDSAUDITLINK__" localSheetId="6" hidden="1">{"fdsup://directions/FAT Viewer?action=UPDATE&amp;creator=factset&amp;DYN_ARGS=TRUE&amp;DOC_NAME=FAT:FQL_AUDITING_CLIENT_TEMPLATE.FAT&amp;display_string=Audit&amp;VAR:KEY=URQXKTSLOB&amp;VAR:QUERY=QVZHKENTRl9ORVRfSU5DKEFOTiwwRlksLTZGWSxZKSkvKEFWRyhDU0ZfQVNTRVRTKEFOTiwwRlksLTZGWSxGW","SkpLUFWRyhDU0ZfSU5UQU5HKEFOTiwwLC02RlksRlkpKSk=&amp;WINDOW=FIRST_POPUP&amp;HEIGHT=450&amp;WIDTH=450&amp;START_MAXIMIZED=FALSE&amp;VAR:CALENDAR=US&amp;VAR:SYMBOL=ONAV"}</definedName>
    <definedName name="_120__FDSAUDITLINK__" hidden="1">{"fdsup://directions/FAT Viewer?action=UPDATE&amp;creator=factset&amp;DYN_ARGS=TRUE&amp;DOC_NAME=FAT:FQL_AUDITING_CLIENT_TEMPLATE.FAT&amp;display_string=Audit&amp;VAR:KEY=URQXKTSLOB&amp;VAR:QUERY=QVZHKENTRl9ORVRfSU5DKEFOTiwwRlksLTZGWSxZKSkvKEFWRyhDU0ZfQVNTRVRTKEFOTiwwRlksLTZGWSxGW","SkpLUFWRyhDU0ZfSU5UQU5HKEFOTiwwLC02RlksRlkpKSk=&amp;WINDOW=FIRST_POPUP&amp;HEIGHT=450&amp;WIDTH=450&amp;START_MAXIMIZED=FALSE&amp;VAR:CALENDAR=US&amp;VAR:SYMBOL=ONAV"}</definedName>
    <definedName name="_1200__FDSAUDITLINK__" localSheetId="6" hidden="1">{"fdsup://directions/FAT%20Viewer?VAR:PED=LTM&amp;VAR:AUDIT_MODE=SUMMARY&amp;VAR:PERIOD=FIXED&amp;VAR:AUDIT_ID=00000117&amp;VAR:DATE=20061109&amp;action=UPDATE&amp;creator=factset&amp;DOC_NAME=FAT:FMA_audit_SUMMARY.fat&amp;DISPLAY_STRING=Display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0__FDSAUDITLINK__" hidden="1">{"fdsup://directions/FAT%20Viewer?VAR:PED=LTM&amp;VAR:AUDIT_MODE=SUMMARY&amp;VAR:PERIOD=FIXED&amp;VAR:AUDIT_ID=00000117&amp;VAR:DATE=20061109&amp;action=UPDATE&amp;creator=factset&amp;DOC_NAME=FAT:FMA_audit_SUMMARY.fat&amp;DISPLAY_STRING=Display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1__FDSAUDITLINK__" localSheetId="6" hidden="1">{"fdsup://directions/FAT%20Viewer?VAR:PED=LTM&amp;VAR:AUDIT_MODE=SUMMARY&amp;VAR:PERIOD=FIXED&amp;VAR:AUDIT_ID=00000117&amp;VAR:DATE=20061108&amp;action=UPDATE&amp;creator=factset&amp;DOC_NAME=FAT:FMA_audit_SUMMARY.fat&amp;DISPLAY_STRING=Display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1__FDSAUDITLINK__" hidden="1">{"fdsup://directions/FAT%20Viewer?VAR:PED=LTM&amp;VAR:AUDIT_MODE=SUMMARY&amp;VAR:PERIOD=FIXED&amp;VAR:AUDIT_ID=00000117&amp;VAR:DATE=20061108&amp;action=UPDATE&amp;creator=factset&amp;DOC_NAME=FAT:FMA_audit_SUMMARY.fat&amp;DISPLAY_STRING=Display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2__FDSAUDITLINK__" localSheetId="6" hidden="1">{"fdsup://directions/FAT%20Viewer?VAR:PED=LTM&amp;VAR:AUDIT_MODE=SUMMARY&amp;VAR:PERIOD=FIXED&amp;VAR:AUDIT_ID=00000117&amp;VAR:DATE=20061107&amp;action=UPDATE&amp;creator=factset&amp;DOC_NAME=FAT:FMA_audit_SUMMARY.fat&amp;DISPLAY_STRING=Display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2__FDSAUDITLINK__" hidden="1">{"fdsup://directions/FAT%20Viewer?VAR:PED=LTM&amp;VAR:AUDIT_MODE=SUMMARY&amp;VAR:PERIOD=FIXED&amp;VAR:AUDIT_ID=00000117&amp;VAR:DATE=20061107&amp;action=UPDATE&amp;creator=factset&amp;DOC_NAME=FAT:FMA_audit_SUMMARY.fat&amp;DISPLAY_STRING=Display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3__FDSAUDITLINK__" localSheetId="6" hidden="1">{"fdsup://directions/FAT%20Viewer?VAR:PED=LTM&amp;VAR:AUDIT_MODE=SUMMARY&amp;VAR:PERIOD=FIXED&amp;VAR:AUDIT_ID=00000117&amp;VAR:DATE=20061106&amp;action=UPDATE&amp;creator=factset&amp;DOC_NAME=FAT:FMA_audit_SUMMARY.fat&amp;DISPLAY_STRING=Display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3__FDSAUDITLINK__" hidden="1">{"fdsup://directions/FAT%20Viewer?VAR:PED=LTM&amp;VAR:AUDIT_MODE=SUMMARY&amp;VAR:PERIOD=FIXED&amp;VAR:AUDIT_ID=00000117&amp;VAR:DATE=20061106&amp;action=UPDATE&amp;creator=factset&amp;DOC_NAME=FAT:FMA_audit_SUMMARY.fat&amp;DISPLAY_STRING=Display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4__FDSAUDITLINK__" localSheetId="6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4__FDSAUDITLINK__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5__FDSAUDITLINK__" localSheetId="6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5__FDSAUDITLINK__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6__FDSAUDITLINK__" localSheetId="6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6__FDSAUDITLINK__" hidden="1">{"fdsup://directions/FAT%20Viewer?VAR:PED=LTM&amp;VAR:AUDIT_MODE=SUMMARY&amp;VAR:PERIOD=FIXED&amp;VAR:AUDIT_ID=00000117&amp;VAR:DATE=20061103&amp;action=UPDATE&amp;creator=factset&amp;DOC_NAME=FAT:FMA_audit_SUMMARY.fat&amp;DISPLAY_STRING=Display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7__FDSAUDITLINK__" localSheetId="6" hidden="1">{"fdsup://directions/FAT%20Viewer?VAR:PED=LTM&amp;VAR:AUDIT_MODE=SUMMARY&amp;VAR:PERIOD=FIXED&amp;VAR:AUDIT_ID=00000117&amp;VAR:DATE=20061102&amp;action=UPDATE&amp;creator=factset&amp;DOC_NAME=FAT:FMA_audit_SUMMARY.fat&amp;DISPLAY_STRING=Display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7__FDSAUDITLINK__" hidden="1">{"fdsup://directions/FAT%20Viewer?VAR:PED=LTM&amp;VAR:AUDIT_MODE=SUMMARY&amp;VAR:PERIOD=FIXED&amp;VAR:AUDIT_ID=00000117&amp;VAR:DATE=20061102&amp;action=UPDATE&amp;creator=factset&amp;DOC_NAME=FAT:FMA_audit_SUMMARY.fat&amp;DISPLAY_STRING=Display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8__FDSAUDITLINK__" localSheetId="6" hidden="1">{"fdsup://directions/FAT%20Viewer?VAR:PED=LTM&amp;VAR:AUDIT_MODE=SUMMARY&amp;VAR:PERIOD=FIXED&amp;VAR:AUDIT_ID=00000117&amp;VAR:DATE=20061101&amp;action=UPDATE&amp;creator=factset&amp;DOC_NAME=FAT:FMA_audit_SUMMARY.fat&amp;DISPLAY_STRING=Display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8__FDSAUDITLINK__" hidden="1">{"fdsup://directions/FAT%20Viewer?VAR:PED=LTM&amp;VAR:AUDIT_MODE=SUMMARY&amp;VAR:PERIOD=FIXED&amp;VAR:AUDIT_ID=00000117&amp;VAR:DATE=20061101&amp;action=UPDATE&amp;creator=factset&amp;DOC_NAME=FAT:FMA_audit_SUMMARY.fat&amp;DISPLAY_STRING=Display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9__FDSAUDITLINK__" localSheetId="6" hidden="1">{"fdsup://directions/FAT%20Viewer?VAR:PED=LTM&amp;VAR:AUDIT_MODE=SUMMARY&amp;VAR:PERIOD=FIXED&amp;VAR:AUDIT_ID=00000117&amp;VAR:DATE=20061031&amp;action=UPDATE&amp;creator=factset&amp;DOC_NAME=FAT:FMA_audit_SUMMARY.fat&amp;DISPLAY_STRING=Display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09__FDSAUDITLINK__" hidden="1">{"fdsup://directions/FAT%20Viewer?VAR:PED=LTM&amp;VAR:AUDIT_MODE=SUMMARY&amp;VAR:PERIOD=FIXED&amp;VAR:AUDIT_ID=00000117&amp;VAR:DATE=20061031&amp;action=UPDATE&amp;creator=factset&amp;DOC_NAME=FAT:FMA_audit_SUMMARY.fat&amp;DISPLAY_STRING=Display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EBITDA&amp;VAR:CHGPERIOD=NA&amp;VAR:FQLFORMULA=FMA_EVAL_EBITDA&amp;VAR:CURRENCY=NA&amp;VAR:P=NA&amp;VAR:V=11.5","04328&amp;VAR:null=.html"}</definedName>
    <definedName name="_121__FDSAUDITLINK__" localSheetId="6" hidden="1">{"fdsup://directions/FAT Viewer?action=UPDATE&amp;creator=factset&amp;DYN_ARGS=TRUE&amp;DOC_NAME=FAT:FQL_AUDITING_CLIENT_TEMPLATE.FAT&amp;display_string=Audit&amp;VAR:KEY=WRYZCLGVAT&amp;VAR:QUERY=QVZHKENTRl9ORVRfSU5DKEFOTiwwRlksLTZGWSxZKSkvKEFWRyhDU0ZfQVNTRVRTKEFOTiwwRlksLTZGWSxGW","SkpLUFWRyhDU0ZfSU5UQU5HKEFOTiwwLC02RlksRlkpKSk=&amp;WINDOW=FIRST_POPUP&amp;HEIGHT=450&amp;WIDTH=450&amp;START_MAXIMIZED=FALSE&amp;VAR:CALENDAR=US&amp;VAR:SYMBOL=GMR"}</definedName>
    <definedName name="_121__FDSAUDITLINK__" hidden="1">{"fdsup://directions/FAT Viewer?action=UPDATE&amp;creator=factset&amp;DYN_ARGS=TRUE&amp;DOC_NAME=FAT:FQL_AUDITING_CLIENT_TEMPLATE.FAT&amp;display_string=Audit&amp;VAR:KEY=WRYZCLGVAT&amp;VAR:QUERY=QVZHKENTRl9ORVRfSU5DKEFOTiwwRlksLTZGWSxZKSkvKEFWRyhDU0ZfQVNTRVRTKEFOTiwwRlksLTZGWSxGW","SkpLUFWRyhDU0ZfSU5UQU5HKEFOTiwwLC02RlksRlkpKSk=&amp;WINDOW=FIRST_POPUP&amp;HEIGHT=450&amp;WIDTH=450&amp;START_MAXIMIZED=FALSE&amp;VAR:CALENDAR=US&amp;VAR:SYMBOL=GMR"}</definedName>
    <definedName name="_1210__FDSAUDITLINK__" localSheetId="6" hidden="1">{"fdsup://directions/FAT%20Viewer?VAR:PED=LTM&amp;VAR:AUDIT_MODE=SUMMARY&amp;VAR:PERIOD=FIXED&amp;VAR:AUDIT_ID=00000117&amp;VAR:DATE=20061030&amp;action=UPDATE&amp;creator=factset&amp;DOC_NAME=FAT:FMA_audit_SUMMARY.fat&amp;DISPLAY_STRING=Display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0__FDSAUDITLINK__" hidden="1">{"fdsup://directions/FAT%20Viewer?VAR:PED=LTM&amp;VAR:AUDIT_MODE=SUMMARY&amp;VAR:PERIOD=FIXED&amp;VAR:AUDIT_ID=00000117&amp;VAR:DATE=20061030&amp;action=UPDATE&amp;creator=factset&amp;DOC_NAME=FAT:FMA_audit_SUMMARY.fat&amp;DISPLAY_STRING=Display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1__FDSAUDITLINK__" localSheetId="6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1__FDSAUDITLINK__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2__FDSAUDITLINK__" localSheetId="6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2__FDSAUDITLINK__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3__FDSAUDITLINK__" localSheetId="6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3__FDSAUDITLINK__" hidden="1">{"fdsup://directions/FAT%20Viewer?VAR:PED=LTM&amp;VAR:AUDIT_MODE=SUMMARY&amp;VAR:PERIOD=FIXED&amp;VAR:AUDIT_ID=00000117&amp;VAR:DATE=20061027&amp;action=UPDATE&amp;creator=factset&amp;DOC_NAME=FAT:FMA_audit_SUMMARY.fat&amp;DISPLAY_STRING=Display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4__FDSAUDITLINK__" localSheetId="6" hidden="1">{"fdsup://directions/FAT%20Viewer?VAR:PED=LTM&amp;VAR:AUDIT_MODE=SUMMARY&amp;VAR:PERIOD=FIXED&amp;VAR:AUDIT_ID=00000117&amp;VAR:DATE=20061026&amp;action=UPDATE&amp;creator=factset&amp;DOC_NAME=FAT:FMA_audit_SUMMARY.fat&amp;DISPLAY_STRING=Display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4__FDSAUDITLINK__" hidden="1">{"fdsup://directions/FAT%20Viewer?VAR:PED=LTM&amp;VAR:AUDIT_MODE=SUMMARY&amp;VAR:PERIOD=FIXED&amp;VAR:AUDIT_ID=00000117&amp;VAR:DATE=20061026&amp;action=UPDATE&amp;creator=factset&amp;DOC_NAME=FAT:FMA_audit_SUMMARY.fat&amp;DISPLAY_STRING=Display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5__FDSAUDITLINK__" localSheetId="6" hidden="1">{"fdsup://directions/FAT%20Viewer?VAR:PED=LTM&amp;VAR:AUDIT_MODE=SUMMARY&amp;VAR:PERIOD=FIXED&amp;VAR:AUDIT_ID=00000117&amp;VAR:DATE=20061025&amp;action=UPDATE&amp;creator=factset&amp;DOC_NAME=FAT:FMA_audit_SUMMARY.fat&amp;DISPLAY_STRING=Display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5__FDSAUDITLINK__" hidden="1">{"fdsup://directions/FAT%20Viewer?VAR:PED=LTM&amp;VAR:AUDIT_MODE=SUMMARY&amp;VAR:PERIOD=FIXED&amp;VAR:AUDIT_ID=00000117&amp;VAR:DATE=20061025&amp;action=UPDATE&amp;creator=factset&amp;DOC_NAME=FAT:FMA_audit_SUMMARY.fat&amp;DISPLAY_STRING=Display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6__FDSAUDITLINK__" localSheetId="6" hidden="1">{"fdsup://directions/FAT%20Viewer?VAR:PED=LTM&amp;VAR:AUDIT_MODE=SUMMARY&amp;VAR:PERIOD=FIXED&amp;VAR:AUDIT_ID=00000117&amp;VAR:DATE=20061024&amp;action=UPDATE&amp;creator=factset&amp;DOC_NAME=FAT:FMA_audit_SUMMARY.fat&amp;DISPLAY_STRING=Display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6__FDSAUDITLINK__" hidden="1">{"fdsup://directions/FAT%20Viewer?VAR:PED=LTM&amp;VAR:AUDIT_MODE=SUMMARY&amp;VAR:PERIOD=FIXED&amp;VAR:AUDIT_ID=00000117&amp;VAR:DATE=20061024&amp;action=UPDATE&amp;creator=factset&amp;DOC_NAME=FAT:FMA_audit_SUMMARY.fat&amp;DISPLAY_STRING=Display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7__FDSAUDITLINK__" localSheetId="6" hidden="1">{"fdsup://directions/FAT%20Viewer?VAR:PED=LTM&amp;VAR:AUDIT_MODE=SUMMARY&amp;VAR:PERIOD=FIXED&amp;VAR:AUDIT_ID=00000117&amp;VAR:DATE=20061023&amp;action=UPDATE&amp;creator=factset&amp;DOC_NAME=FAT:FMA_audit_SUMMARY.fat&amp;DISPLAY_STRING=Display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7__FDSAUDITLINK__" hidden="1">{"fdsup://directions/FAT%20Viewer?VAR:PED=LTM&amp;VAR:AUDIT_MODE=SUMMARY&amp;VAR:PERIOD=FIXED&amp;VAR:AUDIT_ID=00000117&amp;VAR:DATE=20061023&amp;action=UPDATE&amp;creator=factset&amp;DOC_NAME=FAT:FMA_audit_SUMMARY.fat&amp;DISPLAY_STRING=Display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8__FDSAUDITLINK__" localSheetId="6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8__FDSAUDITLINK__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9__FDSAUDITLINK__" localSheetId="6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19__FDSAUDITLINK__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__FDSAUDITLINK__" localSheetId="6" hidden="1">{"fdsup://directions/FAT%20Viewer?VAR:PED=LTM&amp;VAR:AUDIT_MODE=SUMMARY&amp;VAR:PERIOD=FIXED&amp;VAR:AUDIT_ID=00000117&amp;VAR:DATE=20091022&amp;action=UPDATE&amp;creator=factset&amp;DOC_NAME=FAT:FMA_audit_SUMMARY.fat&amp;DISPLAY_STRING=Display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2__FDSAUDITLINK__" hidden="1">{"fdsup://directions/FAT%20Viewer?VAR:PED=LTM&amp;VAR:AUDIT_MODE=SUMMARY&amp;VAR:PERIOD=FIXED&amp;VAR:AUDIT_ID=00000117&amp;VAR:DATE=20091022&amp;action=UPDATE&amp;creator=factset&amp;DOC_NAME=FAT:FMA_audit_SUMMARY.fat&amp;DISPLAY_STRING=Display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20__FDSAUDITLINK__" localSheetId="6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0__FDSAUDITLINK__" hidden="1">{"fdsup://directions/FAT%20Viewer?VAR:PED=LTM&amp;VAR:AUDIT_MODE=SUMMARY&amp;VAR:PERIOD=FIXED&amp;VAR:AUDIT_ID=00000117&amp;VAR:DATE=20061020&amp;action=UPDATE&amp;creator=factset&amp;DOC_NAME=FAT:FMA_audit_SUMMARY.fat&amp;DISPLAY_STRING=Display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1__FDSAUDITLINK__" localSheetId="6" hidden="1">{"fdsup://directions/FAT%20Viewer?VAR:PED=LTM&amp;VAR:AUDIT_MODE=SUMMARY&amp;VAR:PERIOD=FIXED&amp;VAR:AUDIT_ID=00000117&amp;VAR:DATE=20061019&amp;action=UPDATE&amp;creator=factset&amp;DOC_NAME=FAT:FMA_audit_SUMMARY.fat&amp;DISPLAY_STRING=Display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1__FDSAUDITLINK__" hidden="1">{"fdsup://directions/FAT%20Viewer?VAR:PED=LTM&amp;VAR:AUDIT_MODE=SUMMARY&amp;VAR:PERIOD=FIXED&amp;VAR:AUDIT_ID=00000117&amp;VAR:DATE=20061019&amp;action=UPDATE&amp;creator=factset&amp;DOC_NAME=FAT:FMA_audit_SUMMARY.fat&amp;DISPLAY_STRING=Display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2__FDSAUDITLINK__" localSheetId="6" hidden="1">{"fdsup://directions/FAT%20Viewer?VAR:PED=LTM&amp;VAR:AUDIT_MODE=SUMMARY&amp;VAR:PERIOD=FIXED&amp;VAR:AUDIT_ID=00000117&amp;VAR:DATE=20061018&amp;action=UPDATE&amp;creator=factset&amp;DOC_NAME=FAT:FMA_audit_SUMMARY.fat&amp;DISPLAY_STRING=Display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2__FDSAUDITLINK__" hidden="1">{"fdsup://directions/FAT%20Viewer?VAR:PED=LTM&amp;VAR:AUDIT_MODE=SUMMARY&amp;VAR:PERIOD=FIXED&amp;VAR:AUDIT_ID=00000117&amp;VAR:DATE=20061018&amp;action=UPDATE&amp;creator=factset&amp;DOC_NAME=FAT:FMA_audit_SUMMARY.fat&amp;DISPLAY_STRING=Display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3__FDSAUDITLINK__" localSheetId="6" hidden="1">{"fdsup://directions/FAT%20Viewer?VAR:PED=LTM&amp;VAR:AUDIT_MODE=SUMMARY&amp;VAR:PERIOD=FIXED&amp;VAR:AUDIT_ID=00000117&amp;VAR:DATE=20061017&amp;action=UPDATE&amp;creator=factset&amp;DOC_NAME=FAT:FMA_audit_SUMMARY.fat&amp;DISPLAY_STRING=Display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3__FDSAUDITLINK__" hidden="1">{"fdsup://directions/FAT%20Viewer?VAR:PED=LTM&amp;VAR:AUDIT_MODE=SUMMARY&amp;VAR:PERIOD=FIXED&amp;VAR:AUDIT_ID=00000117&amp;VAR:DATE=20061017&amp;action=UPDATE&amp;creator=factset&amp;DOC_NAME=FAT:FMA_audit_SUMMARY.fat&amp;DISPLAY_STRING=Display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4__FDSAUDITLINK__" localSheetId="6" hidden="1">{"fdsup://directions/FAT%20Viewer?VAR:PED=LTM&amp;VAR:AUDIT_MODE=SUMMARY&amp;VAR:PERIOD=FIXED&amp;VAR:AUDIT_ID=00000117&amp;VAR:DATE=20061016&amp;action=UPDATE&amp;creator=factset&amp;DOC_NAME=FAT:FMA_audit_SUMMARY.fat&amp;DISPLAY_STRING=Display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4__FDSAUDITLINK__" hidden="1">{"fdsup://directions/FAT%20Viewer?VAR:PED=LTM&amp;VAR:AUDIT_MODE=SUMMARY&amp;VAR:PERIOD=FIXED&amp;VAR:AUDIT_ID=00000117&amp;VAR:DATE=20061016&amp;action=UPDATE&amp;creator=factset&amp;DOC_NAME=FAT:FMA_audit_SUMMARY.fat&amp;DISPLAY_STRING=Display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5__FDSAUDITLINK__" localSheetId="6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5__FDSAUDITLINK__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6__FDSAUDITLINK__" localSheetId="6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6__FDSAUDITLINK__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7__FDSAUDITLINK__" localSheetId="6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7__FDSAUDITLINK__" hidden="1">{"fdsup://directions/FAT%20Viewer?VAR:PED=LTM&amp;VAR:AUDIT_MODE=SUMMARY&amp;VAR:PERIOD=FIXED&amp;VAR:AUDIT_ID=00000117&amp;VAR:DATE=20061013&amp;action=UPDATE&amp;creator=factset&amp;DOC_NAME=FAT:FMA_audit_SUMMARY.fat&amp;DISPLAY_STRING=Display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8__FDSAUDITLINK__" localSheetId="6" hidden="1">{"fdsup://directions/FAT%20Viewer?VAR:PED=LTM&amp;VAR:AUDIT_MODE=SUMMARY&amp;VAR:PERIOD=FIXED&amp;VAR:AUDIT_ID=00000117&amp;VAR:DATE=20061012&amp;action=UPDATE&amp;creator=factset&amp;DOC_NAME=FAT:FMA_audit_SUMMARY.fat&amp;DISPLAY_STRING=Display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8__FDSAUDITLINK__" hidden="1">{"fdsup://directions/FAT%20Viewer?VAR:PED=LTM&amp;VAR:AUDIT_MODE=SUMMARY&amp;VAR:PERIOD=FIXED&amp;VAR:AUDIT_ID=00000117&amp;VAR:DATE=20061012&amp;action=UPDATE&amp;creator=factset&amp;DOC_NAME=FAT:FMA_audit_SUMMARY.fat&amp;DISPLAY_STRING=Display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9__FDSAUDITLINK__" localSheetId="6" hidden="1">{"fdsup://directions/FAT%20Viewer?VAR:PED=LTM&amp;VAR:AUDIT_MODE=SUMMARY&amp;VAR:PERIOD=FIXED&amp;VAR:AUDIT_ID=00000117&amp;VAR:DATE=20061011&amp;action=UPDATE&amp;creator=factset&amp;DOC_NAME=FAT:FMA_audit_SUMMARY.fat&amp;DISPLAY_STRING=Display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29__FDSAUDITLINK__" hidden="1">{"fdsup://directions/FAT%20Viewer?VAR:PED=LTM&amp;VAR:AUDIT_MODE=SUMMARY&amp;VAR:PERIOD=FIXED&amp;VAR:AUDIT_ID=00000117&amp;VAR:DATE=20061011&amp;action=UPDATE&amp;creator=factset&amp;DOC_NAME=FAT:FMA_audit_SUMMARY.fat&amp;DISPLAY_STRING=Display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__FDSAUDITLINK__" localSheetId="6" hidden="1">{"fdsup://directions/FAT%20Viewer?VAR:PED=LTM&amp;VAR:AUDIT_MODE=SUMMARY&amp;VAR:PERIOD=FIXED&amp;VAR:AUDIT_ID=00000117&amp;VAR:DATE=20091021&amp;action=UPDATE&amp;creator=factset&amp;DOC_NAME=FAT:FMA_audit_SUMMARY.fat&amp;DISPLAY_STRING=Display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3__FDSAUDITLINK__" hidden="1">{"fdsup://directions/FAT%20Viewer?VAR:PED=LTM&amp;VAR:AUDIT_MODE=SUMMARY&amp;VAR:PERIOD=FIXED&amp;VAR:AUDIT_ID=00000117&amp;VAR:DATE=20091021&amp;action=UPDATE&amp;creator=factset&amp;DOC_NAME=FAT:FMA_audit_SUMMARY.fat&amp;DISPLAY_STRING=Display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30__FDSAUDITLINK__" localSheetId="6" hidden="1">{"fdsup://directions/FAT%20Viewer?VAR:PED=LTM&amp;VAR:AUDIT_MODE=SUMMARY&amp;VAR:PERIOD=FIXED&amp;VAR:AUDIT_ID=00000117&amp;VAR:DATE=20061010&amp;action=UPDATE&amp;creator=factset&amp;DOC_NAME=FAT:FMA_audit_SUMMARY.fat&amp;DISPLAY_STRING=Display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0__FDSAUDITLINK__" hidden="1">{"fdsup://directions/FAT%20Viewer?VAR:PED=LTM&amp;VAR:AUDIT_MODE=SUMMARY&amp;VAR:PERIOD=FIXED&amp;VAR:AUDIT_ID=00000117&amp;VAR:DATE=20061010&amp;action=UPDATE&amp;creator=factset&amp;DOC_NAME=FAT:FMA_audit_SUMMARY.fat&amp;DISPLAY_STRING=Display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1__FDSAUDITLINK__" localSheetId="6" hidden="1">{"fdsup://directions/FAT%20Viewer?VAR:PED=LTM&amp;VAR:AUDIT_MODE=SUMMARY&amp;VAR:PERIOD=FIXED&amp;VAR:AUDIT_ID=00000117&amp;VAR:DATE=20061009&amp;action=UPDATE&amp;creator=factset&amp;DOC_NAME=FAT:FMA_audit_SUMMARY.fat&amp;DISPLAY_STRING=Display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1__FDSAUDITLINK__" hidden="1">{"fdsup://directions/FAT%20Viewer?VAR:PED=LTM&amp;VAR:AUDIT_MODE=SUMMARY&amp;VAR:PERIOD=FIXED&amp;VAR:AUDIT_ID=00000117&amp;VAR:DATE=20061009&amp;action=UPDATE&amp;creator=factset&amp;DOC_NAME=FAT:FMA_audit_SUMMARY.fat&amp;DISPLAY_STRING=Display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2__FDSAUDITLINK__" localSheetId="6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2__FDSAUDITLINK__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3__FDSAUDITLINK__" localSheetId="6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3__FDSAUDITLINK__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4__FDSAUDITLINK__" localSheetId="6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4__FDSAUDITLINK__" hidden="1">{"fdsup://directions/FAT%20Viewer?VAR:PED=LTM&amp;VAR:AUDIT_MODE=SUMMARY&amp;VAR:PERIOD=FIXED&amp;VAR:AUDIT_ID=00000117&amp;VAR:DATE=20061006&amp;action=UPDATE&amp;creator=factset&amp;DOC_NAME=FAT:FMA_audit_SUMMARY.fat&amp;DISPLAY_STRING=Display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5__FDSAUDITLINK__" localSheetId="6" hidden="1">{"fdsup://directions/FAT%20Viewer?VAR:PED=LTM&amp;VAR:AUDIT_MODE=SUMMARY&amp;VAR:PERIOD=FIXED&amp;VAR:AUDIT_ID=00000117&amp;VAR:DATE=20061005&amp;action=UPDATE&amp;creator=factset&amp;DOC_NAME=FAT:FMA_audit_SUMMARY.fat&amp;DISPLAY_STRING=Display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5__FDSAUDITLINK__" hidden="1">{"fdsup://directions/FAT%20Viewer?VAR:PED=LTM&amp;VAR:AUDIT_MODE=SUMMARY&amp;VAR:PERIOD=FIXED&amp;VAR:AUDIT_ID=00000117&amp;VAR:DATE=20061005&amp;action=UPDATE&amp;creator=factset&amp;DOC_NAME=FAT:FMA_audit_SUMMARY.fat&amp;DISPLAY_STRING=Display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6__FDSAUDITLINK__" localSheetId="6" hidden="1">{"fdsup://directions/FAT%20Viewer?VAR:PED=LTM&amp;VAR:AUDIT_MODE=SUMMARY&amp;VAR:PERIOD=FIXED&amp;VAR:AUDIT_ID=00000117&amp;VAR:DATE=20061004&amp;action=UPDATE&amp;creator=factset&amp;DOC_NAME=FAT:FMA_audit_SUMMARY.fat&amp;DISPLAY_STRING=Display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6__FDSAUDITLINK__" hidden="1">{"fdsup://directions/FAT%20Viewer?VAR:PED=LTM&amp;VAR:AUDIT_MODE=SUMMARY&amp;VAR:PERIOD=FIXED&amp;VAR:AUDIT_ID=00000117&amp;VAR:DATE=20061004&amp;action=UPDATE&amp;creator=factset&amp;DOC_NAME=FAT:FMA_audit_SUMMARY.fat&amp;DISPLAY_STRING=Display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7__FDSAUDITLINK__" localSheetId="6" hidden="1">{"fdsup://directions/FAT%20Viewer?VAR:PED=LTM&amp;VAR:AUDIT_MODE=SUMMARY&amp;VAR:PERIOD=FIXED&amp;VAR:AUDIT_ID=00000117&amp;VAR:DATE=20061003&amp;action=UPDATE&amp;creator=factset&amp;DOC_NAME=FAT:FMA_audit_SUMMARY.fat&amp;DISPLAY_STRING=Display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7__FDSAUDITLINK__" hidden="1">{"fdsup://directions/FAT%20Viewer?VAR:PED=LTM&amp;VAR:AUDIT_MODE=SUMMARY&amp;VAR:PERIOD=FIXED&amp;VAR:AUDIT_ID=00000117&amp;VAR:DATE=20061003&amp;action=UPDATE&amp;creator=factset&amp;DOC_NAME=FAT:FMA_audit_SUMMARY.fat&amp;DISPLAY_STRING=Display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8__FDSAUDITLINK__" localSheetId="6" hidden="1">{"fdsup://directions/FAT%20Viewer?VAR:PED=LTM&amp;VAR:AUDIT_MODE=SUMMARY&amp;VAR:PERIOD=FIXED&amp;VAR:AUDIT_ID=00000117&amp;VAR:DATE=20061002&amp;action=UPDATE&amp;creator=factset&amp;DOC_NAME=FAT:FMA_audit_SUMMARY.fat&amp;DISPLAY_STRING=Display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8__FDSAUDITLINK__" hidden="1">{"fdsup://directions/FAT%20Viewer?VAR:PED=LTM&amp;VAR:AUDIT_MODE=SUMMARY&amp;VAR:PERIOD=FIXED&amp;VAR:AUDIT_ID=00000117&amp;VAR:DATE=20061002&amp;action=UPDATE&amp;creator=factset&amp;DOC_NAME=FAT:FMA_audit_SUMMARY.fat&amp;DISPLAY_STRING=Display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EBITDA&amp;VAR:CHGPERIOD=NA&amp;VAR:FQLFORMULA=FMA_EVAL_EBITDA&amp;VAR:CURRENCY=NA&amp;VAR:P=NA&amp;VAR:V=11.1","01277&amp;VAR:null=.html"}</definedName>
    <definedName name="_1239__FDSAUDITLINK__" localSheetId="6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39__FDSAUDITLINK__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__FDSAUDITLINK__" localSheetId="6" hidden="1">{"fdsup://directions/FAT%20Viewer?VAR:PED=LTM&amp;VAR:AUDIT_MODE=SUMMARY&amp;VAR:PERIOD=FIXED&amp;VAR:AUDIT_ID=00000117&amp;VAR:DATE=20091020&amp;action=UPDATE&amp;creator=factset&amp;DOC_NAME=FAT:FMA_audit_SUMMARY.fat&amp;DISPLAY_STRING=Display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4__FDSAUDITLINK__" hidden="1">{"fdsup://directions/FAT%20Viewer?VAR:PED=LTM&amp;VAR:AUDIT_MODE=SUMMARY&amp;VAR:PERIOD=FIXED&amp;VAR:AUDIT_ID=00000117&amp;VAR:DATE=20091020&amp;action=UPDATE&amp;creator=factset&amp;DOC_NAME=FAT:FMA_audit_SUMMARY.fat&amp;DISPLAY_STRING=Display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40__FDSAUDITLINK__" localSheetId="6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0__FDSAUDITLINK__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1__FDSAUDITLINK__" localSheetId="6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1__FDSAUDITLINK__" hidden="1">{"fdsup://directions/FAT%20Viewer?VAR:PED=LTM&amp;VAR:AUDIT_MODE=SUMMARY&amp;VAR:PERIOD=FIXED&amp;VAR:AUDIT_ID=00000117&amp;VAR:DATE=20060929&amp;action=UPDATE&amp;creator=factset&amp;DOC_NAME=FAT:FMA_audit_SUMMARY.fat&amp;DISPLAY_STRING=Display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2__FDSAUDITLINK__" localSheetId="6" hidden="1">{"fdsup://directions/FAT%20Viewer?VAR:PED=LTM&amp;VAR:AUDIT_MODE=SUMMARY&amp;VAR:PERIOD=FIXED&amp;VAR:AUDIT_ID=00000117&amp;VAR:DATE=20060928&amp;action=UPDATE&amp;creator=factset&amp;DOC_NAME=FAT:FMA_audit_SUMMARY.fat&amp;DISPLAY_STRING=Display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2__FDSAUDITLINK__" hidden="1">{"fdsup://directions/FAT%20Viewer?VAR:PED=LTM&amp;VAR:AUDIT_MODE=SUMMARY&amp;VAR:PERIOD=FIXED&amp;VAR:AUDIT_ID=00000117&amp;VAR:DATE=20060928&amp;action=UPDATE&amp;creator=factset&amp;DOC_NAME=FAT:FMA_audit_SUMMARY.fat&amp;DISPLAY_STRING=Display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3__FDSAUDITLINK__" localSheetId="6" hidden="1">{"fdsup://directions/FAT%20Viewer?VAR:PED=LTM&amp;VAR:AUDIT_MODE=SUMMARY&amp;VAR:PERIOD=FIXED&amp;VAR:AUDIT_ID=00000117&amp;VAR:DATE=20060927&amp;action=UPDATE&amp;creator=factset&amp;DOC_NAME=FAT:FMA_audit_SUMMARY.fat&amp;DISPLAY_STRING=Display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3__FDSAUDITLINK__" hidden="1">{"fdsup://directions/FAT%20Viewer?VAR:PED=LTM&amp;VAR:AUDIT_MODE=SUMMARY&amp;VAR:PERIOD=FIXED&amp;VAR:AUDIT_ID=00000117&amp;VAR:DATE=20060927&amp;action=UPDATE&amp;creator=factset&amp;DOC_NAME=FAT:FMA_audit_SUMMARY.fat&amp;DISPLAY_STRING=Display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4__FDSAUDITLINK__" localSheetId="6" hidden="1">{"fdsup://directions/FAT%20Viewer?VAR:PED=LTM&amp;VAR:AUDIT_MODE=SUMMARY&amp;VAR:PERIOD=FIXED&amp;VAR:AUDIT_ID=00000117&amp;VAR:DATE=20060926&amp;action=UPDATE&amp;creator=factset&amp;DOC_NAME=FAT:FMA_audit_SUMMARY.fat&amp;DISPLAY_STRING=Display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4__FDSAUDITLINK__" hidden="1">{"fdsup://directions/FAT%20Viewer?VAR:PED=LTM&amp;VAR:AUDIT_MODE=SUMMARY&amp;VAR:PERIOD=FIXED&amp;VAR:AUDIT_ID=00000117&amp;VAR:DATE=20060926&amp;action=UPDATE&amp;creator=factset&amp;DOC_NAME=FAT:FMA_audit_SUMMARY.fat&amp;DISPLAY_STRING=Display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5__FDSAUDITLINK__" localSheetId="6" hidden="1">{"fdsup://directions/FAT%20Viewer?VAR:PED=LTM&amp;VAR:AUDIT_MODE=SUMMARY&amp;VAR:PERIOD=FIXED&amp;VAR:AUDIT_ID=00000117&amp;VAR:DATE=20060925&amp;action=UPDATE&amp;creator=factset&amp;DOC_NAME=FAT:FMA_audit_SUMMARY.fat&amp;DISPLAY_STRING=Display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5__FDSAUDITLINK__" hidden="1">{"fdsup://directions/FAT%20Viewer?VAR:PED=LTM&amp;VAR:AUDIT_MODE=SUMMARY&amp;VAR:PERIOD=FIXED&amp;VAR:AUDIT_ID=00000117&amp;VAR:DATE=20060925&amp;action=UPDATE&amp;creator=factset&amp;DOC_NAME=FAT:FMA_audit_SUMMARY.fat&amp;DISPLAY_STRING=Display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6__FDSAUDITLINK__" localSheetId="6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6__FDSAUDITLINK__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7__FDSAUDITLINK__" localSheetId="6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7__FDSAUDITLINK__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8__FDSAUDITLINK__" localSheetId="6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8__FDSAUDITLINK__" hidden="1">{"fdsup://directions/FAT%20Viewer?VAR:PED=LTM&amp;VAR:AUDIT_MODE=SUMMARY&amp;VAR:PERIOD=FIXED&amp;VAR:AUDIT_ID=00000117&amp;VAR:DATE=20060922&amp;action=UPDATE&amp;creator=factset&amp;DOC_NAME=FAT:FMA_audit_SUMMARY.fat&amp;DISPLAY_STRING=Display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9__FDSAUDITLINK__" localSheetId="6" hidden="1">{"fdsup://directions/FAT%20Viewer?VAR:PED=LTM&amp;VAR:AUDIT_MODE=SUMMARY&amp;VAR:PERIOD=FIXED&amp;VAR:AUDIT_ID=00000117&amp;VAR:DATE=20060921&amp;action=UPDATE&amp;creator=factset&amp;DOC_NAME=FAT:FMA_audit_SUMMARY.fat&amp;DISPLAY_STRING=Display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49__FDSAUDITLINK__" hidden="1">{"fdsup://directions/FAT%20Viewer?VAR:PED=LTM&amp;VAR:AUDIT_MODE=SUMMARY&amp;VAR:PERIOD=FIXED&amp;VAR:AUDIT_ID=00000117&amp;VAR:DATE=20060921&amp;action=UPDATE&amp;creator=factset&amp;DOC_NAME=FAT:FMA_audit_SUMMARY.fat&amp;DISPLAY_STRING=Display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__FDSAUDITLINK__" localSheetId="6" hidden="1">{"fdsup://directions/FAT%20Viewer?VAR:PED=LTM&amp;VAR:AUDIT_MODE=SUMMARY&amp;VAR:PERIOD=FIXED&amp;VAR:AUDIT_ID=00000117&amp;VAR:DATE=20091019&amp;action=UPDATE&amp;creator=factset&amp;DOC_NAME=FAT:FMA_audit_SUMMARY.fat&amp;DISPLAY_STRING=Display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5__FDSAUDITLINK__" hidden="1">{"fdsup://directions/FAT%20Viewer?VAR:PED=LTM&amp;VAR:AUDIT_MODE=SUMMARY&amp;VAR:PERIOD=FIXED&amp;VAR:AUDIT_ID=00000117&amp;VAR:DATE=20091019&amp;action=UPDATE&amp;creator=factset&amp;DOC_NAME=FAT:FMA_audit_SUMMARY.fat&amp;DISPLAY_STRING=Display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50__FDSAUDITLINK__" localSheetId="6" hidden="1">{"fdsup://directions/FAT%20Viewer?VAR:PED=LTM&amp;VAR:AUDIT_MODE=SUMMARY&amp;VAR:PERIOD=FIXED&amp;VAR:AUDIT_ID=00000117&amp;VAR:DATE=20060920&amp;action=UPDATE&amp;creator=factset&amp;DOC_NAME=FAT:FMA_audit_SUMMARY.fat&amp;DISPLAY_STRING=Display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0__FDSAUDITLINK__" hidden="1">{"fdsup://directions/FAT%20Viewer?VAR:PED=LTM&amp;VAR:AUDIT_MODE=SUMMARY&amp;VAR:PERIOD=FIXED&amp;VAR:AUDIT_ID=00000117&amp;VAR:DATE=20060920&amp;action=UPDATE&amp;creator=factset&amp;DOC_NAME=FAT:FMA_audit_SUMMARY.fat&amp;DISPLAY_STRING=Display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1__FDSAUDITLINK__" localSheetId="6" hidden="1">{"fdsup://directions/FAT%20Viewer?VAR:PED=LTM&amp;VAR:AUDIT_MODE=SUMMARY&amp;VAR:PERIOD=FIXED&amp;VAR:AUDIT_ID=00000117&amp;VAR:DATE=20060919&amp;action=UPDATE&amp;creator=factset&amp;DOC_NAME=FAT:FMA_audit_SUMMARY.fat&amp;DISPLAY_STRING=Display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1__FDSAUDITLINK__" hidden="1">{"fdsup://directions/FAT%20Viewer?VAR:PED=LTM&amp;VAR:AUDIT_MODE=SUMMARY&amp;VAR:PERIOD=FIXED&amp;VAR:AUDIT_ID=00000117&amp;VAR:DATE=20060919&amp;action=UPDATE&amp;creator=factset&amp;DOC_NAME=FAT:FMA_audit_SUMMARY.fat&amp;DISPLAY_STRING=Display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2__FDSAUDITLINK__" localSheetId="6" hidden="1">{"fdsup://directions/FAT%20Viewer?VAR:PED=LTM&amp;VAR:AUDIT_MODE=SUMMARY&amp;VAR:PERIOD=FIXED&amp;VAR:AUDIT_ID=00000117&amp;VAR:DATE=20060918&amp;action=UPDATE&amp;creator=factset&amp;DOC_NAME=FAT:FMA_audit_SUMMARY.fat&amp;DISPLAY_STRING=Display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2__FDSAUDITLINK__" hidden="1">{"fdsup://directions/FAT%20Viewer?VAR:PED=LTM&amp;VAR:AUDIT_MODE=SUMMARY&amp;VAR:PERIOD=FIXED&amp;VAR:AUDIT_ID=00000117&amp;VAR:DATE=20060918&amp;action=UPDATE&amp;creator=factset&amp;DOC_NAME=FAT:FMA_audit_SUMMARY.fat&amp;DISPLAY_STRING=Display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3__FDSAUDITLINK__" localSheetId="6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3__FDSAUDITLINK__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4__FDSAUDITLINK__" localSheetId="6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4__FDSAUDITLINK__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5__FDSAUDITLINK__" localSheetId="6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5__FDSAUDITLINK__" hidden="1">{"fdsup://directions/FAT%20Viewer?VAR:PED=LTM&amp;VAR:AUDIT_MODE=SUMMARY&amp;VAR:PERIOD=FIXED&amp;VAR:AUDIT_ID=00000117&amp;VAR:DATE=20060915&amp;action=UPDATE&amp;creator=factset&amp;DOC_NAME=FAT:FMA_audit_SUMMARY.fat&amp;DISPLAY_STRING=Display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6__FDSAUDITLINK__" localSheetId="6" hidden="1">{"fdsup://directions/FAT%20Viewer?VAR:PED=LTM&amp;VAR:AUDIT_MODE=SUMMARY&amp;VAR:PERIOD=FIXED&amp;VAR:AUDIT_ID=00000117&amp;VAR:DATE=20060914&amp;action=UPDATE&amp;creator=factset&amp;DOC_NAME=FAT:FMA_audit_SUMMARY.fat&amp;DISPLAY_STRING=Display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6__FDSAUDITLINK__" hidden="1">{"fdsup://directions/FAT%20Viewer?VAR:PED=LTM&amp;VAR:AUDIT_MODE=SUMMARY&amp;VAR:PERIOD=FIXED&amp;VAR:AUDIT_ID=00000117&amp;VAR:DATE=20060914&amp;action=UPDATE&amp;creator=factset&amp;DOC_NAME=FAT:FMA_audit_SUMMARY.fat&amp;DISPLAY_STRING=Display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7__FDSAUDITLINK__" localSheetId="6" hidden="1">{"fdsup://directions/FAT%20Viewer?VAR:PED=LTM&amp;VAR:AUDIT_MODE=SUMMARY&amp;VAR:PERIOD=FIXED&amp;VAR:AUDIT_ID=00000117&amp;VAR:DATE=20060913&amp;action=UPDATE&amp;creator=factset&amp;DOC_NAME=FAT:FMA_audit_SUMMARY.fat&amp;DISPLAY_STRING=Display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7__FDSAUDITLINK__" hidden="1">{"fdsup://directions/FAT%20Viewer?VAR:PED=LTM&amp;VAR:AUDIT_MODE=SUMMARY&amp;VAR:PERIOD=FIXED&amp;VAR:AUDIT_ID=00000117&amp;VAR:DATE=20060913&amp;action=UPDATE&amp;creator=factset&amp;DOC_NAME=FAT:FMA_audit_SUMMARY.fat&amp;DISPLAY_STRING=Display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8__FDSAUDITLINK__" localSheetId="6" hidden="1">{"fdsup://directions/FAT%20Viewer?VAR:PED=LTM&amp;VAR:AUDIT_MODE=SUMMARY&amp;VAR:PERIOD=FIXED&amp;VAR:AUDIT_ID=00000117&amp;VAR:DATE=20060912&amp;action=UPDATE&amp;creator=factset&amp;DOC_NAME=FAT:FMA_audit_SUMMARY.fat&amp;DISPLAY_STRING=Display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8__FDSAUDITLINK__" hidden="1">{"fdsup://directions/FAT%20Viewer?VAR:PED=LTM&amp;VAR:AUDIT_MODE=SUMMARY&amp;VAR:PERIOD=FIXED&amp;VAR:AUDIT_ID=00000117&amp;VAR:DATE=20060912&amp;action=UPDATE&amp;creator=factset&amp;DOC_NAME=FAT:FMA_audit_SUMMARY.fat&amp;DISPLAY_STRING=Display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9__FDSAUDITLINK__" localSheetId="6" hidden="1">{"fdsup://directions/FAT%20Viewer?VAR:PED=LTM&amp;VAR:AUDIT_MODE=SUMMARY&amp;VAR:PERIOD=FIXED&amp;VAR:AUDIT_ID=00000117&amp;VAR:DATE=20060911&amp;action=UPDATE&amp;creator=factset&amp;DOC_NAME=FAT:FMA_audit_SUMMARY.fat&amp;DISPLAY_STRING=Display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59__FDSAUDITLINK__" hidden="1">{"fdsup://directions/FAT%20Viewer?VAR:PED=LTM&amp;VAR:AUDIT_MODE=SUMMARY&amp;VAR:PERIOD=FIXED&amp;VAR:AUDIT_ID=00000117&amp;VAR:DATE=20060911&amp;action=UPDATE&amp;creator=factset&amp;DOC_NAME=FAT:FMA_audit_SUMMARY.fat&amp;DISPLAY_STRING=Display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__FDSAUDITLINK__" localSheetId="6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6__FDSAUDITLINK__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60__FDSAUDITLINK__" localSheetId="6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0__FDSAUDITLINK__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1__FDSAUDITLINK__" localSheetId="6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1__FDSAUDITLINK__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2__FDSAUDITLINK__" localSheetId="6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2__FDSAUDITLINK__" hidden="1">{"fdsup://directions/FAT%20Viewer?VAR:PED=LTM&amp;VAR:AUDIT_MODE=SUMMARY&amp;VAR:PERIOD=FIXED&amp;VAR:AUDIT_ID=00000117&amp;VAR:DATE=20060908&amp;action=UPDATE&amp;creator=factset&amp;DOC_NAME=FAT:FMA_audit_SUMMARY.fat&amp;DISPLAY_STRING=Display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3__FDSAUDITLINK__" localSheetId="6" hidden="1">{"fdsup://directions/FAT%20Viewer?VAR:PED=LTM&amp;VAR:AUDIT_MODE=SUMMARY&amp;VAR:PERIOD=FIXED&amp;VAR:AUDIT_ID=00000117&amp;VAR:DATE=20060907&amp;action=UPDATE&amp;creator=factset&amp;DOC_NAME=FAT:FMA_audit_SUMMARY.fat&amp;DISPLAY_STRING=Display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3__FDSAUDITLINK__" hidden="1">{"fdsup://directions/FAT%20Viewer?VAR:PED=LTM&amp;VAR:AUDIT_MODE=SUMMARY&amp;VAR:PERIOD=FIXED&amp;VAR:AUDIT_ID=00000117&amp;VAR:DATE=20060907&amp;action=UPDATE&amp;creator=factset&amp;DOC_NAME=FAT:FMA_audit_SUMMARY.fat&amp;DISPLAY_STRING=Display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4__FDSAUDITLINK__" localSheetId="6" hidden="1">{"fdsup://directions/FAT%20Viewer?VAR:PED=LTM&amp;VAR:AUDIT_MODE=SUMMARY&amp;VAR:PERIOD=FIXED&amp;VAR:AUDIT_ID=00000117&amp;VAR:DATE=20060906&amp;action=UPDATE&amp;creator=factset&amp;DOC_NAME=FAT:FMA_audit_SUMMARY.fat&amp;DISPLAY_STRING=Display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4__FDSAUDITLINK__" hidden="1">{"fdsup://directions/FAT%20Viewer?VAR:PED=LTM&amp;VAR:AUDIT_MODE=SUMMARY&amp;VAR:PERIOD=FIXED&amp;VAR:AUDIT_ID=00000117&amp;VAR:DATE=20060906&amp;action=UPDATE&amp;creator=factset&amp;DOC_NAME=FAT:FMA_audit_SUMMARY.fat&amp;DISPLAY_STRING=Display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5__FDSAUDITLINK__" localSheetId="6" hidden="1">{"fdsup://directions/FAT%20Viewer?VAR:PED=LTM&amp;VAR:AUDIT_MODE=SUMMARY&amp;VAR:PERIOD=FIXED&amp;VAR:AUDIT_ID=00000117&amp;VAR:DATE=20060905&amp;action=UPDATE&amp;creator=factset&amp;DOC_NAME=FAT:FMA_audit_SUMMARY.fat&amp;DISPLAY_STRING=Display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5__FDSAUDITLINK__" hidden="1">{"fdsup://directions/FAT%20Viewer?VAR:PED=LTM&amp;VAR:AUDIT_MODE=SUMMARY&amp;VAR:PERIOD=FIXED&amp;VAR:AUDIT_ID=00000117&amp;VAR:DATE=20060905&amp;action=UPDATE&amp;creator=factset&amp;DOC_NAME=FAT:FMA_audit_SUMMARY.fat&amp;DISPLAY_STRING=Display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6__FDSAUDITLINK__" localSheetId="6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6__FDSAUDITLINK__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7__FDSAUDITLINK__" localSheetId="6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7__FDSAUDITLINK__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8__FDSAUDITLINK__" localSheetId="6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8__FDSAUDITLINK__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9__FDSAUDITLINK__" localSheetId="6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69__FDSAUDITLINK__" hidden="1">{"fdsup://directions/FAT%20Viewer?VAR:PED=LTM&amp;VAR:AUDIT_MODE=SUMMARY&amp;VAR:PERIOD=FIXED&amp;VAR:AUDIT_ID=00000117&amp;VAR:DATE=20060901&amp;action=UPDATE&amp;creator=factset&amp;DOC_NAME=FAT:FMA_audit_SUMMARY.fat&amp;DISPLAY_STRING=Display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7__FDSAUDITLINK__" localSheetId="6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7__FDSAUDITLINK__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70__FDSAUDITLINK__" localSheetId="6" hidden="1">{"fdsup://directions/FAT%20Viewer?VAR:PED=LTM&amp;VAR:AUDIT_MODE=SUMMARY&amp;VAR:PERIOD=FIXED&amp;VAR:AUDIT_ID=00000117&amp;VAR:DATE=20060831&amp;action=UPDATE&amp;creator=factset&amp;DOC_NAME=FAT:FMA_audit_SUMMARY.fat&amp;DISPLAY_STRING=Display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70__FDSAUDITLINK__" hidden="1">{"fdsup://directions/FAT%20Viewer?VAR:PED=LTM&amp;VAR:AUDIT_MODE=SUMMARY&amp;VAR:PERIOD=FIXED&amp;VAR:AUDIT_ID=00000117&amp;VAR:DATE=20060831&amp;action=UPDATE&amp;creator=factset&amp;DOC_NAME=FAT:FMA_audit_SUMMARY.fat&amp;DISPLAY_STRING=Display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EBITDA&amp;VAR:CHGPERIOD=NA&amp;VAR:FQLFORMULA=FMA_EVAL_EBITDA&amp;VAR:CURRENCY=NA&amp;VAR:P=NA&amp;VAR:V=10.9","30981&amp;VAR:null=.html"}</definedName>
    <definedName name="_1271__FDSAUDITLINK__" localSheetId="6" hidden="1">{"fdsup://directions/FAT%20Viewer?VAR:PED=LTM&amp;VAR:AUDIT_MODE=SUMMARY&amp;VAR:PERIOD=FIXED&amp;VAR:AUDIT_ID=00000117&amp;VAR:DATE=20060830&amp;action=UPDATE&amp;creator=factset&amp;DOC_NAME=FAT:FMA_audit_SUMMARY.fat&amp;DISPLAY_STRING=Display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1__FDSAUDITLINK__" hidden="1">{"fdsup://directions/FAT%20Viewer?VAR:PED=LTM&amp;VAR:AUDIT_MODE=SUMMARY&amp;VAR:PERIOD=FIXED&amp;VAR:AUDIT_ID=00000117&amp;VAR:DATE=20060830&amp;action=UPDATE&amp;creator=factset&amp;DOC_NAME=FAT:FMA_audit_SUMMARY.fat&amp;DISPLAY_STRING=Display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2__FDSAUDITLINK__" localSheetId="6" hidden="1">{"fdsup://directions/FAT%20Viewer?VAR:PED=LTM&amp;VAR:AUDIT_MODE=SUMMARY&amp;VAR:PERIOD=FIXED&amp;VAR:AUDIT_ID=00000117&amp;VAR:DATE=20060829&amp;action=UPDATE&amp;creator=factset&amp;DOC_NAME=FAT:FMA_audit_SUMMARY.fat&amp;DISPLAY_STRING=Display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2__FDSAUDITLINK__" hidden="1">{"fdsup://directions/FAT%20Viewer?VAR:PED=LTM&amp;VAR:AUDIT_MODE=SUMMARY&amp;VAR:PERIOD=FIXED&amp;VAR:AUDIT_ID=00000117&amp;VAR:DATE=20060829&amp;action=UPDATE&amp;creator=factset&amp;DOC_NAME=FAT:FMA_audit_SUMMARY.fat&amp;DISPLAY_STRING=Display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3__FDSAUDITLINK__" localSheetId="6" hidden="1">{"fdsup://directions/FAT%20Viewer?VAR:PED=LTM&amp;VAR:AUDIT_MODE=SUMMARY&amp;VAR:PERIOD=FIXED&amp;VAR:AUDIT_ID=00000117&amp;VAR:DATE=20060828&amp;action=UPDATE&amp;creator=factset&amp;DOC_NAME=FAT:FMA_audit_SUMMARY.fat&amp;DISPLAY_STRING=Display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3__FDSAUDITLINK__" hidden="1">{"fdsup://directions/FAT%20Viewer?VAR:PED=LTM&amp;VAR:AUDIT_MODE=SUMMARY&amp;VAR:PERIOD=FIXED&amp;VAR:AUDIT_ID=00000117&amp;VAR:DATE=20060828&amp;action=UPDATE&amp;creator=factset&amp;DOC_NAME=FAT:FMA_audit_SUMMARY.fat&amp;DISPLAY_STRING=Display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4__FDSAUDITLINK__" localSheetId="6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4__FDSAUDITLINK__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5__FDSAUDITLINK__" localSheetId="6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5__FDSAUDITLINK__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6__FDSAUDITLINK__" localSheetId="6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6__FDSAUDITLINK__" hidden="1">{"fdsup://directions/FAT%20Viewer?VAR:PED=LTM&amp;VAR:AUDIT_MODE=SUMMARY&amp;VAR:PERIOD=FIXED&amp;VAR:AUDIT_ID=00000117&amp;VAR:DATE=20060825&amp;action=UPDATE&amp;creator=factset&amp;DOC_NAME=FAT:FMA_audit_SUMMARY.fat&amp;DISPLAY_STRING=Display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7__FDSAUDITLINK__" localSheetId="6" hidden="1">{"fdsup://directions/FAT%20Viewer?VAR:PED=LTM&amp;VAR:AUDIT_MODE=SUMMARY&amp;VAR:PERIOD=FIXED&amp;VAR:AUDIT_ID=00000117&amp;VAR:DATE=20060824&amp;action=UPDATE&amp;creator=factset&amp;DOC_NAME=FAT:FMA_audit_SUMMARY.fat&amp;DISPLAY_STRING=Display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7__FDSAUDITLINK__" hidden="1">{"fdsup://directions/FAT%20Viewer?VAR:PED=LTM&amp;VAR:AUDIT_MODE=SUMMARY&amp;VAR:PERIOD=FIXED&amp;VAR:AUDIT_ID=00000117&amp;VAR:DATE=20060824&amp;action=UPDATE&amp;creator=factset&amp;DOC_NAME=FAT:FMA_audit_SUMMARY.fat&amp;DISPLAY_STRING=Display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8__FDSAUDITLINK__" localSheetId="6" hidden="1">{"fdsup://directions/FAT%20Viewer?VAR:PED=LTM&amp;VAR:AUDIT_MODE=SUMMARY&amp;VAR:PERIOD=FIXED&amp;VAR:AUDIT_ID=00000117&amp;VAR:DATE=20060823&amp;action=UPDATE&amp;creator=factset&amp;DOC_NAME=FAT:FMA_audit_SUMMARY.fat&amp;DISPLAY_STRING=Display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8__FDSAUDITLINK__" hidden="1">{"fdsup://directions/FAT%20Viewer?VAR:PED=LTM&amp;VAR:AUDIT_MODE=SUMMARY&amp;VAR:PERIOD=FIXED&amp;VAR:AUDIT_ID=00000117&amp;VAR:DATE=20060823&amp;action=UPDATE&amp;creator=factset&amp;DOC_NAME=FAT:FMA_audit_SUMMARY.fat&amp;DISPLAY_STRING=Display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9__FDSAUDITLINK__" localSheetId="6" hidden="1">{"fdsup://directions/FAT%20Viewer?VAR:PED=LTM&amp;VAR:AUDIT_MODE=SUMMARY&amp;VAR:PERIOD=FIXED&amp;VAR:AUDIT_ID=00000117&amp;VAR:DATE=20060822&amp;action=UPDATE&amp;creator=factset&amp;DOC_NAME=FAT:FMA_audit_SUMMARY.fat&amp;DISPLAY_STRING=Display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79__FDSAUDITLINK__" hidden="1">{"fdsup://directions/FAT%20Viewer?VAR:PED=LTM&amp;VAR:AUDIT_MODE=SUMMARY&amp;VAR:PERIOD=FIXED&amp;VAR:AUDIT_ID=00000117&amp;VAR:DATE=20060822&amp;action=UPDATE&amp;creator=factset&amp;DOC_NAME=FAT:FMA_audit_SUMMARY.fat&amp;DISPLAY_STRING=Display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__FDSAUDITLINK__" localSheetId="6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8__FDSAUDITLINK__" hidden="1">{"fdsup://directions/FAT%20Viewer?VAR:PED=LTM&amp;VAR:AUDIT_MODE=SUMMARY&amp;VAR:PERIOD=FIXED&amp;VAR:AUDIT_ID=00000117&amp;VAR:DATE=20091016&amp;action=UPDATE&amp;creator=factset&amp;DOC_NAME=FAT:FMA_audit_SUMMARY.fat&amp;DISPLAY_STRING=Display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80__FDSAUDITLINK__" localSheetId="6" hidden="1">{"fdsup://directions/FAT%20Viewer?VAR:PED=LTM&amp;VAR:AUDIT_MODE=SUMMARY&amp;VAR:PERIOD=FIXED&amp;VAR:AUDIT_ID=00000117&amp;VAR:DATE=20060821&amp;action=UPDATE&amp;creator=factset&amp;DOC_NAME=FAT:FMA_audit_SUMMARY.fat&amp;DISPLAY_STRING=Display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0__FDSAUDITLINK__" hidden="1">{"fdsup://directions/FAT%20Viewer?VAR:PED=LTM&amp;VAR:AUDIT_MODE=SUMMARY&amp;VAR:PERIOD=FIXED&amp;VAR:AUDIT_ID=00000117&amp;VAR:DATE=20060821&amp;action=UPDATE&amp;creator=factset&amp;DOC_NAME=FAT:FMA_audit_SUMMARY.fat&amp;DISPLAY_STRING=Display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1__FDSAUDITLINK__" localSheetId="6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1__FDSAUDITLINK__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2__FDSAUDITLINK__" localSheetId="6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2__FDSAUDITLINK__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3__FDSAUDITLINK__" localSheetId="6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3__FDSAUDITLINK__" hidden="1">{"fdsup://directions/FAT%20Viewer?VAR:PED=LTM&amp;VAR:AUDIT_MODE=SUMMARY&amp;VAR:PERIOD=FIXED&amp;VAR:AUDIT_ID=00000117&amp;VAR:DATE=20060818&amp;action=UPDATE&amp;creator=factset&amp;DOC_NAME=FAT:FMA_audit_SUMMARY.fat&amp;DISPLAY_STRING=Display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4__FDSAUDITLINK__" localSheetId="6" hidden="1">{"fdsup://directions/FAT%20Viewer?VAR:PED=LTM&amp;VAR:AUDIT_MODE=SUMMARY&amp;VAR:PERIOD=FIXED&amp;VAR:AUDIT_ID=00000117&amp;VAR:DATE=20060817&amp;action=UPDATE&amp;creator=factset&amp;DOC_NAME=FAT:FMA_audit_SUMMARY.fat&amp;DISPLAY_STRING=Display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4__FDSAUDITLINK__" hidden="1">{"fdsup://directions/FAT%20Viewer?VAR:PED=LTM&amp;VAR:AUDIT_MODE=SUMMARY&amp;VAR:PERIOD=FIXED&amp;VAR:AUDIT_ID=00000117&amp;VAR:DATE=20060817&amp;action=UPDATE&amp;creator=factset&amp;DOC_NAME=FAT:FMA_audit_SUMMARY.fat&amp;DISPLAY_STRING=Display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5__FDSAUDITLINK__" localSheetId="6" hidden="1">{"fdsup://directions/FAT%20Viewer?VAR:PED=LTM&amp;VAR:AUDIT_MODE=SUMMARY&amp;VAR:PERIOD=FIXED&amp;VAR:AUDIT_ID=00000117&amp;VAR:DATE=20060816&amp;action=UPDATE&amp;creator=factset&amp;DOC_NAME=FAT:FMA_audit_SUMMARY.fat&amp;DISPLAY_STRING=Display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5__FDSAUDITLINK__" hidden="1">{"fdsup://directions/FAT%20Viewer?VAR:PED=LTM&amp;VAR:AUDIT_MODE=SUMMARY&amp;VAR:PERIOD=FIXED&amp;VAR:AUDIT_ID=00000117&amp;VAR:DATE=20060816&amp;action=UPDATE&amp;creator=factset&amp;DOC_NAME=FAT:FMA_audit_SUMMARY.fat&amp;DISPLAY_STRING=Display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6__FDSAUDITLINK__" localSheetId="6" hidden="1">{"fdsup://directions/FAT%20Viewer?VAR:PED=LTM&amp;VAR:AUDIT_MODE=SUMMARY&amp;VAR:PERIOD=FIXED&amp;VAR:AUDIT_ID=00000117&amp;VAR:DATE=20060815&amp;action=UPDATE&amp;creator=factset&amp;DOC_NAME=FAT:FMA_audit_SUMMARY.fat&amp;DISPLAY_STRING=Display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6__FDSAUDITLINK__" hidden="1">{"fdsup://directions/FAT%20Viewer?VAR:PED=LTM&amp;VAR:AUDIT_MODE=SUMMARY&amp;VAR:PERIOD=FIXED&amp;VAR:AUDIT_ID=00000117&amp;VAR:DATE=20060815&amp;action=UPDATE&amp;creator=factset&amp;DOC_NAME=FAT:FMA_audit_SUMMARY.fat&amp;DISPLAY_STRING=Display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7__FDSAUDITLINK__" localSheetId="6" hidden="1">{"fdsup://directions/FAT%20Viewer?VAR:PED=LTM&amp;VAR:AUDIT_MODE=SUMMARY&amp;VAR:PERIOD=FIXED&amp;VAR:AUDIT_ID=00000117&amp;VAR:DATE=20060814&amp;action=UPDATE&amp;creator=factset&amp;DOC_NAME=FAT:FMA_audit_SUMMARY.fat&amp;DISPLAY_STRING=Display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7__FDSAUDITLINK__" hidden="1">{"fdsup://directions/FAT%20Viewer?VAR:PED=LTM&amp;VAR:AUDIT_MODE=SUMMARY&amp;VAR:PERIOD=FIXED&amp;VAR:AUDIT_ID=00000117&amp;VAR:DATE=20060814&amp;action=UPDATE&amp;creator=factset&amp;DOC_NAME=FAT:FMA_audit_SUMMARY.fat&amp;DISPLAY_STRING=Display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8__FDSAUDITLINK__" localSheetId="6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8__FDSAUDITLINK__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9__FDSAUDITLINK__" localSheetId="6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89__FDSAUDITLINK__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__FDSAUDITLINK__" localSheetId="6" hidden="1">{"fdsup://directions/FAT%20Viewer?VAR:PED=LTM&amp;VAR:AUDIT_MODE=SUMMARY&amp;VAR:PERIOD=FIXED&amp;VAR:AUDIT_ID=00000117&amp;VAR:DATE=20091015&amp;action=UPDATE&amp;creator=factset&amp;DOC_NAME=FAT:FMA_audit_SUMMARY.fat&amp;DISPLAY_STRING=Display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9__FDSAUDITLINK__" hidden="1">{"fdsup://directions/FAT%20Viewer?VAR:PED=LTM&amp;VAR:AUDIT_MODE=SUMMARY&amp;VAR:PERIOD=FIXED&amp;VAR:AUDIT_ID=00000117&amp;VAR:DATE=20091015&amp;action=UPDATE&amp;creator=factset&amp;DOC_NAME=FAT:FMA_audit_SUMMARY.fat&amp;DISPLAY_STRING=Display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290__FDSAUDITLINK__" localSheetId="6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0__FDSAUDITLINK__" hidden="1">{"fdsup://directions/FAT%20Viewer?VAR:PED=LTM&amp;VAR:AUDIT_MODE=SUMMARY&amp;VAR:PERIOD=FIXED&amp;VAR:AUDIT_ID=00000117&amp;VAR:DATE=20060811&amp;action=UPDATE&amp;creator=factset&amp;DOC_NAME=FAT:FMA_audit_SUMMARY.fat&amp;DISPLAY_STRING=Display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1__FDSAUDITLINK__" localSheetId="6" hidden="1">{"fdsup://directions/FAT%20Viewer?VAR:PED=LTM&amp;VAR:AUDIT_MODE=SUMMARY&amp;VAR:PERIOD=FIXED&amp;VAR:AUDIT_ID=00000117&amp;VAR:DATE=20060810&amp;action=UPDATE&amp;creator=factset&amp;DOC_NAME=FAT:FMA_audit_SUMMARY.fat&amp;DISPLAY_STRING=Display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1__FDSAUDITLINK__" hidden="1">{"fdsup://directions/FAT%20Viewer?VAR:PED=LTM&amp;VAR:AUDIT_MODE=SUMMARY&amp;VAR:PERIOD=FIXED&amp;VAR:AUDIT_ID=00000117&amp;VAR:DATE=20060810&amp;action=UPDATE&amp;creator=factset&amp;DOC_NAME=FAT:FMA_audit_SUMMARY.fat&amp;DISPLAY_STRING=Display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2__FDSAUDITLINK__" localSheetId="6" hidden="1">{"fdsup://directions/FAT%20Viewer?VAR:PED=LTM&amp;VAR:AUDIT_MODE=SUMMARY&amp;VAR:PERIOD=FIXED&amp;VAR:AUDIT_ID=00000117&amp;VAR:DATE=20060809&amp;action=UPDATE&amp;creator=factset&amp;DOC_NAME=FAT:FMA_audit_SUMMARY.fat&amp;DISPLAY_STRING=Display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2__FDSAUDITLINK__" hidden="1">{"fdsup://directions/FAT%20Viewer?VAR:PED=LTM&amp;VAR:AUDIT_MODE=SUMMARY&amp;VAR:PERIOD=FIXED&amp;VAR:AUDIT_ID=00000117&amp;VAR:DATE=20060809&amp;action=UPDATE&amp;creator=factset&amp;DOC_NAME=FAT:FMA_audit_SUMMARY.fat&amp;DISPLAY_STRING=Display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3__FDSAUDITLINK__" localSheetId="6" hidden="1">{"fdsup://directions/FAT%20Viewer?VAR:PED=LTM&amp;VAR:AUDIT_MODE=SUMMARY&amp;VAR:PERIOD=FIXED&amp;VAR:AUDIT_ID=00000117&amp;VAR:DATE=20060808&amp;action=UPDATE&amp;creator=factset&amp;DOC_NAME=FAT:FMA_audit_SUMMARY.fat&amp;DISPLAY_STRING=Display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3__FDSAUDITLINK__" hidden="1">{"fdsup://directions/FAT%20Viewer?VAR:PED=LTM&amp;VAR:AUDIT_MODE=SUMMARY&amp;VAR:PERIOD=FIXED&amp;VAR:AUDIT_ID=00000117&amp;VAR:DATE=20060808&amp;action=UPDATE&amp;creator=factset&amp;DOC_NAME=FAT:FMA_audit_SUMMARY.fat&amp;DISPLAY_STRING=Display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4__FDSAUDITLINK__" localSheetId="6" hidden="1">{"fdsup://directions/FAT%20Viewer?VAR:PED=LTM&amp;VAR:AUDIT_MODE=SUMMARY&amp;VAR:PERIOD=FIXED&amp;VAR:AUDIT_ID=00000117&amp;VAR:DATE=20060807&amp;action=UPDATE&amp;creator=factset&amp;DOC_NAME=FAT:FMA_audit_SUMMARY.fat&amp;DISPLAY_STRING=Display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4__FDSAUDITLINK__" hidden="1">{"fdsup://directions/FAT%20Viewer?VAR:PED=LTM&amp;VAR:AUDIT_MODE=SUMMARY&amp;VAR:PERIOD=FIXED&amp;VAR:AUDIT_ID=00000117&amp;VAR:DATE=20060807&amp;action=UPDATE&amp;creator=factset&amp;DOC_NAME=FAT:FMA_audit_SUMMARY.fat&amp;DISPLAY_STRING=Display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5__FDSAUDITLINK__" localSheetId="6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5__FDSAUDITLINK__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6__FDSAUDITLINK__" localSheetId="6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6__FDSAUDITLINK__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7__FDSAUDITLINK__" localSheetId="6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7__FDSAUDITLINK__" hidden="1">{"fdsup://directions/FAT%20Viewer?VAR:PED=LTM&amp;VAR:AUDIT_MODE=SUMMARY&amp;VAR:PERIOD=FIXED&amp;VAR:AUDIT_ID=00000117&amp;VAR:DATE=20060804&amp;action=UPDATE&amp;creator=factset&amp;DOC_NAME=FAT:FMA_audit_SUMMARY.fat&amp;DISPLAY_STRING=Display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8__FDSAUDITLINK__" localSheetId="6" hidden="1">{"fdsup://directions/FAT%20Viewer?VAR:PED=LTM&amp;VAR:AUDIT_MODE=SUMMARY&amp;VAR:PERIOD=FIXED&amp;VAR:AUDIT_ID=00000117&amp;VAR:DATE=20060803&amp;action=UPDATE&amp;creator=factset&amp;DOC_NAME=FAT:FMA_audit_SUMMARY.fat&amp;DISPLAY_STRING=Display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8__FDSAUDITLINK__" hidden="1">{"fdsup://directions/FAT%20Viewer?VAR:PED=LTM&amp;VAR:AUDIT_MODE=SUMMARY&amp;VAR:PERIOD=FIXED&amp;VAR:AUDIT_ID=00000117&amp;VAR:DATE=20060803&amp;action=UPDATE&amp;creator=factset&amp;DOC_NAME=FAT:FMA_audit_SUMMARY.fat&amp;DISPLAY_STRING=Display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9__FDSAUDITLINK__" localSheetId="6" hidden="1">{"fdsup://directions/FAT%20Viewer?VAR:PED=LTM&amp;VAR:AUDIT_MODE=SUMMARY&amp;VAR:PERIOD=FIXED&amp;VAR:AUDIT_ID=00000117&amp;VAR:DATE=20060802&amp;action=UPDATE&amp;creator=factset&amp;DOC_NAME=FAT:FMA_audit_SUMMARY.fat&amp;DISPLAY_STRING=Display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299__FDSAUDITLINK__" hidden="1">{"fdsup://directions/FAT%20Viewer?VAR:PED=LTM&amp;VAR:AUDIT_MODE=SUMMARY&amp;VAR:PERIOD=FIXED&amp;VAR:AUDIT_ID=00000117&amp;VAR:DATE=20060802&amp;action=UPDATE&amp;creator=factset&amp;DOC_NAME=FAT:FMA_audit_SUMMARY.fat&amp;DISPLAY_STRING=Display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__FDSAUDITLINK__" localSheetId="6" hidden="1">{"fdsup://directions/FAT Viewer?action=UPDATE&amp;creator=factset&amp;DYN_ARGS=TRUE&amp;DOC_NAME=FAT:FQL_AUDITING_CLIENT_TEMPLATE.FAT&amp;display_string=Audit&amp;VAR:KEY=RCXEBEHWXC&amp;VAR:QUERY=QVZHKENTRl9ORVRfSU5DKEFOTiwwRlksLTZGWSxZKSkgLyAoQVZHKENTRl9BU1NFVFMoQU5OLDBGWSwtNkZZL","EZZKSkgLSBBVkcoQ1NGX0lOVEFORyhBTk4sMCwtNkZZLEZZKSkp&amp;WINDOW=FIRST_POPUP&amp;HEIGHT=450&amp;WIDTH=450&amp;START_MAXIMIZED=FALSE&amp;VAR:CALENDAR=US&amp;VAR:SYMBOL=TGH"}</definedName>
    <definedName name="_13__FDSAUDITLINK__" hidden="1">{"fdsup://directions/FAT Viewer?action=UPDATE&amp;creator=factset&amp;DYN_ARGS=TRUE&amp;DOC_NAME=FAT:FQL_AUDITING_CLIENT_TEMPLATE.FAT&amp;display_string=Audit&amp;VAR:KEY=RCXEBEHWXC&amp;VAR:QUERY=QVZHKENTRl9ORVRfSU5DKEFOTiwwRlksLTZGWSxZKSkgLyAoQVZHKENTRl9BU1NFVFMoQU5OLDBGWSwtNkZZL","EZZKSkgLSBBVkcoQ1NGX0lOVEFORyhBTk4sMCwtNkZZLEZZKSkp&amp;WINDOW=FIRST_POPUP&amp;HEIGHT=450&amp;WIDTH=450&amp;START_MAXIMIZED=FALSE&amp;VAR:CALENDAR=US&amp;VAR:SYMBOL=TGH"}</definedName>
    <definedName name="_130__FDSAUDITLINK__" localSheetId="6" hidden="1">{"fdsup://directions/FAT%20Viewer?VAR:PED=LTM&amp;VAR:AUDIT_MODE=SUMMARY&amp;VAR:PERIOD=FIXED&amp;VAR:AUDIT_ID=00000117&amp;VAR:DATE=20091014&amp;action=UPDATE&amp;creator=factset&amp;DOC_NAME=FAT:FMA_audit_SUMMARY.fat&amp;DISPLAY_STRING=Display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0__FDSAUDITLINK__" hidden="1">{"fdsup://directions/FAT%20Viewer?VAR:PED=LTM&amp;VAR:AUDIT_MODE=SUMMARY&amp;VAR:PERIOD=FIXED&amp;VAR:AUDIT_ID=00000117&amp;VAR:DATE=20091014&amp;action=UPDATE&amp;creator=factset&amp;DOC_NAME=FAT:FMA_audit_SUMMARY.fat&amp;DISPLAY_STRING=Display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00__FDSAUDITLINK__" localSheetId="6" hidden="1">{"fdsup://directions/FAT%20Viewer?VAR:PED=LTM&amp;VAR:AUDIT_MODE=SUMMARY&amp;VAR:PERIOD=FIXED&amp;VAR:AUDIT_ID=00000117&amp;VAR:DATE=20060801&amp;action=UPDATE&amp;creator=factset&amp;DOC_NAME=FAT:FMA_audit_SUMMARY.fat&amp;DISPLAY_STRING=Display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00__FDSAUDITLINK__" hidden="1">{"fdsup://directions/FAT%20Viewer?VAR:PED=LTM&amp;VAR:AUDIT_MODE=SUMMARY&amp;VAR:PERIOD=FIXED&amp;VAR:AUDIT_ID=00000117&amp;VAR:DATE=20060801&amp;action=UPDATE&amp;creator=factset&amp;DOC_NAME=FAT:FMA_audit_SUMMARY.fat&amp;DISPLAY_STRING=Display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01__FDSAUDITLINK__" localSheetId="6" hidden="1">{"fdsup://directions/FAT%20Viewer?VAR:PED=LTM&amp;VAR:AUDIT_MODE=SUMMARY&amp;VAR:PERIOD=FIXED&amp;VAR:AUDIT_ID=00000117&amp;VAR:DATE=20060731&amp;action=UPDATE&amp;creator=factset&amp;DOC_NAME=FAT:FMA_audit_SUMMARY.fat&amp;DISPLAY_STRING=Display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01__FDSAUDITLINK__" hidden="1">{"fdsup://directions/FAT%20Viewer?VAR:PED=LTM&amp;VAR:AUDIT_MODE=SUMMARY&amp;VAR:PERIOD=FIXED&amp;VAR:AUDIT_ID=00000117&amp;VAR:DATE=20060731&amp;action=UPDATE&amp;creator=factset&amp;DOC_NAME=FAT:FMA_audit_SUMMARY.fat&amp;DISPLAY_STRING=Display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EBITDA&amp;VAR:CHGPERIOD=NA&amp;VAR:FQLFORMULA=FMA_EVAL_EBITDA&amp;VAR:CURRENCY=NA&amp;VAR:P=NA&amp;VAR:V=11.2","90451&amp;VAR:null=.html"}</definedName>
    <definedName name="_1302__FDSAUDITLINK__" localSheetId="6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2__FDSAUDITLINK__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3__FDSAUDITLINK__" localSheetId="6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3__FDSAUDITLINK__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4__FDSAUDITLINK__" localSheetId="6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4__FDSAUDITLINK__" hidden="1">{"fdsup://directions/FAT%20Viewer?VAR:PED=LTM&amp;VAR:AUDIT_MODE=SUMMARY&amp;VAR:PERIOD=FIXED&amp;VAR:AUDIT_ID=00000117&amp;VAR:DATE=20060728&amp;action=UPDATE&amp;creator=factset&amp;DOC_NAME=FAT:FMA_audit_SUMMARY.fat&amp;DISPLAY_STRING=Display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5__FDSAUDITLINK__" localSheetId="6" hidden="1">{"fdsup://directions/FAT%20Viewer?VAR:PED=LTM&amp;VAR:AUDIT_MODE=SUMMARY&amp;VAR:PERIOD=FIXED&amp;VAR:AUDIT_ID=00000117&amp;VAR:DATE=20060727&amp;action=UPDATE&amp;creator=factset&amp;DOC_NAME=FAT:FMA_audit_SUMMARY.fat&amp;DISPLAY_STRING=Display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5__FDSAUDITLINK__" hidden="1">{"fdsup://directions/FAT%20Viewer?VAR:PED=LTM&amp;VAR:AUDIT_MODE=SUMMARY&amp;VAR:PERIOD=FIXED&amp;VAR:AUDIT_ID=00000117&amp;VAR:DATE=20060727&amp;action=UPDATE&amp;creator=factset&amp;DOC_NAME=FAT:FMA_audit_SUMMARY.fat&amp;DISPLAY_STRING=Display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6__FDSAUDITLINK__" localSheetId="6" hidden="1">{"fdsup://directions/FAT%20Viewer?VAR:PED=LTM&amp;VAR:AUDIT_MODE=SUMMARY&amp;VAR:PERIOD=FIXED&amp;VAR:AUDIT_ID=00000117&amp;VAR:DATE=20060726&amp;action=UPDATE&amp;creator=factset&amp;DOC_NAME=FAT:FMA_audit_SUMMARY.fat&amp;DISPLAY_STRING=Display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6__FDSAUDITLINK__" hidden="1">{"fdsup://directions/FAT%20Viewer?VAR:PED=LTM&amp;VAR:AUDIT_MODE=SUMMARY&amp;VAR:PERIOD=FIXED&amp;VAR:AUDIT_ID=00000117&amp;VAR:DATE=20060726&amp;action=UPDATE&amp;creator=factset&amp;DOC_NAME=FAT:FMA_audit_SUMMARY.fat&amp;DISPLAY_STRING=Display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7__FDSAUDITLINK__" localSheetId="6" hidden="1">{"fdsup://directions/FAT%20Viewer?VAR:PED=LTM&amp;VAR:AUDIT_MODE=SUMMARY&amp;VAR:PERIOD=FIXED&amp;VAR:AUDIT_ID=00000117&amp;VAR:DATE=20060725&amp;action=UPDATE&amp;creator=factset&amp;DOC_NAME=FAT:FMA_audit_SUMMARY.fat&amp;DISPLAY_STRING=Display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7__FDSAUDITLINK__" hidden="1">{"fdsup://directions/FAT%20Viewer?VAR:PED=LTM&amp;VAR:AUDIT_MODE=SUMMARY&amp;VAR:PERIOD=FIXED&amp;VAR:AUDIT_ID=00000117&amp;VAR:DATE=20060725&amp;action=UPDATE&amp;creator=factset&amp;DOC_NAME=FAT:FMA_audit_SUMMARY.fat&amp;DISPLAY_STRING=Display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8__FDSAUDITLINK__" localSheetId="6" hidden="1">{"fdsup://directions/FAT%20Viewer?VAR:PED=LTM&amp;VAR:AUDIT_MODE=SUMMARY&amp;VAR:PERIOD=FIXED&amp;VAR:AUDIT_ID=00000117&amp;VAR:DATE=20060724&amp;action=UPDATE&amp;creator=factset&amp;DOC_NAME=FAT:FMA_audit_SUMMARY.fat&amp;DISPLAY_STRING=Display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8__FDSAUDITLINK__" hidden="1">{"fdsup://directions/FAT%20Viewer?VAR:PED=LTM&amp;VAR:AUDIT_MODE=SUMMARY&amp;VAR:PERIOD=FIXED&amp;VAR:AUDIT_ID=00000117&amp;VAR:DATE=20060724&amp;action=UPDATE&amp;creator=factset&amp;DOC_NAME=FAT:FMA_audit_SUMMARY.fat&amp;DISPLAY_STRING=Display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9__FDSAUDITLINK__" localSheetId="6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09__FDSAUDITLINK__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__FDSAUDITLINK__" localSheetId="6" hidden="1">{"fdsup://directions/FAT%20Viewer?VAR:PED=LTM&amp;VAR:AUDIT_MODE=SUMMARY&amp;VAR:PERIOD=FIXED&amp;VAR:AUDIT_ID=00000117&amp;VAR:DATE=20091013&amp;action=UPDATE&amp;creator=factset&amp;DOC_NAME=FAT:FMA_audit_SUMMARY.fat&amp;DISPLAY_STRING=Display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1__FDSAUDITLINK__" hidden="1">{"fdsup://directions/FAT%20Viewer?VAR:PED=LTM&amp;VAR:AUDIT_MODE=SUMMARY&amp;VAR:PERIOD=FIXED&amp;VAR:AUDIT_ID=00000117&amp;VAR:DATE=20091013&amp;action=UPDATE&amp;creator=factset&amp;DOC_NAME=FAT:FMA_audit_SUMMARY.fat&amp;DISPLAY_STRING=Display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10__FDSAUDITLINK__" localSheetId="6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0__FDSAUDITLINK__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1__FDSAUDITLINK__" localSheetId="6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1__FDSAUDITLINK__" hidden="1">{"fdsup://directions/FAT%20Viewer?VAR:PED=LTM&amp;VAR:AUDIT_MODE=SUMMARY&amp;VAR:PERIOD=FIXED&amp;VAR:AUDIT_ID=00000117&amp;VAR:DATE=20060721&amp;action=UPDATE&amp;creator=factset&amp;DOC_NAME=FAT:FMA_audit_SUMMARY.fat&amp;DISPLAY_STRING=Display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2__FDSAUDITLINK__" localSheetId="6" hidden="1">{"fdsup://directions/FAT%20Viewer?VAR:PED=LTM&amp;VAR:AUDIT_MODE=SUMMARY&amp;VAR:PERIOD=FIXED&amp;VAR:AUDIT_ID=00000117&amp;VAR:DATE=20060720&amp;action=UPDATE&amp;creator=factset&amp;DOC_NAME=FAT:FMA_audit_SUMMARY.fat&amp;DISPLAY_STRING=Display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2__FDSAUDITLINK__" hidden="1">{"fdsup://directions/FAT%20Viewer?VAR:PED=LTM&amp;VAR:AUDIT_MODE=SUMMARY&amp;VAR:PERIOD=FIXED&amp;VAR:AUDIT_ID=00000117&amp;VAR:DATE=20060720&amp;action=UPDATE&amp;creator=factset&amp;DOC_NAME=FAT:FMA_audit_SUMMARY.fat&amp;DISPLAY_STRING=Display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3__FDSAUDITLINK__" localSheetId="6" hidden="1">{"fdsup://directions/FAT%20Viewer?VAR:PED=LTM&amp;VAR:AUDIT_MODE=SUMMARY&amp;VAR:PERIOD=FIXED&amp;VAR:AUDIT_ID=00000117&amp;VAR:DATE=20060719&amp;action=UPDATE&amp;creator=factset&amp;DOC_NAME=FAT:FMA_audit_SUMMARY.fat&amp;DISPLAY_STRING=Display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3__FDSAUDITLINK__" hidden="1">{"fdsup://directions/FAT%20Viewer?VAR:PED=LTM&amp;VAR:AUDIT_MODE=SUMMARY&amp;VAR:PERIOD=FIXED&amp;VAR:AUDIT_ID=00000117&amp;VAR:DATE=20060719&amp;action=UPDATE&amp;creator=factset&amp;DOC_NAME=FAT:FMA_audit_SUMMARY.fat&amp;DISPLAY_STRING=Display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4__FDSAUDITLINK__" localSheetId="6" hidden="1">{"fdsup://directions/FAT%20Viewer?VAR:PED=LTM&amp;VAR:AUDIT_MODE=SUMMARY&amp;VAR:PERIOD=FIXED&amp;VAR:AUDIT_ID=00000117&amp;VAR:DATE=20060718&amp;action=UPDATE&amp;creator=factset&amp;DOC_NAME=FAT:FMA_audit_SUMMARY.fat&amp;DISPLAY_STRING=Display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4__FDSAUDITLINK__" hidden="1">{"fdsup://directions/FAT%20Viewer?VAR:PED=LTM&amp;VAR:AUDIT_MODE=SUMMARY&amp;VAR:PERIOD=FIXED&amp;VAR:AUDIT_ID=00000117&amp;VAR:DATE=20060718&amp;action=UPDATE&amp;creator=factset&amp;DOC_NAME=FAT:FMA_audit_SUMMARY.fat&amp;DISPLAY_STRING=Display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5__FDSAUDITLINK__" localSheetId="6" hidden="1">{"fdsup://directions/FAT%20Viewer?VAR:PED=LTM&amp;VAR:AUDIT_MODE=SUMMARY&amp;VAR:PERIOD=FIXED&amp;VAR:AUDIT_ID=00000117&amp;VAR:DATE=20060717&amp;action=UPDATE&amp;creator=factset&amp;DOC_NAME=FAT:FMA_audit_SUMMARY.fat&amp;DISPLAY_STRING=Display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5__FDSAUDITLINK__" hidden="1">{"fdsup://directions/FAT%20Viewer?VAR:PED=LTM&amp;VAR:AUDIT_MODE=SUMMARY&amp;VAR:PERIOD=FIXED&amp;VAR:AUDIT_ID=00000117&amp;VAR:DATE=20060717&amp;action=UPDATE&amp;creator=factset&amp;DOC_NAME=FAT:FMA_audit_SUMMARY.fat&amp;DISPLAY_STRING=Display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6__FDSAUDITLINK__" localSheetId="6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6__FDSAUDITLINK__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7__FDSAUDITLINK__" localSheetId="6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7__FDSAUDITLINK__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8__FDSAUDITLINK__" localSheetId="6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8__FDSAUDITLINK__" hidden="1">{"fdsup://directions/FAT%20Viewer?VAR:PED=LTM&amp;VAR:AUDIT_MODE=SUMMARY&amp;VAR:PERIOD=FIXED&amp;VAR:AUDIT_ID=00000117&amp;VAR:DATE=20060714&amp;action=UPDATE&amp;creator=factset&amp;DOC_NAME=FAT:FMA_audit_SUMMARY.fat&amp;DISPLAY_STRING=Display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9__FDSAUDITLINK__" localSheetId="6" hidden="1">{"fdsup://directions/FAT%20Viewer?VAR:PED=LTM&amp;VAR:AUDIT_MODE=SUMMARY&amp;VAR:PERIOD=FIXED&amp;VAR:AUDIT_ID=00000117&amp;VAR:DATE=20060713&amp;action=UPDATE&amp;creator=factset&amp;DOC_NAME=FAT:FMA_audit_SUMMARY.fat&amp;DISPLAY_STRING=Display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19__FDSAUDITLINK__" hidden="1">{"fdsup://directions/FAT%20Viewer?VAR:PED=LTM&amp;VAR:AUDIT_MODE=SUMMARY&amp;VAR:PERIOD=FIXED&amp;VAR:AUDIT_ID=00000117&amp;VAR:DATE=20060713&amp;action=UPDATE&amp;creator=factset&amp;DOC_NAME=FAT:FMA_audit_SUMMARY.fat&amp;DISPLAY_STRING=Display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__FDSAUDITLINK__" localSheetId="6" hidden="1">{"fdsup://directions/FAT%20Viewer?VAR:PED=LTM&amp;VAR:AUDIT_MODE=SUMMARY&amp;VAR:PERIOD=FIXED&amp;VAR:AUDIT_ID=00000117&amp;VAR:DATE=20091012&amp;action=UPDATE&amp;creator=factset&amp;DOC_NAME=FAT:FMA_audit_SUMMARY.fat&amp;DISPLAY_STRING=Display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2__FDSAUDITLINK__" hidden="1">{"fdsup://directions/FAT%20Viewer?VAR:PED=LTM&amp;VAR:AUDIT_MODE=SUMMARY&amp;VAR:PERIOD=FIXED&amp;VAR:AUDIT_ID=00000117&amp;VAR:DATE=20091012&amp;action=UPDATE&amp;creator=factset&amp;DOC_NAME=FAT:FMA_audit_SUMMARY.fat&amp;DISPLAY_STRING=Display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20__FDSAUDITLINK__" localSheetId="6" hidden="1">{"fdsup://directions/FAT%20Viewer?VAR:PED=LTM&amp;VAR:AUDIT_MODE=SUMMARY&amp;VAR:PERIOD=FIXED&amp;VAR:AUDIT_ID=00000117&amp;VAR:DATE=20060712&amp;action=UPDATE&amp;creator=factset&amp;DOC_NAME=FAT:FMA_audit_SUMMARY.fat&amp;DISPLAY_STRING=Display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0__FDSAUDITLINK__" hidden="1">{"fdsup://directions/FAT%20Viewer?VAR:PED=LTM&amp;VAR:AUDIT_MODE=SUMMARY&amp;VAR:PERIOD=FIXED&amp;VAR:AUDIT_ID=00000117&amp;VAR:DATE=20060712&amp;action=UPDATE&amp;creator=factset&amp;DOC_NAME=FAT:FMA_audit_SUMMARY.fat&amp;DISPLAY_STRING=Display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1__FDSAUDITLINK__" localSheetId="6" hidden="1">{"fdsup://directions/FAT%20Viewer?VAR:PED=LTM&amp;VAR:AUDIT_MODE=SUMMARY&amp;VAR:PERIOD=FIXED&amp;VAR:AUDIT_ID=00000117&amp;VAR:DATE=20060711&amp;action=UPDATE&amp;creator=factset&amp;DOC_NAME=FAT:FMA_audit_SUMMARY.fat&amp;DISPLAY_STRING=Display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1__FDSAUDITLINK__" hidden="1">{"fdsup://directions/FAT%20Viewer?VAR:PED=LTM&amp;VAR:AUDIT_MODE=SUMMARY&amp;VAR:PERIOD=FIXED&amp;VAR:AUDIT_ID=00000117&amp;VAR:DATE=20060711&amp;action=UPDATE&amp;creator=factset&amp;DOC_NAME=FAT:FMA_audit_SUMMARY.fat&amp;DISPLAY_STRING=Display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2__FDSAUDITLINK__" localSheetId="6" hidden="1">{"fdsup://directions/FAT%20Viewer?VAR:PED=LTM&amp;VAR:AUDIT_MODE=SUMMARY&amp;VAR:PERIOD=FIXED&amp;VAR:AUDIT_ID=00000117&amp;VAR:DATE=20060710&amp;action=UPDATE&amp;creator=factset&amp;DOC_NAME=FAT:FMA_audit_SUMMARY.fat&amp;DISPLAY_STRING=Display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2__FDSAUDITLINK__" hidden="1">{"fdsup://directions/FAT%20Viewer?VAR:PED=LTM&amp;VAR:AUDIT_MODE=SUMMARY&amp;VAR:PERIOD=FIXED&amp;VAR:AUDIT_ID=00000117&amp;VAR:DATE=20060710&amp;action=UPDATE&amp;creator=factset&amp;DOC_NAME=FAT:FMA_audit_SUMMARY.fat&amp;DISPLAY_STRING=Display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3__FDSAUDITLINK__" localSheetId="6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3__FDSAUDITLINK__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4__FDSAUDITLINK__" localSheetId="6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4__FDSAUDITLINK__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5__FDSAUDITLINK__" localSheetId="6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5__FDSAUDITLINK__" hidden="1">{"fdsup://directions/FAT%20Viewer?VAR:PED=LTM&amp;VAR:AUDIT_MODE=SUMMARY&amp;VAR:PERIOD=FIXED&amp;VAR:AUDIT_ID=00000117&amp;VAR:DATE=20060707&amp;action=UPDATE&amp;creator=factset&amp;DOC_NAME=FAT:FMA_audit_SUMMARY.fat&amp;DISPLAY_STRING=Display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6__FDSAUDITLINK__" localSheetId="6" hidden="1">{"fdsup://directions/FAT%20Viewer?VAR:PED=LTM&amp;VAR:AUDIT_MODE=SUMMARY&amp;VAR:PERIOD=FIXED&amp;VAR:AUDIT_ID=00000117&amp;VAR:DATE=20060706&amp;action=UPDATE&amp;creator=factset&amp;DOC_NAME=FAT:FMA_audit_SUMMARY.fat&amp;DISPLAY_STRING=Display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6__FDSAUDITLINK__" hidden="1">{"fdsup://directions/FAT%20Viewer?VAR:PED=LTM&amp;VAR:AUDIT_MODE=SUMMARY&amp;VAR:PERIOD=FIXED&amp;VAR:AUDIT_ID=00000117&amp;VAR:DATE=20060706&amp;action=UPDATE&amp;creator=factset&amp;DOC_NAME=FAT:FMA_audit_SUMMARY.fat&amp;DISPLAY_STRING=Display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7__FDSAUDITLINK__" localSheetId="6" hidden="1">{"fdsup://directions/FAT%20Viewer?VAR:PED=LTM&amp;VAR:AUDIT_MODE=SUMMARY&amp;VAR:PERIOD=FIXED&amp;VAR:AUDIT_ID=00000117&amp;VAR:DATE=20060705&amp;action=UPDATE&amp;creator=factset&amp;DOC_NAME=FAT:FMA_audit_SUMMARY.fat&amp;DISPLAY_STRING=Display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7__FDSAUDITLINK__" hidden="1">{"fdsup://directions/FAT%20Viewer?VAR:PED=LTM&amp;VAR:AUDIT_MODE=SUMMARY&amp;VAR:PERIOD=FIXED&amp;VAR:AUDIT_ID=00000117&amp;VAR:DATE=20060705&amp;action=UPDATE&amp;creator=factset&amp;DOC_NAME=FAT:FMA_audit_SUMMARY.fat&amp;DISPLAY_STRING=Display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8__FDSAUDITLINK__" localSheetId="6" hidden="1">{"fdsup://directions/FAT%20Viewer?VAR:PED=LTM&amp;VAR:AUDIT_MODE=SUMMARY&amp;VAR:PERIOD=FIXED&amp;VAR:AUDIT_ID=00000117&amp;VAR:DATE=20060703&amp;action=UPDATE&amp;creator=factset&amp;DOC_NAME=FAT:FMA_audit_SUMMARY.fat&amp;DISPLAY_STRING=Display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8__FDSAUDITLINK__" hidden="1">{"fdsup://directions/FAT%20Viewer?VAR:PED=LTM&amp;VAR:AUDIT_MODE=SUMMARY&amp;VAR:PERIOD=FIXED&amp;VAR:AUDIT_ID=00000117&amp;VAR:DATE=20060703&amp;action=UPDATE&amp;creator=factset&amp;DOC_NAME=FAT:FMA_audit_SUMMARY.fat&amp;DISPLAY_STRING=Display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9__FDSAUDITLINK__" localSheetId="6" hidden="1">{"fdsup://directions/FAT%20Viewer?VAR:PED=LTM&amp;VAR:AUDIT_MODE=SUMMARY&amp;VAR:PERIOD=FIXED&amp;VAR:AUDIT_ID=00000117&amp;VAR:DATE=20060703&amp;action=UPDATE&amp;creator=factset&amp;DOC_NAME=FAT:FMA_audit_SUMMARY.fat&amp;DISPLAY_STRING=Display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29__FDSAUDITLINK__" hidden="1">{"fdsup://directions/FAT%20Viewer?VAR:PED=LTM&amp;VAR:AUDIT_MODE=SUMMARY&amp;VAR:PERIOD=FIXED&amp;VAR:AUDIT_ID=00000117&amp;VAR:DATE=20060703&amp;action=UPDATE&amp;creator=factset&amp;DOC_NAME=FAT:FMA_audit_SUMMARY.fat&amp;DISPLAY_STRING=Display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__FDSAUDITLINK__" localSheetId="6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3__FDSAUDITLINK__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30__FDSAUDITLINK__" localSheetId="6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0__FDSAUDITLINK__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1__FDSAUDITLINK__" localSheetId="6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1__FDSAUDITLINK__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2__FDSAUDITLINK__" localSheetId="6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2__FDSAUDITLINK__" hidden="1">{"fdsup://directions/FAT%20Viewer?VAR:PED=LTM&amp;VAR:AUDIT_MODE=SUMMARY&amp;VAR:PERIOD=FIXED&amp;VAR:AUDIT_ID=00000117&amp;VAR:DATE=20060630&amp;action=UPDATE&amp;creator=factset&amp;DOC_NAME=FAT:FMA_audit_SUMMARY.fat&amp;DISPLAY_STRING=Display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EBITDA&amp;VAR:CHGPERIOD=NA&amp;VAR:FQLFORMULA=FMA_EVAL_EBITDA&amp;VAR:CURRENCY=NA&amp;VAR:P=NA&amp;VAR:V=11.4","18555&amp;VAR:null=.html"}</definedName>
    <definedName name="_1333__FDSAUDITLINK__" localSheetId="6" hidden="1">{"fdsup://directions/FAT%20Viewer?VAR:PED=LTM&amp;VAR:AUDIT_MODE=SUMMARY&amp;VAR:PERIOD=FIXED&amp;VAR:AUDIT_ID=00000117&amp;VAR:DATE=20060629&amp;action=UPDATE&amp;creator=factset&amp;DOC_NAME=FAT:FMA_audit_SUMMARY.fat&amp;DISPLAY_STRING=Display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3__FDSAUDITLINK__" hidden="1">{"fdsup://directions/FAT%20Viewer?VAR:PED=LTM&amp;VAR:AUDIT_MODE=SUMMARY&amp;VAR:PERIOD=FIXED&amp;VAR:AUDIT_ID=00000117&amp;VAR:DATE=20060629&amp;action=UPDATE&amp;creator=factset&amp;DOC_NAME=FAT:FMA_audit_SUMMARY.fat&amp;DISPLAY_STRING=Display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4__FDSAUDITLINK__" localSheetId="6" hidden="1">{"fdsup://directions/FAT%20Viewer?VAR:PED=LTM&amp;VAR:AUDIT_MODE=SUMMARY&amp;VAR:PERIOD=FIXED&amp;VAR:AUDIT_ID=00000117&amp;VAR:DATE=20060628&amp;action=UPDATE&amp;creator=factset&amp;DOC_NAME=FAT:FMA_audit_SUMMARY.fat&amp;DISPLAY_STRING=Display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4__FDSAUDITLINK__" hidden="1">{"fdsup://directions/FAT%20Viewer?VAR:PED=LTM&amp;VAR:AUDIT_MODE=SUMMARY&amp;VAR:PERIOD=FIXED&amp;VAR:AUDIT_ID=00000117&amp;VAR:DATE=20060628&amp;action=UPDATE&amp;creator=factset&amp;DOC_NAME=FAT:FMA_audit_SUMMARY.fat&amp;DISPLAY_STRING=Display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5__FDSAUDITLINK__" localSheetId="6" hidden="1">{"fdsup://directions/FAT%20Viewer?VAR:PED=LTM&amp;VAR:AUDIT_MODE=SUMMARY&amp;VAR:PERIOD=FIXED&amp;VAR:AUDIT_ID=00000117&amp;VAR:DATE=20060627&amp;action=UPDATE&amp;creator=factset&amp;DOC_NAME=FAT:FMA_audit_SUMMARY.fat&amp;DISPLAY_STRING=Display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5__FDSAUDITLINK__" hidden="1">{"fdsup://directions/FAT%20Viewer?VAR:PED=LTM&amp;VAR:AUDIT_MODE=SUMMARY&amp;VAR:PERIOD=FIXED&amp;VAR:AUDIT_ID=00000117&amp;VAR:DATE=20060627&amp;action=UPDATE&amp;creator=factset&amp;DOC_NAME=FAT:FMA_audit_SUMMARY.fat&amp;DISPLAY_STRING=Display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6__FDSAUDITLINK__" localSheetId="6" hidden="1">{"fdsup://directions/FAT%20Viewer?VAR:PED=LTM&amp;VAR:AUDIT_MODE=SUMMARY&amp;VAR:PERIOD=FIXED&amp;VAR:AUDIT_ID=00000117&amp;VAR:DATE=20060626&amp;action=UPDATE&amp;creator=factset&amp;DOC_NAME=FAT:FMA_audit_SUMMARY.fat&amp;DISPLAY_STRING=Display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6__FDSAUDITLINK__" hidden="1">{"fdsup://directions/FAT%20Viewer?VAR:PED=LTM&amp;VAR:AUDIT_MODE=SUMMARY&amp;VAR:PERIOD=FIXED&amp;VAR:AUDIT_ID=00000117&amp;VAR:DATE=20060626&amp;action=UPDATE&amp;creator=factset&amp;DOC_NAME=FAT:FMA_audit_SUMMARY.fat&amp;DISPLAY_STRING=Display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7__FDSAUDITLINK__" localSheetId="6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7__FDSAUDITLINK__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8__FDSAUDITLINK__" localSheetId="6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8__FDSAUDITLINK__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9__FDSAUDITLINK__" localSheetId="6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39__FDSAUDITLINK__" hidden="1">{"fdsup://directions/FAT%20Viewer?VAR:PED=LTM&amp;VAR:AUDIT_MODE=SUMMARY&amp;VAR:PERIOD=FIXED&amp;VAR:AUDIT_ID=00000117&amp;VAR:DATE=20060623&amp;action=UPDATE&amp;creator=factset&amp;DOC_NAME=FAT:FMA_audit_SUMMARY.fat&amp;DISPLAY_STRING=Display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__FDSAUDITLINK__" localSheetId="6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4__FDSAUDITLINK__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40__FDSAUDITLINK__" localSheetId="6" hidden="1">{"fdsup://directions/FAT%20Viewer?VAR:PED=LTM&amp;VAR:AUDIT_MODE=SUMMARY&amp;VAR:PERIOD=FIXED&amp;VAR:AUDIT_ID=00000117&amp;VAR:DATE=20060622&amp;action=UPDATE&amp;creator=factset&amp;DOC_NAME=FAT:FMA_audit_SUMMARY.fat&amp;DISPLAY_STRING=Display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0__FDSAUDITLINK__" hidden="1">{"fdsup://directions/FAT%20Viewer?VAR:PED=LTM&amp;VAR:AUDIT_MODE=SUMMARY&amp;VAR:PERIOD=FIXED&amp;VAR:AUDIT_ID=00000117&amp;VAR:DATE=20060622&amp;action=UPDATE&amp;creator=factset&amp;DOC_NAME=FAT:FMA_audit_SUMMARY.fat&amp;DISPLAY_STRING=Display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1__FDSAUDITLINK__" localSheetId="6" hidden="1">{"fdsup://directions/FAT%20Viewer?VAR:PED=LTM&amp;VAR:AUDIT_MODE=SUMMARY&amp;VAR:PERIOD=FIXED&amp;VAR:AUDIT_ID=00000117&amp;VAR:DATE=20060621&amp;action=UPDATE&amp;creator=factset&amp;DOC_NAME=FAT:FMA_audit_SUMMARY.fat&amp;DISPLAY_STRING=Display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1__FDSAUDITLINK__" hidden="1">{"fdsup://directions/FAT%20Viewer?VAR:PED=LTM&amp;VAR:AUDIT_MODE=SUMMARY&amp;VAR:PERIOD=FIXED&amp;VAR:AUDIT_ID=00000117&amp;VAR:DATE=20060621&amp;action=UPDATE&amp;creator=factset&amp;DOC_NAME=FAT:FMA_audit_SUMMARY.fat&amp;DISPLAY_STRING=Display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2__FDSAUDITLINK__" localSheetId="6" hidden="1">{"fdsup://directions/FAT%20Viewer?VAR:PED=LTM&amp;VAR:AUDIT_MODE=SUMMARY&amp;VAR:PERIOD=FIXED&amp;VAR:AUDIT_ID=00000117&amp;VAR:DATE=20060620&amp;action=UPDATE&amp;creator=factset&amp;DOC_NAME=FAT:FMA_audit_SUMMARY.fat&amp;DISPLAY_STRING=Display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2__FDSAUDITLINK__" hidden="1">{"fdsup://directions/FAT%20Viewer?VAR:PED=LTM&amp;VAR:AUDIT_MODE=SUMMARY&amp;VAR:PERIOD=FIXED&amp;VAR:AUDIT_ID=00000117&amp;VAR:DATE=20060620&amp;action=UPDATE&amp;creator=factset&amp;DOC_NAME=FAT:FMA_audit_SUMMARY.fat&amp;DISPLAY_STRING=Display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3__FDSAUDITLINK__" localSheetId="6" hidden="1">{"fdsup://directions/FAT%20Viewer?VAR:PED=LTM&amp;VAR:AUDIT_MODE=SUMMARY&amp;VAR:PERIOD=FIXED&amp;VAR:AUDIT_ID=00000117&amp;VAR:DATE=20060619&amp;action=UPDATE&amp;creator=factset&amp;DOC_NAME=FAT:FMA_audit_SUMMARY.fat&amp;DISPLAY_STRING=Display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3__FDSAUDITLINK__" hidden="1">{"fdsup://directions/FAT%20Viewer?VAR:PED=LTM&amp;VAR:AUDIT_MODE=SUMMARY&amp;VAR:PERIOD=FIXED&amp;VAR:AUDIT_ID=00000117&amp;VAR:DATE=20060619&amp;action=UPDATE&amp;creator=factset&amp;DOC_NAME=FAT:FMA_audit_SUMMARY.fat&amp;DISPLAY_STRING=Display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4__FDSAUDITLINK__" localSheetId="6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4__FDSAUDITLINK__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5__FDSAUDITLINK__" localSheetId="6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5__FDSAUDITLINK__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6__FDSAUDITLINK__" localSheetId="6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6__FDSAUDITLINK__" hidden="1">{"fdsup://directions/FAT%20Viewer?VAR:PED=LTM&amp;VAR:AUDIT_MODE=SUMMARY&amp;VAR:PERIOD=FIXED&amp;VAR:AUDIT_ID=00000117&amp;VAR:DATE=20060616&amp;action=UPDATE&amp;creator=factset&amp;DOC_NAME=FAT:FMA_audit_SUMMARY.fat&amp;DISPLAY_STRING=Display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7__FDSAUDITLINK__" localSheetId="6" hidden="1">{"fdsup://directions/FAT%20Viewer?VAR:PED=LTM&amp;VAR:AUDIT_MODE=SUMMARY&amp;VAR:PERIOD=FIXED&amp;VAR:AUDIT_ID=00000117&amp;VAR:DATE=20060615&amp;action=UPDATE&amp;creator=factset&amp;DOC_NAME=FAT:FMA_audit_SUMMARY.fat&amp;DISPLAY_STRING=Display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7__FDSAUDITLINK__" hidden="1">{"fdsup://directions/FAT%20Viewer?VAR:PED=LTM&amp;VAR:AUDIT_MODE=SUMMARY&amp;VAR:PERIOD=FIXED&amp;VAR:AUDIT_ID=00000117&amp;VAR:DATE=20060615&amp;action=UPDATE&amp;creator=factset&amp;DOC_NAME=FAT:FMA_audit_SUMMARY.fat&amp;DISPLAY_STRING=Display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8__FDSAUDITLINK__" localSheetId="6" hidden="1">{"fdsup://directions/FAT%20Viewer?VAR:PED=LTM&amp;VAR:AUDIT_MODE=SUMMARY&amp;VAR:PERIOD=FIXED&amp;VAR:AUDIT_ID=00000117&amp;VAR:DATE=20060614&amp;action=UPDATE&amp;creator=factset&amp;DOC_NAME=FAT:FMA_audit_SUMMARY.fat&amp;DISPLAY_STRING=Display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8__FDSAUDITLINK__" hidden="1">{"fdsup://directions/FAT%20Viewer?VAR:PED=LTM&amp;VAR:AUDIT_MODE=SUMMARY&amp;VAR:PERIOD=FIXED&amp;VAR:AUDIT_ID=00000117&amp;VAR:DATE=20060614&amp;action=UPDATE&amp;creator=factset&amp;DOC_NAME=FAT:FMA_audit_SUMMARY.fat&amp;DISPLAY_STRING=Display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9__FDSAUDITLINK__" localSheetId="6" hidden="1">{"fdsup://directions/FAT%20Viewer?VAR:PED=LTM&amp;VAR:AUDIT_MODE=SUMMARY&amp;VAR:PERIOD=FIXED&amp;VAR:AUDIT_ID=00000117&amp;VAR:DATE=20060613&amp;action=UPDATE&amp;creator=factset&amp;DOC_NAME=FAT:FMA_audit_SUMMARY.fat&amp;DISPLAY_STRING=Display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49__FDSAUDITLINK__" hidden="1">{"fdsup://directions/FAT%20Viewer?VAR:PED=LTM&amp;VAR:AUDIT_MODE=SUMMARY&amp;VAR:PERIOD=FIXED&amp;VAR:AUDIT_ID=00000117&amp;VAR:DATE=20060613&amp;action=UPDATE&amp;creator=factset&amp;DOC_NAME=FAT:FMA_audit_SUMMARY.fat&amp;DISPLAY_STRING=Display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__FDSAUDITLINK__" localSheetId="6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5__FDSAUDITLINK__" hidden="1">{"fdsup://directions/FAT%20Viewer?VAR:PED=LTM&amp;VAR:AUDIT_MODE=SUMMARY&amp;VAR:PERIOD=FIXED&amp;VAR:AUDIT_ID=00000117&amp;VAR:DATE=20091009&amp;action=UPDATE&amp;creator=factset&amp;DOC_NAME=FAT:FMA_audit_SUMMARY.fat&amp;DISPLAY_STRING=Display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50__FDSAUDITLINK__" localSheetId="6" hidden="1">{"fdsup://directions/FAT%20Viewer?VAR:PED=LTM&amp;VAR:AUDIT_MODE=SUMMARY&amp;VAR:PERIOD=FIXED&amp;VAR:AUDIT_ID=00000117&amp;VAR:DATE=20060612&amp;action=UPDATE&amp;creator=factset&amp;DOC_NAME=FAT:FMA_audit_SUMMARY.fat&amp;DISPLAY_STRING=Display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0__FDSAUDITLINK__" hidden="1">{"fdsup://directions/FAT%20Viewer?VAR:PED=LTM&amp;VAR:AUDIT_MODE=SUMMARY&amp;VAR:PERIOD=FIXED&amp;VAR:AUDIT_ID=00000117&amp;VAR:DATE=20060612&amp;action=UPDATE&amp;creator=factset&amp;DOC_NAME=FAT:FMA_audit_SUMMARY.fat&amp;DISPLAY_STRING=Display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1__FDSAUDITLINK__" localSheetId="6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1__FDSAUDITLINK__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2__FDSAUDITLINK__" localSheetId="6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2__FDSAUDITLINK__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3__FDSAUDITLINK__" localSheetId="6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3__FDSAUDITLINK__" hidden="1">{"fdsup://directions/FAT%20Viewer?VAR:PED=LTM&amp;VAR:AUDIT_MODE=SUMMARY&amp;VAR:PERIOD=FIXED&amp;VAR:AUDIT_ID=00000117&amp;VAR:DATE=20060609&amp;action=UPDATE&amp;creator=factset&amp;DOC_NAME=FAT:FMA_audit_SUMMARY.fat&amp;DISPLAY_STRING=Display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4__FDSAUDITLINK__" localSheetId="6" hidden="1">{"fdsup://directions/FAT%20Viewer?VAR:PED=LTM&amp;VAR:AUDIT_MODE=SUMMARY&amp;VAR:PERIOD=FIXED&amp;VAR:AUDIT_ID=00000117&amp;VAR:DATE=20060608&amp;action=UPDATE&amp;creator=factset&amp;DOC_NAME=FAT:FMA_audit_SUMMARY.fat&amp;DISPLAY_STRING=Display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4__FDSAUDITLINK__" hidden="1">{"fdsup://directions/FAT%20Viewer?VAR:PED=LTM&amp;VAR:AUDIT_MODE=SUMMARY&amp;VAR:PERIOD=FIXED&amp;VAR:AUDIT_ID=00000117&amp;VAR:DATE=20060608&amp;action=UPDATE&amp;creator=factset&amp;DOC_NAME=FAT:FMA_audit_SUMMARY.fat&amp;DISPLAY_STRING=Display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5__FDSAUDITLINK__" localSheetId="6" hidden="1">{"fdsup://directions/FAT%20Viewer?VAR:PED=LTM&amp;VAR:AUDIT_MODE=SUMMARY&amp;VAR:PERIOD=FIXED&amp;VAR:AUDIT_ID=00000117&amp;VAR:DATE=20060607&amp;action=UPDATE&amp;creator=factset&amp;DOC_NAME=FAT:FMA_audit_SUMMARY.fat&amp;DISPLAY_STRING=Display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5__FDSAUDITLINK__" hidden="1">{"fdsup://directions/FAT%20Viewer?VAR:PED=LTM&amp;VAR:AUDIT_MODE=SUMMARY&amp;VAR:PERIOD=FIXED&amp;VAR:AUDIT_ID=00000117&amp;VAR:DATE=20060607&amp;action=UPDATE&amp;creator=factset&amp;DOC_NAME=FAT:FMA_audit_SUMMARY.fat&amp;DISPLAY_STRING=Display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6__FDSAUDITLINK__" localSheetId="6" hidden="1">{"fdsup://directions/FAT%20Viewer?VAR:PED=LTM&amp;VAR:AUDIT_MODE=SUMMARY&amp;VAR:PERIOD=FIXED&amp;VAR:AUDIT_ID=00000117&amp;VAR:DATE=20060606&amp;action=UPDATE&amp;creator=factset&amp;DOC_NAME=FAT:FMA_audit_SUMMARY.fat&amp;DISPLAY_STRING=Display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6__FDSAUDITLINK__" hidden="1">{"fdsup://directions/FAT%20Viewer?VAR:PED=LTM&amp;VAR:AUDIT_MODE=SUMMARY&amp;VAR:PERIOD=FIXED&amp;VAR:AUDIT_ID=00000117&amp;VAR:DATE=20060606&amp;action=UPDATE&amp;creator=factset&amp;DOC_NAME=FAT:FMA_audit_SUMMARY.fat&amp;DISPLAY_STRING=Display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7__FDSAUDITLINK__" localSheetId="6" hidden="1">{"fdsup://directions/FAT%20Viewer?VAR:PED=LTM&amp;VAR:AUDIT_MODE=SUMMARY&amp;VAR:PERIOD=FIXED&amp;VAR:AUDIT_ID=00000117&amp;VAR:DATE=20060605&amp;action=UPDATE&amp;creator=factset&amp;DOC_NAME=FAT:FMA_audit_SUMMARY.fat&amp;DISPLAY_STRING=Display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7__FDSAUDITLINK__" hidden="1">{"fdsup://directions/FAT%20Viewer?VAR:PED=LTM&amp;VAR:AUDIT_MODE=SUMMARY&amp;VAR:PERIOD=FIXED&amp;VAR:AUDIT_ID=00000117&amp;VAR:DATE=20060605&amp;action=UPDATE&amp;creator=factset&amp;DOC_NAME=FAT:FMA_audit_SUMMARY.fat&amp;DISPLAY_STRING=Display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8__FDSAUDITLINK__" localSheetId="6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8__FDSAUDITLINK__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9__FDSAUDITLINK__" localSheetId="6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59__FDSAUDITLINK__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__FDSAUDITLINK__" localSheetId="6" hidden="1">{"fdsup://directions/FAT%20Viewer?VAR:PED=LTM&amp;VAR:AUDIT_MODE=SUMMARY&amp;VAR:PERIOD=FIXED&amp;VAR:AUDIT_ID=00000117&amp;VAR:DATE=20091008&amp;action=UPDATE&amp;creator=factset&amp;DOC_NAME=FAT:FMA_audit_SUMMARY.fat&amp;DISPLAY_STRING=Display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6__FDSAUDITLINK__" hidden="1">{"fdsup://directions/FAT%20Viewer?VAR:PED=LTM&amp;VAR:AUDIT_MODE=SUMMARY&amp;VAR:PERIOD=FIXED&amp;VAR:AUDIT_ID=00000117&amp;VAR:DATE=20091008&amp;action=UPDATE&amp;creator=factset&amp;DOC_NAME=FAT:FMA_audit_SUMMARY.fat&amp;DISPLAY_STRING=Display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60__FDSAUDITLINK__" localSheetId="6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0__FDSAUDITLINK__" hidden="1">{"fdsup://directions/FAT%20Viewer?VAR:PED=LTM&amp;VAR:AUDIT_MODE=SUMMARY&amp;VAR:PERIOD=FIXED&amp;VAR:AUDIT_ID=00000117&amp;VAR:DATE=20060602&amp;action=UPDATE&amp;creator=factset&amp;DOC_NAME=FAT:FMA_audit_SUMMARY.fat&amp;DISPLAY_STRING=Display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1__FDSAUDITLINK__" localSheetId="6" hidden="1">{"fdsup://directions/FAT%20Viewer?VAR:PED=LTM&amp;VAR:AUDIT_MODE=SUMMARY&amp;VAR:PERIOD=FIXED&amp;VAR:AUDIT_ID=00000117&amp;VAR:DATE=20060601&amp;action=UPDATE&amp;creator=factset&amp;DOC_NAME=FAT:FMA_audit_SUMMARY.fat&amp;DISPLAY_STRING=Display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1__FDSAUDITLINK__" hidden="1">{"fdsup://directions/FAT%20Viewer?VAR:PED=LTM&amp;VAR:AUDIT_MODE=SUMMARY&amp;VAR:PERIOD=FIXED&amp;VAR:AUDIT_ID=00000117&amp;VAR:DATE=20060601&amp;action=UPDATE&amp;creator=factset&amp;DOC_NAME=FAT:FMA_audit_SUMMARY.fat&amp;DISPLAY_STRING=Display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2__FDSAUDITLINK__" localSheetId="6" hidden="1">{"fdsup://directions/FAT%20Viewer?VAR:PED=LTM&amp;VAR:AUDIT_MODE=SUMMARY&amp;VAR:PERIOD=FIXED&amp;VAR:AUDIT_ID=00000117&amp;VAR:DATE=20060531&amp;action=UPDATE&amp;creator=factset&amp;DOC_NAME=FAT:FMA_audit_SUMMARY.fat&amp;DISPLAY_STRING=Display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2__FDSAUDITLINK__" hidden="1">{"fdsup://directions/FAT%20Viewer?VAR:PED=LTM&amp;VAR:AUDIT_MODE=SUMMARY&amp;VAR:PERIOD=FIXED&amp;VAR:AUDIT_ID=00000117&amp;VAR:DATE=20060531&amp;action=UPDATE&amp;creator=factset&amp;DOC_NAME=FAT:FMA_audit_SUMMARY.fat&amp;DISPLAY_STRING=Display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EBITDA&amp;VAR:CHGPERIOD=NA&amp;VAR:FQLFORMULA=FMA_EVAL_EBITDA&amp;VAR:CURRENCY=NA&amp;VAR:P=NA&amp;VAR:V=11.4","16362&amp;VAR:null=.html"}</definedName>
    <definedName name="_1363__FDSAUDITLINK__" localSheetId="6" hidden="1">{"fdsup://directions/FAT%20Viewer?VAR:PED=LTM&amp;VAR:AUDIT_MODE=SUMMARY&amp;VAR:PERIOD=FIXED&amp;VAR:AUDIT_ID=00000117&amp;VAR:DATE=20060530&amp;action=UPDATE&amp;creator=factset&amp;DOC_NAME=FAT:FMA_audit_SUMMARY.fat&amp;DISPLAY_STRING=Display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3__FDSAUDITLINK__" hidden="1">{"fdsup://directions/FAT%20Viewer?VAR:PED=LTM&amp;VAR:AUDIT_MODE=SUMMARY&amp;VAR:PERIOD=FIXED&amp;VAR:AUDIT_ID=00000117&amp;VAR:DATE=20060530&amp;action=UPDATE&amp;creator=factset&amp;DOC_NAME=FAT:FMA_audit_SUMMARY.fat&amp;DISPLAY_STRING=Display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4__FDSAUDITLINK__" localSheetId="6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4__FDSAUDITLINK__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5__FDSAUDITLINK__" localSheetId="6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5__FDSAUDITLINK__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6__FDSAUDITLINK__" localSheetId="6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6__FDSAUDITLINK__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7__FDSAUDITLINK__" localSheetId="6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7__FDSAUDITLINK__" hidden="1">{"fdsup://directions/FAT%20Viewer?VAR:PED=LTM&amp;VAR:AUDIT_MODE=SUMMARY&amp;VAR:PERIOD=FIXED&amp;VAR:AUDIT_ID=00000117&amp;VAR:DATE=20060526&amp;action=UPDATE&amp;creator=factset&amp;DOC_NAME=FAT:FMA_audit_SUMMARY.fat&amp;DISPLAY_STRING=Display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8__FDSAUDITLINK__" localSheetId="6" hidden="1">{"fdsup://directions/FAT%20Viewer?VAR:PED=LTM&amp;VAR:AUDIT_MODE=SUMMARY&amp;VAR:PERIOD=FIXED&amp;VAR:AUDIT_ID=00000117&amp;VAR:DATE=20060525&amp;action=UPDATE&amp;creator=factset&amp;DOC_NAME=FAT:FMA_audit_SUMMARY.fat&amp;DISPLAY_STRING=Display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8__FDSAUDITLINK__" hidden="1">{"fdsup://directions/FAT%20Viewer?VAR:PED=LTM&amp;VAR:AUDIT_MODE=SUMMARY&amp;VAR:PERIOD=FIXED&amp;VAR:AUDIT_ID=00000117&amp;VAR:DATE=20060525&amp;action=UPDATE&amp;creator=factset&amp;DOC_NAME=FAT:FMA_audit_SUMMARY.fat&amp;DISPLAY_STRING=Display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9__FDSAUDITLINK__" localSheetId="6" hidden="1">{"fdsup://directions/FAT%20Viewer?VAR:PED=LTM&amp;VAR:AUDIT_MODE=SUMMARY&amp;VAR:PERIOD=FIXED&amp;VAR:AUDIT_ID=00000117&amp;VAR:DATE=20060524&amp;action=UPDATE&amp;creator=factset&amp;DOC_NAME=FAT:FMA_audit_SUMMARY.fat&amp;DISPLAY_STRING=Display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69__FDSAUDITLINK__" hidden="1">{"fdsup://directions/FAT%20Viewer?VAR:PED=LTM&amp;VAR:AUDIT_MODE=SUMMARY&amp;VAR:PERIOD=FIXED&amp;VAR:AUDIT_ID=00000117&amp;VAR:DATE=20060524&amp;action=UPDATE&amp;creator=factset&amp;DOC_NAME=FAT:FMA_audit_SUMMARY.fat&amp;DISPLAY_STRING=Display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__FDSAUDITLINK__" localSheetId="6" hidden="1">{"fdsup://directions/FAT%20Viewer?VAR:PED=LTM&amp;VAR:AUDIT_MODE=SUMMARY&amp;VAR:PERIOD=FIXED&amp;VAR:AUDIT_ID=00000117&amp;VAR:DATE=20091007&amp;action=UPDATE&amp;creator=factset&amp;DOC_NAME=FAT:FMA_audit_SUMMARY.fat&amp;DISPLAY_STRING=Display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7__FDSAUDITLINK__" hidden="1">{"fdsup://directions/FAT%20Viewer?VAR:PED=LTM&amp;VAR:AUDIT_MODE=SUMMARY&amp;VAR:PERIOD=FIXED&amp;VAR:AUDIT_ID=00000117&amp;VAR:DATE=20091007&amp;action=UPDATE&amp;creator=factset&amp;DOC_NAME=FAT:FMA_audit_SUMMARY.fat&amp;DISPLAY_STRING=Display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70__FDSAUDITLINK__" localSheetId="6" hidden="1">{"fdsup://directions/FAT%20Viewer?VAR:PED=LTM&amp;VAR:AUDIT_MODE=SUMMARY&amp;VAR:PERIOD=FIXED&amp;VAR:AUDIT_ID=00000117&amp;VAR:DATE=20060523&amp;action=UPDATE&amp;creator=factset&amp;DOC_NAME=FAT:FMA_audit_SUMMARY.fat&amp;DISPLAY_STRING=Display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0__FDSAUDITLINK__" hidden="1">{"fdsup://directions/FAT%20Viewer?VAR:PED=LTM&amp;VAR:AUDIT_MODE=SUMMARY&amp;VAR:PERIOD=FIXED&amp;VAR:AUDIT_ID=00000117&amp;VAR:DATE=20060523&amp;action=UPDATE&amp;creator=factset&amp;DOC_NAME=FAT:FMA_audit_SUMMARY.fat&amp;DISPLAY_STRING=Display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1__FDSAUDITLINK__" localSheetId="6" hidden="1">{"fdsup://directions/FAT%20Viewer?VAR:PED=LTM&amp;VAR:AUDIT_MODE=SUMMARY&amp;VAR:PERIOD=FIXED&amp;VAR:AUDIT_ID=00000117&amp;VAR:DATE=20060522&amp;action=UPDATE&amp;creator=factset&amp;DOC_NAME=FAT:FMA_audit_SUMMARY.fat&amp;DISPLAY_STRING=Display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1__FDSAUDITLINK__" hidden="1">{"fdsup://directions/FAT%20Viewer?VAR:PED=LTM&amp;VAR:AUDIT_MODE=SUMMARY&amp;VAR:PERIOD=FIXED&amp;VAR:AUDIT_ID=00000117&amp;VAR:DATE=20060522&amp;action=UPDATE&amp;creator=factset&amp;DOC_NAME=FAT:FMA_audit_SUMMARY.fat&amp;DISPLAY_STRING=Display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2__FDSAUDITLINK__" localSheetId="6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2__FDSAUDITLINK__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3__FDSAUDITLINK__" localSheetId="6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3__FDSAUDITLINK__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4__FDSAUDITLINK__" localSheetId="6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4__FDSAUDITLINK__" hidden="1">{"fdsup://directions/FAT%20Viewer?VAR:PED=LTM&amp;VAR:AUDIT_MODE=SUMMARY&amp;VAR:PERIOD=FIXED&amp;VAR:AUDIT_ID=00000117&amp;VAR:DATE=20060519&amp;action=UPDATE&amp;creator=factset&amp;DOC_NAME=FAT:FMA_audit_SUMMARY.fat&amp;DISPLAY_STRING=Display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5__FDSAUDITLINK__" localSheetId="6" hidden="1">{"fdsup://directions/FAT%20Viewer?VAR:PED=LTM&amp;VAR:AUDIT_MODE=SUMMARY&amp;VAR:PERIOD=FIXED&amp;VAR:AUDIT_ID=00000117&amp;VAR:DATE=20060518&amp;action=UPDATE&amp;creator=factset&amp;DOC_NAME=FAT:FMA_audit_SUMMARY.fat&amp;DISPLAY_STRING=Display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5__FDSAUDITLINK__" hidden="1">{"fdsup://directions/FAT%20Viewer?VAR:PED=LTM&amp;VAR:AUDIT_MODE=SUMMARY&amp;VAR:PERIOD=FIXED&amp;VAR:AUDIT_ID=00000117&amp;VAR:DATE=20060518&amp;action=UPDATE&amp;creator=factset&amp;DOC_NAME=FAT:FMA_audit_SUMMARY.fat&amp;DISPLAY_STRING=Display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6__FDSAUDITLINK__" localSheetId="6" hidden="1">{"fdsup://directions/FAT%20Viewer?VAR:PED=LTM&amp;VAR:AUDIT_MODE=SUMMARY&amp;VAR:PERIOD=FIXED&amp;VAR:AUDIT_ID=00000117&amp;VAR:DATE=20060517&amp;action=UPDATE&amp;creator=factset&amp;DOC_NAME=FAT:FMA_audit_SUMMARY.fat&amp;DISPLAY_STRING=Display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6__FDSAUDITLINK__" hidden="1">{"fdsup://directions/FAT%20Viewer?VAR:PED=LTM&amp;VAR:AUDIT_MODE=SUMMARY&amp;VAR:PERIOD=FIXED&amp;VAR:AUDIT_ID=00000117&amp;VAR:DATE=20060517&amp;action=UPDATE&amp;creator=factset&amp;DOC_NAME=FAT:FMA_audit_SUMMARY.fat&amp;DISPLAY_STRING=Display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7__FDSAUDITLINK__" localSheetId="6" hidden="1">{"fdsup://directions/FAT%20Viewer?VAR:PED=LTM&amp;VAR:AUDIT_MODE=SUMMARY&amp;VAR:PERIOD=FIXED&amp;VAR:AUDIT_ID=00000117&amp;VAR:DATE=20060516&amp;action=UPDATE&amp;creator=factset&amp;DOC_NAME=FAT:FMA_audit_SUMMARY.fat&amp;DISPLAY_STRING=Display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7__FDSAUDITLINK__" hidden="1">{"fdsup://directions/FAT%20Viewer?VAR:PED=LTM&amp;VAR:AUDIT_MODE=SUMMARY&amp;VAR:PERIOD=FIXED&amp;VAR:AUDIT_ID=00000117&amp;VAR:DATE=20060516&amp;action=UPDATE&amp;creator=factset&amp;DOC_NAME=FAT:FMA_audit_SUMMARY.fat&amp;DISPLAY_STRING=Display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8__FDSAUDITLINK__" localSheetId="6" hidden="1">{"fdsup://directions/FAT%20Viewer?VAR:PED=LTM&amp;VAR:AUDIT_MODE=SUMMARY&amp;VAR:PERIOD=FIXED&amp;VAR:AUDIT_ID=00000117&amp;VAR:DATE=20060515&amp;action=UPDATE&amp;creator=factset&amp;DOC_NAME=FAT:FMA_audit_SUMMARY.fat&amp;DISPLAY_STRING=Display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8__FDSAUDITLINK__" hidden="1">{"fdsup://directions/FAT%20Viewer?VAR:PED=LTM&amp;VAR:AUDIT_MODE=SUMMARY&amp;VAR:PERIOD=FIXED&amp;VAR:AUDIT_ID=00000117&amp;VAR:DATE=20060515&amp;action=UPDATE&amp;creator=factset&amp;DOC_NAME=FAT:FMA_audit_SUMMARY.fat&amp;DISPLAY_STRING=Display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9__FDSAUDITLINK__" localSheetId="6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79__FDSAUDITLINK__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__FDSAUDITLINK__" localSheetId="6" hidden="1">{"fdsup://directions/FAT%20Viewer?VAR:PED=LTM&amp;VAR:AUDIT_MODE=SUMMARY&amp;VAR:PERIOD=FIXED&amp;VAR:AUDIT_ID=00000117&amp;VAR:DATE=20091006&amp;action=UPDATE&amp;creator=factset&amp;DOC_NAME=FAT:FMA_audit_SUMMARY.fat&amp;DISPLAY_STRING=Display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8__FDSAUDITLINK__" hidden="1">{"fdsup://directions/FAT%20Viewer?VAR:PED=LTM&amp;VAR:AUDIT_MODE=SUMMARY&amp;VAR:PERIOD=FIXED&amp;VAR:AUDIT_ID=00000117&amp;VAR:DATE=20091006&amp;action=UPDATE&amp;creator=factset&amp;DOC_NAME=FAT:FMA_audit_SUMMARY.fat&amp;DISPLAY_STRING=Display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80__FDSAUDITLINK__" localSheetId="6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0__FDSAUDITLINK__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1__FDSAUDITLINK__" localSheetId="6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1__FDSAUDITLINK__" hidden="1">{"fdsup://directions/FAT%20Viewer?VAR:PED=LTM&amp;VAR:AUDIT_MODE=SUMMARY&amp;VAR:PERIOD=FIXED&amp;VAR:AUDIT_ID=00000117&amp;VAR:DATE=20060512&amp;action=UPDATE&amp;creator=factset&amp;DOC_NAME=FAT:FMA_audit_SUMMARY.fat&amp;DISPLAY_STRING=Display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2__FDSAUDITLINK__" localSheetId="6" hidden="1">{"fdsup://directions/FAT%20Viewer?VAR:PED=LTM&amp;VAR:AUDIT_MODE=SUMMARY&amp;VAR:PERIOD=FIXED&amp;VAR:AUDIT_ID=00000117&amp;VAR:DATE=20060511&amp;action=UPDATE&amp;creator=factset&amp;DOC_NAME=FAT:FMA_audit_SUMMARY.fat&amp;DISPLAY_STRING=Display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2__FDSAUDITLINK__" hidden="1">{"fdsup://directions/FAT%20Viewer?VAR:PED=LTM&amp;VAR:AUDIT_MODE=SUMMARY&amp;VAR:PERIOD=FIXED&amp;VAR:AUDIT_ID=00000117&amp;VAR:DATE=20060511&amp;action=UPDATE&amp;creator=factset&amp;DOC_NAME=FAT:FMA_audit_SUMMARY.fat&amp;DISPLAY_STRING=Display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3__FDSAUDITLINK__" localSheetId="6" hidden="1">{"fdsup://directions/FAT%20Viewer?VAR:PED=LTM&amp;VAR:AUDIT_MODE=SUMMARY&amp;VAR:PERIOD=FIXED&amp;VAR:AUDIT_ID=00000117&amp;VAR:DATE=20060510&amp;action=UPDATE&amp;creator=factset&amp;DOC_NAME=FAT:FMA_audit_SUMMARY.fat&amp;DISPLAY_STRING=Display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3__FDSAUDITLINK__" hidden="1">{"fdsup://directions/FAT%20Viewer?VAR:PED=LTM&amp;VAR:AUDIT_MODE=SUMMARY&amp;VAR:PERIOD=FIXED&amp;VAR:AUDIT_ID=00000117&amp;VAR:DATE=20060510&amp;action=UPDATE&amp;creator=factset&amp;DOC_NAME=FAT:FMA_audit_SUMMARY.fat&amp;DISPLAY_STRING=Display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4__FDSAUDITLINK__" localSheetId="6" hidden="1">{"fdsup://directions/FAT%20Viewer?VAR:PED=LTM&amp;VAR:AUDIT_MODE=SUMMARY&amp;VAR:PERIOD=FIXED&amp;VAR:AUDIT_ID=00000117&amp;VAR:DATE=20060509&amp;action=UPDATE&amp;creator=factset&amp;DOC_NAME=FAT:FMA_audit_SUMMARY.fat&amp;DISPLAY_STRING=Display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4__FDSAUDITLINK__" hidden="1">{"fdsup://directions/FAT%20Viewer?VAR:PED=LTM&amp;VAR:AUDIT_MODE=SUMMARY&amp;VAR:PERIOD=FIXED&amp;VAR:AUDIT_ID=00000117&amp;VAR:DATE=20060509&amp;action=UPDATE&amp;creator=factset&amp;DOC_NAME=FAT:FMA_audit_SUMMARY.fat&amp;DISPLAY_STRING=Display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5__FDSAUDITLINK__" localSheetId="6" hidden="1">{"fdsup://directions/FAT%20Viewer?VAR:PED=LTM&amp;VAR:AUDIT_MODE=SUMMARY&amp;VAR:PERIOD=FIXED&amp;VAR:AUDIT_ID=00000117&amp;VAR:DATE=20060508&amp;action=UPDATE&amp;creator=factset&amp;DOC_NAME=FAT:FMA_audit_SUMMARY.fat&amp;DISPLAY_STRING=Display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5__FDSAUDITLINK__" hidden="1">{"fdsup://directions/FAT%20Viewer?VAR:PED=LTM&amp;VAR:AUDIT_MODE=SUMMARY&amp;VAR:PERIOD=FIXED&amp;VAR:AUDIT_ID=00000117&amp;VAR:DATE=20060508&amp;action=UPDATE&amp;creator=factset&amp;DOC_NAME=FAT:FMA_audit_SUMMARY.fat&amp;DISPLAY_STRING=Display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6__FDSAUDITLINK__" localSheetId="6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6__FDSAUDITLINK__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7__FDSAUDITLINK__" localSheetId="6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7__FDSAUDITLINK__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8__FDSAUDITLINK__" localSheetId="6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8__FDSAUDITLINK__" hidden="1">{"fdsup://directions/FAT%20Viewer?VAR:PED=LTM&amp;VAR:AUDIT_MODE=SUMMARY&amp;VAR:PERIOD=FIXED&amp;VAR:AUDIT_ID=00000117&amp;VAR:DATE=20060505&amp;action=UPDATE&amp;creator=factset&amp;DOC_NAME=FAT:FMA_audit_SUMMARY.fat&amp;DISPLAY_STRING=Display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9__FDSAUDITLINK__" localSheetId="6" hidden="1">{"fdsup://directions/FAT%20Viewer?VAR:PED=LTM&amp;VAR:AUDIT_MODE=SUMMARY&amp;VAR:PERIOD=FIXED&amp;VAR:AUDIT_ID=00000117&amp;VAR:DATE=20060504&amp;action=UPDATE&amp;creator=factset&amp;DOC_NAME=FAT:FMA_audit_SUMMARY.fat&amp;DISPLAY_STRING=Display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89__FDSAUDITLINK__" hidden="1">{"fdsup://directions/FAT%20Viewer?VAR:PED=LTM&amp;VAR:AUDIT_MODE=SUMMARY&amp;VAR:PERIOD=FIXED&amp;VAR:AUDIT_ID=00000117&amp;VAR:DATE=20060504&amp;action=UPDATE&amp;creator=factset&amp;DOC_NAME=FAT:FMA_audit_SUMMARY.fat&amp;DISPLAY_STRING=Display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__FDSAUDITLINK__" localSheetId="6" hidden="1">{"fdsup://directions/FAT%20Viewer?VAR:PED=LTM&amp;VAR:AUDIT_MODE=SUMMARY&amp;VAR:PERIOD=FIXED&amp;VAR:AUDIT_ID=00000117&amp;VAR:DATE=20091005&amp;action=UPDATE&amp;creator=factset&amp;DOC_NAME=FAT:FMA_audit_SUMMARY.fat&amp;DISPLAY_STRING=Display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9__FDSAUDITLINK__" hidden="1">{"fdsup://directions/FAT%20Viewer?VAR:PED=LTM&amp;VAR:AUDIT_MODE=SUMMARY&amp;VAR:PERIOD=FIXED&amp;VAR:AUDIT_ID=00000117&amp;VAR:DATE=20091005&amp;action=UPDATE&amp;creator=factset&amp;DOC_NAME=FAT:FMA_audit_SUMMARY.fat&amp;DISPLAY_STRING=Display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390__FDSAUDITLINK__" localSheetId="6" hidden="1">{"fdsup://directions/FAT%20Viewer?VAR:PED=LTM&amp;VAR:AUDIT_MODE=SUMMARY&amp;VAR:PERIOD=FIXED&amp;VAR:AUDIT_ID=00000117&amp;VAR:DATE=20060503&amp;action=UPDATE&amp;creator=factset&amp;DOC_NAME=FAT:FMA_audit_SUMMARY.fat&amp;DISPLAY_STRING=Display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0__FDSAUDITLINK__" hidden="1">{"fdsup://directions/FAT%20Viewer?VAR:PED=LTM&amp;VAR:AUDIT_MODE=SUMMARY&amp;VAR:PERIOD=FIXED&amp;VAR:AUDIT_ID=00000117&amp;VAR:DATE=20060503&amp;action=UPDATE&amp;creator=factset&amp;DOC_NAME=FAT:FMA_audit_SUMMARY.fat&amp;DISPLAY_STRING=Display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1__FDSAUDITLINK__" localSheetId="6" hidden="1">{"fdsup://directions/FAT%20Viewer?VAR:PED=LTM&amp;VAR:AUDIT_MODE=SUMMARY&amp;VAR:PERIOD=FIXED&amp;VAR:AUDIT_ID=00000117&amp;VAR:DATE=20060502&amp;action=UPDATE&amp;creator=factset&amp;DOC_NAME=FAT:FMA_audit_SUMMARY.fat&amp;DISPLAY_STRING=Display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1__FDSAUDITLINK__" hidden="1">{"fdsup://directions/FAT%20Viewer?VAR:PED=LTM&amp;VAR:AUDIT_MODE=SUMMARY&amp;VAR:PERIOD=FIXED&amp;VAR:AUDIT_ID=00000117&amp;VAR:DATE=20060502&amp;action=UPDATE&amp;creator=factset&amp;DOC_NAME=FAT:FMA_audit_SUMMARY.fat&amp;DISPLAY_STRING=Display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2__FDSAUDITLINK__" localSheetId="6" hidden="1">{"fdsup://directions/FAT%20Viewer?VAR:PED=LTM&amp;VAR:AUDIT_MODE=SUMMARY&amp;VAR:PERIOD=FIXED&amp;VAR:AUDIT_ID=00000117&amp;VAR:DATE=20060501&amp;action=UPDATE&amp;creator=factset&amp;DOC_NAME=FAT:FMA_audit_SUMMARY.fat&amp;DISPLAY_STRING=Display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2__FDSAUDITLINK__" hidden="1">{"fdsup://directions/FAT%20Viewer?VAR:PED=LTM&amp;VAR:AUDIT_MODE=SUMMARY&amp;VAR:PERIOD=FIXED&amp;VAR:AUDIT_ID=00000117&amp;VAR:DATE=20060501&amp;action=UPDATE&amp;creator=factset&amp;DOC_NAME=FAT:FMA_audit_SUMMARY.fat&amp;DISPLAY_STRING=Display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EBITDA&amp;VAR:CHGPERIOD=NA&amp;VAR:FQLFORMULA=FMA_EVAL_EBITDA&amp;VAR:CURRENCY=NA&amp;VAR:P=NA&amp;VAR:V=11.4","56483&amp;VAR:null=.html"}</definedName>
    <definedName name="_1393__FDSAUDITLINK__" localSheetId="6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3__FDSAUDITLINK__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4__FDSAUDITLINK__" localSheetId="6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4__FDSAUDITLINK__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5__FDSAUDITLINK__" localSheetId="6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5__FDSAUDITLINK__" hidden="1">{"fdsup://directions/FAT%20Viewer?VAR:PED=LTM&amp;VAR:AUDIT_MODE=SUMMARY&amp;VAR:PERIOD=FIXED&amp;VAR:AUDIT_ID=00000117&amp;VAR:DATE=20060428&amp;action=UPDATE&amp;creator=factset&amp;DOC_NAME=FAT:FMA_audit_SUMMARY.fat&amp;DISPLAY_STRING=Display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6__FDSAUDITLINK__" localSheetId="6" hidden="1">{"fdsup://directions/FAT%20Viewer?VAR:PED=LTM&amp;VAR:AUDIT_MODE=SUMMARY&amp;VAR:PERIOD=FIXED&amp;VAR:AUDIT_ID=00000117&amp;VAR:DATE=20060427&amp;action=UPDATE&amp;creator=factset&amp;DOC_NAME=FAT:FMA_audit_SUMMARY.fat&amp;DISPLAY_STRING=Display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6__FDSAUDITLINK__" hidden="1">{"fdsup://directions/FAT%20Viewer?VAR:PED=LTM&amp;VAR:AUDIT_MODE=SUMMARY&amp;VAR:PERIOD=FIXED&amp;VAR:AUDIT_ID=00000117&amp;VAR:DATE=20060427&amp;action=UPDATE&amp;creator=factset&amp;DOC_NAME=FAT:FMA_audit_SUMMARY.fat&amp;DISPLAY_STRING=Display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7__FDSAUDITLINK__" localSheetId="6" hidden="1">{"fdsup://directions/FAT%20Viewer?VAR:PED=LTM&amp;VAR:AUDIT_MODE=SUMMARY&amp;VAR:PERIOD=FIXED&amp;VAR:AUDIT_ID=00000117&amp;VAR:DATE=20060426&amp;action=UPDATE&amp;creator=factset&amp;DOC_NAME=FAT:FMA_audit_SUMMARY.fat&amp;DISPLAY_STRING=Display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7__FDSAUDITLINK__" hidden="1">{"fdsup://directions/FAT%20Viewer?VAR:PED=LTM&amp;VAR:AUDIT_MODE=SUMMARY&amp;VAR:PERIOD=FIXED&amp;VAR:AUDIT_ID=00000117&amp;VAR:DATE=20060426&amp;action=UPDATE&amp;creator=factset&amp;DOC_NAME=FAT:FMA_audit_SUMMARY.fat&amp;DISPLAY_STRING=Display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8__FDSAUDITLINK__" localSheetId="6" hidden="1">{"fdsup://directions/FAT%20Viewer?VAR:PED=LTM&amp;VAR:AUDIT_MODE=SUMMARY&amp;VAR:PERIOD=FIXED&amp;VAR:AUDIT_ID=00000117&amp;VAR:DATE=20060425&amp;action=UPDATE&amp;creator=factset&amp;DOC_NAME=FAT:FMA_audit_SUMMARY.fat&amp;DISPLAY_STRING=Display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8__FDSAUDITLINK__" hidden="1">{"fdsup://directions/FAT%20Viewer?VAR:PED=LTM&amp;VAR:AUDIT_MODE=SUMMARY&amp;VAR:PERIOD=FIXED&amp;VAR:AUDIT_ID=00000117&amp;VAR:DATE=20060425&amp;action=UPDATE&amp;creator=factset&amp;DOC_NAME=FAT:FMA_audit_SUMMARY.fat&amp;DISPLAY_STRING=Display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9__FDSAUDITLINK__" localSheetId="6" hidden="1">{"fdsup://directions/FAT%20Viewer?VAR:PED=LTM&amp;VAR:AUDIT_MODE=SUMMARY&amp;VAR:PERIOD=FIXED&amp;VAR:AUDIT_ID=00000117&amp;VAR:DATE=20060424&amp;action=UPDATE&amp;creator=factset&amp;DOC_NAME=FAT:FMA_audit_SUMMARY.fat&amp;DISPLAY_STRING=Display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399__FDSAUDITLINK__" hidden="1">{"fdsup://directions/FAT%20Viewer?VAR:PED=LTM&amp;VAR:AUDIT_MODE=SUMMARY&amp;VAR:PERIOD=FIXED&amp;VAR:AUDIT_ID=00000117&amp;VAR:DATE=20060424&amp;action=UPDATE&amp;creator=factset&amp;DOC_NAME=FAT:FMA_audit_SUMMARY.fat&amp;DISPLAY_STRING=Display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__FDSAUDITLINK__" localSheetId="6" hidden="1">{"fdsup://directions/FAT Viewer?action=UPDATE&amp;creator=factset&amp;DYN_ARGS=TRUE&amp;DOC_NAME=FAT:FQL_AUDITING_CLIENT_TEMPLATE.FAT&amp;display_string=Audit&amp;VAR:KEY=CZEPYDIJKP&amp;VAR:QUERY=QVZHKENTRl9ORVRfSU5DKEFOTiwwRlksLTZGWSxZKSkgLyAoQVZHKENTRl9BU1NFVFMoQU5OLDBGWSwtNkZZL","EZZKSkgLSBBVkcoQ1NGX0lOVEFORyhBTk4sMCwtNkZZLEZZKSkp&amp;WINDOW=FIRST_POPUP&amp;HEIGHT=450&amp;WIDTH=450&amp;START_MAXIMIZED=FALSE&amp;VAR:CALENDAR=US&amp;VAR:SYMBOL=DSX"}</definedName>
    <definedName name="_14__FDSAUDITLINK__" hidden="1">{"fdsup://directions/FAT Viewer?action=UPDATE&amp;creator=factset&amp;DYN_ARGS=TRUE&amp;DOC_NAME=FAT:FQL_AUDITING_CLIENT_TEMPLATE.FAT&amp;display_string=Audit&amp;VAR:KEY=CZEPYDIJKP&amp;VAR:QUERY=QVZHKENTRl9ORVRfSU5DKEFOTiwwRlksLTZGWSxZKSkgLyAoQVZHKENTRl9BU1NFVFMoQU5OLDBGWSwtNkZZL","EZZKSkgLSBBVkcoQ1NGX0lOVEFORyhBTk4sMCwtNkZZLEZZKSkp&amp;WINDOW=FIRST_POPUP&amp;HEIGHT=450&amp;WIDTH=450&amp;START_MAXIMIZED=FALSE&amp;VAR:CALENDAR=US&amp;VAR:SYMBOL=DSX"}</definedName>
    <definedName name="_140__FDSAUDITLINK__" localSheetId="6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0__FDSAUDITLINK__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00__FDSAUDITLINK__" localSheetId="6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0__FDSAUDITLINK__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1__FDSAUDITLINK__" localSheetId="6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1__FDSAUDITLINK__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2__FDSAUDITLINK__" localSheetId="6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2__FDSAUDITLINK__" hidden="1">{"fdsup://directions/FAT%20Viewer?VAR:PED=LTM&amp;VAR:AUDIT_MODE=SUMMARY&amp;VAR:PERIOD=FIXED&amp;VAR:AUDIT_ID=00000117&amp;VAR:DATE=20060421&amp;action=UPDATE&amp;creator=factset&amp;DOC_NAME=FAT:FMA_audit_SUMMARY.fat&amp;DISPLAY_STRING=Display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3__FDSAUDITLINK__" localSheetId="6" hidden="1">{"fdsup://directions/FAT%20Viewer?VAR:PED=LTM&amp;VAR:AUDIT_MODE=SUMMARY&amp;VAR:PERIOD=FIXED&amp;VAR:AUDIT_ID=00000117&amp;VAR:DATE=20060420&amp;action=UPDATE&amp;creator=factset&amp;DOC_NAME=FAT:FMA_audit_SUMMARY.fat&amp;DISPLAY_STRING=Display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3__FDSAUDITLINK__" hidden="1">{"fdsup://directions/FAT%20Viewer?VAR:PED=LTM&amp;VAR:AUDIT_MODE=SUMMARY&amp;VAR:PERIOD=FIXED&amp;VAR:AUDIT_ID=00000117&amp;VAR:DATE=20060420&amp;action=UPDATE&amp;creator=factset&amp;DOC_NAME=FAT:FMA_audit_SUMMARY.fat&amp;DISPLAY_STRING=Display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4__FDSAUDITLINK__" localSheetId="6" hidden="1">{"fdsup://directions/FAT%20Viewer?VAR:PED=LTM&amp;VAR:AUDIT_MODE=SUMMARY&amp;VAR:PERIOD=FIXED&amp;VAR:AUDIT_ID=00000117&amp;VAR:DATE=20060419&amp;action=UPDATE&amp;creator=factset&amp;DOC_NAME=FAT:FMA_audit_SUMMARY.fat&amp;DISPLAY_STRING=Display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4__FDSAUDITLINK__" hidden="1">{"fdsup://directions/FAT%20Viewer?VAR:PED=LTM&amp;VAR:AUDIT_MODE=SUMMARY&amp;VAR:PERIOD=FIXED&amp;VAR:AUDIT_ID=00000117&amp;VAR:DATE=20060419&amp;action=UPDATE&amp;creator=factset&amp;DOC_NAME=FAT:FMA_audit_SUMMARY.fat&amp;DISPLAY_STRING=Display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5__FDSAUDITLINK__" localSheetId="6" hidden="1">{"fdsup://directions/FAT%20Viewer?VAR:PED=LTM&amp;VAR:AUDIT_MODE=SUMMARY&amp;VAR:PERIOD=FIXED&amp;VAR:AUDIT_ID=00000117&amp;VAR:DATE=20060418&amp;action=UPDATE&amp;creator=factset&amp;DOC_NAME=FAT:FMA_audit_SUMMARY.fat&amp;DISPLAY_STRING=Display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5__FDSAUDITLINK__" hidden="1">{"fdsup://directions/FAT%20Viewer?VAR:PED=LTM&amp;VAR:AUDIT_MODE=SUMMARY&amp;VAR:PERIOD=FIXED&amp;VAR:AUDIT_ID=00000117&amp;VAR:DATE=20060418&amp;action=UPDATE&amp;creator=factset&amp;DOC_NAME=FAT:FMA_audit_SUMMARY.fat&amp;DISPLAY_STRING=Display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6__FDSAUDITLINK__" localSheetId="6" hidden="1">{"fdsup://directions/FAT%20Viewer?VAR:PED=LTM&amp;VAR:AUDIT_MODE=SUMMARY&amp;VAR:PERIOD=FIXED&amp;VAR:AUDIT_ID=00000117&amp;VAR:DATE=20060417&amp;action=UPDATE&amp;creator=factset&amp;DOC_NAME=FAT:FMA_audit_SUMMARY.fat&amp;DISPLAY_STRING=Display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6__FDSAUDITLINK__" hidden="1">{"fdsup://directions/FAT%20Viewer?VAR:PED=LTM&amp;VAR:AUDIT_MODE=SUMMARY&amp;VAR:PERIOD=FIXED&amp;VAR:AUDIT_ID=00000117&amp;VAR:DATE=20060417&amp;action=UPDATE&amp;creator=factset&amp;DOC_NAME=FAT:FMA_audit_SUMMARY.fat&amp;DISPLAY_STRING=Display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7__FDSAUDITLINK__" localSheetId="6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7__FDSAUDITLINK__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8__FDSAUDITLINK__" localSheetId="6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8__FDSAUDITLINK__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9__FDSAUDITLINK__" localSheetId="6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09__FDSAUDITLINK__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__FDSAUDITLINK__" localSheetId="6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1__FDSAUDITLINK__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10__FDSAUDITLINK__" localSheetId="6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0__FDSAUDITLINK__" hidden="1">{"fdsup://directions/FAT%20Viewer?VAR:PED=LTM&amp;VAR:AUDIT_MODE=SUMMARY&amp;VAR:PERIOD=FIXED&amp;VAR:AUDIT_ID=00000117&amp;VAR:DATE=20060413&amp;action=UPDATE&amp;creator=factset&amp;DOC_NAME=FAT:FMA_audit_SUMMARY.fat&amp;DISPLAY_STRING=Display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1__FDSAUDITLINK__" localSheetId="6" hidden="1">{"fdsup://directions/FAT%20Viewer?VAR:PED=LTM&amp;VAR:AUDIT_MODE=SUMMARY&amp;VAR:PERIOD=FIXED&amp;VAR:AUDIT_ID=00000117&amp;VAR:DATE=20060412&amp;action=UPDATE&amp;creator=factset&amp;DOC_NAME=FAT:FMA_audit_SUMMARY.fat&amp;DISPLAY_STRING=Display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1__FDSAUDITLINK__" hidden="1">{"fdsup://directions/FAT%20Viewer?VAR:PED=LTM&amp;VAR:AUDIT_MODE=SUMMARY&amp;VAR:PERIOD=FIXED&amp;VAR:AUDIT_ID=00000117&amp;VAR:DATE=20060412&amp;action=UPDATE&amp;creator=factset&amp;DOC_NAME=FAT:FMA_audit_SUMMARY.fat&amp;DISPLAY_STRING=Display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2__FDSAUDITLINK__" localSheetId="6" hidden="1">{"fdsup://directions/FAT%20Viewer?VAR:PED=LTM&amp;VAR:AUDIT_MODE=SUMMARY&amp;VAR:PERIOD=FIXED&amp;VAR:AUDIT_ID=00000117&amp;VAR:DATE=20060411&amp;action=UPDATE&amp;creator=factset&amp;DOC_NAME=FAT:FMA_audit_SUMMARY.fat&amp;DISPLAY_STRING=Display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2__FDSAUDITLINK__" hidden="1">{"fdsup://directions/FAT%20Viewer?VAR:PED=LTM&amp;VAR:AUDIT_MODE=SUMMARY&amp;VAR:PERIOD=FIXED&amp;VAR:AUDIT_ID=00000117&amp;VAR:DATE=20060411&amp;action=UPDATE&amp;creator=factset&amp;DOC_NAME=FAT:FMA_audit_SUMMARY.fat&amp;DISPLAY_STRING=Display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3__FDSAUDITLINK__" localSheetId="6" hidden="1">{"fdsup://directions/FAT%20Viewer?VAR:PED=LTM&amp;VAR:AUDIT_MODE=SUMMARY&amp;VAR:PERIOD=FIXED&amp;VAR:AUDIT_ID=00000117&amp;VAR:DATE=20060410&amp;action=UPDATE&amp;creator=factset&amp;DOC_NAME=FAT:FMA_audit_SUMMARY.fat&amp;DISPLAY_STRING=Display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3__FDSAUDITLINK__" hidden="1">{"fdsup://directions/FAT%20Viewer?VAR:PED=LTM&amp;VAR:AUDIT_MODE=SUMMARY&amp;VAR:PERIOD=FIXED&amp;VAR:AUDIT_ID=00000117&amp;VAR:DATE=20060410&amp;action=UPDATE&amp;creator=factset&amp;DOC_NAME=FAT:FMA_audit_SUMMARY.fat&amp;DISPLAY_STRING=Display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4__FDSAUDITLINK__" localSheetId="6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4__FDSAUDITLINK__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5__FDSAUDITLINK__" localSheetId="6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5__FDSAUDITLINK__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6__FDSAUDITLINK__" localSheetId="6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6__FDSAUDITLINK__" hidden="1">{"fdsup://directions/FAT%20Viewer?VAR:PED=LTM&amp;VAR:AUDIT_MODE=SUMMARY&amp;VAR:PERIOD=FIXED&amp;VAR:AUDIT_ID=00000117&amp;VAR:DATE=20060407&amp;action=UPDATE&amp;creator=factset&amp;DOC_NAME=FAT:FMA_audit_SUMMARY.fat&amp;DISPLAY_STRING=Display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7__FDSAUDITLINK__" localSheetId="6" hidden="1">{"fdsup://directions/FAT%20Viewer?VAR:PED=LTM&amp;VAR:AUDIT_MODE=SUMMARY&amp;VAR:PERIOD=FIXED&amp;VAR:AUDIT_ID=00000117&amp;VAR:DATE=20060406&amp;action=UPDATE&amp;creator=factset&amp;DOC_NAME=FAT:FMA_audit_SUMMARY.fat&amp;DISPLAY_STRING=Display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7__FDSAUDITLINK__" hidden="1">{"fdsup://directions/FAT%20Viewer?VAR:PED=LTM&amp;VAR:AUDIT_MODE=SUMMARY&amp;VAR:PERIOD=FIXED&amp;VAR:AUDIT_ID=00000117&amp;VAR:DATE=20060406&amp;action=UPDATE&amp;creator=factset&amp;DOC_NAME=FAT:FMA_audit_SUMMARY.fat&amp;DISPLAY_STRING=Display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8__FDSAUDITLINK__" localSheetId="6" hidden="1">{"fdsup://directions/FAT%20Viewer?VAR:PED=LTM&amp;VAR:AUDIT_MODE=SUMMARY&amp;VAR:PERIOD=FIXED&amp;VAR:AUDIT_ID=00000117&amp;VAR:DATE=20060405&amp;action=UPDATE&amp;creator=factset&amp;DOC_NAME=FAT:FMA_audit_SUMMARY.fat&amp;DISPLAY_STRING=Display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8__FDSAUDITLINK__" hidden="1">{"fdsup://directions/FAT%20Viewer?VAR:PED=LTM&amp;VAR:AUDIT_MODE=SUMMARY&amp;VAR:PERIOD=FIXED&amp;VAR:AUDIT_ID=00000117&amp;VAR:DATE=20060405&amp;action=UPDATE&amp;creator=factset&amp;DOC_NAME=FAT:FMA_audit_SUMMARY.fat&amp;DISPLAY_STRING=Display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9__FDSAUDITLINK__" localSheetId="6" hidden="1">{"fdsup://directions/FAT%20Viewer?VAR:PED=LTM&amp;VAR:AUDIT_MODE=SUMMARY&amp;VAR:PERIOD=FIXED&amp;VAR:AUDIT_ID=00000117&amp;VAR:DATE=20060404&amp;action=UPDATE&amp;creator=factset&amp;DOC_NAME=FAT:FMA_audit_SUMMARY.fat&amp;DISPLAY_STRING=Display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19__FDSAUDITLINK__" hidden="1">{"fdsup://directions/FAT%20Viewer?VAR:PED=LTM&amp;VAR:AUDIT_MODE=SUMMARY&amp;VAR:PERIOD=FIXED&amp;VAR:AUDIT_ID=00000117&amp;VAR:DATE=20060404&amp;action=UPDATE&amp;creator=factset&amp;DOC_NAME=FAT:FMA_audit_SUMMARY.fat&amp;DISPLAY_STRING=Display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__FDSAUDITLINK__" localSheetId="6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2__FDSAUDITLINK__" hidden="1">{"fdsup://directions/FAT%20Viewer?VAR:PED=LTM&amp;VAR:AUDIT_MODE=SUMMARY&amp;VAR:PERIOD=FIXED&amp;VAR:AUDIT_ID=00000117&amp;VAR:DATE=20091002&amp;action=UPDATE&amp;creator=factset&amp;DOC_NAME=FAT:FMA_audit_SUMMARY.fat&amp;DISPLAY_STRING=Display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20__FDSAUDITLINK__" localSheetId="6" hidden="1">{"fdsup://directions/FAT%20Viewer?VAR:PED=LTM&amp;VAR:AUDIT_MODE=SUMMARY&amp;VAR:PERIOD=FIXED&amp;VAR:AUDIT_ID=00000117&amp;VAR:DATE=20060403&amp;action=UPDATE&amp;creator=factset&amp;DOC_NAME=FAT:FMA_audit_SUMMARY.fat&amp;DISPLAY_STRING=Display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0__FDSAUDITLINK__" hidden="1">{"fdsup://directions/FAT%20Viewer?VAR:PED=LTM&amp;VAR:AUDIT_MODE=SUMMARY&amp;VAR:PERIOD=FIXED&amp;VAR:AUDIT_ID=00000117&amp;VAR:DATE=20060403&amp;action=UPDATE&amp;creator=factset&amp;DOC_NAME=FAT:FMA_audit_SUMMARY.fat&amp;DISPLAY_STRING=Display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1__FDSAUDITLINK__" localSheetId="6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1__FDSAUDITLINK__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2__FDSAUDITLINK__" localSheetId="6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2__FDSAUDITLINK__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3__FDSAUDITLINK__" localSheetId="6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3__FDSAUDITLINK__" hidden="1">{"fdsup://directions/FAT%20Viewer?VAR:PED=LTM&amp;VAR:AUDIT_MODE=SUMMARY&amp;VAR:PERIOD=FIXED&amp;VAR:AUDIT_ID=00000117&amp;VAR:DATE=20060331&amp;action=UPDATE&amp;creator=factset&amp;DOC_NAME=FAT:FMA_audit_SUMMARY.fat&amp;DISPLAY_STRING=Display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EBITDA&amp;VAR:CHGPERIOD=NA&amp;VAR:FQLFORMULA=FMA_EVAL_EBITDA&amp;VAR:CURRENCY=NA&amp;VAR:P=NA&amp;VAR:V=11.1","01337&amp;VAR:null=.html"}</definedName>
    <definedName name="_1424__FDSAUDITLINK__" localSheetId="6" hidden="1">{"fdsup://directions/FAT%20Viewer?VAR:PED=LTM&amp;VAR:AUDIT_MODE=SUMMARY&amp;VAR:PERIOD=FIXED&amp;VAR:AUDIT_ID=00000117&amp;VAR:DATE=20060330&amp;action=UPDATE&amp;creator=factset&amp;DOC_NAME=FAT:FMA_audit_SUMMARY.fat&amp;DISPLAY_STRING=Display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4__FDSAUDITLINK__" hidden="1">{"fdsup://directions/FAT%20Viewer?VAR:PED=LTM&amp;VAR:AUDIT_MODE=SUMMARY&amp;VAR:PERIOD=FIXED&amp;VAR:AUDIT_ID=00000117&amp;VAR:DATE=20060330&amp;action=UPDATE&amp;creator=factset&amp;DOC_NAME=FAT:FMA_audit_SUMMARY.fat&amp;DISPLAY_STRING=Display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5__FDSAUDITLINK__" localSheetId="6" hidden="1">{"fdsup://directions/FAT%20Viewer?VAR:PED=LTM&amp;VAR:AUDIT_MODE=SUMMARY&amp;VAR:PERIOD=FIXED&amp;VAR:AUDIT_ID=00000117&amp;VAR:DATE=20060329&amp;action=UPDATE&amp;creator=factset&amp;DOC_NAME=FAT:FMA_audit_SUMMARY.fat&amp;DISPLAY_STRING=Display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5__FDSAUDITLINK__" hidden="1">{"fdsup://directions/FAT%20Viewer?VAR:PED=LTM&amp;VAR:AUDIT_MODE=SUMMARY&amp;VAR:PERIOD=FIXED&amp;VAR:AUDIT_ID=00000117&amp;VAR:DATE=20060329&amp;action=UPDATE&amp;creator=factset&amp;DOC_NAME=FAT:FMA_audit_SUMMARY.fat&amp;DISPLAY_STRING=Display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6__FDSAUDITLINK__" localSheetId="6" hidden="1">{"fdsup://directions/FAT%20Viewer?VAR:PED=LTM&amp;VAR:AUDIT_MODE=SUMMARY&amp;VAR:PERIOD=FIXED&amp;VAR:AUDIT_ID=00000117&amp;VAR:DATE=20060328&amp;action=UPDATE&amp;creator=factset&amp;DOC_NAME=FAT:FMA_audit_SUMMARY.fat&amp;DISPLAY_STRING=Display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6__FDSAUDITLINK__" hidden="1">{"fdsup://directions/FAT%20Viewer?VAR:PED=LTM&amp;VAR:AUDIT_MODE=SUMMARY&amp;VAR:PERIOD=FIXED&amp;VAR:AUDIT_ID=00000117&amp;VAR:DATE=20060328&amp;action=UPDATE&amp;creator=factset&amp;DOC_NAME=FAT:FMA_audit_SUMMARY.fat&amp;DISPLAY_STRING=Display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7__FDSAUDITLINK__" localSheetId="6" hidden="1">{"fdsup://directions/FAT%20Viewer?VAR:PED=LTM&amp;VAR:AUDIT_MODE=SUMMARY&amp;VAR:PERIOD=FIXED&amp;VAR:AUDIT_ID=00000117&amp;VAR:DATE=20060327&amp;action=UPDATE&amp;creator=factset&amp;DOC_NAME=FAT:FMA_audit_SUMMARY.fat&amp;DISPLAY_STRING=Display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7__FDSAUDITLINK__" hidden="1">{"fdsup://directions/FAT%20Viewer?VAR:PED=LTM&amp;VAR:AUDIT_MODE=SUMMARY&amp;VAR:PERIOD=FIXED&amp;VAR:AUDIT_ID=00000117&amp;VAR:DATE=20060327&amp;action=UPDATE&amp;creator=factset&amp;DOC_NAME=FAT:FMA_audit_SUMMARY.fat&amp;DISPLAY_STRING=Display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8__FDSAUDITLINK__" localSheetId="6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8__FDSAUDITLINK__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9__FDSAUDITLINK__" localSheetId="6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29__FDSAUDITLINK__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__FDSAUDITLINK__" localSheetId="6" hidden="1">{"fdsup://directions/FAT%20Viewer?VAR:PED=LTM&amp;VAR:AUDIT_MODE=SUMMARY&amp;VAR:PERIOD=FIXED&amp;VAR:AUDIT_ID=00000117&amp;VAR:DATE=20091001&amp;action=UPDATE&amp;creator=factset&amp;DOC_NAME=FAT:FMA_audit_SUMMARY.fat&amp;DISPLAY_STRING=Display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3__FDSAUDITLINK__" hidden="1">{"fdsup://directions/FAT%20Viewer?VAR:PED=LTM&amp;VAR:AUDIT_MODE=SUMMARY&amp;VAR:PERIOD=FIXED&amp;VAR:AUDIT_ID=00000117&amp;VAR:DATE=20091001&amp;action=UPDATE&amp;creator=factset&amp;DOC_NAME=FAT:FMA_audit_SUMMARY.fat&amp;DISPLAY_STRING=Display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30__FDSAUDITLINK__" localSheetId="6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0__FDSAUDITLINK__" hidden="1">{"fdsup://directions/FAT%20Viewer?VAR:PED=LTM&amp;VAR:AUDIT_MODE=SUMMARY&amp;VAR:PERIOD=FIXED&amp;VAR:AUDIT_ID=00000117&amp;VAR:DATE=20060324&amp;action=UPDATE&amp;creator=factset&amp;DOC_NAME=FAT:FMA_audit_SUMMARY.fat&amp;DISPLAY_STRING=Display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1__FDSAUDITLINK__" localSheetId="6" hidden="1">{"fdsup://directions/FAT%20Viewer?VAR:PED=LTM&amp;VAR:AUDIT_MODE=SUMMARY&amp;VAR:PERIOD=FIXED&amp;VAR:AUDIT_ID=00000117&amp;VAR:DATE=20060323&amp;action=UPDATE&amp;creator=factset&amp;DOC_NAME=FAT:FMA_audit_SUMMARY.fat&amp;DISPLAY_STRING=Display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1__FDSAUDITLINK__" hidden="1">{"fdsup://directions/FAT%20Viewer?VAR:PED=LTM&amp;VAR:AUDIT_MODE=SUMMARY&amp;VAR:PERIOD=FIXED&amp;VAR:AUDIT_ID=00000117&amp;VAR:DATE=20060323&amp;action=UPDATE&amp;creator=factset&amp;DOC_NAME=FAT:FMA_audit_SUMMARY.fat&amp;DISPLAY_STRING=Display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2__FDSAUDITLINK__" localSheetId="6" hidden="1">{"fdsup://directions/FAT%20Viewer?VAR:PED=LTM&amp;VAR:AUDIT_MODE=SUMMARY&amp;VAR:PERIOD=FIXED&amp;VAR:AUDIT_ID=00000117&amp;VAR:DATE=20060322&amp;action=UPDATE&amp;creator=factset&amp;DOC_NAME=FAT:FMA_audit_SUMMARY.fat&amp;DISPLAY_STRING=Display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2__FDSAUDITLINK__" hidden="1">{"fdsup://directions/FAT%20Viewer?VAR:PED=LTM&amp;VAR:AUDIT_MODE=SUMMARY&amp;VAR:PERIOD=FIXED&amp;VAR:AUDIT_ID=00000117&amp;VAR:DATE=20060322&amp;action=UPDATE&amp;creator=factset&amp;DOC_NAME=FAT:FMA_audit_SUMMARY.fat&amp;DISPLAY_STRING=Display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3__FDSAUDITLINK__" localSheetId="6" hidden="1">{"fdsup://directions/FAT%20Viewer?VAR:PED=LTM&amp;VAR:AUDIT_MODE=SUMMARY&amp;VAR:PERIOD=FIXED&amp;VAR:AUDIT_ID=00000117&amp;VAR:DATE=20060321&amp;action=UPDATE&amp;creator=factset&amp;DOC_NAME=FAT:FMA_audit_SUMMARY.fat&amp;DISPLAY_STRING=Display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3__FDSAUDITLINK__" hidden="1">{"fdsup://directions/FAT%20Viewer?VAR:PED=LTM&amp;VAR:AUDIT_MODE=SUMMARY&amp;VAR:PERIOD=FIXED&amp;VAR:AUDIT_ID=00000117&amp;VAR:DATE=20060321&amp;action=UPDATE&amp;creator=factset&amp;DOC_NAME=FAT:FMA_audit_SUMMARY.fat&amp;DISPLAY_STRING=Display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4__FDSAUDITLINK__" localSheetId="6" hidden="1">{"fdsup://directions/FAT%20Viewer?VAR:PED=LTM&amp;VAR:AUDIT_MODE=SUMMARY&amp;VAR:PERIOD=FIXED&amp;VAR:AUDIT_ID=00000117&amp;VAR:DATE=20060320&amp;action=UPDATE&amp;creator=factset&amp;DOC_NAME=FAT:FMA_audit_SUMMARY.fat&amp;DISPLAY_STRING=Display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4__FDSAUDITLINK__" hidden="1">{"fdsup://directions/FAT%20Viewer?VAR:PED=LTM&amp;VAR:AUDIT_MODE=SUMMARY&amp;VAR:PERIOD=FIXED&amp;VAR:AUDIT_ID=00000117&amp;VAR:DATE=20060320&amp;action=UPDATE&amp;creator=factset&amp;DOC_NAME=FAT:FMA_audit_SUMMARY.fat&amp;DISPLAY_STRING=Display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5__FDSAUDITLINK__" localSheetId="6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5__FDSAUDITLINK__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6__FDSAUDITLINK__" localSheetId="6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6__FDSAUDITLINK__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7__FDSAUDITLINK__" localSheetId="6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7__FDSAUDITLINK__" hidden="1">{"fdsup://directions/FAT%20Viewer?VAR:PED=LTM&amp;VAR:AUDIT_MODE=SUMMARY&amp;VAR:PERIOD=FIXED&amp;VAR:AUDIT_ID=00000117&amp;VAR:DATE=20060317&amp;action=UPDATE&amp;creator=factset&amp;DOC_NAME=FAT:FMA_audit_SUMMARY.fat&amp;DISPLAY_STRING=Display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8__FDSAUDITLINK__" localSheetId="6" hidden="1">{"fdsup://directions/FAT%20Viewer?VAR:PED=LTM&amp;VAR:AUDIT_MODE=SUMMARY&amp;VAR:PERIOD=FIXED&amp;VAR:AUDIT_ID=00000117&amp;VAR:DATE=20060316&amp;action=UPDATE&amp;creator=factset&amp;DOC_NAME=FAT:FMA_audit_SUMMARY.fat&amp;DISPLAY_STRING=Display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8__FDSAUDITLINK__" hidden="1">{"fdsup://directions/FAT%20Viewer?VAR:PED=LTM&amp;VAR:AUDIT_MODE=SUMMARY&amp;VAR:PERIOD=FIXED&amp;VAR:AUDIT_ID=00000117&amp;VAR:DATE=20060316&amp;action=UPDATE&amp;creator=factset&amp;DOC_NAME=FAT:FMA_audit_SUMMARY.fat&amp;DISPLAY_STRING=Display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9__FDSAUDITLINK__" localSheetId="6" hidden="1">{"fdsup://directions/FAT%20Viewer?VAR:PED=LTM&amp;VAR:AUDIT_MODE=SUMMARY&amp;VAR:PERIOD=FIXED&amp;VAR:AUDIT_ID=00000117&amp;VAR:DATE=20060315&amp;action=UPDATE&amp;creator=factset&amp;DOC_NAME=FAT:FMA_audit_SUMMARY.fat&amp;DISPLAY_STRING=Display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39__FDSAUDITLINK__" hidden="1">{"fdsup://directions/FAT%20Viewer?VAR:PED=LTM&amp;VAR:AUDIT_MODE=SUMMARY&amp;VAR:PERIOD=FIXED&amp;VAR:AUDIT_ID=00000117&amp;VAR:DATE=20060315&amp;action=UPDATE&amp;creator=factset&amp;DOC_NAME=FAT:FMA_audit_SUMMARY.fat&amp;DISPLAY_STRING=Display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__FDSAUDITLINK__" localSheetId="6" hidden="1">{"fdsup://directions/FAT%20Viewer?VAR:PED=LTM&amp;VAR:AUDIT_MODE=SUMMARY&amp;VAR:PERIOD=FIXED&amp;VAR:AUDIT_ID=00000117&amp;VAR:DATE=20090930&amp;action=UPDATE&amp;creator=factset&amp;DOC_NAME=FAT:FMA_audit_SUMMARY.fat&amp;DISPLAY_STRING=Display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4__FDSAUDITLINK__" hidden="1">{"fdsup://directions/FAT%20Viewer?VAR:PED=LTM&amp;VAR:AUDIT_MODE=SUMMARY&amp;VAR:PERIOD=FIXED&amp;VAR:AUDIT_ID=00000117&amp;VAR:DATE=20090930&amp;action=UPDATE&amp;creator=factset&amp;DOC_NAME=FAT:FMA_audit_SUMMARY.fat&amp;DISPLAY_STRING=Display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EBITDA&amp;VAR:CHGPERIOD=NA&amp;VAR:FQLFORMULA=FMA_EVAL_EBITDA&amp;VAR:CURRENCY=NA&amp;VAR:P=NA&amp;VAR:V=10.6","30878&amp;VAR:null=.html"}</definedName>
    <definedName name="_1440__FDSAUDITLINK__" localSheetId="6" hidden="1">{"fdsup://directions/FAT%20Viewer?VAR:PED=LTM&amp;VAR:AUDIT_MODE=SUMMARY&amp;VAR:PERIOD=FIXED&amp;VAR:AUDIT_ID=00000117&amp;VAR:DATE=20060314&amp;action=UPDATE&amp;creator=factset&amp;DOC_NAME=FAT:FMA_audit_SUMMARY.fat&amp;DISPLAY_STRING=Display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0__FDSAUDITLINK__" hidden="1">{"fdsup://directions/FAT%20Viewer?VAR:PED=LTM&amp;VAR:AUDIT_MODE=SUMMARY&amp;VAR:PERIOD=FIXED&amp;VAR:AUDIT_ID=00000117&amp;VAR:DATE=20060314&amp;action=UPDATE&amp;creator=factset&amp;DOC_NAME=FAT:FMA_audit_SUMMARY.fat&amp;DISPLAY_STRING=Display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1__FDSAUDITLINK__" localSheetId="6" hidden="1">{"fdsup://directions/FAT%20Viewer?VAR:PED=LTM&amp;VAR:AUDIT_MODE=SUMMARY&amp;VAR:PERIOD=FIXED&amp;VAR:AUDIT_ID=00000117&amp;VAR:DATE=20060313&amp;action=UPDATE&amp;creator=factset&amp;DOC_NAME=FAT:FMA_audit_SUMMARY.fat&amp;DISPLAY_STRING=Display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1__FDSAUDITLINK__" hidden="1">{"fdsup://directions/FAT%20Viewer?VAR:PED=LTM&amp;VAR:AUDIT_MODE=SUMMARY&amp;VAR:PERIOD=FIXED&amp;VAR:AUDIT_ID=00000117&amp;VAR:DATE=20060313&amp;action=UPDATE&amp;creator=factset&amp;DOC_NAME=FAT:FMA_audit_SUMMARY.fat&amp;DISPLAY_STRING=Display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2__FDSAUDITLINK__" localSheetId="6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2__FDSAUDITLINK__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3__FDSAUDITLINK__" localSheetId="6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3__FDSAUDITLINK__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4__FDSAUDITLINK__" localSheetId="6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4__FDSAUDITLINK__" hidden="1">{"fdsup://directions/FAT%20Viewer?VAR:PED=LTM&amp;VAR:AUDIT_MODE=SUMMARY&amp;VAR:PERIOD=FIXED&amp;VAR:AUDIT_ID=00000117&amp;VAR:DATE=20060310&amp;action=UPDATE&amp;creator=factset&amp;DOC_NAME=FAT:FMA_audit_SUMMARY.fat&amp;DISPLAY_STRING=Display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5__FDSAUDITLINK__" localSheetId="6" hidden="1">{"fdsup://directions/FAT%20Viewer?VAR:PED=LTM&amp;VAR:AUDIT_MODE=SUMMARY&amp;VAR:PERIOD=FIXED&amp;VAR:AUDIT_ID=00000117&amp;VAR:DATE=20060309&amp;action=UPDATE&amp;creator=factset&amp;DOC_NAME=FAT:FMA_audit_SUMMARY.fat&amp;DISPLAY_STRING=Display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5__FDSAUDITLINK__" hidden="1">{"fdsup://directions/FAT%20Viewer?VAR:PED=LTM&amp;VAR:AUDIT_MODE=SUMMARY&amp;VAR:PERIOD=FIXED&amp;VAR:AUDIT_ID=00000117&amp;VAR:DATE=20060309&amp;action=UPDATE&amp;creator=factset&amp;DOC_NAME=FAT:FMA_audit_SUMMARY.fat&amp;DISPLAY_STRING=Display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6__FDSAUDITLINK__" localSheetId="6" hidden="1">{"fdsup://directions/FAT%20Viewer?VAR:PED=LTM&amp;VAR:AUDIT_MODE=SUMMARY&amp;VAR:PERIOD=FIXED&amp;VAR:AUDIT_ID=00000117&amp;VAR:DATE=20060308&amp;action=UPDATE&amp;creator=factset&amp;DOC_NAME=FAT:FMA_audit_SUMMARY.fat&amp;DISPLAY_STRING=Display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6__FDSAUDITLINK__" hidden="1">{"fdsup://directions/FAT%20Viewer?VAR:PED=LTM&amp;VAR:AUDIT_MODE=SUMMARY&amp;VAR:PERIOD=FIXED&amp;VAR:AUDIT_ID=00000117&amp;VAR:DATE=20060308&amp;action=UPDATE&amp;creator=factset&amp;DOC_NAME=FAT:FMA_audit_SUMMARY.fat&amp;DISPLAY_STRING=Display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7__FDSAUDITLINK__" localSheetId="6" hidden="1">{"fdsup://directions/FAT%20Viewer?VAR:PED=LTM&amp;VAR:AUDIT_MODE=SUMMARY&amp;VAR:PERIOD=FIXED&amp;VAR:AUDIT_ID=00000117&amp;VAR:DATE=20060307&amp;action=UPDATE&amp;creator=factset&amp;DOC_NAME=FAT:FMA_audit_SUMMARY.fat&amp;DISPLAY_STRING=Display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7__FDSAUDITLINK__" hidden="1">{"fdsup://directions/FAT%20Viewer?VAR:PED=LTM&amp;VAR:AUDIT_MODE=SUMMARY&amp;VAR:PERIOD=FIXED&amp;VAR:AUDIT_ID=00000117&amp;VAR:DATE=20060307&amp;action=UPDATE&amp;creator=factset&amp;DOC_NAME=FAT:FMA_audit_SUMMARY.fat&amp;DISPLAY_STRING=Display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8__FDSAUDITLINK__" localSheetId="6" hidden="1">{"fdsup://directions/FAT%20Viewer?VAR:PED=LTM&amp;VAR:AUDIT_MODE=SUMMARY&amp;VAR:PERIOD=FIXED&amp;VAR:AUDIT_ID=00000117&amp;VAR:DATE=20060306&amp;action=UPDATE&amp;creator=factset&amp;DOC_NAME=FAT:FMA_audit_SUMMARY.fat&amp;DISPLAY_STRING=Display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8__FDSAUDITLINK__" hidden="1">{"fdsup://directions/FAT%20Viewer?VAR:PED=LTM&amp;VAR:AUDIT_MODE=SUMMARY&amp;VAR:PERIOD=FIXED&amp;VAR:AUDIT_ID=00000117&amp;VAR:DATE=20060306&amp;action=UPDATE&amp;creator=factset&amp;DOC_NAME=FAT:FMA_audit_SUMMARY.fat&amp;DISPLAY_STRING=Display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9__FDSAUDITLINK__" localSheetId="6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49__FDSAUDITLINK__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__FDSAUDITLINK__" localSheetId="6" hidden="1">{"fdsup://directions/FAT%20Viewer?VAR:PED=LTM&amp;VAR:AUDIT_MODE=SUMMARY&amp;VAR:PERIOD=FIXED&amp;VAR:AUDIT_ID=00000117&amp;VAR:DATE=20090929&amp;action=UPDATE&amp;creator=factset&amp;DOC_NAME=FAT:FMA_audit_SUMMARY.fat&amp;DISPLAY_STRING=Display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5__FDSAUDITLINK__" hidden="1">{"fdsup://directions/FAT%20Viewer?VAR:PED=LTM&amp;VAR:AUDIT_MODE=SUMMARY&amp;VAR:PERIOD=FIXED&amp;VAR:AUDIT_ID=00000117&amp;VAR:DATE=20090929&amp;action=UPDATE&amp;creator=factset&amp;DOC_NAME=FAT:FMA_audit_SUMMARY.fat&amp;DISPLAY_STRING=Display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50__FDSAUDITLINK__" localSheetId="6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0__FDSAUDITLINK__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1__FDSAUDITLINK__" localSheetId="6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1__FDSAUDITLINK__" hidden="1">{"fdsup://directions/FAT%20Viewer?VAR:PED=LTM&amp;VAR:AUDIT_MODE=SUMMARY&amp;VAR:PERIOD=FIXED&amp;VAR:AUDIT_ID=00000117&amp;VAR:DATE=20060303&amp;action=UPDATE&amp;creator=factset&amp;DOC_NAME=FAT:FMA_audit_SUMMARY.fat&amp;DISPLAY_STRING=Display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2__FDSAUDITLINK__" localSheetId="6" hidden="1">{"fdsup://directions/FAT%20Viewer?VAR:PED=LTM&amp;VAR:AUDIT_MODE=SUMMARY&amp;VAR:PERIOD=FIXED&amp;VAR:AUDIT_ID=00000117&amp;VAR:DATE=20060302&amp;action=UPDATE&amp;creator=factset&amp;DOC_NAME=FAT:FMA_audit_SUMMARY.fat&amp;DISPLAY_STRING=Display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2__FDSAUDITLINK__" hidden="1">{"fdsup://directions/FAT%20Viewer?VAR:PED=LTM&amp;VAR:AUDIT_MODE=SUMMARY&amp;VAR:PERIOD=FIXED&amp;VAR:AUDIT_ID=00000117&amp;VAR:DATE=20060302&amp;action=UPDATE&amp;creator=factset&amp;DOC_NAME=FAT:FMA_audit_SUMMARY.fat&amp;DISPLAY_STRING=Display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3__FDSAUDITLINK__" localSheetId="6" hidden="1">{"fdsup://directions/FAT%20Viewer?VAR:PED=LTM&amp;VAR:AUDIT_MODE=SUMMARY&amp;VAR:PERIOD=FIXED&amp;VAR:AUDIT_ID=00000117&amp;VAR:DATE=20060301&amp;action=UPDATE&amp;creator=factset&amp;DOC_NAME=FAT:FMA_audit_SUMMARY.fat&amp;DISPLAY_STRING=Display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3__FDSAUDITLINK__" hidden="1">{"fdsup://directions/FAT%20Viewer?VAR:PED=LTM&amp;VAR:AUDIT_MODE=SUMMARY&amp;VAR:PERIOD=FIXED&amp;VAR:AUDIT_ID=00000117&amp;VAR:DATE=20060301&amp;action=UPDATE&amp;creator=factset&amp;DOC_NAME=FAT:FMA_audit_SUMMARY.fat&amp;DISPLAY_STRING=Display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4__FDSAUDITLINK__" localSheetId="6" hidden="1">{"fdsup://directions/FAT%20Viewer?VAR:PED=LTM&amp;VAR:AUDIT_MODE=SUMMARY&amp;VAR:PERIOD=FIXED&amp;VAR:AUDIT_ID=00000117&amp;VAR:DATE=20060228&amp;action=UPDATE&amp;creator=factset&amp;DOC_NAME=FAT:FMA_audit_SUMMARY.fat&amp;DISPLAY_STRING=Display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4__FDSAUDITLINK__" hidden="1">{"fdsup://directions/FAT%20Viewer?VAR:PED=LTM&amp;VAR:AUDIT_MODE=SUMMARY&amp;VAR:PERIOD=FIXED&amp;VAR:AUDIT_ID=00000117&amp;VAR:DATE=20060228&amp;action=UPDATE&amp;creator=factset&amp;DOC_NAME=FAT:FMA_audit_SUMMARY.fat&amp;DISPLAY_STRING=Display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EBITDA&amp;VAR:CHGPERIOD=NA&amp;VAR:FQLFORMULA=FMA_EVAL_EBITDA&amp;VAR:CURRENCY=NA&amp;VAR:P=NA&amp;VAR:V=11.0","47102&amp;VAR:null=.html"}</definedName>
    <definedName name="_1455__FDSAUDITLINK__" localSheetId="6" hidden="1">{"fdsup://directions/FAT%20Viewer?VAR:PED=LTM&amp;VAR:AUDIT_MODE=SUMMARY&amp;VAR:PERIOD=FIXED&amp;VAR:AUDIT_ID=00000117&amp;VAR:DATE=20060227&amp;action=UPDATE&amp;creator=factset&amp;DOC_NAME=FAT:FMA_audit_SUMMARY.fat&amp;DISPLAY_STRING=Display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5__FDSAUDITLINK__" hidden="1">{"fdsup://directions/FAT%20Viewer?VAR:PED=LTM&amp;VAR:AUDIT_MODE=SUMMARY&amp;VAR:PERIOD=FIXED&amp;VAR:AUDIT_ID=00000117&amp;VAR:DATE=20060227&amp;action=UPDATE&amp;creator=factset&amp;DOC_NAME=FAT:FMA_audit_SUMMARY.fat&amp;DISPLAY_STRING=Display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6__FDSAUDITLINK__" localSheetId="6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6__FDSAUDITLINK__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7__FDSAUDITLINK__" localSheetId="6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7__FDSAUDITLINK__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8__FDSAUDITLINK__" localSheetId="6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8__FDSAUDITLINK__" hidden="1">{"fdsup://directions/FAT%20Viewer?VAR:PED=LTM&amp;VAR:AUDIT_MODE=SUMMARY&amp;VAR:PERIOD=FIXED&amp;VAR:AUDIT_ID=00000117&amp;VAR:DATE=20060224&amp;action=UPDATE&amp;creator=factset&amp;DOC_NAME=FAT:FMA_audit_SUMMARY.fat&amp;DISPLAY_STRING=Display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9__FDSAUDITLINK__" localSheetId="6" hidden="1">{"fdsup://directions/FAT%20Viewer?VAR:PED=LTM&amp;VAR:AUDIT_MODE=SUMMARY&amp;VAR:PERIOD=FIXED&amp;VAR:AUDIT_ID=00000117&amp;VAR:DATE=20060223&amp;action=UPDATE&amp;creator=factset&amp;DOC_NAME=FAT:FMA_audit_SUMMARY.fat&amp;DISPLAY_STRING=Display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59__FDSAUDITLINK__" hidden="1">{"fdsup://directions/FAT%20Viewer?VAR:PED=LTM&amp;VAR:AUDIT_MODE=SUMMARY&amp;VAR:PERIOD=FIXED&amp;VAR:AUDIT_ID=00000117&amp;VAR:DATE=20060223&amp;action=UPDATE&amp;creator=factset&amp;DOC_NAME=FAT:FMA_audit_SUMMARY.fat&amp;DISPLAY_STRING=Display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__FDSAUDITLINK__" localSheetId="6" hidden="1">{"fdsup://directions/FAT%20Viewer?VAR:PED=LTM&amp;VAR:AUDIT_MODE=SUMMARY&amp;VAR:PERIOD=FIXED&amp;VAR:AUDIT_ID=00000117&amp;VAR:DATE=20090928&amp;action=UPDATE&amp;creator=factset&amp;DOC_NAME=FAT:FMA_audit_SUMMARY.fat&amp;DISPLAY_STRING=Display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6__FDSAUDITLINK__" hidden="1">{"fdsup://directions/FAT%20Viewer?VAR:PED=LTM&amp;VAR:AUDIT_MODE=SUMMARY&amp;VAR:PERIOD=FIXED&amp;VAR:AUDIT_ID=00000117&amp;VAR:DATE=20090928&amp;action=UPDATE&amp;creator=factset&amp;DOC_NAME=FAT:FMA_audit_SUMMARY.fat&amp;DISPLAY_STRING=Display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60__FDSAUDITLINK__" localSheetId="6" hidden="1">{"fdsup://directions/FAT%20Viewer?VAR:PED=LTM&amp;VAR:AUDIT_MODE=SUMMARY&amp;VAR:PERIOD=FIXED&amp;VAR:AUDIT_ID=00000117&amp;VAR:DATE=20060222&amp;action=UPDATE&amp;creator=factset&amp;DOC_NAME=FAT:FMA_audit_SUMMARY.fat&amp;DISPLAY_STRING=Display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0__FDSAUDITLINK__" hidden="1">{"fdsup://directions/FAT%20Viewer?VAR:PED=LTM&amp;VAR:AUDIT_MODE=SUMMARY&amp;VAR:PERIOD=FIXED&amp;VAR:AUDIT_ID=00000117&amp;VAR:DATE=20060222&amp;action=UPDATE&amp;creator=factset&amp;DOC_NAME=FAT:FMA_audit_SUMMARY.fat&amp;DISPLAY_STRING=Display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1__FDSAUDITLINK__" localSheetId="6" hidden="1">{"fdsup://directions/FAT%20Viewer?VAR:PED=LTM&amp;VAR:AUDIT_MODE=SUMMARY&amp;VAR:PERIOD=FIXED&amp;VAR:AUDIT_ID=00000117&amp;VAR:DATE=20060221&amp;action=UPDATE&amp;creator=factset&amp;DOC_NAME=FAT:FMA_audit_SUMMARY.fat&amp;DISPLAY_STRING=Display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1__FDSAUDITLINK__" hidden="1">{"fdsup://directions/FAT%20Viewer?VAR:PED=LTM&amp;VAR:AUDIT_MODE=SUMMARY&amp;VAR:PERIOD=FIXED&amp;VAR:AUDIT_ID=00000117&amp;VAR:DATE=20060221&amp;action=UPDATE&amp;creator=factset&amp;DOC_NAME=FAT:FMA_audit_SUMMARY.fat&amp;DISPLAY_STRING=Display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2__FDSAUDITLINK__" localSheetId="6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2__FDSAUDITLINK__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3__FDSAUDITLINK__" localSheetId="6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3__FDSAUDITLINK__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4__FDSAUDITLINK__" localSheetId="6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4__FDSAUDITLINK__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5__FDSAUDITLINK__" localSheetId="6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5__FDSAUDITLINK__" hidden="1">{"fdsup://directions/FAT%20Viewer?VAR:PED=LTM&amp;VAR:AUDIT_MODE=SUMMARY&amp;VAR:PERIOD=FIXED&amp;VAR:AUDIT_ID=00000117&amp;VAR:DATE=20060217&amp;action=UPDATE&amp;creator=factset&amp;DOC_NAME=FAT:FMA_audit_SUMMARY.fat&amp;DISPLAY_STRING=Display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6__FDSAUDITLINK__" localSheetId="6" hidden="1">{"fdsup://directions/FAT%20Viewer?VAR:PED=LTM&amp;VAR:AUDIT_MODE=SUMMARY&amp;VAR:PERIOD=FIXED&amp;VAR:AUDIT_ID=00000117&amp;VAR:DATE=20060216&amp;action=UPDATE&amp;creator=factset&amp;DOC_NAME=FAT:FMA_audit_SUMMARY.fat&amp;DISPLAY_STRING=Display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6__FDSAUDITLINK__" hidden="1">{"fdsup://directions/FAT%20Viewer?VAR:PED=LTM&amp;VAR:AUDIT_MODE=SUMMARY&amp;VAR:PERIOD=FIXED&amp;VAR:AUDIT_ID=00000117&amp;VAR:DATE=20060216&amp;action=UPDATE&amp;creator=factset&amp;DOC_NAME=FAT:FMA_audit_SUMMARY.fat&amp;DISPLAY_STRING=Display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7__FDSAUDITLINK__" localSheetId="6" hidden="1">{"fdsup://directions/FAT%20Viewer?VAR:PED=LTM&amp;VAR:AUDIT_MODE=SUMMARY&amp;VAR:PERIOD=FIXED&amp;VAR:AUDIT_ID=00000117&amp;VAR:DATE=20060215&amp;action=UPDATE&amp;creator=factset&amp;DOC_NAME=FAT:FMA_audit_SUMMARY.fat&amp;DISPLAY_STRING=Display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7__FDSAUDITLINK__" hidden="1">{"fdsup://directions/FAT%20Viewer?VAR:PED=LTM&amp;VAR:AUDIT_MODE=SUMMARY&amp;VAR:PERIOD=FIXED&amp;VAR:AUDIT_ID=00000117&amp;VAR:DATE=20060215&amp;action=UPDATE&amp;creator=factset&amp;DOC_NAME=FAT:FMA_audit_SUMMARY.fat&amp;DISPLAY_STRING=Display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8__FDSAUDITLINK__" localSheetId="6" hidden="1">{"fdsup://directions/FAT%20Viewer?VAR:PED=LTM&amp;VAR:AUDIT_MODE=SUMMARY&amp;VAR:PERIOD=FIXED&amp;VAR:AUDIT_ID=00000117&amp;VAR:DATE=20060214&amp;action=UPDATE&amp;creator=factset&amp;DOC_NAME=FAT:FMA_audit_SUMMARY.fat&amp;DISPLAY_STRING=Display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8__FDSAUDITLINK__" hidden="1">{"fdsup://directions/FAT%20Viewer?VAR:PED=LTM&amp;VAR:AUDIT_MODE=SUMMARY&amp;VAR:PERIOD=FIXED&amp;VAR:AUDIT_ID=00000117&amp;VAR:DATE=20060214&amp;action=UPDATE&amp;creator=factset&amp;DOC_NAME=FAT:FMA_audit_SUMMARY.fat&amp;DISPLAY_STRING=Display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9__FDSAUDITLINK__" localSheetId="6" hidden="1">{"fdsup://directions/FAT%20Viewer?VAR:PED=LTM&amp;VAR:AUDIT_MODE=SUMMARY&amp;VAR:PERIOD=FIXED&amp;VAR:AUDIT_ID=00000117&amp;VAR:DATE=20060213&amp;action=UPDATE&amp;creator=factset&amp;DOC_NAME=FAT:FMA_audit_SUMMARY.fat&amp;DISPLAY_STRING=Display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69__FDSAUDITLINK__" hidden="1">{"fdsup://directions/FAT%20Viewer?VAR:PED=LTM&amp;VAR:AUDIT_MODE=SUMMARY&amp;VAR:PERIOD=FIXED&amp;VAR:AUDIT_ID=00000117&amp;VAR:DATE=20060213&amp;action=UPDATE&amp;creator=factset&amp;DOC_NAME=FAT:FMA_audit_SUMMARY.fat&amp;DISPLAY_STRING=Display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__FDSAUDITLINK__" localSheetId="6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7__FDSAUDITLINK__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70__FDSAUDITLINK__" localSheetId="6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0__FDSAUDITLINK__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1__FDSAUDITLINK__" localSheetId="6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1__FDSAUDITLINK__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2__FDSAUDITLINK__" localSheetId="6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2__FDSAUDITLINK__" hidden="1">{"fdsup://directions/FAT%20Viewer?VAR:PED=LTM&amp;VAR:AUDIT_MODE=SUMMARY&amp;VAR:PERIOD=FIXED&amp;VAR:AUDIT_ID=00000117&amp;VAR:DATE=20060210&amp;action=UPDATE&amp;creator=factset&amp;DOC_NAME=FAT:FMA_audit_SUMMARY.fat&amp;DISPLAY_STRING=Display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3__FDSAUDITLINK__" localSheetId="6" hidden="1">{"fdsup://directions/FAT%20Viewer?VAR:PED=LTM&amp;VAR:AUDIT_MODE=SUMMARY&amp;VAR:PERIOD=FIXED&amp;VAR:AUDIT_ID=00000117&amp;VAR:DATE=20060209&amp;action=UPDATE&amp;creator=factset&amp;DOC_NAME=FAT:FMA_audit_SUMMARY.fat&amp;DISPLAY_STRING=Display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3__FDSAUDITLINK__" hidden="1">{"fdsup://directions/FAT%20Viewer?VAR:PED=LTM&amp;VAR:AUDIT_MODE=SUMMARY&amp;VAR:PERIOD=FIXED&amp;VAR:AUDIT_ID=00000117&amp;VAR:DATE=20060209&amp;action=UPDATE&amp;creator=factset&amp;DOC_NAME=FAT:FMA_audit_SUMMARY.fat&amp;DISPLAY_STRING=Display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4__FDSAUDITLINK__" localSheetId="6" hidden="1">{"fdsup://directions/FAT%20Viewer?VAR:PED=LTM&amp;VAR:AUDIT_MODE=SUMMARY&amp;VAR:PERIOD=FIXED&amp;VAR:AUDIT_ID=00000117&amp;VAR:DATE=20060208&amp;action=UPDATE&amp;creator=factset&amp;DOC_NAME=FAT:FMA_audit_SUMMARY.fat&amp;DISPLAY_STRING=Display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4__FDSAUDITLINK__" hidden="1">{"fdsup://directions/FAT%20Viewer?VAR:PED=LTM&amp;VAR:AUDIT_MODE=SUMMARY&amp;VAR:PERIOD=FIXED&amp;VAR:AUDIT_ID=00000117&amp;VAR:DATE=20060208&amp;action=UPDATE&amp;creator=factset&amp;DOC_NAME=FAT:FMA_audit_SUMMARY.fat&amp;DISPLAY_STRING=Display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5__FDSAUDITLINK__" localSheetId="6" hidden="1">{"fdsup://directions/FAT%20Viewer?VAR:PED=LTM&amp;VAR:AUDIT_MODE=SUMMARY&amp;VAR:PERIOD=FIXED&amp;VAR:AUDIT_ID=00000117&amp;VAR:DATE=20060207&amp;action=UPDATE&amp;creator=factset&amp;DOC_NAME=FAT:FMA_audit_SUMMARY.fat&amp;DISPLAY_STRING=Display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5__FDSAUDITLINK__" hidden="1">{"fdsup://directions/FAT%20Viewer?VAR:PED=LTM&amp;VAR:AUDIT_MODE=SUMMARY&amp;VAR:PERIOD=FIXED&amp;VAR:AUDIT_ID=00000117&amp;VAR:DATE=20060207&amp;action=UPDATE&amp;creator=factset&amp;DOC_NAME=FAT:FMA_audit_SUMMARY.fat&amp;DISPLAY_STRING=Display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6__FDSAUDITLINK__" localSheetId="6" hidden="1">{"fdsup://directions/FAT%20Viewer?VAR:PED=LTM&amp;VAR:AUDIT_MODE=SUMMARY&amp;VAR:PERIOD=FIXED&amp;VAR:AUDIT_ID=00000117&amp;VAR:DATE=20060206&amp;action=UPDATE&amp;creator=factset&amp;DOC_NAME=FAT:FMA_audit_SUMMARY.fat&amp;DISPLAY_STRING=Display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6__FDSAUDITLINK__" hidden="1">{"fdsup://directions/FAT%20Viewer?VAR:PED=LTM&amp;VAR:AUDIT_MODE=SUMMARY&amp;VAR:PERIOD=FIXED&amp;VAR:AUDIT_ID=00000117&amp;VAR:DATE=20060206&amp;action=UPDATE&amp;creator=factset&amp;DOC_NAME=FAT:FMA_audit_SUMMARY.fat&amp;DISPLAY_STRING=Display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7__FDSAUDITLINK__" localSheetId="6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7__FDSAUDITLINK__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8__FDSAUDITLINK__" localSheetId="6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8__FDSAUDITLINK__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9__FDSAUDITLINK__" localSheetId="6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79__FDSAUDITLINK__" hidden="1">{"fdsup://directions/FAT%20Viewer?VAR:PED=LTM&amp;VAR:AUDIT_MODE=SUMMARY&amp;VAR:PERIOD=FIXED&amp;VAR:AUDIT_ID=00000117&amp;VAR:DATE=20060203&amp;action=UPDATE&amp;creator=factset&amp;DOC_NAME=FAT:FMA_audit_SUMMARY.fat&amp;DISPLAY_STRING=Display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__FDSAUDITLINK__" localSheetId="6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8__FDSAUDITLINK__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80__FDSAUDITLINK__" localSheetId="6" hidden="1">{"fdsup://directions/FAT%20Viewer?VAR:PED=LTM&amp;VAR:AUDIT_MODE=SUMMARY&amp;VAR:PERIOD=FIXED&amp;VAR:AUDIT_ID=00000117&amp;VAR:DATE=20060202&amp;action=UPDATE&amp;creator=factset&amp;DOC_NAME=FAT:FMA_audit_SUMMARY.fat&amp;DISPLAY_STRING=Display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0__FDSAUDITLINK__" hidden="1">{"fdsup://directions/FAT%20Viewer?VAR:PED=LTM&amp;VAR:AUDIT_MODE=SUMMARY&amp;VAR:PERIOD=FIXED&amp;VAR:AUDIT_ID=00000117&amp;VAR:DATE=20060202&amp;action=UPDATE&amp;creator=factset&amp;DOC_NAME=FAT:FMA_audit_SUMMARY.fat&amp;DISPLAY_STRING=Display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1__FDSAUDITLINK__" localSheetId="6" hidden="1">{"fdsup://directions/FAT%20Viewer?VAR:PED=LTM&amp;VAR:AUDIT_MODE=SUMMARY&amp;VAR:PERIOD=FIXED&amp;VAR:AUDIT_ID=00000117&amp;VAR:DATE=20060201&amp;action=UPDATE&amp;creator=factset&amp;DOC_NAME=FAT:FMA_audit_SUMMARY.fat&amp;DISPLAY_STRING=Display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1__FDSAUDITLINK__" hidden="1">{"fdsup://directions/FAT%20Viewer?VAR:PED=LTM&amp;VAR:AUDIT_MODE=SUMMARY&amp;VAR:PERIOD=FIXED&amp;VAR:AUDIT_ID=00000117&amp;VAR:DATE=20060201&amp;action=UPDATE&amp;creator=factset&amp;DOC_NAME=FAT:FMA_audit_SUMMARY.fat&amp;DISPLAY_STRING=Display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2__FDSAUDITLINK__" localSheetId="6" hidden="1">{"fdsup://directions/FAT%20Viewer?VAR:PED=LTM&amp;VAR:AUDIT_MODE=SUMMARY&amp;VAR:PERIOD=FIXED&amp;VAR:AUDIT_ID=00000117&amp;VAR:DATE=20060131&amp;action=UPDATE&amp;creator=factset&amp;DOC_NAME=FAT:FMA_audit_SUMMARY.fat&amp;DISPLAY_STRING=Display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2__FDSAUDITLINK__" hidden="1">{"fdsup://directions/FAT%20Viewer?VAR:PED=LTM&amp;VAR:AUDIT_MODE=SUMMARY&amp;VAR:PERIOD=FIXED&amp;VAR:AUDIT_ID=00000117&amp;VAR:DATE=20060131&amp;action=UPDATE&amp;creator=factset&amp;DOC_NAME=FAT:FMA_audit_SUMMARY.fat&amp;DISPLAY_STRING=Display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EBITDA&amp;VAR:CHGPERIOD=NA&amp;VAR:FQLFORMULA=FMA_EVAL_EBITDA&amp;VAR:CURRENCY=NA&amp;VAR:P=NA&amp;VAR:V=11.4","65742&amp;VAR:null=.html"}</definedName>
    <definedName name="_1483__FDSAUDITLINK__" localSheetId="6" hidden="1">{"fdsup://directions/FAT%20Viewer?VAR:PED=LTM&amp;VAR:AUDIT_MODE=SUMMARY&amp;VAR:PERIOD=FIXED&amp;VAR:AUDIT_ID=00000117&amp;VAR:DATE=20060130&amp;action=UPDATE&amp;creator=factset&amp;DOC_NAME=FAT:FMA_audit_SUMMARY.fat&amp;DISPLAY_STRING=Display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3__FDSAUDITLINK__" hidden="1">{"fdsup://directions/FAT%20Viewer?VAR:PED=LTM&amp;VAR:AUDIT_MODE=SUMMARY&amp;VAR:PERIOD=FIXED&amp;VAR:AUDIT_ID=00000117&amp;VAR:DATE=20060130&amp;action=UPDATE&amp;creator=factset&amp;DOC_NAME=FAT:FMA_audit_SUMMARY.fat&amp;DISPLAY_STRING=Display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4__FDSAUDITLINK__" localSheetId="6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4__FDSAUDITLINK__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5__FDSAUDITLINK__" localSheetId="6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5__FDSAUDITLINK__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6__FDSAUDITLINK__" localSheetId="6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6__FDSAUDITLINK__" hidden="1">{"fdsup://directions/FAT%20Viewer?VAR:PED=LTM&amp;VAR:AUDIT_MODE=SUMMARY&amp;VAR:PERIOD=FIXED&amp;VAR:AUDIT_ID=00000117&amp;VAR:DATE=20060127&amp;action=UPDATE&amp;creator=factset&amp;DOC_NAME=FAT:FMA_audit_SUMMARY.fat&amp;DISPLAY_STRING=Display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7__FDSAUDITLINK__" localSheetId="6" hidden="1">{"fdsup://directions/FAT%20Viewer?VAR:PED=LTM&amp;VAR:AUDIT_MODE=SUMMARY&amp;VAR:PERIOD=FIXED&amp;VAR:AUDIT_ID=00000117&amp;VAR:DATE=20060126&amp;action=UPDATE&amp;creator=factset&amp;DOC_NAME=FAT:FMA_audit_SUMMARY.fat&amp;DISPLAY_STRING=Display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7__FDSAUDITLINK__" hidden="1">{"fdsup://directions/FAT%20Viewer?VAR:PED=LTM&amp;VAR:AUDIT_MODE=SUMMARY&amp;VAR:PERIOD=FIXED&amp;VAR:AUDIT_ID=00000117&amp;VAR:DATE=20060126&amp;action=UPDATE&amp;creator=factset&amp;DOC_NAME=FAT:FMA_audit_SUMMARY.fat&amp;DISPLAY_STRING=Display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8__FDSAUDITLINK__" localSheetId="6" hidden="1">{"fdsup://directions/FAT%20Viewer?VAR:PED=LTM&amp;VAR:AUDIT_MODE=SUMMARY&amp;VAR:PERIOD=FIXED&amp;VAR:AUDIT_ID=00000117&amp;VAR:DATE=20060125&amp;action=UPDATE&amp;creator=factset&amp;DOC_NAME=FAT:FMA_audit_SUMMARY.fat&amp;DISPLAY_STRING=Display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8__FDSAUDITLINK__" hidden="1">{"fdsup://directions/FAT%20Viewer?VAR:PED=LTM&amp;VAR:AUDIT_MODE=SUMMARY&amp;VAR:PERIOD=FIXED&amp;VAR:AUDIT_ID=00000117&amp;VAR:DATE=20060125&amp;action=UPDATE&amp;creator=factset&amp;DOC_NAME=FAT:FMA_audit_SUMMARY.fat&amp;DISPLAY_STRING=Display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9__FDSAUDITLINK__" localSheetId="6" hidden="1">{"fdsup://directions/FAT%20Viewer?VAR:PED=LTM&amp;VAR:AUDIT_MODE=SUMMARY&amp;VAR:PERIOD=FIXED&amp;VAR:AUDIT_ID=00000117&amp;VAR:DATE=20060124&amp;action=UPDATE&amp;creator=factset&amp;DOC_NAME=FAT:FMA_audit_SUMMARY.fat&amp;DISPLAY_STRING=Display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89__FDSAUDITLINK__" hidden="1">{"fdsup://directions/FAT%20Viewer?VAR:PED=LTM&amp;VAR:AUDIT_MODE=SUMMARY&amp;VAR:PERIOD=FIXED&amp;VAR:AUDIT_ID=00000117&amp;VAR:DATE=20060124&amp;action=UPDATE&amp;creator=factset&amp;DOC_NAME=FAT:FMA_audit_SUMMARY.fat&amp;DISPLAY_STRING=Display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__FDSAUDITLINK__" localSheetId="6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9__FDSAUDITLINK__" hidden="1">{"fdsup://directions/FAT%20Viewer?VAR:PED=LTM&amp;VAR:AUDIT_MODE=SUMMARY&amp;VAR:PERIOD=FIXED&amp;VAR:AUDIT_ID=00000117&amp;VAR:DATE=20090925&amp;action=UPDATE&amp;creator=factset&amp;DOC_NAME=FAT:FMA_audit_SUMMARY.fat&amp;DISPLAY_STRING=Display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490__FDSAUDITLINK__" localSheetId="6" hidden="1">{"fdsup://directions/FAT%20Viewer?VAR:PED=LTM&amp;VAR:AUDIT_MODE=SUMMARY&amp;VAR:PERIOD=FIXED&amp;VAR:AUDIT_ID=00000117&amp;VAR:DATE=20060123&amp;action=UPDATE&amp;creator=factset&amp;DOC_NAME=FAT:FMA_audit_SUMMARY.fat&amp;DISPLAY_STRING=Display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0__FDSAUDITLINK__" hidden="1">{"fdsup://directions/FAT%20Viewer?VAR:PED=LTM&amp;VAR:AUDIT_MODE=SUMMARY&amp;VAR:PERIOD=FIXED&amp;VAR:AUDIT_ID=00000117&amp;VAR:DATE=20060123&amp;action=UPDATE&amp;creator=factset&amp;DOC_NAME=FAT:FMA_audit_SUMMARY.fat&amp;DISPLAY_STRING=Display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1__FDSAUDITLINK__" localSheetId="6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1__FDSAUDITLINK__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2__FDSAUDITLINK__" localSheetId="6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2__FDSAUDITLINK__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3__FDSAUDITLINK__" localSheetId="6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3__FDSAUDITLINK__" hidden="1">{"fdsup://directions/FAT%20Viewer?VAR:PED=LTM&amp;VAR:AUDIT_MODE=SUMMARY&amp;VAR:PERIOD=FIXED&amp;VAR:AUDIT_ID=00000117&amp;VAR:DATE=20060120&amp;action=UPDATE&amp;creator=factset&amp;DOC_NAME=FAT:FMA_audit_SUMMARY.fat&amp;DISPLAY_STRING=Display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4__FDSAUDITLINK__" localSheetId="6" hidden="1">{"fdsup://directions/FAT%20Viewer?VAR:PED=LTM&amp;VAR:AUDIT_MODE=SUMMARY&amp;VAR:PERIOD=FIXED&amp;VAR:AUDIT_ID=00000117&amp;VAR:DATE=20060119&amp;action=UPDATE&amp;creator=factset&amp;DOC_NAME=FAT:FMA_audit_SUMMARY.fat&amp;DISPLAY_STRING=Display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4__FDSAUDITLINK__" hidden="1">{"fdsup://directions/FAT%20Viewer?VAR:PED=LTM&amp;VAR:AUDIT_MODE=SUMMARY&amp;VAR:PERIOD=FIXED&amp;VAR:AUDIT_ID=00000117&amp;VAR:DATE=20060119&amp;action=UPDATE&amp;creator=factset&amp;DOC_NAME=FAT:FMA_audit_SUMMARY.fat&amp;DISPLAY_STRING=Display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5__FDSAUDITLINK__" localSheetId="6" hidden="1">{"fdsup://directions/FAT%20Viewer?VAR:PED=LTM&amp;VAR:AUDIT_MODE=SUMMARY&amp;VAR:PERIOD=FIXED&amp;VAR:AUDIT_ID=00000117&amp;VAR:DATE=20060118&amp;action=UPDATE&amp;creator=factset&amp;DOC_NAME=FAT:FMA_audit_SUMMARY.fat&amp;DISPLAY_STRING=Display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5__FDSAUDITLINK__" hidden="1">{"fdsup://directions/FAT%20Viewer?VAR:PED=LTM&amp;VAR:AUDIT_MODE=SUMMARY&amp;VAR:PERIOD=FIXED&amp;VAR:AUDIT_ID=00000117&amp;VAR:DATE=20060118&amp;action=UPDATE&amp;creator=factset&amp;DOC_NAME=FAT:FMA_audit_SUMMARY.fat&amp;DISPLAY_STRING=Display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6__FDSAUDITLINK__" localSheetId="6" hidden="1">{"fdsup://directions/FAT%20Viewer?VAR:PED=LTM&amp;VAR:AUDIT_MODE=SUMMARY&amp;VAR:PERIOD=FIXED&amp;VAR:AUDIT_ID=00000117&amp;VAR:DATE=20060117&amp;action=UPDATE&amp;creator=factset&amp;DOC_NAME=FAT:FMA_audit_SUMMARY.fat&amp;DISPLAY_STRING=Display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6__FDSAUDITLINK__" hidden="1">{"fdsup://directions/FAT%20Viewer?VAR:PED=LTM&amp;VAR:AUDIT_MODE=SUMMARY&amp;VAR:PERIOD=FIXED&amp;VAR:AUDIT_ID=00000117&amp;VAR:DATE=20060117&amp;action=UPDATE&amp;creator=factset&amp;DOC_NAME=FAT:FMA_audit_SUMMARY.fat&amp;DISPLAY_STRING=Display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7__FDSAUDITLINK__" localSheetId="6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7__FDSAUDITLINK__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8__FDSAUDITLINK__" localSheetId="6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8__FDSAUDITLINK__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9__FDSAUDITLINK__" localSheetId="6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499__FDSAUDITLINK__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__FDSAUDITLINK__" localSheetId="6" hidden="1">{"fdsup://directions/FAT Viewer?action=UPDATE&amp;creator=factset&amp;DYN_ARGS=TRUE&amp;DOC_NAME=FAT:FQL_AUDITING_CLIENT_TEMPLATE.FAT&amp;display_string=Audit&amp;VAR:KEY=TQTMPANEDA&amp;VAR:QUERY=QVZHKENTRl9ORVRfSU5DKEFOTiwwRlksLTZGWSxZKSkgLyAoQVZHKENTRl9BU1NFVFMoQU5OLDBGWSwtNkZZL","EZZKSkgLSBBVkcoQ1NGX0lOVEFORyhBTk4sMCwtNkZZLEZZKSkp&amp;WINDOW=FIRST_POPUP&amp;HEIGHT=450&amp;WIDTH=450&amp;START_MAXIMIZED=FALSE&amp;VAR:CALENDAR=US&amp;VAR:SYMBOL=ODFL"}</definedName>
    <definedName name="_15__FDSAUDITLINK__" hidden="1">{"fdsup://directions/FAT Viewer?action=UPDATE&amp;creator=factset&amp;DYN_ARGS=TRUE&amp;DOC_NAME=FAT:FQL_AUDITING_CLIENT_TEMPLATE.FAT&amp;display_string=Audit&amp;VAR:KEY=TQTMPANEDA&amp;VAR:QUERY=QVZHKENTRl9ORVRfSU5DKEFOTiwwRlksLTZGWSxZKSkgLyAoQVZHKENTRl9BU1NFVFMoQU5OLDBGWSwtNkZZL","EZZKSkgLSBBVkcoQ1NGX0lOVEFORyhBTk4sMCwtNkZZLEZZKSkp&amp;WINDOW=FIRST_POPUP&amp;HEIGHT=450&amp;WIDTH=450&amp;START_MAXIMIZED=FALSE&amp;VAR:CALENDAR=US&amp;VAR:SYMBOL=ODFL"}</definedName>
    <definedName name="_150__FDSAUDITLINK__" localSheetId="6" hidden="1">{"fdsup://directions/FAT%20Viewer?VAR:PED=LTM&amp;VAR:AUDIT_MODE=SUMMARY&amp;VAR:PERIOD=FIXED&amp;VAR:AUDIT_ID=00000117&amp;VAR:DATE=20090924&amp;action=UPDATE&amp;creator=factset&amp;DOC_NAME=FAT:FMA_audit_SUMMARY.fat&amp;DISPLAY_STRING=Display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0__FDSAUDITLINK__" hidden="1">{"fdsup://directions/FAT%20Viewer?VAR:PED=LTM&amp;VAR:AUDIT_MODE=SUMMARY&amp;VAR:PERIOD=FIXED&amp;VAR:AUDIT_ID=00000117&amp;VAR:DATE=20090924&amp;action=UPDATE&amp;creator=factset&amp;DOC_NAME=FAT:FMA_audit_SUMMARY.fat&amp;DISPLAY_STRING=Display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00__FDSAUDITLINK__" localSheetId="6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0__FDSAUDITLINK__" hidden="1">{"fdsup://directions/FAT%20Viewer?VAR:PED=LTM&amp;VAR:AUDIT_MODE=SUMMARY&amp;VAR:PERIOD=FIXED&amp;VAR:AUDIT_ID=00000117&amp;VAR:DATE=20060113&amp;action=UPDATE&amp;creator=factset&amp;DOC_NAME=FAT:FMA_audit_SUMMARY.fat&amp;DISPLAY_STRING=Display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1__FDSAUDITLINK__" localSheetId="6" hidden="1">{"fdsup://directions/FAT%20Viewer?VAR:PED=LTM&amp;VAR:AUDIT_MODE=SUMMARY&amp;VAR:PERIOD=FIXED&amp;VAR:AUDIT_ID=00000117&amp;VAR:DATE=20060112&amp;action=UPDATE&amp;creator=factset&amp;DOC_NAME=FAT:FMA_audit_SUMMARY.fat&amp;DISPLAY_STRING=Display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1__FDSAUDITLINK__" hidden="1">{"fdsup://directions/FAT%20Viewer?VAR:PED=LTM&amp;VAR:AUDIT_MODE=SUMMARY&amp;VAR:PERIOD=FIXED&amp;VAR:AUDIT_ID=00000117&amp;VAR:DATE=20060112&amp;action=UPDATE&amp;creator=factset&amp;DOC_NAME=FAT:FMA_audit_SUMMARY.fat&amp;DISPLAY_STRING=Display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2__FDSAUDITLINK__" localSheetId="6" hidden="1">{"fdsup://directions/FAT%20Viewer?VAR:PED=LTM&amp;VAR:AUDIT_MODE=SUMMARY&amp;VAR:PERIOD=FIXED&amp;VAR:AUDIT_ID=00000117&amp;VAR:DATE=20060111&amp;action=UPDATE&amp;creator=factset&amp;DOC_NAME=FAT:FMA_audit_SUMMARY.fat&amp;DISPLAY_STRING=Display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2__FDSAUDITLINK__" hidden="1">{"fdsup://directions/FAT%20Viewer?VAR:PED=LTM&amp;VAR:AUDIT_MODE=SUMMARY&amp;VAR:PERIOD=FIXED&amp;VAR:AUDIT_ID=00000117&amp;VAR:DATE=20060111&amp;action=UPDATE&amp;creator=factset&amp;DOC_NAME=FAT:FMA_audit_SUMMARY.fat&amp;DISPLAY_STRING=Display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3__FDSAUDITLINK__" localSheetId="6" hidden="1">{"fdsup://directions/FAT%20Viewer?VAR:PED=LTM&amp;VAR:AUDIT_MODE=SUMMARY&amp;VAR:PERIOD=FIXED&amp;VAR:AUDIT_ID=00000117&amp;VAR:DATE=20060110&amp;action=UPDATE&amp;creator=factset&amp;DOC_NAME=FAT:FMA_audit_SUMMARY.fat&amp;DISPLAY_STRING=Display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3__FDSAUDITLINK__" hidden="1">{"fdsup://directions/FAT%20Viewer?VAR:PED=LTM&amp;VAR:AUDIT_MODE=SUMMARY&amp;VAR:PERIOD=FIXED&amp;VAR:AUDIT_ID=00000117&amp;VAR:DATE=20060110&amp;action=UPDATE&amp;creator=factset&amp;DOC_NAME=FAT:FMA_audit_SUMMARY.fat&amp;DISPLAY_STRING=Display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4__FDSAUDITLINK__" localSheetId="6" hidden="1">{"fdsup://directions/FAT%20Viewer?VAR:PED=LTM&amp;VAR:AUDIT_MODE=SUMMARY&amp;VAR:PERIOD=FIXED&amp;VAR:AUDIT_ID=00000117&amp;VAR:DATE=20060109&amp;action=UPDATE&amp;creator=factset&amp;DOC_NAME=FAT:FMA_audit_SUMMARY.fat&amp;DISPLAY_STRING=Display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4__FDSAUDITLINK__" hidden="1">{"fdsup://directions/FAT%20Viewer?VAR:PED=LTM&amp;VAR:AUDIT_MODE=SUMMARY&amp;VAR:PERIOD=FIXED&amp;VAR:AUDIT_ID=00000117&amp;VAR:DATE=20060109&amp;action=UPDATE&amp;creator=factset&amp;DOC_NAME=FAT:FMA_audit_SUMMARY.fat&amp;DISPLAY_STRING=Display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5__FDSAUDITLINK__" localSheetId="6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5__FDSAUDITLINK__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6__FDSAUDITLINK__" localSheetId="6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6__FDSAUDITLINK__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7__FDSAUDITLINK__" localSheetId="6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7__FDSAUDITLINK__" hidden="1">{"fdsup://directions/FAT%20Viewer?VAR:PED=LTM&amp;VAR:AUDIT_MODE=SUMMARY&amp;VAR:PERIOD=FIXED&amp;VAR:AUDIT_ID=00000117&amp;VAR:DATE=20060106&amp;action=UPDATE&amp;creator=factset&amp;DOC_NAME=FAT:FMA_audit_SUMMARY.fat&amp;DISPLAY_STRING=Display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8__FDSAUDITLINK__" localSheetId="6" hidden="1">{"fdsup://directions/FAT%20Viewer?VAR:PED=LTM&amp;VAR:AUDIT_MODE=SUMMARY&amp;VAR:PERIOD=FIXED&amp;VAR:AUDIT_ID=00000117&amp;VAR:DATE=20060105&amp;action=UPDATE&amp;creator=factset&amp;DOC_NAME=FAT:FMA_audit_SUMMARY.fat&amp;DISPLAY_STRING=Display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8__FDSAUDITLINK__" hidden="1">{"fdsup://directions/FAT%20Viewer?VAR:PED=LTM&amp;VAR:AUDIT_MODE=SUMMARY&amp;VAR:PERIOD=FIXED&amp;VAR:AUDIT_ID=00000117&amp;VAR:DATE=20060105&amp;action=UPDATE&amp;creator=factset&amp;DOC_NAME=FAT:FMA_audit_SUMMARY.fat&amp;DISPLAY_STRING=Display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9__FDSAUDITLINK__" localSheetId="6" hidden="1">{"fdsup://directions/FAT%20Viewer?VAR:PED=LTM&amp;VAR:AUDIT_MODE=SUMMARY&amp;VAR:PERIOD=FIXED&amp;VAR:AUDIT_ID=00000117&amp;VAR:DATE=20060104&amp;action=UPDATE&amp;creator=factset&amp;DOC_NAME=FAT:FMA_audit_SUMMARY.fat&amp;DISPLAY_STRING=Display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09__FDSAUDITLINK__" hidden="1">{"fdsup://directions/FAT%20Viewer?VAR:PED=LTM&amp;VAR:AUDIT_MODE=SUMMARY&amp;VAR:PERIOD=FIXED&amp;VAR:AUDIT_ID=00000117&amp;VAR:DATE=20060104&amp;action=UPDATE&amp;creator=factset&amp;DOC_NAME=FAT:FMA_audit_SUMMARY.fat&amp;DISPLAY_STRING=Display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1__FDSAUDITLINK__" localSheetId="6" hidden="1">{"fdsup://directions/FAT%20Viewer?VAR:PED=LTM&amp;VAR:AUDIT_MODE=SUMMARY&amp;VAR:PERIOD=FIXED&amp;VAR:AUDIT_ID=00000117&amp;VAR:DATE=20090923&amp;action=UPDATE&amp;creator=factset&amp;DOC_NAME=FAT:FMA_audit_SUMMARY.fat&amp;DISPLAY_STRING=Display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1__FDSAUDITLINK__" hidden="1">{"fdsup://directions/FAT%20Viewer?VAR:PED=LTM&amp;VAR:AUDIT_MODE=SUMMARY&amp;VAR:PERIOD=FIXED&amp;VAR:AUDIT_ID=00000117&amp;VAR:DATE=20090923&amp;action=UPDATE&amp;creator=factset&amp;DOC_NAME=FAT:FMA_audit_SUMMARY.fat&amp;DISPLAY_STRING=Display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10__FDSAUDITLINK__" localSheetId="6" hidden="1">{"fdsup://directions/FAT%20Viewer?VAR:PED=LTM&amp;VAR:AUDIT_MODE=SUMMARY&amp;VAR:PERIOD=FIXED&amp;VAR:AUDIT_ID=00000117&amp;VAR:DATE=20060103&amp;action=UPDATE&amp;creator=factset&amp;DOC_NAME=FAT:FMA_audit_SUMMARY.fat&amp;DISPLAY_STRING=Display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10__FDSAUDITLINK__" hidden="1">{"fdsup://directions/FAT%20Viewer?VAR:PED=LTM&amp;VAR:AUDIT_MODE=SUMMARY&amp;VAR:PERIOD=FIXED&amp;VAR:AUDIT_ID=00000117&amp;VAR:DATE=20060103&amp;action=UPDATE&amp;creator=factset&amp;DOC_NAME=FAT:FMA_audit_SUMMARY.fat&amp;DISPLAY_STRING=Display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EBITDA&amp;VAR:CHGPERIOD=NA&amp;VAR:FQLFORMULA=FMA_EVAL_EBITDA&amp;VAR:CURRENCY=NA&amp;VAR:P=NA&amp;VAR:V=11.5","09617&amp;VAR:null=.html"}</definedName>
    <definedName name="_1511__FDSAUDITLINK__" localSheetId="6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1__FDSAUDITLINK__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2__FDSAUDITLINK__" localSheetId="6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2__FDSAUDITLINK__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3__FDSAUDITLINK__" localSheetId="6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3__FDSAUDITLINK__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4__FDSAUDITLINK__" localSheetId="6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4__FDSAUDITLINK__" hidden="1">{"fdsup://directions/FAT%20Viewer?VAR:PED=LTM&amp;VAR:AUDIT_MODE=SUMMARY&amp;VAR:PERIOD=FIXED&amp;VAR:AUDIT_ID=00000117&amp;VAR:DATE=20051230&amp;action=UPDATE&amp;creator=factset&amp;DOC_NAME=FAT:FMA_audit_SUMMARY.fat&amp;DISPLAY_STRING=Display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5__FDSAUDITLINK__" localSheetId="6" hidden="1">{"fdsup://directions/FAT%20Viewer?VAR:PED=LTM&amp;VAR:AUDIT_MODE=SUMMARY&amp;VAR:PERIOD=FIXED&amp;VAR:AUDIT_ID=00000117&amp;VAR:DATE=20051229&amp;action=UPDATE&amp;creator=factset&amp;DOC_NAME=FAT:FMA_audit_SUMMARY.fat&amp;DISPLAY_STRING=Display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5__FDSAUDITLINK__" hidden="1">{"fdsup://directions/FAT%20Viewer?VAR:PED=LTM&amp;VAR:AUDIT_MODE=SUMMARY&amp;VAR:PERIOD=FIXED&amp;VAR:AUDIT_ID=00000117&amp;VAR:DATE=20051229&amp;action=UPDATE&amp;creator=factset&amp;DOC_NAME=FAT:FMA_audit_SUMMARY.fat&amp;DISPLAY_STRING=Display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6__FDSAUDITLINK__" localSheetId="6" hidden="1">{"fdsup://directions/FAT%20Viewer?VAR:PED=LTM&amp;VAR:AUDIT_MODE=SUMMARY&amp;VAR:PERIOD=FIXED&amp;VAR:AUDIT_ID=00000117&amp;VAR:DATE=20051228&amp;action=UPDATE&amp;creator=factset&amp;DOC_NAME=FAT:FMA_audit_SUMMARY.fat&amp;DISPLAY_STRING=Display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6__FDSAUDITLINK__" hidden="1">{"fdsup://directions/FAT%20Viewer?VAR:PED=LTM&amp;VAR:AUDIT_MODE=SUMMARY&amp;VAR:PERIOD=FIXED&amp;VAR:AUDIT_ID=00000117&amp;VAR:DATE=20051228&amp;action=UPDATE&amp;creator=factset&amp;DOC_NAME=FAT:FMA_audit_SUMMARY.fat&amp;DISPLAY_STRING=Display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7__FDSAUDITLINK__" localSheetId="6" hidden="1">{"fdsup://directions/FAT%20Viewer?VAR:PED=LTM&amp;VAR:AUDIT_MODE=SUMMARY&amp;VAR:PERIOD=FIXED&amp;VAR:AUDIT_ID=00000117&amp;VAR:DATE=20051227&amp;action=UPDATE&amp;creator=factset&amp;DOC_NAME=FAT:FMA_audit_SUMMARY.fat&amp;DISPLAY_STRING=Display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7__FDSAUDITLINK__" hidden="1">{"fdsup://directions/FAT%20Viewer?VAR:PED=LTM&amp;VAR:AUDIT_MODE=SUMMARY&amp;VAR:PERIOD=FIXED&amp;VAR:AUDIT_ID=00000117&amp;VAR:DATE=20051227&amp;action=UPDATE&amp;creator=factset&amp;DOC_NAME=FAT:FMA_audit_SUMMARY.fat&amp;DISPLAY_STRING=Display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8__FDSAUDITLINK__" localSheetId="6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8__FDSAUDITLINK__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9__FDSAUDITLINK__" localSheetId="6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19__FDSAUDITLINK__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__FDSAUDITLINK__" localSheetId="6" hidden="1">{"fdsup://directions/FAT%20Viewer?VAR:PED=LTM&amp;VAR:AUDIT_MODE=SUMMARY&amp;VAR:PERIOD=FIXED&amp;VAR:AUDIT_ID=00000117&amp;VAR:DATE=20090922&amp;action=UPDATE&amp;creator=factset&amp;DOC_NAME=FAT:FMA_audit_SUMMARY.fat&amp;DISPLAY_STRING=Display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2__FDSAUDITLINK__" hidden="1">{"fdsup://directions/FAT%20Viewer?VAR:PED=LTM&amp;VAR:AUDIT_MODE=SUMMARY&amp;VAR:PERIOD=FIXED&amp;VAR:AUDIT_ID=00000117&amp;VAR:DATE=20090922&amp;action=UPDATE&amp;creator=factset&amp;DOC_NAME=FAT:FMA_audit_SUMMARY.fat&amp;DISPLAY_STRING=Display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20__FDSAUDITLINK__" localSheetId="6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0__FDSAUDITLINK__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1__FDSAUDITLINK__" localSheetId="6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1__FDSAUDITLINK__" hidden="1">{"fdsup://directions/FAT%20Viewer?VAR:PED=LTM&amp;VAR:AUDIT_MODE=SUMMARY&amp;VAR:PERIOD=FIXED&amp;VAR:AUDIT_ID=00000117&amp;VAR:DATE=20051223&amp;action=UPDATE&amp;creator=factset&amp;DOC_NAME=FAT:FMA_audit_SUMMARY.fat&amp;DISPLAY_STRING=Display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2__FDSAUDITLINK__" localSheetId="6" hidden="1">{"fdsup://directions/FAT%20Viewer?VAR:PED=LTM&amp;VAR:AUDIT_MODE=SUMMARY&amp;VAR:PERIOD=FIXED&amp;VAR:AUDIT_ID=00000117&amp;VAR:DATE=20051222&amp;action=UPDATE&amp;creator=factset&amp;DOC_NAME=FAT:FMA_audit_SUMMARY.fat&amp;DISPLAY_STRING=Display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2__FDSAUDITLINK__" hidden="1">{"fdsup://directions/FAT%20Viewer?VAR:PED=LTM&amp;VAR:AUDIT_MODE=SUMMARY&amp;VAR:PERIOD=FIXED&amp;VAR:AUDIT_ID=00000117&amp;VAR:DATE=20051222&amp;action=UPDATE&amp;creator=factset&amp;DOC_NAME=FAT:FMA_audit_SUMMARY.fat&amp;DISPLAY_STRING=Display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3__FDSAUDITLINK__" localSheetId="6" hidden="1">{"fdsup://directions/FAT%20Viewer?VAR:PED=LTM&amp;VAR:AUDIT_MODE=SUMMARY&amp;VAR:PERIOD=FIXED&amp;VAR:AUDIT_ID=00000117&amp;VAR:DATE=20051221&amp;action=UPDATE&amp;creator=factset&amp;DOC_NAME=FAT:FMA_audit_SUMMARY.fat&amp;DISPLAY_STRING=Display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3__FDSAUDITLINK__" hidden="1">{"fdsup://directions/FAT%20Viewer?VAR:PED=LTM&amp;VAR:AUDIT_MODE=SUMMARY&amp;VAR:PERIOD=FIXED&amp;VAR:AUDIT_ID=00000117&amp;VAR:DATE=20051221&amp;action=UPDATE&amp;creator=factset&amp;DOC_NAME=FAT:FMA_audit_SUMMARY.fat&amp;DISPLAY_STRING=Display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4__FDSAUDITLINK__" localSheetId="6" hidden="1">{"fdsup://directions/FAT%20Viewer?VAR:PED=LTM&amp;VAR:AUDIT_MODE=SUMMARY&amp;VAR:PERIOD=FIXED&amp;VAR:AUDIT_ID=00000117&amp;VAR:DATE=20051220&amp;action=UPDATE&amp;creator=factset&amp;DOC_NAME=FAT:FMA_audit_SUMMARY.fat&amp;DISPLAY_STRING=Display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4__FDSAUDITLINK__" hidden="1">{"fdsup://directions/FAT%20Viewer?VAR:PED=LTM&amp;VAR:AUDIT_MODE=SUMMARY&amp;VAR:PERIOD=FIXED&amp;VAR:AUDIT_ID=00000117&amp;VAR:DATE=20051220&amp;action=UPDATE&amp;creator=factset&amp;DOC_NAME=FAT:FMA_audit_SUMMARY.fat&amp;DISPLAY_STRING=Display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5__FDSAUDITLINK__" localSheetId="6" hidden="1">{"fdsup://directions/FAT%20Viewer?VAR:PED=LTM&amp;VAR:AUDIT_MODE=SUMMARY&amp;VAR:PERIOD=FIXED&amp;VAR:AUDIT_ID=00000117&amp;VAR:DATE=20051219&amp;action=UPDATE&amp;creator=factset&amp;DOC_NAME=FAT:FMA_audit_SUMMARY.fat&amp;DISPLAY_STRING=Display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5__FDSAUDITLINK__" hidden="1">{"fdsup://directions/FAT%20Viewer?VAR:PED=LTM&amp;VAR:AUDIT_MODE=SUMMARY&amp;VAR:PERIOD=FIXED&amp;VAR:AUDIT_ID=00000117&amp;VAR:DATE=20051219&amp;action=UPDATE&amp;creator=factset&amp;DOC_NAME=FAT:FMA_audit_SUMMARY.fat&amp;DISPLAY_STRING=Display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6__FDSAUDITLINK__" localSheetId="6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6__FDSAUDITLINK__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7__FDSAUDITLINK__" localSheetId="6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7__FDSAUDITLINK__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8__FDSAUDITLINK__" localSheetId="6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8__FDSAUDITLINK__" hidden="1">{"fdsup://directions/FAT%20Viewer?VAR:PED=LTM&amp;VAR:AUDIT_MODE=SUMMARY&amp;VAR:PERIOD=FIXED&amp;VAR:AUDIT_ID=00000117&amp;VAR:DATE=20051216&amp;action=UPDATE&amp;creator=factset&amp;DOC_NAME=FAT:FMA_audit_SUMMARY.fat&amp;DISPLAY_STRING=Display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9__FDSAUDITLINK__" localSheetId="6" hidden="1">{"fdsup://directions/FAT%20Viewer?VAR:PED=LTM&amp;VAR:AUDIT_MODE=SUMMARY&amp;VAR:PERIOD=FIXED&amp;VAR:AUDIT_ID=00000117&amp;VAR:DATE=20051215&amp;action=UPDATE&amp;creator=factset&amp;DOC_NAME=FAT:FMA_audit_SUMMARY.fat&amp;DISPLAY_STRING=Display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29__FDSAUDITLINK__" hidden="1">{"fdsup://directions/FAT%20Viewer?VAR:PED=LTM&amp;VAR:AUDIT_MODE=SUMMARY&amp;VAR:PERIOD=FIXED&amp;VAR:AUDIT_ID=00000117&amp;VAR:DATE=20051215&amp;action=UPDATE&amp;creator=factset&amp;DOC_NAME=FAT:FMA_audit_SUMMARY.fat&amp;DISPLAY_STRING=Display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__FDSAUDITLINK__" localSheetId="6" hidden="1">{"fdsup://directions/FAT%20Viewer?VAR:PED=LTM&amp;VAR:AUDIT_MODE=SUMMARY&amp;VAR:PERIOD=FIXED&amp;VAR:AUDIT_ID=00000117&amp;VAR:DATE=20090921&amp;action=UPDATE&amp;creator=factset&amp;DOC_NAME=FAT:FMA_audit_SUMMARY.fat&amp;DISPLAY_STRING=Display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3__FDSAUDITLINK__" hidden="1">{"fdsup://directions/FAT%20Viewer?VAR:PED=LTM&amp;VAR:AUDIT_MODE=SUMMARY&amp;VAR:PERIOD=FIXED&amp;VAR:AUDIT_ID=00000117&amp;VAR:DATE=20090921&amp;action=UPDATE&amp;creator=factset&amp;DOC_NAME=FAT:FMA_audit_SUMMARY.fat&amp;DISPLAY_STRING=Display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30__FDSAUDITLINK__" localSheetId="6" hidden="1">{"fdsup://directions/FAT%20Viewer?VAR:PED=LTM&amp;VAR:AUDIT_MODE=SUMMARY&amp;VAR:PERIOD=FIXED&amp;VAR:AUDIT_ID=00000117&amp;VAR:DATE=20051214&amp;action=UPDATE&amp;creator=factset&amp;DOC_NAME=FAT:FMA_audit_SUMMARY.fat&amp;DISPLAY_STRING=Display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0__FDSAUDITLINK__" hidden="1">{"fdsup://directions/FAT%20Viewer?VAR:PED=LTM&amp;VAR:AUDIT_MODE=SUMMARY&amp;VAR:PERIOD=FIXED&amp;VAR:AUDIT_ID=00000117&amp;VAR:DATE=20051214&amp;action=UPDATE&amp;creator=factset&amp;DOC_NAME=FAT:FMA_audit_SUMMARY.fat&amp;DISPLAY_STRING=Display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1__FDSAUDITLINK__" localSheetId="6" hidden="1">{"fdsup://directions/FAT%20Viewer?VAR:PED=LTM&amp;VAR:AUDIT_MODE=SUMMARY&amp;VAR:PERIOD=FIXED&amp;VAR:AUDIT_ID=00000117&amp;VAR:DATE=20051213&amp;action=UPDATE&amp;creator=factset&amp;DOC_NAME=FAT:FMA_audit_SUMMARY.fat&amp;DISPLAY_STRING=Display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1__FDSAUDITLINK__" hidden="1">{"fdsup://directions/FAT%20Viewer?VAR:PED=LTM&amp;VAR:AUDIT_MODE=SUMMARY&amp;VAR:PERIOD=FIXED&amp;VAR:AUDIT_ID=00000117&amp;VAR:DATE=20051213&amp;action=UPDATE&amp;creator=factset&amp;DOC_NAME=FAT:FMA_audit_SUMMARY.fat&amp;DISPLAY_STRING=Display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2__FDSAUDITLINK__" localSheetId="6" hidden="1">{"fdsup://directions/FAT%20Viewer?VAR:PED=LTM&amp;VAR:AUDIT_MODE=SUMMARY&amp;VAR:PERIOD=FIXED&amp;VAR:AUDIT_ID=00000117&amp;VAR:DATE=20051212&amp;action=UPDATE&amp;creator=factset&amp;DOC_NAME=FAT:FMA_audit_SUMMARY.fat&amp;DISPLAY_STRING=Display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2__FDSAUDITLINK__" hidden="1">{"fdsup://directions/FAT%20Viewer?VAR:PED=LTM&amp;VAR:AUDIT_MODE=SUMMARY&amp;VAR:PERIOD=FIXED&amp;VAR:AUDIT_ID=00000117&amp;VAR:DATE=20051212&amp;action=UPDATE&amp;creator=factset&amp;DOC_NAME=FAT:FMA_audit_SUMMARY.fat&amp;DISPLAY_STRING=Display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3__FDSAUDITLINK__" localSheetId="6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3__FDSAUDITLINK__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4__FDSAUDITLINK__" localSheetId="6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4__FDSAUDITLINK__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5__FDSAUDITLINK__" localSheetId="6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5__FDSAUDITLINK__" hidden="1">{"fdsup://directions/FAT%20Viewer?VAR:PED=LTM&amp;VAR:AUDIT_MODE=SUMMARY&amp;VAR:PERIOD=FIXED&amp;VAR:AUDIT_ID=00000117&amp;VAR:DATE=20051209&amp;action=UPDATE&amp;creator=factset&amp;DOC_NAME=FAT:FMA_audit_SUMMARY.fat&amp;DISPLAY_STRING=Display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6__FDSAUDITLINK__" localSheetId="6" hidden="1">{"fdsup://directions/FAT%20Viewer?VAR:PED=LTM&amp;VAR:AUDIT_MODE=SUMMARY&amp;VAR:PERIOD=FIXED&amp;VAR:AUDIT_ID=00000117&amp;VAR:DATE=20051208&amp;action=UPDATE&amp;creator=factset&amp;DOC_NAME=FAT:FMA_audit_SUMMARY.fat&amp;DISPLAY_STRING=Display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6__FDSAUDITLINK__" hidden="1">{"fdsup://directions/FAT%20Viewer?VAR:PED=LTM&amp;VAR:AUDIT_MODE=SUMMARY&amp;VAR:PERIOD=FIXED&amp;VAR:AUDIT_ID=00000117&amp;VAR:DATE=20051208&amp;action=UPDATE&amp;creator=factset&amp;DOC_NAME=FAT:FMA_audit_SUMMARY.fat&amp;DISPLAY_STRING=Display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7__FDSAUDITLINK__" localSheetId="6" hidden="1">{"fdsup://directions/FAT%20Viewer?VAR:PED=LTM&amp;VAR:AUDIT_MODE=SUMMARY&amp;VAR:PERIOD=FIXED&amp;VAR:AUDIT_ID=00000117&amp;VAR:DATE=20051207&amp;action=UPDATE&amp;creator=factset&amp;DOC_NAME=FAT:FMA_audit_SUMMARY.fat&amp;DISPLAY_STRING=Display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7__FDSAUDITLINK__" hidden="1">{"fdsup://directions/FAT%20Viewer?VAR:PED=LTM&amp;VAR:AUDIT_MODE=SUMMARY&amp;VAR:PERIOD=FIXED&amp;VAR:AUDIT_ID=00000117&amp;VAR:DATE=20051207&amp;action=UPDATE&amp;creator=factset&amp;DOC_NAME=FAT:FMA_audit_SUMMARY.fat&amp;DISPLAY_STRING=Display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8__FDSAUDITLINK__" localSheetId="6" hidden="1">{"fdsup://directions/FAT%20Viewer?VAR:PED=LTM&amp;VAR:AUDIT_MODE=SUMMARY&amp;VAR:PERIOD=FIXED&amp;VAR:AUDIT_ID=00000117&amp;VAR:DATE=20051206&amp;action=UPDATE&amp;creator=factset&amp;DOC_NAME=FAT:FMA_audit_SUMMARY.fat&amp;DISPLAY_STRING=Display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8__FDSAUDITLINK__" hidden="1">{"fdsup://directions/FAT%20Viewer?VAR:PED=LTM&amp;VAR:AUDIT_MODE=SUMMARY&amp;VAR:PERIOD=FIXED&amp;VAR:AUDIT_ID=00000117&amp;VAR:DATE=20051206&amp;action=UPDATE&amp;creator=factset&amp;DOC_NAME=FAT:FMA_audit_SUMMARY.fat&amp;DISPLAY_STRING=Display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9__FDSAUDITLINK__" localSheetId="6" hidden="1">{"fdsup://directions/FAT%20Viewer?VAR:PED=LTM&amp;VAR:AUDIT_MODE=SUMMARY&amp;VAR:PERIOD=FIXED&amp;VAR:AUDIT_ID=00000117&amp;VAR:DATE=20051205&amp;action=UPDATE&amp;creator=factset&amp;DOC_NAME=FAT:FMA_audit_SUMMARY.fat&amp;DISPLAY_STRING=Display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39__FDSAUDITLINK__" hidden="1">{"fdsup://directions/FAT%20Viewer?VAR:PED=LTM&amp;VAR:AUDIT_MODE=SUMMARY&amp;VAR:PERIOD=FIXED&amp;VAR:AUDIT_ID=00000117&amp;VAR:DATE=20051205&amp;action=UPDATE&amp;creator=factset&amp;DOC_NAME=FAT:FMA_audit_SUMMARY.fat&amp;DISPLAY_STRING=Display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__FDSAUDITLINK__" localSheetId="6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4__FDSAUDITLINK__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40__FDSAUDITLINK__" localSheetId="6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0__FDSAUDITLINK__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1__FDSAUDITLINK__" localSheetId="6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1__FDSAUDITLINK__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2__FDSAUDITLINK__" localSheetId="6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2__FDSAUDITLINK__" hidden="1">{"fdsup://directions/FAT%20Viewer?VAR:PED=LTM&amp;VAR:AUDIT_MODE=SUMMARY&amp;VAR:PERIOD=FIXED&amp;VAR:AUDIT_ID=00000117&amp;VAR:DATE=20051202&amp;action=UPDATE&amp;creator=factset&amp;DOC_NAME=FAT:FMA_audit_SUMMARY.fat&amp;DISPLAY_STRING=Display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3__FDSAUDITLINK__" localSheetId="6" hidden="1">{"fdsup://directions/FAT%20Viewer?VAR:PED=LTM&amp;VAR:AUDIT_MODE=SUMMARY&amp;VAR:PERIOD=FIXED&amp;VAR:AUDIT_ID=00000117&amp;VAR:DATE=20051201&amp;action=UPDATE&amp;creator=factset&amp;DOC_NAME=FAT:FMA_audit_SUMMARY.fat&amp;DISPLAY_STRING=Display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3__FDSAUDITLINK__" hidden="1">{"fdsup://directions/FAT%20Viewer?VAR:PED=LTM&amp;VAR:AUDIT_MODE=SUMMARY&amp;VAR:PERIOD=FIXED&amp;VAR:AUDIT_ID=00000117&amp;VAR:DATE=20051201&amp;action=UPDATE&amp;creator=factset&amp;DOC_NAME=FAT:FMA_audit_SUMMARY.fat&amp;DISPLAY_STRING=Display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4__FDSAUDITLINK__" localSheetId="6" hidden="1">{"fdsup://directions/FAT%20Viewer?VAR:PED=LTM&amp;VAR:AUDIT_MODE=SUMMARY&amp;VAR:PERIOD=FIXED&amp;VAR:AUDIT_ID=00000117&amp;VAR:DATE=20051130&amp;action=UPDATE&amp;creator=factset&amp;DOC_NAME=FAT:FMA_audit_SUMMARY.fat&amp;DISPLAY_STRING=Display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4__FDSAUDITLINK__" hidden="1">{"fdsup://directions/FAT%20Viewer?VAR:PED=LTM&amp;VAR:AUDIT_MODE=SUMMARY&amp;VAR:PERIOD=FIXED&amp;VAR:AUDIT_ID=00000117&amp;VAR:DATE=20051130&amp;action=UPDATE&amp;creator=factset&amp;DOC_NAME=FAT:FMA_audit_SUMMARY.fat&amp;DISPLAY_STRING=Display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EBITDA&amp;VAR:CHGPERIOD=NA&amp;VAR:FQLFORMULA=FMA_EVAL_EBITDA&amp;VAR:CURRENCY=NA&amp;VAR:P=NA&amp;VAR:V=11.5","10206&amp;VAR:null=.html"}</definedName>
    <definedName name="_1545__FDSAUDITLINK__" localSheetId="6" hidden="1">{"fdsup://directions/FAT%20Viewer?VAR:PED=LTM&amp;VAR:AUDIT_MODE=SUMMARY&amp;VAR:PERIOD=FIXED&amp;VAR:AUDIT_ID=00000117&amp;VAR:DATE=20051129&amp;action=UPDATE&amp;creator=factset&amp;DOC_NAME=FAT:FMA_audit_SUMMARY.fat&amp;DISPLAY_STRING=Display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5__FDSAUDITLINK__" hidden="1">{"fdsup://directions/FAT%20Viewer?VAR:PED=LTM&amp;VAR:AUDIT_MODE=SUMMARY&amp;VAR:PERIOD=FIXED&amp;VAR:AUDIT_ID=00000117&amp;VAR:DATE=20051129&amp;action=UPDATE&amp;creator=factset&amp;DOC_NAME=FAT:FMA_audit_SUMMARY.fat&amp;DISPLAY_STRING=Display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6__FDSAUDITLINK__" localSheetId="6" hidden="1">{"fdsup://directions/FAT%20Viewer?VAR:PED=LTM&amp;VAR:AUDIT_MODE=SUMMARY&amp;VAR:PERIOD=FIXED&amp;VAR:AUDIT_ID=00000117&amp;VAR:DATE=20051128&amp;action=UPDATE&amp;creator=factset&amp;DOC_NAME=FAT:FMA_audit_SUMMARY.fat&amp;DISPLAY_STRING=Display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6__FDSAUDITLINK__" hidden="1">{"fdsup://directions/FAT%20Viewer?VAR:PED=LTM&amp;VAR:AUDIT_MODE=SUMMARY&amp;VAR:PERIOD=FIXED&amp;VAR:AUDIT_ID=00000117&amp;VAR:DATE=20051128&amp;action=UPDATE&amp;creator=factset&amp;DOC_NAME=FAT:FMA_audit_SUMMARY.fat&amp;DISPLAY_STRING=Display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7__FDSAUDITLINK__" localSheetId="6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7__FDSAUDITLINK__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8__FDSAUDITLINK__" localSheetId="6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8__FDSAUDITLINK__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9__FDSAUDITLINK__" localSheetId="6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49__FDSAUDITLINK__" hidden="1">{"fdsup://directions/FAT%20Viewer?VAR:PED=LTM&amp;VAR:AUDIT_MODE=SUMMARY&amp;VAR:PERIOD=FIXED&amp;VAR:AUDIT_ID=00000117&amp;VAR:DATE=20051125&amp;action=UPDATE&amp;creator=factset&amp;DOC_NAME=FAT:FMA_audit_SUMMARY.fat&amp;DISPLAY_STRING=Display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__FDSAUDITLINK__" localSheetId="6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5__FDSAUDITLINK__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50__FDSAUDITLINK__" localSheetId="6" hidden="1">{"fdsup://directions/FAT%20Viewer?VAR:PED=LTM&amp;VAR:AUDIT_MODE=SUMMARY&amp;VAR:PERIOD=FIXED&amp;VAR:AUDIT_ID=00000117&amp;VAR:DATE=20051123&amp;action=UPDATE&amp;creator=factset&amp;DOC_NAME=FAT:FMA_audit_SUMMARY.fat&amp;DISPLAY_STRING=Display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0__FDSAUDITLINK__" hidden="1">{"fdsup://directions/FAT%20Viewer?VAR:PED=LTM&amp;VAR:AUDIT_MODE=SUMMARY&amp;VAR:PERIOD=FIXED&amp;VAR:AUDIT_ID=00000117&amp;VAR:DATE=20051123&amp;action=UPDATE&amp;creator=factset&amp;DOC_NAME=FAT:FMA_audit_SUMMARY.fat&amp;DISPLAY_STRING=Display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1__FDSAUDITLINK__" localSheetId="6" hidden="1">{"fdsup://directions/FAT%20Viewer?VAR:PED=LTM&amp;VAR:AUDIT_MODE=SUMMARY&amp;VAR:PERIOD=FIXED&amp;VAR:AUDIT_ID=00000117&amp;VAR:DATE=20051123&amp;action=UPDATE&amp;creator=factset&amp;DOC_NAME=FAT:FMA_audit_SUMMARY.fat&amp;DISPLAY_STRING=Display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1__FDSAUDITLINK__" hidden="1">{"fdsup://directions/FAT%20Viewer?VAR:PED=LTM&amp;VAR:AUDIT_MODE=SUMMARY&amp;VAR:PERIOD=FIXED&amp;VAR:AUDIT_ID=00000117&amp;VAR:DATE=20051123&amp;action=UPDATE&amp;creator=factset&amp;DOC_NAME=FAT:FMA_audit_SUMMARY.fat&amp;DISPLAY_STRING=Display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2__FDSAUDITLINK__" localSheetId="6" hidden="1">{"fdsup://directions/FAT%20Viewer?VAR:PED=LTM&amp;VAR:AUDIT_MODE=SUMMARY&amp;VAR:PERIOD=FIXED&amp;VAR:AUDIT_ID=00000117&amp;VAR:DATE=20051122&amp;action=UPDATE&amp;creator=factset&amp;DOC_NAME=FAT:FMA_audit_SUMMARY.fat&amp;DISPLAY_STRING=Display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2__FDSAUDITLINK__" hidden="1">{"fdsup://directions/FAT%20Viewer?VAR:PED=LTM&amp;VAR:AUDIT_MODE=SUMMARY&amp;VAR:PERIOD=FIXED&amp;VAR:AUDIT_ID=00000117&amp;VAR:DATE=20051122&amp;action=UPDATE&amp;creator=factset&amp;DOC_NAME=FAT:FMA_audit_SUMMARY.fat&amp;DISPLAY_STRING=Display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3__FDSAUDITLINK__" localSheetId="6" hidden="1">{"fdsup://directions/FAT%20Viewer?VAR:PED=LTM&amp;VAR:AUDIT_MODE=SUMMARY&amp;VAR:PERIOD=FIXED&amp;VAR:AUDIT_ID=00000117&amp;VAR:DATE=20051121&amp;action=UPDATE&amp;creator=factset&amp;DOC_NAME=FAT:FMA_audit_SUMMARY.fat&amp;DISPLAY_STRING=Display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3__FDSAUDITLINK__" hidden="1">{"fdsup://directions/FAT%20Viewer?VAR:PED=LTM&amp;VAR:AUDIT_MODE=SUMMARY&amp;VAR:PERIOD=FIXED&amp;VAR:AUDIT_ID=00000117&amp;VAR:DATE=20051121&amp;action=UPDATE&amp;creator=factset&amp;DOC_NAME=FAT:FMA_audit_SUMMARY.fat&amp;DISPLAY_STRING=Display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4__FDSAUDITLINK__" localSheetId="6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4__FDSAUDITLINK__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5__FDSAUDITLINK__" localSheetId="6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5__FDSAUDITLINK__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6__FDSAUDITLINK__" localSheetId="6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6__FDSAUDITLINK__" hidden="1">{"fdsup://directions/FAT%20Viewer?VAR:PED=LTM&amp;VAR:AUDIT_MODE=SUMMARY&amp;VAR:PERIOD=FIXED&amp;VAR:AUDIT_ID=00000117&amp;VAR:DATE=20051118&amp;action=UPDATE&amp;creator=factset&amp;DOC_NAME=FAT:FMA_audit_SUMMARY.fat&amp;DISPLAY_STRING=Display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7__FDSAUDITLINK__" localSheetId="6" hidden="1">{"fdsup://directions/FAT%20Viewer?VAR:PED=LTM&amp;VAR:AUDIT_MODE=SUMMARY&amp;VAR:PERIOD=FIXED&amp;VAR:AUDIT_ID=00000117&amp;VAR:DATE=20051117&amp;action=UPDATE&amp;creator=factset&amp;DOC_NAME=FAT:FMA_audit_SUMMARY.fat&amp;DISPLAY_STRING=Display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7__FDSAUDITLINK__" hidden="1">{"fdsup://directions/FAT%20Viewer?VAR:PED=LTM&amp;VAR:AUDIT_MODE=SUMMARY&amp;VAR:PERIOD=FIXED&amp;VAR:AUDIT_ID=00000117&amp;VAR:DATE=20051117&amp;action=UPDATE&amp;creator=factset&amp;DOC_NAME=FAT:FMA_audit_SUMMARY.fat&amp;DISPLAY_STRING=Display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8__FDSAUDITLINK__" localSheetId="6" hidden="1">{"fdsup://directions/FAT%20Viewer?VAR:PED=LTM&amp;VAR:AUDIT_MODE=SUMMARY&amp;VAR:PERIOD=FIXED&amp;VAR:AUDIT_ID=00000117&amp;VAR:DATE=20051116&amp;action=UPDATE&amp;creator=factset&amp;DOC_NAME=FAT:FMA_audit_SUMMARY.fat&amp;DISPLAY_STRING=Display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8__FDSAUDITLINK__" hidden="1">{"fdsup://directions/FAT%20Viewer?VAR:PED=LTM&amp;VAR:AUDIT_MODE=SUMMARY&amp;VAR:PERIOD=FIXED&amp;VAR:AUDIT_ID=00000117&amp;VAR:DATE=20051116&amp;action=UPDATE&amp;creator=factset&amp;DOC_NAME=FAT:FMA_audit_SUMMARY.fat&amp;DISPLAY_STRING=Display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9__FDSAUDITLINK__" localSheetId="6" hidden="1">{"fdsup://directions/FAT%20Viewer?VAR:PED=LTM&amp;VAR:AUDIT_MODE=SUMMARY&amp;VAR:PERIOD=FIXED&amp;VAR:AUDIT_ID=00000117&amp;VAR:DATE=20051115&amp;action=UPDATE&amp;creator=factset&amp;DOC_NAME=FAT:FMA_audit_SUMMARY.fat&amp;DISPLAY_STRING=Display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59__FDSAUDITLINK__" hidden="1">{"fdsup://directions/FAT%20Viewer?VAR:PED=LTM&amp;VAR:AUDIT_MODE=SUMMARY&amp;VAR:PERIOD=FIXED&amp;VAR:AUDIT_ID=00000117&amp;VAR:DATE=20051115&amp;action=UPDATE&amp;creator=factset&amp;DOC_NAME=FAT:FMA_audit_SUMMARY.fat&amp;DISPLAY_STRING=Display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__FDSAUDITLINK__" localSheetId="6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6__FDSAUDITLINK__" hidden="1">{"fdsup://directions/FAT%20Viewer?VAR:PED=LTM&amp;VAR:AUDIT_MODE=SUMMARY&amp;VAR:PERIOD=FIXED&amp;VAR:AUDIT_ID=00000117&amp;VAR:DATE=20090918&amp;action=UPDATE&amp;creator=factset&amp;DOC_NAME=FAT:FMA_audit_SUMMARY.fat&amp;DISPLAY_STRING=Display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60__FDSAUDITLINK__" localSheetId="6" hidden="1">{"fdsup://directions/FAT%20Viewer?VAR:PED=LTM&amp;VAR:AUDIT_MODE=SUMMARY&amp;VAR:PERIOD=FIXED&amp;VAR:AUDIT_ID=00000117&amp;VAR:DATE=20051114&amp;action=UPDATE&amp;creator=factset&amp;DOC_NAME=FAT:FMA_audit_SUMMARY.fat&amp;DISPLAY_STRING=Display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0__FDSAUDITLINK__" hidden="1">{"fdsup://directions/FAT%20Viewer?VAR:PED=LTM&amp;VAR:AUDIT_MODE=SUMMARY&amp;VAR:PERIOD=FIXED&amp;VAR:AUDIT_ID=00000117&amp;VAR:DATE=20051114&amp;action=UPDATE&amp;creator=factset&amp;DOC_NAME=FAT:FMA_audit_SUMMARY.fat&amp;DISPLAY_STRING=Display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1__FDSAUDITLINK__" localSheetId="6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1__FDSAUDITLINK__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2__FDSAUDITLINK__" localSheetId="6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2__FDSAUDITLINK__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3__FDSAUDITLINK__" localSheetId="6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3__FDSAUDITLINK__" hidden="1">{"fdsup://directions/FAT%20Viewer?VAR:PED=LTM&amp;VAR:AUDIT_MODE=SUMMARY&amp;VAR:PERIOD=FIXED&amp;VAR:AUDIT_ID=00000117&amp;VAR:DATE=20051111&amp;action=UPDATE&amp;creator=factset&amp;DOC_NAME=FAT:FMA_audit_SUMMARY.fat&amp;DISPLAY_STRING=Display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4__FDSAUDITLINK__" localSheetId="6" hidden="1">{"fdsup://directions/FAT%20Viewer?VAR:PED=LTM&amp;VAR:AUDIT_MODE=SUMMARY&amp;VAR:PERIOD=FIXED&amp;VAR:AUDIT_ID=00000117&amp;VAR:DATE=20051110&amp;action=UPDATE&amp;creator=factset&amp;DOC_NAME=FAT:FMA_audit_SUMMARY.fat&amp;DISPLAY_STRING=Display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4__FDSAUDITLINK__" hidden="1">{"fdsup://directions/FAT%20Viewer?VAR:PED=LTM&amp;VAR:AUDIT_MODE=SUMMARY&amp;VAR:PERIOD=FIXED&amp;VAR:AUDIT_ID=00000117&amp;VAR:DATE=20051110&amp;action=UPDATE&amp;creator=factset&amp;DOC_NAME=FAT:FMA_audit_SUMMARY.fat&amp;DISPLAY_STRING=Display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5__FDSAUDITLINK__" localSheetId="6" hidden="1">{"fdsup://directions/FAT%20Viewer?VAR:PED=LTM&amp;VAR:AUDIT_MODE=SUMMARY&amp;VAR:PERIOD=FIXED&amp;VAR:AUDIT_ID=00000117&amp;VAR:DATE=20051109&amp;action=UPDATE&amp;creator=factset&amp;DOC_NAME=FAT:FMA_audit_SUMMARY.fat&amp;DISPLAY_STRING=Display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5__FDSAUDITLINK__" hidden="1">{"fdsup://directions/FAT%20Viewer?VAR:PED=LTM&amp;VAR:AUDIT_MODE=SUMMARY&amp;VAR:PERIOD=FIXED&amp;VAR:AUDIT_ID=00000117&amp;VAR:DATE=20051109&amp;action=UPDATE&amp;creator=factset&amp;DOC_NAME=FAT:FMA_audit_SUMMARY.fat&amp;DISPLAY_STRING=Display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6__FDSAUDITLINK__" localSheetId="6" hidden="1">{"fdsup://directions/FAT%20Viewer?VAR:PED=LTM&amp;VAR:AUDIT_MODE=SUMMARY&amp;VAR:PERIOD=FIXED&amp;VAR:AUDIT_ID=00000117&amp;VAR:DATE=20051108&amp;action=UPDATE&amp;creator=factset&amp;DOC_NAME=FAT:FMA_audit_SUMMARY.fat&amp;DISPLAY_STRING=Display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6__FDSAUDITLINK__" hidden="1">{"fdsup://directions/FAT%20Viewer?VAR:PED=LTM&amp;VAR:AUDIT_MODE=SUMMARY&amp;VAR:PERIOD=FIXED&amp;VAR:AUDIT_ID=00000117&amp;VAR:DATE=20051108&amp;action=UPDATE&amp;creator=factset&amp;DOC_NAME=FAT:FMA_audit_SUMMARY.fat&amp;DISPLAY_STRING=Display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7__FDSAUDITLINK__" localSheetId="6" hidden="1">{"fdsup://directions/FAT%20Viewer?VAR:PED=LTM&amp;VAR:AUDIT_MODE=SUMMARY&amp;VAR:PERIOD=FIXED&amp;VAR:AUDIT_ID=00000117&amp;VAR:DATE=20051107&amp;action=UPDATE&amp;creator=factset&amp;DOC_NAME=FAT:FMA_audit_SUMMARY.fat&amp;DISPLAY_STRING=Display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7__FDSAUDITLINK__" hidden="1">{"fdsup://directions/FAT%20Viewer?VAR:PED=LTM&amp;VAR:AUDIT_MODE=SUMMARY&amp;VAR:PERIOD=FIXED&amp;VAR:AUDIT_ID=00000117&amp;VAR:DATE=20051107&amp;action=UPDATE&amp;creator=factset&amp;DOC_NAME=FAT:FMA_audit_SUMMARY.fat&amp;DISPLAY_STRING=Display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8__FDSAUDITLINK__" localSheetId="6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8__FDSAUDITLINK__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9__FDSAUDITLINK__" localSheetId="6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69__FDSAUDITLINK__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__FDSAUDITLINK__" localSheetId="6" hidden="1">{"fdsup://directions/FAT%20Viewer?VAR:PED=LTM&amp;VAR:AUDIT_MODE=SUMMARY&amp;VAR:PERIOD=FIXED&amp;VAR:AUDIT_ID=00000117&amp;VAR:DATE=20090917&amp;action=UPDATE&amp;creator=factset&amp;DOC_NAME=FAT:FMA_audit_SUMMARY.fat&amp;DISPLAY_STRING=Display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7__FDSAUDITLINK__" hidden="1">{"fdsup://directions/FAT%20Viewer?VAR:PED=LTM&amp;VAR:AUDIT_MODE=SUMMARY&amp;VAR:PERIOD=FIXED&amp;VAR:AUDIT_ID=00000117&amp;VAR:DATE=20090917&amp;action=UPDATE&amp;creator=factset&amp;DOC_NAME=FAT:FMA_audit_SUMMARY.fat&amp;DISPLAY_STRING=Display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70__FDSAUDITLINK__" localSheetId="6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0__FDSAUDITLINK__" hidden="1">{"fdsup://directions/FAT%20Viewer?VAR:PED=LTM&amp;VAR:AUDIT_MODE=SUMMARY&amp;VAR:PERIOD=FIXED&amp;VAR:AUDIT_ID=00000117&amp;VAR:DATE=20051104&amp;action=UPDATE&amp;creator=factset&amp;DOC_NAME=FAT:FMA_audit_SUMMARY.fat&amp;DISPLAY_STRING=Display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1__FDSAUDITLINK__" localSheetId="6" hidden="1">{"fdsup://directions/FAT%20Viewer?VAR:PED=LTM&amp;VAR:AUDIT_MODE=SUMMARY&amp;VAR:PERIOD=FIXED&amp;VAR:AUDIT_ID=00000117&amp;VAR:DATE=20051103&amp;action=UPDATE&amp;creator=factset&amp;DOC_NAME=FAT:FMA_audit_SUMMARY.fat&amp;DISPLAY_STRING=Display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1__FDSAUDITLINK__" hidden="1">{"fdsup://directions/FAT%20Viewer?VAR:PED=LTM&amp;VAR:AUDIT_MODE=SUMMARY&amp;VAR:PERIOD=FIXED&amp;VAR:AUDIT_ID=00000117&amp;VAR:DATE=20051103&amp;action=UPDATE&amp;creator=factset&amp;DOC_NAME=FAT:FMA_audit_SUMMARY.fat&amp;DISPLAY_STRING=Display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2__FDSAUDITLINK__" localSheetId="6" hidden="1">{"fdsup://directions/FAT%20Viewer?VAR:PED=LTM&amp;VAR:AUDIT_MODE=SUMMARY&amp;VAR:PERIOD=FIXED&amp;VAR:AUDIT_ID=00000117&amp;VAR:DATE=20051102&amp;action=UPDATE&amp;creator=factset&amp;DOC_NAME=FAT:FMA_audit_SUMMARY.fat&amp;DISPLAY_STRING=Display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2__FDSAUDITLINK__" hidden="1">{"fdsup://directions/FAT%20Viewer?VAR:PED=LTM&amp;VAR:AUDIT_MODE=SUMMARY&amp;VAR:PERIOD=FIXED&amp;VAR:AUDIT_ID=00000117&amp;VAR:DATE=20051102&amp;action=UPDATE&amp;creator=factset&amp;DOC_NAME=FAT:FMA_audit_SUMMARY.fat&amp;DISPLAY_STRING=Display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3__FDSAUDITLINK__" localSheetId="6" hidden="1">{"fdsup://directions/FAT%20Viewer?VAR:PED=LTM&amp;VAR:AUDIT_MODE=SUMMARY&amp;VAR:PERIOD=FIXED&amp;VAR:AUDIT_ID=00000117&amp;VAR:DATE=20051101&amp;action=UPDATE&amp;creator=factset&amp;DOC_NAME=FAT:FMA_audit_SUMMARY.fat&amp;DISPLAY_STRING=Display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3__FDSAUDITLINK__" hidden="1">{"fdsup://directions/FAT%20Viewer?VAR:PED=LTM&amp;VAR:AUDIT_MODE=SUMMARY&amp;VAR:PERIOD=FIXED&amp;VAR:AUDIT_ID=00000117&amp;VAR:DATE=20051101&amp;action=UPDATE&amp;creator=factset&amp;DOC_NAME=FAT:FMA_audit_SUMMARY.fat&amp;DISPLAY_STRING=Display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4__FDSAUDITLINK__" localSheetId="6" hidden="1">{"fdsup://directions/FAT%20Viewer?VAR:PED=LTM&amp;VAR:AUDIT_MODE=SUMMARY&amp;VAR:PERIOD=FIXED&amp;VAR:AUDIT_ID=00000117&amp;VAR:DATE=20051031&amp;action=UPDATE&amp;creator=factset&amp;DOC_NAME=FAT:FMA_audit_SUMMARY.fat&amp;DISPLAY_STRING=Display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4__FDSAUDITLINK__" hidden="1">{"fdsup://directions/FAT%20Viewer?VAR:PED=LTM&amp;VAR:AUDIT_MODE=SUMMARY&amp;VAR:PERIOD=FIXED&amp;VAR:AUDIT_ID=00000117&amp;VAR:DATE=20051031&amp;action=UPDATE&amp;creator=factset&amp;DOC_NAME=FAT:FMA_audit_SUMMARY.fat&amp;DISPLAY_STRING=Display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EBITDA&amp;VAR:CHGPERIOD=NA&amp;VAR:FQLFORMULA=FMA_EVAL_EBITDA&amp;VAR:CURRENCY=NA&amp;VAR:P=NA&amp;VAR:V=11.7","74326&amp;VAR:null=.html"}</definedName>
    <definedName name="_1575__FDSAUDITLINK__" localSheetId="6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5__FDSAUDITLINK__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6__FDSAUDITLINK__" localSheetId="6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6__FDSAUDITLINK__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7__FDSAUDITLINK__" localSheetId="6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7__FDSAUDITLINK__" hidden="1">{"fdsup://directions/FAT%20Viewer?VAR:PED=LTM&amp;VAR:AUDIT_MODE=SUMMARY&amp;VAR:PERIOD=FIXED&amp;VAR:AUDIT_ID=00000117&amp;VAR:DATE=20051028&amp;action=UPDATE&amp;creator=factset&amp;DOC_NAME=FAT:FMA_audit_SUMMARY.fat&amp;DISPLAY_STRING=Display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8__FDSAUDITLINK__" localSheetId="6" hidden="1">{"fdsup://directions/FAT%20Viewer?VAR:PED=LTM&amp;VAR:AUDIT_MODE=SUMMARY&amp;VAR:PERIOD=FIXED&amp;VAR:AUDIT_ID=00000117&amp;VAR:DATE=20051027&amp;action=UPDATE&amp;creator=factset&amp;DOC_NAME=FAT:FMA_audit_SUMMARY.fat&amp;DISPLAY_STRING=Display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8__FDSAUDITLINK__" hidden="1">{"fdsup://directions/FAT%20Viewer?VAR:PED=LTM&amp;VAR:AUDIT_MODE=SUMMARY&amp;VAR:PERIOD=FIXED&amp;VAR:AUDIT_ID=00000117&amp;VAR:DATE=20051027&amp;action=UPDATE&amp;creator=factset&amp;DOC_NAME=FAT:FMA_audit_SUMMARY.fat&amp;DISPLAY_STRING=Display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9__FDSAUDITLINK__" localSheetId="6" hidden="1">{"fdsup://directions/FAT%20Viewer?VAR:PED=LTM&amp;VAR:AUDIT_MODE=SUMMARY&amp;VAR:PERIOD=FIXED&amp;VAR:AUDIT_ID=00000117&amp;VAR:DATE=20051026&amp;action=UPDATE&amp;creator=factset&amp;DOC_NAME=FAT:FMA_audit_SUMMARY.fat&amp;DISPLAY_STRING=Display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79__FDSAUDITLINK__" hidden="1">{"fdsup://directions/FAT%20Viewer?VAR:PED=LTM&amp;VAR:AUDIT_MODE=SUMMARY&amp;VAR:PERIOD=FIXED&amp;VAR:AUDIT_ID=00000117&amp;VAR:DATE=20051026&amp;action=UPDATE&amp;creator=factset&amp;DOC_NAME=FAT:FMA_audit_SUMMARY.fat&amp;DISPLAY_STRING=Display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__FDSAUDITLINK__" localSheetId="6" hidden="1">{"fdsup://directions/FAT%20Viewer?VAR:PED=LTM&amp;VAR:AUDIT_MODE=SUMMARY&amp;VAR:PERIOD=FIXED&amp;VAR:AUDIT_ID=00000117&amp;VAR:DATE=20090916&amp;action=UPDATE&amp;creator=factset&amp;DOC_NAME=FAT:FMA_audit_SUMMARY.fat&amp;DISPLAY_STRING=Display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8__FDSAUDITLINK__" hidden="1">{"fdsup://directions/FAT%20Viewer?VAR:PED=LTM&amp;VAR:AUDIT_MODE=SUMMARY&amp;VAR:PERIOD=FIXED&amp;VAR:AUDIT_ID=00000117&amp;VAR:DATE=20090916&amp;action=UPDATE&amp;creator=factset&amp;DOC_NAME=FAT:FMA_audit_SUMMARY.fat&amp;DISPLAY_STRING=Display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80__FDSAUDITLINK__" localSheetId="6" hidden="1">{"fdsup://directions/FAT%20Viewer?VAR:PED=LTM&amp;VAR:AUDIT_MODE=SUMMARY&amp;VAR:PERIOD=FIXED&amp;VAR:AUDIT_ID=00000117&amp;VAR:DATE=20051025&amp;action=UPDATE&amp;creator=factset&amp;DOC_NAME=FAT:FMA_audit_SUMMARY.fat&amp;DISPLAY_STRING=Display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0__FDSAUDITLINK__" hidden="1">{"fdsup://directions/FAT%20Viewer?VAR:PED=LTM&amp;VAR:AUDIT_MODE=SUMMARY&amp;VAR:PERIOD=FIXED&amp;VAR:AUDIT_ID=00000117&amp;VAR:DATE=20051025&amp;action=UPDATE&amp;creator=factset&amp;DOC_NAME=FAT:FMA_audit_SUMMARY.fat&amp;DISPLAY_STRING=Display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1__FDSAUDITLINK__" localSheetId="6" hidden="1">{"fdsup://directions/FAT%20Viewer?VAR:PED=LTM&amp;VAR:AUDIT_MODE=SUMMARY&amp;VAR:PERIOD=FIXED&amp;VAR:AUDIT_ID=00000117&amp;VAR:DATE=20051024&amp;action=UPDATE&amp;creator=factset&amp;DOC_NAME=FAT:FMA_audit_SUMMARY.fat&amp;DISPLAY_STRING=Display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1__FDSAUDITLINK__" hidden="1">{"fdsup://directions/FAT%20Viewer?VAR:PED=LTM&amp;VAR:AUDIT_MODE=SUMMARY&amp;VAR:PERIOD=FIXED&amp;VAR:AUDIT_ID=00000117&amp;VAR:DATE=20051024&amp;action=UPDATE&amp;creator=factset&amp;DOC_NAME=FAT:FMA_audit_SUMMARY.fat&amp;DISPLAY_STRING=Display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2__FDSAUDITLINK__" localSheetId="6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2__FDSAUDITLINK__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3__FDSAUDITLINK__" localSheetId="6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3__FDSAUDITLINK__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4__FDSAUDITLINK__" localSheetId="6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4__FDSAUDITLINK__" hidden="1">{"fdsup://directions/FAT%20Viewer?VAR:PED=LTM&amp;VAR:AUDIT_MODE=SUMMARY&amp;VAR:PERIOD=FIXED&amp;VAR:AUDIT_ID=00000117&amp;VAR:DATE=20051021&amp;action=UPDATE&amp;creator=factset&amp;DOC_NAME=FAT:FMA_audit_SUMMARY.fat&amp;DISPLAY_STRING=Display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5__FDSAUDITLINK__" localSheetId="6" hidden="1">{"fdsup://directions/FAT%20Viewer?VAR:PED=LTM&amp;VAR:AUDIT_MODE=SUMMARY&amp;VAR:PERIOD=FIXED&amp;VAR:AUDIT_ID=00000117&amp;VAR:DATE=20051020&amp;action=UPDATE&amp;creator=factset&amp;DOC_NAME=FAT:FMA_audit_SUMMARY.fat&amp;DISPLAY_STRING=Display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5__FDSAUDITLINK__" hidden="1">{"fdsup://directions/FAT%20Viewer?VAR:PED=LTM&amp;VAR:AUDIT_MODE=SUMMARY&amp;VAR:PERIOD=FIXED&amp;VAR:AUDIT_ID=00000117&amp;VAR:DATE=20051020&amp;action=UPDATE&amp;creator=factset&amp;DOC_NAME=FAT:FMA_audit_SUMMARY.fat&amp;DISPLAY_STRING=Display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6__FDSAUDITLINK__" localSheetId="6" hidden="1">{"fdsup://directions/FAT%20Viewer?VAR:PED=LTM&amp;VAR:AUDIT_MODE=SUMMARY&amp;VAR:PERIOD=FIXED&amp;VAR:AUDIT_ID=00000117&amp;VAR:DATE=20051019&amp;action=UPDATE&amp;creator=factset&amp;DOC_NAME=FAT:FMA_audit_SUMMARY.fat&amp;DISPLAY_STRING=Display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6__FDSAUDITLINK__" hidden="1">{"fdsup://directions/FAT%20Viewer?VAR:PED=LTM&amp;VAR:AUDIT_MODE=SUMMARY&amp;VAR:PERIOD=FIXED&amp;VAR:AUDIT_ID=00000117&amp;VAR:DATE=20051019&amp;action=UPDATE&amp;creator=factset&amp;DOC_NAME=FAT:FMA_audit_SUMMARY.fat&amp;DISPLAY_STRING=Display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7__FDSAUDITLINK__" localSheetId="6" hidden="1">{"fdsup://directions/FAT%20Viewer?VAR:PED=LTM&amp;VAR:AUDIT_MODE=SUMMARY&amp;VAR:PERIOD=FIXED&amp;VAR:AUDIT_ID=00000117&amp;VAR:DATE=20051018&amp;action=UPDATE&amp;creator=factset&amp;DOC_NAME=FAT:FMA_audit_SUMMARY.fat&amp;DISPLAY_STRING=Display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7__FDSAUDITLINK__" hidden="1">{"fdsup://directions/FAT%20Viewer?VAR:PED=LTM&amp;VAR:AUDIT_MODE=SUMMARY&amp;VAR:PERIOD=FIXED&amp;VAR:AUDIT_ID=00000117&amp;VAR:DATE=20051018&amp;action=UPDATE&amp;creator=factset&amp;DOC_NAME=FAT:FMA_audit_SUMMARY.fat&amp;DISPLAY_STRING=Display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8__FDSAUDITLINK__" localSheetId="6" hidden="1">{"fdsup://directions/FAT%20Viewer?VAR:PED=LTM&amp;VAR:AUDIT_MODE=SUMMARY&amp;VAR:PERIOD=FIXED&amp;VAR:AUDIT_ID=00000117&amp;VAR:DATE=20051017&amp;action=UPDATE&amp;creator=factset&amp;DOC_NAME=FAT:FMA_audit_SUMMARY.fat&amp;DISPLAY_STRING=Display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8__FDSAUDITLINK__" hidden="1">{"fdsup://directions/FAT%20Viewer?VAR:PED=LTM&amp;VAR:AUDIT_MODE=SUMMARY&amp;VAR:PERIOD=FIXED&amp;VAR:AUDIT_ID=00000117&amp;VAR:DATE=20051017&amp;action=UPDATE&amp;creator=factset&amp;DOC_NAME=FAT:FMA_audit_SUMMARY.fat&amp;DISPLAY_STRING=Display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9__FDSAUDITLINK__" localSheetId="6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89__FDSAUDITLINK__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__FDSAUDITLINK__" localSheetId="6" hidden="1">{"fdsup://directions/FAT%20Viewer?VAR:PED=LTM&amp;VAR:AUDIT_MODE=SUMMARY&amp;VAR:PERIOD=FIXED&amp;VAR:AUDIT_ID=00000117&amp;VAR:DATE=20090915&amp;action=UPDATE&amp;creator=factset&amp;DOC_NAME=FAT:FMA_audit_SUMMARY.fat&amp;DISPLAY_STRING=Display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9__FDSAUDITLINK__" hidden="1">{"fdsup://directions/FAT%20Viewer?VAR:PED=LTM&amp;VAR:AUDIT_MODE=SUMMARY&amp;VAR:PERIOD=FIXED&amp;VAR:AUDIT_ID=00000117&amp;VAR:DATE=20090915&amp;action=UPDATE&amp;creator=factset&amp;DOC_NAME=FAT:FMA_audit_SUMMARY.fat&amp;DISPLAY_STRING=Display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590__FDSAUDITLINK__" localSheetId="6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0__FDSAUDITLINK__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1__FDSAUDITLINK__" localSheetId="6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1__FDSAUDITLINK__" hidden="1">{"fdsup://directions/FAT%20Viewer?VAR:PED=LTM&amp;VAR:AUDIT_MODE=SUMMARY&amp;VAR:PERIOD=FIXED&amp;VAR:AUDIT_ID=00000117&amp;VAR:DATE=20051014&amp;action=UPDATE&amp;creator=factset&amp;DOC_NAME=FAT:FMA_audit_SUMMARY.fat&amp;DISPLAY_STRING=Display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2__FDSAUDITLINK__" localSheetId="6" hidden="1">{"fdsup://directions/FAT%20Viewer?VAR:PED=LTM&amp;VAR:AUDIT_MODE=SUMMARY&amp;VAR:PERIOD=FIXED&amp;VAR:AUDIT_ID=00000117&amp;VAR:DATE=20051013&amp;action=UPDATE&amp;creator=factset&amp;DOC_NAME=FAT:FMA_audit_SUMMARY.fat&amp;DISPLAY_STRING=Display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2__FDSAUDITLINK__" hidden="1">{"fdsup://directions/FAT%20Viewer?VAR:PED=LTM&amp;VAR:AUDIT_MODE=SUMMARY&amp;VAR:PERIOD=FIXED&amp;VAR:AUDIT_ID=00000117&amp;VAR:DATE=20051013&amp;action=UPDATE&amp;creator=factset&amp;DOC_NAME=FAT:FMA_audit_SUMMARY.fat&amp;DISPLAY_STRING=Display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3__FDSAUDITLINK__" localSheetId="6" hidden="1">{"fdsup://directions/FAT%20Viewer?VAR:PED=LTM&amp;VAR:AUDIT_MODE=SUMMARY&amp;VAR:PERIOD=FIXED&amp;VAR:AUDIT_ID=00000117&amp;VAR:DATE=20051012&amp;action=UPDATE&amp;creator=factset&amp;DOC_NAME=FAT:FMA_audit_SUMMARY.fat&amp;DISPLAY_STRING=Display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3__FDSAUDITLINK__" hidden="1">{"fdsup://directions/FAT%20Viewer?VAR:PED=LTM&amp;VAR:AUDIT_MODE=SUMMARY&amp;VAR:PERIOD=FIXED&amp;VAR:AUDIT_ID=00000117&amp;VAR:DATE=20051012&amp;action=UPDATE&amp;creator=factset&amp;DOC_NAME=FAT:FMA_audit_SUMMARY.fat&amp;DISPLAY_STRING=Display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4__FDSAUDITLINK__" localSheetId="6" hidden="1">{"fdsup://directions/FAT%20Viewer?VAR:PED=LTM&amp;VAR:AUDIT_MODE=SUMMARY&amp;VAR:PERIOD=FIXED&amp;VAR:AUDIT_ID=00000117&amp;VAR:DATE=20051011&amp;action=UPDATE&amp;creator=factset&amp;DOC_NAME=FAT:FMA_audit_SUMMARY.fat&amp;DISPLAY_STRING=Display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4__FDSAUDITLINK__" hidden="1">{"fdsup://directions/FAT%20Viewer?VAR:PED=LTM&amp;VAR:AUDIT_MODE=SUMMARY&amp;VAR:PERIOD=FIXED&amp;VAR:AUDIT_ID=00000117&amp;VAR:DATE=20051011&amp;action=UPDATE&amp;creator=factset&amp;DOC_NAME=FAT:FMA_audit_SUMMARY.fat&amp;DISPLAY_STRING=Display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5__FDSAUDITLINK__" localSheetId="6" hidden="1">{"fdsup://directions/FAT%20Viewer?VAR:PED=LTM&amp;VAR:AUDIT_MODE=SUMMARY&amp;VAR:PERIOD=FIXED&amp;VAR:AUDIT_ID=00000117&amp;VAR:DATE=20051010&amp;action=UPDATE&amp;creator=factset&amp;DOC_NAME=FAT:FMA_audit_SUMMARY.fat&amp;DISPLAY_STRING=Display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5__FDSAUDITLINK__" hidden="1">{"fdsup://directions/FAT%20Viewer?VAR:PED=LTM&amp;VAR:AUDIT_MODE=SUMMARY&amp;VAR:PERIOD=FIXED&amp;VAR:AUDIT_ID=00000117&amp;VAR:DATE=20051010&amp;action=UPDATE&amp;creator=factset&amp;DOC_NAME=FAT:FMA_audit_SUMMARY.fat&amp;DISPLAY_STRING=Display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6__FDSAUDITLINK__" localSheetId="6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6__FDSAUDITLINK__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7__FDSAUDITLINK__" localSheetId="6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7__FDSAUDITLINK__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8__FDSAUDITLINK__" localSheetId="6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8__FDSAUDITLINK__" hidden="1">{"fdsup://directions/FAT%20Viewer?VAR:PED=LTM&amp;VAR:AUDIT_MODE=SUMMARY&amp;VAR:PERIOD=FIXED&amp;VAR:AUDIT_ID=00000117&amp;VAR:DATE=20051007&amp;action=UPDATE&amp;creator=factset&amp;DOC_NAME=FAT:FMA_audit_SUMMARY.fat&amp;DISPLAY_STRING=Display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9__FDSAUDITLINK__" localSheetId="6" hidden="1">{"fdsup://directions/FAT%20Viewer?VAR:PED=LTM&amp;VAR:AUDIT_MODE=SUMMARY&amp;VAR:PERIOD=FIXED&amp;VAR:AUDIT_ID=00000117&amp;VAR:DATE=20051006&amp;action=UPDATE&amp;creator=factset&amp;DOC_NAME=FAT:FMA_audit_SUMMARY.fat&amp;DISPLAY_STRING=Display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599__FDSAUDITLINK__" hidden="1">{"fdsup://directions/FAT%20Viewer?VAR:PED=LTM&amp;VAR:AUDIT_MODE=SUMMARY&amp;VAR:PERIOD=FIXED&amp;VAR:AUDIT_ID=00000117&amp;VAR:DATE=20051006&amp;action=UPDATE&amp;creator=factset&amp;DOC_NAME=FAT:FMA_audit_SUMMARY.fat&amp;DISPLAY_STRING=Display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__FDSAUDITLINK__" localSheetId="6" hidden="1">{"fdsup://directions/FAT Viewer?action=UPDATE&amp;creator=factset&amp;DYN_ARGS=TRUE&amp;DOC_NAME=FAT:FQL_AUDITING_CLIENT_TEMPLATE.FAT&amp;display_string=Audit&amp;VAR:KEY=UVSHULANQJ&amp;VAR:QUERY=QVZHKENTRl9ORVRfSU5DKEFOTiwwRlksLTZGWSxZKSkgLyAoQVZHKENTRl9BU1NFVFMoQU5OLDBGWSwtNkZZL","EZZKSkgLSBBVkcoQ1NGX0lOVEFORyhBTk4sMCwtNkZZLEZZKSkp&amp;WINDOW=FIRST_POPUP&amp;HEIGHT=450&amp;WIDTH=450&amp;START_MAXIMIZED=FALSE&amp;VAR:CALENDAR=US&amp;VAR:SYMBOL=EGLE"}</definedName>
    <definedName name="_16__FDSAUDITLINK__" hidden="1">{"fdsup://directions/FAT Viewer?action=UPDATE&amp;creator=factset&amp;DYN_ARGS=TRUE&amp;DOC_NAME=FAT:FQL_AUDITING_CLIENT_TEMPLATE.FAT&amp;display_string=Audit&amp;VAR:KEY=UVSHULANQJ&amp;VAR:QUERY=QVZHKENTRl9ORVRfSU5DKEFOTiwwRlksLTZGWSxZKSkgLyAoQVZHKENTRl9BU1NFVFMoQU5OLDBGWSwtNkZZL","EZZKSkgLSBBVkcoQ1NGX0lOVEFORyhBTk4sMCwtNkZZLEZZKSkp&amp;WINDOW=FIRST_POPUP&amp;HEIGHT=450&amp;WIDTH=450&amp;START_MAXIMIZED=FALSE&amp;VAR:CALENDAR=US&amp;VAR:SYMBOL=EGLE"}</definedName>
    <definedName name="_160__FDSAUDITLINK__" localSheetId="6" hidden="1">{"fdsup://directions/FAT%20Viewer?VAR:PED=LTM&amp;VAR:AUDIT_MODE=SUMMARY&amp;VAR:PERIOD=FIXED&amp;VAR:AUDIT_ID=00000117&amp;VAR:DATE=20090914&amp;action=UPDATE&amp;creator=factset&amp;DOC_NAME=FAT:FMA_audit_SUMMARY.fat&amp;DISPLAY_STRING=Display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0__FDSAUDITLINK__" hidden="1">{"fdsup://directions/FAT%20Viewer?VAR:PED=LTM&amp;VAR:AUDIT_MODE=SUMMARY&amp;VAR:PERIOD=FIXED&amp;VAR:AUDIT_ID=00000117&amp;VAR:DATE=20090914&amp;action=UPDATE&amp;creator=factset&amp;DOC_NAME=FAT:FMA_audit_SUMMARY.fat&amp;DISPLAY_STRING=Display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00__FDSAUDITLINK__" localSheetId="6" hidden="1">{"fdsup://directions/FAT%20Viewer?VAR:PED=LTM&amp;VAR:AUDIT_MODE=SUMMARY&amp;VAR:PERIOD=FIXED&amp;VAR:AUDIT_ID=00000117&amp;VAR:DATE=20051005&amp;action=UPDATE&amp;creator=factset&amp;DOC_NAME=FAT:FMA_audit_SUMMARY.fat&amp;DISPLAY_STRING=Display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0__FDSAUDITLINK__" hidden="1">{"fdsup://directions/FAT%20Viewer?VAR:PED=LTM&amp;VAR:AUDIT_MODE=SUMMARY&amp;VAR:PERIOD=FIXED&amp;VAR:AUDIT_ID=00000117&amp;VAR:DATE=20051005&amp;action=UPDATE&amp;creator=factset&amp;DOC_NAME=FAT:FMA_audit_SUMMARY.fat&amp;DISPLAY_STRING=Display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1__FDSAUDITLINK__" localSheetId="6" hidden="1">{"fdsup://directions/FAT%20Viewer?VAR:PED=LTM&amp;VAR:AUDIT_MODE=SUMMARY&amp;VAR:PERIOD=FIXED&amp;VAR:AUDIT_ID=00000117&amp;VAR:DATE=20051004&amp;action=UPDATE&amp;creator=factset&amp;DOC_NAME=FAT:FMA_audit_SUMMARY.fat&amp;DISPLAY_STRING=Display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1__FDSAUDITLINK__" hidden="1">{"fdsup://directions/FAT%20Viewer?VAR:PED=LTM&amp;VAR:AUDIT_MODE=SUMMARY&amp;VAR:PERIOD=FIXED&amp;VAR:AUDIT_ID=00000117&amp;VAR:DATE=20051004&amp;action=UPDATE&amp;creator=factset&amp;DOC_NAME=FAT:FMA_audit_SUMMARY.fat&amp;DISPLAY_STRING=Display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2__FDSAUDITLINK__" localSheetId="6" hidden="1">{"fdsup://directions/FAT%20Viewer?VAR:PED=LTM&amp;VAR:AUDIT_MODE=SUMMARY&amp;VAR:PERIOD=FIXED&amp;VAR:AUDIT_ID=00000117&amp;VAR:DATE=20051003&amp;action=UPDATE&amp;creator=factset&amp;DOC_NAME=FAT:FMA_audit_SUMMARY.fat&amp;DISPLAY_STRING=Display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2__FDSAUDITLINK__" hidden="1">{"fdsup://directions/FAT%20Viewer?VAR:PED=LTM&amp;VAR:AUDIT_MODE=SUMMARY&amp;VAR:PERIOD=FIXED&amp;VAR:AUDIT_ID=00000117&amp;VAR:DATE=20051003&amp;action=UPDATE&amp;creator=factset&amp;DOC_NAME=FAT:FMA_audit_SUMMARY.fat&amp;DISPLAY_STRING=Display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3__FDSAUDITLINK__" localSheetId="6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3__FDSAUDITLINK__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4__FDSAUDITLINK__" localSheetId="6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4__FDSAUDITLINK__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5__FDSAUDITLINK__" localSheetId="6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5__FDSAUDITLINK__" hidden="1">{"fdsup://directions/FAT%20Viewer?VAR:PED=LTM&amp;VAR:AUDIT_MODE=SUMMARY&amp;VAR:PERIOD=FIXED&amp;VAR:AUDIT_ID=00000117&amp;VAR:DATE=20050930&amp;action=UPDATE&amp;creator=factset&amp;DOC_NAME=FAT:FMA_audit_SUMMARY.fat&amp;DISPLAY_STRING=Display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EBITDA&amp;VAR:CHGPERIOD=NA&amp;VAR:FQLFORMULA=FMA_EVAL_EBITDA&amp;VAR:CURRENCY=NA&amp;VAR:P=NA&amp;VAR:V=12.0","28963&amp;VAR:null=.html"}</definedName>
    <definedName name="_1606__FDSAUDITLINK__" localSheetId="6" hidden="1">{"fdsup://directions/FAT%20Viewer?VAR:PED=LTM&amp;VAR:AUDIT_MODE=SUMMARY&amp;VAR:PERIOD=FIXED&amp;VAR:AUDIT_ID=00000117&amp;VAR:DATE=20050929&amp;action=UPDATE&amp;creator=factset&amp;DOC_NAME=FAT:FMA_audit_SUMMARY.fat&amp;DISPLAY_STRING=Display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6__FDSAUDITLINK__" hidden="1">{"fdsup://directions/FAT%20Viewer?VAR:PED=LTM&amp;VAR:AUDIT_MODE=SUMMARY&amp;VAR:PERIOD=FIXED&amp;VAR:AUDIT_ID=00000117&amp;VAR:DATE=20050929&amp;action=UPDATE&amp;creator=factset&amp;DOC_NAME=FAT:FMA_audit_SUMMARY.fat&amp;DISPLAY_STRING=Display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7__FDSAUDITLINK__" localSheetId="6" hidden="1">{"fdsup://directions/FAT%20Viewer?VAR:PED=LTM&amp;VAR:AUDIT_MODE=SUMMARY&amp;VAR:PERIOD=FIXED&amp;VAR:AUDIT_ID=00000117&amp;VAR:DATE=20050928&amp;action=UPDATE&amp;creator=factset&amp;DOC_NAME=FAT:FMA_audit_SUMMARY.fat&amp;DISPLAY_STRING=Display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7__FDSAUDITLINK__" hidden="1">{"fdsup://directions/FAT%20Viewer?VAR:PED=LTM&amp;VAR:AUDIT_MODE=SUMMARY&amp;VAR:PERIOD=FIXED&amp;VAR:AUDIT_ID=00000117&amp;VAR:DATE=20050928&amp;action=UPDATE&amp;creator=factset&amp;DOC_NAME=FAT:FMA_audit_SUMMARY.fat&amp;DISPLAY_STRING=Display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8__FDSAUDITLINK__" localSheetId="6" hidden="1">{"fdsup://directions/FAT%20Viewer?VAR:PED=LTM&amp;VAR:AUDIT_MODE=SUMMARY&amp;VAR:PERIOD=FIXED&amp;VAR:AUDIT_ID=00000117&amp;VAR:DATE=20050927&amp;action=UPDATE&amp;creator=factset&amp;DOC_NAME=FAT:FMA_audit_SUMMARY.fat&amp;DISPLAY_STRING=Display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8__FDSAUDITLINK__" hidden="1">{"fdsup://directions/FAT%20Viewer?VAR:PED=LTM&amp;VAR:AUDIT_MODE=SUMMARY&amp;VAR:PERIOD=FIXED&amp;VAR:AUDIT_ID=00000117&amp;VAR:DATE=20050927&amp;action=UPDATE&amp;creator=factset&amp;DOC_NAME=FAT:FMA_audit_SUMMARY.fat&amp;DISPLAY_STRING=Display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9__FDSAUDITLINK__" localSheetId="6" hidden="1">{"fdsup://directions/FAT%20Viewer?VAR:PED=LTM&amp;VAR:AUDIT_MODE=SUMMARY&amp;VAR:PERIOD=FIXED&amp;VAR:AUDIT_ID=00000117&amp;VAR:DATE=20050926&amp;action=UPDATE&amp;creator=factset&amp;DOC_NAME=FAT:FMA_audit_SUMMARY.fat&amp;DISPLAY_STRING=Display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09__FDSAUDITLINK__" hidden="1">{"fdsup://directions/FAT%20Viewer?VAR:PED=LTM&amp;VAR:AUDIT_MODE=SUMMARY&amp;VAR:PERIOD=FIXED&amp;VAR:AUDIT_ID=00000117&amp;VAR:DATE=20050926&amp;action=UPDATE&amp;creator=factset&amp;DOC_NAME=FAT:FMA_audit_SUMMARY.fat&amp;DISPLAY_STRING=Display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__FDSAUDITLINK__" localSheetId="6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1__FDSAUDITLINK__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10__FDSAUDITLINK__" localSheetId="6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0__FDSAUDITLINK__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1__FDSAUDITLINK__" localSheetId="6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1__FDSAUDITLINK__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2__FDSAUDITLINK__" localSheetId="6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2__FDSAUDITLINK__" hidden="1">{"fdsup://directions/FAT%20Viewer?VAR:PED=LTM&amp;VAR:AUDIT_MODE=SUMMARY&amp;VAR:PERIOD=FIXED&amp;VAR:AUDIT_ID=00000117&amp;VAR:DATE=20050923&amp;action=UPDATE&amp;creator=factset&amp;DOC_NAME=FAT:FMA_audit_SUMMARY.fat&amp;DISPLAY_STRING=Display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3__FDSAUDITLINK__" localSheetId="6" hidden="1">{"fdsup://directions/FAT%20Viewer?VAR:PED=LTM&amp;VAR:AUDIT_MODE=SUMMARY&amp;VAR:PERIOD=FIXED&amp;VAR:AUDIT_ID=00000117&amp;VAR:DATE=20050922&amp;action=UPDATE&amp;creator=factset&amp;DOC_NAME=FAT:FMA_audit_SUMMARY.fat&amp;DISPLAY_STRING=Display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3__FDSAUDITLINK__" hidden="1">{"fdsup://directions/FAT%20Viewer?VAR:PED=LTM&amp;VAR:AUDIT_MODE=SUMMARY&amp;VAR:PERIOD=FIXED&amp;VAR:AUDIT_ID=00000117&amp;VAR:DATE=20050922&amp;action=UPDATE&amp;creator=factset&amp;DOC_NAME=FAT:FMA_audit_SUMMARY.fat&amp;DISPLAY_STRING=Display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4__FDSAUDITLINK__" localSheetId="6" hidden="1">{"fdsup://directions/FAT%20Viewer?VAR:PED=LTM&amp;VAR:AUDIT_MODE=SUMMARY&amp;VAR:PERIOD=FIXED&amp;VAR:AUDIT_ID=00000117&amp;VAR:DATE=20050921&amp;action=UPDATE&amp;creator=factset&amp;DOC_NAME=FAT:FMA_audit_SUMMARY.fat&amp;DISPLAY_STRING=Display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4__FDSAUDITLINK__" hidden="1">{"fdsup://directions/FAT%20Viewer?VAR:PED=LTM&amp;VAR:AUDIT_MODE=SUMMARY&amp;VAR:PERIOD=FIXED&amp;VAR:AUDIT_ID=00000117&amp;VAR:DATE=20050921&amp;action=UPDATE&amp;creator=factset&amp;DOC_NAME=FAT:FMA_audit_SUMMARY.fat&amp;DISPLAY_STRING=Display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5__FDSAUDITLINK__" localSheetId="6" hidden="1">{"fdsup://directions/FAT%20Viewer?VAR:PED=LTM&amp;VAR:AUDIT_MODE=SUMMARY&amp;VAR:PERIOD=FIXED&amp;VAR:AUDIT_ID=00000117&amp;VAR:DATE=20050920&amp;action=UPDATE&amp;creator=factset&amp;DOC_NAME=FAT:FMA_audit_SUMMARY.fat&amp;DISPLAY_STRING=Display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5__FDSAUDITLINK__" hidden="1">{"fdsup://directions/FAT%20Viewer?VAR:PED=LTM&amp;VAR:AUDIT_MODE=SUMMARY&amp;VAR:PERIOD=FIXED&amp;VAR:AUDIT_ID=00000117&amp;VAR:DATE=20050920&amp;action=UPDATE&amp;creator=factset&amp;DOC_NAME=FAT:FMA_audit_SUMMARY.fat&amp;DISPLAY_STRING=Display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6__FDSAUDITLINK__" localSheetId="6" hidden="1">{"fdsup://directions/FAT%20Viewer?VAR:PED=LTM&amp;VAR:AUDIT_MODE=SUMMARY&amp;VAR:PERIOD=FIXED&amp;VAR:AUDIT_ID=00000117&amp;VAR:DATE=20050919&amp;action=UPDATE&amp;creator=factset&amp;DOC_NAME=FAT:FMA_audit_SUMMARY.fat&amp;DISPLAY_STRING=Display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6__FDSAUDITLINK__" hidden="1">{"fdsup://directions/FAT%20Viewer?VAR:PED=LTM&amp;VAR:AUDIT_MODE=SUMMARY&amp;VAR:PERIOD=FIXED&amp;VAR:AUDIT_ID=00000117&amp;VAR:DATE=20050919&amp;action=UPDATE&amp;creator=factset&amp;DOC_NAME=FAT:FMA_audit_SUMMARY.fat&amp;DISPLAY_STRING=Display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7__FDSAUDITLINK__" localSheetId="6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7__FDSAUDITLINK__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8__FDSAUDITLINK__" localSheetId="6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8__FDSAUDITLINK__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9__FDSAUDITLINK__" localSheetId="6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19__FDSAUDITLINK__" hidden="1">{"fdsup://directions/FAT%20Viewer?VAR:PED=LTM&amp;VAR:AUDIT_MODE=SUMMARY&amp;VAR:PERIOD=FIXED&amp;VAR:AUDIT_ID=00000117&amp;VAR:DATE=20050916&amp;action=UPDATE&amp;creator=factset&amp;DOC_NAME=FAT:FMA_audit_SUMMARY.fat&amp;DISPLAY_STRING=Display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__FDSAUDITLINK__" localSheetId="6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2__FDSAUDITLINK__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20__FDSAUDITLINK__" localSheetId="6" hidden="1">{"fdsup://directions/FAT%20Viewer?VAR:PED=LTM&amp;VAR:AUDIT_MODE=SUMMARY&amp;VAR:PERIOD=FIXED&amp;VAR:AUDIT_ID=00000117&amp;VAR:DATE=20050915&amp;action=UPDATE&amp;creator=factset&amp;DOC_NAME=FAT:FMA_audit_SUMMARY.fat&amp;DISPLAY_STRING=Display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0__FDSAUDITLINK__" hidden="1">{"fdsup://directions/FAT%20Viewer?VAR:PED=LTM&amp;VAR:AUDIT_MODE=SUMMARY&amp;VAR:PERIOD=FIXED&amp;VAR:AUDIT_ID=00000117&amp;VAR:DATE=20050915&amp;action=UPDATE&amp;creator=factset&amp;DOC_NAME=FAT:FMA_audit_SUMMARY.fat&amp;DISPLAY_STRING=Display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1__FDSAUDITLINK__" localSheetId="6" hidden="1">{"fdsup://directions/FAT%20Viewer?VAR:PED=LTM&amp;VAR:AUDIT_MODE=SUMMARY&amp;VAR:PERIOD=FIXED&amp;VAR:AUDIT_ID=00000117&amp;VAR:DATE=20050914&amp;action=UPDATE&amp;creator=factset&amp;DOC_NAME=FAT:FMA_audit_SUMMARY.fat&amp;DISPLAY_STRING=Display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1__FDSAUDITLINK__" hidden="1">{"fdsup://directions/FAT%20Viewer?VAR:PED=LTM&amp;VAR:AUDIT_MODE=SUMMARY&amp;VAR:PERIOD=FIXED&amp;VAR:AUDIT_ID=00000117&amp;VAR:DATE=20050914&amp;action=UPDATE&amp;creator=factset&amp;DOC_NAME=FAT:FMA_audit_SUMMARY.fat&amp;DISPLAY_STRING=Display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2__FDSAUDITLINK__" localSheetId="6" hidden="1">{"fdsup://directions/FAT%20Viewer?VAR:PED=LTM&amp;VAR:AUDIT_MODE=SUMMARY&amp;VAR:PERIOD=FIXED&amp;VAR:AUDIT_ID=00000117&amp;VAR:DATE=20050913&amp;action=UPDATE&amp;creator=factset&amp;DOC_NAME=FAT:FMA_audit_SUMMARY.fat&amp;DISPLAY_STRING=Display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2__FDSAUDITLINK__" hidden="1">{"fdsup://directions/FAT%20Viewer?VAR:PED=LTM&amp;VAR:AUDIT_MODE=SUMMARY&amp;VAR:PERIOD=FIXED&amp;VAR:AUDIT_ID=00000117&amp;VAR:DATE=20050913&amp;action=UPDATE&amp;creator=factset&amp;DOC_NAME=FAT:FMA_audit_SUMMARY.fat&amp;DISPLAY_STRING=Display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3__FDSAUDITLINK__" localSheetId="6" hidden="1">{"fdsup://directions/FAT%20Viewer?VAR:PED=LTM&amp;VAR:AUDIT_MODE=SUMMARY&amp;VAR:PERIOD=FIXED&amp;VAR:AUDIT_ID=00000117&amp;VAR:DATE=20050912&amp;action=UPDATE&amp;creator=factset&amp;DOC_NAME=FAT:FMA_audit_SUMMARY.fat&amp;DISPLAY_STRING=Display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3__FDSAUDITLINK__" hidden="1">{"fdsup://directions/FAT%20Viewer?VAR:PED=LTM&amp;VAR:AUDIT_MODE=SUMMARY&amp;VAR:PERIOD=FIXED&amp;VAR:AUDIT_ID=00000117&amp;VAR:DATE=20050912&amp;action=UPDATE&amp;creator=factset&amp;DOC_NAME=FAT:FMA_audit_SUMMARY.fat&amp;DISPLAY_STRING=Display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4__FDSAUDITLINK__" localSheetId="6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4__FDSAUDITLINK__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5__FDSAUDITLINK__" localSheetId="6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5__FDSAUDITLINK__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6__FDSAUDITLINK__" localSheetId="6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6__FDSAUDITLINK__" hidden="1">{"fdsup://directions/FAT%20Viewer?VAR:PED=LTM&amp;VAR:AUDIT_MODE=SUMMARY&amp;VAR:PERIOD=FIXED&amp;VAR:AUDIT_ID=00000117&amp;VAR:DATE=20050909&amp;action=UPDATE&amp;creator=factset&amp;DOC_NAME=FAT:FMA_audit_SUMMARY.fat&amp;DISPLAY_STRING=Display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7__FDSAUDITLINK__" localSheetId="6" hidden="1">{"fdsup://directions/FAT%20Viewer?VAR:PED=LTM&amp;VAR:AUDIT_MODE=SUMMARY&amp;VAR:PERIOD=FIXED&amp;VAR:AUDIT_ID=00000117&amp;VAR:DATE=20050908&amp;action=UPDATE&amp;creator=factset&amp;DOC_NAME=FAT:FMA_audit_SUMMARY.fat&amp;DISPLAY_STRING=Display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7__FDSAUDITLINK__" hidden="1">{"fdsup://directions/FAT%20Viewer?VAR:PED=LTM&amp;VAR:AUDIT_MODE=SUMMARY&amp;VAR:PERIOD=FIXED&amp;VAR:AUDIT_ID=00000117&amp;VAR:DATE=20050908&amp;action=UPDATE&amp;creator=factset&amp;DOC_NAME=FAT:FMA_audit_SUMMARY.fat&amp;DISPLAY_STRING=Display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8__FDSAUDITLINK__" localSheetId="6" hidden="1">{"fdsup://directions/FAT%20Viewer?VAR:PED=LTM&amp;VAR:AUDIT_MODE=SUMMARY&amp;VAR:PERIOD=FIXED&amp;VAR:AUDIT_ID=00000117&amp;VAR:DATE=20050907&amp;action=UPDATE&amp;creator=factset&amp;DOC_NAME=FAT:FMA_audit_SUMMARY.fat&amp;DISPLAY_STRING=Display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8__FDSAUDITLINK__" hidden="1">{"fdsup://directions/FAT%20Viewer?VAR:PED=LTM&amp;VAR:AUDIT_MODE=SUMMARY&amp;VAR:PERIOD=FIXED&amp;VAR:AUDIT_ID=00000117&amp;VAR:DATE=20050907&amp;action=UPDATE&amp;creator=factset&amp;DOC_NAME=FAT:FMA_audit_SUMMARY.fat&amp;DISPLAY_STRING=Display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9__FDSAUDITLINK__" localSheetId="6" hidden="1">{"fdsup://directions/FAT%20Viewer?VAR:PED=LTM&amp;VAR:AUDIT_MODE=SUMMARY&amp;VAR:PERIOD=FIXED&amp;VAR:AUDIT_ID=00000117&amp;VAR:DATE=20050906&amp;action=UPDATE&amp;creator=factset&amp;DOC_NAME=FAT:FMA_audit_SUMMARY.fat&amp;DISPLAY_STRING=Display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29__FDSAUDITLINK__" hidden="1">{"fdsup://directions/FAT%20Viewer?VAR:PED=LTM&amp;VAR:AUDIT_MODE=SUMMARY&amp;VAR:PERIOD=FIXED&amp;VAR:AUDIT_ID=00000117&amp;VAR:DATE=20050906&amp;action=UPDATE&amp;creator=factset&amp;DOC_NAME=FAT:FMA_audit_SUMMARY.fat&amp;DISPLAY_STRING=Display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__FDSAUDITLINK__" localSheetId="6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3__FDSAUDITLINK__" hidden="1">{"fdsup://directions/FAT%20Viewer?VAR:PED=LTM&amp;VAR:AUDIT_MODE=SUMMARY&amp;VAR:PERIOD=FIXED&amp;VAR:AUDIT_ID=00000117&amp;VAR:DATE=20090911&amp;action=UPDATE&amp;creator=factset&amp;DOC_NAME=FAT:FMA_audit_SUMMARY.fat&amp;DISPLAY_STRING=Display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30__FDSAUDITLINK__" localSheetId="6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0__FDSAUDITLINK__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1__FDSAUDITLINK__" localSheetId="6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1__FDSAUDITLINK__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2__FDSAUDITLINK__" localSheetId="6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2__FDSAUDITLINK__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3__FDSAUDITLINK__" localSheetId="6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3__FDSAUDITLINK__" hidden="1">{"fdsup://directions/FAT%20Viewer?VAR:PED=LTM&amp;VAR:AUDIT_MODE=SUMMARY&amp;VAR:PERIOD=FIXED&amp;VAR:AUDIT_ID=00000117&amp;VAR:DATE=20050902&amp;action=UPDATE&amp;creator=factset&amp;DOC_NAME=FAT:FMA_audit_SUMMARY.fat&amp;DISPLAY_STRING=Display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4__FDSAUDITLINK__" localSheetId="6" hidden="1">{"fdsup://directions/FAT%20Viewer?VAR:PED=LTM&amp;VAR:AUDIT_MODE=SUMMARY&amp;VAR:PERIOD=FIXED&amp;VAR:AUDIT_ID=00000117&amp;VAR:DATE=20050901&amp;action=UPDATE&amp;creator=factset&amp;DOC_NAME=FAT:FMA_audit_SUMMARY.fat&amp;DISPLAY_STRING=Display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4__FDSAUDITLINK__" hidden="1">{"fdsup://directions/FAT%20Viewer?VAR:PED=LTM&amp;VAR:AUDIT_MODE=SUMMARY&amp;VAR:PERIOD=FIXED&amp;VAR:AUDIT_ID=00000117&amp;VAR:DATE=20050901&amp;action=UPDATE&amp;creator=factset&amp;DOC_NAME=FAT:FMA_audit_SUMMARY.fat&amp;DISPLAY_STRING=Display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5__FDSAUDITLINK__" localSheetId="6" hidden="1">{"fdsup://directions/FAT%20Viewer?VAR:PED=LTM&amp;VAR:AUDIT_MODE=SUMMARY&amp;VAR:PERIOD=FIXED&amp;VAR:AUDIT_ID=00000117&amp;VAR:DATE=20050831&amp;action=UPDATE&amp;creator=factset&amp;DOC_NAME=FAT:FMA_audit_SUMMARY.fat&amp;DISPLAY_STRING=Display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5__FDSAUDITLINK__" hidden="1">{"fdsup://directions/FAT%20Viewer?VAR:PED=LTM&amp;VAR:AUDIT_MODE=SUMMARY&amp;VAR:PERIOD=FIXED&amp;VAR:AUDIT_ID=00000117&amp;VAR:DATE=20050831&amp;action=UPDATE&amp;creator=factset&amp;DOC_NAME=FAT:FMA_audit_SUMMARY.fat&amp;DISPLAY_STRING=Display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EBITDA&amp;VAR:CHGPERIOD=NA&amp;VAR:FQLFORMULA=FMA_EVAL_EBITDA&amp;VAR:CURRENCY=NA&amp;VAR:P=NA&amp;VAR:V=11.9","80503&amp;VAR:null=.html"}</definedName>
    <definedName name="_1636__FDSAUDITLINK__" localSheetId="6" hidden="1">{"fdsup://directions/FAT%20Viewer?VAR:PED=LTM&amp;VAR:AUDIT_MODE=SUMMARY&amp;VAR:PERIOD=FIXED&amp;VAR:AUDIT_ID=00000117&amp;VAR:DATE=20050830&amp;action=UPDATE&amp;creator=factset&amp;DOC_NAME=FAT:FMA_audit_SUMMARY.fat&amp;DISPLAY_STRING=Display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6__FDSAUDITLINK__" hidden="1">{"fdsup://directions/FAT%20Viewer?VAR:PED=LTM&amp;VAR:AUDIT_MODE=SUMMARY&amp;VAR:PERIOD=FIXED&amp;VAR:AUDIT_ID=00000117&amp;VAR:DATE=20050830&amp;action=UPDATE&amp;creator=factset&amp;DOC_NAME=FAT:FMA_audit_SUMMARY.fat&amp;DISPLAY_STRING=Display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7__FDSAUDITLINK__" localSheetId="6" hidden="1">{"fdsup://directions/FAT%20Viewer?VAR:PED=LTM&amp;VAR:AUDIT_MODE=SUMMARY&amp;VAR:PERIOD=FIXED&amp;VAR:AUDIT_ID=00000117&amp;VAR:DATE=20050829&amp;action=UPDATE&amp;creator=factset&amp;DOC_NAME=FAT:FMA_audit_SUMMARY.fat&amp;DISPLAY_STRING=Display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7__FDSAUDITLINK__" hidden="1">{"fdsup://directions/FAT%20Viewer?VAR:PED=LTM&amp;VAR:AUDIT_MODE=SUMMARY&amp;VAR:PERIOD=FIXED&amp;VAR:AUDIT_ID=00000117&amp;VAR:DATE=20050829&amp;action=UPDATE&amp;creator=factset&amp;DOC_NAME=FAT:FMA_audit_SUMMARY.fat&amp;DISPLAY_STRING=Display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8__FDSAUDITLINK__" localSheetId="6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8__FDSAUDITLINK__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9__FDSAUDITLINK__" localSheetId="6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39__FDSAUDITLINK__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__FDSAUDITLINK__" localSheetId="6" hidden="1">{"fdsup://directions/FAT%20Viewer?VAR:PED=LTM&amp;VAR:AUDIT_MODE=SUMMARY&amp;VAR:PERIOD=FIXED&amp;VAR:AUDIT_ID=00000117&amp;VAR:DATE=20090910&amp;action=UPDATE&amp;creator=factset&amp;DOC_NAME=FAT:FMA_audit_SUMMARY.fat&amp;DISPLAY_STRING=Display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4__FDSAUDITLINK__" hidden="1">{"fdsup://directions/FAT%20Viewer?VAR:PED=LTM&amp;VAR:AUDIT_MODE=SUMMARY&amp;VAR:PERIOD=FIXED&amp;VAR:AUDIT_ID=00000117&amp;VAR:DATE=20090910&amp;action=UPDATE&amp;creator=factset&amp;DOC_NAME=FAT:FMA_audit_SUMMARY.fat&amp;DISPLAY_STRING=Display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40__FDSAUDITLINK__" localSheetId="6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0__FDSAUDITLINK__" hidden="1">{"fdsup://directions/FAT%20Viewer?VAR:PED=LTM&amp;VAR:AUDIT_MODE=SUMMARY&amp;VAR:PERIOD=FIXED&amp;VAR:AUDIT_ID=00000117&amp;VAR:DATE=20050826&amp;action=UPDATE&amp;creator=factset&amp;DOC_NAME=FAT:FMA_audit_SUMMARY.fat&amp;DISPLAY_STRING=Display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1__FDSAUDITLINK__" localSheetId="6" hidden="1">{"fdsup://directions/FAT%20Viewer?VAR:PED=LTM&amp;VAR:AUDIT_MODE=SUMMARY&amp;VAR:PERIOD=FIXED&amp;VAR:AUDIT_ID=00000117&amp;VAR:DATE=20050825&amp;action=UPDATE&amp;creator=factset&amp;DOC_NAME=FAT:FMA_audit_SUMMARY.fat&amp;DISPLAY_STRING=Display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1__FDSAUDITLINK__" hidden="1">{"fdsup://directions/FAT%20Viewer?VAR:PED=LTM&amp;VAR:AUDIT_MODE=SUMMARY&amp;VAR:PERIOD=FIXED&amp;VAR:AUDIT_ID=00000117&amp;VAR:DATE=20050825&amp;action=UPDATE&amp;creator=factset&amp;DOC_NAME=FAT:FMA_audit_SUMMARY.fat&amp;DISPLAY_STRING=Display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2__FDSAUDITLINK__" localSheetId="6" hidden="1">{"fdsup://directions/FAT%20Viewer?VAR:PED=LTM&amp;VAR:AUDIT_MODE=SUMMARY&amp;VAR:PERIOD=FIXED&amp;VAR:AUDIT_ID=00000117&amp;VAR:DATE=20050824&amp;action=UPDATE&amp;creator=factset&amp;DOC_NAME=FAT:FMA_audit_SUMMARY.fat&amp;DISPLAY_STRING=Display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2__FDSAUDITLINK__" hidden="1">{"fdsup://directions/FAT%20Viewer?VAR:PED=LTM&amp;VAR:AUDIT_MODE=SUMMARY&amp;VAR:PERIOD=FIXED&amp;VAR:AUDIT_ID=00000117&amp;VAR:DATE=20050824&amp;action=UPDATE&amp;creator=factset&amp;DOC_NAME=FAT:FMA_audit_SUMMARY.fat&amp;DISPLAY_STRING=Display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3__FDSAUDITLINK__" localSheetId="6" hidden="1">{"fdsup://directions/FAT%20Viewer?VAR:PED=LTM&amp;VAR:AUDIT_MODE=SUMMARY&amp;VAR:PERIOD=FIXED&amp;VAR:AUDIT_ID=00000117&amp;VAR:DATE=20050823&amp;action=UPDATE&amp;creator=factset&amp;DOC_NAME=FAT:FMA_audit_SUMMARY.fat&amp;DISPLAY_STRING=Display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3__FDSAUDITLINK__" hidden="1">{"fdsup://directions/FAT%20Viewer?VAR:PED=LTM&amp;VAR:AUDIT_MODE=SUMMARY&amp;VAR:PERIOD=FIXED&amp;VAR:AUDIT_ID=00000117&amp;VAR:DATE=20050823&amp;action=UPDATE&amp;creator=factset&amp;DOC_NAME=FAT:FMA_audit_SUMMARY.fat&amp;DISPLAY_STRING=Display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4__FDSAUDITLINK__" localSheetId="6" hidden="1">{"fdsup://directions/FAT%20Viewer?VAR:PED=LTM&amp;VAR:AUDIT_MODE=SUMMARY&amp;VAR:PERIOD=FIXED&amp;VAR:AUDIT_ID=00000117&amp;VAR:DATE=20050822&amp;action=UPDATE&amp;creator=factset&amp;DOC_NAME=FAT:FMA_audit_SUMMARY.fat&amp;DISPLAY_STRING=Display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4__FDSAUDITLINK__" hidden="1">{"fdsup://directions/FAT%20Viewer?VAR:PED=LTM&amp;VAR:AUDIT_MODE=SUMMARY&amp;VAR:PERIOD=FIXED&amp;VAR:AUDIT_ID=00000117&amp;VAR:DATE=20050822&amp;action=UPDATE&amp;creator=factset&amp;DOC_NAME=FAT:FMA_audit_SUMMARY.fat&amp;DISPLAY_STRING=Display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5__FDSAUDITLINK__" localSheetId="6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5__FDSAUDITLINK__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6__FDSAUDITLINK__" localSheetId="6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6__FDSAUDITLINK__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7__FDSAUDITLINK__" localSheetId="6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7__FDSAUDITLINK__" hidden="1">{"fdsup://directions/FAT%20Viewer?VAR:PED=LTM&amp;VAR:AUDIT_MODE=SUMMARY&amp;VAR:PERIOD=FIXED&amp;VAR:AUDIT_ID=00000117&amp;VAR:DATE=20050819&amp;action=UPDATE&amp;creator=factset&amp;DOC_NAME=FAT:FMA_audit_SUMMARY.fat&amp;DISPLAY_STRING=Display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8__FDSAUDITLINK__" localSheetId="6" hidden="1">{"fdsup://directions/FAT%20Viewer?VAR:PED=LTM&amp;VAR:AUDIT_MODE=SUMMARY&amp;VAR:PERIOD=FIXED&amp;VAR:AUDIT_ID=00000117&amp;VAR:DATE=20050818&amp;action=UPDATE&amp;creator=factset&amp;DOC_NAME=FAT:FMA_audit_SUMMARY.fat&amp;DISPLAY_STRING=Display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8__FDSAUDITLINK__" hidden="1">{"fdsup://directions/FAT%20Viewer?VAR:PED=LTM&amp;VAR:AUDIT_MODE=SUMMARY&amp;VAR:PERIOD=FIXED&amp;VAR:AUDIT_ID=00000117&amp;VAR:DATE=20050818&amp;action=UPDATE&amp;creator=factset&amp;DOC_NAME=FAT:FMA_audit_SUMMARY.fat&amp;DISPLAY_STRING=Display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9__FDSAUDITLINK__" localSheetId="6" hidden="1">{"fdsup://directions/FAT%20Viewer?VAR:PED=LTM&amp;VAR:AUDIT_MODE=SUMMARY&amp;VAR:PERIOD=FIXED&amp;VAR:AUDIT_ID=00000117&amp;VAR:DATE=20050817&amp;action=UPDATE&amp;creator=factset&amp;DOC_NAME=FAT:FMA_audit_SUMMARY.fat&amp;DISPLAY_STRING=Display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49__FDSAUDITLINK__" hidden="1">{"fdsup://directions/FAT%20Viewer?VAR:PED=LTM&amp;VAR:AUDIT_MODE=SUMMARY&amp;VAR:PERIOD=FIXED&amp;VAR:AUDIT_ID=00000117&amp;VAR:DATE=20050817&amp;action=UPDATE&amp;creator=factset&amp;DOC_NAME=FAT:FMA_audit_SUMMARY.fat&amp;DISPLAY_STRING=Display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__FDSAUDITLINK__" localSheetId="6" hidden="1">{"fdsup://directions/FAT%20Viewer?VAR:PED=LTM&amp;VAR:AUDIT_MODE=SUMMARY&amp;VAR:PERIOD=FIXED&amp;VAR:AUDIT_ID=00000117&amp;VAR:DATE=20090909&amp;action=UPDATE&amp;creator=factset&amp;DOC_NAME=FAT:FMA_audit_SUMMARY.fat&amp;DISPLAY_STRING=Display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5__FDSAUDITLINK__" hidden="1">{"fdsup://directions/FAT%20Viewer?VAR:PED=LTM&amp;VAR:AUDIT_MODE=SUMMARY&amp;VAR:PERIOD=FIXED&amp;VAR:AUDIT_ID=00000117&amp;VAR:DATE=20090909&amp;action=UPDATE&amp;creator=factset&amp;DOC_NAME=FAT:FMA_audit_SUMMARY.fat&amp;DISPLAY_STRING=Display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50__FDSAUDITLINK__" localSheetId="6" hidden="1">{"fdsup://directions/FAT%20Viewer?VAR:PED=LTM&amp;VAR:AUDIT_MODE=SUMMARY&amp;VAR:PERIOD=FIXED&amp;VAR:AUDIT_ID=00000117&amp;VAR:DATE=20050816&amp;action=UPDATE&amp;creator=factset&amp;DOC_NAME=FAT:FMA_audit_SUMMARY.fat&amp;DISPLAY_STRING=Display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0__FDSAUDITLINK__" hidden="1">{"fdsup://directions/FAT%20Viewer?VAR:PED=LTM&amp;VAR:AUDIT_MODE=SUMMARY&amp;VAR:PERIOD=FIXED&amp;VAR:AUDIT_ID=00000117&amp;VAR:DATE=20050816&amp;action=UPDATE&amp;creator=factset&amp;DOC_NAME=FAT:FMA_audit_SUMMARY.fat&amp;DISPLAY_STRING=Display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1__FDSAUDITLINK__" localSheetId="6" hidden="1">{"fdsup://directions/FAT%20Viewer?VAR:PED=LTM&amp;VAR:AUDIT_MODE=SUMMARY&amp;VAR:PERIOD=FIXED&amp;VAR:AUDIT_ID=00000117&amp;VAR:DATE=20050815&amp;action=UPDATE&amp;creator=factset&amp;DOC_NAME=FAT:FMA_audit_SUMMARY.fat&amp;DISPLAY_STRING=Display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1__FDSAUDITLINK__" hidden="1">{"fdsup://directions/FAT%20Viewer?VAR:PED=LTM&amp;VAR:AUDIT_MODE=SUMMARY&amp;VAR:PERIOD=FIXED&amp;VAR:AUDIT_ID=00000117&amp;VAR:DATE=20050815&amp;action=UPDATE&amp;creator=factset&amp;DOC_NAME=FAT:FMA_audit_SUMMARY.fat&amp;DISPLAY_STRING=Display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2__FDSAUDITLINK__" localSheetId="6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2__FDSAUDITLINK__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3__FDSAUDITLINK__" localSheetId="6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3__FDSAUDITLINK__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4__FDSAUDITLINK__" localSheetId="6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4__FDSAUDITLINK__" hidden="1">{"fdsup://directions/FAT%20Viewer?VAR:PED=LTM&amp;VAR:AUDIT_MODE=SUMMARY&amp;VAR:PERIOD=FIXED&amp;VAR:AUDIT_ID=00000117&amp;VAR:DATE=20050812&amp;action=UPDATE&amp;creator=factset&amp;DOC_NAME=FAT:FMA_audit_SUMMARY.fat&amp;DISPLAY_STRING=Display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5__FDSAUDITLINK__" localSheetId="6" hidden="1">{"fdsup://directions/FAT%20Viewer?VAR:PED=LTM&amp;VAR:AUDIT_MODE=SUMMARY&amp;VAR:PERIOD=FIXED&amp;VAR:AUDIT_ID=00000117&amp;VAR:DATE=20050811&amp;action=UPDATE&amp;creator=factset&amp;DOC_NAME=FAT:FMA_audit_SUMMARY.fat&amp;DISPLAY_STRING=Display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5__FDSAUDITLINK__" hidden="1">{"fdsup://directions/FAT%20Viewer?VAR:PED=LTM&amp;VAR:AUDIT_MODE=SUMMARY&amp;VAR:PERIOD=FIXED&amp;VAR:AUDIT_ID=00000117&amp;VAR:DATE=20050811&amp;action=UPDATE&amp;creator=factset&amp;DOC_NAME=FAT:FMA_audit_SUMMARY.fat&amp;DISPLAY_STRING=Display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6__FDSAUDITLINK__" localSheetId="6" hidden="1">{"fdsup://directions/FAT%20Viewer?VAR:PED=LTM&amp;VAR:AUDIT_MODE=SUMMARY&amp;VAR:PERIOD=FIXED&amp;VAR:AUDIT_ID=00000117&amp;VAR:DATE=20050810&amp;action=UPDATE&amp;creator=factset&amp;DOC_NAME=FAT:FMA_audit_SUMMARY.fat&amp;DISPLAY_STRING=Display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6__FDSAUDITLINK__" hidden="1">{"fdsup://directions/FAT%20Viewer?VAR:PED=LTM&amp;VAR:AUDIT_MODE=SUMMARY&amp;VAR:PERIOD=FIXED&amp;VAR:AUDIT_ID=00000117&amp;VAR:DATE=20050810&amp;action=UPDATE&amp;creator=factset&amp;DOC_NAME=FAT:FMA_audit_SUMMARY.fat&amp;DISPLAY_STRING=Display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7__FDSAUDITLINK__" localSheetId="6" hidden="1">{"fdsup://directions/FAT%20Viewer?VAR:PED=LTM&amp;VAR:AUDIT_MODE=SUMMARY&amp;VAR:PERIOD=FIXED&amp;VAR:AUDIT_ID=00000117&amp;VAR:DATE=20050809&amp;action=UPDATE&amp;creator=factset&amp;DOC_NAME=FAT:FMA_audit_SUMMARY.fat&amp;DISPLAY_STRING=Display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7__FDSAUDITLINK__" hidden="1">{"fdsup://directions/FAT%20Viewer?VAR:PED=LTM&amp;VAR:AUDIT_MODE=SUMMARY&amp;VAR:PERIOD=FIXED&amp;VAR:AUDIT_ID=00000117&amp;VAR:DATE=20050809&amp;action=UPDATE&amp;creator=factset&amp;DOC_NAME=FAT:FMA_audit_SUMMARY.fat&amp;DISPLAY_STRING=Display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8__FDSAUDITLINK__" localSheetId="6" hidden="1">{"fdsup://directions/FAT%20Viewer?VAR:PED=LTM&amp;VAR:AUDIT_MODE=SUMMARY&amp;VAR:PERIOD=FIXED&amp;VAR:AUDIT_ID=00000117&amp;VAR:DATE=20050808&amp;action=UPDATE&amp;creator=factset&amp;DOC_NAME=FAT:FMA_audit_SUMMARY.fat&amp;DISPLAY_STRING=Display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8__FDSAUDITLINK__" hidden="1">{"fdsup://directions/FAT%20Viewer?VAR:PED=LTM&amp;VAR:AUDIT_MODE=SUMMARY&amp;VAR:PERIOD=FIXED&amp;VAR:AUDIT_ID=00000117&amp;VAR:DATE=20050808&amp;action=UPDATE&amp;creator=factset&amp;DOC_NAME=FAT:FMA_audit_SUMMARY.fat&amp;DISPLAY_STRING=Display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9__FDSAUDITLINK__" localSheetId="6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59__FDSAUDITLINK__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__FDSAUDITLINK__" localSheetId="6" hidden="1">{"fdsup://directions/FAT%20Viewer?VAR:PED=LTM&amp;VAR:AUDIT_MODE=SUMMARY&amp;VAR:PERIOD=FIXED&amp;VAR:AUDIT_ID=00000117&amp;VAR:DATE=20090908&amp;action=UPDATE&amp;creator=factset&amp;DOC_NAME=FAT:FMA_audit_SUMMARY.fat&amp;DISPLAY_STRING=Display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6__FDSAUDITLINK__" hidden="1">{"fdsup://directions/FAT%20Viewer?VAR:PED=LTM&amp;VAR:AUDIT_MODE=SUMMARY&amp;VAR:PERIOD=FIXED&amp;VAR:AUDIT_ID=00000117&amp;VAR:DATE=20090908&amp;action=UPDATE&amp;creator=factset&amp;DOC_NAME=FAT:FMA_audit_SUMMARY.fat&amp;DISPLAY_STRING=Display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60__FDSAUDITLINK__" localSheetId="6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0__FDSAUDITLINK__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1__FDSAUDITLINK__" localSheetId="6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1__FDSAUDITLINK__" hidden="1">{"fdsup://directions/FAT%20Viewer?VAR:PED=LTM&amp;VAR:AUDIT_MODE=SUMMARY&amp;VAR:PERIOD=FIXED&amp;VAR:AUDIT_ID=00000117&amp;VAR:DATE=20050805&amp;action=UPDATE&amp;creator=factset&amp;DOC_NAME=FAT:FMA_audit_SUMMARY.fat&amp;DISPLAY_STRING=Display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2__FDSAUDITLINK__" localSheetId="6" hidden="1">{"fdsup://directions/FAT%20Viewer?VAR:PED=LTM&amp;VAR:AUDIT_MODE=SUMMARY&amp;VAR:PERIOD=FIXED&amp;VAR:AUDIT_ID=00000117&amp;VAR:DATE=20050804&amp;action=UPDATE&amp;creator=factset&amp;DOC_NAME=FAT:FMA_audit_SUMMARY.fat&amp;DISPLAY_STRING=Display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2__FDSAUDITLINK__" hidden="1">{"fdsup://directions/FAT%20Viewer?VAR:PED=LTM&amp;VAR:AUDIT_MODE=SUMMARY&amp;VAR:PERIOD=FIXED&amp;VAR:AUDIT_ID=00000117&amp;VAR:DATE=20050804&amp;action=UPDATE&amp;creator=factset&amp;DOC_NAME=FAT:FMA_audit_SUMMARY.fat&amp;DISPLAY_STRING=Display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3__FDSAUDITLINK__" localSheetId="6" hidden="1">{"fdsup://directions/FAT%20Viewer?VAR:PED=LTM&amp;VAR:AUDIT_MODE=SUMMARY&amp;VAR:PERIOD=FIXED&amp;VAR:AUDIT_ID=00000117&amp;VAR:DATE=20050803&amp;action=UPDATE&amp;creator=factset&amp;DOC_NAME=FAT:FMA_audit_SUMMARY.fat&amp;DISPLAY_STRING=Display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3__FDSAUDITLINK__" hidden="1">{"fdsup://directions/FAT%20Viewer?VAR:PED=LTM&amp;VAR:AUDIT_MODE=SUMMARY&amp;VAR:PERIOD=FIXED&amp;VAR:AUDIT_ID=00000117&amp;VAR:DATE=20050803&amp;action=UPDATE&amp;creator=factset&amp;DOC_NAME=FAT:FMA_audit_SUMMARY.fat&amp;DISPLAY_STRING=Display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4__FDSAUDITLINK__" localSheetId="6" hidden="1">{"fdsup://directions/FAT%20Viewer?VAR:PED=LTM&amp;VAR:AUDIT_MODE=SUMMARY&amp;VAR:PERIOD=FIXED&amp;VAR:AUDIT_ID=00000117&amp;VAR:DATE=20050802&amp;action=UPDATE&amp;creator=factset&amp;DOC_NAME=FAT:FMA_audit_SUMMARY.fat&amp;DISPLAY_STRING=Display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4__FDSAUDITLINK__" hidden="1">{"fdsup://directions/FAT%20Viewer?VAR:PED=LTM&amp;VAR:AUDIT_MODE=SUMMARY&amp;VAR:PERIOD=FIXED&amp;VAR:AUDIT_ID=00000117&amp;VAR:DATE=20050802&amp;action=UPDATE&amp;creator=factset&amp;DOC_NAME=FAT:FMA_audit_SUMMARY.fat&amp;DISPLAY_STRING=Display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5__FDSAUDITLINK__" localSheetId="6" hidden="1">{"fdsup://directions/FAT%20Viewer?VAR:PED=LTM&amp;VAR:AUDIT_MODE=SUMMARY&amp;VAR:PERIOD=FIXED&amp;VAR:AUDIT_ID=00000117&amp;VAR:DATE=20050801&amp;action=UPDATE&amp;creator=factset&amp;DOC_NAME=FAT:FMA_audit_SUMMARY.fat&amp;DISPLAY_STRING=Display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5__FDSAUDITLINK__" hidden="1">{"fdsup://directions/FAT%20Viewer?VAR:PED=LTM&amp;VAR:AUDIT_MODE=SUMMARY&amp;VAR:PERIOD=FIXED&amp;VAR:AUDIT_ID=00000117&amp;VAR:DATE=20050801&amp;action=UPDATE&amp;creator=factset&amp;DOC_NAME=FAT:FMA_audit_SUMMARY.fat&amp;DISPLAY_STRING=Display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EBITDA&amp;VAR:CHGPERIOD=NA&amp;VAR:FQLFORMULA=FMA_EVAL_EBITDA&amp;VAR:CURRENCY=NA&amp;VAR:P=NA&amp;VAR:V=12.4","64715&amp;VAR:null=.html"}</definedName>
    <definedName name="_1666__FDSAUDITLINK__" localSheetId="6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6__FDSAUDITLINK__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7__FDSAUDITLINK__" localSheetId="6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7__FDSAUDITLINK__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8__FDSAUDITLINK__" localSheetId="6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8__FDSAUDITLINK__" hidden="1">{"fdsup://directions/FAT%20Viewer?VAR:PED=LTM&amp;VAR:AUDIT_MODE=SUMMARY&amp;VAR:PERIOD=FIXED&amp;VAR:AUDIT_ID=00000117&amp;VAR:DATE=20050729&amp;action=UPDATE&amp;creator=factset&amp;DOC_NAME=FAT:FMA_audit_SUMMARY.fat&amp;DISPLAY_STRING=Display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9__FDSAUDITLINK__" localSheetId="6" hidden="1">{"fdsup://directions/FAT%20Viewer?VAR:PED=LTM&amp;VAR:AUDIT_MODE=SUMMARY&amp;VAR:PERIOD=FIXED&amp;VAR:AUDIT_ID=00000117&amp;VAR:DATE=20050728&amp;action=UPDATE&amp;creator=factset&amp;DOC_NAME=FAT:FMA_audit_SUMMARY.fat&amp;DISPLAY_STRING=Display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69__FDSAUDITLINK__" hidden="1">{"fdsup://directions/FAT%20Viewer?VAR:PED=LTM&amp;VAR:AUDIT_MODE=SUMMARY&amp;VAR:PERIOD=FIXED&amp;VAR:AUDIT_ID=00000117&amp;VAR:DATE=20050728&amp;action=UPDATE&amp;creator=factset&amp;DOC_NAME=FAT:FMA_audit_SUMMARY.fat&amp;DISPLAY_STRING=Display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__FDSAUDITLINK__" localSheetId="6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7__FDSAUDITLINK__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70__FDSAUDITLINK__" localSheetId="6" hidden="1">{"fdsup://directions/FAT%20Viewer?VAR:PED=LTM&amp;VAR:AUDIT_MODE=SUMMARY&amp;VAR:PERIOD=FIXED&amp;VAR:AUDIT_ID=00000117&amp;VAR:DATE=20050727&amp;action=UPDATE&amp;creator=factset&amp;DOC_NAME=FAT:FMA_audit_SUMMARY.fat&amp;DISPLAY_STRING=Display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0__FDSAUDITLINK__" hidden="1">{"fdsup://directions/FAT%20Viewer?VAR:PED=LTM&amp;VAR:AUDIT_MODE=SUMMARY&amp;VAR:PERIOD=FIXED&amp;VAR:AUDIT_ID=00000117&amp;VAR:DATE=20050727&amp;action=UPDATE&amp;creator=factset&amp;DOC_NAME=FAT:FMA_audit_SUMMARY.fat&amp;DISPLAY_STRING=Display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1__FDSAUDITLINK__" localSheetId="6" hidden="1">{"fdsup://directions/FAT%20Viewer?VAR:PED=LTM&amp;VAR:AUDIT_MODE=SUMMARY&amp;VAR:PERIOD=FIXED&amp;VAR:AUDIT_ID=00000117&amp;VAR:DATE=20050726&amp;action=UPDATE&amp;creator=factset&amp;DOC_NAME=FAT:FMA_audit_SUMMARY.fat&amp;DISPLAY_STRING=Display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1__FDSAUDITLINK__" hidden="1">{"fdsup://directions/FAT%20Viewer?VAR:PED=LTM&amp;VAR:AUDIT_MODE=SUMMARY&amp;VAR:PERIOD=FIXED&amp;VAR:AUDIT_ID=00000117&amp;VAR:DATE=20050726&amp;action=UPDATE&amp;creator=factset&amp;DOC_NAME=FAT:FMA_audit_SUMMARY.fat&amp;DISPLAY_STRING=Display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2__FDSAUDITLINK__" localSheetId="6" hidden="1">{"fdsup://directions/FAT%20Viewer?VAR:PED=LTM&amp;VAR:AUDIT_MODE=SUMMARY&amp;VAR:PERIOD=FIXED&amp;VAR:AUDIT_ID=00000117&amp;VAR:DATE=20050725&amp;action=UPDATE&amp;creator=factset&amp;DOC_NAME=FAT:FMA_audit_SUMMARY.fat&amp;DISPLAY_STRING=Display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2__FDSAUDITLINK__" hidden="1">{"fdsup://directions/FAT%20Viewer?VAR:PED=LTM&amp;VAR:AUDIT_MODE=SUMMARY&amp;VAR:PERIOD=FIXED&amp;VAR:AUDIT_ID=00000117&amp;VAR:DATE=20050725&amp;action=UPDATE&amp;creator=factset&amp;DOC_NAME=FAT:FMA_audit_SUMMARY.fat&amp;DISPLAY_STRING=Display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3__FDSAUDITLINK__" localSheetId="6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3__FDSAUDITLINK__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4__FDSAUDITLINK__" localSheetId="6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4__FDSAUDITLINK__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5__FDSAUDITLINK__" localSheetId="6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5__FDSAUDITLINK__" hidden="1">{"fdsup://directions/FAT%20Viewer?VAR:PED=LTM&amp;VAR:AUDIT_MODE=SUMMARY&amp;VAR:PERIOD=FIXED&amp;VAR:AUDIT_ID=00000117&amp;VAR:DATE=20050722&amp;action=UPDATE&amp;creator=factset&amp;DOC_NAME=FAT:FMA_audit_SUMMARY.fat&amp;DISPLAY_STRING=Display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6__FDSAUDITLINK__" localSheetId="6" hidden="1">{"fdsup://directions/FAT%20Viewer?VAR:PED=LTM&amp;VAR:AUDIT_MODE=SUMMARY&amp;VAR:PERIOD=FIXED&amp;VAR:AUDIT_ID=00000117&amp;VAR:DATE=20050721&amp;action=UPDATE&amp;creator=factset&amp;DOC_NAME=FAT:FMA_audit_SUMMARY.fat&amp;DISPLAY_STRING=Display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6__FDSAUDITLINK__" hidden="1">{"fdsup://directions/FAT%20Viewer?VAR:PED=LTM&amp;VAR:AUDIT_MODE=SUMMARY&amp;VAR:PERIOD=FIXED&amp;VAR:AUDIT_ID=00000117&amp;VAR:DATE=20050721&amp;action=UPDATE&amp;creator=factset&amp;DOC_NAME=FAT:FMA_audit_SUMMARY.fat&amp;DISPLAY_STRING=Display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7__FDSAUDITLINK__" localSheetId="6" hidden="1">{"fdsup://directions/FAT%20Viewer?VAR:PED=LTM&amp;VAR:AUDIT_MODE=SUMMARY&amp;VAR:PERIOD=FIXED&amp;VAR:AUDIT_ID=00000117&amp;VAR:DATE=20050720&amp;action=UPDATE&amp;creator=factset&amp;DOC_NAME=FAT:FMA_audit_SUMMARY.fat&amp;DISPLAY_STRING=Display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7__FDSAUDITLINK__" hidden="1">{"fdsup://directions/FAT%20Viewer?VAR:PED=LTM&amp;VAR:AUDIT_MODE=SUMMARY&amp;VAR:PERIOD=FIXED&amp;VAR:AUDIT_ID=00000117&amp;VAR:DATE=20050720&amp;action=UPDATE&amp;creator=factset&amp;DOC_NAME=FAT:FMA_audit_SUMMARY.fat&amp;DISPLAY_STRING=Display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8__FDSAUDITLINK__" localSheetId="6" hidden="1">{"fdsup://directions/FAT%20Viewer?VAR:PED=LTM&amp;VAR:AUDIT_MODE=SUMMARY&amp;VAR:PERIOD=FIXED&amp;VAR:AUDIT_ID=00000117&amp;VAR:DATE=20050719&amp;action=UPDATE&amp;creator=factset&amp;DOC_NAME=FAT:FMA_audit_SUMMARY.fat&amp;DISPLAY_STRING=Display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8__FDSAUDITLINK__" hidden="1">{"fdsup://directions/FAT%20Viewer?VAR:PED=LTM&amp;VAR:AUDIT_MODE=SUMMARY&amp;VAR:PERIOD=FIXED&amp;VAR:AUDIT_ID=00000117&amp;VAR:DATE=20050719&amp;action=UPDATE&amp;creator=factset&amp;DOC_NAME=FAT:FMA_audit_SUMMARY.fat&amp;DISPLAY_STRING=Display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9__FDSAUDITLINK__" localSheetId="6" hidden="1">{"fdsup://directions/FAT%20Viewer?VAR:PED=LTM&amp;VAR:AUDIT_MODE=SUMMARY&amp;VAR:PERIOD=FIXED&amp;VAR:AUDIT_ID=00000117&amp;VAR:DATE=20050718&amp;action=UPDATE&amp;creator=factset&amp;DOC_NAME=FAT:FMA_audit_SUMMARY.fat&amp;DISPLAY_STRING=Display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79__FDSAUDITLINK__" hidden="1">{"fdsup://directions/FAT%20Viewer?VAR:PED=LTM&amp;VAR:AUDIT_MODE=SUMMARY&amp;VAR:PERIOD=FIXED&amp;VAR:AUDIT_ID=00000117&amp;VAR:DATE=20050718&amp;action=UPDATE&amp;creator=factset&amp;DOC_NAME=FAT:FMA_audit_SUMMARY.fat&amp;DISPLAY_STRING=Display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__FDSAUDITLINK__" localSheetId="6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8__FDSAUDITLINK__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80__FDSAUDITLINK__" localSheetId="6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0__FDSAUDITLINK__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1__FDSAUDITLINK__" localSheetId="6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1__FDSAUDITLINK__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2__FDSAUDITLINK__" localSheetId="6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2__FDSAUDITLINK__" hidden="1">{"fdsup://directions/FAT%20Viewer?VAR:PED=LTM&amp;VAR:AUDIT_MODE=SUMMARY&amp;VAR:PERIOD=FIXED&amp;VAR:AUDIT_ID=00000117&amp;VAR:DATE=20050715&amp;action=UPDATE&amp;creator=factset&amp;DOC_NAME=FAT:FMA_audit_SUMMARY.fat&amp;DISPLAY_STRING=Display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3__FDSAUDITLINK__" localSheetId="6" hidden="1">{"fdsup://directions/FAT%20Viewer?VAR:PED=LTM&amp;VAR:AUDIT_MODE=SUMMARY&amp;VAR:PERIOD=FIXED&amp;VAR:AUDIT_ID=00000117&amp;VAR:DATE=20050714&amp;action=UPDATE&amp;creator=factset&amp;DOC_NAME=FAT:FMA_audit_SUMMARY.fat&amp;DISPLAY_STRING=Display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3__FDSAUDITLINK__" hidden="1">{"fdsup://directions/FAT%20Viewer?VAR:PED=LTM&amp;VAR:AUDIT_MODE=SUMMARY&amp;VAR:PERIOD=FIXED&amp;VAR:AUDIT_ID=00000117&amp;VAR:DATE=20050714&amp;action=UPDATE&amp;creator=factset&amp;DOC_NAME=FAT:FMA_audit_SUMMARY.fat&amp;DISPLAY_STRING=Display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4__FDSAUDITLINK__" localSheetId="6" hidden="1">{"fdsup://directions/FAT%20Viewer?VAR:PED=LTM&amp;VAR:AUDIT_MODE=SUMMARY&amp;VAR:PERIOD=FIXED&amp;VAR:AUDIT_ID=00000117&amp;VAR:DATE=20050713&amp;action=UPDATE&amp;creator=factset&amp;DOC_NAME=FAT:FMA_audit_SUMMARY.fat&amp;DISPLAY_STRING=Display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4__FDSAUDITLINK__" hidden="1">{"fdsup://directions/FAT%20Viewer?VAR:PED=LTM&amp;VAR:AUDIT_MODE=SUMMARY&amp;VAR:PERIOD=FIXED&amp;VAR:AUDIT_ID=00000117&amp;VAR:DATE=20050713&amp;action=UPDATE&amp;creator=factset&amp;DOC_NAME=FAT:FMA_audit_SUMMARY.fat&amp;DISPLAY_STRING=Display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5__FDSAUDITLINK__" localSheetId="6" hidden="1">{"fdsup://directions/FAT%20Viewer?VAR:PED=LTM&amp;VAR:AUDIT_MODE=SUMMARY&amp;VAR:PERIOD=FIXED&amp;VAR:AUDIT_ID=00000117&amp;VAR:DATE=20050712&amp;action=UPDATE&amp;creator=factset&amp;DOC_NAME=FAT:FMA_audit_SUMMARY.fat&amp;DISPLAY_STRING=Display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5__FDSAUDITLINK__" hidden="1">{"fdsup://directions/FAT%20Viewer?VAR:PED=LTM&amp;VAR:AUDIT_MODE=SUMMARY&amp;VAR:PERIOD=FIXED&amp;VAR:AUDIT_ID=00000117&amp;VAR:DATE=20050712&amp;action=UPDATE&amp;creator=factset&amp;DOC_NAME=FAT:FMA_audit_SUMMARY.fat&amp;DISPLAY_STRING=Display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6__FDSAUDITLINK__" localSheetId="6" hidden="1">{"fdsup://directions/FAT%20Viewer?VAR:PED=LTM&amp;VAR:AUDIT_MODE=SUMMARY&amp;VAR:PERIOD=FIXED&amp;VAR:AUDIT_ID=00000117&amp;VAR:DATE=20050711&amp;action=UPDATE&amp;creator=factset&amp;DOC_NAME=FAT:FMA_audit_SUMMARY.fat&amp;DISPLAY_STRING=Display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6__FDSAUDITLINK__" hidden="1">{"fdsup://directions/FAT%20Viewer?VAR:PED=LTM&amp;VAR:AUDIT_MODE=SUMMARY&amp;VAR:PERIOD=FIXED&amp;VAR:AUDIT_ID=00000117&amp;VAR:DATE=20050711&amp;action=UPDATE&amp;creator=factset&amp;DOC_NAME=FAT:FMA_audit_SUMMARY.fat&amp;DISPLAY_STRING=Display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7__FDSAUDITLINK__" localSheetId="6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7__FDSAUDITLINK__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8__FDSAUDITLINK__" localSheetId="6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8__FDSAUDITLINK__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9__FDSAUDITLINK__" localSheetId="6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89__FDSAUDITLINK__" hidden="1">{"fdsup://directions/FAT%20Viewer?VAR:PED=LTM&amp;VAR:AUDIT_MODE=SUMMARY&amp;VAR:PERIOD=FIXED&amp;VAR:AUDIT_ID=00000117&amp;VAR:DATE=20050708&amp;action=UPDATE&amp;creator=factset&amp;DOC_NAME=FAT:FMA_audit_SUMMARY.fat&amp;DISPLAY_STRING=Display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__FDSAUDITLINK__" localSheetId="6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9__FDSAUDITLINK__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690__FDSAUDITLINK__" localSheetId="6" hidden="1">{"fdsup://directions/FAT%20Viewer?VAR:PED=LTM&amp;VAR:AUDIT_MODE=SUMMARY&amp;VAR:PERIOD=FIXED&amp;VAR:AUDIT_ID=00000117&amp;VAR:DATE=20050707&amp;action=UPDATE&amp;creator=factset&amp;DOC_NAME=FAT:FMA_audit_SUMMARY.fat&amp;DISPLAY_STRING=Display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0__FDSAUDITLINK__" hidden="1">{"fdsup://directions/FAT%20Viewer?VAR:PED=LTM&amp;VAR:AUDIT_MODE=SUMMARY&amp;VAR:PERIOD=FIXED&amp;VAR:AUDIT_ID=00000117&amp;VAR:DATE=20050707&amp;action=UPDATE&amp;creator=factset&amp;DOC_NAME=FAT:FMA_audit_SUMMARY.fat&amp;DISPLAY_STRING=Display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1__FDSAUDITLINK__" localSheetId="6" hidden="1">{"fdsup://directions/FAT%20Viewer?VAR:PED=LTM&amp;VAR:AUDIT_MODE=SUMMARY&amp;VAR:PERIOD=FIXED&amp;VAR:AUDIT_ID=00000117&amp;VAR:DATE=20050706&amp;action=UPDATE&amp;creator=factset&amp;DOC_NAME=FAT:FMA_audit_SUMMARY.fat&amp;DISPLAY_STRING=Display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1__FDSAUDITLINK__" hidden="1">{"fdsup://directions/FAT%20Viewer?VAR:PED=LTM&amp;VAR:AUDIT_MODE=SUMMARY&amp;VAR:PERIOD=FIXED&amp;VAR:AUDIT_ID=00000117&amp;VAR:DATE=20050706&amp;action=UPDATE&amp;creator=factset&amp;DOC_NAME=FAT:FMA_audit_SUMMARY.fat&amp;DISPLAY_STRING=Display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2__FDSAUDITLINK__" localSheetId="6" hidden="1">{"fdsup://directions/FAT%20Viewer?VAR:PED=LTM&amp;VAR:AUDIT_MODE=SUMMARY&amp;VAR:PERIOD=FIXED&amp;VAR:AUDIT_ID=00000117&amp;VAR:DATE=20050705&amp;action=UPDATE&amp;creator=factset&amp;DOC_NAME=FAT:FMA_audit_SUMMARY.fat&amp;DISPLAY_STRING=Display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2__FDSAUDITLINK__" hidden="1">{"fdsup://directions/FAT%20Viewer?VAR:PED=LTM&amp;VAR:AUDIT_MODE=SUMMARY&amp;VAR:PERIOD=FIXED&amp;VAR:AUDIT_ID=00000117&amp;VAR:DATE=20050705&amp;action=UPDATE&amp;creator=factset&amp;DOC_NAME=FAT:FMA_audit_SUMMARY.fat&amp;DISPLAY_STRING=Display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3__FDSAUDITLINK__" localSheetId="6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3__FDSAUDITLINK__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4__FDSAUDITLINK__" localSheetId="6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4__FDSAUDITLINK__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5__FDSAUDITLINK__" localSheetId="6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5__FDSAUDITLINK__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6__FDSAUDITLINK__" localSheetId="6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6__FDSAUDITLINK__" hidden="1">{"fdsup://directions/FAT%20Viewer?VAR:PED=LTM&amp;VAR:AUDIT_MODE=SUMMARY&amp;VAR:PERIOD=FIXED&amp;VAR:AUDIT_ID=00000117&amp;VAR:DATE=20050701&amp;action=UPDATE&amp;creator=factset&amp;DOC_NAME=FAT:FMA_audit_SUMMARY.fat&amp;DISPLAY_STRING=Display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7__FDSAUDITLINK__" localSheetId="6" hidden="1">{"fdsup://directions/FAT%20Viewer?VAR:PED=LTM&amp;VAR:AUDIT_MODE=SUMMARY&amp;VAR:PERIOD=FIXED&amp;VAR:AUDIT_ID=00000117&amp;VAR:DATE=20050630&amp;action=UPDATE&amp;creator=factset&amp;DOC_NAME=FAT:FMA_audit_SUMMARY.fat&amp;DISPLAY_STRING=Display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7__FDSAUDITLINK__" hidden="1">{"fdsup://directions/FAT%20Viewer?VAR:PED=LTM&amp;VAR:AUDIT_MODE=SUMMARY&amp;VAR:PERIOD=FIXED&amp;VAR:AUDIT_ID=00000117&amp;VAR:DATE=20050630&amp;action=UPDATE&amp;creator=factset&amp;DOC_NAME=FAT:FMA_audit_SUMMARY.fat&amp;DISPLAY_STRING=Display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EBITDA&amp;VAR:CHGPERIOD=NA&amp;VAR:FQLFORMULA=FMA_EVAL_EBITDA&amp;VAR:CURRENCY=NA&amp;VAR:P=NA&amp;VAR:V=12.1","82967&amp;VAR:null=.html"}</definedName>
    <definedName name="_1698__FDSAUDITLINK__" localSheetId="6" hidden="1">{"fdsup://directions/FAT%20Viewer?VAR:PED=LTM&amp;VAR:AUDIT_MODE=SUMMARY&amp;VAR:PERIOD=FIXED&amp;VAR:AUDIT_ID=00000117&amp;VAR:DATE=20050629&amp;action=UPDATE&amp;creator=factset&amp;DOC_NAME=FAT:FMA_audit_SUMMARY.fat&amp;DISPLAY_STRING=Display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698__FDSAUDITLINK__" hidden="1">{"fdsup://directions/FAT%20Viewer?VAR:PED=LTM&amp;VAR:AUDIT_MODE=SUMMARY&amp;VAR:PERIOD=FIXED&amp;VAR:AUDIT_ID=00000117&amp;VAR:DATE=20050629&amp;action=UPDATE&amp;creator=factset&amp;DOC_NAME=FAT:FMA_audit_SUMMARY.fat&amp;DISPLAY_STRING=Display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699__FDSAUDITLINK__" localSheetId="6" hidden="1">{"fdsup://directions/FAT%20Viewer?VAR:PED=LTM&amp;VAR:AUDIT_MODE=SUMMARY&amp;VAR:PERIOD=FIXED&amp;VAR:AUDIT_ID=00000117&amp;VAR:DATE=20050628&amp;action=UPDATE&amp;creator=factset&amp;DOC_NAME=FAT:FMA_audit_SUMMARY.fat&amp;DISPLAY_STRING=Display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699__FDSAUDITLINK__" hidden="1">{"fdsup://directions/FAT%20Viewer?VAR:PED=LTM&amp;VAR:AUDIT_MODE=SUMMARY&amp;VAR:PERIOD=FIXED&amp;VAR:AUDIT_ID=00000117&amp;VAR:DATE=20050628&amp;action=UPDATE&amp;creator=factset&amp;DOC_NAME=FAT:FMA_audit_SUMMARY.fat&amp;DISPLAY_STRING=Display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__FDSAUDITLINK__" localSheetId="6" hidden="1">{"fdsup://directions/FAT Viewer?action=UPDATE&amp;creator=factset&amp;DYN_ARGS=TRUE&amp;DOC_NAME=FAT:FQL_AUDITING_CLIENT_TEMPLATE.FAT&amp;display_string=Audit&amp;VAR:KEY=JYZKHKTAJM&amp;VAR:QUERY=QVZHKENTRl9ORVRfSU5DKEFOTiwwRlksLTZGWSxZKSkgLyAoQVZHKENTRl9BU1NFVFMoQU5OLDBGWSwtNkZZL","EZZKSkgLSBBVkcoQ1NGX0lOVEFORyhBTk4sMCwtNkZZLEZZKSkp&amp;WINDOW=FIRST_POPUP&amp;HEIGHT=450&amp;WIDTH=450&amp;START_MAXIMIZED=FALSE&amp;VAR:CALENDAR=US&amp;VAR:SYMBOL=USAK"}</definedName>
    <definedName name="_17__FDSAUDITLINK__" hidden="1">{"fdsup://directions/FAT Viewer?action=UPDATE&amp;creator=factset&amp;DYN_ARGS=TRUE&amp;DOC_NAME=FAT:FQL_AUDITING_CLIENT_TEMPLATE.FAT&amp;display_string=Audit&amp;VAR:KEY=JYZKHKTAJM&amp;VAR:QUERY=QVZHKENTRl9ORVRfSU5DKEFOTiwwRlksLTZGWSxZKSkgLyAoQVZHKENTRl9BU1NFVFMoQU5OLDBGWSwtNkZZL","EZZKSkgLSBBVkcoQ1NGX0lOVEFORyhBTk4sMCwtNkZZLEZZKSkp&amp;WINDOW=FIRST_POPUP&amp;HEIGHT=450&amp;WIDTH=450&amp;START_MAXIMIZED=FALSE&amp;VAR:CALENDAR=US&amp;VAR:SYMBOL=USAK"}</definedName>
    <definedName name="_170__FDSAUDITLINK__" localSheetId="6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0__FDSAUDITLINK__" hidden="1">{"fdsup://directions/FAT%20Viewer?VAR:PED=LTM&amp;VAR:AUDIT_MODE=SUMMARY&amp;VAR:PERIOD=FIXED&amp;VAR:AUDIT_ID=00000117&amp;VAR:DATE=20090904&amp;action=UPDATE&amp;creator=factset&amp;DOC_NAME=FAT:FMA_audit_SUMMARY.fat&amp;DISPLAY_STRING=Display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00__FDSAUDITLINK__" localSheetId="6" hidden="1">{"fdsup://directions/FAT%20Viewer?VAR:PED=LTM&amp;VAR:AUDIT_MODE=SUMMARY&amp;VAR:PERIOD=FIXED&amp;VAR:AUDIT_ID=00000117&amp;VAR:DATE=20050627&amp;action=UPDATE&amp;creator=factset&amp;DOC_NAME=FAT:FMA_audit_SUMMARY.fat&amp;DISPLAY_STRING=Display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0__FDSAUDITLINK__" hidden="1">{"fdsup://directions/FAT%20Viewer?VAR:PED=LTM&amp;VAR:AUDIT_MODE=SUMMARY&amp;VAR:PERIOD=FIXED&amp;VAR:AUDIT_ID=00000117&amp;VAR:DATE=20050627&amp;action=UPDATE&amp;creator=factset&amp;DOC_NAME=FAT:FMA_audit_SUMMARY.fat&amp;DISPLAY_STRING=Display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1__FDSAUDITLINK__" localSheetId="6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1__FDSAUDITLINK__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2__FDSAUDITLINK__" localSheetId="6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2__FDSAUDITLINK__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3__FDSAUDITLINK__" localSheetId="6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3__FDSAUDITLINK__" hidden="1">{"fdsup://directions/FAT%20Viewer?VAR:PED=LTM&amp;VAR:AUDIT_MODE=SUMMARY&amp;VAR:PERIOD=FIXED&amp;VAR:AUDIT_ID=00000117&amp;VAR:DATE=20050624&amp;action=UPDATE&amp;creator=factset&amp;DOC_NAME=FAT:FMA_audit_SUMMARY.fat&amp;DISPLAY_STRING=Display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4__FDSAUDITLINK__" localSheetId="6" hidden="1">{"fdsup://directions/FAT%20Viewer?VAR:PED=LTM&amp;VAR:AUDIT_MODE=SUMMARY&amp;VAR:PERIOD=FIXED&amp;VAR:AUDIT_ID=00000117&amp;VAR:DATE=20050623&amp;action=UPDATE&amp;creator=factset&amp;DOC_NAME=FAT:FMA_audit_SUMMARY.fat&amp;DISPLAY_STRING=Display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4__FDSAUDITLINK__" hidden="1">{"fdsup://directions/FAT%20Viewer?VAR:PED=LTM&amp;VAR:AUDIT_MODE=SUMMARY&amp;VAR:PERIOD=FIXED&amp;VAR:AUDIT_ID=00000117&amp;VAR:DATE=20050623&amp;action=UPDATE&amp;creator=factset&amp;DOC_NAME=FAT:FMA_audit_SUMMARY.fat&amp;DISPLAY_STRING=Display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5__FDSAUDITLINK__" localSheetId="6" hidden="1">{"fdsup://directions/FAT%20Viewer?VAR:PED=LTM&amp;VAR:AUDIT_MODE=SUMMARY&amp;VAR:PERIOD=FIXED&amp;VAR:AUDIT_ID=00000117&amp;VAR:DATE=20050622&amp;action=UPDATE&amp;creator=factset&amp;DOC_NAME=FAT:FMA_audit_SUMMARY.fat&amp;DISPLAY_STRING=Display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5__FDSAUDITLINK__" hidden="1">{"fdsup://directions/FAT%20Viewer?VAR:PED=LTM&amp;VAR:AUDIT_MODE=SUMMARY&amp;VAR:PERIOD=FIXED&amp;VAR:AUDIT_ID=00000117&amp;VAR:DATE=20050622&amp;action=UPDATE&amp;creator=factset&amp;DOC_NAME=FAT:FMA_audit_SUMMARY.fat&amp;DISPLAY_STRING=Display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6__FDSAUDITLINK__" localSheetId="6" hidden="1">{"fdsup://directions/FAT%20Viewer?VAR:PED=LTM&amp;VAR:AUDIT_MODE=SUMMARY&amp;VAR:PERIOD=FIXED&amp;VAR:AUDIT_ID=00000117&amp;VAR:DATE=20050621&amp;action=UPDATE&amp;creator=factset&amp;DOC_NAME=FAT:FMA_audit_SUMMARY.fat&amp;DISPLAY_STRING=Display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6__FDSAUDITLINK__" hidden="1">{"fdsup://directions/FAT%20Viewer?VAR:PED=LTM&amp;VAR:AUDIT_MODE=SUMMARY&amp;VAR:PERIOD=FIXED&amp;VAR:AUDIT_ID=00000117&amp;VAR:DATE=20050621&amp;action=UPDATE&amp;creator=factset&amp;DOC_NAME=FAT:FMA_audit_SUMMARY.fat&amp;DISPLAY_STRING=Display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7__FDSAUDITLINK__" localSheetId="6" hidden="1">{"fdsup://directions/FAT%20Viewer?VAR:PED=LTM&amp;VAR:AUDIT_MODE=SUMMARY&amp;VAR:PERIOD=FIXED&amp;VAR:AUDIT_ID=00000117&amp;VAR:DATE=20050620&amp;action=UPDATE&amp;creator=factset&amp;DOC_NAME=FAT:FMA_audit_SUMMARY.fat&amp;DISPLAY_STRING=Display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7__FDSAUDITLINK__" hidden="1">{"fdsup://directions/FAT%20Viewer?VAR:PED=LTM&amp;VAR:AUDIT_MODE=SUMMARY&amp;VAR:PERIOD=FIXED&amp;VAR:AUDIT_ID=00000117&amp;VAR:DATE=20050620&amp;action=UPDATE&amp;creator=factset&amp;DOC_NAME=FAT:FMA_audit_SUMMARY.fat&amp;DISPLAY_STRING=Display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8__FDSAUDITLINK__" localSheetId="6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8__FDSAUDITLINK__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9__FDSAUDITLINK__" localSheetId="6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09__FDSAUDITLINK__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__FDSAUDITLINK__" localSheetId="6" hidden="1">{"fdsup://directions/FAT%20Viewer?VAR:PED=LTM&amp;VAR:AUDIT_MODE=SUMMARY&amp;VAR:PERIOD=FIXED&amp;VAR:AUDIT_ID=00000117&amp;VAR:DATE=20090903&amp;action=UPDATE&amp;creator=factset&amp;DOC_NAME=FAT:FMA_audit_SUMMARY.fat&amp;DISPLAY_STRING=Display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1__FDSAUDITLINK__" hidden="1">{"fdsup://directions/FAT%20Viewer?VAR:PED=LTM&amp;VAR:AUDIT_MODE=SUMMARY&amp;VAR:PERIOD=FIXED&amp;VAR:AUDIT_ID=00000117&amp;VAR:DATE=20090903&amp;action=UPDATE&amp;creator=factset&amp;DOC_NAME=FAT:FMA_audit_SUMMARY.fat&amp;DISPLAY_STRING=Display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10__FDSAUDITLINK__" localSheetId="6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0__FDSAUDITLINK__" hidden="1">{"fdsup://directions/FAT%20Viewer?VAR:PED=LTM&amp;VAR:AUDIT_MODE=SUMMARY&amp;VAR:PERIOD=FIXED&amp;VAR:AUDIT_ID=00000117&amp;VAR:DATE=20050617&amp;action=UPDATE&amp;creator=factset&amp;DOC_NAME=FAT:FMA_audit_SUMMARY.fat&amp;DISPLAY_STRING=Display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1__FDSAUDITLINK__" localSheetId="6" hidden="1">{"fdsup://directions/FAT%20Viewer?VAR:PED=LTM&amp;VAR:AUDIT_MODE=SUMMARY&amp;VAR:PERIOD=FIXED&amp;VAR:AUDIT_ID=00000117&amp;VAR:DATE=20050616&amp;action=UPDATE&amp;creator=factset&amp;DOC_NAME=FAT:FMA_audit_SUMMARY.fat&amp;DISPLAY_STRING=Display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1__FDSAUDITLINK__" hidden="1">{"fdsup://directions/FAT%20Viewer?VAR:PED=LTM&amp;VAR:AUDIT_MODE=SUMMARY&amp;VAR:PERIOD=FIXED&amp;VAR:AUDIT_ID=00000117&amp;VAR:DATE=20050616&amp;action=UPDATE&amp;creator=factset&amp;DOC_NAME=FAT:FMA_audit_SUMMARY.fat&amp;DISPLAY_STRING=Display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2__FDSAUDITLINK__" localSheetId="6" hidden="1">{"fdsup://directions/FAT%20Viewer?VAR:PED=LTM&amp;VAR:AUDIT_MODE=SUMMARY&amp;VAR:PERIOD=FIXED&amp;VAR:AUDIT_ID=00000117&amp;VAR:DATE=20050615&amp;action=UPDATE&amp;creator=factset&amp;DOC_NAME=FAT:FMA_audit_SUMMARY.fat&amp;DISPLAY_STRING=Display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2__FDSAUDITLINK__" hidden="1">{"fdsup://directions/FAT%20Viewer?VAR:PED=LTM&amp;VAR:AUDIT_MODE=SUMMARY&amp;VAR:PERIOD=FIXED&amp;VAR:AUDIT_ID=00000117&amp;VAR:DATE=20050615&amp;action=UPDATE&amp;creator=factset&amp;DOC_NAME=FAT:FMA_audit_SUMMARY.fat&amp;DISPLAY_STRING=Display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3__FDSAUDITLINK__" localSheetId="6" hidden="1">{"fdsup://directions/FAT%20Viewer?VAR:PED=LTM&amp;VAR:AUDIT_MODE=SUMMARY&amp;VAR:PERIOD=FIXED&amp;VAR:AUDIT_ID=00000117&amp;VAR:DATE=20050614&amp;action=UPDATE&amp;creator=factset&amp;DOC_NAME=FAT:FMA_audit_SUMMARY.fat&amp;DISPLAY_STRING=Display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3__FDSAUDITLINK__" hidden="1">{"fdsup://directions/FAT%20Viewer?VAR:PED=LTM&amp;VAR:AUDIT_MODE=SUMMARY&amp;VAR:PERIOD=FIXED&amp;VAR:AUDIT_ID=00000117&amp;VAR:DATE=20050614&amp;action=UPDATE&amp;creator=factset&amp;DOC_NAME=FAT:FMA_audit_SUMMARY.fat&amp;DISPLAY_STRING=Display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4__FDSAUDITLINK__" localSheetId="6" hidden="1">{"fdsup://directions/FAT%20Viewer?VAR:PED=LTM&amp;VAR:AUDIT_MODE=SUMMARY&amp;VAR:PERIOD=FIXED&amp;VAR:AUDIT_ID=00000117&amp;VAR:DATE=20050613&amp;action=UPDATE&amp;creator=factset&amp;DOC_NAME=FAT:FMA_audit_SUMMARY.fat&amp;DISPLAY_STRING=Display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4__FDSAUDITLINK__" hidden="1">{"fdsup://directions/FAT%20Viewer?VAR:PED=LTM&amp;VAR:AUDIT_MODE=SUMMARY&amp;VAR:PERIOD=FIXED&amp;VAR:AUDIT_ID=00000117&amp;VAR:DATE=20050613&amp;action=UPDATE&amp;creator=factset&amp;DOC_NAME=FAT:FMA_audit_SUMMARY.fat&amp;DISPLAY_STRING=Display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5__FDSAUDITLINK__" localSheetId="6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5__FDSAUDITLINK__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6__FDSAUDITLINK__" localSheetId="6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6__FDSAUDITLINK__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7__FDSAUDITLINK__" localSheetId="6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7__FDSAUDITLINK__" hidden="1">{"fdsup://directions/FAT%20Viewer?VAR:PED=LTM&amp;VAR:AUDIT_MODE=SUMMARY&amp;VAR:PERIOD=FIXED&amp;VAR:AUDIT_ID=00000117&amp;VAR:DATE=20050610&amp;action=UPDATE&amp;creator=factset&amp;DOC_NAME=FAT:FMA_audit_SUMMARY.fat&amp;DISPLAY_STRING=Display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8__FDSAUDITLINK__" localSheetId="6" hidden="1">{"fdsup://directions/FAT%20Viewer?VAR:PED=LTM&amp;VAR:AUDIT_MODE=SUMMARY&amp;VAR:PERIOD=FIXED&amp;VAR:AUDIT_ID=00000117&amp;VAR:DATE=20050609&amp;action=UPDATE&amp;creator=factset&amp;DOC_NAME=FAT:FMA_audit_SUMMARY.fat&amp;DISPLAY_STRING=Display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8__FDSAUDITLINK__" hidden="1">{"fdsup://directions/FAT%20Viewer?VAR:PED=LTM&amp;VAR:AUDIT_MODE=SUMMARY&amp;VAR:PERIOD=FIXED&amp;VAR:AUDIT_ID=00000117&amp;VAR:DATE=20050609&amp;action=UPDATE&amp;creator=factset&amp;DOC_NAME=FAT:FMA_audit_SUMMARY.fat&amp;DISPLAY_STRING=Display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9__FDSAUDITLINK__" localSheetId="6" hidden="1">{"fdsup://directions/FAT%20Viewer?VAR:PED=LTM&amp;VAR:AUDIT_MODE=SUMMARY&amp;VAR:PERIOD=FIXED&amp;VAR:AUDIT_ID=00000117&amp;VAR:DATE=20050608&amp;action=UPDATE&amp;creator=factset&amp;DOC_NAME=FAT:FMA_audit_SUMMARY.fat&amp;DISPLAY_STRING=Display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19__FDSAUDITLINK__" hidden="1">{"fdsup://directions/FAT%20Viewer?VAR:PED=LTM&amp;VAR:AUDIT_MODE=SUMMARY&amp;VAR:PERIOD=FIXED&amp;VAR:AUDIT_ID=00000117&amp;VAR:DATE=20050608&amp;action=UPDATE&amp;creator=factset&amp;DOC_NAME=FAT:FMA_audit_SUMMARY.fat&amp;DISPLAY_STRING=Display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__FDSAUDITLINK__" localSheetId="6" hidden="1">{"fdsup://directions/FAT%20Viewer?VAR:PED=LTM&amp;VAR:AUDIT_MODE=SUMMARY&amp;VAR:PERIOD=FIXED&amp;VAR:AUDIT_ID=00000117&amp;VAR:DATE=20090902&amp;action=UPDATE&amp;creator=factset&amp;DOC_NAME=FAT:FMA_audit_SUMMARY.fat&amp;DISPLAY_STRING=Display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2__FDSAUDITLINK__" hidden="1">{"fdsup://directions/FAT%20Viewer?VAR:PED=LTM&amp;VAR:AUDIT_MODE=SUMMARY&amp;VAR:PERIOD=FIXED&amp;VAR:AUDIT_ID=00000117&amp;VAR:DATE=20090902&amp;action=UPDATE&amp;creator=factset&amp;DOC_NAME=FAT:FMA_audit_SUMMARY.fat&amp;DISPLAY_STRING=Display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20__FDSAUDITLINK__" localSheetId="6" hidden="1">{"fdsup://directions/FAT%20Viewer?VAR:PED=LTM&amp;VAR:AUDIT_MODE=SUMMARY&amp;VAR:PERIOD=FIXED&amp;VAR:AUDIT_ID=00000117&amp;VAR:DATE=20050607&amp;action=UPDATE&amp;creator=factset&amp;DOC_NAME=FAT:FMA_audit_SUMMARY.fat&amp;DISPLAY_STRING=Display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0__FDSAUDITLINK__" hidden="1">{"fdsup://directions/FAT%20Viewer?VAR:PED=LTM&amp;VAR:AUDIT_MODE=SUMMARY&amp;VAR:PERIOD=FIXED&amp;VAR:AUDIT_ID=00000117&amp;VAR:DATE=20050607&amp;action=UPDATE&amp;creator=factset&amp;DOC_NAME=FAT:FMA_audit_SUMMARY.fat&amp;DISPLAY_STRING=Display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1__FDSAUDITLINK__" localSheetId="6" hidden="1">{"fdsup://directions/FAT%20Viewer?VAR:PED=LTM&amp;VAR:AUDIT_MODE=SUMMARY&amp;VAR:PERIOD=FIXED&amp;VAR:AUDIT_ID=00000117&amp;VAR:DATE=20050606&amp;action=UPDATE&amp;creator=factset&amp;DOC_NAME=FAT:FMA_audit_SUMMARY.fat&amp;DISPLAY_STRING=Display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1__FDSAUDITLINK__" hidden="1">{"fdsup://directions/FAT%20Viewer?VAR:PED=LTM&amp;VAR:AUDIT_MODE=SUMMARY&amp;VAR:PERIOD=FIXED&amp;VAR:AUDIT_ID=00000117&amp;VAR:DATE=20050606&amp;action=UPDATE&amp;creator=factset&amp;DOC_NAME=FAT:FMA_audit_SUMMARY.fat&amp;DISPLAY_STRING=Display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2__FDSAUDITLINK__" localSheetId="6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2__FDSAUDITLINK__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3__FDSAUDITLINK__" localSheetId="6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3__FDSAUDITLINK__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4__FDSAUDITLINK__" localSheetId="6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4__FDSAUDITLINK__" hidden="1">{"fdsup://directions/FAT%20Viewer?VAR:PED=LTM&amp;VAR:AUDIT_MODE=SUMMARY&amp;VAR:PERIOD=FIXED&amp;VAR:AUDIT_ID=00000117&amp;VAR:DATE=20050603&amp;action=UPDATE&amp;creator=factset&amp;DOC_NAME=FAT:FMA_audit_SUMMARY.fat&amp;DISPLAY_STRING=Display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5__FDSAUDITLINK__" localSheetId="6" hidden="1">{"fdsup://directions/FAT%20Viewer?VAR:PED=LTM&amp;VAR:AUDIT_MODE=SUMMARY&amp;VAR:PERIOD=FIXED&amp;VAR:AUDIT_ID=00000117&amp;VAR:DATE=20050602&amp;action=UPDATE&amp;creator=factset&amp;DOC_NAME=FAT:FMA_audit_SUMMARY.fat&amp;DISPLAY_STRING=Display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5__FDSAUDITLINK__" hidden="1">{"fdsup://directions/FAT%20Viewer?VAR:PED=LTM&amp;VAR:AUDIT_MODE=SUMMARY&amp;VAR:PERIOD=FIXED&amp;VAR:AUDIT_ID=00000117&amp;VAR:DATE=20050602&amp;action=UPDATE&amp;creator=factset&amp;DOC_NAME=FAT:FMA_audit_SUMMARY.fat&amp;DISPLAY_STRING=Display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6__FDSAUDITLINK__" localSheetId="6" hidden="1">{"fdsup://directions/FAT%20Viewer?VAR:PED=LTM&amp;VAR:AUDIT_MODE=SUMMARY&amp;VAR:PERIOD=FIXED&amp;VAR:AUDIT_ID=00000117&amp;VAR:DATE=20050601&amp;action=UPDATE&amp;creator=factset&amp;DOC_NAME=FAT:FMA_audit_SUMMARY.fat&amp;DISPLAY_STRING=Display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6__FDSAUDITLINK__" hidden="1">{"fdsup://directions/FAT%20Viewer?VAR:PED=LTM&amp;VAR:AUDIT_MODE=SUMMARY&amp;VAR:PERIOD=FIXED&amp;VAR:AUDIT_ID=00000117&amp;VAR:DATE=20050601&amp;action=UPDATE&amp;creator=factset&amp;DOC_NAME=FAT:FMA_audit_SUMMARY.fat&amp;DISPLAY_STRING=Display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7__FDSAUDITLINK__" localSheetId="6" hidden="1">{"fdsup://directions/FAT%20Viewer?VAR:PED=LTM&amp;VAR:AUDIT_MODE=SUMMARY&amp;VAR:PERIOD=FIXED&amp;VAR:AUDIT_ID=00000117&amp;VAR:DATE=20050531&amp;action=UPDATE&amp;creator=factset&amp;DOC_NAME=FAT:FMA_audit_SUMMARY.fat&amp;DISPLAY_STRING=Display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7__FDSAUDITLINK__" hidden="1">{"fdsup://directions/FAT%20Viewer?VAR:PED=LTM&amp;VAR:AUDIT_MODE=SUMMARY&amp;VAR:PERIOD=FIXED&amp;VAR:AUDIT_ID=00000117&amp;VAR:DATE=20050531&amp;action=UPDATE&amp;creator=factset&amp;DOC_NAME=FAT:FMA_audit_SUMMARY.fat&amp;DISPLAY_STRING=Display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EBITDA&amp;VAR:CHGPERIOD=NA&amp;VAR:FQLFORMULA=FMA_EVAL_EBITDA&amp;VAR:CURRENCY=NA&amp;VAR:P=NA&amp;VAR:V=12.2","33029&amp;VAR:null=.html"}</definedName>
    <definedName name="_1728__FDSAUDITLINK__" localSheetId="6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28__FDSAUDITLINK__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29__FDSAUDITLINK__" localSheetId="6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29__FDSAUDITLINK__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__FDSAUDITLINK__" localSheetId="6" hidden="1">{"fdsup://directions/FAT%20Viewer?VAR:PED=LTM&amp;VAR:AUDIT_MODE=SUMMARY&amp;VAR:PERIOD=FIXED&amp;VAR:AUDIT_ID=00000117&amp;VAR:DATE=20090901&amp;action=UPDATE&amp;creator=factset&amp;DOC_NAME=FAT:FMA_audit_SUMMARY.fat&amp;DISPLAY_STRING=Display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3__FDSAUDITLINK__" hidden="1">{"fdsup://directions/FAT%20Viewer?VAR:PED=LTM&amp;VAR:AUDIT_MODE=SUMMARY&amp;VAR:PERIOD=FIXED&amp;VAR:AUDIT_ID=00000117&amp;VAR:DATE=20090901&amp;action=UPDATE&amp;creator=factset&amp;DOC_NAME=FAT:FMA_audit_SUMMARY.fat&amp;DISPLAY_STRING=Display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30__FDSAUDITLINK__" localSheetId="6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0__FDSAUDITLINK__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1__FDSAUDITLINK__" localSheetId="6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1__FDSAUDITLINK__" hidden="1">{"fdsup://directions/FAT%20Viewer?VAR:PED=LTM&amp;VAR:AUDIT_MODE=SUMMARY&amp;VAR:PERIOD=FIXED&amp;VAR:AUDIT_ID=00000117&amp;VAR:DATE=20050527&amp;action=UPDATE&amp;creator=factset&amp;DOC_NAME=FAT:FMA_audit_SUMMARY.fat&amp;DISPLAY_STRING=Display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2__FDSAUDITLINK__" localSheetId="6" hidden="1">{"fdsup://directions/FAT%20Viewer?VAR:PED=LTM&amp;VAR:AUDIT_MODE=SUMMARY&amp;VAR:PERIOD=FIXED&amp;VAR:AUDIT_ID=00000117&amp;VAR:DATE=20050526&amp;action=UPDATE&amp;creator=factset&amp;DOC_NAME=FAT:FMA_audit_SUMMARY.fat&amp;DISPLAY_STRING=Display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2__FDSAUDITLINK__" hidden="1">{"fdsup://directions/FAT%20Viewer?VAR:PED=LTM&amp;VAR:AUDIT_MODE=SUMMARY&amp;VAR:PERIOD=FIXED&amp;VAR:AUDIT_ID=00000117&amp;VAR:DATE=20050526&amp;action=UPDATE&amp;creator=factset&amp;DOC_NAME=FAT:FMA_audit_SUMMARY.fat&amp;DISPLAY_STRING=Display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3__FDSAUDITLINK__" localSheetId="6" hidden="1">{"fdsup://directions/FAT%20Viewer?VAR:PED=LTM&amp;VAR:AUDIT_MODE=SUMMARY&amp;VAR:PERIOD=FIXED&amp;VAR:AUDIT_ID=00000117&amp;VAR:DATE=20050525&amp;action=UPDATE&amp;creator=factset&amp;DOC_NAME=FAT:FMA_audit_SUMMARY.fat&amp;DISPLAY_STRING=Display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3__FDSAUDITLINK__" hidden="1">{"fdsup://directions/FAT%20Viewer?VAR:PED=LTM&amp;VAR:AUDIT_MODE=SUMMARY&amp;VAR:PERIOD=FIXED&amp;VAR:AUDIT_ID=00000117&amp;VAR:DATE=20050525&amp;action=UPDATE&amp;creator=factset&amp;DOC_NAME=FAT:FMA_audit_SUMMARY.fat&amp;DISPLAY_STRING=Display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4__FDSAUDITLINK__" localSheetId="6" hidden="1">{"fdsup://directions/FAT%20Viewer?VAR:PED=LTM&amp;VAR:AUDIT_MODE=SUMMARY&amp;VAR:PERIOD=FIXED&amp;VAR:AUDIT_ID=00000117&amp;VAR:DATE=20050524&amp;action=UPDATE&amp;creator=factset&amp;DOC_NAME=FAT:FMA_audit_SUMMARY.fat&amp;DISPLAY_STRING=Display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4__FDSAUDITLINK__" hidden="1">{"fdsup://directions/FAT%20Viewer?VAR:PED=LTM&amp;VAR:AUDIT_MODE=SUMMARY&amp;VAR:PERIOD=FIXED&amp;VAR:AUDIT_ID=00000117&amp;VAR:DATE=20050524&amp;action=UPDATE&amp;creator=factset&amp;DOC_NAME=FAT:FMA_audit_SUMMARY.fat&amp;DISPLAY_STRING=Display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5__FDSAUDITLINK__" localSheetId="6" hidden="1">{"fdsup://directions/FAT%20Viewer?VAR:PED=LTM&amp;VAR:AUDIT_MODE=SUMMARY&amp;VAR:PERIOD=FIXED&amp;VAR:AUDIT_ID=00000117&amp;VAR:DATE=20050523&amp;action=UPDATE&amp;creator=factset&amp;DOC_NAME=FAT:FMA_audit_SUMMARY.fat&amp;DISPLAY_STRING=Display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5__FDSAUDITLINK__" hidden="1">{"fdsup://directions/FAT%20Viewer?VAR:PED=LTM&amp;VAR:AUDIT_MODE=SUMMARY&amp;VAR:PERIOD=FIXED&amp;VAR:AUDIT_ID=00000117&amp;VAR:DATE=20050523&amp;action=UPDATE&amp;creator=factset&amp;DOC_NAME=FAT:FMA_audit_SUMMARY.fat&amp;DISPLAY_STRING=Display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6__FDSAUDITLINK__" localSheetId="6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6__FDSAUDITLINK__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7__FDSAUDITLINK__" localSheetId="6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7__FDSAUDITLINK__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8__FDSAUDITLINK__" localSheetId="6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8__FDSAUDITLINK__" hidden="1">{"fdsup://directions/FAT%20Viewer?VAR:PED=LTM&amp;VAR:AUDIT_MODE=SUMMARY&amp;VAR:PERIOD=FIXED&amp;VAR:AUDIT_ID=00000117&amp;VAR:DATE=20050520&amp;action=UPDATE&amp;creator=factset&amp;DOC_NAME=FAT:FMA_audit_SUMMARY.fat&amp;DISPLAY_STRING=Display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9__FDSAUDITLINK__" localSheetId="6" hidden="1">{"fdsup://directions/FAT%20Viewer?VAR:PED=LTM&amp;VAR:AUDIT_MODE=SUMMARY&amp;VAR:PERIOD=FIXED&amp;VAR:AUDIT_ID=00000117&amp;VAR:DATE=20050519&amp;action=UPDATE&amp;creator=factset&amp;DOC_NAME=FAT:FMA_audit_SUMMARY.fat&amp;DISPLAY_STRING=Display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39__FDSAUDITLINK__" hidden="1">{"fdsup://directions/FAT%20Viewer?VAR:PED=LTM&amp;VAR:AUDIT_MODE=SUMMARY&amp;VAR:PERIOD=FIXED&amp;VAR:AUDIT_ID=00000117&amp;VAR:DATE=20050519&amp;action=UPDATE&amp;creator=factset&amp;DOC_NAME=FAT:FMA_audit_SUMMARY.fat&amp;DISPLAY_STRING=Display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__FDSAUDITLINK__" localSheetId="6" hidden="1">{"fdsup://directions/FAT%20Viewer?VAR:PED=LTM&amp;VAR:AUDIT_MODE=SUMMARY&amp;VAR:PERIOD=FIXED&amp;VAR:AUDIT_ID=00000117&amp;VAR:DATE=20090831&amp;action=UPDATE&amp;creator=factset&amp;DOC_NAME=FAT:FMA_audit_SUMMARY.fat&amp;DISPLAY_STRING=Display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4__FDSAUDITLINK__" hidden="1">{"fdsup://directions/FAT%20Viewer?VAR:PED=LTM&amp;VAR:AUDIT_MODE=SUMMARY&amp;VAR:PERIOD=FIXED&amp;VAR:AUDIT_ID=00000117&amp;VAR:DATE=20090831&amp;action=UPDATE&amp;creator=factset&amp;DOC_NAME=FAT:FMA_audit_SUMMARY.fat&amp;DISPLAY_STRING=Display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EBITDA&amp;VAR:CHGPERIOD=NA&amp;VAR:FQLFORMULA=FMA_EVAL_EBITDA&amp;VAR:CURRENCY=NA&amp;VAR:P=NA&amp;VAR:V=10.2","87559&amp;VAR:null=.html"}</definedName>
    <definedName name="_1740__FDSAUDITLINK__" localSheetId="6" hidden="1">{"fdsup://directions/FAT%20Viewer?VAR:PED=LTM&amp;VAR:AUDIT_MODE=SUMMARY&amp;VAR:PERIOD=FIXED&amp;VAR:AUDIT_ID=00000117&amp;VAR:DATE=20050518&amp;action=UPDATE&amp;creator=factset&amp;DOC_NAME=FAT:FMA_audit_SUMMARY.fat&amp;DISPLAY_STRING=Display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0__FDSAUDITLINK__" hidden="1">{"fdsup://directions/FAT%20Viewer?VAR:PED=LTM&amp;VAR:AUDIT_MODE=SUMMARY&amp;VAR:PERIOD=FIXED&amp;VAR:AUDIT_ID=00000117&amp;VAR:DATE=20050518&amp;action=UPDATE&amp;creator=factset&amp;DOC_NAME=FAT:FMA_audit_SUMMARY.fat&amp;DISPLAY_STRING=Display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1__FDSAUDITLINK__" localSheetId="6" hidden="1">{"fdsup://directions/FAT%20Viewer?VAR:PED=LTM&amp;VAR:AUDIT_MODE=SUMMARY&amp;VAR:PERIOD=FIXED&amp;VAR:AUDIT_ID=00000117&amp;VAR:DATE=20050517&amp;action=UPDATE&amp;creator=factset&amp;DOC_NAME=FAT:FMA_audit_SUMMARY.fat&amp;DISPLAY_STRING=Display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1__FDSAUDITLINK__" hidden="1">{"fdsup://directions/FAT%20Viewer?VAR:PED=LTM&amp;VAR:AUDIT_MODE=SUMMARY&amp;VAR:PERIOD=FIXED&amp;VAR:AUDIT_ID=00000117&amp;VAR:DATE=20050517&amp;action=UPDATE&amp;creator=factset&amp;DOC_NAME=FAT:FMA_audit_SUMMARY.fat&amp;DISPLAY_STRING=Display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2__FDSAUDITLINK__" localSheetId="6" hidden="1">{"fdsup://directions/FAT%20Viewer?VAR:PED=LTM&amp;VAR:AUDIT_MODE=SUMMARY&amp;VAR:PERIOD=FIXED&amp;VAR:AUDIT_ID=00000117&amp;VAR:DATE=20050516&amp;action=UPDATE&amp;creator=factset&amp;DOC_NAME=FAT:FMA_audit_SUMMARY.fat&amp;DISPLAY_STRING=Display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2__FDSAUDITLINK__" hidden="1">{"fdsup://directions/FAT%20Viewer?VAR:PED=LTM&amp;VAR:AUDIT_MODE=SUMMARY&amp;VAR:PERIOD=FIXED&amp;VAR:AUDIT_ID=00000117&amp;VAR:DATE=20050516&amp;action=UPDATE&amp;creator=factset&amp;DOC_NAME=FAT:FMA_audit_SUMMARY.fat&amp;DISPLAY_STRING=Display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3__FDSAUDITLINK__" localSheetId="6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3__FDSAUDITLINK__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4__FDSAUDITLINK__" localSheetId="6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4__FDSAUDITLINK__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5__FDSAUDITLINK__" localSheetId="6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5__FDSAUDITLINK__" hidden="1">{"fdsup://directions/FAT%20Viewer?VAR:PED=LTM&amp;VAR:AUDIT_MODE=SUMMARY&amp;VAR:PERIOD=FIXED&amp;VAR:AUDIT_ID=00000117&amp;VAR:DATE=20050513&amp;action=UPDATE&amp;creator=factset&amp;DOC_NAME=FAT:FMA_audit_SUMMARY.fat&amp;DISPLAY_STRING=Display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6__FDSAUDITLINK__" localSheetId="6" hidden="1">{"fdsup://directions/FAT%20Viewer?VAR:PED=LTM&amp;VAR:AUDIT_MODE=SUMMARY&amp;VAR:PERIOD=FIXED&amp;VAR:AUDIT_ID=00000117&amp;VAR:DATE=20050512&amp;action=UPDATE&amp;creator=factset&amp;DOC_NAME=FAT:FMA_audit_SUMMARY.fat&amp;DISPLAY_STRING=Display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6__FDSAUDITLINK__" hidden="1">{"fdsup://directions/FAT%20Viewer?VAR:PED=LTM&amp;VAR:AUDIT_MODE=SUMMARY&amp;VAR:PERIOD=FIXED&amp;VAR:AUDIT_ID=00000117&amp;VAR:DATE=20050512&amp;action=UPDATE&amp;creator=factset&amp;DOC_NAME=FAT:FMA_audit_SUMMARY.fat&amp;DISPLAY_STRING=Display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7__FDSAUDITLINK__" localSheetId="6" hidden="1">{"fdsup://directions/FAT%20Viewer?VAR:PED=LTM&amp;VAR:AUDIT_MODE=SUMMARY&amp;VAR:PERIOD=FIXED&amp;VAR:AUDIT_ID=00000117&amp;VAR:DATE=20050511&amp;action=UPDATE&amp;creator=factset&amp;DOC_NAME=FAT:FMA_audit_SUMMARY.fat&amp;DISPLAY_STRING=Display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7__FDSAUDITLINK__" hidden="1">{"fdsup://directions/FAT%20Viewer?VAR:PED=LTM&amp;VAR:AUDIT_MODE=SUMMARY&amp;VAR:PERIOD=FIXED&amp;VAR:AUDIT_ID=00000117&amp;VAR:DATE=20050511&amp;action=UPDATE&amp;creator=factset&amp;DOC_NAME=FAT:FMA_audit_SUMMARY.fat&amp;DISPLAY_STRING=Display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8__FDSAUDITLINK__" localSheetId="6" hidden="1">{"fdsup://directions/FAT%20Viewer?VAR:PED=LTM&amp;VAR:AUDIT_MODE=SUMMARY&amp;VAR:PERIOD=FIXED&amp;VAR:AUDIT_ID=00000117&amp;VAR:DATE=20050510&amp;action=UPDATE&amp;creator=factset&amp;DOC_NAME=FAT:FMA_audit_SUMMARY.fat&amp;DISPLAY_STRING=Display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8__FDSAUDITLINK__" hidden="1">{"fdsup://directions/FAT%20Viewer?VAR:PED=LTM&amp;VAR:AUDIT_MODE=SUMMARY&amp;VAR:PERIOD=FIXED&amp;VAR:AUDIT_ID=00000117&amp;VAR:DATE=20050510&amp;action=UPDATE&amp;creator=factset&amp;DOC_NAME=FAT:FMA_audit_SUMMARY.fat&amp;DISPLAY_STRING=Display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9__FDSAUDITLINK__" localSheetId="6" hidden="1">{"fdsup://directions/FAT%20Viewer?VAR:PED=LTM&amp;VAR:AUDIT_MODE=SUMMARY&amp;VAR:PERIOD=FIXED&amp;VAR:AUDIT_ID=00000117&amp;VAR:DATE=20050509&amp;action=UPDATE&amp;creator=factset&amp;DOC_NAME=FAT:FMA_audit_SUMMARY.fat&amp;DISPLAY_STRING=Display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49__FDSAUDITLINK__" hidden="1">{"fdsup://directions/FAT%20Viewer?VAR:PED=LTM&amp;VAR:AUDIT_MODE=SUMMARY&amp;VAR:PERIOD=FIXED&amp;VAR:AUDIT_ID=00000117&amp;VAR:DATE=20050509&amp;action=UPDATE&amp;creator=factset&amp;DOC_NAME=FAT:FMA_audit_SUMMARY.fat&amp;DISPLAY_STRING=Display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__FDSAUDITLINK__" localSheetId="6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5__FDSAUDITLINK__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50__FDSAUDITLINK__" localSheetId="6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0__FDSAUDITLINK__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1__FDSAUDITLINK__" localSheetId="6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1__FDSAUDITLINK__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2__FDSAUDITLINK__" localSheetId="6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2__FDSAUDITLINK__" hidden="1">{"fdsup://directions/FAT%20Viewer?VAR:PED=LTM&amp;VAR:AUDIT_MODE=SUMMARY&amp;VAR:PERIOD=FIXED&amp;VAR:AUDIT_ID=00000117&amp;VAR:DATE=20050506&amp;action=UPDATE&amp;creator=factset&amp;DOC_NAME=FAT:FMA_audit_SUMMARY.fat&amp;DISPLAY_STRING=Display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3__FDSAUDITLINK__" localSheetId="6" hidden="1">{"fdsup://directions/FAT%20Viewer?VAR:PED=LTM&amp;VAR:AUDIT_MODE=SUMMARY&amp;VAR:PERIOD=FIXED&amp;VAR:AUDIT_ID=00000117&amp;VAR:DATE=20050505&amp;action=UPDATE&amp;creator=factset&amp;DOC_NAME=FAT:FMA_audit_SUMMARY.fat&amp;DISPLAY_STRING=Display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3__FDSAUDITLINK__" hidden="1">{"fdsup://directions/FAT%20Viewer?VAR:PED=LTM&amp;VAR:AUDIT_MODE=SUMMARY&amp;VAR:PERIOD=FIXED&amp;VAR:AUDIT_ID=00000117&amp;VAR:DATE=20050505&amp;action=UPDATE&amp;creator=factset&amp;DOC_NAME=FAT:FMA_audit_SUMMARY.fat&amp;DISPLAY_STRING=Display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4__FDSAUDITLINK__" localSheetId="6" hidden="1">{"fdsup://directions/FAT%20Viewer?VAR:PED=LTM&amp;VAR:AUDIT_MODE=SUMMARY&amp;VAR:PERIOD=FIXED&amp;VAR:AUDIT_ID=00000117&amp;VAR:DATE=20050504&amp;action=UPDATE&amp;creator=factset&amp;DOC_NAME=FAT:FMA_audit_SUMMARY.fat&amp;DISPLAY_STRING=Display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4__FDSAUDITLINK__" hidden="1">{"fdsup://directions/FAT%20Viewer?VAR:PED=LTM&amp;VAR:AUDIT_MODE=SUMMARY&amp;VAR:PERIOD=FIXED&amp;VAR:AUDIT_ID=00000117&amp;VAR:DATE=20050504&amp;action=UPDATE&amp;creator=factset&amp;DOC_NAME=FAT:FMA_audit_SUMMARY.fat&amp;DISPLAY_STRING=Display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5__FDSAUDITLINK__" localSheetId="6" hidden="1">{"fdsup://directions/FAT%20Viewer?VAR:PED=LTM&amp;VAR:AUDIT_MODE=SUMMARY&amp;VAR:PERIOD=FIXED&amp;VAR:AUDIT_ID=00000117&amp;VAR:DATE=20050503&amp;action=UPDATE&amp;creator=factset&amp;DOC_NAME=FAT:FMA_audit_SUMMARY.fat&amp;DISPLAY_STRING=Display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5__FDSAUDITLINK__" hidden="1">{"fdsup://directions/FAT%20Viewer?VAR:PED=LTM&amp;VAR:AUDIT_MODE=SUMMARY&amp;VAR:PERIOD=FIXED&amp;VAR:AUDIT_ID=00000117&amp;VAR:DATE=20050503&amp;action=UPDATE&amp;creator=factset&amp;DOC_NAME=FAT:FMA_audit_SUMMARY.fat&amp;DISPLAY_STRING=Display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6__FDSAUDITLINK__" localSheetId="6" hidden="1">{"fdsup://directions/FAT%20Viewer?VAR:PED=LTM&amp;VAR:AUDIT_MODE=SUMMARY&amp;VAR:PERIOD=FIXED&amp;VAR:AUDIT_ID=00000117&amp;VAR:DATE=20050502&amp;action=UPDATE&amp;creator=factset&amp;DOC_NAME=FAT:FMA_audit_SUMMARY.fat&amp;DISPLAY_STRING=Display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6__FDSAUDITLINK__" hidden="1">{"fdsup://directions/FAT%20Viewer?VAR:PED=LTM&amp;VAR:AUDIT_MODE=SUMMARY&amp;VAR:PERIOD=FIXED&amp;VAR:AUDIT_ID=00000117&amp;VAR:DATE=20050502&amp;action=UPDATE&amp;creator=factset&amp;DOC_NAME=FAT:FMA_audit_SUMMARY.fat&amp;DISPLAY_STRING=Display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EBITDA&amp;VAR:CHGPERIOD=NA&amp;VAR:FQLFORMULA=FMA_EVAL_EBITDA&amp;VAR:CURRENCY=NA&amp;VAR:P=NA&amp;VAR:V=11.9","99392&amp;VAR:null=.html"}</definedName>
    <definedName name="_1757__FDSAUDITLINK__" localSheetId="6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7__FDSAUDITLINK__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8__FDSAUDITLINK__" localSheetId="6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8__FDSAUDITLINK__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9__FDSAUDITLINK__" localSheetId="6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59__FDSAUDITLINK__" hidden="1">{"fdsup://directions/FAT%20Viewer?VAR:PED=LTM&amp;VAR:AUDIT_MODE=SUMMARY&amp;VAR:PERIOD=FIXED&amp;VAR:AUDIT_ID=00000117&amp;VAR:DATE=20050429&amp;action=UPDATE&amp;creator=factset&amp;DOC_NAME=FAT:FMA_audit_SUMMARY.fat&amp;DISPLAY_STRING=Display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__FDSAUDITLINK__" localSheetId="6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6__FDSAUDITLINK__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60__FDSAUDITLINK__" localSheetId="6" hidden="1">{"fdsup://directions/FAT%20Viewer?VAR:PED=LTM&amp;VAR:AUDIT_MODE=SUMMARY&amp;VAR:PERIOD=FIXED&amp;VAR:AUDIT_ID=00000117&amp;VAR:DATE=20050428&amp;action=UPDATE&amp;creator=factset&amp;DOC_NAME=FAT:FMA_audit_SUMMARY.fat&amp;DISPLAY_STRING=Display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0__FDSAUDITLINK__" hidden="1">{"fdsup://directions/FAT%20Viewer?VAR:PED=LTM&amp;VAR:AUDIT_MODE=SUMMARY&amp;VAR:PERIOD=FIXED&amp;VAR:AUDIT_ID=00000117&amp;VAR:DATE=20050428&amp;action=UPDATE&amp;creator=factset&amp;DOC_NAME=FAT:FMA_audit_SUMMARY.fat&amp;DISPLAY_STRING=Display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1__FDSAUDITLINK__" localSheetId="6" hidden="1">{"fdsup://directions/FAT%20Viewer?VAR:PED=LTM&amp;VAR:AUDIT_MODE=SUMMARY&amp;VAR:PERIOD=FIXED&amp;VAR:AUDIT_ID=00000117&amp;VAR:DATE=20050427&amp;action=UPDATE&amp;creator=factset&amp;DOC_NAME=FAT:FMA_audit_SUMMARY.fat&amp;DISPLAY_STRING=Display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1__FDSAUDITLINK__" hidden="1">{"fdsup://directions/FAT%20Viewer?VAR:PED=LTM&amp;VAR:AUDIT_MODE=SUMMARY&amp;VAR:PERIOD=FIXED&amp;VAR:AUDIT_ID=00000117&amp;VAR:DATE=20050427&amp;action=UPDATE&amp;creator=factset&amp;DOC_NAME=FAT:FMA_audit_SUMMARY.fat&amp;DISPLAY_STRING=Display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2__FDSAUDITLINK__" localSheetId="6" hidden="1">{"fdsup://directions/FAT%20Viewer?VAR:PED=LTM&amp;VAR:AUDIT_MODE=SUMMARY&amp;VAR:PERIOD=FIXED&amp;VAR:AUDIT_ID=00000117&amp;VAR:DATE=20050426&amp;action=UPDATE&amp;creator=factset&amp;DOC_NAME=FAT:FMA_audit_SUMMARY.fat&amp;DISPLAY_STRING=Display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2__FDSAUDITLINK__" hidden="1">{"fdsup://directions/FAT%20Viewer?VAR:PED=LTM&amp;VAR:AUDIT_MODE=SUMMARY&amp;VAR:PERIOD=FIXED&amp;VAR:AUDIT_ID=00000117&amp;VAR:DATE=20050426&amp;action=UPDATE&amp;creator=factset&amp;DOC_NAME=FAT:FMA_audit_SUMMARY.fat&amp;DISPLAY_STRING=Display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3__FDSAUDITLINK__" localSheetId="6" hidden="1">{"fdsup://directions/FAT%20Viewer?VAR:PED=LTM&amp;VAR:AUDIT_MODE=SUMMARY&amp;VAR:PERIOD=FIXED&amp;VAR:AUDIT_ID=00000117&amp;VAR:DATE=20050425&amp;action=UPDATE&amp;creator=factset&amp;DOC_NAME=FAT:FMA_audit_SUMMARY.fat&amp;DISPLAY_STRING=Display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3__FDSAUDITLINK__" hidden="1">{"fdsup://directions/FAT%20Viewer?VAR:PED=LTM&amp;VAR:AUDIT_MODE=SUMMARY&amp;VAR:PERIOD=FIXED&amp;VAR:AUDIT_ID=00000117&amp;VAR:DATE=20050425&amp;action=UPDATE&amp;creator=factset&amp;DOC_NAME=FAT:FMA_audit_SUMMARY.fat&amp;DISPLAY_STRING=Display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4__FDSAUDITLINK__" localSheetId="6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4__FDSAUDITLINK__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5__FDSAUDITLINK__" localSheetId="6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5__FDSAUDITLINK__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6__FDSAUDITLINK__" localSheetId="6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6__FDSAUDITLINK__" hidden="1">{"fdsup://directions/FAT%20Viewer?VAR:PED=LTM&amp;VAR:AUDIT_MODE=SUMMARY&amp;VAR:PERIOD=FIXED&amp;VAR:AUDIT_ID=00000117&amp;VAR:DATE=20050422&amp;action=UPDATE&amp;creator=factset&amp;DOC_NAME=FAT:FMA_audit_SUMMARY.fat&amp;DISPLAY_STRING=Display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7__FDSAUDITLINK__" localSheetId="6" hidden="1">{"fdsup://directions/FAT%20Viewer?VAR:PED=LTM&amp;VAR:AUDIT_MODE=SUMMARY&amp;VAR:PERIOD=FIXED&amp;VAR:AUDIT_ID=00000117&amp;VAR:DATE=20050421&amp;action=UPDATE&amp;creator=factset&amp;DOC_NAME=FAT:FMA_audit_SUMMARY.fat&amp;DISPLAY_STRING=Display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7__FDSAUDITLINK__" hidden="1">{"fdsup://directions/FAT%20Viewer?VAR:PED=LTM&amp;VAR:AUDIT_MODE=SUMMARY&amp;VAR:PERIOD=FIXED&amp;VAR:AUDIT_ID=00000117&amp;VAR:DATE=20050421&amp;action=UPDATE&amp;creator=factset&amp;DOC_NAME=FAT:FMA_audit_SUMMARY.fat&amp;DISPLAY_STRING=Display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8__FDSAUDITLINK__" localSheetId="6" hidden="1">{"fdsup://directions/FAT%20Viewer?VAR:PED=LTM&amp;VAR:AUDIT_MODE=SUMMARY&amp;VAR:PERIOD=FIXED&amp;VAR:AUDIT_ID=00000117&amp;VAR:DATE=20050420&amp;action=UPDATE&amp;creator=factset&amp;DOC_NAME=FAT:FMA_audit_SUMMARY.fat&amp;DISPLAY_STRING=Display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8__FDSAUDITLINK__" hidden="1">{"fdsup://directions/FAT%20Viewer?VAR:PED=LTM&amp;VAR:AUDIT_MODE=SUMMARY&amp;VAR:PERIOD=FIXED&amp;VAR:AUDIT_ID=00000117&amp;VAR:DATE=20050420&amp;action=UPDATE&amp;creator=factset&amp;DOC_NAME=FAT:FMA_audit_SUMMARY.fat&amp;DISPLAY_STRING=Display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9__FDSAUDITLINK__" localSheetId="6" hidden="1">{"fdsup://directions/FAT%20Viewer?VAR:PED=LTM&amp;VAR:AUDIT_MODE=SUMMARY&amp;VAR:PERIOD=FIXED&amp;VAR:AUDIT_ID=00000117&amp;VAR:DATE=20050419&amp;action=UPDATE&amp;creator=factset&amp;DOC_NAME=FAT:FMA_audit_SUMMARY.fat&amp;DISPLAY_STRING=Display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69__FDSAUDITLINK__" hidden="1">{"fdsup://directions/FAT%20Viewer?VAR:PED=LTM&amp;VAR:AUDIT_MODE=SUMMARY&amp;VAR:PERIOD=FIXED&amp;VAR:AUDIT_ID=00000117&amp;VAR:DATE=20050419&amp;action=UPDATE&amp;creator=factset&amp;DOC_NAME=FAT:FMA_audit_SUMMARY.fat&amp;DISPLAY_STRING=Display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__FDSAUDITLINK__" localSheetId="6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7__FDSAUDITLINK__" hidden="1">{"fdsup://directions/FAT%20Viewer?VAR:PED=LTM&amp;VAR:AUDIT_MODE=SUMMARY&amp;VAR:PERIOD=FIXED&amp;VAR:AUDIT_ID=00000117&amp;VAR:DATE=20090828&amp;action=UPDATE&amp;creator=factset&amp;DOC_NAME=FAT:FMA_audit_SUMMARY.fat&amp;DISPLAY_STRING=Display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70__FDSAUDITLINK__" localSheetId="6" hidden="1">{"fdsup://directions/FAT%20Viewer?VAR:PED=LTM&amp;VAR:AUDIT_MODE=SUMMARY&amp;VAR:PERIOD=FIXED&amp;VAR:AUDIT_ID=00000117&amp;VAR:DATE=20050418&amp;action=UPDATE&amp;creator=factset&amp;DOC_NAME=FAT:FMA_audit_SUMMARY.fat&amp;DISPLAY_STRING=Display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0__FDSAUDITLINK__" hidden="1">{"fdsup://directions/FAT%20Viewer?VAR:PED=LTM&amp;VAR:AUDIT_MODE=SUMMARY&amp;VAR:PERIOD=FIXED&amp;VAR:AUDIT_ID=00000117&amp;VAR:DATE=20050418&amp;action=UPDATE&amp;creator=factset&amp;DOC_NAME=FAT:FMA_audit_SUMMARY.fat&amp;DISPLAY_STRING=Display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1__FDSAUDITLINK__" localSheetId="6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1__FDSAUDITLINK__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2__FDSAUDITLINK__" localSheetId="6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2__FDSAUDITLINK__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3__FDSAUDITLINK__" localSheetId="6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3__FDSAUDITLINK__" hidden="1">{"fdsup://directions/FAT%20Viewer?VAR:PED=LTM&amp;VAR:AUDIT_MODE=SUMMARY&amp;VAR:PERIOD=FIXED&amp;VAR:AUDIT_ID=00000117&amp;VAR:DATE=20050415&amp;action=UPDATE&amp;creator=factset&amp;DOC_NAME=FAT:FMA_audit_SUMMARY.fat&amp;DISPLAY_STRING=Display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4__FDSAUDITLINK__" localSheetId="6" hidden="1">{"fdsup://directions/FAT%20Viewer?VAR:PED=LTM&amp;VAR:AUDIT_MODE=SUMMARY&amp;VAR:PERIOD=FIXED&amp;VAR:AUDIT_ID=00000117&amp;VAR:DATE=20050414&amp;action=UPDATE&amp;creator=factset&amp;DOC_NAME=FAT:FMA_audit_SUMMARY.fat&amp;DISPLAY_STRING=Display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4__FDSAUDITLINK__" hidden="1">{"fdsup://directions/FAT%20Viewer?VAR:PED=LTM&amp;VAR:AUDIT_MODE=SUMMARY&amp;VAR:PERIOD=FIXED&amp;VAR:AUDIT_ID=00000117&amp;VAR:DATE=20050414&amp;action=UPDATE&amp;creator=factset&amp;DOC_NAME=FAT:FMA_audit_SUMMARY.fat&amp;DISPLAY_STRING=Display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5__FDSAUDITLINK__" localSheetId="6" hidden="1">{"fdsup://directions/FAT%20Viewer?VAR:PED=LTM&amp;VAR:AUDIT_MODE=SUMMARY&amp;VAR:PERIOD=FIXED&amp;VAR:AUDIT_ID=00000117&amp;VAR:DATE=20050413&amp;action=UPDATE&amp;creator=factset&amp;DOC_NAME=FAT:FMA_audit_SUMMARY.fat&amp;DISPLAY_STRING=Display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5__FDSAUDITLINK__" hidden="1">{"fdsup://directions/FAT%20Viewer?VAR:PED=LTM&amp;VAR:AUDIT_MODE=SUMMARY&amp;VAR:PERIOD=FIXED&amp;VAR:AUDIT_ID=00000117&amp;VAR:DATE=20050413&amp;action=UPDATE&amp;creator=factset&amp;DOC_NAME=FAT:FMA_audit_SUMMARY.fat&amp;DISPLAY_STRING=Display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6__FDSAUDITLINK__" localSheetId="6" hidden="1">{"fdsup://directions/FAT%20Viewer?VAR:PED=LTM&amp;VAR:AUDIT_MODE=SUMMARY&amp;VAR:PERIOD=FIXED&amp;VAR:AUDIT_ID=00000117&amp;VAR:DATE=20050412&amp;action=UPDATE&amp;creator=factset&amp;DOC_NAME=FAT:FMA_audit_SUMMARY.fat&amp;DISPLAY_STRING=Display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6__FDSAUDITLINK__" hidden="1">{"fdsup://directions/FAT%20Viewer?VAR:PED=LTM&amp;VAR:AUDIT_MODE=SUMMARY&amp;VAR:PERIOD=FIXED&amp;VAR:AUDIT_ID=00000117&amp;VAR:DATE=20050412&amp;action=UPDATE&amp;creator=factset&amp;DOC_NAME=FAT:FMA_audit_SUMMARY.fat&amp;DISPLAY_STRING=Display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7__FDSAUDITLINK__" localSheetId="6" hidden="1">{"fdsup://directions/FAT%20Viewer?VAR:PED=LTM&amp;VAR:AUDIT_MODE=SUMMARY&amp;VAR:PERIOD=FIXED&amp;VAR:AUDIT_ID=00000117&amp;VAR:DATE=20050411&amp;action=UPDATE&amp;creator=factset&amp;DOC_NAME=FAT:FMA_audit_SUMMARY.fat&amp;DISPLAY_STRING=Display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7__FDSAUDITLINK__" hidden="1">{"fdsup://directions/FAT%20Viewer?VAR:PED=LTM&amp;VAR:AUDIT_MODE=SUMMARY&amp;VAR:PERIOD=FIXED&amp;VAR:AUDIT_ID=00000117&amp;VAR:DATE=20050411&amp;action=UPDATE&amp;creator=factset&amp;DOC_NAME=FAT:FMA_audit_SUMMARY.fat&amp;DISPLAY_STRING=Display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8__FDSAUDITLINK__" localSheetId="6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8__FDSAUDITLINK__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9__FDSAUDITLINK__" localSheetId="6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79__FDSAUDITLINK__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__FDSAUDITLINK__" localSheetId="6" hidden="1">{"fdsup://directions/FAT%20Viewer?VAR:PED=LTM&amp;VAR:AUDIT_MODE=SUMMARY&amp;VAR:PERIOD=FIXED&amp;VAR:AUDIT_ID=00000117&amp;VAR:DATE=20090827&amp;action=UPDATE&amp;creator=factset&amp;DOC_NAME=FAT:FMA_audit_SUMMARY.fat&amp;DISPLAY_STRING=Display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8__FDSAUDITLINK__" hidden="1">{"fdsup://directions/FAT%20Viewer?VAR:PED=LTM&amp;VAR:AUDIT_MODE=SUMMARY&amp;VAR:PERIOD=FIXED&amp;VAR:AUDIT_ID=00000117&amp;VAR:DATE=20090827&amp;action=UPDATE&amp;creator=factset&amp;DOC_NAME=FAT:FMA_audit_SUMMARY.fat&amp;DISPLAY_STRING=Display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80__FDSAUDITLINK__" localSheetId="6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0__FDSAUDITLINK__" hidden="1">{"fdsup://directions/FAT%20Viewer?VAR:PED=LTM&amp;VAR:AUDIT_MODE=SUMMARY&amp;VAR:PERIOD=FIXED&amp;VAR:AUDIT_ID=00000117&amp;VAR:DATE=20050408&amp;action=UPDATE&amp;creator=factset&amp;DOC_NAME=FAT:FMA_audit_SUMMARY.fat&amp;DISPLAY_STRING=Display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1__FDSAUDITLINK__" localSheetId="6" hidden="1">{"fdsup://directions/FAT%20Viewer?VAR:PED=LTM&amp;VAR:AUDIT_MODE=SUMMARY&amp;VAR:PERIOD=FIXED&amp;VAR:AUDIT_ID=00000117&amp;VAR:DATE=20050407&amp;action=UPDATE&amp;creator=factset&amp;DOC_NAME=FAT:FMA_audit_SUMMARY.fat&amp;DISPLAY_STRING=Display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1__FDSAUDITLINK__" hidden="1">{"fdsup://directions/FAT%20Viewer?VAR:PED=LTM&amp;VAR:AUDIT_MODE=SUMMARY&amp;VAR:PERIOD=FIXED&amp;VAR:AUDIT_ID=00000117&amp;VAR:DATE=20050407&amp;action=UPDATE&amp;creator=factset&amp;DOC_NAME=FAT:FMA_audit_SUMMARY.fat&amp;DISPLAY_STRING=Display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2__FDSAUDITLINK__" localSheetId="6" hidden="1">{"fdsup://directions/FAT%20Viewer?VAR:PED=LTM&amp;VAR:AUDIT_MODE=SUMMARY&amp;VAR:PERIOD=FIXED&amp;VAR:AUDIT_ID=00000117&amp;VAR:DATE=20050406&amp;action=UPDATE&amp;creator=factset&amp;DOC_NAME=FAT:FMA_audit_SUMMARY.fat&amp;DISPLAY_STRING=Display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2__FDSAUDITLINK__" hidden="1">{"fdsup://directions/FAT%20Viewer?VAR:PED=LTM&amp;VAR:AUDIT_MODE=SUMMARY&amp;VAR:PERIOD=FIXED&amp;VAR:AUDIT_ID=00000117&amp;VAR:DATE=20050406&amp;action=UPDATE&amp;creator=factset&amp;DOC_NAME=FAT:FMA_audit_SUMMARY.fat&amp;DISPLAY_STRING=Display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3__FDSAUDITLINK__" localSheetId="6" hidden="1">{"fdsup://directions/FAT%20Viewer?VAR:PED=LTM&amp;VAR:AUDIT_MODE=SUMMARY&amp;VAR:PERIOD=FIXED&amp;VAR:AUDIT_ID=00000117&amp;VAR:DATE=20050405&amp;action=UPDATE&amp;creator=factset&amp;DOC_NAME=FAT:FMA_audit_SUMMARY.fat&amp;DISPLAY_STRING=Display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3__FDSAUDITLINK__" hidden="1">{"fdsup://directions/FAT%20Viewer?VAR:PED=LTM&amp;VAR:AUDIT_MODE=SUMMARY&amp;VAR:PERIOD=FIXED&amp;VAR:AUDIT_ID=00000117&amp;VAR:DATE=20050405&amp;action=UPDATE&amp;creator=factset&amp;DOC_NAME=FAT:FMA_audit_SUMMARY.fat&amp;DISPLAY_STRING=Display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4__FDSAUDITLINK__" localSheetId="6" hidden="1">{"fdsup://directions/FAT%20Viewer?VAR:PED=LTM&amp;VAR:AUDIT_MODE=SUMMARY&amp;VAR:PERIOD=FIXED&amp;VAR:AUDIT_ID=00000117&amp;VAR:DATE=20050404&amp;action=UPDATE&amp;creator=factset&amp;DOC_NAME=FAT:FMA_audit_SUMMARY.fat&amp;DISPLAY_STRING=Display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4__FDSAUDITLINK__" hidden="1">{"fdsup://directions/FAT%20Viewer?VAR:PED=LTM&amp;VAR:AUDIT_MODE=SUMMARY&amp;VAR:PERIOD=FIXED&amp;VAR:AUDIT_ID=00000117&amp;VAR:DATE=20050404&amp;action=UPDATE&amp;creator=factset&amp;DOC_NAME=FAT:FMA_audit_SUMMARY.fat&amp;DISPLAY_STRING=Display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5__FDSAUDITLINK__" localSheetId="6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5__FDSAUDITLINK__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6__FDSAUDITLINK__" localSheetId="6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6__FDSAUDITLINK__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7__FDSAUDITLINK__" localSheetId="6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7__FDSAUDITLINK__" hidden="1">{"fdsup://directions/FAT%20Viewer?VAR:PED=LTM&amp;VAR:AUDIT_MODE=SUMMARY&amp;VAR:PERIOD=FIXED&amp;VAR:AUDIT_ID=00000117&amp;VAR:DATE=20050401&amp;action=UPDATE&amp;creator=factset&amp;DOC_NAME=FAT:FMA_audit_SUMMARY.fat&amp;DISPLAY_STRING=Display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8__FDSAUDITLINK__" localSheetId="6" hidden="1">{"fdsup://directions/FAT%20Viewer?VAR:PED=LTM&amp;VAR:AUDIT_MODE=SUMMARY&amp;VAR:PERIOD=FIXED&amp;VAR:AUDIT_ID=00000117&amp;VAR:DATE=20050331&amp;action=UPDATE&amp;creator=factset&amp;DOC_NAME=FAT:FMA_audit_SUMMARY.fat&amp;DISPLAY_STRING=Display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8__FDSAUDITLINK__" hidden="1">{"fdsup://directions/FAT%20Viewer?VAR:PED=LTM&amp;VAR:AUDIT_MODE=SUMMARY&amp;VAR:PERIOD=FIXED&amp;VAR:AUDIT_ID=00000117&amp;VAR:DATE=20050331&amp;action=UPDATE&amp;creator=factset&amp;DOC_NAME=FAT:FMA_audit_SUMMARY.fat&amp;DISPLAY_STRING=Display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EBITDA&amp;VAR:CHGPERIOD=NA&amp;VAR:FQLFORMULA=FMA_EVAL_EBITDA&amp;VAR:CURRENCY=NA&amp;VAR:P=NA&amp;VAR:V=11.9","46306&amp;VAR:null=.html"}</definedName>
    <definedName name="_1789__FDSAUDITLINK__" localSheetId="6" hidden="1">{"fdsup://directions/FAT%20Viewer?VAR:PED=LTM&amp;VAR:AUDIT_MODE=SUMMARY&amp;VAR:PERIOD=FIXED&amp;VAR:AUDIT_ID=00000117&amp;VAR:DATE=20050330&amp;action=UPDATE&amp;creator=factset&amp;DOC_NAME=FAT:FMA_audit_SUMMARY.fat&amp;DISPLAY_STRING=Display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89__FDSAUDITLINK__" hidden="1">{"fdsup://directions/FAT%20Viewer?VAR:PED=LTM&amp;VAR:AUDIT_MODE=SUMMARY&amp;VAR:PERIOD=FIXED&amp;VAR:AUDIT_ID=00000117&amp;VAR:DATE=20050330&amp;action=UPDATE&amp;creator=factset&amp;DOC_NAME=FAT:FMA_audit_SUMMARY.fat&amp;DISPLAY_STRING=Display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__FDSAUDITLINK__" localSheetId="6" hidden="1">{"fdsup://directions/FAT%20Viewer?VAR:PED=LTM&amp;VAR:AUDIT_MODE=SUMMARY&amp;VAR:PERIOD=FIXED&amp;VAR:AUDIT_ID=00000117&amp;VAR:DATE=20090826&amp;action=UPDATE&amp;creator=factset&amp;DOC_NAME=FAT:FMA_audit_SUMMARY.fat&amp;DISPLAY_STRING=Display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9__FDSAUDITLINK__" hidden="1">{"fdsup://directions/FAT%20Viewer?VAR:PED=LTM&amp;VAR:AUDIT_MODE=SUMMARY&amp;VAR:PERIOD=FIXED&amp;VAR:AUDIT_ID=00000117&amp;VAR:DATE=20090826&amp;action=UPDATE&amp;creator=factset&amp;DOC_NAME=FAT:FMA_audit_SUMMARY.fat&amp;DISPLAY_STRING=Display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790__FDSAUDITLINK__" localSheetId="6" hidden="1">{"fdsup://directions/FAT%20Viewer?VAR:PED=LTM&amp;VAR:AUDIT_MODE=SUMMARY&amp;VAR:PERIOD=FIXED&amp;VAR:AUDIT_ID=00000117&amp;VAR:DATE=20050329&amp;action=UPDATE&amp;creator=factset&amp;DOC_NAME=FAT:FMA_audit_SUMMARY.fat&amp;DISPLAY_STRING=Display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0__FDSAUDITLINK__" hidden="1">{"fdsup://directions/FAT%20Viewer?VAR:PED=LTM&amp;VAR:AUDIT_MODE=SUMMARY&amp;VAR:PERIOD=FIXED&amp;VAR:AUDIT_ID=00000117&amp;VAR:DATE=20050329&amp;action=UPDATE&amp;creator=factset&amp;DOC_NAME=FAT:FMA_audit_SUMMARY.fat&amp;DISPLAY_STRING=Display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1__FDSAUDITLINK__" localSheetId="6" hidden="1">{"fdsup://directions/FAT%20Viewer?VAR:PED=LTM&amp;VAR:AUDIT_MODE=SUMMARY&amp;VAR:PERIOD=FIXED&amp;VAR:AUDIT_ID=00000117&amp;VAR:DATE=20050328&amp;action=UPDATE&amp;creator=factset&amp;DOC_NAME=FAT:FMA_audit_SUMMARY.fat&amp;DISPLAY_STRING=Display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1__FDSAUDITLINK__" hidden="1">{"fdsup://directions/FAT%20Viewer?VAR:PED=LTM&amp;VAR:AUDIT_MODE=SUMMARY&amp;VAR:PERIOD=FIXED&amp;VAR:AUDIT_ID=00000117&amp;VAR:DATE=20050328&amp;action=UPDATE&amp;creator=factset&amp;DOC_NAME=FAT:FMA_audit_SUMMARY.fat&amp;DISPLAY_STRING=Display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2__FDSAUDITLINK__" localSheetId="6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2__FDSAUDITLINK__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3__FDSAUDITLINK__" localSheetId="6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3__FDSAUDITLINK__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4__FDSAUDITLINK__" localSheetId="6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4__FDSAUDITLINK__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5__FDSAUDITLINK__" localSheetId="6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5__FDSAUDITLINK__" hidden="1">{"fdsup://directions/FAT%20Viewer?VAR:PED=LTM&amp;VAR:AUDIT_MODE=SUMMARY&amp;VAR:PERIOD=FIXED&amp;VAR:AUDIT_ID=00000117&amp;VAR:DATE=20050324&amp;action=UPDATE&amp;creator=factset&amp;DOC_NAME=FAT:FMA_audit_SUMMARY.fat&amp;DISPLAY_STRING=Display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6__FDSAUDITLINK__" localSheetId="6" hidden="1">{"fdsup://directions/FAT%20Viewer?VAR:PED=LTM&amp;VAR:AUDIT_MODE=SUMMARY&amp;VAR:PERIOD=FIXED&amp;VAR:AUDIT_ID=00000117&amp;VAR:DATE=20050323&amp;action=UPDATE&amp;creator=factset&amp;DOC_NAME=FAT:FMA_audit_SUMMARY.fat&amp;DISPLAY_STRING=Display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6__FDSAUDITLINK__" hidden="1">{"fdsup://directions/FAT%20Viewer?VAR:PED=LTM&amp;VAR:AUDIT_MODE=SUMMARY&amp;VAR:PERIOD=FIXED&amp;VAR:AUDIT_ID=00000117&amp;VAR:DATE=20050323&amp;action=UPDATE&amp;creator=factset&amp;DOC_NAME=FAT:FMA_audit_SUMMARY.fat&amp;DISPLAY_STRING=Display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7__FDSAUDITLINK__" localSheetId="6" hidden="1">{"fdsup://directions/FAT%20Viewer?VAR:PED=LTM&amp;VAR:AUDIT_MODE=SUMMARY&amp;VAR:PERIOD=FIXED&amp;VAR:AUDIT_ID=00000117&amp;VAR:DATE=20050322&amp;action=UPDATE&amp;creator=factset&amp;DOC_NAME=FAT:FMA_audit_SUMMARY.fat&amp;DISPLAY_STRING=Display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7__FDSAUDITLINK__" hidden="1">{"fdsup://directions/FAT%20Viewer?VAR:PED=LTM&amp;VAR:AUDIT_MODE=SUMMARY&amp;VAR:PERIOD=FIXED&amp;VAR:AUDIT_ID=00000117&amp;VAR:DATE=20050322&amp;action=UPDATE&amp;creator=factset&amp;DOC_NAME=FAT:FMA_audit_SUMMARY.fat&amp;DISPLAY_STRING=Display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8__FDSAUDITLINK__" localSheetId="6" hidden="1">{"fdsup://directions/FAT%20Viewer?VAR:PED=LTM&amp;VAR:AUDIT_MODE=SUMMARY&amp;VAR:PERIOD=FIXED&amp;VAR:AUDIT_ID=00000117&amp;VAR:DATE=20050321&amp;action=UPDATE&amp;creator=factset&amp;DOC_NAME=FAT:FMA_audit_SUMMARY.fat&amp;DISPLAY_STRING=Display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8__FDSAUDITLINK__" hidden="1">{"fdsup://directions/FAT%20Viewer?VAR:PED=LTM&amp;VAR:AUDIT_MODE=SUMMARY&amp;VAR:PERIOD=FIXED&amp;VAR:AUDIT_ID=00000117&amp;VAR:DATE=20050321&amp;action=UPDATE&amp;creator=factset&amp;DOC_NAME=FAT:FMA_audit_SUMMARY.fat&amp;DISPLAY_STRING=Display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9__FDSAUDITLINK__" localSheetId="6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799__FDSAUDITLINK__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__FDSAUDITLINK__" localSheetId="6" hidden="1">{"fdsup://directions/FAT Viewer?action=UPDATE&amp;creator=factset&amp;DYN_ARGS=TRUE&amp;DOC_NAME=FAT:FQL_AUDITING_CLIENT_TEMPLATE.FAT&amp;display_string=Audit&amp;VAR:KEY=PYTAPAVMBW&amp;VAR:QUERY=QVZHKENTRl9ORVRfSU5DKEFOTiwwRlksLTZGWSxZKSkgLyAoQVZHKENTRl9BU1NFVFMoQU5OLDBGWSwtNkZZL","EZZKSkgLSBBVkcoQ1NGX0lOVEFORyhBTk4sMCwtNkZZLEZZKSkp&amp;WINDOW=FIRST_POPUP&amp;HEIGHT=450&amp;WIDTH=450&amp;START_MAXIMIZED=FALSE&amp;VAR:CALENDAR=US&amp;VAR:SYMBOL=KNX"}</definedName>
    <definedName name="_18__FDSAUDITLINK__" hidden="1">{"fdsup://directions/FAT Viewer?action=UPDATE&amp;creator=factset&amp;DYN_ARGS=TRUE&amp;DOC_NAME=FAT:FQL_AUDITING_CLIENT_TEMPLATE.FAT&amp;display_string=Audit&amp;VAR:KEY=PYTAPAVMBW&amp;VAR:QUERY=QVZHKENTRl9ORVRfSU5DKEFOTiwwRlksLTZGWSxZKSkgLyAoQVZHKENTRl9BU1NFVFMoQU5OLDBGWSwtNkZZL","EZZKSkgLSBBVkcoQ1NGX0lOVEFORyhBTk4sMCwtNkZZLEZZKSkp&amp;WINDOW=FIRST_POPUP&amp;HEIGHT=450&amp;WIDTH=450&amp;START_MAXIMIZED=FALSE&amp;VAR:CALENDAR=US&amp;VAR:SYMBOL=KNX"}</definedName>
    <definedName name="_180__FDSAUDITLINK__" localSheetId="6" hidden="1">{"fdsup://directions/FAT%20Viewer?VAR:PED=LTM&amp;VAR:AUDIT_MODE=SUMMARY&amp;VAR:PERIOD=FIXED&amp;VAR:AUDIT_ID=00000117&amp;VAR:DATE=20090825&amp;action=UPDATE&amp;creator=factset&amp;DOC_NAME=FAT:FMA_audit_SUMMARY.fat&amp;DISPLAY_STRING=Display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0__FDSAUDITLINK__" hidden="1">{"fdsup://directions/FAT%20Viewer?VAR:PED=LTM&amp;VAR:AUDIT_MODE=SUMMARY&amp;VAR:PERIOD=FIXED&amp;VAR:AUDIT_ID=00000117&amp;VAR:DATE=20090825&amp;action=UPDATE&amp;creator=factset&amp;DOC_NAME=FAT:FMA_audit_SUMMARY.fat&amp;DISPLAY_STRING=Display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00__FDSAUDITLINK__" localSheetId="6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0__FDSAUDITLINK__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1__FDSAUDITLINK__" localSheetId="6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1__FDSAUDITLINK__" hidden="1">{"fdsup://directions/FAT%20Viewer?VAR:PED=LTM&amp;VAR:AUDIT_MODE=SUMMARY&amp;VAR:PERIOD=FIXED&amp;VAR:AUDIT_ID=00000117&amp;VAR:DATE=20050318&amp;action=UPDATE&amp;creator=factset&amp;DOC_NAME=FAT:FMA_audit_SUMMARY.fat&amp;DISPLAY_STRING=Display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2__FDSAUDITLINK__" localSheetId="6" hidden="1">{"fdsup://directions/FAT%20Viewer?VAR:PED=LTM&amp;VAR:AUDIT_MODE=SUMMARY&amp;VAR:PERIOD=FIXED&amp;VAR:AUDIT_ID=00000117&amp;VAR:DATE=20050317&amp;action=UPDATE&amp;creator=factset&amp;DOC_NAME=FAT:FMA_audit_SUMMARY.fat&amp;DISPLAY_STRING=Display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2__FDSAUDITLINK__" hidden="1">{"fdsup://directions/FAT%20Viewer?VAR:PED=LTM&amp;VAR:AUDIT_MODE=SUMMARY&amp;VAR:PERIOD=FIXED&amp;VAR:AUDIT_ID=00000117&amp;VAR:DATE=20050317&amp;action=UPDATE&amp;creator=factset&amp;DOC_NAME=FAT:FMA_audit_SUMMARY.fat&amp;DISPLAY_STRING=Display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3__FDSAUDITLINK__" localSheetId="6" hidden="1">{"fdsup://directions/FAT%20Viewer?VAR:PED=LTM&amp;VAR:AUDIT_MODE=SUMMARY&amp;VAR:PERIOD=FIXED&amp;VAR:AUDIT_ID=00000117&amp;VAR:DATE=20050316&amp;action=UPDATE&amp;creator=factset&amp;DOC_NAME=FAT:FMA_audit_SUMMARY.fat&amp;DISPLAY_STRING=Display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3__FDSAUDITLINK__" hidden="1">{"fdsup://directions/FAT%20Viewer?VAR:PED=LTM&amp;VAR:AUDIT_MODE=SUMMARY&amp;VAR:PERIOD=FIXED&amp;VAR:AUDIT_ID=00000117&amp;VAR:DATE=20050316&amp;action=UPDATE&amp;creator=factset&amp;DOC_NAME=FAT:FMA_audit_SUMMARY.fat&amp;DISPLAY_STRING=Display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4__FDSAUDITLINK__" localSheetId="6" hidden="1">{"fdsup://directions/FAT%20Viewer?VAR:PED=LTM&amp;VAR:AUDIT_MODE=SUMMARY&amp;VAR:PERIOD=FIXED&amp;VAR:AUDIT_ID=00000117&amp;VAR:DATE=20050315&amp;action=UPDATE&amp;creator=factset&amp;DOC_NAME=FAT:FMA_audit_SUMMARY.fat&amp;DISPLAY_STRING=Display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4__FDSAUDITLINK__" hidden="1">{"fdsup://directions/FAT%20Viewer?VAR:PED=LTM&amp;VAR:AUDIT_MODE=SUMMARY&amp;VAR:PERIOD=FIXED&amp;VAR:AUDIT_ID=00000117&amp;VAR:DATE=20050315&amp;action=UPDATE&amp;creator=factset&amp;DOC_NAME=FAT:FMA_audit_SUMMARY.fat&amp;DISPLAY_STRING=Display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5__FDSAUDITLINK__" localSheetId="6" hidden="1">{"fdsup://directions/FAT%20Viewer?VAR:PED=LTM&amp;VAR:AUDIT_MODE=SUMMARY&amp;VAR:PERIOD=FIXED&amp;VAR:AUDIT_ID=00000117&amp;VAR:DATE=20050314&amp;action=UPDATE&amp;creator=factset&amp;DOC_NAME=FAT:FMA_audit_SUMMARY.fat&amp;DISPLAY_STRING=Display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5__FDSAUDITLINK__" hidden="1">{"fdsup://directions/FAT%20Viewer?VAR:PED=LTM&amp;VAR:AUDIT_MODE=SUMMARY&amp;VAR:PERIOD=FIXED&amp;VAR:AUDIT_ID=00000117&amp;VAR:DATE=20050314&amp;action=UPDATE&amp;creator=factset&amp;DOC_NAME=FAT:FMA_audit_SUMMARY.fat&amp;DISPLAY_STRING=Display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6__FDSAUDITLINK__" localSheetId="6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6__FDSAUDITLINK__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7__FDSAUDITLINK__" localSheetId="6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7__FDSAUDITLINK__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8__FDSAUDITLINK__" localSheetId="6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8__FDSAUDITLINK__" hidden="1">{"fdsup://directions/FAT%20Viewer?VAR:PED=LTM&amp;VAR:AUDIT_MODE=SUMMARY&amp;VAR:PERIOD=FIXED&amp;VAR:AUDIT_ID=00000117&amp;VAR:DATE=20050311&amp;action=UPDATE&amp;creator=factset&amp;DOC_NAME=FAT:FMA_audit_SUMMARY.fat&amp;DISPLAY_STRING=Display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9__FDSAUDITLINK__" localSheetId="6" hidden="1">{"fdsup://directions/FAT%20Viewer?VAR:PED=LTM&amp;VAR:AUDIT_MODE=SUMMARY&amp;VAR:PERIOD=FIXED&amp;VAR:AUDIT_ID=00000117&amp;VAR:DATE=20050310&amp;action=UPDATE&amp;creator=factset&amp;DOC_NAME=FAT:FMA_audit_SUMMARY.fat&amp;DISPLAY_STRING=Display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09__FDSAUDITLINK__" hidden="1">{"fdsup://directions/FAT%20Viewer?VAR:PED=LTM&amp;VAR:AUDIT_MODE=SUMMARY&amp;VAR:PERIOD=FIXED&amp;VAR:AUDIT_ID=00000117&amp;VAR:DATE=20050310&amp;action=UPDATE&amp;creator=factset&amp;DOC_NAME=FAT:FMA_audit_SUMMARY.fat&amp;DISPLAY_STRING=Display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__FDSAUDITLINK__" localSheetId="6" hidden="1">{"fdsup://directions/FAT%20Viewer?VAR:PED=LTM&amp;VAR:AUDIT_MODE=SUMMARY&amp;VAR:PERIOD=FIXED&amp;VAR:AUDIT_ID=00000117&amp;VAR:DATE=20090824&amp;action=UPDATE&amp;creator=factset&amp;DOC_NAME=FAT:FMA_audit_SUMMARY.fat&amp;DISPLAY_STRING=Display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1__FDSAUDITLINK__" hidden="1">{"fdsup://directions/FAT%20Viewer?VAR:PED=LTM&amp;VAR:AUDIT_MODE=SUMMARY&amp;VAR:PERIOD=FIXED&amp;VAR:AUDIT_ID=00000117&amp;VAR:DATE=20090824&amp;action=UPDATE&amp;creator=factset&amp;DOC_NAME=FAT:FMA_audit_SUMMARY.fat&amp;DISPLAY_STRING=Display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10__FDSAUDITLINK__" localSheetId="6" hidden="1">{"fdsup://directions/FAT%20Viewer?VAR:PED=LTM&amp;VAR:AUDIT_MODE=SUMMARY&amp;VAR:PERIOD=FIXED&amp;VAR:AUDIT_ID=00000117&amp;VAR:DATE=20050309&amp;action=UPDATE&amp;creator=factset&amp;DOC_NAME=FAT:FMA_audit_SUMMARY.fat&amp;DISPLAY_STRING=Display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0__FDSAUDITLINK__" hidden="1">{"fdsup://directions/FAT%20Viewer?VAR:PED=LTM&amp;VAR:AUDIT_MODE=SUMMARY&amp;VAR:PERIOD=FIXED&amp;VAR:AUDIT_ID=00000117&amp;VAR:DATE=20050309&amp;action=UPDATE&amp;creator=factset&amp;DOC_NAME=FAT:FMA_audit_SUMMARY.fat&amp;DISPLAY_STRING=Display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1__FDSAUDITLINK__" localSheetId="6" hidden="1">{"fdsup://directions/FAT%20Viewer?VAR:PED=LTM&amp;VAR:AUDIT_MODE=SUMMARY&amp;VAR:PERIOD=FIXED&amp;VAR:AUDIT_ID=00000117&amp;VAR:DATE=20050308&amp;action=UPDATE&amp;creator=factset&amp;DOC_NAME=FAT:FMA_audit_SUMMARY.fat&amp;DISPLAY_STRING=Display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1__FDSAUDITLINK__" hidden="1">{"fdsup://directions/FAT%20Viewer?VAR:PED=LTM&amp;VAR:AUDIT_MODE=SUMMARY&amp;VAR:PERIOD=FIXED&amp;VAR:AUDIT_ID=00000117&amp;VAR:DATE=20050308&amp;action=UPDATE&amp;creator=factset&amp;DOC_NAME=FAT:FMA_audit_SUMMARY.fat&amp;DISPLAY_STRING=Display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2__FDSAUDITLINK__" localSheetId="6" hidden="1">{"fdsup://directions/FAT%20Viewer?VAR:PED=LTM&amp;VAR:AUDIT_MODE=SUMMARY&amp;VAR:PERIOD=FIXED&amp;VAR:AUDIT_ID=00000117&amp;VAR:DATE=20050307&amp;action=UPDATE&amp;creator=factset&amp;DOC_NAME=FAT:FMA_audit_SUMMARY.fat&amp;DISPLAY_STRING=Display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2__FDSAUDITLINK__" hidden="1">{"fdsup://directions/FAT%20Viewer?VAR:PED=LTM&amp;VAR:AUDIT_MODE=SUMMARY&amp;VAR:PERIOD=FIXED&amp;VAR:AUDIT_ID=00000117&amp;VAR:DATE=20050307&amp;action=UPDATE&amp;creator=factset&amp;DOC_NAME=FAT:FMA_audit_SUMMARY.fat&amp;DISPLAY_STRING=Display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3__FDSAUDITLINK__" localSheetId="6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3__FDSAUDITLINK__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4__FDSAUDITLINK__" localSheetId="6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4__FDSAUDITLINK__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5__FDSAUDITLINK__" localSheetId="6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5__FDSAUDITLINK__" hidden="1">{"fdsup://directions/FAT%20Viewer?VAR:PED=LTM&amp;VAR:AUDIT_MODE=SUMMARY&amp;VAR:PERIOD=FIXED&amp;VAR:AUDIT_ID=00000117&amp;VAR:DATE=20050304&amp;action=UPDATE&amp;creator=factset&amp;DOC_NAME=FAT:FMA_audit_SUMMARY.fat&amp;DISPLAY_STRING=Display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6__FDSAUDITLINK__" localSheetId="6" hidden="1">{"fdsup://directions/FAT%20Viewer?VAR:PED=LTM&amp;VAR:AUDIT_MODE=SUMMARY&amp;VAR:PERIOD=FIXED&amp;VAR:AUDIT_ID=00000117&amp;VAR:DATE=20050303&amp;action=UPDATE&amp;creator=factset&amp;DOC_NAME=FAT:FMA_audit_SUMMARY.fat&amp;DISPLAY_STRING=Display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6__FDSAUDITLINK__" hidden="1">{"fdsup://directions/FAT%20Viewer?VAR:PED=LTM&amp;VAR:AUDIT_MODE=SUMMARY&amp;VAR:PERIOD=FIXED&amp;VAR:AUDIT_ID=00000117&amp;VAR:DATE=20050303&amp;action=UPDATE&amp;creator=factset&amp;DOC_NAME=FAT:FMA_audit_SUMMARY.fat&amp;DISPLAY_STRING=Display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7__FDSAUDITLINK__" localSheetId="6" hidden="1">{"fdsup://directions/FAT%20Viewer?VAR:PED=LTM&amp;VAR:AUDIT_MODE=SUMMARY&amp;VAR:PERIOD=FIXED&amp;VAR:AUDIT_ID=00000117&amp;VAR:DATE=20050302&amp;action=UPDATE&amp;creator=factset&amp;DOC_NAME=FAT:FMA_audit_SUMMARY.fat&amp;DISPLAY_STRING=Display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7__FDSAUDITLINK__" hidden="1">{"fdsup://directions/FAT%20Viewer?VAR:PED=LTM&amp;VAR:AUDIT_MODE=SUMMARY&amp;VAR:PERIOD=FIXED&amp;VAR:AUDIT_ID=00000117&amp;VAR:DATE=20050302&amp;action=UPDATE&amp;creator=factset&amp;DOC_NAME=FAT:FMA_audit_SUMMARY.fat&amp;DISPLAY_STRING=Display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8__FDSAUDITLINK__" localSheetId="6" hidden="1">{"fdsup://directions/FAT%20Viewer?VAR:PED=LTM&amp;VAR:AUDIT_MODE=SUMMARY&amp;VAR:PERIOD=FIXED&amp;VAR:AUDIT_ID=00000117&amp;VAR:DATE=20050301&amp;action=UPDATE&amp;creator=factset&amp;DOC_NAME=FAT:FMA_audit_SUMMARY.fat&amp;DISPLAY_STRING=Display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8__FDSAUDITLINK__" hidden="1">{"fdsup://directions/FAT%20Viewer?VAR:PED=LTM&amp;VAR:AUDIT_MODE=SUMMARY&amp;VAR:PERIOD=FIXED&amp;VAR:AUDIT_ID=00000117&amp;VAR:DATE=20050301&amp;action=UPDATE&amp;creator=factset&amp;DOC_NAME=FAT:FMA_audit_SUMMARY.fat&amp;DISPLAY_STRING=Display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9__FDSAUDITLINK__" localSheetId="6" hidden="1">{"fdsup://directions/FAT%20Viewer?VAR:PED=LTM&amp;VAR:AUDIT_MODE=SUMMARY&amp;VAR:PERIOD=FIXED&amp;VAR:AUDIT_ID=00000117&amp;VAR:DATE=20050228&amp;action=UPDATE&amp;creator=factset&amp;DOC_NAME=FAT:FMA_audit_SUMMARY.fat&amp;DISPLAY_STRING=Display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19__FDSAUDITLINK__" hidden="1">{"fdsup://directions/FAT%20Viewer?VAR:PED=LTM&amp;VAR:AUDIT_MODE=SUMMARY&amp;VAR:PERIOD=FIXED&amp;VAR:AUDIT_ID=00000117&amp;VAR:DATE=20050228&amp;action=UPDATE&amp;creator=factset&amp;DOC_NAME=FAT:FMA_audit_SUMMARY.fat&amp;DISPLAY_STRING=Display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EBITDA&amp;VAR:CHGPERIOD=NA&amp;VAR:FQLFORMULA=FMA_EVAL_EBITDA&amp;VAR:CURRENCY=NA&amp;VAR:P=NA&amp;VAR:V=12.0","85911&amp;VAR:null=.html"}</definedName>
    <definedName name="_182__FDSAUDITLINK__" localSheetId="6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2__FDSAUDITLINK__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20__FDSAUDITLINK__" localSheetId="6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0__FDSAUDITLINK__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1__FDSAUDITLINK__" localSheetId="6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1__FDSAUDITLINK__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2__FDSAUDITLINK__" localSheetId="6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2__FDSAUDITLINK__" hidden="1">{"fdsup://directions/FAT%20Viewer?VAR:PED=LTM&amp;VAR:AUDIT_MODE=SUMMARY&amp;VAR:PERIOD=FIXED&amp;VAR:AUDIT_ID=00000117&amp;VAR:DATE=20050225&amp;action=UPDATE&amp;creator=factset&amp;DOC_NAME=FAT:FMA_audit_SUMMARY.fat&amp;DISPLAY_STRING=Display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3__FDSAUDITLINK__" localSheetId="6" hidden="1">{"fdsup://directions/FAT%20Viewer?VAR:PED=LTM&amp;VAR:AUDIT_MODE=SUMMARY&amp;VAR:PERIOD=FIXED&amp;VAR:AUDIT_ID=00000117&amp;VAR:DATE=20050224&amp;action=UPDATE&amp;creator=factset&amp;DOC_NAME=FAT:FMA_audit_SUMMARY.fat&amp;DISPLAY_STRING=Display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3__FDSAUDITLINK__" hidden="1">{"fdsup://directions/FAT%20Viewer?VAR:PED=LTM&amp;VAR:AUDIT_MODE=SUMMARY&amp;VAR:PERIOD=FIXED&amp;VAR:AUDIT_ID=00000117&amp;VAR:DATE=20050224&amp;action=UPDATE&amp;creator=factset&amp;DOC_NAME=FAT:FMA_audit_SUMMARY.fat&amp;DISPLAY_STRING=Display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4__FDSAUDITLINK__" localSheetId="6" hidden="1">{"fdsup://directions/FAT%20Viewer?VAR:PED=LTM&amp;VAR:AUDIT_MODE=SUMMARY&amp;VAR:PERIOD=FIXED&amp;VAR:AUDIT_ID=00000117&amp;VAR:DATE=20050223&amp;action=UPDATE&amp;creator=factset&amp;DOC_NAME=FAT:FMA_audit_SUMMARY.fat&amp;DISPLAY_STRING=Display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4__FDSAUDITLINK__" hidden="1">{"fdsup://directions/FAT%20Viewer?VAR:PED=LTM&amp;VAR:AUDIT_MODE=SUMMARY&amp;VAR:PERIOD=FIXED&amp;VAR:AUDIT_ID=00000117&amp;VAR:DATE=20050223&amp;action=UPDATE&amp;creator=factset&amp;DOC_NAME=FAT:FMA_audit_SUMMARY.fat&amp;DISPLAY_STRING=Display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5__FDSAUDITLINK__" localSheetId="6" hidden="1">{"fdsup://directions/FAT%20Viewer?VAR:PED=LTM&amp;VAR:AUDIT_MODE=SUMMARY&amp;VAR:PERIOD=FIXED&amp;VAR:AUDIT_ID=00000117&amp;VAR:DATE=20050222&amp;action=UPDATE&amp;creator=factset&amp;DOC_NAME=FAT:FMA_audit_SUMMARY.fat&amp;DISPLAY_STRING=Display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5__FDSAUDITLINK__" hidden="1">{"fdsup://directions/FAT%20Viewer?VAR:PED=LTM&amp;VAR:AUDIT_MODE=SUMMARY&amp;VAR:PERIOD=FIXED&amp;VAR:AUDIT_ID=00000117&amp;VAR:DATE=20050222&amp;action=UPDATE&amp;creator=factset&amp;DOC_NAME=FAT:FMA_audit_SUMMARY.fat&amp;DISPLAY_STRING=Display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6__FDSAUDITLINK__" localSheetId="6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6__FDSAUDITLINK__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7__FDSAUDITLINK__" localSheetId="6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7__FDSAUDITLINK__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8__FDSAUDITLINK__" localSheetId="6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8__FDSAUDITLINK__" hidden="1">{"fdsup://directions/FAT%20Viewer?VAR:PED=LTM&amp;VAR:AUDIT_MODE=SUMMARY&amp;VAR:PERIOD=FIXED&amp;VAR:AUDIT_ID=00000117&amp;VAR:DATE=20050218&amp;action=UPDATE&amp;creator=factset&amp;DOC_NAME=FAT:FMA_audit_SUMMARY.fat&amp;DISPLAY_STRING=Display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EBITDA&amp;VAR:CHGPERIOD=NA&amp;VAR:FQLFORMULA=FMA_EVAL_EBITDA&amp;VAR:CURRENCY=NA&amp;VAR:P=NA&amp;VAR:V=12.4","43103&amp;VAR:null=.html"}</definedName>
    <definedName name="_1829__FDSAUDITLINK__" localSheetId="6" hidden="1">{"fdsup://directions/FAT Viewer?action=UPDATE&amp;creator=factset&amp;DYN_ARGS=TRUE&amp;DOC_NAME=FAT:FQL_AUDITING_CLIENT_TEMPLATE.FAT&amp;display_string=Audit&amp;VAR:KEY=XSTQVAVUHC&amp;VAR:QUERY=RkZfRUJJVERBX0lCKCdMVE1TJyw0MDIyOSk=&amp;WINDOW=FIRST_POPUP&amp;HEIGHT=450&amp;WIDTH=450&amp;START_MA","XIMIZED=FALSE&amp;VAR:CALENDAR=US&amp;VAR:SYMBOL=05614P10&amp;VAR:INDEX=0"}</definedName>
    <definedName name="_1829__FDSAUDITLINK__" hidden="1">{"fdsup://directions/FAT Viewer?action=UPDATE&amp;creator=factset&amp;DYN_ARGS=TRUE&amp;DOC_NAME=FAT:FQL_AUDITING_CLIENT_TEMPLATE.FAT&amp;display_string=Audit&amp;VAR:KEY=XSTQVAVUHC&amp;VAR:QUERY=RkZfRUJJVERBX0lCKCdMVE1TJyw0MDIyOSk=&amp;WINDOW=FIRST_POPUP&amp;HEIGHT=450&amp;WIDTH=450&amp;START_MA","XIMIZED=FALSE&amp;VAR:CALENDAR=US&amp;VAR:SYMBOL=05614P10&amp;VAR:INDEX=0"}</definedName>
    <definedName name="_183__FDSAUDITLINK__" localSheetId="6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3__FDSAUDITLINK__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30__FDSAUDITLINK__" localSheetId="6" hidden="1">{"fdsup://directions/FAT Viewer?action=UPDATE&amp;creator=factset&amp;DYN_ARGS=TRUE&amp;DOC_NAME=FAT:FQL_AUDITING_CLIENT_TEMPLATE.FAT&amp;display_string=Audit&amp;VAR:KEY=ZCLAXMNGNU&amp;VAR:QUERY=RkZfRUJJVERBX0lCKCdMVE1TJyw0MDIyOCk=&amp;WINDOW=FIRST_POPUP&amp;HEIGHT=450&amp;WIDTH=450&amp;START_MA","XIMIZED=FALSE&amp;VAR:CALENDAR=US&amp;VAR:SYMBOL=05614P10&amp;VAR:INDEX=0"}</definedName>
    <definedName name="_1830__FDSAUDITLINK__" hidden="1">{"fdsup://directions/FAT Viewer?action=UPDATE&amp;creator=factset&amp;DYN_ARGS=TRUE&amp;DOC_NAME=FAT:FQL_AUDITING_CLIENT_TEMPLATE.FAT&amp;display_string=Audit&amp;VAR:KEY=ZCLAXMNGNU&amp;VAR:QUERY=RkZfRUJJVERBX0lCKCdMVE1TJyw0MDIyOCk=&amp;WINDOW=FIRST_POPUP&amp;HEIGHT=450&amp;WIDTH=450&amp;START_MA","XIMIZED=FALSE&amp;VAR:CALENDAR=US&amp;VAR:SYMBOL=05614P10&amp;VAR:INDEX=0"}</definedName>
    <definedName name="_1831__FDSAUDITLINK__" localSheetId="6" hidden="1">{"fdsup://directions/FAT Viewer?action=UPDATE&amp;creator=factset&amp;DYN_ARGS=TRUE&amp;DOC_NAME=FAT:FQL_AUDITING_CLIENT_TEMPLATE.FAT&amp;display_string=Audit&amp;VAR:KEY=JMLKPKDGHG&amp;VAR:QUERY=RkZfRUJJVERBX0lCKCdMVE1TJyw0MDIyNyk=&amp;WINDOW=FIRST_POPUP&amp;HEIGHT=450&amp;WIDTH=450&amp;START_MA","XIMIZED=FALSE&amp;VAR:CALENDAR=US&amp;VAR:SYMBOL=05614P10&amp;VAR:INDEX=0"}</definedName>
    <definedName name="_1831__FDSAUDITLINK__" hidden="1">{"fdsup://directions/FAT Viewer?action=UPDATE&amp;creator=factset&amp;DYN_ARGS=TRUE&amp;DOC_NAME=FAT:FQL_AUDITING_CLIENT_TEMPLATE.FAT&amp;display_string=Audit&amp;VAR:KEY=JMLKPKDGHG&amp;VAR:QUERY=RkZfRUJJVERBX0lCKCdMVE1TJyw0MDIyNyk=&amp;WINDOW=FIRST_POPUP&amp;HEIGHT=450&amp;WIDTH=450&amp;START_MA","XIMIZED=FALSE&amp;VAR:CALENDAR=US&amp;VAR:SYMBOL=05614P10&amp;VAR:INDEX=0"}</definedName>
    <definedName name="_1832__FDSAUDITLINK__" localSheetId="6" hidden="1">{"fdsup://directions/FAT Viewer?action=UPDATE&amp;creator=factset&amp;DYN_ARGS=TRUE&amp;DOC_NAME=FAT:FQL_AUDITING_CLIENT_TEMPLATE.FAT&amp;display_string=Audit&amp;VAR:KEY=NKBIHUNAXK&amp;VAR:QUERY=RkZfRUJJVERBX0lCKCdMVE1TJyw0MDIyNik=&amp;WINDOW=FIRST_POPUP&amp;HEIGHT=450&amp;WIDTH=450&amp;START_MA","XIMIZED=FALSE&amp;VAR:CALENDAR=US&amp;VAR:SYMBOL=05614P10&amp;VAR:INDEX=0"}</definedName>
    <definedName name="_1832__FDSAUDITLINK__" hidden="1">{"fdsup://directions/FAT Viewer?action=UPDATE&amp;creator=factset&amp;DYN_ARGS=TRUE&amp;DOC_NAME=FAT:FQL_AUDITING_CLIENT_TEMPLATE.FAT&amp;display_string=Audit&amp;VAR:KEY=NKBIHUNAXK&amp;VAR:QUERY=RkZfRUJJVERBX0lCKCdMVE1TJyw0MDIyNik=&amp;WINDOW=FIRST_POPUP&amp;HEIGHT=450&amp;WIDTH=450&amp;START_MA","XIMIZED=FALSE&amp;VAR:CALENDAR=US&amp;VAR:SYMBOL=05614P10&amp;VAR:INDEX=0"}</definedName>
    <definedName name="_1833__FDSAUDITLINK__" localSheetId="6" hidden="1">{"fdsup://directions/FAT Viewer?action=UPDATE&amp;creator=factset&amp;DYN_ARGS=TRUE&amp;DOC_NAME=FAT:FQL_AUDITING_CLIENT_TEMPLATE.FAT&amp;display_string=Audit&amp;VAR:KEY=PUHMTMXKJQ&amp;VAR:QUERY=RkZfRUJJVERBX0lCKCdMVE1TJyw0MDIyNSk=&amp;WINDOW=FIRST_POPUP&amp;HEIGHT=450&amp;WIDTH=450&amp;START_MA","XIMIZED=FALSE&amp;VAR:CALENDAR=US&amp;VAR:SYMBOL=05614P10&amp;VAR:INDEX=0"}</definedName>
    <definedName name="_1833__FDSAUDITLINK__" hidden="1">{"fdsup://directions/FAT Viewer?action=UPDATE&amp;creator=factset&amp;DYN_ARGS=TRUE&amp;DOC_NAME=FAT:FQL_AUDITING_CLIENT_TEMPLATE.FAT&amp;display_string=Audit&amp;VAR:KEY=PUHMTMXKJQ&amp;VAR:QUERY=RkZfRUJJVERBX0lCKCdMVE1TJyw0MDIyNSk=&amp;WINDOW=FIRST_POPUP&amp;HEIGHT=450&amp;WIDTH=450&amp;START_MA","XIMIZED=FALSE&amp;VAR:CALENDAR=US&amp;VAR:SYMBOL=05614P10&amp;VAR:INDEX=0"}</definedName>
    <definedName name="_1834__FDSAUDITLINK__" localSheetId="6" hidden="1">{"fdsup://directions/FAT Viewer?action=UPDATE&amp;creator=factset&amp;DYN_ARGS=TRUE&amp;DOC_NAME=FAT:FQL_AUDITING_CLIENT_TEMPLATE.FAT&amp;display_string=Audit&amp;VAR:KEY=PWPQDOZKRS&amp;VAR:QUERY=RkZfRUJJVERBX0lCKCdMVE1TJyw0MDIyMyk=&amp;WINDOW=FIRST_POPUP&amp;HEIGHT=450&amp;WIDTH=450&amp;START_MA","XIMIZED=FALSE&amp;VAR:CALENDAR=US&amp;VAR:SYMBOL=05614P10&amp;VAR:INDEX=0"}</definedName>
    <definedName name="_1834__FDSAUDITLINK__" hidden="1">{"fdsup://directions/FAT Viewer?action=UPDATE&amp;creator=factset&amp;DYN_ARGS=TRUE&amp;DOC_NAME=FAT:FQL_AUDITING_CLIENT_TEMPLATE.FAT&amp;display_string=Audit&amp;VAR:KEY=PWPQDOZKRS&amp;VAR:QUERY=RkZfRUJJVERBX0lCKCdMVE1TJyw0MDIyMyk=&amp;WINDOW=FIRST_POPUP&amp;HEIGHT=450&amp;WIDTH=450&amp;START_MA","XIMIZED=FALSE&amp;VAR:CALENDAR=US&amp;VAR:SYMBOL=05614P10&amp;VAR:INDEX=0"}</definedName>
    <definedName name="_1835__FDSAUDITLINK__" localSheetId="6" hidden="1">{"fdsup://directions/FAT Viewer?action=UPDATE&amp;creator=factset&amp;DYN_ARGS=TRUE&amp;DOC_NAME=FAT:FQL_AUDITING_CLIENT_TEMPLATE.FAT&amp;display_string=Audit&amp;VAR:KEY=BKJGPERMVS&amp;VAR:QUERY=RkZfRUJJVERBX0lCKCdMVE1TJyw0MDIyMik=&amp;WINDOW=FIRST_POPUP&amp;HEIGHT=450&amp;WIDTH=450&amp;START_MA","XIMIZED=FALSE&amp;VAR:CALENDAR=US&amp;VAR:SYMBOL=05614P10&amp;VAR:INDEX=0"}</definedName>
    <definedName name="_1835__FDSAUDITLINK__" hidden="1">{"fdsup://directions/FAT Viewer?action=UPDATE&amp;creator=factset&amp;DYN_ARGS=TRUE&amp;DOC_NAME=FAT:FQL_AUDITING_CLIENT_TEMPLATE.FAT&amp;display_string=Audit&amp;VAR:KEY=BKJGPERMVS&amp;VAR:QUERY=RkZfRUJJVERBX0lCKCdMVE1TJyw0MDIyMik=&amp;WINDOW=FIRST_POPUP&amp;HEIGHT=450&amp;WIDTH=450&amp;START_MA","XIMIZED=FALSE&amp;VAR:CALENDAR=US&amp;VAR:SYMBOL=05614P10&amp;VAR:INDEX=0"}</definedName>
    <definedName name="_1836__FDSAUDITLINK__" localSheetId="6" hidden="1">{"fdsup://directions/FAT Viewer?action=UPDATE&amp;creator=factset&amp;DYN_ARGS=TRUE&amp;DOC_NAME=FAT:FQL_AUDITING_CLIENT_TEMPLATE.FAT&amp;display_string=Audit&amp;VAR:KEY=ZULMPYHELS&amp;VAR:QUERY=RkZfRUJJVERBX0lCKCdMVE1TJyw0MDIyMSk=&amp;WINDOW=FIRST_POPUP&amp;HEIGHT=450&amp;WIDTH=450&amp;START_MA","XIMIZED=FALSE&amp;VAR:CALENDAR=US&amp;VAR:SYMBOL=05614P10&amp;VAR:INDEX=0"}</definedName>
    <definedName name="_1836__FDSAUDITLINK__" hidden="1">{"fdsup://directions/FAT Viewer?action=UPDATE&amp;creator=factset&amp;DYN_ARGS=TRUE&amp;DOC_NAME=FAT:FQL_AUDITING_CLIENT_TEMPLATE.FAT&amp;display_string=Audit&amp;VAR:KEY=ZULMPYHELS&amp;VAR:QUERY=RkZfRUJJVERBX0lCKCdMVE1TJyw0MDIyMSk=&amp;WINDOW=FIRST_POPUP&amp;HEIGHT=450&amp;WIDTH=450&amp;START_MA","XIMIZED=FALSE&amp;VAR:CALENDAR=US&amp;VAR:SYMBOL=05614P10&amp;VAR:INDEX=0"}</definedName>
    <definedName name="_1837__FDSAUDITLINK__" localSheetId="6" hidden="1">{"fdsup://directions/FAT Viewer?action=UPDATE&amp;creator=factset&amp;DYN_ARGS=TRUE&amp;DOC_NAME=FAT:FQL_AUDITING_CLIENT_TEMPLATE.FAT&amp;display_string=Audit&amp;VAR:KEY=VIFQXUDSHI&amp;VAR:QUERY=RkZfRUJJVERBX0lCKCdMVE1TJyw0MDIyMCk=&amp;WINDOW=FIRST_POPUP&amp;HEIGHT=450&amp;WIDTH=450&amp;START_MA","XIMIZED=FALSE&amp;VAR:CALENDAR=US&amp;VAR:SYMBOL=05614P10&amp;VAR:INDEX=0"}</definedName>
    <definedName name="_1837__FDSAUDITLINK__" hidden="1">{"fdsup://directions/FAT Viewer?action=UPDATE&amp;creator=factset&amp;DYN_ARGS=TRUE&amp;DOC_NAME=FAT:FQL_AUDITING_CLIENT_TEMPLATE.FAT&amp;display_string=Audit&amp;VAR:KEY=VIFQXUDSHI&amp;VAR:QUERY=RkZfRUJJVERBX0lCKCdMVE1TJyw0MDIyMCk=&amp;WINDOW=FIRST_POPUP&amp;HEIGHT=450&amp;WIDTH=450&amp;START_MA","XIMIZED=FALSE&amp;VAR:CALENDAR=US&amp;VAR:SYMBOL=05614P10&amp;VAR:INDEX=0"}</definedName>
    <definedName name="_1838__FDSAUDITLINK__" localSheetId="6" hidden="1">{"fdsup://directions/FAT Viewer?action=UPDATE&amp;creator=factset&amp;DYN_ARGS=TRUE&amp;DOC_NAME=FAT:FQL_AUDITING_CLIENT_TEMPLATE.FAT&amp;display_string=Audit&amp;VAR:KEY=TKLSVQXKLK&amp;VAR:QUERY=RkZfRUJJVERBX0lCKCdMVE1TJyw0MDIxOSk=&amp;WINDOW=FIRST_POPUP&amp;HEIGHT=450&amp;WIDTH=450&amp;START_MA","XIMIZED=FALSE&amp;VAR:CALENDAR=US&amp;VAR:SYMBOL=05614P10&amp;VAR:INDEX=0"}</definedName>
    <definedName name="_1838__FDSAUDITLINK__" hidden="1">{"fdsup://directions/FAT Viewer?action=UPDATE&amp;creator=factset&amp;DYN_ARGS=TRUE&amp;DOC_NAME=FAT:FQL_AUDITING_CLIENT_TEMPLATE.FAT&amp;display_string=Audit&amp;VAR:KEY=TKLSVQXKLK&amp;VAR:QUERY=RkZfRUJJVERBX0lCKCdMVE1TJyw0MDIxOSk=&amp;WINDOW=FIRST_POPUP&amp;HEIGHT=450&amp;WIDTH=450&amp;START_MA","XIMIZED=FALSE&amp;VAR:CALENDAR=US&amp;VAR:SYMBOL=05614P10&amp;VAR:INDEX=0"}</definedName>
    <definedName name="_1839__FDSAUDITLINK__" localSheetId="6" hidden="1">{"fdsup://directions/FAT Viewer?action=UPDATE&amp;creator=factset&amp;DYN_ARGS=TRUE&amp;DOC_NAME=FAT:FQL_AUDITING_CLIENT_TEMPLATE.FAT&amp;display_string=Audit&amp;VAR:KEY=TGVMLARKTC&amp;VAR:QUERY=RkZfRUJJVERBX0lCKCdMVE1TJyw0MDIxOCk=&amp;WINDOW=FIRST_POPUP&amp;HEIGHT=450&amp;WIDTH=450&amp;START_MA","XIMIZED=FALSE&amp;VAR:CALENDAR=US&amp;VAR:SYMBOL=05614P10&amp;VAR:INDEX=0"}</definedName>
    <definedName name="_1839__FDSAUDITLINK__" hidden="1">{"fdsup://directions/FAT Viewer?action=UPDATE&amp;creator=factset&amp;DYN_ARGS=TRUE&amp;DOC_NAME=FAT:FQL_AUDITING_CLIENT_TEMPLATE.FAT&amp;display_string=Audit&amp;VAR:KEY=TGVMLARKTC&amp;VAR:QUERY=RkZfRUJJVERBX0lCKCdMVE1TJyw0MDIxOCk=&amp;WINDOW=FIRST_POPUP&amp;HEIGHT=450&amp;WIDTH=450&amp;START_MA","XIMIZED=FALSE&amp;VAR:CALENDAR=US&amp;VAR:SYMBOL=05614P10&amp;VAR:INDEX=0"}</definedName>
    <definedName name="_184__FDSAUDITLINK__" localSheetId="6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4__FDSAUDITLINK__" hidden="1">{"fdsup://directions/FAT%20Viewer?VAR:PED=LTM&amp;VAR:AUDIT_MODE=SUMMARY&amp;VAR:PERIOD=FIXED&amp;VAR:AUDIT_ID=00000117&amp;VAR:DATE=20090821&amp;action=UPDATE&amp;creator=factset&amp;DOC_NAME=FAT:FMA_audit_SUMMARY.fat&amp;DISPLAY_STRING=Display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40__FDSAUDITLINK__" localSheetId="6" hidden="1">{"fdsup://directions/FAT Viewer?action=UPDATE&amp;creator=factset&amp;DYN_ARGS=TRUE&amp;DOC_NAME=FAT:FQL_AUDITING_CLIENT_TEMPLATE.FAT&amp;display_string=Audit&amp;VAR:KEY=TGFAXOPUFW&amp;VAR:QUERY=RkZfRUJJVERBX0lCKCdMVE1TJyw0MDIxNyk=&amp;WINDOW=FIRST_POPUP&amp;HEIGHT=450&amp;WIDTH=450&amp;START_MA","XIMIZED=FALSE&amp;VAR:CALENDAR=US&amp;VAR:SYMBOL=05614P10&amp;VAR:INDEX=0"}</definedName>
    <definedName name="_1840__FDSAUDITLINK__" hidden="1">{"fdsup://directions/FAT Viewer?action=UPDATE&amp;creator=factset&amp;DYN_ARGS=TRUE&amp;DOC_NAME=FAT:FQL_AUDITING_CLIENT_TEMPLATE.FAT&amp;display_string=Audit&amp;VAR:KEY=TGFAXOPUFW&amp;VAR:QUERY=RkZfRUJJVERBX0lCKCdMVE1TJyw0MDIxNyk=&amp;WINDOW=FIRST_POPUP&amp;HEIGHT=450&amp;WIDTH=450&amp;START_MA","XIMIZED=FALSE&amp;VAR:CALENDAR=US&amp;VAR:SYMBOL=05614P10&amp;VAR:INDEX=0"}</definedName>
    <definedName name="_1841__FDSAUDITLINK__" localSheetId="6" hidden="1">{"fdsup://directions/FAT Viewer?action=UPDATE&amp;creator=factset&amp;DYN_ARGS=TRUE&amp;DOC_NAME=FAT:FQL_AUDITING_CLIENT_TEMPLATE.FAT&amp;display_string=Audit&amp;VAR:KEY=DCFCXKDCHG&amp;VAR:QUERY=RkZfRUJJVERBX0lCKCdMVE1TJyw0MDIxNik=&amp;WINDOW=FIRST_POPUP&amp;HEIGHT=450&amp;WIDTH=450&amp;START_MA","XIMIZED=FALSE&amp;VAR:CALENDAR=US&amp;VAR:SYMBOL=05614P10&amp;VAR:INDEX=0"}</definedName>
    <definedName name="_1841__FDSAUDITLINK__" hidden="1">{"fdsup://directions/FAT Viewer?action=UPDATE&amp;creator=factset&amp;DYN_ARGS=TRUE&amp;DOC_NAME=FAT:FQL_AUDITING_CLIENT_TEMPLATE.FAT&amp;display_string=Audit&amp;VAR:KEY=DCFCXKDCHG&amp;VAR:QUERY=RkZfRUJJVERBX0lCKCdMVE1TJyw0MDIxNik=&amp;WINDOW=FIRST_POPUP&amp;HEIGHT=450&amp;WIDTH=450&amp;START_MA","XIMIZED=FALSE&amp;VAR:CALENDAR=US&amp;VAR:SYMBOL=05614P10&amp;VAR:INDEX=0"}</definedName>
    <definedName name="_1842__FDSAUDITLINK__" localSheetId="6" hidden="1">{"fdsup://directions/FAT Viewer?action=UPDATE&amp;creator=factset&amp;DYN_ARGS=TRUE&amp;DOC_NAME=FAT:FQL_AUDITING_CLIENT_TEMPLATE.FAT&amp;display_string=Audit&amp;VAR:KEY=ZUTUZKXULY&amp;VAR:QUERY=RkZfRUJJVERBX0lCKCdMVE1TJyw0MDIxNSk=&amp;WINDOW=FIRST_POPUP&amp;HEIGHT=450&amp;WIDTH=450&amp;START_MA","XIMIZED=FALSE&amp;VAR:CALENDAR=US&amp;VAR:SYMBOL=05614P10&amp;VAR:INDEX=0"}</definedName>
    <definedName name="_1842__FDSAUDITLINK__" hidden="1">{"fdsup://directions/FAT Viewer?action=UPDATE&amp;creator=factset&amp;DYN_ARGS=TRUE&amp;DOC_NAME=FAT:FQL_AUDITING_CLIENT_TEMPLATE.FAT&amp;display_string=Audit&amp;VAR:KEY=ZUTUZKXULY&amp;VAR:QUERY=RkZfRUJJVERBX0lCKCdMVE1TJyw0MDIxNSk=&amp;WINDOW=FIRST_POPUP&amp;HEIGHT=450&amp;WIDTH=450&amp;START_MA","XIMIZED=FALSE&amp;VAR:CALENDAR=US&amp;VAR:SYMBOL=05614P10&amp;VAR:INDEX=0"}</definedName>
    <definedName name="_1843__FDSAUDITLINK__" localSheetId="6" hidden="1">{"fdsup://directions/FAT Viewer?action=UPDATE&amp;creator=factset&amp;DYN_ARGS=TRUE&amp;DOC_NAME=FAT:FQL_AUDITING_CLIENT_TEMPLATE.FAT&amp;display_string=Audit&amp;VAR:KEY=HWFWVMBANM&amp;VAR:QUERY=RkZfRUJJVERBX0lCKCdMVE1TJyw0MDIxNCk=&amp;WINDOW=FIRST_POPUP&amp;HEIGHT=450&amp;WIDTH=450&amp;START_MA","XIMIZED=FALSE&amp;VAR:CALENDAR=US&amp;VAR:SYMBOL=05614P10&amp;VAR:INDEX=0"}</definedName>
    <definedName name="_1843__FDSAUDITLINK__" hidden="1">{"fdsup://directions/FAT Viewer?action=UPDATE&amp;creator=factset&amp;DYN_ARGS=TRUE&amp;DOC_NAME=FAT:FQL_AUDITING_CLIENT_TEMPLATE.FAT&amp;display_string=Audit&amp;VAR:KEY=HWFWVMBANM&amp;VAR:QUERY=RkZfRUJJVERBX0lCKCdMVE1TJyw0MDIxNCk=&amp;WINDOW=FIRST_POPUP&amp;HEIGHT=450&amp;WIDTH=450&amp;START_MA","XIMIZED=FALSE&amp;VAR:CALENDAR=US&amp;VAR:SYMBOL=05614P10&amp;VAR:INDEX=0"}</definedName>
    <definedName name="_1844__FDSAUDITLINK__" localSheetId="6" hidden="1">{"fdsup://directions/FAT Viewer?action=UPDATE&amp;creator=factset&amp;DYN_ARGS=TRUE&amp;DOC_NAME=FAT:FQL_AUDITING_CLIENT_TEMPLATE.FAT&amp;display_string=Audit&amp;VAR:KEY=XODALGVGDW&amp;VAR:QUERY=RkZfRUJJVERBX0lCKCdMVE1TJyw0MDIxMyk=&amp;WINDOW=FIRST_POPUP&amp;HEIGHT=450&amp;WIDTH=450&amp;START_MA","XIMIZED=FALSE&amp;VAR:CALENDAR=US&amp;VAR:SYMBOL=05614P10&amp;VAR:INDEX=0"}</definedName>
    <definedName name="_1844__FDSAUDITLINK__" hidden="1">{"fdsup://directions/FAT Viewer?action=UPDATE&amp;creator=factset&amp;DYN_ARGS=TRUE&amp;DOC_NAME=FAT:FQL_AUDITING_CLIENT_TEMPLATE.FAT&amp;display_string=Audit&amp;VAR:KEY=XODALGVGDW&amp;VAR:QUERY=RkZfRUJJVERBX0lCKCdMVE1TJyw0MDIxMyk=&amp;WINDOW=FIRST_POPUP&amp;HEIGHT=450&amp;WIDTH=450&amp;START_MA","XIMIZED=FALSE&amp;VAR:CALENDAR=US&amp;VAR:SYMBOL=05614P10&amp;VAR:INDEX=0"}</definedName>
    <definedName name="_1845__FDSAUDITLINK__" localSheetId="6" hidden="1">{"fdsup://directions/FAT Viewer?action=UPDATE&amp;creator=factset&amp;DYN_ARGS=TRUE&amp;DOC_NAME=FAT:FQL_AUDITING_CLIENT_TEMPLATE.FAT&amp;display_string=Audit&amp;VAR:KEY=PUDCRQHAPY&amp;VAR:QUERY=RkZfRUJJVERBX0lCKCdMVE1TJyw0MDIxMik=&amp;WINDOW=FIRST_POPUP&amp;HEIGHT=450&amp;WIDTH=450&amp;START_MA","XIMIZED=FALSE&amp;VAR:CALENDAR=US&amp;VAR:SYMBOL=05614P10&amp;VAR:INDEX=0"}</definedName>
    <definedName name="_1845__FDSAUDITLINK__" hidden="1">{"fdsup://directions/FAT Viewer?action=UPDATE&amp;creator=factset&amp;DYN_ARGS=TRUE&amp;DOC_NAME=FAT:FQL_AUDITING_CLIENT_TEMPLATE.FAT&amp;display_string=Audit&amp;VAR:KEY=PUDCRQHAPY&amp;VAR:QUERY=RkZfRUJJVERBX0lCKCdMVE1TJyw0MDIxMik=&amp;WINDOW=FIRST_POPUP&amp;HEIGHT=450&amp;WIDTH=450&amp;START_MA","XIMIZED=FALSE&amp;VAR:CALENDAR=US&amp;VAR:SYMBOL=05614P10&amp;VAR:INDEX=0"}</definedName>
    <definedName name="_1846__FDSAUDITLINK__" localSheetId="6" hidden="1">{"fdsup://directions/FAT Viewer?action=UPDATE&amp;creator=factset&amp;DYN_ARGS=TRUE&amp;DOC_NAME=FAT:FQL_AUDITING_CLIENT_TEMPLATE.FAT&amp;display_string=Audit&amp;VAR:KEY=XIJGLQPEDE&amp;VAR:QUERY=RkZfRUJJVERBX0lCKCdMVE1TJyw0MDIxMSk=&amp;WINDOW=FIRST_POPUP&amp;HEIGHT=450&amp;WIDTH=450&amp;START_MA","XIMIZED=FALSE&amp;VAR:CALENDAR=US&amp;VAR:SYMBOL=05614P10&amp;VAR:INDEX=0"}</definedName>
    <definedName name="_1846__FDSAUDITLINK__" hidden="1">{"fdsup://directions/FAT Viewer?action=UPDATE&amp;creator=factset&amp;DYN_ARGS=TRUE&amp;DOC_NAME=FAT:FQL_AUDITING_CLIENT_TEMPLATE.FAT&amp;display_string=Audit&amp;VAR:KEY=XIJGLQPEDE&amp;VAR:QUERY=RkZfRUJJVERBX0lCKCdMVE1TJyw0MDIxMSk=&amp;WINDOW=FIRST_POPUP&amp;HEIGHT=450&amp;WIDTH=450&amp;START_MA","XIMIZED=FALSE&amp;VAR:CALENDAR=US&amp;VAR:SYMBOL=05614P10&amp;VAR:INDEX=0"}</definedName>
    <definedName name="_1847__FDSAUDITLINK__" localSheetId="6" hidden="1">{"fdsup://directions/FAT Viewer?action=UPDATE&amp;creator=factset&amp;DYN_ARGS=TRUE&amp;DOC_NAME=FAT:FQL_AUDITING_CLIENT_TEMPLATE.FAT&amp;display_string=Audit&amp;VAR:KEY=PGZAZEDQTO&amp;VAR:QUERY=RkZfRUJJVERBX0lCKCdMVE1TJyw0MDIxMCk=&amp;WINDOW=FIRST_POPUP&amp;HEIGHT=450&amp;WIDTH=450&amp;START_MA","XIMIZED=FALSE&amp;VAR:CALENDAR=US&amp;VAR:SYMBOL=05614P10&amp;VAR:INDEX=0"}</definedName>
    <definedName name="_1847__FDSAUDITLINK__" hidden="1">{"fdsup://directions/FAT Viewer?action=UPDATE&amp;creator=factset&amp;DYN_ARGS=TRUE&amp;DOC_NAME=FAT:FQL_AUDITING_CLIENT_TEMPLATE.FAT&amp;display_string=Audit&amp;VAR:KEY=PGZAZEDQTO&amp;VAR:QUERY=RkZfRUJJVERBX0lCKCdMVE1TJyw0MDIxMCk=&amp;WINDOW=FIRST_POPUP&amp;HEIGHT=450&amp;WIDTH=450&amp;START_MA","XIMIZED=FALSE&amp;VAR:CALENDAR=US&amp;VAR:SYMBOL=05614P10&amp;VAR:INDEX=0"}</definedName>
    <definedName name="_1848__FDSAUDITLINK__" localSheetId="6" hidden="1">{"fdsup://directions/FAT Viewer?action=UPDATE&amp;creator=factset&amp;DYN_ARGS=TRUE&amp;DOC_NAME=FAT:FQL_AUDITING_CLIENT_TEMPLATE.FAT&amp;display_string=Audit&amp;VAR:KEY=DOVWPIBMXW&amp;VAR:QUERY=RkZfRUJJVERBX0lCKCdMVE1TJyw0MDIwOSk=&amp;WINDOW=FIRST_POPUP&amp;HEIGHT=450&amp;WIDTH=450&amp;START_MA","XIMIZED=FALSE&amp;VAR:CALENDAR=US&amp;VAR:SYMBOL=05614P10&amp;VAR:INDEX=0"}</definedName>
    <definedName name="_1848__FDSAUDITLINK__" hidden="1">{"fdsup://directions/FAT Viewer?action=UPDATE&amp;creator=factset&amp;DYN_ARGS=TRUE&amp;DOC_NAME=FAT:FQL_AUDITING_CLIENT_TEMPLATE.FAT&amp;display_string=Audit&amp;VAR:KEY=DOVWPIBMXW&amp;VAR:QUERY=RkZfRUJJVERBX0lCKCdMVE1TJyw0MDIwOSk=&amp;WINDOW=FIRST_POPUP&amp;HEIGHT=450&amp;WIDTH=450&amp;START_MA","XIMIZED=FALSE&amp;VAR:CALENDAR=US&amp;VAR:SYMBOL=05614P10&amp;VAR:INDEX=0"}</definedName>
    <definedName name="_1849__FDSAUDITLINK__" localSheetId="6" hidden="1">{"fdsup://directions/FAT Viewer?action=UPDATE&amp;creator=factset&amp;DYN_ARGS=TRUE&amp;DOC_NAME=FAT:FQL_AUDITING_CLIENT_TEMPLATE.FAT&amp;display_string=Audit&amp;VAR:KEY=XSLEZOFUNE&amp;VAR:QUERY=RkZfRUJJVERBX0lCKCdMVE1TJyw0MDIwOCk=&amp;WINDOW=FIRST_POPUP&amp;HEIGHT=450&amp;WIDTH=450&amp;START_MA","XIMIZED=FALSE&amp;VAR:CALENDAR=US&amp;VAR:SYMBOL=05614P10&amp;VAR:INDEX=0"}</definedName>
    <definedName name="_1849__FDSAUDITLINK__" hidden="1">{"fdsup://directions/FAT Viewer?action=UPDATE&amp;creator=factset&amp;DYN_ARGS=TRUE&amp;DOC_NAME=FAT:FQL_AUDITING_CLIENT_TEMPLATE.FAT&amp;display_string=Audit&amp;VAR:KEY=XSLEZOFUNE&amp;VAR:QUERY=RkZfRUJJVERBX0lCKCdMVE1TJyw0MDIwOCk=&amp;WINDOW=FIRST_POPUP&amp;HEIGHT=450&amp;WIDTH=450&amp;START_MA","XIMIZED=FALSE&amp;VAR:CALENDAR=US&amp;VAR:SYMBOL=05614P10&amp;VAR:INDEX=0"}</definedName>
    <definedName name="_185__FDSAUDITLINK__" localSheetId="6" hidden="1">{"fdsup://directions/FAT%20Viewer?VAR:PED=LTM&amp;VAR:AUDIT_MODE=SUMMARY&amp;VAR:PERIOD=FIXED&amp;VAR:AUDIT_ID=00000117&amp;VAR:DATE=20090820&amp;action=UPDATE&amp;creator=factset&amp;DOC_NAME=FAT:FMA_audit_SUMMARY.fat&amp;DISPLAY_STRING=Display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5__FDSAUDITLINK__" hidden="1">{"fdsup://directions/FAT%20Viewer?VAR:PED=LTM&amp;VAR:AUDIT_MODE=SUMMARY&amp;VAR:PERIOD=FIXED&amp;VAR:AUDIT_ID=00000117&amp;VAR:DATE=20090820&amp;action=UPDATE&amp;creator=factset&amp;DOC_NAME=FAT:FMA_audit_SUMMARY.fat&amp;DISPLAY_STRING=Display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50__FDSAUDITLINK__" localSheetId="6" hidden="1">{"fdsup://directions/FAT Viewer?action=UPDATE&amp;creator=factset&amp;DYN_ARGS=TRUE&amp;DOC_NAME=FAT:FQL_AUDITING_CLIENT_TEMPLATE.FAT&amp;display_string=Audit&amp;VAR:KEY=HGTSPERWJI&amp;VAR:QUERY=RkZfRUJJVERBX0lCKCdMVE1TJyw0MDIwNyk=&amp;WINDOW=FIRST_POPUP&amp;HEIGHT=450&amp;WIDTH=450&amp;START_MA","XIMIZED=FALSE&amp;VAR:CALENDAR=US&amp;VAR:SYMBOL=05614P10&amp;VAR:INDEX=0"}</definedName>
    <definedName name="_1850__FDSAUDITLINK__" hidden="1">{"fdsup://directions/FAT Viewer?action=UPDATE&amp;creator=factset&amp;DYN_ARGS=TRUE&amp;DOC_NAME=FAT:FQL_AUDITING_CLIENT_TEMPLATE.FAT&amp;display_string=Audit&amp;VAR:KEY=HGTSPERWJI&amp;VAR:QUERY=RkZfRUJJVERBX0lCKCdMVE1TJyw0MDIwNyk=&amp;WINDOW=FIRST_POPUP&amp;HEIGHT=450&amp;WIDTH=450&amp;START_MA","XIMIZED=FALSE&amp;VAR:CALENDAR=US&amp;VAR:SYMBOL=05614P10&amp;VAR:INDEX=0"}</definedName>
    <definedName name="_1851__FDSAUDITLINK__" localSheetId="6" hidden="1">{"fdsup://directions/FAT Viewer?action=UPDATE&amp;creator=factset&amp;DYN_ARGS=TRUE&amp;DOC_NAME=FAT:FQL_AUDITING_CLIENT_TEMPLATE.FAT&amp;display_string=Audit&amp;VAR:KEY=TCVUNGFIJU&amp;VAR:QUERY=RkZfRUJJVERBX0lCKCdMVE1TJyw0MDIwNik=&amp;WINDOW=FIRST_POPUP&amp;HEIGHT=450&amp;WIDTH=450&amp;START_MA","XIMIZED=FALSE&amp;VAR:CALENDAR=US&amp;VAR:SYMBOL=05614P10&amp;VAR:INDEX=0"}</definedName>
    <definedName name="_1851__FDSAUDITLINK__" hidden="1">{"fdsup://directions/FAT Viewer?action=UPDATE&amp;creator=factset&amp;DYN_ARGS=TRUE&amp;DOC_NAME=FAT:FQL_AUDITING_CLIENT_TEMPLATE.FAT&amp;display_string=Audit&amp;VAR:KEY=TCVUNGFIJU&amp;VAR:QUERY=RkZfRUJJVERBX0lCKCdMVE1TJyw0MDIwNik=&amp;WINDOW=FIRST_POPUP&amp;HEIGHT=450&amp;WIDTH=450&amp;START_MA","XIMIZED=FALSE&amp;VAR:CALENDAR=US&amp;VAR:SYMBOL=05614P10&amp;VAR:INDEX=0"}</definedName>
    <definedName name="_1852__FDSAUDITLINK__" localSheetId="6" hidden="1">{"fdsup://directions/FAT Viewer?action=UPDATE&amp;creator=factset&amp;DYN_ARGS=TRUE&amp;DOC_NAME=FAT:FQL_AUDITING_CLIENT_TEMPLATE.FAT&amp;display_string=Audit&amp;VAR:KEY=JMLMXEBKRI&amp;VAR:QUERY=RkZfRUJJVERBX0lCKCdMVE1TJyw0MDIwNSk=&amp;WINDOW=FIRST_POPUP&amp;HEIGHT=450&amp;WIDTH=450&amp;START_MA","XIMIZED=FALSE&amp;VAR:CALENDAR=US&amp;VAR:SYMBOL=05614P10&amp;VAR:INDEX=0"}</definedName>
    <definedName name="_1852__FDSAUDITLINK__" hidden="1">{"fdsup://directions/FAT Viewer?action=UPDATE&amp;creator=factset&amp;DYN_ARGS=TRUE&amp;DOC_NAME=FAT:FQL_AUDITING_CLIENT_TEMPLATE.FAT&amp;display_string=Audit&amp;VAR:KEY=JMLMXEBKRI&amp;VAR:QUERY=RkZfRUJJVERBX0lCKCdMVE1TJyw0MDIwNSk=&amp;WINDOW=FIRST_POPUP&amp;HEIGHT=450&amp;WIDTH=450&amp;START_MA","XIMIZED=FALSE&amp;VAR:CALENDAR=US&amp;VAR:SYMBOL=05614P10&amp;VAR:INDEX=0"}</definedName>
    <definedName name="_1853__FDSAUDITLINK__" localSheetId="6" hidden="1">{"fdsup://directions/FAT Viewer?action=UPDATE&amp;creator=factset&amp;DYN_ARGS=TRUE&amp;DOC_NAME=FAT:FQL_AUDITING_CLIENT_TEMPLATE.FAT&amp;display_string=Audit&amp;VAR:KEY=TILILOJOBA&amp;VAR:QUERY=RkZfRUJJVERBX0lCKCdMVE1TJyw0MDIwNCk=&amp;WINDOW=FIRST_POPUP&amp;HEIGHT=450&amp;WIDTH=450&amp;START_MA","XIMIZED=FALSE&amp;VAR:CALENDAR=US&amp;VAR:SYMBOL=05614P10&amp;VAR:INDEX=0"}</definedName>
    <definedName name="_1853__FDSAUDITLINK__" hidden="1">{"fdsup://directions/FAT Viewer?action=UPDATE&amp;creator=factset&amp;DYN_ARGS=TRUE&amp;DOC_NAME=FAT:FQL_AUDITING_CLIENT_TEMPLATE.FAT&amp;display_string=Audit&amp;VAR:KEY=TILILOJOBA&amp;VAR:QUERY=RkZfRUJJVERBX0lCKCdMVE1TJyw0MDIwNCk=&amp;WINDOW=FIRST_POPUP&amp;HEIGHT=450&amp;WIDTH=450&amp;START_MA","XIMIZED=FALSE&amp;VAR:CALENDAR=US&amp;VAR:SYMBOL=05614P10&amp;VAR:INDEX=0"}</definedName>
    <definedName name="_1854__FDSAUDITLINK__" localSheetId="6" hidden="1">{"fdsup://directions/FAT Viewer?action=UPDATE&amp;creator=factset&amp;DYN_ARGS=TRUE&amp;DOC_NAME=FAT:FQL_AUDITING_CLIENT_TEMPLATE.FAT&amp;display_string=Audit&amp;VAR:KEY=HUVORGFETA&amp;VAR:QUERY=RkZfRUJJVERBX0lCKCdMVE1TJyw0MDIwMyk=&amp;WINDOW=FIRST_POPUP&amp;HEIGHT=450&amp;WIDTH=450&amp;START_MA","XIMIZED=FALSE&amp;VAR:CALENDAR=US&amp;VAR:SYMBOL=05614P10&amp;VAR:INDEX=0"}</definedName>
    <definedName name="_1854__FDSAUDITLINK__" hidden="1">{"fdsup://directions/FAT Viewer?action=UPDATE&amp;creator=factset&amp;DYN_ARGS=TRUE&amp;DOC_NAME=FAT:FQL_AUDITING_CLIENT_TEMPLATE.FAT&amp;display_string=Audit&amp;VAR:KEY=HUVORGFETA&amp;VAR:QUERY=RkZfRUJJVERBX0lCKCdMVE1TJyw0MDIwMyk=&amp;WINDOW=FIRST_POPUP&amp;HEIGHT=450&amp;WIDTH=450&amp;START_MA","XIMIZED=FALSE&amp;VAR:CALENDAR=US&amp;VAR:SYMBOL=05614P10&amp;VAR:INDEX=0"}</definedName>
    <definedName name="_1855__FDSAUDITLINK__" localSheetId="6" hidden="1">{"fdsup://directions/FAT Viewer?action=UPDATE&amp;creator=factset&amp;DYN_ARGS=TRUE&amp;DOC_NAME=FAT:FQL_AUDITING_CLIENT_TEMPLATE.FAT&amp;display_string=Audit&amp;VAR:KEY=LCRWJYVIRC&amp;VAR:QUERY=RkZfRUJJVERBX0lCKCdMVE1TJyw0MDIwMik=&amp;WINDOW=FIRST_POPUP&amp;HEIGHT=450&amp;WIDTH=450&amp;START_MA","XIMIZED=FALSE&amp;VAR:CALENDAR=US&amp;VAR:SYMBOL=05614P10&amp;VAR:INDEX=0"}</definedName>
    <definedName name="_1855__FDSAUDITLINK__" hidden="1">{"fdsup://directions/FAT Viewer?action=UPDATE&amp;creator=factset&amp;DYN_ARGS=TRUE&amp;DOC_NAME=FAT:FQL_AUDITING_CLIENT_TEMPLATE.FAT&amp;display_string=Audit&amp;VAR:KEY=LCRWJYVIRC&amp;VAR:QUERY=RkZfRUJJVERBX0lCKCdMVE1TJyw0MDIwMik=&amp;WINDOW=FIRST_POPUP&amp;HEIGHT=450&amp;WIDTH=450&amp;START_MA","XIMIZED=FALSE&amp;VAR:CALENDAR=US&amp;VAR:SYMBOL=05614P10&amp;VAR:INDEX=0"}</definedName>
    <definedName name="_1856__FDSAUDITLINK__" localSheetId="6" hidden="1">{"fdsup://directions/FAT Viewer?action=UPDATE&amp;creator=factset&amp;DYN_ARGS=TRUE&amp;DOC_NAME=FAT:FQL_AUDITING_CLIENT_TEMPLATE.FAT&amp;display_string=Audit&amp;VAR:KEY=NAPYNEBSHU&amp;VAR:QUERY=RkZfRUJJVERBX0lCKCdMVE1TJyw0MDIwMSk=&amp;WINDOW=FIRST_POPUP&amp;HEIGHT=450&amp;WIDTH=450&amp;START_MA","XIMIZED=FALSE&amp;VAR:CALENDAR=US&amp;VAR:SYMBOL=05614P10&amp;VAR:INDEX=0"}</definedName>
    <definedName name="_1856__FDSAUDITLINK__" hidden="1">{"fdsup://directions/FAT Viewer?action=UPDATE&amp;creator=factset&amp;DYN_ARGS=TRUE&amp;DOC_NAME=FAT:FQL_AUDITING_CLIENT_TEMPLATE.FAT&amp;display_string=Audit&amp;VAR:KEY=NAPYNEBSHU&amp;VAR:QUERY=RkZfRUJJVERBX0lCKCdMVE1TJyw0MDIwMSk=&amp;WINDOW=FIRST_POPUP&amp;HEIGHT=450&amp;WIDTH=450&amp;START_MA","XIMIZED=FALSE&amp;VAR:CALENDAR=US&amp;VAR:SYMBOL=05614P10&amp;VAR:INDEX=0"}</definedName>
    <definedName name="_1857__FDSAUDITLINK__" localSheetId="6" hidden="1">{"fdsup://directions/FAT Viewer?action=UPDATE&amp;creator=factset&amp;DYN_ARGS=TRUE&amp;DOC_NAME=FAT:FQL_AUDITING_CLIENT_TEMPLATE.FAT&amp;display_string=Audit&amp;VAR:KEY=TQVSXAHYPE&amp;VAR:QUERY=RkZfRUJJVERBX0lCKCdMVE1TJyw0MDIwMCk=&amp;WINDOW=FIRST_POPUP&amp;HEIGHT=450&amp;WIDTH=450&amp;START_MA","XIMIZED=FALSE&amp;VAR:CALENDAR=US&amp;VAR:SYMBOL=05614P10&amp;VAR:INDEX=0"}</definedName>
    <definedName name="_1857__FDSAUDITLINK__" hidden="1">{"fdsup://directions/FAT Viewer?action=UPDATE&amp;creator=factset&amp;DYN_ARGS=TRUE&amp;DOC_NAME=FAT:FQL_AUDITING_CLIENT_TEMPLATE.FAT&amp;display_string=Audit&amp;VAR:KEY=TQVSXAHYPE&amp;VAR:QUERY=RkZfRUJJVERBX0lCKCdMVE1TJyw0MDIwMCk=&amp;WINDOW=FIRST_POPUP&amp;HEIGHT=450&amp;WIDTH=450&amp;START_MA","XIMIZED=FALSE&amp;VAR:CALENDAR=US&amp;VAR:SYMBOL=05614P10&amp;VAR:INDEX=0"}</definedName>
    <definedName name="_1858__FDSAUDITLINK__" localSheetId="6" hidden="1">{"fdsup://directions/FAT Viewer?action=UPDATE&amp;creator=factset&amp;DYN_ARGS=TRUE&amp;DOC_NAME=FAT:FQL_AUDITING_CLIENT_TEMPLATE.FAT&amp;display_string=Audit&amp;VAR:KEY=LWTCVSZQTW&amp;VAR:QUERY=RkZfRUJJVERBX0lCKCdMVE1TJyw0MDE5OSk=&amp;WINDOW=FIRST_POPUP&amp;HEIGHT=450&amp;WIDTH=450&amp;START_MA","XIMIZED=FALSE&amp;VAR:CALENDAR=US&amp;VAR:SYMBOL=05614P10&amp;VAR:INDEX=0"}</definedName>
    <definedName name="_1858__FDSAUDITLINK__" hidden="1">{"fdsup://directions/FAT Viewer?action=UPDATE&amp;creator=factset&amp;DYN_ARGS=TRUE&amp;DOC_NAME=FAT:FQL_AUDITING_CLIENT_TEMPLATE.FAT&amp;display_string=Audit&amp;VAR:KEY=LWTCVSZQTW&amp;VAR:QUERY=RkZfRUJJVERBX0lCKCdMVE1TJyw0MDE5OSk=&amp;WINDOW=FIRST_POPUP&amp;HEIGHT=450&amp;WIDTH=450&amp;START_MA","XIMIZED=FALSE&amp;VAR:CALENDAR=US&amp;VAR:SYMBOL=05614P10&amp;VAR:INDEX=0"}</definedName>
    <definedName name="_1859__FDSAUDITLINK__" localSheetId="6" hidden="1">{"fdsup://directions/FAT Viewer?action=UPDATE&amp;creator=factset&amp;DYN_ARGS=TRUE&amp;DOC_NAME=FAT:FQL_AUDITING_CLIENT_TEMPLATE.FAT&amp;display_string=Audit&amp;VAR:KEY=DEVWLMJKJK&amp;VAR:QUERY=RkZfRUJJVERBX0lCKCdMVE1TJyw0MDE5OCk=&amp;WINDOW=FIRST_POPUP&amp;HEIGHT=450&amp;WIDTH=450&amp;START_MA","XIMIZED=FALSE&amp;VAR:CALENDAR=US&amp;VAR:SYMBOL=05614P10&amp;VAR:INDEX=0"}</definedName>
    <definedName name="_1859__FDSAUDITLINK__" hidden="1">{"fdsup://directions/FAT Viewer?action=UPDATE&amp;creator=factset&amp;DYN_ARGS=TRUE&amp;DOC_NAME=FAT:FQL_AUDITING_CLIENT_TEMPLATE.FAT&amp;display_string=Audit&amp;VAR:KEY=DEVWLMJKJK&amp;VAR:QUERY=RkZfRUJJVERBX0lCKCdMVE1TJyw0MDE5OCk=&amp;WINDOW=FIRST_POPUP&amp;HEIGHT=450&amp;WIDTH=450&amp;START_MA","XIMIZED=FALSE&amp;VAR:CALENDAR=US&amp;VAR:SYMBOL=05614P10&amp;VAR:INDEX=0"}</definedName>
    <definedName name="_186__FDSAUDITLINK__" localSheetId="6" hidden="1">{"fdsup://directions/FAT%20Viewer?VAR:PED=LTM&amp;VAR:AUDIT_MODE=SUMMARY&amp;VAR:PERIOD=FIXED&amp;VAR:AUDIT_ID=00000117&amp;VAR:DATE=20090819&amp;action=UPDATE&amp;creator=factset&amp;DOC_NAME=FAT:FMA_audit_SUMMARY.fat&amp;DISPLAY_STRING=Display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6__FDSAUDITLINK__" hidden="1">{"fdsup://directions/FAT%20Viewer?VAR:PED=LTM&amp;VAR:AUDIT_MODE=SUMMARY&amp;VAR:PERIOD=FIXED&amp;VAR:AUDIT_ID=00000117&amp;VAR:DATE=20090819&amp;action=UPDATE&amp;creator=factset&amp;DOC_NAME=FAT:FMA_audit_SUMMARY.fat&amp;DISPLAY_STRING=Display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60__FDSAUDITLINK__" localSheetId="6" hidden="1">{"fdsup://directions/FAT Viewer?action=UPDATE&amp;creator=factset&amp;DYN_ARGS=TRUE&amp;DOC_NAME=FAT:FQL_AUDITING_CLIENT_TEMPLATE.FAT&amp;display_string=Audit&amp;VAR:KEY=DYZKNMHKTW&amp;VAR:QUERY=RkZfRUJJVERBX0lCKCdMVE1TJyw0MDE5Nyk=&amp;WINDOW=FIRST_POPUP&amp;HEIGHT=450&amp;WIDTH=450&amp;START_MA","XIMIZED=FALSE&amp;VAR:CALENDAR=US&amp;VAR:SYMBOL=05614P10&amp;VAR:INDEX=0"}</definedName>
    <definedName name="_1860__FDSAUDITLINK__" hidden="1">{"fdsup://directions/FAT Viewer?action=UPDATE&amp;creator=factset&amp;DYN_ARGS=TRUE&amp;DOC_NAME=FAT:FQL_AUDITING_CLIENT_TEMPLATE.FAT&amp;display_string=Audit&amp;VAR:KEY=DYZKNMHKTW&amp;VAR:QUERY=RkZfRUJJVERBX0lCKCdMVE1TJyw0MDE5Nyk=&amp;WINDOW=FIRST_POPUP&amp;HEIGHT=450&amp;WIDTH=450&amp;START_MA","XIMIZED=FALSE&amp;VAR:CALENDAR=US&amp;VAR:SYMBOL=05614P10&amp;VAR:INDEX=0"}</definedName>
    <definedName name="_1861__FDSAUDITLINK__" localSheetId="6" hidden="1">{"fdsup://directions/FAT Viewer?action=UPDATE&amp;creator=factset&amp;DYN_ARGS=TRUE&amp;DOC_NAME=FAT:FQL_AUDITING_CLIENT_TEMPLATE.FAT&amp;display_string=Audit&amp;VAR:KEY=FMVMXWJQPE&amp;VAR:QUERY=RkZfRUJJVERBX0lCKCdMVE1TJyw0MDE5Nik=&amp;WINDOW=FIRST_POPUP&amp;HEIGHT=450&amp;WIDTH=450&amp;START_MA","XIMIZED=FALSE&amp;VAR:CALENDAR=US&amp;VAR:SYMBOL=05614P10&amp;VAR:INDEX=0"}</definedName>
    <definedName name="_1861__FDSAUDITLINK__" hidden="1">{"fdsup://directions/FAT Viewer?action=UPDATE&amp;creator=factset&amp;DYN_ARGS=TRUE&amp;DOC_NAME=FAT:FQL_AUDITING_CLIENT_TEMPLATE.FAT&amp;display_string=Audit&amp;VAR:KEY=FMVMXWJQPE&amp;VAR:QUERY=RkZfRUJJVERBX0lCKCdMVE1TJyw0MDE5Nik=&amp;WINDOW=FIRST_POPUP&amp;HEIGHT=450&amp;WIDTH=450&amp;START_MA","XIMIZED=FALSE&amp;VAR:CALENDAR=US&amp;VAR:SYMBOL=05614P10&amp;VAR:INDEX=0"}</definedName>
    <definedName name="_1862__FDSAUDITLINK__" localSheetId="6" hidden="1">{"fdsup://directions/FAT Viewer?action=UPDATE&amp;creator=factset&amp;DYN_ARGS=TRUE&amp;DOC_NAME=FAT:FQL_AUDITING_CLIENT_TEMPLATE.FAT&amp;display_string=Audit&amp;VAR:KEY=FGBWDKVUVE&amp;VAR:QUERY=RkZfRUJJVERBX0lCKCdMVE1TJyw0MDE5NSk=&amp;WINDOW=FIRST_POPUP&amp;HEIGHT=450&amp;WIDTH=450&amp;START_MA","XIMIZED=FALSE&amp;VAR:CALENDAR=US&amp;VAR:SYMBOL=05614P10&amp;VAR:INDEX=0"}</definedName>
    <definedName name="_1862__FDSAUDITLINK__" hidden="1">{"fdsup://directions/FAT Viewer?action=UPDATE&amp;creator=factset&amp;DYN_ARGS=TRUE&amp;DOC_NAME=FAT:FQL_AUDITING_CLIENT_TEMPLATE.FAT&amp;display_string=Audit&amp;VAR:KEY=FGBWDKVUVE&amp;VAR:QUERY=RkZfRUJJVERBX0lCKCdMVE1TJyw0MDE5NSk=&amp;WINDOW=FIRST_POPUP&amp;HEIGHT=450&amp;WIDTH=450&amp;START_MA","XIMIZED=FALSE&amp;VAR:CALENDAR=US&amp;VAR:SYMBOL=05614P10&amp;VAR:INDEX=0"}</definedName>
    <definedName name="_1863__FDSAUDITLINK__" localSheetId="6" hidden="1">{"fdsup://directions/FAT Viewer?action=UPDATE&amp;creator=factset&amp;DYN_ARGS=TRUE&amp;DOC_NAME=FAT:FQL_AUDITING_CLIENT_TEMPLATE.FAT&amp;display_string=Audit&amp;VAR:KEY=RQBAPQXWBG&amp;VAR:QUERY=RkZfRUJJVERBX0lCKCdMVE1TJyw0MDE5NCk=&amp;WINDOW=FIRST_POPUP&amp;HEIGHT=450&amp;WIDTH=450&amp;START_MA","XIMIZED=FALSE&amp;VAR:CALENDAR=US&amp;VAR:SYMBOL=05614P10&amp;VAR:INDEX=0"}</definedName>
    <definedName name="_1863__FDSAUDITLINK__" hidden="1">{"fdsup://directions/FAT Viewer?action=UPDATE&amp;creator=factset&amp;DYN_ARGS=TRUE&amp;DOC_NAME=FAT:FQL_AUDITING_CLIENT_TEMPLATE.FAT&amp;display_string=Audit&amp;VAR:KEY=RQBAPQXWBG&amp;VAR:QUERY=RkZfRUJJVERBX0lCKCdMVE1TJyw0MDE5NCk=&amp;WINDOW=FIRST_POPUP&amp;HEIGHT=450&amp;WIDTH=450&amp;START_MA","XIMIZED=FALSE&amp;VAR:CALENDAR=US&amp;VAR:SYMBOL=05614P10&amp;VAR:INDEX=0"}</definedName>
    <definedName name="_1864__FDSAUDITLINK__" localSheetId="6" hidden="1">{"fdsup://directions/FAT Viewer?action=UPDATE&amp;creator=factset&amp;DYN_ARGS=TRUE&amp;DOC_NAME=FAT:FQL_AUDITING_CLIENT_TEMPLATE.FAT&amp;display_string=Audit&amp;VAR:KEY=XGZIZWFGRQ&amp;VAR:QUERY=RkZfRUJJVERBX0lCKCdMVE1TJyw0MDE5Myk=&amp;WINDOW=FIRST_POPUP&amp;HEIGHT=450&amp;WIDTH=450&amp;START_MA","XIMIZED=FALSE&amp;VAR:CALENDAR=US&amp;VAR:SYMBOL=05614P10&amp;VAR:INDEX=0"}</definedName>
    <definedName name="_1864__FDSAUDITLINK__" hidden="1">{"fdsup://directions/FAT Viewer?action=UPDATE&amp;creator=factset&amp;DYN_ARGS=TRUE&amp;DOC_NAME=FAT:FQL_AUDITING_CLIENT_TEMPLATE.FAT&amp;display_string=Audit&amp;VAR:KEY=XGZIZWFGRQ&amp;VAR:QUERY=RkZfRUJJVERBX0lCKCdMVE1TJyw0MDE5Myk=&amp;WINDOW=FIRST_POPUP&amp;HEIGHT=450&amp;WIDTH=450&amp;START_MA","XIMIZED=FALSE&amp;VAR:CALENDAR=US&amp;VAR:SYMBOL=05614P10&amp;VAR:INDEX=0"}</definedName>
    <definedName name="_1865__FDSAUDITLINK__" localSheetId="6" hidden="1">{"fdsup://directions/FAT Viewer?action=UPDATE&amp;creator=factset&amp;DYN_ARGS=TRUE&amp;DOC_NAME=FAT:FQL_AUDITING_CLIENT_TEMPLATE.FAT&amp;display_string=Audit&amp;VAR:KEY=VELCBETQBE&amp;VAR:QUERY=RkZfRUJJVERBX0lCKCdMVE1TJyw0MDE5Mik=&amp;WINDOW=FIRST_POPUP&amp;HEIGHT=450&amp;WIDTH=450&amp;START_MA","XIMIZED=FALSE&amp;VAR:CALENDAR=US&amp;VAR:SYMBOL=05614P10&amp;VAR:INDEX=0"}</definedName>
    <definedName name="_1865__FDSAUDITLINK__" hidden="1">{"fdsup://directions/FAT Viewer?action=UPDATE&amp;creator=factset&amp;DYN_ARGS=TRUE&amp;DOC_NAME=FAT:FQL_AUDITING_CLIENT_TEMPLATE.FAT&amp;display_string=Audit&amp;VAR:KEY=VELCBETQBE&amp;VAR:QUERY=RkZfRUJJVERBX0lCKCdMVE1TJyw0MDE5Mik=&amp;WINDOW=FIRST_POPUP&amp;HEIGHT=450&amp;WIDTH=450&amp;START_MA","XIMIZED=FALSE&amp;VAR:CALENDAR=US&amp;VAR:SYMBOL=05614P10&amp;VAR:INDEX=0"}</definedName>
    <definedName name="_1866__FDSAUDITLINK__" localSheetId="6" hidden="1">{"fdsup://directions/FAT Viewer?action=UPDATE&amp;creator=factset&amp;DYN_ARGS=TRUE&amp;DOC_NAME=FAT:FQL_AUDITING_CLIENT_TEMPLATE.FAT&amp;display_string=Audit&amp;VAR:KEY=TUHKLEHQVI&amp;VAR:QUERY=RkZfRUJJVERBX0lCKCdMVE1TJyw0MDE5MSk=&amp;WINDOW=FIRST_POPUP&amp;HEIGHT=450&amp;WIDTH=450&amp;START_MA","XIMIZED=FALSE&amp;VAR:CALENDAR=US&amp;VAR:SYMBOL=05614P10&amp;VAR:INDEX=0"}</definedName>
    <definedName name="_1866__FDSAUDITLINK__" hidden="1">{"fdsup://directions/FAT Viewer?action=UPDATE&amp;creator=factset&amp;DYN_ARGS=TRUE&amp;DOC_NAME=FAT:FQL_AUDITING_CLIENT_TEMPLATE.FAT&amp;display_string=Audit&amp;VAR:KEY=TUHKLEHQVI&amp;VAR:QUERY=RkZfRUJJVERBX0lCKCdMVE1TJyw0MDE5MSk=&amp;WINDOW=FIRST_POPUP&amp;HEIGHT=450&amp;WIDTH=450&amp;START_MA","XIMIZED=FALSE&amp;VAR:CALENDAR=US&amp;VAR:SYMBOL=05614P10&amp;VAR:INDEX=0"}</definedName>
    <definedName name="_1867__FDSAUDITLINK__" localSheetId="6" hidden="1">{"fdsup://directions/FAT Viewer?action=UPDATE&amp;creator=factset&amp;DYN_ARGS=TRUE&amp;DOC_NAME=FAT:FQL_AUDITING_CLIENT_TEMPLATE.FAT&amp;display_string=Audit&amp;VAR:KEY=NEZQPAHORE&amp;VAR:QUERY=RkZfRUJJVERBX0lCKCdMVE1TJyw0MDE5MCk=&amp;WINDOW=FIRST_POPUP&amp;HEIGHT=450&amp;WIDTH=450&amp;START_MA","XIMIZED=FALSE&amp;VAR:CALENDAR=US&amp;VAR:SYMBOL=05614P10&amp;VAR:INDEX=0"}</definedName>
    <definedName name="_1867__FDSAUDITLINK__" hidden="1">{"fdsup://directions/FAT Viewer?action=UPDATE&amp;creator=factset&amp;DYN_ARGS=TRUE&amp;DOC_NAME=FAT:FQL_AUDITING_CLIENT_TEMPLATE.FAT&amp;display_string=Audit&amp;VAR:KEY=NEZQPAHORE&amp;VAR:QUERY=RkZfRUJJVERBX0lCKCdMVE1TJyw0MDE5MCk=&amp;WINDOW=FIRST_POPUP&amp;HEIGHT=450&amp;WIDTH=450&amp;START_MA","XIMIZED=FALSE&amp;VAR:CALENDAR=US&amp;VAR:SYMBOL=05614P10&amp;VAR:INDEX=0"}</definedName>
    <definedName name="_1868__FDSAUDITLINK__" localSheetId="6" hidden="1">{"fdsup://directions/FAT Viewer?action=UPDATE&amp;creator=factset&amp;DYN_ARGS=TRUE&amp;DOC_NAME=FAT:FQL_AUDITING_CLIENT_TEMPLATE.FAT&amp;display_string=Audit&amp;VAR:KEY=NGPGZETGLW&amp;VAR:QUERY=RkZfRUJJVERBX0lCKCdMVE1TJyw0MDE4OSk=&amp;WINDOW=FIRST_POPUP&amp;HEIGHT=450&amp;WIDTH=450&amp;START_MA","XIMIZED=FALSE&amp;VAR:CALENDAR=US&amp;VAR:SYMBOL=05614P10&amp;VAR:INDEX=0"}</definedName>
    <definedName name="_1868__FDSAUDITLINK__" hidden="1">{"fdsup://directions/FAT Viewer?action=UPDATE&amp;creator=factset&amp;DYN_ARGS=TRUE&amp;DOC_NAME=FAT:FQL_AUDITING_CLIENT_TEMPLATE.FAT&amp;display_string=Audit&amp;VAR:KEY=NGPGZETGLW&amp;VAR:QUERY=RkZfRUJJVERBX0lCKCdMVE1TJyw0MDE4OSk=&amp;WINDOW=FIRST_POPUP&amp;HEIGHT=450&amp;WIDTH=450&amp;START_MA","XIMIZED=FALSE&amp;VAR:CALENDAR=US&amp;VAR:SYMBOL=05614P10&amp;VAR:INDEX=0"}</definedName>
    <definedName name="_1869__FDSAUDITLINK__" localSheetId="6" hidden="1">{"fdsup://directions/FAT Viewer?action=UPDATE&amp;creator=factset&amp;DYN_ARGS=TRUE&amp;DOC_NAME=FAT:FQL_AUDITING_CLIENT_TEMPLATE.FAT&amp;display_string=Audit&amp;VAR:KEY=HYDSHKBWFO&amp;VAR:QUERY=RkZfRUJJVERBX0lCKCdMVE1TJyw0MDE4OCk=&amp;WINDOW=FIRST_POPUP&amp;HEIGHT=450&amp;WIDTH=450&amp;START_MA","XIMIZED=FALSE&amp;VAR:CALENDAR=US&amp;VAR:SYMBOL=05614P10&amp;VAR:INDEX=0"}</definedName>
    <definedName name="_1869__FDSAUDITLINK__" hidden="1">{"fdsup://directions/FAT Viewer?action=UPDATE&amp;creator=factset&amp;DYN_ARGS=TRUE&amp;DOC_NAME=FAT:FQL_AUDITING_CLIENT_TEMPLATE.FAT&amp;display_string=Audit&amp;VAR:KEY=HYDSHKBWFO&amp;VAR:QUERY=RkZfRUJJVERBX0lCKCdMVE1TJyw0MDE4OCk=&amp;WINDOW=FIRST_POPUP&amp;HEIGHT=450&amp;WIDTH=450&amp;START_MA","XIMIZED=FALSE&amp;VAR:CALENDAR=US&amp;VAR:SYMBOL=05614P10&amp;VAR:INDEX=0"}</definedName>
    <definedName name="_187__FDSAUDITLINK__" localSheetId="6" hidden="1">{"fdsup://directions/FAT%20Viewer?VAR:PED=LTM&amp;VAR:AUDIT_MODE=SUMMARY&amp;VAR:PERIOD=FIXED&amp;VAR:AUDIT_ID=00000117&amp;VAR:DATE=20090818&amp;action=UPDATE&amp;creator=factset&amp;DOC_NAME=FAT:FMA_audit_SUMMARY.fat&amp;DISPLAY_STRING=Display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7__FDSAUDITLINK__" hidden="1">{"fdsup://directions/FAT%20Viewer?VAR:PED=LTM&amp;VAR:AUDIT_MODE=SUMMARY&amp;VAR:PERIOD=FIXED&amp;VAR:AUDIT_ID=00000117&amp;VAR:DATE=20090818&amp;action=UPDATE&amp;creator=factset&amp;DOC_NAME=FAT:FMA_audit_SUMMARY.fat&amp;DISPLAY_STRING=Display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70__FDSAUDITLINK__" localSheetId="6" hidden="1">{"fdsup://directions/FAT Viewer?action=UPDATE&amp;creator=factset&amp;DYN_ARGS=TRUE&amp;DOC_NAME=FAT:FQL_AUDITING_CLIENT_TEMPLATE.FAT&amp;display_string=Audit&amp;VAR:KEY=DCZITSZWJS&amp;VAR:QUERY=RkZfRUJJVERBX0lCKCdMVE1TJyw0MDE4Nyk=&amp;WINDOW=FIRST_POPUP&amp;HEIGHT=450&amp;WIDTH=450&amp;START_MA","XIMIZED=FALSE&amp;VAR:CALENDAR=US&amp;VAR:SYMBOL=05614P10&amp;VAR:INDEX=0"}</definedName>
    <definedName name="_1870__FDSAUDITLINK__" hidden="1">{"fdsup://directions/FAT Viewer?action=UPDATE&amp;creator=factset&amp;DYN_ARGS=TRUE&amp;DOC_NAME=FAT:FQL_AUDITING_CLIENT_TEMPLATE.FAT&amp;display_string=Audit&amp;VAR:KEY=DCZITSZWJS&amp;VAR:QUERY=RkZfRUJJVERBX0lCKCdMVE1TJyw0MDE4Nyk=&amp;WINDOW=FIRST_POPUP&amp;HEIGHT=450&amp;WIDTH=450&amp;START_MA","XIMIZED=FALSE&amp;VAR:CALENDAR=US&amp;VAR:SYMBOL=05614P10&amp;VAR:INDEX=0"}</definedName>
    <definedName name="_1871__FDSAUDITLINK__" localSheetId="6" hidden="1">{"fdsup://directions/FAT Viewer?action=UPDATE&amp;creator=factset&amp;DYN_ARGS=TRUE&amp;DOC_NAME=FAT:FQL_AUDITING_CLIENT_TEMPLATE.FAT&amp;display_string=Audit&amp;VAR:KEY=LWJOJODWFQ&amp;VAR:QUERY=RkZfRUJJVERBX0lCKCdMVE1TJyw0MDE4Nik=&amp;WINDOW=FIRST_POPUP&amp;HEIGHT=450&amp;WIDTH=450&amp;START_MA","XIMIZED=FALSE&amp;VAR:CALENDAR=US&amp;VAR:SYMBOL=05614P10&amp;VAR:INDEX=0"}</definedName>
    <definedName name="_1871__FDSAUDITLINK__" hidden="1">{"fdsup://directions/FAT Viewer?action=UPDATE&amp;creator=factset&amp;DYN_ARGS=TRUE&amp;DOC_NAME=FAT:FQL_AUDITING_CLIENT_TEMPLATE.FAT&amp;display_string=Audit&amp;VAR:KEY=LWJOJODWFQ&amp;VAR:QUERY=RkZfRUJJVERBX0lCKCdMVE1TJyw0MDE4Nik=&amp;WINDOW=FIRST_POPUP&amp;HEIGHT=450&amp;WIDTH=450&amp;START_MA","XIMIZED=FALSE&amp;VAR:CALENDAR=US&amp;VAR:SYMBOL=05614P10&amp;VAR:INDEX=0"}</definedName>
    <definedName name="_1872__FDSAUDITLINK__" localSheetId="6" hidden="1">{"fdsup://directions/FAT Viewer?action=UPDATE&amp;creator=factset&amp;DYN_ARGS=TRUE&amp;DOC_NAME=FAT:FQL_AUDITING_CLIENT_TEMPLATE.FAT&amp;display_string=Audit&amp;VAR:KEY=RKJAHIHYFA&amp;VAR:QUERY=RkZfRUJJVERBX0lCKCdMVE1TJyw0MDE4NSk=&amp;WINDOW=FIRST_POPUP&amp;HEIGHT=450&amp;WIDTH=450&amp;START_MA","XIMIZED=FALSE&amp;VAR:CALENDAR=US&amp;VAR:SYMBOL=05614P10&amp;VAR:INDEX=0"}</definedName>
    <definedName name="_1872__FDSAUDITLINK__" hidden="1">{"fdsup://directions/FAT Viewer?action=UPDATE&amp;creator=factset&amp;DYN_ARGS=TRUE&amp;DOC_NAME=FAT:FQL_AUDITING_CLIENT_TEMPLATE.FAT&amp;display_string=Audit&amp;VAR:KEY=RKJAHIHYFA&amp;VAR:QUERY=RkZfRUJJVERBX0lCKCdMVE1TJyw0MDE4NSk=&amp;WINDOW=FIRST_POPUP&amp;HEIGHT=450&amp;WIDTH=450&amp;START_MA","XIMIZED=FALSE&amp;VAR:CALENDAR=US&amp;VAR:SYMBOL=05614P10&amp;VAR:INDEX=0"}</definedName>
    <definedName name="_1873__FDSAUDITLINK__" localSheetId="6" hidden="1">{"fdsup://directions/FAT Viewer?action=UPDATE&amp;creator=factset&amp;DYN_ARGS=TRUE&amp;DOC_NAME=FAT:FQL_AUDITING_CLIENT_TEMPLATE.FAT&amp;display_string=Audit&amp;VAR:KEY=POFOBYVEHG&amp;VAR:QUERY=RkZfRUJJVERBX0lCKCdMVE1TJyw0MDE4NCk=&amp;WINDOW=FIRST_POPUP&amp;HEIGHT=450&amp;WIDTH=450&amp;START_MA","XIMIZED=FALSE&amp;VAR:CALENDAR=US&amp;VAR:SYMBOL=05614P10&amp;VAR:INDEX=0"}</definedName>
    <definedName name="_1873__FDSAUDITLINK__" hidden="1">{"fdsup://directions/FAT Viewer?action=UPDATE&amp;creator=factset&amp;DYN_ARGS=TRUE&amp;DOC_NAME=FAT:FQL_AUDITING_CLIENT_TEMPLATE.FAT&amp;display_string=Audit&amp;VAR:KEY=POFOBYVEHG&amp;VAR:QUERY=RkZfRUJJVERBX0lCKCdMVE1TJyw0MDE4NCk=&amp;WINDOW=FIRST_POPUP&amp;HEIGHT=450&amp;WIDTH=450&amp;START_MA","XIMIZED=FALSE&amp;VAR:CALENDAR=US&amp;VAR:SYMBOL=05614P10&amp;VAR:INDEX=0"}</definedName>
    <definedName name="_1874__FDSAUDITLINK__" localSheetId="6" hidden="1">{"fdsup://directions/FAT Viewer?action=UPDATE&amp;creator=factset&amp;DYN_ARGS=TRUE&amp;DOC_NAME=FAT:FQL_AUDITING_CLIENT_TEMPLATE.FAT&amp;display_string=Audit&amp;VAR:KEY=LCHWJUDCTE&amp;VAR:QUERY=RkZfRUJJVERBX0lCKCdMVE1TJyw0MDE4Myk=&amp;WINDOW=FIRST_POPUP&amp;HEIGHT=450&amp;WIDTH=450&amp;START_MA","XIMIZED=FALSE&amp;VAR:CALENDAR=US&amp;VAR:SYMBOL=05614P10&amp;VAR:INDEX=0"}</definedName>
    <definedName name="_1874__FDSAUDITLINK__" hidden="1">{"fdsup://directions/FAT Viewer?action=UPDATE&amp;creator=factset&amp;DYN_ARGS=TRUE&amp;DOC_NAME=FAT:FQL_AUDITING_CLIENT_TEMPLATE.FAT&amp;display_string=Audit&amp;VAR:KEY=LCHWJUDCTE&amp;VAR:QUERY=RkZfRUJJVERBX0lCKCdMVE1TJyw0MDE4Myk=&amp;WINDOW=FIRST_POPUP&amp;HEIGHT=450&amp;WIDTH=450&amp;START_MA","XIMIZED=FALSE&amp;VAR:CALENDAR=US&amp;VAR:SYMBOL=05614P10&amp;VAR:INDEX=0"}</definedName>
    <definedName name="_1875__FDSAUDITLINK__" localSheetId="6" hidden="1">{"fdsup://directions/FAT Viewer?action=UPDATE&amp;creator=factset&amp;DYN_ARGS=TRUE&amp;DOC_NAME=FAT:FQL_AUDITING_CLIENT_TEMPLATE.FAT&amp;display_string=Audit&amp;VAR:KEY=ZKJUJMLQZS&amp;VAR:QUERY=RkZfRUJJVERBX0lCKCdMVE1TJyw0MDE4Mik=&amp;WINDOW=FIRST_POPUP&amp;HEIGHT=450&amp;WIDTH=450&amp;START_MA","XIMIZED=FALSE&amp;VAR:CALENDAR=US&amp;VAR:SYMBOL=05614P10&amp;VAR:INDEX=0"}</definedName>
    <definedName name="_1875__FDSAUDITLINK__" hidden="1">{"fdsup://directions/FAT Viewer?action=UPDATE&amp;creator=factset&amp;DYN_ARGS=TRUE&amp;DOC_NAME=FAT:FQL_AUDITING_CLIENT_TEMPLATE.FAT&amp;display_string=Audit&amp;VAR:KEY=ZKJUJMLQZS&amp;VAR:QUERY=RkZfRUJJVERBX0lCKCdMVE1TJyw0MDE4Mik=&amp;WINDOW=FIRST_POPUP&amp;HEIGHT=450&amp;WIDTH=450&amp;START_MA","XIMIZED=FALSE&amp;VAR:CALENDAR=US&amp;VAR:SYMBOL=05614P10&amp;VAR:INDEX=0"}</definedName>
    <definedName name="_1876__FDSAUDITLINK__" localSheetId="6" hidden="1">{"fdsup://directions/FAT Viewer?action=UPDATE&amp;creator=factset&amp;DYN_ARGS=TRUE&amp;DOC_NAME=FAT:FQL_AUDITING_CLIENT_TEMPLATE.FAT&amp;display_string=Audit&amp;VAR:KEY=HIZURKBIXQ&amp;VAR:QUERY=RkZfRUJJVERBX0lCKCdMVE1TJyw0MDE4MSk=&amp;WINDOW=FIRST_POPUP&amp;HEIGHT=450&amp;WIDTH=450&amp;START_MA","XIMIZED=FALSE&amp;VAR:CALENDAR=US&amp;VAR:SYMBOL=05614P10&amp;VAR:INDEX=0"}</definedName>
    <definedName name="_1876__FDSAUDITLINK__" hidden="1">{"fdsup://directions/FAT Viewer?action=UPDATE&amp;creator=factset&amp;DYN_ARGS=TRUE&amp;DOC_NAME=FAT:FQL_AUDITING_CLIENT_TEMPLATE.FAT&amp;display_string=Audit&amp;VAR:KEY=HIZURKBIXQ&amp;VAR:QUERY=RkZfRUJJVERBX0lCKCdMVE1TJyw0MDE4MSk=&amp;WINDOW=FIRST_POPUP&amp;HEIGHT=450&amp;WIDTH=450&amp;START_MA","XIMIZED=FALSE&amp;VAR:CALENDAR=US&amp;VAR:SYMBOL=05614P10&amp;VAR:INDEX=0"}</definedName>
    <definedName name="_1877__FDSAUDITLINK__" localSheetId="6" hidden="1">{"fdsup://directions/FAT Viewer?action=UPDATE&amp;creator=factset&amp;DYN_ARGS=TRUE&amp;DOC_NAME=FAT:FQL_AUDITING_CLIENT_TEMPLATE.FAT&amp;display_string=Audit&amp;VAR:KEY=JYFYZQHGLK&amp;VAR:QUERY=RkZfRUJJVERBX0lCKCdMVE1TJyw0MDE4MCk=&amp;WINDOW=FIRST_POPUP&amp;HEIGHT=450&amp;WIDTH=450&amp;START_MA","XIMIZED=FALSE&amp;VAR:CALENDAR=US&amp;VAR:SYMBOL=05614P10&amp;VAR:INDEX=0"}</definedName>
    <definedName name="_1877__FDSAUDITLINK__" hidden="1">{"fdsup://directions/FAT Viewer?action=UPDATE&amp;creator=factset&amp;DYN_ARGS=TRUE&amp;DOC_NAME=FAT:FQL_AUDITING_CLIENT_TEMPLATE.FAT&amp;display_string=Audit&amp;VAR:KEY=JYFYZQHGLK&amp;VAR:QUERY=RkZfRUJJVERBX0lCKCdMVE1TJyw0MDE4MCk=&amp;WINDOW=FIRST_POPUP&amp;HEIGHT=450&amp;WIDTH=450&amp;START_MA","XIMIZED=FALSE&amp;VAR:CALENDAR=US&amp;VAR:SYMBOL=05614P10&amp;VAR:INDEX=0"}</definedName>
    <definedName name="_1878__FDSAUDITLINK__" localSheetId="6" hidden="1">{"fdsup://directions/FAT Viewer?action=UPDATE&amp;creator=factset&amp;DYN_ARGS=TRUE&amp;DOC_NAME=FAT:FQL_AUDITING_CLIENT_TEMPLATE.FAT&amp;display_string=Audit&amp;VAR:KEY=FEDWTKHUXY&amp;VAR:QUERY=RkZfRUJJVERBX0lCKCdMVE1TJyw0MDE3OSk=&amp;WINDOW=FIRST_POPUP&amp;HEIGHT=450&amp;WIDTH=450&amp;START_MA","XIMIZED=FALSE&amp;VAR:CALENDAR=US&amp;VAR:SYMBOL=05614P10&amp;VAR:INDEX=0"}</definedName>
    <definedName name="_1878__FDSAUDITLINK__" hidden="1">{"fdsup://directions/FAT Viewer?action=UPDATE&amp;creator=factset&amp;DYN_ARGS=TRUE&amp;DOC_NAME=FAT:FQL_AUDITING_CLIENT_TEMPLATE.FAT&amp;display_string=Audit&amp;VAR:KEY=FEDWTKHUXY&amp;VAR:QUERY=RkZfRUJJVERBX0lCKCdMVE1TJyw0MDE3OSk=&amp;WINDOW=FIRST_POPUP&amp;HEIGHT=450&amp;WIDTH=450&amp;START_MA","XIMIZED=FALSE&amp;VAR:CALENDAR=US&amp;VAR:SYMBOL=05614P10&amp;VAR:INDEX=0"}</definedName>
    <definedName name="_1879__FDSAUDITLINK__" localSheetId="6" hidden="1">{"fdsup://directions/FAT Viewer?action=UPDATE&amp;creator=factset&amp;DYN_ARGS=TRUE&amp;DOC_NAME=FAT:FQL_AUDITING_CLIENT_TEMPLATE.FAT&amp;display_string=Audit&amp;VAR:KEY=XOXIPOJMPO&amp;VAR:QUERY=RkZfRUJJVERBX0lCKCdMVE1TJyw0MDE3OCk=&amp;WINDOW=FIRST_POPUP&amp;HEIGHT=450&amp;WIDTH=450&amp;START_MA","XIMIZED=FALSE&amp;VAR:CALENDAR=US&amp;VAR:SYMBOL=05614P10&amp;VAR:INDEX=0"}</definedName>
    <definedName name="_1879__FDSAUDITLINK__" hidden="1">{"fdsup://directions/FAT Viewer?action=UPDATE&amp;creator=factset&amp;DYN_ARGS=TRUE&amp;DOC_NAME=FAT:FQL_AUDITING_CLIENT_TEMPLATE.FAT&amp;display_string=Audit&amp;VAR:KEY=XOXIPOJMPO&amp;VAR:QUERY=RkZfRUJJVERBX0lCKCdMVE1TJyw0MDE3OCk=&amp;WINDOW=FIRST_POPUP&amp;HEIGHT=450&amp;WIDTH=450&amp;START_MA","XIMIZED=FALSE&amp;VAR:CALENDAR=US&amp;VAR:SYMBOL=05614P10&amp;VAR:INDEX=0"}</definedName>
    <definedName name="_188__FDSAUDITLINK__" localSheetId="6" hidden="1">{"fdsup://directions/FAT%20Viewer?VAR:PED=LTM&amp;VAR:AUDIT_MODE=SUMMARY&amp;VAR:PERIOD=FIXED&amp;VAR:AUDIT_ID=00000117&amp;VAR:DATE=20090817&amp;action=UPDATE&amp;creator=factset&amp;DOC_NAME=FAT:FMA_audit_SUMMARY.fat&amp;DISPLAY_STRING=Display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8__FDSAUDITLINK__" hidden="1">{"fdsup://directions/FAT%20Viewer?VAR:PED=LTM&amp;VAR:AUDIT_MODE=SUMMARY&amp;VAR:PERIOD=FIXED&amp;VAR:AUDIT_ID=00000117&amp;VAR:DATE=20090817&amp;action=UPDATE&amp;creator=factset&amp;DOC_NAME=FAT:FMA_audit_SUMMARY.fat&amp;DISPLAY_STRING=Display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80__FDSAUDITLINK__" localSheetId="6" hidden="1">{"fdsup://directions/FAT Viewer?action=UPDATE&amp;creator=factset&amp;DYN_ARGS=TRUE&amp;DOC_NAME=FAT:FQL_AUDITING_CLIENT_TEMPLATE.FAT&amp;display_string=Audit&amp;VAR:KEY=HMJEVWNAZE&amp;VAR:QUERY=RkZfRUJJVERBX0lCKCdMVE1TJyw0MDE3Nyk=&amp;WINDOW=FIRST_POPUP&amp;HEIGHT=450&amp;WIDTH=450&amp;START_MA","XIMIZED=FALSE&amp;VAR:CALENDAR=US&amp;VAR:SYMBOL=05614P10&amp;VAR:INDEX=0"}</definedName>
    <definedName name="_1880__FDSAUDITLINK__" hidden="1">{"fdsup://directions/FAT Viewer?action=UPDATE&amp;creator=factset&amp;DYN_ARGS=TRUE&amp;DOC_NAME=FAT:FQL_AUDITING_CLIENT_TEMPLATE.FAT&amp;display_string=Audit&amp;VAR:KEY=HMJEVWNAZE&amp;VAR:QUERY=RkZfRUJJVERBX0lCKCdMVE1TJyw0MDE3Nyk=&amp;WINDOW=FIRST_POPUP&amp;HEIGHT=450&amp;WIDTH=450&amp;START_MA","XIMIZED=FALSE&amp;VAR:CALENDAR=US&amp;VAR:SYMBOL=05614P10&amp;VAR:INDEX=0"}</definedName>
    <definedName name="_1881__FDSAUDITLINK__" localSheetId="6" hidden="1">{"fdsup://directions/FAT Viewer?action=UPDATE&amp;creator=factset&amp;DYN_ARGS=TRUE&amp;DOC_NAME=FAT:FQL_AUDITING_CLIENT_TEMPLATE.FAT&amp;display_string=Audit&amp;VAR:KEY=FOVAHMFSBQ&amp;VAR:QUERY=RkZfRUJJVERBX0lCKCdMVE1TJyw0MDE3Nik=&amp;WINDOW=FIRST_POPUP&amp;HEIGHT=450&amp;WIDTH=450&amp;START_MA","XIMIZED=FALSE&amp;VAR:CALENDAR=US&amp;VAR:SYMBOL=05614P10&amp;VAR:INDEX=0"}</definedName>
    <definedName name="_1881__FDSAUDITLINK__" hidden="1">{"fdsup://directions/FAT Viewer?action=UPDATE&amp;creator=factset&amp;DYN_ARGS=TRUE&amp;DOC_NAME=FAT:FQL_AUDITING_CLIENT_TEMPLATE.FAT&amp;display_string=Audit&amp;VAR:KEY=FOVAHMFSBQ&amp;VAR:QUERY=RkZfRUJJVERBX0lCKCdMVE1TJyw0MDE3Nik=&amp;WINDOW=FIRST_POPUP&amp;HEIGHT=450&amp;WIDTH=450&amp;START_MA","XIMIZED=FALSE&amp;VAR:CALENDAR=US&amp;VAR:SYMBOL=05614P10&amp;VAR:INDEX=0"}</definedName>
    <definedName name="_1882__FDSAUDITLINK__" localSheetId="6" hidden="1">{"fdsup://directions/FAT Viewer?action=UPDATE&amp;creator=factset&amp;DYN_ARGS=TRUE&amp;DOC_NAME=FAT:FQL_AUDITING_CLIENT_TEMPLATE.FAT&amp;display_string=Audit&amp;VAR:KEY=BIZOFWVKLG&amp;VAR:QUERY=RkZfRUJJVERBX0lCKCdMVE1TJyw0MDE3NSk=&amp;WINDOW=FIRST_POPUP&amp;HEIGHT=450&amp;WIDTH=450&amp;START_MA","XIMIZED=FALSE&amp;VAR:CALENDAR=US&amp;VAR:SYMBOL=05614P10&amp;VAR:INDEX=0"}</definedName>
    <definedName name="_1882__FDSAUDITLINK__" hidden="1">{"fdsup://directions/FAT Viewer?action=UPDATE&amp;creator=factset&amp;DYN_ARGS=TRUE&amp;DOC_NAME=FAT:FQL_AUDITING_CLIENT_TEMPLATE.FAT&amp;display_string=Audit&amp;VAR:KEY=BIZOFWVKLG&amp;VAR:QUERY=RkZfRUJJVERBX0lCKCdMVE1TJyw0MDE3NSk=&amp;WINDOW=FIRST_POPUP&amp;HEIGHT=450&amp;WIDTH=450&amp;START_MA","XIMIZED=FALSE&amp;VAR:CALENDAR=US&amp;VAR:SYMBOL=05614P10&amp;VAR:INDEX=0"}</definedName>
    <definedName name="_1883__FDSAUDITLINK__" localSheetId="6" hidden="1">{"fdsup://directions/FAT Viewer?action=UPDATE&amp;creator=factset&amp;DYN_ARGS=TRUE&amp;DOC_NAME=FAT:FQL_AUDITING_CLIENT_TEMPLATE.FAT&amp;display_string=Audit&amp;VAR:KEY=TYBQZCNODS&amp;VAR:QUERY=RkZfRUJJVERBX0lCKCdMVE1TJyw0MDE3NCk=&amp;WINDOW=FIRST_POPUP&amp;HEIGHT=450&amp;WIDTH=450&amp;START_MA","XIMIZED=FALSE&amp;VAR:CALENDAR=US&amp;VAR:SYMBOL=05614P10&amp;VAR:INDEX=0"}</definedName>
    <definedName name="_1883__FDSAUDITLINK__" hidden="1">{"fdsup://directions/FAT Viewer?action=UPDATE&amp;creator=factset&amp;DYN_ARGS=TRUE&amp;DOC_NAME=FAT:FQL_AUDITING_CLIENT_TEMPLATE.FAT&amp;display_string=Audit&amp;VAR:KEY=TYBQZCNODS&amp;VAR:QUERY=RkZfRUJJVERBX0lCKCdMVE1TJyw0MDE3NCk=&amp;WINDOW=FIRST_POPUP&amp;HEIGHT=450&amp;WIDTH=450&amp;START_MA","XIMIZED=FALSE&amp;VAR:CALENDAR=US&amp;VAR:SYMBOL=05614P10&amp;VAR:INDEX=0"}</definedName>
    <definedName name="_1884__FDSAUDITLINK__" localSheetId="6" hidden="1">{"fdsup://directions/FAT Viewer?action=UPDATE&amp;creator=factset&amp;DYN_ARGS=TRUE&amp;DOC_NAME=FAT:FQL_AUDITING_CLIENT_TEMPLATE.FAT&amp;display_string=Audit&amp;VAR:KEY=NSVGPKHYJK&amp;VAR:QUERY=RkZfRUJJVERBX0lCKCdMVE1TJyw0MDE3Myk=&amp;WINDOW=FIRST_POPUP&amp;HEIGHT=450&amp;WIDTH=450&amp;START_MA","XIMIZED=FALSE&amp;VAR:CALENDAR=US&amp;VAR:SYMBOL=05614P10&amp;VAR:INDEX=0"}</definedName>
    <definedName name="_1884__FDSAUDITLINK__" hidden="1">{"fdsup://directions/FAT Viewer?action=UPDATE&amp;creator=factset&amp;DYN_ARGS=TRUE&amp;DOC_NAME=FAT:FQL_AUDITING_CLIENT_TEMPLATE.FAT&amp;display_string=Audit&amp;VAR:KEY=NSVGPKHYJK&amp;VAR:QUERY=RkZfRUJJVERBX0lCKCdMVE1TJyw0MDE3Myk=&amp;WINDOW=FIRST_POPUP&amp;HEIGHT=450&amp;WIDTH=450&amp;START_MA","XIMIZED=FALSE&amp;VAR:CALENDAR=US&amp;VAR:SYMBOL=05614P10&amp;VAR:INDEX=0"}</definedName>
    <definedName name="_1885__FDSAUDITLINK__" localSheetId="6" hidden="1">{"fdsup://directions/FAT Viewer?action=UPDATE&amp;creator=factset&amp;DYN_ARGS=TRUE&amp;DOC_NAME=FAT:FQL_AUDITING_CLIENT_TEMPLATE.FAT&amp;display_string=Audit&amp;VAR:KEY=HKZGVANCDY&amp;VAR:QUERY=RkZfRUJJVERBX0lCKCdMVE1TJyw0MDE3Mik=&amp;WINDOW=FIRST_POPUP&amp;HEIGHT=450&amp;WIDTH=450&amp;START_MA","XIMIZED=FALSE&amp;VAR:CALENDAR=US&amp;VAR:SYMBOL=05614P10&amp;VAR:INDEX=0"}</definedName>
    <definedName name="_1885__FDSAUDITLINK__" hidden="1">{"fdsup://directions/FAT Viewer?action=UPDATE&amp;creator=factset&amp;DYN_ARGS=TRUE&amp;DOC_NAME=FAT:FQL_AUDITING_CLIENT_TEMPLATE.FAT&amp;display_string=Audit&amp;VAR:KEY=HKZGVANCDY&amp;VAR:QUERY=RkZfRUJJVERBX0lCKCdMVE1TJyw0MDE3Mik=&amp;WINDOW=FIRST_POPUP&amp;HEIGHT=450&amp;WIDTH=450&amp;START_MA","XIMIZED=FALSE&amp;VAR:CALENDAR=US&amp;VAR:SYMBOL=05614P10&amp;VAR:INDEX=0"}</definedName>
    <definedName name="_1886__FDSAUDITLINK__" localSheetId="6" hidden="1">{"fdsup://directions/FAT Viewer?action=UPDATE&amp;creator=factset&amp;DYN_ARGS=TRUE&amp;DOC_NAME=FAT:FQL_AUDITING_CLIENT_TEMPLATE.FAT&amp;display_string=Audit&amp;VAR:KEY=JARWBCPEHG&amp;VAR:QUERY=RkZfRUJJVERBX0lCKCdMVE1TJyw0MDE3MSk=&amp;WINDOW=FIRST_POPUP&amp;HEIGHT=450&amp;WIDTH=450&amp;START_MA","XIMIZED=FALSE&amp;VAR:CALENDAR=US&amp;VAR:SYMBOL=05614P10&amp;VAR:INDEX=0"}</definedName>
    <definedName name="_1886__FDSAUDITLINK__" hidden="1">{"fdsup://directions/FAT Viewer?action=UPDATE&amp;creator=factset&amp;DYN_ARGS=TRUE&amp;DOC_NAME=FAT:FQL_AUDITING_CLIENT_TEMPLATE.FAT&amp;display_string=Audit&amp;VAR:KEY=JARWBCPEHG&amp;VAR:QUERY=RkZfRUJJVERBX0lCKCdMVE1TJyw0MDE3MSk=&amp;WINDOW=FIRST_POPUP&amp;HEIGHT=450&amp;WIDTH=450&amp;START_MA","XIMIZED=FALSE&amp;VAR:CALENDAR=US&amp;VAR:SYMBOL=05614P10&amp;VAR:INDEX=0"}</definedName>
    <definedName name="_1887__FDSAUDITLINK__" localSheetId="6" hidden="1">{"fdsup://directions/FAT Viewer?action=UPDATE&amp;creator=factset&amp;DYN_ARGS=TRUE&amp;DOC_NAME=FAT:FQL_AUDITING_CLIENT_TEMPLATE.FAT&amp;display_string=Audit&amp;VAR:KEY=XOPCTGTYLI&amp;VAR:QUERY=RkZfRUJJVERBX0lCKCdMVE1TJyw0MDE3MCk=&amp;WINDOW=FIRST_POPUP&amp;HEIGHT=450&amp;WIDTH=450&amp;START_MA","XIMIZED=FALSE&amp;VAR:CALENDAR=US&amp;VAR:SYMBOL=05614P10&amp;VAR:INDEX=0"}</definedName>
    <definedName name="_1887__FDSAUDITLINK__" hidden="1">{"fdsup://directions/FAT Viewer?action=UPDATE&amp;creator=factset&amp;DYN_ARGS=TRUE&amp;DOC_NAME=FAT:FQL_AUDITING_CLIENT_TEMPLATE.FAT&amp;display_string=Audit&amp;VAR:KEY=XOPCTGTYLI&amp;VAR:QUERY=RkZfRUJJVERBX0lCKCdMVE1TJyw0MDE3MCk=&amp;WINDOW=FIRST_POPUP&amp;HEIGHT=450&amp;WIDTH=450&amp;START_MA","XIMIZED=FALSE&amp;VAR:CALENDAR=US&amp;VAR:SYMBOL=05614P10&amp;VAR:INDEX=0"}</definedName>
    <definedName name="_1888__FDSAUDITLINK__" localSheetId="6" hidden="1">{"fdsup://directions/FAT Viewer?action=UPDATE&amp;creator=factset&amp;DYN_ARGS=TRUE&amp;DOC_NAME=FAT:FQL_AUDITING_CLIENT_TEMPLATE.FAT&amp;display_string=Audit&amp;VAR:KEY=LQRMTEXMTS&amp;VAR:QUERY=RkZfRUJJVERBX0lCKCdMVE1TJyw0MDE2OSk=&amp;WINDOW=FIRST_POPUP&amp;HEIGHT=450&amp;WIDTH=450&amp;START_MA","XIMIZED=FALSE&amp;VAR:CALENDAR=US&amp;VAR:SYMBOL=05614P10&amp;VAR:INDEX=0"}</definedName>
    <definedName name="_1888__FDSAUDITLINK__" hidden="1">{"fdsup://directions/FAT Viewer?action=UPDATE&amp;creator=factset&amp;DYN_ARGS=TRUE&amp;DOC_NAME=FAT:FQL_AUDITING_CLIENT_TEMPLATE.FAT&amp;display_string=Audit&amp;VAR:KEY=LQRMTEXMTS&amp;VAR:QUERY=RkZfRUJJVERBX0lCKCdMVE1TJyw0MDE2OSk=&amp;WINDOW=FIRST_POPUP&amp;HEIGHT=450&amp;WIDTH=450&amp;START_MA","XIMIZED=FALSE&amp;VAR:CALENDAR=US&amp;VAR:SYMBOL=05614P10&amp;VAR:INDEX=0"}</definedName>
    <definedName name="_1889__FDSAUDITLINK__" localSheetId="6" hidden="1">{"fdsup://directions/FAT Viewer?action=UPDATE&amp;creator=factset&amp;DYN_ARGS=TRUE&amp;DOC_NAME=FAT:FQL_AUDITING_CLIENT_TEMPLATE.FAT&amp;display_string=Audit&amp;VAR:KEY=VUVMHKDWXS&amp;VAR:QUERY=RkZfRUJJVERBX0lCKCdMVE1TJyw0MDE2OCk=&amp;WINDOW=FIRST_POPUP&amp;HEIGHT=450&amp;WIDTH=450&amp;START_MA","XIMIZED=FALSE&amp;VAR:CALENDAR=US&amp;VAR:SYMBOL=05614P10&amp;VAR:INDEX=0"}</definedName>
    <definedName name="_1889__FDSAUDITLINK__" hidden="1">{"fdsup://directions/FAT Viewer?action=UPDATE&amp;creator=factset&amp;DYN_ARGS=TRUE&amp;DOC_NAME=FAT:FQL_AUDITING_CLIENT_TEMPLATE.FAT&amp;display_string=Audit&amp;VAR:KEY=VUVMHKDWXS&amp;VAR:QUERY=RkZfRUJJVERBX0lCKCdMVE1TJyw0MDE2OCk=&amp;WINDOW=FIRST_POPUP&amp;HEIGHT=450&amp;WIDTH=450&amp;START_MA","XIMIZED=FALSE&amp;VAR:CALENDAR=US&amp;VAR:SYMBOL=05614P10&amp;VAR:INDEX=0"}</definedName>
    <definedName name="_189__FDSAUDITLINK__" localSheetId="6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9__FDSAUDITLINK__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890__FDSAUDITLINK__" localSheetId="6" hidden="1">{"fdsup://directions/FAT Viewer?action=UPDATE&amp;creator=factset&amp;DYN_ARGS=TRUE&amp;DOC_NAME=FAT:FQL_AUDITING_CLIENT_TEMPLATE.FAT&amp;display_string=Audit&amp;VAR:KEY=TOTUPWRKBW&amp;VAR:QUERY=RkZfRUJJVERBX0lCKCdMVE1TJyw0MDE2Nyk=&amp;WINDOW=FIRST_POPUP&amp;HEIGHT=450&amp;WIDTH=450&amp;START_MA","XIMIZED=FALSE&amp;VAR:CALENDAR=US&amp;VAR:SYMBOL=05614P10&amp;VAR:INDEX=0"}</definedName>
    <definedName name="_1890__FDSAUDITLINK__" hidden="1">{"fdsup://directions/FAT Viewer?action=UPDATE&amp;creator=factset&amp;DYN_ARGS=TRUE&amp;DOC_NAME=FAT:FQL_AUDITING_CLIENT_TEMPLATE.FAT&amp;display_string=Audit&amp;VAR:KEY=TOTUPWRKBW&amp;VAR:QUERY=RkZfRUJJVERBX0lCKCdMVE1TJyw0MDE2Nyk=&amp;WINDOW=FIRST_POPUP&amp;HEIGHT=450&amp;WIDTH=450&amp;START_MA","XIMIZED=FALSE&amp;VAR:CALENDAR=US&amp;VAR:SYMBOL=05614P10&amp;VAR:INDEX=0"}</definedName>
    <definedName name="_1891__FDSAUDITLINK__" localSheetId="6" hidden="1">{"fdsup://directions/FAT Viewer?action=UPDATE&amp;creator=factset&amp;DYN_ARGS=TRUE&amp;DOC_NAME=FAT:FQL_AUDITING_CLIENT_TEMPLATE.FAT&amp;display_string=Audit&amp;VAR:KEY=TMLMXMXUDK&amp;VAR:QUERY=RkZfRUJJVERBX0lCKCdMVE1TJyw0MDE2Nik=&amp;WINDOW=FIRST_POPUP&amp;HEIGHT=450&amp;WIDTH=450&amp;START_MA","XIMIZED=FALSE&amp;VAR:CALENDAR=US&amp;VAR:SYMBOL=05614P10&amp;VAR:INDEX=0"}</definedName>
    <definedName name="_1891__FDSAUDITLINK__" hidden="1">{"fdsup://directions/FAT Viewer?action=UPDATE&amp;creator=factset&amp;DYN_ARGS=TRUE&amp;DOC_NAME=FAT:FQL_AUDITING_CLIENT_TEMPLATE.FAT&amp;display_string=Audit&amp;VAR:KEY=TMLMXMXUDK&amp;VAR:QUERY=RkZfRUJJVERBX0lCKCdMVE1TJyw0MDE2Nik=&amp;WINDOW=FIRST_POPUP&amp;HEIGHT=450&amp;WIDTH=450&amp;START_MA","XIMIZED=FALSE&amp;VAR:CALENDAR=US&amp;VAR:SYMBOL=05614P10&amp;VAR:INDEX=0"}</definedName>
    <definedName name="_1892__FDSAUDITLINK__" localSheetId="6" hidden="1">{"fdsup://directions/FAT Viewer?action=UPDATE&amp;creator=factset&amp;DYN_ARGS=TRUE&amp;DOC_NAME=FAT:FQL_AUDITING_CLIENT_TEMPLATE.FAT&amp;display_string=Audit&amp;VAR:KEY=RGJYRGBMBM&amp;VAR:QUERY=RkZfRUJJVERBX0lCKCdMVE1TJyw0MDE2NSk=&amp;WINDOW=FIRST_POPUP&amp;HEIGHT=450&amp;WIDTH=450&amp;START_MA","XIMIZED=FALSE&amp;VAR:CALENDAR=US&amp;VAR:SYMBOL=05614P10&amp;VAR:INDEX=0"}</definedName>
    <definedName name="_1892__FDSAUDITLINK__" hidden="1">{"fdsup://directions/FAT Viewer?action=UPDATE&amp;creator=factset&amp;DYN_ARGS=TRUE&amp;DOC_NAME=FAT:FQL_AUDITING_CLIENT_TEMPLATE.FAT&amp;display_string=Audit&amp;VAR:KEY=RGJYRGBMBM&amp;VAR:QUERY=RkZfRUJJVERBX0lCKCdMVE1TJyw0MDE2NSk=&amp;WINDOW=FIRST_POPUP&amp;HEIGHT=450&amp;WIDTH=450&amp;START_MA","XIMIZED=FALSE&amp;VAR:CALENDAR=US&amp;VAR:SYMBOL=05614P10&amp;VAR:INDEX=0"}</definedName>
    <definedName name="_1893__FDSAUDITLINK__" localSheetId="6" hidden="1">{"fdsup://directions/FAT Viewer?action=UPDATE&amp;creator=factset&amp;DYN_ARGS=TRUE&amp;DOC_NAME=FAT:FQL_AUDITING_CLIENT_TEMPLATE.FAT&amp;display_string=Audit&amp;VAR:KEY=LQHUJMDULI&amp;VAR:QUERY=RkZfRUJJVERBX0lCKCdMVE1TJyw0MDE2NCk=&amp;WINDOW=FIRST_POPUP&amp;HEIGHT=450&amp;WIDTH=450&amp;START_MA","XIMIZED=FALSE&amp;VAR:CALENDAR=US&amp;VAR:SYMBOL=05614P10&amp;VAR:INDEX=0"}</definedName>
    <definedName name="_1893__FDSAUDITLINK__" hidden="1">{"fdsup://directions/FAT Viewer?action=UPDATE&amp;creator=factset&amp;DYN_ARGS=TRUE&amp;DOC_NAME=FAT:FQL_AUDITING_CLIENT_TEMPLATE.FAT&amp;display_string=Audit&amp;VAR:KEY=LQHUJMDULI&amp;VAR:QUERY=RkZfRUJJVERBX0lCKCdMVE1TJyw0MDE2NCk=&amp;WINDOW=FIRST_POPUP&amp;HEIGHT=450&amp;WIDTH=450&amp;START_MA","XIMIZED=FALSE&amp;VAR:CALENDAR=US&amp;VAR:SYMBOL=05614P10&amp;VAR:INDEX=0"}</definedName>
    <definedName name="_1894__FDSAUDITLINK__" localSheetId="6" hidden="1">{"fdsup://directions/FAT Viewer?action=UPDATE&amp;creator=factset&amp;DYN_ARGS=TRUE&amp;DOC_NAME=FAT:FQL_AUDITING_CLIENT_TEMPLATE.FAT&amp;display_string=Audit&amp;VAR:KEY=BKPEBAJSXQ&amp;VAR:QUERY=RkZfRUJJVERBX0lCKCdMVE1TJyw0MDE2Myk=&amp;WINDOW=FIRST_POPUP&amp;HEIGHT=450&amp;WIDTH=450&amp;START_MA","XIMIZED=FALSE&amp;VAR:CALENDAR=US&amp;VAR:SYMBOL=05614P10&amp;VAR:INDEX=0"}</definedName>
    <definedName name="_1894__FDSAUDITLINK__" hidden="1">{"fdsup://directions/FAT Viewer?action=UPDATE&amp;creator=factset&amp;DYN_ARGS=TRUE&amp;DOC_NAME=FAT:FQL_AUDITING_CLIENT_TEMPLATE.FAT&amp;display_string=Audit&amp;VAR:KEY=BKPEBAJSXQ&amp;VAR:QUERY=RkZfRUJJVERBX0lCKCdMVE1TJyw0MDE2Myk=&amp;WINDOW=FIRST_POPUP&amp;HEIGHT=450&amp;WIDTH=450&amp;START_MA","XIMIZED=FALSE&amp;VAR:CALENDAR=US&amp;VAR:SYMBOL=05614P10&amp;VAR:INDEX=0"}</definedName>
    <definedName name="_1895__FDSAUDITLINK__" localSheetId="6" hidden="1">{"fdsup://directions/FAT Viewer?action=UPDATE&amp;creator=factset&amp;DYN_ARGS=TRUE&amp;DOC_NAME=FAT:FQL_AUDITING_CLIENT_TEMPLATE.FAT&amp;display_string=Audit&amp;VAR:KEY=RGDCFIJQZU&amp;VAR:QUERY=RkZfRUJJVERBX0lCKCdMVE1TJyw0MDE2Mik=&amp;WINDOW=FIRST_POPUP&amp;HEIGHT=450&amp;WIDTH=450&amp;START_MA","XIMIZED=FALSE&amp;VAR:CALENDAR=US&amp;VAR:SYMBOL=05614P10&amp;VAR:INDEX=0"}</definedName>
    <definedName name="_1895__FDSAUDITLINK__" hidden="1">{"fdsup://directions/FAT Viewer?action=UPDATE&amp;creator=factset&amp;DYN_ARGS=TRUE&amp;DOC_NAME=FAT:FQL_AUDITING_CLIENT_TEMPLATE.FAT&amp;display_string=Audit&amp;VAR:KEY=RGDCFIJQZU&amp;VAR:QUERY=RkZfRUJJVERBX0lCKCdMVE1TJyw0MDE2Mik=&amp;WINDOW=FIRST_POPUP&amp;HEIGHT=450&amp;WIDTH=450&amp;START_MA","XIMIZED=FALSE&amp;VAR:CALENDAR=US&amp;VAR:SYMBOL=05614P10&amp;VAR:INDEX=0"}</definedName>
    <definedName name="_1896__FDSAUDITLINK__" localSheetId="6" hidden="1">{"fdsup://directions/FAT Viewer?action=UPDATE&amp;creator=factset&amp;DYN_ARGS=TRUE&amp;DOC_NAME=FAT:FQL_AUDITING_CLIENT_TEMPLATE.FAT&amp;display_string=Audit&amp;VAR:KEY=NUXKDMZIZS&amp;VAR:QUERY=RkZfRUJJVERBX0lCKCdMVE1TJyw0MDE2MSk=&amp;WINDOW=FIRST_POPUP&amp;HEIGHT=450&amp;WIDTH=450&amp;START_MA","XIMIZED=FALSE&amp;VAR:CALENDAR=US&amp;VAR:SYMBOL=05614P10&amp;VAR:INDEX=0"}</definedName>
    <definedName name="_1896__FDSAUDITLINK__" hidden="1">{"fdsup://directions/FAT Viewer?action=UPDATE&amp;creator=factset&amp;DYN_ARGS=TRUE&amp;DOC_NAME=FAT:FQL_AUDITING_CLIENT_TEMPLATE.FAT&amp;display_string=Audit&amp;VAR:KEY=NUXKDMZIZS&amp;VAR:QUERY=RkZfRUJJVERBX0lCKCdMVE1TJyw0MDE2MSk=&amp;WINDOW=FIRST_POPUP&amp;HEIGHT=450&amp;WIDTH=450&amp;START_MA","XIMIZED=FALSE&amp;VAR:CALENDAR=US&amp;VAR:SYMBOL=05614P10&amp;VAR:INDEX=0"}</definedName>
    <definedName name="_1897__FDSAUDITLINK__" localSheetId="6" hidden="1">{"fdsup://directions/FAT Viewer?action=UPDATE&amp;creator=factset&amp;DYN_ARGS=TRUE&amp;DOC_NAME=FAT:FQL_AUDITING_CLIENT_TEMPLATE.FAT&amp;display_string=Audit&amp;VAR:KEY=BUXEDGHYHM&amp;VAR:QUERY=RkZfRUJJVERBX0lCKCdMVE1TJyw0MDE2MCk=&amp;WINDOW=FIRST_POPUP&amp;HEIGHT=450&amp;WIDTH=450&amp;START_MA","XIMIZED=FALSE&amp;VAR:CALENDAR=US&amp;VAR:SYMBOL=05614P10&amp;VAR:INDEX=0"}</definedName>
    <definedName name="_1897__FDSAUDITLINK__" hidden="1">{"fdsup://directions/FAT Viewer?action=UPDATE&amp;creator=factset&amp;DYN_ARGS=TRUE&amp;DOC_NAME=FAT:FQL_AUDITING_CLIENT_TEMPLATE.FAT&amp;display_string=Audit&amp;VAR:KEY=BUXEDGHYHM&amp;VAR:QUERY=RkZfRUJJVERBX0lCKCdMVE1TJyw0MDE2MCk=&amp;WINDOW=FIRST_POPUP&amp;HEIGHT=450&amp;WIDTH=450&amp;START_MA","XIMIZED=FALSE&amp;VAR:CALENDAR=US&amp;VAR:SYMBOL=05614P10&amp;VAR:INDEX=0"}</definedName>
    <definedName name="_1898__FDSAUDITLINK__" localSheetId="6" hidden="1">{"fdsup://directions/FAT Viewer?action=UPDATE&amp;creator=factset&amp;DYN_ARGS=TRUE&amp;DOC_NAME=FAT:FQL_AUDITING_CLIENT_TEMPLATE.FAT&amp;display_string=Audit&amp;VAR:KEY=PCXINUHUTU&amp;VAR:QUERY=RkZfRUJJVERBX0lCKCdMVE1TJyw0MDE1OSk=&amp;WINDOW=FIRST_POPUP&amp;HEIGHT=450&amp;WIDTH=450&amp;START_MA","XIMIZED=FALSE&amp;VAR:CALENDAR=US&amp;VAR:SYMBOL=05614P10&amp;VAR:INDEX=0"}</definedName>
    <definedName name="_1898__FDSAUDITLINK__" hidden="1">{"fdsup://directions/FAT Viewer?action=UPDATE&amp;creator=factset&amp;DYN_ARGS=TRUE&amp;DOC_NAME=FAT:FQL_AUDITING_CLIENT_TEMPLATE.FAT&amp;display_string=Audit&amp;VAR:KEY=PCXINUHUTU&amp;VAR:QUERY=RkZfRUJJVERBX0lCKCdMVE1TJyw0MDE1OSk=&amp;WINDOW=FIRST_POPUP&amp;HEIGHT=450&amp;WIDTH=450&amp;START_MA","XIMIZED=FALSE&amp;VAR:CALENDAR=US&amp;VAR:SYMBOL=05614P10&amp;VAR:INDEX=0"}</definedName>
    <definedName name="_1899__FDSAUDITLINK__" localSheetId="6" hidden="1">{"fdsup://directions/FAT Viewer?action=UPDATE&amp;creator=factset&amp;DYN_ARGS=TRUE&amp;DOC_NAME=FAT:FQL_AUDITING_CLIENT_TEMPLATE.FAT&amp;display_string=Audit&amp;VAR:KEY=VOHSHQTIPS&amp;VAR:QUERY=RkZfRUJJVERBX0lCKCdMVE1TJyw0MDE1OCk=&amp;WINDOW=FIRST_POPUP&amp;HEIGHT=450&amp;WIDTH=450&amp;START_MA","XIMIZED=FALSE&amp;VAR:CALENDAR=US&amp;VAR:SYMBOL=05614P10&amp;VAR:INDEX=0"}</definedName>
    <definedName name="_1899__FDSAUDITLINK__" hidden="1">{"fdsup://directions/FAT Viewer?action=UPDATE&amp;creator=factset&amp;DYN_ARGS=TRUE&amp;DOC_NAME=FAT:FQL_AUDITING_CLIENT_TEMPLATE.FAT&amp;display_string=Audit&amp;VAR:KEY=VOHSHQTIPS&amp;VAR:QUERY=RkZfRUJJVERBX0lCKCdMVE1TJyw0MDE1OCk=&amp;WINDOW=FIRST_POPUP&amp;HEIGHT=450&amp;WIDTH=450&amp;START_MA","XIMIZED=FALSE&amp;VAR:CALENDAR=US&amp;VAR:SYMBOL=05614P10&amp;VAR:INDEX=0"}</definedName>
    <definedName name="_19__FDSAUDITLINK__" localSheetId="6" hidden="1">{"fdsup://directions/FAT Viewer?action=UPDATE&amp;creator=factset&amp;DYN_ARGS=TRUE&amp;DOC_NAME=FAT:FQL_AUDITING_CLIENT_TEMPLATE.FAT&amp;display_string=Audit&amp;VAR:KEY=PWDQVCZGFS&amp;VAR:QUERY=QVZHKENTRl9ORVRfSU5DKEFOTiwwRlksLTZGWSxZKSkgLyAoQVZHKENTRl9BU1NFVFMoQU5OLDBGWSwtNkZZL","EZZKSkgLSBBVkcoQ1NGX0lOVEFORyhBTk4sMCwtNkZZLEZZKSkp&amp;WINDOW=FIRST_POPUP&amp;HEIGHT=450&amp;WIDTH=450&amp;START_MAXIMIZED=FALSE&amp;VAR:CALENDAR=US&amp;VAR:SYMBOL=DHT"}</definedName>
    <definedName name="_19__FDSAUDITLINK__" hidden="1">{"fdsup://directions/FAT Viewer?action=UPDATE&amp;creator=factset&amp;DYN_ARGS=TRUE&amp;DOC_NAME=FAT:FQL_AUDITING_CLIENT_TEMPLATE.FAT&amp;display_string=Audit&amp;VAR:KEY=PWDQVCZGFS&amp;VAR:QUERY=QVZHKENTRl9ORVRfSU5DKEFOTiwwRlksLTZGWSxZKSkgLyAoQVZHKENTRl9BU1NFVFMoQU5OLDBGWSwtNkZZL","EZZKSkgLSBBVkcoQ1NGX0lOVEFORyhBTk4sMCwtNkZZLEZZKSkp&amp;WINDOW=FIRST_POPUP&amp;HEIGHT=450&amp;WIDTH=450&amp;START_MAXIMIZED=FALSE&amp;VAR:CALENDAR=US&amp;VAR:SYMBOL=DHT"}</definedName>
    <definedName name="_190__FDSAUDITLINK__" localSheetId="6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0__FDSAUDITLINK__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00__FDSAUDITLINK__" localSheetId="6" hidden="1">{"fdsup://directions/FAT Viewer?action=UPDATE&amp;creator=factset&amp;DYN_ARGS=TRUE&amp;DOC_NAME=FAT:FQL_AUDITING_CLIENT_TEMPLATE.FAT&amp;display_string=Audit&amp;VAR:KEY=DEROVUXYZS&amp;VAR:QUERY=RkZfRUJJVERBX0lCKCdMVE1TJyw0MDE1Nyk=&amp;WINDOW=FIRST_POPUP&amp;HEIGHT=450&amp;WIDTH=450&amp;START_MA","XIMIZED=FALSE&amp;VAR:CALENDAR=US&amp;VAR:SYMBOL=05614P10&amp;VAR:INDEX=0"}</definedName>
    <definedName name="_1900__FDSAUDITLINK__" hidden="1">{"fdsup://directions/FAT Viewer?action=UPDATE&amp;creator=factset&amp;DYN_ARGS=TRUE&amp;DOC_NAME=FAT:FQL_AUDITING_CLIENT_TEMPLATE.FAT&amp;display_string=Audit&amp;VAR:KEY=DEROVUXYZS&amp;VAR:QUERY=RkZfRUJJVERBX0lCKCdMVE1TJyw0MDE1Nyk=&amp;WINDOW=FIRST_POPUP&amp;HEIGHT=450&amp;WIDTH=450&amp;START_MA","XIMIZED=FALSE&amp;VAR:CALENDAR=US&amp;VAR:SYMBOL=05614P10&amp;VAR:INDEX=0"}</definedName>
    <definedName name="_1901__FDSAUDITLINK__" localSheetId="6" hidden="1">{"fdsup://directions/FAT Viewer?action=UPDATE&amp;creator=factset&amp;DYN_ARGS=TRUE&amp;DOC_NAME=FAT:FQL_AUDITING_CLIENT_TEMPLATE.FAT&amp;display_string=Audit&amp;VAR:KEY=HOJWLAXSDO&amp;VAR:QUERY=RkZfRUJJVERBX0lCKCdMVE1TJyw0MDE1Nik=&amp;WINDOW=FIRST_POPUP&amp;HEIGHT=450&amp;WIDTH=450&amp;START_MA","XIMIZED=FALSE&amp;VAR:CALENDAR=US&amp;VAR:SYMBOL=05614P10&amp;VAR:INDEX=0"}</definedName>
    <definedName name="_1901__FDSAUDITLINK__" hidden="1">{"fdsup://directions/FAT Viewer?action=UPDATE&amp;creator=factset&amp;DYN_ARGS=TRUE&amp;DOC_NAME=FAT:FQL_AUDITING_CLIENT_TEMPLATE.FAT&amp;display_string=Audit&amp;VAR:KEY=HOJWLAXSDO&amp;VAR:QUERY=RkZfRUJJVERBX0lCKCdMVE1TJyw0MDE1Nik=&amp;WINDOW=FIRST_POPUP&amp;HEIGHT=450&amp;WIDTH=450&amp;START_MA","XIMIZED=FALSE&amp;VAR:CALENDAR=US&amp;VAR:SYMBOL=05614P10&amp;VAR:INDEX=0"}</definedName>
    <definedName name="_1902__FDSAUDITLINK__" localSheetId="6" hidden="1">{"fdsup://directions/FAT Viewer?action=UPDATE&amp;creator=factset&amp;DYN_ARGS=TRUE&amp;DOC_NAME=FAT:FQL_AUDITING_CLIENT_TEMPLATE.FAT&amp;display_string=Audit&amp;VAR:KEY=HMRCLKBGBC&amp;VAR:QUERY=RkZfRUJJVERBX0lCKCdMVE1TJyw0MDE1NSk=&amp;WINDOW=FIRST_POPUP&amp;HEIGHT=450&amp;WIDTH=450&amp;START_MA","XIMIZED=FALSE&amp;VAR:CALENDAR=US&amp;VAR:SYMBOL=05614P10&amp;VAR:INDEX=0"}</definedName>
    <definedName name="_1902__FDSAUDITLINK__" hidden="1">{"fdsup://directions/FAT Viewer?action=UPDATE&amp;creator=factset&amp;DYN_ARGS=TRUE&amp;DOC_NAME=FAT:FQL_AUDITING_CLIENT_TEMPLATE.FAT&amp;display_string=Audit&amp;VAR:KEY=HMRCLKBGBC&amp;VAR:QUERY=RkZfRUJJVERBX0lCKCdMVE1TJyw0MDE1NSk=&amp;WINDOW=FIRST_POPUP&amp;HEIGHT=450&amp;WIDTH=450&amp;START_MA","XIMIZED=FALSE&amp;VAR:CALENDAR=US&amp;VAR:SYMBOL=05614P10&amp;VAR:INDEX=0"}</definedName>
    <definedName name="_1903__FDSAUDITLINK__" localSheetId="6" hidden="1">{"fdsup://directions/FAT Viewer?action=UPDATE&amp;creator=factset&amp;DYN_ARGS=TRUE&amp;DOC_NAME=FAT:FQL_AUDITING_CLIENT_TEMPLATE.FAT&amp;display_string=Audit&amp;VAR:KEY=BQTANCHWVC&amp;VAR:QUERY=RkZfRUJJVERBX0lCKCdMVE1TJyw0MDE1NCk=&amp;WINDOW=FIRST_POPUP&amp;HEIGHT=450&amp;WIDTH=450&amp;START_MA","XIMIZED=FALSE&amp;VAR:CALENDAR=US&amp;VAR:SYMBOL=05614P10&amp;VAR:INDEX=0"}</definedName>
    <definedName name="_1903__FDSAUDITLINK__" hidden="1">{"fdsup://directions/FAT Viewer?action=UPDATE&amp;creator=factset&amp;DYN_ARGS=TRUE&amp;DOC_NAME=FAT:FQL_AUDITING_CLIENT_TEMPLATE.FAT&amp;display_string=Audit&amp;VAR:KEY=BQTANCHWVC&amp;VAR:QUERY=RkZfRUJJVERBX0lCKCdMVE1TJyw0MDE1NCk=&amp;WINDOW=FIRST_POPUP&amp;HEIGHT=450&amp;WIDTH=450&amp;START_MA","XIMIZED=FALSE&amp;VAR:CALENDAR=US&amp;VAR:SYMBOL=05614P10&amp;VAR:INDEX=0"}</definedName>
    <definedName name="_1904__FDSAUDITLINK__" localSheetId="6" hidden="1">{"fdsup://directions/FAT Viewer?action=UPDATE&amp;creator=factset&amp;DYN_ARGS=TRUE&amp;DOC_NAME=FAT:FQL_AUDITING_CLIENT_TEMPLATE.FAT&amp;display_string=Audit&amp;VAR:KEY=XSLCNCRINI&amp;VAR:QUERY=RkZfRUJJVERBX0lCKCdMVE1TJyw0MDE1Myk=&amp;WINDOW=FIRST_POPUP&amp;HEIGHT=450&amp;WIDTH=450&amp;START_MA","XIMIZED=FALSE&amp;VAR:CALENDAR=US&amp;VAR:SYMBOL=05614P10&amp;VAR:INDEX=0"}</definedName>
    <definedName name="_1904__FDSAUDITLINK__" hidden="1">{"fdsup://directions/FAT Viewer?action=UPDATE&amp;creator=factset&amp;DYN_ARGS=TRUE&amp;DOC_NAME=FAT:FQL_AUDITING_CLIENT_TEMPLATE.FAT&amp;display_string=Audit&amp;VAR:KEY=XSLCNCRINI&amp;VAR:QUERY=RkZfRUJJVERBX0lCKCdMVE1TJyw0MDE1Myk=&amp;WINDOW=FIRST_POPUP&amp;HEIGHT=450&amp;WIDTH=450&amp;START_MA","XIMIZED=FALSE&amp;VAR:CALENDAR=US&amp;VAR:SYMBOL=05614P10&amp;VAR:INDEX=0"}</definedName>
    <definedName name="_1905__FDSAUDITLINK__" localSheetId="6" hidden="1">{"fdsup://directions/FAT Viewer?action=UPDATE&amp;creator=factset&amp;DYN_ARGS=TRUE&amp;DOC_NAME=FAT:FQL_AUDITING_CLIENT_TEMPLATE.FAT&amp;display_string=Audit&amp;VAR:KEY=FYPCTSLQLU&amp;VAR:QUERY=RkZfRUJJVERBX0lCKCdMVE1TJyw0MDE1Mik=&amp;WINDOW=FIRST_POPUP&amp;HEIGHT=450&amp;WIDTH=450&amp;START_MA","XIMIZED=FALSE&amp;VAR:CALENDAR=US&amp;VAR:SYMBOL=05614P10&amp;VAR:INDEX=0"}</definedName>
    <definedName name="_1905__FDSAUDITLINK__" hidden="1">{"fdsup://directions/FAT Viewer?action=UPDATE&amp;creator=factset&amp;DYN_ARGS=TRUE&amp;DOC_NAME=FAT:FQL_AUDITING_CLIENT_TEMPLATE.FAT&amp;display_string=Audit&amp;VAR:KEY=FYPCTSLQLU&amp;VAR:QUERY=RkZfRUJJVERBX0lCKCdMVE1TJyw0MDE1Mik=&amp;WINDOW=FIRST_POPUP&amp;HEIGHT=450&amp;WIDTH=450&amp;START_MA","XIMIZED=FALSE&amp;VAR:CALENDAR=US&amp;VAR:SYMBOL=05614P10&amp;VAR:INDEX=0"}</definedName>
    <definedName name="_1906__FDSAUDITLINK__" localSheetId="6" hidden="1">{"fdsup://directions/FAT Viewer?action=UPDATE&amp;creator=factset&amp;DYN_ARGS=TRUE&amp;DOC_NAME=FAT:FQL_AUDITING_CLIENT_TEMPLATE.FAT&amp;display_string=Audit&amp;VAR:KEY=JSTINKVMPS&amp;VAR:QUERY=RkZfRUJJVERBX0lCKCdMVE1TJyw0MDE1MSk=&amp;WINDOW=FIRST_POPUP&amp;HEIGHT=450&amp;WIDTH=450&amp;START_MA","XIMIZED=FALSE&amp;VAR:CALENDAR=US&amp;VAR:SYMBOL=05614P10&amp;VAR:INDEX=0"}</definedName>
    <definedName name="_1906__FDSAUDITLINK__" hidden="1">{"fdsup://directions/FAT Viewer?action=UPDATE&amp;creator=factset&amp;DYN_ARGS=TRUE&amp;DOC_NAME=FAT:FQL_AUDITING_CLIENT_TEMPLATE.FAT&amp;display_string=Audit&amp;VAR:KEY=JSTINKVMPS&amp;VAR:QUERY=RkZfRUJJVERBX0lCKCdMVE1TJyw0MDE1MSk=&amp;WINDOW=FIRST_POPUP&amp;HEIGHT=450&amp;WIDTH=450&amp;START_MA","XIMIZED=FALSE&amp;VAR:CALENDAR=US&amp;VAR:SYMBOL=05614P10&amp;VAR:INDEX=0"}</definedName>
    <definedName name="_1907__FDSAUDITLINK__" localSheetId="6" hidden="1">{"fdsup://directions/FAT Viewer?action=UPDATE&amp;creator=factset&amp;DYN_ARGS=TRUE&amp;DOC_NAME=FAT:FQL_AUDITING_CLIENT_TEMPLATE.FAT&amp;display_string=Audit&amp;VAR:KEY=FEPUDAVOHW&amp;VAR:QUERY=RkZfRUJJVERBX0lCKCdMVE1TJyw0MDE1MCk=&amp;WINDOW=FIRST_POPUP&amp;HEIGHT=450&amp;WIDTH=450&amp;START_MA","XIMIZED=FALSE&amp;VAR:CALENDAR=US&amp;VAR:SYMBOL=05614P10&amp;VAR:INDEX=0"}</definedName>
    <definedName name="_1907__FDSAUDITLINK__" hidden="1">{"fdsup://directions/FAT Viewer?action=UPDATE&amp;creator=factset&amp;DYN_ARGS=TRUE&amp;DOC_NAME=FAT:FQL_AUDITING_CLIENT_TEMPLATE.FAT&amp;display_string=Audit&amp;VAR:KEY=FEPUDAVOHW&amp;VAR:QUERY=RkZfRUJJVERBX0lCKCdMVE1TJyw0MDE1MCk=&amp;WINDOW=FIRST_POPUP&amp;HEIGHT=450&amp;WIDTH=450&amp;START_MA","XIMIZED=FALSE&amp;VAR:CALENDAR=US&amp;VAR:SYMBOL=05614P10&amp;VAR:INDEX=0"}</definedName>
    <definedName name="_1908__FDSAUDITLINK__" localSheetId="6" hidden="1">{"fdsup://directions/FAT Viewer?action=UPDATE&amp;creator=factset&amp;DYN_ARGS=TRUE&amp;DOC_NAME=FAT:FQL_AUDITING_CLIENT_TEMPLATE.FAT&amp;display_string=Audit&amp;VAR:KEY=NYBIRSNITW&amp;VAR:QUERY=RkZfRUJJVERBX0lCKCdMVE1TJyw0MDE0OSk=&amp;WINDOW=FIRST_POPUP&amp;HEIGHT=450&amp;WIDTH=450&amp;START_MA","XIMIZED=FALSE&amp;VAR:CALENDAR=US&amp;VAR:SYMBOL=05614P10&amp;VAR:INDEX=0"}</definedName>
    <definedName name="_1908__FDSAUDITLINK__" hidden="1">{"fdsup://directions/FAT Viewer?action=UPDATE&amp;creator=factset&amp;DYN_ARGS=TRUE&amp;DOC_NAME=FAT:FQL_AUDITING_CLIENT_TEMPLATE.FAT&amp;display_string=Audit&amp;VAR:KEY=NYBIRSNITW&amp;VAR:QUERY=RkZfRUJJVERBX0lCKCdMVE1TJyw0MDE0OSk=&amp;WINDOW=FIRST_POPUP&amp;HEIGHT=450&amp;WIDTH=450&amp;START_MA","XIMIZED=FALSE&amp;VAR:CALENDAR=US&amp;VAR:SYMBOL=05614P10&amp;VAR:INDEX=0"}</definedName>
    <definedName name="_1909__FDSAUDITLINK__" localSheetId="6" hidden="1">{"fdsup://directions/FAT Viewer?action=UPDATE&amp;creator=factset&amp;DYN_ARGS=TRUE&amp;DOC_NAME=FAT:FQL_AUDITING_CLIENT_TEMPLATE.FAT&amp;display_string=Audit&amp;VAR:KEY=ZYJSLKDEJI&amp;VAR:QUERY=RkZfRUJJVERBX0lCKCdMVE1TJyw0MDE0OCk=&amp;WINDOW=FIRST_POPUP&amp;HEIGHT=450&amp;WIDTH=450&amp;START_MA","XIMIZED=FALSE&amp;VAR:CALENDAR=US&amp;VAR:SYMBOL=05614P10&amp;VAR:INDEX=0"}</definedName>
    <definedName name="_1909__FDSAUDITLINK__" hidden="1">{"fdsup://directions/FAT Viewer?action=UPDATE&amp;creator=factset&amp;DYN_ARGS=TRUE&amp;DOC_NAME=FAT:FQL_AUDITING_CLIENT_TEMPLATE.FAT&amp;display_string=Audit&amp;VAR:KEY=ZYJSLKDEJI&amp;VAR:QUERY=RkZfRUJJVERBX0lCKCdMVE1TJyw0MDE0OCk=&amp;WINDOW=FIRST_POPUP&amp;HEIGHT=450&amp;WIDTH=450&amp;START_MA","XIMIZED=FALSE&amp;VAR:CALENDAR=US&amp;VAR:SYMBOL=05614P10&amp;VAR:INDEX=0"}</definedName>
    <definedName name="_191__FDSAUDITLINK__" localSheetId="6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1__FDSAUDITLINK__" hidden="1">{"fdsup://directions/FAT%20Viewer?VAR:PED=LTM&amp;VAR:AUDIT_MODE=SUMMARY&amp;VAR:PERIOD=FIXED&amp;VAR:AUDIT_ID=00000117&amp;VAR:DATE=20090814&amp;action=UPDATE&amp;creator=factset&amp;DOC_NAME=FAT:FMA_audit_SUMMARY.fat&amp;DISPLAY_STRING=Display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10__FDSAUDITLINK__" localSheetId="6" hidden="1">{"fdsup://directions/FAT Viewer?action=UPDATE&amp;creator=factset&amp;DYN_ARGS=TRUE&amp;DOC_NAME=FAT:FQL_AUDITING_CLIENT_TEMPLATE.FAT&amp;display_string=Audit&amp;VAR:KEY=FQFYXUTQDY&amp;VAR:QUERY=RkZfRUJJVERBX0lCKCdMVE1TJyw0MDE0Nyk=&amp;WINDOW=FIRST_POPUP&amp;HEIGHT=450&amp;WIDTH=450&amp;START_MA","XIMIZED=FALSE&amp;VAR:CALENDAR=US&amp;VAR:SYMBOL=05614P10&amp;VAR:INDEX=0"}</definedName>
    <definedName name="_1910__FDSAUDITLINK__" hidden="1">{"fdsup://directions/FAT Viewer?action=UPDATE&amp;creator=factset&amp;DYN_ARGS=TRUE&amp;DOC_NAME=FAT:FQL_AUDITING_CLIENT_TEMPLATE.FAT&amp;display_string=Audit&amp;VAR:KEY=FQFYXUTQDY&amp;VAR:QUERY=RkZfRUJJVERBX0lCKCdMVE1TJyw0MDE0Nyk=&amp;WINDOW=FIRST_POPUP&amp;HEIGHT=450&amp;WIDTH=450&amp;START_MA","XIMIZED=FALSE&amp;VAR:CALENDAR=US&amp;VAR:SYMBOL=05614P10&amp;VAR:INDEX=0"}</definedName>
    <definedName name="_1911__FDSAUDITLINK__" localSheetId="6" hidden="1">{"fdsup://directions/FAT Viewer?action=UPDATE&amp;creator=factset&amp;DYN_ARGS=TRUE&amp;DOC_NAME=FAT:FQL_AUDITING_CLIENT_TEMPLATE.FAT&amp;display_string=Audit&amp;VAR:KEY=BCBEDWFYFE&amp;VAR:QUERY=RkZfRUJJVERBX0lCKCdMVE1TJyw0MDE0Nik=&amp;WINDOW=FIRST_POPUP&amp;HEIGHT=450&amp;WIDTH=450&amp;START_MA","XIMIZED=FALSE&amp;VAR:CALENDAR=US&amp;VAR:SYMBOL=05614P10&amp;VAR:INDEX=0"}</definedName>
    <definedName name="_1911__FDSAUDITLINK__" hidden="1">{"fdsup://directions/FAT Viewer?action=UPDATE&amp;creator=factset&amp;DYN_ARGS=TRUE&amp;DOC_NAME=FAT:FQL_AUDITING_CLIENT_TEMPLATE.FAT&amp;display_string=Audit&amp;VAR:KEY=BCBEDWFYFE&amp;VAR:QUERY=RkZfRUJJVERBX0lCKCdMVE1TJyw0MDE0Nik=&amp;WINDOW=FIRST_POPUP&amp;HEIGHT=450&amp;WIDTH=450&amp;START_MA","XIMIZED=FALSE&amp;VAR:CALENDAR=US&amp;VAR:SYMBOL=05614P10&amp;VAR:INDEX=0"}</definedName>
    <definedName name="_1912__FDSAUDITLINK__" localSheetId="6" hidden="1">{"fdsup://directions/FAT Viewer?action=UPDATE&amp;creator=factset&amp;DYN_ARGS=TRUE&amp;DOC_NAME=FAT:FQL_AUDITING_CLIENT_TEMPLATE.FAT&amp;display_string=Audit&amp;VAR:KEY=NSJWHMZWRS&amp;VAR:QUERY=RkZfRUJJVERBX0lCKCdMVE1TJyw0MDE0NSk=&amp;WINDOW=FIRST_POPUP&amp;HEIGHT=450&amp;WIDTH=450&amp;START_MA","XIMIZED=FALSE&amp;VAR:CALENDAR=US&amp;VAR:SYMBOL=05614P10&amp;VAR:INDEX=0"}</definedName>
    <definedName name="_1912__FDSAUDITLINK__" hidden="1">{"fdsup://directions/FAT Viewer?action=UPDATE&amp;creator=factset&amp;DYN_ARGS=TRUE&amp;DOC_NAME=FAT:FQL_AUDITING_CLIENT_TEMPLATE.FAT&amp;display_string=Audit&amp;VAR:KEY=NSJWHMZWRS&amp;VAR:QUERY=RkZfRUJJVERBX0lCKCdMVE1TJyw0MDE0NSk=&amp;WINDOW=FIRST_POPUP&amp;HEIGHT=450&amp;WIDTH=450&amp;START_MA","XIMIZED=FALSE&amp;VAR:CALENDAR=US&amp;VAR:SYMBOL=05614P10&amp;VAR:INDEX=0"}</definedName>
    <definedName name="_1913__FDSAUDITLINK__" localSheetId="6" hidden="1">{"fdsup://directions/FAT Viewer?action=UPDATE&amp;creator=factset&amp;DYN_ARGS=TRUE&amp;DOC_NAME=FAT:FQL_AUDITING_CLIENT_TEMPLATE.FAT&amp;display_string=Audit&amp;VAR:KEY=VGHGJMRAHC&amp;VAR:QUERY=RkZfRUJJVERBX0lCKCdMVE1TJyw0MDE0NCk=&amp;WINDOW=FIRST_POPUP&amp;HEIGHT=450&amp;WIDTH=450&amp;START_MA","XIMIZED=FALSE&amp;VAR:CALENDAR=US&amp;VAR:SYMBOL=05614P10&amp;VAR:INDEX=0"}</definedName>
    <definedName name="_1913__FDSAUDITLINK__" hidden="1">{"fdsup://directions/FAT Viewer?action=UPDATE&amp;creator=factset&amp;DYN_ARGS=TRUE&amp;DOC_NAME=FAT:FQL_AUDITING_CLIENT_TEMPLATE.FAT&amp;display_string=Audit&amp;VAR:KEY=VGHGJMRAHC&amp;VAR:QUERY=RkZfRUJJVERBX0lCKCdMVE1TJyw0MDE0NCk=&amp;WINDOW=FIRST_POPUP&amp;HEIGHT=450&amp;WIDTH=450&amp;START_MA","XIMIZED=FALSE&amp;VAR:CALENDAR=US&amp;VAR:SYMBOL=05614P10&amp;VAR:INDEX=0"}</definedName>
    <definedName name="_1914__FDSAUDITLINK__" localSheetId="6" hidden="1">{"fdsup://directions/FAT Viewer?action=UPDATE&amp;creator=factset&amp;DYN_ARGS=TRUE&amp;DOC_NAME=FAT:FQL_AUDITING_CLIENT_TEMPLATE.FAT&amp;display_string=Audit&amp;VAR:KEY=DWBANCVABM&amp;VAR:QUERY=RkZfRUJJVERBX0lCKCdMVE1TJyw0MDE0Myk=&amp;WINDOW=FIRST_POPUP&amp;HEIGHT=450&amp;WIDTH=450&amp;START_MA","XIMIZED=FALSE&amp;VAR:CALENDAR=US&amp;VAR:SYMBOL=05614P10&amp;VAR:INDEX=0"}</definedName>
    <definedName name="_1914__FDSAUDITLINK__" hidden="1">{"fdsup://directions/FAT Viewer?action=UPDATE&amp;creator=factset&amp;DYN_ARGS=TRUE&amp;DOC_NAME=FAT:FQL_AUDITING_CLIENT_TEMPLATE.FAT&amp;display_string=Audit&amp;VAR:KEY=DWBANCVABM&amp;VAR:QUERY=RkZfRUJJVERBX0lCKCdMVE1TJyw0MDE0Myk=&amp;WINDOW=FIRST_POPUP&amp;HEIGHT=450&amp;WIDTH=450&amp;START_MA","XIMIZED=FALSE&amp;VAR:CALENDAR=US&amp;VAR:SYMBOL=05614P10&amp;VAR:INDEX=0"}</definedName>
    <definedName name="_1915__FDSAUDITLINK__" localSheetId="6" hidden="1">{"fdsup://directions/FAT Viewer?action=UPDATE&amp;creator=factset&amp;DYN_ARGS=TRUE&amp;DOC_NAME=FAT:FQL_AUDITING_CLIENT_TEMPLATE.FAT&amp;display_string=Audit&amp;VAR:KEY=DSPUTWHEPM&amp;VAR:QUERY=RkZfRUJJVERBX0lCKCdMVE1TJyw0MDE0Mik=&amp;WINDOW=FIRST_POPUP&amp;HEIGHT=450&amp;WIDTH=450&amp;START_MA","XIMIZED=FALSE&amp;VAR:CALENDAR=US&amp;VAR:SYMBOL=05614P10&amp;VAR:INDEX=0"}</definedName>
    <definedName name="_1915__FDSAUDITLINK__" hidden="1">{"fdsup://directions/FAT Viewer?action=UPDATE&amp;creator=factset&amp;DYN_ARGS=TRUE&amp;DOC_NAME=FAT:FQL_AUDITING_CLIENT_TEMPLATE.FAT&amp;display_string=Audit&amp;VAR:KEY=DSPUTWHEPM&amp;VAR:QUERY=RkZfRUJJVERBX0lCKCdMVE1TJyw0MDE0Mik=&amp;WINDOW=FIRST_POPUP&amp;HEIGHT=450&amp;WIDTH=450&amp;START_MA","XIMIZED=FALSE&amp;VAR:CALENDAR=US&amp;VAR:SYMBOL=05614P10&amp;VAR:INDEX=0"}</definedName>
    <definedName name="_1916__FDSAUDITLINK__" localSheetId="6" hidden="1">{"fdsup://directions/FAT Viewer?action=UPDATE&amp;creator=factset&amp;DYN_ARGS=TRUE&amp;DOC_NAME=FAT:FQL_AUDITING_CLIENT_TEMPLATE.FAT&amp;display_string=Audit&amp;VAR:KEY=ZCJWXYNYPW&amp;VAR:QUERY=RkZfRUJJVERBX0lCKCdMVE1TJyw0MDE0MSk=&amp;WINDOW=FIRST_POPUP&amp;HEIGHT=450&amp;WIDTH=450&amp;START_MA","XIMIZED=FALSE&amp;VAR:CALENDAR=US&amp;VAR:SYMBOL=05614P10&amp;VAR:INDEX=0"}</definedName>
    <definedName name="_1916__FDSAUDITLINK__" hidden="1">{"fdsup://directions/FAT Viewer?action=UPDATE&amp;creator=factset&amp;DYN_ARGS=TRUE&amp;DOC_NAME=FAT:FQL_AUDITING_CLIENT_TEMPLATE.FAT&amp;display_string=Audit&amp;VAR:KEY=ZCJWXYNYPW&amp;VAR:QUERY=RkZfRUJJVERBX0lCKCdMVE1TJyw0MDE0MSk=&amp;WINDOW=FIRST_POPUP&amp;HEIGHT=450&amp;WIDTH=450&amp;START_MA","XIMIZED=FALSE&amp;VAR:CALENDAR=US&amp;VAR:SYMBOL=05614P10&amp;VAR:INDEX=0"}</definedName>
    <definedName name="_1917__FDSAUDITLINK__" localSheetId="6" hidden="1">{"fdsup://directions/FAT Viewer?action=UPDATE&amp;creator=factset&amp;DYN_ARGS=TRUE&amp;DOC_NAME=FAT:FQL_AUDITING_CLIENT_TEMPLATE.FAT&amp;display_string=Audit&amp;VAR:KEY=JARERKFEVS&amp;VAR:QUERY=RkZfRUJJVERBX0lCKCdMVE1TJyw0MDE0MCk=&amp;WINDOW=FIRST_POPUP&amp;HEIGHT=450&amp;WIDTH=450&amp;START_MA","XIMIZED=FALSE&amp;VAR:CALENDAR=US&amp;VAR:SYMBOL=05614P10&amp;VAR:INDEX=0"}</definedName>
    <definedName name="_1917__FDSAUDITLINK__" hidden="1">{"fdsup://directions/FAT Viewer?action=UPDATE&amp;creator=factset&amp;DYN_ARGS=TRUE&amp;DOC_NAME=FAT:FQL_AUDITING_CLIENT_TEMPLATE.FAT&amp;display_string=Audit&amp;VAR:KEY=JARERKFEVS&amp;VAR:QUERY=RkZfRUJJVERBX0lCKCdMVE1TJyw0MDE0MCk=&amp;WINDOW=FIRST_POPUP&amp;HEIGHT=450&amp;WIDTH=450&amp;START_MA","XIMIZED=FALSE&amp;VAR:CALENDAR=US&amp;VAR:SYMBOL=05614P10&amp;VAR:INDEX=0"}</definedName>
    <definedName name="_1918__FDSAUDITLINK__" localSheetId="6" hidden="1">{"fdsup://directions/FAT Viewer?action=UPDATE&amp;creator=factset&amp;DYN_ARGS=TRUE&amp;DOC_NAME=FAT:FQL_AUDITING_CLIENT_TEMPLATE.FAT&amp;display_string=Audit&amp;VAR:KEY=NCZILQBIJC&amp;VAR:QUERY=RkZfRUJJVERBX0lCKCdMVE1TJyw0MDEzOSk=&amp;WINDOW=FIRST_POPUP&amp;HEIGHT=450&amp;WIDTH=450&amp;START_MA","XIMIZED=FALSE&amp;VAR:CALENDAR=US&amp;VAR:SYMBOL=05614P10&amp;VAR:INDEX=0"}</definedName>
    <definedName name="_1918__FDSAUDITLINK__" hidden="1">{"fdsup://directions/FAT Viewer?action=UPDATE&amp;creator=factset&amp;DYN_ARGS=TRUE&amp;DOC_NAME=FAT:FQL_AUDITING_CLIENT_TEMPLATE.FAT&amp;display_string=Audit&amp;VAR:KEY=NCZILQBIJC&amp;VAR:QUERY=RkZfRUJJVERBX0lCKCdMVE1TJyw0MDEzOSk=&amp;WINDOW=FIRST_POPUP&amp;HEIGHT=450&amp;WIDTH=450&amp;START_MA","XIMIZED=FALSE&amp;VAR:CALENDAR=US&amp;VAR:SYMBOL=05614P10&amp;VAR:INDEX=0"}</definedName>
    <definedName name="_1919__FDSAUDITLINK__" localSheetId="6" hidden="1">{"fdsup://directions/FAT Viewer?action=UPDATE&amp;creator=factset&amp;DYN_ARGS=TRUE&amp;DOC_NAME=FAT:FQL_AUDITING_CLIENT_TEMPLATE.FAT&amp;display_string=Audit&amp;VAR:KEY=FMDWHARSPA&amp;VAR:QUERY=RkZfRUJJVERBX0lCKCdMVE1TJyw0MDEzOCk=&amp;WINDOW=FIRST_POPUP&amp;HEIGHT=450&amp;WIDTH=450&amp;START_MA","XIMIZED=FALSE&amp;VAR:CALENDAR=US&amp;VAR:SYMBOL=05614P10&amp;VAR:INDEX=0"}</definedName>
    <definedName name="_1919__FDSAUDITLINK__" hidden="1">{"fdsup://directions/FAT Viewer?action=UPDATE&amp;creator=factset&amp;DYN_ARGS=TRUE&amp;DOC_NAME=FAT:FQL_AUDITING_CLIENT_TEMPLATE.FAT&amp;display_string=Audit&amp;VAR:KEY=FMDWHARSPA&amp;VAR:QUERY=RkZfRUJJVERBX0lCKCdMVE1TJyw0MDEzOCk=&amp;WINDOW=FIRST_POPUP&amp;HEIGHT=450&amp;WIDTH=450&amp;START_MA","XIMIZED=FALSE&amp;VAR:CALENDAR=US&amp;VAR:SYMBOL=05614P10&amp;VAR:INDEX=0"}</definedName>
    <definedName name="_192__FDSAUDITLINK__" localSheetId="6" hidden="1">{"fdsup://directions/FAT%20Viewer?VAR:PED=LTM&amp;VAR:AUDIT_MODE=SUMMARY&amp;VAR:PERIOD=FIXED&amp;VAR:AUDIT_ID=00000117&amp;VAR:DATE=20090813&amp;action=UPDATE&amp;creator=factset&amp;DOC_NAME=FAT:FMA_audit_SUMMARY.fat&amp;DISPLAY_STRING=Display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2__FDSAUDITLINK__" hidden="1">{"fdsup://directions/FAT%20Viewer?VAR:PED=LTM&amp;VAR:AUDIT_MODE=SUMMARY&amp;VAR:PERIOD=FIXED&amp;VAR:AUDIT_ID=00000117&amp;VAR:DATE=20090813&amp;action=UPDATE&amp;creator=factset&amp;DOC_NAME=FAT:FMA_audit_SUMMARY.fat&amp;DISPLAY_STRING=Display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20__FDSAUDITLINK__" localSheetId="6" hidden="1">{"fdsup://directions/FAT Viewer?action=UPDATE&amp;creator=factset&amp;DYN_ARGS=TRUE&amp;DOC_NAME=FAT:FQL_AUDITING_CLIENT_TEMPLATE.FAT&amp;display_string=Audit&amp;VAR:KEY=BQDMVAJYXA&amp;VAR:QUERY=RkZfRUJJVERBX0lCKCdMVE1TJyw0MDEzNyk=&amp;WINDOW=FIRST_POPUP&amp;HEIGHT=450&amp;WIDTH=450&amp;START_MA","XIMIZED=FALSE&amp;VAR:CALENDAR=US&amp;VAR:SYMBOL=05614P10&amp;VAR:INDEX=0"}</definedName>
    <definedName name="_1920__FDSAUDITLINK__" hidden="1">{"fdsup://directions/FAT Viewer?action=UPDATE&amp;creator=factset&amp;DYN_ARGS=TRUE&amp;DOC_NAME=FAT:FQL_AUDITING_CLIENT_TEMPLATE.FAT&amp;display_string=Audit&amp;VAR:KEY=BQDMVAJYXA&amp;VAR:QUERY=RkZfRUJJVERBX0lCKCdMVE1TJyw0MDEzNyk=&amp;WINDOW=FIRST_POPUP&amp;HEIGHT=450&amp;WIDTH=450&amp;START_MA","XIMIZED=FALSE&amp;VAR:CALENDAR=US&amp;VAR:SYMBOL=05614P10&amp;VAR:INDEX=0"}</definedName>
    <definedName name="_1921__FDSAUDITLINK__" localSheetId="6" hidden="1">{"fdsup://directions/FAT Viewer?action=UPDATE&amp;creator=factset&amp;DYN_ARGS=TRUE&amp;DOC_NAME=FAT:FQL_AUDITING_CLIENT_TEMPLATE.FAT&amp;display_string=Audit&amp;VAR:KEY=ZKVGRSVKVG&amp;VAR:QUERY=RkZfRUJJVERBX0lCKCdMVE1TJyw0MDEzNik=&amp;WINDOW=FIRST_POPUP&amp;HEIGHT=450&amp;WIDTH=450&amp;START_MA","XIMIZED=FALSE&amp;VAR:CALENDAR=US&amp;VAR:SYMBOL=05614P10&amp;VAR:INDEX=0"}</definedName>
    <definedName name="_1921__FDSAUDITLINK__" hidden="1">{"fdsup://directions/FAT Viewer?action=UPDATE&amp;creator=factset&amp;DYN_ARGS=TRUE&amp;DOC_NAME=FAT:FQL_AUDITING_CLIENT_TEMPLATE.FAT&amp;display_string=Audit&amp;VAR:KEY=ZKVGRSVKVG&amp;VAR:QUERY=RkZfRUJJVERBX0lCKCdMVE1TJyw0MDEzNik=&amp;WINDOW=FIRST_POPUP&amp;HEIGHT=450&amp;WIDTH=450&amp;START_MA","XIMIZED=FALSE&amp;VAR:CALENDAR=US&amp;VAR:SYMBOL=05614P10&amp;VAR:INDEX=0"}</definedName>
    <definedName name="_1922__FDSAUDITLINK__" localSheetId="6" hidden="1">{"fdsup://directions/FAT Viewer?action=UPDATE&amp;creator=factset&amp;DYN_ARGS=TRUE&amp;DOC_NAME=FAT:FQL_AUDITING_CLIENT_TEMPLATE.FAT&amp;display_string=Audit&amp;VAR:KEY=RMTOTSBWNU&amp;VAR:QUERY=RkZfRUJJVERBX0lCKCdMVE1TJyw0MDEzNSk=&amp;WINDOW=FIRST_POPUP&amp;HEIGHT=450&amp;WIDTH=450&amp;START_MA","XIMIZED=FALSE&amp;VAR:CALENDAR=US&amp;VAR:SYMBOL=05614P10&amp;VAR:INDEX=0"}</definedName>
    <definedName name="_1922__FDSAUDITLINK__" hidden="1">{"fdsup://directions/FAT Viewer?action=UPDATE&amp;creator=factset&amp;DYN_ARGS=TRUE&amp;DOC_NAME=FAT:FQL_AUDITING_CLIENT_TEMPLATE.FAT&amp;display_string=Audit&amp;VAR:KEY=RMTOTSBWNU&amp;VAR:QUERY=RkZfRUJJVERBX0lCKCdMVE1TJyw0MDEzNSk=&amp;WINDOW=FIRST_POPUP&amp;HEIGHT=450&amp;WIDTH=450&amp;START_MA","XIMIZED=FALSE&amp;VAR:CALENDAR=US&amp;VAR:SYMBOL=05614P10&amp;VAR:INDEX=0"}</definedName>
    <definedName name="_1923__FDSAUDITLINK__" localSheetId="6" hidden="1">{"fdsup://directions/FAT Viewer?action=UPDATE&amp;creator=factset&amp;DYN_ARGS=TRUE&amp;DOC_NAME=FAT:FQL_AUDITING_CLIENT_TEMPLATE.FAT&amp;display_string=Audit&amp;VAR:KEY=PWHQLOPCLK&amp;VAR:QUERY=RkZfRUJJVERBX0lCKCdMVE1TJyw0MDEzNCk=&amp;WINDOW=FIRST_POPUP&amp;HEIGHT=450&amp;WIDTH=450&amp;START_MA","XIMIZED=FALSE&amp;VAR:CALENDAR=US&amp;VAR:SYMBOL=05614P10&amp;VAR:INDEX=0"}</definedName>
    <definedName name="_1923__FDSAUDITLINK__" hidden="1">{"fdsup://directions/FAT Viewer?action=UPDATE&amp;creator=factset&amp;DYN_ARGS=TRUE&amp;DOC_NAME=FAT:FQL_AUDITING_CLIENT_TEMPLATE.FAT&amp;display_string=Audit&amp;VAR:KEY=PWHQLOPCLK&amp;VAR:QUERY=RkZfRUJJVERBX0lCKCdMVE1TJyw0MDEzNCk=&amp;WINDOW=FIRST_POPUP&amp;HEIGHT=450&amp;WIDTH=450&amp;START_MA","XIMIZED=FALSE&amp;VAR:CALENDAR=US&amp;VAR:SYMBOL=05614P10&amp;VAR:INDEX=0"}</definedName>
    <definedName name="_1924__FDSAUDITLINK__" localSheetId="6" hidden="1">{"fdsup://directions/FAT Viewer?action=UPDATE&amp;creator=factset&amp;DYN_ARGS=TRUE&amp;DOC_NAME=FAT:FQL_AUDITING_CLIENT_TEMPLATE.FAT&amp;display_string=Audit&amp;VAR:KEY=TANALYNQDE&amp;VAR:QUERY=RkZfRUJJVERBX0lCKCdMVE1TJyw0MDEzMyk=&amp;WINDOW=FIRST_POPUP&amp;HEIGHT=450&amp;WIDTH=450&amp;START_MA","XIMIZED=FALSE&amp;VAR:CALENDAR=US&amp;VAR:SYMBOL=05614P10&amp;VAR:INDEX=0"}</definedName>
    <definedName name="_1924__FDSAUDITLINK__" hidden="1">{"fdsup://directions/FAT Viewer?action=UPDATE&amp;creator=factset&amp;DYN_ARGS=TRUE&amp;DOC_NAME=FAT:FQL_AUDITING_CLIENT_TEMPLATE.FAT&amp;display_string=Audit&amp;VAR:KEY=TANALYNQDE&amp;VAR:QUERY=RkZfRUJJVERBX0lCKCdMVE1TJyw0MDEzMyk=&amp;WINDOW=FIRST_POPUP&amp;HEIGHT=450&amp;WIDTH=450&amp;START_MA","XIMIZED=FALSE&amp;VAR:CALENDAR=US&amp;VAR:SYMBOL=05614P10&amp;VAR:INDEX=0"}</definedName>
    <definedName name="_1925__FDSAUDITLINK__" localSheetId="6" hidden="1">{"fdsup://directions/FAT Viewer?action=UPDATE&amp;creator=factset&amp;DYN_ARGS=TRUE&amp;DOC_NAME=FAT:FQL_AUDITING_CLIENT_TEMPLATE.FAT&amp;display_string=Audit&amp;VAR:KEY=NQFYXIZIXM&amp;VAR:QUERY=RkZfRUJJVERBX0lCKCdMVE1TJyw0MDEzMik=&amp;WINDOW=FIRST_POPUP&amp;HEIGHT=450&amp;WIDTH=450&amp;START_MA","XIMIZED=FALSE&amp;VAR:CALENDAR=US&amp;VAR:SYMBOL=05614P10&amp;VAR:INDEX=0"}</definedName>
    <definedName name="_1925__FDSAUDITLINK__" hidden="1">{"fdsup://directions/FAT Viewer?action=UPDATE&amp;creator=factset&amp;DYN_ARGS=TRUE&amp;DOC_NAME=FAT:FQL_AUDITING_CLIENT_TEMPLATE.FAT&amp;display_string=Audit&amp;VAR:KEY=NQFYXIZIXM&amp;VAR:QUERY=RkZfRUJJVERBX0lCKCdMVE1TJyw0MDEzMik=&amp;WINDOW=FIRST_POPUP&amp;HEIGHT=450&amp;WIDTH=450&amp;START_MA","XIMIZED=FALSE&amp;VAR:CALENDAR=US&amp;VAR:SYMBOL=05614P10&amp;VAR:INDEX=0"}</definedName>
    <definedName name="_1926__FDSAUDITLINK__" localSheetId="6" hidden="1">{"fdsup://directions/FAT Viewer?action=UPDATE&amp;creator=factset&amp;DYN_ARGS=TRUE&amp;DOC_NAME=FAT:FQL_AUDITING_CLIENT_TEMPLATE.FAT&amp;display_string=Audit&amp;VAR:KEY=RCBOTEZOZU&amp;VAR:QUERY=RkZfRUJJVERBX0lCKCdMVE1TJyw0MDEzMSk=&amp;WINDOW=FIRST_POPUP&amp;HEIGHT=450&amp;WIDTH=450&amp;START_MA","XIMIZED=FALSE&amp;VAR:CALENDAR=US&amp;VAR:SYMBOL=05614P10&amp;VAR:INDEX=0"}</definedName>
    <definedName name="_1926__FDSAUDITLINK__" hidden="1">{"fdsup://directions/FAT Viewer?action=UPDATE&amp;creator=factset&amp;DYN_ARGS=TRUE&amp;DOC_NAME=FAT:FQL_AUDITING_CLIENT_TEMPLATE.FAT&amp;display_string=Audit&amp;VAR:KEY=RCBOTEZOZU&amp;VAR:QUERY=RkZfRUJJVERBX0lCKCdMVE1TJyw0MDEzMSk=&amp;WINDOW=FIRST_POPUP&amp;HEIGHT=450&amp;WIDTH=450&amp;START_MA","XIMIZED=FALSE&amp;VAR:CALENDAR=US&amp;VAR:SYMBOL=05614P10&amp;VAR:INDEX=0"}</definedName>
    <definedName name="_1927__FDSAUDITLINK__" localSheetId="6" hidden="1">{"fdsup://directions/FAT Viewer?action=UPDATE&amp;creator=factset&amp;DYN_ARGS=TRUE&amp;DOC_NAME=FAT:FQL_AUDITING_CLIENT_TEMPLATE.FAT&amp;display_string=Audit&amp;VAR:KEY=RSBQRUNSBQ&amp;VAR:QUERY=RkZfRUJJVERBX0lCKCdMVE1TJyw0MDEzMCk=&amp;WINDOW=FIRST_POPUP&amp;HEIGHT=450&amp;WIDTH=450&amp;START_MA","XIMIZED=FALSE&amp;VAR:CALENDAR=US&amp;VAR:SYMBOL=05614P10&amp;VAR:INDEX=0"}</definedName>
    <definedName name="_1927__FDSAUDITLINK__" hidden="1">{"fdsup://directions/FAT Viewer?action=UPDATE&amp;creator=factset&amp;DYN_ARGS=TRUE&amp;DOC_NAME=FAT:FQL_AUDITING_CLIENT_TEMPLATE.FAT&amp;display_string=Audit&amp;VAR:KEY=RSBQRUNSBQ&amp;VAR:QUERY=RkZfRUJJVERBX0lCKCdMVE1TJyw0MDEzMCk=&amp;WINDOW=FIRST_POPUP&amp;HEIGHT=450&amp;WIDTH=450&amp;START_MA","XIMIZED=FALSE&amp;VAR:CALENDAR=US&amp;VAR:SYMBOL=05614P10&amp;VAR:INDEX=0"}</definedName>
    <definedName name="_1928__FDSAUDITLINK__" localSheetId="6" hidden="1">{"fdsup://directions/FAT Viewer?action=UPDATE&amp;creator=factset&amp;DYN_ARGS=TRUE&amp;DOC_NAME=FAT:FQL_AUDITING_CLIENT_TEMPLATE.FAT&amp;display_string=Audit&amp;VAR:KEY=JSVYDYXSXI&amp;VAR:QUERY=RkZfRUJJVERBX0lCKCdMVE1TJyw0MDEyOSk=&amp;WINDOW=FIRST_POPUP&amp;HEIGHT=450&amp;WIDTH=450&amp;START_MA","XIMIZED=FALSE&amp;VAR:CALENDAR=US&amp;VAR:SYMBOL=05614P10&amp;VAR:INDEX=0"}</definedName>
    <definedName name="_1928__FDSAUDITLINK__" hidden="1">{"fdsup://directions/FAT Viewer?action=UPDATE&amp;creator=factset&amp;DYN_ARGS=TRUE&amp;DOC_NAME=FAT:FQL_AUDITING_CLIENT_TEMPLATE.FAT&amp;display_string=Audit&amp;VAR:KEY=JSVYDYXSXI&amp;VAR:QUERY=RkZfRUJJVERBX0lCKCdMVE1TJyw0MDEyOSk=&amp;WINDOW=FIRST_POPUP&amp;HEIGHT=450&amp;WIDTH=450&amp;START_MA","XIMIZED=FALSE&amp;VAR:CALENDAR=US&amp;VAR:SYMBOL=05614P10&amp;VAR:INDEX=0"}</definedName>
    <definedName name="_1929__FDSAUDITLINK__" localSheetId="6" hidden="1">{"fdsup://directions/FAT Viewer?action=UPDATE&amp;creator=factset&amp;DYN_ARGS=TRUE&amp;DOC_NAME=FAT:FQL_AUDITING_CLIENT_TEMPLATE.FAT&amp;display_string=Audit&amp;VAR:KEY=TIVMRKVYXQ&amp;VAR:QUERY=RkZfRUJJVERBX0lCKCdMVE1TJyw0MDEyOCk=&amp;WINDOW=FIRST_POPUP&amp;HEIGHT=450&amp;WIDTH=450&amp;START_MA","XIMIZED=FALSE&amp;VAR:CALENDAR=US&amp;VAR:SYMBOL=05614P10&amp;VAR:INDEX=0"}</definedName>
    <definedName name="_1929__FDSAUDITLINK__" hidden="1">{"fdsup://directions/FAT Viewer?action=UPDATE&amp;creator=factset&amp;DYN_ARGS=TRUE&amp;DOC_NAME=FAT:FQL_AUDITING_CLIENT_TEMPLATE.FAT&amp;display_string=Audit&amp;VAR:KEY=TIVMRKVYXQ&amp;VAR:QUERY=RkZfRUJJVERBX0lCKCdMVE1TJyw0MDEyOCk=&amp;WINDOW=FIRST_POPUP&amp;HEIGHT=450&amp;WIDTH=450&amp;START_MA","XIMIZED=FALSE&amp;VAR:CALENDAR=US&amp;VAR:SYMBOL=05614P10&amp;VAR:INDEX=0"}</definedName>
    <definedName name="_193__FDSAUDITLINK__" localSheetId="6" hidden="1">{"fdsup://directions/FAT%20Viewer?VAR:PED=LTM&amp;VAR:AUDIT_MODE=SUMMARY&amp;VAR:PERIOD=FIXED&amp;VAR:AUDIT_ID=00000117&amp;VAR:DATE=20090812&amp;action=UPDATE&amp;creator=factset&amp;DOC_NAME=FAT:FMA_audit_SUMMARY.fat&amp;DISPLAY_STRING=Display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3__FDSAUDITLINK__" hidden="1">{"fdsup://directions/FAT%20Viewer?VAR:PED=LTM&amp;VAR:AUDIT_MODE=SUMMARY&amp;VAR:PERIOD=FIXED&amp;VAR:AUDIT_ID=00000117&amp;VAR:DATE=20090812&amp;action=UPDATE&amp;creator=factset&amp;DOC_NAME=FAT:FMA_audit_SUMMARY.fat&amp;DISPLAY_STRING=Display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30__FDSAUDITLINK__" localSheetId="6" hidden="1">{"fdsup://directions/FAT Viewer?action=UPDATE&amp;creator=factset&amp;DYN_ARGS=TRUE&amp;DOC_NAME=FAT:FQL_AUDITING_CLIENT_TEMPLATE.FAT&amp;display_string=Audit&amp;VAR:KEY=RWRCLGLYRC&amp;VAR:QUERY=RkZfRUJJVERBX0lCKCdMVE1TJyw0MDEyNyk=&amp;WINDOW=FIRST_POPUP&amp;HEIGHT=450&amp;WIDTH=450&amp;START_MA","XIMIZED=FALSE&amp;VAR:CALENDAR=US&amp;VAR:SYMBOL=05614P10&amp;VAR:INDEX=0"}</definedName>
    <definedName name="_1930__FDSAUDITLINK__" hidden="1">{"fdsup://directions/FAT Viewer?action=UPDATE&amp;creator=factset&amp;DYN_ARGS=TRUE&amp;DOC_NAME=FAT:FQL_AUDITING_CLIENT_TEMPLATE.FAT&amp;display_string=Audit&amp;VAR:KEY=RWRCLGLYRC&amp;VAR:QUERY=RkZfRUJJVERBX0lCKCdMVE1TJyw0MDEyNyk=&amp;WINDOW=FIRST_POPUP&amp;HEIGHT=450&amp;WIDTH=450&amp;START_MA","XIMIZED=FALSE&amp;VAR:CALENDAR=US&amp;VAR:SYMBOL=05614P10&amp;VAR:INDEX=0"}</definedName>
    <definedName name="_1931__FDSAUDITLINK__" localSheetId="6" hidden="1">{"fdsup://directions/FAT Viewer?action=UPDATE&amp;creator=factset&amp;DYN_ARGS=TRUE&amp;DOC_NAME=FAT:FQL_AUDITING_CLIENT_TEMPLATE.FAT&amp;display_string=Audit&amp;VAR:KEY=HGTSHIPCDQ&amp;VAR:QUERY=RkZfRUJJVERBX0lCKCdMVE1TJyw0MDEyNik=&amp;WINDOW=FIRST_POPUP&amp;HEIGHT=450&amp;WIDTH=450&amp;START_MA","XIMIZED=FALSE&amp;VAR:CALENDAR=US&amp;VAR:SYMBOL=05614P10&amp;VAR:INDEX=0"}</definedName>
    <definedName name="_1931__FDSAUDITLINK__" hidden="1">{"fdsup://directions/FAT Viewer?action=UPDATE&amp;creator=factset&amp;DYN_ARGS=TRUE&amp;DOC_NAME=FAT:FQL_AUDITING_CLIENT_TEMPLATE.FAT&amp;display_string=Audit&amp;VAR:KEY=HGTSHIPCDQ&amp;VAR:QUERY=RkZfRUJJVERBX0lCKCdMVE1TJyw0MDEyNik=&amp;WINDOW=FIRST_POPUP&amp;HEIGHT=450&amp;WIDTH=450&amp;START_MA","XIMIZED=FALSE&amp;VAR:CALENDAR=US&amp;VAR:SYMBOL=05614P10&amp;VAR:INDEX=0"}</definedName>
    <definedName name="_1932__FDSAUDITLINK__" localSheetId="6" hidden="1">{"fdsup://directions/FAT Viewer?action=UPDATE&amp;creator=factset&amp;DYN_ARGS=TRUE&amp;DOC_NAME=FAT:FQL_AUDITING_CLIENT_TEMPLATE.FAT&amp;display_string=Audit&amp;VAR:KEY=LWRSTONSLO&amp;VAR:QUERY=RkZfRUJJVERBX0lCKCdMVE1TJyw0MDEyNSk=&amp;WINDOW=FIRST_POPUP&amp;HEIGHT=450&amp;WIDTH=450&amp;START_MA","XIMIZED=FALSE&amp;VAR:CALENDAR=US&amp;VAR:SYMBOL=05614P10&amp;VAR:INDEX=0"}</definedName>
    <definedName name="_1932__FDSAUDITLINK__" hidden="1">{"fdsup://directions/FAT Viewer?action=UPDATE&amp;creator=factset&amp;DYN_ARGS=TRUE&amp;DOC_NAME=FAT:FQL_AUDITING_CLIENT_TEMPLATE.FAT&amp;display_string=Audit&amp;VAR:KEY=LWRSTONSLO&amp;VAR:QUERY=RkZfRUJJVERBX0lCKCdMVE1TJyw0MDEyNSk=&amp;WINDOW=FIRST_POPUP&amp;HEIGHT=450&amp;WIDTH=450&amp;START_MA","XIMIZED=FALSE&amp;VAR:CALENDAR=US&amp;VAR:SYMBOL=05614P10&amp;VAR:INDEX=0"}</definedName>
    <definedName name="_1933__FDSAUDITLINK__" localSheetId="6" hidden="1">{"fdsup://directions/FAT Viewer?action=UPDATE&amp;creator=factset&amp;DYN_ARGS=TRUE&amp;DOC_NAME=FAT:FQL_AUDITING_CLIENT_TEMPLATE.FAT&amp;display_string=Audit&amp;VAR:KEY=DYXCHGFUNK&amp;VAR:QUERY=RkZfRUJJVERBX0lCKCdMVE1TJyw0MDEyNCk=&amp;WINDOW=FIRST_POPUP&amp;HEIGHT=450&amp;WIDTH=450&amp;START_MA","XIMIZED=FALSE&amp;VAR:CALENDAR=US&amp;VAR:SYMBOL=05614P10&amp;VAR:INDEX=0"}</definedName>
    <definedName name="_1933__FDSAUDITLINK__" hidden="1">{"fdsup://directions/FAT Viewer?action=UPDATE&amp;creator=factset&amp;DYN_ARGS=TRUE&amp;DOC_NAME=FAT:FQL_AUDITING_CLIENT_TEMPLATE.FAT&amp;display_string=Audit&amp;VAR:KEY=DYXCHGFUNK&amp;VAR:QUERY=RkZfRUJJVERBX0lCKCdMVE1TJyw0MDEyNCk=&amp;WINDOW=FIRST_POPUP&amp;HEIGHT=450&amp;WIDTH=450&amp;START_MA","XIMIZED=FALSE&amp;VAR:CALENDAR=US&amp;VAR:SYMBOL=05614P10&amp;VAR:INDEX=0"}</definedName>
    <definedName name="_1934__FDSAUDITLINK__" localSheetId="6" hidden="1">{"fdsup://directions/FAT Viewer?action=UPDATE&amp;creator=factset&amp;DYN_ARGS=TRUE&amp;DOC_NAME=FAT:FQL_AUDITING_CLIENT_TEMPLATE.FAT&amp;display_string=Audit&amp;VAR:KEY=FSRYPOVCLO&amp;VAR:QUERY=RkZfRUJJVERBX0lCKCdMVE1TJyw0MDEyMyk=&amp;WINDOW=FIRST_POPUP&amp;HEIGHT=450&amp;WIDTH=450&amp;START_MA","XIMIZED=FALSE&amp;VAR:CALENDAR=US&amp;VAR:SYMBOL=05614P10&amp;VAR:INDEX=0"}</definedName>
    <definedName name="_1934__FDSAUDITLINK__" hidden="1">{"fdsup://directions/FAT Viewer?action=UPDATE&amp;creator=factset&amp;DYN_ARGS=TRUE&amp;DOC_NAME=FAT:FQL_AUDITING_CLIENT_TEMPLATE.FAT&amp;display_string=Audit&amp;VAR:KEY=FSRYPOVCLO&amp;VAR:QUERY=RkZfRUJJVERBX0lCKCdMVE1TJyw0MDEyMyk=&amp;WINDOW=FIRST_POPUP&amp;HEIGHT=450&amp;WIDTH=450&amp;START_MA","XIMIZED=FALSE&amp;VAR:CALENDAR=US&amp;VAR:SYMBOL=05614P10&amp;VAR:INDEX=0"}</definedName>
    <definedName name="_1935__FDSAUDITLINK__" localSheetId="6" hidden="1">{"fdsup://directions/FAT Viewer?action=UPDATE&amp;creator=factset&amp;DYN_ARGS=TRUE&amp;DOC_NAME=FAT:FQL_AUDITING_CLIENT_TEMPLATE.FAT&amp;display_string=Audit&amp;VAR:KEY=ZWZAZKFUJG&amp;VAR:QUERY=RkZfRUJJVERBX0lCKCdMVE1TJyw0MDEyMik=&amp;WINDOW=FIRST_POPUP&amp;HEIGHT=450&amp;WIDTH=450&amp;START_MA","XIMIZED=FALSE&amp;VAR:CALENDAR=US&amp;VAR:SYMBOL=05614P10&amp;VAR:INDEX=0"}</definedName>
    <definedName name="_1935__FDSAUDITLINK__" hidden="1">{"fdsup://directions/FAT Viewer?action=UPDATE&amp;creator=factset&amp;DYN_ARGS=TRUE&amp;DOC_NAME=FAT:FQL_AUDITING_CLIENT_TEMPLATE.FAT&amp;display_string=Audit&amp;VAR:KEY=ZWZAZKFUJG&amp;VAR:QUERY=RkZfRUJJVERBX0lCKCdMVE1TJyw0MDEyMik=&amp;WINDOW=FIRST_POPUP&amp;HEIGHT=450&amp;WIDTH=450&amp;START_MA","XIMIZED=FALSE&amp;VAR:CALENDAR=US&amp;VAR:SYMBOL=05614P10&amp;VAR:INDEX=0"}</definedName>
    <definedName name="_1936__FDSAUDITLINK__" localSheetId="6" hidden="1">{"fdsup://directions/FAT Viewer?action=UPDATE&amp;creator=factset&amp;DYN_ARGS=TRUE&amp;DOC_NAME=FAT:FQL_AUDITING_CLIENT_TEMPLATE.FAT&amp;display_string=Audit&amp;VAR:KEY=TKRCBGVUDC&amp;VAR:QUERY=RkZfRUJJVERBX0lCKCdMVE1TJyw0MDEyMSk=&amp;WINDOW=FIRST_POPUP&amp;HEIGHT=450&amp;WIDTH=450&amp;START_MA","XIMIZED=FALSE&amp;VAR:CALENDAR=US&amp;VAR:SYMBOL=05614P10&amp;VAR:INDEX=0"}</definedName>
    <definedName name="_1936__FDSAUDITLINK__" hidden="1">{"fdsup://directions/FAT Viewer?action=UPDATE&amp;creator=factset&amp;DYN_ARGS=TRUE&amp;DOC_NAME=FAT:FQL_AUDITING_CLIENT_TEMPLATE.FAT&amp;display_string=Audit&amp;VAR:KEY=TKRCBGVUDC&amp;VAR:QUERY=RkZfRUJJVERBX0lCKCdMVE1TJyw0MDEyMSk=&amp;WINDOW=FIRST_POPUP&amp;HEIGHT=450&amp;WIDTH=450&amp;START_MA","XIMIZED=FALSE&amp;VAR:CALENDAR=US&amp;VAR:SYMBOL=05614P10&amp;VAR:INDEX=0"}</definedName>
    <definedName name="_1937__FDSAUDITLINK__" localSheetId="6" hidden="1">{"fdsup://directions/FAT Viewer?action=UPDATE&amp;creator=factset&amp;DYN_ARGS=TRUE&amp;DOC_NAME=FAT:FQL_AUDITING_CLIENT_TEMPLATE.FAT&amp;display_string=Audit&amp;VAR:KEY=FIBMJCFWHQ&amp;VAR:QUERY=RkZfRUJJVERBX0lCKCdMVE1TJyw0MDEyMCk=&amp;WINDOW=FIRST_POPUP&amp;HEIGHT=450&amp;WIDTH=450&amp;START_MA","XIMIZED=FALSE&amp;VAR:CALENDAR=US&amp;VAR:SYMBOL=05614P10&amp;VAR:INDEX=0"}</definedName>
    <definedName name="_1937__FDSAUDITLINK__" hidden="1">{"fdsup://directions/FAT Viewer?action=UPDATE&amp;creator=factset&amp;DYN_ARGS=TRUE&amp;DOC_NAME=FAT:FQL_AUDITING_CLIENT_TEMPLATE.FAT&amp;display_string=Audit&amp;VAR:KEY=FIBMJCFWHQ&amp;VAR:QUERY=RkZfRUJJVERBX0lCKCdMVE1TJyw0MDEyMCk=&amp;WINDOW=FIRST_POPUP&amp;HEIGHT=450&amp;WIDTH=450&amp;START_MA","XIMIZED=FALSE&amp;VAR:CALENDAR=US&amp;VAR:SYMBOL=05614P10&amp;VAR:INDEX=0"}</definedName>
    <definedName name="_1938__FDSAUDITLINK__" localSheetId="6" hidden="1">{"fdsup://directions/FAT Viewer?action=UPDATE&amp;creator=factset&amp;DYN_ARGS=TRUE&amp;DOC_NAME=FAT:FQL_AUDITING_CLIENT_TEMPLATE.FAT&amp;display_string=Audit&amp;VAR:KEY=LKNMZATWNQ&amp;VAR:QUERY=RkZfRUJJVERBX0lCKCdMVE1TJyw0MDExOSk=&amp;WINDOW=FIRST_POPUP&amp;HEIGHT=450&amp;WIDTH=450&amp;START_MA","XIMIZED=FALSE&amp;VAR:CALENDAR=US&amp;VAR:SYMBOL=05614P10&amp;VAR:INDEX=0"}</definedName>
    <definedName name="_1938__FDSAUDITLINK__" hidden="1">{"fdsup://directions/FAT Viewer?action=UPDATE&amp;creator=factset&amp;DYN_ARGS=TRUE&amp;DOC_NAME=FAT:FQL_AUDITING_CLIENT_TEMPLATE.FAT&amp;display_string=Audit&amp;VAR:KEY=LKNMZATWNQ&amp;VAR:QUERY=RkZfRUJJVERBX0lCKCdMVE1TJyw0MDExOSk=&amp;WINDOW=FIRST_POPUP&amp;HEIGHT=450&amp;WIDTH=450&amp;START_MA","XIMIZED=FALSE&amp;VAR:CALENDAR=US&amp;VAR:SYMBOL=05614P10&amp;VAR:INDEX=0"}</definedName>
    <definedName name="_1939__FDSAUDITLINK__" localSheetId="6" hidden="1">{"fdsup://directions/FAT Viewer?action=UPDATE&amp;creator=factset&amp;DYN_ARGS=TRUE&amp;DOC_NAME=FAT:FQL_AUDITING_CLIENT_TEMPLATE.FAT&amp;display_string=Audit&amp;VAR:KEY=TURWBEZALY&amp;VAR:QUERY=RkZfRUJJVERBX0lCKCdMVE1TJyw0MDExOCk=&amp;WINDOW=FIRST_POPUP&amp;HEIGHT=450&amp;WIDTH=450&amp;START_MA","XIMIZED=FALSE&amp;VAR:CALENDAR=US&amp;VAR:SYMBOL=05614P10&amp;VAR:INDEX=0"}</definedName>
    <definedName name="_1939__FDSAUDITLINK__" hidden="1">{"fdsup://directions/FAT Viewer?action=UPDATE&amp;creator=factset&amp;DYN_ARGS=TRUE&amp;DOC_NAME=FAT:FQL_AUDITING_CLIENT_TEMPLATE.FAT&amp;display_string=Audit&amp;VAR:KEY=TURWBEZALY&amp;VAR:QUERY=RkZfRUJJVERBX0lCKCdMVE1TJyw0MDExOCk=&amp;WINDOW=FIRST_POPUP&amp;HEIGHT=450&amp;WIDTH=450&amp;START_MA","XIMIZED=FALSE&amp;VAR:CALENDAR=US&amp;VAR:SYMBOL=05614P10&amp;VAR:INDEX=0"}</definedName>
    <definedName name="_194__FDSAUDITLINK__" localSheetId="6" hidden="1">{"fdsup://directions/FAT%20Viewer?VAR:PED=LTM&amp;VAR:AUDIT_MODE=SUMMARY&amp;VAR:PERIOD=FIXED&amp;VAR:AUDIT_ID=00000117&amp;VAR:DATE=20090811&amp;action=UPDATE&amp;creator=factset&amp;DOC_NAME=FAT:FMA_audit_SUMMARY.fat&amp;DISPLAY_STRING=Display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4__FDSAUDITLINK__" hidden="1">{"fdsup://directions/FAT%20Viewer?VAR:PED=LTM&amp;VAR:AUDIT_MODE=SUMMARY&amp;VAR:PERIOD=FIXED&amp;VAR:AUDIT_ID=00000117&amp;VAR:DATE=20090811&amp;action=UPDATE&amp;creator=factset&amp;DOC_NAME=FAT:FMA_audit_SUMMARY.fat&amp;DISPLAY_STRING=Display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40__FDSAUDITLINK__" localSheetId="6" hidden="1">{"fdsup://directions/FAT Viewer?action=UPDATE&amp;creator=factset&amp;DYN_ARGS=TRUE&amp;DOC_NAME=FAT:FQL_AUDITING_CLIENT_TEMPLATE.FAT&amp;display_string=Audit&amp;VAR:KEY=JQTYRQLOLU&amp;VAR:QUERY=RkZfRUJJVERBX0lCKCdMVE1TJyw0MDExNyk=&amp;WINDOW=FIRST_POPUP&amp;HEIGHT=450&amp;WIDTH=450&amp;START_MA","XIMIZED=FALSE&amp;VAR:CALENDAR=US&amp;VAR:SYMBOL=05614P10&amp;VAR:INDEX=0"}</definedName>
    <definedName name="_1940__FDSAUDITLINK__" hidden="1">{"fdsup://directions/FAT Viewer?action=UPDATE&amp;creator=factset&amp;DYN_ARGS=TRUE&amp;DOC_NAME=FAT:FQL_AUDITING_CLIENT_TEMPLATE.FAT&amp;display_string=Audit&amp;VAR:KEY=JQTYRQLOLU&amp;VAR:QUERY=RkZfRUJJVERBX0lCKCdMVE1TJyw0MDExNyk=&amp;WINDOW=FIRST_POPUP&amp;HEIGHT=450&amp;WIDTH=450&amp;START_MA","XIMIZED=FALSE&amp;VAR:CALENDAR=US&amp;VAR:SYMBOL=05614P10&amp;VAR:INDEX=0"}</definedName>
    <definedName name="_1941__FDSAUDITLINK__" localSheetId="6" hidden="1">{"fdsup://directions/FAT Viewer?action=UPDATE&amp;creator=factset&amp;DYN_ARGS=TRUE&amp;DOC_NAME=FAT:FQL_AUDITING_CLIENT_TEMPLATE.FAT&amp;display_string=Audit&amp;VAR:KEY=XKXCJOREDS&amp;VAR:QUERY=RkZfRUJJVERBX0lCKCdMVE1TJyw0MDExNik=&amp;WINDOW=FIRST_POPUP&amp;HEIGHT=450&amp;WIDTH=450&amp;START_MA","XIMIZED=FALSE&amp;VAR:CALENDAR=US&amp;VAR:SYMBOL=05614P10&amp;VAR:INDEX=0"}</definedName>
    <definedName name="_1941__FDSAUDITLINK__" hidden="1">{"fdsup://directions/FAT Viewer?action=UPDATE&amp;creator=factset&amp;DYN_ARGS=TRUE&amp;DOC_NAME=FAT:FQL_AUDITING_CLIENT_TEMPLATE.FAT&amp;display_string=Audit&amp;VAR:KEY=XKXCJOREDS&amp;VAR:QUERY=RkZfRUJJVERBX0lCKCdMVE1TJyw0MDExNik=&amp;WINDOW=FIRST_POPUP&amp;HEIGHT=450&amp;WIDTH=450&amp;START_MA","XIMIZED=FALSE&amp;VAR:CALENDAR=US&amp;VAR:SYMBOL=05614P10&amp;VAR:INDEX=0"}</definedName>
    <definedName name="_1942__FDSAUDITLINK__" localSheetId="6" hidden="1">{"fdsup://directions/FAT Viewer?action=UPDATE&amp;creator=factset&amp;DYN_ARGS=TRUE&amp;DOC_NAME=FAT:FQL_AUDITING_CLIENT_TEMPLATE.FAT&amp;display_string=Audit&amp;VAR:KEY=NOFMBMZCFY&amp;VAR:QUERY=RkZfRUJJVERBX0lCKCdMVE1TJyw0MDExNSk=&amp;WINDOW=FIRST_POPUP&amp;HEIGHT=450&amp;WIDTH=450&amp;START_MA","XIMIZED=FALSE&amp;VAR:CALENDAR=US&amp;VAR:SYMBOL=05614P10&amp;VAR:INDEX=0"}</definedName>
    <definedName name="_1942__FDSAUDITLINK__" hidden="1">{"fdsup://directions/FAT Viewer?action=UPDATE&amp;creator=factset&amp;DYN_ARGS=TRUE&amp;DOC_NAME=FAT:FQL_AUDITING_CLIENT_TEMPLATE.FAT&amp;display_string=Audit&amp;VAR:KEY=NOFMBMZCFY&amp;VAR:QUERY=RkZfRUJJVERBX0lCKCdMVE1TJyw0MDExNSk=&amp;WINDOW=FIRST_POPUP&amp;HEIGHT=450&amp;WIDTH=450&amp;START_MA","XIMIZED=FALSE&amp;VAR:CALENDAR=US&amp;VAR:SYMBOL=05614P10&amp;VAR:INDEX=0"}</definedName>
    <definedName name="_1943__FDSAUDITLINK__" localSheetId="6" hidden="1">{"fdsup://directions/FAT Viewer?action=UPDATE&amp;creator=factset&amp;DYN_ARGS=TRUE&amp;DOC_NAME=FAT:FQL_AUDITING_CLIENT_TEMPLATE.FAT&amp;display_string=Audit&amp;VAR:KEY=ZYZKVQFIRY&amp;VAR:QUERY=RkZfRUJJVERBX0lCKCdMVE1TJyw0MDExNCk=&amp;WINDOW=FIRST_POPUP&amp;HEIGHT=450&amp;WIDTH=450&amp;START_MA","XIMIZED=FALSE&amp;VAR:CALENDAR=US&amp;VAR:SYMBOL=05614P10&amp;VAR:INDEX=0"}</definedName>
    <definedName name="_1943__FDSAUDITLINK__" hidden="1">{"fdsup://directions/FAT Viewer?action=UPDATE&amp;creator=factset&amp;DYN_ARGS=TRUE&amp;DOC_NAME=FAT:FQL_AUDITING_CLIENT_TEMPLATE.FAT&amp;display_string=Audit&amp;VAR:KEY=ZYZKVQFIRY&amp;VAR:QUERY=RkZfRUJJVERBX0lCKCdMVE1TJyw0MDExNCk=&amp;WINDOW=FIRST_POPUP&amp;HEIGHT=450&amp;WIDTH=450&amp;START_MA","XIMIZED=FALSE&amp;VAR:CALENDAR=US&amp;VAR:SYMBOL=05614P10&amp;VAR:INDEX=0"}</definedName>
    <definedName name="_1944__FDSAUDITLINK__" localSheetId="6" hidden="1">{"fdsup://directions/FAT Viewer?action=UPDATE&amp;creator=factset&amp;DYN_ARGS=TRUE&amp;DOC_NAME=FAT:FQL_AUDITING_CLIENT_TEMPLATE.FAT&amp;display_string=Audit&amp;VAR:KEY=PGHUTOZYHS&amp;VAR:QUERY=RkZfRUJJVERBX0lCKCdMVE1TJyw0MDExMyk=&amp;WINDOW=FIRST_POPUP&amp;HEIGHT=450&amp;WIDTH=450&amp;START_MA","XIMIZED=FALSE&amp;VAR:CALENDAR=US&amp;VAR:SYMBOL=05614P10&amp;VAR:INDEX=0"}</definedName>
    <definedName name="_1944__FDSAUDITLINK__" hidden="1">{"fdsup://directions/FAT Viewer?action=UPDATE&amp;creator=factset&amp;DYN_ARGS=TRUE&amp;DOC_NAME=FAT:FQL_AUDITING_CLIENT_TEMPLATE.FAT&amp;display_string=Audit&amp;VAR:KEY=PGHUTOZYHS&amp;VAR:QUERY=RkZfRUJJVERBX0lCKCdMVE1TJyw0MDExMyk=&amp;WINDOW=FIRST_POPUP&amp;HEIGHT=450&amp;WIDTH=450&amp;START_MA","XIMIZED=FALSE&amp;VAR:CALENDAR=US&amp;VAR:SYMBOL=05614P10&amp;VAR:INDEX=0"}</definedName>
    <definedName name="_1945__FDSAUDITLINK__" localSheetId="6" hidden="1">{"fdsup://directions/FAT Viewer?action=UPDATE&amp;creator=factset&amp;DYN_ARGS=TRUE&amp;DOC_NAME=FAT:FQL_AUDITING_CLIENT_TEMPLATE.FAT&amp;display_string=Audit&amp;VAR:KEY=NWTMVODGZA&amp;VAR:QUERY=RkZfRUJJVERBX0lCKCdMVE1TJyw0MDExMik=&amp;WINDOW=FIRST_POPUP&amp;HEIGHT=450&amp;WIDTH=450&amp;START_MA","XIMIZED=FALSE&amp;VAR:CALENDAR=US&amp;VAR:SYMBOL=05614P10&amp;VAR:INDEX=0"}</definedName>
    <definedName name="_1945__FDSAUDITLINK__" hidden="1">{"fdsup://directions/FAT Viewer?action=UPDATE&amp;creator=factset&amp;DYN_ARGS=TRUE&amp;DOC_NAME=FAT:FQL_AUDITING_CLIENT_TEMPLATE.FAT&amp;display_string=Audit&amp;VAR:KEY=NWTMVODGZA&amp;VAR:QUERY=RkZfRUJJVERBX0lCKCdMVE1TJyw0MDExMik=&amp;WINDOW=FIRST_POPUP&amp;HEIGHT=450&amp;WIDTH=450&amp;START_MA","XIMIZED=FALSE&amp;VAR:CALENDAR=US&amp;VAR:SYMBOL=05614P10&amp;VAR:INDEX=0"}</definedName>
    <definedName name="_1946__FDSAUDITLINK__" localSheetId="6" hidden="1">{"fdsup://directions/FAT Viewer?action=UPDATE&amp;creator=factset&amp;DYN_ARGS=TRUE&amp;DOC_NAME=FAT:FQL_AUDITING_CLIENT_TEMPLATE.FAT&amp;display_string=Audit&amp;VAR:KEY=VSXIHKRIHY&amp;VAR:QUERY=RkZfRUJJVERBX0lCKCdMVE1TJyw0MDExMSk=&amp;WINDOW=FIRST_POPUP&amp;HEIGHT=450&amp;WIDTH=450&amp;START_MA","XIMIZED=FALSE&amp;VAR:CALENDAR=US&amp;VAR:SYMBOL=05614P10&amp;VAR:INDEX=0"}</definedName>
    <definedName name="_1946__FDSAUDITLINK__" hidden="1">{"fdsup://directions/FAT Viewer?action=UPDATE&amp;creator=factset&amp;DYN_ARGS=TRUE&amp;DOC_NAME=FAT:FQL_AUDITING_CLIENT_TEMPLATE.FAT&amp;display_string=Audit&amp;VAR:KEY=VSXIHKRIHY&amp;VAR:QUERY=RkZfRUJJVERBX0lCKCdMVE1TJyw0MDExMSk=&amp;WINDOW=FIRST_POPUP&amp;HEIGHT=450&amp;WIDTH=450&amp;START_MA","XIMIZED=FALSE&amp;VAR:CALENDAR=US&amp;VAR:SYMBOL=05614P10&amp;VAR:INDEX=0"}</definedName>
    <definedName name="_1947__FDSAUDITLINK__" localSheetId="6" hidden="1">{"fdsup://directions/FAT Viewer?action=UPDATE&amp;creator=factset&amp;DYN_ARGS=TRUE&amp;DOC_NAME=FAT:FQL_AUDITING_CLIENT_TEMPLATE.FAT&amp;display_string=Audit&amp;VAR:KEY=XCLGHORIBA&amp;VAR:QUERY=RkZfRUJJVERBX0lCKCdMVE1TJyw0MDExMCk=&amp;WINDOW=FIRST_POPUP&amp;HEIGHT=450&amp;WIDTH=450&amp;START_MA","XIMIZED=FALSE&amp;VAR:CALENDAR=US&amp;VAR:SYMBOL=05614P10&amp;VAR:INDEX=0"}</definedName>
    <definedName name="_1947__FDSAUDITLINK__" hidden="1">{"fdsup://directions/FAT Viewer?action=UPDATE&amp;creator=factset&amp;DYN_ARGS=TRUE&amp;DOC_NAME=FAT:FQL_AUDITING_CLIENT_TEMPLATE.FAT&amp;display_string=Audit&amp;VAR:KEY=XCLGHORIBA&amp;VAR:QUERY=RkZfRUJJVERBX0lCKCdMVE1TJyw0MDExMCk=&amp;WINDOW=FIRST_POPUP&amp;HEIGHT=450&amp;WIDTH=450&amp;START_MA","XIMIZED=FALSE&amp;VAR:CALENDAR=US&amp;VAR:SYMBOL=05614P10&amp;VAR:INDEX=0"}</definedName>
    <definedName name="_1948__FDSAUDITLINK__" localSheetId="6" hidden="1">{"fdsup://directions/FAT Viewer?action=UPDATE&amp;creator=factset&amp;DYN_ARGS=TRUE&amp;DOC_NAME=FAT:FQL_AUDITING_CLIENT_TEMPLATE.FAT&amp;display_string=Audit&amp;VAR:KEY=ZUVMJCFMLS&amp;VAR:QUERY=RkZfRUJJVERBX0lCKCdMVE1TJyw0MDEwOSk=&amp;WINDOW=FIRST_POPUP&amp;HEIGHT=450&amp;WIDTH=450&amp;START_MA","XIMIZED=FALSE&amp;VAR:CALENDAR=US&amp;VAR:SYMBOL=05614P10&amp;VAR:INDEX=0"}</definedName>
    <definedName name="_1948__FDSAUDITLINK__" hidden="1">{"fdsup://directions/FAT Viewer?action=UPDATE&amp;creator=factset&amp;DYN_ARGS=TRUE&amp;DOC_NAME=FAT:FQL_AUDITING_CLIENT_TEMPLATE.FAT&amp;display_string=Audit&amp;VAR:KEY=ZUVMJCFMLS&amp;VAR:QUERY=RkZfRUJJVERBX0lCKCdMVE1TJyw0MDEwOSk=&amp;WINDOW=FIRST_POPUP&amp;HEIGHT=450&amp;WIDTH=450&amp;START_MA","XIMIZED=FALSE&amp;VAR:CALENDAR=US&amp;VAR:SYMBOL=05614P10&amp;VAR:INDEX=0"}</definedName>
    <definedName name="_1949__FDSAUDITLINK__" localSheetId="6" hidden="1">{"fdsup://directions/FAT Viewer?action=UPDATE&amp;creator=factset&amp;DYN_ARGS=TRUE&amp;DOC_NAME=FAT:FQL_AUDITING_CLIENT_TEMPLATE.FAT&amp;display_string=Audit&amp;VAR:KEY=VOFWXARCFK&amp;VAR:QUERY=RkZfRUJJVERBX0lCKCdMVE1TJyw0MDEwOCk=&amp;WINDOW=FIRST_POPUP&amp;HEIGHT=450&amp;WIDTH=450&amp;START_MA","XIMIZED=FALSE&amp;VAR:CALENDAR=US&amp;VAR:SYMBOL=05614P10&amp;VAR:INDEX=0"}</definedName>
    <definedName name="_1949__FDSAUDITLINK__" hidden="1">{"fdsup://directions/FAT Viewer?action=UPDATE&amp;creator=factset&amp;DYN_ARGS=TRUE&amp;DOC_NAME=FAT:FQL_AUDITING_CLIENT_TEMPLATE.FAT&amp;display_string=Audit&amp;VAR:KEY=VOFWXARCFK&amp;VAR:QUERY=RkZfRUJJVERBX0lCKCdMVE1TJyw0MDEwOCk=&amp;WINDOW=FIRST_POPUP&amp;HEIGHT=450&amp;WIDTH=450&amp;START_MA","XIMIZED=FALSE&amp;VAR:CALENDAR=US&amp;VAR:SYMBOL=05614P10&amp;VAR:INDEX=0"}</definedName>
    <definedName name="_195__FDSAUDITLINK__" localSheetId="6" hidden="1">{"fdsup://directions/FAT%20Viewer?VAR:PED=LTM&amp;VAR:AUDIT_MODE=SUMMARY&amp;VAR:PERIOD=FIXED&amp;VAR:AUDIT_ID=00000117&amp;VAR:DATE=20090810&amp;action=UPDATE&amp;creator=factset&amp;DOC_NAME=FAT:FMA_audit_SUMMARY.fat&amp;DISPLAY_STRING=Display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5__FDSAUDITLINK__" hidden="1">{"fdsup://directions/FAT%20Viewer?VAR:PED=LTM&amp;VAR:AUDIT_MODE=SUMMARY&amp;VAR:PERIOD=FIXED&amp;VAR:AUDIT_ID=00000117&amp;VAR:DATE=20090810&amp;action=UPDATE&amp;creator=factset&amp;DOC_NAME=FAT:FMA_audit_SUMMARY.fat&amp;DISPLAY_STRING=Display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50__FDSAUDITLINK__" localSheetId="6" hidden="1">{"fdsup://directions/FAT Viewer?action=UPDATE&amp;creator=factset&amp;DYN_ARGS=TRUE&amp;DOC_NAME=FAT:FQL_AUDITING_CLIENT_TEMPLATE.FAT&amp;display_string=Audit&amp;VAR:KEY=TUXSFGDATK&amp;VAR:QUERY=RkZfRUJJVERBX0lCKCdMVE1TJyw0MDEwNyk=&amp;WINDOW=FIRST_POPUP&amp;HEIGHT=450&amp;WIDTH=450&amp;START_MA","XIMIZED=FALSE&amp;VAR:CALENDAR=US&amp;VAR:SYMBOL=05614P10&amp;VAR:INDEX=0"}</definedName>
    <definedName name="_1950__FDSAUDITLINK__" hidden="1">{"fdsup://directions/FAT Viewer?action=UPDATE&amp;creator=factset&amp;DYN_ARGS=TRUE&amp;DOC_NAME=FAT:FQL_AUDITING_CLIENT_TEMPLATE.FAT&amp;display_string=Audit&amp;VAR:KEY=TUXSFGDATK&amp;VAR:QUERY=RkZfRUJJVERBX0lCKCdMVE1TJyw0MDEwNyk=&amp;WINDOW=FIRST_POPUP&amp;HEIGHT=450&amp;WIDTH=450&amp;START_MA","XIMIZED=FALSE&amp;VAR:CALENDAR=US&amp;VAR:SYMBOL=05614P10&amp;VAR:INDEX=0"}</definedName>
    <definedName name="_1951__FDSAUDITLINK__" localSheetId="6" hidden="1">{"fdsup://directions/FAT Viewer?action=UPDATE&amp;creator=factset&amp;DYN_ARGS=TRUE&amp;DOC_NAME=FAT:FQL_AUDITING_CLIENT_TEMPLATE.FAT&amp;display_string=Audit&amp;VAR:KEY=TSDYNSLWRM&amp;VAR:QUERY=RkZfRUJJVERBX0lCKCdMVE1TJyw0MDEwNik=&amp;WINDOW=FIRST_POPUP&amp;HEIGHT=450&amp;WIDTH=450&amp;START_MA","XIMIZED=FALSE&amp;VAR:CALENDAR=US&amp;VAR:SYMBOL=05614P10&amp;VAR:INDEX=0"}</definedName>
    <definedName name="_1951__FDSAUDITLINK__" hidden="1">{"fdsup://directions/FAT Viewer?action=UPDATE&amp;creator=factset&amp;DYN_ARGS=TRUE&amp;DOC_NAME=FAT:FQL_AUDITING_CLIENT_TEMPLATE.FAT&amp;display_string=Audit&amp;VAR:KEY=TSDYNSLWRM&amp;VAR:QUERY=RkZfRUJJVERBX0lCKCdMVE1TJyw0MDEwNik=&amp;WINDOW=FIRST_POPUP&amp;HEIGHT=450&amp;WIDTH=450&amp;START_MA","XIMIZED=FALSE&amp;VAR:CALENDAR=US&amp;VAR:SYMBOL=05614P10&amp;VAR:INDEX=0"}</definedName>
    <definedName name="_1952__FDSAUDITLINK__" localSheetId="6" hidden="1">{"fdsup://directions/FAT Viewer?action=UPDATE&amp;creator=factset&amp;DYN_ARGS=TRUE&amp;DOC_NAME=FAT:FQL_AUDITING_CLIENT_TEMPLATE.FAT&amp;display_string=Audit&amp;VAR:KEY=NYVUXUBULS&amp;VAR:QUERY=RkZfRUJJVERBX0lCKCdMVE1TJyw0MDEwNSk=&amp;WINDOW=FIRST_POPUP&amp;HEIGHT=450&amp;WIDTH=450&amp;START_MA","XIMIZED=FALSE&amp;VAR:CALENDAR=US&amp;VAR:SYMBOL=05614P10&amp;VAR:INDEX=0"}</definedName>
    <definedName name="_1952__FDSAUDITLINK__" hidden="1">{"fdsup://directions/FAT Viewer?action=UPDATE&amp;creator=factset&amp;DYN_ARGS=TRUE&amp;DOC_NAME=FAT:FQL_AUDITING_CLIENT_TEMPLATE.FAT&amp;display_string=Audit&amp;VAR:KEY=NYVUXUBULS&amp;VAR:QUERY=RkZfRUJJVERBX0lCKCdMVE1TJyw0MDEwNSk=&amp;WINDOW=FIRST_POPUP&amp;HEIGHT=450&amp;WIDTH=450&amp;START_MA","XIMIZED=FALSE&amp;VAR:CALENDAR=US&amp;VAR:SYMBOL=05614P10&amp;VAR:INDEX=0"}</definedName>
    <definedName name="_1953__FDSAUDITLINK__" localSheetId="6" hidden="1">{"fdsup://directions/FAT Viewer?action=UPDATE&amp;creator=factset&amp;DYN_ARGS=TRUE&amp;DOC_NAME=FAT:FQL_AUDITING_CLIENT_TEMPLATE.FAT&amp;display_string=Audit&amp;VAR:KEY=LOFQDYJUVG&amp;VAR:QUERY=RkZfRUJJVERBX0lCKCdMVE1TJyw0MDEwNCk=&amp;WINDOW=FIRST_POPUP&amp;HEIGHT=450&amp;WIDTH=450&amp;START_MA","XIMIZED=FALSE&amp;VAR:CALENDAR=US&amp;VAR:SYMBOL=05614P10&amp;VAR:INDEX=0"}</definedName>
    <definedName name="_1953__FDSAUDITLINK__" hidden="1">{"fdsup://directions/FAT Viewer?action=UPDATE&amp;creator=factset&amp;DYN_ARGS=TRUE&amp;DOC_NAME=FAT:FQL_AUDITING_CLIENT_TEMPLATE.FAT&amp;display_string=Audit&amp;VAR:KEY=LOFQDYJUVG&amp;VAR:QUERY=RkZfRUJJVERBX0lCKCdMVE1TJyw0MDEwNCk=&amp;WINDOW=FIRST_POPUP&amp;HEIGHT=450&amp;WIDTH=450&amp;START_MA","XIMIZED=FALSE&amp;VAR:CALENDAR=US&amp;VAR:SYMBOL=05614P10&amp;VAR:INDEX=0"}</definedName>
    <definedName name="_1954__FDSAUDITLINK__" localSheetId="6" hidden="1">{"fdsup://directions/FAT Viewer?action=UPDATE&amp;creator=factset&amp;DYN_ARGS=TRUE&amp;DOC_NAME=FAT:FQL_AUDITING_CLIENT_TEMPLATE.FAT&amp;display_string=Audit&amp;VAR:KEY=VKXONSTOLG&amp;VAR:QUERY=RkZfRUJJVERBX0lCKCdMVE1TJyw0MDEwMyk=&amp;WINDOW=FIRST_POPUP&amp;HEIGHT=450&amp;WIDTH=450&amp;START_MA","XIMIZED=FALSE&amp;VAR:CALENDAR=US&amp;VAR:SYMBOL=05614P10&amp;VAR:INDEX=0"}</definedName>
    <definedName name="_1954__FDSAUDITLINK__" hidden="1">{"fdsup://directions/FAT Viewer?action=UPDATE&amp;creator=factset&amp;DYN_ARGS=TRUE&amp;DOC_NAME=FAT:FQL_AUDITING_CLIENT_TEMPLATE.FAT&amp;display_string=Audit&amp;VAR:KEY=VKXONSTOLG&amp;VAR:QUERY=RkZfRUJJVERBX0lCKCdMVE1TJyw0MDEwMyk=&amp;WINDOW=FIRST_POPUP&amp;HEIGHT=450&amp;WIDTH=450&amp;START_MA","XIMIZED=FALSE&amp;VAR:CALENDAR=US&amp;VAR:SYMBOL=05614P10&amp;VAR:INDEX=0"}</definedName>
    <definedName name="_1955__FDSAUDITLINK__" localSheetId="6" hidden="1">{"fdsup://directions/FAT Viewer?action=UPDATE&amp;creator=factset&amp;DYN_ARGS=TRUE&amp;DOC_NAME=FAT:FQL_AUDITING_CLIENT_TEMPLATE.FAT&amp;display_string=Audit&amp;VAR:KEY=DSVGVQBIDG&amp;VAR:QUERY=RkZfRUJJVERBX0lCKCdMVE1TJyw0MDEwMik=&amp;WINDOW=FIRST_POPUP&amp;HEIGHT=450&amp;WIDTH=450&amp;START_MA","XIMIZED=FALSE&amp;VAR:CALENDAR=US&amp;VAR:SYMBOL=05614P10&amp;VAR:INDEX=0"}</definedName>
    <definedName name="_1955__FDSAUDITLINK__" hidden="1">{"fdsup://directions/FAT Viewer?action=UPDATE&amp;creator=factset&amp;DYN_ARGS=TRUE&amp;DOC_NAME=FAT:FQL_AUDITING_CLIENT_TEMPLATE.FAT&amp;display_string=Audit&amp;VAR:KEY=DSVGVQBIDG&amp;VAR:QUERY=RkZfRUJJVERBX0lCKCdMVE1TJyw0MDEwMik=&amp;WINDOW=FIRST_POPUP&amp;HEIGHT=450&amp;WIDTH=450&amp;START_MA","XIMIZED=FALSE&amp;VAR:CALENDAR=US&amp;VAR:SYMBOL=05614P10&amp;VAR:INDEX=0"}</definedName>
    <definedName name="_1956__FDSAUDITLINK__" localSheetId="6" hidden="1">{"fdsup://directions/FAT Viewer?action=UPDATE&amp;creator=factset&amp;DYN_ARGS=TRUE&amp;DOC_NAME=FAT:FQL_AUDITING_CLIENT_TEMPLATE.FAT&amp;display_string=Audit&amp;VAR:KEY=DGLSTWNCLA&amp;VAR:QUERY=RkZfRUJJVERBX0lCKCdMVE1TJyw0MDEwMSk=&amp;WINDOW=FIRST_POPUP&amp;HEIGHT=450&amp;WIDTH=450&amp;START_MA","XIMIZED=FALSE&amp;VAR:CALENDAR=US&amp;VAR:SYMBOL=05614P10&amp;VAR:INDEX=0"}</definedName>
    <definedName name="_1956__FDSAUDITLINK__" hidden="1">{"fdsup://directions/FAT Viewer?action=UPDATE&amp;creator=factset&amp;DYN_ARGS=TRUE&amp;DOC_NAME=FAT:FQL_AUDITING_CLIENT_TEMPLATE.FAT&amp;display_string=Audit&amp;VAR:KEY=DGLSTWNCLA&amp;VAR:QUERY=RkZfRUJJVERBX0lCKCdMVE1TJyw0MDEwMSk=&amp;WINDOW=FIRST_POPUP&amp;HEIGHT=450&amp;WIDTH=450&amp;START_MA","XIMIZED=FALSE&amp;VAR:CALENDAR=US&amp;VAR:SYMBOL=05614P10&amp;VAR:INDEX=0"}</definedName>
    <definedName name="_1957__FDSAUDITLINK__" localSheetId="6" hidden="1">{"fdsup://directions/FAT Viewer?action=UPDATE&amp;creator=factset&amp;DYN_ARGS=TRUE&amp;DOC_NAME=FAT:FQL_AUDITING_CLIENT_TEMPLATE.FAT&amp;display_string=Audit&amp;VAR:KEY=TSVKRQPMRO&amp;VAR:QUERY=RkZfRUJJVERBX0lCKCdMVE1TJyw0MDEwMCk=&amp;WINDOW=FIRST_POPUP&amp;HEIGHT=450&amp;WIDTH=450&amp;START_MA","XIMIZED=FALSE&amp;VAR:CALENDAR=US&amp;VAR:SYMBOL=05614P10&amp;VAR:INDEX=0"}</definedName>
    <definedName name="_1957__FDSAUDITLINK__" hidden="1">{"fdsup://directions/FAT Viewer?action=UPDATE&amp;creator=factset&amp;DYN_ARGS=TRUE&amp;DOC_NAME=FAT:FQL_AUDITING_CLIENT_TEMPLATE.FAT&amp;display_string=Audit&amp;VAR:KEY=TSVKRQPMRO&amp;VAR:QUERY=RkZfRUJJVERBX0lCKCdMVE1TJyw0MDEwMCk=&amp;WINDOW=FIRST_POPUP&amp;HEIGHT=450&amp;WIDTH=450&amp;START_MA","XIMIZED=FALSE&amp;VAR:CALENDAR=US&amp;VAR:SYMBOL=05614P10&amp;VAR:INDEX=0"}</definedName>
    <definedName name="_1958__FDSAUDITLINK__" localSheetId="6" hidden="1">{"fdsup://directions/FAT Viewer?action=UPDATE&amp;creator=factset&amp;DYN_ARGS=TRUE&amp;DOC_NAME=FAT:FQL_AUDITING_CLIENT_TEMPLATE.FAT&amp;display_string=Audit&amp;VAR:KEY=JCVODGNMZI&amp;VAR:QUERY=RkZfRUJJVERBX0lCKCdMVE1TJyw0MDA5OSk=&amp;WINDOW=FIRST_POPUP&amp;HEIGHT=450&amp;WIDTH=450&amp;START_MA","XIMIZED=FALSE&amp;VAR:CALENDAR=US&amp;VAR:SYMBOL=05614P10&amp;VAR:INDEX=0"}</definedName>
    <definedName name="_1958__FDSAUDITLINK__" hidden="1">{"fdsup://directions/FAT Viewer?action=UPDATE&amp;creator=factset&amp;DYN_ARGS=TRUE&amp;DOC_NAME=FAT:FQL_AUDITING_CLIENT_TEMPLATE.FAT&amp;display_string=Audit&amp;VAR:KEY=JCVODGNMZI&amp;VAR:QUERY=RkZfRUJJVERBX0lCKCdMVE1TJyw0MDA5OSk=&amp;WINDOW=FIRST_POPUP&amp;HEIGHT=450&amp;WIDTH=450&amp;START_MA","XIMIZED=FALSE&amp;VAR:CALENDAR=US&amp;VAR:SYMBOL=05614P10&amp;VAR:INDEX=0"}</definedName>
    <definedName name="_1959__FDSAUDITLINK__" localSheetId="6" hidden="1">{"fdsup://directions/FAT Viewer?action=UPDATE&amp;creator=factset&amp;DYN_ARGS=TRUE&amp;DOC_NAME=FAT:FQL_AUDITING_CLIENT_TEMPLATE.FAT&amp;display_string=Audit&amp;VAR:KEY=NUXKBKRADG&amp;VAR:QUERY=RkZfRUJJVERBX0lCKCdMVE1TJyw0MDA5OCk=&amp;WINDOW=FIRST_POPUP&amp;HEIGHT=450&amp;WIDTH=450&amp;START_MA","XIMIZED=FALSE&amp;VAR:CALENDAR=US&amp;VAR:SYMBOL=05614P10&amp;VAR:INDEX=0"}</definedName>
    <definedName name="_1959__FDSAUDITLINK__" hidden="1">{"fdsup://directions/FAT Viewer?action=UPDATE&amp;creator=factset&amp;DYN_ARGS=TRUE&amp;DOC_NAME=FAT:FQL_AUDITING_CLIENT_TEMPLATE.FAT&amp;display_string=Audit&amp;VAR:KEY=NUXKBKRADG&amp;VAR:QUERY=RkZfRUJJVERBX0lCKCdMVE1TJyw0MDA5OCk=&amp;WINDOW=FIRST_POPUP&amp;HEIGHT=450&amp;WIDTH=450&amp;START_MA","XIMIZED=FALSE&amp;VAR:CALENDAR=US&amp;VAR:SYMBOL=05614P10&amp;VAR:INDEX=0"}</definedName>
    <definedName name="_196__FDSAUDITLINK__" localSheetId="6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6__FDSAUDITLINK__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60__FDSAUDITLINK__" localSheetId="6" hidden="1">{"fdsup://directions/FAT Viewer?action=UPDATE&amp;creator=factset&amp;DYN_ARGS=TRUE&amp;DOC_NAME=FAT:FQL_AUDITING_CLIENT_TEMPLATE.FAT&amp;display_string=Audit&amp;VAR:KEY=XWBKNIXALE&amp;VAR:QUERY=RkZfRUJJVERBX0lCKCdMVE1TJyw0MDA5Nyk=&amp;WINDOW=FIRST_POPUP&amp;HEIGHT=450&amp;WIDTH=450&amp;START_MA","XIMIZED=FALSE&amp;VAR:CALENDAR=US&amp;VAR:SYMBOL=05614P10&amp;VAR:INDEX=0"}</definedName>
    <definedName name="_1960__FDSAUDITLINK__" hidden="1">{"fdsup://directions/FAT Viewer?action=UPDATE&amp;creator=factset&amp;DYN_ARGS=TRUE&amp;DOC_NAME=FAT:FQL_AUDITING_CLIENT_TEMPLATE.FAT&amp;display_string=Audit&amp;VAR:KEY=XWBKNIXALE&amp;VAR:QUERY=RkZfRUJJVERBX0lCKCdMVE1TJyw0MDA5Nyk=&amp;WINDOW=FIRST_POPUP&amp;HEIGHT=450&amp;WIDTH=450&amp;START_MA","XIMIZED=FALSE&amp;VAR:CALENDAR=US&amp;VAR:SYMBOL=05614P10&amp;VAR:INDEX=0"}</definedName>
    <definedName name="_1961__FDSAUDITLINK__" localSheetId="6" hidden="1">{"fdsup://directions/FAT Viewer?action=UPDATE&amp;creator=factset&amp;DYN_ARGS=TRUE&amp;DOC_NAME=FAT:FQL_AUDITING_CLIENT_TEMPLATE.FAT&amp;display_string=Audit&amp;VAR:KEY=LQVKXMTSRU&amp;VAR:QUERY=RkZfRUJJVERBX0lCKCdMVE1TJyw0MDA5Nik=&amp;WINDOW=FIRST_POPUP&amp;HEIGHT=450&amp;WIDTH=450&amp;START_MA","XIMIZED=FALSE&amp;VAR:CALENDAR=US&amp;VAR:SYMBOL=05614P10&amp;VAR:INDEX=0"}</definedName>
    <definedName name="_1961__FDSAUDITLINK__" hidden="1">{"fdsup://directions/FAT Viewer?action=UPDATE&amp;creator=factset&amp;DYN_ARGS=TRUE&amp;DOC_NAME=FAT:FQL_AUDITING_CLIENT_TEMPLATE.FAT&amp;display_string=Audit&amp;VAR:KEY=LQVKXMTSRU&amp;VAR:QUERY=RkZfRUJJVERBX0lCKCdMVE1TJyw0MDA5Nik=&amp;WINDOW=FIRST_POPUP&amp;HEIGHT=450&amp;WIDTH=450&amp;START_MA","XIMIZED=FALSE&amp;VAR:CALENDAR=US&amp;VAR:SYMBOL=05614P10&amp;VAR:INDEX=0"}</definedName>
    <definedName name="_1962__FDSAUDITLINK__" localSheetId="6" hidden="1">{"fdsup://directions/FAT Viewer?action=UPDATE&amp;creator=factset&amp;DYN_ARGS=TRUE&amp;DOC_NAME=FAT:FQL_AUDITING_CLIENT_TEMPLATE.FAT&amp;display_string=Audit&amp;VAR:KEY=DSDQXYTQDW&amp;VAR:QUERY=RkZfRUJJVERBX0lCKCdMVE1TJyw0MDA5NSk=&amp;WINDOW=FIRST_POPUP&amp;HEIGHT=450&amp;WIDTH=450&amp;START_MA","XIMIZED=FALSE&amp;VAR:CALENDAR=US&amp;VAR:SYMBOL=05614P10&amp;VAR:INDEX=0"}</definedName>
    <definedName name="_1962__FDSAUDITLINK__" hidden="1">{"fdsup://directions/FAT Viewer?action=UPDATE&amp;creator=factset&amp;DYN_ARGS=TRUE&amp;DOC_NAME=FAT:FQL_AUDITING_CLIENT_TEMPLATE.FAT&amp;display_string=Audit&amp;VAR:KEY=DSDQXYTQDW&amp;VAR:QUERY=RkZfRUJJVERBX0lCKCdMVE1TJyw0MDA5NSk=&amp;WINDOW=FIRST_POPUP&amp;HEIGHT=450&amp;WIDTH=450&amp;START_MA","XIMIZED=FALSE&amp;VAR:CALENDAR=US&amp;VAR:SYMBOL=05614P10&amp;VAR:INDEX=0"}</definedName>
    <definedName name="_1963__FDSAUDITLINK__" localSheetId="6" hidden="1">{"fdsup://directions/FAT Viewer?action=UPDATE&amp;creator=factset&amp;DYN_ARGS=TRUE&amp;DOC_NAME=FAT:FQL_AUDITING_CLIENT_TEMPLATE.FAT&amp;display_string=Audit&amp;VAR:KEY=VQDGXUTSLS&amp;VAR:QUERY=RkZfRUJJVERBX0lCKCdMVE1TJyw0MDA5NCk=&amp;WINDOW=FIRST_POPUP&amp;HEIGHT=450&amp;WIDTH=450&amp;START_MA","XIMIZED=FALSE&amp;VAR:CALENDAR=US&amp;VAR:SYMBOL=05614P10&amp;VAR:INDEX=0"}</definedName>
    <definedName name="_1963__FDSAUDITLINK__" hidden="1">{"fdsup://directions/FAT Viewer?action=UPDATE&amp;creator=factset&amp;DYN_ARGS=TRUE&amp;DOC_NAME=FAT:FQL_AUDITING_CLIENT_TEMPLATE.FAT&amp;display_string=Audit&amp;VAR:KEY=VQDGXUTSLS&amp;VAR:QUERY=RkZfRUJJVERBX0lCKCdMVE1TJyw0MDA5NCk=&amp;WINDOW=FIRST_POPUP&amp;HEIGHT=450&amp;WIDTH=450&amp;START_MA","XIMIZED=FALSE&amp;VAR:CALENDAR=US&amp;VAR:SYMBOL=05614P10&amp;VAR:INDEX=0"}</definedName>
    <definedName name="_1964__FDSAUDITLINK__" localSheetId="6" hidden="1">{"fdsup://directions/FAT Viewer?action=UPDATE&amp;creator=factset&amp;DYN_ARGS=TRUE&amp;DOC_NAME=FAT:FQL_AUDITING_CLIENT_TEMPLATE.FAT&amp;display_string=Audit&amp;VAR:KEY=PEZYBKZONC&amp;VAR:QUERY=RkZfRUJJVERBX0lCKCdMVE1TJyw0MDA5Myk=&amp;WINDOW=FIRST_POPUP&amp;HEIGHT=450&amp;WIDTH=450&amp;START_MA","XIMIZED=FALSE&amp;VAR:CALENDAR=US&amp;VAR:SYMBOL=05614P10&amp;VAR:INDEX=0"}</definedName>
    <definedName name="_1964__FDSAUDITLINK__" hidden="1">{"fdsup://directions/FAT Viewer?action=UPDATE&amp;creator=factset&amp;DYN_ARGS=TRUE&amp;DOC_NAME=FAT:FQL_AUDITING_CLIENT_TEMPLATE.FAT&amp;display_string=Audit&amp;VAR:KEY=PEZYBKZONC&amp;VAR:QUERY=RkZfRUJJVERBX0lCKCdMVE1TJyw0MDA5Myk=&amp;WINDOW=FIRST_POPUP&amp;HEIGHT=450&amp;WIDTH=450&amp;START_MA","XIMIZED=FALSE&amp;VAR:CALENDAR=US&amp;VAR:SYMBOL=05614P10&amp;VAR:INDEX=0"}</definedName>
    <definedName name="_1965__FDSAUDITLINK__" localSheetId="6" hidden="1">{"fdsup://directions/FAT Viewer?action=UPDATE&amp;creator=factset&amp;DYN_ARGS=TRUE&amp;DOC_NAME=FAT:FQL_AUDITING_CLIENT_TEMPLATE.FAT&amp;display_string=Audit&amp;VAR:KEY=LKFOLKBGHY&amp;VAR:QUERY=RkZfRUJJVERBX0lCKCdMVE1TJyw0MDA5Mik=&amp;WINDOW=FIRST_POPUP&amp;HEIGHT=450&amp;WIDTH=450&amp;START_MA","XIMIZED=FALSE&amp;VAR:CALENDAR=US&amp;VAR:SYMBOL=05614P10&amp;VAR:INDEX=0"}</definedName>
    <definedName name="_1965__FDSAUDITLINK__" hidden="1">{"fdsup://directions/FAT Viewer?action=UPDATE&amp;creator=factset&amp;DYN_ARGS=TRUE&amp;DOC_NAME=FAT:FQL_AUDITING_CLIENT_TEMPLATE.FAT&amp;display_string=Audit&amp;VAR:KEY=LKFOLKBGHY&amp;VAR:QUERY=RkZfRUJJVERBX0lCKCdMVE1TJyw0MDA5Mik=&amp;WINDOW=FIRST_POPUP&amp;HEIGHT=450&amp;WIDTH=450&amp;START_MA","XIMIZED=FALSE&amp;VAR:CALENDAR=US&amp;VAR:SYMBOL=05614P10&amp;VAR:INDEX=0"}</definedName>
    <definedName name="_1966__FDSAUDITLINK__" localSheetId="6" hidden="1">{"fdsup://directions/FAT Viewer?action=UPDATE&amp;creator=factset&amp;DYN_ARGS=TRUE&amp;DOC_NAME=FAT:FQL_AUDITING_CLIENT_TEMPLATE.FAT&amp;display_string=Audit&amp;VAR:KEY=TGVKLKJGZU&amp;VAR:QUERY=RkZfRUJJVERBX0lCKCdMVE1TJyw0MDA5MSk=&amp;WINDOW=FIRST_POPUP&amp;HEIGHT=450&amp;WIDTH=450&amp;START_MA","XIMIZED=FALSE&amp;VAR:CALENDAR=US&amp;VAR:SYMBOL=05614P10&amp;VAR:INDEX=0"}</definedName>
    <definedName name="_1966__FDSAUDITLINK__" hidden="1">{"fdsup://directions/FAT Viewer?action=UPDATE&amp;creator=factset&amp;DYN_ARGS=TRUE&amp;DOC_NAME=FAT:FQL_AUDITING_CLIENT_TEMPLATE.FAT&amp;display_string=Audit&amp;VAR:KEY=TGVKLKJGZU&amp;VAR:QUERY=RkZfRUJJVERBX0lCKCdMVE1TJyw0MDA5MSk=&amp;WINDOW=FIRST_POPUP&amp;HEIGHT=450&amp;WIDTH=450&amp;START_MA","XIMIZED=FALSE&amp;VAR:CALENDAR=US&amp;VAR:SYMBOL=05614P10&amp;VAR:INDEX=0"}</definedName>
    <definedName name="_1967__FDSAUDITLINK__" localSheetId="6" hidden="1">{"fdsup://directions/FAT Viewer?action=UPDATE&amp;creator=factset&amp;DYN_ARGS=TRUE&amp;DOC_NAME=FAT:FQL_AUDITING_CLIENT_TEMPLATE.FAT&amp;display_string=Audit&amp;VAR:KEY=HGPABSNGDG&amp;VAR:QUERY=RkZfRUJJVERBX0lCKCdMVE1TJyw0MDA5MCk=&amp;WINDOW=FIRST_POPUP&amp;HEIGHT=450&amp;WIDTH=450&amp;START_MA","XIMIZED=FALSE&amp;VAR:CALENDAR=US&amp;VAR:SYMBOL=05614P10&amp;VAR:INDEX=0"}</definedName>
    <definedName name="_1967__FDSAUDITLINK__" hidden="1">{"fdsup://directions/FAT Viewer?action=UPDATE&amp;creator=factset&amp;DYN_ARGS=TRUE&amp;DOC_NAME=FAT:FQL_AUDITING_CLIENT_TEMPLATE.FAT&amp;display_string=Audit&amp;VAR:KEY=HGPABSNGDG&amp;VAR:QUERY=RkZfRUJJVERBX0lCKCdMVE1TJyw0MDA5MCk=&amp;WINDOW=FIRST_POPUP&amp;HEIGHT=450&amp;WIDTH=450&amp;START_MA","XIMIZED=FALSE&amp;VAR:CALENDAR=US&amp;VAR:SYMBOL=05614P10&amp;VAR:INDEX=0"}</definedName>
    <definedName name="_1968__FDSAUDITLINK__" localSheetId="6" hidden="1">{"fdsup://directions/FAT Viewer?action=UPDATE&amp;creator=factset&amp;DYN_ARGS=TRUE&amp;DOC_NAME=FAT:FQL_AUDITING_CLIENT_TEMPLATE.FAT&amp;display_string=Audit&amp;VAR:KEY=ZGVMRWDWPC&amp;VAR:QUERY=RkZfRUJJVERBX0lCKCdMVE1TJyw0MDA4OSk=&amp;WINDOW=FIRST_POPUP&amp;HEIGHT=450&amp;WIDTH=450&amp;START_MA","XIMIZED=FALSE&amp;VAR:CALENDAR=US&amp;VAR:SYMBOL=05614P10&amp;VAR:INDEX=0"}</definedName>
    <definedName name="_1968__FDSAUDITLINK__" hidden="1">{"fdsup://directions/FAT Viewer?action=UPDATE&amp;creator=factset&amp;DYN_ARGS=TRUE&amp;DOC_NAME=FAT:FQL_AUDITING_CLIENT_TEMPLATE.FAT&amp;display_string=Audit&amp;VAR:KEY=ZGVMRWDWPC&amp;VAR:QUERY=RkZfRUJJVERBX0lCKCdMVE1TJyw0MDA4OSk=&amp;WINDOW=FIRST_POPUP&amp;HEIGHT=450&amp;WIDTH=450&amp;START_MA","XIMIZED=FALSE&amp;VAR:CALENDAR=US&amp;VAR:SYMBOL=05614P10&amp;VAR:INDEX=0"}</definedName>
    <definedName name="_1969__FDSAUDITLINK__" localSheetId="6" hidden="1">{"fdsup://directions/FAT Viewer?action=UPDATE&amp;creator=factset&amp;DYN_ARGS=TRUE&amp;DOC_NAME=FAT:FQL_AUDITING_CLIENT_TEMPLATE.FAT&amp;display_string=Audit&amp;VAR:KEY=RMRAPOVWXY&amp;VAR:QUERY=RkZfRUJJVERBX0lCKCdMVE1TJyw0MDA4OCk=&amp;WINDOW=FIRST_POPUP&amp;HEIGHT=450&amp;WIDTH=450&amp;START_MA","XIMIZED=FALSE&amp;VAR:CALENDAR=US&amp;VAR:SYMBOL=05614P10&amp;VAR:INDEX=0"}</definedName>
    <definedName name="_1969__FDSAUDITLINK__" hidden="1">{"fdsup://directions/FAT Viewer?action=UPDATE&amp;creator=factset&amp;DYN_ARGS=TRUE&amp;DOC_NAME=FAT:FQL_AUDITING_CLIENT_TEMPLATE.FAT&amp;display_string=Audit&amp;VAR:KEY=RMRAPOVWXY&amp;VAR:QUERY=RkZfRUJJVERBX0lCKCdMVE1TJyw0MDA4OCk=&amp;WINDOW=FIRST_POPUP&amp;HEIGHT=450&amp;WIDTH=450&amp;START_MA","XIMIZED=FALSE&amp;VAR:CALENDAR=US&amp;VAR:SYMBOL=05614P10&amp;VAR:INDEX=0"}</definedName>
    <definedName name="_197__FDSAUDITLINK__" localSheetId="6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7__FDSAUDITLINK__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70__FDSAUDITLINK__" localSheetId="6" hidden="1">{"fdsup://directions/FAT Viewer?action=UPDATE&amp;creator=factset&amp;DYN_ARGS=TRUE&amp;DOC_NAME=FAT:FQL_AUDITING_CLIENT_TEMPLATE.FAT&amp;display_string=Audit&amp;VAR:KEY=FWRIRWJQPG&amp;VAR:QUERY=RkZfRUJJVERBX0lCKCdMVE1TJyw0MDA4Nyk=&amp;WINDOW=FIRST_POPUP&amp;HEIGHT=450&amp;WIDTH=450&amp;START_MA","XIMIZED=FALSE&amp;VAR:CALENDAR=US&amp;VAR:SYMBOL=05614P10&amp;VAR:INDEX=0"}</definedName>
    <definedName name="_1970__FDSAUDITLINK__" hidden="1">{"fdsup://directions/FAT Viewer?action=UPDATE&amp;creator=factset&amp;DYN_ARGS=TRUE&amp;DOC_NAME=FAT:FQL_AUDITING_CLIENT_TEMPLATE.FAT&amp;display_string=Audit&amp;VAR:KEY=FWRIRWJQPG&amp;VAR:QUERY=RkZfRUJJVERBX0lCKCdMVE1TJyw0MDA4Nyk=&amp;WINDOW=FIRST_POPUP&amp;HEIGHT=450&amp;WIDTH=450&amp;START_MA","XIMIZED=FALSE&amp;VAR:CALENDAR=US&amp;VAR:SYMBOL=05614P10&amp;VAR:INDEX=0"}</definedName>
    <definedName name="_1971__FDSAUDITLINK__" localSheetId="6" hidden="1">{"fdsup://directions/FAT Viewer?action=UPDATE&amp;creator=factset&amp;DYN_ARGS=TRUE&amp;DOC_NAME=FAT:FQL_AUDITING_CLIENT_TEMPLATE.FAT&amp;display_string=Audit&amp;VAR:KEY=VKTOXOHSRQ&amp;VAR:QUERY=RkZfRUJJVERBX0lCKCdMVE1TJyw0MDA4Nik=&amp;WINDOW=FIRST_POPUP&amp;HEIGHT=450&amp;WIDTH=450&amp;START_MA","XIMIZED=FALSE&amp;VAR:CALENDAR=US&amp;VAR:SYMBOL=05614P10&amp;VAR:INDEX=0"}</definedName>
    <definedName name="_1971__FDSAUDITLINK__" hidden="1">{"fdsup://directions/FAT Viewer?action=UPDATE&amp;creator=factset&amp;DYN_ARGS=TRUE&amp;DOC_NAME=FAT:FQL_AUDITING_CLIENT_TEMPLATE.FAT&amp;display_string=Audit&amp;VAR:KEY=VKTOXOHSRQ&amp;VAR:QUERY=RkZfRUJJVERBX0lCKCdMVE1TJyw0MDA4Nik=&amp;WINDOW=FIRST_POPUP&amp;HEIGHT=450&amp;WIDTH=450&amp;START_MA","XIMIZED=FALSE&amp;VAR:CALENDAR=US&amp;VAR:SYMBOL=05614P10&amp;VAR:INDEX=0"}</definedName>
    <definedName name="_1972__FDSAUDITLINK__" localSheetId="6" hidden="1">{"fdsup://directions/FAT Viewer?action=UPDATE&amp;creator=factset&amp;DYN_ARGS=TRUE&amp;DOC_NAME=FAT:FQL_AUDITING_CLIENT_TEMPLATE.FAT&amp;display_string=Audit&amp;VAR:KEY=LCXQDELWBC&amp;VAR:QUERY=RkZfRUJJVERBX0lCKCdMVE1TJyw0MDA4NSk=&amp;WINDOW=FIRST_POPUP&amp;HEIGHT=450&amp;WIDTH=450&amp;START_MA","XIMIZED=FALSE&amp;VAR:CALENDAR=US&amp;VAR:SYMBOL=05614P10&amp;VAR:INDEX=0"}</definedName>
    <definedName name="_1972__FDSAUDITLINK__" hidden="1">{"fdsup://directions/FAT Viewer?action=UPDATE&amp;creator=factset&amp;DYN_ARGS=TRUE&amp;DOC_NAME=FAT:FQL_AUDITING_CLIENT_TEMPLATE.FAT&amp;display_string=Audit&amp;VAR:KEY=LCXQDELWBC&amp;VAR:QUERY=RkZfRUJJVERBX0lCKCdMVE1TJyw0MDA4NSk=&amp;WINDOW=FIRST_POPUP&amp;HEIGHT=450&amp;WIDTH=450&amp;START_MA","XIMIZED=FALSE&amp;VAR:CALENDAR=US&amp;VAR:SYMBOL=05614P10&amp;VAR:INDEX=0"}</definedName>
    <definedName name="_1973__FDSAUDITLINK__" localSheetId="6" hidden="1">{"fdsup://directions/FAT Viewer?action=UPDATE&amp;creator=factset&amp;DYN_ARGS=TRUE&amp;DOC_NAME=FAT:FQL_AUDITING_CLIENT_TEMPLATE.FAT&amp;display_string=Audit&amp;VAR:KEY=FQTITGHCXG&amp;VAR:QUERY=RkZfRUJJVERBX0lCKCdMVE1TJyw0MDA4NCk=&amp;WINDOW=FIRST_POPUP&amp;HEIGHT=450&amp;WIDTH=450&amp;START_MA","XIMIZED=FALSE&amp;VAR:CALENDAR=US&amp;VAR:SYMBOL=05614P10&amp;VAR:INDEX=0"}</definedName>
    <definedName name="_1973__FDSAUDITLINK__" hidden="1">{"fdsup://directions/FAT Viewer?action=UPDATE&amp;creator=factset&amp;DYN_ARGS=TRUE&amp;DOC_NAME=FAT:FQL_AUDITING_CLIENT_TEMPLATE.FAT&amp;display_string=Audit&amp;VAR:KEY=FQTITGHCXG&amp;VAR:QUERY=RkZfRUJJVERBX0lCKCdMVE1TJyw0MDA4NCk=&amp;WINDOW=FIRST_POPUP&amp;HEIGHT=450&amp;WIDTH=450&amp;START_MA","XIMIZED=FALSE&amp;VAR:CALENDAR=US&amp;VAR:SYMBOL=05614P10&amp;VAR:INDEX=0"}</definedName>
    <definedName name="_1974__FDSAUDITLINK__" localSheetId="6" hidden="1">{"fdsup://directions/FAT Viewer?action=UPDATE&amp;creator=factset&amp;DYN_ARGS=TRUE&amp;DOC_NAME=FAT:FQL_AUDITING_CLIENT_TEMPLATE.FAT&amp;display_string=Audit&amp;VAR:KEY=DIHUZSPWVM&amp;VAR:QUERY=RkZfRUJJVERBX0lCKCdMVE1TJyw0MDA4Myk=&amp;WINDOW=FIRST_POPUP&amp;HEIGHT=450&amp;WIDTH=450&amp;START_MA","XIMIZED=FALSE&amp;VAR:CALENDAR=US&amp;VAR:SYMBOL=05614P10&amp;VAR:INDEX=0"}</definedName>
    <definedName name="_1974__FDSAUDITLINK__" hidden="1">{"fdsup://directions/FAT Viewer?action=UPDATE&amp;creator=factset&amp;DYN_ARGS=TRUE&amp;DOC_NAME=FAT:FQL_AUDITING_CLIENT_TEMPLATE.FAT&amp;display_string=Audit&amp;VAR:KEY=DIHUZSPWVM&amp;VAR:QUERY=RkZfRUJJVERBX0lCKCdMVE1TJyw0MDA4Myk=&amp;WINDOW=FIRST_POPUP&amp;HEIGHT=450&amp;WIDTH=450&amp;START_MA","XIMIZED=FALSE&amp;VAR:CALENDAR=US&amp;VAR:SYMBOL=05614P10&amp;VAR:INDEX=0"}</definedName>
    <definedName name="_1975__FDSAUDITLINK__" localSheetId="6" hidden="1">{"fdsup://directions/FAT Viewer?action=UPDATE&amp;creator=factset&amp;DYN_ARGS=TRUE&amp;DOC_NAME=FAT:FQL_AUDITING_CLIENT_TEMPLATE.FAT&amp;display_string=Audit&amp;VAR:KEY=ZQNMNYLERW&amp;VAR:QUERY=RkZfRUJJVERBX0lCKCdMVE1TJyw0MDA4Mik=&amp;WINDOW=FIRST_POPUP&amp;HEIGHT=450&amp;WIDTH=450&amp;START_MA","XIMIZED=FALSE&amp;VAR:CALENDAR=US&amp;VAR:SYMBOL=05614P10&amp;VAR:INDEX=0"}</definedName>
    <definedName name="_1975__FDSAUDITLINK__" hidden="1">{"fdsup://directions/FAT Viewer?action=UPDATE&amp;creator=factset&amp;DYN_ARGS=TRUE&amp;DOC_NAME=FAT:FQL_AUDITING_CLIENT_TEMPLATE.FAT&amp;display_string=Audit&amp;VAR:KEY=ZQNMNYLERW&amp;VAR:QUERY=RkZfRUJJVERBX0lCKCdMVE1TJyw0MDA4Mik=&amp;WINDOW=FIRST_POPUP&amp;HEIGHT=450&amp;WIDTH=450&amp;START_MA","XIMIZED=FALSE&amp;VAR:CALENDAR=US&amp;VAR:SYMBOL=05614P10&amp;VAR:INDEX=0"}</definedName>
    <definedName name="_1976__FDSAUDITLINK__" localSheetId="6" hidden="1">{"fdsup://directions/FAT Viewer?action=UPDATE&amp;creator=factset&amp;DYN_ARGS=TRUE&amp;DOC_NAME=FAT:FQL_AUDITING_CLIENT_TEMPLATE.FAT&amp;display_string=Audit&amp;VAR:KEY=PYDKHYHMTS&amp;VAR:QUERY=RkZfRUJJVERBX0lCKCdMVE1TJyw0MDA4MSk=&amp;WINDOW=FIRST_POPUP&amp;HEIGHT=450&amp;WIDTH=450&amp;START_MA","XIMIZED=FALSE&amp;VAR:CALENDAR=US&amp;VAR:SYMBOL=05614P10&amp;VAR:INDEX=0"}</definedName>
    <definedName name="_1976__FDSAUDITLINK__" hidden="1">{"fdsup://directions/FAT Viewer?action=UPDATE&amp;creator=factset&amp;DYN_ARGS=TRUE&amp;DOC_NAME=FAT:FQL_AUDITING_CLIENT_TEMPLATE.FAT&amp;display_string=Audit&amp;VAR:KEY=PYDKHYHMTS&amp;VAR:QUERY=RkZfRUJJVERBX0lCKCdMVE1TJyw0MDA4MSk=&amp;WINDOW=FIRST_POPUP&amp;HEIGHT=450&amp;WIDTH=450&amp;START_MA","XIMIZED=FALSE&amp;VAR:CALENDAR=US&amp;VAR:SYMBOL=05614P10&amp;VAR:INDEX=0"}</definedName>
    <definedName name="_1977__FDSAUDITLINK__" localSheetId="6" hidden="1">{"fdsup://directions/FAT Viewer?action=UPDATE&amp;creator=factset&amp;DYN_ARGS=TRUE&amp;DOC_NAME=FAT:FQL_AUDITING_CLIENT_TEMPLATE.FAT&amp;display_string=Audit&amp;VAR:KEY=NAXWVGTCTK&amp;VAR:QUERY=RkZfRUJJVERBX0lCKCdMVE1TJyw0MDA4MCk=&amp;WINDOW=FIRST_POPUP&amp;HEIGHT=450&amp;WIDTH=450&amp;START_MA","XIMIZED=FALSE&amp;VAR:CALENDAR=US&amp;VAR:SYMBOL=05614P10&amp;VAR:INDEX=0"}</definedName>
    <definedName name="_1977__FDSAUDITLINK__" hidden="1">{"fdsup://directions/FAT Viewer?action=UPDATE&amp;creator=factset&amp;DYN_ARGS=TRUE&amp;DOC_NAME=FAT:FQL_AUDITING_CLIENT_TEMPLATE.FAT&amp;display_string=Audit&amp;VAR:KEY=NAXWVGTCTK&amp;VAR:QUERY=RkZfRUJJVERBX0lCKCdMVE1TJyw0MDA4MCk=&amp;WINDOW=FIRST_POPUP&amp;HEIGHT=450&amp;WIDTH=450&amp;START_MA","XIMIZED=FALSE&amp;VAR:CALENDAR=US&amp;VAR:SYMBOL=05614P10&amp;VAR:INDEX=0"}</definedName>
    <definedName name="_1978__FDSAUDITLINK__" localSheetId="6" hidden="1">{"fdsup://directions/FAT Viewer?action=UPDATE&amp;creator=factset&amp;DYN_ARGS=TRUE&amp;DOC_NAME=FAT:FQL_AUDITING_CLIENT_TEMPLATE.FAT&amp;display_string=Audit&amp;VAR:KEY=VKVIZYHUPA&amp;VAR:QUERY=RkZfRUJJVERBX0lCKCdMVE1TJyw0MDA3OSk=&amp;WINDOW=FIRST_POPUP&amp;HEIGHT=450&amp;WIDTH=450&amp;START_MA","XIMIZED=FALSE&amp;VAR:CALENDAR=US&amp;VAR:SYMBOL=05614P10&amp;VAR:INDEX=0"}</definedName>
    <definedName name="_1978__FDSAUDITLINK__" hidden="1">{"fdsup://directions/FAT Viewer?action=UPDATE&amp;creator=factset&amp;DYN_ARGS=TRUE&amp;DOC_NAME=FAT:FQL_AUDITING_CLIENT_TEMPLATE.FAT&amp;display_string=Audit&amp;VAR:KEY=VKVIZYHUPA&amp;VAR:QUERY=RkZfRUJJVERBX0lCKCdMVE1TJyw0MDA3OSk=&amp;WINDOW=FIRST_POPUP&amp;HEIGHT=450&amp;WIDTH=450&amp;START_MA","XIMIZED=FALSE&amp;VAR:CALENDAR=US&amp;VAR:SYMBOL=05614P10&amp;VAR:INDEX=0"}</definedName>
    <definedName name="_1979__FDSAUDITLINK__" localSheetId="6" hidden="1">{"fdsup://directions/FAT Viewer?action=UPDATE&amp;creator=factset&amp;DYN_ARGS=TRUE&amp;DOC_NAME=FAT:FQL_AUDITING_CLIENT_TEMPLATE.FAT&amp;display_string=Audit&amp;VAR:KEY=TEFIPUJOHW&amp;VAR:QUERY=RkZfRUJJVERBX0lCKCdMVE1TJyw0MDA3OCk=&amp;WINDOW=FIRST_POPUP&amp;HEIGHT=450&amp;WIDTH=450&amp;START_MA","XIMIZED=FALSE&amp;VAR:CALENDAR=US&amp;VAR:SYMBOL=05614P10&amp;VAR:INDEX=0"}</definedName>
    <definedName name="_1979__FDSAUDITLINK__" hidden="1">{"fdsup://directions/FAT Viewer?action=UPDATE&amp;creator=factset&amp;DYN_ARGS=TRUE&amp;DOC_NAME=FAT:FQL_AUDITING_CLIENT_TEMPLATE.FAT&amp;display_string=Audit&amp;VAR:KEY=TEFIPUJOHW&amp;VAR:QUERY=RkZfRUJJVERBX0lCKCdMVE1TJyw0MDA3OCk=&amp;WINDOW=FIRST_POPUP&amp;HEIGHT=450&amp;WIDTH=450&amp;START_MA","XIMIZED=FALSE&amp;VAR:CALENDAR=US&amp;VAR:SYMBOL=05614P10&amp;VAR:INDEX=0"}</definedName>
    <definedName name="_198__FDSAUDITLINK__" localSheetId="6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8__FDSAUDITLINK__" hidden="1">{"fdsup://directions/FAT%20Viewer?VAR:PED=LTM&amp;VAR:AUDIT_MODE=SUMMARY&amp;VAR:PERIOD=FIXED&amp;VAR:AUDIT_ID=00000117&amp;VAR:DATE=20090807&amp;action=UPDATE&amp;creator=factset&amp;DOC_NAME=FAT:FMA_audit_SUMMARY.fat&amp;DISPLAY_STRING=Display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80__FDSAUDITLINK__" localSheetId="6" hidden="1">{"fdsup://directions/FAT Viewer?action=UPDATE&amp;creator=factset&amp;DYN_ARGS=TRUE&amp;DOC_NAME=FAT:FQL_AUDITING_CLIENT_TEMPLATE.FAT&amp;display_string=Audit&amp;VAR:KEY=JILWTULMJO&amp;VAR:QUERY=RkZfRUJJVERBX0lCKCdMVE1TJyw0MDA3Nyk=&amp;WINDOW=FIRST_POPUP&amp;HEIGHT=450&amp;WIDTH=450&amp;START_MA","XIMIZED=FALSE&amp;VAR:CALENDAR=US&amp;VAR:SYMBOL=05614P10&amp;VAR:INDEX=0"}</definedName>
    <definedName name="_1980__FDSAUDITLINK__" hidden="1">{"fdsup://directions/FAT Viewer?action=UPDATE&amp;creator=factset&amp;DYN_ARGS=TRUE&amp;DOC_NAME=FAT:FQL_AUDITING_CLIENT_TEMPLATE.FAT&amp;display_string=Audit&amp;VAR:KEY=JILWTULMJO&amp;VAR:QUERY=RkZfRUJJVERBX0lCKCdMVE1TJyw0MDA3Nyk=&amp;WINDOW=FIRST_POPUP&amp;HEIGHT=450&amp;WIDTH=450&amp;START_MA","XIMIZED=FALSE&amp;VAR:CALENDAR=US&amp;VAR:SYMBOL=05614P10&amp;VAR:INDEX=0"}</definedName>
    <definedName name="_1981__FDSAUDITLINK__" localSheetId="6" hidden="1">{"fdsup://directions/FAT Viewer?action=UPDATE&amp;creator=factset&amp;DYN_ARGS=TRUE&amp;DOC_NAME=FAT:FQL_AUDITING_CLIENT_TEMPLATE.FAT&amp;display_string=Audit&amp;VAR:KEY=HCVKVCTOZI&amp;VAR:QUERY=RkZfRUJJVERBX0lCKCdMVE1TJyw0MDA3Nik=&amp;WINDOW=FIRST_POPUP&amp;HEIGHT=450&amp;WIDTH=450&amp;START_MA","XIMIZED=FALSE&amp;VAR:CALENDAR=US&amp;VAR:SYMBOL=05614P10&amp;VAR:INDEX=0"}</definedName>
    <definedName name="_1981__FDSAUDITLINK__" hidden="1">{"fdsup://directions/FAT Viewer?action=UPDATE&amp;creator=factset&amp;DYN_ARGS=TRUE&amp;DOC_NAME=FAT:FQL_AUDITING_CLIENT_TEMPLATE.FAT&amp;display_string=Audit&amp;VAR:KEY=HCVKVCTOZI&amp;VAR:QUERY=RkZfRUJJVERBX0lCKCdMVE1TJyw0MDA3Nik=&amp;WINDOW=FIRST_POPUP&amp;HEIGHT=450&amp;WIDTH=450&amp;START_MA","XIMIZED=FALSE&amp;VAR:CALENDAR=US&amp;VAR:SYMBOL=05614P10&amp;VAR:INDEX=0"}</definedName>
    <definedName name="_1982__FDSAUDITLINK__" localSheetId="6" hidden="1">{"fdsup://directions/FAT Viewer?action=UPDATE&amp;creator=factset&amp;DYN_ARGS=TRUE&amp;DOC_NAME=FAT:FQL_AUDITING_CLIENT_TEMPLATE.FAT&amp;display_string=Audit&amp;VAR:KEY=JKXGLAPULM&amp;VAR:QUERY=RkZfRUJJVERBX0lCKCdMVE1TJyw0MDA3NSk=&amp;WINDOW=FIRST_POPUP&amp;HEIGHT=450&amp;WIDTH=450&amp;START_MA","XIMIZED=FALSE&amp;VAR:CALENDAR=US&amp;VAR:SYMBOL=05614P10&amp;VAR:INDEX=0"}</definedName>
    <definedName name="_1982__FDSAUDITLINK__" hidden="1">{"fdsup://directions/FAT Viewer?action=UPDATE&amp;creator=factset&amp;DYN_ARGS=TRUE&amp;DOC_NAME=FAT:FQL_AUDITING_CLIENT_TEMPLATE.FAT&amp;display_string=Audit&amp;VAR:KEY=JKXGLAPULM&amp;VAR:QUERY=RkZfRUJJVERBX0lCKCdMVE1TJyw0MDA3NSk=&amp;WINDOW=FIRST_POPUP&amp;HEIGHT=450&amp;WIDTH=450&amp;START_MA","XIMIZED=FALSE&amp;VAR:CALENDAR=US&amp;VAR:SYMBOL=05614P10&amp;VAR:INDEX=0"}</definedName>
    <definedName name="_1983__FDSAUDITLINK__" localSheetId="6" hidden="1">{"fdsup://directions/FAT Viewer?action=UPDATE&amp;creator=factset&amp;DYN_ARGS=TRUE&amp;DOC_NAME=FAT:FQL_AUDITING_CLIENT_TEMPLATE.FAT&amp;display_string=Audit&amp;VAR:KEY=FWXQPGPUPQ&amp;VAR:QUERY=RkZfRUJJVERBX0lCKCdMVE1TJyw0MDA3NCk=&amp;WINDOW=FIRST_POPUP&amp;HEIGHT=450&amp;WIDTH=450&amp;START_MA","XIMIZED=FALSE&amp;VAR:CALENDAR=US&amp;VAR:SYMBOL=05614P10&amp;VAR:INDEX=0"}</definedName>
    <definedName name="_1983__FDSAUDITLINK__" hidden="1">{"fdsup://directions/FAT Viewer?action=UPDATE&amp;creator=factset&amp;DYN_ARGS=TRUE&amp;DOC_NAME=FAT:FQL_AUDITING_CLIENT_TEMPLATE.FAT&amp;display_string=Audit&amp;VAR:KEY=FWXQPGPUPQ&amp;VAR:QUERY=RkZfRUJJVERBX0lCKCdMVE1TJyw0MDA3NCk=&amp;WINDOW=FIRST_POPUP&amp;HEIGHT=450&amp;WIDTH=450&amp;START_MA","XIMIZED=FALSE&amp;VAR:CALENDAR=US&amp;VAR:SYMBOL=05614P10&amp;VAR:INDEX=0"}</definedName>
    <definedName name="_1984__FDSAUDITLINK__" localSheetId="6" hidden="1">{"fdsup://directions/FAT Viewer?action=UPDATE&amp;creator=factset&amp;DYN_ARGS=TRUE&amp;DOC_NAME=FAT:FQL_AUDITING_CLIENT_TEMPLATE.FAT&amp;display_string=Audit&amp;VAR:KEY=JGHQRIHIPG&amp;VAR:QUERY=RkZfRUJJVERBX0lCKCdMVE1TJyw0MDA3Myk=&amp;WINDOW=FIRST_POPUP&amp;HEIGHT=450&amp;WIDTH=450&amp;START_MA","XIMIZED=FALSE&amp;VAR:CALENDAR=US&amp;VAR:SYMBOL=05614P10&amp;VAR:INDEX=0"}</definedName>
    <definedName name="_1984__FDSAUDITLINK__" hidden="1">{"fdsup://directions/FAT Viewer?action=UPDATE&amp;creator=factset&amp;DYN_ARGS=TRUE&amp;DOC_NAME=FAT:FQL_AUDITING_CLIENT_TEMPLATE.FAT&amp;display_string=Audit&amp;VAR:KEY=JGHQRIHIPG&amp;VAR:QUERY=RkZfRUJJVERBX0lCKCdMVE1TJyw0MDA3Myk=&amp;WINDOW=FIRST_POPUP&amp;HEIGHT=450&amp;WIDTH=450&amp;START_MA","XIMIZED=FALSE&amp;VAR:CALENDAR=US&amp;VAR:SYMBOL=05614P10&amp;VAR:INDEX=0"}</definedName>
    <definedName name="_1985__FDSAUDITLINK__" localSheetId="6" hidden="1">{"fdsup://directions/FAT Viewer?action=UPDATE&amp;creator=factset&amp;DYN_ARGS=TRUE&amp;DOC_NAME=FAT:FQL_AUDITING_CLIENT_TEMPLATE.FAT&amp;display_string=Audit&amp;VAR:KEY=TOZODMBSRM&amp;VAR:QUERY=RkZfRUJJVERBX0lCKCdMVE1TJyw0MDA3Mik=&amp;WINDOW=FIRST_POPUP&amp;HEIGHT=450&amp;WIDTH=450&amp;START_MA","XIMIZED=FALSE&amp;VAR:CALENDAR=US&amp;VAR:SYMBOL=05614P10&amp;VAR:INDEX=0"}</definedName>
    <definedName name="_1985__FDSAUDITLINK__" hidden="1">{"fdsup://directions/FAT Viewer?action=UPDATE&amp;creator=factset&amp;DYN_ARGS=TRUE&amp;DOC_NAME=FAT:FQL_AUDITING_CLIENT_TEMPLATE.FAT&amp;display_string=Audit&amp;VAR:KEY=TOZODMBSRM&amp;VAR:QUERY=RkZfRUJJVERBX0lCKCdMVE1TJyw0MDA3Mik=&amp;WINDOW=FIRST_POPUP&amp;HEIGHT=450&amp;WIDTH=450&amp;START_MA","XIMIZED=FALSE&amp;VAR:CALENDAR=US&amp;VAR:SYMBOL=05614P10&amp;VAR:INDEX=0"}</definedName>
    <definedName name="_1986__FDSAUDITLINK__" localSheetId="6" hidden="1">{"fdsup://directions/FAT Viewer?action=UPDATE&amp;creator=factset&amp;DYN_ARGS=TRUE&amp;DOC_NAME=FAT:FQL_AUDITING_CLIENT_TEMPLATE.FAT&amp;display_string=Audit&amp;VAR:KEY=JOXONWTSPO&amp;VAR:QUERY=RkZfRUJJVERBX0lCKCdMVE1TJyw0MDA3MSk=&amp;WINDOW=FIRST_POPUP&amp;HEIGHT=450&amp;WIDTH=450&amp;START_MA","XIMIZED=FALSE&amp;VAR:CALENDAR=US&amp;VAR:SYMBOL=05614P10&amp;VAR:INDEX=0"}</definedName>
    <definedName name="_1986__FDSAUDITLINK__" hidden="1">{"fdsup://directions/FAT Viewer?action=UPDATE&amp;creator=factset&amp;DYN_ARGS=TRUE&amp;DOC_NAME=FAT:FQL_AUDITING_CLIENT_TEMPLATE.FAT&amp;display_string=Audit&amp;VAR:KEY=JOXONWTSPO&amp;VAR:QUERY=RkZfRUJJVERBX0lCKCdMVE1TJyw0MDA3MSk=&amp;WINDOW=FIRST_POPUP&amp;HEIGHT=450&amp;WIDTH=450&amp;START_MA","XIMIZED=FALSE&amp;VAR:CALENDAR=US&amp;VAR:SYMBOL=05614P10&amp;VAR:INDEX=0"}</definedName>
    <definedName name="_1987__FDSAUDITLINK__" localSheetId="6" hidden="1">{"fdsup://directions/FAT Viewer?action=UPDATE&amp;creator=factset&amp;DYN_ARGS=TRUE&amp;DOC_NAME=FAT:FQL_AUDITING_CLIENT_TEMPLATE.FAT&amp;display_string=Audit&amp;VAR:KEY=JADMJELAHK&amp;VAR:QUERY=RkZfRUJJVERBX0lCKCdMVE1TJyw0MDA3MCk=&amp;WINDOW=FIRST_POPUP&amp;HEIGHT=450&amp;WIDTH=450&amp;START_MA","XIMIZED=FALSE&amp;VAR:CALENDAR=US&amp;VAR:SYMBOL=05614P10&amp;VAR:INDEX=0"}</definedName>
    <definedName name="_1987__FDSAUDITLINK__" hidden="1">{"fdsup://directions/FAT Viewer?action=UPDATE&amp;creator=factset&amp;DYN_ARGS=TRUE&amp;DOC_NAME=FAT:FQL_AUDITING_CLIENT_TEMPLATE.FAT&amp;display_string=Audit&amp;VAR:KEY=JADMJELAHK&amp;VAR:QUERY=RkZfRUJJVERBX0lCKCdMVE1TJyw0MDA3MCk=&amp;WINDOW=FIRST_POPUP&amp;HEIGHT=450&amp;WIDTH=450&amp;START_MA","XIMIZED=FALSE&amp;VAR:CALENDAR=US&amp;VAR:SYMBOL=05614P10&amp;VAR:INDEX=0"}</definedName>
    <definedName name="_1988__FDSAUDITLINK__" localSheetId="6" hidden="1">{"fdsup://directions/FAT Viewer?action=UPDATE&amp;creator=factset&amp;DYN_ARGS=TRUE&amp;DOC_NAME=FAT:FQL_AUDITING_CLIENT_TEMPLATE.FAT&amp;display_string=Audit&amp;VAR:KEY=XKVUVQPMVI&amp;VAR:QUERY=RkZfRUJJVERBX0lCKCdMVE1TJyw0MDA2OSk=&amp;WINDOW=FIRST_POPUP&amp;HEIGHT=450&amp;WIDTH=450&amp;START_MA","XIMIZED=FALSE&amp;VAR:CALENDAR=US&amp;VAR:SYMBOL=05614P10&amp;VAR:INDEX=0"}</definedName>
    <definedName name="_1988__FDSAUDITLINK__" hidden="1">{"fdsup://directions/FAT Viewer?action=UPDATE&amp;creator=factset&amp;DYN_ARGS=TRUE&amp;DOC_NAME=FAT:FQL_AUDITING_CLIENT_TEMPLATE.FAT&amp;display_string=Audit&amp;VAR:KEY=XKVUVQPMVI&amp;VAR:QUERY=RkZfRUJJVERBX0lCKCdMVE1TJyw0MDA2OSk=&amp;WINDOW=FIRST_POPUP&amp;HEIGHT=450&amp;WIDTH=450&amp;START_MA","XIMIZED=FALSE&amp;VAR:CALENDAR=US&amp;VAR:SYMBOL=05614P10&amp;VAR:INDEX=0"}</definedName>
    <definedName name="_1989__FDSAUDITLINK__" localSheetId="6" hidden="1">{"fdsup://directions/FAT Viewer?action=UPDATE&amp;creator=factset&amp;DYN_ARGS=TRUE&amp;DOC_NAME=FAT:FQL_AUDITING_CLIENT_TEMPLATE.FAT&amp;display_string=Audit&amp;VAR:KEY=BYRALKBWTU&amp;VAR:QUERY=RkZfRUJJVERBX0lCKCdMVE1TJyw0MDA2OCk=&amp;WINDOW=FIRST_POPUP&amp;HEIGHT=450&amp;WIDTH=450&amp;START_MA","XIMIZED=FALSE&amp;VAR:CALENDAR=US&amp;VAR:SYMBOL=05614P10&amp;VAR:INDEX=0"}</definedName>
    <definedName name="_1989__FDSAUDITLINK__" hidden="1">{"fdsup://directions/FAT Viewer?action=UPDATE&amp;creator=factset&amp;DYN_ARGS=TRUE&amp;DOC_NAME=FAT:FQL_AUDITING_CLIENT_TEMPLATE.FAT&amp;display_string=Audit&amp;VAR:KEY=BYRALKBWTU&amp;VAR:QUERY=RkZfRUJJVERBX0lCKCdMVE1TJyw0MDA2OCk=&amp;WINDOW=FIRST_POPUP&amp;HEIGHT=450&amp;WIDTH=450&amp;START_MA","XIMIZED=FALSE&amp;VAR:CALENDAR=US&amp;VAR:SYMBOL=05614P10&amp;VAR:INDEX=0"}</definedName>
    <definedName name="_199__FDSAUDITLINK__" localSheetId="6" hidden="1">{"fdsup://directions/FAT%20Viewer?VAR:PED=LTM&amp;VAR:AUDIT_MODE=SUMMARY&amp;VAR:PERIOD=FIXED&amp;VAR:AUDIT_ID=00000117&amp;VAR:DATE=20090806&amp;action=UPDATE&amp;creator=factset&amp;DOC_NAME=FAT:FMA_audit_SUMMARY.fat&amp;DISPLAY_STRING=Display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9__FDSAUDITLINK__" hidden="1">{"fdsup://directions/FAT%20Viewer?VAR:PED=LTM&amp;VAR:AUDIT_MODE=SUMMARY&amp;VAR:PERIOD=FIXED&amp;VAR:AUDIT_ID=00000117&amp;VAR:DATE=20090806&amp;action=UPDATE&amp;creator=factset&amp;DOC_NAME=FAT:FMA_audit_SUMMARY.fat&amp;DISPLAY_STRING=Display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1990__FDSAUDITLINK__" localSheetId="6" hidden="1">{"fdsup://directions/FAT Viewer?action=UPDATE&amp;creator=factset&amp;DYN_ARGS=TRUE&amp;DOC_NAME=FAT:FQL_AUDITING_CLIENT_TEMPLATE.FAT&amp;display_string=Audit&amp;VAR:KEY=ZMXKNEDANI&amp;VAR:QUERY=RkZfRUJJVERBX0lCKCdMVE1TJyw0MDA2Nyk=&amp;WINDOW=FIRST_POPUP&amp;HEIGHT=450&amp;WIDTH=450&amp;START_MA","XIMIZED=FALSE&amp;VAR:CALENDAR=US&amp;VAR:SYMBOL=05614P10&amp;VAR:INDEX=0"}</definedName>
    <definedName name="_1990__FDSAUDITLINK__" hidden="1">{"fdsup://directions/FAT Viewer?action=UPDATE&amp;creator=factset&amp;DYN_ARGS=TRUE&amp;DOC_NAME=FAT:FQL_AUDITING_CLIENT_TEMPLATE.FAT&amp;display_string=Audit&amp;VAR:KEY=ZMXKNEDANI&amp;VAR:QUERY=RkZfRUJJVERBX0lCKCdMVE1TJyw0MDA2Nyk=&amp;WINDOW=FIRST_POPUP&amp;HEIGHT=450&amp;WIDTH=450&amp;START_MA","XIMIZED=FALSE&amp;VAR:CALENDAR=US&amp;VAR:SYMBOL=05614P10&amp;VAR:INDEX=0"}</definedName>
    <definedName name="_1991__FDSAUDITLINK__" localSheetId="6" hidden="1">{"fdsup://directions/FAT Viewer?action=UPDATE&amp;creator=factset&amp;DYN_ARGS=TRUE&amp;DOC_NAME=FAT:FQL_AUDITING_CLIENT_TEMPLATE.FAT&amp;display_string=Audit&amp;VAR:KEY=HYLMXWNWNK&amp;VAR:QUERY=RkZfRUJJVERBX0lCKCdMVE1TJyw0MDA2Nik=&amp;WINDOW=FIRST_POPUP&amp;HEIGHT=450&amp;WIDTH=450&amp;START_MA","XIMIZED=FALSE&amp;VAR:CALENDAR=US&amp;VAR:SYMBOL=05614P10&amp;VAR:INDEX=0"}</definedName>
    <definedName name="_1991__FDSAUDITLINK__" hidden="1">{"fdsup://directions/FAT Viewer?action=UPDATE&amp;creator=factset&amp;DYN_ARGS=TRUE&amp;DOC_NAME=FAT:FQL_AUDITING_CLIENT_TEMPLATE.FAT&amp;display_string=Audit&amp;VAR:KEY=HYLMXWNWNK&amp;VAR:QUERY=RkZfRUJJVERBX0lCKCdMVE1TJyw0MDA2Nik=&amp;WINDOW=FIRST_POPUP&amp;HEIGHT=450&amp;WIDTH=450&amp;START_MA","XIMIZED=FALSE&amp;VAR:CALENDAR=US&amp;VAR:SYMBOL=05614P10&amp;VAR:INDEX=0"}</definedName>
    <definedName name="_1992__FDSAUDITLINK__" localSheetId="6" hidden="1">{"fdsup://directions/FAT Viewer?action=UPDATE&amp;creator=factset&amp;DYN_ARGS=TRUE&amp;DOC_NAME=FAT:FQL_AUDITING_CLIENT_TEMPLATE.FAT&amp;display_string=Audit&amp;VAR:KEY=ZWFAHKVGHQ&amp;VAR:QUERY=RkZfRUJJVERBX0lCKCdMVE1TJyw0MDA2NSk=&amp;WINDOW=FIRST_POPUP&amp;HEIGHT=450&amp;WIDTH=450&amp;START_MA","XIMIZED=FALSE&amp;VAR:CALENDAR=US&amp;VAR:SYMBOL=05614P10&amp;VAR:INDEX=0"}</definedName>
    <definedName name="_1992__FDSAUDITLINK__" hidden="1">{"fdsup://directions/FAT Viewer?action=UPDATE&amp;creator=factset&amp;DYN_ARGS=TRUE&amp;DOC_NAME=FAT:FQL_AUDITING_CLIENT_TEMPLATE.FAT&amp;display_string=Audit&amp;VAR:KEY=ZWFAHKVGHQ&amp;VAR:QUERY=RkZfRUJJVERBX0lCKCdMVE1TJyw0MDA2NSk=&amp;WINDOW=FIRST_POPUP&amp;HEIGHT=450&amp;WIDTH=450&amp;START_MA","XIMIZED=FALSE&amp;VAR:CALENDAR=US&amp;VAR:SYMBOL=05614P10&amp;VAR:INDEX=0"}</definedName>
    <definedName name="_1993__FDSAUDITLINK__" localSheetId="6" hidden="1">{"fdsup://directions/FAT Viewer?action=UPDATE&amp;creator=factset&amp;DYN_ARGS=TRUE&amp;DOC_NAME=FAT:FQL_AUDITING_CLIENT_TEMPLATE.FAT&amp;display_string=Audit&amp;VAR:KEY=FCHWVWZARW&amp;VAR:QUERY=RkZfRUJJVERBX0lCKCdMVE1TJyw0MDA2NCk=&amp;WINDOW=FIRST_POPUP&amp;HEIGHT=450&amp;WIDTH=450&amp;START_MA","XIMIZED=FALSE&amp;VAR:CALENDAR=US&amp;VAR:SYMBOL=05614P10&amp;VAR:INDEX=0"}</definedName>
    <definedName name="_1993__FDSAUDITLINK__" hidden="1">{"fdsup://directions/FAT Viewer?action=UPDATE&amp;creator=factset&amp;DYN_ARGS=TRUE&amp;DOC_NAME=FAT:FQL_AUDITING_CLIENT_TEMPLATE.FAT&amp;display_string=Audit&amp;VAR:KEY=FCHWVWZARW&amp;VAR:QUERY=RkZfRUJJVERBX0lCKCdMVE1TJyw0MDA2NCk=&amp;WINDOW=FIRST_POPUP&amp;HEIGHT=450&amp;WIDTH=450&amp;START_MA","XIMIZED=FALSE&amp;VAR:CALENDAR=US&amp;VAR:SYMBOL=05614P10&amp;VAR:INDEX=0"}</definedName>
    <definedName name="_1994__FDSAUDITLINK__" localSheetId="6" hidden="1">{"fdsup://directions/FAT Viewer?action=UPDATE&amp;creator=factset&amp;DYN_ARGS=TRUE&amp;DOC_NAME=FAT:FQL_AUDITING_CLIENT_TEMPLATE.FAT&amp;display_string=Audit&amp;VAR:KEY=JWNSZSRULC&amp;VAR:QUERY=RkZfRUJJVERBX0lCKCdMVE1TJyw0MDA2Myk=&amp;WINDOW=FIRST_POPUP&amp;HEIGHT=450&amp;WIDTH=450&amp;START_MA","XIMIZED=FALSE&amp;VAR:CALENDAR=US&amp;VAR:SYMBOL=05614P10&amp;VAR:INDEX=0"}</definedName>
    <definedName name="_1994__FDSAUDITLINK__" hidden="1">{"fdsup://directions/FAT Viewer?action=UPDATE&amp;creator=factset&amp;DYN_ARGS=TRUE&amp;DOC_NAME=FAT:FQL_AUDITING_CLIENT_TEMPLATE.FAT&amp;display_string=Audit&amp;VAR:KEY=JWNSZSRULC&amp;VAR:QUERY=RkZfRUJJVERBX0lCKCdMVE1TJyw0MDA2Myk=&amp;WINDOW=FIRST_POPUP&amp;HEIGHT=450&amp;WIDTH=450&amp;START_MA","XIMIZED=FALSE&amp;VAR:CALENDAR=US&amp;VAR:SYMBOL=05614P10&amp;VAR:INDEX=0"}</definedName>
    <definedName name="_1995__FDSAUDITLINK__" localSheetId="6" hidden="1">{"fdsup://directions/FAT Viewer?action=UPDATE&amp;creator=factset&amp;DYN_ARGS=TRUE&amp;DOC_NAME=FAT:FQL_AUDITING_CLIENT_TEMPLATE.FAT&amp;display_string=Audit&amp;VAR:KEY=TKXITIPOXC&amp;VAR:QUERY=RkZfRUJJVERBX0lCKCdMVE1TJyw0MDA2Mik=&amp;WINDOW=FIRST_POPUP&amp;HEIGHT=450&amp;WIDTH=450&amp;START_MA","XIMIZED=FALSE&amp;VAR:CALENDAR=US&amp;VAR:SYMBOL=05614P10&amp;VAR:INDEX=0"}</definedName>
    <definedName name="_1995__FDSAUDITLINK__" hidden="1">{"fdsup://directions/FAT Viewer?action=UPDATE&amp;creator=factset&amp;DYN_ARGS=TRUE&amp;DOC_NAME=FAT:FQL_AUDITING_CLIENT_TEMPLATE.FAT&amp;display_string=Audit&amp;VAR:KEY=TKXITIPOXC&amp;VAR:QUERY=RkZfRUJJVERBX0lCKCdMVE1TJyw0MDA2Mik=&amp;WINDOW=FIRST_POPUP&amp;HEIGHT=450&amp;WIDTH=450&amp;START_MA","XIMIZED=FALSE&amp;VAR:CALENDAR=US&amp;VAR:SYMBOL=05614P10&amp;VAR:INDEX=0"}</definedName>
    <definedName name="_1996__FDSAUDITLINK__" localSheetId="6" hidden="1">{"fdsup://directions/FAT Viewer?action=UPDATE&amp;creator=factset&amp;DYN_ARGS=TRUE&amp;DOC_NAME=FAT:FQL_AUDITING_CLIENT_TEMPLATE.FAT&amp;display_string=Audit&amp;VAR:KEY=DMNQJABANS&amp;VAR:QUERY=RkZfRUJJVERBX0lCKCdMVE1TJyw0MDA2MSk=&amp;WINDOW=FIRST_POPUP&amp;HEIGHT=450&amp;WIDTH=450&amp;START_MA","XIMIZED=FALSE&amp;VAR:CALENDAR=US&amp;VAR:SYMBOL=05614P10&amp;VAR:INDEX=0"}</definedName>
    <definedName name="_1996__FDSAUDITLINK__" hidden="1">{"fdsup://directions/FAT Viewer?action=UPDATE&amp;creator=factset&amp;DYN_ARGS=TRUE&amp;DOC_NAME=FAT:FQL_AUDITING_CLIENT_TEMPLATE.FAT&amp;display_string=Audit&amp;VAR:KEY=DMNQJABANS&amp;VAR:QUERY=RkZfRUJJVERBX0lCKCdMVE1TJyw0MDA2MSk=&amp;WINDOW=FIRST_POPUP&amp;HEIGHT=450&amp;WIDTH=450&amp;START_MA","XIMIZED=FALSE&amp;VAR:CALENDAR=US&amp;VAR:SYMBOL=05614P10&amp;VAR:INDEX=0"}</definedName>
    <definedName name="_1997__FDSAUDITLINK__" localSheetId="6" hidden="1">{"fdsup://directions/FAT Viewer?action=UPDATE&amp;creator=factset&amp;DYN_ARGS=TRUE&amp;DOC_NAME=FAT:FQL_AUDITING_CLIENT_TEMPLATE.FAT&amp;display_string=Audit&amp;VAR:KEY=LSHEZEXMVK&amp;VAR:QUERY=RkZfRUJJVERBX0lCKCdMVE1TJyw0MDA2MCk=&amp;WINDOW=FIRST_POPUP&amp;HEIGHT=450&amp;WIDTH=450&amp;START_MA","XIMIZED=FALSE&amp;VAR:CALENDAR=US&amp;VAR:SYMBOL=05614P10&amp;VAR:INDEX=0"}</definedName>
    <definedName name="_1997__FDSAUDITLINK__" hidden="1">{"fdsup://directions/FAT Viewer?action=UPDATE&amp;creator=factset&amp;DYN_ARGS=TRUE&amp;DOC_NAME=FAT:FQL_AUDITING_CLIENT_TEMPLATE.FAT&amp;display_string=Audit&amp;VAR:KEY=LSHEZEXMVK&amp;VAR:QUERY=RkZfRUJJVERBX0lCKCdMVE1TJyw0MDA2MCk=&amp;WINDOW=FIRST_POPUP&amp;HEIGHT=450&amp;WIDTH=450&amp;START_MA","XIMIZED=FALSE&amp;VAR:CALENDAR=US&amp;VAR:SYMBOL=05614P10&amp;VAR:INDEX=0"}</definedName>
    <definedName name="_1998__FDSAUDITLINK__" localSheetId="6" hidden="1">{"fdsup://directions/FAT Viewer?action=UPDATE&amp;creator=factset&amp;DYN_ARGS=TRUE&amp;DOC_NAME=FAT:FQL_AUDITING_CLIENT_TEMPLATE.FAT&amp;display_string=Audit&amp;VAR:KEY=ZENOXULGNS&amp;VAR:QUERY=RkZfRUJJVERBX0lCKCdMVE1TJyw0MDA1OSk=&amp;WINDOW=FIRST_POPUP&amp;HEIGHT=450&amp;WIDTH=450&amp;START_MA","XIMIZED=FALSE&amp;VAR:CALENDAR=US&amp;VAR:SYMBOL=05614P10&amp;VAR:INDEX=0"}</definedName>
    <definedName name="_1998__FDSAUDITLINK__" hidden="1">{"fdsup://directions/FAT Viewer?action=UPDATE&amp;creator=factset&amp;DYN_ARGS=TRUE&amp;DOC_NAME=FAT:FQL_AUDITING_CLIENT_TEMPLATE.FAT&amp;display_string=Audit&amp;VAR:KEY=ZENOXULGNS&amp;VAR:QUERY=RkZfRUJJVERBX0lCKCdMVE1TJyw0MDA1OSk=&amp;WINDOW=FIRST_POPUP&amp;HEIGHT=450&amp;WIDTH=450&amp;START_MA","XIMIZED=FALSE&amp;VAR:CALENDAR=US&amp;VAR:SYMBOL=05614P10&amp;VAR:INDEX=0"}</definedName>
    <definedName name="_1999__FDSAUDITLINK__" localSheetId="6" hidden="1">{"fdsup://directions/FAT Viewer?action=UPDATE&amp;creator=factset&amp;DYN_ARGS=TRUE&amp;DOC_NAME=FAT:FQL_AUDITING_CLIENT_TEMPLATE.FAT&amp;display_string=Audit&amp;VAR:KEY=NEPCRSLQVU&amp;VAR:QUERY=RkZfRUJJVERBX0lCKCdMVE1TJyw0MDA1OCk=&amp;WINDOW=FIRST_POPUP&amp;HEIGHT=450&amp;WIDTH=450&amp;START_MA","XIMIZED=FALSE&amp;VAR:CALENDAR=US&amp;VAR:SYMBOL=05614P10&amp;VAR:INDEX=0"}</definedName>
    <definedName name="_1999__FDSAUDITLINK__" hidden="1">{"fdsup://directions/FAT Viewer?action=UPDATE&amp;creator=factset&amp;DYN_ARGS=TRUE&amp;DOC_NAME=FAT:FQL_AUDITING_CLIENT_TEMPLATE.FAT&amp;display_string=Audit&amp;VAR:KEY=NEPCRSLQVU&amp;VAR:QUERY=RkZfRUJJVERBX0lCKCdMVE1TJyw0MDA1OCk=&amp;WINDOW=FIRST_POPUP&amp;HEIGHT=450&amp;WIDTH=450&amp;START_MA","XIMIZED=FALSE&amp;VAR:CALENDAR=US&amp;VAR:SYMBOL=05614P10&amp;VAR:INDEX=0"}</definedName>
    <definedName name="_2__FDSAUDITLINK__" localSheetId="6" hidden="1">{"fdsup://directions/FAT Viewer?action=UPDATE&amp;creator=factset&amp;DYN_ARGS=TRUE&amp;DOC_NAME=FAT:FQL_AUDITING_CLIENT_TEMPLATE.FAT&amp;display_string=Audit&amp;VAR:KEY=KJWJQBMZYF&amp;VAR:QUERY=QVZHKENTRl9ORVRfSU5DKEFOTiwwRlksLTZGWSxZKSkgLyAoQVZHKENTRl9BU1NFVFMoQU5OLDBGWSwtNkZZL","EZZKSkgLSBBVkcoQ1NGX0lOVEFORyhBTk4sMCwtNkZZLEZZKSkp&amp;WINDOW=FIRST_POPUP&amp;HEIGHT=450&amp;WIDTH=450&amp;START_MAXIMIZED=FALSE&amp;VAR:CALENDAR=US&amp;VAR:SYMBOL=SSW"}</definedName>
    <definedName name="_2__FDSAUDITLINK__" hidden="1">{"fdsup://directions/FAT Viewer?action=UPDATE&amp;creator=factset&amp;DYN_ARGS=TRUE&amp;DOC_NAME=FAT:FQL_AUDITING_CLIENT_TEMPLATE.FAT&amp;display_string=Audit&amp;VAR:KEY=KJWJQBMZYF&amp;VAR:QUERY=QVZHKENTRl9ORVRfSU5DKEFOTiwwRlksLTZGWSxZKSkgLyAoQVZHKENTRl9BU1NFVFMoQU5OLDBGWSwtNkZZL","EZZKSkgLSBBVkcoQ1NGX0lOVEFORyhBTk4sMCwtNkZZLEZZKSkp&amp;WINDOW=FIRST_POPUP&amp;HEIGHT=450&amp;WIDTH=450&amp;START_MAXIMIZED=FALSE&amp;VAR:CALENDAR=US&amp;VAR:SYMBOL=SSW"}</definedName>
    <definedName name="_20__FDSAUDITLINK__" localSheetId="6" hidden="1">{"fdsup://directions/FAT Viewer?action=UPDATE&amp;creator=factset&amp;DYN_ARGS=TRUE&amp;DOC_NAME=FAT:FQL_AUDITING_CLIENT_TEMPLATE.FAT&amp;display_string=Audit&amp;VAR:KEY=LMDQHWDQPK&amp;VAR:QUERY=QVZHKENTRl9ORVRfSU5DKEFOTiwwRlksLTZGWSxZKSkgLyAoQVZHKENTRl9BU1NFVFMoQU5OLDBGWSwtNkZZL","EZZKSkgLSBBVkcoQ1NGX0lOVEFORyhBTk4sMCwtNkZZLEZZKSkp&amp;WINDOW=FIRST_POPUP&amp;HEIGHT=450&amp;WIDTH=450&amp;START_MAXIMIZED=FALSE&amp;VAR:CALENDAR=US&amp;VAR:SYMBOL=TOO"}</definedName>
    <definedName name="_20__FDSAUDITLINK__" hidden="1">{"fdsup://directions/FAT Viewer?action=UPDATE&amp;creator=factset&amp;DYN_ARGS=TRUE&amp;DOC_NAME=FAT:FQL_AUDITING_CLIENT_TEMPLATE.FAT&amp;display_string=Audit&amp;VAR:KEY=LMDQHWDQPK&amp;VAR:QUERY=QVZHKENTRl9ORVRfSU5DKEFOTiwwRlksLTZGWSxZKSkgLyAoQVZHKENTRl9BU1NFVFMoQU5OLDBGWSwtNkZZL","EZZKSkgLSBBVkcoQ1NGX0lOVEFORyhBTk4sMCwtNkZZLEZZKSkp&amp;WINDOW=FIRST_POPUP&amp;HEIGHT=450&amp;WIDTH=450&amp;START_MAXIMIZED=FALSE&amp;VAR:CALENDAR=US&amp;VAR:SYMBOL=TOO"}</definedName>
    <definedName name="_200__FDSAUDITLINK__" localSheetId="6" hidden="1">{"fdsup://directions/FAT%20Viewer?VAR:PED=LTM&amp;VAR:AUDIT_MODE=SUMMARY&amp;VAR:PERIOD=FIXED&amp;VAR:AUDIT_ID=00000117&amp;VAR:DATE=20090805&amp;action=UPDATE&amp;creator=factset&amp;DOC_NAME=FAT:FMA_audit_SUMMARY.fat&amp;DISPLAY_STRING=Display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0__FDSAUDITLINK__" hidden="1">{"fdsup://directions/FAT%20Viewer?VAR:PED=LTM&amp;VAR:AUDIT_MODE=SUMMARY&amp;VAR:PERIOD=FIXED&amp;VAR:AUDIT_ID=00000117&amp;VAR:DATE=20090805&amp;action=UPDATE&amp;creator=factset&amp;DOC_NAME=FAT:FMA_audit_SUMMARY.fat&amp;DISPLAY_STRING=Display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00__FDSAUDITLINK__" localSheetId="6" hidden="1">{"fdsup://directions/FAT Viewer?action=UPDATE&amp;creator=factset&amp;DYN_ARGS=TRUE&amp;DOC_NAME=FAT:FQL_AUDITING_CLIENT_TEMPLATE.FAT&amp;display_string=Audit&amp;VAR:KEY=VSVITKRMXM&amp;VAR:QUERY=RkZfRUJJVERBX0lCKCdMVE1TJyw0MDA1Nyk=&amp;WINDOW=FIRST_POPUP&amp;HEIGHT=450&amp;WIDTH=450&amp;START_MA","XIMIZED=FALSE&amp;VAR:CALENDAR=US&amp;VAR:SYMBOL=05614P10&amp;VAR:INDEX=0"}</definedName>
    <definedName name="_2000__FDSAUDITLINK__" hidden="1">{"fdsup://directions/FAT Viewer?action=UPDATE&amp;creator=factset&amp;DYN_ARGS=TRUE&amp;DOC_NAME=FAT:FQL_AUDITING_CLIENT_TEMPLATE.FAT&amp;display_string=Audit&amp;VAR:KEY=VSVITKRMXM&amp;VAR:QUERY=RkZfRUJJVERBX0lCKCdMVE1TJyw0MDA1Nyk=&amp;WINDOW=FIRST_POPUP&amp;HEIGHT=450&amp;WIDTH=450&amp;START_MA","XIMIZED=FALSE&amp;VAR:CALENDAR=US&amp;VAR:SYMBOL=05614P10&amp;VAR:INDEX=0"}</definedName>
    <definedName name="_2001__FDSAUDITLINK__" localSheetId="6" hidden="1">{"fdsup://directions/FAT Viewer?action=UPDATE&amp;creator=factset&amp;DYN_ARGS=TRUE&amp;DOC_NAME=FAT:FQL_AUDITING_CLIENT_TEMPLATE.FAT&amp;display_string=Audit&amp;VAR:KEY=XSDMPKLCVI&amp;VAR:QUERY=RkZfRUJJVERBX0lCKCdMVE1TJyw0MDA1Nik=&amp;WINDOW=FIRST_POPUP&amp;HEIGHT=450&amp;WIDTH=450&amp;START_MA","XIMIZED=FALSE&amp;VAR:CALENDAR=US&amp;VAR:SYMBOL=05614P10&amp;VAR:INDEX=0"}</definedName>
    <definedName name="_2001__FDSAUDITLINK__" hidden="1">{"fdsup://directions/FAT Viewer?action=UPDATE&amp;creator=factset&amp;DYN_ARGS=TRUE&amp;DOC_NAME=FAT:FQL_AUDITING_CLIENT_TEMPLATE.FAT&amp;display_string=Audit&amp;VAR:KEY=XSDMPKLCVI&amp;VAR:QUERY=RkZfRUJJVERBX0lCKCdMVE1TJyw0MDA1Nik=&amp;WINDOW=FIRST_POPUP&amp;HEIGHT=450&amp;WIDTH=450&amp;START_MA","XIMIZED=FALSE&amp;VAR:CALENDAR=US&amp;VAR:SYMBOL=05614P10&amp;VAR:INDEX=0"}</definedName>
    <definedName name="_2002__FDSAUDITLINK__" localSheetId="6" hidden="1">{"fdsup://directions/FAT Viewer?action=UPDATE&amp;creator=factset&amp;DYN_ARGS=TRUE&amp;DOC_NAME=FAT:FQL_AUDITING_CLIENT_TEMPLATE.FAT&amp;display_string=Audit&amp;VAR:KEY=NYTGBSLUJO&amp;VAR:QUERY=RkZfRUJJVERBX0lCKCdMVE1TJyw0MDA1NSk=&amp;WINDOW=FIRST_POPUP&amp;HEIGHT=450&amp;WIDTH=450&amp;START_MA","XIMIZED=FALSE&amp;VAR:CALENDAR=US&amp;VAR:SYMBOL=05614P10&amp;VAR:INDEX=0"}</definedName>
    <definedName name="_2002__FDSAUDITLINK__" hidden="1">{"fdsup://directions/FAT Viewer?action=UPDATE&amp;creator=factset&amp;DYN_ARGS=TRUE&amp;DOC_NAME=FAT:FQL_AUDITING_CLIENT_TEMPLATE.FAT&amp;display_string=Audit&amp;VAR:KEY=NYTGBSLUJO&amp;VAR:QUERY=RkZfRUJJVERBX0lCKCdMVE1TJyw0MDA1NSk=&amp;WINDOW=FIRST_POPUP&amp;HEIGHT=450&amp;WIDTH=450&amp;START_MA","XIMIZED=FALSE&amp;VAR:CALENDAR=US&amp;VAR:SYMBOL=05614P10&amp;VAR:INDEX=0"}</definedName>
    <definedName name="_2003__FDSAUDITLINK__" localSheetId="6" hidden="1">{"fdsup://directions/FAT Viewer?action=UPDATE&amp;creator=factset&amp;DYN_ARGS=TRUE&amp;DOC_NAME=FAT:FQL_AUDITING_CLIENT_TEMPLATE.FAT&amp;display_string=Audit&amp;VAR:KEY=DUPURMPUDC&amp;VAR:QUERY=RkZfRUJJVERBX0lCKCdMVE1TJyw0MDA1NCk=&amp;WINDOW=FIRST_POPUP&amp;HEIGHT=450&amp;WIDTH=450&amp;START_MA","XIMIZED=FALSE&amp;VAR:CALENDAR=US&amp;VAR:SYMBOL=05614P10&amp;VAR:INDEX=0"}</definedName>
    <definedName name="_2003__FDSAUDITLINK__" hidden="1">{"fdsup://directions/FAT Viewer?action=UPDATE&amp;creator=factset&amp;DYN_ARGS=TRUE&amp;DOC_NAME=FAT:FQL_AUDITING_CLIENT_TEMPLATE.FAT&amp;display_string=Audit&amp;VAR:KEY=DUPURMPUDC&amp;VAR:QUERY=RkZfRUJJVERBX0lCKCdMVE1TJyw0MDA1NCk=&amp;WINDOW=FIRST_POPUP&amp;HEIGHT=450&amp;WIDTH=450&amp;START_MA","XIMIZED=FALSE&amp;VAR:CALENDAR=US&amp;VAR:SYMBOL=05614P10&amp;VAR:INDEX=0"}</definedName>
    <definedName name="_2004__FDSAUDITLINK__" localSheetId="6" hidden="1">{"fdsup://directions/FAT Viewer?action=UPDATE&amp;creator=factset&amp;DYN_ARGS=TRUE&amp;DOC_NAME=FAT:FQL_AUDITING_CLIENT_TEMPLATE.FAT&amp;display_string=Audit&amp;VAR:KEY=ROTWDSTSHY&amp;VAR:QUERY=RkZfRUJJVERBX0lCKCdMVE1TJyw0MDA1Myk=&amp;WINDOW=FIRST_POPUP&amp;HEIGHT=450&amp;WIDTH=450&amp;START_MA","XIMIZED=FALSE&amp;VAR:CALENDAR=US&amp;VAR:SYMBOL=05614P10&amp;VAR:INDEX=0"}</definedName>
    <definedName name="_2004__FDSAUDITLINK__" hidden="1">{"fdsup://directions/FAT Viewer?action=UPDATE&amp;creator=factset&amp;DYN_ARGS=TRUE&amp;DOC_NAME=FAT:FQL_AUDITING_CLIENT_TEMPLATE.FAT&amp;display_string=Audit&amp;VAR:KEY=ROTWDSTSHY&amp;VAR:QUERY=RkZfRUJJVERBX0lCKCdMVE1TJyw0MDA1Myk=&amp;WINDOW=FIRST_POPUP&amp;HEIGHT=450&amp;WIDTH=450&amp;START_MA","XIMIZED=FALSE&amp;VAR:CALENDAR=US&amp;VAR:SYMBOL=05614P10&amp;VAR:INDEX=0"}</definedName>
    <definedName name="_2005__FDSAUDITLINK__" localSheetId="6" hidden="1">{"fdsup://directions/FAT Viewer?action=UPDATE&amp;creator=factset&amp;DYN_ARGS=TRUE&amp;DOC_NAME=FAT:FQL_AUDITING_CLIENT_TEMPLATE.FAT&amp;display_string=Audit&amp;VAR:KEY=NEBCXCBMPA&amp;VAR:QUERY=RkZfRUJJVERBX0lCKCdMVE1TJyw0MDA1Mik=&amp;WINDOW=FIRST_POPUP&amp;HEIGHT=450&amp;WIDTH=450&amp;START_MA","XIMIZED=FALSE&amp;VAR:CALENDAR=US&amp;VAR:SYMBOL=05614P10&amp;VAR:INDEX=0"}</definedName>
    <definedName name="_2005__FDSAUDITLINK__" hidden="1">{"fdsup://directions/FAT Viewer?action=UPDATE&amp;creator=factset&amp;DYN_ARGS=TRUE&amp;DOC_NAME=FAT:FQL_AUDITING_CLIENT_TEMPLATE.FAT&amp;display_string=Audit&amp;VAR:KEY=NEBCXCBMPA&amp;VAR:QUERY=RkZfRUJJVERBX0lCKCdMVE1TJyw0MDA1Mik=&amp;WINDOW=FIRST_POPUP&amp;HEIGHT=450&amp;WIDTH=450&amp;START_MA","XIMIZED=FALSE&amp;VAR:CALENDAR=US&amp;VAR:SYMBOL=05614P10&amp;VAR:INDEX=0"}</definedName>
    <definedName name="_2006__FDSAUDITLINK__" localSheetId="6" hidden="1">{"fdsup://directions/FAT Viewer?action=UPDATE&amp;creator=factset&amp;DYN_ARGS=TRUE&amp;DOC_NAME=FAT:FQL_AUDITING_CLIENT_TEMPLATE.FAT&amp;display_string=Audit&amp;VAR:KEY=PAFURANMHI&amp;VAR:QUERY=RkZfRUJJVERBX0lCKCdMVE1TJyw0MDA1MSk=&amp;WINDOW=FIRST_POPUP&amp;HEIGHT=450&amp;WIDTH=450&amp;START_MA","XIMIZED=FALSE&amp;VAR:CALENDAR=US&amp;VAR:SYMBOL=05614P10&amp;VAR:INDEX=0"}</definedName>
    <definedName name="_2006__FDSAUDITLINK__" hidden="1">{"fdsup://directions/FAT Viewer?action=UPDATE&amp;creator=factset&amp;DYN_ARGS=TRUE&amp;DOC_NAME=FAT:FQL_AUDITING_CLIENT_TEMPLATE.FAT&amp;display_string=Audit&amp;VAR:KEY=PAFURANMHI&amp;VAR:QUERY=RkZfRUJJVERBX0lCKCdMVE1TJyw0MDA1MSk=&amp;WINDOW=FIRST_POPUP&amp;HEIGHT=450&amp;WIDTH=450&amp;START_MA","XIMIZED=FALSE&amp;VAR:CALENDAR=US&amp;VAR:SYMBOL=05614P10&amp;VAR:INDEX=0"}</definedName>
    <definedName name="_2007__FDSAUDITLINK__" localSheetId="6" hidden="1">{"fdsup://directions/FAT Viewer?action=UPDATE&amp;creator=factset&amp;DYN_ARGS=TRUE&amp;DOC_NAME=FAT:FQL_AUDITING_CLIENT_TEMPLATE.FAT&amp;display_string=Audit&amp;VAR:KEY=DMDILKJQFO&amp;VAR:QUERY=RkZfRUJJVERBX0lCKCdMVE1TJyw0MDA1MCk=&amp;WINDOW=FIRST_POPUP&amp;HEIGHT=450&amp;WIDTH=450&amp;START_MA","XIMIZED=FALSE&amp;VAR:CALENDAR=US&amp;VAR:SYMBOL=05614P10&amp;VAR:INDEX=0"}</definedName>
    <definedName name="_2007__FDSAUDITLINK__" hidden="1">{"fdsup://directions/FAT Viewer?action=UPDATE&amp;creator=factset&amp;DYN_ARGS=TRUE&amp;DOC_NAME=FAT:FQL_AUDITING_CLIENT_TEMPLATE.FAT&amp;display_string=Audit&amp;VAR:KEY=DMDILKJQFO&amp;VAR:QUERY=RkZfRUJJVERBX0lCKCdMVE1TJyw0MDA1MCk=&amp;WINDOW=FIRST_POPUP&amp;HEIGHT=450&amp;WIDTH=450&amp;START_MA","XIMIZED=FALSE&amp;VAR:CALENDAR=US&amp;VAR:SYMBOL=05614P10&amp;VAR:INDEX=0"}</definedName>
    <definedName name="_2008__FDSAUDITLINK__" localSheetId="6" hidden="1">{"fdsup://directions/FAT Viewer?action=UPDATE&amp;creator=factset&amp;DYN_ARGS=TRUE&amp;DOC_NAME=FAT:FQL_AUDITING_CLIENT_TEMPLATE.FAT&amp;display_string=Audit&amp;VAR:KEY=FWNIXCHIHY&amp;VAR:QUERY=RkZfRUJJVERBX0lCKCdMVE1TJyw0MDA0OSk=&amp;WINDOW=FIRST_POPUP&amp;HEIGHT=450&amp;WIDTH=450&amp;START_MA","XIMIZED=FALSE&amp;VAR:CALENDAR=US&amp;VAR:SYMBOL=05614P10&amp;VAR:INDEX=0"}</definedName>
    <definedName name="_2008__FDSAUDITLINK__" hidden="1">{"fdsup://directions/FAT Viewer?action=UPDATE&amp;creator=factset&amp;DYN_ARGS=TRUE&amp;DOC_NAME=FAT:FQL_AUDITING_CLIENT_TEMPLATE.FAT&amp;display_string=Audit&amp;VAR:KEY=FWNIXCHIHY&amp;VAR:QUERY=RkZfRUJJVERBX0lCKCdMVE1TJyw0MDA0OSk=&amp;WINDOW=FIRST_POPUP&amp;HEIGHT=450&amp;WIDTH=450&amp;START_MA","XIMIZED=FALSE&amp;VAR:CALENDAR=US&amp;VAR:SYMBOL=05614P10&amp;VAR:INDEX=0"}</definedName>
    <definedName name="_2009__FDSAUDITLINK__" localSheetId="6" hidden="1">{"fdsup://directions/FAT Viewer?action=UPDATE&amp;creator=factset&amp;DYN_ARGS=TRUE&amp;DOC_NAME=FAT:FQL_AUDITING_CLIENT_TEMPLATE.FAT&amp;display_string=Audit&amp;VAR:KEY=PSPYZSDANW&amp;VAR:QUERY=RkZfRUJJVERBX0lCKCdMVE1TJyw0MDA0OCk=&amp;WINDOW=FIRST_POPUP&amp;HEIGHT=450&amp;WIDTH=450&amp;START_MA","XIMIZED=FALSE&amp;VAR:CALENDAR=US&amp;VAR:SYMBOL=05614P10&amp;VAR:INDEX=0"}</definedName>
    <definedName name="_2009__FDSAUDITLINK__" hidden="1">{"fdsup://directions/FAT Viewer?action=UPDATE&amp;creator=factset&amp;DYN_ARGS=TRUE&amp;DOC_NAME=FAT:FQL_AUDITING_CLIENT_TEMPLATE.FAT&amp;display_string=Audit&amp;VAR:KEY=PSPYZSDANW&amp;VAR:QUERY=RkZfRUJJVERBX0lCKCdMVE1TJyw0MDA0OCk=&amp;WINDOW=FIRST_POPUP&amp;HEIGHT=450&amp;WIDTH=450&amp;START_MA","XIMIZED=FALSE&amp;VAR:CALENDAR=US&amp;VAR:SYMBOL=05614P10&amp;VAR:INDEX=0"}</definedName>
    <definedName name="_201__FDSAUDITLINK__" localSheetId="6" hidden="1">{"fdsup://directions/FAT%20Viewer?VAR:PED=LTM&amp;VAR:AUDIT_MODE=SUMMARY&amp;VAR:PERIOD=FIXED&amp;VAR:AUDIT_ID=00000117&amp;VAR:DATE=20090804&amp;action=UPDATE&amp;creator=factset&amp;DOC_NAME=FAT:FMA_audit_SUMMARY.fat&amp;DISPLAY_STRING=Display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1__FDSAUDITLINK__" hidden="1">{"fdsup://directions/FAT%20Viewer?VAR:PED=LTM&amp;VAR:AUDIT_MODE=SUMMARY&amp;VAR:PERIOD=FIXED&amp;VAR:AUDIT_ID=00000117&amp;VAR:DATE=20090804&amp;action=UPDATE&amp;creator=factset&amp;DOC_NAME=FAT:FMA_audit_SUMMARY.fat&amp;DISPLAY_STRING=Display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10__FDSAUDITLINK__" localSheetId="6" hidden="1">{"fdsup://directions/FAT Viewer?action=UPDATE&amp;creator=factset&amp;DYN_ARGS=TRUE&amp;DOC_NAME=FAT:FQL_AUDITING_CLIENT_TEMPLATE.FAT&amp;display_string=Audit&amp;VAR:KEY=LSTKHITCVK&amp;VAR:QUERY=RkZfRUJJVERBX0lCKCdMVE1TJyw0MDA0Nyk=&amp;WINDOW=FIRST_POPUP&amp;HEIGHT=450&amp;WIDTH=450&amp;START_MA","XIMIZED=FALSE&amp;VAR:CALENDAR=US&amp;VAR:SYMBOL=05614P10&amp;VAR:INDEX=0"}</definedName>
    <definedName name="_2010__FDSAUDITLINK__" hidden="1">{"fdsup://directions/FAT Viewer?action=UPDATE&amp;creator=factset&amp;DYN_ARGS=TRUE&amp;DOC_NAME=FAT:FQL_AUDITING_CLIENT_TEMPLATE.FAT&amp;display_string=Audit&amp;VAR:KEY=LSTKHITCVK&amp;VAR:QUERY=RkZfRUJJVERBX0lCKCdMVE1TJyw0MDA0Nyk=&amp;WINDOW=FIRST_POPUP&amp;HEIGHT=450&amp;WIDTH=450&amp;START_MA","XIMIZED=FALSE&amp;VAR:CALENDAR=US&amp;VAR:SYMBOL=05614P10&amp;VAR:INDEX=0"}</definedName>
    <definedName name="_2011__FDSAUDITLINK__" localSheetId="6" hidden="1">{"fdsup://directions/FAT Viewer?action=UPDATE&amp;creator=factset&amp;DYN_ARGS=TRUE&amp;DOC_NAME=FAT:FQL_AUDITING_CLIENT_TEMPLATE.FAT&amp;display_string=Audit&amp;VAR:KEY=VIBWBQPYPC&amp;VAR:QUERY=RkZfRUJJVERBX0lCKCdMVE1TJyw0MDA0Nik=&amp;WINDOW=FIRST_POPUP&amp;HEIGHT=450&amp;WIDTH=450&amp;START_MA","XIMIZED=FALSE&amp;VAR:CALENDAR=US&amp;VAR:SYMBOL=05614P10&amp;VAR:INDEX=0"}</definedName>
    <definedName name="_2011__FDSAUDITLINK__" hidden="1">{"fdsup://directions/FAT Viewer?action=UPDATE&amp;creator=factset&amp;DYN_ARGS=TRUE&amp;DOC_NAME=FAT:FQL_AUDITING_CLIENT_TEMPLATE.FAT&amp;display_string=Audit&amp;VAR:KEY=VIBWBQPYPC&amp;VAR:QUERY=RkZfRUJJVERBX0lCKCdMVE1TJyw0MDA0Nik=&amp;WINDOW=FIRST_POPUP&amp;HEIGHT=450&amp;WIDTH=450&amp;START_MA","XIMIZED=FALSE&amp;VAR:CALENDAR=US&amp;VAR:SYMBOL=05614P10&amp;VAR:INDEX=0"}</definedName>
    <definedName name="_2012__FDSAUDITLINK__" localSheetId="6" hidden="1">{"fdsup://directions/FAT Viewer?action=UPDATE&amp;creator=factset&amp;DYN_ARGS=TRUE&amp;DOC_NAME=FAT:FQL_AUDITING_CLIENT_TEMPLATE.FAT&amp;display_string=Audit&amp;VAR:KEY=NYXKNITEJI&amp;VAR:QUERY=RkZfRUJJVERBX0lCKCdMVE1TJyw0MDA0NSk=&amp;WINDOW=FIRST_POPUP&amp;HEIGHT=450&amp;WIDTH=450&amp;START_MA","XIMIZED=FALSE&amp;VAR:CALENDAR=US&amp;VAR:SYMBOL=05614P10&amp;VAR:INDEX=0"}</definedName>
    <definedName name="_2012__FDSAUDITLINK__" hidden="1">{"fdsup://directions/FAT Viewer?action=UPDATE&amp;creator=factset&amp;DYN_ARGS=TRUE&amp;DOC_NAME=FAT:FQL_AUDITING_CLIENT_TEMPLATE.FAT&amp;display_string=Audit&amp;VAR:KEY=NYXKNITEJI&amp;VAR:QUERY=RkZfRUJJVERBX0lCKCdMVE1TJyw0MDA0NSk=&amp;WINDOW=FIRST_POPUP&amp;HEIGHT=450&amp;WIDTH=450&amp;START_MA","XIMIZED=FALSE&amp;VAR:CALENDAR=US&amp;VAR:SYMBOL=05614P10&amp;VAR:INDEX=0"}</definedName>
    <definedName name="_2013__FDSAUDITLINK__" localSheetId="6" hidden="1">{"fdsup://directions/FAT Viewer?action=UPDATE&amp;creator=factset&amp;DYN_ARGS=TRUE&amp;DOC_NAME=FAT:FQL_AUDITING_CLIENT_TEMPLATE.FAT&amp;display_string=Audit&amp;VAR:KEY=PEDGDYRAFQ&amp;VAR:QUERY=RkZfRUJJVERBX0lCKCdMVE1TJyw0MDA0NCk=&amp;WINDOW=FIRST_POPUP&amp;HEIGHT=450&amp;WIDTH=450&amp;START_MA","XIMIZED=FALSE&amp;VAR:CALENDAR=US&amp;VAR:SYMBOL=05614P10&amp;VAR:INDEX=0"}</definedName>
    <definedName name="_2013__FDSAUDITLINK__" hidden="1">{"fdsup://directions/FAT Viewer?action=UPDATE&amp;creator=factset&amp;DYN_ARGS=TRUE&amp;DOC_NAME=FAT:FQL_AUDITING_CLIENT_TEMPLATE.FAT&amp;display_string=Audit&amp;VAR:KEY=PEDGDYRAFQ&amp;VAR:QUERY=RkZfRUJJVERBX0lCKCdMVE1TJyw0MDA0NCk=&amp;WINDOW=FIRST_POPUP&amp;HEIGHT=450&amp;WIDTH=450&amp;START_MA","XIMIZED=FALSE&amp;VAR:CALENDAR=US&amp;VAR:SYMBOL=05614P10&amp;VAR:INDEX=0"}</definedName>
    <definedName name="_2014__FDSAUDITLINK__" localSheetId="6" hidden="1">{"fdsup://directions/FAT Viewer?action=UPDATE&amp;creator=factset&amp;DYN_ARGS=TRUE&amp;DOC_NAME=FAT:FQL_AUDITING_CLIENT_TEMPLATE.FAT&amp;display_string=Audit&amp;VAR:KEY=JWDUROZABA&amp;VAR:QUERY=RkZfRUJJVERBX0lCKCdMVE1TJyw0MDA0Myk=&amp;WINDOW=FIRST_POPUP&amp;HEIGHT=450&amp;WIDTH=450&amp;START_MA","XIMIZED=FALSE&amp;VAR:CALENDAR=US&amp;VAR:SYMBOL=05614P10&amp;VAR:INDEX=0"}</definedName>
    <definedName name="_2014__FDSAUDITLINK__" hidden="1">{"fdsup://directions/FAT Viewer?action=UPDATE&amp;creator=factset&amp;DYN_ARGS=TRUE&amp;DOC_NAME=FAT:FQL_AUDITING_CLIENT_TEMPLATE.FAT&amp;display_string=Audit&amp;VAR:KEY=JWDUROZABA&amp;VAR:QUERY=RkZfRUJJVERBX0lCKCdMVE1TJyw0MDA0Myk=&amp;WINDOW=FIRST_POPUP&amp;HEIGHT=450&amp;WIDTH=450&amp;START_MA","XIMIZED=FALSE&amp;VAR:CALENDAR=US&amp;VAR:SYMBOL=05614P10&amp;VAR:INDEX=0"}</definedName>
    <definedName name="_2015__FDSAUDITLINK__" localSheetId="6" hidden="1">{"fdsup://directions/FAT Viewer?action=UPDATE&amp;creator=factset&amp;DYN_ARGS=TRUE&amp;DOC_NAME=FAT:FQL_AUDITING_CLIENT_TEMPLATE.FAT&amp;display_string=Audit&amp;VAR:KEY=BWBSHEXOVA&amp;VAR:QUERY=RkZfRUJJVERBX0lCKCdMVE1TJyw0MDA0Mik=&amp;WINDOW=FIRST_POPUP&amp;HEIGHT=450&amp;WIDTH=450&amp;START_MA","XIMIZED=FALSE&amp;VAR:CALENDAR=US&amp;VAR:SYMBOL=05614P10&amp;VAR:INDEX=0"}</definedName>
    <definedName name="_2015__FDSAUDITLINK__" hidden="1">{"fdsup://directions/FAT Viewer?action=UPDATE&amp;creator=factset&amp;DYN_ARGS=TRUE&amp;DOC_NAME=FAT:FQL_AUDITING_CLIENT_TEMPLATE.FAT&amp;display_string=Audit&amp;VAR:KEY=BWBSHEXOVA&amp;VAR:QUERY=RkZfRUJJVERBX0lCKCdMVE1TJyw0MDA0Mik=&amp;WINDOW=FIRST_POPUP&amp;HEIGHT=450&amp;WIDTH=450&amp;START_MA","XIMIZED=FALSE&amp;VAR:CALENDAR=US&amp;VAR:SYMBOL=05614P10&amp;VAR:INDEX=0"}</definedName>
    <definedName name="_2016__FDSAUDITLINK__" localSheetId="6" hidden="1">{"fdsup://directions/FAT Viewer?action=UPDATE&amp;creator=factset&amp;DYN_ARGS=TRUE&amp;DOC_NAME=FAT:FQL_AUDITING_CLIENT_TEMPLATE.FAT&amp;display_string=Audit&amp;VAR:KEY=NMJQDWTCBQ&amp;VAR:QUERY=RkZfRUJJVERBX0lCKCdMVE1TJyw0MDA0MSk=&amp;WINDOW=FIRST_POPUP&amp;HEIGHT=450&amp;WIDTH=450&amp;START_MA","XIMIZED=FALSE&amp;VAR:CALENDAR=US&amp;VAR:SYMBOL=05614P10&amp;VAR:INDEX=0"}</definedName>
    <definedName name="_2016__FDSAUDITLINK__" hidden="1">{"fdsup://directions/FAT Viewer?action=UPDATE&amp;creator=factset&amp;DYN_ARGS=TRUE&amp;DOC_NAME=FAT:FQL_AUDITING_CLIENT_TEMPLATE.FAT&amp;display_string=Audit&amp;VAR:KEY=NMJQDWTCBQ&amp;VAR:QUERY=RkZfRUJJVERBX0lCKCdMVE1TJyw0MDA0MSk=&amp;WINDOW=FIRST_POPUP&amp;HEIGHT=450&amp;WIDTH=450&amp;START_MA","XIMIZED=FALSE&amp;VAR:CALENDAR=US&amp;VAR:SYMBOL=05614P10&amp;VAR:INDEX=0"}</definedName>
    <definedName name="_2017__FDSAUDITLINK__" localSheetId="6" hidden="1">{"fdsup://directions/FAT Viewer?action=UPDATE&amp;creator=factset&amp;DYN_ARGS=TRUE&amp;DOC_NAME=FAT:FQL_AUDITING_CLIENT_TEMPLATE.FAT&amp;display_string=Audit&amp;VAR:KEY=BOLORIBMTM&amp;VAR:QUERY=RkZfRUJJVERBX0lCKCdMVE1TJyw0MDA0MCk=&amp;WINDOW=FIRST_POPUP&amp;HEIGHT=450&amp;WIDTH=450&amp;START_MA","XIMIZED=FALSE&amp;VAR:CALENDAR=US&amp;VAR:SYMBOL=05614P10&amp;VAR:INDEX=0"}</definedName>
    <definedName name="_2017__FDSAUDITLINK__" hidden="1">{"fdsup://directions/FAT Viewer?action=UPDATE&amp;creator=factset&amp;DYN_ARGS=TRUE&amp;DOC_NAME=FAT:FQL_AUDITING_CLIENT_TEMPLATE.FAT&amp;display_string=Audit&amp;VAR:KEY=BOLORIBMTM&amp;VAR:QUERY=RkZfRUJJVERBX0lCKCdMVE1TJyw0MDA0MCk=&amp;WINDOW=FIRST_POPUP&amp;HEIGHT=450&amp;WIDTH=450&amp;START_MA","XIMIZED=FALSE&amp;VAR:CALENDAR=US&amp;VAR:SYMBOL=05614P10&amp;VAR:INDEX=0"}</definedName>
    <definedName name="_2018__FDSAUDITLINK__" localSheetId="6" hidden="1">{"fdsup://directions/FAT Viewer?action=UPDATE&amp;creator=factset&amp;DYN_ARGS=TRUE&amp;DOC_NAME=FAT:FQL_AUDITING_CLIENT_TEMPLATE.FAT&amp;display_string=Audit&amp;VAR:KEY=ZUFSBQRYHI&amp;VAR:QUERY=RkZfRUJJVERBX0lCKCdMVE1TJyw0MDAzOSk=&amp;WINDOW=FIRST_POPUP&amp;HEIGHT=450&amp;WIDTH=450&amp;START_MA","XIMIZED=FALSE&amp;VAR:CALENDAR=US&amp;VAR:SYMBOL=05614P10&amp;VAR:INDEX=0"}</definedName>
    <definedName name="_2018__FDSAUDITLINK__" hidden="1">{"fdsup://directions/FAT Viewer?action=UPDATE&amp;creator=factset&amp;DYN_ARGS=TRUE&amp;DOC_NAME=FAT:FQL_AUDITING_CLIENT_TEMPLATE.FAT&amp;display_string=Audit&amp;VAR:KEY=ZUFSBQRYHI&amp;VAR:QUERY=RkZfRUJJVERBX0lCKCdMVE1TJyw0MDAzOSk=&amp;WINDOW=FIRST_POPUP&amp;HEIGHT=450&amp;WIDTH=450&amp;START_MA","XIMIZED=FALSE&amp;VAR:CALENDAR=US&amp;VAR:SYMBOL=05614P10&amp;VAR:INDEX=0"}</definedName>
    <definedName name="_2019__FDSAUDITLINK__" localSheetId="6" hidden="1">{"fdsup://directions/FAT Viewer?action=UPDATE&amp;creator=factset&amp;DYN_ARGS=TRUE&amp;DOC_NAME=FAT:FQL_AUDITING_CLIENT_TEMPLATE.FAT&amp;display_string=Audit&amp;VAR:KEY=VENAZCFAPO&amp;VAR:QUERY=RkZfRUJJVERBX0lCKCdMVE1TJyw0MDAzOCk=&amp;WINDOW=FIRST_POPUP&amp;HEIGHT=450&amp;WIDTH=450&amp;START_MA","XIMIZED=FALSE&amp;VAR:CALENDAR=US&amp;VAR:SYMBOL=05614P10&amp;VAR:INDEX=0"}</definedName>
    <definedName name="_2019__FDSAUDITLINK__" hidden="1">{"fdsup://directions/FAT Viewer?action=UPDATE&amp;creator=factset&amp;DYN_ARGS=TRUE&amp;DOC_NAME=FAT:FQL_AUDITING_CLIENT_TEMPLATE.FAT&amp;display_string=Audit&amp;VAR:KEY=VENAZCFAPO&amp;VAR:QUERY=RkZfRUJJVERBX0lCKCdMVE1TJyw0MDAzOCk=&amp;WINDOW=FIRST_POPUP&amp;HEIGHT=450&amp;WIDTH=450&amp;START_MA","XIMIZED=FALSE&amp;VAR:CALENDAR=US&amp;VAR:SYMBOL=05614P10&amp;VAR:INDEX=0"}</definedName>
    <definedName name="_202__FDSAUDITLINK__" localSheetId="6" hidden="1">{"fdsup://directions/FAT%20Viewer?VAR:PED=LTM&amp;VAR:AUDIT_MODE=SUMMARY&amp;VAR:PERIOD=FIXED&amp;VAR:AUDIT_ID=00000117&amp;VAR:DATE=20090803&amp;action=UPDATE&amp;creator=factset&amp;DOC_NAME=FAT:FMA_audit_SUMMARY.fat&amp;DISPLAY_STRING=Display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2__FDSAUDITLINK__" hidden="1">{"fdsup://directions/FAT%20Viewer?VAR:PED=LTM&amp;VAR:AUDIT_MODE=SUMMARY&amp;VAR:PERIOD=FIXED&amp;VAR:AUDIT_ID=00000117&amp;VAR:DATE=20090803&amp;action=UPDATE&amp;creator=factset&amp;DOC_NAME=FAT:FMA_audit_SUMMARY.fat&amp;DISPLAY_STRING=Display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20__FDSAUDITLINK__" localSheetId="6" hidden="1">{"fdsup://directions/FAT Viewer?action=UPDATE&amp;creator=factset&amp;DYN_ARGS=TRUE&amp;DOC_NAME=FAT:FQL_AUDITING_CLIENT_TEMPLATE.FAT&amp;display_string=Audit&amp;VAR:KEY=XOTIRMPURC&amp;VAR:QUERY=RkZfRUJJVERBX0lCKCdMVE1TJyw0MDAzNyk=&amp;WINDOW=FIRST_POPUP&amp;HEIGHT=450&amp;WIDTH=450&amp;START_MA","XIMIZED=FALSE&amp;VAR:CALENDAR=US&amp;VAR:SYMBOL=05614P10&amp;VAR:INDEX=0"}</definedName>
    <definedName name="_2020__FDSAUDITLINK__" hidden="1">{"fdsup://directions/FAT Viewer?action=UPDATE&amp;creator=factset&amp;DYN_ARGS=TRUE&amp;DOC_NAME=FAT:FQL_AUDITING_CLIENT_TEMPLATE.FAT&amp;display_string=Audit&amp;VAR:KEY=XOTIRMPURC&amp;VAR:QUERY=RkZfRUJJVERBX0lCKCdMVE1TJyw0MDAzNyk=&amp;WINDOW=FIRST_POPUP&amp;HEIGHT=450&amp;WIDTH=450&amp;START_MA","XIMIZED=FALSE&amp;VAR:CALENDAR=US&amp;VAR:SYMBOL=05614P10&amp;VAR:INDEX=0"}</definedName>
    <definedName name="_2021__FDSAUDITLINK__" localSheetId="6" hidden="1">{"fdsup://directions/FAT Viewer?action=UPDATE&amp;creator=factset&amp;DYN_ARGS=TRUE&amp;DOC_NAME=FAT:FQL_AUDITING_CLIENT_TEMPLATE.FAT&amp;display_string=Audit&amp;VAR:KEY=ROTKJWDQNE&amp;VAR:QUERY=RkZfRUJJVERBX0lCKCdMVE1TJyw0MDAzNik=&amp;WINDOW=FIRST_POPUP&amp;HEIGHT=450&amp;WIDTH=450&amp;START_MA","XIMIZED=FALSE&amp;VAR:CALENDAR=US&amp;VAR:SYMBOL=05614P10&amp;VAR:INDEX=0"}</definedName>
    <definedName name="_2021__FDSAUDITLINK__" hidden="1">{"fdsup://directions/FAT Viewer?action=UPDATE&amp;creator=factset&amp;DYN_ARGS=TRUE&amp;DOC_NAME=FAT:FQL_AUDITING_CLIENT_TEMPLATE.FAT&amp;display_string=Audit&amp;VAR:KEY=ROTKJWDQNE&amp;VAR:QUERY=RkZfRUJJVERBX0lCKCdMVE1TJyw0MDAzNik=&amp;WINDOW=FIRST_POPUP&amp;HEIGHT=450&amp;WIDTH=450&amp;START_MA","XIMIZED=FALSE&amp;VAR:CALENDAR=US&amp;VAR:SYMBOL=05614P10&amp;VAR:INDEX=0"}</definedName>
    <definedName name="_2022__FDSAUDITLINK__" localSheetId="6" hidden="1">{"fdsup://directions/FAT Viewer?action=UPDATE&amp;creator=factset&amp;DYN_ARGS=TRUE&amp;DOC_NAME=FAT:FQL_AUDITING_CLIENT_TEMPLATE.FAT&amp;display_string=Audit&amp;VAR:KEY=XARQZMTIPK&amp;VAR:QUERY=RkZfRUJJVERBX0lCKCdMVE1TJyw0MDAzNSk=&amp;WINDOW=FIRST_POPUP&amp;HEIGHT=450&amp;WIDTH=450&amp;START_MA","XIMIZED=FALSE&amp;VAR:CALENDAR=US&amp;VAR:SYMBOL=05614P10&amp;VAR:INDEX=0"}</definedName>
    <definedName name="_2022__FDSAUDITLINK__" hidden="1">{"fdsup://directions/FAT Viewer?action=UPDATE&amp;creator=factset&amp;DYN_ARGS=TRUE&amp;DOC_NAME=FAT:FQL_AUDITING_CLIENT_TEMPLATE.FAT&amp;display_string=Audit&amp;VAR:KEY=XARQZMTIPK&amp;VAR:QUERY=RkZfRUJJVERBX0lCKCdMVE1TJyw0MDAzNSk=&amp;WINDOW=FIRST_POPUP&amp;HEIGHT=450&amp;WIDTH=450&amp;START_MA","XIMIZED=FALSE&amp;VAR:CALENDAR=US&amp;VAR:SYMBOL=05614P10&amp;VAR:INDEX=0"}</definedName>
    <definedName name="_2023__FDSAUDITLINK__" localSheetId="6" hidden="1">{"fdsup://directions/FAT Viewer?action=UPDATE&amp;creator=factset&amp;DYN_ARGS=TRUE&amp;DOC_NAME=FAT:FQL_AUDITING_CLIENT_TEMPLATE.FAT&amp;display_string=Audit&amp;VAR:KEY=PCVQBOLGDI&amp;VAR:QUERY=RkZfRUJJVERBX0lCKCdMVE1TJyw0MDAzNCk=&amp;WINDOW=FIRST_POPUP&amp;HEIGHT=450&amp;WIDTH=450&amp;START_MA","XIMIZED=FALSE&amp;VAR:CALENDAR=US&amp;VAR:SYMBOL=05614P10&amp;VAR:INDEX=0"}</definedName>
    <definedName name="_2023__FDSAUDITLINK__" hidden="1">{"fdsup://directions/FAT Viewer?action=UPDATE&amp;creator=factset&amp;DYN_ARGS=TRUE&amp;DOC_NAME=FAT:FQL_AUDITING_CLIENT_TEMPLATE.FAT&amp;display_string=Audit&amp;VAR:KEY=PCVQBOLGDI&amp;VAR:QUERY=RkZfRUJJVERBX0lCKCdMVE1TJyw0MDAzNCk=&amp;WINDOW=FIRST_POPUP&amp;HEIGHT=450&amp;WIDTH=450&amp;START_MA","XIMIZED=FALSE&amp;VAR:CALENDAR=US&amp;VAR:SYMBOL=05614P10&amp;VAR:INDEX=0"}</definedName>
    <definedName name="_2024__FDSAUDITLINK__" localSheetId="6" hidden="1">{"fdsup://directions/FAT Viewer?action=UPDATE&amp;creator=factset&amp;DYN_ARGS=TRUE&amp;DOC_NAME=FAT:FQL_AUDITING_CLIENT_TEMPLATE.FAT&amp;display_string=Audit&amp;VAR:KEY=DKTGZEPAPQ&amp;VAR:QUERY=RkZfRUJJVERBX0lCKCdMVE1TJyw0MDAzMyk=&amp;WINDOW=FIRST_POPUP&amp;HEIGHT=450&amp;WIDTH=450&amp;START_MA","XIMIZED=FALSE&amp;VAR:CALENDAR=US&amp;VAR:SYMBOL=05614P10&amp;VAR:INDEX=0"}</definedName>
    <definedName name="_2024__FDSAUDITLINK__" hidden="1">{"fdsup://directions/FAT Viewer?action=UPDATE&amp;creator=factset&amp;DYN_ARGS=TRUE&amp;DOC_NAME=FAT:FQL_AUDITING_CLIENT_TEMPLATE.FAT&amp;display_string=Audit&amp;VAR:KEY=DKTGZEPAPQ&amp;VAR:QUERY=RkZfRUJJVERBX0lCKCdMVE1TJyw0MDAzMyk=&amp;WINDOW=FIRST_POPUP&amp;HEIGHT=450&amp;WIDTH=450&amp;START_MA","XIMIZED=FALSE&amp;VAR:CALENDAR=US&amp;VAR:SYMBOL=05614P10&amp;VAR:INDEX=0"}</definedName>
    <definedName name="_2025__FDSAUDITLINK__" localSheetId="6" hidden="1">{"fdsup://directions/FAT Viewer?action=UPDATE&amp;creator=factset&amp;DYN_ARGS=TRUE&amp;DOC_NAME=FAT:FQL_AUDITING_CLIENT_TEMPLATE.FAT&amp;display_string=Audit&amp;VAR:KEY=NMXETGTUTY&amp;VAR:QUERY=RkZfRUJJVERBX0lCKCdMVE1TJyw0MDAzMik=&amp;WINDOW=FIRST_POPUP&amp;HEIGHT=450&amp;WIDTH=450&amp;START_MA","XIMIZED=FALSE&amp;VAR:CALENDAR=US&amp;VAR:SYMBOL=05614P10&amp;VAR:INDEX=0"}</definedName>
    <definedName name="_2025__FDSAUDITLINK__" hidden="1">{"fdsup://directions/FAT Viewer?action=UPDATE&amp;creator=factset&amp;DYN_ARGS=TRUE&amp;DOC_NAME=FAT:FQL_AUDITING_CLIENT_TEMPLATE.FAT&amp;display_string=Audit&amp;VAR:KEY=NMXETGTUTY&amp;VAR:QUERY=RkZfRUJJVERBX0lCKCdMVE1TJyw0MDAzMik=&amp;WINDOW=FIRST_POPUP&amp;HEIGHT=450&amp;WIDTH=450&amp;START_MA","XIMIZED=FALSE&amp;VAR:CALENDAR=US&amp;VAR:SYMBOL=05614P10&amp;VAR:INDEX=0"}</definedName>
    <definedName name="_2026__FDSAUDITLINK__" localSheetId="6" hidden="1">{"fdsup://directions/FAT Viewer?action=UPDATE&amp;creator=factset&amp;DYN_ARGS=TRUE&amp;DOC_NAME=FAT:FQL_AUDITING_CLIENT_TEMPLATE.FAT&amp;display_string=Audit&amp;VAR:KEY=JYHEFWDYFM&amp;VAR:QUERY=RkZfRUJJVERBX0lCKCdMVE1TJyw0MDAzMSk=&amp;WINDOW=FIRST_POPUP&amp;HEIGHT=450&amp;WIDTH=450&amp;START_MA","XIMIZED=FALSE&amp;VAR:CALENDAR=US&amp;VAR:SYMBOL=05614P10&amp;VAR:INDEX=0"}</definedName>
    <definedName name="_2026__FDSAUDITLINK__" hidden="1">{"fdsup://directions/FAT Viewer?action=UPDATE&amp;creator=factset&amp;DYN_ARGS=TRUE&amp;DOC_NAME=FAT:FQL_AUDITING_CLIENT_TEMPLATE.FAT&amp;display_string=Audit&amp;VAR:KEY=JYHEFWDYFM&amp;VAR:QUERY=RkZfRUJJVERBX0lCKCdMVE1TJyw0MDAzMSk=&amp;WINDOW=FIRST_POPUP&amp;HEIGHT=450&amp;WIDTH=450&amp;START_MA","XIMIZED=FALSE&amp;VAR:CALENDAR=US&amp;VAR:SYMBOL=05614P10&amp;VAR:INDEX=0"}</definedName>
    <definedName name="_2027__FDSAUDITLINK__" localSheetId="6" hidden="1">{"fdsup://directions/FAT Viewer?action=UPDATE&amp;creator=factset&amp;DYN_ARGS=TRUE&amp;DOC_NAME=FAT:FQL_AUDITING_CLIENT_TEMPLATE.FAT&amp;display_string=Audit&amp;VAR:KEY=BATQZSDKTQ&amp;VAR:QUERY=RkZfRUJJVERBX0lCKCdMVE1TJyw0MDAzMCk=&amp;WINDOW=FIRST_POPUP&amp;HEIGHT=450&amp;WIDTH=450&amp;START_MA","XIMIZED=FALSE&amp;VAR:CALENDAR=US&amp;VAR:SYMBOL=05614P10&amp;VAR:INDEX=0"}</definedName>
    <definedName name="_2027__FDSAUDITLINK__" hidden="1">{"fdsup://directions/FAT Viewer?action=UPDATE&amp;creator=factset&amp;DYN_ARGS=TRUE&amp;DOC_NAME=FAT:FQL_AUDITING_CLIENT_TEMPLATE.FAT&amp;display_string=Audit&amp;VAR:KEY=BATQZSDKTQ&amp;VAR:QUERY=RkZfRUJJVERBX0lCKCdMVE1TJyw0MDAzMCk=&amp;WINDOW=FIRST_POPUP&amp;HEIGHT=450&amp;WIDTH=450&amp;START_MA","XIMIZED=FALSE&amp;VAR:CALENDAR=US&amp;VAR:SYMBOL=05614P10&amp;VAR:INDEX=0"}</definedName>
    <definedName name="_2028__FDSAUDITLINK__" localSheetId="6" hidden="1">{"fdsup://directions/FAT Viewer?action=UPDATE&amp;creator=factset&amp;DYN_ARGS=TRUE&amp;DOC_NAME=FAT:FQL_AUDITING_CLIENT_TEMPLATE.FAT&amp;display_string=Audit&amp;VAR:KEY=DSXYXMDAFC&amp;VAR:QUERY=RkZfRUJJVERBX0lCKCdMVE1TJyw0MDAyOSk=&amp;WINDOW=FIRST_POPUP&amp;HEIGHT=450&amp;WIDTH=450&amp;START_MA","XIMIZED=FALSE&amp;VAR:CALENDAR=US&amp;VAR:SYMBOL=05614P10&amp;VAR:INDEX=0"}</definedName>
    <definedName name="_2028__FDSAUDITLINK__" hidden="1">{"fdsup://directions/FAT Viewer?action=UPDATE&amp;creator=factset&amp;DYN_ARGS=TRUE&amp;DOC_NAME=FAT:FQL_AUDITING_CLIENT_TEMPLATE.FAT&amp;display_string=Audit&amp;VAR:KEY=DSXYXMDAFC&amp;VAR:QUERY=RkZfRUJJVERBX0lCKCdMVE1TJyw0MDAyOSk=&amp;WINDOW=FIRST_POPUP&amp;HEIGHT=450&amp;WIDTH=450&amp;START_MA","XIMIZED=FALSE&amp;VAR:CALENDAR=US&amp;VAR:SYMBOL=05614P10&amp;VAR:INDEX=0"}</definedName>
    <definedName name="_2029__FDSAUDITLINK__" localSheetId="6" hidden="1">{"fdsup://directions/FAT Viewer?action=UPDATE&amp;creator=factset&amp;DYN_ARGS=TRUE&amp;DOC_NAME=FAT:FQL_AUDITING_CLIENT_TEMPLATE.FAT&amp;display_string=Audit&amp;VAR:KEY=XCLGLWXOZI&amp;VAR:QUERY=RkZfRUJJVERBX0lCKCdMVE1TJyw0MDAyOCk=&amp;WINDOW=FIRST_POPUP&amp;HEIGHT=450&amp;WIDTH=450&amp;START_MA","XIMIZED=FALSE&amp;VAR:CALENDAR=US&amp;VAR:SYMBOL=05614P10&amp;VAR:INDEX=0"}</definedName>
    <definedName name="_2029__FDSAUDITLINK__" hidden="1">{"fdsup://directions/FAT Viewer?action=UPDATE&amp;creator=factset&amp;DYN_ARGS=TRUE&amp;DOC_NAME=FAT:FQL_AUDITING_CLIENT_TEMPLATE.FAT&amp;display_string=Audit&amp;VAR:KEY=XCLGLWXOZI&amp;VAR:QUERY=RkZfRUJJVERBX0lCKCdMVE1TJyw0MDAyOCk=&amp;WINDOW=FIRST_POPUP&amp;HEIGHT=450&amp;WIDTH=450&amp;START_MA","XIMIZED=FALSE&amp;VAR:CALENDAR=US&amp;VAR:SYMBOL=05614P10&amp;VAR:INDEX=0"}</definedName>
    <definedName name="_203__FDSAUDITLINK__" localSheetId="6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3__FDSAUDITLINK__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30__FDSAUDITLINK__" localSheetId="6" hidden="1">{"fdsup://directions/FAT Viewer?action=UPDATE&amp;creator=factset&amp;DYN_ARGS=TRUE&amp;DOC_NAME=FAT:FQL_AUDITING_CLIENT_TEMPLATE.FAT&amp;display_string=Audit&amp;VAR:KEY=RELSFAZCJU&amp;VAR:QUERY=RkZfRUJJVERBX0lCKCdMVE1TJyw0MDAyNyk=&amp;WINDOW=FIRST_POPUP&amp;HEIGHT=450&amp;WIDTH=450&amp;START_MA","XIMIZED=FALSE&amp;VAR:CALENDAR=US&amp;VAR:SYMBOL=05614P10&amp;VAR:INDEX=0"}</definedName>
    <definedName name="_2030__FDSAUDITLINK__" hidden="1">{"fdsup://directions/FAT Viewer?action=UPDATE&amp;creator=factset&amp;DYN_ARGS=TRUE&amp;DOC_NAME=FAT:FQL_AUDITING_CLIENT_TEMPLATE.FAT&amp;display_string=Audit&amp;VAR:KEY=RELSFAZCJU&amp;VAR:QUERY=RkZfRUJJVERBX0lCKCdMVE1TJyw0MDAyNyk=&amp;WINDOW=FIRST_POPUP&amp;HEIGHT=450&amp;WIDTH=450&amp;START_MA","XIMIZED=FALSE&amp;VAR:CALENDAR=US&amp;VAR:SYMBOL=05614P10&amp;VAR:INDEX=0"}</definedName>
    <definedName name="_2031__FDSAUDITLINK__" localSheetId="6" hidden="1">{"fdsup://directions/FAT Viewer?action=UPDATE&amp;creator=factset&amp;DYN_ARGS=TRUE&amp;DOC_NAME=FAT:FQL_AUDITING_CLIENT_TEMPLATE.FAT&amp;display_string=Audit&amp;VAR:KEY=VEPUDOLQRA&amp;VAR:QUERY=RkZfRUJJVERBX0lCKCdMVE1TJyw0MDAyNik=&amp;WINDOW=FIRST_POPUP&amp;HEIGHT=450&amp;WIDTH=450&amp;START_MA","XIMIZED=FALSE&amp;VAR:CALENDAR=US&amp;VAR:SYMBOL=05614P10&amp;VAR:INDEX=0"}</definedName>
    <definedName name="_2031__FDSAUDITLINK__" hidden="1">{"fdsup://directions/FAT Viewer?action=UPDATE&amp;creator=factset&amp;DYN_ARGS=TRUE&amp;DOC_NAME=FAT:FQL_AUDITING_CLIENT_TEMPLATE.FAT&amp;display_string=Audit&amp;VAR:KEY=VEPUDOLQRA&amp;VAR:QUERY=RkZfRUJJVERBX0lCKCdMVE1TJyw0MDAyNik=&amp;WINDOW=FIRST_POPUP&amp;HEIGHT=450&amp;WIDTH=450&amp;START_MA","XIMIZED=FALSE&amp;VAR:CALENDAR=US&amp;VAR:SYMBOL=05614P10&amp;VAR:INDEX=0"}</definedName>
    <definedName name="_2032__FDSAUDITLINK__" localSheetId="6" hidden="1">{"fdsup://directions/FAT Viewer?action=UPDATE&amp;creator=factset&amp;DYN_ARGS=TRUE&amp;DOC_NAME=FAT:FQL_AUDITING_CLIENT_TEMPLATE.FAT&amp;display_string=Audit&amp;VAR:KEY=FKNAHWXALY&amp;VAR:QUERY=RkZfRUJJVERBX0lCKCdMVE1TJyw0MDAyNSk=&amp;WINDOW=FIRST_POPUP&amp;HEIGHT=450&amp;WIDTH=450&amp;START_MA","XIMIZED=FALSE&amp;VAR:CALENDAR=US&amp;VAR:SYMBOL=05614P10&amp;VAR:INDEX=0"}</definedName>
    <definedName name="_2032__FDSAUDITLINK__" hidden="1">{"fdsup://directions/FAT Viewer?action=UPDATE&amp;creator=factset&amp;DYN_ARGS=TRUE&amp;DOC_NAME=FAT:FQL_AUDITING_CLIENT_TEMPLATE.FAT&amp;display_string=Audit&amp;VAR:KEY=FKNAHWXALY&amp;VAR:QUERY=RkZfRUJJVERBX0lCKCdMVE1TJyw0MDAyNSk=&amp;WINDOW=FIRST_POPUP&amp;HEIGHT=450&amp;WIDTH=450&amp;START_MA","XIMIZED=FALSE&amp;VAR:CALENDAR=US&amp;VAR:SYMBOL=05614P10&amp;VAR:INDEX=0"}</definedName>
    <definedName name="_2033__FDSAUDITLINK__" localSheetId="6" hidden="1">{"fdsup://directions/FAT Viewer?action=UPDATE&amp;creator=factset&amp;DYN_ARGS=TRUE&amp;DOC_NAME=FAT:FQL_AUDITING_CLIENT_TEMPLATE.FAT&amp;display_string=Audit&amp;VAR:KEY=VOPCFIXOFW&amp;VAR:QUERY=RkZfRUJJVERBX0lCKCdMVE1TJyw0MDAyNCk=&amp;WINDOW=FIRST_POPUP&amp;HEIGHT=450&amp;WIDTH=450&amp;START_MA","XIMIZED=FALSE&amp;VAR:CALENDAR=US&amp;VAR:SYMBOL=05614P10&amp;VAR:INDEX=0"}</definedName>
    <definedName name="_2033__FDSAUDITLINK__" hidden="1">{"fdsup://directions/FAT Viewer?action=UPDATE&amp;creator=factset&amp;DYN_ARGS=TRUE&amp;DOC_NAME=FAT:FQL_AUDITING_CLIENT_TEMPLATE.FAT&amp;display_string=Audit&amp;VAR:KEY=VOPCFIXOFW&amp;VAR:QUERY=RkZfRUJJVERBX0lCKCdMVE1TJyw0MDAyNCk=&amp;WINDOW=FIRST_POPUP&amp;HEIGHT=450&amp;WIDTH=450&amp;START_MA","XIMIZED=FALSE&amp;VAR:CALENDAR=US&amp;VAR:SYMBOL=05614P10&amp;VAR:INDEX=0"}</definedName>
    <definedName name="_2034__FDSAUDITLINK__" localSheetId="6" hidden="1">{"fdsup://directions/FAT Viewer?action=UPDATE&amp;creator=factset&amp;DYN_ARGS=TRUE&amp;DOC_NAME=FAT:FQL_AUDITING_CLIENT_TEMPLATE.FAT&amp;display_string=Audit&amp;VAR:KEY=RIPGFSFSZC&amp;VAR:QUERY=RkZfRUJJVERBX0lCKCdMVE1TJyw0MDAyMyk=&amp;WINDOW=FIRST_POPUP&amp;HEIGHT=450&amp;WIDTH=450&amp;START_MA","XIMIZED=FALSE&amp;VAR:CALENDAR=US&amp;VAR:SYMBOL=05614P10&amp;VAR:INDEX=0"}</definedName>
    <definedName name="_2034__FDSAUDITLINK__" hidden="1">{"fdsup://directions/FAT Viewer?action=UPDATE&amp;creator=factset&amp;DYN_ARGS=TRUE&amp;DOC_NAME=FAT:FQL_AUDITING_CLIENT_TEMPLATE.FAT&amp;display_string=Audit&amp;VAR:KEY=RIPGFSFSZC&amp;VAR:QUERY=RkZfRUJJVERBX0lCKCdMVE1TJyw0MDAyMyk=&amp;WINDOW=FIRST_POPUP&amp;HEIGHT=450&amp;WIDTH=450&amp;START_MA","XIMIZED=FALSE&amp;VAR:CALENDAR=US&amp;VAR:SYMBOL=05614P10&amp;VAR:INDEX=0"}</definedName>
    <definedName name="_2035__FDSAUDITLINK__" localSheetId="6" hidden="1">{"fdsup://directions/FAT Viewer?action=UPDATE&amp;creator=factset&amp;DYN_ARGS=TRUE&amp;DOC_NAME=FAT:FQL_AUDITING_CLIENT_TEMPLATE.FAT&amp;display_string=Audit&amp;VAR:KEY=ZAJAXMDCBW&amp;VAR:QUERY=RkZfRUJJVERBX0lCKCdMVE1TJyw0MDAyMik=&amp;WINDOW=FIRST_POPUP&amp;HEIGHT=450&amp;WIDTH=450&amp;START_MA","XIMIZED=FALSE&amp;VAR:CALENDAR=US&amp;VAR:SYMBOL=05614P10&amp;VAR:INDEX=0"}</definedName>
    <definedName name="_2035__FDSAUDITLINK__" hidden="1">{"fdsup://directions/FAT Viewer?action=UPDATE&amp;creator=factset&amp;DYN_ARGS=TRUE&amp;DOC_NAME=FAT:FQL_AUDITING_CLIENT_TEMPLATE.FAT&amp;display_string=Audit&amp;VAR:KEY=ZAJAXMDCBW&amp;VAR:QUERY=RkZfRUJJVERBX0lCKCdMVE1TJyw0MDAyMik=&amp;WINDOW=FIRST_POPUP&amp;HEIGHT=450&amp;WIDTH=450&amp;START_MA","XIMIZED=FALSE&amp;VAR:CALENDAR=US&amp;VAR:SYMBOL=05614P10&amp;VAR:INDEX=0"}</definedName>
    <definedName name="_2036__FDSAUDITLINK__" localSheetId="6" hidden="1">{"fdsup://directions/FAT Viewer?action=UPDATE&amp;creator=factset&amp;DYN_ARGS=TRUE&amp;DOC_NAME=FAT:FQL_AUDITING_CLIENT_TEMPLATE.FAT&amp;display_string=Audit&amp;VAR:KEY=NSHIHGBYHY&amp;VAR:QUERY=RkZfRUJJVERBX0lCKCdMVE1TJyw0MDAyMSk=&amp;WINDOW=FIRST_POPUP&amp;HEIGHT=450&amp;WIDTH=450&amp;START_MA","XIMIZED=FALSE&amp;VAR:CALENDAR=US&amp;VAR:SYMBOL=05614P10&amp;VAR:INDEX=0"}</definedName>
    <definedName name="_2036__FDSAUDITLINK__" hidden="1">{"fdsup://directions/FAT Viewer?action=UPDATE&amp;creator=factset&amp;DYN_ARGS=TRUE&amp;DOC_NAME=FAT:FQL_AUDITING_CLIENT_TEMPLATE.FAT&amp;display_string=Audit&amp;VAR:KEY=NSHIHGBYHY&amp;VAR:QUERY=RkZfRUJJVERBX0lCKCdMVE1TJyw0MDAyMSk=&amp;WINDOW=FIRST_POPUP&amp;HEIGHT=450&amp;WIDTH=450&amp;START_MA","XIMIZED=FALSE&amp;VAR:CALENDAR=US&amp;VAR:SYMBOL=05614P10&amp;VAR:INDEX=0"}</definedName>
    <definedName name="_2037__FDSAUDITLINK__" localSheetId="6" hidden="1">{"fdsup://directions/FAT Viewer?action=UPDATE&amp;creator=factset&amp;DYN_ARGS=TRUE&amp;DOC_NAME=FAT:FQL_AUDITING_CLIENT_TEMPLATE.FAT&amp;display_string=Audit&amp;VAR:KEY=XETMXEFCHO&amp;VAR:QUERY=RkZfRUJJVERBX0lCKCdMVE1TJyw0MDAyMCk=&amp;WINDOW=FIRST_POPUP&amp;HEIGHT=450&amp;WIDTH=450&amp;START_MA","XIMIZED=FALSE&amp;VAR:CALENDAR=US&amp;VAR:SYMBOL=05614P10&amp;VAR:INDEX=0"}</definedName>
    <definedName name="_2037__FDSAUDITLINK__" hidden="1">{"fdsup://directions/FAT Viewer?action=UPDATE&amp;creator=factset&amp;DYN_ARGS=TRUE&amp;DOC_NAME=FAT:FQL_AUDITING_CLIENT_TEMPLATE.FAT&amp;display_string=Audit&amp;VAR:KEY=XETMXEFCHO&amp;VAR:QUERY=RkZfRUJJVERBX0lCKCdMVE1TJyw0MDAyMCk=&amp;WINDOW=FIRST_POPUP&amp;HEIGHT=450&amp;WIDTH=450&amp;START_MA","XIMIZED=FALSE&amp;VAR:CALENDAR=US&amp;VAR:SYMBOL=05614P10&amp;VAR:INDEX=0"}</definedName>
    <definedName name="_2038__FDSAUDITLINK__" localSheetId="6" hidden="1">{"fdsup://directions/FAT Viewer?action=UPDATE&amp;creator=factset&amp;DYN_ARGS=TRUE&amp;DOC_NAME=FAT:FQL_AUDITING_CLIENT_TEMPLATE.FAT&amp;display_string=Audit&amp;VAR:KEY=DAZUXQJQHY&amp;VAR:QUERY=RkZfRUJJVERBX0lCKCdMVE1TJyw0MDAxOSk=&amp;WINDOW=FIRST_POPUP&amp;HEIGHT=450&amp;WIDTH=450&amp;START_MA","XIMIZED=FALSE&amp;VAR:CALENDAR=US&amp;VAR:SYMBOL=05614P10&amp;VAR:INDEX=0"}</definedName>
    <definedName name="_2038__FDSAUDITLINK__" hidden="1">{"fdsup://directions/FAT Viewer?action=UPDATE&amp;creator=factset&amp;DYN_ARGS=TRUE&amp;DOC_NAME=FAT:FQL_AUDITING_CLIENT_TEMPLATE.FAT&amp;display_string=Audit&amp;VAR:KEY=DAZUXQJQHY&amp;VAR:QUERY=RkZfRUJJVERBX0lCKCdMVE1TJyw0MDAxOSk=&amp;WINDOW=FIRST_POPUP&amp;HEIGHT=450&amp;WIDTH=450&amp;START_MA","XIMIZED=FALSE&amp;VAR:CALENDAR=US&amp;VAR:SYMBOL=05614P10&amp;VAR:INDEX=0"}</definedName>
    <definedName name="_2039__FDSAUDITLINK__" localSheetId="6" hidden="1">{"fdsup://directions/FAT Viewer?action=UPDATE&amp;creator=factset&amp;DYN_ARGS=TRUE&amp;DOC_NAME=FAT:FQL_AUDITING_CLIENT_TEMPLATE.FAT&amp;display_string=Audit&amp;VAR:KEY=TYRIHCZIZA&amp;VAR:QUERY=RkZfRUJJVERBX0lCKCdMVE1TJyw0MDAxOCk=&amp;WINDOW=FIRST_POPUP&amp;HEIGHT=450&amp;WIDTH=450&amp;START_MA","XIMIZED=FALSE&amp;VAR:CALENDAR=US&amp;VAR:SYMBOL=05614P10&amp;VAR:INDEX=0"}</definedName>
    <definedName name="_2039__FDSAUDITLINK__" hidden="1">{"fdsup://directions/FAT Viewer?action=UPDATE&amp;creator=factset&amp;DYN_ARGS=TRUE&amp;DOC_NAME=FAT:FQL_AUDITING_CLIENT_TEMPLATE.FAT&amp;display_string=Audit&amp;VAR:KEY=TYRIHCZIZA&amp;VAR:QUERY=RkZfRUJJVERBX0lCKCdMVE1TJyw0MDAxOCk=&amp;WINDOW=FIRST_POPUP&amp;HEIGHT=450&amp;WIDTH=450&amp;START_MA","XIMIZED=FALSE&amp;VAR:CALENDAR=US&amp;VAR:SYMBOL=05614P10&amp;VAR:INDEX=0"}</definedName>
    <definedName name="_204__FDSAUDITLINK__" localSheetId="6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4__FDSAUDITLINK__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40__FDSAUDITLINK__" localSheetId="6" hidden="1">{"fdsup://directions/FAT Viewer?action=UPDATE&amp;creator=factset&amp;DYN_ARGS=TRUE&amp;DOC_NAME=FAT:FQL_AUDITING_CLIENT_TEMPLATE.FAT&amp;display_string=Audit&amp;VAR:KEY=NSJCRYTUVW&amp;VAR:QUERY=RkZfRUJJVERBX0lCKCdMVE1TJyw0MDAxNyk=&amp;WINDOW=FIRST_POPUP&amp;HEIGHT=450&amp;WIDTH=450&amp;START_MA","XIMIZED=FALSE&amp;VAR:CALENDAR=US&amp;VAR:SYMBOL=05614P10&amp;VAR:INDEX=0"}</definedName>
    <definedName name="_2040__FDSAUDITLINK__" hidden="1">{"fdsup://directions/FAT Viewer?action=UPDATE&amp;creator=factset&amp;DYN_ARGS=TRUE&amp;DOC_NAME=FAT:FQL_AUDITING_CLIENT_TEMPLATE.FAT&amp;display_string=Audit&amp;VAR:KEY=NSJCRYTUVW&amp;VAR:QUERY=RkZfRUJJVERBX0lCKCdMVE1TJyw0MDAxNyk=&amp;WINDOW=FIRST_POPUP&amp;HEIGHT=450&amp;WIDTH=450&amp;START_MA","XIMIZED=FALSE&amp;VAR:CALENDAR=US&amp;VAR:SYMBOL=05614P10&amp;VAR:INDEX=0"}</definedName>
    <definedName name="_2041__FDSAUDITLINK__" localSheetId="6" hidden="1">{"fdsup://directions/FAT Viewer?action=UPDATE&amp;creator=factset&amp;DYN_ARGS=TRUE&amp;DOC_NAME=FAT:FQL_AUDITING_CLIENT_TEMPLATE.FAT&amp;display_string=Audit&amp;VAR:KEY=DQJYLKHURI&amp;VAR:QUERY=RkZfRUJJVERBX0lCKCdMVE1TJyw0MDAxNik=&amp;WINDOW=FIRST_POPUP&amp;HEIGHT=450&amp;WIDTH=450&amp;START_MA","XIMIZED=FALSE&amp;VAR:CALENDAR=US&amp;VAR:SYMBOL=05614P10&amp;VAR:INDEX=0"}</definedName>
    <definedName name="_2041__FDSAUDITLINK__" hidden="1">{"fdsup://directions/FAT Viewer?action=UPDATE&amp;creator=factset&amp;DYN_ARGS=TRUE&amp;DOC_NAME=FAT:FQL_AUDITING_CLIENT_TEMPLATE.FAT&amp;display_string=Audit&amp;VAR:KEY=DQJYLKHURI&amp;VAR:QUERY=RkZfRUJJVERBX0lCKCdMVE1TJyw0MDAxNik=&amp;WINDOW=FIRST_POPUP&amp;HEIGHT=450&amp;WIDTH=450&amp;START_MA","XIMIZED=FALSE&amp;VAR:CALENDAR=US&amp;VAR:SYMBOL=05614P10&amp;VAR:INDEX=0"}</definedName>
    <definedName name="_2042__FDSAUDITLINK__" localSheetId="6" hidden="1">{"fdsup://directions/FAT Viewer?action=UPDATE&amp;creator=factset&amp;DYN_ARGS=TRUE&amp;DOC_NAME=FAT:FQL_AUDITING_CLIENT_TEMPLATE.FAT&amp;display_string=Audit&amp;VAR:KEY=NAZGROXMLM&amp;VAR:QUERY=RkZfRUJJVERBX0lCKCdMVE1TJyw0MDAxNSk=&amp;WINDOW=FIRST_POPUP&amp;HEIGHT=450&amp;WIDTH=450&amp;START_MA","XIMIZED=FALSE&amp;VAR:CALENDAR=US&amp;VAR:SYMBOL=05614P10&amp;VAR:INDEX=0"}</definedName>
    <definedName name="_2042__FDSAUDITLINK__" hidden="1">{"fdsup://directions/FAT Viewer?action=UPDATE&amp;creator=factset&amp;DYN_ARGS=TRUE&amp;DOC_NAME=FAT:FQL_AUDITING_CLIENT_TEMPLATE.FAT&amp;display_string=Audit&amp;VAR:KEY=NAZGROXMLM&amp;VAR:QUERY=RkZfRUJJVERBX0lCKCdMVE1TJyw0MDAxNSk=&amp;WINDOW=FIRST_POPUP&amp;HEIGHT=450&amp;WIDTH=450&amp;START_MA","XIMIZED=FALSE&amp;VAR:CALENDAR=US&amp;VAR:SYMBOL=05614P10&amp;VAR:INDEX=0"}</definedName>
    <definedName name="_2043__FDSAUDITLINK__" localSheetId="6" hidden="1">{"fdsup://directions/FAT Viewer?action=UPDATE&amp;creator=factset&amp;DYN_ARGS=TRUE&amp;DOC_NAME=FAT:FQL_AUDITING_CLIENT_TEMPLATE.FAT&amp;display_string=Audit&amp;VAR:KEY=RUPGRMBCVA&amp;VAR:QUERY=RkZfRUJJVERBX0lCKCdMVE1TJyw0MDAxNCk=&amp;WINDOW=FIRST_POPUP&amp;HEIGHT=450&amp;WIDTH=450&amp;START_MA","XIMIZED=FALSE&amp;VAR:CALENDAR=US&amp;VAR:SYMBOL=05614P10&amp;VAR:INDEX=0"}</definedName>
    <definedName name="_2043__FDSAUDITLINK__" hidden="1">{"fdsup://directions/FAT Viewer?action=UPDATE&amp;creator=factset&amp;DYN_ARGS=TRUE&amp;DOC_NAME=FAT:FQL_AUDITING_CLIENT_TEMPLATE.FAT&amp;display_string=Audit&amp;VAR:KEY=RUPGRMBCVA&amp;VAR:QUERY=RkZfRUJJVERBX0lCKCdMVE1TJyw0MDAxNCk=&amp;WINDOW=FIRST_POPUP&amp;HEIGHT=450&amp;WIDTH=450&amp;START_MA","XIMIZED=FALSE&amp;VAR:CALENDAR=US&amp;VAR:SYMBOL=05614P10&amp;VAR:INDEX=0"}</definedName>
    <definedName name="_2044__FDSAUDITLINK__" localSheetId="6" hidden="1">{"fdsup://directions/FAT Viewer?action=UPDATE&amp;creator=factset&amp;DYN_ARGS=TRUE&amp;DOC_NAME=FAT:FQL_AUDITING_CLIENT_TEMPLATE.FAT&amp;display_string=Audit&amp;VAR:KEY=HCLWTODEBS&amp;VAR:QUERY=RkZfRUJJVERBX0lCKCdMVE1TJyw0MDAxMyk=&amp;WINDOW=FIRST_POPUP&amp;HEIGHT=450&amp;WIDTH=450&amp;START_MA","XIMIZED=FALSE&amp;VAR:CALENDAR=US&amp;VAR:SYMBOL=05614P10&amp;VAR:INDEX=0"}</definedName>
    <definedName name="_2044__FDSAUDITLINK__" hidden="1">{"fdsup://directions/FAT Viewer?action=UPDATE&amp;creator=factset&amp;DYN_ARGS=TRUE&amp;DOC_NAME=FAT:FQL_AUDITING_CLIENT_TEMPLATE.FAT&amp;display_string=Audit&amp;VAR:KEY=HCLWTODEBS&amp;VAR:QUERY=RkZfRUJJVERBX0lCKCdMVE1TJyw0MDAxMyk=&amp;WINDOW=FIRST_POPUP&amp;HEIGHT=450&amp;WIDTH=450&amp;START_MA","XIMIZED=FALSE&amp;VAR:CALENDAR=US&amp;VAR:SYMBOL=05614P10&amp;VAR:INDEX=0"}</definedName>
    <definedName name="_2045__FDSAUDITLINK__" localSheetId="6" hidden="1">{"fdsup://directions/FAT Viewer?action=UPDATE&amp;creator=factset&amp;DYN_ARGS=TRUE&amp;DOC_NAME=FAT:FQL_AUDITING_CLIENT_TEMPLATE.FAT&amp;display_string=Audit&amp;VAR:KEY=FUJOFSJGRQ&amp;VAR:QUERY=RkZfRUJJVERBX0lCKCdMVE1TJyw0MDAxMik=&amp;WINDOW=FIRST_POPUP&amp;HEIGHT=450&amp;WIDTH=450&amp;START_MA","XIMIZED=FALSE&amp;VAR:CALENDAR=US&amp;VAR:SYMBOL=05614P10&amp;VAR:INDEX=0"}</definedName>
    <definedName name="_2045__FDSAUDITLINK__" hidden="1">{"fdsup://directions/FAT Viewer?action=UPDATE&amp;creator=factset&amp;DYN_ARGS=TRUE&amp;DOC_NAME=FAT:FQL_AUDITING_CLIENT_TEMPLATE.FAT&amp;display_string=Audit&amp;VAR:KEY=FUJOFSJGRQ&amp;VAR:QUERY=RkZfRUJJVERBX0lCKCdMVE1TJyw0MDAxMik=&amp;WINDOW=FIRST_POPUP&amp;HEIGHT=450&amp;WIDTH=450&amp;START_MA","XIMIZED=FALSE&amp;VAR:CALENDAR=US&amp;VAR:SYMBOL=05614P10&amp;VAR:INDEX=0"}</definedName>
    <definedName name="_2046__FDSAUDITLINK__" localSheetId="6" hidden="1">{"fdsup://directions/FAT Viewer?action=UPDATE&amp;creator=factset&amp;DYN_ARGS=TRUE&amp;DOC_NAME=FAT:FQL_AUDITING_CLIENT_TEMPLATE.FAT&amp;display_string=Audit&amp;VAR:KEY=FKBKZWZGVK&amp;VAR:QUERY=RkZfRUJJVERBX0lCKCdMVE1TJyw0MDAxMSk=&amp;WINDOW=FIRST_POPUP&amp;HEIGHT=450&amp;WIDTH=450&amp;START_MA","XIMIZED=FALSE&amp;VAR:CALENDAR=US&amp;VAR:SYMBOL=05614P10&amp;VAR:INDEX=0"}</definedName>
    <definedName name="_2046__FDSAUDITLINK__" hidden="1">{"fdsup://directions/FAT Viewer?action=UPDATE&amp;creator=factset&amp;DYN_ARGS=TRUE&amp;DOC_NAME=FAT:FQL_AUDITING_CLIENT_TEMPLATE.FAT&amp;display_string=Audit&amp;VAR:KEY=FKBKZWZGVK&amp;VAR:QUERY=RkZfRUJJVERBX0lCKCdMVE1TJyw0MDAxMSk=&amp;WINDOW=FIRST_POPUP&amp;HEIGHT=450&amp;WIDTH=450&amp;START_MA","XIMIZED=FALSE&amp;VAR:CALENDAR=US&amp;VAR:SYMBOL=05614P10&amp;VAR:INDEX=0"}</definedName>
    <definedName name="_2047__FDSAUDITLINK__" localSheetId="6" hidden="1">{"fdsup://directions/FAT Viewer?action=UPDATE&amp;creator=factset&amp;DYN_ARGS=TRUE&amp;DOC_NAME=FAT:FQL_AUDITING_CLIENT_TEMPLATE.FAT&amp;display_string=Audit&amp;VAR:KEY=ZGBOPKTQNO&amp;VAR:QUERY=RkZfRUJJVERBX0lCKCdMVE1TJyw0MDAxMCk=&amp;WINDOW=FIRST_POPUP&amp;HEIGHT=450&amp;WIDTH=450&amp;START_MA","XIMIZED=FALSE&amp;VAR:CALENDAR=US&amp;VAR:SYMBOL=05614P10&amp;VAR:INDEX=0"}</definedName>
    <definedName name="_2047__FDSAUDITLINK__" hidden="1">{"fdsup://directions/FAT Viewer?action=UPDATE&amp;creator=factset&amp;DYN_ARGS=TRUE&amp;DOC_NAME=FAT:FQL_AUDITING_CLIENT_TEMPLATE.FAT&amp;display_string=Audit&amp;VAR:KEY=ZGBOPKTQNO&amp;VAR:QUERY=RkZfRUJJVERBX0lCKCdMVE1TJyw0MDAxMCk=&amp;WINDOW=FIRST_POPUP&amp;HEIGHT=450&amp;WIDTH=450&amp;START_MA","XIMIZED=FALSE&amp;VAR:CALENDAR=US&amp;VAR:SYMBOL=05614P10&amp;VAR:INDEX=0"}</definedName>
    <definedName name="_2048__FDSAUDITLINK__" localSheetId="6" hidden="1">{"fdsup://directions/FAT Viewer?action=UPDATE&amp;creator=factset&amp;DYN_ARGS=TRUE&amp;DOC_NAME=FAT:FQL_AUDITING_CLIENT_TEMPLATE.FAT&amp;display_string=Audit&amp;VAR:KEY=PGLAZERIDK&amp;VAR:QUERY=RkZfRUJJVERBX0lCKCdMVE1TJyw0MDAwOSk=&amp;WINDOW=FIRST_POPUP&amp;HEIGHT=450&amp;WIDTH=450&amp;START_MA","XIMIZED=FALSE&amp;VAR:CALENDAR=US&amp;VAR:SYMBOL=05614P10&amp;VAR:INDEX=0"}</definedName>
    <definedName name="_2048__FDSAUDITLINK__" hidden="1">{"fdsup://directions/FAT Viewer?action=UPDATE&amp;creator=factset&amp;DYN_ARGS=TRUE&amp;DOC_NAME=FAT:FQL_AUDITING_CLIENT_TEMPLATE.FAT&amp;display_string=Audit&amp;VAR:KEY=PGLAZERIDK&amp;VAR:QUERY=RkZfRUJJVERBX0lCKCdMVE1TJyw0MDAwOSk=&amp;WINDOW=FIRST_POPUP&amp;HEIGHT=450&amp;WIDTH=450&amp;START_MA","XIMIZED=FALSE&amp;VAR:CALENDAR=US&amp;VAR:SYMBOL=05614P10&amp;VAR:INDEX=0"}</definedName>
    <definedName name="_2049__FDSAUDITLINK__" localSheetId="6" hidden="1">{"fdsup://directions/FAT Viewer?action=UPDATE&amp;creator=factset&amp;DYN_ARGS=TRUE&amp;DOC_NAME=FAT:FQL_AUDITING_CLIENT_TEMPLATE.FAT&amp;display_string=Audit&amp;VAR:KEY=DWNSFWVUVC&amp;VAR:QUERY=RkZfRUJJVERBX0lCKCdMVE1TJyw0MDAwOCk=&amp;WINDOW=FIRST_POPUP&amp;HEIGHT=450&amp;WIDTH=450&amp;START_MA","XIMIZED=FALSE&amp;VAR:CALENDAR=US&amp;VAR:SYMBOL=05614P10&amp;VAR:INDEX=0"}</definedName>
    <definedName name="_2049__FDSAUDITLINK__" hidden="1">{"fdsup://directions/FAT Viewer?action=UPDATE&amp;creator=factset&amp;DYN_ARGS=TRUE&amp;DOC_NAME=FAT:FQL_AUDITING_CLIENT_TEMPLATE.FAT&amp;display_string=Audit&amp;VAR:KEY=DWNSFWVUVC&amp;VAR:QUERY=RkZfRUJJVERBX0lCKCdMVE1TJyw0MDAwOCk=&amp;WINDOW=FIRST_POPUP&amp;HEIGHT=450&amp;WIDTH=450&amp;START_MA","XIMIZED=FALSE&amp;VAR:CALENDAR=US&amp;VAR:SYMBOL=05614P10&amp;VAR:INDEX=0"}</definedName>
    <definedName name="_205__FDSAUDITLINK__" localSheetId="6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5__FDSAUDITLINK__" hidden="1">{"fdsup://directions/FAT%20Viewer?VAR:PED=LTM&amp;VAR:AUDIT_MODE=SUMMARY&amp;VAR:PERIOD=FIXED&amp;VAR:AUDIT_ID=00000117&amp;VAR:DATE=20090731&amp;action=UPDATE&amp;creator=factset&amp;DOC_NAME=FAT:FMA_audit_SUMMARY.fat&amp;DISPLAY_STRING=Display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EBITDA&amp;VAR:CHGPERIOD=NA&amp;VAR:FQLFORMULA=FMA_EVAL_EBITDA&amp;VAR:CURRENCY=NA&amp;VAR:P=NA&amp;VAR:V=9.54","1549&amp;VAR:null=.html"}</definedName>
    <definedName name="_2050__FDSAUDITLINK__" localSheetId="6" hidden="1">{"fdsup://directions/FAT Viewer?action=UPDATE&amp;creator=factset&amp;DYN_ARGS=TRUE&amp;DOC_NAME=FAT:FQL_AUDITING_CLIENT_TEMPLATE.FAT&amp;display_string=Audit&amp;VAR:KEY=TIJQXCPKJU&amp;VAR:QUERY=RkZfRUJJVERBX0lCKCdMVE1TJyw0MDAwNyk=&amp;WINDOW=FIRST_POPUP&amp;HEIGHT=450&amp;WIDTH=450&amp;START_MA","XIMIZED=FALSE&amp;VAR:CALENDAR=US&amp;VAR:SYMBOL=05614P10&amp;VAR:INDEX=0"}</definedName>
    <definedName name="_2050__FDSAUDITLINK__" hidden="1">{"fdsup://directions/FAT Viewer?action=UPDATE&amp;creator=factset&amp;DYN_ARGS=TRUE&amp;DOC_NAME=FAT:FQL_AUDITING_CLIENT_TEMPLATE.FAT&amp;display_string=Audit&amp;VAR:KEY=TIJQXCPKJU&amp;VAR:QUERY=RkZfRUJJVERBX0lCKCdMVE1TJyw0MDAwNyk=&amp;WINDOW=FIRST_POPUP&amp;HEIGHT=450&amp;WIDTH=450&amp;START_MA","XIMIZED=FALSE&amp;VAR:CALENDAR=US&amp;VAR:SYMBOL=05614P10&amp;VAR:INDEX=0"}</definedName>
    <definedName name="_2051__FDSAUDITLINK__" localSheetId="6" hidden="1">{"fdsup://directions/FAT Viewer?action=UPDATE&amp;creator=factset&amp;DYN_ARGS=TRUE&amp;DOC_NAME=FAT:FQL_AUDITING_CLIENT_TEMPLATE.FAT&amp;display_string=Audit&amp;VAR:KEY=LEDGXSNWFG&amp;VAR:QUERY=RkZfRUJJVERBX0lCKCdMVE1TJyw0MDAwNik=&amp;WINDOW=FIRST_POPUP&amp;HEIGHT=450&amp;WIDTH=450&amp;START_MA","XIMIZED=FALSE&amp;VAR:CALENDAR=US&amp;VAR:SYMBOL=05614P10&amp;VAR:INDEX=0"}</definedName>
    <definedName name="_2051__FDSAUDITLINK__" hidden="1">{"fdsup://directions/FAT Viewer?action=UPDATE&amp;creator=factset&amp;DYN_ARGS=TRUE&amp;DOC_NAME=FAT:FQL_AUDITING_CLIENT_TEMPLATE.FAT&amp;display_string=Audit&amp;VAR:KEY=LEDGXSNWFG&amp;VAR:QUERY=RkZfRUJJVERBX0lCKCdMVE1TJyw0MDAwNik=&amp;WINDOW=FIRST_POPUP&amp;HEIGHT=450&amp;WIDTH=450&amp;START_MA","XIMIZED=FALSE&amp;VAR:CALENDAR=US&amp;VAR:SYMBOL=05614P10&amp;VAR:INDEX=0"}</definedName>
    <definedName name="_2052__FDSAUDITLINK__" localSheetId="6" hidden="1">{"fdsup://directions/FAT Viewer?action=UPDATE&amp;creator=factset&amp;DYN_ARGS=TRUE&amp;DOC_NAME=FAT:FQL_AUDITING_CLIENT_TEMPLATE.FAT&amp;display_string=Audit&amp;VAR:KEY=JCRYLCBSZS&amp;VAR:QUERY=RkZfRUJJVERBX0lCKCdMVE1TJyw0MDAwNSk=&amp;WINDOW=FIRST_POPUP&amp;HEIGHT=450&amp;WIDTH=450&amp;START_MA","XIMIZED=FALSE&amp;VAR:CALENDAR=US&amp;VAR:SYMBOL=05614P10&amp;VAR:INDEX=0"}</definedName>
    <definedName name="_2052__FDSAUDITLINK__" hidden="1">{"fdsup://directions/FAT Viewer?action=UPDATE&amp;creator=factset&amp;DYN_ARGS=TRUE&amp;DOC_NAME=FAT:FQL_AUDITING_CLIENT_TEMPLATE.FAT&amp;display_string=Audit&amp;VAR:KEY=JCRYLCBSZS&amp;VAR:QUERY=RkZfRUJJVERBX0lCKCdMVE1TJyw0MDAwNSk=&amp;WINDOW=FIRST_POPUP&amp;HEIGHT=450&amp;WIDTH=450&amp;START_MA","XIMIZED=FALSE&amp;VAR:CALENDAR=US&amp;VAR:SYMBOL=05614P10&amp;VAR:INDEX=0"}</definedName>
    <definedName name="_2053__FDSAUDITLINK__" localSheetId="6" hidden="1">{"fdsup://directions/FAT Viewer?action=UPDATE&amp;creator=factset&amp;DYN_ARGS=TRUE&amp;DOC_NAME=FAT:FQL_AUDITING_CLIENT_TEMPLATE.FAT&amp;display_string=Audit&amp;VAR:KEY=LOPKBYXODY&amp;VAR:QUERY=RkZfRUJJVERBX0lCKCdMVE1TJyw0MDAwNCk=&amp;WINDOW=FIRST_POPUP&amp;HEIGHT=450&amp;WIDTH=450&amp;START_MA","XIMIZED=FALSE&amp;VAR:CALENDAR=US&amp;VAR:SYMBOL=05614P10&amp;VAR:INDEX=0"}</definedName>
    <definedName name="_2053__FDSAUDITLINK__" hidden="1">{"fdsup://directions/FAT Viewer?action=UPDATE&amp;creator=factset&amp;DYN_ARGS=TRUE&amp;DOC_NAME=FAT:FQL_AUDITING_CLIENT_TEMPLATE.FAT&amp;display_string=Audit&amp;VAR:KEY=LOPKBYXODY&amp;VAR:QUERY=RkZfRUJJVERBX0lCKCdMVE1TJyw0MDAwNCk=&amp;WINDOW=FIRST_POPUP&amp;HEIGHT=450&amp;WIDTH=450&amp;START_MA","XIMIZED=FALSE&amp;VAR:CALENDAR=US&amp;VAR:SYMBOL=05614P10&amp;VAR:INDEX=0"}</definedName>
    <definedName name="_2054__FDSAUDITLINK__" localSheetId="6" hidden="1">{"fdsup://directions/FAT Viewer?action=UPDATE&amp;creator=factset&amp;DYN_ARGS=TRUE&amp;DOC_NAME=FAT:FQL_AUDITING_CLIENT_TEMPLATE.FAT&amp;display_string=Audit&amp;VAR:KEY=VYZIVWNYPU&amp;VAR:QUERY=RkZfRUJJVERBX0lCKCdMVE1TJyw0MDAwMyk=&amp;WINDOW=FIRST_POPUP&amp;HEIGHT=450&amp;WIDTH=450&amp;START_MA","XIMIZED=FALSE&amp;VAR:CALENDAR=US&amp;VAR:SYMBOL=05614P10&amp;VAR:INDEX=0"}</definedName>
    <definedName name="_2054__FDSAUDITLINK__" hidden="1">{"fdsup://directions/FAT Viewer?action=UPDATE&amp;creator=factset&amp;DYN_ARGS=TRUE&amp;DOC_NAME=FAT:FQL_AUDITING_CLIENT_TEMPLATE.FAT&amp;display_string=Audit&amp;VAR:KEY=VYZIVWNYPU&amp;VAR:QUERY=RkZfRUJJVERBX0lCKCdMVE1TJyw0MDAwMyk=&amp;WINDOW=FIRST_POPUP&amp;HEIGHT=450&amp;WIDTH=450&amp;START_MA","XIMIZED=FALSE&amp;VAR:CALENDAR=US&amp;VAR:SYMBOL=05614P10&amp;VAR:INDEX=0"}</definedName>
    <definedName name="_2055__FDSAUDITLINK__" localSheetId="6" hidden="1">{"fdsup://directions/FAT Viewer?action=UPDATE&amp;creator=factset&amp;DYN_ARGS=TRUE&amp;DOC_NAME=FAT:FQL_AUDITING_CLIENT_TEMPLATE.FAT&amp;display_string=Audit&amp;VAR:KEY=TMRAFKDOJY&amp;VAR:QUERY=RkZfRUJJVERBX0lCKCdMVE1TJyw0MDAwMik=&amp;WINDOW=FIRST_POPUP&amp;HEIGHT=450&amp;WIDTH=450&amp;START_MA","XIMIZED=FALSE&amp;VAR:CALENDAR=US&amp;VAR:SYMBOL=05614P10&amp;VAR:INDEX=0"}</definedName>
    <definedName name="_2055__FDSAUDITLINK__" hidden="1">{"fdsup://directions/FAT Viewer?action=UPDATE&amp;creator=factset&amp;DYN_ARGS=TRUE&amp;DOC_NAME=FAT:FQL_AUDITING_CLIENT_TEMPLATE.FAT&amp;display_string=Audit&amp;VAR:KEY=TMRAFKDOJY&amp;VAR:QUERY=RkZfRUJJVERBX0lCKCdMVE1TJyw0MDAwMik=&amp;WINDOW=FIRST_POPUP&amp;HEIGHT=450&amp;WIDTH=450&amp;START_MA","XIMIZED=FALSE&amp;VAR:CALENDAR=US&amp;VAR:SYMBOL=05614P10&amp;VAR:INDEX=0"}</definedName>
    <definedName name="_2056__FDSAUDITLINK__" localSheetId="6" hidden="1">{"fdsup://directions/FAT Viewer?action=UPDATE&amp;creator=factset&amp;DYN_ARGS=TRUE&amp;DOC_NAME=FAT:FQL_AUDITING_CLIENT_TEMPLATE.FAT&amp;display_string=Audit&amp;VAR:KEY=DCJGNIXITM&amp;VAR:QUERY=RkZfRUJJVERBX0lCKCdMVE1TJyw0MDAwMSk=&amp;WINDOW=FIRST_POPUP&amp;HEIGHT=450&amp;WIDTH=450&amp;START_MA","XIMIZED=FALSE&amp;VAR:CALENDAR=US&amp;VAR:SYMBOL=05614P10&amp;VAR:INDEX=0"}</definedName>
    <definedName name="_2056__FDSAUDITLINK__" hidden="1">{"fdsup://directions/FAT Viewer?action=UPDATE&amp;creator=factset&amp;DYN_ARGS=TRUE&amp;DOC_NAME=FAT:FQL_AUDITING_CLIENT_TEMPLATE.FAT&amp;display_string=Audit&amp;VAR:KEY=DCJGNIXITM&amp;VAR:QUERY=RkZfRUJJVERBX0lCKCdMVE1TJyw0MDAwMSk=&amp;WINDOW=FIRST_POPUP&amp;HEIGHT=450&amp;WIDTH=450&amp;START_MA","XIMIZED=FALSE&amp;VAR:CALENDAR=US&amp;VAR:SYMBOL=05614P10&amp;VAR:INDEX=0"}</definedName>
    <definedName name="_2057__FDSAUDITLINK__" localSheetId="6" hidden="1">{"fdsup://directions/FAT Viewer?action=UPDATE&amp;creator=factset&amp;DYN_ARGS=TRUE&amp;DOC_NAME=FAT:FQL_AUDITING_CLIENT_TEMPLATE.FAT&amp;display_string=Audit&amp;VAR:KEY=JEXGNAZSBA&amp;VAR:QUERY=RkZfRUJJVERBX0lCKCdMVE1TJyw0MDAwMCk=&amp;WINDOW=FIRST_POPUP&amp;HEIGHT=450&amp;WIDTH=450&amp;START_MA","XIMIZED=FALSE&amp;VAR:CALENDAR=US&amp;VAR:SYMBOL=05614P10&amp;VAR:INDEX=0"}</definedName>
    <definedName name="_2057__FDSAUDITLINK__" hidden="1">{"fdsup://directions/FAT Viewer?action=UPDATE&amp;creator=factset&amp;DYN_ARGS=TRUE&amp;DOC_NAME=FAT:FQL_AUDITING_CLIENT_TEMPLATE.FAT&amp;display_string=Audit&amp;VAR:KEY=JEXGNAZSBA&amp;VAR:QUERY=RkZfRUJJVERBX0lCKCdMVE1TJyw0MDAwMCk=&amp;WINDOW=FIRST_POPUP&amp;HEIGHT=450&amp;WIDTH=450&amp;START_MA","XIMIZED=FALSE&amp;VAR:CALENDAR=US&amp;VAR:SYMBOL=05614P10&amp;VAR:INDEX=0"}</definedName>
    <definedName name="_2058__FDSAUDITLINK__" localSheetId="6" hidden="1">{"fdsup://directions/FAT Viewer?action=UPDATE&amp;creator=factset&amp;DYN_ARGS=TRUE&amp;DOC_NAME=FAT:FQL_AUDITING_CLIENT_TEMPLATE.FAT&amp;display_string=Audit&amp;VAR:KEY=RARSTKRGTA&amp;VAR:QUERY=RkZfRUJJVERBX0lCKCdMVE1TJywzOTk5OSk=&amp;WINDOW=FIRST_POPUP&amp;HEIGHT=450&amp;WIDTH=450&amp;START_MA","XIMIZED=FALSE&amp;VAR:CALENDAR=US&amp;VAR:SYMBOL=05614P10&amp;VAR:INDEX=0"}</definedName>
    <definedName name="_2058__FDSAUDITLINK__" hidden="1">{"fdsup://directions/FAT Viewer?action=UPDATE&amp;creator=factset&amp;DYN_ARGS=TRUE&amp;DOC_NAME=FAT:FQL_AUDITING_CLIENT_TEMPLATE.FAT&amp;display_string=Audit&amp;VAR:KEY=RARSTKRGTA&amp;VAR:QUERY=RkZfRUJJVERBX0lCKCdMVE1TJywzOTk5OSk=&amp;WINDOW=FIRST_POPUP&amp;HEIGHT=450&amp;WIDTH=450&amp;START_MA","XIMIZED=FALSE&amp;VAR:CALENDAR=US&amp;VAR:SYMBOL=05614P10&amp;VAR:INDEX=0"}</definedName>
    <definedName name="_2059__FDSAUDITLINK__" localSheetId="6" hidden="1">{"fdsup://directions/FAT Viewer?action=UPDATE&amp;creator=factset&amp;DYN_ARGS=TRUE&amp;DOC_NAME=FAT:FQL_AUDITING_CLIENT_TEMPLATE.FAT&amp;display_string=Audit&amp;VAR:KEY=ZEDGNGTQLO&amp;VAR:QUERY=RkZfRUJJVERBX0lCKCdMVE1TJywzOTk5OCk=&amp;WINDOW=FIRST_POPUP&amp;HEIGHT=450&amp;WIDTH=450&amp;START_MA","XIMIZED=FALSE&amp;VAR:CALENDAR=US&amp;VAR:SYMBOL=05614P10&amp;VAR:INDEX=0"}</definedName>
    <definedName name="_2059__FDSAUDITLINK__" hidden="1">{"fdsup://directions/FAT Viewer?action=UPDATE&amp;creator=factset&amp;DYN_ARGS=TRUE&amp;DOC_NAME=FAT:FQL_AUDITING_CLIENT_TEMPLATE.FAT&amp;display_string=Audit&amp;VAR:KEY=ZEDGNGTQLO&amp;VAR:QUERY=RkZfRUJJVERBX0lCKCdMVE1TJywzOTk5OCk=&amp;WINDOW=FIRST_POPUP&amp;HEIGHT=450&amp;WIDTH=450&amp;START_MA","XIMIZED=FALSE&amp;VAR:CALENDAR=US&amp;VAR:SYMBOL=05614P10&amp;VAR:INDEX=0"}</definedName>
    <definedName name="_206__FDSAUDITLINK__" localSheetId="6" hidden="1">{"fdsup://directions/FAT%20Viewer?VAR:PED=LTM&amp;VAR:AUDIT_MODE=SUMMARY&amp;VAR:PERIOD=FIXED&amp;VAR:AUDIT_ID=00000117&amp;VAR:DATE=20090730&amp;action=UPDATE&amp;creator=factset&amp;DOC_NAME=FAT:FMA_audit_SUMMARY.fat&amp;DISPLAY_STRING=Display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6__FDSAUDITLINK__" hidden="1">{"fdsup://directions/FAT%20Viewer?VAR:PED=LTM&amp;VAR:AUDIT_MODE=SUMMARY&amp;VAR:PERIOD=FIXED&amp;VAR:AUDIT_ID=00000117&amp;VAR:DATE=20090730&amp;action=UPDATE&amp;creator=factset&amp;DOC_NAME=FAT:FMA_audit_SUMMARY.fat&amp;DISPLAY_STRING=Display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60__FDSAUDITLINK__" localSheetId="6" hidden="1">{"fdsup://directions/FAT Viewer?action=UPDATE&amp;creator=factset&amp;DYN_ARGS=TRUE&amp;DOC_NAME=FAT:FQL_AUDITING_CLIENT_TEMPLATE.FAT&amp;display_string=Audit&amp;VAR:KEY=FCZIJGVCXQ&amp;VAR:QUERY=RkZfRUJJVERBX0lCKCdMVE1TJywzOTk5Nyk=&amp;WINDOW=FIRST_POPUP&amp;HEIGHT=450&amp;WIDTH=450&amp;START_MA","XIMIZED=FALSE&amp;VAR:CALENDAR=US&amp;VAR:SYMBOL=05614P10&amp;VAR:INDEX=0"}</definedName>
    <definedName name="_2060__FDSAUDITLINK__" hidden="1">{"fdsup://directions/FAT Viewer?action=UPDATE&amp;creator=factset&amp;DYN_ARGS=TRUE&amp;DOC_NAME=FAT:FQL_AUDITING_CLIENT_TEMPLATE.FAT&amp;display_string=Audit&amp;VAR:KEY=FCZIJGVCXQ&amp;VAR:QUERY=RkZfRUJJVERBX0lCKCdMVE1TJywzOTk5Nyk=&amp;WINDOW=FIRST_POPUP&amp;HEIGHT=450&amp;WIDTH=450&amp;START_MA","XIMIZED=FALSE&amp;VAR:CALENDAR=US&amp;VAR:SYMBOL=05614P10&amp;VAR:INDEX=0"}</definedName>
    <definedName name="_2061__FDSAUDITLINK__" localSheetId="6" hidden="1">{"fdsup://directions/FAT Viewer?action=UPDATE&amp;creator=factset&amp;DYN_ARGS=TRUE&amp;DOC_NAME=FAT:FQL_AUDITING_CLIENT_TEMPLATE.FAT&amp;display_string=Audit&amp;VAR:KEY=ZKRQVGNEFE&amp;VAR:QUERY=RkZfRUJJVERBX0lCKCdMVE1TJywzOTk5Nik=&amp;WINDOW=FIRST_POPUP&amp;HEIGHT=450&amp;WIDTH=450&amp;START_MA","XIMIZED=FALSE&amp;VAR:CALENDAR=US&amp;VAR:SYMBOL=05614P10&amp;VAR:INDEX=0"}</definedName>
    <definedName name="_2061__FDSAUDITLINK__" hidden="1">{"fdsup://directions/FAT Viewer?action=UPDATE&amp;creator=factset&amp;DYN_ARGS=TRUE&amp;DOC_NAME=FAT:FQL_AUDITING_CLIENT_TEMPLATE.FAT&amp;display_string=Audit&amp;VAR:KEY=ZKRQVGNEFE&amp;VAR:QUERY=RkZfRUJJVERBX0lCKCdMVE1TJywzOTk5Nik=&amp;WINDOW=FIRST_POPUP&amp;HEIGHT=450&amp;WIDTH=450&amp;START_MA","XIMIZED=FALSE&amp;VAR:CALENDAR=US&amp;VAR:SYMBOL=05614P10&amp;VAR:INDEX=0"}</definedName>
    <definedName name="_2062__FDSAUDITLINK__" localSheetId="6" hidden="1">{"fdsup://directions/FAT Viewer?action=UPDATE&amp;creator=factset&amp;DYN_ARGS=TRUE&amp;DOC_NAME=FAT:FQL_AUDITING_CLIENT_TEMPLATE.FAT&amp;display_string=Audit&amp;VAR:KEY=ZGXADUXELA&amp;VAR:QUERY=RkZfRUJJVERBX0lCKCdMVE1TJywzOTk5NSk=&amp;WINDOW=FIRST_POPUP&amp;HEIGHT=450&amp;WIDTH=450&amp;START_MA","XIMIZED=FALSE&amp;VAR:CALENDAR=US&amp;VAR:SYMBOL=05614P10&amp;VAR:INDEX=0"}</definedName>
    <definedName name="_2062__FDSAUDITLINK__" hidden="1">{"fdsup://directions/FAT Viewer?action=UPDATE&amp;creator=factset&amp;DYN_ARGS=TRUE&amp;DOC_NAME=FAT:FQL_AUDITING_CLIENT_TEMPLATE.FAT&amp;display_string=Audit&amp;VAR:KEY=ZGXADUXELA&amp;VAR:QUERY=RkZfRUJJVERBX0lCKCdMVE1TJywzOTk5NSk=&amp;WINDOW=FIRST_POPUP&amp;HEIGHT=450&amp;WIDTH=450&amp;START_MA","XIMIZED=FALSE&amp;VAR:CALENDAR=US&amp;VAR:SYMBOL=05614P10&amp;VAR:INDEX=0"}</definedName>
    <definedName name="_2063__FDSAUDITLINK__" localSheetId="6" hidden="1">{"fdsup://directions/FAT Viewer?action=UPDATE&amp;creator=factset&amp;DYN_ARGS=TRUE&amp;DOC_NAME=FAT:FQL_AUDITING_CLIENT_TEMPLATE.FAT&amp;display_string=Audit&amp;VAR:KEY=RQNELAXOLQ&amp;VAR:QUERY=RkZfRUJJVERBX0lCKCdMVE1TJywzOTk5NCk=&amp;WINDOW=FIRST_POPUP&amp;HEIGHT=450&amp;WIDTH=450&amp;START_MA","XIMIZED=FALSE&amp;VAR:CALENDAR=US&amp;VAR:SYMBOL=05614P10&amp;VAR:INDEX=0"}</definedName>
    <definedName name="_2063__FDSAUDITLINK__" hidden="1">{"fdsup://directions/FAT Viewer?action=UPDATE&amp;creator=factset&amp;DYN_ARGS=TRUE&amp;DOC_NAME=FAT:FQL_AUDITING_CLIENT_TEMPLATE.FAT&amp;display_string=Audit&amp;VAR:KEY=RQNELAXOLQ&amp;VAR:QUERY=RkZfRUJJVERBX0lCKCdMVE1TJywzOTk5NCk=&amp;WINDOW=FIRST_POPUP&amp;HEIGHT=450&amp;WIDTH=450&amp;START_MA","XIMIZED=FALSE&amp;VAR:CALENDAR=US&amp;VAR:SYMBOL=05614P10&amp;VAR:INDEX=0"}</definedName>
    <definedName name="_2064__FDSAUDITLINK__" localSheetId="6" hidden="1">{"fdsup://directions/FAT Viewer?action=UPDATE&amp;creator=factset&amp;DYN_ARGS=TRUE&amp;DOC_NAME=FAT:FQL_AUDITING_CLIENT_TEMPLATE.FAT&amp;display_string=Audit&amp;VAR:KEY=HSXONWVKFW&amp;VAR:QUERY=RkZfRUJJVERBX0lCKCdMVE1TJywzOTk5Myk=&amp;WINDOW=FIRST_POPUP&amp;HEIGHT=450&amp;WIDTH=450&amp;START_MA","XIMIZED=FALSE&amp;VAR:CALENDAR=US&amp;VAR:SYMBOL=05614P10&amp;VAR:INDEX=0"}</definedName>
    <definedName name="_2064__FDSAUDITLINK__" hidden="1">{"fdsup://directions/FAT Viewer?action=UPDATE&amp;creator=factset&amp;DYN_ARGS=TRUE&amp;DOC_NAME=FAT:FQL_AUDITING_CLIENT_TEMPLATE.FAT&amp;display_string=Audit&amp;VAR:KEY=HSXONWVKFW&amp;VAR:QUERY=RkZfRUJJVERBX0lCKCdMVE1TJywzOTk5Myk=&amp;WINDOW=FIRST_POPUP&amp;HEIGHT=450&amp;WIDTH=450&amp;START_MA","XIMIZED=FALSE&amp;VAR:CALENDAR=US&amp;VAR:SYMBOL=05614P10&amp;VAR:INDEX=0"}</definedName>
    <definedName name="_2065__FDSAUDITLINK__" localSheetId="6" hidden="1">{"fdsup://directions/FAT Viewer?action=UPDATE&amp;creator=factset&amp;DYN_ARGS=TRUE&amp;DOC_NAME=FAT:FQL_AUDITING_CLIENT_TEMPLATE.FAT&amp;display_string=Audit&amp;VAR:KEY=TKPOROLSRI&amp;VAR:QUERY=RkZfRUJJVERBX0lCKCdMVE1TJywzOTk5Mik=&amp;WINDOW=FIRST_POPUP&amp;HEIGHT=450&amp;WIDTH=450&amp;START_MA","XIMIZED=FALSE&amp;VAR:CALENDAR=US&amp;VAR:SYMBOL=05614P10&amp;VAR:INDEX=0"}</definedName>
    <definedName name="_2065__FDSAUDITLINK__" hidden="1">{"fdsup://directions/FAT Viewer?action=UPDATE&amp;creator=factset&amp;DYN_ARGS=TRUE&amp;DOC_NAME=FAT:FQL_AUDITING_CLIENT_TEMPLATE.FAT&amp;display_string=Audit&amp;VAR:KEY=TKPOROLSRI&amp;VAR:QUERY=RkZfRUJJVERBX0lCKCdMVE1TJywzOTk5Mik=&amp;WINDOW=FIRST_POPUP&amp;HEIGHT=450&amp;WIDTH=450&amp;START_MA","XIMIZED=FALSE&amp;VAR:CALENDAR=US&amp;VAR:SYMBOL=05614P10&amp;VAR:INDEX=0"}</definedName>
    <definedName name="_2066__FDSAUDITLINK__" localSheetId="6" hidden="1">{"fdsup://directions/FAT Viewer?action=UPDATE&amp;creator=factset&amp;DYN_ARGS=TRUE&amp;DOC_NAME=FAT:FQL_AUDITING_CLIENT_TEMPLATE.FAT&amp;display_string=Audit&amp;VAR:KEY=RYVSLSREXS&amp;VAR:QUERY=RkZfRUJJVERBX0lCKCdMVE1TJywzOTk5MSk=&amp;WINDOW=FIRST_POPUP&amp;HEIGHT=450&amp;WIDTH=450&amp;START_MA","XIMIZED=FALSE&amp;VAR:CALENDAR=US&amp;VAR:SYMBOL=05614P10&amp;VAR:INDEX=0"}</definedName>
    <definedName name="_2066__FDSAUDITLINK__" hidden="1">{"fdsup://directions/FAT Viewer?action=UPDATE&amp;creator=factset&amp;DYN_ARGS=TRUE&amp;DOC_NAME=FAT:FQL_AUDITING_CLIENT_TEMPLATE.FAT&amp;display_string=Audit&amp;VAR:KEY=RYVSLSREXS&amp;VAR:QUERY=RkZfRUJJVERBX0lCKCdMVE1TJywzOTk5MSk=&amp;WINDOW=FIRST_POPUP&amp;HEIGHT=450&amp;WIDTH=450&amp;START_MA","XIMIZED=FALSE&amp;VAR:CALENDAR=US&amp;VAR:SYMBOL=05614P10&amp;VAR:INDEX=0"}</definedName>
    <definedName name="_2067__FDSAUDITLINK__" localSheetId="6" hidden="1">{"fdsup://directions/FAT Viewer?action=UPDATE&amp;creator=factset&amp;DYN_ARGS=TRUE&amp;DOC_NAME=FAT:FQL_AUDITING_CLIENT_TEMPLATE.FAT&amp;display_string=Audit&amp;VAR:KEY=BWXGTSVSNE&amp;VAR:QUERY=RkZfRUJJVERBX0lCKCdMVE1TJywzOTk5MCk=&amp;WINDOW=FIRST_POPUP&amp;HEIGHT=450&amp;WIDTH=450&amp;START_MA","XIMIZED=FALSE&amp;VAR:CALENDAR=US&amp;VAR:SYMBOL=05614P10&amp;VAR:INDEX=0"}</definedName>
    <definedName name="_2067__FDSAUDITLINK__" hidden="1">{"fdsup://directions/FAT Viewer?action=UPDATE&amp;creator=factset&amp;DYN_ARGS=TRUE&amp;DOC_NAME=FAT:FQL_AUDITING_CLIENT_TEMPLATE.FAT&amp;display_string=Audit&amp;VAR:KEY=BWXGTSVSNE&amp;VAR:QUERY=RkZfRUJJVERBX0lCKCdMVE1TJywzOTk5MCk=&amp;WINDOW=FIRST_POPUP&amp;HEIGHT=450&amp;WIDTH=450&amp;START_MA","XIMIZED=FALSE&amp;VAR:CALENDAR=US&amp;VAR:SYMBOL=05614P10&amp;VAR:INDEX=0"}</definedName>
    <definedName name="_2068__FDSAUDITLINK__" localSheetId="6" hidden="1">{"fdsup://directions/FAT Viewer?action=UPDATE&amp;creator=factset&amp;DYN_ARGS=TRUE&amp;DOC_NAME=FAT:FQL_AUDITING_CLIENT_TEMPLATE.FAT&amp;display_string=Audit&amp;VAR:KEY=ZWTQRGNYTK&amp;VAR:QUERY=RkZfRUJJVERBX0lCKCdMVE1TJywzOTk4OSk=&amp;WINDOW=FIRST_POPUP&amp;HEIGHT=450&amp;WIDTH=450&amp;START_MA","XIMIZED=FALSE&amp;VAR:CALENDAR=US&amp;VAR:SYMBOL=05614P10&amp;VAR:INDEX=0"}</definedName>
    <definedName name="_2068__FDSAUDITLINK__" hidden="1">{"fdsup://directions/FAT Viewer?action=UPDATE&amp;creator=factset&amp;DYN_ARGS=TRUE&amp;DOC_NAME=FAT:FQL_AUDITING_CLIENT_TEMPLATE.FAT&amp;display_string=Audit&amp;VAR:KEY=ZWTQRGNYTK&amp;VAR:QUERY=RkZfRUJJVERBX0lCKCdMVE1TJywzOTk4OSk=&amp;WINDOW=FIRST_POPUP&amp;HEIGHT=450&amp;WIDTH=450&amp;START_MA","XIMIZED=FALSE&amp;VAR:CALENDAR=US&amp;VAR:SYMBOL=05614P10&amp;VAR:INDEX=0"}</definedName>
    <definedName name="_2069__FDSAUDITLINK__" localSheetId="6" hidden="1">{"fdsup://directions/FAT Viewer?action=UPDATE&amp;creator=factset&amp;DYN_ARGS=TRUE&amp;DOC_NAME=FAT:FQL_AUDITING_CLIENT_TEMPLATE.FAT&amp;display_string=Audit&amp;VAR:KEY=ZIDKDETOZA&amp;VAR:QUERY=RkZfRUJJVERBX0lCKCdMVE1TJywzOTk4OCk=&amp;WINDOW=FIRST_POPUP&amp;HEIGHT=450&amp;WIDTH=450&amp;START_MA","XIMIZED=FALSE&amp;VAR:CALENDAR=US&amp;VAR:SYMBOL=05614P10&amp;VAR:INDEX=0"}</definedName>
    <definedName name="_2069__FDSAUDITLINK__" hidden="1">{"fdsup://directions/FAT Viewer?action=UPDATE&amp;creator=factset&amp;DYN_ARGS=TRUE&amp;DOC_NAME=FAT:FQL_AUDITING_CLIENT_TEMPLATE.FAT&amp;display_string=Audit&amp;VAR:KEY=ZIDKDETOZA&amp;VAR:QUERY=RkZfRUJJVERBX0lCKCdMVE1TJywzOTk4OCk=&amp;WINDOW=FIRST_POPUP&amp;HEIGHT=450&amp;WIDTH=450&amp;START_MA","XIMIZED=FALSE&amp;VAR:CALENDAR=US&amp;VAR:SYMBOL=05614P10&amp;VAR:INDEX=0"}</definedName>
    <definedName name="_207__FDSAUDITLINK__" localSheetId="6" hidden="1">{"fdsup://directions/FAT%20Viewer?VAR:PED=LTM&amp;VAR:AUDIT_MODE=SUMMARY&amp;VAR:PERIOD=FIXED&amp;VAR:AUDIT_ID=00000117&amp;VAR:DATE=20090729&amp;action=UPDATE&amp;creator=factset&amp;DOC_NAME=FAT:FMA_audit_SUMMARY.fat&amp;DISPLAY_STRING=Display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7__FDSAUDITLINK__" hidden="1">{"fdsup://directions/FAT%20Viewer?VAR:PED=LTM&amp;VAR:AUDIT_MODE=SUMMARY&amp;VAR:PERIOD=FIXED&amp;VAR:AUDIT_ID=00000117&amp;VAR:DATE=20090729&amp;action=UPDATE&amp;creator=factset&amp;DOC_NAME=FAT:FMA_audit_SUMMARY.fat&amp;DISPLAY_STRING=Display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70__FDSAUDITLINK__" localSheetId="6" hidden="1">{"fdsup://directions/FAT Viewer?action=UPDATE&amp;creator=factset&amp;DYN_ARGS=TRUE&amp;DOC_NAME=FAT:FQL_AUDITING_CLIENT_TEMPLATE.FAT&amp;display_string=Audit&amp;VAR:KEY=DILQXIBSBE&amp;VAR:QUERY=RkZfRUJJVERBX0lCKCdMVE1TJywzOTk4Nyk=&amp;WINDOW=FIRST_POPUP&amp;HEIGHT=450&amp;WIDTH=450&amp;START_MA","XIMIZED=FALSE&amp;VAR:CALENDAR=US&amp;VAR:SYMBOL=05614P10&amp;VAR:INDEX=0"}</definedName>
    <definedName name="_2070__FDSAUDITLINK__" hidden="1">{"fdsup://directions/FAT Viewer?action=UPDATE&amp;creator=factset&amp;DYN_ARGS=TRUE&amp;DOC_NAME=FAT:FQL_AUDITING_CLIENT_TEMPLATE.FAT&amp;display_string=Audit&amp;VAR:KEY=DILQXIBSBE&amp;VAR:QUERY=RkZfRUJJVERBX0lCKCdMVE1TJywzOTk4Nyk=&amp;WINDOW=FIRST_POPUP&amp;HEIGHT=450&amp;WIDTH=450&amp;START_MA","XIMIZED=FALSE&amp;VAR:CALENDAR=US&amp;VAR:SYMBOL=05614P10&amp;VAR:INDEX=0"}</definedName>
    <definedName name="_2071__FDSAUDITLINK__" localSheetId="6" hidden="1">{"fdsup://directions/FAT Viewer?action=UPDATE&amp;creator=factset&amp;DYN_ARGS=TRUE&amp;DOC_NAME=FAT:FQL_AUDITING_CLIENT_TEMPLATE.FAT&amp;display_string=Audit&amp;VAR:KEY=VEPMNQTKBW&amp;VAR:QUERY=RkZfRUJJVERBX0lCKCdMVE1TJywzOTk4Nik=&amp;WINDOW=FIRST_POPUP&amp;HEIGHT=450&amp;WIDTH=450&amp;START_MA","XIMIZED=FALSE&amp;VAR:CALENDAR=US&amp;VAR:SYMBOL=05614P10&amp;VAR:INDEX=0"}</definedName>
    <definedName name="_2071__FDSAUDITLINK__" hidden="1">{"fdsup://directions/FAT Viewer?action=UPDATE&amp;creator=factset&amp;DYN_ARGS=TRUE&amp;DOC_NAME=FAT:FQL_AUDITING_CLIENT_TEMPLATE.FAT&amp;display_string=Audit&amp;VAR:KEY=VEPMNQTKBW&amp;VAR:QUERY=RkZfRUJJVERBX0lCKCdMVE1TJywzOTk4Nik=&amp;WINDOW=FIRST_POPUP&amp;HEIGHT=450&amp;WIDTH=450&amp;START_MA","XIMIZED=FALSE&amp;VAR:CALENDAR=US&amp;VAR:SYMBOL=05614P10&amp;VAR:INDEX=0"}</definedName>
    <definedName name="_2072__FDSAUDITLINK__" localSheetId="6" hidden="1">{"fdsup://directions/FAT Viewer?action=UPDATE&amp;creator=factset&amp;DYN_ARGS=TRUE&amp;DOC_NAME=FAT:FQL_AUDITING_CLIENT_TEMPLATE.FAT&amp;display_string=Audit&amp;VAR:KEY=HSHMLUFQTQ&amp;VAR:QUERY=RkZfRUJJVERBX0lCKCdMVE1TJywzOTk4NSk=&amp;WINDOW=FIRST_POPUP&amp;HEIGHT=450&amp;WIDTH=450&amp;START_MA","XIMIZED=FALSE&amp;VAR:CALENDAR=US&amp;VAR:SYMBOL=05614P10&amp;VAR:INDEX=0"}</definedName>
    <definedName name="_2072__FDSAUDITLINK__" hidden="1">{"fdsup://directions/FAT Viewer?action=UPDATE&amp;creator=factset&amp;DYN_ARGS=TRUE&amp;DOC_NAME=FAT:FQL_AUDITING_CLIENT_TEMPLATE.FAT&amp;display_string=Audit&amp;VAR:KEY=HSHMLUFQTQ&amp;VAR:QUERY=RkZfRUJJVERBX0lCKCdMVE1TJywzOTk4NSk=&amp;WINDOW=FIRST_POPUP&amp;HEIGHT=450&amp;WIDTH=450&amp;START_MA","XIMIZED=FALSE&amp;VAR:CALENDAR=US&amp;VAR:SYMBOL=05614P10&amp;VAR:INDEX=0"}</definedName>
    <definedName name="_2073__FDSAUDITLINK__" localSheetId="6" hidden="1">{"fdsup://directions/FAT Viewer?action=UPDATE&amp;creator=factset&amp;DYN_ARGS=TRUE&amp;DOC_NAME=FAT:FQL_AUDITING_CLIENT_TEMPLATE.FAT&amp;display_string=Audit&amp;VAR:KEY=TUHMRKXWHM&amp;VAR:QUERY=RkZfRUJJVERBX0lCKCdMVE1TJywzOTk4NCk=&amp;WINDOW=FIRST_POPUP&amp;HEIGHT=450&amp;WIDTH=450&amp;START_MA","XIMIZED=FALSE&amp;VAR:CALENDAR=US&amp;VAR:SYMBOL=05614P10&amp;VAR:INDEX=0"}</definedName>
    <definedName name="_2073__FDSAUDITLINK__" hidden="1">{"fdsup://directions/FAT Viewer?action=UPDATE&amp;creator=factset&amp;DYN_ARGS=TRUE&amp;DOC_NAME=FAT:FQL_AUDITING_CLIENT_TEMPLATE.FAT&amp;display_string=Audit&amp;VAR:KEY=TUHMRKXWHM&amp;VAR:QUERY=RkZfRUJJVERBX0lCKCdMVE1TJywzOTk4NCk=&amp;WINDOW=FIRST_POPUP&amp;HEIGHT=450&amp;WIDTH=450&amp;START_MA","XIMIZED=FALSE&amp;VAR:CALENDAR=US&amp;VAR:SYMBOL=05614P10&amp;VAR:INDEX=0"}</definedName>
    <definedName name="_2074__FDSAUDITLINK__" localSheetId="6" hidden="1">{"fdsup://directions/FAT Viewer?action=UPDATE&amp;creator=factset&amp;DYN_ARGS=TRUE&amp;DOC_NAME=FAT:FQL_AUDITING_CLIENT_TEMPLATE.FAT&amp;display_string=Audit&amp;VAR:KEY=DGLGZITUNC&amp;VAR:QUERY=RkZfRUJJVERBX0lCKCdMVE1TJywzOTk4Myk=&amp;WINDOW=FIRST_POPUP&amp;HEIGHT=450&amp;WIDTH=450&amp;START_MA","XIMIZED=FALSE&amp;VAR:CALENDAR=US&amp;VAR:SYMBOL=05614P10&amp;VAR:INDEX=0"}</definedName>
    <definedName name="_2074__FDSAUDITLINK__" hidden="1">{"fdsup://directions/FAT Viewer?action=UPDATE&amp;creator=factset&amp;DYN_ARGS=TRUE&amp;DOC_NAME=FAT:FQL_AUDITING_CLIENT_TEMPLATE.FAT&amp;display_string=Audit&amp;VAR:KEY=DGLGZITUNC&amp;VAR:QUERY=RkZfRUJJVERBX0lCKCdMVE1TJywzOTk4Myk=&amp;WINDOW=FIRST_POPUP&amp;HEIGHT=450&amp;WIDTH=450&amp;START_MA","XIMIZED=FALSE&amp;VAR:CALENDAR=US&amp;VAR:SYMBOL=05614P10&amp;VAR:INDEX=0"}</definedName>
    <definedName name="_2075__FDSAUDITLINK__" localSheetId="6" hidden="1">{"fdsup://directions/FAT Viewer?action=UPDATE&amp;creator=factset&amp;DYN_ARGS=TRUE&amp;DOC_NAME=FAT:FQL_AUDITING_CLIENT_TEMPLATE.FAT&amp;display_string=Audit&amp;VAR:KEY=LATIVKXAHW&amp;VAR:QUERY=RkZfRUJJVERBX0lCKCdMVE1TJywzOTk4Mik=&amp;WINDOW=FIRST_POPUP&amp;HEIGHT=450&amp;WIDTH=450&amp;START_MA","XIMIZED=FALSE&amp;VAR:CALENDAR=US&amp;VAR:SYMBOL=05614P10&amp;VAR:INDEX=0"}</definedName>
    <definedName name="_2075__FDSAUDITLINK__" hidden="1">{"fdsup://directions/FAT Viewer?action=UPDATE&amp;creator=factset&amp;DYN_ARGS=TRUE&amp;DOC_NAME=FAT:FQL_AUDITING_CLIENT_TEMPLATE.FAT&amp;display_string=Audit&amp;VAR:KEY=LATIVKXAHW&amp;VAR:QUERY=RkZfRUJJVERBX0lCKCdMVE1TJywzOTk4Mik=&amp;WINDOW=FIRST_POPUP&amp;HEIGHT=450&amp;WIDTH=450&amp;START_MA","XIMIZED=FALSE&amp;VAR:CALENDAR=US&amp;VAR:SYMBOL=05614P10&amp;VAR:INDEX=0"}</definedName>
    <definedName name="_2076__FDSAUDITLINK__" localSheetId="6" hidden="1">{"fdsup://directions/FAT Viewer?action=UPDATE&amp;creator=factset&amp;DYN_ARGS=TRUE&amp;DOC_NAME=FAT:FQL_AUDITING_CLIENT_TEMPLATE.FAT&amp;display_string=Audit&amp;VAR:KEY=ZYRKTSHUNQ&amp;VAR:QUERY=RkZfRUJJVERBX0lCKCdMVE1TJywzOTk4MSk=&amp;WINDOW=FIRST_POPUP&amp;HEIGHT=450&amp;WIDTH=450&amp;START_MA","XIMIZED=FALSE&amp;VAR:CALENDAR=US&amp;VAR:SYMBOL=05614P10&amp;VAR:INDEX=0"}</definedName>
    <definedName name="_2076__FDSAUDITLINK__" hidden="1">{"fdsup://directions/FAT Viewer?action=UPDATE&amp;creator=factset&amp;DYN_ARGS=TRUE&amp;DOC_NAME=FAT:FQL_AUDITING_CLIENT_TEMPLATE.FAT&amp;display_string=Audit&amp;VAR:KEY=ZYRKTSHUNQ&amp;VAR:QUERY=RkZfRUJJVERBX0lCKCdMVE1TJywzOTk4MSk=&amp;WINDOW=FIRST_POPUP&amp;HEIGHT=450&amp;WIDTH=450&amp;START_MA","XIMIZED=FALSE&amp;VAR:CALENDAR=US&amp;VAR:SYMBOL=05614P10&amp;VAR:INDEX=0"}</definedName>
    <definedName name="_2077__FDSAUDITLINK__" localSheetId="6" hidden="1">{"fdsup://directions/FAT Viewer?action=UPDATE&amp;creator=factset&amp;DYN_ARGS=TRUE&amp;DOC_NAME=FAT:FQL_AUDITING_CLIENT_TEMPLATE.FAT&amp;display_string=Audit&amp;VAR:KEY=DOFWVSXKLI&amp;VAR:QUERY=RkZfRUJJVERBX0lCKCdMVE1TJywzOTk4MCk=&amp;WINDOW=FIRST_POPUP&amp;HEIGHT=450&amp;WIDTH=450&amp;START_MA","XIMIZED=FALSE&amp;VAR:CALENDAR=US&amp;VAR:SYMBOL=05614P10&amp;VAR:INDEX=0"}</definedName>
    <definedName name="_2077__FDSAUDITLINK__" hidden="1">{"fdsup://directions/FAT Viewer?action=UPDATE&amp;creator=factset&amp;DYN_ARGS=TRUE&amp;DOC_NAME=FAT:FQL_AUDITING_CLIENT_TEMPLATE.FAT&amp;display_string=Audit&amp;VAR:KEY=DOFWVSXKLI&amp;VAR:QUERY=RkZfRUJJVERBX0lCKCdMVE1TJywzOTk4MCk=&amp;WINDOW=FIRST_POPUP&amp;HEIGHT=450&amp;WIDTH=450&amp;START_MA","XIMIZED=FALSE&amp;VAR:CALENDAR=US&amp;VAR:SYMBOL=05614P10&amp;VAR:INDEX=0"}</definedName>
    <definedName name="_2078__FDSAUDITLINK__" localSheetId="6" hidden="1">{"fdsup://directions/FAT Viewer?action=UPDATE&amp;creator=factset&amp;DYN_ARGS=TRUE&amp;DOC_NAME=FAT:FQL_AUDITING_CLIENT_TEMPLATE.FAT&amp;display_string=Audit&amp;VAR:KEY=XWVAVMFWJG&amp;VAR:QUERY=RkZfRUJJVERBX0lCKCdMVE1TJywzOTk3OSk=&amp;WINDOW=FIRST_POPUP&amp;HEIGHT=450&amp;WIDTH=450&amp;START_MA","XIMIZED=FALSE&amp;VAR:CALENDAR=US&amp;VAR:SYMBOL=05614P10&amp;VAR:INDEX=0"}</definedName>
    <definedName name="_2078__FDSAUDITLINK__" hidden="1">{"fdsup://directions/FAT Viewer?action=UPDATE&amp;creator=factset&amp;DYN_ARGS=TRUE&amp;DOC_NAME=FAT:FQL_AUDITING_CLIENT_TEMPLATE.FAT&amp;display_string=Audit&amp;VAR:KEY=XWVAVMFWJG&amp;VAR:QUERY=RkZfRUJJVERBX0lCKCdMVE1TJywzOTk3OSk=&amp;WINDOW=FIRST_POPUP&amp;HEIGHT=450&amp;WIDTH=450&amp;START_MA","XIMIZED=FALSE&amp;VAR:CALENDAR=US&amp;VAR:SYMBOL=05614P10&amp;VAR:INDEX=0"}</definedName>
    <definedName name="_2079__FDSAUDITLINK__" localSheetId="6" hidden="1">{"fdsup://directions/FAT Viewer?action=UPDATE&amp;creator=factset&amp;DYN_ARGS=TRUE&amp;DOC_NAME=FAT:FQL_AUDITING_CLIENT_TEMPLATE.FAT&amp;display_string=Audit&amp;VAR:KEY=HARWFKBCZQ&amp;VAR:QUERY=RkZfRUJJVERBX0lCKCdMVE1TJywzOTk3OCk=&amp;WINDOW=FIRST_POPUP&amp;HEIGHT=450&amp;WIDTH=450&amp;START_MA","XIMIZED=FALSE&amp;VAR:CALENDAR=US&amp;VAR:SYMBOL=05614P10&amp;VAR:INDEX=0"}</definedName>
    <definedName name="_2079__FDSAUDITLINK__" hidden="1">{"fdsup://directions/FAT Viewer?action=UPDATE&amp;creator=factset&amp;DYN_ARGS=TRUE&amp;DOC_NAME=FAT:FQL_AUDITING_CLIENT_TEMPLATE.FAT&amp;display_string=Audit&amp;VAR:KEY=HARWFKBCZQ&amp;VAR:QUERY=RkZfRUJJVERBX0lCKCdMVE1TJywzOTk3OCk=&amp;WINDOW=FIRST_POPUP&amp;HEIGHT=450&amp;WIDTH=450&amp;START_MA","XIMIZED=FALSE&amp;VAR:CALENDAR=US&amp;VAR:SYMBOL=05614P10&amp;VAR:INDEX=0"}</definedName>
    <definedName name="_208__FDSAUDITLINK__" localSheetId="6" hidden="1">{"fdsup://directions/FAT%20Viewer?VAR:PED=LTM&amp;VAR:AUDIT_MODE=SUMMARY&amp;VAR:PERIOD=FIXED&amp;VAR:AUDIT_ID=00000117&amp;VAR:DATE=20090728&amp;action=UPDATE&amp;creator=factset&amp;DOC_NAME=FAT:FMA_audit_SUMMARY.fat&amp;DISPLAY_STRING=Display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8__FDSAUDITLINK__" hidden="1">{"fdsup://directions/FAT%20Viewer?VAR:PED=LTM&amp;VAR:AUDIT_MODE=SUMMARY&amp;VAR:PERIOD=FIXED&amp;VAR:AUDIT_ID=00000117&amp;VAR:DATE=20090728&amp;action=UPDATE&amp;creator=factset&amp;DOC_NAME=FAT:FMA_audit_SUMMARY.fat&amp;DISPLAY_STRING=Display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80__FDSAUDITLINK__" localSheetId="6" hidden="1">{"fdsup://directions/FAT Viewer?action=UPDATE&amp;creator=factset&amp;DYN_ARGS=TRUE&amp;DOC_NAME=FAT:FQL_AUDITING_CLIENT_TEMPLATE.FAT&amp;display_string=Audit&amp;VAR:KEY=ROJMJOXULK&amp;VAR:QUERY=RkZfRUJJVERBX0lCKCdMVE1TJywzOTk3Nyk=&amp;WINDOW=FIRST_POPUP&amp;HEIGHT=450&amp;WIDTH=450&amp;START_MA","XIMIZED=FALSE&amp;VAR:CALENDAR=US&amp;VAR:SYMBOL=05614P10&amp;VAR:INDEX=0"}</definedName>
    <definedName name="_2080__FDSAUDITLINK__" hidden="1">{"fdsup://directions/FAT Viewer?action=UPDATE&amp;creator=factset&amp;DYN_ARGS=TRUE&amp;DOC_NAME=FAT:FQL_AUDITING_CLIENT_TEMPLATE.FAT&amp;display_string=Audit&amp;VAR:KEY=ROJMJOXULK&amp;VAR:QUERY=RkZfRUJJVERBX0lCKCdMVE1TJywzOTk3Nyk=&amp;WINDOW=FIRST_POPUP&amp;HEIGHT=450&amp;WIDTH=450&amp;START_MA","XIMIZED=FALSE&amp;VAR:CALENDAR=US&amp;VAR:SYMBOL=05614P10&amp;VAR:INDEX=0"}</definedName>
    <definedName name="_2081__FDSAUDITLINK__" localSheetId="6" hidden="1">{"fdsup://directions/FAT Viewer?action=UPDATE&amp;creator=factset&amp;DYN_ARGS=TRUE&amp;DOC_NAME=FAT:FQL_AUDITING_CLIENT_TEMPLATE.FAT&amp;display_string=Audit&amp;VAR:KEY=ZONKTCFWJS&amp;VAR:QUERY=RkZfRUJJVERBX0lCKCdMVE1TJywzOTk3Nik=&amp;WINDOW=FIRST_POPUP&amp;HEIGHT=450&amp;WIDTH=450&amp;START_MA","XIMIZED=FALSE&amp;VAR:CALENDAR=US&amp;VAR:SYMBOL=05614P10&amp;VAR:INDEX=0"}</definedName>
    <definedName name="_2081__FDSAUDITLINK__" hidden="1">{"fdsup://directions/FAT Viewer?action=UPDATE&amp;creator=factset&amp;DYN_ARGS=TRUE&amp;DOC_NAME=FAT:FQL_AUDITING_CLIENT_TEMPLATE.FAT&amp;display_string=Audit&amp;VAR:KEY=ZONKTCFWJS&amp;VAR:QUERY=RkZfRUJJVERBX0lCKCdMVE1TJywzOTk3Nik=&amp;WINDOW=FIRST_POPUP&amp;HEIGHT=450&amp;WIDTH=450&amp;START_MA","XIMIZED=FALSE&amp;VAR:CALENDAR=US&amp;VAR:SYMBOL=05614P10&amp;VAR:INDEX=0"}</definedName>
    <definedName name="_2082__FDSAUDITLINK__" localSheetId="6" hidden="1">{"fdsup://directions/FAT Viewer?action=UPDATE&amp;creator=factset&amp;DYN_ARGS=TRUE&amp;DOC_NAME=FAT:FQL_AUDITING_CLIENT_TEMPLATE.FAT&amp;display_string=Audit&amp;VAR:KEY=HWPODQBUFQ&amp;VAR:QUERY=RkZfRUJJVERBX0lCKCdMVE1TJywzOTk3NSk=&amp;WINDOW=FIRST_POPUP&amp;HEIGHT=450&amp;WIDTH=450&amp;START_MA","XIMIZED=FALSE&amp;VAR:CALENDAR=US&amp;VAR:SYMBOL=05614P10&amp;VAR:INDEX=0"}</definedName>
    <definedName name="_2082__FDSAUDITLINK__" hidden="1">{"fdsup://directions/FAT Viewer?action=UPDATE&amp;creator=factset&amp;DYN_ARGS=TRUE&amp;DOC_NAME=FAT:FQL_AUDITING_CLIENT_TEMPLATE.FAT&amp;display_string=Audit&amp;VAR:KEY=HWPODQBUFQ&amp;VAR:QUERY=RkZfRUJJVERBX0lCKCdMVE1TJywzOTk3NSk=&amp;WINDOW=FIRST_POPUP&amp;HEIGHT=450&amp;WIDTH=450&amp;START_MA","XIMIZED=FALSE&amp;VAR:CALENDAR=US&amp;VAR:SYMBOL=05614P10&amp;VAR:INDEX=0"}</definedName>
    <definedName name="_2083__FDSAUDITLINK__" localSheetId="6" hidden="1">{"fdsup://directions/FAT Viewer?action=UPDATE&amp;creator=factset&amp;DYN_ARGS=TRUE&amp;DOC_NAME=FAT:FQL_AUDITING_CLIENT_TEMPLATE.FAT&amp;display_string=Audit&amp;VAR:KEY=TKJSBAXKVG&amp;VAR:QUERY=RkZfRUJJVERBX0lCKCdMVE1TJywzOTk3NCk=&amp;WINDOW=FIRST_POPUP&amp;HEIGHT=450&amp;WIDTH=450&amp;START_MA","XIMIZED=FALSE&amp;VAR:CALENDAR=US&amp;VAR:SYMBOL=05614P10&amp;VAR:INDEX=0"}</definedName>
    <definedName name="_2083__FDSAUDITLINK__" hidden="1">{"fdsup://directions/FAT Viewer?action=UPDATE&amp;creator=factset&amp;DYN_ARGS=TRUE&amp;DOC_NAME=FAT:FQL_AUDITING_CLIENT_TEMPLATE.FAT&amp;display_string=Audit&amp;VAR:KEY=TKJSBAXKVG&amp;VAR:QUERY=RkZfRUJJVERBX0lCKCdMVE1TJywzOTk3NCk=&amp;WINDOW=FIRST_POPUP&amp;HEIGHT=450&amp;WIDTH=450&amp;START_MA","XIMIZED=FALSE&amp;VAR:CALENDAR=US&amp;VAR:SYMBOL=05614P10&amp;VAR:INDEX=0"}</definedName>
    <definedName name="_2084__FDSAUDITLINK__" localSheetId="6" hidden="1">{"fdsup://directions/FAT Viewer?action=UPDATE&amp;creator=factset&amp;DYN_ARGS=TRUE&amp;DOC_NAME=FAT:FQL_AUDITING_CLIENT_TEMPLATE.FAT&amp;display_string=Audit&amp;VAR:KEY=ZCVWZSTKDC&amp;VAR:QUERY=RkZfRUJJVERBX0lCKCdMVE1TJywzOTk3Myk=&amp;WINDOW=FIRST_POPUP&amp;HEIGHT=450&amp;WIDTH=450&amp;START_MA","XIMIZED=FALSE&amp;VAR:CALENDAR=US&amp;VAR:SYMBOL=05614P10&amp;VAR:INDEX=0"}</definedName>
    <definedName name="_2084__FDSAUDITLINK__" hidden="1">{"fdsup://directions/FAT Viewer?action=UPDATE&amp;creator=factset&amp;DYN_ARGS=TRUE&amp;DOC_NAME=FAT:FQL_AUDITING_CLIENT_TEMPLATE.FAT&amp;display_string=Audit&amp;VAR:KEY=ZCVWZSTKDC&amp;VAR:QUERY=RkZfRUJJVERBX0lCKCdMVE1TJywzOTk3Myk=&amp;WINDOW=FIRST_POPUP&amp;HEIGHT=450&amp;WIDTH=450&amp;START_MA","XIMIZED=FALSE&amp;VAR:CALENDAR=US&amp;VAR:SYMBOL=05614P10&amp;VAR:INDEX=0"}</definedName>
    <definedName name="_2085__FDSAUDITLINK__" localSheetId="6" hidden="1">{"fdsup://directions/FAT Viewer?action=UPDATE&amp;creator=factset&amp;DYN_ARGS=TRUE&amp;DOC_NAME=FAT:FQL_AUDITING_CLIENT_TEMPLATE.FAT&amp;display_string=Audit&amp;VAR:KEY=VKLKTCDSDA&amp;VAR:QUERY=RkZfRUJJVERBX0lCKCdMVE1TJywzOTk3Mik=&amp;WINDOW=FIRST_POPUP&amp;HEIGHT=450&amp;WIDTH=450&amp;START_MA","XIMIZED=FALSE&amp;VAR:CALENDAR=US&amp;VAR:SYMBOL=05614P10&amp;VAR:INDEX=0"}</definedName>
    <definedName name="_2085__FDSAUDITLINK__" hidden="1">{"fdsup://directions/FAT Viewer?action=UPDATE&amp;creator=factset&amp;DYN_ARGS=TRUE&amp;DOC_NAME=FAT:FQL_AUDITING_CLIENT_TEMPLATE.FAT&amp;display_string=Audit&amp;VAR:KEY=VKLKTCDSDA&amp;VAR:QUERY=RkZfRUJJVERBX0lCKCdMVE1TJywzOTk3Mik=&amp;WINDOW=FIRST_POPUP&amp;HEIGHT=450&amp;WIDTH=450&amp;START_MA","XIMIZED=FALSE&amp;VAR:CALENDAR=US&amp;VAR:SYMBOL=05614P10&amp;VAR:INDEX=0"}</definedName>
    <definedName name="_2086__FDSAUDITLINK__" localSheetId="6" hidden="1">{"fdsup://directions/FAT Viewer?action=UPDATE&amp;creator=factset&amp;DYN_ARGS=TRUE&amp;DOC_NAME=FAT:FQL_AUDITING_CLIENT_TEMPLATE.FAT&amp;display_string=Audit&amp;VAR:KEY=FYJGBAFAPA&amp;VAR:QUERY=RkZfRUJJVERBX0lCKCdMVE1TJywzOTk3MSk=&amp;WINDOW=FIRST_POPUP&amp;HEIGHT=450&amp;WIDTH=450&amp;START_MA","XIMIZED=FALSE&amp;VAR:CALENDAR=US&amp;VAR:SYMBOL=05614P10&amp;VAR:INDEX=0"}</definedName>
    <definedName name="_2086__FDSAUDITLINK__" hidden="1">{"fdsup://directions/FAT Viewer?action=UPDATE&amp;creator=factset&amp;DYN_ARGS=TRUE&amp;DOC_NAME=FAT:FQL_AUDITING_CLIENT_TEMPLATE.FAT&amp;display_string=Audit&amp;VAR:KEY=FYJGBAFAPA&amp;VAR:QUERY=RkZfRUJJVERBX0lCKCdMVE1TJywzOTk3MSk=&amp;WINDOW=FIRST_POPUP&amp;HEIGHT=450&amp;WIDTH=450&amp;START_MA","XIMIZED=FALSE&amp;VAR:CALENDAR=US&amp;VAR:SYMBOL=05614P10&amp;VAR:INDEX=0"}</definedName>
    <definedName name="_2087__FDSAUDITLINK__" localSheetId="6" hidden="1">{"fdsup://directions/FAT Viewer?action=UPDATE&amp;creator=factset&amp;DYN_ARGS=TRUE&amp;DOC_NAME=FAT:FQL_AUDITING_CLIENT_TEMPLATE.FAT&amp;display_string=Audit&amp;VAR:KEY=JADGJSVQZO&amp;VAR:QUERY=RkZfRUJJVERBX0lCKCdMVE1TJywzOTk3MCk=&amp;WINDOW=FIRST_POPUP&amp;HEIGHT=450&amp;WIDTH=450&amp;START_MA","XIMIZED=FALSE&amp;VAR:CALENDAR=US&amp;VAR:SYMBOL=05614P10&amp;VAR:INDEX=0"}</definedName>
    <definedName name="_2087__FDSAUDITLINK__" hidden="1">{"fdsup://directions/FAT Viewer?action=UPDATE&amp;creator=factset&amp;DYN_ARGS=TRUE&amp;DOC_NAME=FAT:FQL_AUDITING_CLIENT_TEMPLATE.FAT&amp;display_string=Audit&amp;VAR:KEY=JADGJSVQZO&amp;VAR:QUERY=RkZfRUJJVERBX0lCKCdMVE1TJywzOTk3MCk=&amp;WINDOW=FIRST_POPUP&amp;HEIGHT=450&amp;WIDTH=450&amp;START_MA","XIMIZED=FALSE&amp;VAR:CALENDAR=US&amp;VAR:SYMBOL=05614P10&amp;VAR:INDEX=0"}</definedName>
    <definedName name="_2088__FDSAUDITLINK__" localSheetId="6" hidden="1">{"fdsup://directions/FAT Viewer?action=UPDATE&amp;creator=factset&amp;DYN_ARGS=TRUE&amp;DOC_NAME=FAT:FQL_AUDITING_CLIENT_TEMPLATE.FAT&amp;display_string=Audit&amp;VAR:KEY=LSHQNAXUBC&amp;VAR:QUERY=RkZfRUJJVERBX0lCKCdMVE1TJywzOTk2OSk=&amp;WINDOW=FIRST_POPUP&amp;HEIGHT=450&amp;WIDTH=450&amp;START_MA","XIMIZED=FALSE&amp;VAR:CALENDAR=US&amp;VAR:SYMBOL=05614P10&amp;VAR:INDEX=0"}</definedName>
    <definedName name="_2088__FDSAUDITLINK__" hidden="1">{"fdsup://directions/FAT Viewer?action=UPDATE&amp;creator=factset&amp;DYN_ARGS=TRUE&amp;DOC_NAME=FAT:FQL_AUDITING_CLIENT_TEMPLATE.FAT&amp;display_string=Audit&amp;VAR:KEY=LSHQNAXUBC&amp;VAR:QUERY=RkZfRUJJVERBX0lCKCdMVE1TJywzOTk2OSk=&amp;WINDOW=FIRST_POPUP&amp;HEIGHT=450&amp;WIDTH=450&amp;START_MA","XIMIZED=FALSE&amp;VAR:CALENDAR=US&amp;VAR:SYMBOL=05614P10&amp;VAR:INDEX=0"}</definedName>
    <definedName name="_2089__FDSAUDITLINK__" localSheetId="6" hidden="1">{"fdsup://directions/FAT Viewer?action=UPDATE&amp;creator=factset&amp;DYN_ARGS=TRUE&amp;DOC_NAME=FAT:FQL_AUDITING_CLIENT_TEMPLATE.FAT&amp;display_string=Audit&amp;VAR:KEY=JYBMPABWHE&amp;VAR:QUERY=RkZfRUJJVERBX0lCKCdMVE1TJywzOTk2OCk=&amp;WINDOW=FIRST_POPUP&amp;HEIGHT=450&amp;WIDTH=450&amp;START_MA","XIMIZED=FALSE&amp;VAR:CALENDAR=US&amp;VAR:SYMBOL=05614P10&amp;VAR:INDEX=0"}</definedName>
    <definedName name="_2089__FDSAUDITLINK__" hidden="1">{"fdsup://directions/FAT Viewer?action=UPDATE&amp;creator=factset&amp;DYN_ARGS=TRUE&amp;DOC_NAME=FAT:FQL_AUDITING_CLIENT_TEMPLATE.FAT&amp;display_string=Audit&amp;VAR:KEY=JYBMPABWHE&amp;VAR:QUERY=RkZfRUJJVERBX0lCKCdMVE1TJywzOTk2OCk=&amp;WINDOW=FIRST_POPUP&amp;HEIGHT=450&amp;WIDTH=450&amp;START_MA","XIMIZED=FALSE&amp;VAR:CALENDAR=US&amp;VAR:SYMBOL=05614P10&amp;VAR:INDEX=0"}</definedName>
    <definedName name="_209__FDSAUDITLINK__" localSheetId="6" hidden="1">{"fdsup://directions/FAT%20Viewer?VAR:PED=LTM&amp;VAR:AUDIT_MODE=SUMMARY&amp;VAR:PERIOD=FIXED&amp;VAR:AUDIT_ID=00000117&amp;VAR:DATE=20090727&amp;action=UPDATE&amp;creator=factset&amp;DOC_NAME=FAT:FMA_audit_SUMMARY.fat&amp;DISPLAY_STRING=Display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9__FDSAUDITLINK__" hidden="1">{"fdsup://directions/FAT%20Viewer?VAR:PED=LTM&amp;VAR:AUDIT_MODE=SUMMARY&amp;VAR:PERIOD=FIXED&amp;VAR:AUDIT_ID=00000117&amp;VAR:DATE=20090727&amp;action=UPDATE&amp;creator=factset&amp;DOC_NAME=FAT:FMA_audit_SUMMARY.fat&amp;DISPLAY_STRING=Display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090__FDSAUDITLINK__" localSheetId="6" hidden="1">{"fdsup://directions/FAT Viewer?action=UPDATE&amp;creator=factset&amp;DYN_ARGS=TRUE&amp;DOC_NAME=FAT:FQL_AUDITING_CLIENT_TEMPLATE.FAT&amp;display_string=Audit&amp;VAR:KEY=HSHKDMDEPG&amp;VAR:QUERY=RkZfRUJJVERBX0lCKCdMVE1TJywzOTk2Nyk=&amp;WINDOW=FIRST_POPUP&amp;HEIGHT=450&amp;WIDTH=450&amp;START_MA","XIMIZED=FALSE&amp;VAR:CALENDAR=US&amp;VAR:SYMBOL=05614P10&amp;VAR:INDEX=0"}</definedName>
    <definedName name="_2090__FDSAUDITLINK__" hidden="1">{"fdsup://directions/FAT Viewer?action=UPDATE&amp;creator=factset&amp;DYN_ARGS=TRUE&amp;DOC_NAME=FAT:FQL_AUDITING_CLIENT_TEMPLATE.FAT&amp;display_string=Audit&amp;VAR:KEY=HSHKDMDEPG&amp;VAR:QUERY=RkZfRUJJVERBX0lCKCdMVE1TJywzOTk2Nyk=&amp;WINDOW=FIRST_POPUP&amp;HEIGHT=450&amp;WIDTH=450&amp;START_MA","XIMIZED=FALSE&amp;VAR:CALENDAR=US&amp;VAR:SYMBOL=05614P10&amp;VAR:INDEX=0"}</definedName>
    <definedName name="_2091__FDSAUDITLINK__" localSheetId="6" hidden="1">{"fdsup://directions/FAT Viewer?action=UPDATE&amp;creator=factset&amp;DYN_ARGS=TRUE&amp;DOC_NAME=FAT:FQL_AUDITING_CLIENT_TEMPLATE.FAT&amp;display_string=Audit&amp;VAR:KEY=LGVUJSNYBQ&amp;VAR:QUERY=RkZfRUJJVERBX0lCKCdMVE1TJywzOTk2Nik=&amp;WINDOW=FIRST_POPUP&amp;HEIGHT=450&amp;WIDTH=450&amp;START_MA","XIMIZED=FALSE&amp;VAR:CALENDAR=US&amp;VAR:SYMBOL=05614P10&amp;VAR:INDEX=0"}</definedName>
    <definedName name="_2091__FDSAUDITLINK__" hidden="1">{"fdsup://directions/FAT Viewer?action=UPDATE&amp;creator=factset&amp;DYN_ARGS=TRUE&amp;DOC_NAME=FAT:FQL_AUDITING_CLIENT_TEMPLATE.FAT&amp;display_string=Audit&amp;VAR:KEY=LGVUJSNYBQ&amp;VAR:QUERY=RkZfRUJJVERBX0lCKCdMVE1TJywzOTk2Nik=&amp;WINDOW=FIRST_POPUP&amp;HEIGHT=450&amp;WIDTH=450&amp;START_MA","XIMIZED=FALSE&amp;VAR:CALENDAR=US&amp;VAR:SYMBOL=05614P10&amp;VAR:INDEX=0"}</definedName>
    <definedName name="_2092__FDSAUDITLINK__" localSheetId="6" hidden="1">{"fdsup://directions/FAT Viewer?action=UPDATE&amp;creator=factset&amp;DYN_ARGS=TRUE&amp;DOC_NAME=FAT:FQL_AUDITING_CLIENT_TEMPLATE.FAT&amp;display_string=Audit&amp;VAR:KEY=NOFUZMPGLC&amp;VAR:QUERY=RkZfRUJJVERBX0lCKCdMVE1TJywzOTk2NSk=&amp;WINDOW=FIRST_POPUP&amp;HEIGHT=450&amp;WIDTH=450&amp;START_MA","XIMIZED=FALSE&amp;VAR:CALENDAR=US&amp;VAR:SYMBOL=05614P10&amp;VAR:INDEX=0"}</definedName>
    <definedName name="_2092__FDSAUDITLINK__" hidden="1">{"fdsup://directions/FAT Viewer?action=UPDATE&amp;creator=factset&amp;DYN_ARGS=TRUE&amp;DOC_NAME=FAT:FQL_AUDITING_CLIENT_TEMPLATE.FAT&amp;display_string=Audit&amp;VAR:KEY=NOFUZMPGLC&amp;VAR:QUERY=RkZfRUJJVERBX0lCKCdMVE1TJywzOTk2NSk=&amp;WINDOW=FIRST_POPUP&amp;HEIGHT=450&amp;WIDTH=450&amp;START_MA","XIMIZED=FALSE&amp;VAR:CALENDAR=US&amp;VAR:SYMBOL=05614P10&amp;VAR:INDEX=0"}</definedName>
    <definedName name="_2093__FDSAUDITLINK__" localSheetId="6" hidden="1">{"fdsup://directions/FAT Viewer?action=UPDATE&amp;creator=factset&amp;DYN_ARGS=TRUE&amp;DOC_NAME=FAT:FQL_AUDITING_CLIENT_TEMPLATE.FAT&amp;display_string=Audit&amp;VAR:KEY=JWLQTMVELK&amp;VAR:QUERY=RkZfRUJJVERBX0lCKCdMVE1TJywzOTk2NCk=&amp;WINDOW=FIRST_POPUP&amp;HEIGHT=450&amp;WIDTH=450&amp;START_MA","XIMIZED=FALSE&amp;VAR:CALENDAR=US&amp;VAR:SYMBOL=05614P10&amp;VAR:INDEX=0"}</definedName>
    <definedName name="_2093__FDSAUDITLINK__" hidden="1">{"fdsup://directions/FAT Viewer?action=UPDATE&amp;creator=factset&amp;DYN_ARGS=TRUE&amp;DOC_NAME=FAT:FQL_AUDITING_CLIENT_TEMPLATE.FAT&amp;display_string=Audit&amp;VAR:KEY=JWLQTMVELK&amp;VAR:QUERY=RkZfRUJJVERBX0lCKCdMVE1TJywzOTk2NCk=&amp;WINDOW=FIRST_POPUP&amp;HEIGHT=450&amp;WIDTH=450&amp;START_MA","XIMIZED=FALSE&amp;VAR:CALENDAR=US&amp;VAR:SYMBOL=05614P10&amp;VAR:INDEX=0"}</definedName>
    <definedName name="_2094__FDSAUDITLINK__" localSheetId="6" hidden="1">{"fdsup://directions/FAT Viewer?action=UPDATE&amp;creator=factset&amp;DYN_ARGS=TRUE&amp;DOC_NAME=FAT:FQL_AUDITING_CLIENT_TEMPLATE.FAT&amp;display_string=Audit&amp;VAR:KEY=PYVYZODMDA&amp;VAR:QUERY=RkZfRUJJVERBX0lCKCdMVE1TJywzOTk2Myk=&amp;WINDOW=FIRST_POPUP&amp;HEIGHT=450&amp;WIDTH=450&amp;START_MA","XIMIZED=FALSE&amp;VAR:CALENDAR=US&amp;VAR:SYMBOL=05614P10&amp;VAR:INDEX=0"}</definedName>
    <definedName name="_2094__FDSAUDITLINK__" hidden="1">{"fdsup://directions/FAT Viewer?action=UPDATE&amp;creator=factset&amp;DYN_ARGS=TRUE&amp;DOC_NAME=FAT:FQL_AUDITING_CLIENT_TEMPLATE.FAT&amp;display_string=Audit&amp;VAR:KEY=PYVYZODMDA&amp;VAR:QUERY=RkZfRUJJVERBX0lCKCdMVE1TJywzOTk2Myk=&amp;WINDOW=FIRST_POPUP&amp;HEIGHT=450&amp;WIDTH=450&amp;START_MA","XIMIZED=FALSE&amp;VAR:CALENDAR=US&amp;VAR:SYMBOL=05614P10&amp;VAR:INDEX=0"}</definedName>
    <definedName name="_2095__FDSAUDITLINK__" localSheetId="6" hidden="1">{"fdsup://directions/FAT Viewer?action=UPDATE&amp;creator=factset&amp;DYN_ARGS=TRUE&amp;DOC_NAME=FAT:FQL_AUDITING_CLIENT_TEMPLATE.FAT&amp;display_string=Audit&amp;VAR:KEY=DIBUZIFEJW&amp;VAR:QUERY=RkZfRUJJVERBX0lCKCdMVE1TJywzOTk2Mik=&amp;WINDOW=FIRST_POPUP&amp;HEIGHT=450&amp;WIDTH=450&amp;START_MA","XIMIZED=FALSE&amp;VAR:CALENDAR=US&amp;VAR:SYMBOL=05614P10&amp;VAR:INDEX=0"}</definedName>
    <definedName name="_2095__FDSAUDITLINK__" hidden="1">{"fdsup://directions/FAT Viewer?action=UPDATE&amp;creator=factset&amp;DYN_ARGS=TRUE&amp;DOC_NAME=FAT:FQL_AUDITING_CLIENT_TEMPLATE.FAT&amp;display_string=Audit&amp;VAR:KEY=DIBUZIFEJW&amp;VAR:QUERY=RkZfRUJJVERBX0lCKCdMVE1TJywzOTk2Mik=&amp;WINDOW=FIRST_POPUP&amp;HEIGHT=450&amp;WIDTH=450&amp;START_MA","XIMIZED=FALSE&amp;VAR:CALENDAR=US&amp;VAR:SYMBOL=05614P10&amp;VAR:INDEX=0"}</definedName>
    <definedName name="_2096__FDSAUDITLINK__" localSheetId="6" hidden="1">{"fdsup://directions/FAT Viewer?action=UPDATE&amp;creator=factset&amp;DYN_ARGS=TRUE&amp;DOC_NAME=FAT:FQL_AUDITING_CLIENT_TEMPLATE.FAT&amp;display_string=Audit&amp;VAR:KEY=XKTKLIVERW&amp;VAR:QUERY=RkZfRUJJVERBX0lCKCdMVE1TJywzOTk2MSk=&amp;WINDOW=FIRST_POPUP&amp;HEIGHT=450&amp;WIDTH=450&amp;START_MA","XIMIZED=FALSE&amp;VAR:CALENDAR=US&amp;VAR:SYMBOL=05614P10&amp;VAR:INDEX=0"}</definedName>
    <definedName name="_2096__FDSAUDITLINK__" hidden="1">{"fdsup://directions/FAT Viewer?action=UPDATE&amp;creator=factset&amp;DYN_ARGS=TRUE&amp;DOC_NAME=FAT:FQL_AUDITING_CLIENT_TEMPLATE.FAT&amp;display_string=Audit&amp;VAR:KEY=XKTKLIVERW&amp;VAR:QUERY=RkZfRUJJVERBX0lCKCdMVE1TJywzOTk2MSk=&amp;WINDOW=FIRST_POPUP&amp;HEIGHT=450&amp;WIDTH=450&amp;START_MA","XIMIZED=FALSE&amp;VAR:CALENDAR=US&amp;VAR:SYMBOL=05614P10&amp;VAR:INDEX=0"}</definedName>
    <definedName name="_2097__FDSAUDITLINK__" localSheetId="6" hidden="1">{"fdsup://directions/FAT Viewer?action=UPDATE&amp;creator=factset&amp;DYN_ARGS=TRUE&amp;DOC_NAME=FAT:FQL_AUDITING_CLIENT_TEMPLATE.FAT&amp;display_string=Audit&amp;VAR:KEY=RWJGRQPQDW&amp;VAR:QUERY=RkZfRUJJVERBX0lCKCdMVE1TJywzOTk2MCk=&amp;WINDOW=FIRST_POPUP&amp;HEIGHT=450&amp;WIDTH=450&amp;START_MA","XIMIZED=FALSE&amp;VAR:CALENDAR=US&amp;VAR:SYMBOL=05614P10&amp;VAR:INDEX=0"}</definedName>
    <definedName name="_2097__FDSAUDITLINK__" hidden="1">{"fdsup://directions/FAT Viewer?action=UPDATE&amp;creator=factset&amp;DYN_ARGS=TRUE&amp;DOC_NAME=FAT:FQL_AUDITING_CLIENT_TEMPLATE.FAT&amp;display_string=Audit&amp;VAR:KEY=RWJGRQPQDW&amp;VAR:QUERY=RkZfRUJJVERBX0lCKCdMVE1TJywzOTk2MCk=&amp;WINDOW=FIRST_POPUP&amp;HEIGHT=450&amp;WIDTH=450&amp;START_MA","XIMIZED=FALSE&amp;VAR:CALENDAR=US&amp;VAR:SYMBOL=05614P10&amp;VAR:INDEX=0"}</definedName>
    <definedName name="_2098__FDSAUDITLINK__" localSheetId="6" hidden="1">{"fdsup://directions/FAT Viewer?action=UPDATE&amp;creator=factset&amp;DYN_ARGS=TRUE&amp;DOC_NAME=FAT:FQL_AUDITING_CLIENT_TEMPLATE.FAT&amp;display_string=Audit&amp;VAR:KEY=VIJOXUBSHW&amp;VAR:QUERY=RkZfRUJJVERBX0lCKCdMVE1TJywzOTk1OSk=&amp;WINDOW=FIRST_POPUP&amp;HEIGHT=450&amp;WIDTH=450&amp;START_MA","XIMIZED=FALSE&amp;VAR:CALENDAR=US&amp;VAR:SYMBOL=05614P10&amp;VAR:INDEX=0"}</definedName>
    <definedName name="_2098__FDSAUDITLINK__" hidden="1">{"fdsup://directions/FAT Viewer?action=UPDATE&amp;creator=factset&amp;DYN_ARGS=TRUE&amp;DOC_NAME=FAT:FQL_AUDITING_CLIENT_TEMPLATE.FAT&amp;display_string=Audit&amp;VAR:KEY=VIJOXUBSHW&amp;VAR:QUERY=RkZfRUJJVERBX0lCKCdMVE1TJywzOTk1OSk=&amp;WINDOW=FIRST_POPUP&amp;HEIGHT=450&amp;WIDTH=450&amp;START_MA","XIMIZED=FALSE&amp;VAR:CALENDAR=US&amp;VAR:SYMBOL=05614P10&amp;VAR:INDEX=0"}</definedName>
    <definedName name="_2099__FDSAUDITLINK__" localSheetId="6" hidden="1">{"fdsup://directions/FAT Viewer?action=UPDATE&amp;creator=factset&amp;DYN_ARGS=TRUE&amp;DOC_NAME=FAT:FQL_AUDITING_CLIENT_TEMPLATE.FAT&amp;display_string=Audit&amp;VAR:KEY=PMHATWXIXM&amp;VAR:QUERY=RkZfRUJJVERBX0lCKCdMVE1TJywzOTk1OCk=&amp;WINDOW=FIRST_POPUP&amp;HEIGHT=450&amp;WIDTH=450&amp;START_MA","XIMIZED=FALSE&amp;VAR:CALENDAR=US&amp;VAR:SYMBOL=05614P10&amp;VAR:INDEX=0"}</definedName>
    <definedName name="_2099__FDSAUDITLINK__" hidden="1">{"fdsup://directions/FAT Viewer?action=UPDATE&amp;creator=factset&amp;DYN_ARGS=TRUE&amp;DOC_NAME=FAT:FQL_AUDITING_CLIENT_TEMPLATE.FAT&amp;display_string=Audit&amp;VAR:KEY=PMHATWXIXM&amp;VAR:QUERY=RkZfRUJJVERBX0lCKCdMVE1TJywzOTk1OCk=&amp;WINDOW=FIRST_POPUP&amp;HEIGHT=450&amp;WIDTH=450&amp;START_MA","XIMIZED=FALSE&amp;VAR:CALENDAR=US&amp;VAR:SYMBOL=05614P10&amp;VAR:INDEX=0"}</definedName>
    <definedName name="_210__FDSAUDITLINK__" localSheetId="6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0__FDSAUDITLINK__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00__FDSAUDITLINK__" localSheetId="6" hidden="1">{"fdsup://directions/FAT Viewer?action=UPDATE&amp;creator=factset&amp;DYN_ARGS=TRUE&amp;DOC_NAME=FAT:FQL_AUDITING_CLIENT_TEMPLATE.FAT&amp;display_string=Audit&amp;VAR:KEY=NUZOVSVMTW&amp;VAR:QUERY=RkZfRUJJVERBX0lCKCdMVE1TJywzOTk1Nyk=&amp;WINDOW=FIRST_POPUP&amp;HEIGHT=450&amp;WIDTH=450&amp;START_MA","XIMIZED=FALSE&amp;VAR:CALENDAR=US&amp;VAR:SYMBOL=05614P10&amp;VAR:INDEX=0"}</definedName>
    <definedName name="_2100__FDSAUDITLINK__" hidden="1">{"fdsup://directions/FAT Viewer?action=UPDATE&amp;creator=factset&amp;DYN_ARGS=TRUE&amp;DOC_NAME=FAT:FQL_AUDITING_CLIENT_TEMPLATE.FAT&amp;display_string=Audit&amp;VAR:KEY=NUZOVSVMTW&amp;VAR:QUERY=RkZfRUJJVERBX0lCKCdMVE1TJywzOTk1Nyk=&amp;WINDOW=FIRST_POPUP&amp;HEIGHT=450&amp;WIDTH=450&amp;START_MA","XIMIZED=FALSE&amp;VAR:CALENDAR=US&amp;VAR:SYMBOL=05614P10&amp;VAR:INDEX=0"}</definedName>
    <definedName name="_2101__FDSAUDITLINK__" localSheetId="6" hidden="1">{"fdsup://directions/FAT Viewer?action=UPDATE&amp;creator=factset&amp;DYN_ARGS=TRUE&amp;DOC_NAME=FAT:FQL_AUDITING_CLIENT_TEMPLATE.FAT&amp;display_string=Audit&amp;VAR:KEY=VSZWLEDQTY&amp;VAR:QUERY=RkZfRUJJVERBX0lCKCdMVE1TJywzOTk1Nik=&amp;WINDOW=FIRST_POPUP&amp;HEIGHT=450&amp;WIDTH=450&amp;START_MA","XIMIZED=FALSE&amp;VAR:CALENDAR=US&amp;VAR:SYMBOL=05614P10&amp;VAR:INDEX=0"}</definedName>
    <definedName name="_2101__FDSAUDITLINK__" hidden="1">{"fdsup://directions/FAT Viewer?action=UPDATE&amp;creator=factset&amp;DYN_ARGS=TRUE&amp;DOC_NAME=FAT:FQL_AUDITING_CLIENT_TEMPLATE.FAT&amp;display_string=Audit&amp;VAR:KEY=VSZWLEDQTY&amp;VAR:QUERY=RkZfRUJJVERBX0lCKCdMVE1TJywzOTk1Nik=&amp;WINDOW=FIRST_POPUP&amp;HEIGHT=450&amp;WIDTH=450&amp;START_MA","XIMIZED=FALSE&amp;VAR:CALENDAR=US&amp;VAR:SYMBOL=05614P10&amp;VAR:INDEX=0"}</definedName>
    <definedName name="_2102__FDSAUDITLINK__" localSheetId="6" hidden="1">{"fdsup://directions/FAT Viewer?action=UPDATE&amp;creator=factset&amp;DYN_ARGS=TRUE&amp;DOC_NAME=FAT:FQL_AUDITING_CLIENT_TEMPLATE.FAT&amp;display_string=Audit&amp;VAR:KEY=TGTWDCDOLM&amp;VAR:QUERY=RkZfRUJJVERBX0lCKCdMVE1TJywzOTk1NSk=&amp;WINDOW=FIRST_POPUP&amp;HEIGHT=450&amp;WIDTH=450&amp;START_MA","XIMIZED=FALSE&amp;VAR:CALENDAR=US&amp;VAR:SYMBOL=05614P10&amp;VAR:INDEX=0"}</definedName>
    <definedName name="_2102__FDSAUDITLINK__" hidden="1">{"fdsup://directions/FAT Viewer?action=UPDATE&amp;creator=factset&amp;DYN_ARGS=TRUE&amp;DOC_NAME=FAT:FQL_AUDITING_CLIENT_TEMPLATE.FAT&amp;display_string=Audit&amp;VAR:KEY=TGTWDCDOLM&amp;VAR:QUERY=RkZfRUJJVERBX0lCKCdMVE1TJywzOTk1NSk=&amp;WINDOW=FIRST_POPUP&amp;HEIGHT=450&amp;WIDTH=450&amp;START_MA","XIMIZED=FALSE&amp;VAR:CALENDAR=US&amp;VAR:SYMBOL=05614P10&amp;VAR:INDEX=0"}</definedName>
    <definedName name="_2103__FDSAUDITLINK__" localSheetId="6" hidden="1">{"fdsup://directions/FAT Viewer?action=UPDATE&amp;creator=factset&amp;DYN_ARGS=TRUE&amp;DOC_NAME=FAT:FQL_AUDITING_CLIENT_TEMPLATE.FAT&amp;display_string=Audit&amp;VAR:KEY=TWTCRCVOBC&amp;VAR:QUERY=RkZfRUJJVERBX0lCKCdMVE1TJywzOTk1NCk=&amp;WINDOW=FIRST_POPUP&amp;HEIGHT=450&amp;WIDTH=450&amp;START_MA","XIMIZED=FALSE&amp;VAR:CALENDAR=US&amp;VAR:SYMBOL=05614P10&amp;VAR:INDEX=0"}</definedName>
    <definedName name="_2103__FDSAUDITLINK__" hidden="1">{"fdsup://directions/FAT Viewer?action=UPDATE&amp;creator=factset&amp;DYN_ARGS=TRUE&amp;DOC_NAME=FAT:FQL_AUDITING_CLIENT_TEMPLATE.FAT&amp;display_string=Audit&amp;VAR:KEY=TWTCRCVOBC&amp;VAR:QUERY=RkZfRUJJVERBX0lCKCdMVE1TJywzOTk1NCk=&amp;WINDOW=FIRST_POPUP&amp;HEIGHT=450&amp;WIDTH=450&amp;START_MA","XIMIZED=FALSE&amp;VAR:CALENDAR=US&amp;VAR:SYMBOL=05614P10&amp;VAR:INDEX=0"}</definedName>
    <definedName name="_2104__FDSAUDITLINK__" localSheetId="6" hidden="1">{"fdsup://directions/FAT Viewer?action=UPDATE&amp;creator=factset&amp;DYN_ARGS=TRUE&amp;DOC_NAME=FAT:FQL_AUDITING_CLIENT_TEMPLATE.FAT&amp;display_string=Audit&amp;VAR:KEY=RKFWJMJEXW&amp;VAR:QUERY=RkZfRUJJVERBX0lCKCdMVE1TJywzOTk1Myk=&amp;WINDOW=FIRST_POPUP&amp;HEIGHT=450&amp;WIDTH=450&amp;START_MA","XIMIZED=FALSE&amp;VAR:CALENDAR=US&amp;VAR:SYMBOL=05614P10&amp;VAR:INDEX=0"}</definedName>
    <definedName name="_2104__FDSAUDITLINK__" hidden="1">{"fdsup://directions/FAT Viewer?action=UPDATE&amp;creator=factset&amp;DYN_ARGS=TRUE&amp;DOC_NAME=FAT:FQL_AUDITING_CLIENT_TEMPLATE.FAT&amp;display_string=Audit&amp;VAR:KEY=RKFWJMJEXW&amp;VAR:QUERY=RkZfRUJJVERBX0lCKCdMVE1TJywzOTk1Myk=&amp;WINDOW=FIRST_POPUP&amp;HEIGHT=450&amp;WIDTH=450&amp;START_MA","XIMIZED=FALSE&amp;VAR:CALENDAR=US&amp;VAR:SYMBOL=05614P10&amp;VAR:INDEX=0"}</definedName>
    <definedName name="_2105__FDSAUDITLINK__" localSheetId="6" hidden="1">{"fdsup://directions/FAT Viewer?action=UPDATE&amp;creator=factset&amp;DYN_ARGS=TRUE&amp;DOC_NAME=FAT:FQL_AUDITING_CLIENT_TEMPLATE.FAT&amp;display_string=Audit&amp;VAR:KEY=XWVQXKDCTE&amp;VAR:QUERY=RkZfRUJJVERBX0lCKCdMVE1TJywzOTk1Mik=&amp;WINDOW=FIRST_POPUP&amp;HEIGHT=450&amp;WIDTH=450&amp;START_MA","XIMIZED=FALSE&amp;VAR:CALENDAR=US&amp;VAR:SYMBOL=05614P10&amp;VAR:INDEX=0"}</definedName>
    <definedName name="_2105__FDSAUDITLINK__" hidden="1">{"fdsup://directions/FAT Viewer?action=UPDATE&amp;creator=factset&amp;DYN_ARGS=TRUE&amp;DOC_NAME=FAT:FQL_AUDITING_CLIENT_TEMPLATE.FAT&amp;display_string=Audit&amp;VAR:KEY=XWVQXKDCTE&amp;VAR:QUERY=RkZfRUJJVERBX0lCKCdMVE1TJywzOTk1Mik=&amp;WINDOW=FIRST_POPUP&amp;HEIGHT=450&amp;WIDTH=450&amp;START_MA","XIMIZED=FALSE&amp;VAR:CALENDAR=US&amp;VAR:SYMBOL=05614P10&amp;VAR:INDEX=0"}</definedName>
    <definedName name="_2106__FDSAUDITLINK__" localSheetId="6" hidden="1">{"fdsup://directions/FAT Viewer?action=UPDATE&amp;creator=factset&amp;DYN_ARGS=TRUE&amp;DOC_NAME=FAT:FQL_AUDITING_CLIENT_TEMPLATE.FAT&amp;display_string=Audit&amp;VAR:KEY=DULENUFGHO&amp;VAR:QUERY=RkZfRUJJVERBX0lCKCdMVE1TJywzOTk1MSk=&amp;WINDOW=FIRST_POPUP&amp;HEIGHT=450&amp;WIDTH=450&amp;START_MA","XIMIZED=FALSE&amp;VAR:CALENDAR=US&amp;VAR:SYMBOL=05614P10&amp;VAR:INDEX=0"}</definedName>
    <definedName name="_2106__FDSAUDITLINK__" hidden="1">{"fdsup://directions/FAT Viewer?action=UPDATE&amp;creator=factset&amp;DYN_ARGS=TRUE&amp;DOC_NAME=FAT:FQL_AUDITING_CLIENT_TEMPLATE.FAT&amp;display_string=Audit&amp;VAR:KEY=DULENUFGHO&amp;VAR:QUERY=RkZfRUJJVERBX0lCKCdMVE1TJywzOTk1MSk=&amp;WINDOW=FIRST_POPUP&amp;HEIGHT=450&amp;WIDTH=450&amp;START_MA","XIMIZED=FALSE&amp;VAR:CALENDAR=US&amp;VAR:SYMBOL=05614P10&amp;VAR:INDEX=0"}</definedName>
    <definedName name="_2107__FDSAUDITLINK__" localSheetId="6" hidden="1">{"fdsup://directions/FAT Viewer?action=UPDATE&amp;creator=factset&amp;DYN_ARGS=TRUE&amp;DOC_NAME=FAT:FQL_AUDITING_CLIENT_TEMPLATE.FAT&amp;display_string=Audit&amp;VAR:KEY=REJKPYVKRY&amp;VAR:QUERY=RkZfRUJJVERBX0lCKCdMVE1TJywzOTk1MCk=&amp;WINDOW=FIRST_POPUP&amp;HEIGHT=450&amp;WIDTH=450&amp;START_MA","XIMIZED=FALSE&amp;VAR:CALENDAR=US&amp;VAR:SYMBOL=05614P10&amp;VAR:INDEX=0"}</definedName>
    <definedName name="_2107__FDSAUDITLINK__" hidden="1">{"fdsup://directions/FAT Viewer?action=UPDATE&amp;creator=factset&amp;DYN_ARGS=TRUE&amp;DOC_NAME=FAT:FQL_AUDITING_CLIENT_TEMPLATE.FAT&amp;display_string=Audit&amp;VAR:KEY=REJKPYVKRY&amp;VAR:QUERY=RkZfRUJJVERBX0lCKCdMVE1TJywzOTk1MCk=&amp;WINDOW=FIRST_POPUP&amp;HEIGHT=450&amp;WIDTH=450&amp;START_MA","XIMIZED=FALSE&amp;VAR:CALENDAR=US&amp;VAR:SYMBOL=05614P10&amp;VAR:INDEX=0"}</definedName>
    <definedName name="_2108__FDSAUDITLINK__" localSheetId="6" hidden="1">{"fdsup://directions/FAT Viewer?action=UPDATE&amp;creator=factset&amp;DYN_ARGS=TRUE&amp;DOC_NAME=FAT:FQL_AUDITING_CLIENT_TEMPLATE.FAT&amp;display_string=Audit&amp;VAR:KEY=NCXYNQDWFS&amp;VAR:QUERY=RkZfRUJJVERBX0lCKCdMVE1TJywzOTk0OSk=&amp;WINDOW=FIRST_POPUP&amp;HEIGHT=450&amp;WIDTH=450&amp;START_MA","XIMIZED=FALSE&amp;VAR:CALENDAR=US&amp;VAR:SYMBOL=05614P10&amp;VAR:INDEX=0"}</definedName>
    <definedName name="_2108__FDSAUDITLINK__" hidden="1">{"fdsup://directions/FAT Viewer?action=UPDATE&amp;creator=factset&amp;DYN_ARGS=TRUE&amp;DOC_NAME=FAT:FQL_AUDITING_CLIENT_TEMPLATE.FAT&amp;display_string=Audit&amp;VAR:KEY=NCXYNQDWFS&amp;VAR:QUERY=RkZfRUJJVERBX0lCKCdMVE1TJywzOTk0OSk=&amp;WINDOW=FIRST_POPUP&amp;HEIGHT=450&amp;WIDTH=450&amp;START_MA","XIMIZED=FALSE&amp;VAR:CALENDAR=US&amp;VAR:SYMBOL=05614P10&amp;VAR:INDEX=0"}</definedName>
    <definedName name="_2109__FDSAUDITLINK__" localSheetId="6" hidden="1">{"fdsup://directions/FAT Viewer?action=UPDATE&amp;creator=factset&amp;DYN_ARGS=TRUE&amp;DOC_NAME=FAT:FQL_AUDITING_CLIENT_TEMPLATE.FAT&amp;display_string=Audit&amp;VAR:KEY=VKXGHEHKDG&amp;VAR:QUERY=RkZfRUJJVERBX0lCKCdMVE1TJywzOTk0OCk=&amp;WINDOW=FIRST_POPUP&amp;HEIGHT=450&amp;WIDTH=450&amp;START_MA","XIMIZED=FALSE&amp;VAR:CALENDAR=US&amp;VAR:SYMBOL=05614P10&amp;VAR:INDEX=0"}</definedName>
    <definedName name="_2109__FDSAUDITLINK__" hidden="1">{"fdsup://directions/FAT Viewer?action=UPDATE&amp;creator=factset&amp;DYN_ARGS=TRUE&amp;DOC_NAME=FAT:FQL_AUDITING_CLIENT_TEMPLATE.FAT&amp;display_string=Audit&amp;VAR:KEY=VKXGHEHKDG&amp;VAR:QUERY=RkZfRUJJVERBX0lCKCdMVE1TJywzOTk0OCk=&amp;WINDOW=FIRST_POPUP&amp;HEIGHT=450&amp;WIDTH=450&amp;START_MA","XIMIZED=FALSE&amp;VAR:CALENDAR=US&amp;VAR:SYMBOL=05614P10&amp;VAR:INDEX=0"}</definedName>
    <definedName name="_211__FDSAUDITLINK__" localSheetId="6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1__FDSAUDITLINK__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10__FDSAUDITLINK__" localSheetId="6" hidden="1">{"fdsup://directions/FAT Viewer?action=UPDATE&amp;creator=factset&amp;DYN_ARGS=TRUE&amp;DOC_NAME=FAT:FQL_AUDITING_CLIENT_TEMPLATE.FAT&amp;display_string=Audit&amp;VAR:KEY=VOXSJMJMTW&amp;VAR:QUERY=RkZfRUJJVERBX0lCKCdMVE1TJywzOTk0Nyk=&amp;WINDOW=FIRST_POPUP&amp;HEIGHT=450&amp;WIDTH=450&amp;START_MA","XIMIZED=FALSE&amp;VAR:CALENDAR=US&amp;VAR:SYMBOL=05614P10&amp;VAR:INDEX=0"}</definedName>
    <definedName name="_2110__FDSAUDITLINK__" hidden="1">{"fdsup://directions/FAT Viewer?action=UPDATE&amp;creator=factset&amp;DYN_ARGS=TRUE&amp;DOC_NAME=FAT:FQL_AUDITING_CLIENT_TEMPLATE.FAT&amp;display_string=Audit&amp;VAR:KEY=VOXSJMJMTW&amp;VAR:QUERY=RkZfRUJJVERBX0lCKCdMVE1TJywzOTk0Nyk=&amp;WINDOW=FIRST_POPUP&amp;HEIGHT=450&amp;WIDTH=450&amp;START_MA","XIMIZED=FALSE&amp;VAR:CALENDAR=US&amp;VAR:SYMBOL=05614P10&amp;VAR:INDEX=0"}</definedName>
    <definedName name="_2111__FDSAUDITLINK__" localSheetId="6" hidden="1">{"fdsup://directions/FAT Viewer?action=UPDATE&amp;creator=factset&amp;DYN_ARGS=TRUE&amp;DOC_NAME=FAT:FQL_AUDITING_CLIENT_TEMPLATE.FAT&amp;display_string=Audit&amp;VAR:KEY=TSDAJEFIFC&amp;VAR:QUERY=RkZfRUJJVERBX0lCKCdMVE1TJywzOTk0Nik=&amp;WINDOW=FIRST_POPUP&amp;HEIGHT=450&amp;WIDTH=450&amp;START_MA","XIMIZED=FALSE&amp;VAR:CALENDAR=US&amp;VAR:SYMBOL=05614P10&amp;VAR:INDEX=0"}</definedName>
    <definedName name="_2111__FDSAUDITLINK__" hidden="1">{"fdsup://directions/FAT Viewer?action=UPDATE&amp;creator=factset&amp;DYN_ARGS=TRUE&amp;DOC_NAME=FAT:FQL_AUDITING_CLIENT_TEMPLATE.FAT&amp;display_string=Audit&amp;VAR:KEY=TSDAJEFIFC&amp;VAR:QUERY=RkZfRUJJVERBX0lCKCdMVE1TJywzOTk0Nik=&amp;WINDOW=FIRST_POPUP&amp;HEIGHT=450&amp;WIDTH=450&amp;START_MA","XIMIZED=FALSE&amp;VAR:CALENDAR=US&amp;VAR:SYMBOL=05614P10&amp;VAR:INDEX=0"}</definedName>
    <definedName name="_2112__FDSAUDITLINK__" localSheetId="6" hidden="1">{"fdsup://directions/FAT Viewer?action=UPDATE&amp;creator=factset&amp;DYN_ARGS=TRUE&amp;DOC_NAME=FAT:FQL_AUDITING_CLIENT_TEMPLATE.FAT&amp;display_string=Audit&amp;VAR:KEY=FAPKXSPOJE&amp;VAR:QUERY=RkZfRUJJVERBX0lCKCdMVE1TJywzOTk0NSk=&amp;WINDOW=FIRST_POPUP&amp;HEIGHT=450&amp;WIDTH=450&amp;START_MA","XIMIZED=FALSE&amp;VAR:CALENDAR=US&amp;VAR:SYMBOL=05614P10&amp;VAR:INDEX=0"}</definedName>
    <definedName name="_2112__FDSAUDITLINK__" hidden="1">{"fdsup://directions/FAT Viewer?action=UPDATE&amp;creator=factset&amp;DYN_ARGS=TRUE&amp;DOC_NAME=FAT:FQL_AUDITING_CLIENT_TEMPLATE.FAT&amp;display_string=Audit&amp;VAR:KEY=FAPKXSPOJE&amp;VAR:QUERY=RkZfRUJJVERBX0lCKCdMVE1TJywzOTk0NSk=&amp;WINDOW=FIRST_POPUP&amp;HEIGHT=450&amp;WIDTH=450&amp;START_MA","XIMIZED=FALSE&amp;VAR:CALENDAR=US&amp;VAR:SYMBOL=05614P10&amp;VAR:INDEX=0"}</definedName>
    <definedName name="_2113__FDSAUDITLINK__" localSheetId="6" hidden="1">{"fdsup://directions/FAT Viewer?action=UPDATE&amp;creator=factset&amp;DYN_ARGS=TRUE&amp;DOC_NAME=FAT:FQL_AUDITING_CLIENT_TEMPLATE.FAT&amp;display_string=Audit&amp;VAR:KEY=JCLUVKVKBG&amp;VAR:QUERY=RkZfRUJJVERBX0lCKCdMVE1TJywzOTk0NCk=&amp;WINDOW=FIRST_POPUP&amp;HEIGHT=450&amp;WIDTH=450&amp;START_MA","XIMIZED=FALSE&amp;VAR:CALENDAR=US&amp;VAR:SYMBOL=05614P10&amp;VAR:INDEX=0"}</definedName>
    <definedName name="_2113__FDSAUDITLINK__" hidden="1">{"fdsup://directions/FAT Viewer?action=UPDATE&amp;creator=factset&amp;DYN_ARGS=TRUE&amp;DOC_NAME=FAT:FQL_AUDITING_CLIENT_TEMPLATE.FAT&amp;display_string=Audit&amp;VAR:KEY=JCLUVKVKBG&amp;VAR:QUERY=RkZfRUJJVERBX0lCKCdMVE1TJywzOTk0NCk=&amp;WINDOW=FIRST_POPUP&amp;HEIGHT=450&amp;WIDTH=450&amp;START_MA","XIMIZED=FALSE&amp;VAR:CALENDAR=US&amp;VAR:SYMBOL=05614P10&amp;VAR:INDEX=0"}</definedName>
    <definedName name="_2114__FDSAUDITLINK__" localSheetId="6" hidden="1">{"fdsup://directions/FAT Viewer?action=UPDATE&amp;creator=factset&amp;DYN_ARGS=TRUE&amp;DOC_NAME=FAT:FQL_AUDITING_CLIENT_TEMPLATE.FAT&amp;display_string=Audit&amp;VAR:KEY=VUVGPGHGNC&amp;VAR:QUERY=RkZfRUJJVERBX0lCKCdMVE1TJywzOTk0Myk=&amp;WINDOW=FIRST_POPUP&amp;HEIGHT=450&amp;WIDTH=450&amp;START_MA","XIMIZED=FALSE&amp;VAR:CALENDAR=US&amp;VAR:SYMBOL=05614P10&amp;VAR:INDEX=0"}</definedName>
    <definedName name="_2114__FDSAUDITLINK__" hidden="1">{"fdsup://directions/FAT Viewer?action=UPDATE&amp;creator=factset&amp;DYN_ARGS=TRUE&amp;DOC_NAME=FAT:FQL_AUDITING_CLIENT_TEMPLATE.FAT&amp;display_string=Audit&amp;VAR:KEY=VUVGPGHGNC&amp;VAR:QUERY=RkZfRUJJVERBX0lCKCdMVE1TJywzOTk0Myk=&amp;WINDOW=FIRST_POPUP&amp;HEIGHT=450&amp;WIDTH=450&amp;START_MA","XIMIZED=FALSE&amp;VAR:CALENDAR=US&amp;VAR:SYMBOL=05614P10&amp;VAR:INDEX=0"}</definedName>
    <definedName name="_2115__FDSAUDITLINK__" localSheetId="6" hidden="1">{"fdsup://directions/FAT Viewer?action=UPDATE&amp;creator=factset&amp;DYN_ARGS=TRUE&amp;DOC_NAME=FAT:FQL_AUDITING_CLIENT_TEMPLATE.FAT&amp;display_string=Audit&amp;VAR:KEY=RWFSRKJEPA&amp;VAR:QUERY=RkZfRUJJVERBX0lCKCdMVE1TJywzOTk0Mik=&amp;WINDOW=FIRST_POPUP&amp;HEIGHT=450&amp;WIDTH=450&amp;START_MA","XIMIZED=FALSE&amp;VAR:CALENDAR=US&amp;VAR:SYMBOL=05614P10&amp;VAR:INDEX=0"}</definedName>
    <definedName name="_2115__FDSAUDITLINK__" hidden="1">{"fdsup://directions/FAT Viewer?action=UPDATE&amp;creator=factset&amp;DYN_ARGS=TRUE&amp;DOC_NAME=FAT:FQL_AUDITING_CLIENT_TEMPLATE.FAT&amp;display_string=Audit&amp;VAR:KEY=RWFSRKJEPA&amp;VAR:QUERY=RkZfRUJJVERBX0lCKCdMVE1TJywzOTk0Mik=&amp;WINDOW=FIRST_POPUP&amp;HEIGHT=450&amp;WIDTH=450&amp;START_MA","XIMIZED=FALSE&amp;VAR:CALENDAR=US&amp;VAR:SYMBOL=05614P10&amp;VAR:INDEX=0"}</definedName>
    <definedName name="_2116__FDSAUDITLINK__" localSheetId="6" hidden="1">{"fdsup://directions/FAT Viewer?action=UPDATE&amp;creator=factset&amp;DYN_ARGS=TRUE&amp;DOC_NAME=FAT:FQL_AUDITING_CLIENT_TEMPLATE.FAT&amp;display_string=Audit&amp;VAR:KEY=XYTSRADMZQ&amp;VAR:QUERY=RkZfRUJJVERBX0lCKCdMVE1TJywzOTk0MSk=&amp;WINDOW=FIRST_POPUP&amp;HEIGHT=450&amp;WIDTH=450&amp;START_MA","XIMIZED=FALSE&amp;VAR:CALENDAR=US&amp;VAR:SYMBOL=05614P10&amp;VAR:INDEX=0"}</definedName>
    <definedName name="_2116__FDSAUDITLINK__" hidden="1">{"fdsup://directions/FAT Viewer?action=UPDATE&amp;creator=factset&amp;DYN_ARGS=TRUE&amp;DOC_NAME=FAT:FQL_AUDITING_CLIENT_TEMPLATE.FAT&amp;display_string=Audit&amp;VAR:KEY=XYTSRADMZQ&amp;VAR:QUERY=RkZfRUJJVERBX0lCKCdMVE1TJywzOTk0MSk=&amp;WINDOW=FIRST_POPUP&amp;HEIGHT=450&amp;WIDTH=450&amp;START_MA","XIMIZED=FALSE&amp;VAR:CALENDAR=US&amp;VAR:SYMBOL=05614P10&amp;VAR:INDEX=0"}</definedName>
    <definedName name="_2117__FDSAUDITLINK__" localSheetId="6" hidden="1">{"fdsup://directions/FAT Viewer?action=UPDATE&amp;creator=factset&amp;DYN_ARGS=TRUE&amp;DOC_NAME=FAT:FQL_AUDITING_CLIENT_TEMPLATE.FAT&amp;display_string=Audit&amp;VAR:KEY=LWROBCVULQ&amp;VAR:QUERY=RkZfRUJJVERBX0lCKCdMVE1TJywzOTk0MCk=&amp;WINDOW=FIRST_POPUP&amp;HEIGHT=450&amp;WIDTH=450&amp;START_MA","XIMIZED=FALSE&amp;VAR:CALENDAR=US&amp;VAR:SYMBOL=05614P10&amp;VAR:INDEX=0"}</definedName>
    <definedName name="_2117__FDSAUDITLINK__" hidden="1">{"fdsup://directions/FAT Viewer?action=UPDATE&amp;creator=factset&amp;DYN_ARGS=TRUE&amp;DOC_NAME=FAT:FQL_AUDITING_CLIENT_TEMPLATE.FAT&amp;display_string=Audit&amp;VAR:KEY=LWROBCVULQ&amp;VAR:QUERY=RkZfRUJJVERBX0lCKCdMVE1TJywzOTk0MCk=&amp;WINDOW=FIRST_POPUP&amp;HEIGHT=450&amp;WIDTH=450&amp;START_MA","XIMIZED=FALSE&amp;VAR:CALENDAR=US&amp;VAR:SYMBOL=05614P10&amp;VAR:INDEX=0"}</definedName>
    <definedName name="_2118__FDSAUDITLINK__" localSheetId="6" hidden="1">{"fdsup://directions/FAT Viewer?action=UPDATE&amp;creator=factset&amp;DYN_ARGS=TRUE&amp;DOC_NAME=FAT:FQL_AUDITING_CLIENT_TEMPLATE.FAT&amp;display_string=Audit&amp;VAR:KEY=TERKZQFAFG&amp;VAR:QUERY=RkZfRUJJVERBX0lCKCdMVE1TJywzOTkzOSk=&amp;WINDOW=FIRST_POPUP&amp;HEIGHT=450&amp;WIDTH=450&amp;START_MA","XIMIZED=FALSE&amp;VAR:CALENDAR=US&amp;VAR:SYMBOL=05614P10&amp;VAR:INDEX=0"}</definedName>
    <definedName name="_2118__FDSAUDITLINK__" hidden="1">{"fdsup://directions/FAT Viewer?action=UPDATE&amp;creator=factset&amp;DYN_ARGS=TRUE&amp;DOC_NAME=FAT:FQL_AUDITING_CLIENT_TEMPLATE.FAT&amp;display_string=Audit&amp;VAR:KEY=TERKZQFAFG&amp;VAR:QUERY=RkZfRUJJVERBX0lCKCdMVE1TJywzOTkzOSk=&amp;WINDOW=FIRST_POPUP&amp;HEIGHT=450&amp;WIDTH=450&amp;START_MA","XIMIZED=FALSE&amp;VAR:CALENDAR=US&amp;VAR:SYMBOL=05614P10&amp;VAR:INDEX=0"}</definedName>
    <definedName name="_2119__FDSAUDITLINK__" localSheetId="6" hidden="1">{"fdsup://directions/FAT Viewer?action=UPDATE&amp;creator=factset&amp;DYN_ARGS=TRUE&amp;DOC_NAME=FAT:FQL_AUDITING_CLIENT_TEMPLATE.FAT&amp;display_string=Audit&amp;VAR:KEY=PCXOZGJWLW&amp;VAR:QUERY=RkZfRUJJVERBX0lCKCdMVE1TJywzOTkzOCk=&amp;WINDOW=FIRST_POPUP&amp;HEIGHT=450&amp;WIDTH=450&amp;START_MA","XIMIZED=FALSE&amp;VAR:CALENDAR=US&amp;VAR:SYMBOL=05614P10&amp;VAR:INDEX=0"}</definedName>
    <definedName name="_2119__FDSAUDITLINK__" hidden="1">{"fdsup://directions/FAT Viewer?action=UPDATE&amp;creator=factset&amp;DYN_ARGS=TRUE&amp;DOC_NAME=FAT:FQL_AUDITING_CLIENT_TEMPLATE.FAT&amp;display_string=Audit&amp;VAR:KEY=PCXOZGJWLW&amp;VAR:QUERY=RkZfRUJJVERBX0lCKCdMVE1TJywzOTkzOCk=&amp;WINDOW=FIRST_POPUP&amp;HEIGHT=450&amp;WIDTH=450&amp;START_MA","XIMIZED=FALSE&amp;VAR:CALENDAR=US&amp;VAR:SYMBOL=05614P10&amp;VAR:INDEX=0"}</definedName>
    <definedName name="_212__FDSAUDITLINK__" localSheetId="6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2__FDSAUDITLINK__" hidden="1">{"fdsup://directions/FAT%20Viewer?VAR:PED=LTM&amp;VAR:AUDIT_MODE=SUMMARY&amp;VAR:PERIOD=FIXED&amp;VAR:AUDIT_ID=00000117&amp;VAR:DATE=20090724&amp;action=UPDATE&amp;creator=factset&amp;DOC_NAME=FAT:FMA_audit_SUMMARY.fat&amp;DISPLAY_STRING=Display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20__FDSAUDITLINK__" localSheetId="6" hidden="1">{"fdsup://directions/FAT Viewer?action=UPDATE&amp;creator=factset&amp;DYN_ARGS=TRUE&amp;DOC_NAME=FAT:FQL_AUDITING_CLIENT_TEMPLATE.FAT&amp;display_string=Audit&amp;VAR:KEY=ZUJKXYDKBU&amp;VAR:QUERY=RkZfRUJJVERBX0lCKCdMVE1TJywzOTkzNyk=&amp;WINDOW=FIRST_POPUP&amp;HEIGHT=450&amp;WIDTH=450&amp;START_MA","XIMIZED=FALSE&amp;VAR:CALENDAR=US&amp;VAR:SYMBOL=05614P10&amp;VAR:INDEX=0"}</definedName>
    <definedName name="_2120__FDSAUDITLINK__" hidden="1">{"fdsup://directions/FAT Viewer?action=UPDATE&amp;creator=factset&amp;DYN_ARGS=TRUE&amp;DOC_NAME=FAT:FQL_AUDITING_CLIENT_TEMPLATE.FAT&amp;display_string=Audit&amp;VAR:KEY=ZUJKXYDKBU&amp;VAR:QUERY=RkZfRUJJVERBX0lCKCdMVE1TJywzOTkzNyk=&amp;WINDOW=FIRST_POPUP&amp;HEIGHT=450&amp;WIDTH=450&amp;START_MA","XIMIZED=FALSE&amp;VAR:CALENDAR=US&amp;VAR:SYMBOL=05614P10&amp;VAR:INDEX=0"}</definedName>
    <definedName name="_2121__FDSAUDITLINK__" localSheetId="6" hidden="1">{"fdsup://directions/FAT Viewer?action=UPDATE&amp;creator=factset&amp;DYN_ARGS=TRUE&amp;DOC_NAME=FAT:FQL_AUDITING_CLIENT_TEMPLATE.FAT&amp;display_string=Audit&amp;VAR:KEY=NGRURMTWRI&amp;VAR:QUERY=RkZfRUJJVERBX0lCKCdMVE1TJywzOTkzNik=&amp;WINDOW=FIRST_POPUP&amp;HEIGHT=450&amp;WIDTH=450&amp;START_MA","XIMIZED=FALSE&amp;VAR:CALENDAR=US&amp;VAR:SYMBOL=05614P10&amp;VAR:INDEX=0"}</definedName>
    <definedName name="_2121__FDSAUDITLINK__" hidden="1">{"fdsup://directions/FAT Viewer?action=UPDATE&amp;creator=factset&amp;DYN_ARGS=TRUE&amp;DOC_NAME=FAT:FQL_AUDITING_CLIENT_TEMPLATE.FAT&amp;display_string=Audit&amp;VAR:KEY=NGRURMTWRI&amp;VAR:QUERY=RkZfRUJJVERBX0lCKCdMVE1TJywzOTkzNik=&amp;WINDOW=FIRST_POPUP&amp;HEIGHT=450&amp;WIDTH=450&amp;START_MA","XIMIZED=FALSE&amp;VAR:CALENDAR=US&amp;VAR:SYMBOL=05614P10&amp;VAR:INDEX=0"}</definedName>
    <definedName name="_2122__FDSAUDITLINK__" localSheetId="6" hidden="1">{"fdsup://directions/FAT Viewer?action=UPDATE&amp;creator=factset&amp;DYN_ARGS=TRUE&amp;DOC_NAME=FAT:FQL_AUDITING_CLIENT_TEMPLATE.FAT&amp;display_string=Audit&amp;VAR:KEY=TIFSNEBSDI&amp;VAR:QUERY=RkZfRUJJVERBX0lCKCdMVE1TJywzOTkzNSk=&amp;WINDOW=FIRST_POPUP&amp;HEIGHT=450&amp;WIDTH=450&amp;START_MA","XIMIZED=FALSE&amp;VAR:CALENDAR=US&amp;VAR:SYMBOL=05614P10&amp;VAR:INDEX=0"}</definedName>
    <definedName name="_2122__FDSAUDITLINK__" hidden="1">{"fdsup://directions/FAT Viewer?action=UPDATE&amp;creator=factset&amp;DYN_ARGS=TRUE&amp;DOC_NAME=FAT:FQL_AUDITING_CLIENT_TEMPLATE.FAT&amp;display_string=Audit&amp;VAR:KEY=TIFSNEBSDI&amp;VAR:QUERY=RkZfRUJJVERBX0lCKCdMVE1TJywzOTkzNSk=&amp;WINDOW=FIRST_POPUP&amp;HEIGHT=450&amp;WIDTH=450&amp;START_MA","XIMIZED=FALSE&amp;VAR:CALENDAR=US&amp;VAR:SYMBOL=05614P10&amp;VAR:INDEX=0"}</definedName>
    <definedName name="_2123__FDSAUDITLINK__" localSheetId="6" hidden="1">{"fdsup://directions/FAT Viewer?action=UPDATE&amp;creator=factset&amp;DYN_ARGS=TRUE&amp;DOC_NAME=FAT:FQL_AUDITING_CLIENT_TEMPLATE.FAT&amp;display_string=Audit&amp;VAR:KEY=VCHKJKTUDA&amp;VAR:QUERY=RkZfRUJJVERBX0lCKCdMVE1TJywzOTkzNCk=&amp;WINDOW=FIRST_POPUP&amp;HEIGHT=450&amp;WIDTH=450&amp;START_MA","XIMIZED=FALSE&amp;VAR:CALENDAR=US&amp;VAR:SYMBOL=05614P10&amp;VAR:INDEX=0"}</definedName>
    <definedName name="_2123__FDSAUDITLINK__" hidden="1">{"fdsup://directions/FAT Viewer?action=UPDATE&amp;creator=factset&amp;DYN_ARGS=TRUE&amp;DOC_NAME=FAT:FQL_AUDITING_CLIENT_TEMPLATE.FAT&amp;display_string=Audit&amp;VAR:KEY=VCHKJKTUDA&amp;VAR:QUERY=RkZfRUJJVERBX0lCKCdMVE1TJywzOTkzNCk=&amp;WINDOW=FIRST_POPUP&amp;HEIGHT=450&amp;WIDTH=450&amp;START_MA","XIMIZED=FALSE&amp;VAR:CALENDAR=US&amp;VAR:SYMBOL=05614P10&amp;VAR:INDEX=0"}</definedName>
    <definedName name="_2124__FDSAUDITLINK__" localSheetId="6" hidden="1">{"fdsup://directions/FAT Viewer?action=UPDATE&amp;creator=factset&amp;DYN_ARGS=TRUE&amp;DOC_NAME=FAT:FQL_AUDITING_CLIENT_TEMPLATE.FAT&amp;display_string=Audit&amp;VAR:KEY=PMPWJSFABU&amp;VAR:QUERY=RkZfRUJJVERBX0lCKCdMVE1TJywzOTkzMyk=&amp;WINDOW=FIRST_POPUP&amp;HEIGHT=450&amp;WIDTH=450&amp;START_MA","XIMIZED=FALSE&amp;VAR:CALENDAR=US&amp;VAR:SYMBOL=05614P10&amp;VAR:INDEX=0"}</definedName>
    <definedName name="_2124__FDSAUDITLINK__" hidden="1">{"fdsup://directions/FAT Viewer?action=UPDATE&amp;creator=factset&amp;DYN_ARGS=TRUE&amp;DOC_NAME=FAT:FQL_AUDITING_CLIENT_TEMPLATE.FAT&amp;display_string=Audit&amp;VAR:KEY=PMPWJSFABU&amp;VAR:QUERY=RkZfRUJJVERBX0lCKCdMVE1TJywzOTkzMyk=&amp;WINDOW=FIRST_POPUP&amp;HEIGHT=450&amp;WIDTH=450&amp;START_MA","XIMIZED=FALSE&amp;VAR:CALENDAR=US&amp;VAR:SYMBOL=05614P10&amp;VAR:INDEX=0"}</definedName>
    <definedName name="_2125__FDSAUDITLINK__" localSheetId="6" hidden="1">{"fdsup://directions/FAT Viewer?action=UPDATE&amp;creator=factset&amp;DYN_ARGS=TRUE&amp;DOC_NAME=FAT:FQL_AUDITING_CLIENT_TEMPLATE.FAT&amp;display_string=Audit&amp;VAR:KEY=HGRCFKHGZM&amp;VAR:QUERY=RkZfRUJJVERBX0lCKCdMVE1TJywzOTkzMik=&amp;WINDOW=FIRST_POPUP&amp;HEIGHT=450&amp;WIDTH=450&amp;START_MA","XIMIZED=FALSE&amp;VAR:CALENDAR=US&amp;VAR:SYMBOL=05614P10&amp;VAR:INDEX=0"}</definedName>
    <definedName name="_2125__FDSAUDITLINK__" hidden="1">{"fdsup://directions/FAT Viewer?action=UPDATE&amp;creator=factset&amp;DYN_ARGS=TRUE&amp;DOC_NAME=FAT:FQL_AUDITING_CLIENT_TEMPLATE.FAT&amp;display_string=Audit&amp;VAR:KEY=HGRCFKHGZM&amp;VAR:QUERY=RkZfRUJJVERBX0lCKCdMVE1TJywzOTkzMik=&amp;WINDOW=FIRST_POPUP&amp;HEIGHT=450&amp;WIDTH=450&amp;START_MA","XIMIZED=FALSE&amp;VAR:CALENDAR=US&amp;VAR:SYMBOL=05614P10&amp;VAR:INDEX=0"}</definedName>
    <definedName name="_2126__FDSAUDITLINK__" localSheetId="6" hidden="1">{"fdsup://directions/FAT Viewer?action=UPDATE&amp;creator=factset&amp;DYN_ARGS=TRUE&amp;DOC_NAME=FAT:FQL_AUDITING_CLIENT_TEMPLATE.FAT&amp;display_string=Audit&amp;VAR:KEY=TIJMNYJMJU&amp;VAR:QUERY=RkZfRUJJVERBX0lCKCdMVE1TJywzOTkzMSk=&amp;WINDOW=FIRST_POPUP&amp;HEIGHT=450&amp;WIDTH=450&amp;START_MA","XIMIZED=FALSE&amp;VAR:CALENDAR=US&amp;VAR:SYMBOL=05614P10&amp;VAR:INDEX=0"}</definedName>
    <definedName name="_2126__FDSAUDITLINK__" hidden="1">{"fdsup://directions/FAT Viewer?action=UPDATE&amp;creator=factset&amp;DYN_ARGS=TRUE&amp;DOC_NAME=FAT:FQL_AUDITING_CLIENT_TEMPLATE.FAT&amp;display_string=Audit&amp;VAR:KEY=TIJMNYJMJU&amp;VAR:QUERY=RkZfRUJJVERBX0lCKCdMVE1TJywzOTkzMSk=&amp;WINDOW=FIRST_POPUP&amp;HEIGHT=450&amp;WIDTH=450&amp;START_MA","XIMIZED=FALSE&amp;VAR:CALENDAR=US&amp;VAR:SYMBOL=05614P10&amp;VAR:INDEX=0"}</definedName>
    <definedName name="_2127__FDSAUDITLINK__" localSheetId="6" hidden="1">{"fdsup://directions/FAT Viewer?action=UPDATE&amp;creator=factset&amp;DYN_ARGS=TRUE&amp;DOC_NAME=FAT:FQL_AUDITING_CLIENT_TEMPLATE.FAT&amp;display_string=Audit&amp;VAR:KEY=TMDQPEPQDI&amp;VAR:QUERY=RkZfRUJJVERBX0lCKCdMVE1TJywzOTkzMCk=&amp;WINDOW=FIRST_POPUP&amp;HEIGHT=450&amp;WIDTH=450&amp;START_MA","XIMIZED=FALSE&amp;VAR:CALENDAR=US&amp;VAR:SYMBOL=05614P10&amp;VAR:INDEX=0"}</definedName>
    <definedName name="_2127__FDSAUDITLINK__" hidden="1">{"fdsup://directions/FAT Viewer?action=UPDATE&amp;creator=factset&amp;DYN_ARGS=TRUE&amp;DOC_NAME=FAT:FQL_AUDITING_CLIENT_TEMPLATE.FAT&amp;display_string=Audit&amp;VAR:KEY=TMDQPEPQDI&amp;VAR:QUERY=RkZfRUJJVERBX0lCKCdMVE1TJywzOTkzMCk=&amp;WINDOW=FIRST_POPUP&amp;HEIGHT=450&amp;WIDTH=450&amp;START_MA","XIMIZED=FALSE&amp;VAR:CALENDAR=US&amp;VAR:SYMBOL=05614P10&amp;VAR:INDEX=0"}</definedName>
    <definedName name="_2128__FDSAUDITLINK__" localSheetId="6" hidden="1">{"fdsup://directions/FAT Viewer?action=UPDATE&amp;creator=factset&amp;DYN_ARGS=TRUE&amp;DOC_NAME=FAT:FQL_AUDITING_CLIENT_TEMPLATE.FAT&amp;display_string=Audit&amp;VAR:KEY=JWBMJUBEVG&amp;VAR:QUERY=RkZfRUJJVERBX0lCKCdMVE1TJywzOTkyOSk=&amp;WINDOW=FIRST_POPUP&amp;HEIGHT=450&amp;WIDTH=450&amp;START_MA","XIMIZED=FALSE&amp;VAR:CALENDAR=US&amp;VAR:SYMBOL=05614P10&amp;VAR:INDEX=0"}</definedName>
    <definedName name="_2128__FDSAUDITLINK__" hidden="1">{"fdsup://directions/FAT Viewer?action=UPDATE&amp;creator=factset&amp;DYN_ARGS=TRUE&amp;DOC_NAME=FAT:FQL_AUDITING_CLIENT_TEMPLATE.FAT&amp;display_string=Audit&amp;VAR:KEY=JWBMJUBEVG&amp;VAR:QUERY=RkZfRUJJVERBX0lCKCdMVE1TJywzOTkyOSk=&amp;WINDOW=FIRST_POPUP&amp;HEIGHT=450&amp;WIDTH=450&amp;START_MA","XIMIZED=FALSE&amp;VAR:CALENDAR=US&amp;VAR:SYMBOL=05614P10&amp;VAR:INDEX=0"}</definedName>
    <definedName name="_2129__FDSAUDITLINK__" localSheetId="6" hidden="1">{"fdsup://directions/FAT Viewer?action=UPDATE&amp;creator=factset&amp;DYN_ARGS=TRUE&amp;DOC_NAME=FAT:FQL_AUDITING_CLIENT_TEMPLATE.FAT&amp;display_string=Audit&amp;VAR:KEY=ZELYNWVSJA&amp;VAR:QUERY=RkZfRUJJVERBX0lCKCdMVE1TJywzOTkyOCk=&amp;WINDOW=FIRST_POPUP&amp;HEIGHT=450&amp;WIDTH=450&amp;START_MA","XIMIZED=FALSE&amp;VAR:CALENDAR=US&amp;VAR:SYMBOL=05614P10&amp;VAR:INDEX=0"}</definedName>
    <definedName name="_2129__FDSAUDITLINK__" hidden="1">{"fdsup://directions/FAT Viewer?action=UPDATE&amp;creator=factset&amp;DYN_ARGS=TRUE&amp;DOC_NAME=FAT:FQL_AUDITING_CLIENT_TEMPLATE.FAT&amp;display_string=Audit&amp;VAR:KEY=ZELYNWVSJA&amp;VAR:QUERY=RkZfRUJJVERBX0lCKCdMVE1TJywzOTkyOCk=&amp;WINDOW=FIRST_POPUP&amp;HEIGHT=450&amp;WIDTH=450&amp;START_MA","XIMIZED=FALSE&amp;VAR:CALENDAR=US&amp;VAR:SYMBOL=05614P10&amp;VAR:INDEX=0"}</definedName>
    <definedName name="_213__FDSAUDITLINK__" localSheetId="6" hidden="1">{"fdsup://directions/FAT%20Viewer?VAR:PED=LTM&amp;VAR:AUDIT_MODE=SUMMARY&amp;VAR:PERIOD=FIXED&amp;VAR:AUDIT_ID=00000117&amp;VAR:DATE=20090723&amp;action=UPDATE&amp;creator=factset&amp;DOC_NAME=FAT:FMA_audit_SUMMARY.fat&amp;DISPLAY_STRING=Display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3__FDSAUDITLINK__" hidden="1">{"fdsup://directions/FAT%20Viewer?VAR:PED=LTM&amp;VAR:AUDIT_MODE=SUMMARY&amp;VAR:PERIOD=FIXED&amp;VAR:AUDIT_ID=00000117&amp;VAR:DATE=20090723&amp;action=UPDATE&amp;creator=factset&amp;DOC_NAME=FAT:FMA_audit_SUMMARY.fat&amp;DISPLAY_STRING=Display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30__FDSAUDITLINK__" localSheetId="6" hidden="1">{"fdsup://directions/FAT Viewer?action=UPDATE&amp;creator=factset&amp;DYN_ARGS=TRUE&amp;DOC_NAME=FAT:FQL_AUDITING_CLIENT_TEMPLATE.FAT&amp;display_string=Audit&amp;VAR:KEY=BMTGZUFGRO&amp;VAR:QUERY=RkZfRUJJVERBX0lCKCdMVE1TJywzOTkyNyk=&amp;WINDOW=FIRST_POPUP&amp;HEIGHT=450&amp;WIDTH=450&amp;START_MA","XIMIZED=FALSE&amp;VAR:CALENDAR=US&amp;VAR:SYMBOL=05614P10&amp;VAR:INDEX=0"}</definedName>
    <definedName name="_2130__FDSAUDITLINK__" hidden="1">{"fdsup://directions/FAT Viewer?action=UPDATE&amp;creator=factset&amp;DYN_ARGS=TRUE&amp;DOC_NAME=FAT:FQL_AUDITING_CLIENT_TEMPLATE.FAT&amp;display_string=Audit&amp;VAR:KEY=BMTGZUFGRO&amp;VAR:QUERY=RkZfRUJJVERBX0lCKCdMVE1TJywzOTkyNyk=&amp;WINDOW=FIRST_POPUP&amp;HEIGHT=450&amp;WIDTH=450&amp;START_MA","XIMIZED=FALSE&amp;VAR:CALENDAR=US&amp;VAR:SYMBOL=05614P10&amp;VAR:INDEX=0"}</definedName>
    <definedName name="_2131__FDSAUDITLINK__" localSheetId="6" hidden="1">{"fdsup://directions/FAT Viewer?action=UPDATE&amp;creator=factset&amp;DYN_ARGS=TRUE&amp;DOC_NAME=FAT:FQL_AUDITING_CLIENT_TEMPLATE.FAT&amp;display_string=Audit&amp;VAR:KEY=HOLGBEDEBC&amp;VAR:QUERY=RkZfRUJJVERBX0lCKCdMVE1TJywzOTkyNik=&amp;WINDOW=FIRST_POPUP&amp;HEIGHT=450&amp;WIDTH=450&amp;START_MA","XIMIZED=FALSE&amp;VAR:CALENDAR=US&amp;VAR:SYMBOL=05614P10&amp;VAR:INDEX=0"}</definedName>
    <definedName name="_2131__FDSAUDITLINK__" hidden="1">{"fdsup://directions/FAT Viewer?action=UPDATE&amp;creator=factset&amp;DYN_ARGS=TRUE&amp;DOC_NAME=FAT:FQL_AUDITING_CLIENT_TEMPLATE.FAT&amp;display_string=Audit&amp;VAR:KEY=HOLGBEDEBC&amp;VAR:QUERY=RkZfRUJJVERBX0lCKCdMVE1TJywzOTkyNik=&amp;WINDOW=FIRST_POPUP&amp;HEIGHT=450&amp;WIDTH=450&amp;START_MA","XIMIZED=FALSE&amp;VAR:CALENDAR=US&amp;VAR:SYMBOL=05614P10&amp;VAR:INDEX=0"}</definedName>
    <definedName name="_2132__FDSAUDITLINK__" localSheetId="6" hidden="1">{"fdsup://directions/FAT Viewer?action=UPDATE&amp;creator=factset&amp;DYN_ARGS=TRUE&amp;DOC_NAME=FAT:FQL_AUDITING_CLIENT_TEMPLATE.FAT&amp;display_string=Audit&amp;VAR:KEY=DOHQTYDCBM&amp;VAR:QUERY=RkZfRUJJVERBX0lCKCdMVE1TJywzOTkyNSk=&amp;WINDOW=FIRST_POPUP&amp;HEIGHT=450&amp;WIDTH=450&amp;START_MA","XIMIZED=FALSE&amp;VAR:CALENDAR=US&amp;VAR:SYMBOL=05614P10&amp;VAR:INDEX=0"}</definedName>
    <definedName name="_2132__FDSAUDITLINK__" hidden="1">{"fdsup://directions/FAT Viewer?action=UPDATE&amp;creator=factset&amp;DYN_ARGS=TRUE&amp;DOC_NAME=FAT:FQL_AUDITING_CLIENT_TEMPLATE.FAT&amp;display_string=Audit&amp;VAR:KEY=DOHQTYDCBM&amp;VAR:QUERY=RkZfRUJJVERBX0lCKCdMVE1TJywzOTkyNSk=&amp;WINDOW=FIRST_POPUP&amp;HEIGHT=450&amp;WIDTH=450&amp;START_MA","XIMIZED=FALSE&amp;VAR:CALENDAR=US&amp;VAR:SYMBOL=05614P10&amp;VAR:INDEX=0"}</definedName>
    <definedName name="_2133__FDSAUDITLINK__" localSheetId="6" hidden="1">{"fdsup://directions/FAT Viewer?action=UPDATE&amp;creator=factset&amp;DYN_ARGS=TRUE&amp;DOC_NAME=FAT:FQL_AUDITING_CLIENT_TEMPLATE.FAT&amp;display_string=Audit&amp;VAR:KEY=XCRSJUDULM&amp;VAR:QUERY=RkZfRUJJVERBX0lCKCdMVE1TJywzOTkyNCk=&amp;WINDOW=FIRST_POPUP&amp;HEIGHT=450&amp;WIDTH=450&amp;START_MA","XIMIZED=FALSE&amp;VAR:CALENDAR=US&amp;VAR:SYMBOL=05614P10&amp;VAR:INDEX=0"}</definedName>
    <definedName name="_2133__FDSAUDITLINK__" hidden="1">{"fdsup://directions/FAT Viewer?action=UPDATE&amp;creator=factset&amp;DYN_ARGS=TRUE&amp;DOC_NAME=FAT:FQL_AUDITING_CLIENT_TEMPLATE.FAT&amp;display_string=Audit&amp;VAR:KEY=XCRSJUDULM&amp;VAR:QUERY=RkZfRUJJVERBX0lCKCdMVE1TJywzOTkyNCk=&amp;WINDOW=FIRST_POPUP&amp;HEIGHT=450&amp;WIDTH=450&amp;START_MA","XIMIZED=FALSE&amp;VAR:CALENDAR=US&amp;VAR:SYMBOL=05614P10&amp;VAR:INDEX=0"}</definedName>
    <definedName name="_2134__FDSAUDITLINK__" localSheetId="6" hidden="1">{"fdsup://directions/FAT Viewer?action=UPDATE&amp;creator=factset&amp;DYN_ARGS=TRUE&amp;DOC_NAME=FAT:FQL_AUDITING_CLIENT_TEMPLATE.FAT&amp;display_string=Audit&amp;VAR:KEY=NYNEZSRORQ&amp;VAR:QUERY=RkZfRUJJVERBX0lCKCdMVE1TJywzOTkyMyk=&amp;WINDOW=FIRST_POPUP&amp;HEIGHT=450&amp;WIDTH=450&amp;START_MA","XIMIZED=FALSE&amp;VAR:CALENDAR=US&amp;VAR:SYMBOL=05614P10&amp;VAR:INDEX=0"}</definedName>
    <definedName name="_2134__FDSAUDITLINK__" hidden="1">{"fdsup://directions/FAT Viewer?action=UPDATE&amp;creator=factset&amp;DYN_ARGS=TRUE&amp;DOC_NAME=FAT:FQL_AUDITING_CLIENT_TEMPLATE.FAT&amp;display_string=Audit&amp;VAR:KEY=NYNEZSRORQ&amp;VAR:QUERY=RkZfRUJJVERBX0lCKCdMVE1TJywzOTkyMyk=&amp;WINDOW=FIRST_POPUP&amp;HEIGHT=450&amp;WIDTH=450&amp;START_MA","XIMIZED=FALSE&amp;VAR:CALENDAR=US&amp;VAR:SYMBOL=05614P10&amp;VAR:INDEX=0"}</definedName>
    <definedName name="_2135__FDSAUDITLINK__" localSheetId="6" hidden="1">{"fdsup://directions/FAT Viewer?action=UPDATE&amp;creator=factset&amp;DYN_ARGS=TRUE&amp;DOC_NAME=FAT:FQL_AUDITING_CLIENT_TEMPLATE.FAT&amp;display_string=Audit&amp;VAR:KEY=NCREFCNUFI&amp;VAR:QUERY=RkZfRUJJVERBX0lCKCdMVE1TJywzOTkyMik=&amp;WINDOW=FIRST_POPUP&amp;HEIGHT=450&amp;WIDTH=450&amp;START_MA","XIMIZED=FALSE&amp;VAR:CALENDAR=US&amp;VAR:SYMBOL=05614P10&amp;VAR:INDEX=0"}</definedName>
    <definedName name="_2135__FDSAUDITLINK__" hidden="1">{"fdsup://directions/FAT Viewer?action=UPDATE&amp;creator=factset&amp;DYN_ARGS=TRUE&amp;DOC_NAME=FAT:FQL_AUDITING_CLIENT_TEMPLATE.FAT&amp;display_string=Audit&amp;VAR:KEY=NCREFCNUFI&amp;VAR:QUERY=RkZfRUJJVERBX0lCKCdMVE1TJywzOTkyMik=&amp;WINDOW=FIRST_POPUP&amp;HEIGHT=450&amp;WIDTH=450&amp;START_MA","XIMIZED=FALSE&amp;VAR:CALENDAR=US&amp;VAR:SYMBOL=05614P10&amp;VAR:INDEX=0"}</definedName>
    <definedName name="_2136__FDSAUDITLINK__" localSheetId="6" hidden="1">{"fdsup://directions/FAT Viewer?action=UPDATE&amp;creator=factset&amp;DYN_ARGS=TRUE&amp;DOC_NAME=FAT:FQL_AUDITING_CLIENT_TEMPLATE.FAT&amp;display_string=Audit&amp;VAR:KEY=HCRAJOTGNS&amp;VAR:QUERY=RkZfRUJJVERBX0lCKCdMVE1TJywzOTkyMSk=&amp;WINDOW=FIRST_POPUP&amp;HEIGHT=450&amp;WIDTH=450&amp;START_MA","XIMIZED=FALSE&amp;VAR:CALENDAR=US&amp;VAR:SYMBOL=05614P10&amp;VAR:INDEX=0"}</definedName>
    <definedName name="_2136__FDSAUDITLINK__" hidden="1">{"fdsup://directions/FAT Viewer?action=UPDATE&amp;creator=factset&amp;DYN_ARGS=TRUE&amp;DOC_NAME=FAT:FQL_AUDITING_CLIENT_TEMPLATE.FAT&amp;display_string=Audit&amp;VAR:KEY=HCRAJOTGNS&amp;VAR:QUERY=RkZfRUJJVERBX0lCKCdMVE1TJywzOTkyMSk=&amp;WINDOW=FIRST_POPUP&amp;HEIGHT=450&amp;WIDTH=450&amp;START_MA","XIMIZED=FALSE&amp;VAR:CALENDAR=US&amp;VAR:SYMBOL=05614P10&amp;VAR:INDEX=0"}</definedName>
    <definedName name="_2137__FDSAUDITLINK__" localSheetId="6" hidden="1">{"fdsup://directions/FAT Viewer?action=UPDATE&amp;creator=factset&amp;DYN_ARGS=TRUE&amp;DOC_NAME=FAT:FQL_AUDITING_CLIENT_TEMPLATE.FAT&amp;display_string=Audit&amp;VAR:KEY=DWZEVGLSZC&amp;VAR:QUERY=RkZfRUJJVERBX0lCKCdMVE1TJywzOTkyMCk=&amp;WINDOW=FIRST_POPUP&amp;HEIGHT=450&amp;WIDTH=450&amp;START_MA","XIMIZED=FALSE&amp;VAR:CALENDAR=US&amp;VAR:SYMBOL=05614P10&amp;VAR:INDEX=0"}</definedName>
    <definedName name="_2137__FDSAUDITLINK__" hidden="1">{"fdsup://directions/FAT Viewer?action=UPDATE&amp;creator=factset&amp;DYN_ARGS=TRUE&amp;DOC_NAME=FAT:FQL_AUDITING_CLIENT_TEMPLATE.FAT&amp;display_string=Audit&amp;VAR:KEY=DWZEVGLSZC&amp;VAR:QUERY=RkZfRUJJVERBX0lCKCdMVE1TJywzOTkyMCk=&amp;WINDOW=FIRST_POPUP&amp;HEIGHT=450&amp;WIDTH=450&amp;START_MA","XIMIZED=FALSE&amp;VAR:CALENDAR=US&amp;VAR:SYMBOL=05614P10&amp;VAR:INDEX=0"}</definedName>
    <definedName name="_2138__FDSAUDITLINK__" localSheetId="6" hidden="1">{"fdsup://directions/FAT Viewer?action=UPDATE&amp;creator=factset&amp;DYN_ARGS=TRUE&amp;DOC_NAME=FAT:FQL_AUDITING_CLIENT_TEMPLATE.FAT&amp;display_string=Audit&amp;VAR:KEY=TOXIFMJSXQ&amp;VAR:QUERY=RkZfRUJJVERBX0lCKCdMVE1TJywzOTkxOSk=&amp;WINDOW=FIRST_POPUP&amp;HEIGHT=450&amp;WIDTH=450&amp;START_MA","XIMIZED=FALSE&amp;VAR:CALENDAR=US&amp;VAR:SYMBOL=05614P10&amp;VAR:INDEX=0"}</definedName>
    <definedName name="_2138__FDSAUDITLINK__" hidden="1">{"fdsup://directions/FAT Viewer?action=UPDATE&amp;creator=factset&amp;DYN_ARGS=TRUE&amp;DOC_NAME=FAT:FQL_AUDITING_CLIENT_TEMPLATE.FAT&amp;display_string=Audit&amp;VAR:KEY=TOXIFMJSXQ&amp;VAR:QUERY=RkZfRUJJVERBX0lCKCdMVE1TJywzOTkxOSk=&amp;WINDOW=FIRST_POPUP&amp;HEIGHT=450&amp;WIDTH=450&amp;START_MA","XIMIZED=FALSE&amp;VAR:CALENDAR=US&amp;VAR:SYMBOL=05614P10&amp;VAR:INDEX=0"}</definedName>
    <definedName name="_2139__FDSAUDITLINK__" localSheetId="6" hidden="1">{"fdsup://directions/FAT Viewer?action=UPDATE&amp;creator=factset&amp;DYN_ARGS=TRUE&amp;DOC_NAME=FAT:FQL_AUDITING_CLIENT_TEMPLATE.FAT&amp;display_string=Audit&amp;VAR:KEY=PSJIHEDEJI&amp;VAR:QUERY=RkZfRUJJVERBX0lCKCdMVE1TJywzOTkxOCk=&amp;WINDOW=FIRST_POPUP&amp;HEIGHT=450&amp;WIDTH=450&amp;START_MA","XIMIZED=FALSE&amp;VAR:CALENDAR=US&amp;VAR:SYMBOL=05614P10&amp;VAR:INDEX=0"}</definedName>
    <definedName name="_2139__FDSAUDITLINK__" hidden="1">{"fdsup://directions/FAT Viewer?action=UPDATE&amp;creator=factset&amp;DYN_ARGS=TRUE&amp;DOC_NAME=FAT:FQL_AUDITING_CLIENT_TEMPLATE.FAT&amp;display_string=Audit&amp;VAR:KEY=PSJIHEDEJI&amp;VAR:QUERY=RkZfRUJJVERBX0lCKCdMVE1TJywzOTkxOCk=&amp;WINDOW=FIRST_POPUP&amp;HEIGHT=450&amp;WIDTH=450&amp;START_MA","XIMIZED=FALSE&amp;VAR:CALENDAR=US&amp;VAR:SYMBOL=05614P10&amp;VAR:INDEX=0"}</definedName>
    <definedName name="_214__FDSAUDITLINK__" localSheetId="6" hidden="1">{"fdsup://directions/FAT%20Viewer?VAR:PED=LTM&amp;VAR:AUDIT_MODE=SUMMARY&amp;VAR:PERIOD=FIXED&amp;VAR:AUDIT_ID=00000117&amp;VAR:DATE=20090722&amp;action=UPDATE&amp;creator=factset&amp;DOC_NAME=FAT:FMA_audit_SUMMARY.fat&amp;DISPLAY_STRING=Display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4__FDSAUDITLINK__" hidden="1">{"fdsup://directions/FAT%20Viewer?VAR:PED=LTM&amp;VAR:AUDIT_MODE=SUMMARY&amp;VAR:PERIOD=FIXED&amp;VAR:AUDIT_ID=00000117&amp;VAR:DATE=20090722&amp;action=UPDATE&amp;creator=factset&amp;DOC_NAME=FAT:FMA_audit_SUMMARY.fat&amp;DISPLAY_STRING=Display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40__FDSAUDITLINK__" localSheetId="6" hidden="1">{"fdsup://directions/FAT Viewer?action=UPDATE&amp;creator=factset&amp;DYN_ARGS=TRUE&amp;DOC_NAME=FAT:FQL_AUDITING_CLIENT_TEMPLATE.FAT&amp;display_string=Audit&amp;VAR:KEY=FSVQPSHMDY&amp;VAR:QUERY=RkZfRUJJVERBX0lCKCdMVE1TJywzOTkxNyk=&amp;WINDOW=FIRST_POPUP&amp;HEIGHT=450&amp;WIDTH=450&amp;START_MA","XIMIZED=FALSE&amp;VAR:CALENDAR=US&amp;VAR:SYMBOL=05614P10&amp;VAR:INDEX=0"}</definedName>
    <definedName name="_2140__FDSAUDITLINK__" hidden="1">{"fdsup://directions/FAT Viewer?action=UPDATE&amp;creator=factset&amp;DYN_ARGS=TRUE&amp;DOC_NAME=FAT:FQL_AUDITING_CLIENT_TEMPLATE.FAT&amp;display_string=Audit&amp;VAR:KEY=FSVQPSHMDY&amp;VAR:QUERY=RkZfRUJJVERBX0lCKCdMVE1TJywzOTkxNyk=&amp;WINDOW=FIRST_POPUP&amp;HEIGHT=450&amp;WIDTH=450&amp;START_MA","XIMIZED=FALSE&amp;VAR:CALENDAR=US&amp;VAR:SYMBOL=05614P10&amp;VAR:INDEX=0"}</definedName>
    <definedName name="_2141__FDSAUDITLINK__" localSheetId="6" hidden="1">{"fdsup://directions/FAT Viewer?action=UPDATE&amp;creator=factset&amp;DYN_ARGS=TRUE&amp;DOC_NAME=FAT:FQL_AUDITING_CLIENT_TEMPLATE.FAT&amp;display_string=Audit&amp;VAR:KEY=FYBILKPOXI&amp;VAR:QUERY=RkZfRUJJVERBX0lCKCdMVE1TJywzOTkxNik=&amp;WINDOW=FIRST_POPUP&amp;HEIGHT=450&amp;WIDTH=450&amp;START_MA","XIMIZED=FALSE&amp;VAR:CALENDAR=US&amp;VAR:SYMBOL=05614P10&amp;VAR:INDEX=0"}</definedName>
    <definedName name="_2141__FDSAUDITLINK__" hidden="1">{"fdsup://directions/FAT Viewer?action=UPDATE&amp;creator=factset&amp;DYN_ARGS=TRUE&amp;DOC_NAME=FAT:FQL_AUDITING_CLIENT_TEMPLATE.FAT&amp;display_string=Audit&amp;VAR:KEY=FYBILKPOXI&amp;VAR:QUERY=RkZfRUJJVERBX0lCKCdMVE1TJywzOTkxNik=&amp;WINDOW=FIRST_POPUP&amp;HEIGHT=450&amp;WIDTH=450&amp;START_MA","XIMIZED=FALSE&amp;VAR:CALENDAR=US&amp;VAR:SYMBOL=05614P10&amp;VAR:INDEX=0"}</definedName>
    <definedName name="_2142__FDSAUDITLINK__" localSheetId="6" hidden="1">{"fdsup://directions/FAT Viewer?action=UPDATE&amp;creator=factset&amp;DYN_ARGS=TRUE&amp;DOC_NAME=FAT:FQL_AUDITING_CLIENT_TEMPLATE.FAT&amp;display_string=Audit&amp;VAR:KEY=XILKZKBKRC&amp;VAR:QUERY=RkZfRUJJVERBX0lCKCdMVE1TJywzOTkxNSk=&amp;WINDOW=FIRST_POPUP&amp;HEIGHT=450&amp;WIDTH=450&amp;START_MA","XIMIZED=FALSE&amp;VAR:CALENDAR=US&amp;VAR:SYMBOL=05614P10&amp;VAR:INDEX=0"}</definedName>
    <definedName name="_2142__FDSAUDITLINK__" hidden="1">{"fdsup://directions/FAT Viewer?action=UPDATE&amp;creator=factset&amp;DYN_ARGS=TRUE&amp;DOC_NAME=FAT:FQL_AUDITING_CLIENT_TEMPLATE.FAT&amp;display_string=Audit&amp;VAR:KEY=XILKZKBKRC&amp;VAR:QUERY=RkZfRUJJVERBX0lCKCdMVE1TJywzOTkxNSk=&amp;WINDOW=FIRST_POPUP&amp;HEIGHT=450&amp;WIDTH=450&amp;START_MA","XIMIZED=FALSE&amp;VAR:CALENDAR=US&amp;VAR:SYMBOL=05614P10&amp;VAR:INDEX=0"}</definedName>
    <definedName name="_2143__FDSAUDITLINK__" localSheetId="6" hidden="1">{"fdsup://directions/FAT Viewer?action=UPDATE&amp;creator=factset&amp;DYN_ARGS=TRUE&amp;DOC_NAME=FAT:FQL_AUDITING_CLIENT_TEMPLATE.FAT&amp;display_string=Audit&amp;VAR:KEY=VEFSPCBOVO&amp;VAR:QUERY=RkZfRUJJVERBX0lCKCdMVE1TJywzOTkxNCk=&amp;WINDOW=FIRST_POPUP&amp;HEIGHT=450&amp;WIDTH=450&amp;START_MA","XIMIZED=FALSE&amp;VAR:CALENDAR=US&amp;VAR:SYMBOL=05614P10&amp;VAR:INDEX=0"}</definedName>
    <definedName name="_2143__FDSAUDITLINK__" hidden="1">{"fdsup://directions/FAT Viewer?action=UPDATE&amp;creator=factset&amp;DYN_ARGS=TRUE&amp;DOC_NAME=FAT:FQL_AUDITING_CLIENT_TEMPLATE.FAT&amp;display_string=Audit&amp;VAR:KEY=VEFSPCBOVO&amp;VAR:QUERY=RkZfRUJJVERBX0lCKCdMVE1TJywzOTkxNCk=&amp;WINDOW=FIRST_POPUP&amp;HEIGHT=450&amp;WIDTH=450&amp;START_MA","XIMIZED=FALSE&amp;VAR:CALENDAR=US&amp;VAR:SYMBOL=05614P10&amp;VAR:INDEX=0"}</definedName>
    <definedName name="_2144__FDSAUDITLINK__" localSheetId="6" hidden="1">{"fdsup://directions/FAT Viewer?action=UPDATE&amp;creator=factset&amp;DYN_ARGS=TRUE&amp;DOC_NAME=FAT:FQL_AUDITING_CLIENT_TEMPLATE.FAT&amp;display_string=Audit&amp;VAR:KEY=FOZIRYLILU&amp;VAR:QUERY=RkZfRUJJVERBX0lCKCdMVE1TJywzOTkxMyk=&amp;WINDOW=FIRST_POPUP&amp;HEIGHT=450&amp;WIDTH=450&amp;START_MA","XIMIZED=FALSE&amp;VAR:CALENDAR=US&amp;VAR:SYMBOL=05614P10&amp;VAR:INDEX=0"}</definedName>
    <definedName name="_2144__FDSAUDITLINK__" hidden="1">{"fdsup://directions/FAT Viewer?action=UPDATE&amp;creator=factset&amp;DYN_ARGS=TRUE&amp;DOC_NAME=FAT:FQL_AUDITING_CLIENT_TEMPLATE.FAT&amp;display_string=Audit&amp;VAR:KEY=FOZIRYLILU&amp;VAR:QUERY=RkZfRUJJVERBX0lCKCdMVE1TJywzOTkxMyk=&amp;WINDOW=FIRST_POPUP&amp;HEIGHT=450&amp;WIDTH=450&amp;START_MA","XIMIZED=FALSE&amp;VAR:CALENDAR=US&amp;VAR:SYMBOL=05614P10&amp;VAR:INDEX=0"}</definedName>
    <definedName name="_2145__FDSAUDITLINK__" localSheetId="6" hidden="1">{"fdsup://directions/FAT Viewer?action=UPDATE&amp;creator=factset&amp;DYN_ARGS=TRUE&amp;DOC_NAME=FAT:FQL_AUDITING_CLIENT_TEMPLATE.FAT&amp;display_string=Audit&amp;VAR:KEY=HKNGHSNSFC&amp;VAR:QUERY=RkZfRUJJVERBX0lCKCdMVE1TJywzOTkxMik=&amp;WINDOW=FIRST_POPUP&amp;HEIGHT=450&amp;WIDTH=450&amp;START_MA","XIMIZED=FALSE&amp;VAR:CALENDAR=US&amp;VAR:SYMBOL=05614P10&amp;VAR:INDEX=0"}</definedName>
    <definedName name="_2145__FDSAUDITLINK__" hidden="1">{"fdsup://directions/FAT Viewer?action=UPDATE&amp;creator=factset&amp;DYN_ARGS=TRUE&amp;DOC_NAME=FAT:FQL_AUDITING_CLIENT_TEMPLATE.FAT&amp;display_string=Audit&amp;VAR:KEY=HKNGHSNSFC&amp;VAR:QUERY=RkZfRUJJVERBX0lCKCdMVE1TJywzOTkxMik=&amp;WINDOW=FIRST_POPUP&amp;HEIGHT=450&amp;WIDTH=450&amp;START_MA","XIMIZED=FALSE&amp;VAR:CALENDAR=US&amp;VAR:SYMBOL=05614P10&amp;VAR:INDEX=0"}</definedName>
    <definedName name="_2146__FDSAUDITLINK__" localSheetId="6" hidden="1">{"fdsup://directions/FAT Viewer?action=UPDATE&amp;creator=factset&amp;DYN_ARGS=TRUE&amp;DOC_NAME=FAT:FQL_AUDITING_CLIENT_TEMPLATE.FAT&amp;display_string=Audit&amp;VAR:KEY=VUDSNKTKTW&amp;VAR:QUERY=RkZfRUJJVERBX0lCKCdMVE1TJywzOTkxMSk=&amp;WINDOW=FIRST_POPUP&amp;HEIGHT=450&amp;WIDTH=450&amp;START_MA","XIMIZED=FALSE&amp;VAR:CALENDAR=US&amp;VAR:SYMBOL=05614P10&amp;VAR:INDEX=0"}</definedName>
    <definedName name="_2146__FDSAUDITLINK__" hidden="1">{"fdsup://directions/FAT Viewer?action=UPDATE&amp;creator=factset&amp;DYN_ARGS=TRUE&amp;DOC_NAME=FAT:FQL_AUDITING_CLIENT_TEMPLATE.FAT&amp;display_string=Audit&amp;VAR:KEY=VUDSNKTKTW&amp;VAR:QUERY=RkZfRUJJVERBX0lCKCdMVE1TJywzOTkxMSk=&amp;WINDOW=FIRST_POPUP&amp;HEIGHT=450&amp;WIDTH=450&amp;START_MA","XIMIZED=FALSE&amp;VAR:CALENDAR=US&amp;VAR:SYMBOL=05614P10&amp;VAR:INDEX=0"}</definedName>
    <definedName name="_2147__FDSAUDITLINK__" localSheetId="6" hidden="1">{"fdsup://directions/FAT Viewer?action=UPDATE&amp;creator=factset&amp;DYN_ARGS=TRUE&amp;DOC_NAME=FAT:FQL_AUDITING_CLIENT_TEMPLATE.FAT&amp;display_string=Audit&amp;VAR:KEY=VWDATQNCHI&amp;VAR:QUERY=RkZfRUJJVERBX0lCKCdMVE1TJywzOTkxMCk=&amp;WINDOW=FIRST_POPUP&amp;HEIGHT=450&amp;WIDTH=450&amp;START_MA","XIMIZED=FALSE&amp;VAR:CALENDAR=US&amp;VAR:SYMBOL=05614P10&amp;VAR:INDEX=0"}</definedName>
    <definedName name="_2147__FDSAUDITLINK__" hidden="1">{"fdsup://directions/FAT Viewer?action=UPDATE&amp;creator=factset&amp;DYN_ARGS=TRUE&amp;DOC_NAME=FAT:FQL_AUDITING_CLIENT_TEMPLATE.FAT&amp;display_string=Audit&amp;VAR:KEY=VWDATQNCHI&amp;VAR:QUERY=RkZfRUJJVERBX0lCKCdMVE1TJywzOTkxMCk=&amp;WINDOW=FIRST_POPUP&amp;HEIGHT=450&amp;WIDTH=450&amp;START_MA","XIMIZED=FALSE&amp;VAR:CALENDAR=US&amp;VAR:SYMBOL=05614P10&amp;VAR:INDEX=0"}</definedName>
    <definedName name="_2148__FDSAUDITLINK__" localSheetId="6" hidden="1">{"fdsup://directions/FAT Viewer?action=UPDATE&amp;creator=factset&amp;DYN_ARGS=TRUE&amp;DOC_NAME=FAT:FQL_AUDITING_CLIENT_TEMPLATE.FAT&amp;display_string=Audit&amp;VAR:KEY=ZQLQHEHABI&amp;VAR:QUERY=RkZfRUJJVERBX0lCKCdMVE1TJywzOTkwOSk=&amp;WINDOW=FIRST_POPUP&amp;HEIGHT=450&amp;WIDTH=450&amp;START_MA","XIMIZED=FALSE&amp;VAR:CALENDAR=US&amp;VAR:SYMBOL=05614P10&amp;VAR:INDEX=0"}</definedName>
    <definedName name="_2148__FDSAUDITLINK__" hidden="1">{"fdsup://directions/FAT Viewer?action=UPDATE&amp;creator=factset&amp;DYN_ARGS=TRUE&amp;DOC_NAME=FAT:FQL_AUDITING_CLIENT_TEMPLATE.FAT&amp;display_string=Audit&amp;VAR:KEY=ZQLQHEHABI&amp;VAR:QUERY=RkZfRUJJVERBX0lCKCdMVE1TJywzOTkwOSk=&amp;WINDOW=FIRST_POPUP&amp;HEIGHT=450&amp;WIDTH=450&amp;START_MA","XIMIZED=FALSE&amp;VAR:CALENDAR=US&amp;VAR:SYMBOL=05614P10&amp;VAR:INDEX=0"}</definedName>
    <definedName name="_2149__FDSAUDITLINK__" localSheetId="6" hidden="1">{"fdsup://directions/FAT Viewer?action=UPDATE&amp;creator=factset&amp;DYN_ARGS=TRUE&amp;DOC_NAME=FAT:FQL_AUDITING_CLIENT_TEMPLATE.FAT&amp;display_string=Audit&amp;VAR:KEY=VKNCFKTYRS&amp;VAR:QUERY=RkZfRUJJVERBX0lCKCdMVE1TJywzOTkwOCk=&amp;WINDOW=FIRST_POPUP&amp;HEIGHT=450&amp;WIDTH=450&amp;START_MA","XIMIZED=FALSE&amp;VAR:CALENDAR=US&amp;VAR:SYMBOL=05614P10&amp;VAR:INDEX=0"}</definedName>
    <definedName name="_2149__FDSAUDITLINK__" hidden="1">{"fdsup://directions/FAT Viewer?action=UPDATE&amp;creator=factset&amp;DYN_ARGS=TRUE&amp;DOC_NAME=FAT:FQL_AUDITING_CLIENT_TEMPLATE.FAT&amp;display_string=Audit&amp;VAR:KEY=VKNCFKTYRS&amp;VAR:QUERY=RkZfRUJJVERBX0lCKCdMVE1TJywzOTkwOCk=&amp;WINDOW=FIRST_POPUP&amp;HEIGHT=450&amp;WIDTH=450&amp;START_MA","XIMIZED=FALSE&amp;VAR:CALENDAR=US&amp;VAR:SYMBOL=05614P10&amp;VAR:INDEX=0"}</definedName>
    <definedName name="_215__FDSAUDITLINK__" localSheetId="6" hidden="1">{"fdsup://directions/FAT%20Viewer?VAR:PED=LTM&amp;VAR:AUDIT_MODE=SUMMARY&amp;VAR:PERIOD=FIXED&amp;VAR:AUDIT_ID=00000117&amp;VAR:DATE=20090721&amp;action=UPDATE&amp;creator=factset&amp;DOC_NAME=FAT:FMA_audit_SUMMARY.fat&amp;DISPLAY_STRING=Display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5__FDSAUDITLINK__" hidden="1">{"fdsup://directions/FAT%20Viewer?VAR:PED=LTM&amp;VAR:AUDIT_MODE=SUMMARY&amp;VAR:PERIOD=FIXED&amp;VAR:AUDIT_ID=00000117&amp;VAR:DATE=20090721&amp;action=UPDATE&amp;creator=factset&amp;DOC_NAME=FAT:FMA_audit_SUMMARY.fat&amp;DISPLAY_STRING=Display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50__FDSAUDITLINK__" localSheetId="6" hidden="1">{"fdsup://directions/FAT Viewer?action=UPDATE&amp;creator=factset&amp;DYN_ARGS=TRUE&amp;DOC_NAME=FAT:FQL_AUDITING_CLIENT_TEMPLATE.FAT&amp;display_string=Audit&amp;VAR:KEY=VKLMNGFEHE&amp;VAR:QUERY=RkZfRUJJVERBX0lCKCdMVE1TJywzOTkwNyk=&amp;WINDOW=FIRST_POPUP&amp;HEIGHT=450&amp;WIDTH=450&amp;START_MA","XIMIZED=FALSE&amp;VAR:CALENDAR=US&amp;VAR:SYMBOL=05614P10&amp;VAR:INDEX=0"}</definedName>
    <definedName name="_2150__FDSAUDITLINK__" hidden="1">{"fdsup://directions/FAT Viewer?action=UPDATE&amp;creator=factset&amp;DYN_ARGS=TRUE&amp;DOC_NAME=FAT:FQL_AUDITING_CLIENT_TEMPLATE.FAT&amp;display_string=Audit&amp;VAR:KEY=VKLMNGFEHE&amp;VAR:QUERY=RkZfRUJJVERBX0lCKCdMVE1TJywzOTkwNyk=&amp;WINDOW=FIRST_POPUP&amp;HEIGHT=450&amp;WIDTH=450&amp;START_MA","XIMIZED=FALSE&amp;VAR:CALENDAR=US&amp;VAR:SYMBOL=05614P10&amp;VAR:INDEX=0"}</definedName>
    <definedName name="_2151__FDSAUDITLINK__" localSheetId="6" hidden="1">{"fdsup://directions/FAT Viewer?action=UPDATE&amp;creator=factset&amp;DYN_ARGS=TRUE&amp;DOC_NAME=FAT:FQL_AUDITING_CLIENT_TEMPLATE.FAT&amp;display_string=Audit&amp;VAR:KEY=DODODMVCPI&amp;VAR:QUERY=RkZfRUJJVERBX0lCKCdMVE1TJywzOTkwNik=&amp;WINDOW=FIRST_POPUP&amp;HEIGHT=450&amp;WIDTH=450&amp;START_MA","XIMIZED=FALSE&amp;VAR:CALENDAR=US&amp;VAR:SYMBOL=05614P10&amp;VAR:INDEX=0"}</definedName>
    <definedName name="_2151__FDSAUDITLINK__" hidden="1">{"fdsup://directions/FAT Viewer?action=UPDATE&amp;creator=factset&amp;DYN_ARGS=TRUE&amp;DOC_NAME=FAT:FQL_AUDITING_CLIENT_TEMPLATE.FAT&amp;display_string=Audit&amp;VAR:KEY=DODODMVCPI&amp;VAR:QUERY=RkZfRUJJVERBX0lCKCdMVE1TJywzOTkwNik=&amp;WINDOW=FIRST_POPUP&amp;HEIGHT=450&amp;WIDTH=450&amp;START_MA","XIMIZED=FALSE&amp;VAR:CALENDAR=US&amp;VAR:SYMBOL=05614P10&amp;VAR:INDEX=0"}</definedName>
    <definedName name="_2152__FDSAUDITLINK__" localSheetId="6" hidden="1">{"fdsup://directions/FAT Viewer?action=UPDATE&amp;creator=factset&amp;DYN_ARGS=TRUE&amp;DOC_NAME=FAT:FQL_AUDITING_CLIENT_TEMPLATE.FAT&amp;display_string=Audit&amp;VAR:KEY=FGVGFCVUVK&amp;VAR:QUERY=RkZfRUJJVERBX0lCKCdMVE1TJywzOTkwNSk=&amp;WINDOW=FIRST_POPUP&amp;HEIGHT=450&amp;WIDTH=450&amp;START_MA","XIMIZED=FALSE&amp;VAR:CALENDAR=US&amp;VAR:SYMBOL=05614P10&amp;VAR:INDEX=0"}</definedName>
    <definedName name="_2152__FDSAUDITLINK__" hidden="1">{"fdsup://directions/FAT Viewer?action=UPDATE&amp;creator=factset&amp;DYN_ARGS=TRUE&amp;DOC_NAME=FAT:FQL_AUDITING_CLIENT_TEMPLATE.FAT&amp;display_string=Audit&amp;VAR:KEY=FGVGFCVUVK&amp;VAR:QUERY=RkZfRUJJVERBX0lCKCdMVE1TJywzOTkwNSk=&amp;WINDOW=FIRST_POPUP&amp;HEIGHT=450&amp;WIDTH=450&amp;START_MA","XIMIZED=FALSE&amp;VAR:CALENDAR=US&amp;VAR:SYMBOL=05614P10&amp;VAR:INDEX=0"}</definedName>
    <definedName name="_2153__FDSAUDITLINK__" localSheetId="6" hidden="1">{"fdsup://directions/FAT Viewer?action=UPDATE&amp;creator=factset&amp;DYN_ARGS=TRUE&amp;DOC_NAME=FAT:FQL_AUDITING_CLIENT_TEMPLATE.FAT&amp;display_string=Audit&amp;VAR:KEY=HWLOHELWZS&amp;VAR:QUERY=RkZfRUJJVERBX0lCKCdMVE1TJywzOTkwNCk=&amp;WINDOW=FIRST_POPUP&amp;HEIGHT=450&amp;WIDTH=450&amp;START_MA","XIMIZED=FALSE&amp;VAR:CALENDAR=US&amp;VAR:SYMBOL=05614P10&amp;VAR:INDEX=0"}</definedName>
    <definedName name="_2153__FDSAUDITLINK__" hidden="1">{"fdsup://directions/FAT Viewer?action=UPDATE&amp;creator=factset&amp;DYN_ARGS=TRUE&amp;DOC_NAME=FAT:FQL_AUDITING_CLIENT_TEMPLATE.FAT&amp;display_string=Audit&amp;VAR:KEY=HWLOHELWZS&amp;VAR:QUERY=RkZfRUJJVERBX0lCKCdMVE1TJywzOTkwNCk=&amp;WINDOW=FIRST_POPUP&amp;HEIGHT=450&amp;WIDTH=450&amp;START_MA","XIMIZED=FALSE&amp;VAR:CALENDAR=US&amp;VAR:SYMBOL=05614P10&amp;VAR:INDEX=0"}</definedName>
    <definedName name="_2154__FDSAUDITLINK__" localSheetId="6" hidden="1">{"fdsup://directions/FAT Viewer?action=UPDATE&amp;creator=factset&amp;DYN_ARGS=TRUE&amp;DOC_NAME=FAT:FQL_AUDITING_CLIENT_TEMPLATE.FAT&amp;display_string=Audit&amp;VAR:KEY=ZIZSNQJKXW&amp;VAR:QUERY=RkZfRUJJVERBX0lCKCdMVE1TJywzOTkwMyk=&amp;WINDOW=FIRST_POPUP&amp;HEIGHT=450&amp;WIDTH=450&amp;START_MA","XIMIZED=FALSE&amp;VAR:CALENDAR=US&amp;VAR:SYMBOL=05614P10&amp;VAR:INDEX=0"}</definedName>
    <definedName name="_2154__FDSAUDITLINK__" hidden="1">{"fdsup://directions/FAT Viewer?action=UPDATE&amp;creator=factset&amp;DYN_ARGS=TRUE&amp;DOC_NAME=FAT:FQL_AUDITING_CLIENT_TEMPLATE.FAT&amp;display_string=Audit&amp;VAR:KEY=ZIZSNQJKXW&amp;VAR:QUERY=RkZfRUJJVERBX0lCKCdMVE1TJywzOTkwMyk=&amp;WINDOW=FIRST_POPUP&amp;HEIGHT=450&amp;WIDTH=450&amp;START_MA","XIMIZED=FALSE&amp;VAR:CALENDAR=US&amp;VAR:SYMBOL=05614P10&amp;VAR:INDEX=0"}</definedName>
    <definedName name="_2155__FDSAUDITLINK__" localSheetId="6" hidden="1">{"fdsup://directions/FAT Viewer?action=UPDATE&amp;creator=factset&amp;DYN_ARGS=TRUE&amp;DOC_NAME=FAT:FQL_AUDITING_CLIENT_TEMPLATE.FAT&amp;display_string=Audit&amp;VAR:KEY=ZWHQPCJYRO&amp;VAR:QUERY=RkZfRUJJVERBX0lCKCdMVE1TJywzOTkwMik=&amp;WINDOW=FIRST_POPUP&amp;HEIGHT=450&amp;WIDTH=450&amp;START_MA","XIMIZED=FALSE&amp;VAR:CALENDAR=US&amp;VAR:SYMBOL=05614P10&amp;VAR:INDEX=0"}</definedName>
    <definedName name="_2155__FDSAUDITLINK__" hidden="1">{"fdsup://directions/FAT Viewer?action=UPDATE&amp;creator=factset&amp;DYN_ARGS=TRUE&amp;DOC_NAME=FAT:FQL_AUDITING_CLIENT_TEMPLATE.FAT&amp;display_string=Audit&amp;VAR:KEY=ZWHQPCJYRO&amp;VAR:QUERY=RkZfRUJJVERBX0lCKCdMVE1TJywzOTkwMik=&amp;WINDOW=FIRST_POPUP&amp;HEIGHT=450&amp;WIDTH=450&amp;START_MA","XIMIZED=FALSE&amp;VAR:CALENDAR=US&amp;VAR:SYMBOL=05614P10&amp;VAR:INDEX=0"}</definedName>
    <definedName name="_2156__FDSAUDITLINK__" localSheetId="6" hidden="1">{"fdsup://directions/FAT Viewer?action=UPDATE&amp;creator=factset&amp;DYN_ARGS=TRUE&amp;DOC_NAME=FAT:FQL_AUDITING_CLIENT_TEMPLATE.FAT&amp;display_string=Audit&amp;VAR:KEY=PQPSTCXGNM&amp;VAR:QUERY=RkZfRUJJVERBX0lCKCdMVE1TJywzOTkwMSk=&amp;WINDOW=FIRST_POPUP&amp;HEIGHT=450&amp;WIDTH=450&amp;START_MA","XIMIZED=FALSE&amp;VAR:CALENDAR=US&amp;VAR:SYMBOL=05614P10&amp;VAR:INDEX=0"}</definedName>
    <definedName name="_2156__FDSAUDITLINK__" hidden="1">{"fdsup://directions/FAT Viewer?action=UPDATE&amp;creator=factset&amp;DYN_ARGS=TRUE&amp;DOC_NAME=FAT:FQL_AUDITING_CLIENT_TEMPLATE.FAT&amp;display_string=Audit&amp;VAR:KEY=PQPSTCXGNM&amp;VAR:QUERY=RkZfRUJJVERBX0lCKCdMVE1TJywzOTkwMSk=&amp;WINDOW=FIRST_POPUP&amp;HEIGHT=450&amp;WIDTH=450&amp;START_MA","XIMIZED=FALSE&amp;VAR:CALENDAR=US&amp;VAR:SYMBOL=05614P10&amp;VAR:INDEX=0"}</definedName>
    <definedName name="_2157__FDSAUDITLINK__" localSheetId="6" hidden="1">{"fdsup://directions/FAT Viewer?action=UPDATE&amp;creator=factset&amp;DYN_ARGS=TRUE&amp;DOC_NAME=FAT:FQL_AUDITING_CLIENT_TEMPLATE.FAT&amp;display_string=Audit&amp;VAR:KEY=NYVIVGZITY&amp;VAR:QUERY=RkZfRUJJVERBX0lCKCdMVE1TJywzOTkwMCk=&amp;WINDOW=FIRST_POPUP&amp;HEIGHT=450&amp;WIDTH=450&amp;START_MA","XIMIZED=FALSE&amp;VAR:CALENDAR=US&amp;VAR:SYMBOL=05614P10&amp;VAR:INDEX=0"}</definedName>
    <definedName name="_2157__FDSAUDITLINK__" hidden="1">{"fdsup://directions/FAT Viewer?action=UPDATE&amp;creator=factset&amp;DYN_ARGS=TRUE&amp;DOC_NAME=FAT:FQL_AUDITING_CLIENT_TEMPLATE.FAT&amp;display_string=Audit&amp;VAR:KEY=NYVIVGZITY&amp;VAR:QUERY=RkZfRUJJVERBX0lCKCdMVE1TJywzOTkwMCk=&amp;WINDOW=FIRST_POPUP&amp;HEIGHT=450&amp;WIDTH=450&amp;START_MA","XIMIZED=FALSE&amp;VAR:CALENDAR=US&amp;VAR:SYMBOL=05614P10&amp;VAR:INDEX=0"}</definedName>
    <definedName name="_2158__FDSAUDITLINK__" localSheetId="6" hidden="1">{"fdsup://directions/FAT Viewer?action=UPDATE&amp;creator=factset&amp;DYN_ARGS=TRUE&amp;DOC_NAME=FAT:FQL_AUDITING_CLIENT_TEMPLATE.FAT&amp;display_string=Audit&amp;VAR:KEY=BCLCBKVELU&amp;VAR:QUERY=RkZfRUJJVERBX0lCKCdMVE1TJywzOTg5OSk=&amp;WINDOW=FIRST_POPUP&amp;HEIGHT=450&amp;WIDTH=450&amp;START_MA","XIMIZED=FALSE&amp;VAR:CALENDAR=US&amp;VAR:SYMBOL=05614P10&amp;VAR:INDEX=0"}</definedName>
    <definedName name="_2158__FDSAUDITLINK__" hidden="1">{"fdsup://directions/FAT Viewer?action=UPDATE&amp;creator=factset&amp;DYN_ARGS=TRUE&amp;DOC_NAME=FAT:FQL_AUDITING_CLIENT_TEMPLATE.FAT&amp;display_string=Audit&amp;VAR:KEY=BCLCBKVELU&amp;VAR:QUERY=RkZfRUJJVERBX0lCKCdMVE1TJywzOTg5OSk=&amp;WINDOW=FIRST_POPUP&amp;HEIGHT=450&amp;WIDTH=450&amp;START_MA","XIMIZED=FALSE&amp;VAR:CALENDAR=US&amp;VAR:SYMBOL=05614P10&amp;VAR:INDEX=0"}</definedName>
    <definedName name="_2159__FDSAUDITLINK__" localSheetId="6" hidden="1">{"fdsup://directions/FAT Viewer?action=UPDATE&amp;creator=factset&amp;DYN_ARGS=TRUE&amp;DOC_NAME=FAT:FQL_AUDITING_CLIENT_TEMPLATE.FAT&amp;display_string=Audit&amp;VAR:KEY=RSJIRSTWDG&amp;VAR:QUERY=RkZfRUJJVERBX0lCKCdMVE1TJywzOTg5OCk=&amp;WINDOW=FIRST_POPUP&amp;HEIGHT=450&amp;WIDTH=450&amp;START_MA","XIMIZED=FALSE&amp;VAR:CALENDAR=US&amp;VAR:SYMBOL=05614P10&amp;VAR:INDEX=0"}</definedName>
    <definedName name="_2159__FDSAUDITLINK__" hidden="1">{"fdsup://directions/FAT Viewer?action=UPDATE&amp;creator=factset&amp;DYN_ARGS=TRUE&amp;DOC_NAME=FAT:FQL_AUDITING_CLIENT_TEMPLATE.FAT&amp;display_string=Audit&amp;VAR:KEY=RSJIRSTWDG&amp;VAR:QUERY=RkZfRUJJVERBX0lCKCdMVE1TJywzOTg5OCk=&amp;WINDOW=FIRST_POPUP&amp;HEIGHT=450&amp;WIDTH=450&amp;START_MA","XIMIZED=FALSE&amp;VAR:CALENDAR=US&amp;VAR:SYMBOL=05614P10&amp;VAR:INDEX=0"}</definedName>
    <definedName name="_216__FDSAUDITLINK__" localSheetId="6" hidden="1">{"fdsup://directions/FAT%20Viewer?VAR:PED=LTM&amp;VAR:AUDIT_MODE=SUMMARY&amp;VAR:PERIOD=FIXED&amp;VAR:AUDIT_ID=00000117&amp;VAR:DATE=20090720&amp;action=UPDATE&amp;creator=factset&amp;DOC_NAME=FAT:FMA_audit_SUMMARY.fat&amp;DISPLAY_STRING=Display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6__FDSAUDITLINK__" hidden="1">{"fdsup://directions/FAT%20Viewer?VAR:PED=LTM&amp;VAR:AUDIT_MODE=SUMMARY&amp;VAR:PERIOD=FIXED&amp;VAR:AUDIT_ID=00000117&amp;VAR:DATE=20090720&amp;action=UPDATE&amp;creator=factset&amp;DOC_NAME=FAT:FMA_audit_SUMMARY.fat&amp;DISPLAY_STRING=Display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60__FDSAUDITLINK__" localSheetId="6" hidden="1">{"fdsup://directions/FAT Viewer?action=UPDATE&amp;creator=factset&amp;DYN_ARGS=TRUE&amp;DOC_NAME=FAT:FQL_AUDITING_CLIENT_TEMPLATE.FAT&amp;display_string=Audit&amp;VAR:KEY=LSPIFGXUFQ&amp;VAR:QUERY=RkZfRUJJVERBX0lCKCdMVE1TJywzOTg5Nyk=&amp;WINDOW=FIRST_POPUP&amp;HEIGHT=450&amp;WIDTH=450&amp;START_MA","XIMIZED=FALSE&amp;VAR:CALENDAR=US&amp;VAR:SYMBOL=05614P10&amp;VAR:INDEX=0"}</definedName>
    <definedName name="_2160__FDSAUDITLINK__" hidden="1">{"fdsup://directions/FAT Viewer?action=UPDATE&amp;creator=factset&amp;DYN_ARGS=TRUE&amp;DOC_NAME=FAT:FQL_AUDITING_CLIENT_TEMPLATE.FAT&amp;display_string=Audit&amp;VAR:KEY=LSPIFGXUFQ&amp;VAR:QUERY=RkZfRUJJVERBX0lCKCdMVE1TJywzOTg5Nyk=&amp;WINDOW=FIRST_POPUP&amp;HEIGHT=450&amp;WIDTH=450&amp;START_MA","XIMIZED=FALSE&amp;VAR:CALENDAR=US&amp;VAR:SYMBOL=05614P10&amp;VAR:INDEX=0"}</definedName>
    <definedName name="_2161__FDSAUDITLINK__" localSheetId="6" hidden="1">{"fdsup://directions/FAT Viewer?action=UPDATE&amp;creator=factset&amp;DYN_ARGS=TRUE&amp;DOC_NAME=FAT:FQL_AUDITING_CLIENT_TEMPLATE.FAT&amp;display_string=Audit&amp;VAR:KEY=PAZUVWRWJC&amp;VAR:QUERY=RkZfRUJJVERBX0lCKCdMVE1TJywzOTg5Nik=&amp;WINDOW=FIRST_POPUP&amp;HEIGHT=450&amp;WIDTH=450&amp;START_MA","XIMIZED=FALSE&amp;VAR:CALENDAR=US&amp;VAR:SYMBOL=05614P10&amp;VAR:INDEX=0"}</definedName>
    <definedName name="_2161__FDSAUDITLINK__" hidden="1">{"fdsup://directions/FAT Viewer?action=UPDATE&amp;creator=factset&amp;DYN_ARGS=TRUE&amp;DOC_NAME=FAT:FQL_AUDITING_CLIENT_TEMPLATE.FAT&amp;display_string=Audit&amp;VAR:KEY=PAZUVWRWJC&amp;VAR:QUERY=RkZfRUJJVERBX0lCKCdMVE1TJywzOTg5Nik=&amp;WINDOW=FIRST_POPUP&amp;HEIGHT=450&amp;WIDTH=450&amp;START_MA","XIMIZED=FALSE&amp;VAR:CALENDAR=US&amp;VAR:SYMBOL=05614P10&amp;VAR:INDEX=0"}</definedName>
    <definedName name="_2162__FDSAUDITLINK__" localSheetId="6" hidden="1">{"fdsup://directions/FAT Viewer?action=UPDATE&amp;creator=factset&amp;DYN_ARGS=TRUE&amp;DOC_NAME=FAT:FQL_AUDITING_CLIENT_TEMPLATE.FAT&amp;display_string=Audit&amp;VAR:KEY=RWZUPYNADG&amp;VAR:QUERY=RkZfRUJJVERBX0lCKCdMVE1TJywzOTg5NSk=&amp;WINDOW=FIRST_POPUP&amp;HEIGHT=450&amp;WIDTH=450&amp;START_MA","XIMIZED=FALSE&amp;VAR:CALENDAR=US&amp;VAR:SYMBOL=05614P10&amp;VAR:INDEX=0"}</definedName>
    <definedName name="_2162__FDSAUDITLINK__" hidden="1">{"fdsup://directions/FAT Viewer?action=UPDATE&amp;creator=factset&amp;DYN_ARGS=TRUE&amp;DOC_NAME=FAT:FQL_AUDITING_CLIENT_TEMPLATE.FAT&amp;display_string=Audit&amp;VAR:KEY=RWZUPYNADG&amp;VAR:QUERY=RkZfRUJJVERBX0lCKCdMVE1TJywzOTg5NSk=&amp;WINDOW=FIRST_POPUP&amp;HEIGHT=450&amp;WIDTH=450&amp;START_MA","XIMIZED=FALSE&amp;VAR:CALENDAR=US&amp;VAR:SYMBOL=05614P10&amp;VAR:INDEX=0"}</definedName>
    <definedName name="_2163__FDSAUDITLINK__" localSheetId="6" hidden="1">{"fdsup://directions/FAT Viewer?action=UPDATE&amp;creator=factset&amp;DYN_ARGS=TRUE&amp;DOC_NAME=FAT:FQL_AUDITING_CLIENT_TEMPLATE.FAT&amp;display_string=Audit&amp;VAR:KEY=NGJMFCZANO&amp;VAR:QUERY=RkZfRUJJVERBX0lCKCdMVE1TJywzOTg5NCk=&amp;WINDOW=FIRST_POPUP&amp;HEIGHT=450&amp;WIDTH=450&amp;START_MA","XIMIZED=FALSE&amp;VAR:CALENDAR=US&amp;VAR:SYMBOL=05614P10&amp;VAR:INDEX=0"}</definedName>
    <definedName name="_2163__FDSAUDITLINK__" hidden="1">{"fdsup://directions/FAT Viewer?action=UPDATE&amp;creator=factset&amp;DYN_ARGS=TRUE&amp;DOC_NAME=FAT:FQL_AUDITING_CLIENT_TEMPLATE.FAT&amp;display_string=Audit&amp;VAR:KEY=NGJMFCZANO&amp;VAR:QUERY=RkZfRUJJVERBX0lCKCdMVE1TJywzOTg5NCk=&amp;WINDOW=FIRST_POPUP&amp;HEIGHT=450&amp;WIDTH=450&amp;START_MA","XIMIZED=FALSE&amp;VAR:CALENDAR=US&amp;VAR:SYMBOL=05614P10&amp;VAR:INDEX=0"}</definedName>
    <definedName name="_2164__FDSAUDITLINK__" localSheetId="6" hidden="1">{"fdsup://directions/FAT Viewer?action=UPDATE&amp;creator=factset&amp;DYN_ARGS=TRUE&amp;DOC_NAME=FAT:FQL_AUDITING_CLIENT_TEMPLATE.FAT&amp;display_string=Audit&amp;VAR:KEY=HCPQDYDMVA&amp;VAR:QUERY=RkZfRUJJVERBX0lCKCdMVE1TJywzOTg5Myk=&amp;WINDOW=FIRST_POPUP&amp;HEIGHT=450&amp;WIDTH=450&amp;START_MA","XIMIZED=FALSE&amp;VAR:CALENDAR=US&amp;VAR:SYMBOL=05614P10&amp;VAR:INDEX=0"}</definedName>
    <definedName name="_2164__FDSAUDITLINK__" hidden="1">{"fdsup://directions/FAT Viewer?action=UPDATE&amp;creator=factset&amp;DYN_ARGS=TRUE&amp;DOC_NAME=FAT:FQL_AUDITING_CLIENT_TEMPLATE.FAT&amp;display_string=Audit&amp;VAR:KEY=HCPQDYDMVA&amp;VAR:QUERY=RkZfRUJJVERBX0lCKCdMVE1TJywzOTg5Myk=&amp;WINDOW=FIRST_POPUP&amp;HEIGHT=450&amp;WIDTH=450&amp;START_MA","XIMIZED=FALSE&amp;VAR:CALENDAR=US&amp;VAR:SYMBOL=05614P10&amp;VAR:INDEX=0"}</definedName>
    <definedName name="_2165__FDSAUDITLINK__" localSheetId="6" hidden="1">{"fdsup://directions/FAT Viewer?action=UPDATE&amp;creator=factset&amp;DYN_ARGS=TRUE&amp;DOC_NAME=FAT:FQL_AUDITING_CLIENT_TEMPLATE.FAT&amp;display_string=Audit&amp;VAR:KEY=LOZATEHYJE&amp;VAR:QUERY=RkZfRUJJVERBX0lCKCdMVE1TJywzOTg5Mik=&amp;WINDOW=FIRST_POPUP&amp;HEIGHT=450&amp;WIDTH=450&amp;START_MA","XIMIZED=FALSE&amp;VAR:CALENDAR=US&amp;VAR:SYMBOL=05614P10&amp;VAR:INDEX=0"}</definedName>
    <definedName name="_2165__FDSAUDITLINK__" hidden="1">{"fdsup://directions/FAT Viewer?action=UPDATE&amp;creator=factset&amp;DYN_ARGS=TRUE&amp;DOC_NAME=FAT:FQL_AUDITING_CLIENT_TEMPLATE.FAT&amp;display_string=Audit&amp;VAR:KEY=LOZATEHYJE&amp;VAR:QUERY=RkZfRUJJVERBX0lCKCdMVE1TJywzOTg5Mik=&amp;WINDOW=FIRST_POPUP&amp;HEIGHT=450&amp;WIDTH=450&amp;START_MA","XIMIZED=FALSE&amp;VAR:CALENDAR=US&amp;VAR:SYMBOL=05614P10&amp;VAR:INDEX=0"}</definedName>
    <definedName name="_2166__FDSAUDITLINK__" localSheetId="6" hidden="1">{"fdsup://directions/FAT Viewer?action=UPDATE&amp;creator=factset&amp;DYN_ARGS=TRUE&amp;DOC_NAME=FAT:FQL_AUDITING_CLIENT_TEMPLATE.FAT&amp;display_string=Audit&amp;VAR:KEY=PSXAXGDMNC&amp;VAR:QUERY=RkZfRUJJVERBX0lCKCdMVE1TJywzOTg5MSk=&amp;WINDOW=FIRST_POPUP&amp;HEIGHT=450&amp;WIDTH=450&amp;START_MA","XIMIZED=FALSE&amp;VAR:CALENDAR=US&amp;VAR:SYMBOL=05614P10&amp;VAR:INDEX=0"}</definedName>
    <definedName name="_2166__FDSAUDITLINK__" hidden="1">{"fdsup://directions/FAT Viewer?action=UPDATE&amp;creator=factset&amp;DYN_ARGS=TRUE&amp;DOC_NAME=FAT:FQL_AUDITING_CLIENT_TEMPLATE.FAT&amp;display_string=Audit&amp;VAR:KEY=PSXAXGDMNC&amp;VAR:QUERY=RkZfRUJJVERBX0lCKCdMVE1TJywzOTg5MSk=&amp;WINDOW=FIRST_POPUP&amp;HEIGHT=450&amp;WIDTH=450&amp;START_MA","XIMIZED=FALSE&amp;VAR:CALENDAR=US&amp;VAR:SYMBOL=05614P10&amp;VAR:INDEX=0"}</definedName>
    <definedName name="_2167__FDSAUDITLINK__" localSheetId="6" hidden="1">{"fdsup://directions/FAT Viewer?action=UPDATE&amp;creator=factset&amp;DYN_ARGS=TRUE&amp;DOC_NAME=FAT:FQL_AUDITING_CLIENT_TEMPLATE.FAT&amp;display_string=Audit&amp;VAR:KEY=LMDCVSZYZQ&amp;VAR:QUERY=RkZfRUJJVERBX0lCKCdMVE1TJywzOTg5MCk=&amp;WINDOW=FIRST_POPUP&amp;HEIGHT=450&amp;WIDTH=450&amp;START_MA","XIMIZED=FALSE&amp;VAR:CALENDAR=US&amp;VAR:SYMBOL=05614P10&amp;VAR:INDEX=0"}</definedName>
    <definedName name="_2167__FDSAUDITLINK__" hidden="1">{"fdsup://directions/FAT Viewer?action=UPDATE&amp;creator=factset&amp;DYN_ARGS=TRUE&amp;DOC_NAME=FAT:FQL_AUDITING_CLIENT_TEMPLATE.FAT&amp;display_string=Audit&amp;VAR:KEY=LMDCVSZYZQ&amp;VAR:QUERY=RkZfRUJJVERBX0lCKCdMVE1TJywzOTg5MCk=&amp;WINDOW=FIRST_POPUP&amp;HEIGHT=450&amp;WIDTH=450&amp;START_MA","XIMIZED=FALSE&amp;VAR:CALENDAR=US&amp;VAR:SYMBOL=05614P10&amp;VAR:INDEX=0"}</definedName>
    <definedName name="_2168__FDSAUDITLINK__" localSheetId="6" hidden="1">{"fdsup://directions/FAT Viewer?action=UPDATE&amp;creator=factset&amp;DYN_ARGS=TRUE&amp;DOC_NAME=FAT:FQL_AUDITING_CLIENT_TEMPLATE.FAT&amp;display_string=Audit&amp;VAR:KEY=JITINUBGPS&amp;VAR:QUERY=RkZfRUJJVERBX0lCKCdMVE1TJywzOTg4OSk=&amp;WINDOW=FIRST_POPUP&amp;HEIGHT=450&amp;WIDTH=450&amp;START_MA","XIMIZED=FALSE&amp;VAR:CALENDAR=US&amp;VAR:SYMBOL=05614P10&amp;VAR:INDEX=0"}</definedName>
    <definedName name="_2168__FDSAUDITLINK__" hidden="1">{"fdsup://directions/FAT Viewer?action=UPDATE&amp;creator=factset&amp;DYN_ARGS=TRUE&amp;DOC_NAME=FAT:FQL_AUDITING_CLIENT_TEMPLATE.FAT&amp;display_string=Audit&amp;VAR:KEY=JITINUBGPS&amp;VAR:QUERY=RkZfRUJJVERBX0lCKCdMVE1TJywzOTg4OSk=&amp;WINDOW=FIRST_POPUP&amp;HEIGHT=450&amp;WIDTH=450&amp;START_MA","XIMIZED=FALSE&amp;VAR:CALENDAR=US&amp;VAR:SYMBOL=05614P10&amp;VAR:INDEX=0"}</definedName>
    <definedName name="_2169__FDSAUDITLINK__" localSheetId="6" hidden="1">{"fdsup://directions/FAT Viewer?action=UPDATE&amp;creator=factset&amp;DYN_ARGS=TRUE&amp;DOC_NAME=FAT:FQL_AUDITING_CLIENT_TEMPLATE.FAT&amp;display_string=Audit&amp;VAR:KEY=XKFEJSXSNE&amp;VAR:QUERY=RkZfRUJJVERBX0lCKCdMVE1TJywzOTg4OCk=&amp;WINDOW=FIRST_POPUP&amp;HEIGHT=450&amp;WIDTH=450&amp;START_MA","XIMIZED=FALSE&amp;VAR:CALENDAR=US&amp;VAR:SYMBOL=05614P10&amp;VAR:INDEX=0"}</definedName>
    <definedName name="_2169__FDSAUDITLINK__" hidden="1">{"fdsup://directions/FAT Viewer?action=UPDATE&amp;creator=factset&amp;DYN_ARGS=TRUE&amp;DOC_NAME=FAT:FQL_AUDITING_CLIENT_TEMPLATE.FAT&amp;display_string=Audit&amp;VAR:KEY=XKFEJSXSNE&amp;VAR:QUERY=RkZfRUJJVERBX0lCKCdMVE1TJywzOTg4OCk=&amp;WINDOW=FIRST_POPUP&amp;HEIGHT=450&amp;WIDTH=450&amp;START_MA","XIMIZED=FALSE&amp;VAR:CALENDAR=US&amp;VAR:SYMBOL=05614P10&amp;VAR:INDEX=0"}</definedName>
    <definedName name="_217__FDSAUDITLINK__" localSheetId="6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7__FDSAUDITLINK__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70__FDSAUDITLINK__" localSheetId="6" hidden="1">{"fdsup://directions/FAT Viewer?action=UPDATE&amp;creator=factset&amp;DYN_ARGS=TRUE&amp;DOC_NAME=FAT:FQL_AUDITING_CLIENT_TEMPLATE.FAT&amp;display_string=Audit&amp;VAR:KEY=TWDQHOXKRU&amp;VAR:QUERY=RkZfRUJJVERBX0lCKCdMVE1TJywzOTg4Nyk=&amp;WINDOW=FIRST_POPUP&amp;HEIGHT=450&amp;WIDTH=450&amp;START_MA","XIMIZED=FALSE&amp;VAR:CALENDAR=US&amp;VAR:SYMBOL=05614P10&amp;VAR:INDEX=0"}</definedName>
    <definedName name="_2170__FDSAUDITLINK__" hidden="1">{"fdsup://directions/FAT Viewer?action=UPDATE&amp;creator=factset&amp;DYN_ARGS=TRUE&amp;DOC_NAME=FAT:FQL_AUDITING_CLIENT_TEMPLATE.FAT&amp;display_string=Audit&amp;VAR:KEY=TWDQHOXKRU&amp;VAR:QUERY=RkZfRUJJVERBX0lCKCdMVE1TJywzOTg4Nyk=&amp;WINDOW=FIRST_POPUP&amp;HEIGHT=450&amp;WIDTH=450&amp;START_MA","XIMIZED=FALSE&amp;VAR:CALENDAR=US&amp;VAR:SYMBOL=05614P10&amp;VAR:INDEX=0"}</definedName>
    <definedName name="_2171__FDSAUDITLINK__" localSheetId="6" hidden="1">{"fdsup://directions/FAT Viewer?action=UPDATE&amp;creator=factset&amp;DYN_ARGS=TRUE&amp;DOC_NAME=FAT:FQL_AUDITING_CLIENT_TEMPLATE.FAT&amp;display_string=Audit&amp;VAR:KEY=TSLOBOJAFM&amp;VAR:QUERY=RkZfRUJJVERBX0lCKCdMVE1TJywzOTg4Nik=&amp;WINDOW=FIRST_POPUP&amp;HEIGHT=450&amp;WIDTH=450&amp;START_MA","XIMIZED=FALSE&amp;VAR:CALENDAR=US&amp;VAR:SYMBOL=05614P10&amp;VAR:INDEX=0"}</definedName>
    <definedName name="_2171__FDSAUDITLINK__" hidden="1">{"fdsup://directions/FAT Viewer?action=UPDATE&amp;creator=factset&amp;DYN_ARGS=TRUE&amp;DOC_NAME=FAT:FQL_AUDITING_CLIENT_TEMPLATE.FAT&amp;display_string=Audit&amp;VAR:KEY=TSLOBOJAFM&amp;VAR:QUERY=RkZfRUJJVERBX0lCKCdMVE1TJywzOTg4Nik=&amp;WINDOW=FIRST_POPUP&amp;HEIGHT=450&amp;WIDTH=450&amp;START_MA","XIMIZED=FALSE&amp;VAR:CALENDAR=US&amp;VAR:SYMBOL=05614P10&amp;VAR:INDEX=0"}</definedName>
    <definedName name="_2172__FDSAUDITLINK__" localSheetId="6" hidden="1">{"fdsup://directions/FAT Viewer?action=UPDATE&amp;creator=factset&amp;DYN_ARGS=TRUE&amp;DOC_NAME=FAT:FQL_AUDITING_CLIENT_TEMPLATE.FAT&amp;display_string=Audit&amp;VAR:KEY=XIPITSTOZY&amp;VAR:QUERY=RkZfRUJJVERBX0lCKCdMVE1TJywzOTg4NSk=&amp;WINDOW=FIRST_POPUP&amp;HEIGHT=450&amp;WIDTH=450&amp;START_MA","XIMIZED=FALSE&amp;VAR:CALENDAR=US&amp;VAR:SYMBOL=05614P10&amp;VAR:INDEX=0"}</definedName>
    <definedName name="_2172__FDSAUDITLINK__" hidden="1">{"fdsup://directions/FAT Viewer?action=UPDATE&amp;creator=factset&amp;DYN_ARGS=TRUE&amp;DOC_NAME=FAT:FQL_AUDITING_CLIENT_TEMPLATE.FAT&amp;display_string=Audit&amp;VAR:KEY=XIPITSTOZY&amp;VAR:QUERY=RkZfRUJJVERBX0lCKCdMVE1TJywzOTg4NSk=&amp;WINDOW=FIRST_POPUP&amp;HEIGHT=450&amp;WIDTH=450&amp;START_MA","XIMIZED=FALSE&amp;VAR:CALENDAR=US&amp;VAR:SYMBOL=05614P10&amp;VAR:INDEX=0"}</definedName>
    <definedName name="_2173__FDSAUDITLINK__" localSheetId="6" hidden="1">{"fdsup://directions/FAT Viewer?action=UPDATE&amp;creator=factset&amp;DYN_ARGS=TRUE&amp;DOC_NAME=FAT:FQL_AUDITING_CLIENT_TEMPLATE.FAT&amp;display_string=Audit&amp;VAR:KEY=TEZCNKVONA&amp;VAR:QUERY=RkZfRUJJVERBX0lCKCdMVE1TJywzOTg4NCk=&amp;WINDOW=FIRST_POPUP&amp;HEIGHT=450&amp;WIDTH=450&amp;START_MA","XIMIZED=FALSE&amp;VAR:CALENDAR=US&amp;VAR:SYMBOL=05614P10&amp;VAR:INDEX=0"}</definedName>
    <definedName name="_2173__FDSAUDITLINK__" hidden="1">{"fdsup://directions/FAT Viewer?action=UPDATE&amp;creator=factset&amp;DYN_ARGS=TRUE&amp;DOC_NAME=FAT:FQL_AUDITING_CLIENT_TEMPLATE.FAT&amp;display_string=Audit&amp;VAR:KEY=TEZCNKVONA&amp;VAR:QUERY=RkZfRUJJVERBX0lCKCdMVE1TJywzOTg4NCk=&amp;WINDOW=FIRST_POPUP&amp;HEIGHT=450&amp;WIDTH=450&amp;START_MA","XIMIZED=FALSE&amp;VAR:CALENDAR=US&amp;VAR:SYMBOL=05614P10&amp;VAR:INDEX=0"}</definedName>
    <definedName name="_2174__FDSAUDITLINK__" localSheetId="6" hidden="1">{"fdsup://directions/FAT Viewer?action=UPDATE&amp;creator=factset&amp;DYN_ARGS=TRUE&amp;DOC_NAME=FAT:FQL_AUDITING_CLIENT_TEMPLATE.FAT&amp;display_string=Audit&amp;VAR:KEY=NOVEVIZGDC&amp;VAR:QUERY=RkZfRUJJVERBX0lCKCdMVE1TJywzOTg4Myk=&amp;WINDOW=FIRST_POPUP&amp;HEIGHT=450&amp;WIDTH=450&amp;START_MA","XIMIZED=FALSE&amp;VAR:CALENDAR=US&amp;VAR:SYMBOL=05614P10&amp;VAR:INDEX=0"}</definedName>
    <definedName name="_2174__FDSAUDITLINK__" hidden="1">{"fdsup://directions/FAT Viewer?action=UPDATE&amp;creator=factset&amp;DYN_ARGS=TRUE&amp;DOC_NAME=FAT:FQL_AUDITING_CLIENT_TEMPLATE.FAT&amp;display_string=Audit&amp;VAR:KEY=NOVEVIZGDC&amp;VAR:QUERY=RkZfRUJJVERBX0lCKCdMVE1TJywzOTg4Myk=&amp;WINDOW=FIRST_POPUP&amp;HEIGHT=450&amp;WIDTH=450&amp;START_MA","XIMIZED=FALSE&amp;VAR:CALENDAR=US&amp;VAR:SYMBOL=05614P10&amp;VAR:INDEX=0"}</definedName>
    <definedName name="_2175__FDSAUDITLINK__" localSheetId="6" hidden="1">{"fdsup://directions/FAT Viewer?action=UPDATE&amp;creator=factset&amp;DYN_ARGS=TRUE&amp;DOC_NAME=FAT:FQL_AUDITING_CLIENT_TEMPLATE.FAT&amp;display_string=Audit&amp;VAR:KEY=DCHIBIZCTY&amp;VAR:QUERY=RkZfRUJJVERBX0lCKCdMVE1TJywzOTg4Mik=&amp;WINDOW=FIRST_POPUP&amp;HEIGHT=450&amp;WIDTH=450&amp;START_MA","XIMIZED=FALSE&amp;VAR:CALENDAR=US&amp;VAR:SYMBOL=05614P10&amp;VAR:INDEX=0"}</definedName>
    <definedName name="_2175__FDSAUDITLINK__" hidden="1">{"fdsup://directions/FAT Viewer?action=UPDATE&amp;creator=factset&amp;DYN_ARGS=TRUE&amp;DOC_NAME=FAT:FQL_AUDITING_CLIENT_TEMPLATE.FAT&amp;display_string=Audit&amp;VAR:KEY=DCHIBIZCTY&amp;VAR:QUERY=RkZfRUJJVERBX0lCKCdMVE1TJywzOTg4Mik=&amp;WINDOW=FIRST_POPUP&amp;HEIGHT=450&amp;WIDTH=450&amp;START_MA","XIMIZED=FALSE&amp;VAR:CALENDAR=US&amp;VAR:SYMBOL=05614P10&amp;VAR:INDEX=0"}</definedName>
    <definedName name="_2176__FDSAUDITLINK__" localSheetId="6" hidden="1">{"fdsup://directions/FAT Viewer?action=UPDATE&amp;creator=factset&amp;DYN_ARGS=TRUE&amp;DOC_NAME=FAT:FQL_AUDITING_CLIENT_TEMPLATE.FAT&amp;display_string=Audit&amp;VAR:KEY=JUZOJAVKBQ&amp;VAR:QUERY=RkZfRUJJVERBX0lCKCdMVE1TJywzOTg4MSk=&amp;WINDOW=FIRST_POPUP&amp;HEIGHT=450&amp;WIDTH=450&amp;START_MA","XIMIZED=FALSE&amp;VAR:CALENDAR=US&amp;VAR:SYMBOL=05614P10&amp;VAR:INDEX=0"}</definedName>
    <definedName name="_2176__FDSAUDITLINK__" hidden="1">{"fdsup://directions/FAT Viewer?action=UPDATE&amp;creator=factset&amp;DYN_ARGS=TRUE&amp;DOC_NAME=FAT:FQL_AUDITING_CLIENT_TEMPLATE.FAT&amp;display_string=Audit&amp;VAR:KEY=JUZOJAVKBQ&amp;VAR:QUERY=RkZfRUJJVERBX0lCKCdMVE1TJywzOTg4MSk=&amp;WINDOW=FIRST_POPUP&amp;HEIGHT=450&amp;WIDTH=450&amp;START_MA","XIMIZED=FALSE&amp;VAR:CALENDAR=US&amp;VAR:SYMBOL=05614P10&amp;VAR:INDEX=0"}</definedName>
    <definedName name="_2177__FDSAUDITLINK__" localSheetId="6" hidden="1">{"fdsup://directions/FAT Viewer?action=UPDATE&amp;creator=factset&amp;DYN_ARGS=TRUE&amp;DOC_NAME=FAT:FQL_AUDITING_CLIENT_TEMPLATE.FAT&amp;display_string=Audit&amp;VAR:KEY=PYRYVMXMVG&amp;VAR:QUERY=RkZfRUJJVERBX0lCKCdMVE1TJywzOTg4MCk=&amp;WINDOW=FIRST_POPUP&amp;HEIGHT=450&amp;WIDTH=450&amp;START_MA","XIMIZED=FALSE&amp;VAR:CALENDAR=US&amp;VAR:SYMBOL=05614P10&amp;VAR:INDEX=0"}</definedName>
    <definedName name="_2177__FDSAUDITLINK__" hidden="1">{"fdsup://directions/FAT Viewer?action=UPDATE&amp;creator=factset&amp;DYN_ARGS=TRUE&amp;DOC_NAME=FAT:FQL_AUDITING_CLIENT_TEMPLATE.FAT&amp;display_string=Audit&amp;VAR:KEY=PYRYVMXMVG&amp;VAR:QUERY=RkZfRUJJVERBX0lCKCdMVE1TJywzOTg4MCk=&amp;WINDOW=FIRST_POPUP&amp;HEIGHT=450&amp;WIDTH=450&amp;START_MA","XIMIZED=FALSE&amp;VAR:CALENDAR=US&amp;VAR:SYMBOL=05614P10&amp;VAR:INDEX=0"}</definedName>
    <definedName name="_2178__FDSAUDITLINK__" localSheetId="6" hidden="1">{"fdsup://directions/FAT Viewer?action=UPDATE&amp;creator=factset&amp;DYN_ARGS=TRUE&amp;DOC_NAME=FAT:FQL_AUDITING_CLIENT_TEMPLATE.FAT&amp;display_string=Audit&amp;VAR:KEY=PEJWNEPKPE&amp;VAR:QUERY=RkZfRUJJVERBX0lCKCdMVE1TJywzOTg3OSk=&amp;WINDOW=FIRST_POPUP&amp;HEIGHT=450&amp;WIDTH=450&amp;START_MA","XIMIZED=FALSE&amp;VAR:CALENDAR=US&amp;VAR:SYMBOL=05614P10&amp;VAR:INDEX=0"}</definedName>
    <definedName name="_2178__FDSAUDITLINK__" hidden="1">{"fdsup://directions/FAT Viewer?action=UPDATE&amp;creator=factset&amp;DYN_ARGS=TRUE&amp;DOC_NAME=FAT:FQL_AUDITING_CLIENT_TEMPLATE.FAT&amp;display_string=Audit&amp;VAR:KEY=PEJWNEPKPE&amp;VAR:QUERY=RkZfRUJJVERBX0lCKCdMVE1TJywzOTg3OSk=&amp;WINDOW=FIRST_POPUP&amp;HEIGHT=450&amp;WIDTH=450&amp;START_MA","XIMIZED=FALSE&amp;VAR:CALENDAR=US&amp;VAR:SYMBOL=05614P10&amp;VAR:INDEX=0"}</definedName>
    <definedName name="_2179__FDSAUDITLINK__" localSheetId="6" hidden="1">{"fdsup://directions/FAT Viewer?action=UPDATE&amp;creator=factset&amp;DYN_ARGS=TRUE&amp;DOC_NAME=FAT:FQL_AUDITING_CLIENT_TEMPLATE.FAT&amp;display_string=Audit&amp;VAR:KEY=BKBWLILQZS&amp;VAR:QUERY=RkZfRUJJVERBX0lCKCdMVE1TJywzOTg3OCk=&amp;WINDOW=FIRST_POPUP&amp;HEIGHT=450&amp;WIDTH=450&amp;START_MA","XIMIZED=FALSE&amp;VAR:CALENDAR=US&amp;VAR:SYMBOL=05614P10&amp;VAR:INDEX=0"}</definedName>
    <definedName name="_2179__FDSAUDITLINK__" hidden="1">{"fdsup://directions/FAT Viewer?action=UPDATE&amp;creator=factset&amp;DYN_ARGS=TRUE&amp;DOC_NAME=FAT:FQL_AUDITING_CLIENT_TEMPLATE.FAT&amp;display_string=Audit&amp;VAR:KEY=BKBWLILQZS&amp;VAR:QUERY=RkZfRUJJVERBX0lCKCdMVE1TJywzOTg3OCk=&amp;WINDOW=FIRST_POPUP&amp;HEIGHT=450&amp;WIDTH=450&amp;START_MA","XIMIZED=FALSE&amp;VAR:CALENDAR=US&amp;VAR:SYMBOL=05614P10&amp;VAR:INDEX=0"}</definedName>
    <definedName name="_218__FDSAUDITLINK__" localSheetId="6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8__FDSAUDITLINK__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80__FDSAUDITLINK__" localSheetId="6" hidden="1">{"fdsup://directions/FAT Viewer?action=UPDATE&amp;creator=factset&amp;DYN_ARGS=TRUE&amp;DOC_NAME=FAT:FQL_AUDITING_CLIENT_TEMPLATE.FAT&amp;display_string=Audit&amp;VAR:KEY=LSPGFYLSDO&amp;VAR:QUERY=RkZfRUJJVERBX0lCKCdMVE1TJywzOTg3Nyk=&amp;WINDOW=FIRST_POPUP&amp;HEIGHT=450&amp;WIDTH=450&amp;START_MA","XIMIZED=FALSE&amp;VAR:CALENDAR=US&amp;VAR:SYMBOL=05614P10&amp;VAR:INDEX=0"}</definedName>
    <definedName name="_2180__FDSAUDITLINK__" hidden="1">{"fdsup://directions/FAT Viewer?action=UPDATE&amp;creator=factset&amp;DYN_ARGS=TRUE&amp;DOC_NAME=FAT:FQL_AUDITING_CLIENT_TEMPLATE.FAT&amp;display_string=Audit&amp;VAR:KEY=LSPGFYLSDO&amp;VAR:QUERY=RkZfRUJJVERBX0lCKCdMVE1TJywzOTg3Nyk=&amp;WINDOW=FIRST_POPUP&amp;HEIGHT=450&amp;WIDTH=450&amp;START_MA","XIMIZED=FALSE&amp;VAR:CALENDAR=US&amp;VAR:SYMBOL=05614P10&amp;VAR:INDEX=0"}</definedName>
    <definedName name="_2181__FDSAUDITLINK__" localSheetId="6" hidden="1">{"fdsup://directions/FAT Viewer?action=UPDATE&amp;creator=factset&amp;DYN_ARGS=TRUE&amp;DOC_NAME=FAT:FQL_AUDITING_CLIENT_TEMPLATE.FAT&amp;display_string=Audit&amp;VAR:KEY=TAJCZUDYTO&amp;VAR:QUERY=RkZfRUJJVERBX0lCKCdMVE1TJywzOTg3Nik=&amp;WINDOW=FIRST_POPUP&amp;HEIGHT=450&amp;WIDTH=450&amp;START_MA","XIMIZED=FALSE&amp;VAR:CALENDAR=US&amp;VAR:SYMBOL=05614P10&amp;VAR:INDEX=0"}</definedName>
    <definedName name="_2181__FDSAUDITLINK__" hidden="1">{"fdsup://directions/FAT Viewer?action=UPDATE&amp;creator=factset&amp;DYN_ARGS=TRUE&amp;DOC_NAME=FAT:FQL_AUDITING_CLIENT_TEMPLATE.FAT&amp;display_string=Audit&amp;VAR:KEY=TAJCZUDYTO&amp;VAR:QUERY=RkZfRUJJVERBX0lCKCdMVE1TJywzOTg3Nik=&amp;WINDOW=FIRST_POPUP&amp;HEIGHT=450&amp;WIDTH=450&amp;START_MA","XIMIZED=FALSE&amp;VAR:CALENDAR=US&amp;VAR:SYMBOL=05614P10&amp;VAR:INDEX=0"}</definedName>
    <definedName name="_2182__FDSAUDITLINK__" localSheetId="6" hidden="1">{"fdsup://directions/FAT Viewer?action=UPDATE&amp;creator=factset&amp;DYN_ARGS=TRUE&amp;DOC_NAME=FAT:FQL_AUDITING_CLIENT_TEMPLATE.FAT&amp;display_string=Audit&amp;VAR:KEY=FSNODSLAJY&amp;VAR:QUERY=RkZfRUJJVERBX0lCKCdMVE1TJywzOTg3NSk=&amp;WINDOW=FIRST_POPUP&amp;HEIGHT=450&amp;WIDTH=450&amp;START_MA","XIMIZED=FALSE&amp;VAR:CALENDAR=US&amp;VAR:SYMBOL=05614P10&amp;VAR:INDEX=0"}</definedName>
    <definedName name="_2182__FDSAUDITLINK__" hidden="1">{"fdsup://directions/FAT Viewer?action=UPDATE&amp;creator=factset&amp;DYN_ARGS=TRUE&amp;DOC_NAME=FAT:FQL_AUDITING_CLIENT_TEMPLATE.FAT&amp;display_string=Audit&amp;VAR:KEY=FSNODSLAJY&amp;VAR:QUERY=RkZfRUJJVERBX0lCKCdMVE1TJywzOTg3NSk=&amp;WINDOW=FIRST_POPUP&amp;HEIGHT=450&amp;WIDTH=450&amp;START_MA","XIMIZED=FALSE&amp;VAR:CALENDAR=US&amp;VAR:SYMBOL=05614P10&amp;VAR:INDEX=0"}</definedName>
    <definedName name="_2183__FDSAUDITLINK__" localSheetId="6" hidden="1">{"fdsup://directions/FAT Viewer?action=UPDATE&amp;creator=factset&amp;DYN_ARGS=TRUE&amp;DOC_NAME=FAT:FQL_AUDITING_CLIENT_TEMPLATE.FAT&amp;display_string=Audit&amp;VAR:KEY=FWLKHEDUTQ&amp;VAR:QUERY=RkZfRUJJVERBX0lCKCdMVE1TJywzOTg3NCk=&amp;WINDOW=FIRST_POPUP&amp;HEIGHT=450&amp;WIDTH=450&amp;START_MA","XIMIZED=FALSE&amp;VAR:CALENDAR=US&amp;VAR:SYMBOL=05614P10&amp;VAR:INDEX=0"}</definedName>
    <definedName name="_2183__FDSAUDITLINK__" hidden="1">{"fdsup://directions/FAT Viewer?action=UPDATE&amp;creator=factset&amp;DYN_ARGS=TRUE&amp;DOC_NAME=FAT:FQL_AUDITING_CLIENT_TEMPLATE.FAT&amp;display_string=Audit&amp;VAR:KEY=FWLKHEDUTQ&amp;VAR:QUERY=RkZfRUJJVERBX0lCKCdMVE1TJywzOTg3NCk=&amp;WINDOW=FIRST_POPUP&amp;HEIGHT=450&amp;WIDTH=450&amp;START_MA","XIMIZED=FALSE&amp;VAR:CALENDAR=US&amp;VAR:SYMBOL=05614P10&amp;VAR:INDEX=0"}</definedName>
    <definedName name="_2184__FDSAUDITLINK__" localSheetId="6" hidden="1">{"fdsup://directions/FAT Viewer?action=UPDATE&amp;creator=factset&amp;DYN_ARGS=TRUE&amp;DOC_NAME=FAT:FQL_AUDITING_CLIENT_TEMPLATE.FAT&amp;display_string=Audit&amp;VAR:KEY=ZKLGLGLAZI&amp;VAR:QUERY=RkZfRUJJVERBX0lCKCdMVE1TJywzOTg3Myk=&amp;WINDOW=FIRST_POPUP&amp;HEIGHT=450&amp;WIDTH=450&amp;START_MA","XIMIZED=FALSE&amp;VAR:CALENDAR=US&amp;VAR:SYMBOL=05614P10&amp;VAR:INDEX=0"}</definedName>
    <definedName name="_2184__FDSAUDITLINK__" hidden="1">{"fdsup://directions/FAT Viewer?action=UPDATE&amp;creator=factset&amp;DYN_ARGS=TRUE&amp;DOC_NAME=FAT:FQL_AUDITING_CLIENT_TEMPLATE.FAT&amp;display_string=Audit&amp;VAR:KEY=ZKLGLGLAZI&amp;VAR:QUERY=RkZfRUJJVERBX0lCKCdMVE1TJywzOTg3Myk=&amp;WINDOW=FIRST_POPUP&amp;HEIGHT=450&amp;WIDTH=450&amp;START_MA","XIMIZED=FALSE&amp;VAR:CALENDAR=US&amp;VAR:SYMBOL=05614P10&amp;VAR:INDEX=0"}</definedName>
    <definedName name="_2185__FDSAUDITLINK__" localSheetId="6" hidden="1">{"fdsup://directions/FAT Viewer?action=UPDATE&amp;creator=factset&amp;DYN_ARGS=TRUE&amp;DOC_NAME=FAT:FQL_AUDITING_CLIENT_TEMPLATE.FAT&amp;display_string=Audit&amp;VAR:KEY=RERQFOZMHC&amp;VAR:QUERY=RkZfRUJJVERBX0lCKCdMVE1TJywzOTg3Mik=&amp;WINDOW=FIRST_POPUP&amp;HEIGHT=450&amp;WIDTH=450&amp;START_MA","XIMIZED=FALSE&amp;VAR:CALENDAR=US&amp;VAR:SYMBOL=05614P10&amp;VAR:INDEX=0"}</definedName>
    <definedName name="_2185__FDSAUDITLINK__" hidden="1">{"fdsup://directions/FAT Viewer?action=UPDATE&amp;creator=factset&amp;DYN_ARGS=TRUE&amp;DOC_NAME=FAT:FQL_AUDITING_CLIENT_TEMPLATE.FAT&amp;display_string=Audit&amp;VAR:KEY=RERQFOZMHC&amp;VAR:QUERY=RkZfRUJJVERBX0lCKCdMVE1TJywzOTg3Mik=&amp;WINDOW=FIRST_POPUP&amp;HEIGHT=450&amp;WIDTH=450&amp;START_MA","XIMIZED=FALSE&amp;VAR:CALENDAR=US&amp;VAR:SYMBOL=05614P10&amp;VAR:INDEX=0"}</definedName>
    <definedName name="_2186__FDSAUDITLINK__" localSheetId="6" hidden="1">{"fdsup://directions/FAT Viewer?action=UPDATE&amp;creator=factset&amp;DYN_ARGS=TRUE&amp;DOC_NAME=FAT:FQL_AUDITING_CLIENT_TEMPLATE.FAT&amp;display_string=Audit&amp;VAR:KEY=PYXAFWNIDU&amp;VAR:QUERY=RkZfRUJJVERBX0lCKCdMVE1TJywzOTg3MSk=&amp;WINDOW=FIRST_POPUP&amp;HEIGHT=450&amp;WIDTH=450&amp;START_MA","XIMIZED=FALSE&amp;VAR:CALENDAR=US&amp;VAR:SYMBOL=05614P10&amp;VAR:INDEX=0"}</definedName>
    <definedName name="_2186__FDSAUDITLINK__" hidden="1">{"fdsup://directions/FAT Viewer?action=UPDATE&amp;creator=factset&amp;DYN_ARGS=TRUE&amp;DOC_NAME=FAT:FQL_AUDITING_CLIENT_TEMPLATE.FAT&amp;display_string=Audit&amp;VAR:KEY=PYXAFWNIDU&amp;VAR:QUERY=RkZfRUJJVERBX0lCKCdMVE1TJywzOTg3MSk=&amp;WINDOW=FIRST_POPUP&amp;HEIGHT=450&amp;WIDTH=450&amp;START_MA","XIMIZED=FALSE&amp;VAR:CALENDAR=US&amp;VAR:SYMBOL=05614P10&amp;VAR:INDEX=0"}</definedName>
    <definedName name="_2187__FDSAUDITLINK__" localSheetId="6" hidden="1">{"fdsup://directions/FAT Viewer?action=UPDATE&amp;creator=factset&amp;DYN_ARGS=TRUE&amp;DOC_NAME=FAT:FQL_AUDITING_CLIENT_TEMPLATE.FAT&amp;display_string=Audit&amp;VAR:KEY=FODOXAZSHK&amp;VAR:QUERY=RkZfRUJJVERBX0lCKCdMVE1TJywzOTg3MCk=&amp;WINDOW=FIRST_POPUP&amp;HEIGHT=450&amp;WIDTH=450&amp;START_MA","XIMIZED=FALSE&amp;VAR:CALENDAR=US&amp;VAR:SYMBOL=05614P10&amp;VAR:INDEX=0"}</definedName>
    <definedName name="_2187__FDSAUDITLINK__" hidden="1">{"fdsup://directions/FAT Viewer?action=UPDATE&amp;creator=factset&amp;DYN_ARGS=TRUE&amp;DOC_NAME=FAT:FQL_AUDITING_CLIENT_TEMPLATE.FAT&amp;display_string=Audit&amp;VAR:KEY=FODOXAZSHK&amp;VAR:QUERY=RkZfRUJJVERBX0lCKCdMVE1TJywzOTg3MCk=&amp;WINDOW=FIRST_POPUP&amp;HEIGHT=450&amp;WIDTH=450&amp;START_MA","XIMIZED=FALSE&amp;VAR:CALENDAR=US&amp;VAR:SYMBOL=05614P10&amp;VAR:INDEX=0"}</definedName>
    <definedName name="_2188__FDSAUDITLINK__" localSheetId="6" hidden="1">{"fdsup://directions/FAT Viewer?action=UPDATE&amp;creator=factset&amp;DYN_ARGS=TRUE&amp;DOC_NAME=FAT:FQL_AUDITING_CLIENT_TEMPLATE.FAT&amp;display_string=Audit&amp;VAR:KEY=BMBSTCNQDM&amp;VAR:QUERY=RkZfRUJJVERBX0lCKCdMVE1TJywzOTg2OSk=&amp;WINDOW=FIRST_POPUP&amp;HEIGHT=450&amp;WIDTH=450&amp;START_MA","XIMIZED=FALSE&amp;VAR:CALENDAR=US&amp;VAR:SYMBOL=05614P10&amp;VAR:INDEX=0"}</definedName>
    <definedName name="_2188__FDSAUDITLINK__" hidden="1">{"fdsup://directions/FAT Viewer?action=UPDATE&amp;creator=factset&amp;DYN_ARGS=TRUE&amp;DOC_NAME=FAT:FQL_AUDITING_CLIENT_TEMPLATE.FAT&amp;display_string=Audit&amp;VAR:KEY=BMBSTCNQDM&amp;VAR:QUERY=RkZfRUJJVERBX0lCKCdMVE1TJywzOTg2OSk=&amp;WINDOW=FIRST_POPUP&amp;HEIGHT=450&amp;WIDTH=450&amp;START_MA","XIMIZED=FALSE&amp;VAR:CALENDAR=US&amp;VAR:SYMBOL=05614P10&amp;VAR:INDEX=0"}</definedName>
    <definedName name="_2189__FDSAUDITLINK__" localSheetId="6" hidden="1">{"fdsup://directions/FAT Viewer?action=UPDATE&amp;creator=factset&amp;DYN_ARGS=TRUE&amp;DOC_NAME=FAT:FQL_AUDITING_CLIENT_TEMPLATE.FAT&amp;display_string=Audit&amp;VAR:KEY=FOVCPSLCDC&amp;VAR:QUERY=RkZfRUJJVERBX0lCKCdMVE1TJywzOTg2OCk=&amp;WINDOW=FIRST_POPUP&amp;HEIGHT=450&amp;WIDTH=450&amp;START_MA","XIMIZED=FALSE&amp;VAR:CALENDAR=US&amp;VAR:SYMBOL=05614P10&amp;VAR:INDEX=0"}</definedName>
    <definedName name="_2189__FDSAUDITLINK__" hidden="1">{"fdsup://directions/FAT Viewer?action=UPDATE&amp;creator=factset&amp;DYN_ARGS=TRUE&amp;DOC_NAME=FAT:FQL_AUDITING_CLIENT_TEMPLATE.FAT&amp;display_string=Audit&amp;VAR:KEY=FOVCPSLCDC&amp;VAR:QUERY=RkZfRUJJVERBX0lCKCdMVE1TJywzOTg2OCk=&amp;WINDOW=FIRST_POPUP&amp;HEIGHT=450&amp;WIDTH=450&amp;START_MA","XIMIZED=FALSE&amp;VAR:CALENDAR=US&amp;VAR:SYMBOL=05614P10&amp;VAR:INDEX=0"}</definedName>
    <definedName name="_219__FDSAUDITLINK__" localSheetId="6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9__FDSAUDITLINK__" hidden="1">{"fdsup://directions/FAT%20Viewer?VAR:PED=LTM&amp;VAR:AUDIT_MODE=SUMMARY&amp;VAR:PERIOD=FIXED&amp;VAR:AUDIT_ID=00000117&amp;VAR:DATE=20090717&amp;action=UPDATE&amp;creator=factset&amp;DOC_NAME=FAT:FMA_audit_SUMMARY.fat&amp;DISPLAY_STRING=Display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190__FDSAUDITLINK__" localSheetId="6" hidden="1">{"fdsup://directions/FAT Viewer?action=UPDATE&amp;creator=factset&amp;DYN_ARGS=TRUE&amp;DOC_NAME=FAT:FQL_AUDITING_CLIENT_TEMPLATE.FAT&amp;display_string=Audit&amp;VAR:KEY=VGFUJQDYHA&amp;VAR:QUERY=RkZfRUJJVERBX0lCKCdMVE1TJywzOTg2Nyk=&amp;WINDOW=FIRST_POPUP&amp;HEIGHT=450&amp;WIDTH=450&amp;START_MA","XIMIZED=FALSE&amp;VAR:CALENDAR=US&amp;VAR:SYMBOL=05614P10&amp;VAR:INDEX=0"}</definedName>
    <definedName name="_2190__FDSAUDITLINK__" hidden="1">{"fdsup://directions/FAT Viewer?action=UPDATE&amp;creator=factset&amp;DYN_ARGS=TRUE&amp;DOC_NAME=FAT:FQL_AUDITING_CLIENT_TEMPLATE.FAT&amp;display_string=Audit&amp;VAR:KEY=VGFUJQDYHA&amp;VAR:QUERY=RkZfRUJJVERBX0lCKCdMVE1TJywzOTg2Nyk=&amp;WINDOW=FIRST_POPUP&amp;HEIGHT=450&amp;WIDTH=450&amp;START_MA","XIMIZED=FALSE&amp;VAR:CALENDAR=US&amp;VAR:SYMBOL=05614P10&amp;VAR:INDEX=0"}</definedName>
    <definedName name="_2191__FDSAUDITLINK__" localSheetId="6" hidden="1">{"fdsup://directions/FAT Viewer?action=UPDATE&amp;creator=factset&amp;DYN_ARGS=TRUE&amp;DOC_NAME=FAT:FQL_AUDITING_CLIENT_TEMPLATE.FAT&amp;display_string=Audit&amp;VAR:KEY=HKRUFWRAXI&amp;VAR:QUERY=RkZfRUJJVERBX0lCKCdMVE1TJywzOTg2Nik=&amp;WINDOW=FIRST_POPUP&amp;HEIGHT=450&amp;WIDTH=450&amp;START_MA","XIMIZED=FALSE&amp;VAR:CALENDAR=US&amp;VAR:SYMBOL=05614P10&amp;VAR:INDEX=0"}</definedName>
    <definedName name="_2191__FDSAUDITLINK__" hidden="1">{"fdsup://directions/FAT Viewer?action=UPDATE&amp;creator=factset&amp;DYN_ARGS=TRUE&amp;DOC_NAME=FAT:FQL_AUDITING_CLIENT_TEMPLATE.FAT&amp;display_string=Audit&amp;VAR:KEY=HKRUFWRAXI&amp;VAR:QUERY=RkZfRUJJVERBX0lCKCdMVE1TJywzOTg2Nik=&amp;WINDOW=FIRST_POPUP&amp;HEIGHT=450&amp;WIDTH=450&amp;START_MA","XIMIZED=FALSE&amp;VAR:CALENDAR=US&amp;VAR:SYMBOL=05614P10&amp;VAR:INDEX=0"}</definedName>
    <definedName name="_2192__FDSAUDITLINK__" localSheetId="6" hidden="1">{"fdsup://directions/FAT Viewer?action=UPDATE&amp;creator=factset&amp;DYN_ARGS=TRUE&amp;DOC_NAME=FAT:FQL_AUDITING_CLIENT_TEMPLATE.FAT&amp;display_string=Audit&amp;VAR:KEY=JKNUHGLCRK&amp;VAR:QUERY=RkZfRUJJVERBX0lCKCdMVE1TJywzOTg2NSk=&amp;WINDOW=FIRST_POPUP&amp;HEIGHT=450&amp;WIDTH=450&amp;START_MA","XIMIZED=FALSE&amp;VAR:CALENDAR=US&amp;VAR:SYMBOL=05614P10&amp;VAR:INDEX=0"}</definedName>
    <definedName name="_2192__FDSAUDITLINK__" hidden="1">{"fdsup://directions/FAT Viewer?action=UPDATE&amp;creator=factset&amp;DYN_ARGS=TRUE&amp;DOC_NAME=FAT:FQL_AUDITING_CLIENT_TEMPLATE.FAT&amp;display_string=Audit&amp;VAR:KEY=JKNUHGLCRK&amp;VAR:QUERY=RkZfRUJJVERBX0lCKCdMVE1TJywzOTg2NSk=&amp;WINDOW=FIRST_POPUP&amp;HEIGHT=450&amp;WIDTH=450&amp;START_MA","XIMIZED=FALSE&amp;VAR:CALENDAR=US&amp;VAR:SYMBOL=05614P10&amp;VAR:INDEX=0"}</definedName>
    <definedName name="_2193__FDSAUDITLINK__" localSheetId="6" hidden="1">{"fdsup://directions/FAT Viewer?action=UPDATE&amp;creator=factset&amp;DYN_ARGS=TRUE&amp;DOC_NAME=FAT:FQL_AUDITING_CLIENT_TEMPLATE.FAT&amp;display_string=Audit&amp;VAR:KEY=TSRQZWNURQ&amp;VAR:QUERY=RkZfRUJJVERBX0lCKCdMVE1TJywzOTg2NCk=&amp;WINDOW=FIRST_POPUP&amp;HEIGHT=450&amp;WIDTH=450&amp;START_MA","XIMIZED=FALSE&amp;VAR:CALENDAR=US&amp;VAR:SYMBOL=05614P10&amp;VAR:INDEX=0"}</definedName>
    <definedName name="_2193__FDSAUDITLINK__" hidden="1">{"fdsup://directions/FAT Viewer?action=UPDATE&amp;creator=factset&amp;DYN_ARGS=TRUE&amp;DOC_NAME=FAT:FQL_AUDITING_CLIENT_TEMPLATE.FAT&amp;display_string=Audit&amp;VAR:KEY=TSRQZWNURQ&amp;VAR:QUERY=RkZfRUJJVERBX0lCKCdMVE1TJywzOTg2NCk=&amp;WINDOW=FIRST_POPUP&amp;HEIGHT=450&amp;WIDTH=450&amp;START_MA","XIMIZED=FALSE&amp;VAR:CALENDAR=US&amp;VAR:SYMBOL=05614P10&amp;VAR:INDEX=0"}</definedName>
    <definedName name="_2194__FDSAUDITLINK__" localSheetId="6" hidden="1">{"fdsup://directions/FAT Viewer?action=UPDATE&amp;creator=factset&amp;DYN_ARGS=TRUE&amp;DOC_NAME=FAT:FQL_AUDITING_CLIENT_TEMPLATE.FAT&amp;display_string=Audit&amp;VAR:KEY=ROLMJYTEFU&amp;VAR:QUERY=RkZfRUJJVERBX0lCKCdMVE1TJywzOTg2Myk=&amp;WINDOW=FIRST_POPUP&amp;HEIGHT=450&amp;WIDTH=450&amp;START_MA","XIMIZED=FALSE&amp;VAR:CALENDAR=US&amp;VAR:SYMBOL=05614P10&amp;VAR:INDEX=0"}</definedName>
    <definedName name="_2194__FDSAUDITLINK__" hidden="1">{"fdsup://directions/FAT Viewer?action=UPDATE&amp;creator=factset&amp;DYN_ARGS=TRUE&amp;DOC_NAME=FAT:FQL_AUDITING_CLIENT_TEMPLATE.FAT&amp;display_string=Audit&amp;VAR:KEY=ROLMJYTEFU&amp;VAR:QUERY=RkZfRUJJVERBX0lCKCdMVE1TJywzOTg2Myk=&amp;WINDOW=FIRST_POPUP&amp;HEIGHT=450&amp;WIDTH=450&amp;START_MA","XIMIZED=FALSE&amp;VAR:CALENDAR=US&amp;VAR:SYMBOL=05614P10&amp;VAR:INDEX=0"}</definedName>
    <definedName name="_2195__FDSAUDITLINK__" localSheetId="6" hidden="1">{"fdsup://directions/FAT Viewer?action=UPDATE&amp;creator=factset&amp;DYN_ARGS=TRUE&amp;DOC_NAME=FAT:FQL_AUDITING_CLIENT_TEMPLATE.FAT&amp;display_string=Audit&amp;VAR:KEY=ZIXOFYFADY&amp;VAR:QUERY=RkZfRUJJVERBX0lCKCdMVE1TJywzOTg2Mik=&amp;WINDOW=FIRST_POPUP&amp;HEIGHT=450&amp;WIDTH=450&amp;START_MA","XIMIZED=FALSE&amp;VAR:CALENDAR=US&amp;VAR:SYMBOL=05614P10&amp;VAR:INDEX=0"}</definedName>
    <definedName name="_2195__FDSAUDITLINK__" hidden="1">{"fdsup://directions/FAT Viewer?action=UPDATE&amp;creator=factset&amp;DYN_ARGS=TRUE&amp;DOC_NAME=FAT:FQL_AUDITING_CLIENT_TEMPLATE.FAT&amp;display_string=Audit&amp;VAR:KEY=ZIXOFYFADY&amp;VAR:QUERY=RkZfRUJJVERBX0lCKCdMVE1TJywzOTg2Mik=&amp;WINDOW=FIRST_POPUP&amp;HEIGHT=450&amp;WIDTH=450&amp;START_MA","XIMIZED=FALSE&amp;VAR:CALENDAR=US&amp;VAR:SYMBOL=05614P10&amp;VAR:INDEX=0"}</definedName>
    <definedName name="_2196__FDSAUDITLINK__" localSheetId="6" hidden="1">{"fdsup://directions/FAT Viewer?action=UPDATE&amp;creator=factset&amp;DYN_ARGS=TRUE&amp;DOC_NAME=FAT:FQL_AUDITING_CLIENT_TEMPLATE.FAT&amp;display_string=Audit&amp;VAR:KEY=XMDYXEZEPQ&amp;VAR:QUERY=RkZfRUJJVERBX0lCKCdMVE1TJywzOTg2MSk=&amp;WINDOW=FIRST_POPUP&amp;HEIGHT=450&amp;WIDTH=450&amp;START_MA","XIMIZED=FALSE&amp;VAR:CALENDAR=US&amp;VAR:SYMBOL=05614P10&amp;VAR:INDEX=0"}</definedName>
    <definedName name="_2196__FDSAUDITLINK__" hidden="1">{"fdsup://directions/FAT Viewer?action=UPDATE&amp;creator=factset&amp;DYN_ARGS=TRUE&amp;DOC_NAME=FAT:FQL_AUDITING_CLIENT_TEMPLATE.FAT&amp;display_string=Audit&amp;VAR:KEY=XMDYXEZEPQ&amp;VAR:QUERY=RkZfRUJJVERBX0lCKCdMVE1TJywzOTg2MSk=&amp;WINDOW=FIRST_POPUP&amp;HEIGHT=450&amp;WIDTH=450&amp;START_MA","XIMIZED=FALSE&amp;VAR:CALENDAR=US&amp;VAR:SYMBOL=05614P10&amp;VAR:INDEX=0"}</definedName>
    <definedName name="_2197__FDSAUDITLINK__" localSheetId="6" hidden="1">{"fdsup://directions/FAT Viewer?action=UPDATE&amp;creator=factset&amp;DYN_ARGS=TRUE&amp;DOC_NAME=FAT:FQL_AUDITING_CLIENT_TEMPLATE.FAT&amp;display_string=Audit&amp;VAR:KEY=BUHOBYLMHE&amp;VAR:QUERY=RkZfRUJJVERBX0lCKCdMVE1TJywzOTg2MCk=&amp;WINDOW=FIRST_POPUP&amp;HEIGHT=450&amp;WIDTH=450&amp;START_MA","XIMIZED=FALSE&amp;VAR:CALENDAR=US&amp;VAR:SYMBOL=05614P10&amp;VAR:INDEX=0"}</definedName>
    <definedName name="_2197__FDSAUDITLINK__" hidden="1">{"fdsup://directions/FAT Viewer?action=UPDATE&amp;creator=factset&amp;DYN_ARGS=TRUE&amp;DOC_NAME=FAT:FQL_AUDITING_CLIENT_TEMPLATE.FAT&amp;display_string=Audit&amp;VAR:KEY=BUHOBYLMHE&amp;VAR:QUERY=RkZfRUJJVERBX0lCKCdMVE1TJywzOTg2MCk=&amp;WINDOW=FIRST_POPUP&amp;HEIGHT=450&amp;WIDTH=450&amp;START_MA","XIMIZED=FALSE&amp;VAR:CALENDAR=US&amp;VAR:SYMBOL=05614P10&amp;VAR:INDEX=0"}</definedName>
    <definedName name="_2198__FDSAUDITLINK__" localSheetId="6" hidden="1">{"fdsup://directions/FAT Viewer?action=UPDATE&amp;creator=factset&amp;DYN_ARGS=TRUE&amp;DOC_NAME=FAT:FQL_AUDITING_CLIENT_TEMPLATE.FAT&amp;display_string=Audit&amp;VAR:KEY=JQTGFOPSDU&amp;VAR:QUERY=RkZfRUJJVERBX0lCKCdMVE1TJywzOTg1OSk=&amp;WINDOW=FIRST_POPUP&amp;HEIGHT=450&amp;WIDTH=450&amp;START_MA","XIMIZED=FALSE&amp;VAR:CALENDAR=US&amp;VAR:SYMBOL=05614P10&amp;VAR:INDEX=0"}</definedName>
    <definedName name="_2198__FDSAUDITLINK__" hidden="1">{"fdsup://directions/FAT Viewer?action=UPDATE&amp;creator=factset&amp;DYN_ARGS=TRUE&amp;DOC_NAME=FAT:FQL_AUDITING_CLIENT_TEMPLATE.FAT&amp;display_string=Audit&amp;VAR:KEY=JQTGFOPSDU&amp;VAR:QUERY=RkZfRUJJVERBX0lCKCdMVE1TJywzOTg1OSk=&amp;WINDOW=FIRST_POPUP&amp;HEIGHT=450&amp;WIDTH=450&amp;START_MA","XIMIZED=FALSE&amp;VAR:CALENDAR=US&amp;VAR:SYMBOL=05614P10&amp;VAR:INDEX=0"}</definedName>
    <definedName name="_2199__FDSAUDITLINK__" localSheetId="6" hidden="1">{"fdsup://directions/FAT Viewer?action=UPDATE&amp;creator=factset&amp;DYN_ARGS=TRUE&amp;DOC_NAME=FAT:FQL_AUDITING_CLIENT_TEMPLATE.FAT&amp;display_string=Audit&amp;VAR:KEY=NERWVORYNO&amp;VAR:QUERY=RkZfRUJJVERBX0lCKCdMVE1TJywzOTg1OCk=&amp;WINDOW=FIRST_POPUP&amp;HEIGHT=450&amp;WIDTH=450&amp;START_MA","XIMIZED=FALSE&amp;VAR:CALENDAR=US&amp;VAR:SYMBOL=05614P10&amp;VAR:INDEX=0"}</definedName>
    <definedName name="_2199__FDSAUDITLINK__" hidden="1">{"fdsup://directions/FAT Viewer?action=UPDATE&amp;creator=factset&amp;DYN_ARGS=TRUE&amp;DOC_NAME=FAT:FQL_AUDITING_CLIENT_TEMPLATE.FAT&amp;display_string=Audit&amp;VAR:KEY=NERWVORYNO&amp;VAR:QUERY=RkZfRUJJVERBX0lCKCdMVE1TJywzOTg1OCk=&amp;WINDOW=FIRST_POPUP&amp;HEIGHT=450&amp;WIDTH=450&amp;START_MA","XIMIZED=FALSE&amp;VAR:CALENDAR=US&amp;VAR:SYMBOL=05614P10&amp;VAR:INDEX=0"}</definedName>
    <definedName name="_22__FDSAUDITLINK__" localSheetId="6" hidden="1">{"fdsup://directions/FAT Viewer?action=UPDATE&amp;creator=factset&amp;DYN_ARGS=TRUE&amp;DOC_NAME=FAT:FQL_AUDITING_CLIENT_TEMPLATE.FAT&amp;display_string=Audit&amp;VAR:KEY=QBOTIFKZEV&amp;VAR:QUERY=QVZHKENTRl9ORVRfSU5DKEFOTiwwRlksLTZGWSxZKSkgLyAoQVZHKENTRl9BU1NFVFMoQU5OLDBGWSwtNkZZL","EZZKSkgLSBBVkcoQ1NGX0lOVEFORyhBTk4sMCwtNkZZLEZZKSkp&amp;WINDOW=FIRST_POPUP&amp;HEIGHT=450&amp;WIDTH=450&amp;START_MAXIMIZED=FALSE&amp;VAR:CALENDAR=US&amp;VAR:SYMBOL=89652210"}</definedName>
    <definedName name="_22__FDSAUDITLINK__" hidden="1">{"fdsup://directions/FAT Viewer?action=UPDATE&amp;creator=factset&amp;DYN_ARGS=TRUE&amp;DOC_NAME=FAT:FQL_AUDITING_CLIENT_TEMPLATE.FAT&amp;display_string=Audit&amp;VAR:KEY=QBOTIFKZEV&amp;VAR:QUERY=QVZHKENTRl9ORVRfSU5DKEFOTiwwRlksLTZGWSxZKSkgLyAoQVZHKENTRl9BU1NFVFMoQU5OLDBGWSwtNkZZL","EZZKSkgLSBBVkcoQ1NGX0lOVEFORyhBTk4sMCwtNkZZLEZZKSkp&amp;WINDOW=FIRST_POPUP&amp;HEIGHT=450&amp;WIDTH=450&amp;START_MAXIMIZED=FALSE&amp;VAR:CALENDAR=US&amp;VAR:SYMBOL=89652210"}</definedName>
    <definedName name="_220__FDSAUDITLINK__" localSheetId="6" hidden="1">{"fdsup://directions/FAT%20Viewer?VAR:PED=LTM&amp;VAR:AUDIT_MODE=SUMMARY&amp;VAR:PERIOD=FIXED&amp;VAR:AUDIT_ID=00000117&amp;VAR:DATE=20090716&amp;action=UPDATE&amp;creator=factset&amp;DOC_NAME=FAT:FMA_audit_SUMMARY.fat&amp;DISPLAY_STRING=Display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0__FDSAUDITLINK__" hidden="1">{"fdsup://directions/FAT%20Viewer?VAR:PED=LTM&amp;VAR:AUDIT_MODE=SUMMARY&amp;VAR:PERIOD=FIXED&amp;VAR:AUDIT_ID=00000117&amp;VAR:DATE=20090716&amp;action=UPDATE&amp;creator=factset&amp;DOC_NAME=FAT:FMA_audit_SUMMARY.fat&amp;DISPLAY_STRING=Display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00__FDSAUDITLINK__" localSheetId="6" hidden="1">{"fdsup://directions/FAT Viewer?action=UPDATE&amp;creator=factset&amp;DYN_ARGS=TRUE&amp;DOC_NAME=FAT:FQL_AUDITING_CLIENT_TEMPLATE.FAT&amp;display_string=Audit&amp;VAR:KEY=LIZQROVWJA&amp;VAR:QUERY=RkZfRUJJVERBX0lCKCdMVE1TJywzOTg1Nyk=&amp;WINDOW=FIRST_POPUP&amp;HEIGHT=450&amp;WIDTH=450&amp;START_MA","XIMIZED=FALSE&amp;VAR:CALENDAR=US&amp;VAR:SYMBOL=05614P10&amp;VAR:INDEX=0"}</definedName>
    <definedName name="_2200__FDSAUDITLINK__" hidden="1">{"fdsup://directions/FAT Viewer?action=UPDATE&amp;creator=factset&amp;DYN_ARGS=TRUE&amp;DOC_NAME=FAT:FQL_AUDITING_CLIENT_TEMPLATE.FAT&amp;display_string=Audit&amp;VAR:KEY=LIZQROVWJA&amp;VAR:QUERY=RkZfRUJJVERBX0lCKCdMVE1TJywzOTg1Nyk=&amp;WINDOW=FIRST_POPUP&amp;HEIGHT=450&amp;WIDTH=450&amp;START_MA","XIMIZED=FALSE&amp;VAR:CALENDAR=US&amp;VAR:SYMBOL=05614P10&amp;VAR:INDEX=0"}</definedName>
    <definedName name="_2201__FDSAUDITLINK__" localSheetId="6" hidden="1">{"fdsup://directions/FAT Viewer?action=UPDATE&amp;creator=factset&amp;DYN_ARGS=TRUE&amp;DOC_NAME=FAT:FQL_AUDITING_CLIENT_TEMPLATE.FAT&amp;display_string=Audit&amp;VAR:KEY=XOREHSHKHY&amp;VAR:QUERY=RkZfRUJJVERBX0lCKCdMVE1TJywzOTg1Nik=&amp;WINDOW=FIRST_POPUP&amp;HEIGHT=450&amp;WIDTH=450&amp;START_MA","XIMIZED=FALSE&amp;VAR:CALENDAR=US&amp;VAR:SYMBOL=05614P10&amp;VAR:INDEX=0"}</definedName>
    <definedName name="_2201__FDSAUDITLINK__" hidden="1">{"fdsup://directions/FAT Viewer?action=UPDATE&amp;creator=factset&amp;DYN_ARGS=TRUE&amp;DOC_NAME=FAT:FQL_AUDITING_CLIENT_TEMPLATE.FAT&amp;display_string=Audit&amp;VAR:KEY=XOREHSHKHY&amp;VAR:QUERY=RkZfRUJJVERBX0lCKCdMVE1TJywzOTg1Nik=&amp;WINDOW=FIRST_POPUP&amp;HEIGHT=450&amp;WIDTH=450&amp;START_MA","XIMIZED=FALSE&amp;VAR:CALENDAR=US&amp;VAR:SYMBOL=05614P10&amp;VAR:INDEX=0"}</definedName>
    <definedName name="_2202__FDSAUDITLINK__" localSheetId="6" hidden="1">{"fdsup://directions/FAT Viewer?action=UPDATE&amp;creator=factset&amp;DYN_ARGS=TRUE&amp;DOC_NAME=FAT:FQL_AUDITING_CLIENT_TEMPLATE.FAT&amp;display_string=Audit&amp;VAR:KEY=LQZGRODENS&amp;VAR:QUERY=RkZfRUJJVERBX0lCKCdMVE1TJywzOTg1NSk=&amp;WINDOW=FIRST_POPUP&amp;HEIGHT=450&amp;WIDTH=450&amp;START_MA","XIMIZED=FALSE&amp;VAR:CALENDAR=US&amp;VAR:SYMBOL=05614P10&amp;VAR:INDEX=0"}</definedName>
    <definedName name="_2202__FDSAUDITLINK__" hidden="1">{"fdsup://directions/FAT Viewer?action=UPDATE&amp;creator=factset&amp;DYN_ARGS=TRUE&amp;DOC_NAME=FAT:FQL_AUDITING_CLIENT_TEMPLATE.FAT&amp;display_string=Audit&amp;VAR:KEY=LQZGRODENS&amp;VAR:QUERY=RkZfRUJJVERBX0lCKCdMVE1TJywzOTg1NSk=&amp;WINDOW=FIRST_POPUP&amp;HEIGHT=450&amp;WIDTH=450&amp;START_MA","XIMIZED=FALSE&amp;VAR:CALENDAR=US&amp;VAR:SYMBOL=05614P10&amp;VAR:INDEX=0"}</definedName>
    <definedName name="_2203__FDSAUDITLINK__" localSheetId="6" hidden="1">{"fdsup://directions/FAT Viewer?action=UPDATE&amp;creator=factset&amp;DYN_ARGS=TRUE&amp;DOC_NAME=FAT:FQL_AUDITING_CLIENT_TEMPLATE.FAT&amp;display_string=Audit&amp;VAR:KEY=HUPYFGTYLM&amp;VAR:QUERY=RkZfRUJJVERBX0lCKCdMVE1TJywzOTg1NCk=&amp;WINDOW=FIRST_POPUP&amp;HEIGHT=450&amp;WIDTH=450&amp;START_MA","XIMIZED=FALSE&amp;VAR:CALENDAR=US&amp;VAR:SYMBOL=05614P10&amp;VAR:INDEX=0"}</definedName>
    <definedName name="_2203__FDSAUDITLINK__" hidden="1">{"fdsup://directions/FAT Viewer?action=UPDATE&amp;creator=factset&amp;DYN_ARGS=TRUE&amp;DOC_NAME=FAT:FQL_AUDITING_CLIENT_TEMPLATE.FAT&amp;display_string=Audit&amp;VAR:KEY=HUPYFGTYLM&amp;VAR:QUERY=RkZfRUJJVERBX0lCKCdMVE1TJywzOTg1NCk=&amp;WINDOW=FIRST_POPUP&amp;HEIGHT=450&amp;WIDTH=450&amp;START_MA","XIMIZED=FALSE&amp;VAR:CALENDAR=US&amp;VAR:SYMBOL=05614P10&amp;VAR:INDEX=0"}</definedName>
    <definedName name="_2204__FDSAUDITLINK__" localSheetId="6" hidden="1">{"fdsup://directions/FAT Viewer?action=UPDATE&amp;creator=factset&amp;DYN_ARGS=TRUE&amp;DOC_NAME=FAT:FQL_AUDITING_CLIENT_TEMPLATE.FAT&amp;display_string=Audit&amp;VAR:KEY=ZCZILCDEPQ&amp;VAR:QUERY=RkZfRUJJVERBX0lCKCdMVE1TJywzOTg1Myk=&amp;WINDOW=FIRST_POPUP&amp;HEIGHT=450&amp;WIDTH=450&amp;START_MA","XIMIZED=FALSE&amp;VAR:CALENDAR=US&amp;VAR:SYMBOL=05614P10&amp;VAR:INDEX=0"}</definedName>
    <definedName name="_2204__FDSAUDITLINK__" hidden="1">{"fdsup://directions/FAT Viewer?action=UPDATE&amp;creator=factset&amp;DYN_ARGS=TRUE&amp;DOC_NAME=FAT:FQL_AUDITING_CLIENT_TEMPLATE.FAT&amp;display_string=Audit&amp;VAR:KEY=ZCZILCDEPQ&amp;VAR:QUERY=RkZfRUJJVERBX0lCKCdMVE1TJywzOTg1Myk=&amp;WINDOW=FIRST_POPUP&amp;HEIGHT=450&amp;WIDTH=450&amp;START_MA","XIMIZED=FALSE&amp;VAR:CALENDAR=US&amp;VAR:SYMBOL=05614P10&amp;VAR:INDEX=0"}</definedName>
    <definedName name="_2205__FDSAUDITLINK__" localSheetId="6" hidden="1">{"fdsup://directions/FAT Viewer?action=UPDATE&amp;creator=factset&amp;DYN_ARGS=TRUE&amp;DOC_NAME=FAT:FQL_AUDITING_CLIENT_TEMPLATE.FAT&amp;display_string=Audit&amp;VAR:KEY=LQFGJWDUZI&amp;VAR:QUERY=RkZfRUJJVERBX0lCKCdMVE1TJywzOTg1Mik=&amp;WINDOW=FIRST_POPUP&amp;HEIGHT=450&amp;WIDTH=450&amp;START_MA","XIMIZED=FALSE&amp;VAR:CALENDAR=US&amp;VAR:SYMBOL=05614P10&amp;VAR:INDEX=0"}</definedName>
    <definedName name="_2205__FDSAUDITLINK__" hidden="1">{"fdsup://directions/FAT Viewer?action=UPDATE&amp;creator=factset&amp;DYN_ARGS=TRUE&amp;DOC_NAME=FAT:FQL_AUDITING_CLIENT_TEMPLATE.FAT&amp;display_string=Audit&amp;VAR:KEY=LQFGJWDUZI&amp;VAR:QUERY=RkZfRUJJVERBX0lCKCdMVE1TJywzOTg1Mik=&amp;WINDOW=FIRST_POPUP&amp;HEIGHT=450&amp;WIDTH=450&amp;START_MA","XIMIZED=FALSE&amp;VAR:CALENDAR=US&amp;VAR:SYMBOL=05614P10&amp;VAR:INDEX=0"}</definedName>
    <definedName name="_2206__FDSAUDITLINK__" localSheetId="6" hidden="1">{"fdsup://directions/FAT Viewer?action=UPDATE&amp;creator=factset&amp;DYN_ARGS=TRUE&amp;DOC_NAME=FAT:FQL_AUDITING_CLIENT_TEMPLATE.FAT&amp;display_string=Audit&amp;VAR:KEY=VAHYJSRGZS&amp;VAR:QUERY=RkZfRUJJVERBX0lCKCdMVE1TJywzOTg1MSk=&amp;WINDOW=FIRST_POPUP&amp;HEIGHT=450&amp;WIDTH=450&amp;START_MA","XIMIZED=FALSE&amp;VAR:CALENDAR=US&amp;VAR:SYMBOL=05614P10&amp;VAR:INDEX=0"}</definedName>
    <definedName name="_2206__FDSAUDITLINK__" hidden="1">{"fdsup://directions/FAT Viewer?action=UPDATE&amp;creator=factset&amp;DYN_ARGS=TRUE&amp;DOC_NAME=FAT:FQL_AUDITING_CLIENT_TEMPLATE.FAT&amp;display_string=Audit&amp;VAR:KEY=VAHYJSRGZS&amp;VAR:QUERY=RkZfRUJJVERBX0lCKCdMVE1TJywzOTg1MSk=&amp;WINDOW=FIRST_POPUP&amp;HEIGHT=450&amp;WIDTH=450&amp;START_MA","XIMIZED=FALSE&amp;VAR:CALENDAR=US&amp;VAR:SYMBOL=05614P10&amp;VAR:INDEX=0"}</definedName>
    <definedName name="_2207__FDSAUDITLINK__" localSheetId="6" hidden="1">{"fdsup://directions/FAT Viewer?action=UPDATE&amp;creator=factset&amp;DYN_ARGS=TRUE&amp;DOC_NAME=FAT:FQL_AUDITING_CLIENT_TEMPLATE.FAT&amp;display_string=Audit&amp;VAR:KEY=DIBQLCXANO&amp;VAR:QUERY=RkZfRUJJVERBX0lCKCdMVE1TJywzOTg1MCk=&amp;WINDOW=FIRST_POPUP&amp;HEIGHT=450&amp;WIDTH=450&amp;START_MA","XIMIZED=FALSE&amp;VAR:CALENDAR=US&amp;VAR:SYMBOL=05614P10&amp;VAR:INDEX=0"}</definedName>
    <definedName name="_2207__FDSAUDITLINK__" hidden="1">{"fdsup://directions/FAT Viewer?action=UPDATE&amp;creator=factset&amp;DYN_ARGS=TRUE&amp;DOC_NAME=FAT:FQL_AUDITING_CLIENT_TEMPLATE.FAT&amp;display_string=Audit&amp;VAR:KEY=DIBQLCXANO&amp;VAR:QUERY=RkZfRUJJVERBX0lCKCdMVE1TJywzOTg1MCk=&amp;WINDOW=FIRST_POPUP&amp;HEIGHT=450&amp;WIDTH=450&amp;START_MA","XIMIZED=FALSE&amp;VAR:CALENDAR=US&amp;VAR:SYMBOL=05614P10&amp;VAR:INDEX=0"}</definedName>
    <definedName name="_2208__FDSAUDITLINK__" localSheetId="6" hidden="1">{"fdsup://directions/FAT Viewer?action=UPDATE&amp;creator=factset&amp;DYN_ARGS=TRUE&amp;DOC_NAME=FAT:FQL_AUDITING_CLIENT_TEMPLATE.FAT&amp;display_string=Audit&amp;VAR:KEY=PWJSDGJIVS&amp;VAR:QUERY=RkZfRUJJVERBX0lCKCdMVE1TJywzOTg0OSk=&amp;WINDOW=FIRST_POPUP&amp;HEIGHT=450&amp;WIDTH=450&amp;START_MA","XIMIZED=FALSE&amp;VAR:CALENDAR=US&amp;VAR:SYMBOL=05614P10&amp;VAR:INDEX=0"}</definedName>
    <definedName name="_2208__FDSAUDITLINK__" hidden="1">{"fdsup://directions/FAT Viewer?action=UPDATE&amp;creator=factset&amp;DYN_ARGS=TRUE&amp;DOC_NAME=FAT:FQL_AUDITING_CLIENT_TEMPLATE.FAT&amp;display_string=Audit&amp;VAR:KEY=PWJSDGJIVS&amp;VAR:QUERY=RkZfRUJJVERBX0lCKCdMVE1TJywzOTg0OSk=&amp;WINDOW=FIRST_POPUP&amp;HEIGHT=450&amp;WIDTH=450&amp;START_MA","XIMIZED=FALSE&amp;VAR:CALENDAR=US&amp;VAR:SYMBOL=05614P10&amp;VAR:INDEX=0"}</definedName>
    <definedName name="_2209__FDSAUDITLINK__" localSheetId="6" hidden="1">{"fdsup://directions/FAT Viewer?action=UPDATE&amp;creator=factset&amp;DYN_ARGS=TRUE&amp;DOC_NAME=FAT:FQL_AUDITING_CLIENT_TEMPLATE.FAT&amp;display_string=Audit&amp;VAR:KEY=FSJGHQVYDA&amp;VAR:QUERY=RkZfRUJJVERBX0lCKCdMVE1TJywzOTg0OCk=&amp;WINDOW=FIRST_POPUP&amp;HEIGHT=450&amp;WIDTH=450&amp;START_MA","XIMIZED=FALSE&amp;VAR:CALENDAR=US&amp;VAR:SYMBOL=05614P10&amp;VAR:INDEX=0"}</definedName>
    <definedName name="_2209__FDSAUDITLINK__" hidden="1">{"fdsup://directions/FAT Viewer?action=UPDATE&amp;creator=factset&amp;DYN_ARGS=TRUE&amp;DOC_NAME=FAT:FQL_AUDITING_CLIENT_TEMPLATE.FAT&amp;display_string=Audit&amp;VAR:KEY=FSJGHQVYDA&amp;VAR:QUERY=RkZfRUJJVERBX0lCKCdMVE1TJywzOTg0OCk=&amp;WINDOW=FIRST_POPUP&amp;HEIGHT=450&amp;WIDTH=450&amp;START_MA","XIMIZED=FALSE&amp;VAR:CALENDAR=US&amp;VAR:SYMBOL=05614P10&amp;VAR:INDEX=0"}</definedName>
    <definedName name="_221__FDSAUDITLINK__" localSheetId="6" hidden="1">{"fdsup://directions/FAT%20Viewer?VAR:PED=LTM&amp;VAR:AUDIT_MODE=SUMMARY&amp;VAR:PERIOD=FIXED&amp;VAR:AUDIT_ID=00000117&amp;VAR:DATE=20090715&amp;action=UPDATE&amp;creator=factset&amp;DOC_NAME=FAT:FMA_audit_SUMMARY.fat&amp;DISPLAY_STRING=Display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1__FDSAUDITLINK__" hidden="1">{"fdsup://directions/FAT%20Viewer?VAR:PED=LTM&amp;VAR:AUDIT_MODE=SUMMARY&amp;VAR:PERIOD=FIXED&amp;VAR:AUDIT_ID=00000117&amp;VAR:DATE=20090715&amp;action=UPDATE&amp;creator=factset&amp;DOC_NAME=FAT:FMA_audit_SUMMARY.fat&amp;DISPLAY_STRING=Display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10__FDSAUDITLINK__" localSheetId="6" hidden="1">{"fdsup://directions/FAT Viewer?action=UPDATE&amp;creator=factset&amp;DYN_ARGS=TRUE&amp;DOC_NAME=FAT:FQL_AUDITING_CLIENT_TEMPLATE.FAT&amp;display_string=Audit&amp;VAR:KEY=PQRSXYJWJQ&amp;VAR:QUERY=RkZfRUJJVERBX0lCKCdMVE1TJywzOTg0Nyk=&amp;WINDOW=FIRST_POPUP&amp;HEIGHT=450&amp;WIDTH=450&amp;START_MA","XIMIZED=FALSE&amp;VAR:CALENDAR=US&amp;VAR:SYMBOL=05614P10&amp;VAR:INDEX=0"}</definedName>
    <definedName name="_2210__FDSAUDITLINK__" hidden="1">{"fdsup://directions/FAT Viewer?action=UPDATE&amp;creator=factset&amp;DYN_ARGS=TRUE&amp;DOC_NAME=FAT:FQL_AUDITING_CLIENT_TEMPLATE.FAT&amp;display_string=Audit&amp;VAR:KEY=PQRSXYJWJQ&amp;VAR:QUERY=RkZfRUJJVERBX0lCKCdMVE1TJywzOTg0Nyk=&amp;WINDOW=FIRST_POPUP&amp;HEIGHT=450&amp;WIDTH=450&amp;START_MA","XIMIZED=FALSE&amp;VAR:CALENDAR=US&amp;VAR:SYMBOL=05614P10&amp;VAR:INDEX=0"}</definedName>
    <definedName name="_2211__FDSAUDITLINK__" localSheetId="6" hidden="1">{"fdsup://directions/FAT Viewer?action=UPDATE&amp;creator=factset&amp;DYN_ARGS=TRUE&amp;DOC_NAME=FAT:FQL_AUDITING_CLIENT_TEMPLATE.FAT&amp;display_string=Audit&amp;VAR:KEY=XANYTGTSLW&amp;VAR:QUERY=RkZfRUJJVERBX0lCKCdMVE1TJywzOTg0Nik=&amp;WINDOW=FIRST_POPUP&amp;HEIGHT=450&amp;WIDTH=450&amp;START_MA","XIMIZED=FALSE&amp;VAR:CALENDAR=US&amp;VAR:SYMBOL=05614P10&amp;VAR:INDEX=0"}</definedName>
    <definedName name="_2211__FDSAUDITLINK__" hidden="1">{"fdsup://directions/FAT Viewer?action=UPDATE&amp;creator=factset&amp;DYN_ARGS=TRUE&amp;DOC_NAME=FAT:FQL_AUDITING_CLIENT_TEMPLATE.FAT&amp;display_string=Audit&amp;VAR:KEY=XANYTGTSLW&amp;VAR:QUERY=RkZfRUJJVERBX0lCKCdMVE1TJywzOTg0Nik=&amp;WINDOW=FIRST_POPUP&amp;HEIGHT=450&amp;WIDTH=450&amp;START_MA","XIMIZED=FALSE&amp;VAR:CALENDAR=US&amp;VAR:SYMBOL=05614P10&amp;VAR:INDEX=0"}</definedName>
    <definedName name="_2212__FDSAUDITLINK__" localSheetId="6" hidden="1">{"fdsup://directions/FAT Viewer?action=UPDATE&amp;creator=factset&amp;DYN_ARGS=TRUE&amp;DOC_NAME=FAT:FQL_AUDITING_CLIENT_TEMPLATE.FAT&amp;display_string=Audit&amp;VAR:KEY=XEHUDMRQTE&amp;VAR:QUERY=RkZfRUJJVERBX0lCKCdMVE1TJywzOTg0NSk=&amp;WINDOW=FIRST_POPUP&amp;HEIGHT=450&amp;WIDTH=450&amp;START_MA","XIMIZED=FALSE&amp;VAR:CALENDAR=US&amp;VAR:SYMBOL=05614P10&amp;VAR:INDEX=0"}</definedName>
    <definedName name="_2212__FDSAUDITLINK__" hidden="1">{"fdsup://directions/FAT Viewer?action=UPDATE&amp;creator=factset&amp;DYN_ARGS=TRUE&amp;DOC_NAME=FAT:FQL_AUDITING_CLIENT_TEMPLATE.FAT&amp;display_string=Audit&amp;VAR:KEY=XEHUDMRQTE&amp;VAR:QUERY=RkZfRUJJVERBX0lCKCdMVE1TJywzOTg0NSk=&amp;WINDOW=FIRST_POPUP&amp;HEIGHT=450&amp;WIDTH=450&amp;START_MA","XIMIZED=FALSE&amp;VAR:CALENDAR=US&amp;VAR:SYMBOL=05614P10&amp;VAR:INDEX=0"}</definedName>
    <definedName name="_2213__FDSAUDITLINK__" localSheetId="6" hidden="1">{"fdsup://directions/FAT Viewer?action=UPDATE&amp;creator=factset&amp;DYN_ARGS=TRUE&amp;DOC_NAME=FAT:FQL_AUDITING_CLIENT_TEMPLATE.FAT&amp;display_string=Audit&amp;VAR:KEY=LYLAJSLWHA&amp;VAR:QUERY=RkZfRUJJVERBX0lCKCdMVE1TJywzOTg0NCk=&amp;WINDOW=FIRST_POPUP&amp;HEIGHT=450&amp;WIDTH=450&amp;START_MA","XIMIZED=FALSE&amp;VAR:CALENDAR=US&amp;VAR:SYMBOL=05614P10&amp;VAR:INDEX=0"}</definedName>
    <definedName name="_2213__FDSAUDITLINK__" hidden="1">{"fdsup://directions/FAT Viewer?action=UPDATE&amp;creator=factset&amp;DYN_ARGS=TRUE&amp;DOC_NAME=FAT:FQL_AUDITING_CLIENT_TEMPLATE.FAT&amp;display_string=Audit&amp;VAR:KEY=LYLAJSLWHA&amp;VAR:QUERY=RkZfRUJJVERBX0lCKCdMVE1TJywzOTg0NCk=&amp;WINDOW=FIRST_POPUP&amp;HEIGHT=450&amp;WIDTH=450&amp;START_MA","XIMIZED=FALSE&amp;VAR:CALENDAR=US&amp;VAR:SYMBOL=05614P10&amp;VAR:INDEX=0"}</definedName>
    <definedName name="_2214__FDSAUDITLINK__" localSheetId="6" hidden="1">{"fdsup://directions/FAT Viewer?action=UPDATE&amp;creator=factset&amp;DYN_ARGS=TRUE&amp;DOC_NAME=FAT:FQL_AUDITING_CLIENT_TEMPLATE.FAT&amp;display_string=Audit&amp;VAR:KEY=FYHITOTOLC&amp;VAR:QUERY=RkZfRUJJVERBX0lCKCdMVE1TJywzOTg0Myk=&amp;WINDOW=FIRST_POPUP&amp;HEIGHT=450&amp;WIDTH=450&amp;START_MA","XIMIZED=FALSE&amp;VAR:CALENDAR=US&amp;VAR:SYMBOL=05614P10&amp;VAR:INDEX=0"}</definedName>
    <definedName name="_2214__FDSAUDITLINK__" hidden="1">{"fdsup://directions/FAT Viewer?action=UPDATE&amp;creator=factset&amp;DYN_ARGS=TRUE&amp;DOC_NAME=FAT:FQL_AUDITING_CLIENT_TEMPLATE.FAT&amp;display_string=Audit&amp;VAR:KEY=FYHITOTOLC&amp;VAR:QUERY=RkZfRUJJVERBX0lCKCdMVE1TJywzOTg0Myk=&amp;WINDOW=FIRST_POPUP&amp;HEIGHT=450&amp;WIDTH=450&amp;START_MA","XIMIZED=FALSE&amp;VAR:CALENDAR=US&amp;VAR:SYMBOL=05614P10&amp;VAR:INDEX=0"}</definedName>
    <definedName name="_2215__FDSAUDITLINK__" localSheetId="6" hidden="1">{"fdsup://directions/FAT Viewer?action=UPDATE&amp;creator=factset&amp;DYN_ARGS=TRUE&amp;DOC_NAME=FAT:FQL_AUDITING_CLIENT_TEMPLATE.FAT&amp;display_string=Audit&amp;VAR:KEY=LWBWLQNWVC&amp;VAR:QUERY=RkZfRUJJVERBX0lCKCdMVE1TJywzOTg0Mik=&amp;WINDOW=FIRST_POPUP&amp;HEIGHT=450&amp;WIDTH=450&amp;START_MA","XIMIZED=FALSE&amp;VAR:CALENDAR=US&amp;VAR:SYMBOL=05614P10&amp;VAR:INDEX=0"}</definedName>
    <definedName name="_2215__FDSAUDITLINK__" hidden="1">{"fdsup://directions/FAT Viewer?action=UPDATE&amp;creator=factset&amp;DYN_ARGS=TRUE&amp;DOC_NAME=FAT:FQL_AUDITING_CLIENT_TEMPLATE.FAT&amp;display_string=Audit&amp;VAR:KEY=LWBWLQNWVC&amp;VAR:QUERY=RkZfRUJJVERBX0lCKCdMVE1TJywzOTg0Mik=&amp;WINDOW=FIRST_POPUP&amp;HEIGHT=450&amp;WIDTH=450&amp;START_MA","XIMIZED=FALSE&amp;VAR:CALENDAR=US&amp;VAR:SYMBOL=05614P10&amp;VAR:INDEX=0"}</definedName>
    <definedName name="_2216__FDSAUDITLINK__" localSheetId="6" hidden="1">{"fdsup://directions/FAT Viewer?action=UPDATE&amp;creator=factset&amp;DYN_ARGS=TRUE&amp;DOC_NAME=FAT:FQL_AUDITING_CLIENT_TEMPLATE.FAT&amp;display_string=Audit&amp;VAR:KEY=TELYDMFORK&amp;VAR:QUERY=RkZfRUJJVERBX0lCKCdMVE1TJywzOTg0MSk=&amp;WINDOW=FIRST_POPUP&amp;HEIGHT=450&amp;WIDTH=450&amp;START_MA","XIMIZED=FALSE&amp;VAR:CALENDAR=US&amp;VAR:SYMBOL=05614P10&amp;VAR:INDEX=0"}</definedName>
    <definedName name="_2216__FDSAUDITLINK__" hidden="1">{"fdsup://directions/FAT Viewer?action=UPDATE&amp;creator=factset&amp;DYN_ARGS=TRUE&amp;DOC_NAME=FAT:FQL_AUDITING_CLIENT_TEMPLATE.FAT&amp;display_string=Audit&amp;VAR:KEY=TELYDMFORK&amp;VAR:QUERY=RkZfRUJJVERBX0lCKCdMVE1TJywzOTg0MSk=&amp;WINDOW=FIRST_POPUP&amp;HEIGHT=450&amp;WIDTH=450&amp;START_MA","XIMIZED=FALSE&amp;VAR:CALENDAR=US&amp;VAR:SYMBOL=05614P10&amp;VAR:INDEX=0"}</definedName>
    <definedName name="_2217__FDSAUDITLINK__" localSheetId="6" hidden="1">{"fdsup://directions/FAT Viewer?action=UPDATE&amp;creator=factset&amp;DYN_ARGS=TRUE&amp;DOC_NAME=FAT:FQL_AUDITING_CLIENT_TEMPLATE.FAT&amp;display_string=Audit&amp;VAR:KEY=HYDKVIRSJS&amp;VAR:QUERY=RkZfRUJJVERBX0lCKCdMVE1TJywzOTg0MCk=&amp;WINDOW=FIRST_POPUP&amp;HEIGHT=450&amp;WIDTH=450&amp;START_MA","XIMIZED=FALSE&amp;VAR:CALENDAR=US&amp;VAR:SYMBOL=05614P10&amp;VAR:INDEX=0"}</definedName>
    <definedName name="_2217__FDSAUDITLINK__" hidden="1">{"fdsup://directions/FAT Viewer?action=UPDATE&amp;creator=factset&amp;DYN_ARGS=TRUE&amp;DOC_NAME=FAT:FQL_AUDITING_CLIENT_TEMPLATE.FAT&amp;display_string=Audit&amp;VAR:KEY=HYDKVIRSJS&amp;VAR:QUERY=RkZfRUJJVERBX0lCKCdMVE1TJywzOTg0MCk=&amp;WINDOW=FIRST_POPUP&amp;HEIGHT=450&amp;WIDTH=450&amp;START_MA","XIMIZED=FALSE&amp;VAR:CALENDAR=US&amp;VAR:SYMBOL=05614P10&amp;VAR:INDEX=0"}</definedName>
    <definedName name="_2218__FDSAUDITLINK__" localSheetId="6" hidden="1">{"fdsup://directions/FAT Viewer?action=UPDATE&amp;creator=factset&amp;DYN_ARGS=TRUE&amp;DOC_NAME=FAT:FQL_AUDITING_CLIENT_TEMPLATE.FAT&amp;display_string=Audit&amp;VAR:KEY=NUJSDELYNW&amp;VAR:QUERY=RkZfRUJJVERBX0lCKCdMVE1TJywzOTgzOSk=&amp;WINDOW=FIRST_POPUP&amp;HEIGHT=450&amp;WIDTH=450&amp;START_MA","XIMIZED=FALSE&amp;VAR:CALENDAR=US&amp;VAR:SYMBOL=05614P10&amp;VAR:INDEX=0"}</definedName>
    <definedName name="_2218__FDSAUDITLINK__" hidden="1">{"fdsup://directions/FAT Viewer?action=UPDATE&amp;creator=factset&amp;DYN_ARGS=TRUE&amp;DOC_NAME=FAT:FQL_AUDITING_CLIENT_TEMPLATE.FAT&amp;display_string=Audit&amp;VAR:KEY=NUJSDELYNW&amp;VAR:QUERY=RkZfRUJJVERBX0lCKCdMVE1TJywzOTgzOSk=&amp;WINDOW=FIRST_POPUP&amp;HEIGHT=450&amp;WIDTH=450&amp;START_MA","XIMIZED=FALSE&amp;VAR:CALENDAR=US&amp;VAR:SYMBOL=05614P10&amp;VAR:INDEX=0"}</definedName>
    <definedName name="_2219__FDSAUDITLINK__" localSheetId="6" hidden="1">{"fdsup://directions/FAT Viewer?action=UPDATE&amp;creator=factset&amp;DYN_ARGS=TRUE&amp;DOC_NAME=FAT:FQL_AUDITING_CLIENT_TEMPLATE.FAT&amp;display_string=Audit&amp;VAR:KEY=LITYLYJYBK&amp;VAR:QUERY=RkZfRUJJVERBX0lCKCdMVE1TJywzOTgzOCk=&amp;WINDOW=FIRST_POPUP&amp;HEIGHT=450&amp;WIDTH=450&amp;START_MA","XIMIZED=FALSE&amp;VAR:CALENDAR=US&amp;VAR:SYMBOL=05614P10&amp;VAR:INDEX=0"}</definedName>
    <definedName name="_2219__FDSAUDITLINK__" hidden="1">{"fdsup://directions/FAT Viewer?action=UPDATE&amp;creator=factset&amp;DYN_ARGS=TRUE&amp;DOC_NAME=FAT:FQL_AUDITING_CLIENT_TEMPLATE.FAT&amp;display_string=Audit&amp;VAR:KEY=LITYLYJYBK&amp;VAR:QUERY=RkZfRUJJVERBX0lCKCdMVE1TJywzOTgzOCk=&amp;WINDOW=FIRST_POPUP&amp;HEIGHT=450&amp;WIDTH=450&amp;START_MA","XIMIZED=FALSE&amp;VAR:CALENDAR=US&amp;VAR:SYMBOL=05614P10&amp;VAR:INDEX=0"}</definedName>
    <definedName name="_222__FDSAUDITLINK__" localSheetId="6" hidden="1">{"fdsup://directions/FAT%20Viewer?VAR:PED=LTM&amp;VAR:AUDIT_MODE=SUMMARY&amp;VAR:PERIOD=FIXED&amp;VAR:AUDIT_ID=00000117&amp;VAR:DATE=20090714&amp;action=UPDATE&amp;creator=factset&amp;DOC_NAME=FAT:FMA_audit_SUMMARY.fat&amp;DISPLAY_STRING=Display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2__FDSAUDITLINK__" hidden="1">{"fdsup://directions/FAT%20Viewer?VAR:PED=LTM&amp;VAR:AUDIT_MODE=SUMMARY&amp;VAR:PERIOD=FIXED&amp;VAR:AUDIT_ID=00000117&amp;VAR:DATE=20090714&amp;action=UPDATE&amp;creator=factset&amp;DOC_NAME=FAT:FMA_audit_SUMMARY.fat&amp;DISPLAY_STRING=Display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20__FDSAUDITLINK__" localSheetId="6" hidden="1">{"fdsup://directions/FAT Viewer?action=UPDATE&amp;creator=factset&amp;DYN_ARGS=TRUE&amp;DOC_NAME=FAT:FQL_AUDITING_CLIENT_TEMPLATE.FAT&amp;display_string=Audit&amp;VAR:KEY=DWPWTYLCRQ&amp;VAR:QUERY=RkZfRUJJVERBX0lCKCdMVE1TJywzOTgzNyk=&amp;WINDOW=FIRST_POPUP&amp;HEIGHT=450&amp;WIDTH=450&amp;START_MA","XIMIZED=FALSE&amp;VAR:CALENDAR=US&amp;VAR:SYMBOL=05614P10&amp;VAR:INDEX=0"}</definedName>
    <definedName name="_2220__FDSAUDITLINK__" hidden="1">{"fdsup://directions/FAT Viewer?action=UPDATE&amp;creator=factset&amp;DYN_ARGS=TRUE&amp;DOC_NAME=FAT:FQL_AUDITING_CLIENT_TEMPLATE.FAT&amp;display_string=Audit&amp;VAR:KEY=DWPWTYLCRQ&amp;VAR:QUERY=RkZfRUJJVERBX0lCKCdMVE1TJywzOTgzNyk=&amp;WINDOW=FIRST_POPUP&amp;HEIGHT=450&amp;WIDTH=450&amp;START_MA","XIMIZED=FALSE&amp;VAR:CALENDAR=US&amp;VAR:SYMBOL=05614P10&amp;VAR:INDEX=0"}</definedName>
    <definedName name="_2221__FDSAUDITLINK__" localSheetId="6" hidden="1">{"fdsup://directions/FAT Viewer?action=UPDATE&amp;creator=factset&amp;DYN_ARGS=TRUE&amp;DOC_NAME=FAT:FQL_AUDITING_CLIENT_TEMPLATE.FAT&amp;display_string=Audit&amp;VAR:KEY=BODWBATMBQ&amp;VAR:QUERY=RkZfRUJJVERBX0lCKCdMVE1TJywzOTgzNik=&amp;WINDOW=FIRST_POPUP&amp;HEIGHT=450&amp;WIDTH=450&amp;START_MA","XIMIZED=FALSE&amp;VAR:CALENDAR=US&amp;VAR:SYMBOL=05614P10&amp;VAR:INDEX=0"}</definedName>
    <definedName name="_2221__FDSAUDITLINK__" hidden="1">{"fdsup://directions/FAT Viewer?action=UPDATE&amp;creator=factset&amp;DYN_ARGS=TRUE&amp;DOC_NAME=FAT:FQL_AUDITING_CLIENT_TEMPLATE.FAT&amp;display_string=Audit&amp;VAR:KEY=BODWBATMBQ&amp;VAR:QUERY=RkZfRUJJVERBX0lCKCdMVE1TJywzOTgzNik=&amp;WINDOW=FIRST_POPUP&amp;HEIGHT=450&amp;WIDTH=450&amp;START_MA","XIMIZED=FALSE&amp;VAR:CALENDAR=US&amp;VAR:SYMBOL=05614P10&amp;VAR:INDEX=0"}</definedName>
    <definedName name="_2222__FDSAUDITLINK__" localSheetId="6" hidden="1">{"fdsup://directions/FAT Viewer?action=UPDATE&amp;creator=factset&amp;DYN_ARGS=TRUE&amp;DOC_NAME=FAT:FQL_AUDITING_CLIENT_TEMPLATE.FAT&amp;display_string=Audit&amp;VAR:KEY=RIRCRYLWHA&amp;VAR:QUERY=RkZfRUJJVERBX0lCKCdMVE1TJywzOTgzNSk=&amp;WINDOW=FIRST_POPUP&amp;HEIGHT=450&amp;WIDTH=450&amp;START_MA","XIMIZED=FALSE&amp;VAR:CALENDAR=US&amp;VAR:SYMBOL=05614P10&amp;VAR:INDEX=0"}</definedName>
    <definedName name="_2222__FDSAUDITLINK__" hidden="1">{"fdsup://directions/FAT Viewer?action=UPDATE&amp;creator=factset&amp;DYN_ARGS=TRUE&amp;DOC_NAME=FAT:FQL_AUDITING_CLIENT_TEMPLATE.FAT&amp;display_string=Audit&amp;VAR:KEY=RIRCRYLWHA&amp;VAR:QUERY=RkZfRUJJVERBX0lCKCdMVE1TJywzOTgzNSk=&amp;WINDOW=FIRST_POPUP&amp;HEIGHT=450&amp;WIDTH=450&amp;START_MA","XIMIZED=FALSE&amp;VAR:CALENDAR=US&amp;VAR:SYMBOL=05614P10&amp;VAR:INDEX=0"}</definedName>
    <definedName name="_2223__FDSAUDITLINK__" localSheetId="6" hidden="1">{"fdsup://directions/FAT Viewer?action=UPDATE&amp;creator=factset&amp;DYN_ARGS=TRUE&amp;DOC_NAME=FAT:FQL_AUDITING_CLIENT_TEMPLATE.FAT&amp;display_string=Audit&amp;VAR:KEY=TIRSNQBYVS&amp;VAR:QUERY=RkZfRUJJVERBX0lCKCdMVE1TJywzOTgzNCk=&amp;WINDOW=FIRST_POPUP&amp;HEIGHT=450&amp;WIDTH=450&amp;START_MA","XIMIZED=FALSE&amp;VAR:CALENDAR=US&amp;VAR:SYMBOL=05614P10&amp;VAR:INDEX=0"}</definedName>
    <definedName name="_2223__FDSAUDITLINK__" hidden="1">{"fdsup://directions/FAT Viewer?action=UPDATE&amp;creator=factset&amp;DYN_ARGS=TRUE&amp;DOC_NAME=FAT:FQL_AUDITING_CLIENT_TEMPLATE.FAT&amp;display_string=Audit&amp;VAR:KEY=TIRSNQBYVS&amp;VAR:QUERY=RkZfRUJJVERBX0lCKCdMVE1TJywzOTgzNCk=&amp;WINDOW=FIRST_POPUP&amp;HEIGHT=450&amp;WIDTH=450&amp;START_MA","XIMIZED=FALSE&amp;VAR:CALENDAR=US&amp;VAR:SYMBOL=05614P10&amp;VAR:INDEX=0"}</definedName>
    <definedName name="_2224__FDSAUDITLINK__" localSheetId="6" hidden="1">{"fdsup://directions/FAT Viewer?action=UPDATE&amp;creator=factset&amp;DYN_ARGS=TRUE&amp;DOC_NAME=FAT:FQL_AUDITING_CLIENT_TEMPLATE.FAT&amp;display_string=Audit&amp;VAR:KEY=ZQJMPUBMTE&amp;VAR:QUERY=RkZfRUJJVERBX0lCKCdMVE1TJywzOTgzMyk=&amp;WINDOW=FIRST_POPUP&amp;HEIGHT=450&amp;WIDTH=450&amp;START_MA","XIMIZED=FALSE&amp;VAR:CALENDAR=US&amp;VAR:SYMBOL=05614P10&amp;VAR:INDEX=0"}</definedName>
    <definedName name="_2224__FDSAUDITLINK__" hidden="1">{"fdsup://directions/FAT Viewer?action=UPDATE&amp;creator=factset&amp;DYN_ARGS=TRUE&amp;DOC_NAME=FAT:FQL_AUDITING_CLIENT_TEMPLATE.FAT&amp;display_string=Audit&amp;VAR:KEY=ZQJMPUBMTE&amp;VAR:QUERY=RkZfRUJJVERBX0lCKCdMVE1TJywzOTgzMyk=&amp;WINDOW=FIRST_POPUP&amp;HEIGHT=450&amp;WIDTH=450&amp;START_MA","XIMIZED=FALSE&amp;VAR:CALENDAR=US&amp;VAR:SYMBOL=05614P10&amp;VAR:INDEX=0"}</definedName>
    <definedName name="_2225__FDSAUDITLINK__" localSheetId="6" hidden="1">{"fdsup://directions/FAT Viewer?action=UPDATE&amp;creator=factset&amp;DYN_ARGS=TRUE&amp;DOC_NAME=FAT:FQL_AUDITING_CLIENT_TEMPLATE.FAT&amp;display_string=Audit&amp;VAR:KEY=NYPSRMZGLU&amp;VAR:QUERY=RkZfRUJJVERBX0lCKCdMVE1TJywzOTgzMik=&amp;WINDOW=FIRST_POPUP&amp;HEIGHT=450&amp;WIDTH=450&amp;START_MA","XIMIZED=FALSE&amp;VAR:CALENDAR=US&amp;VAR:SYMBOL=05614P10&amp;VAR:INDEX=0"}</definedName>
    <definedName name="_2225__FDSAUDITLINK__" hidden="1">{"fdsup://directions/FAT Viewer?action=UPDATE&amp;creator=factset&amp;DYN_ARGS=TRUE&amp;DOC_NAME=FAT:FQL_AUDITING_CLIENT_TEMPLATE.FAT&amp;display_string=Audit&amp;VAR:KEY=NYPSRMZGLU&amp;VAR:QUERY=RkZfRUJJVERBX0lCKCdMVE1TJywzOTgzMik=&amp;WINDOW=FIRST_POPUP&amp;HEIGHT=450&amp;WIDTH=450&amp;START_MA","XIMIZED=FALSE&amp;VAR:CALENDAR=US&amp;VAR:SYMBOL=05614P10&amp;VAR:INDEX=0"}</definedName>
    <definedName name="_2226__FDSAUDITLINK__" localSheetId="6" hidden="1">{"fdsup://directions/FAT Viewer?action=UPDATE&amp;creator=factset&amp;DYN_ARGS=TRUE&amp;DOC_NAME=FAT:FQL_AUDITING_CLIENT_TEMPLATE.FAT&amp;display_string=Audit&amp;VAR:KEY=HCHKDAHWZS&amp;VAR:QUERY=RkZfRUJJVERBX0lCKCdMVE1TJywzOTgzMSk=&amp;WINDOW=FIRST_POPUP&amp;HEIGHT=450&amp;WIDTH=450&amp;START_MA","XIMIZED=FALSE&amp;VAR:CALENDAR=US&amp;VAR:SYMBOL=05614P10&amp;VAR:INDEX=0"}</definedName>
    <definedName name="_2226__FDSAUDITLINK__" hidden="1">{"fdsup://directions/FAT Viewer?action=UPDATE&amp;creator=factset&amp;DYN_ARGS=TRUE&amp;DOC_NAME=FAT:FQL_AUDITING_CLIENT_TEMPLATE.FAT&amp;display_string=Audit&amp;VAR:KEY=HCHKDAHWZS&amp;VAR:QUERY=RkZfRUJJVERBX0lCKCdMVE1TJywzOTgzMSk=&amp;WINDOW=FIRST_POPUP&amp;HEIGHT=450&amp;WIDTH=450&amp;START_MA","XIMIZED=FALSE&amp;VAR:CALENDAR=US&amp;VAR:SYMBOL=05614P10&amp;VAR:INDEX=0"}</definedName>
    <definedName name="_2227__FDSAUDITLINK__" localSheetId="6" hidden="1">{"fdsup://directions/FAT Viewer?action=UPDATE&amp;creator=factset&amp;DYN_ARGS=TRUE&amp;DOC_NAME=FAT:FQL_AUDITING_CLIENT_TEMPLATE.FAT&amp;display_string=Audit&amp;VAR:KEY=VWHEVIBULY&amp;VAR:QUERY=RkZfRUJJVERBX0lCKCdMVE1TJywzOTgzMCk=&amp;WINDOW=FIRST_POPUP&amp;HEIGHT=450&amp;WIDTH=450&amp;START_MA","XIMIZED=FALSE&amp;VAR:CALENDAR=US&amp;VAR:SYMBOL=05614P10&amp;VAR:INDEX=0"}</definedName>
    <definedName name="_2227__FDSAUDITLINK__" hidden="1">{"fdsup://directions/FAT Viewer?action=UPDATE&amp;creator=factset&amp;DYN_ARGS=TRUE&amp;DOC_NAME=FAT:FQL_AUDITING_CLIENT_TEMPLATE.FAT&amp;display_string=Audit&amp;VAR:KEY=VWHEVIBULY&amp;VAR:QUERY=RkZfRUJJVERBX0lCKCdMVE1TJywzOTgzMCk=&amp;WINDOW=FIRST_POPUP&amp;HEIGHT=450&amp;WIDTH=450&amp;START_MA","XIMIZED=FALSE&amp;VAR:CALENDAR=US&amp;VAR:SYMBOL=05614P10&amp;VAR:INDEX=0"}</definedName>
    <definedName name="_2228__FDSAUDITLINK__" localSheetId="6" hidden="1">{"fdsup://directions/FAT Viewer?action=UPDATE&amp;creator=factset&amp;DYN_ARGS=TRUE&amp;DOC_NAME=FAT:FQL_AUDITING_CLIENT_TEMPLATE.FAT&amp;display_string=Audit&amp;VAR:KEY=NOTQVSLYRY&amp;VAR:QUERY=RkZfRUJJVERBX0lCKCdMVE1TJywzOTgyOSk=&amp;WINDOW=FIRST_POPUP&amp;HEIGHT=450&amp;WIDTH=450&amp;START_MA","XIMIZED=FALSE&amp;VAR:CALENDAR=US&amp;VAR:SYMBOL=05614P10&amp;VAR:INDEX=0"}</definedName>
    <definedName name="_2228__FDSAUDITLINK__" hidden="1">{"fdsup://directions/FAT Viewer?action=UPDATE&amp;creator=factset&amp;DYN_ARGS=TRUE&amp;DOC_NAME=FAT:FQL_AUDITING_CLIENT_TEMPLATE.FAT&amp;display_string=Audit&amp;VAR:KEY=NOTQVSLYRY&amp;VAR:QUERY=RkZfRUJJVERBX0lCKCdMVE1TJywzOTgyOSk=&amp;WINDOW=FIRST_POPUP&amp;HEIGHT=450&amp;WIDTH=450&amp;START_MA","XIMIZED=FALSE&amp;VAR:CALENDAR=US&amp;VAR:SYMBOL=05614P10&amp;VAR:INDEX=0"}</definedName>
    <definedName name="_2229__FDSAUDITLINK__" localSheetId="6" hidden="1">{"fdsup://directions/FAT Viewer?action=UPDATE&amp;creator=factset&amp;DYN_ARGS=TRUE&amp;DOC_NAME=FAT:FQL_AUDITING_CLIENT_TEMPLATE.FAT&amp;display_string=Audit&amp;VAR:KEY=RYHOFGBKLY&amp;VAR:QUERY=RkZfRUJJVERBX0lCKCdMVE1TJywzOTgyOCk=&amp;WINDOW=FIRST_POPUP&amp;HEIGHT=450&amp;WIDTH=450&amp;START_MA","XIMIZED=FALSE&amp;VAR:CALENDAR=US&amp;VAR:SYMBOL=05614P10&amp;VAR:INDEX=0"}</definedName>
    <definedName name="_2229__FDSAUDITLINK__" hidden="1">{"fdsup://directions/FAT Viewer?action=UPDATE&amp;creator=factset&amp;DYN_ARGS=TRUE&amp;DOC_NAME=FAT:FQL_AUDITING_CLIENT_TEMPLATE.FAT&amp;display_string=Audit&amp;VAR:KEY=RYHOFGBKLY&amp;VAR:QUERY=RkZfRUJJVERBX0lCKCdMVE1TJywzOTgyOCk=&amp;WINDOW=FIRST_POPUP&amp;HEIGHT=450&amp;WIDTH=450&amp;START_MA","XIMIZED=FALSE&amp;VAR:CALENDAR=US&amp;VAR:SYMBOL=05614P10&amp;VAR:INDEX=0"}</definedName>
    <definedName name="_223__FDSAUDITLINK__" localSheetId="6" hidden="1">{"fdsup://directions/FAT%20Viewer?VAR:PED=LTM&amp;VAR:AUDIT_MODE=SUMMARY&amp;VAR:PERIOD=FIXED&amp;VAR:AUDIT_ID=00000117&amp;VAR:DATE=20090713&amp;action=UPDATE&amp;creator=factset&amp;DOC_NAME=FAT:FMA_audit_SUMMARY.fat&amp;DISPLAY_STRING=Display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3__FDSAUDITLINK__" hidden="1">{"fdsup://directions/FAT%20Viewer?VAR:PED=LTM&amp;VAR:AUDIT_MODE=SUMMARY&amp;VAR:PERIOD=FIXED&amp;VAR:AUDIT_ID=00000117&amp;VAR:DATE=20090713&amp;action=UPDATE&amp;creator=factset&amp;DOC_NAME=FAT:FMA_audit_SUMMARY.fat&amp;DISPLAY_STRING=Display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30__FDSAUDITLINK__" localSheetId="6" hidden="1">{"fdsup://directions/FAT Viewer?action=UPDATE&amp;creator=factset&amp;DYN_ARGS=TRUE&amp;DOC_NAME=FAT:FQL_AUDITING_CLIENT_TEMPLATE.FAT&amp;display_string=Audit&amp;VAR:KEY=DABGLQPCJA&amp;VAR:QUERY=RkZfRUJJVERBX0lCKCdMVE1TJywzOTgyNyk=&amp;WINDOW=FIRST_POPUP&amp;HEIGHT=450&amp;WIDTH=450&amp;START_MA","XIMIZED=FALSE&amp;VAR:CALENDAR=US&amp;VAR:SYMBOL=05614P10&amp;VAR:INDEX=0"}</definedName>
    <definedName name="_2230__FDSAUDITLINK__" hidden="1">{"fdsup://directions/FAT Viewer?action=UPDATE&amp;creator=factset&amp;DYN_ARGS=TRUE&amp;DOC_NAME=FAT:FQL_AUDITING_CLIENT_TEMPLATE.FAT&amp;display_string=Audit&amp;VAR:KEY=DABGLQPCJA&amp;VAR:QUERY=RkZfRUJJVERBX0lCKCdMVE1TJywzOTgyNyk=&amp;WINDOW=FIRST_POPUP&amp;HEIGHT=450&amp;WIDTH=450&amp;START_MA","XIMIZED=FALSE&amp;VAR:CALENDAR=US&amp;VAR:SYMBOL=05614P10&amp;VAR:INDEX=0"}</definedName>
    <definedName name="_2231__FDSAUDITLINK__" localSheetId="6" hidden="1">{"fdsup://directions/FAT Viewer?action=UPDATE&amp;creator=factset&amp;DYN_ARGS=TRUE&amp;DOC_NAME=FAT:FQL_AUDITING_CLIENT_TEMPLATE.FAT&amp;display_string=Audit&amp;VAR:KEY=FSBUXSROLC&amp;VAR:QUERY=RkZfRUJJVERBX0lCKCdMVE1TJywzOTgyNik=&amp;WINDOW=FIRST_POPUP&amp;HEIGHT=450&amp;WIDTH=450&amp;START_MA","XIMIZED=FALSE&amp;VAR:CALENDAR=US&amp;VAR:SYMBOL=05614P10&amp;VAR:INDEX=0"}</definedName>
    <definedName name="_2231__FDSAUDITLINK__" hidden="1">{"fdsup://directions/FAT Viewer?action=UPDATE&amp;creator=factset&amp;DYN_ARGS=TRUE&amp;DOC_NAME=FAT:FQL_AUDITING_CLIENT_TEMPLATE.FAT&amp;display_string=Audit&amp;VAR:KEY=FSBUXSROLC&amp;VAR:QUERY=RkZfRUJJVERBX0lCKCdMVE1TJywzOTgyNik=&amp;WINDOW=FIRST_POPUP&amp;HEIGHT=450&amp;WIDTH=450&amp;START_MA","XIMIZED=FALSE&amp;VAR:CALENDAR=US&amp;VAR:SYMBOL=05614P10&amp;VAR:INDEX=0"}</definedName>
    <definedName name="_2232__FDSAUDITLINK__" localSheetId="6" hidden="1">{"fdsup://directions/FAT Viewer?action=UPDATE&amp;creator=factset&amp;DYN_ARGS=TRUE&amp;DOC_NAME=FAT:FQL_AUDITING_CLIENT_TEMPLATE.FAT&amp;display_string=Audit&amp;VAR:KEY=TWHGDWTKTE&amp;VAR:QUERY=RkZfRUJJVERBX0lCKCdMVE1TJywzOTgyNSk=&amp;WINDOW=FIRST_POPUP&amp;HEIGHT=450&amp;WIDTH=450&amp;START_MA","XIMIZED=FALSE&amp;VAR:CALENDAR=US&amp;VAR:SYMBOL=05614P10&amp;VAR:INDEX=0"}</definedName>
    <definedName name="_2232__FDSAUDITLINK__" hidden="1">{"fdsup://directions/FAT Viewer?action=UPDATE&amp;creator=factset&amp;DYN_ARGS=TRUE&amp;DOC_NAME=FAT:FQL_AUDITING_CLIENT_TEMPLATE.FAT&amp;display_string=Audit&amp;VAR:KEY=TWHGDWTKTE&amp;VAR:QUERY=RkZfRUJJVERBX0lCKCdMVE1TJywzOTgyNSk=&amp;WINDOW=FIRST_POPUP&amp;HEIGHT=450&amp;WIDTH=450&amp;START_MA","XIMIZED=FALSE&amp;VAR:CALENDAR=US&amp;VAR:SYMBOL=05614P10&amp;VAR:INDEX=0"}</definedName>
    <definedName name="_2233__FDSAUDITLINK__" localSheetId="6" hidden="1">{"fdsup://directions/FAT Viewer?action=UPDATE&amp;creator=factset&amp;DYN_ARGS=TRUE&amp;DOC_NAME=FAT:FQL_AUDITING_CLIENT_TEMPLATE.FAT&amp;display_string=Audit&amp;VAR:KEY=JARMPUPQTK&amp;VAR:QUERY=RkZfRUJJVERBX0lCKCdMVE1TJywzOTgyNCk=&amp;WINDOW=FIRST_POPUP&amp;HEIGHT=450&amp;WIDTH=450&amp;START_MA","XIMIZED=FALSE&amp;VAR:CALENDAR=US&amp;VAR:SYMBOL=05614P10&amp;VAR:INDEX=0"}</definedName>
    <definedName name="_2233__FDSAUDITLINK__" hidden="1">{"fdsup://directions/FAT Viewer?action=UPDATE&amp;creator=factset&amp;DYN_ARGS=TRUE&amp;DOC_NAME=FAT:FQL_AUDITING_CLIENT_TEMPLATE.FAT&amp;display_string=Audit&amp;VAR:KEY=JARMPUPQTK&amp;VAR:QUERY=RkZfRUJJVERBX0lCKCdMVE1TJywzOTgyNCk=&amp;WINDOW=FIRST_POPUP&amp;HEIGHT=450&amp;WIDTH=450&amp;START_MA","XIMIZED=FALSE&amp;VAR:CALENDAR=US&amp;VAR:SYMBOL=05614P10&amp;VAR:INDEX=0"}</definedName>
    <definedName name="_2234__FDSAUDITLINK__" localSheetId="6" hidden="1">{"fdsup://directions/FAT Viewer?action=UPDATE&amp;creator=factset&amp;DYN_ARGS=TRUE&amp;DOC_NAME=FAT:FQL_AUDITING_CLIENT_TEMPLATE.FAT&amp;display_string=Audit&amp;VAR:KEY=LIXATQTEBW&amp;VAR:QUERY=RkZfRUJJVERBX0lCKCdMVE1TJywzOTgyMyk=&amp;WINDOW=FIRST_POPUP&amp;HEIGHT=450&amp;WIDTH=450&amp;START_MA","XIMIZED=FALSE&amp;VAR:CALENDAR=US&amp;VAR:SYMBOL=05614P10&amp;VAR:INDEX=0"}</definedName>
    <definedName name="_2234__FDSAUDITLINK__" hidden="1">{"fdsup://directions/FAT Viewer?action=UPDATE&amp;creator=factset&amp;DYN_ARGS=TRUE&amp;DOC_NAME=FAT:FQL_AUDITING_CLIENT_TEMPLATE.FAT&amp;display_string=Audit&amp;VAR:KEY=LIXATQTEBW&amp;VAR:QUERY=RkZfRUJJVERBX0lCKCdMVE1TJywzOTgyMyk=&amp;WINDOW=FIRST_POPUP&amp;HEIGHT=450&amp;WIDTH=450&amp;START_MA","XIMIZED=FALSE&amp;VAR:CALENDAR=US&amp;VAR:SYMBOL=05614P10&amp;VAR:INDEX=0"}</definedName>
    <definedName name="_2235__FDSAUDITLINK__" localSheetId="6" hidden="1">{"fdsup://directions/FAT Viewer?action=UPDATE&amp;creator=factset&amp;DYN_ARGS=TRUE&amp;DOC_NAME=FAT:FQL_AUDITING_CLIENT_TEMPLATE.FAT&amp;display_string=Audit&amp;VAR:KEY=VANSTOZOXU&amp;VAR:QUERY=RkZfRUJJVERBX0lCKCdMVE1TJywzOTgyMik=&amp;WINDOW=FIRST_POPUP&amp;HEIGHT=450&amp;WIDTH=450&amp;START_MA","XIMIZED=FALSE&amp;VAR:CALENDAR=US&amp;VAR:SYMBOL=05614P10&amp;VAR:INDEX=0"}</definedName>
    <definedName name="_2235__FDSAUDITLINK__" hidden="1">{"fdsup://directions/FAT Viewer?action=UPDATE&amp;creator=factset&amp;DYN_ARGS=TRUE&amp;DOC_NAME=FAT:FQL_AUDITING_CLIENT_TEMPLATE.FAT&amp;display_string=Audit&amp;VAR:KEY=VANSTOZOXU&amp;VAR:QUERY=RkZfRUJJVERBX0lCKCdMVE1TJywzOTgyMik=&amp;WINDOW=FIRST_POPUP&amp;HEIGHT=450&amp;WIDTH=450&amp;START_MA","XIMIZED=FALSE&amp;VAR:CALENDAR=US&amp;VAR:SYMBOL=05614P10&amp;VAR:INDEX=0"}</definedName>
    <definedName name="_2236__FDSAUDITLINK__" localSheetId="6" hidden="1">{"fdsup://directions/FAT Viewer?action=UPDATE&amp;creator=factset&amp;DYN_ARGS=TRUE&amp;DOC_NAME=FAT:FQL_AUDITING_CLIENT_TEMPLATE.FAT&amp;display_string=Audit&amp;VAR:KEY=FODKTMLGRS&amp;VAR:QUERY=RkZfRUJJVERBX0lCKCdMVE1TJywzOTgyMSk=&amp;WINDOW=FIRST_POPUP&amp;HEIGHT=450&amp;WIDTH=450&amp;START_MA","XIMIZED=FALSE&amp;VAR:CALENDAR=US&amp;VAR:SYMBOL=05614P10&amp;VAR:INDEX=0"}</definedName>
    <definedName name="_2236__FDSAUDITLINK__" hidden="1">{"fdsup://directions/FAT Viewer?action=UPDATE&amp;creator=factset&amp;DYN_ARGS=TRUE&amp;DOC_NAME=FAT:FQL_AUDITING_CLIENT_TEMPLATE.FAT&amp;display_string=Audit&amp;VAR:KEY=FODKTMLGRS&amp;VAR:QUERY=RkZfRUJJVERBX0lCKCdMVE1TJywzOTgyMSk=&amp;WINDOW=FIRST_POPUP&amp;HEIGHT=450&amp;WIDTH=450&amp;START_MA","XIMIZED=FALSE&amp;VAR:CALENDAR=US&amp;VAR:SYMBOL=05614P10&amp;VAR:INDEX=0"}</definedName>
    <definedName name="_2237__FDSAUDITLINK__" localSheetId="6" hidden="1">{"fdsup://directions/FAT Viewer?action=UPDATE&amp;creator=factset&amp;DYN_ARGS=TRUE&amp;DOC_NAME=FAT:FQL_AUDITING_CLIENT_TEMPLATE.FAT&amp;display_string=Audit&amp;VAR:KEY=TIBUHOHAZQ&amp;VAR:QUERY=RkZfRUJJVERBX0lCKCdMVE1TJywzOTgyMCk=&amp;WINDOW=FIRST_POPUP&amp;HEIGHT=450&amp;WIDTH=450&amp;START_MA","XIMIZED=FALSE&amp;VAR:CALENDAR=US&amp;VAR:SYMBOL=05614P10&amp;VAR:INDEX=0"}</definedName>
    <definedName name="_2237__FDSAUDITLINK__" hidden="1">{"fdsup://directions/FAT Viewer?action=UPDATE&amp;creator=factset&amp;DYN_ARGS=TRUE&amp;DOC_NAME=FAT:FQL_AUDITING_CLIENT_TEMPLATE.FAT&amp;display_string=Audit&amp;VAR:KEY=TIBUHOHAZQ&amp;VAR:QUERY=RkZfRUJJVERBX0lCKCdMVE1TJywzOTgyMCk=&amp;WINDOW=FIRST_POPUP&amp;HEIGHT=450&amp;WIDTH=450&amp;START_MA","XIMIZED=FALSE&amp;VAR:CALENDAR=US&amp;VAR:SYMBOL=05614P10&amp;VAR:INDEX=0"}</definedName>
    <definedName name="_2238__FDSAUDITLINK__" localSheetId="6" hidden="1">{"fdsup://directions/FAT Viewer?action=UPDATE&amp;creator=factset&amp;DYN_ARGS=TRUE&amp;DOC_NAME=FAT:FQL_AUDITING_CLIENT_TEMPLATE.FAT&amp;display_string=Audit&amp;VAR:KEY=BAHWTQXEDE&amp;VAR:QUERY=RkZfRUJJVERBX0lCKCdMVE1TJywzOTgxOSk=&amp;WINDOW=FIRST_POPUP&amp;HEIGHT=450&amp;WIDTH=450&amp;START_MA","XIMIZED=FALSE&amp;VAR:CALENDAR=US&amp;VAR:SYMBOL=05614P10&amp;VAR:INDEX=0"}</definedName>
    <definedName name="_2238__FDSAUDITLINK__" hidden="1">{"fdsup://directions/FAT Viewer?action=UPDATE&amp;creator=factset&amp;DYN_ARGS=TRUE&amp;DOC_NAME=FAT:FQL_AUDITING_CLIENT_TEMPLATE.FAT&amp;display_string=Audit&amp;VAR:KEY=BAHWTQXEDE&amp;VAR:QUERY=RkZfRUJJVERBX0lCKCdMVE1TJywzOTgxOSk=&amp;WINDOW=FIRST_POPUP&amp;HEIGHT=450&amp;WIDTH=450&amp;START_MA","XIMIZED=FALSE&amp;VAR:CALENDAR=US&amp;VAR:SYMBOL=05614P10&amp;VAR:INDEX=0"}</definedName>
    <definedName name="_2239__FDSAUDITLINK__" localSheetId="6" hidden="1">{"fdsup://directions/FAT Viewer?action=UPDATE&amp;creator=factset&amp;DYN_ARGS=TRUE&amp;DOC_NAME=FAT:FQL_AUDITING_CLIENT_TEMPLATE.FAT&amp;display_string=Audit&amp;VAR:KEY=LKVWXODYZK&amp;VAR:QUERY=RkZfRUJJVERBX0lCKCdMVE1TJywzOTgxOCk=&amp;WINDOW=FIRST_POPUP&amp;HEIGHT=450&amp;WIDTH=450&amp;START_MA","XIMIZED=FALSE&amp;VAR:CALENDAR=US&amp;VAR:SYMBOL=05614P10&amp;VAR:INDEX=0"}</definedName>
    <definedName name="_2239__FDSAUDITLINK__" hidden="1">{"fdsup://directions/FAT Viewer?action=UPDATE&amp;creator=factset&amp;DYN_ARGS=TRUE&amp;DOC_NAME=FAT:FQL_AUDITING_CLIENT_TEMPLATE.FAT&amp;display_string=Audit&amp;VAR:KEY=LKVWXODYZK&amp;VAR:QUERY=RkZfRUJJVERBX0lCKCdMVE1TJywzOTgxOCk=&amp;WINDOW=FIRST_POPUP&amp;HEIGHT=450&amp;WIDTH=450&amp;START_MA","XIMIZED=FALSE&amp;VAR:CALENDAR=US&amp;VAR:SYMBOL=05614P10&amp;VAR:INDEX=0"}</definedName>
    <definedName name="_224__FDSAUDITLINK__" localSheetId="6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4__FDSAUDITLINK__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40__FDSAUDITLINK__" localSheetId="6" hidden="1">{"fdsup://directions/FAT Viewer?action=UPDATE&amp;creator=factset&amp;DYN_ARGS=TRUE&amp;DOC_NAME=FAT:FQL_AUDITING_CLIENT_TEMPLATE.FAT&amp;display_string=Audit&amp;VAR:KEY=LCTEPGHIZM&amp;VAR:QUERY=RkZfRUJJVERBX0lCKCdMVE1TJywzOTgxNyk=&amp;WINDOW=FIRST_POPUP&amp;HEIGHT=450&amp;WIDTH=450&amp;START_MA","XIMIZED=FALSE&amp;VAR:CALENDAR=US&amp;VAR:SYMBOL=05614P10&amp;VAR:INDEX=0"}</definedName>
    <definedName name="_2240__FDSAUDITLINK__" hidden="1">{"fdsup://directions/FAT Viewer?action=UPDATE&amp;creator=factset&amp;DYN_ARGS=TRUE&amp;DOC_NAME=FAT:FQL_AUDITING_CLIENT_TEMPLATE.FAT&amp;display_string=Audit&amp;VAR:KEY=LCTEPGHIZM&amp;VAR:QUERY=RkZfRUJJVERBX0lCKCdMVE1TJywzOTgxNyk=&amp;WINDOW=FIRST_POPUP&amp;HEIGHT=450&amp;WIDTH=450&amp;START_MA","XIMIZED=FALSE&amp;VAR:CALENDAR=US&amp;VAR:SYMBOL=05614P10&amp;VAR:INDEX=0"}</definedName>
    <definedName name="_2241__FDSAUDITLINK__" localSheetId="6" hidden="1">{"fdsup://directions/FAT Viewer?action=UPDATE&amp;creator=factset&amp;DYN_ARGS=TRUE&amp;DOC_NAME=FAT:FQL_AUDITING_CLIENT_TEMPLATE.FAT&amp;display_string=Audit&amp;VAR:KEY=ZELGFOVWBI&amp;VAR:QUERY=RkZfRUJJVERBX0lCKCdMVE1TJywzOTgxNik=&amp;WINDOW=FIRST_POPUP&amp;HEIGHT=450&amp;WIDTH=450&amp;START_MA","XIMIZED=FALSE&amp;VAR:CALENDAR=US&amp;VAR:SYMBOL=05614P10&amp;VAR:INDEX=0"}</definedName>
    <definedName name="_2241__FDSAUDITLINK__" hidden="1">{"fdsup://directions/FAT Viewer?action=UPDATE&amp;creator=factset&amp;DYN_ARGS=TRUE&amp;DOC_NAME=FAT:FQL_AUDITING_CLIENT_TEMPLATE.FAT&amp;display_string=Audit&amp;VAR:KEY=ZELGFOVWBI&amp;VAR:QUERY=RkZfRUJJVERBX0lCKCdMVE1TJywzOTgxNik=&amp;WINDOW=FIRST_POPUP&amp;HEIGHT=450&amp;WIDTH=450&amp;START_MA","XIMIZED=FALSE&amp;VAR:CALENDAR=US&amp;VAR:SYMBOL=05614P10&amp;VAR:INDEX=0"}</definedName>
    <definedName name="_2242__FDSAUDITLINK__" localSheetId="6" hidden="1">{"fdsup://directions/FAT Viewer?action=UPDATE&amp;creator=factset&amp;DYN_ARGS=TRUE&amp;DOC_NAME=FAT:FQL_AUDITING_CLIENT_TEMPLATE.FAT&amp;display_string=Audit&amp;VAR:KEY=BMVYLSDCZO&amp;VAR:QUERY=RkZfRUJJVERBX0lCKCdMVE1TJywzOTgxNSk=&amp;WINDOW=FIRST_POPUP&amp;HEIGHT=450&amp;WIDTH=450&amp;START_MA","XIMIZED=FALSE&amp;VAR:CALENDAR=US&amp;VAR:SYMBOL=05614P10&amp;VAR:INDEX=0"}</definedName>
    <definedName name="_2242__FDSAUDITLINK__" hidden="1">{"fdsup://directions/FAT Viewer?action=UPDATE&amp;creator=factset&amp;DYN_ARGS=TRUE&amp;DOC_NAME=FAT:FQL_AUDITING_CLIENT_TEMPLATE.FAT&amp;display_string=Audit&amp;VAR:KEY=BMVYLSDCZO&amp;VAR:QUERY=RkZfRUJJVERBX0lCKCdMVE1TJywzOTgxNSk=&amp;WINDOW=FIRST_POPUP&amp;HEIGHT=450&amp;WIDTH=450&amp;START_MA","XIMIZED=FALSE&amp;VAR:CALENDAR=US&amp;VAR:SYMBOL=05614P10&amp;VAR:INDEX=0"}</definedName>
    <definedName name="_2243__FDSAUDITLINK__" localSheetId="6" hidden="1">{"fdsup://directions/FAT Viewer?action=UPDATE&amp;creator=factset&amp;DYN_ARGS=TRUE&amp;DOC_NAME=FAT:FQL_AUDITING_CLIENT_TEMPLATE.FAT&amp;display_string=Audit&amp;VAR:KEY=LMNMXWLUTG&amp;VAR:QUERY=RkZfRUJJVERBX0lCKCdMVE1TJywzOTgxNCk=&amp;WINDOW=FIRST_POPUP&amp;HEIGHT=450&amp;WIDTH=450&amp;START_MA","XIMIZED=FALSE&amp;VAR:CALENDAR=US&amp;VAR:SYMBOL=05614P10&amp;VAR:INDEX=0"}</definedName>
    <definedName name="_2243__FDSAUDITLINK__" hidden="1">{"fdsup://directions/FAT Viewer?action=UPDATE&amp;creator=factset&amp;DYN_ARGS=TRUE&amp;DOC_NAME=FAT:FQL_AUDITING_CLIENT_TEMPLATE.FAT&amp;display_string=Audit&amp;VAR:KEY=LMNMXWLUTG&amp;VAR:QUERY=RkZfRUJJVERBX0lCKCdMVE1TJywzOTgxNCk=&amp;WINDOW=FIRST_POPUP&amp;HEIGHT=450&amp;WIDTH=450&amp;START_MA","XIMIZED=FALSE&amp;VAR:CALENDAR=US&amp;VAR:SYMBOL=05614P10&amp;VAR:INDEX=0"}</definedName>
    <definedName name="_2244__FDSAUDITLINK__" localSheetId="6" hidden="1">{"fdsup://directions/FAT Viewer?action=UPDATE&amp;creator=factset&amp;DYN_ARGS=TRUE&amp;DOC_NAME=FAT:FQL_AUDITING_CLIENT_TEMPLATE.FAT&amp;display_string=Audit&amp;VAR:KEY=PKZYLMJKRS&amp;VAR:QUERY=RkZfRUJJVERBX0lCKCdMVE1TJywzOTgxMyk=&amp;WINDOW=FIRST_POPUP&amp;HEIGHT=450&amp;WIDTH=450&amp;START_MA","XIMIZED=FALSE&amp;VAR:CALENDAR=US&amp;VAR:SYMBOL=05614P10&amp;VAR:INDEX=0"}</definedName>
    <definedName name="_2244__FDSAUDITLINK__" hidden="1">{"fdsup://directions/FAT Viewer?action=UPDATE&amp;creator=factset&amp;DYN_ARGS=TRUE&amp;DOC_NAME=FAT:FQL_AUDITING_CLIENT_TEMPLATE.FAT&amp;display_string=Audit&amp;VAR:KEY=PKZYLMJKRS&amp;VAR:QUERY=RkZfRUJJVERBX0lCKCdMVE1TJywzOTgxMyk=&amp;WINDOW=FIRST_POPUP&amp;HEIGHT=450&amp;WIDTH=450&amp;START_MA","XIMIZED=FALSE&amp;VAR:CALENDAR=US&amp;VAR:SYMBOL=05614P10&amp;VAR:INDEX=0"}</definedName>
    <definedName name="_2245__FDSAUDITLINK__" localSheetId="6" hidden="1">{"fdsup://directions/FAT Viewer?action=UPDATE&amp;creator=factset&amp;DYN_ARGS=TRUE&amp;DOC_NAME=FAT:FQL_AUDITING_CLIENT_TEMPLATE.FAT&amp;display_string=Audit&amp;VAR:KEY=XEHSDYBKFM&amp;VAR:QUERY=RkZfRUJJVERBX0lCKCdMVE1TJywzOTgxMik=&amp;WINDOW=FIRST_POPUP&amp;HEIGHT=450&amp;WIDTH=450&amp;START_MA","XIMIZED=FALSE&amp;VAR:CALENDAR=US&amp;VAR:SYMBOL=05614P10&amp;VAR:INDEX=0"}</definedName>
    <definedName name="_2245__FDSAUDITLINK__" hidden="1">{"fdsup://directions/FAT Viewer?action=UPDATE&amp;creator=factset&amp;DYN_ARGS=TRUE&amp;DOC_NAME=FAT:FQL_AUDITING_CLIENT_TEMPLATE.FAT&amp;display_string=Audit&amp;VAR:KEY=XEHSDYBKFM&amp;VAR:QUERY=RkZfRUJJVERBX0lCKCdMVE1TJywzOTgxMik=&amp;WINDOW=FIRST_POPUP&amp;HEIGHT=450&amp;WIDTH=450&amp;START_MA","XIMIZED=FALSE&amp;VAR:CALENDAR=US&amp;VAR:SYMBOL=05614P10&amp;VAR:INDEX=0"}</definedName>
    <definedName name="_2246__FDSAUDITLINK__" localSheetId="6" hidden="1">{"fdsup://directions/FAT Viewer?action=UPDATE&amp;creator=factset&amp;DYN_ARGS=TRUE&amp;DOC_NAME=FAT:FQL_AUDITING_CLIENT_TEMPLATE.FAT&amp;display_string=Audit&amp;VAR:KEY=TGTUTQJODW&amp;VAR:QUERY=RkZfRUJJVERBX0lCKCdMVE1TJywzOTgxMSk=&amp;WINDOW=FIRST_POPUP&amp;HEIGHT=450&amp;WIDTH=450&amp;START_MA","XIMIZED=FALSE&amp;VAR:CALENDAR=US&amp;VAR:SYMBOL=05614P10&amp;VAR:INDEX=0"}</definedName>
    <definedName name="_2246__FDSAUDITLINK__" hidden="1">{"fdsup://directions/FAT Viewer?action=UPDATE&amp;creator=factset&amp;DYN_ARGS=TRUE&amp;DOC_NAME=FAT:FQL_AUDITING_CLIENT_TEMPLATE.FAT&amp;display_string=Audit&amp;VAR:KEY=TGTUTQJODW&amp;VAR:QUERY=RkZfRUJJVERBX0lCKCdMVE1TJywzOTgxMSk=&amp;WINDOW=FIRST_POPUP&amp;HEIGHT=450&amp;WIDTH=450&amp;START_MA","XIMIZED=FALSE&amp;VAR:CALENDAR=US&amp;VAR:SYMBOL=05614P10&amp;VAR:INDEX=0"}</definedName>
    <definedName name="_2247__FDSAUDITLINK__" localSheetId="6" hidden="1">{"fdsup://directions/FAT Viewer?action=UPDATE&amp;creator=factset&amp;DYN_ARGS=TRUE&amp;DOC_NAME=FAT:FQL_AUDITING_CLIENT_TEMPLATE.FAT&amp;display_string=Audit&amp;VAR:KEY=BWRAHURQFQ&amp;VAR:QUERY=RkZfRUJJVERBX0lCKCdMVE1TJywzOTgxMCk=&amp;WINDOW=FIRST_POPUP&amp;HEIGHT=450&amp;WIDTH=450&amp;START_MA","XIMIZED=FALSE&amp;VAR:CALENDAR=US&amp;VAR:SYMBOL=05614P10&amp;VAR:INDEX=0"}</definedName>
    <definedName name="_2247__FDSAUDITLINK__" hidden="1">{"fdsup://directions/FAT Viewer?action=UPDATE&amp;creator=factset&amp;DYN_ARGS=TRUE&amp;DOC_NAME=FAT:FQL_AUDITING_CLIENT_TEMPLATE.FAT&amp;display_string=Audit&amp;VAR:KEY=BWRAHURQFQ&amp;VAR:QUERY=RkZfRUJJVERBX0lCKCdMVE1TJywzOTgxMCk=&amp;WINDOW=FIRST_POPUP&amp;HEIGHT=450&amp;WIDTH=450&amp;START_MA","XIMIZED=FALSE&amp;VAR:CALENDAR=US&amp;VAR:SYMBOL=05614P10&amp;VAR:INDEX=0"}</definedName>
    <definedName name="_2248__FDSAUDITLINK__" localSheetId="6" hidden="1">{"fdsup://directions/FAT Viewer?action=UPDATE&amp;creator=factset&amp;DYN_ARGS=TRUE&amp;DOC_NAME=FAT:FQL_AUDITING_CLIENT_TEMPLATE.FAT&amp;display_string=Audit&amp;VAR:KEY=JCRKHKRQJY&amp;VAR:QUERY=RkZfRUJJVERBX0lCKCdMVE1TJywzOTgwOSk=&amp;WINDOW=FIRST_POPUP&amp;HEIGHT=450&amp;WIDTH=450&amp;START_MA","XIMIZED=FALSE&amp;VAR:CALENDAR=US&amp;VAR:SYMBOL=05614P10&amp;VAR:INDEX=0"}</definedName>
    <definedName name="_2248__FDSAUDITLINK__" hidden="1">{"fdsup://directions/FAT Viewer?action=UPDATE&amp;creator=factset&amp;DYN_ARGS=TRUE&amp;DOC_NAME=FAT:FQL_AUDITING_CLIENT_TEMPLATE.FAT&amp;display_string=Audit&amp;VAR:KEY=JCRKHKRQJY&amp;VAR:QUERY=RkZfRUJJVERBX0lCKCdMVE1TJywzOTgwOSk=&amp;WINDOW=FIRST_POPUP&amp;HEIGHT=450&amp;WIDTH=450&amp;START_MA","XIMIZED=FALSE&amp;VAR:CALENDAR=US&amp;VAR:SYMBOL=05614P10&amp;VAR:INDEX=0"}</definedName>
    <definedName name="_2249__FDSAUDITLINK__" localSheetId="6" hidden="1">{"fdsup://directions/FAT Viewer?action=UPDATE&amp;creator=factset&amp;DYN_ARGS=TRUE&amp;DOC_NAME=FAT:FQL_AUDITING_CLIENT_TEMPLATE.FAT&amp;display_string=Audit&amp;VAR:KEY=DOZWBULGLM&amp;VAR:QUERY=RkZfRUJJVERBX0lCKCdMVE1TJywzOTgwOCk=&amp;WINDOW=FIRST_POPUP&amp;HEIGHT=450&amp;WIDTH=450&amp;START_MA","XIMIZED=FALSE&amp;VAR:CALENDAR=US&amp;VAR:SYMBOL=05614P10&amp;VAR:INDEX=0"}</definedName>
    <definedName name="_2249__FDSAUDITLINK__" hidden="1">{"fdsup://directions/FAT Viewer?action=UPDATE&amp;creator=factset&amp;DYN_ARGS=TRUE&amp;DOC_NAME=FAT:FQL_AUDITING_CLIENT_TEMPLATE.FAT&amp;display_string=Audit&amp;VAR:KEY=DOZWBULGLM&amp;VAR:QUERY=RkZfRUJJVERBX0lCKCdMVE1TJywzOTgwOCk=&amp;WINDOW=FIRST_POPUP&amp;HEIGHT=450&amp;WIDTH=450&amp;START_MA","XIMIZED=FALSE&amp;VAR:CALENDAR=US&amp;VAR:SYMBOL=05614P10&amp;VAR:INDEX=0"}</definedName>
    <definedName name="_225__FDSAUDITLINK__" localSheetId="6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5__FDSAUDITLINK__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50__FDSAUDITLINK__" localSheetId="6" hidden="1">{"fdsup://directions/FAT Viewer?action=UPDATE&amp;creator=factset&amp;DYN_ARGS=TRUE&amp;DOC_NAME=FAT:FQL_AUDITING_CLIENT_TEMPLATE.FAT&amp;display_string=Audit&amp;VAR:KEY=HYRGNKTIHA&amp;VAR:QUERY=RkZfRUJJVERBX0lCKCdMVE1TJywzOTgwNyk=&amp;WINDOW=FIRST_POPUP&amp;HEIGHT=450&amp;WIDTH=450&amp;START_MA","XIMIZED=FALSE&amp;VAR:CALENDAR=US&amp;VAR:SYMBOL=05614P10&amp;VAR:INDEX=0"}</definedName>
    <definedName name="_2250__FDSAUDITLINK__" hidden="1">{"fdsup://directions/FAT Viewer?action=UPDATE&amp;creator=factset&amp;DYN_ARGS=TRUE&amp;DOC_NAME=FAT:FQL_AUDITING_CLIENT_TEMPLATE.FAT&amp;display_string=Audit&amp;VAR:KEY=HYRGNKTIHA&amp;VAR:QUERY=RkZfRUJJVERBX0lCKCdMVE1TJywzOTgwNyk=&amp;WINDOW=FIRST_POPUP&amp;HEIGHT=450&amp;WIDTH=450&amp;START_MA","XIMIZED=FALSE&amp;VAR:CALENDAR=US&amp;VAR:SYMBOL=05614P10&amp;VAR:INDEX=0"}</definedName>
    <definedName name="_2251__FDSAUDITLINK__" localSheetId="6" hidden="1">{"fdsup://directions/FAT Viewer?action=UPDATE&amp;creator=factset&amp;DYN_ARGS=TRUE&amp;DOC_NAME=FAT:FQL_AUDITING_CLIENT_TEMPLATE.FAT&amp;display_string=Audit&amp;VAR:KEY=ZCNSXGBANS&amp;VAR:QUERY=RkZfRUJJVERBX0lCKCdMVE1TJywzOTgwNik=&amp;WINDOW=FIRST_POPUP&amp;HEIGHT=450&amp;WIDTH=450&amp;START_MA","XIMIZED=FALSE&amp;VAR:CALENDAR=US&amp;VAR:SYMBOL=05614P10&amp;VAR:INDEX=0"}</definedName>
    <definedName name="_2251__FDSAUDITLINK__" hidden="1">{"fdsup://directions/FAT Viewer?action=UPDATE&amp;creator=factset&amp;DYN_ARGS=TRUE&amp;DOC_NAME=FAT:FQL_AUDITING_CLIENT_TEMPLATE.FAT&amp;display_string=Audit&amp;VAR:KEY=ZCNSXGBANS&amp;VAR:QUERY=RkZfRUJJVERBX0lCKCdMVE1TJywzOTgwNik=&amp;WINDOW=FIRST_POPUP&amp;HEIGHT=450&amp;WIDTH=450&amp;START_MA","XIMIZED=FALSE&amp;VAR:CALENDAR=US&amp;VAR:SYMBOL=05614P10&amp;VAR:INDEX=0"}</definedName>
    <definedName name="_2252__FDSAUDITLINK__" localSheetId="6" hidden="1">{"fdsup://directions/FAT Viewer?action=UPDATE&amp;creator=factset&amp;DYN_ARGS=TRUE&amp;DOC_NAME=FAT:FQL_AUDITING_CLIENT_TEMPLATE.FAT&amp;display_string=Audit&amp;VAR:KEY=LADWFAJANC&amp;VAR:QUERY=RkZfRUJJVERBX0lCKCdMVE1TJywzOTgwNSk=&amp;WINDOW=FIRST_POPUP&amp;HEIGHT=450&amp;WIDTH=450&amp;START_MA","XIMIZED=FALSE&amp;VAR:CALENDAR=US&amp;VAR:SYMBOL=05614P10&amp;VAR:INDEX=0"}</definedName>
    <definedName name="_2252__FDSAUDITLINK__" hidden="1">{"fdsup://directions/FAT Viewer?action=UPDATE&amp;creator=factset&amp;DYN_ARGS=TRUE&amp;DOC_NAME=FAT:FQL_AUDITING_CLIENT_TEMPLATE.FAT&amp;display_string=Audit&amp;VAR:KEY=LADWFAJANC&amp;VAR:QUERY=RkZfRUJJVERBX0lCKCdMVE1TJywzOTgwNSk=&amp;WINDOW=FIRST_POPUP&amp;HEIGHT=450&amp;WIDTH=450&amp;START_MA","XIMIZED=FALSE&amp;VAR:CALENDAR=US&amp;VAR:SYMBOL=05614P10&amp;VAR:INDEX=0"}</definedName>
    <definedName name="_2253__FDSAUDITLINK__" localSheetId="6" hidden="1">{"fdsup://directions/FAT Viewer?action=UPDATE&amp;creator=factset&amp;DYN_ARGS=TRUE&amp;DOC_NAME=FAT:FQL_AUDITING_CLIENT_TEMPLATE.FAT&amp;display_string=Audit&amp;VAR:KEY=FOTIJALCXS&amp;VAR:QUERY=RkZfRUJJVERBX0lCKCdMVE1TJywzOTgwNCk=&amp;WINDOW=FIRST_POPUP&amp;HEIGHT=450&amp;WIDTH=450&amp;START_MA","XIMIZED=FALSE&amp;VAR:CALENDAR=US&amp;VAR:SYMBOL=05614P10&amp;VAR:INDEX=0"}</definedName>
    <definedName name="_2253__FDSAUDITLINK__" hidden="1">{"fdsup://directions/FAT Viewer?action=UPDATE&amp;creator=factset&amp;DYN_ARGS=TRUE&amp;DOC_NAME=FAT:FQL_AUDITING_CLIENT_TEMPLATE.FAT&amp;display_string=Audit&amp;VAR:KEY=FOTIJALCXS&amp;VAR:QUERY=RkZfRUJJVERBX0lCKCdMVE1TJywzOTgwNCk=&amp;WINDOW=FIRST_POPUP&amp;HEIGHT=450&amp;WIDTH=450&amp;START_MA","XIMIZED=FALSE&amp;VAR:CALENDAR=US&amp;VAR:SYMBOL=05614P10&amp;VAR:INDEX=0"}</definedName>
    <definedName name="_2254__FDSAUDITLINK__" localSheetId="6" hidden="1">{"fdsup://directions/FAT Viewer?action=UPDATE&amp;creator=factset&amp;DYN_ARGS=TRUE&amp;DOC_NAME=FAT:FQL_AUDITING_CLIENT_TEMPLATE.FAT&amp;display_string=Audit&amp;VAR:KEY=VMZAXCHIJW&amp;VAR:QUERY=RkZfRUJJVERBX0lCKCdMVE1TJywzOTgwMyk=&amp;WINDOW=FIRST_POPUP&amp;HEIGHT=450&amp;WIDTH=450&amp;START_MA","XIMIZED=FALSE&amp;VAR:CALENDAR=US&amp;VAR:SYMBOL=05614P10&amp;VAR:INDEX=0"}</definedName>
    <definedName name="_2254__FDSAUDITLINK__" hidden="1">{"fdsup://directions/FAT Viewer?action=UPDATE&amp;creator=factset&amp;DYN_ARGS=TRUE&amp;DOC_NAME=FAT:FQL_AUDITING_CLIENT_TEMPLATE.FAT&amp;display_string=Audit&amp;VAR:KEY=VMZAXCHIJW&amp;VAR:QUERY=RkZfRUJJVERBX0lCKCdMVE1TJywzOTgwMyk=&amp;WINDOW=FIRST_POPUP&amp;HEIGHT=450&amp;WIDTH=450&amp;START_MA","XIMIZED=FALSE&amp;VAR:CALENDAR=US&amp;VAR:SYMBOL=05614P10&amp;VAR:INDEX=0"}</definedName>
    <definedName name="_2255__FDSAUDITLINK__" localSheetId="6" hidden="1">{"fdsup://directions/FAT Viewer?action=UPDATE&amp;creator=factset&amp;DYN_ARGS=TRUE&amp;DOC_NAME=FAT:FQL_AUDITING_CLIENT_TEMPLATE.FAT&amp;display_string=Audit&amp;VAR:KEY=PQLANUBUNC&amp;VAR:QUERY=RkZfRUJJVERBX0lCKCdMVE1TJywzOTgwMik=&amp;WINDOW=FIRST_POPUP&amp;HEIGHT=450&amp;WIDTH=450&amp;START_MA","XIMIZED=FALSE&amp;VAR:CALENDAR=US&amp;VAR:SYMBOL=05614P10&amp;VAR:INDEX=0"}</definedName>
    <definedName name="_2255__FDSAUDITLINK__" hidden="1">{"fdsup://directions/FAT Viewer?action=UPDATE&amp;creator=factset&amp;DYN_ARGS=TRUE&amp;DOC_NAME=FAT:FQL_AUDITING_CLIENT_TEMPLATE.FAT&amp;display_string=Audit&amp;VAR:KEY=PQLANUBUNC&amp;VAR:QUERY=RkZfRUJJVERBX0lCKCdMVE1TJywzOTgwMik=&amp;WINDOW=FIRST_POPUP&amp;HEIGHT=450&amp;WIDTH=450&amp;START_MA","XIMIZED=FALSE&amp;VAR:CALENDAR=US&amp;VAR:SYMBOL=05614P10&amp;VAR:INDEX=0"}</definedName>
    <definedName name="_2256__FDSAUDITLINK__" localSheetId="6" hidden="1">{"fdsup://directions/FAT Viewer?action=UPDATE&amp;creator=factset&amp;DYN_ARGS=TRUE&amp;DOC_NAME=FAT:FQL_AUDITING_CLIENT_TEMPLATE.FAT&amp;display_string=Audit&amp;VAR:KEY=PSJILKVULG&amp;VAR:QUERY=RkZfRUJJVERBX0lCKCdMVE1TJywzOTgwMSk=&amp;WINDOW=FIRST_POPUP&amp;HEIGHT=450&amp;WIDTH=450&amp;START_MA","XIMIZED=FALSE&amp;VAR:CALENDAR=US&amp;VAR:SYMBOL=05614P10&amp;VAR:INDEX=0"}</definedName>
    <definedName name="_2256__FDSAUDITLINK__" hidden="1">{"fdsup://directions/FAT Viewer?action=UPDATE&amp;creator=factset&amp;DYN_ARGS=TRUE&amp;DOC_NAME=FAT:FQL_AUDITING_CLIENT_TEMPLATE.FAT&amp;display_string=Audit&amp;VAR:KEY=PSJILKVULG&amp;VAR:QUERY=RkZfRUJJVERBX0lCKCdMVE1TJywzOTgwMSk=&amp;WINDOW=FIRST_POPUP&amp;HEIGHT=450&amp;WIDTH=450&amp;START_MA","XIMIZED=FALSE&amp;VAR:CALENDAR=US&amp;VAR:SYMBOL=05614P10&amp;VAR:INDEX=0"}</definedName>
    <definedName name="_2257__FDSAUDITLINK__" localSheetId="6" hidden="1">{"fdsup://directions/FAT Viewer?action=UPDATE&amp;creator=factset&amp;DYN_ARGS=TRUE&amp;DOC_NAME=FAT:FQL_AUDITING_CLIENT_TEMPLATE.FAT&amp;display_string=Audit&amp;VAR:KEY=HWLUBAHWFI&amp;VAR:QUERY=RkZfRUJJVERBX0lCKCdMVE1TJywzOTgwMCk=&amp;WINDOW=FIRST_POPUP&amp;HEIGHT=450&amp;WIDTH=450&amp;START_MA","XIMIZED=FALSE&amp;VAR:CALENDAR=US&amp;VAR:SYMBOL=05614P10&amp;VAR:INDEX=0"}</definedName>
    <definedName name="_2257__FDSAUDITLINK__" hidden="1">{"fdsup://directions/FAT Viewer?action=UPDATE&amp;creator=factset&amp;DYN_ARGS=TRUE&amp;DOC_NAME=FAT:FQL_AUDITING_CLIENT_TEMPLATE.FAT&amp;display_string=Audit&amp;VAR:KEY=HWLUBAHWFI&amp;VAR:QUERY=RkZfRUJJVERBX0lCKCdMVE1TJywzOTgwMCk=&amp;WINDOW=FIRST_POPUP&amp;HEIGHT=450&amp;WIDTH=450&amp;START_MA","XIMIZED=FALSE&amp;VAR:CALENDAR=US&amp;VAR:SYMBOL=05614P10&amp;VAR:INDEX=0"}</definedName>
    <definedName name="_2258__FDSAUDITLINK__" localSheetId="6" hidden="1">{"fdsup://directions/FAT Viewer?action=UPDATE&amp;creator=factset&amp;DYN_ARGS=TRUE&amp;DOC_NAME=FAT:FQL_AUDITING_CLIENT_TEMPLATE.FAT&amp;display_string=Audit&amp;VAR:KEY=NMVWJWZEZA&amp;VAR:QUERY=RkZfRUJJVERBX0lCKCdMVE1TJywzOTc5OSk=&amp;WINDOW=FIRST_POPUP&amp;HEIGHT=450&amp;WIDTH=450&amp;START_MA","XIMIZED=FALSE&amp;VAR:CALENDAR=US&amp;VAR:SYMBOL=05614P10&amp;VAR:INDEX=0"}</definedName>
    <definedName name="_2258__FDSAUDITLINK__" hidden="1">{"fdsup://directions/FAT Viewer?action=UPDATE&amp;creator=factset&amp;DYN_ARGS=TRUE&amp;DOC_NAME=FAT:FQL_AUDITING_CLIENT_TEMPLATE.FAT&amp;display_string=Audit&amp;VAR:KEY=NMVWJWZEZA&amp;VAR:QUERY=RkZfRUJJVERBX0lCKCdMVE1TJywzOTc5OSk=&amp;WINDOW=FIRST_POPUP&amp;HEIGHT=450&amp;WIDTH=450&amp;START_MA","XIMIZED=FALSE&amp;VAR:CALENDAR=US&amp;VAR:SYMBOL=05614P10&amp;VAR:INDEX=0"}</definedName>
    <definedName name="_2259__FDSAUDITLINK__" localSheetId="6" hidden="1">{"fdsup://directions/FAT Viewer?action=UPDATE&amp;creator=factset&amp;DYN_ARGS=TRUE&amp;DOC_NAME=FAT:FQL_AUDITING_CLIENT_TEMPLATE.FAT&amp;display_string=Audit&amp;VAR:KEY=VQFCZKLQFS&amp;VAR:QUERY=RkZfRUJJVERBX0lCKCdMVE1TJywzOTc5OCk=&amp;WINDOW=FIRST_POPUP&amp;HEIGHT=450&amp;WIDTH=450&amp;START_MA","XIMIZED=FALSE&amp;VAR:CALENDAR=US&amp;VAR:SYMBOL=05614P10&amp;VAR:INDEX=0"}</definedName>
    <definedName name="_2259__FDSAUDITLINK__" hidden="1">{"fdsup://directions/FAT Viewer?action=UPDATE&amp;creator=factset&amp;DYN_ARGS=TRUE&amp;DOC_NAME=FAT:FQL_AUDITING_CLIENT_TEMPLATE.FAT&amp;display_string=Audit&amp;VAR:KEY=VQFCZKLQFS&amp;VAR:QUERY=RkZfRUJJVERBX0lCKCdMVE1TJywzOTc5OCk=&amp;WINDOW=FIRST_POPUP&amp;HEIGHT=450&amp;WIDTH=450&amp;START_MA","XIMIZED=FALSE&amp;VAR:CALENDAR=US&amp;VAR:SYMBOL=05614P10&amp;VAR:INDEX=0"}</definedName>
    <definedName name="_226__FDSAUDITLINK__" localSheetId="6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6__FDSAUDITLINK__" hidden="1">{"fdsup://directions/FAT%20Viewer?VAR:PED=LTM&amp;VAR:AUDIT_MODE=SUMMARY&amp;VAR:PERIOD=FIXED&amp;VAR:AUDIT_ID=00000117&amp;VAR:DATE=20090710&amp;action=UPDATE&amp;creator=factset&amp;DOC_NAME=FAT:FMA_audit_SUMMARY.fat&amp;DISPLAY_STRING=Display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60__FDSAUDITLINK__" localSheetId="6" hidden="1">{"fdsup://directions/FAT Viewer?action=UPDATE&amp;creator=factset&amp;DYN_ARGS=TRUE&amp;DOC_NAME=FAT:FQL_AUDITING_CLIENT_TEMPLATE.FAT&amp;display_string=Audit&amp;VAR:KEY=BKXYTUPGRE&amp;VAR:QUERY=RkZfRUJJVERBX0lCKCdMVE1TJywzOTc5Nyk=&amp;WINDOW=FIRST_POPUP&amp;HEIGHT=450&amp;WIDTH=450&amp;START_MA","XIMIZED=FALSE&amp;VAR:CALENDAR=US&amp;VAR:SYMBOL=05614P10&amp;VAR:INDEX=0"}</definedName>
    <definedName name="_2260__FDSAUDITLINK__" hidden="1">{"fdsup://directions/FAT Viewer?action=UPDATE&amp;creator=factset&amp;DYN_ARGS=TRUE&amp;DOC_NAME=FAT:FQL_AUDITING_CLIENT_TEMPLATE.FAT&amp;display_string=Audit&amp;VAR:KEY=BKXYTUPGRE&amp;VAR:QUERY=RkZfRUJJVERBX0lCKCdMVE1TJywzOTc5Nyk=&amp;WINDOW=FIRST_POPUP&amp;HEIGHT=450&amp;WIDTH=450&amp;START_MA","XIMIZED=FALSE&amp;VAR:CALENDAR=US&amp;VAR:SYMBOL=05614P10&amp;VAR:INDEX=0"}</definedName>
    <definedName name="_2261__FDSAUDITLINK__" localSheetId="6" hidden="1">{"fdsup://directions/FAT Viewer?action=UPDATE&amp;creator=factset&amp;DYN_ARGS=TRUE&amp;DOC_NAME=FAT:FQL_AUDITING_CLIENT_TEMPLATE.FAT&amp;display_string=Audit&amp;VAR:KEY=ZQLQRQZCPS&amp;VAR:QUERY=RkZfRUJJVERBX0lCKCdMVE1TJywzOTc5Nik=&amp;WINDOW=FIRST_POPUP&amp;HEIGHT=450&amp;WIDTH=450&amp;START_MA","XIMIZED=FALSE&amp;VAR:CALENDAR=US&amp;VAR:SYMBOL=05614P10&amp;VAR:INDEX=0"}</definedName>
    <definedName name="_2261__FDSAUDITLINK__" hidden="1">{"fdsup://directions/FAT Viewer?action=UPDATE&amp;creator=factset&amp;DYN_ARGS=TRUE&amp;DOC_NAME=FAT:FQL_AUDITING_CLIENT_TEMPLATE.FAT&amp;display_string=Audit&amp;VAR:KEY=ZQLQRQZCPS&amp;VAR:QUERY=RkZfRUJJVERBX0lCKCdMVE1TJywzOTc5Nik=&amp;WINDOW=FIRST_POPUP&amp;HEIGHT=450&amp;WIDTH=450&amp;START_MA","XIMIZED=FALSE&amp;VAR:CALENDAR=US&amp;VAR:SYMBOL=05614P10&amp;VAR:INDEX=0"}</definedName>
    <definedName name="_2262__FDSAUDITLINK__" localSheetId="6" hidden="1">{"fdsup://directions/FAT Viewer?action=UPDATE&amp;creator=factset&amp;DYN_ARGS=TRUE&amp;DOC_NAME=FAT:FQL_AUDITING_CLIENT_TEMPLATE.FAT&amp;display_string=Audit&amp;VAR:KEY=HWNWXGBYLS&amp;VAR:QUERY=RkZfRUJJVERBX0lCKCdMVE1TJywzOTc5NSk=&amp;WINDOW=FIRST_POPUP&amp;HEIGHT=450&amp;WIDTH=450&amp;START_MA","XIMIZED=FALSE&amp;VAR:CALENDAR=US&amp;VAR:SYMBOL=05614P10&amp;VAR:INDEX=0"}</definedName>
    <definedName name="_2262__FDSAUDITLINK__" hidden="1">{"fdsup://directions/FAT Viewer?action=UPDATE&amp;creator=factset&amp;DYN_ARGS=TRUE&amp;DOC_NAME=FAT:FQL_AUDITING_CLIENT_TEMPLATE.FAT&amp;display_string=Audit&amp;VAR:KEY=HWNWXGBYLS&amp;VAR:QUERY=RkZfRUJJVERBX0lCKCdMVE1TJywzOTc5NSk=&amp;WINDOW=FIRST_POPUP&amp;HEIGHT=450&amp;WIDTH=450&amp;START_MA","XIMIZED=FALSE&amp;VAR:CALENDAR=US&amp;VAR:SYMBOL=05614P10&amp;VAR:INDEX=0"}</definedName>
    <definedName name="_2263__FDSAUDITLINK__" localSheetId="6" hidden="1">{"fdsup://directions/FAT Viewer?action=UPDATE&amp;creator=factset&amp;DYN_ARGS=TRUE&amp;DOC_NAME=FAT:FQL_AUDITING_CLIENT_TEMPLATE.FAT&amp;display_string=Audit&amp;VAR:KEY=JIVUJSHYXY&amp;VAR:QUERY=RkZfRUJJVERBX0lCKCdMVE1TJywzOTc5NCk=&amp;WINDOW=FIRST_POPUP&amp;HEIGHT=450&amp;WIDTH=450&amp;START_MA","XIMIZED=FALSE&amp;VAR:CALENDAR=US&amp;VAR:SYMBOL=05614P10&amp;VAR:INDEX=0"}</definedName>
    <definedName name="_2263__FDSAUDITLINK__" hidden="1">{"fdsup://directions/FAT Viewer?action=UPDATE&amp;creator=factset&amp;DYN_ARGS=TRUE&amp;DOC_NAME=FAT:FQL_AUDITING_CLIENT_TEMPLATE.FAT&amp;display_string=Audit&amp;VAR:KEY=JIVUJSHYXY&amp;VAR:QUERY=RkZfRUJJVERBX0lCKCdMVE1TJywzOTc5NCk=&amp;WINDOW=FIRST_POPUP&amp;HEIGHT=450&amp;WIDTH=450&amp;START_MA","XIMIZED=FALSE&amp;VAR:CALENDAR=US&amp;VAR:SYMBOL=05614P10&amp;VAR:INDEX=0"}</definedName>
    <definedName name="_2264__FDSAUDITLINK__" localSheetId="6" hidden="1">{"fdsup://directions/FAT Viewer?action=UPDATE&amp;creator=factset&amp;DYN_ARGS=TRUE&amp;DOC_NAME=FAT:FQL_AUDITING_CLIENT_TEMPLATE.FAT&amp;display_string=Audit&amp;VAR:KEY=BYHANAHSBK&amp;VAR:QUERY=RkZfRUJJVERBX0lCKCdMVE1TJywzOTc5Myk=&amp;WINDOW=FIRST_POPUP&amp;HEIGHT=450&amp;WIDTH=450&amp;START_MA","XIMIZED=FALSE&amp;VAR:CALENDAR=US&amp;VAR:SYMBOL=05614P10&amp;VAR:INDEX=0"}</definedName>
    <definedName name="_2264__FDSAUDITLINK__" hidden="1">{"fdsup://directions/FAT Viewer?action=UPDATE&amp;creator=factset&amp;DYN_ARGS=TRUE&amp;DOC_NAME=FAT:FQL_AUDITING_CLIENT_TEMPLATE.FAT&amp;display_string=Audit&amp;VAR:KEY=BYHANAHSBK&amp;VAR:QUERY=RkZfRUJJVERBX0lCKCdMVE1TJywzOTc5Myk=&amp;WINDOW=FIRST_POPUP&amp;HEIGHT=450&amp;WIDTH=450&amp;START_MA","XIMIZED=FALSE&amp;VAR:CALENDAR=US&amp;VAR:SYMBOL=05614P10&amp;VAR:INDEX=0"}</definedName>
    <definedName name="_2265__FDSAUDITLINK__" localSheetId="6" hidden="1">{"fdsup://directions/FAT Viewer?action=UPDATE&amp;creator=factset&amp;DYN_ARGS=TRUE&amp;DOC_NAME=FAT:FQL_AUDITING_CLIENT_TEMPLATE.FAT&amp;display_string=Audit&amp;VAR:KEY=FUJQZELSXE&amp;VAR:QUERY=RkZfRUJJVERBX0lCKCdMVE1TJywzOTc5Mik=&amp;WINDOW=FIRST_POPUP&amp;HEIGHT=450&amp;WIDTH=450&amp;START_MA","XIMIZED=FALSE&amp;VAR:CALENDAR=US&amp;VAR:SYMBOL=05614P10&amp;VAR:INDEX=0"}</definedName>
    <definedName name="_2265__FDSAUDITLINK__" hidden="1">{"fdsup://directions/FAT Viewer?action=UPDATE&amp;creator=factset&amp;DYN_ARGS=TRUE&amp;DOC_NAME=FAT:FQL_AUDITING_CLIENT_TEMPLATE.FAT&amp;display_string=Audit&amp;VAR:KEY=FUJQZELSXE&amp;VAR:QUERY=RkZfRUJJVERBX0lCKCdMVE1TJywzOTc5Mik=&amp;WINDOW=FIRST_POPUP&amp;HEIGHT=450&amp;WIDTH=450&amp;START_MA","XIMIZED=FALSE&amp;VAR:CALENDAR=US&amp;VAR:SYMBOL=05614P10&amp;VAR:INDEX=0"}</definedName>
    <definedName name="_2266__FDSAUDITLINK__" localSheetId="6" hidden="1">{"fdsup://directions/FAT Viewer?action=UPDATE&amp;creator=factset&amp;DYN_ARGS=TRUE&amp;DOC_NAME=FAT:FQL_AUDITING_CLIENT_TEMPLATE.FAT&amp;display_string=Audit&amp;VAR:KEY=DSTKHIXIBY&amp;VAR:QUERY=RkZfRUJJVERBX0lCKCdMVE1TJywzOTc5MSk=&amp;WINDOW=FIRST_POPUP&amp;HEIGHT=450&amp;WIDTH=450&amp;START_MA","XIMIZED=FALSE&amp;VAR:CALENDAR=US&amp;VAR:SYMBOL=05614P10&amp;VAR:INDEX=0"}</definedName>
    <definedName name="_2266__FDSAUDITLINK__" hidden="1">{"fdsup://directions/FAT Viewer?action=UPDATE&amp;creator=factset&amp;DYN_ARGS=TRUE&amp;DOC_NAME=FAT:FQL_AUDITING_CLIENT_TEMPLATE.FAT&amp;display_string=Audit&amp;VAR:KEY=DSTKHIXIBY&amp;VAR:QUERY=RkZfRUJJVERBX0lCKCdMVE1TJywzOTc5MSk=&amp;WINDOW=FIRST_POPUP&amp;HEIGHT=450&amp;WIDTH=450&amp;START_MA","XIMIZED=FALSE&amp;VAR:CALENDAR=US&amp;VAR:SYMBOL=05614P10&amp;VAR:INDEX=0"}</definedName>
    <definedName name="_2267__FDSAUDITLINK__" localSheetId="6" hidden="1">{"fdsup://directions/FAT Viewer?action=UPDATE&amp;creator=factset&amp;DYN_ARGS=TRUE&amp;DOC_NAME=FAT:FQL_AUDITING_CLIENT_TEMPLATE.FAT&amp;display_string=Audit&amp;VAR:KEY=LWHWDSJYVK&amp;VAR:QUERY=RkZfRUJJVERBX0lCKCdMVE1TJywzOTc5MCk=&amp;WINDOW=FIRST_POPUP&amp;HEIGHT=450&amp;WIDTH=450&amp;START_MA","XIMIZED=FALSE&amp;VAR:CALENDAR=US&amp;VAR:SYMBOL=05614P10&amp;VAR:INDEX=0"}</definedName>
    <definedName name="_2267__FDSAUDITLINK__" hidden="1">{"fdsup://directions/FAT Viewer?action=UPDATE&amp;creator=factset&amp;DYN_ARGS=TRUE&amp;DOC_NAME=FAT:FQL_AUDITING_CLIENT_TEMPLATE.FAT&amp;display_string=Audit&amp;VAR:KEY=LWHWDSJYVK&amp;VAR:QUERY=RkZfRUJJVERBX0lCKCdMVE1TJywzOTc5MCk=&amp;WINDOW=FIRST_POPUP&amp;HEIGHT=450&amp;WIDTH=450&amp;START_MA","XIMIZED=FALSE&amp;VAR:CALENDAR=US&amp;VAR:SYMBOL=05614P10&amp;VAR:INDEX=0"}</definedName>
    <definedName name="_2268__FDSAUDITLINK__" localSheetId="6" hidden="1">{"fdsup://directions/FAT Viewer?action=UPDATE&amp;creator=factset&amp;DYN_ARGS=TRUE&amp;DOC_NAME=FAT:FQL_AUDITING_CLIENT_TEMPLATE.FAT&amp;display_string=Audit&amp;VAR:KEY=BYVUBIHYDC&amp;VAR:QUERY=RkZfRUJJVERBX0lCKCdMVE1TJywzOTc4OSk=&amp;WINDOW=FIRST_POPUP&amp;HEIGHT=450&amp;WIDTH=450&amp;START_MA","XIMIZED=FALSE&amp;VAR:CALENDAR=US&amp;VAR:SYMBOL=05614P10&amp;VAR:INDEX=0"}</definedName>
    <definedName name="_2268__FDSAUDITLINK__" hidden="1">{"fdsup://directions/FAT Viewer?action=UPDATE&amp;creator=factset&amp;DYN_ARGS=TRUE&amp;DOC_NAME=FAT:FQL_AUDITING_CLIENT_TEMPLATE.FAT&amp;display_string=Audit&amp;VAR:KEY=BYVUBIHYDC&amp;VAR:QUERY=RkZfRUJJVERBX0lCKCdMVE1TJywzOTc4OSk=&amp;WINDOW=FIRST_POPUP&amp;HEIGHT=450&amp;WIDTH=450&amp;START_MA","XIMIZED=FALSE&amp;VAR:CALENDAR=US&amp;VAR:SYMBOL=05614P10&amp;VAR:INDEX=0"}</definedName>
    <definedName name="_2269__FDSAUDITLINK__" localSheetId="6" hidden="1">{"fdsup://directions/FAT Viewer?action=UPDATE&amp;creator=factset&amp;DYN_ARGS=TRUE&amp;DOC_NAME=FAT:FQL_AUDITING_CLIENT_TEMPLATE.FAT&amp;display_string=Audit&amp;VAR:KEY=PUFGBCRMRY&amp;VAR:QUERY=RkZfRUJJVERBX0lCKCdMVE1TJywzOTc4OCk=&amp;WINDOW=FIRST_POPUP&amp;HEIGHT=450&amp;WIDTH=450&amp;START_MA","XIMIZED=FALSE&amp;VAR:CALENDAR=US&amp;VAR:SYMBOL=05614P10&amp;VAR:INDEX=0"}</definedName>
    <definedName name="_2269__FDSAUDITLINK__" hidden="1">{"fdsup://directions/FAT Viewer?action=UPDATE&amp;creator=factset&amp;DYN_ARGS=TRUE&amp;DOC_NAME=FAT:FQL_AUDITING_CLIENT_TEMPLATE.FAT&amp;display_string=Audit&amp;VAR:KEY=PUFGBCRMRY&amp;VAR:QUERY=RkZfRUJJVERBX0lCKCdMVE1TJywzOTc4OCk=&amp;WINDOW=FIRST_POPUP&amp;HEIGHT=450&amp;WIDTH=450&amp;START_MA","XIMIZED=FALSE&amp;VAR:CALENDAR=US&amp;VAR:SYMBOL=05614P10&amp;VAR:INDEX=0"}</definedName>
    <definedName name="_227__FDSAUDITLINK__" localSheetId="6" hidden="1">{"fdsup://directions/FAT%20Viewer?VAR:PED=LTM&amp;VAR:AUDIT_MODE=SUMMARY&amp;VAR:PERIOD=FIXED&amp;VAR:AUDIT_ID=00000117&amp;VAR:DATE=20090709&amp;action=UPDATE&amp;creator=factset&amp;DOC_NAME=FAT:FMA_audit_SUMMARY.fat&amp;DISPLAY_STRING=Display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7__FDSAUDITLINK__" hidden="1">{"fdsup://directions/FAT%20Viewer?VAR:PED=LTM&amp;VAR:AUDIT_MODE=SUMMARY&amp;VAR:PERIOD=FIXED&amp;VAR:AUDIT_ID=00000117&amp;VAR:DATE=20090709&amp;action=UPDATE&amp;creator=factset&amp;DOC_NAME=FAT:FMA_audit_SUMMARY.fat&amp;DISPLAY_STRING=Display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70__FDSAUDITLINK__" localSheetId="6" hidden="1">{"fdsup://directions/FAT Viewer?action=UPDATE&amp;creator=factset&amp;DYN_ARGS=TRUE&amp;DOC_NAME=FAT:FQL_AUDITING_CLIENT_TEMPLATE.FAT&amp;display_string=Audit&amp;VAR:KEY=FKVQJQFGJG&amp;VAR:QUERY=RkZfRUJJVERBX0lCKCdMVE1TJywzOTc4Nyk=&amp;WINDOW=FIRST_POPUP&amp;HEIGHT=450&amp;WIDTH=450&amp;START_MA","XIMIZED=FALSE&amp;VAR:CALENDAR=US&amp;VAR:SYMBOL=05614P10&amp;VAR:INDEX=0"}</definedName>
    <definedName name="_2270__FDSAUDITLINK__" hidden="1">{"fdsup://directions/FAT Viewer?action=UPDATE&amp;creator=factset&amp;DYN_ARGS=TRUE&amp;DOC_NAME=FAT:FQL_AUDITING_CLIENT_TEMPLATE.FAT&amp;display_string=Audit&amp;VAR:KEY=FKVQJQFGJG&amp;VAR:QUERY=RkZfRUJJVERBX0lCKCdMVE1TJywzOTc4Nyk=&amp;WINDOW=FIRST_POPUP&amp;HEIGHT=450&amp;WIDTH=450&amp;START_MA","XIMIZED=FALSE&amp;VAR:CALENDAR=US&amp;VAR:SYMBOL=05614P10&amp;VAR:INDEX=0"}</definedName>
    <definedName name="_2271__FDSAUDITLINK__" localSheetId="6" hidden="1">{"fdsup://directions/FAT Viewer?action=UPDATE&amp;creator=factset&amp;DYN_ARGS=TRUE&amp;DOC_NAME=FAT:FQL_AUDITING_CLIENT_TEMPLATE.FAT&amp;display_string=Audit&amp;VAR:KEY=NILYBAPSVW&amp;VAR:QUERY=RkZfRUJJVERBX0lCKCdMVE1TJywzOTc4Nik=&amp;WINDOW=FIRST_POPUP&amp;HEIGHT=450&amp;WIDTH=450&amp;START_MA","XIMIZED=FALSE&amp;VAR:CALENDAR=US&amp;VAR:SYMBOL=05614P10&amp;VAR:INDEX=0"}</definedName>
    <definedName name="_2271__FDSAUDITLINK__" hidden="1">{"fdsup://directions/FAT Viewer?action=UPDATE&amp;creator=factset&amp;DYN_ARGS=TRUE&amp;DOC_NAME=FAT:FQL_AUDITING_CLIENT_TEMPLATE.FAT&amp;display_string=Audit&amp;VAR:KEY=NILYBAPSVW&amp;VAR:QUERY=RkZfRUJJVERBX0lCKCdMVE1TJywzOTc4Nik=&amp;WINDOW=FIRST_POPUP&amp;HEIGHT=450&amp;WIDTH=450&amp;START_MA","XIMIZED=FALSE&amp;VAR:CALENDAR=US&amp;VAR:SYMBOL=05614P10&amp;VAR:INDEX=0"}</definedName>
    <definedName name="_2272__FDSAUDITLINK__" localSheetId="6" hidden="1">{"fdsup://directions/FAT Viewer?action=UPDATE&amp;creator=factset&amp;DYN_ARGS=TRUE&amp;DOC_NAME=FAT:FQL_AUDITING_CLIENT_TEMPLATE.FAT&amp;display_string=Audit&amp;VAR:KEY=ZSVMVKLCHY&amp;VAR:QUERY=RkZfRUJJVERBX0lCKCdMVE1TJywzOTc4NSk=&amp;WINDOW=FIRST_POPUP&amp;HEIGHT=450&amp;WIDTH=450&amp;START_MA","XIMIZED=FALSE&amp;VAR:CALENDAR=US&amp;VAR:SYMBOL=05614P10&amp;VAR:INDEX=0"}</definedName>
    <definedName name="_2272__FDSAUDITLINK__" hidden="1">{"fdsup://directions/FAT Viewer?action=UPDATE&amp;creator=factset&amp;DYN_ARGS=TRUE&amp;DOC_NAME=FAT:FQL_AUDITING_CLIENT_TEMPLATE.FAT&amp;display_string=Audit&amp;VAR:KEY=ZSVMVKLCHY&amp;VAR:QUERY=RkZfRUJJVERBX0lCKCdMVE1TJywzOTc4NSk=&amp;WINDOW=FIRST_POPUP&amp;HEIGHT=450&amp;WIDTH=450&amp;START_MA","XIMIZED=FALSE&amp;VAR:CALENDAR=US&amp;VAR:SYMBOL=05614P10&amp;VAR:INDEX=0"}</definedName>
    <definedName name="_2273__FDSAUDITLINK__" localSheetId="6" hidden="1">{"fdsup://directions/FAT Viewer?action=UPDATE&amp;creator=factset&amp;DYN_ARGS=TRUE&amp;DOC_NAME=FAT:FQL_AUDITING_CLIENT_TEMPLATE.FAT&amp;display_string=Audit&amp;VAR:KEY=XGHMPIXKTO&amp;VAR:QUERY=RkZfRUJJVERBX0lCKCdMVE1TJywzOTc4NCk=&amp;WINDOW=FIRST_POPUP&amp;HEIGHT=450&amp;WIDTH=450&amp;START_MA","XIMIZED=FALSE&amp;VAR:CALENDAR=US&amp;VAR:SYMBOL=05614P10&amp;VAR:INDEX=0"}</definedName>
    <definedName name="_2273__FDSAUDITLINK__" hidden="1">{"fdsup://directions/FAT Viewer?action=UPDATE&amp;creator=factset&amp;DYN_ARGS=TRUE&amp;DOC_NAME=FAT:FQL_AUDITING_CLIENT_TEMPLATE.FAT&amp;display_string=Audit&amp;VAR:KEY=XGHMPIXKTO&amp;VAR:QUERY=RkZfRUJJVERBX0lCKCdMVE1TJywzOTc4NCk=&amp;WINDOW=FIRST_POPUP&amp;HEIGHT=450&amp;WIDTH=450&amp;START_MA","XIMIZED=FALSE&amp;VAR:CALENDAR=US&amp;VAR:SYMBOL=05614P10&amp;VAR:INDEX=0"}</definedName>
    <definedName name="_2274__FDSAUDITLINK__" localSheetId="6" hidden="1">{"fdsup://directions/FAT Viewer?action=UPDATE&amp;creator=factset&amp;DYN_ARGS=TRUE&amp;DOC_NAME=FAT:FQL_AUDITING_CLIENT_TEMPLATE.FAT&amp;display_string=Audit&amp;VAR:KEY=PMBWHANQTO&amp;VAR:QUERY=RkZfRUJJVERBX0lCKCdMVE1TJywzOTc4Myk=&amp;WINDOW=FIRST_POPUP&amp;HEIGHT=450&amp;WIDTH=450&amp;START_MA","XIMIZED=FALSE&amp;VAR:CALENDAR=US&amp;VAR:SYMBOL=05614P10&amp;VAR:INDEX=0"}</definedName>
    <definedName name="_2274__FDSAUDITLINK__" hidden="1">{"fdsup://directions/FAT Viewer?action=UPDATE&amp;creator=factset&amp;DYN_ARGS=TRUE&amp;DOC_NAME=FAT:FQL_AUDITING_CLIENT_TEMPLATE.FAT&amp;display_string=Audit&amp;VAR:KEY=PMBWHANQTO&amp;VAR:QUERY=RkZfRUJJVERBX0lCKCdMVE1TJywzOTc4Myk=&amp;WINDOW=FIRST_POPUP&amp;HEIGHT=450&amp;WIDTH=450&amp;START_MA","XIMIZED=FALSE&amp;VAR:CALENDAR=US&amp;VAR:SYMBOL=05614P10&amp;VAR:INDEX=0"}</definedName>
    <definedName name="_2275__FDSAUDITLINK__" localSheetId="6" hidden="1">{"fdsup://directions/FAT Viewer?action=UPDATE&amp;creator=factset&amp;DYN_ARGS=TRUE&amp;DOC_NAME=FAT:FQL_AUDITING_CLIENT_TEMPLATE.FAT&amp;display_string=Audit&amp;VAR:KEY=BILGRADWRS&amp;VAR:QUERY=RkZfRUJJVERBX0lCKCdMVE1TJywzOTc4Mik=&amp;WINDOW=FIRST_POPUP&amp;HEIGHT=450&amp;WIDTH=450&amp;START_MA","XIMIZED=FALSE&amp;VAR:CALENDAR=US&amp;VAR:SYMBOL=05614P10&amp;VAR:INDEX=0"}</definedName>
    <definedName name="_2275__FDSAUDITLINK__" hidden="1">{"fdsup://directions/FAT Viewer?action=UPDATE&amp;creator=factset&amp;DYN_ARGS=TRUE&amp;DOC_NAME=FAT:FQL_AUDITING_CLIENT_TEMPLATE.FAT&amp;display_string=Audit&amp;VAR:KEY=BILGRADWRS&amp;VAR:QUERY=RkZfRUJJVERBX0lCKCdMVE1TJywzOTc4Mik=&amp;WINDOW=FIRST_POPUP&amp;HEIGHT=450&amp;WIDTH=450&amp;START_MA","XIMIZED=FALSE&amp;VAR:CALENDAR=US&amp;VAR:SYMBOL=05614P10&amp;VAR:INDEX=0"}</definedName>
    <definedName name="_2276__FDSAUDITLINK__" localSheetId="6" hidden="1">{"fdsup://directions/FAT Viewer?action=UPDATE&amp;creator=factset&amp;DYN_ARGS=TRUE&amp;DOC_NAME=FAT:FQL_AUDITING_CLIENT_TEMPLATE.FAT&amp;display_string=Audit&amp;VAR:KEY=JKXSZEJCLA&amp;VAR:QUERY=RkZfRUJJVERBX0lCKCdMVE1TJywzOTc4MSk=&amp;WINDOW=FIRST_POPUP&amp;HEIGHT=450&amp;WIDTH=450&amp;START_MA","XIMIZED=FALSE&amp;VAR:CALENDAR=US&amp;VAR:SYMBOL=05614P10&amp;VAR:INDEX=0"}</definedName>
    <definedName name="_2276__FDSAUDITLINK__" hidden="1">{"fdsup://directions/FAT Viewer?action=UPDATE&amp;creator=factset&amp;DYN_ARGS=TRUE&amp;DOC_NAME=FAT:FQL_AUDITING_CLIENT_TEMPLATE.FAT&amp;display_string=Audit&amp;VAR:KEY=JKXSZEJCLA&amp;VAR:QUERY=RkZfRUJJVERBX0lCKCdMVE1TJywzOTc4MSk=&amp;WINDOW=FIRST_POPUP&amp;HEIGHT=450&amp;WIDTH=450&amp;START_MA","XIMIZED=FALSE&amp;VAR:CALENDAR=US&amp;VAR:SYMBOL=05614P10&amp;VAR:INDEX=0"}</definedName>
    <definedName name="_2277__FDSAUDITLINK__" localSheetId="6" hidden="1">{"fdsup://directions/FAT Viewer?action=UPDATE&amp;creator=factset&amp;DYN_ARGS=TRUE&amp;DOC_NAME=FAT:FQL_AUDITING_CLIENT_TEMPLATE.FAT&amp;display_string=Audit&amp;VAR:KEY=JEZULALSDS&amp;VAR:QUERY=RkZfRUJJVERBX0lCKCdMVE1TJywzOTc4MCk=&amp;WINDOW=FIRST_POPUP&amp;HEIGHT=450&amp;WIDTH=450&amp;START_MA","XIMIZED=FALSE&amp;VAR:CALENDAR=US&amp;VAR:SYMBOL=05614P10&amp;VAR:INDEX=0"}</definedName>
    <definedName name="_2277__FDSAUDITLINK__" hidden="1">{"fdsup://directions/FAT Viewer?action=UPDATE&amp;creator=factset&amp;DYN_ARGS=TRUE&amp;DOC_NAME=FAT:FQL_AUDITING_CLIENT_TEMPLATE.FAT&amp;display_string=Audit&amp;VAR:KEY=JEZULALSDS&amp;VAR:QUERY=RkZfRUJJVERBX0lCKCdMVE1TJywzOTc4MCk=&amp;WINDOW=FIRST_POPUP&amp;HEIGHT=450&amp;WIDTH=450&amp;START_MA","XIMIZED=FALSE&amp;VAR:CALENDAR=US&amp;VAR:SYMBOL=05614P10&amp;VAR:INDEX=0"}</definedName>
    <definedName name="_2278__FDSAUDITLINK__" localSheetId="6" hidden="1">{"fdsup://directions/FAT Viewer?action=UPDATE&amp;creator=factset&amp;DYN_ARGS=TRUE&amp;DOC_NAME=FAT:FQL_AUDITING_CLIENT_TEMPLATE.FAT&amp;display_string=Audit&amp;VAR:KEY=BIJSBIBAJW&amp;VAR:QUERY=RkZfRUJJVERBX0lCKCdMVE1TJywzOTc3OSk=&amp;WINDOW=FIRST_POPUP&amp;HEIGHT=450&amp;WIDTH=450&amp;START_MA","XIMIZED=FALSE&amp;VAR:CALENDAR=US&amp;VAR:SYMBOL=05614P10&amp;VAR:INDEX=0"}</definedName>
    <definedName name="_2278__FDSAUDITLINK__" hidden="1">{"fdsup://directions/FAT Viewer?action=UPDATE&amp;creator=factset&amp;DYN_ARGS=TRUE&amp;DOC_NAME=FAT:FQL_AUDITING_CLIENT_TEMPLATE.FAT&amp;display_string=Audit&amp;VAR:KEY=BIJSBIBAJW&amp;VAR:QUERY=RkZfRUJJVERBX0lCKCdMVE1TJywzOTc3OSk=&amp;WINDOW=FIRST_POPUP&amp;HEIGHT=450&amp;WIDTH=450&amp;START_MA","XIMIZED=FALSE&amp;VAR:CALENDAR=US&amp;VAR:SYMBOL=05614P10&amp;VAR:INDEX=0"}</definedName>
    <definedName name="_2279__FDSAUDITLINK__" localSheetId="6" hidden="1">{"fdsup://directions/FAT Viewer?action=UPDATE&amp;creator=factset&amp;DYN_ARGS=TRUE&amp;DOC_NAME=FAT:FQL_AUDITING_CLIENT_TEMPLATE.FAT&amp;display_string=Audit&amp;VAR:KEY=RSJORYVYRM&amp;VAR:QUERY=RkZfRUJJVERBX0lCKCdMVE1TJywzOTc3OCk=&amp;WINDOW=FIRST_POPUP&amp;HEIGHT=450&amp;WIDTH=450&amp;START_MA","XIMIZED=FALSE&amp;VAR:CALENDAR=US&amp;VAR:SYMBOL=05614P10&amp;VAR:INDEX=0"}</definedName>
    <definedName name="_2279__FDSAUDITLINK__" hidden="1">{"fdsup://directions/FAT Viewer?action=UPDATE&amp;creator=factset&amp;DYN_ARGS=TRUE&amp;DOC_NAME=FAT:FQL_AUDITING_CLIENT_TEMPLATE.FAT&amp;display_string=Audit&amp;VAR:KEY=RSJORYVYRM&amp;VAR:QUERY=RkZfRUJJVERBX0lCKCdMVE1TJywzOTc3OCk=&amp;WINDOW=FIRST_POPUP&amp;HEIGHT=450&amp;WIDTH=450&amp;START_MA","XIMIZED=FALSE&amp;VAR:CALENDAR=US&amp;VAR:SYMBOL=05614P10&amp;VAR:INDEX=0"}</definedName>
    <definedName name="_228__FDSAUDITLINK__" localSheetId="6" hidden="1">{"fdsup://directions/FAT%20Viewer?VAR:PED=LTM&amp;VAR:AUDIT_MODE=SUMMARY&amp;VAR:PERIOD=FIXED&amp;VAR:AUDIT_ID=00000117&amp;VAR:DATE=20090708&amp;action=UPDATE&amp;creator=factset&amp;DOC_NAME=FAT:FMA_audit_SUMMARY.fat&amp;DISPLAY_STRING=Display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8__FDSAUDITLINK__" hidden="1">{"fdsup://directions/FAT%20Viewer?VAR:PED=LTM&amp;VAR:AUDIT_MODE=SUMMARY&amp;VAR:PERIOD=FIXED&amp;VAR:AUDIT_ID=00000117&amp;VAR:DATE=20090708&amp;action=UPDATE&amp;creator=factset&amp;DOC_NAME=FAT:FMA_audit_SUMMARY.fat&amp;DISPLAY_STRING=Display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80__FDSAUDITLINK__" localSheetId="6" hidden="1">{"fdsup://directions/FAT Viewer?action=UPDATE&amp;creator=factset&amp;DYN_ARGS=TRUE&amp;DOC_NAME=FAT:FQL_AUDITING_CLIENT_TEMPLATE.FAT&amp;display_string=Audit&amp;VAR:KEY=HALIHEZQFY&amp;VAR:QUERY=RkZfRUJJVERBX0lCKCdMVE1TJywzOTc3Nyk=&amp;WINDOW=FIRST_POPUP&amp;HEIGHT=450&amp;WIDTH=450&amp;START_MA","XIMIZED=FALSE&amp;VAR:CALENDAR=US&amp;VAR:SYMBOL=05614P10&amp;VAR:INDEX=0"}</definedName>
    <definedName name="_2280__FDSAUDITLINK__" hidden="1">{"fdsup://directions/FAT Viewer?action=UPDATE&amp;creator=factset&amp;DYN_ARGS=TRUE&amp;DOC_NAME=FAT:FQL_AUDITING_CLIENT_TEMPLATE.FAT&amp;display_string=Audit&amp;VAR:KEY=HALIHEZQFY&amp;VAR:QUERY=RkZfRUJJVERBX0lCKCdMVE1TJywzOTc3Nyk=&amp;WINDOW=FIRST_POPUP&amp;HEIGHT=450&amp;WIDTH=450&amp;START_MA","XIMIZED=FALSE&amp;VAR:CALENDAR=US&amp;VAR:SYMBOL=05614P10&amp;VAR:INDEX=0"}</definedName>
    <definedName name="_2281__FDSAUDITLINK__" localSheetId="6" hidden="1">{"fdsup://directions/FAT Viewer?action=UPDATE&amp;creator=factset&amp;DYN_ARGS=TRUE&amp;DOC_NAME=FAT:FQL_AUDITING_CLIENT_TEMPLATE.FAT&amp;display_string=Audit&amp;VAR:KEY=TWDGFWPEFO&amp;VAR:QUERY=RkZfRUJJVERBX0lCKCdMVE1TJywzOTc3Nik=&amp;WINDOW=FIRST_POPUP&amp;HEIGHT=450&amp;WIDTH=450&amp;START_MA","XIMIZED=FALSE&amp;VAR:CALENDAR=US&amp;VAR:SYMBOL=05614P10&amp;VAR:INDEX=0"}</definedName>
    <definedName name="_2281__FDSAUDITLINK__" hidden="1">{"fdsup://directions/FAT Viewer?action=UPDATE&amp;creator=factset&amp;DYN_ARGS=TRUE&amp;DOC_NAME=FAT:FQL_AUDITING_CLIENT_TEMPLATE.FAT&amp;display_string=Audit&amp;VAR:KEY=TWDGFWPEFO&amp;VAR:QUERY=RkZfRUJJVERBX0lCKCdMVE1TJywzOTc3Nik=&amp;WINDOW=FIRST_POPUP&amp;HEIGHT=450&amp;WIDTH=450&amp;START_MA","XIMIZED=FALSE&amp;VAR:CALENDAR=US&amp;VAR:SYMBOL=05614P10&amp;VAR:INDEX=0"}</definedName>
    <definedName name="_2282__FDSAUDITLINK__" localSheetId="6" hidden="1">{"fdsup://directions/FAT Viewer?action=UPDATE&amp;creator=factset&amp;DYN_ARGS=TRUE&amp;DOC_NAME=FAT:FQL_AUDITING_CLIENT_TEMPLATE.FAT&amp;display_string=Audit&amp;VAR:KEY=VEJUVYFADW&amp;VAR:QUERY=RkZfRUJJVERBX0lCKCdMVE1TJywzOTc3NSk=&amp;WINDOW=FIRST_POPUP&amp;HEIGHT=450&amp;WIDTH=450&amp;START_MA","XIMIZED=FALSE&amp;VAR:CALENDAR=US&amp;VAR:SYMBOL=05614P10&amp;VAR:INDEX=0"}</definedName>
    <definedName name="_2282__FDSAUDITLINK__" hidden="1">{"fdsup://directions/FAT Viewer?action=UPDATE&amp;creator=factset&amp;DYN_ARGS=TRUE&amp;DOC_NAME=FAT:FQL_AUDITING_CLIENT_TEMPLATE.FAT&amp;display_string=Audit&amp;VAR:KEY=VEJUVYFADW&amp;VAR:QUERY=RkZfRUJJVERBX0lCKCdMVE1TJywzOTc3NSk=&amp;WINDOW=FIRST_POPUP&amp;HEIGHT=450&amp;WIDTH=450&amp;START_MA","XIMIZED=FALSE&amp;VAR:CALENDAR=US&amp;VAR:SYMBOL=05614P10&amp;VAR:INDEX=0"}</definedName>
    <definedName name="_2283__FDSAUDITLINK__" localSheetId="6" hidden="1">{"fdsup://directions/FAT Viewer?action=UPDATE&amp;creator=factset&amp;DYN_ARGS=TRUE&amp;DOC_NAME=FAT:FQL_AUDITING_CLIENT_TEMPLATE.FAT&amp;display_string=Audit&amp;VAR:KEY=VCFOLQZQRE&amp;VAR:QUERY=RkZfRUJJVERBX0lCKCdMVE1TJywzOTc3NCk=&amp;WINDOW=FIRST_POPUP&amp;HEIGHT=450&amp;WIDTH=450&amp;START_MA","XIMIZED=FALSE&amp;VAR:CALENDAR=US&amp;VAR:SYMBOL=05614P10&amp;VAR:INDEX=0"}</definedName>
    <definedName name="_2283__FDSAUDITLINK__" hidden="1">{"fdsup://directions/FAT Viewer?action=UPDATE&amp;creator=factset&amp;DYN_ARGS=TRUE&amp;DOC_NAME=FAT:FQL_AUDITING_CLIENT_TEMPLATE.FAT&amp;display_string=Audit&amp;VAR:KEY=VCFOLQZQRE&amp;VAR:QUERY=RkZfRUJJVERBX0lCKCdMVE1TJywzOTc3NCk=&amp;WINDOW=FIRST_POPUP&amp;HEIGHT=450&amp;WIDTH=450&amp;START_MA","XIMIZED=FALSE&amp;VAR:CALENDAR=US&amp;VAR:SYMBOL=05614P10&amp;VAR:INDEX=0"}</definedName>
    <definedName name="_2284__FDSAUDITLINK__" localSheetId="6" hidden="1">{"fdsup://directions/FAT Viewer?action=UPDATE&amp;creator=factset&amp;DYN_ARGS=TRUE&amp;DOC_NAME=FAT:FQL_AUDITING_CLIENT_TEMPLATE.FAT&amp;display_string=Audit&amp;VAR:KEY=ZYBQNOPOHU&amp;VAR:QUERY=RkZfRUJJVERBX0lCKCdMVE1TJywzOTc3Myk=&amp;WINDOW=FIRST_POPUP&amp;HEIGHT=450&amp;WIDTH=450&amp;START_MA","XIMIZED=FALSE&amp;VAR:CALENDAR=US&amp;VAR:SYMBOL=05614P10&amp;VAR:INDEX=0"}</definedName>
    <definedName name="_2284__FDSAUDITLINK__" hidden="1">{"fdsup://directions/FAT Viewer?action=UPDATE&amp;creator=factset&amp;DYN_ARGS=TRUE&amp;DOC_NAME=FAT:FQL_AUDITING_CLIENT_TEMPLATE.FAT&amp;display_string=Audit&amp;VAR:KEY=ZYBQNOPOHU&amp;VAR:QUERY=RkZfRUJJVERBX0lCKCdMVE1TJywzOTc3Myk=&amp;WINDOW=FIRST_POPUP&amp;HEIGHT=450&amp;WIDTH=450&amp;START_MA","XIMIZED=FALSE&amp;VAR:CALENDAR=US&amp;VAR:SYMBOL=05614P10&amp;VAR:INDEX=0"}</definedName>
    <definedName name="_2285__FDSAUDITLINK__" localSheetId="6" hidden="1">{"fdsup://directions/FAT Viewer?action=UPDATE&amp;creator=factset&amp;DYN_ARGS=TRUE&amp;DOC_NAME=FAT:FQL_AUDITING_CLIENT_TEMPLATE.FAT&amp;display_string=Audit&amp;VAR:KEY=NYZWZWNYPE&amp;VAR:QUERY=RkZfRUJJVERBX0lCKCdMVE1TJywzOTc3Mik=&amp;WINDOW=FIRST_POPUP&amp;HEIGHT=450&amp;WIDTH=450&amp;START_MA","XIMIZED=FALSE&amp;VAR:CALENDAR=US&amp;VAR:SYMBOL=05614P10&amp;VAR:INDEX=0"}</definedName>
    <definedName name="_2285__FDSAUDITLINK__" hidden="1">{"fdsup://directions/FAT Viewer?action=UPDATE&amp;creator=factset&amp;DYN_ARGS=TRUE&amp;DOC_NAME=FAT:FQL_AUDITING_CLIENT_TEMPLATE.FAT&amp;display_string=Audit&amp;VAR:KEY=NYZWZWNYPE&amp;VAR:QUERY=RkZfRUJJVERBX0lCKCdMVE1TJywzOTc3Mik=&amp;WINDOW=FIRST_POPUP&amp;HEIGHT=450&amp;WIDTH=450&amp;START_MA","XIMIZED=FALSE&amp;VAR:CALENDAR=US&amp;VAR:SYMBOL=05614P10&amp;VAR:INDEX=0"}</definedName>
    <definedName name="_2286__FDSAUDITLINK__" localSheetId="6" hidden="1">{"fdsup://directions/FAT Viewer?action=UPDATE&amp;creator=factset&amp;DYN_ARGS=TRUE&amp;DOC_NAME=FAT:FQL_AUDITING_CLIENT_TEMPLATE.FAT&amp;display_string=Audit&amp;VAR:KEY=XEZAFMZITY&amp;VAR:QUERY=RkZfRUJJVERBX0lCKCdMVE1TJywzOTc3MSk=&amp;WINDOW=FIRST_POPUP&amp;HEIGHT=450&amp;WIDTH=450&amp;START_MA","XIMIZED=FALSE&amp;VAR:CALENDAR=US&amp;VAR:SYMBOL=05614P10&amp;VAR:INDEX=0"}</definedName>
    <definedName name="_2286__FDSAUDITLINK__" hidden="1">{"fdsup://directions/FAT Viewer?action=UPDATE&amp;creator=factset&amp;DYN_ARGS=TRUE&amp;DOC_NAME=FAT:FQL_AUDITING_CLIENT_TEMPLATE.FAT&amp;display_string=Audit&amp;VAR:KEY=XEZAFMZITY&amp;VAR:QUERY=RkZfRUJJVERBX0lCKCdMVE1TJywzOTc3MSk=&amp;WINDOW=FIRST_POPUP&amp;HEIGHT=450&amp;WIDTH=450&amp;START_MA","XIMIZED=FALSE&amp;VAR:CALENDAR=US&amp;VAR:SYMBOL=05614P10&amp;VAR:INDEX=0"}</definedName>
    <definedName name="_2287__FDSAUDITLINK__" localSheetId="6" hidden="1">{"fdsup://directions/FAT Viewer?action=UPDATE&amp;creator=factset&amp;DYN_ARGS=TRUE&amp;DOC_NAME=FAT:FQL_AUDITING_CLIENT_TEMPLATE.FAT&amp;display_string=Audit&amp;VAR:KEY=XCLIPQJKJS&amp;VAR:QUERY=RkZfRUJJVERBX0lCKCdMVE1TJywzOTc3MCk=&amp;WINDOW=FIRST_POPUP&amp;HEIGHT=450&amp;WIDTH=450&amp;START_MA","XIMIZED=FALSE&amp;VAR:CALENDAR=US&amp;VAR:SYMBOL=05614P10&amp;VAR:INDEX=0"}</definedName>
    <definedName name="_2287__FDSAUDITLINK__" hidden="1">{"fdsup://directions/FAT Viewer?action=UPDATE&amp;creator=factset&amp;DYN_ARGS=TRUE&amp;DOC_NAME=FAT:FQL_AUDITING_CLIENT_TEMPLATE.FAT&amp;display_string=Audit&amp;VAR:KEY=XCLIPQJKJS&amp;VAR:QUERY=RkZfRUJJVERBX0lCKCdMVE1TJywzOTc3MCk=&amp;WINDOW=FIRST_POPUP&amp;HEIGHT=450&amp;WIDTH=450&amp;START_MA","XIMIZED=FALSE&amp;VAR:CALENDAR=US&amp;VAR:SYMBOL=05614P10&amp;VAR:INDEX=0"}</definedName>
    <definedName name="_2288__FDSAUDITLINK__" localSheetId="6" hidden="1">{"fdsup://directions/FAT Viewer?action=UPDATE&amp;creator=factset&amp;DYN_ARGS=TRUE&amp;DOC_NAME=FAT:FQL_AUDITING_CLIENT_TEMPLATE.FAT&amp;display_string=Audit&amp;VAR:KEY=XMDSRCFQFG&amp;VAR:QUERY=RkZfRUJJVERBX0lCKCdMVE1TJywzOTc2OSk=&amp;WINDOW=FIRST_POPUP&amp;HEIGHT=450&amp;WIDTH=450&amp;START_MA","XIMIZED=FALSE&amp;VAR:CALENDAR=US&amp;VAR:SYMBOL=05614P10&amp;VAR:INDEX=0"}</definedName>
    <definedName name="_2288__FDSAUDITLINK__" hidden="1">{"fdsup://directions/FAT Viewer?action=UPDATE&amp;creator=factset&amp;DYN_ARGS=TRUE&amp;DOC_NAME=FAT:FQL_AUDITING_CLIENT_TEMPLATE.FAT&amp;display_string=Audit&amp;VAR:KEY=XMDSRCFQFG&amp;VAR:QUERY=RkZfRUJJVERBX0lCKCdMVE1TJywzOTc2OSk=&amp;WINDOW=FIRST_POPUP&amp;HEIGHT=450&amp;WIDTH=450&amp;START_MA","XIMIZED=FALSE&amp;VAR:CALENDAR=US&amp;VAR:SYMBOL=05614P10&amp;VAR:INDEX=0"}</definedName>
    <definedName name="_2289__FDSAUDITLINK__" localSheetId="6" hidden="1">{"fdsup://directions/FAT Viewer?action=UPDATE&amp;creator=factset&amp;DYN_ARGS=TRUE&amp;DOC_NAME=FAT:FQL_AUDITING_CLIENT_TEMPLATE.FAT&amp;display_string=Audit&amp;VAR:KEY=VEFCBCFOBI&amp;VAR:QUERY=RkZfRUJJVERBX0lCKCdMVE1TJywzOTc2OCk=&amp;WINDOW=FIRST_POPUP&amp;HEIGHT=450&amp;WIDTH=450&amp;START_MA","XIMIZED=FALSE&amp;VAR:CALENDAR=US&amp;VAR:SYMBOL=05614P10&amp;VAR:INDEX=0"}</definedName>
    <definedName name="_2289__FDSAUDITLINK__" hidden="1">{"fdsup://directions/FAT Viewer?action=UPDATE&amp;creator=factset&amp;DYN_ARGS=TRUE&amp;DOC_NAME=FAT:FQL_AUDITING_CLIENT_TEMPLATE.FAT&amp;display_string=Audit&amp;VAR:KEY=VEFCBCFOBI&amp;VAR:QUERY=RkZfRUJJVERBX0lCKCdMVE1TJywzOTc2OCk=&amp;WINDOW=FIRST_POPUP&amp;HEIGHT=450&amp;WIDTH=450&amp;START_MA","XIMIZED=FALSE&amp;VAR:CALENDAR=US&amp;VAR:SYMBOL=05614P10&amp;VAR:INDEX=0"}</definedName>
    <definedName name="_229__FDSAUDITLINK__" localSheetId="6" hidden="1">{"fdsup://directions/FAT%20Viewer?VAR:PED=LTM&amp;VAR:AUDIT_MODE=SUMMARY&amp;VAR:PERIOD=FIXED&amp;VAR:AUDIT_ID=00000117&amp;VAR:DATE=20090707&amp;action=UPDATE&amp;creator=factset&amp;DOC_NAME=FAT:FMA_audit_SUMMARY.fat&amp;DISPLAY_STRING=Display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9__FDSAUDITLINK__" hidden="1">{"fdsup://directions/FAT%20Viewer?VAR:PED=LTM&amp;VAR:AUDIT_MODE=SUMMARY&amp;VAR:PERIOD=FIXED&amp;VAR:AUDIT_ID=00000117&amp;VAR:DATE=20090707&amp;action=UPDATE&amp;creator=factset&amp;DOC_NAME=FAT:FMA_audit_SUMMARY.fat&amp;DISPLAY_STRING=Display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290__FDSAUDITLINK__" localSheetId="6" hidden="1">{"fdsup://directions/FAT Viewer?action=UPDATE&amp;creator=factset&amp;DYN_ARGS=TRUE&amp;DOC_NAME=FAT:FQL_AUDITING_CLIENT_TEMPLATE.FAT&amp;display_string=Audit&amp;VAR:KEY=REFWFWBMJA&amp;VAR:QUERY=RkZfRUJJVERBX0lCKCdMVE1TJywzOTc2Nyk=&amp;WINDOW=FIRST_POPUP&amp;HEIGHT=450&amp;WIDTH=450&amp;START_MA","XIMIZED=FALSE&amp;VAR:CALENDAR=US&amp;VAR:SYMBOL=05614P10&amp;VAR:INDEX=0"}</definedName>
    <definedName name="_2290__FDSAUDITLINK__" hidden="1">{"fdsup://directions/FAT Viewer?action=UPDATE&amp;creator=factset&amp;DYN_ARGS=TRUE&amp;DOC_NAME=FAT:FQL_AUDITING_CLIENT_TEMPLATE.FAT&amp;display_string=Audit&amp;VAR:KEY=REFWFWBMJA&amp;VAR:QUERY=RkZfRUJJVERBX0lCKCdMVE1TJywzOTc2Nyk=&amp;WINDOW=FIRST_POPUP&amp;HEIGHT=450&amp;WIDTH=450&amp;START_MA","XIMIZED=FALSE&amp;VAR:CALENDAR=US&amp;VAR:SYMBOL=05614P10&amp;VAR:INDEX=0"}</definedName>
    <definedName name="_2291__FDSAUDITLINK__" localSheetId="6" hidden="1">{"fdsup://directions/FAT Viewer?action=UPDATE&amp;creator=factset&amp;DYN_ARGS=TRUE&amp;DOC_NAME=FAT:FQL_AUDITING_CLIENT_TEMPLATE.FAT&amp;display_string=Audit&amp;VAR:KEY=HUZAHURGZU&amp;VAR:QUERY=RkZfRUJJVERBX0lCKCdMVE1TJywzOTc2Nik=&amp;WINDOW=FIRST_POPUP&amp;HEIGHT=450&amp;WIDTH=450&amp;START_MA","XIMIZED=FALSE&amp;VAR:CALENDAR=US&amp;VAR:SYMBOL=05614P10&amp;VAR:INDEX=0"}</definedName>
    <definedName name="_2291__FDSAUDITLINK__" hidden="1">{"fdsup://directions/FAT Viewer?action=UPDATE&amp;creator=factset&amp;DYN_ARGS=TRUE&amp;DOC_NAME=FAT:FQL_AUDITING_CLIENT_TEMPLATE.FAT&amp;display_string=Audit&amp;VAR:KEY=HUZAHURGZU&amp;VAR:QUERY=RkZfRUJJVERBX0lCKCdMVE1TJywzOTc2Nik=&amp;WINDOW=FIRST_POPUP&amp;HEIGHT=450&amp;WIDTH=450&amp;START_MA","XIMIZED=FALSE&amp;VAR:CALENDAR=US&amp;VAR:SYMBOL=05614P10&amp;VAR:INDEX=0"}</definedName>
    <definedName name="_2292__FDSAUDITLINK__" localSheetId="6" hidden="1">{"fdsup://directions/FAT Viewer?action=UPDATE&amp;creator=factset&amp;DYN_ARGS=TRUE&amp;DOC_NAME=FAT:FQL_AUDITING_CLIENT_TEMPLATE.FAT&amp;display_string=Audit&amp;VAR:KEY=BYHWLMDWTY&amp;VAR:QUERY=RkZfRUJJVERBX0lCKCdMVE1TJywzOTc2NSk=&amp;WINDOW=FIRST_POPUP&amp;HEIGHT=450&amp;WIDTH=450&amp;START_MA","XIMIZED=FALSE&amp;VAR:CALENDAR=US&amp;VAR:SYMBOL=05614P10&amp;VAR:INDEX=0"}</definedName>
    <definedName name="_2292__FDSAUDITLINK__" hidden="1">{"fdsup://directions/FAT Viewer?action=UPDATE&amp;creator=factset&amp;DYN_ARGS=TRUE&amp;DOC_NAME=FAT:FQL_AUDITING_CLIENT_TEMPLATE.FAT&amp;display_string=Audit&amp;VAR:KEY=BYHWLMDWTY&amp;VAR:QUERY=RkZfRUJJVERBX0lCKCdMVE1TJywzOTc2NSk=&amp;WINDOW=FIRST_POPUP&amp;HEIGHT=450&amp;WIDTH=450&amp;START_MA","XIMIZED=FALSE&amp;VAR:CALENDAR=US&amp;VAR:SYMBOL=05614P10&amp;VAR:INDEX=0"}</definedName>
    <definedName name="_2293__FDSAUDITLINK__" localSheetId="6" hidden="1">{"fdsup://directions/FAT Viewer?action=UPDATE&amp;creator=factset&amp;DYN_ARGS=TRUE&amp;DOC_NAME=FAT:FQL_AUDITING_CLIENT_TEMPLATE.FAT&amp;display_string=Audit&amp;VAR:KEY=BCLCHGRKZC&amp;VAR:QUERY=RkZfRUJJVERBX0lCKCdMVE1TJywzOTc2NCk=&amp;WINDOW=FIRST_POPUP&amp;HEIGHT=450&amp;WIDTH=450&amp;START_MA","XIMIZED=FALSE&amp;VAR:CALENDAR=US&amp;VAR:SYMBOL=05614P10&amp;VAR:INDEX=0"}</definedName>
    <definedName name="_2293__FDSAUDITLINK__" hidden="1">{"fdsup://directions/FAT Viewer?action=UPDATE&amp;creator=factset&amp;DYN_ARGS=TRUE&amp;DOC_NAME=FAT:FQL_AUDITING_CLIENT_TEMPLATE.FAT&amp;display_string=Audit&amp;VAR:KEY=BCLCHGRKZC&amp;VAR:QUERY=RkZfRUJJVERBX0lCKCdMVE1TJywzOTc2NCk=&amp;WINDOW=FIRST_POPUP&amp;HEIGHT=450&amp;WIDTH=450&amp;START_MA","XIMIZED=FALSE&amp;VAR:CALENDAR=US&amp;VAR:SYMBOL=05614P10&amp;VAR:INDEX=0"}</definedName>
    <definedName name="_2294__FDSAUDITLINK__" localSheetId="6" hidden="1">{"fdsup://directions/FAT Viewer?action=UPDATE&amp;creator=factset&amp;DYN_ARGS=TRUE&amp;DOC_NAME=FAT:FQL_AUDITING_CLIENT_TEMPLATE.FAT&amp;display_string=Audit&amp;VAR:KEY=ZQLODMPEDG&amp;VAR:QUERY=RkZfRUJJVERBX0lCKCdMVE1TJywzOTc2Myk=&amp;WINDOW=FIRST_POPUP&amp;HEIGHT=450&amp;WIDTH=450&amp;START_MA","XIMIZED=FALSE&amp;VAR:CALENDAR=US&amp;VAR:SYMBOL=05614P10&amp;VAR:INDEX=0"}</definedName>
    <definedName name="_2294__FDSAUDITLINK__" hidden="1">{"fdsup://directions/FAT Viewer?action=UPDATE&amp;creator=factset&amp;DYN_ARGS=TRUE&amp;DOC_NAME=FAT:FQL_AUDITING_CLIENT_TEMPLATE.FAT&amp;display_string=Audit&amp;VAR:KEY=ZQLODMPEDG&amp;VAR:QUERY=RkZfRUJJVERBX0lCKCdMVE1TJywzOTc2Myk=&amp;WINDOW=FIRST_POPUP&amp;HEIGHT=450&amp;WIDTH=450&amp;START_MA","XIMIZED=FALSE&amp;VAR:CALENDAR=US&amp;VAR:SYMBOL=05614P10&amp;VAR:INDEX=0"}</definedName>
    <definedName name="_2295__FDSAUDITLINK__" localSheetId="6" hidden="1">{"fdsup://directions/FAT Viewer?action=UPDATE&amp;creator=factset&amp;DYN_ARGS=TRUE&amp;DOC_NAME=FAT:FQL_AUDITING_CLIENT_TEMPLATE.FAT&amp;display_string=Audit&amp;VAR:KEY=LQVKBSTQNA&amp;VAR:QUERY=RkZfRUJJVERBX0lCKCdMVE1TJywzOTc2Mik=&amp;WINDOW=FIRST_POPUP&amp;HEIGHT=450&amp;WIDTH=450&amp;START_MA","XIMIZED=FALSE&amp;VAR:CALENDAR=US&amp;VAR:SYMBOL=05614P10&amp;VAR:INDEX=0"}</definedName>
    <definedName name="_2295__FDSAUDITLINK__" hidden="1">{"fdsup://directions/FAT Viewer?action=UPDATE&amp;creator=factset&amp;DYN_ARGS=TRUE&amp;DOC_NAME=FAT:FQL_AUDITING_CLIENT_TEMPLATE.FAT&amp;display_string=Audit&amp;VAR:KEY=LQVKBSTQNA&amp;VAR:QUERY=RkZfRUJJVERBX0lCKCdMVE1TJywzOTc2Mik=&amp;WINDOW=FIRST_POPUP&amp;HEIGHT=450&amp;WIDTH=450&amp;START_MA","XIMIZED=FALSE&amp;VAR:CALENDAR=US&amp;VAR:SYMBOL=05614P10&amp;VAR:INDEX=0"}</definedName>
    <definedName name="_2296__FDSAUDITLINK__" localSheetId="6" hidden="1">{"fdsup://directions/FAT Viewer?action=UPDATE&amp;creator=factset&amp;DYN_ARGS=TRUE&amp;DOC_NAME=FAT:FQL_AUDITING_CLIENT_TEMPLATE.FAT&amp;display_string=Audit&amp;VAR:KEY=HIZIFWHEDE&amp;VAR:QUERY=RkZfRUJJVERBX0lCKCdMVE1TJywzOTc2MSk=&amp;WINDOW=FIRST_POPUP&amp;HEIGHT=450&amp;WIDTH=450&amp;START_MA","XIMIZED=FALSE&amp;VAR:CALENDAR=US&amp;VAR:SYMBOL=05614P10&amp;VAR:INDEX=0"}</definedName>
    <definedName name="_2296__FDSAUDITLINK__" hidden="1">{"fdsup://directions/FAT Viewer?action=UPDATE&amp;creator=factset&amp;DYN_ARGS=TRUE&amp;DOC_NAME=FAT:FQL_AUDITING_CLIENT_TEMPLATE.FAT&amp;display_string=Audit&amp;VAR:KEY=HIZIFWHEDE&amp;VAR:QUERY=RkZfRUJJVERBX0lCKCdMVE1TJywzOTc2MSk=&amp;WINDOW=FIRST_POPUP&amp;HEIGHT=450&amp;WIDTH=450&amp;START_MA","XIMIZED=FALSE&amp;VAR:CALENDAR=US&amp;VAR:SYMBOL=05614P10&amp;VAR:INDEX=0"}</definedName>
    <definedName name="_2297__FDSAUDITLINK__" localSheetId="6" hidden="1">{"fdsup://directions/FAT Viewer?action=UPDATE&amp;creator=factset&amp;DYN_ARGS=TRUE&amp;DOC_NAME=FAT:FQL_AUDITING_CLIENT_TEMPLATE.FAT&amp;display_string=Audit&amp;VAR:KEY=NMDSNGXQDI&amp;VAR:QUERY=RkZfRUJJVERBX0lCKCdMVE1TJywzOTc2MCk=&amp;WINDOW=FIRST_POPUP&amp;HEIGHT=450&amp;WIDTH=450&amp;START_MA","XIMIZED=FALSE&amp;VAR:CALENDAR=US&amp;VAR:SYMBOL=05614P10&amp;VAR:INDEX=0"}</definedName>
    <definedName name="_2297__FDSAUDITLINK__" hidden="1">{"fdsup://directions/FAT Viewer?action=UPDATE&amp;creator=factset&amp;DYN_ARGS=TRUE&amp;DOC_NAME=FAT:FQL_AUDITING_CLIENT_TEMPLATE.FAT&amp;display_string=Audit&amp;VAR:KEY=NMDSNGXQDI&amp;VAR:QUERY=RkZfRUJJVERBX0lCKCdMVE1TJywzOTc2MCk=&amp;WINDOW=FIRST_POPUP&amp;HEIGHT=450&amp;WIDTH=450&amp;START_MA","XIMIZED=FALSE&amp;VAR:CALENDAR=US&amp;VAR:SYMBOL=05614P10&amp;VAR:INDEX=0"}</definedName>
    <definedName name="_2298__FDSAUDITLINK__" localSheetId="6" hidden="1">{"fdsup://directions/FAT Viewer?action=UPDATE&amp;creator=factset&amp;DYN_ARGS=TRUE&amp;DOC_NAME=FAT:FQL_AUDITING_CLIENT_TEMPLATE.FAT&amp;display_string=Audit&amp;VAR:KEY=HGVARWHUZI&amp;VAR:QUERY=RkZfRUJJVERBX0lCKCdMVE1TJywzOTc1OSk=&amp;WINDOW=FIRST_POPUP&amp;HEIGHT=450&amp;WIDTH=450&amp;START_MA","XIMIZED=FALSE&amp;VAR:CALENDAR=US&amp;VAR:SYMBOL=05614P10&amp;VAR:INDEX=0"}</definedName>
    <definedName name="_2298__FDSAUDITLINK__" hidden="1">{"fdsup://directions/FAT Viewer?action=UPDATE&amp;creator=factset&amp;DYN_ARGS=TRUE&amp;DOC_NAME=FAT:FQL_AUDITING_CLIENT_TEMPLATE.FAT&amp;display_string=Audit&amp;VAR:KEY=HGVARWHUZI&amp;VAR:QUERY=RkZfRUJJVERBX0lCKCdMVE1TJywzOTc1OSk=&amp;WINDOW=FIRST_POPUP&amp;HEIGHT=450&amp;WIDTH=450&amp;START_MA","XIMIZED=FALSE&amp;VAR:CALENDAR=US&amp;VAR:SYMBOL=05614P10&amp;VAR:INDEX=0"}</definedName>
    <definedName name="_2299__FDSAUDITLINK__" localSheetId="6" hidden="1">{"fdsup://directions/FAT Viewer?action=UPDATE&amp;creator=factset&amp;DYN_ARGS=TRUE&amp;DOC_NAME=FAT:FQL_AUDITING_CLIENT_TEMPLATE.FAT&amp;display_string=Audit&amp;VAR:KEY=VMNSJELSDS&amp;VAR:QUERY=RkZfRUJJVERBX0lCKCdMVE1TJywzOTc1OCk=&amp;WINDOW=FIRST_POPUP&amp;HEIGHT=450&amp;WIDTH=450&amp;START_MA","XIMIZED=FALSE&amp;VAR:CALENDAR=US&amp;VAR:SYMBOL=05614P10&amp;VAR:INDEX=0"}</definedName>
    <definedName name="_2299__FDSAUDITLINK__" hidden="1">{"fdsup://directions/FAT Viewer?action=UPDATE&amp;creator=factset&amp;DYN_ARGS=TRUE&amp;DOC_NAME=FAT:FQL_AUDITING_CLIENT_TEMPLATE.FAT&amp;display_string=Audit&amp;VAR:KEY=VMNSJELSDS&amp;VAR:QUERY=RkZfRUJJVERBX0lCKCdMVE1TJywzOTc1OCk=&amp;WINDOW=FIRST_POPUP&amp;HEIGHT=450&amp;WIDTH=450&amp;START_MA","XIMIZED=FALSE&amp;VAR:CALENDAR=US&amp;VAR:SYMBOL=05614P10&amp;VAR:INDEX=0"}</definedName>
    <definedName name="_230__FDSAUDITLINK__" localSheetId="6" hidden="1">{"fdsup://directions/FAT%20Viewer?VAR:PED=LTM&amp;VAR:AUDIT_MODE=SUMMARY&amp;VAR:PERIOD=FIXED&amp;VAR:AUDIT_ID=00000117&amp;VAR:DATE=20090706&amp;action=UPDATE&amp;creator=factset&amp;DOC_NAME=FAT:FMA_audit_SUMMARY.fat&amp;DISPLAY_STRING=Display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0__FDSAUDITLINK__" hidden="1">{"fdsup://directions/FAT%20Viewer?VAR:PED=LTM&amp;VAR:AUDIT_MODE=SUMMARY&amp;VAR:PERIOD=FIXED&amp;VAR:AUDIT_ID=00000117&amp;VAR:DATE=20090706&amp;action=UPDATE&amp;creator=factset&amp;DOC_NAME=FAT:FMA_audit_SUMMARY.fat&amp;DISPLAY_STRING=Display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00__FDSAUDITLINK__" localSheetId="6" hidden="1">{"fdsup://directions/FAT Viewer?action=UPDATE&amp;creator=factset&amp;DYN_ARGS=TRUE&amp;DOC_NAME=FAT:FQL_AUDITING_CLIENT_TEMPLATE.FAT&amp;display_string=Audit&amp;VAR:KEY=FUFIHMRYPK&amp;VAR:QUERY=RkZfRUJJVERBX0lCKCdMVE1TJywzOTc1Nyk=&amp;WINDOW=FIRST_POPUP&amp;HEIGHT=450&amp;WIDTH=450&amp;START_MA","XIMIZED=FALSE&amp;VAR:CALENDAR=US&amp;VAR:SYMBOL=05614P10&amp;VAR:INDEX=0"}</definedName>
    <definedName name="_2300__FDSAUDITLINK__" hidden="1">{"fdsup://directions/FAT Viewer?action=UPDATE&amp;creator=factset&amp;DYN_ARGS=TRUE&amp;DOC_NAME=FAT:FQL_AUDITING_CLIENT_TEMPLATE.FAT&amp;display_string=Audit&amp;VAR:KEY=FUFIHMRYPK&amp;VAR:QUERY=RkZfRUJJVERBX0lCKCdMVE1TJywzOTc1Nyk=&amp;WINDOW=FIRST_POPUP&amp;HEIGHT=450&amp;WIDTH=450&amp;START_MA","XIMIZED=FALSE&amp;VAR:CALENDAR=US&amp;VAR:SYMBOL=05614P10&amp;VAR:INDEX=0"}</definedName>
    <definedName name="_2301__FDSAUDITLINK__" localSheetId="6" hidden="1">{"fdsup://directions/FAT Viewer?action=UPDATE&amp;creator=factset&amp;DYN_ARGS=TRUE&amp;DOC_NAME=FAT:FQL_AUDITING_CLIENT_TEMPLATE.FAT&amp;display_string=Audit&amp;VAR:KEY=LAVUZMBCRU&amp;VAR:QUERY=RkZfRUJJVERBX0lCKCdMVE1TJywzOTc1Nik=&amp;WINDOW=FIRST_POPUP&amp;HEIGHT=450&amp;WIDTH=450&amp;START_MA","XIMIZED=FALSE&amp;VAR:CALENDAR=US&amp;VAR:SYMBOL=05614P10&amp;VAR:INDEX=0"}</definedName>
    <definedName name="_2301__FDSAUDITLINK__" hidden="1">{"fdsup://directions/FAT Viewer?action=UPDATE&amp;creator=factset&amp;DYN_ARGS=TRUE&amp;DOC_NAME=FAT:FQL_AUDITING_CLIENT_TEMPLATE.FAT&amp;display_string=Audit&amp;VAR:KEY=LAVUZMBCRU&amp;VAR:QUERY=RkZfRUJJVERBX0lCKCdMVE1TJywzOTc1Nik=&amp;WINDOW=FIRST_POPUP&amp;HEIGHT=450&amp;WIDTH=450&amp;START_MA","XIMIZED=FALSE&amp;VAR:CALENDAR=US&amp;VAR:SYMBOL=05614P10&amp;VAR:INDEX=0"}</definedName>
    <definedName name="_2302__FDSAUDITLINK__" localSheetId="6" hidden="1">{"fdsup://directions/FAT Viewer?action=UPDATE&amp;creator=factset&amp;DYN_ARGS=TRUE&amp;DOC_NAME=FAT:FQL_AUDITING_CLIENT_TEMPLATE.FAT&amp;display_string=Audit&amp;VAR:KEY=VMPOJULCRE&amp;VAR:QUERY=RkZfRUJJVERBX0lCKCdMVE1TJywzOTc1NSk=&amp;WINDOW=FIRST_POPUP&amp;HEIGHT=450&amp;WIDTH=450&amp;START_MA","XIMIZED=FALSE&amp;VAR:CALENDAR=US&amp;VAR:SYMBOL=05614P10&amp;VAR:INDEX=0"}</definedName>
    <definedName name="_2302__FDSAUDITLINK__" hidden="1">{"fdsup://directions/FAT Viewer?action=UPDATE&amp;creator=factset&amp;DYN_ARGS=TRUE&amp;DOC_NAME=FAT:FQL_AUDITING_CLIENT_TEMPLATE.FAT&amp;display_string=Audit&amp;VAR:KEY=VMPOJULCRE&amp;VAR:QUERY=RkZfRUJJVERBX0lCKCdMVE1TJywzOTc1NSk=&amp;WINDOW=FIRST_POPUP&amp;HEIGHT=450&amp;WIDTH=450&amp;START_MA","XIMIZED=FALSE&amp;VAR:CALENDAR=US&amp;VAR:SYMBOL=05614P10&amp;VAR:INDEX=0"}</definedName>
    <definedName name="_2303__FDSAUDITLINK__" localSheetId="6" hidden="1">{"fdsup://directions/FAT Viewer?action=UPDATE&amp;creator=factset&amp;DYN_ARGS=TRUE&amp;DOC_NAME=FAT:FQL_AUDITING_CLIENT_TEMPLATE.FAT&amp;display_string=Audit&amp;VAR:KEY=DQDABQPYXA&amp;VAR:QUERY=RkZfRUJJVERBX0lCKCdMVE1TJywzOTc1NCk=&amp;WINDOW=FIRST_POPUP&amp;HEIGHT=450&amp;WIDTH=450&amp;START_MA","XIMIZED=FALSE&amp;VAR:CALENDAR=US&amp;VAR:SYMBOL=05614P10&amp;VAR:INDEX=0"}</definedName>
    <definedName name="_2303__FDSAUDITLINK__" hidden="1">{"fdsup://directions/FAT Viewer?action=UPDATE&amp;creator=factset&amp;DYN_ARGS=TRUE&amp;DOC_NAME=FAT:FQL_AUDITING_CLIENT_TEMPLATE.FAT&amp;display_string=Audit&amp;VAR:KEY=DQDABQPYXA&amp;VAR:QUERY=RkZfRUJJVERBX0lCKCdMVE1TJywzOTc1NCk=&amp;WINDOW=FIRST_POPUP&amp;HEIGHT=450&amp;WIDTH=450&amp;START_MA","XIMIZED=FALSE&amp;VAR:CALENDAR=US&amp;VAR:SYMBOL=05614P10&amp;VAR:INDEX=0"}</definedName>
    <definedName name="_2304__FDSAUDITLINK__" localSheetId="6" hidden="1">{"fdsup://directions/FAT Viewer?action=UPDATE&amp;creator=factset&amp;DYN_ARGS=TRUE&amp;DOC_NAME=FAT:FQL_AUDITING_CLIENT_TEMPLATE.FAT&amp;display_string=Audit&amp;VAR:KEY=RGBYLMBWZQ&amp;VAR:QUERY=RkZfRUJJVERBX0lCKCdMVE1TJywzOTc1Myk=&amp;WINDOW=FIRST_POPUP&amp;HEIGHT=450&amp;WIDTH=450&amp;START_MA","XIMIZED=FALSE&amp;VAR:CALENDAR=US&amp;VAR:SYMBOL=05614P10&amp;VAR:INDEX=0"}</definedName>
    <definedName name="_2304__FDSAUDITLINK__" hidden="1">{"fdsup://directions/FAT Viewer?action=UPDATE&amp;creator=factset&amp;DYN_ARGS=TRUE&amp;DOC_NAME=FAT:FQL_AUDITING_CLIENT_TEMPLATE.FAT&amp;display_string=Audit&amp;VAR:KEY=RGBYLMBWZQ&amp;VAR:QUERY=RkZfRUJJVERBX0lCKCdMVE1TJywzOTc1Myk=&amp;WINDOW=FIRST_POPUP&amp;HEIGHT=450&amp;WIDTH=450&amp;START_MA","XIMIZED=FALSE&amp;VAR:CALENDAR=US&amp;VAR:SYMBOL=05614P10&amp;VAR:INDEX=0"}</definedName>
    <definedName name="_2305__FDSAUDITLINK__" localSheetId="6" hidden="1">{"fdsup://directions/FAT Viewer?action=UPDATE&amp;creator=factset&amp;DYN_ARGS=TRUE&amp;DOC_NAME=FAT:FQL_AUDITING_CLIENT_TEMPLATE.FAT&amp;display_string=Audit&amp;VAR:KEY=RKTYXGLKFQ&amp;VAR:QUERY=RkZfRUJJVERBX0lCKCdMVE1TJywzOTc1Mik=&amp;WINDOW=FIRST_POPUP&amp;HEIGHT=450&amp;WIDTH=450&amp;START_MA","XIMIZED=FALSE&amp;VAR:CALENDAR=US&amp;VAR:SYMBOL=05614P10&amp;VAR:INDEX=0"}</definedName>
    <definedName name="_2305__FDSAUDITLINK__" hidden="1">{"fdsup://directions/FAT Viewer?action=UPDATE&amp;creator=factset&amp;DYN_ARGS=TRUE&amp;DOC_NAME=FAT:FQL_AUDITING_CLIENT_TEMPLATE.FAT&amp;display_string=Audit&amp;VAR:KEY=RKTYXGLKFQ&amp;VAR:QUERY=RkZfRUJJVERBX0lCKCdMVE1TJywzOTc1Mik=&amp;WINDOW=FIRST_POPUP&amp;HEIGHT=450&amp;WIDTH=450&amp;START_MA","XIMIZED=FALSE&amp;VAR:CALENDAR=US&amp;VAR:SYMBOL=05614P10&amp;VAR:INDEX=0"}</definedName>
    <definedName name="_2306__FDSAUDITLINK__" localSheetId="6" hidden="1">{"fdsup://directions/FAT Viewer?action=UPDATE&amp;creator=factset&amp;DYN_ARGS=TRUE&amp;DOC_NAME=FAT:FQL_AUDITING_CLIENT_TEMPLATE.FAT&amp;display_string=Audit&amp;VAR:KEY=JWDADWPOLU&amp;VAR:QUERY=RkZfRUJJVERBX0lCKCdMVE1TJywzOTc1MSk=&amp;WINDOW=FIRST_POPUP&amp;HEIGHT=450&amp;WIDTH=450&amp;START_MA","XIMIZED=FALSE&amp;VAR:CALENDAR=US&amp;VAR:SYMBOL=05614P10&amp;VAR:INDEX=0"}</definedName>
    <definedName name="_2306__FDSAUDITLINK__" hidden="1">{"fdsup://directions/FAT Viewer?action=UPDATE&amp;creator=factset&amp;DYN_ARGS=TRUE&amp;DOC_NAME=FAT:FQL_AUDITING_CLIENT_TEMPLATE.FAT&amp;display_string=Audit&amp;VAR:KEY=JWDADWPOLU&amp;VAR:QUERY=RkZfRUJJVERBX0lCKCdMVE1TJywzOTc1MSk=&amp;WINDOW=FIRST_POPUP&amp;HEIGHT=450&amp;WIDTH=450&amp;START_MA","XIMIZED=FALSE&amp;VAR:CALENDAR=US&amp;VAR:SYMBOL=05614P10&amp;VAR:INDEX=0"}</definedName>
    <definedName name="_2307__FDSAUDITLINK__" localSheetId="6" hidden="1">{"fdsup://directions/FAT Viewer?action=UPDATE&amp;creator=factset&amp;DYN_ARGS=TRUE&amp;DOC_NAME=FAT:FQL_AUDITING_CLIENT_TEMPLATE.FAT&amp;display_string=Audit&amp;VAR:KEY=VKJMPGVIHQ&amp;VAR:QUERY=RkZfRUJJVERBX0lCKCdMVE1TJywzOTc1MCk=&amp;WINDOW=FIRST_POPUP&amp;HEIGHT=450&amp;WIDTH=450&amp;START_MA","XIMIZED=FALSE&amp;VAR:CALENDAR=US&amp;VAR:SYMBOL=05614P10&amp;VAR:INDEX=0"}</definedName>
    <definedName name="_2307__FDSAUDITLINK__" hidden="1">{"fdsup://directions/FAT Viewer?action=UPDATE&amp;creator=factset&amp;DYN_ARGS=TRUE&amp;DOC_NAME=FAT:FQL_AUDITING_CLIENT_TEMPLATE.FAT&amp;display_string=Audit&amp;VAR:KEY=VKJMPGVIHQ&amp;VAR:QUERY=RkZfRUJJVERBX0lCKCdMVE1TJywzOTc1MCk=&amp;WINDOW=FIRST_POPUP&amp;HEIGHT=450&amp;WIDTH=450&amp;START_MA","XIMIZED=FALSE&amp;VAR:CALENDAR=US&amp;VAR:SYMBOL=05614P10&amp;VAR:INDEX=0"}</definedName>
    <definedName name="_2308__FDSAUDITLINK__" localSheetId="6" hidden="1">{"fdsup://directions/FAT Viewer?action=UPDATE&amp;creator=factset&amp;DYN_ARGS=TRUE&amp;DOC_NAME=FAT:FQL_AUDITING_CLIENT_TEMPLATE.FAT&amp;display_string=Audit&amp;VAR:KEY=JSPWZGFMZO&amp;VAR:QUERY=RkZfRUJJVERBX0lCKCdMVE1TJywzOTc0OSk=&amp;WINDOW=FIRST_POPUP&amp;HEIGHT=450&amp;WIDTH=450&amp;START_MA","XIMIZED=FALSE&amp;VAR:CALENDAR=US&amp;VAR:SYMBOL=05614P10&amp;VAR:INDEX=0"}</definedName>
    <definedName name="_2308__FDSAUDITLINK__" hidden="1">{"fdsup://directions/FAT Viewer?action=UPDATE&amp;creator=factset&amp;DYN_ARGS=TRUE&amp;DOC_NAME=FAT:FQL_AUDITING_CLIENT_TEMPLATE.FAT&amp;display_string=Audit&amp;VAR:KEY=JSPWZGFMZO&amp;VAR:QUERY=RkZfRUJJVERBX0lCKCdMVE1TJywzOTc0OSk=&amp;WINDOW=FIRST_POPUP&amp;HEIGHT=450&amp;WIDTH=450&amp;START_MA","XIMIZED=FALSE&amp;VAR:CALENDAR=US&amp;VAR:SYMBOL=05614P10&amp;VAR:INDEX=0"}</definedName>
    <definedName name="_2309__FDSAUDITLINK__" localSheetId="6" hidden="1">{"fdsup://directions/FAT Viewer?action=UPDATE&amp;creator=factset&amp;DYN_ARGS=TRUE&amp;DOC_NAME=FAT:FQL_AUDITING_CLIENT_TEMPLATE.FAT&amp;display_string=Audit&amp;VAR:KEY=RSZAZQXKZC&amp;VAR:QUERY=RkZfRUJJVERBX0lCKCdMVE1TJywzOTc0OCk=&amp;WINDOW=FIRST_POPUP&amp;HEIGHT=450&amp;WIDTH=450&amp;START_MA","XIMIZED=FALSE&amp;VAR:CALENDAR=US&amp;VAR:SYMBOL=05614P10&amp;VAR:INDEX=0"}</definedName>
    <definedName name="_2309__FDSAUDITLINK__" hidden="1">{"fdsup://directions/FAT Viewer?action=UPDATE&amp;creator=factset&amp;DYN_ARGS=TRUE&amp;DOC_NAME=FAT:FQL_AUDITING_CLIENT_TEMPLATE.FAT&amp;display_string=Audit&amp;VAR:KEY=RSZAZQXKZC&amp;VAR:QUERY=RkZfRUJJVERBX0lCKCdMVE1TJywzOTc0OCk=&amp;WINDOW=FIRST_POPUP&amp;HEIGHT=450&amp;WIDTH=450&amp;START_MA","XIMIZED=FALSE&amp;VAR:CALENDAR=US&amp;VAR:SYMBOL=05614P10&amp;VAR:INDEX=0"}</definedName>
    <definedName name="_231__FDSAUDITLINK__" localSheetId="6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1__FDSAUDITLINK__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10__FDSAUDITLINK__" localSheetId="6" hidden="1">{"fdsup://directions/FAT Viewer?action=UPDATE&amp;creator=factset&amp;DYN_ARGS=TRUE&amp;DOC_NAME=FAT:FQL_AUDITING_CLIENT_TEMPLATE.FAT&amp;display_string=Audit&amp;VAR:KEY=ZIZCBOFMPG&amp;VAR:QUERY=RkZfRUJJVERBX0lCKCdMVE1TJywzOTc0Nyk=&amp;WINDOW=FIRST_POPUP&amp;HEIGHT=450&amp;WIDTH=450&amp;START_MA","XIMIZED=FALSE&amp;VAR:CALENDAR=US&amp;VAR:SYMBOL=05614P10&amp;VAR:INDEX=0"}</definedName>
    <definedName name="_2310__FDSAUDITLINK__" hidden="1">{"fdsup://directions/FAT Viewer?action=UPDATE&amp;creator=factset&amp;DYN_ARGS=TRUE&amp;DOC_NAME=FAT:FQL_AUDITING_CLIENT_TEMPLATE.FAT&amp;display_string=Audit&amp;VAR:KEY=ZIZCBOFMPG&amp;VAR:QUERY=RkZfRUJJVERBX0lCKCdMVE1TJywzOTc0Nyk=&amp;WINDOW=FIRST_POPUP&amp;HEIGHT=450&amp;WIDTH=450&amp;START_MA","XIMIZED=FALSE&amp;VAR:CALENDAR=US&amp;VAR:SYMBOL=05614P10&amp;VAR:INDEX=0"}</definedName>
    <definedName name="_2311__FDSAUDITLINK__" localSheetId="6" hidden="1">{"fdsup://directions/FAT Viewer?action=UPDATE&amp;creator=factset&amp;DYN_ARGS=TRUE&amp;DOC_NAME=FAT:FQL_AUDITING_CLIENT_TEMPLATE.FAT&amp;display_string=Audit&amp;VAR:KEY=LWTQDWVIRM&amp;VAR:QUERY=RkZfRUJJVERBX0lCKCdMVE1TJywzOTc0Nik=&amp;WINDOW=FIRST_POPUP&amp;HEIGHT=450&amp;WIDTH=450&amp;START_MA","XIMIZED=FALSE&amp;VAR:CALENDAR=US&amp;VAR:SYMBOL=05614P10&amp;VAR:INDEX=0"}</definedName>
    <definedName name="_2311__FDSAUDITLINK__" hidden="1">{"fdsup://directions/FAT Viewer?action=UPDATE&amp;creator=factset&amp;DYN_ARGS=TRUE&amp;DOC_NAME=FAT:FQL_AUDITING_CLIENT_TEMPLATE.FAT&amp;display_string=Audit&amp;VAR:KEY=LWTQDWVIRM&amp;VAR:QUERY=RkZfRUJJVERBX0lCKCdMVE1TJywzOTc0Nik=&amp;WINDOW=FIRST_POPUP&amp;HEIGHT=450&amp;WIDTH=450&amp;START_MA","XIMIZED=FALSE&amp;VAR:CALENDAR=US&amp;VAR:SYMBOL=05614P10&amp;VAR:INDEX=0"}</definedName>
    <definedName name="_2312__FDSAUDITLINK__" localSheetId="6" hidden="1">{"fdsup://directions/FAT Viewer?action=UPDATE&amp;creator=factset&amp;DYN_ARGS=TRUE&amp;DOC_NAME=FAT:FQL_AUDITING_CLIENT_TEMPLATE.FAT&amp;display_string=Audit&amp;VAR:KEY=JKLSJMVQXQ&amp;VAR:QUERY=RkZfRUJJVERBX0lCKCdMVE1TJywzOTc0NSk=&amp;WINDOW=FIRST_POPUP&amp;HEIGHT=450&amp;WIDTH=450&amp;START_MA","XIMIZED=FALSE&amp;VAR:CALENDAR=US&amp;VAR:SYMBOL=05614P10&amp;VAR:INDEX=0"}</definedName>
    <definedName name="_2312__FDSAUDITLINK__" hidden="1">{"fdsup://directions/FAT Viewer?action=UPDATE&amp;creator=factset&amp;DYN_ARGS=TRUE&amp;DOC_NAME=FAT:FQL_AUDITING_CLIENT_TEMPLATE.FAT&amp;display_string=Audit&amp;VAR:KEY=JKLSJMVQXQ&amp;VAR:QUERY=RkZfRUJJVERBX0lCKCdMVE1TJywzOTc0NSk=&amp;WINDOW=FIRST_POPUP&amp;HEIGHT=450&amp;WIDTH=450&amp;START_MA","XIMIZED=FALSE&amp;VAR:CALENDAR=US&amp;VAR:SYMBOL=05614P10&amp;VAR:INDEX=0"}</definedName>
    <definedName name="_2313__FDSAUDITLINK__" localSheetId="6" hidden="1">{"fdsup://directions/FAT Viewer?action=UPDATE&amp;creator=factset&amp;DYN_ARGS=TRUE&amp;DOC_NAME=FAT:FQL_AUDITING_CLIENT_TEMPLATE.FAT&amp;display_string=Audit&amp;VAR:KEY=BERODUBCXU&amp;VAR:QUERY=RkZfRUJJVERBX0lCKCdMVE1TJywzOTc0NCk=&amp;WINDOW=FIRST_POPUP&amp;HEIGHT=450&amp;WIDTH=450&amp;START_MA","XIMIZED=FALSE&amp;VAR:CALENDAR=US&amp;VAR:SYMBOL=05614P10&amp;VAR:INDEX=0"}</definedName>
    <definedName name="_2313__FDSAUDITLINK__" hidden="1">{"fdsup://directions/FAT Viewer?action=UPDATE&amp;creator=factset&amp;DYN_ARGS=TRUE&amp;DOC_NAME=FAT:FQL_AUDITING_CLIENT_TEMPLATE.FAT&amp;display_string=Audit&amp;VAR:KEY=BERODUBCXU&amp;VAR:QUERY=RkZfRUJJVERBX0lCKCdMVE1TJywzOTc0NCk=&amp;WINDOW=FIRST_POPUP&amp;HEIGHT=450&amp;WIDTH=450&amp;START_MA","XIMIZED=FALSE&amp;VAR:CALENDAR=US&amp;VAR:SYMBOL=05614P10&amp;VAR:INDEX=0"}</definedName>
    <definedName name="_2314__FDSAUDITLINK__" localSheetId="6" hidden="1">{"fdsup://directions/FAT Viewer?action=UPDATE&amp;creator=factset&amp;DYN_ARGS=TRUE&amp;DOC_NAME=FAT:FQL_AUDITING_CLIENT_TEMPLATE.FAT&amp;display_string=Audit&amp;VAR:KEY=VONUFQJYFM&amp;VAR:QUERY=RkZfRUJJVERBX0lCKCdMVE1TJywzOTc0Myk=&amp;WINDOW=FIRST_POPUP&amp;HEIGHT=450&amp;WIDTH=450&amp;START_MA","XIMIZED=FALSE&amp;VAR:CALENDAR=US&amp;VAR:SYMBOL=05614P10&amp;VAR:INDEX=0"}</definedName>
    <definedName name="_2314__FDSAUDITLINK__" hidden="1">{"fdsup://directions/FAT Viewer?action=UPDATE&amp;creator=factset&amp;DYN_ARGS=TRUE&amp;DOC_NAME=FAT:FQL_AUDITING_CLIENT_TEMPLATE.FAT&amp;display_string=Audit&amp;VAR:KEY=VONUFQJYFM&amp;VAR:QUERY=RkZfRUJJVERBX0lCKCdMVE1TJywzOTc0Myk=&amp;WINDOW=FIRST_POPUP&amp;HEIGHT=450&amp;WIDTH=450&amp;START_MA","XIMIZED=FALSE&amp;VAR:CALENDAR=US&amp;VAR:SYMBOL=05614P10&amp;VAR:INDEX=0"}</definedName>
    <definedName name="_2315__FDSAUDITLINK__" localSheetId="6" hidden="1">{"fdsup://directions/FAT Viewer?action=UPDATE&amp;creator=factset&amp;DYN_ARGS=TRUE&amp;DOC_NAME=FAT:FQL_AUDITING_CLIENT_TEMPLATE.FAT&amp;display_string=Audit&amp;VAR:KEY=FCFOXIPGDY&amp;VAR:QUERY=RkZfRUJJVERBX0lCKCdMVE1TJywzOTc0Mik=&amp;WINDOW=FIRST_POPUP&amp;HEIGHT=450&amp;WIDTH=450&amp;START_MA","XIMIZED=FALSE&amp;VAR:CALENDAR=US&amp;VAR:SYMBOL=05614P10&amp;VAR:INDEX=0"}</definedName>
    <definedName name="_2315__FDSAUDITLINK__" hidden="1">{"fdsup://directions/FAT Viewer?action=UPDATE&amp;creator=factset&amp;DYN_ARGS=TRUE&amp;DOC_NAME=FAT:FQL_AUDITING_CLIENT_TEMPLATE.FAT&amp;display_string=Audit&amp;VAR:KEY=FCFOXIPGDY&amp;VAR:QUERY=RkZfRUJJVERBX0lCKCdMVE1TJywzOTc0Mik=&amp;WINDOW=FIRST_POPUP&amp;HEIGHT=450&amp;WIDTH=450&amp;START_MA","XIMIZED=FALSE&amp;VAR:CALENDAR=US&amp;VAR:SYMBOL=05614P10&amp;VAR:INDEX=0"}</definedName>
    <definedName name="_2316__FDSAUDITLINK__" localSheetId="6" hidden="1">{"fdsup://directions/FAT Viewer?action=UPDATE&amp;creator=factset&amp;DYN_ARGS=TRUE&amp;DOC_NAME=FAT:FQL_AUDITING_CLIENT_TEMPLATE.FAT&amp;display_string=Audit&amp;VAR:KEY=LYJSHCZELA&amp;VAR:QUERY=RkZfRUJJVERBX0lCKCdMVE1TJywzOTc0MSk=&amp;WINDOW=FIRST_POPUP&amp;HEIGHT=450&amp;WIDTH=450&amp;START_MA","XIMIZED=FALSE&amp;VAR:CALENDAR=US&amp;VAR:SYMBOL=05614P10&amp;VAR:INDEX=0"}</definedName>
    <definedName name="_2316__FDSAUDITLINK__" hidden="1">{"fdsup://directions/FAT Viewer?action=UPDATE&amp;creator=factset&amp;DYN_ARGS=TRUE&amp;DOC_NAME=FAT:FQL_AUDITING_CLIENT_TEMPLATE.FAT&amp;display_string=Audit&amp;VAR:KEY=LYJSHCZELA&amp;VAR:QUERY=RkZfRUJJVERBX0lCKCdMVE1TJywzOTc0MSk=&amp;WINDOW=FIRST_POPUP&amp;HEIGHT=450&amp;WIDTH=450&amp;START_MA","XIMIZED=FALSE&amp;VAR:CALENDAR=US&amp;VAR:SYMBOL=05614P10&amp;VAR:INDEX=0"}</definedName>
    <definedName name="_2317__FDSAUDITLINK__" localSheetId="6" hidden="1">{"fdsup://directions/FAT Viewer?action=UPDATE&amp;creator=factset&amp;DYN_ARGS=TRUE&amp;DOC_NAME=FAT:FQL_AUDITING_CLIENT_TEMPLATE.FAT&amp;display_string=Audit&amp;VAR:KEY=DMVGZKLONC&amp;VAR:QUERY=RkZfRUJJVERBX0lCKCdMVE1TJywzOTc0MCk=&amp;WINDOW=FIRST_POPUP&amp;HEIGHT=450&amp;WIDTH=450&amp;START_MA","XIMIZED=FALSE&amp;VAR:CALENDAR=US&amp;VAR:SYMBOL=05614P10&amp;VAR:INDEX=0"}</definedName>
    <definedName name="_2317__FDSAUDITLINK__" hidden="1">{"fdsup://directions/FAT Viewer?action=UPDATE&amp;creator=factset&amp;DYN_ARGS=TRUE&amp;DOC_NAME=FAT:FQL_AUDITING_CLIENT_TEMPLATE.FAT&amp;display_string=Audit&amp;VAR:KEY=DMVGZKLONC&amp;VAR:QUERY=RkZfRUJJVERBX0lCKCdMVE1TJywzOTc0MCk=&amp;WINDOW=FIRST_POPUP&amp;HEIGHT=450&amp;WIDTH=450&amp;START_MA","XIMIZED=FALSE&amp;VAR:CALENDAR=US&amp;VAR:SYMBOL=05614P10&amp;VAR:INDEX=0"}</definedName>
    <definedName name="_2318__FDSAUDITLINK__" localSheetId="6" hidden="1">{"fdsup://directions/FAT Viewer?action=UPDATE&amp;creator=factset&amp;DYN_ARGS=TRUE&amp;DOC_NAME=FAT:FQL_AUDITING_CLIENT_TEMPLATE.FAT&amp;display_string=Audit&amp;VAR:KEY=FQZCNUBKNK&amp;VAR:QUERY=RkZfRUJJVERBX0lCKCdMVE1TJywzOTczOSk=&amp;WINDOW=FIRST_POPUP&amp;HEIGHT=450&amp;WIDTH=450&amp;START_MA","XIMIZED=FALSE&amp;VAR:CALENDAR=US&amp;VAR:SYMBOL=05614P10&amp;VAR:INDEX=0"}</definedName>
    <definedName name="_2318__FDSAUDITLINK__" hidden="1">{"fdsup://directions/FAT Viewer?action=UPDATE&amp;creator=factset&amp;DYN_ARGS=TRUE&amp;DOC_NAME=FAT:FQL_AUDITING_CLIENT_TEMPLATE.FAT&amp;display_string=Audit&amp;VAR:KEY=FQZCNUBKNK&amp;VAR:QUERY=RkZfRUJJVERBX0lCKCdMVE1TJywzOTczOSk=&amp;WINDOW=FIRST_POPUP&amp;HEIGHT=450&amp;WIDTH=450&amp;START_MA","XIMIZED=FALSE&amp;VAR:CALENDAR=US&amp;VAR:SYMBOL=05614P10&amp;VAR:INDEX=0"}</definedName>
    <definedName name="_2319__FDSAUDITLINK__" localSheetId="6" hidden="1">{"fdsup://directions/FAT Viewer?action=UPDATE&amp;creator=factset&amp;DYN_ARGS=TRUE&amp;DOC_NAME=FAT:FQL_AUDITING_CLIENT_TEMPLATE.FAT&amp;display_string=Audit&amp;VAR:KEY=DATSRUZABE&amp;VAR:QUERY=RkZfRUJJVERBX0lCKCdMVE1TJywzOTczOCk=&amp;WINDOW=FIRST_POPUP&amp;HEIGHT=450&amp;WIDTH=450&amp;START_MA","XIMIZED=FALSE&amp;VAR:CALENDAR=US&amp;VAR:SYMBOL=05614P10&amp;VAR:INDEX=0"}</definedName>
    <definedName name="_2319__FDSAUDITLINK__" hidden="1">{"fdsup://directions/FAT Viewer?action=UPDATE&amp;creator=factset&amp;DYN_ARGS=TRUE&amp;DOC_NAME=FAT:FQL_AUDITING_CLIENT_TEMPLATE.FAT&amp;display_string=Audit&amp;VAR:KEY=DATSRUZABE&amp;VAR:QUERY=RkZfRUJJVERBX0lCKCdMVE1TJywzOTczOCk=&amp;WINDOW=FIRST_POPUP&amp;HEIGHT=450&amp;WIDTH=450&amp;START_MA","XIMIZED=FALSE&amp;VAR:CALENDAR=US&amp;VAR:SYMBOL=05614P10&amp;VAR:INDEX=0"}</definedName>
    <definedName name="_232__FDSAUDITLINK__" localSheetId="6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2__FDSAUDITLINK__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20__FDSAUDITLINK__" localSheetId="6" hidden="1">{"fdsup://directions/FAT Viewer?action=UPDATE&amp;creator=factset&amp;DYN_ARGS=TRUE&amp;DOC_NAME=FAT:FQL_AUDITING_CLIENT_TEMPLATE.FAT&amp;display_string=Audit&amp;VAR:KEY=HGXSTIDUZO&amp;VAR:QUERY=RkZfRUJJVERBX0lCKCdMVE1TJywzOTczNyk=&amp;WINDOW=FIRST_POPUP&amp;HEIGHT=450&amp;WIDTH=450&amp;START_MA","XIMIZED=FALSE&amp;VAR:CALENDAR=US&amp;VAR:SYMBOL=05614P10&amp;VAR:INDEX=0"}</definedName>
    <definedName name="_2320__FDSAUDITLINK__" hidden="1">{"fdsup://directions/FAT Viewer?action=UPDATE&amp;creator=factset&amp;DYN_ARGS=TRUE&amp;DOC_NAME=FAT:FQL_AUDITING_CLIENT_TEMPLATE.FAT&amp;display_string=Audit&amp;VAR:KEY=HGXSTIDUZO&amp;VAR:QUERY=RkZfRUJJVERBX0lCKCdMVE1TJywzOTczNyk=&amp;WINDOW=FIRST_POPUP&amp;HEIGHT=450&amp;WIDTH=450&amp;START_MA","XIMIZED=FALSE&amp;VAR:CALENDAR=US&amp;VAR:SYMBOL=05614P10&amp;VAR:INDEX=0"}</definedName>
    <definedName name="_2321__FDSAUDITLINK__" localSheetId="6" hidden="1">{"fdsup://directions/FAT Viewer?action=UPDATE&amp;creator=factset&amp;DYN_ARGS=TRUE&amp;DOC_NAME=FAT:FQL_AUDITING_CLIENT_TEMPLATE.FAT&amp;display_string=Audit&amp;VAR:KEY=PGRMRWXWRK&amp;VAR:QUERY=RkZfRUJJVERBX0lCKCdMVE1TJywzOTczNik=&amp;WINDOW=FIRST_POPUP&amp;HEIGHT=450&amp;WIDTH=450&amp;START_MA","XIMIZED=FALSE&amp;VAR:CALENDAR=US&amp;VAR:SYMBOL=05614P10&amp;VAR:INDEX=0"}</definedName>
    <definedName name="_2321__FDSAUDITLINK__" hidden="1">{"fdsup://directions/FAT Viewer?action=UPDATE&amp;creator=factset&amp;DYN_ARGS=TRUE&amp;DOC_NAME=FAT:FQL_AUDITING_CLIENT_TEMPLATE.FAT&amp;display_string=Audit&amp;VAR:KEY=PGRMRWXWRK&amp;VAR:QUERY=RkZfRUJJVERBX0lCKCdMVE1TJywzOTczNik=&amp;WINDOW=FIRST_POPUP&amp;HEIGHT=450&amp;WIDTH=450&amp;START_MA","XIMIZED=FALSE&amp;VAR:CALENDAR=US&amp;VAR:SYMBOL=05614P10&amp;VAR:INDEX=0"}</definedName>
    <definedName name="_2322__FDSAUDITLINK__" localSheetId="6" hidden="1">{"fdsup://directions/FAT Viewer?action=UPDATE&amp;creator=factset&amp;DYN_ARGS=TRUE&amp;DOC_NAME=FAT:FQL_AUDITING_CLIENT_TEMPLATE.FAT&amp;display_string=Audit&amp;VAR:KEY=TEVUZOLORU&amp;VAR:QUERY=RkZfRUJJVERBX0lCKCdMVE1TJywzOTczNSk=&amp;WINDOW=FIRST_POPUP&amp;HEIGHT=450&amp;WIDTH=450&amp;START_MA","XIMIZED=FALSE&amp;VAR:CALENDAR=US&amp;VAR:SYMBOL=05614P10&amp;VAR:INDEX=0"}</definedName>
    <definedName name="_2322__FDSAUDITLINK__" hidden="1">{"fdsup://directions/FAT Viewer?action=UPDATE&amp;creator=factset&amp;DYN_ARGS=TRUE&amp;DOC_NAME=FAT:FQL_AUDITING_CLIENT_TEMPLATE.FAT&amp;display_string=Audit&amp;VAR:KEY=TEVUZOLORU&amp;VAR:QUERY=RkZfRUJJVERBX0lCKCdMVE1TJywzOTczNSk=&amp;WINDOW=FIRST_POPUP&amp;HEIGHT=450&amp;WIDTH=450&amp;START_MA","XIMIZED=FALSE&amp;VAR:CALENDAR=US&amp;VAR:SYMBOL=05614P10&amp;VAR:INDEX=0"}</definedName>
    <definedName name="_2323__FDSAUDITLINK__" localSheetId="6" hidden="1">{"fdsup://directions/FAT Viewer?action=UPDATE&amp;creator=factset&amp;DYN_ARGS=TRUE&amp;DOC_NAME=FAT:FQL_AUDITING_CLIENT_TEMPLATE.FAT&amp;display_string=Audit&amp;VAR:KEY=XADSXSNURG&amp;VAR:QUERY=RkZfRUJJVERBX0lCKCdMVE1TJywzOTczNCk=&amp;WINDOW=FIRST_POPUP&amp;HEIGHT=450&amp;WIDTH=450&amp;START_MA","XIMIZED=FALSE&amp;VAR:CALENDAR=US&amp;VAR:SYMBOL=05614P10&amp;VAR:INDEX=0"}</definedName>
    <definedName name="_2323__FDSAUDITLINK__" hidden="1">{"fdsup://directions/FAT Viewer?action=UPDATE&amp;creator=factset&amp;DYN_ARGS=TRUE&amp;DOC_NAME=FAT:FQL_AUDITING_CLIENT_TEMPLATE.FAT&amp;display_string=Audit&amp;VAR:KEY=XADSXSNURG&amp;VAR:QUERY=RkZfRUJJVERBX0lCKCdMVE1TJywzOTczNCk=&amp;WINDOW=FIRST_POPUP&amp;HEIGHT=450&amp;WIDTH=450&amp;START_MA","XIMIZED=FALSE&amp;VAR:CALENDAR=US&amp;VAR:SYMBOL=05614P10&amp;VAR:INDEX=0"}</definedName>
    <definedName name="_2324__FDSAUDITLINK__" localSheetId="6" hidden="1">{"fdsup://directions/FAT Viewer?action=UPDATE&amp;creator=factset&amp;DYN_ARGS=TRUE&amp;DOC_NAME=FAT:FQL_AUDITING_CLIENT_TEMPLATE.FAT&amp;display_string=Audit&amp;VAR:KEY=LIHUVGFENM&amp;VAR:QUERY=RkZfRUJJVERBX0lCKCdMVE1TJywzOTczMyk=&amp;WINDOW=FIRST_POPUP&amp;HEIGHT=450&amp;WIDTH=450&amp;START_MA","XIMIZED=FALSE&amp;VAR:CALENDAR=US&amp;VAR:SYMBOL=05614P10&amp;VAR:INDEX=0"}</definedName>
    <definedName name="_2324__FDSAUDITLINK__" hidden="1">{"fdsup://directions/FAT Viewer?action=UPDATE&amp;creator=factset&amp;DYN_ARGS=TRUE&amp;DOC_NAME=FAT:FQL_AUDITING_CLIENT_TEMPLATE.FAT&amp;display_string=Audit&amp;VAR:KEY=LIHUVGFENM&amp;VAR:QUERY=RkZfRUJJVERBX0lCKCdMVE1TJywzOTczMyk=&amp;WINDOW=FIRST_POPUP&amp;HEIGHT=450&amp;WIDTH=450&amp;START_MA","XIMIZED=FALSE&amp;VAR:CALENDAR=US&amp;VAR:SYMBOL=05614P10&amp;VAR:INDEX=0"}</definedName>
    <definedName name="_2325__FDSAUDITLINK__" localSheetId="6" hidden="1">{"fdsup://directions/FAT Viewer?action=UPDATE&amp;creator=factset&amp;DYN_ARGS=TRUE&amp;DOC_NAME=FAT:FQL_AUDITING_CLIENT_TEMPLATE.FAT&amp;display_string=Audit&amp;VAR:KEY=LWTONUBWNA&amp;VAR:QUERY=RkZfRUJJVERBX0lCKCdMVE1TJywzOTczMik=&amp;WINDOW=FIRST_POPUP&amp;HEIGHT=450&amp;WIDTH=450&amp;START_MA","XIMIZED=FALSE&amp;VAR:CALENDAR=US&amp;VAR:SYMBOL=05614P10&amp;VAR:INDEX=0"}</definedName>
    <definedName name="_2325__FDSAUDITLINK__" hidden="1">{"fdsup://directions/FAT Viewer?action=UPDATE&amp;creator=factset&amp;DYN_ARGS=TRUE&amp;DOC_NAME=FAT:FQL_AUDITING_CLIENT_TEMPLATE.FAT&amp;display_string=Audit&amp;VAR:KEY=LWTONUBWNA&amp;VAR:QUERY=RkZfRUJJVERBX0lCKCdMVE1TJywzOTczMik=&amp;WINDOW=FIRST_POPUP&amp;HEIGHT=450&amp;WIDTH=450&amp;START_MA","XIMIZED=FALSE&amp;VAR:CALENDAR=US&amp;VAR:SYMBOL=05614P10&amp;VAR:INDEX=0"}</definedName>
    <definedName name="_2326__FDSAUDITLINK__" localSheetId="6" hidden="1">{"fdsup://directions/FAT Viewer?action=UPDATE&amp;creator=factset&amp;DYN_ARGS=TRUE&amp;DOC_NAME=FAT:FQL_AUDITING_CLIENT_TEMPLATE.FAT&amp;display_string=Audit&amp;VAR:KEY=TIJCJCDATO&amp;VAR:QUERY=RkZfRUJJVERBX0lCKCdMVE1TJywzOTczMSk=&amp;WINDOW=FIRST_POPUP&amp;HEIGHT=450&amp;WIDTH=450&amp;START_MA","XIMIZED=FALSE&amp;VAR:CALENDAR=US&amp;VAR:SYMBOL=05614P10&amp;VAR:INDEX=0"}</definedName>
    <definedName name="_2326__FDSAUDITLINK__" hidden="1">{"fdsup://directions/FAT Viewer?action=UPDATE&amp;creator=factset&amp;DYN_ARGS=TRUE&amp;DOC_NAME=FAT:FQL_AUDITING_CLIENT_TEMPLATE.FAT&amp;display_string=Audit&amp;VAR:KEY=TIJCJCDATO&amp;VAR:QUERY=RkZfRUJJVERBX0lCKCdMVE1TJywzOTczMSk=&amp;WINDOW=FIRST_POPUP&amp;HEIGHT=450&amp;WIDTH=450&amp;START_MA","XIMIZED=FALSE&amp;VAR:CALENDAR=US&amp;VAR:SYMBOL=05614P10&amp;VAR:INDEX=0"}</definedName>
    <definedName name="_2327__FDSAUDITLINK__" localSheetId="6" hidden="1">{"fdsup://directions/FAT Viewer?action=UPDATE&amp;creator=factset&amp;DYN_ARGS=TRUE&amp;DOC_NAME=FAT:FQL_AUDITING_CLIENT_TEMPLATE.FAT&amp;display_string=Audit&amp;VAR:KEY=LQNMDGLWJY&amp;VAR:QUERY=RkZfRUJJVERBX0lCKCdMVE1TJywzOTczMCk=&amp;WINDOW=FIRST_POPUP&amp;HEIGHT=450&amp;WIDTH=450&amp;START_MA","XIMIZED=FALSE&amp;VAR:CALENDAR=US&amp;VAR:SYMBOL=05614P10&amp;VAR:INDEX=0"}</definedName>
    <definedName name="_2327__FDSAUDITLINK__" hidden="1">{"fdsup://directions/FAT Viewer?action=UPDATE&amp;creator=factset&amp;DYN_ARGS=TRUE&amp;DOC_NAME=FAT:FQL_AUDITING_CLIENT_TEMPLATE.FAT&amp;display_string=Audit&amp;VAR:KEY=LQNMDGLWJY&amp;VAR:QUERY=RkZfRUJJVERBX0lCKCdMVE1TJywzOTczMCk=&amp;WINDOW=FIRST_POPUP&amp;HEIGHT=450&amp;WIDTH=450&amp;START_MA","XIMIZED=FALSE&amp;VAR:CALENDAR=US&amp;VAR:SYMBOL=05614P10&amp;VAR:INDEX=0"}</definedName>
    <definedName name="_2328__FDSAUDITLINK__" localSheetId="6" hidden="1">{"fdsup://directions/FAT Viewer?action=UPDATE&amp;creator=factset&amp;DYN_ARGS=TRUE&amp;DOC_NAME=FAT:FQL_AUDITING_CLIENT_TEMPLATE.FAT&amp;display_string=Audit&amp;VAR:KEY=JCVAZYFMLS&amp;VAR:QUERY=RkZfRUJJVERBX0lCKCdMVE1TJywzOTcyOSk=&amp;WINDOW=FIRST_POPUP&amp;HEIGHT=450&amp;WIDTH=450&amp;START_MA","XIMIZED=FALSE&amp;VAR:CALENDAR=US&amp;VAR:SYMBOL=05614P10&amp;VAR:INDEX=0"}</definedName>
    <definedName name="_2328__FDSAUDITLINK__" hidden="1">{"fdsup://directions/FAT Viewer?action=UPDATE&amp;creator=factset&amp;DYN_ARGS=TRUE&amp;DOC_NAME=FAT:FQL_AUDITING_CLIENT_TEMPLATE.FAT&amp;display_string=Audit&amp;VAR:KEY=JCVAZYFMLS&amp;VAR:QUERY=RkZfRUJJVERBX0lCKCdMVE1TJywzOTcyOSk=&amp;WINDOW=FIRST_POPUP&amp;HEIGHT=450&amp;WIDTH=450&amp;START_MA","XIMIZED=FALSE&amp;VAR:CALENDAR=US&amp;VAR:SYMBOL=05614P10&amp;VAR:INDEX=0"}</definedName>
    <definedName name="_2329__FDSAUDITLINK__" localSheetId="6" hidden="1">{"fdsup://directions/FAT Viewer?action=UPDATE&amp;creator=factset&amp;DYN_ARGS=TRUE&amp;DOC_NAME=FAT:FQL_AUDITING_CLIENT_TEMPLATE.FAT&amp;display_string=Audit&amp;VAR:KEY=FEDOXEPQLE&amp;VAR:QUERY=RkZfRUJJVERBX0lCKCdMVE1TJywzOTcyOCk=&amp;WINDOW=FIRST_POPUP&amp;HEIGHT=450&amp;WIDTH=450&amp;START_MA","XIMIZED=FALSE&amp;VAR:CALENDAR=US&amp;VAR:SYMBOL=05614P10&amp;VAR:INDEX=0"}</definedName>
    <definedName name="_2329__FDSAUDITLINK__" hidden="1">{"fdsup://directions/FAT Viewer?action=UPDATE&amp;creator=factset&amp;DYN_ARGS=TRUE&amp;DOC_NAME=FAT:FQL_AUDITING_CLIENT_TEMPLATE.FAT&amp;display_string=Audit&amp;VAR:KEY=FEDOXEPQLE&amp;VAR:QUERY=RkZfRUJJVERBX0lCKCdMVE1TJywzOTcyOCk=&amp;WINDOW=FIRST_POPUP&amp;HEIGHT=450&amp;WIDTH=450&amp;START_MA","XIMIZED=FALSE&amp;VAR:CALENDAR=US&amp;VAR:SYMBOL=05614P10&amp;VAR:INDEX=0"}</definedName>
    <definedName name="_233__FDSAUDITLINK__" localSheetId="6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3__FDSAUDITLINK__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30__FDSAUDITLINK__" localSheetId="6" hidden="1">{"fdsup://directions/FAT Viewer?action=UPDATE&amp;creator=factset&amp;DYN_ARGS=TRUE&amp;DOC_NAME=FAT:FQL_AUDITING_CLIENT_TEMPLATE.FAT&amp;display_string=Audit&amp;VAR:KEY=BWZGTUFKXU&amp;VAR:QUERY=RkZfRUJJVERBX0lCKCdMVE1TJywzOTcyNyk=&amp;WINDOW=FIRST_POPUP&amp;HEIGHT=450&amp;WIDTH=450&amp;START_MA","XIMIZED=FALSE&amp;VAR:CALENDAR=US&amp;VAR:SYMBOL=05614P10&amp;VAR:INDEX=0"}</definedName>
    <definedName name="_2330__FDSAUDITLINK__" hidden="1">{"fdsup://directions/FAT Viewer?action=UPDATE&amp;creator=factset&amp;DYN_ARGS=TRUE&amp;DOC_NAME=FAT:FQL_AUDITING_CLIENT_TEMPLATE.FAT&amp;display_string=Audit&amp;VAR:KEY=BWZGTUFKXU&amp;VAR:QUERY=RkZfRUJJVERBX0lCKCdMVE1TJywzOTcyNyk=&amp;WINDOW=FIRST_POPUP&amp;HEIGHT=450&amp;WIDTH=450&amp;START_MA","XIMIZED=FALSE&amp;VAR:CALENDAR=US&amp;VAR:SYMBOL=05614P10&amp;VAR:INDEX=0"}</definedName>
    <definedName name="_2331__FDSAUDITLINK__" localSheetId="6" hidden="1">{"fdsup://directions/FAT Viewer?action=UPDATE&amp;creator=factset&amp;DYN_ARGS=TRUE&amp;DOC_NAME=FAT:FQL_AUDITING_CLIENT_TEMPLATE.FAT&amp;display_string=Audit&amp;VAR:KEY=ZIFCVYNWZY&amp;VAR:QUERY=RkZfRUJJVERBX0lCKCdMVE1TJywzOTcyNik=&amp;WINDOW=FIRST_POPUP&amp;HEIGHT=450&amp;WIDTH=450&amp;START_MA","XIMIZED=FALSE&amp;VAR:CALENDAR=US&amp;VAR:SYMBOL=05614P10&amp;VAR:INDEX=0"}</definedName>
    <definedName name="_2331__FDSAUDITLINK__" hidden="1">{"fdsup://directions/FAT Viewer?action=UPDATE&amp;creator=factset&amp;DYN_ARGS=TRUE&amp;DOC_NAME=FAT:FQL_AUDITING_CLIENT_TEMPLATE.FAT&amp;display_string=Audit&amp;VAR:KEY=ZIFCVYNWZY&amp;VAR:QUERY=RkZfRUJJVERBX0lCKCdMVE1TJywzOTcyNik=&amp;WINDOW=FIRST_POPUP&amp;HEIGHT=450&amp;WIDTH=450&amp;START_MA","XIMIZED=FALSE&amp;VAR:CALENDAR=US&amp;VAR:SYMBOL=05614P10&amp;VAR:INDEX=0"}</definedName>
    <definedName name="_2332__FDSAUDITLINK__" localSheetId="6" hidden="1">{"fdsup://directions/FAT Viewer?action=UPDATE&amp;creator=factset&amp;DYN_ARGS=TRUE&amp;DOC_NAME=FAT:FQL_AUDITING_CLIENT_TEMPLATE.FAT&amp;display_string=Audit&amp;VAR:KEY=FCBGVEDQBQ&amp;VAR:QUERY=RkZfRUJJVERBX0lCKCdMVE1TJywzOTcyNSk=&amp;WINDOW=FIRST_POPUP&amp;HEIGHT=450&amp;WIDTH=450&amp;START_MA","XIMIZED=FALSE&amp;VAR:CALENDAR=US&amp;VAR:SYMBOL=05614P10&amp;VAR:INDEX=0"}</definedName>
    <definedName name="_2332__FDSAUDITLINK__" hidden="1">{"fdsup://directions/FAT Viewer?action=UPDATE&amp;creator=factset&amp;DYN_ARGS=TRUE&amp;DOC_NAME=FAT:FQL_AUDITING_CLIENT_TEMPLATE.FAT&amp;display_string=Audit&amp;VAR:KEY=FCBGVEDQBQ&amp;VAR:QUERY=RkZfRUJJVERBX0lCKCdMVE1TJywzOTcyNSk=&amp;WINDOW=FIRST_POPUP&amp;HEIGHT=450&amp;WIDTH=450&amp;START_MA","XIMIZED=FALSE&amp;VAR:CALENDAR=US&amp;VAR:SYMBOL=05614P10&amp;VAR:INDEX=0"}</definedName>
    <definedName name="_2333__FDSAUDITLINK__" localSheetId="6" hidden="1">{"fdsup://directions/FAT Viewer?action=UPDATE&amp;creator=factset&amp;DYN_ARGS=TRUE&amp;DOC_NAME=FAT:FQL_AUDITING_CLIENT_TEMPLATE.FAT&amp;display_string=Audit&amp;VAR:KEY=FQPYXERAFC&amp;VAR:QUERY=RkZfRUJJVERBX0lCKCdMVE1TJywzOTcyNCk=&amp;WINDOW=FIRST_POPUP&amp;HEIGHT=450&amp;WIDTH=450&amp;START_MA","XIMIZED=FALSE&amp;VAR:CALENDAR=US&amp;VAR:SYMBOL=05614P10&amp;VAR:INDEX=0"}</definedName>
    <definedName name="_2333__FDSAUDITLINK__" hidden="1">{"fdsup://directions/FAT Viewer?action=UPDATE&amp;creator=factset&amp;DYN_ARGS=TRUE&amp;DOC_NAME=FAT:FQL_AUDITING_CLIENT_TEMPLATE.FAT&amp;display_string=Audit&amp;VAR:KEY=FQPYXERAFC&amp;VAR:QUERY=RkZfRUJJVERBX0lCKCdMVE1TJywzOTcyNCk=&amp;WINDOW=FIRST_POPUP&amp;HEIGHT=450&amp;WIDTH=450&amp;START_MA","XIMIZED=FALSE&amp;VAR:CALENDAR=US&amp;VAR:SYMBOL=05614P10&amp;VAR:INDEX=0"}</definedName>
    <definedName name="_2334__FDSAUDITLINK__" localSheetId="6" hidden="1">{"fdsup://directions/FAT Viewer?action=UPDATE&amp;creator=factset&amp;DYN_ARGS=TRUE&amp;DOC_NAME=FAT:FQL_AUDITING_CLIENT_TEMPLATE.FAT&amp;display_string=Audit&amp;VAR:KEY=TENKFQXAVS&amp;VAR:QUERY=RkZfRUJJVERBX0lCKCdMVE1TJywzOTcyMyk=&amp;WINDOW=FIRST_POPUP&amp;HEIGHT=450&amp;WIDTH=450&amp;START_MA","XIMIZED=FALSE&amp;VAR:CALENDAR=US&amp;VAR:SYMBOL=05614P10&amp;VAR:INDEX=0"}</definedName>
    <definedName name="_2334__FDSAUDITLINK__" hidden="1">{"fdsup://directions/FAT Viewer?action=UPDATE&amp;creator=factset&amp;DYN_ARGS=TRUE&amp;DOC_NAME=FAT:FQL_AUDITING_CLIENT_TEMPLATE.FAT&amp;display_string=Audit&amp;VAR:KEY=TENKFQXAVS&amp;VAR:QUERY=RkZfRUJJVERBX0lCKCdMVE1TJywzOTcyMyk=&amp;WINDOW=FIRST_POPUP&amp;HEIGHT=450&amp;WIDTH=450&amp;START_MA","XIMIZED=FALSE&amp;VAR:CALENDAR=US&amp;VAR:SYMBOL=05614P10&amp;VAR:INDEX=0"}</definedName>
    <definedName name="_2335__FDSAUDITLINK__" localSheetId="6" hidden="1">{"fdsup://directions/FAT Viewer?action=UPDATE&amp;creator=factset&amp;DYN_ARGS=TRUE&amp;DOC_NAME=FAT:FQL_AUDITING_CLIENT_TEMPLATE.FAT&amp;display_string=Audit&amp;VAR:KEY=PIRANSFQRC&amp;VAR:QUERY=RkZfRUJJVERBX0lCKCdMVE1TJywzOTcyMik=&amp;WINDOW=FIRST_POPUP&amp;HEIGHT=450&amp;WIDTH=450&amp;START_MA","XIMIZED=FALSE&amp;VAR:CALENDAR=US&amp;VAR:SYMBOL=05614P10&amp;VAR:INDEX=0"}</definedName>
    <definedName name="_2335__FDSAUDITLINK__" hidden="1">{"fdsup://directions/FAT Viewer?action=UPDATE&amp;creator=factset&amp;DYN_ARGS=TRUE&amp;DOC_NAME=FAT:FQL_AUDITING_CLIENT_TEMPLATE.FAT&amp;display_string=Audit&amp;VAR:KEY=PIRANSFQRC&amp;VAR:QUERY=RkZfRUJJVERBX0lCKCdMVE1TJywzOTcyMik=&amp;WINDOW=FIRST_POPUP&amp;HEIGHT=450&amp;WIDTH=450&amp;START_MA","XIMIZED=FALSE&amp;VAR:CALENDAR=US&amp;VAR:SYMBOL=05614P10&amp;VAR:INDEX=0"}</definedName>
    <definedName name="_2336__FDSAUDITLINK__" localSheetId="6" hidden="1">{"fdsup://directions/FAT Viewer?action=UPDATE&amp;creator=factset&amp;DYN_ARGS=TRUE&amp;DOC_NAME=FAT:FQL_AUDITING_CLIENT_TEMPLATE.FAT&amp;display_string=Audit&amp;VAR:KEY=RQLIRSTGTM&amp;VAR:QUERY=RkZfRUJJVERBX0lCKCdMVE1TJywzOTcyMSk=&amp;WINDOW=FIRST_POPUP&amp;HEIGHT=450&amp;WIDTH=450&amp;START_MA","XIMIZED=FALSE&amp;VAR:CALENDAR=US&amp;VAR:SYMBOL=05614P10&amp;VAR:INDEX=0"}</definedName>
    <definedName name="_2336__FDSAUDITLINK__" hidden="1">{"fdsup://directions/FAT Viewer?action=UPDATE&amp;creator=factset&amp;DYN_ARGS=TRUE&amp;DOC_NAME=FAT:FQL_AUDITING_CLIENT_TEMPLATE.FAT&amp;display_string=Audit&amp;VAR:KEY=RQLIRSTGTM&amp;VAR:QUERY=RkZfRUJJVERBX0lCKCdMVE1TJywzOTcyMSk=&amp;WINDOW=FIRST_POPUP&amp;HEIGHT=450&amp;WIDTH=450&amp;START_MA","XIMIZED=FALSE&amp;VAR:CALENDAR=US&amp;VAR:SYMBOL=05614P10&amp;VAR:INDEX=0"}</definedName>
    <definedName name="_2337__FDSAUDITLINK__" localSheetId="6" hidden="1">{"fdsup://directions/FAT Viewer?action=UPDATE&amp;creator=factset&amp;DYN_ARGS=TRUE&amp;DOC_NAME=FAT:FQL_AUDITING_CLIENT_TEMPLATE.FAT&amp;display_string=Audit&amp;VAR:KEY=LSFADINYRA&amp;VAR:QUERY=RkZfRUJJVERBX0lCKCdMVE1TJywzOTcyMCk=&amp;WINDOW=FIRST_POPUP&amp;HEIGHT=450&amp;WIDTH=450&amp;START_MA","XIMIZED=FALSE&amp;VAR:CALENDAR=US&amp;VAR:SYMBOL=05614P10&amp;VAR:INDEX=0"}</definedName>
    <definedName name="_2337__FDSAUDITLINK__" hidden="1">{"fdsup://directions/FAT Viewer?action=UPDATE&amp;creator=factset&amp;DYN_ARGS=TRUE&amp;DOC_NAME=FAT:FQL_AUDITING_CLIENT_TEMPLATE.FAT&amp;display_string=Audit&amp;VAR:KEY=LSFADINYRA&amp;VAR:QUERY=RkZfRUJJVERBX0lCKCdMVE1TJywzOTcyMCk=&amp;WINDOW=FIRST_POPUP&amp;HEIGHT=450&amp;WIDTH=450&amp;START_MA","XIMIZED=FALSE&amp;VAR:CALENDAR=US&amp;VAR:SYMBOL=05614P10&amp;VAR:INDEX=0"}</definedName>
    <definedName name="_2338__FDSAUDITLINK__" localSheetId="6" hidden="1">{"fdsup://directions/FAT Viewer?action=UPDATE&amp;creator=factset&amp;DYN_ARGS=TRUE&amp;DOC_NAME=FAT:FQL_AUDITING_CLIENT_TEMPLATE.FAT&amp;display_string=Audit&amp;VAR:KEY=ZKHSHOXSJC&amp;VAR:QUERY=RkZfRUJJVERBX0lCKCdMVE1TJywzOTcxOSk=&amp;WINDOW=FIRST_POPUP&amp;HEIGHT=450&amp;WIDTH=450&amp;START_MA","XIMIZED=FALSE&amp;VAR:CALENDAR=US&amp;VAR:SYMBOL=05614P10&amp;VAR:INDEX=0"}</definedName>
    <definedName name="_2338__FDSAUDITLINK__" hidden="1">{"fdsup://directions/FAT Viewer?action=UPDATE&amp;creator=factset&amp;DYN_ARGS=TRUE&amp;DOC_NAME=FAT:FQL_AUDITING_CLIENT_TEMPLATE.FAT&amp;display_string=Audit&amp;VAR:KEY=ZKHSHOXSJC&amp;VAR:QUERY=RkZfRUJJVERBX0lCKCdMVE1TJywzOTcxOSk=&amp;WINDOW=FIRST_POPUP&amp;HEIGHT=450&amp;WIDTH=450&amp;START_MA","XIMIZED=FALSE&amp;VAR:CALENDAR=US&amp;VAR:SYMBOL=05614P10&amp;VAR:INDEX=0"}</definedName>
    <definedName name="_2339__FDSAUDITLINK__" localSheetId="6" hidden="1">{"fdsup://directions/FAT Viewer?action=UPDATE&amp;creator=factset&amp;DYN_ARGS=TRUE&amp;DOC_NAME=FAT:FQL_AUDITING_CLIENT_TEMPLATE.FAT&amp;display_string=Audit&amp;VAR:KEY=DIRWHGDCJW&amp;VAR:QUERY=RkZfRUJJVERBX0lCKCdMVE1TJywzOTcxOCk=&amp;WINDOW=FIRST_POPUP&amp;HEIGHT=450&amp;WIDTH=450&amp;START_MA","XIMIZED=FALSE&amp;VAR:CALENDAR=US&amp;VAR:SYMBOL=05614P10&amp;VAR:INDEX=0"}</definedName>
    <definedName name="_2339__FDSAUDITLINK__" hidden="1">{"fdsup://directions/FAT Viewer?action=UPDATE&amp;creator=factset&amp;DYN_ARGS=TRUE&amp;DOC_NAME=FAT:FQL_AUDITING_CLIENT_TEMPLATE.FAT&amp;display_string=Audit&amp;VAR:KEY=DIRWHGDCJW&amp;VAR:QUERY=RkZfRUJJVERBX0lCKCdMVE1TJywzOTcxOCk=&amp;WINDOW=FIRST_POPUP&amp;HEIGHT=450&amp;WIDTH=450&amp;START_MA","XIMIZED=FALSE&amp;VAR:CALENDAR=US&amp;VAR:SYMBOL=05614P10&amp;VAR:INDEX=0"}</definedName>
    <definedName name="_234__FDSAUDITLINK__" localSheetId="6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4__FDSAUDITLINK__" hidden="1">{"fdsup://directions/FAT%20Viewer?VAR:PED=LTM&amp;VAR:AUDIT_MODE=SUMMARY&amp;VAR:PERIOD=FIXED&amp;VAR:AUDIT_ID=00000117&amp;VAR:DATE=20090702&amp;action=UPDATE&amp;creator=factset&amp;DOC_NAME=FAT:FMA_audit_SUMMARY.fat&amp;DISPLAY_STRING=Display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40__FDSAUDITLINK__" localSheetId="6" hidden="1">{"fdsup://directions/FAT Viewer?action=UPDATE&amp;creator=factset&amp;DYN_ARGS=TRUE&amp;DOC_NAME=FAT:FQL_AUDITING_CLIENT_TEMPLATE.FAT&amp;display_string=Audit&amp;VAR:KEY=HGDOJYTOPG&amp;VAR:QUERY=RkZfRUJJVERBX0lCKCdMVE1TJywzOTcxNyk=&amp;WINDOW=FIRST_POPUP&amp;HEIGHT=450&amp;WIDTH=450&amp;START_MA","XIMIZED=FALSE&amp;VAR:CALENDAR=US&amp;VAR:SYMBOL=05614P10&amp;VAR:INDEX=0"}</definedName>
    <definedName name="_2340__FDSAUDITLINK__" hidden="1">{"fdsup://directions/FAT Viewer?action=UPDATE&amp;creator=factset&amp;DYN_ARGS=TRUE&amp;DOC_NAME=FAT:FQL_AUDITING_CLIENT_TEMPLATE.FAT&amp;display_string=Audit&amp;VAR:KEY=HGDOJYTOPG&amp;VAR:QUERY=RkZfRUJJVERBX0lCKCdMVE1TJywzOTcxNyk=&amp;WINDOW=FIRST_POPUP&amp;HEIGHT=450&amp;WIDTH=450&amp;START_MA","XIMIZED=FALSE&amp;VAR:CALENDAR=US&amp;VAR:SYMBOL=05614P10&amp;VAR:INDEX=0"}</definedName>
    <definedName name="_2341__FDSAUDITLINK__" localSheetId="6" hidden="1">{"fdsup://directions/FAT Viewer?action=UPDATE&amp;creator=factset&amp;DYN_ARGS=TRUE&amp;DOC_NAME=FAT:FQL_AUDITING_CLIENT_TEMPLATE.FAT&amp;display_string=Audit&amp;VAR:KEY=DGLYZIBULO&amp;VAR:QUERY=RkZfRUJJVERBX0lCKCdMVE1TJywzOTcxNik=&amp;WINDOW=FIRST_POPUP&amp;HEIGHT=450&amp;WIDTH=450&amp;START_MA","XIMIZED=FALSE&amp;VAR:CALENDAR=US&amp;VAR:SYMBOL=05614P10&amp;VAR:INDEX=0"}</definedName>
    <definedName name="_2341__FDSAUDITLINK__" hidden="1">{"fdsup://directions/FAT Viewer?action=UPDATE&amp;creator=factset&amp;DYN_ARGS=TRUE&amp;DOC_NAME=FAT:FQL_AUDITING_CLIENT_TEMPLATE.FAT&amp;display_string=Audit&amp;VAR:KEY=DGLYZIBULO&amp;VAR:QUERY=RkZfRUJJVERBX0lCKCdMVE1TJywzOTcxNik=&amp;WINDOW=FIRST_POPUP&amp;HEIGHT=450&amp;WIDTH=450&amp;START_MA","XIMIZED=FALSE&amp;VAR:CALENDAR=US&amp;VAR:SYMBOL=05614P10&amp;VAR:INDEX=0"}</definedName>
    <definedName name="_2342__FDSAUDITLINK__" localSheetId="6" hidden="1">{"fdsup://directions/FAT Viewer?action=UPDATE&amp;creator=factset&amp;DYN_ARGS=TRUE&amp;DOC_NAME=FAT:FQL_AUDITING_CLIENT_TEMPLATE.FAT&amp;display_string=Audit&amp;VAR:KEY=XCBQRUJEXO&amp;VAR:QUERY=RkZfRUJJVERBX0lCKCdMVE1TJywzOTcxNSk=&amp;WINDOW=FIRST_POPUP&amp;HEIGHT=450&amp;WIDTH=450&amp;START_MA","XIMIZED=FALSE&amp;VAR:CALENDAR=US&amp;VAR:SYMBOL=05614P10&amp;VAR:INDEX=0"}</definedName>
    <definedName name="_2342__FDSAUDITLINK__" hidden="1">{"fdsup://directions/FAT Viewer?action=UPDATE&amp;creator=factset&amp;DYN_ARGS=TRUE&amp;DOC_NAME=FAT:FQL_AUDITING_CLIENT_TEMPLATE.FAT&amp;display_string=Audit&amp;VAR:KEY=XCBQRUJEXO&amp;VAR:QUERY=RkZfRUJJVERBX0lCKCdMVE1TJywzOTcxNSk=&amp;WINDOW=FIRST_POPUP&amp;HEIGHT=450&amp;WIDTH=450&amp;START_MA","XIMIZED=FALSE&amp;VAR:CALENDAR=US&amp;VAR:SYMBOL=05614P10&amp;VAR:INDEX=0"}</definedName>
    <definedName name="_2343__FDSAUDITLINK__" localSheetId="6" hidden="1">{"fdsup://directions/FAT Viewer?action=UPDATE&amp;creator=factset&amp;DYN_ARGS=TRUE&amp;DOC_NAME=FAT:FQL_AUDITING_CLIENT_TEMPLATE.FAT&amp;display_string=Audit&amp;VAR:KEY=FGDATCXOBW&amp;VAR:QUERY=RkZfRUJJVERBX0lCKCdMVE1TJywzOTcxNCk=&amp;WINDOW=FIRST_POPUP&amp;HEIGHT=450&amp;WIDTH=450&amp;START_MA","XIMIZED=FALSE&amp;VAR:CALENDAR=US&amp;VAR:SYMBOL=05614P10&amp;VAR:INDEX=0"}</definedName>
    <definedName name="_2343__FDSAUDITLINK__" hidden="1">{"fdsup://directions/FAT Viewer?action=UPDATE&amp;creator=factset&amp;DYN_ARGS=TRUE&amp;DOC_NAME=FAT:FQL_AUDITING_CLIENT_TEMPLATE.FAT&amp;display_string=Audit&amp;VAR:KEY=FGDATCXOBW&amp;VAR:QUERY=RkZfRUJJVERBX0lCKCdMVE1TJywzOTcxNCk=&amp;WINDOW=FIRST_POPUP&amp;HEIGHT=450&amp;WIDTH=450&amp;START_MA","XIMIZED=FALSE&amp;VAR:CALENDAR=US&amp;VAR:SYMBOL=05614P10&amp;VAR:INDEX=0"}</definedName>
    <definedName name="_2344__FDSAUDITLINK__" localSheetId="6" hidden="1">{"fdsup://directions/FAT Viewer?action=UPDATE&amp;creator=factset&amp;DYN_ARGS=TRUE&amp;DOC_NAME=FAT:FQL_AUDITING_CLIENT_TEMPLATE.FAT&amp;display_string=Audit&amp;VAR:KEY=BCXGVMFILW&amp;VAR:QUERY=RkZfRUJJVERBX0lCKCdMVE1TJywzOTcxMyk=&amp;WINDOW=FIRST_POPUP&amp;HEIGHT=450&amp;WIDTH=450&amp;START_MA","XIMIZED=FALSE&amp;VAR:CALENDAR=US&amp;VAR:SYMBOL=05614P10&amp;VAR:INDEX=0"}</definedName>
    <definedName name="_2344__FDSAUDITLINK__" hidden="1">{"fdsup://directions/FAT Viewer?action=UPDATE&amp;creator=factset&amp;DYN_ARGS=TRUE&amp;DOC_NAME=FAT:FQL_AUDITING_CLIENT_TEMPLATE.FAT&amp;display_string=Audit&amp;VAR:KEY=BCXGVMFILW&amp;VAR:QUERY=RkZfRUJJVERBX0lCKCdMVE1TJywzOTcxMyk=&amp;WINDOW=FIRST_POPUP&amp;HEIGHT=450&amp;WIDTH=450&amp;START_MA","XIMIZED=FALSE&amp;VAR:CALENDAR=US&amp;VAR:SYMBOL=05614P10&amp;VAR:INDEX=0"}</definedName>
    <definedName name="_2345__FDSAUDITLINK__" localSheetId="6" hidden="1">{"fdsup://directions/FAT Viewer?action=UPDATE&amp;creator=factset&amp;DYN_ARGS=TRUE&amp;DOC_NAME=FAT:FQL_AUDITING_CLIENT_TEMPLATE.FAT&amp;display_string=Audit&amp;VAR:KEY=PKLCFIBCFK&amp;VAR:QUERY=RkZfRUJJVERBX0lCKCdMVE1TJywzOTcxMik=&amp;WINDOW=FIRST_POPUP&amp;HEIGHT=450&amp;WIDTH=450&amp;START_MA","XIMIZED=FALSE&amp;VAR:CALENDAR=US&amp;VAR:SYMBOL=05614P10&amp;VAR:INDEX=0"}</definedName>
    <definedName name="_2345__FDSAUDITLINK__" hidden="1">{"fdsup://directions/FAT Viewer?action=UPDATE&amp;creator=factset&amp;DYN_ARGS=TRUE&amp;DOC_NAME=FAT:FQL_AUDITING_CLIENT_TEMPLATE.FAT&amp;display_string=Audit&amp;VAR:KEY=PKLCFIBCFK&amp;VAR:QUERY=RkZfRUJJVERBX0lCKCdMVE1TJywzOTcxMik=&amp;WINDOW=FIRST_POPUP&amp;HEIGHT=450&amp;WIDTH=450&amp;START_MA","XIMIZED=FALSE&amp;VAR:CALENDAR=US&amp;VAR:SYMBOL=05614P10&amp;VAR:INDEX=0"}</definedName>
    <definedName name="_2346__FDSAUDITLINK__" localSheetId="6" hidden="1">{"fdsup://directions/FAT Viewer?action=UPDATE&amp;creator=factset&amp;DYN_ARGS=TRUE&amp;DOC_NAME=FAT:FQL_AUDITING_CLIENT_TEMPLATE.FAT&amp;display_string=Audit&amp;VAR:KEY=DQVMJWFUHK&amp;VAR:QUERY=RkZfRUJJVERBX0lCKCdMVE1TJywzOTcxMSk=&amp;WINDOW=FIRST_POPUP&amp;HEIGHT=450&amp;WIDTH=450&amp;START_MA","XIMIZED=FALSE&amp;VAR:CALENDAR=US&amp;VAR:SYMBOL=05614P10&amp;VAR:INDEX=0"}</definedName>
    <definedName name="_2346__FDSAUDITLINK__" hidden="1">{"fdsup://directions/FAT Viewer?action=UPDATE&amp;creator=factset&amp;DYN_ARGS=TRUE&amp;DOC_NAME=FAT:FQL_AUDITING_CLIENT_TEMPLATE.FAT&amp;display_string=Audit&amp;VAR:KEY=DQVMJWFUHK&amp;VAR:QUERY=RkZfRUJJVERBX0lCKCdMVE1TJywzOTcxMSk=&amp;WINDOW=FIRST_POPUP&amp;HEIGHT=450&amp;WIDTH=450&amp;START_MA","XIMIZED=FALSE&amp;VAR:CALENDAR=US&amp;VAR:SYMBOL=05614P10&amp;VAR:INDEX=0"}</definedName>
    <definedName name="_2347__FDSAUDITLINK__" localSheetId="6" hidden="1">{"fdsup://directions/FAT Viewer?action=UPDATE&amp;creator=factset&amp;DYN_ARGS=TRUE&amp;DOC_NAME=FAT:FQL_AUDITING_CLIENT_TEMPLATE.FAT&amp;display_string=Audit&amp;VAR:KEY=BOJILGTQXW&amp;VAR:QUERY=RkZfRUJJVERBX0lCKCdMVE1TJywzOTcxMCk=&amp;WINDOW=FIRST_POPUP&amp;HEIGHT=450&amp;WIDTH=450&amp;START_MA","XIMIZED=FALSE&amp;VAR:CALENDAR=US&amp;VAR:SYMBOL=05614P10&amp;VAR:INDEX=0"}</definedName>
    <definedName name="_2347__FDSAUDITLINK__" hidden="1">{"fdsup://directions/FAT Viewer?action=UPDATE&amp;creator=factset&amp;DYN_ARGS=TRUE&amp;DOC_NAME=FAT:FQL_AUDITING_CLIENT_TEMPLATE.FAT&amp;display_string=Audit&amp;VAR:KEY=BOJILGTQXW&amp;VAR:QUERY=RkZfRUJJVERBX0lCKCdMVE1TJywzOTcxMCk=&amp;WINDOW=FIRST_POPUP&amp;HEIGHT=450&amp;WIDTH=450&amp;START_MA","XIMIZED=FALSE&amp;VAR:CALENDAR=US&amp;VAR:SYMBOL=05614P10&amp;VAR:INDEX=0"}</definedName>
    <definedName name="_2348__FDSAUDITLINK__" localSheetId="6" hidden="1">{"fdsup://directions/FAT Viewer?action=UPDATE&amp;creator=factset&amp;DYN_ARGS=TRUE&amp;DOC_NAME=FAT:FQL_AUDITING_CLIENT_TEMPLATE.FAT&amp;display_string=Audit&amp;VAR:KEY=XWNCRSVWPM&amp;VAR:QUERY=RkZfRUJJVERBX0lCKCdMVE1TJywzOTcwOSk=&amp;WINDOW=FIRST_POPUP&amp;HEIGHT=450&amp;WIDTH=450&amp;START_MA","XIMIZED=FALSE&amp;VAR:CALENDAR=US&amp;VAR:SYMBOL=05614P10&amp;VAR:INDEX=0"}</definedName>
    <definedName name="_2348__FDSAUDITLINK__" hidden="1">{"fdsup://directions/FAT Viewer?action=UPDATE&amp;creator=factset&amp;DYN_ARGS=TRUE&amp;DOC_NAME=FAT:FQL_AUDITING_CLIENT_TEMPLATE.FAT&amp;display_string=Audit&amp;VAR:KEY=XWNCRSVWPM&amp;VAR:QUERY=RkZfRUJJVERBX0lCKCdMVE1TJywzOTcwOSk=&amp;WINDOW=FIRST_POPUP&amp;HEIGHT=450&amp;WIDTH=450&amp;START_MA","XIMIZED=FALSE&amp;VAR:CALENDAR=US&amp;VAR:SYMBOL=05614P10&amp;VAR:INDEX=0"}</definedName>
    <definedName name="_2349__FDSAUDITLINK__" localSheetId="6" hidden="1">{"fdsup://directions/FAT Viewer?action=UPDATE&amp;creator=factset&amp;DYN_ARGS=TRUE&amp;DOC_NAME=FAT:FQL_AUDITING_CLIENT_TEMPLATE.FAT&amp;display_string=Audit&amp;VAR:KEY=TKVYXUJAPI&amp;VAR:QUERY=RkZfRUJJVERBX0lCKCdMVE1TJywzOTcwOCk=&amp;WINDOW=FIRST_POPUP&amp;HEIGHT=450&amp;WIDTH=450&amp;START_MA","XIMIZED=FALSE&amp;VAR:CALENDAR=US&amp;VAR:SYMBOL=05614P10&amp;VAR:INDEX=0"}</definedName>
    <definedName name="_2349__FDSAUDITLINK__" hidden="1">{"fdsup://directions/FAT Viewer?action=UPDATE&amp;creator=factset&amp;DYN_ARGS=TRUE&amp;DOC_NAME=FAT:FQL_AUDITING_CLIENT_TEMPLATE.FAT&amp;display_string=Audit&amp;VAR:KEY=TKVYXUJAPI&amp;VAR:QUERY=RkZfRUJJVERBX0lCKCdMVE1TJywzOTcwOCk=&amp;WINDOW=FIRST_POPUP&amp;HEIGHT=450&amp;WIDTH=450&amp;START_MA","XIMIZED=FALSE&amp;VAR:CALENDAR=US&amp;VAR:SYMBOL=05614P10&amp;VAR:INDEX=0"}</definedName>
    <definedName name="_235__FDSAUDITLINK__" localSheetId="6" hidden="1">{"fdsup://directions/FAT%20Viewer?VAR:PED=LTM&amp;VAR:AUDIT_MODE=SUMMARY&amp;VAR:PERIOD=FIXED&amp;VAR:AUDIT_ID=00000117&amp;VAR:DATE=20090701&amp;action=UPDATE&amp;creator=factset&amp;DOC_NAME=FAT:FMA_audit_SUMMARY.fat&amp;DISPLAY_STRING=Display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5__FDSAUDITLINK__" hidden="1">{"fdsup://directions/FAT%20Viewer?VAR:PED=LTM&amp;VAR:AUDIT_MODE=SUMMARY&amp;VAR:PERIOD=FIXED&amp;VAR:AUDIT_ID=00000117&amp;VAR:DATE=20090701&amp;action=UPDATE&amp;creator=factset&amp;DOC_NAME=FAT:FMA_audit_SUMMARY.fat&amp;DISPLAY_STRING=Display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50__FDSAUDITLINK__" localSheetId="6" hidden="1">{"fdsup://directions/FAT Viewer?action=UPDATE&amp;creator=factset&amp;DYN_ARGS=TRUE&amp;DOC_NAME=FAT:FQL_AUDITING_CLIENT_TEMPLATE.FAT&amp;display_string=Audit&amp;VAR:KEY=JITUZKRKVQ&amp;VAR:QUERY=RkZfRUJJVERBX0lCKCdMVE1TJywzOTcwNyk=&amp;WINDOW=FIRST_POPUP&amp;HEIGHT=450&amp;WIDTH=450&amp;START_MA","XIMIZED=FALSE&amp;VAR:CALENDAR=US&amp;VAR:SYMBOL=05614P10&amp;VAR:INDEX=0"}</definedName>
    <definedName name="_2350__FDSAUDITLINK__" hidden="1">{"fdsup://directions/FAT Viewer?action=UPDATE&amp;creator=factset&amp;DYN_ARGS=TRUE&amp;DOC_NAME=FAT:FQL_AUDITING_CLIENT_TEMPLATE.FAT&amp;display_string=Audit&amp;VAR:KEY=JITUZKRKVQ&amp;VAR:QUERY=RkZfRUJJVERBX0lCKCdMVE1TJywzOTcwNyk=&amp;WINDOW=FIRST_POPUP&amp;HEIGHT=450&amp;WIDTH=450&amp;START_MA","XIMIZED=FALSE&amp;VAR:CALENDAR=US&amp;VAR:SYMBOL=05614P10&amp;VAR:INDEX=0"}</definedName>
    <definedName name="_2351__FDSAUDITLINK__" localSheetId="6" hidden="1">{"fdsup://directions/FAT Viewer?action=UPDATE&amp;creator=factset&amp;DYN_ARGS=TRUE&amp;DOC_NAME=FAT:FQL_AUDITING_CLIENT_TEMPLATE.FAT&amp;display_string=Audit&amp;VAR:KEY=LCXQDONKTS&amp;VAR:QUERY=RkZfRUJJVERBX0lCKCdMVE1TJywzOTcwNik=&amp;WINDOW=FIRST_POPUP&amp;HEIGHT=450&amp;WIDTH=450&amp;START_MA","XIMIZED=FALSE&amp;VAR:CALENDAR=US&amp;VAR:SYMBOL=05614P10&amp;VAR:INDEX=0"}</definedName>
    <definedName name="_2351__FDSAUDITLINK__" hidden="1">{"fdsup://directions/FAT Viewer?action=UPDATE&amp;creator=factset&amp;DYN_ARGS=TRUE&amp;DOC_NAME=FAT:FQL_AUDITING_CLIENT_TEMPLATE.FAT&amp;display_string=Audit&amp;VAR:KEY=LCXQDONKTS&amp;VAR:QUERY=RkZfRUJJVERBX0lCKCdMVE1TJywzOTcwNik=&amp;WINDOW=FIRST_POPUP&amp;HEIGHT=450&amp;WIDTH=450&amp;START_MA","XIMIZED=FALSE&amp;VAR:CALENDAR=US&amp;VAR:SYMBOL=05614P10&amp;VAR:INDEX=0"}</definedName>
    <definedName name="_2352__FDSAUDITLINK__" localSheetId="6" hidden="1">{"fdsup://directions/FAT Viewer?action=UPDATE&amp;creator=factset&amp;DYN_ARGS=TRUE&amp;DOC_NAME=FAT:FQL_AUDITING_CLIENT_TEMPLATE.FAT&amp;display_string=Audit&amp;VAR:KEY=NSDUNEFSHW&amp;VAR:QUERY=RkZfRUJJVERBX0lCKCdMVE1TJywzOTcwNSk=&amp;WINDOW=FIRST_POPUP&amp;HEIGHT=450&amp;WIDTH=450&amp;START_MA","XIMIZED=FALSE&amp;VAR:CALENDAR=US&amp;VAR:SYMBOL=05614P10&amp;VAR:INDEX=0"}</definedName>
    <definedName name="_2352__FDSAUDITLINK__" hidden="1">{"fdsup://directions/FAT Viewer?action=UPDATE&amp;creator=factset&amp;DYN_ARGS=TRUE&amp;DOC_NAME=FAT:FQL_AUDITING_CLIENT_TEMPLATE.FAT&amp;display_string=Audit&amp;VAR:KEY=NSDUNEFSHW&amp;VAR:QUERY=RkZfRUJJVERBX0lCKCdMVE1TJywzOTcwNSk=&amp;WINDOW=FIRST_POPUP&amp;HEIGHT=450&amp;WIDTH=450&amp;START_MA","XIMIZED=FALSE&amp;VAR:CALENDAR=US&amp;VAR:SYMBOL=05614P10&amp;VAR:INDEX=0"}</definedName>
    <definedName name="_2353__FDSAUDITLINK__" localSheetId="6" hidden="1">{"fdsup://directions/FAT Viewer?action=UPDATE&amp;creator=factset&amp;DYN_ARGS=TRUE&amp;DOC_NAME=FAT:FQL_AUDITING_CLIENT_TEMPLATE.FAT&amp;display_string=Audit&amp;VAR:KEY=PQXEVCDSBS&amp;VAR:QUERY=RkZfRUJJVERBX0lCKCdMVE1TJywzOTcwNCk=&amp;WINDOW=FIRST_POPUP&amp;HEIGHT=450&amp;WIDTH=450&amp;START_MA","XIMIZED=FALSE&amp;VAR:CALENDAR=US&amp;VAR:SYMBOL=05614P10&amp;VAR:INDEX=0"}</definedName>
    <definedName name="_2353__FDSAUDITLINK__" hidden="1">{"fdsup://directions/FAT Viewer?action=UPDATE&amp;creator=factset&amp;DYN_ARGS=TRUE&amp;DOC_NAME=FAT:FQL_AUDITING_CLIENT_TEMPLATE.FAT&amp;display_string=Audit&amp;VAR:KEY=PQXEVCDSBS&amp;VAR:QUERY=RkZfRUJJVERBX0lCKCdMVE1TJywzOTcwNCk=&amp;WINDOW=FIRST_POPUP&amp;HEIGHT=450&amp;WIDTH=450&amp;START_MA","XIMIZED=FALSE&amp;VAR:CALENDAR=US&amp;VAR:SYMBOL=05614P10&amp;VAR:INDEX=0"}</definedName>
    <definedName name="_2354__FDSAUDITLINK__" localSheetId="6" hidden="1">{"fdsup://directions/FAT Viewer?action=UPDATE&amp;creator=factset&amp;DYN_ARGS=TRUE&amp;DOC_NAME=FAT:FQL_AUDITING_CLIENT_TEMPLATE.FAT&amp;display_string=Audit&amp;VAR:KEY=XCTQRINAXS&amp;VAR:QUERY=RkZfRUJJVERBX0lCKCdMVE1TJywzOTcwMyk=&amp;WINDOW=FIRST_POPUP&amp;HEIGHT=450&amp;WIDTH=450&amp;START_MA","XIMIZED=FALSE&amp;VAR:CALENDAR=US&amp;VAR:SYMBOL=05614P10&amp;VAR:INDEX=0"}</definedName>
    <definedName name="_2354__FDSAUDITLINK__" hidden="1">{"fdsup://directions/FAT Viewer?action=UPDATE&amp;creator=factset&amp;DYN_ARGS=TRUE&amp;DOC_NAME=FAT:FQL_AUDITING_CLIENT_TEMPLATE.FAT&amp;display_string=Audit&amp;VAR:KEY=XCTQRINAXS&amp;VAR:QUERY=RkZfRUJJVERBX0lCKCdMVE1TJywzOTcwMyk=&amp;WINDOW=FIRST_POPUP&amp;HEIGHT=450&amp;WIDTH=450&amp;START_MA","XIMIZED=FALSE&amp;VAR:CALENDAR=US&amp;VAR:SYMBOL=05614P10&amp;VAR:INDEX=0"}</definedName>
    <definedName name="_2355__FDSAUDITLINK__" localSheetId="6" hidden="1">{"fdsup://directions/FAT Viewer?action=UPDATE&amp;creator=factset&amp;DYN_ARGS=TRUE&amp;DOC_NAME=FAT:FQL_AUDITING_CLIENT_TEMPLATE.FAT&amp;display_string=Audit&amp;VAR:KEY=XMBUJSHARW&amp;VAR:QUERY=RkZfRUJJVERBX0lCKCdMVE1TJywzOTcwMik=&amp;WINDOW=FIRST_POPUP&amp;HEIGHT=450&amp;WIDTH=450&amp;START_MA","XIMIZED=FALSE&amp;VAR:CALENDAR=US&amp;VAR:SYMBOL=05614P10&amp;VAR:INDEX=0"}</definedName>
    <definedName name="_2355__FDSAUDITLINK__" hidden="1">{"fdsup://directions/FAT Viewer?action=UPDATE&amp;creator=factset&amp;DYN_ARGS=TRUE&amp;DOC_NAME=FAT:FQL_AUDITING_CLIENT_TEMPLATE.FAT&amp;display_string=Audit&amp;VAR:KEY=XMBUJSHARW&amp;VAR:QUERY=RkZfRUJJVERBX0lCKCdMVE1TJywzOTcwMik=&amp;WINDOW=FIRST_POPUP&amp;HEIGHT=450&amp;WIDTH=450&amp;START_MA","XIMIZED=FALSE&amp;VAR:CALENDAR=US&amp;VAR:SYMBOL=05614P10&amp;VAR:INDEX=0"}</definedName>
    <definedName name="_2356__FDSAUDITLINK__" localSheetId="6" hidden="1">{"fdsup://directions/FAT Viewer?action=UPDATE&amp;creator=factset&amp;DYN_ARGS=TRUE&amp;DOC_NAME=FAT:FQL_AUDITING_CLIENT_TEMPLATE.FAT&amp;display_string=Audit&amp;VAR:KEY=RERQNAPEFI&amp;VAR:QUERY=RkZfRUJJVERBX0lCKCdMVE1TJywzOTcwMSk=&amp;WINDOW=FIRST_POPUP&amp;HEIGHT=450&amp;WIDTH=450&amp;START_MA","XIMIZED=FALSE&amp;VAR:CALENDAR=US&amp;VAR:SYMBOL=05614P10&amp;VAR:INDEX=0"}</definedName>
    <definedName name="_2356__FDSAUDITLINK__" hidden="1">{"fdsup://directions/FAT Viewer?action=UPDATE&amp;creator=factset&amp;DYN_ARGS=TRUE&amp;DOC_NAME=FAT:FQL_AUDITING_CLIENT_TEMPLATE.FAT&amp;display_string=Audit&amp;VAR:KEY=RERQNAPEFI&amp;VAR:QUERY=RkZfRUJJVERBX0lCKCdMVE1TJywzOTcwMSk=&amp;WINDOW=FIRST_POPUP&amp;HEIGHT=450&amp;WIDTH=450&amp;START_MA","XIMIZED=FALSE&amp;VAR:CALENDAR=US&amp;VAR:SYMBOL=05614P10&amp;VAR:INDEX=0"}</definedName>
    <definedName name="_2357__FDSAUDITLINK__" localSheetId="6" hidden="1">{"fdsup://directions/FAT Viewer?action=UPDATE&amp;creator=factset&amp;DYN_ARGS=TRUE&amp;DOC_NAME=FAT:FQL_AUDITING_CLIENT_TEMPLATE.FAT&amp;display_string=Audit&amp;VAR:KEY=FGBGJGNIHE&amp;VAR:QUERY=RkZfRUJJVERBX0lCKCdMVE1TJywzOTcwMCk=&amp;WINDOW=FIRST_POPUP&amp;HEIGHT=450&amp;WIDTH=450&amp;START_MA","XIMIZED=FALSE&amp;VAR:CALENDAR=US&amp;VAR:SYMBOL=05614P10&amp;VAR:INDEX=0"}</definedName>
    <definedName name="_2357__FDSAUDITLINK__" hidden="1">{"fdsup://directions/FAT Viewer?action=UPDATE&amp;creator=factset&amp;DYN_ARGS=TRUE&amp;DOC_NAME=FAT:FQL_AUDITING_CLIENT_TEMPLATE.FAT&amp;display_string=Audit&amp;VAR:KEY=FGBGJGNIHE&amp;VAR:QUERY=RkZfRUJJVERBX0lCKCdMVE1TJywzOTcwMCk=&amp;WINDOW=FIRST_POPUP&amp;HEIGHT=450&amp;WIDTH=450&amp;START_MA","XIMIZED=FALSE&amp;VAR:CALENDAR=US&amp;VAR:SYMBOL=05614P10&amp;VAR:INDEX=0"}</definedName>
    <definedName name="_2358__FDSAUDITLINK__" localSheetId="6" hidden="1">{"fdsup://directions/FAT Viewer?action=UPDATE&amp;creator=factset&amp;DYN_ARGS=TRUE&amp;DOC_NAME=FAT:FQL_AUDITING_CLIENT_TEMPLATE.FAT&amp;display_string=Audit&amp;VAR:KEY=PINYHGHIXY&amp;VAR:QUERY=RkZfRUJJVERBX0lCKCdMVE1TJywzOTY5OSk=&amp;WINDOW=FIRST_POPUP&amp;HEIGHT=450&amp;WIDTH=450&amp;START_MA","XIMIZED=FALSE&amp;VAR:CALENDAR=US&amp;VAR:SYMBOL=05614P10&amp;VAR:INDEX=0"}</definedName>
    <definedName name="_2358__FDSAUDITLINK__" hidden="1">{"fdsup://directions/FAT Viewer?action=UPDATE&amp;creator=factset&amp;DYN_ARGS=TRUE&amp;DOC_NAME=FAT:FQL_AUDITING_CLIENT_TEMPLATE.FAT&amp;display_string=Audit&amp;VAR:KEY=PINYHGHIXY&amp;VAR:QUERY=RkZfRUJJVERBX0lCKCdMVE1TJywzOTY5OSk=&amp;WINDOW=FIRST_POPUP&amp;HEIGHT=450&amp;WIDTH=450&amp;START_MA","XIMIZED=FALSE&amp;VAR:CALENDAR=US&amp;VAR:SYMBOL=05614P10&amp;VAR:INDEX=0"}</definedName>
    <definedName name="_2359__FDSAUDITLINK__" localSheetId="6" hidden="1">{"fdsup://directions/FAT Viewer?action=UPDATE&amp;creator=factset&amp;DYN_ARGS=TRUE&amp;DOC_NAME=FAT:FQL_AUDITING_CLIENT_TEMPLATE.FAT&amp;display_string=Audit&amp;VAR:KEY=RCTKLMJEDU&amp;VAR:QUERY=RkZfRUJJVERBX0lCKCdMVE1TJywzOTY5OCk=&amp;WINDOW=FIRST_POPUP&amp;HEIGHT=450&amp;WIDTH=450&amp;START_MA","XIMIZED=FALSE&amp;VAR:CALENDAR=US&amp;VAR:SYMBOL=05614P10&amp;VAR:INDEX=0"}</definedName>
    <definedName name="_2359__FDSAUDITLINK__" hidden="1">{"fdsup://directions/FAT Viewer?action=UPDATE&amp;creator=factset&amp;DYN_ARGS=TRUE&amp;DOC_NAME=FAT:FQL_AUDITING_CLIENT_TEMPLATE.FAT&amp;display_string=Audit&amp;VAR:KEY=RCTKLMJEDU&amp;VAR:QUERY=RkZfRUJJVERBX0lCKCdMVE1TJywzOTY5OCk=&amp;WINDOW=FIRST_POPUP&amp;HEIGHT=450&amp;WIDTH=450&amp;START_MA","XIMIZED=FALSE&amp;VAR:CALENDAR=US&amp;VAR:SYMBOL=05614P10&amp;VAR:INDEX=0"}</definedName>
    <definedName name="_236__FDSAUDITLINK__" localSheetId="6" hidden="1">{"fdsup://directions/FAT%20Viewer?VAR:PED=LTM&amp;VAR:AUDIT_MODE=SUMMARY&amp;VAR:PERIOD=FIXED&amp;VAR:AUDIT_ID=00000117&amp;VAR:DATE=20090630&amp;action=UPDATE&amp;creator=factset&amp;DOC_NAME=FAT:FMA_audit_SUMMARY.fat&amp;DISPLAY_STRING=Display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6__FDSAUDITLINK__" hidden="1">{"fdsup://directions/FAT%20Viewer?VAR:PED=LTM&amp;VAR:AUDIT_MODE=SUMMARY&amp;VAR:PERIOD=FIXED&amp;VAR:AUDIT_ID=00000117&amp;VAR:DATE=20090630&amp;action=UPDATE&amp;creator=factset&amp;DOC_NAME=FAT:FMA_audit_SUMMARY.fat&amp;DISPLAY_STRING=Display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EBITDA&amp;VAR:CHGPERIOD=NA&amp;VAR:FQLFORMULA=FMA_EVAL_EBITDA&amp;VAR:CURRENCY=NA&amp;VAR:P=NA&amp;VAR:V=9.11","0394&amp;VAR:null=.html"}</definedName>
    <definedName name="_2360__FDSAUDITLINK__" localSheetId="6" hidden="1">{"fdsup://directions/FAT Viewer?action=UPDATE&amp;creator=factset&amp;DYN_ARGS=TRUE&amp;DOC_NAME=FAT:FQL_AUDITING_CLIENT_TEMPLATE.FAT&amp;display_string=Audit&amp;VAR:KEY=HCXIXYTARO&amp;VAR:QUERY=RkZfRUJJVERBX0lCKCdMVE1TJywzOTY5Nyk=&amp;WINDOW=FIRST_POPUP&amp;HEIGHT=450&amp;WIDTH=450&amp;START_MA","XIMIZED=FALSE&amp;VAR:CALENDAR=US&amp;VAR:SYMBOL=05614P10&amp;VAR:INDEX=0"}</definedName>
    <definedName name="_2360__FDSAUDITLINK__" hidden="1">{"fdsup://directions/FAT Viewer?action=UPDATE&amp;creator=factset&amp;DYN_ARGS=TRUE&amp;DOC_NAME=FAT:FQL_AUDITING_CLIENT_TEMPLATE.FAT&amp;display_string=Audit&amp;VAR:KEY=HCXIXYTARO&amp;VAR:QUERY=RkZfRUJJVERBX0lCKCdMVE1TJywzOTY5Nyk=&amp;WINDOW=FIRST_POPUP&amp;HEIGHT=450&amp;WIDTH=450&amp;START_MA","XIMIZED=FALSE&amp;VAR:CALENDAR=US&amp;VAR:SYMBOL=05614P10&amp;VAR:INDEX=0"}</definedName>
    <definedName name="_2361__FDSAUDITLINK__" localSheetId="6" hidden="1">{"fdsup://directions/FAT Viewer?action=UPDATE&amp;creator=factset&amp;DYN_ARGS=TRUE&amp;DOC_NAME=FAT:FQL_AUDITING_CLIENT_TEMPLATE.FAT&amp;display_string=Audit&amp;VAR:KEY=LMTCFKROFY&amp;VAR:QUERY=RkZfRUJJVERBX0lCKCdMVE1TJywzOTY5Nik=&amp;WINDOW=FIRST_POPUP&amp;HEIGHT=450&amp;WIDTH=450&amp;START_MA","XIMIZED=FALSE&amp;VAR:CALENDAR=US&amp;VAR:SYMBOL=05614P10&amp;VAR:INDEX=0"}</definedName>
    <definedName name="_2361__FDSAUDITLINK__" hidden="1">{"fdsup://directions/FAT Viewer?action=UPDATE&amp;creator=factset&amp;DYN_ARGS=TRUE&amp;DOC_NAME=FAT:FQL_AUDITING_CLIENT_TEMPLATE.FAT&amp;display_string=Audit&amp;VAR:KEY=LMTCFKROFY&amp;VAR:QUERY=RkZfRUJJVERBX0lCKCdMVE1TJywzOTY5Nik=&amp;WINDOW=FIRST_POPUP&amp;HEIGHT=450&amp;WIDTH=450&amp;START_MA","XIMIZED=FALSE&amp;VAR:CALENDAR=US&amp;VAR:SYMBOL=05614P10&amp;VAR:INDEX=0"}</definedName>
    <definedName name="_2362__FDSAUDITLINK__" localSheetId="6" hidden="1">{"fdsup://directions/FAT Viewer?action=UPDATE&amp;creator=factset&amp;DYN_ARGS=TRUE&amp;DOC_NAME=FAT:FQL_AUDITING_CLIENT_TEMPLATE.FAT&amp;display_string=Audit&amp;VAR:KEY=HWRWXGHMDU&amp;VAR:QUERY=RkZfRUJJVERBX0lCKCdMVE1TJywzOTY5NSk=&amp;WINDOW=FIRST_POPUP&amp;HEIGHT=450&amp;WIDTH=450&amp;START_MA","XIMIZED=FALSE&amp;VAR:CALENDAR=US&amp;VAR:SYMBOL=05614P10&amp;VAR:INDEX=0"}</definedName>
    <definedName name="_2362__FDSAUDITLINK__" hidden="1">{"fdsup://directions/FAT Viewer?action=UPDATE&amp;creator=factset&amp;DYN_ARGS=TRUE&amp;DOC_NAME=FAT:FQL_AUDITING_CLIENT_TEMPLATE.FAT&amp;display_string=Audit&amp;VAR:KEY=HWRWXGHMDU&amp;VAR:QUERY=RkZfRUJJVERBX0lCKCdMVE1TJywzOTY5NSk=&amp;WINDOW=FIRST_POPUP&amp;HEIGHT=450&amp;WIDTH=450&amp;START_MA","XIMIZED=FALSE&amp;VAR:CALENDAR=US&amp;VAR:SYMBOL=05614P10&amp;VAR:INDEX=0"}</definedName>
    <definedName name="_2363__FDSAUDITLINK__" localSheetId="6" hidden="1">{"fdsup://directions/FAT Viewer?action=UPDATE&amp;creator=factset&amp;DYN_ARGS=TRUE&amp;DOC_NAME=FAT:FQL_AUDITING_CLIENT_TEMPLATE.FAT&amp;display_string=Audit&amp;VAR:KEY=PODINOFAHI&amp;VAR:QUERY=RkZfRUJJVERBX0lCKCdMVE1TJywzOTY5NCk=&amp;WINDOW=FIRST_POPUP&amp;HEIGHT=450&amp;WIDTH=450&amp;START_MA","XIMIZED=FALSE&amp;VAR:CALENDAR=US&amp;VAR:SYMBOL=05614P10&amp;VAR:INDEX=0"}</definedName>
    <definedName name="_2363__FDSAUDITLINK__" hidden="1">{"fdsup://directions/FAT Viewer?action=UPDATE&amp;creator=factset&amp;DYN_ARGS=TRUE&amp;DOC_NAME=FAT:FQL_AUDITING_CLIENT_TEMPLATE.FAT&amp;display_string=Audit&amp;VAR:KEY=PODINOFAHI&amp;VAR:QUERY=RkZfRUJJVERBX0lCKCdMVE1TJywzOTY5NCk=&amp;WINDOW=FIRST_POPUP&amp;HEIGHT=450&amp;WIDTH=450&amp;START_MA","XIMIZED=FALSE&amp;VAR:CALENDAR=US&amp;VAR:SYMBOL=05614P10&amp;VAR:INDEX=0"}</definedName>
    <definedName name="_2364__FDSAUDITLINK__" localSheetId="6" hidden="1">{"fdsup://directions/FAT Viewer?action=UPDATE&amp;creator=factset&amp;DYN_ARGS=TRUE&amp;DOC_NAME=FAT:FQL_AUDITING_CLIENT_TEMPLATE.FAT&amp;display_string=Audit&amp;VAR:KEY=TSPITGVQBK&amp;VAR:QUERY=RkZfRUJJVERBX0lCKCdMVE1TJywzOTY5Myk=&amp;WINDOW=FIRST_POPUP&amp;HEIGHT=450&amp;WIDTH=450&amp;START_MA","XIMIZED=FALSE&amp;VAR:CALENDAR=US&amp;VAR:SYMBOL=05614P10&amp;VAR:INDEX=0"}</definedName>
    <definedName name="_2364__FDSAUDITLINK__" hidden="1">{"fdsup://directions/FAT Viewer?action=UPDATE&amp;creator=factset&amp;DYN_ARGS=TRUE&amp;DOC_NAME=FAT:FQL_AUDITING_CLIENT_TEMPLATE.FAT&amp;display_string=Audit&amp;VAR:KEY=TSPITGVQBK&amp;VAR:QUERY=RkZfRUJJVERBX0lCKCdMVE1TJywzOTY5Myk=&amp;WINDOW=FIRST_POPUP&amp;HEIGHT=450&amp;WIDTH=450&amp;START_MA","XIMIZED=FALSE&amp;VAR:CALENDAR=US&amp;VAR:SYMBOL=05614P10&amp;VAR:INDEX=0"}</definedName>
    <definedName name="_2365__FDSAUDITLINK__" localSheetId="6" hidden="1">{"fdsup://directions/FAT Viewer?action=UPDATE&amp;creator=factset&amp;DYN_ARGS=TRUE&amp;DOC_NAME=FAT:FQL_AUDITING_CLIENT_TEMPLATE.FAT&amp;display_string=Audit&amp;VAR:KEY=LORWBGHEXI&amp;VAR:QUERY=RkZfRUJJVERBX0lCKCdMVE1TJywzOTY5Mik=&amp;WINDOW=FIRST_POPUP&amp;HEIGHT=450&amp;WIDTH=450&amp;START_MA","XIMIZED=FALSE&amp;VAR:CALENDAR=US&amp;VAR:SYMBOL=05614P10&amp;VAR:INDEX=0"}</definedName>
    <definedName name="_2365__FDSAUDITLINK__" hidden="1">{"fdsup://directions/FAT Viewer?action=UPDATE&amp;creator=factset&amp;DYN_ARGS=TRUE&amp;DOC_NAME=FAT:FQL_AUDITING_CLIENT_TEMPLATE.FAT&amp;display_string=Audit&amp;VAR:KEY=LORWBGHEXI&amp;VAR:QUERY=RkZfRUJJVERBX0lCKCdMVE1TJywzOTY5Mik=&amp;WINDOW=FIRST_POPUP&amp;HEIGHT=450&amp;WIDTH=450&amp;START_MA","XIMIZED=FALSE&amp;VAR:CALENDAR=US&amp;VAR:SYMBOL=05614P10&amp;VAR:INDEX=0"}</definedName>
    <definedName name="_2366__FDSAUDITLINK__" localSheetId="6" hidden="1">{"fdsup://directions/FAT Viewer?action=UPDATE&amp;creator=factset&amp;DYN_ARGS=TRUE&amp;DOC_NAME=FAT:FQL_AUDITING_CLIENT_TEMPLATE.FAT&amp;display_string=Audit&amp;VAR:KEY=LSHKZEPQXE&amp;VAR:QUERY=RkZfRUJJVERBX0lCKCdMVE1TJywzOTY5MSk=&amp;WINDOW=FIRST_POPUP&amp;HEIGHT=450&amp;WIDTH=450&amp;START_MA","XIMIZED=FALSE&amp;VAR:CALENDAR=US&amp;VAR:SYMBOL=05614P10&amp;VAR:INDEX=0"}</definedName>
    <definedName name="_2366__FDSAUDITLINK__" hidden="1">{"fdsup://directions/FAT Viewer?action=UPDATE&amp;creator=factset&amp;DYN_ARGS=TRUE&amp;DOC_NAME=FAT:FQL_AUDITING_CLIENT_TEMPLATE.FAT&amp;display_string=Audit&amp;VAR:KEY=LSHKZEPQXE&amp;VAR:QUERY=RkZfRUJJVERBX0lCKCdMVE1TJywzOTY5MSk=&amp;WINDOW=FIRST_POPUP&amp;HEIGHT=450&amp;WIDTH=450&amp;START_MA","XIMIZED=FALSE&amp;VAR:CALENDAR=US&amp;VAR:SYMBOL=05614P10&amp;VAR:INDEX=0"}</definedName>
    <definedName name="_2367__FDSAUDITLINK__" localSheetId="6" hidden="1">{"fdsup://directions/FAT Viewer?action=UPDATE&amp;creator=factset&amp;DYN_ARGS=TRUE&amp;DOC_NAME=FAT:FQL_AUDITING_CLIENT_TEMPLATE.FAT&amp;display_string=Audit&amp;VAR:KEY=RWJERGPIHG&amp;VAR:QUERY=RkZfRUJJVERBX0lCKCdMVE1TJywzOTY5MCk=&amp;WINDOW=FIRST_POPUP&amp;HEIGHT=450&amp;WIDTH=450&amp;START_MA","XIMIZED=FALSE&amp;VAR:CALENDAR=US&amp;VAR:SYMBOL=05614P10&amp;VAR:INDEX=0"}</definedName>
    <definedName name="_2367__FDSAUDITLINK__" hidden="1">{"fdsup://directions/FAT Viewer?action=UPDATE&amp;creator=factset&amp;DYN_ARGS=TRUE&amp;DOC_NAME=FAT:FQL_AUDITING_CLIENT_TEMPLATE.FAT&amp;display_string=Audit&amp;VAR:KEY=RWJERGPIHG&amp;VAR:QUERY=RkZfRUJJVERBX0lCKCdMVE1TJywzOTY5MCk=&amp;WINDOW=FIRST_POPUP&amp;HEIGHT=450&amp;WIDTH=450&amp;START_MA","XIMIZED=FALSE&amp;VAR:CALENDAR=US&amp;VAR:SYMBOL=05614P10&amp;VAR:INDEX=0"}</definedName>
    <definedName name="_2368__FDSAUDITLINK__" localSheetId="6" hidden="1">{"fdsup://directions/FAT Viewer?action=UPDATE&amp;creator=factset&amp;DYN_ARGS=TRUE&amp;DOC_NAME=FAT:FQL_AUDITING_CLIENT_TEMPLATE.FAT&amp;display_string=Audit&amp;VAR:KEY=LOFUBWXMVA&amp;VAR:QUERY=RkZfRUJJVERBX0lCKCdMVE1TJywzOTY4OSk=&amp;WINDOW=FIRST_POPUP&amp;HEIGHT=450&amp;WIDTH=450&amp;START_MA","XIMIZED=FALSE&amp;VAR:CALENDAR=US&amp;VAR:SYMBOL=05614P10&amp;VAR:INDEX=0"}</definedName>
    <definedName name="_2368__FDSAUDITLINK__" hidden="1">{"fdsup://directions/FAT Viewer?action=UPDATE&amp;creator=factset&amp;DYN_ARGS=TRUE&amp;DOC_NAME=FAT:FQL_AUDITING_CLIENT_TEMPLATE.FAT&amp;display_string=Audit&amp;VAR:KEY=LOFUBWXMVA&amp;VAR:QUERY=RkZfRUJJVERBX0lCKCdMVE1TJywzOTY4OSk=&amp;WINDOW=FIRST_POPUP&amp;HEIGHT=450&amp;WIDTH=450&amp;START_MA","XIMIZED=FALSE&amp;VAR:CALENDAR=US&amp;VAR:SYMBOL=05614P10&amp;VAR:INDEX=0"}</definedName>
    <definedName name="_2369__FDSAUDITLINK__" localSheetId="6" hidden="1">{"fdsup://directions/FAT Viewer?action=UPDATE&amp;creator=factset&amp;DYN_ARGS=TRUE&amp;DOC_NAME=FAT:FQL_AUDITING_CLIENT_TEMPLATE.FAT&amp;display_string=Audit&amp;VAR:KEY=XOPYTYNYBO&amp;VAR:QUERY=RkZfRUJJVERBX0lCKCdMVE1TJywzOTY4OCk=&amp;WINDOW=FIRST_POPUP&amp;HEIGHT=450&amp;WIDTH=450&amp;START_MA","XIMIZED=FALSE&amp;VAR:CALENDAR=US&amp;VAR:SYMBOL=05614P10&amp;VAR:INDEX=0"}</definedName>
    <definedName name="_2369__FDSAUDITLINK__" hidden="1">{"fdsup://directions/FAT Viewer?action=UPDATE&amp;creator=factset&amp;DYN_ARGS=TRUE&amp;DOC_NAME=FAT:FQL_AUDITING_CLIENT_TEMPLATE.FAT&amp;display_string=Audit&amp;VAR:KEY=XOPYTYNYBO&amp;VAR:QUERY=RkZfRUJJVERBX0lCKCdMVE1TJywzOTY4OCk=&amp;WINDOW=FIRST_POPUP&amp;HEIGHT=450&amp;WIDTH=450&amp;START_MA","XIMIZED=FALSE&amp;VAR:CALENDAR=US&amp;VAR:SYMBOL=05614P10&amp;VAR:INDEX=0"}</definedName>
    <definedName name="_237__FDSAUDITLINK__" localSheetId="6" hidden="1">{"fdsup://directions/FAT%20Viewer?VAR:PED=LTM&amp;VAR:AUDIT_MODE=SUMMARY&amp;VAR:PERIOD=FIXED&amp;VAR:AUDIT_ID=00000117&amp;VAR:DATE=20090629&amp;action=UPDATE&amp;creator=factset&amp;DOC_NAME=FAT:FMA_audit_SUMMARY.fat&amp;DISPLAY_STRING=Display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7__FDSAUDITLINK__" hidden="1">{"fdsup://directions/FAT%20Viewer?VAR:PED=LTM&amp;VAR:AUDIT_MODE=SUMMARY&amp;VAR:PERIOD=FIXED&amp;VAR:AUDIT_ID=00000117&amp;VAR:DATE=20090629&amp;action=UPDATE&amp;creator=factset&amp;DOC_NAME=FAT:FMA_audit_SUMMARY.fat&amp;DISPLAY_STRING=Display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70__FDSAUDITLINK__" localSheetId="6" hidden="1">{"fdsup://directions/FAT Viewer?action=UPDATE&amp;creator=factset&amp;DYN_ARGS=TRUE&amp;DOC_NAME=FAT:FQL_AUDITING_CLIENT_TEMPLATE.FAT&amp;display_string=Audit&amp;VAR:KEY=PKHQLGPEJQ&amp;VAR:QUERY=RkZfRUJJVERBX0lCKCdMVE1TJywzOTY4Nyk=&amp;WINDOW=FIRST_POPUP&amp;HEIGHT=450&amp;WIDTH=450&amp;START_MA","XIMIZED=FALSE&amp;VAR:CALENDAR=US&amp;VAR:SYMBOL=05614P10&amp;VAR:INDEX=0"}</definedName>
    <definedName name="_2370__FDSAUDITLINK__" hidden="1">{"fdsup://directions/FAT Viewer?action=UPDATE&amp;creator=factset&amp;DYN_ARGS=TRUE&amp;DOC_NAME=FAT:FQL_AUDITING_CLIENT_TEMPLATE.FAT&amp;display_string=Audit&amp;VAR:KEY=PKHQLGPEJQ&amp;VAR:QUERY=RkZfRUJJVERBX0lCKCdMVE1TJywzOTY4Nyk=&amp;WINDOW=FIRST_POPUP&amp;HEIGHT=450&amp;WIDTH=450&amp;START_MA","XIMIZED=FALSE&amp;VAR:CALENDAR=US&amp;VAR:SYMBOL=05614P10&amp;VAR:INDEX=0"}</definedName>
    <definedName name="_2371__FDSAUDITLINK__" localSheetId="6" hidden="1">{"fdsup://directions/FAT Viewer?action=UPDATE&amp;creator=factset&amp;DYN_ARGS=TRUE&amp;DOC_NAME=FAT:FQL_AUDITING_CLIENT_TEMPLATE.FAT&amp;display_string=Audit&amp;VAR:KEY=ZUJQFQDUBW&amp;VAR:QUERY=RkZfRUJJVERBX0lCKCdMVE1TJywzOTY4Nik=&amp;WINDOW=FIRST_POPUP&amp;HEIGHT=450&amp;WIDTH=450&amp;START_MA","XIMIZED=FALSE&amp;VAR:CALENDAR=US&amp;VAR:SYMBOL=05614P10&amp;VAR:INDEX=0"}</definedName>
    <definedName name="_2371__FDSAUDITLINK__" hidden="1">{"fdsup://directions/FAT Viewer?action=UPDATE&amp;creator=factset&amp;DYN_ARGS=TRUE&amp;DOC_NAME=FAT:FQL_AUDITING_CLIENT_TEMPLATE.FAT&amp;display_string=Audit&amp;VAR:KEY=ZUJQFQDUBW&amp;VAR:QUERY=RkZfRUJJVERBX0lCKCdMVE1TJywzOTY4Nik=&amp;WINDOW=FIRST_POPUP&amp;HEIGHT=450&amp;WIDTH=450&amp;START_MA","XIMIZED=FALSE&amp;VAR:CALENDAR=US&amp;VAR:SYMBOL=05614P10&amp;VAR:INDEX=0"}</definedName>
    <definedName name="_2372__FDSAUDITLINK__" localSheetId="6" hidden="1">{"fdsup://directions/FAT Viewer?action=UPDATE&amp;creator=factset&amp;DYN_ARGS=TRUE&amp;DOC_NAME=FAT:FQL_AUDITING_CLIENT_TEMPLATE.FAT&amp;display_string=Audit&amp;VAR:KEY=JQBKLYNYFK&amp;VAR:QUERY=RkZfRUJJVERBX0lCKCdMVE1TJywzOTY4NSk=&amp;WINDOW=FIRST_POPUP&amp;HEIGHT=450&amp;WIDTH=450&amp;START_MA","XIMIZED=FALSE&amp;VAR:CALENDAR=US&amp;VAR:SYMBOL=05614P10&amp;VAR:INDEX=0"}</definedName>
    <definedName name="_2372__FDSAUDITLINK__" hidden="1">{"fdsup://directions/FAT Viewer?action=UPDATE&amp;creator=factset&amp;DYN_ARGS=TRUE&amp;DOC_NAME=FAT:FQL_AUDITING_CLIENT_TEMPLATE.FAT&amp;display_string=Audit&amp;VAR:KEY=JQBKLYNYFK&amp;VAR:QUERY=RkZfRUJJVERBX0lCKCdMVE1TJywzOTY4NSk=&amp;WINDOW=FIRST_POPUP&amp;HEIGHT=450&amp;WIDTH=450&amp;START_MA","XIMIZED=FALSE&amp;VAR:CALENDAR=US&amp;VAR:SYMBOL=05614P10&amp;VAR:INDEX=0"}</definedName>
    <definedName name="_2373__FDSAUDITLINK__" localSheetId="6" hidden="1">{"fdsup://directions/FAT Viewer?action=UPDATE&amp;creator=factset&amp;DYN_ARGS=TRUE&amp;DOC_NAME=FAT:FQL_AUDITING_CLIENT_TEMPLATE.FAT&amp;display_string=Audit&amp;VAR:KEY=RUXOZUBMJG&amp;VAR:QUERY=RkZfRUJJVERBX0lCKCdMVE1TJywzOTY4NCk=&amp;WINDOW=FIRST_POPUP&amp;HEIGHT=450&amp;WIDTH=450&amp;START_MA","XIMIZED=FALSE&amp;VAR:CALENDAR=US&amp;VAR:SYMBOL=05614P10&amp;VAR:INDEX=0"}</definedName>
    <definedName name="_2373__FDSAUDITLINK__" hidden="1">{"fdsup://directions/FAT Viewer?action=UPDATE&amp;creator=factset&amp;DYN_ARGS=TRUE&amp;DOC_NAME=FAT:FQL_AUDITING_CLIENT_TEMPLATE.FAT&amp;display_string=Audit&amp;VAR:KEY=RUXOZUBMJG&amp;VAR:QUERY=RkZfRUJJVERBX0lCKCdMVE1TJywzOTY4NCk=&amp;WINDOW=FIRST_POPUP&amp;HEIGHT=450&amp;WIDTH=450&amp;START_MA","XIMIZED=FALSE&amp;VAR:CALENDAR=US&amp;VAR:SYMBOL=05614P10&amp;VAR:INDEX=0"}</definedName>
    <definedName name="_2374__FDSAUDITLINK__" localSheetId="6" hidden="1">{"fdsup://directions/FAT Viewer?action=UPDATE&amp;creator=factset&amp;DYN_ARGS=TRUE&amp;DOC_NAME=FAT:FQL_AUDITING_CLIENT_TEMPLATE.FAT&amp;display_string=Audit&amp;VAR:KEY=NQNMHAZOVA&amp;VAR:QUERY=RkZfRUJJVERBX0lCKCdMVE1TJywzOTY4Myk=&amp;WINDOW=FIRST_POPUP&amp;HEIGHT=450&amp;WIDTH=450&amp;START_MA","XIMIZED=FALSE&amp;VAR:CALENDAR=US&amp;VAR:SYMBOL=05614P10&amp;VAR:INDEX=0"}</definedName>
    <definedName name="_2374__FDSAUDITLINK__" hidden="1">{"fdsup://directions/FAT Viewer?action=UPDATE&amp;creator=factset&amp;DYN_ARGS=TRUE&amp;DOC_NAME=FAT:FQL_AUDITING_CLIENT_TEMPLATE.FAT&amp;display_string=Audit&amp;VAR:KEY=NQNMHAZOVA&amp;VAR:QUERY=RkZfRUJJVERBX0lCKCdMVE1TJywzOTY4Myk=&amp;WINDOW=FIRST_POPUP&amp;HEIGHT=450&amp;WIDTH=450&amp;START_MA","XIMIZED=FALSE&amp;VAR:CALENDAR=US&amp;VAR:SYMBOL=05614P10&amp;VAR:INDEX=0"}</definedName>
    <definedName name="_2375__FDSAUDITLINK__" localSheetId="6" hidden="1">{"fdsup://directions/FAT Viewer?action=UPDATE&amp;creator=factset&amp;DYN_ARGS=TRUE&amp;DOC_NAME=FAT:FQL_AUDITING_CLIENT_TEMPLATE.FAT&amp;display_string=Audit&amp;VAR:KEY=ZCDUBGVADO&amp;VAR:QUERY=RkZfRUJJVERBX0lCKCdMVE1TJywzOTY4Mik=&amp;WINDOW=FIRST_POPUP&amp;HEIGHT=450&amp;WIDTH=450&amp;START_MA","XIMIZED=FALSE&amp;VAR:CALENDAR=US&amp;VAR:SYMBOL=05614P10&amp;VAR:INDEX=0"}</definedName>
    <definedName name="_2375__FDSAUDITLINK__" hidden="1">{"fdsup://directions/FAT Viewer?action=UPDATE&amp;creator=factset&amp;DYN_ARGS=TRUE&amp;DOC_NAME=FAT:FQL_AUDITING_CLIENT_TEMPLATE.FAT&amp;display_string=Audit&amp;VAR:KEY=ZCDUBGVADO&amp;VAR:QUERY=RkZfRUJJVERBX0lCKCdMVE1TJywzOTY4Mik=&amp;WINDOW=FIRST_POPUP&amp;HEIGHT=450&amp;WIDTH=450&amp;START_MA","XIMIZED=FALSE&amp;VAR:CALENDAR=US&amp;VAR:SYMBOL=05614P10&amp;VAR:INDEX=0"}</definedName>
    <definedName name="_2376__FDSAUDITLINK__" localSheetId="6" hidden="1">{"fdsup://directions/FAT Viewer?action=UPDATE&amp;creator=factset&amp;DYN_ARGS=TRUE&amp;DOC_NAME=FAT:FQL_AUDITING_CLIENT_TEMPLATE.FAT&amp;display_string=Audit&amp;VAR:KEY=JQRYTSTSNC&amp;VAR:QUERY=RkZfRUJJVERBX0lCKCdMVE1TJywzOTY4MSk=&amp;WINDOW=FIRST_POPUP&amp;HEIGHT=450&amp;WIDTH=450&amp;START_MA","XIMIZED=FALSE&amp;VAR:CALENDAR=US&amp;VAR:SYMBOL=05614P10&amp;VAR:INDEX=0"}</definedName>
    <definedName name="_2376__FDSAUDITLINK__" hidden="1">{"fdsup://directions/FAT Viewer?action=UPDATE&amp;creator=factset&amp;DYN_ARGS=TRUE&amp;DOC_NAME=FAT:FQL_AUDITING_CLIENT_TEMPLATE.FAT&amp;display_string=Audit&amp;VAR:KEY=JQRYTSTSNC&amp;VAR:QUERY=RkZfRUJJVERBX0lCKCdMVE1TJywzOTY4MSk=&amp;WINDOW=FIRST_POPUP&amp;HEIGHT=450&amp;WIDTH=450&amp;START_MA","XIMIZED=FALSE&amp;VAR:CALENDAR=US&amp;VAR:SYMBOL=05614P10&amp;VAR:INDEX=0"}</definedName>
    <definedName name="_2377__FDSAUDITLINK__" localSheetId="6" hidden="1">{"fdsup://directions/FAT Viewer?action=UPDATE&amp;creator=factset&amp;DYN_ARGS=TRUE&amp;DOC_NAME=FAT:FQL_AUDITING_CLIENT_TEMPLATE.FAT&amp;display_string=Audit&amp;VAR:KEY=NWRUHWNWHE&amp;VAR:QUERY=RkZfRUJJVERBX0lCKCdMVE1TJywzOTY4MCk=&amp;WINDOW=FIRST_POPUP&amp;HEIGHT=450&amp;WIDTH=450&amp;START_MA","XIMIZED=FALSE&amp;VAR:CALENDAR=US&amp;VAR:SYMBOL=05614P10&amp;VAR:INDEX=0"}</definedName>
    <definedName name="_2377__FDSAUDITLINK__" hidden="1">{"fdsup://directions/FAT Viewer?action=UPDATE&amp;creator=factset&amp;DYN_ARGS=TRUE&amp;DOC_NAME=FAT:FQL_AUDITING_CLIENT_TEMPLATE.FAT&amp;display_string=Audit&amp;VAR:KEY=NWRUHWNWHE&amp;VAR:QUERY=RkZfRUJJVERBX0lCKCdMVE1TJywzOTY4MCk=&amp;WINDOW=FIRST_POPUP&amp;HEIGHT=450&amp;WIDTH=450&amp;START_MA","XIMIZED=FALSE&amp;VAR:CALENDAR=US&amp;VAR:SYMBOL=05614P10&amp;VAR:INDEX=0"}</definedName>
    <definedName name="_2378__FDSAUDITLINK__" localSheetId="6" hidden="1">{"fdsup://directions/FAT Viewer?action=UPDATE&amp;creator=factset&amp;DYN_ARGS=TRUE&amp;DOC_NAME=FAT:FQL_AUDITING_CLIENT_TEMPLATE.FAT&amp;display_string=Audit&amp;VAR:KEY=HSJGFKDMLW&amp;VAR:QUERY=RkZfRUJJVERBX0lCKCdMVE1TJywzOTY3OSk=&amp;WINDOW=FIRST_POPUP&amp;HEIGHT=450&amp;WIDTH=450&amp;START_MA","XIMIZED=FALSE&amp;VAR:CALENDAR=US&amp;VAR:SYMBOL=05614P10&amp;VAR:INDEX=0"}</definedName>
    <definedName name="_2378__FDSAUDITLINK__" hidden="1">{"fdsup://directions/FAT Viewer?action=UPDATE&amp;creator=factset&amp;DYN_ARGS=TRUE&amp;DOC_NAME=FAT:FQL_AUDITING_CLIENT_TEMPLATE.FAT&amp;display_string=Audit&amp;VAR:KEY=HSJGFKDMLW&amp;VAR:QUERY=RkZfRUJJVERBX0lCKCdMVE1TJywzOTY3OSk=&amp;WINDOW=FIRST_POPUP&amp;HEIGHT=450&amp;WIDTH=450&amp;START_MA","XIMIZED=FALSE&amp;VAR:CALENDAR=US&amp;VAR:SYMBOL=05614P10&amp;VAR:INDEX=0"}</definedName>
    <definedName name="_2379__FDSAUDITLINK__" localSheetId="6" hidden="1">{"fdsup://directions/FAT Viewer?action=UPDATE&amp;creator=factset&amp;DYN_ARGS=TRUE&amp;DOC_NAME=FAT:FQL_AUDITING_CLIENT_TEMPLATE.FAT&amp;display_string=Audit&amp;VAR:KEY=TGZARQBCPC&amp;VAR:QUERY=RkZfRUJJVERBX0lCKCdMVE1TJywzOTY3OCk=&amp;WINDOW=FIRST_POPUP&amp;HEIGHT=450&amp;WIDTH=450&amp;START_MA","XIMIZED=FALSE&amp;VAR:CALENDAR=US&amp;VAR:SYMBOL=05614P10&amp;VAR:INDEX=0"}</definedName>
    <definedName name="_2379__FDSAUDITLINK__" hidden="1">{"fdsup://directions/FAT Viewer?action=UPDATE&amp;creator=factset&amp;DYN_ARGS=TRUE&amp;DOC_NAME=FAT:FQL_AUDITING_CLIENT_TEMPLATE.FAT&amp;display_string=Audit&amp;VAR:KEY=TGZARQBCPC&amp;VAR:QUERY=RkZfRUJJVERBX0lCKCdMVE1TJywzOTY3OCk=&amp;WINDOW=FIRST_POPUP&amp;HEIGHT=450&amp;WIDTH=450&amp;START_MA","XIMIZED=FALSE&amp;VAR:CALENDAR=US&amp;VAR:SYMBOL=05614P10&amp;VAR:INDEX=0"}</definedName>
    <definedName name="_238__FDSAUDITLINK__" localSheetId="6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8__FDSAUDITLINK__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80__FDSAUDITLINK__" localSheetId="6" hidden="1">{"fdsup://directions/FAT Viewer?action=UPDATE&amp;creator=factset&amp;DYN_ARGS=TRUE&amp;DOC_NAME=FAT:FQL_AUDITING_CLIENT_TEMPLATE.FAT&amp;display_string=Audit&amp;VAR:KEY=XCNKLYZAFM&amp;VAR:QUERY=RkZfRUJJVERBX0lCKCdMVE1TJywzOTY3Nyk=&amp;WINDOW=FIRST_POPUP&amp;HEIGHT=450&amp;WIDTH=450&amp;START_MA","XIMIZED=FALSE&amp;VAR:CALENDAR=US&amp;VAR:SYMBOL=05614P10&amp;VAR:INDEX=0"}</definedName>
    <definedName name="_2380__FDSAUDITLINK__" hidden="1">{"fdsup://directions/FAT Viewer?action=UPDATE&amp;creator=factset&amp;DYN_ARGS=TRUE&amp;DOC_NAME=FAT:FQL_AUDITING_CLIENT_TEMPLATE.FAT&amp;display_string=Audit&amp;VAR:KEY=XCNKLYZAFM&amp;VAR:QUERY=RkZfRUJJVERBX0lCKCdMVE1TJywzOTY3Nyk=&amp;WINDOW=FIRST_POPUP&amp;HEIGHT=450&amp;WIDTH=450&amp;START_MA","XIMIZED=FALSE&amp;VAR:CALENDAR=US&amp;VAR:SYMBOL=05614P10&amp;VAR:INDEX=0"}</definedName>
    <definedName name="_2381__FDSAUDITLINK__" localSheetId="6" hidden="1">{"fdsup://directions/FAT Viewer?action=UPDATE&amp;creator=factset&amp;DYN_ARGS=TRUE&amp;DOC_NAME=FAT:FQL_AUDITING_CLIENT_TEMPLATE.FAT&amp;display_string=Audit&amp;VAR:KEY=PMTSVUVWDA&amp;VAR:QUERY=RkZfRUJJVERBX0lCKCdMVE1TJywzOTY3Nik=&amp;WINDOW=FIRST_POPUP&amp;HEIGHT=450&amp;WIDTH=450&amp;START_MA","XIMIZED=FALSE&amp;VAR:CALENDAR=US&amp;VAR:SYMBOL=05614P10&amp;VAR:INDEX=0"}</definedName>
    <definedName name="_2381__FDSAUDITLINK__" hidden="1">{"fdsup://directions/FAT Viewer?action=UPDATE&amp;creator=factset&amp;DYN_ARGS=TRUE&amp;DOC_NAME=FAT:FQL_AUDITING_CLIENT_TEMPLATE.FAT&amp;display_string=Audit&amp;VAR:KEY=PMTSVUVWDA&amp;VAR:QUERY=RkZfRUJJVERBX0lCKCdMVE1TJywzOTY3Nik=&amp;WINDOW=FIRST_POPUP&amp;HEIGHT=450&amp;WIDTH=450&amp;START_MA","XIMIZED=FALSE&amp;VAR:CALENDAR=US&amp;VAR:SYMBOL=05614P10&amp;VAR:INDEX=0"}</definedName>
    <definedName name="_2382__FDSAUDITLINK__" localSheetId="6" hidden="1">{"fdsup://directions/FAT Viewer?action=UPDATE&amp;creator=factset&amp;DYN_ARGS=TRUE&amp;DOC_NAME=FAT:FQL_AUDITING_CLIENT_TEMPLATE.FAT&amp;display_string=Audit&amp;VAR:KEY=PIRALCNUTS&amp;VAR:QUERY=RkZfRUJJVERBX0lCKCdMVE1TJywzOTY3NSk=&amp;WINDOW=FIRST_POPUP&amp;HEIGHT=450&amp;WIDTH=450&amp;START_MA","XIMIZED=FALSE&amp;VAR:CALENDAR=US&amp;VAR:SYMBOL=05614P10&amp;VAR:INDEX=0"}</definedName>
    <definedName name="_2382__FDSAUDITLINK__" hidden="1">{"fdsup://directions/FAT Viewer?action=UPDATE&amp;creator=factset&amp;DYN_ARGS=TRUE&amp;DOC_NAME=FAT:FQL_AUDITING_CLIENT_TEMPLATE.FAT&amp;display_string=Audit&amp;VAR:KEY=PIRALCNUTS&amp;VAR:QUERY=RkZfRUJJVERBX0lCKCdMVE1TJywzOTY3NSk=&amp;WINDOW=FIRST_POPUP&amp;HEIGHT=450&amp;WIDTH=450&amp;START_MA","XIMIZED=FALSE&amp;VAR:CALENDAR=US&amp;VAR:SYMBOL=05614P10&amp;VAR:INDEX=0"}</definedName>
    <definedName name="_2383__FDSAUDITLINK__" localSheetId="6" hidden="1">{"fdsup://directions/FAT Viewer?action=UPDATE&amp;creator=factset&amp;DYN_ARGS=TRUE&amp;DOC_NAME=FAT:FQL_AUDITING_CLIENT_TEMPLATE.FAT&amp;display_string=Audit&amp;VAR:KEY=JOXEVOHWJA&amp;VAR:QUERY=RkZfRUJJVERBX0lCKCdMVE1TJywzOTY3NCk=&amp;WINDOW=FIRST_POPUP&amp;HEIGHT=450&amp;WIDTH=450&amp;START_MA","XIMIZED=FALSE&amp;VAR:CALENDAR=US&amp;VAR:SYMBOL=05614P10&amp;VAR:INDEX=0"}</definedName>
    <definedName name="_2383__FDSAUDITLINK__" hidden="1">{"fdsup://directions/FAT Viewer?action=UPDATE&amp;creator=factset&amp;DYN_ARGS=TRUE&amp;DOC_NAME=FAT:FQL_AUDITING_CLIENT_TEMPLATE.FAT&amp;display_string=Audit&amp;VAR:KEY=JOXEVOHWJA&amp;VAR:QUERY=RkZfRUJJVERBX0lCKCdMVE1TJywzOTY3NCk=&amp;WINDOW=FIRST_POPUP&amp;HEIGHT=450&amp;WIDTH=450&amp;START_MA","XIMIZED=FALSE&amp;VAR:CALENDAR=US&amp;VAR:SYMBOL=05614P10&amp;VAR:INDEX=0"}</definedName>
    <definedName name="_2384__FDSAUDITLINK__" localSheetId="6" hidden="1">{"fdsup://directions/FAT Viewer?action=UPDATE&amp;creator=factset&amp;DYN_ARGS=TRUE&amp;DOC_NAME=FAT:FQL_AUDITING_CLIENT_TEMPLATE.FAT&amp;display_string=Audit&amp;VAR:KEY=VGDUJEJKDI&amp;VAR:QUERY=RkZfRUJJVERBX0lCKCdMVE1TJywzOTY3Myk=&amp;WINDOW=FIRST_POPUP&amp;HEIGHT=450&amp;WIDTH=450&amp;START_MA","XIMIZED=FALSE&amp;VAR:CALENDAR=US&amp;VAR:SYMBOL=05614P10&amp;VAR:INDEX=0"}</definedName>
    <definedName name="_2384__FDSAUDITLINK__" hidden="1">{"fdsup://directions/FAT Viewer?action=UPDATE&amp;creator=factset&amp;DYN_ARGS=TRUE&amp;DOC_NAME=FAT:FQL_AUDITING_CLIENT_TEMPLATE.FAT&amp;display_string=Audit&amp;VAR:KEY=VGDUJEJKDI&amp;VAR:QUERY=RkZfRUJJVERBX0lCKCdMVE1TJywzOTY3Myk=&amp;WINDOW=FIRST_POPUP&amp;HEIGHT=450&amp;WIDTH=450&amp;START_MA","XIMIZED=FALSE&amp;VAR:CALENDAR=US&amp;VAR:SYMBOL=05614P10&amp;VAR:INDEX=0"}</definedName>
    <definedName name="_2385__FDSAUDITLINK__" localSheetId="6" hidden="1">{"fdsup://directions/FAT Viewer?action=UPDATE&amp;creator=factset&amp;DYN_ARGS=TRUE&amp;DOC_NAME=FAT:FQL_AUDITING_CLIENT_TEMPLATE.FAT&amp;display_string=Audit&amp;VAR:KEY=BQNWTWFOTA&amp;VAR:QUERY=RkZfRUJJVERBX0lCKCdMVE1TJywzOTY3Mik=&amp;WINDOW=FIRST_POPUP&amp;HEIGHT=450&amp;WIDTH=450&amp;START_MA","XIMIZED=FALSE&amp;VAR:CALENDAR=US&amp;VAR:SYMBOL=05614P10&amp;VAR:INDEX=0"}</definedName>
    <definedName name="_2385__FDSAUDITLINK__" hidden="1">{"fdsup://directions/FAT Viewer?action=UPDATE&amp;creator=factset&amp;DYN_ARGS=TRUE&amp;DOC_NAME=FAT:FQL_AUDITING_CLIENT_TEMPLATE.FAT&amp;display_string=Audit&amp;VAR:KEY=BQNWTWFOTA&amp;VAR:QUERY=RkZfRUJJVERBX0lCKCdMVE1TJywzOTY3Mik=&amp;WINDOW=FIRST_POPUP&amp;HEIGHT=450&amp;WIDTH=450&amp;START_MA","XIMIZED=FALSE&amp;VAR:CALENDAR=US&amp;VAR:SYMBOL=05614P10&amp;VAR:INDEX=0"}</definedName>
    <definedName name="_2386__FDSAUDITLINK__" localSheetId="6" hidden="1">{"fdsup://directions/FAT Viewer?action=UPDATE&amp;creator=factset&amp;DYN_ARGS=TRUE&amp;DOC_NAME=FAT:FQL_AUDITING_CLIENT_TEMPLATE.FAT&amp;display_string=Audit&amp;VAR:KEY=HWJWTWZOTS&amp;VAR:QUERY=RkZfRUJJVERBX0lCKCdMVE1TJywzOTY3MSk=&amp;WINDOW=FIRST_POPUP&amp;HEIGHT=450&amp;WIDTH=450&amp;START_MA","XIMIZED=FALSE&amp;VAR:CALENDAR=US&amp;VAR:SYMBOL=05614P10&amp;VAR:INDEX=0"}</definedName>
    <definedName name="_2386__FDSAUDITLINK__" hidden="1">{"fdsup://directions/FAT Viewer?action=UPDATE&amp;creator=factset&amp;DYN_ARGS=TRUE&amp;DOC_NAME=FAT:FQL_AUDITING_CLIENT_TEMPLATE.FAT&amp;display_string=Audit&amp;VAR:KEY=HWJWTWZOTS&amp;VAR:QUERY=RkZfRUJJVERBX0lCKCdMVE1TJywzOTY3MSk=&amp;WINDOW=FIRST_POPUP&amp;HEIGHT=450&amp;WIDTH=450&amp;START_MA","XIMIZED=FALSE&amp;VAR:CALENDAR=US&amp;VAR:SYMBOL=05614P10&amp;VAR:INDEX=0"}</definedName>
    <definedName name="_2387__FDSAUDITLINK__" localSheetId="6" hidden="1">{"fdsup://directions/FAT Viewer?action=UPDATE&amp;creator=factset&amp;DYN_ARGS=TRUE&amp;DOC_NAME=FAT:FQL_AUDITING_CLIENT_TEMPLATE.FAT&amp;display_string=Audit&amp;VAR:KEY=BWLGTCXCZS&amp;VAR:QUERY=RkZfRUJJVERBX0lCKCdMVE1TJywzOTY3MCk=&amp;WINDOW=FIRST_POPUP&amp;HEIGHT=450&amp;WIDTH=450&amp;START_MA","XIMIZED=FALSE&amp;VAR:CALENDAR=US&amp;VAR:SYMBOL=05614P10&amp;VAR:INDEX=0"}</definedName>
    <definedName name="_2387__FDSAUDITLINK__" hidden="1">{"fdsup://directions/FAT Viewer?action=UPDATE&amp;creator=factset&amp;DYN_ARGS=TRUE&amp;DOC_NAME=FAT:FQL_AUDITING_CLIENT_TEMPLATE.FAT&amp;display_string=Audit&amp;VAR:KEY=BWLGTCXCZS&amp;VAR:QUERY=RkZfRUJJVERBX0lCKCdMVE1TJywzOTY3MCk=&amp;WINDOW=FIRST_POPUP&amp;HEIGHT=450&amp;WIDTH=450&amp;START_MA","XIMIZED=FALSE&amp;VAR:CALENDAR=US&amp;VAR:SYMBOL=05614P10&amp;VAR:INDEX=0"}</definedName>
    <definedName name="_2388__FDSAUDITLINK__" localSheetId="6" hidden="1">{"fdsup://directions/FAT Viewer?action=UPDATE&amp;creator=factset&amp;DYN_ARGS=TRUE&amp;DOC_NAME=FAT:FQL_AUDITING_CLIENT_TEMPLATE.FAT&amp;display_string=Audit&amp;VAR:KEY=VYXUPGJCLW&amp;VAR:QUERY=RkZfRUJJVERBX0lCKCdMVE1TJywzOTY2OSk=&amp;WINDOW=FIRST_POPUP&amp;HEIGHT=450&amp;WIDTH=450&amp;START_MA","XIMIZED=FALSE&amp;VAR:CALENDAR=US&amp;VAR:SYMBOL=05614P10&amp;VAR:INDEX=0"}</definedName>
    <definedName name="_2388__FDSAUDITLINK__" hidden="1">{"fdsup://directions/FAT Viewer?action=UPDATE&amp;creator=factset&amp;DYN_ARGS=TRUE&amp;DOC_NAME=FAT:FQL_AUDITING_CLIENT_TEMPLATE.FAT&amp;display_string=Audit&amp;VAR:KEY=VYXUPGJCLW&amp;VAR:QUERY=RkZfRUJJVERBX0lCKCdMVE1TJywzOTY2OSk=&amp;WINDOW=FIRST_POPUP&amp;HEIGHT=450&amp;WIDTH=450&amp;START_MA","XIMIZED=FALSE&amp;VAR:CALENDAR=US&amp;VAR:SYMBOL=05614P10&amp;VAR:INDEX=0"}</definedName>
    <definedName name="_2389__FDSAUDITLINK__" localSheetId="6" hidden="1">{"fdsup://directions/FAT Viewer?action=UPDATE&amp;creator=factset&amp;DYN_ARGS=TRUE&amp;DOC_NAME=FAT:FQL_AUDITING_CLIENT_TEMPLATE.FAT&amp;display_string=Audit&amp;VAR:KEY=BSTWFKZGFS&amp;VAR:QUERY=RkZfRUJJVERBX0lCKCdMVE1TJywzOTY2OCk=&amp;WINDOW=FIRST_POPUP&amp;HEIGHT=450&amp;WIDTH=450&amp;START_MA","XIMIZED=FALSE&amp;VAR:CALENDAR=US&amp;VAR:SYMBOL=05614P10&amp;VAR:INDEX=0"}</definedName>
    <definedName name="_2389__FDSAUDITLINK__" hidden="1">{"fdsup://directions/FAT Viewer?action=UPDATE&amp;creator=factset&amp;DYN_ARGS=TRUE&amp;DOC_NAME=FAT:FQL_AUDITING_CLIENT_TEMPLATE.FAT&amp;display_string=Audit&amp;VAR:KEY=BSTWFKZGFS&amp;VAR:QUERY=RkZfRUJJVERBX0lCKCdMVE1TJywzOTY2OCk=&amp;WINDOW=FIRST_POPUP&amp;HEIGHT=450&amp;WIDTH=450&amp;START_MA","XIMIZED=FALSE&amp;VAR:CALENDAR=US&amp;VAR:SYMBOL=05614P10&amp;VAR:INDEX=0"}</definedName>
    <definedName name="_239__FDSAUDITLINK__" localSheetId="6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9__FDSAUDITLINK__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390__FDSAUDITLINK__" localSheetId="6" hidden="1">{"fdsup://directions/FAT Viewer?action=UPDATE&amp;creator=factset&amp;DYN_ARGS=TRUE&amp;DOC_NAME=FAT:FQL_AUDITING_CLIENT_TEMPLATE.FAT&amp;display_string=Audit&amp;VAR:KEY=HQPWXOBOZK&amp;VAR:QUERY=RkZfRUJJVERBX0lCKCdMVE1TJywzOTY2Nyk=&amp;WINDOW=FIRST_POPUP&amp;HEIGHT=450&amp;WIDTH=450&amp;START_MA","XIMIZED=FALSE&amp;VAR:CALENDAR=US&amp;VAR:SYMBOL=05614P10&amp;VAR:INDEX=0"}</definedName>
    <definedName name="_2390__FDSAUDITLINK__" hidden="1">{"fdsup://directions/FAT Viewer?action=UPDATE&amp;creator=factset&amp;DYN_ARGS=TRUE&amp;DOC_NAME=FAT:FQL_AUDITING_CLIENT_TEMPLATE.FAT&amp;display_string=Audit&amp;VAR:KEY=HQPWXOBOZK&amp;VAR:QUERY=RkZfRUJJVERBX0lCKCdMVE1TJywzOTY2Nyk=&amp;WINDOW=FIRST_POPUP&amp;HEIGHT=450&amp;WIDTH=450&amp;START_MA","XIMIZED=FALSE&amp;VAR:CALENDAR=US&amp;VAR:SYMBOL=05614P10&amp;VAR:INDEX=0"}</definedName>
    <definedName name="_2391__FDSAUDITLINK__" localSheetId="6" hidden="1">{"fdsup://directions/FAT Viewer?action=UPDATE&amp;creator=factset&amp;DYN_ARGS=TRUE&amp;DOC_NAME=FAT:FQL_AUDITING_CLIENT_TEMPLATE.FAT&amp;display_string=Audit&amp;VAR:KEY=DCZEFYBUVC&amp;VAR:QUERY=RkZfRUJJVERBX0lCKCdMVE1TJywzOTY2Nik=&amp;WINDOW=FIRST_POPUP&amp;HEIGHT=450&amp;WIDTH=450&amp;START_MA","XIMIZED=FALSE&amp;VAR:CALENDAR=US&amp;VAR:SYMBOL=05614P10&amp;VAR:INDEX=0"}</definedName>
    <definedName name="_2391__FDSAUDITLINK__" hidden="1">{"fdsup://directions/FAT Viewer?action=UPDATE&amp;creator=factset&amp;DYN_ARGS=TRUE&amp;DOC_NAME=FAT:FQL_AUDITING_CLIENT_TEMPLATE.FAT&amp;display_string=Audit&amp;VAR:KEY=DCZEFYBUVC&amp;VAR:QUERY=RkZfRUJJVERBX0lCKCdMVE1TJywzOTY2Nik=&amp;WINDOW=FIRST_POPUP&amp;HEIGHT=450&amp;WIDTH=450&amp;START_MA","XIMIZED=FALSE&amp;VAR:CALENDAR=US&amp;VAR:SYMBOL=05614P10&amp;VAR:INDEX=0"}</definedName>
    <definedName name="_2392__FDSAUDITLINK__" localSheetId="6" hidden="1">{"fdsup://directions/FAT Viewer?action=UPDATE&amp;creator=factset&amp;DYN_ARGS=TRUE&amp;DOC_NAME=FAT:FQL_AUDITING_CLIENT_TEMPLATE.FAT&amp;display_string=Audit&amp;VAR:KEY=RITGXKJOFU&amp;VAR:QUERY=RkZfRUJJVERBX0lCKCdMVE1TJywzOTY2NSk=&amp;WINDOW=FIRST_POPUP&amp;HEIGHT=450&amp;WIDTH=450&amp;START_MA","XIMIZED=FALSE&amp;VAR:CALENDAR=US&amp;VAR:SYMBOL=05614P10&amp;VAR:INDEX=0"}</definedName>
    <definedName name="_2392__FDSAUDITLINK__" hidden="1">{"fdsup://directions/FAT Viewer?action=UPDATE&amp;creator=factset&amp;DYN_ARGS=TRUE&amp;DOC_NAME=FAT:FQL_AUDITING_CLIENT_TEMPLATE.FAT&amp;display_string=Audit&amp;VAR:KEY=RITGXKJOFU&amp;VAR:QUERY=RkZfRUJJVERBX0lCKCdMVE1TJywzOTY2NSk=&amp;WINDOW=FIRST_POPUP&amp;HEIGHT=450&amp;WIDTH=450&amp;START_MA","XIMIZED=FALSE&amp;VAR:CALENDAR=US&amp;VAR:SYMBOL=05614P10&amp;VAR:INDEX=0"}</definedName>
    <definedName name="_2393__FDSAUDITLINK__" localSheetId="6" hidden="1">{"fdsup://directions/FAT Viewer?action=UPDATE&amp;creator=factset&amp;DYN_ARGS=TRUE&amp;DOC_NAME=FAT:FQL_AUDITING_CLIENT_TEMPLATE.FAT&amp;display_string=Audit&amp;VAR:KEY=DMBCZEPWPC&amp;VAR:QUERY=RkZfRUJJVERBX0lCKCdMVE1TJywzOTY2NCk=&amp;WINDOW=FIRST_POPUP&amp;HEIGHT=450&amp;WIDTH=450&amp;START_MA","XIMIZED=FALSE&amp;VAR:CALENDAR=US&amp;VAR:SYMBOL=05614P10&amp;VAR:INDEX=0"}</definedName>
    <definedName name="_2393__FDSAUDITLINK__" hidden="1">{"fdsup://directions/FAT Viewer?action=UPDATE&amp;creator=factset&amp;DYN_ARGS=TRUE&amp;DOC_NAME=FAT:FQL_AUDITING_CLIENT_TEMPLATE.FAT&amp;display_string=Audit&amp;VAR:KEY=DMBCZEPWPC&amp;VAR:QUERY=RkZfRUJJVERBX0lCKCdMVE1TJywzOTY2NCk=&amp;WINDOW=FIRST_POPUP&amp;HEIGHT=450&amp;WIDTH=450&amp;START_MA","XIMIZED=FALSE&amp;VAR:CALENDAR=US&amp;VAR:SYMBOL=05614P10&amp;VAR:INDEX=0"}</definedName>
    <definedName name="_2394__FDSAUDITLINK__" localSheetId="6" hidden="1">{"fdsup://directions/FAT Viewer?action=UPDATE&amp;creator=factset&amp;DYN_ARGS=TRUE&amp;DOC_NAME=FAT:FQL_AUDITING_CLIENT_TEMPLATE.FAT&amp;display_string=Audit&amp;VAR:KEY=DCTIZUVSPA&amp;VAR:QUERY=RkZfRUJJVERBX0lCKCdMVE1TJywzOTY2Myk=&amp;WINDOW=FIRST_POPUP&amp;HEIGHT=450&amp;WIDTH=450&amp;START_MA","XIMIZED=FALSE&amp;VAR:CALENDAR=US&amp;VAR:SYMBOL=05614P10&amp;VAR:INDEX=0"}</definedName>
    <definedName name="_2394__FDSAUDITLINK__" hidden="1">{"fdsup://directions/FAT Viewer?action=UPDATE&amp;creator=factset&amp;DYN_ARGS=TRUE&amp;DOC_NAME=FAT:FQL_AUDITING_CLIENT_TEMPLATE.FAT&amp;display_string=Audit&amp;VAR:KEY=DCTIZUVSPA&amp;VAR:QUERY=RkZfRUJJVERBX0lCKCdMVE1TJywzOTY2Myk=&amp;WINDOW=FIRST_POPUP&amp;HEIGHT=450&amp;WIDTH=450&amp;START_MA","XIMIZED=FALSE&amp;VAR:CALENDAR=US&amp;VAR:SYMBOL=05614P10&amp;VAR:INDEX=0"}</definedName>
    <definedName name="_2395__FDSAUDITLINK__" localSheetId="6" hidden="1">{"fdsup://directions/FAT Viewer?action=UPDATE&amp;creator=factset&amp;DYN_ARGS=TRUE&amp;DOC_NAME=FAT:FQL_AUDITING_CLIENT_TEMPLATE.FAT&amp;display_string=Audit&amp;VAR:KEY=TSFIZCTIHC&amp;VAR:QUERY=RkZfRUJJVERBX0lCKCdMVE1TJywzOTY2Mik=&amp;WINDOW=FIRST_POPUP&amp;HEIGHT=450&amp;WIDTH=450&amp;START_MA","XIMIZED=FALSE&amp;VAR:CALENDAR=US&amp;VAR:SYMBOL=05614P10&amp;VAR:INDEX=0"}</definedName>
    <definedName name="_2395__FDSAUDITLINK__" hidden="1">{"fdsup://directions/FAT Viewer?action=UPDATE&amp;creator=factset&amp;DYN_ARGS=TRUE&amp;DOC_NAME=FAT:FQL_AUDITING_CLIENT_TEMPLATE.FAT&amp;display_string=Audit&amp;VAR:KEY=TSFIZCTIHC&amp;VAR:QUERY=RkZfRUJJVERBX0lCKCdMVE1TJywzOTY2Mik=&amp;WINDOW=FIRST_POPUP&amp;HEIGHT=450&amp;WIDTH=450&amp;START_MA","XIMIZED=FALSE&amp;VAR:CALENDAR=US&amp;VAR:SYMBOL=05614P10&amp;VAR:INDEX=0"}</definedName>
    <definedName name="_2396__FDSAUDITLINK__" localSheetId="6" hidden="1">{"fdsup://directions/FAT Viewer?action=UPDATE&amp;creator=factset&amp;DYN_ARGS=TRUE&amp;DOC_NAME=FAT:FQL_AUDITING_CLIENT_TEMPLATE.FAT&amp;display_string=Audit&amp;VAR:KEY=HMJULCFIRS&amp;VAR:QUERY=RkZfRUJJVERBX0lCKCdMVE1TJywzOTY2MSk=&amp;WINDOW=FIRST_POPUP&amp;HEIGHT=450&amp;WIDTH=450&amp;START_MA","XIMIZED=FALSE&amp;VAR:CALENDAR=US&amp;VAR:SYMBOL=05614P10&amp;VAR:INDEX=0"}</definedName>
    <definedName name="_2396__FDSAUDITLINK__" hidden="1">{"fdsup://directions/FAT Viewer?action=UPDATE&amp;creator=factset&amp;DYN_ARGS=TRUE&amp;DOC_NAME=FAT:FQL_AUDITING_CLIENT_TEMPLATE.FAT&amp;display_string=Audit&amp;VAR:KEY=HMJULCFIRS&amp;VAR:QUERY=RkZfRUJJVERBX0lCKCdMVE1TJywzOTY2MSk=&amp;WINDOW=FIRST_POPUP&amp;HEIGHT=450&amp;WIDTH=450&amp;START_MA","XIMIZED=FALSE&amp;VAR:CALENDAR=US&amp;VAR:SYMBOL=05614P10&amp;VAR:INDEX=0"}</definedName>
    <definedName name="_2397__FDSAUDITLINK__" localSheetId="6" hidden="1">{"fdsup://directions/FAT Viewer?action=UPDATE&amp;creator=factset&amp;DYN_ARGS=TRUE&amp;DOC_NAME=FAT:FQL_AUDITING_CLIENT_TEMPLATE.FAT&amp;display_string=Audit&amp;VAR:KEY=BKXAJAHSVK&amp;VAR:QUERY=RkZfRUJJVERBX0lCKCdMVE1TJywzOTY2MCk=&amp;WINDOW=FIRST_POPUP&amp;HEIGHT=450&amp;WIDTH=450&amp;START_MA","XIMIZED=FALSE&amp;VAR:CALENDAR=US&amp;VAR:SYMBOL=05614P10&amp;VAR:INDEX=0"}</definedName>
    <definedName name="_2397__FDSAUDITLINK__" hidden="1">{"fdsup://directions/FAT Viewer?action=UPDATE&amp;creator=factset&amp;DYN_ARGS=TRUE&amp;DOC_NAME=FAT:FQL_AUDITING_CLIENT_TEMPLATE.FAT&amp;display_string=Audit&amp;VAR:KEY=BKXAJAHSVK&amp;VAR:QUERY=RkZfRUJJVERBX0lCKCdMVE1TJywzOTY2MCk=&amp;WINDOW=FIRST_POPUP&amp;HEIGHT=450&amp;WIDTH=450&amp;START_MA","XIMIZED=FALSE&amp;VAR:CALENDAR=US&amp;VAR:SYMBOL=05614P10&amp;VAR:INDEX=0"}</definedName>
    <definedName name="_2398__FDSAUDITLINK__" localSheetId="6" hidden="1">{"fdsup://directions/FAT Viewer?action=UPDATE&amp;creator=factset&amp;DYN_ARGS=TRUE&amp;DOC_NAME=FAT:FQL_AUDITING_CLIENT_TEMPLATE.FAT&amp;display_string=Audit&amp;VAR:KEY=XWVIFAXING&amp;VAR:QUERY=RkZfRUJJVERBX0lCKCdMVE1TJywzOTY1OSk=&amp;WINDOW=FIRST_POPUP&amp;HEIGHT=450&amp;WIDTH=450&amp;START_MA","XIMIZED=FALSE&amp;VAR:CALENDAR=US&amp;VAR:SYMBOL=05614P10&amp;VAR:INDEX=0"}</definedName>
    <definedName name="_2398__FDSAUDITLINK__" hidden="1">{"fdsup://directions/FAT Viewer?action=UPDATE&amp;creator=factset&amp;DYN_ARGS=TRUE&amp;DOC_NAME=FAT:FQL_AUDITING_CLIENT_TEMPLATE.FAT&amp;display_string=Audit&amp;VAR:KEY=XWVIFAXING&amp;VAR:QUERY=RkZfRUJJVERBX0lCKCdMVE1TJywzOTY1OSk=&amp;WINDOW=FIRST_POPUP&amp;HEIGHT=450&amp;WIDTH=450&amp;START_MA","XIMIZED=FALSE&amp;VAR:CALENDAR=US&amp;VAR:SYMBOL=05614P10&amp;VAR:INDEX=0"}</definedName>
    <definedName name="_2399__FDSAUDITLINK__" localSheetId="6" hidden="1">{"fdsup://directions/FAT Viewer?action=UPDATE&amp;creator=factset&amp;DYN_ARGS=TRUE&amp;DOC_NAME=FAT:FQL_AUDITING_CLIENT_TEMPLATE.FAT&amp;display_string=Audit&amp;VAR:KEY=RGBGBUTADU&amp;VAR:QUERY=RkZfRUJJVERBX0lCKCdMVE1TJywzOTY1OCk=&amp;WINDOW=FIRST_POPUP&amp;HEIGHT=450&amp;WIDTH=450&amp;START_MA","XIMIZED=FALSE&amp;VAR:CALENDAR=US&amp;VAR:SYMBOL=05614P10&amp;VAR:INDEX=0"}</definedName>
    <definedName name="_2399__FDSAUDITLINK__" hidden="1">{"fdsup://directions/FAT Viewer?action=UPDATE&amp;creator=factset&amp;DYN_ARGS=TRUE&amp;DOC_NAME=FAT:FQL_AUDITING_CLIENT_TEMPLATE.FAT&amp;display_string=Audit&amp;VAR:KEY=RGBGBUTADU&amp;VAR:QUERY=RkZfRUJJVERBX0lCKCdMVE1TJywzOTY1OCk=&amp;WINDOW=FIRST_POPUP&amp;HEIGHT=450&amp;WIDTH=450&amp;START_MA","XIMIZED=FALSE&amp;VAR:CALENDAR=US&amp;VAR:SYMBOL=05614P10&amp;VAR:INDEX=0"}</definedName>
    <definedName name="_24__FDSAUDITLINK__" localSheetId="6" hidden="1">{"fdsup://directions/FAT Viewer?action=UPDATE&amp;creator=factset&amp;DYN_ARGS=TRUE&amp;DOC_NAME=FAT:FQL_AUDITING_CLIENT_TEMPLATE.FAT&amp;display_string=Audit&amp;VAR:KEY=IDATUFYJIH&amp;VAR:QUERY=QVZHKENTRl9ORVRfSU5DKEFOTiwwRlksLTZGWSxZKSkgLyAoQVZHKENTRl9BU1NFVFMoQU5OLDBGWSwtNkZZL","EZZKSkgLSBBVkcoQ1NGX0lOVEFORyhBTk4sMCwtNkZZLEZZKSkp&amp;WINDOW=FIRST_POPUP&amp;HEIGHT=450&amp;WIDTH=450&amp;START_MAXIMIZED=FALSE&amp;VAR:CALENDAR=US&amp;VAR:SYMBOL=92974010"}</definedName>
    <definedName name="_24__FDSAUDITLINK__" hidden="1">{"fdsup://directions/FAT Viewer?action=UPDATE&amp;creator=factset&amp;DYN_ARGS=TRUE&amp;DOC_NAME=FAT:FQL_AUDITING_CLIENT_TEMPLATE.FAT&amp;display_string=Audit&amp;VAR:KEY=IDATUFYJIH&amp;VAR:QUERY=QVZHKENTRl9ORVRfSU5DKEFOTiwwRlksLTZGWSxZKSkgLyAoQVZHKENTRl9BU1NFVFMoQU5OLDBGWSwtNkZZL","EZZKSkgLSBBVkcoQ1NGX0lOVEFORyhBTk4sMCwtNkZZLEZZKSkp&amp;WINDOW=FIRST_POPUP&amp;HEIGHT=450&amp;WIDTH=450&amp;START_MAXIMIZED=FALSE&amp;VAR:CALENDAR=US&amp;VAR:SYMBOL=92974010"}</definedName>
    <definedName name="_240__FDSAUDITLINK__" localSheetId="6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0__FDSAUDITLINK__" hidden="1">{"fdsup://directions/FAT%20Viewer?VAR:PED=LTM&amp;VAR:AUDIT_MODE=SUMMARY&amp;VAR:PERIOD=FIXED&amp;VAR:AUDIT_ID=00000117&amp;VAR:DATE=20090626&amp;action=UPDATE&amp;creator=factset&amp;DOC_NAME=FAT:FMA_audit_SUMMARY.fat&amp;DISPLAY_STRING=Display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00__FDSAUDITLINK__" localSheetId="6" hidden="1">{"fdsup://directions/FAT Viewer?action=UPDATE&amp;creator=factset&amp;DYN_ARGS=TRUE&amp;DOC_NAME=FAT:FQL_AUDITING_CLIENT_TEMPLATE.FAT&amp;display_string=Audit&amp;VAR:KEY=BYHAVEDGXC&amp;VAR:QUERY=RkZfRUJJVERBX0lCKCdMVE1TJywzOTY1Nyk=&amp;WINDOW=FIRST_POPUP&amp;HEIGHT=450&amp;WIDTH=450&amp;START_MA","XIMIZED=FALSE&amp;VAR:CALENDAR=US&amp;VAR:SYMBOL=05614P10&amp;VAR:INDEX=0"}</definedName>
    <definedName name="_2400__FDSAUDITLINK__" hidden="1">{"fdsup://directions/FAT Viewer?action=UPDATE&amp;creator=factset&amp;DYN_ARGS=TRUE&amp;DOC_NAME=FAT:FQL_AUDITING_CLIENT_TEMPLATE.FAT&amp;display_string=Audit&amp;VAR:KEY=BYHAVEDGXC&amp;VAR:QUERY=RkZfRUJJVERBX0lCKCdMVE1TJywzOTY1Nyk=&amp;WINDOW=FIRST_POPUP&amp;HEIGHT=450&amp;WIDTH=450&amp;START_MA","XIMIZED=FALSE&amp;VAR:CALENDAR=US&amp;VAR:SYMBOL=05614P10&amp;VAR:INDEX=0"}</definedName>
    <definedName name="_2401__FDSAUDITLINK__" localSheetId="6" hidden="1">{"fdsup://directions/FAT Viewer?action=UPDATE&amp;creator=factset&amp;DYN_ARGS=TRUE&amp;DOC_NAME=FAT:FQL_AUDITING_CLIENT_TEMPLATE.FAT&amp;display_string=Audit&amp;VAR:KEY=DWFCVCNMRQ&amp;VAR:QUERY=RkZfRUJJVERBX0lCKCdMVE1TJywzOTY1Nik=&amp;WINDOW=FIRST_POPUP&amp;HEIGHT=450&amp;WIDTH=450&amp;START_MA","XIMIZED=FALSE&amp;VAR:CALENDAR=US&amp;VAR:SYMBOL=05614P10&amp;VAR:INDEX=0"}</definedName>
    <definedName name="_2401__FDSAUDITLINK__" hidden="1">{"fdsup://directions/FAT Viewer?action=UPDATE&amp;creator=factset&amp;DYN_ARGS=TRUE&amp;DOC_NAME=FAT:FQL_AUDITING_CLIENT_TEMPLATE.FAT&amp;display_string=Audit&amp;VAR:KEY=DWFCVCNMRQ&amp;VAR:QUERY=RkZfRUJJVERBX0lCKCdMVE1TJywzOTY1Nik=&amp;WINDOW=FIRST_POPUP&amp;HEIGHT=450&amp;WIDTH=450&amp;START_MA","XIMIZED=FALSE&amp;VAR:CALENDAR=US&amp;VAR:SYMBOL=05614P10&amp;VAR:INDEX=0"}</definedName>
    <definedName name="_2402__FDSAUDITLINK__" localSheetId="6" hidden="1">{"fdsup://directions/FAT Viewer?action=UPDATE&amp;creator=factset&amp;DYN_ARGS=TRUE&amp;DOC_NAME=FAT:FQL_AUDITING_CLIENT_TEMPLATE.FAT&amp;display_string=Audit&amp;VAR:KEY=TQHWTKFMTC&amp;VAR:QUERY=RkZfRUJJVERBX0lCKCdMVE1TJywzOTY1NSk=&amp;WINDOW=FIRST_POPUP&amp;HEIGHT=450&amp;WIDTH=450&amp;START_MA","XIMIZED=FALSE&amp;VAR:CALENDAR=US&amp;VAR:SYMBOL=05614P10&amp;VAR:INDEX=0"}</definedName>
    <definedName name="_2402__FDSAUDITLINK__" hidden="1">{"fdsup://directions/FAT Viewer?action=UPDATE&amp;creator=factset&amp;DYN_ARGS=TRUE&amp;DOC_NAME=FAT:FQL_AUDITING_CLIENT_TEMPLATE.FAT&amp;display_string=Audit&amp;VAR:KEY=TQHWTKFMTC&amp;VAR:QUERY=RkZfRUJJVERBX0lCKCdMVE1TJywzOTY1NSk=&amp;WINDOW=FIRST_POPUP&amp;HEIGHT=450&amp;WIDTH=450&amp;START_MA","XIMIZED=FALSE&amp;VAR:CALENDAR=US&amp;VAR:SYMBOL=05614P10&amp;VAR:INDEX=0"}</definedName>
    <definedName name="_2403__FDSAUDITLINK__" localSheetId="6" hidden="1">{"fdsup://directions/FAT Viewer?action=UPDATE&amp;creator=factset&amp;DYN_ARGS=TRUE&amp;DOC_NAME=FAT:FQL_AUDITING_CLIENT_TEMPLATE.FAT&amp;display_string=Audit&amp;VAR:KEY=ZKZOFCJEBK&amp;VAR:QUERY=RkZfRUJJVERBX0lCKCdMVE1TJywzOTY1NCk=&amp;WINDOW=FIRST_POPUP&amp;HEIGHT=450&amp;WIDTH=450&amp;START_MA","XIMIZED=FALSE&amp;VAR:CALENDAR=US&amp;VAR:SYMBOL=05614P10&amp;VAR:INDEX=0"}</definedName>
    <definedName name="_2403__FDSAUDITLINK__" hidden="1">{"fdsup://directions/FAT Viewer?action=UPDATE&amp;creator=factset&amp;DYN_ARGS=TRUE&amp;DOC_NAME=FAT:FQL_AUDITING_CLIENT_TEMPLATE.FAT&amp;display_string=Audit&amp;VAR:KEY=ZKZOFCJEBK&amp;VAR:QUERY=RkZfRUJJVERBX0lCKCdMVE1TJywzOTY1NCk=&amp;WINDOW=FIRST_POPUP&amp;HEIGHT=450&amp;WIDTH=450&amp;START_MA","XIMIZED=FALSE&amp;VAR:CALENDAR=US&amp;VAR:SYMBOL=05614P10&amp;VAR:INDEX=0"}</definedName>
    <definedName name="_2404__FDSAUDITLINK__" localSheetId="6" hidden="1">{"fdsup://directions/FAT Viewer?action=UPDATE&amp;creator=factset&amp;DYN_ARGS=TRUE&amp;DOC_NAME=FAT:FQL_AUDITING_CLIENT_TEMPLATE.FAT&amp;display_string=Audit&amp;VAR:KEY=JQNOZKHWJC&amp;VAR:QUERY=RkZfRUJJVERBX0lCKCdMVE1TJywzOTY1Myk=&amp;WINDOW=FIRST_POPUP&amp;HEIGHT=450&amp;WIDTH=450&amp;START_MA","XIMIZED=FALSE&amp;VAR:CALENDAR=US&amp;VAR:SYMBOL=05614P10&amp;VAR:INDEX=0"}</definedName>
    <definedName name="_2404__FDSAUDITLINK__" hidden="1">{"fdsup://directions/FAT Viewer?action=UPDATE&amp;creator=factset&amp;DYN_ARGS=TRUE&amp;DOC_NAME=FAT:FQL_AUDITING_CLIENT_TEMPLATE.FAT&amp;display_string=Audit&amp;VAR:KEY=JQNOZKHWJC&amp;VAR:QUERY=RkZfRUJJVERBX0lCKCdMVE1TJywzOTY1Myk=&amp;WINDOW=FIRST_POPUP&amp;HEIGHT=450&amp;WIDTH=450&amp;START_MA","XIMIZED=FALSE&amp;VAR:CALENDAR=US&amp;VAR:SYMBOL=05614P10&amp;VAR:INDEX=0"}</definedName>
    <definedName name="_2405__FDSAUDITLINK__" localSheetId="6" hidden="1">{"fdsup://directions/FAT Viewer?action=UPDATE&amp;creator=factset&amp;DYN_ARGS=TRUE&amp;DOC_NAME=FAT:FQL_AUDITING_CLIENT_TEMPLATE.FAT&amp;display_string=Audit&amp;VAR:KEY=NONGHONQHE&amp;VAR:QUERY=RkZfRUJJVERBX0lCKCdMVE1TJywzOTY1Mik=&amp;WINDOW=FIRST_POPUP&amp;HEIGHT=450&amp;WIDTH=450&amp;START_MA","XIMIZED=FALSE&amp;VAR:CALENDAR=US&amp;VAR:SYMBOL=05614P10&amp;VAR:INDEX=0"}</definedName>
    <definedName name="_2405__FDSAUDITLINK__" hidden="1">{"fdsup://directions/FAT Viewer?action=UPDATE&amp;creator=factset&amp;DYN_ARGS=TRUE&amp;DOC_NAME=FAT:FQL_AUDITING_CLIENT_TEMPLATE.FAT&amp;display_string=Audit&amp;VAR:KEY=NONGHONQHE&amp;VAR:QUERY=RkZfRUJJVERBX0lCKCdMVE1TJywzOTY1Mik=&amp;WINDOW=FIRST_POPUP&amp;HEIGHT=450&amp;WIDTH=450&amp;START_MA","XIMIZED=FALSE&amp;VAR:CALENDAR=US&amp;VAR:SYMBOL=05614P10&amp;VAR:INDEX=0"}</definedName>
    <definedName name="_2406__FDSAUDITLINK__" localSheetId="6" hidden="1">{"fdsup://directions/FAT Viewer?action=UPDATE&amp;creator=factset&amp;DYN_ARGS=TRUE&amp;DOC_NAME=FAT:FQL_AUDITING_CLIENT_TEMPLATE.FAT&amp;display_string=Audit&amp;VAR:KEY=DUTCXMVUFI&amp;VAR:QUERY=RkZfRUJJVERBX0lCKCdMVE1TJywzOTY1MSk=&amp;WINDOW=FIRST_POPUP&amp;HEIGHT=450&amp;WIDTH=450&amp;START_MA","XIMIZED=FALSE&amp;VAR:CALENDAR=US&amp;VAR:SYMBOL=05614P10&amp;VAR:INDEX=0"}</definedName>
    <definedName name="_2406__FDSAUDITLINK__" hidden="1">{"fdsup://directions/FAT Viewer?action=UPDATE&amp;creator=factset&amp;DYN_ARGS=TRUE&amp;DOC_NAME=FAT:FQL_AUDITING_CLIENT_TEMPLATE.FAT&amp;display_string=Audit&amp;VAR:KEY=DUTCXMVUFI&amp;VAR:QUERY=RkZfRUJJVERBX0lCKCdMVE1TJywzOTY1MSk=&amp;WINDOW=FIRST_POPUP&amp;HEIGHT=450&amp;WIDTH=450&amp;START_MA","XIMIZED=FALSE&amp;VAR:CALENDAR=US&amp;VAR:SYMBOL=05614P10&amp;VAR:INDEX=0"}</definedName>
    <definedName name="_2407__FDSAUDITLINK__" localSheetId="6" hidden="1">{"fdsup://directions/FAT Viewer?action=UPDATE&amp;creator=factset&amp;DYN_ARGS=TRUE&amp;DOC_NAME=FAT:FQL_AUDITING_CLIENT_TEMPLATE.FAT&amp;display_string=Audit&amp;VAR:KEY=LIXOBUVSVS&amp;VAR:QUERY=RkZfRUJJVERBX0lCKCdMVE1TJywzOTY1MCk=&amp;WINDOW=FIRST_POPUP&amp;HEIGHT=450&amp;WIDTH=450&amp;START_MA","XIMIZED=FALSE&amp;VAR:CALENDAR=US&amp;VAR:SYMBOL=05614P10&amp;VAR:INDEX=0"}</definedName>
    <definedName name="_2407__FDSAUDITLINK__" hidden="1">{"fdsup://directions/FAT Viewer?action=UPDATE&amp;creator=factset&amp;DYN_ARGS=TRUE&amp;DOC_NAME=FAT:FQL_AUDITING_CLIENT_TEMPLATE.FAT&amp;display_string=Audit&amp;VAR:KEY=LIXOBUVSVS&amp;VAR:QUERY=RkZfRUJJVERBX0lCKCdMVE1TJywzOTY1MCk=&amp;WINDOW=FIRST_POPUP&amp;HEIGHT=450&amp;WIDTH=450&amp;START_MA","XIMIZED=FALSE&amp;VAR:CALENDAR=US&amp;VAR:SYMBOL=05614P10&amp;VAR:INDEX=0"}</definedName>
    <definedName name="_2408__FDSAUDITLINK__" localSheetId="6" hidden="1">{"fdsup://directions/FAT Viewer?action=UPDATE&amp;creator=factset&amp;DYN_ARGS=TRUE&amp;DOC_NAME=FAT:FQL_AUDITING_CLIENT_TEMPLATE.FAT&amp;display_string=Audit&amp;VAR:KEY=NUBIPIPGBC&amp;VAR:QUERY=RkZfRUJJVERBX0lCKCdMVE1TJywzOTY0OSk=&amp;WINDOW=FIRST_POPUP&amp;HEIGHT=450&amp;WIDTH=450&amp;START_MA","XIMIZED=FALSE&amp;VAR:CALENDAR=US&amp;VAR:SYMBOL=05614P10&amp;VAR:INDEX=0"}</definedName>
    <definedName name="_2408__FDSAUDITLINK__" hidden="1">{"fdsup://directions/FAT Viewer?action=UPDATE&amp;creator=factset&amp;DYN_ARGS=TRUE&amp;DOC_NAME=FAT:FQL_AUDITING_CLIENT_TEMPLATE.FAT&amp;display_string=Audit&amp;VAR:KEY=NUBIPIPGBC&amp;VAR:QUERY=RkZfRUJJVERBX0lCKCdMVE1TJywzOTY0OSk=&amp;WINDOW=FIRST_POPUP&amp;HEIGHT=450&amp;WIDTH=450&amp;START_MA","XIMIZED=FALSE&amp;VAR:CALENDAR=US&amp;VAR:SYMBOL=05614P10&amp;VAR:INDEX=0"}</definedName>
    <definedName name="_2409__FDSAUDITLINK__" localSheetId="6" hidden="1">{"fdsup://directions/FAT Viewer?action=UPDATE&amp;creator=factset&amp;DYN_ARGS=TRUE&amp;DOC_NAME=FAT:FQL_AUDITING_CLIENT_TEMPLATE.FAT&amp;display_string=Audit&amp;VAR:KEY=FIDCTETMXM&amp;VAR:QUERY=RkZfRUJJVERBX0lCKCdMVE1TJywzOTY0OCk=&amp;WINDOW=FIRST_POPUP&amp;HEIGHT=450&amp;WIDTH=450&amp;START_MA","XIMIZED=FALSE&amp;VAR:CALENDAR=US&amp;VAR:SYMBOL=05614P10&amp;VAR:INDEX=0"}</definedName>
    <definedName name="_2409__FDSAUDITLINK__" hidden="1">{"fdsup://directions/FAT Viewer?action=UPDATE&amp;creator=factset&amp;DYN_ARGS=TRUE&amp;DOC_NAME=FAT:FQL_AUDITING_CLIENT_TEMPLATE.FAT&amp;display_string=Audit&amp;VAR:KEY=FIDCTETMXM&amp;VAR:QUERY=RkZfRUJJVERBX0lCKCdMVE1TJywzOTY0OCk=&amp;WINDOW=FIRST_POPUP&amp;HEIGHT=450&amp;WIDTH=450&amp;START_MA","XIMIZED=FALSE&amp;VAR:CALENDAR=US&amp;VAR:SYMBOL=05614P10&amp;VAR:INDEX=0"}</definedName>
    <definedName name="_241__FDSAUDITLINK__" localSheetId="6" hidden="1">{"fdsup://directions/FAT%20Viewer?VAR:PED=LTM&amp;VAR:AUDIT_MODE=SUMMARY&amp;VAR:PERIOD=FIXED&amp;VAR:AUDIT_ID=00000117&amp;VAR:DATE=20090625&amp;action=UPDATE&amp;creator=factset&amp;DOC_NAME=FAT:FMA_audit_SUMMARY.fat&amp;DISPLAY_STRING=Display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1__FDSAUDITLINK__" hidden="1">{"fdsup://directions/FAT%20Viewer?VAR:PED=LTM&amp;VAR:AUDIT_MODE=SUMMARY&amp;VAR:PERIOD=FIXED&amp;VAR:AUDIT_ID=00000117&amp;VAR:DATE=20090625&amp;action=UPDATE&amp;creator=factset&amp;DOC_NAME=FAT:FMA_audit_SUMMARY.fat&amp;DISPLAY_STRING=Display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10__FDSAUDITLINK__" localSheetId="6" hidden="1">{"fdsup://directions/FAT Viewer?action=UPDATE&amp;creator=factset&amp;DYN_ARGS=TRUE&amp;DOC_NAME=FAT:FQL_AUDITING_CLIENT_TEMPLATE.FAT&amp;display_string=Audit&amp;VAR:KEY=HITENSDQLG&amp;VAR:QUERY=RkZfRUJJVERBX0lCKCdMVE1TJywzOTY0Nyk=&amp;WINDOW=FIRST_POPUP&amp;HEIGHT=450&amp;WIDTH=450&amp;START_MA","XIMIZED=FALSE&amp;VAR:CALENDAR=US&amp;VAR:SYMBOL=05614P10&amp;VAR:INDEX=0"}</definedName>
    <definedName name="_2410__FDSAUDITLINK__" hidden="1">{"fdsup://directions/FAT Viewer?action=UPDATE&amp;creator=factset&amp;DYN_ARGS=TRUE&amp;DOC_NAME=FAT:FQL_AUDITING_CLIENT_TEMPLATE.FAT&amp;display_string=Audit&amp;VAR:KEY=HITENSDQLG&amp;VAR:QUERY=RkZfRUJJVERBX0lCKCdMVE1TJywzOTY0Nyk=&amp;WINDOW=FIRST_POPUP&amp;HEIGHT=450&amp;WIDTH=450&amp;START_MA","XIMIZED=FALSE&amp;VAR:CALENDAR=US&amp;VAR:SYMBOL=05614P10&amp;VAR:INDEX=0"}</definedName>
    <definedName name="_2411__FDSAUDITLINK__" localSheetId="6" hidden="1">{"fdsup://directions/FAT Viewer?action=UPDATE&amp;creator=factset&amp;DYN_ARGS=TRUE&amp;DOC_NAME=FAT:FQL_AUDITING_CLIENT_TEMPLATE.FAT&amp;display_string=Audit&amp;VAR:KEY=BKZGZEHMFM&amp;VAR:QUERY=RkZfRUJJVERBX0lCKCdMVE1TJywzOTY0Nik=&amp;WINDOW=FIRST_POPUP&amp;HEIGHT=450&amp;WIDTH=450&amp;START_MA","XIMIZED=FALSE&amp;VAR:CALENDAR=US&amp;VAR:SYMBOL=05614P10&amp;VAR:INDEX=0"}</definedName>
    <definedName name="_2411__FDSAUDITLINK__" hidden="1">{"fdsup://directions/FAT Viewer?action=UPDATE&amp;creator=factset&amp;DYN_ARGS=TRUE&amp;DOC_NAME=FAT:FQL_AUDITING_CLIENT_TEMPLATE.FAT&amp;display_string=Audit&amp;VAR:KEY=BKZGZEHMFM&amp;VAR:QUERY=RkZfRUJJVERBX0lCKCdMVE1TJywzOTY0Nik=&amp;WINDOW=FIRST_POPUP&amp;HEIGHT=450&amp;WIDTH=450&amp;START_MA","XIMIZED=FALSE&amp;VAR:CALENDAR=US&amp;VAR:SYMBOL=05614P10&amp;VAR:INDEX=0"}</definedName>
    <definedName name="_2412__FDSAUDITLINK__" localSheetId="6" hidden="1">{"fdsup://directions/FAT Viewer?action=UPDATE&amp;creator=factset&amp;DYN_ARGS=TRUE&amp;DOC_NAME=FAT:FQL_AUDITING_CLIENT_TEMPLATE.FAT&amp;display_string=Audit&amp;VAR:KEY=RKTQTWPUXW&amp;VAR:QUERY=RkZfRUJJVERBX0lCKCdMVE1TJywzOTY0NSk=&amp;WINDOW=FIRST_POPUP&amp;HEIGHT=450&amp;WIDTH=450&amp;START_MA","XIMIZED=FALSE&amp;VAR:CALENDAR=US&amp;VAR:SYMBOL=05614P10&amp;VAR:INDEX=0"}</definedName>
    <definedName name="_2412__FDSAUDITLINK__" hidden="1">{"fdsup://directions/FAT Viewer?action=UPDATE&amp;creator=factset&amp;DYN_ARGS=TRUE&amp;DOC_NAME=FAT:FQL_AUDITING_CLIENT_TEMPLATE.FAT&amp;display_string=Audit&amp;VAR:KEY=RKTQTWPUXW&amp;VAR:QUERY=RkZfRUJJVERBX0lCKCdMVE1TJywzOTY0NSk=&amp;WINDOW=FIRST_POPUP&amp;HEIGHT=450&amp;WIDTH=450&amp;START_MA","XIMIZED=FALSE&amp;VAR:CALENDAR=US&amp;VAR:SYMBOL=05614P10&amp;VAR:INDEX=0"}</definedName>
    <definedName name="_2413__FDSAUDITLINK__" localSheetId="6" hidden="1">{"fdsup://directions/FAT Viewer?action=UPDATE&amp;creator=factset&amp;DYN_ARGS=TRUE&amp;DOC_NAME=FAT:FQL_AUDITING_CLIENT_TEMPLATE.FAT&amp;display_string=Audit&amp;VAR:KEY=JCFUFSVEBW&amp;VAR:QUERY=RkZfRUJJVERBX0lCKCdMVE1TJywzOTY0NCk=&amp;WINDOW=FIRST_POPUP&amp;HEIGHT=450&amp;WIDTH=450&amp;START_MA","XIMIZED=FALSE&amp;VAR:CALENDAR=US&amp;VAR:SYMBOL=05614P10&amp;VAR:INDEX=0"}</definedName>
    <definedName name="_2413__FDSAUDITLINK__" hidden="1">{"fdsup://directions/FAT Viewer?action=UPDATE&amp;creator=factset&amp;DYN_ARGS=TRUE&amp;DOC_NAME=FAT:FQL_AUDITING_CLIENT_TEMPLATE.FAT&amp;display_string=Audit&amp;VAR:KEY=JCFUFSVEBW&amp;VAR:QUERY=RkZfRUJJVERBX0lCKCdMVE1TJywzOTY0NCk=&amp;WINDOW=FIRST_POPUP&amp;HEIGHT=450&amp;WIDTH=450&amp;START_MA","XIMIZED=FALSE&amp;VAR:CALENDAR=US&amp;VAR:SYMBOL=05614P10&amp;VAR:INDEX=0"}</definedName>
    <definedName name="_2414__FDSAUDITLINK__" localSheetId="6" hidden="1">{"fdsup://directions/FAT Viewer?action=UPDATE&amp;creator=factset&amp;DYN_ARGS=TRUE&amp;DOC_NAME=FAT:FQL_AUDITING_CLIENT_TEMPLATE.FAT&amp;display_string=Audit&amp;VAR:KEY=PINIFCTQRE&amp;VAR:QUERY=RkZfRUJJVERBX0lCKCdMVE1TJywzOTY0Myk=&amp;WINDOW=FIRST_POPUP&amp;HEIGHT=450&amp;WIDTH=450&amp;START_MA","XIMIZED=FALSE&amp;VAR:CALENDAR=US&amp;VAR:SYMBOL=05614P10&amp;VAR:INDEX=0"}</definedName>
    <definedName name="_2414__FDSAUDITLINK__" hidden="1">{"fdsup://directions/FAT Viewer?action=UPDATE&amp;creator=factset&amp;DYN_ARGS=TRUE&amp;DOC_NAME=FAT:FQL_AUDITING_CLIENT_TEMPLATE.FAT&amp;display_string=Audit&amp;VAR:KEY=PINIFCTQRE&amp;VAR:QUERY=RkZfRUJJVERBX0lCKCdMVE1TJywzOTY0Myk=&amp;WINDOW=FIRST_POPUP&amp;HEIGHT=450&amp;WIDTH=450&amp;START_MA","XIMIZED=FALSE&amp;VAR:CALENDAR=US&amp;VAR:SYMBOL=05614P10&amp;VAR:INDEX=0"}</definedName>
    <definedName name="_2415__FDSAUDITLINK__" localSheetId="6" hidden="1">{"fdsup://directions/FAT Viewer?action=UPDATE&amp;creator=factset&amp;DYN_ARGS=TRUE&amp;DOC_NAME=FAT:FQL_AUDITING_CLIENT_TEMPLATE.FAT&amp;display_string=Audit&amp;VAR:KEY=XGHWHCTCXG&amp;VAR:QUERY=RkZfRUJJVERBX0lCKCdMVE1TJywzOTY0Mik=&amp;WINDOW=FIRST_POPUP&amp;HEIGHT=450&amp;WIDTH=450&amp;START_MA","XIMIZED=FALSE&amp;VAR:CALENDAR=US&amp;VAR:SYMBOL=05614P10&amp;VAR:INDEX=0"}</definedName>
    <definedName name="_2415__FDSAUDITLINK__" hidden="1">{"fdsup://directions/FAT Viewer?action=UPDATE&amp;creator=factset&amp;DYN_ARGS=TRUE&amp;DOC_NAME=FAT:FQL_AUDITING_CLIENT_TEMPLATE.FAT&amp;display_string=Audit&amp;VAR:KEY=XGHWHCTCXG&amp;VAR:QUERY=RkZfRUJJVERBX0lCKCdMVE1TJywzOTY0Mik=&amp;WINDOW=FIRST_POPUP&amp;HEIGHT=450&amp;WIDTH=450&amp;START_MA","XIMIZED=FALSE&amp;VAR:CALENDAR=US&amp;VAR:SYMBOL=05614P10&amp;VAR:INDEX=0"}</definedName>
    <definedName name="_2416__FDSAUDITLINK__" localSheetId="6" hidden="1">{"fdsup://directions/FAT Viewer?action=UPDATE&amp;creator=factset&amp;DYN_ARGS=TRUE&amp;DOC_NAME=FAT:FQL_AUDITING_CLIENT_TEMPLATE.FAT&amp;display_string=Audit&amp;VAR:KEY=BQNGDGBGXS&amp;VAR:QUERY=RkZfRUJJVERBX0lCKCdMVE1TJywzOTY0MSk=&amp;WINDOW=FIRST_POPUP&amp;HEIGHT=450&amp;WIDTH=450&amp;START_MA","XIMIZED=FALSE&amp;VAR:CALENDAR=US&amp;VAR:SYMBOL=05614P10&amp;VAR:INDEX=0"}</definedName>
    <definedName name="_2416__FDSAUDITLINK__" hidden="1">{"fdsup://directions/FAT Viewer?action=UPDATE&amp;creator=factset&amp;DYN_ARGS=TRUE&amp;DOC_NAME=FAT:FQL_AUDITING_CLIENT_TEMPLATE.FAT&amp;display_string=Audit&amp;VAR:KEY=BQNGDGBGXS&amp;VAR:QUERY=RkZfRUJJVERBX0lCKCdMVE1TJywzOTY0MSk=&amp;WINDOW=FIRST_POPUP&amp;HEIGHT=450&amp;WIDTH=450&amp;START_MA","XIMIZED=FALSE&amp;VAR:CALENDAR=US&amp;VAR:SYMBOL=05614P10&amp;VAR:INDEX=0"}</definedName>
    <definedName name="_2417__FDSAUDITLINK__" localSheetId="6" hidden="1">{"fdsup://directions/FAT Viewer?action=UPDATE&amp;creator=factset&amp;DYN_ARGS=TRUE&amp;DOC_NAME=FAT:FQL_AUDITING_CLIENT_TEMPLATE.FAT&amp;display_string=Audit&amp;VAR:KEY=ZYPYDYTMXK&amp;VAR:QUERY=RkZfRUJJVERBX0lCKCdMVE1TJywzOTY0MCk=&amp;WINDOW=FIRST_POPUP&amp;HEIGHT=450&amp;WIDTH=450&amp;START_MA","XIMIZED=FALSE&amp;VAR:CALENDAR=US&amp;VAR:SYMBOL=05614P10&amp;VAR:INDEX=0"}</definedName>
    <definedName name="_2417__FDSAUDITLINK__" hidden="1">{"fdsup://directions/FAT Viewer?action=UPDATE&amp;creator=factset&amp;DYN_ARGS=TRUE&amp;DOC_NAME=FAT:FQL_AUDITING_CLIENT_TEMPLATE.FAT&amp;display_string=Audit&amp;VAR:KEY=ZYPYDYTMXK&amp;VAR:QUERY=RkZfRUJJVERBX0lCKCdMVE1TJywzOTY0MCk=&amp;WINDOW=FIRST_POPUP&amp;HEIGHT=450&amp;WIDTH=450&amp;START_MA","XIMIZED=FALSE&amp;VAR:CALENDAR=US&amp;VAR:SYMBOL=05614P10&amp;VAR:INDEX=0"}</definedName>
    <definedName name="_2418__FDSAUDITLINK__" localSheetId="6" hidden="1">{"fdsup://directions/FAT Viewer?action=UPDATE&amp;creator=factset&amp;DYN_ARGS=TRUE&amp;DOC_NAME=FAT:FQL_AUDITING_CLIENT_TEMPLATE.FAT&amp;display_string=Audit&amp;VAR:KEY=BCTIHIFUDI&amp;VAR:QUERY=RkZfRUJJVERBX0lCKCdMVE1TJywzOTYzOSk=&amp;WINDOW=FIRST_POPUP&amp;HEIGHT=450&amp;WIDTH=450&amp;START_MA","XIMIZED=FALSE&amp;VAR:CALENDAR=US&amp;VAR:SYMBOL=05614P10&amp;VAR:INDEX=0"}</definedName>
    <definedName name="_2418__FDSAUDITLINK__" hidden="1">{"fdsup://directions/FAT Viewer?action=UPDATE&amp;creator=factset&amp;DYN_ARGS=TRUE&amp;DOC_NAME=FAT:FQL_AUDITING_CLIENT_TEMPLATE.FAT&amp;display_string=Audit&amp;VAR:KEY=BCTIHIFUDI&amp;VAR:QUERY=RkZfRUJJVERBX0lCKCdMVE1TJywzOTYzOSk=&amp;WINDOW=FIRST_POPUP&amp;HEIGHT=450&amp;WIDTH=450&amp;START_MA","XIMIZED=FALSE&amp;VAR:CALENDAR=US&amp;VAR:SYMBOL=05614P10&amp;VAR:INDEX=0"}</definedName>
    <definedName name="_2419__FDSAUDITLINK__" localSheetId="6" hidden="1">{"fdsup://directions/FAT Viewer?action=UPDATE&amp;creator=factset&amp;DYN_ARGS=TRUE&amp;DOC_NAME=FAT:FQL_AUDITING_CLIENT_TEMPLATE.FAT&amp;display_string=Audit&amp;VAR:KEY=PKNMPKPQXI&amp;VAR:QUERY=RkZfRUJJVERBX0lCKCdMVE1TJywzOTYzOCk=&amp;WINDOW=FIRST_POPUP&amp;HEIGHT=450&amp;WIDTH=450&amp;START_MA","XIMIZED=FALSE&amp;VAR:CALENDAR=US&amp;VAR:SYMBOL=05614P10&amp;VAR:INDEX=0"}</definedName>
    <definedName name="_2419__FDSAUDITLINK__" hidden="1">{"fdsup://directions/FAT Viewer?action=UPDATE&amp;creator=factset&amp;DYN_ARGS=TRUE&amp;DOC_NAME=FAT:FQL_AUDITING_CLIENT_TEMPLATE.FAT&amp;display_string=Audit&amp;VAR:KEY=PKNMPKPQXI&amp;VAR:QUERY=RkZfRUJJVERBX0lCKCdMVE1TJywzOTYzOCk=&amp;WINDOW=FIRST_POPUP&amp;HEIGHT=450&amp;WIDTH=450&amp;START_MA","XIMIZED=FALSE&amp;VAR:CALENDAR=US&amp;VAR:SYMBOL=05614P10&amp;VAR:INDEX=0"}</definedName>
    <definedName name="_242__FDSAUDITLINK__" localSheetId="6" hidden="1">{"fdsup://directions/FAT%20Viewer?VAR:PED=LTM&amp;VAR:AUDIT_MODE=SUMMARY&amp;VAR:PERIOD=FIXED&amp;VAR:AUDIT_ID=00000117&amp;VAR:DATE=20090624&amp;action=UPDATE&amp;creator=factset&amp;DOC_NAME=FAT:FMA_audit_SUMMARY.fat&amp;DISPLAY_STRING=Display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2__FDSAUDITLINK__" hidden="1">{"fdsup://directions/FAT%20Viewer?VAR:PED=LTM&amp;VAR:AUDIT_MODE=SUMMARY&amp;VAR:PERIOD=FIXED&amp;VAR:AUDIT_ID=00000117&amp;VAR:DATE=20090624&amp;action=UPDATE&amp;creator=factset&amp;DOC_NAME=FAT:FMA_audit_SUMMARY.fat&amp;DISPLAY_STRING=Display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20__FDSAUDITLINK__" localSheetId="6" hidden="1">{"fdsup://directions/FAT Viewer?action=UPDATE&amp;creator=factset&amp;DYN_ARGS=TRUE&amp;DOC_NAME=FAT:FQL_AUDITING_CLIENT_TEMPLATE.FAT&amp;display_string=Audit&amp;VAR:KEY=FETCRYHWJO&amp;VAR:QUERY=RkZfRUJJVERBX0lCKCdMVE1TJywzOTYzNyk=&amp;WINDOW=FIRST_POPUP&amp;HEIGHT=450&amp;WIDTH=450&amp;START_MA","XIMIZED=FALSE&amp;VAR:CALENDAR=US&amp;VAR:SYMBOL=05614P10&amp;VAR:INDEX=0"}</definedName>
    <definedName name="_2420__FDSAUDITLINK__" hidden="1">{"fdsup://directions/FAT Viewer?action=UPDATE&amp;creator=factset&amp;DYN_ARGS=TRUE&amp;DOC_NAME=FAT:FQL_AUDITING_CLIENT_TEMPLATE.FAT&amp;display_string=Audit&amp;VAR:KEY=FETCRYHWJO&amp;VAR:QUERY=RkZfRUJJVERBX0lCKCdMVE1TJywzOTYzNyk=&amp;WINDOW=FIRST_POPUP&amp;HEIGHT=450&amp;WIDTH=450&amp;START_MA","XIMIZED=FALSE&amp;VAR:CALENDAR=US&amp;VAR:SYMBOL=05614P10&amp;VAR:INDEX=0"}</definedName>
    <definedName name="_2421__FDSAUDITLINK__" localSheetId="6" hidden="1">{"fdsup://directions/FAT Viewer?action=UPDATE&amp;creator=factset&amp;DYN_ARGS=TRUE&amp;DOC_NAME=FAT:FQL_AUDITING_CLIENT_TEMPLATE.FAT&amp;display_string=Audit&amp;VAR:KEY=XOPOXGVONC&amp;VAR:QUERY=RkZfRUJJVERBX0lCKCdMVE1TJywzOTYzNik=&amp;WINDOW=FIRST_POPUP&amp;HEIGHT=450&amp;WIDTH=450&amp;START_MA","XIMIZED=FALSE&amp;VAR:CALENDAR=US&amp;VAR:SYMBOL=05614P10&amp;VAR:INDEX=0"}</definedName>
    <definedName name="_2421__FDSAUDITLINK__" hidden="1">{"fdsup://directions/FAT Viewer?action=UPDATE&amp;creator=factset&amp;DYN_ARGS=TRUE&amp;DOC_NAME=FAT:FQL_AUDITING_CLIENT_TEMPLATE.FAT&amp;display_string=Audit&amp;VAR:KEY=XOPOXGVONC&amp;VAR:QUERY=RkZfRUJJVERBX0lCKCdMVE1TJywzOTYzNik=&amp;WINDOW=FIRST_POPUP&amp;HEIGHT=450&amp;WIDTH=450&amp;START_MA","XIMIZED=FALSE&amp;VAR:CALENDAR=US&amp;VAR:SYMBOL=05614P10&amp;VAR:INDEX=0"}</definedName>
    <definedName name="_2422__FDSAUDITLINK__" localSheetId="6" hidden="1">{"fdsup://directions/FAT Viewer?action=UPDATE&amp;creator=factset&amp;DYN_ARGS=TRUE&amp;DOC_NAME=FAT:FQL_AUDITING_CLIENT_TEMPLATE.FAT&amp;display_string=Audit&amp;VAR:KEY=RSVIBGZMRG&amp;VAR:QUERY=RkZfRUJJVERBX0lCKCdMVE1TJywzOTYzNSk=&amp;WINDOW=FIRST_POPUP&amp;HEIGHT=450&amp;WIDTH=450&amp;START_MA","XIMIZED=FALSE&amp;VAR:CALENDAR=US&amp;VAR:SYMBOL=05614P10&amp;VAR:INDEX=0"}</definedName>
    <definedName name="_2422__FDSAUDITLINK__" hidden="1">{"fdsup://directions/FAT Viewer?action=UPDATE&amp;creator=factset&amp;DYN_ARGS=TRUE&amp;DOC_NAME=FAT:FQL_AUDITING_CLIENT_TEMPLATE.FAT&amp;display_string=Audit&amp;VAR:KEY=RSVIBGZMRG&amp;VAR:QUERY=RkZfRUJJVERBX0lCKCdMVE1TJywzOTYzNSk=&amp;WINDOW=FIRST_POPUP&amp;HEIGHT=450&amp;WIDTH=450&amp;START_MA","XIMIZED=FALSE&amp;VAR:CALENDAR=US&amp;VAR:SYMBOL=05614P10&amp;VAR:INDEX=0"}</definedName>
    <definedName name="_2423__FDSAUDITLINK__" localSheetId="6" hidden="1">{"fdsup://directions/FAT Viewer?action=UPDATE&amp;creator=factset&amp;DYN_ARGS=TRUE&amp;DOC_NAME=FAT:FQL_AUDITING_CLIENT_TEMPLATE.FAT&amp;display_string=Audit&amp;VAR:KEY=HGDCHUNIBY&amp;VAR:QUERY=RkZfRUJJVERBX0lCKCdMVE1TJywzOTYzNCk=&amp;WINDOW=FIRST_POPUP&amp;HEIGHT=450&amp;WIDTH=450&amp;START_MA","XIMIZED=FALSE&amp;VAR:CALENDAR=US&amp;VAR:SYMBOL=05614P10&amp;VAR:INDEX=0"}</definedName>
    <definedName name="_2423__FDSAUDITLINK__" hidden="1">{"fdsup://directions/FAT Viewer?action=UPDATE&amp;creator=factset&amp;DYN_ARGS=TRUE&amp;DOC_NAME=FAT:FQL_AUDITING_CLIENT_TEMPLATE.FAT&amp;display_string=Audit&amp;VAR:KEY=HGDCHUNIBY&amp;VAR:QUERY=RkZfRUJJVERBX0lCKCdMVE1TJywzOTYzNCk=&amp;WINDOW=FIRST_POPUP&amp;HEIGHT=450&amp;WIDTH=450&amp;START_MA","XIMIZED=FALSE&amp;VAR:CALENDAR=US&amp;VAR:SYMBOL=05614P10&amp;VAR:INDEX=0"}</definedName>
    <definedName name="_2424__FDSAUDITLINK__" localSheetId="6" hidden="1">{"fdsup://directions/FAT Viewer?action=UPDATE&amp;creator=factset&amp;DYN_ARGS=TRUE&amp;DOC_NAME=FAT:FQL_AUDITING_CLIENT_TEMPLATE.FAT&amp;display_string=Audit&amp;VAR:KEY=XOHAFEXMBC&amp;VAR:QUERY=RkZfRUJJVERBX0lCKCdMVE1TJywzOTYzMyk=&amp;WINDOW=FIRST_POPUP&amp;HEIGHT=450&amp;WIDTH=450&amp;START_MA","XIMIZED=FALSE&amp;VAR:CALENDAR=US&amp;VAR:SYMBOL=05614P10&amp;VAR:INDEX=0"}</definedName>
    <definedName name="_2424__FDSAUDITLINK__" hidden="1">{"fdsup://directions/FAT Viewer?action=UPDATE&amp;creator=factset&amp;DYN_ARGS=TRUE&amp;DOC_NAME=FAT:FQL_AUDITING_CLIENT_TEMPLATE.FAT&amp;display_string=Audit&amp;VAR:KEY=XOHAFEXMBC&amp;VAR:QUERY=RkZfRUJJVERBX0lCKCdMVE1TJywzOTYzMyk=&amp;WINDOW=FIRST_POPUP&amp;HEIGHT=450&amp;WIDTH=450&amp;START_MA","XIMIZED=FALSE&amp;VAR:CALENDAR=US&amp;VAR:SYMBOL=05614P10&amp;VAR:INDEX=0"}</definedName>
    <definedName name="_2425__FDSAUDITLINK__" localSheetId="6" hidden="1">{"fdsup://directions/FAT Viewer?action=UPDATE&amp;creator=factset&amp;DYN_ARGS=TRUE&amp;DOC_NAME=FAT:FQL_AUDITING_CLIENT_TEMPLATE.FAT&amp;display_string=Audit&amp;VAR:KEY=JUNQJWPKVS&amp;VAR:QUERY=RkZfRUJJVERBX0lCKCdMVE1TJywzOTYzMik=&amp;WINDOW=FIRST_POPUP&amp;HEIGHT=450&amp;WIDTH=450&amp;START_MA","XIMIZED=FALSE&amp;VAR:CALENDAR=US&amp;VAR:SYMBOL=05614P10&amp;VAR:INDEX=0"}</definedName>
    <definedName name="_2425__FDSAUDITLINK__" hidden="1">{"fdsup://directions/FAT Viewer?action=UPDATE&amp;creator=factset&amp;DYN_ARGS=TRUE&amp;DOC_NAME=FAT:FQL_AUDITING_CLIENT_TEMPLATE.FAT&amp;display_string=Audit&amp;VAR:KEY=JUNQJWPKVS&amp;VAR:QUERY=RkZfRUJJVERBX0lCKCdMVE1TJywzOTYzMik=&amp;WINDOW=FIRST_POPUP&amp;HEIGHT=450&amp;WIDTH=450&amp;START_MA","XIMIZED=FALSE&amp;VAR:CALENDAR=US&amp;VAR:SYMBOL=05614P10&amp;VAR:INDEX=0"}</definedName>
    <definedName name="_2426__FDSAUDITLINK__" localSheetId="6" hidden="1">{"fdsup://directions/FAT Viewer?action=UPDATE&amp;creator=factset&amp;DYN_ARGS=TRUE&amp;DOC_NAME=FAT:FQL_AUDITING_CLIENT_TEMPLATE.FAT&amp;display_string=Audit&amp;VAR:KEY=LCNGFMJMXY&amp;VAR:QUERY=RkZfRUJJVERBX0lCKCdMVE1TJywzOTYzMSk=&amp;WINDOW=FIRST_POPUP&amp;HEIGHT=450&amp;WIDTH=450&amp;START_MA","XIMIZED=FALSE&amp;VAR:CALENDAR=US&amp;VAR:SYMBOL=05614P10&amp;VAR:INDEX=0"}</definedName>
    <definedName name="_2426__FDSAUDITLINK__" hidden="1">{"fdsup://directions/FAT Viewer?action=UPDATE&amp;creator=factset&amp;DYN_ARGS=TRUE&amp;DOC_NAME=FAT:FQL_AUDITING_CLIENT_TEMPLATE.FAT&amp;display_string=Audit&amp;VAR:KEY=LCNGFMJMXY&amp;VAR:QUERY=RkZfRUJJVERBX0lCKCdMVE1TJywzOTYzMSk=&amp;WINDOW=FIRST_POPUP&amp;HEIGHT=450&amp;WIDTH=450&amp;START_MA","XIMIZED=FALSE&amp;VAR:CALENDAR=US&amp;VAR:SYMBOL=05614P10&amp;VAR:INDEX=0"}</definedName>
    <definedName name="_2427__FDSAUDITLINK__" localSheetId="6" hidden="1">{"fdsup://directions/FAT Viewer?action=UPDATE&amp;creator=factset&amp;DYN_ARGS=TRUE&amp;DOC_NAME=FAT:FQL_AUDITING_CLIENT_TEMPLATE.FAT&amp;display_string=Audit&amp;VAR:KEY=DWFMZAVEXQ&amp;VAR:QUERY=RkZfRUJJVERBX0lCKCdMVE1TJywzOTYzMCk=&amp;WINDOW=FIRST_POPUP&amp;HEIGHT=450&amp;WIDTH=450&amp;START_MA","XIMIZED=FALSE&amp;VAR:CALENDAR=US&amp;VAR:SYMBOL=05614P10&amp;VAR:INDEX=0"}</definedName>
    <definedName name="_2427__FDSAUDITLINK__" hidden="1">{"fdsup://directions/FAT Viewer?action=UPDATE&amp;creator=factset&amp;DYN_ARGS=TRUE&amp;DOC_NAME=FAT:FQL_AUDITING_CLIENT_TEMPLATE.FAT&amp;display_string=Audit&amp;VAR:KEY=DWFMZAVEXQ&amp;VAR:QUERY=RkZfRUJJVERBX0lCKCdMVE1TJywzOTYzMCk=&amp;WINDOW=FIRST_POPUP&amp;HEIGHT=450&amp;WIDTH=450&amp;START_MA","XIMIZED=FALSE&amp;VAR:CALENDAR=US&amp;VAR:SYMBOL=05614P10&amp;VAR:INDEX=0"}</definedName>
    <definedName name="_2428__FDSAUDITLINK__" localSheetId="6" hidden="1">{"fdsup://directions/FAT Viewer?action=UPDATE&amp;creator=factset&amp;DYN_ARGS=TRUE&amp;DOC_NAME=FAT:FQL_AUDITING_CLIENT_TEMPLATE.FAT&amp;display_string=Audit&amp;VAR:KEY=RGTOTOJIJA&amp;VAR:QUERY=RkZfRUJJVERBX0lCKCdMVE1TJywzOTYyOSk=&amp;WINDOW=FIRST_POPUP&amp;HEIGHT=450&amp;WIDTH=450&amp;START_MA","XIMIZED=FALSE&amp;VAR:CALENDAR=US&amp;VAR:SYMBOL=05614P10&amp;VAR:INDEX=0"}</definedName>
    <definedName name="_2428__FDSAUDITLINK__" hidden="1">{"fdsup://directions/FAT Viewer?action=UPDATE&amp;creator=factset&amp;DYN_ARGS=TRUE&amp;DOC_NAME=FAT:FQL_AUDITING_CLIENT_TEMPLATE.FAT&amp;display_string=Audit&amp;VAR:KEY=RGTOTOJIJA&amp;VAR:QUERY=RkZfRUJJVERBX0lCKCdMVE1TJywzOTYyOSk=&amp;WINDOW=FIRST_POPUP&amp;HEIGHT=450&amp;WIDTH=450&amp;START_MA","XIMIZED=FALSE&amp;VAR:CALENDAR=US&amp;VAR:SYMBOL=05614P10&amp;VAR:INDEX=0"}</definedName>
    <definedName name="_2429__FDSAUDITLINK__" localSheetId="6" hidden="1">{"fdsup://directions/FAT Viewer?action=UPDATE&amp;creator=factset&amp;DYN_ARGS=TRUE&amp;DOC_NAME=FAT:FQL_AUDITING_CLIENT_TEMPLATE.FAT&amp;display_string=Audit&amp;VAR:KEY=NEHMZSJQRU&amp;VAR:QUERY=RkZfRUJJVERBX0lCKCdMVE1TJywzOTYyOCk=&amp;WINDOW=FIRST_POPUP&amp;HEIGHT=450&amp;WIDTH=450&amp;START_MA","XIMIZED=FALSE&amp;VAR:CALENDAR=US&amp;VAR:SYMBOL=05614P10&amp;VAR:INDEX=0"}</definedName>
    <definedName name="_2429__FDSAUDITLINK__" hidden="1">{"fdsup://directions/FAT Viewer?action=UPDATE&amp;creator=factset&amp;DYN_ARGS=TRUE&amp;DOC_NAME=FAT:FQL_AUDITING_CLIENT_TEMPLATE.FAT&amp;display_string=Audit&amp;VAR:KEY=NEHMZSJQRU&amp;VAR:QUERY=RkZfRUJJVERBX0lCKCdMVE1TJywzOTYyOCk=&amp;WINDOW=FIRST_POPUP&amp;HEIGHT=450&amp;WIDTH=450&amp;START_MA","XIMIZED=FALSE&amp;VAR:CALENDAR=US&amp;VAR:SYMBOL=05614P10&amp;VAR:INDEX=0"}</definedName>
    <definedName name="_243__FDSAUDITLINK__" localSheetId="6" hidden="1">{"fdsup://directions/FAT%20Viewer?VAR:PED=LTM&amp;VAR:AUDIT_MODE=SUMMARY&amp;VAR:PERIOD=FIXED&amp;VAR:AUDIT_ID=00000117&amp;VAR:DATE=20090623&amp;action=UPDATE&amp;creator=factset&amp;DOC_NAME=FAT:FMA_audit_SUMMARY.fat&amp;DISPLAY_STRING=Display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3__FDSAUDITLINK__" hidden="1">{"fdsup://directions/FAT%20Viewer?VAR:PED=LTM&amp;VAR:AUDIT_MODE=SUMMARY&amp;VAR:PERIOD=FIXED&amp;VAR:AUDIT_ID=00000117&amp;VAR:DATE=20090623&amp;action=UPDATE&amp;creator=factset&amp;DOC_NAME=FAT:FMA_audit_SUMMARY.fat&amp;DISPLAY_STRING=Display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30__FDSAUDITLINK__" localSheetId="6" hidden="1">{"fdsup://directions/FAT Viewer?action=UPDATE&amp;creator=factset&amp;DYN_ARGS=TRUE&amp;DOC_NAME=FAT:FQL_AUDITING_CLIENT_TEMPLATE.FAT&amp;display_string=Audit&amp;VAR:KEY=LCTKZERSVI&amp;VAR:QUERY=RkZfRUJJVERBX0lCKCdMVE1TJywzOTYyNyk=&amp;WINDOW=FIRST_POPUP&amp;HEIGHT=450&amp;WIDTH=450&amp;START_MA","XIMIZED=FALSE&amp;VAR:CALENDAR=US&amp;VAR:SYMBOL=05614P10&amp;VAR:INDEX=0"}</definedName>
    <definedName name="_2430__FDSAUDITLINK__" hidden="1">{"fdsup://directions/FAT Viewer?action=UPDATE&amp;creator=factset&amp;DYN_ARGS=TRUE&amp;DOC_NAME=FAT:FQL_AUDITING_CLIENT_TEMPLATE.FAT&amp;display_string=Audit&amp;VAR:KEY=LCTKZERSVI&amp;VAR:QUERY=RkZfRUJJVERBX0lCKCdMVE1TJywzOTYyNyk=&amp;WINDOW=FIRST_POPUP&amp;HEIGHT=450&amp;WIDTH=450&amp;START_MA","XIMIZED=FALSE&amp;VAR:CALENDAR=US&amp;VAR:SYMBOL=05614P10&amp;VAR:INDEX=0"}</definedName>
    <definedName name="_2431__FDSAUDITLINK__" localSheetId="6" hidden="1">{"fdsup://directions/FAT Viewer?action=UPDATE&amp;creator=factset&amp;DYN_ARGS=TRUE&amp;DOC_NAME=FAT:FQL_AUDITING_CLIENT_TEMPLATE.FAT&amp;display_string=Audit&amp;VAR:KEY=JAXOXGBEDQ&amp;VAR:QUERY=RkZfRUJJVERBX0lCKCdMVE1TJywzOTYyNik=&amp;WINDOW=FIRST_POPUP&amp;HEIGHT=450&amp;WIDTH=450&amp;START_MA","XIMIZED=FALSE&amp;VAR:CALENDAR=US&amp;VAR:SYMBOL=05614P10&amp;VAR:INDEX=0"}</definedName>
    <definedName name="_2431__FDSAUDITLINK__" hidden="1">{"fdsup://directions/FAT Viewer?action=UPDATE&amp;creator=factset&amp;DYN_ARGS=TRUE&amp;DOC_NAME=FAT:FQL_AUDITING_CLIENT_TEMPLATE.FAT&amp;display_string=Audit&amp;VAR:KEY=JAXOXGBEDQ&amp;VAR:QUERY=RkZfRUJJVERBX0lCKCdMVE1TJywzOTYyNik=&amp;WINDOW=FIRST_POPUP&amp;HEIGHT=450&amp;WIDTH=450&amp;START_MA","XIMIZED=FALSE&amp;VAR:CALENDAR=US&amp;VAR:SYMBOL=05614P10&amp;VAR:INDEX=0"}</definedName>
    <definedName name="_2432__FDSAUDITLINK__" localSheetId="6" hidden="1">{"fdsup://directions/FAT Viewer?action=UPDATE&amp;creator=factset&amp;DYN_ARGS=TRUE&amp;DOC_NAME=FAT:FQL_AUDITING_CLIENT_TEMPLATE.FAT&amp;display_string=Audit&amp;VAR:KEY=ZIFGNKVSHI&amp;VAR:QUERY=RkZfRUJJVERBX0lCKCdMVE1TJywzOTYyNSk=&amp;WINDOW=FIRST_POPUP&amp;HEIGHT=450&amp;WIDTH=450&amp;START_MA","XIMIZED=FALSE&amp;VAR:CALENDAR=US&amp;VAR:SYMBOL=05614P10&amp;VAR:INDEX=0"}</definedName>
    <definedName name="_2432__FDSAUDITLINK__" hidden="1">{"fdsup://directions/FAT Viewer?action=UPDATE&amp;creator=factset&amp;DYN_ARGS=TRUE&amp;DOC_NAME=FAT:FQL_AUDITING_CLIENT_TEMPLATE.FAT&amp;display_string=Audit&amp;VAR:KEY=ZIFGNKVSHI&amp;VAR:QUERY=RkZfRUJJVERBX0lCKCdMVE1TJywzOTYyNSk=&amp;WINDOW=FIRST_POPUP&amp;HEIGHT=450&amp;WIDTH=450&amp;START_MA","XIMIZED=FALSE&amp;VAR:CALENDAR=US&amp;VAR:SYMBOL=05614P10&amp;VAR:INDEX=0"}</definedName>
    <definedName name="_2433__FDSAUDITLINK__" localSheetId="6" hidden="1">{"fdsup://directions/FAT Viewer?action=UPDATE&amp;creator=factset&amp;DYN_ARGS=TRUE&amp;DOC_NAME=FAT:FQL_AUDITING_CLIENT_TEMPLATE.FAT&amp;display_string=Audit&amp;VAR:KEY=VGZMVEXIHE&amp;VAR:QUERY=RkZfRUJJVERBX0lCKCdMVE1TJywzOTYyNCk=&amp;WINDOW=FIRST_POPUP&amp;HEIGHT=450&amp;WIDTH=450&amp;START_MA","XIMIZED=FALSE&amp;VAR:CALENDAR=US&amp;VAR:SYMBOL=05614P10&amp;VAR:INDEX=0"}</definedName>
    <definedName name="_2433__FDSAUDITLINK__" hidden="1">{"fdsup://directions/FAT Viewer?action=UPDATE&amp;creator=factset&amp;DYN_ARGS=TRUE&amp;DOC_NAME=FAT:FQL_AUDITING_CLIENT_TEMPLATE.FAT&amp;display_string=Audit&amp;VAR:KEY=VGZMVEXIHE&amp;VAR:QUERY=RkZfRUJJVERBX0lCKCdMVE1TJywzOTYyNCk=&amp;WINDOW=FIRST_POPUP&amp;HEIGHT=450&amp;WIDTH=450&amp;START_MA","XIMIZED=FALSE&amp;VAR:CALENDAR=US&amp;VAR:SYMBOL=05614P10&amp;VAR:INDEX=0"}</definedName>
    <definedName name="_2434__FDSAUDITLINK__" localSheetId="6" hidden="1">{"fdsup://directions/FAT Viewer?action=UPDATE&amp;creator=factset&amp;DYN_ARGS=TRUE&amp;DOC_NAME=FAT:FQL_AUDITING_CLIENT_TEMPLATE.FAT&amp;display_string=Audit&amp;VAR:KEY=RGDEBYVYHQ&amp;VAR:QUERY=RkZfRUJJVERBX0lCKCdMVE1TJywzOTYyMyk=&amp;WINDOW=FIRST_POPUP&amp;HEIGHT=450&amp;WIDTH=450&amp;START_MA","XIMIZED=FALSE&amp;VAR:CALENDAR=US&amp;VAR:SYMBOL=05614P10&amp;VAR:INDEX=0"}</definedName>
    <definedName name="_2434__FDSAUDITLINK__" hidden="1">{"fdsup://directions/FAT Viewer?action=UPDATE&amp;creator=factset&amp;DYN_ARGS=TRUE&amp;DOC_NAME=FAT:FQL_AUDITING_CLIENT_TEMPLATE.FAT&amp;display_string=Audit&amp;VAR:KEY=RGDEBYVYHQ&amp;VAR:QUERY=RkZfRUJJVERBX0lCKCdMVE1TJywzOTYyMyk=&amp;WINDOW=FIRST_POPUP&amp;HEIGHT=450&amp;WIDTH=450&amp;START_MA","XIMIZED=FALSE&amp;VAR:CALENDAR=US&amp;VAR:SYMBOL=05614P10&amp;VAR:INDEX=0"}</definedName>
    <definedName name="_2435__FDSAUDITLINK__" localSheetId="6" hidden="1">{"fdsup://directions/FAT Viewer?action=UPDATE&amp;creator=factset&amp;DYN_ARGS=TRUE&amp;DOC_NAME=FAT:FQL_AUDITING_CLIENT_TEMPLATE.FAT&amp;display_string=Audit&amp;VAR:KEY=BCLWNGXULY&amp;VAR:QUERY=RkZfRUJJVERBX0lCKCdMVE1TJywzOTYyMik=&amp;WINDOW=FIRST_POPUP&amp;HEIGHT=450&amp;WIDTH=450&amp;START_MA","XIMIZED=FALSE&amp;VAR:CALENDAR=US&amp;VAR:SYMBOL=05614P10&amp;VAR:INDEX=0"}</definedName>
    <definedName name="_2435__FDSAUDITLINK__" hidden="1">{"fdsup://directions/FAT Viewer?action=UPDATE&amp;creator=factset&amp;DYN_ARGS=TRUE&amp;DOC_NAME=FAT:FQL_AUDITING_CLIENT_TEMPLATE.FAT&amp;display_string=Audit&amp;VAR:KEY=BCLWNGXULY&amp;VAR:QUERY=RkZfRUJJVERBX0lCKCdMVE1TJywzOTYyMik=&amp;WINDOW=FIRST_POPUP&amp;HEIGHT=450&amp;WIDTH=450&amp;START_MA","XIMIZED=FALSE&amp;VAR:CALENDAR=US&amp;VAR:SYMBOL=05614P10&amp;VAR:INDEX=0"}</definedName>
    <definedName name="_2436__FDSAUDITLINK__" localSheetId="6" hidden="1">{"fdsup://directions/FAT Viewer?action=UPDATE&amp;creator=factset&amp;DYN_ARGS=TRUE&amp;DOC_NAME=FAT:FQL_AUDITING_CLIENT_TEMPLATE.FAT&amp;display_string=Audit&amp;VAR:KEY=LWBSHAPWVQ&amp;VAR:QUERY=RkZfRUJJVERBX0lCKCdMVE1TJywzOTYyMSk=&amp;WINDOW=FIRST_POPUP&amp;HEIGHT=450&amp;WIDTH=450&amp;START_MA","XIMIZED=FALSE&amp;VAR:CALENDAR=US&amp;VAR:SYMBOL=05614P10&amp;VAR:INDEX=0"}</definedName>
    <definedName name="_2436__FDSAUDITLINK__" hidden="1">{"fdsup://directions/FAT Viewer?action=UPDATE&amp;creator=factset&amp;DYN_ARGS=TRUE&amp;DOC_NAME=FAT:FQL_AUDITING_CLIENT_TEMPLATE.FAT&amp;display_string=Audit&amp;VAR:KEY=LWBSHAPWVQ&amp;VAR:QUERY=RkZfRUJJVERBX0lCKCdMVE1TJywzOTYyMSk=&amp;WINDOW=FIRST_POPUP&amp;HEIGHT=450&amp;WIDTH=450&amp;START_MA","XIMIZED=FALSE&amp;VAR:CALENDAR=US&amp;VAR:SYMBOL=05614P10&amp;VAR:INDEX=0"}</definedName>
    <definedName name="_2437__FDSAUDITLINK__" localSheetId="6" hidden="1">{"fdsup://directions/FAT Viewer?action=UPDATE&amp;creator=factset&amp;DYN_ARGS=TRUE&amp;DOC_NAME=FAT:FQL_AUDITING_CLIENT_TEMPLATE.FAT&amp;display_string=Audit&amp;VAR:KEY=PQRAPKRWJO&amp;VAR:QUERY=RkZfRUJJVERBX0lCKCdMVE1TJywzOTYyMCk=&amp;WINDOW=FIRST_POPUP&amp;HEIGHT=450&amp;WIDTH=450&amp;START_MA","XIMIZED=FALSE&amp;VAR:CALENDAR=US&amp;VAR:SYMBOL=05614P10&amp;VAR:INDEX=0"}</definedName>
    <definedName name="_2437__FDSAUDITLINK__" hidden="1">{"fdsup://directions/FAT Viewer?action=UPDATE&amp;creator=factset&amp;DYN_ARGS=TRUE&amp;DOC_NAME=FAT:FQL_AUDITING_CLIENT_TEMPLATE.FAT&amp;display_string=Audit&amp;VAR:KEY=PQRAPKRWJO&amp;VAR:QUERY=RkZfRUJJVERBX0lCKCdMVE1TJywzOTYyMCk=&amp;WINDOW=FIRST_POPUP&amp;HEIGHT=450&amp;WIDTH=450&amp;START_MA","XIMIZED=FALSE&amp;VAR:CALENDAR=US&amp;VAR:SYMBOL=05614P10&amp;VAR:INDEX=0"}</definedName>
    <definedName name="_2438__FDSAUDITLINK__" localSheetId="6" hidden="1">{"fdsup://directions/FAT Viewer?action=UPDATE&amp;creator=factset&amp;DYN_ARGS=TRUE&amp;DOC_NAME=FAT:FQL_AUDITING_CLIENT_TEMPLATE.FAT&amp;display_string=Audit&amp;VAR:KEY=TQTUXGBKTM&amp;VAR:QUERY=RkZfRUJJVERBX0lCKCdMVE1TJywzOTYxOSk=&amp;WINDOW=FIRST_POPUP&amp;HEIGHT=450&amp;WIDTH=450&amp;START_MA","XIMIZED=FALSE&amp;VAR:CALENDAR=US&amp;VAR:SYMBOL=05614P10&amp;VAR:INDEX=0"}</definedName>
    <definedName name="_2438__FDSAUDITLINK__" hidden="1">{"fdsup://directions/FAT Viewer?action=UPDATE&amp;creator=factset&amp;DYN_ARGS=TRUE&amp;DOC_NAME=FAT:FQL_AUDITING_CLIENT_TEMPLATE.FAT&amp;display_string=Audit&amp;VAR:KEY=TQTUXGBKTM&amp;VAR:QUERY=RkZfRUJJVERBX0lCKCdMVE1TJywzOTYxOSk=&amp;WINDOW=FIRST_POPUP&amp;HEIGHT=450&amp;WIDTH=450&amp;START_MA","XIMIZED=FALSE&amp;VAR:CALENDAR=US&amp;VAR:SYMBOL=05614P10&amp;VAR:INDEX=0"}</definedName>
    <definedName name="_2439__FDSAUDITLINK__" localSheetId="6" hidden="1">{"fdsup://directions/FAT Viewer?action=UPDATE&amp;creator=factset&amp;DYN_ARGS=TRUE&amp;DOC_NAME=FAT:FQL_AUDITING_CLIENT_TEMPLATE.FAT&amp;display_string=Audit&amp;VAR:KEY=XIBQHORYNI&amp;VAR:QUERY=RkZfRUJJVERBX0lCKCdMVE1TJywzOTYxOCk=&amp;WINDOW=FIRST_POPUP&amp;HEIGHT=450&amp;WIDTH=450&amp;START_MA","XIMIZED=FALSE&amp;VAR:CALENDAR=US&amp;VAR:SYMBOL=05614P10&amp;VAR:INDEX=0"}</definedName>
    <definedName name="_2439__FDSAUDITLINK__" hidden="1">{"fdsup://directions/FAT Viewer?action=UPDATE&amp;creator=factset&amp;DYN_ARGS=TRUE&amp;DOC_NAME=FAT:FQL_AUDITING_CLIENT_TEMPLATE.FAT&amp;display_string=Audit&amp;VAR:KEY=XIBQHORYNI&amp;VAR:QUERY=RkZfRUJJVERBX0lCKCdMVE1TJywzOTYxOCk=&amp;WINDOW=FIRST_POPUP&amp;HEIGHT=450&amp;WIDTH=450&amp;START_MA","XIMIZED=FALSE&amp;VAR:CALENDAR=US&amp;VAR:SYMBOL=05614P10&amp;VAR:INDEX=0"}</definedName>
    <definedName name="_244__FDSAUDITLINK__" localSheetId="6" hidden="1">{"fdsup://directions/FAT%20Viewer?VAR:PED=LTM&amp;VAR:AUDIT_MODE=SUMMARY&amp;VAR:PERIOD=FIXED&amp;VAR:AUDIT_ID=00000117&amp;VAR:DATE=20090622&amp;action=UPDATE&amp;creator=factset&amp;DOC_NAME=FAT:FMA_audit_SUMMARY.fat&amp;DISPLAY_STRING=Display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4__FDSAUDITLINK__" hidden="1">{"fdsup://directions/FAT%20Viewer?VAR:PED=LTM&amp;VAR:AUDIT_MODE=SUMMARY&amp;VAR:PERIOD=FIXED&amp;VAR:AUDIT_ID=00000117&amp;VAR:DATE=20090622&amp;action=UPDATE&amp;creator=factset&amp;DOC_NAME=FAT:FMA_audit_SUMMARY.fat&amp;DISPLAY_STRING=Display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40__FDSAUDITLINK__" localSheetId="6" hidden="1">{"fdsup://directions/FAT Viewer?action=UPDATE&amp;creator=factset&amp;DYN_ARGS=TRUE&amp;DOC_NAME=FAT:FQL_AUDITING_CLIENT_TEMPLATE.FAT&amp;display_string=Audit&amp;VAR:KEY=PCTQLALEXG&amp;VAR:QUERY=RkZfRUJJVERBX0lCKCdMVE1TJywzOTYxNyk=&amp;WINDOW=FIRST_POPUP&amp;HEIGHT=450&amp;WIDTH=450&amp;START_MA","XIMIZED=FALSE&amp;VAR:CALENDAR=US&amp;VAR:SYMBOL=05614P10&amp;VAR:INDEX=0"}</definedName>
    <definedName name="_2440__FDSAUDITLINK__" hidden="1">{"fdsup://directions/FAT Viewer?action=UPDATE&amp;creator=factset&amp;DYN_ARGS=TRUE&amp;DOC_NAME=FAT:FQL_AUDITING_CLIENT_TEMPLATE.FAT&amp;display_string=Audit&amp;VAR:KEY=PCTQLALEXG&amp;VAR:QUERY=RkZfRUJJVERBX0lCKCdMVE1TJywzOTYxNyk=&amp;WINDOW=FIRST_POPUP&amp;HEIGHT=450&amp;WIDTH=450&amp;START_MA","XIMIZED=FALSE&amp;VAR:CALENDAR=US&amp;VAR:SYMBOL=05614P10&amp;VAR:INDEX=0"}</definedName>
    <definedName name="_2441__FDSAUDITLINK__" localSheetId="6" hidden="1">{"fdsup://directions/FAT Viewer?action=UPDATE&amp;creator=factset&amp;DYN_ARGS=TRUE&amp;DOC_NAME=FAT:FQL_AUDITING_CLIENT_TEMPLATE.FAT&amp;display_string=Audit&amp;VAR:KEY=TEBWNORMHY&amp;VAR:QUERY=RkZfRUJJVERBX0lCKCdMVE1TJywzOTYxNik=&amp;WINDOW=FIRST_POPUP&amp;HEIGHT=450&amp;WIDTH=450&amp;START_MA","XIMIZED=FALSE&amp;VAR:CALENDAR=US&amp;VAR:SYMBOL=05614P10&amp;VAR:INDEX=0"}</definedName>
    <definedName name="_2441__FDSAUDITLINK__" hidden="1">{"fdsup://directions/FAT Viewer?action=UPDATE&amp;creator=factset&amp;DYN_ARGS=TRUE&amp;DOC_NAME=FAT:FQL_AUDITING_CLIENT_TEMPLATE.FAT&amp;display_string=Audit&amp;VAR:KEY=TEBWNORMHY&amp;VAR:QUERY=RkZfRUJJVERBX0lCKCdMVE1TJywzOTYxNik=&amp;WINDOW=FIRST_POPUP&amp;HEIGHT=450&amp;WIDTH=450&amp;START_MA","XIMIZED=FALSE&amp;VAR:CALENDAR=US&amp;VAR:SYMBOL=05614P10&amp;VAR:INDEX=0"}</definedName>
    <definedName name="_2442__FDSAUDITLINK__" localSheetId="6" hidden="1">{"fdsup://directions/FAT Viewer?action=UPDATE&amp;creator=factset&amp;DYN_ARGS=TRUE&amp;DOC_NAME=FAT:FQL_AUDITING_CLIENT_TEMPLATE.FAT&amp;display_string=Audit&amp;VAR:KEY=TQBYHOPELU&amp;VAR:QUERY=RkZfRUJJVERBX0lCKCdMVE1TJywzOTYxNSk=&amp;WINDOW=FIRST_POPUP&amp;HEIGHT=450&amp;WIDTH=450&amp;START_MA","XIMIZED=FALSE&amp;VAR:CALENDAR=US&amp;VAR:SYMBOL=05614P10&amp;VAR:INDEX=0"}</definedName>
    <definedName name="_2442__FDSAUDITLINK__" hidden="1">{"fdsup://directions/FAT Viewer?action=UPDATE&amp;creator=factset&amp;DYN_ARGS=TRUE&amp;DOC_NAME=FAT:FQL_AUDITING_CLIENT_TEMPLATE.FAT&amp;display_string=Audit&amp;VAR:KEY=TQBYHOPELU&amp;VAR:QUERY=RkZfRUJJVERBX0lCKCdMVE1TJywzOTYxNSk=&amp;WINDOW=FIRST_POPUP&amp;HEIGHT=450&amp;WIDTH=450&amp;START_MA","XIMIZED=FALSE&amp;VAR:CALENDAR=US&amp;VAR:SYMBOL=05614P10&amp;VAR:INDEX=0"}</definedName>
    <definedName name="_2443__FDSAUDITLINK__" localSheetId="6" hidden="1">{"fdsup://directions/FAT Viewer?action=UPDATE&amp;creator=factset&amp;DYN_ARGS=TRUE&amp;DOC_NAME=FAT:FQL_AUDITING_CLIENT_TEMPLATE.FAT&amp;display_string=Audit&amp;VAR:KEY=LWRAXGZEHE&amp;VAR:QUERY=RkZfRUJJVERBX0lCKCdMVE1TJywzOTYxNCk=&amp;WINDOW=FIRST_POPUP&amp;HEIGHT=450&amp;WIDTH=450&amp;START_MA","XIMIZED=FALSE&amp;VAR:CALENDAR=US&amp;VAR:SYMBOL=05614P10&amp;VAR:INDEX=0"}</definedName>
    <definedName name="_2443__FDSAUDITLINK__" hidden="1">{"fdsup://directions/FAT Viewer?action=UPDATE&amp;creator=factset&amp;DYN_ARGS=TRUE&amp;DOC_NAME=FAT:FQL_AUDITING_CLIENT_TEMPLATE.FAT&amp;display_string=Audit&amp;VAR:KEY=LWRAXGZEHE&amp;VAR:QUERY=RkZfRUJJVERBX0lCKCdMVE1TJywzOTYxNCk=&amp;WINDOW=FIRST_POPUP&amp;HEIGHT=450&amp;WIDTH=450&amp;START_MA","XIMIZED=FALSE&amp;VAR:CALENDAR=US&amp;VAR:SYMBOL=05614P10&amp;VAR:INDEX=0"}</definedName>
    <definedName name="_2444__FDSAUDITLINK__" localSheetId="6" hidden="1">{"fdsup://directions/FAT Viewer?action=UPDATE&amp;creator=factset&amp;DYN_ARGS=TRUE&amp;DOC_NAME=FAT:FQL_AUDITING_CLIENT_TEMPLATE.FAT&amp;display_string=Audit&amp;VAR:KEY=RIFGHCPQDY&amp;VAR:QUERY=RkZfRUJJVERBX0lCKCdMVE1TJywzOTYxMyk=&amp;WINDOW=FIRST_POPUP&amp;HEIGHT=450&amp;WIDTH=450&amp;START_MA","XIMIZED=FALSE&amp;VAR:CALENDAR=US&amp;VAR:SYMBOL=05614P10&amp;VAR:INDEX=0"}</definedName>
    <definedName name="_2444__FDSAUDITLINK__" hidden="1">{"fdsup://directions/FAT Viewer?action=UPDATE&amp;creator=factset&amp;DYN_ARGS=TRUE&amp;DOC_NAME=FAT:FQL_AUDITING_CLIENT_TEMPLATE.FAT&amp;display_string=Audit&amp;VAR:KEY=RIFGHCPQDY&amp;VAR:QUERY=RkZfRUJJVERBX0lCKCdMVE1TJywzOTYxMyk=&amp;WINDOW=FIRST_POPUP&amp;HEIGHT=450&amp;WIDTH=450&amp;START_MA","XIMIZED=FALSE&amp;VAR:CALENDAR=US&amp;VAR:SYMBOL=05614P10&amp;VAR:INDEX=0"}</definedName>
    <definedName name="_2445__FDSAUDITLINK__" localSheetId="6" hidden="1">{"fdsup://directions/FAT Viewer?action=UPDATE&amp;creator=factset&amp;DYN_ARGS=TRUE&amp;DOC_NAME=FAT:FQL_AUDITING_CLIENT_TEMPLATE.FAT&amp;display_string=Audit&amp;VAR:KEY=FYBCHGVKVE&amp;VAR:QUERY=RkZfRUJJVERBX0lCKCdMVE1TJywzOTYxMik=&amp;WINDOW=FIRST_POPUP&amp;HEIGHT=450&amp;WIDTH=450&amp;START_MA","XIMIZED=FALSE&amp;VAR:CALENDAR=US&amp;VAR:SYMBOL=05614P10&amp;VAR:INDEX=0"}</definedName>
    <definedName name="_2445__FDSAUDITLINK__" hidden="1">{"fdsup://directions/FAT Viewer?action=UPDATE&amp;creator=factset&amp;DYN_ARGS=TRUE&amp;DOC_NAME=FAT:FQL_AUDITING_CLIENT_TEMPLATE.FAT&amp;display_string=Audit&amp;VAR:KEY=FYBCHGVKVE&amp;VAR:QUERY=RkZfRUJJVERBX0lCKCdMVE1TJywzOTYxMik=&amp;WINDOW=FIRST_POPUP&amp;HEIGHT=450&amp;WIDTH=450&amp;START_MA","XIMIZED=FALSE&amp;VAR:CALENDAR=US&amp;VAR:SYMBOL=05614P10&amp;VAR:INDEX=0"}</definedName>
    <definedName name="_2446__FDSAUDITLINK__" localSheetId="6" hidden="1">{"fdsup://directions/FAT Viewer?action=UPDATE&amp;creator=factset&amp;DYN_ARGS=TRUE&amp;DOC_NAME=FAT:FQL_AUDITING_CLIENT_TEMPLATE.FAT&amp;display_string=Audit&amp;VAR:KEY=NGNUZGXIHA&amp;VAR:QUERY=RkZfRUJJVERBX0lCKCdMVE1TJywzOTYxMSk=&amp;WINDOW=FIRST_POPUP&amp;HEIGHT=450&amp;WIDTH=450&amp;START_MA","XIMIZED=FALSE&amp;VAR:CALENDAR=US&amp;VAR:SYMBOL=05614P10&amp;VAR:INDEX=0"}</definedName>
    <definedName name="_2446__FDSAUDITLINK__" hidden="1">{"fdsup://directions/FAT Viewer?action=UPDATE&amp;creator=factset&amp;DYN_ARGS=TRUE&amp;DOC_NAME=FAT:FQL_AUDITING_CLIENT_TEMPLATE.FAT&amp;display_string=Audit&amp;VAR:KEY=NGNUZGXIHA&amp;VAR:QUERY=RkZfRUJJVERBX0lCKCdMVE1TJywzOTYxMSk=&amp;WINDOW=FIRST_POPUP&amp;HEIGHT=450&amp;WIDTH=450&amp;START_MA","XIMIZED=FALSE&amp;VAR:CALENDAR=US&amp;VAR:SYMBOL=05614P10&amp;VAR:INDEX=0"}</definedName>
    <definedName name="_2447__FDSAUDITLINK__" localSheetId="6" hidden="1">{"fdsup://directions/FAT Viewer?action=UPDATE&amp;creator=factset&amp;DYN_ARGS=TRUE&amp;DOC_NAME=FAT:FQL_AUDITING_CLIENT_TEMPLATE.FAT&amp;display_string=Audit&amp;VAR:KEY=PGDUFUBMHC&amp;VAR:QUERY=RkZfRUJJVERBX0lCKCdMVE1TJywzOTYxMCk=&amp;WINDOW=FIRST_POPUP&amp;HEIGHT=450&amp;WIDTH=450&amp;START_MA","XIMIZED=FALSE&amp;VAR:CALENDAR=US&amp;VAR:SYMBOL=05614P10&amp;VAR:INDEX=0"}</definedName>
    <definedName name="_2447__FDSAUDITLINK__" hidden="1">{"fdsup://directions/FAT Viewer?action=UPDATE&amp;creator=factset&amp;DYN_ARGS=TRUE&amp;DOC_NAME=FAT:FQL_AUDITING_CLIENT_TEMPLATE.FAT&amp;display_string=Audit&amp;VAR:KEY=PGDUFUBMHC&amp;VAR:QUERY=RkZfRUJJVERBX0lCKCdMVE1TJywzOTYxMCk=&amp;WINDOW=FIRST_POPUP&amp;HEIGHT=450&amp;WIDTH=450&amp;START_MA","XIMIZED=FALSE&amp;VAR:CALENDAR=US&amp;VAR:SYMBOL=05614P10&amp;VAR:INDEX=0"}</definedName>
    <definedName name="_2448__FDSAUDITLINK__" localSheetId="6" hidden="1">{"fdsup://directions/FAT Viewer?action=UPDATE&amp;creator=factset&amp;DYN_ARGS=TRUE&amp;DOC_NAME=FAT:FQL_AUDITING_CLIENT_TEMPLATE.FAT&amp;display_string=Audit&amp;VAR:KEY=NCJEHYHGNG&amp;VAR:QUERY=RkZfRUJJVERBX0lCKCdMVE1TJywzOTYwOSk=&amp;WINDOW=FIRST_POPUP&amp;HEIGHT=450&amp;WIDTH=450&amp;START_MA","XIMIZED=FALSE&amp;VAR:CALENDAR=US&amp;VAR:SYMBOL=05614P10&amp;VAR:INDEX=0"}</definedName>
    <definedName name="_2448__FDSAUDITLINK__" hidden="1">{"fdsup://directions/FAT Viewer?action=UPDATE&amp;creator=factset&amp;DYN_ARGS=TRUE&amp;DOC_NAME=FAT:FQL_AUDITING_CLIENT_TEMPLATE.FAT&amp;display_string=Audit&amp;VAR:KEY=NCJEHYHGNG&amp;VAR:QUERY=RkZfRUJJVERBX0lCKCdMVE1TJywzOTYwOSk=&amp;WINDOW=FIRST_POPUP&amp;HEIGHT=450&amp;WIDTH=450&amp;START_MA","XIMIZED=FALSE&amp;VAR:CALENDAR=US&amp;VAR:SYMBOL=05614P10&amp;VAR:INDEX=0"}</definedName>
    <definedName name="_2449__FDSAUDITLINK__" localSheetId="6" hidden="1">{"fdsup://directions/FAT Viewer?action=UPDATE&amp;creator=factset&amp;DYN_ARGS=TRUE&amp;DOC_NAME=FAT:FQL_AUDITING_CLIENT_TEMPLATE.FAT&amp;display_string=Audit&amp;VAR:KEY=TUXCDMZWBM&amp;VAR:QUERY=RkZfRUJJVERBX0lCKCdMVE1TJywzOTYwOCk=&amp;WINDOW=FIRST_POPUP&amp;HEIGHT=450&amp;WIDTH=450&amp;START_MA","XIMIZED=FALSE&amp;VAR:CALENDAR=US&amp;VAR:SYMBOL=05614P10&amp;VAR:INDEX=0"}</definedName>
    <definedName name="_2449__FDSAUDITLINK__" hidden="1">{"fdsup://directions/FAT Viewer?action=UPDATE&amp;creator=factset&amp;DYN_ARGS=TRUE&amp;DOC_NAME=FAT:FQL_AUDITING_CLIENT_TEMPLATE.FAT&amp;display_string=Audit&amp;VAR:KEY=TUXCDMZWBM&amp;VAR:QUERY=RkZfRUJJVERBX0lCKCdMVE1TJywzOTYwOCk=&amp;WINDOW=FIRST_POPUP&amp;HEIGHT=450&amp;WIDTH=450&amp;START_MA","XIMIZED=FALSE&amp;VAR:CALENDAR=US&amp;VAR:SYMBOL=05614P10&amp;VAR:INDEX=0"}</definedName>
    <definedName name="_245__FDSAUDITLINK__" localSheetId="6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5__FDSAUDITLINK__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50__FDSAUDITLINK__" localSheetId="6" hidden="1">{"fdsup://directions/FAT Viewer?action=UPDATE&amp;creator=factset&amp;DYN_ARGS=TRUE&amp;DOC_NAME=FAT:FQL_AUDITING_CLIENT_TEMPLATE.FAT&amp;display_string=Audit&amp;VAR:KEY=FQHMRODKTM&amp;VAR:QUERY=RkZfRUJJVERBX0lCKCdMVE1TJywzOTYwNyk=&amp;WINDOW=FIRST_POPUP&amp;HEIGHT=450&amp;WIDTH=450&amp;START_MA","XIMIZED=FALSE&amp;VAR:CALENDAR=US&amp;VAR:SYMBOL=05614P10&amp;VAR:INDEX=0"}</definedName>
    <definedName name="_2450__FDSAUDITLINK__" hidden="1">{"fdsup://directions/FAT Viewer?action=UPDATE&amp;creator=factset&amp;DYN_ARGS=TRUE&amp;DOC_NAME=FAT:FQL_AUDITING_CLIENT_TEMPLATE.FAT&amp;display_string=Audit&amp;VAR:KEY=FQHMRODKTM&amp;VAR:QUERY=RkZfRUJJVERBX0lCKCdMVE1TJywzOTYwNyk=&amp;WINDOW=FIRST_POPUP&amp;HEIGHT=450&amp;WIDTH=450&amp;START_MA","XIMIZED=FALSE&amp;VAR:CALENDAR=US&amp;VAR:SYMBOL=05614P10&amp;VAR:INDEX=0"}</definedName>
    <definedName name="_2451__FDSAUDITLINK__" localSheetId="6" hidden="1">{"fdsup://directions/FAT Viewer?action=UPDATE&amp;creator=factset&amp;DYN_ARGS=TRUE&amp;DOC_NAME=FAT:FQL_AUDITING_CLIENT_TEMPLATE.FAT&amp;display_string=Audit&amp;VAR:KEY=HUZODUDANY&amp;VAR:QUERY=RkZfRUJJVERBX0lCKCdMVE1TJywzOTYwNik=&amp;WINDOW=FIRST_POPUP&amp;HEIGHT=450&amp;WIDTH=450&amp;START_MA","XIMIZED=FALSE&amp;VAR:CALENDAR=US&amp;VAR:SYMBOL=05614P10&amp;VAR:INDEX=0"}</definedName>
    <definedName name="_2451__FDSAUDITLINK__" hidden="1">{"fdsup://directions/FAT Viewer?action=UPDATE&amp;creator=factset&amp;DYN_ARGS=TRUE&amp;DOC_NAME=FAT:FQL_AUDITING_CLIENT_TEMPLATE.FAT&amp;display_string=Audit&amp;VAR:KEY=HUZODUDANY&amp;VAR:QUERY=RkZfRUJJVERBX0lCKCdMVE1TJywzOTYwNik=&amp;WINDOW=FIRST_POPUP&amp;HEIGHT=450&amp;WIDTH=450&amp;START_MA","XIMIZED=FALSE&amp;VAR:CALENDAR=US&amp;VAR:SYMBOL=05614P10&amp;VAR:INDEX=0"}</definedName>
    <definedName name="_2452__FDSAUDITLINK__" localSheetId="6" hidden="1">{"fdsup://directions/FAT Viewer?action=UPDATE&amp;creator=factset&amp;DYN_ARGS=TRUE&amp;DOC_NAME=FAT:FQL_AUDITING_CLIENT_TEMPLATE.FAT&amp;display_string=Audit&amp;VAR:KEY=ZENCTKNWTS&amp;VAR:QUERY=RkZfRUJJVERBX0lCKCdMVE1TJywzOTYwNSk=&amp;WINDOW=FIRST_POPUP&amp;HEIGHT=450&amp;WIDTH=450&amp;START_MA","XIMIZED=FALSE&amp;VAR:CALENDAR=US&amp;VAR:SYMBOL=05614P10&amp;VAR:INDEX=0"}</definedName>
    <definedName name="_2452__FDSAUDITLINK__" hidden="1">{"fdsup://directions/FAT Viewer?action=UPDATE&amp;creator=factset&amp;DYN_ARGS=TRUE&amp;DOC_NAME=FAT:FQL_AUDITING_CLIENT_TEMPLATE.FAT&amp;display_string=Audit&amp;VAR:KEY=ZENCTKNWTS&amp;VAR:QUERY=RkZfRUJJVERBX0lCKCdMVE1TJywzOTYwNSk=&amp;WINDOW=FIRST_POPUP&amp;HEIGHT=450&amp;WIDTH=450&amp;START_MA","XIMIZED=FALSE&amp;VAR:CALENDAR=US&amp;VAR:SYMBOL=05614P10&amp;VAR:INDEX=0"}</definedName>
    <definedName name="_2453__FDSAUDITLINK__" localSheetId="6" hidden="1">{"fdsup://directions/FAT Viewer?action=UPDATE&amp;creator=factset&amp;DYN_ARGS=TRUE&amp;DOC_NAME=FAT:FQL_AUDITING_CLIENT_TEMPLATE.FAT&amp;display_string=Audit&amp;VAR:KEY=NKXEZMZOZM&amp;VAR:QUERY=RkZfRUJJVERBX0lCKCdMVE1TJywzOTYwNCk=&amp;WINDOW=FIRST_POPUP&amp;HEIGHT=450&amp;WIDTH=450&amp;START_MA","XIMIZED=FALSE&amp;VAR:CALENDAR=US&amp;VAR:SYMBOL=05614P10&amp;VAR:INDEX=0"}</definedName>
    <definedName name="_2453__FDSAUDITLINK__" hidden="1">{"fdsup://directions/FAT Viewer?action=UPDATE&amp;creator=factset&amp;DYN_ARGS=TRUE&amp;DOC_NAME=FAT:FQL_AUDITING_CLIENT_TEMPLATE.FAT&amp;display_string=Audit&amp;VAR:KEY=NKXEZMZOZM&amp;VAR:QUERY=RkZfRUJJVERBX0lCKCdMVE1TJywzOTYwNCk=&amp;WINDOW=FIRST_POPUP&amp;HEIGHT=450&amp;WIDTH=450&amp;START_MA","XIMIZED=FALSE&amp;VAR:CALENDAR=US&amp;VAR:SYMBOL=05614P10&amp;VAR:INDEX=0"}</definedName>
    <definedName name="_2454__FDSAUDITLINK__" localSheetId="6" hidden="1">{"fdsup://directions/FAT Viewer?action=UPDATE&amp;creator=factset&amp;DYN_ARGS=TRUE&amp;DOC_NAME=FAT:FQL_AUDITING_CLIENT_TEMPLATE.FAT&amp;display_string=Audit&amp;VAR:KEY=LKTEVYBKFK&amp;VAR:QUERY=RkZfRUJJVERBX0lCKCdMVE1TJywzOTYwMyk=&amp;WINDOW=FIRST_POPUP&amp;HEIGHT=450&amp;WIDTH=450&amp;START_MA","XIMIZED=FALSE&amp;VAR:CALENDAR=US&amp;VAR:SYMBOL=05614P10&amp;VAR:INDEX=0"}</definedName>
    <definedName name="_2454__FDSAUDITLINK__" hidden="1">{"fdsup://directions/FAT Viewer?action=UPDATE&amp;creator=factset&amp;DYN_ARGS=TRUE&amp;DOC_NAME=FAT:FQL_AUDITING_CLIENT_TEMPLATE.FAT&amp;display_string=Audit&amp;VAR:KEY=LKTEVYBKFK&amp;VAR:QUERY=RkZfRUJJVERBX0lCKCdMVE1TJywzOTYwMyk=&amp;WINDOW=FIRST_POPUP&amp;HEIGHT=450&amp;WIDTH=450&amp;START_MA","XIMIZED=FALSE&amp;VAR:CALENDAR=US&amp;VAR:SYMBOL=05614P10&amp;VAR:INDEX=0"}</definedName>
    <definedName name="_2455__FDSAUDITLINK__" localSheetId="6" hidden="1">{"fdsup://directions/FAT Viewer?action=UPDATE&amp;creator=factset&amp;DYN_ARGS=TRUE&amp;DOC_NAME=FAT:FQL_AUDITING_CLIENT_TEMPLATE.FAT&amp;display_string=Audit&amp;VAR:KEY=XQPEXOFYBW&amp;VAR:QUERY=RkZfRUJJVERBX0lCKCdMVE1TJywzOTYwMik=&amp;WINDOW=FIRST_POPUP&amp;HEIGHT=450&amp;WIDTH=450&amp;START_MA","XIMIZED=FALSE&amp;VAR:CALENDAR=US&amp;VAR:SYMBOL=05614P10&amp;VAR:INDEX=0"}</definedName>
    <definedName name="_2455__FDSAUDITLINK__" hidden="1">{"fdsup://directions/FAT Viewer?action=UPDATE&amp;creator=factset&amp;DYN_ARGS=TRUE&amp;DOC_NAME=FAT:FQL_AUDITING_CLIENT_TEMPLATE.FAT&amp;display_string=Audit&amp;VAR:KEY=XQPEXOFYBW&amp;VAR:QUERY=RkZfRUJJVERBX0lCKCdMVE1TJywzOTYwMik=&amp;WINDOW=FIRST_POPUP&amp;HEIGHT=450&amp;WIDTH=450&amp;START_MA","XIMIZED=FALSE&amp;VAR:CALENDAR=US&amp;VAR:SYMBOL=05614P10&amp;VAR:INDEX=0"}</definedName>
    <definedName name="_2456__FDSAUDITLINK__" localSheetId="6" hidden="1">{"fdsup://directions/FAT Viewer?action=UPDATE&amp;creator=factset&amp;DYN_ARGS=TRUE&amp;DOC_NAME=FAT:FQL_AUDITING_CLIENT_TEMPLATE.FAT&amp;display_string=Audit&amp;VAR:KEY=LWDMNQRMJO&amp;VAR:QUERY=RkZfRUJJVERBX0lCKCdMVE1TJywzOTYwMSk=&amp;WINDOW=FIRST_POPUP&amp;HEIGHT=450&amp;WIDTH=450&amp;START_MA","XIMIZED=FALSE&amp;VAR:CALENDAR=US&amp;VAR:SYMBOL=05614P10&amp;VAR:INDEX=0"}</definedName>
    <definedName name="_2456__FDSAUDITLINK__" hidden="1">{"fdsup://directions/FAT Viewer?action=UPDATE&amp;creator=factset&amp;DYN_ARGS=TRUE&amp;DOC_NAME=FAT:FQL_AUDITING_CLIENT_TEMPLATE.FAT&amp;display_string=Audit&amp;VAR:KEY=LWDMNQRMJO&amp;VAR:QUERY=RkZfRUJJVERBX0lCKCdMVE1TJywzOTYwMSk=&amp;WINDOW=FIRST_POPUP&amp;HEIGHT=450&amp;WIDTH=450&amp;START_MA","XIMIZED=FALSE&amp;VAR:CALENDAR=US&amp;VAR:SYMBOL=05614P10&amp;VAR:INDEX=0"}</definedName>
    <definedName name="_2457__FDSAUDITLINK__" localSheetId="6" hidden="1">{"fdsup://directions/FAT Viewer?action=UPDATE&amp;creator=factset&amp;DYN_ARGS=TRUE&amp;DOC_NAME=FAT:FQL_AUDITING_CLIENT_TEMPLATE.FAT&amp;display_string=Audit&amp;VAR:KEY=BMDKBSFKZG&amp;VAR:QUERY=RkZfRUJJVERBX0lCKCdMVE1TJywzOTYwMCk=&amp;WINDOW=FIRST_POPUP&amp;HEIGHT=450&amp;WIDTH=450&amp;START_MA","XIMIZED=FALSE&amp;VAR:CALENDAR=US&amp;VAR:SYMBOL=05614P10&amp;VAR:INDEX=0"}</definedName>
    <definedName name="_2457__FDSAUDITLINK__" hidden="1">{"fdsup://directions/FAT Viewer?action=UPDATE&amp;creator=factset&amp;DYN_ARGS=TRUE&amp;DOC_NAME=FAT:FQL_AUDITING_CLIENT_TEMPLATE.FAT&amp;display_string=Audit&amp;VAR:KEY=BMDKBSFKZG&amp;VAR:QUERY=RkZfRUJJVERBX0lCKCdMVE1TJywzOTYwMCk=&amp;WINDOW=FIRST_POPUP&amp;HEIGHT=450&amp;WIDTH=450&amp;START_MA","XIMIZED=FALSE&amp;VAR:CALENDAR=US&amp;VAR:SYMBOL=05614P10&amp;VAR:INDEX=0"}</definedName>
    <definedName name="_2458__FDSAUDITLINK__" localSheetId="6" hidden="1">{"fdsup://directions/FAT Viewer?action=UPDATE&amp;creator=factset&amp;DYN_ARGS=TRUE&amp;DOC_NAME=FAT:FQL_AUDITING_CLIENT_TEMPLATE.FAT&amp;display_string=Audit&amp;VAR:KEY=NQVCPCHKVE&amp;VAR:QUERY=RkZfRUJJVERBX0lCKCdMVE1TJywzOTU5OSk=&amp;WINDOW=FIRST_POPUP&amp;HEIGHT=450&amp;WIDTH=450&amp;START_MA","XIMIZED=FALSE&amp;VAR:CALENDAR=US&amp;VAR:SYMBOL=05614P10&amp;VAR:INDEX=0"}</definedName>
    <definedName name="_2458__FDSAUDITLINK__" hidden="1">{"fdsup://directions/FAT Viewer?action=UPDATE&amp;creator=factset&amp;DYN_ARGS=TRUE&amp;DOC_NAME=FAT:FQL_AUDITING_CLIENT_TEMPLATE.FAT&amp;display_string=Audit&amp;VAR:KEY=NQVCPCHKVE&amp;VAR:QUERY=RkZfRUJJVERBX0lCKCdMVE1TJywzOTU5OSk=&amp;WINDOW=FIRST_POPUP&amp;HEIGHT=450&amp;WIDTH=450&amp;START_MA","XIMIZED=FALSE&amp;VAR:CALENDAR=US&amp;VAR:SYMBOL=05614P10&amp;VAR:INDEX=0"}</definedName>
    <definedName name="_2459__FDSAUDITLINK__" localSheetId="6" hidden="1">{"fdsup://directions/FAT Viewer?action=UPDATE&amp;creator=factset&amp;DYN_ARGS=TRUE&amp;DOC_NAME=FAT:FQL_AUDITING_CLIENT_TEMPLATE.FAT&amp;display_string=Audit&amp;VAR:KEY=TMDQDKRUHY&amp;VAR:QUERY=RkZfRUJJVERBX0lCKCdMVE1TJywzOTU5OCk=&amp;WINDOW=FIRST_POPUP&amp;HEIGHT=450&amp;WIDTH=450&amp;START_MA","XIMIZED=FALSE&amp;VAR:CALENDAR=US&amp;VAR:SYMBOL=05614P10&amp;VAR:INDEX=0"}</definedName>
    <definedName name="_2459__FDSAUDITLINK__" hidden="1">{"fdsup://directions/FAT Viewer?action=UPDATE&amp;creator=factset&amp;DYN_ARGS=TRUE&amp;DOC_NAME=FAT:FQL_AUDITING_CLIENT_TEMPLATE.FAT&amp;display_string=Audit&amp;VAR:KEY=TMDQDKRUHY&amp;VAR:QUERY=RkZfRUJJVERBX0lCKCdMVE1TJywzOTU5OCk=&amp;WINDOW=FIRST_POPUP&amp;HEIGHT=450&amp;WIDTH=450&amp;START_MA","XIMIZED=FALSE&amp;VAR:CALENDAR=US&amp;VAR:SYMBOL=05614P10&amp;VAR:INDEX=0"}</definedName>
    <definedName name="_246__FDSAUDITLINK__" localSheetId="6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6__FDSAUDITLINK__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60__FDSAUDITLINK__" localSheetId="6" hidden="1">{"fdsup://directions/FAT Viewer?action=UPDATE&amp;creator=factset&amp;DYN_ARGS=TRUE&amp;DOC_NAME=FAT:FQL_AUDITING_CLIENT_TEMPLATE.FAT&amp;display_string=Audit&amp;VAR:KEY=DYLWHUTYFO&amp;VAR:QUERY=RkZfRUJJVERBX0lCKCdMVE1TJywzOTU5Nyk=&amp;WINDOW=FIRST_POPUP&amp;HEIGHT=450&amp;WIDTH=450&amp;START_MA","XIMIZED=FALSE&amp;VAR:CALENDAR=US&amp;VAR:SYMBOL=05614P10&amp;VAR:INDEX=0"}</definedName>
    <definedName name="_2460__FDSAUDITLINK__" hidden="1">{"fdsup://directions/FAT Viewer?action=UPDATE&amp;creator=factset&amp;DYN_ARGS=TRUE&amp;DOC_NAME=FAT:FQL_AUDITING_CLIENT_TEMPLATE.FAT&amp;display_string=Audit&amp;VAR:KEY=DYLWHUTYFO&amp;VAR:QUERY=RkZfRUJJVERBX0lCKCdMVE1TJywzOTU5Nyk=&amp;WINDOW=FIRST_POPUP&amp;HEIGHT=450&amp;WIDTH=450&amp;START_MA","XIMIZED=FALSE&amp;VAR:CALENDAR=US&amp;VAR:SYMBOL=05614P10&amp;VAR:INDEX=0"}</definedName>
    <definedName name="_2461__FDSAUDITLINK__" localSheetId="6" hidden="1">{"fdsup://directions/FAT Viewer?action=UPDATE&amp;creator=factset&amp;DYN_ARGS=TRUE&amp;DOC_NAME=FAT:FQL_AUDITING_CLIENT_TEMPLATE.FAT&amp;display_string=Audit&amp;VAR:KEY=TKRYVSXAPO&amp;VAR:QUERY=RkZfRUJJVERBX0lCKCdMVE1TJywzOTU5Nik=&amp;WINDOW=FIRST_POPUP&amp;HEIGHT=450&amp;WIDTH=450&amp;START_MA","XIMIZED=FALSE&amp;VAR:CALENDAR=US&amp;VAR:SYMBOL=05614P10&amp;VAR:INDEX=0"}</definedName>
    <definedName name="_2461__FDSAUDITLINK__" hidden="1">{"fdsup://directions/FAT Viewer?action=UPDATE&amp;creator=factset&amp;DYN_ARGS=TRUE&amp;DOC_NAME=FAT:FQL_AUDITING_CLIENT_TEMPLATE.FAT&amp;display_string=Audit&amp;VAR:KEY=TKRYVSXAPO&amp;VAR:QUERY=RkZfRUJJVERBX0lCKCdMVE1TJywzOTU5Nik=&amp;WINDOW=FIRST_POPUP&amp;HEIGHT=450&amp;WIDTH=450&amp;START_MA","XIMIZED=FALSE&amp;VAR:CALENDAR=US&amp;VAR:SYMBOL=05614P10&amp;VAR:INDEX=0"}</definedName>
    <definedName name="_2462__FDSAUDITLINK__" localSheetId="6" hidden="1">{"fdsup://directions/FAT Viewer?action=UPDATE&amp;creator=factset&amp;DYN_ARGS=TRUE&amp;DOC_NAME=FAT:FQL_AUDITING_CLIENT_TEMPLATE.FAT&amp;display_string=Audit&amp;VAR:KEY=DEBIRGJYLC&amp;VAR:QUERY=RkZfRUJJVERBX0lCKCdMVE1TJywzOTU5NSk=&amp;WINDOW=FIRST_POPUP&amp;HEIGHT=450&amp;WIDTH=450&amp;START_MA","XIMIZED=FALSE&amp;VAR:CALENDAR=US&amp;VAR:SYMBOL=05614P10&amp;VAR:INDEX=0"}</definedName>
    <definedName name="_2462__FDSAUDITLINK__" hidden="1">{"fdsup://directions/FAT Viewer?action=UPDATE&amp;creator=factset&amp;DYN_ARGS=TRUE&amp;DOC_NAME=FAT:FQL_AUDITING_CLIENT_TEMPLATE.FAT&amp;display_string=Audit&amp;VAR:KEY=DEBIRGJYLC&amp;VAR:QUERY=RkZfRUJJVERBX0lCKCdMVE1TJywzOTU5NSk=&amp;WINDOW=FIRST_POPUP&amp;HEIGHT=450&amp;WIDTH=450&amp;START_MA","XIMIZED=FALSE&amp;VAR:CALENDAR=US&amp;VAR:SYMBOL=05614P10&amp;VAR:INDEX=0"}</definedName>
    <definedName name="_2463__FDSAUDITLINK__" localSheetId="6" hidden="1">{"fdsup://directions/FAT Viewer?action=UPDATE&amp;creator=factset&amp;DYN_ARGS=TRUE&amp;DOC_NAME=FAT:FQL_AUDITING_CLIENT_TEMPLATE.FAT&amp;display_string=Audit&amp;VAR:KEY=DCVYVAJWZG&amp;VAR:QUERY=RkZfRUJJVERBX0lCKCdMVE1TJywzOTU5NCk=&amp;WINDOW=FIRST_POPUP&amp;HEIGHT=450&amp;WIDTH=450&amp;START_MA","XIMIZED=FALSE&amp;VAR:CALENDAR=US&amp;VAR:SYMBOL=05614P10&amp;VAR:INDEX=0"}</definedName>
    <definedName name="_2463__FDSAUDITLINK__" hidden="1">{"fdsup://directions/FAT Viewer?action=UPDATE&amp;creator=factset&amp;DYN_ARGS=TRUE&amp;DOC_NAME=FAT:FQL_AUDITING_CLIENT_TEMPLATE.FAT&amp;display_string=Audit&amp;VAR:KEY=DCVYVAJWZG&amp;VAR:QUERY=RkZfRUJJVERBX0lCKCdMVE1TJywzOTU5NCk=&amp;WINDOW=FIRST_POPUP&amp;HEIGHT=450&amp;WIDTH=450&amp;START_MA","XIMIZED=FALSE&amp;VAR:CALENDAR=US&amp;VAR:SYMBOL=05614P10&amp;VAR:INDEX=0"}</definedName>
    <definedName name="_2464__FDSAUDITLINK__" localSheetId="6" hidden="1">{"fdsup://directions/FAT Viewer?action=UPDATE&amp;creator=factset&amp;DYN_ARGS=TRUE&amp;DOC_NAME=FAT:FQL_AUDITING_CLIENT_TEMPLATE.FAT&amp;display_string=Audit&amp;VAR:KEY=HWTEHWPORS&amp;VAR:QUERY=RkZfRUJJVERBX0lCKCdMVE1TJywzOTU5Myk=&amp;WINDOW=FIRST_POPUP&amp;HEIGHT=450&amp;WIDTH=450&amp;START_MA","XIMIZED=FALSE&amp;VAR:CALENDAR=US&amp;VAR:SYMBOL=05614P10&amp;VAR:INDEX=0"}</definedName>
    <definedName name="_2464__FDSAUDITLINK__" hidden="1">{"fdsup://directions/FAT Viewer?action=UPDATE&amp;creator=factset&amp;DYN_ARGS=TRUE&amp;DOC_NAME=FAT:FQL_AUDITING_CLIENT_TEMPLATE.FAT&amp;display_string=Audit&amp;VAR:KEY=HWTEHWPORS&amp;VAR:QUERY=RkZfRUJJVERBX0lCKCdMVE1TJywzOTU5Myk=&amp;WINDOW=FIRST_POPUP&amp;HEIGHT=450&amp;WIDTH=450&amp;START_MA","XIMIZED=FALSE&amp;VAR:CALENDAR=US&amp;VAR:SYMBOL=05614P10&amp;VAR:INDEX=0"}</definedName>
    <definedName name="_2465__FDSAUDITLINK__" localSheetId="6" hidden="1">{"fdsup://directions/FAT Viewer?action=UPDATE&amp;creator=factset&amp;DYN_ARGS=TRUE&amp;DOC_NAME=FAT:FQL_AUDITING_CLIENT_TEMPLATE.FAT&amp;display_string=Audit&amp;VAR:KEY=DMHQRCRUHQ&amp;VAR:QUERY=RkZfRUJJVERBX0lCKCdMVE1TJywzOTU5Mik=&amp;WINDOW=FIRST_POPUP&amp;HEIGHT=450&amp;WIDTH=450&amp;START_MA","XIMIZED=FALSE&amp;VAR:CALENDAR=US&amp;VAR:SYMBOL=05614P10&amp;VAR:INDEX=0"}</definedName>
    <definedName name="_2465__FDSAUDITLINK__" hidden="1">{"fdsup://directions/FAT Viewer?action=UPDATE&amp;creator=factset&amp;DYN_ARGS=TRUE&amp;DOC_NAME=FAT:FQL_AUDITING_CLIENT_TEMPLATE.FAT&amp;display_string=Audit&amp;VAR:KEY=DMHQRCRUHQ&amp;VAR:QUERY=RkZfRUJJVERBX0lCKCdMVE1TJywzOTU5Mik=&amp;WINDOW=FIRST_POPUP&amp;HEIGHT=450&amp;WIDTH=450&amp;START_MA","XIMIZED=FALSE&amp;VAR:CALENDAR=US&amp;VAR:SYMBOL=05614P10&amp;VAR:INDEX=0"}</definedName>
    <definedName name="_2466__FDSAUDITLINK__" localSheetId="6" hidden="1">{"fdsup://directions/FAT Viewer?action=UPDATE&amp;creator=factset&amp;DYN_ARGS=TRUE&amp;DOC_NAME=FAT:FQL_AUDITING_CLIENT_TEMPLATE.FAT&amp;display_string=Audit&amp;VAR:KEY=XEZQNKBELY&amp;VAR:QUERY=RkZfRUJJVERBX0lCKCdMVE1TJywzOTU5MSk=&amp;WINDOW=FIRST_POPUP&amp;HEIGHT=450&amp;WIDTH=450&amp;START_MA","XIMIZED=FALSE&amp;VAR:CALENDAR=US&amp;VAR:SYMBOL=05614P10&amp;VAR:INDEX=0"}</definedName>
    <definedName name="_2466__FDSAUDITLINK__" hidden="1">{"fdsup://directions/FAT Viewer?action=UPDATE&amp;creator=factset&amp;DYN_ARGS=TRUE&amp;DOC_NAME=FAT:FQL_AUDITING_CLIENT_TEMPLATE.FAT&amp;display_string=Audit&amp;VAR:KEY=XEZQNKBELY&amp;VAR:QUERY=RkZfRUJJVERBX0lCKCdMVE1TJywzOTU5MSk=&amp;WINDOW=FIRST_POPUP&amp;HEIGHT=450&amp;WIDTH=450&amp;START_MA","XIMIZED=FALSE&amp;VAR:CALENDAR=US&amp;VAR:SYMBOL=05614P10&amp;VAR:INDEX=0"}</definedName>
    <definedName name="_2467__FDSAUDITLINK__" localSheetId="6" hidden="1">{"fdsup://directions/FAT Viewer?action=UPDATE&amp;creator=factset&amp;DYN_ARGS=TRUE&amp;DOC_NAME=FAT:FQL_AUDITING_CLIENT_TEMPLATE.FAT&amp;display_string=Audit&amp;VAR:KEY=PEFIBWJOBI&amp;VAR:QUERY=RkZfRUJJVERBX0lCKCdMVE1TJywzOTU5MCk=&amp;WINDOW=FIRST_POPUP&amp;HEIGHT=450&amp;WIDTH=450&amp;START_MA","XIMIZED=FALSE&amp;VAR:CALENDAR=US&amp;VAR:SYMBOL=05614P10&amp;VAR:INDEX=0"}</definedName>
    <definedName name="_2467__FDSAUDITLINK__" hidden="1">{"fdsup://directions/FAT Viewer?action=UPDATE&amp;creator=factset&amp;DYN_ARGS=TRUE&amp;DOC_NAME=FAT:FQL_AUDITING_CLIENT_TEMPLATE.FAT&amp;display_string=Audit&amp;VAR:KEY=PEFIBWJOBI&amp;VAR:QUERY=RkZfRUJJVERBX0lCKCdMVE1TJywzOTU5MCk=&amp;WINDOW=FIRST_POPUP&amp;HEIGHT=450&amp;WIDTH=450&amp;START_MA","XIMIZED=FALSE&amp;VAR:CALENDAR=US&amp;VAR:SYMBOL=05614P10&amp;VAR:INDEX=0"}</definedName>
    <definedName name="_2468__FDSAUDITLINK__" localSheetId="6" hidden="1">{"fdsup://directions/FAT Viewer?action=UPDATE&amp;creator=factset&amp;DYN_ARGS=TRUE&amp;DOC_NAME=FAT:FQL_AUDITING_CLIENT_TEMPLATE.FAT&amp;display_string=Audit&amp;VAR:KEY=LITYFCJCBA&amp;VAR:QUERY=RkZfRUJJVERBX0lCKCdMVE1TJywzOTU4OSk=&amp;WINDOW=FIRST_POPUP&amp;HEIGHT=450&amp;WIDTH=450&amp;START_MA","XIMIZED=FALSE&amp;VAR:CALENDAR=US&amp;VAR:SYMBOL=05614P10&amp;VAR:INDEX=0"}</definedName>
    <definedName name="_2468__FDSAUDITLINK__" hidden="1">{"fdsup://directions/FAT Viewer?action=UPDATE&amp;creator=factset&amp;DYN_ARGS=TRUE&amp;DOC_NAME=FAT:FQL_AUDITING_CLIENT_TEMPLATE.FAT&amp;display_string=Audit&amp;VAR:KEY=LITYFCJCBA&amp;VAR:QUERY=RkZfRUJJVERBX0lCKCdMVE1TJywzOTU4OSk=&amp;WINDOW=FIRST_POPUP&amp;HEIGHT=450&amp;WIDTH=450&amp;START_MA","XIMIZED=FALSE&amp;VAR:CALENDAR=US&amp;VAR:SYMBOL=05614P10&amp;VAR:INDEX=0"}</definedName>
    <definedName name="_2469__FDSAUDITLINK__" localSheetId="6" hidden="1">{"fdsup://directions/FAT Viewer?action=UPDATE&amp;creator=factset&amp;DYN_ARGS=TRUE&amp;DOC_NAME=FAT:FQL_AUDITING_CLIENT_TEMPLATE.FAT&amp;display_string=Audit&amp;VAR:KEY=FGRGXUFMZK&amp;VAR:QUERY=RkZfRUJJVERBX0lCKCdMVE1TJywzOTU4OCk=&amp;WINDOW=FIRST_POPUP&amp;HEIGHT=450&amp;WIDTH=450&amp;START_MA","XIMIZED=FALSE&amp;VAR:CALENDAR=US&amp;VAR:SYMBOL=05614P10&amp;VAR:INDEX=0"}</definedName>
    <definedName name="_2469__FDSAUDITLINK__" hidden="1">{"fdsup://directions/FAT Viewer?action=UPDATE&amp;creator=factset&amp;DYN_ARGS=TRUE&amp;DOC_NAME=FAT:FQL_AUDITING_CLIENT_TEMPLATE.FAT&amp;display_string=Audit&amp;VAR:KEY=FGRGXUFMZK&amp;VAR:QUERY=RkZfRUJJVERBX0lCKCdMVE1TJywzOTU4OCk=&amp;WINDOW=FIRST_POPUP&amp;HEIGHT=450&amp;WIDTH=450&amp;START_MA","XIMIZED=FALSE&amp;VAR:CALENDAR=US&amp;VAR:SYMBOL=05614P10&amp;VAR:INDEX=0"}</definedName>
    <definedName name="_247__FDSAUDITLINK__" localSheetId="6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7__FDSAUDITLINK__" hidden="1">{"fdsup://directions/FAT%20Viewer?VAR:PED=LTM&amp;VAR:AUDIT_MODE=SUMMARY&amp;VAR:PERIOD=FIXED&amp;VAR:AUDIT_ID=00000117&amp;VAR:DATE=20090619&amp;action=UPDATE&amp;creator=factset&amp;DOC_NAME=FAT:FMA_audit_SUMMARY.fat&amp;DISPLAY_STRING=Display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70__FDSAUDITLINK__" localSheetId="6" hidden="1">{"fdsup://directions/FAT Viewer?action=UPDATE&amp;creator=factset&amp;DYN_ARGS=TRUE&amp;DOC_NAME=FAT:FQL_AUDITING_CLIENT_TEMPLATE.FAT&amp;display_string=Audit&amp;VAR:KEY=LAZCDQNQJE&amp;VAR:QUERY=RkZfRUJJVERBX0lCKCdMVE1TJywzOTU4Nyk=&amp;WINDOW=FIRST_POPUP&amp;HEIGHT=450&amp;WIDTH=450&amp;START_MA","XIMIZED=FALSE&amp;VAR:CALENDAR=US&amp;VAR:SYMBOL=05614P10&amp;VAR:INDEX=0"}</definedName>
    <definedName name="_2470__FDSAUDITLINK__" hidden="1">{"fdsup://directions/FAT Viewer?action=UPDATE&amp;creator=factset&amp;DYN_ARGS=TRUE&amp;DOC_NAME=FAT:FQL_AUDITING_CLIENT_TEMPLATE.FAT&amp;display_string=Audit&amp;VAR:KEY=LAZCDQNQJE&amp;VAR:QUERY=RkZfRUJJVERBX0lCKCdMVE1TJywzOTU4Nyk=&amp;WINDOW=FIRST_POPUP&amp;HEIGHT=450&amp;WIDTH=450&amp;START_MA","XIMIZED=FALSE&amp;VAR:CALENDAR=US&amp;VAR:SYMBOL=05614P10&amp;VAR:INDEX=0"}</definedName>
    <definedName name="_2471__FDSAUDITLINK__" localSheetId="6" hidden="1">{"fdsup://directions/FAT Viewer?action=UPDATE&amp;creator=factset&amp;DYN_ARGS=TRUE&amp;DOC_NAME=FAT:FQL_AUDITING_CLIENT_TEMPLATE.FAT&amp;display_string=Audit&amp;VAR:KEY=XATQRWPOZQ&amp;VAR:QUERY=RkZfRUJJVERBX0lCKCdMVE1TJywzOTU4Nik=&amp;WINDOW=FIRST_POPUP&amp;HEIGHT=450&amp;WIDTH=450&amp;START_MA","XIMIZED=FALSE&amp;VAR:CALENDAR=US&amp;VAR:SYMBOL=05614P10&amp;VAR:INDEX=0"}</definedName>
    <definedName name="_2471__FDSAUDITLINK__" hidden="1">{"fdsup://directions/FAT Viewer?action=UPDATE&amp;creator=factset&amp;DYN_ARGS=TRUE&amp;DOC_NAME=FAT:FQL_AUDITING_CLIENT_TEMPLATE.FAT&amp;display_string=Audit&amp;VAR:KEY=XATQRWPOZQ&amp;VAR:QUERY=RkZfRUJJVERBX0lCKCdMVE1TJywzOTU4Nik=&amp;WINDOW=FIRST_POPUP&amp;HEIGHT=450&amp;WIDTH=450&amp;START_MA","XIMIZED=FALSE&amp;VAR:CALENDAR=US&amp;VAR:SYMBOL=05614P10&amp;VAR:INDEX=0"}</definedName>
    <definedName name="_2472__FDSAUDITLINK__" localSheetId="6" hidden="1">{"fdsup://directions/FAT Viewer?action=UPDATE&amp;creator=factset&amp;DYN_ARGS=TRUE&amp;DOC_NAME=FAT:FQL_AUDITING_CLIENT_TEMPLATE.FAT&amp;display_string=Audit&amp;VAR:KEY=XKZKVYFWXK&amp;VAR:QUERY=RkZfRUJJVERBX0lCKCdMVE1TJywzOTU4NSk=&amp;WINDOW=FIRST_POPUP&amp;HEIGHT=450&amp;WIDTH=450&amp;START_MA","XIMIZED=FALSE&amp;VAR:CALENDAR=US&amp;VAR:SYMBOL=05614P10&amp;VAR:INDEX=0"}</definedName>
    <definedName name="_2472__FDSAUDITLINK__" hidden="1">{"fdsup://directions/FAT Viewer?action=UPDATE&amp;creator=factset&amp;DYN_ARGS=TRUE&amp;DOC_NAME=FAT:FQL_AUDITING_CLIENT_TEMPLATE.FAT&amp;display_string=Audit&amp;VAR:KEY=XKZKVYFWXK&amp;VAR:QUERY=RkZfRUJJVERBX0lCKCdMVE1TJywzOTU4NSk=&amp;WINDOW=FIRST_POPUP&amp;HEIGHT=450&amp;WIDTH=450&amp;START_MA","XIMIZED=FALSE&amp;VAR:CALENDAR=US&amp;VAR:SYMBOL=05614P10&amp;VAR:INDEX=0"}</definedName>
    <definedName name="_2473__FDSAUDITLINK__" localSheetId="6" hidden="1">{"fdsup://directions/FAT Viewer?action=UPDATE&amp;creator=factset&amp;DYN_ARGS=TRUE&amp;DOC_NAME=FAT:FQL_AUDITING_CLIENT_TEMPLATE.FAT&amp;display_string=Audit&amp;VAR:KEY=RIHKXWNADA&amp;VAR:QUERY=RkZfRUJJVERBX0lCKCdMVE1TJywzOTU4NCk=&amp;WINDOW=FIRST_POPUP&amp;HEIGHT=450&amp;WIDTH=450&amp;START_MA","XIMIZED=FALSE&amp;VAR:CALENDAR=US&amp;VAR:SYMBOL=05614P10&amp;VAR:INDEX=0"}</definedName>
    <definedName name="_2473__FDSAUDITLINK__" hidden="1">{"fdsup://directions/FAT Viewer?action=UPDATE&amp;creator=factset&amp;DYN_ARGS=TRUE&amp;DOC_NAME=FAT:FQL_AUDITING_CLIENT_TEMPLATE.FAT&amp;display_string=Audit&amp;VAR:KEY=RIHKXWNADA&amp;VAR:QUERY=RkZfRUJJVERBX0lCKCdMVE1TJywzOTU4NCk=&amp;WINDOW=FIRST_POPUP&amp;HEIGHT=450&amp;WIDTH=450&amp;START_MA","XIMIZED=FALSE&amp;VAR:CALENDAR=US&amp;VAR:SYMBOL=05614P10&amp;VAR:INDEX=0"}</definedName>
    <definedName name="_2474__FDSAUDITLINK__" localSheetId="6" hidden="1">{"fdsup://directions/FAT Viewer?action=UPDATE&amp;creator=factset&amp;DYN_ARGS=TRUE&amp;DOC_NAME=FAT:FQL_AUDITING_CLIENT_TEMPLATE.FAT&amp;display_string=Audit&amp;VAR:KEY=NIZODIPQDY&amp;VAR:QUERY=RkZfRUJJVERBX0lCKCdMVE1TJywzOTU4Myk=&amp;WINDOW=FIRST_POPUP&amp;HEIGHT=450&amp;WIDTH=450&amp;START_MA","XIMIZED=FALSE&amp;VAR:CALENDAR=US&amp;VAR:SYMBOL=05614P10&amp;VAR:INDEX=0"}</definedName>
    <definedName name="_2474__FDSAUDITLINK__" hidden="1">{"fdsup://directions/FAT Viewer?action=UPDATE&amp;creator=factset&amp;DYN_ARGS=TRUE&amp;DOC_NAME=FAT:FQL_AUDITING_CLIENT_TEMPLATE.FAT&amp;display_string=Audit&amp;VAR:KEY=NIZODIPQDY&amp;VAR:QUERY=RkZfRUJJVERBX0lCKCdMVE1TJywzOTU4Myk=&amp;WINDOW=FIRST_POPUP&amp;HEIGHT=450&amp;WIDTH=450&amp;START_MA","XIMIZED=FALSE&amp;VAR:CALENDAR=US&amp;VAR:SYMBOL=05614P10&amp;VAR:INDEX=0"}</definedName>
    <definedName name="_2475__FDSAUDITLINK__" localSheetId="6" hidden="1">{"fdsup://directions/FAT Viewer?action=UPDATE&amp;creator=factset&amp;DYN_ARGS=TRUE&amp;DOC_NAME=FAT:FQL_AUDITING_CLIENT_TEMPLATE.FAT&amp;display_string=Audit&amp;VAR:KEY=TYXATOBWXY&amp;VAR:QUERY=RkZfRUJJVERBX0lCKCdMVE1TJywzOTU4Mik=&amp;WINDOW=FIRST_POPUP&amp;HEIGHT=450&amp;WIDTH=450&amp;START_MA","XIMIZED=FALSE&amp;VAR:CALENDAR=US&amp;VAR:SYMBOL=05614P10&amp;VAR:INDEX=0"}</definedName>
    <definedName name="_2475__FDSAUDITLINK__" hidden="1">{"fdsup://directions/FAT Viewer?action=UPDATE&amp;creator=factset&amp;DYN_ARGS=TRUE&amp;DOC_NAME=FAT:FQL_AUDITING_CLIENT_TEMPLATE.FAT&amp;display_string=Audit&amp;VAR:KEY=TYXATOBWXY&amp;VAR:QUERY=RkZfRUJJVERBX0lCKCdMVE1TJywzOTU4Mik=&amp;WINDOW=FIRST_POPUP&amp;HEIGHT=450&amp;WIDTH=450&amp;START_MA","XIMIZED=FALSE&amp;VAR:CALENDAR=US&amp;VAR:SYMBOL=05614P10&amp;VAR:INDEX=0"}</definedName>
    <definedName name="_2476__FDSAUDITLINK__" localSheetId="6" hidden="1">{"fdsup://directions/FAT Viewer?action=UPDATE&amp;creator=factset&amp;DYN_ARGS=TRUE&amp;DOC_NAME=FAT:FQL_AUDITING_CLIENT_TEMPLATE.FAT&amp;display_string=Audit&amp;VAR:KEY=DMJIFQHMPM&amp;VAR:QUERY=RkZfRUJJVERBX0lCKCdMVE1TJywzOTU4MSk=&amp;WINDOW=FIRST_POPUP&amp;HEIGHT=450&amp;WIDTH=450&amp;START_MA","XIMIZED=FALSE&amp;VAR:CALENDAR=US&amp;VAR:SYMBOL=05614P10&amp;VAR:INDEX=0"}</definedName>
    <definedName name="_2476__FDSAUDITLINK__" hidden="1">{"fdsup://directions/FAT Viewer?action=UPDATE&amp;creator=factset&amp;DYN_ARGS=TRUE&amp;DOC_NAME=FAT:FQL_AUDITING_CLIENT_TEMPLATE.FAT&amp;display_string=Audit&amp;VAR:KEY=DMJIFQHMPM&amp;VAR:QUERY=RkZfRUJJVERBX0lCKCdMVE1TJywzOTU4MSk=&amp;WINDOW=FIRST_POPUP&amp;HEIGHT=450&amp;WIDTH=450&amp;START_MA","XIMIZED=FALSE&amp;VAR:CALENDAR=US&amp;VAR:SYMBOL=05614P10&amp;VAR:INDEX=0"}</definedName>
    <definedName name="_2477__FDSAUDITLINK__" localSheetId="6" hidden="1">{"fdsup://directions/FAT Viewer?action=UPDATE&amp;creator=factset&amp;DYN_ARGS=TRUE&amp;DOC_NAME=FAT:FQL_AUDITING_CLIENT_TEMPLATE.FAT&amp;display_string=Audit&amp;VAR:KEY=ZGTYLQZSJO&amp;VAR:QUERY=RkZfRUJJVERBX0lCKCdMVE1TJywzOTU4MCk=&amp;WINDOW=FIRST_POPUP&amp;HEIGHT=450&amp;WIDTH=450&amp;START_MA","XIMIZED=FALSE&amp;VAR:CALENDAR=US&amp;VAR:SYMBOL=05614P10&amp;VAR:INDEX=0"}</definedName>
    <definedName name="_2477__FDSAUDITLINK__" hidden="1">{"fdsup://directions/FAT Viewer?action=UPDATE&amp;creator=factset&amp;DYN_ARGS=TRUE&amp;DOC_NAME=FAT:FQL_AUDITING_CLIENT_TEMPLATE.FAT&amp;display_string=Audit&amp;VAR:KEY=ZGTYLQZSJO&amp;VAR:QUERY=RkZfRUJJVERBX0lCKCdMVE1TJywzOTU4MCk=&amp;WINDOW=FIRST_POPUP&amp;HEIGHT=450&amp;WIDTH=450&amp;START_MA","XIMIZED=FALSE&amp;VAR:CALENDAR=US&amp;VAR:SYMBOL=05614P10&amp;VAR:INDEX=0"}</definedName>
    <definedName name="_2478__FDSAUDITLINK__" localSheetId="6" hidden="1">{"fdsup://directions/FAT Viewer?action=UPDATE&amp;creator=factset&amp;DYN_ARGS=TRUE&amp;DOC_NAME=FAT:FQL_AUDITING_CLIENT_TEMPLATE.FAT&amp;display_string=Audit&amp;VAR:KEY=BUNUFWHWDS&amp;VAR:QUERY=RkZfRUJJVERBX0lCKCdMVE1TJywzOTU3OSk=&amp;WINDOW=FIRST_POPUP&amp;HEIGHT=450&amp;WIDTH=450&amp;START_MA","XIMIZED=FALSE&amp;VAR:CALENDAR=US&amp;VAR:SYMBOL=05614P10&amp;VAR:INDEX=0"}</definedName>
    <definedName name="_2478__FDSAUDITLINK__" hidden="1">{"fdsup://directions/FAT Viewer?action=UPDATE&amp;creator=factset&amp;DYN_ARGS=TRUE&amp;DOC_NAME=FAT:FQL_AUDITING_CLIENT_TEMPLATE.FAT&amp;display_string=Audit&amp;VAR:KEY=BUNUFWHWDS&amp;VAR:QUERY=RkZfRUJJVERBX0lCKCdMVE1TJywzOTU3OSk=&amp;WINDOW=FIRST_POPUP&amp;HEIGHT=450&amp;WIDTH=450&amp;START_MA","XIMIZED=FALSE&amp;VAR:CALENDAR=US&amp;VAR:SYMBOL=05614P10&amp;VAR:INDEX=0"}</definedName>
    <definedName name="_2479__FDSAUDITLINK__" localSheetId="6" hidden="1">{"fdsup://directions/FAT Viewer?action=UPDATE&amp;creator=factset&amp;DYN_ARGS=TRUE&amp;DOC_NAME=FAT:FQL_AUDITING_CLIENT_TEMPLATE.FAT&amp;display_string=Audit&amp;VAR:KEY=PMZKDYZQTU&amp;VAR:QUERY=RkZfRUJJVERBX0lCKCdMVE1TJywzOTU3OCk=&amp;WINDOW=FIRST_POPUP&amp;HEIGHT=450&amp;WIDTH=450&amp;START_MA","XIMIZED=FALSE&amp;VAR:CALENDAR=US&amp;VAR:SYMBOL=05614P10&amp;VAR:INDEX=0"}</definedName>
    <definedName name="_2479__FDSAUDITLINK__" hidden="1">{"fdsup://directions/FAT Viewer?action=UPDATE&amp;creator=factset&amp;DYN_ARGS=TRUE&amp;DOC_NAME=FAT:FQL_AUDITING_CLIENT_TEMPLATE.FAT&amp;display_string=Audit&amp;VAR:KEY=PMZKDYZQTU&amp;VAR:QUERY=RkZfRUJJVERBX0lCKCdMVE1TJywzOTU3OCk=&amp;WINDOW=FIRST_POPUP&amp;HEIGHT=450&amp;WIDTH=450&amp;START_MA","XIMIZED=FALSE&amp;VAR:CALENDAR=US&amp;VAR:SYMBOL=05614P10&amp;VAR:INDEX=0"}</definedName>
    <definedName name="_248__FDSAUDITLINK__" localSheetId="6" hidden="1">{"fdsup://directions/FAT%20Viewer?VAR:PED=LTM&amp;VAR:AUDIT_MODE=SUMMARY&amp;VAR:PERIOD=FIXED&amp;VAR:AUDIT_ID=00000117&amp;VAR:DATE=20090618&amp;action=UPDATE&amp;creator=factset&amp;DOC_NAME=FAT:FMA_audit_SUMMARY.fat&amp;DISPLAY_STRING=Display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8__FDSAUDITLINK__" hidden="1">{"fdsup://directions/FAT%20Viewer?VAR:PED=LTM&amp;VAR:AUDIT_MODE=SUMMARY&amp;VAR:PERIOD=FIXED&amp;VAR:AUDIT_ID=00000117&amp;VAR:DATE=20090618&amp;action=UPDATE&amp;creator=factset&amp;DOC_NAME=FAT:FMA_audit_SUMMARY.fat&amp;DISPLAY_STRING=Display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80__FDSAUDITLINK__" localSheetId="6" hidden="1">{"fdsup://directions/FAT Viewer?action=UPDATE&amp;creator=factset&amp;DYN_ARGS=TRUE&amp;DOC_NAME=FAT:FQL_AUDITING_CLIENT_TEMPLATE.FAT&amp;display_string=Audit&amp;VAR:KEY=XOLARIRSRS&amp;VAR:QUERY=RkZfRUJJVERBX0lCKCdMVE1TJywzOTU3Nyk=&amp;WINDOW=FIRST_POPUP&amp;HEIGHT=450&amp;WIDTH=450&amp;START_MA","XIMIZED=FALSE&amp;VAR:CALENDAR=US&amp;VAR:SYMBOL=05614P10&amp;VAR:INDEX=0"}</definedName>
    <definedName name="_2480__FDSAUDITLINK__" hidden="1">{"fdsup://directions/FAT Viewer?action=UPDATE&amp;creator=factset&amp;DYN_ARGS=TRUE&amp;DOC_NAME=FAT:FQL_AUDITING_CLIENT_TEMPLATE.FAT&amp;display_string=Audit&amp;VAR:KEY=XOLARIRSRS&amp;VAR:QUERY=RkZfRUJJVERBX0lCKCdMVE1TJywzOTU3Nyk=&amp;WINDOW=FIRST_POPUP&amp;HEIGHT=450&amp;WIDTH=450&amp;START_MA","XIMIZED=FALSE&amp;VAR:CALENDAR=US&amp;VAR:SYMBOL=05614P10&amp;VAR:INDEX=0"}</definedName>
    <definedName name="_2481__FDSAUDITLINK__" localSheetId="6" hidden="1">{"fdsup://directions/FAT Viewer?action=UPDATE&amp;creator=factset&amp;DYN_ARGS=TRUE&amp;DOC_NAME=FAT:FQL_AUDITING_CLIENT_TEMPLATE.FAT&amp;display_string=Audit&amp;VAR:KEY=FWNOREPSJM&amp;VAR:QUERY=RkZfRUJJVERBX0lCKCdMVE1TJywzOTU3Nik=&amp;WINDOW=FIRST_POPUP&amp;HEIGHT=450&amp;WIDTH=450&amp;START_MA","XIMIZED=FALSE&amp;VAR:CALENDAR=US&amp;VAR:SYMBOL=05614P10&amp;VAR:INDEX=0"}</definedName>
    <definedName name="_2481__FDSAUDITLINK__" hidden="1">{"fdsup://directions/FAT Viewer?action=UPDATE&amp;creator=factset&amp;DYN_ARGS=TRUE&amp;DOC_NAME=FAT:FQL_AUDITING_CLIENT_TEMPLATE.FAT&amp;display_string=Audit&amp;VAR:KEY=FWNOREPSJM&amp;VAR:QUERY=RkZfRUJJVERBX0lCKCdMVE1TJywzOTU3Nik=&amp;WINDOW=FIRST_POPUP&amp;HEIGHT=450&amp;WIDTH=450&amp;START_MA","XIMIZED=FALSE&amp;VAR:CALENDAR=US&amp;VAR:SYMBOL=05614P10&amp;VAR:INDEX=0"}</definedName>
    <definedName name="_2482__FDSAUDITLINK__" localSheetId="6" hidden="1">{"fdsup://directions/FAT Viewer?action=UPDATE&amp;creator=factset&amp;DYN_ARGS=TRUE&amp;DOC_NAME=FAT:FQL_AUDITING_CLIENT_TEMPLATE.FAT&amp;display_string=Audit&amp;VAR:KEY=DEDGXSZYPO&amp;VAR:QUERY=RkZfRUJJVERBX0lCKCdMVE1TJywzOTU3NSk=&amp;WINDOW=FIRST_POPUP&amp;HEIGHT=450&amp;WIDTH=450&amp;START_MA","XIMIZED=FALSE&amp;VAR:CALENDAR=US&amp;VAR:SYMBOL=05614P10&amp;VAR:INDEX=0"}</definedName>
    <definedName name="_2482__FDSAUDITLINK__" hidden="1">{"fdsup://directions/FAT Viewer?action=UPDATE&amp;creator=factset&amp;DYN_ARGS=TRUE&amp;DOC_NAME=FAT:FQL_AUDITING_CLIENT_TEMPLATE.FAT&amp;display_string=Audit&amp;VAR:KEY=DEDGXSZYPO&amp;VAR:QUERY=RkZfRUJJVERBX0lCKCdMVE1TJywzOTU3NSk=&amp;WINDOW=FIRST_POPUP&amp;HEIGHT=450&amp;WIDTH=450&amp;START_MA","XIMIZED=FALSE&amp;VAR:CALENDAR=US&amp;VAR:SYMBOL=05614P10&amp;VAR:INDEX=0"}</definedName>
    <definedName name="_2483__FDSAUDITLINK__" localSheetId="6" hidden="1">{"fdsup://directions/FAT Viewer?action=UPDATE&amp;creator=factset&amp;DYN_ARGS=TRUE&amp;DOC_NAME=FAT:FQL_AUDITING_CLIENT_TEMPLATE.FAT&amp;display_string=Audit&amp;VAR:KEY=HEBYTAZWDE&amp;VAR:QUERY=RkZfRUJJVERBX0lCKCdMVE1TJywzOTU3NCk=&amp;WINDOW=FIRST_POPUP&amp;HEIGHT=450&amp;WIDTH=450&amp;START_MA","XIMIZED=FALSE&amp;VAR:CALENDAR=US&amp;VAR:SYMBOL=05614P10&amp;VAR:INDEX=0"}</definedName>
    <definedName name="_2483__FDSAUDITLINK__" hidden="1">{"fdsup://directions/FAT Viewer?action=UPDATE&amp;creator=factset&amp;DYN_ARGS=TRUE&amp;DOC_NAME=FAT:FQL_AUDITING_CLIENT_TEMPLATE.FAT&amp;display_string=Audit&amp;VAR:KEY=HEBYTAZWDE&amp;VAR:QUERY=RkZfRUJJVERBX0lCKCdMVE1TJywzOTU3NCk=&amp;WINDOW=FIRST_POPUP&amp;HEIGHT=450&amp;WIDTH=450&amp;START_MA","XIMIZED=FALSE&amp;VAR:CALENDAR=US&amp;VAR:SYMBOL=05614P10&amp;VAR:INDEX=0"}</definedName>
    <definedName name="_2484__FDSAUDITLINK__" localSheetId="6" hidden="1">{"fdsup://directions/FAT Viewer?action=UPDATE&amp;creator=factset&amp;DYN_ARGS=TRUE&amp;DOC_NAME=FAT:FQL_AUDITING_CLIENT_TEMPLATE.FAT&amp;display_string=Audit&amp;VAR:KEY=NSBOJQRYPY&amp;VAR:QUERY=RkZfRUJJVERBX0lCKCdMVE1TJywzOTU3Myk=&amp;WINDOW=FIRST_POPUP&amp;HEIGHT=450&amp;WIDTH=450&amp;START_MA","XIMIZED=FALSE&amp;VAR:CALENDAR=US&amp;VAR:SYMBOL=05614P10&amp;VAR:INDEX=0"}</definedName>
    <definedName name="_2484__FDSAUDITLINK__" hidden="1">{"fdsup://directions/FAT Viewer?action=UPDATE&amp;creator=factset&amp;DYN_ARGS=TRUE&amp;DOC_NAME=FAT:FQL_AUDITING_CLIENT_TEMPLATE.FAT&amp;display_string=Audit&amp;VAR:KEY=NSBOJQRYPY&amp;VAR:QUERY=RkZfRUJJVERBX0lCKCdMVE1TJywzOTU3Myk=&amp;WINDOW=FIRST_POPUP&amp;HEIGHT=450&amp;WIDTH=450&amp;START_MA","XIMIZED=FALSE&amp;VAR:CALENDAR=US&amp;VAR:SYMBOL=05614P10&amp;VAR:INDEX=0"}</definedName>
    <definedName name="_2485__FDSAUDITLINK__" localSheetId="6" hidden="1">{"fdsup://directions/FAT Viewer?action=UPDATE&amp;creator=factset&amp;DYN_ARGS=TRUE&amp;DOC_NAME=FAT:FQL_AUDITING_CLIENT_TEMPLATE.FAT&amp;display_string=Audit&amp;VAR:KEY=VIPUHEVIVM&amp;VAR:QUERY=RkZfRUJJVERBX0lCKCdMVE1TJywzOTU3Mik=&amp;WINDOW=FIRST_POPUP&amp;HEIGHT=450&amp;WIDTH=450&amp;START_MA","XIMIZED=FALSE&amp;VAR:CALENDAR=US&amp;VAR:SYMBOL=05614P10&amp;VAR:INDEX=0"}</definedName>
    <definedName name="_2485__FDSAUDITLINK__" hidden="1">{"fdsup://directions/FAT Viewer?action=UPDATE&amp;creator=factset&amp;DYN_ARGS=TRUE&amp;DOC_NAME=FAT:FQL_AUDITING_CLIENT_TEMPLATE.FAT&amp;display_string=Audit&amp;VAR:KEY=VIPUHEVIVM&amp;VAR:QUERY=RkZfRUJJVERBX0lCKCdMVE1TJywzOTU3Mik=&amp;WINDOW=FIRST_POPUP&amp;HEIGHT=450&amp;WIDTH=450&amp;START_MA","XIMIZED=FALSE&amp;VAR:CALENDAR=US&amp;VAR:SYMBOL=05614P10&amp;VAR:INDEX=0"}</definedName>
    <definedName name="_2486__FDSAUDITLINK__" localSheetId="6" hidden="1">{"fdsup://directions/FAT Viewer?action=UPDATE&amp;creator=factset&amp;DYN_ARGS=TRUE&amp;DOC_NAME=FAT:FQL_AUDITING_CLIENT_TEMPLATE.FAT&amp;display_string=Audit&amp;VAR:KEY=RGRSXUTELG&amp;VAR:QUERY=RkZfRUJJVERBX0lCKCdMVE1TJywzOTU3MSk=&amp;WINDOW=FIRST_POPUP&amp;HEIGHT=450&amp;WIDTH=450&amp;START_MA","XIMIZED=FALSE&amp;VAR:CALENDAR=US&amp;VAR:SYMBOL=05614P10&amp;VAR:INDEX=0"}</definedName>
    <definedName name="_2486__FDSAUDITLINK__" hidden="1">{"fdsup://directions/FAT Viewer?action=UPDATE&amp;creator=factset&amp;DYN_ARGS=TRUE&amp;DOC_NAME=FAT:FQL_AUDITING_CLIENT_TEMPLATE.FAT&amp;display_string=Audit&amp;VAR:KEY=RGRSXUTELG&amp;VAR:QUERY=RkZfRUJJVERBX0lCKCdMVE1TJywzOTU3MSk=&amp;WINDOW=FIRST_POPUP&amp;HEIGHT=450&amp;WIDTH=450&amp;START_MA","XIMIZED=FALSE&amp;VAR:CALENDAR=US&amp;VAR:SYMBOL=05614P10&amp;VAR:INDEX=0"}</definedName>
    <definedName name="_2487__FDSAUDITLINK__" localSheetId="6" hidden="1">{"fdsup://directions/FAT Viewer?action=UPDATE&amp;creator=factset&amp;DYN_ARGS=TRUE&amp;DOC_NAME=FAT:FQL_AUDITING_CLIENT_TEMPLATE.FAT&amp;display_string=Audit&amp;VAR:KEY=PYHWTIHGLY&amp;VAR:QUERY=RkZfRUJJVERBX0lCKCdMVE1TJywzOTU3MCk=&amp;WINDOW=FIRST_POPUP&amp;HEIGHT=450&amp;WIDTH=450&amp;START_MA","XIMIZED=FALSE&amp;VAR:CALENDAR=US&amp;VAR:SYMBOL=05614P10&amp;VAR:INDEX=0"}</definedName>
    <definedName name="_2487__FDSAUDITLINK__" hidden="1">{"fdsup://directions/FAT Viewer?action=UPDATE&amp;creator=factset&amp;DYN_ARGS=TRUE&amp;DOC_NAME=FAT:FQL_AUDITING_CLIENT_TEMPLATE.FAT&amp;display_string=Audit&amp;VAR:KEY=PYHWTIHGLY&amp;VAR:QUERY=RkZfRUJJVERBX0lCKCdMVE1TJywzOTU3MCk=&amp;WINDOW=FIRST_POPUP&amp;HEIGHT=450&amp;WIDTH=450&amp;START_MA","XIMIZED=FALSE&amp;VAR:CALENDAR=US&amp;VAR:SYMBOL=05614P10&amp;VAR:INDEX=0"}</definedName>
    <definedName name="_2488__FDSAUDITLINK__" localSheetId="6" hidden="1">{"fdsup://directions/FAT Viewer?action=UPDATE&amp;creator=factset&amp;DYN_ARGS=TRUE&amp;DOC_NAME=FAT:FQL_AUDITING_CLIENT_TEMPLATE.FAT&amp;display_string=Audit&amp;VAR:KEY=LAHCDQRYBU&amp;VAR:QUERY=RkZfRUJJVERBX0lCKCdMVE1TJywzOTU2OSk=&amp;WINDOW=FIRST_POPUP&amp;HEIGHT=450&amp;WIDTH=450&amp;START_MA","XIMIZED=FALSE&amp;VAR:CALENDAR=US&amp;VAR:SYMBOL=05614P10&amp;VAR:INDEX=0"}</definedName>
    <definedName name="_2488__FDSAUDITLINK__" hidden="1">{"fdsup://directions/FAT Viewer?action=UPDATE&amp;creator=factset&amp;DYN_ARGS=TRUE&amp;DOC_NAME=FAT:FQL_AUDITING_CLIENT_TEMPLATE.FAT&amp;display_string=Audit&amp;VAR:KEY=LAHCDQRYBU&amp;VAR:QUERY=RkZfRUJJVERBX0lCKCdMVE1TJywzOTU2OSk=&amp;WINDOW=FIRST_POPUP&amp;HEIGHT=450&amp;WIDTH=450&amp;START_MA","XIMIZED=FALSE&amp;VAR:CALENDAR=US&amp;VAR:SYMBOL=05614P10&amp;VAR:INDEX=0"}</definedName>
    <definedName name="_2489__FDSAUDITLINK__" localSheetId="6" hidden="1">{"fdsup://directions/FAT Viewer?action=UPDATE&amp;creator=factset&amp;DYN_ARGS=TRUE&amp;DOC_NAME=FAT:FQL_AUDITING_CLIENT_TEMPLATE.FAT&amp;display_string=Audit&amp;VAR:KEY=LCLMBCPWPS&amp;VAR:QUERY=RkZfRUJJVERBX0lCKCdMVE1TJywzOTU2OCk=&amp;WINDOW=FIRST_POPUP&amp;HEIGHT=450&amp;WIDTH=450&amp;START_MA","XIMIZED=FALSE&amp;VAR:CALENDAR=US&amp;VAR:SYMBOL=05614P10&amp;VAR:INDEX=0"}</definedName>
    <definedName name="_2489__FDSAUDITLINK__" hidden="1">{"fdsup://directions/FAT Viewer?action=UPDATE&amp;creator=factset&amp;DYN_ARGS=TRUE&amp;DOC_NAME=FAT:FQL_AUDITING_CLIENT_TEMPLATE.FAT&amp;display_string=Audit&amp;VAR:KEY=LCLMBCPWPS&amp;VAR:QUERY=RkZfRUJJVERBX0lCKCdMVE1TJywzOTU2OCk=&amp;WINDOW=FIRST_POPUP&amp;HEIGHT=450&amp;WIDTH=450&amp;START_MA","XIMIZED=FALSE&amp;VAR:CALENDAR=US&amp;VAR:SYMBOL=05614P10&amp;VAR:INDEX=0"}</definedName>
    <definedName name="_249__FDSAUDITLINK__" localSheetId="6" hidden="1">{"fdsup://directions/FAT%20Viewer?VAR:PED=LTM&amp;VAR:AUDIT_MODE=SUMMARY&amp;VAR:PERIOD=FIXED&amp;VAR:AUDIT_ID=00000117&amp;VAR:DATE=20090617&amp;action=UPDATE&amp;creator=factset&amp;DOC_NAME=FAT:FMA_audit_SUMMARY.fat&amp;DISPLAY_STRING=Display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9__FDSAUDITLINK__" hidden="1">{"fdsup://directions/FAT%20Viewer?VAR:PED=LTM&amp;VAR:AUDIT_MODE=SUMMARY&amp;VAR:PERIOD=FIXED&amp;VAR:AUDIT_ID=00000117&amp;VAR:DATE=20090617&amp;action=UPDATE&amp;creator=factset&amp;DOC_NAME=FAT:FMA_audit_SUMMARY.fat&amp;DISPLAY_STRING=Display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490__FDSAUDITLINK__" localSheetId="6" hidden="1">{"fdsup://directions/FAT Viewer?action=UPDATE&amp;creator=factset&amp;DYN_ARGS=TRUE&amp;DOC_NAME=FAT:FQL_AUDITING_CLIENT_TEMPLATE.FAT&amp;display_string=Audit&amp;VAR:KEY=XEDOLOHYXG&amp;VAR:QUERY=RkZfRUJJVERBX0lCKCdMVE1TJywzOTU2Nyk=&amp;WINDOW=FIRST_POPUP&amp;HEIGHT=450&amp;WIDTH=450&amp;START_MA","XIMIZED=FALSE&amp;VAR:CALENDAR=US&amp;VAR:SYMBOL=05614P10&amp;VAR:INDEX=0"}</definedName>
    <definedName name="_2490__FDSAUDITLINK__" hidden="1">{"fdsup://directions/FAT Viewer?action=UPDATE&amp;creator=factset&amp;DYN_ARGS=TRUE&amp;DOC_NAME=FAT:FQL_AUDITING_CLIENT_TEMPLATE.FAT&amp;display_string=Audit&amp;VAR:KEY=XEDOLOHYXG&amp;VAR:QUERY=RkZfRUJJVERBX0lCKCdMVE1TJywzOTU2Nyk=&amp;WINDOW=FIRST_POPUP&amp;HEIGHT=450&amp;WIDTH=450&amp;START_MA","XIMIZED=FALSE&amp;VAR:CALENDAR=US&amp;VAR:SYMBOL=05614P10&amp;VAR:INDEX=0"}</definedName>
    <definedName name="_2491__FDSAUDITLINK__" localSheetId="6" hidden="1">{"fdsup://directions/FAT Viewer?action=UPDATE&amp;creator=factset&amp;DYN_ARGS=TRUE&amp;DOC_NAME=FAT:FQL_AUDITING_CLIENT_TEMPLATE.FAT&amp;display_string=Audit&amp;VAR:KEY=HSNAJSVSHM&amp;VAR:QUERY=RkZfRUJJVERBX0lCKCdMVE1TJywzOTU2Nik=&amp;WINDOW=FIRST_POPUP&amp;HEIGHT=450&amp;WIDTH=450&amp;START_MA","XIMIZED=FALSE&amp;VAR:CALENDAR=US&amp;VAR:SYMBOL=05614P10&amp;VAR:INDEX=0"}</definedName>
    <definedName name="_2491__FDSAUDITLINK__" hidden="1">{"fdsup://directions/FAT Viewer?action=UPDATE&amp;creator=factset&amp;DYN_ARGS=TRUE&amp;DOC_NAME=FAT:FQL_AUDITING_CLIENT_TEMPLATE.FAT&amp;display_string=Audit&amp;VAR:KEY=HSNAJSVSHM&amp;VAR:QUERY=RkZfRUJJVERBX0lCKCdMVE1TJywzOTU2Nik=&amp;WINDOW=FIRST_POPUP&amp;HEIGHT=450&amp;WIDTH=450&amp;START_MA","XIMIZED=FALSE&amp;VAR:CALENDAR=US&amp;VAR:SYMBOL=05614P10&amp;VAR:INDEX=0"}</definedName>
    <definedName name="_2492__FDSAUDITLINK__" localSheetId="6" hidden="1">{"fdsup://directions/FAT Viewer?action=UPDATE&amp;creator=factset&amp;DYN_ARGS=TRUE&amp;DOC_NAME=FAT:FQL_AUDITING_CLIENT_TEMPLATE.FAT&amp;display_string=Audit&amp;VAR:KEY=PGNKVWPWVS&amp;VAR:QUERY=RkZfRUJJVERBX0lCKCdMVE1TJywzOTU2NSk=&amp;WINDOW=FIRST_POPUP&amp;HEIGHT=450&amp;WIDTH=450&amp;START_MA","XIMIZED=FALSE&amp;VAR:CALENDAR=US&amp;VAR:SYMBOL=05614P10&amp;VAR:INDEX=0"}</definedName>
    <definedName name="_2492__FDSAUDITLINK__" hidden="1">{"fdsup://directions/FAT Viewer?action=UPDATE&amp;creator=factset&amp;DYN_ARGS=TRUE&amp;DOC_NAME=FAT:FQL_AUDITING_CLIENT_TEMPLATE.FAT&amp;display_string=Audit&amp;VAR:KEY=PGNKVWPWVS&amp;VAR:QUERY=RkZfRUJJVERBX0lCKCdMVE1TJywzOTU2NSk=&amp;WINDOW=FIRST_POPUP&amp;HEIGHT=450&amp;WIDTH=450&amp;START_MA","XIMIZED=FALSE&amp;VAR:CALENDAR=US&amp;VAR:SYMBOL=05614P10&amp;VAR:INDEX=0"}</definedName>
    <definedName name="_2493__FDSAUDITLINK__" localSheetId="6" hidden="1">{"fdsup://directions/FAT Viewer?action=UPDATE&amp;creator=factset&amp;DYN_ARGS=TRUE&amp;DOC_NAME=FAT:FQL_AUDITING_CLIENT_TEMPLATE.FAT&amp;display_string=Audit&amp;VAR:KEY=HCDIDYPUFE&amp;VAR:QUERY=RkZfRUJJVERBX0lCKCdMVE1TJywzOTU2NCk=&amp;WINDOW=FIRST_POPUP&amp;HEIGHT=450&amp;WIDTH=450&amp;START_MA","XIMIZED=FALSE&amp;VAR:CALENDAR=US&amp;VAR:SYMBOL=05614P10&amp;VAR:INDEX=0"}</definedName>
    <definedName name="_2493__FDSAUDITLINK__" hidden="1">{"fdsup://directions/FAT Viewer?action=UPDATE&amp;creator=factset&amp;DYN_ARGS=TRUE&amp;DOC_NAME=FAT:FQL_AUDITING_CLIENT_TEMPLATE.FAT&amp;display_string=Audit&amp;VAR:KEY=HCDIDYPUFE&amp;VAR:QUERY=RkZfRUJJVERBX0lCKCdMVE1TJywzOTU2NCk=&amp;WINDOW=FIRST_POPUP&amp;HEIGHT=450&amp;WIDTH=450&amp;START_MA","XIMIZED=FALSE&amp;VAR:CALENDAR=US&amp;VAR:SYMBOL=05614P10&amp;VAR:INDEX=0"}</definedName>
    <definedName name="_2494__FDSAUDITLINK__" localSheetId="6" hidden="1">{"fdsup://directions/FAT Viewer?action=UPDATE&amp;creator=factset&amp;DYN_ARGS=TRUE&amp;DOC_NAME=FAT:FQL_AUDITING_CLIENT_TEMPLATE.FAT&amp;display_string=Audit&amp;VAR:KEY=JKJKNETWNU&amp;VAR:QUERY=RkZfRUJJVERBX0lCKCdMVE1TJywzOTU2Myk=&amp;WINDOW=FIRST_POPUP&amp;HEIGHT=450&amp;WIDTH=450&amp;START_MA","XIMIZED=FALSE&amp;VAR:CALENDAR=US&amp;VAR:SYMBOL=05614P10&amp;VAR:INDEX=0"}</definedName>
    <definedName name="_2494__FDSAUDITLINK__" hidden="1">{"fdsup://directions/FAT Viewer?action=UPDATE&amp;creator=factset&amp;DYN_ARGS=TRUE&amp;DOC_NAME=FAT:FQL_AUDITING_CLIENT_TEMPLATE.FAT&amp;display_string=Audit&amp;VAR:KEY=JKJKNETWNU&amp;VAR:QUERY=RkZfRUJJVERBX0lCKCdMVE1TJywzOTU2Myk=&amp;WINDOW=FIRST_POPUP&amp;HEIGHT=450&amp;WIDTH=450&amp;START_MA","XIMIZED=FALSE&amp;VAR:CALENDAR=US&amp;VAR:SYMBOL=05614P10&amp;VAR:INDEX=0"}</definedName>
    <definedName name="_2495__FDSAUDITLINK__" localSheetId="6" hidden="1">{"fdsup://directions/FAT Viewer?action=UPDATE&amp;creator=factset&amp;DYN_ARGS=TRUE&amp;DOC_NAME=FAT:FQL_AUDITING_CLIENT_TEMPLATE.FAT&amp;display_string=Audit&amp;VAR:KEY=TABQZGBOLQ&amp;VAR:QUERY=RkZfRUJJVERBX0lCKCdMVE1TJywzOTU2Mik=&amp;WINDOW=FIRST_POPUP&amp;HEIGHT=450&amp;WIDTH=450&amp;START_MA","XIMIZED=FALSE&amp;VAR:CALENDAR=US&amp;VAR:SYMBOL=05614P10&amp;VAR:INDEX=0"}</definedName>
    <definedName name="_2495__FDSAUDITLINK__" hidden="1">{"fdsup://directions/FAT Viewer?action=UPDATE&amp;creator=factset&amp;DYN_ARGS=TRUE&amp;DOC_NAME=FAT:FQL_AUDITING_CLIENT_TEMPLATE.FAT&amp;display_string=Audit&amp;VAR:KEY=TABQZGBOLQ&amp;VAR:QUERY=RkZfRUJJVERBX0lCKCdMVE1TJywzOTU2Mik=&amp;WINDOW=FIRST_POPUP&amp;HEIGHT=450&amp;WIDTH=450&amp;START_MA","XIMIZED=FALSE&amp;VAR:CALENDAR=US&amp;VAR:SYMBOL=05614P10&amp;VAR:INDEX=0"}</definedName>
    <definedName name="_2496__FDSAUDITLINK__" localSheetId="6" hidden="1">{"fdsup://directions/FAT Viewer?action=UPDATE&amp;creator=factset&amp;DYN_ARGS=TRUE&amp;DOC_NAME=FAT:FQL_AUDITING_CLIENT_TEMPLATE.FAT&amp;display_string=Audit&amp;VAR:KEY=PCHCVIRYHQ&amp;VAR:QUERY=RkZfRUJJVERBX0lCKCdMVE1TJywzOTU2MSk=&amp;WINDOW=FIRST_POPUP&amp;HEIGHT=450&amp;WIDTH=450&amp;START_MA","XIMIZED=FALSE&amp;VAR:CALENDAR=US&amp;VAR:SYMBOL=05614P10&amp;VAR:INDEX=0"}</definedName>
    <definedName name="_2496__FDSAUDITLINK__" hidden="1">{"fdsup://directions/FAT Viewer?action=UPDATE&amp;creator=factset&amp;DYN_ARGS=TRUE&amp;DOC_NAME=FAT:FQL_AUDITING_CLIENT_TEMPLATE.FAT&amp;display_string=Audit&amp;VAR:KEY=PCHCVIRYHQ&amp;VAR:QUERY=RkZfRUJJVERBX0lCKCdMVE1TJywzOTU2MSk=&amp;WINDOW=FIRST_POPUP&amp;HEIGHT=450&amp;WIDTH=450&amp;START_MA","XIMIZED=FALSE&amp;VAR:CALENDAR=US&amp;VAR:SYMBOL=05614P10&amp;VAR:INDEX=0"}</definedName>
    <definedName name="_2497__FDSAUDITLINK__" localSheetId="6" hidden="1">{"fdsup://directions/FAT Viewer?action=UPDATE&amp;creator=factset&amp;DYN_ARGS=TRUE&amp;DOC_NAME=FAT:FQL_AUDITING_CLIENT_TEMPLATE.FAT&amp;display_string=Audit&amp;VAR:KEY=PEBQVIHMNU&amp;VAR:QUERY=RkZfRUJJVERBX0lCKCdMVE1TJywzOTU2MCk=&amp;WINDOW=FIRST_POPUP&amp;HEIGHT=450&amp;WIDTH=450&amp;START_MA","XIMIZED=FALSE&amp;VAR:CALENDAR=US&amp;VAR:SYMBOL=05614P10&amp;VAR:INDEX=0"}</definedName>
    <definedName name="_2497__FDSAUDITLINK__" hidden="1">{"fdsup://directions/FAT Viewer?action=UPDATE&amp;creator=factset&amp;DYN_ARGS=TRUE&amp;DOC_NAME=FAT:FQL_AUDITING_CLIENT_TEMPLATE.FAT&amp;display_string=Audit&amp;VAR:KEY=PEBQVIHMNU&amp;VAR:QUERY=RkZfRUJJVERBX0lCKCdMVE1TJywzOTU2MCk=&amp;WINDOW=FIRST_POPUP&amp;HEIGHT=450&amp;WIDTH=450&amp;START_MA","XIMIZED=FALSE&amp;VAR:CALENDAR=US&amp;VAR:SYMBOL=05614P10&amp;VAR:INDEX=0"}</definedName>
    <definedName name="_2498__FDSAUDITLINK__" localSheetId="6" hidden="1">{"fdsup://directions/FAT Viewer?action=UPDATE&amp;creator=factset&amp;DYN_ARGS=TRUE&amp;DOC_NAME=FAT:FQL_AUDITING_CLIENT_TEMPLATE.FAT&amp;display_string=Audit&amp;VAR:KEY=RMRCXSZGXI&amp;VAR:QUERY=RkZfRUJJVERBX0lCKCdMVE1TJywzOTU1OSk=&amp;WINDOW=FIRST_POPUP&amp;HEIGHT=450&amp;WIDTH=450&amp;START_MA","XIMIZED=FALSE&amp;VAR:CALENDAR=US&amp;VAR:SYMBOL=05614P10&amp;VAR:INDEX=0"}</definedName>
    <definedName name="_2498__FDSAUDITLINK__" hidden="1">{"fdsup://directions/FAT Viewer?action=UPDATE&amp;creator=factset&amp;DYN_ARGS=TRUE&amp;DOC_NAME=FAT:FQL_AUDITING_CLIENT_TEMPLATE.FAT&amp;display_string=Audit&amp;VAR:KEY=RMRCXSZGXI&amp;VAR:QUERY=RkZfRUJJVERBX0lCKCdMVE1TJywzOTU1OSk=&amp;WINDOW=FIRST_POPUP&amp;HEIGHT=450&amp;WIDTH=450&amp;START_MA","XIMIZED=FALSE&amp;VAR:CALENDAR=US&amp;VAR:SYMBOL=05614P10&amp;VAR:INDEX=0"}</definedName>
    <definedName name="_2499__FDSAUDITLINK__" localSheetId="6" hidden="1">{"fdsup://directions/FAT Viewer?action=UPDATE&amp;creator=factset&amp;DYN_ARGS=TRUE&amp;DOC_NAME=FAT:FQL_AUDITING_CLIENT_TEMPLATE.FAT&amp;display_string=Audit&amp;VAR:KEY=TSHCDKTYXW&amp;VAR:QUERY=RkZfRUJJVERBX0lCKCdMVE1TJywzOTU1OCk=&amp;WINDOW=FIRST_POPUP&amp;HEIGHT=450&amp;WIDTH=450&amp;START_MA","XIMIZED=FALSE&amp;VAR:CALENDAR=US&amp;VAR:SYMBOL=05614P10&amp;VAR:INDEX=0"}</definedName>
    <definedName name="_2499__FDSAUDITLINK__" hidden="1">{"fdsup://directions/FAT Viewer?action=UPDATE&amp;creator=factset&amp;DYN_ARGS=TRUE&amp;DOC_NAME=FAT:FQL_AUDITING_CLIENT_TEMPLATE.FAT&amp;display_string=Audit&amp;VAR:KEY=TSHCDKTYXW&amp;VAR:QUERY=RkZfRUJJVERBX0lCKCdMVE1TJywzOTU1OCk=&amp;WINDOW=FIRST_POPUP&amp;HEIGHT=450&amp;WIDTH=450&amp;START_MA","XIMIZED=FALSE&amp;VAR:CALENDAR=US&amp;VAR:SYMBOL=05614P10&amp;VAR:INDEX=0"}</definedName>
    <definedName name="_25__FDSAUDITLINK__" localSheetId="6" hidden="1">{"fdsup://directions/FAT Viewer?action=UPDATE&amp;creator=factset&amp;DYN_ARGS=TRUE&amp;DOC_NAME=FAT:FQL_AUDITING_CLIENT_TEMPLATE.FAT&amp;display_string=Audit&amp;VAR:KEY=UDWPANINYJ&amp;VAR:QUERY=QVZHKENTRl9ORVRfSU5DKEFOTiwwRlksLTZGWSxZKSkgLyAoQVZHKENTRl9BU1NFVFMoQU5OLDBGWSwtNkZZL","EZZKSkgLSBBVkcoQ1NGX0lOVEFORyhBTk4sMCwtNkZZLEZZKSkp&amp;WINDOW=FIRST_POPUP&amp;HEIGHT=450&amp;WIDTH=450&amp;START_MAXIMIZED=FALSE&amp;VAR:CALENDAR=US&amp;VAR:SYMBOL=210972"}</definedName>
    <definedName name="_25__FDSAUDITLINK__" hidden="1">{"fdsup://directions/FAT Viewer?action=UPDATE&amp;creator=factset&amp;DYN_ARGS=TRUE&amp;DOC_NAME=FAT:FQL_AUDITING_CLIENT_TEMPLATE.FAT&amp;display_string=Audit&amp;VAR:KEY=UDWPANINYJ&amp;VAR:QUERY=QVZHKENTRl9ORVRfSU5DKEFOTiwwRlksLTZGWSxZKSkgLyAoQVZHKENTRl9BU1NFVFMoQU5OLDBGWSwtNkZZL","EZZKSkgLSBBVkcoQ1NGX0lOVEFORyhBTk4sMCwtNkZZLEZZKSkp&amp;WINDOW=FIRST_POPUP&amp;HEIGHT=450&amp;WIDTH=450&amp;START_MAXIMIZED=FALSE&amp;VAR:CALENDAR=US&amp;VAR:SYMBOL=210972"}</definedName>
    <definedName name="_250__FDSAUDITLINK__" localSheetId="6" hidden="1">{"fdsup://directions/FAT%20Viewer?VAR:PED=LTM&amp;VAR:AUDIT_MODE=SUMMARY&amp;VAR:PERIOD=FIXED&amp;VAR:AUDIT_ID=00000117&amp;VAR:DATE=20090616&amp;action=UPDATE&amp;creator=factset&amp;DOC_NAME=FAT:FMA_audit_SUMMARY.fat&amp;DISPLAY_STRING=Display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0__FDSAUDITLINK__" hidden="1">{"fdsup://directions/FAT%20Viewer?VAR:PED=LTM&amp;VAR:AUDIT_MODE=SUMMARY&amp;VAR:PERIOD=FIXED&amp;VAR:AUDIT_ID=00000117&amp;VAR:DATE=20090616&amp;action=UPDATE&amp;creator=factset&amp;DOC_NAME=FAT:FMA_audit_SUMMARY.fat&amp;DISPLAY_STRING=Display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00__FDSAUDITLINK__" localSheetId="6" hidden="1">{"fdsup://directions/FAT Viewer?action=UPDATE&amp;creator=factset&amp;DYN_ARGS=TRUE&amp;DOC_NAME=FAT:FQL_AUDITING_CLIENT_TEMPLATE.FAT&amp;display_string=Audit&amp;VAR:KEY=NMHADGBEZQ&amp;VAR:QUERY=RkZfRUJJVERBX0lCKCdMVE1TJywzOTU1Nyk=&amp;WINDOW=FIRST_POPUP&amp;HEIGHT=450&amp;WIDTH=450&amp;START_MA","XIMIZED=FALSE&amp;VAR:CALENDAR=US&amp;VAR:SYMBOL=05614P10&amp;VAR:INDEX=0"}</definedName>
    <definedName name="_2500__FDSAUDITLINK__" hidden="1">{"fdsup://directions/FAT Viewer?action=UPDATE&amp;creator=factset&amp;DYN_ARGS=TRUE&amp;DOC_NAME=FAT:FQL_AUDITING_CLIENT_TEMPLATE.FAT&amp;display_string=Audit&amp;VAR:KEY=NMHADGBEZQ&amp;VAR:QUERY=RkZfRUJJVERBX0lCKCdMVE1TJywzOTU1Nyk=&amp;WINDOW=FIRST_POPUP&amp;HEIGHT=450&amp;WIDTH=450&amp;START_MA","XIMIZED=FALSE&amp;VAR:CALENDAR=US&amp;VAR:SYMBOL=05614P10&amp;VAR:INDEX=0"}</definedName>
    <definedName name="_2501__FDSAUDITLINK__" localSheetId="6" hidden="1">{"fdsup://directions/FAT Viewer?action=UPDATE&amp;creator=factset&amp;DYN_ARGS=TRUE&amp;DOC_NAME=FAT:FQL_AUDITING_CLIENT_TEMPLATE.FAT&amp;display_string=Audit&amp;VAR:KEY=DMXWBMFAHW&amp;VAR:QUERY=RkZfRUJJVERBX0lCKCdMVE1TJywzOTU1Nik=&amp;WINDOW=FIRST_POPUP&amp;HEIGHT=450&amp;WIDTH=450&amp;START_MA","XIMIZED=FALSE&amp;VAR:CALENDAR=US&amp;VAR:SYMBOL=05614P10&amp;VAR:INDEX=0"}</definedName>
    <definedName name="_2501__FDSAUDITLINK__" hidden="1">{"fdsup://directions/FAT Viewer?action=UPDATE&amp;creator=factset&amp;DYN_ARGS=TRUE&amp;DOC_NAME=FAT:FQL_AUDITING_CLIENT_TEMPLATE.FAT&amp;display_string=Audit&amp;VAR:KEY=DMXWBMFAHW&amp;VAR:QUERY=RkZfRUJJVERBX0lCKCdMVE1TJywzOTU1Nik=&amp;WINDOW=FIRST_POPUP&amp;HEIGHT=450&amp;WIDTH=450&amp;START_MA","XIMIZED=FALSE&amp;VAR:CALENDAR=US&amp;VAR:SYMBOL=05614P10&amp;VAR:INDEX=0"}</definedName>
    <definedName name="_2502__FDSAUDITLINK__" localSheetId="6" hidden="1">{"fdsup://directions/FAT Viewer?action=UPDATE&amp;creator=factset&amp;DYN_ARGS=TRUE&amp;DOC_NAME=FAT:FQL_AUDITING_CLIENT_TEMPLATE.FAT&amp;display_string=Audit&amp;VAR:KEY=HCFEBQNWNO&amp;VAR:QUERY=RkZfRUJJVERBX0lCKCdMVE1TJywzOTU1NSk=&amp;WINDOW=FIRST_POPUP&amp;HEIGHT=450&amp;WIDTH=450&amp;START_MA","XIMIZED=FALSE&amp;VAR:CALENDAR=US&amp;VAR:SYMBOL=05614P10&amp;VAR:INDEX=0"}</definedName>
    <definedName name="_2502__FDSAUDITLINK__" hidden="1">{"fdsup://directions/FAT Viewer?action=UPDATE&amp;creator=factset&amp;DYN_ARGS=TRUE&amp;DOC_NAME=FAT:FQL_AUDITING_CLIENT_TEMPLATE.FAT&amp;display_string=Audit&amp;VAR:KEY=HCFEBQNWNO&amp;VAR:QUERY=RkZfRUJJVERBX0lCKCdMVE1TJywzOTU1NSk=&amp;WINDOW=FIRST_POPUP&amp;HEIGHT=450&amp;WIDTH=450&amp;START_MA","XIMIZED=FALSE&amp;VAR:CALENDAR=US&amp;VAR:SYMBOL=05614P10&amp;VAR:INDEX=0"}</definedName>
    <definedName name="_2503__FDSAUDITLINK__" localSheetId="6" hidden="1">{"fdsup://directions/FAT Viewer?action=UPDATE&amp;creator=factset&amp;DYN_ARGS=TRUE&amp;DOC_NAME=FAT:FQL_AUDITING_CLIENT_TEMPLATE.FAT&amp;display_string=Audit&amp;VAR:KEY=TSTSVOHARK&amp;VAR:QUERY=RkZfRUJJVERBX0lCKCdMVE1TJywzOTU1NCk=&amp;WINDOW=FIRST_POPUP&amp;HEIGHT=450&amp;WIDTH=450&amp;START_MA","XIMIZED=FALSE&amp;VAR:CALENDAR=US&amp;VAR:SYMBOL=05614P10&amp;VAR:INDEX=0"}</definedName>
    <definedName name="_2503__FDSAUDITLINK__" hidden="1">{"fdsup://directions/FAT Viewer?action=UPDATE&amp;creator=factset&amp;DYN_ARGS=TRUE&amp;DOC_NAME=FAT:FQL_AUDITING_CLIENT_TEMPLATE.FAT&amp;display_string=Audit&amp;VAR:KEY=TSTSVOHARK&amp;VAR:QUERY=RkZfRUJJVERBX0lCKCdMVE1TJywzOTU1NCk=&amp;WINDOW=FIRST_POPUP&amp;HEIGHT=450&amp;WIDTH=450&amp;START_MA","XIMIZED=FALSE&amp;VAR:CALENDAR=US&amp;VAR:SYMBOL=05614P10&amp;VAR:INDEX=0"}</definedName>
    <definedName name="_2504__FDSAUDITLINK__" localSheetId="6" hidden="1">{"fdsup://directions/FAT Viewer?action=UPDATE&amp;creator=factset&amp;DYN_ARGS=TRUE&amp;DOC_NAME=FAT:FQL_AUDITING_CLIENT_TEMPLATE.FAT&amp;display_string=Audit&amp;VAR:KEY=JERURSTOXY&amp;VAR:QUERY=RkZfRUJJVERBX0lCKCdMVE1TJywzOTU1Myk=&amp;WINDOW=FIRST_POPUP&amp;HEIGHT=450&amp;WIDTH=450&amp;START_MA","XIMIZED=FALSE&amp;VAR:CALENDAR=US&amp;VAR:SYMBOL=05614P10&amp;VAR:INDEX=0"}</definedName>
    <definedName name="_2504__FDSAUDITLINK__" hidden="1">{"fdsup://directions/FAT Viewer?action=UPDATE&amp;creator=factset&amp;DYN_ARGS=TRUE&amp;DOC_NAME=FAT:FQL_AUDITING_CLIENT_TEMPLATE.FAT&amp;display_string=Audit&amp;VAR:KEY=JERURSTOXY&amp;VAR:QUERY=RkZfRUJJVERBX0lCKCdMVE1TJywzOTU1Myk=&amp;WINDOW=FIRST_POPUP&amp;HEIGHT=450&amp;WIDTH=450&amp;START_MA","XIMIZED=FALSE&amp;VAR:CALENDAR=US&amp;VAR:SYMBOL=05614P10&amp;VAR:INDEX=0"}</definedName>
    <definedName name="_2505__FDSAUDITLINK__" localSheetId="6" hidden="1">{"fdsup://directions/FAT Viewer?action=UPDATE&amp;creator=factset&amp;DYN_ARGS=TRUE&amp;DOC_NAME=FAT:FQL_AUDITING_CLIENT_TEMPLATE.FAT&amp;display_string=Audit&amp;VAR:KEY=XYZQTKHSRI&amp;VAR:QUERY=RkZfRUJJVERBX0lCKCdMVE1TJywzOTU1Mik=&amp;WINDOW=FIRST_POPUP&amp;HEIGHT=450&amp;WIDTH=450&amp;START_MA","XIMIZED=FALSE&amp;VAR:CALENDAR=US&amp;VAR:SYMBOL=05614P10&amp;VAR:INDEX=0"}</definedName>
    <definedName name="_2505__FDSAUDITLINK__" hidden="1">{"fdsup://directions/FAT Viewer?action=UPDATE&amp;creator=factset&amp;DYN_ARGS=TRUE&amp;DOC_NAME=FAT:FQL_AUDITING_CLIENT_TEMPLATE.FAT&amp;display_string=Audit&amp;VAR:KEY=XYZQTKHSRI&amp;VAR:QUERY=RkZfRUJJVERBX0lCKCdMVE1TJywzOTU1Mik=&amp;WINDOW=FIRST_POPUP&amp;HEIGHT=450&amp;WIDTH=450&amp;START_MA","XIMIZED=FALSE&amp;VAR:CALENDAR=US&amp;VAR:SYMBOL=05614P10&amp;VAR:INDEX=0"}</definedName>
    <definedName name="_2506__FDSAUDITLINK__" localSheetId="6" hidden="1">{"fdsup://directions/FAT Viewer?action=UPDATE&amp;creator=factset&amp;DYN_ARGS=TRUE&amp;DOC_NAME=FAT:FQL_AUDITING_CLIENT_TEMPLATE.FAT&amp;display_string=Audit&amp;VAR:KEY=FMPMDYPEVW&amp;VAR:QUERY=RkZfRUJJVERBX0lCKCdMVE1TJywzOTU1MSk=&amp;WINDOW=FIRST_POPUP&amp;HEIGHT=450&amp;WIDTH=450&amp;START_MA","XIMIZED=FALSE&amp;VAR:CALENDAR=US&amp;VAR:SYMBOL=05614P10&amp;VAR:INDEX=0"}</definedName>
    <definedName name="_2506__FDSAUDITLINK__" hidden="1">{"fdsup://directions/FAT Viewer?action=UPDATE&amp;creator=factset&amp;DYN_ARGS=TRUE&amp;DOC_NAME=FAT:FQL_AUDITING_CLIENT_TEMPLATE.FAT&amp;display_string=Audit&amp;VAR:KEY=FMPMDYPEVW&amp;VAR:QUERY=RkZfRUJJVERBX0lCKCdMVE1TJywzOTU1MSk=&amp;WINDOW=FIRST_POPUP&amp;HEIGHT=450&amp;WIDTH=450&amp;START_MA","XIMIZED=FALSE&amp;VAR:CALENDAR=US&amp;VAR:SYMBOL=05614P10&amp;VAR:INDEX=0"}</definedName>
    <definedName name="_2507__FDSAUDITLINK__" localSheetId="6" hidden="1">{"fdsup://directions/FAT Viewer?action=UPDATE&amp;creator=factset&amp;DYN_ARGS=TRUE&amp;DOC_NAME=FAT:FQL_AUDITING_CLIENT_TEMPLATE.FAT&amp;display_string=Audit&amp;VAR:KEY=HMBIDMZARC&amp;VAR:QUERY=RkZfRUJJVERBX0lCKCdMVE1TJywzOTU1MCk=&amp;WINDOW=FIRST_POPUP&amp;HEIGHT=450&amp;WIDTH=450&amp;START_MA","XIMIZED=FALSE&amp;VAR:CALENDAR=US&amp;VAR:SYMBOL=05614P10&amp;VAR:INDEX=0"}</definedName>
    <definedName name="_2507__FDSAUDITLINK__" hidden="1">{"fdsup://directions/FAT Viewer?action=UPDATE&amp;creator=factset&amp;DYN_ARGS=TRUE&amp;DOC_NAME=FAT:FQL_AUDITING_CLIENT_TEMPLATE.FAT&amp;display_string=Audit&amp;VAR:KEY=HMBIDMZARC&amp;VAR:QUERY=RkZfRUJJVERBX0lCKCdMVE1TJywzOTU1MCk=&amp;WINDOW=FIRST_POPUP&amp;HEIGHT=450&amp;WIDTH=450&amp;START_MA","XIMIZED=FALSE&amp;VAR:CALENDAR=US&amp;VAR:SYMBOL=05614P10&amp;VAR:INDEX=0"}</definedName>
    <definedName name="_2508__FDSAUDITLINK__" localSheetId="6" hidden="1">{"fdsup://directions/FAT Viewer?action=UPDATE&amp;creator=factset&amp;DYN_ARGS=TRUE&amp;DOC_NAME=FAT:FQL_AUDITING_CLIENT_TEMPLATE.FAT&amp;display_string=Audit&amp;VAR:KEY=NMDKHEJWNU&amp;VAR:QUERY=RkZfRUJJVERBX0lCKCdMVE1TJywzOTU0OSk=&amp;WINDOW=FIRST_POPUP&amp;HEIGHT=450&amp;WIDTH=450&amp;START_MA","XIMIZED=FALSE&amp;VAR:CALENDAR=US&amp;VAR:SYMBOL=05614P10&amp;VAR:INDEX=0"}</definedName>
    <definedName name="_2508__FDSAUDITLINK__" hidden="1">{"fdsup://directions/FAT Viewer?action=UPDATE&amp;creator=factset&amp;DYN_ARGS=TRUE&amp;DOC_NAME=FAT:FQL_AUDITING_CLIENT_TEMPLATE.FAT&amp;display_string=Audit&amp;VAR:KEY=NMDKHEJWNU&amp;VAR:QUERY=RkZfRUJJVERBX0lCKCdMVE1TJywzOTU0OSk=&amp;WINDOW=FIRST_POPUP&amp;HEIGHT=450&amp;WIDTH=450&amp;START_MA","XIMIZED=FALSE&amp;VAR:CALENDAR=US&amp;VAR:SYMBOL=05614P10&amp;VAR:INDEX=0"}</definedName>
    <definedName name="_2509__FDSAUDITLINK__" localSheetId="6" hidden="1">{"fdsup://directions/FAT Viewer?action=UPDATE&amp;creator=factset&amp;DYN_ARGS=TRUE&amp;DOC_NAME=FAT:FQL_AUDITING_CLIENT_TEMPLATE.FAT&amp;display_string=Audit&amp;VAR:KEY=TYFCXSVOXG&amp;VAR:QUERY=RkZfRUJJVERBX0lCKCdMVE1TJywzOTU0OCk=&amp;WINDOW=FIRST_POPUP&amp;HEIGHT=450&amp;WIDTH=450&amp;START_MA","XIMIZED=FALSE&amp;VAR:CALENDAR=US&amp;VAR:SYMBOL=05614P10&amp;VAR:INDEX=0"}</definedName>
    <definedName name="_2509__FDSAUDITLINK__" hidden="1">{"fdsup://directions/FAT Viewer?action=UPDATE&amp;creator=factset&amp;DYN_ARGS=TRUE&amp;DOC_NAME=FAT:FQL_AUDITING_CLIENT_TEMPLATE.FAT&amp;display_string=Audit&amp;VAR:KEY=TYFCXSVOXG&amp;VAR:QUERY=RkZfRUJJVERBX0lCKCdMVE1TJywzOTU0OCk=&amp;WINDOW=FIRST_POPUP&amp;HEIGHT=450&amp;WIDTH=450&amp;START_MA","XIMIZED=FALSE&amp;VAR:CALENDAR=US&amp;VAR:SYMBOL=05614P10&amp;VAR:INDEX=0"}</definedName>
    <definedName name="_251__FDSAUDITLINK__" localSheetId="6" hidden="1">{"fdsup://directions/FAT%20Viewer?VAR:PED=LTM&amp;VAR:AUDIT_MODE=SUMMARY&amp;VAR:PERIOD=FIXED&amp;VAR:AUDIT_ID=00000117&amp;VAR:DATE=20090615&amp;action=UPDATE&amp;creator=factset&amp;DOC_NAME=FAT:FMA_audit_SUMMARY.fat&amp;DISPLAY_STRING=Display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1__FDSAUDITLINK__" hidden="1">{"fdsup://directions/FAT%20Viewer?VAR:PED=LTM&amp;VAR:AUDIT_MODE=SUMMARY&amp;VAR:PERIOD=FIXED&amp;VAR:AUDIT_ID=00000117&amp;VAR:DATE=20090615&amp;action=UPDATE&amp;creator=factset&amp;DOC_NAME=FAT:FMA_audit_SUMMARY.fat&amp;DISPLAY_STRING=Display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10__FDSAUDITLINK__" localSheetId="6" hidden="1">{"fdsup://directions/FAT Viewer?action=UPDATE&amp;creator=factset&amp;DYN_ARGS=TRUE&amp;DOC_NAME=FAT:FQL_AUDITING_CLIENT_TEMPLATE.FAT&amp;display_string=Audit&amp;VAR:KEY=LYXKNULSBI&amp;VAR:QUERY=RkZfRUJJVERBX0lCKCdMVE1TJywzOTU0Nyk=&amp;WINDOW=FIRST_POPUP&amp;HEIGHT=450&amp;WIDTH=450&amp;START_MA","XIMIZED=FALSE&amp;VAR:CALENDAR=US&amp;VAR:SYMBOL=05614P10&amp;VAR:INDEX=0"}</definedName>
    <definedName name="_2510__FDSAUDITLINK__" hidden="1">{"fdsup://directions/FAT Viewer?action=UPDATE&amp;creator=factset&amp;DYN_ARGS=TRUE&amp;DOC_NAME=FAT:FQL_AUDITING_CLIENT_TEMPLATE.FAT&amp;display_string=Audit&amp;VAR:KEY=LYXKNULSBI&amp;VAR:QUERY=RkZfRUJJVERBX0lCKCdMVE1TJywzOTU0Nyk=&amp;WINDOW=FIRST_POPUP&amp;HEIGHT=450&amp;WIDTH=450&amp;START_MA","XIMIZED=FALSE&amp;VAR:CALENDAR=US&amp;VAR:SYMBOL=05614P10&amp;VAR:INDEX=0"}</definedName>
    <definedName name="_2511__FDSAUDITLINK__" localSheetId="6" hidden="1">{"fdsup://directions/FAT Viewer?action=UPDATE&amp;creator=factset&amp;DYN_ARGS=TRUE&amp;DOC_NAME=FAT:FQL_AUDITING_CLIENT_TEMPLATE.FAT&amp;display_string=Audit&amp;VAR:KEY=LETWZGLWXY&amp;VAR:QUERY=RkZfRUJJVERBX0lCKCdMVE1TJywzOTU0Nik=&amp;WINDOW=FIRST_POPUP&amp;HEIGHT=450&amp;WIDTH=450&amp;START_MA","XIMIZED=FALSE&amp;VAR:CALENDAR=US&amp;VAR:SYMBOL=05614P10&amp;VAR:INDEX=0"}</definedName>
    <definedName name="_2511__FDSAUDITLINK__" hidden="1">{"fdsup://directions/FAT Viewer?action=UPDATE&amp;creator=factset&amp;DYN_ARGS=TRUE&amp;DOC_NAME=FAT:FQL_AUDITING_CLIENT_TEMPLATE.FAT&amp;display_string=Audit&amp;VAR:KEY=LETWZGLWXY&amp;VAR:QUERY=RkZfRUJJVERBX0lCKCdMVE1TJywzOTU0Nik=&amp;WINDOW=FIRST_POPUP&amp;HEIGHT=450&amp;WIDTH=450&amp;START_MA","XIMIZED=FALSE&amp;VAR:CALENDAR=US&amp;VAR:SYMBOL=05614P10&amp;VAR:INDEX=0"}</definedName>
    <definedName name="_2512__FDSAUDITLINK__" localSheetId="6" hidden="1">{"fdsup://directions/FAT Viewer?action=UPDATE&amp;creator=factset&amp;DYN_ARGS=TRUE&amp;DOC_NAME=FAT:FQL_AUDITING_CLIENT_TEMPLATE.FAT&amp;display_string=Audit&amp;VAR:KEY=PGTSPYZSDI&amp;VAR:QUERY=RkZfRUJJVERBX0lCKCdMVE1TJywzOTU0NSk=&amp;WINDOW=FIRST_POPUP&amp;HEIGHT=450&amp;WIDTH=450&amp;START_MA","XIMIZED=FALSE&amp;VAR:CALENDAR=US&amp;VAR:SYMBOL=05614P10&amp;VAR:INDEX=0"}</definedName>
    <definedName name="_2512__FDSAUDITLINK__" hidden="1">{"fdsup://directions/FAT Viewer?action=UPDATE&amp;creator=factset&amp;DYN_ARGS=TRUE&amp;DOC_NAME=FAT:FQL_AUDITING_CLIENT_TEMPLATE.FAT&amp;display_string=Audit&amp;VAR:KEY=PGTSPYZSDI&amp;VAR:QUERY=RkZfRUJJVERBX0lCKCdMVE1TJywzOTU0NSk=&amp;WINDOW=FIRST_POPUP&amp;HEIGHT=450&amp;WIDTH=450&amp;START_MA","XIMIZED=FALSE&amp;VAR:CALENDAR=US&amp;VAR:SYMBOL=05614P10&amp;VAR:INDEX=0"}</definedName>
    <definedName name="_2513__FDSAUDITLINK__" localSheetId="6" hidden="1">{"fdsup://directions/FAT Viewer?action=UPDATE&amp;creator=factset&amp;DYN_ARGS=TRUE&amp;DOC_NAME=FAT:FQL_AUDITING_CLIENT_TEMPLATE.FAT&amp;display_string=Audit&amp;VAR:KEY=TKZEXGZOJA&amp;VAR:QUERY=RkZfRUJJVERBX0lCKCdMVE1TJywzOTU0NCk=&amp;WINDOW=FIRST_POPUP&amp;HEIGHT=450&amp;WIDTH=450&amp;START_MA","XIMIZED=FALSE&amp;VAR:CALENDAR=US&amp;VAR:SYMBOL=05614P10&amp;VAR:INDEX=0"}</definedName>
    <definedName name="_2513__FDSAUDITLINK__" hidden="1">{"fdsup://directions/FAT Viewer?action=UPDATE&amp;creator=factset&amp;DYN_ARGS=TRUE&amp;DOC_NAME=FAT:FQL_AUDITING_CLIENT_TEMPLATE.FAT&amp;display_string=Audit&amp;VAR:KEY=TKZEXGZOJA&amp;VAR:QUERY=RkZfRUJJVERBX0lCKCdMVE1TJywzOTU0NCk=&amp;WINDOW=FIRST_POPUP&amp;HEIGHT=450&amp;WIDTH=450&amp;START_MA","XIMIZED=FALSE&amp;VAR:CALENDAR=US&amp;VAR:SYMBOL=05614P10&amp;VAR:INDEX=0"}</definedName>
    <definedName name="_2514__FDSAUDITLINK__" localSheetId="6" hidden="1">{"fdsup://directions/FAT Viewer?action=UPDATE&amp;creator=factset&amp;DYN_ARGS=TRUE&amp;DOC_NAME=FAT:FQL_AUDITING_CLIENT_TEMPLATE.FAT&amp;display_string=Audit&amp;VAR:KEY=ROPELORIHQ&amp;VAR:QUERY=RkZfRUJJVERBX0lCKCdMVE1TJywzOTU0Myk=&amp;WINDOW=FIRST_POPUP&amp;HEIGHT=450&amp;WIDTH=450&amp;START_MA","XIMIZED=FALSE&amp;VAR:CALENDAR=US&amp;VAR:SYMBOL=05614P10&amp;VAR:INDEX=0"}</definedName>
    <definedName name="_2514__FDSAUDITLINK__" hidden="1">{"fdsup://directions/FAT Viewer?action=UPDATE&amp;creator=factset&amp;DYN_ARGS=TRUE&amp;DOC_NAME=FAT:FQL_AUDITING_CLIENT_TEMPLATE.FAT&amp;display_string=Audit&amp;VAR:KEY=ROPELORIHQ&amp;VAR:QUERY=RkZfRUJJVERBX0lCKCdMVE1TJywzOTU0Myk=&amp;WINDOW=FIRST_POPUP&amp;HEIGHT=450&amp;WIDTH=450&amp;START_MA","XIMIZED=FALSE&amp;VAR:CALENDAR=US&amp;VAR:SYMBOL=05614P10&amp;VAR:INDEX=0"}</definedName>
    <definedName name="_2515__FDSAUDITLINK__" localSheetId="6" hidden="1">{"fdsup://directions/FAT Viewer?action=UPDATE&amp;creator=factset&amp;DYN_ARGS=TRUE&amp;DOC_NAME=FAT:FQL_AUDITING_CLIENT_TEMPLATE.FAT&amp;display_string=Audit&amp;VAR:KEY=LGLOTCVIRA&amp;VAR:QUERY=RkZfRUJJVERBX0lCKCdMVE1TJywzOTU0Mik=&amp;WINDOW=FIRST_POPUP&amp;HEIGHT=450&amp;WIDTH=450&amp;START_MA","XIMIZED=FALSE&amp;VAR:CALENDAR=US&amp;VAR:SYMBOL=05614P10&amp;VAR:INDEX=0"}</definedName>
    <definedName name="_2515__FDSAUDITLINK__" hidden="1">{"fdsup://directions/FAT Viewer?action=UPDATE&amp;creator=factset&amp;DYN_ARGS=TRUE&amp;DOC_NAME=FAT:FQL_AUDITING_CLIENT_TEMPLATE.FAT&amp;display_string=Audit&amp;VAR:KEY=LGLOTCVIRA&amp;VAR:QUERY=RkZfRUJJVERBX0lCKCdMVE1TJywzOTU0Mik=&amp;WINDOW=FIRST_POPUP&amp;HEIGHT=450&amp;WIDTH=450&amp;START_MA","XIMIZED=FALSE&amp;VAR:CALENDAR=US&amp;VAR:SYMBOL=05614P10&amp;VAR:INDEX=0"}</definedName>
    <definedName name="_2516__FDSAUDITLINK__" localSheetId="6" hidden="1">{"fdsup://directions/FAT Viewer?action=UPDATE&amp;creator=factset&amp;DYN_ARGS=TRUE&amp;DOC_NAME=FAT:FQL_AUDITING_CLIENT_TEMPLATE.FAT&amp;display_string=Audit&amp;VAR:KEY=TYTYRGBMRK&amp;VAR:QUERY=RkZfRUJJVERBX0lCKCdMVE1TJywzOTU0MSk=&amp;WINDOW=FIRST_POPUP&amp;HEIGHT=450&amp;WIDTH=450&amp;START_MA","XIMIZED=FALSE&amp;VAR:CALENDAR=US&amp;VAR:SYMBOL=05614P10&amp;VAR:INDEX=0"}</definedName>
    <definedName name="_2516__FDSAUDITLINK__" hidden="1">{"fdsup://directions/FAT Viewer?action=UPDATE&amp;creator=factset&amp;DYN_ARGS=TRUE&amp;DOC_NAME=FAT:FQL_AUDITING_CLIENT_TEMPLATE.FAT&amp;display_string=Audit&amp;VAR:KEY=TYTYRGBMRK&amp;VAR:QUERY=RkZfRUJJVERBX0lCKCdMVE1TJywzOTU0MSk=&amp;WINDOW=FIRST_POPUP&amp;HEIGHT=450&amp;WIDTH=450&amp;START_MA","XIMIZED=FALSE&amp;VAR:CALENDAR=US&amp;VAR:SYMBOL=05614P10&amp;VAR:INDEX=0"}</definedName>
    <definedName name="_2517__FDSAUDITLINK__" localSheetId="6" hidden="1">{"fdsup://directions/FAT Viewer?action=UPDATE&amp;creator=factset&amp;DYN_ARGS=TRUE&amp;DOC_NAME=FAT:FQL_AUDITING_CLIENT_TEMPLATE.FAT&amp;display_string=Audit&amp;VAR:KEY=NCXCJYJEVE&amp;VAR:QUERY=RkZfRUJJVERBX0lCKCdMVE1TJywzOTU0MCk=&amp;WINDOW=FIRST_POPUP&amp;HEIGHT=450&amp;WIDTH=450&amp;START_MA","XIMIZED=FALSE&amp;VAR:CALENDAR=US&amp;VAR:SYMBOL=05614P10&amp;VAR:INDEX=0"}</definedName>
    <definedName name="_2517__FDSAUDITLINK__" hidden="1">{"fdsup://directions/FAT Viewer?action=UPDATE&amp;creator=factset&amp;DYN_ARGS=TRUE&amp;DOC_NAME=FAT:FQL_AUDITING_CLIENT_TEMPLATE.FAT&amp;display_string=Audit&amp;VAR:KEY=NCXCJYJEVE&amp;VAR:QUERY=RkZfRUJJVERBX0lCKCdMVE1TJywzOTU0MCk=&amp;WINDOW=FIRST_POPUP&amp;HEIGHT=450&amp;WIDTH=450&amp;START_MA","XIMIZED=FALSE&amp;VAR:CALENDAR=US&amp;VAR:SYMBOL=05614P10&amp;VAR:INDEX=0"}</definedName>
    <definedName name="_2518__FDSAUDITLINK__" localSheetId="6" hidden="1">{"fdsup://directions/FAT Viewer?action=UPDATE&amp;creator=factset&amp;DYN_ARGS=TRUE&amp;DOC_NAME=FAT:FQL_AUDITING_CLIENT_TEMPLATE.FAT&amp;display_string=Audit&amp;VAR:KEY=VEFYJODEPQ&amp;VAR:QUERY=RkZfRUJJVERBX0lCKCdMVE1TJywzOTUzOSk=&amp;WINDOW=FIRST_POPUP&amp;HEIGHT=450&amp;WIDTH=450&amp;START_MA","XIMIZED=FALSE&amp;VAR:CALENDAR=US&amp;VAR:SYMBOL=05614P10&amp;VAR:INDEX=0"}</definedName>
    <definedName name="_2518__FDSAUDITLINK__" hidden="1">{"fdsup://directions/FAT Viewer?action=UPDATE&amp;creator=factset&amp;DYN_ARGS=TRUE&amp;DOC_NAME=FAT:FQL_AUDITING_CLIENT_TEMPLATE.FAT&amp;display_string=Audit&amp;VAR:KEY=VEFYJODEPQ&amp;VAR:QUERY=RkZfRUJJVERBX0lCKCdMVE1TJywzOTUzOSk=&amp;WINDOW=FIRST_POPUP&amp;HEIGHT=450&amp;WIDTH=450&amp;START_MA","XIMIZED=FALSE&amp;VAR:CALENDAR=US&amp;VAR:SYMBOL=05614P10&amp;VAR:INDEX=0"}</definedName>
    <definedName name="_2519__FDSAUDITLINK__" localSheetId="6" hidden="1">{"fdsup://directions/FAT Viewer?action=UPDATE&amp;creator=factset&amp;DYN_ARGS=TRUE&amp;DOC_NAME=FAT:FQL_AUDITING_CLIENT_TEMPLATE.FAT&amp;display_string=Audit&amp;VAR:KEY=FEPAFUBKFU&amp;VAR:QUERY=RkZfRUJJVERBX0lCKCdMVE1TJywzOTUzOCk=&amp;WINDOW=FIRST_POPUP&amp;HEIGHT=450&amp;WIDTH=450&amp;START_MA","XIMIZED=FALSE&amp;VAR:CALENDAR=US&amp;VAR:SYMBOL=05614P10&amp;VAR:INDEX=0"}</definedName>
    <definedName name="_2519__FDSAUDITLINK__" hidden="1">{"fdsup://directions/FAT Viewer?action=UPDATE&amp;creator=factset&amp;DYN_ARGS=TRUE&amp;DOC_NAME=FAT:FQL_AUDITING_CLIENT_TEMPLATE.FAT&amp;display_string=Audit&amp;VAR:KEY=FEPAFUBKFU&amp;VAR:QUERY=RkZfRUJJVERBX0lCKCdMVE1TJywzOTUzOCk=&amp;WINDOW=FIRST_POPUP&amp;HEIGHT=450&amp;WIDTH=450&amp;START_MA","XIMIZED=FALSE&amp;VAR:CALENDAR=US&amp;VAR:SYMBOL=05614P10&amp;VAR:INDEX=0"}</definedName>
    <definedName name="_252__FDSAUDITLINK__" localSheetId="6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2__FDSAUDITLINK__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20__FDSAUDITLINK__" localSheetId="6" hidden="1">{"fdsup://directions/FAT Viewer?action=UPDATE&amp;creator=factset&amp;DYN_ARGS=TRUE&amp;DOC_NAME=FAT:FQL_AUDITING_CLIENT_TEMPLATE.FAT&amp;display_string=Audit&amp;VAR:KEY=TEHOVQFSNW&amp;VAR:QUERY=RkZfRUJJVERBX0lCKCdMVE1TJywzOTUzNyk=&amp;WINDOW=FIRST_POPUP&amp;HEIGHT=450&amp;WIDTH=450&amp;START_MA","XIMIZED=FALSE&amp;VAR:CALENDAR=US&amp;VAR:SYMBOL=05614P10&amp;VAR:INDEX=0"}</definedName>
    <definedName name="_2520__FDSAUDITLINK__" hidden="1">{"fdsup://directions/FAT Viewer?action=UPDATE&amp;creator=factset&amp;DYN_ARGS=TRUE&amp;DOC_NAME=FAT:FQL_AUDITING_CLIENT_TEMPLATE.FAT&amp;display_string=Audit&amp;VAR:KEY=TEHOVQFSNW&amp;VAR:QUERY=RkZfRUJJVERBX0lCKCdMVE1TJywzOTUzNyk=&amp;WINDOW=FIRST_POPUP&amp;HEIGHT=450&amp;WIDTH=450&amp;START_MA","XIMIZED=FALSE&amp;VAR:CALENDAR=US&amp;VAR:SYMBOL=05614P10&amp;VAR:INDEX=0"}</definedName>
    <definedName name="_2521__FDSAUDITLINK__" localSheetId="6" hidden="1">{"fdsup://directions/FAT Viewer?action=UPDATE&amp;creator=factset&amp;DYN_ARGS=TRUE&amp;DOC_NAME=FAT:FQL_AUDITING_CLIENT_TEMPLATE.FAT&amp;display_string=Audit&amp;VAR:KEY=HULMDEHCLS&amp;VAR:QUERY=RkZfRUJJVERBX0lCKCdMVE1TJywzOTUzNik=&amp;WINDOW=FIRST_POPUP&amp;HEIGHT=450&amp;WIDTH=450&amp;START_MA","XIMIZED=FALSE&amp;VAR:CALENDAR=US&amp;VAR:SYMBOL=05614P10&amp;VAR:INDEX=0"}</definedName>
    <definedName name="_2521__FDSAUDITLINK__" hidden="1">{"fdsup://directions/FAT Viewer?action=UPDATE&amp;creator=factset&amp;DYN_ARGS=TRUE&amp;DOC_NAME=FAT:FQL_AUDITING_CLIENT_TEMPLATE.FAT&amp;display_string=Audit&amp;VAR:KEY=HULMDEHCLS&amp;VAR:QUERY=RkZfRUJJVERBX0lCKCdMVE1TJywzOTUzNik=&amp;WINDOW=FIRST_POPUP&amp;HEIGHT=450&amp;WIDTH=450&amp;START_MA","XIMIZED=FALSE&amp;VAR:CALENDAR=US&amp;VAR:SYMBOL=05614P10&amp;VAR:INDEX=0"}</definedName>
    <definedName name="_2522__FDSAUDITLINK__" localSheetId="6" hidden="1">{"fdsup://directions/FAT Viewer?action=UPDATE&amp;creator=factset&amp;DYN_ARGS=TRUE&amp;DOC_NAME=FAT:FQL_AUDITING_CLIENT_TEMPLATE.FAT&amp;display_string=Audit&amp;VAR:KEY=BQFAPQLUBW&amp;VAR:QUERY=RkZfRUJJVERBX0lCKCdMVE1TJywzOTUzNSk=&amp;WINDOW=FIRST_POPUP&amp;HEIGHT=450&amp;WIDTH=450&amp;START_MA","XIMIZED=FALSE&amp;VAR:CALENDAR=US&amp;VAR:SYMBOL=05614P10&amp;VAR:INDEX=0"}</definedName>
    <definedName name="_2522__FDSAUDITLINK__" hidden="1">{"fdsup://directions/FAT Viewer?action=UPDATE&amp;creator=factset&amp;DYN_ARGS=TRUE&amp;DOC_NAME=FAT:FQL_AUDITING_CLIENT_TEMPLATE.FAT&amp;display_string=Audit&amp;VAR:KEY=BQFAPQLUBW&amp;VAR:QUERY=RkZfRUJJVERBX0lCKCdMVE1TJywzOTUzNSk=&amp;WINDOW=FIRST_POPUP&amp;HEIGHT=450&amp;WIDTH=450&amp;START_MA","XIMIZED=FALSE&amp;VAR:CALENDAR=US&amp;VAR:SYMBOL=05614P10&amp;VAR:INDEX=0"}</definedName>
    <definedName name="_2523__FDSAUDITLINK__" localSheetId="6" hidden="1">{"fdsup://directions/FAT Viewer?action=UPDATE&amp;creator=factset&amp;DYN_ARGS=TRUE&amp;DOC_NAME=FAT:FQL_AUDITING_CLIENT_TEMPLATE.FAT&amp;display_string=Audit&amp;VAR:KEY=VCPQBCRYFK&amp;VAR:QUERY=RkZfRUJJVERBX0lCKCdMVE1TJywzOTUzNCk=&amp;WINDOW=FIRST_POPUP&amp;HEIGHT=450&amp;WIDTH=450&amp;START_MA","XIMIZED=FALSE&amp;VAR:CALENDAR=US&amp;VAR:SYMBOL=05614P10&amp;VAR:INDEX=0"}</definedName>
    <definedName name="_2523__FDSAUDITLINK__" hidden="1">{"fdsup://directions/FAT Viewer?action=UPDATE&amp;creator=factset&amp;DYN_ARGS=TRUE&amp;DOC_NAME=FAT:FQL_AUDITING_CLIENT_TEMPLATE.FAT&amp;display_string=Audit&amp;VAR:KEY=VCPQBCRYFK&amp;VAR:QUERY=RkZfRUJJVERBX0lCKCdMVE1TJywzOTUzNCk=&amp;WINDOW=FIRST_POPUP&amp;HEIGHT=450&amp;WIDTH=450&amp;START_MA","XIMIZED=FALSE&amp;VAR:CALENDAR=US&amp;VAR:SYMBOL=05614P10&amp;VAR:INDEX=0"}</definedName>
    <definedName name="_2524__FDSAUDITLINK__" localSheetId="6" hidden="1">{"fdsup://directions/FAT Viewer?action=UPDATE&amp;creator=factset&amp;DYN_ARGS=TRUE&amp;DOC_NAME=FAT:FQL_AUDITING_CLIENT_TEMPLATE.FAT&amp;display_string=Audit&amp;VAR:KEY=LIVOZWJMDO&amp;VAR:QUERY=RkZfRUJJVERBX0lCKCdMVE1TJywzOTUzMyk=&amp;WINDOW=FIRST_POPUP&amp;HEIGHT=450&amp;WIDTH=450&amp;START_MA","XIMIZED=FALSE&amp;VAR:CALENDAR=US&amp;VAR:SYMBOL=05614P10&amp;VAR:INDEX=0"}</definedName>
    <definedName name="_2524__FDSAUDITLINK__" hidden="1">{"fdsup://directions/FAT Viewer?action=UPDATE&amp;creator=factset&amp;DYN_ARGS=TRUE&amp;DOC_NAME=FAT:FQL_AUDITING_CLIENT_TEMPLATE.FAT&amp;display_string=Audit&amp;VAR:KEY=LIVOZWJMDO&amp;VAR:QUERY=RkZfRUJJVERBX0lCKCdMVE1TJywzOTUzMyk=&amp;WINDOW=FIRST_POPUP&amp;HEIGHT=450&amp;WIDTH=450&amp;START_MA","XIMIZED=FALSE&amp;VAR:CALENDAR=US&amp;VAR:SYMBOL=05614P10&amp;VAR:INDEX=0"}</definedName>
    <definedName name="_2525__FDSAUDITLINK__" localSheetId="6" hidden="1">{"fdsup://directions/FAT Viewer?action=UPDATE&amp;creator=factset&amp;DYN_ARGS=TRUE&amp;DOC_NAME=FAT:FQL_AUDITING_CLIENT_TEMPLATE.FAT&amp;display_string=Audit&amp;VAR:KEY=BULKTCTETM&amp;VAR:QUERY=RkZfRUJJVERBX0lCKCdMVE1TJywzOTUzMik=&amp;WINDOW=FIRST_POPUP&amp;HEIGHT=450&amp;WIDTH=450&amp;START_MA","XIMIZED=FALSE&amp;VAR:CALENDAR=US&amp;VAR:SYMBOL=05614P10&amp;VAR:INDEX=0"}</definedName>
    <definedName name="_2525__FDSAUDITLINK__" hidden="1">{"fdsup://directions/FAT Viewer?action=UPDATE&amp;creator=factset&amp;DYN_ARGS=TRUE&amp;DOC_NAME=FAT:FQL_AUDITING_CLIENT_TEMPLATE.FAT&amp;display_string=Audit&amp;VAR:KEY=BULKTCTETM&amp;VAR:QUERY=RkZfRUJJVERBX0lCKCdMVE1TJywzOTUzMik=&amp;WINDOW=FIRST_POPUP&amp;HEIGHT=450&amp;WIDTH=450&amp;START_MA","XIMIZED=FALSE&amp;VAR:CALENDAR=US&amp;VAR:SYMBOL=05614P10&amp;VAR:INDEX=0"}</definedName>
    <definedName name="_2526__FDSAUDITLINK__" localSheetId="6" hidden="1">{"fdsup://directions/FAT Viewer?action=UPDATE&amp;creator=factset&amp;DYN_ARGS=TRUE&amp;DOC_NAME=FAT:FQL_AUDITING_CLIENT_TEMPLATE.FAT&amp;display_string=Audit&amp;VAR:KEY=DQRKXOLQRE&amp;VAR:QUERY=RkZfRUJJVERBX0lCKCdMVE1TJywzOTUzMSk=&amp;WINDOW=FIRST_POPUP&amp;HEIGHT=450&amp;WIDTH=450&amp;START_MA","XIMIZED=FALSE&amp;VAR:CALENDAR=US&amp;VAR:SYMBOL=05614P10&amp;VAR:INDEX=0"}</definedName>
    <definedName name="_2526__FDSAUDITLINK__" hidden="1">{"fdsup://directions/FAT Viewer?action=UPDATE&amp;creator=factset&amp;DYN_ARGS=TRUE&amp;DOC_NAME=FAT:FQL_AUDITING_CLIENT_TEMPLATE.FAT&amp;display_string=Audit&amp;VAR:KEY=DQRKXOLQRE&amp;VAR:QUERY=RkZfRUJJVERBX0lCKCdMVE1TJywzOTUzMSk=&amp;WINDOW=FIRST_POPUP&amp;HEIGHT=450&amp;WIDTH=450&amp;START_MA","XIMIZED=FALSE&amp;VAR:CALENDAR=US&amp;VAR:SYMBOL=05614P10&amp;VAR:INDEX=0"}</definedName>
    <definedName name="_2527__FDSAUDITLINK__" localSheetId="6" hidden="1">{"fdsup://directions/FAT Viewer?action=UPDATE&amp;creator=factset&amp;DYN_ARGS=TRUE&amp;DOC_NAME=FAT:FQL_AUDITING_CLIENT_TEMPLATE.FAT&amp;display_string=Audit&amp;VAR:KEY=NULMBEBGDE&amp;VAR:QUERY=RkZfRUJJVERBX0lCKCdMVE1TJywzOTUzMCk=&amp;WINDOW=FIRST_POPUP&amp;HEIGHT=450&amp;WIDTH=450&amp;START_MA","XIMIZED=FALSE&amp;VAR:CALENDAR=US&amp;VAR:SYMBOL=05614P10&amp;VAR:INDEX=0"}</definedName>
    <definedName name="_2527__FDSAUDITLINK__" hidden="1">{"fdsup://directions/FAT Viewer?action=UPDATE&amp;creator=factset&amp;DYN_ARGS=TRUE&amp;DOC_NAME=FAT:FQL_AUDITING_CLIENT_TEMPLATE.FAT&amp;display_string=Audit&amp;VAR:KEY=NULMBEBGDE&amp;VAR:QUERY=RkZfRUJJVERBX0lCKCdMVE1TJywzOTUzMCk=&amp;WINDOW=FIRST_POPUP&amp;HEIGHT=450&amp;WIDTH=450&amp;START_MA","XIMIZED=FALSE&amp;VAR:CALENDAR=US&amp;VAR:SYMBOL=05614P10&amp;VAR:INDEX=0"}</definedName>
    <definedName name="_2528__FDSAUDITLINK__" localSheetId="6" hidden="1">{"fdsup://directions/FAT Viewer?action=UPDATE&amp;creator=factset&amp;DYN_ARGS=TRUE&amp;DOC_NAME=FAT:FQL_AUDITING_CLIENT_TEMPLATE.FAT&amp;display_string=Audit&amp;VAR:KEY=VYVSDYXQTC&amp;VAR:QUERY=RkZfRUJJVERBX0lCKCdMVE1TJywzOTUyOSk=&amp;WINDOW=FIRST_POPUP&amp;HEIGHT=450&amp;WIDTH=450&amp;START_MA","XIMIZED=FALSE&amp;VAR:CALENDAR=US&amp;VAR:SYMBOL=05614P10&amp;VAR:INDEX=0"}</definedName>
    <definedName name="_2528__FDSAUDITLINK__" hidden="1">{"fdsup://directions/FAT Viewer?action=UPDATE&amp;creator=factset&amp;DYN_ARGS=TRUE&amp;DOC_NAME=FAT:FQL_AUDITING_CLIENT_TEMPLATE.FAT&amp;display_string=Audit&amp;VAR:KEY=VYVSDYXQTC&amp;VAR:QUERY=RkZfRUJJVERBX0lCKCdMVE1TJywzOTUyOSk=&amp;WINDOW=FIRST_POPUP&amp;HEIGHT=450&amp;WIDTH=450&amp;START_MA","XIMIZED=FALSE&amp;VAR:CALENDAR=US&amp;VAR:SYMBOL=05614P10&amp;VAR:INDEX=0"}</definedName>
    <definedName name="_2529__FDSAUDITLINK__" localSheetId="6" hidden="1">{"fdsup://directions/FAT Viewer?action=UPDATE&amp;creator=factset&amp;DYN_ARGS=TRUE&amp;DOC_NAME=FAT:FQL_AUDITING_CLIENT_TEMPLATE.FAT&amp;display_string=Audit&amp;VAR:KEY=NGPWLWTSHG&amp;VAR:QUERY=RkZfRUJJVERBX0lCKCdMVE1TJywzOTUyOCk=&amp;WINDOW=FIRST_POPUP&amp;HEIGHT=450&amp;WIDTH=450&amp;START_MA","XIMIZED=FALSE&amp;VAR:CALENDAR=US&amp;VAR:SYMBOL=05614P10&amp;VAR:INDEX=0"}</definedName>
    <definedName name="_2529__FDSAUDITLINK__" hidden="1">{"fdsup://directions/FAT Viewer?action=UPDATE&amp;creator=factset&amp;DYN_ARGS=TRUE&amp;DOC_NAME=FAT:FQL_AUDITING_CLIENT_TEMPLATE.FAT&amp;display_string=Audit&amp;VAR:KEY=NGPWLWTSHG&amp;VAR:QUERY=RkZfRUJJVERBX0lCKCdMVE1TJywzOTUyOCk=&amp;WINDOW=FIRST_POPUP&amp;HEIGHT=450&amp;WIDTH=450&amp;START_MA","XIMIZED=FALSE&amp;VAR:CALENDAR=US&amp;VAR:SYMBOL=05614P10&amp;VAR:INDEX=0"}</definedName>
    <definedName name="_253__FDSAUDITLINK__" localSheetId="6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3__FDSAUDITLINK__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30__FDSAUDITLINK__" localSheetId="6" hidden="1">{"fdsup://directions/FAT Viewer?action=UPDATE&amp;creator=factset&amp;DYN_ARGS=TRUE&amp;DOC_NAME=FAT:FQL_AUDITING_CLIENT_TEMPLATE.FAT&amp;display_string=Audit&amp;VAR:KEY=PEHQJIFYBK&amp;VAR:QUERY=RkZfRUJJVERBX0lCKCdMVE1TJywzOTUyNyk=&amp;WINDOW=FIRST_POPUP&amp;HEIGHT=450&amp;WIDTH=450&amp;START_MA","XIMIZED=FALSE&amp;VAR:CALENDAR=US&amp;VAR:SYMBOL=05614P10&amp;VAR:INDEX=0"}</definedName>
    <definedName name="_2530__FDSAUDITLINK__" hidden="1">{"fdsup://directions/FAT Viewer?action=UPDATE&amp;creator=factset&amp;DYN_ARGS=TRUE&amp;DOC_NAME=FAT:FQL_AUDITING_CLIENT_TEMPLATE.FAT&amp;display_string=Audit&amp;VAR:KEY=PEHQJIFYBK&amp;VAR:QUERY=RkZfRUJJVERBX0lCKCdMVE1TJywzOTUyNyk=&amp;WINDOW=FIRST_POPUP&amp;HEIGHT=450&amp;WIDTH=450&amp;START_MA","XIMIZED=FALSE&amp;VAR:CALENDAR=US&amp;VAR:SYMBOL=05614P10&amp;VAR:INDEX=0"}</definedName>
    <definedName name="_2531__FDSAUDITLINK__" localSheetId="6" hidden="1">{"fdsup://directions/FAT Viewer?action=UPDATE&amp;creator=factset&amp;DYN_ARGS=TRUE&amp;DOC_NAME=FAT:FQL_AUDITING_CLIENT_TEMPLATE.FAT&amp;display_string=Audit&amp;VAR:KEY=XCBYPURWVM&amp;VAR:QUERY=RkZfRUJJVERBX0lCKCdMVE1TJywzOTUyNik=&amp;WINDOW=FIRST_POPUP&amp;HEIGHT=450&amp;WIDTH=450&amp;START_MA","XIMIZED=FALSE&amp;VAR:CALENDAR=US&amp;VAR:SYMBOL=05614P10&amp;VAR:INDEX=0"}</definedName>
    <definedName name="_2531__FDSAUDITLINK__" hidden="1">{"fdsup://directions/FAT Viewer?action=UPDATE&amp;creator=factset&amp;DYN_ARGS=TRUE&amp;DOC_NAME=FAT:FQL_AUDITING_CLIENT_TEMPLATE.FAT&amp;display_string=Audit&amp;VAR:KEY=XCBYPURWVM&amp;VAR:QUERY=RkZfRUJJVERBX0lCKCdMVE1TJywzOTUyNik=&amp;WINDOW=FIRST_POPUP&amp;HEIGHT=450&amp;WIDTH=450&amp;START_MA","XIMIZED=FALSE&amp;VAR:CALENDAR=US&amp;VAR:SYMBOL=05614P10&amp;VAR:INDEX=0"}</definedName>
    <definedName name="_2532__FDSAUDITLINK__" localSheetId="6" hidden="1">{"fdsup://directions/FAT Viewer?action=UPDATE&amp;creator=factset&amp;DYN_ARGS=TRUE&amp;DOC_NAME=FAT:FQL_AUDITING_CLIENT_TEMPLATE.FAT&amp;display_string=Audit&amp;VAR:KEY=JGPYTQLEBK&amp;VAR:QUERY=RkZfRUJJVERBX0lCKCdMVE1TJywzOTUyNSk=&amp;WINDOW=FIRST_POPUP&amp;HEIGHT=450&amp;WIDTH=450&amp;START_MA","XIMIZED=FALSE&amp;VAR:CALENDAR=US&amp;VAR:SYMBOL=05614P10&amp;VAR:INDEX=0"}</definedName>
    <definedName name="_2532__FDSAUDITLINK__" hidden="1">{"fdsup://directions/FAT Viewer?action=UPDATE&amp;creator=factset&amp;DYN_ARGS=TRUE&amp;DOC_NAME=FAT:FQL_AUDITING_CLIENT_TEMPLATE.FAT&amp;display_string=Audit&amp;VAR:KEY=JGPYTQLEBK&amp;VAR:QUERY=RkZfRUJJVERBX0lCKCdMVE1TJywzOTUyNSk=&amp;WINDOW=FIRST_POPUP&amp;HEIGHT=450&amp;WIDTH=450&amp;START_MA","XIMIZED=FALSE&amp;VAR:CALENDAR=US&amp;VAR:SYMBOL=05614P10&amp;VAR:INDEX=0"}</definedName>
    <definedName name="_2533__FDSAUDITLINK__" localSheetId="6" hidden="1">{"fdsup://directions/FAT Viewer?action=UPDATE&amp;creator=factset&amp;DYN_ARGS=TRUE&amp;DOC_NAME=FAT:FQL_AUDITING_CLIENT_TEMPLATE.FAT&amp;display_string=Audit&amp;VAR:KEY=VQLMFYJSRW&amp;VAR:QUERY=RkZfRUJJVERBX0lCKCdMVE1TJywzOTUyNCk=&amp;WINDOW=FIRST_POPUP&amp;HEIGHT=450&amp;WIDTH=450&amp;START_MA","XIMIZED=FALSE&amp;VAR:CALENDAR=US&amp;VAR:SYMBOL=05614P10&amp;VAR:INDEX=0"}</definedName>
    <definedName name="_2533__FDSAUDITLINK__" hidden="1">{"fdsup://directions/FAT Viewer?action=UPDATE&amp;creator=factset&amp;DYN_ARGS=TRUE&amp;DOC_NAME=FAT:FQL_AUDITING_CLIENT_TEMPLATE.FAT&amp;display_string=Audit&amp;VAR:KEY=VQLMFYJSRW&amp;VAR:QUERY=RkZfRUJJVERBX0lCKCdMVE1TJywzOTUyNCk=&amp;WINDOW=FIRST_POPUP&amp;HEIGHT=450&amp;WIDTH=450&amp;START_MA","XIMIZED=FALSE&amp;VAR:CALENDAR=US&amp;VAR:SYMBOL=05614P10&amp;VAR:INDEX=0"}</definedName>
    <definedName name="_2534__FDSAUDITLINK__" localSheetId="6" hidden="1">{"fdsup://directions/FAT Viewer?action=UPDATE&amp;creator=factset&amp;DYN_ARGS=TRUE&amp;DOC_NAME=FAT:FQL_AUDITING_CLIENT_TEMPLATE.FAT&amp;display_string=Audit&amp;VAR:KEY=JOBQNSRIHI&amp;VAR:QUERY=RkZfRUJJVERBX0lCKCdMVE1TJywzOTUyMyk=&amp;WINDOW=FIRST_POPUP&amp;HEIGHT=450&amp;WIDTH=450&amp;START_MA","XIMIZED=FALSE&amp;VAR:CALENDAR=US&amp;VAR:SYMBOL=05614P10&amp;VAR:INDEX=0"}</definedName>
    <definedName name="_2534__FDSAUDITLINK__" hidden="1">{"fdsup://directions/FAT Viewer?action=UPDATE&amp;creator=factset&amp;DYN_ARGS=TRUE&amp;DOC_NAME=FAT:FQL_AUDITING_CLIENT_TEMPLATE.FAT&amp;display_string=Audit&amp;VAR:KEY=JOBQNSRIHI&amp;VAR:QUERY=RkZfRUJJVERBX0lCKCdMVE1TJywzOTUyMyk=&amp;WINDOW=FIRST_POPUP&amp;HEIGHT=450&amp;WIDTH=450&amp;START_MA","XIMIZED=FALSE&amp;VAR:CALENDAR=US&amp;VAR:SYMBOL=05614P10&amp;VAR:INDEX=0"}</definedName>
    <definedName name="_2535__FDSAUDITLINK__" localSheetId="6" hidden="1">{"fdsup://directions/FAT Viewer?action=UPDATE&amp;creator=factset&amp;DYN_ARGS=TRUE&amp;DOC_NAME=FAT:FQL_AUDITING_CLIENT_TEMPLATE.FAT&amp;display_string=Audit&amp;VAR:KEY=ZIDMTAFGLA&amp;VAR:QUERY=RkZfRUJJVERBX0lCKCdMVE1TJywzOTUyMik=&amp;WINDOW=FIRST_POPUP&amp;HEIGHT=450&amp;WIDTH=450&amp;START_MA","XIMIZED=FALSE&amp;VAR:CALENDAR=US&amp;VAR:SYMBOL=05614P10&amp;VAR:INDEX=0"}</definedName>
    <definedName name="_2535__FDSAUDITLINK__" hidden="1">{"fdsup://directions/FAT Viewer?action=UPDATE&amp;creator=factset&amp;DYN_ARGS=TRUE&amp;DOC_NAME=FAT:FQL_AUDITING_CLIENT_TEMPLATE.FAT&amp;display_string=Audit&amp;VAR:KEY=ZIDMTAFGLA&amp;VAR:QUERY=RkZfRUJJVERBX0lCKCdMVE1TJywzOTUyMik=&amp;WINDOW=FIRST_POPUP&amp;HEIGHT=450&amp;WIDTH=450&amp;START_MA","XIMIZED=FALSE&amp;VAR:CALENDAR=US&amp;VAR:SYMBOL=05614P10&amp;VAR:INDEX=0"}</definedName>
    <definedName name="_2536__FDSAUDITLINK__" localSheetId="6" hidden="1">{"fdsup://directions/FAT Viewer?action=UPDATE&amp;creator=factset&amp;DYN_ARGS=TRUE&amp;DOC_NAME=FAT:FQL_AUDITING_CLIENT_TEMPLATE.FAT&amp;display_string=Audit&amp;VAR:KEY=LIZELKZSTS&amp;VAR:QUERY=RkZfRUJJVERBX0lCKCdMVE1TJywzOTUyMSk=&amp;WINDOW=FIRST_POPUP&amp;HEIGHT=450&amp;WIDTH=450&amp;START_MA","XIMIZED=FALSE&amp;VAR:CALENDAR=US&amp;VAR:SYMBOL=05614P10&amp;VAR:INDEX=0"}</definedName>
    <definedName name="_2536__FDSAUDITLINK__" hidden="1">{"fdsup://directions/FAT Viewer?action=UPDATE&amp;creator=factset&amp;DYN_ARGS=TRUE&amp;DOC_NAME=FAT:FQL_AUDITING_CLIENT_TEMPLATE.FAT&amp;display_string=Audit&amp;VAR:KEY=LIZELKZSTS&amp;VAR:QUERY=RkZfRUJJVERBX0lCKCdMVE1TJywzOTUyMSk=&amp;WINDOW=FIRST_POPUP&amp;HEIGHT=450&amp;WIDTH=450&amp;START_MA","XIMIZED=FALSE&amp;VAR:CALENDAR=US&amp;VAR:SYMBOL=05614P10&amp;VAR:INDEX=0"}</definedName>
    <definedName name="_2537__FDSAUDITLINK__" localSheetId="6" hidden="1">{"fdsup://directions/FAT Viewer?action=UPDATE&amp;creator=factset&amp;DYN_ARGS=TRUE&amp;DOC_NAME=FAT:FQL_AUDITING_CLIENT_TEMPLATE.FAT&amp;display_string=Audit&amp;VAR:KEY=DCXALYFQNG&amp;VAR:QUERY=RkZfRUJJVERBX0lCKCdMVE1TJywzOTUyMCk=&amp;WINDOW=FIRST_POPUP&amp;HEIGHT=450&amp;WIDTH=450&amp;START_MA","XIMIZED=FALSE&amp;VAR:CALENDAR=US&amp;VAR:SYMBOL=05614P10&amp;VAR:INDEX=0"}</definedName>
    <definedName name="_2537__FDSAUDITLINK__" hidden="1">{"fdsup://directions/FAT Viewer?action=UPDATE&amp;creator=factset&amp;DYN_ARGS=TRUE&amp;DOC_NAME=FAT:FQL_AUDITING_CLIENT_TEMPLATE.FAT&amp;display_string=Audit&amp;VAR:KEY=DCXALYFQNG&amp;VAR:QUERY=RkZfRUJJVERBX0lCKCdMVE1TJywzOTUyMCk=&amp;WINDOW=FIRST_POPUP&amp;HEIGHT=450&amp;WIDTH=450&amp;START_MA","XIMIZED=FALSE&amp;VAR:CALENDAR=US&amp;VAR:SYMBOL=05614P10&amp;VAR:INDEX=0"}</definedName>
    <definedName name="_2538__FDSAUDITLINK__" localSheetId="6" hidden="1">{"fdsup://directions/FAT Viewer?action=UPDATE&amp;creator=factset&amp;DYN_ARGS=TRUE&amp;DOC_NAME=FAT:FQL_AUDITING_CLIENT_TEMPLATE.FAT&amp;display_string=Audit&amp;VAR:KEY=TSNYZSLEBC&amp;VAR:QUERY=RkZfRUJJVERBX0lCKCdMVE1TJywzOTUxOSk=&amp;WINDOW=FIRST_POPUP&amp;HEIGHT=450&amp;WIDTH=450&amp;START_MA","XIMIZED=FALSE&amp;VAR:CALENDAR=US&amp;VAR:SYMBOL=05614P10&amp;VAR:INDEX=0"}</definedName>
    <definedName name="_2538__FDSAUDITLINK__" hidden="1">{"fdsup://directions/FAT Viewer?action=UPDATE&amp;creator=factset&amp;DYN_ARGS=TRUE&amp;DOC_NAME=FAT:FQL_AUDITING_CLIENT_TEMPLATE.FAT&amp;display_string=Audit&amp;VAR:KEY=TSNYZSLEBC&amp;VAR:QUERY=RkZfRUJJVERBX0lCKCdMVE1TJywzOTUxOSk=&amp;WINDOW=FIRST_POPUP&amp;HEIGHT=450&amp;WIDTH=450&amp;START_MA","XIMIZED=FALSE&amp;VAR:CALENDAR=US&amp;VAR:SYMBOL=05614P10&amp;VAR:INDEX=0"}</definedName>
    <definedName name="_2539__FDSAUDITLINK__" localSheetId="6" hidden="1">{"fdsup://directions/FAT Viewer?action=UPDATE&amp;creator=factset&amp;DYN_ARGS=TRUE&amp;DOC_NAME=FAT:FQL_AUDITING_CLIENT_TEMPLATE.FAT&amp;display_string=Audit&amp;VAR:KEY=BUZQLSRINI&amp;VAR:QUERY=RkZfRUJJVERBX0lCKCdMVE1TJywzOTUxOCk=&amp;WINDOW=FIRST_POPUP&amp;HEIGHT=450&amp;WIDTH=450&amp;START_MA","XIMIZED=FALSE&amp;VAR:CALENDAR=US&amp;VAR:SYMBOL=05614P10&amp;VAR:INDEX=0"}</definedName>
    <definedName name="_2539__FDSAUDITLINK__" hidden="1">{"fdsup://directions/FAT Viewer?action=UPDATE&amp;creator=factset&amp;DYN_ARGS=TRUE&amp;DOC_NAME=FAT:FQL_AUDITING_CLIENT_TEMPLATE.FAT&amp;display_string=Audit&amp;VAR:KEY=BUZQLSRINI&amp;VAR:QUERY=RkZfRUJJVERBX0lCKCdMVE1TJywzOTUxOCk=&amp;WINDOW=FIRST_POPUP&amp;HEIGHT=450&amp;WIDTH=450&amp;START_MA","XIMIZED=FALSE&amp;VAR:CALENDAR=US&amp;VAR:SYMBOL=05614P10&amp;VAR:INDEX=0"}</definedName>
    <definedName name="_254__FDSAUDITLINK__" localSheetId="6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4__FDSAUDITLINK__" hidden="1">{"fdsup://directions/FAT%20Viewer?VAR:PED=LTM&amp;VAR:AUDIT_MODE=SUMMARY&amp;VAR:PERIOD=FIXED&amp;VAR:AUDIT_ID=00000117&amp;VAR:DATE=20090612&amp;action=UPDATE&amp;creator=factset&amp;DOC_NAME=FAT:FMA_audit_SUMMARY.fat&amp;DISPLAY_STRING=Display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40__FDSAUDITLINK__" localSheetId="6" hidden="1">{"fdsup://directions/FAT Viewer?action=UPDATE&amp;creator=factset&amp;DYN_ARGS=TRUE&amp;DOC_NAME=FAT:FQL_AUDITING_CLIENT_TEMPLATE.FAT&amp;display_string=Audit&amp;VAR:KEY=ZYZORSHWVQ&amp;VAR:QUERY=RkZfRUJJVERBX0lCKCdMVE1TJywzOTUxNyk=&amp;WINDOW=FIRST_POPUP&amp;HEIGHT=450&amp;WIDTH=450&amp;START_MA","XIMIZED=FALSE&amp;VAR:CALENDAR=US&amp;VAR:SYMBOL=05614P10&amp;VAR:INDEX=0"}</definedName>
    <definedName name="_2540__FDSAUDITLINK__" hidden="1">{"fdsup://directions/FAT Viewer?action=UPDATE&amp;creator=factset&amp;DYN_ARGS=TRUE&amp;DOC_NAME=FAT:FQL_AUDITING_CLIENT_TEMPLATE.FAT&amp;display_string=Audit&amp;VAR:KEY=ZYZORSHWVQ&amp;VAR:QUERY=RkZfRUJJVERBX0lCKCdMVE1TJywzOTUxNyk=&amp;WINDOW=FIRST_POPUP&amp;HEIGHT=450&amp;WIDTH=450&amp;START_MA","XIMIZED=FALSE&amp;VAR:CALENDAR=US&amp;VAR:SYMBOL=05614P10&amp;VAR:INDEX=0"}</definedName>
    <definedName name="_2541__FDSAUDITLINK__" localSheetId="6" hidden="1">{"fdsup://directions/FAT Viewer?action=UPDATE&amp;creator=factset&amp;DYN_ARGS=TRUE&amp;DOC_NAME=FAT:FQL_AUDITING_CLIENT_TEMPLATE.FAT&amp;display_string=Audit&amp;VAR:KEY=HEXYZQHYNA&amp;VAR:QUERY=RkZfRUJJVERBX0lCKCdMVE1TJywzOTUxNik=&amp;WINDOW=FIRST_POPUP&amp;HEIGHT=450&amp;WIDTH=450&amp;START_MA","XIMIZED=FALSE&amp;VAR:CALENDAR=US&amp;VAR:SYMBOL=05614P10&amp;VAR:INDEX=0"}</definedName>
    <definedName name="_2541__FDSAUDITLINK__" hidden="1">{"fdsup://directions/FAT Viewer?action=UPDATE&amp;creator=factset&amp;DYN_ARGS=TRUE&amp;DOC_NAME=FAT:FQL_AUDITING_CLIENT_TEMPLATE.FAT&amp;display_string=Audit&amp;VAR:KEY=HEXYZQHYNA&amp;VAR:QUERY=RkZfRUJJVERBX0lCKCdMVE1TJywzOTUxNik=&amp;WINDOW=FIRST_POPUP&amp;HEIGHT=450&amp;WIDTH=450&amp;START_MA","XIMIZED=FALSE&amp;VAR:CALENDAR=US&amp;VAR:SYMBOL=05614P10&amp;VAR:INDEX=0"}</definedName>
    <definedName name="_2542__FDSAUDITLINK__" localSheetId="6" hidden="1">{"fdsup://directions/FAT Viewer?action=UPDATE&amp;creator=factset&amp;DYN_ARGS=TRUE&amp;DOC_NAME=FAT:FQL_AUDITING_CLIENT_TEMPLATE.FAT&amp;display_string=Audit&amp;VAR:KEY=LIJCHENULK&amp;VAR:QUERY=RkZfRUJJVERBX0lCKCdMVE1TJywzOTUxNSk=&amp;WINDOW=FIRST_POPUP&amp;HEIGHT=450&amp;WIDTH=450&amp;START_MA","XIMIZED=FALSE&amp;VAR:CALENDAR=US&amp;VAR:SYMBOL=05614P10&amp;VAR:INDEX=0"}</definedName>
    <definedName name="_2542__FDSAUDITLINK__" hidden="1">{"fdsup://directions/FAT Viewer?action=UPDATE&amp;creator=factset&amp;DYN_ARGS=TRUE&amp;DOC_NAME=FAT:FQL_AUDITING_CLIENT_TEMPLATE.FAT&amp;display_string=Audit&amp;VAR:KEY=LIJCHENULK&amp;VAR:QUERY=RkZfRUJJVERBX0lCKCdMVE1TJywzOTUxNSk=&amp;WINDOW=FIRST_POPUP&amp;HEIGHT=450&amp;WIDTH=450&amp;START_MA","XIMIZED=FALSE&amp;VAR:CALENDAR=US&amp;VAR:SYMBOL=05614P10&amp;VAR:INDEX=0"}</definedName>
    <definedName name="_2543__FDSAUDITLINK__" localSheetId="6" hidden="1">{"fdsup://directions/FAT Viewer?action=UPDATE&amp;creator=factset&amp;DYN_ARGS=TRUE&amp;DOC_NAME=FAT:FQL_AUDITING_CLIENT_TEMPLATE.FAT&amp;display_string=Audit&amp;VAR:KEY=BYFSZYHYDU&amp;VAR:QUERY=RkZfRUJJVERBX0lCKCdMVE1TJywzOTUxNCk=&amp;WINDOW=FIRST_POPUP&amp;HEIGHT=450&amp;WIDTH=450&amp;START_MA","XIMIZED=FALSE&amp;VAR:CALENDAR=US&amp;VAR:SYMBOL=05614P10&amp;VAR:INDEX=0"}</definedName>
    <definedName name="_2543__FDSAUDITLINK__" hidden="1">{"fdsup://directions/FAT Viewer?action=UPDATE&amp;creator=factset&amp;DYN_ARGS=TRUE&amp;DOC_NAME=FAT:FQL_AUDITING_CLIENT_TEMPLATE.FAT&amp;display_string=Audit&amp;VAR:KEY=BYFSZYHYDU&amp;VAR:QUERY=RkZfRUJJVERBX0lCKCdMVE1TJywzOTUxNCk=&amp;WINDOW=FIRST_POPUP&amp;HEIGHT=450&amp;WIDTH=450&amp;START_MA","XIMIZED=FALSE&amp;VAR:CALENDAR=US&amp;VAR:SYMBOL=05614P10&amp;VAR:INDEX=0"}</definedName>
    <definedName name="_2544__FDSAUDITLINK__" localSheetId="6" hidden="1">{"fdsup://directions/FAT Viewer?action=UPDATE&amp;creator=factset&amp;DYN_ARGS=TRUE&amp;DOC_NAME=FAT:FQL_AUDITING_CLIENT_TEMPLATE.FAT&amp;display_string=Audit&amp;VAR:KEY=HYBSZQXQNU&amp;VAR:QUERY=RkZfRUJJVERBX0lCKCdMVE1TJywzOTUxMyk=&amp;WINDOW=FIRST_POPUP&amp;HEIGHT=450&amp;WIDTH=450&amp;START_MA","XIMIZED=FALSE&amp;VAR:CALENDAR=US&amp;VAR:SYMBOL=05614P10&amp;VAR:INDEX=0"}</definedName>
    <definedName name="_2544__FDSAUDITLINK__" hidden="1">{"fdsup://directions/FAT Viewer?action=UPDATE&amp;creator=factset&amp;DYN_ARGS=TRUE&amp;DOC_NAME=FAT:FQL_AUDITING_CLIENT_TEMPLATE.FAT&amp;display_string=Audit&amp;VAR:KEY=HYBSZQXQNU&amp;VAR:QUERY=RkZfRUJJVERBX0lCKCdMVE1TJywzOTUxMyk=&amp;WINDOW=FIRST_POPUP&amp;HEIGHT=450&amp;WIDTH=450&amp;START_MA","XIMIZED=FALSE&amp;VAR:CALENDAR=US&amp;VAR:SYMBOL=05614P10&amp;VAR:INDEX=0"}</definedName>
    <definedName name="_2545__FDSAUDITLINK__" localSheetId="6" hidden="1">{"fdsup://directions/FAT Viewer?action=UPDATE&amp;creator=factset&amp;DYN_ARGS=TRUE&amp;DOC_NAME=FAT:FQL_AUDITING_CLIENT_TEMPLATE.FAT&amp;display_string=Audit&amp;VAR:KEY=JEPCNIRKDG&amp;VAR:QUERY=RkZfRUJJVERBX0lCKCdMVE1TJywzOTUxMik=&amp;WINDOW=FIRST_POPUP&amp;HEIGHT=450&amp;WIDTH=450&amp;START_MA","XIMIZED=FALSE&amp;VAR:CALENDAR=US&amp;VAR:SYMBOL=05614P10&amp;VAR:INDEX=0"}</definedName>
    <definedName name="_2545__FDSAUDITLINK__" hidden="1">{"fdsup://directions/FAT Viewer?action=UPDATE&amp;creator=factset&amp;DYN_ARGS=TRUE&amp;DOC_NAME=FAT:FQL_AUDITING_CLIENT_TEMPLATE.FAT&amp;display_string=Audit&amp;VAR:KEY=JEPCNIRKDG&amp;VAR:QUERY=RkZfRUJJVERBX0lCKCdMVE1TJywzOTUxMik=&amp;WINDOW=FIRST_POPUP&amp;HEIGHT=450&amp;WIDTH=450&amp;START_MA","XIMIZED=FALSE&amp;VAR:CALENDAR=US&amp;VAR:SYMBOL=05614P10&amp;VAR:INDEX=0"}</definedName>
    <definedName name="_2546__FDSAUDITLINK__" localSheetId="6" hidden="1">{"fdsup://directions/FAT Viewer?action=UPDATE&amp;creator=factset&amp;DYN_ARGS=TRUE&amp;DOC_NAME=FAT:FQL_AUDITING_CLIENT_TEMPLATE.FAT&amp;display_string=Audit&amp;VAR:KEY=FMVAHGLWVA&amp;VAR:QUERY=RkZfRUJJVERBX0lCKCdMVE1TJywzOTUxMSk=&amp;WINDOW=FIRST_POPUP&amp;HEIGHT=450&amp;WIDTH=450&amp;START_MA","XIMIZED=FALSE&amp;VAR:CALENDAR=US&amp;VAR:SYMBOL=05614P10&amp;VAR:INDEX=0"}</definedName>
    <definedName name="_2546__FDSAUDITLINK__" hidden="1">{"fdsup://directions/FAT Viewer?action=UPDATE&amp;creator=factset&amp;DYN_ARGS=TRUE&amp;DOC_NAME=FAT:FQL_AUDITING_CLIENT_TEMPLATE.FAT&amp;display_string=Audit&amp;VAR:KEY=FMVAHGLWVA&amp;VAR:QUERY=RkZfRUJJVERBX0lCKCdMVE1TJywzOTUxMSk=&amp;WINDOW=FIRST_POPUP&amp;HEIGHT=450&amp;WIDTH=450&amp;START_MA","XIMIZED=FALSE&amp;VAR:CALENDAR=US&amp;VAR:SYMBOL=05614P10&amp;VAR:INDEX=0"}</definedName>
    <definedName name="_2547__FDSAUDITLINK__" localSheetId="6" hidden="1">{"fdsup://directions/FAT Viewer?action=UPDATE&amp;creator=factset&amp;DYN_ARGS=TRUE&amp;DOC_NAME=FAT:FQL_AUDITING_CLIENT_TEMPLATE.FAT&amp;display_string=Audit&amp;VAR:KEY=XCLWNUBCRG&amp;VAR:QUERY=RkZfRUJJVERBX0lCKCdMVE1TJywzOTUxMCk=&amp;WINDOW=FIRST_POPUP&amp;HEIGHT=450&amp;WIDTH=450&amp;START_MA","XIMIZED=FALSE&amp;VAR:CALENDAR=US&amp;VAR:SYMBOL=05614P10&amp;VAR:INDEX=0"}</definedName>
    <definedName name="_2547__FDSAUDITLINK__" hidden="1">{"fdsup://directions/FAT Viewer?action=UPDATE&amp;creator=factset&amp;DYN_ARGS=TRUE&amp;DOC_NAME=FAT:FQL_AUDITING_CLIENT_TEMPLATE.FAT&amp;display_string=Audit&amp;VAR:KEY=XCLWNUBCRG&amp;VAR:QUERY=RkZfRUJJVERBX0lCKCdMVE1TJywzOTUxMCk=&amp;WINDOW=FIRST_POPUP&amp;HEIGHT=450&amp;WIDTH=450&amp;START_MA","XIMIZED=FALSE&amp;VAR:CALENDAR=US&amp;VAR:SYMBOL=05614P10&amp;VAR:INDEX=0"}</definedName>
    <definedName name="_2548__FDSAUDITLINK__" localSheetId="6" hidden="1">{"fdsup://directions/FAT Viewer?action=UPDATE&amp;creator=factset&amp;DYN_ARGS=TRUE&amp;DOC_NAME=FAT:FQL_AUDITING_CLIENT_TEMPLATE.FAT&amp;display_string=Audit&amp;VAR:KEY=FQJEFYDKDU&amp;VAR:QUERY=RkZfRUJJVERBX0lCKCdMVE1TJywzOTUwOSk=&amp;WINDOW=FIRST_POPUP&amp;HEIGHT=450&amp;WIDTH=450&amp;START_MA","XIMIZED=FALSE&amp;VAR:CALENDAR=US&amp;VAR:SYMBOL=05614P10&amp;VAR:INDEX=0"}</definedName>
    <definedName name="_2548__FDSAUDITLINK__" hidden="1">{"fdsup://directions/FAT Viewer?action=UPDATE&amp;creator=factset&amp;DYN_ARGS=TRUE&amp;DOC_NAME=FAT:FQL_AUDITING_CLIENT_TEMPLATE.FAT&amp;display_string=Audit&amp;VAR:KEY=FQJEFYDKDU&amp;VAR:QUERY=RkZfRUJJVERBX0lCKCdMVE1TJywzOTUwOSk=&amp;WINDOW=FIRST_POPUP&amp;HEIGHT=450&amp;WIDTH=450&amp;START_MA","XIMIZED=FALSE&amp;VAR:CALENDAR=US&amp;VAR:SYMBOL=05614P10&amp;VAR:INDEX=0"}</definedName>
    <definedName name="_2549__FDSAUDITLINK__" localSheetId="6" hidden="1">{"fdsup://directions/FAT Viewer?action=UPDATE&amp;creator=factset&amp;DYN_ARGS=TRUE&amp;DOC_NAME=FAT:FQL_AUDITING_CLIENT_TEMPLATE.FAT&amp;display_string=Audit&amp;VAR:KEY=PWRKZAZCJC&amp;VAR:QUERY=RkZfRUJJVERBX0lCKCdMVE1TJywzOTUwOCk=&amp;WINDOW=FIRST_POPUP&amp;HEIGHT=450&amp;WIDTH=450&amp;START_MA","XIMIZED=FALSE&amp;VAR:CALENDAR=US&amp;VAR:SYMBOL=05614P10&amp;VAR:INDEX=0"}</definedName>
    <definedName name="_2549__FDSAUDITLINK__" hidden="1">{"fdsup://directions/FAT Viewer?action=UPDATE&amp;creator=factset&amp;DYN_ARGS=TRUE&amp;DOC_NAME=FAT:FQL_AUDITING_CLIENT_TEMPLATE.FAT&amp;display_string=Audit&amp;VAR:KEY=PWRKZAZCJC&amp;VAR:QUERY=RkZfRUJJVERBX0lCKCdMVE1TJywzOTUwOCk=&amp;WINDOW=FIRST_POPUP&amp;HEIGHT=450&amp;WIDTH=450&amp;START_MA","XIMIZED=FALSE&amp;VAR:CALENDAR=US&amp;VAR:SYMBOL=05614P10&amp;VAR:INDEX=0"}</definedName>
    <definedName name="_255__FDSAUDITLINK__" localSheetId="6" hidden="1">{"fdsup://directions/FAT%20Viewer?VAR:PED=LTM&amp;VAR:AUDIT_MODE=SUMMARY&amp;VAR:PERIOD=FIXED&amp;VAR:AUDIT_ID=00000117&amp;VAR:DATE=20090611&amp;action=UPDATE&amp;creator=factset&amp;DOC_NAME=FAT:FMA_audit_SUMMARY.fat&amp;DISPLAY_STRING=Display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5__FDSAUDITLINK__" hidden="1">{"fdsup://directions/FAT%20Viewer?VAR:PED=LTM&amp;VAR:AUDIT_MODE=SUMMARY&amp;VAR:PERIOD=FIXED&amp;VAR:AUDIT_ID=00000117&amp;VAR:DATE=20090611&amp;action=UPDATE&amp;creator=factset&amp;DOC_NAME=FAT:FMA_audit_SUMMARY.fat&amp;DISPLAY_STRING=Display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50__FDSAUDITLINK__" localSheetId="6" hidden="1">{"fdsup://directions/FAT Viewer?action=UPDATE&amp;creator=factset&amp;DYN_ARGS=TRUE&amp;DOC_NAME=FAT:FQL_AUDITING_CLIENT_TEMPLATE.FAT&amp;display_string=Audit&amp;VAR:KEY=DQNEZITGJA&amp;VAR:QUERY=RkZfRUJJVERBX0lCKCdMVE1TJywzOTUwNyk=&amp;WINDOW=FIRST_POPUP&amp;HEIGHT=450&amp;WIDTH=450&amp;START_MA","XIMIZED=FALSE&amp;VAR:CALENDAR=US&amp;VAR:SYMBOL=05614P10&amp;VAR:INDEX=0"}</definedName>
    <definedName name="_2550__FDSAUDITLINK__" hidden="1">{"fdsup://directions/FAT Viewer?action=UPDATE&amp;creator=factset&amp;DYN_ARGS=TRUE&amp;DOC_NAME=FAT:FQL_AUDITING_CLIENT_TEMPLATE.FAT&amp;display_string=Audit&amp;VAR:KEY=DQNEZITGJA&amp;VAR:QUERY=RkZfRUJJVERBX0lCKCdMVE1TJywzOTUwNyk=&amp;WINDOW=FIRST_POPUP&amp;HEIGHT=450&amp;WIDTH=450&amp;START_MA","XIMIZED=FALSE&amp;VAR:CALENDAR=US&amp;VAR:SYMBOL=05614P10&amp;VAR:INDEX=0"}</definedName>
    <definedName name="_2551__FDSAUDITLINK__" localSheetId="6" hidden="1">{"fdsup://directions/FAT Viewer?action=UPDATE&amp;creator=factset&amp;DYN_ARGS=TRUE&amp;DOC_NAME=FAT:FQL_AUDITING_CLIENT_TEMPLATE.FAT&amp;display_string=Audit&amp;VAR:KEY=DELAZYRYZI&amp;VAR:QUERY=RkZfRUJJVERBX0lCKCdMVE1TJywzOTUwNik=&amp;WINDOW=FIRST_POPUP&amp;HEIGHT=450&amp;WIDTH=450&amp;START_MA","XIMIZED=FALSE&amp;VAR:CALENDAR=US&amp;VAR:SYMBOL=05614P10&amp;VAR:INDEX=0"}</definedName>
    <definedName name="_2551__FDSAUDITLINK__" hidden="1">{"fdsup://directions/FAT Viewer?action=UPDATE&amp;creator=factset&amp;DYN_ARGS=TRUE&amp;DOC_NAME=FAT:FQL_AUDITING_CLIENT_TEMPLATE.FAT&amp;display_string=Audit&amp;VAR:KEY=DELAZYRYZI&amp;VAR:QUERY=RkZfRUJJVERBX0lCKCdMVE1TJywzOTUwNik=&amp;WINDOW=FIRST_POPUP&amp;HEIGHT=450&amp;WIDTH=450&amp;START_MA","XIMIZED=FALSE&amp;VAR:CALENDAR=US&amp;VAR:SYMBOL=05614P10&amp;VAR:INDEX=0"}</definedName>
    <definedName name="_2552__FDSAUDITLINK__" localSheetId="6" hidden="1">{"fdsup://directions/FAT Viewer?action=UPDATE&amp;creator=factset&amp;DYN_ARGS=TRUE&amp;DOC_NAME=FAT:FQL_AUDITING_CLIENT_TEMPLATE.FAT&amp;display_string=Audit&amp;VAR:KEY=JYDGTMBANM&amp;VAR:QUERY=RkZfRUJJVERBX0lCKCdMVE1TJywzOTUwNSk=&amp;WINDOW=FIRST_POPUP&amp;HEIGHT=450&amp;WIDTH=450&amp;START_MA","XIMIZED=FALSE&amp;VAR:CALENDAR=US&amp;VAR:SYMBOL=05614P10&amp;VAR:INDEX=0"}</definedName>
    <definedName name="_2552__FDSAUDITLINK__" hidden="1">{"fdsup://directions/FAT Viewer?action=UPDATE&amp;creator=factset&amp;DYN_ARGS=TRUE&amp;DOC_NAME=FAT:FQL_AUDITING_CLIENT_TEMPLATE.FAT&amp;display_string=Audit&amp;VAR:KEY=JYDGTMBANM&amp;VAR:QUERY=RkZfRUJJVERBX0lCKCdMVE1TJywzOTUwNSk=&amp;WINDOW=FIRST_POPUP&amp;HEIGHT=450&amp;WIDTH=450&amp;START_MA","XIMIZED=FALSE&amp;VAR:CALENDAR=US&amp;VAR:SYMBOL=05614P10&amp;VAR:INDEX=0"}</definedName>
    <definedName name="_2553__FDSAUDITLINK__" localSheetId="6" hidden="1">{"fdsup://directions/FAT Viewer?action=UPDATE&amp;creator=factset&amp;DYN_ARGS=TRUE&amp;DOC_NAME=FAT:FQL_AUDITING_CLIENT_TEMPLATE.FAT&amp;display_string=Audit&amp;VAR:KEY=VERSFOJWBG&amp;VAR:QUERY=RkZfRUJJVERBX0lCKCdMVE1TJywzOTUwNCk=&amp;WINDOW=FIRST_POPUP&amp;HEIGHT=450&amp;WIDTH=450&amp;START_MA","XIMIZED=FALSE&amp;VAR:CALENDAR=US&amp;VAR:SYMBOL=05614P10&amp;VAR:INDEX=0"}</definedName>
    <definedName name="_2553__FDSAUDITLINK__" hidden="1">{"fdsup://directions/FAT Viewer?action=UPDATE&amp;creator=factset&amp;DYN_ARGS=TRUE&amp;DOC_NAME=FAT:FQL_AUDITING_CLIENT_TEMPLATE.FAT&amp;display_string=Audit&amp;VAR:KEY=VERSFOJWBG&amp;VAR:QUERY=RkZfRUJJVERBX0lCKCdMVE1TJywzOTUwNCk=&amp;WINDOW=FIRST_POPUP&amp;HEIGHT=450&amp;WIDTH=450&amp;START_MA","XIMIZED=FALSE&amp;VAR:CALENDAR=US&amp;VAR:SYMBOL=05614P10&amp;VAR:INDEX=0"}</definedName>
    <definedName name="_2554__FDSAUDITLINK__" localSheetId="6" hidden="1">{"fdsup://directions/FAT Viewer?action=UPDATE&amp;creator=factset&amp;DYN_ARGS=TRUE&amp;DOC_NAME=FAT:FQL_AUDITING_CLIENT_TEMPLATE.FAT&amp;display_string=Audit&amp;VAR:KEY=RGNGJIPGRM&amp;VAR:QUERY=RkZfRUJJVERBX0lCKCdMVE1TJywzOTUwMyk=&amp;WINDOW=FIRST_POPUP&amp;HEIGHT=450&amp;WIDTH=450&amp;START_MA","XIMIZED=FALSE&amp;VAR:CALENDAR=US&amp;VAR:SYMBOL=05614P10&amp;VAR:INDEX=0"}</definedName>
    <definedName name="_2554__FDSAUDITLINK__" hidden="1">{"fdsup://directions/FAT Viewer?action=UPDATE&amp;creator=factset&amp;DYN_ARGS=TRUE&amp;DOC_NAME=FAT:FQL_AUDITING_CLIENT_TEMPLATE.FAT&amp;display_string=Audit&amp;VAR:KEY=RGNGJIPGRM&amp;VAR:QUERY=RkZfRUJJVERBX0lCKCdMVE1TJywzOTUwMyk=&amp;WINDOW=FIRST_POPUP&amp;HEIGHT=450&amp;WIDTH=450&amp;START_MA","XIMIZED=FALSE&amp;VAR:CALENDAR=US&amp;VAR:SYMBOL=05614P10&amp;VAR:INDEX=0"}</definedName>
    <definedName name="_2555__FDSAUDITLINK__" localSheetId="6" hidden="1">{"fdsup://directions/FAT Viewer?action=UPDATE&amp;creator=factset&amp;DYN_ARGS=TRUE&amp;DOC_NAME=FAT:FQL_AUDITING_CLIENT_TEMPLATE.FAT&amp;display_string=Audit&amp;VAR:KEY=BSXUHAVGXA&amp;VAR:QUERY=RkZfRUJJVERBX0lCKCdMVE1TJywzOTUwMik=&amp;WINDOW=FIRST_POPUP&amp;HEIGHT=450&amp;WIDTH=450&amp;START_MA","XIMIZED=FALSE&amp;VAR:CALENDAR=US&amp;VAR:SYMBOL=05614P10&amp;VAR:INDEX=0"}</definedName>
    <definedName name="_2555__FDSAUDITLINK__" hidden="1">{"fdsup://directions/FAT Viewer?action=UPDATE&amp;creator=factset&amp;DYN_ARGS=TRUE&amp;DOC_NAME=FAT:FQL_AUDITING_CLIENT_TEMPLATE.FAT&amp;display_string=Audit&amp;VAR:KEY=BSXUHAVGXA&amp;VAR:QUERY=RkZfRUJJVERBX0lCKCdMVE1TJywzOTUwMik=&amp;WINDOW=FIRST_POPUP&amp;HEIGHT=450&amp;WIDTH=450&amp;START_MA","XIMIZED=FALSE&amp;VAR:CALENDAR=US&amp;VAR:SYMBOL=05614P10&amp;VAR:INDEX=0"}</definedName>
    <definedName name="_2556__FDSAUDITLINK__" localSheetId="6" hidden="1">{"fdsup://directions/FAT Viewer?action=UPDATE&amp;creator=factset&amp;DYN_ARGS=TRUE&amp;DOC_NAME=FAT:FQL_AUDITING_CLIENT_TEMPLATE.FAT&amp;display_string=Audit&amp;VAR:KEY=NQNAPUBKRS&amp;VAR:QUERY=RkZfRUJJVERBX0lCKCdMVE1TJywzOTUwMSk=&amp;WINDOW=FIRST_POPUP&amp;HEIGHT=450&amp;WIDTH=450&amp;START_MA","XIMIZED=FALSE&amp;VAR:CALENDAR=US&amp;VAR:SYMBOL=05614P10&amp;VAR:INDEX=0"}</definedName>
    <definedName name="_2556__FDSAUDITLINK__" hidden="1">{"fdsup://directions/FAT Viewer?action=UPDATE&amp;creator=factset&amp;DYN_ARGS=TRUE&amp;DOC_NAME=FAT:FQL_AUDITING_CLIENT_TEMPLATE.FAT&amp;display_string=Audit&amp;VAR:KEY=NQNAPUBKRS&amp;VAR:QUERY=RkZfRUJJVERBX0lCKCdMVE1TJywzOTUwMSk=&amp;WINDOW=FIRST_POPUP&amp;HEIGHT=450&amp;WIDTH=450&amp;START_MA","XIMIZED=FALSE&amp;VAR:CALENDAR=US&amp;VAR:SYMBOL=05614P10&amp;VAR:INDEX=0"}</definedName>
    <definedName name="_2557__FDSAUDITLINK__" localSheetId="6" hidden="1">{"fdsup://directions/FAT Viewer?action=UPDATE&amp;creator=factset&amp;DYN_ARGS=TRUE&amp;DOC_NAME=FAT:FQL_AUDITING_CLIENT_TEMPLATE.FAT&amp;display_string=Audit&amp;VAR:KEY=LMVCZADATY&amp;VAR:QUERY=RkZfRUJJVERBX0lCKCdMVE1TJywzOTUwMCk=&amp;WINDOW=FIRST_POPUP&amp;HEIGHT=450&amp;WIDTH=450&amp;START_MA","XIMIZED=FALSE&amp;VAR:CALENDAR=US&amp;VAR:SYMBOL=05614P10&amp;VAR:INDEX=0"}</definedName>
    <definedName name="_2557__FDSAUDITLINK__" hidden="1">{"fdsup://directions/FAT Viewer?action=UPDATE&amp;creator=factset&amp;DYN_ARGS=TRUE&amp;DOC_NAME=FAT:FQL_AUDITING_CLIENT_TEMPLATE.FAT&amp;display_string=Audit&amp;VAR:KEY=LMVCZADATY&amp;VAR:QUERY=RkZfRUJJVERBX0lCKCdMVE1TJywzOTUwMCk=&amp;WINDOW=FIRST_POPUP&amp;HEIGHT=450&amp;WIDTH=450&amp;START_MA","XIMIZED=FALSE&amp;VAR:CALENDAR=US&amp;VAR:SYMBOL=05614P10&amp;VAR:INDEX=0"}</definedName>
    <definedName name="_2558__FDSAUDITLINK__" localSheetId="6" hidden="1">{"fdsup://directions/FAT Viewer?action=UPDATE&amp;creator=factset&amp;DYN_ARGS=TRUE&amp;DOC_NAME=FAT:FQL_AUDITING_CLIENT_TEMPLATE.FAT&amp;display_string=Audit&amp;VAR:KEY=VGPMZKDYZO&amp;VAR:QUERY=RkZfRUJJVERBX0lCKCdMVE1TJywzOTQ5OSk=&amp;WINDOW=FIRST_POPUP&amp;HEIGHT=450&amp;WIDTH=450&amp;START_MA","XIMIZED=FALSE&amp;VAR:CALENDAR=US&amp;VAR:SYMBOL=05614P10&amp;VAR:INDEX=0"}</definedName>
    <definedName name="_2558__FDSAUDITLINK__" hidden="1">{"fdsup://directions/FAT Viewer?action=UPDATE&amp;creator=factset&amp;DYN_ARGS=TRUE&amp;DOC_NAME=FAT:FQL_AUDITING_CLIENT_TEMPLATE.FAT&amp;display_string=Audit&amp;VAR:KEY=VGPMZKDYZO&amp;VAR:QUERY=RkZfRUJJVERBX0lCKCdMVE1TJywzOTQ5OSk=&amp;WINDOW=FIRST_POPUP&amp;HEIGHT=450&amp;WIDTH=450&amp;START_MA","XIMIZED=FALSE&amp;VAR:CALENDAR=US&amp;VAR:SYMBOL=05614P10&amp;VAR:INDEX=0"}</definedName>
    <definedName name="_2559__FDSAUDITLINK__" localSheetId="6" hidden="1">{"fdsup://directions/FAT Viewer?action=UPDATE&amp;creator=factset&amp;DYN_ARGS=TRUE&amp;DOC_NAME=FAT:FQL_AUDITING_CLIENT_TEMPLATE.FAT&amp;display_string=Audit&amp;VAR:KEY=FWDUBYROBS&amp;VAR:QUERY=RkZfRUJJVERBX0lCKCdMVE1TJywzOTQ5OCk=&amp;WINDOW=FIRST_POPUP&amp;HEIGHT=450&amp;WIDTH=450&amp;START_MA","XIMIZED=FALSE&amp;VAR:CALENDAR=US&amp;VAR:SYMBOL=05614P10&amp;VAR:INDEX=0"}</definedName>
    <definedName name="_2559__FDSAUDITLINK__" hidden="1">{"fdsup://directions/FAT Viewer?action=UPDATE&amp;creator=factset&amp;DYN_ARGS=TRUE&amp;DOC_NAME=FAT:FQL_AUDITING_CLIENT_TEMPLATE.FAT&amp;display_string=Audit&amp;VAR:KEY=FWDUBYROBS&amp;VAR:QUERY=RkZfRUJJVERBX0lCKCdMVE1TJywzOTQ5OCk=&amp;WINDOW=FIRST_POPUP&amp;HEIGHT=450&amp;WIDTH=450&amp;START_MA","XIMIZED=FALSE&amp;VAR:CALENDAR=US&amp;VAR:SYMBOL=05614P10&amp;VAR:INDEX=0"}</definedName>
    <definedName name="_256__FDSAUDITLINK__" localSheetId="6" hidden="1">{"fdsup://directions/FAT%20Viewer?VAR:PED=LTM&amp;VAR:AUDIT_MODE=SUMMARY&amp;VAR:PERIOD=FIXED&amp;VAR:AUDIT_ID=00000117&amp;VAR:DATE=20090610&amp;action=UPDATE&amp;creator=factset&amp;DOC_NAME=FAT:FMA_audit_SUMMARY.fat&amp;DISPLAY_STRING=Display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6__FDSAUDITLINK__" hidden="1">{"fdsup://directions/FAT%20Viewer?VAR:PED=LTM&amp;VAR:AUDIT_MODE=SUMMARY&amp;VAR:PERIOD=FIXED&amp;VAR:AUDIT_ID=00000117&amp;VAR:DATE=20090610&amp;action=UPDATE&amp;creator=factset&amp;DOC_NAME=FAT:FMA_audit_SUMMARY.fat&amp;DISPLAY_STRING=Display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60__FDSAUDITLINK__" localSheetId="6" hidden="1">{"fdsup://directions/FAT Viewer?action=UPDATE&amp;creator=factset&amp;DYN_ARGS=TRUE&amp;DOC_NAME=FAT:FQL_AUDITING_CLIENT_TEMPLATE.FAT&amp;display_string=Audit&amp;VAR:KEY=PAREZQLULO&amp;VAR:QUERY=RkZfRUJJVERBX0lCKCdMVE1TJywzOTQ5Nyk=&amp;WINDOW=FIRST_POPUP&amp;HEIGHT=450&amp;WIDTH=450&amp;START_MA","XIMIZED=FALSE&amp;VAR:CALENDAR=US&amp;VAR:SYMBOL=05614P10&amp;VAR:INDEX=0"}</definedName>
    <definedName name="_2560__FDSAUDITLINK__" hidden="1">{"fdsup://directions/FAT Viewer?action=UPDATE&amp;creator=factset&amp;DYN_ARGS=TRUE&amp;DOC_NAME=FAT:FQL_AUDITING_CLIENT_TEMPLATE.FAT&amp;display_string=Audit&amp;VAR:KEY=PAREZQLULO&amp;VAR:QUERY=RkZfRUJJVERBX0lCKCdMVE1TJywzOTQ5Nyk=&amp;WINDOW=FIRST_POPUP&amp;HEIGHT=450&amp;WIDTH=450&amp;START_MA","XIMIZED=FALSE&amp;VAR:CALENDAR=US&amp;VAR:SYMBOL=05614P10&amp;VAR:INDEX=0"}</definedName>
    <definedName name="_2561__FDSAUDITLINK__" localSheetId="6" hidden="1">{"fdsup://directions/FAT Viewer?action=UPDATE&amp;creator=factset&amp;DYN_ARGS=TRUE&amp;DOC_NAME=FAT:FQL_AUDITING_CLIENT_TEMPLATE.FAT&amp;display_string=Audit&amp;VAR:KEY=LGVMXANELS&amp;VAR:QUERY=RkZfRUJJVERBX0lCKCdMVE1TJywzOTQ5Nik=&amp;WINDOW=FIRST_POPUP&amp;HEIGHT=450&amp;WIDTH=450&amp;START_MA","XIMIZED=FALSE&amp;VAR:CALENDAR=US&amp;VAR:SYMBOL=05614P10&amp;VAR:INDEX=0"}</definedName>
    <definedName name="_2561__FDSAUDITLINK__" hidden="1">{"fdsup://directions/FAT Viewer?action=UPDATE&amp;creator=factset&amp;DYN_ARGS=TRUE&amp;DOC_NAME=FAT:FQL_AUDITING_CLIENT_TEMPLATE.FAT&amp;display_string=Audit&amp;VAR:KEY=LGVMXANELS&amp;VAR:QUERY=RkZfRUJJVERBX0lCKCdMVE1TJywzOTQ5Nik=&amp;WINDOW=FIRST_POPUP&amp;HEIGHT=450&amp;WIDTH=450&amp;START_MA","XIMIZED=FALSE&amp;VAR:CALENDAR=US&amp;VAR:SYMBOL=05614P10&amp;VAR:INDEX=0"}</definedName>
    <definedName name="_2562__FDSAUDITLINK__" localSheetId="6" hidden="1">{"fdsup://directions/FAT Viewer?action=UPDATE&amp;creator=factset&amp;DYN_ARGS=TRUE&amp;DOC_NAME=FAT:FQL_AUDITING_CLIENT_TEMPLATE.FAT&amp;display_string=Audit&amp;VAR:KEY=RGRYRKTIRK&amp;VAR:QUERY=RkZfRUJJVERBX0lCKCdMVE1TJywzOTQ5NSk=&amp;WINDOW=FIRST_POPUP&amp;HEIGHT=450&amp;WIDTH=450&amp;START_MA","XIMIZED=FALSE&amp;VAR:CALENDAR=US&amp;VAR:SYMBOL=05614P10&amp;VAR:INDEX=0"}</definedName>
    <definedName name="_2562__FDSAUDITLINK__" hidden="1">{"fdsup://directions/FAT Viewer?action=UPDATE&amp;creator=factset&amp;DYN_ARGS=TRUE&amp;DOC_NAME=FAT:FQL_AUDITING_CLIENT_TEMPLATE.FAT&amp;display_string=Audit&amp;VAR:KEY=RGRYRKTIRK&amp;VAR:QUERY=RkZfRUJJVERBX0lCKCdMVE1TJywzOTQ5NSk=&amp;WINDOW=FIRST_POPUP&amp;HEIGHT=450&amp;WIDTH=450&amp;START_MA","XIMIZED=FALSE&amp;VAR:CALENDAR=US&amp;VAR:SYMBOL=05614P10&amp;VAR:INDEX=0"}</definedName>
    <definedName name="_2563__FDSAUDITLINK__" localSheetId="6" hidden="1">{"fdsup://directions/FAT Viewer?action=UPDATE&amp;creator=factset&amp;DYN_ARGS=TRUE&amp;DOC_NAME=FAT:FQL_AUDITING_CLIENT_TEMPLATE.FAT&amp;display_string=Audit&amp;VAR:KEY=DGRATIDWVO&amp;VAR:QUERY=RkZfRUJJVERBX0lCKCdMVE1TJywzOTQ5NCk=&amp;WINDOW=FIRST_POPUP&amp;HEIGHT=450&amp;WIDTH=450&amp;START_MA","XIMIZED=FALSE&amp;VAR:CALENDAR=US&amp;VAR:SYMBOL=05614P10&amp;VAR:INDEX=0"}</definedName>
    <definedName name="_2563__FDSAUDITLINK__" hidden="1">{"fdsup://directions/FAT Viewer?action=UPDATE&amp;creator=factset&amp;DYN_ARGS=TRUE&amp;DOC_NAME=FAT:FQL_AUDITING_CLIENT_TEMPLATE.FAT&amp;display_string=Audit&amp;VAR:KEY=DGRATIDWVO&amp;VAR:QUERY=RkZfRUJJVERBX0lCKCdMVE1TJywzOTQ5NCk=&amp;WINDOW=FIRST_POPUP&amp;HEIGHT=450&amp;WIDTH=450&amp;START_MA","XIMIZED=FALSE&amp;VAR:CALENDAR=US&amp;VAR:SYMBOL=05614P10&amp;VAR:INDEX=0"}</definedName>
    <definedName name="_2564__FDSAUDITLINK__" localSheetId="6" hidden="1">{"fdsup://directions/FAT Viewer?action=UPDATE&amp;creator=factset&amp;DYN_ARGS=TRUE&amp;DOC_NAME=FAT:FQL_AUDITING_CLIENT_TEMPLATE.FAT&amp;display_string=Audit&amp;VAR:KEY=FEJOLCDUBS&amp;VAR:QUERY=RkZfRUJJVERBX0lCKCdMVE1TJywzOTQ5Myk=&amp;WINDOW=FIRST_POPUP&amp;HEIGHT=450&amp;WIDTH=450&amp;START_MA","XIMIZED=FALSE&amp;VAR:CALENDAR=US&amp;VAR:SYMBOL=05614P10&amp;VAR:INDEX=0"}</definedName>
    <definedName name="_2564__FDSAUDITLINK__" hidden="1">{"fdsup://directions/FAT Viewer?action=UPDATE&amp;creator=factset&amp;DYN_ARGS=TRUE&amp;DOC_NAME=FAT:FQL_AUDITING_CLIENT_TEMPLATE.FAT&amp;display_string=Audit&amp;VAR:KEY=FEJOLCDUBS&amp;VAR:QUERY=RkZfRUJJVERBX0lCKCdMVE1TJywzOTQ5Myk=&amp;WINDOW=FIRST_POPUP&amp;HEIGHT=450&amp;WIDTH=450&amp;START_MA","XIMIZED=FALSE&amp;VAR:CALENDAR=US&amp;VAR:SYMBOL=05614P10&amp;VAR:INDEX=0"}</definedName>
    <definedName name="_2565__FDSAUDITLINK__" localSheetId="6" hidden="1">{"fdsup://directions/FAT Viewer?action=UPDATE&amp;creator=factset&amp;DYN_ARGS=TRUE&amp;DOC_NAME=FAT:FQL_AUDITING_CLIENT_TEMPLATE.FAT&amp;display_string=Audit&amp;VAR:KEY=ZOZWZAXEFU&amp;VAR:QUERY=RkZfRUJJVERBX0lCKCdMVE1TJywzOTQ5Mik=&amp;WINDOW=FIRST_POPUP&amp;HEIGHT=450&amp;WIDTH=450&amp;START_MA","XIMIZED=FALSE&amp;VAR:CALENDAR=US&amp;VAR:SYMBOL=05614P10&amp;VAR:INDEX=0"}</definedName>
    <definedName name="_2565__FDSAUDITLINK__" hidden="1">{"fdsup://directions/FAT Viewer?action=UPDATE&amp;creator=factset&amp;DYN_ARGS=TRUE&amp;DOC_NAME=FAT:FQL_AUDITING_CLIENT_TEMPLATE.FAT&amp;display_string=Audit&amp;VAR:KEY=ZOZWZAXEFU&amp;VAR:QUERY=RkZfRUJJVERBX0lCKCdMVE1TJywzOTQ5Mik=&amp;WINDOW=FIRST_POPUP&amp;HEIGHT=450&amp;WIDTH=450&amp;START_MA","XIMIZED=FALSE&amp;VAR:CALENDAR=US&amp;VAR:SYMBOL=05614P10&amp;VAR:INDEX=0"}</definedName>
    <definedName name="_2566__FDSAUDITLINK__" localSheetId="6" hidden="1">{"fdsup://directions/FAT Viewer?action=UPDATE&amp;creator=factset&amp;DYN_ARGS=TRUE&amp;DOC_NAME=FAT:FQL_AUDITING_CLIENT_TEMPLATE.FAT&amp;display_string=Audit&amp;VAR:KEY=ROHOBQLQDO&amp;VAR:QUERY=RkZfRUJJVERBX0lCKCdMVE1TJywzOTQ5MSk=&amp;WINDOW=FIRST_POPUP&amp;HEIGHT=450&amp;WIDTH=450&amp;START_MA","XIMIZED=FALSE&amp;VAR:CALENDAR=US&amp;VAR:SYMBOL=05614P10&amp;VAR:INDEX=0"}</definedName>
    <definedName name="_2566__FDSAUDITLINK__" hidden="1">{"fdsup://directions/FAT Viewer?action=UPDATE&amp;creator=factset&amp;DYN_ARGS=TRUE&amp;DOC_NAME=FAT:FQL_AUDITING_CLIENT_TEMPLATE.FAT&amp;display_string=Audit&amp;VAR:KEY=ROHOBQLQDO&amp;VAR:QUERY=RkZfRUJJVERBX0lCKCdMVE1TJywzOTQ5MSk=&amp;WINDOW=FIRST_POPUP&amp;HEIGHT=450&amp;WIDTH=450&amp;START_MA","XIMIZED=FALSE&amp;VAR:CALENDAR=US&amp;VAR:SYMBOL=05614P10&amp;VAR:INDEX=0"}</definedName>
    <definedName name="_2567__FDSAUDITLINK__" localSheetId="6" hidden="1">{"fdsup://directions/FAT Viewer?action=UPDATE&amp;creator=factset&amp;DYN_ARGS=TRUE&amp;DOC_NAME=FAT:FQL_AUDITING_CLIENT_TEMPLATE.FAT&amp;display_string=Audit&amp;VAR:KEY=XENGZAXMPE&amp;VAR:QUERY=RkZfRUJJVERBX0lCKCdMVE1TJywzOTQ5MCk=&amp;WINDOW=FIRST_POPUP&amp;HEIGHT=450&amp;WIDTH=450&amp;START_MA","XIMIZED=FALSE&amp;VAR:CALENDAR=US&amp;VAR:SYMBOL=05614P10&amp;VAR:INDEX=0"}</definedName>
    <definedName name="_2567__FDSAUDITLINK__" hidden="1">{"fdsup://directions/FAT Viewer?action=UPDATE&amp;creator=factset&amp;DYN_ARGS=TRUE&amp;DOC_NAME=FAT:FQL_AUDITING_CLIENT_TEMPLATE.FAT&amp;display_string=Audit&amp;VAR:KEY=XENGZAXMPE&amp;VAR:QUERY=RkZfRUJJVERBX0lCKCdMVE1TJywzOTQ5MCk=&amp;WINDOW=FIRST_POPUP&amp;HEIGHT=450&amp;WIDTH=450&amp;START_MA","XIMIZED=FALSE&amp;VAR:CALENDAR=US&amp;VAR:SYMBOL=05614P10&amp;VAR:INDEX=0"}</definedName>
    <definedName name="_2568__FDSAUDITLINK__" localSheetId="6" hidden="1">{"fdsup://directions/FAT Viewer?action=UPDATE&amp;creator=factset&amp;DYN_ARGS=TRUE&amp;DOC_NAME=FAT:FQL_AUDITING_CLIENT_TEMPLATE.FAT&amp;display_string=Audit&amp;VAR:KEY=BGTWHSPIHC&amp;VAR:QUERY=RkZfRUJJVERBX0lCKCdMVE1TJywzOTQ4OSk=&amp;WINDOW=FIRST_POPUP&amp;HEIGHT=450&amp;WIDTH=450&amp;START_MA","XIMIZED=FALSE&amp;VAR:CALENDAR=US&amp;VAR:SYMBOL=05614P10&amp;VAR:INDEX=0"}</definedName>
    <definedName name="_2568__FDSAUDITLINK__" hidden="1">{"fdsup://directions/FAT Viewer?action=UPDATE&amp;creator=factset&amp;DYN_ARGS=TRUE&amp;DOC_NAME=FAT:FQL_AUDITING_CLIENT_TEMPLATE.FAT&amp;display_string=Audit&amp;VAR:KEY=BGTWHSPIHC&amp;VAR:QUERY=RkZfRUJJVERBX0lCKCdMVE1TJywzOTQ4OSk=&amp;WINDOW=FIRST_POPUP&amp;HEIGHT=450&amp;WIDTH=450&amp;START_MA","XIMIZED=FALSE&amp;VAR:CALENDAR=US&amp;VAR:SYMBOL=05614P10&amp;VAR:INDEX=0"}</definedName>
    <definedName name="_2569__FDSAUDITLINK__" localSheetId="6" hidden="1">{"fdsup://directions/FAT Viewer?action=UPDATE&amp;creator=factset&amp;DYN_ARGS=TRUE&amp;DOC_NAME=FAT:FQL_AUDITING_CLIENT_TEMPLATE.FAT&amp;display_string=Audit&amp;VAR:KEY=FYJKXWDKXO&amp;VAR:QUERY=RkZfRUJJVERBX0lCKCdMVE1TJywzOTQ4OCk=&amp;WINDOW=FIRST_POPUP&amp;HEIGHT=450&amp;WIDTH=450&amp;START_MA","XIMIZED=FALSE&amp;VAR:CALENDAR=US&amp;VAR:SYMBOL=05614P10&amp;VAR:INDEX=0"}</definedName>
    <definedName name="_2569__FDSAUDITLINK__" hidden="1">{"fdsup://directions/FAT Viewer?action=UPDATE&amp;creator=factset&amp;DYN_ARGS=TRUE&amp;DOC_NAME=FAT:FQL_AUDITING_CLIENT_TEMPLATE.FAT&amp;display_string=Audit&amp;VAR:KEY=FYJKXWDKXO&amp;VAR:QUERY=RkZfRUJJVERBX0lCKCdMVE1TJywzOTQ4OCk=&amp;WINDOW=FIRST_POPUP&amp;HEIGHT=450&amp;WIDTH=450&amp;START_MA","XIMIZED=FALSE&amp;VAR:CALENDAR=US&amp;VAR:SYMBOL=05614P10&amp;VAR:INDEX=0"}</definedName>
    <definedName name="_257__FDSAUDITLINK__" localSheetId="6" hidden="1">{"fdsup://directions/FAT%20Viewer?VAR:PED=LTM&amp;VAR:AUDIT_MODE=SUMMARY&amp;VAR:PERIOD=FIXED&amp;VAR:AUDIT_ID=00000117&amp;VAR:DATE=20090609&amp;action=UPDATE&amp;creator=factset&amp;DOC_NAME=FAT:FMA_audit_SUMMARY.fat&amp;DISPLAY_STRING=Display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7__FDSAUDITLINK__" hidden="1">{"fdsup://directions/FAT%20Viewer?VAR:PED=LTM&amp;VAR:AUDIT_MODE=SUMMARY&amp;VAR:PERIOD=FIXED&amp;VAR:AUDIT_ID=00000117&amp;VAR:DATE=20090609&amp;action=UPDATE&amp;creator=factset&amp;DOC_NAME=FAT:FMA_audit_SUMMARY.fat&amp;DISPLAY_STRING=Display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70__FDSAUDITLINK__" localSheetId="6" hidden="1">{"fdsup://directions/FAT Viewer?action=UPDATE&amp;creator=factset&amp;DYN_ARGS=TRUE&amp;DOC_NAME=FAT:FQL_AUDITING_CLIENT_TEMPLATE.FAT&amp;display_string=Audit&amp;VAR:KEY=TEXIRMRSBQ&amp;VAR:QUERY=RkZfRUJJVERBX0lCKCdMVE1TJywzOTQ4Nyk=&amp;WINDOW=FIRST_POPUP&amp;HEIGHT=450&amp;WIDTH=450&amp;START_MA","XIMIZED=FALSE&amp;VAR:CALENDAR=US&amp;VAR:SYMBOL=05614P10&amp;VAR:INDEX=0"}</definedName>
    <definedName name="_2570__FDSAUDITLINK__" hidden="1">{"fdsup://directions/FAT Viewer?action=UPDATE&amp;creator=factset&amp;DYN_ARGS=TRUE&amp;DOC_NAME=FAT:FQL_AUDITING_CLIENT_TEMPLATE.FAT&amp;display_string=Audit&amp;VAR:KEY=TEXIRMRSBQ&amp;VAR:QUERY=RkZfRUJJVERBX0lCKCdMVE1TJywzOTQ4Nyk=&amp;WINDOW=FIRST_POPUP&amp;HEIGHT=450&amp;WIDTH=450&amp;START_MA","XIMIZED=FALSE&amp;VAR:CALENDAR=US&amp;VAR:SYMBOL=05614P10&amp;VAR:INDEX=0"}</definedName>
    <definedName name="_2571__FDSAUDITLINK__" localSheetId="6" hidden="1">{"fdsup://directions/FAT Viewer?action=UPDATE&amp;creator=factset&amp;DYN_ARGS=TRUE&amp;DOC_NAME=FAT:FQL_AUDITING_CLIENT_TEMPLATE.FAT&amp;display_string=Audit&amp;VAR:KEY=HOZWFONGBW&amp;VAR:QUERY=RkZfRUJJVERBX0lCKCdMVE1TJywzOTQ4Nik=&amp;WINDOW=FIRST_POPUP&amp;HEIGHT=450&amp;WIDTH=450&amp;START_MA","XIMIZED=FALSE&amp;VAR:CALENDAR=US&amp;VAR:SYMBOL=05614P10&amp;VAR:INDEX=0"}</definedName>
    <definedName name="_2571__FDSAUDITLINK__" hidden="1">{"fdsup://directions/FAT Viewer?action=UPDATE&amp;creator=factset&amp;DYN_ARGS=TRUE&amp;DOC_NAME=FAT:FQL_AUDITING_CLIENT_TEMPLATE.FAT&amp;display_string=Audit&amp;VAR:KEY=HOZWFONGBW&amp;VAR:QUERY=RkZfRUJJVERBX0lCKCdMVE1TJywzOTQ4Nik=&amp;WINDOW=FIRST_POPUP&amp;HEIGHT=450&amp;WIDTH=450&amp;START_MA","XIMIZED=FALSE&amp;VAR:CALENDAR=US&amp;VAR:SYMBOL=05614P10&amp;VAR:INDEX=0"}</definedName>
    <definedName name="_2572__FDSAUDITLINK__" localSheetId="6" hidden="1">{"fdsup://directions/FAT Viewer?action=UPDATE&amp;creator=factset&amp;DYN_ARGS=TRUE&amp;DOC_NAME=FAT:FQL_AUDITING_CLIENT_TEMPLATE.FAT&amp;display_string=Audit&amp;VAR:KEY=DKZGDWTWRI&amp;VAR:QUERY=RkZfRUJJVERBX0lCKCdMVE1TJywzOTQ4NSk=&amp;WINDOW=FIRST_POPUP&amp;HEIGHT=450&amp;WIDTH=450&amp;START_MA","XIMIZED=FALSE&amp;VAR:CALENDAR=US&amp;VAR:SYMBOL=05614P10&amp;VAR:INDEX=0"}</definedName>
    <definedName name="_2572__FDSAUDITLINK__" hidden="1">{"fdsup://directions/FAT Viewer?action=UPDATE&amp;creator=factset&amp;DYN_ARGS=TRUE&amp;DOC_NAME=FAT:FQL_AUDITING_CLIENT_TEMPLATE.FAT&amp;display_string=Audit&amp;VAR:KEY=DKZGDWTWRI&amp;VAR:QUERY=RkZfRUJJVERBX0lCKCdMVE1TJywzOTQ4NSk=&amp;WINDOW=FIRST_POPUP&amp;HEIGHT=450&amp;WIDTH=450&amp;START_MA","XIMIZED=FALSE&amp;VAR:CALENDAR=US&amp;VAR:SYMBOL=05614P10&amp;VAR:INDEX=0"}</definedName>
    <definedName name="_2573__FDSAUDITLINK__" localSheetId="6" hidden="1">{"fdsup://directions/FAT Viewer?action=UPDATE&amp;creator=factset&amp;DYN_ARGS=TRUE&amp;DOC_NAME=FAT:FQL_AUDITING_CLIENT_TEMPLATE.FAT&amp;display_string=Audit&amp;VAR:KEY=VUVIZEZOLA&amp;VAR:QUERY=RkZfRUJJVERBX0lCKCdMVE1TJywzOTQ4NCk=&amp;WINDOW=FIRST_POPUP&amp;HEIGHT=450&amp;WIDTH=450&amp;START_MA","XIMIZED=FALSE&amp;VAR:CALENDAR=US&amp;VAR:SYMBOL=05614P10&amp;VAR:INDEX=0"}</definedName>
    <definedName name="_2573__FDSAUDITLINK__" hidden="1">{"fdsup://directions/FAT Viewer?action=UPDATE&amp;creator=factset&amp;DYN_ARGS=TRUE&amp;DOC_NAME=FAT:FQL_AUDITING_CLIENT_TEMPLATE.FAT&amp;display_string=Audit&amp;VAR:KEY=VUVIZEZOLA&amp;VAR:QUERY=RkZfRUJJVERBX0lCKCdMVE1TJywzOTQ4NCk=&amp;WINDOW=FIRST_POPUP&amp;HEIGHT=450&amp;WIDTH=450&amp;START_MA","XIMIZED=FALSE&amp;VAR:CALENDAR=US&amp;VAR:SYMBOL=05614P10&amp;VAR:INDEX=0"}</definedName>
    <definedName name="_2574__FDSAUDITLINK__" localSheetId="6" hidden="1">{"fdsup://directions/FAT Viewer?action=UPDATE&amp;creator=factset&amp;DYN_ARGS=TRUE&amp;DOC_NAME=FAT:FQL_AUDITING_CLIENT_TEMPLATE.FAT&amp;display_string=Audit&amp;VAR:KEY=BAFUFYFQDU&amp;VAR:QUERY=RkZfRUJJVERBX0lCKCdMVE1TJywzOTQ4Myk=&amp;WINDOW=FIRST_POPUP&amp;HEIGHT=450&amp;WIDTH=450&amp;START_MA","XIMIZED=FALSE&amp;VAR:CALENDAR=US&amp;VAR:SYMBOL=05614P10&amp;VAR:INDEX=0"}</definedName>
    <definedName name="_2574__FDSAUDITLINK__" hidden="1">{"fdsup://directions/FAT Viewer?action=UPDATE&amp;creator=factset&amp;DYN_ARGS=TRUE&amp;DOC_NAME=FAT:FQL_AUDITING_CLIENT_TEMPLATE.FAT&amp;display_string=Audit&amp;VAR:KEY=BAFUFYFQDU&amp;VAR:QUERY=RkZfRUJJVERBX0lCKCdMVE1TJywzOTQ4Myk=&amp;WINDOW=FIRST_POPUP&amp;HEIGHT=450&amp;WIDTH=450&amp;START_MA","XIMIZED=FALSE&amp;VAR:CALENDAR=US&amp;VAR:SYMBOL=05614P10&amp;VAR:INDEX=0"}</definedName>
    <definedName name="_2575__FDSAUDITLINK__" localSheetId="6" hidden="1">{"fdsup://directions/FAT Viewer?action=UPDATE&amp;creator=factset&amp;DYN_ARGS=TRUE&amp;DOC_NAME=FAT:FQL_AUDITING_CLIENT_TEMPLATE.FAT&amp;display_string=Audit&amp;VAR:KEY=DCDWFQLEBA&amp;VAR:QUERY=RkZfRUJJVERBX0lCKCdMVE1TJywzOTQ4Mik=&amp;WINDOW=FIRST_POPUP&amp;HEIGHT=450&amp;WIDTH=450&amp;START_MA","XIMIZED=FALSE&amp;VAR:CALENDAR=US&amp;VAR:SYMBOL=05614P10&amp;VAR:INDEX=0"}</definedName>
    <definedName name="_2575__FDSAUDITLINK__" hidden="1">{"fdsup://directions/FAT Viewer?action=UPDATE&amp;creator=factset&amp;DYN_ARGS=TRUE&amp;DOC_NAME=FAT:FQL_AUDITING_CLIENT_TEMPLATE.FAT&amp;display_string=Audit&amp;VAR:KEY=DCDWFQLEBA&amp;VAR:QUERY=RkZfRUJJVERBX0lCKCdMVE1TJywzOTQ4Mik=&amp;WINDOW=FIRST_POPUP&amp;HEIGHT=450&amp;WIDTH=450&amp;START_MA","XIMIZED=FALSE&amp;VAR:CALENDAR=US&amp;VAR:SYMBOL=05614P10&amp;VAR:INDEX=0"}</definedName>
    <definedName name="_2576__FDSAUDITLINK__" localSheetId="6" hidden="1">{"fdsup://directions/FAT Viewer?action=UPDATE&amp;creator=factset&amp;DYN_ARGS=TRUE&amp;DOC_NAME=FAT:FQL_AUDITING_CLIENT_TEMPLATE.FAT&amp;display_string=Audit&amp;VAR:KEY=JYLAHCHKRK&amp;VAR:QUERY=RkZfRUJJVERBX0lCKCdMVE1TJywzOTQ4MSk=&amp;WINDOW=FIRST_POPUP&amp;HEIGHT=450&amp;WIDTH=450&amp;START_MA","XIMIZED=FALSE&amp;VAR:CALENDAR=US&amp;VAR:SYMBOL=05614P10&amp;VAR:INDEX=0"}</definedName>
    <definedName name="_2576__FDSAUDITLINK__" hidden="1">{"fdsup://directions/FAT Viewer?action=UPDATE&amp;creator=factset&amp;DYN_ARGS=TRUE&amp;DOC_NAME=FAT:FQL_AUDITING_CLIENT_TEMPLATE.FAT&amp;display_string=Audit&amp;VAR:KEY=JYLAHCHKRK&amp;VAR:QUERY=RkZfRUJJVERBX0lCKCdMVE1TJywzOTQ4MSk=&amp;WINDOW=FIRST_POPUP&amp;HEIGHT=450&amp;WIDTH=450&amp;START_MA","XIMIZED=FALSE&amp;VAR:CALENDAR=US&amp;VAR:SYMBOL=05614P10&amp;VAR:INDEX=0"}</definedName>
    <definedName name="_2577__FDSAUDITLINK__" localSheetId="6" hidden="1">{"fdsup://directions/FAT Viewer?action=UPDATE&amp;creator=factset&amp;DYN_ARGS=TRUE&amp;DOC_NAME=FAT:FQL_AUDITING_CLIENT_TEMPLATE.FAT&amp;display_string=Audit&amp;VAR:KEY=LIVETQBQHW&amp;VAR:QUERY=RkZfRUJJVERBX0lCKCdMVE1TJywzOTQ4MCk=&amp;WINDOW=FIRST_POPUP&amp;HEIGHT=450&amp;WIDTH=450&amp;START_MA","XIMIZED=FALSE&amp;VAR:CALENDAR=US&amp;VAR:SYMBOL=05614P10&amp;VAR:INDEX=0"}</definedName>
    <definedName name="_2577__FDSAUDITLINK__" hidden="1">{"fdsup://directions/FAT Viewer?action=UPDATE&amp;creator=factset&amp;DYN_ARGS=TRUE&amp;DOC_NAME=FAT:FQL_AUDITING_CLIENT_TEMPLATE.FAT&amp;display_string=Audit&amp;VAR:KEY=LIVETQBQHW&amp;VAR:QUERY=RkZfRUJJVERBX0lCKCdMVE1TJywzOTQ4MCk=&amp;WINDOW=FIRST_POPUP&amp;HEIGHT=450&amp;WIDTH=450&amp;START_MA","XIMIZED=FALSE&amp;VAR:CALENDAR=US&amp;VAR:SYMBOL=05614P10&amp;VAR:INDEX=0"}</definedName>
    <definedName name="_2578__FDSAUDITLINK__" localSheetId="6" hidden="1">{"fdsup://directions/FAT Viewer?action=UPDATE&amp;creator=factset&amp;DYN_ARGS=TRUE&amp;DOC_NAME=FAT:FQL_AUDITING_CLIENT_TEMPLATE.FAT&amp;display_string=Audit&amp;VAR:KEY=PUFIXSDMVU&amp;VAR:QUERY=RkZfRUJJVERBX0lCKCdMVE1TJywzOTQ3OSk=&amp;WINDOW=FIRST_POPUP&amp;HEIGHT=450&amp;WIDTH=450&amp;START_MA","XIMIZED=FALSE&amp;VAR:CALENDAR=US&amp;VAR:SYMBOL=05614P10&amp;VAR:INDEX=0"}</definedName>
    <definedName name="_2578__FDSAUDITLINK__" hidden="1">{"fdsup://directions/FAT Viewer?action=UPDATE&amp;creator=factset&amp;DYN_ARGS=TRUE&amp;DOC_NAME=FAT:FQL_AUDITING_CLIENT_TEMPLATE.FAT&amp;display_string=Audit&amp;VAR:KEY=PUFIXSDMVU&amp;VAR:QUERY=RkZfRUJJVERBX0lCKCdMVE1TJywzOTQ3OSk=&amp;WINDOW=FIRST_POPUP&amp;HEIGHT=450&amp;WIDTH=450&amp;START_MA","XIMIZED=FALSE&amp;VAR:CALENDAR=US&amp;VAR:SYMBOL=05614P10&amp;VAR:INDEX=0"}</definedName>
    <definedName name="_2579__FDSAUDITLINK__" localSheetId="6" hidden="1">{"fdsup://directions/FAT Viewer?action=UPDATE&amp;creator=factset&amp;DYN_ARGS=TRUE&amp;DOC_NAME=FAT:FQL_AUDITING_CLIENT_TEMPLATE.FAT&amp;display_string=Audit&amp;VAR:KEY=LQTAFELMZW&amp;VAR:QUERY=RkZfRUJJVERBX0lCKCdMVE1TJywzOTQ3OCk=&amp;WINDOW=FIRST_POPUP&amp;HEIGHT=450&amp;WIDTH=450&amp;START_MA","XIMIZED=FALSE&amp;VAR:CALENDAR=US&amp;VAR:SYMBOL=05614P10&amp;VAR:INDEX=0"}</definedName>
    <definedName name="_2579__FDSAUDITLINK__" hidden="1">{"fdsup://directions/FAT Viewer?action=UPDATE&amp;creator=factset&amp;DYN_ARGS=TRUE&amp;DOC_NAME=FAT:FQL_AUDITING_CLIENT_TEMPLATE.FAT&amp;display_string=Audit&amp;VAR:KEY=LQTAFELMZW&amp;VAR:QUERY=RkZfRUJJVERBX0lCKCdMVE1TJywzOTQ3OCk=&amp;WINDOW=FIRST_POPUP&amp;HEIGHT=450&amp;WIDTH=450&amp;START_MA","XIMIZED=FALSE&amp;VAR:CALENDAR=US&amp;VAR:SYMBOL=05614P10&amp;VAR:INDEX=0"}</definedName>
    <definedName name="_258__FDSAUDITLINK__" localSheetId="6" hidden="1">{"fdsup://directions/FAT%20Viewer?VAR:PED=LTM&amp;VAR:AUDIT_MODE=SUMMARY&amp;VAR:PERIOD=FIXED&amp;VAR:AUDIT_ID=00000117&amp;VAR:DATE=20090608&amp;action=UPDATE&amp;creator=factset&amp;DOC_NAME=FAT:FMA_audit_SUMMARY.fat&amp;DISPLAY_STRING=Display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8__FDSAUDITLINK__" hidden="1">{"fdsup://directions/FAT%20Viewer?VAR:PED=LTM&amp;VAR:AUDIT_MODE=SUMMARY&amp;VAR:PERIOD=FIXED&amp;VAR:AUDIT_ID=00000117&amp;VAR:DATE=20090608&amp;action=UPDATE&amp;creator=factset&amp;DOC_NAME=FAT:FMA_audit_SUMMARY.fat&amp;DISPLAY_STRING=Display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80__FDSAUDITLINK__" localSheetId="6" hidden="1">{"fdsup://directions/FAT Viewer?action=UPDATE&amp;creator=factset&amp;DYN_ARGS=TRUE&amp;DOC_NAME=FAT:FQL_AUDITING_CLIENT_TEMPLATE.FAT&amp;display_string=Audit&amp;VAR:KEY=XAHQBKHARG&amp;VAR:QUERY=RkZfRUJJVERBX0lCKCdMVE1TJywzOTQ3Nyk=&amp;WINDOW=FIRST_POPUP&amp;HEIGHT=450&amp;WIDTH=450&amp;START_MA","XIMIZED=FALSE&amp;VAR:CALENDAR=US&amp;VAR:SYMBOL=05614P10&amp;VAR:INDEX=0"}</definedName>
    <definedName name="_2580__FDSAUDITLINK__" hidden="1">{"fdsup://directions/FAT Viewer?action=UPDATE&amp;creator=factset&amp;DYN_ARGS=TRUE&amp;DOC_NAME=FAT:FQL_AUDITING_CLIENT_TEMPLATE.FAT&amp;display_string=Audit&amp;VAR:KEY=XAHQBKHARG&amp;VAR:QUERY=RkZfRUJJVERBX0lCKCdMVE1TJywzOTQ3Nyk=&amp;WINDOW=FIRST_POPUP&amp;HEIGHT=450&amp;WIDTH=450&amp;START_MA","XIMIZED=FALSE&amp;VAR:CALENDAR=US&amp;VAR:SYMBOL=05614P10&amp;VAR:INDEX=0"}</definedName>
    <definedName name="_2581__FDSAUDITLINK__" localSheetId="6" hidden="1">{"fdsup://directions/FAT Viewer?action=UPDATE&amp;creator=factset&amp;DYN_ARGS=TRUE&amp;DOC_NAME=FAT:FQL_AUDITING_CLIENT_TEMPLATE.FAT&amp;display_string=Audit&amp;VAR:KEY=REFIRYNMBM&amp;VAR:QUERY=RkZfRUJJVERBX0lCKCdMVE1TJywzOTQ3Nik=&amp;WINDOW=FIRST_POPUP&amp;HEIGHT=450&amp;WIDTH=450&amp;START_MA","XIMIZED=FALSE&amp;VAR:CALENDAR=US&amp;VAR:SYMBOL=05614P10&amp;VAR:INDEX=0"}</definedName>
    <definedName name="_2581__FDSAUDITLINK__" hidden="1">{"fdsup://directions/FAT Viewer?action=UPDATE&amp;creator=factset&amp;DYN_ARGS=TRUE&amp;DOC_NAME=FAT:FQL_AUDITING_CLIENT_TEMPLATE.FAT&amp;display_string=Audit&amp;VAR:KEY=REFIRYNMBM&amp;VAR:QUERY=RkZfRUJJVERBX0lCKCdMVE1TJywzOTQ3Nik=&amp;WINDOW=FIRST_POPUP&amp;HEIGHT=450&amp;WIDTH=450&amp;START_MA","XIMIZED=FALSE&amp;VAR:CALENDAR=US&amp;VAR:SYMBOL=05614P10&amp;VAR:INDEX=0"}</definedName>
    <definedName name="_2582__FDSAUDITLINK__" localSheetId="6" hidden="1">{"fdsup://directions/FAT Viewer?action=UPDATE&amp;creator=factset&amp;DYN_ARGS=TRUE&amp;DOC_NAME=FAT:FQL_AUDITING_CLIENT_TEMPLATE.FAT&amp;display_string=Audit&amp;VAR:KEY=ZQHGXUPSBG&amp;VAR:QUERY=RkZfRUJJVERBX0lCKCdMVE1TJywzOTQ3NSk=&amp;WINDOW=FIRST_POPUP&amp;HEIGHT=450&amp;WIDTH=450&amp;START_MA","XIMIZED=FALSE&amp;VAR:CALENDAR=US&amp;VAR:SYMBOL=05614P10&amp;VAR:INDEX=0"}</definedName>
    <definedName name="_2582__FDSAUDITLINK__" hidden="1">{"fdsup://directions/FAT Viewer?action=UPDATE&amp;creator=factset&amp;DYN_ARGS=TRUE&amp;DOC_NAME=FAT:FQL_AUDITING_CLIENT_TEMPLATE.FAT&amp;display_string=Audit&amp;VAR:KEY=ZQHGXUPSBG&amp;VAR:QUERY=RkZfRUJJVERBX0lCKCdMVE1TJywzOTQ3NSk=&amp;WINDOW=FIRST_POPUP&amp;HEIGHT=450&amp;WIDTH=450&amp;START_MA","XIMIZED=FALSE&amp;VAR:CALENDAR=US&amp;VAR:SYMBOL=05614P10&amp;VAR:INDEX=0"}</definedName>
    <definedName name="_2583__FDSAUDITLINK__" localSheetId="6" hidden="1">{"fdsup://directions/FAT Viewer?action=UPDATE&amp;creator=factset&amp;DYN_ARGS=TRUE&amp;DOC_NAME=FAT:FQL_AUDITING_CLIENT_TEMPLATE.FAT&amp;display_string=Audit&amp;VAR:KEY=JWFWLKPEZG&amp;VAR:QUERY=RkZfRUJJVERBX0lCKCdMVE1TJywzOTQ3NCk=&amp;WINDOW=FIRST_POPUP&amp;HEIGHT=450&amp;WIDTH=450&amp;START_MA","XIMIZED=FALSE&amp;VAR:CALENDAR=US&amp;VAR:SYMBOL=05614P10&amp;VAR:INDEX=0"}</definedName>
    <definedName name="_2583__FDSAUDITLINK__" hidden="1">{"fdsup://directions/FAT Viewer?action=UPDATE&amp;creator=factset&amp;DYN_ARGS=TRUE&amp;DOC_NAME=FAT:FQL_AUDITING_CLIENT_TEMPLATE.FAT&amp;display_string=Audit&amp;VAR:KEY=JWFWLKPEZG&amp;VAR:QUERY=RkZfRUJJVERBX0lCKCdMVE1TJywzOTQ3NCk=&amp;WINDOW=FIRST_POPUP&amp;HEIGHT=450&amp;WIDTH=450&amp;START_MA","XIMIZED=FALSE&amp;VAR:CALENDAR=US&amp;VAR:SYMBOL=05614P10&amp;VAR:INDEX=0"}</definedName>
    <definedName name="_2584__FDSAUDITLINK__" localSheetId="6" hidden="1">{"fdsup://directions/FAT Viewer?action=UPDATE&amp;creator=factset&amp;DYN_ARGS=TRUE&amp;DOC_NAME=FAT:FQL_AUDITING_CLIENT_TEMPLATE.FAT&amp;display_string=Audit&amp;VAR:KEY=ZOJAVOTSNO&amp;VAR:QUERY=RkZfRUJJVERBX0lCKCdMVE1TJywzOTQ3Myk=&amp;WINDOW=FIRST_POPUP&amp;HEIGHT=450&amp;WIDTH=450&amp;START_MA","XIMIZED=FALSE&amp;VAR:CALENDAR=US&amp;VAR:SYMBOL=05614P10&amp;VAR:INDEX=0"}</definedName>
    <definedName name="_2584__FDSAUDITLINK__" hidden="1">{"fdsup://directions/FAT Viewer?action=UPDATE&amp;creator=factset&amp;DYN_ARGS=TRUE&amp;DOC_NAME=FAT:FQL_AUDITING_CLIENT_TEMPLATE.FAT&amp;display_string=Audit&amp;VAR:KEY=ZOJAVOTSNO&amp;VAR:QUERY=RkZfRUJJVERBX0lCKCdMVE1TJywzOTQ3Myk=&amp;WINDOW=FIRST_POPUP&amp;HEIGHT=450&amp;WIDTH=450&amp;START_MA","XIMIZED=FALSE&amp;VAR:CALENDAR=US&amp;VAR:SYMBOL=05614P10&amp;VAR:INDEX=0"}</definedName>
    <definedName name="_2585__FDSAUDITLINK__" localSheetId="6" hidden="1">{"fdsup://directions/FAT Viewer?action=UPDATE&amp;creator=factset&amp;DYN_ARGS=TRUE&amp;DOC_NAME=FAT:FQL_AUDITING_CLIENT_TEMPLATE.FAT&amp;display_string=Audit&amp;VAR:KEY=VGBOBENSLU&amp;VAR:QUERY=RkZfRUJJVERBX0lCKCdMVE1TJywzOTQ3Mik=&amp;WINDOW=FIRST_POPUP&amp;HEIGHT=450&amp;WIDTH=450&amp;START_MA","XIMIZED=FALSE&amp;VAR:CALENDAR=US&amp;VAR:SYMBOL=05614P10&amp;VAR:INDEX=0"}</definedName>
    <definedName name="_2585__FDSAUDITLINK__" hidden="1">{"fdsup://directions/FAT Viewer?action=UPDATE&amp;creator=factset&amp;DYN_ARGS=TRUE&amp;DOC_NAME=FAT:FQL_AUDITING_CLIENT_TEMPLATE.FAT&amp;display_string=Audit&amp;VAR:KEY=VGBOBENSLU&amp;VAR:QUERY=RkZfRUJJVERBX0lCKCdMVE1TJywzOTQ3Mik=&amp;WINDOW=FIRST_POPUP&amp;HEIGHT=450&amp;WIDTH=450&amp;START_MA","XIMIZED=FALSE&amp;VAR:CALENDAR=US&amp;VAR:SYMBOL=05614P10&amp;VAR:INDEX=0"}</definedName>
    <definedName name="_2586__FDSAUDITLINK__" localSheetId="6" hidden="1">{"fdsup://directions/FAT Viewer?action=UPDATE&amp;creator=factset&amp;DYN_ARGS=TRUE&amp;DOC_NAME=FAT:FQL_AUDITING_CLIENT_TEMPLATE.FAT&amp;display_string=Audit&amp;VAR:KEY=ZAVQPGXATU&amp;VAR:QUERY=RkZfRUJJVERBX0lCKCdMVE1TJywzOTQ3MSk=&amp;WINDOW=FIRST_POPUP&amp;HEIGHT=450&amp;WIDTH=450&amp;START_MA","XIMIZED=FALSE&amp;VAR:CALENDAR=US&amp;VAR:SYMBOL=05614P10&amp;VAR:INDEX=0"}</definedName>
    <definedName name="_2586__FDSAUDITLINK__" hidden="1">{"fdsup://directions/FAT Viewer?action=UPDATE&amp;creator=factset&amp;DYN_ARGS=TRUE&amp;DOC_NAME=FAT:FQL_AUDITING_CLIENT_TEMPLATE.FAT&amp;display_string=Audit&amp;VAR:KEY=ZAVQPGXATU&amp;VAR:QUERY=RkZfRUJJVERBX0lCKCdMVE1TJywzOTQ3MSk=&amp;WINDOW=FIRST_POPUP&amp;HEIGHT=450&amp;WIDTH=450&amp;START_MA","XIMIZED=FALSE&amp;VAR:CALENDAR=US&amp;VAR:SYMBOL=05614P10&amp;VAR:INDEX=0"}</definedName>
    <definedName name="_2587__FDSAUDITLINK__" localSheetId="6" hidden="1">{"fdsup://directions/FAT Viewer?action=UPDATE&amp;creator=factset&amp;DYN_ARGS=TRUE&amp;DOC_NAME=FAT:FQL_AUDITING_CLIENT_TEMPLATE.FAT&amp;display_string=Audit&amp;VAR:KEY=BCPKLMLMRK&amp;VAR:QUERY=RkZfRUJJVERBX0lCKCdMVE1TJywzOTQ3MCk=&amp;WINDOW=FIRST_POPUP&amp;HEIGHT=450&amp;WIDTH=450&amp;START_MA","XIMIZED=FALSE&amp;VAR:CALENDAR=US&amp;VAR:SYMBOL=05614P10&amp;VAR:INDEX=0"}</definedName>
    <definedName name="_2587__FDSAUDITLINK__" hidden="1">{"fdsup://directions/FAT Viewer?action=UPDATE&amp;creator=factset&amp;DYN_ARGS=TRUE&amp;DOC_NAME=FAT:FQL_AUDITING_CLIENT_TEMPLATE.FAT&amp;display_string=Audit&amp;VAR:KEY=BCPKLMLMRK&amp;VAR:QUERY=RkZfRUJJVERBX0lCKCdMVE1TJywzOTQ3MCk=&amp;WINDOW=FIRST_POPUP&amp;HEIGHT=450&amp;WIDTH=450&amp;START_MA","XIMIZED=FALSE&amp;VAR:CALENDAR=US&amp;VAR:SYMBOL=05614P10&amp;VAR:INDEX=0"}</definedName>
    <definedName name="_2588__FDSAUDITLINK__" localSheetId="6" hidden="1">{"fdsup://directions/FAT Viewer?action=UPDATE&amp;creator=factset&amp;DYN_ARGS=TRUE&amp;DOC_NAME=FAT:FQL_AUDITING_CLIENT_TEMPLATE.FAT&amp;display_string=Audit&amp;VAR:KEY=BKJCBYJYNC&amp;VAR:QUERY=RkZfRUJJVERBX0lCKCdMVE1TJywzOTQ2OSk=&amp;WINDOW=FIRST_POPUP&amp;HEIGHT=450&amp;WIDTH=450&amp;START_MA","XIMIZED=FALSE&amp;VAR:CALENDAR=US&amp;VAR:SYMBOL=05614P10&amp;VAR:INDEX=0"}</definedName>
    <definedName name="_2588__FDSAUDITLINK__" hidden="1">{"fdsup://directions/FAT Viewer?action=UPDATE&amp;creator=factset&amp;DYN_ARGS=TRUE&amp;DOC_NAME=FAT:FQL_AUDITING_CLIENT_TEMPLATE.FAT&amp;display_string=Audit&amp;VAR:KEY=BKJCBYJYNC&amp;VAR:QUERY=RkZfRUJJVERBX0lCKCdMVE1TJywzOTQ2OSk=&amp;WINDOW=FIRST_POPUP&amp;HEIGHT=450&amp;WIDTH=450&amp;START_MA","XIMIZED=FALSE&amp;VAR:CALENDAR=US&amp;VAR:SYMBOL=05614P10&amp;VAR:INDEX=0"}</definedName>
    <definedName name="_2589__FDSAUDITLINK__" localSheetId="6" hidden="1">{"fdsup://directions/FAT Viewer?action=UPDATE&amp;creator=factset&amp;DYN_ARGS=TRUE&amp;DOC_NAME=FAT:FQL_AUDITING_CLIENT_TEMPLATE.FAT&amp;display_string=Audit&amp;VAR:KEY=NUXYNEDQJS&amp;VAR:QUERY=RkZfRUJJVERBX0lCKCdMVE1TJywzOTQ2OCk=&amp;WINDOW=FIRST_POPUP&amp;HEIGHT=450&amp;WIDTH=450&amp;START_MA","XIMIZED=FALSE&amp;VAR:CALENDAR=US&amp;VAR:SYMBOL=05614P10&amp;VAR:INDEX=0"}</definedName>
    <definedName name="_2589__FDSAUDITLINK__" hidden="1">{"fdsup://directions/FAT Viewer?action=UPDATE&amp;creator=factset&amp;DYN_ARGS=TRUE&amp;DOC_NAME=FAT:FQL_AUDITING_CLIENT_TEMPLATE.FAT&amp;display_string=Audit&amp;VAR:KEY=NUXYNEDQJS&amp;VAR:QUERY=RkZfRUJJVERBX0lCKCdMVE1TJywzOTQ2OCk=&amp;WINDOW=FIRST_POPUP&amp;HEIGHT=450&amp;WIDTH=450&amp;START_MA","XIMIZED=FALSE&amp;VAR:CALENDAR=US&amp;VAR:SYMBOL=05614P10&amp;VAR:INDEX=0"}</definedName>
    <definedName name="_259__FDSAUDITLINK__" localSheetId="6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9__FDSAUDITLINK__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590__FDSAUDITLINK__" localSheetId="6" hidden="1">{"fdsup://directions/FAT Viewer?action=UPDATE&amp;creator=factset&amp;DYN_ARGS=TRUE&amp;DOC_NAME=FAT:FQL_AUDITING_CLIENT_TEMPLATE.FAT&amp;display_string=Audit&amp;VAR:KEY=JYDMFIHADS&amp;VAR:QUERY=RkZfRUJJVERBX0lCKCdMVE1TJywzOTQ2Nyk=&amp;WINDOW=FIRST_POPUP&amp;HEIGHT=450&amp;WIDTH=450&amp;START_MA","XIMIZED=FALSE&amp;VAR:CALENDAR=US&amp;VAR:SYMBOL=05614P10&amp;VAR:INDEX=0"}</definedName>
    <definedName name="_2590__FDSAUDITLINK__" hidden="1">{"fdsup://directions/FAT Viewer?action=UPDATE&amp;creator=factset&amp;DYN_ARGS=TRUE&amp;DOC_NAME=FAT:FQL_AUDITING_CLIENT_TEMPLATE.FAT&amp;display_string=Audit&amp;VAR:KEY=JYDMFIHADS&amp;VAR:QUERY=RkZfRUJJVERBX0lCKCdMVE1TJywzOTQ2Nyk=&amp;WINDOW=FIRST_POPUP&amp;HEIGHT=450&amp;WIDTH=450&amp;START_MA","XIMIZED=FALSE&amp;VAR:CALENDAR=US&amp;VAR:SYMBOL=05614P10&amp;VAR:INDEX=0"}</definedName>
    <definedName name="_2591__FDSAUDITLINK__" localSheetId="6" hidden="1">{"fdsup://directions/FAT Viewer?action=UPDATE&amp;creator=factset&amp;DYN_ARGS=TRUE&amp;DOC_NAME=FAT:FQL_AUDITING_CLIENT_TEMPLATE.FAT&amp;display_string=Audit&amp;VAR:KEY=DIBGVAXKPW&amp;VAR:QUERY=RkZfRUJJVERBX0lCKCdMVE1TJywzOTQ2Nik=&amp;WINDOW=FIRST_POPUP&amp;HEIGHT=450&amp;WIDTH=450&amp;START_MA","XIMIZED=FALSE&amp;VAR:CALENDAR=US&amp;VAR:SYMBOL=05614P10&amp;VAR:INDEX=0"}</definedName>
    <definedName name="_2591__FDSAUDITLINK__" hidden="1">{"fdsup://directions/FAT Viewer?action=UPDATE&amp;creator=factset&amp;DYN_ARGS=TRUE&amp;DOC_NAME=FAT:FQL_AUDITING_CLIENT_TEMPLATE.FAT&amp;display_string=Audit&amp;VAR:KEY=DIBGVAXKPW&amp;VAR:QUERY=RkZfRUJJVERBX0lCKCdMVE1TJywzOTQ2Nik=&amp;WINDOW=FIRST_POPUP&amp;HEIGHT=450&amp;WIDTH=450&amp;START_MA","XIMIZED=FALSE&amp;VAR:CALENDAR=US&amp;VAR:SYMBOL=05614P10&amp;VAR:INDEX=0"}</definedName>
    <definedName name="_2592__FDSAUDITLINK__" localSheetId="6" hidden="1">{"fdsup://directions/FAT Viewer?action=UPDATE&amp;creator=factset&amp;DYN_ARGS=TRUE&amp;DOC_NAME=FAT:FQL_AUDITING_CLIENT_TEMPLATE.FAT&amp;display_string=Audit&amp;VAR:KEY=XKTELOBABE&amp;VAR:QUERY=RkZfRUJJVERBX0lCKCdMVE1TJywzOTQ2NSk=&amp;WINDOW=FIRST_POPUP&amp;HEIGHT=450&amp;WIDTH=450&amp;START_MA","XIMIZED=FALSE&amp;VAR:CALENDAR=US&amp;VAR:SYMBOL=05614P10&amp;VAR:INDEX=0"}</definedName>
    <definedName name="_2592__FDSAUDITLINK__" hidden="1">{"fdsup://directions/FAT Viewer?action=UPDATE&amp;creator=factset&amp;DYN_ARGS=TRUE&amp;DOC_NAME=FAT:FQL_AUDITING_CLIENT_TEMPLATE.FAT&amp;display_string=Audit&amp;VAR:KEY=XKTELOBABE&amp;VAR:QUERY=RkZfRUJJVERBX0lCKCdMVE1TJywzOTQ2NSk=&amp;WINDOW=FIRST_POPUP&amp;HEIGHT=450&amp;WIDTH=450&amp;START_MA","XIMIZED=FALSE&amp;VAR:CALENDAR=US&amp;VAR:SYMBOL=05614P10&amp;VAR:INDEX=0"}</definedName>
    <definedName name="_2593__FDSAUDITLINK__" localSheetId="6" hidden="1">{"fdsup://directions/FAT Viewer?action=UPDATE&amp;creator=factset&amp;DYN_ARGS=TRUE&amp;DOC_NAME=FAT:FQL_AUDITING_CLIENT_TEMPLATE.FAT&amp;display_string=Audit&amp;VAR:KEY=NYDYFWPEHS&amp;VAR:QUERY=RkZfRUJJVERBX0lCKCdMVE1TJywzOTQ2NCk=&amp;WINDOW=FIRST_POPUP&amp;HEIGHT=450&amp;WIDTH=450&amp;START_MA","XIMIZED=FALSE&amp;VAR:CALENDAR=US&amp;VAR:SYMBOL=05614P10&amp;VAR:INDEX=0"}</definedName>
    <definedName name="_2593__FDSAUDITLINK__" hidden="1">{"fdsup://directions/FAT Viewer?action=UPDATE&amp;creator=factset&amp;DYN_ARGS=TRUE&amp;DOC_NAME=FAT:FQL_AUDITING_CLIENT_TEMPLATE.FAT&amp;display_string=Audit&amp;VAR:KEY=NYDYFWPEHS&amp;VAR:QUERY=RkZfRUJJVERBX0lCKCdMVE1TJywzOTQ2NCk=&amp;WINDOW=FIRST_POPUP&amp;HEIGHT=450&amp;WIDTH=450&amp;START_MA","XIMIZED=FALSE&amp;VAR:CALENDAR=US&amp;VAR:SYMBOL=05614P10&amp;VAR:INDEX=0"}</definedName>
    <definedName name="_2594__FDSAUDITLINK__" localSheetId="6" hidden="1">{"fdsup://directions/FAT Viewer?action=UPDATE&amp;creator=factset&amp;DYN_ARGS=TRUE&amp;DOC_NAME=FAT:FQL_AUDITING_CLIENT_TEMPLATE.FAT&amp;display_string=Audit&amp;VAR:KEY=TSBGBEHCBA&amp;VAR:QUERY=RkZfRUJJVERBX0lCKCdMVE1TJywzOTQ2Myk=&amp;WINDOW=FIRST_POPUP&amp;HEIGHT=450&amp;WIDTH=450&amp;START_MA","XIMIZED=FALSE&amp;VAR:CALENDAR=US&amp;VAR:SYMBOL=05614P10&amp;VAR:INDEX=0"}</definedName>
    <definedName name="_2594__FDSAUDITLINK__" hidden="1">{"fdsup://directions/FAT Viewer?action=UPDATE&amp;creator=factset&amp;DYN_ARGS=TRUE&amp;DOC_NAME=FAT:FQL_AUDITING_CLIENT_TEMPLATE.FAT&amp;display_string=Audit&amp;VAR:KEY=TSBGBEHCBA&amp;VAR:QUERY=RkZfRUJJVERBX0lCKCdMVE1TJywzOTQ2Myk=&amp;WINDOW=FIRST_POPUP&amp;HEIGHT=450&amp;WIDTH=450&amp;START_MA","XIMIZED=FALSE&amp;VAR:CALENDAR=US&amp;VAR:SYMBOL=05614P10&amp;VAR:INDEX=0"}</definedName>
    <definedName name="_2595__FDSAUDITLINK__" localSheetId="6" hidden="1">{"fdsup://directions/FAT Viewer?action=UPDATE&amp;creator=factset&amp;DYN_ARGS=TRUE&amp;DOC_NAME=FAT:FQL_AUDITING_CLIENT_TEMPLATE.FAT&amp;display_string=Audit&amp;VAR:KEY=VQLGLAVUTY&amp;VAR:QUERY=RkZfRUJJVERBX0lCKCdMVE1TJywzOTQ2Mik=&amp;WINDOW=FIRST_POPUP&amp;HEIGHT=450&amp;WIDTH=450&amp;START_MA","XIMIZED=FALSE&amp;VAR:CALENDAR=US&amp;VAR:SYMBOL=05614P10&amp;VAR:INDEX=0"}</definedName>
    <definedName name="_2595__FDSAUDITLINK__" hidden="1">{"fdsup://directions/FAT Viewer?action=UPDATE&amp;creator=factset&amp;DYN_ARGS=TRUE&amp;DOC_NAME=FAT:FQL_AUDITING_CLIENT_TEMPLATE.FAT&amp;display_string=Audit&amp;VAR:KEY=VQLGLAVUTY&amp;VAR:QUERY=RkZfRUJJVERBX0lCKCdMVE1TJywzOTQ2Mik=&amp;WINDOW=FIRST_POPUP&amp;HEIGHT=450&amp;WIDTH=450&amp;START_MA","XIMIZED=FALSE&amp;VAR:CALENDAR=US&amp;VAR:SYMBOL=05614P10&amp;VAR:INDEX=0"}</definedName>
    <definedName name="_2596__FDSAUDITLINK__" localSheetId="6" hidden="1">{"fdsup://directions/FAT Viewer?action=UPDATE&amp;creator=factset&amp;DYN_ARGS=TRUE&amp;DOC_NAME=FAT:FQL_AUDITING_CLIENT_TEMPLATE.FAT&amp;display_string=Audit&amp;VAR:KEY=VGPWZSXCPM&amp;VAR:QUERY=RkZfRUJJVERBX0lCKCdMVE1TJywzOTQ2MSk=&amp;WINDOW=FIRST_POPUP&amp;HEIGHT=450&amp;WIDTH=450&amp;START_MA","XIMIZED=FALSE&amp;VAR:CALENDAR=US&amp;VAR:SYMBOL=05614P10&amp;VAR:INDEX=0"}</definedName>
    <definedName name="_2596__FDSAUDITLINK__" hidden="1">{"fdsup://directions/FAT Viewer?action=UPDATE&amp;creator=factset&amp;DYN_ARGS=TRUE&amp;DOC_NAME=FAT:FQL_AUDITING_CLIENT_TEMPLATE.FAT&amp;display_string=Audit&amp;VAR:KEY=VGPWZSXCPM&amp;VAR:QUERY=RkZfRUJJVERBX0lCKCdMVE1TJywzOTQ2MSk=&amp;WINDOW=FIRST_POPUP&amp;HEIGHT=450&amp;WIDTH=450&amp;START_MA","XIMIZED=FALSE&amp;VAR:CALENDAR=US&amp;VAR:SYMBOL=05614P10&amp;VAR:INDEX=0"}</definedName>
    <definedName name="_2597__FDSAUDITLINK__" localSheetId="6" hidden="1">{"fdsup://directions/FAT Viewer?action=UPDATE&amp;creator=factset&amp;DYN_ARGS=TRUE&amp;DOC_NAME=FAT:FQL_AUDITING_CLIENT_TEMPLATE.FAT&amp;display_string=Audit&amp;VAR:KEY=ZUNQPAJQJK&amp;VAR:QUERY=RkZfRUJJVERBX0lCKCdMVE1TJywzOTQ2MCk=&amp;WINDOW=FIRST_POPUP&amp;HEIGHT=450&amp;WIDTH=450&amp;START_MA","XIMIZED=FALSE&amp;VAR:CALENDAR=US&amp;VAR:SYMBOL=05614P10&amp;VAR:INDEX=0"}</definedName>
    <definedName name="_2597__FDSAUDITLINK__" hidden="1">{"fdsup://directions/FAT Viewer?action=UPDATE&amp;creator=factset&amp;DYN_ARGS=TRUE&amp;DOC_NAME=FAT:FQL_AUDITING_CLIENT_TEMPLATE.FAT&amp;display_string=Audit&amp;VAR:KEY=ZUNQPAJQJK&amp;VAR:QUERY=RkZfRUJJVERBX0lCKCdMVE1TJywzOTQ2MCk=&amp;WINDOW=FIRST_POPUP&amp;HEIGHT=450&amp;WIDTH=450&amp;START_MA","XIMIZED=FALSE&amp;VAR:CALENDAR=US&amp;VAR:SYMBOL=05614P10&amp;VAR:INDEX=0"}</definedName>
    <definedName name="_2598__FDSAUDITLINK__" localSheetId="6" hidden="1">{"fdsup://directions/FAT Viewer?action=UPDATE&amp;creator=factset&amp;DYN_ARGS=TRUE&amp;DOC_NAME=FAT:FQL_AUDITING_CLIENT_TEMPLATE.FAT&amp;display_string=Audit&amp;VAR:KEY=LWLQNYNUDW&amp;VAR:QUERY=RkZfRUJJVERBX0lCKCdMVE1TJywzOTQ1OSk=&amp;WINDOW=FIRST_POPUP&amp;HEIGHT=450&amp;WIDTH=450&amp;START_MA","XIMIZED=FALSE&amp;VAR:CALENDAR=US&amp;VAR:SYMBOL=05614P10&amp;VAR:INDEX=0"}</definedName>
    <definedName name="_2598__FDSAUDITLINK__" hidden="1">{"fdsup://directions/FAT Viewer?action=UPDATE&amp;creator=factset&amp;DYN_ARGS=TRUE&amp;DOC_NAME=FAT:FQL_AUDITING_CLIENT_TEMPLATE.FAT&amp;display_string=Audit&amp;VAR:KEY=LWLQNYNUDW&amp;VAR:QUERY=RkZfRUJJVERBX0lCKCdMVE1TJywzOTQ1OSk=&amp;WINDOW=FIRST_POPUP&amp;HEIGHT=450&amp;WIDTH=450&amp;START_MA","XIMIZED=FALSE&amp;VAR:CALENDAR=US&amp;VAR:SYMBOL=05614P10&amp;VAR:INDEX=0"}</definedName>
    <definedName name="_2599__FDSAUDITLINK__" localSheetId="6" hidden="1">{"fdsup://directions/FAT Viewer?action=UPDATE&amp;creator=factset&amp;DYN_ARGS=TRUE&amp;DOC_NAME=FAT:FQL_AUDITING_CLIENT_TEMPLATE.FAT&amp;display_string=Audit&amp;VAR:KEY=BCFONYTUBI&amp;VAR:QUERY=RkZfRUJJVERBX0lCKCdMVE1TJywzOTQ1OCk=&amp;WINDOW=FIRST_POPUP&amp;HEIGHT=450&amp;WIDTH=450&amp;START_MA","XIMIZED=FALSE&amp;VAR:CALENDAR=US&amp;VAR:SYMBOL=05614P10&amp;VAR:INDEX=0"}</definedName>
    <definedName name="_2599__FDSAUDITLINK__" hidden="1">{"fdsup://directions/FAT Viewer?action=UPDATE&amp;creator=factset&amp;DYN_ARGS=TRUE&amp;DOC_NAME=FAT:FQL_AUDITING_CLIENT_TEMPLATE.FAT&amp;display_string=Audit&amp;VAR:KEY=BCFONYTUBI&amp;VAR:QUERY=RkZfRUJJVERBX0lCKCdMVE1TJywzOTQ1OCk=&amp;WINDOW=FIRST_POPUP&amp;HEIGHT=450&amp;WIDTH=450&amp;START_MA","XIMIZED=FALSE&amp;VAR:CALENDAR=US&amp;VAR:SYMBOL=05614P10&amp;VAR:INDEX=0"}</definedName>
    <definedName name="_26__FDSAUDITLINK__" localSheetId="6" hidden="1">{"fdsup://directions/FAT Viewer?action=UPDATE&amp;creator=factset&amp;DYN_ARGS=TRUE&amp;DOC_NAME=FAT:FQL_AUDITING_CLIENT_TEMPLATE.FAT&amp;display_string=Audit&amp;VAR:KEY=HALSPOJSZY&amp;VAR:QUERY=QVZHKENTRl9ORVRfSU5DKEFOTiwwRlksLTZGWSxZKSkgLyAoQVZHKENTRl9BU1NFVFMoQU5OLDBGWSwtNkZZL","EZZKSkgLSBBVkcoQ1NGX0lOVEFORyhBTk4sMCwtNkZZLEZZKSkp&amp;WINDOW=FIRST_POPUP&amp;HEIGHT=450&amp;WIDTH=450&amp;START_MAXIMIZED=FALSE&amp;VAR:CALENDAR=US&amp;VAR:SYMBOL=SAIA"}</definedName>
    <definedName name="_26__FDSAUDITLINK__" hidden="1">{"fdsup://directions/FAT Viewer?action=UPDATE&amp;creator=factset&amp;DYN_ARGS=TRUE&amp;DOC_NAME=FAT:FQL_AUDITING_CLIENT_TEMPLATE.FAT&amp;display_string=Audit&amp;VAR:KEY=HALSPOJSZY&amp;VAR:QUERY=QVZHKENTRl9ORVRfSU5DKEFOTiwwRlksLTZGWSxZKSkgLyAoQVZHKENTRl9BU1NFVFMoQU5OLDBGWSwtNkZZL","EZZKSkgLSBBVkcoQ1NGX0lOVEFORyhBTk4sMCwtNkZZLEZZKSkp&amp;WINDOW=FIRST_POPUP&amp;HEIGHT=450&amp;WIDTH=450&amp;START_MAXIMIZED=FALSE&amp;VAR:CALENDAR=US&amp;VAR:SYMBOL=SAIA"}</definedName>
    <definedName name="_260__FDSAUDITLINK__" localSheetId="6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0__FDSAUDITLINK__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00__FDSAUDITLINK__" localSheetId="6" hidden="1">{"fdsup://directions/FAT Viewer?action=UPDATE&amp;creator=factset&amp;DYN_ARGS=TRUE&amp;DOC_NAME=FAT:FQL_AUDITING_CLIENT_TEMPLATE.FAT&amp;display_string=Audit&amp;VAR:KEY=NYDKPUTCLW&amp;VAR:QUERY=RkZfRUJJVERBX0lCKCdMVE1TJywzOTQ1Nyk=&amp;WINDOW=FIRST_POPUP&amp;HEIGHT=450&amp;WIDTH=450&amp;START_MA","XIMIZED=FALSE&amp;VAR:CALENDAR=US&amp;VAR:SYMBOL=05614P10&amp;VAR:INDEX=0"}</definedName>
    <definedName name="_2600__FDSAUDITLINK__" hidden="1">{"fdsup://directions/FAT Viewer?action=UPDATE&amp;creator=factset&amp;DYN_ARGS=TRUE&amp;DOC_NAME=FAT:FQL_AUDITING_CLIENT_TEMPLATE.FAT&amp;display_string=Audit&amp;VAR:KEY=NYDKPUTCLW&amp;VAR:QUERY=RkZfRUJJVERBX0lCKCdMVE1TJywzOTQ1Nyk=&amp;WINDOW=FIRST_POPUP&amp;HEIGHT=450&amp;WIDTH=450&amp;START_MA","XIMIZED=FALSE&amp;VAR:CALENDAR=US&amp;VAR:SYMBOL=05614P10&amp;VAR:INDEX=0"}</definedName>
    <definedName name="_2601__FDSAUDITLINK__" localSheetId="6" hidden="1">{"fdsup://directions/FAT Viewer?action=UPDATE&amp;creator=factset&amp;DYN_ARGS=TRUE&amp;DOC_NAME=FAT:FQL_AUDITING_CLIENT_TEMPLATE.FAT&amp;display_string=Audit&amp;VAR:KEY=VMDEJYNERM&amp;VAR:QUERY=RkZfRUJJVERBX0lCKCdMVE1TJywzOTQ1Nik=&amp;WINDOW=FIRST_POPUP&amp;HEIGHT=450&amp;WIDTH=450&amp;START_MA","XIMIZED=FALSE&amp;VAR:CALENDAR=US&amp;VAR:SYMBOL=05614P10&amp;VAR:INDEX=0"}</definedName>
    <definedName name="_2601__FDSAUDITLINK__" hidden="1">{"fdsup://directions/FAT Viewer?action=UPDATE&amp;creator=factset&amp;DYN_ARGS=TRUE&amp;DOC_NAME=FAT:FQL_AUDITING_CLIENT_TEMPLATE.FAT&amp;display_string=Audit&amp;VAR:KEY=VMDEJYNERM&amp;VAR:QUERY=RkZfRUJJVERBX0lCKCdMVE1TJywzOTQ1Nik=&amp;WINDOW=FIRST_POPUP&amp;HEIGHT=450&amp;WIDTH=450&amp;START_MA","XIMIZED=FALSE&amp;VAR:CALENDAR=US&amp;VAR:SYMBOL=05614P10&amp;VAR:INDEX=0"}</definedName>
    <definedName name="_2602__FDSAUDITLINK__" localSheetId="6" hidden="1">{"fdsup://directions/FAT Viewer?action=UPDATE&amp;creator=factset&amp;DYN_ARGS=TRUE&amp;DOC_NAME=FAT:FQL_AUDITING_CLIENT_TEMPLATE.FAT&amp;display_string=Audit&amp;VAR:KEY=BOHWVOFIPG&amp;VAR:QUERY=RkZfRUJJVERBX0lCKCdMVE1TJywzOTQ1NSk=&amp;WINDOW=FIRST_POPUP&amp;HEIGHT=450&amp;WIDTH=450&amp;START_MA","XIMIZED=FALSE&amp;VAR:CALENDAR=US&amp;VAR:SYMBOL=05614P10&amp;VAR:INDEX=0"}</definedName>
    <definedName name="_2602__FDSAUDITLINK__" hidden="1">{"fdsup://directions/FAT Viewer?action=UPDATE&amp;creator=factset&amp;DYN_ARGS=TRUE&amp;DOC_NAME=FAT:FQL_AUDITING_CLIENT_TEMPLATE.FAT&amp;display_string=Audit&amp;VAR:KEY=BOHWVOFIPG&amp;VAR:QUERY=RkZfRUJJVERBX0lCKCdMVE1TJywzOTQ1NSk=&amp;WINDOW=FIRST_POPUP&amp;HEIGHT=450&amp;WIDTH=450&amp;START_MA","XIMIZED=FALSE&amp;VAR:CALENDAR=US&amp;VAR:SYMBOL=05614P10&amp;VAR:INDEX=0"}</definedName>
    <definedName name="_2603__FDSAUDITLINK__" localSheetId="6" hidden="1">{"fdsup://directions/FAT Viewer?action=UPDATE&amp;creator=factset&amp;DYN_ARGS=TRUE&amp;DOC_NAME=FAT:FQL_AUDITING_CLIENT_TEMPLATE.FAT&amp;display_string=Audit&amp;VAR:KEY=VGXUTUPOLM&amp;VAR:QUERY=RkZfRUJJVERBX0lCKCdMVE1TJywzOTQ1NCk=&amp;WINDOW=FIRST_POPUP&amp;HEIGHT=450&amp;WIDTH=450&amp;START_MA","XIMIZED=FALSE&amp;VAR:CALENDAR=US&amp;VAR:SYMBOL=05614P10&amp;VAR:INDEX=0"}</definedName>
    <definedName name="_2603__FDSAUDITLINK__" hidden="1">{"fdsup://directions/FAT Viewer?action=UPDATE&amp;creator=factset&amp;DYN_ARGS=TRUE&amp;DOC_NAME=FAT:FQL_AUDITING_CLIENT_TEMPLATE.FAT&amp;display_string=Audit&amp;VAR:KEY=VGXUTUPOLM&amp;VAR:QUERY=RkZfRUJJVERBX0lCKCdMVE1TJywzOTQ1NCk=&amp;WINDOW=FIRST_POPUP&amp;HEIGHT=450&amp;WIDTH=450&amp;START_MA","XIMIZED=FALSE&amp;VAR:CALENDAR=US&amp;VAR:SYMBOL=05614P10&amp;VAR:INDEX=0"}</definedName>
    <definedName name="_2604__FDSAUDITLINK__" localSheetId="6" hidden="1">{"fdsup://directions/FAT Viewer?action=UPDATE&amp;creator=factset&amp;DYN_ARGS=TRUE&amp;DOC_NAME=FAT:FQL_AUDITING_CLIENT_TEMPLATE.FAT&amp;display_string=Audit&amp;VAR:KEY=DQLMRQBWXQ&amp;VAR:QUERY=RkZfRUJJVERBX0lCKCdMVE1TJywzOTQ1Myk=&amp;WINDOW=FIRST_POPUP&amp;HEIGHT=450&amp;WIDTH=450&amp;START_MA","XIMIZED=FALSE&amp;VAR:CALENDAR=US&amp;VAR:SYMBOL=05614P10&amp;VAR:INDEX=0"}</definedName>
    <definedName name="_2604__FDSAUDITLINK__" hidden="1">{"fdsup://directions/FAT Viewer?action=UPDATE&amp;creator=factset&amp;DYN_ARGS=TRUE&amp;DOC_NAME=FAT:FQL_AUDITING_CLIENT_TEMPLATE.FAT&amp;display_string=Audit&amp;VAR:KEY=DQLMRQBWXQ&amp;VAR:QUERY=RkZfRUJJVERBX0lCKCdMVE1TJywzOTQ1Myk=&amp;WINDOW=FIRST_POPUP&amp;HEIGHT=450&amp;WIDTH=450&amp;START_MA","XIMIZED=FALSE&amp;VAR:CALENDAR=US&amp;VAR:SYMBOL=05614P10&amp;VAR:INDEX=0"}</definedName>
    <definedName name="_2605__FDSAUDITLINK__" localSheetId="6" hidden="1">{"fdsup://directions/FAT Viewer?action=UPDATE&amp;creator=factset&amp;DYN_ARGS=TRUE&amp;DOC_NAME=FAT:FQL_AUDITING_CLIENT_TEMPLATE.FAT&amp;display_string=Audit&amp;VAR:KEY=BAHOHOZITC&amp;VAR:QUERY=RkZfRUJJVERBX0lCKCdMVE1TJywzOTQ1Mik=&amp;WINDOW=FIRST_POPUP&amp;HEIGHT=450&amp;WIDTH=450&amp;START_MA","XIMIZED=FALSE&amp;VAR:CALENDAR=US&amp;VAR:SYMBOL=05614P10&amp;VAR:INDEX=0"}</definedName>
    <definedName name="_2605__FDSAUDITLINK__" hidden="1">{"fdsup://directions/FAT Viewer?action=UPDATE&amp;creator=factset&amp;DYN_ARGS=TRUE&amp;DOC_NAME=FAT:FQL_AUDITING_CLIENT_TEMPLATE.FAT&amp;display_string=Audit&amp;VAR:KEY=BAHOHOZITC&amp;VAR:QUERY=RkZfRUJJVERBX0lCKCdMVE1TJywzOTQ1Mik=&amp;WINDOW=FIRST_POPUP&amp;HEIGHT=450&amp;WIDTH=450&amp;START_MA","XIMIZED=FALSE&amp;VAR:CALENDAR=US&amp;VAR:SYMBOL=05614P10&amp;VAR:INDEX=0"}</definedName>
    <definedName name="_2606__FDSAUDITLINK__" localSheetId="6" hidden="1">{"fdsup://directions/FAT Viewer?action=UPDATE&amp;creator=factset&amp;DYN_ARGS=TRUE&amp;DOC_NAME=FAT:FQL_AUDITING_CLIENT_TEMPLATE.FAT&amp;display_string=Audit&amp;VAR:KEY=DOJETGPEPE&amp;VAR:QUERY=RkZfRUJJVERBX0lCKCdMVE1TJywzOTQ1MSk=&amp;WINDOW=FIRST_POPUP&amp;HEIGHT=450&amp;WIDTH=450&amp;START_MA","XIMIZED=FALSE&amp;VAR:CALENDAR=US&amp;VAR:SYMBOL=05614P10&amp;VAR:INDEX=0"}</definedName>
    <definedName name="_2606__FDSAUDITLINK__" hidden="1">{"fdsup://directions/FAT Viewer?action=UPDATE&amp;creator=factset&amp;DYN_ARGS=TRUE&amp;DOC_NAME=FAT:FQL_AUDITING_CLIENT_TEMPLATE.FAT&amp;display_string=Audit&amp;VAR:KEY=DOJETGPEPE&amp;VAR:QUERY=RkZfRUJJVERBX0lCKCdMVE1TJywzOTQ1MSk=&amp;WINDOW=FIRST_POPUP&amp;HEIGHT=450&amp;WIDTH=450&amp;START_MA","XIMIZED=FALSE&amp;VAR:CALENDAR=US&amp;VAR:SYMBOL=05614P10&amp;VAR:INDEX=0"}</definedName>
    <definedName name="_2607__FDSAUDITLINK__" localSheetId="6" hidden="1">{"fdsup://directions/FAT Viewer?action=UPDATE&amp;creator=factset&amp;DYN_ARGS=TRUE&amp;DOC_NAME=FAT:FQL_AUDITING_CLIENT_TEMPLATE.FAT&amp;display_string=Audit&amp;VAR:KEY=PMHAZSRGZS&amp;VAR:QUERY=RkZfRUJJVERBX0lCKCdMVE1TJywzOTQ1MCk=&amp;WINDOW=FIRST_POPUP&amp;HEIGHT=450&amp;WIDTH=450&amp;START_MA","XIMIZED=FALSE&amp;VAR:CALENDAR=US&amp;VAR:SYMBOL=05614P10&amp;VAR:INDEX=0"}</definedName>
    <definedName name="_2607__FDSAUDITLINK__" hidden="1">{"fdsup://directions/FAT Viewer?action=UPDATE&amp;creator=factset&amp;DYN_ARGS=TRUE&amp;DOC_NAME=FAT:FQL_AUDITING_CLIENT_TEMPLATE.FAT&amp;display_string=Audit&amp;VAR:KEY=PMHAZSRGZS&amp;VAR:QUERY=RkZfRUJJVERBX0lCKCdMVE1TJywzOTQ1MCk=&amp;WINDOW=FIRST_POPUP&amp;HEIGHT=450&amp;WIDTH=450&amp;START_MA","XIMIZED=FALSE&amp;VAR:CALENDAR=US&amp;VAR:SYMBOL=05614P10&amp;VAR:INDEX=0"}</definedName>
    <definedName name="_2608__FDSAUDITLINK__" localSheetId="6" hidden="1">{"fdsup://directions/FAT Viewer?action=UPDATE&amp;creator=factset&amp;DYN_ARGS=TRUE&amp;DOC_NAME=FAT:FQL_AUDITING_CLIENT_TEMPLATE.FAT&amp;display_string=Audit&amp;VAR:KEY=NCPCHERKFU&amp;VAR:QUERY=RkZfRUJJVERBX0lCKCdMVE1TJywzOTQ0OSk=&amp;WINDOW=FIRST_POPUP&amp;HEIGHT=450&amp;WIDTH=450&amp;START_MA","XIMIZED=FALSE&amp;VAR:CALENDAR=US&amp;VAR:SYMBOL=05614P10&amp;VAR:INDEX=0"}</definedName>
    <definedName name="_2608__FDSAUDITLINK__" hidden="1">{"fdsup://directions/FAT Viewer?action=UPDATE&amp;creator=factset&amp;DYN_ARGS=TRUE&amp;DOC_NAME=FAT:FQL_AUDITING_CLIENT_TEMPLATE.FAT&amp;display_string=Audit&amp;VAR:KEY=NCPCHERKFU&amp;VAR:QUERY=RkZfRUJJVERBX0lCKCdMVE1TJywzOTQ0OSk=&amp;WINDOW=FIRST_POPUP&amp;HEIGHT=450&amp;WIDTH=450&amp;START_MA","XIMIZED=FALSE&amp;VAR:CALENDAR=US&amp;VAR:SYMBOL=05614P10&amp;VAR:INDEX=0"}</definedName>
    <definedName name="_2609__FDSAUDITLINK__" localSheetId="6" hidden="1">{"fdsup://directions/FAT Viewer?action=UPDATE&amp;creator=factset&amp;DYN_ARGS=TRUE&amp;DOC_NAME=FAT:FQL_AUDITING_CLIENT_TEMPLATE.FAT&amp;display_string=Audit&amp;VAR:KEY=TOVSLUTIVY&amp;VAR:QUERY=RkZfRUJJVERBX0lCKCdMVE1TJywzOTQ0OCk=&amp;WINDOW=FIRST_POPUP&amp;HEIGHT=450&amp;WIDTH=450&amp;START_MA","XIMIZED=FALSE&amp;VAR:CALENDAR=US&amp;VAR:SYMBOL=05614P10&amp;VAR:INDEX=0"}</definedName>
    <definedName name="_2609__FDSAUDITLINK__" hidden="1">{"fdsup://directions/FAT Viewer?action=UPDATE&amp;creator=factset&amp;DYN_ARGS=TRUE&amp;DOC_NAME=FAT:FQL_AUDITING_CLIENT_TEMPLATE.FAT&amp;display_string=Audit&amp;VAR:KEY=TOVSLUTIVY&amp;VAR:QUERY=RkZfRUJJVERBX0lCKCdMVE1TJywzOTQ0OCk=&amp;WINDOW=FIRST_POPUP&amp;HEIGHT=450&amp;WIDTH=450&amp;START_MA","XIMIZED=FALSE&amp;VAR:CALENDAR=US&amp;VAR:SYMBOL=05614P10&amp;VAR:INDEX=0"}</definedName>
    <definedName name="_261__FDSAUDITLINK__" localSheetId="6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1__FDSAUDITLINK__" hidden="1">{"fdsup://directions/FAT%20Viewer?VAR:PED=LTM&amp;VAR:AUDIT_MODE=SUMMARY&amp;VAR:PERIOD=FIXED&amp;VAR:AUDIT_ID=00000117&amp;VAR:DATE=20090605&amp;action=UPDATE&amp;creator=factset&amp;DOC_NAME=FAT:FMA_audit_SUMMARY.fat&amp;DISPLAY_STRING=Display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10__FDSAUDITLINK__" localSheetId="6" hidden="1">{"fdsup://directions/FAT Viewer?action=UPDATE&amp;creator=factset&amp;DYN_ARGS=TRUE&amp;DOC_NAME=FAT:FQL_AUDITING_CLIENT_TEMPLATE.FAT&amp;display_string=Audit&amp;VAR:KEY=HCVCFYFQJI&amp;VAR:QUERY=RkZfRUJJVERBX0lCKCdMVE1TJywzOTQ0Nyk=&amp;WINDOW=FIRST_POPUP&amp;HEIGHT=450&amp;WIDTH=450&amp;START_MA","XIMIZED=FALSE&amp;VAR:CALENDAR=US&amp;VAR:SYMBOL=05614P10&amp;VAR:INDEX=0"}</definedName>
    <definedName name="_2610__FDSAUDITLINK__" hidden="1">{"fdsup://directions/FAT Viewer?action=UPDATE&amp;creator=factset&amp;DYN_ARGS=TRUE&amp;DOC_NAME=FAT:FQL_AUDITING_CLIENT_TEMPLATE.FAT&amp;display_string=Audit&amp;VAR:KEY=HCVCFYFQJI&amp;VAR:QUERY=RkZfRUJJVERBX0lCKCdMVE1TJywzOTQ0Nyk=&amp;WINDOW=FIRST_POPUP&amp;HEIGHT=450&amp;WIDTH=450&amp;START_MA","XIMIZED=FALSE&amp;VAR:CALENDAR=US&amp;VAR:SYMBOL=05614P10&amp;VAR:INDEX=0"}</definedName>
    <definedName name="_2611__FDSAUDITLINK__" localSheetId="6" hidden="1">{"fdsup://directions/FAT Viewer?action=UPDATE&amp;creator=factset&amp;DYN_ARGS=TRUE&amp;DOC_NAME=FAT:FQL_AUDITING_CLIENT_TEMPLATE.FAT&amp;display_string=Audit&amp;VAR:KEY=JWNINAJCZQ&amp;VAR:QUERY=RkZfRUJJVERBX0lCKCdMVE1TJywzOTQ0Nik=&amp;WINDOW=FIRST_POPUP&amp;HEIGHT=450&amp;WIDTH=450&amp;START_MA","XIMIZED=FALSE&amp;VAR:CALENDAR=US&amp;VAR:SYMBOL=05614P10&amp;VAR:INDEX=0"}</definedName>
    <definedName name="_2611__FDSAUDITLINK__" hidden="1">{"fdsup://directions/FAT Viewer?action=UPDATE&amp;creator=factset&amp;DYN_ARGS=TRUE&amp;DOC_NAME=FAT:FQL_AUDITING_CLIENT_TEMPLATE.FAT&amp;display_string=Audit&amp;VAR:KEY=JWNINAJCZQ&amp;VAR:QUERY=RkZfRUJJVERBX0lCKCdMVE1TJywzOTQ0Nik=&amp;WINDOW=FIRST_POPUP&amp;HEIGHT=450&amp;WIDTH=450&amp;START_MA","XIMIZED=FALSE&amp;VAR:CALENDAR=US&amp;VAR:SYMBOL=05614P10&amp;VAR:INDEX=0"}</definedName>
    <definedName name="_2612__FDSAUDITLINK__" localSheetId="6" hidden="1">{"fdsup://directions/FAT Viewer?action=UPDATE&amp;creator=factset&amp;DYN_ARGS=TRUE&amp;DOC_NAME=FAT:FQL_AUDITING_CLIENT_TEMPLATE.FAT&amp;display_string=Audit&amp;VAR:KEY=HWHGRKDGJM&amp;VAR:QUERY=RkZfRUJJVERBX0lCKCdMVE1TJywzOTQ0NSk=&amp;WINDOW=FIRST_POPUP&amp;HEIGHT=450&amp;WIDTH=450&amp;START_MA","XIMIZED=FALSE&amp;VAR:CALENDAR=US&amp;VAR:SYMBOL=05614P10&amp;VAR:INDEX=0"}</definedName>
    <definedName name="_2612__FDSAUDITLINK__" hidden="1">{"fdsup://directions/FAT Viewer?action=UPDATE&amp;creator=factset&amp;DYN_ARGS=TRUE&amp;DOC_NAME=FAT:FQL_AUDITING_CLIENT_TEMPLATE.FAT&amp;display_string=Audit&amp;VAR:KEY=HWHGRKDGJM&amp;VAR:QUERY=RkZfRUJJVERBX0lCKCdMVE1TJywzOTQ0NSk=&amp;WINDOW=FIRST_POPUP&amp;HEIGHT=450&amp;WIDTH=450&amp;START_MA","XIMIZED=FALSE&amp;VAR:CALENDAR=US&amp;VAR:SYMBOL=05614P10&amp;VAR:INDEX=0"}</definedName>
    <definedName name="_2613__FDSAUDITLINK__" localSheetId="6" hidden="1">{"fdsup://directions/FAT Viewer?action=UPDATE&amp;creator=factset&amp;DYN_ARGS=TRUE&amp;DOC_NAME=FAT:FQL_AUDITING_CLIENT_TEMPLATE.FAT&amp;display_string=Audit&amp;VAR:KEY=VGJCJUNGHS&amp;VAR:QUERY=RkZfRUJJVERBX0lCKCdMVE1TJywzOTQ0NCk=&amp;WINDOW=FIRST_POPUP&amp;HEIGHT=450&amp;WIDTH=450&amp;START_MA","XIMIZED=FALSE&amp;VAR:CALENDAR=US&amp;VAR:SYMBOL=05614P10&amp;VAR:INDEX=0"}</definedName>
    <definedName name="_2613__FDSAUDITLINK__" hidden="1">{"fdsup://directions/FAT Viewer?action=UPDATE&amp;creator=factset&amp;DYN_ARGS=TRUE&amp;DOC_NAME=FAT:FQL_AUDITING_CLIENT_TEMPLATE.FAT&amp;display_string=Audit&amp;VAR:KEY=VGJCJUNGHS&amp;VAR:QUERY=RkZfRUJJVERBX0lCKCdMVE1TJywzOTQ0NCk=&amp;WINDOW=FIRST_POPUP&amp;HEIGHT=450&amp;WIDTH=450&amp;START_MA","XIMIZED=FALSE&amp;VAR:CALENDAR=US&amp;VAR:SYMBOL=05614P10&amp;VAR:INDEX=0"}</definedName>
    <definedName name="_2614__FDSAUDITLINK__" localSheetId="6" hidden="1">{"fdsup://directions/FAT Viewer?action=UPDATE&amp;creator=factset&amp;DYN_ARGS=TRUE&amp;DOC_NAME=FAT:FQL_AUDITING_CLIENT_TEMPLATE.FAT&amp;display_string=Audit&amp;VAR:KEY=POTOTEFMLS&amp;VAR:QUERY=RkZfRUJJVERBX0lCKCdMVE1TJywzOTQ0Myk=&amp;WINDOW=FIRST_POPUP&amp;HEIGHT=450&amp;WIDTH=450&amp;START_MA","XIMIZED=FALSE&amp;VAR:CALENDAR=US&amp;VAR:SYMBOL=05614P10&amp;VAR:INDEX=0"}</definedName>
    <definedName name="_2614__FDSAUDITLINK__" hidden="1">{"fdsup://directions/FAT Viewer?action=UPDATE&amp;creator=factset&amp;DYN_ARGS=TRUE&amp;DOC_NAME=FAT:FQL_AUDITING_CLIENT_TEMPLATE.FAT&amp;display_string=Audit&amp;VAR:KEY=POTOTEFMLS&amp;VAR:QUERY=RkZfRUJJVERBX0lCKCdMVE1TJywzOTQ0Myk=&amp;WINDOW=FIRST_POPUP&amp;HEIGHT=450&amp;WIDTH=450&amp;START_MA","XIMIZED=FALSE&amp;VAR:CALENDAR=US&amp;VAR:SYMBOL=05614P10&amp;VAR:INDEX=0"}</definedName>
    <definedName name="_2615__FDSAUDITLINK__" localSheetId="6" hidden="1">{"fdsup://directions/FAT Viewer?action=UPDATE&amp;creator=factset&amp;DYN_ARGS=TRUE&amp;DOC_NAME=FAT:FQL_AUDITING_CLIENT_TEMPLATE.FAT&amp;display_string=Audit&amp;VAR:KEY=JYXAFGTQTO&amp;VAR:QUERY=RkZfRUJJVERBX0lCKCdMVE1TJywzOTQ0Mik=&amp;WINDOW=FIRST_POPUP&amp;HEIGHT=450&amp;WIDTH=450&amp;START_MA","XIMIZED=FALSE&amp;VAR:CALENDAR=US&amp;VAR:SYMBOL=05614P10&amp;VAR:INDEX=0"}</definedName>
    <definedName name="_2615__FDSAUDITLINK__" hidden="1">{"fdsup://directions/FAT Viewer?action=UPDATE&amp;creator=factset&amp;DYN_ARGS=TRUE&amp;DOC_NAME=FAT:FQL_AUDITING_CLIENT_TEMPLATE.FAT&amp;display_string=Audit&amp;VAR:KEY=JYXAFGTQTO&amp;VAR:QUERY=RkZfRUJJVERBX0lCKCdMVE1TJywzOTQ0Mik=&amp;WINDOW=FIRST_POPUP&amp;HEIGHT=450&amp;WIDTH=450&amp;START_MA","XIMIZED=FALSE&amp;VAR:CALENDAR=US&amp;VAR:SYMBOL=05614P10&amp;VAR:INDEX=0"}</definedName>
    <definedName name="_2616__FDSAUDITLINK__" localSheetId="6" hidden="1">{"fdsup://directions/FAT Viewer?action=UPDATE&amp;creator=factset&amp;DYN_ARGS=TRUE&amp;DOC_NAME=FAT:FQL_AUDITING_CLIENT_TEMPLATE.FAT&amp;display_string=Audit&amp;VAR:KEY=VOXIDUZAFW&amp;VAR:QUERY=RkZfRUJJVERBX0lCKCdMVE1TJywzOTQ0MSk=&amp;WINDOW=FIRST_POPUP&amp;HEIGHT=450&amp;WIDTH=450&amp;START_MA","XIMIZED=FALSE&amp;VAR:CALENDAR=US&amp;VAR:SYMBOL=05614P10&amp;VAR:INDEX=0"}</definedName>
    <definedName name="_2616__FDSAUDITLINK__" hidden="1">{"fdsup://directions/FAT Viewer?action=UPDATE&amp;creator=factset&amp;DYN_ARGS=TRUE&amp;DOC_NAME=FAT:FQL_AUDITING_CLIENT_TEMPLATE.FAT&amp;display_string=Audit&amp;VAR:KEY=VOXIDUZAFW&amp;VAR:QUERY=RkZfRUJJVERBX0lCKCdMVE1TJywzOTQ0MSk=&amp;WINDOW=FIRST_POPUP&amp;HEIGHT=450&amp;WIDTH=450&amp;START_MA","XIMIZED=FALSE&amp;VAR:CALENDAR=US&amp;VAR:SYMBOL=05614P10&amp;VAR:INDEX=0"}</definedName>
    <definedName name="_2617__FDSAUDITLINK__" localSheetId="6" hidden="1">{"fdsup://directions/FAT Viewer?action=UPDATE&amp;creator=factset&amp;DYN_ARGS=TRUE&amp;DOC_NAME=FAT:FQL_AUDITING_CLIENT_TEMPLATE.FAT&amp;display_string=Audit&amp;VAR:KEY=RSFKRSVIBM&amp;VAR:QUERY=RkZfRUJJVERBX0lCKCdMVE1TJywzOTQ0MCk=&amp;WINDOW=FIRST_POPUP&amp;HEIGHT=450&amp;WIDTH=450&amp;START_MA","XIMIZED=FALSE&amp;VAR:CALENDAR=US&amp;VAR:SYMBOL=05614P10&amp;VAR:INDEX=0"}</definedName>
    <definedName name="_2617__FDSAUDITLINK__" hidden="1">{"fdsup://directions/FAT Viewer?action=UPDATE&amp;creator=factset&amp;DYN_ARGS=TRUE&amp;DOC_NAME=FAT:FQL_AUDITING_CLIENT_TEMPLATE.FAT&amp;display_string=Audit&amp;VAR:KEY=RSFKRSVIBM&amp;VAR:QUERY=RkZfRUJJVERBX0lCKCdMVE1TJywzOTQ0MCk=&amp;WINDOW=FIRST_POPUP&amp;HEIGHT=450&amp;WIDTH=450&amp;START_MA","XIMIZED=FALSE&amp;VAR:CALENDAR=US&amp;VAR:SYMBOL=05614P10&amp;VAR:INDEX=0"}</definedName>
    <definedName name="_2618__FDSAUDITLINK__" localSheetId="6" hidden="1">{"fdsup://directions/FAT Viewer?action=UPDATE&amp;creator=factset&amp;DYN_ARGS=TRUE&amp;DOC_NAME=FAT:FQL_AUDITING_CLIENT_TEMPLATE.FAT&amp;display_string=Audit&amp;VAR:KEY=VINYRMBOVC&amp;VAR:QUERY=RkZfRUJJVERBX0lCKCdMVE1TJywzOTQzOSk=&amp;WINDOW=FIRST_POPUP&amp;HEIGHT=450&amp;WIDTH=450&amp;START_MA","XIMIZED=FALSE&amp;VAR:CALENDAR=US&amp;VAR:SYMBOL=05614P10&amp;VAR:INDEX=0"}</definedName>
    <definedName name="_2618__FDSAUDITLINK__" hidden="1">{"fdsup://directions/FAT Viewer?action=UPDATE&amp;creator=factset&amp;DYN_ARGS=TRUE&amp;DOC_NAME=FAT:FQL_AUDITING_CLIENT_TEMPLATE.FAT&amp;display_string=Audit&amp;VAR:KEY=VINYRMBOVC&amp;VAR:QUERY=RkZfRUJJVERBX0lCKCdMVE1TJywzOTQzOSk=&amp;WINDOW=FIRST_POPUP&amp;HEIGHT=450&amp;WIDTH=450&amp;START_MA","XIMIZED=FALSE&amp;VAR:CALENDAR=US&amp;VAR:SYMBOL=05614P10&amp;VAR:INDEX=0"}</definedName>
    <definedName name="_2619__FDSAUDITLINK__" localSheetId="6" hidden="1">{"fdsup://directions/FAT Viewer?action=UPDATE&amp;creator=factset&amp;DYN_ARGS=TRUE&amp;DOC_NAME=FAT:FQL_AUDITING_CLIENT_TEMPLATE.FAT&amp;display_string=Audit&amp;VAR:KEY=JIDSLAHIFC&amp;VAR:QUERY=RkZfRUJJVERBX0lCKCdMVE1TJywzOTQzOCk=&amp;WINDOW=FIRST_POPUP&amp;HEIGHT=450&amp;WIDTH=450&amp;START_MA","XIMIZED=FALSE&amp;VAR:CALENDAR=US&amp;VAR:SYMBOL=05614P10&amp;VAR:INDEX=0"}</definedName>
    <definedName name="_2619__FDSAUDITLINK__" hidden="1">{"fdsup://directions/FAT Viewer?action=UPDATE&amp;creator=factset&amp;DYN_ARGS=TRUE&amp;DOC_NAME=FAT:FQL_AUDITING_CLIENT_TEMPLATE.FAT&amp;display_string=Audit&amp;VAR:KEY=JIDSLAHIFC&amp;VAR:QUERY=RkZfRUJJVERBX0lCKCdMVE1TJywzOTQzOCk=&amp;WINDOW=FIRST_POPUP&amp;HEIGHT=450&amp;WIDTH=450&amp;START_MA","XIMIZED=FALSE&amp;VAR:CALENDAR=US&amp;VAR:SYMBOL=05614P10&amp;VAR:INDEX=0"}</definedName>
    <definedName name="_262__FDSAUDITLINK__" localSheetId="6" hidden="1">{"fdsup://directions/FAT%20Viewer?VAR:PED=LTM&amp;VAR:AUDIT_MODE=SUMMARY&amp;VAR:PERIOD=FIXED&amp;VAR:AUDIT_ID=00000117&amp;VAR:DATE=20090604&amp;action=UPDATE&amp;creator=factset&amp;DOC_NAME=FAT:FMA_audit_SUMMARY.fat&amp;DISPLAY_STRING=Display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2__FDSAUDITLINK__" hidden="1">{"fdsup://directions/FAT%20Viewer?VAR:PED=LTM&amp;VAR:AUDIT_MODE=SUMMARY&amp;VAR:PERIOD=FIXED&amp;VAR:AUDIT_ID=00000117&amp;VAR:DATE=20090604&amp;action=UPDATE&amp;creator=factset&amp;DOC_NAME=FAT:FMA_audit_SUMMARY.fat&amp;DISPLAY_STRING=Display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20__FDSAUDITLINK__" localSheetId="6" hidden="1">{"fdsup://directions/FAT Viewer?action=UPDATE&amp;creator=factset&amp;DYN_ARGS=TRUE&amp;DOC_NAME=FAT:FQL_AUDITING_CLIENT_TEMPLATE.FAT&amp;display_string=Audit&amp;VAR:KEY=BELQLCFWHK&amp;VAR:QUERY=RkZfRUJJVERBX0lCKCdMVE1TJywzOTQzNyk=&amp;WINDOW=FIRST_POPUP&amp;HEIGHT=450&amp;WIDTH=450&amp;START_MA","XIMIZED=FALSE&amp;VAR:CALENDAR=US&amp;VAR:SYMBOL=05614P10&amp;VAR:INDEX=0"}</definedName>
    <definedName name="_2620__FDSAUDITLINK__" hidden="1">{"fdsup://directions/FAT Viewer?action=UPDATE&amp;creator=factset&amp;DYN_ARGS=TRUE&amp;DOC_NAME=FAT:FQL_AUDITING_CLIENT_TEMPLATE.FAT&amp;display_string=Audit&amp;VAR:KEY=BELQLCFWHK&amp;VAR:QUERY=RkZfRUJJVERBX0lCKCdMVE1TJywzOTQzNyk=&amp;WINDOW=FIRST_POPUP&amp;HEIGHT=450&amp;WIDTH=450&amp;START_MA","XIMIZED=FALSE&amp;VAR:CALENDAR=US&amp;VAR:SYMBOL=05614P10&amp;VAR:INDEX=0"}</definedName>
    <definedName name="_2621__FDSAUDITLINK__" localSheetId="6" hidden="1">{"fdsup://directions/FAT Viewer?action=UPDATE&amp;creator=factset&amp;DYN_ARGS=TRUE&amp;DOC_NAME=FAT:FQL_AUDITING_CLIENT_TEMPLATE.FAT&amp;display_string=Audit&amp;VAR:KEY=RSVEVSNSJC&amp;VAR:QUERY=RkZfRUJJVERBX0lCKCdMVE1TJywzOTQzNik=&amp;WINDOW=FIRST_POPUP&amp;HEIGHT=450&amp;WIDTH=450&amp;START_MA","XIMIZED=FALSE&amp;VAR:CALENDAR=US&amp;VAR:SYMBOL=05614P10&amp;VAR:INDEX=0"}</definedName>
    <definedName name="_2621__FDSAUDITLINK__" hidden="1">{"fdsup://directions/FAT Viewer?action=UPDATE&amp;creator=factset&amp;DYN_ARGS=TRUE&amp;DOC_NAME=FAT:FQL_AUDITING_CLIENT_TEMPLATE.FAT&amp;display_string=Audit&amp;VAR:KEY=RSVEVSNSJC&amp;VAR:QUERY=RkZfRUJJVERBX0lCKCdMVE1TJywzOTQzNik=&amp;WINDOW=FIRST_POPUP&amp;HEIGHT=450&amp;WIDTH=450&amp;START_MA","XIMIZED=FALSE&amp;VAR:CALENDAR=US&amp;VAR:SYMBOL=05614P10&amp;VAR:INDEX=0"}</definedName>
    <definedName name="_2622__FDSAUDITLINK__" localSheetId="6" hidden="1">{"fdsup://directions/FAT Viewer?action=UPDATE&amp;creator=factset&amp;DYN_ARGS=TRUE&amp;DOC_NAME=FAT:FQL_AUDITING_CLIENT_TEMPLATE.FAT&amp;display_string=Audit&amp;VAR:KEY=FCXQPIVQHW&amp;VAR:QUERY=RkZfRUJJVERBX0lCKCdMVE1TJywzOTQzNSk=&amp;WINDOW=FIRST_POPUP&amp;HEIGHT=450&amp;WIDTH=450&amp;START_MA","XIMIZED=FALSE&amp;VAR:CALENDAR=US&amp;VAR:SYMBOL=05614P10&amp;VAR:INDEX=0"}</definedName>
    <definedName name="_2622__FDSAUDITLINK__" hidden="1">{"fdsup://directions/FAT Viewer?action=UPDATE&amp;creator=factset&amp;DYN_ARGS=TRUE&amp;DOC_NAME=FAT:FQL_AUDITING_CLIENT_TEMPLATE.FAT&amp;display_string=Audit&amp;VAR:KEY=FCXQPIVQHW&amp;VAR:QUERY=RkZfRUJJVERBX0lCKCdMVE1TJywzOTQzNSk=&amp;WINDOW=FIRST_POPUP&amp;HEIGHT=450&amp;WIDTH=450&amp;START_MA","XIMIZED=FALSE&amp;VAR:CALENDAR=US&amp;VAR:SYMBOL=05614P10&amp;VAR:INDEX=0"}</definedName>
    <definedName name="_2623__FDSAUDITLINK__" localSheetId="6" hidden="1">{"fdsup://directions/FAT Viewer?action=UPDATE&amp;creator=factset&amp;DYN_ARGS=TRUE&amp;DOC_NAME=FAT:FQL_AUDITING_CLIENT_TEMPLATE.FAT&amp;display_string=Audit&amp;VAR:KEY=DQJGJGZIVK&amp;VAR:QUERY=RkZfRUJJVERBX0lCKCdMVE1TJywzOTQzNCk=&amp;WINDOW=FIRST_POPUP&amp;HEIGHT=450&amp;WIDTH=450&amp;START_MA","XIMIZED=FALSE&amp;VAR:CALENDAR=US&amp;VAR:SYMBOL=05614P10&amp;VAR:INDEX=0"}</definedName>
    <definedName name="_2623__FDSAUDITLINK__" hidden="1">{"fdsup://directions/FAT Viewer?action=UPDATE&amp;creator=factset&amp;DYN_ARGS=TRUE&amp;DOC_NAME=FAT:FQL_AUDITING_CLIENT_TEMPLATE.FAT&amp;display_string=Audit&amp;VAR:KEY=DQJGJGZIVK&amp;VAR:QUERY=RkZfRUJJVERBX0lCKCdMVE1TJywzOTQzNCk=&amp;WINDOW=FIRST_POPUP&amp;HEIGHT=450&amp;WIDTH=450&amp;START_MA","XIMIZED=FALSE&amp;VAR:CALENDAR=US&amp;VAR:SYMBOL=05614P10&amp;VAR:INDEX=0"}</definedName>
    <definedName name="_2624__FDSAUDITLINK__" localSheetId="6" hidden="1">{"fdsup://directions/FAT Viewer?action=UPDATE&amp;creator=factset&amp;DYN_ARGS=TRUE&amp;DOC_NAME=FAT:FQL_AUDITING_CLIENT_TEMPLATE.FAT&amp;display_string=Audit&amp;VAR:KEY=HQLCBMBORE&amp;VAR:QUERY=RkZfRUJJVERBX0lCKCdMVE1TJywzOTQzMyk=&amp;WINDOW=FIRST_POPUP&amp;HEIGHT=450&amp;WIDTH=450&amp;START_MA","XIMIZED=FALSE&amp;VAR:CALENDAR=US&amp;VAR:SYMBOL=05614P10&amp;VAR:INDEX=0"}</definedName>
    <definedName name="_2624__FDSAUDITLINK__" hidden="1">{"fdsup://directions/FAT Viewer?action=UPDATE&amp;creator=factset&amp;DYN_ARGS=TRUE&amp;DOC_NAME=FAT:FQL_AUDITING_CLIENT_TEMPLATE.FAT&amp;display_string=Audit&amp;VAR:KEY=HQLCBMBORE&amp;VAR:QUERY=RkZfRUJJVERBX0lCKCdMVE1TJywzOTQzMyk=&amp;WINDOW=FIRST_POPUP&amp;HEIGHT=450&amp;WIDTH=450&amp;START_MA","XIMIZED=FALSE&amp;VAR:CALENDAR=US&amp;VAR:SYMBOL=05614P10&amp;VAR:INDEX=0"}</definedName>
    <definedName name="_2625__FDSAUDITLINK__" localSheetId="6" hidden="1">{"fdsup://directions/FAT Viewer?action=UPDATE&amp;creator=factset&amp;DYN_ARGS=TRUE&amp;DOC_NAME=FAT:FQL_AUDITING_CLIENT_TEMPLATE.FAT&amp;display_string=Audit&amp;VAR:KEY=LAJEVSLKTA&amp;VAR:QUERY=RkZfRUJJVERBX0lCKCdMVE1TJywzOTQzMik=&amp;WINDOW=FIRST_POPUP&amp;HEIGHT=450&amp;WIDTH=450&amp;START_MA","XIMIZED=FALSE&amp;VAR:CALENDAR=US&amp;VAR:SYMBOL=05614P10&amp;VAR:INDEX=0"}</definedName>
    <definedName name="_2625__FDSAUDITLINK__" hidden="1">{"fdsup://directions/FAT Viewer?action=UPDATE&amp;creator=factset&amp;DYN_ARGS=TRUE&amp;DOC_NAME=FAT:FQL_AUDITING_CLIENT_TEMPLATE.FAT&amp;display_string=Audit&amp;VAR:KEY=LAJEVSLKTA&amp;VAR:QUERY=RkZfRUJJVERBX0lCKCdMVE1TJywzOTQzMik=&amp;WINDOW=FIRST_POPUP&amp;HEIGHT=450&amp;WIDTH=450&amp;START_MA","XIMIZED=FALSE&amp;VAR:CALENDAR=US&amp;VAR:SYMBOL=05614P10&amp;VAR:INDEX=0"}</definedName>
    <definedName name="_2626__FDSAUDITLINK__" localSheetId="6" hidden="1">{"fdsup://directions/FAT Viewer?action=UPDATE&amp;creator=factset&amp;DYN_ARGS=TRUE&amp;DOC_NAME=FAT:FQL_AUDITING_CLIENT_TEMPLATE.FAT&amp;display_string=Audit&amp;VAR:KEY=TQFGFWTIDK&amp;VAR:QUERY=RkZfRUJJVERBX0lCKCdMVE1TJywzOTQzMSk=&amp;WINDOW=FIRST_POPUP&amp;HEIGHT=450&amp;WIDTH=450&amp;START_MA","XIMIZED=FALSE&amp;VAR:CALENDAR=US&amp;VAR:SYMBOL=05614P10&amp;VAR:INDEX=0"}</definedName>
    <definedName name="_2626__FDSAUDITLINK__" hidden="1">{"fdsup://directions/FAT Viewer?action=UPDATE&amp;creator=factset&amp;DYN_ARGS=TRUE&amp;DOC_NAME=FAT:FQL_AUDITING_CLIENT_TEMPLATE.FAT&amp;display_string=Audit&amp;VAR:KEY=TQFGFWTIDK&amp;VAR:QUERY=RkZfRUJJVERBX0lCKCdMVE1TJywzOTQzMSk=&amp;WINDOW=FIRST_POPUP&amp;HEIGHT=450&amp;WIDTH=450&amp;START_MA","XIMIZED=FALSE&amp;VAR:CALENDAR=US&amp;VAR:SYMBOL=05614P10&amp;VAR:INDEX=0"}</definedName>
    <definedName name="_2627__FDSAUDITLINK__" localSheetId="6" hidden="1">{"fdsup://directions/FAT Viewer?action=UPDATE&amp;creator=factset&amp;DYN_ARGS=TRUE&amp;DOC_NAME=FAT:FQL_AUDITING_CLIENT_TEMPLATE.FAT&amp;display_string=Audit&amp;VAR:KEY=BCLSBERERA&amp;VAR:QUERY=RkZfRUJJVERBX0lCKCdMVE1TJywzOTQzMCk=&amp;WINDOW=FIRST_POPUP&amp;HEIGHT=450&amp;WIDTH=450&amp;START_MA","XIMIZED=FALSE&amp;VAR:CALENDAR=US&amp;VAR:SYMBOL=05614P10&amp;VAR:INDEX=0"}</definedName>
    <definedName name="_2627__FDSAUDITLINK__" hidden="1">{"fdsup://directions/FAT Viewer?action=UPDATE&amp;creator=factset&amp;DYN_ARGS=TRUE&amp;DOC_NAME=FAT:FQL_AUDITING_CLIENT_TEMPLATE.FAT&amp;display_string=Audit&amp;VAR:KEY=BCLSBERERA&amp;VAR:QUERY=RkZfRUJJVERBX0lCKCdMVE1TJywzOTQzMCk=&amp;WINDOW=FIRST_POPUP&amp;HEIGHT=450&amp;WIDTH=450&amp;START_MA","XIMIZED=FALSE&amp;VAR:CALENDAR=US&amp;VAR:SYMBOL=05614P10&amp;VAR:INDEX=0"}</definedName>
    <definedName name="_2628__FDSAUDITLINK__" localSheetId="6" hidden="1">{"fdsup://directions/FAT Viewer?action=UPDATE&amp;creator=factset&amp;DYN_ARGS=TRUE&amp;DOC_NAME=FAT:FQL_AUDITING_CLIENT_TEMPLATE.FAT&amp;display_string=Audit&amp;VAR:KEY=LYZOVGHUJG&amp;VAR:QUERY=RkZfRUJJVERBX0lCKCdMVE1TJywzOTQyOSk=&amp;WINDOW=FIRST_POPUP&amp;HEIGHT=450&amp;WIDTH=450&amp;START_MA","XIMIZED=FALSE&amp;VAR:CALENDAR=US&amp;VAR:SYMBOL=05614P10&amp;VAR:INDEX=0"}</definedName>
    <definedName name="_2628__FDSAUDITLINK__" hidden="1">{"fdsup://directions/FAT Viewer?action=UPDATE&amp;creator=factset&amp;DYN_ARGS=TRUE&amp;DOC_NAME=FAT:FQL_AUDITING_CLIENT_TEMPLATE.FAT&amp;display_string=Audit&amp;VAR:KEY=LYZOVGHUJG&amp;VAR:QUERY=RkZfRUJJVERBX0lCKCdMVE1TJywzOTQyOSk=&amp;WINDOW=FIRST_POPUP&amp;HEIGHT=450&amp;WIDTH=450&amp;START_MA","XIMIZED=FALSE&amp;VAR:CALENDAR=US&amp;VAR:SYMBOL=05614P10&amp;VAR:INDEX=0"}</definedName>
    <definedName name="_2629__FDSAUDITLINK__" localSheetId="6" hidden="1">{"fdsup://directions/FAT Viewer?action=UPDATE&amp;creator=factset&amp;DYN_ARGS=TRUE&amp;DOC_NAME=FAT:FQL_AUDITING_CLIENT_TEMPLATE.FAT&amp;display_string=Audit&amp;VAR:KEY=TEPOTYZUHC&amp;VAR:QUERY=RkZfRUJJVERBX0lCKCdMVE1TJywzOTQyOCk=&amp;WINDOW=FIRST_POPUP&amp;HEIGHT=450&amp;WIDTH=450&amp;START_MA","XIMIZED=FALSE&amp;VAR:CALENDAR=US&amp;VAR:SYMBOL=05614P10&amp;VAR:INDEX=0"}</definedName>
    <definedName name="_2629__FDSAUDITLINK__" hidden="1">{"fdsup://directions/FAT Viewer?action=UPDATE&amp;creator=factset&amp;DYN_ARGS=TRUE&amp;DOC_NAME=FAT:FQL_AUDITING_CLIENT_TEMPLATE.FAT&amp;display_string=Audit&amp;VAR:KEY=TEPOTYZUHC&amp;VAR:QUERY=RkZfRUJJVERBX0lCKCdMVE1TJywzOTQyOCk=&amp;WINDOW=FIRST_POPUP&amp;HEIGHT=450&amp;WIDTH=450&amp;START_MA","XIMIZED=FALSE&amp;VAR:CALENDAR=US&amp;VAR:SYMBOL=05614P10&amp;VAR:INDEX=0"}</definedName>
    <definedName name="_263__FDSAUDITLINK__" localSheetId="6" hidden="1">{"fdsup://directions/FAT%20Viewer?VAR:PED=LTM&amp;VAR:AUDIT_MODE=SUMMARY&amp;VAR:PERIOD=FIXED&amp;VAR:AUDIT_ID=00000117&amp;VAR:DATE=20090603&amp;action=UPDATE&amp;creator=factset&amp;DOC_NAME=FAT:FMA_audit_SUMMARY.fat&amp;DISPLAY_STRING=Display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3__FDSAUDITLINK__" hidden="1">{"fdsup://directions/FAT%20Viewer?VAR:PED=LTM&amp;VAR:AUDIT_MODE=SUMMARY&amp;VAR:PERIOD=FIXED&amp;VAR:AUDIT_ID=00000117&amp;VAR:DATE=20090603&amp;action=UPDATE&amp;creator=factset&amp;DOC_NAME=FAT:FMA_audit_SUMMARY.fat&amp;DISPLAY_STRING=Display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30__FDSAUDITLINK__" localSheetId="6" hidden="1">{"fdsup://directions/FAT Viewer?action=UPDATE&amp;creator=factset&amp;DYN_ARGS=TRUE&amp;DOC_NAME=FAT:FQL_AUDITING_CLIENT_TEMPLATE.FAT&amp;display_string=Audit&amp;VAR:KEY=LQJYHMFKRK&amp;VAR:QUERY=RkZfRUJJVERBX0lCKCdMVE1TJywzOTQyNyk=&amp;WINDOW=FIRST_POPUP&amp;HEIGHT=450&amp;WIDTH=450&amp;START_MA","XIMIZED=FALSE&amp;VAR:CALENDAR=US&amp;VAR:SYMBOL=05614P10&amp;VAR:INDEX=0"}</definedName>
    <definedName name="_2630__FDSAUDITLINK__" hidden="1">{"fdsup://directions/FAT Viewer?action=UPDATE&amp;creator=factset&amp;DYN_ARGS=TRUE&amp;DOC_NAME=FAT:FQL_AUDITING_CLIENT_TEMPLATE.FAT&amp;display_string=Audit&amp;VAR:KEY=LQJYHMFKRK&amp;VAR:QUERY=RkZfRUJJVERBX0lCKCdMVE1TJywzOTQyNyk=&amp;WINDOW=FIRST_POPUP&amp;HEIGHT=450&amp;WIDTH=450&amp;START_MA","XIMIZED=FALSE&amp;VAR:CALENDAR=US&amp;VAR:SYMBOL=05614P10&amp;VAR:INDEX=0"}</definedName>
    <definedName name="_2631__FDSAUDITLINK__" localSheetId="6" hidden="1">{"fdsup://directions/FAT Viewer?action=UPDATE&amp;creator=factset&amp;DYN_ARGS=TRUE&amp;DOC_NAME=FAT:FQL_AUDITING_CLIENT_TEMPLATE.FAT&amp;display_string=Audit&amp;VAR:KEY=TQTSXOLKFE&amp;VAR:QUERY=RkZfRUJJVERBX0lCKCdMVE1TJywzOTQyNik=&amp;WINDOW=FIRST_POPUP&amp;HEIGHT=450&amp;WIDTH=450&amp;START_MA","XIMIZED=FALSE&amp;VAR:CALENDAR=US&amp;VAR:SYMBOL=05614P10&amp;VAR:INDEX=0"}</definedName>
    <definedName name="_2631__FDSAUDITLINK__" hidden="1">{"fdsup://directions/FAT Viewer?action=UPDATE&amp;creator=factset&amp;DYN_ARGS=TRUE&amp;DOC_NAME=FAT:FQL_AUDITING_CLIENT_TEMPLATE.FAT&amp;display_string=Audit&amp;VAR:KEY=TQTSXOLKFE&amp;VAR:QUERY=RkZfRUJJVERBX0lCKCdMVE1TJywzOTQyNik=&amp;WINDOW=FIRST_POPUP&amp;HEIGHT=450&amp;WIDTH=450&amp;START_MA","XIMIZED=FALSE&amp;VAR:CALENDAR=US&amp;VAR:SYMBOL=05614P10&amp;VAR:INDEX=0"}</definedName>
    <definedName name="_2632__FDSAUDITLINK__" localSheetId="6" hidden="1">{"fdsup://directions/FAT Viewer?action=UPDATE&amp;creator=factset&amp;DYN_ARGS=TRUE&amp;DOC_NAME=FAT:FQL_AUDITING_CLIENT_TEMPLATE.FAT&amp;display_string=Audit&amp;VAR:KEY=XSBULGZAXM&amp;VAR:QUERY=RkZfRUJJVERBX0lCKCdMVE1TJywzOTQyNSk=&amp;WINDOW=FIRST_POPUP&amp;HEIGHT=450&amp;WIDTH=450&amp;START_MA","XIMIZED=FALSE&amp;VAR:CALENDAR=US&amp;VAR:SYMBOL=05614P10&amp;VAR:INDEX=0"}</definedName>
    <definedName name="_2632__FDSAUDITLINK__" hidden="1">{"fdsup://directions/FAT Viewer?action=UPDATE&amp;creator=factset&amp;DYN_ARGS=TRUE&amp;DOC_NAME=FAT:FQL_AUDITING_CLIENT_TEMPLATE.FAT&amp;display_string=Audit&amp;VAR:KEY=XSBULGZAXM&amp;VAR:QUERY=RkZfRUJJVERBX0lCKCdMVE1TJywzOTQyNSk=&amp;WINDOW=FIRST_POPUP&amp;HEIGHT=450&amp;WIDTH=450&amp;START_MA","XIMIZED=FALSE&amp;VAR:CALENDAR=US&amp;VAR:SYMBOL=05614P10&amp;VAR:INDEX=0"}</definedName>
    <definedName name="_2633__FDSAUDITLINK__" localSheetId="6" hidden="1">{"fdsup://directions/FAT Viewer?action=UPDATE&amp;creator=factset&amp;DYN_ARGS=TRUE&amp;DOC_NAME=FAT:FQL_AUDITING_CLIENT_TEMPLATE.FAT&amp;display_string=Audit&amp;VAR:KEY=VWJEVKBOXU&amp;VAR:QUERY=RkZfRUJJVERBX0lCKCdMVE1TJywzOTQyNCk=&amp;WINDOW=FIRST_POPUP&amp;HEIGHT=450&amp;WIDTH=450&amp;START_MA","XIMIZED=FALSE&amp;VAR:CALENDAR=US&amp;VAR:SYMBOL=05614P10&amp;VAR:INDEX=0"}</definedName>
    <definedName name="_2633__FDSAUDITLINK__" hidden="1">{"fdsup://directions/FAT Viewer?action=UPDATE&amp;creator=factset&amp;DYN_ARGS=TRUE&amp;DOC_NAME=FAT:FQL_AUDITING_CLIENT_TEMPLATE.FAT&amp;display_string=Audit&amp;VAR:KEY=VWJEVKBOXU&amp;VAR:QUERY=RkZfRUJJVERBX0lCKCdMVE1TJywzOTQyNCk=&amp;WINDOW=FIRST_POPUP&amp;HEIGHT=450&amp;WIDTH=450&amp;START_MA","XIMIZED=FALSE&amp;VAR:CALENDAR=US&amp;VAR:SYMBOL=05614P10&amp;VAR:INDEX=0"}</definedName>
    <definedName name="_2634__FDSAUDITLINK__" localSheetId="6" hidden="1">{"fdsup://directions/FAT Viewer?action=UPDATE&amp;creator=factset&amp;DYN_ARGS=TRUE&amp;DOC_NAME=FAT:FQL_AUDITING_CLIENT_TEMPLATE.FAT&amp;display_string=Audit&amp;VAR:KEY=JAVYPYNCVW&amp;VAR:QUERY=RkZfRUJJVERBX0lCKCdMVE1TJywzOTQyMyk=&amp;WINDOW=FIRST_POPUP&amp;HEIGHT=450&amp;WIDTH=450&amp;START_MA","XIMIZED=FALSE&amp;VAR:CALENDAR=US&amp;VAR:SYMBOL=05614P10&amp;VAR:INDEX=0"}</definedName>
    <definedName name="_2634__FDSAUDITLINK__" hidden="1">{"fdsup://directions/FAT Viewer?action=UPDATE&amp;creator=factset&amp;DYN_ARGS=TRUE&amp;DOC_NAME=FAT:FQL_AUDITING_CLIENT_TEMPLATE.FAT&amp;display_string=Audit&amp;VAR:KEY=JAVYPYNCVW&amp;VAR:QUERY=RkZfRUJJVERBX0lCKCdMVE1TJywzOTQyMyk=&amp;WINDOW=FIRST_POPUP&amp;HEIGHT=450&amp;WIDTH=450&amp;START_MA","XIMIZED=FALSE&amp;VAR:CALENDAR=US&amp;VAR:SYMBOL=05614P10&amp;VAR:INDEX=0"}</definedName>
    <definedName name="_2635__FDSAUDITLINK__" localSheetId="6" hidden="1">{"fdsup://directions/FAT Viewer?action=UPDATE&amp;creator=factset&amp;DYN_ARGS=TRUE&amp;DOC_NAME=FAT:FQL_AUDITING_CLIENT_TEMPLATE.FAT&amp;display_string=Audit&amp;VAR:KEY=FQDMRQFMBM&amp;VAR:QUERY=RkZfRUJJVERBX0lCKCdMVE1TJywzOTQyMik=&amp;WINDOW=FIRST_POPUP&amp;HEIGHT=450&amp;WIDTH=450&amp;START_MA","XIMIZED=FALSE&amp;VAR:CALENDAR=US&amp;VAR:SYMBOL=05614P10&amp;VAR:INDEX=0"}</definedName>
    <definedName name="_2635__FDSAUDITLINK__" hidden="1">{"fdsup://directions/FAT Viewer?action=UPDATE&amp;creator=factset&amp;DYN_ARGS=TRUE&amp;DOC_NAME=FAT:FQL_AUDITING_CLIENT_TEMPLATE.FAT&amp;display_string=Audit&amp;VAR:KEY=FQDMRQFMBM&amp;VAR:QUERY=RkZfRUJJVERBX0lCKCdMVE1TJywzOTQyMik=&amp;WINDOW=FIRST_POPUP&amp;HEIGHT=450&amp;WIDTH=450&amp;START_MA","XIMIZED=FALSE&amp;VAR:CALENDAR=US&amp;VAR:SYMBOL=05614P10&amp;VAR:INDEX=0"}</definedName>
    <definedName name="_2636__FDSAUDITLINK__" localSheetId="6" hidden="1">{"fdsup://directions/FAT Viewer?action=UPDATE&amp;creator=factset&amp;DYN_ARGS=TRUE&amp;DOC_NAME=FAT:FQL_AUDITING_CLIENT_TEMPLATE.FAT&amp;display_string=Audit&amp;VAR:KEY=NAJUFSBKXY&amp;VAR:QUERY=RkZfRUJJVERBX0lCKCdMVE1TJywzOTQyMSk=&amp;WINDOW=FIRST_POPUP&amp;HEIGHT=450&amp;WIDTH=450&amp;START_MA","XIMIZED=FALSE&amp;VAR:CALENDAR=US&amp;VAR:SYMBOL=05614P10&amp;VAR:INDEX=0"}</definedName>
    <definedName name="_2636__FDSAUDITLINK__" hidden="1">{"fdsup://directions/FAT Viewer?action=UPDATE&amp;creator=factset&amp;DYN_ARGS=TRUE&amp;DOC_NAME=FAT:FQL_AUDITING_CLIENT_TEMPLATE.FAT&amp;display_string=Audit&amp;VAR:KEY=NAJUFSBKXY&amp;VAR:QUERY=RkZfRUJJVERBX0lCKCdMVE1TJywzOTQyMSk=&amp;WINDOW=FIRST_POPUP&amp;HEIGHT=450&amp;WIDTH=450&amp;START_MA","XIMIZED=FALSE&amp;VAR:CALENDAR=US&amp;VAR:SYMBOL=05614P10&amp;VAR:INDEX=0"}</definedName>
    <definedName name="_2637__FDSAUDITLINK__" localSheetId="6" hidden="1">{"fdsup://directions/FAT Viewer?action=UPDATE&amp;creator=factset&amp;DYN_ARGS=TRUE&amp;DOC_NAME=FAT:FQL_AUDITING_CLIENT_TEMPLATE.FAT&amp;display_string=Audit&amp;VAR:KEY=DSJKZOTWRG&amp;VAR:QUERY=RkZfRUJJVERBX0lCKCdMVE1TJywzOTQyMCk=&amp;WINDOW=FIRST_POPUP&amp;HEIGHT=450&amp;WIDTH=450&amp;START_MA","XIMIZED=FALSE&amp;VAR:CALENDAR=US&amp;VAR:SYMBOL=05614P10&amp;VAR:INDEX=0"}</definedName>
    <definedName name="_2637__FDSAUDITLINK__" hidden="1">{"fdsup://directions/FAT Viewer?action=UPDATE&amp;creator=factset&amp;DYN_ARGS=TRUE&amp;DOC_NAME=FAT:FQL_AUDITING_CLIENT_TEMPLATE.FAT&amp;display_string=Audit&amp;VAR:KEY=DSJKZOTWRG&amp;VAR:QUERY=RkZfRUJJVERBX0lCKCdMVE1TJywzOTQyMCk=&amp;WINDOW=FIRST_POPUP&amp;HEIGHT=450&amp;WIDTH=450&amp;START_MA","XIMIZED=FALSE&amp;VAR:CALENDAR=US&amp;VAR:SYMBOL=05614P10&amp;VAR:INDEX=0"}</definedName>
    <definedName name="_2638__FDSAUDITLINK__" localSheetId="6" hidden="1">{"fdsup://directions/FAT Viewer?action=UPDATE&amp;creator=factset&amp;DYN_ARGS=TRUE&amp;DOC_NAME=FAT:FQL_AUDITING_CLIENT_TEMPLATE.FAT&amp;display_string=Audit&amp;VAR:KEY=VCZANAJWPO&amp;VAR:QUERY=RkZfRUJJVERBX0lCKCdMVE1TJywzOTQxOSk=&amp;WINDOW=FIRST_POPUP&amp;HEIGHT=450&amp;WIDTH=450&amp;START_MA","XIMIZED=FALSE&amp;VAR:CALENDAR=US&amp;VAR:SYMBOL=05614P10&amp;VAR:INDEX=0"}</definedName>
    <definedName name="_2638__FDSAUDITLINK__" hidden="1">{"fdsup://directions/FAT Viewer?action=UPDATE&amp;creator=factset&amp;DYN_ARGS=TRUE&amp;DOC_NAME=FAT:FQL_AUDITING_CLIENT_TEMPLATE.FAT&amp;display_string=Audit&amp;VAR:KEY=VCZANAJWPO&amp;VAR:QUERY=RkZfRUJJVERBX0lCKCdMVE1TJywzOTQxOSk=&amp;WINDOW=FIRST_POPUP&amp;HEIGHT=450&amp;WIDTH=450&amp;START_MA","XIMIZED=FALSE&amp;VAR:CALENDAR=US&amp;VAR:SYMBOL=05614P10&amp;VAR:INDEX=0"}</definedName>
    <definedName name="_2639__FDSAUDITLINK__" localSheetId="6" hidden="1">{"fdsup://directions/FAT Viewer?action=UPDATE&amp;creator=factset&amp;DYN_ARGS=TRUE&amp;DOC_NAME=FAT:FQL_AUDITING_CLIENT_TEMPLATE.FAT&amp;display_string=Audit&amp;VAR:KEY=DEPCDUDORS&amp;VAR:QUERY=RkZfRUJJVERBX0lCKCdMVE1TJywzOTQxOCk=&amp;WINDOW=FIRST_POPUP&amp;HEIGHT=450&amp;WIDTH=450&amp;START_MA","XIMIZED=FALSE&amp;VAR:CALENDAR=US&amp;VAR:SYMBOL=05614P10&amp;VAR:INDEX=0"}</definedName>
    <definedName name="_2639__FDSAUDITLINK__" hidden="1">{"fdsup://directions/FAT Viewer?action=UPDATE&amp;creator=factset&amp;DYN_ARGS=TRUE&amp;DOC_NAME=FAT:FQL_AUDITING_CLIENT_TEMPLATE.FAT&amp;display_string=Audit&amp;VAR:KEY=DEPCDUDORS&amp;VAR:QUERY=RkZfRUJJVERBX0lCKCdMVE1TJywzOTQxOCk=&amp;WINDOW=FIRST_POPUP&amp;HEIGHT=450&amp;WIDTH=450&amp;START_MA","XIMIZED=FALSE&amp;VAR:CALENDAR=US&amp;VAR:SYMBOL=05614P10&amp;VAR:INDEX=0"}</definedName>
    <definedName name="_264__FDSAUDITLINK__" localSheetId="6" hidden="1">{"fdsup://directions/FAT%20Viewer?VAR:PED=LTM&amp;VAR:AUDIT_MODE=SUMMARY&amp;VAR:PERIOD=FIXED&amp;VAR:AUDIT_ID=00000117&amp;VAR:DATE=20090602&amp;action=UPDATE&amp;creator=factset&amp;DOC_NAME=FAT:FMA_audit_SUMMARY.fat&amp;DISPLAY_STRING=Display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4__FDSAUDITLINK__" hidden="1">{"fdsup://directions/FAT%20Viewer?VAR:PED=LTM&amp;VAR:AUDIT_MODE=SUMMARY&amp;VAR:PERIOD=FIXED&amp;VAR:AUDIT_ID=00000117&amp;VAR:DATE=20090602&amp;action=UPDATE&amp;creator=factset&amp;DOC_NAME=FAT:FMA_audit_SUMMARY.fat&amp;DISPLAY_STRING=Display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40__FDSAUDITLINK__" localSheetId="6" hidden="1">{"fdsup://directions/FAT Viewer?action=UPDATE&amp;creator=factset&amp;DYN_ARGS=TRUE&amp;DOC_NAME=FAT:FQL_AUDITING_CLIENT_TEMPLATE.FAT&amp;display_string=Audit&amp;VAR:KEY=DQPYLODSZG&amp;VAR:QUERY=RkZfRUJJVERBX0lCKCdMVE1TJywzOTQxNyk=&amp;WINDOW=FIRST_POPUP&amp;HEIGHT=450&amp;WIDTH=450&amp;START_MA","XIMIZED=FALSE&amp;VAR:CALENDAR=US&amp;VAR:SYMBOL=05614P10&amp;VAR:INDEX=0"}</definedName>
    <definedName name="_2640__FDSAUDITLINK__" hidden="1">{"fdsup://directions/FAT Viewer?action=UPDATE&amp;creator=factset&amp;DYN_ARGS=TRUE&amp;DOC_NAME=FAT:FQL_AUDITING_CLIENT_TEMPLATE.FAT&amp;display_string=Audit&amp;VAR:KEY=DQPYLODSZG&amp;VAR:QUERY=RkZfRUJJVERBX0lCKCdMVE1TJywzOTQxNyk=&amp;WINDOW=FIRST_POPUP&amp;HEIGHT=450&amp;WIDTH=450&amp;START_MA","XIMIZED=FALSE&amp;VAR:CALENDAR=US&amp;VAR:SYMBOL=05614P10&amp;VAR:INDEX=0"}</definedName>
    <definedName name="_2641__FDSAUDITLINK__" localSheetId="6" hidden="1">{"fdsup://directions/FAT Viewer?action=UPDATE&amp;creator=factset&amp;DYN_ARGS=TRUE&amp;DOC_NAME=FAT:FQL_AUDITING_CLIENT_TEMPLATE.FAT&amp;display_string=Audit&amp;VAR:KEY=TCJKVAZWLE&amp;VAR:QUERY=RkZfRUJJVERBX0lCKCdMVE1TJywzOTQxNik=&amp;WINDOW=FIRST_POPUP&amp;HEIGHT=450&amp;WIDTH=450&amp;START_MA","XIMIZED=FALSE&amp;VAR:CALENDAR=US&amp;VAR:SYMBOL=05614P10&amp;VAR:INDEX=0"}</definedName>
    <definedName name="_2641__FDSAUDITLINK__" hidden="1">{"fdsup://directions/FAT Viewer?action=UPDATE&amp;creator=factset&amp;DYN_ARGS=TRUE&amp;DOC_NAME=FAT:FQL_AUDITING_CLIENT_TEMPLATE.FAT&amp;display_string=Audit&amp;VAR:KEY=TCJKVAZWLE&amp;VAR:QUERY=RkZfRUJJVERBX0lCKCdMVE1TJywzOTQxNik=&amp;WINDOW=FIRST_POPUP&amp;HEIGHT=450&amp;WIDTH=450&amp;START_MA","XIMIZED=FALSE&amp;VAR:CALENDAR=US&amp;VAR:SYMBOL=05614P10&amp;VAR:INDEX=0"}</definedName>
    <definedName name="_2642__FDSAUDITLINK__" localSheetId="6" hidden="1">{"fdsup://directions/FAT Viewer?action=UPDATE&amp;creator=factset&amp;DYN_ARGS=TRUE&amp;DOC_NAME=FAT:FQL_AUDITING_CLIENT_TEMPLATE.FAT&amp;display_string=Audit&amp;VAR:KEY=BKBQTWJEZO&amp;VAR:QUERY=RkZfRUJJVERBX0lCKCdMVE1TJywzOTQxNSk=&amp;WINDOW=FIRST_POPUP&amp;HEIGHT=450&amp;WIDTH=450&amp;START_MA","XIMIZED=FALSE&amp;VAR:CALENDAR=US&amp;VAR:SYMBOL=05614P10&amp;VAR:INDEX=0"}</definedName>
    <definedName name="_2642__FDSAUDITLINK__" hidden="1">{"fdsup://directions/FAT Viewer?action=UPDATE&amp;creator=factset&amp;DYN_ARGS=TRUE&amp;DOC_NAME=FAT:FQL_AUDITING_CLIENT_TEMPLATE.FAT&amp;display_string=Audit&amp;VAR:KEY=BKBQTWJEZO&amp;VAR:QUERY=RkZfRUJJVERBX0lCKCdMVE1TJywzOTQxNSk=&amp;WINDOW=FIRST_POPUP&amp;HEIGHT=450&amp;WIDTH=450&amp;START_MA","XIMIZED=FALSE&amp;VAR:CALENDAR=US&amp;VAR:SYMBOL=05614P10&amp;VAR:INDEX=0"}</definedName>
    <definedName name="_2643__FDSAUDITLINK__" localSheetId="6" hidden="1">{"fdsup://directions/FAT Viewer?action=UPDATE&amp;creator=factset&amp;DYN_ARGS=TRUE&amp;DOC_NAME=FAT:FQL_AUDITING_CLIENT_TEMPLATE.FAT&amp;display_string=Audit&amp;VAR:KEY=HMPUJIPETO&amp;VAR:QUERY=RkZfRUJJVERBX0lCKCdMVE1TJywzOTQxNCk=&amp;WINDOW=FIRST_POPUP&amp;HEIGHT=450&amp;WIDTH=450&amp;START_MA","XIMIZED=FALSE&amp;VAR:CALENDAR=US&amp;VAR:SYMBOL=05614P10&amp;VAR:INDEX=0"}</definedName>
    <definedName name="_2643__FDSAUDITLINK__" hidden="1">{"fdsup://directions/FAT Viewer?action=UPDATE&amp;creator=factset&amp;DYN_ARGS=TRUE&amp;DOC_NAME=FAT:FQL_AUDITING_CLIENT_TEMPLATE.FAT&amp;display_string=Audit&amp;VAR:KEY=HMPUJIPETO&amp;VAR:QUERY=RkZfRUJJVERBX0lCKCdMVE1TJywzOTQxNCk=&amp;WINDOW=FIRST_POPUP&amp;HEIGHT=450&amp;WIDTH=450&amp;START_MA","XIMIZED=FALSE&amp;VAR:CALENDAR=US&amp;VAR:SYMBOL=05614P10&amp;VAR:INDEX=0"}</definedName>
    <definedName name="_2644__FDSAUDITLINK__" localSheetId="6" hidden="1">{"fdsup://directions/FAT Viewer?action=UPDATE&amp;creator=factset&amp;DYN_ARGS=TRUE&amp;DOC_NAME=FAT:FQL_AUDITING_CLIENT_TEMPLATE.FAT&amp;display_string=Audit&amp;VAR:KEY=HIVIHMVKXQ&amp;VAR:QUERY=RkZfRUJJVERBX0lCKCdMVE1TJywzOTQxMyk=&amp;WINDOW=FIRST_POPUP&amp;HEIGHT=450&amp;WIDTH=450&amp;START_MA","XIMIZED=FALSE&amp;VAR:CALENDAR=US&amp;VAR:SYMBOL=05614P10&amp;VAR:INDEX=0"}</definedName>
    <definedName name="_2644__FDSAUDITLINK__" hidden="1">{"fdsup://directions/FAT Viewer?action=UPDATE&amp;creator=factset&amp;DYN_ARGS=TRUE&amp;DOC_NAME=FAT:FQL_AUDITING_CLIENT_TEMPLATE.FAT&amp;display_string=Audit&amp;VAR:KEY=HIVIHMVKXQ&amp;VAR:QUERY=RkZfRUJJVERBX0lCKCdMVE1TJywzOTQxMyk=&amp;WINDOW=FIRST_POPUP&amp;HEIGHT=450&amp;WIDTH=450&amp;START_MA","XIMIZED=FALSE&amp;VAR:CALENDAR=US&amp;VAR:SYMBOL=05614P10&amp;VAR:INDEX=0"}</definedName>
    <definedName name="_2645__FDSAUDITLINK__" localSheetId="6" hidden="1">{"fdsup://directions/FAT Viewer?action=UPDATE&amp;creator=factset&amp;DYN_ARGS=TRUE&amp;DOC_NAME=FAT:FQL_AUDITING_CLIENT_TEMPLATE.FAT&amp;display_string=Audit&amp;VAR:KEY=TUJKNIRUTC&amp;VAR:QUERY=RkZfRUJJVERBX0lCKCdMVE1TJywzOTQxMik=&amp;WINDOW=FIRST_POPUP&amp;HEIGHT=450&amp;WIDTH=450&amp;START_MA","XIMIZED=FALSE&amp;VAR:CALENDAR=US&amp;VAR:SYMBOL=05614P10&amp;VAR:INDEX=0"}</definedName>
    <definedName name="_2645__FDSAUDITLINK__" hidden="1">{"fdsup://directions/FAT Viewer?action=UPDATE&amp;creator=factset&amp;DYN_ARGS=TRUE&amp;DOC_NAME=FAT:FQL_AUDITING_CLIENT_TEMPLATE.FAT&amp;display_string=Audit&amp;VAR:KEY=TUJKNIRUTC&amp;VAR:QUERY=RkZfRUJJVERBX0lCKCdMVE1TJywzOTQxMik=&amp;WINDOW=FIRST_POPUP&amp;HEIGHT=450&amp;WIDTH=450&amp;START_MA","XIMIZED=FALSE&amp;VAR:CALENDAR=US&amp;VAR:SYMBOL=05614P10&amp;VAR:INDEX=0"}</definedName>
    <definedName name="_2646__FDSAUDITLINK__" localSheetId="6" hidden="1">{"fdsup://directions/FAT Viewer?action=UPDATE&amp;creator=factset&amp;DYN_ARGS=TRUE&amp;DOC_NAME=FAT:FQL_AUDITING_CLIENT_TEMPLATE.FAT&amp;display_string=Audit&amp;VAR:KEY=LINARAPUTG&amp;VAR:QUERY=RkZfRUJJVERBX0lCKCdMVE1TJywzOTQxMSk=&amp;WINDOW=FIRST_POPUP&amp;HEIGHT=450&amp;WIDTH=450&amp;START_MA","XIMIZED=FALSE&amp;VAR:CALENDAR=US&amp;VAR:SYMBOL=05614P10&amp;VAR:INDEX=0"}</definedName>
    <definedName name="_2646__FDSAUDITLINK__" hidden="1">{"fdsup://directions/FAT Viewer?action=UPDATE&amp;creator=factset&amp;DYN_ARGS=TRUE&amp;DOC_NAME=FAT:FQL_AUDITING_CLIENT_TEMPLATE.FAT&amp;display_string=Audit&amp;VAR:KEY=LINARAPUTG&amp;VAR:QUERY=RkZfRUJJVERBX0lCKCdMVE1TJywzOTQxMSk=&amp;WINDOW=FIRST_POPUP&amp;HEIGHT=450&amp;WIDTH=450&amp;START_MA","XIMIZED=FALSE&amp;VAR:CALENDAR=US&amp;VAR:SYMBOL=05614P10&amp;VAR:INDEX=0"}</definedName>
    <definedName name="_2647__FDSAUDITLINK__" localSheetId="6" hidden="1">{"fdsup://directions/FAT Viewer?action=UPDATE&amp;creator=factset&amp;DYN_ARGS=TRUE&amp;DOC_NAME=FAT:FQL_AUDITING_CLIENT_TEMPLATE.FAT&amp;display_string=Audit&amp;VAR:KEY=XOXGRAVMLU&amp;VAR:QUERY=RkZfRUJJVERBX0lCKCdMVE1TJywzOTQxMCk=&amp;WINDOW=FIRST_POPUP&amp;HEIGHT=450&amp;WIDTH=450&amp;START_MA","XIMIZED=FALSE&amp;VAR:CALENDAR=US&amp;VAR:SYMBOL=05614P10&amp;VAR:INDEX=0"}</definedName>
    <definedName name="_2647__FDSAUDITLINK__" hidden="1">{"fdsup://directions/FAT Viewer?action=UPDATE&amp;creator=factset&amp;DYN_ARGS=TRUE&amp;DOC_NAME=FAT:FQL_AUDITING_CLIENT_TEMPLATE.FAT&amp;display_string=Audit&amp;VAR:KEY=XOXGRAVMLU&amp;VAR:QUERY=RkZfRUJJVERBX0lCKCdMVE1TJywzOTQxMCk=&amp;WINDOW=FIRST_POPUP&amp;HEIGHT=450&amp;WIDTH=450&amp;START_MA","XIMIZED=FALSE&amp;VAR:CALENDAR=US&amp;VAR:SYMBOL=05614P10&amp;VAR:INDEX=0"}</definedName>
    <definedName name="_2648__FDSAUDITLINK__" localSheetId="6" hidden="1">{"fdsup://directions/FAT Viewer?action=UPDATE&amp;creator=factset&amp;DYN_ARGS=TRUE&amp;DOC_NAME=FAT:FQL_AUDITING_CLIENT_TEMPLATE.FAT&amp;display_string=Audit&amp;VAR:KEY=NILUPMHYDM&amp;VAR:QUERY=RkZfRUJJVERBX0lCKCdMVE1TJywzOTQwOSk=&amp;WINDOW=FIRST_POPUP&amp;HEIGHT=450&amp;WIDTH=450&amp;START_MA","XIMIZED=FALSE&amp;VAR:CALENDAR=US&amp;VAR:SYMBOL=05614P10&amp;VAR:INDEX=0"}</definedName>
    <definedName name="_2648__FDSAUDITLINK__" hidden="1">{"fdsup://directions/FAT Viewer?action=UPDATE&amp;creator=factset&amp;DYN_ARGS=TRUE&amp;DOC_NAME=FAT:FQL_AUDITING_CLIENT_TEMPLATE.FAT&amp;display_string=Audit&amp;VAR:KEY=NILUPMHYDM&amp;VAR:QUERY=RkZfRUJJVERBX0lCKCdMVE1TJywzOTQwOSk=&amp;WINDOW=FIRST_POPUP&amp;HEIGHT=450&amp;WIDTH=450&amp;START_MA","XIMIZED=FALSE&amp;VAR:CALENDAR=US&amp;VAR:SYMBOL=05614P10&amp;VAR:INDEX=0"}</definedName>
    <definedName name="_2649__FDSAUDITLINK__" localSheetId="6" hidden="1">{"fdsup://directions/FAT Viewer?action=UPDATE&amp;creator=factset&amp;DYN_ARGS=TRUE&amp;DOC_NAME=FAT:FQL_AUDITING_CLIENT_TEMPLATE.FAT&amp;display_string=Audit&amp;VAR:KEY=BOZSTCVEVU&amp;VAR:QUERY=RkZfRUJJVERBX0lCKCdMVE1TJywzOTQwOCk=&amp;WINDOW=FIRST_POPUP&amp;HEIGHT=450&amp;WIDTH=450&amp;START_MA","XIMIZED=FALSE&amp;VAR:CALENDAR=US&amp;VAR:SYMBOL=05614P10&amp;VAR:INDEX=0"}</definedName>
    <definedName name="_2649__FDSAUDITLINK__" hidden="1">{"fdsup://directions/FAT Viewer?action=UPDATE&amp;creator=factset&amp;DYN_ARGS=TRUE&amp;DOC_NAME=FAT:FQL_AUDITING_CLIENT_TEMPLATE.FAT&amp;display_string=Audit&amp;VAR:KEY=BOZSTCVEVU&amp;VAR:QUERY=RkZfRUJJVERBX0lCKCdMVE1TJywzOTQwOCk=&amp;WINDOW=FIRST_POPUP&amp;HEIGHT=450&amp;WIDTH=450&amp;START_MA","XIMIZED=FALSE&amp;VAR:CALENDAR=US&amp;VAR:SYMBOL=05614P10&amp;VAR:INDEX=0"}</definedName>
    <definedName name="_265__FDSAUDITLINK__" localSheetId="6" hidden="1">{"fdsup://directions/FAT%20Viewer?VAR:PED=LTM&amp;VAR:AUDIT_MODE=SUMMARY&amp;VAR:PERIOD=FIXED&amp;VAR:AUDIT_ID=00000117&amp;VAR:DATE=20090601&amp;action=UPDATE&amp;creator=factset&amp;DOC_NAME=FAT:FMA_audit_SUMMARY.fat&amp;DISPLAY_STRING=Display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5__FDSAUDITLINK__" hidden="1">{"fdsup://directions/FAT%20Viewer?VAR:PED=LTM&amp;VAR:AUDIT_MODE=SUMMARY&amp;VAR:PERIOD=FIXED&amp;VAR:AUDIT_ID=00000117&amp;VAR:DATE=20090601&amp;action=UPDATE&amp;creator=factset&amp;DOC_NAME=FAT:FMA_audit_SUMMARY.fat&amp;DISPLAY_STRING=Display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EBITDA&amp;VAR:CHGPERIOD=NA&amp;VAR:FQLFORMULA=FMA_EVAL_EBITDA&amp;VAR:CURRENCY=NA&amp;VAR:P=NA&amp;VAR:V=9.42","7502&amp;VAR:null=.html"}</definedName>
    <definedName name="_2650__FDSAUDITLINK__" localSheetId="6" hidden="1">{"fdsup://directions/FAT Viewer?action=UPDATE&amp;creator=factset&amp;DYN_ARGS=TRUE&amp;DOC_NAME=FAT:FQL_AUDITING_CLIENT_TEMPLATE.FAT&amp;display_string=Audit&amp;VAR:KEY=HANKNUFKPK&amp;VAR:QUERY=RkZfRUJJVERBX0lCKCdMVE1TJywzOTQwNyk=&amp;WINDOW=FIRST_POPUP&amp;HEIGHT=450&amp;WIDTH=450&amp;START_MA","XIMIZED=FALSE&amp;VAR:CALENDAR=US&amp;VAR:SYMBOL=05614P10&amp;VAR:INDEX=0"}</definedName>
    <definedName name="_2650__FDSAUDITLINK__" hidden="1">{"fdsup://directions/FAT Viewer?action=UPDATE&amp;creator=factset&amp;DYN_ARGS=TRUE&amp;DOC_NAME=FAT:FQL_AUDITING_CLIENT_TEMPLATE.FAT&amp;display_string=Audit&amp;VAR:KEY=HANKNUFKPK&amp;VAR:QUERY=RkZfRUJJVERBX0lCKCdMVE1TJywzOTQwNyk=&amp;WINDOW=FIRST_POPUP&amp;HEIGHT=450&amp;WIDTH=450&amp;START_MA","XIMIZED=FALSE&amp;VAR:CALENDAR=US&amp;VAR:SYMBOL=05614P10&amp;VAR:INDEX=0"}</definedName>
    <definedName name="_2651__FDSAUDITLINK__" localSheetId="6" hidden="1">{"fdsup://directions/FAT Viewer?action=UPDATE&amp;creator=factset&amp;DYN_ARGS=TRUE&amp;DOC_NAME=FAT:FQL_AUDITING_CLIENT_TEMPLATE.FAT&amp;display_string=Audit&amp;VAR:KEY=DYTQXSNYZC&amp;VAR:QUERY=RkZfRUJJVERBX0lCKCdMVE1TJywzOTQwNik=&amp;WINDOW=FIRST_POPUP&amp;HEIGHT=450&amp;WIDTH=450&amp;START_MA","XIMIZED=FALSE&amp;VAR:CALENDAR=US&amp;VAR:SYMBOL=05614P10&amp;VAR:INDEX=0"}</definedName>
    <definedName name="_2651__FDSAUDITLINK__" hidden="1">{"fdsup://directions/FAT Viewer?action=UPDATE&amp;creator=factset&amp;DYN_ARGS=TRUE&amp;DOC_NAME=FAT:FQL_AUDITING_CLIENT_TEMPLATE.FAT&amp;display_string=Audit&amp;VAR:KEY=DYTQXSNYZC&amp;VAR:QUERY=RkZfRUJJVERBX0lCKCdMVE1TJywzOTQwNik=&amp;WINDOW=FIRST_POPUP&amp;HEIGHT=450&amp;WIDTH=450&amp;START_MA","XIMIZED=FALSE&amp;VAR:CALENDAR=US&amp;VAR:SYMBOL=05614P10&amp;VAR:INDEX=0"}</definedName>
    <definedName name="_2652__FDSAUDITLINK__" localSheetId="6" hidden="1">{"fdsup://directions/FAT Viewer?action=UPDATE&amp;creator=factset&amp;DYN_ARGS=TRUE&amp;DOC_NAME=FAT:FQL_AUDITING_CLIENT_TEMPLATE.FAT&amp;display_string=Audit&amp;VAR:KEY=VEPWDODIXQ&amp;VAR:QUERY=RkZfRUJJVERBX0lCKCdMVE1TJywzOTQwNSk=&amp;WINDOW=FIRST_POPUP&amp;HEIGHT=450&amp;WIDTH=450&amp;START_MA","XIMIZED=FALSE&amp;VAR:CALENDAR=US&amp;VAR:SYMBOL=05614P10&amp;VAR:INDEX=0"}</definedName>
    <definedName name="_2652__FDSAUDITLINK__" hidden="1">{"fdsup://directions/FAT Viewer?action=UPDATE&amp;creator=factset&amp;DYN_ARGS=TRUE&amp;DOC_NAME=FAT:FQL_AUDITING_CLIENT_TEMPLATE.FAT&amp;display_string=Audit&amp;VAR:KEY=VEPWDODIXQ&amp;VAR:QUERY=RkZfRUJJVERBX0lCKCdMVE1TJywzOTQwNSk=&amp;WINDOW=FIRST_POPUP&amp;HEIGHT=450&amp;WIDTH=450&amp;START_MA","XIMIZED=FALSE&amp;VAR:CALENDAR=US&amp;VAR:SYMBOL=05614P10&amp;VAR:INDEX=0"}</definedName>
    <definedName name="_2653__FDSAUDITLINK__" localSheetId="6" hidden="1">{"fdsup://directions/FAT Viewer?action=UPDATE&amp;creator=factset&amp;DYN_ARGS=TRUE&amp;DOC_NAME=FAT:FQL_AUDITING_CLIENT_TEMPLATE.FAT&amp;display_string=Audit&amp;VAR:KEY=VSJIPCLSTA&amp;VAR:QUERY=RkZfRUJJVERBX0lCKCdMVE1TJywzOTQwNCk=&amp;WINDOW=FIRST_POPUP&amp;HEIGHT=450&amp;WIDTH=450&amp;START_MA","XIMIZED=FALSE&amp;VAR:CALENDAR=US&amp;VAR:SYMBOL=05614P10&amp;VAR:INDEX=0"}</definedName>
    <definedName name="_2653__FDSAUDITLINK__" hidden="1">{"fdsup://directions/FAT Viewer?action=UPDATE&amp;creator=factset&amp;DYN_ARGS=TRUE&amp;DOC_NAME=FAT:FQL_AUDITING_CLIENT_TEMPLATE.FAT&amp;display_string=Audit&amp;VAR:KEY=VSJIPCLSTA&amp;VAR:QUERY=RkZfRUJJVERBX0lCKCdMVE1TJywzOTQwNCk=&amp;WINDOW=FIRST_POPUP&amp;HEIGHT=450&amp;WIDTH=450&amp;START_MA","XIMIZED=FALSE&amp;VAR:CALENDAR=US&amp;VAR:SYMBOL=05614P10&amp;VAR:INDEX=0"}</definedName>
    <definedName name="_2654__FDSAUDITLINK__" localSheetId="6" hidden="1">{"fdsup://directions/FAT Viewer?action=UPDATE&amp;creator=factset&amp;DYN_ARGS=TRUE&amp;DOC_NAME=FAT:FQL_AUDITING_CLIENT_TEMPLATE.FAT&amp;display_string=Audit&amp;VAR:KEY=JQVQVYDYZU&amp;VAR:QUERY=RkZfRUJJVERBX0lCKCdMVE1TJywzOTQwMyk=&amp;WINDOW=FIRST_POPUP&amp;HEIGHT=450&amp;WIDTH=450&amp;START_MA","XIMIZED=FALSE&amp;VAR:CALENDAR=US&amp;VAR:SYMBOL=05614P10&amp;VAR:INDEX=0"}</definedName>
    <definedName name="_2654__FDSAUDITLINK__" hidden="1">{"fdsup://directions/FAT Viewer?action=UPDATE&amp;creator=factset&amp;DYN_ARGS=TRUE&amp;DOC_NAME=FAT:FQL_AUDITING_CLIENT_TEMPLATE.FAT&amp;display_string=Audit&amp;VAR:KEY=JQVQVYDYZU&amp;VAR:QUERY=RkZfRUJJVERBX0lCKCdMVE1TJywzOTQwMyk=&amp;WINDOW=FIRST_POPUP&amp;HEIGHT=450&amp;WIDTH=450&amp;START_MA","XIMIZED=FALSE&amp;VAR:CALENDAR=US&amp;VAR:SYMBOL=05614P10&amp;VAR:INDEX=0"}</definedName>
    <definedName name="_2655__FDSAUDITLINK__" localSheetId="6" hidden="1">{"fdsup://directions/FAT Viewer?action=UPDATE&amp;creator=factset&amp;DYN_ARGS=TRUE&amp;DOC_NAME=FAT:FQL_AUDITING_CLIENT_TEMPLATE.FAT&amp;display_string=Audit&amp;VAR:KEY=LUZOHEVIFW&amp;VAR:QUERY=RkZfRUJJVERBX0lCKCdMVE1TJywzOTQwMik=&amp;WINDOW=FIRST_POPUP&amp;HEIGHT=450&amp;WIDTH=450&amp;START_MA","XIMIZED=FALSE&amp;VAR:CALENDAR=US&amp;VAR:SYMBOL=05614P10&amp;VAR:INDEX=0"}</definedName>
    <definedName name="_2655__FDSAUDITLINK__" hidden="1">{"fdsup://directions/FAT Viewer?action=UPDATE&amp;creator=factset&amp;DYN_ARGS=TRUE&amp;DOC_NAME=FAT:FQL_AUDITING_CLIENT_TEMPLATE.FAT&amp;display_string=Audit&amp;VAR:KEY=LUZOHEVIFW&amp;VAR:QUERY=RkZfRUJJVERBX0lCKCdMVE1TJywzOTQwMik=&amp;WINDOW=FIRST_POPUP&amp;HEIGHT=450&amp;WIDTH=450&amp;START_MA","XIMIZED=FALSE&amp;VAR:CALENDAR=US&amp;VAR:SYMBOL=05614P10&amp;VAR:INDEX=0"}</definedName>
    <definedName name="_2656__FDSAUDITLINK__" localSheetId="6" hidden="1">{"fdsup://directions/FAT Viewer?action=UPDATE&amp;creator=factset&amp;DYN_ARGS=TRUE&amp;DOC_NAME=FAT:FQL_AUDITING_CLIENT_TEMPLATE.FAT&amp;display_string=Audit&amp;VAR:KEY=TSRMDUBEFS&amp;VAR:QUERY=RkZfRUJJVERBX0lCKCdMVE1TJywzOTQwMSk=&amp;WINDOW=FIRST_POPUP&amp;HEIGHT=450&amp;WIDTH=450&amp;START_MA","XIMIZED=FALSE&amp;VAR:CALENDAR=US&amp;VAR:SYMBOL=05614P10&amp;VAR:INDEX=0"}</definedName>
    <definedName name="_2656__FDSAUDITLINK__" hidden="1">{"fdsup://directions/FAT Viewer?action=UPDATE&amp;creator=factset&amp;DYN_ARGS=TRUE&amp;DOC_NAME=FAT:FQL_AUDITING_CLIENT_TEMPLATE.FAT&amp;display_string=Audit&amp;VAR:KEY=TSRMDUBEFS&amp;VAR:QUERY=RkZfRUJJVERBX0lCKCdMVE1TJywzOTQwMSk=&amp;WINDOW=FIRST_POPUP&amp;HEIGHT=450&amp;WIDTH=450&amp;START_MA","XIMIZED=FALSE&amp;VAR:CALENDAR=US&amp;VAR:SYMBOL=05614P10&amp;VAR:INDEX=0"}</definedName>
    <definedName name="_2657__FDSAUDITLINK__" localSheetId="6" hidden="1">{"fdsup://directions/FAT Viewer?action=UPDATE&amp;creator=factset&amp;DYN_ARGS=TRUE&amp;DOC_NAME=FAT:FQL_AUDITING_CLIENT_TEMPLATE.FAT&amp;display_string=Audit&amp;VAR:KEY=JGXWVOBABG&amp;VAR:QUERY=RkZfRUJJVERBX0lCKCdMVE1TJywzOTQwMCk=&amp;WINDOW=FIRST_POPUP&amp;HEIGHT=450&amp;WIDTH=450&amp;START_MA","XIMIZED=FALSE&amp;VAR:CALENDAR=US&amp;VAR:SYMBOL=05614P10&amp;VAR:INDEX=0"}</definedName>
    <definedName name="_2657__FDSAUDITLINK__" hidden="1">{"fdsup://directions/FAT Viewer?action=UPDATE&amp;creator=factset&amp;DYN_ARGS=TRUE&amp;DOC_NAME=FAT:FQL_AUDITING_CLIENT_TEMPLATE.FAT&amp;display_string=Audit&amp;VAR:KEY=JGXWVOBABG&amp;VAR:QUERY=RkZfRUJJVERBX0lCKCdMVE1TJywzOTQwMCk=&amp;WINDOW=FIRST_POPUP&amp;HEIGHT=450&amp;WIDTH=450&amp;START_MA","XIMIZED=FALSE&amp;VAR:CALENDAR=US&amp;VAR:SYMBOL=05614P10&amp;VAR:INDEX=0"}</definedName>
    <definedName name="_2658__FDSAUDITLINK__" localSheetId="6" hidden="1">{"fdsup://directions/FAT Viewer?action=UPDATE&amp;creator=factset&amp;DYN_ARGS=TRUE&amp;DOC_NAME=FAT:FQL_AUDITING_CLIENT_TEMPLATE.FAT&amp;display_string=Audit&amp;VAR:KEY=LYHCLUXUBK&amp;VAR:QUERY=RkZfRUJJVERBX0lCKCdMVE1TJywzOTM5OSk=&amp;WINDOW=FIRST_POPUP&amp;HEIGHT=450&amp;WIDTH=450&amp;START_MA","XIMIZED=FALSE&amp;VAR:CALENDAR=US&amp;VAR:SYMBOL=05614P10&amp;VAR:INDEX=0"}</definedName>
    <definedName name="_2658__FDSAUDITLINK__" hidden="1">{"fdsup://directions/FAT Viewer?action=UPDATE&amp;creator=factset&amp;DYN_ARGS=TRUE&amp;DOC_NAME=FAT:FQL_AUDITING_CLIENT_TEMPLATE.FAT&amp;display_string=Audit&amp;VAR:KEY=LYHCLUXUBK&amp;VAR:QUERY=RkZfRUJJVERBX0lCKCdMVE1TJywzOTM5OSk=&amp;WINDOW=FIRST_POPUP&amp;HEIGHT=450&amp;WIDTH=450&amp;START_MA","XIMIZED=FALSE&amp;VAR:CALENDAR=US&amp;VAR:SYMBOL=05614P10&amp;VAR:INDEX=0"}</definedName>
    <definedName name="_2659__FDSAUDITLINK__" localSheetId="6" hidden="1">{"fdsup://directions/FAT Viewer?action=UPDATE&amp;creator=factset&amp;DYN_ARGS=TRUE&amp;DOC_NAME=FAT:FQL_AUDITING_CLIENT_TEMPLATE.FAT&amp;display_string=Audit&amp;VAR:KEY=HEBCHUJYHS&amp;VAR:QUERY=RkZfRUJJVERBX0lCKCdMVE1TJywzOTM5OCk=&amp;WINDOW=FIRST_POPUP&amp;HEIGHT=450&amp;WIDTH=450&amp;START_MA","XIMIZED=FALSE&amp;VAR:CALENDAR=US&amp;VAR:SYMBOL=05614P10&amp;VAR:INDEX=0"}</definedName>
    <definedName name="_2659__FDSAUDITLINK__" hidden="1">{"fdsup://directions/FAT Viewer?action=UPDATE&amp;creator=factset&amp;DYN_ARGS=TRUE&amp;DOC_NAME=FAT:FQL_AUDITING_CLIENT_TEMPLATE.FAT&amp;display_string=Audit&amp;VAR:KEY=HEBCHUJYHS&amp;VAR:QUERY=RkZfRUJJVERBX0lCKCdMVE1TJywzOTM5OCk=&amp;WINDOW=FIRST_POPUP&amp;HEIGHT=450&amp;WIDTH=450&amp;START_MA","XIMIZED=FALSE&amp;VAR:CALENDAR=US&amp;VAR:SYMBOL=05614P10&amp;VAR:INDEX=0"}</definedName>
    <definedName name="_266__FDSAUDITLINK__" localSheetId="6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6__FDSAUDITLINK__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60__FDSAUDITLINK__" localSheetId="6" hidden="1">{"fdsup://directions/FAT Viewer?action=UPDATE&amp;creator=factset&amp;DYN_ARGS=TRUE&amp;DOC_NAME=FAT:FQL_AUDITING_CLIENT_TEMPLATE.FAT&amp;display_string=Audit&amp;VAR:KEY=RENUPWFYXU&amp;VAR:QUERY=RkZfRUJJVERBX0lCKCdMVE1TJywzOTM5Nyk=&amp;WINDOW=FIRST_POPUP&amp;HEIGHT=450&amp;WIDTH=450&amp;START_MA","XIMIZED=FALSE&amp;VAR:CALENDAR=US&amp;VAR:SYMBOL=05614P10&amp;VAR:INDEX=0"}</definedName>
    <definedName name="_2660__FDSAUDITLINK__" hidden="1">{"fdsup://directions/FAT Viewer?action=UPDATE&amp;creator=factset&amp;DYN_ARGS=TRUE&amp;DOC_NAME=FAT:FQL_AUDITING_CLIENT_TEMPLATE.FAT&amp;display_string=Audit&amp;VAR:KEY=RENUPWFYXU&amp;VAR:QUERY=RkZfRUJJVERBX0lCKCdMVE1TJywzOTM5Nyk=&amp;WINDOW=FIRST_POPUP&amp;HEIGHT=450&amp;WIDTH=450&amp;START_MA","XIMIZED=FALSE&amp;VAR:CALENDAR=US&amp;VAR:SYMBOL=05614P10&amp;VAR:INDEX=0"}</definedName>
    <definedName name="_2661__FDSAUDITLINK__" localSheetId="6" hidden="1">{"fdsup://directions/FAT Viewer?action=UPDATE&amp;creator=factset&amp;DYN_ARGS=TRUE&amp;DOC_NAME=FAT:FQL_AUDITING_CLIENT_TEMPLATE.FAT&amp;display_string=Audit&amp;VAR:KEY=NCHGNAJSLS&amp;VAR:QUERY=RkZfRUJJVERBX0lCKCdMVE1TJywzOTM5Nik=&amp;WINDOW=FIRST_POPUP&amp;HEIGHT=450&amp;WIDTH=450&amp;START_MA","XIMIZED=FALSE&amp;VAR:CALENDAR=US&amp;VAR:SYMBOL=05614P10&amp;VAR:INDEX=0"}</definedName>
    <definedName name="_2661__FDSAUDITLINK__" hidden="1">{"fdsup://directions/FAT Viewer?action=UPDATE&amp;creator=factset&amp;DYN_ARGS=TRUE&amp;DOC_NAME=FAT:FQL_AUDITING_CLIENT_TEMPLATE.FAT&amp;display_string=Audit&amp;VAR:KEY=NCHGNAJSLS&amp;VAR:QUERY=RkZfRUJJVERBX0lCKCdMVE1TJywzOTM5Nik=&amp;WINDOW=FIRST_POPUP&amp;HEIGHT=450&amp;WIDTH=450&amp;START_MA","XIMIZED=FALSE&amp;VAR:CALENDAR=US&amp;VAR:SYMBOL=05614P10&amp;VAR:INDEX=0"}</definedName>
    <definedName name="_2662__FDSAUDITLINK__" localSheetId="6" hidden="1">{"fdsup://directions/FAT Viewer?action=UPDATE&amp;creator=factset&amp;DYN_ARGS=TRUE&amp;DOC_NAME=FAT:FQL_AUDITING_CLIENT_TEMPLATE.FAT&amp;display_string=Audit&amp;VAR:KEY=DOPCHUFOVW&amp;VAR:QUERY=RkZfRUJJVERBX0lCKCdMVE1TJywzOTM5NSk=&amp;WINDOW=FIRST_POPUP&amp;HEIGHT=450&amp;WIDTH=450&amp;START_MA","XIMIZED=FALSE&amp;VAR:CALENDAR=US&amp;VAR:SYMBOL=05614P10&amp;VAR:INDEX=0"}</definedName>
    <definedName name="_2662__FDSAUDITLINK__" hidden="1">{"fdsup://directions/FAT Viewer?action=UPDATE&amp;creator=factset&amp;DYN_ARGS=TRUE&amp;DOC_NAME=FAT:FQL_AUDITING_CLIENT_TEMPLATE.FAT&amp;display_string=Audit&amp;VAR:KEY=DOPCHUFOVW&amp;VAR:QUERY=RkZfRUJJVERBX0lCKCdMVE1TJywzOTM5NSk=&amp;WINDOW=FIRST_POPUP&amp;HEIGHT=450&amp;WIDTH=450&amp;START_MA","XIMIZED=FALSE&amp;VAR:CALENDAR=US&amp;VAR:SYMBOL=05614P10&amp;VAR:INDEX=0"}</definedName>
    <definedName name="_2663__FDSAUDITLINK__" localSheetId="6" hidden="1">{"fdsup://directions/FAT Viewer?action=UPDATE&amp;creator=factset&amp;DYN_ARGS=TRUE&amp;DOC_NAME=FAT:FQL_AUDITING_CLIENT_TEMPLATE.FAT&amp;display_string=Audit&amp;VAR:KEY=PMJGDIHKVC&amp;VAR:QUERY=RkZfRUJJVERBX0lCKCdMVE1TJywzOTM5NCk=&amp;WINDOW=FIRST_POPUP&amp;HEIGHT=450&amp;WIDTH=450&amp;START_MA","XIMIZED=FALSE&amp;VAR:CALENDAR=US&amp;VAR:SYMBOL=05614P10&amp;VAR:INDEX=0"}</definedName>
    <definedName name="_2663__FDSAUDITLINK__" hidden="1">{"fdsup://directions/FAT Viewer?action=UPDATE&amp;creator=factset&amp;DYN_ARGS=TRUE&amp;DOC_NAME=FAT:FQL_AUDITING_CLIENT_TEMPLATE.FAT&amp;display_string=Audit&amp;VAR:KEY=PMJGDIHKVC&amp;VAR:QUERY=RkZfRUJJVERBX0lCKCdMVE1TJywzOTM5NCk=&amp;WINDOW=FIRST_POPUP&amp;HEIGHT=450&amp;WIDTH=450&amp;START_MA","XIMIZED=FALSE&amp;VAR:CALENDAR=US&amp;VAR:SYMBOL=05614P10&amp;VAR:INDEX=0"}</definedName>
    <definedName name="_2664__FDSAUDITLINK__" localSheetId="6" hidden="1">{"fdsup://directions/FAT Viewer?action=UPDATE&amp;creator=factset&amp;DYN_ARGS=TRUE&amp;DOC_NAME=FAT:FQL_AUDITING_CLIENT_TEMPLATE.FAT&amp;display_string=Audit&amp;VAR:KEY=LORSHGLSRS&amp;VAR:QUERY=RkZfRUJJVERBX0lCKCdMVE1TJywzOTM5Myk=&amp;WINDOW=FIRST_POPUP&amp;HEIGHT=450&amp;WIDTH=450&amp;START_MA","XIMIZED=FALSE&amp;VAR:CALENDAR=US&amp;VAR:SYMBOL=05614P10&amp;VAR:INDEX=0"}</definedName>
    <definedName name="_2664__FDSAUDITLINK__" hidden="1">{"fdsup://directions/FAT Viewer?action=UPDATE&amp;creator=factset&amp;DYN_ARGS=TRUE&amp;DOC_NAME=FAT:FQL_AUDITING_CLIENT_TEMPLATE.FAT&amp;display_string=Audit&amp;VAR:KEY=LORSHGLSRS&amp;VAR:QUERY=RkZfRUJJVERBX0lCKCdMVE1TJywzOTM5Myk=&amp;WINDOW=FIRST_POPUP&amp;HEIGHT=450&amp;WIDTH=450&amp;START_MA","XIMIZED=FALSE&amp;VAR:CALENDAR=US&amp;VAR:SYMBOL=05614P10&amp;VAR:INDEX=0"}</definedName>
    <definedName name="_2665__FDSAUDITLINK__" localSheetId="6" hidden="1">{"fdsup://directions/FAT Viewer?action=UPDATE&amp;creator=factset&amp;DYN_ARGS=TRUE&amp;DOC_NAME=FAT:FQL_AUDITING_CLIENT_TEMPLATE.FAT&amp;display_string=Audit&amp;VAR:KEY=VCXWPEHOHU&amp;VAR:QUERY=RkZfRUJJVERBX0lCKCdMVE1TJywzOTM5Mik=&amp;WINDOW=FIRST_POPUP&amp;HEIGHT=450&amp;WIDTH=450&amp;START_MA","XIMIZED=FALSE&amp;VAR:CALENDAR=US&amp;VAR:SYMBOL=05614P10&amp;VAR:INDEX=0"}</definedName>
    <definedName name="_2665__FDSAUDITLINK__" hidden="1">{"fdsup://directions/FAT Viewer?action=UPDATE&amp;creator=factset&amp;DYN_ARGS=TRUE&amp;DOC_NAME=FAT:FQL_AUDITING_CLIENT_TEMPLATE.FAT&amp;display_string=Audit&amp;VAR:KEY=VCXWPEHOHU&amp;VAR:QUERY=RkZfRUJJVERBX0lCKCdMVE1TJywzOTM5Mik=&amp;WINDOW=FIRST_POPUP&amp;HEIGHT=450&amp;WIDTH=450&amp;START_MA","XIMIZED=FALSE&amp;VAR:CALENDAR=US&amp;VAR:SYMBOL=05614P10&amp;VAR:INDEX=0"}</definedName>
    <definedName name="_2666__FDSAUDITLINK__" localSheetId="6" hidden="1">{"fdsup://directions/FAT Viewer?action=UPDATE&amp;creator=factset&amp;DYN_ARGS=TRUE&amp;DOC_NAME=FAT:FQL_AUDITING_CLIENT_TEMPLATE.FAT&amp;display_string=Audit&amp;VAR:KEY=NCDUNWNMLC&amp;VAR:QUERY=RkZfRUJJVERBX0lCKCdMVE1TJywzOTM5MSk=&amp;WINDOW=FIRST_POPUP&amp;HEIGHT=450&amp;WIDTH=450&amp;START_MA","XIMIZED=FALSE&amp;VAR:CALENDAR=US&amp;VAR:SYMBOL=05614P10&amp;VAR:INDEX=0"}</definedName>
    <definedName name="_2666__FDSAUDITLINK__" hidden="1">{"fdsup://directions/FAT Viewer?action=UPDATE&amp;creator=factset&amp;DYN_ARGS=TRUE&amp;DOC_NAME=FAT:FQL_AUDITING_CLIENT_TEMPLATE.FAT&amp;display_string=Audit&amp;VAR:KEY=NCDUNWNMLC&amp;VAR:QUERY=RkZfRUJJVERBX0lCKCdMVE1TJywzOTM5MSk=&amp;WINDOW=FIRST_POPUP&amp;HEIGHT=450&amp;WIDTH=450&amp;START_MA","XIMIZED=FALSE&amp;VAR:CALENDAR=US&amp;VAR:SYMBOL=05614P10&amp;VAR:INDEX=0"}</definedName>
    <definedName name="_2667__FDSAUDITLINK__" localSheetId="6" hidden="1">{"fdsup://directions/FAT Viewer?action=UPDATE&amp;creator=factset&amp;DYN_ARGS=TRUE&amp;DOC_NAME=FAT:FQL_AUDITING_CLIENT_TEMPLATE.FAT&amp;display_string=Audit&amp;VAR:KEY=DANOHALABO&amp;VAR:QUERY=RkZfRUJJVERBX0lCKCdMVE1TJywzOTM5MCk=&amp;WINDOW=FIRST_POPUP&amp;HEIGHT=450&amp;WIDTH=450&amp;START_MA","XIMIZED=FALSE&amp;VAR:CALENDAR=US&amp;VAR:SYMBOL=05614P10&amp;VAR:INDEX=0"}</definedName>
    <definedName name="_2667__FDSAUDITLINK__" hidden="1">{"fdsup://directions/FAT Viewer?action=UPDATE&amp;creator=factset&amp;DYN_ARGS=TRUE&amp;DOC_NAME=FAT:FQL_AUDITING_CLIENT_TEMPLATE.FAT&amp;display_string=Audit&amp;VAR:KEY=DANOHALABO&amp;VAR:QUERY=RkZfRUJJVERBX0lCKCdMVE1TJywzOTM5MCk=&amp;WINDOW=FIRST_POPUP&amp;HEIGHT=450&amp;WIDTH=450&amp;START_MA","XIMIZED=FALSE&amp;VAR:CALENDAR=US&amp;VAR:SYMBOL=05614P10&amp;VAR:INDEX=0"}</definedName>
    <definedName name="_2668__FDSAUDITLINK__" localSheetId="6" hidden="1">{"fdsup://directions/FAT Viewer?action=UPDATE&amp;creator=factset&amp;DYN_ARGS=TRUE&amp;DOC_NAME=FAT:FQL_AUDITING_CLIENT_TEMPLATE.FAT&amp;display_string=Audit&amp;VAR:KEY=JMFIVCZOHW&amp;VAR:QUERY=RkZfRUJJVERBX0lCKCdMVE1TJywzOTM4OSk=&amp;WINDOW=FIRST_POPUP&amp;HEIGHT=450&amp;WIDTH=450&amp;START_MA","XIMIZED=FALSE&amp;VAR:CALENDAR=US&amp;VAR:SYMBOL=05614P10&amp;VAR:INDEX=0"}</definedName>
    <definedName name="_2668__FDSAUDITLINK__" hidden="1">{"fdsup://directions/FAT Viewer?action=UPDATE&amp;creator=factset&amp;DYN_ARGS=TRUE&amp;DOC_NAME=FAT:FQL_AUDITING_CLIENT_TEMPLATE.FAT&amp;display_string=Audit&amp;VAR:KEY=JMFIVCZOHW&amp;VAR:QUERY=RkZfRUJJVERBX0lCKCdMVE1TJywzOTM4OSk=&amp;WINDOW=FIRST_POPUP&amp;HEIGHT=450&amp;WIDTH=450&amp;START_MA","XIMIZED=FALSE&amp;VAR:CALENDAR=US&amp;VAR:SYMBOL=05614P10&amp;VAR:INDEX=0"}</definedName>
    <definedName name="_2669__FDSAUDITLINK__" localSheetId="6" hidden="1">{"fdsup://directions/FAT Viewer?action=UPDATE&amp;creator=factset&amp;DYN_ARGS=TRUE&amp;DOC_NAME=FAT:FQL_AUDITING_CLIENT_TEMPLATE.FAT&amp;display_string=Audit&amp;VAR:KEY=VCLIRMHEFK&amp;VAR:QUERY=RkZfRUJJVERBX0lCKCdMVE1TJywzOTM4OCk=&amp;WINDOW=FIRST_POPUP&amp;HEIGHT=450&amp;WIDTH=450&amp;START_MA","XIMIZED=FALSE&amp;VAR:CALENDAR=US&amp;VAR:SYMBOL=05614P10&amp;VAR:INDEX=0"}</definedName>
    <definedName name="_2669__FDSAUDITLINK__" hidden="1">{"fdsup://directions/FAT Viewer?action=UPDATE&amp;creator=factset&amp;DYN_ARGS=TRUE&amp;DOC_NAME=FAT:FQL_AUDITING_CLIENT_TEMPLATE.FAT&amp;display_string=Audit&amp;VAR:KEY=VCLIRMHEFK&amp;VAR:QUERY=RkZfRUJJVERBX0lCKCdMVE1TJywzOTM4OCk=&amp;WINDOW=FIRST_POPUP&amp;HEIGHT=450&amp;WIDTH=450&amp;START_MA","XIMIZED=FALSE&amp;VAR:CALENDAR=US&amp;VAR:SYMBOL=05614P10&amp;VAR:INDEX=0"}</definedName>
    <definedName name="_267__FDSAUDITLINK__" localSheetId="6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7__FDSAUDITLINK__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70__FDSAUDITLINK__" localSheetId="6" hidden="1">{"fdsup://directions/FAT Viewer?action=UPDATE&amp;creator=factset&amp;DYN_ARGS=TRUE&amp;DOC_NAME=FAT:FQL_AUDITING_CLIENT_TEMPLATE.FAT&amp;display_string=Audit&amp;VAR:KEY=TEXAVORSNI&amp;VAR:QUERY=RkZfRUJJVERBX0lCKCdMVE1TJywzOTM4Nyk=&amp;WINDOW=FIRST_POPUP&amp;HEIGHT=450&amp;WIDTH=450&amp;START_MA","XIMIZED=FALSE&amp;VAR:CALENDAR=US&amp;VAR:SYMBOL=05614P10&amp;VAR:INDEX=0"}</definedName>
    <definedName name="_2670__FDSAUDITLINK__" hidden="1">{"fdsup://directions/FAT Viewer?action=UPDATE&amp;creator=factset&amp;DYN_ARGS=TRUE&amp;DOC_NAME=FAT:FQL_AUDITING_CLIENT_TEMPLATE.FAT&amp;display_string=Audit&amp;VAR:KEY=TEXAVORSNI&amp;VAR:QUERY=RkZfRUJJVERBX0lCKCdMVE1TJywzOTM4Nyk=&amp;WINDOW=FIRST_POPUP&amp;HEIGHT=450&amp;WIDTH=450&amp;START_MA","XIMIZED=FALSE&amp;VAR:CALENDAR=US&amp;VAR:SYMBOL=05614P10&amp;VAR:INDEX=0"}</definedName>
    <definedName name="_2671__FDSAUDITLINK__" localSheetId="6" hidden="1">{"fdsup://directions/FAT Viewer?action=UPDATE&amp;creator=factset&amp;DYN_ARGS=TRUE&amp;DOC_NAME=FAT:FQL_AUDITING_CLIENT_TEMPLATE.FAT&amp;display_string=Audit&amp;VAR:KEY=TCNSFCHSHE&amp;VAR:QUERY=RkZfRUJJVERBX0lCKCdMVE1TJywzOTM4Nik=&amp;WINDOW=FIRST_POPUP&amp;HEIGHT=450&amp;WIDTH=450&amp;START_MA","XIMIZED=FALSE&amp;VAR:CALENDAR=US&amp;VAR:SYMBOL=05614P10&amp;VAR:INDEX=0"}</definedName>
    <definedName name="_2671__FDSAUDITLINK__" hidden="1">{"fdsup://directions/FAT Viewer?action=UPDATE&amp;creator=factset&amp;DYN_ARGS=TRUE&amp;DOC_NAME=FAT:FQL_AUDITING_CLIENT_TEMPLATE.FAT&amp;display_string=Audit&amp;VAR:KEY=TCNSFCHSHE&amp;VAR:QUERY=RkZfRUJJVERBX0lCKCdMVE1TJywzOTM4Nik=&amp;WINDOW=FIRST_POPUP&amp;HEIGHT=450&amp;WIDTH=450&amp;START_MA","XIMIZED=FALSE&amp;VAR:CALENDAR=US&amp;VAR:SYMBOL=05614P10&amp;VAR:INDEX=0"}</definedName>
    <definedName name="_2672__FDSAUDITLINK__" localSheetId="6" hidden="1">{"fdsup://directions/FAT Viewer?action=UPDATE&amp;creator=factset&amp;DYN_ARGS=TRUE&amp;DOC_NAME=FAT:FQL_AUDITING_CLIENT_TEMPLATE.FAT&amp;display_string=Audit&amp;VAR:KEY=XIDANCBQNM&amp;VAR:QUERY=RkZfRUJJVERBX0lCKCdMVE1TJywzOTM4NSk=&amp;WINDOW=FIRST_POPUP&amp;HEIGHT=450&amp;WIDTH=450&amp;START_MA","XIMIZED=FALSE&amp;VAR:CALENDAR=US&amp;VAR:SYMBOL=05614P10&amp;VAR:INDEX=0"}</definedName>
    <definedName name="_2672__FDSAUDITLINK__" hidden="1">{"fdsup://directions/FAT Viewer?action=UPDATE&amp;creator=factset&amp;DYN_ARGS=TRUE&amp;DOC_NAME=FAT:FQL_AUDITING_CLIENT_TEMPLATE.FAT&amp;display_string=Audit&amp;VAR:KEY=XIDANCBQNM&amp;VAR:QUERY=RkZfRUJJVERBX0lCKCdMVE1TJywzOTM4NSk=&amp;WINDOW=FIRST_POPUP&amp;HEIGHT=450&amp;WIDTH=450&amp;START_MA","XIMIZED=FALSE&amp;VAR:CALENDAR=US&amp;VAR:SYMBOL=05614P10&amp;VAR:INDEX=0"}</definedName>
    <definedName name="_2673__FDSAUDITLINK__" localSheetId="6" hidden="1">{"fdsup://directions/FAT Viewer?action=UPDATE&amp;creator=factset&amp;DYN_ARGS=TRUE&amp;DOC_NAME=FAT:FQL_AUDITING_CLIENT_TEMPLATE.FAT&amp;display_string=Audit&amp;VAR:KEY=LSLMNCNIFU&amp;VAR:QUERY=RkZfRUJJVERBX0lCKCdMVE1TJywzOTM4NCk=&amp;WINDOW=FIRST_POPUP&amp;HEIGHT=450&amp;WIDTH=450&amp;START_MA","XIMIZED=FALSE&amp;VAR:CALENDAR=US&amp;VAR:SYMBOL=05614P10&amp;VAR:INDEX=0"}</definedName>
    <definedName name="_2673__FDSAUDITLINK__" hidden="1">{"fdsup://directions/FAT Viewer?action=UPDATE&amp;creator=factset&amp;DYN_ARGS=TRUE&amp;DOC_NAME=FAT:FQL_AUDITING_CLIENT_TEMPLATE.FAT&amp;display_string=Audit&amp;VAR:KEY=LSLMNCNIFU&amp;VAR:QUERY=RkZfRUJJVERBX0lCKCdMVE1TJywzOTM4NCk=&amp;WINDOW=FIRST_POPUP&amp;HEIGHT=450&amp;WIDTH=450&amp;START_MA","XIMIZED=FALSE&amp;VAR:CALENDAR=US&amp;VAR:SYMBOL=05614P10&amp;VAR:INDEX=0"}</definedName>
    <definedName name="_2674__FDSAUDITLINK__" localSheetId="6" hidden="1">{"fdsup://directions/FAT Viewer?action=UPDATE&amp;creator=factset&amp;DYN_ARGS=TRUE&amp;DOC_NAME=FAT:FQL_AUDITING_CLIENT_TEMPLATE.FAT&amp;display_string=Audit&amp;VAR:KEY=LGZWNOZOTA&amp;VAR:QUERY=RkZfRUJJVERBX0lCKCdMVE1TJywzOTM4Myk=&amp;WINDOW=FIRST_POPUP&amp;HEIGHT=450&amp;WIDTH=450&amp;START_MA","XIMIZED=FALSE&amp;VAR:CALENDAR=US&amp;VAR:SYMBOL=05614P10&amp;VAR:INDEX=0"}</definedName>
    <definedName name="_2674__FDSAUDITLINK__" hidden="1">{"fdsup://directions/FAT Viewer?action=UPDATE&amp;creator=factset&amp;DYN_ARGS=TRUE&amp;DOC_NAME=FAT:FQL_AUDITING_CLIENT_TEMPLATE.FAT&amp;display_string=Audit&amp;VAR:KEY=LGZWNOZOTA&amp;VAR:QUERY=RkZfRUJJVERBX0lCKCdMVE1TJywzOTM4Myk=&amp;WINDOW=FIRST_POPUP&amp;HEIGHT=450&amp;WIDTH=450&amp;START_MA","XIMIZED=FALSE&amp;VAR:CALENDAR=US&amp;VAR:SYMBOL=05614P10&amp;VAR:INDEX=0"}</definedName>
    <definedName name="_2675__FDSAUDITLINK__" localSheetId="6" hidden="1">{"fdsup://directions/FAT Viewer?action=UPDATE&amp;creator=factset&amp;DYN_ARGS=TRUE&amp;DOC_NAME=FAT:FQL_AUDITING_CLIENT_TEMPLATE.FAT&amp;display_string=Audit&amp;VAR:KEY=NSBAJWLMPG&amp;VAR:QUERY=RkZfRUJJVERBX0lCKCdMVE1TJywzOTM4Mik=&amp;WINDOW=FIRST_POPUP&amp;HEIGHT=450&amp;WIDTH=450&amp;START_MA","XIMIZED=FALSE&amp;VAR:CALENDAR=US&amp;VAR:SYMBOL=05614P10&amp;VAR:INDEX=0"}</definedName>
    <definedName name="_2675__FDSAUDITLINK__" hidden="1">{"fdsup://directions/FAT Viewer?action=UPDATE&amp;creator=factset&amp;DYN_ARGS=TRUE&amp;DOC_NAME=FAT:FQL_AUDITING_CLIENT_TEMPLATE.FAT&amp;display_string=Audit&amp;VAR:KEY=NSBAJWLMPG&amp;VAR:QUERY=RkZfRUJJVERBX0lCKCdMVE1TJywzOTM4Mik=&amp;WINDOW=FIRST_POPUP&amp;HEIGHT=450&amp;WIDTH=450&amp;START_MA","XIMIZED=FALSE&amp;VAR:CALENDAR=US&amp;VAR:SYMBOL=05614P10&amp;VAR:INDEX=0"}</definedName>
    <definedName name="_2676__FDSAUDITLINK__" localSheetId="6" hidden="1">{"fdsup://directions/FAT Viewer?action=UPDATE&amp;creator=factset&amp;DYN_ARGS=TRUE&amp;DOC_NAME=FAT:FQL_AUDITING_CLIENT_TEMPLATE.FAT&amp;display_string=Audit&amp;VAR:KEY=LGNYLOBKLK&amp;VAR:QUERY=RkZfRUJJVERBX0lCKCdMVE1TJywzOTM4MSk=&amp;WINDOW=FIRST_POPUP&amp;HEIGHT=450&amp;WIDTH=450&amp;START_MA","XIMIZED=FALSE&amp;VAR:CALENDAR=US&amp;VAR:SYMBOL=05614P10&amp;VAR:INDEX=0"}</definedName>
    <definedName name="_2676__FDSAUDITLINK__" hidden="1">{"fdsup://directions/FAT Viewer?action=UPDATE&amp;creator=factset&amp;DYN_ARGS=TRUE&amp;DOC_NAME=FAT:FQL_AUDITING_CLIENT_TEMPLATE.FAT&amp;display_string=Audit&amp;VAR:KEY=LGNYLOBKLK&amp;VAR:QUERY=RkZfRUJJVERBX0lCKCdMVE1TJywzOTM4MSk=&amp;WINDOW=FIRST_POPUP&amp;HEIGHT=450&amp;WIDTH=450&amp;START_MA","XIMIZED=FALSE&amp;VAR:CALENDAR=US&amp;VAR:SYMBOL=05614P10&amp;VAR:INDEX=0"}</definedName>
    <definedName name="_2677__FDSAUDITLINK__" localSheetId="6" hidden="1">{"fdsup://directions/FAT Viewer?action=UPDATE&amp;creator=factset&amp;DYN_ARGS=TRUE&amp;DOC_NAME=FAT:FQL_AUDITING_CLIENT_TEMPLATE.FAT&amp;display_string=Audit&amp;VAR:KEY=JWDKXMPCTA&amp;VAR:QUERY=RkZfRUJJVERBX0lCKCdMVE1TJywzOTM4MCk=&amp;WINDOW=FIRST_POPUP&amp;HEIGHT=450&amp;WIDTH=450&amp;START_MA","XIMIZED=FALSE&amp;VAR:CALENDAR=US&amp;VAR:SYMBOL=05614P10&amp;VAR:INDEX=0"}</definedName>
    <definedName name="_2677__FDSAUDITLINK__" hidden="1">{"fdsup://directions/FAT Viewer?action=UPDATE&amp;creator=factset&amp;DYN_ARGS=TRUE&amp;DOC_NAME=FAT:FQL_AUDITING_CLIENT_TEMPLATE.FAT&amp;display_string=Audit&amp;VAR:KEY=JWDKXMPCTA&amp;VAR:QUERY=RkZfRUJJVERBX0lCKCdMVE1TJywzOTM4MCk=&amp;WINDOW=FIRST_POPUP&amp;HEIGHT=450&amp;WIDTH=450&amp;START_MA","XIMIZED=FALSE&amp;VAR:CALENDAR=US&amp;VAR:SYMBOL=05614P10&amp;VAR:INDEX=0"}</definedName>
    <definedName name="_2678__FDSAUDITLINK__" localSheetId="6" hidden="1">{"fdsup://directions/FAT Viewer?action=UPDATE&amp;creator=factset&amp;DYN_ARGS=TRUE&amp;DOC_NAME=FAT:FQL_AUDITING_CLIENT_TEMPLATE.FAT&amp;display_string=Audit&amp;VAR:KEY=PMVYJQHMRK&amp;VAR:QUERY=RkZfRUJJVERBX0lCKCdMVE1TJywzOTM3OSk=&amp;WINDOW=FIRST_POPUP&amp;HEIGHT=450&amp;WIDTH=450&amp;START_MA","XIMIZED=FALSE&amp;VAR:CALENDAR=US&amp;VAR:SYMBOL=05614P10&amp;VAR:INDEX=0"}</definedName>
    <definedName name="_2678__FDSAUDITLINK__" hidden="1">{"fdsup://directions/FAT Viewer?action=UPDATE&amp;creator=factset&amp;DYN_ARGS=TRUE&amp;DOC_NAME=FAT:FQL_AUDITING_CLIENT_TEMPLATE.FAT&amp;display_string=Audit&amp;VAR:KEY=PMVYJQHMRK&amp;VAR:QUERY=RkZfRUJJVERBX0lCKCdMVE1TJywzOTM3OSk=&amp;WINDOW=FIRST_POPUP&amp;HEIGHT=450&amp;WIDTH=450&amp;START_MA","XIMIZED=FALSE&amp;VAR:CALENDAR=US&amp;VAR:SYMBOL=05614P10&amp;VAR:INDEX=0"}</definedName>
    <definedName name="_2679__FDSAUDITLINK__" localSheetId="6" hidden="1">{"fdsup://directions/FAT Viewer?action=UPDATE&amp;creator=factset&amp;DYN_ARGS=TRUE&amp;DOC_NAME=FAT:FQL_AUDITING_CLIENT_TEMPLATE.FAT&amp;display_string=Audit&amp;VAR:KEY=NIBCNYRIRC&amp;VAR:QUERY=RkZfRUJJVERBX0lCKCdMVE1TJywzOTM3OCk=&amp;WINDOW=FIRST_POPUP&amp;HEIGHT=450&amp;WIDTH=450&amp;START_MA","XIMIZED=FALSE&amp;VAR:CALENDAR=US&amp;VAR:SYMBOL=05614P10&amp;VAR:INDEX=0"}</definedName>
    <definedName name="_2679__FDSAUDITLINK__" hidden="1">{"fdsup://directions/FAT Viewer?action=UPDATE&amp;creator=factset&amp;DYN_ARGS=TRUE&amp;DOC_NAME=FAT:FQL_AUDITING_CLIENT_TEMPLATE.FAT&amp;display_string=Audit&amp;VAR:KEY=NIBCNYRIRC&amp;VAR:QUERY=RkZfRUJJVERBX0lCKCdMVE1TJywzOTM3OCk=&amp;WINDOW=FIRST_POPUP&amp;HEIGHT=450&amp;WIDTH=450&amp;START_MA","XIMIZED=FALSE&amp;VAR:CALENDAR=US&amp;VAR:SYMBOL=05614P10&amp;VAR:INDEX=0"}</definedName>
    <definedName name="_268__FDSAUDITLINK__" localSheetId="6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8__FDSAUDITLINK__" hidden="1">{"fdsup://directions/FAT%20Viewer?VAR:PED=LTM&amp;VAR:AUDIT_MODE=SUMMARY&amp;VAR:PERIOD=FIXED&amp;VAR:AUDIT_ID=00000117&amp;VAR:DATE=20090529&amp;action=UPDATE&amp;creator=factset&amp;DOC_NAME=FAT:FMA_audit_SUMMARY.fat&amp;DISPLAY_STRING=Display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80__FDSAUDITLINK__" localSheetId="6" hidden="1">{"fdsup://directions/FAT Viewer?action=UPDATE&amp;creator=factset&amp;DYN_ARGS=TRUE&amp;DOC_NAME=FAT:FQL_AUDITING_CLIENT_TEMPLATE.FAT&amp;display_string=Audit&amp;VAR:KEY=DIVYJQJQBA&amp;VAR:QUERY=RkZfRUJJVERBX0lCKCdMVE1TJywzOTM3Nyk=&amp;WINDOW=FIRST_POPUP&amp;HEIGHT=450&amp;WIDTH=450&amp;START_MA","XIMIZED=FALSE&amp;VAR:CALENDAR=US&amp;VAR:SYMBOL=05614P10&amp;VAR:INDEX=0"}</definedName>
    <definedName name="_2680__FDSAUDITLINK__" hidden="1">{"fdsup://directions/FAT Viewer?action=UPDATE&amp;creator=factset&amp;DYN_ARGS=TRUE&amp;DOC_NAME=FAT:FQL_AUDITING_CLIENT_TEMPLATE.FAT&amp;display_string=Audit&amp;VAR:KEY=DIVYJQJQBA&amp;VAR:QUERY=RkZfRUJJVERBX0lCKCdMVE1TJywzOTM3Nyk=&amp;WINDOW=FIRST_POPUP&amp;HEIGHT=450&amp;WIDTH=450&amp;START_MA","XIMIZED=FALSE&amp;VAR:CALENDAR=US&amp;VAR:SYMBOL=05614P10&amp;VAR:INDEX=0"}</definedName>
    <definedName name="_2681__FDSAUDITLINK__" localSheetId="6" hidden="1">{"fdsup://directions/FAT Viewer?action=UPDATE&amp;creator=factset&amp;DYN_ARGS=TRUE&amp;DOC_NAME=FAT:FQL_AUDITING_CLIENT_TEMPLATE.FAT&amp;display_string=Audit&amp;VAR:KEY=FMBULAPAFU&amp;VAR:QUERY=RkZfRUJJVERBX0lCKCdMVE1TJywzOTM3Nik=&amp;WINDOW=FIRST_POPUP&amp;HEIGHT=450&amp;WIDTH=450&amp;START_MA","XIMIZED=FALSE&amp;VAR:CALENDAR=US&amp;VAR:SYMBOL=05614P10&amp;VAR:INDEX=0"}</definedName>
    <definedName name="_2681__FDSAUDITLINK__" hidden="1">{"fdsup://directions/FAT Viewer?action=UPDATE&amp;creator=factset&amp;DYN_ARGS=TRUE&amp;DOC_NAME=FAT:FQL_AUDITING_CLIENT_TEMPLATE.FAT&amp;display_string=Audit&amp;VAR:KEY=FMBULAPAFU&amp;VAR:QUERY=RkZfRUJJVERBX0lCKCdMVE1TJywzOTM3Nik=&amp;WINDOW=FIRST_POPUP&amp;HEIGHT=450&amp;WIDTH=450&amp;START_MA","XIMIZED=FALSE&amp;VAR:CALENDAR=US&amp;VAR:SYMBOL=05614P10&amp;VAR:INDEX=0"}</definedName>
    <definedName name="_2682__FDSAUDITLINK__" localSheetId="6" hidden="1">{"fdsup://directions/FAT Viewer?action=UPDATE&amp;creator=factset&amp;DYN_ARGS=TRUE&amp;DOC_NAME=FAT:FQL_AUDITING_CLIENT_TEMPLATE.FAT&amp;display_string=Audit&amp;VAR:KEY=HOFYJCFATW&amp;VAR:QUERY=RkZfRUJJVERBX0lCKCdMVE1TJywzOTM3NSk=&amp;WINDOW=FIRST_POPUP&amp;HEIGHT=450&amp;WIDTH=450&amp;START_MA","XIMIZED=FALSE&amp;VAR:CALENDAR=US&amp;VAR:SYMBOL=05614P10&amp;VAR:INDEX=0"}</definedName>
    <definedName name="_2682__FDSAUDITLINK__" hidden="1">{"fdsup://directions/FAT Viewer?action=UPDATE&amp;creator=factset&amp;DYN_ARGS=TRUE&amp;DOC_NAME=FAT:FQL_AUDITING_CLIENT_TEMPLATE.FAT&amp;display_string=Audit&amp;VAR:KEY=HOFYJCFATW&amp;VAR:QUERY=RkZfRUJJVERBX0lCKCdMVE1TJywzOTM3NSk=&amp;WINDOW=FIRST_POPUP&amp;HEIGHT=450&amp;WIDTH=450&amp;START_MA","XIMIZED=FALSE&amp;VAR:CALENDAR=US&amp;VAR:SYMBOL=05614P10&amp;VAR:INDEX=0"}</definedName>
    <definedName name="_2683__FDSAUDITLINK__" localSheetId="6" hidden="1">{"fdsup://directions/FAT Viewer?action=UPDATE&amp;creator=factset&amp;DYN_ARGS=TRUE&amp;DOC_NAME=FAT:FQL_AUDITING_CLIENT_TEMPLATE.FAT&amp;display_string=Audit&amp;VAR:KEY=BAZOPAVSPU&amp;VAR:QUERY=RkZfRUJJVERBX0lCKCdMVE1TJywzOTM3NCk=&amp;WINDOW=FIRST_POPUP&amp;HEIGHT=450&amp;WIDTH=450&amp;START_MA","XIMIZED=FALSE&amp;VAR:CALENDAR=US&amp;VAR:SYMBOL=05614P10&amp;VAR:INDEX=0"}</definedName>
    <definedName name="_2683__FDSAUDITLINK__" hidden="1">{"fdsup://directions/FAT Viewer?action=UPDATE&amp;creator=factset&amp;DYN_ARGS=TRUE&amp;DOC_NAME=FAT:FQL_AUDITING_CLIENT_TEMPLATE.FAT&amp;display_string=Audit&amp;VAR:KEY=BAZOPAVSPU&amp;VAR:QUERY=RkZfRUJJVERBX0lCKCdMVE1TJywzOTM3NCk=&amp;WINDOW=FIRST_POPUP&amp;HEIGHT=450&amp;WIDTH=450&amp;START_MA","XIMIZED=FALSE&amp;VAR:CALENDAR=US&amp;VAR:SYMBOL=05614P10&amp;VAR:INDEX=0"}</definedName>
    <definedName name="_2684__FDSAUDITLINK__" localSheetId="6" hidden="1">{"fdsup://directions/FAT Viewer?action=UPDATE&amp;creator=factset&amp;DYN_ARGS=TRUE&amp;DOC_NAME=FAT:FQL_AUDITING_CLIENT_TEMPLATE.FAT&amp;display_string=Audit&amp;VAR:KEY=FWZMBGHEXG&amp;VAR:QUERY=RkZfRUJJVERBX0lCKCdMVE1TJywzOTM3Myk=&amp;WINDOW=FIRST_POPUP&amp;HEIGHT=450&amp;WIDTH=450&amp;START_MA","XIMIZED=FALSE&amp;VAR:CALENDAR=US&amp;VAR:SYMBOL=05614P10&amp;VAR:INDEX=0"}</definedName>
    <definedName name="_2684__FDSAUDITLINK__" hidden="1">{"fdsup://directions/FAT Viewer?action=UPDATE&amp;creator=factset&amp;DYN_ARGS=TRUE&amp;DOC_NAME=FAT:FQL_AUDITING_CLIENT_TEMPLATE.FAT&amp;display_string=Audit&amp;VAR:KEY=FWZMBGHEXG&amp;VAR:QUERY=RkZfRUJJVERBX0lCKCdMVE1TJywzOTM3Myk=&amp;WINDOW=FIRST_POPUP&amp;HEIGHT=450&amp;WIDTH=450&amp;START_MA","XIMIZED=FALSE&amp;VAR:CALENDAR=US&amp;VAR:SYMBOL=05614P10&amp;VAR:INDEX=0"}</definedName>
    <definedName name="_2685__FDSAUDITLINK__" localSheetId="6" hidden="1">{"fdsup://directions/FAT Viewer?action=UPDATE&amp;creator=factset&amp;DYN_ARGS=TRUE&amp;DOC_NAME=FAT:FQL_AUDITING_CLIENT_TEMPLATE.FAT&amp;display_string=Audit&amp;VAR:KEY=PYTKFEVGHC&amp;VAR:QUERY=RkZfRUJJVERBX0lCKCdMVE1TJywzOTM3Mik=&amp;WINDOW=FIRST_POPUP&amp;HEIGHT=450&amp;WIDTH=450&amp;START_MA","XIMIZED=FALSE&amp;VAR:CALENDAR=US&amp;VAR:SYMBOL=05614P10&amp;VAR:INDEX=0"}</definedName>
    <definedName name="_2685__FDSAUDITLINK__" hidden="1">{"fdsup://directions/FAT Viewer?action=UPDATE&amp;creator=factset&amp;DYN_ARGS=TRUE&amp;DOC_NAME=FAT:FQL_AUDITING_CLIENT_TEMPLATE.FAT&amp;display_string=Audit&amp;VAR:KEY=PYTKFEVGHC&amp;VAR:QUERY=RkZfRUJJVERBX0lCKCdMVE1TJywzOTM3Mik=&amp;WINDOW=FIRST_POPUP&amp;HEIGHT=450&amp;WIDTH=450&amp;START_MA","XIMIZED=FALSE&amp;VAR:CALENDAR=US&amp;VAR:SYMBOL=05614P10&amp;VAR:INDEX=0"}</definedName>
    <definedName name="_2686__FDSAUDITLINK__" localSheetId="6" hidden="1">{"fdsup://directions/FAT Viewer?action=UPDATE&amp;creator=factset&amp;DYN_ARGS=TRUE&amp;DOC_NAME=FAT:FQL_AUDITING_CLIENT_TEMPLATE.FAT&amp;display_string=Audit&amp;VAR:KEY=FSPUVGDSLS&amp;VAR:QUERY=RkZfRUJJVERBX0lCKCdMVE1TJywzOTM3MSk=&amp;WINDOW=FIRST_POPUP&amp;HEIGHT=450&amp;WIDTH=450&amp;START_MA","XIMIZED=FALSE&amp;VAR:CALENDAR=US&amp;VAR:SYMBOL=05614P10&amp;VAR:INDEX=0"}</definedName>
    <definedName name="_2686__FDSAUDITLINK__" hidden="1">{"fdsup://directions/FAT Viewer?action=UPDATE&amp;creator=factset&amp;DYN_ARGS=TRUE&amp;DOC_NAME=FAT:FQL_AUDITING_CLIENT_TEMPLATE.FAT&amp;display_string=Audit&amp;VAR:KEY=FSPUVGDSLS&amp;VAR:QUERY=RkZfRUJJVERBX0lCKCdMVE1TJywzOTM3MSk=&amp;WINDOW=FIRST_POPUP&amp;HEIGHT=450&amp;WIDTH=450&amp;START_MA","XIMIZED=FALSE&amp;VAR:CALENDAR=US&amp;VAR:SYMBOL=05614P10&amp;VAR:INDEX=0"}</definedName>
    <definedName name="_2687__FDSAUDITLINK__" localSheetId="6" hidden="1">{"fdsup://directions/FAT Viewer?action=UPDATE&amp;creator=factset&amp;DYN_ARGS=TRUE&amp;DOC_NAME=FAT:FQL_AUDITING_CLIENT_TEMPLATE.FAT&amp;display_string=Audit&amp;VAR:KEY=ZGDOXUXYVE&amp;VAR:QUERY=RkZfRUJJVERBX0lCKCdMVE1TJywzOTM3MCk=&amp;WINDOW=FIRST_POPUP&amp;HEIGHT=450&amp;WIDTH=450&amp;START_MA","XIMIZED=FALSE&amp;VAR:CALENDAR=US&amp;VAR:SYMBOL=05614P10&amp;VAR:INDEX=0"}</definedName>
    <definedName name="_2687__FDSAUDITLINK__" hidden="1">{"fdsup://directions/FAT Viewer?action=UPDATE&amp;creator=factset&amp;DYN_ARGS=TRUE&amp;DOC_NAME=FAT:FQL_AUDITING_CLIENT_TEMPLATE.FAT&amp;display_string=Audit&amp;VAR:KEY=ZGDOXUXYVE&amp;VAR:QUERY=RkZfRUJJVERBX0lCKCdMVE1TJywzOTM3MCk=&amp;WINDOW=FIRST_POPUP&amp;HEIGHT=450&amp;WIDTH=450&amp;START_MA","XIMIZED=FALSE&amp;VAR:CALENDAR=US&amp;VAR:SYMBOL=05614P10&amp;VAR:INDEX=0"}</definedName>
    <definedName name="_2688__FDSAUDITLINK__" localSheetId="6" hidden="1">{"fdsup://directions/FAT Viewer?action=UPDATE&amp;creator=factset&amp;DYN_ARGS=TRUE&amp;DOC_NAME=FAT:FQL_AUDITING_CLIENT_TEMPLATE.FAT&amp;display_string=Audit&amp;VAR:KEY=ZEVQFAJYTG&amp;VAR:QUERY=RkZfRUJJVERBX0lCKCdMVE1TJywzOTM2OSk=&amp;WINDOW=FIRST_POPUP&amp;HEIGHT=450&amp;WIDTH=450&amp;START_MA","XIMIZED=FALSE&amp;VAR:CALENDAR=US&amp;VAR:SYMBOL=05614P10&amp;VAR:INDEX=0"}</definedName>
    <definedName name="_2688__FDSAUDITLINK__" hidden="1">{"fdsup://directions/FAT Viewer?action=UPDATE&amp;creator=factset&amp;DYN_ARGS=TRUE&amp;DOC_NAME=FAT:FQL_AUDITING_CLIENT_TEMPLATE.FAT&amp;display_string=Audit&amp;VAR:KEY=ZEVQFAJYTG&amp;VAR:QUERY=RkZfRUJJVERBX0lCKCdMVE1TJywzOTM2OSk=&amp;WINDOW=FIRST_POPUP&amp;HEIGHT=450&amp;WIDTH=450&amp;START_MA","XIMIZED=FALSE&amp;VAR:CALENDAR=US&amp;VAR:SYMBOL=05614P10&amp;VAR:INDEX=0"}</definedName>
    <definedName name="_2689__FDSAUDITLINK__" localSheetId="6" hidden="1">{"fdsup://directions/FAT Viewer?action=UPDATE&amp;creator=factset&amp;DYN_ARGS=TRUE&amp;DOC_NAME=FAT:FQL_AUDITING_CLIENT_TEMPLATE.FAT&amp;display_string=Audit&amp;VAR:KEY=VGRWPUVWBC&amp;VAR:QUERY=RkZfRUJJVERBX0lCKCdMVE1TJywzOTM2OCk=&amp;WINDOW=FIRST_POPUP&amp;HEIGHT=450&amp;WIDTH=450&amp;START_MA","XIMIZED=FALSE&amp;VAR:CALENDAR=US&amp;VAR:SYMBOL=05614P10&amp;VAR:INDEX=0"}</definedName>
    <definedName name="_2689__FDSAUDITLINK__" hidden="1">{"fdsup://directions/FAT Viewer?action=UPDATE&amp;creator=factset&amp;DYN_ARGS=TRUE&amp;DOC_NAME=FAT:FQL_AUDITING_CLIENT_TEMPLATE.FAT&amp;display_string=Audit&amp;VAR:KEY=VGRWPUVWBC&amp;VAR:QUERY=RkZfRUJJVERBX0lCKCdMVE1TJywzOTM2OCk=&amp;WINDOW=FIRST_POPUP&amp;HEIGHT=450&amp;WIDTH=450&amp;START_MA","XIMIZED=FALSE&amp;VAR:CALENDAR=US&amp;VAR:SYMBOL=05614P10&amp;VAR:INDEX=0"}</definedName>
    <definedName name="_269__FDSAUDITLINK__" localSheetId="6" hidden="1">{"fdsup://directions/FAT%20Viewer?VAR:PED=LTM&amp;VAR:AUDIT_MODE=SUMMARY&amp;VAR:PERIOD=FIXED&amp;VAR:AUDIT_ID=00000117&amp;VAR:DATE=20090528&amp;action=UPDATE&amp;creator=factset&amp;DOC_NAME=FAT:FMA_audit_SUMMARY.fat&amp;DISPLAY_STRING=Display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9__FDSAUDITLINK__" hidden="1">{"fdsup://directions/FAT%20Viewer?VAR:PED=LTM&amp;VAR:AUDIT_MODE=SUMMARY&amp;VAR:PERIOD=FIXED&amp;VAR:AUDIT_ID=00000117&amp;VAR:DATE=20090528&amp;action=UPDATE&amp;creator=factset&amp;DOC_NAME=FAT:FMA_audit_SUMMARY.fat&amp;DISPLAY_STRING=Display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690__FDSAUDITLINK__" localSheetId="6" hidden="1">{"fdsup://directions/FAT Viewer?action=UPDATE&amp;creator=factset&amp;DYN_ARGS=TRUE&amp;DOC_NAME=FAT:FQL_AUDITING_CLIENT_TEMPLATE.FAT&amp;display_string=Audit&amp;VAR:KEY=XUDKJATOVC&amp;VAR:QUERY=RkZfRUJJVERBX0lCKCdMVE1TJywzOTM2Nyk=&amp;WINDOW=FIRST_POPUP&amp;HEIGHT=450&amp;WIDTH=450&amp;START_MA","XIMIZED=FALSE&amp;VAR:CALENDAR=US&amp;VAR:SYMBOL=05614P10&amp;VAR:INDEX=0"}</definedName>
    <definedName name="_2690__FDSAUDITLINK__" hidden="1">{"fdsup://directions/FAT Viewer?action=UPDATE&amp;creator=factset&amp;DYN_ARGS=TRUE&amp;DOC_NAME=FAT:FQL_AUDITING_CLIENT_TEMPLATE.FAT&amp;display_string=Audit&amp;VAR:KEY=XUDKJATOVC&amp;VAR:QUERY=RkZfRUJJVERBX0lCKCdMVE1TJywzOTM2Nyk=&amp;WINDOW=FIRST_POPUP&amp;HEIGHT=450&amp;WIDTH=450&amp;START_MA","XIMIZED=FALSE&amp;VAR:CALENDAR=US&amp;VAR:SYMBOL=05614P10&amp;VAR:INDEX=0"}</definedName>
    <definedName name="_2691__FDSAUDITLINK__" localSheetId="6" hidden="1">{"fdsup://directions/FAT Viewer?action=UPDATE&amp;creator=factset&amp;DYN_ARGS=TRUE&amp;DOC_NAME=FAT:FQL_AUDITING_CLIENT_TEMPLATE.FAT&amp;display_string=Audit&amp;VAR:KEY=NUJUPGXMVG&amp;VAR:QUERY=RkZfRUJJVERBX0lCKCdMVE1TJywzOTM2Nik=&amp;WINDOW=FIRST_POPUP&amp;HEIGHT=450&amp;WIDTH=450&amp;START_MA","XIMIZED=FALSE&amp;VAR:CALENDAR=US&amp;VAR:SYMBOL=05614P10&amp;VAR:INDEX=0"}</definedName>
    <definedName name="_2691__FDSAUDITLINK__" hidden="1">{"fdsup://directions/FAT Viewer?action=UPDATE&amp;creator=factset&amp;DYN_ARGS=TRUE&amp;DOC_NAME=FAT:FQL_AUDITING_CLIENT_TEMPLATE.FAT&amp;display_string=Audit&amp;VAR:KEY=NUJUPGXMVG&amp;VAR:QUERY=RkZfRUJJVERBX0lCKCdMVE1TJywzOTM2Nik=&amp;WINDOW=FIRST_POPUP&amp;HEIGHT=450&amp;WIDTH=450&amp;START_MA","XIMIZED=FALSE&amp;VAR:CALENDAR=US&amp;VAR:SYMBOL=05614P10&amp;VAR:INDEX=0"}</definedName>
    <definedName name="_2692__FDSAUDITLINK__" localSheetId="6" hidden="1">{"fdsup://directions/FAT Viewer?action=UPDATE&amp;creator=factset&amp;DYN_ARGS=TRUE&amp;DOC_NAME=FAT:FQL_AUDITING_CLIENT_TEMPLATE.FAT&amp;display_string=Audit&amp;VAR:KEY=XMVGTIZCDO&amp;VAR:QUERY=RkZfRUJJVERBX0lCKCdMVE1TJywzOTM2NSk=&amp;WINDOW=FIRST_POPUP&amp;HEIGHT=450&amp;WIDTH=450&amp;START_MA","XIMIZED=FALSE&amp;VAR:CALENDAR=US&amp;VAR:SYMBOL=05614P10&amp;VAR:INDEX=0"}</definedName>
    <definedName name="_2692__FDSAUDITLINK__" hidden="1">{"fdsup://directions/FAT Viewer?action=UPDATE&amp;creator=factset&amp;DYN_ARGS=TRUE&amp;DOC_NAME=FAT:FQL_AUDITING_CLIENT_TEMPLATE.FAT&amp;display_string=Audit&amp;VAR:KEY=XMVGTIZCDO&amp;VAR:QUERY=RkZfRUJJVERBX0lCKCdMVE1TJywzOTM2NSk=&amp;WINDOW=FIRST_POPUP&amp;HEIGHT=450&amp;WIDTH=450&amp;START_MA","XIMIZED=FALSE&amp;VAR:CALENDAR=US&amp;VAR:SYMBOL=05614P10&amp;VAR:INDEX=0"}</definedName>
    <definedName name="_2693__FDSAUDITLINK__" localSheetId="6" hidden="1">{"fdsup://directions/FAT Viewer?action=UPDATE&amp;creator=factset&amp;DYN_ARGS=TRUE&amp;DOC_NAME=FAT:FQL_AUDITING_CLIENT_TEMPLATE.FAT&amp;display_string=Audit&amp;VAR:KEY=DMFORGVEVQ&amp;VAR:QUERY=RkZfRUJJVERBX0lCKCdMVE1TJywzOTM2NCk=&amp;WINDOW=FIRST_POPUP&amp;HEIGHT=450&amp;WIDTH=450&amp;START_MA","XIMIZED=FALSE&amp;VAR:CALENDAR=US&amp;VAR:SYMBOL=05614P10&amp;VAR:INDEX=0"}</definedName>
    <definedName name="_2693__FDSAUDITLINK__" hidden="1">{"fdsup://directions/FAT Viewer?action=UPDATE&amp;creator=factset&amp;DYN_ARGS=TRUE&amp;DOC_NAME=FAT:FQL_AUDITING_CLIENT_TEMPLATE.FAT&amp;display_string=Audit&amp;VAR:KEY=DMFORGVEVQ&amp;VAR:QUERY=RkZfRUJJVERBX0lCKCdMVE1TJywzOTM2NCk=&amp;WINDOW=FIRST_POPUP&amp;HEIGHT=450&amp;WIDTH=450&amp;START_MA","XIMIZED=FALSE&amp;VAR:CALENDAR=US&amp;VAR:SYMBOL=05614P10&amp;VAR:INDEX=0"}</definedName>
    <definedName name="_2694__FDSAUDITLINK__" localSheetId="6" hidden="1">{"fdsup://directions/FAT Viewer?action=UPDATE&amp;creator=factset&amp;DYN_ARGS=TRUE&amp;DOC_NAME=FAT:FQL_AUDITING_CLIENT_TEMPLATE.FAT&amp;display_string=Audit&amp;VAR:KEY=FWXIXQVYDK&amp;VAR:QUERY=RkZfRUJJVERBX0lCKCdMVE1TJywzOTM2Myk=&amp;WINDOW=FIRST_POPUP&amp;HEIGHT=450&amp;WIDTH=450&amp;START_MA","XIMIZED=FALSE&amp;VAR:CALENDAR=US&amp;VAR:SYMBOL=05614P10&amp;VAR:INDEX=0"}</definedName>
    <definedName name="_2694__FDSAUDITLINK__" hidden="1">{"fdsup://directions/FAT Viewer?action=UPDATE&amp;creator=factset&amp;DYN_ARGS=TRUE&amp;DOC_NAME=FAT:FQL_AUDITING_CLIENT_TEMPLATE.FAT&amp;display_string=Audit&amp;VAR:KEY=FWXIXQVYDK&amp;VAR:QUERY=RkZfRUJJVERBX0lCKCdMVE1TJywzOTM2Myk=&amp;WINDOW=FIRST_POPUP&amp;HEIGHT=450&amp;WIDTH=450&amp;START_MA","XIMIZED=FALSE&amp;VAR:CALENDAR=US&amp;VAR:SYMBOL=05614P10&amp;VAR:INDEX=0"}</definedName>
    <definedName name="_2695__FDSAUDITLINK__" localSheetId="6" hidden="1">{"fdsup://directions/FAT Viewer?action=UPDATE&amp;creator=factset&amp;DYN_ARGS=TRUE&amp;DOC_NAME=FAT:FQL_AUDITING_CLIENT_TEMPLATE.FAT&amp;display_string=Audit&amp;VAR:KEY=TCTIRCZYJW&amp;VAR:QUERY=RkZfRUJJVERBX0lCKCdMVE1TJywzOTM2Mik=&amp;WINDOW=FIRST_POPUP&amp;HEIGHT=450&amp;WIDTH=450&amp;START_MA","XIMIZED=FALSE&amp;VAR:CALENDAR=US&amp;VAR:SYMBOL=05614P10&amp;VAR:INDEX=0"}</definedName>
    <definedName name="_2695__FDSAUDITLINK__" hidden="1">{"fdsup://directions/FAT Viewer?action=UPDATE&amp;creator=factset&amp;DYN_ARGS=TRUE&amp;DOC_NAME=FAT:FQL_AUDITING_CLIENT_TEMPLATE.FAT&amp;display_string=Audit&amp;VAR:KEY=TCTIRCZYJW&amp;VAR:QUERY=RkZfRUJJVERBX0lCKCdMVE1TJywzOTM2Mik=&amp;WINDOW=FIRST_POPUP&amp;HEIGHT=450&amp;WIDTH=450&amp;START_MA","XIMIZED=FALSE&amp;VAR:CALENDAR=US&amp;VAR:SYMBOL=05614P10&amp;VAR:INDEX=0"}</definedName>
    <definedName name="_2696__FDSAUDITLINK__" localSheetId="6" hidden="1">{"fdsup://directions/FAT Viewer?action=UPDATE&amp;creator=factset&amp;DYN_ARGS=TRUE&amp;DOC_NAME=FAT:FQL_AUDITING_CLIENT_TEMPLATE.FAT&amp;display_string=Audit&amp;VAR:KEY=DUTGDKTCNA&amp;VAR:QUERY=RkZfRUJJVERBX0lCKCdMVE1TJywzOTM2MSk=&amp;WINDOW=FIRST_POPUP&amp;HEIGHT=450&amp;WIDTH=450&amp;START_MA","XIMIZED=FALSE&amp;VAR:CALENDAR=US&amp;VAR:SYMBOL=05614P10&amp;VAR:INDEX=0"}</definedName>
    <definedName name="_2696__FDSAUDITLINK__" hidden="1">{"fdsup://directions/FAT Viewer?action=UPDATE&amp;creator=factset&amp;DYN_ARGS=TRUE&amp;DOC_NAME=FAT:FQL_AUDITING_CLIENT_TEMPLATE.FAT&amp;display_string=Audit&amp;VAR:KEY=DUTGDKTCNA&amp;VAR:QUERY=RkZfRUJJVERBX0lCKCdMVE1TJywzOTM2MSk=&amp;WINDOW=FIRST_POPUP&amp;HEIGHT=450&amp;WIDTH=450&amp;START_MA","XIMIZED=FALSE&amp;VAR:CALENDAR=US&amp;VAR:SYMBOL=05614P10&amp;VAR:INDEX=0"}</definedName>
    <definedName name="_2697__FDSAUDITLINK__" localSheetId="6" hidden="1">{"fdsup://directions/FAT Viewer?action=UPDATE&amp;creator=factset&amp;DYN_ARGS=TRUE&amp;DOC_NAME=FAT:FQL_AUDITING_CLIENT_TEMPLATE.FAT&amp;display_string=Audit&amp;VAR:KEY=VKXCNMXWDI&amp;VAR:QUERY=RkZfRUJJVERBX0lCKCdMVE1TJywzOTM2MCk=&amp;WINDOW=FIRST_POPUP&amp;HEIGHT=450&amp;WIDTH=450&amp;START_MA","XIMIZED=FALSE&amp;VAR:CALENDAR=US&amp;VAR:SYMBOL=05614P10&amp;VAR:INDEX=0"}</definedName>
    <definedName name="_2697__FDSAUDITLINK__" hidden="1">{"fdsup://directions/FAT Viewer?action=UPDATE&amp;creator=factset&amp;DYN_ARGS=TRUE&amp;DOC_NAME=FAT:FQL_AUDITING_CLIENT_TEMPLATE.FAT&amp;display_string=Audit&amp;VAR:KEY=VKXCNMXWDI&amp;VAR:QUERY=RkZfRUJJVERBX0lCKCdMVE1TJywzOTM2MCk=&amp;WINDOW=FIRST_POPUP&amp;HEIGHT=450&amp;WIDTH=450&amp;START_MA","XIMIZED=FALSE&amp;VAR:CALENDAR=US&amp;VAR:SYMBOL=05614P10&amp;VAR:INDEX=0"}</definedName>
    <definedName name="_2698__FDSAUDITLINK__" localSheetId="6" hidden="1">{"fdsup://directions/FAT Viewer?action=UPDATE&amp;creator=factset&amp;DYN_ARGS=TRUE&amp;DOC_NAME=FAT:FQL_AUDITING_CLIENT_TEMPLATE.FAT&amp;display_string=Audit&amp;VAR:KEY=DAJWTGVOPA&amp;VAR:QUERY=RkZfRUJJVERBX0lCKCdMVE1TJywzOTM1OSk=&amp;WINDOW=FIRST_POPUP&amp;HEIGHT=450&amp;WIDTH=450&amp;START_MA","XIMIZED=FALSE&amp;VAR:CALENDAR=US&amp;VAR:SYMBOL=05614P10&amp;VAR:INDEX=0"}</definedName>
    <definedName name="_2698__FDSAUDITLINK__" hidden="1">{"fdsup://directions/FAT Viewer?action=UPDATE&amp;creator=factset&amp;DYN_ARGS=TRUE&amp;DOC_NAME=FAT:FQL_AUDITING_CLIENT_TEMPLATE.FAT&amp;display_string=Audit&amp;VAR:KEY=DAJWTGVOPA&amp;VAR:QUERY=RkZfRUJJVERBX0lCKCdMVE1TJywzOTM1OSk=&amp;WINDOW=FIRST_POPUP&amp;HEIGHT=450&amp;WIDTH=450&amp;START_MA","XIMIZED=FALSE&amp;VAR:CALENDAR=US&amp;VAR:SYMBOL=05614P10&amp;VAR:INDEX=0"}</definedName>
    <definedName name="_2699__FDSAUDITLINK__" localSheetId="6" hidden="1">{"fdsup://directions/FAT Viewer?action=UPDATE&amp;creator=factset&amp;DYN_ARGS=TRUE&amp;DOC_NAME=FAT:FQL_AUDITING_CLIENT_TEMPLATE.FAT&amp;display_string=Audit&amp;VAR:KEY=BELAFCRKZY&amp;VAR:QUERY=RkZfRUJJVERBX0lCKCdMVE1TJywzOTM1OCk=&amp;WINDOW=FIRST_POPUP&amp;HEIGHT=450&amp;WIDTH=450&amp;START_MA","XIMIZED=FALSE&amp;VAR:CALENDAR=US&amp;VAR:SYMBOL=05614P10&amp;VAR:INDEX=0"}</definedName>
    <definedName name="_2699__FDSAUDITLINK__" hidden="1">{"fdsup://directions/FAT Viewer?action=UPDATE&amp;creator=factset&amp;DYN_ARGS=TRUE&amp;DOC_NAME=FAT:FQL_AUDITING_CLIENT_TEMPLATE.FAT&amp;display_string=Audit&amp;VAR:KEY=BELAFCRKZY&amp;VAR:QUERY=RkZfRUJJVERBX0lCKCdMVE1TJywzOTM1OCk=&amp;WINDOW=FIRST_POPUP&amp;HEIGHT=450&amp;WIDTH=450&amp;START_MA","XIMIZED=FALSE&amp;VAR:CALENDAR=US&amp;VAR:SYMBOL=05614P10&amp;VAR:INDEX=0"}</definedName>
    <definedName name="_270__FDSAUDITLINK__" localSheetId="6" hidden="1">{"fdsup://directions/FAT%20Viewer?VAR:PED=LTM&amp;VAR:AUDIT_MODE=SUMMARY&amp;VAR:PERIOD=FIXED&amp;VAR:AUDIT_ID=00000117&amp;VAR:DATE=20090527&amp;action=UPDATE&amp;creator=factset&amp;DOC_NAME=FAT:FMA_audit_SUMMARY.fat&amp;DISPLAY_STRING=Display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0__FDSAUDITLINK__" hidden="1">{"fdsup://directions/FAT%20Viewer?VAR:PED=LTM&amp;VAR:AUDIT_MODE=SUMMARY&amp;VAR:PERIOD=FIXED&amp;VAR:AUDIT_ID=00000117&amp;VAR:DATE=20090527&amp;action=UPDATE&amp;creator=factset&amp;DOC_NAME=FAT:FMA_audit_SUMMARY.fat&amp;DISPLAY_STRING=Display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00__FDSAUDITLINK__" localSheetId="6" hidden="1">{"fdsup://directions/FAT Viewer?action=UPDATE&amp;creator=factset&amp;DYN_ARGS=TRUE&amp;DOC_NAME=FAT:FQL_AUDITING_CLIENT_TEMPLATE.FAT&amp;display_string=Audit&amp;VAR:KEY=HEZMFKTSLY&amp;VAR:QUERY=RkZfRUJJVERBX0lCKCdMVE1TJywzOTM1Nyk=&amp;WINDOW=FIRST_POPUP&amp;HEIGHT=450&amp;WIDTH=450&amp;START_MA","XIMIZED=FALSE&amp;VAR:CALENDAR=US&amp;VAR:SYMBOL=05614P10&amp;VAR:INDEX=0"}</definedName>
    <definedName name="_2700__FDSAUDITLINK__" hidden="1">{"fdsup://directions/FAT Viewer?action=UPDATE&amp;creator=factset&amp;DYN_ARGS=TRUE&amp;DOC_NAME=FAT:FQL_AUDITING_CLIENT_TEMPLATE.FAT&amp;display_string=Audit&amp;VAR:KEY=HEZMFKTSLY&amp;VAR:QUERY=RkZfRUJJVERBX0lCKCdMVE1TJywzOTM1Nyk=&amp;WINDOW=FIRST_POPUP&amp;HEIGHT=450&amp;WIDTH=450&amp;START_MA","XIMIZED=FALSE&amp;VAR:CALENDAR=US&amp;VAR:SYMBOL=05614P10&amp;VAR:INDEX=0"}</definedName>
    <definedName name="_2701__FDSAUDITLINK__" localSheetId="6" hidden="1">{"fdsup://directions/FAT Viewer?action=UPDATE&amp;creator=factset&amp;DYN_ARGS=TRUE&amp;DOC_NAME=FAT:FQL_AUDITING_CLIENT_TEMPLATE.FAT&amp;display_string=Audit&amp;VAR:KEY=HYNAJYHUTS&amp;VAR:QUERY=RkZfRUJJVERBX0lCKCdMVE1TJywzOTM1Nik=&amp;WINDOW=FIRST_POPUP&amp;HEIGHT=450&amp;WIDTH=450&amp;START_MA","XIMIZED=FALSE&amp;VAR:CALENDAR=US&amp;VAR:SYMBOL=05614P10&amp;VAR:INDEX=0"}</definedName>
    <definedName name="_2701__FDSAUDITLINK__" hidden="1">{"fdsup://directions/FAT Viewer?action=UPDATE&amp;creator=factset&amp;DYN_ARGS=TRUE&amp;DOC_NAME=FAT:FQL_AUDITING_CLIENT_TEMPLATE.FAT&amp;display_string=Audit&amp;VAR:KEY=HYNAJYHUTS&amp;VAR:QUERY=RkZfRUJJVERBX0lCKCdMVE1TJywzOTM1Nik=&amp;WINDOW=FIRST_POPUP&amp;HEIGHT=450&amp;WIDTH=450&amp;START_MA","XIMIZED=FALSE&amp;VAR:CALENDAR=US&amp;VAR:SYMBOL=05614P10&amp;VAR:INDEX=0"}</definedName>
    <definedName name="_2702__FDSAUDITLINK__" localSheetId="6" hidden="1">{"fdsup://directions/FAT Viewer?action=UPDATE&amp;creator=factset&amp;DYN_ARGS=TRUE&amp;DOC_NAME=FAT:FQL_AUDITING_CLIENT_TEMPLATE.FAT&amp;display_string=Audit&amp;VAR:KEY=HUNAPOFEJQ&amp;VAR:QUERY=RkZfRUJJVERBX0lCKCdMVE1TJywzOTM1NSk=&amp;WINDOW=FIRST_POPUP&amp;HEIGHT=450&amp;WIDTH=450&amp;START_MA","XIMIZED=FALSE&amp;VAR:CALENDAR=US&amp;VAR:SYMBOL=05614P10&amp;VAR:INDEX=0"}</definedName>
    <definedName name="_2702__FDSAUDITLINK__" hidden="1">{"fdsup://directions/FAT Viewer?action=UPDATE&amp;creator=factset&amp;DYN_ARGS=TRUE&amp;DOC_NAME=FAT:FQL_AUDITING_CLIENT_TEMPLATE.FAT&amp;display_string=Audit&amp;VAR:KEY=HUNAPOFEJQ&amp;VAR:QUERY=RkZfRUJJVERBX0lCKCdMVE1TJywzOTM1NSk=&amp;WINDOW=FIRST_POPUP&amp;HEIGHT=450&amp;WIDTH=450&amp;START_MA","XIMIZED=FALSE&amp;VAR:CALENDAR=US&amp;VAR:SYMBOL=05614P10&amp;VAR:INDEX=0"}</definedName>
    <definedName name="_2703__FDSAUDITLINK__" localSheetId="6" hidden="1">{"fdsup://directions/FAT Viewer?action=UPDATE&amp;creator=factset&amp;DYN_ARGS=TRUE&amp;DOC_NAME=FAT:FQL_AUDITING_CLIENT_TEMPLATE.FAT&amp;display_string=Audit&amp;VAR:KEY=ZKHYZILARQ&amp;VAR:QUERY=RkZfRUJJVERBX0lCKCdMVE1TJywzOTM1NCk=&amp;WINDOW=FIRST_POPUP&amp;HEIGHT=450&amp;WIDTH=450&amp;START_MA","XIMIZED=FALSE&amp;VAR:CALENDAR=US&amp;VAR:SYMBOL=05614P10&amp;VAR:INDEX=0"}</definedName>
    <definedName name="_2703__FDSAUDITLINK__" hidden="1">{"fdsup://directions/FAT Viewer?action=UPDATE&amp;creator=factset&amp;DYN_ARGS=TRUE&amp;DOC_NAME=FAT:FQL_AUDITING_CLIENT_TEMPLATE.FAT&amp;display_string=Audit&amp;VAR:KEY=ZKHYZILARQ&amp;VAR:QUERY=RkZfRUJJVERBX0lCKCdMVE1TJywzOTM1NCk=&amp;WINDOW=FIRST_POPUP&amp;HEIGHT=450&amp;WIDTH=450&amp;START_MA","XIMIZED=FALSE&amp;VAR:CALENDAR=US&amp;VAR:SYMBOL=05614P10&amp;VAR:INDEX=0"}</definedName>
    <definedName name="_2704__FDSAUDITLINK__" localSheetId="6" hidden="1">{"fdsup://directions/FAT Viewer?action=UPDATE&amp;creator=factset&amp;DYN_ARGS=TRUE&amp;DOC_NAME=FAT:FQL_AUDITING_CLIENT_TEMPLATE.FAT&amp;display_string=Audit&amp;VAR:KEY=FQJEBMLCTU&amp;VAR:QUERY=RkZfRUJJVERBX0lCKCdMVE1TJywzOTM1Myk=&amp;WINDOW=FIRST_POPUP&amp;HEIGHT=450&amp;WIDTH=450&amp;START_MA","XIMIZED=FALSE&amp;VAR:CALENDAR=US&amp;VAR:SYMBOL=05614P10&amp;VAR:INDEX=0"}</definedName>
    <definedName name="_2704__FDSAUDITLINK__" hidden="1">{"fdsup://directions/FAT Viewer?action=UPDATE&amp;creator=factset&amp;DYN_ARGS=TRUE&amp;DOC_NAME=FAT:FQL_AUDITING_CLIENT_TEMPLATE.FAT&amp;display_string=Audit&amp;VAR:KEY=FQJEBMLCTU&amp;VAR:QUERY=RkZfRUJJVERBX0lCKCdMVE1TJywzOTM1Myk=&amp;WINDOW=FIRST_POPUP&amp;HEIGHT=450&amp;WIDTH=450&amp;START_MA","XIMIZED=FALSE&amp;VAR:CALENDAR=US&amp;VAR:SYMBOL=05614P10&amp;VAR:INDEX=0"}</definedName>
    <definedName name="_2705__FDSAUDITLINK__" localSheetId="6" hidden="1">{"fdsup://directions/FAT Viewer?action=UPDATE&amp;creator=factset&amp;DYN_ARGS=TRUE&amp;DOC_NAME=FAT:FQL_AUDITING_CLIENT_TEMPLATE.FAT&amp;display_string=Audit&amp;VAR:KEY=BORUXANCPI&amp;VAR:QUERY=RkZfRUJJVERBX0lCKCdMVE1TJywzOTM1Mik=&amp;WINDOW=FIRST_POPUP&amp;HEIGHT=450&amp;WIDTH=450&amp;START_MA","XIMIZED=FALSE&amp;VAR:CALENDAR=US&amp;VAR:SYMBOL=05614P10&amp;VAR:INDEX=0"}</definedName>
    <definedName name="_2705__FDSAUDITLINK__" hidden="1">{"fdsup://directions/FAT Viewer?action=UPDATE&amp;creator=factset&amp;DYN_ARGS=TRUE&amp;DOC_NAME=FAT:FQL_AUDITING_CLIENT_TEMPLATE.FAT&amp;display_string=Audit&amp;VAR:KEY=BORUXANCPI&amp;VAR:QUERY=RkZfRUJJVERBX0lCKCdMVE1TJywzOTM1Mik=&amp;WINDOW=FIRST_POPUP&amp;HEIGHT=450&amp;WIDTH=450&amp;START_MA","XIMIZED=FALSE&amp;VAR:CALENDAR=US&amp;VAR:SYMBOL=05614P10&amp;VAR:INDEX=0"}</definedName>
    <definedName name="_2706__FDSAUDITLINK__" localSheetId="6" hidden="1">{"fdsup://directions/FAT Viewer?action=UPDATE&amp;creator=factset&amp;DYN_ARGS=TRUE&amp;DOC_NAME=FAT:FQL_AUDITING_CLIENT_TEMPLATE.FAT&amp;display_string=Audit&amp;VAR:KEY=FOZIZWXSHO&amp;VAR:QUERY=RkZfRUJJVERBX0lCKCdMVE1TJywzOTM1MSk=&amp;WINDOW=FIRST_POPUP&amp;HEIGHT=450&amp;WIDTH=450&amp;START_MA","XIMIZED=FALSE&amp;VAR:CALENDAR=US&amp;VAR:SYMBOL=05614P10&amp;VAR:INDEX=0"}</definedName>
    <definedName name="_2706__FDSAUDITLINK__" hidden="1">{"fdsup://directions/FAT Viewer?action=UPDATE&amp;creator=factset&amp;DYN_ARGS=TRUE&amp;DOC_NAME=FAT:FQL_AUDITING_CLIENT_TEMPLATE.FAT&amp;display_string=Audit&amp;VAR:KEY=FOZIZWXSHO&amp;VAR:QUERY=RkZfRUJJVERBX0lCKCdMVE1TJywzOTM1MSk=&amp;WINDOW=FIRST_POPUP&amp;HEIGHT=450&amp;WIDTH=450&amp;START_MA","XIMIZED=FALSE&amp;VAR:CALENDAR=US&amp;VAR:SYMBOL=05614P10&amp;VAR:INDEX=0"}</definedName>
    <definedName name="_2707__FDSAUDITLINK__" localSheetId="6" hidden="1">{"fdsup://directions/FAT Viewer?action=UPDATE&amp;creator=factset&amp;DYN_ARGS=TRUE&amp;DOC_NAME=FAT:FQL_AUDITING_CLIENT_TEMPLATE.FAT&amp;display_string=Audit&amp;VAR:KEY=VITWRSVCLY&amp;VAR:QUERY=RkZfRUJJVERBX0lCKCdMVE1TJywzOTM1MCk=&amp;WINDOW=FIRST_POPUP&amp;HEIGHT=450&amp;WIDTH=450&amp;START_MA","XIMIZED=FALSE&amp;VAR:CALENDAR=US&amp;VAR:SYMBOL=05614P10&amp;VAR:INDEX=0"}</definedName>
    <definedName name="_2707__FDSAUDITLINK__" hidden="1">{"fdsup://directions/FAT Viewer?action=UPDATE&amp;creator=factset&amp;DYN_ARGS=TRUE&amp;DOC_NAME=FAT:FQL_AUDITING_CLIENT_TEMPLATE.FAT&amp;display_string=Audit&amp;VAR:KEY=VITWRSVCLY&amp;VAR:QUERY=RkZfRUJJVERBX0lCKCdMVE1TJywzOTM1MCk=&amp;WINDOW=FIRST_POPUP&amp;HEIGHT=450&amp;WIDTH=450&amp;START_MA","XIMIZED=FALSE&amp;VAR:CALENDAR=US&amp;VAR:SYMBOL=05614P10&amp;VAR:INDEX=0"}</definedName>
    <definedName name="_2708__FDSAUDITLINK__" localSheetId="6" hidden="1">{"fdsup://directions/FAT Viewer?action=UPDATE&amp;creator=factset&amp;DYN_ARGS=TRUE&amp;DOC_NAME=FAT:FQL_AUDITING_CLIENT_TEMPLATE.FAT&amp;display_string=Audit&amp;VAR:KEY=PSXIBEZORY&amp;VAR:QUERY=RkZfRUJJVERBX0lCKCdMVE1TJywzOTM0OSk=&amp;WINDOW=FIRST_POPUP&amp;HEIGHT=450&amp;WIDTH=450&amp;START_MA","XIMIZED=FALSE&amp;VAR:CALENDAR=US&amp;VAR:SYMBOL=05614P10&amp;VAR:INDEX=0"}</definedName>
    <definedName name="_2708__FDSAUDITLINK__" hidden="1">{"fdsup://directions/FAT Viewer?action=UPDATE&amp;creator=factset&amp;DYN_ARGS=TRUE&amp;DOC_NAME=FAT:FQL_AUDITING_CLIENT_TEMPLATE.FAT&amp;display_string=Audit&amp;VAR:KEY=PSXIBEZORY&amp;VAR:QUERY=RkZfRUJJVERBX0lCKCdMVE1TJywzOTM0OSk=&amp;WINDOW=FIRST_POPUP&amp;HEIGHT=450&amp;WIDTH=450&amp;START_MA","XIMIZED=FALSE&amp;VAR:CALENDAR=US&amp;VAR:SYMBOL=05614P10&amp;VAR:INDEX=0"}</definedName>
    <definedName name="_2709__FDSAUDITLINK__" localSheetId="6" hidden="1">{"fdsup://directions/FAT Viewer?action=UPDATE&amp;creator=factset&amp;DYN_ARGS=TRUE&amp;DOC_NAME=FAT:FQL_AUDITING_CLIENT_TEMPLATE.FAT&amp;display_string=Audit&amp;VAR:KEY=HCZYDAFMDU&amp;VAR:QUERY=RkZfRUJJVERBX0lCKCdMVE1TJywzOTM0OCk=&amp;WINDOW=FIRST_POPUP&amp;HEIGHT=450&amp;WIDTH=450&amp;START_MA","XIMIZED=FALSE&amp;VAR:CALENDAR=US&amp;VAR:SYMBOL=05614P10&amp;VAR:INDEX=0"}</definedName>
    <definedName name="_2709__FDSAUDITLINK__" hidden="1">{"fdsup://directions/FAT Viewer?action=UPDATE&amp;creator=factset&amp;DYN_ARGS=TRUE&amp;DOC_NAME=FAT:FQL_AUDITING_CLIENT_TEMPLATE.FAT&amp;display_string=Audit&amp;VAR:KEY=HCZYDAFMDU&amp;VAR:QUERY=RkZfRUJJVERBX0lCKCdMVE1TJywzOTM0OCk=&amp;WINDOW=FIRST_POPUP&amp;HEIGHT=450&amp;WIDTH=450&amp;START_MA","XIMIZED=FALSE&amp;VAR:CALENDAR=US&amp;VAR:SYMBOL=05614P10&amp;VAR:INDEX=0"}</definedName>
    <definedName name="_271__FDSAUDITLINK__" localSheetId="6" hidden="1">{"fdsup://directions/FAT%20Viewer?VAR:PED=LTM&amp;VAR:AUDIT_MODE=SUMMARY&amp;VAR:PERIOD=FIXED&amp;VAR:AUDIT_ID=00000117&amp;VAR:DATE=20090526&amp;action=UPDATE&amp;creator=factset&amp;DOC_NAME=FAT:FMA_audit_SUMMARY.fat&amp;DISPLAY_STRING=Display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1__FDSAUDITLINK__" hidden="1">{"fdsup://directions/FAT%20Viewer?VAR:PED=LTM&amp;VAR:AUDIT_MODE=SUMMARY&amp;VAR:PERIOD=FIXED&amp;VAR:AUDIT_ID=00000117&amp;VAR:DATE=20090526&amp;action=UPDATE&amp;creator=factset&amp;DOC_NAME=FAT:FMA_audit_SUMMARY.fat&amp;DISPLAY_STRING=Display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10__FDSAUDITLINK__" localSheetId="6" hidden="1">{"fdsup://directions/FAT Viewer?action=UPDATE&amp;creator=factset&amp;DYN_ARGS=TRUE&amp;DOC_NAME=FAT:FQL_AUDITING_CLIENT_TEMPLATE.FAT&amp;display_string=Audit&amp;VAR:KEY=RYJGZQHAPW&amp;VAR:QUERY=RkZfRUJJVERBX0lCKCdMVE1TJywzOTM0Nyk=&amp;WINDOW=FIRST_POPUP&amp;HEIGHT=450&amp;WIDTH=450&amp;START_MA","XIMIZED=FALSE&amp;VAR:CALENDAR=US&amp;VAR:SYMBOL=05614P10&amp;VAR:INDEX=0"}</definedName>
    <definedName name="_2710__FDSAUDITLINK__" hidden="1">{"fdsup://directions/FAT Viewer?action=UPDATE&amp;creator=factset&amp;DYN_ARGS=TRUE&amp;DOC_NAME=FAT:FQL_AUDITING_CLIENT_TEMPLATE.FAT&amp;display_string=Audit&amp;VAR:KEY=RYJGZQHAPW&amp;VAR:QUERY=RkZfRUJJVERBX0lCKCdMVE1TJywzOTM0Nyk=&amp;WINDOW=FIRST_POPUP&amp;HEIGHT=450&amp;WIDTH=450&amp;START_MA","XIMIZED=FALSE&amp;VAR:CALENDAR=US&amp;VAR:SYMBOL=05614P10&amp;VAR:INDEX=0"}</definedName>
    <definedName name="_2711__FDSAUDITLINK__" localSheetId="6" hidden="1">{"fdsup://directions/FAT Viewer?action=UPDATE&amp;creator=factset&amp;DYN_ARGS=TRUE&amp;DOC_NAME=FAT:FQL_AUDITING_CLIENT_TEMPLATE.FAT&amp;display_string=Audit&amp;VAR:KEY=FIVKBOVILY&amp;VAR:QUERY=RkZfRUJJVERBX0lCKCdMVE1TJywzOTM0Nik=&amp;WINDOW=FIRST_POPUP&amp;HEIGHT=450&amp;WIDTH=450&amp;START_MA","XIMIZED=FALSE&amp;VAR:CALENDAR=US&amp;VAR:SYMBOL=05614P10&amp;VAR:INDEX=0"}</definedName>
    <definedName name="_2711__FDSAUDITLINK__" hidden="1">{"fdsup://directions/FAT Viewer?action=UPDATE&amp;creator=factset&amp;DYN_ARGS=TRUE&amp;DOC_NAME=FAT:FQL_AUDITING_CLIENT_TEMPLATE.FAT&amp;display_string=Audit&amp;VAR:KEY=FIVKBOVILY&amp;VAR:QUERY=RkZfRUJJVERBX0lCKCdMVE1TJywzOTM0Nik=&amp;WINDOW=FIRST_POPUP&amp;HEIGHT=450&amp;WIDTH=450&amp;START_MA","XIMIZED=FALSE&amp;VAR:CALENDAR=US&amp;VAR:SYMBOL=05614P10&amp;VAR:INDEX=0"}</definedName>
    <definedName name="_2712__FDSAUDITLINK__" localSheetId="6" hidden="1">{"fdsup://directions/FAT Viewer?action=UPDATE&amp;creator=factset&amp;DYN_ARGS=TRUE&amp;DOC_NAME=FAT:FQL_AUDITING_CLIENT_TEMPLATE.FAT&amp;display_string=Audit&amp;VAR:KEY=NWTMFORYHM&amp;VAR:QUERY=RkZfRUJJVERBX0lCKCdMVE1TJywzOTM0NSk=&amp;WINDOW=FIRST_POPUP&amp;HEIGHT=450&amp;WIDTH=450&amp;START_MA","XIMIZED=FALSE&amp;VAR:CALENDAR=US&amp;VAR:SYMBOL=05614P10&amp;VAR:INDEX=0"}</definedName>
    <definedName name="_2712__FDSAUDITLINK__" hidden="1">{"fdsup://directions/FAT Viewer?action=UPDATE&amp;creator=factset&amp;DYN_ARGS=TRUE&amp;DOC_NAME=FAT:FQL_AUDITING_CLIENT_TEMPLATE.FAT&amp;display_string=Audit&amp;VAR:KEY=NWTMFORYHM&amp;VAR:QUERY=RkZfRUJJVERBX0lCKCdMVE1TJywzOTM0NSk=&amp;WINDOW=FIRST_POPUP&amp;HEIGHT=450&amp;WIDTH=450&amp;START_MA","XIMIZED=FALSE&amp;VAR:CALENDAR=US&amp;VAR:SYMBOL=05614P10&amp;VAR:INDEX=0"}</definedName>
    <definedName name="_2713__FDSAUDITLINK__" localSheetId="6" hidden="1">{"fdsup://directions/FAT Viewer?action=UPDATE&amp;creator=factset&amp;DYN_ARGS=TRUE&amp;DOC_NAME=FAT:FQL_AUDITING_CLIENT_TEMPLATE.FAT&amp;display_string=Audit&amp;VAR:KEY=ZMHCHMXIDY&amp;VAR:QUERY=RkZfRUJJVERBX0lCKCdMVE1TJywzOTM0NCk=&amp;WINDOW=FIRST_POPUP&amp;HEIGHT=450&amp;WIDTH=450&amp;START_MA","XIMIZED=FALSE&amp;VAR:CALENDAR=US&amp;VAR:SYMBOL=05614P10&amp;VAR:INDEX=0"}</definedName>
    <definedName name="_2713__FDSAUDITLINK__" hidden="1">{"fdsup://directions/FAT Viewer?action=UPDATE&amp;creator=factset&amp;DYN_ARGS=TRUE&amp;DOC_NAME=FAT:FQL_AUDITING_CLIENT_TEMPLATE.FAT&amp;display_string=Audit&amp;VAR:KEY=ZMHCHMXIDY&amp;VAR:QUERY=RkZfRUJJVERBX0lCKCdMVE1TJywzOTM0NCk=&amp;WINDOW=FIRST_POPUP&amp;HEIGHT=450&amp;WIDTH=450&amp;START_MA","XIMIZED=FALSE&amp;VAR:CALENDAR=US&amp;VAR:SYMBOL=05614P10&amp;VAR:INDEX=0"}</definedName>
    <definedName name="_2714__FDSAUDITLINK__" localSheetId="6" hidden="1">{"fdsup://directions/FAT Viewer?action=UPDATE&amp;creator=factset&amp;DYN_ARGS=TRUE&amp;DOC_NAME=FAT:FQL_AUDITING_CLIENT_TEMPLATE.FAT&amp;display_string=Audit&amp;VAR:KEY=BUJUDCFEDI&amp;VAR:QUERY=RkZfRUJJVERBX0lCKCdMVE1TJywzOTM0Myk=&amp;WINDOW=FIRST_POPUP&amp;HEIGHT=450&amp;WIDTH=450&amp;START_MA","XIMIZED=FALSE&amp;VAR:CALENDAR=US&amp;VAR:SYMBOL=05614P10&amp;VAR:INDEX=0"}</definedName>
    <definedName name="_2714__FDSAUDITLINK__" hidden="1">{"fdsup://directions/FAT Viewer?action=UPDATE&amp;creator=factset&amp;DYN_ARGS=TRUE&amp;DOC_NAME=FAT:FQL_AUDITING_CLIENT_TEMPLATE.FAT&amp;display_string=Audit&amp;VAR:KEY=BUJUDCFEDI&amp;VAR:QUERY=RkZfRUJJVERBX0lCKCdMVE1TJywzOTM0Myk=&amp;WINDOW=FIRST_POPUP&amp;HEIGHT=450&amp;WIDTH=450&amp;START_MA","XIMIZED=FALSE&amp;VAR:CALENDAR=US&amp;VAR:SYMBOL=05614P10&amp;VAR:INDEX=0"}</definedName>
    <definedName name="_2715__FDSAUDITLINK__" localSheetId="6" hidden="1">{"fdsup://directions/FAT Viewer?action=UPDATE&amp;creator=factset&amp;DYN_ARGS=TRUE&amp;DOC_NAME=FAT:FQL_AUDITING_CLIENT_TEMPLATE.FAT&amp;display_string=Audit&amp;VAR:KEY=FCZGDCJWNI&amp;VAR:QUERY=RkZfRUJJVERBX0lCKCdMVE1TJywzOTM0Mik=&amp;WINDOW=FIRST_POPUP&amp;HEIGHT=450&amp;WIDTH=450&amp;START_MA","XIMIZED=FALSE&amp;VAR:CALENDAR=US&amp;VAR:SYMBOL=05614P10&amp;VAR:INDEX=0"}</definedName>
    <definedName name="_2715__FDSAUDITLINK__" hidden="1">{"fdsup://directions/FAT Viewer?action=UPDATE&amp;creator=factset&amp;DYN_ARGS=TRUE&amp;DOC_NAME=FAT:FQL_AUDITING_CLIENT_TEMPLATE.FAT&amp;display_string=Audit&amp;VAR:KEY=FCZGDCJWNI&amp;VAR:QUERY=RkZfRUJJVERBX0lCKCdMVE1TJywzOTM0Mik=&amp;WINDOW=FIRST_POPUP&amp;HEIGHT=450&amp;WIDTH=450&amp;START_MA","XIMIZED=FALSE&amp;VAR:CALENDAR=US&amp;VAR:SYMBOL=05614P10&amp;VAR:INDEX=0"}</definedName>
    <definedName name="_2716__FDSAUDITLINK__" localSheetId="6" hidden="1">{"fdsup://directions/FAT Viewer?action=UPDATE&amp;creator=factset&amp;DYN_ARGS=TRUE&amp;DOC_NAME=FAT:FQL_AUDITING_CLIENT_TEMPLATE.FAT&amp;display_string=Audit&amp;VAR:KEY=LKFYRKFQJI&amp;VAR:QUERY=RkZfRUJJVERBX0lCKCdMVE1TJywzOTM0MSk=&amp;WINDOW=FIRST_POPUP&amp;HEIGHT=450&amp;WIDTH=450&amp;START_MA","XIMIZED=FALSE&amp;VAR:CALENDAR=US&amp;VAR:SYMBOL=05614P10&amp;VAR:INDEX=0"}</definedName>
    <definedName name="_2716__FDSAUDITLINK__" hidden="1">{"fdsup://directions/FAT Viewer?action=UPDATE&amp;creator=factset&amp;DYN_ARGS=TRUE&amp;DOC_NAME=FAT:FQL_AUDITING_CLIENT_TEMPLATE.FAT&amp;display_string=Audit&amp;VAR:KEY=LKFYRKFQJI&amp;VAR:QUERY=RkZfRUJJVERBX0lCKCdMVE1TJywzOTM0MSk=&amp;WINDOW=FIRST_POPUP&amp;HEIGHT=450&amp;WIDTH=450&amp;START_MA","XIMIZED=FALSE&amp;VAR:CALENDAR=US&amp;VAR:SYMBOL=05614P10&amp;VAR:INDEX=0"}</definedName>
    <definedName name="_2717__FDSAUDITLINK__" localSheetId="6" hidden="1">{"fdsup://directions/FAT Viewer?action=UPDATE&amp;creator=factset&amp;DYN_ARGS=TRUE&amp;DOC_NAME=FAT:FQL_AUDITING_CLIENT_TEMPLATE.FAT&amp;display_string=Audit&amp;VAR:KEY=TUNAJQXSBG&amp;VAR:QUERY=RkZfRUJJVERBX0lCKCdMVE1TJywzOTM0MCk=&amp;WINDOW=FIRST_POPUP&amp;HEIGHT=450&amp;WIDTH=450&amp;START_MA","XIMIZED=FALSE&amp;VAR:CALENDAR=US&amp;VAR:SYMBOL=05614P10&amp;VAR:INDEX=0"}</definedName>
    <definedName name="_2717__FDSAUDITLINK__" hidden="1">{"fdsup://directions/FAT Viewer?action=UPDATE&amp;creator=factset&amp;DYN_ARGS=TRUE&amp;DOC_NAME=FAT:FQL_AUDITING_CLIENT_TEMPLATE.FAT&amp;display_string=Audit&amp;VAR:KEY=TUNAJQXSBG&amp;VAR:QUERY=RkZfRUJJVERBX0lCKCdMVE1TJywzOTM0MCk=&amp;WINDOW=FIRST_POPUP&amp;HEIGHT=450&amp;WIDTH=450&amp;START_MA","XIMIZED=FALSE&amp;VAR:CALENDAR=US&amp;VAR:SYMBOL=05614P10&amp;VAR:INDEX=0"}</definedName>
    <definedName name="_2718__FDSAUDITLINK__" localSheetId="6" hidden="1">{"fdsup://directions/FAT Viewer?action=UPDATE&amp;creator=factset&amp;DYN_ARGS=TRUE&amp;DOC_NAME=FAT:FQL_AUDITING_CLIENT_TEMPLATE.FAT&amp;display_string=Audit&amp;VAR:KEY=TGFUBUFCHM&amp;VAR:QUERY=RkZfRUJJVERBX0lCKCdMVE1TJywzOTMzOSk=&amp;WINDOW=FIRST_POPUP&amp;HEIGHT=450&amp;WIDTH=450&amp;START_MA","XIMIZED=FALSE&amp;VAR:CALENDAR=US&amp;VAR:SYMBOL=05614P10&amp;VAR:INDEX=0"}</definedName>
    <definedName name="_2718__FDSAUDITLINK__" hidden="1">{"fdsup://directions/FAT Viewer?action=UPDATE&amp;creator=factset&amp;DYN_ARGS=TRUE&amp;DOC_NAME=FAT:FQL_AUDITING_CLIENT_TEMPLATE.FAT&amp;display_string=Audit&amp;VAR:KEY=TGFUBUFCHM&amp;VAR:QUERY=RkZfRUJJVERBX0lCKCdMVE1TJywzOTMzOSk=&amp;WINDOW=FIRST_POPUP&amp;HEIGHT=450&amp;WIDTH=450&amp;START_MA","XIMIZED=FALSE&amp;VAR:CALENDAR=US&amp;VAR:SYMBOL=05614P10&amp;VAR:INDEX=0"}</definedName>
    <definedName name="_2719__FDSAUDITLINK__" localSheetId="6" hidden="1">{"fdsup://directions/FAT Viewer?action=UPDATE&amp;creator=factset&amp;DYN_ARGS=TRUE&amp;DOC_NAME=FAT:FQL_AUDITING_CLIENT_TEMPLATE.FAT&amp;display_string=Audit&amp;VAR:KEY=XAPWTMBGZS&amp;VAR:QUERY=RkZfRUJJVERBX0lCKCdMVE1TJywzOTMzOCk=&amp;WINDOW=FIRST_POPUP&amp;HEIGHT=450&amp;WIDTH=450&amp;START_MA","XIMIZED=FALSE&amp;VAR:CALENDAR=US&amp;VAR:SYMBOL=05614P10&amp;VAR:INDEX=0"}</definedName>
    <definedName name="_2719__FDSAUDITLINK__" hidden="1">{"fdsup://directions/FAT Viewer?action=UPDATE&amp;creator=factset&amp;DYN_ARGS=TRUE&amp;DOC_NAME=FAT:FQL_AUDITING_CLIENT_TEMPLATE.FAT&amp;display_string=Audit&amp;VAR:KEY=XAPWTMBGZS&amp;VAR:QUERY=RkZfRUJJVERBX0lCKCdMVE1TJywzOTMzOCk=&amp;WINDOW=FIRST_POPUP&amp;HEIGHT=450&amp;WIDTH=450&amp;START_MA","XIMIZED=FALSE&amp;VAR:CALENDAR=US&amp;VAR:SYMBOL=05614P10&amp;VAR:INDEX=0"}</definedName>
    <definedName name="_272__FDSAUDITLINK__" localSheetId="6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2__FDSAUDITLINK__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20__FDSAUDITLINK__" localSheetId="6" hidden="1">{"fdsup://directions/FAT Viewer?action=UPDATE&amp;creator=factset&amp;DYN_ARGS=TRUE&amp;DOC_NAME=FAT:FQL_AUDITING_CLIENT_TEMPLATE.FAT&amp;display_string=Audit&amp;VAR:KEY=VCVGJQTODS&amp;VAR:QUERY=RkZfRUJJVERBX0lCKCdMVE1TJywzOTMzNyk=&amp;WINDOW=FIRST_POPUP&amp;HEIGHT=450&amp;WIDTH=450&amp;START_MA","XIMIZED=FALSE&amp;VAR:CALENDAR=US&amp;VAR:SYMBOL=05614P10&amp;VAR:INDEX=0"}</definedName>
    <definedName name="_2720__FDSAUDITLINK__" hidden="1">{"fdsup://directions/FAT Viewer?action=UPDATE&amp;creator=factset&amp;DYN_ARGS=TRUE&amp;DOC_NAME=FAT:FQL_AUDITING_CLIENT_TEMPLATE.FAT&amp;display_string=Audit&amp;VAR:KEY=VCVGJQTODS&amp;VAR:QUERY=RkZfRUJJVERBX0lCKCdMVE1TJywzOTMzNyk=&amp;WINDOW=FIRST_POPUP&amp;HEIGHT=450&amp;WIDTH=450&amp;START_MA","XIMIZED=FALSE&amp;VAR:CALENDAR=US&amp;VAR:SYMBOL=05614P10&amp;VAR:INDEX=0"}</definedName>
    <definedName name="_2721__FDSAUDITLINK__" localSheetId="6" hidden="1">{"fdsup://directions/FAT Viewer?action=UPDATE&amp;creator=factset&amp;DYN_ARGS=TRUE&amp;DOC_NAME=FAT:FQL_AUDITING_CLIENT_TEMPLATE.FAT&amp;display_string=Audit&amp;VAR:KEY=DYZUFKVEDC&amp;VAR:QUERY=RkZfRUJJVERBX0lCKCdMVE1TJywzOTMzNik=&amp;WINDOW=FIRST_POPUP&amp;HEIGHT=450&amp;WIDTH=450&amp;START_MA","XIMIZED=FALSE&amp;VAR:CALENDAR=US&amp;VAR:SYMBOL=05614P10&amp;VAR:INDEX=0"}</definedName>
    <definedName name="_2721__FDSAUDITLINK__" hidden="1">{"fdsup://directions/FAT Viewer?action=UPDATE&amp;creator=factset&amp;DYN_ARGS=TRUE&amp;DOC_NAME=FAT:FQL_AUDITING_CLIENT_TEMPLATE.FAT&amp;display_string=Audit&amp;VAR:KEY=DYZUFKVEDC&amp;VAR:QUERY=RkZfRUJJVERBX0lCKCdMVE1TJywzOTMzNik=&amp;WINDOW=FIRST_POPUP&amp;HEIGHT=450&amp;WIDTH=450&amp;START_MA","XIMIZED=FALSE&amp;VAR:CALENDAR=US&amp;VAR:SYMBOL=05614P10&amp;VAR:INDEX=0"}</definedName>
    <definedName name="_2722__FDSAUDITLINK__" localSheetId="6" hidden="1">{"fdsup://directions/FAT Viewer?action=UPDATE&amp;creator=factset&amp;DYN_ARGS=TRUE&amp;DOC_NAME=FAT:FQL_AUDITING_CLIENT_TEMPLATE.FAT&amp;display_string=Audit&amp;VAR:KEY=VYXMFYVIPE&amp;VAR:QUERY=RkZfRUJJVERBX0lCKCdMVE1TJywzOTMzNSk=&amp;WINDOW=FIRST_POPUP&amp;HEIGHT=450&amp;WIDTH=450&amp;START_MA","XIMIZED=FALSE&amp;VAR:CALENDAR=US&amp;VAR:SYMBOL=05614P10&amp;VAR:INDEX=0"}</definedName>
    <definedName name="_2722__FDSAUDITLINK__" hidden="1">{"fdsup://directions/FAT Viewer?action=UPDATE&amp;creator=factset&amp;DYN_ARGS=TRUE&amp;DOC_NAME=FAT:FQL_AUDITING_CLIENT_TEMPLATE.FAT&amp;display_string=Audit&amp;VAR:KEY=VYXMFYVIPE&amp;VAR:QUERY=RkZfRUJJVERBX0lCKCdMVE1TJywzOTMzNSk=&amp;WINDOW=FIRST_POPUP&amp;HEIGHT=450&amp;WIDTH=450&amp;START_MA","XIMIZED=FALSE&amp;VAR:CALENDAR=US&amp;VAR:SYMBOL=05614P10&amp;VAR:INDEX=0"}</definedName>
    <definedName name="_2723__FDSAUDITLINK__" localSheetId="6" hidden="1">{"fdsup://directions/FAT Viewer?action=UPDATE&amp;creator=factset&amp;DYN_ARGS=TRUE&amp;DOC_NAME=FAT:FQL_AUDITING_CLIENT_TEMPLATE.FAT&amp;display_string=Audit&amp;VAR:KEY=FIVMVMVUXS&amp;VAR:QUERY=RkZfRUJJVERBX0lCKCdMVE1TJywzOTMzNCk=&amp;WINDOW=FIRST_POPUP&amp;HEIGHT=450&amp;WIDTH=450&amp;START_MA","XIMIZED=FALSE&amp;VAR:CALENDAR=US&amp;VAR:SYMBOL=05614P10&amp;VAR:INDEX=0"}</definedName>
    <definedName name="_2723__FDSAUDITLINK__" hidden="1">{"fdsup://directions/FAT Viewer?action=UPDATE&amp;creator=factset&amp;DYN_ARGS=TRUE&amp;DOC_NAME=FAT:FQL_AUDITING_CLIENT_TEMPLATE.FAT&amp;display_string=Audit&amp;VAR:KEY=FIVMVMVUXS&amp;VAR:QUERY=RkZfRUJJVERBX0lCKCdMVE1TJywzOTMzNCk=&amp;WINDOW=FIRST_POPUP&amp;HEIGHT=450&amp;WIDTH=450&amp;START_MA","XIMIZED=FALSE&amp;VAR:CALENDAR=US&amp;VAR:SYMBOL=05614P10&amp;VAR:INDEX=0"}</definedName>
    <definedName name="_2724__FDSAUDITLINK__" localSheetId="6" hidden="1">{"fdsup://directions/FAT Viewer?action=UPDATE&amp;creator=factset&amp;DYN_ARGS=TRUE&amp;DOC_NAME=FAT:FQL_AUDITING_CLIENT_TEMPLATE.FAT&amp;display_string=Audit&amp;VAR:KEY=TWZCBSROLM&amp;VAR:QUERY=RkZfRUJJVERBX0lCKCdMVE1TJywzOTMzMyk=&amp;WINDOW=FIRST_POPUP&amp;HEIGHT=450&amp;WIDTH=450&amp;START_MA","XIMIZED=FALSE&amp;VAR:CALENDAR=US&amp;VAR:SYMBOL=05614P10&amp;VAR:INDEX=0"}</definedName>
    <definedName name="_2724__FDSAUDITLINK__" hidden="1">{"fdsup://directions/FAT Viewer?action=UPDATE&amp;creator=factset&amp;DYN_ARGS=TRUE&amp;DOC_NAME=FAT:FQL_AUDITING_CLIENT_TEMPLATE.FAT&amp;display_string=Audit&amp;VAR:KEY=TWZCBSROLM&amp;VAR:QUERY=RkZfRUJJVERBX0lCKCdMVE1TJywzOTMzMyk=&amp;WINDOW=FIRST_POPUP&amp;HEIGHT=450&amp;WIDTH=450&amp;START_MA","XIMIZED=FALSE&amp;VAR:CALENDAR=US&amp;VAR:SYMBOL=05614P10&amp;VAR:INDEX=0"}</definedName>
    <definedName name="_2725__FDSAUDITLINK__" localSheetId="6" hidden="1">{"fdsup://directions/FAT Viewer?action=UPDATE&amp;creator=factset&amp;DYN_ARGS=TRUE&amp;DOC_NAME=FAT:FQL_AUDITING_CLIENT_TEMPLATE.FAT&amp;display_string=Audit&amp;VAR:KEY=XSJALYVGZO&amp;VAR:QUERY=RkZfRUJJVERBX0lCKCdMVE1TJywzOTMzMik=&amp;WINDOW=FIRST_POPUP&amp;HEIGHT=450&amp;WIDTH=450&amp;START_MA","XIMIZED=FALSE&amp;VAR:CALENDAR=US&amp;VAR:SYMBOL=05614P10&amp;VAR:INDEX=0"}</definedName>
    <definedName name="_2725__FDSAUDITLINK__" hidden="1">{"fdsup://directions/FAT Viewer?action=UPDATE&amp;creator=factset&amp;DYN_ARGS=TRUE&amp;DOC_NAME=FAT:FQL_AUDITING_CLIENT_TEMPLATE.FAT&amp;display_string=Audit&amp;VAR:KEY=XSJALYVGZO&amp;VAR:QUERY=RkZfRUJJVERBX0lCKCdMVE1TJywzOTMzMik=&amp;WINDOW=FIRST_POPUP&amp;HEIGHT=450&amp;WIDTH=450&amp;START_MA","XIMIZED=FALSE&amp;VAR:CALENDAR=US&amp;VAR:SYMBOL=05614P10&amp;VAR:INDEX=0"}</definedName>
    <definedName name="_2726__FDSAUDITLINK__" localSheetId="6" hidden="1">{"fdsup://directions/FAT Viewer?action=UPDATE&amp;creator=factset&amp;DYN_ARGS=TRUE&amp;DOC_NAME=FAT:FQL_AUDITING_CLIENT_TEMPLATE.FAT&amp;display_string=Audit&amp;VAR:KEY=BGVCDMVOPM&amp;VAR:QUERY=RkZfRUJJVERBX0lCKCdMVE1TJywzOTMzMSk=&amp;WINDOW=FIRST_POPUP&amp;HEIGHT=450&amp;WIDTH=450&amp;START_MA","XIMIZED=FALSE&amp;VAR:CALENDAR=US&amp;VAR:SYMBOL=05614P10&amp;VAR:INDEX=0"}</definedName>
    <definedName name="_2726__FDSAUDITLINK__" hidden="1">{"fdsup://directions/FAT Viewer?action=UPDATE&amp;creator=factset&amp;DYN_ARGS=TRUE&amp;DOC_NAME=FAT:FQL_AUDITING_CLIENT_TEMPLATE.FAT&amp;display_string=Audit&amp;VAR:KEY=BGVCDMVOPM&amp;VAR:QUERY=RkZfRUJJVERBX0lCKCdMVE1TJywzOTMzMSk=&amp;WINDOW=FIRST_POPUP&amp;HEIGHT=450&amp;WIDTH=450&amp;START_MA","XIMIZED=FALSE&amp;VAR:CALENDAR=US&amp;VAR:SYMBOL=05614P10&amp;VAR:INDEX=0"}</definedName>
    <definedName name="_2727__FDSAUDITLINK__" localSheetId="6" hidden="1">{"fdsup://directions/FAT Viewer?action=UPDATE&amp;creator=factset&amp;DYN_ARGS=TRUE&amp;DOC_NAME=FAT:FQL_AUDITING_CLIENT_TEMPLATE.FAT&amp;display_string=Audit&amp;VAR:KEY=ZKXURCVCPU&amp;VAR:QUERY=RkZfRUJJVERBX0lCKCdMVE1TJywzOTMzMCk=&amp;WINDOW=FIRST_POPUP&amp;HEIGHT=450&amp;WIDTH=450&amp;START_MA","XIMIZED=FALSE&amp;VAR:CALENDAR=US&amp;VAR:SYMBOL=05614P10&amp;VAR:INDEX=0"}</definedName>
    <definedName name="_2727__FDSAUDITLINK__" hidden="1">{"fdsup://directions/FAT Viewer?action=UPDATE&amp;creator=factset&amp;DYN_ARGS=TRUE&amp;DOC_NAME=FAT:FQL_AUDITING_CLIENT_TEMPLATE.FAT&amp;display_string=Audit&amp;VAR:KEY=ZKXURCVCPU&amp;VAR:QUERY=RkZfRUJJVERBX0lCKCdMVE1TJywzOTMzMCk=&amp;WINDOW=FIRST_POPUP&amp;HEIGHT=450&amp;WIDTH=450&amp;START_MA","XIMIZED=FALSE&amp;VAR:CALENDAR=US&amp;VAR:SYMBOL=05614P10&amp;VAR:INDEX=0"}</definedName>
    <definedName name="_2728__FDSAUDITLINK__" localSheetId="6" hidden="1">{"fdsup://directions/FAT Viewer?action=UPDATE&amp;creator=factset&amp;DYN_ARGS=TRUE&amp;DOC_NAME=FAT:FQL_AUDITING_CLIENT_TEMPLATE.FAT&amp;display_string=Audit&amp;VAR:KEY=JMRANWBWJE&amp;VAR:QUERY=RkZfRUJJVERBX0lCKCdMVE1TJywzOTMyOSk=&amp;WINDOW=FIRST_POPUP&amp;HEIGHT=450&amp;WIDTH=450&amp;START_MA","XIMIZED=FALSE&amp;VAR:CALENDAR=US&amp;VAR:SYMBOL=05614P10&amp;VAR:INDEX=0"}</definedName>
    <definedName name="_2728__FDSAUDITLINK__" hidden="1">{"fdsup://directions/FAT Viewer?action=UPDATE&amp;creator=factset&amp;DYN_ARGS=TRUE&amp;DOC_NAME=FAT:FQL_AUDITING_CLIENT_TEMPLATE.FAT&amp;display_string=Audit&amp;VAR:KEY=JMRANWBWJE&amp;VAR:QUERY=RkZfRUJJVERBX0lCKCdMVE1TJywzOTMyOSk=&amp;WINDOW=FIRST_POPUP&amp;HEIGHT=450&amp;WIDTH=450&amp;START_MA","XIMIZED=FALSE&amp;VAR:CALENDAR=US&amp;VAR:SYMBOL=05614P10&amp;VAR:INDEX=0"}</definedName>
    <definedName name="_2729__FDSAUDITLINK__" localSheetId="6" hidden="1">{"fdsup://directions/FAT Viewer?action=UPDATE&amp;creator=factset&amp;DYN_ARGS=TRUE&amp;DOC_NAME=FAT:FQL_AUDITING_CLIENT_TEMPLATE.FAT&amp;display_string=Audit&amp;VAR:KEY=LUHGZGHQBQ&amp;VAR:QUERY=RkZfRUJJVERBX0lCKCdMVE1TJywzOTMyOCk=&amp;WINDOW=FIRST_POPUP&amp;HEIGHT=450&amp;WIDTH=450&amp;START_MA","XIMIZED=FALSE&amp;VAR:CALENDAR=US&amp;VAR:SYMBOL=05614P10&amp;VAR:INDEX=0"}</definedName>
    <definedName name="_2729__FDSAUDITLINK__" hidden="1">{"fdsup://directions/FAT Viewer?action=UPDATE&amp;creator=factset&amp;DYN_ARGS=TRUE&amp;DOC_NAME=FAT:FQL_AUDITING_CLIENT_TEMPLATE.FAT&amp;display_string=Audit&amp;VAR:KEY=LUHGZGHQBQ&amp;VAR:QUERY=RkZfRUJJVERBX0lCKCdMVE1TJywzOTMyOCk=&amp;WINDOW=FIRST_POPUP&amp;HEIGHT=450&amp;WIDTH=450&amp;START_MA","XIMIZED=FALSE&amp;VAR:CALENDAR=US&amp;VAR:SYMBOL=05614P10&amp;VAR:INDEX=0"}</definedName>
    <definedName name="_273__FDSAUDITLINK__" localSheetId="6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3__FDSAUDITLINK__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30__FDSAUDITLINK__" localSheetId="6" hidden="1">{"fdsup://directions/FAT Viewer?action=UPDATE&amp;creator=factset&amp;DYN_ARGS=TRUE&amp;DOC_NAME=FAT:FQL_AUDITING_CLIENT_TEMPLATE.FAT&amp;display_string=Audit&amp;VAR:KEY=FKBGVKFUZE&amp;VAR:QUERY=RkZfRUJJVERBX0lCKCdMVE1TJywzOTMyNyk=&amp;WINDOW=FIRST_POPUP&amp;HEIGHT=450&amp;WIDTH=450&amp;START_MA","XIMIZED=FALSE&amp;VAR:CALENDAR=US&amp;VAR:SYMBOL=05614P10&amp;VAR:INDEX=0"}</definedName>
    <definedName name="_2730__FDSAUDITLINK__" hidden="1">{"fdsup://directions/FAT Viewer?action=UPDATE&amp;creator=factset&amp;DYN_ARGS=TRUE&amp;DOC_NAME=FAT:FQL_AUDITING_CLIENT_TEMPLATE.FAT&amp;display_string=Audit&amp;VAR:KEY=FKBGVKFUZE&amp;VAR:QUERY=RkZfRUJJVERBX0lCKCdMVE1TJywzOTMyNyk=&amp;WINDOW=FIRST_POPUP&amp;HEIGHT=450&amp;WIDTH=450&amp;START_MA","XIMIZED=FALSE&amp;VAR:CALENDAR=US&amp;VAR:SYMBOL=05614P10&amp;VAR:INDEX=0"}</definedName>
    <definedName name="_2731__FDSAUDITLINK__" localSheetId="6" hidden="1">{"fdsup://directions/FAT Viewer?action=UPDATE&amp;creator=factset&amp;DYN_ARGS=TRUE&amp;DOC_NAME=FAT:FQL_AUDITING_CLIENT_TEMPLATE.FAT&amp;display_string=Audit&amp;VAR:KEY=TMROTQTMVK&amp;VAR:QUERY=RkZfRUJJVERBX0lCKCdMVE1TJywzOTMyNik=&amp;WINDOW=FIRST_POPUP&amp;HEIGHT=450&amp;WIDTH=450&amp;START_MA","XIMIZED=FALSE&amp;VAR:CALENDAR=US&amp;VAR:SYMBOL=05614P10&amp;VAR:INDEX=0"}</definedName>
    <definedName name="_2731__FDSAUDITLINK__" hidden="1">{"fdsup://directions/FAT Viewer?action=UPDATE&amp;creator=factset&amp;DYN_ARGS=TRUE&amp;DOC_NAME=FAT:FQL_AUDITING_CLIENT_TEMPLATE.FAT&amp;display_string=Audit&amp;VAR:KEY=TMROTQTMVK&amp;VAR:QUERY=RkZfRUJJVERBX0lCKCdMVE1TJywzOTMyNik=&amp;WINDOW=FIRST_POPUP&amp;HEIGHT=450&amp;WIDTH=450&amp;START_MA","XIMIZED=FALSE&amp;VAR:CALENDAR=US&amp;VAR:SYMBOL=05614P10&amp;VAR:INDEX=0"}</definedName>
    <definedName name="_2732__FDSAUDITLINK__" localSheetId="6" hidden="1">{"fdsup://directions/FAT Viewer?action=UPDATE&amp;creator=factset&amp;DYN_ARGS=TRUE&amp;DOC_NAME=FAT:FQL_AUDITING_CLIENT_TEMPLATE.FAT&amp;display_string=Audit&amp;VAR:KEY=JEDINQPWBU&amp;VAR:QUERY=RkZfRUJJVERBX0lCKCdMVE1TJywzOTMyNSk=&amp;WINDOW=FIRST_POPUP&amp;HEIGHT=450&amp;WIDTH=450&amp;START_MA","XIMIZED=FALSE&amp;VAR:CALENDAR=US&amp;VAR:SYMBOL=05614P10&amp;VAR:INDEX=0"}</definedName>
    <definedName name="_2732__FDSAUDITLINK__" hidden="1">{"fdsup://directions/FAT Viewer?action=UPDATE&amp;creator=factset&amp;DYN_ARGS=TRUE&amp;DOC_NAME=FAT:FQL_AUDITING_CLIENT_TEMPLATE.FAT&amp;display_string=Audit&amp;VAR:KEY=JEDINQPWBU&amp;VAR:QUERY=RkZfRUJJVERBX0lCKCdMVE1TJywzOTMyNSk=&amp;WINDOW=FIRST_POPUP&amp;HEIGHT=450&amp;WIDTH=450&amp;START_MA","XIMIZED=FALSE&amp;VAR:CALENDAR=US&amp;VAR:SYMBOL=05614P10&amp;VAR:INDEX=0"}</definedName>
    <definedName name="_2733__FDSAUDITLINK__" localSheetId="6" hidden="1">{"fdsup://directions/FAT Viewer?action=UPDATE&amp;creator=factset&amp;DYN_ARGS=TRUE&amp;DOC_NAME=FAT:FQL_AUDITING_CLIENT_TEMPLATE.FAT&amp;display_string=Audit&amp;VAR:KEY=HOXUPIRWDU&amp;VAR:QUERY=RkZfRUJJVERBX0lCKCdMVE1TJywzOTMyNCk=&amp;WINDOW=FIRST_POPUP&amp;HEIGHT=450&amp;WIDTH=450&amp;START_MA","XIMIZED=FALSE&amp;VAR:CALENDAR=US&amp;VAR:SYMBOL=05614P10&amp;VAR:INDEX=0"}</definedName>
    <definedName name="_2733__FDSAUDITLINK__" hidden="1">{"fdsup://directions/FAT Viewer?action=UPDATE&amp;creator=factset&amp;DYN_ARGS=TRUE&amp;DOC_NAME=FAT:FQL_AUDITING_CLIENT_TEMPLATE.FAT&amp;display_string=Audit&amp;VAR:KEY=HOXUPIRWDU&amp;VAR:QUERY=RkZfRUJJVERBX0lCKCdMVE1TJywzOTMyNCk=&amp;WINDOW=FIRST_POPUP&amp;HEIGHT=450&amp;WIDTH=450&amp;START_MA","XIMIZED=FALSE&amp;VAR:CALENDAR=US&amp;VAR:SYMBOL=05614P10&amp;VAR:INDEX=0"}</definedName>
    <definedName name="_2734__FDSAUDITLINK__" localSheetId="6" hidden="1">{"fdsup://directions/FAT Viewer?action=UPDATE&amp;creator=factset&amp;DYN_ARGS=TRUE&amp;DOC_NAME=FAT:FQL_AUDITING_CLIENT_TEMPLATE.FAT&amp;display_string=Audit&amp;VAR:KEY=XQNQZKZELY&amp;VAR:QUERY=RkZfRUJJVERBX0lCKCdMVE1TJywzOTMyMyk=&amp;WINDOW=FIRST_POPUP&amp;HEIGHT=450&amp;WIDTH=450&amp;START_MA","XIMIZED=FALSE&amp;VAR:CALENDAR=US&amp;VAR:SYMBOL=05614P10&amp;VAR:INDEX=0"}</definedName>
    <definedName name="_2734__FDSAUDITLINK__" hidden="1">{"fdsup://directions/FAT Viewer?action=UPDATE&amp;creator=factset&amp;DYN_ARGS=TRUE&amp;DOC_NAME=FAT:FQL_AUDITING_CLIENT_TEMPLATE.FAT&amp;display_string=Audit&amp;VAR:KEY=XQNQZKZELY&amp;VAR:QUERY=RkZfRUJJVERBX0lCKCdMVE1TJywzOTMyMyk=&amp;WINDOW=FIRST_POPUP&amp;HEIGHT=450&amp;WIDTH=450&amp;START_MA","XIMIZED=FALSE&amp;VAR:CALENDAR=US&amp;VAR:SYMBOL=05614P10&amp;VAR:INDEX=0"}</definedName>
    <definedName name="_2735__FDSAUDITLINK__" localSheetId="6" hidden="1">{"fdsup://directions/FAT Viewer?action=UPDATE&amp;creator=factset&amp;DYN_ARGS=TRUE&amp;DOC_NAME=FAT:FQL_AUDITING_CLIENT_TEMPLATE.FAT&amp;display_string=Audit&amp;VAR:KEY=XUHGXSDIZM&amp;VAR:QUERY=RkZfRUJJVERBX0lCKCdMVE1TJywzOTMyMik=&amp;WINDOW=FIRST_POPUP&amp;HEIGHT=450&amp;WIDTH=450&amp;START_MA","XIMIZED=FALSE&amp;VAR:CALENDAR=US&amp;VAR:SYMBOL=05614P10&amp;VAR:INDEX=0"}</definedName>
    <definedName name="_2735__FDSAUDITLINK__" hidden="1">{"fdsup://directions/FAT Viewer?action=UPDATE&amp;creator=factset&amp;DYN_ARGS=TRUE&amp;DOC_NAME=FAT:FQL_AUDITING_CLIENT_TEMPLATE.FAT&amp;display_string=Audit&amp;VAR:KEY=XUHGXSDIZM&amp;VAR:QUERY=RkZfRUJJVERBX0lCKCdMVE1TJywzOTMyMik=&amp;WINDOW=FIRST_POPUP&amp;HEIGHT=450&amp;WIDTH=450&amp;START_MA","XIMIZED=FALSE&amp;VAR:CALENDAR=US&amp;VAR:SYMBOL=05614P10&amp;VAR:INDEX=0"}</definedName>
    <definedName name="_2736__FDSAUDITLINK__" localSheetId="6" hidden="1">{"fdsup://directions/FAT Viewer?action=UPDATE&amp;creator=factset&amp;DYN_ARGS=TRUE&amp;DOC_NAME=FAT:FQL_AUDITING_CLIENT_TEMPLATE.FAT&amp;display_string=Audit&amp;VAR:KEY=TCZAVOVQFU&amp;VAR:QUERY=RkZfRUJJVERBX0lCKCdMVE1TJywzOTMyMSk=&amp;WINDOW=FIRST_POPUP&amp;HEIGHT=450&amp;WIDTH=450&amp;START_MA","XIMIZED=FALSE&amp;VAR:CALENDAR=US&amp;VAR:SYMBOL=05614P10&amp;VAR:INDEX=0"}</definedName>
    <definedName name="_2736__FDSAUDITLINK__" hidden="1">{"fdsup://directions/FAT Viewer?action=UPDATE&amp;creator=factset&amp;DYN_ARGS=TRUE&amp;DOC_NAME=FAT:FQL_AUDITING_CLIENT_TEMPLATE.FAT&amp;display_string=Audit&amp;VAR:KEY=TCZAVOVQFU&amp;VAR:QUERY=RkZfRUJJVERBX0lCKCdMVE1TJywzOTMyMSk=&amp;WINDOW=FIRST_POPUP&amp;HEIGHT=450&amp;WIDTH=450&amp;START_MA","XIMIZED=FALSE&amp;VAR:CALENDAR=US&amp;VAR:SYMBOL=05614P10&amp;VAR:INDEX=0"}</definedName>
    <definedName name="_2737__FDSAUDITLINK__" localSheetId="6" hidden="1">{"fdsup://directions/FAT Viewer?action=UPDATE&amp;creator=factset&amp;DYN_ARGS=TRUE&amp;DOC_NAME=FAT:FQL_AUDITING_CLIENT_TEMPLATE.FAT&amp;display_string=Audit&amp;VAR:KEY=PKHOPQVGVY&amp;VAR:QUERY=RkZfRUJJVERBX0lCKCdMVE1TJywzOTMyMCk=&amp;WINDOW=FIRST_POPUP&amp;HEIGHT=450&amp;WIDTH=450&amp;START_MA","XIMIZED=FALSE&amp;VAR:CALENDAR=US&amp;VAR:SYMBOL=05614P10&amp;VAR:INDEX=0"}</definedName>
    <definedName name="_2737__FDSAUDITLINK__" hidden="1">{"fdsup://directions/FAT Viewer?action=UPDATE&amp;creator=factset&amp;DYN_ARGS=TRUE&amp;DOC_NAME=FAT:FQL_AUDITING_CLIENT_TEMPLATE.FAT&amp;display_string=Audit&amp;VAR:KEY=PKHOPQVGVY&amp;VAR:QUERY=RkZfRUJJVERBX0lCKCdMVE1TJywzOTMyMCk=&amp;WINDOW=FIRST_POPUP&amp;HEIGHT=450&amp;WIDTH=450&amp;START_MA","XIMIZED=FALSE&amp;VAR:CALENDAR=US&amp;VAR:SYMBOL=05614P10&amp;VAR:INDEX=0"}</definedName>
    <definedName name="_2738__FDSAUDITLINK__" localSheetId="6" hidden="1">{"fdsup://directions/FAT Viewer?action=UPDATE&amp;creator=factset&amp;DYN_ARGS=TRUE&amp;DOC_NAME=FAT:FQL_AUDITING_CLIENT_TEMPLATE.FAT&amp;display_string=Audit&amp;VAR:KEY=TYFYZALWPU&amp;VAR:QUERY=RkZfRUJJVERBX0lCKCdMVE1TJywzOTMxOSk=&amp;WINDOW=FIRST_POPUP&amp;HEIGHT=450&amp;WIDTH=450&amp;START_MA","XIMIZED=FALSE&amp;VAR:CALENDAR=US&amp;VAR:SYMBOL=05614P10&amp;VAR:INDEX=0"}</definedName>
    <definedName name="_2738__FDSAUDITLINK__" hidden="1">{"fdsup://directions/FAT Viewer?action=UPDATE&amp;creator=factset&amp;DYN_ARGS=TRUE&amp;DOC_NAME=FAT:FQL_AUDITING_CLIENT_TEMPLATE.FAT&amp;display_string=Audit&amp;VAR:KEY=TYFYZALWPU&amp;VAR:QUERY=RkZfRUJJVERBX0lCKCdMVE1TJywzOTMxOSk=&amp;WINDOW=FIRST_POPUP&amp;HEIGHT=450&amp;WIDTH=450&amp;START_MA","XIMIZED=FALSE&amp;VAR:CALENDAR=US&amp;VAR:SYMBOL=05614P10&amp;VAR:INDEX=0"}</definedName>
    <definedName name="_2739__FDSAUDITLINK__" localSheetId="6" hidden="1">{"fdsup://directions/FAT Viewer?action=UPDATE&amp;creator=factset&amp;DYN_ARGS=TRUE&amp;DOC_NAME=FAT:FQL_AUDITING_CLIENT_TEMPLATE.FAT&amp;display_string=Audit&amp;VAR:KEY=JIXWVOXUTE&amp;VAR:QUERY=RkZfRUJJVERBX0lCKCdMVE1TJywzOTMxOCk=&amp;WINDOW=FIRST_POPUP&amp;HEIGHT=450&amp;WIDTH=450&amp;START_MA","XIMIZED=FALSE&amp;VAR:CALENDAR=US&amp;VAR:SYMBOL=05614P10&amp;VAR:INDEX=0"}</definedName>
    <definedName name="_2739__FDSAUDITLINK__" hidden="1">{"fdsup://directions/FAT Viewer?action=UPDATE&amp;creator=factset&amp;DYN_ARGS=TRUE&amp;DOC_NAME=FAT:FQL_AUDITING_CLIENT_TEMPLATE.FAT&amp;display_string=Audit&amp;VAR:KEY=JIXWVOXUTE&amp;VAR:QUERY=RkZfRUJJVERBX0lCKCdMVE1TJywzOTMxOCk=&amp;WINDOW=FIRST_POPUP&amp;HEIGHT=450&amp;WIDTH=450&amp;START_MA","XIMIZED=FALSE&amp;VAR:CALENDAR=US&amp;VAR:SYMBOL=05614P10&amp;VAR:INDEX=0"}</definedName>
    <definedName name="_274__FDSAUDITLINK__" localSheetId="6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4__FDSAUDITLINK__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40__FDSAUDITLINK__" localSheetId="6" hidden="1">{"fdsup://directions/FAT Viewer?action=UPDATE&amp;creator=factset&amp;DYN_ARGS=TRUE&amp;DOC_NAME=FAT:FQL_AUDITING_CLIENT_TEMPLATE.FAT&amp;display_string=Audit&amp;VAR:KEY=LQTMXCHWTY&amp;VAR:QUERY=RkZfRUJJVERBX0lCKCdMVE1TJywzOTMxNyk=&amp;WINDOW=FIRST_POPUP&amp;HEIGHT=450&amp;WIDTH=450&amp;START_MA","XIMIZED=FALSE&amp;VAR:CALENDAR=US&amp;VAR:SYMBOL=05614P10&amp;VAR:INDEX=0"}</definedName>
    <definedName name="_2740__FDSAUDITLINK__" hidden="1">{"fdsup://directions/FAT Viewer?action=UPDATE&amp;creator=factset&amp;DYN_ARGS=TRUE&amp;DOC_NAME=FAT:FQL_AUDITING_CLIENT_TEMPLATE.FAT&amp;display_string=Audit&amp;VAR:KEY=LQTMXCHWTY&amp;VAR:QUERY=RkZfRUJJVERBX0lCKCdMVE1TJywzOTMxNyk=&amp;WINDOW=FIRST_POPUP&amp;HEIGHT=450&amp;WIDTH=450&amp;START_MA","XIMIZED=FALSE&amp;VAR:CALENDAR=US&amp;VAR:SYMBOL=05614P10&amp;VAR:INDEX=0"}</definedName>
    <definedName name="_2741__FDSAUDITLINK__" localSheetId="6" hidden="1">{"fdsup://directions/FAT Viewer?action=UPDATE&amp;creator=factset&amp;DYN_ARGS=TRUE&amp;DOC_NAME=FAT:FQL_AUDITING_CLIENT_TEMPLATE.FAT&amp;display_string=Audit&amp;VAR:KEY=RURAZCTYBU&amp;VAR:QUERY=RkZfRUJJVERBX0lCKCdMVE1TJywzOTMxNik=&amp;WINDOW=FIRST_POPUP&amp;HEIGHT=450&amp;WIDTH=450&amp;START_MA","XIMIZED=FALSE&amp;VAR:CALENDAR=US&amp;VAR:SYMBOL=05614P10&amp;VAR:INDEX=0"}</definedName>
    <definedName name="_2741__FDSAUDITLINK__" hidden="1">{"fdsup://directions/FAT Viewer?action=UPDATE&amp;creator=factset&amp;DYN_ARGS=TRUE&amp;DOC_NAME=FAT:FQL_AUDITING_CLIENT_TEMPLATE.FAT&amp;display_string=Audit&amp;VAR:KEY=RURAZCTYBU&amp;VAR:QUERY=RkZfRUJJVERBX0lCKCdMVE1TJywzOTMxNik=&amp;WINDOW=FIRST_POPUP&amp;HEIGHT=450&amp;WIDTH=450&amp;START_MA","XIMIZED=FALSE&amp;VAR:CALENDAR=US&amp;VAR:SYMBOL=05614P10&amp;VAR:INDEX=0"}</definedName>
    <definedName name="_2742__FDSAUDITLINK__" localSheetId="6" hidden="1">{"fdsup://directions/FAT Viewer?action=UPDATE&amp;creator=factset&amp;DYN_ARGS=TRUE&amp;DOC_NAME=FAT:FQL_AUDITING_CLIENT_TEMPLATE.FAT&amp;display_string=Audit&amp;VAR:KEY=TCFGDEDCFE&amp;VAR:QUERY=RkZfRUJJVERBX0lCKCdMVE1TJywzOTMxNSk=&amp;WINDOW=FIRST_POPUP&amp;HEIGHT=450&amp;WIDTH=450&amp;START_MA","XIMIZED=FALSE&amp;VAR:CALENDAR=US&amp;VAR:SYMBOL=05614P10&amp;VAR:INDEX=0"}</definedName>
    <definedName name="_2742__FDSAUDITLINK__" hidden="1">{"fdsup://directions/FAT Viewer?action=UPDATE&amp;creator=factset&amp;DYN_ARGS=TRUE&amp;DOC_NAME=FAT:FQL_AUDITING_CLIENT_TEMPLATE.FAT&amp;display_string=Audit&amp;VAR:KEY=TCFGDEDCFE&amp;VAR:QUERY=RkZfRUJJVERBX0lCKCdMVE1TJywzOTMxNSk=&amp;WINDOW=FIRST_POPUP&amp;HEIGHT=450&amp;WIDTH=450&amp;START_MA","XIMIZED=FALSE&amp;VAR:CALENDAR=US&amp;VAR:SYMBOL=05614P10&amp;VAR:INDEX=0"}</definedName>
    <definedName name="_2743__FDSAUDITLINK__" localSheetId="6" hidden="1">{"fdsup://directions/FAT Viewer?action=UPDATE&amp;creator=factset&amp;DYN_ARGS=TRUE&amp;DOC_NAME=FAT:FQL_AUDITING_CLIENT_TEMPLATE.FAT&amp;display_string=Audit&amp;VAR:KEY=FEDSDYHENK&amp;VAR:QUERY=RkZfRUJJVERBX0lCKCdMVE1TJywzOTMxNCk=&amp;WINDOW=FIRST_POPUP&amp;HEIGHT=450&amp;WIDTH=450&amp;START_MA","XIMIZED=FALSE&amp;VAR:CALENDAR=US&amp;VAR:SYMBOL=05614P10&amp;VAR:INDEX=0"}</definedName>
    <definedName name="_2743__FDSAUDITLINK__" hidden="1">{"fdsup://directions/FAT Viewer?action=UPDATE&amp;creator=factset&amp;DYN_ARGS=TRUE&amp;DOC_NAME=FAT:FQL_AUDITING_CLIENT_TEMPLATE.FAT&amp;display_string=Audit&amp;VAR:KEY=FEDSDYHENK&amp;VAR:QUERY=RkZfRUJJVERBX0lCKCdMVE1TJywzOTMxNCk=&amp;WINDOW=FIRST_POPUP&amp;HEIGHT=450&amp;WIDTH=450&amp;START_MA","XIMIZED=FALSE&amp;VAR:CALENDAR=US&amp;VAR:SYMBOL=05614P10&amp;VAR:INDEX=0"}</definedName>
    <definedName name="_2744__FDSAUDITLINK__" localSheetId="6" hidden="1">{"fdsup://directions/FAT Viewer?action=UPDATE&amp;creator=factset&amp;DYN_ARGS=TRUE&amp;DOC_NAME=FAT:FQL_AUDITING_CLIENT_TEMPLATE.FAT&amp;display_string=Audit&amp;VAR:KEY=RODWJGBERQ&amp;VAR:QUERY=RkZfRUJJVERBX0lCKCdMVE1TJywzOTMxMyk=&amp;WINDOW=FIRST_POPUP&amp;HEIGHT=450&amp;WIDTH=450&amp;START_MA","XIMIZED=FALSE&amp;VAR:CALENDAR=US&amp;VAR:SYMBOL=05614P10&amp;VAR:INDEX=0"}</definedName>
    <definedName name="_2744__FDSAUDITLINK__" hidden="1">{"fdsup://directions/FAT Viewer?action=UPDATE&amp;creator=factset&amp;DYN_ARGS=TRUE&amp;DOC_NAME=FAT:FQL_AUDITING_CLIENT_TEMPLATE.FAT&amp;display_string=Audit&amp;VAR:KEY=RODWJGBERQ&amp;VAR:QUERY=RkZfRUJJVERBX0lCKCdMVE1TJywzOTMxMyk=&amp;WINDOW=FIRST_POPUP&amp;HEIGHT=450&amp;WIDTH=450&amp;START_MA","XIMIZED=FALSE&amp;VAR:CALENDAR=US&amp;VAR:SYMBOL=05614P10&amp;VAR:INDEX=0"}</definedName>
    <definedName name="_2745__FDSAUDITLINK__" localSheetId="6" hidden="1">{"fdsup://directions/FAT Viewer?action=UPDATE&amp;creator=factset&amp;DYN_ARGS=TRUE&amp;DOC_NAME=FAT:FQL_AUDITING_CLIENT_TEMPLATE.FAT&amp;display_string=Audit&amp;VAR:KEY=PEHWJCRWDG&amp;VAR:QUERY=RkZfRUJJVERBX0lCKCdMVE1TJywzOTMxMik=&amp;WINDOW=FIRST_POPUP&amp;HEIGHT=450&amp;WIDTH=450&amp;START_MA","XIMIZED=FALSE&amp;VAR:CALENDAR=US&amp;VAR:SYMBOL=05614P10&amp;VAR:INDEX=0"}</definedName>
    <definedName name="_2745__FDSAUDITLINK__" hidden="1">{"fdsup://directions/FAT Viewer?action=UPDATE&amp;creator=factset&amp;DYN_ARGS=TRUE&amp;DOC_NAME=FAT:FQL_AUDITING_CLIENT_TEMPLATE.FAT&amp;display_string=Audit&amp;VAR:KEY=PEHWJCRWDG&amp;VAR:QUERY=RkZfRUJJVERBX0lCKCdMVE1TJywzOTMxMik=&amp;WINDOW=FIRST_POPUP&amp;HEIGHT=450&amp;WIDTH=450&amp;START_MA","XIMIZED=FALSE&amp;VAR:CALENDAR=US&amp;VAR:SYMBOL=05614P10&amp;VAR:INDEX=0"}</definedName>
    <definedName name="_2746__FDSAUDITLINK__" localSheetId="6" hidden="1">{"fdsup://directions/FAT Viewer?action=UPDATE&amp;creator=factset&amp;DYN_ARGS=TRUE&amp;DOC_NAME=FAT:FQL_AUDITING_CLIENT_TEMPLATE.FAT&amp;display_string=Audit&amp;VAR:KEY=FAJUBWXADG&amp;VAR:QUERY=RkZfRUJJVERBX0lCKCdMVE1TJywzOTMxMSk=&amp;WINDOW=FIRST_POPUP&amp;HEIGHT=450&amp;WIDTH=450&amp;START_MA","XIMIZED=FALSE&amp;VAR:CALENDAR=US&amp;VAR:SYMBOL=05614P10&amp;VAR:INDEX=0"}</definedName>
    <definedName name="_2746__FDSAUDITLINK__" hidden="1">{"fdsup://directions/FAT Viewer?action=UPDATE&amp;creator=factset&amp;DYN_ARGS=TRUE&amp;DOC_NAME=FAT:FQL_AUDITING_CLIENT_TEMPLATE.FAT&amp;display_string=Audit&amp;VAR:KEY=FAJUBWXADG&amp;VAR:QUERY=RkZfRUJJVERBX0lCKCdMVE1TJywzOTMxMSk=&amp;WINDOW=FIRST_POPUP&amp;HEIGHT=450&amp;WIDTH=450&amp;START_MA","XIMIZED=FALSE&amp;VAR:CALENDAR=US&amp;VAR:SYMBOL=05614P10&amp;VAR:INDEX=0"}</definedName>
    <definedName name="_2747__FDSAUDITLINK__" localSheetId="6" hidden="1">{"fdsup://directions/FAT Viewer?action=UPDATE&amp;creator=factset&amp;DYN_ARGS=TRUE&amp;DOC_NAME=FAT:FQL_AUDITING_CLIENT_TEMPLATE.FAT&amp;display_string=Audit&amp;VAR:KEY=DGHEJGXYNA&amp;VAR:QUERY=RkZfRUJJVERBX0lCKCdMVE1TJywzOTMxMCk=&amp;WINDOW=FIRST_POPUP&amp;HEIGHT=450&amp;WIDTH=450&amp;START_MA","XIMIZED=FALSE&amp;VAR:CALENDAR=US&amp;VAR:SYMBOL=05614P10&amp;VAR:INDEX=0"}</definedName>
    <definedName name="_2747__FDSAUDITLINK__" hidden="1">{"fdsup://directions/FAT Viewer?action=UPDATE&amp;creator=factset&amp;DYN_ARGS=TRUE&amp;DOC_NAME=FAT:FQL_AUDITING_CLIENT_TEMPLATE.FAT&amp;display_string=Audit&amp;VAR:KEY=DGHEJGXYNA&amp;VAR:QUERY=RkZfRUJJVERBX0lCKCdMVE1TJywzOTMxMCk=&amp;WINDOW=FIRST_POPUP&amp;HEIGHT=450&amp;WIDTH=450&amp;START_MA","XIMIZED=FALSE&amp;VAR:CALENDAR=US&amp;VAR:SYMBOL=05614P10&amp;VAR:INDEX=0"}</definedName>
    <definedName name="_2748__FDSAUDITLINK__" localSheetId="6" hidden="1">{"fdsup://directions/FAT Viewer?action=UPDATE&amp;creator=factset&amp;DYN_ARGS=TRUE&amp;DOC_NAME=FAT:FQL_AUDITING_CLIENT_TEMPLATE.FAT&amp;display_string=Audit&amp;VAR:KEY=PKRWZWXKVM&amp;VAR:QUERY=RkZfRUJJVERBX0lCKCdMVE1TJywzOTMwOSk=&amp;WINDOW=FIRST_POPUP&amp;HEIGHT=450&amp;WIDTH=450&amp;START_MA","XIMIZED=FALSE&amp;VAR:CALENDAR=US&amp;VAR:SYMBOL=05614P10&amp;VAR:INDEX=0"}</definedName>
    <definedName name="_2748__FDSAUDITLINK__" hidden="1">{"fdsup://directions/FAT Viewer?action=UPDATE&amp;creator=factset&amp;DYN_ARGS=TRUE&amp;DOC_NAME=FAT:FQL_AUDITING_CLIENT_TEMPLATE.FAT&amp;display_string=Audit&amp;VAR:KEY=PKRWZWXKVM&amp;VAR:QUERY=RkZfRUJJVERBX0lCKCdMVE1TJywzOTMwOSk=&amp;WINDOW=FIRST_POPUP&amp;HEIGHT=450&amp;WIDTH=450&amp;START_MA","XIMIZED=FALSE&amp;VAR:CALENDAR=US&amp;VAR:SYMBOL=05614P10&amp;VAR:INDEX=0"}</definedName>
    <definedName name="_2749__FDSAUDITLINK__" localSheetId="6" hidden="1">{"fdsup://directions/FAT Viewer?action=UPDATE&amp;creator=factset&amp;DYN_ARGS=TRUE&amp;DOC_NAME=FAT:FQL_AUDITING_CLIENT_TEMPLATE.FAT&amp;display_string=Audit&amp;VAR:KEY=XIBGNILYRY&amp;VAR:QUERY=RkZfRUJJVERBX0lCKCdMVE1TJywzOTMwOCk=&amp;WINDOW=FIRST_POPUP&amp;HEIGHT=450&amp;WIDTH=450&amp;START_MA","XIMIZED=FALSE&amp;VAR:CALENDAR=US&amp;VAR:SYMBOL=05614P10&amp;VAR:INDEX=0"}</definedName>
    <definedName name="_2749__FDSAUDITLINK__" hidden="1">{"fdsup://directions/FAT Viewer?action=UPDATE&amp;creator=factset&amp;DYN_ARGS=TRUE&amp;DOC_NAME=FAT:FQL_AUDITING_CLIENT_TEMPLATE.FAT&amp;display_string=Audit&amp;VAR:KEY=XIBGNILYRY&amp;VAR:QUERY=RkZfRUJJVERBX0lCKCdMVE1TJywzOTMwOCk=&amp;WINDOW=FIRST_POPUP&amp;HEIGHT=450&amp;WIDTH=450&amp;START_MA","XIMIZED=FALSE&amp;VAR:CALENDAR=US&amp;VAR:SYMBOL=05614P10&amp;VAR:INDEX=0"}</definedName>
    <definedName name="_275__FDSAUDITLINK__" localSheetId="6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5__FDSAUDITLINK__" hidden="1">{"fdsup://directions/FAT%20Viewer?VAR:PED=LTM&amp;VAR:AUDIT_MODE=SUMMARY&amp;VAR:PERIOD=FIXED&amp;VAR:AUDIT_ID=00000117&amp;VAR:DATE=20090522&amp;action=UPDATE&amp;creator=factset&amp;DOC_NAME=FAT:FMA_audit_SUMMARY.fat&amp;DISPLAY_STRING=Display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50__FDSAUDITLINK__" localSheetId="6" hidden="1">{"fdsup://directions/FAT Viewer?action=UPDATE&amp;creator=factset&amp;DYN_ARGS=TRUE&amp;DOC_NAME=FAT:FQL_AUDITING_CLIENT_TEMPLATE.FAT&amp;display_string=Audit&amp;VAR:KEY=JQFATQDWPG&amp;VAR:QUERY=RkZfRUJJVERBX0lCKCdMVE1TJywzOTMwNyk=&amp;WINDOW=FIRST_POPUP&amp;HEIGHT=450&amp;WIDTH=450&amp;START_MA","XIMIZED=FALSE&amp;VAR:CALENDAR=US&amp;VAR:SYMBOL=05614P10&amp;VAR:INDEX=0"}</definedName>
    <definedName name="_2750__FDSAUDITLINK__" hidden="1">{"fdsup://directions/FAT Viewer?action=UPDATE&amp;creator=factset&amp;DYN_ARGS=TRUE&amp;DOC_NAME=FAT:FQL_AUDITING_CLIENT_TEMPLATE.FAT&amp;display_string=Audit&amp;VAR:KEY=JQFATQDWPG&amp;VAR:QUERY=RkZfRUJJVERBX0lCKCdMVE1TJywzOTMwNyk=&amp;WINDOW=FIRST_POPUP&amp;HEIGHT=450&amp;WIDTH=450&amp;START_MA","XIMIZED=FALSE&amp;VAR:CALENDAR=US&amp;VAR:SYMBOL=05614P10&amp;VAR:INDEX=0"}</definedName>
    <definedName name="_2751__FDSAUDITLINK__" localSheetId="6" hidden="1">{"fdsup://directions/FAT Viewer?action=UPDATE&amp;creator=factset&amp;DYN_ARGS=TRUE&amp;DOC_NAME=FAT:FQL_AUDITING_CLIENT_TEMPLATE.FAT&amp;display_string=Audit&amp;VAR:KEY=DQPWZGPQVM&amp;VAR:QUERY=RkZfRUJJVERBX0lCKCdMVE1TJywzOTMwNik=&amp;WINDOW=FIRST_POPUP&amp;HEIGHT=450&amp;WIDTH=450&amp;START_MA","XIMIZED=FALSE&amp;VAR:CALENDAR=US&amp;VAR:SYMBOL=05614P10&amp;VAR:INDEX=0"}</definedName>
    <definedName name="_2751__FDSAUDITLINK__" hidden="1">{"fdsup://directions/FAT Viewer?action=UPDATE&amp;creator=factset&amp;DYN_ARGS=TRUE&amp;DOC_NAME=FAT:FQL_AUDITING_CLIENT_TEMPLATE.FAT&amp;display_string=Audit&amp;VAR:KEY=DQPWZGPQVM&amp;VAR:QUERY=RkZfRUJJVERBX0lCKCdMVE1TJywzOTMwNik=&amp;WINDOW=FIRST_POPUP&amp;HEIGHT=450&amp;WIDTH=450&amp;START_MA","XIMIZED=FALSE&amp;VAR:CALENDAR=US&amp;VAR:SYMBOL=05614P10&amp;VAR:INDEX=0"}</definedName>
    <definedName name="_2752__FDSAUDITLINK__" localSheetId="6" hidden="1">{"fdsup://directions/FAT Viewer?action=UPDATE&amp;creator=factset&amp;DYN_ARGS=TRUE&amp;DOC_NAME=FAT:FQL_AUDITING_CLIENT_TEMPLATE.FAT&amp;display_string=Audit&amp;VAR:KEY=XABMJIJGLQ&amp;VAR:QUERY=RkZfRUJJVERBX0lCKCdMVE1TJywzOTMwNSk=&amp;WINDOW=FIRST_POPUP&amp;HEIGHT=450&amp;WIDTH=450&amp;START_MA","XIMIZED=FALSE&amp;VAR:CALENDAR=US&amp;VAR:SYMBOL=05614P10&amp;VAR:INDEX=0"}</definedName>
    <definedName name="_2752__FDSAUDITLINK__" hidden="1">{"fdsup://directions/FAT Viewer?action=UPDATE&amp;creator=factset&amp;DYN_ARGS=TRUE&amp;DOC_NAME=FAT:FQL_AUDITING_CLIENT_TEMPLATE.FAT&amp;display_string=Audit&amp;VAR:KEY=XABMJIJGLQ&amp;VAR:QUERY=RkZfRUJJVERBX0lCKCdMVE1TJywzOTMwNSk=&amp;WINDOW=FIRST_POPUP&amp;HEIGHT=450&amp;WIDTH=450&amp;START_MA","XIMIZED=FALSE&amp;VAR:CALENDAR=US&amp;VAR:SYMBOL=05614P10&amp;VAR:INDEX=0"}</definedName>
    <definedName name="_2753__FDSAUDITLINK__" localSheetId="6" hidden="1">{"fdsup://directions/FAT Viewer?action=UPDATE&amp;creator=factset&amp;DYN_ARGS=TRUE&amp;DOC_NAME=FAT:FQL_AUDITING_CLIENT_TEMPLATE.FAT&amp;display_string=Audit&amp;VAR:KEY=TUVODULODC&amp;VAR:QUERY=RkZfRUJJVERBX0lCKCdMVE1TJywzOTMwNCk=&amp;WINDOW=FIRST_POPUP&amp;HEIGHT=450&amp;WIDTH=450&amp;START_MA","XIMIZED=FALSE&amp;VAR:CALENDAR=US&amp;VAR:SYMBOL=05614P10&amp;VAR:INDEX=0"}</definedName>
    <definedName name="_2753__FDSAUDITLINK__" hidden="1">{"fdsup://directions/FAT Viewer?action=UPDATE&amp;creator=factset&amp;DYN_ARGS=TRUE&amp;DOC_NAME=FAT:FQL_AUDITING_CLIENT_TEMPLATE.FAT&amp;display_string=Audit&amp;VAR:KEY=TUVODULODC&amp;VAR:QUERY=RkZfRUJJVERBX0lCKCdMVE1TJywzOTMwNCk=&amp;WINDOW=FIRST_POPUP&amp;HEIGHT=450&amp;WIDTH=450&amp;START_MA","XIMIZED=FALSE&amp;VAR:CALENDAR=US&amp;VAR:SYMBOL=05614P10&amp;VAR:INDEX=0"}</definedName>
    <definedName name="_2754__FDSAUDITLINK__" localSheetId="6" hidden="1">{"fdsup://directions/FAT Viewer?action=UPDATE&amp;creator=factset&amp;DYN_ARGS=TRUE&amp;DOC_NAME=FAT:FQL_AUDITING_CLIENT_TEMPLATE.FAT&amp;display_string=Audit&amp;VAR:KEY=FSJAVQHGHW&amp;VAR:QUERY=RkZfRUJJVERBX0lCKCdMVE1TJywzOTMwMyk=&amp;WINDOW=FIRST_POPUP&amp;HEIGHT=450&amp;WIDTH=450&amp;START_MA","XIMIZED=FALSE&amp;VAR:CALENDAR=US&amp;VAR:SYMBOL=05614P10&amp;VAR:INDEX=0"}</definedName>
    <definedName name="_2754__FDSAUDITLINK__" hidden="1">{"fdsup://directions/FAT Viewer?action=UPDATE&amp;creator=factset&amp;DYN_ARGS=TRUE&amp;DOC_NAME=FAT:FQL_AUDITING_CLIENT_TEMPLATE.FAT&amp;display_string=Audit&amp;VAR:KEY=FSJAVQHGHW&amp;VAR:QUERY=RkZfRUJJVERBX0lCKCdMVE1TJywzOTMwMyk=&amp;WINDOW=FIRST_POPUP&amp;HEIGHT=450&amp;WIDTH=450&amp;START_MA","XIMIZED=FALSE&amp;VAR:CALENDAR=US&amp;VAR:SYMBOL=05614P10&amp;VAR:INDEX=0"}</definedName>
    <definedName name="_2755__FDSAUDITLINK__" localSheetId="6" hidden="1">{"fdsup://directions/FAT Viewer?action=UPDATE&amp;creator=factset&amp;DYN_ARGS=TRUE&amp;DOC_NAME=FAT:FQL_AUDITING_CLIENT_TEMPLATE.FAT&amp;display_string=Audit&amp;VAR:KEY=JUHIFUHKTI&amp;VAR:QUERY=RkZfRUJJVERBX0lCKCdMVE1TJywzOTMwMik=&amp;WINDOW=FIRST_POPUP&amp;HEIGHT=450&amp;WIDTH=450&amp;START_MA","XIMIZED=FALSE&amp;VAR:CALENDAR=US&amp;VAR:SYMBOL=05614P10&amp;VAR:INDEX=0"}</definedName>
    <definedName name="_2755__FDSAUDITLINK__" hidden="1">{"fdsup://directions/FAT Viewer?action=UPDATE&amp;creator=factset&amp;DYN_ARGS=TRUE&amp;DOC_NAME=FAT:FQL_AUDITING_CLIENT_TEMPLATE.FAT&amp;display_string=Audit&amp;VAR:KEY=JUHIFUHKTI&amp;VAR:QUERY=RkZfRUJJVERBX0lCKCdMVE1TJywzOTMwMik=&amp;WINDOW=FIRST_POPUP&amp;HEIGHT=450&amp;WIDTH=450&amp;START_MA","XIMIZED=FALSE&amp;VAR:CALENDAR=US&amp;VAR:SYMBOL=05614P10&amp;VAR:INDEX=0"}</definedName>
    <definedName name="_2756__FDSAUDITLINK__" localSheetId="6" hidden="1">{"fdsup://directions/FAT Viewer?action=UPDATE&amp;creator=factset&amp;DYN_ARGS=TRUE&amp;DOC_NAME=FAT:FQL_AUDITING_CLIENT_TEMPLATE.FAT&amp;display_string=Audit&amp;VAR:KEY=NUPYXWRUTC&amp;VAR:QUERY=RkZfRUJJVERBX0lCKCdMVE1TJywzOTMwMSk=&amp;WINDOW=FIRST_POPUP&amp;HEIGHT=450&amp;WIDTH=450&amp;START_MA","XIMIZED=FALSE&amp;VAR:CALENDAR=US&amp;VAR:SYMBOL=05614P10&amp;VAR:INDEX=0"}</definedName>
    <definedName name="_2756__FDSAUDITLINK__" hidden="1">{"fdsup://directions/FAT Viewer?action=UPDATE&amp;creator=factset&amp;DYN_ARGS=TRUE&amp;DOC_NAME=FAT:FQL_AUDITING_CLIENT_TEMPLATE.FAT&amp;display_string=Audit&amp;VAR:KEY=NUPYXWRUTC&amp;VAR:QUERY=RkZfRUJJVERBX0lCKCdMVE1TJywzOTMwMSk=&amp;WINDOW=FIRST_POPUP&amp;HEIGHT=450&amp;WIDTH=450&amp;START_MA","XIMIZED=FALSE&amp;VAR:CALENDAR=US&amp;VAR:SYMBOL=05614P10&amp;VAR:INDEX=0"}</definedName>
    <definedName name="_2757__FDSAUDITLINK__" localSheetId="6" hidden="1">{"fdsup://directions/FAT Viewer?action=UPDATE&amp;creator=factset&amp;DYN_ARGS=TRUE&amp;DOC_NAME=FAT:FQL_AUDITING_CLIENT_TEMPLATE.FAT&amp;display_string=Audit&amp;VAR:KEY=VSJMJYRSXY&amp;VAR:QUERY=RkZfRUJJVERBX0lCKCdMVE1TJywzOTMwMCk=&amp;WINDOW=FIRST_POPUP&amp;HEIGHT=450&amp;WIDTH=450&amp;START_MA","XIMIZED=FALSE&amp;VAR:CALENDAR=US&amp;VAR:SYMBOL=05614P10&amp;VAR:INDEX=0"}</definedName>
    <definedName name="_2757__FDSAUDITLINK__" hidden="1">{"fdsup://directions/FAT Viewer?action=UPDATE&amp;creator=factset&amp;DYN_ARGS=TRUE&amp;DOC_NAME=FAT:FQL_AUDITING_CLIENT_TEMPLATE.FAT&amp;display_string=Audit&amp;VAR:KEY=VSJMJYRSXY&amp;VAR:QUERY=RkZfRUJJVERBX0lCKCdMVE1TJywzOTMwMCk=&amp;WINDOW=FIRST_POPUP&amp;HEIGHT=450&amp;WIDTH=450&amp;START_MA","XIMIZED=FALSE&amp;VAR:CALENDAR=US&amp;VAR:SYMBOL=05614P10&amp;VAR:INDEX=0"}</definedName>
    <definedName name="_2758__FDSAUDITLINK__" localSheetId="6" hidden="1">{"fdsup://directions/FAT Viewer?action=UPDATE&amp;creator=factset&amp;DYN_ARGS=TRUE&amp;DOC_NAME=FAT:FQL_AUDITING_CLIENT_TEMPLATE.FAT&amp;display_string=Audit&amp;VAR:KEY=LYHOJKLYRK&amp;VAR:QUERY=RkZfRUJJVERBX0lCKCdMVE1TJywzOTI5OSk=&amp;WINDOW=FIRST_POPUP&amp;HEIGHT=450&amp;WIDTH=450&amp;START_MA","XIMIZED=FALSE&amp;VAR:CALENDAR=US&amp;VAR:SYMBOL=05614P10&amp;VAR:INDEX=0"}</definedName>
    <definedName name="_2758__FDSAUDITLINK__" hidden="1">{"fdsup://directions/FAT Viewer?action=UPDATE&amp;creator=factset&amp;DYN_ARGS=TRUE&amp;DOC_NAME=FAT:FQL_AUDITING_CLIENT_TEMPLATE.FAT&amp;display_string=Audit&amp;VAR:KEY=LYHOJKLYRK&amp;VAR:QUERY=RkZfRUJJVERBX0lCKCdMVE1TJywzOTI5OSk=&amp;WINDOW=FIRST_POPUP&amp;HEIGHT=450&amp;WIDTH=450&amp;START_MA","XIMIZED=FALSE&amp;VAR:CALENDAR=US&amp;VAR:SYMBOL=05614P10&amp;VAR:INDEX=0"}</definedName>
    <definedName name="_2759__FDSAUDITLINK__" localSheetId="6" hidden="1">{"fdsup://directions/FAT Viewer?action=UPDATE&amp;creator=factset&amp;DYN_ARGS=TRUE&amp;DOC_NAME=FAT:FQL_AUDITING_CLIENT_TEMPLATE.FAT&amp;display_string=Audit&amp;VAR:KEY=JQRQPEPEZS&amp;VAR:QUERY=RkZfRUJJVERBX0lCKCdMVE1TJywzOTI5OCk=&amp;WINDOW=FIRST_POPUP&amp;HEIGHT=450&amp;WIDTH=450&amp;START_MA","XIMIZED=FALSE&amp;VAR:CALENDAR=US&amp;VAR:SYMBOL=05614P10&amp;VAR:INDEX=0"}</definedName>
    <definedName name="_2759__FDSAUDITLINK__" hidden="1">{"fdsup://directions/FAT Viewer?action=UPDATE&amp;creator=factset&amp;DYN_ARGS=TRUE&amp;DOC_NAME=FAT:FQL_AUDITING_CLIENT_TEMPLATE.FAT&amp;display_string=Audit&amp;VAR:KEY=JQRQPEPEZS&amp;VAR:QUERY=RkZfRUJJVERBX0lCKCdMVE1TJywzOTI5OCk=&amp;WINDOW=FIRST_POPUP&amp;HEIGHT=450&amp;WIDTH=450&amp;START_MA","XIMIZED=FALSE&amp;VAR:CALENDAR=US&amp;VAR:SYMBOL=05614P10&amp;VAR:INDEX=0"}</definedName>
    <definedName name="_276__FDSAUDITLINK__" localSheetId="6" hidden="1">{"fdsup://directions/FAT%20Viewer?VAR:PED=LTM&amp;VAR:AUDIT_MODE=SUMMARY&amp;VAR:PERIOD=FIXED&amp;VAR:AUDIT_ID=00000117&amp;VAR:DATE=20090521&amp;action=UPDATE&amp;creator=factset&amp;DOC_NAME=FAT:FMA_audit_SUMMARY.fat&amp;DISPLAY_STRING=Display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6__FDSAUDITLINK__" hidden="1">{"fdsup://directions/FAT%20Viewer?VAR:PED=LTM&amp;VAR:AUDIT_MODE=SUMMARY&amp;VAR:PERIOD=FIXED&amp;VAR:AUDIT_ID=00000117&amp;VAR:DATE=20090521&amp;action=UPDATE&amp;creator=factset&amp;DOC_NAME=FAT:FMA_audit_SUMMARY.fat&amp;DISPLAY_STRING=Display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60__FDSAUDITLINK__" localSheetId="6" hidden="1">{"fdsup://directions/FAT Viewer?action=UPDATE&amp;creator=factset&amp;DYN_ARGS=TRUE&amp;DOC_NAME=FAT:FQL_AUDITING_CLIENT_TEMPLATE.FAT&amp;display_string=Audit&amp;VAR:KEY=DADALGXCXO&amp;VAR:QUERY=RkZfRUJJVERBX0lCKCdMVE1TJywzOTI5Nyk=&amp;WINDOW=FIRST_POPUP&amp;HEIGHT=450&amp;WIDTH=450&amp;START_MA","XIMIZED=FALSE&amp;VAR:CALENDAR=US&amp;VAR:SYMBOL=05614P10&amp;VAR:INDEX=0"}</definedName>
    <definedName name="_2760__FDSAUDITLINK__" hidden="1">{"fdsup://directions/FAT Viewer?action=UPDATE&amp;creator=factset&amp;DYN_ARGS=TRUE&amp;DOC_NAME=FAT:FQL_AUDITING_CLIENT_TEMPLATE.FAT&amp;display_string=Audit&amp;VAR:KEY=DADALGXCXO&amp;VAR:QUERY=RkZfRUJJVERBX0lCKCdMVE1TJywzOTI5Nyk=&amp;WINDOW=FIRST_POPUP&amp;HEIGHT=450&amp;WIDTH=450&amp;START_MA","XIMIZED=FALSE&amp;VAR:CALENDAR=US&amp;VAR:SYMBOL=05614P10&amp;VAR:INDEX=0"}</definedName>
    <definedName name="_2761__FDSAUDITLINK__" localSheetId="6" hidden="1">{"fdsup://directions/FAT Viewer?action=UPDATE&amp;creator=factset&amp;DYN_ARGS=TRUE&amp;DOC_NAME=FAT:FQL_AUDITING_CLIENT_TEMPLATE.FAT&amp;display_string=Audit&amp;VAR:KEY=NKDGXSJIJK&amp;VAR:QUERY=RkZfRUJJVERBX0lCKCdMVE1TJywzOTI5Nik=&amp;WINDOW=FIRST_POPUP&amp;HEIGHT=450&amp;WIDTH=450&amp;START_MA","XIMIZED=FALSE&amp;VAR:CALENDAR=US&amp;VAR:SYMBOL=05614P10&amp;VAR:INDEX=0"}</definedName>
    <definedName name="_2761__FDSAUDITLINK__" hidden="1">{"fdsup://directions/FAT Viewer?action=UPDATE&amp;creator=factset&amp;DYN_ARGS=TRUE&amp;DOC_NAME=FAT:FQL_AUDITING_CLIENT_TEMPLATE.FAT&amp;display_string=Audit&amp;VAR:KEY=NKDGXSJIJK&amp;VAR:QUERY=RkZfRUJJVERBX0lCKCdMVE1TJywzOTI5Nik=&amp;WINDOW=FIRST_POPUP&amp;HEIGHT=450&amp;WIDTH=450&amp;START_MA","XIMIZED=FALSE&amp;VAR:CALENDAR=US&amp;VAR:SYMBOL=05614P10&amp;VAR:INDEX=0"}</definedName>
    <definedName name="_2762__FDSAUDITLINK__" localSheetId="6" hidden="1">{"fdsup://directions/FAT Viewer?action=UPDATE&amp;creator=factset&amp;DYN_ARGS=TRUE&amp;DOC_NAME=FAT:FQL_AUDITING_CLIENT_TEMPLATE.FAT&amp;display_string=Audit&amp;VAR:KEY=DIJMXGFGXS&amp;VAR:QUERY=RkZfRUJJVERBX0lCKCdMVE1TJywzOTI5NSk=&amp;WINDOW=FIRST_POPUP&amp;HEIGHT=450&amp;WIDTH=450&amp;START_MA","XIMIZED=FALSE&amp;VAR:CALENDAR=US&amp;VAR:SYMBOL=05614P10&amp;VAR:INDEX=0"}</definedName>
    <definedName name="_2762__FDSAUDITLINK__" hidden="1">{"fdsup://directions/FAT Viewer?action=UPDATE&amp;creator=factset&amp;DYN_ARGS=TRUE&amp;DOC_NAME=FAT:FQL_AUDITING_CLIENT_TEMPLATE.FAT&amp;display_string=Audit&amp;VAR:KEY=DIJMXGFGXS&amp;VAR:QUERY=RkZfRUJJVERBX0lCKCdMVE1TJywzOTI5NSk=&amp;WINDOW=FIRST_POPUP&amp;HEIGHT=450&amp;WIDTH=450&amp;START_MA","XIMIZED=FALSE&amp;VAR:CALENDAR=US&amp;VAR:SYMBOL=05614P10&amp;VAR:INDEX=0"}</definedName>
    <definedName name="_2763__FDSAUDITLINK__" localSheetId="6" hidden="1">{"fdsup://directions/FAT Viewer?action=UPDATE&amp;creator=factset&amp;DYN_ARGS=TRUE&amp;DOC_NAME=FAT:FQL_AUDITING_CLIENT_TEMPLATE.FAT&amp;display_string=Audit&amp;VAR:KEY=TQPIPAFOHE&amp;VAR:QUERY=RkZfRUJJVERBX0lCKCdMVE1TJywzOTI5NCk=&amp;WINDOW=FIRST_POPUP&amp;HEIGHT=450&amp;WIDTH=450&amp;START_MA","XIMIZED=FALSE&amp;VAR:CALENDAR=US&amp;VAR:SYMBOL=05614P10&amp;VAR:INDEX=0"}</definedName>
    <definedName name="_2763__FDSAUDITLINK__" hidden="1">{"fdsup://directions/FAT Viewer?action=UPDATE&amp;creator=factset&amp;DYN_ARGS=TRUE&amp;DOC_NAME=FAT:FQL_AUDITING_CLIENT_TEMPLATE.FAT&amp;display_string=Audit&amp;VAR:KEY=TQPIPAFOHE&amp;VAR:QUERY=RkZfRUJJVERBX0lCKCdMVE1TJywzOTI5NCk=&amp;WINDOW=FIRST_POPUP&amp;HEIGHT=450&amp;WIDTH=450&amp;START_MA","XIMIZED=FALSE&amp;VAR:CALENDAR=US&amp;VAR:SYMBOL=05614P10&amp;VAR:INDEX=0"}</definedName>
    <definedName name="_2764__FDSAUDITLINK__" localSheetId="6" hidden="1">{"fdsup://directions/FAT Viewer?action=UPDATE&amp;creator=factset&amp;DYN_ARGS=TRUE&amp;DOC_NAME=FAT:FQL_AUDITING_CLIENT_TEMPLATE.FAT&amp;display_string=Audit&amp;VAR:KEY=HSPKNKHOPS&amp;VAR:QUERY=RkZfRUJJVERBX0lCKCdMVE1TJywzOTI5Myk=&amp;WINDOW=FIRST_POPUP&amp;HEIGHT=450&amp;WIDTH=450&amp;START_MA","XIMIZED=FALSE&amp;VAR:CALENDAR=US&amp;VAR:SYMBOL=05614P10&amp;VAR:INDEX=0"}</definedName>
    <definedName name="_2764__FDSAUDITLINK__" hidden="1">{"fdsup://directions/FAT Viewer?action=UPDATE&amp;creator=factset&amp;DYN_ARGS=TRUE&amp;DOC_NAME=FAT:FQL_AUDITING_CLIENT_TEMPLATE.FAT&amp;display_string=Audit&amp;VAR:KEY=HSPKNKHOPS&amp;VAR:QUERY=RkZfRUJJVERBX0lCKCdMVE1TJywzOTI5Myk=&amp;WINDOW=FIRST_POPUP&amp;HEIGHT=450&amp;WIDTH=450&amp;START_MA","XIMIZED=FALSE&amp;VAR:CALENDAR=US&amp;VAR:SYMBOL=05614P10&amp;VAR:INDEX=0"}</definedName>
    <definedName name="_2765__FDSAUDITLINK__" localSheetId="6" hidden="1">{"fdsup://directions/FAT Viewer?action=UPDATE&amp;creator=factset&amp;DYN_ARGS=TRUE&amp;DOC_NAME=FAT:FQL_AUDITING_CLIENT_TEMPLATE.FAT&amp;display_string=Audit&amp;VAR:KEY=BURONGZUVY&amp;VAR:QUERY=RkZfRUJJVERBX0lCKCdMVE1TJywzOTI5Mik=&amp;WINDOW=FIRST_POPUP&amp;HEIGHT=450&amp;WIDTH=450&amp;START_MA","XIMIZED=FALSE&amp;VAR:CALENDAR=US&amp;VAR:SYMBOL=05614P10&amp;VAR:INDEX=0"}</definedName>
    <definedName name="_2765__FDSAUDITLINK__" hidden="1">{"fdsup://directions/FAT Viewer?action=UPDATE&amp;creator=factset&amp;DYN_ARGS=TRUE&amp;DOC_NAME=FAT:FQL_AUDITING_CLIENT_TEMPLATE.FAT&amp;display_string=Audit&amp;VAR:KEY=BURONGZUVY&amp;VAR:QUERY=RkZfRUJJVERBX0lCKCdMVE1TJywzOTI5Mik=&amp;WINDOW=FIRST_POPUP&amp;HEIGHT=450&amp;WIDTH=450&amp;START_MA","XIMIZED=FALSE&amp;VAR:CALENDAR=US&amp;VAR:SYMBOL=05614P10&amp;VAR:INDEX=0"}</definedName>
    <definedName name="_2766__FDSAUDITLINK__" localSheetId="6" hidden="1">{"fdsup://directions/FAT Viewer?action=UPDATE&amp;creator=factset&amp;DYN_ARGS=TRUE&amp;DOC_NAME=FAT:FQL_AUDITING_CLIENT_TEMPLATE.FAT&amp;display_string=Audit&amp;VAR:KEY=ZSHUVUTGRG&amp;VAR:QUERY=RkZfRUJJVERBX0lCKCdMVE1TJywzOTI5MSk=&amp;WINDOW=FIRST_POPUP&amp;HEIGHT=450&amp;WIDTH=450&amp;START_MA","XIMIZED=FALSE&amp;VAR:CALENDAR=US&amp;VAR:SYMBOL=05614P10&amp;VAR:INDEX=0"}</definedName>
    <definedName name="_2766__FDSAUDITLINK__" hidden="1">{"fdsup://directions/FAT Viewer?action=UPDATE&amp;creator=factset&amp;DYN_ARGS=TRUE&amp;DOC_NAME=FAT:FQL_AUDITING_CLIENT_TEMPLATE.FAT&amp;display_string=Audit&amp;VAR:KEY=ZSHUVUTGRG&amp;VAR:QUERY=RkZfRUJJVERBX0lCKCdMVE1TJywzOTI5MSk=&amp;WINDOW=FIRST_POPUP&amp;HEIGHT=450&amp;WIDTH=450&amp;START_MA","XIMIZED=FALSE&amp;VAR:CALENDAR=US&amp;VAR:SYMBOL=05614P10&amp;VAR:INDEX=0"}</definedName>
    <definedName name="_2767__FDSAUDITLINK__" localSheetId="6" hidden="1">{"fdsup://directions/FAT Viewer?action=UPDATE&amp;creator=factset&amp;DYN_ARGS=TRUE&amp;DOC_NAME=FAT:FQL_AUDITING_CLIENT_TEMPLATE.FAT&amp;display_string=Audit&amp;VAR:KEY=ZQPSXANUZG&amp;VAR:QUERY=RkZfRUJJVERBX0lCKCdMVE1TJywzOTI5MCk=&amp;WINDOW=FIRST_POPUP&amp;HEIGHT=450&amp;WIDTH=450&amp;START_MA","XIMIZED=FALSE&amp;VAR:CALENDAR=US&amp;VAR:SYMBOL=05614P10&amp;VAR:INDEX=0"}</definedName>
    <definedName name="_2767__FDSAUDITLINK__" hidden="1">{"fdsup://directions/FAT Viewer?action=UPDATE&amp;creator=factset&amp;DYN_ARGS=TRUE&amp;DOC_NAME=FAT:FQL_AUDITING_CLIENT_TEMPLATE.FAT&amp;display_string=Audit&amp;VAR:KEY=ZQPSXANUZG&amp;VAR:QUERY=RkZfRUJJVERBX0lCKCdMVE1TJywzOTI5MCk=&amp;WINDOW=FIRST_POPUP&amp;HEIGHT=450&amp;WIDTH=450&amp;START_MA","XIMIZED=FALSE&amp;VAR:CALENDAR=US&amp;VAR:SYMBOL=05614P10&amp;VAR:INDEX=0"}</definedName>
    <definedName name="_2768__FDSAUDITLINK__" localSheetId="6" hidden="1">{"fdsup://directions/FAT Viewer?action=UPDATE&amp;creator=factset&amp;DYN_ARGS=TRUE&amp;DOC_NAME=FAT:FQL_AUDITING_CLIENT_TEMPLATE.FAT&amp;display_string=Audit&amp;VAR:KEY=VGZKFWDEXW&amp;VAR:QUERY=RkZfRUJJVERBX0lCKCdMVE1TJywzOTI4OSk=&amp;WINDOW=FIRST_POPUP&amp;HEIGHT=450&amp;WIDTH=450&amp;START_MA","XIMIZED=FALSE&amp;VAR:CALENDAR=US&amp;VAR:SYMBOL=05614P10&amp;VAR:INDEX=0"}</definedName>
    <definedName name="_2768__FDSAUDITLINK__" hidden="1">{"fdsup://directions/FAT Viewer?action=UPDATE&amp;creator=factset&amp;DYN_ARGS=TRUE&amp;DOC_NAME=FAT:FQL_AUDITING_CLIENT_TEMPLATE.FAT&amp;display_string=Audit&amp;VAR:KEY=VGZKFWDEXW&amp;VAR:QUERY=RkZfRUJJVERBX0lCKCdMVE1TJywzOTI4OSk=&amp;WINDOW=FIRST_POPUP&amp;HEIGHT=450&amp;WIDTH=450&amp;START_MA","XIMIZED=FALSE&amp;VAR:CALENDAR=US&amp;VAR:SYMBOL=05614P10&amp;VAR:INDEX=0"}</definedName>
    <definedName name="_2769__FDSAUDITLINK__" localSheetId="6" hidden="1">{"fdsup://directions/FAT Viewer?action=UPDATE&amp;creator=factset&amp;DYN_ARGS=TRUE&amp;DOC_NAME=FAT:FQL_AUDITING_CLIENT_TEMPLATE.FAT&amp;display_string=Audit&amp;VAR:KEY=LMXOZCNGJK&amp;VAR:QUERY=RkZfRUJJVERBX0lCKCdMVE1TJywzOTI4OCk=&amp;WINDOW=FIRST_POPUP&amp;HEIGHT=450&amp;WIDTH=450&amp;START_MA","XIMIZED=FALSE&amp;VAR:CALENDAR=US&amp;VAR:SYMBOL=05614P10&amp;VAR:INDEX=0"}</definedName>
    <definedName name="_2769__FDSAUDITLINK__" hidden="1">{"fdsup://directions/FAT Viewer?action=UPDATE&amp;creator=factset&amp;DYN_ARGS=TRUE&amp;DOC_NAME=FAT:FQL_AUDITING_CLIENT_TEMPLATE.FAT&amp;display_string=Audit&amp;VAR:KEY=LMXOZCNGJK&amp;VAR:QUERY=RkZfRUJJVERBX0lCKCdMVE1TJywzOTI4OCk=&amp;WINDOW=FIRST_POPUP&amp;HEIGHT=450&amp;WIDTH=450&amp;START_MA","XIMIZED=FALSE&amp;VAR:CALENDAR=US&amp;VAR:SYMBOL=05614P10&amp;VAR:INDEX=0"}</definedName>
    <definedName name="_277__FDSAUDITLINK__" localSheetId="6" hidden="1">{"fdsup://directions/FAT%20Viewer?VAR:PED=LTM&amp;VAR:AUDIT_MODE=SUMMARY&amp;VAR:PERIOD=FIXED&amp;VAR:AUDIT_ID=00000117&amp;VAR:DATE=20090520&amp;action=UPDATE&amp;creator=factset&amp;DOC_NAME=FAT:FMA_audit_SUMMARY.fat&amp;DISPLAY_STRING=Display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7__FDSAUDITLINK__" hidden="1">{"fdsup://directions/FAT%20Viewer?VAR:PED=LTM&amp;VAR:AUDIT_MODE=SUMMARY&amp;VAR:PERIOD=FIXED&amp;VAR:AUDIT_ID=00000117&amp;VAR:DATE=20090520&amp;action=UPDATE&amp;creator=factset&amp;DOC_NAME=FAT:FMA_audit_SUMMARY.fat&amp;DISPLAY_STRING=Display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70__FDSAUDITLINK__" localSheetId="6" hidden="1">{"fdsup://directions/FAT Viewer?action=UPDATE&amp;creator=factset&amp;DYN_ARGS=TRUE&amp;DOC_NAME=FAT:FQL_AUDITING_CLIENT_TEMPLATE.FAT&amp;display_string=Audit&amp;VAR:KEY=XIZCFQNEFM&amp;VAR:QUERY=RkZfRUJJVERBX0lCKCdMVE1TJywzOTI4Nyk=&amp;WINDOW=FIRST_POPUP&amp;HEIGHT=450&amp;WIDTH=450&amp;START_MA","XIMIZED=FALSE&amp;VAR:CALENDAR=US&amp;VAR:SYMBOL=05614P10&amp;VAR:INDEX=0"}</definedName>
    <definedName name="_2770__FDSAUDITLINK__" hidden="1">{"fdsup://directions/FAT Viewer?action=UPDATE&amp;creator=factset&amp;DYN_ARGS=TRUE&amp;DOC_NAME=FAT:FQL_AUDITING_CLIENT_TEMPLATE.FAT&amp;display_string=Audit&amp;VAR:KEY=XIZCFQNEFM&amp;VAR:QUERY=RkZfRUJJVERBX0lCKCdMVE1TJywzOTI4Nyk=&amp;WINDOW=FIRST_POPUP&amp;HEIGHT=450&amp;WIDTH=450&amp;START_MA","XIMIZED=FALSE&amp;VAR:CALENDAR=US&amp;VAR:SYMBOL=05614P10&amp;VAR:INDEX=0"}</definedName>
    <definedName name="_2771__FDSAUDITLINK__" localSheetId="6" hidden="1">{"fdsup://directions/FAT Viewer?action=UPDATE&amp;creator=factset&amp;DYN_ARGS=TRUE&amp;DOC_NAME=FAT:FQL_AUDITING_CLIENT_TEMPLATE.FAT&amp;display_string=Audit&amp;VAR:KEY=ZODYZQPSNC&amp;VAR:QUERY=RkZfRUJJVERBX0lCKCdMVE1TJywzOTI4Nik=&amp;WINDOW=FIRST_POPUP&amp;HEIGHT=450&amp;WIDTH=450&amp;START_MA","XIMIZED=FALSE&amp;VAR:CALENDAR=US&amp;VAR:SYMBOL=05614P10&amp;VAR:INDEX=0"}</definedName>
    <definedName name="_2771__FDSAUDITLINK__" hidden="1">{"fdsup://directions/FAT Viewer?action=UPDATE&amp;creator=factset&amp;DYN_ARGS=TRUE&amp;DOC_NAME=FAT:FQL_AUDITING_CLIENT_TEMPLATE.FAT&amp;display_string=Audit&amp;VAR:KEY=ZODYZQPSNC&amp;VAR:QUERY=RkZfRUJJVERBX0lCKCdMVE1TJywzOTI4Nik=&amp;WINDOW=FIRST_POPUP&amp;HEIGHT=450&amp;WIDTH=450&amp;START_MA","XIMIZED=FALSE&amp;VAR:CALENDAR=US&amp;VAR:SYMBOL=05614P10&amp;VAR:INDEX=0"}</definedName>
    <definedName name="_2772__FDSAUDITLINK__" localSheetId="6" hidden="1">{"fdsup://directions/FAT Viewer?action=UPDATE&amp;creator=factset&amp;DYN_ARGS=TRUE&amp;DOC_NAME=FAT:FQL_AUDITING_CLIENT_TEMPLATE.FAT&amp;display_string=Audit&amp;VAR:KEY=TAJUXYDQJO&amp;VAR:QUERY=RkZfRUJJVERBX0lCKCdMVE1TJywzOTI4NSk=&amp;WINDOW=FIRST_POPUP&amp;HEIGHT=450&amp;WIDTH=450&amp;START_MA","XIMIZED=FALSE&amp;VAR:CALENDAR=US&amp;VAR:SYMBOL=05614P10&amp;VAR:INDEX=0"}</definedName>
    <definedName name="_2772__FDSAUDITLINK__" hidden="1">{"fdsup://directions/FAT Viewer?action=UPDATE&amp;creator=factset&amp;DYN_ARGS=TRUE&amp;DOC_NAME=FAT:FQL_AUDITING_CLIENT_TEMPLATE.FAT&amp;display_string=Audit&amp;VAR:KEY=TAJUXYDQJO&amp;VAR:QUERY=RkZfRUJJVERBX0lCKCdMVE1TJywzOTI4NSk=&amp;WINDOW=FIRST_POPUP&amp;HEIGHT=450&amp;WIDTH=450&amp;START_MA","XIMIZED=FALSE&amp;VAR:CALENDAR=US&amp;VAR:SYMBOL=05614P10&amp;VAR:INDEX=0"}</definedName>
    <definedName name="_2773__FDSAUDITLINK__" localSheetId="6" hidden="1">{"fdsup://directions/FAT Viewer?action=UPDATE&amp;creator=factset&amp;DYN_ARGS=TRUE&amp;DOC_NAME=FAT:FQL_AUDITING_CLIENT_TEMPLATE.FAT&amp;display_string=Audit&amp;VAR:KEY=BMNMZEFWJG&amp;VAR:QUERY=RkZfRUJJVERBX0lCKCdMVE1TJywzOTI4NCk=&amp;WINDOW=FIRST_POPUP&amp;HEIGHT=450&amp;WIDTH=450&amp;START_MA","XIMIZED=FALSE&amp;VAR:CALENDAR=US&amp;VAR:SYMBOL=05614P10&amp;VAR:INDEX=0"}</definedName>
    <definedName name="_2773__FDSAUDITLINK__" hidden="1">{"fdsup://directions/FAT Viewer?action=UPDATE&amp;creator=factset&amp;DYN_ARGS=TRUE&amp;DOC_NAME=FAT:FQL_AUDITING_CLIENT_TEMPLATE.FAT&amp;display_string=Audit&amp;VAR:KEY=BMNMZEFWJG&amp;VAR:QUERY=RkZfRUJJVERBX0lCKCdMVE1TJywzOTI4NCk=&amp;WINDOW=FIRST_POPUP&amp;HEIGHT=450&amp;WIDTH=450&amp;START_MA","XIMIZED=FALSE&amp;VAR:CALENDAR=US&amp;VAR:SYMBOL=05614P10&amp;VAR:INDEX=0"}</definedName>
    <definedName name="_2774__FDSAUDITLINK__" localSheetId="6" hidden="1">{"fdsup://directions/FAT Viewer?action=UPDATE&amp;creator=factset&amp;DYN_ARGS=TRUE&amp;DOC_NAME=FAT:FQL_AUDITING_CLIENT_TEMPLATE.FAT&amp;display_string=Audit&amp;VAR:KEY=JYDYDYVETE&amp;VAR:QUERY=RkZfRUJJVERBX0lCKCdMVE1TJywzOTI4Myk=&amp;WINDOW=FIRST_POPUP&amp;HEIGHT=450&amp;WIDTH=450&amp;START_MA","XIMIZED=FALSE&amp;VAR:CALENDAR=US&amp;VAR:SYMBOL=05614P10&amp;VAR:INDEX=0"}</definedName>
    <definedName name="_2774__FDSAUDITLINK__" hidden="1">{"fdsup://directions/FAT Viewer?action=UPDATE&amp;creator=factset&amp;DYN_ARGS=TRUE&amp;DOC_NAME=FAT:FQL_AUDITING_CLIENT_TEMPLATE.FAT&amp;display_string=Audit&amp;VAR:KEY=JYDYDYVETE&amp;VAR:QUERY=RkZfRUJJVERBX0lCKCdMVE1TJywzOTI4Myk=&amp;WINDOW=FIRST_POPUP&amp;HEIGHT=450&amp;WIDTH=450&amp;START_MA","XIMIZED=FALSE&amp;VAR:CALENDAR=US&amp;VAR:SYMBOL=05614P10&amp;VAR:INDEX=0"}</definedName>
    <definedName name="_2775__FDSAUDITLINK__" localSheetId="6" hidden="1">{"fdsup://directions/FAT Viewer?action=UPDATE&amp;creator=factset&amp;DYN_ARGS=TRUE&amp;DOC_NAME=FAT:FQL_AUDITING_CLIENT_TEMPLATE.FAT&amp;display_string=Audit&amp;VAR:KEY=RAJUXQPYZC&amp;VAR:QUERY=RkZfRUJJVERBX0lCKCdMVE1TJywzOTI4Mik=&amp;WINDOW=FIRST_POPUP&amp;HEIGHT=450&amp;WIDTH=450&amp;START_MA","XIMIZED=FALSE&amp;VAR:CALENDAR=US&amp;VAR:SYMBOL=05614P10&amp;VAR:INDEX=0"}</definedName>
    <definedName name="_2775__FDSAUDITLINK__" hidden="1">{"fdsup://directions/FAT Viewer?action=UPDATE&amp;creator=factset&amp;DYN_ARGS=TRUE&amp;DOC_NAME=FAT:FQL_AUDITING_CLIENT_TEMPLATE.FAT&amp;display_string=Audit&amp;VAR:KEY=RAJUXQPYZC&amp;VAR:QUERY=RkZfRUJJVERBX0lCKCdMVE1TJywzOTI4Mik=&amp;WINDOW=FIRST_POPUP&amp;HEIGHT=450&amp;WIDTH=450&amp;START_MA","XIMIZED=FALSE&amp;VAR:CALENDAR=US&amp;VAR:SYMBOL=05614P10&amp;VAR:INDEX=0"}</definedName>
    <definedName name="_2776__FDSAUDITLINK__" localSheetId="6" hidden="1">{"fdsup://directions/FAT Viewer?action=UPDATE&amp;creator=factset&amp;DYN_ARGS=TRUE&amp;DOC_NAME=FAT:FQL_AUDITING_CLIENT_TEMPLATE.FAT&amp;display_string=Audit&amp;VAR:KEY=JQLWRYXEPM&amp;VAR:QUERY=RkZfRUJJVERBX0lCKCdMVE1TJywzOTI4MSk=&amp;WINDOW=FIRST_POPUP&amp;HEIGHT=450&amp;WIDTH=450&amp;START_MA","XIMIZED=FALSE&amp;VAR:CALENDAR=US&amp;VAR:SYMBOL=05614P10&amp;VAR:INDEX=0"}</definedName>
    <definedName name="_2776__FDSAUDITLINK__" hidden="1">{"fdsup://directions/FAT Viewer?action=UPDATE&amp;creator=factset&amp;DYN_ARGS=TRUE&amp;DOC_NAME=FAT:FQL_AUDITING_CLIENT_TEMPLATE.FAT&amp;display_string=Audit&amp;VAR:KEY=JQLWRYXEPM&amp;VAR:QUERY=RkZfRUJJVERBX0lCKCdMVE1TJywzOTI4MSk=&amp;WINDOW=FIRST_POPUP&amp;HEIGHT=450&amp;WIDTH=450&amp;START_MA","XIMIZED=FALSE&amp;VAR:CALENDAR=US&amp;VAR:SYMBOL=05614P10&amp;VAR:INDEX=0"}</definedName>
    <definedName name="_2777__FDSAUDITLINK__" localSheetId="6" hidden="1">{"fdsup://directions/FAT Viewer?action=UPDATE&amp;creator=factset&amp;DYN_ARGS=TRUE&amp;DOC_NAME=FAT:FQL_AUDITING_CLIENT_TEMPLATE.FAT&amp;display_string=Audit&amp;VAR:KEY=VSZSJWPADI&amp;VAR:QUERY=RkZfRUJJVERBX0lCKCdMVE1TJywzOTI4MCk=&amp;WINDOW=FIRST_POPUP&amp;HEIGHT=450&amp;WIDTH=450&amp;START_MA","XIMIZED=FALSE&amp;VAR:CALENDAR=US&amp;VAR:SYMBOL=05614P10&amp;VAR:INDEX=0"}</definedName>
    <definedName name="_2777__FDSAUDITLINK__" hidden="1">{"fdsup://directions/FAT Viewer?action=UPDATE&amp;creator=factset&amp;DYN_ARGS=TRUE&amp;DOC_NAME=FAT:FQL_AUDITING_CLIENT_TEMPLATE.FAT&amp;display_string=Audit&amp;VAR:KEY=VSZSJWPADI&amp;VAR:QUERY=RkZfRUJJVERBX0lCKCdMVE1TJywzOTI4MCk=&amp;WINDOW=FIRST_POPUP&amp;HEIGHT=450&amp;WIDTH=450&amp;START_MA","XIMIZED=FALSE&amp;VAR:CALENDAR=US&amp;VAR:SYMBOL=05614P10&amp;VAR:INDEX=0"}</definedName>
    <definedName name="_2778__FDSAUDITLINK__" localSheetId="6" hidden="1">{"fdsup://directions/FAT Viewer?action=UPDATE&amp;creator=factset&amp;DYN_ARGS=TRUE&amp;DOC_NAME=FAT:FQL_AUDITING_CLIENT_TEMPLATE.FAT&amp;display_string=Audit&amp;VAR:KEY=FIDIDCNMVI&amp;VAR:QUERY=RkZfRUJJVERBX0lCKCdMVE1TJywzOTI3OSk=&amp;WINDOW=FIRST_POPUP&amp;HEIGHT=450&amp;WIDTH=450&amp;START_MA","XIMIZED=FALSE&amp;VAR:CALENDAR=US&amp;VAR:SYMBOL=05614P10&amp;VAR:INDEX=0"}</definedName>
    <definedName name="_2778__FDSAUDITLINK__" hidden="1">{"fdsup://directions/FAT Viewer?action=UPDATE&amp;creator=factset&amp;DYN_ARGS=TRUE&amp;DOC_NAME=FAT:FQL_AUDITING_CLIENT_TEMPLATE.FAT&amp;display_string=Audit&amp;VAR:KEY=FIDIDCNMVI&amp;VAR:QUERY=RkZfRUJJVERBX0lCKCdMVE1TJywzOTI3OSk=&amp;WINDOW=FIRST_POPUP&amp;HEIGHT=450&amp;WIDTH=450&amp;START_MA","XIMIZED=FALSE&amp;VAR:CALENDAR=US&amp;VAR:SYMBOL=05614P10&amp;VAR:INDEX=0"}</definedName>
    <definedName name="_2779__FDSAUDITLINK__" localSheetId="6" hidden="1">{"fdsup://directions/FAT Viewer?action=UPDATE&amp;creator=factset&amp;DYN_ARGS=TRUE&amp;DOC_NAME=FAT:FQL_AUDITING_CLIENT_TEMPLATE.FAT&amp;display_string=Audit&amp;VAR:KEY=BCBETUPAVC&amp;VAR:QUERY=RkZfRUJJVERBX0lCKCdMVE1TJywzOTI3OCk=&amp;WINDOW=FIRST_POPUP&amp;HEIGHT=450&amp;WIDTH=450&amp;START_MA","XIMIZED=FALSE&amp;VAR:CALENDAR=US&amp;VAR:SYMBOL=05614P10&amp;VAR:INDEX=0"}</definedName>
    <definedName name="_2779__FDSAUDITLINK__" hidden="1">{"fdsup://directions/FAT Viewer?action=UPDATE&amp;creator=factset&amp;DYN_ARGS=TRUE&amp;DOC_NAME=FAT:FQL_AUDITING_CLIENT_TEMPLATE.FAT&amp;display_string=Audit&amp;VAR:KEY=BCBETUPAVC&amp;VAR:QUERY=RkZfRUJJVERBX0lCKCdMVE1TJywzOTI3OCk=&amp;WINDOW=FIRST_POPUP&amp;HEIGHT=450&amp;WIDTH=450&amp;START_MA","XIMIZED=FALSE&amp;VAR:CALENDAR=US&amp;VAR:SYMBOL=05614P10&amp;VAR:INDEX=0"}</definedName>
    <definedName name="_278__FDSAUDITLINK__" localSheetId="6" hidden="1">{"fdsup://directions/FAT%20Viewer?VAR:PED=LTM&amp;VAR:AUDIT_MODE=SUMMARY&amp;VAR:PERIOD=FIXED&amp;VAR:AUDIT_ID=00000117&amp;VAR:DATE=20090519&amp;action=UPDATE&amp;creator=factset&amp;DOC_NAME=FAT:FMA_audit_SUMMARY.fat&amp;DISPLAY_STRING=Display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8__FDSAUDITLINK__" hidden="1">{"fdsup://directions/FAT%20Viewer?VAR:PED=LTM&amp;VAR:AUDIT_MODE=SUMMARY&amp;VAR:PERIOD=FIXED&amp;VAR:AUDIT_ID=00000117&amp;VAR:DATE=20090519&amp;action=UPDATE&amp;creator=factset&amp;DOC_NAME=FAT:FMA_audit_SUMMARY.fat&amp;DISPLAY_STRING=Display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80__FDSAUDITLINK__" localSheetId="6" hidden="1">{"fdsup://directions/FAT Viewer?action=UPDATE&amp;creator=factset&amp;DYN_ARGS=TRUE&amp;DOC_NAME=FAT:FQL_AUDITING_CLIENT_TEMPLATE.FAT&amp;display_string=Audit&amp;VAR:KEY=VYZQHAXUHS&amp;VAR:QUERY=RkZfRUJJVERBX0lCKCdMVE1TJywzOTI3Nyk=&amp;WINDOW=FIRST_POPUP&amp;HEIGHT=450&amp;WIDTH=450&amp;START_MA","XIMIZED=FALSE&amp;VAR:CALENDAR=US&amp;VAR:SYMBOL=05614P10&amp;VAR:INDEX=0"}</definedName>
    <definedName name="_2780__FDSAUDITLINK__" hidden="1">{"fdsup://directions/FAT Viewer?action=UPDATE&amp;creator=factset&amp;DYN_ARGS=TRUE&amp;DOC_NAME=FAT:FQL_AUDITING_CLIENT_TEMPLATE.FAT&amp;display_string=Audit&amp;VAR:KEY=VYZQHAXUHS&amp;VAR:QUERY=RkZfRUJJVERBX0lCKCdMVE1TJywzOTI3Nyk=&amp;WINDOW=FIRST_POPUP&amp;HEIGHT=450&amp;WIDTH=450&amp;START_MA","XIMIZED=FALSE&amp;VAR:CALENDAR=US&amp;VAR:SYMBOL=05614P10&amp;VAR:INDEX=0"}</definedName>
    <definedName name="_2781__FDSAUDITLINK__" localSheetId="6" hidden="1">{"fdsup://directions/FAT Viewer?action=UPDATE&amp;creator=factset&amp;DYN_ARGS=TRUE&amp;DOC_NAME=FAT:FQL_AUDITING_CLIENT_TEMPLATE.FAT&amp;display_string=Audit&amp;VAR:KEY=XEZQHWVCJA&amp;VAR:QUERY=RkZfRUJJVERBX0lCKCdMVE1TJywzOTI3Nik=&amp;WINDOW=FIRST_POPUP&amp;HEIGHT=450&amp;WIDTH=450&amp;START_MA","XIMIZED=FALSE&amp;VAR:CALENDAR=US&amp;VAR:SYMBOL=05614P10&amp;VAR:INDEX=0"}</definedName>
    <definedName name="_2781__FDSAUDITLINK__" hidden="1">{"fdsup://directions/FAT Viewer?action=UPDATE&amp;creator=factset&amp;DYN_ARGS=TRUE&amp;DOC_NAME=FAT:FQL_AUDITING_CLIENT_TEMPLATE.FAT&amp;display_string=Audit&amp;VAR:KEY=XEZQHWVCJA&amp;VAR:QUERY=RkZfRUJJVERBX0lCKCdMVE1TJywzOTI3Nik=&amp;WINDOW=FIRST_POPUP&amp;HEIGHT=450&amp;WIDTH=450&amp;START_MA","XIMIZED=FALSE&amp;VAR:CALENDAR=US&amp;VAR:SYMBOL=05614P10&amp;VAR:INDEX=0"}</definedName>
    <definedName name="_2782__FDSAUDITLINK__" localSheetId="6" hidden="1">{"fdsup://directions/FAT Viewer?action=UPDATE&amp;creator=factset&amp;DYN_ARGS=TRUE&amp;DOC_NAME=FAT:FQL_AUDITING_CLIENT_TEMPLATE.FAT&amp;display_string=Audit&amp;VAR:KEY=ZORAHGNGBY&amp;VAR:QUERY=RkZfRUJJVERBX0lCKCdMVE1TJywzOTI3NSk=&amp;WINDOW=FIRST_POPUP&amp;HEIGHT=450&amp;WIDTH=450&amp;START_MA","XIMIZED=FALSE&amp;VAR:CALENDAR=US&amp;VAR:SYMBOL=05614P10&amp;VAR:INDEX=0"}</definedName>
    <definedName name="_2782__FDSAUDITLINK__" hidden="1">{"fdsup://directions/FAT Viewer?action=UPDATE&amp;creator=factset&amp;DYN_ARGS=TRUE&amp;DOC_NAME=FAT:FQL_AUDITING_CLIENT_TEMPLATE.FAT&amp;display_string=Audit&amp;VAR:KEY=ZORAHGNGBY&amp;VAR:QUERY=RkZfRUJJVERBX0lCKCdMVE1TJywzOTI3NSk=&amp;WINDOW=FIRST_POPUP&amp;HEIGHT=450&amp;WIDTH=450&amp;START_MA","XIMIZED=FALSE&amp;VAR:CALENDAR=US&amp;VAR:SYMBOL=05614P10&amp;VAR:INDEX=0"}</definedName>
    <definedName name="_2783__FDSAUDITLINK__" localSheetId="6" hidden="1">{"fdsup://directions/FAT Viewer?action=UPDATE&amp;creator=factset&amp;DYN_ARGS=TRUE&amp;DOC_NAME=FAT:FQL_AUDITING_CLIENT_TEMPLATE.FAT&amp;display_string=Audit&amp;VAR:KEY=XCBKHQLEVW&amp;VAR:QUERY=RkZfRUJJVERBX0lCKCdMVE1TJywzOTI3NCk=&amp;WINDOW=FIRST_POPUP&amp;HEIGHT=450&amp;WIDTH=450&amp;START_MA","XIMIZED=FALSE&amp;VAR:CALENDAR=US&amp;VAR:SYMBOL=05614P10&amp;VAR:INDEX=0"}</definedName>
    <definedName name="_2783__FDSAUDITLINK__" hidden="1">{"fdsup://directions/FAT Viewer?action=UPDATE&amp;creator=factset&amp;DYN_ARGS=TRUE&amp;DOC_NAME=FAT:FQL_AUDITING_CLIENT_TEMPLATE.FAT&amp;display_string=Audit&amp;VAR:KEY=XCBKHQLEVW&amp;VAR:QUERY=RkZfRUJJVERBX0lCKCdMVE1TJywzOTI3NCk=&amp;WINDOW=FIRST_POPUP&amp;HEIGHT=450&amp;WIDTH=450&amp;START_MA","XIMIZED=FALSE&amp;VAR:CALENDAR=US&amp;VAR:SYMBOL=05614P10&amp;VAR:INDEX=0"}</definedName>
    <definedName name="_2784__FDSAUDITLINK__" localSheetId="6" hidden="1">{"fdsup://directions/FAT Viewer?action=UPDATE&amp;creator=factset&amp;DYN_ARGS=TRUE&amp;DOC_NAME=FAT:FQL_AUDITING_CLIENT_TEMPLATE.FAT&amp;display_string=Audit&amp;VAR:KEY=FAJEFKZQNY&amp;VAR:QUERY=RkZfRUJJVERBX0lCKCdMVE1TJywzOTI3Myk=&amp;WINDOW=FIRST_POPUP&amp;HEIGHT=450&amp;WIDTH=450&amp;START_MA","XIMIZED=FALSE&amp;VAR:CALENDAR=US&amp;VAR:SYMBOL=05614P10&amp;VAR:INDEX=0"}</definedName>
    <definedName name="_2784__FDSAUDITLINK__" hidden="1">{"fdsup://directions/FAT Viewer?action=UPDATE&amp;creator=factset&amp;DYN_ARGS=TRUE&amp;DOC_NAME=FAT:FQL_AUDITING_CLIENT_TEMPLATE.FAT&amp;display_string=Audit&amp;VAR:KEY=FAJEFKZQNY&amp;VAR:QUERY=RkZfRUJJVERBX0lCKCdMVE1TJywzOTI3Myk=&amp;WINDOW=FIRST_POPUP&amp;HEIGHT=450&amp;WIDTH=450&amp;START_MA","XIMIZED=FALSE&amp;VAR:CALENDAR=US&amp;VAR:SYMBOL=05614P10&amp;VAR:INDEX=0"}</definedName>
    <definedName name="_2785__FDSAUDITLINK__" localSheetId="6" hidden="1">{"fdsup://directions/FAT Viewer?action=UPDATE&amp;creator=factset&amp;DYN_ARGS=TRUE&amp;DOC_NAME=FAT:FQL_AUDITING_CLIENT_TEMPLATE.FAT&amp;display_string=Audit&amp;VAR:KEY=ZSLUJYTIHM&amp;VAR:QUERY=RkZfRUJJVERBX0lCKCdMVE1TJywzOTI3Mik=&amp;WINDOW=FIRST_POPUP&amp;HEIGHT=450&amp;WIDTH=450&amp;START_MA","XIMIZED=FALSE&amp;VAR:CALENDAR=US&amp;VAR:SYMBOL=05614P10&amp;VAR:INDEX=0"}</definedName>
    <definedName name="_2785__FDSAUDITLINK__" hidden="1">{"fdsup://directions/FAT Viewer?action=UPDATE&amp;creator=factset&amp;DYN_ARGS=TRUE&amp;DOC_NAME=FAT:FQL_AUDITING_CLIENT_TEMPLATE.FAT&amp;display_string=Audit&amp;VAR:KEY=ZSLUJYTIHM&amp;VAR:QUERY=RkZfRUJJVERBX0lCKCdMVE1TJywzOTI3Mik=&amp;WINDOW=FIRST_POPUP&amp;HEIGHT=450&amp;WIDTH=450&amp;START_MA","XIMIZED=FALSE&amp;VAR:CALENDAR=US&amp;VAR:SYMBOL=05614P10&amp;VAR:INDEX=0"}</definedName>
    <definedName name="_2786__FDSAUDITLINK__" localSheetId="6" hidden="1">{"fdsup://directions/FAT Viewer?action=UPDATE&amp;creator=factset&amp;DYN_ARGS=TRUE&amp;DOC_NAME=FAT:FQL_AUDITING_CLIENT_TEMPLATE.FAT&amp;display_string=Audit&amp;VAR:KEY=VWVAJOTYFY&amp;VAR:QUERY=RkZfRUJJVERBX0lCKCdMVE1TJywzOTI3MSk=&amp;WINDOW=FIRST_POPUP&amp;HEIGHT=450&amp;WIDTH=450&amp;START_MA","XIMIZED=FALSE&amp;VAR:CALENDAR=US&amp;VAR:SYMBOL=05614P10&amp;VAR:INDEX=0"}</definedName>
    <definedName name="_2786__FDSAUDITLINK__" hidden="1">{"fdsup://directions/FAT Viewer?action=UPDATE&amp;creator=factset&amp;DYN_ARGS=TRUE&amp;DOC_NAME=FAT:FQL_AUDITING_CLIENT_TEMPLATE.FAT&amp;display_string=Audit&amp;VAR:KEY=VWVAJOTYFY&amp;VAR:QUERY=RkZfRUJJVERBX0lCKCdMVE1TJywzOTI3MSk=&amp;WINDOW=FIRST_POPUP&amp;HEIGHT=450&amp;WIDTH=450&amp;START_MA","XIMIZED=FALSE&amp;VAR:CALENDAR=US&amp;VAR:SYMBOL=05614P10&amp;VAR:INDEX=0"}</definedName>
    <definedName name="_2787__FDSAUDITLINK__" localSheetId="6" hidden="1">{"fdsup://directions/FAT Viewer?action=UPDATE&amp;creator=factset&amp;DYN_ARGS=TRUE&amp;DOC_NAME=FAT:FQL_AUDITING_CLIENT_TEMPLATE.FAT&amp;display_string=Audit&amp;VAR:KEY=LOJCREVEZY&amp;VAR:QUERY=RkZfRUJJVERBX0lCKCdMVE1TJywzOTI3MCk=&amp;WINDOW=FIRST_POPUP&amp;HEIGHT=450&amp;WIDTH=450&amp;START_MA","XIMIZED=FALSE&amp;VAR:CALENDAR=US&amp;VAR:SYMBOL=05614P10&amp;VAR:INDEX=0"}</definedName>
    <definedName name="_2787__FDSAUDITLINK__" hidden="1">{"fdsup://directions/FAT Viewer?action=UPDATE&amp;creator=factset&amp;DYN_ARGS=TRUE&amp;DOC_NAME=FAT:FQL_AUDITING_CLIENT_TEMPLATE.FAT&amp;display_string=Audit&amp;VAR:KEY=LOJCREVEZY&amp;VAR:QUERY=RkZfRUJJVERBX0lCKCdMVE1TJywzOTI3MCk=&amp;WINDOW=FIRST_POPUP&amp;HEIGHT=450&amp;WIDTH=450&amp;START_MA","XIMIZED=FALSE&amp;VAR:CALENDAR=US&amp;VAR:SYMBOL=05614P10&amp;VAR:INDEX=0"}</definedName>
    <definedName name="_2788__FDSAUDITLINK__" localSheetId="6" hidden="1">{"fdsup://directions/FAT Viewer?action=UPDATE&amp;creator=factset&amp;DYN_ARGS=TRUE&amp;DOC_NAME=FAT:FQL_AUDITING_CLIENT_TEMPLATE.FAT&amp;display_string=Audit&amp;VAR:KEY=VERAZYXYLC&amp;VAR:QUERY=RkZfRUJJVERBX0lCKCdMVE1TJywzOTI2OSk=&amp;WINDOW=FIRST_POPUP&amp;HEIGHT=450&amp;WIDTH=450&amp;START_MA","XIMIZED=FALSE&amp;VAR:CALENDAR=US&amp;VAR:SYMBOL=05614P10&amp;VAR:INDEX=0"}</definedName>
    <definedName name="_2788__FDSAUDITLINK__" hidden="1">{"fdsup://directions/FAT Viewer?action=UPDATE&amp;creator=factset&amp;DYN_ARGS=TRUE&amp;DOC_NAME=FAT:FQL_AUDITING_CLIENT_TEMPLATE.FAT&amp;display_string=Audit&amp;VAR:KEY=VERAZYXYLC&amp;VAR:QUERY=RkZfRUJJVERBX0lCKCdMVE1TJywzOTI2OSk=&amp;WINDOW=FIRST_POPUP&amp;HEIGHT=450&amp;WIDTH=450&amp;START_MA","XIMIZED=FALSE&amp;VAR:CALENDAR=US&amp;VAR:SYMBOL=05614P10&amp;VAR:INDEX=0"}</definedName>
    <definedName name="_2789__FDSAUDITLINK__" localSheetId="6" hidden="1">{"fdsup://directions/FAT Viewer?action=UPDATE&amp;creator=factset&amp;DYN_ARGS=TRUE&amp;DOC_NAME=FAT:FQL_AUDITING_CLIENT_TEMPLATE.FAT&amp;display_string=Audit&amp;VAR:KEY=ZYHMRSZQDQ&amp;VAR:QUERY=RkZfRUJJVERBX0lCKCdMVE1TJywzOTI2OCk=&amp;WINDOW=FIRST_POPUP&amp;HEIGHT=450&amp;WIDTH=450&amp;START_MA","XIMIZED=FALSE&amp;VAR:CALENDAR=US&amp;VAR:SYMBOL=05614P10&amp;VAR:INDEX=0"}</definedName>
    <definedName name="_2789__FDSAUDITLINK__" hidden="1">{"fdsup://directions/FAT Viewer?action=UPDATE&amp;creator=factset&amp;DYN_ARGS=TRUE&amp;DOC_NAME=FAT:FQL_AUDITING_CLIENT_TEMPLATE.FAT&amp;display_string=Audit&amp;VAR:KEY=ZYHMRSZQDQ&amp;VAR:QUERY=RkZfRUJJVERBX0lCKCdMVE1TJywzOTI2OCk=&amp;WINDOW=FIRST_POPUP&amp;HEIGHT=450&amp;WIDTH=450&amp;START_MA","XIMIZED=FALSE&amp;VAR:CALENDAR=US&amp;VAR:SYMBOL=05614P10&amp;VAR:INDEX=0"}</definedName>
    <definedName name="_279__FDSAUDITLINK__" localSheetId="6" hidden="1">{"fdsup://directions/FAT%20Viewer?VAR:PED=LTM&amp;VAR:AUDIT_MODE=SUMMARY&amp;VAR:PERIOD=FIXED&amp;VAR:AUDIT_ID=00000117&amp;VAR:DATE=20090518&amp;action=UPDATE&amp;creator=factset&amp;DOC_NAME=FAT:FMA_audit_SUMMARY.fat&amp;DISPLAY_STRING=Display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9__FDSAUDITLINK__" hidden="1">{"fdsup://directions/FAT%20Viewer?VAR:PED=LTM&amp;VAR:AUDIT_MODE=SUMMARY&amp;VAR:PERIOD=FIXED&amp;VAR:AUDIT_ID=00000117&amp;VAR:DATE=20090518&amp;action=UPDATE&amp;creator=factset&amp;DOC_NAME=FAT:FMA_audit_SUMMARY.fat&amp;DISPLAY_STRING=Display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790__FDSAUDITLINK__" localSheetId="6" hidden="1">{"fdsup://directions/FAT Viewer?action=UPDATE&amp;creator=factset&amp;DYN_ARGS=TRUE&amp;DOC_NAME=FAT:FQL_AUDITING_CLIENT_TEMPLATE.FAT&amp;display_string=Audit&amp;VAR:KEY=TQTMNOPIJU&amp;VAR:QUERY=RkZfRUJJVERBX0lCKCdMVE1TJywzOTI2Nyk=&amp;WINDOW=FIRST_POPUP&amp;HEIGHT=450&amp;WIDTH=450&amp;START_MA","XIMIZED=FALSE&amp;VAR:CALENDAR=US&amp;VAR:SYMBOL=05614P10&amp;VAR:INDEX=0"}</definedName>
    <definedName name="_2790__FDSAUDITLINK__" hidden="1">{"fdsup://directions/FAT Viewer?action=UPDATE&amp;creator=factset&amp;DYN_ARGS=TRUE&amp;DOC_NAME=FAT:FQL_AUDITING_CLIENT_TEMPLATE.FAT&amp;display_string=Audit&amp;VAR:KEY=TQTMNOPIJU&amp;VAR:QUERY=RkZfRUJJVERBX0lCKCdMVE1TJywzOTI2Nyk=&amp;WINDOW=FIRST_POPUP&amp;HEIGHT=450&amp;WIDTH=450&amp;START_MA","XIMIZED=FALSE&amp;VAR:CALENDAR=US&amp;VAR:SYMBOL=05614P10&amp;VAR:INDEX=0"}</definedName>
    <definedName name="_2791__FDSAUDITLINK__" localSheetId="6" hidden="1">{"fdsup://directions/FAT Viewer?action=UPDATE&amp;creator=factset&amp;DYN_ARGS=TRUE&amp;DOC_NAME=FAT:FQL_AUDITING_CLIENT_TEMPLATE.FAT&amp;display_string=Audit&amp;VAR:KEY=PUDOLUNAJY&amp;VAR:QUERY=RkZfRUJJVERBX0lCKCdMVE1TJywzOTI2Nik=&amp;WINDOW=FIRST_POPUP&amp;HEIGHT=450&amp;WIDTH=450&amp;START_MA","XIMIZED=FALSE&amp;VAR:CALENDAR=US&amp;VAR:SYMBOL=05614P10&amp;VAR:INDEX=0"}</definedName>
    <definedName name="_2791__FDSAUDITLINK__" hidden="1">{"fdsup://directions/FAT Viewer?action=UPDATE&amp;creator=factset&amp;DYN_ARGS=TRUE&amp;DOC_NAME=FAT:FQL_AUDITING_CLIENT_TEMPLATE.FAT&amp;display_string=Audit&amp;VAR:KEY=PUDOLUNAJY&amp;VAR:QUERY=RkZfRUJJVERBX0lCKCdMVE1TJywzOTI2Nik=&amp;WINDOW=FIRST_POPUP&amp;HEIGHT=450&amp;WIDTH=450&amp;START_MA","XIMIZED=FALSE&amp;VAR:CALENDAR=US&amp;VAR:SYMBOL=05614P10&amp;VAR:INDEX=0"}</definedName>
    <definedName name="_2792__FDSAUDITLINK__" localSheetId="6" hidden="1">{"fdsup://directions/FAT Viewer?action=UPDATE&amp;creator=factset&amp;DYN_ARGS=TRUE&amp;DOC_NAME=FAT:FQL_AUDITING_CLIENT_TEMPLATE.FAT&amp;display_string=Audit&amp;VAR:KEY=TGLWJSLGFA&amp;VAR:QUERY=RkZfRUJJVERBX0lCKCdMVE1TJywzOTI2NSk=&amp;WINDOW=FIRST_POPUP&amp;HEIGHT=450&amp;WIDTH=450&amp;START_MA","XIMIZED=FALSE&amp;VAR:CALENDAR=US&amp;VAR:SYMBOL=05614P10&amp;VAR:INDEX=0"}</definedName>
    <definedName name="_2792__FDSAUDITLINK__" hidden="1">{"fdsup://directions/FAT Viewer?action=UPDATE&amp;creator=factset&amp;DYN_ARGS=TRUE&amp;DOC_NAME=FAT:FQL_AUDITING_CLIENT_TEMPLATE.FAT&amp;display_string=Audit&amp;VAR:KEY=TGLWJSLGFA&amp;VAR:QUERY=RkZfRUJJVERBX0lCKCdMVE1TJywzOTI2NSk=&amp;WINDOW=FIRST_POPUP&amp;HEIGHT=450&amp;WIDTH=450&amp;START_MA","XIMIZED=FALSE&amp;VAR:CALENDAR=US&amp;VAR:SYMBOL=05614P10&amp;VAR:INDEX=0"}</definedName>
    <definedName name="_2793__FDSAUDITLINK__" localSheetId="6" hidden="1">{"fdsup://directions/FAT Viewer?action=UPDATE&amp;creator=factset&amp;DYN_ARGS=TRUE&amp;DOC_NAME=FAT:FQL_AUDITING_CLIENT_TEMPLATE.FAT&amp;display_string=Audit&amp;VAR:KEY=TEJMPQJERA&amp;VAR:QUERY=RkZfRUJJVERBX0lCKCdMVE1TJywzOTI2NCk=&amp;WINDOW=FIRST_POPUP&amp;HEIGHT=450&amp;WIDTH=450&amp;START_MA","XIMIZED=FALSE&amp;VAR:CALENDAR=US&amp;VAR:SYMBOL=05614P10&amp;VAR:INDEX=0"}</definedName>
    <definedName name="_2793__FDSAUDITLINK__" hidden="1">{"fdsup://directions/FAT Viewer?action=UPDATE&amp;creator=factset&amp;DYN_ARGS=TRUE&amp;DOC_NAME=FAT:FQL_AUDITING_CLIENT_TEMPLATE.FAT&amp;display_string=Audit&amp;VAR:KEY=TEJMPQJERA&amp;VAR:QUERY=RkZfRUJJVERBX0lCKCdMVE1TJywzOTI2NCk=&amp;WINDOW=FIRST_POPUP&amp;HEIGHT=450&amp;WIDTH=450&amp;START_MA","XIMIZED=FALSE&amp;VAR:CALENDAR=US&amp;VAR:SYMBOL=05614P10&amp;VAR:INDEX=0"}</definedName>
    <definedName name="_2794__FDSAUDITLINK__" localSheetId="6" hidden="1">{"fdsup://directions/FAT Viewer?action=UPDATE&amp;creator=factset&amp;DYN_ARGS=TRUE&amp;DOC_NAME=FAT:FQL_AUDITING_CLIENT_TEMPLATE.FAT&amp;display_string=Audit&amp;VAR:KEY=BMXQPAVMXE&amp;VAR:QUERY=RkZfRUJJVERBX0lCKCdMVE1TJywzOTI2Myk=&amp;WINDOW=FIRST_POPUP&amp;HEIGHT=450&amp;WIDTH=450&amp;START_MA","XIMIZED=FALSE&amp;VAR:CALENDAR=US&amp;VAR:SYMBOL=05614P10&amp;VAR:INDEX=0"}</definedName>
    <definedName name="_2794__FDSAUDITLINK__" hidden="1">{"fdsup://directions/FAT Viewer?action=UPDATE&amp;creator=factset&amp;DYN_ARGS=TRUE&amp;DOC_NAME=FAT:FQL_AUDITING_CLIENT_TEMPLATE.FAT&amp;display_string=Audit&amp;VAR:KEY=BMXQPAVMXE&amp;VAR:QUERY=RkZfRUJJVERBX0lCKCdMVE1TJywzOTI2Myk=&amp;WINDOW=FIRST_POPUP&amp;HEIGHT=450&amp;WIDTH=450&amp;START_MA","XIMIZED=FALSE&amp;VAR:CALENDAR=US&amp;VAR:SYMBOL=05614P10&amp;VAR:INDEX=0"}</definedName>
    <definedName name="_2795__FDSAUDITLINK__" localSheetId="6" hidden="1">{"fdsup://directions/FAT Viewer?action=UPDATE&amp;creator=factset&amp;DYN_ARGS=TRUE&amp;DOC_NAME=FAT:FQL_AUDITING_CLIENT_TEMPLATE.FAT&amp;display_string=Audit&amp;VAR:KEY=TCBWVABMFC&amp;VAR:QUERY=RkZfRUJJVERBX0lCKCdMVE1TJywzOTI2Mik=&amp;WINDOW=FIRST_POPUP&amp;HEIGHT=450&amp;WIDTH=450&amp;START_MA","XIMIZED=FALSE&amp;VAR:CALENDAR=US&amp;VAR:SYMBOL=05614P10&amp;VAR:INDEX=0"}</definedName>
    <definedName name="_2795__FDSAUDITLINK__" hidden="1">{"fdsup://directions/FAT Viewer?action=UPDATE&amp;creator=factset&amp;DYN_ARGS=TRUE&amp;DOC_NAME=FAT:FQL_AUDITING_CLIENT_TEMPLATE.FAT&amp;display_string=Audit&amp;VAR:KEY=TCBWVABMFC&amp;VAR:QUERY=RkZfRUJJVERBX0lCKCdMVE1TJywzOTI2Mik=&amp;WINDOW=FIRST_POPUP&amp;HEIGHT=450&amp;WIDTH=450&amp;START_MA","XIMIZED=FALSE&amp;VAR:CALENDAR=US&amp;VAR:SYMBOL=05614P10&amp;VAR:INDEX=0"}</definedName>
    <definedName name="_2796__FDSAUDITLINK__" localSheetId="6" hidden="1">{"fdsup://directions/FAT Viewer?action=UPDATE&amp;creator=factset&amp;DYN_ARGS=TRUE&amp;DOC_NAME=FAT:FQL_AUDITING_CLIENT_TEMPLATE.FAT&amp;display_string=Audit&amp;VAR:KEY=DSTULWDURO&amp;VAR:QUERY=RkZfRUJJVERBX0lCKCdMVE1TJywzOTI2MSk=&amp;WINDOW=FIRST_POPUP&amp;HEIGHT=450&amp;WIDTH=450&amp;START_MA","XIMIZED=FALSE&amp;VAR:CALENDAR=US&amp;VAR:SYMBOL=05614P10&amp;VAR:INDEX=0"}</definedName>
    <definedName name="_2796__FDSAUDITLINK__" hidden="1">{"fdsup://directions/FAT Viewer?action=UPDATE&amp;creator=factset&amp;DYN_ARGS=TRUE&amp;DOC_NAME=FAT:FQL_AUDITING_CLIENT_TEMPLATE.FAT&amp;display_string=Audit&amp;VAR:KEY=DSTULWDURO&amp;VAR:QUERY=RkZfRUJJVERBX0lCKCdMVE1TJywzOTI2MSk=&amp;WINDOW=FIRST_POPUP&amp;HEIGHT=450&amp;WIDTH=450&amp;START_MA","XIMIZED=FALSE&amp;VAR:CALENDAR=US&amp;VAR:SYMBOL=05614P10&amp;VAR:INDEX=0"}</definedName>
    <definedName name="_2797__FDSAUDITLINK__" localSheetId="6" hidden="1">{"fdsup://directions/FAT Viewer?action=UPDATE&amp;creator=factset&amp;DYN_ARGS=TRUE&amp;DOC_NAME=FAT:FQL_AUDITING_CLIENT_TEMPLATE.FAT&amp;display_string=Audit&amp;VAR:KEY=FSFQPCHQRY&amp;VAR:QUERY=RkZfRUJJVERBX0lCKCdMVE1TJywzOTI2MCk=&amp;WINDOW=FIRST_POPUP&amp;HEIGHT=450&amp;WIDTH=450&amp;START_MA","XIMIZED=FALSE&amp;VAR:CALENDAR=US&amp;VAR:SYMBOL=05614P10&amp;VAR:INDEX=0"}</definedName>
    <definedName name="_2797__FDSAUDITLINK__" hidden="1">{"fdsup://directions/FAT Viewer?action=UPDATE&amp;creator=factset&amp;DYN_ARGS=TRUE&amp;DOC_NAME=FAT:FQL_AUDITING_CLIENT_TEMPLATE.FAT&amp;display_string=Audit&amp;VAR:KEY=FSFQPCHQRY&amp;VAR:QUERY=RkZfRUJJVERBX0lCKCdMVE1TJywzOTI2MCk=&amp;WINDOW=FIRST_POPUP&amp;HEIGHT=450&amp;WIDTH=450&amp;START_MA","XIMIZED=FALSE&amp;VAR:CALENDAR=US&amp;VAR:SYMBOL=05614P10&amp;VAR:INDEX=0"}</definedName>
    <definedName name="_2798__FDSAUDITLINK__" localSheetId="6" hidden="1">{"fdsup://directions/FAT Viewer?action=UPDATE&amp;creator=factset&amp;DYN_ARGS=TRUE&amp;DOC_NAME=FAT:FQL_AUDITING_CLIENT_TEMPLATE.FAT&amp;display_string=Audit&amp;VAR:KEY=BQNAJCRIJA&amp;VAR:QUERY=RkZfRUJJVERBX0lCKCdMVE1TJywzOTI1OSk=&amp;WINDOW=FIRST_POPUP&amp;HEIGHT=450&amp;WIDTH=450&amp;START_MA","XIMIZED=FALSE&amp;VAR:CALENDAR=US&amp;VAR:SYMBOL=05614P10&amp;VAR:INDEX=0"}</definedName>
    <definedName name="_2798__FDSAUDITLINK__" hidden="1">{"fdsup://directions/FAT Viewer?action=UPDATE&amp;creator=factset&amp;DYN_ARGS=TRUE&amp;DOC_NAME=FAT:FQL_AUDITING_CLIENT_TEMPLATE.FAT&amp;display_string=Audit&amp;VAR:KEY=BQNAJCRIJA&amp;VAR:QUERY=RkZfRUJJVERBX0lCKCdMVE1TJywzOTI1OSk=&amp;WINDOW=FIRST_POPUP&amp;HEIGHT=450&amp;WIDTH=450&amp;START_MA","XIMIZED=FALSE&amp;VAR:CALENDAR=US&amp;VAR:SYMBOL=05614P10&amp;VAR:INDEX=0"}</definedName>
    <definedName name="_2799__FDSAUDITLINK__" localSheetId="6" hidden="1">{"fdsup://directions/FAT Viewer?action=UPDATE&amp;creator=factset&amp;DYN_ARGS=TRUE&amp;DOC_NAME=FAT:FQL_AUDITING_CLIENT_TEMPLATE.FAT&amp;display_string=Audit&amp;VAR:KEY=JQTWHKFGXG&amp;VAR:QUERY=RkZfRUJJVERBX0lCKCdMVE1TJywzOTI1OCk=&amp;WINDOW=FIRST_POPUP&amp;HEIGHT=450&amp;WIDTH=450&amp;START_MA","XIMIZED=FALSE&amp;VAR:CALENDAR=US&amp;VAR:SYMBOL=05614P10&amp;VAR:INDEX=0"}</definedName>
    <definedName name="_2799__FDSAUDITLINK__" hidden="1">{"fdsup://directions/FAT Viewer?action=UPDATE&amp;creator=factset&amp;DYN_ARGS=TRUE&amp;DOC_NAME=FAT:FQL_AUDITING_CLIENT_TEMPLATE.FAT&amp;display_string=Audit&amp;VAR:KEY=JQTWHKFGXG&amp;VAR:QUERY=RkZfRUJJVERBX0lCKCdMVE1TJywzOTI1OCk=&amp;WINDOW=FIRST_POPUP&amp;HEIGHT=450&amp;WIDTH=450&amp;START_MA","XIMIZED=FALSE&amp;VAR:CALENDAR=US&amp;VAR:SYMBOL=05614P10&amp;VAR:INDEX=0"}</definedName>
    <definedName name="_28__FDSAUDITLINK__" localSheetId="6" hidden="1">{"fdsup://directions/FAT Viewer?action=UPDATE&amp;creator=factset&amp;DYN_ARGS=TRUE&amp;DOC_NAME=FAT:FQL_AUDITING_CLIENT_TEMPLATE.FAT&amp;display_string=Audit&amp;VAR:KEY=STKXOBELER&amp;VAR:QUERY=RkZfSU5WRU5fREFZUyhBTk4sNDExNDUp&amp;WINDOW=FIRST_POPUP&amp;HEIGHT=450&amp;WIDTH=450&amp;START_MAXIMI","ZED=FALSE&amp;VAR:CALENDAR=US&amp;VAR:SYMBOL=LKQ&amp;VAR:INDEX=0"}</definedName>
    <definedName name="_28__FDSAUDITLINK__" hidden="1">{"fdsup://directions/FAT Viewer?action=UPDATE&amp;creator=factset&amp;DYN_ARGS=TRUE&amp;DOC_NAME=FAT:FQL_AUDITING_CLIENT_TEMPLATE.FAT&amp;display_string=Audit&amp;VAR:KEY=STKXOBELER&amp;VAR:QUERY=RkZfSU5WRU5fREFZUyhBTk4sNDExNDUp&amp;WINDOW=FIRST_POPUP&amp;HEIGHT=450&amp;WIDTH=450&amp;START_MAXIMI","ZED=FALSE&amp;VAR:CALENDAR=US&amp;VAR:SYMBOL=LKQ&amp;VAR:INDEX=0"}</definedName>
    <definedName name="_280__FDSAUDITLINK__" localSheetId="6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0__FDSAUDITLINK__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00__FDSAUDITLINK__" localSheetId="6" hidden="1">{"fdsup://directions/FAT Viewer?action=UPDATE&amp;creator=factset&amp;DYN_ARGS=TRUE&amp;DOC_NAME=FAT:FQL_AUDITING_CLIENT_TEMPLATE.FAT&amp;display_string=Audit&amp;VAR:KEY=HSDYFOXCFO&amp;VAR:QUERY=RkZfRUJJVERBX0lCKCdMVE1TJywzOTI1Nyk=&amp;WINDOW=FIRST_POPUP&amp;HEIGHT=450&amp;WIDTH=450&amp;START_MA","XIMIZED=FALSE&amp;VAR:CALENDAR=US&amp;VAR:SYMBOL=05614P10&amp;VAR:INDEX=0"}</definedName>
    <definedName name="_2800__FDSAUDITLINK__" hidden="1">{"fdsup://directions/FAT Viewer?action=UPDATE&amp;creator=factset&amp;DYN_ARGS=TRUE&amp;DOC_NAME=FAT:FQL_AUDITING_CLIENT_TEMPLATE.FAT&amp;display_string=Audit&amp;VAR:KEY=HSDYFOXCFO&amp;VAR:QUERY=RkZfRUJJVERBX0lCKCdMVE1TJywzOTI1Nyk=&amp;WINDOW=FIRST_POPUP&amp;HEIGHT=450&amp;WIDTH=450&amp;START_MA","XIMIZED=FALSE&amp;VAR:CALENDAR=US&amp;VAR:SYMBOL=05614P10&amp;VAR:INDEX=0"}</definedName>
    <definedName name="_2801__FDSAUDITLINK__" localSheetId="6" hidden="1">{"fdsup://directions/FAT Viewer?action=UPDATE&amp;creator=factset&amp;DYN_ARGS=TRUE&amp;DOC_NAME=FAT:FQL_AUDITING_CLIENT_TEMPLATE.FAT&amp;display_string=Audit&amp;VAR:KEY=LKPARALAJU&amp;VAR:QUERY=RkZfRUJJVERBX0lCKCdMVE1TJywzOTI1Nik=&amp;WINDOW=FIRST_POPUP&amp;HEIGHT=450&amp;WIDTH=450&amp;START_MA","XIMIZED=FALSE&amp;VAR:CALENDAR=US&amp;VAR:SYMBOL=05614P10&amp;VAR:INDEX=0"}</definedName>
    <definedName name="_2801__FDSAUDITLINK__" hidden="1">{"fdsup://directions/FAT Viewer?action=UPDATE&amp;creator=factset&amp;DYN_ARGS=TRUE&amp;DOC_NAME=FAT:FQL_AUDITING_CLIENT_TEMPLATE.FAT&amp;display_string=Audit&amp;VAR:KEY=LKPARALAJU&amp;VAR:QUERY=RkZfRUJJVERBX0lCKCdMVE1TJywzOTI1Nik=&amp;WINDOW=FIRST_POPUP&amp;HEIGHT=450&amp;WIDTH=450&amp;START_MA","XIMIZED=FALSE&amp;VAR:CALENDAR=US&amp;VAR:SYMBOL=05614P10&amp;VAR:INDEX=0"}</definedName>
    <definedName name="_2802__FDSAUDITLINK__" localSheetId="6" hidden="1">{"fdsup://directions/FAT Viewer?action=UPDATE&amp;creator=factset&amp;DYN_ARGS=TRUE&amp;DOC_NAME=FAT:FQL_AUDITING_CLIENT_TEMPLATE.FAT&amp;display_string=Audit&amp;VAR:KEY=FGLULCHWJE&amp;VAR:QUERY=RkZfRUJJVERBX0lCKCdMVE1TJywzOTI1NSk=&amp;WINDOW=FIRST_POPUP&amp;HEIGHT=450&amp;WIDTH=450&amp;START_MA","XIMIZED=FALSE&amp;VAR:CALENDAR=US&amp;VAR:SYMBOL=05614P10&amp;VAR:INDEX=0"}</definedName>
    <definedName name="_2802__FDSAUDITLINK__" hidden="1">{"fdsup://directions/FAT Viewer?action=UPDATE&amp;creator=factset&amp;DYN_ARGS=TRUE&amp;DOC_NAME=FAT:FQL_AUDITING_CLIENT_TEMPLATE.FAT&amp;display_string=Audit&amp;VAR:KEY=FGLULCHWJE&amp;VAR:QUERY=RkZfRUJJVERBX0lCKCdMVE1TJywzOTI1NSk=&amp;WINDOW=FIRST_POPUP&amp;HEIGHT=450&amp;WIDTH=450&amp;START_MA","XIMIZED=FALSE&amp;VAR:CALENDAR=US&amp;VAR:SYMBOL=05614P10&amp;VAR:INDEX=0"}</definedName>
    <definedName name="_2803__FDSAUDITLINK__" localSheetId="6" hidden="1">{"fdsup://directions/FAT Viewer?action=UPDATE&amp;creator=factset&amp;DYN_ARGS=TRUE&amp;DOC_NAME=FAT:FQL_AUDITING_CLIENT_TEMPLATE.FAT&amp;display_string=Audit&amp;VAR:KEY=VCVSPMHQBI&amp;VAR:QUERY=RkZfRUJJVERBX0lCKCdMVE1TJywzOTI1NCk=&amp;WINDOW=FIRST_POPUP&amp;HEIGHT=450&amp;WIDTH=450&amp;START_MA","XIMIZED=FALSE&amp;VAR:CALENDAR=US&amp;VAR:SYMBOL=05614P10&amp;VAR:INDEX=0"}</definedName>
    <definedName name="_2803__FDSAUDITLINK__" hidden="1">{"fdsup://directions/FAT Viewer?action=UPDATE&amp;creator=factset&amp;DYN_ARGS=TRUE&amp;DOC_NAME=FAT:FQL_AUDITING_CLIENT_TEMPLATE.FAT&amp;display_string=Audit&amp;VAR:KEY=VCVSPMHQBI&amp;VAR:QUERY=RkZfRUJJVERBX0lCKCdMVE1TJywzOTI1NCk=&amp;WINDOW=FIRST_POPUP&amp;HEIGHT=450&amp;WIDTH=450&amp;START_MA","XIMIZED=FALSE&amp;VAR:CALENDAR=US&amp;VAR:SYMBOL=05614P10&amp;VAR:INDEX=0"}</definedName>
    <definedName name="_2804__FDSAUDITLINK__" localSheetId="6" hidden="1">{"fdsup://directions/FAT Viewer?action=UPDATE&amp;creator=factset&amp;DYN_ARGS=TRUE&amp;DOC_NAME=FAT:FQL_AUDITING_CLIENT_TEMPLATE.FAT&amp;display_string=Audit&amp;VAR:KEY=DURERQHQPK&amp;VAR:QUERY=RkZfRUJJVERBX0lCKCdMVE1TJywzOTI1Myk=&amp;WINDOW=FIRST_POPUP&amp;HEIGHT=450&amp;WIDTH=450&amp;START_MA","XIMIZED=FALSE&amp;VAR:CALENDAR=US&amp;VAR:SYMBOL=05614P10&amp;VAR:INDEX=0"}</definedName>
    <definedName name="_2804__FDSAUDITLINK__" hidden="1">{"fdsup://directions/FAT Viewer?action=UPDATE&amp;creator=factset&amp;DYN_ARGS=TRUE&amp;DOC_NAME=FAT:FQL_AUDITING_CLIENT_TEMPLATE.FAT&amp;display_string=Audit&amp;VAR:KEY=DURERQHQPK&amp;VAR:QUERY=RkZfRUJJVERBX0lCKCdMVE1TJywzOTI1Myk=&amp;WINDOW=FIRST_POPUP&amp;HEIGHT=450&amp;WIDTH=450&amp;START_MA","XIMIZED=FALSE&amp;VAR:CALENDAR=US&amp;VAR:SYMBOL=05614P10&amp;VAR:INDEX=0"}</definedName>
    <definedName name="_2805__FDSAUDITLINK__" localSheetId="6" hidden="1">{"fdsup://directions/FAT Viewer?action=UPDATE&amp;creator=factset&amp;DYN_ARGS=TRUE&amp;DOC_NAME=FAT:FQL_AUDITING_CLIENT_TEMPLATE.FAT&amp;display_string=Audit&amp;VAR:KEY=PKJOBODGHS&amp;VAR:QUERY=RkZfRUJJVERBX0lCKCdMVE1TJywzOTI1Mik=&amp;WINDOW=FIRST_POPUP&amp;HEIGHT=450&amp;WIDTH=450&amp;START_MA","XIMIZED=FALSE&amp;VAR:CALENDAR=US&amp;VAR:SYMBOL=05614P10&amp;VAR:INDEX=0"}</definedName>
    <definedName name="_2805__FDSAUDITLINK__" hidden="1">{"fdsup://directions/FAT Viewer?action=UPDATE&amp;creator=factset&amp;DYN_ARGS=TRUE&amp;DOC_NAME=FAT:FQL_AUDITING_CLIENT_TEMPLATE.FAT&amp;display_string=Audit&amp;VAR:KEY=PKJOBODGHS&amp;VAR:QUERY=RkZfRUJJVERBX0lCKCdMVE1TJywzOTI1Mik=&amp;WINDOW=FIRST_POPUP&amp;HEIGHT=450&amp;WIDTH=450&amp;START_MA","XIMIZED=FALSE&amp;VAR:CALENDAR=US&amp;VAR:SYMBOL=05614P10&amp;VAR:INDEX=0"}</definedName>
    <definedName name="_2806__FDSAUDITLINK__" localSheetId="6" hidden="1">{"fdsup://directions/FAT Viewer?action=UPDATE&amp;creator=factset&amp;DYN_ARGS=TRUE&amp;DOC_NAME=FAT:FQL_AUDITING_CLIENT_TEMPLATE.FAT&amp;display_string=Audit&amp;VAR:KEY=NAHOLCXAZG&amp;VAR:QUERY=RkZfRUJJVERBX0lCKCdMVE1TJywzOTI1MSk=&amp;WINDOW=FIRST_POPUP&amp;HEIGHT=450&amp;WIDTH=450&amp;START_MA","XIMIZED=FALSE&amp;VAR:CALENDAR=US&amp;VAR:SYMBOL=05614P10&amp;VAR:INDEX=0"}</definedName>
    <definedName name="_2806__FDSAUDITLINK__" hidden="1">{"fdsup://directions/FAT Viewer?action=UPDATE&amp;creator=factset&amp;DYN_ARGS=TRUE&amp;DOC_NAME=FAT:FQL_AUDITING_CLIENT_TEMPLATE.FAT&amp;display_string=Audit&amp;VAR:KEY=NAHOLCXAZG&amp;VAR:QUERY=RkZfRUJJVERBX0lCKCdMVE1TJywzOTI1MSk=&amp;WINDOW=FIRST_POPUP&amp;HEIGHT=450&amp;WIDTH=450&amp;START_MA","XIMIZED=FALSE&amp;VAR:CALENDAR=US&amp;VAR:SYMBOL=05614P10&amp;VAR:INDEX=0"}</definedName>
    <definedName name="_2807__FDSAUDITLINK__" localSheetId="6" hidden="1">{"fdsup://directions/FAT Viewer?action=UPDATE&amp;creator=factset&amp;DYN_ARGS=TRUE&amp;DOC_NAME=FAT:FQL_AUDITING_CLIENT_TEMPLATE.FAT&amp;display_string=Audit&amp;VAR:KEY=VOLEFUTIJA&amp;VAR:QUERY=RkZfRUJJVERBX0lCKCdMVE1TJywzOTI1MCk=&amp;WINDOW=FIRST_POPUP&amp;HEIGHT=450&amp;WIDTH=450&amp;START_MA","XIMIZED=FALSE&amp;VAR:CALENDAR=US&amp;VAR:SYMBOL=05614P10&amp;VAR:INDEX=0"}</definedName>
    <definedName name="_2807__FDSAUDITLINK__" hidden="1">{"fdsup://directions/FAT Viewer?action=UPDATE&amp;creator=factset&amp;DYN_ARGS=TRUE&amp;DOC_NAME=FAT:FQL_AUDITING_CLIENT_TEMPLATE.FAT&amp;display_string=Audit&amp;VAR:KEY=VOLEFUTIJA&amp;VAR:QUERY=RkZfRUJJVERBX0lCKCdMVE1TJywzOTI1MCk=&amp;WINDOW=FIRST_POPUP&amp;HEIGHT=450&amp;WIDTH=450&amp;START_MA","XIMIZED=FALSE&amp;VAR:CALENDAR=US&amp;VAR:SYMBOL=05614P10&amp;VAR:INDEX=0"}</definedName>
    <definedName name="_2808__FDSAUDITLINK__" localSheetId="6" hidden="1">{"fdsup://directions/FAT Viewer?action=UPDATE&amp;creator=factset&amp;DYN_ARGS=TRUE&amp;DOC_NAME=FAT:FQL_AUDITING_CLIENT_TEMPLATE.FAT&amp;display_string=Audit&amp;VAR:KEY=RQVWHQBGXQ&amp;VAR:QUERY=RkZfRUJJVERBX0lCKCdMVE1TJywzOTI0OSk=&amp;WINDOW=FIRST_POPUP&amp;HEIGHT=450&amp;WIDTH=450&amp;START_MA","XIMIZED=FALSE&amp;VAR:CALENDAR=US&amp;VAR:SYMBOL=05614P10&amp;VAR:INDEX=0"}</definedName>
    <definedName name="_2808__FDSAUDITLINK__" hidden="1">{"fdsup://directions/FAT Viewer?action=UPDATE&amp;creator=factset&amp;DYN_ARGS=TRUE&amp;DOC_NAME=FAT:FQL_AUDITING_CLIENT_TEMPLATE.FAT&amp;display_string=Audit&amp;VAR:KEY=RQVWHQBGXQ&amp;VAR:QUERY=RkZfRUJJVERBX0lCKCdMVE1TJywzOTI0OSk=&amp;WINDOW=FIRST_POPUP&amp;HEIGHT=450&amp;WIDTH=450&amp;START_MA","XIMIZED=FALSE&amp;VAR:CALENDAR=US&amp;VAR:SYMBOL=05614P10&amp;VAR:INDEX=0"}</definedName>
    <definedName name="_2809__FDSAUDITLINK__" localSheetId="6" hidden="1">{"fdsup://directions/FAT Viewer?action=UPDATE&amp;creator=factset&amp;DYN_ARGS=TRUE&amp;DOC_NAME=FAT:FQL_AUDITING_CLIENT_TEMPLATE.FAT&amp;display_string=Audit&amp;VAR:KEY=ZOZSJITSPE&amp;VAR:QUERY=RkZfRUJJVERBX0lCKCdMVE1TJywzOTI0OCk=&amp;WINDOW=FIRST_POPUP&amp;HEIGHT=450&amp;WIDTH=450&amp;START_MA","XIMIZED=FALSE&amp;VAR:CALENDAR=US&amp;VAR:SYMBOL=05614P10&amp;VAR:INDEX=0"}</definedName>
    <definedName name="_2809__FDSAUDITLINK__" hidden="1">{"fdsup://directions/FAT Viewer?action=UPDATE&amp;creator=factset&amp;DYN_ARGS=TRUE&amp;DOC_NAME=FAT:FQL_AUDITING_CLIENT_TEMPLATE.FAT&amp;display_string=Audit&amp;VAR:KEY=ZOZSJITSPE&amp;VAR:QUERY=RkZfRUJJVERBX0lCKCdMVE1TJywzOTI0OCk=&amp;WINDOW=FIRST_POPUP&amp;HEIGHT=450&amp;WIDTH=450&amp;START_MA","XIMIZED=FALSE&amp;VAR:CALENDAR=US&amp;VAR:SYMBOL=05614P10&amp;VAR:INDEX=0"}</definedName>
    <definedName name="_281__FDSAUDITLINK__" localSheetId="6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1__FDSAUDITLINK__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10__FDSAUDITLINK__" localSheetId="6" hidden="1">{"fdsup://directions/FAT Viewer?action=UPDATE&amp;creator=factset&amp;DYN_ARGS=TRUE&amp;DOC_NAME=FAT:FQL_AUDITING_CLIENT_TEMPLATE.FAT&amp;display_string=Audit&amp;VAR:KEY=RYZCRUTSNY&amp;VAR:QUERY=RkZfRUJJVERBX0lCKCdMVE1TJywzOTI0Nyk=&amp;WINDOW=FIRST_POPUP&amp;HEIGHT=450&amp;WIDTH=450&amp;START_MA","XIMIZED=FALSE&amp;VAR:CALENDAR=US&amp;VAR:SYMBOL=05614P10&amp;VAR:INDEX=0"}</definedName>
    <definedName name="_2810__FDSAUDITLINK__" hidden="1">{"fdsup://directions/FAT Viewer?action=UPDATE&amp;creator=factset&amp;DYN_ARGS=TRUE&amp;DOC_NAME=FAT:FQL_AUDITING_CLIENT_TEMPLATE.FAT&amp;display_string=Audit&amp;VAR:KEY=RYZCRUTSNY&amp;VAR:QUERY=RkZfRUJJVERBX0lCKCdMVE1TJywzOTI0Nyk=&amp;WINDOW=FIRST_POPUP&amp;HEIGHT=450&amp;WIDTH=450&amp;START_MA","XIMIZED=FALSE&amp;VAR:CALENDAR=US&amp;VAR:SYMBOL=05614P10&amp;VAR:INDEX=0"}</definedName>
    <definedName name="_2811__FDSAUDITLINK__" localSheetId="6" hidden="1">{"fdsup://directions/FAT Viewer?action=UPDATE&amp;creator=factset&amp;DYN_ARGS=TRUE&amp;DOC_NAME=FAT:FQL_AUDITING_CLIENT_TEMPLATE.FAT&amp;display_string=Audit&amp;VAR:KEY=NOVOJADOJW&amp;VAR:QUERY=RkZfRUJJVERBX0lCKCdMVE1TJywzOTI0Nik=&amp;WINDOW=FIRST_POPUP&amp;HEIGHT=450&amp;WIDTH=450&amp;START_MA","XIMIZED=FALSE&amp;VAR:CALENDAR=US&amp;VAR:SYMBOL=05614P10&amp;VAR:INDEX=0"}</definedName>
    <definedName name="_2811__FDSAUDITLINK__" hidden="1">{"fdsup://directions/FAT Viewer?action=UPDATE&amp;creator=factset&amp;DYN_ARGS=TRUE&amp;DOC_NAME=FAT:FQL_AUDITING_CLIENT_TEMPLATE.FAT&amp;display_string=Audit&amp;VAR:KEY=NOVOJADOJW&amp;VAR:QUERY=RkZfRUJJVERBX0lCKCdMVE1TJywzOTI0Nik=&amp;WINDOW=FIRST_POPUP&amp;HEIGHT=450&amp;WIDTH=450&amp;START_MA","XIMIZED=FALSE&amp;VAR:CALENDAR=US&amp;VAR:SYMBOL=05614P10&amp;VAR:INDEX=0"}</definedName>
    <definedName name="_2812__FDSAUDITLINK__" localSheetId="6" hidden="1">{"fdsup://directions/FAT Viewer?action=UPDATE&amp;creator=factset&amp;DYN_ARGS=TRUE&amp;DOC_NAME=FAT:FQL_AUDITING_CLIENT_TEMPLATE.FAT&amp;display_string=Audit&amp;VAR:KEY=BSJYRQJMJO&amp;VAR:QUERY=RkZfRUJJVERBX0lCKCdMVE1TJywzOTI0NSk=&amp;WINDOW=FIRST_POPUP&amp;HEIGHT=450&amp;WIDTH=450&amp;START_MA","XIMIZED=FALSE&amp;VAR:CALENDAR=US&amp;VAR:SYMBOL=05614P10&amp;VAR:INDEX=0"}</definedName>
    <definedName name="_2812__FDSAUDITLINK__" hidden="1">{"fdsup://directions/FAT Viewer?action=UPDATE&amp;creator=factset&amp;DYN_ARGS=TRUE&amp;DOC_NAME=FAT:FQL_AUDITING_CLIENT_TEMPLATE.FAT&amp;display_string=Audit&amp;VAR:KEY=BSJYRQJMJO&amp;VAR:QUERY=RkZfRUJJVERBX0lCKCdMVE1TJywzOTI0NSk=&amp;WINDOW=FIRST_POPUP&amp;HEIGHT=450&amp;WIDTH=450&amp;START_MA","XIMIZED=FALSE&amp;VAR:CALENDAR=US&amp;VAR:SYMBOL=05614P10&amp;VAR:INDEX=0"}</definedName>
    <definedName name="_2813__FDSAUDITLINK__" localSheetId="6" hidden="1">{"fdsup://directions/FAT Viewer?action=UPDATE&amp;creator=factset&amp;DYN_ARGS=TRUE&amp;DOC_NAME=FAT:FQL_AUDITING_CLIENT_TEMPLATE.FAT&amp;display_string=Audit&amp;VAR:KEY=HGJIDERCRE&amp;VAR:QUERY=RkZfRUJJVERBX0lCKCdMVE1TJywzOTI0NCk=&amp;WINDOW=FIRST_POPUP&amp;HEIGHT=450&amp;WIDTH=450&amp;START_MA","XIMIZED=FALSE&amp;VAR:CALENDAR=US&amp;VAR:SYMBOL=05614P10&amp;VAR:INDEX=0"}</definedName>
    <definedName name="_2813__FDSAUDITLINK__" hidden="1">{"fdsup://directions/FAT Viewer?action=UPDATE&amp;creator=factset&amp;DYN_ARGS=TRUE&amp;DOC_NAME=FAT:FQL_AUDITING_CLIENT_TEMPLATE.FAT&amp;display_string=Audit&amp;VAR:KEY=HGJIDERCRE&amp;VAR:QUERY=RkZfRUJJVERBX0lCKCdMVE1TJywzOTI0NCk=&amp;WINDOW=FIRST_POPUP&amp;HEIGHT=450&amp;WIDTH=450&amp;START_MA","XIMIZED=FALSE&amp;VAR:CALENDAR=US&amp;VAR:SYMBOL=05614P10&amp;VAR:INDEX=0"}</definedName>
    <definedName name="_2814__FDSAUDITLINK__" localSheetId="6" hidden="1">{"fdsup://directions/FAT Viewer?action=UPDATE&amp;creator=factset&amp;DYN_ARGS=TRUE&amp;DOC_NAME=FAT:FQL_AUDITING_CLIENT_TEMPLATE.FAT&amp;display_string=Audit&amp;VAR:KEY=DMDEVSDWRQ&amp;VAR:QUERY=RkZfRUJJVERBX0lCKCdMVE1TJywzOTI0Myk=&amp;WINDOW=FIRST_POPUP&amp;HEIGHT=450&amp;WIDTH=450&amp;START_MA","XIMIZED=FALSE&amp;VAR:CALENDAR=US&amp;VAR:SYMBOL=05614P10&amp;VAR:INDEX=0"}</definedName>
    <definedName name="_2814__FDSAUDITLINK__" hidden="1">{"fdsup://directions/FAT Viewer?action=UPDATE&amp;creator=factset&amp;DYN_ARGS=TRUE&amp;DOC_NAME=FAT:FQL_AUDITING_CLIENT_TEMPLATE.FAT&amp;display_string=Audit&amp;VAR:KEY=DMDEVSDWRQ&amp;VAR:QUERY=RkZfRUJJVERBX0lCKCdMVE1TJywzOTI0Myk=&amp;WINDOW=FIRST_POPUP&amp;HEIGHT=450&amp;WIDTH=450&amp;START_MA","XIMIZED=FALSE&amp;VAR:CALENDAR=US&amp;VAR:SYMBOL=05614P10&amp;VAR:INDEX=0"}</definedName>
    <definedName name="_2815__FDSAUDITLINK__" localSheetId="6" hidden="1">{"fdsup://directions/FAT Viewer?action=UPDATE&amp;creator=factset&amp;DYN_ARGS=TRUE&amp;DOC_NAME=FAT:FQL_AUDITING_CLIENT_TEMPLATE.FAT&amp;display_string=Audit&amp;VAR:KEY=BYFSTMBIXU&amp;VAR:QUERY=RkZfRUJJVERBX0lCKCdMVE1TJywzOTI0Mik=&amp;WINDOW=FIRST_POPUP&amp;HEIGHT=450&amp;WIDTH=450&amp;START_MA","XIMIZED=FALSE&amp;VAR:CALENDAR=US&amp;VAR:SYMBOL=05614P10&amp;VAR:INDEX=0"}</definedName>
    <definedName name="_2815__FDSAUDITLINK__" hidden="1">{"fdsup://directions/FAT Viewer?action=UPDATE&amp;creator=factset&amp;DYN_ARGS=TRUE&amp;DOC_NAME=FAT:FQL_AUDITING_CLIENT_TEMPLATE.FAT&amp;display_string=Audit&amp;VAR:KEY=BYFSTMBIXU&amp;VAR:QUERY=RkZfRUJJVERBX0lCKCdMVE1TJywzOTI0Mik=&amp;WINDOW=FIRST_POPUP&amp;HEIGHT=450&amp;WIDTH=450&amp;START_MA","XIMIZED=FALSE&amp;VAR:CALENDAR=US&amp;VAR:SYMBOL=05614P10&amp;VAR:INDEX=0"}</definedName>
    <definedName name="_2816__FDSAUDITLINK__" localSheetId="6" hidden="1">{"fdsup://directions/FAT Viewer?action=UPDATE&amp;creator=factset&amp;DYN_ARGS=TRUE&amp;DOC_NAME=FAT:FQL_AUDITING_CLIENT_TEMPLATE.FAT&amp;display_string=Audit&amp;VAR:KEY=JQDMPOXAPE&amp;VAR:QUERY=RkZfRUJJVERBX0lCKCdMVE1TJywzOTI0MSk=&amp;WINDOW=FIRST_POPUP&amp;HEIGHT=450&amp;WIDTH=450&amp;START_MA","XIMIZED=FALSE&amp;VAR:CALENDAR=US&amp;VAR:SYMBOL=05614P10&amp;VAR:INDEX=0"}</definedName>
    <definedName name="_2816__FDSAUDITLINK__" hidden="1">{"fdsup://directions/FAT Viewer?action=UPDATE&amp;creator=factset&amp;DYN_ARGS=TRUE&amp;DOC_NAME=FAT:FQL_AUDITING_CLIENT_TEMPLATE.FAT&amp;display_string=Audit&amp;VAR:KEY=JQDMPOXAPE&amp;VAR:QUERY=RkZfRUJJVERBX0lCKCdMVE1TJywzOTI0MSk=&amp;WINDOW=FIRST_POPUP&amp;HEIGHT=450&amp;WIDTH=450&amp;START_MA","XIMIZED=FALSE&amp;VAR:CALENDAR=US&amp;VAR:SYMBOL=05614P10&amp;VAR:INDEX=0"}</definedName>
    <definedName name="_2817__FDSAUDITLINK__" localSheetId="6" hidden="1">{"fdsup://directions/FAT Viewer?action=UPDATE&amp;creator=factset&amp;DYN_ARGS=TRUE&amp;DOC_NAME=FAT:FQL_AUDITING_CLIENT_TEMPLATE.FAT&amp;display_string=Audit&amp;VAR:KEY=LGVKHGDGPG&amp;VAR:QUERY=RkZfRUJJVERBX0lCKCdMVE1TJywzOTI0MCk=&amp;WINDOW=FIRST_POPUP&amp;HEIGHT=450&amp;WIDTH=450&amp;START_MA","XIMIZED=FALSE&amp;VAR:CALENDAR=US&amp;VAR:SYMBOL=05614P10&amp;VAR:INDEX=0"}</definedName>
    <definedName name="_2817__FDSAUDITLINK__" hidden="1">{"fdsup://directions/FAT Viewer?action=UPDATE&amp;creator=factset&amp;DYN_ARGS=TRUE&amp;DOC_NAME=FAT:FQL_AUDITING_CLIENT_TEMPLATE.FAT&amp;display_string=Audit&amp;VAR:KEY=LGVKHGDGPG&amp;VAR:QUERY=RkZfRUJJVERBX0lCKCdMVE1TJywzOTI0MCk=&amp;WINDOW=FIRST_POPUP&amp;HEIGHT=450&amp;WIDTH=450&amp;START_MA","XIMIZED=FALSE&amp;VAR:CALENDAR=US&amp;VAR:SYMBOL=05614P10&amp;VAR:INDEX=0"}</definedName>
    <definedName name="_2818__FDSAUDITLINK__" localSheetId="6" hidden="1">{"fdsup://directions/FAT Viewer?action=UPDATE&amp;creator=factset&amp;DYN_ARGS=TRUE&amp;DOC_NAME=FAT:FQL_AUDITING_CLIENT_TEMPLATE.FAT&amp;display_string=Audit&amp;VAR:KEY=RQXKLSDQDM&amp;VAR:QUERY=RkZfRUJJVERBX0lCKCdMVE1TJywzOTIzOSk=&amp;WINDOW=FIRST_POPUP&amp;HEIGHT=450&amp;WIDTH=450&amp;START_MA","XIMIZED=FALSE&amp;VAR:CALENDAR=US&amp;VAR:SYMBOL=05614P10&amp;VAR:INDEX=0"}</definedName>
    <definedName name="_2818__FDSAUDITLINK__" hidden="1">{"fdsup://directions/FAT Viewer?action=UPDATE&amp;creator=factset&amp;DYN_ARGS=TRUE&amp;DOC_NAME=FAT:FQL_AUDITING_CLIENT_TEMPLATE.FAT&amp;display_string=Audit&amp;VAR:KEY=RQXKLSDQDM&amp;VAR:QUERY=RkZfRUJJVERBX0lCKCdMVE1TJywzOTIzOSk=&amp;WINDOW=FIRST_POPUP&amp;HEIGHT=450&amp;WIDTH=450&amp;START_MA","XIMIZED=FALSE&amp;VAR:CALENDAR=US&amp;VAR:SYMBOL=05614P10&amp;VAR:INDEX=0"}</definedName>
    <definedName name="_2819__FDSAUDITLINK__" localSheetId="6" hidden="1">{"fdsup://directions/FAT Viewer?action=UPDATE&amp;creator=factset&amp;DYN_ARGS=TRUE&amp;DOC_NAME=FAT:FQL_AUDITING_CLIENT_TEMPLATE.FAT&amp;display_string=Audit&amp;VAR:KEY=NQBALANMVA&amp;VAR:QUERY=RkZfRUJJVERBX0lCKCdMVE1TJywzOTIzOCk=&amp;WINDOW=FIRST_POPUP&amp;HEIGHT=450&amp;WIDTH=450&amp;START_MA","XIMIZED=FALSE&amp;VAR:CALENDAR=US&amp;VAR:SYMBOL=05614P10&amp;VAR:INDEX=0"}</definedName>
    <definedName name="_2819__FDSAUDITLINK__" hidden="1">{"fdsup://directions/FAT Viewer?action=UPDATE&amp;creator=factset&amp;DYN_ARGS=TRUE&amp;DOC_NAME=FAT:FQL_AUDITING_CLIENT_TEMPLATE.FAT&amp;display_string=Audit&amp;VAR:KEY=NQBALANMVA&amp;VAR:QUERY=RkZfRUJJVERBX0lCKCdMVE1TJywzOTIzOCk=&amp;WINDOW=FIRST_POPUP&amp;HEIGHT=450&amp;WIDTH=450&amp;START_MA","XIMIZED=FALSE&amp;VAR:CALENDAR=US&amp;VAR:SYMBOL=05614P10&amp;VAR:INDEX=0"}</definedName>
    <definedName name="_282__FDSAUDITLINK__" localSheetId="6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2__FDSAUDITLINK__" hidden="1">{"fdsup://directions/FAT%20Viewer?VAR:PED=LTM&amp;VAR:AUDIT_MODE=SUMMARY&amp;VAR:PERIOD=FIXED&amp;VAR:AUDIT_ID=00000117&amp;VAR:DATE=20090515&amp;action=UPDATE&amp;creator=factset&amp;DOC_NAME=FAT:FMA_audit_SUMMARY.fat&amp;DISPLAY_STRING=Display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20__FDSAUDITLINK__" localSheetId="6" hidden="1">{"fdsup://directions/FAT Viewer?action=UPDATE&amp;creator=factset&amp;DYN_ARGS=TRUE&amp;DOC_NAME=FAT:FQL_AUDITING_CLIENT_TEMPLATE.FAT&amp;display_string=Audit&amp;VAR:KEY=ZQXWROTSLC&amp;VAR:QUERY=RkZfRUJJVERBX0lCKCdMVE1TJywzOTIzNyk=&amp;WINDOW=FIRST_POPUP&amp;HEIGHT=450&amp;WIDTH=450&amp;START_MA","XIMIZED=FALSE&amp;VAR:CALENDAR=US&amp;VAR:SYMBOL=05614P10&amp;VAR:INDEX=0"}</definedName>
    <definedName name="_2820__FDSAUDITLINK__" hidden="1">{"fdsup://directions/FAT Viewer?action=UPDATE&amp;creator=factset&amp;DYN_ARGS=TRUE&amp;DOC_NAME=FAT:FQL_AUDITING_CLIENT_TEMPLATE.FAT&amp;display_string=Audit&amp;VAR:KEY=ZQXWROTSLC&amp;VAR:QUERY=RkZfRUJJVERBX0lCKCdMVE1TJywzOTIzNyk=&amp;WINDOW=FIRST_POPUP&amp;HEIGHT=450&amp;WIDTH=450&amp;START_MA","XIMIZED=FALSE&amp;VAR:CALENDAR=US&amp;VAR:SYMBOL=05614P10&amp;VAR:INDEX=0"}</definedName>
    <definedName name="_2821__FDSAUDITLINK__" localSheetId="6" hidden="1">{"fdsup://directions/FAT Viewer?action=UPDATE&amp;creator=factset&amp;DYN_ARGS=TRUE&amp;DOC_NAME=FAT:FQL_AUDITING_CLIENT_TEMPLATE.FAT&amp;display_string=Audit&amp;VAR:KEY=LERYBAVURY&amp;VAR:QUERY=RkZfRUJJVERBX0lCKCdMVE1TJywzOTIzNik=&amp;WINDOW=FIRST_POPUP&amp;HEIGHT=450&amp;WIDTH=450&amp;START_MA","XIMIZED=FALSE&amp;VAR:CALENDAR=US&amp;VAR:SYMBOL=05614P10&amp;VAR:INDEX=0"}</definedName>
    <definedName name="_2821__FDSAUDITLINK__" hidden="1">{"fdsup://directions/FAT Viewer?action=UPDATE&amp;creator=factset&amp;DYN_ARGS=TRUE&amp;DOC_NAME=FAT:FQL_AUDITING_CLIENT_TEMPLATE.FAT&amp;display_string=Audit&amp;VAR:KEY=LERYBAVURY&amp;VAR:QUERY=RkZfRUJJVERBX0lCKCdMVE1TJywzOTIzNik=&amp;WINDOW=FIRST_POPUP&amp;HEIGHT=450&amp;WIDTH=450&amp;START_MA","XIMIZED=FALSE&amp;VAR:CALENDAR=US&amp;VAR:SYMBOL=05614P10&amp;VAR:INDEX=0"}</definedName>
    <definedName name="_2822__FDSAUDITLINK__" localSheetId="6" hidden="1">{"fdsup://directions/FAT Viewer?action=UPDATE&amp;creator=factset&amp;DYN_ARGS=TRUE&amp;DOC_NAME=FAT:FQL_AUDITING_CLIENT_TEMPLATE.FAT&amp;display_string=Audit&amp;VAR:KEY=TMZUXCJGFU&amp;VAR:QUERY=RkZfRUJJVERBX0lCKCdMVE1TJywzOTIzNSk=&amp;WINDOW=FIRST_POPUP&amp;HEIGHT=450&amp;WIDTH=450&amp;START_MA","XIMIZED=FALSE&amp;VAR:CALENDAR=US&amp;VAR:SYMBOL=05614P10&amp;VAR:INDEX=0"}</definedName>
    <definedName name="_2822__FDSAUDITLINK__" hidden="1">{"fdsup://directions/FAT Viewer?action=UPDATE&amp;creator=factset&amp;DYN_ARGS=TRUE&amp;DOC_NAME=FAT:FQL_AUDITING_CLIENT_TEMPLATE.FAT&amp;display_string=Audit&amp;VAR:KEY=TMZUXCJGFU&amp;VAR:QUERY=RkZfRUJJVERBX0lCKCdMVE1TJywzOTIzNSk=&amp;WINDOW=FIRST_POPUP&amp;HEIGHT=450&amp;WIDTH=450&amp;START_MA","XIMIZED=FALSE&amp;VAR:CALENDAR=US&amp;VAR:SYMBOL=05614P10&amp;VAR:INDEX=0"}</definedName>
    <definedName name="_2823__FDSAUDITLINK__" localSheetId="6" hidden="1">{"fdsup://directions/FAT Viewer?action=UPDATE&amp;creator=factset&amp;DYN_ARGS=TRUE&amp;DOC_NAME=FAT:FQL_AUDITING_CLIENT_TEMPLATE.FAT&amp;display_string=Audit&amp;VAR:KEY=XEXUTSHEDG&amp;VAR:QUERY=RkZfRUJJVERBX0lCKCdMVE1TJywzOTIzNCk=&amp;WINDOW=FIRST_POPUP&amp;HEIGHT=450&amp;WIDTH=450&amp;START_MA","XIMIZED=FALSE&amp;VAR:CALENDAR=US&amp;VAR:SYMBOL=05614P10&amp;VAR:INDEX=0"}</definedName>
    <definedName name="_2823__FDSAUDITLINK__" hidden="1">{"fdsup://directions/FAT Viewer?action=UPDATE&amp;creator=factset&amp;DYN_ARGS=TRUE&amp;DOC_NAME=FAT:FQL_AUDITING_CLIENT_TEMPLATE.FAT&amp;display_string=Audit&amp;VAR:KEY=XEXUTSHEDG&amp;VAR:QUERY=RkZfRUJJVERBX0lCKCdMVE1TJywzOTIzNCk=&amp;WINDOW=FIRST_POPUP&amp;HEIGHT=450&amp;WIDTH=450&amp;START_MA","XIMIZED=FALSE&amp;VAR:CALENDAR=US&amp;VAR:SYMBOL=05614P10&amp;VAR:INDEX=0"}</definedName>
    <definedName name="_2824__FDSAUDITLINK__" localSheetId="6" hidden="1">{"fdsup://directions/FAT Viewer?action=UPDATE&amp;creator=factset&amp;DYN_ARGS=TRUE&amp;DOC_NAME=FAT:FQL_AUDITING_CLIENT_TEMPLATE.FAT&amp;display_string=Audit&amp;VAR:KEY=FQHSJYHKXY&amp;VAR:QUERY=RkZfRUJJVERBX0lCKCdMVE1TJywzOTIzMyk=&amp;WINDOW=FIRST_POPUP&amp;HEIGHT=450&amp;WIDTH=450&amp;START_MA","XIMIZED=FALSE&amp;VAR:CALENDAR=US&amp;VAR:SYMBOL=05614P10&amp;VAR:INDEX=0"}</definedName>
    <definedName name="_2824__FDSAUDITLINK__" hidden="1">{"fdsup://directions/FAT Viewer?action=UPDATE&amp;creator=factset&amp;DYN_ARGS=TRUE&amp;DOC_NAME=FAT:FQL_AUDITING_CLIENT_TEMPLATE.FAT&amp;display_string=Audit&amp;VAR:KEY=FQHSJYHKXY&amp;VAR:QUERY=RkZfRUJJVERBX0lCKCdMVE1TJywzOTIzMyk=&amp;WINDOW=FIRST_POPUP&amp;HEIGHT=450&amp;WIDTH=450&amp;START_MA","XIMIZED=FALSE&amp;VAR:CALENDAR=US&amp;VAR:SYMBOL=05614P10&amp;VAR:INDEX=0"}</definedName>
    <definedName name="_2825__FDSAUDITLINK__" localSheetId="6" hidden="1">{"fdsup://directions/FAT Viewer?action=UPDATE&amp;creator=factset&amp;DYN_ARGS=TRUE&amp;DOC_NAME=FAT:FQL_AUDITING_CLIENT_TEMPLATE.FAT&amp;display_string=Audit&amp;VAR:KEY=ZMBWXKHSFG&amp;VAR:QUERY=RkZfRUJJVERBX0lCKCdMVE1TJywzOTIzMik=&amp;WINDOW=FIRST_POPUP&amp;HEIGHT=450&amp;WIDTH=450&amp;START_MA","XIMIZED=FALSE&amp;VAR:CALENDAR=US&amp;VAR:SYMBOL=05614P10&amp;VAR:INDEX=0"}</definedName>
    <definedName name="_2825__FDSAUDITLINK__" hidden="1">{"fdsup://directions/FAT Viewer?action=UPDATE&amp;creator=factset&amp;DYN_ARGS=TRUE&amp;DOC_NAME=FAT:FQL_AUDITING_CLIENT_TEMPLATE.FAT&amp;display_string=Audit&amp;VAR:KEY=ZMBWXKHSFG&amp;VAR:QUERY=RkZfRUJJVERBX0lCKCdMVE1TJywzOTIzMik=&amp;WINDOW=FIRST_POPUP&amp;HEIGHT=450&amp;WIDTH=450&amp;START_MA","XIMIZED=FALSE&amp;VAR:CALENDAR=US&amp;VAR:SYMBOL=05614P10&amp;VAR:INDEX=0"}</definedName>
    <definedName name="_2826__FDSAUDITLINK__" localSheetId="6" hidden="1">{"fdsup://directions/FAT Viewer?action=UPDATE&amp;creator=factset&amp;DYN_ARGS=TRUE&amp;DOC_NAME=FAT:FQL_AUDITING_CLIENT_TEMPLATE.FAT&amp;display_string=Audit&amp;VAR:KEY=LATIXULMHQ&amp;VAR:QUERY=RkZfRUJJVERBX0lCKCdMVE1TJywzOTIzMSk=&amp;WINDOW=FIRST_POPUP&amp;HEIGHT=450&amp;WIDTH=450&amp;START_MA","XIMIZED=FALSE&amp;VAR:CALENDAR=US&amp;VAR:SYMBOL=05614P10&amp;VAR:INDEX=0"}</definedName>
    <definedName name="_2826__FDSAUDITLINK__" hidden="1">{"fdsup://directions/FAT Viewer?action=UPDATE&amp;creator=factset&amp;DYN_ARGS=TRUE&amp;DOC_NAME=FAT:FQL_AUDITING_CLIENT_TEMPLATE.FAT&amp;display_string=Audit&amp;VAR:KEY=LATIXULMHQ&amp;VAR:QUERY=RkZfRUJJVERBX0lCKCdMVE1TJywzOTIzMSk=&amp;WINDOW=FIRST_POPUP&amp;HEIGHT=450&amp;WIDTH=450&amp;START_MA","XIMIZED=FALSE&amp;VAR:CALENDAR=US&amp;VAR:SYMBOL=05614P10&amp;VAR:INDEX=0"}</definedName>
    <definedName name="_2827__FDSAUDITLINK__" localSheetId="6" hidden="1">{"fdsup://directions/FAT Viewer?action=UPDATE&amp;creator=factset&amp;DYN_ARGS=TRUE&amp;DOC_NAME=FAT:FQL_AUDITING_CLIENT_TEMPLATE.FAT&amp;display_string=Audit&amp;VAR:KEY=DOLIJUROHG&amp;VAR:QUERY=RkZfRUJJVERBX0lCKCdMVE1TJywzOTIzMCk=&amp;WINDOW=FIRST_POPUP&amp;HEIGHT=450&amp;WIDTH=450&amp;START_MA","XIMIZED=FALSE&amp;VAR:CALENDAR=US&amp;VAR:SYMBOL=05614P10&amp;VAR:INDEX=0"}</definedName>
    <definedName name="_2827__FDSAUDITLINK__" hidden="1">{"fdsup://directions/FAT Viewer?action=UPDATE&amp;creator=factset&amp;DYN_ARGS=TRUE&amp;DOC_NAME=FAT:FQL_AUDITING_CLIENT_TEMPLATE.FAT&amp;display_string=Audit&amp;VAR:KEY=DOLIJUROHG&amp;VAR:QUERY=RkZfRUJJVERBX0lCKCdMVE1TJywzOTIzMCk=&amp;WINDOW=FIRST_POPUP&amp;HEIGHT=450&amp;WIDTH=450&amp;START_MA","XIMIZED=FALSE&amp;VAR:CALENDAR=US&amp;VAR:SYMBOL=05614P10&amp;VAR:INDEX=0"}</definedName>
    <definedName name="_2828__FDSAUDITLINK__" localSheetId="6" hidden="1">{"fdsup://directions/FAT Viewer?action=UPDATE&amp;creator=factset&amp;DYN_ARGS=TRUE&amp;DOC_NAME=FAT:FQL_AUDITING_CLIENT_TEMPLATE.FAT&amp;display_string=Audit&amp;VAR:KEY=JOTWXMBATQ&amp;VAR:QUERY=RkZfRUJJVERBX0lCKCdMVE1TJywzOTIyOSk=&amp;WINDOW=FIRST_POPUP&amp;HEIGHT=450&amp;WIDTH=450&amp;START_MA","XIMIZED=FALSE&amp;VAR:CALENDAR=US&amp;VAR:SYMBOL=05614P10&amp;VAR:INDEX=0"}</definedName>
    <definedName name="_2828__FDSAUDITLINK__" hidden="1">{"fdsup://directions/FAT Viewer?action=UPDATE&amp;creator=factset&amp;DYN_ARGS=TRUE&amp;DOC_NAME=FAT:FQL_AUDITING_CLIENT_TEMPLATE.FAT&amp;display_string=Audit&amp;VAR:KEY=JOTWXMBATQ&amp;VAR:QUERY=RkZfRUJJVERBX0lCKCdMVE1TJywzOTIyOSk=&amp;WINDOW=FIRST_POPUP&amp;HEIGHT=450&amp;WIDTH=450&amp;START_MA","XIMIZED=FALSE&amp;VAR:CALENDAR=US&amp;VAR:SYMBOL=05614P10&amp;VAR:INDEX=0"}</definedName>
    <definedName name="_2829__FDSAUDITLINK__" localSheetId="6" hidden="1">{"fdsup://directions/FAT Viewer?action=UPDATE&amp;creator=factset&amp;DYN_ARGS=TRUE&amp;DOC_NAME=FAT:FQL_AUDITING_CLIENT_TEMPLATE.FAT&amp;display_string=Audit&amp;VAR:KEY=ZINWVODCBY&amp;VAR:QUERY=RkZfRUJJVERBX0lCKCdMVE1TJywzOTIyOCk=&amp;WINDOW=FIRST_POPUP&amp;HEIGHT=450&amp;WIDTH=450&amp;START_MA","XIMIZED=FALSE&amp;VAR:CALENDAR=US&amp;VAR:SYMBOL=05614P10&amp;VAR:INDEX=0"}</definedName>
    <definedName name="_2829__FDSAUDITLINK__" hidden="1">{"fdsup://directions/FAT Viewer?action=UPDATE&amp;creator=factset&amp;DYN_ARGS=TRUE&amp;DOC_NAME=FAT:FQL_AUDITING_CLIENT_TEMPLATE.FAT&amp;display_string=Audit&amp;VAR:KEY=ZINWVODCBY&amp;VAR:QUERY=RkZfRUJJVERBX0lCKCdMVE1TJywzOTIyOCk=&amp;WINDOW=FIRST_POPUP&amp;HEIGHT=450&amp;WIDTH=450&amp;START_MA","XIMIZED=FALSE&amp;VAR:CALENDAR=US&amp;VAR:SYMBOL=05614P10&amp;VAR:INDEX=0"}</definedName>
    <definedName name="_283__FDSAUDITLINK__" localSheetId="6" hidden="1">{"fdsup://directions/FAT%20Viewer?VAR:PED=LTM&amp;VAR:AUDIT_MODE=SUMMARY&amp;VAR:PERIOD=FIXED&amp;VAR:AUDIT_ID=00000117&amp;VAR:DATE=20090514&amp;action=UPDATE&amp;creator=factset&amp;DOC_NAME=FAT:FMA_audit_SUMMARY.fat&amp;DISPLAY_STRING=Display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3__FDSAUDITLINK__" hidden="1">{"fdsup://directions/FAT%20Viewer?VAR:PED=LTM&amp;VAR:AUDIT_MODE=SUMMARY&amp;VAR:PERIOD=FIXED&amp;VAR:AUDIT_ID=00000117&amp;VAR:DATE=20090514&amp;action=UPDATE&amp;creator=factset&amp;DOC_NAME=FAT:FMA_audit_SUMMARY.fat&amp;DISPLAY_STRING=Display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30__FDSAUDITLINK__" localSheetId="6" hidden="1">{"fdsup://directions/FAT Viewer?action=UPDATE&amp;creator=factset&amp;DYN_ARGS=TRUE&amp;DOC_NAME=FAT:FQL_AUDITING_CLIENT_TEMPLATE.FAT&amp;display_string=Audit&amp;VAR:KEY=NKRGLCHWLK&amp;VAR:QUERY=RkZfRUJJVERBX0lCKCdMVE1TJywzOTIyNyk=&amp;WINDOW=FIRST_POPUP&amp;HEIGHT=450&amp;WIDTH=450&amp;START_MA","XIMIZED=FALSE&amp;VAR:CALENDAR=US&amp;VAR:SYMBOL=05614P10&amp;VAR:INDEX=0"}</definedName>
    <definedName name="_2830__FDSAUDITLINK__" hidden="1">{"fdsup://directions/FAT Viewer?action=UPDATE&amp;creator=factset&amp;DYN_ARGS=TRUE&amp;DOC_NAME=FAT:FQL_AUDITING_CLIENT_TEMPLATE.FAT&amp;display_string=Audit&amp;VAR:KEY=NKRGLCHWLK&amp;VAR:QUERY=RkZfRUJJVERBX0lCKCdMVE1TJywzOTIyNyk=&amp;WINDOW=FIRST_POPUP&amp;HEIGHT=450&amp;WIDTH=450&amp;START_MA","XIMIZED=FALSE&amp;VAR:CALENDAR=US&amp;VAR:SYMBOL=05614P10&amp;VAR:INDEX=0"}</definedName>
    <definedName name="_2831__FDSAUDITLINK__" localSheetId="6" hidden="1">{"fdsup://directions/FAT Viewer?action=UPDATE&amp;creator=factset&amp;DYN_ARGS=TRUE&amp;DOC_NAME=FAT:FQL_AUDITING_CLIENT_TEMPLATE.FAT&amp;display_string=Audit&amp;VAR:KEY=PYVUZQLYNA&amp;VAR:QUERY=RkZfRUJJVERBX0lCKCdMVE1TJywzOTIyNik=&amp;WINDOW=FIRST_POPUP&amp;HEIGHT=450&amp;WIDTH=450&amp;START_MA","XIMIZED=FALSE&amp;VAR:CALENDAR=US&amp;VAR:SYMBOL=05614P10&amp;VAR:INDEX=0"}</definedName>
    <definedName name="_2831__FDSAUDITLINK__" hidden="1">{"fdsup://directions/FAT Viewer?action=UPDATE&amp;creator=factset&amp;DYN_ARGS=TRUE&amp;DOC_NAME=FAT:FQL_AUDITING_CLIENT_TEMPLATE.FAT&amp;display_string=Audit&amp;VAR:KEY=PYVUZQLYNA&amp;VAR:QUERY=RkZfRUJJVERBX0lCKCdMVE1TJywzOTIyNik=&amp;WINDOW=FIRST_POPUP&amp;HEIGHT=450&amp;WIDTH=450&amp;START_MA","XIMIZED=FALSE&amp;VAR:CALENDAR=US&amp;VAR:SYMBOL=05614P10&amp;VAR:INDEX=0"}</definedName>
    <definedName name="_2832__FDSAUDITLINK__" localSheetId="6" hidden="1">{"fdsup://directions/FAT Viewer?action=UPDATE&amp;creator=factset&amp;DYN_ARGS=TRUE&amp;DOC_NAME=FAT:FQL_AUDITING_CLIENT_TEMPLATE.FAT&amp;display_string=Audit&amp;VAR:KEY=LYPMBADIFI&amp;VAR:QUERY=RkZfRUJJVERBX0lCKCdMVE1TJywzOTIyNSk=&amp;WINDOW=FIRST_POPUP&amp;HEIGHT=450&amp;WIDTH=450&amp;START_MA","XIMIZED=FALSE&amp;VAR:CALENDAR=US&amp;VAR:SYMBOL=05614P10&amp;VAR:INDEX=0"}</definedName>
    <definedName name="_2832__FDSAUDITLINK__" hidden="1">{"fdsup://directions/FAT Viewer?action=UPDATE&amp;creator=factset&amp;DYN_ARGS=TRUE&amp;DOC_NAME=FAT:FQL_AUDITING_CLIENT_TEMPLATE.FAT&amp;display_string=Audit&amp;VAR:KEY=LYPMBADIFI&amp;VAR:QUERY=RkZfRUJJVERBX0lCKCdMVE1TJywzOTIyNSk=&amp;WINDOW=FIRST_POPUP&amp;HEIGHT=450&amp;WIDTH=450&amp;START_MA","XIMIZED=FALSE&amp;VAR:CALENDAR=US&amp;VAR:SYMBOL=05614P10&amp;VAR:INDEX=0"}</definedName>
    <definedName name="_2833__FDSAUDITLINK__" localSheetId="6" hidden="1">{"fdsup://directions/FAT Viewer?action=UPDATE&amp;creator=factset&amp;DYN_ARGS=TRUE&amp;DOC_NAME=FAT:FQL_AUDITING_CLIENT_TEMPLATE.FAT&amp;display_string=Audit&amp;VAR:KEY=BOZSXSVCLS&amp;VAR:QUERY=RkZfRUJJVERBX0lCKCdMVE1TJywzOTIyNCk=&amp;WINDOW=FIRST_POPUP&amp;HEIGHT=450&amp;WIDTH=450&amp;START_MA","XIMIZED=FALSE&amp;VAR:CALENDAR=US&amp;VAR:SYMBOL=05614P10&amp;VAR:INDEX=0"}</definedName>
    <definedName name="_2833__FDSAUDITLINK__" hidden="1">{"fdsup://directions/FAT Viewer?action=UPDATE&amp;creator=factset&amp;DYN_ARGS=TRUE&amp;DOC_NAME=FAT:FQL_AUDITING_CLIENT_TEMPLATE.FAT&amp;display_string=Audit&amp;VAR:KEY=BOZSXSVCLS&amp;VAR:QUERY=RkZfRUJJVERBX0lCKCdMVE1TJywzOTIyNCk=&amp;WINDOW=FIRST_POPUP&amp;HEIGHT=450&amp;WIDTH=450&amp;START_MA","XIMIZED=FALSE&amp;VAR:CALENDAR=US&amp;VAR:SYMBOL=05614P10&amp;VAR:INDEX=0"}</definedName>
    <definedName name="_2834__FDSAUDITLINK__" localSheetId="6" hidden="1">{"fdsup://directions/FAT Viewer?action=UPDATE&amp;creator=factset&amp;DYN_ARGS=TRUE&amp;DOC_NAME=FAT:FQL_AUDITING_CLIENT_TEMPLATE.FAT&amp;display_string=Audit&amp;VAR:KEY=JUZIHATWLU&amp;VAR:QUERY=RkZfRUJJVERBX0lCKCdMVE1TJywzOTIyMyk=&amp;WINDOW=FIRST_POPUP&amp;HEIGHT=450&amp;WIDTH=450&amp;START_MA","XIMIZED=FALSE&amp;VAR:CALENDAR=US&amp;VAR:SYMBOL=05614P10&amp;VAR:INDEX=0"}</definedName>
    <definedName name="_2834__FDSAUDITLINK__" hidden="1">{"fdsup://directions/FAT Viewer?action=UPDATE&amp;creator=factset&amp;DYN_ARGS=TRUE&amp;DOC_NAME=FAT:FQL_AUDITING_CLIENT_TEMPLATE.FAT&amp;display_string=Audit&amp;VAR:KEY=JUZIHATWLU&amp;VAR:QUERY=RkZfRUJJVERBX0lCKCdMVE1TJywzOTIyMyk=&amp;WINDOW=FIRST_POPUP&amp;HEIGHT=450&amp;WIDTH=450&amp;START_MA","XIMIZED=FALSE&amp;VAR:CALENDAR=US&amp;VAR:SYMBOL=05614P10&amp;VAR:INDEX=0"}</definedName>
    <definedName name="_2835__FDSAUDITLINK__" localSheetId="6" hidden="1">{"fdsup://directions/FAT Viewer?action=UPDATE&amp;creator=factset&amp;DYN_ARGS=TRUE&amp;DOC_NAME=FAT:FQL_AUDITING_CLIENT_TEMPLATE.FAT&amp;display_string=Audit&amp;VAR:KEY=TSNAVGPSJA&amp;VAR:QUERY=RkZfRUJJVERBX0lCKCdMVE1TJywzOTIyMik=&amp;WINDOW=FIRST_POPUP&amp;HEIGHT=450&amp;WIDTH=450&amp;START_MA","XIMIZED=FALSE&amp;VAR:CALENDAR=US&amp;VAR:SYMBOL=05614P10&amp;VAR:INDEX=0"}</definedName>
    <definedName name="_2835__FDSAUDITLINK__" hidden="1">{"fdsup://directions/FAT Viewer?action=UPDATE&amp;creator=factset&amp;DYN_ARGS=TRUE&amp;DOC_NAME=FAT:FQL_AUDITING_CLIENT_TEMPLATE.FAT&amp;display_string=Audit&amp;VAR:KEY=TSNAVGPSJA&amp;VAR:QUERY=RkZfRUJJVERBX0lCKCdMVE1TJywzOTIyMik=&amp;WINDOW=FIRST_POPUP&amp;HEIGHT=450&amp;WIDTH=450&amp;START_MA","XIMIZED=FALSE&amp;VAR:CALENDAR=US&amp;VAR:SYMBOL=05614P10&amp;VAR:INDEX=0"}</definedName>
    <definedName name="_2836__FDSAUDITLINK__" localSheetId="6" hidden="1">{"fdsup://directions/FAT Viewer?action=UPDATE&amp;creator=factset&amp;DYN_ARGS=TRUE&amp;DOC_NAME=FAT:FQL_AUDITING_CLIENT_TEMPLATE.FAT&amp;display_string=Audit&amp;VAR:KEY=NEVAHOVKFS&amp;VAR:QUERY=RkZfRUJJVERBX0lCKCdMVE1TJywzOTIyMSk=&amp;WINDOW=FIRST_POPUP&amp;HEIGHT=450&amp;WIDTH=450&amp;START_MA","XIMIZED=FALSE&amp;VAR:CALENDAR=US&amp;VAR:SYMBOL=05614P10&amp;VAR:INDEX=0"}</definedName>
    <definedName name="_2836__FDSAUDITLINK__" hidden="1">{"fdsup://directions/FAT Viewer?action=UPDATE&amp;creator=factset&amp;DYN_ARGS=TRUE&amp;DOC_NAME=FAT:FQL_AUDITING_CLIENT_TEMPLATE.FAT&amp;display_string=Audit&amp;VAR:KEY=NEVAHOVKFS&amp;VAR:QUERY=RkZfRUJJVERBX0lCKCdMVE1TJywzOTIyMSk=&amp;WINDOW=FIRST_POPUP&amp;HEIGHT=450&amp;WIDTH=450&amp;START_MA","XIMIZED=FALSE&amp;VAR:CALENDAR=US&amp;VAR:SYMBOL=05614P10&amp;VAR:INDEX=0"}</definedName>
    <definedName name="_2837__FDSAUDITLINK__" localSheetId="6" hidden="1">{"fdsup://directions/FAT Viewer?action=UPDATE&amp;creator=factset&amp;DYN_ARGS=TRUE&amp;DOC_NAME=FAT:FQL_AUDITING_CLIENT_TEMPLATE.FAT&amp;display_string=Audit&amp;VAR:KEY=TCNUPSFKPG&amp;VAR:QUERY=RkZfRUJJVERBX0lCKCdMVE1TJywzOTIyMCk=&amp;WINDOW=FIRST_POPUP&amp;HEIGHT=450&amp;WIDTH=450&amp;START_MA","XIMIZED=FALSE&amp;VAR:CALENDAR=US&amp;VAR:SYMBOL=05614P10&amp;VAR:INDEX=0"}</definedName>
    <definedName name="_2837__FDSAUDITLINK__" hidden="1">{"fdsup://directions/FAT Viewer?action=UPDATE&amp;creator=factset&amp;DYN_ARGS=TRUE&amp;DOC_NAME=FAT:FQL_AUDITING_CLIENT_TEMPLATE.FAT&amp;display_string=Audit&amp;VAR:KEY=TCNUPSFKPG&amp;VAR:QUERY=RkZfRUJJVERBX0lCKCdMVE1TJywzOTIyMCk=&amp;WINDOW=FIRST_POPUP&amp;HEIGHT=450&amp;WIDTH=450&amp;START_MA","XIMIZED=FALSE&amp;VAR:CALENDAR=US&amp;VAR:SYMBOL=05614P10&amp;VAR:INDEX=0"}</definedName>
    <definedName name="_2838__FDSAUDITLINK__" localSheetId="6" hidden="1">{"fdsup://directions/FAT Viewer?action=UPDATE&amp;creator=factset&amp;DYN_ARGS=TRUE&amp;DOC_NAME=FAT:FQL_AUDITING_CLIENT_TEMPLATE.FAT&amp;display_string=Audit&amp;VAR:KEY=XCHALGJYDG&amp;VAR:QUERY=RkZfRUJJVERBX0lCKCdMVE1TJywzOTIxOSk=&amp;WINDOW=FIRST_POPUP&amp;HEIGHT=450&amp;WIDTH=450&amp;START_MA","XIMIZED=FALSE&amp;VAR:CALENDAR=US&amp;VAR:SYMBOL=05614P10&amp;VAR:INDEX=0"}</definedName>
    <definedName name="_2838__FDSAUDITLINK__" hidden="1">{"fdsup://directions/FAT Viewer?action=UPDATE&amp;creator=factset&amp;DYN_ARGS=TRUE&amp;DOC_NAME=FAT:FQL_AUDITING_CLIENT_TEMPLATE.FAT&amp;display_string=Audit&amp;VAR:KEY=XCHALGJYDG&amp;VAR:QUERY=RkZfRUJJVERBX0lCKCdMVE1TJywzOTIxOSk=&amp;WINDOW=FIRST_POPUP&amp;HEIGHT=450&amp;WIDTH=450&amp;START_MA","XIMIZED=FALSE&amp;VAR:CALENDAR=US&amp;VAR:SYMBOL=05614P10&amp;VAR:INDEX=0"}</definedName>
    <definedName name="_2839__FDSAUDITLINK__" localSheetId="6" hidden="1">{"fdsup://directions/FAT Viewer?action=UPDATE&amp;creator=factset&amp;DYN_ARGS=TRUE&amp;DOC_NAME=FAT:FQL_AUDITING_CLIENT_TEMPLATE.FAT&amp;display_string=Audit&amp;VAR:KEY=RUVSHAHKXU&amp;VAR:QUERY=RkZfRUJJVERBX0lCKCdMVE1TJywzOTIxOCk=&amp;WINDOW=FIRST_POPUP&amp;HEIGHT=450&amp;WIDTH=450&amp;START_MA","XIMIZED=FALSE&amp;VAR:CALENDAR=US&amp;VAR:SYMBOL=05614P10&amp;VAR:INDEX=0"}</definedName>
    <definedName name="_2839__FDSAUDITLINK__" hidden="1">{"fdsup://directions/FAT Viewer?action=UPDATE&amp;creator=factset&amp;DYN_ARGS=TRUE&amp;DOC_NAME=FAT:FQL_AUDITING_CLIENT_TEMPLATE.FAT&amp;display_string=Audit&amp;VAR:KEY=RUVSHAHKXU&amp;VAR:QUERY=RkZfRUJJVERBX0lCKCdMVE1TJywzOTIxOCk=&amp;WINDOW=FIRST_POPUP&amp;HEIGHT=450&amp;WIDTH=450&amp;START_MA","XIMIZED=FALSE&amp;VAR:CALENDAR=US&amp;VAR:SYMBOL=05614P10&amp;VAR:INDEX=0"}</definedName>
    <definedName name="_284__FDSAUDITLINK__" localSheetId="6" hidden="1">{"fdsup://directions/FAT%20Viewer?VAR:PED=LTM&amp;VAR:AUDIT_MODE=SUMMARY&amp;VAR:PERIOD=FIXED&amp;VAR:AUDIT_ID=00000117&amp;VAR:DATE=20090513&amp;action=UPDATE&amp;creator=factset&amp;DOC_NAME=FAT:FMA_audit_SUMMARY.fat&amp;DISPLAY_STRING=Display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4__FDSAUDITLINK__" hidden="1">{"fdsup://directions/FAT%20Viewer?VAR:PED=LTM&amp;VAR:AUDIT_MODE=SUMMARY&amp;VAR:PERIOD=FIXED&amp;VAR:AUDIT_ID=00000117&amp;VAR:DATE=20090513&amp;action=UPDATE&amp;creator=factset&amp;DOC_NAME=FAT:FMA_audit_SUMMARY.fat&amp;DISPLAY_STRING=Display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40__FDSAUDITLINK__" localSheetId="6" hidden="1">{"fdsup://directions/FAT Viewer?action=UPDATE&amp;creator=factset&amp;DYN_ARGS=TRUE&amp;DOC_NAME=FAT:FQL_AUDITING_CLIENT_TEMPLATE.FAT&amp;display_string=Audit&amp;VAR:KEY=HWTSBQXCZG&amp;VAR:QUERY=RkZfRUJJVERBX0lCKCdMVE1TJywzOTIxNyk=&amp;WINDOW=FIRST_POPUP&amp;HEIGHT=450&amp;WIDTH=450&amp;START_MA","XIMIZED=FALSE&amp;VAR:CALENDAR=US&amp;VAR:SYMBOL=05614P10&amp;VAR:INDEX=0"}</definedName>
    <definedName name="_2840__FDSAUDITLINK__" hidden="1">{"fdsup://directions/FAT Viewer?action=UPDATE&amp;creator=factset&amp;DYN_ARGS=TRUE&amp;DOC_NAME=FAT:FQL_AUDITING_CLIENT_TEMPLATE.FAT&amp;display_string=Audit&amp;VAR:KEY=HWTSBQXCZG&amp;VAR:QUERY=RkZfRUJJVERBX0lCKCdMVE1TJywzOTIxNyk=&amp;WINDOW=FIRST_POPUP&amp;HEIGHT=450&amp;WIDTH=450&amp;START_MA","XIMIZED=FALSE&amp;VAR:CALENDAR=US&amp;VAR:SYMBOL=05614P10&amp;VAR:INDEX=0"}</definedName>
    <definedName name="_2841__FDSAUDITLINK__" localSheetId="6" hidden="1">{"fdsup://directions/FAT Viewer?action=UPDATE&amp;creator=factset&amp;DYN_ARGS=TRUE&amp;DOC_NAME=FAT:FQL_AUDITING_CLIENT_TEMPLATE.FAT&amp;display_string=Audit&amp;VAR:KEY=TYFSBORELI&amp;VAR:QUERY=RkZfRUJJVERBX0lCKCdMVE1TJywzOTIxNik=&amp;WINDOW=FIRST_POPUP&amp;HEIGHT=450&amp;WIDTH=450&amp;START_MA","XIMIZED=FALSE&amp;VAR:CALENDAR=US&amp;VAR:SYMBOL=05614P10&amp;VAR:INDEX=0"}</definedName>
    <definedName name="_2841__FDSAUDITLINK__" hidden="1">{"fdsup://directions/FAT Viewer?action=UPDATE&amp;creator=factset&amp;DYN_ARGS=TRUE&amp;DOC_NAME=FAT:FQL_AUDITING_CLIENT_TEMPLATE.FAT&amp;display_string=Audit&amp;VAR:KEY=TYFSBORELI&amp;VAR:QUERY=RkZfRUJJVERBX0lCKCdMVE1TJywzOTIxNik=&amp;WINDOW=FIRST_POPUP&amp;HEIGHT=450&amp;WIDTH=450&amp;START_MA","XIMIZED=FALSE&amp;VAR:CALENDAR=US&amp;VAR:SYMBOL=05614P10&amp;VAR:INDEX=0"}</definedName>
    <definedName name="_2842__FDSAUDITLINK__" localSheetId="6" hidden="1">{"fdsup://directions/FAT Viewer?action=UPDATE&amp;creator=factset&amp;DYN_ARGS=TRUE&amp;DOC_NAME=FAT:FQL_AUDITING_CLIENT_TEMPLATE.FAT&amp;display_string=Audit&amp;VAR:KEY=XUVKNOTQFW&amp;VAR:QUERY=RkZfRUJJVERBX0lCKCdMVE1TJywzOTIxNSk=&amp;WINDOW=FIRST_POPUP&amp;HEIGHT=450&amp;WIDTH=450&amp;START_MA","XIMIZED=FALSE&amp;VAR:CALENDAR=US&amp;VAR:SYMBOL=05614P10&amp;VAR:INDEX=0"}</definedName>
    <definedName name="_2842__FDSAUDITLINK__" hidden="1">{"fdsup://directions/FAT Viewer?action=UPDATE&amp;creator=factset&amp;DYN_ARGS=TRUE&amp;DOC_NAME=FAT:FQL_AUDITING_CLIENT_TEMPLATE.FAT&amp;display_string=Audit&amp;VAR:KEY=XUVKNOTQFW&amp;VAR:QUERY=RkZfRUJJVERBX0lCKCdMVE1TJywzOTIxNSk=&amp;WINDOW=FIRST_POPUP&amp;HEIGHT=450&amp;WIDTH=450&amp;START_MA","XIMIZED=FALSE&amp;VAR:CALENDAR=US&amp;VAR:SYMBOL=05614P10&amp;VAR:INDEX=0"}</definedName>
    <definedName name="_2843__FDSAUDITLINK__" localSheetId="6" hidden="1">{"fdsup://directions/FAT Viewer?action=UPDATE&amp;creator=factset&amp;DYN_ARGS=TRUE&amp;DOC_NAME=FAT:FQL_AUDITING_CLIENT_TEMPLATE.FAT&amp;display_string=Audit&amp;VAR:KEY=PITENATWHK&amp;VAR:QUERY=RkZfRUJJVERBX0lCKCdMVE1TJywzOTIxNCk=&amp;WINDOW=FIRST_POPUP&amp;HEIGHT=450&amp;WIDTH=450&amp;START_MA","XIMIZED=FALSE&amp;VAR:CALENDAR=US&amp;VAR:SYMBOL=05614P10&amp;VAR:INDEX=0"}</definedName>
    <definedName name="_2843__FDSAUDITLINK__" hidden="1">{"fdsup://directions/FAT Viewer?action=UPDATE&amp;creator=factset&amp;DYN_ARGS=TRUE&amp;DOC_NAME=FAT:FQL_AUDITING_CLIENT_TEMPLATE.FAT&amp;display_string=Audit&amp;VAR:KEY=PITENATWHK&amp;VAR:QUERY=RkZfRUJJVERBX0lCKCdMVE1TJywzOTIxNCk=&amp;WINDOW=FIRST_POPUP&amp;HEIGHT=450&amp;WIDTH=450&amp;START_MA","XIMIZED=FALSE&amp;VAR:CALENDAR=US&amp;VAR:SYMBOL=05614P10&amp;VAR:INDEX=0"}</definedName>
    <definedName name="_2844__FDSAUDITLINK__" localSheetId="6" hidden="1">{"fdsup://directions/FAT Viewer?action=UPDATE&amp;creator=factset&amp;DYN_ARGS=TRUE&amp;DOC_NAME=FAT:FQL_AUDITING_CLIENT_TEMPLATE.FAT&amp;display_string=Audit&amp;VAR:KEY=RULCLATUBA&amp;VAR:QUERY=RkZfRUJJVERBX0lCKCdMVE1TJywzOTIxMyk=&amp;WINDOW=FIRST_POPUP&amp;HEIGHT=450&amp;WIDTH=450&amp;START_MA","XIMIZED=FALSE&amp;VAR:CALENDAR=US&amp;VAR:SYMBOL=05614P10&amp;VAR:INDEX=0"}</definedName>
    <definedName name="_2844__FDSAUDITLINK__" hidden="1">{"fdsup://directions/FAT Viewer?action=UPDATE&amp;creator=factset&amp;DYN_ARGS=TRUE&amp;DOC_NAME=FAT:FQL_AUDITING_CLIENT_TEMPLATE.FAT&amp;display_string=Audit&amp;VAR:KEY=RULCLATUBA&amp;VAR:QUERY=RkZfRUJJVERBX0lCKCdMVE1TJywzOTIxMyk=&amp;WINDOW=FIRST_POPUP&amp;HEIGHT=450&amp;WIDTH=450&amp;START_MA","XIMIZED=FALSE&amp;VAR:CALENDAR=US&amp;VAR:SYMBOL=05614P10&amp;VAR:INDEX=0"}</definedName>
    <definedName name="_2845__FDSAUDITLINK__" localSheetId="6" hidden="1">{"fdsup://directions/FAT Viewer?action=UPDATE&amp;creator=factset&amp;DYN_ARGS=TRUE&amp;DOC_NAME=FAT:FQL_AUDITING_CLIENT_TEMPLATE.FAT&amp;display_string=Audit&amp;VAR:KEY=XEDWTULEXE&amp;VAR:QUERY=RkZfRUJJVERBX0lCKCdMVE1TJywzOTIxMik=&amp;WINDOW=FIRST_POPUP&amp;HEIGHT=450&amp;WIDTH=450&amp;START_MA","XIMIZED=FALSE&amp;VAR:CALENDAR=US&amp;VAR:SYMBOL=05614P10&amp;VAR:INDEX=0"}</definedName>
    <definedName name="_2845__FDSAUDITLINK__" hidden="1">{"fdsup://directions/FAT Viewer?action=UPDATE&amp;creator=factset&amp;DYN_ARGS=TRUE&amp;DOC_NAME=FAT:FQL_AUDITING_CLIENT_TEMPLATE.FAT&amp;display_string=Audit&amp;VAR:KEY=XEDWTULEXE&amp;VAR:QUERY=RkZfRUJJVERBX0lCKCdMVE1TJywzOTIxMik=&amp;WINDOW=FIRST_POPUP&amp;HEIGHT=450&amp;WIDTH=450&amp;START_MA","XIMIZED=FALSE&amp;VAR:CALENDAR=US&amp;VAR:SYMBOL=05614P10&amp;VAR:INDEX=0"}</definedName>
    <definedName name="_2846__FDSAUDITLINK__" localSheetId="6" hidden="1">{"fdsup://directions/FAT Viewer?action=UPDATE&amp;creator=factset&amp;DYN_ARGS=TRUE&amp;DOC_NAME=FAT:FQL_AUDITING_CLIENT_TEMPLATE.FAT&amp;display_string=Audit&amp;VAR:KEY=TCPETOJAHG&amp;VAR:QUERY=RkZfRUJJVERBX0lCKCdMVE1TJywzOTIxMSk=&amp;WINDOW=FIRST_POPUP&amp;HEIGHT=450&amp;WIDTH=450&amp;START_MA","XIMIZED=FALSE&amp;VAR:CALENDAR=US&amp;VAR:SYMBOL=05614P10&amp;VAR:INDEX=0"}</definedName>
    <definedName name="_2846__FDSAUDITLINK__" hidden="1">{"fdsup://directions/FAT Viewer?action=UPDATE&amp;creator=factset&amp;DYN_ARGS=TRUE&amp;DOC_NAME=FAT:FQL_AUDITING_CLIENT_TEMPLATE.FAT&amp;display_string=Audit&amp;VAR:KEY=TCPETOJAHG&amp;VAR:QUERY=RkZfRUJJVERBX0lCKCdMVE1TJywzOTIxMSk=&amp;WINDOW=FIRST_POPUP&amp;HEIGHT=450&amp;WIDTH=450&amp;START_MA","XIMIZED=FALSE&amp;VAR:CALENDAR=US&amp;VAR:SYMBOL=05614P10&amp;VAR:INDEX=0"}</definedName>
    <definedName name="_2847__FDSAUDITLINK__" localSheetId="6" hidden="1">{"fdsup://directions/FAT Viewer?action=UPDATE&amp;creator=factset&amp;DYN_ARGS=TRUE&amp;DOC_NAME=FAT:FQL_AUDITING_CLIENT_TEMPLATE.FAT&amp;display_string=Audit&amp;VAR:KEY=VAVQBIFGPS&amp;VAR:QUERY=RkZfRUJJVERBX0lCKCdMVE1TJywzOTIxMCk=&amp;WINDOW=FIRST_POPUP&amp;HEIGHT=450&amp;WIDTH=450&amp;START_MA","XIMIZED=FALSE&amp;VAR:CALENDAR=US&amp;VAR:SYMBOL=05614P10&amp;VAR:INDEX=0"}</definedName>
    <definedName name="_2847__FDSAUDITLINK__" hidden="1">{"fdsup://directions/FAT Viewer?action=UPDATE&amp;creator=factset&amp;DYN_ARGS=TRUE&amp;DOC_NAME=FAT:FQL_AUDITING_CLIENT_TEMPLATE.FAT&amp;display_string=Audit&amp;VAR:KEY=VAVQBIFGPS&amp;VAR:QUERY=RkZfRUJJVERBX0lCKCdMVE1TJywzOTIxMCk=&amp;WINDOW=FIRST_POPUP&amp;HEIGHT=450&amp;WIDTH=450&amp;START_MA","XIMIZED=FALSE&amp;VAR:CALENDAR=US&amp;VAR:SYMBOL=05614P10&amp;VAR:INDEX=0"}</definedName>
    <definedName name="_2848__FDSAUDITLINK__" localSheetId="6" hidden="1">{"fdsup://directions/FAT Viewer?action=UPDATE&amp;creator=factset&amp;DYN_ARGS=TRUE&amp;DOC_NAME=FAT:FQL_AUDITING_CLIENT_TEMPLATE.FAT&amp;display_string=Audit&amp;VAR:KEY=JWJEPCVAHI&amp;VAR:QUERY=RkZfRUJJVERBX0lCKCdMVE1TJywzOTIwOSk=&amp;WINDOW=FIRST_POPUP&amp;HEIGHT=450&amp;WIDTH=450&amp;START_MA","XIMIZED=FALSE&amp;VAR:CALENDAR=US&amp;VAR:SYMBOL=05614P10&amp;VAR:INDEX=0"}</definedName>
    <definedName name="_2848__FDSAUDITLINK__" hidden="1">{"fdsup://directions/FAT Viewer?action=UPDATE&amp;creator=factset&amp;DYN_ARGS=TRUE&amp;DOC_NAME=FAT:FQL_AUDITING_CLIENT_TEMPLATE.FAT&amp;display_string=Audit&amp;VAR:KEY=JWJEPCVAHI&amp;VAR:QUERY=RkZfRUJJVERBX0lCKCdMVE1TJywzOTIwOSk=&amp;WINDOW=FIRST_POPUP&amp;HEIGHT=450&amp;WIDTH=450&amp;START_MA","XIMIZED=FALSE&amp;VAR:CALENDAR=US&amp;VAR:SYMBOL=05614P10&amp;VAR:INDEX=0"}</definedName>
    <definedName name="_2849__FDSAUDITLINK__" localSheetId="6" hidden="1">{"fdsup://directions/FAT Viewer?action=UPDATE&amp;creator=factset&amp;DYN_ARGS=TRUE&amp;DOC_NAME=FAT:FQL_AUDITING_CLIENT_TEMPLATE.FAT&amp;display_string=Audit&amp;VAR:KEY=FIHABQPMFS&amp;VAR:QUERY=RkZfRUJJVERBX0lCKCdMVE1TJywzOTIwOCk=&amp;WINDOW=FIRST_POPUP&amp;HEIGHT=450&amp;WIDTH=450&amp;START_MA","XIMIZED=FALSE&amp;VAR:CALENDAR=US&amp;VAR:SYMBOL=05614P10&amp;VAR:INDEX=0"}</definedName>
    <definedName name="_2849__FDSAUDITLINK__" hidden="1">{"fdsup://directions/FAT Viewer?action=UPDATE&amp;creator=factset&amp;DYN_ARGS=TRUE&amp;DOC_NAME=FAT:FQL_AUDITING_CLIENT_TEMPLATE.FAT&amp;display_string=Audit&amp;VAR:KEY=FIHABQPMFS&amp;VAR:QUERY=RkZfRUJJVERBX0lCKCdMVE1TJywzOTIwOCk=&amp;WINDOW=FIRST_POPUP&amp;HEIGHT=450&amp;WIDTH=450&amp;START_MA","XIMIZED=FALSE&amp;VAR:CALENDAR=US&amp;VAR:SYMBOL=05614P10&amp;VAR:INDEX=0"}</definedName>
    <definedName name="_285__FDSAUDITLINK__" localSheetId="6" hidden="1">{"fdsup://directions/FAT%20Viewer?VAR:PED=LTM&amp;VAR:AUDIT_MODE=SUMMARY&amp;VAR:PERIOD=FIXED&amp;VAR:AUDIT_ID=00000117&amp;VAR:DATE=20090512&amp;action=UPDATE&amp;creator=factset&amp;DOC_NAME=FAT:FMA_audit_SUMMARY.fat&amp;DISPLAY_STRING=Display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5__FDSAUDITLINK__" hidden="1">{"fdsup://directions/FAT%20Viewer?VAR:PED=LTM&amp;VAR:AUDIT_MODE=SUMMARY&amp;VAR:PERIOD=FIXED&amp;VAR:AUDIT_ID=00000117&amp;VAR:DATE=20090512&amp;action=UPDATE&amp;creator=factset&amp;DOC_NAME=FAT:FMA_audit_SUMMARY.fat&amp;DISPLAY_STRING=Display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50__FDSAUDITLINK__" localSheetId="6" hidden="1">{"fdsup://directions/FAT Viewer?action=UPDATE&amp;creator=factset&amp;DYN_ARGS=TRUE&amp;DOC_NAME=FAT:FQL_AUDITING_CLIENT_TEMPLATE.FAT&amp;display_string=Audit&amp;VAR:KEY=NUXELMFWLG&amp;VAR:QUERY=RkZfRUJJVERBX0lCKCdMVE1TJywzOTIwNyk=&amp;WINDOW=FIRST_POPUP&amp;HEIGHT=450&amp;WIDTH=450&amp;START_MA","XIMIZED=FALSE&amp;VAR:CALENDAR=US&amp;VAR:SYMBOL=05614P10&amp;VAR:INDEX=0"}</definedName>
    <definedName name="_2850__FDSAUDITLINK__" hidden="1">{"fdsup://directions/FAT Viewer?action=UPDATE&amp;creator=factset&amp;DYN_ARGS=TRUE&amp;DOC_NAME=FAT:FQL_AUDITING_CLIENT_TEMPLATE.FAT&amp;display_string=Audit&amp;VAR:KEY=NUXELMFWLG&amp;VAR:QUERY=RkZfRUJJVERBX0lCKCdMVE1TJywzOTIwNyk=&amp;WINDOW=FIRST_POPUP&amp;HEIGHT=450&amp;WIDTH=450&amp;START_MA","XIMIZED=FALSE&amp;VAR:CALENDAR=US&amp;VAR:SYMBOL=05614P10&amp;VAR:INDEX=0"}</definedName>
    <definedName name="_2851__FDSAUDITLINK__" localSheetId="6" hidden="1">{"fdsup://directions/FAT Viewer?action=UPDATE&amp;creator=factset&amp;DYN_ARGS=TRUE&amp;DOC_NAME=FAT:FQL_AUDITING_CLIENT_TEMPLATE.FAT&amp;display_string=Audit&amp;VAR:KEY=ZIRWNEXMXK&amp;VAR:QUERY=RkZfRUJJVERBX0lCKCdMVE1TJywzOTIwNik=&amp;WINDOW=FIRST_POPUP&amp;HEIGHT=450&amp;WIDTH=450&amp;START_MA","XIMIZED=FALSE&amp;VAR:CALENDAR=US&amp;VAR:SYMBOL=05614P10&amp;VAR:INDEX=0"}</definedName>
    <definedName name="_2851__FDSAUDITLINK__" hidden="1">{"fdsup://directions/FAT Viewer?action=UPDATE&amp;creator=factset&amp;DYN_ARGS=TRUE&amp;DOC_NAME=FAT:FQL_AUDITING_CLIENT_TEMPLATE.FAT&amp;display_string=Audit&amp;VAR:KEY=ZIRWNEXMXK&amp;VAR:QUERY=RkZfRUJJVERBX0lCKCdMVE1TJywzOTIwNik=&amp;WINDOW=FIRST_POPUP&amp;HEIGHT=450&amp;WIDTH=450&amp;START_MA","XIMIZED=FALSE&amp;VAR:CALENDAR=US&amp;VAR:SYMBOL=05614P10&amp;VAR:INDEX=0"}</definedName>
    <definedName name="_2852__FDSAUDITLINK__" localSheetId="6" hidden="1">{"fdsup://directions/FAT Viewer?action=UPDATE&amp;creator=factset&amp;DYN_ARGS=TRUE&amp;DOC_NAME=FAT:FQL_AUDITING_CLIENT_TEMPLATE.FAT&amp;display_string=Audit&amp;VAR:KEY=RAHQVADEDY&amp;VAR:QUERY=RkZfRUJJVERBX0lCKCdMVE1TJywzOTIwNSk=&amp;WINDOW=FIRST_POPUP&amp;HEIGHT=450&amp;WIDTH=450&amp;START_MA","XIMIZED=FALSE&amp;VAR:CALENDAR=US&amp;VAR:SYMBOL=05614P10&amp;VAR:INDEX=0"}</definedName>
    <definedName name="_2852__FDSAUDITLINK__" hidden="1">{"fdsup://directions/FAT Viewer?action=UPDATE&amp;creator=factset&amp;DYN_ARGS=TRUE&amp;DOC_NAME=FAT:FQL_AUDITING_CLIENT_TEMPLATE.FAT&amp;display_string=Audit&amp;VAR:KEY=RAHQVADEDY&amp;VAR:QUERY=RkZfRUJJVERBX0lCKCdMVE1TJywzOTIwNSk=&amp;WINDOW=FIRST_POPUP&amp;HEIGHT=450&amp;WIDTH=450&amp;START_MA","XIMIZED=FALSE&amp;VAR:CALENDAR=US&amp;VAR:SYMBOL=05614P10&amp;VAR:INDEX=0"}</definedName>
    <definedName name="_2853__FDSAUDITLINK__" localSheetId="6" hidden="1">{"fdsup://directions/FAT Viewer?action=UPDATE&amp;creator=factset&amp;DYN_ARGS=TRUE&amp;DOC_NAME=FAT:FQL_AUDITING_CLIENT_TEMPLATE.FAT&amp;display_string=Audit&amp;VAR:KEY=JYPIRIBEBQ&amp;VAR:QUERY=RkZfRUJJVERBX0lCKCdMVE1TJywzOTIwNCk=&amp;WINDOW=FIRST_POPUP&amp;HEIGHT=450&amp;WIDTH=450&amp;START_MA","XIMIZED=FALSE&amp;VAR:CALENDAR=US&amp;VAR:SYMBOL=05614P10&amp;VAR:INDEX=0"}</definedName>
    <definedName name="_2853__FDSAUDITLINK__" hidden="1">{"fdsup://directions/FAT Viewer?action=UPDATE&amp;creator=factset&amp;DYN_ARGS=TRUE&amp;DOC_NAME=FAT:FQL_AUDITING_CLIENT_TEMPLATE.FAT&amp;display_string=Audit&amp;VAR:KEY=JYPIRIBEBQ&amp;VAR:QUERY=RkZfRUJJVERBX0lCKCdMVE1TJywzOTIwNCk=&amp;WINDOW=FIRST_POPUP&amp;HEIGHT=450&amp;WIDTH=450&amp;START_MA","XIMIZED=FALSE&amp;VAR:CALENDAR=US&amp;VAR:SYMBOL=05614P10&amp;VAR:INDEX=0"}</definedName>
    <definedName name="_2854__FDSAUDITLINK__" localSheetId="6" hidden="1">{"fdsup://directions/FAT Viewer?action=UPDATE&amp;creator=factset&amp;DYN_ARGS=TRUE&amp;DOC_NAME=FAT:FQL_AUDITING_CLIENT_TEMPLATE.FAT&amp;display_string=Audit&amp;VAR:KEY=VGPGNIRUFY&amp;VAR:QUERY=RkZfRUJJVERBX0lCKCdMVE1TJywzOTIwMyk=&amp;WINDOW=FIRST_POPUP&amp;HEIGHT=450&amp;WIDTH=450&amp;START_MA","XIMIZED=FALSE&amp;VAR:CALENDAR=US&amp;VAR:SYMBOL=05614P10&amp;VAR:INDEX=0"}</definedName>
    <definedName name="_2854__FDSAUDITLINK__" hidden="1">{"fdsup://directions/FAT Viewer?action=UPDATE&amp;creator=factset&amp;DYN_ARGS=TRUE&amp;DOC_NAME=FAT:FQL_AUDITING_CLIENT_TEMPLATE.FAT&amp;display_string=Audit&amp;VAR:KEY=VGPGNIRUFY&amp;VAR:QUERY=RkZfRUJJVERBX0lCKCdMVE1TJywzOTIwMyk=&amp;WINDOW=FIRST_POPUP&amp;HEIGHT=450&amp;WIDTH=450&amp;START_MA","XIMIZED=FALSE&amp;VAR:CALENDAR=US&amp;VAR:SYMBOL=05614P10&amp;VAR:INDEX=0"}</definedName>
    <definedName name="_2855__FDSAUDITLINK__" localSheetId="6" hidden="1">{"fdsup://directions/FAT Viewer?action=UPDATE&amp;creator=factset&amp;DYN_ARGS=TRUE&amp;DOC_NAME=FAT:FQL_AUDITING_CLIENT_TEMPLATE.FAT&amp;display_string=Audit&amp;VAR:KEY=ZSHAPGHIBY&amp;VAR:QUERY=RkZfRUJJVERBX0lCKCdMVE1TJywzOTIwMik=&amp;WINDOW=FIRST_POPUP&amp;HEIGHT=450&amp;WIDTH=450&amp;START_MA","XIMIZED=FALSE&amp;VAR:CALENDAR=US&amp;VAR:SYMBOL=05614P10&amp;VAR:INDEX=0"}</definedName>
    <definedName name="_2855__FDSAUDITLINK__" hidden="1">{"fdsup://directions/FAT Viewer?action=UPDATE&amp;creator=factset&amp;DYN_ARGS=TRUE&amp;DOC_NAME=FAT:FQL_AUDITING_CLIENT_TEMPLATE.FAT&amp;display_string=Audit&amp;VAR:KEY=ZSHAPGHIBY&amp;VAR:QUERY=RkZfRUJJVERBX0lCKCdMVE1TJywzOTIwMik=&amp;WINDOW=FIRST_POPUP&amp;HEIGHT=450&amp;WIDTH=450&amp;START_MA","XIMIZED=FALSE&amp;VAR:CALENDAR=US&amp;VAR:SYMBOL=05614P10&amp;VAR:INDEX=0"}</definedName>
    <definedName name="_2856__FDSAUDITLINK__" localSheetId="6" hidden="1">{"fdsup://directions/FAT Viewer?action=UPDATE&amp;creator=factset&amp;DYN_ARGS=TRUE&amp;DOC_NAME=FAT:FQL_AUDITING_CLIENT_TEMPLATE.FAT&amp;display_string=Audit&amp;VAR:KEY=VCZCXAPCBE&amp;VAR:QUERY=RkZfRUJJVERBX0lCKCdMVE1TJywzOTIwMSk=&amp;WINDOW=FIRST_POPUP&amp;HEIGHT=450&amp;WIDTH=450&amp;START_MA","XIMIZED=FALSE&amp;VAR:CALENDAR=US&amp;VAR:SYMBOL=05614P10&amp;VAR:INDEX=0"}</definedName>
    <definedName name="_2856__FDSAUDITLINK__" hidden="1">{"fdsup://directions/FAT Viewer?action=UPDATE&amp;creator=factset&amp;DYN_ARGS=TRUE&amp;DOC_NAME=FAT:FQL_AUDITING_CLIENT_TEMPLATE.FAT&amp;display_string=Audit&amp;VAR:KEY=VCZCXAPCBE&amp;VAR:QUERY=RkZfRUJJVERBX0lCKCdMVE1TJywzOTIwMSk=&amp;WINDOW=FIRST_POPUP&amp;HEIGHT=450&amp;WIDTH=450&amp;START_MA","XIMIZED=FALSE&amp;VAR:CALENDAR=US&amp;VAR:SYMBOL=05614P10&amp;VAR:INDEX=0"}</definedName>
    <definedName name="_2857__FDSAUDITLINK__" localSheetId="6" hidden="1">{"fdsup://directions/FAT Viewer?action=UPDATE&amp;creator=factset&amp;DYN_ARGS=TRUE&amp;DOC_NAME=FAT:FQL_AUDITING_CLIENT_TEMPLATE.FAT&amp;display_string=Audit&amp;VAR:KEY=XCDQDUJCTI&amp;VAR:QUERY=RkZfRUJJVERBX0lCKCdMVE1TJywzOTIwMCk=&amp;WINDOW=FIRST_POPUP&amp;HEIGHT=450&amp;WIDTH=450&amp;START_MA","XIMIZED=FALSE&amp;VAR:CALENDAR=US&amp;VAR:SYMBOL=05614P10&amp;VAR:INDEX=0"}</definedName>
    <definedName name="_2857__FDSAUDITLINK__" hidden="1">{"fdsup://directions/FAT Viewer?action=UPDATE&amp;creator=factset&amp;DYN_ARGS=TRUE&amp;DOC_NAME=FAT:FQL_AUDITING_CLIENT_TEMPLATE.FAT&amp;display_string=Audit&amp;VAR:KEY=XCDQDUJCTI&amp;VAR:QUERY=RkZfRUJJVERBX0lCKCdMVE1TJywzOTIwMCk=&amp;WINDOW=FIRST_POPUP&amp;HEIGHT=450&amp;WIDTH=450&amp;START_MA","XIMIZED=FALSE&amp;VAR:CALENDAR=US&amp;VAR:SYMBOL=05614P10&amp;VAR:INDEX=0"}</definedName>
    <definedName name="_2858__FDSAUDITLINK__" localSheetId="6" hidden="1">{"fdsup://directions/FAT Viewer?action=UPDATE&amp;creator=factset&amp;DYN_ARGS=TRUE&amp;DOC_NAME=FAT:FQL_AUDITING_CLIENT_TEMPLATE.FAT&amp;display_string=Audit&amp;VAR:KEY=FORONSBURQ&amp;VAR:QUERY=RkZfRUJJVERBX0lCKCdMVE1TJywzOTE5OSk=&amp;WINDOW=FIRST_POPUP&amp;HEIGHT=450&amp;WIDTH=450&amp;START_MA","XIMIZED=FALSE&amp;VAR:CALENDAR=US&amp;VAR:SYMBOL=05614P10&amp;VAR:INDEX=0"}</definedName>
    <definedName name="_2858__FDSAUDITLINK__" hidden="1">{"fdsup://directions/FAT Viewer?action=UPDATE&amp;creator=factset&amp;DYN_ARGS=TRUE&amp;DOC_NAME=FAT:FQL_AUDITING_CLIENT_TEMPLATE.FAT&amp;display_string=Audit&amp;VAR:KEY=FORONSBURQ&amp;VAR:QUERY=RkZfRUJJVERBX0lCKCdMVE1TJywzOTE5OSk=&amp;WINDOW=FIRST_POPUP&amp;HEIGHT=450&amp;WIDTH=450&amp;START_MA","XIMIZED=FALSE&amp;VAR:CALENDAR=US&amp;VAR:SYMBOL=05614P10&amp;VAR:INDEX=0"}</definedName>
    <definedName name="_2859__FDSAUDITLINK__" localSheetId="6" hidden="1">{"fdsup://directions/FAT Viewer?action=UPDATE&amp;creator=factset&amp;DYN_ARGS=TRUE&amp;DOC_NAME=FAT:FQL_AUDITING_CLIENT_TEMPLATE.FAT&amp;display_string=Audit&amp;VAR:KEY=XKNGFEXOPO&amp;VAR:QUERY=RkZfRUJJVERBX0lCKCdMVE1TJywzOTE5OCk=&amp;WINDOW=FIRST_POPUP&amp;HEIGHT=450&amp;WIDTH=450&amp;START_MA","XIMIZED=FALSE&amp;VAR:CALENDAR=US&amp;VAR:SYMBOL=05614P10&amp;VAR:INDEX=0"}</definedName>
    <definedName name="_2859__FDSAUDITLINK__" hidden="1">{"fdsup://directions/FAT Viewer?action=UPDATE&amp;creator=factset&amp;DYN_ARGS=TRUE&amp;DOC_NAME=FAT:FQL_AUDITING_CLIENT_TEMPLATE.FAT&amp;display_string=Audit&amp;VAR:KEY=XKNGFEXOPO&amp;VAR:QUERY=RkZfRUJJVERBX0lCKCdMVE1TJywzOTE5OCk=&amp;WINDOW=FIRST_POPUP&amp;HEIGHT=450&amp;WIDTH=450&amp;START_MA","XIMIZED=FALSE&amp;VAR:CALENDAR=US&amp;VAR:SYMBOL=05614P10&amp;VAR:INDEX=0"}</definedName>
    <definedName name="_286__FDSAUDITLINK__" localSheetId="6" hidden="1">{"fdsup://directions/FAT%20Viewer?VAR:PED=LTM&amp;VAR:AUDIT_MODE=SUMMARY&amp;VAR:PERIOD=FIXED&amp;VAR:AUDIT_ID=00000117&amp;VAR:DATE=20090511&amp;action=UPDATE&amp;creator=factset&amp;DOC_NAME=FAT:FMA_audit_SUMMARY.fat&amp;DISPLAY_STRING=Display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6__FDSAUDITLINK__" hidden="1">{"fdsup://directions/FAT%20Viewer?VAR:PED=LTM&amp;VAR:AUDIT_MODE=SUMMARY&amp;VAR:PERIOD=FIXED&amp;VAR:AUDIT_ID=00000117&amp;VAR:DATE=20090511&amp;action=UPDATE&amp;creator=factset&amp;DOC_NAME=FAT:FMA_audit_SUMMARY.fat&amp;DISPLAY_STRING=Display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60__FDSAUDITLINK__" localSheetId="6" hidden="1">{"fdsup://directions/FAT Viewer?action=UPDATE&amp;creator=factset&amp;DYN_ARGS=TRUE&amp;DOC_NAME=FAT:FQL_AUDITING_CLIENT_TEMPLATE.FAT&amp;display_string=Audit&amp;VAR:KEY=FYVWBKFILS&amp;VAR:QUERY=RkZfRUJJVERBX0lCKCdMVE1TJywzOTE5Nyk=&amp;WINDOW=FIRST_POPUP&amp;HEIGHT=450&amp;WIDTH=450&amp;START_MA","XIMIZED=FALSE&amp;VAR:CALENDAR=US&amp;VAR:SYMBOL=05614P10&amp;VAR:INDEX=0"}</definedName>
    <definedName name="_2860__FDSAUDITLINK__" hidden="1">{"fdsup://directions/FAT Viewer?action=UPDATE&amp;creator=factset&amp;DYN_ARGS=TRUE&amp;DOC_NAME=FAT:FQL_AUDITING_CLIENT_TEMPLATE.FAT&amp;display_string=Audit&amp;VAR:KEY=FYVWBKFILS&amp;VAR:QUERY=RkZfRUJJVERBX0lCKCdMVE1TJywzOTE5Nyk=&amp;WINDOW=FIRST_POPUP&amp;HEIGHT=450&amp;WIDTH=450&amp;START_MA","XIMIZED=FALSE&amp;VAR:CALENDAR=US&amp;VAR:SYMBOL=05614P10&amp;VAR:INDEX=0"}</definedName>
    <definedName name="_2861__FDSAUDITLINK__" localSheetId="6" hidden="1">{"fdsup://directions/FAT Viewer?action=UPDATE&amp;creator=factset&amp;DYN_ARGS=TRUE&amp;DOC_NAME=FAT:FQL_AUDITING_CLIENT_TEMPLATE.FAT&amp;display_string=Audit&amp;VAR:KEY=DUZMXUNAXQ&amp;VAR:QUERY=RkZfRUJJVERBX0lCKCdMVE1TJywzOTE5Nik=&amp;WINDOW=FIRST_POPUP&amp;HEIGHT=450&amp;WIDTH=450&amp;START_MA","XIMIZED=FALSE&amp;VAR:CALENDAR=US&amp;VAR:SYMBOL=05614P10&amp;VAR:INDEX=0"}</definedName>
    <definedName name="_2861__FDSAUDITLINK__" hidden="1">{"fdsup://directions/FAT Viewer?action=UPDATE&amp;creator=factset&amp;DYN_ARGS=TRUE&amp;DOC_NAME=FAT:FQL_AUDITING_CLIENT_TEMPLATE.FAT&amp;display_string=Audit&amp;VAR:KEY=DUZMXUNAXQ&amp;VAR:QUERY=RkZfRUJJVERBX0lCKCdMVE1TJywzOTE5Nik=&amp;WINDOW=FIRST_POPUP&amp;HEIGHT=450&amp;WIDTH=450&amp;START_MA","XIMIZED=FALSE&amp;VAR:CALENDAR=US&amp;VAR:SYMBOL=05614P10&amp;VAR:INDEX=0"}</definedName>
    <definedName name="_2862__FDSAUDITLINK__" localSheetId="6" hidden="1">{"fdsup://directions/FAT Viewer?action=UPDATE&amp;creator=factset&amp;DYN_ARGS=TRUE&amp;DOC_NAME=FAT:FQL_AUDITING_CLIENT_TEMPLATE.FAT&amp;display_string=Audit&amp;VAR:KEY=VSLCHCVWHU&amp;VAR:QUERY=RkZfRUJJVERBX0lCKCdMVE1TJywzOTE5NSk=&amp;WINDOW=FIRST_POPUP&amp;HEIGHT=450&amp;WIDTH=450&amp;START_MA","XIMIZED=FALSE&amp;VAR:CALENDAR=US&amp;VAR:SYMBOL=05614P10&amp;VAR:INDEX=0"}</definedName>
    <definedName name="_2862__FDSAUDITLINK__" hidden="1">{"fdsup://directions/FAT Viewer?action=UPDATE&amp;creator=factset&amp;DYN_ARGS=TRUE&amp;DOC_NAME=FAT:FQL_AUDITING_CLIENT_TEMPLATE.FAT&amp;display_string=Audit&amp;VAR:KEY=VSLCHCVWHU&amp;VAR:QUERY=RkZfRUJJVERBX0lCKCdMVE1TJywzOTE5NSk=&amp;WINDOW=FIRST_POPUP&amp;HEIGHT=450&amp;WIDTH=450&amp;START_MA","XIMIZED=FALSE&amp;VAR:CALENDAR=US&amp;VAR:SYMBOL=05614P10&amp;VAR:INDEX=0"}</definedName>
    <definedName name="_2863__FDSAUDITLINK__" localSheetId="6" hidden="1">{"fdsup://directions/FAT Viewer?action=UPDATE&amp;creator=factset&amp;DYN_ARGS=TRUE&amp;DOC_NAME=FAT:FQL_AUDITING_CLIENT_TEMPLATE.FAT&amp;display_string=Audit&amp;VAR:KEY=RMHYLWRQBW&amp;VAR:QUERY=RkZfRUJJVERBX0lCKCdMVE1TJywzOTE5NCk=&amp;WINDOW=FIRST_POPUP&amp;HEIGHT=450&amp;WIDTH=450&amp;START_MA","XIMIZED=FALSE&amp;VAR:CALENDAR=US&amp;VAR:SYMBOL=05614P10&amp;VAR:INDEX=0"}</definedName>
    <definedName name="_2863__FDSAUDITLINK__" hidden="1">{"fdsup://directions/FAT Viewer?action=UPDATE&amp;creator=factset&amp;DYN_ARGS=TRUE&amp;DOC_NAME=FAT:FQL_AUDITING_CLIENT_TEMPLATE.FAT&amp;display_string=Audit&amp;VAR:KEY=RMHYLWRQBW&amp;VAR:QUERY=RkZfRUJJVERBX0lCKCdMVE1TJywzOTE5NCk=&amp;WINDOW=FIRST_POPUP&amp;HEIGHT=450&amp;WIDTH=450&amp;START_MA","XIMIZED=FALSE&amp;VAR:CALENDAR=US&amp;VAR:SYMBOL=05614P10&amp;VAR:INDEX=0"}</definedName>
    <definedName name="_2864__FDSAUDITLINK__" localSheetId="6" hidden="1">{"fdsup://directions/FAT Viewer?action=UPDATE&amp;creator=factset&amp;DYN_ARGS=TRUE&amp;DOC_NAME=FAT:FQL_AUDITING_CLIENT_TEMPLATE.FAT&amp;display_string=Audit&amp;VAR:KEY=ZOZMRGHIFS&amp;VAR:QUERY=RkZfRUJJVERBX0lCKCdMVE1TJywzOTE5Myk=&amp;WINDOW=FIRST_POPUP&amp;HEIGHT=450&amp;WIDTH=450&amp;START_MA","XIMIZED=FALSE&amp;VAR:CALENDAR=US&amp;VAR:SYMBOL=05614P10&amp;VAR:INDEX=0"}</definedName>
    <definedName name="_2864__FDSAUDITLINK__" hidden="1">{"fdsup://directions/FAT Viewer?action=UPDATE&amp;creator=factset&amp;DYN_ARGS=TRUE&amp;DOC_NAME=FAT:FQL_AUDITING_CLIENT_TEMPLATE.FAT&amp;display_string=Audit&amp;VAR:KEY=ZOZMRGHIFS&amp;VAR:QUERY=RkZfRUJJVERBX0lCKCdMVE1TJywzOTE5Myk=&amp;WINDOW=FIRST_POPUP&amp;HEIGHT=450&amp;WIDTH=450&amp;START_MA","XIMIZED=FALSE&amp;VAR:CALENDAR=US&amp;VAR:SYMBOL=05614P10&amp;VAR:INDEX=0"}</definedName>
    <definedName name="_2865__FDSAUDITLINK__" localSheetId="6" hidden="1">{"fdsup://directions/FAT Viewer?action=UPDATE&amp;creator=factset&amp;DYN_ARGS=TRUE&amp;DOC_NAME=FAT:FQL_AUDITING_CLIENT_TEMPLATE.FAT&amp;display_string=Audit&amp;VAR:KEY=FMHYNSHMPK&amp;VAR:QUERY=RkZfRUJJVERBX0lCKCdMVE1TJywzOTE5Mik=&amp;WINDOW=FIRST_POPUP&amp;HEIGHT=450&amp;WIDTH=450&amp;START_MA","XIMIZED=FALSE&amp;VAR:CALENDAR=US&amp;VAR:SYMBOL=05614P10&amp;VAR:INDEX=0"}</definedName>
    <definedName name="_2865__FDSAUDITLINK__" hidden="1">{"fdsup://directions/FAT Viewer?action=UPDATE&amp;creator=factset&amp;DYN_ARGS=TRUE&amp;DOC_NAME=FAT:FQL_AUDITING_CLIENT_TEMPLATE.FAT&amp;display_string=Audit&amp;VAR:KEY=FMHYNSHMPK&amp;VAR:QUERY=RkZfRUJJVERBX0lCKCdMVE1TJywzOTE5Mik=&amp;WINDOW=FIRST_POPUP&amp;HEIGHT=450&amp;WIDTH=450&amp;START_MA","XIMIZED=FALSE&amp;VAR:CALENDAR=US&amp;VAR:SYMBOL=05614P10&amp;VAR:INDEX=0"}</definedName>
    <definedName name="_2866__FDSAUDITLINK__" localSheetId="6" hidden="1">{"fdsup://directions/FAT Viewer?action=UPDATE&amp;creator=factset&amp;DYN_ARGS=TRUE&amp;DOC_NAME=FAT:FQL_AUDITING_CLIENT_TEMPLATE.FAT&amp;display_string=Audit&amp;VAR:KEY=VKRUPSFQPU&amp;VAR:QUERY=RkZfRUJJVERBX0lCKCdMVE1TJywzOTE5MSk=&amp;WINDOW=FIRST_POPUP&amp;HEIGHT=450&amp;WIDTH=450&amp;START_MA","XIMIZED=FALSE&amp;VAR:CALENDAR=US&amp;VAR:SYMBOL=05614P10&amp;VAR:INDEX=0"}</definedName>
    <definedName name="_2866__FDSAUDITLINK__" hidden="1">{"fdsup://directions/FAT Viewer?action=UPDATE&amp;creator=factset&amp;DYN_ARGS=TRUE&amp;DOC_NAME=FAT:FQL_AUDITING_CLIENT_TEMPLATE.FAT&amp;display_string=Audit&amp;VAR:KEY=VKRUPSFQPU&amp;VAR:QUERY=RkZfRUJJVERBX0lCKCdMVE1TJywzOTE5MSk=&amp;WINDOW=FIRST_POPUP&amp;HEIGHT=450&amp;WIDTH=450&amp;START_MA","XIMIZED=FALSE&amp;VAR:CALENDAR=US&amp;VAR:SYMBOL=05614P10&amp;VAR:INDEX=0"}</definedName>
    <definedName name="_2867__FDSAUDITLINK__" localSheetId="6" hidden="1">{"fdsup://directions/FAT Viewer?action=UPDATE&amp;creator=factset&amp;DYN_ARGS=TRUE&amp;DOC_NAME=FAT:FQL_AUDITING_CLIENT_TEMPLATE.FAT&amp;display_string=Audit&amp;VAR:KEY=VOPKFQZQVS&amp;VAR:QUERY=RkZfRUJJVERBX0lCKCdMVE1TJywzOTE5MCk=&amp;WINDOW=FIRST_POPUP&amp;HEIGHT=450&amp;WIDTH=450&amp;START_MA","XIMIZED=FALSE&amp;VAR:CALENDAR=US&amp;VAR:SYMBOL=05614P10&amp;VAR:INDEX=0"}</definedName>
    <definedName name="_2867__FDSAUDITLINK__" hidden="1">{"fdsup://directions/FAT Viewer?action=UPDATE&amp;creator=factset&amp;DYN_ARGS=TRUE&amp;DOC_NAME=FAT:FQL_AUDITING_CLIENT_TEMPLATE.FAT&amp;display_string=Audit&amp;VAR:KEY=VOPKFQZQVS&amp;VAR:QUERY=RkZfRUJJVERBX0lCKCdMVE1TJywzOTE5MCk=&amp;WINDOW=FIRST_POPUP&amp;HEIGHT=450&amp;WIDTH=450&amp;START_MA","XIMIZED=FALSE&amp;VAR:CALENDAR=US&amp;VAR:SYMBOL=05614P10&amp;VAR:INDEX=0"}</definedName>
    <definedName name="_2868__FDSAUDITLINK__" localSheetId="6" hidden="1">{"fdsup://directions/FAT Viewer?action=UPDATE&amp;creator=factset&amp;DYN_ARGS=TRUE&amp;DOC_NAME=FAT:FQL_AUDITING_CLIENT_TEMPLATE.FAT&amp;display_string=Audit&amp;VAR:KEY=HUVGHSLSHE&amp;VAR:QUERY=RkZfRUJJVERBX0lCKCdMVE1TJywzOTE4OSk=&amp;WINDOW=FIRST_POPUP&amp;HEIGHT=450&amp;WIDTH=450&amp;START_MA","XIMIZED=FALSE&amp;VAR:CALENDAR=US&amp;VAR:SYMBOL=05614P10&amp;VAR:INDEX=0"}</definedName>
    <definedName name="_2868__FDSAUDITLINK__" hidden="1">{"fdsup://directions/FAT Viewer?action=UPDATE&amp;creator=factset&amp;DYN_ARGS=TRUE&amp;DOC_NAME=FAT:FQL_AUDITING_CLIENT_TEMPLATE.FAT&amp;display_string=Audit&amp;VAR:KEY=HUVGHSLSHE&amp;VAR:QUERY=RkZfRUJJVERBX0lCKCdMVE1TJywzOTE4OSk=&amp;WINDOW=FIRST_POPUP&amp;HEIGHT=450&amp;WIDTH=450&amp;START_MA","XIMIZED=FALSE&amp;VAR:CALENDAR=US&amp;VAR:SYMBOL=05614P10&amp;VAR:INDEX=0"}</definedName>
    <definedName name="_2869__FDSAUDITLINK__" localSheetId="6" hidden="1">{"fdsup://directions/FAT Viewer?action=UPDATE&amp;creator=factset&amp;DYN_ARGS=TRUE&amp;DOC_NAME=FAT:FQL_AUDITING_CLIENT_TEMPLATE.FAT&amp;display_string=Audit&amp;VAR:KEY=RWXMNWZGPO&amp;VAR:QUERY=RkZfRUJJVERBX0lCKCdMVE1TJywzOTE4OCk=&amp;WINDOW=FIRST_POPUP&amp;HEIGHT=450&amp;WIDTH=450&amp;START_MA","XIMIZED=FALSE&amp;VAR:CALENDAR=US&amp;VAR:SYMBOL=05614P10&amp;VAR:INDEX=0"}</definedName>
    <definedName name="_2869__FDSAUDITLINK__" hidden="1">{"fdsup://directions/FAT Viewer?action=UPDATE&amp;creator=factset&amp;DYN_ARGS=TRUE&amp;DOC_NAME=FAT:FQL_AUDITING_CLIENT_TEMPLATE.FAT&amp;display_string=Audit&amp;VAR:KEY=RWXMNWZGPO&amp;VAR:QUERY=RkZfRUJJVERBX0lCKCdMVE1TJywzOTE4OCk=&amp;WINDOW=FIRST_POPUP&amp;HEIGHT=450&amp;WIDTH=450&amp;START_MA","XIMIZED=FALSE&amp;VAR:CALENDAR=US&amp;VAR:SYMBOL=05614P10&amp;VAR:INDEX=0"}</definedName>
    <definedName name="_287__FDSAUDITLINK__" localSheetId="6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7__FDSAUDITLINK__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70__FDSAUDITLINK__" localSheetId="6" hidden="1">{"fdsup://directions/FAT Viewer?action=UPDATE&amp;creator=factset&amp;DYN_ARGS=TRUE&amp;DOC_NAME=FAT:FQL_AUDITING_CLIENT_TEMPLATE.FAT&amp;display_string=Audit&amp;VAR:KEY=NUJSPSTYBQ&amp;VAR:QUERY=RkZfRUJJVERBX0lCKCdMVE1TJywzOTE4Nyk=&amp;WINDOW=FIRST_POPUP&amp;HEIGHT=450&amp;WIDTH=450&amp;START_MA","XIMIZED=FALSE&amp;VAR:CALENDAR=US&amp;VAR:SYMBOL=05614P10&amp;VAR:INDEX=0"}</definedName>
    <definedName name="_2870__FDSAUDITLINK__" hidden="1">{"fdsup://directions/FAT Viewer?action=UPDATE&amp;creator=factset&amp;DYN_ARGS=TRUE&amp;DOC_NAME=FAT:FQL_AUDITING_CLIENT_TEMPLATE.FAT&amp;display_string=Audit&amp;VAR:KEY=NUJSPSTYBQ&amp;VAR:QUERY=RkZfRUJJVERBX0lCKCdMVE1TJywzOTE4Nyk=&amp;WINDOW=FIRST_POPUP&amp;HEIGHT=450&amp;WIDTH=450&amp;START_MA","XIMIZED=FALSE&amp;VAR:CALENDAR=US&amp;VAR:SYMBOL=05614P10&amp;VAR:INDEX=0"}</definedName>
    <definedName name="_2871__FDSAUDITLINK__" localSheetId="6" hidden="1">{"fdsup://directions/FAT Viewer?action=UPDATE&amp;creator=factset&amp;DYN_ARGS=TRUE&amp;DOC_NAME=FAT:FQL_AUDITING_CLIENT_TEMPLATE.FAT&amp;display_string=Audit&amp;VAR:KEY=TKHWZKDUBK&amp;VAR:QUERY=RkZfRUJJVERBX0lCKCdMVE1TJywzOTE4Nik=&amp;WINDOW=FIRST_POPUP&amp;HEIGHT=450&amp;WIDTH=450&amp;START_MA","XIMIZED=FALSE&amp;VAR:CALENDAR=US&amp;VAR:SYMBOL=05614P10&amp;VAR:INDEX=0"}</definedName>
    <definedName name="_2871__FDSAUDITLINK__" hidden="1">{"fdsup://directions/FAT Viewer?action=UPDATE&amp;creator=factset&amp;DYN_ARGS=TRUE&amp;DOC_NAME=FAT:FQL_AUDITING_CLIENT_TEMPLATE.FAT&amp;display_string=Audit&amp;VAR:KEY=TKHWZKDUBK&amp;VAR:QUERY=RkZfRUJJVERBX0lCKCdMVE1TJywzOTE4Nik=&amp;WINDOW=FIRST_POPUP&amp;HEIGHT=450&amp;WIDTH=450&amp;START_MA","XIMIZED=FALSE&amp;VAR:CALENDAR=US&amp;VAR:SYMBOL=05614P10&amp;VAR:INDEX=0"}</definedName>
    <definedName name="_2872__FDSAUDITLINK__" localSheetId="6" hidden="1">{"fdsup://directions/FAT Viewer?action=UPDATE&amp;creator=factset&amp;DYN_ARGS=TRUE&amp;DOC_NAME=FAT:FQL_AUDITING_CLIENT_TEMPLATE.FAT&amp;display_string=Audit&amp;VAR:KEY=LYHSDWHGRY&amp;VAR:QUERY=RkZfRUJJVERBX0lCKCdMVE1TJywzOTE4NSk=&amp;WINDOW=FIRST_POPUP&amp;HEIGHT=450&amp;WIDTH=450&amp;START_MA","XIMIZED=FALSE&amp;VAR:CALENDAR=US&amp;VAR:SYMBOL=05614P10&amp;VAR:INDEX=0"}</definedName>
    <definedName name="_2872__FDSAUDITLINK__" hidden="1">{"fdsup://directions/FAT Viewer?action=UPDATE&amp;creator=factset&amp;DYN_ARGS=TRUE&amp;DOC_NAME=FAT:FQL_AUDITING_CLIENT_TEMPLATE.FAT&amp;display_string=Audit&amp;VAR:KEY=LYHSDWHGRY&amp;VAR:QUERY=RkZfRUJJVERBX0lCKCdMVE1TJywzOTE4NSk=&amp;WINDOW=FIRST_POPUP&amp;HEIGHT=450&amp;WIDTH=450&amp;START_MA","XIMIZED=FALSE&amp;VAR:CALENDAR=US&amp;VAR:SYMBOL=05614P10&amp;VAR:INDEX=0"}</definedName>
    <definedName name="_2873__FDSAUDITLINK__" localSheetId="6" hidden="1">{"fdsup://directions/FAT Viewer?action=UPDATE&amp;creator=factset&amp;DYN_ARGS=TRUE&amp;DOC_NAME=FAT:FQL_AUDITING_CLIENT_TEMPLATE.FAT&amp;display_string=Audit&amp;VAR:KEY=NKDQLEPIFU&amp;VAR:QUERY=RkZfRUJJVERBX0lCKCdMVE1TJywzOTE4NCk=&amp;WINDOW=FIRST_POPUP&amp;HEIGHT=450&amp;WIDTH=450&amp;START_MA","XIMIZED=FALSE&amp;VAR:CALENDAR=US&amp;VAR:SYMBOL=05614P10&amp;VAR:INDEX=0"}</definedName>
    <definedName name="_2873__FDSAUDITLINK__" hidden="1">{"fdsup://directions/FAT Viewer?action=UPDATE&amp;creator=factset&amp;DYN_ARGS=TRUE&amp;DOC_NAME=FAT:FQL_AUDITING_CLIENT_TEMPLATE.FAT&amp;display_string=Audit&amp;VAR:KEY=NKDQLEPIFU&amp;VAR:QUERY=RkZfRUJJVERBX0lCKCdMVE1TJywzOTE4NCk=&amp;WINDOW=FIRST_POPUP&amp;HEIGHT=450&amp;WIDTH=450&amp;START_MA","XIMIZED=FALSE&amp;VAR:CALENDAR=US&amp;VAR:SYMBOL=05614P10&amp;VAR:INDEX=0"}</definedName>
    <definedName name="_2874__FDSAUDITLINK__" localSheetId="6" hidden="1">{"fdsup://directions/FAT Viewer?action=UPDATE&amp;creator=factset&amp;DYN_ARGS=TRUE&amp;DOC_NAME=FAT:FQL_AUDITING_CLIENT_TEMPLATE.FAT&amp;display_string=Audit&amp;VAR:KEY=RGZEXOJKJM&amp;VAR:QUERY=RkZfRUJJVERBX0lCKCdMVE1TJywzOTE4Myk=&amp;WINDOW=FIRST_POPUP&amp;HEIGHT=450&amp;WIDTH=450&amp;START_MA","XIMIZED=FALSE&amp;VAR:CALENDAR=US&amp;VAR:SYMBOL=05614P10&amp;VAR:INDEX=0"}</definedName>
    <definedName name="_2874__FDSAUDITLINK__" hidden="1">{"fdsup://directions/FAT Viewer?action=UPDATE&amp;creator=factset&amp;DYN_ARGS=TRUE&amp;DOC_NAME=FAT:FQL_AUDITING_CLIENT_TEMPLATE.FAT&amp;display_string=Audit&amp;VAR:KEY=RGZEXOJKJM&amp;VAR:QUERY=RkZfRUJJVERBX0lCKCdMVE1TJywzOTE4Myk=&amp;WINDOW=FIRST_POPUP&amp;HEIGHT=450&amp;WIDTH=450&amp;START_MA","XIMIZED=FALSE&amp;VAR:CALENDAR=US&amp;VAR:SYMBOL=05614P10&amp;VAR:INDEX=0"}</definedName>
    <definedName name="_2875__FDSAUDITLINK__" localSheetId="6" hidden="1">{"fdsup://directions/FAT Viewer?action=UPDATE&amp;creator=factset&amp;DYN_ARGS=TRUE&amp;DOC_NAME=FAT:FQL_AUDITING_CLIENT_TEMPLATE.FAT&amp;display_string=Audit&amp;VAR:KEY=BKJKHKBINE&amp;VAR:QUERY=RkZfRUJJVERBX0lCKCdMVE1TJywzOTE4Mik=&amp;WINDOW=FIRST_POPUP&amp;HEIGHT=450&amp;WIDTH=450&amp;START_MA","XIMIZED=FALSE&amp;VAR:CALENDAR=US&amp;VAR:SYMBOL=05614P10&amp;VAR:INDEX=0"}</definedName>
    <definedName name="_2875__FDSAUDITLINK__" hidden="1">{"fdsup://directions/FAT Viewer?action=UPDATE&amp;creator=factset&amp;DYN_ARGS=TRUE&amp;DOC_NAME=FAT:FQL_AUDITING_CLIENT_TEMPLATE.FAT&amp;display_string=Audit&amp;VAR:KEY=BKJKHKBINE&amp;VAR:QUERY=RkZfRUJJVERBX0lCKCdMVE1TJywzOTE4Mik=&amp;WINDOW=FIRST_POPUP&amp;HEIGHT=450&amp;WIDTH=450&amp;START_MA","XIMIZED=FALSE&amp;VAR:CALENDAR=US&amp;VAR:SYMBOL=05614P10&amp;VAR:INDEX=0"}</definedName>
    <definedName name="_2876__FDSAUDITLINK__" localSheetId="6" hidden="1">{"fdsup://directions/FAT Viewer?action=UPDATE&amp;creator=factset&amp;DYN_ARGS=TRUE&amp;DOC_NAME=FAT:FQL_AUDITING_CLIENT_TEMPLATE.FAT&amp;display_string=Audit&amp;VAR:KEY=LSPYRCDKVS&amp;VAR:QUERY=RkZfRUJJVERBX0lCKCdMVE1TJywzOTE4MSk=&amp;WINDOW=FIRST_POPUP&amp;HEIGHT=450&amp;WIDTH=450&amp;START_MA","XIMIZED=FALSE&amp;VAR:CALENDAR=US&amp;VAR:SYMBOL=05614P10&amp;VAR:INDEX=0"}</definedName>
    <definedName name="_2876__FDSAUDITLINK__" hidden="1">{"fdsup://directions/FAT Viewer?action=UPDATE&amp;creator=factset&amp;DYN_ARGS=TRUE&amp;DOC_NAME=FAT:FQL_AUDITING_CLIENT_TEMPLATE.FAT&amp;display_string=Audit&amp;VAR:KEY=LSPYRCDKVS&amp;VAR:QUERY=RkZfRUJJVERBX0lCKCdMVE1TJywzOTE4MSk=&amp;WINDOW=FIRST_POPUP&amp;HEIGHT=450&amp;WIDTH=450&amp;START_MA","XIMIZED=FALSE&amp;VAR:CALENDAR=US&amp;VAR:SYMBOL=05614P10&amp;VAR:INDEX=0"}</definedName>
    <definedName name="_2877__FDSAUDITLINK__" localSheetId="6" hidden="1">{"fdsup://directions/FAT Viewer?action=UPDATE&amp;creator=factset&amp;DYN_ARGS=TRUE&amp;DOC_NAME=FAT:FQL_AUDITING_CLIENT_TEMPLATE.FAT&amp;display_string=Audit&amp;VAR:KEY=JWHINSVENO&amp;VAR:QUERY=RkZfRUJJVERBX0lCKCdMVE1TJywzOTE4MCk=&amp;WINDOW=FIRST_POPUP&amp;HEIGHT=450&amp;WIDTH=450&amp;START_MA","XIMIZED=FALSE&amp;VAR:CALENDAR=US&amp;VAR:SYMBOL=05614P10&amp;VAR:INDEX=0"}</definedName>
    <definedName name="_2877__FDSAUDITLINK__" hidden="1">{"fdsup://directions/FAT Viewer?action=UPDATE&amp;creator=factset&amp;DYN_ARGS=TRUE&amp;DOC_NAME=FAT:FQL_AUDITING_CLIENT_TEMPLATE.FAT&amp;display_string=Audit&amp;VAR:KEY=JWHINSVENO&amp;VAR:QUERY=RkZfRUJJVERBX0lCKCdMVE1TJywzOTE4MCk=&amp;WINDOW=FIRST_POPUP&amp;HEIGHT=450&amp;WIDTH=450&amp;START_MA","XIMIZED=FALSE&amp;VAR:CALENDAR=US&amp;VAR:SYMBOL=05614P10&amp;VAR:INDEX=0"}</definedName>
    <definedName name="_2878__FDSAUDITLINK__" localSheetId="6" hidden="1">{"fdsup://directions/FAT Viewer?action=UPDATE&amp;creator=factset&amp;DYN_ARGS=TRUE&amp;DOC_NAME=FAT:FQL_AUDITING_CLIENT_TEMPLATE.FAT&amp;display_string=Audit&amp;VAR:KEY=DWTIFWDKVY&amp;VAR:QUERY=RkZfRUJJVERBX0lCKCdMVE1TJywzOTE3OSk=&amp;WINDOW=FIRST_POPUP&amp;HEIGHT=450&amp;WIDTH=450&amp;START_MA","XIMIZED=FALSE&amp;VAR:CALENDAR=US&amp;VAR:SYMBOL=05614P10&amp;VAR:INDEX=0"}</definedName>
    <definedName name="_2878__FDSAUDITLINK__" hidden="1">{"fdsup://directions/FAT Viewer?action=UPDATE&amp;creator=factset&amp;DYN_ARGS=TRUE&amp;DOC_NAME=FAT:FQL_AUDITING_CLIENT_TEMPLATE.FAT&amp;display_string=Audit&amp;VAR:KEY=DWTIFWDKVY&amp;VAR:QUERY=RkZfRUJJVERBX0lCKCdMVE1TJywzOTE3OSk=&amp;WINDOW=FIRST_POPUP&amp;HEIGHT=450&amp;WIDTH=450&amp;START_MA","XIMIZED=FALSE&amp;VAR:CALENDAR=US&amp;VAR:SYMBOL=05614P10&amp;VAR:INDEX=0"}</definedName>
    <definedName name="_2879__FDSAUDITLINK__" localSheetId="6" hidden="1">{"fdsup://directions/FAT Viewer?action=UPDATE&amp;creator=factset&amp;DYN_ARGS=TRUE&amp;DOC_NAME=FAT:FQL_AUDITING_CLIENT_TEMPLATE.FAT&amp;display_string=Audit&amp;VAR:KEY=DYFKJCJGXQ&amp;VAR:QUERY=RkZfRUJJVERBX0lCKCdMVE1TJywzOTE3OCk=&amp;WINDOW=FIRST_POPUP&amp;HEIGHT=450&amp;WIDTH=450&amp;START_MA","XIMIZED=FALSE&amp;VAR:CALENDAR=US&amp;VAR:SYMBOL=05614P10&amp;VAR:INDEX=0"}</definedName>
    <definedName name="_2879__FDSAUDITLINK__" hidden="1">{"fdsup://directions/FAT Viewer?action=UPDATE&amp;creator=factset&amp;DYN_ARGS=TRUE&amp;DOC_NAME=FAT:FQL_AUDITING_CLIENT_TEMPLATE.FAT&amp;display_string=Audit&amp;VAR:KEY=DYFKJCJGXQ&amp;VAR:QUERY=RkZfRUJJVERBX0lCKCdMVE1TJywzOTE3OCk=&amp;WINDOW=FIRST_POPUP&amp;HEIGHT=450&amp;WIDTH=450&amp;START_MA","XIMIZED=FALSE&amp;VAR:CALENDAR=US&amp;VAR:SYMBOL=05614P10&amp;VAR:INDEX=0"}</definedName>
    <definedName name="_288__FDSAUDITLINK__" localSheetId="6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8__FDSAUDITLINK__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80__FDSAUDITLINK__" localSheetId="6" hidden="1">{"fdsup://directions/FAT Viewer?action=UPDATE&amp;creator=factset&amp;DYN_ARGS=TRUE&amp;DOC_NAME=FAT:FQL_AUDITING_CLIENT_TEMPLATE.FAT&amp;display_string=Audit&amp;VAR:KEY=TGJIXSZUZU&amp;VAR:QUERY=RkZfRUJJVERBX0lCKCdMVE1TJywzOTE3Nyk=&amp;WINDOW=FIRST_POPUP&amp;HEIGHT=450&amp;WIDTH=450&amp;START_MA","XIMIZED=FALSE&amp;VAR:CALENDAR=US&amp;VAR:SYMBOL=05614P10&amp;VAR:INDEX=0"}</definedName>
    <definedName name="_2880__FDSAUDITLINK__" hidden="1">{"fdsup://directions/FAT Viewer?action=UPDATE&amp;creator=factset&amp;DYN_ARGS=TRUE&amp;DOC_NAME=FAT:FQL_AUDITING_CLIENT_TEMPLATE.FAT&amp;display_string=Audit&amp;VAR:KEY=TGJIXSZUZU&amp;VAR:QUERY=RkZfRUJJVERBX0lCKCdMVE1TJywzOTE3Nyk=&amp;WINDOW=FIRST_POPUP&amp;HEIGHT=450&amp;WIDTH=450&amp;START_MA","XIMIZED=FALSE&amp;VAR:CALENDAR=US&amp;VAR:SYMBOL=05614P10&amp;VAR:INDEX=0"}</definedName>
    <definedName name="_2881__FDSAUDITLINK__" localSheetId="6" hidden="1">{"fdsup://directions/FAT Viewer?action=UPDATE&amp;creator=factset&amp;DYN_ARGS=TRUE&amp;DOC_NAME=FAT:FQL_AUDITING_CLIENT_TEMPLATE.FAT&amp;display_string=Audit&amp;VAR:KEY=ZKTOBQPWBU&amp;VAR:QUERY=RkZfRUJJVERBX0lCKCdMVE1TJywzOTE3Nik=&amp;WINDOW=FIRST_POPUP&amp;HEIGHT=450&amp;WIDTH=450&amp;START_MA","XIMIZED=FALSE&amp;VAR:CALENDAR=US&amp;VAR:SYMBOL=05614P10&amp;VAR:INDEX=0"}</definedName>
    <definedName name="_2881__FDSAUDITLINK__" hidden="1">{"fdsup://directions/FAT Viewer?action=UPDATE&amp;creator=factset&amp;DYN_ARGS=TRUE&amp;DOC_NAME=FAT:FQL_AUDITING_CLIENT_TEMPLATE.FAT&amp;display_string=Audit&amp;VAR:KEY=ZKTOBQPWBU&amp;VAR:QUERY=RkZfRUJJVERBX0lCKCdMVE1TJywzOTE3Nik=&amp;WINDOW=FIRST_POPUP&amp;HEIGHT=450&amp;WIDTH=450&amp;START_MA","XIMIZED=FALSE&amp;VAR:CALENDAR=US&amp;VAR:SYMBOL=05614P10&amp;VAR:INDEX=0"}</definedName>
    <definedName name="_2882__FDSAUDITLINK__" localSheetId="6" hidden="1">{"fdsup://directions/FAT Viewer?action=UPDATE&amp;creator=factset&amp;DYN_ARGS=TRUE&amp;DOC_NAME=FAT:FQL_AUDITING_CLIENT_TEMPLATE.FAT&amp;display_string=Audit&amp;VAR:KEY=LQNEBYZWXM&amp;VAR:QUERY=RkZfRUJJVERBX0lCKCdMVE1TJywzOTE3NSk=&amp;WINDOW=FIRST_POPUP&amp;HEIGHT=450&amp;WIDTH=450&amp;START_MA","XIMIZED=FALSE&amp;VAR:CALENDAR=US&amp;VAR:SYMBOL=05614P10&amp;VAR:INDEX=0"}</definedName>
    <definedName name="_2882__FDSAUDITLINK__" hidden="1">{"fdsup://directions/FAT Viewer?action=UPDATE&amp;creator=factset&amp;DYN_ARGS=TRUE&amp;DOC_NAME=FAT:FQL_AUDITING_CLIENT_TEMPLATE.FAT&amp;display_string=Audit&amp;VAR:KEY=LQNEBYZWXM&amp;VAR:QUERY=RkZfRUJJVERBX0lCKCdMVE1TJywzOTE3NSk=&amp;WINDOW=FIRST_POPUP&amp;HEIGHT=450&amp;WIDTH=450&amp;START_MA","XIMIZED=FALSE&amp;VAR:CALENDAR=US&amp;VAR:SYMBOL=05614P10&amp;VAR:INDEX=0"}</definedName>
    <definedName name="_2883__FDSAUDITLINK__" localSheetId="6" hidden="1">{"fdsup://directions/FAT Viewer?action=UPDATE&amp;creator=factset&amp;DYN_ARGS=TRUE&amp;DOC_NAME=FAT:FQL_AUDITING_CLIENT_TEMPLATE.FAT&amp;display_string=Audit&amp;VAR:KEY=XSHUBEBMLM&amp;VAR:QUERY=RkZfRUJJVERBX0lCKCdMVE1TJywzOTE3NCk=&amp;WINDOW=FIRST_POPUP&amp;HEIGHT=450&amp;WIDTH=450&amp;START_MA","XIMIZED=FALSE&amp;VAR:CALENDAR=US&amp;VAR:SYMBOL=05614P10&amp;VAR:INDEX=0"}</definedName>
    <definedName name="_2883__FDSAUDITLINK__" hidden="1">{"fdsup://directions/FAT Viewer?action=UPDATE&amp;creator=factset&amp;DYN_ARGS=TRUE&amp;DOC_NAME=FAT:FQL_AUDITING_CLIENT_TEMPLATE.FAT&amp;display_string=Audit&amp;VAR:KEY=XSHUBEBMLM&amp;VAR:QUERY=RkZfRUJJVERBX0lCKCdMVE1TJywzOTE3NCk=&amp;WINDOW=FIRST_POPUP&amp;HEIGHT=450&amp;WIDTH=450&amp;START_MA","XIMIZED=FALSE&amp;VAR:CALENDAR=US&amp;VAR:SYMBOL=05614P10&amp;VAR:INDEX=0"}</definedName>
    <definedName name="_2884__FDSAUDITLINK__" localSheetId="6" hidden="1">{"fdsup://directions/FAT Viewer?action=UPDATE&amp;creator=factset&amp;DYN_ARGS=TRUE&amp;DOC_NAME=FAT:FQL_AUDITING_CLIENT_TEMPLATE.FAT&amp;display_string=Audit&amp;VAR:KEY=DWLCTAPYLA&amp;VAR:QUERY=RkZfRUJJVERBX0lCKCdMVE1TJywzOTE3Myk=&amp;WINDOW=FIRST_POPUP&amp;HEIGHT=450&amp;WIDTH=450&amp;START_MA","XIMIZED=FALSE&amp;VAR:CALENDAR=US&amp;VAR:SYMBOL=05614P10&amp;VAR:INDEX=0"}</definedName>
    <definedName name="_2884__FDSAUDITLINK__" hidden="1">{"fdsup://directions/FAT Viewer?action=UPDATE&amp;creator=factset&amp;DYN_ARGS=TRUE&amp;DOC_NAME=FAT:FQL_AUDITING_CLIENT_TEMPLATE.FAT&amp;display_string=Audit&amp;VAR:KEY=DWLCTAPYLA&amp;VAR:QUERY=RkZfRUJJVERBX0lCKCdMVE1TJywzOTE3Myk=&amp;WINDOW=FIRST_POPUP&amp;HEIGHT=450&amp;WIDTH=450&amp;START_MA","XIMIZED=FALSE&amp;VAR:CALENDAR=US&amp;VAR:SYMBOL=05614P10&amp;VAR:INDEX=0"}</definedName>
    <definedName name="_2885__FDSAUDITLINK__" localSheetId="6" hidden="1">{"fdsup://directions/FAT Viewer?action=UPDATE&amp;creator=factset&amp;DYN_ARGS=TRUE&amp;DOC_NAME=FAT:FQL_AUDITING_CLIENT_TEMPLATE.FAT&amp;display_string=Audit&amp;VAR:KEY=RAROHMRQJE&amp;VAR:QUERY=RkZfRUJJVERBX0lCKCdMVE1TJywzOTE3Mik=&amp;WINDOW=FIRST_POPUP&amp;HEIGHT=450&amp;WIDTH=450&amp;START_MA","XIMIZED=FALSE&amp;VAR:CALENDAR=US&amp;VAR:SYMBOL=05614P10&amp;VAR:INDEX=0"}</definedName>
    <definedName name="_2885__FDSAUDITLINK__" hidden="1">{"fdsup://directions/FAT Viewer?action=UPDATE&amp;creator=factset&amp;DYN_ARGS=TRUE&amp;DOC_NAME=FAT:FQL_AUDITING_CLIENT_TEMPLATE.FAT&amp;display_string=Audit&amp;VAR:KEY=RAROHMRQJE&amp;VAR:QUERY=RkZfRUJJVERBX0lCKCdMVE1TJywzOTE3Mik=&amp;WINDOW=FIRST_POPUP&amp;HEIGHT=450&amp;WIDTH=450&amp;START_MA","XIMIZED=FALSE&amp;VAR:CALENDAR=US&amp;VAR:SYMBOL=05614P10&amp;VAR:INDEX=0"}</definedName>
    <definedName name="_2886__FDSAUDITLINK__" localSheetId="6" hidden="1">{"fdsup://directions/FAT Viewer?action=UPDATE&amp;creator=factset&amp;DYN_ARGS=TRUE&amp;DOC_NAME=FAT:FQL_AUDITING_CLIENT_TEMPLATE.FAT&amp;display_string=Audit&amp;VAR:KEY=RCJYTETMVM&amp;VAR:QUERY=RkZfRUJJVERBX0lCKCdMVE1TJywzOTE3MSk=&amp;WINDOW=FIRST_POPUP&amp;HEIGHT=450&amp;WIDTH=450&amp;START_MA","XIMIZED=FALSE&amp;VAR:CALENDAR=US&amp;VAR:SYMBOL=05614P10&amp;VAR:INDEX=0"}</definedName>
    <definedName name="_2886__FDSAUDITLINK__" hidden="1">{"fdsup://directions/FAT Viewer?action=UPDATE&amp;creator=factset&amp;DYN_ARGS=TRUE&amp;DOC_NAME=FAT:FQL_AUDITING_CLIENT_TEMPLATE.FAT&amp;display_string=Audit&amp;VAR:KEY=RCJYTETMVM&amp;VAR:QUERY=RkZfRUJJVERBX0lCKCdMVE1TJywzOTE3MSk=&amp;WINDOW=FIRST_POPUP&amp;HEIGHT=450&amp;WIDTH=450&amp;START_MA","XIMIZED=FALSE&amp;VAR:CALENDAR=US&amp;VAR:SYMBOL=05614P10&amp;VAR:INDEX=0"}</definedName>
    <definedName name="_2887__FDSAUDITLINK__" localSheetId="6" hidden="1">{"fdsup://directions/FAT Viewer?action=UPDATE&amp;creator=factset&amp;DYN_ARGS=TRUE&amp;DOC_NAME=FAT:FQL_AUDITING_CLIENT_TEMPLATE.FAT&amp;display_string=Audit&amp;VAR:KEY=XSTIJGDAPW&amp;VAR:QUERY=RkZfRUJJVERBX0lCKCdMVE1TJywzOTE3MCk=&amp;WINDOW=FIRST_POPUP&amp;HEIGHT=450&amp;WIDTH=450&amp;START_MA","XIMIZED=FALSE&amp;VAR:CALENDAR=US&amp;VAR:SYMBOL=05614P10&amp;VAR:INDEX=0"}</definedName>
    <definedName name="_2887__FDSAUDITLINK__" hidden="1">{"fdsup://directions/FAT Viewer?action=UPDATE&amp;creator=factset&amp;DYN_ARGS=TRUE&amp;DOC_NAME=FAT:FQL_AUDITING_CLIENT_TEMPLATE.FAT&amp;display_string=Audit&amp;VAR:KEY=XSTIJGDAPW&amp;VAR:QUERY=RkZfRUJJVERBX0lCKCdMVE1TJywzOTE3MCk=&amp;WINDOW=FIRST_POPUP&amp;HEIGHT=450&amp;WIDTH=450&amp;START_MA","XIMIZED=FALSE&amp;VAR:CALENDAR=US&amp;VAR:SYMBOL=05614P10&amp;VAR:INDEX=0"}</definedName>
    <definedName name="_2888__FDSAUDITLINK__" localSheetId="6" hidden="1">{"fdsup://directions/FAT Viewer?action=UPDATE&amp;creator=factset&amp;DYN_ARGS=TRUE&amp;DOC_NAME=FAT:FQL_AUDITING_CLIENT_TEMPLATE.FAT&amp;display_string=Audit&amp;VAR:KEY=PAJEBOXMHA&amp;VAR:QUERY=RkZfRUJJVERBX0lCKCdMVE1TJywzOTE2OSk=&amp;WINDOW=FIRST_POPUP&amp;HEIGHT=450&amp;WIDTH=450&amp;START_MA","XIMIZED=FALSE&amp;VAR:CALENDAR=US&amp;VAR:SYMBOL=05614P10&amp;VAR:INDEX=0"}</definedName>
    <definedName name="_2888__FDSAUDITLINK__" hidden="1">{"fdsup://directions/FAT Viewer?action=UPDATE&amp;creator=factset&amp;DYN_ARGS=TRUE&amp;DOC_NAME=FAT:FQL_AUDITING_CLIENT_TEMPLATE.FAT&amp;display_string=Audit&amp;VAR:KEY=PAJEBOXMHA&amp;VAR:QUERY=RkZfRUJJVERBX0lCKCdMVE1TJywzOTE2OSk=&amp;WINDOW=FIRST_POPUP&amp;HEIGHT=450&amp;WIDTH=450&amp;START_MA","XIMIZED=FALSE&amp;VAR:CALENDAR=US&amp;VAR:SYMBOL=05614P10&amp;VAR:INDEX=0"}</definedName>
    <definedName name="_2889__FDSAUDITLINK__" localSheetId="6" hidden="1">{"fdsup://directions/FAT Viewer?action=UPDATE&amp;creator=factset&amp;DYN_ARGS=TRUE&amp;DOC_NAME=FAT:FQL_AUDITING_CLIENT_TEMPLATE.FAT&amp;display_string=Audit&amp;VAR:KEY=LKTWJCLYLC&amp;VAR:QUERY=RkZfRUJJVERBX0lCKCdMVE1TJywzOTE2OCk=&amp;WINDOW=FIRST_POPUP&amp;HEIGHT=450&amp;WIDTH=450&amp;START_MA","XIMIZED=FALSE&amp;VAR:CALENDAR=US&amp;VAR:SYMBOL=05614P10&amp;VAR:INDEX=0"}</definedName>
    <definedName name="_2889__FDSAUDITLINK__" hidden="1">{"fdsup://directions/FAT Viewer?action=UPDATE&amp;creator=factset&amp;DYN_ARGS=TRUE&amp;DOC_NAME=FAT:FQL_AUDITING_CLIENT_TEMPLATE.FAT&amp;display_string=Audit&amp;VAR:KEY=LKTWJCLYLC&amp;VAR:QUERY=RkZfRUJJVERBX0lCKCdMVE1TJywzOTE2OCk=&amp;WINDOW=FIRST_POPUP&amp;HEIGHT=450&amp;WIDTH=450&amp;START_MA","XIMIZED=FALSE&amp;VAR:CALENDAR=US&amp;VAR:SYMBOL=05614P10&amp;VAR:INDEX=0"}</definedName>
    <definedName name="_289__FDSAUDITLINK__" localSheetId="6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9__FDSAUDITLINK__" hidden="1">{"fdsup://directions/FAT%20Viewer?VAR:PED=LTM&amp;VAR:AUDIT_MODE=SUMMARY&amp;VAR:PERIOD=FIXED&amp;VAR:AUDIT_ID=00000117&amp;VAR:DATE=20090508&amp;action=UPDATE&amp;creator=factset&amp;DOC_NAME=FAT:FMA_audit_SUMMARY.fat&amp;DISPLAY_STRING=Display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890__FDSAUDITLINK__" localSheetId="6" hidden="1">{"fdsup://directions/FAT Viewer?action=UPDATE&amp;creator=factset&amp;DYN_ARGS=TRUE&amp;DOC_NAME=FAT:FQL_AUDITING_CLIENT_TEMPLATE.FAT&amp;display_string=Audit&amp;VAR:KEY=ZGPYNSDMHI&amp;VAR:QUERY=RkZfRUJJVERBX0lCKCdMVE1TJywzOTE2Nyk=&amp;WINDOW=FIRST_POPUP&amp;HEIGHT=450&amp;WIDTH=450&amp;START_MA","XIMIZED=FALSE&amp;VAR:CALENDAR=US&amp;VAR:SYMBOL=05614P10&amp;VAR:INDEX=0"}</definedName>
    <definedName name="_2890__FDSAUDITLINK__" hidden="1">{"fdsup://directions/FAT Viewer?action=UPDATE&amp;creator=factset&amp;DYN_ARGS=TRUE&amp;DOC_NAME=FAT:FQL_AUDITING_CLIENT_TEMPLATE.FAT&amp;display_string=Audit&amp;VAR:KEY=ZGPYNSDMHI&amp;VAR:QUERY=RkZfRUJJVERBX0lCKCdMVE1TJywzOTE2Nyk=&amp;WINDOW=FIRST_POPUP&amp;HEIGHT=450&amp;WIDTH=450&amp;START_MA","XIMIZED=FALSE&amp;VAR:CALENDAR=US&amp;VAR:SYMBOL=05614P10&amp;VAR:INDEX=0"}</definedName>
    <definedName name="_2891__FDSAUDITLINK__" localSheetId="6" hidden="1">{"fdsup://directions/FAT Viewer?action=UPDATE&amp;creator=factset&amp;DYN_ARGS=TRUE&amp;DOC_NAME=FAT:FQL_AUDITING_CLIENT_TEMPLATE.FAT&amp;display_string=Audit&amp;VAR:KEY=HKTUFMJYPC&amp;VAR:QUERY=RkZfRUJJVERBX0lCKCdMVE1TJywzOTE2Nik=&amp;WINDOW=FIRST_POPUP&amp;HEIGHT=450&amp;WIDTH=450&amp;START_MA","XIMIZED=FALSE&amp;VAR:CALENDAR=US&amp;VAR:SYMBOL=05614P10&amp;VAR:INDEX=0"}</definedName>
    <definedName name="_2891__FDSAUDITLINK__" hidden="1">{"fdsup://directions/FAT Viewer?action=UPDATE&amp;creator=factset&amp;DYN_ARGS=TRUE&amp;DOC_NAME=FAT:FQL_AUDITING_CLIENT_TEMPLATE.FAT&amp;display_string=Audit&amp;VAR:KEY=HKTUFMJYPC&amp;VAR:QUERY=RkZfRUJJVERBX0lCKCdMVE1TJywzOTE2Nik=&amp;WINDOW=FIRST_POPUP&amp;HEIGHT=450&amp;WIDTH=450&amp;START_MA","XIMIZED=FALSE&amp;VAR:CALENDAR=US&amp;VAR:SYMBOL=05614P10&amp;VAR:INDEX=0"}</definedName>
    <definedName name="_2892__FDSAUDITLINK__" localSheetId="6" hidden="1">{"fdsup://directions/FAT Viewer?action=UPDATE&amp;creator=factset&amp;DYN_ARGS=TRUE&amp;DOC_NAME=FAT:FQL_AUDITING_CLIENT_TEMPLATE.FAT&amp;display_string=Audit&amp;VAR:KEY=HKDCRELEBC&amp;VAR:QUERY=RkZfRUJJVERBX0lCKCdMVE1TJywzOTE2NSk=&amp;WINDOW=FIRST_POPUP&amp;HEIGHT=450&amp;WIDTH=450&amp;START_MA","XIMIZED=FALSE&amp;VAR:CALENDAR=US&amp;VAR:SYMBOL=05614P10&amp;VAR:INDEX=0"}</definedName>
    <definedName name="_2892__FDSAUDITLINK__" hidden="1">{"fdsup://directions/FAT Viewer?action=UPDATE&amp;creator=factset&amp;DYN_ARGS=TRUE&amp;DOC_NAME=FAT:FQL_AUDITING_CLIENT_TEMPLATE.FAT&amp;display_string=Audit&amp;VAR:KEY=HKDCRELEBC&amp;VAR:QUERY=RkZfRUJJVERBX0lCKCdMVE1TJywzOTE2NSk=&amp;WINDOW=FIRST_POPUP&amp;HEIGHT=450&amp;WIDTH=450&amp;START_MA","XIMIZED=FALSE&amp;VAR:CALENDAR=US&amp;VAR:SYMBOL=05614P10&amp;VAR:INDEX=0"}</definedName>
    <definedName name="_2893__FDSAUDITLINK__" localSheetId="6" hidden="1">{"fdsup://directions/FAT Viewer?action=UPDATE&amp;creator=factset&amp;DYN_ARGS=TRUE&amp;DOC_NAME=FAT:FQL_AUDITING_CLIENT_TEMPLATE.FAT&amp;display_string=Audit&amp;VAR:KEY=XWNKVSZCRG&amp;VAR:QUERY=RkZfRUJJVERBX0lCKCdMVE1TJywzOTE2NCk=&amp;WINDOW=FIRST_POPUP&amp;HEIGHT=450&amp;WIDTH=450&amp;START_MA","XIMIZED=FALSE&amp;VAR:CALENDAR=US&amp;VAR:SYMBOL=05614P10&amp;VAR:INDEX=0"}</definedName>
    <definedName name="_2893__FDSAUDITLINK__" hidden="1">{"fdsup://directions/FAT Viewer?action=UPDATE&amp;creator=factset&amp;DYN_ARGS=TRUE&amp;DOC_NAME=FAT:FQL_AUDITING_CLIENT_TEMPLATE.FAT&amp;display_string=Audit&amp;VAR:KEY=XWNKVSZCRG&amp;VAR:QUERY=RkZfRUJJVERBX0lCKCdMVE1TJywzOTE2NCk=&amp;WINDOW=FIRST_POPUP&amp;HEIGHT=450&amp;WIDTH=450&amp;START_MA","XIMIZED=FALSE&amp;VAR:CALENDAR=US&amp;VAR:SYMBOL=05614P10&amp;VAR:INDEX=0"}</definedName>
    <definedName name="_2894__FDSAUDITLINK__" localSheetId="6" hidden="1">{"fdsup://directions/FAT Viewer?action=UPDATE&amp;creator=factset&amp;DYN_ARGS=TRUE&amp;DOC_NAME=FAT:FQL_AUDITING_CLIENT_TEMPLATE.FAT&amp;display_string=Audit&amp;VAR:KEY=JODMTWZSTG&amp;VAR:QUERY=RkZfRUJJVERBX0lCKCdMVE1TJywzOTE2Myk=&amp;WINDOW=FIRST_POPUP&amp;HEIGHT=450&amp;WIDTH=450&amp;START_MA","XIMIZED=FALSE&amp;VAR:CALENDAR=US&amp;VAR:SYMBOL=05614P10&amp;VAR:INDEX=0"}</definedName>
    <definedName name="_2894__FDSAUDITLINK__" hidden="1">{"fdsup://directions/FAT Viewer?action=UPDATE&amp;creator=factset&amp;DYN_ARGS=TRUE&amp;DOC_NAME=FAT:FQL_AUDITING_CLIENT_TEMPLATE.FAT&amp;display_string=Audit&amp;VAR:KEY=JODMTWZSTG&amp;VAR:QUERY=RkZfRUJJVERBX0lCKCdMVE1TJywzOTE2Myk=&amp;WINDOW=FIRST_POPUP&amp;HEIGHT=450&amp;WIDTH=450&amp;START_MA","XIMIZED=FALSE&amp;VAR:CALENDAR=US&amp;VAR:SYMBOL=05614P10&amp;VAR:INDEX=0"}</definedName>
    <definedName name="_2895__FDSAUDITLINK__" localSheetId="6" hidden="1">{"fdsup://directions/FAT Viewer?action=UPDATE&amp;creator=factset&amp;DYN_ARGS=TRUE&amp;DOC_NAME=FAT:FQL_AUDITING_CLIENT_TEMPLATE.FAT&amp;display_string=Audit&amp;VAR:KEY=FIFMNWDOFK&amp;VAR:QUERY=RkZfRUJJVERBX0lCKCdMVE1TJywzOTE2Mik=&amp;WINDOW=FIRST_POPUP&amp;HEIGHT=450&amp;WIDTH=450&amp;START_MA","XIMIZED=FALSE&amp;VAR:CALENDAR=US&amp;VAR:SYMBOL=05614P10&amp;VAR:INDEX=0"}</definedName>
    <definedName name="_2895__FDSAUDITLINK__" hidden="1">{"fdsup://directions/FAT Viewer?action=UPDATE&amp;creator=factset&amp;DYN_ARGS=TRUE&amp;DOC_NAME=FAT:FQL_AUDITING_CLIENT_TEMPLATE.FAT&amp;display_string=Audit&amp;VAR:KEY=FIFMNWDOFK&amp;VAR:QUERY=RkZfRUJJVERBX0lCKCdMVE1TJywzOTE2Mik=&amp;WINDOW=FIRST_POPUP&amp;HEIGHT=450&amp;WIDTH=450&amp;START_MA","XIMIZED=FALSE&amp;VAR:CALENDAR=US&amp;VAR:SYMBOL=05614P10&amp;VAR:INDEX=0"}</definedName>
    <definedName name="_2896__FDSAUDITLINK__" localSheetId="6" hidden="1">{"fdsup://directions/FAT Viewer?action=UPDATE&amp;creator=factset&amp;DYN_ARGS=TRUE&amp;DOC_NAME=FAT:FQL_AUDITING_CLIENT_TEMPLATE.FAT&amp;display_string=Audit&amp;VAR:KEY=FAJALWJAJA&amp;VAR:QUERY=RkZfRUJJVERBX0lCKCdMVE1TJywzOTE2MSk=&amp;WINDOW=FIRST_POPUP&amp;HEIGHT=450&amp;WIDTH=450&amp;START_MA","XIMIZED=FALSE&amp;VAR:CALENDAR=US&amp;VAR:SYMBOL=05614P10&amp;VAR:INDEX=0"}</definedName>
    <definedName name="_2896__FDSAUDITLINK__" hidden="1">{"fdsup://directions/FAT Viewer?action=UPDATE&amp;creator=factset&amp;DYN_ARGS=TRUE&amp;DOC_NAME=FAT:FQL_AUDITING_CLIENT_TEMPLATE.FAT&amp;display_string=Audit&amp;VAR:KEY=FAJALWJAJA&amp;VAR:QUERY=RkZfRUJJVERBX0lCKCdMVE1TJywzOTE2MSk=&amp;WINDOW=FIRST_POPUP&amp;HEIGHT=450&amp;WIDTH=450&amp;START_MA","XIMIZED=FALSE&amp;VAR:CALENDAR=US&amp;VAR:SYMBOL=05614P10&amp;VAR:INDEX=0"}</definedName>
    <definedName name="_2897__FDSAUDITLINK__" localSheetId="6" hidden="1">{"fdsup://directions/FAT Viewer?action=UPDATE&amp;creator=factset&amp;DYN_ARGS=TRUE&amp;DOC_NAME=FAT:FQL_AUDITING_CLIENT_TEMPLATE.FAT&amp;display_string=Audit&amp;VAR:KEY=DMBMRIDONO&amp;VAR:QUERY=RkZfRUJJVERBX0lCKCdMVE1TJywzOTE2MCk=&amp;WINDOW=FIRST_POPUP&amp;HEIGHT=450&amp;WIDTH=450&amp;START_MA","XIMIZED=FALSE&amp;VAR:CALENDAR=US&amp;VAR:SYMBOL=05614P10&amp;VAR:INDEX=0"}</definedName>
    <definedName name="_2897__FDSAUDITLINK__" hidden="1">{"fdsup://directions/FAT Viewer?action=UPDATE&amp;creator=factset&amp;DYN_ARGS=TRUE&amp;DOC_NAME=FAT:FQL_AUDITING_CLIENT_TEMPLATE.FAT&amp;display_string=Audit&amp;VAR:KEY=DMBMRIDONO&amp;VAR:QUERY=RkZfRUJJVERBX0lCKCdMVE1TJywzOTE2MCk=&amp;WINDOW=FIRST_POPUP&amp;HEIGHT=450&amp;WIDTH=450&amp;START_MA","XIMIZED=FALSE&amp;VAR:CALENDAR=US&amp;VAR:SYMBOL=05614P10&amp;VAR:INDEX=0"}</definedName>
    <definedName name="_2898__FDSAUDITLINK__" localSheetId="6" hidden="1">{"fdsup://directions/FAT Viewer?action=UPDATE&amp;creator=factset&amp;DYN_ARGS=TRUE&amp;DOC_NAME=FAT:FQL_AUDITING_CLIENT_TEMPLATE.FAT&amp;display_string=Audit&amp;VAR:KEY=NCXOZUJALE&amp;VAR:QUERY=RkZfRUJJVERBX0lCKCdMVE1TJywzOTE1OSk=&amp;WINDOW=FIRST_POPUP&amp;HEIGHT=450&amp;WIDTH=450&amp;START_MA","XIMIZED=FALSE&amp;VAR:CALENDAR=US&amp;VAR:SYMBOL=05614P10&amp;VAR:INDEX=0"}</definedName>
    <definedName name="_2898__FDSAUDITLINK__" hidden="1">{"fdsup://directions/FAT Viewer?action=UPDATE&amp;creator=factset&amp;DYN_ARGS=TRUE&amp;DOC_NAME=FAT:FQL_AUDITING_CLIENT_TEMPLATE.FAT&amp;display_string=Audit&amp;VAR:KEY=NCXOZUJALE&amp;VAR:QUERY=RkZfRUJJVERBX0lCKCdMVE1TJywzOTE1OSk=&amp;WINDOW=FIRST_POPUP&amp;HEIGHT=450&amp;WIDTH=450&amp;START_MA","XIMIZED=FALSE&amp;VAR:CALENDAR=US&amp;VAR:SYMBOL=05614P10&amp;VAR:INDEX=0"}</definedName>
    <definedName name="_2899__FDSAUDITLINK__" localSheetId="6" hidden="1">{"fdsup://directions/FAT Viewer?action=UPDATE&amp;creator=factset&amp;DYN_ARGS=TRUE&amp;DOC_NAME=FAT:FQL_AUDITING_CLIENT_TEMPLATE.FAT&amp;display_string=Audit&amp;VAR:KEY=XIRWXWHQJQ&amp;VAR:QUERY=RkZfRUJJVERBX0lCKCdMVE1TJywzOTE1OCk=&amp;WINDOW=FIRST_POPUP&amp;HEIGHT=450&amp;WIDTH=450&amp;START_MA","XIMIZED=FALSE&amp;VAR:CALENDAR=US&amp;VAR:SYMBOL=05614P10&amp;VAR:INDEX=0"}</definedName>
    <definedName name="_2899__FDSAUDITLINK__" hidden="1">{"fdsup://directions/FAT Viewer?action=UPDATE&amp;creator=factset&amp;DYN_ARGS=TRUE&amp;DOC_NAME=FAT:FQL_AUDITING_CLIENT_TEMPLATE.FAT&amp;display_string=Audit&amp;VAR:KEY=XIRWXWHQJQ&amp;VAR:QUERY=RkZfRUJJVERBX0lCKCdMVE1TJywzOTE1OCk=&amp;WINDOW=FIRST_POPUP&amp;HEIGHT=450&amp;WIDTH=450&amp;START_MA","XIMIZED=FALSE&amp;VAR:CALENDAR=US&amp;VAR:SYMBOL=05614P10&amp;VAR:INDEX=0"}</definedName>
    <definedName name="_290__FDSAUDITLINK__" localSheetId="6" hidden="1">{"fdsup://directions/FAT%20Viewer?VAR:PED=LTM&amp;VAR:AUDIT_MODE=SUMMARY&amp;VAR:PERIOD=FIXED&amp;VAR:AUDIT_ID=00000117&amp;VAR:DATE=20090507&amp;action=UPDATE&amp;creator=factset&amp;DOC_NAME=FAT:FMA_audit_SUMMARY.fat&amp;DISPLAY_STRING=Display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0__FDSAUDITLINK__" hidden="1">{"fdsup://directions/FAT%20Viewer?VAR:PED=LTM&amp;VAR:AUDIT_MODE=SUMMARY&amp;VAR:PERIOD=FIXED&amp;VAR:AUDIT_ID=00000117&amp;VAR:DATE=20090507&amp;action=UPDATE&amp;creator=factset&amp;DOC_NAME=FAT:FMA_audit_SUMMARY.fat&amp;DISPLAY_STRING=Display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00__FDSAUDITLINK__" localSheetId="6" hidden="1">{"fdsup://directions/FAT Viewer?action=UPDATE&amp;creator=factset&amp;DYN_ARGS=TRUE&amp;DOC_NAME=FAT:FQL_AUDITING_CLIENT_TEMPLATE.FAT&amp;display_string=Audit&amp;VAR:KEY=PWXGTOJANY&amp;VAR:QUERY=RkZfRUJJVERBX0lCKCdMVE1TJywzOTE1Nyk=&amp;WINDOW=FIRST_POPUP&amp;HEIGHT=450&amp;WIDTH=450&amp;START_MA","XIMIZED=FALSE&amp;VAR:CALENDAR=US&amp;VAR:SYMBOL=05614P10&amp;VAR:INDEX=0"}</definedName>
    <definedName name="_2900__FDSAUDITLINK__" hidden="1">{"fdsup://directions/FAT Viewer?action=UPDATE&amp;creator=factset&amp;DYN_ARGS=TRUE&amp;DOC_NAME=FAT:FQL_AUDITING_CLIENT_TEMPLATE.FAT&amp;display_string=Audit&amp;VAR:KEY=PWXGTOJANY&amp;VAR:QUERY=RkZfRUJJVERBX0lCKCdMVE1TJywzOTE1Nyk=&amp;WINDOW=FIRST_POPUP&amp;HEIGHT=450&amp;WIDTH=450&amp;START_MA","XIMIZED=FALSE&amp;VAR:CALENDAR=US&amp;VAR:SYMBOL=05614P10&amp;VAR:INDEX=0"}</definedName>
    <definedName name="_2901__FDSAUDITLINK__" localSheetId="6" hidden="1">{"fdsup://directions/FAT Viewer?action=UPDATE&amp;creator=factset&amp;DYN_ARGS=TRUE&amp;DOC_NAME=FAT:FQL_AUDITING_CLIENT_TEMPLATE.FAT&amp;display_string=Audit&amp;VAR:KEY=ZGRIHOJIBQ&amp;VAR:QUERY=RkZfRUJJVERBX0lCKCdMVE1TJywzOTE1Nik=&amp;WINDOW=FIRST_POPUP&amp;HEIGHT=450&amp;WIDTH=450&amp;START_MA","XIMIZED=FALSE&amp;VAR:CALENDAR=US&amp;VAR:SYMBOL=05614P10&amp;VAR:INDEX=0"}</definedName>
    <definedName name="_2901__FDSAUDITLINK__" hidden="1">{"fdsup://directions/FAT Viewer?action=UPDATE&amp;creator=factset&amp;DYN_ARGS=TRUE&amp;DOC_NAME=FAT:FQL_AUDITING_CLIENT_TEMPLATE.FAT&amp;display_string=Audit&amp;VAR:KEY=ZGRIHOJIBQ&amp;VAR:QUERY=RkZfRUJJVERBX0lCKCdMVE1TJywzOTE1Nik=&amp;WINDOW=FIRST_POPUP&amp;HEIGHT=450&amp;WIDTH=450&amp;START_MA","XIMIZED=FALSE&amp;VAR:CALENDAR=US&amp;VAR:SYMBOL=05614P10&amp;VAR:INDEX=0"}</definedName>
    <definedName name="_2902__FDSAUDITLINK__" localSheetId="6" hidden="1">{"fdsup://directions/FAT Viewer?action=UPDATE&amp;creator=factset&amp;DYN_ARGS=TRUE&amp;DOC_NAME=FAT:FQL_AUDITING_CLIENT_TEMPLATE.FAT&amp;display_string=Audit&amp;VAR:KEY=ZAHODCDEXG&amp;VAR:QUERY=RkZfRUJJVERBX0lCKCdMVE1TJywzOTE1NSk=&amp;WINDOW=FIRST_POPUP&amp;HEIGHT=450&amp;WIDTH=450&amp;START_MA","XIMIZED=FALSE&amp;VAR:CALENDAR=US&amp;VAR:SYMBOL=05614P10&amp;VAR:INDEX=0"}</definedName>
    <definedName name="_2902__FDSAUDITLINK__" hidden="1">{"fdsup://directions/FAT Viewer?action=UPDATE&amp;creator=factset&amp;DYN_ARGS=TRUE&amp;DOC_NAME=FAT:FQL_AUDITING_CLIENT_TEMPLATE.FAT&amp;display_string=Audit&amp;VAR:KEY=ZAHODCDEXG&amp;VAR:QUERY=RkZfRUJJVERBX0lCKCdMVE1TJywzOTE1NSk=&amp;WINDOW=FIRST_POPUP&amp;HEIGHT=450&amp;WIDTH=450&amp;START_MA","XIMIZED=FALSE&amp;VAR:CALENDAR=US&amp;VAR:SYMBOL=05614P10&amp;VAR:INDEX=0"}</definedName>
    <definedName name="_2903__FDSAUDITLINK__" localSheetId="6" hidden="1">{"fdsup://directions/FAT Viewer?action=UPDATE&amp;creator=factset&amp;DYN_ARGS=TRUE&amp;DOC_NAME=FAT:FQL_AUDITING_CLIENT_TEMPLATE.FAT&amp;display_string=Audit&amp;VAR:KEY=TOJMLMVSDM&amp;VAR:QUERY=RkZfRUJJVERBX0lCKCdMVE1TJywzOTE1NCk=&amp;WINDOW=FIRST_POPUP&amp;HEIGHT=450&amp;WIDTH=450&amp;START_MA","XIMIZED=FALSE&amp;VAR:CALENDAR=US&amp;VAR:SYMBOL=05614P10&amp;VAR:INDEX=0"}</definedName>
    <definedName name="_2903__FDSAUDITLINK__" hidden="1">{"fdsup://directions/FAT Viewer?action=UPDATE&amp;creator=factset&amp;DYN_ARGS=TRUE&amp;DOC_NAME=FAT:FQL_AUDITING_CLIENT_TEMPLATE.FAT&amp;display_string=Audit&amp;VAR:KEY=TOJMLMVSDM&amp;VAR:QUERY=RkZfRUJJVERBX0lCKCdMVE1TJywzOTE1NCk=&amp;WINDOW=FIRST_POPUP&amp;HEIGHT=450&amp;WIDTH=450&amp;START_MA","XIMIZED=FALSE&amp;VAR:CALENDAR=US&amp;VAR:SYMBOL=05614P10&amp;VAR:INDEX=0"}</definedName>
    <definedName name="_2904__FDSAUDITLINK__" localSheetId="6" hidden="1">{"fdsup://directions/FAT Viewer?action=UPDATE&amp;creator=factset&amp;DYN_ARGS=TRUE&amp;DOC_NAME=FAT:FQL_AUDITING_CLIENT_TEMPLATE.FAT&amp;display_string=Audit&amp;VAR:KEY=RAVSJUNGFS&amp;VAR:QUERY=RkZfRUJJVERBX0lCKCdMVE1TJywzOTE1Myk=&amp;WINDOW=FIRST_POPUP&amp;HEIGHT=450&amp;WIDTH=450&amp;START_MA","XIMIZED=FALSE&amp;VAR:CALENDAR=US&amp;VAR:SYMBOL=05614P10&amp;VAR:INDEX=0"}</definedName>
    <definedName name="_2904__FDSAUDITLINK__" hidden="1">{"fdsup://directions/FAT Viewer?action=UPDATE&amp;creator=factset&amp;DYN_ARGS=TRUE&amp;DOC_NAME=FAT:FQL_AUDITING_CLIENT_TEMPLATE.FAT&amp;display_string=Audit&amp;VAR:KEY=RAVSJUNGFS&amp;VAR:QUERY=RkZfRUJJVERBX0lCKCdMVE1TJywzOTE1Myk=&amp;WINDOW=FIRST_POPUP&amp;HEIGHT=450&amp;WIDTH=450&amp;START_MA","XIMIZED=FALSE&amp;VAR:CALENDAR=US&amp;VAR:SYMBOL=05614P10&amp;VAR:INDEX=0"}</definedName>
    <definedName name="_2905__FDSAUDITLINK__" localSheetId="6" hidden="1">{"fdsup://directions/FAT Viewer?action=UPDATE&amp;creator=factset&amp;DYN_ARGS=TRUE&amp;DOC_NAME=FAT:FQL_AUDITING_CLIENT_TEMPLATE.FAT&amp;display_string=Audit&amp;VAR:KEY=ZAXEFEZOTE&amp;VAR:QUERY=RkZfRUJJVERBX0lCKCdMVE1TJywzOTE1Mik=&amp;WINDOW=FIRST_POPUP&amp;HEIGHT=450&amp;WIDTH=450&amp;START_MA","XIMIZED=FALSE&amp;VAR:CALENDAR=US&amp;VAR:SYMBOL=05614P10&amp;VAR:INDEX=0"}</definedName>
    <definedName name="_2905__FDSAUDITLINK__" hidden="1">{"fdsup://directions/FAT Viewer?action=UPDATE&amp;creator=factset&amp;DYN_ARGS=TRUE&amp;DOC_NAME=FAT:FQL_AUDITING_CLIENT_TEMPLATE.FAT&amp;display_string=Audit&amp;VAR:KEY=ZAXEFEZOTE&amp;VAR:QUERY=RkZfRUJJVERBX0lCKCdMVE1TJywzOTE1Mik=&amp;WINDOW=FIRST_POPUP&amp;HEIGHT=450&amp;WIDTH=450&amp;START_MA","XIMIZED=FALSE&amp;VAR:CALENDAR=US&amp;VAR:SYMBOL=05614P10&amp;VAR:INDEX=0"}</definedName>
    <definedName name="_2906__FDSAUDITLINK__" localSheetId="6" hidden="1">{"fdsup://directions/FAT Viewer?action=UPDATE&amp;creator=factset&amp;DYN_ARGS=TRUE&amp;DOC_NAME=FAT:FQL_AUDITING_CLIENT_TEMPLATE.FAT&amp;display_string=Audit&amp;VAR:KEY=DGHQXKRWXQ&amp;VAR:QUERY=RkZfRUJJVERBX0lCKCdMVE1TJywzOTE1MSk=&amp;WINDOW=FIRST_POPUP&amp;HEIGHT=450&amp;WIDTH=450&amp;START_MA","XIMIZED=FALSE&amp;VAR:CALENDAR=US&amp;VAR:SYMBOL=05614P10&amp;VAR:INDEX=0"}</definedName>
    <definedName name="_2906__FDSAUDITLINK__" hidden="1">{"fdsup://directions/FAT Viewer?action=UPDATE&amp;creator=factset&amp;DYN_ARGS=TRUE&amp;DOC_NAME=FAT:FQL_AUDITING_CLIENT_TEMPLATE.FAT&amp;display_string=Audit&amp;VAR:KEY=DGHQXKRWXQ&amp;VAR:QUERY=RkZfRUJJVERBX0lCKCdMVE1TJywzOTE1MSk=&amp;WINDOW=FIRST_POPUP&amp;HEIGHT=450&amp;WIDTH=450&amp;START_MA","XIMIZED=FALSE&amp;VAR:CALENDAR=US&amp;VAR:SYMBOL=05614P10&amp;VAR:INDEX=0"}</definedName>
    <definedName name="_2907__FDSAUDITLINK__" localSheetId="6" hidden="1">{"fdsup://directions/FAT Viewer?action=UPDATE&amp;creator=factset&amp;DYN_ARGS=TRUE&amp;DOC_NAME=FAT:FQL_AUDITING_CLIENT_TEMPLATE.FAT&amp;display_string=Audit&amp;VAR:KEY=VKXEDCHAHG&amp;VAR:QUERY=RkZfRUJJVERBX0lCKCdMVE1TJywzOTE1MCk=&amp;WINDOW=FIRST_POPUP&amp;HEIGHT=450&amp;WIDTH=450&amp;START_MA","XIMIZED=FALSE&amp;VAR:CALENDAR=US&amp;VAR:SYMBOL=05614P10&amp;VAR:INDEX=0"}</definedName>
    <definedName name="_2907__FDSAUDITLINK__" hidden="1">{"fdsup://directions/FAT Viewer?action=UPDATE&amp;creator=factset&amp;DYN_ARGS=TRUE&amp;DOC_NAME=FAT:FQL_AUDITING_CLIENT_TEMPLATE.FAT&amp;display_string=Audit&amp;VAR:KEY=VKXEDCHAHG&amp;VAR:QUERY=RkZfRUJJVERBX0lCKCdMVE1TJywzOTE1MCk=&amp;WINDOW=FIRST_POPUP&amp;HEIGHT=450&amp;WIDTH=450&amp;START_MA","XIMIZED=FALSE&amp;VAR:CALENDAR=US&amp;VAR:SYMBOL=05614P10&amp;VAR:INDEX=0"}</definedName>
    <definedName name="_2908__FDSAUDITLINK__" localSheetId="6" hidden="1">{"fdsup://directions/FAT Viewer?action=UPDATE&amp;creator=factset&amp;DYN_ARGS=TRUE&amp;DOC_NAME=FAT:FQL_AUDITING_CLIENT_TEMPLATE.FAT&amp;display_string=Audit&amp;VAR:KEY=TQLSTCDQVS&amp;VAR:QUERY=RkZfRUJJVERBX0lCKCdMVE1TJywzOTE0OSk=&amp;WINDOW=FIRST_POPUP&amp;HEIGHT=450&amp;WIDTH=450&amp;START_MA","XIMIZED=FALSE&amp;VAR:CALENDAR=US&amp;VAR:SYMBOL=05614P10&amp;VAR:INDEX=0"}</definedName>
    <definedName name="_2908__FDSAUDITLINK__" hidden="1">{"fdsup://directions/FAT Viewer?action=UPDATE&amp;creator=factset&amp;DYN_ARGS=TRUE&amp;DOC_NAME=FAT:FQL_AUDITING_CLIENT_TEMPLATE.FAT&amp;display_string=Audit&amp;VAR:KEY=TQLSTCDQVS&amp;VAR:QUERY=RkZfRUJJVERBX0lCKCdMVE1TJywzOTE0OSk=&amp;WINDOW=FIRST_POPUP&amp;HEIGHT=450&amp;WIDTH=450&amp;START_MA","XIMIZED=FALSE&amp;VAR:CALENDAR=US&amp;VAR:SYMBOL=05614P10&amp;VAR:INDEX=0"}</definedName>
    <definedName name="_2909__FDSAUDITLINK__" localSheetId="6" hidden="1">{"fdsup://directions/FAT Viewer?action=UPDATE&amp;creator=factset&amp;DYN_ARGS=TRUE&amp;DOC_NAME=FAT:FQL_AUDITING_CLIENT_TEMPLATE.FAT&amp;display_string=Audit&amp;VAR:KEY=NYPGFKDIVI&amp;VAR:QUERY=RkZfRUJJVERBX0lCKCdMVE1TJywzOTE0OCk=&amp;WINDOW=FIRST_POPUP&amp;HEIGHT=450&amp;WIDTH=450&amp;START_MA","XIMIZED=FALSE&amp;VAR:CALENDAR=US&amp;VAR:SYMBOL=05614P10&amp;VAR:INDEX=0"}</definedName>
    <definedName name="_2909__FDSAUDITLINK__" hidden="1">{"fdsup://directions/FAT Viewer?action=UPDATE&amp;creator=factset&amp;DYN_ARGS=TRUE&amp;DOC_NAME=FAT:FQL_AUDITING_CLIENT_TEMPLATE.FAT&amp;display_string=Audit&amp;VAR:KEY=NYPGFKDIVI&amp;VAR:QUERY=RkZfRUJJVERBX0lCKCdMVE1TJywzOTE0OCk=&amp;WINDOW=FIRST_POPUP&amp;HEIGHT=450&amp;WIDTH=450&amp;START_MA","XIMIZED=FALSE&amp;VAR:CALENDAR=US&amp;VAR:SYMBOL=05614P10&amp;VAR:INDEX=0"}</definedName>
    <definedName name="_291__FDSAUDITLINK__" localSheetId="6" hidden="1">{"fdsup://directions/FAT%20Viewer?VAR:PED=LTM&amp;VAR:AUDIT_MODE=SUMMARY&amp;VAR:PERIOD=FIXED&amp;VAR:AUDIT_ID=00000117&amp;VAR:DATE=20090506&amp;action=UPDATE&amp;creator=factset&amp;DOC_NAME=FAT:FMA_audit_SUMMARY.fat&amp;DISPLAY_STRING=Display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1__FDSAUDITLINK__" hidden="1">{"fdsup://directions/FAT%20Viewer?VAR:PED=LTM&amp;VAR:AUDIT_MODE=SUMMARY&amp;VAR:PERIOD=FIXED&amp;VAR:AUDIT_ID=00000117&amp;VAR:DATE=20090506&amp;action=UPDATE&amp;creator=factset&amp;DOC_NAME=FAT:FMA_audit_SUMMARY.fat&amp;DISPLAY_STRING=Display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10__FDSAUDITLINK__" localSheetId="6" hidden="1">{"fdsup://directions/FAT Viewer?action=UPDATE&amp;creator=factset&amp;DYN_ARGS=TRUE&amp;DOC_NAME=FAT:FQL_AUDITING_CLIENT_TEMPLATE.FAT&amp;display_string=Audit&amp;VAR:KEY=JMNITEVGBO&amp;VAR:QUERY=RkZfRUJJVERBX0lCKCdMVE1TJywzOTE0Nyk=&amp;WINDOW=FIRST_POPUP&amp;HEIGHT=450&amp;WIDTH=450&amp;START_MA","XIMIZED=FALSE&amp;VAR:CALENDAR=US&amp;VAR:SYMBOL=05614P10&amp;VAR:INDEX=0"}</definedName>
    <definedName name="_2910__FDSAUDITLINK__" hidden="1">{"fdsup://directions/FAT Viewer?action=UPDATE&amp;creator=factset&amp;DYN_ARGS=TRUE&amp;DOC_NAME=FAT:FQL_AUDITING_CLIENT_TEMPLATE.FAT&amp;display_string=Audit&amp;VAR:KEY=JMNITEVGBO&amp;VAR:QUERY=RkZfRUJJVERBX0lCKCdMVE1TJywzOTE0Nyk=&amp;WINDOW=FIRST_POPUP&amp;HEIGHT=450&amp;WIDTH=450&amp;START_MA","XIMIZED=FALSE&amp;VAR:CALENDAR=US&amp;VAR:SYMBOL=05614P10&amp;VAR:INDEX=0"}</definedName>
    <definedName name="_2911__FDSAUDITLINK__" localSheetId="6" hidden="1">{"fdsup://directions/FAT Viewer?action=UPDATE&amp;creator=factset&amp;DYN_ARGS=TRUE&amp;DOC_NAME=FAT:FQL_AUDITING_CLIENT_TEMPLATE.FAT&amp;display_string=Audit&amp;VAR:KEY=FSBUHIHOFY&amp;VAR:QUERY=RkZfRUJJVERBX0lCKCdMVE1TJywzOTE0Nik=&amp;WINDOW=FIRST_POPUP&amp;HEIGHT=450&amp;WIDTH=450&amp;START_MA","XIMIZED=FALSE&amp;VAR:CALENDAR=US&amp;VAR:SYMBOL=05614P10&amp;VAR:INDEX=0"}</definedName>
    <definedName name="_2911__FDSAUDITLINK__" hidden="1">{"fdsup://directions/FAT Viewer?action=UPDATE&amp;creator=factset&amp;DYN_ARGS=TRUE&amp;DOC_NAME=FAT:FQL_AUDITING_CLIENT_TEMPLATE.FAT&amp;display_string=Audit&amp;VAR:KEY=FSBUHIHOFY&amp;VAR:QUERY=RkZfRUJJVERBX0lCKCdMVE1TJywzOTE0Nik=&amp;WINDOW=FIRST_POPUP&amp;HEIGHT=450&amp;WIDTH=450&amp;START_MA","XIMIZED=FALSE&amp;VAR:CALENDAR=US&amp;VAR:SYMBOL=05614P10&amp;VAR:INDEX=0"}</definedName>
    <definedName name="_2912__FDSAUDITLINK__" localSheetId="6" hidden="1">{"fdsup://directions/FAT Viewer?action=UPDATE&amp;creator=factset&amp;DYN_ARGS=TRUE&amp;DOC_NAME=FAT:FQL_AUDITING_CLIENT_TEMPLATE.FAT&amp;display_string=Audit&amp;VAR:KEY=NWDURUDAFQ&amp;VAR:QUERY=RkZfRUJJVERBX0lCKCdMVE1TJywzOTE0NSk=&amp;WINDOW=FIRST_POPUP&amp;HEIGHT=450&amp;WIDTH=450&amp;START_MA","XIMIZED=FALSE&amp;VAR:CALENDAR=US&amp;VAR:SYMBOL=05614P10&amp;VAR:INDEX=0"}</definedName>
    <definedName name="_2912__FDSAUDITLINK__" hidden="1">{"fdsup://directions/FAT Viewer?action=UPDATE&amp;creator=factset&amp;DYN_ARGS=TRUE&amp;DOC_NAME=FAT:FQL_AUDITING_CLIENT_TEMPLATE.FAT&amp;display_string=Audit&amp;VAR:KEY=NWDURUDAFQ&amp;VAR:QUERY=RkZfRUJJVERBX0lCKCdMVE1TJywzOTE0NSk=&amp;WINDOW=FIRST_POPUP&amp;HEIGHT=450&amp;WIDTH=450&amp;START_MA","XIMIZED=FALSE&amp;VAR:CALENDAR=US&amp;VAR:SYMBOL=05614P10&amp;VAR:INDEX=0"}</definedName>
    <definedName name="_2913__FDSAUDITLINK__" localSheetId="6" hidden="1">{"fdsup://directions/FAT Viewer?action=UPDATE&amp;creator=factset&amp;DYN_ARGS=TRUE&amp;DOC_NAME=FAT:FQL_AUDITING_CLIENT_TEMPLATE.FAT&amp;display_string=Audit&amp;VAR:KEY=XOPOJAFMLY&amp;VAR:QUERY=RkZfRUJJVERBX0lCKCdMVE1TJywzOTE0NCk=&amp;WINDOW=FIRST_POPUP&amp;HEIGHT=450&amp;WIDTH=450&amp;START_MA","XIMIZED=FALSE&amp;VAR:CALENDAR=US&amp;VAR:SYMBOL=05614P10&amp;VAR:INDEX=0"}</definedName>
    <definedName name="_2913__FDSAUDITLINK__" hidden="1">{"fdsup://directions/FAT Viewer?action=UPDATE&amp;creator=factset&amp;DYN_ARGS=TRUE&amp;DOC_NAME=FAT:FQL_AUDITING_CLIENT_TEMPLATE.FAT&amp;display_string=Audit&amp;VAR:KEY=XOPOJAFMLY&amp;VAR:QUERY=RkZfRUJJVERBX0lCKCdMVE1TJywzOTE0NCk=&amp;WINDOW=FIRST_POPUP&amp;HEIGHT=450&amp;WIDTH=450&amp;START_MA","XIMIZED=FALSE&amp;VAR:CALENDAR=US&amp;VAR:SYMBOL=05614P10&amp;VAR:INDEX=0"}</definedName>
    <definedName name="_2914__FDSAUDITLINK__" localSheetId="6" hidden="1">{"fdsup://directions/FAT Viewer?action=UPDATE&amp;creator=factset&amp;DYN_ARGS=TRUE&amp;DOC_NAME=FAT:FQL_AUDITING_CLIENT_TEMPLATE.FAT&amp;display_string=Audit&amp;VAR:KEY=ZWDKLOZIVW&amp;VAR:QUERY=RkZfRUJJVERBX0lCKCdMVE1TJywzOTE0Myk=&amp;WINDOW=FIRST_POPUP&amp;HEIGHT=450&amp;WIDTH=450&amp;START_MA","XIMIZED=FALSE&amp;VAR:CALENDAR=US&amp;VAR:SYMBOL=05614P10&amp;VAR:INDEX=0"}</definedName>
    <definedName name="_2914__FDSAUDITLINK__" hidden="1">{"fdsup://directions/FAT Viewer?action=UPDATE&amp;creator=factset&amp;DYN_ARGS=TRUE&amp;DOC_NAME=FAT:FQL_AUDITING_CLIENT_TEMPLATE.FAT&amp;display_string=Audit&amp;VAR:KEY=ZWDKLOZIVW&amp;VAR:QUERY=RkZfRUJJVERBX0lCKCdMVE1TJywzOTE0Myk=&amp;WINDOW=FIRST_POPUP&amp;HEIGHT=450&amp;WIDTH=450&amp;START_MA","XIMIZED=FALSE&amp;VAR:CALENDAR=US&amp;VAR:SYMBOL=05614P10&amp;VAR:INDEX=0"}</definedName>
    <definedName name="_2915__FDSAUDITLINK__" localSheetId="6" hidden="1">{"fdsup://directions/FAT Viewer?action=UPDATE&amp;creator=factset&amp;DYN_ARGS=TRUE&amp;DOC_NAME=FAT:FQL_AUDITING_CLIENT_TEMPLATE.FAT&amp;display_string=Audit&amp;VAR:KEY=TEJQBSNKDC&amp;VAR:QUERY=RkZfRUJJVERBX0lCKCdMVE1TJywzOTE0Mik=&amp;WINDOW=FIRST_POPUP&amp;HEIGHT=450&amp;WIDTH=450&amp;START_MA","XIMIZED=FALSE&amp;VAR:CALENDAR=US&amp;VAR:SYMBOL=05614P10&amp;VAR:INDEX=0"}</definedName>
    <definedName name="_2915__FDSAUDITLINK__" hidden="1">{"fdsup://directions/FAT Viewer?action=UPDATE&amp;creator=factset&amp;DYN_ARGS=TRUE&amp;DOC_NAME=FAT:FQL_AUDITING_CLIENT_TEMPLATE.FAT&amp;display_string=Audit&amp;VAR:KEY=TEJQBSNKDC&amp;VAR:QUERY=RkZfRUJJVERBX0lCKCdMVE1TJywzOTE0Mik=&amp;WINDOW=FIRST_POPUP&amp;HEIGHT=450&amp;WIDTH=450&amp;START_MA","XIMIZED=FALSE&amp;VAR:CALENDAR=US&amp;VAR:SYMBOL=05614P10&amp;VAR:INDEX=0"}</definedName>
    <definedName name="_2916__FDSAUDITLINK__" localSheetId="6" hidden="1">{"fdsup://directions/FAT Viewer?action=UPDATE&amp;creator=factset&amp;DYN_ARGS=TRUE&amp;DOC_NAME=FAT:FQL_AUDITING_CLIENT_TEMPLATE.FAT&amp;display_string=Audit&amp;VAR:KEY=BGNKFQXEXI&amp;VAR:QUERY=RkZfRUJJVERBX0lCKCdMVE1TJywzOTE0MSk=&amp;WINDOW=FIRST_POPUP&amp;HEIGHT=450&amp;WIDTH=450&amp;START_MA","XIMIZED=FALSE&amp;VAR:CALENDAR=US&amp;VAR:SYMBOL=05614P10&amp;VAR:INDEX=0"}</definedName>
    <definedName name="_2916__FDSAUDITLINK__" hidden="1">{"fdsup://directions/FAT Viewer?action=UPDATE&amp;creator=factset&amp;DYN_ARGS=TRUE&amp;DOC_NAME=FAT:FQL_AUDITING_CLIENT_TEMPLATE.FAT&amp;display_string=Audit&amp;VAR:KEY=BGNKFQXEXI&amp;VAR:QUERY=RkZfRUJJVERBX0lCKCdMVE1TJywzOTE0MSk=&amp;WINDOW=FIRST_POPUP&amp;HEIGHT=450&amp;WIDTH=450&amp;START_MA","XIMIZED=FALSE&amp;VAR:CALENDAR=US&amp;VAR:SYMBOL=05614P10&amp;VAR:INDEX=0"}</definedName>
    <definedName name="_2917__FDSAUDITLINK__" localSheetId="6" hidden="1">{"fdsup://directions/FAT Viewer?action=UPDATE&amp;creator=factset&amp;DYN_ARGS=TRUE&amp;DOC_NAME=FAT:FQL_AUDITING_CLIENT_TEMPLATE.FAT&amp;display_string=Audit&amp;VAR:KEY=TYXCXULIZK&amp;VAR:QUERY=RkZfRUJJVERBX0lCKCdMVE1TJywzOTE0MCk=&amp;WINDOW=FIRST_POPUP&amp;HEIGHT=450&amp;WIDTH=450&amp;START_MA","XIMIZED=FALSE&amp;VAR:CALENDAR=US&amp;VAR:SYMBOL=05614P10&amp;VAR:INDEX=0"}</definedName>
    <definedName name="_2917__FDSAUDITLINK__" hidden="1">{"fdsup://directions/FAT Viewer?action=UPDATE&amp;creator=factset&amp;DYN_ARGS=TRUE&amp;DOC_NAME=FAT:FQL_AUDITING_CLIENT_TEMPLATE.FAT&amp;display_string=Audit&amp;VAR:KEY=TYXCXULIZK&amp;VAR:QUERY=RkZfRUJJVERBX0lCKCdMVE1TJywzOTE0MCk=&amp;WINDOW=FIRST_POPUP&amp;HEIGHT=450&amp;WIDTH=450&amp;START_MA","XIMIZED=FALSE&amp;VAR:CALENDAR=US&amp;VAR:SYMBOL=05614P10&amp;VAR:INDEX=0"}</definedName>
    <definedName name="_2918__FDSAUDITLINK__" localSheetId="6" hidden="1">{"fdsup://directions/FAT Viewer?action=UPDATE&amp;creator=factset&amp;DYN_ARGS=TRUE&amp;DOC_NAME=FAT:FQL_AUDITING_CLIENT_TEMPLATE.FAT&amp;display_string=Audit&amp;VAR:KEY=RSVMPAHMDA&amp;VAR:QUERY=RkZfRUJJVERBX0lCKCdMVE1TJywzOTEzOSk=&amp;WINDOW=FIRST_POPUP&amp;HEIGHT=450&amp;WIDTH=450&amp;START_MA","XIMIZED=FALSE&amp;VAR:CALENDAR=US&amp;VAR:SYMBOL=05614P10&amp;VAR:INDEX=0"}</definedName>
    <definedName name="_2918__FDSAUDITLINK__" hidden="1">{"fdsup://directions/FAT Viewer?action=UPDATE&amp;creator=factset&amp;DYN_ARGS=TRUE&amp;DOC_NAME=FAT:FQL_AUDITING_CLIENT_TEMPLATE.FAT&amp;display_string=Audit&amp;VAR:KEY=RSVMPAHMDA&amp;VAR:QUERY=RkZfRUJJVERBX0lCKCdMVE1TJywzOTEzOSk=&amp;WINDOW=FIRST_POPUP&amp;HEIGHT=450&amp;WIDTH=450&amp;START_MA","XIMIZED=FALSE&amp;VAR:CALENDAR=US&amp;VAR:SYMBOL=05614P10&amp;VAR:INDEX=0"}</definedName>
    <definedName name="_2919__FDSAUDITLINK__" localSheetId="6" hidden="1">{"fdsup://directions/FAT Viewer?action=UPDATE&amp;creator=factset&amp;DYN_ARGS=TRUE&amp;DOC_NAME=FAT:FQL_AUDITING_CLIENT_TEMPLATE.FAT&amp;display_string=Audit&amp;VAR:KEY=LCRMFEFCNI&amp;VAR:QUERY=RkZfRUJJVERBX0lCKCdMVE1TJywzOTEzOCk=&amp;WINDOW=FIRST_POPUP&amp;HEIGHT=450&amp;WIDTH=450&amp;START_MA","XIMIZED=FALSE&amp;VAR:CALENDAR=US&amp;VAR:SYMBOL=05614P10&amp;VAR:INDEX=0"}</definedName>
    <definedName name="_2919__FDSAUDITLINK__" hidden="1">{"fdsup://directions/FAT Viewer?action=UPDATE&amp;creator=factset&amp;DYN_ARGS=TRUE&amp;DOC_NAME=FAT:FQL_AUDITING_CLIENT_TEMPLATE.FAT&amp;display_string=Audit&amp;VAR:KEY=LCRMFEFCNI&amp;VAR:QUERY=RkZfRUJJVERBX0lCKCdMVE1TJywzOTEzOCk=&amp;WINDOW=FIRST_POPUP&amp;HEIGHT=450&amp;WIDTH=450&amp;START_MA","XIMIZED=FALSE&amp;VAR:CALENDAR=US&amp;VAR:SYMBOL=05614P10&amp;VAR:INDEX=0"}</definedName>
    <definedName name="_292__FDSAUDITLINK__" localSheetId="6" hidden="1">{"fdsup://directions/FAT%20Viewer?VAR:PED=LTM&amp;VAR:AUDIT_MODE=SUMMARY&amp;VAR:PERIOD=FIXED&amp;VAR:AUDIT_ID=00000117&amp;VAR:DATE=20090505&amp;action=UPDATE&amp;creator=factset&amp;DOC_NAME=FAT:FMA_audit_SUMMARY.fat&amp;DISPLAY_STRING=Display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2__FDSAUDITLINK__" hidden="1">{"fdsup://directions/FAT%20Viewer?VAR:PED=LTM&amp;VAR:AUDIT_MODE=SUMMARY&amp;VAR:PERIOD=FIXED&amp;VAR:AUDIT_ID=00000117&amp;VAR:DATE=20090505&amp;action=UPDATE&amp;creator=factset&amp;DOC_NAME=FAT:FMA_audit_SUMMARY.fat&amp;DISPLAY_STRING=Display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20__FDSAUDITLINK__" localSheetId="6" hidden="1">{"fdsup://directions/FAT Viewer?action=UPDATE&amp;creator=factset&amp;DYN_ARGS=TRUE&amp;DOC_NAME=FAT:FQL_AUDITING_CLIENT_TEMPLATE.FAT&amp;display_string=Audit&amp;VAR:KEY=XKRKFUJCRK&amp;VAR:QUERY=RkZfRUJJVERBX0lCKCdMVE1TJywzOTEzNyk=&amp;WINDOW=FIRST_POPUP&amp;HEIGHT=450&amp;WIDTH=450&amp;START_MA","XIMIZED=FALSE&amp;VAR:CALENDAR=US&amp;VAR:SYMBOL=05614P10&amp;VAR:INDEX=0"}</definedName>
    <definedName name="_2920__FDSAUDITLINK__" hidden="1">{"fdsup://directions/FAT Viewer?action=UPDATE&amp;creator=factset&amp;DYN_ARGS=TRUE&amp;DOC_NAME=FAT:FQL_AUDITING_CLIENT_TEMPLATE.FAT&amp;display_string=Audit&amp;VAR:KEY=XKRKFUJCRK&amp;VAR:QUERY=RkZfRUJJVERBX0lCKCdMVE1TJywzOTEzNyk=&amp;WINDOW=FIRST_POPUP&amp;HEIGHT=450&amp;WIDTH=450&amp;START_MA","XIMIZED=FALSE&amp;VAR:CALENDAR=US&amp;VAR:SYMBOL=05614P10&amp;VAR:INDEX=0"}</definedName>
    <definedName name="_2921__FDSAUDITLINK__" localSheetId="6" hidden="1">{"fdsup://directions/FAT Viewer?action=UPDATE&amp;creator=factset&amp;DYN_ARGS=TRUE&amp;DOC_NAME=FAT:FQL_AUDITING_CLIENT_TEMPLATE.FAT&amp;display_string=Audit&amp;VAR:KEY=DGTWTEZGZU&amp;VAR:QUERY=RkZfRUJJVERBX0lCKCdMVE1TJywzOTEzNik=&amp;WINDOW=FIRST_POPUP&amp;HEIGHT=450&amp;WIDTH=450&amp;START_MA","XIMIZED=FALSE&amp;VAR:CALENDAR=US&amp;VAR:SYMBOL=05614P10&amp;VAR:INDEX=0"}</definedName>
    <definedName name="_2921__FDSAUDITLINK__" hidden="1">{"fdsup://directions/FAT Viewer?action=UPDATE&amp;creator=factset&amp;DYN_ARGS=TRUE&amp;DOC_NAME=FAT:FQL_AUDITING_CLIENT_TEMPLATE.FAT&amp;display_string=Audit&amp;VAR:KEY=DGTWTEZGZU&amp;VAR:QUERY=RkZfRUJJVERBX0lCKCdMVE1TJywzOTEzNik=&amp;WINDOW=FIRST_POPUP&amp;HEIGHT=450&amp;WIDTH=450&amp;START_MA","XIMIZED=FALSE&amp;VAR:CALENDAR=US&amp;VAR:SYMBOL=05614P10&amp;VAR:INDEX=0"}</definedName>
    <definedName name="_2922__FDSAUDITLINK__" localSheetId="6" hidden="1">{"fdsup://directions/FAT Viewer?action=UPDATE&amp;creator=factset&amp;DYN_ARGS=TRUE&amp;DOC_NAME=FAT:FQL_AUDITING_CLIENT_TEMPLATE.FAT&amp;display_string=Audit&amp;VAR:KEY=RQFMNERAXG&amp;VAR:QUERY=RkZfRUJJVERBX0lCKCdMVE1TJywzOTEzNSk=&amp;WINDOW=FIRST_POPUP&amp;HEIGHT=450&amp;WIDTH=450&amp;START_MA","XIMIZED=FALSE&amp;VAR:CALENDAR=US&amp;VAR:SYMBOL=05614P10&amp;VAR:INDEX=0"}</definedName>
    <definedName name="_2922__FDSAUDITLINK__" hidden="1">{"fdsup://directions/FAT Viewer?action=UPDATE&amp;creator=factset&amp;DYN_ARGS=TRUE&amp;DOC_NAME=FAT:FQL_AUDITING_CLIENT_TEMPLATE.FAT&amp;display_string=Audit&amp;VAR:KEY=RQFMNERAXG&amp;VAR:QUERY=RkZfRUJJVERBX0lCKCdMVE1TJywzOTEzNSk=&amp;WINDOW=FIRST_POPUP&amp;HEIGHT=450&amp;WIDTH=450&amp;START_MA","XIMIZED=FALSE&amp;VAR:CALENDAR=US&amp;VAR:SYMBOL=05614P10&amp;VAR:INDEX=0"}</definedName>
    <definedName name="_2923__FDSAUDITLINK__" localSheetId="6" hidden="1">{"fdsup://directions/FAT Viewer?action=UPDATE&amp;creator=factset&amp;DYN_ARGS=TRUE&amp;DOC_NAME=FAT:FQL_AUDITING_CLIENT_TEMPLATE.FAT&amp;display_string=Audit&amp;VAR:KEY=FUXMPOXMJU&amp;VAR:QUERY=RkZfRUJJVERBX0lCKCdMVE1TJywzOTEzNCk=&amp;WINDOW=FIRST_POPUP&amp;HEIGHT=450&amp;WIDTH=450&amp;START_MA","XIMIZED=FALSE&amp;VAR:CALENDAR=US&amp;VAR:SYMBOL=05614P10&amp;VAR:INDEX=0"}</definedName>
    <definedName name="_2923__FDSAUDITLINK__" hidden="1">{"fdsup://directions/FAT Viewer?action=UPDATE&amp;creator=factset&amp;DYN_ARGS=TRUE&amp;DOC_NAME=FAT:FQL_AUDITING_CLIENT_TEMPLATE.FAT&amp;display_string=Audit&amp;VAR:KEY=FUXMPOXMJU&amp;VAR:QUERY=RkZfRUJJVERBX0lCKCdMVE1TJywzOTEzNCk=&amp;WINDOW=FIRST_POPUP&amp;HEIGHT=450&amp;WIDTH=450&amp;START_MA","XIMIZED=FALSE&amp;VAR:CALENDAR=US&amp;VAR:SYMBOL=05614P10&amp;VAR:INDEX=0"}</definedName>
    <definedName name="_2924__FDSAUDITLINK__" localSheetId="6" hidden="1">{"fdsup://directions/FAT Viewer?action=UPDATE&amp;creator=factset&amp;DYN_ARGS=TRUE&amp;DOC_NAME=FAT:FQL_AUDITING_CLIENT_TEMPLATE.FAT&amp;display_string=Audit&amp;VAR:KEY=RSZUZWDMNO&amp;VAR:QUERY=RkZfRUJJVERBX0lCKCdMVE1TJywzOTEzMyk=&amp;WINDOW=FIRST_POPUP&amp;HEIGHT=450&amp;WIDTH=450&amp;START_MA","XIMIZED=FALSE&amp;VAR:CALENDAR=US&amp;VAR:SYMBOL=05614P10&amp;VAR:INDEX=0"}</definedName>
    <definedName name="_2924__FDSAUDITLINK__" hidden="1">{"fdsup://directions/FAT Viewer?action=UPDATE&amp;creator=factset&amp;DYN_ARGS=TRUE&amp;DOC_NAME=FAT:FQL_AUDITING_CLIENT_TEMPLATE.FAT&amp;display_string=Audit&amp;VAR:KEY=RSZUZWDMNO&amp;VAR:QUERY=RkZfRUJJVERBX0lCKCdMVE1TJywzOTEzMyk=&amp;WINDOW=FIRST_POPUP&amp;HEIGHT=450&amp;WIDTH=450&amp;START_MA","XIMIZED=FALSE&amp;VAR:CALENDAR=US&amp;VAR:SYMBOL=05614P10&amp;VAR:INDEX=0"}</definedName>
    <definedName name="_2925__FDSAUDITLINK__" localSheetId="6" hidden="1">{"fdsup://directions/FAT Viewer?action=UPDATE&amp;creator=factset&amp;DYN_ARGS=TRUE&amp;DOC_NAME=FAT:FQL_AUDITING_CLIENT_TEMPLATE.FAT&amp;display_string=Audit&amp;VAR:KEY=VYPWBMPIDM&amp;VAR:QUERY=RkZfRUJJVERBX0lCKCdMVE1TJywzOTEzMik=&amp;WINDOW=FIRST_POPUP&amp;HEIGHT=450&amp;WIDTH=450&amp;START_MA","XIMIZED=FALSE&amp;VAR:CALENDAR=US&amp;VAR:SYMBOL=05614P10&amp;VAR:INDEX=0"}</definedName>
    <definedName name="_2925__FDSAUDITLINK__" hidden="1">{"fdsup://directions/FAT Viewer?action=UPDATE&amp;creator=factset&amp;DYN_ARGS=TRUE&amp;DOC_NAME=FAT:FQL_AUDITING_CLIENT_TEMPLATE.FAT&amp;display_string=Audit&amp;VAR:KEY=VYPWBMPIDM&amp;VAR:QUERY=RkZfRUJJVERBX0lCKCdMVE1TJywzOTEzMik=&amp;WINDOW=FIRST_POPUP&amp;HEIGHT=450&amp;WIDTH=450&amp;START_MA","XIMIZED=FALSE&amp;VAR:CALENDAR=US&amp;VAR:SYMBOL=05614P10&amp;VAR:INDEX=0"}</definedName>
    <definedName name="_2926__FDSAUDITLINK__" localSheetId="6" hidden="1">{"fdsup://directions/FAT Viewer?action=UPDATE&amp;creator=factset&amp;DYN_ARGS=TRUE&amp;DOC_NAME=FAT:FQL_AUDITING_CLIENT_TEMPLATE.FAT&amp;display_string=Audit&amp;VAR:KEY=RORYBSTMFG&amp;VAR:QUERY=RkZfRUJJVERBX0lCKCdMVE1TJywzOTEzMSk=&amp;WINDOW=FIRST_POPUP&amp;HEIGHT=450&amp;WIDTH=450&amp;START_MA","XIMIZED=FALSE&amp;VAR:CALENDAR=US&amp;VAR:SYMBOL=05614P10&amp;VAR:INDEX=0"}</definedName>
    <definedName name="_2926__FDSAUDITLINK__" hidden="1">{"fdsup://directions/FAT Viewer?action=UPDATE&amp;creator=factset&amp;DYN_ARGS=TRUE&amp;DOC_NAME=FAT:FQL_AUDITING_CLIENT_TEMPLATE.FAT&amp;display_string=Audit&amp;VAR:KEY=RORYBSTMFG&amp;VAR:QUERY=RkZfRUJJVERBX0lCKCdMVE1TJywzOTEzMSk=&amp;WINDOW=FIRST_POPUP&amp;HEIGHT=450&amp;WIDTH=450&amp;START_MA","XIMIZED=FALSE&amp;VAR:CALENDAR=US&amp;VAR:SYMBOL=05614P10&amp;VAR:INDEX=0"}</definedName>
    <definedName name="_2927__FDSAUDITLINK__" localSheetId="6" hidden="1">{"fdsup://directions/FAT Viewer?action=UPDATE&amp;creator=factset&amp;DYN_ARGS=TRUE&amp;DOC_NAME=FAT:FQL_AUDITING_CLIENT_TEMPLATE.FAT&amp;display_string=Audit&amp;VAR:KEY=HIFYPULOHW&amp;VAR:QUERY=RkZfRUJJVERBX0lCKCdMVE1TJywzOTEzMCk=&amp;WINDOW=FIRST_POPUP&amp;HEIGHT=450&amp;WIDTH=450&amp;START_MA","XIMIZED=FALSE&amp;VAR:CALENDAR=US&amp;VAR:SYMBOL=05614P10&amp;VAR:INDEX=0"}</definedName>
    <definedName name="_2927__FDSAUDITLINK__" hidden="1">{"fdsup://directions/FAT Viewer?action=UPDATE&amp;creator=factset&amp;DYN_ARGS=TRUE&amp;DOC_NAME=FAT:FQL_AUDITING_CLIENT_TEMPLATE.FAT&amp;display_string=Audit&amp;VAR:KEY=HIFYPULOHW&amp;VAR:QUERY=RkZfRUJJVERBX0lCKCdMVE1TJywzOTEzMCk=&amp;WINDOW=FIRST_POPUP&amp;HEIGHT=450&amp;WIDTH=450&amp;START_MA","XIMIZED=FALSE&amp;VAR:CALENDAR=US&amp;VAR:SYMBOL=05614P10&amp;VAR:INDEX=0"}</definedName>
    <definedName name="_2928__FDSAUDITLINK__" localSheetId="6" hidden="1">{"fdsup://directions/FAT Viewer?action=UPDATE&amp;creator=factset&amp;DYN_ARGS=TRUE&amp;DOC_NAME=FAT:FQL_AUDITING_CLIENT_TEMPLATE.FAT&amp;display_string=Audit&amp;VAR:KEY=XALMHWXYBA&amp;VAR:QUERY=RkZfRUJJVERBX0lCKCdMVE1TJywzOTEyOSk=&amp;WINDOW=FIRST_POPUP&amp;HEIGHT=450&amp;WIDTH=450&amp;START_MA","XIMIZED=FALSE&amp;VAR:CALENDAR=US&amp;VAR:SYMBOL=05614P10&amp;VAR:INDEX=0"}</definedName>
    <definedName name="_2928__FDSAUDITLINK__" hidden="1">{"fdsup://directions/FAT Viewer?action=UPDATE&amp;creator=factset&amp;DYN_ARGS=TRUE&amp;DOC_NAME=FAT:FQL_AUDITING_CLIENT_TEMPLATE.FAT&amp;display_string=Audit&amp;VAR:KEY=XALMHWXYBA&amp;VAR:QUERY=RkZfRUJJVERBX0lCKCdMVE1TJywzOTEyOSk=&amp;WINDOW=FIRST_POPUP&amp;HEIGHT=450&amp;WIDTH=450&amp;START_MA","XIMIZED=FALSE&amp;VAR:CALENDAR=US&amp;VAR:SYMBOL=05614P10&amp;VAR:INDEX=0"}</definedName>
    <definedName name="_2929__FDSAUDITLINK__" localSheetId="6" hidden="1">{"fdsup://directions/FAT Viewer?action=UPDATE&amp;creator=factset&amp;DYN_ARGS=TRUE&amp;DOC_NAME=FAT:FQL_AUDITING_CLIENT_TEMPLATE.FAT&amp;display_string=Audit&amp;VAR:KEY=XGLMDEBKDE&amp;VAR:QUERY=RkZfRUJJVERBX0lCKCdMVE1TJywzOTEyOCk=&amp;WINDOW=FIRST_POPUP&amp;HEIGHT=450&amp;WIDTH=450&amp;START_MA","XIMIZED=FALSE&amp;VAR:CALENDAR=US&amp;VAR:SYMBOL=05614P10&amp;VAR:INDEX=0"}</definedName>
    <definedName name="_2929__FDSAUDITLINK__" hidden="1">{"fdsup://directions/FAT Viewer?action=UPDATE&amp;creator=factset&amp;DYN_ARGS=TRUE&amp;DOC_NAME=FAT:FQL_AUDITING_CLIENT_TEMPLATE.FAT&amp;display_string=Audit&amp;VAR:KEY=XGLMDEBKDE&amp;VAR:QUERY=RkZfRUJJVERBX0lCKCdMVE1TJywzOTEyOCk=&amp;WINDOW=FIRST_POPUP&amp;HEIGHT=450&amp;WIDTH=450&amp;START_MA","XIMIZED=FALSE&amp;VAR:CALENDAR=US&amp;VAR:SYMBOL=05614P10&amp;VAR:INDEX=0"}</definedName>
    <definedName name="_293__FDSAUDITLINK__" localSheetId="6" hidden="1">{"fdsup://directions/FAT%20Viewer?VAR:PED=LTM&amp;VAR:AUDIT_MODE=SUMMARY&amp;VAR:PERIOD=FIXED&amp;VAR:AUDIT_ID=00000117&amp;VAR:DATE=20090504&amp;action=UPDATE&amp;creator=factset&amp;DOC_NAME=FAT:FMA_audit_SUMMARY.fat&amp;DISPLAY_STRING=Display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3__FDSAUDITLINK__" hidden="1">{"fdsup://directions/FAT%20Viewer?VAR:PED=LTM&amp;VAR:AUDIT_MODE=SUMMARY&amp;VAR:PERIOD=FIXED&amp;VAR:AUDIT_ID=00000117&amp;VAR:DATE=20090504&amp;action=UPDATE&amp;creator=factset&amp;DOC_NAME=FAT:FMA_audit_SUMMARY.fat&amp;DISPLAY_STRING=Display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30__FDSAUDITLINK__" localSheetId="6" hidden="1">{"fdsup://directions/FAT Viewer?action=UPDATE&amp;creator=factset&amp;DYN_ARGS=TRUE&amp;DOC_NAME=FAT:FQL_AUDITING_CLIENT_TEMPLATE.FAT&amp;display_string=Audit&amp;VAR:KEY=VKROJQTMXI&amp;VAR:QUERY=RkZfRUJJVERBX0lCKCdMVE1TJywzOTEyNyk=&amp;WINDOW=FIRST_POPUP&amp;HEIGHT=450&amp;WIDTH=450&amp;START_MA","XIMIZED=FALSE&amp;VAR:CALENDAR=US&amp;VAR:SYMBOL=05614P10&amp;VAR:INDEX=0"}</definedName>
    <definedName name="_2930__FDSAUDITLINK__" hidden="1">{"fdsup://directions/FAT Viewer?action=UPDATE&amp;creator=factset&amp;DYN_ARGS=TRUE&amp;DOC_NAME=FAT:FQL_AUDITING_CLIENT_TEMPLATE.FAT&amp;display_string=Audit&amp;VAR:KEY=VKROJQTMXI&amp;VAR:QUERY=RkZfRUJJVERBX0lCKCdMVE1TJywzOTEyNyk=&amp;WINDOW=FIRST_POPUP&amp;HEIGHT=450&amp;WIDTH=450&amp;START_MA","XIMIZED=FALSE&amp;VAR:CALENDAR=US&amp;VAR:SYMBOL=05614P10&amp;VAR:INDEX=0"}</definedName>
    <definedName name="_2931__FDSAUDITLINK__" localSheetId="6" hidden="1">{"fdsup://directions/FAT Viewer?action=UPDATE&amp;creator=factset&amp;DYN_ARGS=TRUE&amp;DOC_NAME=FAT:FQL_AUDITING_CLIENT_TEMPLATE.FAT&amp;display_string=Audit&amp;VAR:KEY=FEZWLMTKLI&amp;VAR:QUERY=RkZfRUJJVERBX0lCKCdMVE1TJywzOTEyNik=&amp;WINDOW=FIRST_POPUP&amp;HEIGHT=450&amp;WIDTH=450&amp;START_MA","XIMIZED=FALSE&amp;VAR:CALENDAR=US&amp;VAR:SYMBOL=05614P10&amp;VAR:INDEX=0"}</definedName>
    <definedName name="_2931__FDSAUDITLINK__" hidden="1">{"fdsup://directions/FAT Viewer?action=UPDATE&amp;creator=factset&amp;DYN_ARGS=TRUE&amp;DOC_NAME=FAT:FQL_AUDITING_CLIENT_TEMPLATE.FAT&amp;display_string=Audit&amp;VAR:KEY=FEZWLMTKLI&amp;VAR:QUERY=RkZfRUJJVERBX0lCKCdMVE1TJywzOTEyNik=&amp;WINDOW=FIRST_POPUP&amp;HEIGHT=450&amp;WIDTH=450&amp;START_MA","XIMIZED=FALSE&amp;VAR:CALENDAR=US&amp;VAR:SYMBOL=05614P10&amp;VAR:INDEX=0"}</definedName>
    <definedName name="_2932__FDSAUDITLINK__" localSheetId="6" hidden="1">{"fdsup://directions/FAT Viewer?action=UPDATE&amp;creator=factset&amp;DYN_ARGS=TRUE&amp;DOC_NAME=FAT:FQL_AUDITING_CLIENT_TEMPLATE.FAT&amp;display_string=Audit&amp;VAR:KEY=VGZYHAHCBQ&amp;VAR:QUERY=RkZfRUJJVERBX0lCKCdMVE1TJywzOTEyNSk=&amp;WINDOW=FIRST_POPUP&amp;HEIGHT=450&amp;WIDTH=450&amp;START_MA","XIMIZED=FALSE&amp;VAR:CALENDAR=US&amp;VAR:SYMBOL=05614P10&amp;VAR:INDEX=0"}</definedName>
    <definedName name="_2932__FDSAUDITLINK__" hidden="1">{"fdsup://directions/FAT Viewer?action=UPDATE&amp;creator=factset&amp;DYN_ARGS=TRUE&amp;DOC_NAME=FAT:FQL_AUDITING_CLIENT_TEMPLATE.FAT&amp;display_string=Audit&amp;VAR:KEY=VGZYHAHCBQ&amp;VAR:QUERY=RkZfRUJJVERBX0lCKCdMVE1TJywzOTEyNSk=&amp;WINDOW=FIRST_POPUP&amp;HEIGHT=450&amp;WIDTH=450&amp;START_MA","XIMIZED=FALSE&amp;VAR:CALENDAR=US&amp;VAR:SYMBOL=05614P10&amp;VAR:INDEX=0"}</definedName>
    <definedName name="_2933__FDSAUDITLINK__" localSheetId="6" hidden="1">{"fdsup://directions/FAT Viewer?action=UPDATE&amp;creator=factset&amp;DYN_ARGS=TRUE&amp;DOC_NAME=FAT:FQL_AUDITING_CLIENT_TEMPLATE.FAT&amp;display_string=Audit&amp;VAR:KEY=RKROTATMDA&amp;VAR:QUERY=RkZfRUJJVERBX0lCKCdMVE1TJywzOTEyNCk=&amp;WINDOW=FIRST_POPUP&amp;HEIGHT=450&amp;WIDTH=450&amp;START_MA","XIMIZED=FALSE&amp;VAR:CALENDAR=US&amp;VAR:SYMBOL=05614P10&amp;VAR:INDEX=0"}</definedName>
    <definedName name="_2933__FDSAUDITLINK__" hidden="1">{"fdsup://directions/FAT Viewer?action=UPDATE&amp;creator=factset&amp;DYN_ARGS=TRUE&amp;DOC_NAME=FAT:FQL_AUDITING_CLIENT_TEMPLATE.FAT&amp;display_string=Audit&amp;VAR:KEY=RKROTATMDA&amp;VAR:QUERY=RkZfRUJJVERBX0lCKCdMVE1TJywzOTEyNCk=&amp;WINDOW=FIRST_POPUP&amp;HEIGHT=450&amp;WIDTH=450&amp;START_MA","XIMIZED=FALSE&amp;VAR:CALENDAR=US&amp;VAR:SYMBOL=05614P10&amp;VAR:INDEX=0"}</definedName>
    <definedName name="_2934__FDSAUDITLINK__" localSheetId="6" hidden="1">{"fdsup://directions/FAT Viewer?action=UPDATE&amp;creator=factset&amp;DYN_ARGS=TRUE&amp;DOC_NAME=FAT:FQL_AUDITING_CLIENT_TEMPLATE.FAT&amp;display_string=Audit&amp;VAR:KEY=HCBWTMZQNM&amp;VAR:QUERY=RkZfRUJJVERBX0lCKCdMVE1TJywzOTEyMyk=&amp;WINDOW=FIRST_POPUP&amp;HEIGHT=450&amp;WIDTH=450&amp;START_MA","XIMIZED=FALSE&amp;VAR:CALENDAR=US&amp;VAR:SYMBOL=05614P10&amp;VAR:INDEX=0"}</definedName>
    <definedName name="_2934__FDSAUDITLINK__" hidden="1">{"fdsup://directions/FAT Viewer?action=UPDATE&amp;creator=factset&amp;DYN_ARGS=TRUE&amp;DOC_NAME=FAT:FQL_AUDITING_CLIENT_TEMPLATE.FAT&amp;display_string=Audit&amp;VAR:KEY=HCBWTMZQNM&amp;VAR:QUERY=RkZfRUJJVERBX0lCKCdMVE1TJywzOTEyMyk=&amp;WINDOW=FIRST_POPUP&amp;HEIGHT=450&amp;WIDTH=450&amp;START_MA","XIMIZED=FALSE&amp;VAR:CALENDAR=US&amp;VAR:SYMBOL=05614P10&amp;VAR:INDEX=0"}</definedName>
    <definedName name="_2935__FDSAUDITLINK__" localSheetId="6" hidden="1">{"fdsup://directions/FAT Viewer?action=UPDATE&amp;creator=factset&amp;DYN_ARGS=TRUE&amp;DOC_NAME=FAT:FQL_AUDITING_CLIENT_TEMPLATE.FAT&amp;display_string=Audit&amp;VAR:KEY=JUZCNILUPA&amp;VAR:QUERY=RkZfRUJJVERBX0lCKCdMVE1TJywzOTEyMik=&amp;WINDOW=FIRST_POPUP&amp;HEIGHT=450&amp;WIDTH=450&amp;START_MA","XIMIZED=FALSE&amp;VAR:CALENDAR=US&amp;VAR:SYMBOL=05614P10&amp;VAR:INDEX=0"}</definedName>
    <definedName name="_2935__FDSAUDITLINK__" hidden="1">{"fdsup://directions/FAT Viewer?action=UPDATE&amp;creator=factset&amp;DYN_ARGS=TRUE&amp;DOC_NAME=FAT:FQL_AUDITING_CLIENT_TEMPLATE.FAT&amp;display_string=Audit&amp;VAR:KEY=JUZCNILUPA&amp;VAR:QUERY=RkZfRUJJVERBX0lCKCdMVE1TJywzOTEyMik=&amp;WINDOW=FIRST_POPUP&amp;HEIGHT=450&amp;WIDTH=450&amp;START_MA","XIMIZED=FALSE&amp;VAR:CALENDAR=US&amp;VAR:SYMBOL=05614P10&amp;VAR:INDEX=0"}</definedName>
    <definedName name="_2936__FDSAUDITLINK__" localSheetId="6" hidden="1">{"fdsup://directions/FAT Viewer?action=UPDATE&amp;creator=factset&amp;DYN_ARGS=TRUE&amp;DOC_NAME=FAT:FQL_AUDITING_CLIENT_TEMPLATE.FAT&amp;display_string=Audit&amp;VAR:KEY=FUNAZEPQPI&amp;VAR:QUERY=RkZfRUJJVERBX0lCKCdMVE1TJywzOTEyMSk=&amp;WINDOW=FIRST_POPUP&amp;HEIGHT=450&amp;WIDTH=450&amp;START_MA","XIMIZED=FALSE&amp;VAR:CALENDAR=US&amp;VAR:SYMBOL=05614P10&amp;VAR:INDEX=0"}</definedName>
    <definedName name="_2936__FDSAUDITLINK__" hidden="1">{"fdsup://directions/FAT Viewer?action=UPDATE&amp;creator=factset&amp;DYN_ARGS=TRUE&amp;DOC_NAME=FAT:FQL_AUDITING_CLIENT_TEMPLATE.FAT&amp;display_string=Audit&amp;VAR:KEY=FUNAZEPQPI&amp;VAR:QUERY=RkZfRUJJVERBX0lCKCdMVE1TJywzOTEyMSk=&amp;WINDOW=FIRST_POPUP&amp;HEIGHT=450&amp;WIDTH=450&amp;START_MA","XIMIZED=FALSE&amp;VAR:CALENDAR=US&amp;VAR:SYMBOL=05614P10&amp;VAR:INDEX=0"}</definedName>
    <definedName name="_2937__FDSAUDITLINK__" localSheetId="6" hidden="1">{"fdsup://directions/FAT Viewer?action=UPDATE&amp;creator=factset&amp;DYN_ARGS=TRUE&amp;DOC_NAME=FAT:FQL_AUDITING_CLIENT_TEMPLATE.FAT&amp;display_string=Audit&amp;VAR:KEY=LKVONEBSPK&amp;VAR:QUERY=RkZfRUJJVERBX0lCKCdMVE1TJywzOTEyMCk=&amp;WINDOW=FIRST_POPUP&amp;HEIGHT=450&amp;WIDTH=450&amp;START_MA","XIMIZED=FALSE&amp;VAR:CALENDAR=US&amp;VAR:SYMBOL=05614P10&amp;VAR:INDEX=0"}</definedName>
    <definedName name="_2937__FDSAUDITLINK__" hidden="1">{"fdsup://directions/FAT Viewer?action=UPDATE&amp;creator=factset&amp;DYN_ARGS=TRUE&amp;DOC_NAME=FAT:FQL_AUDITING_CLIENT_TEMPLATE.FAT&amp;display_string=Audit&amp;VAR:KEY=LKVONEBSPK&amp;VAR:QUERY=RkZfRUJJVERBX0lCKCdMVE1TJywzOTEyMCk=&amp;WINDOW=FIRST_POPUP&amp;HEIGHT=450&amp;WIDTH=450&amp;START_MA","XIMIZED=FALSE&amp;VAR:CALENDAR=US&amp;VAR:SYMBOL=05614P10&amp;VAR:INDEX=0"}</definedName>
    <definedName name="_2938__FDSAUDITLINK__" localSheetId="6" hidden="1">{"fdsup://directions/FAT Viewer?action=UPDATE&amp;creator=factset&amp;DYN_ARGS=TRUE&amp;DOC_NAME=FAT:FQL_AUDITING_CLIENT_TEMPLATE.FAT&amp;display_string=Audit&amp;VAR:KEY=FEFQRELGHO&amp;VAR:QUERY=RkZfRUJJVERBX0lCKCdMVE1TJywzOTExOSk=&amp;WINDOW=FIRST_POPUP&amp;HEIGHT=450&amp;WIDTH=450&amp;START_MA","XIMIZED=FALSE&amp;VAR:CALENDAR=US&amp;VAR:SYMBOL=05614P10&amp;VAR:INDEX=0"}</definedName>
    <definedName name="_2938__FDSAUDITLINK__" hidden="1">{"fdsup://directions/FAT Viewer?action=UPDATE&amp;creator=factset&amp;DYN_ARGS=TRUE&amp;DOC_NAME=FAT:FQL_AUDITING_CLIENT_TEMPLATE.FAT&amp;display_string=Audit&amp;VAR:KEY=FEFQRELGHO&amp;VAR:QUERY=RkZfRUJJVERBX0lCKCdMVE1TJywzOTExOSk=&amp;WINDOW=FIRST_POPUP&amp;HEIGHT=450&amp;WIDTH=450&amp;START_MA","XIMIZED=FALSE&amp;VAR:CALENDAR=US&amp;VAR:SYMBOL=05614P10&amp;VAR:INDEX=0"}</definedName>
    <definedName name="_2939__FDSAUDITLINK__" localSheetId="6" hidden="1">{"fdsup://directions/FAT Viewer?action=UPDATE&amp;creator=factset&amp;DYN_ARGS=TRUE&amp;DOC_NAME=FAT:FQL_AUDITING_CLIENT_TEMPLATE.FAT&amp;display_string=Audit&amp;VAR:KEY=RGTSXSFQLC&amp;VAR:QUERY=RkZfRUJJVERBX0lCKCdMVE1TJywzOTExOCk=&amp;WINDOW=FIRST_POPUP&amp;HEIGHT=450&amp;WIDTH=450&amp;START_MA","XIMIZED=FALSE&amp;VAR:CALENDAR=US&amp;VAR:SYMBOL=05614P10&amp;VAR:INDEX=0"}</definedName>
    <definedName name="_2939__FDSAUDITLINK__" hidden="1">{"fdsup://directions/FAT Viewer?action=UPDATE&amp;creator=factset&amp;DYN_ARGS=TRUE&amp;DOC_NAME=FAT:FQL_AUDITING_CLIENT_TEMPLATE.FAT&amp;display_string=Audit&amp;VAR:KEY=RGTSXSFQLC&amp;VAR:QUERY=RkZfRUJJVERBX0lCKCdMVE1TJywzOTExOCk=&amp;WINDOW=FIRST_POPUP&amp;HEIGHT=450&amp;WIDTH=450&amp;START_MA","XIMIZED=FALSE&amp;VAR:CALENDAR=US&amp;VAR:SYMBOL=05614P10&amp;VAR:INDEX=0"}</definedName>
    <definedName name="_294__FDSAUDITLINK__" localSheetId="6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4__FDSAUDITLINK__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40__FDSAUDITLINK__" localSheetId="6" hidden="1">{"fdsup://directions/FAT Viewer?action=UPDATE&amp;creator=factset&amp;DYN_ARGS=TRUE&amp;DOC_NAME=FAT:FQL_AUDITING_CLIENT_TEMPLATE.FAT&amp;display_string=Audit&amp;VAR:KEY=NEDERWRGNM&amp;VAR:QUERY=RkZfRUJJVERBX0lCKCdMVE1TJywzOTExNyk=&amp;WINDOW=FIRST_POPUP&amp;HEIGHT=450&amp;WIDTH=450&amp;START_MA","XIMIZED=FALSE&amp;VAR:CALENDAR=US&amp;VAR:SYMBOL=05614P10&amp;VAR:INDEX=0"}</definedName>
    <definedName name="_2940__FDSAUDITLINK__" hidden="1">{"fdsup://directions/FAT Viewer?action=UPDATE&amp;creator=factset&amp;DYN_ARGS=TRUE&amp;DOC_NAME=FAT:FQL_AUDITING_CLIENT_TEMPLATE.FAT&amp;display_string=Audit&amp;VAR:KEY=NEDERWRGNM&amp;VAR:QUERY=RkZfRUJJVERBX0lCKCdMVE1TJywzOTExNyk=&amp;WINDOW=FIRST_POPUP&amp;HEIGHT=450&amp;WIDTH=450&amp;START_MA","XIMIZED=FALSE&amp;VAR:CALENDAR=US&amp;VAR:SYMBOL=05614P10&amp;VAR:INDEX=0"}</definedName>
    <definedName name="_2941__FDSAUDITLINK__" localSheetId="6" hidden="1">{"fdsup://directions/FAT Viewer?action=UPDATE&amp;creator=factset&amp;DYN_ARGS=TRUE&amp;DOC_NAME=FAT:FQL_AUDITING_CLIENT_TEMPLATE.FAT&amp;display_string=Audit&amp;VAR:KEY=XKFUBWFMJY&amp;VAR:QUERY=RkZfRUJJVERBX0lCKCdMVE1TJywzOTExNik=&amp;WINDOW=FIRST_POPUP&amp;HEIGHT=450&amp;WIDTH=450&amp;START_MA","XIMIZED=FALSE&amp;VAR:CALENDAR=US&amp;VAR:SYMBOL=05614P10&amp;VAR:INDEX=0"}</definedName>
    <definedName name="_2941__FDSAUDITLINK__" hidden="1">{"fdsup://directions/FAT Viewer?action=UPDATE&amp;creator=factset&amp;DYN_ARGS=TRUE&amp;DOC_NAME=FAT:FQL_AUDITING_CLIENT_TEMPLATE.FAT&amp;display_string=Audit&amp;VAR:KEY=XKFUBWFMJY&amp;VAR:QUERY=RkZfRUJJVERBX0lCKCdMVE1TJywzOTExNik=&amp;WINDOW=FIRST_POPUP&amp;HEIGHT=450&amp;WIDTH=450&amp;START_MA","XIMIZED=FALSE&amp;VAR:CALENDAR=US&amp;VAR:SYMBOL=05614P10&amp;VAR:INDEX=0"}</definedName>
    <definedName name="_2942__FDSAUDITLINK__" localSheetId="6" hidden="1">{"fdsup://directions/FAT Viewer?action=UPDATE&amp;creator=factset&amp;DYN_ARGS=TRUE&amp;DOC_NAME=FAT:FQL_AUDITING_CLIENT_TEMPLATE.FAT&amp;display_string=Audit&amp;VAR:KEY=XKNMJOJIBG&amp;VAR:QUERY=RkZfRUJJVERBX0lCKCdMVE1TJywzOTExNSk=&amp;WINDOW=FIRST_POPUP&amp;HEIGHT=450&amp;WIDTH=450&amp;START_MA","XIMIZED=FALSE&amp;VAR:CALENDAR=US&amp;VAR:SYMBOL=05614P10&amp;VAR:INDEX=0"}</definedName>
    <definedName name="_2942__FDSAUDITLINK__" hidden="1">{"fdsup://directions/FAT Viewer?action=UPDATE&amp;creator=factset&amp;DYN_ARGS=TRUE&amp;DOC_NAME=FAT:FQL_AUDITING_CLIENT_TEMPLATE.FAT&amp;display_string=Audit&amp;VAR:KEY=XKNMJOJIBG&amp;VAR:QUERY=RkZfRUJJVERBX0lCKCdMVE1TJywzOTExNSk=&amp;WINDOW=FIRST_POPUP&amp;HEIGHT=450&amp;WIDTH=450&amp;START_MA","XIMIZED=FALSE&amp;VAR:CALENDAR=US&amp;VAR:SYMBOL=05614P10&amp;VAR:INDEX=0"}</definedName>
    <definedName name="_2943__FDSAUDITLINK__" localSheetId="6" hidden="1">{"fdsup://directions/FAT Viewer?action=UPDATE&amp;creator=factset&amp;DYN_ARGS=TRUE&amp;DOC_NAME=FAT:FQL_AUDITING_CLIENT_TEMPLATE.FAT&amp;display_string=Audit&amp;VAR:KEY=VUVGZYNORM&amp;VAR:QUERY=RkZfRUJJVERBX0lCKCdMVE1TJywzOTExNCk=&amp;WINDOW=FIRST_POPUP&amp;HEIGHT=450&amp;WIDTH=450&amp;START_MA","XIMIZED=FALSE&amp;VAR:CALENDAR=US&amp;VAR:SYMBOL=05614P10&amp;VAR:INDEX=0"}</definedName>
    <definedName name="_2943__FDSAUDITLINK__" hidden="1">{"fdsup://directions/FAT Viewer?action=UPDATE&amp;creator=factset&amp;DYN_ARGS=TRUE&amp;DOC_NAME=FAT:FQL_AUDITING_CLIENT_TEMPLATE.FAT&amp;display_string=Audit&amp;VAR:KEY=VUVGZYNORM&amp;VAR:QUERY=RkZfRUJJVERBX0lCKCdMVE1TJywzOTExNCk=&amp;WINDOW=FIRST_POPUP&amp;HEIGHT=450&amp;WIDTH=450&amp;START_MA","XIMIZED=FALSE&amp;VAR:CALENDAR=US&amp;VAR:SYMBOL=05614P10&amp;VAR:INDEX=0"}</definedName>
    <definedName name="_2944__FDSAUDITLINK__" localSheetId="6" hidden="1">{"fdsup://directions/FAT Viewer?action=UPDATE&amp;creator=factset&amp;DYN_ARGS=TRUE&amp;DOC_NAME=FAT:FQL_AUDITING_CLIENT_TEMPLATE.FAT&amp;display_string=Audit&amp;VAR:KEY=HIXSLANAJI&amp;VAR:QUERY=RkZfRUJJVERBX0lCKCdMVE1TJywzOTExMyk=&amp;WINDOW=FIRST_POPUP&amp;HEIGHT=450&amp;WIDTH=450&amp;START_MA","XIMIZED=FALSE&amp;VAR:CALENDAR=US&amp;VAR:SYMBOL=05614P10&amp;VAR:INDEX=0"}</definedName>
    <definedName name="_2944__FDSAUDITLINK__" hidden="1">{"fdsup://directions/FAT Viewer?action=UPDATE&amp;creator=factset&amp;DYN_ARGS=TRUE&amp;DOC_NAME=FAT:FQL_AUDITING_CLIENT_TEMPLATE.FAT&amp;display_string=Audit&amp;VAR:KEY=HIXSLANAJI&amp;VAR:QUERY=RkZfRUJJVERBX0lCKCdMVE1TJywzOTExMyk=&amp;WINDOW=FIRST_POPUP&amp;HEIGHT=450&amp;WIDTH=450&amp;START_MA","XIMIZED=FALSE&amp;VAR:CALENDAR=US&amp;VAR:SYMBOL=05614P10&amp;VAR:INDEX=0"}</definedName>
    <definedName name="_2945__FDSAUDITLINK__" localSheetId="6" hidden="1">{"fdsup://directions/FAT Viewer?action=UPDATE&amp;creator=factset&amp;DYN_ARGS=TRUE&amp;DOC_NAME=FAT:FQL_AUDITING_CLIENT_TEMPLATE.FAT&amp;display_string=Audit&amp;VAR:KEY=PCRCJITEHA&amp;VAR:QUERY=RkZfRUJJVERBX0lCKCdMVE1TJywzOTExMik=&amp;WINDOW=FIRST_POPUP&amp;HEIGHT=450&amp;WIDTH=450&amp;START_MA","XIMIZED=FALSE&amp;VAR:CALENDAR=US&amp;VAR:SYMBOL=05614P10&amp;VAR:INDEX=0"}</definedName>
    <definedName name="_2945__FDSAUDITLINK__" hidden="1">{"fdsup://directions/FAT Viewer?action=UPDATE&amp;creator=factset&amp;DYN_ARGS=TRUE&amp;DOC_NAME=FAT:FQL_AUDITING_CLIENT_TEMPLATE.FAT&amp;display_string=Audit&amp;VAR:KEY=PCRCJITEHA&amp;VAR:QUERY=RkZfRUJJVERBX0lCKCdMVE1TJywzOTExMik=&amp;WINDOW=FIRST_POPUP&amp;HEIGHT=450&amp;WIDTH=450&amp;START_MA","XIMIZED=FALSE&amp;VAR:CALENDAR=US&amp;VAR:SYMBOL=05614P10&amp;VAR:INDEX=0"}</definedName>
    <definedName name="_2946__FDSAUDITLINK__" localSheetId="6" hidden="1">{"fdsup://directions/FAT Viewer?action=UPDATE&amp;creator=factset&amp;DYN_ARGS=TRUE&amp;DOC_NAME=FAT:FQL_AUDITING_CLIENT_TEMPLATE.FAT&amp;display_string=Audit&amp;VAR:KEY=JSHSLIJGBO&amp;VAR:QUERY=RkZfRUJJVERBX0lCKCdMVE1TJywzOTExMSk=&amp;WINDOW=FIRST_POPUP&amp;HEIGHT=450&amp;WIDTH=450&amp;START_MA","XIMIZED=FALSE&amp;VAR:CALENDAR=US&amp;VAR:SYMBOL=05614P10&amp;VAR:INDEX=0"}</definedName>
    <definedName name="_2946__FDSAUDITLINK__" hidden="1">{"fdsup://directions/FAT Viewer?action=UPDATE&amp;creator=factset&amp;DYN_ARGS=TRUE&amp;DOC_NAME=FAT:FQL_AUDITING_CLIENT_TEMPLATE.FAT&amp;display_string=Audit&amp;VAR:KEY=JSHSLIJGBO&amp;VAR:QUERY=RkZfRUJJVERBX0lCKCdMVE1TJywzOTExMSk=&amp;WINDOW=FIRST_POPUP&amp;HEIGHT=450&amp;WIDTH=450&amp;START_MA","XIMIZED=FALSE&amp;VAR:CALENDAR=US&amp;VAR:SYMBOL=05614P10&amp;VAR:INDEX=0"}</definedName>
    <definedName name="_2947__FDSAUDITLINK__" localSheetId="6" hidden="1">{"fdsup://directions/FAT Viewer?action=UPDATE&amp;creator=factset&amp;DYN_ARGS=TRUE&amp;DOC_NAME=FAT:FQL_AUDITING_CLIENT_TEMPLATE.FAT&amp;display_string=Audit&amp;VAR:KEY=LOXOTKJUDQ&amp;VAR:QUERY=RkZfRUJJVERBX0lCKCdMVE1TJywzOTExMCk=&amp;WINDOW=FIRST_POPUP&amp;HEIGHT=450&amp;WIDTH=450&amp;START_MA","XIMIZED=FALSE&amp;VAR:CALENDAR=US&amp;VAR:SYMBOL=05614P10&amp;VAR:INDEX=0"}</definedName>
    <definedName name="_2947__FDSAUDITLINK__" hidden="1">{"fdsup://directions/FAT Viewer?action=UPDATE&amp;creator=factset&amp;DYN_ARGS=TRUE&amp;DOC_NAME=FAT:FQL_AUDITING_CLIENT_TEMPLATE.FAT&amp;display_string=Audit&amp;VAR:KEY=LOXOTKJUDQ&amp;VAR:QUERY=RkZfRUJJVERBX0lCKCdMVE1TJywzOTExMCk=&amp;WINDOW=FIRST_POPUP&amp;HEIGHT=450&amp;WIDTH=450&amp;START_MA","XIMIZED=FALSE&amp;VAR:CALENDAR=US&amp;VAR:SYMBOL=05614P10&amp;VAR:INDEX=0"}</definedName>
    <definedName name="_2948__FDSAUDITLINK__" localSheetId="6" hidden="1">{"fdsup://directions/FAT Viewer?action=UPDATE&amp;creator=factset&amp;DYN_ARGS=TRUE&amp;DOC_NAME=FAT:FQL_AUDITING_CLIENT_TEMPLATE.FAT&amp;display_string=Audit&amp;VAR:KEY=TMZAPSRMFG&amp;VAR:QUERY=RkZfRUJJVERBX0lCKCdMVE1TJywzOTEwOSk=&amp;WINDOW=FIRST_POPUP&amp;HEIGHT=450&amp;WIDTH=450&amp;START_MA","XIMIZED=FALSE&amp;VAR:CALENDAR=US&amp;VAR:SYMBOL=05614P10&amp;VAR:INDEX=0"}</definedName>
    <definedName name="_2948__FDSAUDITLINK__" hidden="1">{"fdsup://directions/FAT Viewer?action=UPDATE&amp;creator=factset&amp;DYN_ARGS=TRUE&amp;DOC_NAME=FAT:FQL_AUDITING_CLIENT_TEMPLATE.FAT&amp;display_string=Audit&amp;VAR:KEY=TMZAPSRMFG&amp;VAR:QUERY=RkZfRUJJVERBX0lCKCdMVE1TJywzOTEwOSk=&amp;WINDOW=FIRST_POPUP&amp;HEIGHT=450&amp;WIDTH=450&amp;START_MA","XIMIZED=FALSE&amp;VAR:CALENDAR=US&amp;VAR:SYMBOL=05614P10&amp;VAR:INDEX=0"}</definedName>
    <definedName name="_2949__FDSAUDITLINK__" localSheetId="6" hidden="1">{"fdsup://directions/FAT Viewer?action=UPDATE&amp;creator=factset&amp;DYN_ARGS=TRUE&amp;DOC_NAME=FAT:FQL_AUDITING_CLIENT_TEMPLATE.FAT&amp;display_string=Audit&amp;VAR:KEY=HOVYJGLUBO&amp;VAR:QUERY=RkZfRUJJVERBX0lCKCdMVE1TJywzOTEwOCk=&amp;WINDOW=FIRST_POPUP&amp;HEIGHT=450&amp;WIDTH=450&amp;START_MA","XIMIZED=FALSE&amp;VAR:CALENDAR=US&amp;VAR:SYMBOL=05614P10&amp;VAR:INDEX=0"}</definedName>
    <definedName name="_2949__FDSAUDITLINK__" hidden="1">{"fdsup://directions/FAT Viewer?action=UPDATE&amp;creator=factset&amp;DYN_ARGS=TRUE&amp;DOC_NAME=FAT:FQL_AUDITING_CLIENT_TEMPLATE.FAT&amp;display_string=Audit&amp;VAR:KEY=HOVYJGLUBO&amp;VAR:QUERY=RkZfRUJJVERBX0lCKCdMVE1TJywzOTEwOCk=&amp;WINDOW=FIRST_POPUP&amp;HEIGHT=450&amp;WIDTH=450&amp;START_MA","XIMIZED=FALSE&amp;VAR:CALENDAR=US&amp;VAR:SYMBOL=05614P10&amp;VAR:INDEX=0"}</definedName>
    <definedName name="_295__FDSAUDITLINK__" localSheetId="6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5__FDSAUDITLINK__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50__FDSAUDITLINK__" localSheetId="6" hidden="1">{"fdsup://directions/FAT Viewer?action=UPDATE&amp;creator=factset&amp;DYN_ARGS=TRUE&amp;DOC_NAME=FAT:FQL_AUDITING_CLIENT_TEMPLATE.FAT&amp;display_string=Audit&amp;VAR:KEY=RIXAHYRMPQ&amp;VAR:QUERY=RkZfRUJJVERBX0lCKCdMVE1TJywzOTEwNyk=&amp;WINDOW=FIRST_POPUP&amp;HEIGHT=450&amp;WIDTH=450&amp;START_MA","XIMIZED=FALSE&amp;VAR:CALENDAR=US&amp;VAR:SYMBOL=05614P10&amp;VAR:INDEX=0"}</definedName>
    <definedName name="_2950__FDSAUDITLINK__" hidden="1">{"fdsup://directions/FAT Viewer?action=UPDATE&amp;creator=factset&amp;DYN_ARGS=TRUE&amp;DOC_NAME=FAT:FQL_AUDITING_CLIENT_TEMPLATE.FAT&amp;display_string=Audit&amp;VAR:KEY=RIXAHYRMPQ&amp;VAR:QUERY=RkZfRUJJVERBX0lCKCdMVE1TJywzOTEwNyk=&amp;WINDOW=FIRST_POPUP&amp;HEIGHT=450&amp;WIDTH=450&amp;START_MA","XIMIZED=FALSE&amp;VAR:CALENDAR=US&amp;VAR:SYMBOL=05614P10&amp;VAR:INDEX=0"}</definedName>
    <definedName name="_2951__FDSAUDITLINK__" localSheetId="6" hidden="1">{"fdsup://directions/FAT Viewer?action=UPDATE&amp;creator=factset&amp;DYN_ARGS=TRUE&amp;DOC_NAME=FAT:FQL_AUDITING_CLIENT_TEMPLATE.FAT&amp;display_string=Audit&amp;VAR:KEY=TENMPSFYHE&amp;VAR:QUERY=RkZfRUJJVERBX0lCKCdMVE1TJywzOTEwNik=&amp;WINDOW=FIRST_POPUP&amp;HEIGHT=450&amp;WIDTH=450&amp;START_MA","XIMIZED=FALSE&amp;VAR:CALENDAR=US&amp;VAR:SYMBOL=05614P10&amp;VAR:INDEX=0"}</definedName>
    <definedName name="_2951__FDSAUDITLINK__" hidden="1">{"fdsup://directions/FAT Viewer?action=UPDATE&amp;creator=factset&amp;DYN_ARGS=TRUE&amp;DOC_NAME=FAT:FQL_AUDITING_CLIENT_TEMPLATE.FAT&amp;display_string=Audit&amp;VAR:KEY=TENMPSFYHE&amp;VAR:QUERY=RkZfRUJJVERBX0lCKCdMVE1TJywzOTEwNik=&amp;WINDOW=FIRST_POPUP&amp;HEIGHT=450&amp;WIDTH=450&amp;START_MA","XIMIZED=FALSE&amp;VAR:CALENDAR=US&amp;VAR:SYMBOL=05614P10&amp;VAR:INDEX=0"}</definedName>
    <definedName name="_2952__FDSAUDITLINK__" localSheetId="6" hidden="1">{"fdsup://directions/FAT Viewer?action=UPDATE&amp;creator=factset&amp;DYN_ARGS=TRUE&amp;DOC_NAME=FAT:FQL_AUDITING_CLIENT_TEMPLATE.FAT&amp;display_string=Audit&amp;VAR:KEY=POPALGPYVS&amp;VAR:QUERY=RkZfRUJJVERBX0lCKCdMVE1TJywzOTEwNSk=&amp;WINDOW=FIRST_POPUP&amp;HEIGHT=450&amp;WIDTH=450&amp;START_MA","XIMIZED=FALSE&amp;VAR:CALENDAR=US&amp;VAR:SYMBOL=05614P10&amp;VAR:INDEX=0"}</definedName>
    <definedName name="_2952__FDSAUDITLINK__" hidden="1">{"fdsup://directions/FAT Viewer?action=UPDATE&amp;creator=factset&amp;DYN_ARGS=TRUE&amp;DOC_NAME=FAT:FQL_AUDITING_CLIENT_TEMPLATE.FAT&amp;display_string=Audit&amp;VAR:KEY=POPALGPYVS&amp;VAR:QUERY=RkZfRUJJVERBX0lCKCdMVE1TJywzOTEwNSk=&amp;WINDOW=FIRST_POPUP&amp;HEIGHT=450&amp;WIDTH=450&amp;START_MA","XIMIZED=FALSE&amp;VAR:CALENDAR=US&amp;VAR:SYMBOL=05614P10&amp;VAR:INDEX=0"}</definedName>
    <definedName name="_2953__FDSAUDITLINK__" localSheetId="6" hidden="1">{"fdsup://directions/FAT Viewer?action=UPDATE&amp;creator=factset&amp;DYN_ARGS=TRUE&amp;DOC_NAME=FAT:FQL_AUDITING_CLIENT_TEMPLATE.FAT&amp;display_string=Audit&amp;VAR:KEY=BYFMHIRURE&amp;VAR:QUERY=RkZfRUJJVERBX0lCKCdMVE1TJywzOTEwNCk=&amp;WINDOW=FIRST_POPUP&amp;HEIGHT=450&amp;WIDTH=450&amp;START_MA","XIMIZED=FALSE&amp;VAR:CALENDAR=US&amp;VAR:SYMBOL=05614P10&amp;VAR:INDEX=0"}</definedName>
    <definedName name="_2953__FDSAUDITLINK__" hidden="1">{"fdsup://directions/FAT Viewer?action=UPDATE&amp;creator=factset&amp;DYN_ARGS=TRUE&amp;DOC_NAME=FAT:FQL_AUDITING_CLIENT_TEMPLATE.FAT&amp;display_string=Audit&amp;VAR:KEY=BYFMHIRURE&amp;VAR:QUERY=RkZfRUJJVERBX0lCKCdMVE1TJywzOTEwNCk=&amp;WINDOW=FIRST_POPUP&amp;HEIGHT=450&amp;WIDTH=450&amp;START_MA","XIMIZED=FALSE&amp;VAR:CALENDAR=US&amp;VAR:SYMBOL=05614P10&amp;VAR:INDEX=0"}</definedName>
    <definedName name="_2954__FDSAUDITLINK__" localSheetId="6" hidden="1">{"fdsup://directions/FAT Viewer?action=UPDATE&amp;creator=factset&amp;DYN_ARGS=TRUE&amp;DOC_NAME=FAT:FQL_AUDITING_CLIENT_TEMPLATE.FAT&amp;display_string=Audit&amp;VAR:KEY=VAPSNYZKNM&amp;VAR:QUERY=RkZfRUJJVERBX0lCKCdMVE1TJywzOTEwMyk=&amp;WINDOW=FIRST_POPUP&amp;HEIGHT=450&amp;WIDTH=450&amp;START_MA","XIMIZED=FALSE&amp;VAR:CALENDAR=US&amp;VAR:SYMBOL=05614P10&amp;VAR:INDEX=0"}</definedName>
    <definedName name="_2954__FDSAUDITLINK__" hidden="1">{"fdsup://directions/FAT Viewer?action=UPDATE&amp;creator=factset&amp;DYN_ARGS=TRUE&amp;DOC_NAME=FAT:FQL_AUDITING_CLIENT_TEMPLATE.FAT&amp;display_string=Audit&amp;VAR:KEY=VAPSNYZKNM&amp;VAR:QUERY=RkZfRUJJVERBX0lCKCdMVE1TJywzOTEwMyk=&amp;WINDOW=FIRST_POPUP&amp;HEIGHT=450&amp;WIDTH=450&amp;START_MA","XIMIZED=FALSE&amp;VAR:CALENDAR=US&amp;VAR:SYMBOL=05614P10&amp;VAR:INDEX=0"}</definedName>
    <definedName name="_2955__FDSAUDITLINK__" localSheetId="6" hidden="1">{"fdsup://directions/FAT Viewer?action=UPDATE&amp;creator=factset&amp;DYN_ARGS=TRUE&amp;DOC_NAME=FAT:FQL_AUDITING_CLIENT_TEMPLATE.FAT&amp;display_string=Audit&amp;VAR:KEY=ZOJOXMXMLS&amp;VAR:QUERY=RkZfRUJJVERBX0lCKCdMVE1TJywzOTEwMik=&amp;WINDOW=FIRST_POPUP&amp;HEIGHT=450&amp;WIDTH=450&amp;START_MA","XIMIZED=FALSE&amp;VAR:CALENDAR=US&amp;VAR:SYMBOL=05614P10&amp;VAR:INDEX=0"}</definedName>
    <definedName name="_2955__FDSAUDITLINK__" hidden="1">{"fdsup://directions/FAT Viewer?action=UPDATE&amp;creator=factset&amp;DYN_ARGS=TRUE&amp;DOC_NAME=FAT:FQL_AUDITING_CLIENT_TEMPLATE.FAT&amp;display_string=Audit&amp;VAR:KEY=ZOJOXMXMLS&amp;VAR:QUERY=RkZfRUJJVERBX0lCKCdMVE1TJywzOTEwMik=&amp;WINDOW=FIRST_POPUP&amp;HEIGHT=450&amp;WIDTH=450&amp;START_MA","XIMIZED=FALSE&amp;VAR:CALENDAR=US&amp;VAR:SYMBOL=05614P10&amp;VAR:INDEX=0"}</definedName>
    <definedName name="_2956__FDSAUDITLINK__" localSheetId="6" hidden="1">{"fdsup://directions/FAT Viewer?action=UPDATE&amp;creator=factset&amp;DYN_ARGS=TRUE&amp;DOC_NAME=FAT:FQL_AUDITING_CLIENT_TEMPLATE.FAT&amp;display_string=Audit&amp;VAR:KEY=VGLINCZUZI&amp;VAR:QUERY=RkZfRUJJVERBX0lCKCdMVE1TJywzOTEwMSk=&amp;WINDOW=FIRST_POPUP&amp;HEIGHT=450&amp;WIDTH=450&amp;START_MA","XIMIZED=FALSE&amp;VAR:CALENDAR=US&amp;VAR:SYMBOL=05614P10&amp;VAR:INDEX=0"}</definedName>
    <definedName name="_2956__FDSAUDITLINK__" hidden="1">{"fdsup://directions/FAT Viewer?action=UPDATE&amp;creator=factset&amp;DYN_ARGS=TRUE&amp;DOC_NAME=FAT:FQL_AUDITING_CLIENT_TEMPLATE.FAT&amp;display_string=Audit&amp;VAR:KEY=VGLINCZUZI&amp;VAR:QUERY=RkZfRUJJVERBX0lCKCdMVE1TJywzOTEwMSk=&amp;WINDOW=FIRST_POPUP&amp;HEIGHT=450&amp;WIDTH=450&amp;START_MA","XIMIZED=FALSE&amp;VAR:CALENDAR=US&amp;VAR:SYMBOL=05614P10&amp;VAR:INDEX=0"}</definedName>
    <definedName name="_2957__FDSAUDITLINK__" localSheetId="6" hidden="1">{"fdsup://directions/FAT Viewer?action=UPDATE&amp;creator=factset&amp;DYN_ARGS=TRUE&amp;DOC_NAME=FAT:FQL_AUDITING_CLIENT_TEMPLATE.FAT&amp;display_string=Audit&amp;VAR:KEY=HSFWVUVGVQ&amp;VAR:QUERY=RkZfRUJJVERBX0lCKCdMVE1TJywzOTEwMCk=&amp;WINDOW=FIRST_POPUP&amp;HEIGHT=450&amp;WIDTH=450&amp;START_MA","XIMIZED=FALSE&amp;VAR:CALENDAR=US&amp;VAR:SYMBOL=05614P10&amp;VAR:INDEX=0"}</definedName>
    <definedName name="_2957__FDSAUDITLINK__" hidden="1">{"fdsup://directions/FAT Viewer?action=UPDATE&amp;creator=factset&amp;DYN_ARGS=TRUE&amp;DOC_NAME=FAT:FQL_AUDITING_CLIENT_TEMPLATE.FAT&amp;display_string=Audit&amp;VAR:KEY=HSFWVUVGVQ&amp;VAR:QUERY=RkZfRUJJVERBX0lCKCdMVE1TJywzOTEwMCk=&amp;WINDOW=FIRST_POPUP&amp;HEIGHT=450&amp;WIDTH=450&amp;START_MA","XIMIZED=FALSE&amp;VAR:CALENDAR=US&amp;VAR:SYMBOL=05614P10&amp;VAR:INDEX=0"}</definedName>
    <definedName name="_2958__FDSAUDITLINK__" localSheetId="6" hidden="1">{"fdsup://directions/FAT Viewer?action=UPDATE&amp;creator=factset&amp;DYN_ARGS=TRUE&amp;DOC_NAME=FAT:FQL_AUDITING_CLIENT_TEMPLATE.FAT&amp;display_string=Audit&amp;VAR:KEY=BUDKBMXOPW&amp;VAR:QUERY=RkZfRUJJVERBX0lCKCdMVE1TJywzOTA5OSk=&amp;WINDOW=FIRST_POPUP&amp;HEIGHT=450&amp;WIDTH=450&amp;START_MA","XIMIZED=FALSE&amp;VAR:CALENDAR=US&amp;VAR:SYMBOL=05614P10&amp;VAR:INDEX=0"}</definedName>
    <definedName name="_2958__FDSAUDITLINK__" hidden="1">{"fdsup://directions/FAT Viewer?action=UPDATE&amp;creator=factset&amp;DYN_ARGS=TRUE&amp;DOC_NAME=FAT:FQL_AUDITING_CLIENT_TEMPLATE.FAT&amp;display_string=Audit&amp;VAR:KEY=BUDKBMXOPW&amp;VAR:QUERY=RkZfRUJJVERBX0lCKCdMVE1TJywzOTA5OSk=&amp;WINDOW=FIRST_POPUP&amp;HEIGHT=450&amp;WIDTH=450&amp;START_MA","XIMIZED=FALSE&amp;VAR:CALENDAR=US&amp;VAR:SYMBOL=05614P10&amp;VAR:INDEX=0"}</definedName>
    <definedName name="_2959__FDSAUDITLINK__" localSheetId="6" hidden="1">{"fdsup://directions/FAT Viewer?action=UPDATE&amp;creator=factset&amp;DYN_ARGS=TRUE&amp;DOC_NAME=FAT:FQL_AUDITING_CLIENT_TEMPLATE.FAT&amp;display_string=Audit&amp;VAR:KEY=JUDGPKTUZY&amp;VAR:QUERY=RkZfRUJJVERBX0lCKCdMVE1TJywzOTA5OCk=&amp;WINDOW=FIRST_POPUP&amp;HEIGHT=450&amp;WIDTH=450&amp;START_MA","XIMIZED=FALSE&amp;VAR:CALENDAR=US&amp;VAR:SYMBOL=05614P10&amp;VAR:INDEX=0"}</definedName>
    <definedName name="_2959__FDSAUDITLINK__" hidden="1">{"fdsup://directions/FAT Viewer?action=UPDATE&amp;creator=factset&amp;DYN_ARGS=TRUE&amp;DOC_NAME=FAT:FQL_AUDITING_CLIENT_TEMPLATE.FAT&amp;display_string=Audit&amp;VAR:KEY=JUDGPKTUZY&amp;VAR:QUERY=RkZfRUJJVERBX0lCKCdMVE1TJywzOTA5OCk=&amp;WINDOW=FIRST_POPUP&amp;HEIGHT=450&amp;WIDTH=450&amp;START_MA","XIMIZED=FALSE&amp;VAR:CALENDAR=US&amp;VAR:SYMBOL=05614P10&amp;VAR:INDEX=0"}</definedName>
    <definedName name="_296__FDSAUDITLINK__" localSheetId="6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6__FDSAUDITLINK__" hidden="1">{"fdsup://directions/FAT%20Viewer?VAR:PED=LTM&amp;VAR:AUDIT_MODE=SUMMARY&amp;VAR:PERIOD=FIXED&amp;VAR:AUDIT_ID=00000117&amp;VAR:DATE=20090501&amp;action=UPDATE&amp;creator=factset&amp;DOC_NAME=FAT:FMA_audit_SUMMARY.fat&amp;DISPLAY_STRING=Display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60__FDSAUDITLINK__" localSheetId="6" hidden="1">{"fdsup://directions/FAT Viewer?action=UPDATE&amp;creator=factset&amp;DYN_ARGS=TRUE&amp;DOC_NAME=FAT:FQL_AUDITING_CLIENT_TEMPLATE.FAT&amp;display_string=Audit&amp;VAR:KEY=LULUNQVWHW&amp;VAR:QUERY=RkZfRUJJVERBX0lCKCdMVE1TJywzOTA5Nyk=&amp;WINDOW=FIRST_POPUP&amp;HEIGHT=450&amp;WIDTH=450&amp;START_MA","XIMIZED=FALSE&amp;VAR:CALENDAR=US&amp;VAR:SYMBOL=05614P10&amp;VAR:INDEX=0"}</definedName>
    <definedName name="_2960__FDSAUDITLINK__" hidden="1">{"fdsup://directions/FAT Viewer?action=UPDATE&amp;creator=factset&amp;DYN_ARGS=TRUE&amp;DOC_NAME=FAT:FQL_AUDITING_CLIENT_TEMPLATE.FAT&amp;display_string=Audit&amp;VAR:KEY=LULUNQVWHW&amp;VAR:QUERY=RkZfRUJJVERBX0lCKCdMVE1TJywzOTA5Nyk=&amp;WINDOW=FIRST_POPUP&amp;HEIGHT=450&amp;WIDTH=450&amp;START_MA","XIMIZED=FALSE&amp;VAR:CALENDAR=US&amp;VAR:SYMBOL=05614P10&amp;VAR:INDEX=0"}</definedName>
    <definedName name="_2961__FDSAUDITLINK__" localSheetId="6" hidden="1">{"fdsup://directions/FAT Viewer?action=UPDATE&amp;creator=factset&amp;DYN_ARGS=TRUE&amp;DOC_NAME=FAT:FQL_AUDITING_CLIENT_TEMPLATE.FAT&amp;display_string=Audit&amp;VAR:KEY=VABWFKHMFA&amp;VAR:QUERY=RkZfRUJJVERBX0lCKCdMVE1TJywzOTA5Nik=&amp;WINDOW=FIRST_POPUP&amp;HEIGHT=450&amp;WIDTH=450&amp;START_MA","XIMIZED=FALSE&amp;VAR:CALENDAR=US&amp;VAR:SYMBOL=05614P10&amp;VAR:INDEX=0"}</definedName>
    <definedName name="_2961__FDSAUDITLINK__" hidden="1">{"fdsup://directions/FAT Viewer?action=UPDATE&amp;creator=factset&amp;DYN_ARGS=TRUE&amp;DOC_NAME=FAT:FQL_AUDITING_CLIENT_TEMPLATE.FAT&amp;display_string=Audit&amp;VAR:KEY=VABWFKHMFA&amp;VAR:QUERY=RkZfRUJJVERBX0lCKCdMVE1TJywzOTA5Nik=&amp;WINDOW=FIRST_POPUP&amp;HEIGHT=450&amp;WIDTH=450&amp;START_MA","XIMIZED=FALSE&amp;VAR:CALENDAR=US&amp;VAR:SYMBOL=05614P10&amp;VAR:INDEX=0"}</definedName>
    <definedName name="_2962__FDSAUDITLINK__" localSheetId="6" hidden="1">{"fdsup://directions/FAT Viewer?action=UPDATE&amp;creator=factset&amp;DYN_ARGS=TRUE&amp;DOC_NAME=FAT:FQL_AUDITING_CLIENT_TEMPLATE.FAT&amp;display_string=Audit&amp;VAR:KEY=NIPEFYBYTE&amp;VAR:QUERY=RkZfRUJJVERBX0lCKCdMVE1TJywzOTA5NSk=&amp;WINDOW=FIRST_POPUP&amp;HEIGHT=450&amp;WIDTH=450&amp;START_MA","XIMIZED=FALSE&amp;VAR:CALENDAR=US&amp;VAR:SYMBOL=05614P10&amp;VAR:INDEX=0"}</definedName>
    <definedName name="_2962__FDSAUDITLINK__" hidden="1">{"fdsup://directions/FAT Viewer?action=UPDATE&amp;creator=factset&amp;DYN_ARGS=TRUE&amp;DOC_NAME=FAT:FQL_AUDITING_CLIENT_TEMPLATE.FAT&amp;display_string=Audit&amp;VAR:KEY=NIPEFYBYTE&amp;VAR:QUERY=RkZfRUJJVERBX0lCKCdMVE1TJywzOTA5NSk=&amp;WINDOW=FIRST_POPUP&amp;HEIGHT=450&amp;WIDTH=450&amp;START_MA","XIMIZED=FALSE&amp;VAR:CALENDAR=US&amp;VAR:SYMBOL=05614P10&amp;VAR:INDEX=0"}</definedName>
    <definedName name="_2963__FDSAUDITLINK__" localSheetId="6" hidden="1">{"fdsup://directions/FAT Viewer?action=UPDATE&amp;creator=factset&amp;DYN_ARGS=TRUE&amp;DOC_NAME=FAT:FQL_AUDITING_CLIENT_TEMPLATE.FAT&amp;display_string=Audit&amp;VAR:KEY=NUJKZQFEZY&amp;VAR:QUERY=RkZfRUJJVERBX0lCKCdMVE1TJywzOTA5NCk=&amp;WINDOW=FIRST_POPUP&amp;HEIGHT=450&amp;WIDTH=450&amp;START_MA","XIMIZED=FALSE&amp;VAR:CALENDAR=US&amp;VAR:SYMBOL=05614P10&amp;VAR:INDEX=0"}</definedName>
    <definedName name="_2963__FDSAUDITLINK__" hidden="1">{"fdsup://directions/FAT Viewer?action=UPDATE&amp;creator=factset&amp;DYN_ARGS=TRUE&amp;DOC_NAME=FAT:FQL_AUDITING_CLIENT_TEMPLATE.FAT&amp;display_string=Audit&amp;VAR:KEY=NUJKZQFEZY&amp;VAR:QUERY=RkZfRUJJVERBX0lCKCdMVE1TJywzOTA5NCk=&amp;WINDOW=FIRST_POPUP&amp;HEIGHT=450&amp;WIDTH=450&amp;START_MA","XIMIZED=FALSE&amp;VAR:CALENDAR=US&amp;VAR:SYMBOL=05614P10&amp;VAR:INDEX=0"}</definedName>
    <definedName name="_2964__FDSAUDITLINK__" localSheetId="6" hidden="1">{"fdsup://directions/FAT Viewer?action=UPDATE&amp;creator=factset&amp;DYN_ARGS=TRUE&amp;DOC_NAME=FAT:FQL_AUDITING_CLIENT_TEMPLATE.FAT&amp;display_string=Audit&amp;VAR:KEY=XEJQZMHINM&amp;VAR:QUERY=RkZfRUJJVERBX0lCKCdMVE1TJywzOTA5Myk=&amp;WINDOW=FIRST_POPUP&amp;HEIGHT=450&amp;WIDTH=450&amp;START_MA","XIMIZED=FALSE&amp;VAR:CALENDAR=US&amp;VAR:SYMBOL=05614P10&amp;VAR:INDEX=0"}</definedName>
    <definedName name="_2964__FDSAUDITLINK__" hidden="1">{"fdsup://directions/FAT Viewer?action=UPDATE&amp;creator=factset&amp;DYN_ARGS=TRUE&amp;DOC_NAME=FAT:FQL_AUDITING_CLIENT_TEMPLATE.FAT&amp;display_string=Audit&amp;VAR:KEY=XEJQZMHINM&amp;VAR:QUERY=RkZfRUJJVERBX0lCKCdMVE1TJywzOTA5Myk=&amp;WINDOW=FIRST_POPUP&amp;HEIGHT=450&amp;WIDTH=450&amp;START_MA","XIMIZED=FALSE&amp;VAR:CALENDAR=US&amp;VAR:SYMBOL=05614P10&amp;VAR:INDEX=0"}</definedName>
    <definedName name="_2965__FDSAUDITLINK__" localSheetId="6" hidden="1">{"fdsup://directions/FAT Viewer?action=UPDATE&amp;creator=factset&amp;DYN_ARGS=TRUE&amp;DOC_NAME=FAT:FQL_AUDITING_CLIENT_TEMPLATE.FAT&amp;display_string=Audit&amp;VAR:KEY=LAJULUBCVY&amp;VAR:QUERY=RkZfRUJJVERBX0lCKCdMVE1TJywzOTA5Mik=&amp;WINDOW=FIRST_POPUP&amp;HEIGHT=450&amp;WIDTH=450&amp;START_MA","XIMIZED=FALSE&amp;VAR:CALENDAR=US&amp;VAR:SYMBOL=05614P10&amp;VAR:INDEX=0"}</definedName>
    <definedName name="_2965__FDSAUDITLINK__" hidden="1">{"fdsup://directions/FAT Viewer?action=UPDATE&amp;creator=factset&amp;DYN_ARGS=TRUE&amp;DOC_NAME=FAT:FQL_AUDITING_CLIENT_TEMPLATE.FAT&amp;display_string=Audit&amp;VAR:KEY=LAJULUBCVY&amp;VAR:QUERY=RkZfRUJJVERBX0lCKCdMVE1TJywzOTA5Mik=&amp;WINDOW=FIRST_POPUP&amp;HEIGHT=450&amp;WIDTH=450&amp;START_MA","XIMIZED=FALSE&amp;VAR:CALENDAR=US&amp;VAR:SYMBOL=05614P10&amp;VAR:INDEX=0"}</definedName>
    <definedName name="_2966__FDSAUDITLINK__" localSheetId="6" hidden="1">{"fdsup://directions/FAT Viewer?action=UPDATE&amp;creator=factset&amp;DYN_ARGS=TRUE&amp;DOC_NAME=FAT:FQL_AUDITING_CLIENT_TEMPLATE.FAT&amp;display_string=Audit&amp;VAR:KEY=BELMPQHODE&amp;VAR:QUERY=RkZfRUJJVERBX0lCKCdMVE1TJywzOTA5MSk=&amp;WINDOW=FIRST_POPUP&amp;HEIGHT=450&amp;WIDTH=450&amp;START_MA","XIMIZED=FALSE&amp;VAR:CALENDAR=US&amp;VAR:SYMBOL=05614P10&amp;VAR:INDEX=0"}</definedName>
    <definedName name="_2966__FDSAUDITLINK__" hidden="1">{"fdsup://directions/FAT Viewer?action=UPDATE&amp;creator=factset&amp;DYN_ARGS=TRUE&amp;DOC_NAME=FAT:FQL_AUDITING_CLIENT_TEMPLATE.FAT&amp;display_string=Audit&amp;VAR:KEY=BELMPQHODE&amp;VAR:QUERY=RkZfRUJJVERBX0lCKCdMVE1TJywzOTA5MSk=&amp;WINDOW=FIRST_POPUP&amp;HEIGHT=450&amp;WIDTH=450&amp;START_MA","XIMIZED=FALSE&amp;VAR:CALENDAR=US&amp;VAR:SYMBOL=05614P10&amp;VAR:INDEX=0"}</definedName>
    <definedName name="_2967__FDSAUDITLINK__" localSheetId="6" hidden="1">{"fdsup://directions/FAT Viewer?action=UPDATE&amp;creator=factset&amp;DYN_ARGS=TRUE&amp;DOC_NAME=FAT:FQL_AUDITING_CLIENT_TEMPLATE.FAT&amp;display_string=Audit&amp;VAR:KEY=HGLOLQJEPQ&amp;VAR:QUERY=RkZfRUJJVERBX0lCKCdMVE1TJywzOTA5MCk=&amp;WINDOW=FIRST_POPUP&amp;HEIGHT=450&amp;WIDTH=450&amp;START_MA","XIMIZED=FALSE&amp;VAR:CALENDAR=US&amp;VAR:SYMBOL=05614P10&amp;VAR:INDEX=0"}</definedName>
    <definedName name="_2967__FDSAUDITLINK__" hidden="1">{"fdsup://directions/FAT Viewer?action=UPDATE&amp;creator=factset&amp;DYN_ARGS=TRUE&amp;DOC_NAME=FAT:FQL_AUDITING_CLIENT_TEMPLATE.FAT&amp;display_string=Audit&amp;VAR:KEY=HGLOLQJEPQ&amp;VAR:QUERY=RkZfRUJJVERBX0lCKCdMVE1TJywzOTA5MCk=&amp;WINDOW=FIRST_POPUP&amp;HEIGHT=450&amp;WIDTH=450&amp;START_MA","XIMIZED=FALSE&amp;VAR:CALENDAR=US&amp;VAR:SYMBOL=05614P10&amp;VAR:INDEX=0"}</definedName>
    <definedName name="_2968__FDSAUDITLINK__" localSheetId="6" hidden="1">{"fdsup://directions/FAT Viewer?action=UPDATE&amp;creator=factset&amp;DYN_ARGS=TRUE&amp;DOC_NAME=FAT:FQL_AUDITING_CLIENT_TEMPLATE.FAT&amp;display_string=Audit&amp;VAR:KEY=TIVORMTEBU&amp;VAR:QUERY=RkZfRUJJVERBX0lCKCdMVE1TJywzOTA4OSk=&amp;WINDOW=FIRST_POPUP&amp;HEIGHT=450&amp;WIDTH=450&amp;START_MA","XIMIZED=FALSE&amp;VAR:CALENDAR=US&amp;VAR:SYMBOL=05614P10&amp;VAR:INDEX=0"}</definedName>
    <definedName name="_2968__FDSAUDITLINK__" hidden="1">{"fdsup://directions/FAT Viewer?action=UPDATE&amp;creator=factset&amp;DYN_ARGS=TRUE&amp;DOC_NAME=FAT:FQL_AUDITING_CLIENT_TEMPLATE.FAT&amp;display_string=Audit&amp;VAR:KEY=TIVORMTEBU&amp;VAR:QUERY=RkZfRUJJVERBX0lCKCdMVE1TJywzOTA4OSk=&amp;WINDOW=FIRST_POPUP&amp;HEIGHT=450&amp;WIDTH=450&amp;START_MA","XIMIZED=FALSE&amp;VAR:CALENDAR=US&amp;VAR:SYMBOL=05614P10&amp;VAR:INDEX=0"}</definedName>
    <definedName name="_2969__FDSAUDITLINK__" localSheetId="6" hidden="1">{"fdsup://directions/FAT Viewer?action=UPDATE&amp;creator=factset&amp;DYN_ARGS=TRUE&amp;DOC_NAME=FAT:FQL_AUDITING_CLIENT_TEMPLATE.FAT&amp;display_string=Audit&amp;VAR:KEY=RQDIVEHCTA&amp;VAR:QUERY=RkZfRUJJVERBX0lCKCdMVE1TJywzOTA4OCk=&amp;WINDOW=FIRST_POPUP&amp;HEIGHT=450&amp;WIDTH=450&amp;START_MA","XIMIZED=FALSE&amp;VAR:CALENDAR=US&amp;VAR:SYMBOL=05614P10&amp;VAR:INDEX=0"}</definedName>
    <definedName name="_2969__FDSAUDITLINK__" hidden="1">{"fdsup://directions/FAT Viewer?action=UPDATE&amp;creator=factset&amp;DYN_ARGS=TRUE&amp;DOC_NAME=FAT:FQL_AUDITING_CLIENT_TEMPLATE.FAT&amp;display_string=Audit&amp;VAR:KEY=RQDIVEHCTA&amp;VAR:QUERY=RkZfRUJJVERBX0lCKCdMVE1TJywzOTA4OCk=&amp;WINDOW=FIRST_POPUP&amp;HEIGHT=450&amp;WIDTH=450&amp;START_MA","XIMIZED=FALSE&amp;VAR:CALENDAR=US&amp;VAR:SYMBOL=05614P10&amp;VAR:INDEX=0"}</definedName>
    <definedName name="_297__FDSAUDITLINK__" localSheetId="6" hidden="1">{"fdsup://directions/FAT%20Viewer?VAR:PED=LTM&amp;VAR:AUDIT_MODE=SUMMARY&amp;VAR:PERIOD=FIXED&amp;VAR:AUDIT_ID=00000117&amp;VAR:DATE=20090430&amp;action=UPDATE&amp;creator=factset&amp;DOC_NAME=FAT:FMA_audit_SUMMARY.fat&amp;DISPLAY_STRING=Display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7__FDSAUDITLINK__" hidden="1">{"fdsup://directions/FAT%20Viewer?VAR:PED=LTM&amp;VAR:AUDIT_MODE=SUMMARY&amp;VAR:PERIOD=FIXED&amp;VAR:AUDIT_ID=00000117&amp;VAR:DATE=20090430&amp;action=UPDATE&amp;creator=factset&amp;DOC_NAME=FAT:FMA_audit_SUMMARY.fat&amp;DISPLAY_STRING=Display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EBITDA&amp;VAR:CHGPERIOD=NA&amp;VAR:FQLFORMULA=FMA_EVAL_EBITDA&amp;VAR:CURRENCY=NA&amp;VAR:P=NA&amp;VAR:V=8.12","8638&amp;VAR:null=.html"}</definedName>
    <definedName name="_2970__FDSAUDITLINK__" localSheetId="6" hidden="1">{"fdsup://directions/FAT Viewer?action=UPDATE&amp;creator=factset&amp;DYN_ARGS=TRUE&amp;DOC_NAME=FAT:FQL_AUDITING_CLIENT_TEMPLATE.FAT&amp;display_string=Audit&amp;VAR:KEY=BYPKDOXILE&amp;VAR:QUERY=RkZfRUJJVERBX0lCKCdMVE1TJywzOTA4Nyk=&amp;WINDOW=FIRST_POPUP&amp;HEIGHT=450&amp;WIDTH=450&amp;START_MA","XIMIZED=FALSE&amp;VAR:CALENDAR=US&amp;VAR:SYMBOL=05614P10&amp;VAR:INDEX=0"}</definedName>
    <definedName name="_2970__FDSAUDITLINK__" hidden="1">{"fdsup://directions/FAT Viewer?action=UPDATE&amp;creator=factset&amp;DYN_ARGS=TRUE&amp;DOC_NAME=FAT:FQL_AUDITING_CLIENT_TEMPLATE.FAT&amp;display_string=Audit&amp;VAR:KEY=BYPKDOXILE&amp;VAR:QUERY=RkZfRUJJVERBX0lCKCdMVE1TJywzOTA4Nyk=&amp;WINDOW=FIRST_POPUP&amp;HEIGHT=450&amp;WIDTH=450&amp;START_MA","XIMIZED=FALSE&amp;VAR:CALENDAR=US&amp;VAR:SYMBOL=05614P10&amp;VAR:INDEX=0"}</definedName>
    <definedName name="_2971__FDSAUDITLINK__" localSheetId="6" hidden="1">{"fdsup://directions/FAT Viewer?action=UPDATE&amp;creator=factset&amp;DYN_ARGS=TRUE&amp;DOC_NAME=FAT:FQL_AUDITING_CLIENT_TEMPLATE.FAT&amp;display_string=Audit&amp;VAR:KEY=RSFYDGXGHQ&amp;VAR:QUERY=RkZfRUJJVERBX0lCKCdMVE1TJywzOTA4Nik=&amp;WINDOW=FIRST_POPUP&amp;HEIGHT=450&amp;WIDTH=450&amp;START_MA","XIMIZED=FALSE&amp;VAR:CALENDAR=US&amp;VAR:SYMBOL=05614P10&amp;VAR:INDEX=0"}</definedName>
    <definedName name="_2971__FDSAUDITLINK__" hidden="1">{"fdsup://directions/FAT Viewer?action=UPDATE&amp;creator=factset&amp;DYN_ARGS=TRUE&amp;DOC_NAME=FAT:FQL_AUDITING_CLIENT_TEMPLATE.FAT&amp;display_string=Audit&amp;VAR:KEY=RSFYDGXGHQ&amp;VAR:QUERY=RkZfRUJJVERBX0lCKCdMVE1TJywzOTA4Nik=&amp;WINDOW=FIRST_POPUP&amp;HEIGHT=450&amp;WIDTH=450&amp;START_MA","XIMIZED=FALSE&amp;VAR:CALENDAR=US&amp;VAR:SYMBOL=05614P10&amp;VAR:INDEX=0"}</definedName>
    <definedName name="_2972__FDSAUDITLINK__" localSheetId="6" hidden="1">{"fdsup://directions/FAT Viewer?action=UPDATE&amp;creator=factset&amp;DYN_ARGS=TRUE&amp;DOC_NAME=FAT:FQL_AUDITING_CLIENT_TEMPLATE.FAT&amp;display_string=Audit&amp;VAR:KEY=ZKLOTUJIZC&amp;VAR:QUERY=RkZfRUJJVERBX0lCKCdMVE1TJywzOTA4NSk=&amp;WINDOW=FIRST_POPUP&amp;HEIGHT=450&amp;WIDTH=450&amp;START_MA","XIMIZED=FALSE&amp;VAR:CALENDAR=US&amp;VAR:SYMBOL=05614P10&amp;VAR:INDEX=0"}</definedName>
    <definedName name="_2972__FDSAUDITLINK__" hidden="1">{"fdsup://directions/FAT Viewer?action=UPDATE&amp;creator=factset&amp;DYN_ARGS=TRUE&amp;DOC_NAME=FAT:FQL_AUDITING_CLIENT_TEMPLATE.FAT&amp;display_string=Audit&amp;VAR:KEY=ZKLOTUJIZC&amp;VAR:QUERY=RkZfRUJJVERBX0lCKCdMVE1TJywzOTA4NSk=&amp;WINDOW=FIRST_POPUP&amp;HEIGHT=450&amp;WIDTH=450&amp;START_MA","XIMIZED=FALSE&amp;VAR:CALENDAR=US&amp;VAR:SYMBOL=05614P10&amp;VAR:INDEX=0"}</definedName>
    <definedName name="_2973__FDSAUDITLINK__" localSheetId="6" hidden="1">{"fdsup://directions/FAT Viewer?action=UPDATE&amp;creator=factset&amp;DYN_ARGS=TRUE&amp;DOC_NAME=FAT:FQL_AUDITING_CLIENT_TEMPLATE.FAT&amp;display_string=Audit&amp;VAR:KEY=JUXMZQFYJI&amp;VAR:QUERY=RkZfRUJJVERBX0lCKCdMVE1TJywzOTA4NCk=&amp;WINDOW=FIRST_POPUP&amp;HEIGHT=450&amp;WIDTH=450&amp;START_MA","XIMIZED=FALSE&amp;VAR:CALENDAR=US&amp;VAR:SYMBOL=05614P10&amp;VAR:INDEX=0"}</definedName>
    <definedName name="_2973__FDSAUDITLINK__" hidden="1">{"fdsup://directions/FAT Viewer?action=UPDATE&amp;creator=factset&amp;DYN_ARGS=TRUE&amp;DOC_NAME=FAT:FQL_AUDITING_CLIENT_TEMPLATE.FAT&amp;display_string=Audit&amp;VAR:KEY=JUXMZQFYJI&amp;VAR:QUERY=RkZfRUJJVERBX0lCKCdMVE1TJywzOTA4NCk=&amp;WINDOW=FIRST_POPUP&amp;HEIGHT=450&amp;WIDTH=450&amp;START_MA","XIMIZED=FALSE&amp;VAR:CALENDAR=US&amp;VAR:SYMBOL=05614P10&amp;VAR:INDEX=0"}</definedName>
    <definedName name="_2974__FDSAUDITLINK__" localSheetId="6" hidden="1">{"fdsup://directions/FAT Viewer?action=UPDATE&amp;creator=factset&amp;DYN_ARGS=TRUE&amp;DOC_NAME=FAT:FQL_AUDITING_CLIENT_TEMPLATE.FAT&amp;display_string=Audit&amp;VAR:KEY=PITMPMFSLW&amp;VAR:QUERY=RkZfRUJJVERBX0lCKCdMVE1TJywzOTA4Myk=&amp;WINDOW=FIRST_POPUP&amp;HEIGHT=450&amp;WIDTH=450&amp;START_MA","XIMIZED=FALSE&amp;VAR:CALENDAR=US&amp;VAR:SYMBOL=05614P10&amp;VAR:INDEX=0"}</definedName>
    <definedName name="_2974__FDSAUDITLINK__" hidden="1">{"fdsup://directions/FAT Viewer?action=UPDATE&amp;creator=factset&amp;DYN_ARGS=TRUE&amp;DOC_NAME=FAT:FQL_AUDITING_CLIENT_TEMPLATE.FAT&amp;display_string=Audit&amp;VAR:KEY=PITMPMFSLW&amp;VAR:QUERY=RkZfRUJJVERBX0lCKCdMVE1TJywzOTA4Myk=&amp;WINDOW=FIRST_POPUP&amp;HEIGHT=450&amp;WIDTH=450&amp;START_MA","XIMIZED=FALSE&amp;VAR:CALENDAR=US&amp;VAR:SYMBOL=05614P10&amp;VAR:INDEX=0"}</definedName>
    <definedName name="_2975__FDSAUDITLINK__" localSheetId="6" hidden="1">{"fdsup://directions/FAT Viewer?action=UPDATE&amp;creator=factset&amp;DYN_ARGS=TRUE&amp;DOC_NAME=FAT:FQL_AUDITING_CLIENT_TEMPLATE.FAT&amp;display_string=Audit&amp;VAR:KEY=JEFKDKTGRU&amp;VAR:QUERY=RkZfRUJJVERBX0lCKCdMVE1TJywzOTA4Mik=&amp;WINDOW=FIRST_POPUP&amp;HEIGHT=450&amp;WIDTH=450&amp;START_MA","XIMIZED=FALSE&amp;VAR:CALENDAR=US&amp;VAR:SYMBOL=05614P10&amp;VAR:INDEX=0"}</definedName>
    <definedName name="_2975__FDSAUDITLINK__" hidden="1">{"fdsup://directions/FAT Viewer?action=UPDATE&amp;creator=factset&amp;DYN_ARGS=TRUE&amp;DOC_NAME=FAT:FQL_AUDITING_CLIENT_TEMPLATE.FAT&amp;display_string=Audit&amp;VAR:KEY=JEFKDKTGRU&amp;VAR:QUERY=RkZfRUJJVERBX0lCKCdMVE1TJywzOTA4Mik=&amp;WINDOW=FIRST_POPUP&amp;HEIGHT=450&amp;WIDTH=450&amp;START_MA","XIMIZED=FALSE&amp;VAR:CALENDAR=US&amp;VAR:SYMBOL=05614P10&amp;VAR:INDEX=0"}</definedName>
    <definedName name="_2976__FDSAUDITLINK__" localSheetId="6" hidden="1">{"fdsup://directions/FAT Viewer?action=UPDATE&amp;creator=factset&amp;DYN_ARGS=TRUE&amp;DOC_NAME=FAT:FQL_AUDITING_CLIENT_TEMPLATE.FAT&amp;display_string=Audit&amp;VAR:KEY=ZMTULQVGBU&amp;VAR:QUERY=RkZfRUJJVERBX0lCKCdMVE1TJywzOTA4MSk=&amp;WINDOW=FIRST_POPUP&amp;HEIGHT=450&amp;WIDTH=450&amp;START_MA","XIMIZED=FALSE&amp;VAR:CALENDAR=US&amp;VAR:SYMBOL=05614P10&amp;VAR:INDEX=0"}</definedName>
    <definedName name="_2976__FDSAUDITLINK__" hidden="1">{"fdsup://directions/FAT Viewer?action=UPDATE&amp;creator=factset&amp;DYN_ARGS=TRUE&amp;DOC_NAME=FAT:FQL_AUDITING_CLIENT_TEMPLATE.FAT&amp;display_string=Audit&amp;VAR:KEY=ZMTULQVGBU&amp;VAR:QUERY=RkZfRUJJVERBX0lCKCdMVE1TJywzOTA4MSk=&amp;WINDOW=FIRST_POPUP&amp;HEIGHT=450&amp;WIDTH=450&amp;START_MA","XIMIZED=FALSE&amp;VAR:CALENDAR=US&amp;VAR:SYMBOL=05614P10&amp;VAR:INDEX=0"}</definedName>
    <definedName name="_2977__FDSAUDITLINK__" localSheetId="6" hidden="1">{"fdsup://directions/FAT Viewer?action=UPDATE&amp;creator=factset&amp;DYN_ARGS=TRUE&amp;DOC_NAME=FAT:FQL_AUDITING_CLIENT_TEMPLATE.FAT&amp;display_string=Audit&amp;VAR:KEY=FALQBMHEVK&amp;VAR:QUERY=RkZfRUJJVERBX0lCKCdMVE1TJywzOTA4MCk=&amp;WINDOW=FIRST_POPUP&amp;HEIGHT=450&amp;WIDTH=450&amp;START_MA","XIMIZED=FALSE&amp;VAR:CALENDAR=US&amp;VAR:SYMBOL=05614P10&amp;VAR:INDEX=0"}</definedName>
    <definedName name="_2977__FDSAUDITLINK__" hidden="1">{"fdsup://directions/FAT Viewer?action=UPDATE&amp;creator=factset&amp;DYN_ARGS=TRUE&amp;DOC_NAME=FAT:FQL_AUDITING_CLIENT_TEMPLATE.FAT&amp;display_string=Audit&amp;VAR:KEY=FALQBMHEVK&amp;VAR:QUERY=RkZfRUJJVERBX0lCKCdMVE1TJywzOTA4MCk=&amp;WINDOW=FIRST_POPUP&amp;HEIGHT=450&amp;WIDTH=450&amp;START_MA","XIMIZED=FALSE&amp;VAR:CALENDAR=US&amp;VAR:SYMBOL=05614P10&amp;VAR:INDEX=0"}</definedName>
    <definedName name="_2978__FDSAUDITLINK__" localSheetId="6" hidden="1">{"fdsup://directions/FAT Viewer?action=UPDATE&amp;creator=factset&amp;DYN_ARGS=TRUE&amp;DOC_NAME=FAT:FQL_AUDITING_CLIENT_TEMPLATE.FAT&amp;display_string=Audit&amp;VAR:KEY=HCJGDSRMXG&amp;VAR:QUERY=RkZfRUJJVERBX0lCKCdMVE1TJywzOTA3OSk=&amp;WINDOW=FIRST_POPUP&amp;HEIGHT=450&amp;WIDTH=450&amp;START_MA","XIMIZED=FALSE&amp;VAR:CALENDAR=US&amp;VAR:SYMBOL=05614P10&amp;VAR:INDEX=0"}</definedName>
    <definedName name="_2978__FDSAUDITLINK__" hidden="1">{"fdsup://directions/FAT Viewer?action=UPDATE&amp;creator=factset&amp;DYN_ARGS=TRUE&amp;DOC_NAME=FAT:FQL_AUDITING_CLIENT_TEMPLATE.FAT&amp;display_string=Audit&amp;VAR:KEY=HCJGDSRMXG&amp;VAR:QUERY=RkZfRUJJVERBX0lCKCdMVE1TJywzOTA3OSk=&amp;WINDOW=FIRST_POPUP&amp;HEIGHT=450&amp;WIDTH=450&amp;START_MA","XIMIZED=FALSE&amp;VAR:CALENDAR=US&amp;VAR:SYMBOL=05614P10&amp;VAR:INDEX=0"}</definedName>
    <definedName name="_2979__FDSAUDITLINK__" localSheetId="6" hidden="1">{"fdsup://directions/FAT Viewer?action=UPDATE&amp;creator=factset&amp;DYN_ARGS=TRUE&amp;DOC_NAME=FAT:FQL_AUDITING_CLIENT_TEMPLATE.FAT&amp;display_string=Audit&amp;VAR:KEY=PMJIXAHOBA&amp;VAR:QUERY=RkZfRUJJVERBX0lCKCdMVE1TJywzOTA3OCk=&amp;WINDOW=FIRST_POPUP&amp;HEIGHT=450&amp;WIDTH=450&amp;START_MA","XIMIZED=FALSE&amp;VAR:CALENDAR=US&amp;VAR:SYMBOL=05614P10&amp;VAR:INDEX=0"}</definedName>
    <definedName name="_2979__FDSAUDITLINK__" hidden="1">{"fdsup://directions/FAT Viewer?action=UPDATE&amp;creator=factset&amp;DYN_ARGS=TRUE&amp;DOC_NAME=FAT:FQL_AUDITING_CLIENT_TEMPLATE.FAT&amp;display_string=Audit&amp;VAR:KEY=PMJIXAHOBA&amp;VAR:QUERY=RkZfRUJJVERBX0lCKCdMVE1TJywzOTA3OCk=&amp;WINDOW=FIRST_POPUP&amp;HEIGHT=450&amp;WIDTH=450&amp;START_MA","XIMIZED=FALSE&amp;VAR:CALENDAR=US&amp;VAR:SYMBOL=05614P10&amp;VAR:INDEX=0"}</definedName>
    <definedName name="_298__FDSAUDITLINK__" localSheetId="6" hidden="1">{"fdsup://directions/FAT%20Viewer?VAR:PED=LTM&amp;VAR:AUDIT_MODE=SUMMARY&amp;VAR:PERIOD=FIXED&amp;VAR:AUDIT_ID=00000117&amp;VAR:DATE=20090429&amp;action=UPDATE&amp;creator=factset&amp;DOC_NAME=FAT:FMA_audit_SUMMARY.fat&amp;DISPLAY_STRING=Display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298__FDSAUDITLINK__" hidden="1">{"fdsup://directions/FAT%20Viewer?VAR:PED=LTM&amp;VAR:AUDIT_MODE=SUMMARY&amp;VAR:PERIOD=FIXED&amp;VAR:AUDIT_ID=00000117&amp;VAR:DATE=20090429&amp;action=UPDATE&amp;creator=factset&amp;DOC_NAME=FAT:FMA_audit_SUMMARY.fat&amp;DISPLAY_STRING=Display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2980__FDSAUDITLINK__" localSheetId="6" hidden="1">{"fdsup://directions/FAT Viewer?action=UPDATE&amp;creator=factset&amp;DYN_ARGS=TRUE&amp;DOC_NAME=FAT:FQL_AUDITING_CLIENT_TEMPLATE.FAT&amp;display_string=Audit&amp;VAR:KEY=XQXIRKPYXQ&amp;VAR:QUERY=RkZfRUJJVERBX0lCKCdMVE1TJywzOTA3Nyk=&amp;WINDOW=FIRST_POPUP&amp;HEIGHT=450&amp;WIDTH=450&amp;START_MA","XIMIZED=FALSE&amp;VAR:CALENDAR=US&amp;VAR:SYMBOL=05614P10&amp;VAR:INDEX=0"}</definedName>
    <definedName name="_2980__FDSAUDITLINK__" hidden="1">{"fdsup://directions/FAT Viewer?action=UPDATE&amp;creator=factset&amp;DYN_ARGS=TRUE&amp;DOC_NAME=FAT:FQL_AUDITING_CLIENT_TEMPLATE.FAT&amp;display_string=Audit&amp;VAR:KEY=XQXIRKPYXQ&amp;VAR:QUERY=RkZfRUJJVERBX0lCKCdMVE1TJywzOTA3Nyk=&amp;WINDOW=FIRST_POPUP&amp;HEIGHT=450&amp;WIDTH=450&amp;START_MA","XIMIZED=FALSE&amp;VAR:CALENDAR=US&amp;VAR:SYMBOL=05614P10&amp;VAR:INDEX=0"}</definedName>
    <definedName name="_2981__FDSAUDITLINK__" localSheetId="6" hidden="1">{"fdsup://directions/FAT Viewer?action=UPDATE&amp;creator=factset&amp;DYN_ARGS=TRUE&amp;DOC_NAME=FAT:FQL_AUDITING_CLIENT_TEMPLATE.FAT&amp;display_string=Audit&amp;VAR:KEY=RGPKVCJIBO&amp;VAR:QUERY=RkZfRUJJVERBX0lCKCdMVE1TJywzOTA3Nik=&amp;WINDOW=FIRST_POPUP&amp;HEIGHT=450&amp;WIDTH=450&amp;START_MA","XIMIZED=FALSE&amp;VAR:CALENDAR=US&amp;VAR:SYMBOL=05614P10&amp;VAR:INDEX=0"}</definedName>
    <definedName name="_2981__FDSAUDITLINK__" hidden="1">{"fdsup://directions/FAT Viewer?action=UPDATE&amp;creator=factset&amp;DYN_ARGS=TRUE&amp;DOC_NAME=FAT:FQL_AUDITING_CLIENT_TEMPLATE.FAT&amp;display_string=Audit&amp;VAR:KEY=RGPKVCJIBO&amp;VAR:QUERY=RkZfRUJJVERBX0lCKCdMVE1TJywzOTA3Nik=&amp;WINDOW=FIRST_POPUP&amp;HEIGHT=450&amp;WIDTH=450&amp;START_MA","XIMIZED=FALSE&amp;VAR:CALENDAR=US&amp;VAR:SYMBOL=05614P10&amp;VAR:INDEX=0"}</definedName>
    <definedName name="_2982__FDSAUDITLINK__" localSheetId="6" hidden="1">{"fdsup://directions/FAT Viewer?action=UPDATE&amp;creator=factset&amp;DYN_ARGS=TRUE&amp;DOC_NAME=FAT:FQL_AUDITING_CLIENT_TEMPLATE.FAT&amp;display_string=Audit&amp;VAR:KEY=ZQZCXEPIHC&amp;VAR:QUERY=RkZfRUJJVERBX0lCKCdMVE1TJywzOTA3NSk=&amp;WINDOW=FIRST_POPUP&amp;HEIGHT=450&amp;WIDTH=450&amp;START_MA","XIMIZED=FALSE&amp;VAR:CALENDAR=US&amp;VAR:SYMBOL=05614P10&amp;VAR:INDEX=0"}</definedName>
    <definedName name="_2982__FDSAUDITLINK__" hidden="1">{"fdsup://directions/FAT Viewer?action=UPDATE&amp;creator=factset&amp;DYN_ARGS=TRUE&amp;DOC_NAME=FAT:FQL_AUDITING_CLIENT_TEMPLATE.FAT&amp;display_string=Audit&amp;VAR:KEY=ZQZCXEPIHC&amp;VAR:QUERY=RkZfRUJJVERBX0lCKCdMVE1TJywzOTA3NSk=&amp;WINDOW=FIRST_POPUP&amp;HEIGHT=450&amp;WIDTH=450&amp;START_MA","XIMIZED=FALSE&amp;VAR:CALENDAR=US&amp;VAR:SYMBOL=05614P10&amp;VAR:INDEX=0"}</definedName>
    <definedName name="_2983__FDSAUDITLINK__" localSheetId="6" hidden="1">{"fdsup://directions/FAT Viewer?action=UPDATE&amp;creator=factset&amp;DYN_ARGS=TRUE&amp;DOC_NAME=FAT:FQL_AUDITING_CLIENT_TEMPLATE.FAT&amp;display_string=Audit&amp;VAR:KEY=NYPGNGJMTQ&amp;VAR:QUERY=RkZfRUJJVERBX0lCKCdMVE1TJywzOTA3NCk=&amp;WINDOW=FIRST_POPUP&amp;HEIGHT=450&amp;WIDTH=450&amp;START_MA","XIMIZED=FALSE&amp;VAR:CALENDAR=US&amp;VAR:SYMBOL=05614P10&amp;VAR:INDEX=0"}</definedName>
    <definedName name="_2983__FDSAUDITLINK__" hidden="1">{"fdsup://directions/FAT Viewer?action=UPDATE&amp;creator=factset&amp;DYN_ARGS=TRUE&amp;DOC_NAME=FAT:FQL_AUDITING_CLIENT_TEMPLATE.FAT&amp;display_string=Audit&amp;VAR:KEY=NYPGNGJMTQ&amp;VAR:QUERY=RkZfRUJJVERBX0lCKCdMVE1TJywzOTA3NCk=&amp;WINDOW=FIRST_POPUP&amp;HEIGHT=450&amp;WIDTH=450&amp;START_MA","XIMIZED=FALSE&amp;VAR:CALENDAR=US&amp;VAR:SYMBOL=05614P10&amp;VAR:INDEX=0"}</definedName>
    <definedName name="_2984__FDSAUDITLINK__" localSheetId="6" hidden="1">{"fdsup://directions/FAT Viewer?action=UPDATE&amp;creator=factset&amp;DYN_ARGS=TRUE&amp;DOC_NAME=FAT:FQL_AUDITING_CLIENT_TEMPLATE.FAT&amp;display_string=Audit&amp;VAR:KEY=FMNOFCRQXS&amp;VAR:QUERY=RkZfRUJJVERBX0lCKCdMVE1TJywzOTA3Myk=&amp;WINDOW=FIRST_POPUP&amp;HEIGHT=450&amp;WIDTH=450&amp;START_MA","XIMIZED=FALSE&amp;VAR:CALENDAR=US&amp;VAR:SYMBOL=05614P10&amp;VAR:INDEX=0"}</definedName>
    <definedName name="_2984__FDSAUDITLINK__" hidden="1">{"fdsup://directions/FAT Viewer?action=UPDATE&amp;creator=factset&amp;DYN_ARGS=TRUE&amp;DOC_NAME=FAT:FQL_AUDITING_CLIENT_TEMPLATE.FAT&amp;display_string=Audit&amp;VAR:KEY=FMNOFCRQXS&amp;VAR:QUERY=RkZfRUJJVERBX0lCKCdMVE1TJywzOTA3Myk=&amp;WINDOW=FIRST_POPUP&amp;HEIGHT=450&amp;WIDTH=450&amp;START_MA","XIMIZED=FALSE&amp;VAR:CALENDAR=US&amp;VAR:SYMBOL=05614P10&amp;VAR:INDEX=0"}</definedName>
    <definedName name="_2985__FDSAUDITLINK__" localSheetId="6" hidden="1">{"fdsup://directions/FAT Viewer?action=UPDATE&amp;creator=factset&amp;DYN_ARGS=TRUE&amp;DOC_NAME=FAT:FQL_AUDITING_CLIENT_TEMPLATE.FAT&amp;display_string=Audit&amp;VAR:KEY=PIDEFKZOBO&amp;VAR:QUERY=RkZfRUJJVERBX0lCKCdMVE1TJywzOTA3Mik=&amp;WINDOW=FIRST_POPUP&amp;HEIGHT=450&amp;WIDTH=450&amp;START_MA","XIMIZED=FALSE&amp;VAR:CALENDAR=US&amp;VAR:SYMBOL=05614P10&amp;VAR:INDEX=0"}</definedName>
    <definedName name="_2985__FDSAUDITLINK__" hidden="1">{"fdsup://directions/FAT Viewer?action=UPDATE&amp;creator=factset&amp;DYN_ARGS=TRUE&amp;DOC_NAME=FAT:FQL_AUDITING_CLIENT_TEMPLATE.FAT&amp;display_string=Audit&amp;VAR:KEY=PIDEFKZOBO&amp;VAR:QUERY=RkZfRUJJVERBX0lCKCdMVE1TJywzOTA3Mik=&amp;WINDOW=FIRST_POPUP&amp;HEIGHT=450&amp;WIDTH=450&amp;START_MA","XIMIZED=FALSE&amp;VAR:CALENDAR=US&amp;VAR:SYMBOL=05614P10&amp;VAR:INDEX=0"}</definedName>
    <definedName name="_2986__FDSAUDITLINK__" localSheetId="6" hidden="1">{"fdsup://directions/FAT Viewer?action=UPDATE&amp;creator=factset&amp;DYN_ARGS=TRUE&amp;DOC_NAME=FAT:FQL_AUDITING_CLIENT_TEMPLATE.FAT&amp;display_string=Audit&amp;VAR:KEY=NYLUHIFIBO&amp;VAR:QUERY=RkZfRUJJVERBX0lCKCdMVE1TJywzOTA3MSk=&amp;WINDOW=FIRST_POPUP&amp;HEIGHT=450&amp;WIDTH=450&amp;START_MA","XIMIZED=FALSE&amp;VAR:CALENDAR=US&amp;VAR:SYMBOL=05614P10&amp;VAR:INDEX=0"}</definedName>
    <definedName name="_2986__FDSAUDITLINK__" hidden="1">{"fdsup://directions/FAT Viewer?action=UPDATE&amp;creator=factset&amp;DYN_ARGS=TRUE&amp;DOC_NAME=FAT:FQL_AUDITING_CLIENT_TEMPLATE.FAT&amp;display_string=Audit&amp;VAR:KEY=NYLUHIFIBO&amp;VAR:QUERY=RkZfRUJJVERBX0lCKCdMVE1TJywzOTA3MSk=&amp;WINDOW=FIRST_POPUP&amp;HEIGHT=450&amp;WIDTH=450&amp;START_MA","XIMIZED=FALSE&amp;VAR:CALENDAR=US&amp;VAR:SYMBOL=05614P10&amp;VAR:INDEX=0"}</definedName>
    <definedName name="_2987__FDSAUDITLINK__" localSheetId="6" hidden="1">{"fdsup://directions/FAT Viewer?action=UPDATE&amp;creator=factset&amp;DYN_ARGS=TRUE&amp;DOC_NAME=FAT:FQL_AUDITING_CLIENT_TEMPLATE.FAT&amp;display_string=Audit&amp;VAR:KEY=NWXONELSXU&amp;VAR:QUERY=RkZfRUJJVERBX0lCKCdMVE1TJywzOTA3MCk=&amp;WINDOW=FIRST_POPUP&amp;HEIGHT=450&amp;WIDTH=450&amp;START_MA","XIMIZED=FALSE&amp;VAR:CALENDAR=US&amp;VAR:SYMBOL=05614P10&amp;VAR:INDEX=0"}</definedName>
    <definedName name="_2987__FDSAUDITLINK__" hidden="1">{"fdsup://directions/FAT Viewer?action=UPDATE&amp;creator=factset&amp;DYN_ARGS=TRUE&amp;DOC_NAME=FAT:FQL_AUDITING_CLIENT_TEMPLATE.FAT&amp;display_string=Audit&amp;VAR:KEY=NWXONELSXU&amp;VAR:QUERY=RkZfRUJJVERBX0lCKCdMVE1TJywzOTA3MCk=&amp;WINDOW=FIRST_POPUP&amp;HEIGHT=450&amp;WIDTH=450&amp;START_MA","XIMIZED=FALSE&amp;VAR:CALENDAR=US&amp;VAR:SYMBOL=05614P10&amp;VAR:INDEX=0"}</definedName>
    <definedName name="_2988__FDSAUDITLINK__" localSheetId="6" hidden="1">{"fdsup://directions/FAT Viewer?action=UPDATE&amp;creator=factset&amp;DYN_ARGS=TRUE&amp;DOC_NAME=FAT:FQL_AUDITING_CLIENT_TEMPLATE.FAT&amp;display_string=Audit&amp;VAR:KEY=BWZWRWJEHK&amp;VAR:QUERY=RkZfRUJJVERBX0lCKCdMVE1TJywzOTA2OSk=&amp;WINDOW=FIRST_POPUP&amp;HEIGHT=450&amp;WIDTH=450&amp;START_MA","XIMIZED=FALSE&amp;VAR:CALENDAR=US&amp;VAR:SYMBOL=05614P10&amp;VAR:INDEX=0"}</definedName>
    <definedName name="_2988__FDSAUDITLINK__" hidden="1">{"fdsup://directions/FAT Viewer?action=UPDATE&amp;creator=factset&amp;DYN_ARGS=TRUE&amp;DOC_NAME=FAT:FQL_AUDITING_CLIENT_TEMPLATE.FAT&amp;display_string=Audit&amp;VAR:KEY=BWZWRWJEHK&amp;VAR:QUERY=RkZfRUJJVERBX0lCKCdMVE1TJywzOTA2OSk=&amp;WINDOW=FIRST_POPUP&amp;HEIGHT=450&amp;WIDTH=450&amp;START_MA","XIMIZED=FALSE&amp;VAR:CALENDAR=US&amp;VAR:SYMBOL=05614P10&amp;VAR:INDEX=0"}</definedName>
    <definedName name="_2989__FDSAUDITLINK__" localSheetId="6" hidden="1">{"fdsup://directions/FAT Viewer?action=UPDATE&amp;creator=factset&amp;DYN_ARGS=TRUE&amp;DOC_NAME=FAT:FQL_AUDITING_CLIENT_TEMPLATE.FAT&amp;display_string=Audit&amp;VAR:KEY=ZMTMNYVWNI&amp;VAR:QUERY=RkZfRUJJVERBX0lCKCdMVE1TJywzOTA2OCk=&amp;WINDOW=FIRST_POPUP&amp;HEIGHT=450&amp;WIDTH=450&amp;START_MA","XIMIZED=FALSE&amp;VAR:CALENDAR=US&amp;VAR:SYMBOL=05614P10&amp;VAR:INDEX=0"}</definedName>
    <definedName name="_2989__FDSAUDITLINK__" hidden="1">{"fdsup://directions/FAT Viewer?action=UPDATE&amp;creator=factset&amp;DYN_ARGS=TRUE&amp;DOC_NAME=FAT:FQL_AUDITING_CLIENT_TEMPLATE.FAT&amp;display_string=Audit&amp;VAR:KEY=ZMTMNYVWNI&amp;VAR:QUERY=RkZfRUJJVERBX0lCKCdMVE1TJywzOTA2OCk=&amp;WINDOW=FIRST_POPUP&amp;HEIGHT=450&amp;WIDTH=450&amp;START_MA","XIMIZED=FALSE&amp;VAR:CALENDAR=US&amp;VAR:SYMBOL=05614P10&amp;VAR:INDEX=0"}</definedName>
    <definedName name="_299__FDSAUDITLINK__" localSheetId="6" hidden="1">{"fdsup://directions/FAT%20Viewer?VAR:PED=LTM&amp;VAR:AUDIT_MODE=SUMMARY&amp;VAR:PERIOD=FIXED&amp;VAR:AUDIT_ID=00000117&amp;VAR:DATE=20090428&amp;action=UPDATE&amp;creator=factset&amp;DOC_NAME=FAT:FMA_audit_SUMMARY.fat&amp;DISPLAY_STRING=Display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299__FDSAUDITLINK__" hidden="1">{"fdsup://directions/FAT%20Viewer?VAR:PED=LTM&amp;VAR:AUDIT_MODE=SUMMARY&amp;VAR:PERIOD=FIXED&amp;VAR:AUDIT_ID=00000117&amp;VAR:DATE=20090428&amp;action=UPDATE&amp;creator=factset&amp;DOC_NAME=FAT:FMA_audit_SUMMARY.fat&amp;DISPLAY_STRING=Display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2990__FDSAUDITLINK__" localSheetId="6" hidden="1">{"fdsup://directions/FAT Viewer?action=UPDATE&amp;creator=factset&amp;DYN_ARGS=TRUE&amp;DOC_NAME=FAT:FQL_AUDITING_CLIENT_TEMPLATE.FAT&amp;display_string=Audit&amp;VAR:KEY=FUNMBIPYHQ&amp;VAR:QUERY=RkZfRUJJVERBX0lCKCdMVE1TJywzOTA2Nyk=&amp;WINDOW=FIRST_POPUP&amp;HEIGHT=450&amp;WIDTH=450&amp;START_MA","XIMIZED=FALSE&amp;VAR:CALENDAR=US&amp;VAR:SYMBOL=05614P10&amp;VAR:INDEX=0"}</definedName>
    <definedName name="_2990__FDSAUDITLINK__" hidden="1">{"fdsup://directions/FAT Viewer?action=UPDATE&amp;creator=factset&amp;DYN_ARGS=TRUE&amp;DOC_NAME=FAT:FQL_AUDITING_CLIENT_TEMPLATE.FAT&amp;display_string=Audit&amp;VAR:KEY=FUNMBIPYHQ&amp;VAR:QUERY=RkZfRUJJVERBX0lCKCdMVE1TJywzOTA2Nyk=&amp;WINDOW=FIRST_POPUP&amp;HEIGHT=450&amp;WIDTH=450&amp;START_MA","XIMIZED=FALSE&amp;VAR:CALENDAR=US&amp;VAR:SYMBOL=05614P10&amp;VAR:INDEX=0"}</definedName>
    <definedName name="_2991__FDSAUDITLINK__" localSheetId="6" hidden="1">{"fdsup://directions/FAT Viewer?action=UPDATE&amp;creator=factset&amp;DYN_ARGS=TRUE&amp;DOC_NAME=FAT:FQL_AUDITING_CLIENT_TEMPLATE.FAT&amp;display_string=Audit&amp;VAR:KEY=NGTCXYPCNU&amp;VAR:QUERY=RkZfRUJJVERBX0lCKCdMVE1TJywzOTA2Nik=&amp;WINDOW=FIRST_POPUP&amp;HEIGHT=450&amp;WIDTH=450&amp;START_MA","XIMIZED=FALSE&amp;VAR:CALENDAR=US&amp;VAR:SYMBOL=05614P10&amp;VAR:INDEX=0"}</definedName>
    <definedName name="_2991__FDSAUDITLINK__" hidden="1">{"fdsup://directions/FAT Viewer?action=UPDATE&amp;creator=factset&amp;DYN_ARGS=TRUE&amp;DOC_NAME=FAT:FQL_AUDITING_CLIENT_TEMPLATE.FAT&amp;display_string=Audit&amp;VAR:KEY=NGTCXYPCNU&amp;VAR:QUERY=RkZfRUJJVERBX0lCKCdMVE1TJywzOTA2Nik=&amp;WINDOW=FIRST_POPUP&amp;HEIGHT=450&amp;WIDTH=450&amp;START_MA","XIMIZED=FALSE&amp;VAR:CALENDAR=US&amp;VAR:SYMBOL=05614P10&amp;VAR:INDEX=0"}</definedName>
    <definedName name="_2992__FDSAUDITLINK__" localSheetId="6" hidden="1">{"fdsup://directions/FAT Viewer?action=UPDATE&amp;creator=factset&amp;DYN_ARGS=TRUE&amp;DOC_NAME=FAT:FQL_AUDITING_CLIENT_TEMPLATE.FAT&amp;display_string=Audit&amp;VAR:KEY=NIXMDIPINI&amp;VAR:QUERY=RkZfRUJJVERBX0lCKCdMVE1TJywzOTA2NSk=&amp;WINDOW=FIRST_POPUP&amp;HEIGHT=450&amp;WIDTH=450&amp;START_MA","XIMIZED=FALSE&amp;VAR:CALENDAR=US&amp;VAR:SYMBOL=05614P10&amp;VAR:INDEX=0"}</definedName>
    <definedName name="_2992__FDSAUDITLINK__" hidden="1">{"fdsup://directions/FAT Viewer?action=UPDATE&amp;creator=factset&amp;DYN_ARGS=TRUE&amp;DOC_NAME=FAT:FQL_AUDITING_CLIENT_TEMPLATE.FAT&amp;display_string=Audit&amp;VAR:KEY=NIXMDIPINI&amp;VAR:QUERY=RkZfRUJJVERBX0lCKCdMVE1TJywzOTA2NSk=&amp;WINDOW=FIRST_POPUP&amp;HEIGHT=450&amp;WIDTH=450&amp;START_MA","XIMIZED=FALSE&amp;VAR:CALENDAR=US&amp;VAR:SYMBOL=05614P10&amp;VAR:INDEX=0"}</definedName>
    <definedName name="_2993__FDSAUDITLINK__" localSheetId="6" hidden="1">{"fdsup://directions/FAT Viewer?action=UPDATE&amp;creator=factset&amp;DYN_ARGS=TRUE&amp;DOC_NAME=FAT:FQL_AUDITING_CLIENT_TEMPLATE.FAT&amp;display_string=Audit&amp;VAR:KEY=VOBSNWNURG&amp;VAR:QUERY=RkZfRUJJVERBX0lCKCdMVE1TJywzOTA2NCk=&amp;WINDOW=FIRST_POPUP&amp;HEIGHT=450&amp;WIDTH=450&amp;START_MA","XIMIZED=FALSE&amp;VAR:CALENDAR=US&amp;VAR:SYMBOL=05614P10&amp;VAR:INDEX=0"}</definedName>
    <definedName name="_2993__FDSAUDITLINK__" hidden="1">{"fdsup://directions/FAT Viewer?action=UPDATE&amp;creator=factset&amp;DYN_ARGS=TRUE&amp;DOC_NAME=FAT:FQL_AUDITING_CLIENT_TEMPLATE.FAT&amp;display_string=Audit&amp;VAR:KEY=VOBSNWNURG&amp;VAR:QUERY=RkZfRUJJVERBX0lCKCdMVE1TJywzOTA2NCk=&amp;WINDOW=FIRST_POPUP&amp;HEIGHT=450&amp;WIDTH=450&amp;START_MA","XIMIZED=FALSE&amp;VAR:CALENDAR=US&amp;VAR:SYMBOL=05614P10&amp;VAR:INDEX=0"}</definedName>
    <definedName name="_2994__FDSAUDITLINK__" localSheetId="6" hidden="1">{"fdsup://directions/FAT Viewer?action=UPDATE&amp;creator=factset&amp;DYN_ARGS=TRUE&amp;DOC_NAME=FAT:FQL_AUDITING_CLIENT_TEMPLATE.FAT&amp;display_string=Audit&amp;VAR:KEY=BKNMLWRSVG&amp;VAR:QUERY=RkZfRUJJVERBX0lCKCdMVE1TJywzOTA2Myk=&amp;WINDOW=FIRST_POPUP&amp;HEIGHT=450&amp;WIDTH=450&amp;START_MA","XIMIZED=FALSE&amp;VAR:CALENDAR=US&amp;VAR:SYMBOL=05614P10&amp;VAR:INDEX=0"}</definedName>
    <definedName name="_2994__FDSAUDITLINK__" hidden="1">{"fdsup://directions/FAT Viewer?action=UPDATE&amp;creator=factset&amp;DYN_ARGS=TRUE&amp;DOC_NAME=FAT:FQL_AUDITING_CLIENT_TEMPLATE.FAT&amp;display_string=Audit&amp;VAR:KEY=BKNMLWRSVG&amp;VAR:QUERY=RkZfRUJJVERBX0lCKCdMVE1TJywzOTA2Myk=&amp;WINDOW=FIRST_POPUP&amp;HEIGHT=450&amp;WIDTH=450&amp;START_MA","XIMIZED=FALSE&amp;VAR:CALENDAR=US&amp;VAR:SYMBOL=05614P10&amp;VAR:INDEX=0"}</definedName>
    <definedName name="_2995__FDSAUDITLINK__" localSheetId="6" hidden="1">{"fdsup://directions/FAT Viewer?action=UPDATE&amp;creator=factset&amp;DYN_ARGS=TRUE&amp;DOC_NAME=FAT:FQL_AUDITING_CLIENT_TEMPLATE.FAT&amp;display_string=Audit&amp;VAR:KEY=BKXYZCZOLC&amp;VAR:QUERY=RkZfRUJJVERBX0lCKCdMVE1TJywzOTA2Mik=&amp;WINDOW=FIRST_POPUP&amp;HEIGHT=450&amp;WIDTH=450&amp;START_MA","XIMIZED=FALSE&amp;VAR:CALENDAR=US&amp;VAR:SYMBOL=05614P10&amp;VAR:INDEX=0"}</definedName>
    <definedName name="_2995__FDSAUDITLINK__" hidden="1">{"fdsup://directions/FAT Viewer?action=UPDATE&amp;creator=factset&amp;DYN_ARGS=TRUE&amp;DOC_NAME=FAT:FQL_AUDITING_CLIENT_TEMPLATE.FAT&amp;display_string=Audit&amp;VAR:KEY=BKXYZCZOLC&amp;VAR:QUERY=RkZfRUJJVERBX0lCKCdMVE1TJywzOTA2Mik=&amp;WINDOW=FIRST_POPUP&amp;HEIGHT=450&amp;WIDTH=450&amp;START_MA","XIMIZED=FALSE&amp;VAR:CALENDAR=US&amp;VAR:SYMBOL=05614P10&amp;VAR:INDEX=0"}</definedName>
    <definedName name="_2996__FDSAUDITLINK__" localSheetId="6" hidden="1">{"fdsup://directions/FAT Viewer?action=UPDATE&amp;creator=factset&amp;DYN_ARGS=TRUE&amp;DOC_NAME=FAT:FQL_AUDITING_CLIENT_TEMPLATE.FAT&amp;display_string=Audit&amp;VAR:KEY=JGVKHCDSFC&amp;VAR:QUERY=RkZfRUJJVERBX0lCKCdMVE1TJywzOTA2MSk=&amp;WINDOW=FIRST_POPUP&amp;HEIGHT=450&amp;WIDTH=450&amp;START_MA","XIMIZED=FALSE&amp;VAR:CALENDAR=US&amp;VAR:SYMBOL=05614P10&amp;VAR:INDEX=0"}</definedName>
    <definedName name="_2996__FDSAUDITLINK__" hidden="1">{"fdsup://directions/FAT Viewer?action=UPDATE&amp;creator=factset&amp;DYN_ARGS=TRUE&amp;DOC_NAME=FAT:FQL_AUDITING_CLIENT_TEMPLATE.FAT&amp;display_string=Audit&amp;VAR:KEY=JGVKHCDSFC&amp;VAR:QUERY=RkZfRUJJVERBX0lCKCdMVE1TJywzOTA2MSk=&amp;WINDOW=FIRST_POPUP&amp;HEIGHT=450&amp;WIDTH=450&amp;START_MA","XIMIZED=FALSE&amp;VAR:CALENDAR=US&amp;VAR:SYMBOL=05614P10&amp;VAR:INDEX=0"}</definedName>
    <definedName name="_2997__FDSAUDITLINK__" localSheetId="6" hidden="1">{"fdsup://directions/FAT Viewer?action=UPDATE&amp;creator=factset&amp;DYN_ARGS=TRUE&amp;DOC_NAME=FAT:FQL_AUDITING_CLIENT_TEMPLATE.FAT&amp;display_string=Audit&amp;VAR:KEY=HILIHYREFW&amp;VAR:QUERY=RkZfRUJJVERBX0lCKCdMVE1TJywzOTA2MCk=&amp;WINDOW=FIRST_POPUP&amp;HEIGHT=450&amp;WIDTH=450&amp;START_MA","XIMIZED=FALSE&amp;VAR:CALENDAR=US&amp;VAR:SYMBOL=05614P10&amp;VAR:INDEX=0"}</definedName>
    <definedName name="_2997__FDSAUDITLINK__" hidden="1">{"fdsup://directions/FAT Viewer?action=UPDATE&amp;creator=factset&amp;DYN_ARGS=TRUE&amp;DOC_NAME=FAT:FQL_AUDITING_CLIENT_TEMPLATE.FAT&amp;display_string=Audit&amp;VAR:KEY=HILIHYREFW&amp;VAR:QUERY=RkZfRUJJVERBX0lCKCdMVE1TJywzOTA2MCk=&amp;WINDOW=FIRST_POPUP&amp;HEIGHT=450&amp;WIDTH=450&amp;START_MA","XIMIZED=FALSE&amp;VAR:CALENDAR=US&amp;VAR:SYMBOL=05614P10&amp;VAR:INDEX=0"}</definedName>
    <definedName name="_2998__FDSAUDITLINK__" localSheetId="6" hidden="1">{"fdsup://directions/FAT Viewer?action=UPDATE&amp;creator=factset&amp;DYN_ARGS=TRUE&amp;DOC_NAME=FAT:FQL_AUDITING_CLIENT_TEMPLATE.FAT&amp;display_string=Audit&amp;VAR:KEY=JORWJSRWLW&amp;VAR:QUERY=RkZfRUJJVERBX0lCKCdMVE1TJywzOTA1OSk=&amp;WINDOW=FIRST_POPUP&amp;HEIGHT=450&amp;WIDTH=450&amp;START_MA","XIMIZED=FALSE&amp;VAR:CALENDAR=US&amp;VAR:SYMBOL=05614P10&amp;VAR:INDEX=0"}</definedName>
    <definedName name="_2998__FDSAUDITLINK__" hidden="1">{"fdsup://directions/FAT Viewer?action=UPDATE&amp;creator=factset&amp;DYN_ARGS=TRUE&amp;DOC_NAME=FAT:FQL_AUDITING_CLIENT_TEMPLATE.FAT&amp;display_string=Audit&amp;VAR:KEY=JORWJSRWLW&amp;VAR:QUERY=RkZfRUJJVERBX0lCKCdMVE1TJywzOTA1OSk=&amp;WINDOW=FIRST_POPUP&amp;HEIGHT=450&amp;WIDTH=450&amp;START_MA","XIMIZED=FALSE&amp;VAR:CALENDAR=US&amp;VAR:SYMBOL=05614P10&amp;VAR:INDEX=0"}</definedName>
    <definedName name="_2999__FDSAUDITLINK__" localSheetId="6" hidden="1">{"fdsup://directions/FAT Viewer?action=UPDATE&amp;creator=factset&amp;DYN_ARGS=TRUE&amp;DOC_NAME=FAT:FQL_AUDITING_CLIENT_TEMPLATE.FAT&amp;display_string=Audit&amp;VAR:KEY=DOTIZKTKVK&amp;VAR:QUERY=RkZfRUJJVERBX0lCKCdMVE1TJywzOTA1OCk=&amp;WINDOW=FIRST_POPUP&amp;HEIGHT=450&amp;WIDTH=450&amp;START_MA","XIMIZED=FALSE&amp;VAR:CALENDAR=US&amp;VAR:SYMBOL=05614P10&amp;VAR:INDEX=0"}</definedName>
    <definedName name="_2999__FDSAUDITLINK__" hidden="1">{"fdsup://directions/FAT Viewer?action=UPDATE&amp;creator=factset&amp;DYN_ARGS=TRUE&amp;DOC_NAME=FAT:FQL_AUDITING_CLIENT_TEMPLATE.FAT&amp;display_string=Audit&amp;VAR:KEY=DOTIZKTKVK&amp;VAR:QUERY=RkZfRUJJVERBX0lCKCdMVE1TJywzOTA1OCk=&amp;WINDOW=FIRST_POPUP&amp;HEIGHT=450&amp;WIDTH=450&amp;START_MA","XIMIZED=FALSE&amp;VAR:CALENDAR=US&amp;VAR:SYMBOL=05614P10&amp;VAR:INDEX=0"}</definedName>
    <definedName name="_3__FDSAUDITLINK__" localSheetId="6" hidden="1">{"fdsup://directions/FAT Viewer?action=UPDATE&amp;creator=factset&amp;DYN_ARGS=TRUE&amp;DOC_NAME=FAT:FQL_AUDITING_CLIENT_TEMPLATE.FAT&amp;display_string=Audit&amp;VAR:KEY=YRUHCRCNIV&amp;VAR:QUERY=QVZHKENTRl9ORVRfSU5DKEFOTiwwRlksLTZGWSxZKSkgLyAoQVZHKENTRl9BU1NFVFMoQU5OLDBGWSwtNkZZL","EZZKSkgLSBBVkcoQ1NGX0lOVEFORyhBTk4sMCwtNkZZLEZZKSkp&amp;WINDOW=FIRST_POPUP&amp;HEIGHT=450&amp;WIDTH=450&amp;START_MAXIMIZED=FALSE&amp;VAR:CALENDAR=US&amp;VAR:SYMBOL=691137"}</definedName>
    <definedName name="_3__FDSAUDITLINK__" hidden="1">{"fdsup://directions/FAT Viewer?action=UPDATE&amp;creator=factset&amp;DYN_ARGS=TRUE&amp;DOC_NAME=FAT:FQL_AUDITING_CLIENT_TEMPLATE.FAT&amp;display_string=Audit&amp;VAR:KEY=YRUHCRCNIV&amp;VAR:QUERY=QVZHKENTRl9ORVRfSU5DKEFOTiwwRlksLTZGWSxZKSkgLyAoQVZHKENTRl9BU1NFVFMoQU5OLDBGWSwtNkZZL","EZZKSkgLSBBVkcoQ1NGX0lOVEFORyhBTk4sMCwtNkZZLEZZKSkp&amp;WINDOW=FIRST_POPUP&amp;HEIGHT=450&amp;WIDTH=450&amp;START_MAXIMIZED=FALSE&amp;VAR:CALENDAR=US&amp;VAR:SYMBOL=691137"}</definedName>
    <definedName name="_30__FDSAUDITLINK__" localSheetId="6" hidden="1">{"fdsup://directions/FAT Viewer?action=UPDATE&amp;creator=factset&amp;DYN_ARGS=TRUE&amp;DOC_NAME=FAT:FQL_AUDITING_CLIENT_TEMPLATE.FAT&amp;display_string=Audit&amp;VAR:KEY=NIPONKLAZO&amp;VAR:QUERY=RkZfSU5WRU5fREFZUyhBTk4sNDExNDUp&amp;WINDOW=FIRST_POPUP&amp;HEIGHT=450&amp;WIDTH=450&amp;START_MAXIMI","ZED=FALSE&amp;VAR:CALENDAR=US&amp;VAR:SYMBOL=50188920&amp;VAR:INDEX=0"}</definedName>
    <definedName name="_30__FDSAUDITLINK__" hidden="1">{"fdsup://directions/FAT Viewer?action=UPDATE&amp;creator=factset&amp;DYN_ARGS=TRUE&amp;DOC_NAME=FAT:FQL_AUDITING_CLIENT_TEMPLATE.FAT&amp;display_string=Audit&amp;VAR:KEY=NIPONKLAZO&amp;VAR:QUERY=RkZfSU5WRU5fREFZUyhBTk4sNDExNDUp&amp;WINDOW=FIRST_POPUP&amp;HEIGHT=450&amp;WIDTH=450&amp;START_MAXIMI","ZED=FALSE&amp;VAR:CALENDAR=US&amp;VAR:SYMBOL=50188920&amp;VAR:INDEX=0"}</definedName>
    <definedName name="_300__FDSAUDITLINK__" localSheetId="6" hidden="1">{"fdsup://directions/FAT%20Viewer?VAR:PED=LTM&amp;VAR:AUDIT_MODE=SUMMARY&amp;VAR:PERIOD=FIXED&amp;VAR:AUDIT_ID=00000117&amp;VAR:DATE=20090427&amp;action=UPDATE&amp;creator=factset&amp;DOC_NAME=FAT:FMA_audit_SUMMARY.fat&amp;DISPLAY_STRING=Display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0__FDSAUDITLINK__" hidden="1">{"fdsup://directions/FAT%20Viewer?VAR:PED=LTM&amp;VAR:AUDIT_MODE=SUMMARY&amp;VAR:PERIOD=FIXED&amp;VAR:AUDIT_ID=00000117&amp;VAR:DATE=20090427&amp;action=UPDATE&amp;creator=factset&amp;DOC_NAME=FAT:FMA_audit_SUMMARY.fat&amp;DISPLAY_STRING=Display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00__FDSAUDITLINK__" localSheetId="6" hidden="1">{"fdsup://directions/FAT Viewer?action=UPDATE&amp;creator=factset&amp;DYN_ARGS=TRUE&amp;DOC_NAME=FAT:FQL_AUDITING_CLIENT_TEMPLATE.FAT&amp;display_string=Audit&amp;VAR:KEY=JMTQVQXAPQ&amp;VAR:QUERY=RkZfRUJJVERBX0lCKCdMVE1TJywzOTA1Nyk=&amp;WINDOW=FIRST_POPUP&amp;HEIGHT=450&amp;WIDTH=450&amp;START_MA","XIMIZED=FALSE&amp;VAR:CALENDAR=US&amp;VAR:SYMBOL=05614P10&amp;VAR:INDEX=0"}</definedName>
    <definedName name="_3000__FDSAUDITLINK__" hidden="1">{"fdsup://directions/FAT Viewer?action=UPDATE&amp;creator=factset&amp;DYN_ARGS=TRUE&amp;DOC_NAME=FAT:FQL_AUDITING_CLIENT_TEMPLATE.FAT&amp;display_string=Audit&amp;VAR:KEY=JMTQVQXAPQ&amp;VAR:QUERY=RkZfRUJJVERBX0lCKCdMVE1TJywzOTA1Nyk=&amp;WINDOW=FIRST_POPUP&amp;HEIGHT=450&amp;WIDTH=450&amp;START_MA","XIMIZED=FALSE&amp;VAR:CALENDAR=US&amp;VAR:SYMBOL=05614P10&amp;VAR:INDEX=0"}</definedName>
    <definedName name="_3001__FDSAUDITLINK__" localSheetId="6" hidden="1">{"fdsup://directions/FAT Viewer?action=UPDATE&amp;creator=factset&amp;DYN_ARGS=TRUE&amp;DOC_NAME=FAT:FQL_AUDITING_CLIENT_TEMPLATE.FAT&amp;display_string=Audit&amp;VAR:KEY=XIDQLUXQNC&amp;VAR:QUERY=RkZfRUJJVERBX0lCKCdMVE1TJywzOTA1Nik=&amp;WINDOW=FIRST_POPUP&amp;HEIGHT=450&amp;WIDTH=450&amp;START_MA","XIMIZED=FALSE&amp;VAR:CALENDAR=US&amp;VAR:SYMBOL=05614P10&amp;VAR:INDEX=0"}</definedName>
    <definedName name="_3001__FDSAUDITLINK__" hidden="1">{"fdsup://directions/FAT Viewer?action=UPDATE&amp;creator=factset&amp;DYN_ARGS=TRUE&amp;DOC_NAME=FAT:FQL_AUDITING_CLIENT_TEMPLATE.FAT&amp;display_string=Audit&amp;VAR:KEY=XIDQLUXQNC&amp;VAR:QUERY=RkZfRUJJVERBX0lCKCdMVE1TJywzOTA1Nik=&amp;WINDOW=FIRST_POPUP&amp;HEIGHT=450&amp;WIDTH=450&amp;START_MA","XIMIZED=FALSE&amp;VAR:CALENDAR=US&amp;VAR:SYMBOL=05614P10&amp;VAR:INDEX=0"}</definedName>
    <definedName name="_3002__FDSAUDITLINK__" localSheetId="6" hidden="1">{"fdsup://directions/FAT Viewer?action=UPDATE&amp;creator=factset&amp;DYN_ARGS=TRUE&amp;DOC_NAME=FAT:FQL_AUDITING_CLIENT_TEMPLATE.FAT&amp;display_string=Audit&amp;VAR:KEY=JUTWRMRMVU&amp;VAR:QUERY=RkZfRUJJVERBX0lCKCdMVE1TJywzOTA1NSk=&amp;WINDOW=FIRST_POPUP&amp;HEIGHT=450&amp;WIDTH=450&amp;START_MA","XIMIZED=FALSE&amp;VAR:CALENDAR=US&amp;VAR:SYMBOL=05614P10&amp;VAR:INDEX=0"}</definedName>
    <definedName name="_3002__FDSAUDITLINK__" hidden="1">{"fdsup://directions/FAT Viewer?action=UPDATE&amp;creator=factset&amp;DYN_ARGS=TRUE&amp;DOC_NAME=FAT:FQL_AUDITING_CLIENT_TEMPLATE.FAT&amp;display_string=Audit&amp;VAR:KEY=JUTWRMRMVU&amp;VAR:QUERY=RkZfRUJJVERBX0lCKCdMVE1TJywzOTA1NSk=&amp;WINDOW=FIRST_POPUP&amp;HEIGHT=450&amp;WIDTH=450&amp;START_MA","XIMIZED=FALSE&amp;VAR:CALENDAR=US&amp;VAR:SYMBOL=05614P10&amp;VAR:INDEX=0"}</definedName>
    <definedName name="_3003__FDSAUDITLINK__" localSheetId="6" hidden="1">{"fdsup://directions/FAT Viewer?action=UPDATE&amp;creator=factset&amp;DYN_ARGS=TRUE&amp;DOC_NAME=FAT:FQL_AUDITING_CLIENT_TEMPLATE.FAT&amp;display_string=Audit&amp;VAR:KEY=JQVGTGDIPK&amp;VAR:QUERY=RkZfRUJJVERBX0lCKCdMVE1TJywzOTA1NCk=&amp;WINDOW=FIRST_POPUP&amp;HEIGHT=450&amp;WIDTH=450&amp;START_MA","XIMIZED=FALSE&amp;VAR:CALENDAR=US&amp;VAR:SYMBOL=05614P10&amp;VAR:INDEX=0"}</definedName>
    <definedName name="_3003__FDSAUDITLINK__" hidden="1">{"fdsup://directions/FAT Viewer?action=UPDATE&amp;creator=factset&amp;DYN_ARGS=TRUE&amp;DOC_NAME=FAT:FQL_AUDITING_CLIENT_TEMPLATE.FAT&amp;display_string=Audit&amp;VAR:KEY=JQVGTGDIPK&amp;VAR:QUERY=RkZfRUJJVERBX0lCKCdMVE1TJywzOTA1NCk=&amp;WINDOW=FIRST_POPUP&amp;HEIGHT=450&amp;WIDTH=450&amp;START_MA","XIMIZED=FALSE&amp;VAR:CALENDAR=US&amp;VAR:SYMBOL=05614P10&amp;VAR:INDEX=0"}</definedName>
    <definedName name="_3004__FDSAUDITLINK__" localSheetId="6" hidden="1">{"fdsup://directions/FAT Viewer?action=UPDATE&amp;creator=factset&amp;DYN_ARGS=TRUE&amp;DOC_NAME=FAT:FQL_AUDITING_CLIENT_TEMPLATE.FAT&amp;display_string=Audit&amp;VAR:KEY=BYPUBQJURC&amp;VAR:QUERY=RkZfRUJJVERBX0lCKCdMVE1TJywzOTA1Myk=&amp;WINDOW=FIRST_POPUP&amp;HEIGHT=450&amp;WIDTH=450&amp;START_MA","XIMIZED=FALSE&amp;VAR:CALENDAR=US&amp;VAR:SYMBOL=05614P10&amp;VAR:INDEX=0"}</definedName>
    <definedName name="_3004__FDSAUDITLINK__" hidden="1">{"fdsup://directions/FAT Viewer?action=UPDATE&amp;creator=factset&amp;DYN_ARGS=TRUE&amp;DOC_NAME=FAT:FQL_AUDITING_CLIENT_TEMPLATE.FAT&amp;display_string=Audit&amp;VAR:KEY=BYPUBQJURC&amp;VAR:QUERY=RkZfRUJJVERBX0lCKCdMVE1TJywzOTA1Myk=&amp;WINDOW=FIRST_POPUP&amp;HEIGHT=450&amp;WIDTH=450&amp;START_MA","XIMIZED=FALSE&amp;VAR:CALENDAR=US&amp;VAR:SYMBOL=05614P10&amp;VAR:INDEX=0"}</definedName>
    <definedName name="_3005__FDSAUDITLINK__" localSheetId="6" hidden="1">{"fdsup://directions/FAT Viewer?action=UPDATE&amp;creator=factset&amp;DYN_ARGS=TRUE&amp;DOC_NAME=FAT:FQL_AUDITING_CLIENT_TEMPLATE.FAT&amp;display_string=Audit&amp;VAR:KEY=NEVIHQBKJY&amp;VAR:QUERY=RkZfRUJJVERBX0lCKCdMVE1TJywzOTA1Mik=&amp;WINDOW=FIRST_POPUP&amp;HEIGHT=450&amp;WIDTH=450&amp;START_MA","XIMIZED=FALSE&amp;VAR:CALENDAR=US&amp;VAR:SYMBOL=05614P10&amp;VAR:INDEX=0"}</definedName>
    <definedName name="_3005__FDSAUDITLINK__" hidden="1">{"fdsup://directions/FAT Viewer?action=UPDATE&amp;creator=factset&amp;DYN_ARGS=TRUE&amp;DOC_NAME=FAT:FQL_AUDITING_CLIENT_TEMPLATE.FAT&amp;display_string=Audit&amp;VAR:KEY=NEVIHQBKJY&amp;VAR:QUERY=RkZfRUJJVERBX0lCKCdMVE1TJywzOTA1Mik=&amp;WINDOW=FIRST_POPUP&amp;HEIGHT=450&amp;WIDTH=450&amp;START_MA","XIMIZED=FALSE&amp;VAR:CALENDAR=US&amp;VAR:SYMBOL=05614P10&amp;VAR:INDEX=0"}</definedName>
    <definedName name="_3006__FDSAUDITLINK__" localSheetId="6" hidden="1">{"fdsup://directions/FAT Viewer?action=UPDATE&amp;creator=factset&amp;DYN_ARGS=TRUE&amp;DOC_NAME=FAT:FQL_AUDITING_CLIENT_TEMPLATE.FAT&amp;display_string=Audit&amp;VAR:KEY=ZQVOLABEJS&amp;VAR:QUERY=RkZfRUJJVERBX0lCKCdMVE1TJywzOTA1MSk=&amp;WINDOW=FIRST_POPUP&amp;HEIGHT=450&amp;WIDTH=450&amp;START_MA","XIMIZED=FALSE&amp;VAR:CALENDAR=US&amp;VAR:SYMBOL=05614P10&amp;VAR:INDEX=0"}</definedName>
    <definedName name="_3006__FDSAUDITLINK__" hidden="1">{"fdsup://directions/FAT Viewer?action=UPDATE&amp;creator=factset&amp;DYN_ARGS=TRUE&amp;DOC_NAME=FAT:FQL_AUDITING_CLIENT_TEMPLATE.FAT&amp;display_string=Audit&amp;VAR:KEY=ZQVOLABEJS&amp;VAR:QUERY=RkZfRUJJVERBX0lCKCdMVE1TJywzOTA1MSk=&amp;WINDOW=FIRST_POPUP&amp;HEIGHT=450&amp;WIDTH=450&amp;START_MA","XIMIZED=FALSE&amp;VAR:CALENDAR=US&amp;VAR:SYMBOL=05614P10&amp;VAR:INDEX=0"}</definedName>
    <definedName name="_3007__FDSAUDITLINK__" localSheetId="6" hidden="1">{"fdsup://directions/FAT Viewer?action=UPDATE&amp;creator=factset&amp;DYN_ARGS=TRUE&amp;DOC_NAME=FAT:FQL_AUDITING_CLIENT_TEMPLATE.FAT&amp;display_string=Audit&amp;VAR:KEY=NKLQVSPEHW&amp;VAR:QUERY=RkZfRUJJVERBX0lCKCdMVE1TJywzOTA1MCk=&amp;WINDOW=FIRST_POPUP&amp;HEIGHT=450&amp;WIDTH=450&amp;START_MA","XIMIZED=FALSE&amp;VAR:CALENDAR=US&amp;VAR:SYMBOL=05614P10&amp;VAR:INDEX=0"}</definedName>
    <definedName name="_3007__FDSAUDITLINK__" hidden="1">{"fdsup://directions/FAT Viewer?action=UPDATE&amp;creator=factset&amp;DYN_ARGS=TRUE&amp;DOC_NAME=FAT:FQL_AUDITING_CLIENT_TEMPLATE.FAT&amp;display_string=Audit&amp;VAR:KEY=NKLQVSPEHW&amp;VAR:QUERY=RkZfRUJJVERBX0lCKCdMVE1TJywzOTA1MCk=&amp;WINDOW=FIRST_POPUP&amp;HEIGHT=450&amp;WIDTH=450&amp;START_MA","XIMIZED=FALSE&amp;VAR:CALENDAR=US&amp;VAR:SYMBOL=05614P10&amp;VAR:INDEX=0"}</definedName>
    <definedName name="_3008__FDSAUDITLINK__" localSheetId="6" hidden="1">{"fdsup://directions/FAT Viewer?action=UPDATE&amp;creator=factset&amp;DYN_ARGS=TRUE&amp;DOC_NAME=FAT:FQL_AUDITING_CLIENT_TEMPLATE.FAT&amp;display_string=Audit&amp;VAR:KEY=FCXIFMJCNO&amp;VAR:QUERY=RkZfRUJJVERBX0lCKCdMVE1TJywzOTA0OSk=&amp;WINDOW=FIRST_POPUP&amp;HEIGHT=450&amp;WIDTH=450&amp;START_MA","XIMIZED=FALSE&amp;VAR:CALENDAR=US&amp;VAR:SYMBOL=05614P10&amp;VAR:INDEX=0"}</definedName>
    <definedName name="_3008__FDSAUDITLINK__" hidden="1">{"fdsup://directions/FAT Viewer?action=UPDATE&amp;creator=factset&amp;DYN_ARGS=TRUE&amp;DOC_NAME=FAT:FQL_AUDITING_CLIENT_TEMPLATE.FAT&amp;display_string=Audit&amp;VAR:KEY=FCXIFMJCNO&amp;VAR:QUERY=RkZfRUJJVERBX0lCKCdMVE1TJywzOTA0OSk=&amp;WINDOW=FIRST_POPUP&amp;HEIGHT=450&amp;WIDTH=450&amp;START_MA","XIMIZED=FALSE&amp;VAR:CALENDAR=US&amp;VAR:SYMBOL=05614P10&amp;VAR:INDEX=0"}</definedName>
    <definedName name="_3009__FDSAUDITLINK__" localSheetId="6" hidden="1">{"fdsup://directions/FAT Viewer?action=UPDATE&amp;creator=factset&amp;DYN_ARGS=TRUE&amp;DOC_NAME=FAT:FQL_AUDITING_CLIENT_TEMPLATE.FAT&amp;display_string=Audit&amp;VAR:KEY=LWRCBYJCXC&amp;VAR:QUERY=RkZfRUJJVERBX0lCKCdMVE1TJywzOTA0OCk=&amp;WINDOW=FIRST_POPUP&amp;HEIGHT=450&amp;WIDTH=450&amp;START_MA","XIMIZED=FALSE&amp;VAR:CALENDAR=US&amp;VAR:SYMBOL=05614P10&amp;VAR:INDEX=0"}</definedName>
    <definedName name="_3009__FDSAUDITLINK__" hidden="1">{"fdsup://directions/FAT Viewer?action=UPDATE&amp;creator=factset&amp;DYN_ARGS=TRUE&amp;DOC_NAME=FAT:FQL_AUDITING_CLIENT_TEMPLATE.FAT&amp;display_string=Audit&amp;VAR:KEY=LWRCBYJCXC&amp;VAR:QUERY=RkZfRUJJVERBX0lCKCdMVE1TJywzOTA0OCk=&amp;WINDOW=FIRST_POPUP&amp;HEIGHT=450&amp;WIDTH=450&amp;START_MA","XIMIZED=FALSE&amp;VAR:CALENDAR=US&amp;VAR:SYMBOL=05614P10&amp;VAR:INDEX=0"}</definedName>
    <definedName name="_301__FDSAUDITLINK__" localSheetId="6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1__FDSAUDITLINK__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10__FDSAUDITLINK__" localSheetId="6" hidden="1">{"fdsup://directions/FAT Viewer?action=UPDATE&amp;creator=factset&amp;DYN_ARGS=TRUE&amp;DOC_NAME=FAT:FQL_AUDITING_CLIENT_TEMPLATE.FAT&amp;display_string=Audit&amp;VAR:KEY=REBQHQBCFG&amp;VAR:QUERY=RkZfRUJJVERBX0lCKCdMVE1TJywzOTA0Nyk=&amp;WINDOW=FIRST_POPUP&amp;HEIGHT=450&amp;WIDTH=450&amp;START_MA","XIMIZED=FALSE&amp;VAR:CALENDAR=US&amp;VAR:SYMBOL=05614P10&amp;VAR:INDEX=0"}</definedName>
    <definedName name="_3010__FDSAUDITLINK__" hidden="1">{"fdsup://directions/FAT Viewer?action=UPDATE&amp;creator=factset&amp;DYN_ARGS=TRUE&amp;DOC_NAME=FAT:FQL_AUDITING_CLIENT_TEMPLATE.FAT&amp;display_string=Audit&amp;VAR:KEY=REBQHQBCFG&amp;VAR:QUERY=RkZfRUJJVERBX0lCKCdMVE1TJywzOTA0Nyk=&amp;WINDOW=FIRST_POPUP&amp;HEIGHT=450&amp;WIDTH=450&amp;START_MA","XIMIZED=FALSE&amp;VAR:CALENDAR=US&amp;VAR:SYMBOL=05614P10&amp;VAR:INDEX=0"}</definedName>
    <definedName name="_3011__FDSAUDITLINK__" localSheetId="6" hidden="1">{"fdsup://directions/FAT Viewer?action=UPDATE&amp;creator=factset&amp;DYN_ARGS=TRUE&amp;DOC_NAME=FAT:FQL_AUDITING_CLIENT_TEMPLATE.FAT&amp;display_string=Audit&amp;VAR:KEY=DSTCBCFEFM&amp;VAR:QUERY=RkZfRUJJVERBX0lCKCdMVE1TJywzOTA0Nik=&amp;WINDOW=FIRST_POPUP&amp;HEIGHT=450&amp;WIDTH=450&amp;START_MA","XIMIZED=FALSE&amp;VAR:CALENDAR=US&amp;VAR:SYMBOL=05614P10&amp;VAR:INDEX=0"}</definedName>
    <definedName name="_3011__FDSAUDITLINK__" hidden="1">{"fdsup://directions/FAT Viewer?action=UPDATE&amp;creator=factset&amp;DYN_ARGS=TRUE&amp;DOC_NAME=FAT:FQL_AUDITING_CLIENT_TEMPLATE.FAT&amp;display_string=Audit&amp;VAR:KEY=DSTCBCFEFM&amp;VAR:QUERY=RkZfRUJJVERBX0lCKCdMVE1TJywzOTA0Nik=&amp;WINDOW=FIRST_POPUP&amp;HEIGHT=450&amp;WIDTH=450&amp;START_MA","XIMIZED=FALSE&amp;VAR:CALENDAR=US&amp;VAR:SYMBOL=05614P10&amp;VAR:INDEX=0"}</definedName>
    <definedName name="_3012__FDSAUDITLINK__" localSheetId="6" hidden="1">{"fdsup://directions/FAT Viewer?action=UPDATE&amp;creator=factset&amp;DYN_ARGS=TRUE&amp;DOC_NAME=FAT:FQL_AUDITING_CLIENT_TEMPLATE.FAT&amp;display_string=Audit&amp;VAR:KEY=REZWTKJGXA&amp;VAR:QUERY=RkZfRUJJVERBX0lCKCdMVE1TJywzOTA0NSk=&amp;WINDOW=FIRST_POPUP&amp;HEIGHT=450&amp;WIDTH=450&amp;START_MA","XIMIZED=FALSE&amp;VAR:CALENDAR=US&amp;VAR:SYMBOL=05614P10&amp;VAR:INDEX=0"}</definedName>
    <definedName name="_3012__FDSAUDITLINK__" hidden="1">{"fdsup://directions/FAT Viewer?action=UPDATE&amp;creator=factset&amp;DYN_ARGS=TRUE&amp;DOC_NAME=FAT:FQL_AUDITING_CLIENT_TEMPLATE.FAT&amp;display_string=Audit&amp;VAR:KEY=REZWTKJGXA&amp;VAR:QUERY=RkZfRUJJVERBX0lCKCdMVE1TJywzOTA0NSk=&amp;WINDOW=FIRST_POPUP&amp;HEIGHT=450&amp;WIDTH=450&amp;START_MA","XIMIZED=FALSE&amp;VAR:CALENDAR=US&amp;VAR:SYMBOL=05614P10&amp;VAR:INDEX=0"}</definedName>
    <definedName name="_3013__FDSAUDITLINK__" localSheetId="6" hidden="1">{"fdsup://directions/FAT Viewer?action=UPDATE&amp;creator=factset&amp;DYN_ARGS=TRUE&amp;DOC_NAME=FAT:FQL_AUDITING_CLIENT_TEMPLATE.FAT&amp;display_string=Audit&amp;VAR:KEY=VYTQXIJMBU&amp;VAR:QUERY=RkZfRUJJVERBX0lCKCdMVE1TJywzOTA0NCk=&amp;WINDOW=FIRST_POPUP&amp;HEIGHT=450&amp;WIDTH=450&amp;START_MA","XIMIZED=FALSE&amp;VAR:CALENDAR=US&amp;VAR:SYMBOL=05614P10&amp;VAR:INDEX=0"}</definedName>
    <definedName name="_3013__FDSAUDITLINK__" hidden="1">{"fdsup://directions/FAT Viewer?action=UPDATE&amp;creator=factset&amp;DYN_ARGS=TRUE&amp;DOC_NAME=FAT:FQL_AUDITING_CLIENT_TEMPLATE.FAT&amp;display_string=Audit&amp;VAR:KEY=VYTQXIJMBU&amp;VAR:QUERY=RkZfRUJJVERBX0lCKCdMVE1TJywzOTA0NCk=&amp;WINDOW=FIRST_POPUP&amp;HEIGHT=450&amp;WIDTH=450&amp;START_MA","XIMIZED=FALSE&amp;VAR:CALENDAR=US&amp;VAR:SYMBOL=05614P10&amp;VAR:INDEX=0"}</definedName>
    <definedName name="_3014__FDSAUDITLINK__" localSheetId="6" hidden="1">{"fdsup://directions/FAT Viewer?action=UPDATE&amp;creator=factset&amp;DYN_ARGS=TRUE&amp;DOC_NAME=FAT:FQL_AUDITING_CLIENT_TEMPLATE.FAT&amp;display_string=Audit&amp;VAR:KEY=LWZYVSJWPK&amp;VAR:QUERY=RkZfRUJJVERBX0lCKCdMVE1TJywzOTA0Myk=&amp;WINDOW=FIRST_POPUP&amp;HEIGHT=450&amp;WIDTH=450&amp;START_MA","XIMIZED=FALSE&amp;VAR:CALENDAR=US&amp;VAR:SYMBOL=05614P10&amp;VAR:INDEX=0"}</definedName>
    <definedName name="_3014__FDSAUDITLINK__" hidden="1">{"fdsup://directions/FAT Viewer?action=UPDATE&amp;creator=factset&amp;DYN_ARGS=TRUE&amp;DOC_NAME=FAT:FQL_AUDITING_CLIENT_TEMPLATE.FAT&amp;display_string=Audit&amp;VAR:KEY=LWZYVSJWPK&amp;VAR:QUERY=RkZfRUJJVERBX0lCKCdMVE1TJywzOTA0Myk=&amp;WINDOW=FIRST_POPUP&amp;HEIGHT=450&amp;WIDTH=450&amp;START_MA","XIMIZED=FALSE&amp;VAR:CALENDAR=US&amp;VAR:SYMBOL=05614P10&amp;VAR:INDEX=0"}</definedName>
    <definedName name="_3015__FDSAUDITLINK__" localSheetId="6" hidden="1">{"fdsup://directions/FAT Viewer?action=UPDATE&amp;creator=factset&amp;DYN_ARGS=TRUE&amp;DOC_NAME=FAT:FQL_AUDITING_CLIENT_TEMPLATE.FAT&amp;display_string=Audit&amp;VAR:KEY=XQNSPSLAFO&amp;VAR:QUERY=RkZfRUJJVERBX0lCKCdMVE1TJywzOTA0Mik=&amp;WINDOW=FIRST_POPUP&amp;HEIGHT=450&amp;WIDTH=450&amp;START_MA","XIMIZED=FALSE&amp;VAR:CALENDAR=US&amp;VAR:SYMBOL=05614P10&amp;VAR:INDEX=0"}</definedName>
    <definedName name="_3015__FDSAUDITLINK__" hidden="1">{"fdsup://directions/FAT Viewer?action=UPDATE&amp;creator=factset&amp;DYN_ARGS=TRUE&amp;DOC_NAME=FAT:FQL_AUDITING_CLIENT_TEMPLATE.FAT&amp;display_string=Audit&amp;VAR:KEY=XQNSPSLAFO&amp;VAR:QUERY=RkZfRUJJVERBX0lCKCdMVE1TJywzOTA0Mik=&amp;WINDOW=FIRST_POPUP&amp;HEIGHT=450&amp;WIDTH=450&amp;START_MA","XIMIZED=FALSE&amp;VAR:CALENDAR=US&amp;VAR:SYMBOL=05614P10&amp;VAR:INDEX=0"}</definedName>
    <definedName name="_3016__FDSAUDITLINK__" localSheetId="6" hidden="1">{"fdsup://directions/FAT Viewer?action=UPDATE&amp;creator=factset&amp;DYN_ARGS=TRUE&amp;DOC_NAME=FAT:FQL_AUDITING_CLIENT_TEMPLATE.FAT&amp;display_string=Audit&amp;VAR:KEY=PQDEPCHEJU&amp;VAR:QUERY=RkZfRUJJVERBX0lCKCdMVE1TJywzOTA0MSk=&amp;WINDOW=FIRST_POPUP&amp;HEIGHT=450&amp;WIDTH=450&amp;START_MA","XIMIZED=FALSE&amp;VAR:CALENDAR=US&amp;VAR:SYMBOL=05614P10&amp;VAR:INDEX=0"}</definedName>
    <definedName name="_3016__FDSAUDITLINK__" hidden="1">{"fdsup://directions/FAT Viewer?action=UPDATE&amp;creator=factset&amp;DYN_ARGS=TRUE&amp;DOC_NAME=FAT:FQL_AUDITING_CLIENT_TEMPLATE.FAT&amp;display_string=Audit&amp;VAR:KEY=PQDEPCHEJU&amp;VAR:QUERY=RkZfRUJJVERBX0lCKCdMVE1TJywzOTA0MSk=&amp;WINDOW=FIRST_POPUP&amp;HEIGHT=450&amp;WIDTH=450&amp;START_MA","XIMIZED=FALSE&amp;VAR:CALENDAR=US&amp;VAR:SYMBOL=05614P10&amp;VAR:INDEX=0"}</definedName>
    <definedName name="_3017__FDSAUDITLINK__" localSheetId="6" hidden="1">{"fdsup://directions/FAT Viewer?action=UPDATE&amp;creator=factset&amp;DYN_ARGS=TRUE&amp;DOC_NAME=FAT:FQL_AUDITING_CLIENT_TEMPLATE.FAT&amp;display_string=Audit&amp;VAR:KEY=XUNUNOTENS&amp;VAR:QUERY=RkZfRUJJVERBX0lCKCdMVE1TJywzOTA0MCk=&amp;WINDOW=FIRST_POPUP&amp;HEIGHT=450&amp;WIDTH=450&amp;START_MA","XIMIZED=FALSE&amp;VAR:CALENDAR=US&amp;VAR:SYMBOL=05614P10&amp;VAR:INDEX=0"}</definedName>
    <definedName name="_3017__FDSAUDITLINK__" hidden="1">{"fdsup://directions/FAT Viewer?action=UPDATE&amp;creator=factset&amp;DYN_ARGS=TRUE&amp;DOC_NAME=FAT:FQL_AUDITING_CLIENT_TEMPLATE.FAT&amp;display_string=Audit&amp;VAR:KEY=XUNUNOTENS&amp;VAR:QUERY=RkZfRUJJVERBX0lCKCdMVE1TJywzOTA0MCk=&amp;WINDOW=FIRST_POPUP&amp;HEIGHT=450&amp;WIDTH=450&amp;START_MA","XIMIZED=FALSE&amp;VAR:CALENDAR=US&amp;VAR:SYMBOL=05614P10&amp;VAR:INDEX=0"}</definedName>
    <definedName name="_3018__FDSAUDITLINK__" localSheetId="6" hidden="1">{"fdsup://directions/FAT Viewer?action=UPDATE&amp;creator=factset&amp;DYN_ARGS=TRUE&amp;DOC_NAME=FAT:FQL_AUDITING_CLIENT_TEMPLATE.FAT&amp;display_string=Audit&amp;VAR:KEY=DOVETGRQNO&amp;VAR:QUERY=RkZfRUJJVERBX0lCKCdMVE1TJywzOTAzOSk=&amp;WINDOW=FIRST_POPUP&amp;HEIGHT=450&amp;WIDTH=450&amp;START_MA","XIMIZED=FALSE&amp;VAR:CALENDAR=US&amp;VAR:SYMBOL=05614P10&amp;VAR:INDEX=0"}</definedName>
    <definedName name="_3018__FDSAUDITLINK__" hidden="1">{"fdsup://directions/FAT Viewer?action=UPDATE&amp;creator=factset&amp;DYN_ARGS=TRUE&amp;DOC_NAME=FAT:FQL_AUDITING_CLIENT_TEMPLATE.FAT&amp;display_string=Audit&amp;VAR:KEY=DOVETGRQNO&amp;VAR:QUERY=RkZfRUJJVERBX0lCKCdMVE1TJywzOTAzOSk=&amp;WINDOW=FIRST_POPUP&amp;HEIGHT=450&amp;WIDTH=450&amp;START_MA","XIMIZED=FALSE&amp;VAR:CALENDAR=US&amp;VAR:SYMBOL=05614P10&amp;VAR:INDEX=0"}</definedName>
    <definedName name="_3019__FDSAUDITLINK__" localSheetId="6" hidden="1">{"fdsup://directions/FAT Viewer?action=UPDATE&amp;creator=factset&amp;DYN_ARGS=TRUE&amp;DOC_NAME=FAT:FQL_AUDITING_CLIENT_TEMPLATE.FAT&amp;display_string=Audit&amp;VAR:KEY=FQZQBYXQJC&amp;VAR:QUERY=RkZfRUJJVERBX0lCKCdMVE1TJywzOTAzOCk=&amp;WINDOW=FIRST_POPUP&amp;HEIGHT=450&amp;WIDTH=450&amp;START_MA","XIMIZED=FALSE&amp;VAR:CALENDAR=US&amp;VAR:SYMBOL=05614P10&amp;VAR:INDEX=0"}</definedName>
    <definedName name="_3019__FDSAUDITLINK__" hidden="1">{"fdsup://directions/FAT Viewer?action=UPDATE&amp;creator=factset&amp;DYN_ARGS=TRUE&amp;DOC_NAME=FAT:FQL_AUDITING_CLIENT_TEMPLATE.FAT&amp;display_string=Audit&amp;VAR:KEY=FQZQBYXQJC&amp;VAR:QUERY=RkZfRUJJVERBX0lCKCdMVE1TJywzOTAzOCk=&amp;WINDOW=FIRST_POPUP&amp;HEIGHT=450&amp;WIDTH=450&amp;START_MA","XIMIZED=FALSE&amp;VAR:CALENDAR=US&amp;VAR:SYMBOL=05614P10&amp;VAR:INDEX=0"}</definedName>
    <definedName name="_302__FDSAUDITLINK__" localSheetId="6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2__FDSAUDITLINK__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20__FDSAUDITLINK__" localSheetId="6" hidden="1">{"fdsup://directions/FAT Viewer?action=UPDATE&amp;creator=factset&amp;DYN_ARGS=TRUE&amp;DOC_NAME=FAT:FQL_AUDITING_CLIENT_TEMPLATE.FAT&amp;display_string=Audit&amp;VAR:KEY=VYLUZUZARW&amp;VAR:QUERY=RkZfRUJJVERBX0lCKCdMVE1TJywzOTAzNyk=&amp;WINDOW=FIRST_POPUP&amp;HEIGHT=450&amp;WIDTH=450&amp;START_MA","XIMIZED=FALSE&amp;VAR:CALENDAR=US&amp;VAR:SYMBOL=05614P10&amp;VAR:INDEX=0"}</definedName>
    <definedName name="_3020__FDSAUDITLINK__" hidden="1">{"fdsup://directions/FAT Viewer?action=UPDATE&amp;creator=factset&amp;DYN_ARGS=TRUE&amp;DOC_NAME=FAT:FQL_AUDITING_CLIENT_TEMPLATE.FAT&amp;display_string=Audit&amp;VAR:KEY=VYLUZUZARW&amp;VAR:QUERY=RkZfRUJJVERBX0lCKCdMVE1TJywzOTAzNyk=&amp;WINDOW=FIRST_POPUP&amp;HEIGHT=450&amp;WIDTH=450&amp;START_MA","XIMIZED=FALSE&amp;VAR:CALENDAR=US&amp;VAR:SYMBOL=05614P10&amp;VAR:INDEX=0"}</definedName>
    <definedName name="_3021__FDSAUDITLINK__" localSheetId="6" hidden="1">{"fdsup://directions/FAT Viewer?action=UPDATE&amp;creator=factset&amp;DYN_ARGS=TRUE&amp;DOC_NAME=FAT:FQL_AUDITING_CLIENT_TEMPLATE.FAT&amp;display_string=Audit&amp;VAR:KEY=BAFUHSBUPW&amp;VAR:QUERY=RkZfRUJJVERBX0lCKCdMVE1TJywzOTAzNik=&amp;WINDOW=FIRST_POPUP&amp;HEIGHT=450&amp;WIDTH=450&amp;START_MA","XIMIZED=FALSE&amp;VAR:CALENDAR=US&amp;VAR:SYMBOL=05614P10&amp;VAR:INDEX=0"}</definedName>
    <definedName name="_3021__FDSAUDITLINK__" hidden="1">{"fdsup://directions/FAT Viewer?action=UPDATE&amp;creator=factset&amp;DYN_ARGS=TRUE&amp;DOC_NAME=FAT:FQL_AUDITING_CLIENT_TEMPLATE.FAT&amp;display_string=Audit&amp;VAR:KEY=BAFUHSBUPW&amp;VAR:QUERY=RkZfRUJJVERBX0lCKCdMVE1TJywzOTAzNik=&amp;WINDOW=FIRST_POPUP&amp;HEIGHT=450&amp;WIDTH=450&amp;START_MA","XIMIZED=FALSE&amp;VAR:CALENDAR=US&amp;VAR:SYMBOL=05614P10&amp;VAR:INDEX=0"}</definedName>
    <definedName name="_3022__FDSAUDITLINK__" localSheetId="6" hidden="1">{"fdsup://directions/FAT Viewer?action=UPDATE&amp;creator=factset&amp;DYN_ARGS=TRUE&amp;DOC_NAME=FAT:FQL_AUDITING_CLIENT_TEMPLATE.FAT&amp;display_string=Audit&amp;VAR:KEY=HSBCTEJCDK&amp;VAR:QUERY=RkZfRUJJVERBX0lCKCdMVE1TJywzOTAzNSk=&amp;WINDOW=FIRST_POPUP&amp;HEIGHT=450&amp;WIDTH=450&amp;START_MA","XIMIZED=FALSE&amp;VAR:CALENDAR=US&amp;VAR:SYMBOL=05614P10&amp;VAR:INDEX=0"}</definedName>
    <definedName name="_3022__FDSAUDITLINK__" hidden="1">{"fdsup://directions/FAT Viewer?action=UPDATE&amp;creator=factset&amp;DYN_ARGS=TRUE&amp;DOC_NAME=FAT:FQL_AUDITING_CLIENT_TEMPLATE.FAT&amp;display_string=Audit&amp;VAR:KEY=HSBCTEJCDK&amp;VAR:QUERY=RkZfRUJJVERBX0lCKCdMVE1TJywzOTAzNSk=&amp;WINDOW=FIRST_POPUP&amp;HEIGHT=450&amp;WIDTH=450&amp;START_MA","XIMIZED=FALSE&amp;VAR:CALENDAR=US&amp;VAR:SYMBOL=05614P10&amp;VAR:INDEX=0"}</definedName>
    <definedName name="_3023__FDSAUDITLINK__" localSheetId="6" hidden="1">{"fdsup://directions/FAT Viewer?action=UPDATE&amp;creator=factset&amp;DYN_ARGS=TRUE&amp;DOC_NAME=FAT:FQL_AUDITING_CLIENT_TEMPLATE.FAT&amp;display_string=Audit&amp;VAR:KEY=HEXKJCHSTC&amp;VAR:QUERY=RkZfRUJJVERBX0lCKCdMVE1TJywzOTAzNCk=&amp;WINDOW=FIRST_POPUP&amp;HEIGHT=450&amp;WIDTH=450&amp;START_MA","XIMIZED=FALSE&amp;VAR:CALENDAR=US&amp;VAR:SYMBOL=05614P10&amp;VAR:INDEX=0"}</definedName>
    <definedName name="_3023__FDSAUDITLINK__" hidden="1">{"fdsup://directions/FAT Viewer?action=UPDATE&amp;creator=factset&amp;DYN_ARGS=TRUE&amp;DOC_NAME=FAT:FQL_AUDITING_CLIENT_TEMPLATE.FAT&amp;display_string=Audit&amp;VAR:KEY=HEXKJCHSTC&amp;VAR:QUERY=RkZfRUJJVERBX0lCKCdMVE1TJywzOTAzNCk=&amp;WINDOW=FIRST_POPUP&amp;HEIGHT=450&amp;WIDTH=450&amp;START_MA","XIMIZED=FALSE&amp;VAR:CALENDAR=US&amp;VAR:SYMBOL=05614P10&amp;VAR:INDEX=0"}</definedName>
    <definedName name="_3024__FDSAUDITLINK__" localSheetId="6" hidden="1">{"fdsup://directions/FAT Viewer?action=UPDATE&amp;creator=factset&amp;DYN_ARGS=TRUE&amp;DOC_NAME=FAT:FQL_AUDITING_CLIENT_TEMPLATE.FAT&amp;display_string=Audit&amp;VAR:KEY=LUBOJKHETQ&amp;VAR:QUERY=RkZfRUJJVERBX0lCKCdMVE1TJywzOTAzMyk=&amp;WINDOW=FIRST_POPUP&amp;HEIGHT=450&amp;WIDTH=450&amp;START_MA","XIMIZED=FALSE&amp;VAR:CALENDAR=US&amp;VAR:SYMBOL=05614P10&amp;VAR:INDEX=0"}</definedName>
    <definedName name="_3024__FDSAUDITLINK__" hidden="1">{"fdsup://directions/FAT Viewer?action=UPDATE&amp;creator=factset&amp;DYN_ARGS=TRUE&amp;DOC_NAME=FAT:FQL_AUDITING_CLIENT_TEMPLATE.FAT&amp;display_string=Audit&amp;VAR:KEY=LUBOJKHETQ&amp;VAR:QUERY=RkZfRUJJVERBX0lCKCdMVE1TJywzOTAzMyk=&amp;WINDOW=FIRST_POPUP&amp;HEIGHT=450&amp;WIDTH=450&amp;START_MA","XIMIZED=FALSE&amp;VAR:CALENDAR=US&amp;VAR:SYMBOL=05614P10&amp;VAR:INDEX=0"}</definedName>
    <definedName name="_3025__FDSAUDITLINK__" localSheetId="6" hidden="1">{"fdsup://directions/FAT Viewer?action=UPDATE&amp;creator=factset&amp;DYN_ARGS=TRUE&amp;DOC_NAME=FAT:FQL_AUDITING_CLIENT_TEMPLATE.FAT&amp;display_string=Audit&amp;VAR:KEY=HYDAJOBUFM&amp;VAR:QUERY=RkZfRUJJVERBX0lCKCdMVE1TJywzOTAzMik=&amp;WINDOW=FIRST_POPUP&amp;HEIGHT=450&amp;WIDTH=450&amp;START_MA","XIMIZED=FALSE&amp;VAR:CALENDAR=US&amp;VAR:SYMBOL=05614P10&amp;VAR:INDEX=0"}</definedName>
    <definedName name="_3025__FDSAUDITLINK__" hidden="1">{"fdsup://directions/FAT Viewer?action=UPDATE&amp;creator=factset&amp;DYN_ARGS=TRUE&amp;DOC_NAME=FAT:FQL_AUDITING_CLIENT_TEMPLATE.FAT&amp;display_string=Audit&amp;VAR:KEY=HYDAJOBUFM&amp;VAR:QUERY=RkZfRUJJVERBX0lCKCdMVE1TJywzOTAzMik=&amp;WINDOW=FIRST_POPUP&amp;HEIGHT=450&amp;WIDTH=450&amp;START_MA","XIMIZED=FALSE&amp;VAR:CALENDAR=US&amp;VAR:SYMBOL=05614P10&amp;VAR:INDEX=0"}</definedName>
    <definedName name="_3026__FDSAUDITLINK__" localSheetId="6" hidden="1">{"fdsup://directions/FAT Viewer?action=UPDATE&amp;creator=factset&amp;DYN_ARGS=TRUE&amp;DOC_NAME=FAT:FQL_AUDITING_CLIENT_TEMPLATE.FAT&amp;display_string=Audit&amp;VAR:KEY=HQBUPGLSXM&amp;VAR:QUERY=RkZfRUJJVERBX0lCKCdMVE1TJywzOTAzMSk=&amp;WINDOW=FIRST_POPUP&amp;HEIGHT=450&amp;WIDTH=450&amp;START_MA","XIMIZED=FALSE&amp;VAR:CALENDAR=US&amp;VAR:SYMBOL=05614P10&amp;VAR:INDEX=0"}</definedName>
    <definedName name="_3026__FDSAUDITLINK__" hidden="1">{"fdsup://directions/FAT Viewer?action=UPDATE&amp;creator=factset&amp;DYN_ARGS=TRUE&amp;DOC_NAME=FAT:FQL_AUDITING_CLIENT_TEMPLATE.FAT&amp;display_string=Audit&amp;VAR:KEY=HQBUPGLSXM&amp;VAR:QUERY=RkZfRUJJVERBX0lCKCdMVE1TJywzOTAzMSk=&amp;WINDOW=FIRST_POPUP&amp;HEIGHT=450&amp;WIDTH=450&amp;START_MA","XIMIZED=FALSE&amp;VAR:CALENDAR=US&amp;VAR:SYMBOL=05614P10&amp;VAR:INDEX=0"}</definedName>
    <definedName name="_3027__FDSAUDITLINK__" localSheetId="6" hidden="1">{"fdsup://directions/FAT Viewer?action=UPDATE&amp;creator=factset&amp;DYN_ARGS=TRUE&amp;DOC_NAME=FAT:FQL_AUDITING_CLIENT_TEMPLATE.FAT&amp;display_string=Audit&amp;VAR:KEY=LQLMPYXWRY&amp;VAR:QUERY=RkZfRUJJVERBX0lCKCdMVE1TJywzOTAzMCk=&amp;WINDOW=FIRST_POPUP&amp;HEIGHT=450&amp;WIDTH=450&amp;START_MA","XIMIZED=FALSE&amp;VAR:CALENDAR=US&amp;VAR:SYMBOL=05614P10&amp;VAR:INDEX=0"}</definedName>
    <definedName name="_3027__FDSAUDITLINK__" hidden="1">{"fdsup://directions/FAT Viewer?action=UPDATE&amp;creator=factset&amp;DYN_ARGS=TRUE&amp;DOC_NAME=FAT:FQL_AUDITING_CLIENT_TEMPLATE.FAT&amp;display_string=Audit&amp;VAR:KEY=LQLMPYXWRY&amp;VAR:QUERY=RkZfRUJJVERBX0lCKCdMVE1TJywzOTAzMCk=&amp;WINDOW=FIRST_POPUP&amp;HEIGHT=450&amp;WIDTH=450&amp;START_MA","XIMIZED=FALSE&amp;VAR:CALENDAR=US&amp;VAR:SYMBOL=05614P10&amp;VAR:INDEX=0"}</definedName>
    <definedName name="_3028__FDSAUDITLINK__" localSheetId="6" hidden="1">{"fdsup://directions/FAT Viewer?action=UPDATE&amp;creator=factset&amp;DYN_ARGS=TRUE&amp;DOC_NAME=FAT:FQL_AUDITING_CLIENT_TEMPLATE.FAT&amp;display_string=Audit&amp;VAR:KEY=DUVOJCXMRS&amp;VAR:QUERY=RkZfRUJJVERBX0lCKCdMVE1TJywzOTAyOSk=&amp;WINDOW=FIRST_POPUP&amp;HEIGHT=450&amp;WIDTH=450&amp;START_MA","XIMIZED=FALSE&amp;VAR:CALENDAR=US&amp;VAR:SYMBOL=05614P10&amp;VAR:INDEX=0"}</definedName>
    <definedName name="_3028__FDSAUDITLINK__" hidden="1">{"fdsup://directions/FAT Viewer?action=UPDATE&amp;creator=factset&amp;DYN_ARGS=TRUE&amp;DOC_NAME=FAT:FQL_AUDITING_CLIENT_TEMPLATE.FAT&amp;display_string=Audit&amp;VAR:KEY=DUVOJCXMRS&amp;VAR:QUERY=RkZfRUJJVERBX0lCKCdMVE1TJywzOTAyOSk=&amp;WINDOW=FIRST_POPUP&amp;HEIGHT=450&amp;WIDTH=450&amp;START_MA","XIMIZED=FALSE&amp;VAR:CALENDAR=US&amp;VAR:SYMBOL=05614P10&amp;VAR:INDEX=0"}</definedName>
    <definedName name="_3029__FDSAUDITLINK__" localSheetId="6" hidden="1">{"fdsup://directions/FAT Viewer?action=UPDATE&amp;creator=factset&amp;DYN_ARGS=TRUE&amp;DOC_NAME=FAT:FQL_AUDITING_CLIENT_TEMPLATE.FAT&amp;display_string=Audit&amp;VAR:KEY=TUFURGNCDA&amp;VAR:QUERY=RkZfRUJJVERBX0lCKCdMVE1TJywzOTAyOCk=&amp;WINDOW=FIRST_POPUP&amp;HEIGHT=450&amp;WIDTH=450&amp;START_MA","XIMIZED=FALSE&amp;VAR:CALENDAR=US&amp;VAR:SYMBOL=05614P10&amp;VAR:INDEX=0"}</definedName>
    <definedName name="_3029__FDSAUDITLINK__" hidden="1">{"fdsup://directions/FAT Viewer?action=UPDATE&amp;creator=factset&amp;DYN_ARGS=TRUE&amp;DOC_NAME=FAT:FQL_AUDITING_CLIENT_TEMPLATE.FAT&amp;display_string=Audit&amp;VAR:KEY=TUFURGNCDA&amp;VAR:QUERY=RkZfRUJJVERBX0lCKCdMVE1TJywzOTAyOCk=&amp;WINDOW=FIRST_POPUP&amp;HEIGHT=450&amp;WIDTH=450&amp;START_MA","XIMIZED=FALSE&amp;VAR:CALENDAR=US&amp;VAR:SYMBOL=05614P10&amp;VAR:INDEX=0"}</definedName>
    <definedName name="_303__FDSAUDITLINK__" localSheetId="6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3__FDSAUDITLINK__" hidden="1">{"fdsup://directions/FAT%20Viewer?VAR:PED=LTM&amp;VAR:AUDIT_MODE=SUMMARY&amp;VAR:PERIOD=FIXED&amp;VAR:AUDIT_ID=00000117&amp;VAR:DATE=20090424&amp;action=UPDATE&amp;creator=factset&amp;DOC_NAME=FAT:FMA_audit_SUMMARY.fat&amp;DISPLAY_STRING=Display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30__FDSAUDITLINK__" localSheetId="6" hidden="1">{"fdsup://directions/FAT Viewer?action=UPDATE&amp;creator=factset&amp;DYN_ARGS=TRUE&amp;DOC_NAME=FAT:FQL_AUDITING_CLIENT_TEMPLATE.FAT&amp;display_string=Audit&amp;VAR:KEY=TGJUDKZUVG&amp;VAR:QUERY=RkZfRUJJVERBX0lCKCdMVE1TJywzOTAyNyk=&amp;WINDOW=FIRST_POPUP&amp;HEIGHT=450&amp;WIDTH=450&amp;START_MA","XIMIZED=FALSE&amp;VAR:CALENDAR=US&amp;VAR:SYMBOL=05614P10&amp;VAR:INDEX=0"}</definedName>
    <definedName name="_3030__FDSAUDITLINK__" hidden="1">{"fdsup://directions/FAT Viewer?action=UPDATE&amp;creator=factset&amp;DYN_ARGS=TRUE&amp;DOC_NAME=FAT:FQL_AUDITING_CLIENT_TEMPLATE.FAT&amp;display_string=Audit&amp;VAR:KEY=TGJUDKZUVG&amp;VAR:QUERY=RkZfRUJJVERBX0lCKCdMVE1TJywzOTAyNyk=&amp;WINDOW=FIRST_POPUP&amp;HEIGHT=450&amp;WIDTH=450&amp;START_MA","XIMIZED=FALSE&amp;VAR:CALENDAR=US&amp;VAR:SYMBOL=05614P10&amp;VAR:INDEX=0"}</definedName>
    <definedName name="_3031__FDSAUDITLINK__" localSheetId="6" hidden="1">{"fdsup://directions/FAT Viewer?action=UPDATE&amp;creator=factset&amp;DYN_ARGS=TRUE&amp;DOC_NAME=FAT:FQL_AUDITING_CLIENT_TEMPLATE.FAT&amp;display_string=Audit&amp;VAR:KEY=RWHGNIXSHW&amp;VAR:QUERY=RkZfRUJJVERBX0lCKCdMVE1TJywzOTAyNik=&amp;WINDOW=FIRST_POPUP&amp;HEIGHT=450&amp;WIDTH=450&amp;START_MA","XIMIZED=FALSE&amp;VAR:CALENDAR=US&amp;VAR:SYMBOL=05614P10&amp;VAR:INDEX=0"}</definedName>
    <definedName name="_3031__FDSAUDITLINK__" hidden="1">{"fdsup://directions/FAT Viewer?action=UPDATE&amp;creator=factset&amp;DYN_ARGS=TRUE&amp;DOC_NAME=FAT:FQL_AUDITING_CLIENT_TEMPLATE.FAT&amp;display_string=Audit&amp;VAR:KEY=RWHGNIXSHW&amp;VAR:QUERY=RkZfRUJJVERBX0lCKCdMVE1TJywzOTAyNik=&amp;WINDOW=FIRST_POPUP&amp;HEIGHT=450&amp;WIDTH=450&amp;START_MA","XIMIZED=FALSE&amp;VAR:CALENDAR=US&amp;VAR:SYMBOL=05614P10&amp;VAR:INDEX=0"}</definedName>
    <definedName name="_3032__FDSAUDITLINK__" localSheetId="6" hidden="1">{"fdsup://directions/FAT Viewer?action=UPDATE&amp;creator=factset&amp;DYN_ARGS=TRUE&amp;DOC_NAME=FAT:FQL_AUDITING_CLIENT_TEMPLATE.FAT&amp;display_string=Audit&amp;VAR:KEY=VIVCBYLEJE&amp;VAR:QUERY=RkZfRUJJVERBX0lCKCdMVE1TJywzOTAyNSk=&amp;WINDOW=FIRST_POPUP&amp;HEIGHT=450&amp;WIDTH=450&amp;START_MA","XIMIZED=FALSE&amp;VAR:CALENDAR=US&amp;VAR:SYMBOL=05614P10&amp;VAR:INDEX=0"}</definedName>
    <definedName name="_3032__FDSAUDITLINK__" hidden="1">{"fdsup://directions/FAT Viewer?action=UPDATE&amp;creator=factset&amp;DYN_ARGS=TRUE&amp;DOC_NAME=FAT:FQL_AUDITING_CLIENT_TEMPLATE.FAT&amp;display_string=Audit&amp;VAR:KEY=VIVCBYLEJE&amp;VAR:QUERY=RkZfRUJJVERBX0lCKCdMVE1TJywzOTAyNSk=&amp;WINDOW=FIRST_POPUP&amp;HEIGHT=450&amp;WIDTH=450&amp;START_MA","XIMIZED=FALSE&amp;VAR:CALENDAR=US&amp;VAR:SYMBOL=05614P10&amp;VAR:INDEX=0"}</definedName>
    <definedName name="_3033__FDSAUDITLINK__" localSheetId="6" hidden="1">{"fdsup://directions/FAT Viewer?action=UPDATE&amp;creator=factset&amp;DYN_ARGS=TRUE&amp;DOC_NAME=FAT:FQL_AUDITING_CLIENT_TEMPLATE.FAT&amp;display_string=Audit&amp;VAR:KEY=XMZCVCJQBC&amp;VAR:QUERY=RkZfRUJJVERBX0lCKCdMVE1TJywzOTAyNCk=&amp;WINDOW=FIRST_POPUP&amp;HEIGHT=450&amp;WIDTH=450&amp;START_MA","XIMIZED=FALSE&amp;VAR:CALENDAR=US&amp;VAR:SYMBOL=05614P10&amp;VAR:INDEX=0"}</definedName>
    <definedName name="_3033__FDSAUDITLINK__" hidden="1">{"fdsup://directions/FAT Viewer?action=UPDATE&amp;creator=factset&amp;DYN_ARGS=TRUE&amp;DOC_NAME=FAT:FQL_AUDITING_CLIENT_TEMPLATE.FAT&amp;display_string=Audit&amp;VAR:KEY=XMZCVCJQBC&amp;VAR:QUERY=RkZfRUJJVERBX0lCKCdMVE1TJywzOTAyNCk=&amp;WINDOW=FIRST_POPUP&amp;HEIGHT=450&amp;WIDTH=450&amp;START_MA","XIMIZED=FALSE&amp;VAR:CALENDAR=US&amp;VAR:SYMBOL=05614P10&amp;VAR:INDEX=0"}</definedName>
    <definedName name="_3034__FDSAUDITLINK__" localSheetId="6" hidden="1">{"fdsup://directions/FAT Viewer?action=UPDATE&amp;creator=factset&amp;DYN_ARGS=TRUE&amp;DOC_NAME=FAT:FQL_AUDITING_CLIENT_TEMPLATE.FAT&amp;display_string=Audit&amp;VAR:KEY=NUNGBSBIHE&amp;VAR:QUERY=RkZfRUJJVERBX0lCKCdMVE1TJywzOTAyMyk=&amp;WINDOW=FIRST_POPUP&amp;HEIGHT=450&amp;WIDTH=450&amp;START_MA","XIMIZED=FALSE&amp;VAR:CALENDAR=US&amp;VAR:SYMBOL=05614P10&amp;VAR:INDEX=0"}</definedName>
    <definedName name="_3034__FDSAUDITLINK__" hidden="1">{"fdsup://directions/FAT Viewer?action=UPDATE&amp;creator=factset&amp;DYN_ARGS=TRUE&amp;DOC_NAME=FAT:FQL_AUDITING_CLIENT_TEMPLATE.FAT&amp;display_string=Audit&amp;VAR:KEY=NUNGBSBIHE&amp;VAR:QUERY=RkZfRUJJVERBX0lCKCdMVE1TJywzOTAyMyk=&amp;WINDOW=FIRST_POPUP&amp;HEIGHT=450&amp;WIDTH=450&amp;START_MA","XIMIZED=FALSE&amp;VAR:CALENDAR=US&amp;VAR:SYMBOL=05614P10&amp;VAR:INDEX=0"}</definedName>
    <definedName name="_3035__FDSAUDITLINK__" localSheetId="6" hidden="1">{"fdsup://directions/FAT Viewer?action=UPDATE&amp;creator=factset&amp;DYN_ARGS=TRUE&amp;DOC_NAME=FAT:FQL_AUDITING_CLIENT_TEMPLATE.FAT&amp;display_string=Audit&amp;VAR:KEY=ZSPMHSBARM&amp;VAR:QUERY=RkZfRUJJVERBX0lCKCdMVE1TJywzOTAyMik=&amp;WINDOW=FIRST_POPUP&amp;HEIGHT=450&amp;WIDTH=450&amp;START_MA","XIMIZED=FALSE&amp;VAR:CALENDAR=US&amp;VAR:SYMBOL=05614P10&amp;VAR:INDEX=0"}</definedName>
    <definedName name="_3035__FDSAUDITLINK__" hidden="1">{"fdsup://directions/FAT Viewer?action=UPDATE&amp;creator=factset&amp;DYN_ARGS=TRUE&amp;DOC_NAME=FAT:FQL_AUDITING_CLIENT_TEMPLATE.FAT&amp;display_string=Audit&amp;VAR:KEY=ZSPMHSBARM&amp;VAR:QUERY=RkZfRUJJVERBX0lCKCdMVE1TJywzOTAyMik=&amp;WINDOW=FIRST_POPUP&amp;HEIGHT=450&amp;WIDTH=450&amp;START_MA","XIMIZED=FALSE&amp;VAR:CALENDAR=US&amp;VAR:SYMBOL=05614P10&amp;VAR:INDEX=0"}</definedName>
    <definedName name="_3036__FDSAUDITLINK__" localSheetId="6" hidden="1">{"fdsup://directions/FAT Viewer?action=UPDATE&amp;creator=factset&amp;DYN_ARGS=TRUE&amp;DOC_NAME=FAT:FQL_AUDITING_CLIENT_TEMPLATE.FAT&amp;display_string=Audit&amp;VAR:KEY=BYFAZSBWTM&amp;VAR:QUERY=RkZfRUJJVERBX0lCKCdMVE1TJywzOTAyMSk=&amp;WINDOW=FIRST_POPUP&amp;HEIGHT=450&amp;WIDTH=450&amp;START_MA","XIMIZED=FALSE&amp;VAR:CALENDAR=US&amp;VAR:SYMBOL=05614P10&amp;VAR:INDEX=0"}</definedName>
    <definedName name="_3036__FDSAUDITLINK__" hidden="1">{"fdsup://directions/FAT Viewer?action=UPDATE&amp;creator=factset&amp;DYN_ARGS=TRUE&amp;DOC_NAME=FAT:FQL_AUDITING_CLIENT_TEMPLATE.FAT&amp;display_string=Audit&amp;VAR:KEY=BYFAZSBWTM&amp;VAR:QUERY=RkZfRUJJVERBX0lCKCdMVE1TJywzOTAyMSk=&amp;WINDOW=FIRST_POPUP&amp;HEIGHT=450&amp;WIDTH=450&amp;START_MA","XIMIZED=FALSE&amp;VAR:CALENDAR=US&amp;VAR:SYMBOL=05614P10&amp;VAR:INDEX=0"}</definedName>
    <definedName name="_3037__FDSAUDITLINK__" localSheetId="6" hidden="1">{"fdsup://directions/FAT Viewer?action=UPDATE&amp;creator=factset&amp;DYN_ARGS=TRUE&amp;DOC_NAME=FAT:FQL_AUDITING_CLIENT_TEMPLATE.FAT&amp;display_string=Audit&amp;VAR:KEY=DYPARMXGPU&amp;VAR:QUERY=RkZfRUJJVERBX0lCKCdMVE1TJywzOTAyMCk=&amp;WINDOW=FIRST_POPUP&amp;HEIGHT=450&amp;WIDTH=450&amp;START_MA","XIMIZED=FALSE&amp;VAR:CALENDAR=US&amp;VAR:SYMBOL=05614P10&amp;VAR:INDEX=0"}</definedName>
    <definedName name="_3037__FDSAUDITLINK__" hidden="1">{"fdsup://directions/FAT Viewer?action=UPDATE&amp;creator=factset&amp;DYN_ARGS=TRUE&amp;DOC_NAME=FAT:FQL_AUDITING_CLIENT_TEMPLATE.FAT&amp;display_string=Audit&amp;VAR:KEY=DYPARMXGPU&amp;VAR:QUERY=RkZfRUJJVERBX0lCKCdMVE1TJywzOTAyMCk=&amp;WINDOW=FIRST_POPUP&amp;HEIGHT=450&amp;WIDTH=450&amp;START_MA","XIMIZED=FALSE&amp;VAR:CALENDAR=US&amp;VAR:SYMBOL=05614P10&amp;VAR:INDEX=0"}</definedName>
    <definedName name="_3038__FDSAUDITLINK__" localSheetId="6" hidden="1">{"fdsup://directions/FAT Viewer?action=UPDATE&amp;creator=factset&amp;DYN_ARGS=TRUE&amp;DOC_NAME=FAT:FQL_AUDITING_CLIENT_TEMPLATE.FAT&amp;display_string=Audit&amp;VAR:KEY=XETONSNALM&amp;VAR:QUERY=RkZfRUJJVERBX0lCKCdMVE1TJywzOTAxOSk=&amp;WINDOW=FIRST_POPUP&amp;HEIGHT=450&amp;WIDTH=450&amp;START_MA","XIMIZED=FALSE&amp;VAR:CALENDAR=US&amp;VAR:SYMBOL=05614P10&amp;VAR:INDEX=0"}</definedName>
    <definedName name="_3038__FDSAUDITLINK__" hidden="1">{"fdsup://directions/FAT Viewer?action=UPDATE&amp;creator=factset&amp;DYN_ARGS=TRUE&amp;DOC_NAME=FAT:FQL_AUDITING_CLIENT_TEMPLATE.FAT&amp;display_string=Audit&amp;VAR:KEY=XETONSNALM&amp;VAR:QUERY=RkZfRUJJVERBX0lCKCdMVE1TJywzOTAxOSk=&amp;WINDOW=FIRST_POPUP&amp;HEIGHT=450&amp;WIDTH=450&amp;START_MA","XIMIZED=FALSE&amp;VAR:CALENDAR=US&amp;VAR:SYMBOL=05614P10&amp;VAR:INDEX=0"}</definedName>
    <definedName name="_3039__FDSAUDITLINK__" localSheetId="6" hidden="1">{"fdsup://directions/FAT Viewer?action=UPDATE&amp;creator=factset&amp;DYN_ARGS=TRUE&amp;DOC_NAME=FAT:FQL_AUDITING_CLIENT_TEMPLATE.FAT&amp;display_string=Audit&amp;VAR:KEY=TKJSTGTKXY&amp;VAR:QUERY=RkZfRUJJVERBX0lCKCdMVE1TJywzOTAxOCk=&amp;WINDOW=FIRST_POPUP&amp;HEIGHT=450&amp;WIDTH=450&amp;START_MA","XIMIZED=FALSE&amp;VAR:CALENDAR=US&amp;VAR:SYMBOL=05614P10&amp;VAR:INDEX=0"}</definedName>
    <definedName name="_3039__FDSAUDITLINK__" hidden="1">{"fdsup://directions/FAT Viewer?action=UPDATE&amp;creator=factset&amp;DYN_ARGS=TRUE&amp;DOC_NAME=FAT:FQL_AUDITING_CLIENT_TEMPLATE.FAT&amp;display_string=Audit&amp;VAR:KEY=TKJSTGTKXY&amp;VAR:QUERY=RkZfRUJJVERBX0lCKCdMVE1TJywzOTAxOCk=&amp;WINDOW=FIRST_POPUP&amp;HEIGHT=450&amp;WIDTH=450&amp;START_MA","XIMIZED=FALSE&amp;VAR:CALENDAR=US&amp;VAR:SYMBOL=05614P10&amp;VAR:INDEX=0"}</definedName>
    <definedName name="_304__FDSAUDITLINK__" localSheetId="6" hidden="1">{"fdsup://directions/FAT%20Viewer?VAR:PED=LTM&amp;VAR:AUDIT_MODE=SUMMARY&amp;VAR:PERIOD=FIXED&amp;VAR:AUDIT_ID=00000117&amp;VAR:DATE=20090423&amp;action=UPDATE&amp;creator=factset&amp;DOC_NAME=FAT:FMA_audit_SUMMARY.fat&amp;DISPLAY_STRING=Display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4__FDSAUDITLINK__" hidden="1">{"fdsup://directions/FAT%20Viewer?VAR:PED=LTM&amp;VAR:AUDIT_MODE=SUMMARY&amp;VAR:PERIOD=FIXED&amp;VAR:AUDIT_ID=00000117&amp;VAR:DATE=20090423&amp;action=UPDATE&amp;creator=factset&amp;DOC_NAME=FAT:FMA_audit_SUMMARY.fat&amp;DISPLAY_STRING=Display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40__FDSAUDITLINK__" localSheetId="6" hidden="1">{"fdsup://directions/FAT Viewer?action=UPDATE&amp;creator=factset&amp;DYN_ARGS=TRUE&amp;DOC_NAME=FAT:FQL_AUDITING_CLIENT_TEMPLATE.FAT&amp;display_string=Audit&amp;VAR:KEY=BCJAXUVEPQ&amp;VAR:QUERY=RkZfRUJJVERBX0lCKCdMVE1TJywzOTAxNyk=&amp;WINDOW=FIRST_POPUP&amp;HEIGHT=450&amp;WIDTH=450&amp;START_MA","XIMIZED=FALSE&amp;VAR:CALENDAR=US&amp;VAR:SYMBOL=05614P10&amp;VAR:INDEX=0"}</definedName>
    <definedName name="_3040__FDSAUDITLINK__" hidden="1">{"fdsup://directions/FAT Viewer?action=UPDATE&amp;creator=factset&amp;DYN_ARGS=TRUE&amp;DOC_NAME=FAT:FQL_AUDITING_CLIENT_TEMPLATE.FAT&amp;display_string=Audit&amp;VAR:KEY=BCJAXUVEPQ&amp;VAR:QUERY=RkZfRUJJVERBX0lCKCdMVE1TJywzOTAxNyk=&amp;WINDOW=FIRST_POPUP&amp;HEIGHT=450&amp;WIDTH=450&amp;START_MA","XIMIZED=FALSE&amp;VAR:CALENDAR=US&amp;VAR:SYMBOL=05614P10&amp;VAR:INDEX=0"}</definedName>
    <definedName name="_3041__FDSAUDITLINK__" localSheetId="6" hidden="1">{"fdsup://directions/FAT Viewer?action=UPDATE&amp;creator=factset&amp;DYN_ARGS=TRUE&amp;DOC_NAME=FAT:FQL_AUDITING_CLIENT_TEMPLATE.FAT&amp;display_string=Audit&amp;VAR:KEY=JOTEFQTIXK&amp;VAR:QUERY=RkZfRUJJVERBX0lCKCdMVE1TJywzOTAxNik=&amp;WINDOW=FIRST_POPUP&amp;HEIGHT=450&amp;WIDTH=450&amp;START_MA","XIMIZED=FALSE&amp;VAR:CALENDAR=US&amp;VAR:SYMBOL=05614P10&amp;VAR:INDEX=0"}</definedName>
    <definedName name="_3041__FDSAUDITLINK__" hidden="1">{"fdsup://directions/FAT Viewer?action=UPDATE&amp;creator=factset&amp;DYN_ARGS=TRUE&amp;DOC_NAME=FAT:FQL_AUDITING_CLIENT_TEMPLATE.FAT&amp;display_string=Audit&amp;VAR:KEY=JOTEFQTIXK&amp;VAR:QUERY=RkZfRUJJVERBX0lCKCdMVE1TJywzOTAxNik=&amp;WINDOW=FIRST_POPUP&amp;HEIGHT=450&amp;WIDTH=450&amp;START_MA","XIMIZED=FALSE&amp;VAR:CALENDAR=US&amp;VAR:SYMBOL=05614P10&amp;VAR:INDEX=0"}</definedName>
    <definedName name="_3042__FDSAUDITLINK__" localSheetId="6" hidden="1">{"fdsup://directions/FAT Viewer?action=UPDATE&amp;creator=factset&amp;DYN_ARGS=TRUE&amp;DOC_NAME=FAT:FQL_AUDITING_CLIENT_TEMPLATE.FAT&amp;display_string=Audit&amp;VAR:KEY=JQPCFSBQFC&amp;VAR:QUERY=RkZfRUJJVERBX0lCKCdMVE1TJywzOTAxNSk=&amp;WINDOW=FIRST_POPUP&amp;HEIGHT=450&amp;WIDTH=450&amp;START_MA","XIMIZED=FALSE&amp;VAR:CALENDAR=US&amp;VAR:SYMBOL=05614P10&amp;VAR:INDEX=0"}</definedName>
    <definedName name="_3042__FDSAUDITLINK__" hidden="1">{"fdsup://directions/FAT Viewer?action=UPDATE&amp;creator=factset&amp;DYN_ARGS=TRUE&amp;DOC_NAME=FAT:FQL_AUDITING_CLIENT_TEMPLATE.FAT&amp;display_string=Audit&amp;VAR:KEY=JQPCFSBQFC&amp;VAR:QUERY=RkZfRUJJVERBX0lCKCdMVE1TJywzOTAxNSk=&amp;WINDOW=FIRST_POPUP&amp;HEIGHT=450&amp;WIDTH=450&amp;START_MA","XIMIZED=FALSE&amp;VAR:CALENDAR=US&amp;VAR:SYMBOL=05614P10&amp;VAR:INDEX=0"}</definedName>
    <definedName name="_3043__FDSAUDITLINK__" localSheetId="6" hidden="1">{"fdsup://directions/FAT Viewer?action=UPDATE&amp;creator=factset&amp;DYN_ARGS=TRUE&amp;DOC_NAME=FAT:FQL_AUDITING_CLIENT_TEMPLATE.FAT&amp;display_string=Audit&amp;VAR:KEY=NSLSVITQFC&amp;VAR:QUERY=RkZfRUJJVERBX0lCKCdMVE1TJywzOTAxNCk=&amp;WINDOW=FIRST_POPUP&amp;HEIGHT=450&amp;WIDTH=450&amp;START_MA","XIMIZED=FALSE&amp;VAR:CALENDAR=US&amp;VAR:SYMBOL=05614P10&amp;VAR:INDEX=0"}</definedName>
    <definedName name="_3043__FDSAUDITLINK__" hidden="1">{"fdsup://directions/FAT Viewer?action=UPDATE&amp;creator=factset&amp;DYN_ARGS=TRUE&amp;DOC_NAME=FAT:FQL_AUDITING_CLIENT_TEMPLATE.FAT&amp;display_string=Audit&amp;VAR:KEY=NSLSVITQFC&amp;VAR:QUERY=RkZfRUJJVERBX0lCKCdMVE1TJywzOTAxNCk=&amp;WINDOW=FIRST_POPUP&amp;HEIGHT=450&amp;WIDTH=450&amp;START_MA","XIMIZED=FALSE&amp;VAR:CALENDAR=US&amp;VAR:SYMBOL=05614P10&amp;VAR:INDEX=0"}</definedName>
    <definedName name="_3044__FDSAUDITLINK__" localSheetId="6" hidden="1">{"fdsup://directions/FAT Viewer?action=UPDATE&amp;creator=factset&amp;DYN_ARGS=TRUE&amp;DOC_NAME=FAT:FQL_AUDITING_CLIENT_TEMPLATE.FAT&amp;display_string=Audit&amp;VAR:KEY=VEHUTYRMRG&amp;VAR:QUERY=RkZfRUJJVERBX0lCKCdMVE1TJywzOTAxMyk=&amp;WINDOW=FIRST_POPUP&amp;HEIGHT=450&amp;WIDTH=450&amp;START_MA","XIMIZED=FALSE&amp;VAR:CALENDAR=US&amp;VAR:SYMBOL=05614P10&amp;VAR:INDEX=0"}</definedName>
    <definedName name="_3044__FDSAUDITLINK__" hidden="1">{"fdsup://directions/FAT Viewer?action=UPDATE&amp;creator=factset&amp;DYN_ARGS=TRUE&amp;DOC_NAME=FAT:FQL_AUDITING_CLIENT_TEMPLATE.FAT&amp;display_string=Audit&amp;VAR:KEY=VEHUTYRMRG&amp;VAR:QUERY=RkZfRUJJVERBX0lCKCdMVE1TJywzOTAxMyk=&amp;WINDOW=FIRST_POPUP&amp;HEIGHT=450&amp;WIDTH=450&amp;START_MA","XIMIZED=FALSE&amp;VAR:CALENDAR=US&amp;VAR:SYMBOL=05614P10&amp;VAR:INDEX=0"}</definedName>
    <definedName name="_3045__FDSAUDITLINK__" localSheetId="6" hidden="1">{"fdsup://directions/FAT Viewer?action=UPDATE&amp;creator=factset&amp;DYN_ARGS=TRUE&amp;DOC_NAME=FAT:FQL_AUDITING_CLIENT_TEMPLATE.FAT&amp;display_string=Audit&amp;VAR:KEY=ZCLYTGDONY&amp;VAR:QUERY=RkZfRUJJVERBX0lCKCdMVE1TJywzOTAxMik=&amp;WINDOW=FIRST_POPUP&amp;HEIGHT=450&amp;WIDTH=450&amp;START_MA","XIMIZED=FALSE&amp;VAR:CALENDAR=US&amp;VAR:SYMBOL=05614P10&amp;VAR:INDEX=0"}</definedName>
    <definedName name="_3045__FDSAUDITLINK__" hidden="1">{"fdsup://directions/FAT Viewer?action=UPDATE&amp;creator=factset&amp;DYN_ARGS=TRUE&amp;DOC_NAME=FAT:FQL_AUDITING_CLIENT_TEMPLATE.FAT&amp;display_string=Audit&amp;VAR:KEY=ZCLYTGDONY&amp;VAR:QUERY=RkZfRUJJVERBX0lCKCdMVE1TJywzOTAxMik=&amp;WINDOW=FIRST_POPUP&amp;HEIGHT=450&amp;WIDTH=450&amp;START_MA","XIMIZED=FALSE&amp;VAR:CALENDAR=US&amp;VAR:SYMBOL=05614P10&amp;VAR:INDEX=0"}</definedName>
    <definedName name="_3046__FDSAUDITLINK__" localSheetId="6" hidden="1">{"fdsup://directions/FAT Viewer?action=UPDATE&amp;creator=factset&amp;DYN_ARGS=TRUE&amp;DOC_NAME=FAT:FQL_AUDITING_CLIENT_TEMPLATE.FAT&amp;display_string=Audit&amp;VAR:KEY=HQJCXARAPI&amp;VAR:QUERY=RkZfRUJJVERBX0lCKCdMVE1TJywzOTAxMSk=&amp;WINDOW=FIRST_POPUP&amp;HEIGHT=450&amp;WIDTH=450&amp;START_MA","XIMIZED=FALSE&amp;VAR:CALENDAR=US&amp;VAR:SYMBOL=05614P10&amp;VAR:INDEX=0"}</definedName>
    <definedName name="_3046__FDSAUDITLINK__" hidden="1">{"fdsup://directions/FAT Viewer?action=UPDATE&amp;creator=factset&amp;DYN_ARGS=TRUE&amp;DOC_NAME=FAT:FQL_AUDITING_CLIENT_TEMPLATE.FAT&amp;display_string=Audit&amp;VAR:KEY=HQJCXARAPI&amp;VAR:QUERY=RkZfRUJJVERBX0lCKCdMVE1TJywzOTAxMSk=&amp;WINDOW=FIRST_POPUP&amp;HEIGHT=450&amp;WIDTH=450&amp;START_MA","XIMIZED=FALSE&amp;VAR:CALENDAR=US&amp;VAR:SYMBOL=05614P10&amp;VAR:INDEX=0"}</definedName>
    <definedName name="_3047__FDSAUDITLINK__" localSheetId="6" hidden="1">{"fdsup://directions/FAT Viewer?action=UPDATE&amp;creator=factset&amp;DYN_ARGS=TRUE&amp;DOC_NAME=FAT:FQL_AUDITING_CLIENT_TEMPLATE.FAT&amp;display_string=Audit&amp;VAR:KEY=NGJSTITMPG&amp;VAR:QUERY=RkZfRUJJVERBX0lCKCdMVE1TJywzOTAxMCk=&amp;WINDOW=FIRST_POPUP&amp;HEIGHT=450&amp;WIDTH=450&amp;START_MA","XIMIZED=FALSE&amp;VAR:CALENDAR=US&amp;VAR:SYMBOL=05614P10&amp;VAR:INDEX=0"}</definedName>
    <definedName name="_3047__FDSAUDITLINK__" hidden="1">{"fdsup://directions/FAT Viewer?action=UPDATE&amp;creator=factset&amp;DYN_ARGS=TRUE&amp;DOC_NAME=FAT:FQL_AUDITING_CLIENT_TEMPLATE.FAT&amp;display_string=Audit&amp;VAR:KEY=NGJSTITMPG&amp;VAR:QUERY=RkZfRUJJVERBX0lCKCdMVE1TJywzOTAxMCk=&amp;WINDOW=FIRST_POPUP&amp;HEIGHT=450&amp;WIDTH=450&amp;START_MA","XIMIZED=FALSE&amp;VAR:CALENDAR=US&amp;VAR:SYMBOL=05614P10&amp;VAR:INDEX=0"}</definedName>
    <definedName name="_3048__FDSAUDITLINK__" localSheetId="6" hidden="1">{"fdsup://directions/FAT Viewer?action=UPDATE&amp;creator=factset&amp;DYN_ARGS=TRUE&amp;DOC_NAME=FAT:FQL_AUDITING_CLIENT_TEMPLATE.FAT&amp;display_string=Audit&amp;VAR:KEY=DUTIBELGLU&amp;VAR:QUERY=RkZfRUJJVERBX0lCKCdMVE1TJywzOTAwOSk=&amp;WINDOW=FIRST_POPUP&amp;HEIGHT=450&amp;WIDTH=450&amp;START_MA","XIMIZED=FALSE&amp;VAR:CALENDAR=US&amp;VAR:SYMBOL=05614P10&amp;VAR:INDEX=0"}</definedName>
    <definedName name="_3048__FDSAUDITLINK__" hidden="1">{"fdsup://directions/FAT Viewer?action=UPDATE&amp;creator=factset&amp;DYN_ARGS=TRUE&amp;DOC_NAME=FAT:FQL_AUDITING_CLIENT_TEMPLATE.FAT&amp;display_string=Audit&amp;VAR:KEY=DUTIBELGLU&amp;VAR:QUERY=RkZfRUJJVERBX0lCKCdMVE1TJywzOTAwOSk=&amp;WINDOW=FIRST_POPUP&amp;HEIGHT=450&amp;WIDTH=450&amp;START_MA","XIMIZED=FALSE&amp;VAR:CALENDAR=US&amp;VAR:SYMBOL=05614P10&amp;VAR:INDEX=0"}</definedName>
    <definedName name="_3049__FDSAUDITLINK__" localSheetId="6" hidden="1">{"fdsup://directions/FAT Viewer?action=UPDATE&amp;creator=factset&amp;DYN_ARGS=TRUE&amp;DOC_NAME=FAT:FQL_AUDITING_CLIENT_TEMPLATE.FAT&amp;display_string=Audit&amp;VAR:KEY=NCJSNUHURW&amp;VAR:QUERY=RkZfRUJJVERBX0lCKCdMVE1TJywzOTAwOCk=&amp;WINDOW=FIRST_POPUP&amp;HEIGHT=450&amp;WIDTH=450&amp;START_MA","XIMIZED=FALSE&amp;VAR:CALENDAR=US&amp;VAR:SYMBOL=05614P10&amp;VAR:INDEX=0"}</definedName>
    <definedName name="_3049__FDSAUDITLINK__" hidden="1">{"fdsup://directions/FAT Viewer?action=UPDATE&amp;creator=factset&amp;DYN_ARGS=TRUE&amp;DOC_NAME=FAT:FQL_AUDITING_CLIENT_TEMPLATE.FAT&amp;display_string=Audit&amp;VAR:KEY=NCJSNUHURW&amp;VAR:QUERY=RkZfRUJJVERBX0lCKCdMVE1TJywzOTAwOCk=&amp;WINDOW=FIRST_POPUP&amp;HEIGHT=450&amp;WIDTH=450&amp;START_MA","XIMIZED=FALSE&amp;VAR:CALENDAR=US&amp;VAR:SYMBOL=05614P10&amp;VAR:INDEX=0"}</definedName>
    <definedName name="_305__FDSAUDITLINK__" localSheetId="6" hidden="1">{"fdsup://directions/FAT%20Viewer?VAR:PED=LTM&amp;VAR:AUDIT_MODE=SUMMARY&amp;VAR:PERIOD=FIXED&amp;VAR:AUDIT_ID=00000117&amp;VAR:DATE=20090422&amp;action=UPDATE&amp;creator=factset&amp;DOC_NAME=FAT:FMA_audit_SUMMARY.fat&amp;DISPLAY_STRING=Display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5__FDSAUDITLINK__" hidden="1">{"fdsup://directions/FAT%20Viewer?VAR:PED=LTM&amp;VAR:AUDIT_MODE=SUMMARY&amp;VAR:PERIOD=FIXED&amp;VAR:AUDIT_ID=00000117&amp;VAR:DATE=20090422&amp;action=UPDATE&amp;creator=factset&amp;DOC_NAME=FAT:FMA_audit_SUMMARY.fat&amp;DISPLAY_STRING=Display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50__FDSAUDITLINK__" localSheetId="6" hidden="1">{"fdsup://directions/FAT Viewer?action=UPDATE&amp;creator=factset&amp;DYN_ARGS=TRUE&amp;DOC_NAME=FAT:FQL_AUDITING_CLIENT_TEMPLATE.FAT&amp;display_string=Audit&amp;VAR:KEY=TOJARAJYRE&amp;VAR:QUERY=RkZfRUJJVERBX0lCKCdMVE1TJywzOTAwNyk=&amp;WINDOW=FIRST_POPUP&amp;HEIGHT=450&amp;WIDTH=450&amp;START_MA","XIMIZED=FALSE&amp;VAR:CALENDAR=US&amp;VAR:SYMBOL=05614P10&amp;VAR:INDEX=0"}</definedName>
    <definedName name="_3050__FDSAUDITLINK__" hidden="1">{"fdsup://directions/FAT Viewer?action=UPDATE&amp;creator=factset&amp;DYN_ARGS=TRUE&amp;DOC_NAME=FAT:FQL_AUDITING_CLIENT_TEMPLATE.FAT&amp;display_string=Audit&amp;VAR:KEY=TOJARAJYRE&amp;VAR:QUERY=RkZfRUJJVERBX0lCKCdMVE1TJywzOTAwNyk=&amp;WINDOW=FIRST_POPUP&amp;HEIGHT=450&amp;WIDTH=450&amp;START_MA","XIMIZED=FALSE&amp;VAR:CALENDAR=US&amp;VAR:SYMBOL=05614P10&amp;VAR:INDEX=0"}</definedName>
    <definedName name="_3051__FDSAUDITLINK__" localSheetId="6" hidden="1">{"fdsup://directions/FAT Viewer?action=UPDATE&amp;creator=factset&amp;DYN_ARGS=TRUE&amp;DOC_NAME=FAT:FQL_AUDITING_CLIENT_TEMPLATE.FAT&amp;display_string=Audit&amp;VAR:KEY=XCLITMFAVM&amp;VAR:QUERY=RkZfRUJJVERBX0lCKCdMVE1TJywzOTAwNik=&amp;WINDOW=FIRST_POPUP&amp;HEIGHT=450&amp;WIDTH=450&amp;START_MA","XIMIZED=FALSE&amp;VAR:CALENDAR=US&amp;VAR:SYMBOL=05614P10&amp;VAR:INDEX=0"}</definedName>
    <definedName name="_3051__FDSAUDITLINK__" hidden="1">{"fdsup://directions/FAT Viewer?action=UPDATE&amp;creator=factset&amp;DYN_ARGS=TRUE&amp;DOC_NAME=FAT:FQL_AUDITING_CLIENT_TEMPLATE.FAT&amp;display_string=Audit&amp;VAR:KEY=XCLITMFAVM&amp;VAR:QUERY=RkZfRUJJVERBX0lCKCdMVE1TJywzOTAwNik=&amp;WINDOW=FIRST_POPUP&amp;HEIGHT=450&amp;WIDTH=450&amp;START_MA","XIMIZED=FALSE&amp;VAR:CALENDAR=US&amp;VAR:SYMBOL=05614P10&amp;VAR:INDEX=0"}</definedName>
    <definedName name="_3052__FDSAUDITLINK__" localSheetId="6" hidden="1">{"fdsup://directions/FAT Viewer?action=UPDATE&amp;creator=factset&amp;DYN_ARGS=TRUE&amp;DOC_NAME=FAT:FQL_AUDITING_CLIENT_TEMPLATE.FAT&amp;display_string=Audit&amp;VAR:KEY=HGJGTAHKBQ&amp;VAR:QUERY=RkZfRUJJVERBX0lCKCdMVE1TJywzOTAwNSk=&amp;WINDOW=FIRST_POPUP&amp;HEIGHT=450&amp;WIDTH=450&amp;START_MA","XIMIZED=FALSE&amp;VAR:CALENDAR=US&amp;VAR:SYMBOL=05614P10&amp;VAR:INDEX=0"}</definedName>
    <definedName name="_3052__FDSAUDITLINK__" hidden="1">{"fdsup://directions/FAT Viewer?action=UPDATE&amp;creator=factset&amp;DYN_ARGS=TRUE&amp;DOC_NAME=FAT:FQL_AUDITING_CLIENT_TEMPLATE.FAT&amp;display_string=Audit&amp;VAR:KEY=HGJGTAHKBQ&amp;VAR:QUERY=RkZfRUJJVERBX0lCKCdMVE1TJywzOTAwNSk=&amp;WINDOW=FIRST_POPUP&amp;HEIGHT=450&amp;WIDTH=450&amp;START_MA","XIMIZED=FALSE&amp;VAR:CALENDAR=US&amp;VAR:SYMBOL=05614P10&amp;VAR:INDEX=0"}</definedName>
    <definedName name="_3053__FDSAUDITLINK__" localSheetId="6" hidden="1">{"fdsup://directions/FAT Viewer?action=UPDATE&amp;creator=factset&amp;DYN_ARGS=TRUE&amp;DOC_NAME=FAT:FQL_AUDITING_CLIENT_TEMPLATE.FAT&amp;display_string=Audit&amp;VAR:KEY=FQZYPINADY&amp;VAR:QUERY=RkZfRUJJVERBX0lCKCdMVE1TJywzOTAwNCk=&amp;WINDOW=FIRST_POPUP&amp;HEIGHT=450&amp;WIDTH=450&amp;START_MA","XIMIZED=FALSE&amp;VAR:CALENDAR=US&amp;VAR:SYMBOL=05614P10&amp;VAR:INDEX=0"}</definedName>
    <definedName name="_3053__FDSAUDITLINK__" hidden="1">{"fdsup://directions/FAT Viewer?action=UPDATE&amp;creator=factset&amp;DYN_ARGS=TRUE&amp;DOC_NAME=FAT:FQL_AUDITING_CLIENT_TEMPLATE.FAT&amp;display_string=Audit&amp;VAR:KEY=FQZYPINADY&amp;VAR:QUERY=RkZfRUJJVERBX0lCKCdMVE1TJywzOTAwNCk=&amp;WINDOW=FIRST_POPUP&amp;HEIGHT=450&amp;WIDTH=450&amp;START_MA","XIMIZED=FALSE&amp;VAR:CALENDAR=US&amp;VAR:SYMBOL=05614P10&amp;VAR:INDEX=0"}</definedName>
    <definedName name="_3054__FDSAUDITLINK__" localSheetId="6" hidden="1">{"fdsup://directions/FAT Viewer?action=UPDATE&amp;creator=factset&amp;DYN_ARGS=TRUE&amp;DOC_NAME=FAT:FQL_AUDITING_CLIENT_TEMPLATE.FAT&amp;display_string=Audit&amp;VAR:KEY=ZAPSLILANY&amp;VAR:QUERY=RkZfRUJJVERBX0lCKCdMVE1TJywzOTAwMyk=&amp;WINDOW=FIRST_POPUP&amp;HEIGHT=450&amp;WIDTH=450&amp;START_MA","XIMIZED=FALSE&amp;VAR:CALENDAR=US&amp;VAR:SYMBOL=05614P10&amp;VAR:INDEX=0"}</definedName>
    <definedName name="_3054__FDSAUDITLINK__" hidden="1">{"fdsup://directions/FAT Viewer?action=UPDATE&amp;creator=factset&amp;DYN_ARGS=TRUE&amp;DOC_NAME=FAT:FQL_AUDITING_CLIENT_TEMPLATE.FAT&amp;display_string=Audit&amp;VAR:KEY=ZAPSLILANY&amp;VAR:QUERY=RkZfRUJJVERBX0lCKCdMVE1TJywzOTAwMyk=&amp;WINDOW=FIRST_POPUP&amp;HEIGHT=450&amp;WIDTH=450&amp;START_MA","XIMIZED=FALSE&amp;VAR:CALENDAR=US&amp;VAR:SYMBOL=05614P10&amp;VAR:INDEX=0"}</definedName>
    <definedName name="_3055__FDSAUDITLINK__" localSheetId="6" hidden="1">{"fdsup://directions/FAT Viewer?action=UPDATE&amp;creator=factset&amp;DYN_ARGS=TRUE&amp;DOC_NAME=FAT:FQL_AUDITING_CLIENT_TEMPLATE.FAT&amp;display_string=Audit&amp;VAR:KEY=VEFUNCHKTA&amp;VAR:QUERY=RkZfRUJJVERBX0lCKCdMVE1TJywzOTAwMik=&amp;WINDOW=FIRST_POPUP&amp;HEIGHT=450&amp;WIDTH=450&amp;START_MA","XIMIZED=FALSE&amp;VAR:CALENDAR=US&amp;VAR:SYMBOL=05614P10&amp;VAR:INDEX=0"}</definedName>
    <definedName name="_3055__FDSAUDITLINK__" hidden="1">{"fdsup://directions/FAT Viewer?action=UPDATE&amp;creator=factset&amp;DYN_ARGS=TRUE&amp;DOC_NAME=FAT:FQL_AUDITING_CLIENT_TEMPLATE.FAT&amp;display_string=Audit&amp;VAR:KEY=VEFUNCHKTA&amp;VAR:QUERY=RkZfRUJJVERBX0lCKCdMVE1TJywzOTAwMik=&amp;WINDOW=FIRST_POPUP&amp;HEIGHT=450&amp;WIDTH=450&amp;START_MA","XIMIZED=FALSE&amp;VAR:CALENDAR=US&amp;VAR:SYMBOL=05614P10&amp;VAR:INDEX=0"}</definedName>
    <definedName name="_3056__FDSAUDITLINK__" localSheetId="6" hidden="1">{"fdsup://directions/FAT Viewer?action=UPDATE&amp;creator=factset&amp;DYN_ARGS=TRUE&amp;DOC_NAME=FAT:FQL_AUDITING_CLIENT_TEMPLATE.FAT&amp;display_string=Audit&amp;VAR:KEY=BYNKFWJYLO&amp;VAR:QUERY=RkZfRUJJVERBX0lCKCdMVE1TJywzOTAwMSk=&amp;WINDOW=FIRST_POPUP&amp;HEIGHT=450&amp;WIDTH=450&amp;START_MA","XIMIZED=FALSE&amp;VAR:CALENDAR=US&amp;VAR:SYMBOL=05614P10&amp;VAR:INDEX=0"}</definedName>
    <definedName name="_3056__FDSAUDITLINK__" hidden="1">{"fdsup://directions/FAT Viewer?action=UPDATE&amp;creator=factset&amp;DYN_ARGS=TRUE&amp;DOC_NAME=FAT:FQL_AUDITING_CLIENT_TEMPLATE.FAT&amp;display_string=Audit&amp;VAR:KEY=BYNKFWJYLO&amp;VAR:QUERY=RkZfRUJJVERBX0lCKCdMVE1TJywzOTAwMSk=&amp;WINDOW=FIRST_POPUP&amp;HEIGHT=450&amp;WIDTH=450&amp;START_MA","XIMIZED=FALSE&amp;VAR:CALENDAR=US&amp;VAR:SYMBOL=05614P10&amp;VAR:INDEX=0"}</definedName>
    <definedName name="_3057__FDSAUDITLINK__" localSheetId="6" hidden="1">{"fdsup://directions/FAT Viewer?action=UPDATE&amp;creator=factset&amp;DYN_ARGS=TRUE&amp;DOC_NAME=FAT:FQL_AUDITING_CLIENT_TEMPLATE.FAT&amp;display_string=Audit&amp;VAR:KEY=BAHWLGNKVW&amp;VAR:QUERY=RkZfRUJJVERBX0lCKCdMVE1TJywzOTAwMCk=&amp;WINDOW=FIRST_POPUP&amp;HEIGHT=450&amp;WIDTH=450&amp;START_MA","XIMIZED=FALSE&amp;VAR:CALENDAR=US&amp;VAR:SYMBOL=05614P10&amp;VAR:INDEX=0"}</definedName>
    <definedName name="_3057__FDSAUDITLINK__" hidden="1">{"fdsup://directions/FAT Viewer?action=UPDATE&amp;creator=factset&amp;DYN_ARGS=TRUE&amp;DOC_NAME=FAT:FQL_AUDITING_CLIENT_TEMPLATE.FAT&amp;display_string=Audit&amp;VAR:KEY=BAHWLGNKVW&amp;VAR:QUERY=RkZfRUJJVERBX0lCKCdMVE1TJywzOTAwMCk=&amp;WINDOW=FIRST_POPUP&amp;HEIGHT=450&amp;WIDTH=450&amp;START_MA","XIMIZED=FALSE&amp;VAR:CALENDAR=US&amp;VAR:SYMBOL=05614P10&amp;VAR:INDEX=0"}</definedName>
    <definedName name="_3058__FDSAUDITLINK__" localSheetId="6" hidden="1">{"fdsup://directions/FAT Viewer?action=UPDATE&amp;creator=factset&amp;DYN_ARGS=TRUE&amp;DOC_NAME=FAT:FQL_AUDITING_CLIENT_TEMPLATE.FAT&amp;display_string=Audit&amp;VAR:KEY=ROBARGRMXI&amp;VAR:QUERY=RkZfRUJJVERBX0lCKCdMVE1TJywzODk5OSk=&amp;WINDOW=FIRST_POPUP&amp;HEIGHT=450&amp;WIDTH=450&amp;START_MA","XIMIZED=FALSE&amp;VAR:CALENDAR=US&amp;VAR:SYMBOL=05614P10&amp;VAR:INDEX=0"}</definedName>
    <definedName name="_3058__FDSAUDITLINK__" hidden="1">{"fdsup://directions/FAT Viewer?action=UPDATE&amp;creator=factset&amp;DYN_ARGS=TRUE&amp;DOC_NAME=FAT:FQL_AUDITING_CLIENT_TEMPLATE.FAT&amp;display_string=Audit&amp;VAR:KEY=ROBARGRMXI&amp;VAR:QUERY=RkZfRUJJVERBX0lCKCdMVE1TJywzODk5OSk=&amp;WINDOW=FIRST_POPUP&amp;HEIGHT=450&amp;WIDTH=450&amp;START_MA","XIMIZED=FALSE&amp;VAR:CALENDAR=US&amp;VAR:SYMBOL=05614P10&amp;VAR:INDEX=0"}</definedName>
    <definedName name="_3059__FDSAUDITLINK__" localSheetId="6" hidden="1">{"fdsup://directions/FAT Viewer?action=UPDATE&amp;creator=factset&amp;DYN_ARGS=TRUE&amp;DOC_NAME=FAT:FQL_AUDITING_CLIENT_TEMPLATE.FAT&amp;display_string=Audit&amp;VAR:KEY=BSBKLUJUDA&amp;VAR:QUERY=RkZfRUJJVERBX0lCKCdMVE1TJywzODk5OCk=&amp;WINDOW=FIRST_POPUP&amp;HEIGHT=450&amp;WIDTH=450&amp;START_MA","XIMIZED=FALSE&amp;VAR:CALENDAR=US&amp;VAR:SYMBOL=05614P10&amp;VAR:INDEX=0"}</definedName>
    <definedName name="_3059__FDSAUDITLINK__" hidden="1">{"fdsup://directions/FAT Viewer?action=UPDATE&amp;creator=factset&amp;DYN_ARGS=TRUE&amp;DOC_NAME=FAT:FQL_AUDITING_CLIENT_TEMPLATE.FAT&amp;display_string=Audit&amp;VAR:KEY=BSBKLUJUDA&amp;VAR:QUERY=RkZfRUJJVERBX0lCKCdMVE1TJywzODk5OCk=&amp;WINDOW=FIRST_POPUP&amp;HEIGHT=450&amp;WIDTH=450&amp;START_MA","XIMIZED=FALSE&amp;VAR:CALENDAR=US&amp;VAR:SYMBOL=05614P10&amp;VAR:INDEX=0"}</definedName>
    <definedName name="_306__FDSAUDITLINK__" localSheetId="6" hidden="1">{"fdsup://directions/FAT%20Viewer?VAR:PED=LTM&amp;VAR:AUDIT_MODE=SUMMARY&amp;VAR:PERIOD=FIXED&amp;VAR:AUDIT_ID=00000117&amp;VAR:DATE=20090421&amp;action=UPDATE&amp;creator=factset&amp;DOC_NAME=FAT:FMA_audit_SUMMARY.fat&amp;DISPLAY_STRING=Display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6__FDSAUDITLINK__" hidden="1">{"fdsup://directions/FAT%20Viewer?VAR:PED=LTM&amp;VAR:AUDIT_MODE=SUMMARY&amp;VAR:PERIOD=FIXED&amp;VAR:AUDIT_ID=00000117&amp;VAR:DATE=20090421&amp;action=UPDATE&amp;creator=factset&amp;DOC_NAME=FAT:FMA_audit_SUMMARY.fat&amp;DISPLAY_STRING=Display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60__FDSAUDITLINK__" localSheetId="6" hidden="1">{"fdsup://directions/FAT Viewer?action=UPDATE&amp;creator=factset&amp;DYN_ARGS=TRUE&amp;DOC_NAME=FAT:FQL_AUDITING_CLIENT_TEMPLATE.FAT&amp;display_string=Audit&amp;VAR:KEY=TMBYTOLOBY&amp;VAR:QUERY=RkZfRUJJVERBX0lCKCdMVE1TJywzODk5Nyk=&amp;WINDOW=FIRST_POPUP&amp;HEIGHT=450&amp;WIDTH=450&amp;START_MA","XIMIZED=FALSE&amp;VAR:CALENDAR=US&amp;VAR:SYMBOL=05614P10&amp;VAR:INDEX=0"}</definedName>
    <definedName name="_3060__FDSAUDITLINK__" hidden="1">{"fdsup://directions/FAT Viewer?action=UPDATE&amp;creator=factset&amp;DYN_ARGS=TRUE&amp;DOC_NAME=FAT:FQL_AUDITING_CLIENT_TEMPLATE.FAT&amp;display_string=Audit&amp;VAR:KEY=TMBYTOLOBY&amp;VAR:QUERY=RkZfRUJJVERBX0lCKCdMVE1TJywzODk5Nyk=&amp;WINDOW=FIRST_POPUP&amp;HEIGHT=450&amp;WIDTH=450&amp;START_MA","XIMIZED=FALSE&amp;VAR:CALENDAR=US&amp;VAR:SYMBOL=05614P10&amp;VAR:INDEX=0"}</definedName>
    <definedName name="_3061__FDSAUDITLINK__" localSheetId="6" hidden="1">{"fdsup://directions/FAT Viewer?action=UPDATE&amp;creator=factset&amp;DYN_ARGS=TRUE&amp;DOC_NAME=FAT:FQL_AUDITING_CLIENT_TEMPLATE.FAT&amp;display_string=Audit&amp;VAR:KEY=BUNKLUBSVW&amp;VAR:QUERY=RkZfRUJJVERBX0lCKCdMVE1TJywzODk5Nik=&amp;WINDOW=FIRST_POPUP&amp;HEIGHT=450&amp;WIDTH=450&amp;START_MA","XIMIZED=FALSE&amp;VAR:CALENDAR=US&amp;VAR:SYMBOL=05614P10&amp;VAR:INDEX=0"}</definedName>
    <definedName name="_3061__FDSAUDITLINK__" hidden="1">{"fdsup://directions/FAT Viewer?action=UPDATE&amp;creator=factset&amp;DYN_ARGS=TRUE&amp;DOC_NAME=FAT:FQL_AUDITING_CLIENT_TEMPLATE.FAT&amp;display_string=Audit&amp;VAR:KEY=BUNKLUBSVW&amp;VAR:QUERY=RkZfRUJJVERBX0lCKCdMVE1TJywzODk5Nik=&amp;WINDOW=FIRST_POPUP&amp;HEIGHT=450&amp;WIDTH=450&amp;START_MA","XIMIZED=FALSE&amp;VAR:CALENDAR=US&amp;VAR:SYMBOL=05614P10&amp;VAR:INDEX=0"}</definedName>
    <definedName name="_3062__FDSAUDITLINK__" localSheetId="6" hidden="1">{"fdsup://directions/FAT Viewer?action=UPDATE&amp;creator=factset&amp;DYN_ARGS=TRUE&amp;DOC_NAME=FAT:FQL_AUDITING_CLIENT_TEMPLATE.FAT&amp;display_string=Audit&amp;VAR:KEY=HSRSPUZIVY&amp;VAR:QUERY=RkZfRUJJVERBX0lCKCdMVE1TJywzODk5NSk=&amp;WINDOW=FIRST_POPUP&amp;HEIGHT=450&amp;WIDTH=450&amp;START_MA","XIMIZED=FALSE&amp;VAR:CALENDAR=US&amp;VAR:SYMBOL=05614P10&amp;VAR:INDEX=0"}</definedName>
    <definedName name="_3062__FDSAUDITLINK__" hidden="1">{"fdsup://directions/FAT Viewer?action=UPDATE&amp;creator=factset&amp;DYN_ARGS=TRUE&amp;DOC_NAME=FAT:FQL_AUDITING_CLIENT_TEMPLATE.FAT&amp;display_string=Audit&amp;VAR:KEY=HSRSPUZIVY&amp;VAR:QUERY=RkZfRUJJVERBX0lCKCdMVE1TJywzODk5NSk=&amp;WINDOW=FIRST_POPUP&amp;HEIGHT=450&amp;WIDTH=450&amp;START_MA","XIMIZED=FALSE&amp;VAR:CALENDAR=US&amp;VAR:SYMBOL=05614P10&amp;VAR:INDEX=0"}</definedName>
    <definedName name="_3063__FDSAUDITLINK__" localSheetId="6" hidden="1">{"fdsup://directions/FAT Viewer?action=UPDATE&amp;creator=factset&amp;DYN_ARGS=TRUE&amp;DOC_NAME=FAT:FQL_AUDITING_CLIENT_TEMPLATE.FAT&amp;display_string=Audit&amp;VAR:KEY=LUZWRKZSRA&amp;VAR:QUERY=RkZfRUJJVERBX0lCKCdMVE1TJywzODk5NCk=&amp;WINDOW=FIRST_POPUP&amp;HEIGHT=450&amp;WIDTH=450&amp;START_MA","XIMIZED=FALSE&amp;VAR:CALENDAR=US&amp;VAR:SYMBOL=05614P10&amp;VAR:INDEX=0"}</definedName>
    <definedName name="_3063__FDSAUDITLINK__" hidden="1">{"fdsup://directions/FAT Viewer?action=UPDATE&amp;creator=factset&amp;DYN_ARGS=TRUE&amp;DOC_NAME=FAT:FQL_AUDITING_CLIENT_TEMPLATE.FAT&amp;display_string=Audit&amp;VAR:KEY=LUZWRKZSRA&amp;VAR:QUERY=RkZfRUJJVERBX0lCKCdMVE1TJywzODk5NCk=&amp;WINDOW=FIRST_POPUP&amp;HEIGHT=450&amp;WIDTH=450&amp;START_MA","XIMIZED=FALSE&amp;VAR:CALENDAR=US&amp;VAR:SYMBOL=05614P10&amp;VAR:INDEX=0"}</definedName>
    <definedName name="_3064__FDSAUDITLINK__" localSheetId="6" hidden="1">{"fdsup://directions/FAT Viewer?action=UPDATE&amp;creator=factset&amp;DYN_ARGS=TRUE&amp;DOC_NAME=FAT:FQL_AUDITING_CLIENT_TEMPLATE.FAT&amp;display_string=Audit&amp;VAR:KEY=FMDGTIHWJW&amp;VAR:QUERY=RkZfRUJJVERBX0lCKCdMVE1TJywzODk5Myk=&amp;WINDOW=FIRST_POPUP&amp;HEIGHT=450&amp;WIDTH=450&amp;START_MA","XIMIZED=FALSE&amp;VAR:CALENDAR=US&amp;VAR:SYMBOL=05614P10&amp;VAR:INDEX=0"}</definedName>
    <definedName name="_3064__FDSAUDITLINK__" hidden="1">{"fdsup://directions/FAT Viewer?action=UPDATE&amp;creator=factset&amp;DYN_ARGS=TRUE&amp;DOC_NAME=FAT:FQL_AUDITING_CLIENT_TEMPLATE.FAT&amp;display_string=Audit&amp;VAR:KEY=FMDGTIHWJW&amp;VAR:QUERY=RkZfRUJJVERBX0lCKCdMVE1TJywzODk5Myk=&amp;WINDOW=FIRST_POPUP&amp;HEIGHT=450&amp;WIDTH=450&amp;START_MA","XIMIZED=FALSE&amp;VAR:CALENDAR=US&amp;VAR:SYMBOL=05614P10&amp;VAR:INDEX=0"}</definedName>
    <definedName name="_3065__FDSAUDITLINK__" localSheetId="6" hidden="1">{"fdsup://directions/FAT Viewer?action=UPDATE&amp;creator=factset&amp;DYN_ARGS=TRUE&amp;DOC_NAME=FAT:FQL_AUDITING_CLIENT_TEMPLATE.FAT&amp;display_string=Audit&amp;VAR:KEY=ZUBYDOXARE&amp;VAR:QUERY=RkZfRUJJVERBX0lCKCdMVE1TJywzODk5Mik=&amp;WINDOW=FIRST_POPUP&amp;HEIGHT=450&amp;WIDTH=450&amp;START_MA","XIMIZED=FALSE&amp;VAR:CALENDAR=US&amp;VAR:SYMBOL=05614P10&amp;VAR:INDEX=0"}</definedName>
    <definedName name="_3065__FDSAUDITLINK__" hidden="1">{"fdsup://directions/FAT Viewer?action=UPDATE&amp;creator=factset&amp;DYN_ARGS=TRUE&amp;DOC_NAME=FAT:FQL_AUDITING_CLIENT_TEMPLATE.FAT&amp;display_string=Audit&amp;VAR:KEY=ZUBYDOXARE&amp;VAR:QUERY=RkZfRUJJVERBX0lCKCdMVE1TJywzODk5Mik=&amp;WINDOW=FIRST_POPUP&amp;HEIGHT=450&amp;WIDTH=450&amp;START_MA","XIMIZED=FALSE&amp;VAR:CALENDAR=US&amp;VAR:SYMBOL=05614P10&amp;VAR:INDEX=0"}</definedName>
    <definedName name="_3066__FDSAUDITLINK__" localSheetId="6" hidden="1">{"fdsup://directions/FAT Viewer?action=UPDATE&amp;creator=factset&amp;DYN_ARGS=TRUE&amp;DOC_NAME=FAT:FQL_AUDITING_CLIENT_TEMPLATE.FAT&amp;display_string=Audit&amp;VAR:KEY=HGHKRITILS&amp;VAR:QUERY=RkZfRUJJVERBX0lCKCdMVE1TJywzODk5MSk=&amp;WINDOW=FIRST_POPUP&amp;HEIGHT=450&amp;WIDTH=450&amp;START_MA","XIMIZED=FALSE&amp;VAR:CALENDAR=US&amp;VAR:SYMBOL=05614P10&amp;VAR:INDEX=0"}</definedName>
    <definedName name="_3066__FDSAUDITLINK__" hidden="1">{"fdsup://directions/FAT Viewer?action=UPDATE&amp;creator=factset&amp;DYN_ARGS=TRUE&amp;DOC_NAME=FAT:FQL_AUDITING_CLIENT_TEMPLATE.FAT&amp;display_string=Audit&amp;VAR:KEY=HGHKRITILS&amp;VAR:QUERY=RkZfRUJJVERBX0lCKCdMVE1TJywzODk5MSk=&amp;WINDOW=FIRST_POPUP&amp;HEIGHT=450&amp;WIDTH=450&amp;START_MA","XIMIZED=FALSE&amp;VAR:CALENDAR=US&amp;VAR:SYMBOL=05614P10&amp;VAR:INDEX=0"}</definedName>
    <definedName name="_3067__FDSAUDITLINK__" localSheetId="6" hidden="1">{"fdsup://directions/FAT Viewer?action=UPDATE&amp;creator=factset&amp;DYN_ARGS=TRUE&amp;DOC_NAME=FAT:FQL_AUDITING_CLIENT_TEMPLATE.FAT&amp;display_string=Audit&amp;VAR:KEY=BAFYPCJWHG&amp;VAR:QUERY=RkZfRUJJVERBX0lCKCdMVE1TJywzODk5MCk=&amp;WINDOW=FIRST_POPUP&amp;HEIGHT=450&amp;WIDTH=450&amp;START_MA","XIMIZED=FALSE&amp;VAR:CALENDAR=US&amp;VAR:SYMBOL=05614P10&amp;VAR:INDEX=0"}</definedName>
    <definedName name="_3067__FDSAUDITLINK__" hidden="1">{"fdsup://directions/FAT Viewer?action=UPDATE&amp;creator=factset&amp;DYN_ARGS=TRUE&amp;DOC_NAME=FAT:FQL_AUDITING_CLIENT_TEMPLATE.FAT&amp;display_string=Audit&amp;VAR:KEY=BAFYPCJWHG&amp;VAR:QUERY=RkZfRUJJVERBX0lCKCdMVE1TJywzODk5MCk=&amp;WINDOW=FIRST_POPUP&amp;HEIGHT=450&amp;WIDTH=450&amp;START_MA","XIMIZED=FALSE&amp;VAR:CALENDAR=US&amp;VAR:SYMBOL=05614P10&amp;VAR:INDEX=0"}</definedName>
    <definedName name="_3068__FDSAUDITLINK__" localSheetId="6" hidden="1">{"fdsup://directions/FAT Viewer?action=UPDATE&amp;creator=factset&amp;DYN_ARGS=TRUE&amp;DOC_NAME=FAT:FQL_AUDITING_CLIENT_TEMPLATE.FAT&amp;display_string=Audit&amp;VAR:KEY=XAPALWNGRY&amp;VAR:QUERY=RkZfRUJJVERBX0lCKCdMVE1TJywzODk4OSk=&amp;WINDOW=FIRST_POPUP&amp;HEIGHT=450&amp;WIDTH=450&amp;START_MA","XIMIZED=FALSE&amp;VAR:CALENDAR=US&amp;VAR:SYMBOL=05614P10&amp;VAR:INDEX=0"}</definedName>
    <definedName name="_3068__FDSAUDITLINK__" hidden="1">{"fdsup://directions/FAT Viewer?action=UPDATE&amp;creator=factset&amp;DYN_ARGS=TRUE&amp;DOC_NAME=FAT:FQL_AUDITING_CLIENT_TEMPLATE.FAT&amp;display_string=Audit&amp;VAR:KEY=XAPALWNGRY&amp;VAR:QUERY=RkZfRUJJVERBX0lCKCdMVE1TJywzODk4OSk=&amp;WINDOW=FIRST_POPUP&amp;HEIGHT=450&amp;WIDTH=450&amp;START_MA","XIMIZED=FALSE&amp;VAR:CALENDAR=US&amp;VAR:SYMBOL=05614P10&amp;VAR:INDEX=0"}</definedName>
    <definedName name="_3069__FDSAUDITLINK__" localSheetId="6" hidden="1">{"fdsup://directions/FAT Viewer?action=UPDATE&amp;creator=factset&amp;DYN_ARGS=TRUE&amp;DOC_NAME=FAT:FQL_AUDITING_CLIENT_TEMPLATE.FAT&amp;display_string=Audit&amp;VAR:KEY=VINQLCRIRI&amp;VAR:QUERY=RkZfRUJJVERBX0lCKCdMVE1TJywzODk4OCk=&amp;WINDOW=FIRST_POPUP&amp;HEIGHT=450&amp;WIDTH=450&amp;START_MA","XIMIZED=FALSE&amp;VAR:CALENDAR=US&amp;VAR:SYMBOL=05614P10&amp;VAR:INDEX=0"}</definedName>
    <definedName name="_3069__FDSAUDITLINK__" hidden="1">{"fdsup://directions/FAT Viewer?action=UPDATE&amp;creator=factset&amp;DYN_ARGS=TRUE&amp;DOC_NAME=FAT:FQL_AUDITING_CLIENT_TEMPLATE.FAT&amp;display_string=Audit&amp;VAR:KEY=VINQLCRIRI&amp;VAR:QUERY=RkZfRUJJVERBX0lCKCdMVE1TJywzODk4OCk=&amp;WINDOW=FIRST_POPUP&amp;HEIGHT=450&amp;WIDTH=450&amp;START_MA","XIMIZED=FALSE&amp;VAR:CALENDAR=US&amp;VAR:SYMBOL=05614P10&amp;VAR:INDEX=0"}</definedName>
    <definedName name="_307__FDSAUDITLINK__" localSheetId="6" hidden="1">{"fdsup://directions/FAT%20Viewer?VAR:PED=LTM&amp;VAR:AUDIT_MODE=SUMMARY&amp;VAR:PERIOD=FIXED&amp;VAR:AUDIT_ID=00000117&amp;VAR:DATE=20090420&amp;action=UPDATE&amp;creator=factset&amp;DOC_NAME=FAT:FMA_audit_SUMMARY.fat&amp;DISPLAY_STRING=Display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7__FDSAUDITLINK__" hidden="1">{"fdsup://directions/FAT%20Viewer?VAR:PED=LTM&amp;VAR:AUDIT_MODE=SUMMARY&amp;VAR:PERIOD=FIXED&amp;VAR:AUDIT_ID=00000117&amp;VAR:DATE=20090420&amp;action=UPDATE&amp;creator=factset&amp;DOC_NAME=FAT:FMA_audit_SUMMARY.fat&amp;DISPLAY_STRING=Display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70__FDSAUDITLINK__" localSheetId="6" hidden="1">{"fdsup://directions/FAT Viewer?action=UPDATE&amp;creator=factset&amp;DYN_ARGS=TRUE&amp;DOC_NAME=FAT:FQL_AUDITING_CLIENT_TEMPLATE.FAT&amp;display_string=Audit&amp;VAR:KEY=XIDQVQJWVK&amp;VAR:QUERY=RkZfRUJJVERBX0lCKCdMVE1TJywzODk4Nyk=&amp;WINDOW=FIRST_POPUP&amp;HEIGHT=450&amp;WIDTH=450&amp;START_MA","XIMIZED=FALSE&amp;VAR:CALENDAR=US&amp;VAR:SYMBOL=05614P10&amp;VAR:INDEX=0"}</definedName>
    <definedName name="_3070__FDSAUDITLINK__" hidden="1">{"fdsup://directions/FAT Viewer?action=UPDATE&amp;creator=factset&amp;DYN_ARGS=TRUE&amp;DOC_NAME=FAT:FQL_AUDITING_CLIENT_TEMPLATE.FAT&amp;display_string=Audit&amp;VAR:KEY=XIDQVQJWVK&amp;VAR:QUERY=RkZfRUJJVERBX0lCKCdMVE1TJywzODk4Nyk=&amp;WINDOW=FIRST_POPUP&amp;HEIGHT=450&amp;WIDTH=450&amp;START_MA","XIMIZED=FALSE&amp;VAR:CALENDAR=US&amp;VAR:SYMBOL=05614P10&amp;VAR:INDEX=0"}</definedName>
    <definedName name="_3071__FDSAUDITLINK__" localSheetId="6" hidden="1">{"fdsup://directions/FAT Viewer?action=UPDATE&amp;creator=factset&amp;DYN_ARGS=TRUE&amp;DOC_NAME=FAT:FQL_AUDITING_CLIENT_TEMPLATE.FAT&amp;display_string=Audit&amp;VAR:KEY=RUJYZCPKNE&amp;VAR:QUERY=RkZfRUJJVERBX0lCKCdMVE1TJywzODk4Nik=&amp;WINDOW=FIRST_POPUP&amp;HEIGHT=450&amp;WIDTH=450&amp;START_MA","XIMIZED=FALSE&amp;VAR:CALENDAR=US&amp;VAR:SYMBOL=05614P10&amp;VAR:INDEX=0"}</definedName>
    <definedName name="_3071__FDSAUDITLINK__" hidden="1">{"fdsup://directions/FAT Viewer?action=UPDATE&amp;creator=factset&amp;DYN_ARGS=TRUE&amp;DOC_NAME=FAT:FQL_AUDITING_CLIENT_TEMPLATE.FAT&amp;display_string=Audit&amp;VAR:KEY=RUJYZCPKNE&amp;VAR:QUERY=RkZfRUJJVERBX0lCKCdMVE1TJywzODk4Nik=&amp;WINDOW=FIRST_POPUP&amp;HEIGHT=450&amp;WIDTH=450&amp;START_MA","XIMIZED=FALSE&amp;VAR:CALENDAR=US&amp;VAR:SYMBOL=05614P10&amp;VAR:INDEX=0"}</definedName>
    <definedName name="_3072__FDSAUDITLINK__" localSheetId="6" hidden="1">{"fdsup://directions/FAT Viewer?action=UPDATE&amp;creator=factset&amp;DYN_ARGS=TRUE&amp;DOC_NAME=FAT:FQL_AUDITING_CLIENT_TEMPLATE.FAT&amp;display_string=Audit&amp;VAR:KEY=ZANAFGLQJM&amp;VAR:QUERY=RkZfRUJJVERBX0lCKCdMVE1TJywzODk4NSk=&amp;WINDOW=FIRST_POPUP&amp;HEIGHT=450&amp;WIDTH=450&amp;START_MA","XIMIZED=FALSE&amp;VAR:CALENDAR=US&amp;VAR:SYMBOL=05614P10&amp;VAR:INDEX=0"}</definedName>
    <definedName name="_3072__FDSAUDITLINK__" hidden="1">{"fdsup://directions/FAT Viewer?action=UPDATE&amp;creator=factset&amp;DYN_ARGS=TRUE&amp;DOC_NAME=FAT:FQL_AUDITING_CLIENT_TEMPLATE.FAT&amp;display_string=Audit&amp;VAR:KEY=ZANAFGLQJM&amp;VAR:QUERY=RkZfRUJJVERBX0lCKCdMVE1TJywzODk4NSk=&amp;WINDOW=FIRST_POPUP&amp;HEIGHT=450&amp;WIDTH=450&amp;START_MA","XIMIZED=FALSE&amp;VAR:CALENDAR=US&amp;VAR:SYMBOL=05614P10&amp;VAR:INDEX=0"}</definedName>
    <definedName name="_3073__FDSAUDITLINK__" localSheetId="6" hidden="1">{"fdsup://directions/FAT Viewer?action=UPDATE&amp;creator=factset&amp;DYN_ARGS=TRUE&amp;DOC_NAME=FAT:FQL_AUDITING_CLIENT_TEMPLATE.FAT&amp;display_string=Audit&amp;VAR:KEY=RORSBYDOPG&amp;VAR:QUERY=RkZfRUJJVERBX0lCKCdMVE1TJywzODk4NCk=&amp;WINDOW=FIRST_POPUP&amp;HEIGHT=450&amp;WIDTH=450&amp;START_MA","XIMIZED=FALSE&amp;VAR:CALENDAR=US&amp;VAR:SYMBOL=05614P10&amp;VAR:INDEX=0"}</definedName>
    <definedName name="_3073__FDSAUDITLINK__" hidden="1">{"fdsup://directions/FAT Viewer?action=UPDATE&amp;creator=factset&amp;DYN_ARGS=TRUE&amp;DOC_NAME=FAT:FQL_AUDITING_CLIENT_TEMPLATE.FAT&amp;display_string=Audit&amp;VAR:KEY=RORSBYDOPG&amp;VAR:QUERY=RkZfRUJJVERBX0lCKCdMVE1TJywzODk4NCk=&amp;WINDOW=FIRST_POPUP&amp;HEIGHT=450&amp;WIDTH=450&amp;START_MA","XIMIZED=FALSE&amp;VAR:CALENDAR=US&amp;VAR:SYMBOL=05614P10&amp;VAR:INDEX=0"}</definedName>
    <definedName name="_3074__FDSAUDITLINK__" localSheetId="6" hidden="1">{"fdsup://directions/FAT Viewer?action=UPDATE&amp;creator=factset&amp;DYN_ARGS=TRUE&amp;DOC_NAME=FAT:FQL_AUDITING_CLIENT_TEMPLATE.FAT&amp;display_string=Audit&amp;VAR:KEY=JYTINUTMVC&amp;VAR:QUERY=RkZfRUJJVERBX0lCKCdMVE1TJywzODk4Myk=&amp;WINDOW=FIRST_POPUP&amp;HEIGHT=450&amp;WIDTH=450&amp;START_MA","XIMIZED=FALSE&amp;VAR:CALENDAR=US&amp;VAR:SYMBOL=05614P10&amp;VAR:INDEX=0"}</definedName>
    <definedName name="_3074__FDSAUDITLINK__" hidden="1">{"fdsup://directions/FAT Viewer?action=UPDATE&amp;creator=factset&amp;DYN_ARGS=TRUE&amp;DOC_NAME=FAT:FQL_AUDITING_CLIENT_TEMPLATE.FAT&amp;display_string=Audit&amp;VAR:KEY=JYTINUTMVC&amp;VAR:QUERY=RkZfRUJJVERBX0lCKCdMVE1TJywzODk4Myk=&amp;WINDOW=FIRST_POPUP&amp;HEIGHT=450&amp;WIDTH=450&amp;START_MA","XIMIZED=FALSE&amp;VAR:CALENDAR=US&amp;VAR:SYMBOL=05614P10&amp;VAR:INDEX=0"}</definedName>
    <definedName name="_3075__FDSAUDITLINK__" localSheetId="6" hidden="1">{"fdsup://directions/FAT Viewer?action=UPDATE&amp;creator=factset&amp;DYN_ARGS=TRUE&amp;DOC_NAME=FAT:FQL_AUDITING_CLIENT_TEMPLATE.FAT&amp;display_string=Audit&amp;VAR:KEY=VONIRIXGDA&amp;VAR:QUERY=RkZfRUJJVERBX0lCKCdMVE1TJywzODk4Mik=&amp;WINDOW=FIRST_POPUP&amp;HEIGHT=450&amp;WIDTH=450&amp;START_MA","XIMIZED=FALSE&amp;VAR:CALENDAR=US&amp;VAR:SYMBOL=05614P10&amp;VAR:INDEX=0"}</definedName>
    <definedName name="_3075__FDSAUDITLINK__" hidden="1">{"fdsup://directions/FAT Viewer?action=UPDATE&amp;creator=factset&amp;DYN_ARGS=TRUE&amp;DOC_NAME=FAT:FQL_AUDITING_CLIENT_TEMPLATE.FAT&amp;display_string=Audit&amp;VAR:KEY=VONIRIXGDA&amp;VAR:QUERY=RkZfRUJJVERBX0lCKCdMVE1TJywzODk4Mik=&amp;WINDOW=FIRST_POPUP&amp;HEIGHT=450&amp;WIDTH=450&amp;START_MA","XIMIZED=FALSE&amp;VAR:CALENDAR=US&amp;VAR:SYMBOL=05614P10&amp;VAR:INDEX=0"}</definedName>
    <definedName name="_3076__FDSAUDITLINK__" localSheetId="6" hidden="1">{"fdsup://directions/FAT Viewer?action=UPDATE&amp;creator=factset&amp;DYN_ARGS=TRUE&amp;DOC_NAME=FAT:FQL_AUDITING_CLIENT_TEMPLATE.FAT&amp;display_string=Audit&amp;VAR:KEY=RYHUVSDGXU&amp;VAR:QUERY=RkZfRUJJVERBX0lCKCdMVE1TJywzODk4MSk=&amp;WINDOW=FIRST_POPUP&amp;HEIGHT=450&amp;WIDTH=450&amp;START_MA","XIMIZED=FALSE&amp;VAR:CALENDAR=US&amp;VAR:SYMBOL=05614P10&amp;VAR:INDEX=0"}</definedName>
    <definedName name="_3076__FDSAUDITLINK__" hidden="1">{"fdsup://directions/FAT Viewer?action=UPDATE&amp;creator=factset&amp;DYN_ARGS=TRUE&amp;DOC_NAME=FAT:FQL_AUDITING_CLIENT_TEMPLATE.FAT&amp;display_string=Audit&amp;VAR:KEY=RYHUVSDGXU&amp;VAR:QUERY=RkZfRUJJVERBX0lCKCdMVE1TJywzODk4MSk=&amp;WINDOW=FIRST_POPUP&amp;HEIGHT=450&amp;WIDTH=450&amp;START_MA","XIMIZED=FALSE&amp;VAR:CALENDAR=US&amp;VAR:SYMBOL=05614P10&amp;VAR:INDEX=0"}</definedName>
    <definedName name="_3077__FDSAUDITLINK__" localSheetId="6" hidden="1">{"fdsup://directions/FAT Viewer?action=UPDATE&amp;creator=factset&amp;DYN_ARGS=TRUE&amp;DOC_NAME=FAT:FQL_AUDITING_CLIENT_TEMPLATE.FAT&amp;display_string=Audit&amp;VAR:KEY=BMBGDSVELM&amp;VAR:QUERY=RkZfRUJJVERBX0lCKCdMVE1TJywzODk4MCk=&amp;WINDOW=FIRST_POPUP&amp;HEIGHT=450&amp;WIDTH=450&amp;START_MA","XIMIZED=FALSE&amp;VAR:CALENDAR=US&amp;VAR:SYMBOL=05614P10&amp;VAR:INDEX=0"}</definedName>
    <definedName name="_3077__FDSAUDITLINK__" hidden="1">{"fdsup://directions/FAT Viewer?action=UPDATE&amp;creator=factset&amp;DYN_ARGS=TRUE&amp;DOC_NAME=FAT:FQL_AUDITING_CLIENT_TEMPLATE.FAT&amp;display_string=Audit&amp;VAR:KEY=BMBGDSVELM&amp;VAR:QUERY=RkZfRUJJVERBX0lCKCdMVE1TJywzODk4MCk=&amp;WINDOW=FIRST_POPUP&amp;HEIGHT=450&amp;WIDTH=450&amp;START_MA","XIMIZED=FALSE&amp;VAR:CALENDAR=US&amp;VAR:SYMBOL=05614P10&amp;VAR:INDEX=0"}</definedName>
    <definedName name="_3078__FDSAUDITLINK__" localSheetId="6" hidden="1">{"fdsup://directions/FAT Viewer?action=UPDATE&amp;creator=factset&amp;DYN_ARGS=TRUE&amp;DOC_NAME=FAT:FQL_AUDITING_CLIENT_TEMPLATE.FAT&amp;display_string=Audit&amp;VAR:KEY=JGBUNYXKVW&amp;VAR:QUERY=RkZfRUJJVERBX0lCKCdMVE1TJywzODk3OSk=&amp;WINDOW=FIRST_POPUP&amp;HEIGHT=450&amp;WIDTH=450&amp;START_MA","XIMIZED=FALSE&amp;VAR:CALENDAR=US&amp;VAR:SYMBOL=05614P10&amp;VAR:INDEX=0"}</definedName>
    <definedName name="_3078__FDSAUDITLINK__" hidden="1">{"fdsup://directions/FAT Viewer?action=UPDATE&amp;creator=factset&amp;DYN_ARGS=TRUE&amp;DOC_NAME=FAT:FQL_AUDITING_CLIENT_TEMPLATE.FAT&amp;display_string=Audit&amp;VAR:KEY=JGBUNYXKVW&amp;VAR:QUERY=RkZfRUJJVERBX0lCKCdMVE1TJywzODk3OSk=&amp;WINDOW=FIRST_POPUP&amp;HEIGHT=450&amp;WIDTH=450&amp;START_MA","XIMIZED=FALSE&amp;VAR:CALENDAR=US&amp;VAR:SYMBOL=05614P10&amp;VAR:INDEX=0"}</definedName>
    <definedName name="_3079__FDSAUDITLINK__" localSheetId="6" hidden="1">{"fdsup://directions/FAT Viewer?action=UPDATE&amp;creator=factset&amp;DYN_ARGS=TRUE&amp;DOC_NAME=FAT:FQL_AUDITING_CLIENT_TEMPLATE.FAT&amp;display_string=Audit&amp;VAR:KEY=RAXINYBGFO&amp;VAR:QUERY=RkZfRUJJVERBX0lCKCdMVE1TJywzODk3OCk=&amp;WINDOW=FIRST_POPUP&amp;HEIGHT=450&amp;WIDTH=450&amp;START_MA","XIMIZED=FALSE&amp;VAR:CALENDAR=US&amp;VAR:SYMBOL=05614P10&amp;VAR:INDEX=0"}</definedName>
    <definedName name="_3079__FDSAUDITLINK__" hidden="1">{"fdsup://directions/FAT Viewer?action=UPDATE&amp;creator=factset&amp;DYN_ARGS=TRUE&amp;DOC_NAME=FAT:FQL_AUDITING_CLIENT_TEMPLATE.FAT&amp;display_string=Audit&amp;VAR:KEY=RAXINYBGFO&amp;VAR:QUERY=RkZfRUJJVERBX0lCKCdMVE1TJywzODk3OCk=&amp;WINDOW=FIRST_POPUP&amp;HEIGHT=450&amp;WIDTH=450&amp;START_MA","XIMIZED=FALSE&amp;VAR:CALENDAR=US&amp;VAR:SYMBOL=05614P10&amp;VAR:INDEX=0"}</definedName>
    <definedName name="_308__FDSAUDITLINK__" localSheetId="6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8__FDSAUDITLINK__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80__FDSAUDITLINK__" localSheetId="6" hidden="1">{"fdsup://directions/FAT Viewer?action=UPDATE&amp;creator=factset&amp;DYN_ARGS=TRUE&amp;DOC_NAME=FAT:FQL_AUDITING_CLIENT_TEMPLATE.FAT&amp;display_string=Audit&amp;VAR:KEY=TODEREXSTE&amp;VAR:QUERY=RkZfRUJJVERBX0lCKCdMVE1TJywzODk3Nyk=&amp;WINDOW=FIRST_POPUP&amp;HEIGHT=450&amp;WIDTH=450&amp;START_MA","XIMIZED=FALSE&amp;VAR:CALENDAR=US&amp;VAR:SYMBOL=05614P10&amp;VAR:INDEX=0"}</definedName>
    <definedName name="_3080__FDSAUDITLINK__" hidden="1">{"fdsup://directions/FAT Viewer?action=UPDATE&amp;creator=factset&amp;DYN_ARGS=TRUE&amp;DOC_NAME=FAT:FQL_AUDITING_CLIENT_TEMPLATE.FAT&amp;display_string=Audit&amp;VAR:KEY=TODEREXSTE&amp;VAR:QUERY=RkZfRUJJVERBX0lCKCdMVE1TJywzODk3Nyk=&amp;WINDOW=FIRST_POPUP&amp;HEIGHT=450&amp;WIDTH=450&amp;START_MA","XIMIZED=FALSE&amp;VAR:CALENDAR=US&amp;VAR:SYMBOL=05614P10&amp;VAR:INDEX=0"}</definedName>
    <definedName name="_3081__FDSAUDITLINK__" localSheetId="6" hidden="1">{"fdsup://directions/FAT Viewer?action=UPDATE&amp;creator=factset&amp;DYN_ARGS=TRUE&amp;DOC_NAME=FAT:FQL_AUDITING_CLIENT_TEMPLATE.FAT&amp;display_string=Audit&amp;VAR:KEY=HQTWBILYTY&amp;VAR:QUERY=RkZfRUJJVERBX0lCKCdMVE1TJywzODk3Nik=&amp;WINDOW=FIRST_POPUP&amp;HEIGHT=450&amp;WIDTH=450&amp;START_MA","XIMIZED=FALSE&amp;VAR:CALENDAR=US&amp;VAR:SYMBOL=05614P10&amp;VAR:INDEX=0"}</definedName>
    <definedName name="_3081__FDSAUDITLINK__" hidden="1">{"fdsup://directions/FAT Viewer?action=UPDATE&amp;creator=factset&amp;DYN_ARGS=TRUE&amp;DOC_NAME=FAT:FQL_AUDITING_CLIENT_TEMPLATE.FAT&amp;display_string=Audit&amp;VAR:KEY=HQTWBILYTY&amp;VAR:QUERY=RkZfRUJJVERBX0lCKCdMVE1TJywzODk3Nik=&amp;WINDOW=FIRST_POPUP&amp;HEIGHT=450&amp;WIDTH=450&amp;START_MA","XIMIZED=FALSE&amp;VAR:CALENDAR=US&amp;VAR:SYMBOL=05614P10&amp;VAR:INDEX=0"}</definedName>
    <definedName name="_3082__FDSAUDITLINK__" localSheetId="6" hidden="1">{"fdsup://directions/FAT Viewer?action=UPDATE&amp;creator=factset&amp;DYN_ARGS=TRUE&amp;DOC_NAME=FAT:FQL_AUDITING_CLIENT_TEMPLATE.FAT&amp;display_string=Audit&amp;VAR:KEY=XYFUBOVGTI&amp;VAR:QUERY=RkZfRUJJVERBX0lCKCdMVE1TJywzODk3NSk=&amp;WINDOW=FIRST_POPUP&amp;HEIGHT=450&amp;WIDTH=450&amp;START_MA","XIMIZED=FALSE&amp;VAR:CALENDAR=US&amp;VAR:SYMBOL=05614P10&amp;VAR:INDEX=0"}</definedName>
    <definedName name="_3082__FDSAUDITLINK__" hidden="1">{"fdsup://directions/FAT Viewer?action=UPDATE&amp;creator=factset&amp;DYN_ARGS=TRUE&amp;DOC_NAME=FAT:FQL_AUDITING_CLIENT_TEMPLATE.FAT&amp;display_string=Audit&amp;VAR:KEY=XYFUBOVGTI&amp;VAR:QUERY=RkZfRUJJVERBX0lCKCdMVE1TJywzODk3NSk=&amp;WINDOW=FIRST_POPUP&amp;HEIGHT=450&amp;WIDTH=450&amp;START_MA","XIMIZED=FALSE&amp;VAR:CALENDAR=US&amp;VAR:SYMBOL=05614P10&amp;VAR:INDEX=0"}</definedName>
    <definedName name="_3083__FDSAUDITLINK__" localSheetId="6" hidden="1">{"fdsup://directions/FAT Viewer?action=UPDATE&amp;creator=factset&amp;DYN_ARGS=TRUE&amp;DOC_NAME=FAT:FQL_AUDITING_CLIENT_TEMPLATE.FAT&amp;display_string=Audit&amp;VAR:KEY=XCNUJCXCTE&amp;VAR:QUERY=RkZfRUJJVERBX0lCKCdMVE1TJywzODk3NCk=&amp;WINDOW=FIRST_POPUP&amp;HEIGHT=450&amp;WIDTH=450&amp;START_MA","XIMIZED=FALSE&amp;VAR:CALENDAR=US&amp;VAR:SYMBOL=05614P10&amp;VAR:INDEX=0"}</definedName>
    <definedName name="_3083__FDSAUDITLINK__" hidden="1">{"fdsup://directions/FAT Viewer?action=UPDATE&amp;creator=factset&amp;DYN_ARGS=TRUE&amp;DOC_NAME=FAT:FQL_AUDITING_CLIENT_TEMPLATE.FAT&amp;display_string=Audit&amp;VAR:KEY=XCNUJCXCTE&amp;VAR:QUERY=RkZfRUJJVERBX0lCKCdMVE1TJywzODk3NCk=&amp;WINDOW=FIRST_POPUP&amp;HEIGHT=450&amp;WIDTH=450&amp;START_MA","XIMIZED=FALSE&amp;VAR:CALENDAR=US&amp;VAR:SYMBOL=05614P10&amp;VAR:INDEX=0"}</definedName>
    <definedName name="_3084__FDSAUDITLINK__" localSheetId="6" hidden="1">{"fdsup://directions/FAT Viewer?action=UPDATE&amp;creator=factset&amp;DYN_ARGS=TRUE&amp;DOC_NAME=FAT:FQL_AUDITING_CLIENT_TEMPLATE.FAT&amp;display_string=Audit&amp;VAR:KEY=BGRSPAXWNY&amp;VAR:QUERY=RkZfRUJJVERBX0lCKCdMVE1TJywzODk3Myk=&amp;WINDOW=FIRST_POPUP&amp;HEIGHT=450&amp;WIDTH=450&amp;START_MA","XIMIZED=FALSE&amp;VAR:CALENDAR=US&amp;VAR:SYMBOL=05614P10&amp;VAR:INDEX=0"}</definedName>
    <definedName name="_3084__FDSAUDITLINK__" hidden="1">{"fdsup://directions/FAT Viewer?action=UPDATE&amp;creator=factset&amp;DYN_ARGS=TRUE&amp;DOC_NAME=FAT:FQL_AUDITING_CLIENT_TEMPLATE.FAT&amp;display_string=Audit&amp;VAR:KEY=BGRSPAXWNY&amp;VAR:QUERY=RkZfRUJJVERBX0lCKCdMVE1TJywzODk3Myk=&amp;WINDOW=FIRST_POPUP&amp;HEIGHT=450&amp;WIDTH=450&amp;START_MA","XIMIZED=FALSE&amp;VAR:CALENDAR=US&amp;VAR:SYMBOL=05614P10&amp;VAR:INDEX=0"}</definedName>
    <definedName name="_3085__FDSAUDITLINK__" localSheetId="6" hidden="1">{"fdsup://directions/FAT Viewer?action=UPDATE&amp;creator=factset&amp;DYN_ARGS=TRUE&amp;DOC_NAME=FAT:FQL_AUDITING_CLIENT_TEMPLATE.FAT&amp;display_string=Audit&amp;VAR:KEY=RAZUPOVEHS&amp;VAR:QUERY=RkZfRUJJVERBX0lCKCdMVE1TJywzODk3Mik=&amp;WINDOW=FIRST_POPUP&amp;HEIGHT=450&amp;WIDTH=450&amp;START_MA","XIMIZED=FALSE&amp;VAR:CALENDAR=US&amp;VAR:SYMBOL=05614P10&amp;VAR:INDEX=0"}</definedName>
    <definedName name="_3085__FDSAUDITLINK__" hidden="1">{"fdsup://directions/FAT Viewer?action=UPDATE&amp;creator=factset&amp;DYN_ARGS=TRUE&amp;DOC_NAME=FAT:FQL_AUDITING_CLIENT_TEMPLATE.FAT&amp;display_string=Audit&amp;VAR:KEY=RAZUPOVEHS&amp;VAR:QUERY=RkZfRUJJVERBX0lCKCdMVE1TJywzODk3Mik=&amp;WINDOW=FIRST_POPUP&amp;HEIGHT=450&amp;WIDTH=450&amp;START_MA","XIMIZED=FALSE&amp;VAR:CALENDAR=US&amp;VAR:SYMBOL=05614P10&amp;VAR:INDEX=0"}</definedName>
    <definedName name="_3086__FDSAUDITLINK__" localSheetId="6" hidden="1">{"fdsup://directions/FAT Viewer?action=UPDATE&amp;creator=factset&amp;DYN_ARGS=TRUE&amp;DOC_NAME=FAT:FQL_AUDITING_CLIENT_TEMPLATE.FAT&amp;display_string=Audit&amp;VAR:KEY=LUHKZMJCJA&amp;VAR:QUERY=RkZfRUJJVERBX0lCKCdMVE1TJywzODk3MSk=&amp;WINDOW=FIRST_POPUP&amp;HEIGHT=450&amp;WIDTH=450&amp;START_MA","XIMIZED=FALSE&amp;VAR:CALENDAR=US&amp;VAR:SYMBOL=05614P10&amp;VAR:INDEX=0"}</definedName>
    <definedName name="_3086__FDSAUDITLINK__" hidden="1">{"fdsup://directions/FAT Viewer?action=UPDATE&amp;creator=factset&amp;DYN_ARGS=TRUE&amp;DOC_NAME=FAT:FQL_AUDITING_CLIENT_TEMPLATE.FAT&amp;display_string=Audit&amp;VAR:KEY=LUHKZMJCJA&amp;VAR:QUERY=RkZfRUJJVERBX0lCKCdMVE1TJywzODk3MSk=&amp;WINDOW=FIRST_POPUP&amp;HEIGHT=450&amp;WIDTH=450&amp;START_MA","XIMIZED=FALSE&amp;VAR:CALENDAR=US&amp;VAR:SYMBOL=05614P10&amp;VAR:INDEX=0"}</definedName>
    <definedName name="_3087__FDSAUDITLINK__" localSheetId="6" hidden="1">{"fdsup://directions/FAT Viewer?action=UPDATE&amp;creator=factset&amp;DYN_ARGS=TRUE&amp;DOC_NAME=FAT:FQL_AUDITING_CLIENT_TEMPLATE.FAT&amp;display_string=Audit&amp;VAR:KEY=PQRIDQVKJI&amp;VAR:QUERY=RkZfRUJJVERBX0lCKCdMVE1TJywzODk3MCk=&amp;WINDOW=FIRST_POPUP&amp;HEIGHT=450&amp;WIDTH=450&amp;START_MA","XIMIZED=FALSE&amp;VAR:CALENDAR=US&amp;VAR:SYMBOL=05614P10&amp;VAR:INDEX=0"}</definedName>
    <definedName name="_3087__FDSAUDITLINK__" hidden="1">{"fdsup://directions/FAT Viewer?action=UPDATE&amp;creator=factset&amp;DYN_ARGS=TRUE&amp;DOC_NAME=FAT:FQL_AUDITING_CLIENT_TEMPLATE.FAT&amp;display_string=Audit&amp;VAR:KEY=PQRIDQVKJI&amp;VAR:QUERY=RkZfRUJJVERBX0lCKCdMVE1TJywzODk3MCk=&amp;WINDOW=FIRST_POPUP&amp;HEIGHT=450&amp;WIDTH=450&amp;START_MA","XIMIZED=FALSE&amp;VAR:CALENDAR=US&amp;VAR:SYMBOL=05614P10&amp;VAR:INDEX=0"}</definedName>
    <definedName name="_3088__FDSAUDITLINK__" localSheetId="6" hidden="1">{"fdsup://directions/FAT Viewer?action=UPDATE&amp;creator=factset&amp;DYN_ARGS=TRUE&amp;DOC_NAME=FAT:FQL_AUDITING_CLIENT_TEMPLATE.FAT&amp;display_string=Audit&amp;VAR:KEY=NEJAZETONI&amp;VAR:QUERY=RkZfRUJJVERBX0lCKCdMVE1TJywzODk2OSk=&amp;WINDOW=FIRST_POPUP&amp;HEIGHT=450&amp;WIDTH=450&amp;START_MA","XIMIZED=FALSE&amp;VAR:CALENDAR=US&amp;VAR:SYMBOL=05614P10&amp;VAR:INDEX=0"}</definedName>
    <definedName name="_3088__FDSAUDITLINK__" hidden="1">{"fdsup://directions/FAT Viewer?action=UPDATE&amp;creator=factset&amp;DYN_ARGS=TRUE&amp;DOC_NAME=FAT:FQL_AUDITING_CLIENT_TEMPLATE.FAT&amp;display_string=Audit&amp;VAR:KEY=NEJAZETONI&amp;VAR:QUERY=RkZfRUJJVERBX0lCKCdMVE1TJywzODk2OSk=&amp;WINDOW=FIRST_POPUP&amp;HEIGHT=450&amp;WIDTH=450&amp;START_MA","XIMIZED=FALSE&amp;VAR:CALENDAR=US&amp;VAR:SYMBOL=05614P10&amp;VAR:INDEX=0"}</definedName>
    <definedName name="_3089__FDSAUDITLINK__" localSheetId="6" hidden="1">{"fdsup://directions/FAT Viewer?action=UPDATE&amp;creator=factset&amp;DYN_ARGS=TRUE&amp;DOC_NAME=FAT:FQL_AUDITING_CLIENT_TEMPLATE.FAT&amp;display_string=Audit&amp;VAR:KEY=RYFADEFEFA&amp;VAR:QUERY=RkZfRUJJVERBX0lCKCdMVE1TJywzODk2OCk=&amp;WINDOW=FIRST_POPUP&amp;HEIGHT=450&amp;WIDTH=450&amp;START_MA","XIMIZED=FALSE&amp;VAR:CALENDAR=US&amp;VAR:SYMBOL=05614P10&amp;VAR:INDEX=0"}</definedName>
    <definedName name="_3089__FDSAUDITLINK__" hidden="1">{"fdsup://directions/FAT Viewer?action=UPDATE&amp;creator=factset&amp;DYN_ARGS=TRUE&amp;DOC_NAME=FAT:FQL_AUDITING_CLIENT_TEMPLATE.FAT&amp;display_string=Audit&amp;VAR:KEY=RYFADEFEFA&amp;VAR:QUERY=RkZfRUJJVERBX0lCKCdMVE1TJywzODk2OCk=&amp;WINDOW=FIRST_POPUP&amp;HEIGHT=450&amp;WIDTH=450&amp;START_MA","XIMIZED=FALSE&amp;VAR:CALENDAR=US&amp;VAR:SYMBOL=05614P10&amp;VAR:INDEX=0"}</definedName>
    <definedName name="_309__FDSAUDITLINK__" localSheetId="6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9__FDSAUDITLINK__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090__FDSAUDITLINK__" localSheetId="6" hidden="1">{"fdsup://directions/FAT Viewer?action=UPDATE&amp;creator=factset&amp;DYN_ARGS=TRUE&amp;DOC_NAME=FAT:FQL_AUDITING_CLIENT_TEMPLATE.FAT&amp;display_string=Audit&amp;VAR:KEY=ZCDUDOFSLS&amp;VAR:QUERY=RkZfRUJJVERBX0lCKCdMVE1TJywzODk2Nyk=&amp;WINDOW=FIRST_POPUP&amp;HEIGHT=450&amp;WIDTH=450&amp;START_MA","XIMIZED=FALSE&amp;VAR:CALENDAR=US&amp;VAR:SYMBOL=05614P10&amp;VAR:INDEX=0"}</definedName>
    <definedName name="_3090__FDSAUDITLINK__" hidden="1">{"fdsup://directions/FAT Viewer?action=UPDATE&amp;creator=factset&amp;DYN_ARGS=TRUE&amp;DOC_NAME=FAT:FQL_AUDITING_CLIENT_TEMPLATE.FAT&amp;display_string=Audit&amp;VAR:KEY=ZCDUDOFSLS&amp;VAR:QUERY=RkZfRUJJVERBX0lCKCdMVE1TJywzODk2Nyk=&amp;WINDOW=FIRST_POPUP&amp;HEIGHT=450&amp;WIDTH=450&amp;START_MA","XIMIZED=FALSE&amp;VAR:CALENDAR=US&amp;VAR:SYMBOL=05614P10&amp;VAR:INDEX=0"}</definedName>
    <definedName name="_3091__FDSAUDITLINK__" localSheetId="6" hidden="1">{"fdsup://directions/FAT Viewer?action=UPDATE&amp;creator=factset&amp;DYN_ARGS=TRUE&amp;DOC_NAME=FAT:FQL_AUDITING_CLIENT_TEMPLATE.FAT&amp;display_string=Audit&amp;VAR:KEY=RIPWNWZKVO&amp;VAR:QUERY=RkZfRUJJVERBX0lCKCdMVE1TJywzODk2Nik=&amp;WINDOW=FIRST_POPUP&amp;HEIGHT=450&amp;WIDTH=450&amp;START_MA","XIMIZED=FALSE&amp;VAR:CALENDAR=US&amp;VAR:SYMBOL=05614P10&amp;VAR:INDEX=0"}</definedName>
    <definedName name="_3091__FDSAUDITLINK__" hidden="1">{"fdsup://directions/FAT Viewer?action=UPDATE&amp;creator=factset&amp;DYN_ARGS=TRUE&amp;DOC_NAME=FAT:FQL_AUDITING_CLIENT_TEMPLATE.FAT&amp;display_string=Audit&amp;VAR:KEY=RIPWNWZKVO&amp;VAR:QUERY=RkZfRUJJVERBX0lCKCdMVE1TJywzODk2Nik=&amp;WINDOW=FIRST_POPUP&amp;HEIGHT=450&amp;WIDTH=450&amp;START_MA","XIMIZED=FALSE&amp;VAR:CALENDAR=US&amp;VAR:SYMBOL=05614P10&amp;VAR:INDEX=0"}</definedName>
    <definedName name="_3092__FDSAUDITLINK__" localSheetId="6" hidden="1">{"fdsup://directions/FAT Viewer?action=UPDATE&amp;creator=factset&amp;DYN_ARGS=TRUE&amp;DOC_NAME=FAT:FQL_AUDITING_CLIENT_TEMPLATE.FAT&amp;display_string=Audit&amp;VAR:KEY=DQXCNWTIDY&amp;VAR:QUERY=RkZfRUJJVERBX0lCKCdMVE1TJywzODk2NSk=&amp;WINDOW=FIRST_POPUP&amp;HEIGHT=450&amp;WIDTH=450&amp;START_MA","XIMIZED=FALSE&amp;VAR:CALENDAR=US&amp;VAR:SYMBOL=05614P10&amp;VAR:INDEX=0"}</definedName>
    <definedName name="_3092__FDSAUDITLINK__" hidden="1">{"fdsup://directions/FAT Viewer?action=UPDATE&amp;creator=factset&amp;DYN_ARGS=TRUE&amp;DOC_NAME=FAT:FQL_AUDITING_CLIENT_TEMPLATE.FAT&amp;display_string=Audit&amp;VAR:KEY=DQXCNWTIDY&amp;VAR:QUERY=RkZfRUJJVERBX0lCKCdMVE1TJywzODk2NSk=&amp;WINDOW=FIRST_POPUP&amp;HEIGHT=450&amp;WIDTH=450&amp;START_MA","XIMIZED=FALSE&amp;VAR:CALENDAR=US&amp;VAR:SYMBOL=05614P10&amp;VAR:INDEX=0"}</definedName>
    <definedName name="_3093__FDSAUDITLINK__" localSheetId="6" hidden="1">{"fdsup://directions/FAT Viewer?action=UPDATE&amp;creator=factset&amp;DYN_ARGS=TRUE&amp;DOC_NAME=FAT:FQL_AUDITING_CLIENT_TEMPLATE.FAT&amp;display_string=Audit&amp;VAR:KEY=RUTWFCBODO&amp;VAR:QUERY=RkZfRUJJVERBX0lCKCdMVE1TJywzODk2NCk=&amp;WINDOW=FIRST_POPUP&amp;HEIGHT=450&amp;WIDTH=450&amp;START_MA","XIMIZED=FALSE&amp;VAR:CALENDAR=US&amp;VAR:SYMBOL=05614P10&amp;VAR:INDEX=0"}</definedName>
    <definedName name="_3093__FDSAUDITLINK__" hidden="1">{"fdsup://directions/FAT Viewer?action=UPDATE&amp;creator=factset&amp;DYN_ARGS=TRUE&amp;DOC_NAME=FAT:FQL_AUDITING_CLIENT_TEMPLATE.FAT&amp;display_string=Audit&amp;VAR:KEY=RUTWFCBODO&amp;VAR:QUERY=RkZfRUJJVERBX0lCKCdMVE1TJywzODk2NCk=&amp;WINDOW=FIRST_POPUP&amp;HEIGHT=450&amp;WIDTH=450&amp;START_MA","XIMIZED=FALSE&amp;VAR:CALENDAR=US&amp;VAR:SYMBOL=05614P10&amp;VAR:INDEX=0"}</definedName>
    <definedName name="_3094__FDSAUDITLINK__" localSheetId="6" hidden="1">{"fdsup://directions/FAT Viewer?action=UPDATE&amp;creator=factset&amp;DYN_ARGS=TRUE&amp;DOC_NAME=FAT:FQL_AUDITING_CLIENT_TEMPLATE.FAT&amp;display_string=Audit&amp;VAR:KEY=NWHMXQLQXO&amp;VAR:QUERY=RkZfRUJJVERBX0lCKCdMVE1TJywzODk2Myk=&amp;WINDOW=FIRST_POPUP&amp;HEIGHT=450&amp;WIDTH=450&amp;START_MA","XIMIZED=FALSE&amp;VAR:CALENDAR=US&amp;VAR:SYMBOL=05614P10&amp;VAR:INDEX=0"}</definedName>
    <definedName name="_3094__FDSAUDITLINK__" hidden="1">{"fdsup://directions/FAT Viewer?action=UPDATE&amp;creator=factset&amp;DYN_ARGS=TRUE&amp;DOC_NAME=FAT:FQL_AUDITING_CLIENT_TEMPLATE.FAT&amp;display_string=Audit&amp;VAR:KEY=NWHMXQLQXO&amp;VAR:QUERY=RkZfRUJJVERBX0lCKCdMVE1TJywzODk2Myk=&amp;WINDOW=FIRST_POPUP&amp;HEIGHT=450&amp;WIDTH=450&amp;START_MA","XIMIZED=FALSE&amp;VAR:CALENDAR=US&amp;VAR:SYMBOL=05614P10&amp;VAR:INDEX=0"}</definedName>
    <definedName name="_3095__FDSAUDITLINK__" localSheetId="6" hidden="1">{"fdsup://directions/FAT Viewer?action=UPDATE&amp;creator=factset&amp;DYN_ARGS=TRUE&amp;DOC_NAME=FAT:FQL_AUDITING_CLIENT_TEMPLATE.FAT&amp;display_string=Audit&amp;VAR:KEY=JMFYVGNMBM&amp;VAR:QUERY=RkZfRUJJVERBX0lCKCdMVE1TJywzODk2Mik=&amp;WINDOW=FIRST_POPUP&amp;HEIGHT=450&amp;WIDTH=450&amp;START_MA","XIMIZED=FALSE&amp;VAR:CALENDAR=US&amp;VAR:SYMBOL=05614P10&amp;VAR:INDEX=0"}</definedName>
    <definedName name="_3095__FDSAUDITLINK__" hidden="1">{"fdsup://directions/FAT Viewer?action=UPDATE&amp;creator=factset&amp;DYN_ARGS=TRUE&amp;DOC_NAME=FAT:FQL_AUDITING_CLIENT_TEMPLATE.FAT&amp;display_string=Audit&amp;VAR:KEY=JMFYVGNMBM&amp;VAR:QUERY=RkZfRUJJVERBX0lCKCdMVE1TJywzODk2Mik=&amp;WINDOW=FIRST_POPUP&amp;HEIGHT=450&amp;WIDTH=450&amp;START_MA","XIMIZED=FALSE&amp;VAR:CALENDAR=US&amp;VAR:SYMBOL=05614P10&amp;VAR:INDEX=0"}</definedName>
    <definedName name="_3096__FDSAUDITLINK__" localSheetId="6" hidden="1">{"fdsup://directions/FAT Viewer?action=UPDATE&amp;creator=factset&amp;DYN_ARGS=TRUE&amp;DOC_NAME=FAT:FQL_AUDITING_CLIENT_TEMPLATE.FAT&amp;display_string=Audit&amp;VAR:KEY=FEDYPEPWXU&amp;VAR:QUERY=RkZfRUJJVERBX0lCKCdMVE1TJywzODk2MSk=&amp;WINDOW=FIRST_POPUP&amp;HEIGHT=450&amp;WIDTH=450&amp;START_MA","XIMIZED=FALSE&amp;VAR:CALENDAR=US&amp;VAR:SYMBOL=05614P10&amp;VAR:INDEX=0"}</definedName>
    <definedName name="_3096__FDSAUDITLINK__" hidden="1">{"fdsup://directions/FAT Viewer?action=UPDATE&amp;creator=factset&amp;DYN_ARGS=TRUE&amp;DOC_NAME=FAT:FQL_AUDITING_CLIENT_TEMPLATE.FAT&amp;display_string=Audit&amp;VAR:KEY=FEDYPEPWXU&amp;VAR:QUERY=RkZfRUJJVERBX0lCKCdMVE1TJywzODk2MSk=&amp;WINDOW=FIRST_POPUP&amp;HEIGHT=450&amp;WIDTH=450&amp;START_MA","XIMIZED=FALSE&amp;VAR:CALENDAR=US&amp;VAR:SYMBOL=05614P10&amp;VAR:INDEX=0"}</definedName>
    <definedName name="_3097__FDSAUDITLINK__" localSheetId="6" hidden="1">{"fdsup://directions/FAT Viewer?action=UPDATE&amp;creator=factset&amp;DYN_ARGS=TRUE&amp;DOC_NAME=FAT:FQL_AUDITING_CLIENT_TEMPLATE.FAT&amp;display_string=Audit&amp;VAR:KEY=ZILUZGBAJU&amp;VAR:QUERY=RkZfRUJJVERBX0lCKCdMVE1TJywzODk2MCk=&amp;WINDOW=FIRST_POPUP&amp;HEIGHT=450&amp;WIDTH=450&amp;START_MA","XIMIZED=FALSE&amp;VAR:CALENDAR=US&amp;VAR:SYMBOL=05614P10&amp;VAR:INDEX=0"}</definedName>
    <definedName name="_3097__FDSAUDITLINK__" hidden="1">{"fdsup://directions/FAT Viewer?action=UPDATE&amp;creator=factset&amp;DYN_ARGS=TRUE&amp;DOC_NAME=FAT:FQL_AUDITING_CLIENT_TEMPLATE.FAT&amp;display_string=Audit&amp;VAR:KEY=ZILUZGBAJU&amp;VAR:QUERY=RkZfRUJJVERBX0lCKCdMVE1TJywzODk2MCk=&amp;WINDOW=FIRST_POPUP&amp;HEIGHT=450&amp;WIDTH=450&amp;START_MA","XIMIZED=FALSE&amp;VAR:CALENDAR=US&amp;VAR:SYMBOL=05614P10&amp;VAR:INDEX=0"}</definedName>
    <definedName name="_3098__FDSAUDITLINK__" localSheetId="6" hidden="1">{"fdsup://directions/FAT Viewer?action=UPDATE&amp;creator=factset&amp;DYN_ARGS=TRUE&amp;DOC_NAME=FAT:FQL_AUDITING_CLIENT_TEMPLATE.FAT&amp;display_string=Audit&amp;VAR:KEY=TCBQLWXEDE&amp;VAR:QUERY=RkZfRUJJVERBX0lCKCdMVE1TJywzODk1OSk=&amp;WINDOW=FIRST_POPUP&amp;HEIGHT=450&amp;WIDTH=450&amp;START_MA","XIMIZED=FALSE&amp;VAR:CALENDAR=US&amp;VAR:SYMBOL=05614P10&amp;VAR:INDEX=0"}</definedName>
    <definedName name="_3098__FDSAUDITLINK__" hidden="1">{"fdsup://directions/FAT Viewer?action=UPDATE&amp;creator=factset&amp;DYN_ARGS=TRUE&amp;DOC_NAME=FAT:FQL_AUDITING_CLIENT_TEMPLATE.FAT&amp;display_string=Audit&amp;VAR:KEY=TCBQLWXEDE&amp;VAR:QUERY=RkZfRUJJVERBX0lCKCdMVE1TJywzODk1OSk=&amp;WINDOW=FIRST_POPUP&amp;HEIGHT=450&amp;WIDTH=450&amp;START_MA","XIMIZED=FALSE&amp;VAR:CALENDAR=US&amp;VAR:SYMBOL=05614P10&amp;VAR:INDEX=0"}</definedName>
    <definedName name="_3099__FDSAUDITLINK__" localSheetId="6" hidden="1">{"fdsup://directions/FAT Viewer?action=UPDATE&amp;creator=factset&amp;DYN_ARGS=TRUE&amp;DOC_NAME=FAT:FQL_AUDITING_CLIENT_TEMPLATE.FAT&amp;display_string=Audit&amp;VAR:KEY=TAVMFQHYVU&amp;VAR:QUERY=RkZfRUJJVERBX0lCKCdMVE1TJywzODk1OCk=&amp;WINDOW=FIRST_POPUP&amp;HEIGHT=450&amp;WIDTH=450&amp;START_MA","XIMIZED=FALSE&amp;VAR:CALENDAR=US&amp;VAR:SYMBOL=05614P10&amp;VAR:INDEX=0"}</definedName>
    <definedName name="_3099__FDSAUDITLINK__" hidden="1">{"fdsup://directions/FAT Viewer?action=UPDATE&amp;creator=factset&amp;DYN_ARGS=TRUE&amp;DOC_NAME=FAT:FQL_AUDITING_CLIENT_TEMPLATE.FAT&amp;display_string=Audit&amp;VAR:KEY=TAVMFQHYVU&amp;VAR:QUERY=RkZfRUJJVERBX0lCKCdMVE1TJywzODk1OCk=&amp;WINDOW=FIRST_POPUP&amp;HEIGHT=450&amp;WIDTH=450&amp;START_MA","XIMIZED=FALSE&amp;VAR:CALENDAR=US&amp;VAR:SYMBOL=05614P10&amp;VAR:INDEX=0"}</definedName>
    <definedName name="_310__FDSAUDITLINK__" localSheetId="6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0__FDSAUDITLINK__" hidden="1">{"fdsup://directions/FAT%20Viewer?VAR:PED=LTM&amp;VAR:AUDIT_MODE=SUMMARY&amp;VAR:PERIOD=FIXED&amp;VAR:AUDIT_ID=00000117&amp;VAR:DATE=20090417&amp;action=UPDATE&amp;creator=factset&amp;DOC_NAME=FAT:FMA_audit_SUMMARY.fat&amp;DISPLAY_STRING=Display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00__FDSAUDITLINK__" localSheetId="6" hidden="1">{"fdsup://directions/FAT Viewer?action=UPDATE&amp;creator=factset&amp;DYN_ARGS=TRUE&amp;DOC_NAME=FAT:FQL_AUDITING_CLIENT_TEMPLATE.FAT&amp;display_string=Audit&amp;VAR:KEY=XELEZMLENI&amp;VAR:QUERY=RkZfRUJJVERBX0lCKCdMVE1TJywzODk1Nyk=&amp;WINDOW=FIRST_POPUP&amp;HEIGHT=450&amp;WIDTH=450&amp;START_MA","XIMIZED=FALSE&amp;VAR:CALENDAR=US&amp;VAR:SYMBOL=05614P10&amp;VAR:INDEX=0"}</definedName>
    <definedName name="_3100__FDSAUDITLINK__" hidden="1">{"fdsup://directions/FAT Viewer?action=UPDATE&amp;creator=factset&amp;DYN_ARGS=TRUE&amp;DOC_NAME=FAT:FQL_AUDITING_CLIENT_TEMPLATE.FAT&amp;display_string=Audit&amp;VAR:KEY=XELEZMLENI&amp;VAR:QUERY=RkZfRUJJVERBX0lCKCdMVE1TJywzODk1Nyk=&amp;WINDOW=FIRST_POPUP&amp;HEIGHT=450&amp;WIDTH=450&amp;START_MA","XIMIZED=FALSE&amp;VAR:CALENDAR=US&amp;VAR:SYMBOL=05614P10&amp;VAR:INDEX=0"}</definedName>
    <definedName name="_3101__FDSAUDITLINK__" localSheetId="6" hidden="1">{"fdsup://directions/FAT Viewer?action=UPDATE&amp;creator=factset&amp;DYN_ARGS=TRUE&amp;DOC_NAME=FAT:FQL_AUDITING_CLIENT_TEMPLATE.FAT&amp;display_string=Audit&amp;VAR:KEY=NQHQNYNUTO&amp;VAR:QUERY=RkZfRUJJVERBX0lCKCdMVE1TJywzODk1Nik=&amp;WINDOW=FIRST_POPUP&amp;HEIGHT=450&amp;WIDTH=450&amp;START_MA","XIMIZED=FALSE&amp;VAR:CALENDAR=US&amp;VAR:SYMBOL=05614P10&amp;VAR:INDEX=0"}</definedName>
    <definedName name="_3101__FDSAUDITLINK__" hidden="1">{"fdsup://directions/FAT Viewer?action=UPDATE&amp;creator=factset&amp;DYN_ARGS=TRUE&amp;DOC_NAME=FAT:FQL_AUDITING_CLIENT_TEMPLATE.FAT&amp;display_string=Audit&amp;VAR:KEY=NQHQNYNUTO&amp;VAR:QUERY=RkZfRUJJVERBX0lCKCdMVE1TJywzODk1Nik=&amp;WINDOW=FIRST_POPUP&amp;HEIGHT=450&amp;WIDTH=450&amp;START_MA","XIMIZED=FALSE&amp;VAR:CALENDAR=US&amp;VAR:SYMBOL=05614P10&amp;VAR:INDEX=0"}</definedName>
    <definedName name="_3102__FDSAUDITLINK__" localSheetId="6" hidden="1">{"fdsup://directions/FAT Viewer?action=UPDATE&amp;creator=factset&amp;DYN_ARGS=TRUE&amp;DOC_NAME=FAT:FQL_AUDITING_CLIENT_TEMPLATE.FAT&amp;display_string=Audit&amp;VAR:KEY=VUZOXIBYFI&amp;VAR:QUERY=RkZfRUJJVERBX0lCKCdMVE1TJywzODk1NSk=&amp;WINDOW=FIRST_POPUP&amp;HEIGHT=450&amp;WIDTH=450&amp;START_MA","XIMIZED=FALSE&amp;VAR:CALENDAR=US&amp;VAR:SYMBOL=05614P10&amp;VAR:INDEX=0"}</definedName>
    <definedName name="_3102__FDSAUDITLINK__" hidden="1">{"fdsup://directions/FAT Viewer?action=UPDATE&amp;creator=factset&amp;DYN_ARGS=TRUE&amp;DOC_NAME=FAT:FQL_AUDITING_CLIENT_TEMPLATE.FAT&amp;display_string=Audit&amp;VAR:KEY=VUZOXIBYFI&amp;VAR:QUERY=RkZfRUJJVERBX0lCKCdMVE1TJywzODk1NSk=&amp;WINDOW=FIRST_POPUP&amp;HEIGHT=450&amp;WIDTH=450&amp;START_MA","XIMIZED=FALSE&amp;VAR:CALENDAR=US&amp;VAR:SYMBOL=05614P10&amp;VAR:INDEX=0"}</definedName>
    <definedName name="_3103__FDSAUDITLINK__" localSheetId="6" hidden="1">{"fdsup://directions/FAT Viewer?action=UPDATE&amp;creator=factset&amp;DYN_ARGS=TRUE&amp;DOC_NAME=FAT:FQL_AUDITING_CLIENT_TEMPLATE.FAT&amp;display_string=Audit&amp;VAR:KEY=TKBCHQDERU&amp;VAR:QUERY=RkZfRUJJVERBX0lCKCdMVE1TJywzODk1NCk=&amp;WINDOW=FIRST_POPUP&amp;HEIGHT=450&amp;WIDTH=450&amp;START_MA","XIMIZED=FALSE&amp;VAR:CALENDAR=US&amp;VAR:SYMBOL=05614P10&amp;VAR:INDEX=0"}</definedName>
    <definedName name="_3103__FDSAUDITLINK__" hidden="1">{"fdsup://directions/FAT Viewer?action=UPDATE&amp;creator=factset&amp;DYN_ARGS=TRUE&amp;DOC_NAME=FAT:FQL_AUDITING_CLIENT_TEMPLATE.FAT&amp;display_string=Audit&amp;VAR:KEY=TKBCHQDERU&amp;VAR:QUERY=RkZfRUJJVERBX0lCKCdMVE1TJywzODk1NCk=&amp;WINDOW=FIRST_POPUP&amp;HEIGHT=450&amp;WIDTH=450&amp;START_MA","XIMIZED=FALSE&amp;VAR:CALENDAR=US&amp;VAR:SYMBOL=05614P10&amp;VAR:INDEX=0"}</definedName>
    <definedName name="_3104__FDSAUDITLINK__" localSheetId="6" hidden="1">{"fdsup://directions/FAT Viewer?action=UPDATE&amp;creator=factset&amp;DYN_ARGS=TRUE&amp;DOC_NAME=FAT:FQL_AUDITING_CLIENT_TEMPLATE.FAT&amp;display_string=Audit&amp;VAR:KEY=BYHEFGZGRA&amp;VAR:QUERY=RkZfRUJJVERBX0lCKCdMVE1TJywzODk1Myk=&amp;WINDOW=FIRST_POPUP&amp;HEIGHT=450&amp;WIDTH=450&amp;START_MA","XIMIZED=FALSE&amp;VAR:CALENDAR=US&amp;VAR:SYMBOL=05614P10&amp;VAR:INDEX=0"}</definedName>
    <definedName name="_3104__FDSAUDITLINK__" hidden="1">{"fdsup://directions/FAT Viewer?action=UPDATE&amp;creator=factset&amp;DYN_ARGS=TRUE&amp;DOC_NAME=FAT:FQL_AUDITING_CLIENT_TEMPLATE.FAT&amp;display_string=Audit&amp;VAR:KEY=BYHEFGZGRA&amp;VAR:QUERY=RkZfRUJJVERBX0lCKCdMVE1TJywzODk1Myk=&amp;WINDOW=FIRST_POPUP&amp;HEIGHT=450&amp;WIDTH=450&amp;START_MA","XIMIZED=FALSE&amp;VAR:CALENDAR=US&amp;VAR:SYMBOL=05614P10&amp;VAR:INDEX=0"}</definedName>
    <definedName name="_3105__FDSAUDITLINK__" localSheetId="6" hidden="1">{"fdsup://directions/FAT Viewer?action=UPDATE&amp;creator=factset&amp;DYN_ARGS=TRUE&amp;DOC_NAME=FAT:FQL_AUDITING_CLIENT_TEMPLATE.FAT&amp;display_string=Audit&amp;VAR:KEY=LWRIRUJYJC&amp;VAR:QUERY=RkZfRUJJVERBX0lCKCdMVE1TJywzODk1Mik=&amp;WINDOW=FIRST_POPUP&amp;HEIGHT=450&amp;WIDTH=450&amp;START_MA","XIMIZED=FALSE&amp;VAR:CALENDAR=US&amp;VAR:SYMBOL=05614P10&amp;VAR:INDEX=0"}</definedName>
    <definedName name="_3105__FDSAUDITLINK__" hidden="1">{"fdsup://directions/FAT Viewer?action=UPDATE&amp;creator=factset&amp;DYN_ARGS=TRUE&amp;DOC_NAME=FAT:FQL_AUDITING_CLIENT_TEMPLATE.FAT&amp;display_string=Audit&amp;VAR:KEY=LWRIRUJYJC&amp;VAR:QUERY=RkZfRUJJVERBX0lCKCdMVE1TJywzODk1Mik=&amp;WINDOW=FIRST_POPUP&amp;HEIGHT=450&amp;WIDTH=450&amp;START_MA","XIMIZED=FALSE&amp;VAR:CALENDAR=US&amp;VAR:SYMBOL=05614P10&amp;VAR:INDEX=0"}</definedName>
    <definedName name="_3106__FDSAUDITLINK__" localSheetId="6" hidden="1">{"fdsup://directions/FAT Viewer?action=UPDATE&amp;creator=factset&amp;DYN_ARGS=TRUE&amp;DOC_NAME=FAT:FQL_AUDITING_CLIENT_TEMPLATE.FAT&amp;display_string=Audit&amp;VAR:KEY=JSTMNMTCJY&amp;VAR:QUERY=RkZfRUJJVERBX0lCKCdMVE1TJywzODk1MSk=&amp;WINDOW=FIRST_POPUP&amp;HEIGHT=450&amp;WIDTH=450&amp;START_MA","XIMIZED=FALSE&amp;VAR:CALENDAR=US&amp;VAR:SYMBOL=05614P10&amp;VAR:INDEX=0"}</definedName>
    <definedName name="_3106__FDSAUDITLINK__" hidden="1">{"fdsup://directions/FAT Viewer?action=UPDATE&amp;creator=factset&amp;DYN_ARGS=TRUE&amp;DOC_NAME=FAT:FQL_AUDITING_CLIENT_TEMPLATE.FAT&amp;display_string=Audit&amp;VAR:KEY=JSTMNMTCJY&amp;VAR:QUERY=RkZfRUJJVERBX0lCKCdMVE1TJywzODk1MSk=&amp;WINDOW=FIRST_POPUP&amp;HEIGHT=450&amp;WIDTH=450&amp;START_MA","XIMIZED=FALSE&amp;VAR:CALENDAR=US&amp;VAR:SYMBOL=05614P10&amp;VAR:INDEX=0"}</definedName>
    <definedName name="_3107__FDSAUDITLINK__" localSheetId="6" hidden="1">{"fdsup://directions/FAT Viewer?action=UPDATE&amp;creator=factset&amp;DYN_ARGS=TRUE&amp;DOC_NAME=FAT:FQL_AUDITING_CLIENT_TEMPLATE.FAT&amp;display_string=Audit&amp;VAR:KEY=LOJSLWJCVI&amp;VAR:QUERY=RkZfRUJJVERBX0lCKCdMVE1TJywzODk1MCk=&amp;WINDOW=FIRST_POPUP&amp;HEIGHT=450&amp;WIDTH=450&amp;START_MA","XIMIZED=FALSE&amp;VAR:CALENDAR=US&amp;VAR:SYMBOL=05614P10&amp;VAR:INDEX=0"}</definedName>
    <definedName name="_3107__FDSAUDITLINK__" hidden="1">{"fdsup://directions/FAT Viewer?action=UPDATE&amp;creator=factset&amp;DYN_ARGS=TRUE&amp;DOC_NAME=FAT:FQL_AUDITING_CLIENT_TEMPLATE.FAT&amp;display_string=Audit&amp;VAR:KEY=LOJSLWJCVI&amp;VAR:QUERY=RkZfRUJJVERBX0lCKCdMVE1TJywzODk1MCk=&amp;WINDOW=FIRST_POPUP&amp;HEIGHT=450&amp;WIDTH=450&amp;START_MA","XIMIZED=FALSE&amp;VAR:CALENDAR=US&amp;VAR:SYMBOL=05614P10&amp;VAR:INDEX=0"}</definedName>
    <definedName name="_3108__FDSAUDITLINK__" localSheetId="6" hidden="1">{"fdsup://directions/FAT Viewer?action=UPDATE&amp;creator=factset&amp;DYN_ARGS=TRUE&amp;DOC_NAME=FAT:FQL_AUDITING_CLIENT_TEMPLATE.FAT&amp;display_string=Audit&amp;VAR:KEY=TOFAXWNSHM&amp;VAR:QUERY=RkZfRUJJVERBX0lCKCdMVE1TJywzODk0OSk=&amp;WINDOW=FIRST_POPUP&amp;HEIGHT=450&amp;WIDTH=450&amp;START_MA","XIMIZED=FALSE&amp;VAR:CALENDAR=US&amp;VAR:SYMBOL=05614P10&amp;VAR:INDEX=0"}</definedName>
    <definedName name="_3108__FDSAUDITLINK__" hidden="1">{"fdsup://directions/FAT Viewer?action=UPDATE&amp;creator=factset&amp;DYN_ARGS=TRUE&amp;DOC_NAME=FAT:FQL_AUDITING_CLIENT_TEMPLATE.FAT&amp;display_string=Audit&amp;VAR:KEY=TOFAXWNSHM&amp;VAR:QUERY=RkZfRUJJVERBX0lCKCdMVE1TJywzODk0OSk=&amp;WINDOW=FIRST_POPUP&amp;HEIGHT=450&amp;WIDTH=450&amp;START_MA","XIMIZED=FALSE&amp;VAR:CALENDAR=US&amp;VAR:SYMBOL=05614P10&amp;VAR:INDEX=0"}</definedName>
    <definedName name="_3109__FDSAUDITLINK__" localSheetId="6" hidden="1">{"fdsup://directions/FAT Viewer?action=UPDATE&amp;creator=factset&amp;DYN_ARGS=TRUE&amp;DOC_NAME=FAT:FQL_AUDITING_CLIENT_TEMPLATE.FAT&amp;display_string=Audit&amp;VAR:KEY=HQTEFEDMLG&amp;VAR:QUERY=RkZfRUJJVERBX0lCKCdMVE1TJywzODk0OCk=&amp;WINDOW=FIRST_POPUP&amp;HEIGHT=450&amp;WIDTH=450&amp;START_MA","XIMIZED=FALSE&amp;VAR:CALENDAR=US&amp;VAR:SYMBOL=05614P10&amp;VAR:INDEX=0"}</definedName>
    <definedName name="_3109__FDSAUDITLINK__" hidden="1">{"fdsup://directions/FAT Viewer?action=UPDATE&amp;creator=factset&amp;DYN_ARGS=TRUE&amp;DOC_NAME=FAT:FQL_AUDITING_CLIENT_TEMPLATE.FAT&amp;display_string=Audit&amp;VAR:KEY=HQTEFEDMLG&amp;VAR:QUERY=RkZfRUJJVERBX0lCKCdMVE1TJywzODk0OCk=&amp;WINDOW=FIRST_POPUP&amp;HEIGHT=450&amp;WIDTH=450&amp;START_MA","XIMIZED=FALSE&amp;VAR:CALENDAR=US&amp;VAR:SYMBOL=05614P10&amp;VAR:INDEX=0"}</definedName>
    <definedName name="_311__FDSAUDITLINK__" localSheetId="6" hidden="1">{"fdsup://directions/FAT%20Viewer?VAR:PED=LTM&amp;VAR:AUDIT_MODE=SUMMARY&amp;VAR:PERIOD=FIXED&amp;VAR:AUDIT_ID=00000117&amp;VAR:DATE=20090416&amp;action=UPDATE&amp;creator=factset&amp;DOC_NAME=FAT:FMA_audit_SUMMARY.fat&amp;DISPLAY_STRING=Display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1__FDSAUDITLINK__" hidden="1">{"fdsup://directions/FAT%20Viewer?VAR:PED=LTM&amp;VAR:AUDIT_MODE=SUMMARY&amp;VAR:PERIOD=FIXED&amp;VAR:AUDIT_ID=00000117&amp;VAR:DATE=20090416&amp;action=UPDATE&amp;creator=factset&amp;DOC_NAME=FAT:FMA_audit_SUMMARY.fat&amp;DISPLAY_STRING=Display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10__FDSAUDITLINK__" localSheetId="6" hidden="1">{"fdsup://directions/FAT Viewer?action=UPDATE&amp;creator=factset&amp;DYN_ARGS=TRUE&amp;DOC_NAME=FAT:FQL_AUDITING_CLIENT_TEMPLATE.FAT&amp;display_string=Audit&amp;VAR:KEY=BILMTYVEFU&amp;VAR:QUERY=RkZfRUJJVERBX0lCKCdMVE1TJywzODk0Nyk=&amp;WINDOW=FIRST_POPUP&amp;HEIGHT=450&amp;WIDTH=450&amp;START_MA","XIMIZED=FALSE&amp;VAR:CALENDAR=US&amp;VAR:SYMBOL=05614P10&amp;VAR:INDEX=0"}</definedName>
    <definedName name="_3110__FDSAUDITLINK__" hidden="1">{"fdsup://directions/FAT Viewer?action=UPDATE&amp;creator=factset&amp;DYN_ARGS=TRUE&amp;DOC_NAME=FAT:FQL_AUDITING_CLIENT_TEMPLATE.FAT&amp;display_string=Audit&amp;VAR:KEY=BILMTYVEFU&amp;VAR:QUERY=RkZfRUJJVERBX0lCKCdMVE1TJywzODk0Nyk=&amp;WINDOW=FIRST_POPUP&amp;HEIGHT=450&amp;WIDTH=450&amp;START_MA","XIMIZED=FALSE&amp;VAR:CALENDAR=US&amp;VAR:SYMBOL=05614P10&amp;VAR:INDEX=0"}</definedName>
    <definedName name="_3111__FDSAUDITLINK__" localSheetId="6" hidden="1">{"fdsup://directions/FAT Viewer?action=UPDATE&amp;creator=factset&amp;DYN_ARGS=TRUE&amp;DOC_NAME=FAT:FQL_AUDITING_CLIENT_TEMPLATE.FAT&amp;display_string=Audit&amp;VAR:KEY=XYHGXANGZS&amp;VAR:QUERY=RkZfRUJJVERBX0lCKCdMVE1TJywzODk0Nik=&amp;WINDOW=FIRST_POPUP&amp;HEIGHT=450&amp;WIDTH=450&amp;START_MA","XIMIZED=FALSE&amp;VAR:CALENDAR=US&amp;VAR:SYMBOL=05614P10&amp;VAR:INDEX=0"}</definedName>
    <definedName name="_3111__FDSAUDITLINK__" hidden="1">{"fdsup://directions/FAT Viewer?action=UPDATE&amp;creator=factset&amp;DYN_ARGS=TRUE&amp;DOC_NAME=FAT:FQL_AUDITING_CLIENT_TEMPLATE.FAT&amp;display_string=Audit&amp;VAR:KEY=XYHGXANGZS&amp;VAR:QUERY=RkZfRUJJVERBX0lCKCdMVE1TJywzODk0Nik=&amp;WINDOW=FIRST_POPUP&amp;HEIGHT=450&amp;WIDTH=450&amp;START_MA","XIMIZED=FALSE&amp;VAR:CALENDAR=US&amp;VAR:SYMBOL=05614P10&amp;VAR:INDEX=0"}</definedName>
    <definedName name="_3112__FDSAUDITLINK__" localSheetId="6" hidden="1">{"fdsup://directions/FAT Viewer?action=UPDATE&amp;creator=factset&amp;DYN_ARGS=TRUE&amp;DOC_NAME=FAT:FQL_AUDITING_CLIENT_TEMPLATE.FAT&amp;display_string=Audit&amp;VAR:KEY=XQNIVCRIFS&amp;VAR:QUERY=RkZfRUJJVERBX0lCKCdMVE1TJywzODk0NSk=&amp;WINDOW=FIRST_POPUP&amp;HEIGHT=450&amp;WIDTH=450&amp;START_MA","XIMIZED=FALSE&amp;VAR:CALENDAR=US&amp;VAR:SYMBOL=05614P10&amp;VAR:INDEX=0"}</definedName>
    <definedName name="_3112__FDSAUDITLINK__" hidden="1">{"fdsup://directions/FAT Viewer?action=UPDATE&amp;creator=factset&amp;DYN_ARGS=TRUE&amp;DOC_NAME=FAT:FQL_AUDITING_CLIENT_TEMPLATE.FAT&amp;display_string=Audit&amp;VAR:KEY=XQNIVCRIFS&amp;VAR:QUERY=RkZfRUJJVERBX0lCKCdMVE1TJywzODk0NSk=&amp;WINDOW=FIRST_POPUP&amp;HEIGHT=450&amp;WIDTH=450&amp;START_MA","XIMIZED=FALSE&amp;VAR:CALENDAR=US&amp;VAR:SYMBOL=05614P10&amp;VAR:INDEX=0"}</definedName>
    <definedName name="_3113__FDSAUDITLINK__" localSheetId="6" hidden="1">{"fdsup://directions/FAT Viewer?action=UPDATE&amp;creator=factset&amp;DYN_ARGS=TRUE&amp;DOC_NAME=FAT:FQL_AUDITING_CLIENT_TEMPLATE.FAT&amp;display_string=Audit&amp;VAR:KEY=ZINQNYRULA&amp;VAR:QUERY=RkZfRUJJVERBX0lCKCdMVE1TJywzODk0NCk=&amp;WINDOW=FIRST_POPUP&amp;HEIGHT=450&amp;WIDTH=450&amp;START_MA","XIMIZED=FALSE&amp;VAR:CALENDAR=US&amp;VAR:SYMBOL=05614P10&amp;VAR:INDEX=0"}</definedName>
    <definedName name="_3113__FDSAUDITLINK__" hidden="1">{"fdsup://directions/FAT Viewer?action=UPDATE&amp;creator=factset&amp;DYN_ARGS=TRUE&amp;DOC_NAME=FAT:FQL_AUDITING_CLIENT_TEMPLATE.FAT&amp;display_string=Audit&amp;VAR:KEY=ZINQNYRULA&amp;VAR:QUERY=RkZfRUJJVERBX0lCKCdMVE1TJywzODk0NCk=&amp;WINDOW=FIRST_POPUP&amp;HEIGHT=450&amp;WIDTH=450&amp;START_MA","XIMIZED=FALSE&amp;VAR:CALENDAR=US&amp;VAR:SYMBOL=05614P10&amp;VAR:INDEX=0"}</definedName>
    <definedName name="_3114__FDSAUDITLINK__" localSheetId="6" hidden="1">{"fdsup://directions/FAT Viewer?action=UPDATE&amp;creator=factset&amp;DYN_ARGS=TRUE&amp;DOC_NAME=FAT:FQL_AUDITING_CLIENT_TEMPLATE.FAT&amp;display_string=Audit&amp;VAR:KEY=NMXQLEXELS&amp;VAR:QUERY=RkZfRUJJVERBX0lCKCdMVE1TJywzODk0Myk=&amp;WINDOW=FIRST_POPUP&amp;HEIGHT=450&amp;WIDTH=450&amp;START_MA","XIMIZED=FALSE&amp;VAR:CALENDAR=US&amp;VAR:SYMBOL=05614P10&amp;VAR:INDEX=0"}</definedName>
    <definedName name="_3114__FDSAUDITLINK__" hidden="1">{"fdsup://directions/FAT Viewer?action=UPDATE&amp;creator=factset&amp;DYN_ARGS=TRUE&amp;DOC_NAME=FAT:FQL_AUDITING_CLIENT_TEMPLATE.FAT&amp;display_string=Audit&amp;VAR:KEY=NMXQLEXELS&amp;VAR:QUERY=RkZfRUJJVERBX0lCKCdMVE1TJywzODk0Myk=&amp;WINDOW=FIRST_POPUP&amp;HEIGHT=450&amp;WIDTH=450&amp;START_MA","XIMIZED=FALSE&amp;VAR:CALENDAR=US&amp;VAR:SYMBOL=05614P10&amp;VAR:INDEX=0"}</definedName>
    <definedName name="_3115__FDSAUDITLINK__" localSheetId="6" hidden="1">{"fdsup://directions/FAT Viewer?action=UPDATE&amp;creator=factset&amp;DYN_ARGS=TRUE&amp;DOC_NAME=FAT:FQL_AUDITING_CLIENT_TEMPLATE.FAT&amp;display_string=Audit&amp;VAR:KEY=DWFOZOTWJY&amp;VAR:QUERY=RkZfRUJJVERBX0lCKCdMVE1TJywzODk0Mik=&amp;WINDOW=FIRST_POPUP&amp;HEIGHT=450&amp;WIDTH=450&amp;START_MA","XIMIZED=FALSE&amp;VAR:CALENDAR=US&amp;VAR:SYMBOL=05614P10&amp;VAR:INDEX=0"}</definedName>
    <definedName name="_3115__FDSAUDITLINK__" hidden="1">{"fdsup://directions/FAT Viewer?action=UPDATE&amp;creator=factset&amp;DYN_ARGS=TRUE&amp;DOC_NAME=FAT:FQL_AUDITING_CLIENT_TEMPLATE.FAT&amp;display_string=Audit&amp;VAR:KEY=DWFOZOTWJY&amp;VAR:QUERY=RkZfRUJJVERBX0lCKCdMVE1TJywzODk0Mik=&amp;WINDOW=FIRST_POPUP&amp;HEIGHT=450&amp;WIDTH=450&amp;START_MA","XIMIZED=FALSE&amp;VAR:CALENDAR=US&amp;VAR:SYMBOL=05614P10&amp;VAR:INDEX=0"}</definedName>
    <definedName name="_3116__FDSAUDITLINK__" localSheetId="6" hidden="1">{"fdsup://directions/FAT Viewer?action=UPDATE&amp;creator=factset&amp;DYN_ARGS=TRUE&amp;DOC_NAME=FAT:FQL_AUDITING_CLIENT_TEMPLATE.FAT&amp;display_string=Audit&amp;VAR:KEY=FUVGTWHGBQ&amp;VAR:QUERY=RkZfRUJJVERBX0lCKCdMVE1TJywzODk0MSk=&amp;WINDOW=FIRST_POPUP&amp;HEIGHT=450&amp;WIDTH=450&amp;START_MA","XIMIZED=FALSE&amp;VAR:CALENDAR=US&amp;VAR:SYMBOL=05614P10&amp;VAR:INDEX=0"}</definedName>
    <definedName name="_3116__FDSAUDITLINK__" hidden="1">{"fdsup://directions/FAT Viewer?action=UPDATE&amp;creator=factset&amp;DYN_ARGS=TRUE&amp;DOC_NAME=FAT:FQL_AUDITING_CLIENT_TEMPLATE.FAT&amp;display_string=Audit&amp;VAR:KEY=FUVGTWHGBQ&amp;VAR:QUERY=RkZfRUJJVERBX0lCKCdMVE1TJywzODk0MSk=&amp;WINDOW=FIRST_POPUP&amp;HEIGHT=450&amp;WIDTH=450&amp;START_MA","XIMIZED=FALSE&amp;VAR:CALENDAR=US&amp;VAR:SYMBOL=05614P10&amp;VAR:INDEX=0"}</definedName>
    <definedName name="_3117__FDSAUDITLINK__" localSheetId="6" hidden="1">{"fdsup://directions/FAT Viewer?action=UPDATE&amp;creator=factset&amp;DYN_ARGS=TRUE&amp;DOC_NAME=FAT:FQL_AUDITING_CLIENT_TEMPLATE.FAT&amp;display_string=Audit&amp;VAR:KEY=DOTSVQZEFY&amp;VAR:QUERY=RkZfRUJJVERBX0lCKCdMVE1TJywzODk0MCk=&amp;WINDOW=FIRST_POPUP&amp;HEIGHT=450&amp;WIDTH=450&amp;START_MA","XIMIZED=FALSE&amp;VAR:CALENDAR=US&amp;VAR:SYMBOL=05614P10&amp;VAR:INDEX=0"}</definedName>
    <definedName name="_3117__FDSAUDITLINK__" hidden="1">{"fdsup://directions/FAT Viewer?action=UPDATE&amp;creator=factset&amp;DYN_ARGS=TRUE&amp;DOC_NAME=FAT:FQL_AUDITING_CLIENT_TEMPLATE.FAT&amp;display_string=Audit&amp;VAR:KEY=DOTSVQZEFY&amp;VAR:QUERY=RkZfRUJJVERBX0lCKCdMVE1TJywzODk0MCk=&amp;WINDOW=FIRST_POPUP&amp;HEIGHT=450&amp;WIDTH=450&amp;START_MA","XIMIZED=FALSE&amp;VAR:CALENDAR=US&amp;VAR:SYMBOL=05614P10&amp;VAR:INDEX=0"}</definedName>
    <definedName name="_3118__FDSAUDITLINK__" localSheetId="6" hidden="1">{"fdsup://directions/FAT Viewer?action=UPDATE&amp;creator=factset&amp;DYN_ARGS=TRUE&amp;DOC_NAME=FAT:FQL_AUDITING_CLIENT_TEMPLATE.FAT&amp;display_string=Audit&amp;VAR:KEY=NSDQPYLKZI&amp;VAR:QUERY=RkZfRUJJVERBX0lCKCdMVE1TJywzODkzOSk=&amp;WINDOW=FIRST_POPUP&amp;HEIGHT=450&amp;WIDTH=450&amp;START_MA","XIMIZED=FALSE&amp;VAR:CALENDAR=US&amp;VAR:SYMBOL=05614P10&amp;VAR:INDEX=0"}</definedName>
    <definedName name="_3118__FDSAUDITLINK__" hidden="1">{"fdsup://directions/FAT Viewer?action=UPDATE&amp;creator=factset&amp;DYN_ARGS=TRUE&amp;DOC_NAME=FAT:FQL_AUDITING_CLIENT_TEMPLATE.FAT&amp;display_string=Audit&amp;VAR:KEY=NSDQPYLKZI&amp;VAR:QUERY=RkZfRUJJVERBX0lCKCdMVE1TJywzODkzOSk=&amp;WINDOW=FIRST_POPUP&amp;HEIGHT=450&amp;WIDTH=450&amp;START_MA","XIMIZED=FALSE&amp;VAR:CALENDAR=US&amp;VAR:SYMBOL=05614P10&amp;VAR:INDEX=0"}</definedName>
    <definedName name="_3119__FDSAUDITLINK__" localSheetId="6" hidden="1">{"fdsup://directions/FAT Viewer?action=UPDATE&amp;creator=factset&amp;DYN_ARGS=TRUE&amp;DOC_NAME=FAT:FQL_AUDITING_CLIENT_TEMPLATE.FAT&amp;display_string=Audit&amp;VAR:KEY=RCXMPYLOXC&amp;VAR:QUERY=RkZfRUJJVERBX0lCKCdMVE1TJywzODkzOCk=&amp;WINDOW=FIRST_POPUP&amp;HEIGHT=450&amp;WIDTH=450&amp;START_MA","XIMIZED=FALSE&amp;VAR:CALENDAR=US&amp;VAR:SYMBOL=05614P10&amp;VAR:INDEX=0"}</definedName>
    <definedName name="_3119__FDSAUDITLINK__" hidden="1">{"fdsup://directions/FAT Viewer?action=UPDATE&amp;creator=factset&amp;DYN_ARGS=TRUE&amp;DOC_NAME=FAT:FQL_AUDITING_CLIENT_TEMPLATE.FAT&amp;display_string=Audit&amp;VAR:KEY=RCXMPYLOXC&amp;VAR:QUERY=RkZfRUJJVERBX0lCKCdMVE1TJywzODkzOCk=&amp;WINDOW=FIRST_POPUP&amp;HEIGHT=450&amp;WIDTH=450&amp;START_MA","XIMIZED=FALSE&amp;VAR:CALENDAR=US&amp;VAR:SYMBOL=05614P10&amp;VAR:INDEX=0"}</definedName>
    <definedName name="_312__FDSAUDITLINK__" localSheetId="6" hidden="1">{"fdsup://directions/FAT%20Viewer?VAR:PED=LTM&amp;VAR:AUDIT_MODE=SUMMARY&amp;VAR:PERIOD=FIXED&amp;VAR:AUDIT_ID=00000117&amp;VAR:DATE=20090415&amp;action=UPDATE&amp;creator=factset&amp;DOC_NAME=FAT:FMA_audit_SUMMARY.fat&amp;DISPLAY_STRING=Display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2__FDSAUDITLINK__" hidden="1">{"fdsup://directions/FAT%20Viewer?VAR:PED=LTM&amp;VAR:AUDIT_MODE=SUMMARY&amp;VAR:PERIOD=FIXED&amp;VAR:AUDIT_ID=00000117&amp;VAR:DATE=20090415&amp;action=UPDATE&amp;creator=factset&amp;DOC_NAME=FAT:FMA_audit_SUMMARY.fat&amp;DISPLAY_STRING=Display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20__FDSAUDITLINK__" localSheetId="6" hidden="1">{"fdsup://directions/FAT Viewer?action=UPDATE&amp;creator=factset&amp;DYN_ARGS=TRUE&amp;DOC_NAME=FAT:FQL_AUDITING_CLIENT_TEMPLATE.FAT&amp;display_string=Audit&amp;VAR:KEY=TEHWRMBKNO&amp;VAR:QUERY=RkZfRUJJVERBX0lCKCdMVE1TJywzODkzNyk=&amp;WINDOW=FIRST_POPUP&amp;HEIGHT=450&amp;WIDTH=450&amp;START_MA","XIMIZED=FALSE&amp;VAR:CALENDAR=US&amp;VAR:SYMBOL=05614P10&amp;VAR:INDEX=0"}</definedName>
    <definedName name="_3120__FDSAUDITLINK__" hidden="1">{"fdsup://directions/FAT Viewer?action=UPDATE&amp;creator=factset&amp;DYN_ARGS=TRUE&amp;DOC_NAME=FAT:FQL_AUDITING_CLIENT_TEMPLATE.FAT&amp;display_string=Audit&amp;VAR:KEY=TEHWRMBKNO&amp;VAR:QUERY=RkZfRUJJVERBX0lCKCdMVE1TJywzODkzNyk=&amp;WINDOW=FIRST_POPUP&amp;HEIGHT=450&amp;WIDTH=450&amp;START_MA","XIMIZED=FALSE&amp;VAR:CALENDAR=US&amp;VAR:SYMBOL=05614P10&amp;VAR:INDEX=0"}</definedName>
    <definedName name="_3121__FDSAUDITLINK__" localSheetId="6" hidden="1">{"fdsup://directions/FAT Viewer?action=UPDATE&amp;creator=factset&amp;DYN_ARGS=TRUE&amp;DOC_NAME=FAT:FQL_AUDITING_CLIENT_TEMPLATE.FAT&amp;display_string=Audit&amp;VAR:KEY=XMDWZWXCJG&amp;VAR:QUERY=RkZfRUJJVERBX0lCKCdMVE1TJywzODkzNik=&amp;WINDOW=FIRST_POPUP&amp;HEIGHT=450&amp;WIDTH=450&amp;START_MA","XIMIZED=FALSE&amp;VAR:CALENDAR=US&amp;VAR:SYMBOL=05614P10&amp;VAR:INDEX=0"}</definedName>
    <definedName name="_3121__FDSAUDITLINK__" hidden="1">{"fdsup://directions/FAT Viewer?action=UPDATE&amp;creator=factset&amp;DYN_ARGS=TRUE&amp;DOC_NAME=FAT:FQL_AUDITING_CLIENT_TEMPLATE.FAT&amp;display_string=Audit&amp;VAR:KEY=XMDWZWXCJG&amp;VAR:QUERY=RkZfRUJJVERBX0lCKCdMVE1TJywzODkzNik=&amp;WINDOW=FIRST_POPUP&amp;HEIGHT=450&amp;WIDTH=450&amp;START_MA","XIMIZED=FALSE&amp;VAR:CALENDAR=US&amp;VAR:SYMBOL=05614P10&amp;VAR:INDEX=0"}</definedName>
    <definedName name="_3122__FDSAUDITLINK__" localSheetId="6" hidden="1">{"fdsup://directions/FAT Viewer?action=UPDATE&amp;creator=factset&amp;DYN_ARGS=TRUE&amp;DOC_NAME=FAT:FQL_AUDITING_CLIENT_TEMPLATE.FAT&amp;display_string=Audit&amp;VAR:KEY=RWFUXMLARC&amp;VAR:QUERY=RkZfRUJJVERBX0lCKCdMVE1TJywzODkzNSk=&amp;WINDOW=FIRST_POPUP&amp;HEIGHT=450&amp;WIDTH=450&amp;START_MA","XIMIZED=FALSE&amp;VAR:CALENDAR=US&amp;VAR:SYMBOL=05614P10&amp;VAR:INDEX=0"}</definedName>
    <definedName name="_3122__FDSAUDITLINK__" hidden="1">{"fdsup://directions/FAT Viewer?action=UPDATE&amp;creator=factset&amp;DYN_ARGS=TRUE&amp;DOC_NAME=FAT:FQL_AUDITING_CLIENT_TEMPLATE.FAT&amp;display_string=Audit&amp;VAR:KEY=RWFUXMLARC&amp;VAR:QUERY=RkZfRUJJVERBX0lCKCdMVE1TJywzODkzNSk=&amp;WINDOW=FIRST_POPUP&amp;HEIGHT=450&amp;WIDTH=450&amp;START_MA","XIMIZED=FALSE&amp;VAR:CALENDAR=US&amp;VAR:SYMBOL=05614P10&amp;VAR:INDEX=0"}</definedName>
    <definedName name="_3123__FDSAUDITLINK__" localSheetId="6" hidden="1">{"fdsup://directions/FAT Viewer?action=UPDATE&amp;creator=factset&amp;DYN_ARGS=TRUE&amp;DOC_NAME=FAT:FQL_AUDITING_CLIENT_TEMPLATE.FAT&amp;display_string=Audit&amp;VAR:KEY=JSHGNUHOBE&amp;VAR:QUERY=RkZfRUJJVERBX0lCKCdMVE1TJywzODkzNCk=&amp;WINDOW=FIRST_POPUP&amp;HEIGHT=450&amp;WIDTH=450&amp;START_MA","XIMIZED=FALSE&amp;VAR:CALENDAR=US&amp;VAR:SYMBOL=05614P10&amp;VAR:INDEX=0"}</definedName>
    <definedName name="_3123__FDSAUDITLINK__" hidden="1">{"fdsup://directions/FAT Viewer?action=UPDATE&amp;creator=factset&amp;DYN_ARGS=TRUE&amp;DOC_NAME=FAT:FQL_AUDITING_CLIENT_TEMPLATE.FAT&amp;display_string=Audit&amp;VAR:KEY=JSHGNUHOBE&amp;VAR:QUERY=RkZfRUJJVERBX0lCKCdMVE1TJywzODkzNCk=&amp;WINDOW=FIRST_POPUP&amp;HEIGHT=450&amp;WIDTH=450&amp;START_MA","XIMIZED=FALSE&amp;VAR:CALENDAR=US&amp;VAR:SYMBOL=05614P10&amp;VAR:INDEX=0"}</definedName>
    <definedName name="_3124__FDSAUDITLINK__" localSheetId="6" hidden="1">{"fdsup://directions/FAT Viewer?action=UPDATE&amp;creator=factset&amp;DYN_ARGS=TRUE&amp;DOC_NAME=FAT:FQL_AUDITING_CLIENT_TEMPLATE.FAT&amp;display_string=Audit&amp;VAR:KEY=VWFUHAPQXM&amp;VAR:QUERY=RkZfRUJJVERBX0lCKCdMVE1TJywzODkzMyk=&amp;WINDOW=FIRST_POPUP&amp;HEIGHT=450&amp;WIDTH=450&amp;START_MA","XIMIZED=FALSE&amp;VAR:CALENDAR=US&amp;VAR:SYMBOL=05614P10&amp;VAR:INDEX=0"}</definedName>
    <definedName name="_3124__FDSAUDITLINK__" hidden="1">{"fdsup://directions/FAT Viewer?action=UPDATE&amp;creator=factset&amp;DYN_ARGS=TRUE&amp;DOC_NAME=FAT:FQL_AUDITING_CLIENT_TEMPLATE.FAT&amp;display_string=Audit&amp;VAR:KEY=VWFUHAPQXM&amp;VAR:QUERY=RkZfRUJJVERBX0lCKCdMVE1TJywzODkzMyk=&amp;WINDOW=FIRST_POPUP&amp;HEIGHT=450&amp;WIDTH=450&amp;START_MA","XIMIZED=FALSE&amp;VAR:CALENDAR=US&amp;VAR:SYMBOL=05614P10&amp;VAR:INDEX=0"}</definedName>
    <definedName name="_3125__FDSAUDITLINK__" localSheetId="6" hidden="1">{"fdsup://directions/FAT Viewer?action=UPDATE&amp;creator=factset&amp;DYN_ARGS=TRUE&amp;DOC_NAME=FAT:FQL_AUDITING_CLIENT_TEMPLATE.FAT&amp;display_string=Audit&amp;VAR:KEY=TAPKTIDMHQ&amp;VAR:QUERY=RkZfRUJJVERBX0lCKCdMVE1TJywzODkzMik=&amp;WINDOW=FIRST_POPUP&amp;HEIGHT=450&amp;WIDTH=450&amp;START_MA","XIMIZED=FALSE&amp;VAR:CALENDAR=US&amp;VAR:SYMBOL=05614P10&amp;VAR:INDEX=0"}</definedName>
    <definedName name="_3125__FDSAUDITLINK__" hidden="1">{"fdsup://directions/FAT Viewer?action=UPDATE&amp;creator=factset&amp;DYN_ARGS=TRUE&amp;DOC_NAME=FAT:FQL_AUDITING_CLIENT_TEMPLATE.FAT&amp;display_string=Audit&amp;VAR:KEY=TAPKTIDMHQ&amp;VAR:QUERY=RkZfRUJJVERBX0lCKCdMVE1TJywzODkzMik=&amp;WINDOW=FIRST_POPUP&amp;HEIGHT=450&amp;WIDTH=450&amp;START_MA","XIMIZED=FALSE&amp;VAR:CALENDAR=US&amp;VAR:SYMBOL=05614P10&amp;VAR:INDEX=0"}</definedName>
    <definedName name="_3126__FDSAUDITLINK__" localSheetId="6" hidden="1">{"fdsup://directions/FAT Viewer?action=UPDATE&amp;creator=factset&amp;DYN_ARGS=TRUE&amp;DOC_NAME=FAT:FQL_AUDITING_CLIENT_TEMPLATE.FAT&amp;display_string=Audit&amp;VAR:KEY=PELMVABSTS&amp;VAR:QUERY=RkZfRUJJVERBX0lCKCdMVE1TJywzODkzMSk=&amp;WINDOW=FIRST_POPUP&amp;HEIGHT=450&amp;WIDTH=450&amp;START_MA","XIMIZED=FALSE&amp;VAR:CALENDAR=US&amp;VAR:SYMBOL=05614P10&amp;VAR:INDEX=0"}</definedName>
    <definedName name="_3126__FDSAUDITLINK__" hidden="1">{"fdsup://directions/FAT Viewer?action=UPDATE&amp;creator=factset&amp;DYN_ARGS=TRUE&amp;DOC_NAME=FAT:FQL_AUDITING_CLIENT_TEMPLATE.FAT&amp;display_string=Audit&amp;VAR:KEY=PELMVABSTS&amp;VAR:QUERY=RkZfRUJJVERBX0lCKCdMVE1TJywzODkzMSk=&amp;WINDOW=FIRST_POPUP&amp;HEIGHT=450&amp;WIDTH=450&amp;START_MA","XIMIZED=FALSE&amp;VAR:CALENDAR=US&amp;VAR:SYMBOL=05614P10&amp;VAR:INDEX=0"}</definedName>
    <definedName name="_3127__FDSAUDITLINK__" localSheetId="6" hidden="1">{"fdsup://directions/FAT Viewer?action=UPDATE&amp;creator=factset&amp;DYN_ARGS=TRUE&amp;DOC_NAME=FAT:FQL_AUDITING_CLIENT_TEMPLATE.FAT&amp;display_string=Audit&amp;VAR:KEY=VMXARYJUBI&amp;VAR:QUERY=RkZfRUJJVERBX0lCKCdMVE1TJywzODkzMCk=&amp;WINDOW=FIRST_POPUP&amp;HEIGHT=450&amp;WIDTH=450&amp;START_MA","XIMIZED=FALSE&amp;VAR:CALENDAR=US&amp;VAR:SYMBOL=05614P10&amp;VAR:INDEX=0"}</definedName>
    <definedName name="_3127__FDSAUDITLINK__" hidden="1">{"fdsup://directions/FAT Viewer?action=UPDATE&amp;creator=factset&amp;DYN_ARGS=TRUE&amp;DOC_NAME=FAT:FQL_AUDITING_CLIENT_TEMPLATE.FAT&amp;display_string=Audit&amp;VAR:KEY=VMXARYJUBI&amp;VAR:QUERY=RkZfRUJJVERBX0lCKCdMVE1TJywzODkzMCk=&amp;WINDOW=FIRST_POPUP&amp;HEIGHT=450&amp;WIDTH=450&amp;START_MA","XIMIZED=FALSE&amp;VAR:CALENDAR=US&amp;VAR:SYMBOL=05614P10&amp;VAR:INDEX=0"}</definedName>
    <definedName name="_3128__FDSAUDITLINK__" localSheetId="6" hidden="1">{"fdsup://directions/FAT Viewer?action=UPDATE&amp;creator=factset&amp;DYN_ARGS=TRUE&amp;DOC_NAME=FAT:FQL_AUDITING_CLIENT_TEMPLATE.FAT&amp;display_string=Audit&amp;VAR:KEY=ZCXQVILOVS&amp;VAR:QUERY=RkZfRUJJVERBX0lCKCdMVE1TJywzODkyOSk=&amp;WINDOW=FIRST_POPUP&amp;HEIGHT=450&amp;WIDTH=450&amp;START_MA","XIMIZED=FALSE&amp;VAR:CALENDAR=US&amp;VAR:SYMBOL=05614P10&amp;VAR:INDEX=0"}</definedName>
    <definedName name="_3128__FDSAUDITLINK__" hidden="1">{"fdsup://directions/FAT Viewer?action=UPDATE&amp;creator=factset&amp;DYN_ARGS=TRUE&amp;DOC_NAME=FAT:FQL_AUDITING_CLIENT_TEMPLATE.FAT&amp;display_string=Audit&amp;VAR:KEY=ZCXQVILOVS&amp;VAR:QUERY=RkZfRUJJVERBX0lCKCdMVE1TJywzODkyOSk=&amp;WINDOW=FIRST_POPUP&amp;HEIGHT=450&amp;WIDTH=450&amp;START_MA","XIMIZED=FALSE&amp;VAR:CALENDAR=US&amp;VAR:SYMBOL=05614P10&amp;VAR:INDEX=0"}</definedName>
    <definedName name="_3129__FDSAUDITLINK__" localSheetId="6" hidden="1">{"fdsup://directions/FAT Viewer?action=UPDATE&amp;creator=factset&amp;DYN_ARGS=TRUE&amp;DOC_NAME=FAT:FQL_AUDITING_CLIENT_TEMPLATE.FAT&amp;display_string=Audit&amp;VAR:KEY=ZSRSNWZQPW&amp;VAR:QUERY=RkZfRUJJVERBX0lCKCdMVE1TJywzODkyOCk=&amp;WINDOW=FIRST_POPUP&amp;HEIGHT=450&amp;WIDTH=450&amp;START_MA","XIMIZED=FALSE&amp;VAR:CALENDAR=US&amp;VAR:SYMBOL=05614P10&amp;VAR:INDEX=0"}</definedName>
    <definedName name="_3129__FDSAUDITLINK__" hidden="1">{"fdsup://directions/FAT Viewer?action=UPDATE&amp;creator=factset&amp;DYN_ARGS=TRUE&amp;DOC_NAME=FAT:FQL_AUDITING_CLIENT_TEMPLATE.FAT&amp;display_string=Audit&amp;VAR:KEY=ZSRSNWZQPW&amp;VAR:QUERY=RkZfRUJJVERBX0lCKCdMVE1TJywzODkyOCk=&amp;WINDOW=FIRST_POPUP&amp;HEIGHT=450&amp;WIDTH=450&amp;START_MA","XIMIZED=FALSE&amp;VAR:CALENDAR=US&amp;VAR:SYMBOL=05614P10&amp;VAR:INDEX=0"}</definedName>
    <definedName name="_313__FDSAUDITLINK__" localSheetId="6" hidden="1">{"fdsup://directions/FAT%20Viewer?VAR:PED=LTM&amp;VAR:AUDIT_MODE=SUMMARY&amp;VAR:PERIOD=FIXED&amp;VAR:AUDIT_ID=00000117&amp;VAR:DATE=20090414&amp;action=UPDATE&amp;creator=factset&amp;DOC_NAME=FAT:FMA_audit_SUMMARY.fat&amp;DISPLAY_STRING=Display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3__FDSAUDITLINK__" hidden="1">{"fdsup://directions/FAT%20Viewer?VAR:PED=LTM&amp;VAR:AUDIT_MODE=SUMMARY&amp;VAR:PERIOD=FIXED&amp;VAR:AUDIT_ID=00000117&amp;VAR:DATE=20090414&amp;action=UPDATE&amp;creator=factset&amp;DOC_NAME=FAT:FMA_audit_SUMMARY.fat&amp;DISPLAY_STRING=Display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30__FDSAUDITLINK__" localSheetId="6" hidden="1">{"fdsup://directions/FAT Viewer?action=UPDATE&amp;creator=factset&amp;DYN_ARGS=TRUE&amp;DOC_NAME=FAT:FQL_AUDITING_CLIENT_TEMPLATE.FAT&amp;display_string=Audit&amp;VAR:KEY=VQZUPMHCVY&amp;VAR:QUERY=RkZfRUJJVERBX0lCKCdMVE1TJywzODkyNyk=&amp;WINDOW=FIRST_POPUP&amp;HEIGHT=450&amp;WIDTH=450&amp;START_MA","XIMIZED=FALSE&amp;VAR:CALENDAR=US&amp;VAR:SYMBOL=05614P10&amp;VAR:INDEX=0"}</definedName>
    <definedName name="_3130__FDSAUDITLINK__" hidden="1">{"fdsup://directions/FAT Viewer?action=UPDATE&amp;creator=factset&amp;DYN_ARGS=TRUE&amp;DOC_NAME=FAT:FQL_AUDITING_CLIENT_TEMPLATE.FAT&amp;display_string=Audit&amp;VAR:KEY=VQZUPMHCVY&amp;VAR:QUERY=RkZfRUJJVERBX0lCKCdMVE1TJywzODkyNyk=&amp;WINDOW=FIRST_POPUP&amp;HEIGHT=450&amp;WIDTH=450&amp;START_MA","XIMIZED=FALSE&amp;VAR:CALENDAR=US&amp;VAR:SYMBOL=05614P10&amp;VAR:INDEX=0"}</definedName>
    <definedName name="_3131__FDSAUDITLINK__" localSheetId="6" hidden="1">{"fdsup://directions/FAT Viewer?action=UPDATE&amp;creator=factset&amp;DYN_ARGS=TRUE&amp;DOC_NAME=FAT:FQL_AUDITING_CLIENT_TEMPLATE.FAT&amp;display_string=Audit&amp;VAR:KEY=PWXOBQNWBQ&amp;VAR:QUERY=RkZfRUJJVERBX0lCKCdMVE1TJywzODkyNik=&amp;WINDOW=FIRST_POPUP&amp;HEIGHT=450&amp;WIDTH=450&amp;START_MA","XIMIZED=FALSE&amp;VAR:CALENDAR=US&amp;VAR:SYMBOL=05614P10&amp;VAR:INDEX=0"}</definedName>
    <definedName name="_3131__FDSAUDITLINK__" hidden="1">{"fdsup://directions/FAT Viewer?action=UPDATE&amp;creator=factset&amp;DYN_ARGS=TRUE&amp;DOC_NAME=FAT:FQL_AUDITING_CLIENT_TEMPLATE.FAT&amp;display_string=Audit&amp;VAR:KEY=PWXOBQNWBQ&amp;VAR:QUERY=RkZfRUJJVERBX0lCKCdMVE1TJywzODkyNik=&amp;WINDOW=FIRST_POPUP&amp;HEIGHT=450&amp;WIDTH=450&amp;START_MA","XIMIZED=FALSE&amp;VAR:CALENDAR=US&amp;VAR:SYMBOL=05614P10&amp;VAR:INDEX=0"}</definedName>
    <definedName name="_3132__FDSAUDITLINK__" localSheetId="6" hidden="1">{"fdsup://directions/FAT Viewer?action=UPDATE&amp;creator=factset&amp;DYN_ARGS=TRUE&amp;DOC_NAME=FAT:FQL_AUDITING_CLIENT_TEMPLATE.FAT&amp;display_string=Audit&amp;VAR:KEY=VCZELGTKTI&amp;VAR:QUERY=RkZfRUJJVERBX0lCKCdMVE1TJywzODkyNSk=&amp;WINDOW=FIRST_POPUP&amp;HEIGHT=450&amp;WIDTH=450&amp;START_MA","XIMIZED=FALSE&amp;VAR:CALENDAR=US&amp;VAR:SYMBOL=05614P10&amp;VAR:INDEX=0"}</definedName>
    <definedName name="_3132__FDSAUDITLINK__" hidden="1">{"fdsup://directions/FAT Viewer?action=UPDATE&amp;creator=factset&amp;DYN_ARGS=TRUE&amp;DOC_NAME=FAT:FQL_AUDITING_CLIENT_TEMPLATE.FAT&amp;display_string=Audit&amp;VAR:KEY=VCZELGTKTI&amp;VAR:QUERY=RkZfRUJJVERBX0lCKCdMVE1TJywzODkyNSk=&amp;WINDOW=FIRST_POPUP&amp;HEIGHT=450&amp;WIDTH=450&amp;START_MA","XIMIZED=FALSE&amp;VAR:CALENDAR=US&amp;VAR:SYMBOL=05614P10&amp;VAR:INDEX=0"}</definedName>
    <definedName name="_3133__FDSAUDITLINK__" localSheetId="6" hidden="1">{"fdsup://directions/FAT Viewer?action=UPDATE&amp;creator=factset&amp;DYN_ARGS=TRUE&amp;DOC_NAME=FAT:FQL_AUDITING_CLIENT_TEMPLATE.FAT&amp;display_string=Audit&amp;VAR:KEY=RCBEDCJMLW&amp;VAR:QUERY=RkZfRUJJVERBX0lCKCdMVE1TJywzODkyNCk=&amp;WINDOW=FIRST_POPUP&amp;HEIGHT=450&amp;WIDTH=450&amp;START_MA","XIMIZED=FALSE&amp;VAR:CALENDAR=US&amp;VAR:SYMBOL=05614P10&amp;VAR:INDEX=0"}</definedName>
    <definedName name="_3133__FDSAUDITLINK__" hidden="1">{"fdsup://directions/FAT Viewer?action=UPDATE&amp;creator=factset&amp;DYN_ARGS=TRUE&amp;DOC_NAME=FAT:FQL_AUDITING_CLIENT_TEMPLATE.FAT&amp;display_string=Audit&amp;VAR:KEY=RCBEDCJMLW&amp;VAR:QUERY=RkZfRUJJVERBX0lCKCdMVE1TJywzODkyNCk=&amp;WINDOW=FIRST_POPUP&amp;HEIGHT=450&amp;WIDTH=450&amp;START_MA","XIMIZED=FALSE&amp;VAR:CALENDAR=US&amp;VAR:SYMBOL=05614P10&amp;VAR:INDEX=0"}</definedName>
    <definedName name="_3134__FDSAUDITLINK__" localSheetId="6" hidden="1">{"fdsup://directions/FAT Viewer?action=UPDATE&amp;creator=factset&amp;DYN_ARGS=TRUE&amp;DOC_NAME=FAT:FQL_AUDITING_CLIENT_TEMPLATE.FAT&amp;display_string=Audit&amp;VAR:KEY=FYVOVWLAPM&amp;VAR:QUERY=RkZfRUJJVERBX0lCKCdMVE1TJywzODkyMyk=&amp;WINDOW=FIRST_POPUP&amp;HEIGHT=450&amp;WIDTH=450&amp;START_MA","XIMIZED=FALSE&amp;VAR:CALENDAR=US&amp;VAR:SYMBOL=05614P10&amp;VAR:INDEX=0"}</definedName>
    <definedName name="_3134__FDSAUDITLINK__" hidden="1">{"fdsup://directions/FAT Viewer?action=UPDATE&amp;creator=factset&amp;DYN_ARGS=TRUE&amp;DOC_NAME=FAT:FQL_AUDITING_CLIENT_TEMPLATE.FAT&amp;display_string=Audit&amp;VAR:KEY=FYVOVWLAPM&amp;VAR:QUERY=RkZfRUJJVERBX0lCKCdMVE1TJywzODkyMyk=&amp;WINDOW=FIRST_POPUP&amp;HEIGHT=450&amp;WIDTH=450&amp;START_MA","XIMIZED=FALSE&amp;VAR:CALENDAR=US&amp;VAR:SYMBOL=05614P10&amp;VAR:INDEX=0"}</definedName>
    <definedName name="_3135__FDSAUDITLINK__" localSheetId="6" hidden="1">{"fdsup://directions/FAT Viewer?action=UPDATE&amp;creator=factset&amp;DYN_ARGS=TRUE&amp;DOC_NAME=FAT:FQL_AUDITING_CLIENT_TEMPLATE.FAT&amp;display_string=Audit&amp;VAR:KEY=TWTMTWRGJY&amp;VAR:QUERY=RkZfRUJJVERBX0lCKCdMVE1TJywzODkyMik=&amp;WINDOW=FIRST_POPUP&amp;HEIGHT=450&amp;WIDTH=450&amp;START_MA","XIMIZED=FALSE&amp;VAR:CALENDAR=US&amp;VAR:SYMBOL=05614P10&amp;VAR:INDEX=0"}</definedName>
    <definedName name="_3135__FDSAUDITLINK__" hidden="1">{"fdsup://directions/FAT Viewer?action=UPDATE&amp;creator=factset&amp;DYN_ARGS=TRUE&amp;DOC_NAME=FAT:FQL_AUDITING_CLIENT_TEMPLATE.FAT&amp;display_string=Audit&amp;VAR:KEY=TWTMTWRGJY&amp;VAR:QUERY=RkZfRUJJVERBX0lCKCdMVE1TJywzODkyMik=&amp;WINDOW=FIRST_POPUP&amp;HEIGHT=450&amp;WIDTH=450&amp;START_MA","XIMIZED=FALSE&amp;VAR:CALENDAR=US&amp;VAR:SYMBOL=05614P10&amp;VAR:INDEX=0"}</definedName>
    <definedName name="_3136__FDSAUDITLINK__" localSheetId="6" hidden="1">{"fdsup://directions/FAT Viewer?action=UPDATE&amp;creator=factset&amp;DYN_ARGS=TRUE&amp;DOC_NAME=FAT:FQL_AUDITING_CLIENT_TEMPLATE.FAT&amp;display_string=Audit&amp;VAR:KEY=TMZMNMTCPW&amp;VAR:QUERY=RkZfRUJJVERBX0lCKCdMVE1TJywzODkyMSk=&amp;WINDOW=FIRST_POPUP&amp;HEIGHT=450&amp;WIDTH=450&amp;START_MA","XIMIZED=FALSE&amp;VAR:CALENDAR=US&amp;VAR:SYMBOL=05614P10&amp;VAR:INDEX=0"}</definedName>
    <definedName name="_3136__FDSAUDITLINK__" hidden="1">{"fdsup://directions/FAT Viewer?action=UPDATE&amp;creator=factset&amp;DYN_ARGS=TRUE&amp;DOC_NAME=FAT:FQL_AUDITING_CLIENT_TEMPLATE.FAT&amp;display_string=Audit&amp;VAR:KEY=TMZMNMTCPW&amp;VAR:QUERY=RkZfRUJJVERBX0lCKCdMVE1TJywzODkyMSk=&amp;WINDOW=FIRST_POPUP&amp;HEIGHT=450&amp;WIDTH=450&amp;START_MA","XIMIZED=FALSE&amp;VAR:CALENDAR=US&amp;VAR:SYMBOL=05614P10&amp;VAR:INDEX=0"}</definedName>
    <definedName name="_3137__FDSAUDITLINK__" localSheetId="6" hidden="1">{"fdsup://directions/FAT Viewer?action=UPDATE&amp;creator=factset&amp;DYN_ARGS=TRUE&amp;DOC_NAME=FAT:FQL_AUDITING_CLIENT_TEMPLATE.FAT&amp;display_string=Audit&amp;VAR:KEY=LWVALSZGBU&amp;VAR:QUERY=RkZfRUJJVERBX0lCKCdMVE1TJywzODkyMCk=&amp;WINDOW=FIRST_POPUP&amp;HEIGHT=450&amp;WIDTH=450&amp;START_MA","XIMIZED=FALSE&amp;VAR:CALENDAR=US&amp;VAR:SYMBOL=05614P10&amp;VAR:INDEX=0"}</definedName>
    <definedName name="_3137__FDSAUDITLINK__" hidden="1">{"fdsup://directions/FAT Viewer?action=UPDATE&amp;creator=factset&amp;DYN_ARGS=TRUE&amp;DOC_NAME=FAT:FQL_AUDITING_CLIENT_TEMPLATE.FAT&amp;display_string=Audit&amp;VAR:KEY=LWVALSZGBU&amp;VAR:QUERY=RkZfRUJJVERBX0lCKCdMVE1TJywzODkyMCk=&amp;WINDOW=FIRST_POPUP&amp;HEIGHT=450&amp;WIDTH=450&amp;START_MA","XIMIZED=FALSE&amp;VAR:CALENDAR=US&amp;VAR:SYMBOL=05614P10&amp;VAR:INDEX=0"}</definedName>
    <definedName name="_3138__FDSAUDITLINK__" localSheetId="6" hidden="1">{"fdsup://directions/FAT Viewer?action=UPDATE&amp;creator=factset&amp;DYN_ARGS=TRUE&amp;DOC_NAME=FAT:FQL_AUDITING_CLIENT_TEMPLATE.FAT&amp;display_string=Audit&amp;VAR:KEY=LGHGXQBSPW&amp;VAR:QUERY=RkZfRUJJVERBX0lCKCdMVE1TJywzODkxOSk=&amp;WINDOW=FIRST_POPUP&amp;HEIGHT=450&amp;WIDTH=450&amp;START_MA","XIMIZED=FALSE&amp;VAR:CALENDAR=US&amp;VAR:SYMBOL=05614P10&amp;VAR:INDEX=0"}</definedName>
    <definedName name="_3138__FDSAUDITLINK__" hidden="1">{"fdsup://directions/FAT Viewer?action=UPDATE&amp;creator=factset&amp;DYN_ARGS=TRUE&amp;DOC_NAME=FAT:FQL_AUDITING_CLIENT_TEMPLATE.FAT&amp;display_string=Audit&amp;VAR:KEY=LGHGXQBSPW&amp;VAR:QUERY=RkZfRUJJVERBX0lCKCdMVE1TJywzODkxOSk=&amp;WINDOW=FIRST_POPUP&amp;HEIGHT=450&amp;WIDTH=450&amp;START_MA","XIMIZED=FALSE&amp;VAR:CALENDAR=US&amp;VAR:SYMBOL=05614P10&amp;VAR:INDEX=0"}</definedName>
    <definedName name="_3139__FDSAUDITLINK__" localSheetId="6" hidden="1">{"fdsup://directions/FAT Viewer?action=UPDATE&amp;creator=factset&amp;DYN_ARGS=TRUE&amp;DOC_NAME=FAT:FQL_AUDITING_CLIENT_TEMPLATE.FAT&amp;display_string=Audit&amp;VAR:KEY=LQZALMDOJG&amp;VAR:QUERY=RkZfRUJJVERBX0lCKCdMVE1TJywzODkxOCk=&amp;WINDOW=FIRST_POPUP&amp;HEIGHT=450&amp;WIDTH=450&amp;START_MA","XIMIZED=FALSE&amp;VAR:CALENDAR=US&amp;VAR:SYMBOL=05614P10&amp;VAR:INDEX=0"}</definedName>
    <definedName name="_3139__FDSAUDITLINK__" hidden="1">{"fdsup://directions/FAT Viewer?action=UPDATE&amp;creator=factset&amp;DYN_ARGS=TRUE&amp;DOC_NAME=FAT:FQL_AUDITING_CLIENT_TEMPLATE.FAT&amp;display_string=Audit&amp;VAR:KEY=LQZALMDOJG&amp;VAR:QUERY=RkZfRUJJVERBX0lCKCdMVE1TJywzODkxOCk=&amp;WINDOW=FIRST_POPUP&amp;HEIGHT=450&amp;WIDTH=450&amp;START_MA","XIMIZED=FALSE&amp;VAR:CALENDAR=US&amp;VAR:SYMBOL=05614P10&amp;VAR:INDEX=0"}</definedName>
    <definedName name="_314__FDSAUDITLINK__" localSheetId="6" hidden="1">{"fdsup://directions/FAT%20Viewer?VAR:PED=LTM&amp;VAR:AUDIT_MODE=SUMMARY&amp;VAR:PERIOD=FIXED&amp;VAR:AUDIT_ID=00000117&amp;VAR:DATE=20090413&amp;action=UPDATE&amp;creator=factset&amp;DOC_NAME=FAT:FMA_audit_SUMMARY.fat&amp;DISPLAY_STRING=Display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4__FDSAUDITLINK__" hidden="1">{"fdsup://directions/FAT%20Viewer?VAR:PED=LTM&amp;VAR:AUDIT_MODE=SUMMARY&amp;VAR:PERIOD=FIXED&amp;VAR:AUDIT_ID=00000117&amp;VAR:DATE=20090413&amp;action=UPDATE&amp;creator=factset&amp;DOC_NAME=FAT:FMA_audit_SUMMARY.fat&amp;DISPLAY_STRING=Display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40__FDSAUDITLINK__" localSheetId="6" hidden="1">{"fdsup://directions/FAT Viewer?action=UPDATE&amp;creator=factset&amp;DYN_ARGS=TRUE&amp;DOC_NAME=FAT:FQL_AUDITING_CLIENT_TEMPLATE.FAT&amp;display_string=Audit&amp;VAR:KEY=NONCHCJMNW&amp;VAR:QUERY=RkZfRUJJVERBX0lCKCdMVE1TJywzODkxNyk=&amp;WINDOW=FIRST_POPUP&amp;HEIGHT=450&amp;WIDTH=450&amp;START_MA","XIMIZED=FALSE&amp;VAR:CALENDAR=US&amp;VAR:SYMBOL=05614P10&amp;VAR:INDEX=0"}</definedName>
    <definedName name="_3140__FDSAUDITLINK__" hidden="1">{"fdsup://directions/FAT Viewer?action=UPDATE&amp;creator=factset&amp;DYN_ARGS=TRUE&amp;DOC_NAME=FAT:FQL_AUDITING_CLIENT_TEMPLATE.FAT&amp;display_string=Audit&amp;VAR:KEY=NONCHCJMNW&amp;VAR:QUERY=RkZfRUJJVERBX0lCKCdMVE1TJywzODkxNyk=&amp;WINDOW=FIRST_POPUP&amp;HEIGHT=450&amp;WIDTH=450&amp;START_MA","XIMIZED=FALSE&amp;VAR:CALENDAR=US&amp;VAR:SYMBOL=05614P10&amp;VAR:INDEX=0"}</definedName>
    <definedName name="_3141__FDSAUDITLINK__" localSheetId="6" hidden="1">{"fdsup://directions/FAT Viewer?action=UPDATE&amp;creator=factset&amp;DYN_ARGS=TRUE&amp;DOC_NAME=FAT:FQL_AUDITING_CLIENT_TEMPLATE.FAT&amp;display_string=Audit&amp;VAR:KEY=PKDMPKDCLM&amp;VAR:QUERY=RkZfRUJJVERBX0lCKCdMVE1TJywzODkxNik=&amp;WINDOW=FIRST_POPUP&amp;HEIGHT=450&amp;WIDTH=450&amp;START_MA","XIMIZED=FALSE&amp;VAR:CALENDAR=US&amp;VAR:SYMBOL=05614P10&amp;VAR:INDEX=0"}</definedName>
    <definedName name="_3141__FDSAUDITLINK__" hidden="1">{"fdsup://directions/FAT Viewer?action=UPDATE&amp;creator=factset&amp;DYN_ARGS=TRUE&amp;DOC_NAME=FAT:FQL_AUDITING_CLIENT_TEMPLATE.FAT&amp;display_string=Audit&amp;VAR:KEY=PKDMPKDCLM&amp;VAR:QUERY=RkZfRUJJVERBX0lCKCdMVE1TJywzODkxNik=&amp;WINDOW=FIRST_POPUP&amp;HEIGHT=450&amp;WIDTH=450&amp;START_MA","XIMIZED=FALSE&amp;VAR:CALENDAR=US&amp;VAR:SYMBOL=05614P10&amp;VAR:INDEX=0"}</definedName>
    <definedName name="_3142__FDSAUDITLINK__" localSheetId="6" hidden="1">{"fdsup://directions/FAT Viewer?action=UPDATE&amp;creator=factset&amp;DYN_ARGS=TRUE&amp;DOC_NAME=FAT:FQL_AUDITING_CLIENT_TEMPLATE.FAT&amp;display_string=Audit&amp;VAR:KEY=DELKVYRWHE&amp;VAR:QUERY=RkZfRUJJVERBX0lCKCdMVE1TJywzODkxNSk=&amp;WINDOW=FIRST_POPUP&amp;HEIGHT=450&amp;WIDTH=450&amp;START_MA","XIMIZED=FALSE&amp;VAR:CALENDAR=US&amp;VAR:SYMBOL=05614P10&amp;VAR:INDEX=0"}</definedName>
    <definedName name="_3142__FDSAUDITLINK__" hidden="1">{"fdsup://directions/FAT Viewer?action=UPDATE&amp;creator=factset&amp;DYN_ARGS=TRUE&amp;DOC_NAME=FAT:FQL_AUDITING_CLIENT_TEMPLATE.FAT&amp;display_string=Audit&amp;VAR:KEY=DELKVYRWHE&amp;VAR:QUERY=RkZfRUJJVERBX0lCKCdMVE1TJywzODkxNSk=&amp;WINDOW=FIRST_POPUP&amp;HEIGHT=450&amp;WIDTH=450&amp;START_MA","XIMIZED=FALSE&amp;VAR:CALENDAR=US&amp;VAR:SYMBOL=05614P10&amp;VAR:INDEX=0"}</definedName>
    <definedName name="_3143__FDSAUDITLINK__" localSheetId="6" hidden="1">{"fdsup://directions/FAT Viewer?action=UPDATE&amp;creator=factset&amp;DYN_ARGS=TRUE&amp;DOC_NAME=FAT:FQL_AUDITING_CLIENT_TEMPLATE.FAT&amp;display_string=Audit&amp;VAR:KEY=NIFSNIXWHQ&amp;VAR:QUERY=RkZfRUJJVERBX0lCKCdMVE1TJywzODkxNCk=&amp;WINDOW=FIRST_POPUP&amp;HEIGHT=450&amp;WIDTH=450&amp;START_MA","XIMIZED=FALSE&amp;VAR:CALENDAR=US&amp;VAR:SYMBOL=05614P10&amp;VAR:INDEX=0"}</definedName>
    <definedName name="_3143__FDSAUDITLINK__" hidden="1">{"fdsup://directions/FAT Viewer?action=UPDATE&amp;creator=factset&amp;DYN_ARGS=TRUE&amp;DOC_NAME=FAT:FQL_AUDITING_CLIENT_TEMPLATE.FAT&amp;display_string=Audit&amp;VAR:KEY=NIFSNIXWHQ&amp;VAR:QUERY=RkZfRUJJVERBX0lCKCdMVE1TJywzODkxNCk=&amp;WINDOW=FIRST_POPUP&amp;HEIGHT=450&amp;WIDTH=450&amp;START_MA","XIMIZED=FALSE&amp;VAR:CALENDAR=US&amp;VAR:SYMBOL=05614P10&amp;VAR:INDEX=0"}</definedName>
    <definedName name="_3144__FDSAUDITLINK__" localSheetId="6" hidden="1">{"fdsup://directions/FAT Viewer?action=UPDATE&amp;creator=factset&amp;DYN_ARGS=TRUE&amp;DOC_NAME=FAT:FQL_AUDITING_CLIENT_TEMPLATE.FAT&amp;display_string=Audit&amp;VAR:KEY=NQTWNQLARS&amp;VAR:QUERY=RkZfRUJJVERBX0lCKCdMVE1TJywzODkxMyk=&amp;WINDOW=FIRST_POPUP&amp;HEIGHT=450&amp;WIDTH=450&amp;START_MA","XIMIZED=FALSE&amp;VAR:CALENDAR=US&amp;VAR:SYMBOL=05614P10&amp;VAR:INDEX=0"}</definedName>
    <definedName name="_3144__FDSAUDITLINK__" hidden="1">{"fdsup://directions/FAT Viewer?action=UPDATE&amp;creator=factset&amp;DYN_ARGS=TRUE&amp;DOC_NAME=FAT:FQL_AUDITING_CLIENT_TEMPLATE.FAT&amp;display_string=Audit&amp;VAR:KEY=NQTWNQLARS&amp;VAR:QUERY=RkZfRUJJVERBX0lCKCdMVE1TJywzODkxMyk=&amp;WINDOW=FIRST_POPUP&amp;HEIGHT=450&amp;WIDTH=450&amp;START_MA","XIMIZED=FALSE&amp;VAR:CALENDAR=US&amp;VAR:SYMBOL=05614P10&amp;VAR:INDEX=0"}</definedName>
    <definedName name="_3145__FDSAUDITLINK__" localSheetId="6" hidden="1">{"fdsup://directions/FAT Viewer?action=UPDATE&amp;creator=factset&amp;DYN_ARGS=TRUE&amp;DOC_NAME=FAT:FQL_AUDITING_CLIENT_TEMPLATE.FAT&amp;display_string=Audit&amp;VAR:KEY=JKXWVYRYZC&amp;VAR:QUERY=RkZfRUJJVERBX0lCKCdMVE1TJywzODkxMik=&amp;WINDOW=FIRST_POPUP&amp;HEIGHT=450&amp;WIDTH=450&amp;START_MA","XIMIZED=FALSE&amp;VAR:CALENDAR=US&amp;VAR:SYMBOL=05614P10&amp;VAR:INDEX=0"}</definedName>
    <definedName name="_3145__FDSAUDITLINK__" hidden="1">{"fdsup://directions/FAT Viewer?action=UPDATE&amp;creator=factset&amp;DYN_ARGS=TRUE&amp;DOC_NAME=FAT:FQL_AUDITING_CLIENT_TEMPLATE.FAT&amp;display_string=Audit&amp;VAR:KEY=JKXWVYRYZC&amp;VAR:QUERY=RkZfRUJJVERBX0lCKCdMVE1TJywzODkxMik=&amp;WINDOW=FIRST_POPUP&amp;HEIGHT=450&amp;WIDTH=450&amp;START_MA","XIMIZED=FALSE&amp;VAR:CALENDAR=US&amp;VAR:SYMBOL=05614P10&amp;VAR:INDEX=0"}</definedName>
    <definedName name="_3146__FDSAUDITLINK__" localSheetId="6" hidden="1">{"fdsup://directions/FAT Viewer?action=UPDATE&amp;creator=factset&amp;DYN_ARGS=TRUE&amp;DOC_NAME=FAT:FQL_AUDITING_CLIENT_TEMPLATE.FAT&amp;display_string=Audit&amp;VAR:KEY=BIPCBSDQVI&amp;VAR:QUERY=RkZfRUJJVERBX0lCKCdMVE1TJywzODkxMSk=&amp;WINDOW=FIRST_POPUP&amp;HEIGHT=450&amp;WIDTH=450&amp;START_MA","XIMIZED=FALSE&amp;VAR:CALENDAR=US&amp;VAR:SYMBOL=05614P10&amp;VAR:INDEX=0"}</definedName>
    <definedName name="_3146__FDSAUDITLINK__" hidden="1">{"fdsup://directions/FAT Viewer?action=UPDATE&amp;creator=factset&amp;DYN_ARGS=TRUE&amp;DOC_NAME=FAT:FQL_AUDITING_CLIENT_TEMPLATE.FAT&amp;display_string=Audit&amp;VAR:KEY=BIPCBSDQVI&amp;VAR:QUERY=RkZfRUJJVERBX0lCKCdMVE1TJywzODkxMSk=&amp;WINDOW=FIRST_POPUP&amp;HEIGHT=450&amp;WIDTH=450&amp;START_MA","XIMIZED=FALSE&amp;VAR:CALENDAR=US&amp;VAR:SYMBOL=05614P10&amp;VAR:INDEX=0"}</definedName>
    <definedName name="_3147__FDSAUDITLINK__" localSheetId="6" hidden="1">{"fdsup://directions/FAT Viewer?action=UPDATE&amp;creator=factset&amp;DYN_ARGS=TRUE&amp;DOC_NAME=FAT:FQL_AUDITING_CLIENT_TEMPLATE.FAT&amp;display_string=Audit&amp;VAR:KEY=XITWLEJMBA&amp;VAR:QUERY=RkZfRUJJVERBX0lCKCdMVE1TJywzODkxMCk=&amp;WINDOW=FIRST_POPUP&amp;HEIGHT=450&amp;WIDTH=450&amp;START_MA","XIMIZED=FALSE&amp;VAR:CALENDAR=US&amp;VAR:SYMBOL=05614P10&amp;VAR:INDEX=0"}</definedName>
    <definedName name="_3147__FDSAUDITLINK__" hidden="1">{"fdsup://directions/FAT Viewer?action=UPDATE&amp;creator=factset&amp;DYN_ARGS=TRUE&amp;DOC_NAME=FAT:FQL_AUDITING_CLIENT_TEMPLATE.FAT&amp;display_string=Audit&amp;VAR:KEY=XITWLEJMBA&amp;VAR:QUERY=RkZfRUJJVERBX0lCKCdMVE1TJywzODkxMCk=&amp;WINDOW=FIRST_POPUP&amp;HEIGHT=450&amp;WIDTH=450&amp;START_MA","XIMIZED=FALSE&amp;VAR:CALENDAR=US&amp;VAR:SYMBOL=05614P10&amp;VAR:INDEX=0"}</definedName>
    <definedName name="_3148__FDSAUDITLINK__" localSheetId="6" hidden="1">{"fdsup://directions/FAT Viewer?action=UPDATE&amp;creator=factset&amp;DYN_ARGS=TRUE&amp;DOC_NAME=FAT:FQL_AUDITING_CLIENT_TEMPLATE.FAT&amp;display_string=Audit&amp;VAR:KEY=JEVIXGFEVY&amp;VAR:QUERY=RkZfRUJJVERBX0lCKCdMVE1TJywzODkwOSk=&amp;WINDOW=FIRST_POPUP&amp;HEIGHT=450&amp;WIDTH=450&amp;START_MA","XIMIZED=FALSE&amp;VAR:CALENDAR=US&amp;VAR:SYMBOL=05614P10&amp;VAR:INDEX=0"}</definedName>
    <definedName name="_3148__FDSAUDITLINK__" hidden="1">{"fdsup://directions/FAT Viewer?action=UPDATE&amp;creator=factset&amp;DYN_ARGS=TRUE&amp;DOC_NAME=FAT:FQL_AUDITING_CLIENT_TEMPLATE.FAT&amp;display_string=Audit&amp;VAR:KEY=JEVIXGFEVY&amp;VAR:QUERY=RkZfRUJJVERBX0lCKCdMVE1TJywzODkwOSk=&amp;WINDOW=FIRST_POPUP&amp;HEIGHT=450&amp;WIDTH=450&amp;START_MA","XIMIZED=FALSE&amp;VAR:CALENDAR=US&amp;VAR:SYMBOL=05614P10&amp;VAR:INDEX=0"}</definedName>
    <definedName name="_3149__FDSAUDITLINK__" localSheetId="6" hidden="1">{"fdsup://directions/FAT Viewer?action=UPDATE&amp;creator=factset&amp;DYN_ARGS=TRUE&amp;DOC_NAME=FAT:FQL_AUDITING_CLIENT_TEMPLATE.FAT&amp;display_string=Audit&amp;VAR:KEY=VADOHGPSBW&amp;VAR:QUERY=RkZfRUJJVERBX0lCKCdMVE1TJywzODkwOCk=&amp;WINDOW=FIRST_POPUP&amp;HEIGHT=450&amp;WIDTH=450&amp;START_MA","XIMIZED=FALSE&amp;VAR:CALENDAR=US&amp;VAR:SYMBOL=05614P10&amp;VAR:INDEX=0"}</definedName>
    <definedName name="_3149__FDSAUDITLINK__" hidden="1">{"fdsup://directions/FAT Viewer?action=UPDATE&amp;creator=factset&amp;DYN_ARGS=TRUE&amp;DOC_NAME=FAT:FQL_AUDITING_CLIENT_TEMPLATE.FAT&amp;display_string=Audit&amp;VAR:KEY=VADOHGPSBW&amp;VAR:QUERY=RkZfRUJJVERBX0lCKCdMVE1TJywzODkwOCk=&amp;WINDOW=FIRST_POPUP&amp;HEIGHT=450&amp;WIDTH=450&amp;START_MA","XIMIZED=FALSE&amp;VAR:CALENDAR=US&amp;VAR:SYMBOL=05614P10&amp;VAR:INDEX=0"}</definedName>
    <definedName name="_315__FDSAUDITLINK__" localSheetId="6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5__FDSAUDITLINK__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50__FDSAUDITLINK__" localSheetId="6" hidden="1">{"fdsup://directions/FAT Viewer?action=UPDATE&amp;creator=factset&amp;DYN_ARGS=TRUE&amp;DOC_NAME=FAT:FQL_AUDITING_CLIENT_TEMPLATE.FAT&amp;display_string=Audit&amp;VAR:KEY=FWJKDQHIHU&amp;VAR:QUERY=RkZfRUJJVERBX0lCKCdMVE1TJywzODkwNyk=&amp;WINDOW=FIRST_POPUP&amp;HEIGHT=450&amp;WIDTH=450&amp;START_MA","XIMIZED=FALSE&amp;VAR:CALENDAR=US&amp;VAR:SYMBOL=05614P10&amp;VAR:INDEX=0"}</definedName>
    <definedName name="_3150__FDSAUDITLINK__" hidden="1">{"fdsup://directions/FAT Viewer?action=UPDATE&amp;creator=factset&amp;DYN_ARGS=TRUE&amp;DOC_NAME=FAT:FQL_AUDITING_CLIENT_TEMPLATE.FAT&amp;display_string=Audit&amp;VAR:KEY=FWJKDQHIHU&amp;VAR:QUERY=RkZfRUJJVERBX0lCKCdMVE1TJywzODkwNyk=&amp;WINDOW=FIRST_POPUP&amp;HEIGHT=450&amp;WIDTH=450&amp;START_MA","XIMIZED=FALSE&amp;VAR:CALENDAR=US&amp;VAR:SYMBOL=05614P10&amp;VAR:INDEX=0"}</definedName>
    <definedName name="_3151__FDSAUDITLINK__" localSheetId="6" hidden="1">{"fdsup://directions/FAT Viewer?action=UPDATE&amp;creator=factset&amp;DYN_ARGS=TRUE&amp;DOC_NAME=FAT:FQL_AUDITING_CLIENT_TEMPLATE.FAT&amp;display_string=Audit&amp;VAR:KEY=PAXIXSJCXC&amp;VAR:QUERY=RkZfRUJJVERBX0lCKCdMVE1TJywzODkwNik=&amp;WINDOW=FIRST_POPUP&amp;HEIGHT=450&amp;WIDTH=450&amp;START_MA","XIMIZED=FALSE&amp;VAR:CALENDAR=US&amp;VAR:SYMBOL=05614P10&amp;VAR:INDEX=0"}</definedName>
    <definedName name="_3151__FDSAUDITLINK__" hidden="1">{"fdsup://directions/FAT Viewer?action=UPDATE&amp;creator=factset&amp;DYN_ARGS=TRUE&amp;DOC_NAME=FAT:FQL_AUDITING_CLIENT_TEMPLATE.FAT&amp;display_string=Audit&amp;VAR:KEY=PAXIXSJCXC&amp;VAR:QUERY=RkZfRUJJVERBX0lCKCdMVE1TJywzODkwNik=&amp;WINDOW=FIRST_POPUP&amp;HEIGHT=450&amp;WIDTH=450&amp;START_MA","XIMIZED=FALSE&amp;VAR:CALENDAR=US&amp;VAR:SYMBOL=05614P10&amp;VAR:INDEX=0"}</definedName>
    <definedName name="_3152__FDSAUDITLINK__" localSheetId="6" hidden="1">{"fdsup://directions/FAT Viewer?action=UPDATE&amp;creator=factset&amp;DYN_ARGS=TRUE&amp;DOC_NAME=FAT:FQL_AUDITING_CLIENT_TEMPLATE.FAT&amp;display_string=Audit&amp;VAR:KEY=ZKLYLGDMJQ&amp;VAR:QUERY=RkZfRUJJVERBX0lCKCdMVE1TJywzODkwNSk=&amp;WINDOW=FIRST_POPUP&amp;HEIGHT=450&amp;WIDTH=450&amp;START_MA","XIMIZED=FALSE&amp;VAR:CALENDAR=US&amp;VAR:SYMBOL=05614P10&amp;VAR:INDEX=0"}</definedName>
    <definedName name="_3152__FDSAUDITLINK__" hidden="1">{"fdsup://directions/FAT Viewer?action=UPDATE&amp;creator=factset&amp;DYN_ARGS=TRUE&amp;DOC_NAME=FAT:FQL_AUDITING_CLIENT_TEMPLATE.FAT&amp;display_string=Audit&amp;VAR:KEY=ZKLYLGDMJQ&amp;VAR:QUERY=RkZfRUJJVERBX0lCKCdMVE1TJywzODkwNSk=&amp;WINDOW=FIRST_POPUP&amp;HEIGHT=450&amp;WIDTH=450&amp;START_MA","XIMIZED=FALSE&amp;VAR:CALENDAR=US&amp;VAR:SYMBOL=05614P10&amp;VAR:INDEX=0"}</definedName>
    <definedName name="_3153__FDSAUDITLINK__" localSheetId="6" hidden="1">{"fdsup://directions/FAT Viewer?action=UPDATE&amp;creator=factset&amp;DYN_ARGS=TRUE&amp;DOC_NAME=FAT:FQL_AUDITING_CLIENT_TEMPLATE.FAT&amp;display_string=Audit&amp;VAR:KEY=FUNAJSRSXA&amp;VAR:QUERY=RkZfRUJJVERBX0lCKCdMVE1TJywzODkwNCk=&amp;WINDOW=FIRST_POPUP&amp;HEIGHT=450&amp;WIDTH=450&amp;START_MA","XIMIZED=FALSE&amp;VAR:CALENDAR=US&amp;VAR:SYMBOL=05614P10&amp;VAR:INDEX=0"}</definedName>
    <definedName name="_3153__FDSAUDITLINK__" hidden="1">{"fdsup://directions/FAT Viewer?action=UPDATE&amp;creator=factset&amp;DYN_ARGS=TRUE&amp;DOC_NAME=FAT:FQL_AUDITING_CLIENT_TEMPLATE.FAT&amp;display_string=Audit&amp;VAR:KEY=FUNAJSRSXA&amp;VAR:QUERY=RkZfRUJJVERBX0lCKCdMVE1TJywzODkwNCk=&amp;WINDOW=FIRST_POPUP&amp;HEIGHT=450&amp;WIDTH=450&amp;START_MA","XIMIZED=FALSE&amp;VAR:CALENDAR=US&amp;VAR:SYMBOL=05614P10&amp;VAR:INDEX=0"}</definedName>
    <definedName name="_3154__FDSAUDITLINK__" localSheetId="6" hidden="1">{"fdsup://directions/FAT Viewer?action=UPDATE&amp;creator=factset&amp;DYN_ARGS=TRUE&amp;DOC_NAME=FAT:FQL_AUDITING_CLIENT_TEMPLATE.FAT&amp;display_string=Audit&amp;VAR:KEY=PWVQLUBCZK&amp;VAR:QUERY=RkZfRUJJVERBX0lCKCdMVE1TJywzODkwMyk=&amp;WINDOW=FIRST_POPUP&amp;HEIGHT=450&amp;WIDTH=450&amp;START_MA","XIMIZED=FALSE&amp;VAR:CALENDAR=US&amp;VAR:SYMBOL=05614P10&amp;VAR:INDEX=0"}</definedName>
    <definedName name="_3154__FDSAUDITLINK__" hidden="1">{"fdsup://directions/FAT Viewer?action=UPDATE&amp;creator=factset&amp;DYN_ARGS=TRUE&amp;DOC_NAME=FAT:FQL_AUDITING_CLIENT_TEMPLATE.FAT&amp;display_string=Audit&amp;VAR:KEY=PWVQLUBCZK&amp;VAR:QUERY=RkZfRUJJVERBX0lCKCdMVE1TJywzODkwMyk=&amp;WINDOW=FIRST_POPUP&amp;HEIGHT=450&amp;WIDTH=450&amp;START_MA","XIMIZED=FALSE&amp;VAR:CALENDAR=US&amp;VAR:SYMBOL=05614P10&amp;VAR:INDEX=0"}</definedName>
    <definedName name="_3155__FDSAUDITLINK__" localSheetId="6" hidden="1">{"fdsup://directions/FAT Viewer?action=UPDATE&amp;creator=factset&amp;DYN_ARGS=TRUE&amp;DOC_NAME=FAT:FQL_AUDITING_CLIENT_TEMPLATE.FAT&amp;display_string=Audit&amp;VAR:KEY=ZKVOLSZIVW&amp;VAR:QUERY=RkZfRUJJVERBX0lCKCdMVE1TJywzODkwMik=&amp;WINDOW=FIRST_POPUP&amp;HEIGHT=450&amp;WIDTH=450&amp;START_MA","XIMIZED=FALSE&amp;VAR:CALENDAR=US&amp;VAR:SYMBOL=05614P10&amp;VAR:INDEX=0"}</definedName>
    <definedName name="_3155__FDSAUDITLINK__" hidden="1">{"fdsup://directions/FAT Viewer?action=UPDATE&amp;creator=factset&amp;DYN_ARGS=TRUE&amp;DOC_NAME=FAT:FQL_AUDITING_CLIENT_TEMPLATE.FAT&amp;display_string=Audit&amp;VAR:KEY=ZKVOLSZIVW&amp;VAR:QUERY=RkZfRUJJVERBX0lCKCdMVE1TJywzODkwMik=&amp;WINDOW=FIRST_POPUP&amp;HEIGHT=450&amp;WIDTH=450&amp;START_MA","XIMIZED=FALSE&amp;VAR:CALENDAR=US&amp;VAR:SYMBOL=05614P10&amp;VAR:INDEX=0"}</definedName>
    <definedName name="_3156__FDSAUDITLINK__" localSheetId="6" hidden="1">{"fdsup://directions/FAT Viewer?action=UPDATE&amp;creator=factset&amp;DYN_ARGS=TRUE&amp;DOC_NAME=FAT:FQL_AUDITING_CLIENT_TEMPLATE.FAT&amp;display_string=Audit&amp;VAR:KEY=TOJOBMDWFQ&amp;VAR:QUERY=RkZfRUJJVERBX0lCKCdMVE1TJywzODkwMSk=&amp;WINDOW=FIRST_POPUP&amp;HEIGHT=450&amp;WIDTH=450&amp;START_MA","XIMIZED=FALSE&amp;VAR:CALENDAR=US&amp;VAR:SYMBOL=05614P10&amp;VAR:INDEX=0"}</definedName>
    <definedName name="_3156__FDSAUDITLINK__" hidden="1">{"fdsup://directions/FAT Viewer?action=UPDATE&amp;creator=factset&amp;DYN_ARGS=TRUE&amp;DOC_NAME=FAT:FQL_AUDITING_CLIENT_TEMPLATE.FAT&amp;display_string=Audit&amp;VAR:KEY=TOJOBMDWFQ&amp;VAR:QUERY=RkZfRUJJVERBX0lCKCdMVE1TJywzODkwMSk=&amp;WINDOW=FIRST_POPUP&amp;HEIGHT=450&amp;WIDTH=450&amp;START_MA","XIMIZED=FALSE&amp;VAR:CALENDAR=US&amp;VAR:SYMBOL=05614P10&amp;VAR:INDEX=0"}</definedName>
    <definedName name="_3157__FDSAUDITLINK__" localSheetId="6" hidden="1">{"fdsup://directions/FAT Viewer?action=UPDATE&amp;creator=factset&amp;DYN_ARGS=TRUE&amp;DOC_NAME=FAT:FQL_AUDITING_CLIENT_TEMPLATE.FAT&amp;display_string=Audit&amp;VAR:KEY=VCNSNEBYBI&amp;VAR:QUERY=RkZfRUJJVERBX0lCKCdMVE1TJywzODkwMCk=&amp;WINDOW=FIRST_POPUP&amp;HEIGHT=450&amp;WIDTH=450&amp;START_MA","XIMIZED=FALSE&amp;VAR:CALENDAR=US&amp;VAR:SYMBOL=05614P10&amp;VAR:INDEX=0"}</definedName>
    <definedName name="_3157__FDSAUDITLINK__" hidden="1">{"fdsup://directions/FAT Viewer?action=UPDATE&amp;creator=factset&amp;DYN_ARGS=TRUE&amp;DOC_NAME=FAT:FQL_AUDITING_CLIENT_TEMPLATE.FAT&amp;display_string=Audit&amp;VAR:KEY=VCNSNEBYBI&amp;VAR:QUERY=RkZfRUJJVERBX0lCKCdMVE1TJywzODkwMCk=&amp;WINDOW=FIRST_POPUP&amp;HEIGHT=450&amp;WIDTH=450&amp;START_MA","XIMIZED=FALSE&amp;VAR:CALENDAR=US&amp;VAR:SYMBOL=05614P10&amp;VAR:INDEX=0"}</definedName>
    <definedName name="_3158__FDSAUDITLINK__" localSheetId="6" hidden="1">{"fdsup://directions/FAT Viewer?action=UPDATE&amp;creator=factset&amp;DYN_ARGS=TRUE&amp;DOC_NAME=FAT:FQL_AUDITING_CLIENT_TEMPLATE.FAT&amp;display_string=Audit&amp;VAR:KEY=ZQTOJSTWPG&amp;VAR:QUERY=RkZfRUJJVERBX0lCKCdMVE1TJywzODg5OSk=&amp;WINDOW=FIRST_POPUP&amp;HEIGHT=450&amp;WIDTH=450&amp;START_MA","XIMIZED=FALSE&amp;VAR:CALENDAR=US&amp;VAR:SYMBOL=05614P10&amp;VAR:INDEX=0"}</definedName>
    <definedName name="_3158__FDSAUDITLINK__" hidden="1">{"fdsup://directions/FAT Viewer?action=UPDATE&amp;creator=factset&amp;DYN_ARGS=TRUE&amp;DOC_NAME=FAT:FQL_AUDITING_CLIENT_TEMPLATE.FAT&amp;display_string=Audit&amp;VAR:KEY=ZQTOJSTWPG&amp;VAR:QUERY=RkZfRUJJVERBX0lCKCdMVE1TJywzODg5OSk=&amp;WINDOW=FIRST_POPUP&amp;HEIGHT=450&amp;WIDTH=450&amp;START_MA","XIMIZED=FALSE&amp;VAR:CALENDAR=US&amp;VAR:SYMBOL=05614P10&amp;VAR:INDEX=0"}</definedName>
    <definedName name="_3159__FDSAUDITLINK__" localSheetId="6" hidden="1">{"fdsup://directions/FAT Viewer?action=UPDATE&amp;creator=factset&amp;DYN_ARGS=TRUE&amp;DOC_NAME=FAT:FQL_AUDITING_CLIENT_TEMPLATE.FAT&amp;display_string=Audit&amp;VAR:KEY=TYLYPCFQVC&amp;VAR:QUERY=RkZfRUJJVERBX0lCKCdMVE1TJywzODg5OCk=&amp;WINDOW=FIRST_POPUP&amp;HEIGHT=450&amp;WIDTH=450&amp;START_MA","XIMIZED=FALSE&amp;VAR:CALENDAR=US&amp;VAR:SYMBOL=05614P10&amp;VAR:INDEX=0"}</definedName>
    <definedName name="_3159__FDSAUDITLINK__" hidden="1">{"fdsup://directions/FAT Viewer?action=UPDATE&amp;creator=factset&amp;DYN_ARGS=TRUE&amp;DOC_NAME=FAT:FQL_AUDITING_CLIENT_TEMPLATE.FAT&amp;display_string=Audit&amp;VAR:KEY=TYLYPCFQVC&amp;VAR:QUERY=RkZfRUJJVERBX0lCKCdMVE1TJywzODg5OCk=&amp;WINDOW=FIRST_POPUP&amp;HEIGHT=450&amp;WIDTH=450&amp;START_MA","XIMIZED=FALSE&amp;VAR:CALENDAR=US&amp;VAR:SYMBOL=05614P10&amp;VAR:INDEX=0"}</definedName>
    <definedName name="_316__FDSAUDITLINK__" localSheetId="6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6__FDSAUDITLINK__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60__FDSAUDITLINK__" localSheetId="6" hidden="1">{"fdsup://directions/FAT Viewer?action=UPDATE&amp;creator=factset&amp;DYN_ARGS=TRUE&amp;DOC_NAME=FAT:FQL_AUDITING_CLIENT_TEMPLATE.FAT&amp;display_string=Audit&amp;VAR:KEY=FKXYFGDSLO&amp;VAR:QUERY=RkZfRUJJVERBX0lCKCdMVE1TJywzODg5Nyk=&amp;WINDOW=FIRST_POPUP&amp;HEIGHT=450&amp;WIDTH=450&amp;START_MA","XIMIZED=FALSE&amp;VAR:CALENDAR=US&amp;VAR:SYMBOL=05614P10&amp;VAR:INDEX=0"}</definedName>
    <definedName name="_3160__FDSAUDITLINK__" hidden="1">{"fdsup://directions/FAT Viewer?action=UPDATE&amp;creator=factset&amp;DYN_ARGS=TRUE&amp;DOC_NAME=FAT:FQL_AUDITING_CLIENT_TEMPLATE.FAT&amp;display_string=Audit&amp;VAR:KEY=FKXYFGDSLO&amp;VAR:QUERY=RkZfRUJJVERBX0lCKCdMVE1TJywzODg5Nyk=&amp;WINDOW=FIRST_POPUP&amp;HEIGHT=450&amp;WIDTH=450&amp;START_MA","XIMIZED=FALSE&amp;VAR:CALENDAR=US&amp;VAR:SYMBOL=05614P10&amp;VAR:INDEX=0"}</definedName>
    <definedName name="_3161__FDSAUDITLINK__" localSheetId="6" hidden="1">{"fdsup://directions/FAT Viewer?action=UPDATE&amp;creator=factset&amp;DYN_ARGS=TRUE&amp;DOC_NAME=FAT:FQL_AUDITING_CLIENT_TEMPLATE.FAT&amp;display_string=Audit&amp;VAR:KEY=XYRKJIDEJC&amp;VAR:QUERY=RkZfRUJJVERBX0lCKCdMVE1TJywzODg5Nik=&amp;WINDOW=FIRST_POPUP&amp;HEIGHT=450&amp;WIDTH=450&amp;START_MA","XIMIZED=FALSE&amp;VAR:CALENDAR=US&amp;VAR:SYMBOL=05614P10&amp;VAR:INDEX=0"}</definedName>
    <definedName name="_3161__FDSAUDITLINK__" hidden="1">{"fdsup://directions/FAT Viewer?action=UPDATE&amp;creator=factset&amp;DYN_ARGS=TRUE&amp;DOC_NAME=FAT:FQL_AUDITING_CLIENT_TEMPLATE.FAT&amp;display_string=Audit&amp;VAR:KEY=XYRKJIDEJC&amp;VAR:QUERY=RkZfRUJJVERBX0lCKCdMVE1TJywzODg5Nik=&amp;WINDOW=FIRST_POPUP&amp;HEIGHT=450&amp;WIDTH=450&amp;START_MA","XIMIZED=FALSE&amp;VAR:CALENDAR=US&amp;VAR:SYMBOL=05614P10&amp;VAR:INDEX=0"}</definedName>
    <definedName name="_3162__FDSAUDITLINK__" localSheetId="6" hidden="1">{"fdsup://directions/FAT Viewer?action=UPDATE&amp;creator=factset&amp;DYN_ARGS=TRUE&amp;DOC_NAME=FAT:FQL_AUDITING_CLIENT_TEMPLATE.FAT&amp;display_string=Audit&amp;VAR:KEY=TUBABUBYLU&amp;VAR:QUERY=RkZfRUJJVERBX0lCKCdMVE1TJywzODg5NSk=&amp;WINDOW=FIRST_POPUP&amp;HEIGHT=450&amp;WIDTH=450&amp;START_MA","XIMIZED=FALSE&amp;VAR:CALENDAR=US&amp;VAR:SYMBOL=05614P10&amp;VAR:INDEX=0"}</definedName>
    <definedName name="_3162__FDSAUDITLINK__" hidden="1">{"fdsup://directions/FAT Viewer?action=UPDATE&amp;creator=factset&amp;DYN_ARGS=TRUE&amp;DOC_NAME=FAT:FQL_AUDITING_CLIENT_TEMPLATE.FAT&amp;display_string=Audit&amp;VAR:KEY=TUBABUBYLU&amp;VAR:QUERY=RkZfRUJJVERBX0lCKCdMVE1TJywzODg5NSk=&amp;WINDOW=FIRST_POPUP&amp;HEIGHT=450&amp;WIDTH=450&amp;START_MA","XIMIZED=FALSE&amp;VAR:CALENDAR=US&amp;VAR:SYMBOL=05614P10&amp;VAR:INDEX=0"}</definedName>
    <definedName name="_3163__FDSAUDITLINK__" localSheetId="6" hidden="1">{"fdsup://directions/FAT Viewer?action=UPDATE&amp;creator=factset&amp;DYN_ARGS=TRUE&amp;DOC_NAME=FAT:FQL_AUDITING_CLIENT_TEMPLATE.FAT&amp;display_string=Audit&amp;VAR:KEY=VAPYPIFQHQ&amp;VAR:QUERY=RkZfRUJJVERBX0lCKCdMVE1TJywzODg5NCk=&amp;WINDOW=FIRST_POPUP&amp;HEIGHT=450&amp;WIDTH=450&amp;START_MA","XIMIZED=FALSE&amp;VAR:CALENDAR=US&amp;VAR:SYMBOL=05614P10&amp;VAR:INDEX=0"}</definedName>
    <definedName name="_3163__FDSAUDITLINK__" hidden="1">{"fdsup://directions/FAT Viewer?action=UPDATE&amp;creator=factset&amp;DYN_ARGS=TRUE&amp;DOC_NAME=FAT:FQL_AUDITING_CLIENT_TEMPLATE.FAT&amp;display_string=Audit&amp;VAR:KEY=VAPYPIFQHQ&amp;VAR:QUERY=RkZfRUJJVERBX0lCKCdMVE1TJywzODg5NCk=&amp;WINDOW=FIRST_POPUP&amp;HEIGHT=450&amp;WIDTH=450&amp;START_MA","XIMIZED=FALSE&amp;VAR:CALENDAR=US&amp;VAR:SYMBOL=05614P10&amp;VAR:INDEX=0"}</definedName>
    <definedName name="_3164__FDSAUDITLINK__" localSheetId="6" hidden="1">{"fdsup://directions/FAT Viewer?action=UPDATE&amp;creator=factset&amp;DYN_ARGS=TRUE&amp;DOC_NAME=FAT:FQL_AUDITING_CLIENT_TEMPLATE.FAT&amp;display_string=Audit&amp;VAR:KEY=DWVKHSBGLY&amp;VAR:QUERY=RkZfRUJJVERBX0lCKCdMVE1TJywzODg5Myk=&amp;WINDOW=FIRST_POPUP&amp;HEIGHT=450&amp;WIDTH=450&amp;START_MA","XIMIZED=FALSE&amp;VAR:CALENDAR=US&amp;VAR:SYMBOL=05614P10&amp;VAR:INDEX=0"}</definedName>
    <definedName name="_3164__FDSAUDITLINK__" hidden="1">{"fdsup://directions/FAT Viewer?action=UPDATE&amp;creator=factset&amp;DYN_ARGS=TRUE&amp;DOC_NAME=FAT:FQL_AUDITING_CLIENT_TEMPLATE.FAT&amp;display_string=Audit&amp;VAR:KEY=DWVKHSBGLY&amp;VAR:QUERY=RkZfRUJJVERBX0lCKCdMVE1TJywzODg5Myk=&amp;WINDOW=FIRST_POPUP&amp;HEIGHT=450&amp;WIDTH=450&amp;START_MA","XIMIZED=FALSE&amp;VAR:CALENDAR=US&amp;VAR:SYMBOL=05614P10&amp;VAR:INDEX=0"}</definedName>
    <definedName name="_3165__FDSAUDITLINK__" localSheetId="6" hidden="1">{"fdsup://directions/FAT Viewer?action=UPDATE&amp;creator=factset&amp;DYN_ARGS=TRUE&amp;DOC_NAME=FAT:FQL_AUDITING_CLIENT_TEMPLATE.FAT&amp;display_string=Audit&amp;VAR:KEY=DCLWBALUZG&amp;VAR:QUERY=RkZfRUJJVERBX0lCKCdMVE1TJywzODg5Mik=&amp;WINDOW=FIRST_POPUP&amp;HEIGHT=450&amp;WIDTH=450&amp;START_MA","XIMIZED=FALSE&amp;VAR:CALENDAR=US&amp;VAR:SYMBOL=05614P10&amp;VAR:INDEX=0"}</definedName>
    <definedName name="_3165__FDSAUDITLINK__" hidden="1">{"fdsup://directions/FAT Viewer?action=UPDATE&amp;creator=factset&amp;DYN_ARGS=TRUE&amp;DOC_NAME=FAT:FQL_AUDITING_CLIENT_TEMPLATE.FAT&amp;display_string=Audit&amp;VAR:KEY=DCLWBALUZG&amp;VAR:QUERY=RkZfRUJJVERBX0lCKCdMVE1TJywzODg5Mik=&amp;WINDOW=FIRST_POPUP&amp;HEIGHT=450&amp;WIDTH=450&amp;START_MA","XIMIZED=FALSE&amp;VAR:CALENDAR=US&amp;VAR:SYMBOL=05614P10&amp;VAR:INDEX=0"}</definedName>
    <definedName name="_3166__FDSAUDITLINK__" localSheetId="6" hidden="1">{"fdsup://directions/FAT Viewer?action=UPDATE&amp;creator=factset&amp;DYN_ARGS=TRUE&amp;DOC_NAME=FAT:FQL_AUDITING_CLIENT_TEMPLATE.FAT&amp;display_string=Audit&amp;VAR:KEY=XOVMBSXIRO&amp;VAR:QUERY=RkZfRUJJVERBX0lCKCdMVE1TJywzODg5MSk=&amp;WINDOW=FIRST_POPUP&amp;HEIGHT=450&amp;WIDTH=450&amp;START_MA","XIMIZED=FALSE&amp;VAR:CALENDAR=US&amp;VAR:SYMBOL=05614P10&amp;VAR:INDEX=0"}</definedName>
    <definedName name="_3166__FDSAUDITLINK__" hidden="1">{"fdsup://directions/FAT Viewer?action=UPDATE&amp;creator=factset&amp;DYN_ARGS=TRUE&amp;DOC_NAME=FAT:FQL_AUDITING_CLIENT_TEMPLATE.FAT&amp;display_string=Audit&amp;VAR:KEY=XOVMBSXIRO&amp;VAR:QUERY=RkZfRUJJVERBX0lCKCdMVE1TJywzODg5MSk=&amp;WINDOW=FIRST_POPUP&amp;HEIGHT=450&amp;WIDTH=450&amp;START_MA","XIMIZED=FALSE&amp;VAR:CALENDAR=US&amp;VAR:SYMBOL=05614P10&amp;VAR:INDEX=0"}</definedName>
    <definedName name="_3167__FDSAUDITLINK__" localSheetId="6" hidden="1">{"fdsup://directions/FAT Viewer?action=UPDATE&amp;creator=factset&amp;DYN_ARGS=TRUE&amp;DOC_NAME=FAT:FQL_AUDITING_CLIENT_TEMPLATE.FAT&amp;display_string=Audit&amp;VAR:KEY=XCJYZGDQDW&amp;VAR:QUERY=RkZfRUJJVERBX0lCKCdMVE1TJywzODg5MCk=&amp;WINDOW=FIRST_POPUP&amp;HEIGHT=450&amp;WIDTH=450&amp;START_MA","XIMIZED=FALSE&amp;VAR:CALENDAR=US&amp;VAR:SYMBOL=05614P10&amp;VAR:INDEX=0"}</definedName>
    <definedName name="_3167__FDSAUDITLINK__" hidden="1">{"fdsup://directions/FAT Viewer?action=UPDATE&amp;creator=factset&amp;DYN_ARGS=TRUE&amp;DOC_NAME=FAT:FQL_AUDITING_CLIENT_TEMPLATE.FAT&amp;display_string=Audit&amp;VAR:KEY=XCJYZGDQDW&amp;VAR:QUERY=RkZfRUJJVERBX0lCKCdMVE1TJywzODg5MCk=&amp;WINDOW=FIRST_POPUP&amp;HEIGHT=450&amp;WIDTH=450&amp;START_MA","XIMIZED=FALSE&amp;VAR:CALENDAR=US&amp;VAR:SYMBOL=05614P10&amp;VAR:INDEX=0"}</definedName>
    <definedName name="_3168__FDSAUDITLINK__" localSheetId="6" hidden="1">{"fdsup://directions/FAT Viewer?action=UPDATE&amp;creator=factset&amp;DYN_ARGS=TRUE&amp;DOC_NAME=FAT:FQL_AUDITING_CLIENT_TEMPLATE.FAT&amp;display_string=Audit&amp;VAR:KEY=FONWJGJYBW&amp;VAR:QUERY=RkZfRUJJVERBX0lCKCdMVE1TJywzODg4OSk=&amp;WINDOW=FIRST_POPUP&amp;HEIGHT=450&amp;WIDTH=450&amp;START_MA","XIMIZED=FALSE&amp;VAR:CALENDAR=US&amp;VAR:SYMBOL=05614P10&amp;VAR:INDEX=0"}</definedName>
    <definedName name="_3168__FDSAUDITLINK__" hidden="1">{"fdsup://directions/FAT Viewer?action=UPDATE&amp;creator=factset&amp;DYN_ARGS=TRUE&amp;DOC_NAME=FAT:FQL_AUDITING_CLIENT_TEMPLATE.FAT&amp;display_string=Audit&amp;VAR:KEY=FONWJGJYBW&amp;VAR:QUERY=RkZfRUJJVERBX0lCKCdMVE1TJywzODg4OSk=&amp;WINDOW=FIRST_POPUP&amp;HEIGHT=450&amp;WIDTH=450&amp;START_MA","XIMIZED=FALSE&amp;VAR:CALENDAR=US&amp;VAR:SYMBOL=05614P10&amp;VAR:INDEX=0"}</definedName>
    <definedName name="_3169__FDSAUDITLINK__" localSheetId="6" hidden="1">{"fdsup://directions/FAT Viewer?action=UPDATE&amp;creator=factset&amp;DYN_ARGS=TRUE&amp;DOC_NAME=FAT:FQL_AUDITING_CLIENT_TEMPLATE.FAT&amp;display_string=Audit&amp;VAR:KEY=TQHIJOXUXU&amp;VAR:QUERY=RkZfRUJJVERBX0lCKCdMVE1TJywzODg4OCk=&amp;WINDOW=FIRST_POPUP&amp;HEIGHT=450&amp;WIDTH=450&amp;START_MA","XIMIZED=FALSE&amp;VAR:CALENDAR=US&amp;VAR:SYMBOL=05614P10&amp;VAR:INDEX=0"}</definedName>
    <definedName name="_3169__FDSAUDITLINK__" hidden="1">{"fdsup://directions/FAT Viewer?action=UPDATE&amp;creator=factset&amp;DYN_ARGS=TRUE&amp;DOC_NAME=FAT:FQL_AUDITING_CLIENT_TEMPLATE.FAT&amp;display_string=Audit&amp;VAR:KEY=TQHIJOXUXU&amp;VAR:QUERY=RkZfRUJJVERBX0lCKCdMVE1TJywzODg4OCk=&amp;WINDOW=FIRST_POPUP&amp;HEIGHT=450&amp;WIDTH=450&amp;START_MA","XIMIZED=FALSE&amp;VAR:CALENDAR=US&amp;VAR:SYMBOL=05614P10&amp;VAR:INDEX=0"}</definedName>
    <definedName name="_317__FDSAUDITLINK__" localSheetId="6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7__FDSAUDITLINK__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70__FDSAUDITLINK__" localSheetId="6" hidden="1">{"fdsup://directions/FAT Viewer?action=UPDATE&amp;creator=factset&amp;DYN_ARGS=TRUE&amp;DOC_NAME=FAT:FQL_AUDITING_CLIENT_TEMPLATE.FAT&amp;display_string=Audit&amp;VAR:KEY=HGRWXUJYXM&amp;VAR:QUERY=RkZfRUJJVERBX0lCKCdMVE1TJywzODg4Nyk=&amp;WINDOW=FIRST_POPUP&amp;HEIGHT=450&amp;WIDTH=450&amp;START_MA","XIMIZED=FALSE&amp;VAR:CALENDAR=US&amp;VAR:SYMBOL=05614P10&amp;VAR:INDEX=0"}</definedName>
    <definedName name="_3170__FDSAUDITLINK__" hidden="1">{"fdsup://directions/FAT Viewer?action=UPDATE&amp;creator=factset&amp;DYN_ARGS=TRUE&amp;DOC_NAME=FAT:FQL_AUDITING_CLIENT_TEMPLATE.FAT&amp;display_string=Audit&amp;VAR:KEY=HGRWXUJYXM&amp;VAR:QUERY=RkZfRUJJVERBX0lCKCdMVE1TJywzODg4Nyk=&amp;WINDOW=FIRST_POPUP&amp;HEIGHT=450&amp;WIDTH=450&amp;START_MA","XIMIZED=FALSE&amp;VAR:CALENDAR=US&amp;VAR:SYMBOL=05614P10&amp;VAR:INDEX=0"}</definedName>
    <definedName name="_3171__FDSAUDITLINK__" localSheetId="6" hidden="1">{"fdsup://directions/FAT Viewer?action=UPDATE&amp;creator=factset&amp;DYN_ARGS=TRUE&amp;DOC_NAME=FAT:FQL_AUDITING_CLIENT_TEMPLATE.FAT&amp;display_string=Audit&amp;VAR:KEY=HGXCLYVQNS&amp;VAR:QUERY=RkZfRUJJVERBX0lCKCdMVE1TJywzODg4Nik=&amp;WINDOW=FIRST_POPUP&amp;HEIGHT=450&amp;WIDTH=450&amp;START_MA","XIMIZED=FALSE&amp;VAR:CALENDAR=US&amp;VAR:SYMBOL=05614P10&amp;VAR:INDEX=0"}</definedName>
    <definedName name="_3171__FDSAUDITLINK__" hidden="1">{"fdsup://directions/FAT Viewer?action=UPDATE&amp;creator=factset&amp;DYN_ARGS=TRUE&amp;DOC_NAME=FAT:FQL_AUDITING_CLIENT_TEMPLATE.FAT&amp;display_string=Audit&amp;VAR:KEY=HGXCLYVQNS&amp;VAR:QUERY=RkZfRUJJVERBX0lCKCdMVE1TJywzODg4Nik=&amp;WINDOW=FIRST_POPUP&amp;HEIGHT=450&amp;WIDTH=450&amp;START_MA","XIMIZED=FALSE&amp;VAR:CALENDAR=US&amp;VAR:SYMBOL=05614P10&amp;VAR:INDEX=0"}</definedName>
    <definedName name="_3172__FDSAUDITLINK__" localSheetId="6" hidden="1">{"fdsup://directions/FAT Viewer?action=UPDATE&amp;creator=factset&amp;DYN_ARGS=TRUE&amp;DOC_NAME=FAT:FQL_AUDITING_CLIENT_TEMPLATE.FAT&amp;display_string=Audit&amp;VAR:KEY=NULGVSNSDU&amp;VAR:QUERY=RkZfRUJJVERBX0lCKCdMVE1TJywzODg4NSk=&amp;WINDOW=FIRST_POPUP&amp;HEIGHT=450&amp;WIDTH=450&amp;START_MA","XIMIZED=FALSE&amp;VAR:CALENDAR=US&amp;VAR:SYMBOL=05614P10&amp;VAR:INDEX=0"}</definedName>
    <definedName name="_3172__FDSAUDITLINK__" hidden="1">{"fdsup://directions/FAT Viewer?action=UPDATE&amp;creator=factset&amp;DYN_ARGS=TRUE&amp;DOC_NAME=FAT:FQL_AUDITING_CLIENT_TEMPLATE.FAT&amp;display_string=Audit&amp;VAR:KEY=NULGVSNSDU&amp;VAR:QUERY=RkZfRUJJVERBX0lCKCdMVE1TJywzODg4NSk=&amp;WINDOW=FIRST_POPUP&amp;HEIGHT=450&amp;WIDTH=450&amp;START_MA","XIMIZED=FALSE&amp;VAR:CALENDAR=US&amp;VAR:SYMBOL=05614P10&amp;VAR:INDEX=0"}</definedName>
    <definedName name="_3173__FDSAUDITLINK__" localSheetId="6" hidden="1">{"fdsup://directions/FAT Viewer?action=UPDATE&amp;creator=factset&amp;DYN_ARGS=TRUE&amp;DOC_NAME=FAT:FQL_AUDITING_CLIENT_TEMPLATE.FAT&amp;display_string=Audit&amp;VAR:KEY=FEHUNWNIZE&amp;VAR:QUERY=RkZfRUJJVERBX0lCKCdMVE1TJywzODg4NCk=&amp;WINDOW=FIRST_POPUP&amp;HEIGHT=450&amp;WIDTH=450&amp;START_MA","XIMIZED=FALSE&amp;VAR:CALENDAR=US&amp;VAR:SYMBOL=05614P10&amp;VAR:INDEX=0"}</definedName>
    <definedName name="_3173__FDSAUDITLINK__" hidden="1">{"fdsup://directions/FAT Viewer?action=UPDATE&amp;creator=factset&amp;DYN_ARGS=TRUE&amp;DOC_NAME=FAT:FQL_AUDITING_CLIENT_TEMPLATE.FAT&amp;display_string=Audit&amp;VAR:KEY=FEHUNWNIZE&amp;VAR:QUERY=RkZfRUJJVERBX0lCKCdMVE1TJywzODg4NCk=&amp;WINDOW=FIRST_POPUP&amp;HEIGHT=450&amp;WIDTH=450&amp;START_MA","XIMIZED=FALSE&amp;VAR:CALENDAR=US&amp;VAR:SYMBOL=05614P10&amp;VAR:INDEX=0"}</definedName>
    <definedName name="_3174__FDSAUDITLINK__" localSheetId="6" hidden="1">{"fdsup://directions/FAT Viewer?action=UPDATE&amp;creator=factset&amp;DYN_ARGS=TRUE&amp;DOC_NAME=FAT:FQL_AUDITING_CLIENT_TEMPLATE.FAT&amp;display_string=Audit&amp;VAR:KEY=XIPEVIDQBQ&amp;VAR:QUERY=RkZfRUJJVERBX0lCKCdMVE1TJywzODg4Myk=&amp;WINDOW=FIRST_POPUP&amp;HEIGHT=450&amp;WIDTH=450&amp;START_MA","XIMIZED=FALSE&amp;VAR:CALENDAR=US&amp;VAR:SYMBOL=05614P10&amp;VAR:INDEX=0"}</definedName>
    <definedName name="_3174__FDSAUDITLINK__" hidden="1">{"fdsup://directions/FAT Viewer?action=UPDATE&amp;creator=factset&amp;DYN_ARGS=TRUE&amp;DOC_NAME=FAT:FQL_AUDITING_CLIENT_TEMPLATE.FAT&amp;display_string=Audit&amp;VAR:KEY=XIPEVIDQBQ&amp;VAR:QUERY=RkZfRUJJVERBX0lCKCdMVE1TJywzODg4Myk=&amp;WINDOW=FIRST_POPUP&amp;HEIGHT=450&amp;WIDTH=450&amp;START_MA","XIMIZED=FALSE&amp;VAR:CALENDAR=US&amp;VAR:SYMBOL=05614P10&amp;VAR:INDEX=0"}</definedName>
    <definedName name="_3175__FDSAUDITLINK__" localSheetId="6" hidden="1">{"fdsup://directions/FAT Viewer?action=UPDATE&amp;creator=factset&amp;DYN_ARGS=TRUE&amp;DOC_NAME=FAT:FQL_AUDITING_CLIENT_TEMPLATE.FAT&amp;display_string=Audit&amp;VAR:KEY=DCRGJEPYXM&amp;VAR:QUERY=RkZfRUJJVERBX0lCKCdMVE1TJywzODg4Mik=&amp;WINDOW=FIRST_POPUP&amp;HEIGHT=450&amp;WIDTH=450&amp;START_MA","XIMIZED=FALSE&amp;VAR:CALENDAR=US&amp;VAR:SYMBOL=05614P10&amp;VAR:INDEX=0"}</definedName>
    <definedName name="_3175__FDSAUDITLINK__" hidden="1">{"fdsup://directions/FAT Viewer?action=UPDATE&amp;creator=factset&amp;DYN_ARGS=TRUE&amp;DOC_NAME=FAT:FQL_AUDITING_CLIENT_TEMPLATE.FAT&amp;display_string=Audit&amp;VAR:KEY=DCRGJEPYXM&amp;VAR:QUERY=RkZfRUJJVERBX0lCKCdMVE1TJywzODg4Mik=&amp;WINDOW=FIRST_POPUP&amp;HEIGHT=450&amp;WIDTH=450&amp;START_MA","XIMIZED=FALSE&amp;VAR:CALENDAR=US&amp;VAR:SYMBOL=05614P10&amp;VAR:INDEX=0"}</definedName>
    <definedName name="_3176__FDSAUDITLINK__" localSheetId="6" hidden="1">{"fdsup://directions/FAT Viewer?action=UPDATE&amp;creator=factset&amp;DYN_ARGS=TRUE&amp;DOC_NAME=FAT:FQL_AUDITING_CLIENT_TEMPLATE.FAT&amp;display_string=Audit&amp;VAR:KEY=XKBKLYFMZC&amp;VAR:QUERY=RkZfRUJJVERBX0lCKCdMVE1TJywzODg4MSk=&amp;WINDOW=FIRST_POPUP&amp;HEIGHT=450&amp;WIDTH=450&amp;START_MA","XIMIZED=FALSE&amp;VAR:CALENDAR=US&amp;VAR:SYMBOL=05614P10&amp;VAR:INDEX=0"}</definedName>
    <definedName name="_3176__FDSAUDITLINK__" hidden="1">{"fdsup://directions/FAT Viewer?action=UPDATE&amp;creator=factset&amp;DYN_ARGS=TRUE&amp;DOC_NAME=FAT:FQL_AUDITING_CLIENT_TEMPLATE.FAT&amp;display_string=Audit&amp;VAR:KEY=XKBKLYFMZC&amp;VAR:QUERY=RkZfRUJJVERBX0lCKCdMVE1TJywzODg4MSk=&amp;WINDOW=FIRST_POPUP&amp;HEIGHT=450&amp;WIDTH=450&amp;START_MA","XIMIZED=FALSE&amp;VAR:CALENDAR=US&amp;VAR:SYMBOL=05614P10&amp;VAR:INDEX=0"}</definedName>
    <definedName name="_3177__FDSAUDITLINK__" localSheetId="6" hidden="1">{"fdsup://directions/FAT Viewer?action=UPDATE&amp;creator=factset&amp;DYN_ARGS=TRUE&amp;DOC_NAME=FAT:FQL_AUDITING_CLIENT_TEMPLATE.FAT&amp;display_string=Audit&amp;VAR:KEY=DSRAFGVOBG&amp;VAR:QUERY=RkZfRUJJVERBX0lCKCdMVE1TJywzODg4MCk=&amp;WINDOW=FIRST_POPUP&amp;HEIGHT=450&amp;WIDTH=450&amp;START_MA","XIMIZED=FALSE&amp;VAR:CALENDAR=US&amp;VAR:SYMBOL=05614P10&amp;VAR:INDEX=0"}</definedName>
    <definedName name="_3177__FDSAUDITLINK__" hidden="1">{"fdsup://directions/FAT Viewer?action=UPDATE&amp;creator=factset&amp;DYN_ARGS=TRUE&amp;DOC_NAME=FAT:FQL_AUDITING_CLIENT_TEMPLATE.FAT&amp;display_string=Audit&amp;VAR:KEY=DSRAFGVOBG&amp;VAR:QUERY=RkZfRUJJVERBX0lCKCdMVE1TJywzODg4MCk=&amp;WINDOW=FIRST_POPUP&amp;HEIGHT=450&amp;WIDTH=450&amp;START_MA","XIMIZED=FALSE&amp;VAR:CALENDAR=US&amp;VAR:SYMBOL=05614P10&amp;VAR:INDEX=0"}</definedName>
    <definedName name="_3178__FDSAUDITLINK__" localSheetId="6" hidden="1">{"fdsup://directions/FAT Viewer?action=UPDATE&amp;creator=factset&amp;DYN_ARGS=TRUE&amp;DOC_NAME=FAT:FQL_AUDITING_CLIENT_TEMPLATE.FAT&amp;display_string=Audit&amp;VAR:KEY=RAXELOLETU&amp;VAR:QUERY=RkZfRUJJVERBX0lCKCdMVE1TJywzODg3OSk=&amp;WINDOW=FIRST_POPUP&amp;HEIGHT=450&amp;WIDTH=450&amp;START_MA","XIMIZED=FALSE&amp;VAR:CALENDAR=US&amp;VAR:SYMBOL=05614P10&amp;VAR:INDEX=0"}</definedName>
    <definedName name="_3178__FDSAUDITLINK__" hidden="1">{"fdsup://directions/FAT Viewer?action=UPDATE&amp;creator=factset&amp;DYN_ARGS=TRUE&amp;DOC_NAME=FAT:FQL_AUDITING_CLIENT_TEMPLATE.FAT&amp;display_string=Audit&amp;VAR:KEY=RAXELOLETU&amp;VAR:QUERY=RkZfRUJJVERBX0lCKCdMVE1TJywzODg3OSk=&amp;WINDOW=FIRST_POPUP&amp;HEIGHT=450&amp;WIDTH=450&amp;START_MA","XIMIZED=FALSE&amp;VAR:CALENDAR=US&amp;VAR:SYMBOL=05614P10&amp;VAR:INDEX=0"}</definedName>
    <definedName name="_3179__FDSAUDITLINK__" localSheetId="6" hidden="1">{"fdsup://directions/FAT Viewer?action=UPDATE&amp;creator=factset&amp;DYN_ARGS=TRUE&amp;DOC_NAME=FAT:FQL_AUDITING_CLIENT_TEMPLATE.FAT&amp;display_string=Audit&amp;VAR:KEY=FUBEVSNWZC&amp;VAR:QUERY=RkZfRUJJVERBX0lCKCdMVE1TJywzODg3OCk=&amp;WINDOW=FIRST_POPUP&amp;HEIGHT=450&amp;WIDTH=450&amp;START_MA","XIMIZED=FALSE&amp;VAR:CALENDAR=US&amp;VAR:SYMBOL=05614P10&amp;VAR:INDEX=0"}</definedName>
    <definedName name="_3179__FDSAUDITLINK__" hidden="1">{"fdsup://directions/FAT Viewer?action=UPDATE&amp;creator=factset&amp;DYN_ARGS=TRUE&amp;DOC_NAME=FAT:FQL_AUDITING_CLIENT_TEMPLATE.FAT&amp;display_string=Audit&amp;VAR:KEY=FUBEVSNWZC&amp;VAR:QUERY=RkZfRUJJVERBX0lCKCdMVE1TJywzODg3OCk=&amp;WINDOW=FIRST_POPUP&amp;HEIGHT=450&amp;WIDTH=450&amp;START_MA","XIMIZED=FALSE&amp;VAR:CALENDAR=US&amp;VAR:SYMBOL=05614P10&amp;VAR:INDEX=0"}</definedName>
    <definedName name="_318__FDSAUDITLINK__" localSheetId="6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8__FDSAUDITLINK__" hidden="1">{"fdsup://directions/FAT%20Viewer?VAR:PED=LTM&amp;VAR:AUDIT_MODE=SUMMARY&amp;VAR:PERIOD=FIXED&amp;VAR:AUDIT_ID=00000117&amp;VAR:DATE=20090409&amp;action=UPDATE&amp;creator=factset&amp;DOC_NAME=FAT:FMA_audit_SUMMARY.fat&amp;DISPLAY_STRING=Display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80__FDSAUDITLINK__" localSheetId="6" hidden="1">{"fdsup://directions/FAT Viewer?action=UPDATE&amp;creator=factset&amp;DYN_ARGS=TRUE&amp;DOC_NAME=FAT:FQL_AUDITING_CLIENT_TEMPLATE.FAT&amp;display_string=Audit&amp;VAR:KEY=NGBAFCXORU&amp;VAR:QUERY=RkZfRUJJVERBX0lCKCdMVE1TJywzODg3Nyk=&amp;WINDOW=FIRST_POPUP&amp;HEIGHT=450&amp;WIDTH=450&amp;START_MA","XIMIZED=FALSE&amp;VAR:CALENDAR=US&amp;VAR:SYMBOL=05614P10&amp;VAR:INDEX=0"}</definedName>
    <definedName name="_3180__FDSAUDITLINK__" hidden="1">{"fdsup://directions/FAT Viewer?action=UPDATE&amp;creator=factset&amp;DYN_ARGS=TRUE&amp;DOC_NAME=FAT:FQL_AUDITING_CLIENT_TEMPLATE.FAT&amp;display_string=Audit&amp;VAR:KEY=NGBAFCXORU&amp;VAR:QUERY=RkZfRUJJVERBX0lCKCdMVE1TJywzODg3Nyk=&amp;WINDOW=FIRST_POPUP&amp;HEIGHT=450&amp;WIDTH=450&amp;START_MA","XIMIZED=FALSE&amp;VAR:CALENDAR=US&amp;VAR:SYMBOL=05614P10&amp;VAR:INDEX=0"}</definedName>
    <definedName name="_3181__FDSAUDITLINK__" localSheetId="6" hidden="1">{"fdsup://directions/FAT Viewer?action=UPDATE&amp;creator=factset&amp;DYN_ARGS=TRUE&amp;DOC_NAME=FAT:FQL_AUDITING_CLIENT_TEMPLATE.FAT&amp;display_string=Audit&amp;VAR:KEY=NQRONSNSXE&amp;VAR:QUERY=RkZfRUJJVERBX0lCKCdMVE1TJywzODg3Nik=&amp;WINDOW=FIRST_POPUP&amp;HEIGHT=450&amp;WIDTH=450&amp;START_MA","XIMIZED=FALSE&amp;VAR:CALENDAR=US&amp;VAR:SYMBOL=05614P10&amp;VAR:INDEX=0"}</definedName>
    <definedName name="_3181__FDSAUDITLINK__" hidden="1">{"fdsup://directions/FAT Viewer?action=UPDATE&amp;creator=factset&amp;DYN_ARGS=TRUE&amp;DOC_NAME=FAT:FQL_AUDITING_CLIENT_TEMPLATE.FAT&amp;display_string=Audit&amp;VAR:KEY=NQRONSNSXE&amp;VAR:QUERY=RkZfRUJJVERBX0lCKCdMVE1TJywzODg3Nik=&amp;WINDOW=FIRST_POPUP&amp;HEIGHT=450&amp;WIDTH=450&amp;START_MA","XIMIZED=FALSE&amp;VAR:CALENDAR=US&amp;VAR:SYMBOL=05614P10&amp;VAR:INDEX=0"}</definedName>
    <definedName name="_3182__FDSAUDITLINK__" localSheetId="6" hidden="1">{"fdsup://directions/FAT Viewer?action=UPDATE&amp;creator=factset&amp;DYN_ARGS=TRUE&amp;DOC_NAME=FAT:FQL_AUDITING_CLIENT_TEMPLATE.FAT&amp;display_string=Audit&amp;VAR:KEY=HSREVSXWRW&amp;VAR:QUERY=RkZfRUJJVERBX0lCKCdMVE1TJywzODg3NSk=&amp;WINDOW=FIRST_POPUP&amp;HEIGHT=450&amp;WIDTH=450&amp;START_MA","XIMIZED=FALSE&amp;VAR:CALENDAR=US&amp;VAR:SYMBOL=05614P10&amp;VAR:INDEX=0"}</definedName>
    <definedName name="_3182__FDSAUDITLINK__" hidden="1">{"fdsup://directions/FAT Viewer?action=UPDATE&amp;creator=factset&amp;DYN_ARGS=TRUE&amp;DOC_NAME=FAT:FQL_AUDITING_CLIENT_TEMPLATE.FAT&amp;display_string=Audit&amp;VAR:KEY=HSREVSXWRW&amp;VAR:QUERY=RkZfRUJJVERBX0lCKCdMVE1TJywzODg3NSk=&amp;WINDOW=FIRST_POPUP&amp;HEIGHT=450&amp;WIDTH=450&amp;START_MA","XIMIZED=FALSE&amp;VAR:CALENDAR=US&amp;VAR:SYMBOL=05614P10&amp;VAR:INDEX=0"}</definedName>
    <definedName name="_3183__FDSAUDITLINK__" localSheetId="6" hidden="1">{"fdsup://directions/FAT Viewer?action=UPDATE&amp;creator=factset&amp;DYN_ARGS=TRUE&amp;DOC_NAME=FAT:FQL_AUDITING_CLIENT_TEMPLATE.FAT&amp;display_string=Audit&amp;VAR:KEY=LADKJEDSTO&amp;VAR:QUERY=RkZfRUJJVERBX0lCKCdMVE1TJywzODg3NCk=&amp;WINDOW=FIRST_POPUP&amp;HEIGHT=450&amp;WIDTH=450&amp;START_MA","XIMIZED=FALSE&amp;VAR:CALENDAR=US&amp;VAR:SYMBOL=05614P10&amp;VAR:INDEX=0"}</definedName>
    <definedName name="_3183__FDSAUDITLINK__" hidden="1">{"fdsup://directions/FAT Viewer?action=UPDATE&amp;creator=factset&amp;DYN_ARGS=TRUE&amp;DOC_NAME=FAT:FQL_AUDITING_CLIENT_TEMPLATE.FAT&amp;display_string=Audit&amp;VAR:KEY=LADKJEDSTO&amp;VAR:QUERY=RkZfRUJJVERBX0lCKCdMVE1TJywzODg3NCk=&amp;WINDOW=FIRST_POPUP&amp;HEIGHT=450&amp;WIDTH=450&amp;START_MA","XIMIZED=FALSE&amp;VAR:CALENDAR=US&amp;VAR:SYMBOL=05614P10&amp;VAR:INDEX=0"}</definedName>
    <definedName name="_3184__FDSAUDITLINK__" localSheetId="6" hidden="1">{"fdsup://directions/FAT Viewer?action=UPDATE&amp;creator=factset&amp;DYN_ARGS=TRUE&amp;DOC_NAME=FAT:FQL_AUDITING_CLIENT_TEMPLATE.FAT&amp;display_string=Audit&amp;VAR:KEY=BMNSJKPEPG&amp;VAR:QUERY=RkZfRUJJVERBX0lCKCdMVE1TJywzODg3Myk=&amp;WINDOW=FIRST_POPUP&amp;HEIGHT=450&amp;WIDTH=450&amp;START_MA","XIMIZED=FALSE&amp;VAR:CALENDAR=US&amp;VAR:SYMBOL=05614P10&amp;VAR:INDEX=0"}</definedName>
    <definedName name="_3184__FDSAUDITLINK__" hidden="1">{"fdsup://directions/FAT Viewer?action=UPDATE&amp;creator=factset&amp;DYN_ARGS=TRUE&amp;DOC_NAME=FAT:FQL_AUDITING_CLIENT_TEMPLATE.FAT&amp;display_string=Audit&amp;VAR:KEY=BMNSJKPEPG&amp;VAR:QUERY=RkZfRUJJVERBX0lCKCdMVE1TJywzODg3Myk=&amp;WINDOW=FIRST_POPUP&amp;HEIGHT=450&amp;WIDTH=450&amp;START_MA","XIMIZED=FALSE&amp;VAR:CALENDAR=US&amp;VAR:SYMBOL=05614P10&amp;VAR:INDEX=0"}</definedName>
    <definedName name="_3185__FDSAUDITLINK__" localSheetId="6" hidden="1">{"fdsup://directions/FAT Viewer?action=UPDATE&amp;creator=factset&amp;DYN_ARGS=TRUE&amp;DOC_NAME=FAT:FQL_AUDITING_CLIENT_TEMPLATE.FAT&amp;display_string=Audit&amp;VAR:KEY=LQPWZGJWVQ&amp;VAR:QUERY=RkZfRUJJVERBX0lCKCdMVE1TJywzODg3Mik=&amp;WINDOW=FIRST_POPUP&amp;HEIGHT=450&amp;WIDTH=450&amp;START_MA","XIMIZED=FALSE&amp;VAR:CALENDAR=US&amp;VAR:SYMBOL=05614P10&amp;VAR:INDEX=0"}</definedName>
    <definedName name="_3185__FDSAUDITLINK__" hidden="1">{"fdsup://directions/FAT Viewer?action=UPDATE&amp;creator=factset&amp;DYN_ARGS=TRUE&amp;DOC_NAME=FAT:FQL_AUDITING_CLIENT_TEMPLATE.FAT&amp;display_string=Audit&amp;VAR:KEY=LQPWZGJWVQ&amp;VAR:QUERY=RkZfRUJJVERBX0lCKCdMVE1TJywzODg3Mik=&amp;WINDOW=FIRST_POPUP&amp;HEIGHT=450&amp;WIDTH=450&amp;START_MA","XIMIZED=FALSE&amp;VAR:CALENDAR=US&amp;VAR:SYMBOL=05614P10&amp;VAR:INDEX=0"}</definedName>
    <definedName name="_3186__FDSAUDITLINK__" localSheetId="6" hidden="1">{"fdsup://directions/FAT Viewer?action=UPDATE&amp;creator=factset&amp;DYN_ARGS=TRUE&amp;DOC_NAME=FAT:FQL_AUDITING_CLIENT_TEMPLATE.FAT&amp;display_string=Audit&amp;VAR:KEY=DOXGTQNOPE&amp;VAR:QUERY=RkZfRUJJVERBX0lCKCdMVE1TJywzODg3MSk=&amp;WINDOW=FIRST_POPUP&amp;HEIGHT=450&amp;WIDTH=450&amp;START_MA","XIMIZED=FALSE&amp;VAR:CALENDAR=US&amp;VAR:SYMBOL=05614P10&amp;VAR:INDEX=0"}</definedName>
    <definedName name="_3186__FDSAUDITLINK__" hidden="1">{"fdsup://directions/FAT Viewer?action=UPDATE&amp;creator=factset&amp;DYN_ARGS=TRUE&amp;DOC_NAME=FAT:FQL_AUDITING_CLIENT_TEMPLATE.FAT&amp;display_string=Audit&amp;VAR:KEY=DOXGTQNOPE&amp;VAR:QUERY=RkZfRUJJVERBX0lCKCdMVE1TJywzODg3MSk=&amp;WINDOW=FIRST_POPUP&amp;HEIGHT=450&amp;WIDTH=450&amp;START_MA","XIMIZED=FALSE&amp;VAR:CALENDAR=US&amp;VAR:SYMBOL=05614P10&amp;VAR:INDEX=0"}</definedName>
    <definedName name="_3187__FDSAUDITLINK__" localSheetId="6" hidden="1">{"fdsup://directions/FAT Viewer?action=UPDATE&amp;creator=factset&amp;DYN_ARGS=TRUE&amp;DOC_NAME=FAT:FQL_AUDITING_CLIENT_TEMPLATE.FAT&amp;display_string=Audit&amp;VAR:KEY=TSJEXGJONK&amp;VAR:QUERY=RkZfRUJJVERBX0lCKCdMVE1TJywzODg3MCk=&amp;WINDOW=FIRST_POPUP&amp;HEIGHT=450&amp;WIDTH=450&amp;START_MA","XIMIZED=FALSE&amp;VAR:CALENDAR=US&amp;VAR:SYMBOL=05614P10&amp;VAR:INDEX=0"}</definedName>
    <definedName name="_3187__FDSAUDITLINK__" hidden="1">{"fdsup://directions/FAT Viewer?action=UPDATE&amp;creator=factset&amp;DYN_ARGS=TRUE&amp;DOC_NAME=FAT:FQL_AUDITING_CLIENT_TEMPLATE.FAT&amp;display_string=Audit&amp;VAR:KEY=TSJEXGJONK&amp;VAR:QUERY=RkZfRUJJVERBX0lCKCdMVE1TJywzODg3MCk=&amp;WINDOW=FIRST_POPUP&amp;HEIGHT=450&amp;WIDTH=450&amp;START_MA","XIMIZED=FALSE&amp;VAR:CALENDAR=US&amp;VAR:SYMBOL=05614P10&amp;VAR:INDEX=0"}</definedName>
    <definedName name="_3188__FDSAUDITLINK__" localSheetId="6" hidden="1">{"fdsup://directions/FAT Viewer?action=UPDATE&amp;creator=factset&amp;DYN_ARGS=TRUE&amp;DOC_NAME=FAT:FQL_AUDITING_CLIENT_TEMPLATE.FAT&amp;display_string=Audit&amp;VAR:KEY=JIDEJCBYDE&amp;VAR:QUERY=RkZfRUJJVERBX0lCKCdMVE1TJywzODg2OSk=&amp;WINDOW=FIRST_POPUP&amp;HEIGHT=450&amp;WIDTH=450&amp;START_MA","XIMIZED=FALSE&amp;VAR:CALENDAR=US&amp;VAR:SYMBOL=05614P10&amp;VAR:INDEX=0"}</definedName>
    <definedName name="_3188__FDSAUDITLINK__" hidden="1">{"fdsup://directions/FAT Viewer?action=UPDATE&amp;creator=factset&amp;DYN_ARGS=TRUE&amp;DOC_NAME=FAT:FQL_AUDITING_CLIENT_TEMPLATE.FAT&amp;display_string=Audit&amp;VAR:KEY=JIDEJCBYDE&amp;VAR:QUERY=RkZfRUJJVERBX0lCKCdMVE1TJywzODg2OSk=&amp;WINDOW=FIRST_POPUP&amp;HEIGHT=450&amp;WIDTH=450&amp;START_MA","XIMIZED=FALSE&amp;VAR:CALENDAR=US&amp;VAR:SYMBOL=05614P10&amp;VAR:INDEX=0"}</definedName>
    <definedName name="_3189__FDSAUDITLINK__" localSheetId="6" hidden="1">{"fdsup://directions/FAT Viewer?action=UPDATE&amp;creator=factset&amp;DYN_ARGS=TRUE&amp;DOC_NAME=FAT:FQL_AUDITING_CLIENT_TEMPLATE.FAT&amp;display_string=Audit&amp;VAR:KEY=ZIFYNSFURA&amp;VAR:QUERY=RkZfRUJJVERBX0lCKCdMVE1TJywzODg2OCk=&amp;WINDOW=FIRST_POPUP&amp;HEIGHT=450&amp;WIDTH=450&amp;START_MA","XIMIZED=FALSE&amp;VAR:CALENDAR=US&amp;VAR:SYMBOL=05614P10&amp;VAR:INDEX=0"}</definedName>
    <definedName name="_3189__FDSAUDITLINK__" hidden="1">{"fdsup://directions/FAT Viewer?action=UPDATE&amp;creator=factset&amp;DYN_ARGS=TRUE&amp;DOC_NAME=FAT:FQL_AUDITING_CLIENT_TEMPLATE.FAT&amp;display_string=Audit&amp;VAR:KEY=ZIFYNSFURA&amp;VAR:QUERY=RkZfRUJJVERBX0lCKCdMVE1TJywzODg2OCk=&amp;WINDOW=FIRST_POPUP&amp;HEIGHT=450&amp;WIDTH=450&amp;START_MA","XIMIZED=FALSE&amp;VAR:CALENDAR=US&amp;VAR:SYMBOL=05614P10&amp;VAR:INDEX=0"}</definedName>
    <definedName name="_319__FDSAUDITLINK__" localSheetId="6" hidden="1">{"fdsup://directions/FAT%20Viewer?VAR:PED=LTM&amp;VAR:AUDIT_MODE=SUMMARY&amp;VAR:PERIOD=FIXED&amp;VAR:AUDIT_ID=00000117&amp;VAR:DATE=20090408&amp;action=UPDATE&amp;creator=factset&amp;DOC_NAME=FAT:FMA_audit_SUMMARY.fat&amp;DISPLAY_STRING=Display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9__FDSAUDITLINK__" hidden="1">{"fdsup://directions/FAT%20Viewer?VAR:PED=LTM&amp;VAR:AUDIT_MODE=SUMMARY&amp;VAR:PERIOD=FIXED&amp;VAR:AUDIT_ID=00000117&amp;VAR:DATE=20090408&amp;action=UPDATE&amp;creator=factset&amp;DOC_NAME=FAT:FMA_audit_SUMMARY.fat&amp;DISPLAY_STRING=Display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190__FDSAUDITLINK__" localSheetId="6" hidden="1">{"fdsup://directions/FAT Viewer?action=UPDATE&amp;creator=factset&amp;DYN_ARGS=TRUE&amp;DOC_NAME=FAT:FQL_AUDITING_CLIENT_TEMPLATE.FAT&amp;display_string=Audit&amp;VAR:KEY=VQLCHWDWHM&amp;VAR:QUERY=RkZfRUJJVERBX0lCKCdMVE1TJywzODg2Nyk=&amp;WINDOW=FIRST_POPUP&amp;HEIGHT=450&amp;WIDTH=450&amp;START_MA","XIMIZED=FALSE&amp;VAR:CALENDAR=US&amp;VAR:SYMBOL=05614P10&amp;VAR:INDEX=0"}</definedName>
    <definedName name="_3190__FDSAUDITLINK__" hidden="1">{"fdsup://directions/FAT Viewer?action=UPDATE&amp;creator=factset&amp;DYN_ARGS=TRUE&amp;DOC_NAME=FAT:FQL_AUDITING_CLIENT_TEMPLATE.FAT&amp;display_string=Audit&amp;VAR:KEY=VQLCHWDWHM&amp;VAR:QUERY=RkZfRUJJVERBX0lCKCdMVE1TJywzODg2Nyk=&amp;WINDOW=FIRST_POPUP&amp;HEIGHT=450&amp;WIDTH=450&amp;START_MA","XIMIZED=FALSE&amp;VAR:CALENDAR=US&amp;VAR:SYMBOL=05614P10&amp;VAR:INDEX=0"}</definedName>
    <definedName name="_3191__FDSAUDITLINK__" localSheetId="6" hidden="1">{"fdsup://directions/FAT Viewer?action=UPDATE&amp;creator=factset&amp;DYN_ARGS=TRUE&amp;DOC_NAME=FAT:FQL_AUDITING_CLIENT_TEMPLATE.FAT&amp;display_string=Audit&amp;VAR:KEY=POVEFWXUXW&amp;VAR:QUERY=RkZfRUJJVERBX0lCKCdMVE1TJywzODg2Nik=&amp;WINDOW=FIRST_POPUP&amp;HEIGHT=450&amp;WIDTH=450&amp;START_MA","XIMIZED=FALSE&amp;VAR:CALENDAR=US&amp;VAR:SYMBOL=05614P10&amp;VAR:INDEX=0"}</definedName>
    <definedName name="_3191__FDSAUDITLINK__" hidden="1">{"fdsup://directions/FAT Viewer?action=UPDATE&amp;creator=factset&amp;DYN_ARGS=TRUE&amp;DOC_NAME=FAT:FQL_AUDITING_CLIENT_TEMPLATE.FAT&amp;display_string=Audit&amp;VAR:KEY=POVEFWXUXW&amp;VAR:QUERY=RkZfRUJJVERBX0lCKCdMVE1TJywzODg2Nik=&amp;WINDOW=FIRST_POPUP&amp;HEIGHT=450&amp;WIDTH=450&amp;START_MA","XIMIZED=FALSE&amp;VAR:CALENDAR=US&amp;VAR:SYMBOL=05614P10&amp;VAR:INDEX=0"}</definedName>
    <definedName name="_3192__FDSAUDITLINK__" localSheetId="6" hidden="1">{"fdsup://directions/FAT Viewer?action=UPDATE&amp;creator=factset&amp;DYN_ARGS=TRUE&amp;DOC_NAME=FAT:FQL_AUDITING_CLIENT_TEMPLATE.FAT&amp;display_string=Audit&amp;VAR:KEY=BSFKBUNQRC&amp;VAR:QUERY=RkZfRUJJVERBX0lCKCdMVE1TJywzODg2NSk=&amp;WINDOW=FIRST_POPUP&amp;HEIGHT=450&amp;WIDTH=450&amp;START_MA","XIMIZED=FALSE&amp;VAR:CALENDAR=US&amp;VAR:SYMBOL=05614P10&amp;VAR:INDEX=0"}</definedName>
    <definedName name="_3192__FDSAUDITLINK__" hidden="1">{"fdsup://directions/FAT Viewer?action=UPDATE&amp;creator=factset&amp;DYN_ARGS=TRUE&amp;DOC_NAME=FAT:FQL_AUDITING_CLIENT_TEMPLATE.FAT&amp;display_string=Audit&amp;VAR:KEY=BSFKBUNQRC&amp;VAR:QUERY=RkZfRUJJVERBX0lCKCdMVE1TJywzODg2NSk=&amp;WINDOW=FIRST_POPUP&amp;HEIGHT=450&amp;WIDTH=450&amp;START_MA","XIMIZED=FALSE&amp;VAR:CALENDAR=US&amp;VAR:SYMBOL=05614P10&amp;VAR:INDEX=0"}</definedName>
    <definedName name="_3193__FDSAUDITLINK__" localSheetId="6" hidden="1">{"fdsup://directions/FAT Viewer?action=UPDATE&amp;creator=factset&amp;DYN_ARGS=TRUE&amp;DOC_NAME=FAT:FQL_AUDITING_CLIENT_TEMPLATE.FAT&amp;display_string=Audit&amp;VAR:KEY=BQZYPGTKBM&amp;VAR:QUERY=RkZfRUJJVERBX0lCKCdMVE1TJywzODg2NCk=&amp;WINDOW=FIRST_POPUP&amp;HEIGHT=450&amp;WIDTH=450&amp;START_MA","XIMIZED=FALSE&amp;VAR:CALENDAR=US&amp;VAR:SYMBOL=05614P10&amp;VAR:INDEX=0"}</definedName>
    <definedName name="_3193__FDSAUDITLINK__" hidden="1">{"fdsup://directions/FAT Viewer?action=UPDATE&amp;creator=factset&amp;DYN_ARGS=TRUE&amp;DOC_NAME=FAT:FQL_AUDITING_CLIENT_TEMPLATE.FAT&amp;display_string=Audit&amp;VAR:KEY=BQZYPGTKBM&amp;VAR:QUERY=RkZfRUJJVERBX0lCKCdMVE1TJywzODg2NCk=&amp;WINDOW=FIRST_POPUP&amp;HEIGHT=450&amp;WIDTH=450&amp;START_MA","XIMIZED=FALSE&amp;VAR:CALENDAR=US&amp;VAR:SYMBOL=05614P10&amp;VAR:INDEX=0"}</definedName>
    <definedName name="_3194__FDSAUDITLINK__" localSheetId="6" hidden="1">{"fdsup://directions/FAT Viewer?action=UPDATE&amp;creator=factset&amp;DYN_ARGS=TRUE&amp;DOC_NAME=FAT:FQL_AUDITING_CLIENT_TEMPLATE.FAT&amp;display_string=Audit&amp;VAR:KEY=FAPIDYZYLC&amp;VAR:QUERY=RkZfRUJJVERBX0lCKCdMVE1TJywzODg2Myk=&amp;WINDOW=FIRST_POPUP&amp;HEIGHT=450&amp;WIDTH=450&amp;START_MA","XIMIZED=FALSE&amp;VAR:CALENDAR=US&amp;VAR:SYMBOL=05614P10&amp;VAR:INDEX=0"}</definedName>
    <definedName name="_3194__FDSAUDITLINK__" hidden="1">{"fdsup://directions/FAT Viewer?action=UPDATE&amp;creator=factset&amp;DYN_ARGS=TRUE&amp;DOC_NAME=FAT:FQL_AUDITING_CLIENT_TEMPLATE.FAT&amp;display_string=Audit&amp;VAR:KEY=FAPIDYZYLC&amp;VAR:QUERY=RkZfRUJJVERBX0lCKCdMVE1TJywzODg2Myk=&amp;WINDOW=FIRST_POPUP&amp;HEIGHT=450&amp;WIDTH=450&amp;START_MA","XIMIZED=FALSE&amp;VAR:CALENDAR=US&amp;VAR:SYMBOL=05614P10&amp;VAR:INDEX=0"}</definedName>
    <definedName name="_3195__FDSAUDITLINK__" localSheetId="6" hidden="1">{"fdsup://directions/FAT Viewer?action=UPDATE&amp;creator=factset&amp;DYN_ARGS=TRUE&amp;DOC_NAME=FAT:FQL_AUDITING_CLIENT_TEMPLATE.FAT&amp;display_string=Audit&amp;VAR:KEY=ZQNAVCBYJK&amp;VAR:QUERY=RkZfRUJJVERBX0lCKCdMVE1TJywzODg2Mik=&amp;WINDOW=FIRST_POPUP&amp;HEIGHT=450&amp;WIDTH=450&amp;START_MA","XIMIZED=FALSE&amp;VAR:CALENDAR=US&amp;VAR:SYMBOL=05614P10&amp;VAR:INDEX=0"}</definedName>
    <definedName name="_3195__FDSAUDITLINK__" hidden="1">{"fdsup://directions/FAT Viewer?action=UPDATE&amp;creator=factset&amp;DYN_ARGS=TRUE&amp;DOC_NAME=FAT:FQL_AUDITING_CLIENT_TEMPLATE.FAT&amp;display_string=Audit&amp;VAR:KEY=ZQNAVCBYJK&amp;VAR:QUERY=RkZfRUJJVERBX0lCKCdMVE1TJywzODg2Mik=&amp;WINDOW=FIRST_POPUP&amp;HEIGHT=450&amp;WIDTH=450&amp;START_MA","XIMIZED=FALSE&amp;VAR:CALENDAR=US&amp;VAR:SYMBOL=05614P10&amp;VAR:INDEX=0"}</definedName>
    <definedName name="_3196__FDSAUDITLINK__" localSheetId="6" hidden="1">{"fdsup://directions/FAT Viewer?action=UPDATE&amp;creator=factset&amp;DYN_ARGS=TRUE&amp;DOC_NAME=FAT:FQL_AUDITING_CLIENT_TEMPLATE.FAT&amp;display_string=Audit&amp;VAR:KEY=REHMLMLKFS&amp;VAR:QUERY=RkZfRUJJVERBX0lCKCdMVE1TJywzODg2MSk=&amp;WINDOW=FIRST_POPUP&amp;HEIGHT=450&amp;WIDTH=450&amp;START_MA","XIMIZED=FALSE&amp;VAR:CALENDAR=US&amp;VAR:SYMBOL=05614P10&amp;VAR:INDEX=0"}</definedName>
    <definedName name="_3196__FDSAUDITLINK__" hidden="1">{"fdsup://directions/FAT Viewer?action=UPDATE&amp;creator=factset&amp;DYN_ARGS=TRUE&amp;DOC_NAME=FAT:FQL_AUDITING_CLIENT_TEMPLATE.FAT&amp;display_string=Audit&amp;VAR:KEY=REHMLMLKFS&amp;VAR:QUERY=RkZfRUJJVERBX0lCKCdMVE1TJywzODg2MSk=&amp;WINDOW=FIRST_POPUP&amp;HEIGHT=450&amp;WIDTH=450&amp;START_MA","XIMIZED=FALSE&amp;VAR:CALENDAR=US&amp;VAR:SYMBOL=05614P10&amp;VAR:INDEX=0"}</definedName>
    <definedName name="_3197__FDSAUDITLINK__" localSheetId="6" hidden="1">{"fdsup://directions/FAT Viewer?action=UPDATE&amp;creator=factset&amp;DYN_ARGS=TRUE&amp;DOC_NAME=FAT:FQL_AUDITING_CLIENT_TEMPLATE.FAT&amp;display_string=Audit&amp;VAR:KEY=NSTQRSLKZG&amp;VAR:QUERY=RkZfRUJJVERBX0lCKCdMVE1TJywzODg2MCk=&amp;WINDOW=FIRST_POPUP&amp;HEIGHT=450&amp;WIDTH=450&amp;START_MA","XIMIZED=FALSE&amp;VAR:CALENDAR=US&amp;VAR:SYMBOL=05614P10&amp;VAR:INDEX=0"}</definedName>
    <definedName name="_3197__FDSAUDITLINK__" hidden="1">{"fdsup://directions/FAT Viewer?action=UPDATE&amp;creator=factset&amp;DYN_ARGS=TRUE&amp;DOC_NAME=FAT:FQL_AUDITING_CLIENT_TEMPLATE.FAT&amp;display_string=Audit&amp;VAR:KEY=NSTQRSLKZG&amp;VAR:QUERY=RkZfRUJJVERBX0lCKCdMVE1TJywzODg2MCk=&amp;WINDOW=FIRST_POPUP&amp;HEIGHT=450&amp;WIDTH=450&amp;START_MA","XIMIZED=FALSE&amp;VAR:CALENDAR=US&amp;VAR:SYMBOL=05614P10&amp;VAR:INDEX=0"}</definedName>
    <definedName name="_3198__FDSAUDITLINK__" localSheetId="6" hidden="1">{"fdsup://directions/FAT Viewer?action=UPDATE&amp;creator=factset&amp;DYN_ARGS=TRUE&amp;DOC_NAME=FAT:FQL_AUDITING_CLIENT_TEMPLATE.FAT&amp;display_string=Audit&amp;VAR:KEY=LCLKRYLMNA&amp;VAR:QUERY=RkZfRUJJVERBX0lCKCdMVE1TJywzODg1OSk=&amp;WINDOW=FIRST_POPUP&amp;HEIGHT=450&amp;WIDTH=450&amp;START_MA","XIMIZED=FALSE&amp;VAR:CALENDAR=US&amp;VAR:SYMBOL=05614P10&amp;VAR:INDEX=0"}</definedName>
    <definedName name="_3198__FDSAUDITLINK__" hidden="1">{"fdsup://directions/FAT Viewer?action=UPDATE&amp;creator=factset&amp;DYN_ARGS=TRUE&amp;DOC_NAME=FAT:FQL_AUDITING_CLIENT_TEMPLATE.FAT&amp;display_string=Audit&amp;VAR:KEY=LCLKRYLMNA&amp;VAR:QUERY=RkZfRUJJVERBX0lCKCdMVE1TJywzODg1OSk=&amp;WINDOW=FIRST_POPUP&amp;HEIGHT=450&amp;WIDTH=450&amp;START_MA","XIMIZED=FALSE&amp;VAR:CALENDAR=US&amp;VAR:SYMBOL=05614P10&amp;VAR:INDEX=0"}</definedName>
    <definedName name="_3199__FDSAUDITLINK__" localSheetId="6" hidden="1">{"fdsup://directions/FAT Viewer?action=UPDATE&amp;creator=factset&amp;DYN_ARGS=TRUE&amp;DOC_NAME=FAT:FQL_AUDITING_CLIENT_TEMPLATE.FAT&amp;display_string=Audit&amp;VAR:KEY=BSBSDUVUVQ&amp;VAR:QUERY=RkZfRUJJVERBX0lCKCdMVE1TJywzODg1OCk=&amp;WINDOW=FIRST_POPUP&amp;HEIGHT=450&amp;WIDTH=450&amp;START_MA","XIMIZED=FALSE&amp;VAR:CALENDAR=US&amp;VAR:SYMBOL=05614P10&amp;VAR:INDEX=0"}</definedName>
    <definedName name="_3199__FDSAUDITLINK__" hidden="1">{"fdsup://directions/FAT Viewer?action=UPDATE&amp;creator=factset&amp;DYN_ARGS=TRUE&amp;DOC_NAME=FAT:FQL_AUDITING_CLIENT_TEMPLATE.FAT&amp;display_string=Audit&amp;VAR:KEY=BSBSDUVUVQ&amp;VAR:QUERY=RkZfRUJJVERBX0lCKCdMVE1TJywzODg1OCk=&amp;WINDOW=FIRST_POPUP&amp;HEIGHT=450&amp;WIDTH=450&amp;START_MA","XIMIZED=FALSE&amp;VAR:CALENDAR=US&amp;VAR:SYMBOL=05614P10&amp;VAR:INDEX=0"}</definedName>
    <definedName name="_32__FDSAUDITLINK__" localSheetId="6" hidden="1">{"fdsup://directions/FAT Viewer?action=UPDATE&amp;creator=factset&amp;DYN_ARGS=TRUE&amp;DOC_NAME=FAT:FQL_AUDITING_CLIENT_TEMPLATE.FAT&amp;display_string=Audit&amp;VAR:KEY=NGPYZWPOXU&amp;VAR:QUERY=RkZfSU5WRU5fREFZUyhBTk4sNDExNjkp&amp;WINDOW=FIRST_POPUP&amp;HEIGHT=450&amp;WIDTH=450&amp;START_MAXIMI","ZED=FALSE&amp;VAR:CALENDAR=US&amp;VAR:SYMBOL=50188920&amp;VAR:INDEX=0"}</definedName>
    <definedName name="_32__FDSAUDITLINK__" hidden="1">{"fdsup://directions/FAT Viewer?action=UPDATE&amp;creator=factset&amp;DYN_ARGS=TRUE&amp;DOC_NAME=FAT:FQL_AUDITING_CLIENT_TEMPLATE.FAT&amp;display_string=Audit&amp;VAR:KEY=NGPYZWPOXU&amp;VAR:QUERY=RkZfSU5WRU5fREFZUyhBTk4sNDExNjkp&amp;WINDOW=FIRST_POPUP&amp;HEIGHT=450&amp;WIDTH=450&amp;START_MAXIMI","ZED=FALSE&amp;VAR:CALENDAR=US&amp;VAR:SYMBOL=50188920&amp;VAR:INDEX=0"}</definedName>
    <definedName name="_320__FDSAUDITLINK__" localSheetId="6" hidden="1">{"fdsup://directions/FAT%20Viewer?VAR:PED=LTM&amp;VAR:AUDIT_MODE=SUMMARY&amp;VAR:PERIOD=FIXED&amp;VAR:AUDIT_ID=00000117&amp;VAR:DATE=20090407&amp;action=UPDATE&amp;creator=factset&amp;DOC_NAME=FAT:FMA_audit_SUMMARY.fat&amp;DISPLAY_STRING=Display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0__FDSAUDITLINK__" hidden="1">{"fdsup://directions/FAT%20Viewer?VAR:PED=LTM&amp;VAR:AUDIT_MODE=SUMMARY&amp;VAR:PERIOD=FIXED&amp;VAR:AUDIT_ID=00000117&amp;VAR:DATE=20090407&amp;action=UPDATE&amp;creator=factset&amp;DOC_NAME=FAT:FMA_audit_SUMMARY.fat&amp;DISPLAY_STRING=Display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00__FDSAUDITLINK__" localSheetId="6" hidden="1">{"fdsup://directions/FAT Viewer?action=UPDATE&amp;creator=factset&amp;DYN_ARGS=TRUE&amp;DOC_NAME=FAT:FQL_AUDITING_CLIENT_TEMPLATE.FAT&amp;display_string=Audit&amp;VAR:KEY=XSJMFGDYBO&amp;VAR:QUERY=RkZfRUJJVERBX0lCKCdMVE1TJywzODg1Nyk=&amp;WINDOW=FIRST_POPUP&amp;HEIGHT=450&amp;WIDTH=450&amp;START_MA","XIMIZED=FALSE&amp;VAR:CALENDAR=US&amp;VAR:SYMBOL=05614P10&amp;VAR:INDEX=0"}</definedName>
    <definedName name="_3200__FDSAUDITLINK__" hidden="1">{"fdsup://directions/FAT Viewer?action=UPDATE&amp;creator=factset&amp;DYN_ARGS=TRUE&amp;DOC_NAME=FAT:FQL_AUDITING_CLIENT_TEMPLATE.FAT&amp;display_string=Audit&amp;VAR:KEY=XSJMFGDYBO&amp;VAR:QUERY=RkZfRUJJVERBX0lCKCdMVE1TJywzODg1Nyk=&amp;WINDOW=FIRST_POPUP&amp;HEIGHT=450&amp;WIDTH=450&amp;START_MA","XIMIZED=FALSE&amp;VAR:CALENDAR=US&amp;VAR:SYMBOL=05614P10&amp;VAR:INDEX=0"}</definedName>
    <definedName name="_3201__FDSAUDITLINK__" localSheetId="6" hidden="1">{"fdsup://directions/FAT Viewer?action=UPDATE&amp;creator=factset&amp;DYN_ARGS=TRUE&amp;DOC_NAME=FAT:FQL_AUDITING_CLIENT_TEMPLATE.FAT&amp;display_string=Audit&amp;VAR:KEY=ZQBEXWPEXY&amp;VAR:QUERY=RkZfRUJJVERBX0lCKCdMVE1TJywzODg1Nik=&amp;WINDOW=FIRST_POPUP&amp;HEIGHT=450&amp;WIDTH=450&amp;START_MA","XIMIZED=FALSE&amp;VAR:CALENDAR=US&amp;VAR:SYMBOL=05614P10&amp;VAR:INDEX=0"}</definedName>
    <definedName name="_3201__FDSAUDITLINK__" hidden="1">{"fdsup://directions/FAT Viewer?action=UPDATE&amp;creator=factset&amp;DYN_ARGS=TRUE&amp;DOC_NAME=FAT:FQL_AUDITING_CLIENT_TEMPLATE.FAT&amp;display_string=Audit&amp;VAR:KEY=ZQBEXWPEXY&amp;VAR:QUERY=RkZfRUJJVERBX0lCKCdMVE1TJywzODg1Nik=&amp;WINDOW=FIRST_POPUP&amp;HEIGHT=450&amp;WIDTH=450&amp;START_MA","XIMIZED=FALSE&amp;VAR:CALENDAR=US&amp;VAR:SYMBOL=05614P10&amp;VAR:INDEX=0"}</definedName>
    <definedName name="_3202__FDSAUDITLINK__" localSheetId="6" hidden="1">{"fdsup://directions/FAT Viewer?action=UPDATE&amp;creator=factset&amp;DYN_ARGS=TRUE&amp;DOC_NAME=FAT:FQL_AUDITING_CLIENT_TEMPLATE.FAT&amp;display_string=Audit&amp;VAR:KEY=BCRAFYRAZC&amp;VAR:QUERY=RkZfRUJJVERBX0lCKCdMVE1TJywzODg1NSk=&amp;WINDOW=FIRST_POPUP&amp;HEIGHT=450&amp;WIDTH=450&amp;START_MA","XIMIZED=FALSE&amp;VAR:CALENDAR=US&amp;VAR:SYMBOL=05614P10&amp;VAR:INDEX=0"}</definedName>
    <definedName name="_3202__FDSAUDITLINK__" hidden="1">{"fdsup://directions/FAT Viewer?action=UPDATE&amp;creator=factset&amp;DYN_ARGS=TRUE&amp;DOC_NAME=FAT:FQL_AUDITING_CLIENT_TEMPLATE.FAT&amp;display_string=Audit&amp;VAR:KEY=BCRAFYRAZC&amp;VAR:QUERY=RkZfRUJJVERBX0lCKCdMVE1TJywzODg1NSk=&amp;WINDOW=FIRST_POPUP&amp;HEIGHT=450&amp;WIDTH=450&amp;START_MA","XIMIZED=FALSE&amp;VAR:CALENDAR=US&amp;VAR:SYMBOL=05614P10&amp;VAR:INDEX=0"}</definedName>
    <definedName name="_3203__FDSAUDITLINK__" localSheetId="6" hidden="1">{"fdsup://directions/FAT Viewer?action=UPDATE&amp;creator=factset&amp;DYN_ARGS=TRUE&amp;DOC_NAME=FAT:FQL_AUDITING_CLIENT_TEMPLATE.FAT&amp;display_string=Audit&amp;VAR:KEY=XKBEVQLSHC&amp;VAR:QUERY=RkZfRUJJVERBX0lCKCdMVE1TJywzODg1NCk=&amp;WINDOW=FIRST_POPUP&amp;HEIGHT=450&amp;WIDTH=450&amp;START_MA","XIMIZED=FALSE&amp;VAR:CALENDAR=US&amp;VAR:SYMBOL=05614P10&amp;VAR:INDEX=0"}</definedName>
    <definedName name="_3203__FDSAUDITLINK__" hidden="1">{"fdsup://directions/FAT Viewer?action=UPDATE&amp;creator=factset&amp;DYN_ARGS=TRUE&amp;DOC_NAME=FAT:FQL_AUDITING_CLIENT_TEMPLATE.FAT&amp;display_string=Audit&amp;VAR:KEY=XKBEVQLSHC&amp;VAR:QUERY=RkZfRUJJVERBX0lCKCdMVE1TJywzODg1NCk=&amp;WINDOW=FIRST_POPUP&amp;HEIGHT=450&amp;WIDTH=450&amp;START_MA","XIMIZED=FALSE&amp;VAR:CALENDAR=US&amp;VAR:SYMBOL=05614P10&amp;VAR:INDEX=0"}</definedName>
    <definedName name="_3204__FDSAUDITLINK__" localSheetId="6" hidden="1">{"fdsup://directions/FAT Viewer?action=UPDATE&amp;creator=factset&amp;DYN_ARGS=TRUE&amp;DOC_NAME=FAT:FQL_AUDITING_CLIENT_TEMPLATE.FAT&amp;display_string=Audit&amp;VAR:KEY=ZWJATINYZQ&amp;VAR:QUERY=RkZfRUJJVERBX0lCKCdMVE1TJywzODg1Myk=&amp;WINDOW=FIRST_POPUP&amp;HEIGHT=450&amp;WIDTH=450&amp;START_MA","XIMIZED=FALSE&amp;VAR:CALENDAR=US&amp;VAR:SYMBOL=05614P10&amp;VAR:INDEX=0"}</definedName>
    <definedName name="_3204__FDSAUDITLINK__" hidden="1">{"fdsup://directions/FAT Viewer?action=UPDATE&amp;creator=factset&amp;DYN_ARGS=TRUE&amp;DOC_NAME=FAT:FQL_AUDITING_CLIENT_TEMPLATE.FAT&amp;display_string=Audit&amp;VAR:KEY=ZWJATINYZQ&amp;VAR:QUERY=RkZfRUJJVERBX0lCKCdMVE1TJywzODg1Myk=&amp;WINDOW=FIRST_POPUP&amp;HEIGHT=450&amp;WIDTH=450&amp;START_MA","XIMIZED=FALSE&amp;VAR:CALENDAR=US&amp;VAR:SYMBOL=05614P10&amp;VAR:INDEX=0"}</definedName>
    <definedName name="_3205__FDSAUDITLINK__" localSheetId="6" hidden="1">{"fdsup://directions/FAT Viewer?action=UPDATE&amp;creator=factset&amp;DYN_ARGS=TRUE&amp;DOC_NAME=FAT:FQL_AUDITING_CLIENT_TEMPLATE.FAT&amp;display_string=Audit&amp;VAR:KEY=BWRYPINUDO&amp;VAR:QUERY=RkZfRUJJVERBX0lCKCdMVE1TJywzODg1Mik=&amp;WINDOW=FIRST_POPUP&amp;HEIGHT=450&amp;WIDTH=450&amp;START_MA","XIMIZED=FALSE&amp;VAR:CALENDAR=US&amp;VAR:SYMBOL=05614P10&amp;VAR:INDEX=0"}</definedName>
    <definedName name="_3205__FDSAUDITLINK__" hidden="1">{"fdsup://directions/FAT Viewer?action=UPDATE&amp;creator=factset&amp;DYN_ARGS=TRUE&amp;DOC_NAME=FAT:FQL_AUDITING_CLIENT_TEMPLATE.FAT&amp;display_string=Audit&amp;VAR:KEY=BWRYPINUDO&amp;VAR:QUERY=RkZfRUJJVERBX0lCKCdMVE1TJywzODg1Mik=&amp;WINDOW=FIRST_POPUP&amp;HEIGHT=450&amp;WIDTH=450&amp;START_MA","XIMIZED=FALSE&amp;VAR:CALENDAR=US&amp;VAR:SYMBOL=05614P10&amp;VAR:INDEX=0"}</definedName>
    <definedName name="_3206__FDSAUDITLINK__" localSheetId="6" hidden="1">{"fdsup://directions/FAT Viewer?action=UPDATE&amp;creator=factset&amp;DYN_ARGS=TRUE&amp;DOC_NAME=FAT:FQL_AUDITING_CLIENT_TEMPLATE.FAT&amp;display_string=Audit&amp;VAR:KEY=DCTYZCPADI&amp;VAR:QUERY=RkZfRUJJVERBX0lCKCdMVE1TJywzODg1MSk=&amp;WINDOW=FIRST_POPUP&amp;HEIGHT=450&amp;WIDTH=450&amp;START_MA","XIMIZED=FALSE&amp;VAR:CALENDAR=US&amp;VAR:SYMBOL=05614P10&amp;VAR:INDEX=0"}</definedName>
    <definedName name="_3206__FDSAUDITLINK__" hidden="1">{"fdsup://directions/FAT Viewer?action=UPDATE&amp;creator=factset&amp;DYN_ARGS=TRUE&amp;DOC_NAME=FAT:FQL_AUDITING_CLIENT_TEMPLATE.FAT&amp;display_string=Audit&amp;VAR:KEY=DCTYZCPADI&amp;VAR:QUERY=RkZfRUJJVERBX0lCKCdMVE1TJywzODg1MSk=&amp;WINDOW=FIRST_POPUP&amp;HEIGHT=450&amp;WIDTH=450&amp;START_MA","XIMIZED=FALSE&amp;VAR:CALENDAR=US&amp;VAR:SYMBOL=05614P10&amp;VAR:INDEX=0"}</definedName>
    <definedName name="_3207__FDSAUDITLINK__" localSheetId="6" hidden="1">{"fdsup://directions/FAT Viewer?action=UPDATE&amp;creator=factset&amp;DYN_ARGS=TRUE&amp;DOC_NAME=FAT:FQL_AUDITING_CLIENT_TEMPLATE.FAT&amp;display_string=Audit&amp;VAR:KEY=ZONEXKFWHG&amp;VAR:QUERY=RkZfRUJJVERBX0lCKCdMVE1TJywzODg1MCk=&amp;WINDOW=FIRST_POPUP&amp;HEIGHT=450&amp;WIDTH=450&amp;START_MA","XIMIZED=FALSE&amp;VAR:CALENDAR=US&amp;VAR:SYMBOL=05614P10&amp;VAR:INDEX=0"}</definedName>
    <definedName name="_3207__FDSAUDITLINK__" hidden="1">{"fdsup://directions/FAT Viewer?action=UPDATE&amp;creator=factset&amp;DYN_ARGS=TRUE&amp;DOC_NAME=FAT:FQL_AUDITING_CLIENT_TEMPLATE.FAT&amp;display_string=Audit&amp;VAR:KEY=ZONEXKFWHG&amp;VAR:QUERY=RkZfRUJJVERBX0lCKCdMVE1TJywzODg1MCk=&amp;WINDOW=FIRST_POPUP&amp;HEIGHT=450&amp;WIDTH=450&amp;START_MA","XIMIZED=FALSE&amp;VAR:CALENDAR=US&amp;VAR:SYMBOL=05614P10&amp;VAR:INDEX=0"}</definedName>
    <definedName name="_3208__FDSAUDITLINK__" localSheetId="6" hidden="1">{"fdsup://directions/FAT Viewer?action=UPDATE&amp;creator=factset&amp;DYN_ARGS=TRUE&amp;DOC_NAME=FAT:FQL_AUDITING_CLIENT_TEMPLATE.FAT&amp;display_string=Audit&amp;VAR:KEY=BIDYJQTQXG&amp;VAR:QUERY=RkZfRUJJVERBX0lCKCdMVE1TJywzODg0OSk=&amp;WINDOW=FIRST_POPUP&amp;HEIGHT=450&amp;WIDTH=450&amp;START_MA","XIMIZED=FALSE&amp;VAR:CALENDAR=US&amp;VAR:SYMBOL=05614P10&amp;VAR:INDEX=0"}</definedName>
    <definedName name="_3208__FDSAUDITLINK__" hidden="1">{"fdsup://directions/FAT Viewer?action=UPDATE&amp;creator=factset&amp;DYN_ARGS=TRUE&amp;DOC_NAME=FAT:FQL_AUDITING_CLIENT_TEMPLATE.FAT&amp;display_string=Audit&amp;VAR:KEY=BIDYJQTQXG&amp;VAR:QUERY=RkZfRUJJVERBX0lCKCdMVE1TJywzODg0OSk=&amp;WINDOW=FIRST_POPUP&amp;HEIGHT=450&amp;WIDTH=450&amp;START_MA","XIMIZED=FALSE&amp;VAR:CALENDAR=US&amp;VAR:SYMBOL=05614P10&amp;VAR:INDEX=0"}</definedName>
    <definedName name="_3209__FDSAUDITLINK__" localSheetId="6" hidden="1">{"fdsup://directions/FAT Viewer?action=UPDATE&amp;creator=factset&amp;DYN_ARGS=TRUE&amp;DOC_NAME=FAT:FQL_AUDITING_CLIENT_TEMPLATE.FAT&amp;display_string=Audit&amp;VAR:KEY=HQBWRCBCXK&amp;VAR:QUERY=RkZfRUJJVERBX0lCKCdMVE1TJywzODg0OCk=&amp;WINDOW=FIRST_POPUP&amp;HEIGHT=450&amp;WIDTH=450&amp;START_MA","XIMIZED=FALSE&amp;VAR:CALENDAR=US&amp;VAR:SYMBOL=05614P10&amp;VAR:INDEX=0"}</definedName>
    <definedName name="_3209__FDSAUDITLINK__" hidden="1">{"fdsup://directions/FAT Viewer?action=UPDATE&amp;creator=factset&amp;DYN_ARGS=TRUE&amp;DOC_NAME=FAT:FQL_AUDITING_CLIENT_TEMPLATE.FAT&amp;display_string=Audit&amp;VAR:KEY=HQBWRCBCXK&amp;VAR:QUERY=RkZfRUJJVERBX0lCKCdMVE1TJywzODg0OCk=&amp;WINDOW=FIRST_POPUP&amp;HEIGHT=450&amp;WIDTH=450&amp;START_MA","XIMIZED=FALSE&amp;VAR:CALENDAR=US&amp;VAR:SYMBOL=05614P10&amp;VAR:INDEX=0"}</definedName>
    <definedName name="_321__FDSAUDITLINK__" localSheetId="6" hidden="1">{"fdsup://directions/FAT%20Viewer?VAR:PED=LTM&amp;VAR:AUDIT_MODE=SUMMARY&amp;VAR:PERIOD=FIXED&amp;VAR:AUDIT_ID=00000117&amp;VAR:DATE=20090406&amp;action=UPDATE&amp;creator=factset&amp;DOC_NAME=FAT:FMA_audit_SUMMARY.fat&amp;DISPLAY_STRING=Display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1__FDSAUDITLINK__" hidden="1">{"fdsup://directions/FAT%20Viewer?VAR:PED=LTM&amp;VAR:AUDIT_MODE=SUMMARY&amp;VAR:PERIOD=FIXED&amp;VAR:AUDIT_ID=00000117&amp;VAR:DATE=20090406&amp;action=UPDATE&amp;creator=factset&amp;DOC_NAME=FAT:FMA_audit_SUMMARY.fat&amp;DISPLAY_STRING=Display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10__FDSAUDITLINK__" localSheetId="6" hidden="1">{"fdsup://directions/FAT Viewer?action=UPDATE&amp;creator=factset&amp;DYN_ARGS=TRUE&amp;DOC_NAME=FAT:FQL_AUDITING_CLIENT_TEMPLATE.FAT&amp;display_string=Audit&amp;VAR:KEY=VSXOTOHWJE&amp;VAR:QUERY=RkZfRUJJVERBX0lCKCdMVE1TJywzODg0Nyk=&amp;WINDOW=FIRST_POPUP&amp;HEIGHT=450&amp;WIDTH=450&amp;START_MA","XIMIZED=FALSE&amp;VAR:CALENDAR=US&amp;VAR:SYMBOL=05614P10&amp;VAR:INDEX=0"}</definedName>
    <definedName name="_3210__FDSAUDITLINK__" hidden="1">{"fdsup://directions/FAT Viewer?action=UPDATE&amp;creator=factset&amp;DYN_ARGS=TRUE&amp;DOC_NAME=FAT:FQL_AUDITING_CLIENT_TEMPLATE.FAT&amp;display_string=Audit&amp;VAR:KEY=VSXOTOHWJE&amp;VAR:QUERY=RkZfRUJJVERBX0lCKCdMVE1TJywzODg0Nyk=&amp;WINDOW=FIRST_POPUP&amp;HEIGHT=450&amp;WIDTH=450&amp;START_MA","XIMIZED=FALSE&amp;VAR:CALENDAR=US&amp;VAR:SYMBOL=05614P10&amp;VAR:INDEX=0"}</definedName>
    <definedName name="_3211__FDSAUDITLINK__" localSheetId="6" hidden="1">{"fdsup://directions/FAT Viewer?action=UPDATE&amp;creator=factset&amp;DYN_ARGS=TRUE&amp;DOC_NAME=FAT:FQL_AUDITING_CLIENT_TEMPLATE.FAT&amp;display_string=Audit&amp;VAR:KEY=FYLSZMVIRO&amp;VAR:QUERY=RkZfRUJJVERBX0lCKCdMVE1TJywzODg0Nik=&amp;WINDOW=FIRST_POPUP&amp;HEIGHT=450&amp;WIDTH=450&amp;START_MA","XIMIZED=FALSE&amp;VAR:CALENDAR=US&amp;VAR:SYMBOL=05614P10&amp;VAR:INDEX=0"}</definedName>
    <definedName name="_3211__FDSAUDITLINK__" hidden="1">{"fdsup://directions/FAT Viewer?action=UPDATE&amp;creator=factset&amp;DYN_ARGS=TRUE&amp;DOC_NAME=FAT:FQL_AUDITING_CLIENT_TEMPLATE.FAT&amp;display_string=Audit&amp;VAR:KEY=FYLSZMVIRO&amp;VAR:QUERY=RkZfRUJJVERBX0lCKCdMVE1TJywzODg0Nik=&amp;WINDOW=FIRST_POPUP&amp;HEIGHT=450&amp;WIDTH=450&amp;START_MA","XIMIZED=FALSE&amp;VAR:CALENDAR=US&amp;VAR:SYMBOL=05614P10&amp;VAR:INDEX=0"}</definedName>
    <definedName name="_3212__FDSAUDITLINK__" localSheetId="6" hidden="1">{"fdsup://directions/FAT Viewer?action=UPDATE&amp;creator=factset&amp;DYN_ARGS=TRUE&amp;DOC_NAME=FAT:FQL_AUDITING_CLIENT_TEMPLATE.FAT&amp;display_string=Audit&amp;VAR:KEY=LKPWJCHAVI&amp;VAR:QUERY=RkZfRUJJVERBX0lCKCdMVE1TJywzODg0NSk=&amp;WINDOW=FIRST_POPUP&amp;HEIGHT=450&amp;WIDTH=450&amp;START_MA","XIMIZED=FALSE&amp;VAR:CALENDAR=US&amp;VAR:SYMBOL=05614P10&amp;VAR:INDEX=0"}</definedName>
    <definedName name="_3212__FDSAUDITLINK__" hidden="1">{"fdsup://directions/FAT Viewer?action=UPDATE&amp;creator=factset&amp;DYN_ARGS=TRUE&amp;DOC_NAME=FAT:FQL_AUDITING_CLIENT_TEMPLATE.FAT&amp;display_string=Audit&amp;VAR:KEY=LKPWJCHAVI&amp;VAR:QUERY=RkZfRUJJVERBX0lCKCdMVE1TJywzODg0NSk=&amp;WINDOW=FIRST_POPUP&amp;HEIGHT=450&amp;WIDTH=450&amp;START_MA","XIMIZED=FALSE&amp;VAR:CALENDAR=US&amp;VAR:SYMBOL=05614P10&amp;VAR:INDEX=0"}</definedName>
    <definedName name="_3213__FDSAUDITLINK__" localSheetId="6" hidden="1">{"fdsup://directions/FAT Viewer?action=UPDATE&amp;creator=factset&amp;DYN_ARGS=TRUE&amp;DOC_NAME=FAT:FQL_AUDITING_CLIENT_TEMPLATE.FAT&amp;display_string=Audit&amp;VAR:KEY=JEFQRUNSZA&amp;VAR:QUERY=RkZfRUJJVERBX0lCKCdMVE1TJywzODg0NCk=&amp;WINDOW=FIRST_POPUP&amp;HEIGHT=450&amp;WIDTH=450&amp;START_MA","XIMIZED=FALSE&amp;VAR:CALENDAR=US&amp;VAR:SYMBOL=05614P10&amp;VAR:INDEX=0"}</definedName>
    <definedName name="_3213__FDSAUDITLINK__" hidden="1">{"fdsup://directions/FAT Viewer?action=UPDATE&amp;creator=factset&amp;DYN_ARGS=TRUE&amp;DOC_NAME=FAT:FQL_AUDITING_CLIENT_TEMPLATE.FAT&amp;display_string=Audit&amp;VAR:KEY=JEFQRUNSZA&amp;VAR:QUERY=RkZfRUJJVERBX0lCKCdMVE1TJywzODg0NCk=&amp;WINDOW=FIRST_POPUP&amp;HEIGHT=450&amp;WIDTH=450&amp;START_MA","XIMIZED=FALSE&amp;VAR:CALENDAR=US&amp;VAR:SYMBOL=05614P10&amp;VAR:INDEX=0"}</definedName>
    <definedName name="_3214__FDSAUDITLINK__" localSheetId="6" hidden="1">{"fdsup://directions/FAT Viewer?action=UPDATE&amp;creator=factset&amp;DYN_ARGS=TRUE&amp;DOC_NAME=FAT:FQL_AUDITING_CLIENT_TEMPLATE.FAT&amp;display_string=Audit&amp;VAR:KEY=ZINANADKZS&amp;VAR:QUERY=RkZfRUJJVERBX0lCKCdMVE1TJywzODg0Myk=&amp;WINDOW=FIRST_POPUP&amp;HEIGHT=450&amp;WIDTH=450&amp;START_MA","XIMIZED=FALSE&amp;VAR:CALENDAR=US&amp;VAR:SYMBOL=05614P10&amp;VAR:INDEX=0"}</definedName>
    <definedName name="_3214__FDSAUDITLINK__" hidden="1">{"fdsup://directions/FAT Viewer?action=UPDATE&amp;creator=factset&amp;DYN_ARGS=TRUE&amp;DOC_NAME=FAT:FQL_AUDITING_CLIENT_TEMPLATE.FAT&amp;display_string=Audit&amp;VAR:KEY=ZINANADKZS&amp;VAR:QUERY=RkZfRUJJVERBX0lCKCdMVE1TJywzODg0Myk=&amp;WINDOW=FIRST_POPUP&amp;HEIGHT=450&amp;WIDTH=450&amp;START_MA","XIMIZED=FALSE&amp;VAR:CALENDAR=US&amp;VAR:SYMBOL=05614P10&amp;VAR:INDEX=0"}</definedName>
    <definedName name="_3215__FDSAUDITLINK__" localSheetId="6" hidden="1">{"fdsup://directions/FAT Viewer?action=UPDATE&amp;creator=factset&amp;DYN_ARGS=TRUE&amp;DOC_NAME=FAT:FQL_AUDITING_CLIENT_TEMPLATE.FAT&amp;display_string=Audit&amp;VAR:KEY=TKTUXCZSFA&amp;VAR:QUERY=RkZfRUJJVERBX0lCKCdMVE1TJywzODg0Mik=&amp;WINDOW=FIRST_POPUP&amp;HEIGHT=450&amp;WIDTH=450&amp;START_MA","XIMIZED=FALSE&amp;VAR:CALENDAR=US&amp;VAR:SYMBOL=05614P10&amp;VAR:INDEX=0"}</definedName>
    <definedName name="_3215__FDSAUDITLINK__" hidden="1">{"fdsup://directions/FAT Viewer?action=UPDATE&amp;creator=factset&amp;DYN_ARGS=TRUE&amp;DOC_NAME=FAT:FQL_AUDITING_CLIENT_TEMPLATE.FAT&amp;display_string=Audit&amp;VAR:KEY=TKTUXCZSFA&amp;VAR:QUERY=RkZfRUJJVERBX0lCKCdMVE1TJywzODg0Mik=&amp;WINDOW=FIRST_POPUP&amp;HEIGHT=450&amp;WIDTH=450&amp;START_MA","XIMIZED=FALSE&amp;VAR:CALENDAR=US&amp;VAR:SYMBOL=05614P10&amp;VAR:INDEX=0"}</definedName>
    <definedName name="_3216__FDSAUDITLINK__" localSheetId="6" hidden="1">{"fdsup://directions/FAT Viewer?action=UPDATE&amp;creator=factset&amp;DYN_ARGS=TRUE&amp;DOC_NAME=FAT:FQL_AUDITING_CLIENT_TEMPLATE.FAT&amp;display_string=Audit&amp;VAR:KEY=DUPAVOLKDO&amp;VAR:QUERY=RkZfRUJJVERBX0lCKCdMVE1TJywzODg0MSk=&amp;WINDOW=FIRST_POPUP&amp;HEIGHT=450&amp;WIDTH=450&amp;START_MA","XIMIZED=FALSE&amp;VAR:CALENDAR=US&amp;VAR:SYMBOL=05614P10&amp;VAR:INDEX=0"}</definedName>
    <definedName name="_3216__FDSAUDITLINK__" hidden="1">{"fdsup://directions/FAT Viewer?action=UPDATE&amp;creator=factset&amp;DYN_ARGS=TRUE&amp;DOC_NAME=FAT:FQL_AUDITING_CLIENT_TEMPLATE.FAT&amp;display_string=Audit&amp;VAR:KEY=DUPAVOLKDO&amp;VAR:QUERY=RkZfRUJJVERBX0lCKCdMVE1TJywzODg0MSk=&amp;WINDOW=FIRST_POPUP&amp;HEIGHT=450&amp;WIDTH=450&amp;START_MA","XIMIZED=FALSE&amp;VAR:CALENDAR=US&amp;VAR:SYMBOL=05614P10&amp;VAR:INDEX=0"}</definedName>
    <definedName name="_3217__FDSAUDITLINK__" localSheetId="6" hidden="1">{"fdsup://directions/FAT Viewer?action=UPDATE&amp;creator=factset&amp;DYN_ARGS=TRUE&amp;DOC_NAME=FAT:FQL_AUDITING_CLIENT_TEMPLATE.FAT&amp;display_string=Audit&amp;VAR:KEY=ZEZEBSDCVS&amp;VAR:QUERY=RkZfRUJJVERBX0lCKCdMVE1TJywzODg0MCk=&amp;WINDOW=FIRST_POPUP&amp;HEIGHT=450&amp;WIDTH=450&amp;START_MA","XIMIZED=FALSE&amp;VAR:CALENDAR=US&amp;VAR:SYMBOL=05614P10&amp;VAR:INDEX=0"}</definedName>
    <definedName name="_3217__FDSAUDITLINK__" hidden="1">{"fdsup://directions/FAT Viewer?action=UPDATE&amp;creator=factset&amp;DYN_ARGS=TRUE&amp;DOC_NAME=FAT:FQL_AUDITING_CLIENT_TEMPLATE.FAT&amp;display_string=Audit&amp;VAR:KEY=ZEZEBSDCVS&amp;VAR:QUERY=RkZfRUJJVERBX0lCKCdMVE1TJywzODg0MCk=&amp;WINDOW=FIRST_POPUP&amp;HEIGHT=450&amp;WIDTH=450&amp;START_MA","XIMIZED=FALSE&amp;VAR:CALENDAR=US&amp;VAR:SYMBOL=05614P10&amp;VAR:INDEX=0"}</definedName>
    <definedName name="_3218__FDSAUDITLINK__" localSheetId="6" hidden="1">{"fdsup://directions/FAT Viewer?action=UPDATE&amp;creator=factset&amp;DYN_ARGS=TRUE&amp;DOC_NAME=FAT:FQL_AUDITING_CLIENT_TEMPLATE.FAT&amp;display_string=Audit&amp;VAR:KEY=FYBYJSPEBG&amp;VAR:QUERY=RkZfRUJJVERBX0lCKCdMVE1TJywzODgzOSk=&amp;WINDOW=FIRST_POPUP&amp;HEIGHT=450&amp;WIDTH=450&amp;START_MA","XIMIZED=FALSE&amp;VAR:CALENDAR=US&amp;VAR:SYMBOL=05614P10&amp;VAR:INDEX=0"}</definedName>
    <definedName name="_3218__FDSAUDITLINK__" hidden="1">{"fdsup://directions/FAT Viewer?action=UPDATE&amp;creator=factset&amp;DYN_ARGS=TRUE&amp;DOC_NAME=FAT:FQL_AUDITING_CLIENT_TEMPLATE.FAT&amp;display_string=Audit&amp;VAR:KEY=FYBYJSPEBG&amp;VAR:QUERY=RkZfRUJJVERBX0lCKCdMVE1TJywzODgzOSk=&amp;WINDOW=FIRST_POPUP&amp;HEIGHT=450&amp;WIDTH=450&amp;START_MA","XIMIZED=FALSE&amp;VAR:CALENDAR=US&amp;VAR:SYMBOL=05614P10&amp;VAR:INDEX=0"}</definedName>
    <definedName name="_3219__FDSAUDITLINK__" localSheetId="6" hidden="1">{"fdsup://directions/FAT Viewer?action=UPDATE&amp;creator=factset&amp;DYN_ARGS=TRUE&amp;DOC_NAME=FAT:FQL_AUDITING_CLIENT_TEMPLATE.FAT&amp;display_string=Audit&amp;VAR:KEY=LGTGXSJIDW&amp;VAR:QUERY=RkZfRUJJVERBX0lCKCdMVE1TJywzODgzOCk=&amp;WINDOW=FIRST_POPUP&amp;HEIGHT=450&amp;WIDTH=450&amp;START_MA","XIMIZED=FALSE&amp;VAR:CALENDAR=US&amp;VAR:SYMBOL=05614P10&amp;VAR:INDEX=0"}</definedName>
    <definedName name="_3219__FDSAUDITLINK__" hidden="1">{"fdsup://directions/FAT Viewer?action=UPDATE&amp;creator=factset&amp;DYN_ARGS=TRUE&amp;DOC_NAME=FAT:FQL_AUDITING_CLIENT_TEMPLATE.FAT&amp;display_string=Audit&amp;VAR:KEY=LGTGXSJIDW&amp;VAR:QUERY=RkZfRUJJVERBX0lCKCdMVE1TJywzODgzOCk=&amp;WINDOW=FIRST_POPUP&amp;HEIGHT=450&amp;WIDTH=450&amp;START_MA","XIMIZED=FALSE&amp;VAR:CALENDAR=US&amp;VAR:SYMBOL=05614P10&amp;VAR:INDEX=0"}</definedName>
    <definedName name="_322__FDSAUDITLINK__" localSheetId="6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2__FDSAUDITLINK__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20__FDSAUDITLINK__" localSheetId="6" hidden="1">{"fdsup://directions/FAT Viewer?action=UPDATE&amp;creator=factset&amp;DYN_ARGS=TRUE&amp;DOC_NAME=FAT:FQL_AUDITING_CLIENT_TEMPLATE.FAT&amp;display_string=Audit&amp;VAR:KEY=RKVCJMNEHE&amp;VAR:QUERY=RkZfRUJJVERBX0lCKCdMVE1TJywzODgzNyk=&amp;WINDOW=FIRST_POPUP&amp;HEIGHT=450&amp;WIDTH=450&amp;START_MA","XIMIZED=FALSE&amp;VAR:CALENDAR=US&amp;VAR:SYMBOL=05614P10&amp;VAR:INDEX=0"}</definedName>
    <definedName name="_3220__FDSAUDITLINK__" hidden="1">{"fdsup://directions/FAT Viewer?action=UPDATE&amp;creator=factset&amp;DYN_ARGS=TRUE&amp;DOC_NAME=FAT:FQL_AUDITING_CLIENT_TEMPLATE.FAT&amp;display_string=Audit&amp;VAR:KEY=RKVCJMNEHE&amp;VAR:QUERY=RkZfRUJJVERBX0lCKCdMVE1TJywzODgzNyk=&amp;WINDOW=FIRST_POPUP&amp;HEIGHT=450&amp;WIDTH=450&amp;START_MA","XIMIZED=FALSE&amp;VAR:CALENDAR=US&amp;VAR:SYMBOL=05614P10&amp;VAR:INDEX=0"}</definedName>
    <definedName name="_3221__FDSAUDITLINK__" localSheetId="6" hidden="1">{"fdsup://directions/FAT Viewer?action=UPDATE&amp;creator=factset&amp;DYN_ARGS=TRUE&amp;DOC_NAME=FAT:FQL_AUDITING_CLIENT_TEMPLATE.FAT&amp;display_string=Audit&amp;VAR:KEY=XEBWBOROZA&amp;VAR:QUERY=RkZfRUJJVERBX0lCKCdMVE1TJywzODgzNik=&amp;WINDOW=FIRST_POPUP&amp;HEIGHT=450&amp;WIDTH=450&amp;START_MA","XIMIZED=FALSE&amp;VAR:CALENDAR=US&amp;VAR:SYMBOL=05614P10&amp;VAR:INDEX=0"}</definedName>
    <definedName name="_3221__FDSAUDITLINK__" hidden="1">{"fdsup://directions/FAT Viewer?action=UPDATE&amp;creator=factset&amp;DYN_ARGS=TRUE&amp;DOC_NAME=FAT:FQL_AUDITING_CLIENT_TEMPLATE.FAT&amp;display_string=Audit&amp;VAR:KEY=XEBWBOROZA&amp;VAR:QUERY=RkZfRUJJVERBX0lCKCdMVE1TJywzODgzNik=&amp;WINDOW=FIRST_POPUP&amp;HEIGHT=450&amp;WIDTH=450&amp;START_MA","XIMIZED=FALSE&amp;VAR:CALENDAR=US&amp;VAR:SYMBOL=05614P10&amp;VAR:INDEX=0"}</definedName>
    <definedName name="_3222__FDSAUDITLINK__" localSheetId="6" hidden="1">{"fdsup://directions/FAT Viewer?action=UPDATE&amp;creator=factset&amp;DYN_ARGS=TRUE&amp;DOC_NAME=FAT:FQL_AUDITING_CLIENT_TEMPLATE.FAT&amp;display_string=Audit&amp;VAR:KEY=RCDYTADCXI&amp;VAR:QUERY=RkZfRUJJVERBX0lCKCdMVE1TJywzODgzNSk=&amp;WINDOW=FIRST_POPUP&amp;HEIGHT=450&amp;WIDTH=450&amp;START_MA","XIMIZED=FALSE&amp;VAR:CALENDAR=US&amp;VAR:SYMBOL=05614P10&amp;VAR:INDEX=0"}</definedName>
    <definedName name="_3222__FDSAUDITLINK__" hidden="1">{"fdsup://directions/FAT Viewer?action=UPDATE&amp;creator=factset&amp;DYN_ARGS=TRUE&amp;DOC_NAME=FAT:FQL_AUDITING_CLIENT_TEMPLATE.FAT&amp;display_string=Audit&amp;VAR:KEY=RCDYTADCXI&amp;VAR:QUERY=RkZfRUJJVERBX0lCKCdMVE1TJywzODgzNSk=&amp;WINDOW=FIRST_POPUP&amp;HEIGHT=450&amp;WIDTH=450&amp;START_MA","XIMIZED=FALSE&amp;VAR:CALENDAR=US&amp;VAR:SYMBOL=05614P10&amp;VAR:INDEX=0"}</definedName>
    <definedName name="_3223__FDSAUDITLINK__" localSheetId="6" hidden="1">{"fdsup://directions/FAT Viewer?action=UPDATE&amp;creator=factset&amp;DYN_ARGS=TRUE&amp;DOC_NAME=FAT:FQL_AUDITING_CLIENT_TEMPLATE.FAT&amp;display_string=Audit&amp;VAR:KEY=HKJQXSZINC&amp;VAR:QUERY=RkZfRUJJVERBX0lCKCdMVE1TJywzODgzNCk=&amp;WINDOW=FIRST_POPUP&amp;HEIGHT=450&amp;WIDTH=450&amp;START_MA","XIMIZED=FALSE&amp;VAR:CALENDAR=US&amp;VAR:SYMBOL=05614P10&amp;VAR:INDEX=0"}</definedName>
    <definedName name="_3223__FDSAUDITLINK__" hidden="1">{"fdsup://directions/FAT Viewer?action=UPDATE&amp;creator=factset&amp;DYN_ARGS=TRUE&amp;DOC_NAME=FAT:FQL_AUDITING_CLIENT_TEMPLATE.FAT&amp;display_string=Audit&amp;VAR:KEY=HKJQXSZINC&amp;VAR:QUERY=RkZfRUJJVERBX0lCKCdMVE1TJywzODgzNCk=&amp;WINDOW=FIRST_POPUP&amp;HEIGHT=450&amp;WIDTH=450&amp;START_MA","XIMIZED=FALSE&amp;VAR:CALENDAR=US&amp;VAR:SYMBOL=05614P10&amp;VAR:INDEX=0"}</definedName>
    <definedName name="_3224__FDSAUDITLINK__" localSheetId="6" hidden="1">{"fdsup://directions/FAT Viewer?action=UPDATE&amp;creator=factset&amp;DYN_ARGS=TRUE&amp;DOC_NAME=FAT:FQL_AUDITING_CLIENT_TEMPLATE.FAT&amp;display_string=Audit&amp;VAR:KEY=DGHUBKXCVI&amp;VAR:QUERY=RkZfRUJJVERBX0lCKCdMVE1TJywzODgzMyk=&amp;WINDOW=FIRST_POPUP&amp;HEIGHT=450&amp;WIDTH=450&amp;START_MA","XIMIZED=FALSE&amp;VAR:CALENDAR=US&amp;VAR:SYMBOL=05614P10&amp;VAR:INDEX=0"}</definedName>
    <definedName name="_3224__FDSAUDITLINK__" hidden="1">{"fdsup://directions/FAT Viewer?action=UPDATE&amp;creator=factset&amp;DYN_ARGS=TRUE&amp;DOC_NAME=FAT:FQL_AUDITING_CLIENT_TEMPLATE.FAT&amp;display_string=Audit&amp;VAR:KEY=DGHUBKXCVI&amp;VAR:QUERY=RkZfRUJJVERBX0lCKCdMVE1TJywzODgzMyk=&amp;WINDOW=FIRST_POPUP&amp;HEIGHT=450&amp;WIDTH=450&amp;START_MA","XIMIZED=FALSE&amp;VAR:CALENDAR=US&amp;VAR:SYMBOL=05614P10&amp;VAR:INDEX=0"}</definedName>
    <definedName name="_3225__FDSAUDITLINK__" localSheetId="6" hidden="1">{"fdsup://directions/FAT Viewer?action=UPDATE&amp;creator=factset&amp;DYN_ARGS=TRUE&amp;DOC_NAME=FAT:FQL_AUDITING_CLIENT_TEMPLATE.FAT&amp;display_string=Audit&amp;VAR:KEY=BAPAVSLUTM&amp;VAR:QUERY=RkZfRUJJVERBX0lCKCdMVE1TJywzODgzMik=&amp;WINDOW=FIRST_POPUP&amp;HEIGHT=450&amp;WIDTH=450&amp;START_MA","XIMIZED=FALSE&amp;VAR:CALENDAR=US&amp;VAR:SYMBOL=05614P10&amp;VAR:INDEX=0"}</definedName>
    <definedName name="_3225__FDSAUDITLINK__" hidden="1">{"fdsup://directions/FAT Viewer?action=UPDATE&amp;creator=factset&amp;DYN_ARGS=TRUE&amp;DOC_NAME=FAT:FQL_AUDITING_CLIENT_TEMPLATE.FAT&amp;display_string=Audit&amp;VAR:KEY=BAPAVSLUTM&amp;VAR:QUERY=RkZfRUJJVERBX0lCKCdMVE1TJywzODgzMik=&amp;WINDOW=FIRST_POPUP&amp;HEIGHT=450&amp;WIDTH=450&amp;START_MA","XIMIZED=FALSE&amp;VAR:CALENDAR=US&amp;VAR:SYMBOL=05614P10&amp;VAR:INDEX=0"}</definedName>
    <definedName name="_3226__FDSAUDITLINK__" localSheetId="6" hidden="1">{"fdsup://directions/FAT Viewer?action=UPDATE&amp;creator=factset&amp;DYN_ARGS=TRUE&amp;DOC_NAME=FAT:FQL_AUDITING_CLIENT_TEMPLATE.FAT&amp;display_string=Audit&amp;VAR:KEY=NENYTKHYTS&amp;VAR:QUERY=RkZfRUJJVERBX0lCKCdMVE1TJywzODgzMSk=&amp;WINDOW=FIRST_POPUP&amp;HEIGHT=450&amp;WIDTH=450&amp;START_MA","XIMIZED=FALSE&amp;VAR:CALENDAR=US&amp;VAR:SYMBOL=05614P10&amp;VAR:INDEX=0"}</definedName>
    <definedName name="_3226__FDSAUDITLINK__" hidden="1">{"fdsup://directions/FAT Viewer?action=UPDATE&amp;creator=factset&amp;DYN_ARGS=TRUE&amp;DOC_NAME=FAT:FQL_AUDITING_CLIENT_TEMPLATE.FAT&amp;display_string=Audit&amp;VAR:KEY=NENYTKHYTS&amp;VAR:QUERY=RkZfRUJJVERBX0lCKCdMVE1TJywzODgzMSk=&amp;WINDOW=FIRST_POPUP&amp;HEIGHT=450&amp;WIDTH=450&amp;START_MA","XIMIZED=FALSE&amp;VAR:CALENDAR=US&amp;VAR:SYMBOL=05614P10&amp;VAR:INDEX=0"}</definedName>
    <definedName name="_3227__FDSAUDITLINK__" localSheetId="6" hidden="1">{"fdsup://directions/FAT Viewer?action=UPDATE&amp;creator=factset&amp;DYN_ARGS=TRUE&amp;DOC_NAME=FAT:FQL_AUDITING_CLIENT_TEMPLATE.FAT&amp;display_string=Audit&amp;VAR:KEY=FGVQFYHULW&amp;VAR:QUERY=RkZfRUJJVERBX0lCKCdMVE1TJywzODgzMCk=&amp;WINDOW=FIRST_POPUP&amp;HEIGHT=450&amp;WIDTH=450&amp;START_MA","XIMIZED=FALSE&amp;VAR:CALENDAR=US&amp;VAR:SYMBOL=05614P10&amp;VAR:INDEX=0"}</definedName>
    <definedName name="_3227__FDSAUDITLINK__" hidden="1">{"fdsup://directions/FAT Viewer?action=UPDATE&amp;creator=factset&amp;DYN_ARGS=TRUE&amp;DOC_NAME=FAT:FQL_AUDITING_CLIENT_TEMPLATE.FAT&amp;display_string=Audit&amp;VAR:KEY=FGVQFYHULW&amp;VAR:QUERY=RkZfRUJJVERBX0lCKCdMVE1TJywzODgzMCk=&amp;WINDOW=FIRST_POPUP&amp;HEIGHT=450&amp;WIDTH=450&amp;START_MA","XIMIZED=FALSE&amp;VAR:CALENDAR=US&amp;VAR:SYMBOL=05614P10&amp;VAR:INDEX=0"}</definedName>
    <definedName name="_3228__FDSAUDITLINK__" localSheetId="6" hidden="1">{"fdsup://directions/FAT Viewer?action=UPDATE&amp;creator=factset&amp;DYN_ARGS=TRUE&amp;DOC_NAME=FAT:FQL_AUDITING_CLIENT_TEMPLATE.FAT&amp;display_string=Audit&amp;VAR:KEY=RYZULYJCZS&amp;VAR:QUERY=RkZfRUJJVERBX0lCKCdMVE1TJywzODgyOSk=&amp;WINDOW=FIRST_POPUP&amp;HEIGHT=450&amp;WIDTH=450&amp;START_MA","XIMIZED=FALSE&amp;VAR:CALENDAR=US&amp;VAR:SYMBOL=05614P10&amp;VAR:INDEX=0"}</definedName>
    <definedName name="_3228__FDSAUDITLINK__" hidden="1">{"fdsup://directions/FAT Viewer?action=UPDATE&amp;creator=factset&amp;DYN_ARGS=TRUE&amp;DOC_NAME=FAT:FQL_AUDITING_CLIENT_TEMPLATE.FAT&amp;display_string=Audit&amp;VAR:KEY=RYZULYJCZS&amp;VAR:QUERY=RkZfRUJJVERBX0lCKCdMVE1TJywzODgyOSk=&amp;WINDOW=FIRST_POPUP&amp;HEIGHT=450&amp;WIDTH=450&amp;START_MA","XIMIZED=FALSE&amp;VAR:CALENDAR=US&amp;VAR:SYMBOL=05614P10&amp;VAR:INDEX=0"}</definedName>
    <definedName name="_3229__FDSAUDITLINK__" localSheetId="6" hidden="1">{"fdsup://directions/FAT Viewer?action=UPDATE&amp;creator=factset&amp;DYN_ARGS=TRUE&amp;DOC_NAME=FAT:FQL_AUDITING_CLIENT_TEMPLATE.FAT&amp;display_string=Audit&amp;VAR:KEY=TMRGRSVQNS&amp;VAR:QUERY=RkZfRUJJVERBX0lCKCdMVE1TJywzODgyOCk=&amp;WINDOW=FIRST_POPUP&amp;HEIGHT=450&amp;WIDTH=450&amp;START_MA","XIMIZED=FALSE&amp;VAR:CALENDAR=US&amp;VAR:SYMBOL=05614P10&amp;VAR:INDEX=0"}</definedName>
    <definedName name="_3229__FDSAUDITLINK__" hidden="1">{"fdsup://directions/FAT Viewer?action=UPDATE&amp;creator=factset&amp;DYN_ARGS=TRUE&amp;DOC_NAME=FAT:FQL_AUDITING_CLIENT_TEMPLATE.FAT&amp;display_string=Audit&amp;VAR:KEY=TMRGRSVQNS&amp;VAR:QUERY=RkZfRUJJVERBX0lCKCdMVE1TJywzODgyOCk=&amp;WINDOW=FIRST_POPUP&amp;HEIGHT=450&amp;WIDTH=450&amp;START_MA","XIMIZED=FALSE&amp;VAR:CALENDAR=US&amp;VAR:SYMBOL=05614P10&amp;VAR:INDEX=0"}</definedName>
    <definedName name="_323__FDSAUDITLINK__" localSheetId="6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3__FDSAUDITLINK__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30__FDSAUDITLINK__" localSheetId="6" hidden="1">{"fdsup://directions/FAT Viewer?action=UPDATE&amp;creator=factset&amp;DYN_ARGS=TRUE&amp;DOC_NAME=FAT:FQL_AUDITING_CLIENT_TEMPLATE.FAT&amp;display_string=Audit&amp;VAR:KEY=TIRGFEJSXK&amp;VAR:QUERY=RkZfRUJJVERBX0lCKCdMVE1TJywzODgyNyk=&amp;WINDOW=FIRST_POPUP&amp;HEIGHT=450&amp;WIDTH=450&amp;START_MA","XIMIZED=FALSE&amp;VAR:CALENDAR=US&amp;VAR:SYMBOL=05614P10&amp;VAR:INDEX=0"}</definedName>
    <definedName name="_3230__FDSAUDITLINK__" hidden="1">{"fdsup://directions/FAT Viewer?action=UPDATE&amp;creator=factset&amp;DYN_ARGS=TRUE&amp;DOC_NAME=FAT:FQL_AUDITING_CLIENT_TEMPLATE.FAT&amp;display_string=Audit&amp;VAR:KEY=TIRGFEJSXK&amp;VAR:QUERY=RkZfRUJJVERBX0lCKCdMVE1TJywzODgyNyk=&amp;WINDOW=FIRST_POPUP&amp;HEIGHT=450&amp;WIDTH=450&amp;START_MA","XIMIZED=FALSE&amp;VAR:CALENDAR=US&amp;VAR:SYMBOL=05614P10&amp;VAR:INDEX=0"}</definedName>
    <definedName name="_3231__FDSAUDITLINK__" localSheetId="6" hidden="1">{"fdsup://directions/FAT Viewer?action=UPDATE&amp;creator=factset&amp;DYN_ARGS=TRUE&amp;DOC_NAME=FAT:FQL_AUDITING_CLIENT_TEMPLATE.FAT&amp;display_string=Audit&amp;VAR:KEY=NOTOXWRWZQ&amp;VAR:QUERY=RkZfRUJJVERBX0lCKCdMVE1TJywzODgyNik=&amp;WINDOW=FIRST_POPUP&amp;HEIGHT=450&amp;WIDTH=450&amp;START_MA","XIMIZED=FALSE&amp;VAR:CALENDAR=US&amp;VAR:SYMBOL=05614P10&amp;VAR:INDEX=0"}</definedName>
    <definedName name="_3231__FDSAUDITLINK__" hidden="1">{"fdsup://directions/FAT Viewer?action=UPDATE&amp;creator=factset&amp;DYN_ARGS=TRUE&amp;DOC_NAME=FAT:FQL_AUDITING_CLIENT_TEMPLATE.FAT&amp;display_string=Audit&amp;VAR:KEY=NOTOXWRWZQ&amp;VAR:QUERY=RkZfRUJJVERBX0lCKCdMVE1TJywzODgyNik=&amp;WINDOW=FIRST_POPUP&amp;HEIGHT=450&amp;WIDTH=450&amp;START_MA","XIMIZED=FALSE&amp;VAR:CALENDAR=US&amp;VAR:SYMBOL=05614P10&amp;VAR:INDEX=0"}</definedName>
    <definedName name="_3232__FDSAUDITLINK__" localSheetId="6" hidden="1">{"fdsup://directions/FAT Viewer?action=UPDATE&amp;creator=factset&amp;DYN_ARGS=TRUE&amp;DOC_NAME=FAT:FQL_AUDITING_CLIENT_TEMPLATE.FAT&amp;display_string=Audit&amp;VAR:KEY=XCJAJUVUNY&amp;VAR:QUERY=RkZfRUJJVERBX0lCKCdMVE1TJywzODgyNSk=&amp;WINDOW=FIRST_POPUP&amp;HEIGHT=450&amp;WIDTH=450&amp;START_MA","XIMIZED=FALSE&amp;VAR:CALENDAR=US&amp;VAR:SYMBOL=05614P10&amp;VAR:INDEX=0"}</definedName>
    <definedName name="_3232__FDSAUDITLINK__" hidden="1">{"fdsup://directions/FAT Viewer?action=UPDATE&amp;creator=factset&amp;DYN_ARGS=TRUE&amp;DOC_NAME=FAT:FQL_AUDITING_CLIENT_TEMPLATE.FAT&amp;display_string=Audit&amp;VAR:KEY=XCJAJUVUNY&amp;VAR:QUERY=RkZfRUJJVERBX0lCKCdMVE1TJywzODgyNSk=&amp;WINDOW=FIRST_POPUP&amp;HEIGHT=450&amp;WIDTH=450&amp;START_MA","XIMIZED=FALSE&amp;VAR:CALENDAR=US&amp;VAR:SYMBOL=05614P10&amp;VAR:INDEX=0"}</definedName>
    <definedName name="_3233__FDSAUDITLINK__" localSheetId="6" hidden="1">{"fdsup://directions/FAT Viewer?action=UPDATE&amp;creator=factset&amp;DYN_ARGS=TRUE&amp;DOC_NAME=FAT:FQL_AUDITING_CLIENT_TEMPLATE.FAT&amp;display_string=Audit&amp;VAR:KEY=JSPEDKDSFQ&amp;VAR:QUERY=RkZfRUJJVERBX0lCKCdMVE1TJywzODgyNCk=&amp;WINDOW=FIRST_POPUP&amp;HEIGHT=450&amp;WIDTH=450&amp;START_MA","XIMIZED=FALSE&amp;VAR:CALENDAR=US&amp;VAR:SYMBOL=05614P10&amp;VAR:INDEX=0"}</definedName>
    <definedName name="_3233__FDSAUDITLINK__" hidden="1">{"fdsup://directions/FAT Viewer?action=UPDATE&amp;creator=factset&amp;DYN_ARGS=TRUE&amp;DOC_NAME=FAT:FQL_AUDITING_CLIENT_TEMPLATE.FAT&amp;display_string=Audit&amp;VAR:KEY=JSPEDKDSFQ&amp;VAR:QUERY=RkZfRUJJVERBX0lCKCdMVE1TJywzODgyNCk=&amp;WINDOW=FIRST_POPUP&amp;HEIGHT=450&amp;WIDTH=450&amp;START_MA","XIMIZED=FALSE&amp;VAR:CALENDAR=US&amp;VAR:SYMBOL=05614P10&amp;VAR:INDEX=0"}</definedName>
    <definedName name="_3234__FDSAUDITLINK__" localSheetId="6" hidden="1">{"fdsup://directions/FAT Viewer?action=UPDATE&amp;creator=factset&amp;DYN_ARGS=TRUE&amp;DOC_NAME=FAT:FQL_AUDITING_CLIENT_TEMPLATE.FAT&amp;display_string=Audit&amp;VAR:KEY=HMJWDQROHG&amp;VAR:QUERY=RkZfRUJJVERBX0lCKCdMVE1TJywzODgyMyk=&amp;WINDOW=FIRST_POPUP&amp;HEIGHT=450&amp;WIDTH=450&amp;START_MA","XIMIZED=FALSE&amp;VAR:CALENDAR=US&amp;VAR:SYMBOL=05614P10&amp;VAR:INDEX=0"}</definedName>
    <definedName name="_3234__FDSAUDITLINK__" hidden="1">{"fdsup://directions/FAT Viewer?action=UPDATE&amp;creator=factset&amp;DYN_ARGS=TRUE&amp;DOC_NAME=FAT:FQL_AUDITING_CLIENT_TEMPLATE.FAT&amp;display_string=Audit&amp;VAR:KEY=HMJWDQROHG&amp;VAR:QUERY=RkZfRUJJVERBX0lCKCdMVE1TJywzODgyMyk=&amp;WINDOW=FIRST_POPUP&amp;HEIGHT=450&amp;WIDTH=450&amp;START_MA","XIMIZED=FALSE&amp;VAR:CALENDAR=US&amp;VAR:SYMBOL=05614P10&amp;VAR:INDEX=0"}</definedName>
    <definedName name="_3235__FDSAUDITLINK__" localSheetId="6" hidden="1">{"fdsup://directions/FAT Viewer?action=UPDATE&amp;creator=factset&amp;DYN_ARGS=TRUE&amp;DOC_NAME=FAT:FQL_AUDITING_CLIENT_TEMPLATE.FAT&amp;display_string=Audit&amp;VAR:KEY=XMXWLQPUNG&amp;VAR:QUERY=RkZfRUJJVERBX0lCKCdMVE1TJywzODgyMik=&amp;WINDOW=FIRST_POPUP&amp;HEIGHT=450&amp;WIDTH=450&amp;START_MA","XIMIZED=FALSE&amp;VAR:CALENDAR=US&amp;VAR:SYMBOL=05614P10&amp;VAR:INDEX=0"}</definedName>
    <definedName name="_3235__FDSAUDITLINK__" hidden="1">{"fdsup://directions/FAT Viewer?action=UPDATE&amp;creator=factset&amp;DYN_ARGS=TRUE&amp;DOC_NAME=FAT:FQL_AUDITING_CLIENT_TEMPLATE.FAT&amp;display_string=Audit&amp;VAR:KEY=XMXWLQPUNG&amp;VAR:QUERY=RkZfRUJJVERBX0lCKCdMVE1TJywzODgyMik=&amp;WINDOW=FIRST_POPUP&amp;HEIGHT=450&amp;WIDTH=450&amp;START_MA","XIMIZED=FALSE&amp;VAR:CALENDAR=US&amp;VAR:SYMBOL=05614P10&amp;VAR:INDEX=0"}</definedName>
    <definedName name="_3236__FDSAUDITLINK__" localSheetId="6" hidden="1">{"fdsup://directions/FAT Viewer?action=UPDATE&amp;creator=factset&amp;DYN_ARGS=TRUE&amp;DOC_NAME=FAT:FQL_AUDITING_CLIENT_TEMPLATE.FAT&amp;display_string=Audit&amp;VAR:KEY=TSNQZEDKLK&amp;VAR:QUERY=RkZfRUJJVERBX0lCKCdMVE1TJywzODgyMSk=&amp;WINDOW=FIRST_POPUP&amp;HEIGHT=450&amp;WIDTH=450&amp;START_MA","XIMIZED=FALSE&amp;VAR:CALENDAR=US&amp;VAR:SYMBOL=05614P10&amp;VAR:INDEX=0"}</definedName>
    <definedName name="_3236__FDSAUDITLINK__" hidden="1">{"fdsup://directions/FAT Viewer?action=UPDATE&amp;creator=factset&amp;DYN_ARGS=TRUE&amp;DOC_NAME=FAT:FQL_AUDITING_CLIENT_TEMPLATE.FAT&amp;display_string=Audit&amp;VAR:KEY=TSNQZEDKLK&amp;VAR:QUERY=RkZfRUJJVERBX0lCKCdMVE1TJywzODgyMSk=&amp;WINDOW=FIRST_POPUP&amp;HEIGHT=450&amp;WIDTH=450&amp;START_MA","XIMIZED=FALSE&amp;VAR:CALENDAR=US&amp;VAR:SYMBOL=05614P10&amp;VAR:INDEX=0"}</definedName>
    <definedName name="_3237__FDSAUDITLINK__" localSheetId="6" hidden="1">{"fdsup://directions/FAT Viewer?action=UPDATE&amp;creator=factset&amp;DYN_ARGS=TRUE&amp;DOC_NAME=FAT:FQL_AUDITING_CLIENT_TEMPLATE.FAT&amp;display_string=Audit&amp;VAR:KEY=NYLKDITOJM&amp;VAR:QUERY=RkZfRUJJVERBX0lCKCdMVE1TJywzODgyMCk=&amp;WINDOW=FIRST_POPUP&amp;HEIGHT=450&amp;WIDTH=450&amp;START_MA","XIMIZED=FALSE&amp;VAR:CALENDAR=US&amp;VAR:SYMBOL=05614P10&amp;VAR:INDEX=0"}</definedName>
    <definedName name="_3237__FDSAUDITLINK__" hidden="1">{"fdsup://directions/FAT Viewer?action=UPDATE&amp;creator=factset&amp;DYN_ARGS=TRUE&amp;DOC_NAME=FAT:FQL_AUDITING_CLIENT_TEMPLATE.FAT&amp;display_string=Audit&amp;VAR:KEY=NYLKDITOJM&amp;VAR:QUERY=RkZfRUJJVERBX0lCKCdMVE1TJywzODgyMCk=&amp;WINDOW=FIRST_POPUP&amp;HEIGHT=450&amp;WIDTH=450&amp;START_MA","XIMIZED=FALSE&amp;VAR:CALENDAR=US&amp;VAR:SYMBOL=05614P10&amp;VAR:INDEX=0"}</definedName>
    <definedName name="_3238__FDSAUDITLINK__" localSheetId="6" hidden="1">{"fdsup://directions/FAT Viewer?action=UPDATE&amp;creator=factset&amp;DYN_ARGS=TRUE&amp;DOC_NAME=FAT:FQL_AUDITING_CLIENT_TEMPLATE.FAT&amp;display_string=Audit&amp;VAR:KEY=HEHGJOVCJY&amp;VAR:QUERY=RkZfRUJJVERBX0lCKCdMVE1TJywzODgxOSk=&amp;WINDOW=FIRST_POPUP&amp;HEIGHT=450&amp;WIDTH=450&amp;START_MA","XIMIZED=FALSE&amp;VAR:CALENDAR=US&amp;VAR:SYMBOL=05614P10&amp;VAR:INDEX=0"}</definedName>
    <definedName name="_3238__FDSAUDITLINK__" hidden="1">{"fdsup://directions/FAT Viewer?action=UPDATE&amp;creator=factset&amp;DYN_ARGS=TRUE&amp;DOC_NAME=FAT:FQL_AUDITING_CLIENT_TEMPLATE.FAT&amp;display_string=Audit&amp;VAR:KEY=HEHGJOVCJY&amp;VAR:QUERY=RkZfRUJJVERBX0lCKCdMVE1TJywzODgxOSk=&amp;WINDOW=FIRST_POPUP&amp;HEIGHT=450&amp;WIDTH=450&amp;START_MA","XIMIZED=FALSE&amp;VAR:CALENDAR=US&amp;VAR:SYMBOL=05614P10&amp;VAR:INDEX=0"}</definedName>
    <definedName name="_3239__FDSAUDITLINK__" localSheetId="6" hidden="1">{"fdsup://directions/FAT Viewer?action=UPDATE&amp;creator=factset&amp;DYN_ARGS=TRUE&amp;DOC_NAME=FAT:FQL_AUDITING_CLIENT_TEMPLATE.FAT&amp;display_string=Audit&amp;VAR:KEY=PQTAFKBQHC&amp;VAR:QUERY=RkZfRUJJVERBX0lCKCdMVE1TJywzODgxOCk=&amp;WINDOW=FIRST_POPUP&amp;HEIGHT=450&amp;WIDTH=450&amp;START_MA","XIMIZED=FALSE&amp;VAR:CALENDAR=US&amp;VAR:SYMBOL=05614P10&amp;VAR:INDEX=0"}</definedName>
    <definedName name="_3239__FDSAUDITLINK__" hidden="1">{"fdsup://directions/FAT Viewer?action=UPDATE&amp;creator=factset&amp;DYN_ARGS=TRUE&amp;DOC_NAME=FAT:FQL_AUDITING_CLIENT_TEMPLATE.FAT&amp;display_string=Audit&amp;VAR:KEY=PQTAFKBQHC&amp;VAR:QUERY=RkZfRUJJVERBX0lCKCdMVE1TJywzODgxOCk=&amp;WINDOW=FIRST_POPUP&amp;HEIGHT=450&amp;WIDTH=450&amp;START_MA","XIMIZED=FALSE&amp;VAR:CALENDAR=US&amp;VAR:SYMBOL=05614P10&amp;VAR:INDEX=0"}</definedName>
    <definedName name="_324__FDSAUDITLINK__" localSheetId="6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4__FDSAUDITLINK__" hidden="1">{"fdsup://directions/FAT%20Viewer?VAR:PED=LTM&amp;VAR:AUDIT_MODE=SUMMARY&amp;VAR:PERIOD=FIXED&amp;VAR:AUDIT_ID=00000117&amp;VAR:DATE=20090403&amp;action=UPDATE&amp;creator=factset&amp;DOC_NAME=FAT:FMA_audit_SUMMARY.fat&amp;DISPLAY_STRING=Display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40__FDSAUDITLINK__" localSheetId="6" hidden="1">{"fdsup://directions/FAT Viewer?action=UPDATE&amp;creator=factset&amp;DYN_ARGS=TRUE&amp;DOC_NAME=FAT:FQL_AUDITING_CLIENT_TEMPLATE.FAT&amp;display_string=Audit&amp;VAR:KEY=JKLGZUBCNY&amp;VAR:QUERY=RkZfRUJJVERBX0lCKCdMVE1TJywzODgxNyk=&amp;WINDOW=FIRST_POPUP&amp;HEIGHT=450&amp;WIDTH=450&amp;START_MA","XIMIZED=FALSE&amp;VAR:CALENDAR=US&amp;VAR:SYMBOL=05614P10&amp;VAR:INDEX=0"}</definedName>
    <definedName name="_3240__FDSAUDITLINK__" hidden="1">{"fdsup://directions/FAT Viewer?action=UPDATE&amp;creator=factset&amp;DYN_ARGS=TRUE&amp;DOC_NAME=FAT:FQL_AUDITING_CLIENT_TEMPLATE.FAT&amp;display_string=Audit&amp;VAR:KEY=JKLGZUBCNY&amp;VAR:QUERY=RkZfRUJJVERBX0lCKCdMVE1TJywzODgxNyk=&amp;WINDOW=FIRST_POPUP&amp;HEIGHT=450&amp;WIDTH=450&amp;START_MA","XIMIZED=FALSE&amp;VAR:CALENDAR=US&amp;VAR:SYMBOL=05614P10&amp;VAR:INDEX=0"}</definedName>
    <definedName name="_3241__FDSAUDITLINK__" localSheetId="6" hidden="1">{"fdsup://directions/FAT Viewer?action=UPDATE&amp;creator=factset&amp;DYN_ARGS=TRUE&amp;DOC_NAME=FAT:FQL_AUDITING_CLIENT_TEMPLATE.FAT&amp;display_string=Audit&amp;VAR:KEY=HYTYNGPUFU&amp;VAR:QUERY=RkZfRUJJVERBX0lCKCdMVE1TJywzODgxNik=&amp;WINDOW=FIRST_POPUP&amp;HEIGHT=450&amp;WIDTH=450&amp;START_MA","XIMIZED=FALSE&amp;VAR:CALENDAR=US&amp;VAR:SYMBOL=05614P10&amp;VAR:INDEX=0"}</definedName>
    <definedName name="_3241__FDSAUDITLINK__" hidden="1">{"fdsup://directions/FAT Viewer?action=UPDATE&amp;creator=factset&amp;DYN_ARGS=TRUE&amp;DOC_NAME=FAT:FQL_AUDITING_CLIENT_TEMPLATE.FAT&amp;display_string=Audit&amp;VAR:KEY=HYTYNGPUFU&amp;VAR:QUERY=RkZfRUJJVERBX0lCKCdMVE1TJywzODgxNik=&amp;WINDOW=FIRST_POPUP&amp;HEIGHT=450&amp;WIDTH=450&amp;START_MA","XIMIZED=FALSE&amp;VAR:CALENDAR=US&amp;VAR:SYMBOL=05614P10&amp;VAR:INDEX=0"}</definedName>
    <definedName name="_3242__FDSAUDITLINK__" localSheetId="6" hidden="1">{"fdsup://directions/FAT Viewer?action=UPDATE&amp;creator=factset&amp;DYN_ARGS=TRUE&amp;DOC_NAME=FAT:FQL_AUDITING_CLIENT_TEMPLATE.FAT&amp;display_string=Audit&amp;VAR:KEY=NCHCLCPGHA&amp;VAR:QUERY=RkZfRUJJVERBX0lCKCdMVE1TJywzODgxNSk=&amp;WINDOW=FIRST_POPUP&amp;HEIGHT=450&amp;WIDTH=450&amp;START_MA","XIMIZED=FALSE&amp;VAR:CALENDAR=US&amp;VAR:SYMBOL=05614P10&amp;VAR:INDEX=0"}</definedName>
    <definedName name="_3242__FDSAUDITLINK__" hidden="1">{"fdsup://directions/FAT Viewer?action=UPDATE&amp;creator=factset&amp;DYN_ARGS=TRUE&amp;DOC_NAME=FAT:FQL_AUDITING_CLIENT_TEMPLATE.FAT&amp;display_string=Audit&amp;VAR:KEY=NCHCLCPGHA&amp;VAR:QUERY=RkZfRUJJVERBX0lCKCdMVE1TJywzODgxNSk=&amp;WINDOW=FIRST_POPUP&amp;HEIGHT=450&amp;WIDTH=450&amp;START_MA","XIMIZED=FALSE&amp;VAR:CALENDAR=US&amp;VAR:SYMBOL=05614P10&amp;VAR:INDEX=0"}</definedName>
    <definedName name="_3243__FDSAUDITLINK__" localSheetId="6" hidden="1">{"fdsup://directions/FAT Viewer?action=UPDATE&amp;creator=factset&amp;DYN_ARGS=TRUE&amp;DOC_NAME=FAT:FQL_AUDITING_CLIENT_TEMPLATE.FAT&amp;display_string=Audit&amp;VAR:KEY=ZGTABEFSDA&amp;VAR:QUERY=RkZfRUJJVERBX0lCKCdMVE1TJywzODgxNCk=&amp;WINDOW=FIRST_POPUP&amp;HEIGHT=450&amp;WIDTH=450&amp;START_MA","XIMIZED=FALSE&amp;VAR:CALENDAR=US&amp;VAR:SYMBOL=05614P10&amp;VAR:INDEX=0"}</definedName>
    <definedName name="_3243__FDSAUDITLINK__" hidden="1">{"fdsup://directions/FAT Viewer?action=UPDATE&amp;creator=factset&amp;DYN_ARGS=TRUE&amp;DOC_NAME=FAT:FQL_AUDITING_CLIENT_TEMPLATE.FAT&amp;display_string=Audit&amp;VAR:KEY=ZGTABEFSDA&amp;VAR:QUERY=RkZfRUJJVERBX0lCKCdMVE1TJywzODgxNCk=&amp;WINDOW=FIRST_POPUP&amp;HEIGHT=450&amp;WIDTH=450&amp;START_MA","XIMIZED=FALSE&amp;VAR:CALENDAR=US&amp;VAR:SYMBOL=05614P10&amp;VAR:INDEX=0"}</definedName>
    <definedName name="_3244__FDSAUDITLINK__" localSheetId="6" hidden="1">{"fdsup://directions/FAT Viewer?action=UPDATE&amp;creator=factset&amp;DYN_ARGS=TRUE&amp;DOC_NAME=FAT:FQL_AUDITING_CLIENT_TEMPLATE.FAT&amp;display_string=Audit&amp;VAR:KEY=BOVWRINKDI&amp;VAR:QUERY=RkZfRUJJVERBX0lCKCdMVE1TJywzODgxMyk=&amp;WINDOW=FIRST_POPUP&amp;HEIGHT=450&amp;WIDTH=450&amp;START_MA","XIMIZED=FALSE&amp;VAR:CALENDAR=US&amp;VAR:SYMBOL=05614P10&amp;VAR:INDEX=0"}</definedName>
    <definedName name="_3244__FDSAUDITLINK__" hidden="1">{"fdsup://directions/FAT Viewer?action=UPDATE&amp;creator=factset&amp;DYN_ARGS=TRUE&amp;DOC_NAME=FAT:FQL_AUDITING_CLIENT_TEMPLATE.FAT&amp;display_string=Audit&amp;VAR:KEY=BOVWRINKDI&amp;VAR:QUERY=RkZfRUJJVERBX0lCKCdMVE1TJywzODgxMyk=&amp;WINDOW=FIRST_POPUP&amp;HEIGHT=450&amp;WIDTH=450&amp;START_MA","XIMIZED=FALSE&amp;VAR:CALENDAR=US&amp;VAR:SYMBOL=05614P10&amp;VAR:INDEX=0"}</definedName>
    <definedName name="_3245__FDSAUDITLINK__" localSheetId="6" hidden="1">{"fdsup://directions/FAT Viewer?action=UPDATE&amp;creator=factset&amp;DYN_ARGS=TRUE&amp;DOC_NAME=FAT:FQL_AUDITING_CLIENT_TEMPLATE.FAT&amp;display_string=Audit&amp;VAR:KEY=ZYHAFQLWJG&amp;VAR:QUERY=RkZfRUJJVERBX0lCKCdMVE1TJywzODgxMik=&amp;WINDOW=FIRST_POPUP&amp;HEIGHT=450&amp;WIDTH=450&amp;START_MA","XIMIZED=FALSE&amp;VAR:CALENDAR=US&amp;VAR:SYMBOL=05614P10&amp;VAR:INDEX=0"}</definedName>
    <definedName name="_3245__FDSAUDITLINK__" hidden="1">{"fdsup://directions/FAT Viewer?action=UPDATE&amp;creator=factset&amp;DYN_ARGS=TRUE&amp;DOC_NAME=FAT:FQL_AUDITING_CLIENT_TEMPLATE.FAT&amp;display_string=Audit&amp;VAR:KEY=ZYHAFQLWJG&amp;VAR:QUERY=RkZfRUJJVERBX0lCKCdMVE1TJywzODgxMik=&amp;WINDOW=FIRST_POPUP&amp;HEIGHT=450&amp;WIDTH=450&amp;START_MA","XIMIZED=FALSE&amp;VAR:CALENDAR=US&amp;VAR:SYMBOL=05614P10&amp;VAR:INDEX=0"}</definedName>
    <definedName name="_3246__FDSAUDITLINK__" localSheetId="6" hidden="1">{"fdsup://directions/FAT Viewer?action=UPDATE&amp;creator=factset&amp;DYN_ARGS=TRUE&amp;DOC_NAME=FAT:FQL_AUDITING_CLIENT_TEMPLATE.FAT&amp;display_string=Audit&amp;VAR:KEY=ZKRKJUZCPU&amp;VAR:QUERY=RkZfRUJJVERBX0lCKCdMVE1TJywzODgxMSk=&amp;WINDOW=FIRST_POPUP&amp;HEIGHT=450&amp;WIDTH=450&amp;START_MA","XIMIZED=FALSE&amp;VAR:CALENDAR=US&amp;VAR:SYMBOL=05614P10&amp;VAR:INDEX=0"}</definedName>
    <definedName name="_3246__FDSAUDITLINK__" hidden="1">{"fdsup://directions/FAT Viewer?action=UPDATE&amp;creator=factset&amp;DYN_ARGS=TRUE&amp;DOC_NAME=FAT:FQL_AUDITING_CLIENT_TEMPLATE.FAT&amp;display_string=Audit&amp;VAR:KEY=ZKRKJUZCPU&amp;VAR:QUERY=RkZfRUJJVERBX0lCKCdMVE1TJywzODgxMSk=&amp;WINDOW=FIRST_POPUP&amp;HEIGHT=450&amp;WIDTH=450&amp;START_MA","XIMIZED=FALSE&amp;VAR:CALENDAR=US&amp;VAR:SYMBOL=05614P10&amp;VAR:INDEX=0"}</definedName>
    <definedName name="_3247__FDSAUDITLINK__" localSheetId="6" hidden="1">{"fdsup://directions/FAT Viewer?action=UPDATE&amp;creator=factset&amp;DYN_ARGS=TRUE&amp;DOC_NAME=FAT:FQL_AUDITING_CLIENT_TEMPLATE.FAT&amp;display_string=Audit&amp;VAR:KEY=NWHYZQLYJS&amp;VAR:QUERY=RkZfRUJJVERBX0lCKCdMVE1TJywzODgxMCk=&amp;WINDOW=FIRST_POPUP&amp;HEIGHT=450&amp;WIDTH=450&amp;START_MA","XIMIZED=FALSE&amp;VAR:CALENDAR=US&amp;VAR:SYMBOL=05614P10&amp;VAR:INDEX=0"}</definedName>
    <definedName name="_3247__FDSAUDITLINK__" hidden="1">{"fdsup://directions/FAT Viewer?action=UPDATE&amp;creator=factset&amp;DYN_ARGS=TRUE&amp;DOC_NAME=FAT:FQL_AUDITING_CLIENT_TEMPLATE.FAT&amp;display_string=Audit&amp;VAR:KEY=NWHYZQLYJS&amp;VAR:QUERY=RkZfRUJJVERBX0lCKCdMVE1TJywzODgxMCk=&amp;WINDOW=FIRST_POPUP&amp;HEIGHT=450&amp;WIDTH=450&amp;START_MA","XIMIZED=FALSE&amp;VAR:CALENDAR=US&amp;VAR:SYMBOL=05614P10&amp;VAR:INDEX=0"}</definedName>
    <definedName name="_3248__FDSAUDITLINK__" localSheetId="6" hidden="1">{"fdsup://directions/FAT Viewer?action=UPDATE&amp;creator=factset&amp;DYN_ARGS=TRUE&amp;DOC_NAME=FAT:FQL_AUDITING_CLIENT_TEMPLATE.FAT&amp;display_string=Audit&amp;VAR:KEY=DCJONSZQNI&amp;VAR:QUERY=RkZfRUJJVERBX0lCKCdMVE1TJywzODgwOSk=&amp;WINDOW=FIRST_POPUP&amp;HEIGHT=450&amp;WIDTH=450&amp;START_MA","XIMIZED=FALSE&amp;VAR:CALENDAR=US&amp;VAR:SYMBOL=05614P10&amp;VAR:INDEX=0"}</definedName>
    <definedName name="_3248__FDSAUDITLINK__" hidden="1">{"fdsup://directions/FAT Viewer?action=UPDATE&amp;creator=factset&amp;DYN_ARGS=TRUE&amp;DOC_NAME=FAT:FQL_AUDITING_CLIENT_TEMPLATE.FAT&amp;display_string=Audit&amp;VAR:KEY=DCJONSZQNI&amp;VAR:QUERY=RkZfRUJJVERBX0lCKCdMVE1TJywzODgwOSk=&amp;WINDOW=FIRST_POPUP&amp;HEIGHT=450&amp;WIDTH=450&amp;START_MA","XIMIZED=FALSE&amp;VAR:CALENDAR=US&amp;VAR:SYMBOL=05614P10&amp;VAR:INDEX=0"}</definedName>
    <definedName name="_3249__FDSAUDITLINK__" localSheetId="6" hidden="1">{"fdsup://directions/FAT Viewer?action=UPDATE&amp;creator=factset&amp;DYN_ARGS=TRUE&amp;DOC_NAME=FAT:FQL_AUDITING_CLIENT_TEMPLATE.FAT&amp;display_string=Audit&amp;VAR:KEY=VETCHUTKZI&amp;VAR:QUERY=RkZfRUJJVERBX0lCKCdMVE1TJywzODgwOCk=&amp;WINDOW=FIRST_POPUP&amp;HEIGHT=450&amp;WIDTH=450&amp;START_MA","XIMIZED=FALSE&amp;VAR:CALENDAR=US&amp;VAR:SYMBOL=05614P10&amp;VAR:INDEX=0"}</definedName>
    <definedName name="_3249__FDSAUDITLINK__" hidden="1">{"fdsup://directions/FAT Viewer?action=UPDATE&amp;creator=factset&amp;DYN_ARGS=TRUE&amp;DOC_NAME=FAT:FQL_AUDITING_CLIENT_TEMPLATE.FAT&amp;display_string=Audit&amp;VAR:KEY=VETCHUTKZI&amp;VAR:QUERY=RkZfRUJJVERBX0lCKCdMVE1TJywzODgwOCk=&amp;WINDOW=FIRST_POPUP&amp;HEIGHT=450&amp;WIDTH=450&amp;START_MA","XIMIZED=FALSE&amp;VAR:CALENDAR=US&amp;VAR:SYMBOL=05614P10&amp;VAR:INDEX=0"}</definedName>
    <definedName name="_325__FDSAUDITLINK__" localSheetId="6" hidden="1">{"fdsup://directions/FAT%20Viewer?VAR:PED=LTM&amp;VAR:AUDIT_MODE=SUMMARY&amp;VAR:PERIOD=FIXED&amp;VAR:AUDIT_ID=00000117&amp;VAR:DATE=20090402&amp;action=UPDATE&amp;creator=factset&amp;DOC_NAME=FAT:FMA_audit_SUMMARY.fat&amp;DISPLAY_STRING=Display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5__FDSAUDITLINK__" hidden="1">{"fdsup://directions/FAT%20Viewer?VAR:PED=LTM&amp;VAR:AUDIT_MODE=SUMMARY&amp;VAR:PERIOD=FIXED&amp;VAR:AUDIT_ID=00000117&amp;VAR:DATE=20090402&amp;action=UPDATE&amp;creator=factset&amp;DOC_NAME=FAT:FMA_audit_SUMMARY.fat&amp;DISPLAY_STRING=Display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50__FDSAUDITLINK__" localSheetId="6" hidden="1">{"fdsup://directions/FAT Viewer?action=UPDATE&amp;creator=factset&amp;DYN_ARGS=TRUE&amp;DOC_NAME=FAT:FQL_AUDITING_CLIENT_TEMPLATE.FAT&amp;display_string=Audit&amp;VAR:KEY=DQDUFKRKJE&amp;VAR:QUERY=RkZfRUJJVERBX0lCKCdMVE1TJywzODgwNyk=&amp;WINDOW=FIRST_POPUP&amp;HEIGHT=450&amp;WIDTH=450&amp;START_MA","XIMIZED=FALSE&amp;VAR:CALENDAR=US&amp;VAR:SYMBOL=05614P10&amp;VAR:INDEX=0"}</definedName>
    <definedName name="_3250__FDSAUDITLINK__" hidden="1">{"fdsup://directions/FAT Viewer?action=UPDATE&amp;creator=factset&amp;DYN_ARGS=TRUE&amp;DOC_NAME=FAT:FQL_AUDITING_CLIENT_TEMPLATE.FAT&amp;display_string=Audit&amp;VAR:KEY=DQDUFKRKJE&amp;VAR:QUERY=RkZfRUJJVERBX0lCKCdMVE1TJywzODgwNyk=&amp;WINDOW=FIRST_POPUP&amp;HEIGHT=450&amp;WIDTH=450&amp;START_MA","XIMIZED=FALSE&amp;VAR:CALENDAR=US&amp;VAR:SYMBOL=05614P10&amp;VAR:INDEX=0"}</definedName>
    <definedName name="_3251__FDSAUDITLINK__" localSheetId="6" hidden="1">{"fdsup://directions/FAT Viewer?action=UPDATE&amp;creator=factset&amp;DYN_ARGS=TRUE&amp;DOC_NAME=FAT:FQL_AUDITING_CLIENT_TEMPLATE.FAT&amp;display_string=Audit&amp;VAR:KEY=FIBEFOFIBU&amp;VAR:QUERY=RkZfRUJJVERBX0lCKCdMVE1TJywzODgwNik=&amp;WINDOW=FIRST_POPUP&amp;HEIGHT=450&amp;WIDTH=450&amp;START_MA","XIMIZED=FALSE&amp;VAR:CALENDAR=US&amp;VAR:SYMBOL=05614P10&amp;VAR:INDEX=0"}</definedName>
    <definedName name="_3251__FDSAUDITLINK__" hidden="1">{"fdsup://directions/FAT Viewer?action=UPDATE&amp;creator=factset&amp;DYN_ARGS=TRUE&amp;DOC_NAME=FAT:FQL_AUDITING_CLIENT_TEMPLATE.FAT&amp;display_string=Audit&amp;VAR:KEY=FIBEFOFIBU&amp;VAR:QUERY=RkZfRUJJVERBX0lCKCdMVE1TJywzODgwNik=&amp;WINDOW=FIRST_POPUP&amp;HEIGHT=450&amp;WIDTH=450&amp;START_MA","XIMIZED=FALSE&amp;VAR:CALENDAR=US&amp;VAR:SYMBOL=05614P10&amp;VAR:INDEX=0"}</definedName>
    <definedName name="_3252__FDSAUDITLINK__" localSheetId="6" hidden="1">{"fdsup://directions/FAT Viewer?action=UPDATE&amp;creator=factset&amp;DYN_ARGS=TRUE&amp;DOC_NAME=FAT:FQL_AUDITING_CLIENT_TEMPLATE.FAT&amp;display_string=Audit&amp;VAR:KEY=FOHIPMHMXG&amp;VAR:QUERY=RkZfRUJJVERBX0lCKCdMVE1TJywzODgwNSk=&amp;WINDOW=FIRST_POPUP&amp;HEIGHT=450&amp;WIDTH=450&amp;START_MA","XIMIZED=FALSE&amp;VAR:CALENDAR=US&amp;VAR:SYMBOL=05614P10&amp;VAR:INDEX=0"}</definedName>
    <definedName name="_3252__FDSAUDITLINK__" hidden="1">{"fdsup://directions/FAT Viewer?action=UPDATE&amp;creator=factset&amp;DYN_ARGS=TRUE&amp;DOC_NAME=FAT:FQL_AUDITING_CLIENT_TEMPLATE.FAT&amp;display_string=Audit&amp;VAR:KEY=FOHIPMHMXG&amp;VAR:QUERY=RkZfRUJJVERBX0lCKCdMVE1TJywzODgwNSk=&amp;WINDOW=FIRST_POPUP&amp;HEIGHT=450&amp;WIDTH=450&amp;START_MA","XIMIZED=FALSE&amp;VAR:CALENDAR=US&amp;VAR:SYMBOL=05614P10&amp;VAR:INDEX=0"}</definedName>
    <definedName name="_3253__FDSAUDITLINK__" localSheetId="6" hidden="1">{"fdsup://directions/FAT Viewer?action=UPDATE&amp;creator=factset&amp;DYN_ARGS=TRUE&amp;DOC_NAME=FAT:FQL_AUDITING_CLIENT_TEMPLATE.FAT&amp;display_string=Audit&amp;VAR:KEY=NWXQFWRCFS&amp;VAR:QUERY=RkZfRUJJVERBX0lCKCdMVE1TJywzODgwNCk=&amp;WINDOW=FIRST_POPUP&amp;HEIGHT=450&amp;WIDTH=450&amp;START_MA","XIMIZED=FALSE&amp;VAR:CALENDAR=US&amp;VAR:SYMBOL=05614P10&amp;VAR:INDEX=0"}</definedName>
    <definedName name="_3253__FDSAUDITLINK__" hidden="1">{"fdsup://directions/FAT Viewer?action=UPDATE&amp;creator=factset&amp;DYN_ARGS=TRUE&amp;DOC_NAME=FAT:FQL_AUDITING_CLIENT_TEMPLATE.FAT&amp;display_string=Audit&amp;VAR:KEY=NWXQFWRCFS&amp;VAR:QUERY=RkZfRUJJVERBX0lCKCdMVE1TJywzODgwNCk=&amp;WINDOW=FIRST_POPUP&amp;HEIGHT=450&amp;WIDTH=450&amp;START_MA","XIMIZED=FALSE&amp;VAR:CALENDAR=US&amp;VAR:SYMBOL=05614P10&amp;VAR:INDEX=0"}</definedName>
    <definedName name="_3254__FDSAUDITLINK__" localSheetId="6" hidden="1">{"fdsup://directions/FAT Viewer?action=UPDATE&amp;creator=factset&amp;DYN_ARGS=TRUE&amp;DOC_NAME=FAT:FQL_AUDITING_CLIENT_TEMPLATE.FAT&amp;display_string=Audit&amp;VAR:KEY=NOBMJOJMJE&amp;VAR:QUERY=RkZfRUJJVERBX0lCKCdMVE1TJywzODgwMyk=&amp;WINDOW=FIRST_POPUP&amp;HEIGHT=450&amp;WIDTH=450&amp;START_MA","XIMIZED=FALSE&amp;VAR:CALENDAR=US&amp;VAR:SYMBOL=05614P10&amp;VAR:INDEX=0"}</definedName>
    <definedName name="_3254__FDSAUDITLINK__" hidden="1">{"fdsup://directions/FAT Viewer?action=UPDATE&amp;creator=factset&amp;DYN_ARGS=TRUE&amp;DOC_NAME=FAT:FQL_AUDITING_CLIENT_TEMPLATE.FAT&amp;display_string=Audit&amp;VAR:KEY=NOBMJOJMJE&amp;VAR:QUERY=RkZfRUJJVERBX0lCKCdMVE1TJywzODgwMyk=&amp;WINDOW=FIRST_POPUP&amp;HEIGHT=450&amp;WIDTH=450&amp;START_MA","XIMIZED=FALSE&amp;VAR:CALENDAR=US&amp;VAR:SYMBOL=05614P10&amp;VAR:INDEX=0"}</definedName>
    <definedName name="_3255__FDSAUDITLINK__" localSheetId="6" hidden="1">{"fdsup://directions/FAT Viewer?action=UPDATE&amp;creator=factset&amp;DYN_ARGS=TRUE&amp;DOC_NAME=FAT:FQL_AUDITING_CLIENT_TEMPLATE.FAT&amp;display_string=Audit&amp;VAR:KEY=FABSJUNWFA&amp;VAR:QUERY=RkZfRUJJVERBX0lCKCdMVE1TJywzODgwMik=&amp;WINDOW=FIRST_POPUP&amp;HEIGHT=450&amp;WIDTH=450&amp;START_MA","XIMIZED=FALSE&amp;VAR:CALENDAR=US&amp;VAR:SYMBOL=05614P10&amp;VAR:INDEX=0"}</definedName>
    <definedName name="_3255__FDSAUDITLINK__" hidden="1">{"fdsup://directions/FAT Viewer?action=UPDATE&amp;creator=factset&amp;DYN_ARGS=TRUE&amp;DOC_NAME=FAT:FQL_AUDITING_CLIENT_TEMPLATE.FAT&amp;display_string=Audit&amp;VAR:KEY=FABSJUNWFA&amp;VAR:QUERY=RkZfRUJJVERBX0lCKCdMVE1TJywzODgwMik=&amp;WINDOW=FIRST_POPUP&amp;HEIGHT=450&amp;WIDTH=450&amp;START_MA","XIMIZED=FALSE&amp;VAR:CALENDAR=US&amp;VAR:SYMBOL=05614P10&amp;VAR:INDEX=0"}</definedName>
    <definedName name="_3256__FDSAUDITLINK__" localSheetId="6" hidden="1">{"fdsup://directions/FAT Viewer?action=UPDATE&amp;creator=factset&amp;DYN_ARGS=TRUE&amp;DOC_NAME=FAT:FQL_AUDITING_CLIENT_TEMPLATE.FAT&amp;display_string=Audit&amp;VAR:KEY=PSDKNWFOVW&amp;VAR:QUERY=RkZfRUJJVERBX0lCKCdMVE1TJywzODgwMSk=&amp;WINDOW=FIRST_POPUP&amp;HEIGHT=450&amp;WIDTH=450&amp;START_MA","XIMIZED=FALSE&amp;VAR:CALENDAR=US&amp;VAR:SYMBOL=05614P10&amp;VAR:INDEX=0"}</definedName>
    <definedName name="_3256__FDSAUDITLINK__" hidden="1">{"fdsup://directions/FAT Viewer?action=UPDATE&amp;creator=factset&amp;DYN_ARGS=TRUE&amp;DOC_NAME=FAT:FQL_AUDITING_CLIENT_TEMPLATE.FAT&amp;display_string=Audit&amp;VAR:KEY=PSDKNWFOVW&amp;VAR:QUERY=RkZfRUJJVERBX0lCKCdMVE1TJywzODgwMSk=&amp;WINDOW=FIRST_POPUP&amp;HEIGHT=450&amp;WIDTH=450&amp;START_MA","XIMIZED=FALSE&amp;VAR:CALENDAR=US&amp;VAR:SYMBOL=05614P10&amp;VAR:INDEX=0"}</definedName>
    <definedName name="_3257__FDSAUDITLINK__" localSheetId="6" hidden="1">{"fdsup://directions/FAT Viewer?action=UPDATE&amp;creator=factset&amp;DYN_ARGS=TRUE&amp;DOC_NAME=FAT:FQL_AUDITING_CLIENT_TEMPLATE.FAT&amp;display_string=Audit&amp;VAR:KEY=HMBUFGFETE&amp;VAR:QUERY=RkZfRUJJVERBX0lCKCdMVE1TJywzODgwMCk=&amp;WINDOW=FIRST_POPUP&amp;HEIGHT=450&amp;WIDTH=450&amp;START_MA","XIMIZED=FALSE&amp;VAR:CALENDAR=US&amp;VAR:SYMBOL=05614P10&amp;VAR:INDEX=0"}</definedName>
    <definedName name="_3257__FDSAUDITLINK__" hidden="1">{"fdsup://directions/FAT Viewer?action=UPDATE&amp;creator=factset&amp;DYN_ARGS=TRUE&amp;DOC_NAME=FAT:FQL_AUDITING_CLIENT_TEMPLATE.FAT&amp;display_string=Audit&amp;VAR:KEY=HMBUFGFETE&amp;VAR:QUERY=RkZfRUJJVERBX0lCKCdMVE1TJywzODgwMCk=&amp;WINDOW=FIRST_POPUP&amp;HEIGHT=450&amp;WIDTH=450&amp;START_MA","XIMIZED=FALSE&amp;VAR:CALENDAR=US&amp;VAR:SYMBOL=05614P10&amp;VAR:INDEX=0"}</definedName>
    <definedName name="_3258__FDSAUDITLINK__" localSheetId="6" hidden="1">{"fdsup://directions/FAT Viewer?action=UPDATE&amp;creator=factset&amp;DYN_ARGS=TRUE&amp;DOC_NAME=FAT:FQL_AUDITING_CLIENT_TEMPLATE.FAT&amp;display_string=Audit&amp;VAR:KEY=JODSDKPEVW&amp;VAR:QUERY=RkZfRUJJVERBX0lCKCdMVE1TJywzODc5OSk=&amp;WINDOW=FIRST_POPUP&amp;HEIGHT=450&amp;WIDTH=450&amp;START_MA","XIMIZED=FALSE&amp;VAR:CALENDAR=US&amp;VAR:SYMBOL=05614P10&amp;VAR:INDEX=0"}</definedName>
    <definedName name="_3258__FDSAUDITLINK__" hidden="1">{"fdsup://directions/FAT Viewer?action=UPDATE&amp;creator=factset&amp;DYN_ARGS=TRUE&amp;DOC_NAME=FAT:FQL_AUDITING_CLIENT_TEMPLATE.FAT&amp;display_string=Audit&amp;VAR:KEY=JODSDKPEVW&amp;VAR:QUERY=RkZfRUJJVERBX0lCKCdMVE1TJywzODc5OSk=&amp;WINDOW=FIRST_POPUP&amp;HEIGHT=450&amp;WIDTH=450&amp;START_MA","XIMIZED=FALSE&amp;VAR:CALENDAR=US&amp;VAR:SYMBOL=05614P10&amp;VAR:INDEX=0"}</definedName>
    <definedName name="_3259__FDSAUDITLINK__" localSheetId="6" hidden="1">{"fdsup://directions/FAT Viewer?action=UPDATE&amp;creator=factset&amp;DYN_ARGS=TRUE&amp;DOC_NAME=FAT:FQL_AUDITING_CLIENT_TEMPLATE.FAT&amp;display_string=Audit&amp;VAR:KEY=BWBEPOPULQ&amp;VAR:QUERY=RkZfRUJJVERBX0lCKCdMVE1TJywzODc5OCk=&amp;WINDOW=FIRST_POPUP&amp;HEIGHT=450&amp;WIDTH=450&amp;START_MA","XIMIZED=FALSE&amp;VAR:CALENDAR=US&amp;VAR:SYMBOL=05614P10&amp;VAR:INDEX=0"}</definedName>
    <definedName name="_3259__FDSAUDITLINK__" hidden="1">{"fdsup://directions/FAT Viewer?action=UPDATE&amp;creator=factset&amp;DYN_ARGS=TRUE&amp;DOC_NAME=FAT:FQL_AUDITING_CLIENT_TEMPLATE.FAT&amp;display_string=Audit&amp;VAR:KEY=BWBEPOPULQ&amp;VAR:QUERY=RkZfRUJJVERBX0lCKCdMVE1TJywzODc5OCk=&amp;WINDOW=FIRST_POPUP&amp;HEIGHT=450&amp;WIDTH=450&amp;START_MA","XIMIZED=FALSE&amp;VAR:CALENDAR=US&amp;VAR:SYMBOL=05614P10&amp;VAR:INDEX=0"}</definedName>
    <definedName name="_326__FDSAUDITLINK__" localSheetId="6" hidden="1">{"fdsup://directions/FAT%20Viewer?VAR:PED=LTM&amp;VAR:AUDIT_MODE=SUMMARY&amp;VAR:PERIOD=FIXED&amp;VAR:AUDIT_ID=00000117&amp;VAR:DATE=20090401&amp;action=UPDATE&amp;creator=factset&amp;DOC_NAME=FAT:FMA_audit_SUMMARY.fat&amp;DISPLAY_STRING=Display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6__FDSAUDITLINK__" hidden="1">{"fdsup://directions/FAT%20Viewer?VAR:PED=LTM&amp;VAR:AUDIT_MODE=SUMMARY&amp;VAR:PERIOD=FIXED&amp;VAR:AUDIT_ID=00000117&amp;VAR:DATE=20090401&amp;action=UPDATE&amp;creator=factset&amp;DOC_NAME=FAT:FMA_audit_SUMMARY.fat&amp;DISPLAY_STRING=Display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60__FDSAUDITLINK__" localSheetId="6" hidden="1">{"fdsup://directions/FAT Viewer?action=UPDATE&amp;creator=factset&amp;DYN_ARGS=TRUE&amp;DOC_NAME=FAT:FQL_AUDITING_CLIENT_TEMPLATE.FAT&amp;display_string=Audit&amp;VAR:KEY=DYFCDAXCJM&amp;VAR:QUERY=RkZfRUJJVERBX0lCKCdMVE1TJywzODc5Nyk=&amp;WINDOW=FIRST_POPUP&amp;HEIGHT=450&amp;WIDTH=450&amp;START_MA","XIMIZED=FALSE&amp;VAR:CALENDAR=US&amp;VAR:SYMBOL=05614P10&amp;VAR:INDEX=0"}</definedName>
    <definedName name="_3260__FDSAUDITLINK__" hidden="1">{"fdsup://directions/FAT Viewer?action=UPDATE&amp;creator=factset&amp;DYN_ARGS=TRUE&amp;DOC_NAME=FAT:FQL_AUDITING_CLIENT_TEMPLATE.FAT&amp;display_string=Audit&amp;VAR:KEY=DYFCDAXCJM&amp;VAR:QUERY=RkZfRUJJVERBX0lCKCdMVE1TJywzODc5Nyk=&amp;WINDOW=FIRST_POPUP&amp;HEIGHT=450&amp;WIDTH=450&amp;START_MA","XIMIZED=FALSE&amp;VAR:CALENDAR=US&amp;VAR:SYMBOL=05614P10&amp;VAR:INDEX=0"}</definedName>
    <definedName name="_3261__FDSAUDITLINK__" localSheetId="6" hidden="1">{"fdsup://directions/FAT Viewer?action=UPDATE&amp;creator=factset&amp;DYN_ARGS=TRUE&amp;DOC_NAME=FAT:FQL_AUDITING_CLIENT_TEMPLATE.FAT&amp;display_string=Audit&amp;VAR:KEY=FMJSNYHIHG&amp;VAR:QUERY=RkZfRUJJVERBX0lCKCdMVE1TJywzODc5Nik=&amp;WINDOW=FIRST_POPUP&amp;HEIGHT=450&amp;WIDTH=450&amp;START_MA","XIMIZED=FALSE&amp;VAR:CALENDAR=US&amp;VAR:SYMBOL=05614P10&amp;VAR:INDEX=0"}</definedName>
    <definedName name="_3261__FDSAUDITLINK__" hidden="1">{"fdsup://directions/FAT Viewer?action=UPDATE&amp;creator=factset&amp;DYN_ARGS=TRUE&amp;DOC_NAME=FAT:FQL_AUDITING_CLIENT_TEMPLATE.FAT&amp;display_string=Audit&amp;VAR:KEY=FMJSNYHIHG&amp;VAR:QUERY=RkZfRUJJVERBX0lCKCdMVE1TJywzODc5Nik=&amp;WINDOW=FIRST_POPUP&amp;HEIGHT=450&amp;WIDTH=450&amp;START_MA","XIMIZED=FALSE&amp;VAR:CALENDAR=US&amp;VAR:SYMBOL=05614P10&amp;VAR:INDEX=0"}</definedName>
    <definedName name="_3262__FDSAUDITLINK__" localSheetId="6" hidden="1">{"fdsup://directions/FAT Viewer?action=UPDATE&amp;creator=factset&amp;DYN_ARGS=TRUE&amp;DOC_NAME=FAT:FQL_AUDITING_CLIENT_TEMPLATE.FAT&amp;display_string=Audit&amp;VAR:KEY=FMFERINWVC&amp;VAR:QUERY=RkZfRUJJVERBX0lCKCdMVE1TJywzODc5NSk=&amp;WINDOW=FIRST_POPUP&amp;HEIGHT=450&amp;WIDTH=450&amp;START_MA","XIMIZED=FALSE&amp;VAR:CALENDAR=US&amp;VAR:SYMBOL=05614P10&amp;VAR:INDEX=0"}</definedName>
    <definedName name="_3262__FDSAUDITLINK__" hidden="1">{"fdsup://directions/FAT Viewer?action=UPDATE&amp;creator=factset&amp;DYN_ARGS=TRUE&amp;DOC_NAME=FAT:FQL_AUDITING_CLIENT_TEMPLATE.FAT&amp;display_string=Audit&amp;VAR:KEY=FMFERINWVC&amp;VAR:QUERY=RkZfRUJJVERBX0lCKCdMVE1TJywzODc5NSk=&amp;WINDOW=FIRST_POPUP&amp;HEIGHT=450&amp;WIDTH=450&amp;START_MA","XIMIZED=FALSE&amp;VAR:CALENDAR=US&amp;VAR:SYMBOL=05614P10&amp;VAR:INDEX=0"}</definedName>
    <definedName name="_3263__FDSAUDITLINK__" localSheetId="6" hidden="1">{"fdsup://directions/FAT Viewer?action=UPDATE&amp;creator=factset&amp;DYN_ARGS=TRUE&amp;DOC_NAME=FAT:FQL_AUDITING_CLIENT_TEMPLATE.FAT&amp;display_string=Audit&amp;VAR:KEY=BGNWLMBGRU&amp;VAR:QUERY=RkZfRUJJVERBX0lCKCdMVE1TJywzODc5NCk=&amp;WINDOW=FIRST_POPUP&amp;HEIGHT=450&amp;WIDTH=450&amp;START_MA","XIMIZED=FALSE&amp;VAR:CALENDAR=US&amp;VAR:SYMBOL=05614P10&amp;VAR:INDEX=0"}</definedName>
    <definedName name="_3263__FDSAUDITLINK__" hidden="1">{"fdsup://directions/FAT Viewer?action=UPDATE&amp;creator=factset&amp;DYN_ARGS=TRUE&amp;DOC_NAME=FAT:FQL_AUDITING_CLIENT_TEMPLATE.FAT&amp;display_string=Audit&amp;VAR:KEY=BGNWLMBGRU&amp;VAR:QUERY=RkZfRUJJVERBX0lCKCdMVE1TJywzODc5NCk=&amp;WINDOW=FIRST_POPUP&amp;HEIGHT=450&amp;WIDTH=450&amp;START_MA","XIMIZED=FALSE&amp;VAR:CALENDAR=US&amp;VAR:SYMBOL=05614P10&amp;VAR:INDEX=0"}</definedName>
    <definedName name="_3264__FDSAUDITLINK__" localSheetId="6" hidden="1">{"fdsup://directions/FAT Viewer?action=UPDATE&amp;creator=factset&amp;DYN_ARGS=TRUE&amp;DOC_NAME=FAT:FQL_AUDITING_CLIENT_TEMPLATE.FAT&amp;display_string=Audit&amp;VAR:KEY=TEZQJQPQNK&amp;VAR:QUERY=RkZfRUJJVERBX0lCKCdMVE1TJywzODc5Myk=&amp;WINDOW=FIRST_POPUP&amp;HEIGHT=450&amp;WIDTH=450&amp;START_MA","XIMIZED=FALSE&amp;VAR:CALENDAR=US&amp;VAR:SYMBOL=05614P10&amp;VAR:INDEX=0"}</definedName>
    <definedName name="_3264__FDSAUDITLINK__" hidden="1">{"fdsup://directions/FAT Viewer?action=UPDATE&amp;creator=factset&amp;DYN_ARGS=TRUE&amp;DOC_NAME=FAT:FQL_AUDITING_CLIENT_TEMPLATE.FAT&amp;display_string=Audit&amp;VAR:KEY=TEZQJQPQNK&amp;VAR:QUERY=RkZfRUJJVERBX0lCKCdMVE1TJywzODc5Myk=&amp;WINDOW=FIRST_POPUP&amp;HEIGHT=450&amp;WIDTH=450&amp;START_MA","XIMIZED=FALSE&amp;VAR:CALENDAR=US&amp;VAR:SYMBOL=05614P10&amp;VAR:INDEX=0"}</definedName>
    <definedName name="_3265__FDSAUDITLINK__" localSheetId="6" hidden="1">{"fdsup://directions/FAT Viewer?action=UPDATE&amp;creator=factset&amp;DYN_ARGS=TRUE&amp;DOC_NAME=FAT:FQL_AUDITING_CLIENT_TEMPLATE.FAT&amp;display_string=Audit&amp;VAR:KEY=NKPGNUXEVW&amp;VAR:QUERY=RkZfRUJJVERBX0lCKCdMVE1TJywzODc5Mik=&amp;WINDOW=FIRST_POPUP&amp;HEIGHT=450&amp;WIDTH=450&amp;START_MA","XIMIZED=FALSE&amp;VAR:CALENDAR=US&amp;VAR:SYMBOL=05614P10&amp;VAR:INDEX=0"}</definedName>
    <definedName name="_3265__FDSAUDITLINK__" hidden="1">{"fdsup://directions/FAT Viewer?action=UPDATE&amp;creator=factset&amp;DYN_ARGS=TRUE&amp;DOC_NAME=FAT:FQL_AUDITING_CLIENT_TEMPLATE.FAT&amp;display_string=Audit&amp;VAR:KEY=NKPGNUXEVW&amp;VAR:QUERY=RkZfRUJJVERBX0lCKCdMVE1TJywzODc5Mik=&amp;WINDOW=FIRST_POPUP&amp;HEIGHT=450&amp;WIDTH=450&amp;START_MA","XIMIZED=FALSE&amp;VAR:CALENDAR=US&amp;VAR:SYMBOL=05614P10&amp;VAR:INDEX=0"}</definedName>
    <definedName name="_3266__FDSAUDITLINK__" localSheetId="6" hidden="1">{"fdsup://directions/FAT Viewer?action=UPDATE&amp;creator=factset&amp;DYN_ARGS=TRUE&amp;DOC_NAME=FAT:FQL_AUDITING_CLIENT_TEMPLATE.FAT&amp;display_string=Audit&amp;VAR:KEY=DSRAHSHQNI&amp;VAR:QUERY=RkZfRUJJVERBX0lCKCdMVE1TJywzODc5MSk=&amp;WINDOW=FIRST_POPUP&amp;HEIGHT=450&amp;WIDTH=450&amp;START_MA","XIMIZED=FALSE&amp;VAR:CALENDAR=US&amp;VAR:SYMBOL=05614P10&amp;VAR:INDEX=0"}</definedName>
    <definedName name="_3266__FDSAUDITLINK__" hidden="1">{"fdsup://directions/FAT Viewer?action=UPDATE&amp;creator=factset&amp;DYN_ARGS=TRUE&amp;DOC_NAME=FAT:FQL_AUDITING_CLIENT_TEMPLATE.FAT&amp;display_string=Audit&amp;VAR:KEY=DSRAHSHQNI&amp;VAR:QUERY=RkZfRUJJVERBX0lCKCdMVE1TJywzODc5MSk=&amp;WINDOW=FIRST_POPUP&amp;HEIGHT=450&amp;WIDTH=450&amp;START_MA","XIMIZED=FALSE&amp;VAR:CALENDAR=US&amp;VAR:SYMBOL=05614P10&amp;VAR:INDEX=0"}</definedName>
    <definedName name="_3267__FDSAUDITLINK__" localSheetId="6" hidden="1">{"fdsup://directions/FAT Viewer?action=UPDATE&amp;creator=factset&amp;DYN_ARGS=TRUE&amp;DOC_NAME=FAT:FQL_AUDITING_CLIENT_TEMPLATE.FAT&amp;display_string=Audit&amp;VAR:KEY=FKLMPEJIJO&amp;VAR:QUERY=RkZfRUJJVERBX0lCKCdMVE1TJywzODc5MCk=&amp;WINDOW=FIRST_POPUP&amp;HEIGHT=450&amp;WIDTH=450&amp;START_MA","XIMIZED=FALSE&amp;VAR:CALENDAR=US&amp;VAR:SYMBOL=05614P10&amp;VAR:INDEX=0"}</definedName>
    <definedName name="_3267__FDSAUDITLINK__" hidden="1">{"fdsup://directions/FAT Viewer?action=UPDATE&amp;creator=factset&amp;DYN_ARGS=TRUE&amp;DOC_NAME=FAT:FQL_AUDITING_CLIENT_TEMPLATE.FAT&amp;display_string=Audit&amp;VAR:KEY=FKLMPEJIJO&amp;VAR:QUERY=RkZfRUJJVERBX0lCKCdMVE1TJywzODc5MCk=&amp;WINDOW=FIRST_POPUP&amp;HEIGHT=450&amp;WIDTH=450&amp;START_MA","XIMIZED=FALSE&amp;VAR:CALENDAR=US&amp;VAR:SYMBOL=05614P10&amp;VAR:INDEX=0"}</definedName>
    <definedName name="_3268__FDSAUDITLINK__" localSheetId="6" hidden="1">{"fdsup://directions/FAT Viewer?action=UPDATE&amp;creator=factset&amp;DYN_ARGS=TRUE&amp;DOC_NAME=FAT:FQL_AUDITING_CLIENT_TEMPLATE.FAT&amp;display_string=Audit&amp;VAR:KEY=ZUNSTYZOPM&amp;VAR:QUERY=RkZfRUJJVERBX0lCKCdMVE1TJywzODc4OSk=&amp;WINDOW=FIRST_POPUP&amp;HEIGHT=450&amp;WIDTH=450&amp;START_MA","XIMIZED=FALSE&amp;VAR:CALENDAR=US&amp;VAR:SYMBOL=05614P10&amp;VAR:INDEX=0"}</definedName>
    <definedName name="_3268__FDSAUDITLINK__" hidden="1">{"fdsup://directions/FAT Viewer?action=UPDATE&amp;creator=factset&amp;DYN_ARGS=TRUE&amp;DOC_NAME=FAT:FQL_AUDITING_CLIENT_TEMPLATE.FAT&amp;display_string=Audit&amp;VAR:KEY=ZUNSTYZOPM&amp;VAR:QUERY=RkZfRUJJVERBX0lCKCdMVE1TJywzODc4OSk=&amp;WINDOW=FIRST_POPUP&amp;HEIGHT=450&amp;WIDTH=450&amp;START_MA","XIMIZED=FALSE&amp;VAR:CALENDAR=US&amp;VAR:SYMBOL=05614P10&amp;VAR:INDEX=0"}</definedName>
    <definedName name="_3269__FDSAUDITLINK__" localSheetId="6" hidden="1">{"fdsup://directions/FAT Viewer?action=UPDATE&amp;creator=factset&amp;DYN_ARGS=TRUE&amp;DOC_NAME=FAT:FQL_AUDITING_CLIENT_TEMPLATE.FAT&amp;display_string=Audit&amp;VAR:KEY=HEDETOJKVI&amp;VAR:QUERY=RkZfRUJJVERBX0lCKCdMVE1TJywzODc4OCk=&amp;WINDOW=FIRST_POPUP&amp;HEIGHT=450&amp;WIDTH=450&amp;START_MA","XIMIZED=FALSE&amp;VAR:CALENDAR=US&amp;VAR:SYMBOL=05614P10&amp;VAR:INDEX=0"}</definedName>
    <definedName name="_3269__FDSAUDITLINK__" hidden="1">{"fdsup://directions/FAT Viewer?action=UPDATE&amp;creator=factset&amp;DYN_ARGS=TRUE&amp;DOC_NAME=FAT:FQL_AUDITING_CLIENT_TEMPLATE.FAT&amp;display_string=Audit&amp;VAR:KEY=HEDETOJKVI&amp;VAR:QUERY=RkZfRUJJVERBX0lCKCdMVE1TJywzODc4OCk=&amp;WINDOW=FIRST_POPUP&amp;HEIGHT=450&amp;WIDTH=450&amp;START_MA","XIMIZED=FALSE&amp;VAR:CALENDAR=US&amp;VAR:SYMBOL=05614P10&amp;VAR:INDEX=0"}</definedName>
    <definedName name="_327__FDSAUDITLINK__" localSheetId="6" hidden="1">{"fdsup://directions/FAT%20Viewer?VAR:PED=LTM&amp;VAR:AUDIT_MODE=SUMMARY&amp;VAR:PERIOD=FIXED&amp;VAR:AUDIT_ID=00000117&amp;VAR:DATE=20090331&amp;action=UPDATE&amp;creator=factset&amp;DOC_NAME=FAT:FMA_audit_SUMMARY.fat&amp;DISPLAY_STRING=Display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7__FDSAUDITLINK__" hidden="1">{"fdsup://directions/FAT%20Viewer?VAR:PED=LTM&amp;VAR:AUDIT_MODE=SUMMARY&amp;VAR:PERIOD=FIXED&amp;VAR:AUDIT_ID=00000117&amp;VAR:DATE=20090331&amp;action=UPDATE&amp;creator=factset&amp;DOC_NAME=FAT:FMA_audit_SUMMARY.fat&amp;DISPLAY_STRING=Display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EBITDA&amp;VAR:CHGPERIOD=NA&amp;VAR:FQLFORMULA=FMA_EVAL_EBITDA&amp;VAR:CURRENCY=NA&amp;VAR:P=NA&amp;VAR:V=7.66","2088&amp;VAR:null=.html"}</definedName>
    <definedName name="_3270__FDSAUDITLINK__" localSheetId="6" hidden="1">{"fdsup://directions/FAT Viewer?action=UPDATE&amp;creator=factset&amp;DYN_ARGS=TRUE&amp;DOC_NAME=FAT:FQL_AUDITING_CLIENT_TEMPLATE.FAT&amp;display_string=Audit&amp;VAR:KEY=DUHGHSBMHO&amp;VAR:QUERY=RkZfRUJJVERBX0lCKCdMVE1TJywzODc4Nyk=&amp;WINDOW=FIRST_POPUP&amp;HEIGHT=450&amp;WIDTH=450&amp;START_MA","XIMIZED=FALSE&amp;VAR:CALENDAR=US&amp;VAR:SYMBOL=05614P10&amp;VAR:INDEX=0"}</definedName>
    <definedName name="_3270__FDSAUDITLINK__" hidden="1">{"fdsup://directions/FAT Viewer?action=UPDATE&amp;creator=factset&amp;DYN_ARGS=TRUE&amp;DOC_NAME=FAT:FQL_AUDITING_CLIENT_TEMPLATE.FAT&amp;display_string=Audit&amp;VAR:KEY=DUHGHSBMHO&amp;VAR:QUERY=RkZfRUJJVERBX0lCKCdMVE1TJywzODc4Nyk=&amp;WINDOW=FIRST_POPUP&amp;HEIGHT=450&amp;WIDTH=450&amp;START_MA","XIMIZED=FALSE&amp;VAR:CALENDAR=US&amp;VAR:SYMBOL=05614P10&amp;VAR:INDEX=0"}</definedName>
    <definedName name="_3271__FDSAUDITLINK__" localSheetId="6" hidden="1">{"fdsup://directions/FAT Viewer?action=UPDATE&amp;creator=factset&amp;DYN_ARGS=TRUE&amp;DOC_NAME=FAT:FQL_AUDITING_CLIENT_TEMPLATE.FAT&amp;display_string=Audit&amp;VAR:KEY=HQFCTAXMFY&amp;VAR:QUERY=RkZfRUJJVERBX0lCKCdMVE1TJywzODc4Nik=&amp;WINDOW=FIRST_POPUP&amp;HEIGHT=450&amp;WIDTH=450&amp;START_MA","XIMIZED=FALSE&amp;VAR:CALENDAR=US&amp;VAR:SYMBOL=05614P10&amp;VAR:INDEX=0"}</definedName>
    <definedName name="_3271__FDSAUDITLINK__" hidden="1">{"fdsup://directions/FAT Viewer?action=UPDATE&amp;creator=factset&amp;DYN_ARGS=TRUE&amp;DOC_NAME=FAT:FQL_AUDITING_CLIENT_TEMPLATE.FAT&amp;display_string=Audit&amp;VAR:KEY=HQFCTAXMFY&amp;VAR:QUERY=RkZfRUJJVERBX0lCKCdMVE1TJywzODc4Nik=&amp;WINDOW=FIRST_POPUP&amp;HEIGHT=450&amp;WIDTH=450&amp;START_MA","XIMIZED=FALSE&amp;VAR:CALENDAR=US&amp;VAR:SYMBOL=05614P10&amp;VAR:INDEX=0"}</definedName>
    <definedName name="_3272__FDSAUDITLINK__" localSheetId="6" hidden="1">{"fdsup://directions/FAT Viewer?action=UPDATE&amp;creator=factset&amp;DYN_ARGS=TRUE&amp;DOC_NAME=FAT:FQL_AUDITING_CLIENT_TEMPLATE.FAT&amp;display_string=Audit&amp;VAR:KEY=RAPEFETYJQ&amp;VAR:QUERY=RkZfRUJJVERBX0lCKCdMVE1TJywzODc4NSk=&amp;WINDOW=FIRST_POPUP&amp;HEIGHT=450&amp;WIDTH=450&amp;START_MA","XIMIZED=FALSE&amp;VAR:CALENDAR=US&amp;VAR:SYMBOL=05614P10&amp;VAR:INDEX=0"}</definedName>
    <definedName name="_3272__FDSAUDITLINK__" hidden="1">{"fdsup://directions/FAT Viewer?action=UPDATE&amp;creator=factset&amp;DYN_ARGS=TRUE&amp;DOC_NAME=FAT:FQL_AUDITING_CLIENT_TEMPLATE.FAT&amp;display_string=Audit&amp;VAR:KEY=RAPEFETYJQ&amp;VAR:QUERY=RkZfRUJJVERBX0lCKCdMVE1TJywzODc4NSk=&amp;WINDOW=FIRST_POPUP&amp;HEIGHT=450&amp;WIDTH=450&amp;START_MA","XIMIZED=FALSE&amp;VAR:CALENDAR=US&amp;VAR:SYMBOL=05614P10&amp;VAR:INDEX=0"}</definedName>
    <definedName name="_3273__FDSAUDITLINK__" localSheetId="6" hidden="1">{"fdsup://directions/FAT Viewer?action=UPDATE&amp;creator=factset&amp;DYN_ARGS=TRUE&amp;DOC_NAME=FAT:FQL_AUDITING_CLIENT_TEMPLATE.FAT&amp;display_string=Audit&amp;VAR:KEY=DCDAPELEFE&amp;VAR:QUERY=RkZfRUJJVERBX0lCKCdMVE1TJywzODc4NCk=&amp;WINDOW=FIRST_POPUP&amp;HEIGHT=450&amp;WIDTH=450&amp;START_MA","XIMIZED=FALSE&amp;VAR:CALENDAR=US&amp;VAR:SYMBOL=05614P10&amp;VAR:INDEX=0"}</definedName>
    <definedName name="_3273__FDSAUDITLINK__" hidden="1">{"fdsup://directions/FAT Viewer?action=UPDATE&amp;creator=factset&amp;DYN_ARGS=TRUE&amp;DOC_NAME=FAT:FQL_AUDITING_CLIENT_TEMPLATE.FAT&amp;display_string=Audit&amp;VAR:KEY=DCDAPELEFE&amp;VAR:QUERY=RkZfRUJJVERBX0lCKCdMVE1TJywzODc4NCk=&amp;WINDOW=FIRST_POPUP&amp;HEIGHT=450&amp;WIDTH=450&amp;START_MA","XIMIZED=FALSE&amp;VAR:CALENDAR=US&amp;VAR:SYMBOL=05614P10&amp;VAR:INDEX=0"}</definedName>
    <definedName name="_3274__FDSAUDITLINK__" localSheetId="6" hidden="1">{"fdsup://directions/FAT Viewer?action=UPDATE&amp;creator=factset&amp;DYN_ARGS=TRUE&amp;DOC_NAME=FAT:FQL_AUDITING_CLIENT_TEMPLATE.FAT&amp;display_string=Audit&amp;VAR:KEY=DGDOTAXGTM&amp;VAR:QUERY=RkZfRUJJVERBX0lCKCdMVE1TJywzODc4Myk=&amp;WINDOW=FIRST_POPUP&amp;HEIGHT=450&amp;WIDTH=450&amp;START_MA","XIMIZED=FALSE&amp;VAR:CALENDAR=US&amp;VAR:SYMBOL=05614P10&amp;VAR:INDEX=0"}</definedName>
    <definedName name="_3274__FDSAUDITLINK__" hidden="1">{"fdsup://directions/FAT Viewer?action=UPDATE&amp;creator=factset&amp;DYN_ARGS=TRUE&amp;DOC_NAME=FAT:FQL_AUDITING_CLIENT_TEMPLATE.FAT&amp;display_string=Audit&amp;VAR:KEY=DGDOTAXGTM&amp;VAR:QUERY=RkZfRUJJVERBX0lCKCdMVE1TJywzODc4Myk=&amp;WINDOW=FIRST_POPUP&amp;HEIGHT=450&amp;WIDTH=450&amp;START_MA","XIMIZED=FALSE&amp;VAR:CALENDAR=US&amp;VAR:SYMBOL=05614P10&amp;VAR:INDEX=0"}</definedName>
    <definedName name="_3275__FDSAUDITLINK__" localSheetId="6" hidden="1">{"fdsup://directions/FAT Viewer?action=UPDATE&amp;creator=factset&amp;DYN_ARGS=TRUE&amp;DOC_NAME=FAT:FQL_AUDITING_CLIENT_TEMPLATE.FAT&amp;display_string=Audit&amp;VAR:KEY=TKJGREZIZS&amp;VAR:QUERY=RkZfRUJJVERBX0lCKCdMVE1TJywzODc4Mik=&amp;WINDOW=FIRST_POPUP&amp;HEIGHT=450&amp;WIDTH=450&amp;START_MA","XIMIZED=FALSE&amp;VAR:CALENDAR=US&amp;VAR:SYMBOL=05614P10&amp;VAR:INDEX=0"}</definedName>
    <definedName name="_3275__FDSAUDITLINK__" hidden="1">{"fdsup://directions/FAT Viewer?action=UPDATE&amp;creator=factset&amp;DYN_ARGS=TRUE&amp;DOC_NAME=FAT:FQL_AUDITING_CLIENT_TEMPLATE.FAT&amp;display_string=Audit&amp;VAR:KEY=TKJGREZIZS&amp;VAR:QUERY=RkZfRUJJVERBX0lCKCdMVE1TJywzODc4Mik=&amp;WINDOW=FIRST_POPUP&amp;HEIGHT=450&amp;WIDTH=450&amp;START_MA","XIMIZED=FALSE&amp;VAR:CALENDAR=US&amp;VAR:SYMBOL=05614P10&amp;VAR:INDEX=0"}</definedName>
    <definedName name="_3276__FDSAUDITLINK__" localSheetId="6" hidden="1">{"fdsup://directions/FAT Viewer?action=UPDATE&amp;creator=factset&amp;DYN_ARGS=TRUE&amp;DOC_NAME=FAT:FQL_AUDITING_CLIENT_TEMPLATE.FAT&amp;display_string=Audit&amp;VAR:KEY=DYRORINIVG&amp;VAR:QUERY=RkZfRUJJVERBX0lCKCdMVE1TJywzODc4MSk=&amp;WINDOW=FIRST_POPUP&amp;HEIGHT=450&amp;WIDTH=450&amp;START_MA","XIMIZED=FALSE&amp;VAR:CALENDAR=US&amp;VAR:SYMBOL=05614P10&amp;VAR:INDEX=0"}</definedName>
    <definedName name="_3276__FDSAUDITLINK__" hidden="1">{"fdsup://directions/FAT Viewer?action=UPDATE&amp;creator=factset&amp;DYN_ARGS=TRUE&amp;DOC_NAME=FAT:FQL_AUDITING_CLIENT_TEMPLATE.FAT&amp;display_string=Audit&amp;VAR:KEY=DYRORINIVG&amp;VAR:QUERY=RkZfRUJJVERBX0lCKCdMVE1TJywzODc4MSk=&amp;WINDOW=FIRST_POPUP&amp;HEIGHT=450&amp;WIDTH=450&amp;START_MA","XIMIZED=FALSE&amp;VAR:CALENDAR=US&amp;VAR:SYMBOL=05614P10&amp;VAR:INDEX=0"}</definedName>
    <definedName name="_3277__FDSAUDITLINK__" localSheetId="6" hidden="1">{"fdsup://directions/FAT Viewer?action=UPDATE&amp;creator=factset&amp;DYN_ARGS=TRUE&amp;DOC_NAME=FAT:FQL_AUDITING_CLIENT_TEMPLATE.FAT&amp;display_string=Audit&amp;VAR:KEY=TSTQFCXQJA&amp;VAR:QUERY=RkZfRUJJVERBX0lCKCdMVE1TJywzODc4MCk=&amp;WINDOW=FIRST_POPUP&amp;HEIGHT=450&amp;WIDTH=450&amp;START_MA","XIMIZED=FALSE&amp;VAR:CALENDAR=US&amp;VAR:SYMBOL=05614P10&amp;VAR:INDEX=0"}</definedName>
    <definedName name="_3277__FDSAUDITLINK__" hidden="1">{"fdsup://directions/FAT Viewer?action=UPDATE&amp;creator=factset&amp;DYN_ARGS=TRUE&amp;DOC_NAME=FAT:FQL_AUDITING_CLIENT_TEMPLATE.FAT&amp;display_string=Audit&amp;VAR:KEY=TSTQFCXQJA&amp;VAR:QUERY=RkZfRUJJVERBX0lCKCdMVE1TJywzODc4MCk=&amp;WINDOW=FIRST_POPUP&amp;HEIGHT=450&amp;WIDTH=450&amp;START_MA","XIMIZED=FALSE&amp;VAR:CALENDAR=US&amp;VAR:SYMBOL=05614P10&amp;VAR:INDEX=0"}</definedName>
    <definedName name="_3278__FDSAUDITLINK__" localSheetId="6" hidden="1">{"fdsup://directions/FAT Viewer?action=UPDATE&amp;creator=factset&amp;DYN_ARGS=TRUE&amp;DOC_NAME=FAT:FQL_AUDITING_CLIENT_TEMPLATE.FAT&amp;display_string=Audit&amp;VAR:KEY=LYHIJYDELA&amp;VAR:QUERY=RkZfRUJJVERBX0lCKCdMVE1TJywzODc3OSk=&amp;WINDOW=FIRST_POPUP&amp;HEIGHT=450&amp;WIDTH=450&amp;START_MA","XIMIZED=FALSE&amp;VAR:CALENDAR=US&amp;VAR:SYMBOL=05614P10&amp;VAR:INDEX=0"}</definedName>
    <definedName name="_3278__FDSAUDITLINK__" hidden="1">{"fdsup://directions/FAT Viewer?action=UPDATE&amp;creator=factset&amp;DYN_ARGS=TRUE&amp;DOC_NAME=FAT:FQL_AUDITING_CLIENT_TEMPLATE.FAT&amp;display_string=Audit&amp;VAR:KEY=LYHIJYDELA&amp;VAR:QUERY=RkZfRUJJVERBX0lCKCdMVE1TJywzODc3OSk=&amp;WINDOW=FIRST_POPUP&amp;HEIGHT=450&amp;WIDTH=450&amp;START_MA","XIMIZED=FALSE&amp;VAR:CALENDAR=US&amp;VAR:SYMBOL=05614P10&amp;VAR:INDEX=0"}</definedName>
    <definedName name="_3279__FDSAUDITLINK__" localSheetId="6" hidden="1">{"fdsup://directions/FAT Viewer?action=UPDATE&amp;creator=factset&amp;DYN_ARGS=TRUE&amp;DOC_NAME=FAT:FQL_AUDITING_CLIENT_TEMPLATE.FAT&amp;display_string=Audit&amp;VAR:KEY=LSRAJMRODK&amp;VAR:QUERY=RkZfRUJJVERBX0lCKCdMVE1TJywzODc3OCk=&amp;WINDOW=FIRST_POPUP&amp;HEIGHT=450&amp;WIDTH=450&amp;START_MA","XIMIZED=FALSE&amp;VAR:CALENDAR=US&amp;VAR:SYMBOL=05614P10&amp;VAR:INDEX=0"}</definedName>
    <definedName name="_3279__FDSAUDITLINK__" hidden="1">{"fdsup://directions/FAT Viewer?action=UPDATE&amp;creator=factset&amp;DYN_ARGS=TRUE&amp;DOC_NAME=FAT:FQL_AUDITING_CLIENT_TEMPLATE.FAT&amp;display_string=Audit&amp;VAR:KEY=LSRAJMRODK&amp;VAR:QUERY=RkZfRUJJVERBX0lCKCdMVE1TJywzODc3OCk=&amp;WINDOW=FIRST_POPUP&amp;HEIGHT=450&amp;WIDTH=450&amp;START_MA","XIMIZED=FALSE&amp;VAR:CALENDAR=US&amp;VAR:SYMBOL=05614P10&amp;VAR:INDEX=0"}</definedName>
    <definedName name="_328__FDSAUDITLINK__" localSheetId="6" hidden="1">{"fdsup://directions/FAT%20Viewer?VAR:PED=LTM&amp;VAR:AUDIT_MODE=SUMMARY&amp;VAR:PERIOD=FIXED&amp;VAR:AUDIT_ID=00000117&amp;VAR:DATE=20090330&amp;action=UPDATE&amp;creator=factset&amp;DOC_NAME=FAT:FMA_audit_SUMMARY.fat&amp;DISPLAY_STRING=Display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28__FDSAUDITLINK__" hidden="1">{"fdsup://directions/FAT%20Viewer?VAR:PED=LTM&amp;VAR:AUDIT_MODE=SUMMARY&amp;VAR:PERIOD=FIXED&amp;VAR:AUDIT_ID=00000117&amp;VAR:DATE=20090330&amp;action=UPDATE&amp;creator=factset&amp;DOC_NAME=FAT:FMA_audit_SUMMARY.fat&amp;DISPLAY_STRING=Display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280__FDSAUDITLINK__" localSheetId="6" hidden="1">{"fdsup://directions/FAT Viewer?action=UPDATE&amp;creator=factset&amp;DYN_ARGS=TRUE&amp;DOC_NAME=FAT:FQL_AUDITING_CLIENT_TEMPLATE.FAT&amp;display_string=Audit&amp;VAR:KEY=HSZCBILURW&amp;VAR:QUERY=RkZfRUJJVERBX0lCKCdMVE1TJywzODc3Nyk=&amp;WINDOW=FIRST_POPUP&amp;HEIGHT=450&amp;WIDTH=450&amp;START_MA","XIMIZED=FALSE&amp;VAR:CALENDAR=US&amp;VAR:SYMBOL=05614P10&amp;VAR:INDEX=0"}</definedName>
    <definedName name="_3280__FDSAUDITLINK__" hidden="1">{"fdsup://directions/FAT Viewer?action=UPDATE&amp;creator=factset&amp;DYN_ARGS=TRUE&amp;DOC_NAME=FAT:FQL_AUDITING_CLIENT_TEMPLATE.FAT&amp;display_string=Audit&amp;VAR:KEY=HSZCBILURW&amp;VAR:QUERY=RkZfRUJJVERBX0lCKCdMVE1TJywzODc3Nyk=&amp;WINDOW=FIRST_POPUP&amp;HEIGHT=450&amp;WIDTH=450&amp;START_MA","XIMIZED=FALSE&amp;VAR:CALENDAR=US&amp;VAR:SYMBOL=05614P10&amp;VAR:INDEX=0"}</definedName>
    <definedName name="_3281__FDSAUDITLINK__" localSheetId="6" hidden="1">{"fdsup://directions/FAT Viewer?action=UPDATE&amp;creator=factset&amp;DYN_ARGS=TRUE&amp;DOC_NAME=FAT:FQL_AUDITING_CLIENT_TEMPLATE.FAT&amp;display_string=Audit&amp;VAR:KEY=HWPMBQLGVE&amp;VAR:QUERY=RkZfRUJJVERBX0lCKCdMVE1TJywzODc3Nik=&amp;WINDOW=FIRST_POPUP&amp;HEIGHT=450&amp;WIDTH=450&amp;START_MA","XIMIZED=FALSE&amp;VAR:CALENDAR=US&amp;VAR:SYMBOL=05614P10&amp;VAR:INDEX=0"}</definedName>
    <definedName name="_3281__FDSAUDITLINK__" hidden="1">{"fdsup://directions/FAT Viewer?action=UPDATE&amp;creator=factset&amp;DYN_ARGS=TRUE&amp;DOC_NAME=FAT:FQL_AUDITING_CLIENT_TEMPLATE.FAT&amp;display_string=Audit&amp;VAR:KEY=HWPMBQLGVE&amp;VAR:QUERY=RkZfRUJJVERBX0lCKCdMVE1TJywzODc3Nik=&amp;WINDOW=FIRST_POPUP&amp;HEIGHT=450&amp;WIDTH=450&amp;START_MA","XIMIZED=FALSE&amp;VAR:CALENDAR=US&amp;VAR:SYMBOL=05614P10&amp;VAR:INDEX=0"}</definedName>
    <definedName name="_3282__FDSAUDITLINK__" localSheetId="6" hidden="1">{"fdsup://directions/FAT Viewer?action=UPDATE&amp;creator=factset&amp;DYN_ARGS=TRUE&amp;DOC_NAME=FAT:FQL_AUDITING_CLIENT_TEMPLATE.FAT&amp;display_string=Audit&amp;VAR:KEY=VORCVIPCFU&amp;VAR:QUERY=RkZfRUJJVERBX0lCKCdMVE1TJywzODc3NSk=&amp;WINDOW=FIRST_POPUP&amp;HEIGHT=450&amp;WIDTH=450&amp;START_MA","XIMIZED=FALSE&amp;VAR:CALENDAR=US&amp;VAR:SYMBOL=05614P10&amp;VAR:INDEX=0"}</definedName>
    <definedName name="_3282__FDSAUDITLINK__" hidden="1">{"fdsup://directions/FAT Viewer?action=UPDATE&amp;creator=factset&amp;DYN_ARGS=TRUE&amp;DOC_NAME=FAT:FQL_AUDITING_CLIENT_TEMPLATE.FAT&amp;display_string=Audit&amp;VAR:KEY=VORCVIPCFU&amp;VAR:QUERY=RkZfRUJJVERBX0lCKCdMVE1TJywzODc3NSk=&amp;WINDOW=FIRST_POPUP&amp;HEIGHT=450&amp;WIDTH=450&amp;START_MA","XIMIZED=FALSE&amp;VAR:CALENDAR=US&amp;VAR:SYMBOL=05614P10&amp;VAR:INDEX=0"}</definedName>
    <definedName name="_3283__FDSAUDITLINK__" localSheetId="6" hidden="1">{"fdsup://directions/FAT Viewer?action=UPDATE&amp;creator=factset&amp;DYN_ARGS=TRUE&amp;DOC_NAME=FAT:FQL_AUDITING_CLIENT_TEMPLATE.FAT&amp;display_string=Audit&amp;VAR:KEY=VMFYTATWFK&amp;VAR:QUERY=RkZfRUJJVERBX0lCKCdMVE1TJywzODc3NCk=&amp;WINDOW=FIRST_POPUP&amp;HEIGHT=450&amp;WIDTH=450&amp;START_MA","XIMIZED=FALSE&amp;VAR:CALENDAR=US&amp;VAR:SYMBOL=05614P10&amp;VAR:INDEX=0"}</definedName>
    <definedName name="_3283__FDSAUDITLINK__" hidden="1">{"fdsup://directions/FAT Viewer?action=UPDATE&amp;creator=factset&amp;DYN_ARGS=TRUE&amp;DOC_NAME=FAT:FQL_AUDITING_CLIENT_TEMPLATE.FAT&amp;display_string=Audit&amp;VAR:KEY=VMFYTATWFK&amp;VAR:QUERY=RkZfRUJJVERBX0lCKCdMVE1TJywzODc3NCk=&amp;WINDOW=FIRST_POPUP&amp;HEIGHT=450&amp;WIDTH=450&amp;START_MA","XIMIZED=FALSE&amp;VAR:CALENDAR=US&amp;VAR:SYMBOL=05614P10&amp;VAR:INDEX=0"}</definedName>
    <definedName name="_3284__FDSAUDITLINK__" localSheetId="6" hidden="1">{"fdsup://directions/FAT Viewer?action=UPDATE&amp;creator=factset&amp;DYN_ARGS=TRUE&amp;DOC_NAME=FAT:FQL_AUDITING_CLIENT_TEMPLATE.FAT&amp;display_string=Audit&amp;VAR:KEY=VCZCDOJEPU&amp;VAR:QUERY=RkZfRUJJVERBX0lCKCdMVE1TJywzODc3Myk=&amp;WINDOW=FIRST_POPUP&amp;HEIGHT=450&amp;WIDTH=450&amp;START_MA","XIMIZED=FALSE&amp;VAR:CALENDAR=US&amp;VAR:SYMBOL=05614P10&amp;VAR:INDEX=0"}</definedName>
    <definedName name="_3284__FDSAUDITLINK__" hidden="1">{"fdsup://directions/FAT Viewer?action=UPDATE&amp;creator=factset&amp;DYN_ARGS=TRUE&amp;DOC_NAME=FAT:FQL_AUDITING_CLIENT_TEMPLATE.FAT&amp;display_string=Audit&amp;VAR:KEY=VCZCDOJEPU&amp;VAR:QUERY=RkZfRUJJVERBX0lCKCdMVE1TJywzODc3Myk=&amp;WINDOW=FIRST_POPUP&amp;HEIGHT=450&amp;WIDTH=450&amp;START_MA","XIMIZED=FALSE&amp;VAR:CALENDAR=US&amp;VAR:SYMBOL=05614P10&amp;VAR:INDEX=0"}</definedName>
    <definedName name="_3285__FDSAUDITLINK__" localSheetId="6" hidden="1">{"fdsup://directions/FAT Viewer?action=UPDATE&amp;creator=factset&amp;DYN_ARGS=TRUE&amp;DOC_NAME=FAT:FQL_AUDITING_CLIENT_TEMPLATE.FAT&amp;display_string=Audit&amp;VAR:KEY=NAZAHEHUDK&amp;VAR:QUERY=RkZfRUJJVERBX0lCKCdMVE1TJywzODc3Mik=&amp;WINDOW=FIRST_POPUP&amp;HEIGHT=450&amp;WIDTH=450&amp;START_MA","XIMIZED=FALSE&amp;VAR:CALENDAR=US&amp;VAR:SYMBOL=05614P10&amp;VAR:INDEX=0"}</definedName>
    <definedName name="_3285__FDSAUDITLINK__" hidden="1">{"fdsup://directions/FAT Viewer?action=UPDATE&amp;creator=factset&amp;DYN_ARGS=TRUE&amp;DOC_NAME=FAT:FQL_AUDITING_CLIENT_TEMPLATE.FAT&amp;display_string=Audit&amp;VAR:KEY=NAZAHEHUDK&amp;VAR:QUERY=RkZfRUJJVERBX0lCKCdMVE1TJywzODc3Mik=&amp;WINDOW=FIRST_POPUP&amp;HEIGHT=450&amp;WIDTH=450&amp;START_MA","XIMIZED=FALSE&amp;VAR:CALENDAR=US&amp;VAR:SYMBOL=05614P10&amp;VAR:INDEX=0"}</definedName>
    <definedName name="_3286__FDSAUDITLINK__" localSheetId="6" hidden="1">{"fdsup://directions/FAT Viewer?action=UPDATE&amp;creator=factset&amp;DYN_ARGS=TRUE&amp;DOC_NAME=FAT:FQL_AUDITING_CLIENT_TEMPLATE.FAT&amp;display_string=Audit&amp;VAR:KEY=BYXQJYVEVY&amp;VAR:QUERY=RkZfRUJJVERBX0lCKCdMVE1TJywzODc3MSk=&amp;WINDOW=FIRST_POPUP&amp;HEIGHT=450&amp;WIDTH=450&amp;START_MA","XIMIZED=FALSE&amp;VAR:CALENDAR=US&amp;VAR:SYMBOL=05614P10&amp;VAR:INDEX=0"}</definedName>
    <definedName name="_3286__FDSAUDITLINK__" hidden="1">{"fdsup://directions/FAT Viewer?action=UPDATE&amp;creator=factset&amp;DYN_ARGS=TRUE&amp;DOC_NAME=FAT:FQL_AUDITING_CLIENT_TEMPLATE.FAT&amp;display_string=Audit&amp;VAR:KEY=BYXQJYVEVY&amp;VAR:QUERY=RkZfRUJJVERBX0lCKCdMVE1TJywzODc3MSk=&amp;WINDOW=FIRST_POPUP&amp;HEIGHT=450&amp;WIDTH=450&amp;START_MA","XIMIZED=FALSE&amp;VAR:CALENDAR=US&amp;VAR:SYMBOL=05614P10&amp;VAR:INDEX=0"}</definedName>
    <definedName name="_3287__FDSAUDITLINK__" localSheetId="6" hidden="1">{"fdsup://directions/FAT Viewer?action=UPDATE&amp;creator=factset&amp;DYN_ARGS=TRUE&amp;DOC_NAME=FAT:FQL_AUDITING_CLIENT_TEMPLATE.FAT&amp;display_string=Audit&amp;VAR:KEY=JSFKZUZODC&amp;VAR:QUERY=RkZfRUJJVERBX0lCKCdMVE1TJywzODc3MCk=&amp;WINDOW=FIRST_POPUP&amp;HEIGHT=450&amp;WIDTH=450&amp;START_MA","XIMIZED=FALSE&amp;VAR:CALENDAR=US&amp;VAR:SYMBOL=05614P10&amp;VAR:INDEX=0"}</definedName>
    <definedName name="_3287__FDSAUDITLINK__" hidden="1">{"fdsup://directions/FAT Viewer?action=UPDATE&amp;creator=factset&amp;DYN_ARGS=TRUE&amp;DOC_NAME=FAT:FQL_AUDITING_CLIENT_TEMPLATE.FAT&amp;display_string=Audit&amp;VAR:KEY=JSFKZUZODC&amp;VAR:QUERY=RkZfRUJJVERBX0lCKCdMVE1TJywzODc3MCk=&amp;WINDOW=FIRST_POPUP&amp;HEIGHT=450&amp;WIDTH=450&amp;START_MA","XIMIZED=FALSE&amp;VAR:CALENDAR=US&amp;VAR:SYMBOL=05614P10&amp;VAR:INDEX=0"}</definedName>
    <definedName name="_3288__FDSAUDITLINK__" localSheetId="6" hidden="1">{"fdsup://directions/FAT Viewer?action=UPDATE&amp;creator=factset&amp;DYN_ARGS=TRUE&amp;DOC_NAME=FAT:FQL_AUDITING_CLIENT_TEMPLATE.FAT&amp;display_string=Audit&amp;VAR:KEY=FELEDQXSVW&amp;VAR:QUERY=RkZfRUJJVERBX0lCKCdMVE1TJywzODc2OSk=&amp;WINDOW=FIRST_POPUP&amp;HEIGHT=450&amp;WIDTH=450&amp;START_MA","XIMIZED=FALSE&amp;VAR:CALENDAR=US&amp;VAR:SYMBOL=05614P10&amp;VAR:INDEX=0"}</definedName>
    <definedName name="_3288__FDSAUDITLINK__" hidden="1">{"fdsup://directions/FAT Viewer?action=UPDATE&amp;creator=factset&amp;DYN_ARGS=TRUE&amp;DOC_NAME=FAT:FQL_AUDITING_CLIENT_TEMPLATE.FAT&amp;display_string=Audit&amp;VAR:KEY=FELEDQXSVW&amp;VAR:QUERY=RkZfRUJJVERBX0lCKCdMVE1TJywzODc2OSk=&amp;WINDOW=FIRST_POPUP&amp;HEIGHT=450&amp;WIDTH=450&amp;START_MA","XIMIZED=FALSE&amp;VAR:CALENDAR=US&amp;VAR:SYMBOL=05614P10&amp;VAR:INDEX=0"}</definedName>
    <definedName name="_3289__FDSAUDITLINK__" localSheetId="6" hidden="1">{"fdsup://directions/FAT Viewer?action=UPDATE&amp;creator=factset&amp;DYN_ARGS=TRUE&amp;DOC_NAME=FAT:FQL_AUDITING_CLIENT_TEMPLATE.FAT&amp;display_string=Audit&amp;VAR:KEY=LGHUJWRYDA&amp;VAR:QUERY=RkZfRUJJVERBX0lCKCdMVE1TJywzODc2OCk=&amp;WINDOW=FIRST_POPUP&amp;HEIGHT=450&amp;WIDTH=450&amp;START_MA","XIMIZED=FALSE&amp;VAR:CALENDAR=US&amp;VAR:SYMBOL=05614P10&amp;VAR:INDEX=0"}</definedName>
    <definedName name="_3289__FDSAUDITLINK__" hidden="1">{"fdsup://directions/FAT Viewer?action=UPDATE&amp;creator=factset&amp;DYN_ARGS=TRUE&amp;DOC_NAME=FAT:FQL_AUDITING_CLIENT_TEMPLATE.FAT&amp;display_string=Audit&amp;VAR:KEY=LGHUJWRYDA&amp;VAR:QUERY=RkZfRUJJVERBX0lCKCdMVE1TJywzODc2OCk=&amp;WINDOW=FIRST_POPUP&amp;HEIGHT=450&amp;WIDTH=450&amp;START_MA","XIMIZED=FALSE&amp;VAR:CALENDAR=US&amp;VAR:SYMBOL=05614P10&amp;VAR:INDEX=0"}</definedName>
    <definedName name="_329__FDSAUDITLINK__" localSheetId="6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29__FDSAUDITLINK__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290__FDSAUDITLINK__" localSheetId="6" hidden="1">{"fdsup://directions/FAT Viewer?action=UPDATE&amp;creator=factset&amp;DYN_ARGS=TRUE&amp;DOC_NAME=FAT:FQL_AUDITING_CLIENT_TEMPLATE.FAT&amp;display_string=Audit&amp;VAR:KEY=DEJWFODMPM&amp;VAR:QUERY=RkZfRUJJVERBX0lCKCdMVE1TJywzODc2Nyk=&amp;WINDOW=FIRST_POPUP&amp;HEIGHT=450&amp;WIDTH=450&amp;START_MA","XIMIZED=FALSE&amp;VAR:CALENDAR=US&amp;VAR:SYMBOL=05614P10&amp;VAR:INDEX=0"}</definedName>
    <definedName name="_3290__FDSAUDITLINK__" hidden="1">{"fdsup://directions/FAT Viewer?action=UPDATE&amp;creator=factset&amp;DYN_ARGS=TRUE&amp;DOC_NAME=FAT:FQL_AUDITING_CLIENT_TEMPLATE.FAT&amp;display_string=Audit&amp;VAR:KEY=DEJWFODMPM&amp;VAR:QUERY=RkZfRUJJVERBX0lCKCdMVE1TJywzODc2Nyk=&amp;WINDOW=FIRST_POPUP&amp;HEIGHT=450&amp;WIDTH=450&amp;START_MA","XIMIZED=FALSE&amp;VAR:CALENDAR=US&amp;VAR:SYMBOL=05614P10&amp;VAR:INDEX=0"}</definedName>
    <definedName name="_3291__FDSAUDITLINK__" localSheetId="6" hidden="1">{"fdsup://directions/FAT Viewer?action=UPDATE&amp;creator=factset&amp;DYN_ARGS=TRUE&amp;DOC_NAME=FAT:FQL_AUDITING_CLIENT_TEMPLATE.FAT&amp;display_string=Audit&amp;VAR:KEY=TCHMPWDARO&amp;VAR:QUERY=RkZfRUJJVERBX0lCKCdMVE1TJywzODc2Nik=&amp;WINDOW=FIRST_POPUP&amp;HEIGHT=450&amp;WIDTH=450&amp;START_MA","XIMIZED=FALSE&amp;VAR:CALENDAR=US&amp;VAR:SYMBOL=05614P10&amp;VAR:INDEX=0"}</definedName>
    <definedName name="_3291__FDSAUDITLINK__" hidden="1">{"fdsup://directions/FAT Viewer?action=UPDATE&amp;creator=factset&amp;DYN_ARGS=TRUE&amp;DOC_NAME=FAT:FQL_AUDITING_CLIENT_TEMPLATE.FAT&amp;display_string=Audit&amp;VAR:KEY=TCHMPWDARO&amp;VAR:QUERY=RkZfRUJJVERBX0lCKCdMVE1TJywzODc2Nik=&amp;WINDOW=FIRST_POPUP&amp;HEIGHT=450&amp;WIDTH=450&amp;START_MA","XIMIZED=FALSE&amp;VAR:CALENDAR=US&amp;VAR:SYMBOL=05614P10&amp;VAR:INDEX=0"}</definedName>
    <definedName name="_3292__FDSAUDITLINK__" localSheetId="6" hidden="1">{"fdsup://directions/FAT Viewer?action=UPDATE&amp;creator=factset&amp;DYN_ARGS=TRUE&amp;DOC_NAME=FAT:FQL_AUDITING_CLIENT_TEMPLATE.FAT&amp;display_string=Audit&amp;VAR:KEY=HGPSBYPSJA&amp;VAR:QUERY=RkZfRUJJVERBX0lCKCdMVE1TJywzODc2NSk=&amp;WINDOW=FIRST_POPUP&amp;HEIGHT=450&amp;WIDTH=450&amp;START_MA","XIMIZED=FALSE&amp;VAR:CALENDAR=US&amp;VAR:SYMBOL=05614P10&amp;VAR:INDEX=0"}</definedName>
    <definedName name="_3292__FDSAUDITLINK__" hidden="1">{"fdsup://directions/FAT Viewer?action=UPDATE&amp;creator=factset&amp;DYN_ARGS=TRUE&amp;DOC_NAME=FAT:FQL_AUDITING_CLIENT_TEMPLATE.FAT&amp;display_string=Audit&amp;VAR:KEY=HGPSBYPSJA&amp;VAR:QUERY=RkZfRUJJVERBX0lCKCdMVE1TJywzODc2NSk=&amp;WINDOW=FIRST_POPUP&amp;HEIGHT=450&amp;WIDTH=450&amp;START_MA","XIMIZED=FALSE&amp;VAR:CALENDAR=US&amp;VAR:SYMBOL=05614P10&amp;VAR:INDEX=0"}</definedName>
    <definedName name="_3293__FDSAUDITLINK__" localSheetId="6" hidden="1">{"fdsup://directions/FAT Viewer?action=UPDATE&amp;creator=factset&amp;DYN_ARGS=TRUE&amp;DOC_NAME=FAT:FQL_AUDITING_CLIENT_TEMPLATE.FAT&amp;display_string=Audit&amp;VAR:KEY=XENOVYBSLQ&amp;VAR:QUERY=RkZfRUJJVERBX0lCKCdMVE1TJywzODc2NCk=&amp;WINDOW=FIRST_POPUP&amp;HEIGHT=450&amp;WIDTH=450&amp;START_MA","XIMIZED=FALSE&amp;VAR:CALENDAR=US&amp;VAR:SYMBOL=05614P10&amp;VAR:INDEX=0"}</definedName>
    <definedName name="_3293__FDSAUDITLINK__" hidden="1">{"fdsup://directions/FAT Viewer?action=UPDATE&amp;creator=factset&amp;DYN_ARGS=TRUE&amp;DOC_NAME=FAT:FQL_AUDITING_CLIENT_TEMPLATE.FAT&amp;display_string=Audit&amp;VAR:KEY=XENOVYBSLQ&amp;VAR:QUERY=RkZfRUJJVERBX0lCKCdMVE1TJywzODc2NCk=&amp;WINDOW=FIRST_POPUP&amp;HEIGHT=450&amp;WIDTH=450&amp;START_MA","XIMIZED=FALSE&amp;VAR:CALENDAR=US&amp;VAR:SYMBOL=05614P10&amp;VAR:INDEX=0"}</definedName>
    <definedName name="_3294__FDSAUDITLINK__" localSheetId="6" hidden="1">{"fdsup://directions/FAT Viewer?action=UPDATE&amp;creator=factset&amp;DYN_ARGS=TRUE&amp;DOC_NAME=FAT:FQL_AUDITING_CLIENT_TEMPLATE.FAT&amp;display_string=Audit&amp;VAR:KEY=VMZYPALAZU&amp;VAR:QUERY=RkZfRUJJVERBX0lCKCdMVE1TJywzODc2Myk=&amp;WINDOW=FIRST_POPUP&amp;HEIGHT=450&amp;WIDTH=450&amp;START_MA","XIMIZED=FALSE&amp;VAR:CALENDAR=US&amp;VAR:SYMBOL=05614P10&amp;VAR:INDEX=0"}</definedName>
    <definedName name="_3294__FDSAUDITLINK__" hidden="1">{"fdsup://directions/FAT Viewer?action=UPDATE&amp;creator=factset&amp;DYN_ARGS=TRUE&amp;DOC_NAME=FAT:FQL_AUDITING_CLIENT_TEMPLATE.FAT&amp;display_string=Audit&amp;VAR:KEY=VMZYPALAZU&amp;VAR:QUERY=RkZfRUJJVERBX0lCKCdMVE1TJywzODc2Myk=&amp;WINDOW=FIRST_POPUP&amp;HEIGHT=450&amp;WIDTH=450&amp;START_MA","XIMIZED=FALSE&amp;VAR:CALENDAR=US&amp;VAR:SYMBOL=05614P10&amp;VAR:INDEX=0"}</definedName>
    <definedName name="_3295__FDSAUDITLINK__" localSheetId="6" hidden="1">{"fdsup://directions/FAT Viewer?action=UPDATE&amp;creator=factset&amp;DYN_ARGS=TRUE&amp;DOC_NAME=FAT:FQL_AUDITING_CLIENT_TEMPLATE.FAT&amp;display_string=Audit&amp;VAR:KEY=BSJIJEVAHO&amp;VAR:QUERY=RkZfRUJJVERBX0lCKCdMVE1TJywzODc2Mik=&amp;WINDOW=FIRST_POPUP&amp;HEIGHT=450&amp;WIDTH=450&amp;START_MA","XIMIZED=FALSE&amp;VAR:CALENDAR=US&amp;VAR:SYMBOL=05614P10&amp;VAR:INDEX=0"}</definedName>
    <definedName name="_3295__FDSAUDITLINK__" hidden="1">{"fdsup://directions/FAT Viewer?action=UPDATE&amp;creator=factset&amp;DYN_ARGS=TRUE&amp;DOC_NAME=FAT:FQL_AUDITING_CLIENT_TEMPLATE.FAT&amp;display_string=Audit&amp;VAR:KEY=BSJIJEVAHO&amp;VAR:QUERY=RkZfRUJJVERBX0lCKCdMVE1TJywzODc2Mik=&amp;WINDOW=FIRST_POPUP&amp;HEIGHT=450&amp;WIDTH=450&amp;START_MA","XIMIZED=FALSE&amp;VAR:CALENDAR=US&amp;VAR:SYMBOL=05614P10&amp;VAR:INDEX=0"}</definedName>
    <definedName name="_3296__FDSAUDITLINK__" localSheetId="6" hidden="1">{"fdsup://directions/FAT Viewer?action=UPDATE&amp;creator=factset&amp;DYN_ARGS=TRUE&amp;DOC_NAME=FAT:FQL_AUDITING_CLIENT_TEMPLATE.FAT&amp;display_string=Audit&amp;VAR:KEY=JCZEHAHEXC&amp;VAR:QUERY=RkZfRUJJVERBX0lCKCdMVE1TJywzODc2MSk=&amp;WINDOW=FIRST_POPUP&amp;HEIGHT=450&amp;WIDTH=450&amp;START_MA","XIMIZED=FALSE&amp;VAR:CALENDAR=US&amp;VAR:SYMBOL=05614P10&amp;VAR:INDEX=0"}</definedName>
    <definedName name="_3296__FDSAUDITLINK__" hidden="1">{"fdsup://directions/FAT Viewer?action=UPDATE&amp;creator=factset&amp;DYN_ARGS=TRUE&amp;DOC_NAME=FAT:FQL_AUDITING_CLIENT_TEMPLATE.FAT&amp;display_string=Audit&amp;VAR:KEY=JCZEHAHEXC&amp;VAR:QUERY=RkZfRUJJVERBX0lCKCdMVE1TJywzODc2MSk=&amp;WINDOW=FIRST_POPUP&amp;HEIGHT=450&amp;WIDTH=450&amp;START_MA","XIMIZED=FALSE&amp;VAR:CALENDAR=US&amp;VAR:SYMBOL=05614P10&amp;VAR:INDEX=0"}</definedName>
    <definedName name="_3297__FDSAUDITLINK__" localSheetId="6" hidden="1">{"fdsup://directions/FAT Viewer?action=UPDATE&amp;creator=factset&amp;DYN_ARGS=TRUE&amp;DOC_NAME=FAT:FQL_AUDITING_CLIENT_TEMPLATE.FAT&amp;display_string=Audit&amp;VAR:KEY=NSPABUXQZY&amp;VAR:QUERY=RkZfRUJJVERBX0lCKCdMVE1TJywzODc2MCk=&amp;WINDOW=FIRST_POPUP&amp;HEIGHT=450&amp;WIDTH=450&amp;START_MA","XIMIZED=FALSE&amp;VAR:CALENDAR=US&amp;VAR:SYMBOL=05614P10&amp;VAR:INDEX=0"}</definedName>
    <definedName name="_3297__FDSAUDITLINK__" hidden="1">{"fdsup://directions/FAT Viewer?action=UPDATE&amp;creator=factset&amp;DYN_ARGS=TRUE&amp;DOC_NAME=FAT:FQL_AUDITING_CLIENT_TEMPLATE.FAT&amp;display_string=Audit&amp;VAR:KEY=NSPABUXQZY&amp;VAR:QUERY=RkZfRUJJVERBX0lCKCdMVE1TJywzODc2MCk=&amp;WINDOW=FIRST_POPUP&amp;HEIGHT=450&amp;WIDTH=450&amp;START_MA","XIMIZED=FALSE&amp;VAR:CALENDAR=US&amp;VAR:SYMBOL=05614P10&amp;VAR:INDEX=0"}</definedName>
    <definedName name="_3298__FDSAUDITLINK__" localSheetId="6" hidden="1">{"fdsup://directions/FAT Viewer?action=UPDATE&amp;creator=factset&amp;DYN_ARGS=TRUE&amp;DOC_NAME=FAT:FQL_AUDITING_CLIENT_TEMPLATE.FAT&amp;display_string=Audit&amp;VAR:KEY=FMTSZUHADY&amp;VAR:QUERY=RkZfRUJJVERBX0lCKCdMVE1TJywzODc1OSk=&amp;WINDOW=FIRST_POPUP&amp;HEIGHT=450&amp;WIDTH=450&amp;START_MA","XIMIZED=FALSE&amp;VAR:CALENDAR=US&amp;VAR:SYMBOL=05614P10&amp;VAR:INDEX=0"}</definedName>
    <definedName name="_3298__FDSAUDITLINK__" hidden="1">{"fdsup://directions/FAT Viewer?action=UPDATE&amp;creator=factset&amp;DYN_ARGS=TRUE&amp;DOC_NAME=FAT:FQL_AUDITING_CLIENT_TEMPLATE.FAT&amp;display_string=Audit&amp;VAR:KEY=FMTSZUHADY&amp;VAR:QUERY=RkZfRUJJVERBX0lCKCdMVE1TJywzODc1OSk=&amp;WINDOW=FIRST_POPUP&amp;HEIGHT=450&amp;WIDTH=450&amp;START_MA","XIMIZED=FALSE&amp;VAR:CALENDAR=US&amp;VAR:SYMBOL=05614P10&amp;VAR:INDEX=0"}</definedName>
    <definedName name="_3299__FDSAUDITLINK__" localSheetId="6" hidden="1">{"fdsup://directions/FAT Viewer?action=UPDATE&amp;creator=factset&amp;DYN_ARGS=TRUE&amp;DOC_NAME=FAT:FQL_AUDITING_CLIENT_TEMPLATE.FAT&amp;display_string=Audit&amp;VAR:KEY=HOFUFGHILW&amp;VAR:QUERY=RkZfRUJJVERBX0lCKCdMVE1TJywzODc1OCk=&amp;WINDOW=FIRST_POPUP&amp;HEIGHT=450&amp;WIDTH=450&amp;START_MA","XIMIZED=FALSE&amp;VAR:CALENDAR=US&amp;VAR:SYMBOL=05614P10&amp;VAR:INDEX=0"}</definedName>
    <definedName name="_3299__FDSAUDITLINK__" hidden="1">{"fdsup://directions/FAT Viewer?action=UPDATE&amp;creator=factset&amp;DYN_ARGS=TRUE&amp;DOC_NAME=FAT:FQL_AUDITING_CLIENT_TEMPLATE.FAT&amp;display_string=Audit&amp;VAR:KEY=HOFUFGHILW&amp;VAR:QUERY=RkZfRUJJVERBX0lCKCdMVE1TJywzODc1OCk=&amp;WINDOW=FIRST_POPUP&amp;HEIGHT=450&amp;WIDTH=450&amp;START_MA","XIMIZED=FALSE&amp;VAR:CALENDAR=US&amp;VAR:SYMBOL=05614P10&amp;VAR:INDEX=0"}</definedName>
    <definedName name="_330__FDSAUDITLINK__" localSheetId="6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0__FDSAUDITLINK__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00__FDSAUDITLINK__" localSheetId="6" hidden="1">{"fdsup://directions/FAT Viewer?action=UPDATE&amp;creator=factset&amp;DYN_ARGS=TRUE&amp;DOC_NAME=FAT:FQL_AUDITING_CLIENT_TEMPLATE.FAT&amp;display_string=Audit&amp;VAR:KEY=JCHMXUVSRU&amp;VAR:QUERY=RkZfRUJJVERBX0lCKCdMVE1TJywzODc1Nyk=&amp;WINDOW=FIRST_POPUP&amp;HEIGHT=450&amp;WIDTH=450&amp;START_MA","XIMIZED=FALSE&amp;VAR:CALENDAR=US&amp;VAR:SYMBOL=05614P10&amp;VAR:INDEX=0"}</definedName>
    <definedName name="_3300__FDSAUDITLINK__" hidden="1">{"fdsup://directions/FAT Viewer?action=UPDATE&amp;creator=factset&amp;DYN_ARGS=TRUE&amp;DOC_NAME=FAT:FQL_AUDITING_CLIENT_TEMPLATE.FAT&amp;display_string=Audit&amp;VAR:KEY=JCHMXUVSRU&amp;VAR:QUERY=RkZfRUJJVERBX0lCKCdMVE1TJywzODc1Nyk=&amp;WINDOW=FIRST_POPUP&amp;HEIGHT=450&amp;WIDTH=450&amp;START_MA","XIMIZED=FALSE&amp;VAR:CALENDAR=US&amp;VAR:SYMBOL=05614P10&amp;VAR:INDEX=0"}</definedName>
    <definedName name="_3301__FDSAUDITLINK__" localSheetId="6" hidden="1">{"fdsup://directions/FAT Viewer?action=UPDATE&amp;creator=factset&amp;DYN_ARGS=TRUE&amp;DOC_NAME=FAT:FQL_AUDITING_CLIENT_TEMPLATE.FAT&amp;display_string=Audit&amp;VAR:KEY=TCVQNOZMVW&amp;VAR:QUERY=RkZfRUJJVERBX0lCKCdMVE1TJywzODc1Nik=&amp;WINDOW=FIRST_POPUP&amp;HEIGHT=450&amp;WIDTH=450&amp;START_MA","XIMIZED=FALSE&amp;VAR:CALENDAR=US&amp;VAR:SYMBOL=05614P10&amp;VAR:INDEX=0"}</definedName>
    <definedName name="_3301__FDSAUDITLINK__" hidden="1">{"fdsup://directions/FAT Viewer?action=UPDATE&amp;creator=factset&amp;DYN_ARGS=TRUE&amp;DOC_NAME=FAT:FQL_AUDITING_CLIENT_TEMPLATE.FAT&amp;display_string=Audit&amp;VAR:KEY=TCVQNOZMVW&amp;VAR:QUERY=RkZfRUJJVERBX0lCKCdMVE1TJywzODc1Nik=&amp;WINDOW=FIRST_POPUP&amp;HEIGHT=450&amp;WIDTH=450&amp;START_MA","XIMIZED=FALSE&amp;VAR:CALENDAR=US&amp;VAR:SYMBOL=05614P10&amp;VAR:INDEX=0"}</definedName>
    <definedName name="_3302__FDSAUDITLINK__" localSheetId="6" hidden="1">{"fdsup://directions/FAT Viewer?action=UPDATE&amp;creator=factset&amp;DYN_ARGS=TRUE&amp;DOC_NAME=FAT:FQL_AUDITING_CLIENT_TEMPLATE.FAT&amp;display_string=Audit&amp;VAR:KEY=XQZQRYBIZW&amp;VAR:QUERY=RkZfRUJJVERBX0lCKCdMVE1TJywzODc1NSk=&amp;WINDOW=FIRST_POPUP&amp;HEIGHT=450&amp;WIDTH=450&amp;START_MA","XIMIZED=FALSE&amp;VAR:CALENDAR=US&amp;VAR:SYMBOL=05614P10&amp;VAR:INDEX=0"}</definedName>
    <definedName name="_3302__FDSAUDITLINK__" hidden="1">{"fdsup://directions/FAT Viewer?action=UPDATE&amp;creator=factset&amp;DYN_ARGS=TRUE&amp;DOC_NAME=FAT:FQL_AUDITING_CLIENT_TEMPLATE.FAT&amp;display_string=Audit&amp;VAR:KEY=XQZQRYBIZW&amp;VAR:QUERY=RkZfRUJJVERBX0lCKCdMVE1TJywzODc1NSk=&amp;WINDOW=FIRST_POPUP&amp;HEIGHT=450&amp;WIDTH=450&amp;START_MA","XIMIZED=FALSE&amp;VAR:CALENDAR=US&amp;VAR:SYMBOL=05614P10&amp;VAR:INDEX=0"}</definedName>
    <definedName name="_3303__FDSAUDITLINK__" localSheetId="6" hidden="1">{"fdsup://directions/FAT Viewer?action=UPDATE&amp;creator=factset&amp;DYN_ARGS=TRUE&amp;DOC_NAME=FAT:FQL_AUDITING_CLIENT_TEMPLATE.FAT&amp;display_string=Audit&amp;VAR:KEY=TOXYNOZKZA&amp;VAR:QUERY=RkZfRUJJVERBX0lCKCdMVE1TJywzODc1NCk=&amp;WINDOW=FIRST_POPUP&amp;HEIGHT=450&amp;WIDTH=450&amp;START_MA","XIMIZED=FALSE&amp;VAR:CALENDAR=US&amp;VAR:SYMBOL=05614P10&amp;VAR:INDEX=0"}</definedName>
    <definedName name="_3303__FDSAUDITLINK__" hidden="1">{"fdsup://directions/FAT Viewer?action=UPDATE&amp;creator=factset&amp;DYN_ARGS=TRUE&amp;DOC_NAME=FAT:FQL_AUDITING_CLIENT_TEMPLATE.FAT&amp;display_string=Audit&amp;VAR:KEY=TOXYNOZKZA&amp;VAR:QUERY=RkZfRUJJVERBX0lCKCdMVE1TJywzODc1NCk=&amp;WINDOW=FIRST_POPUP&amp;HEIGHT=450&amp;WIDTH=450&amp;START_MA","XIMIZED=FALSE&amp;VAR:CALENDAR=US&amp;VAR:SYMBOL=05614P10&amp;VAR:INDEX=0"}</definedName>
    <definedName name="_3304__FDSAUDITLINK__" localSheetId="6" hidden="1">{"fdsup://directions/FAT Viewer?action=UPDATE&amp;creator=factset&amp;DYN_ARGS=TRUE&amp;DOC_NAME=FAT:FQL_AUDITING_CLIENT_TEMPLATE.FAT&amp;display_string=Audit&amp;VAR:KEY=NAXONUZSPE&amp;VAR:QUERY=RkZfRUJJVERBX0lCKCdMVE1TJywzODc1Myk=&amp;WINDOW=FIRST_POPUP&amp;HEIGHT=450&amp;WIDTH=450&amp;START_MA","XIMIZED=FALSE&amp;VAR:CALENDAR=US&amp;VAR:SYMBOL=05614P10&amp;VAR:INDEX=0"}</definedName>
    <definedName name="_3304__FDSAUDITLINK__" hidden="1">{"fdsup://directions/FAT Viewer?action=UPDATE&amp;creator=factset&amp;DYN_ARGS=TRUE&amp;DOC_NAME=FAT:FQL_AUDITING_CLIENT_TEMPLATE.FAT&amp;display_string=Audit&amp;VAR:KEY=NAXONUZSPE&amp;VAR:QUERY=RkZfRUJJVERBX0lCKCdMVE1TJywzODc1Myk=&amp;WINDOW=FIRST_POPUP&amp;HEIGHT=450&amp;WIDTH=450&amp;START_MA","XIMIZED=FALSE&amp;VAR:CALENDAR=US&amp;VAR:SYMBOL=05614P10&amp;VAR:INDEX=0"}</definedName>
    <definedName name="_3305__FDSAUDITLINK__" localSheetId="6" hidden="1">{"fdsup://directions/FAT Viewer?action=UPDATE&amp;creator=factset&amp;DYN_ARGS=TRUE&amp;DOC_NAME=FAT:FQL_AUDITING_CLIENT_TEMPLATE.FAT&amp;display_string=Audit&amp;VAR:KEY=LWZOHMXKPU&amp;VAR:QUERY=RkZfRUJJVERBX0lCKCdMVE1TJywzODc1Mik=&amp;WINDOW=FIRST_POPUP&amp;HEIGHT=450&amp;WIDTH=450&amp;START_MA","XIMIZED=FALSE&amp;VAR:CALENDAR=US&amp;VAR:SYMBOL=05614P10&amp;VAR:INDEX=0"}</definedName>
    <definedName name="_3305__FDSAUDITLINK__" hidden="1">{"fdsup://directions/FAT Viewer?action=UPDATE&amp;creator=factset&amp;DYN_ARGS=TRUE&amp;DOC_NAME=FAT:FQL_AUDITING_CLIENT_TEMPLATE.FAT&amp;display_string=Audit&amp;VAR:KEY=LWZOHMXKPU&amp;VAR:QUERY=RkZfRUJJVERBX0lCKCdMVE1TJywzODc1Mik=&amp;WINDOW=FIRST_POPUP&amp;HEIGHT=450&amp;WIDTH=450&amp;START_MA","XIMIZED=FALSE&amp;VAR:CALENDAR=US&amp;VAR:SYMBOL=05614P10&amp;VAR:INDEX=0"}</definedName>
    <definedName name="_3306__FDSAUDITLINK__" localSheetId="6" hidden="1">{"fdsup://directions/FAT Viewer?action=UPDATE&amp;creator=factset&amp;DYN_ARGS=TRUE&amp;DOC_NAME=FAT:FQL_AUDITING_CLIENT_TEMPLATE.FAT&amp;display_string=Audit&amp;VAR:KEY=XWBYHQDOLA&amp;VAR:QUERY=RkZfRUJJVERBX0lCKCdMVE1TJywzODc1MSk=&amp;WINDOW=FIRST_POPUP&amp;HEIGHT=450&amp;WIDTH=450&amp;START_MA","XIMIZED=FALSE&amp;VAR:CALENDAR=US&amp;VAR:SYMBOL=05614P10&amp;VAR:INDEX=0"}</definedName>
    <definedName name="_3306__FDSAUDITLINK__" hidden="1">{"fdsup://directions/FAT Viewer?action=UPDATE&amp;creator=factset&amp;DYN_ARGS=TRUE&amp;DOC_NAME=FAT:FQL_AUDITING_CLIENT_TEMPLATE.FAT&amp;display_string=Audit&amp;VAR:KEY=XWBYHQDOLA&amp;VAR:QUERY=RkZfRUJJVERBX0lCKCdMVE1TJywzODc1MSk=&amp;WINDOW=FIRST_POPUP&amp;HEIGHT=450&amp;WIDTH=450&amp;START_MA","XIMIZED=FALSE&amp;VAR:CALENDAR=US&amp;VAR:SYMBOL=05614P10&amp;VAR:INDEX=0"}</definedName>
    <definedName name="_3307__FDSAUDITLINK__" localSheetId="6" hidden="1">{"fdsup://directions/FAT Viewer?action=UPDATE&amp;creator=factset&amp;DYN_ARGS=TRUE&amp;DOC_NAME=FAT:FQL_AUDITING_CLIENT_TEMPLATE.FAT&amp;display_string=Audit&amp;VAR:KEY=LSDAFEFYHO&amp;VAR:QUERY=RkZfRUJJVERBX0lCKCdMVE1TJywzODc1MCk=&amp;WINDOW=FIRST_POPUP&amp;HEIGHT=450&amp;WIDTH=450&amp;START_MA","XIMIZED=FALSE&amp;VAR:CALENDAR=US&amp;VAR:SYMBOL=05614P10&amp;VAR:INDEX=0"}</definedName>
    <definedName name="_3307__FDSAUDITLINK__" hidden="1">{"fdsup://directions/FAT Viewer?action=UPDATE&amp;creator=factset&amp;DYN_ARGS=TRUE&amp;DOC_NAME=FAT:FQL_AUDITING_CLIENT_TEMPLATE.FAT&amp;display_string=Audit&amp;VAR:KEY=LSDAFEFYHO&amp;VAR:QUERY=RkZfRUJJVERBX0lCKCdMVE1TJywzODc1MCk=&amp;WINDOW=FIRST_POPUP&amp;HEIGHT=450&amp;WIDTH=450&amp;START_MA","XIMIZED=FALSE&amp;VAR:CALENDAR=US&amp;VAR:SYMBOL=05614P10&amp;VAR:INDEX=0"}</definedName>
    <definedName name="_3308__FDSAUDITLINK__" localSheetId="6" hidden="1">{"fdsup://directions/FAT Viewer?action=UPDATE&amp;creator=factset&amp;DYN_ARGS=TRUE&amp;DOC_NAME=FAT:FQL_AUDITING_CLIENT_TEMPLATE.FAT&amp;display_string=Audit&amp;VAR:KEY=RORYRCNUTU&amp;VAR:QUERY=RkZfRUJJVERBX0lCKCdMVE1TJywzODc0OSk=&amp;WINDOW=FIRST_POPUP&amp;HEIGHT=450&amp;WIDTH=450&amp;START_MA","XIMIZED=FALSE&amp;VAR:CALENDAR=US&amp;VAR:SYMBOL=05614P10&amp;VAR:INDEX=0"}</definedName>
    <definedName name="_3308__FDSAUDITLINK__" hidden="1">{"fdsup://directions/FAT Viewer?action=UPDATE&amp;creator=factset&amp;DYN_ARGS=TRUE&amp;DOC_NAME=FAT:FQL_AUDITING_CLIENT_TEMPLATE.FAT&amp;display_string=Audit&amp;VAR:KEY=RORYRCNUTU&amp;VAR:QUERY=RkZfRUJJVERBX0lCKCdMVE1TJywzODc0OSk=&amp;WINDOW=FIRST_POPUP&amp;HEIGHT=450&amp;WIDTH=450&amp;START_MA","XIMIZED=FALSE&amp;VAR:CALENDAR=US&amp;VAR:SYMBOL=05614P10&amp;VAR:INDEX=0"}</definedName>
    <definedName name="_3309__FDSAUDITLINK__" localSheetId="6" hidden="1">{"fdsup://directions/FAT Viewer?action=UPDATE&amp;creator=factset&amp;DYN_ARGS=TRUE&amp;DOC_NAME=FAT:FQL_AUDITING_CLIENT_TEMPLATE.FAT&amp;display_string=Audit&amp;VAR:KEY=HWBSFKZCVA&amp;VAR:QUERY=RkZfRUJJVERBX0lCKCdMVE1TJywzODc0OCk=&amp;WINDOW=FIRST_POPUP&amp;HEIGHT=450&amp;WIDTH=450&amp;START_MA","XIMIZED=FALSE&amp;VAR:CALENDAR=US&amp;VAR:SYMBOL=05614P10&amp;VAR:INDEX=0"}</definedName>
    <definedName name="_3309__FDSAUDITLINK__" hidden="1">{"fdsup://directions/FAT Viewer?action=UPDATE&amp;creator=factset&amp;DYN_ARGS=TRUE&amp;DOC_NAME=FAT:FQL_AUDITING_CLIENT_TEMPLATE.FAT&amp;display_string=Audit&amp;VAR:KEY=HWBSFKZCVA&amp;VAR:QUERY=RkZfRUJJVERBX0lCKCdMVE1TJywzODc0OCk=&amp;WINDOW=FIRST_POPUP&amp;HEIGHT=450&amp;WIDTH=450&amp;START_MA","XIMIZED=FALSE&amp;VAR:CALENDAR=US&amp;VAR:SYMBOL=05614P10&amp;VAR:INDEX=0"}</definedName>
    <definedName name="_331__FDSAUDITLINK__" localSheetId="6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1__FDSAUDITLINK__" hidden="1">{"fdsup://directions/FAT%20Viewer?VAR:PED=LTM&amp;VAR:AUDIT_MODE=SUMMARY&amp;VAR:PERIOD=FIXED&amp;VAR:AUDIT_ID=00000117&amp;VAR:DATE=20090327&amp;action=UPDATE&amp;creator=factset&amp;DOC_NAME=FAT:FMA_audit_SUMMARY.fat&amp;DISPLAY_STRING=Display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10__FDSAUDITLINK__" localSheetId="6" hidden="1">{"fdsup://directions/FAT Viewer?action=UPDATE&amp;creator=factset&amp;DYN_ARGS=TRUE&amp;DOC_NAME=FAT:FQL_AUDITING_CLIENT_TEMPLATE.FAT&amp;display_string=Audit&amp;VAR:KEY=BMJGPSTUXA&amp;VAR:QUERY=RkZfRUJJVERBX0lCKCdMVE1TJywzODc0Nyk=&amp;WINDOW=FIRST_POPUP&amp;HEIGHT=450&amp;WIDTH=450&amp;START_MA","XIMIZED=FALSE&amp;VAR:CALENDAR=US&amp;VAR:SYMBOL=05614P10&amp;VAR:INDEX=0"}</definedName>
    <definedName name="_3310__FDSAUDITLINK__" hidden="1">{"fdsup://directions/FAT Viewer?action=UPDATE&amp;creator=factset&amp;DYN_ARGS=TRUE&amp;DOC_NAME=FAT:FQL_AUDITING_CLIENT_TEMPLATE.FAT&amp;display_string=Audit&amp;VAR:KEY=BMJGPSTUXA&amp;VAR:QUERY=RkZfRUJJVERBX0lCKCdMVE1TJywzODc0Nyk=&amp;WINDOW=FIRST_POPUP&amp;HEIGHT=450&amp;WIDTH=450&amp;START_MA","XIMIZED=FALSE&amp;VAR:CALENDAR=US&amp;VAR:SYMBOL=05614P10&amp;VAR:INDEX=0"}</definedName>
    <definedName name="_3311__FDSAUDITLINK__" localSheetId="6" hidden="1">{"fdsup://directions/FAT Viewer?action=UPDATE&amp;creator=factset&amp;DYN_ARGS=TRUE&amp;DOC_NAME=FAT:FQL_AUDITING_CLIENT_TEMPLATE.FAT&amp;display_string=Audit&amp;VAR:KEY=LSLOPYJIRG&amp;VAR:QUERY=RkZfRUJJVERBX0lCKCdMVE1TJywzODc0Nik=&amp;WINDOW=FIRST_POPUP&amp;HEIGHT=450&amp;WIDTH=450&amp;START_MA","XIMIZED=FALSE&amp;VAR:CALENDAR=US&amp;VAR:SYMBOL=05614P10&amp;VAR:INDEX=0"}</definedName>
    <definedName name="_3311__FDSAUDITLINK__" hidden="1">{"fdsup://directions/FAT Viewer?action=UPDATE&amp;creator=factset&amp;DYN_ARGS=TRUE&amp;DOC_NAME=FAT:FQL_AUDITING_CLIENT_TEMPLATE.FAT&amp;display_string=Audit&amp;VAR:KEY=LSLOPYJIRG&amp;VAR:QUERY=RkZfRUJJVERBX0lCKCdMVE1TJywzODc0Nik=&amp;WINDOW=FIRST_POPUP&amp;HEIGHT=450&amp;WIDTH=450&amp;START_MA","XIMIZED=FALSE&amp;VAR:CALENDAR=US&amp;VAR:SYMBOL=05614P10&amp;VAR:INDEX=0"}</definedName>
    <definedName name="_3312__FDSAUDITLINK__" localSheetId="6" hidden="1">{"fdsup://directions/FAT Viewer?action=UPDATE&amp;creator=factset&amp;DYN_ARGS=TRUE&amp;DOC_NAME=FAT:FQL_AUDITING_CLIENT_TEMPLATE.FAT&amp;display_string=Audit&amp;VAR:KEY=JMBEDMDIBU&amp;VAR:QUERY=RkZfRUJJVERBX0lCKCdMVE1TJywzODc0NSk=&amp;WINDOW=FIRST_POPUP&amp;HEIGHT=450&amp;WIDTH=450&amp;START_MA","XIMIZED=FALSE&amp;VAR:CALENDAR=US&amp;VAR:SYMBOL=05614P10&amp;VAR:INDEX=0"}</definedName>
    <definedName name="_3312__FDSAUDITLINK__" hidden="1">{"fdsup://directions/FAT Viewer?action=UPDATE&amp;creator=factset&amp;DYN_ARGS=TRUE&amp;DOC_NAME=FAT:FQL_AUDITING_CLIENT_TEMPLATE.FAT&amp;display_string=Audit&amp;VAR:KEY=JMBEDMDIBU&amp;VAR:QUERY=RkZfRUJJVERBX0lCKCdMVE1TJywzODc0NSk=&amp;WINDOW=FIRST_POPUP&amp;HEIGHT=450&amp;WIDTH=450&amp;START_MA","XIMIZED=FALSE&amp;VAR:CALENDAR=US&amp;VAR:SYMBOL=05614P10&amp;VAR:INDEX=0"}</definedName>
    <definedName name="_3313__FDSAUDITLINK__" localSheetId="6" hidden="1">{"fdsup://directions/FAT Viewer?action=UPDATE&amp;creator=factset&amp;DYN_ARGS=TRUE&amp;DOC_NAME=FAT:FQL_AUDITING_CLIENT_TEMPLATE.FAT&amp;display_string=Audit&amp;VAR:KEY=FYROZYVONM&amp;VAR:QUERY=RkZfRUJJVERBX0lCKCdMVE1TJywzODc0NCk=&amp;WINDOW=FIRST_POPUP&amp;HEIGHT=450&amp;WIDTH=450&amp;START_MA","XIMIZED=FALSE&amp;VAR:CALENDAR=US&amp;VAR:SYMBOL=05614P10&amp;VAR:INDEX=0"}</definedName>
    <definedName name="_3313__FDSAUDITLINK__" hidden="1">{"fdsup://directions/FAT Viewer?action=UPDATE&amp;creator=factset&amp;DYN_ARGS=TRUE&amp;DOC_NAME=FAT:FQL_AUDITING_CLIENT_TEMPLATE.FAT&amp;display_string=Audit&amp;VAR:KEY=FYROZYVONM&amp;VAR:QUERY=RkZfRUJJVERBX0lCKCdMVE1TJywzODc0NCk=&amp;WINDOW=FIRST_POPUP&amp;HEIGHT=450&amp;WIDTH=450&amp;START_MA","XIMIZED=FALSE&amp;VAR:CALENDAR=US&amp;VAR:SYMBOL=05614P10&amp;VAR:INDEX=0"}</definedName>
    <definedName name="_3314__FDSAUDITLINK__" localSheetId="6" hidden="1">{"fdsup://directions/FAT Viewer?action=UPDATE&amp;creator=factset&amp;DYN_ARGS=TRUE&amp;DOC_NAME=FAT:FQL_AUDITING_CLIENT_TEMPLATE.FAT&amp;display_string=Audit&amp;VAR:KEY=RGRWBSPSNQ&amp;VAR:QUERY=RkZfRUJJVERBX0lCKCdMVE1TJywzODc0Myk=&amp;WINDOW=FIRST_POPUP&amp;HEIGHT=450&amp;WIDTH=450&amp;START_MA","XIMIZED=FALSE&amp;VAR:CALENDAR=US&amp;VAR:SYMBOL=05614P10&amp;VAR:INDEX=0"}</definedName>
    <definedName name="_3314__FDSAUDITLINK__" hidden="1">{"fdsup://directions/FAT Viewer?action=UPDATE&amp;creator=factset&amp;DYN_ARGS=TRUE&amp;DOC_NAME=FAT:FQL_AUDITING_CLIENT_TEMPLATE.FAT&amp;display_string=Audit&amp;VAR:KEY=RGRWBSPSNQ&amp;VAR:QUERY=RkZfRUJJVERBX0lCKCdMVE1TJywzODc0Myk=&amp;WINDOW=FIRST_POPUP&amp;HEIGHT=450&amp;WIDTH=450&amp;START_MA","XIMIZED=FALSE&amp;VAR:CALENDAR=US&amp;VAR:SYMBOL=05614P10&amp;VAR:INDEX=0"}</definedName>
    <definedName name="_3315__FDSAUDITLINK__" localSheetId="6" hidden="1">{"fdsup://directions/FAT Viewer?action=UPDATE&amp;creator=factset&amp;DYN_ARGS=TRUE&amp;DOC_NAME=FAT:FQL_AUDITING_CLIENT_TEMPLATE.FAT&amp;display_string=Audit&amp;VAR:KEY=PYFCDUHOZI&amp;VAR:QUERY=RkZfRUJJVERBX0lCKCdMVE1TJywzODc0Mik=&amp;WINDOW=FIRST_POPUP&amp;HEIGHT=450&amp;WIDTH=450&amp;START_MA","XIMIZED=FALSE&amp;VAR:CALENDAR=US&amp;VAR:SYMBOL=05614P10&amp;VAR:INDEX=0"}</definedName>
    <definedName name="_3315__FDSAUDITLINK__" hidden="1">{"fdsup://directions/FAT Viewer?action=UPDATE&amp;creator=factset&amp;DYN_ARGS=TRUE&amp;DOC_NAME=FAT:FQL_AUDITING_CLIENT_TEMPLATE.FAT&amp;display_string=Audit&amp;VAR:KEY=PYFCDUHOZI&amp;VAR:QUERY=RkZfRUJJVERBX0lCKCdMVE1TJywzODc0Mik=&amp;WINDOW=FIRST_POPUP&amp;HEIGHT=450&amp;WIDTH=450&amp;START_MA","XIMIZED=FALSE&amp;VAR:CALENDAR=US&amp;VAR:SYMBOL=05614P10&amp;VAR:INDEX=0"}</definedName>
    <definedName name="_3316__FDSAUDITLINK__" localSheetId="6" hidden="1">{"fdsup://directions/FAT Viewer?action=UPDATE&amp;creator=factset&amp;DYN_ARGS=TRUE&amp;DOC_NAME=FAT:FQL_AUDITING_CLIENT_TEMPLATE.FAT&amp;display_string=Audit&amp;VAR:KEY=BQPKNQPCNG&amp;VAR:QUERY=RkZfRUJJVERBX0lCKCdMVE1TJywzODc0MSk=&amp;WINDOW=FIRST_POPUP&amp;HEIGHT=450&amp;WIDTH=450&amp;START_MA","XIMIZED=FALSE&amp;VAR:CALENDAR=US&amp;VAR:SYMBOL=05614P10&amp;VAR:INDEX=0"}</definedName>
    <definedName name="_3316__FDSAUDITLINK__" hidden="1">{"fdsup://directions/FAT Viewer?action=UPDATE&amp;creator=factset&amp;DYN_ARGS=TRUE&amp;DOC_NAME=FAT:FQL_AUDITING_CLIENT_TEMPLATE.FAT&amp;display_string=Audit&amp;VAR:KEY=BQPKNQPCNG&amp;VAR:QUERY=RkZfRUJJVERBX0lCKCdMVE1TJywzODc0MSk=&amp;WINDOW=FIRST_POPUP&amp;HEIGHT=450&amp;WIDTH=450&amp;START_MA","XIMIZED=FALSE&amp;VAR:CALENDAR=US&amp;VAR:SYMBOL=05614P10&amp;VAR:INDEX=0"}</definedName>
    <definedName name="_3317__FDSAUDITLINK__" localSheetId="6" hidden="1">{"fdsup://directions/FAT Viewer?action=UPDATE&amp;creator=factset&amp;DYN_ARGS=TRUE&amp;DOC_NAME=FAT:FQL_AUDITING_CLIENT_TEMPLATE.FAT&amp;display_string=Audit&amp;VAR:KEY=ZYFCFSTQBM&amp;VAR:QUERY=RkZfRUJJVERBX0lCKCdMVE1TJywzODc0MCk=&amp;WINDOW=FIRST_POPUP&amp;HEIGHT=450&amp;WIDTH=450&amp;START_MA","XIMIZED=FALSE&amp;VAR:CALENDAR=US&amp;VAR:SYMBOL=05614P10&amp;VAR:INDEX=0"}</definedName>
    <definedName name="_3317__FDSAUDITLINK__" hidden="1">{"fdsup://directions/FAT Viewer?action=UPDATE&amp;creator=factset&amp;DYN_ARGS=TRUE&amp;DOC_NAME=FAT:FQL_AUDITING_CLIENT_TEMPLATE.FAT&amp;display_string=Audit&amp;VAR:KEY=ZYFCFSTQBM&amp;VAR:QUERY=RkZfRUJJVERBX0lCKCdMVE1TJywzODc0MCk=&amp;WINDOW=FIRST_POPUP&amp;HEIGHT=450&amp;WIDTH=450&amp;START_MA","XIMIZED=FALSE&amp;VAR:CALENDAR=US&amp;VAR:SYMBOL=05614P10&amp;VAR:INDEX=0"}</definedName>
    <definedName name="_3318__FDSAUDITLINK__" localSheetId="6" hidden="1">{"fdsup://directions/FAT Viewer?action=UPDATE&amp;creator=factset&amp;DYN_ARGS=TRUE&amp;DOC_NAME=FAT:FQL_AUDITING_CLIENT_TEMPLATE.FAT&amp;display_string=Audit&amp;VAR:KEY=HSTSHMXGDA&amp;VAR:QUERY=RkZfRUJJVERBX0lCKCdMVE1TJywzODczOSk=&amp;WINDOW=FIRST_POPUP&amp;HEIGHT=450&amp;WIDTH=450&amp;START_MA","XIMIZED=FALSE&amp;VAR:CALENDAR=US&amp;VAR:SYMBOL=05614P10&amp;VAR:INDEX=0"}</definedName>
    <definedName name="_3318__FDSAUDITLINK__" hidden="1">{"fdsup://directions/FAT Viewer?action=UPDATE&amp;creator=factset&amp;DYN_ARGS=TRUE&amp;DOC_NAME=FAT:FQL_AUDITING_CLIENT_TEMPLATE.FAT&amp;display_string=Audit&amp;VAR:KEY=HSTSHMXGDA&amp;VAR:QUERY=RkZfRUJJVERBX0lCKCdMVE1TJywzODczOSk=&amp;WINDOW=FIRST_POPUP&amp;HEIGHT=450&amp;WIDTH=450&amp;START_MA","XIMIZED=FALSE&amp;VAR:CALENDAR=US&amp;VAR:SYMBOL=05614P10&amp;VAR:INDEX=0"}</definedName>
    <definedName name="_3319__FDSAUDITLINK__" localSheetId="6" hidden="1">{"fdsup://directions/FAT Viewer?action=UPDATE&amp;creator=factset&amp;DYN_ARGS=TRUE&amp;DOC_NAME=FAT:FQL_AUDITING_CLIENT_TEMPLATE.FAT&amp;display_string=Audit&amp;VAR:KEY=BYXALQLCVI&amp;VAR:QUERY=RkZfRUJJVERBX0lCKCdMVE1TJywzODczOCk=&amp;WINDOW=FIRST_POPUP&amp;HEIGHT=450&amp;WIDTH=450&amp;START_MA","XIMIZED=FALSE&amp;VAR:CALENDAR=US&amp;VAR:SYMBOL=05614P10&amp;VAR:INDEX=0"}</definedName>
    <definedName name="_3319__FDSAUDITLINK__" hidden="1">{"fdsup://directions/FAT Viewer?action=UPDATE&amp;creator=factset&amp;DYN_ARGS=TRUE&amp;DOC_NAME=FAT:FQL_AUDITING_CLIENT_TEMPLATE.FAT&amp;display_string=Audit&amp;VAR:KEY=BYXALQLCVI&amp;VAR:QUERY=RkZfRUJJVERBX0lCKCdMVE1TJywzODczOCk=&amp;WINDOW=FIRST_POPUP&amp;HEIGHT=450&amp;WIDTH=450&amp;START_MA","XIMIZED=FALSE&amp;VAR:CALENDAR=US&amp;VAR:SYMBOL=05614P10&amp;VAR:INDEX=0"}</definedName>
    <definedName name="_332__FDSAUDITLINK__" localSheetId="6" hidden="1">{"fdsup://directions/FAT%20Viewer?VAR:PED=LTM&amp;VAR:AUDIT_MODE=SUMMARY&amp;VAR:PERIOD=FIXED&amp;VAR:AUDIT_ID=00000117&amp;VAR:DATE=20090326&amp;action=UPDATE&amp;creator=factset&amp;DOC_NAME=FAT:FMA_audit_SUMMARY.fat&amp;DISPLAY_STRING=Display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2__FDSAUDITLINK__" hidden="1">{"fdsup://directions/FAT%20Viewer?VAR:PED=LTM&amp;VAR:AUDIT_MODE=SUMMARY&amp;VAR:PERIOD=FIXED&amp;VAR:AUDIT_ID=00000117&amp;VAR:DATE=20090326&amp;action=UPDATE&amp;creator=factset&amp;DOC_NAME=FAT:FMA_audit_SUMMARY.fat&amp;DISPLAY_STRING=Display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20__FDSAUDITLINK__" localSheetId="6" hidden="1">{"fdsup://directions/FAT Viewer?action=UPDATE&amp;creator=factset&amp;DYN_ARGS=TRUE&amp;DOC_NAME=FAT:FQL_AUDITING_CLIENT_TEMPLATE.FAT&amp;display_string=Audit&amp;VAR:KEY=BKZIFQRWXY&amp;VAR:QUERY=RkZfRUJJVERBX0lCKCdMVE1TJywzODczNyk=&amp;WINDOW=FIRST_POPUP&amp;HEIGHT=450&amp;WIDTH=450&amp;START_MA","XIMIZED=FALSE&amp;VAR:CALENDAR=US&amp;VAR:SYMBOL=05614P10&amp;VAR:INDEX=0"}</definedName>
    <definedName name="_3320__FDSAUDITLINK__" hidden="1">{"fdsup://directions/FAT Viewer?action=UPDATE&amp;creator=factset&amp;DYN_ARGS=TRUE&amp;DOC_NAME=FAT:FQL_AUDITING_CLIENT_TEMPLATE.FAT&amp;display_string=Audit&amp;VAR:KEY=BKZIFQRWXY&amp;VAR:QUERY=RkZfRUJJVERBX0lCKCdMVE1TJywzODczNyk=&amp;WINDOW=FIRST_POPUP&amp;HEIGHT=450&amp;WIDTH=450&amp;START_MA","XIMIZED=FALSE&amp;VAR:CALENDAR=US&amp;VAR:SYMBOL=05614P10&amp;VAR:INDEX=0"}</definedName>
    <definedName name="_3321__FDSAUDITLINK__" localSheetId="6" hidden="1">{"fdsup://directions/FAT Viewer?action=UPDATE&amp;creator=factset&amp;DYN_ARGS=TRUE&amp;DOC_NAME=FAT:FQL_AUDITING_CLIENT_TEMPLATE.FAT&amp;display_string=Audit&amp;VAR:KEY=XWXIJGZUHE&amp;VAR:QUERY=RkZfRUJJVERBX0lCKCdMVE1TJywzODczNik=&amp;WINDOW=FIRST_POPUP&amp;HEIGHT=450&amp;WIDTH=450&amp;START_MA","XIMIZED=FALSE&amp;VAR:CALENDAR=US&amp;VAR:SYMBOL=05614P10&amp;VAR:INDEX=0"}</definedName>
    <definedName name="_3321__FDSAUDITLINK__" hidden="1">{"fdsup://directions/FAT Viewer?action=UPDATE&amp;creator=factset&amp;DYN_ARGS=TRUE&amp;DOC_NAME=FAT:FQL_AUDITING_CLIENT_TEMPLATE.FAT&amp;display_string=Audit&amp;VAR:KEY=XWXIJGZUHE&amp;VAR:QUERY=RkZfRUJJVERBX0lCKCdMVE1TJywzODczNik=&amp;WINDOW=FIRST_POPUP&amp;HEIGHT=450&amp;WIDTH=450&amp;START_MA","XIMIZED=FALSE&amp;VAR:CALENDAR=US&amp;VAR:SYMBOL=05614P10&amp;VAR:INDEX=0"}</definedName>
    <definedName name="_3322__FDSAUDITLINK__" localSheetId="6" hidden="1">{"fdsup://directions/FAT Viewer?action=UPDATE&amp;creator=factset&amp;DYN_ARGS=TRUE&amp;DOC_NAME=FAT:FQL_AUDITING_CLIENT_TEMPLATE.FAT&amp;display_string=Audit&amp;VAR:KEY=LINIJYPANU&amp;VAR:QUERY=RkZfRUJJVERBX0lCKCdMVE1TJywzODczNSk=&amp;WINDOW=FIRST_POPUP&amp;HEIGHT=450&amp;WIDTH=450&amp;START_MA","XIMIZED=FALSE&amp;VAR:CALENDAR=US&amp;VAR:SYMBOL=05614P10&amp;VAR:INDEX=0"}</definedName>
    <definedName name="_3322__FDSAUDITLINK__" hidden="1">{"fdsup://directions/FAT Viewer?action=UPDATE&amp;creator=factset&amp;DYN_ARGS=TRUE&amp;DOC_NAME=FAT:FQL_AUDITING_CLIENT_TEMPLATE.FAT&amp;display_string=Audit&amp;VAR:KEY=LINIJYPANU&amp;VAR:QUERY=RkZfRUJJVERBX0lCKCdMVE1TJywzODczNSk=&amp;WINDOW=FIRST_POPUP&amp;HEIGHT=450&amp;WIDTH=450&amp;START_MA","XIMIZED=FALSE&amp;VAR:CALENDAR=US&amp;VAR:SYMBOL=05614P10&amp;VAR:INDEX=0"}</definedName>
    <definedName name="_3323__FDSAUDITLINK__" localSheetId="6" hidden="1">{"fdsup://directions/FAT Viewer?action=UPDATE&amp;creator=factset&amp;DYN_ARGS=TRUE&amp;DOC_NAME=FAT:FQL_AUDITING_CLIENT_TEMPLATE.FAT&amp;display_string=Audit&amp;VAR:KEY=TADWBKPYVG&amp;VAR:QUERY=RkZfRUJJVERBX0lCKCdMVE1TJywzODczNCk=&amp;WINDOW=FIRST_POPUP&amp;HEIGHT=450&amp;WIDTH=450&amp;START_MA","XIMIZED=FALSE&amp;VAR:CALENDAR=US&amp;VAR:SYMBOL=05614P10&amp;VAR:INDEX=0"}</definedName>
    <definedName name="_3323__FDSAUDITLINK__" hidden="1">{"fdsup://directions/FAT Viewer?action=UPDATE&amp;creator=factset&amp;DYN_ARGS=TRUE&amp;DOC_NAME=FAT:FQL_AUDITING_CLIENT_TEMPLATE.FAT&amp;display_string=Audit&amp;VAR:KEY=TADWBKPYVG&amp;VAR:QUERY=RkZfRUJJVERBX0lCKCdMVE1TJywzODczNCk=&amp;WINDOW=FIRST_POPUP&amp;HEIGHT=450&amp;WIDTH=450&amp;START_MA","XIMIZED=FALSE&amp;VAR:CALENDAR=US&amp;VAR:SYMBOL=05614P10&amp;VAR:INDEX=0"}</definedName>
    <definedName name="_3324__FDSAUDITLINK__" localSheetId="6" hidden="1">{"fdsup://directions/FAT Viewer?action=UPDATE&amp;creator=factset&amp;DYN_ARGS=TRUE&amp;DOC_NAME=FAT:FQL_AUDITING_CLIENT_TEMPLATE.FAT&amp;display_string=Audit&amp;VAR:KEY=BMJIBOPONW&amp;VAR:QUERY=RkZfRUJJVERBX0lCKCdMVE1TJywzODczMyk=&amp;WINDOW=FIRST_POPUP&amp;HEIGHT=450&amp;WIDTH=450&amp;START_MA","XIMIZED=FALSE&amp;VAR:CALENDAR=US&amp;VAR:SYMBOL=05614P10&amp;VAR:INDEX=0"}</definedName>
    <definedName name="_3324__FDSAUDITLINK__" hidden="1">{"fdsup://directions/FAT Viewer?action=UPDATE&amp;creator=factset&amp;DYN_ARGS=TRUE&amp;DOC_NAME=FAT:FQL_AUDITING_CLIENT_TEMPLATE.FAT&amp;display_string=Audit&amp;VAR:KEY=BMJIBOPONW&amp;VAR:QUERY=RkZfRUJJVERBX0lCKCdMVE1TJywzODczMyk=&amp;WINDOW=FIRST_POPUP&amp;HEIGHT=450&amp;WIDTH=450&amp;START_MA","XIMIZED=FALSE&amp;VAR:CALENDAR=US&amp;VAR:SYMBOL=05614P10&amp;VAR:INDEX=0"}</definedName>
    <definedName name="_3325__FDSAUDITLINK__" localSheetId="6" hidden="1">{"fdsup://directions/FAT Viewer?action=UPDATE&amp;creator=factset&amp;DYN_ARGS=TRUE&amp;DOC_NAME=FAT:FQL_AUDITING_CLIENT_TEMPLATE.FAT&amp;display_string=Audit&amp;VAR:KEY=HOHWBSZQPO&amp;VAR:QUERY=RkZfRUJJVERBX0lCKCdMVE1TJywzODczMik=&amp;WINDOW=FIRST_POPUP&amp;HEIGHT=450&amp;WIDTH=450&amp;START_MA","XIMIZED=FALSE&amp;VAR:CALENDAR=US&amp;VAR:SYMBOL=05614P10&amp;VAR:INDEX=0"}</definedName>
    <definedName name="_3325__FDSAUDITLINK__" hidden="1">{"fdsup://directions/FAT Viewer?action=UPDATE&amp;creator=factset&amp;DYN_ARGS=TRUE&amp;DOC_NAME=FAT:FQL_AUDITING_CLIENT_TEMPLATE.FAT&amp;display_string=Audit&amp;VAR:KEY=HOHWBSZQPO&amp;VAR:QUERY=RkZfRUJJVERBX0lCKCdMVE1TJywzODczMik=&amp;WINDOW=FIRST_POPUP&amp;HEIGHT=450&amp;WIDTH=450&amp;START_MA","XIMIZED=FALSE&amp;VAR:CALENDAR=US&amp;VAR:SYMBOL=05614P10&amp;VAR:INDEX=0"}</definedName>
    <definedName name="_3326__FDSAUDITLINK__" localSheetId="6" hidden="1">{"fdsup://directions/FAT Viewer?action=UPDATE&amp;creator=factset&amp;DYN_ARGS=TRUE&amp;DOC_NAME=FAT:FQL_AUDITING_CLIENT_TEMPLATE.FAT&amp;display_string=Audit&amp;VAR:KEY=BSRUDIXYLW&amp;VAR:QUERY=RkZfRUJJVERBX0lCKCdMVE1TJywzODczMSk=&amp;WINDOW=FIRST_POPUP&amp;HEIGHT=450&amp;WIDTH=450&amp;START_MA","XIMIZED=FALSE&amp;VAR:CALENDAR=US&amp;VAR:SYMBOL=05614P10&amp;VAR:INDEX=0"}</definedName>
    <definedName name="_3326__FDSAUDITLINK__" hidden="1">{"fdsup://directions/FAT Viewer?action=UPDATE&amp;creator=factset&amp;DYN_ARGS=TRUE&amp;DOC_NAME=FAT:FQL_AUDITING_CLIENT_TEMPLATE.FAT&amp;display_string=Audit&amp;VAR:KEY=BSRUDIXYLW&amp;VAR:QUERY=RkZfRUJJVERBX0lCKCdMVE1TJywzODczMSk=&amp;WINDOW=FIRST_POPUP&amp;HEIGHT=450&amp;WIDTH=450&amp;START_MA","XIMIZED=FALSE&amp;VAR:CALENDAR=US&amp;VAR:SYMBOL=05614P10&amp;VAR:INDEX=0"}</definedName>
    <definedName name="_3327__FDSAUDITLINK__" localSheetId="6" hidden="1">{"fdsup://directions/FAT Viewer?action=UPDATE&amp;creator=factset&amp;DYN_ARGS=TRUE&amp;DOC_NAME=FAT:FQL_AUDITING_CLIENT_TEMPLATE.FAT&amp;display_string=Audit&amp;VAR:KEY=FMLKVWLQXU&amp;VAR:QUERY=RkZfRUJJVERBX0lCKCdMVE1TJywzODczMCk=&amp;WINDOW=FIRST_POPUP&amp;HEIGHT=450&amp;WIDTH=450&amp;START_MA","XIMIZED=FALSE&amp;VAR:CALENDAR=US&amp;VAR:SYMBOL=05614P10&amp;VAR:INDEX=0"}</definedName>
    <definedName name="_3327__FDSAUDITLINK__" hidden="1">{"fdsup://directions/FAT Viewer?action=UPDATE&amp;creator=factset&amp;DYN_ARGS=TRUE&amp;DOC_NAME=FAT:FQL_AUDITING_CLIENT_TEMPLATE.FAT&amp;display_string=Audit&amp;VAR:KEY=FMLKVWLQXU&amp;VAR:QUERY=RkZfRUJJVERBX0lCKCdMVE1TJywzODczMCk=&amp;WINDOW=FIRST_POPUP&amp;HEIGHT=450&amp;WIDTH=450&amp;START_MA","XIMIZED=FALSE&amp;VAR:CALENDAR=US&amp;VAR:SYMBOL=05614P10&amp;VAR:INDEX=0"}</definedName>
    <definedName name="_3328__FDSAUDITLINK__" localSheetId="6" hidden="1">{"fdsup://directions/FAT Viewer?action=UPDATE&amp;creator=factset&amp;DYN_ARGS=TRUE&amp;DOC_NAME=FAT:FQL_AUDITING_CLIENT_TEMPLATE.FAT&amp;display_string=Audit&amp;VAR:KEY=LGVUXUBQVK&amp;VAR:QUERY=RkZfRUJJVERBX0lCKCdMVE1TJywzODcyOSk=&amp;WINDOW=FIRST_POPUP&amp;HEIGHT=450&amp;WIDTH=450&amp;START_MA","XIMIZED=FALSE&amp;VAR:CALENDAR=US&amp;VAR:SYMBOL=05614P10&amp;VAR:INDEX=0"}</definedName>
    <definedName name="_3328__FDSAUDITLINK__" hidden="1">{"fdsup://directions/FAT Viewer?action=UPDATE&amp;creator=factset&amp;DYN_ARGS=TRUE&amp;DOC_NAME=FAT:FQL_AUDITING_CLIENT_TEMPLATE.FAT&amp;display_string=Audit&amp;VAR:KEY=LGVUXUBQVK&amp;VAR:QUERY=RkZfRUJJVERBX0lCKCdMVE1TJywzODcyOSk=&amp;WINDOW=FIRST_POPUP&amp;HEIGHT=450&amp;WIDTH=450&amp;START_MA","XIMIZED=FALSE&amp;VAR:CALENDAR=US&amp;VAR:SYMBOL=05614P10&amp;VAR:INDEX=0"}</definedName>
    <definedName name="_3329__FDSAUDITLINK__" localSheetId="6" hidden="1">{"fdsup://directions/FAT Viewer?action=UPDATE&amp;creator=factset&amp;DYN_ARGS=TRUE&amp;DOC_NAME=FAT:FQL_AUDITING_CLIENT_TEMPLATE.FAT&amp;display_string=Audit&amp;VAR:KEY=BCJKFAPANU&amp;VAR:QUERY=RkZfRUJJVERBX0lCKCdMVE1TJywzODcyOCk=&amp;WINDOW=FIRST_POPUP&amp;HEIGHT=450&amp;WIDTH=450&amp;START_MA","XIMIZED=FALSE&amp;VAR:CALENDAR=US&amp;VAR:SYMBOL=05614P10&amp;VAR:INDEX=0"}</definedName>
    <definedName name="_3329__FDSAUDITLINK__" hidden="1">{"fdsup://directions/FAT Viewer?action=UPDATE&amp;creator=factset&amp;DYN_ARGS=TRUE&amp;DOC_NAME=FAT:FQL_AUDITING_CLIENT_TEMPLATE.FAT&amp;display_string=Audit&amp;VAR:KEY=BCJKFAPANU&amp;VAR:QUERY=RkZfRUJJVERBX0lCKCdMVE1TJywzODcyOCk=&amp;WINDOW=FIRST_POPUP&amp;HEIGHT=450&amp;WIDTH=450&amp;START_MA","XIMIZED=FALSE&amp;VAR:CALENDAR=US&amp;VAR:SYMBOL=05614P10&amp;VAR:INDEX=0"}</definedName>
    <definedName name="_333__FDSAUDITLINK__" localSheetId="6" hidden="1">{"fdsup://directions/FAT%20Viewer?VAR:PED=LTM&amp;VAR:AUDIT_MODE=SUMMARY&amp;VAR:PERIOD=FIXED&amp;VAR:AUDIT_ID=00000117&amp;VAR:DATE=20090325&amp;action=UPDATE&amp;creator=factset&amp;DOC_NAME=FAT:FMA_audit_SUMMARY.fat&amp;DISPLAY_STRING=Display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3__FDSAUDITLINK__" hidden="1">{"fdsup://directions/FAT%20Viewer?VAR:PED=LTM&amp;VAR:AUDIT_MODE=SUMMARY&amp;VAR:PERIOD=FIXED&amp;VAR:AUDIT_ID=00000117&amp;VAR:DATE=20090325&amp;action=UPDATE&amp;creator=factset&amp;DOC_NAME=FAT:FMA_audit_SUMMARY.fat&amp;DISPLAY_STRING=Display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30__FDSAUDITLINK__" localSheetId="6" hidden="1">{"fdsup://directions/FAT Viewer?action=UPDATE&amp;creator=factset&amp;DYN_ARGS=TRUE&amp;DOC_NAME=FAT:FQL_AUDITING_CLIENT_TEMPLATE.FAT&amp;display_string=Audit&amp;VAR:KEY=TEHSXSPWVG&amp;VAR:QUERY=RkZfRUJJVERBX0lCKCdMVE1TJywzODcyNyk=&amp;WINDOW=FIRST_POPUP&amp;HEIGHT=450&amp;WIDTH=450&amp;START_MA","XIMIZED=FALSE&amp;VAR:CALENDAR=US&amp;VAR:SYMBOL=05614P10&amp;VAR:INDEX=0"}</definedName>
    <definedName name="_3330__FDSAUDITLINK__" hidden="1">{"fdsup://directions/FAT Viewer?action=UPDATE&amp;creator=factset&amp;DYN_ARGS=TRUE&amp;DOC_NAME=FAT:FQL_AUDITING_CLIENT_TEMPLATE.FAT&amp;display_string=Audit&amp;VAR:KEY=TEHSXSPWVG&amp;VAR:QUERY=RkZfRUJJVERBX0lCKCdMVE1TJywzODcyNyk=&amp;WINDOW=FIRST_POPUP&amp;HEIGHT=450&amp;WIDTH=450&amp;START_MA","XIMIZED=FALSE&amp;VAR:CALENDAR=US&amp;VAR:SYMBOL=05614P10&amp;VAR:INDEX=0"}</definedName>
    <definedName name="_3331__FDSAUDITLINK__" localSheetId="6" hidden="1">{"fdsup://directions/FAT Viewer?action=UPDATE&amp;creator=factset&amp;DYN_ARGS=TRUE&amp;DOC_NAME=FAT:FQL_AUDITING_CLIENT_TEMPLATE.FAT&amp;display_string=Audit&amp;VAR:KEY=DABYLGJCXQ&amp;VAR:QUERY=RkZfRUJJVERBX0lCKCdMVE1TJywzODcyNik=&amp;WINDOW=FIRST_POPUP&amp;HEIGHT=450&amp;WIDTH=450&amp;START_MA","XIMIZED=FALSE&amp;VAR:CALENDAR=US&amp;VAR:SYMBOL=05614P10&amp;VAR:INDEX=0"}</definedName>
    <definedName name="_3331__FDSAUDITLINK__" hidden="1">{"fdsup://directions/FAT Viewer?action=UPDATE&amp;creator=factset&amp;DYN_ARGS=TRUE&amp;DOC_NAME=FAT:FQL_AUDITING_CLIENT_TEMPLATE.FAT&amp;display_string=Audit&amp;VAR:KEY=DABYLGJCXQ&amp;VAR:QUERY=RkZfRUJJVERBX0lCKCdMVE1TJywzODcyNik=&amp;WINDOW=FIRST_POPUP&amp;HEIGHT=450&amp;WIDTH=450&amp;START_MA","XIMIZED=FALSE&amp;VAR:CALENDAR=US&amp;VAR:SYMBOL=05614P10&amp;VAR:INDEX=0"}</definedName>
    <definedName name="_3332__FDSAUDITLINK__" localSheetId="6" hidden="1">{"fdsup://directions/FAT Viewer?action=UPDATE&amp;creator=factset&amp;DYN_ARGS=TRUE&amp;DOC_NAME=FAT:FQL_AUDITING_CLIENT_TEMPLATE.FAT&amp;display_string=Audit&amp;VAR:KEY=FENMVMFKRS&amp;VAR:QUERY=RkZfRUJJVERBX0lCKCdMVE1TJywzODcyNSk=&amp;WINDOW=FIRST_POPUP&amp;HEIGHT=450&amp;WIDTH=450&amp;START_MA","XIMIZED=FALSE&amp;VAR:CALENDAR=US&amp;VAR:SYMBOL=05614P10&amp;VAR:INDEX=0"}</definedName>
    <definedName name="_3332__FDSAUDITLINK__" hidden="1">{"fdsup://directions/FAT Viewer?action=UPDATE&amp;creator=factset&amp;DYN_ARGS=TRUE&amp;DOC_NAME=FAT:FQL_AUDITING_CLIENT_TEMPLATE.FAT&amp;display_string=Audit&amp;VAR:KEY=FENMVMFKRS&amp;VAR:QUERY=RkZfRUJJVERBX0lCKCdMVE1TJywzODcyNSk=&amp;WINDOW=FIRST_POPUP&amp;HEIGHT=450&amp;WIDTH=450&amp;START_MA","XIMIZED=FALSE&amp;VAR:CALENDAR=US&amp;VAR:SYMBOL=05614P10&amp;VAR:INDEX=0"}</definedName>
    <definedName name="_3333__FDSAUDITLINK__" localSheetId="6" hidden="1">{"fdsup://directions/FAT Viewer?action=UPDATE&amp;creator=factset&amp;DYN_ARGS=TRUE&amp;DOC_NAME=FAT:FQL_AUDITING_CLIENT_TEMPLATE.FAT&amp;display_string=Audit&amp;VAR:KEY=VOBUHAVKNO&amp;VAR:QUERY=RkZfRUJJVERBX0lCKCdMVE1TJywzODcyNCk=&amp;WINDOW=FIRST_POPUP&amp;HEIGHT=450&amp;WIDTH=450&amp;START_MA","XIMIZED=FALSE&amp;VAR:CALENDAR=US&amp;VAR:SYMBOL=05614P10&amp;VAR:INDEX=0"}</definedName>
    <definedName name="_3333__FDSAUDITLINK__" hidden="1">{"fdsup://directions/FAT Viewer?action=UPDATE&amp;creator=factset&amp;DYN_ARGS=TRUE&amp;DOC_NAME=FAT:FQL_AUDITING_CLIENT_TEMPLATE.FAT&amp;display_string=Audit&amp;VAR:KEY=VOBUHAVKNO&amp;VAR:QUERY=RkZfRUJJVERBX0lCKCdMVE1TJywzODcyNCk=&amp;WINDOW=FIRST_POPUP&amp;HEIGHT=450&amp;WIDTH=450&amp;START_MA","XIMIZED=FALSE&amp;VAR:CALENDAR=US&amp;VAR:SYMBOL=05614P10&amp;VAR:INDEX=0"}</definedName>
    <definedName name="_3334__FDSAUDITLINK__" localSheetId="6" hidden="1">{"fdsup://directions/FAT Viewer?action=UPDATE&amp;creator=factset&amp;DYN_ARGS=TRUE&amp;DOC_NAME=FAT:FQL_AUDITING_CLIENT_TEMPLATE.FAT&amp;display_string=Audit&amp;VAR:KEY=LULKZEDCXW&amp;VAR:QUERY=RkZfRUJJVERBX0lCKCdMVE1TJywzODcyMyk=&amp;WINDOW=FIRST_POPUP&amp;HEIGHT=450&amp;WIDTH=450&amp;START_MA","XIMIZED=FALSE&amp;VAR:CALENDAR=US&amp;VAR:SYMBOL=05614P10&amp;VAR:INDEX=0"}</definedName>
    <definedName name="_3334__FDSAUDITLINK__" hidden="1">{"fdsup://directions/FAT Viewer?action=UPDATE&amp;creator=factset&amp;DYN_ARGS=TRUE&amp;DOC_NAME=FAT:FQL_AUDITING_CLIENT_TEMPLATE.FAT&amp;display_string=Audit&amp;VAR:KEY=LULKZEDCXW&amp;VAR:QUERY=RkZfRUJJVERBX0lCKCdMVE1TJywzODcyMyk=&amp;WINDOW=FIRST_POPUP&amp;HEIGHT=450&amp;WIDTH=450&amp;START_MA","XIMIZED=FALSE&amp;VAR:CALENDAR=US&amp;VAR:SYMBOL=05614P10&amp;VAR:INDEX=0"}</definedName>
    <definedName name="_3335__FDSAUDITLINK__" localSheetId="6" hidden="1">{"fdsup://directions/FAT Viewer?action=UPDATE&amp;creator=factset&amp;DYN_ARGS=TRUE&amp;DOC_NAME=FAT:FQL_AUDITING_CLIENT_TEMPLATE.FAT&amp;display_string=Audit&amp;VAR:KEY=BQPUDWDUXC&amp;VAR:QUERY=RkZfRUJJVERBX0lCKCdMVE1TJywzODcyMik=&amp;WINDOW=FIRST_POPUP&amp;HEIGHT=450&amp;WIDTH=450&amp;START_MA","XIMIZED=FALSE&amp;VAR:CALENDAR=US&amp;VAR:SYMBOL=05614P10&amp;VAR:INDEX=0"}</definedName>
    <definedName name="_3335__FDSAUDITLINK__" hidden="1">{"fdsup://directions/FAT Viewer?action=UPDATE&amp;creator=factset&amp;DYN_ARGS=TRUE&amp;DOC_NAME=FAT:FQL_AUDITING_CLIENT_TEMPLATE.FAT&amp;display_string=Audit&amp;VAR:KEY=BQPUDWDUXC&amp;VAR:QUERY=RkZfRUJJVERBX0lCKCdMVE1TJywzODcyMik=&amp;WINDOW=FIRST_POPUP&amp;HEIGHT=450&amp;WIDTH=450&amp;START_MA","XIMIZED=FALSE&amp;VAR:CALENDAR=US&amp;VAR:SYMBOL=05614P10&amp;VAR:INDEX=0"}</definedName>
    <definedName name="_3336__FDSAUDITLINK__" localSheetId="6" hidden="1">{"fdsup://directions/FAT Viewer?action=UPDATE&amp;creator=factset&amp;DYN_ARGS=TRUE&amp;DOC_NAME=FAT:FQL_AUDITING_CLIENT_TEMPLATE.FAT&amp;display_string=Audit&amp;VAR:KEY=TYFIBKLKVU&amp;VAR:QUERY=RkZfRUJJVERBX0lCKCdMVE1TJywzODcyMSk=&amp;WINDOW=FIRST_POPUP&amp;HEIGHT=450&amp;WIDTH=450&amp;START_MA","XIMIZED=FALSE&amp;VAR:CALENDAR=US&amp;VAR:SYMBOL=05614P10&amp;VAR:INDEX=0"}</definedName>
    <definedName name="_3336__FDSAUDITLINK__" hidden="1">{"fdsup://directions/FAT Viewer?action=UPDATE&amp;creator=factset&amp;DYN_ARGS=TRUE&amp;DOC_NAME=FAT:FQL_AUDITING_CLIENT_TEMPLATE.FAT&amp;display_string=Audit&amp;VAR:KEY=TYFIBKLKVU&amp;VAR:QUERY=RkZfRUJJVERBX0lCKCdMVE1TJywzODcyMSk=&amp;WINDOW=FIRST_POPUP&amp;HEIGHT=450&amp;WIDTH=450&amp;START_MA","XIMIZED=FALSE&amp;VAR:CALENDAR=US&amp;VAR:SYMBOL=05614P10&amp;VAR:INDEX=0"}</definedName>
    <definedName name="_3337__FDSAUDITLINK__" localSheetId="6" hidden="1">{"fdsup://directions/FAT Viewer?action=UPDATE&amp;creator=factset&amp;DYN_ARGS=TRUE&amp;DOC_NAME=FAT:FQL_AUDITING_CLIENT_TEMPLATE.FAT&amp;display_string=Audit&amp;VAR:KEY=FQJMNQTCNO&amp;VAR:QUERY=RkZfRUJJVERBX0lCKCdMVE1TJywzODcyMCk=&amp;WINDOW=FIRST_POPUP&amp;HEIGHT=450&amp;WIDTH=450&amp;START_MA","XIMIZED=FALSE&amp;VAR:CALENDAR=US&amp;VAR:SYMBOL=05614P10&amp;VAR:INDEX=0"}</definedName>
    <definedName name="_3337__FDSAUDITLINK__" hidden="1">{"fdsup://directions/FAT Viewer?action=UPDATE&amp;creator=factset&amp;DYN_ARGS=TRUE&amp;DOC_NAME=FAT:FQL_AUDITING_CLIENT_TEMPLATE.FAT&amp;display_string=Audit&amp;VAR:KEY=FQJMNQTCNO&amp;VAR:QUERY=RkZfRUJJVERBX0lCKCdMVE1TJywzODcyMCk=&amp;WINDOW=FIRST_POPUP&amp;HEIGHT=450&amp;WIDTH=450&amp;START_MA","XIMIZED=FALSE&amp;VAR:CALENDAR=US&amp;VAR:SYMBOL=05614P10&amp;VAR:INDEX=0"}</definedName>
    <definedName name="_3338__FDSAUDITLINK__" localSheetId="6" hidden="1">{"fdsup://directions/FAT Viewer?action=UPDATE&amp;creator=factset&amp;DYN_ARGS=TRUE&amp;DOC_NAME=FAT:FQL_AUDITING_CLIENT_TEMPLATE.FAT&amp;display_string=Audit&amp;VAR:KEY=DCDSZWTCPU&amp;VAR:QUERY=RkZfRUJJVERBX0lCKCdMVE1TJywzODcxOSk=&amp;WINDOW=FIRST_POPUP&amp;HEIGHT=450&amp;WIDTH=450&amp;START_MA","XIMIZED=FALSE&amp;VAR:CALENDAR=US&amp;VAR:SYMBOL=05614P10&amp;VAR:INDEX=0"}</definedName>
    <definedName name="_3338__FDSAUDITLINK__" hidden="1">{"fdsup://directions/FAT Viewer?action=UPDATE&amp;creator=factset&amp;DYN_ARGS=TRUE&amp;DOC_NAME=FAT:FQL_AUDITING_CLIENT_TEMPLATE.FAT&amp;display_string=Audit&amp;VAR:KEY=DCDSZWTCPU&amp;VAR:QUERY=RkZfRUJJVERBX0lCKCdMVE1TJywzODcxOSk=&amp;WINDOW=FIRST_POPUP&amp;HEIGHT=450&amp;WIDTH=450&amp;START_MA","XIMIZED=FALSE&amp;VAR:CALENDAR=US&amp;VAR:SYMBOL=05614P10&amp;VAR:INDEX=0"}</definedName>
    <definedName name="_3339__FDSAUDITLINK__" localSheetId="6" hidden="1">{"fdsup://directions/FAT Viewer?action=UPDATE&amp;creator=factset&amp;DYN_ARGS=TRUE&amp;DOC_NAME=FAT:FQL_AUDITING_CLIENT_TEMPLATE.FAT&amp;display_string=Audit&amp;VAR:KEY=LCJIFMFANQ&amp;VAR:QUERY=RkZfRUJJVERBX0lCKCdMVE1TJywzODcxOCk=&amp;WINDOW=FIRST_POPUP&amp;HEIGHT=450&amp;WIDTH=450&amp;START_MA","XIMIZED=FALSE&amp;VAR:CALENDAR=US&amp;VAR:SYMBOL=05614P10&amp;VAR:INDEX=0"}</definedName>
    <definedName name="_3339__FDSAUDITLINK__" hidden="1">{"fdsup://directions/FAT Viewer?action=UPDATE&amp;creator=factset&amp;DYN_ARGS=TRUE&amp;DOC_NAME=FAT:FQL_AUDITING_CLIENT_TEMPLATE.FAT&amp;display_string=Audit&amp;VAR:KEY=LCJIFMFANQ&amp;VAR:QUERY=RkZfRUJJVERBX0lCKCdMVE1TJywzODcxOCk=&amp;WINDOW=FIRST_POPUP&amp;HEIGHT=450&amp;WIDTH=450&amp;START_MA","XIMIZED=FALSE&amp;VAR:CALENDAR=US&amp;VAR:SYMBOL=05614P10&amp;VAR:INDEX=0"}</definedName>
    <definedName name="_334__FDSAUDITLINK__" localSheetId="6" hidden="1">{"fdsup://directions/FAT%20Viewer?VAR:PED=LTM&amp;VAR:AUDIT_MODE=SUMMARY&amp;VAR:PERIOD=FIXED&amp;VAR:AUDIT_ID=00000117&amp;VAR:DATE=20090324&amp;action=UPDATE&amp;creator=factset&amp;DOC_NAME=FAT:FMA_audit_SUMMARY.fat&amp;DISPLAY_STRING=Display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4__FDSAUDITLINK__" hidden="1">{"fdsup://directions/FAT%20Viewer?VAR:PED=LTM&amp;VAR:AUDIT_MODE=SUMMARY&amp;VAR:PERIOD=FIXED&amp;VAR:AUDIT_ID=00000117&amp;VAR:DATE=20090324&amp;action=UPDATE&amp;creator=factset&amp;DOC_NAME=FAT:FMA_audit_SUMMARY.fat&amp;DISPLAY_STRING=Display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40__FDSAUDITLINK__" localSheetId="6" hidden="1">{"fdsup://directions/FAT Viewer?action=UPDATE&amp;creator=factset&amp;DYN_ARGS=TRUE&amp;DOC_NAME=FAT:FQL_AUDITING_CLIENT_TEMPLATE.FAT&amp;display_string=Audit&amp;VAR:KEY=HQTQHIJEFG&amp;VAR:QUERY=RkZfRUJJVERBX0lCKCdMVE1TJywzODcxNyk=&amp;WINDOW=FIRST_POPUP&amp;HEIGHT=450&amp;WIDTH=450&amp;START_MA","XIMIZED=FALSE&amp;VAR:CALENDAR=US&amp;VAR:SYMBOL=05614P10&amp;VAR:INDEX=0"}</definedName>
    <definedName name="_3340__FDSAUDITLINK__" hidden="1">{"fdsup://directions/FAT Viewer?action=UPDATE&amp;creator=factset&amp;DYN_ARGS=TRUE&amp;DOC_NAME=FAT:FQL_AUDITING_CLIENT_TEMPLATE.FAT&amp;display_string=Audit&amp;VAR:KEY=HQTQHIJEFG&amp;VAR:QUERY=RkZfRUJJVERBX0lCKCdMVE1TJywzODcxNyk=&amp;WINDOW=FIRST_POPUP&amp;HEIGHT=450&amp;WIDTH=450&amp;START_MA","XIMIZED=FALSE&amp;VAR:CALENDAR=US&amp;VAR:SYMBOL=05614P10&amp;VAR:INDEX=0"}</definedName>
    <definedName name="_3341__FDSAUDITLINK__" localSheetId="6" hidden="1">{"fdsup://directions/FAT Viewer?action=UPDATE&amp;creator=factset&amp;DYN_ARGS=TRUE&amp;DOC_NAME=FAT:FQL_AUDITING_CLIENT_TEMPLATE.FAT&amp;display_string=Audit&amp;VAR:KEY=TYFEHGFUFM&amp;VAR:QUERY=RkZfRUJJVERBX0lCKCdMVE1TJywzODcxNik=&amp;WINDOW=FIRST_POPUP&amp;HEIGHT=450&amp;WIDTH=450&amp;START_MA","XIMIZED=FALSE&amp;VAR:CALENDAR=US&amp;VAR:SYMBOL=05614P10&amp;VAR:INDEX=0"}</definedName>
    <definedName name="_3341__FDSAUDITLINK__" hidden="1">{"fdsup://directions/FAT Viewer?action=UPDATE&amp;creator=factset&amp;DYN_ARGS=TRUE&amp;DOC_NAME=FAT:FQL_AUDITING_CLIENT_TEMPLATE.FAT&amp;display_string=Audit&amp;VAR:KEY=TYFEHGFUFM&amp;VAR:QUERY=RkZfRUJJVERBX0lCKCdMVE1TJywzODcxNik=&amp;WINDOW=FIRST_POPUP&amp;HEIGHT=450&amp;WIDTH=450&amp;START_MA","XIMIZED=FALSE&amp;VAR:CALENDAR=US&amp;VAR:SYMBOL=05614P10&amp;VAR:INDEX=0"}</definedName>
    <definedName name="_3342__FDSAUDITLINK__" localSheetId="6" hidden="1">{"fdsup://directions/FAT Viewer?action=UPDATE&amp;creator=factset&amp;DYN_ARGS=TRUE&amp;DOC_NAME=FAT:FQL_AUDITING_CLIENT_TEMPLATE.FAT&amp;display_string=Audit&amp;VAR:KEY=BGDGZYLKVU&amp;VAR:QUERY=RkZfRUJJVERBX0lCKCdMVE1TJywzODcxNSk=&amp;WINDOW=FIRST_POPUP&amp;HEIGHT=450&amp;WIDTH=450&amp;START_MA","XIMIZED=FALSE&amp;VAR:CALENDAR=US&amp;VAR:SYMBOL=05614P10&amp;VAR:INDEX=0"}</definedName>
    <definedName name="_3342__FDSAUDITLINK__" hidden="1">{"fdsup://directions/FAT Viewer?action=UPDATE&amp;creator=factset&amp;DYN_ARGS=TRUE&amp;DOC_NAME=FAT:FQL_AUDITING_CLIENT_TEMPLATE.FAT&amp;display_string=Audit&amp;VAR:KEY=BGDGZYLKVU&amp;VAR:QUERY=RkZfRUJJVERBX0lCKCdMVE1TJywzODcxNSk=&amp;WINDOW=FIRST_POPUP&amp;HEIGHT=450&amp;WIDTH=450&amp;START_MA","XIMIZED=FALSE&amp;VAR:CALENDAR=US&amp;VAR:SYMBOL=05614P10&amp;VAR:INDEX=0"}</definedName>
    <definedName name="_3343__FDSAUDITLINK__" localSheetId="6" hidden="1">{"fdsup://directions/FAT Viewer?action=UPDATE&amp;creator=factset&amp;DYN_ARGS=TRUE&amp;DOC_NAME=FAT:FQL_AUDITING_CLIENT_TEMPLATE.FAT&amp;display_string=Audit&amp;VAR:KEY=BAVOLSPORW&amp;VAR:QUERY=RkZfRUJJVERBX0lCKCdMVE1TJywzODcxNCk=&amp;WINDOW=FIRST_POPUP&amp;HEIGHT=450&amp;WIDTH=450&amp;START_MA","XIMIZED=FALSE&amp;VAR:CALENDAR=US&amp;VAR:SYMBOL=05614P10&amp;VAR:INDEX=0"}</definedName>
    <definedName name="_3343__FDSAUDITLINK__" hidden="1">{"fdsup://directions/FAT Viewer?action=UPDATE&amp;creator=factset&amp;DYN_ARGS=TRUE&amp;DOC_NAME=FAT:FQL_AUDITING_CLIENT_TEMPLATE.FAT&amp;display_string=Audit&amp;VAR:KEY=BAVOLSPORW&amp;VAR:QUERY=RkZfRUJJVERBX0lCKCdMVE1TJywzODcxNCk=&amp;WINDOW=FIRST_POPUP&amp;HEIGHT=450&amp;WIDTH=450&amp;START_MA","XIMIZED=FALSE&amp;VAR:CALENDAR=US&amp;VAR:SYMBOL=05614P10&amp;VAR:INDEX=0"}</definedName>
    <definedName name="_3344__FDSAUDITLINK__" localSheetId="6" hidden="1">{"fdsup://directions/FAT Viewer?action=UPDATE&amp;creator=factset&amp;DYN_ARGS=TRUE&amp;DOC_NAME=FAT:FQL_AUDITING_CLIENT_TEMPLATE.FAT&amp;display_string=Audit&amp;VAR:KEY=RQRSHQDCRK&amp;VAR:QUERY=RkZfRUJJVERBX0lCKCdMVE1TJywzODcxMyk=&amp;WINDOW=FIRST_POPUP&amp;HEIGHT=450&amp;WIDTH=450&amp;START_MA","XIMIZED=FALSE&amp;VAR:CALENDAR=US&amp;VAR:SYMBOL=05614P10&amp;VAR:INDEX=0"}</definedName>
    <definedName name="_3344__FDSAUDITLINK__" hidden="1">{"fdsup://directions/FAT Viewer?action=UPDATE&amp;creator=factset&amp;DYN_ARGS=TRUE&amp;DOC_NAME=FAT:FQL_AUDITING_CLIENT_TEMPLATE.FAT&amp;display_string=Audit&amp;VAR:KEY=RQRSHQDCRK&amp;VAR:QUERY=RkZfRUJJVERBX0lCKCdMVE1TJywzODcxMyk=&amp;WINDOW=FIRST_POPUP&amp;HEIGHT=450&amp;WIDTH=450&amp;START_MA","XIMIZED=FALSE&amp;VAR:CALENDAR=US&amp;VAR:SYMBOL=05614P10&amp;VAR:INDEX=0"}</definedName>
    <definedName name="_3345__FDSAUDITLINK__" localSheetId="6" hidden="1">{"fdsup://directions/FAT Viewer?action=UPDATE&amp;creator=factset&amp;DYN_ARGS=TRUE&amp;DOC_NAME=FAT:FQL_AUDITING_CLIENT_TEMPLATE.FAT&amp;display_string=Audit&amp;VAR:KEY=DONCJYHYNU&amp;VAR:QUERY=RkZfRUJJVERBX0lCKCdMVE1TJywzODcxMik=&amp;WINDOW=FIRST_POPUP&amp;HEIGHT=450&amp;WIDTH=450&amp;START_MA","XIMIZED=FALSE&amp;VAR:CALENDAR=US&amp;VAR:SYMBOL=05614P10&amp;VAR:INDEX=0"}</definedName>
    <definedName name="_3345__FDSAUDITLINK__" hidden="1">{"fdsup://directions/FAT Viewer?action=UPDATE&amp;creator=factset&amp;DYN_ARGS=TRUE&amp;DOC_NAME=FAT:FQL_AUDITING_CLIENT_TEMPLATE.FAT&amp;display_string=Audit&amp;VAR:KEY=DONCJYHYNU&amp;VAR:QUERY=RkZfRUJJVERBX0lCKCdMVE1TJywzODcxMik=&amp;WINDOW=FIRST_POPUP&amp;HEIGHT=450&amp;WIDTH=450&amp;START_MA","XIMIZED=FALSE&amp;VAR:CALENDAR=US&amp;VAR:SYMBOL=05614P10&amp;VAR:INDEX=0"}</definedName>
    <definedName name="_3346__FDSAUDITLINK__" localSheetId="6" hidden="1">{"fdsup://directions/FAT Viewer?action=UPDATE&amp;creator=factset&amp;DYN_ARGS=TRUE&amp;DOC_NAME=FAT:FQL_AUDITING_CLIENT_TEMPLATE.FAT&amp;display_string=Audit&amp;VAR:KEY=NUPQLIPCXQ&amp;VAR:QUERY=RkZfRUJJVERBX0lCKCdMVE1TJywzODcxMSk=&amp;WINDOW=FIRST_POPUP&amp;HEIGHT=450&amp;WIDTH=450&amp;START_MA","XIMIZED=FALSE&amp;VAR:CALENDAR=US&amp;VAR:SYMBOL=05614P10&amp;VAR:INDEX=0"}</definedName>
    <definedName name="_3346__FDSAUDITLINK__" hidden="1">{"fdsup://directions/FAT Viewer?action=UPDATE&amp;creator=factset&amp;DYN_ARGS=TRUE&amp;DOC_NAME=FAT:FQL_AUDITING_CLIENT_TEMPLATE.FAT&amp;display_string=Audit&amp;VAR:KEY=NUPQLIPCXQ&amp;VAR:QUERY=RkZfRUJJVERBX0lCKCdMVE1TJywzODcxMSk=&amp;WINDOW=FIRST_POPUP&amp;HEIGHT=450&amp;WIDTH=450&amp;START_MA","XIMIZED=FALSE&amp;VAR:CALENDAR=US&amp;VAR:SYMBOL=05614P10&amp;VAR:INDEX=0"}</definedName>
    <definedName name="_3347__FDSAUDITLINK__" localSheetId="6" hidden="1">{"fdsup://directions/FAT Viewer?action=UPDATE&amp;creator=factset&amp;DYN_ARGS=TRUE&amp;DOC_NAME=FAT:FQL_AUDITING_CLIENT_TEMPLATE.FAT&amp;display_string=Audit&amp;VAR:KEY=FMZMNAPSJQ&amp;VAR:QUERY=RkZfRUJJVERBX0lCKCdMVE1TJywzODcxMCk=&amp;WINDOW=FIRST_POPUP&amp;HEIGHT=450&amp;WIDTH=450&amp;START_MA","XIMIZED=FALSE&amp;VAR:CALENDAR=US&amp;VAR:SYMBOL=05614P10&amp;VAR:INDEX=0"}</definedName>
    <definedName name="_3347__FDSAUDITLINK__" hidden="1">{"fdsup://directions/FAT Viewer?action=UPDATE&amp;creator=factset&amp;DYN_ARGS=TRUE&amp;DOC_NAME=FAT:FQL_AUDITING_CLIENT_TEMPLATE.FAT&amp;display_string=Audit&amp;VAR:KEY=FMZMNAPSJQ&amp;VAR:QUERY=RkZfRUJJVERBX0lCKCdMVE1TJywzODcxMCk=&amp;WINDOW=FIRST_POPUP&amp;HEIGHT=450&amp;WIDTH=450&amp;START_MA","XIMIZED=FALSE&amp;VAR:CALENDAR=US&amp;VAR:SYMBOL=05614P10&amp;VAR:INDEX=0"}</definedName>
    <definedName name="_3348__FDSAUDITLINK__" localSheetId="6" hidden="1">{"fdsup://directions/FAT Viewer?action=UPDATE&amp;creator=factset&amp;DYN_ARGS=TRUE&amp;DOC_NAME=FAT:FQL_AUDITING_CLIENT_TEMPLATE.FAT&amp;display_string=Audit&amp;VAR:KEY=XKNSXGBUJW&amp;VAR:QUERY=RkZfRUJJVERBX0lCKCdMVE1TJywzODcwOSk=&amp;WINDOW=FIRST_POPUP&amp;HEIGHT=450&amp;WIDTH=450&amp;START_MA","XIMIZED=FALSE&amp;VAR:CALENDAR=US&amp;VAR:SYMBOL=05614P10&amp;VAR:INDEX=0"}</definedName>
    <definedName name="_3348__FDSAUDITLINK__" hidden="1">{"fdsup://directions/FAT Viewer?action=UPDATE&amp;creator=factset&amp;DYN_ARGS=TRUE&amp;DOC_NAME=FAT:FQL_AUDITING_CLIENT_TEMPLATE.FAT&amp;display_string=Audit&amp;VAR:KEY=XKNSXGBUJW&amp;VAR:QUERY=RkZfRUJJVERBX0lCKCdMVE1TJywzODcwOSk=&amp;WINDOW=FIRST_POPUP&amp;HEIGHT=450&amp;WIDTH=450&amp;START_MA","XIMIZED=FALSE&amp;VAR:CALENDAR=US&amp;VAR:SYMBOL=05614P10&amp;VAR:INDEX=0"}</definedName>
    <definedName name="_3349__FDSAUDITLINK__" localSheetId="6" hidden="1">{"fdsup://directions/FAT Viewer?action=UPDATE&amp;creator=factset&amp;DYN_ARGS=TRUE&amp;DOC_NAME=FAT:FQL_AUDITING_CLIENT_TEMPLATE.FAT&amp;display_string=Audit&amp;VAR:KEY=LCTQNCDARE&amp;VAR:QUERY=RkZfRUJJVERBX0lCKCdMVE1TJywzODcwOCk=&amp;WINDOW=FIRST_POPUP&amp;HEIGHT=450&amp;WIDTH=450&amp;START_MA","XIMIZED=FALSE&amp;VAR:CALENDAR=US&amp;VAR:SYMBOL=05614P10&amp;VAR:INDEX=0"}</definedName>
    <definedName name="_3349__FDSAUDITLINK__" hidden="1">{"fdsup://directions/FAT Viewer?action=UPDATE&amp;creator=factset&amp;DYN_ARGS=TRUE&amp;DOC_NAME=FAT:FQL_AUDITING_CLIENT_TEMPLATE.FAT&amp;display_string=Audit&amp;VAR:KEY=LCTQNCDARE&amp;VAR:QUERY=RkZfRUJJVERBX0lCKCdMVE1TJywzODcwOCk=&amp;WINDOW=FIRST_POPUP&amp;HEIGHT=450&amp;WIDTH=450&amp;START_MA","XIMIZED=FALSE&amp;VAR:CALENDAR=US&amp;VAR:SYMBOL=05614P10&amp;VAR:INDEX=0"}</definedName>
    <definedName name="_335__FDSAUDITLINK__" localSheetId="6" hidden="1">{"fdsup://directions/FAT%20Viewer?VAR:PED=LTM&amp;VAR:AUDIT_MODE=SUMMARY&amp;VAR:PERIOD=FIXED&amp;VAR:AUDIT_ID=00000117&amp;VAR:DATE=20090323&amp;action=UPDATE&amp;creator=factset&amp;DOC_NAME=FAT:FMA_audit_SUMMARY.fat&amp;DISPLAY_STRING=Display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5__FDSAUDITLINK__" hidden="1">{"fdsup://directions/FAT%20Viewer?VAR:PED=LTM&amp;VAR:AUDIT_MODE=SUMMARY&amp;VAR:PERIOD=FIXED&amp;VAR:AUDIT_ID=00000117&amp;VAR:DATE=20090323&amp;action=UPDATE&amp;creator=factset&amp;DOC_NAME=FAT:FMA_audit_SUMMARY.fat&amp;DISPLAY_STRING=Display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50__FDSAUDITLINK__" localSheetId="6" hidden="1">{"fdsup://directions/FAT Viewer?action=UPDATE&amp;creator=factset&amp;DYN_ARGS=TRUE&amp;DOC_NAME=FAT:FQL_AUDITING_CLIENT_TEMPLATE.FAT&amp;display_string=Audit&amp;VAR:KEY=VUJQLUVWLG&amp;VAR:QUERY=RkZfRUJJVERBX0lCKCdMVE1TJywzODcwNyk=&amp;WINDOW=FIRST_POPUP&amp;HEIGHT=450&amp;WIDTH=450&amp;START_MA","XIMIZED=FALSE&amp;VAR:CALENDAR=US&amp;VAR:SYMBOL=05614P10&amp;VAR:INDEX=0"}</definedName>
    <definedName name="_3350__FDSAUDITLINK__" hidden="1">{"fdsup://directions/FAT Viewer?action=UPDATE&amp;creator=factset&amp;DYN_ARGS=TRUE&amp;DOC_NAME=FAT:FQL_AUDITING_CLIENT_TEMPLATE.FAT&amp;display_string=Audit&amp;VAR:KEY=VUJQLUVWLG&amp;VAR:QUERY=RkZfRUJJVERBX0lCKCdMVE1TJywzODcwNyk=&amp;WINDOW=FIRST_POPUP&amp;HEIGHT=450&amp;WIDTH=450&amp;START_MA","XIMIZED=FALSE&amp;VAR:CALENDAR=US&amp;VAR:SYMBOL=05614P10&amp;VAR:INDEX=0"}</definedName>
    <definedName name="_3351__FDSAUDITLINK__" localSheetId="6" hidden="1">{"fdsup://directions/FAT Viewer?action=UPDATE&amp;creator=factset&amp;DYN_ARGS=TRUE&amp;DOC_NAME=FAT:FQL_AUDITING_CLIENT_TEMPLATE.FAT&amp;display_string=Audit&amp;VAR:KEY=JWJOZYHMLK&amp;VAR:QUERY=RkZfRUJJVERBX0lCKCdMVE1TJywzODcwNik=&amp;WINDOW=FIRST_POPUP&amp;HEIGHT=450&amp;WIDTH=450&amp;START_MA","XIMIZED=FALSE&amp;VAR:CALENDAR=US&amp;VAR:SYMBOL=05614P10&amp;VAR:INDEX=0"}</definedName>
    <definedName name="_3351__FDSAUDITLINK__" hidden="1">{"fdsup://directions/FAT Viewer?action=UPDATE&amp;creator=factset&amp;DYN_ARGS=TRUE&amp;DOC_NAME=FAT:FQL_AUDITING_CLIENT_TEMPLATE.FAT&amp;display_string=Audit&amp;VAR:KEY=JWJOZYHMLK&amp;VAR:QUERY=RkZfRUJJVERBX0lCKCdMVE1TJywzODcwNik=&amp;WINDOW=FIRST_POPUP&amp;HEIGHT=450&amp;WIDTH=450&amp;START_MA","XIMIZED=FALSE&amp;VAR:CALENDAR=US&amp;VAR:SYMBOL=05614P10&amp;VAR:INDEX=0"}</definedName>
    <definedName name="_3352__FDSAUDITLINK__" localSheetId="6" hidden="1">{"fdsup://directions/FAT Viewer?action=UPDATE&amp;creator=factset&amp;DYN_ARGS=TRUE&amp;DOC_NAME=FAT:FQL_AUDITING_CLIENT_TEMPLATE.FAT&amp;display_string=Audit&amp;VAR:KEY=TMNWLCZWHE&amp;VAR:QUERY=RkZfRUJJVERBX0lCKCdMVE1TJywzODcwNSk=&amp;WINDOW=FIRST_POPUP&amp;HEIGHT=450&amp;WIDTH=450&amp;START_MA","XIMIZED=FALSE&amp;VAR:CALENDAR=US&amp;VAR:SYMBOL=05614P10&amp;VAR:INDEX=0"}</definedName>
    <definedName name="_3352__FDSAUDITLINK__" hidden="1">{"fdsup://directions/FAT Viewer?action=UPDATE&amp;creator=factset&amp;DYN_ARGS=TRUE&amp;DOC_NAME=FAT:FQL_AUDITING_CLIENT_TEMPLATE.FAT&amp;display_string=Audit&amp;VAR:KEY=TMNWLCZWHE&amp;VAR:QUERY=RkZfRUJJVERBX0lCKCdMVE1TJywzODcwNSk=&amp;WINDOW=FIRST_POPUP&amp;HEIGHT=450&amp;WIDTH=450&amp;START_MA","XIMIZED=FALSE&amp;VAR:CALENDAR=US&amp;VAR:SYMBOL=05614P10&amp;VAR:INDEX=0"}</definedName>
    <definedName name="_3353__FDSAUDITLINK__" localSheetId="6" hidden="1">{"fdsup://directions/FAT Viewer?action=UPDATE&amp;creator=factset&amp;DYN_ARGS=TRUE&amp;DOC_NAME=FAT:FQL_AUDITING_CLIENT_TEMPLATE.FAT&amp;display_string=Audit&amp;VAR:KEY=JKXWVIRIFC&amp;VAR:QUERY=RkZfRUJJVERBX0lCKCdMVE1TJywzODcwNCk=&amp;WINDOW=FIRST_POPUP&amp;HEIGHT=450&amp;WIDTH=450&amp;START_MA","XIMIZED=FALSE&amp;VAR:CALENDAR=US&amp;VAR:SYMBOL=05614P10&amp;VAR:INDEX=0"}</definedName>
    <definedName name="_3353__FDSAUDITLINK__" hidden="1">{"fdsup://directions/FAT Viewer?action=UPDATE&amp;creator=factset&amp;DYN_ARGS=TRUE&amp;DOC_NAME=FAT:FQL_AUDITING_CLIENT_TEMPLATE.FAT&amp;display_string=Audit&amp;VAR:KEY=JKXWVIRIFC&amp;VAR:QUERY=RkZfRUJJVERBX0lCKCdMVE1TJywzODcwNCk=&amp;WINDOW=FIRST_POPUP&amp;HEIGHT=450&amp;WIDTH=450&amp;START_MA","XIMIZED=FALSE&amp;VAR:CALENDAR=US&amp;VAR:SYMBOL=05614P10&amp;VAR:INDEX=0"}</definedName>
    <definedName name="_3354__FDSAUDITLINK__" localSheetId="6" hidden="1">{"fdsup://directions/FAT Viewer?action=UPDATE&amp;creator=factset&amp;DYN_ARGS=TRUE&amp;DOC_NAME=FAT:FQL_AUDITING_CLIENT_TEMPLATE.FAT&amp;display_string=Audit&amp;VAR:KEY=PALGJCHQPQ&amp;VAR:QUERY=RkZfRUJJVERBX0lCKCdMVE1TJywzODcwMyk=&amp;WINDOW=FIRST_POPUP&amp;HEIGHT=450&amp;WIDTH=450&amp;START_MA","XIMIZED=FALSE&amp;VAR:CALENDAR=US&amp;VAR:SYMBOL=05614P10&amp;VAR:INDEX=0"}</definedName>
    <definedName name="_3354__FDSAUDITLINK__" hidden="1">{"fdsup://directions/FAT Viewer?action=UPDATE&amp;creator=factset&amp;DYN_ARGS=TRUE&amp;DOC_NAME=FAT:FQL_AUDITING_CLIENT_TEMPLATE.FAT&amp;display_string=Audit&amp;VAR:KEY=PALGJCHQPQ&amp;VAR:QUERY=RkZfRUJJVERBX0lCKCdMVE1TJywzODcwMyk=&amp;WINDOW=FIRST_POPUP&amp;HEIGHT=450&amp;WIDTH=450&amp;START_MA","XIMIZED=FALSE&amp;VAR:CALENDAR=US&amp;VAR:SYMBOL=05614P10&amp;VAR:INDEX=0"}</definedName>
    <definedName name="_3355__FDSAUDITLINK__" localSheetId="6" hidden="1">{"fdsup://directions/FAT Viewer?action=UPDATE&amp;creator=factset&amp;DYN_ARGS=TRUE&amp;DOC_NAME=FAT:FQL_AUDITING_CLIENT_TEMPLATE.FAT&amp;display_string=Audit&amp;VAR:KEY=JERILGFUJS&amp;VAR:QUERY=RkZfRUJJVERBX0lCKCdMVE1TJywzODcwMik=&amp;WINDOW=FIRST_POPUP&amp;HEIGHT=450&amp;WIDTH=450&amp;START_MA","XIMIZED=FALSE&amp;VAR:CALENDAR=US&amp;VAR:SYMBOL=05614P10&amp;VAR:INDEX=0"}</definedName>
    <definedName name="_3355__FDSAUDITLINK__" hidden="1">{"fdsup://directions/FAT Viewer?action=UPDATE&amp;creator=factset&amp;DYN_ARGS=TRUE&amp;DOC_NAME=FAT:FQL_AUDITING_CLIENT_TEMPLATE.FAT&amp;display_string=Audit&amp;VAR:KEY=JERILGFUJS&amp;VAR:QUERY=RkZfRUJJVERBX0lCKCdMVE1TJywzODcwMik=&amp;WINDOW=FIRST_POPUP&amp;HEIGHT=450&amp;WIDTH=450&amp;START_MA","XIMIZED=FALSE&amp;VAR:CALENDAR=US&amp;VAR:SYMBOL=05614P10&amp;VAR:INDEX=0"}</definedName>
    <definedName name="_3356__FDSAUDITLINK__" localSheetId="6" hidden="1">{"fdsup://directions/FAT Viewer?action=UPDATE&amp;creator=factset&amp;DYN_ARGS=TRUE&amp;DOC_NAME=FAT:FQL_AUDITING_CLIENT_TEMPLATE.FAT&amp;display_string=Audit&amp;VAR:KEY=VQHIPEJAXC&amp;VAR:QUERY=RkZfRUJJVERBX0lCKCdMVE1TJywzODcwMSk=&amp;WINDOW=FIRST_POPUP&amp;HEIGHT=450&amp;WIDTH=450&amp;START_MA","XIMIZED=FALSE&amp;VAR:CALENDAR=US&amp;VAR:SYMBOL=05614P10&amp;VAR:INDEX=0"}</definedName>
    <definedName name="_3356__FDSAUDITLINK__" hidden="1">{"fdsup://directions/FAT Viewer?action=UPDATE&amp;creator=factset&amp;DYN_ARGS=TRUE&amp;DOC_NAME=FAT:FQL_AUDITING_CLIENT_TEMPLATE.FAT&amp;display_string=Audit&amp;VAR:KEY=VQHIPEJAXC&amp;VAR:QUERY=RkZfRUJJVERBX0lCKCdMVE1TJywzODcwMSk=&amp;WINDOW=FIRST_POPUP&amp;HEIGHT=450&amp;WIDTH=450&amp;START_MA","XIMIZED=FALSE&amp;VAR:CALENDAR=US&amp;VAR:SYMBOL=05614P10&amp;VAR:INDEX=0"}</definedName>
    <definedName name="_3357__FDSAUDITLINK__" localSheetId="6" hidden="1">{"fdsup://directions/FAT Viewer?action=UPDATE&amp;creator=factset&amp;DYN_ARGS=TRUE&amp;DOC_NAME=FAT:FQL_AUDITING_CLIENT_TEMPLATE.FAT&amp;display_string=Audit&amp;VAR:KEY=HGLGXSLIXU&amp;VAR:QUERY=RkZfRUJJVERBX0lCKCdMVE1TJywzODcwMCk=&amp;WINDOW=FIRST_POPUP&amp;HEIGHT=450&amp;WIDTH=450&amp;START_MA","XIMIZED=FALSE&amp;VAR:CALENDAR=US&amp;VAR:SYMBOL=05614P10&amp;VAR:INDEX=0"}</definedName>
    <definedName name="_3357__FDSAUDITLINK__" hidden="1">{"fdsup://directions/FAT Viewer?action=UPDATE&amp;creator=factset&amp;DYN_ARGS=TRUE&amp;DOC_NAME=FAT:FQL_AUDITING_CLIENT_TEMPLATE.FAT&amp;display_string=Audit&amp;VAR:KEY=HGLGXSLIXU&amp;VAR:QUERY=RkZfRUJJVERBX0lCKCdMVE1TJywzODcwMCk=&amp;WINDOW=FIRST_POPUP&amp;HEIGHT=450&amp;WIDTH=450&amp;START_MA","XIMIZED=FALSE&amp;VAR:CALENDAR=US&amp;VAR:SYMBOL=05614P10&amp;VAR:INDEX=0"}</definedName>
    <definedName name="_3358__FDSAUDITLINK__" localSheetId="6" hidden="1">{"fdsup://directions/FAT Viewer?action=UPDATE&amp;creator=factset&amp;DYN_ARGS=TRUE&amp;DOC_NAME=FAT:FQL_AUDITING_CLIENT_TEMPLATE.FAT&amp;display_string=Audit&amp;VAR:KEY=TWFMRSLWXY&amp;VAR:QUERY=RkZfRUJJVERBX0lCKCdMVE1TJywzODY5OSk=&amp;WINDOW=FIRST_POPUP&amp;HEIGHT=450&amp;WIDTH=450&amp;START_MA","XIMIZED=FALSE&amp;VAR:CALENDAR=US&amp;VAR:SYMBOL=05614P10&amp;VAR:INDEX=0"}</definedName>
    <definedName name="_3358__FDSAUDITLINK__" hidden="1">{"fdsup://directions/FAT Viewer?action=UPDATE&amp;creator=factset&amp;DYN_ARGS=TRUE&amp;DOC_NAME=FAT:FQL_AUDITING_CLIENT_TEMPLATE.FAT&amp;display_string=Audit&amp;VAR:KEY=TWFMRSLWXY&amp;VAR:QUERY=RkZfRUJJVERBX0lCKCdMVE1TJywzODY5OSk=&amp;WINDOW=FIRST_POPUP&amp;HEIGHT=450&amp;WIDTH=450&amp;START_MA","XIMIZED=FALSE&amp;VAR:CALENDAR=US&amp;VAR:SYMBOL=05614P10&amp;VAR:INDEX=0"}</definedName>
    <definedName name="_3359__FDSAUDITLINK__" localSheetId="6" hidden="1">{"fdsup://directions/FAT Viewer?action=UPDATE&amp;creator=factset&amp;DYN_ARGS=TRUE&amp;DOC_NAME=FAT:FQL_AUDITING_CLIENT_TEMPLATE.FAT&amp;display_string=Audit&amp;VAR:KEY=XMRSLYTEXC&amp;VAR:QUERY=RkZfRUJJVERBX0lCKCdMVE1TJywzODY5OCk=&amp;WINDOW=FIRST_POPUP&amp;HEIGHT=450&amp;WIDTH=450&amp;START_MA","XIMIZED=FALSE&amp;VAR:CALENDAR=US&amp;VAR:SYMBOL=05614P10&amp;VAR:INDEX=0"}</definedName>
    <definedName name="_3359__FDSAUDITLINK__" hidden="1">{"fdsup://directions/FAT Viewer?action=UPDATE&amp;creator=factset&amp;DYN_ARGS=TRUE&amp;DOC_NAME=FAT:FQL_AUDITING_CLIENT_TEMPLATE.FAT&amp;display_string=Audit&amp;VAR:KEY=XMRSLYTEXC&amp;VAR:QUERY=RkZfRUJJVERBX0lCKCdMVE1TJywzODY5OCk=&amp;WINDOW=FIRST_POPUP&amp;HEIGHT=450&amp;WIDTH=450&amp;START_MA","XIMIZED=FALSE&amp;VAR:CALENDAR=US&amp;VAR:SYMBOL=05614P10&amp;VAR:INDEX=0"}</definedName>
    <definedName name="_336__FDSAUDITLINK__" localSheetId="6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6__FDSAUDITLINK__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60__FDSAUDITLINK__" localSheetId="6" hidden="1">{"fdsup://directions/FAT Viewer?action=UPDATE&amp;creator=factset&amp;DYN_ARGS=TRUE&amp;DOC_NAME=FAT:FQL_AUDITING_CLIENT_TEMPLATE.FAT&amp;display_string=Audit&amp;VAR:KEY=ZULGHCPSZI&amp;VAR:QUERY=RkZfRUJJVERBX0lCKCdMVE1TJywzODY5Nyk=&amp;WINDOW=FIRST_POPUP&amp;HEIGHT=450&amp;WIDTH=450&amp;START_MA","XIMIZED=FALSE&amp;VAR:CALENDAR=US&amp;VAR:SYMBOL=05614P10&amp;VAR:INDEX=0"}</definedName>
    <definedName name="_3360__FDSAUDITLINK__" hidden="1">{"fdsup://directions/FAT Viewer?action=UPDATE&amp;creator=factset&amp;DYN_ARGS=TRUE&amp;DOC_NAME=FAT:FQL_AUDITING_CLIENT_TEMPLATE.FAT&amp;display_string=Audit&amp;VAR:KEY=ZULGHCPSZI&amp;VAR:QUERY=RkZfRUJJVERBX0lCKCdMVE1TJywzODY5Nyk=&amp;WINDOW=FIRST_POPUP&amp;HEIGHT=450&amp;WIDTH=450&amp;START_MA","XIMIZED=FALSE&amp;VAR:CALENDAR=US&amp;VAR:SYMBOL=05614P10&amp;VAR:INDEX=0"}</definedName>
    <definedName name="_3361__FDSAUDITLINK__" localSheetId="6" hidden="1">{"fdsup://directions/FAT Viewer?action=UPDATE&amp;creator=factset&amp;DYN_ARGS=TRUE&amp;DOC_NAME=FAT:FQL_AUDITING_CLIENT_TEMPLATE.FAT&amp;display_string=Audit&amp;VAR:KEY=HMJYZGZKVW&amp;VAR:QUERY=RkZfRUJJVERBX0lCKCdMVE1TJywzODY5Nik=&amp;WINDOW=FIRST_POPUP&amp;HEIGHT=450&amp;WIDTH=450&amp;START_MA","XIMIZED=FALSE&amp;VAR:CALENDAR=US&amp;VAR:SYMBOL=05614P10&amp;VAR:INDEX=0"}</definedName>
    <definedName name="_3361__FDSAUDITLINK__" hidden="1">{"fdsup://directions/FAT Viewer?action=UPDATE&amp;creator=factset&amp;DYN_ARGS=TRUE&amp;DOC_NAME=FAT:FQL_AUDITING_CLIENT_TEMPLATE.FAT&amp;display_string=Audit&amp;VAR:KEY=HMJYZGZKVW&amp;VAR:QUERY=RkZfRUJJVERBX0lCKCdMVE1TJywzODY5Nik=&amp;WINDOW=FIRST_POPUP&amp;HEIGHT=450&amp;WIDTH=450&amp;START_MA","XIMIZED=FALSE&amp;VAR:CALENDAR=US&amp;VAR:SYMBOL=05614P10&amp;VAR:INDEX=0"}</definedName>
    <definedName name="_3362__FDSAUDITLINK__" localSheetId="6" hidden="1">{"fdsup://directions/FAT Viewer?action=UPDATE&amp;creator=factset&amp;DYN_ARGS=TRUE&amp;DOC_NAME=FAT:FQL_AUDITING_CLIENT_TEMPLATE.FAT&amp;display_string=Audit&amp;VAR:KEY=HKREHCVSXC&amp;VAR:QUERY=RkZfRUJJVERBX0lCKCdMVE1TJywzODY5NSk=&amp;WINDOW=FIRST_POPUP&amp;HEIGHT=450&amp;WIDTH=450&amp;START_MA","XIMIZED=FALSE&amp;VAR:CALENDAR=US&amp;VAR:SYMBOL=05614P10&amp;VAR:INDEX=0"}</definedName>
    <definedName name="_3362__FDSAUDITLINK__" hidden="1">{"fdsup://directions/FAT Viewer?action=UPDATE&amp;creator=factset&amp;DYN_ARGS=TRUE&amp;DOC_NAME=FAT:FQL_AUDITING_CLIENT_TEMPLATE.FAT&amp;display_string=Audit&amp;VAR:KEY=HKREHCVSXC&amp;VAR:QUERY=RkZfRUJJVERBX0lCKCdMVE1TJywzODY5NSk=&amp;WINDOW=FIRST_POPUP&amp;HEIGHT=450&amp;WIDTH=450&amp;START_MA","XIMIZED=FALSE&amp;VAR:CALENDAR=US&amp;VAR:SYMBOL=05614P10&amp;VAR:INDEX=0"}</definedName>
    <definedName name="_3363__FDSAUDITLINK__" localSheetId="6" hidden="1">{"fdsup://directions/FAT Viewer?action=UPDATE&amp;creator=factset&amp;DYN_ARGS=TRUE&amp;DOC_NAME=FAT:FQL_AUDITING_CLIENT_TEMPLATE.FAT&amp;display_string=Audit&amp;VAR:KEY=HELSHCHQPQ&amp;VAR:QUERY=RkZfRUJJVERBX0lCKCdMVE1TJywzODY5NCk=&amp;WINDOW=FIRST_POPUP&amp;HEIGHT=450&amp;WIDTH=450&amp;START_MA","XIMIZED=FALSE&amp;VAR:CALENDAR=US&amp;VAR:SYMBOL=05614P10&amp;VAR:INDEX=0"}</definedName>
    <definedName name="_3363__FDSAUDITLINK__" hidden="1">{"fdsup://directions/FAT Viewer?action=UPDATE&amp;creator=factset&amp;DYN_ARGS=TRUE&amp;DOC_NAME=FAT:FQL_AUDITING_CLIENT_TEMPLATE.FAT&amp;display_string=Audit&amp;VAR:KEY=HELSHCHQPQ&amp;VAR:QUERY=RkZfRUJJVERBX0lCKCdMVE1TJywzODY5NCk=&amp;WINDOW=FIRST_POPUP&amp;HEIGHT=450&amp;WIDTH=450&amp;START_MA","XIMIZED=FALSE&amp;VAR:CALENDAR=US&amp;VAR:SYMBOL=05614P10&amp;VAR:INDEX=0"}</definedName>
    <definedName name="_3364__FDSAUDITLINK__" localSheetId="6" hidden="1">{"fdsup://directions/FAT Viewer?action=UPDATE&amp;creator=factset&amp;DYN_ARGS=TRUE&amp;DOC_NAME=FAT:FQL_AUDITING_CLIENT_TEMPLATE.FAT&amp;display_string=Audit&amp;VAR:KEY=DYHYFGZUZG&amp;VAR:QUERY=RkZfRUJJVERBX0lCKCdMVE1TJywzODY5Myk=&amp;WINDOW=FIRST_POPUP&amp;HEIGHT=450&amp;WIDTH=450&amp;START_MA","XIMIZED=FALSE&amp;VAR:CALENDAR=US&amp;VAR:SYMBOL=05614P10&amp;VAR:INDEX=0"}</definedName>
    <definedName name="_3364__FDSAUDITLINK__" hidden="1">{"fdsup://directions/FAT Viewer?action=UPDATE&amp;creator=factset&amp;DYN_ARGS=TRUE&amp;DOC_NAME=FAT:FQL_AUDITING_CLIENT_TEMPLATE.FAT&amp;display_string=Audit&amp;VAR:KEY=DYHYFGZUZG&amp;VAR:QUERY=RkZfRUJJVERBX0lCKCdMVE1TJywzODY5Myk=&amp;WINDOW=FIRST_POPUP&amp;HEIGHT=450&amp;WIDTH=450&amp;START_MA","XIMIZED=FALSE&amp;VAR:CALENDAR=US&amp;VAR:SYMBOL=05614P10&amp;VAR:INDEX=0"}</definedName>
    <definedName name="_3365__FDSAUDITLINK__" localSheetId="6" hidden="1">{"fdsup://directions/FAT Viewer?action=UPDATE&amp;creator=factset&amp;DYN_ARGS=TRUE&amp;DOC_NAME=FAT:FQL_AUDITING_CLIENT_TEMPLATE.FAT&amp;display_string=Audit&amp;VAR:KEY=RAZCBMPKLE&amp;VAR:QUERY=RkZfRUJJVERBX0lCKCdMVE1TJywzODY5Mik=&amp;WINDOW=FIRST_POPUP&amp;HEIGHT=450&amp;WIDTH=450&amp;START_MA","XIMIZED=FALSE&amp;VAR:CALENDAR=US&amp;VAR:SYMBOL=05614P10&amp;VAR:INDEX=0"}</definedName>
    <definedName name="_3365__FDSAUDITLINK__" hidden="1">{"fdsup://directions/FAT Viewer?action=UPDATE&amp;creator=factset&amp;DYN_ARGS=TRUE&amp;DOC_NAME=FAT:FQL_AUDITING_CLIENT_TEMPLATE.FAT&amp;display_string=Audit&amp;VAR:KEY=RAZCBMPKLE&amp;VAR:QUERY=RkZfRUJJVERBX0lCKCdMVE1TJywzODY5Mik=&amp;WINDOW=FIRST_POPUP&amp;HEIGHT=450&amp;WIDTH=450&amp;START_MA","XIMIZED=FALSE&amp;VAR:CALENDAR=US&amp;VAR:SYMBOL=05614P10&amp;VAR:INDEX=0"}</definedName>
    <definedName name="_3366__FDSAUDITLINK__" localSheetId="6" hidden="1">{"fdsup://directions/FAT Viewer?action=UPDATE&amp;creator=factset&amp;DYN_ARGS=TRUE&amp;DOC_NAME=FAT:FQL_AUDITING_CLIENT_TEMPLATE.FAT&amp;display_string=Audit&amp;VAR:KEY=DCZIDWZABK&amp;VAR:QUERY=RkZfRUJJVERBX0lCKCdMVE1TJywzODY5MSk=&amp;WINDOW=FIRST_POPUP&amp;HEIGHT=450&amp;WIDTH=450&amp;START_MA","XIMIZED=FALSE&amp;VAR:CALENDAR=US&amp;VAR:SYMBOL=05614P10&amp;VAR:INDEX=0"}</definedName>
    <definedName name="_3366__FDSAUDITLINK__" hidden="1">{"fdsup://directions/FAT Viewer?action=UPDATE&amp;creator=factset&amp;DYN_ARGS=TRUE&amp;DOC_NAME=FAT:FQL_AUDITING_CLIENT_TEMPLATE.FAT&amp;display_string=Audit&amp;VAR:KEY=DCZIDWZABK&amp;VAR:QUERY=RkZfRUJJVERBX0lCKCdMVE1TJywzODY5MSk=&amp;WINDOW=FIRST_POPUP&amp;HEIGHT=450&amp;WIDTH=450&amp;START_MA","XIMIZED=FALSE&amp;VAR:CALENDAR=US&amp;VAR:SYMBOL=05614P10&amp;VAR:INDEX=0"}</definedName>
    <definedName name="_3367__FDSAUDITLINK__" localSheetId="6" hidden="1">{"fdsup://directions/FAT Viewer?action=UPDATE&amp;creator=factset&amp;DYN_ARGS=TRUE&amp;DOC_NAME=FAT:FQL_AUDITING_CLIENT_TEMPLATE.FAT&amp;display_string=Audit&amp;VAR:KEY=XWJIPILMXQ&amp;VAR:QUERY=RkZfRUJJVERBX0lCKCdMVE1TJywzODY5MCk=&amp;WINDOW=FIRST_POPUP&amp;HEIGHT=450&amp;WIDTH=450&amp;START_MA","XIMIZED=FALSE&amp;VAR:CALENDAR=US&amp;VAR:SYMBOL=05614P10&amp;VAR:INDEX=0"}</definedName>
    <definedName name="_3367__FDSAUDITLINK__" hidden="1">{"fdsup://directions/FAT Viewer?action=UPDATE&amp;creator=factset&amp;DYN_ARGS=TRUE&amp;DOC_NAME=FAT:FQL_AUDITING_CLIENT_TEMPLATE.FAT&amp;display_string=Audit&amp;VAR:KEY=XWJIPILMXQ&amp;VAR:QUERY=RkZfRUJJVERBX0lCKCdMVE1TJywzODY5MCk=&amp;WINDOW=FIRST_POPUP&amp;HEIGHT=450&amp;WIDTH=450&amp;START_MA","XIMIZED=FALSE&amp;VAR:CALENDAR=US&amp;VAR:SYMBOL=05614P10&amp;VAR:INDEX=0"}</definedName>
    <definedName name="_3368__FDSAUDITLINK__" localSheetId="6" hidden="1">{"fdsup://directions/FAT Viewer?action=UPDATE&amp;creator=factset&amp;DYN_ARGS=TRUE&amp;DOC_NAME=FAT:FQL_AUDITING_CLIENT_TEMPLATE.FAT&amp;display_string=Audit&amp;VAR:KEY=VQRCFCBUBM&amp;VAR:QUERY=RkZfRUJJVERBX0lCKCdMVE1TJywzODY4OSk=&amp;WINDOW=FIRST_POPUP&amp;HEIGHT=450&amp;WIDTH=450&amp;START_MA","XIMIZED=FALSE&amp;VAR:CALENDAR=US&amp;VAR:SYMBOL=05614P10&amp;VAR:INDEX=0"}</definedName>
    <definedName name="_3368__FDSAUDITLINK__" hidden="1">{"fdsup://directions/FAT Viewer?action=UPDATE&amp;creator=factset&amp;DYN_ARGS=TRUE&amp;DOC_NAME=FAT:FQL_AUDITING_CLIENT_TEMPLATE.FAT&amp;display_string=Audit&amp;VAR:KEY=VQRCFCBUBM&amp;VAR:QUERY=RkZfRUJJVERBX0lCKCdMVE1TJywzODY4OSk=&amp;WINDOW=FIRST_POPUP&amp;HEIGHT=450&amp;WIDTH=450&amp;START_MA","XIMIZED=FALSE&amp;VAR:CALENDAR=US&amp;VAR:SYMBOL=05614P10&amp;VAR:INDEX=0"}</definedName>
    <definedName name="_3369__FDSAUDITLINK__" localSheetId="6" hidden="1">{"fdsup://directions/FAT Viewer?action=UPDATE&amp;creator=factset&amp;DYN_ARGS=TRUE&amp;DOC_NAME=FAT:FQL_AUDITING_CLIENT_TEMPLATE.FAT&amp;display_string=Audit&amp;VAR:KEY=XEFANIJITQ&amp;VAR:QUERY=RkZfRUJJVERBX0lCKCdMVE1TJywzODY4OCk=&amp;WINDOW=FIRST_POPUP&amp;HEIGHT=450&amp;WIDTH=450&amp;START_MA","XIMIZED=FALSE&amp;VAR:CALENDAR=US&amp;VAR:SYMBOL=05614P10&amp;VAR:INDEX=0"}</definedName>
    <definedName name="_3369__FDSAUDITLINK__" hidden="1">{"fdsup://directions/FAT Viewer?action=UPDATE&amp;creator=factset&amp;DYN_ARGS=TRUE&amp;DOC_NAME=FAT:FQL_AUDITING_CLIENT_TEMPLATE.FAT&amp;display_string=Audit&amp;VAR:KEY=XEFANIJITQ&amp;VAR:QUERY=RkZfRUJJVERBX0lCKCdMVE1TJywzODY4OCk=&amp;WINDOW=FIRST_POPUP&amp;HEIGHT=450&amp;WIDTH=450&amp;START_MA","XIMIZED=FALSE&amp;VAR:CALENDAR=US&amp;VAR:SYMBOL=05614P10&amp;VAR:INDEX=0"}</definedName>
    <definedName name="_337__FDSAUDITLINK__" localSheetId="6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7__FDSAUDITLINK__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70__FDSAUDITLINK__" localSheetId="6" hidden="1">{"fdsup://directions/FAT Viewer?action=UPDATE&amp;creator=factset&amp;DYN_ARGS=TRUE&amp;DOC_NAME=FAT:FQL_AUDITING_CLIENT_TEMPLATE.FAT&amp;display_string=Audit&amp;VAR:KEY=XMBCRARKXK&amp;VAR:QUERY=RkZfRUJJVERBX0lCKCdMVE1TJywzODY4Nyk=&amp;WINDOW=FIRST_POPUP&amp;HEIGHT=450&amp;WIDTH=450&amp;START_MA","XIMIZED=FALSE&amp;VAR:CALENDAR=US&amp;VAR:SYMBOL=05614P10&amp;VAR:INDEX=0"}</definedName>
    <definedName name="_3370__FDSAUDITLINK__" hidden="1">{"fdsup://directions/FAT Viewer?action=UPDATE&amp;creator=factset&amp;DYN_ARGS=TRUE&amp;DOC_NAME=FAT:FQL_AUDITING_CLIENT_TEMPLATE.FAT&amp;display_string=Audit&amp;VAR:KEY=XMBCRARKXK&amp;VAR:QUERY=RkZfRUJJVERBX0lCKCdMVE1TJywzODY4Nyk=&amp;WINDOW=FIRST_POPUP&amp;HEIGHT=450&amp;WIDTH=450&amp;START_MA","XIMIZED=FALSE&amp;VAR:CALENDAR=US&amp;VAR:SYMBOL=05614P10&amp;VAR:INDEX=0"}</definedName>
    <definedName name="_3371__FDSAUDITLINK__" localSheetId="6" hidden="1">{"fdsup://directions/FAT Viewer?action=UPDATE&amp;creator=factset&amp;DYN_ARGS=TRUE&amp;DOC_NAME=FAT:FQL_AUDITING_CLIENT_TEMPLATE.FAT&amp;display_string=Audit&amp;VAR:KEY=NUXWZYDGTU&amp;VAR:QUERY=RkZfRUJJVERBX0lCKCdMVE1TJywzODY4Nik=&amp;WINDOW=FIRST_POPUP&amp;HEIGHT=450&amp;WIDTH=450&amp;START_MA","XIMIZED=FALSE&amp;VAR:CALENDAR=US&amp;VAR:SYMBOL=05614P10&amp;VAR:INDEX=0"}</definedName>
    <definedName name="_3371__FDSAUDITLINK__" hidden="1">{"fdsup://directions/FAT Viewer?action=UPDATE&amp;creator=factset&amp;DYN_ARGS=TRUE&amp;DOC_NAME=FAT:FQL_AUDITING_CLIENT_TEMPLATE.FAT&amp;display_string=Audit&amp;VAR:KEY=NUXWZYDGTU&amp;VAR:QUERY=RkZfRUJJVERBX0lCKCdMVE1TJywzODY4Nik=&amp;WINDOW=FIRST_POPUP&amp;HEIGHT=450&amp;WIDTH=450&amp;START_MA","XIMIZED=FALSE&amp;VAR:CALENDAR=US&amp;VAR:SYMBOL=05614P10&amp;VAR:INDEX=0"}</definedName>
    <definedName name="_3372__FDSAUDITLINK__" localSheetId="6" hidden="1">{"fdsup://directions/FAT Viewer?action=UPDATE&amp;creator=factset&amp;DYN_ARGS=TRUE&amp;DOC_NAME=FAT:FQL_AUDITING_CLIENT_TEMPLATE.FAT&amp;display_string=Audit&amp;VAR:KEY=BCJQTCJQXK&amp;VAR:QUERY=RkZfRUJJVERBX0lCKCdMVE1TJywzODY4NSk=&amp;WINDOW=FIRST_POPUP&amp;HEIGHT=450&amp;WIDTH=450&amp;START_MA","XIMIZED=FALSE&amp;VAR:CALENDAR=US&amp;VAR:SYMBOL=05614P10&amp;VAR:INDEX=0"}</definedName>
    <definedName name="_3372__FDSAUDITLINK__" hidden="1">{"fdsup://directions/FAT Viewer?action=UPDATE&amp;creator=factset&amp;DYN_ARGS=TRUE&amp;DOC_NAME=FAT:FQL_AUDITING_CLIENT_TEMPLATE.FAT&amp;display_string=Audit&amp;VAR:KEY=BCJQTCJQXK&amp;VAR:QUERY=RkZfRUJJVERBX0lCKCdMVE1TJywzODY4NSk=&amp;WINDOW=FIRST_POPUP&amp;HEIGHT=450&amp;WIDTH=450&amp;START_MA","XIMIZED=FALSE&amp;VAR:CALENDAR=US&amp;VAR:SYMBOL=05614P10&amp;VAR:INDEX=0"}</definedName>
    <definedName name="_3373__FDSAUDITLINK__" localSheetId="6" hidden="1">{"fdsup://directions/FAT Viewer?action=UPDATE&amp;creator=factset&amp;DYN_ARGS=TRUE&amp;DOC_NAME=FAT:FQL_AUDITING_CLIENT_TEMPLATE.FAT&amp;display_string=Audit&amp;VAR:KEY=ZMRGZYNULC&amp;VAR:QUERY=RkZfRUJJVERBX0lCKCdMVE1TJywzODY4NCk=&amp;WINDOW=FIRST_POPUP&amp;HEIGHT=450&amp;WIDTH=450&amp;START_MA","XIMIZED=FALSE&amp;VAR:CALENDAR=US&amp;VAR:SYMBOL=05614P10&amp;VAR:INDEX=0"}</definedName>
    <definedName name="_3373__FDSAUDITLINK__" hidden="1">{"fdsup://directions/FAT Viewer?action=UPDATE&amp;creator=factset&amp;DYN_ARGS=TRUE&amp;DOC_NAME=FAT:FQL_AUDITING_CLIENT_TEMPLATE.FAT&amp;display_string=Audit&amp;VAR:KEY=ZMRGZYNULC&amp;VAR:QUERY=RkZfRUJJVERBX0lCKCdMVE1TJywzODY4NCk=&amp;WINDOW=FIRST_POPUP&amp;HEIGHT=450&amp;WIDTH=450&amp;START_MA","XIMIZED=FALSE&amp;VAR:CALENDAR=US&amp;VAR:SYMBOL=05614P10&amp;VAR:INDEX=0"}</definedName>
    <definedName name="_3374__FDSAUDITLINK__" localSheetId="6" hidden="1">{"fdsup://directions/FAT Viewer?action=UPDATE&amp;creator=factset&amp;DYN_ARGS=TRUE&amp;DOC_NAME=FAT:FQL_AUDITING_CLIENT_TEMPLATE.FAT&amp;display_string=Audit&amp;VAR:KEY=BQJSTULWRW&amp;VAR:QUERY=RkZfRUJJVERBX0lCKCdMVE1TJywzODY4Myk=&amp;WINDOW=FIRST_POPUP&amp;HEIGHT=450&amp;WIDTH=450&amp;START_MA","XIMIZED=FALSE&amp;VAR:CALENDAR=US&amp;VAR:SYMBOL=05614P10&amp;VAR:INDEX=0"}</definedName>
    <definedName name="_3374__FDSAUDITLINK__" hidden="1">{"fdsup://directions/FAT Viewer?action=UPDATE&amp;creator=factset&amp;DYN_ARGS=TRUE&amp;DOC_NAME=FAT:FQL_AUDITING_CLIENT_TEMPLATE.FAT&amp;display_string=Audit&amp;VAR:KEY=BQJSTULWRW&amp;VAR:QUERY=RkZfRUJJVERBX0lCKCdMVE1TJywzODY4Myk=&amp;WINDOW=FIRST_POPUP&amp;HEIGHT=450&amp;WIDTH=450&amp;START_MA","XIMIZED=FALSE&amp;VAR:CALENDAR=US&amp;VAR:SYMBOL=05614P10&amp;VAR:INDEX=0"}</definedName>
    <definedName name="_3375__FDSAUDITLINK__" localSheetId="6" hidden="1">{"fdsup://directions/FAT Viewer?action=UPDATE&amp;creator=factset&amp;DYN_ARGS=TRUE&amp;DOC_NAME=FAT:FQL_AUDITING_CLIENT_TEMPLATE.FAT&amp;display_string=Audit&amp;VAR:KEY=NKDMJYZANM&amp;VAR:QUERY=RkZfRUJJVERBX0lCKCdMVE1TJywzODY4Mik=&amp;WINDOW=FIRST_POPUP&amp;HEIGHT=450&amp;WIDTH=450&amp;START_MA","XIMIZED=FALSE&amp;VAR:CALENDAR=US&amp;VAR:SYMBOL=05614P10&amp;VAR:INDEX=0"}</definedName>
    <definedName name="_3375__FDSAUDITLINK__" hidden="1">{"fdsup://directions/FAT Viewer?action=UPDATE&amp;creator=factset&amp;DYN_ARGS=TRUE&amp;DOC_NAME=FAT:FQL_AUDITING_CLIENT_TEMPLATE.FAT&amp;display_string=Audit&amp;VAR:KEY=NKDMJYZANM&amp;VAR:QUERY=RkZfRUJJVERBX0lCKCdMVE1TJywzODY4Mik=&amp;WINDOW=FIRST_POPUP&amp;HEIGHT=450&amp;WIDTH=450&amp;START_MA","XIMIZED=FALSE&amp;VAR:CALENDAR=US&amp;VAR:SYMBOL=05614P10&amp;VAR:INDEX=0"}</definedName>
    <definedName name="_3376__FDSAUDITLINK__" localSheetId="6" hidden="1">{"fdsup://directions/FAT Viewer?action=UPDATE&amp;creator=factset&amp;DYN_ARGS=TRUE&amp;DOC_NAME=FAT:FQL_AUDITING_CLIENT_TEMPLATE.FAT&amp;display_string=Audit&amp;VAR:KEY=ZYPGFUXSZM&amp;VAR:QUERY=RkZfRUJJVERBX0lCKCdMVE1TJywzODY4MSk=&amp;WINDOW=FIRST_POPUP&amp;HEIGHT=450&amp;WIDTH=450&amp;START_MA","XIMIZED=FALSE&amp;VAR:CALENDAR=US&amp;VAR:SYMBOL=05614P10&amp;VAR:INDEX=0"}</definedName>
    <definedName name="_3376__FDSAUDITLINK__" hidden="1">{"fdsup://directions/FAT Viewer?action=UPDATE&amp;creator=factset&amp;DYN_ARGS=TRUE&amp;DOC_NAME=FAT:FQL_AUDITING_CLIENT_TEMPLATE.FAT&amp;display_string=Audit&amp;VAR:KEY=ZYPGFUXSZM&amp;VAR:QUERY=RkZfRUJJVERBX0lCKCdMVE1TJywzODY4MSk=&amp;WINDOW=FIRST_POPUP&amp;HEIGHT=450&amp;WIDTH=450&amp;START_MA","XIMIZED=FALSE&amp;VAR:CALENDAR=US&amp;VAR:SYMBOL=05614P10&amp;VAR:INDEX=0"}</definedName>
    <definedName name="_3377__FDSAUDITLINK__" localSheetId="6" hidden="1">{"fdsup://directions/FAT Viewer?action=UPDATE&amp;creator=factset&amp;DYN_ARGS=TRUE&amp;DOC_NAME=FAT:FQL_AUDITING_CLIENT_TEMPLATE.FAT&amp;display_string=Audit&amp;VAR:KEY=XOJKXINIBI&amp;VAR:QUERY=RkZfRUJJVERBX0lCKCdMVE1TJywzODY4MCk=&amp;WINDOW=FIRST_POPUP&amp;HEIGHT=450&amp;WIDTH=450&amp;START_MA","XIMIZED=FALSE&amp;VAR:CALENDAR=US&amp;VAR:SYMBOL=05614P10&amp;VAR:INDEX=0"}</definedName>
    <definedName name="_3377__FDSAUDITLINK__" hidden="1">{"fdsup://directions/FAT Viewer?action=UPDATE&amp;creator=factset&amp;DYN_ARGS=TRUE&amp;DOC_NAME=FAT:FQL_AUDITING_CLIENT_TEMPLATE.FAT&amp;display_string=Audit&amp;VAR:KEY=XOJKXINIBI&amp;VAR:QUERY=RkZfRUJJVERBX0lCKCdMVE1TJywzODY4MCk=&amp;WINDOW=FIRST_POPUP&amp;HEIGHT=450&amp;WIDTH=450&amp;START_MA","XIMIZED=FALSE&amp;VAR:CALENDAR=US&amp;VAR:SYMBOL=05614P10&amp;VAR:INDEX=0"}</definedName>
    <definedName name="_3378__FDSAUDITLINK__" localSheetId="6" hidden="1">{"fdsup://directions/FAT Viewer?action=UPDATE&amp;creator=factset&amp;DYN_ARGS=TRUE&amp;DOC_NAME=FAT:FQL_AUDITING_CLIENT_TEMPLATE.FAT&amp;display_string=Audit&amp;VAR:KEY=TONEXKXSLG&amp;VAR:QUERY=RkZfRUJJVERBX0lCKCdMVE1TJywzODY3OSk=&amp;WINDOW=FIRST_POPUP&amp;HEIGHT=450&amp;WIDTH=450&amp;START_MA","XIMIZED=FALSE&amp;VAR:CALENDAR=US&amp;VAR:SYMBOL=05614P10&amp;VAR:INDEX=0"}</definedName>
    <definedName name="_3378__FDSAUDITLINK__" hidden="1">{"fdsup://directions/FAT Viewer?action=UPDATE&amp;creator=factset&amp;DYN_ARGS=TRUE&amp;DOC_NAME=FAT:FQL_AUDITING_CLIENT_TEMPLATE.FAT&amp;display_string=Audit&amp;VAR:KEY=TONEXKXSLG&amp;VAR:QUERY=RkZfRUJJVERBX0lCKCdMVE1TJywzODY3OSk=&amp;WINDOW=FIRST_POPUP&amp;HEIGHT=450&amp;WIDTH=450&amp;START_MA","XIMIZED=FALSE&amp;VAR:CALENDAR=US&amp;VAR:SYMBOL=05614P10&amp;VAR:INDEX=0"}</definedName>
    <definedName name="_3379__FDSAUDITLINK__" localSheetId="6" hidden="1">{"fdsup://directions/FAT Viewer?action=UPDATE&amp;creator=factset&amp;DYN_ARGS=TRUE&amp;DOC_NAME=FAT:FQL_AUDITING_CLIENT_TEMPLATE.FAT&amp;display_string=Audit&amp;VAR:KEY=ZERSJIDWVY&amp;VAR:QUERY=RkZfRUJJVERBX0lCKCdMVE1TJywzODY3OCk=&amp;WINDOW=FIRST_POPUP&amp;HEIGHT=450&amp;WIDTH=450&amp;START_MA","XIMIZED=FALSE&amp;VAR:CALENDAR=US&amp;VAR:SYMBOL=05614P10&amp;VAR:INDEX=0"}</definedName>
    <definedName name="_3379__FDSAUDITLINK__" hidden="1">{"fdsup://directions/FAT Viewer?action=UPDATE&amp;creator=factset&amp;DYN_ARGS=TRUE&amp;DOC_NAME=FAT:FQL_AUDITING_CLIENT_TEMPLATE.FAT&amp;display_string=Audit&amp;VAR:KEY=ZERSJIDWVY&amp;VAR:QUERY=RkZfRUJJVERBX0lCKCdMVE1TJywzODY3OCk=&amp;WINDOW=FIRST_POPUP&amp;HEIGHT=450&amp;WIDTH=450&amp;START_MA","XIMIZED=FALSE&amp;VAR:CALENDAR=US&amp;VAR:SYMBOL=05614P10&amp;VAR:INDEX=0"}</definedName>
    <definedName name="_338__FDSAUDITLINK__" localSheetId="6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8__FDSAUDITLINK__" hidden="1">{"fdsup://directions/FAT%20Viewer?VAR:PED=LTM&amp;VAR:AUDIT_MODE=SUMMARY&amp;VAR:PERIOD=FIXED&amp;VAR:AUDIT_ID=00000117&amp;VAR:DATE=20090320&amp;action=UPDATE&amp;creator=factset&amp;DOC_NAME=FAT:FMA_audit_SUMMARY.fat&amp;DISPLAY_STRING=Display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80__FDSAUDITLINK__" localSheetId="6" hidden="1">{"fdsup://directions/FAT Viewer?action=UPDATE&amp;creator=factset&amp;DYN_ARGS=TRUE&amp;DOC_NAME=FAT:FQL_AUDITING_CLIENT_TEMPLATE.FAT&amp;display_string=Audit&amp;VAR:KEY=VGNURGNAJI&amp;VAR:QUERY=RkZfRUJJVERBX0lCKCdMVE1TJywzODY3Nyk=&amp;WINDOW=FIRST_POPUP&amp;HEIGHT=450&amp;WIDTH=450&amp;START_MA","XIMIZED=FALSE&amp;VAR:CALENDAR=US&amp;VAR:SYMBOL=05614P10&amp;VAR:INDEX=0"}</definedName>
    <definedName name="_3380__FDSAUDITLINK__" hidden="1">{"fdsup://directions/FAT Viewer?action=UPDATE&amp;creator=factset&amp;DYN_ARGS=TRUE&amp;DOC_NAME=FAT:FQL_AUDITING_CLIENT_TEMPLATE.FAT&amp;display_string=Audit&amp;VAR:KEY=VGNURGNAJI&amp;VAR:QUERY=RkZfRUJJVERBX0lCKCdMVE1TJywzODY3Nyk=&amp;WINDOW=FIRST_POPUP&amp;HEIGHT=450&amp;WIDTH=450&amp;START_MA","XIMIZED=FALSE&amp;VAR:CALENDAR=US&amp;VAR:SYMBOL=05614P10&amp;VAR:INDEX=0"}</definedName>
    <definedName name="_3381__FDSAUDITLINK__" localSheetId="6" hidden="1">{"fdsup://directions/FAT Viewer?action=UPDATE&amp;creator=factset&amp;DYN_ARGS=TRUE&amp;DOC_NAME=FAT:FQL_AUDITING_CLIENT_TEMPLATE.FAT&amp;display_string=Audit&amp;VAR:KEY=ZSPWBIVUJA&amp;VAR:QUERY=RkZfRUJJVERBX0lCKCdMVE1TJywzODY3Nik=&amp;WINDOW=FIRST_POPUP&amp;HEIGHT=450&amp;WIDTH=450&amp;START_MA","XIMIZED=FALSE&amp;VAR:CALENDAR=US&amp;VAR:SYMBOL=05614P10&amp;VAR:INDEX=0"}</definedName>
    <definedName name="_3381__FDSAUDITLINK__" hidden="1">{"fdsup://directions/FAT Viewer?action=UPDATE&amp;creator=factset&amp;DYN_ARGS=TRUE&amp;DOC_NAME=FAT:FQL_AUDITING_CLIENT_TEMPLATE.FAT&amp;display_string=Audit&amp;VAR:KEY=ZSPWBIVUJA&amp;VAR:QUERY=RkZfRUJJVERBX0lCKCdMVE1TJywzODY3Nik=&amp;WINDOW=FIRST_POPUP&amp;HEIGHT=450&amp;WIDTH=450&amp;START_MA","XIMIZED=FALSE&amp;VAR:CALENDAR=US&amp;VAR:SYMBOL=05614P10&amp;VAR:INDEX=0"}</definedName>
    <definedName name="_3382__FDSAUDITLINK__" localSheetId="6" hidden="1">{"fdsup://directions/FAT Viewer?action=UPDATE&amp;creator=factset&amp;DYN_ARGS=TRUE&amp;DOC_NAME=FAT:FQL_AUDITING_CLIENT_TEMPLATE.FAT&amp;display_string=Audit&amp;VAR:KEY=RQXSLAZWPC&amp;VAR:QUERY=RkZfRUJJVERBX0lCKCdMVE1TJywzODY3NSk=&amp;WINDOW=FIRST_POPUP&amp;HEIGHT=450&amp;WIDTH=450&amp;START_MA","XIMIZED=FALSE&amp;VAR:CALENDAR=US&amp;VAR:SYMBOL=05614P10&amp;VAR:INDEX=0"}</definedName>
    <definedName name="_3382__FDSAUDITLINK__" hidden="1">{"fdsup://directions/FAT Viewer?action=UPDATE&amp;creator=factset&amp;DYN_ARGS=TRUE&amp;DOC_NAME=FAT:FQL_AUDITING_CLIENT_TEMPLATE.FAT&amp;display_string=Audit&amp;VAR:KEY=RQXSLAZWPC&amp;VAR:QUERY=RkZfRUJJVERBX0lCKCdMVE1TJywzODY3NSk=&amp;WINDOW=FIRST_POPUP&amp;HEIGHT=450&amp;WIDTH=450&amp;START_MA","XIMIZED=FALSE&amp;VAR:CALENDAR=US&amp;VAR:SYMBOL=05614P10&amp;VAR:INDEX=0"}</definedName>
    <definedName name="_3383__FDSAUDITLINK__" localSheetId="6" hidden="1">{"fdsup://directions/FAT Viewer?action=UPDATE&amp;creator=factset&amp;DYN_ARGS=TRUE&amp;DOC_NAME=FAT:FQL_AUDITING_CLIENT_TEMPLATE.FAT&amp;display_string=Audit&amp;VAR:KEY=REPKLYNMRI&amp;VAR:QUERY=RkZfRUJJVERBX0lCKCdMVE1TJywzODY3NCk=&amp;WINDOW=FIRST_POPUP&amp;HEIGHT=450&amp;WIDTH=450&amp;START_MA","XIMIZED=FALSE&amp;VAR:CALENDAR=US&amp;VAR:SYMBOL=05614P10&amp;VAR:INDEX=0"}</definedName>
    <definedName name="_3383__FDSAUDITLINK__" hidden="1">{"fdsup://directions/FAT Viewer?action=UPDATE&amp;creator=factset&amp;DYN_ARGS=TRUE&amp;DOC_NAME=FAT:FQL_AUDITING_CLIENT_TEMPLATE.FAT&amp;display_string=Audit&amp;VAR:KEY=REPKLYNMRI&amp;VAR:QUERY=RkZfRUJJVERBX0lCKCdMVE1TJywzODY3NCk=&amp;WINDOW=FIRST_POPUP&amp;HEIGHT=450&amp;WIDTH=450&amp;START_MA","XIMIZED=FALSE&amp;VAR:CALENDAR=US&amp;VAR:SYMBOL=05614P10&amp;VAR:INDEX=0"}</definedName>
    <definedName name="_3384__FDSAUDITLINK__" localSheetId="6" hidden="1">{"fdsup://directions/FAT Viewer?action=UPDATE&amp;creator=factset&amp;DYN_ARGS=TRUE&amp;DOC_NAME=FAT:FQL_AUDITING_CLIENT_TEMPLATE.FAT&amp;display_string=Audit&amp;VAR:KEY=PCXYFCRAVC&amp;VAR:QUERY=RkZfRUJJVERBX0lCKCdMVE1TJywzODY3Myk=&amp;WINDOW=FIRST_POPUP&amp;HEIGHT=450&amp;WIDTH=450&amp;START_MA","XIMIZED=FALSE&amp;VAR:CALENDAR=US&amp;VAR:SYMBOL=05614P10&amp;VAR:INDEX=0"}</definedName>
    <definedName name="_3384__FDSAUDITLINK__" hidden="1">{"fdsup://directions/FAT Viewer?action=UPDATE&amp;creator=factset&amp;DYN_ARGS=TRUE&amp;DOC_NAME=FAT:FQL_AUDITING_CLIENT_TEMPLATE.FAT&amp;display_string=Audit&amp;VAR:KEY=PCXYFCRAVC&amp;VAR:QUERY=RkZfRUJJVERBX0lCKCdMVE1TJywzODY3Myk=&amp;WINDOW=FIRST_POPUP&amp;HEIGHT=450&amp;WIDTH=450&amp;START_MA","XIMIZED=FALSE&amp;VAR:CALENDAR=US&amp;VAR:SYMBOL=05614P10&amp;VAR:INDEX=0"}</definedName>
    <definedName name="_3385__FDSAUDITLINK__" localSheetId="6" hidden="1">{"fdsup://directions/FAT Viewer?action=UPDATE&amp;creator=factset&amp;DYN_ARGS=TRUE&amp;DOC_NAME=FAT:FQL_AUDITING_CLIENT_TEMPLATE.FAT&amp;display_string=Audit&amp;VAR:KEY=DMRSXUZEJS&amp;VAR:QUERY=RkZfRUJJVERBX0lCKCdMVE1TJywzODY3Mik=&amp;WINDOW=FIRST_POPUP&amp;HEIGHT=450&amp;WIDTH=450&amp;START_MA","XIMIZED=FALSE&amp;VAR:CALENDAR=US&amp;VAR:SYMBOL=05614P10&amp;VAR:INDEX=0"}</definedName>
    <definedName name="_3385__FDSAUDITLINK__" hidden="1">{"fdsup://directions/FAT Viewer?action=UPDATE&amp;creator=factset&amp;DYN_ARGS=TRUE&amp;DOC_NAME=FAT:FQL_AUDITING_CLIENT_TEMPLATE.FAT&amp;display_string=Audit&amp;VAR:KEY=DMRSXUZEJS&amp;VAR:QUERY=RkZfRUJJVERBX0lCKCdMVE1TJywzODY3Mik=&amp;WINDOW=FIRST_POPUP&amp;HEIGHT=450&amp;WIDTH=450&amp;START_MA","XIMIZED=FALSE&amp;VAR:CALENDAR=US&amp;VAR:SYMBOL=05614P10&amp;VAR:INDEX=0"}</definedName>
    <definedName name="_3386__FDSAUDITLINK__" localSheetId="6" hidden="1">{"fdsup://directions/FAT Viewer?action=UPDATE&amp;creator=factset&amp;DYN_ARGS=TRUE&amp;DOC_NAME=FAT:FQL_AUDITING_CLIENT_TEMPLATE.FAT&amp;display_string=Audit&amp;VAR:KEY=JMPQREVQDM&amp;VAR:QUERY=RkZfRUJJVERBX0lCKCdMVE1TJywzODY3MSk=&amp;WINDOW=FIRST_POPUP&amp;HEIGHT=450&amp;WIDTH=450&amp;START_MA","XIMIZED=FALSE&amp;VAR:CALENDAR=US&amp;VAR:SYMBOL=05614P10&amp;VAR:INDEX=0"}</definedName>
    <definedName name="_3386__FDSAUDITLINK__" hidden="1">{"fdsup://directions/FAT Viewer?action=UPDATE&amp;creator=factset&amp;DYN_ARGS=TRUE&amp;DOC_NAME=FAT:FQL_AUDITING_CLIENT_TEMPLATE.FAT&amp;display_string=Audit&amp;VAR:KEY=JMPQREVQDM&amp;VAR:QUERY=RkZfRUJJVERBX0lCKCdMVE1TJywzODY3MSk=&amp;WINDOW=FIRST_POPUP&amp;HEIGHT=450&amp;WIDTH=450&amp;START_MA","XIMIZED=FALSE&amp;VAR:CALENDAR=US&amp;VAR:SYMBOL=05614P10&amp;VAR:INDEX=0"}</definedName>
    <definedName name="_3387__FDSAUDITLINK__" localSheetId="6" hidden="1">{"fdsup://directions/FAT Viewer?action=UPDATE&amp;creator=factset&amp;DYN_ARGS=TRUE&amp;DOC_NAME=FAT:FQL_AUDITING_CLIENT_TEMPLATE.FAT&amp;display_string=Audit&amp;VAR:KEY=BQPATURAZI&amp;VAR:QUERY=RkZfRUJJVERBX0lCKCdMVE1TJywzODY3MCk=&amp;WINDOW=FIRST_POPUP&amp;HEIGHT=450&amp;WIDTH=450&amp;START_MA","XIMIZED=FALSE&amp;VAR:CALENDAR=US&amp;VAR:SYMBOL=05614P10&amp;VAR:INDEX=0"}</definedName>
    <definedName name="_3387__FDSAUDITLINK__" hidden="1">{"fdsup://directions/FAT Viewer?action=UPDATE&amp;creator=factset&amp;DYN_ARGS=TRUE&amp;DOC_NAME=FAT:FQL_AUDITING_CLIENT_TEMPLATE.FAT&amp;display_string=Audit&amp;VAR:KEY=BQPATURAZI&amp;VAR:QUERY=RkZfRUJJVERBX0lCKCdMVE1TJywzODY3MCk=&amp;WINDOW=FIRST_POPUP&amp;HEIGHT=450&amp;WIDTH=450&amp;START_MA","XIMIZED=FALSE&amp;VAR:CALENDAR=US&amp;VAR:SYMBOL=05614P10&amp;VAR:INDEX=0"}</definedName>
    <definedName name="_3388__FDSAUDITLINK__" localSheetId="6" hidden="1">{"fdsup://directions/FAT Viewer?action=UPDATE&amp;creator=factset&amp;DYN_ARGS=TRUE&amp;DOC_NAME=FAT:FQL_AUDITING_CLIENT_TEMPLATE.FAT&amp;display_string=Audit&amp;VAR:KEY=HMPKRQBUZG&amp;VAR:QUERY=RkZfRUJJVERBX0lCKCdMVE1TJywzODY2OSk=&amp;WINDOW=FIRST_POPUP&amp;HEIGHT=450&amp;WIDTH=450&amp;START_MA","XIMIZED=FALSE&amp;VAR:CALENDAR=US&amp;VAR:SYMBOL=05614P10&amp;VAR:INDEX=0"}</definedName>
    <definedName name="_3388__FDSAUDITLINK__" hidden="1">{"fdsup://directions/FAT Viewer?action=UPDATE&amp;creator=factset&amp;DYN_ARGS=TRUE&amp;DOC_NAME=FAT:FQL_AUDITING_CLIENT_TEMPLATE.FAT&amp;display_string=Audit&amp;VAR:KEY=HMPKRQBUZG&amp;VAR:QUERY=RkZfRUJJVERBX0lCKCdMVE1TJywzODY2OSk=&amp;WINDOW=FIRST_POPUP&amp;HEIGHT=450&amp;WIDTH=450&amp;START_MA","XIMIZED=FALSE&amp;VAR:CALENDAR=US&amp;VAR:SYMBOL=05614P10&amp;VAR:INDEX=0"}</definedName>
    <definedName name="_3389__FDSAUDITLINK__" localSheetId="6" hidden="1">{"fdsup://directions/FAT Viewer?action=UPDATE&amp;creator=factset&amp;DYN_ARGS=TRUE&amp;DOC_NAME=FAT:FQL_AUDITING_CLIENT_TEMPLATE.FAT&amp;display_string=Audit&amp;VAR:KEY=LGDUTYBSDW&amp;VAR:QUERY=RkZfRUJJVERBX0lCKCdMVE1TJywzODY2OCk=&amp;WINDOW=FIRST_POPUP&amp;HEIGHT=450&amp;WIDTH=450&amp;START_MA","XIMIZED=FALSE&amp;VAR:CALENDAR=US&amp;VAR:SYMBOL=05614P10&amp;VAR:INDEX=0"}</definedName>
    <definedName name="_3389__FDSAUDITLINK__" hidden="1">{"fdsup://directions/FAT Viewer?action=UPDATE&amp;creator=factset&amp;DYN_ARGS=TRUE&amp;DOC_NAME=FAT:FQL_AUDITING_CLIENT_TEMPLATE.FAT&amp;display_string=Audit&amp;VAR:KEY=LGDUTYBSDW&amp;VAR:QUERY=RkZfRUJJVERBX0lCKCdMVE1TJywzODY2OCk=&amp;WINDOW=FIRST_POPUP&amp;HEIGHT=450&amp;WIDTH=450&amp;START_MA","XIMIZED=FALSE&amp;VAR:CALENDAR=US&amp;VAR:SYMBOL=05614P10&amp;VAR:INDEX=0"}</definedName>
    <definedName name="_339__FDSAUDITLINK__" localSheetId="6" hidden="1">{"fdsup://directions/FAT%20Viewer?VAR:PED=LTM&amp;VAR:AUDIT_MODE=SUMMARY&amp;VAR:PERIOD=FIXED&amp;VAR:AUDIT_ID=00000117&amp;VAR:DATE=20090319&amp;action=UPDATE&amp;creator=factset&amp;DOC_NAME=FAT:FMA_audit_SUMMARY.fat&amp;DISPLAY_STRING=Display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9__FDSAUDITLINK__" hidden="1">{"fdsup://directions/FAT%20Viewer?VAR:PED=LTM&amp;VAR:AUDIT_MODE=SUMMARY&amp;VAR:PERIOD=FIXED&amp;VAR:AUDIT_ID=00000117&amp;VAR:DATE=20090319&amp;action=UPDATE&amp;creator=factset&amp;DOC_NAME=FAT:FMA_audit_SUMMARY.fat&amp;DISPLAY_STRING=Display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390__FDSAUDITLINK__" localSheetId="6" hidden="1">{"fdsup://directions/FAT Viewer?action=UPDATE&amp;creator=factset&amp;DYN_ARGS=TRUE&amp;DOC_NAME=FAT:FQL_AUDITING_CLIENT_TEMPLATE.FAT&amp;display_string=Audit&amp;VAR:KEY=LGFIJGTMNK&amp;VAR:QUERY=RkZfRUJJVERBX0lCKCdMVE1TJywzODY2Nyk=&amp;WINDOW=FIRST_POPUP&amp;HEIGHT=450&amp;WIDTH=450&amp;START_MA","XIMIZED=FALSE&amp;VAR:CALENDAR=US&amp;VAR:SYMBOL=05614P10&amp;VAR:INDEX=0"}</definedName>
    <definedName name="_3390__FDSAUDITLINK__" hidden="1">{"fdsup://directions/FAT Viewer?action=UPDATE&amp;creator=factset&amp;DYN_ARGS=TRUE&amp;DOC_NAME=FAT:FQL_AUDITING_CLIENT_TEMPLATE.FAT&amp;display_string=Audit&amp;VAR:KEY=LGFIJGTMNK&amp;VAR:QUERY=RkZfRUJJVERBX0lCKCdMVE1TJywzODY2Nyk=&amp;WINDOW=FIRST_POPUP&amp;HEIGHT=450&amp;WIDTH=450&amp;START_MA","XIMIZED=FALSE&amp;VAR:CALENDAR=US&amp;VAR:SYMBOL=05614P10&amp;VAR:INDEX=0"}</definedName>
    <definedName name="_3391__FDSAUDITLINK__" localSheetId="6" hidden="1">{"fdsup://directions/FAT Viewer?action=UPDATE&amp;creator=factset&amp;DYN_ARGS=TRUE&amp;DOC_NAME=FAT:FQL_AUDITING_CLIENT_TEMPLATE.FAT&amp;display_string=Audit&amp;VAR:KEY=XIDOLMBELG&amp;VAR:QUERY=RkZfRUJJVERBX0lCKCdMVE1TJywzODY2Nik=&amp;WINDOW=FIRST_POPUP&amp;HEIGHT=450&amp;WIDTH=450&amp;START_MA","XIMIZED=FALSE&amp;VAR:CALENDAR=US&amp;VAR:SYMBOL=05614P10&amp;VAR:INDEX=0"}</definedName>
    <definedName name="_3391__FDSAUDITLINK__" hidden="1">{"fdsup://directions/FAT Viewer?action=UPDATE&amp;creator=factset&amp;DYN_ARGS=TRUE&amp;DOC_NAME=FAT:FQL_AUDITING_CLIENT_TEMPLATE.FAT&amp;display_string=Audit&amp;VAR:KEY=XIDOLMBELG&amp;VAR:QUERY=RkZfRUJJVERBX0lCKCdMVE1TJywzODY2Nik=&amp;WINDOW=FIRST_POPUP&amp;HEIGHT=450&amp;WIDTH=450&amp;START_MA","XIMIZED=FALSE&amp;VAR:CALENDAR=US&amp;VAR:SYMBOL=05614P10&amp;VAR:INDEX=0"}</definedName>
    <definedName name="_3392__FDSAUDITLINK__" localSheetId="6" hidden="1">{"fdsup://directions/FAT Viewer?action=UPDATE&amp;creator=factset&amp;DYN_ARGS=TRUE&amp;DOC_NAME=FAT:FQL_AUDITING_CLIENT_TEMPLATE.FAT&amp;display_string=Audit&amp;VAR:KEY=LGFQZUHORG&amp;VAR:QUERY=RkZfRUJJVERBX0lCKCdMVE1TJywzODY2NSk=&amp;WINDOW=FIRST_POPUP&amp;HEIGHT=450&amp;WIDTH=450&amp;START_MA","XIMIZED=FALSE&amp;VAR:CALENDAR=US&amp;VAR:SYMBOL=05614P10&amp;VAR:INDEX=0"}</definedName>
    <definedName name="_3392__FDSAUDITLINK__" hidden="1">{"fdsup://directions/FAT Viewer?action=UPDATE&amp;creator=factset&amp;DYN_ARGS=TRUE&amp;DOC_NAME=FAT:FQL_AUDITING_CLIENT_TEMPLATE.FAT&amp;display_string=Audit&amp;VAR:KEY=LGFQZUHORG&amp;VAR:QUERY=RkZfRUJJVERBX0lCKCdMVE1TJywzODY2NSk=&amp;WINDOW=FIRST_POPUP&amp;HEIGHT=450&amp;WIDTH=450&amp;START_MA","XIMIZED=FALSE&amp;VAR:CALENDAR=US&amp;VAR:SYMBOL=05614P10&amp;VAR:INDEX=0"}</definedName>
    <definedName name="_3393__FDSAUDITLINK__" localSheetId="6" hidden="1">{"fdsup://directions/FAT Viewer?action=UPDATE&amp;creator=factset&amp;DYN_ARGS=TRUE&amp;DOC_NAME=FAT:FQL_AUDITING_CLIENT_TEMPLATE.FAT&amp;display_string=Audit&amp;VAR:KEY=XILQVANQRA&amp;VAR:QUERY=RkZfRUJJVERBX0lCKCdMVE1TJywzODY2NCk=&amp;WINDOW=FIRST_POPUP&amp;HEIGHT=450&amp;WIDTH=450&amp;START_MA","XIMIZED=FALSE&amp;VAR:CALENDAR=US&amp;VAR:SYMBOL=05614P10&amp;VAR:INDEX=0"}</definedName>
    <definedName name="_3393__FDSAUDITLINK__" hidden="1">{"fdsup://directions/FAT Viewer?action=UPDATE&amp;creator=factset&amp;DYN_ARGS=TRUE&amp;DOC_NAME=FAT:FQL_AUDITING_CLIENT_TEMPLATE.FAT&amp;display_string=Audit&amp;VAR:KEY=XILQVANQRA&amp;VAR:QUERY=RkZfRUJJVERBX0lCKCdMVE1TJywzODY2NCk=&amp;WINDOW=FIRST_POPUP&amp;HEIGHT=450&amp;WIDTH=450&amp;START_MA","XIMIZED=FALSE&amp;VAR:CALENDAR=US&amp;VAR:SYMBOL=05614P10&amp;VAR:INDEX=0"}</definedName>
    <definedName name="_3394__FDSAUDITLINK__" localSheetId="6" hidden="1">{"fdsup://directions/FAT Viewer?action=UPDATE&amp;creator=factset&amp;DYN_ARGS=TRUE&amp;DOC_NAME=FAT:FQL_AUDITING_CLIENT_TEMPLATE.FAT&amp;display_string=Audit&amp;VAR:KEY=ZMNQVUDUJM&amp;VAR:QUERY=RkZfRUJJVERBX0lCKCdMVE1TJywzODY2Myk=&amp;WINDOW=FIRST_POPUP&amp;HEIGHT=450&amp;WIDTH=450&amp;START_MA","XIMIZED=FALSE&amp;VAR:CALENDAR=US&amp;VAR:SYMBOL=05614P10&amp;VAR:INDEX=0"}</definedName>
    <definedName name="_3394__FDSAUDITLINK__" hidden="1">{"fdsup://directions/FAT Viewer?action=UPDATE&amp;creator=factset&amp;DYN_ARGS=TRUE&amp;DOC_NAME=FAT:FQL_AUDITING_CLIENT_TEMPLATE.FAT&amp;display_string=Audit&amp;VAR:KEY=ZMNQVUDUJM&amp;VAR:QUERY=RkZfRUJJVERBX0lCKCdMVE1TJywzODY2Myk=&amp;WINDOW=FIRST_POPUP&amp;HEIGHT=450&amp;WIDTH=450&amp;START_MA","XIMIZED=FALSE&amp;VAR:CALENDAR=US&amp;VAR:SYMBOL=05614P10&amp;VAR:INDEX=0"}</definedName>
    <definedName name="_3395__FDSAUDITLINK__" localSheetId="6" hidden="1">{"fdsup://directions/FAT Viewer?action=UPDATE&amp;creator=factset&amp;DYN_ARGS=TRUE&amp;DOC_NAME=FAT:FQL_AUDITING_CLIENT_TEMPLATE.FAT&amp;display_string=Audit&amp;VAR:KEY=TWNKZEDMNG&amp;VAR:QUERY=RkZfRUJJVERBX0lCKCdMVE1TJywzODY2Mik=&amp;WINDOW=FIRST_POPUP&amp;HEIGHT=450&amp;WIDTH=450&amp;START_MA","XIMIZED=FALSE&amp;VAR:CALENDAR=US&amp;VAR:SYMBOL=05614P10&amp;VAR:INDEX=0"}</definedName>
    <definedName name="_3395__FDSAUDITLINK__" hidden="1">{"fdsup://directions/FAT Viewer?action=UPDATE&amp;creator=factset&amp;DYN_ARGS=TRUE&amp;DOC_NAME=FAT:FQL_AUDITING_CLIENT_TEMPLATE.FAT&amp;display_string=Audit&amp;VAR:KEY=TWNKZEDMNG&amp;VAR:QUERY=RkZfRUJJVERBX0lCKCdMVE1TJywzODY2Mik=&amp;WINDOW=FIRST_POPUP&amp;HEIGHT=450&amp;WIDTH=450&amp;START_MA","XIMIZED=FALSE&amp;VAR:CALENDAR=US&amp;VAR:SYMBOL=05614P10&amp;VAR:INDEX=0"}</definedName>
    <definedName name="_3396__FDSAUDITLINK__" localSheetId="6" hidden="1">{"fdsup://directions/FAT Viewer?action=UPDATE&amp;creator=factset&amp;DYN_ARGS=TRUE&amp;DOC_NAME=FAT:FQL_AUDITING_CLIENT_TEMPLATE.FAT&amp;display_string=Audit&amp;VAR:KEY=NWFONQPKNS&amp;VAR:QUERY=RkZfRUJJVERBX0lCKCdMVE1TJywzODY2MSk=&amp;WINDOW=FIRST_POPUP&amp;HEIGHT=450&amp;WIDTH=450&amp;START_MA","XIMIZED=FALSE&amp;VAR:CALENDAR=US&amp;VAR:SYMBOL=05614P10&amp;VAR:INDEX=0"}</definedName>
    <definedName name="_3396__FDSAUDITLINK__" hidden="1">{"fdsup://directions/FAT Viewer?action=UPDATE&amp;creator=factset&amp;DYN_ARGS=TRUE&amp;DOC_NAME=FAT:FQL_AUDITING_CLIENT_TEMPLATE.FAT&amp;display_string=Audit&amp;VAR:KEY=NWFONQPKNS&amp;VAR:QUERY=RkZfRUJJVERBX0lCKCdMVE1TJywzODY2MSk=&amp;WINDOW=FIRST_POPUP&amp;HEIGHT=450&amp;WIDTH=450&amp;START_MA","XIMIZED=FALSE&amp;VAR:CALENDAR=US&amp;VAR:SYMBOL=05614P10&amp;VAR:INDEX=0"}</definedName>
    <definedName name="_3397__FDSAUDITLINK__" localSheetId="6" hidden="1">{"fdsup://directions/FAT Viewer?action=UPDATE&amp;creator=factset&amp;DYN_ARGS=TRUE&amp;DOC_NAME=FAT:FQL_AUDITING_CLIENT_TEMPLATE.FAT&amp;display_string=Audit&amp;VAR:KEY=HGBKRUJEPA&amp;VAR:QUERY=RkZfRUJJVERBX0lCKCdMVE1TJywzODY2MCk=&amp;WINDOW=FIRST_POPUP&amp;HEIGHT=450&amp;WIDTH=450&amp;START_MA","XIMIZED=FALSE&amp;VAR:CALENDAR=US&amp;VAR:SYMBOL=05614P10&amp;VAR:INDEX=0"}</definedName>
    <definedName name="_3397__FDSAUDITLINK__" hidden="1">{"fdsup://directions/FAT Viewer?action=UPDATE&amp;creator=factset&amp;DYN_ARGS=TRUE&amp;DOC_NAME=FAT:FQL_AUDITING_CLIENT_TEMPLATE.FAT&amp;display_string=Audit&amp;VAR:KEY=HGBKRUJEPA&amp;VAR:QUERY=RkZfRUJJVERBX0lCKCdMVE1TJywzODY2MCk=&amp;WINDOW=FIRST_POPUP&amp;HEIGHT=450&amp;WIDTH=450&amp;START_MA","XIMIZED=FALSE&amp;VAR:CALENDAR=US&amp;VAR:SYMBOL=05614P10&amp;VAR:INDEX=0"}</definedName>
    <definedName name="_3398__FDSAUDITLINK__" localSheetId="6" hidden="1">{"fdsup://directions/FAT Viewer?action=UPDATE&amp;creator=factset&amp;DYN_ARGS=TRUE&amp;DOC_NAME=FAT:FQL_AUDITING_CLIENT_TEMPLATE.FAT&amp;display_string=Audit&amp;VAR:KEY=TSRKNWZOZM&amp;VAR:QUERY=RkZfRUJJVERBX0lCKCdMVE1TJywzODY1OSk=&amp;WINDOW=FIRST_POPUP&amp;HEIGHT=450&amp;WIDTH=450&amp;START_MA","XIMIZED=FALSE&amp;VAR:CALENDAR=US&amp;VAR:SYMBOL=05614P10&amp;VAR:INDEX=0"}</definedName>
    <definedName name="_3398__FDSAUDITLINK__" hidden="1">{"fdsup://directions/FAT Viewer?action=UPDATE&amp;creator=factset&amp;DYN_ARGS=TRUE&amp;DOC_NAME=FAT:FQL_AUDITING_CLIENT_TEMPLATE.FAT&amp;display_string=Audit&amp;VAR:KEY=TSRKNWZOZM&amp;VAR:QUERY=RkZfRUJJVERBX0lCKCdMVE1TJywzODY1OSk=&amp;WINDOW=FIRST_POPUP&amp;HEIGHT=450&amp;WIDTH=450&amp;START_MA","XIMIZED=FALSE&amp;VAR:CALENDAR=US&amp;VAR:SYMBOL=05614P10&amp;VAR:INDEX=0"}</definedName>
    <definedName name="_3399__FDSAUDITLINK__" localSheetId="6" hidden="1">{"fdsup://directions/FAT Viewer?action=UPDATE&amp;creator=factset&amp;DYN_ARGS=TRUE&amp;DOC_NAME=FAT:FQL_AUDITING_CLIENT_TEMPLATE.FAT&amp;display_string=Audit&amp;VAR:KEY=PMZSLSVWHI&amp;VAR:QUERY=RkZfRUJJVERBX0lCKCdMVE1TJywzODY1OCk=&amp;WINDOW=FIRST_POPUP&amp;HEIGHT=450&amp;WIDTH=450&amp;START_MA","XIMIZED=FALSE&amp;VAR:CALENDAR=US&amp;VAR:SYMBOL=05614P10&amp;VAR:INDEX=0"}</definedName>
    <definedName name="_3399__FDSAUDITLINK__" hidden="1">{"fdsup://directions/FAT Viewer?action=UPDATE&amp;creator=factset&amp;DYN_ARGS=TRUE&amp;DOC_NAME=FAT:FQL_AUDITING_CLIENT_TEMPLATE.FAT&amp;display_string=Audit&amp;VAR:KEY=PMZSLSVWHI&amp;VAR:QUERY=RkZfRUJJVERBX0lCKCdMVE1TJywzODY1OCk=&amp;WINDOW=FIRST_POPUP&amp;HEIGHT=450&amp;WIDTH=450&amp;START_MA","XIMIZED=FALSE&amp;VAR:CALENDAR=US&amp;VAR:SYMBOL=05614P10&amp;VAR:INDEX=0"}</definedName>
    <definedName name="_34__FDSAUDITLINK__" localSheetId="6" hidden="1">{"fdsup://directions/FAT Viewer?action=UPDATE&amp;creator=factset&amp;DYN_ARGS=TRUE&amp;DOC_NAME=FAT:FQL_AUDITING_CLIENT_TEMPLATE.FAT&amp;display_string=Audit&amp;VAR:KEY=WNSPQVAVMT&amp;VAR:QUERY=QVZHKENTRl9ORVRfSU5DKEFOTiwwRlksLTZGWSxZKSkgLyAoQVZHKENTRl9BU1NFVFMoQU5OLDBGWSwtNkZZL","EZZKSkgLSBBVkcoQ1NGX0lOVEFORyhBTk4sMCwtNkZZLEZZKSkp&amp;WINDOW=FIRST_POPUP&amp;HEIGHT=450&amp;WIDTH=450&amp;START_MAXIMIZED=FALSE&amp;VAR:CALENDAR=US&amp;VAR:SYMBOL=B04X7M"}</definedName>
    <definedName name="_34__FDSAUDITLINK__" hidden="1">{"fdsup://directions/FAT Viewer?action=UPDATE&amp;creator=factset&amp;DYN_ARGS=TRUE&amp;DOC_NAME=FAT:FQL_AUDITING_CLIENT_TEMPLATE.FAT&amp;display_string=Audit&amp;VAR:KEY=WNSPQVAVMT&amp;VAR:QUERY=QVZHKENTRl9ORVRfSU5DKEFOTiwwRlksLTZGWSxZKSkgLyAoQVZHKENTRl9BU1NFVFMoQU5OLDBGWSwtNkZZL","EZZKSkgLSBBVkcoQ1NGX0lOVEFORyhBTk4sMCwtNkZZLEZZKSkp&amp;WINDOW=FIRST_POPUP&amp;HEIGHT=450&amp;WIDTH=450&amp;START_MAXIMIZED=FALSE&amp;VAR:CALENDAR=US&amp;VAR:SYMBOL=B04X7M"}</definedName>
    <definedName name="_340__FDSAUDITLINK__" localSheetId="6" hidden="1">{"fdsup://directions/FAT%20Viewer?VAR:PED=LTM&amp;VAR:AUDIT_MODE=SUMMARY&amp;VAR:PERIOD=FIXED&amp;VAR:AUDIT_ID=00000117&amp;VAR:DATE=20090318&amp;action=UPDATE&amp;creator=factset&amp;DOC_NAME=FAT:FMA_audit_SUMMARY.fat&amp;DISPLAY_STRING=Display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0__FDSAUDITLINK__" hidden="1">{"fdsup://directions/FAT%20Viewer?VAR:PED=LTM&amp;VAR:AUDIT_MODE=SUMMARY&amp;VAR:PERIOD=FIXED&amp;VAR:AUDIT_ID=00000117&amp;VAR:DATE=20090318&amp;action=UPDATE&amp;creator=factset&amp;DOC_NAME=FAT:FMA_audit_SUMMARY.fat&amp;DISPLAY_STRING=Display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00__FDSAUDITLINK__" localSheetId="6" hidden="1">{"fdsup://directions/FAT Viewer?action=UPDATE&amp;creator=factset&amp;DYN_ARGS=TRUE&amp;DOC_NAME=FAT:FQL_AUDITING_CLIENT_TEMPLATE.FAT&amp;display_string=Audit&amp;VAR:KEY=POBAZMPSZM&amp;VAR:QUERY=RkZfRUJJVERBX0lCKCdMVE1TJywzODY1Nyk=&amp;WINDOW=FIRST_POPUP&amp;HEIGHT=450&amp;WIDTH=450&amp;START_MA","XIMIZED=FALSE&amp;VAR:CALENDAR=US&amp;VAR:SYMBOL=05614P10&amp;VAR:INDEX=0"}</definedName>
    <definedName name="_3400__FDSAUDITLINK__" hidden="1">{"fdsup://directions/FAT Viewer?action=UPDATE&amp;creator=factset&amp;DYN_ARGS=TRUE&amp;DOC_NAME=FAT:FQL_AUDITING_CLIENT_TEMPLATE.FAT&amp;display_string=Audit&amp;VAR:KEY=POBAZMPSZM&amp;VAR:QUERY=RkZfRUJJVERBX0lCKCdMVE1TJywzODY1Nyk=&amp;WINDOW=FIRST_POPUP&amp;HEIGHT=450&amp;WIDTH=450&amp;START_MA","XIMIZED=FALSE&amp;VAR:CALENDAR=US&amp;VAR:SYMBOL=05614P10&amp;VAR:INDEX=0"}</definedName>
    <definedName name="_3401__FDSAUDITLINK__" localSheetId="6" hidden="1">{"fdsup://directions/FAT Viewer?action=UPDATE&amp;creator=factset&amp;DYN_ARGS=TRUE&amp;DOC_NAME=FAT:FQL_AUDITING_CLIENT_TEMPLATE.FAT&amp;display_string=Audit&amp;VAR:KEY=PWTEHAPSNU&amp;VAR:QUERY=RkZfRUJJVERBX0lCKCdMVE1TJywzODY1Nik=&amp;WINDOW=FIRST_POPUP&amp;HEIGHT=450&amp;WIDTH=450&amp;START_MA","XIMIZED=FALSE&amp;VAR:CALENDAR=US&amp;VAR:SYMBOL=05614P10&amp;VAR:INDEX=0"}</definedName>
    <definedName name="_3401__FDSAUDITLINK__" hidden="1">{"fdsup://directions/FAT Viewer?action=UPDATE&amp;creator=factset&amp;DYN_ARGS=TRUE&amp;DOC_NAME=FAT:FQL_AUDITING_CLIENT_TEMPLATE.FAT&amp;display_string=Audit&amp;VAR:KEY=PWTEHAPSNU&amp;VAR:QUERY=RkZfRUJJVERBX0lCKCdMVE1TJywzODY1Nik=&amp;WINDOW=FIRST_POPUP&amp;HEIGHT=450&amp;WIDTH=450&amp;START_MA","XIMIZED=FALSE&amp;VAR:CALENDAR=US&amp;VAR:SYMBOL=05614P10&amp;VAR:INDEX=0"}</definedName>
    <definedName name="_3402__FDSAUDITLINK__" localSheetId="6" hidden="1">{"fdsup://directions/FAT Viewer?action=UPDATE&amp;creator=factset&amp;DYN_ARGS=TRUE&amp;DOC_NAME=FAT:FQL_AUDITING_CLIENT_TEMPLATE.FAT&amp;display_string=Audit&amp;VAR:KEY=TGXMFALMNW&amp;VAR:QUERY=RkZfRUJJVERBX0lCKCdMVE1TJywzODY1NSk=&amp;WINDOW=FIRST_POPUP&amp;HEIGHT=450&amp;WIDTH=450&amp;START_MA","XIMIZED=FALSE&amp;VAR:CALENDAR=US&amp;VAR:SYMBOL=05614P10&amp;VAR:INDEX=0"}</definedName>
    <definedName name="_3402__FDSAUDITLINK__" hidden="1">{"fdsup://directions/FAT Viewer?action=UPDATE&amp;creator=factset&amp;DYN_ARGS=TRUE&amp;DOC_NAME=FAT:FQL_AUDITING_CLIENT_TEMPLATE.FAT&amp;display_string=Audit&amp;VAR:KEY=TGXMFALMNW&amp;VAR:QUERY=RkZfRUJJVERBX0lCKCdMVE1TJywzODY1NSk=&amp;WINDOW=FIRST_POPUP&amp;HEIGHT=450&amp;WIDTH=450&amp;START_MA","XIMIZED=FALSE&amp;VAR:CALENDAR=US&amp;VAR:SYMBOL=05614P10&amp;VAR:INDEX=0"}</definedName>
    <definedName name="_3403__FDSAUDITLINK__" localSheetId="6" hidden="1">{"fdsup://directions/FAT Viewer?action=UPDATE&amp;creator=factset&amp;DYN_ARGS=TRUE&amp;DOC_NAME=FAT:FQL_AUDITING_CLIENT_TEMPLATE.FAT&amp;display_string=Audit&amp;VAR:KEY=DQFUFSFAPE&amp;VAR:QUERY=RkZfRUJJVERBX0lCKCdMVE1TJywzODY1NCk=&amp;WINDOW=FIRST_POPUP&amp;HEIGHT=450&amp;WIDTH=450&amp;START_MA","XIMIZED=FALSE&amp;VAR:CALENDAR=US&amp;VAR:SYMBOL=05614P10&amp;VAR:INDEX=0"}</definedName>
    <definedName name="_3403__FDSAUDITLINK__" hidden="1">{"fdsup://directions/FAT Viewer?action=UPDATE&amp;creator=factset&amp;DYN_ARGS=TRUE&amp;DOC_NAME=FAT:FQL_AUDITING_CLIENT_TEMPLATE.FAT&amp;display_string=Audit&amp;VAR:KEY=DQFUFSFAPE&amp;VAR:QUERY=RkZfRUJJVERBX0lCKCdMVE1TJywzODY1NCk=&amp;WINDOW=FIRST_POPUP&amp;HEIGHT=450&amp;WIDTH=450&amp;START_MA","XIMIZED=FALSE&amp;VAR:CALENDAR=US&amp;VAR:SYMBOL=05614P10&amp;VAR:INDEX=0"}</definedName>
    <definedName name="_3404__FDSAUDITLINK__" localSheetId="6" hidden="1">{"fdsup://directions/FAT Viewer?action=UPDATE&amp;creator=factset&amp;DYN_ARGS=TRUE&amp;DOC_NAME=FAT:FQL_AUDITING_CLIENT_TEMPLATE.FAT&amp;display_string=Audit&amp;VAR:KEY=PGLKTYHODQ&amp;VAR:QUERY=RkZfRUJJVERBX0lCKCdMVE1TJywzODY1Myk=&amp;WINDOW=FIRST_POPUP&amp;HEIGHT=450&amp;WIDTH=450&amp;START_MA","XIMIZED=FALSE&amp;VAR:CALENDAR=US&amp;VAR:SYMBOL=05614P10&amp;VAR:INDEX=0"}</definedName>
    <definedName name="_3404__FDSAUDITLINK__" hidden="1">{"fdsup://directions/FAT Viewer?action=UPDATE&amp;creator=factset&amp;DYN_ARGS=TRUE&amp;DOC_NAME=FAT:FQL_AUDITING_CLIENT_TEMPLATE.FAT&amp;display_string=Audit&amp;VAR:KEY=PGLKTYHODQ&amp;VAR:QUERY=RkZfRUJJVERBX0lCKCdMVE1TJywzODY1Myk=&amp;WINDOW=FIRST_POPUP&amp;HEIGHT=450&amp;WIDTH=450&amp;START_MA","XIMIZED=FALSE&amp;VAR:CALENDAR=US&amp;VAR:SYMBOL=05614P10&amp;VAR:INDEX=0"}</definedName>
    <definedName name="_3405__FDSAUDITLINK__" localSheetId="6" hidden="1">{"fdsup://directions/FAT Viewer?action=UPDATE&amp;creator=factset&amp;DYN_ARGS=TRUE&amp;DOC_NAME=FAT:FQL_AUDITING_CLIENT_TEMPLATE.FAT&amp;display_string=Audit&amp;VAR:KEY=BCHWJENOVE&amp;VAR:QUERY=RkZfRUJJVERBX0lCKCdMVE1TJywzODY1Mik=&amp;WINDOW=FIRST_POPUP&amp;HEIGHT=450&amp;WIDTH=450&amp;START_MA","XIMIZED=FALSE&amp;VAR:CALENDAR=US&amp;VAR:SYMBOL=05614P10&amp;VAR:INDEX=0"}</definedName>
    <definedName name="_3405__FDSAUDITLINK__" hidden="1">{"fdsup://directions/FAT Viewer?action=UPDATE&amp;creator=factset&amp;DYN_ARGS=TRUE&amp;DOC_NAME=FAT:FQL_AUDITING_CLIENT_TEMPLATE.FAT&amp;display_string=Audit&amp;VAR:KEY=BCHWJENOVE&amp;VAR:QUERY=RkZfRUJJVERBX0lCKCdMVE1TJywzODY1Mik=&amp;WINDOW=FIRST_POPUP&amp;HEIGHT=450&amp;WIDTH=450&amp;START_MA","XIMIZED=FALSE&amp;VAR:CALENDAR=US&amp;VAR:SYMBOL=05614P10&amp;VAR:INDEX=0"}</definedName>
    <definedName name="_3406__FDSAUDITLINK__" localSheetId="6" hidden="1">{"fdsup://directions/FAT Viewer?action=UPDATE&amp;creator=factset&amp;DYN_ARGS=TRUE&amp;DOC_NAME=FAT:FQL_AUDITING_CLIENT_TEMPLATE.FAT&amp;display_string=Audit&amp;VAR:KEY=JWLUREHQDE&amp;VAR:QUERY=RkZfRUJJVERBX0lCKCdMVE1TJywzODY1MSk=&amp;WINDOW=FIRST_POPUP&amp;HEIGHT=450&amp;WIDTH=450&amp;START_MA","XIMIZED=FALSE&amp;VAR:CALENDAR=US&amp;VAR:SYMBOL=05614P10&amp;VAR:INDEX=0"}</definedName>
    <definedName name="_3406__FDSAUDITLINK__" hidden="1">{"fdsup://directions/FAT Viewer?action=UPDATE&amp;creator=factset&amp;DYN_ARGS=TRUE&amp;DOC_NAME=FAT:FQL_AUDITING_CLIENT_TEMPLATE.FAT&amp;display_string=Audit&amp;VAR:KEY=JWLUREHQDE&amp;VAR:QUERY=RkZfRUJJVERBX0lCKCdMVE1TJywzODY1MSk=&amp;WINDOW=FIRST_POPUP&amp;HEIGHT=450&amp;WIDTH=450&amp;START_MA","XIMIZED=FALSE&amp;VAR:CALENDAR=US&amp;VAR:SYMBOL=05614P10&amp;VAR:INDEX=0"}</definedName>
    <definedName name="_3407__FDSAUDITLINK__" localSheetId="6" hidden="1">{"fdsup://directions/FAT Viewer?action=UPDATE&amp;creator=factset&amp;DYN_ARGS=TRUE&amp;DOC_NAME=FAT:FQL_AUDITING_CLIENT_TEMPLATE.FAT&amp;display_string=Audit&amp;VAR:KEY=FENOHKTAVU&amp;VAR:QUERY=RkZfRUJJVERBX0lCKCdMVE1TJywzODY1MCk=&amp;WINDOW=FIRST_POPUP&amp;HEIGHT=450&amp;WIDTH=450&amp;START_MA","XIMIZED=FALSE&amp;VAR:CALENDAR=US&amp;VAR:SYMBOL=05614P10&amp;VAR:INDEX=0"}</definedName>
    <definedName name="_3407__FDSAUDITLINK__" hidden="1">{"fdsup://directions/FAT Viewer?action=UPDATE&amp;creator=factset&amp;DYN_ARGS=TRUE&amp;DOC_NAME=FAT:FQL_AUDITING_CLIENT_TEMPLATE.FAT&amp;display_string=Audit&amp;VAR:KEY=FENOHKTAVU&amp;VAR:QUERY=RkZfRUJJVERBX0lCKCdMVE1TJywzODY1MCk=&amp;WINDOW=FIRST_POPUP&amp;HEIGHT=450&amp;WIDTH=450&amp;START_MA","XIMIZED=FALSE&amp;VAR:CALENDAR=US&amp;VAR:SYMBOL=05614P10&amp;VAR:INDEX=0"}</definedName>
    <definedName name="_3408__FDSAUDITLINK__" localSheetId="6" hidden="1">{"fdsup://directions/FAT Viewer?action=UPDATE&amp;creator=factset&amp;DYN_ARGS=TRUE&amp;DOC_NAME=FAT:FQL_AUDITING_CLIENT_TEMPLATE.FAT&amp;display_string=Audit&amp;VAR:KEY=RSZUNOLYZC&amp;VAR:QUERY=RkZfRUJJVERBX0lCKCdMVE1TJywzODY0OSk=&amp;WINDOW=FIRST_POPUP&amp;HEIGHT=450&amp;WIDTH=450&amp;START_MA","XIMIZED=FALSE&amp;VAR:CALENDAR=US&amp;VAR:SYMBOL=05614P10&amp;VAR:INDEX=0"}</definedName>
    <definedName name="_3408__FDSAUDITLINK__" hidden="1">{"fdsup://directions/FAT Viewer?action=UPDATE&amp;creator=factset&amp;DYN_ARGS=TRUE&amp;DOC_NAME=FAT:FQL_AUDITING_CLIENT_TEMPLATE.FAT&amp;display_string=Audit&amp;VAR:KEY=RSZUNOLYZC&amp;VAR:QUERY=RkZfRUJJVERBX0lCKCdMVE1TJywzODY0OSk=&amp;WINDOW=FIRST_POPUP&amp;HEIGHT=450&amp;WIDTH=450&amp;START_MA","XIMIZED=FALSE&amp;VAR:CALENDAR=US&amp;VAR:SYMBOL=05614P10&amp;VAR:INDEX=0"}</definedName>
    <definedName name="_3409__FDSAUDITLINK__" localSheetId="6" hidden="1">{"fdsup://directions/FAT Viewer?action=UPDATE&amp;creator=factset&amp;DYN_ARGS=TRUE&amp;DOC_NAME=FAT:FQL_AUDITING_CLIENT_TEMPLATE.FAT&amp;display_string=Audit&amp;VAR:KEY=XCVEVGPGPS&amp;VAR:QUERY=RkZfRUJJVERBX0lCKCdMVE1TJywzODY0OCk=&amp;WINDOW=FIRST_POPUP&amp;HEIGHT=450&amp;WIDTH=450&amp;START_MA","XIMIZED=FALSE&amp;VAR:CALENDAR=US&amp;VAR:SYMBOL=05614P10&amp;VAR:INDEX=0"}</definedName>
    <definedName name="_3409__FDSAUDITLINK__" hidden="1">{"fdsup://directions/FAT Viewer?action=UPDATE&amp;creator=factset&amp;DYN_ARGS=TRUE&amp;DOC_NAME=FAT:FQL_AUDITING_CLIENT_TEMPLATE.FAT&amp;display_string=Audit&amp;VAR:KEY=XCVEVGPGPS&amp;VAR:QUERY=RkZfRUJJVERBX0lCKCdMVE1TJywzODY0OCk=&amp;WINDOW=FIRST_POPUP&amp;HEIGHT=450&amp;WIDTH=450&amp;START_MA","XIMIZED=FALSE&amp;VAR:CALENDAR=US&amp;VAR:SYMBOL=05614P10&amp;VAR:INDEX=0"}</definedName>
    <definedName name="_341__FDSAUDITLINK__" localSheetId="6" hidden="1">{"fdsup://directions/FAT%20Viewer?VAR:PED=LTM&amp;VAR:AUDIT_MODE=SUMMARY&amp;VAR:PERIOD=FIXED&amp;VAR:AUDIT_ID=00000117&amp;VAR:DATE=20090317&amp;action=UPDATE&amp;creator=factset&amp;DOC_NAME=FAT:FMA_audit_SUMMARY.fat&amp;DISPLAY_STRING=Display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1__FDSAUDITLINK__" hidden="1">{"fdsup://directions/FAT%20Viewer?VAR:PED=LTM&amp;VAR:AUDIT_MODE=SUMMARY&amp;VAR:PERIOD=FIXED&amp;VAR:AUDIT_ID=00000117&amp;VAR:DATE=20090317&amp;action=UPDATE&amp;creator=factset&amp;DOC_NAME=FAT:FMA_audit_SUMMARY.fat&amp;DISPLAY_STRING=Display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10__FDSAUDITLINK__" localSheetId="6" hidden="1">{"fdsup://directions/FAT Viewer?action=UPDATE&amp;creator=factset&amp;DYN_ARGS=TRUE&amp;DOC_NAME=FAT:FQL_AUDITING_CLIENT_TEMPLATE.FAT&amp;display_string=Audit&amp;VAR:KEY=HSXYBSJMTM&amp;VAR:QUERY=RkZfRUJJVERBX0lCKCdMVE1TJywzODY0Nyk=&amp;WINDOW=FIRST_POPUP&amp;HEIGHT=450&amp;WIDTH=450&amp;START_MA","XIMIZED=FALSE&amp;VAR:CALENDAR=US&amp;VAR:SYMBOL=05614P10&amp;VAR:INDEX=0"}</definedName>
    <definedName name="_3410__FDSAUDITLINK__" hidden="1">{"fdsup://directions/FAT Viewer?action=UPDATE&amp;creator=factset&amp;DYN_ARGS=TRUE&amp;DOC_NAME=FAT:FQL_AUDITING_CLIENT_TEMPLATE.FAT&amp;display_string=Audit&amp;VAR:KEY=HSXYBSJMTM&amp;VAR:QUERY=RkZfRUJJVERBX0lCKCdMVE1TJywzODY0Nyk=&amp;WINDOW=FIRST_POPUP&amp;HEIGHT=450&amp;WIDTH=450&amp;START_MA","XIMIZED=FALSE&amp;VAR:CALENDAR=US&amp;VAR:SYMBOL=05614P10&amp;VAR:INDEX=0"}</definedName>
    <definedName name="_3411__FDSAUDITLINK__" localSheetId="6" hidden="1">{"fdsup://directions/FAT Viewer?action=UPDATE&amp;creator=factset&amp;DYN_ARGS=TRUE&amp;DOC_NAME=FAT:FQL_AUDITING_CLIENT_TEMPLATE.FAT&amp;display_string=Audit&amp;VAR:KEY=LSZSXWPIDK&amp;VAR:QUERY=RkZfRUJJVERBX0lCKCdMVE1TJywzODY0Nik=&amp;WINDOW=FIRST_POPUP&amp;HEIGHT=450&amp;WIDTH=450&amp;START_MA","XIMIZED=FALSE&amp;VAR:CALENDAR=US&amp;VAR:SYMBOL=05614P10&amp;VAR:INDEX=0"}</definedName>
    <definedName name="_3411__FDSAUDITLINK__" hidden="1">{"fdsup://directions/FAT Viewer?action=UPDATE&amp;creator=factset&amp;DYN_ARGS=TRUE&amp;DOC_NAME=FAT:FQL_AUDITING_CLIENT_TEMPLATE.FAT&amp;display_string=Audit&amp;VAR:KEY=LSZSXWPIDK&amp;VAR:QUERY=RkZfRUJJVERBX0lCKCdMVE1TJywzODY0Nik=&amp;WINDOW=FIRST_POPUP&amp;HEIGHT=450&amp;WIDTH=450&amp;START_MA","XIMIZED=FALSE&amp;VAR:CALENDAR=US&amp;VAR:SYMBOL=05614P10&amp;VAR:INDEX=0"}</definedName>
    <definedName name="_3412__FDSAUDITLINK__" localSheetId="6" hidden="1">{"fdsup://directions/FAT Viewer?action=UPDATE&amp;creator=factset&amp;DYN_ARGS=TRUE&amp;DOC_NAME=FAT:FQL_AUDITING_CLIENT_TEMPLATE.FAT&amp;display_string=Audit&amp;VAR:KEY=TGBEDEBCBW&amp;VAR:QUERY=RkZfRUJJVERBX0lCKCdMVE1TJywzODY0NSk=&amp;WINDOW=FIRST_POPUP&amp;HEIGHT=450&amp;WIDTH=450&amp;START_MA","XIMIZED=FALSE&amp;VAR:CALENDAR=US&amp;VAR:SYMBOL=05614P10&amp;VAR:INDEX=0"}</definedName>
    <definedName name="_3412__FDSAUDITLINK__" hidden="1">{"fdsup://directions/FAT Viewer?action=UPDATE&amp;creator=factset&amp;DYN_ARGS=TRUE&amp;DOC_NAME=FAT:FQL_AUDITING_CLIENT_TEMPLATE.FAT&amp;display_string=Audit&amp;VAR:KEY=TGBEDEBCBW&amp;VAR:QUERY=RkZfRUJJVERBX0lCKCdMVE1TJywzODY0NSk=&amp;WINDOW=FIRST_POPUP&amp;HEIGHT=450&amp;WIDTH=450&amp;START_MA","XIMIZED=FALSE&amp;VAR:CALENDAR=US&amp;VAR:SYMBOL=05614P10&amp;VAR:INDEX=0"}</definedName>
    <definedName name="_3413__FDSAUDITLINK__" localSheetId="6" hidden="1">{"fdsup://directions/FAT Viewer?action=UPDATE&amp;creator=factset&amp;DYN_ARGS=TRUE&amp;DOC_NAME=FAT:FQL_AUDITING_CLIENT_TEMPLATE.FAT&amp;display_string=Audit&amp;VAR:KEY=HMZMHEPOVE&amp;VAR:QUERY=RkZfRUJJVERBX0lCKCdMVE1TJywzODY0NCk=&amp;WINDOW=FIRST_POPUP&amp;HEIGHT=450&amp;WIDTH=450&amp;START_MA","XIMIZED=FALSE&amp;VAR:CALENDAR=US&amp;VAR:SYMBOL=05614P10&amp;VAR:INDEX=0"}</definedName>
    <definedName name="_3413__FDSAUDITLINK__" hidden="1">{"fdsup://directions/FAT Viewer?action=UPDATE&amp;creator=factset&amp;DYN_ARGS=TRUE&amp;DOC_NAME=FAT:FQL_AUDITING_CLIENT_TEMPLATE.FAT&amp;display_string=Audit&amp;VAR:KEY=HMZMHEPOVE&amp;VAR:QUERY=RkZfRUJJVERBX0lCKCdMVE1TJywzODY0NCk=&amp;WINDOW=FIRST_POPUP&amp;HEIGHT=450&amp;WIDTH=450&amp;START_MA","XIMIZED=FALSE&amp;VAR:CALENDAR=US&amp;VAR:SYMBOL=05614P10&amp;VAR:INDEX=0"}</definedName>
    <definedName name="_3414__FDSAUDITLINK__" localSheetId="6" hidden="1">{"fdsup://directions/FAT Viewer?action=UPDATE&amp;creator=factset&amp;DYN_ARGS=TRUE&amp;DOC_NAME=FAT:FQL_AUDITING_CLIENT_TEMPLATE.FAT&amp;display_string=Audit&amp;VAR:KEY=JEBYJYLSTI&amp;VAR:QUERY=RkZfRUJJVERBX0lCKCdMVE1TJywzODY0Myk=&amp;WINDOW=FIRST_POPUP&amp;HEIGHT=450&amp;WIDTH=450&amp;START_MA","XIMIZED=FALSE&amp;VAR:CALENDAR=US&amp;VAR:SYMBOL=05614P10&amp;VAR:INDEX=0"}</definedName>
    <definedName name="_3414__FDSAUDITLINK__" hidden="1">{"fdsup://directions/FAT Viewer?action=UPDATE&amp;creator=factset&amp;DYN_ARGS=TRUE&amp;DOC_NAME=FAT:FQL_AUDITING_CLIENT_TEMPLATE.FAT&amp;display_string=Audit&amp;VAR:KEY=JEBYJYLSTI&amp;VAR:QUERY=RkZfRUJJVERBX0lCKCdMVE1TJywzODY0Myk=&amp;WINDOW=FIRST_POPUP&amp;HEIGHT=450&amp;WIDTH=450&amp;START_MA","XIMIZED=FALSE&amp;VAR:CALENDAR=US&amp;VAR:SYMBOL=05614P10&amp;VAR:INDEX=0"}</definedName>
    <definedName name="_3415__FDSAUDITLINK__" localSheetId="6" hidden="1">{"fdsup://directions/FAT Viewer?action=UPDATE&amp;creator=factset&amp;DYN_ARGS=TRUE&amp;DOC_NAME=FAT:FQL_AUDITING_CLIENT_TEMPLATE.FAT&amp;display_string=Audit&amp;VAR:KEY=VWBMBCTGNS&amp;VAR:QUERY=RkZfRUJJVERBX0lCKCdMVE1TJywzODY0Mik=&amp;WINDOW=FIRST_POPUP&amp;HEIGHT=450&amp;WIDTH=450&amp;START_MA","XIMIZED=FALSE&amp;VAR:CALENDAR=US&amp;VAR:SYMBOL=05614P10&amp;VAR:INDEX=0"}</definedName>
    <definedName name="_3415__FDSAUDITLINK__" hidden="1">{"fdsup://directions/FAT Viewer?action=UPDATE&amp;creator=factset&amp;DYN_ARGS=TRUE&amp;DOC_NAME=FAT:FQL_AUDITING_CLIENT_TEMPLATE.FAT&amp;display_string=Audit&amp;VAR:KEY=VWBMBCTGNS&amp;VAR:QUERY=RkZfRUJJVERBX0lCKCdMVE1TJywzODY0Mik=&amp;WINDOW=FIRST_POPUP&amp;HEIGHT=450&amp;WIDTH=450&amp;START_MA","XIMIZED=FALSE&amp;VAR:CALENDAR=US&amp;VAR:SYMBOL=05614P10&amp;VAR:INDEX=0"}</definedName>
    <definedName name="_3416__FDSAUDITLINK__" localSheetId="6" hidden="1">{"fdsup://directions/FAT Viewer?action=UPDATE&amp;creator=factset&amp;DYN_ARGS=TRUE&amp;DOC_NAME=FAT:FQL_AUDITING_CLIENT_TEMPLATE.FAT&amp;display_string=Audit&amp;VAR:KEY=DMRODYBCXY&amp;VAR:QUERY=RkZfRUJJVERBX0lCKCdMVE1TJywzODY0MSk=&amp;WINDOW=FIRST_POPUP&amp;HEIGHT=450&amp;WIDTH=450&amp;START_MA","XIMIZED=FALSE&amp;VAR:CALENDAR=US&amp;VAR:SYMBOL=05614P10&amp;VAR:INDEX=0"}</definedName>
    <definedName name="_3416__FDSAUDITLINK__" hidden="1">{"fdsup://directions/FAT Viewer?action=UPDATE&amp;creator=factset&amp;DYN_ARGS=TRUE&amp;DOC_NAME=FAT:FQL_AUDITING_CLIENT_TEMPLATE.FAT&amp;display_string=Audit&amp;VAR:KEY=DMRODYBCXY&amp;VAR:QUERY=RkZfRUJJVERBX0lCKCdMVE1TJywzODY0MSk=&amp;WINDOW=FIRST_POPUP&amp;HEIGHT=450&amp;WIDTH=450&amp;START_MA","XIMIZED=FALSE&amp;VAR:CALENDAR=US&amp;VAR:SYMBOL=05614P10&amp;VAR:INDEX=0"}</definedName>
    <definedName name="_3417__FDSAUDITLINK__" localSheetId="6" hidden="1">{"fdsup://directions/FAT Viewer?action=UPDATE&amp;creator=factset&amp;DYN_ARGS=TRUE&amp;DOC_NAME=FAT:FQL_AUDITING_CLIENT_TEMPLATE.FAT&amp;display_string=Audit&amp;VAR:KEY=XGJIDOHWRU&amp;VAR:QUERY=RkZfRUJJVERBX0lCKCdMVE1TJywzODY0MCk=&amp;WINDOW=FIRST_POPUP&amp;HEIGHT=450&amp;WIDTH=450&amp;START_MA","XIMIZED=FALSE&amp;VAR:CALENDAR=US&amp;VAR:SYMBOL=05614P10&amp;VAR:INDEX=0"}</definedName>
    <definedName name="_3417__FDSAUDITLINK__" hidden="1">{"fdsup://directions/FAT Viewer?action=UPDATE&amp;creator=factset&amp;DYN_ARGS=TRUE&amp;DOC_NAME=FAT:FQL_AUDITING_CLIENT_TEMPLATE.FAT&amp;display_string=Audit&amp;VAR:KEY=XGJIDOHWRU&amp;VAR:QUERY=RkZfRUJJVERBX0lCKCdMVE1TJywzODY0MCk=&amp;WINDOW=FIRST_POPUP&amp;HEIGHT=450&amp;WIDTH=450&amp;START_MA","XIMIZED=FALSE&amp;VAR:CALENDAR=US&amp;VAR:SYMBOL=05614P10&amp;VAR:INDEX=0"}</definedName>
    <definedName name="_3418__FDSAUDITLINK__" localSheetId="6" hidden="1">{"fdsup://directions/FAT Viewer?action=UPDATE&amp;creator=factset&amp;DYN_ARGS=TRUE&amp;DOC_NAME=FAT:FQL_AUDITING_CLIENT_TEMPLATE.FAT&amp;display_string=Audit&amp;VAR:KEY=BSTQZWNUFY&amp;VAR:QUERY=RkZfRUJJVERBX0lCKCdMVE1TJywzODYzOSk=&amp;WINDOW=FIRST_POPUP&amp;HEIGHT=450&amp;WIDTH=450&amp;START_MA","XIMIZED=FALSE&amp;VAR:CALENDAR=US&amp;VAR:SYMBOL=05614P10&amp;VAR:INDEX=0"}</definedName>
    <definedName name="_3418__FDSAUDITLINK__" hidden="1">{"fdsup://directions/FAT Viewer?action=UPDATE&amp;creator=factset&amp;DYN_ARGS=TRUE&amp;DOC_NAME=FAT:FQL_AUDITING_CLIENT_TEMPLATE.FAT&amp;display_string=Audit&amp;VAR:KEY=BSTQZWNUFY&amp;VAR:QUERY=RkZfRUJJVERBX0lCKCdMVE1TJywzODYzOSk=&amp;WINDOW=FIRST_POPUP&amp;HEIGHT=450&amp;WIDTH=450&amp;START_MA","XIMIZED=FALSE&amp;VAR:CALENDAR=US&amp;VAR:SYMBOL=05614P10&amp;VAR:INDEX=0"}</definedName>
    <definedName name="_3419__FDSAUDITLINK__" localSheetId="6" hidden="1">{"fdsup://directions/FAT Viewer?action=UPDATE&amp;creator=factset&amp;DYN_ARGS=TRUE&amp;DOC_NAME=FAT:FQL_AUDITING_CLIENT_TEMPLATE.FAT&amp;display_string=Audit&amp;VAR:KEY=BWZYLGFUBE&amp;VAR:QUERY=RkZfRUJJVERBX0lCKCdMVE1TJywzODYzOCk=&amp;WINDOW=FIRST_POPUP&amp;HEIGHT=450&amp;WIDTH=450&amp;START_MA","XIMIZED=FALSE&amp;VAR:CALENDAR=US&amp;VAR:SYMBOL=05614P10&amp;VAR:INDEX=0"}</definedName>
    <definedName name="_3419__FDSAUDITLINK__" hidden="1">{"fdsup://directions/FAT Viewer?action=UPDATE&amp;creator=factset&amp;DYN_ARGS=TRUE&amp;DOC_NAME=FAT:FQL_AUDITING_CLIENT_TEMPLATE.FAT&amp;display_string=Audit&amp;VAR:KEY=BWZYLGFUBE&amp;VAR:QUERY=RkZfRUJJVERBX0lCKCdMVE1TJywzODYzOCk=&amp;WINDOW=FIRST_POPUP&amp;HEIGHT=450&amp;WIDTH=450&amp;START_MA","XIMIZED=FALSE&amp;VAR:CALENDAR=US&amp;VAR:SYMBOL=05614P10&amp;VAR:INDEX=0"}</definedName>
    <definedName name="_342__FDSAUDITLINK__" localSheetId="6" hidden="1">{"fdsup://directions/FAT%20Viewer?VAR:PED=LTM&amp;VAR:AUDIT_MODE=SUMMARY&amp;VAR:PERIOD=FIXED&amp;VAR:AUDIT_ID=00000117&amp;VAR:DATE=20090316&amp;action=UPDATE&amp;creator=factset&amp;DOC_NAME=FAT:FMA_audit_SUMMARY.fat&amp;DISPLAY_STRING=Display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2__FDSAUDITLINK__" hidden="1">{"fdsup://directions/FAT%20Viewer?VAR:PED=LTM&amp;VAR:AUDIT_MODE=SUMMARY&amp;VAR:PERIOD=FIXED&amp;VAR:AUDIT_ID=00000117&amp;VAR:DATE=20090316&amp;action=UPDATE&amp;creator=factset&amp;DOC_NAME=FAT:FMA_audit_SUMMARY.fat&amp;DISPLAY_STRING=Display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20__FDSAUDITLINK__" localSheetId="6" hidden="1">{"fdsup://directions/FAT Viewer?action=UPDATE&amp;creator=factset&amp;DYN_ARGS=TRUE&amp;DOC_NAME=FAT:FQL_AUDITING_CLIENT_TEMPLATE.FAT&amp;display_string=Audit&amp;VAR:KEY=ZAXWRIBCVK&amp;VAR:QUERY=RkZfRUJJVERBX0lCKCdMVE1TJywzODYzNyk=&amp;WINDOW=FIRST_POPUP&amp;HEIGHT=450&amp;WIDTH=450&amp;START_MA","XIMIZED=FALSE&amp;VAR:CALENDAR=US&amp;VAR:SYMBOL=05614P10&amp;VAR:INDEX=0"}</definedName>
    <definedName name="_3420__FDSAUDITLINK__" hidden="1">{"fdsup://directions/FAT Viewer?action=UPDATE&amp;creator=factset&amp;DYN_ARGS=TRUE&amp;DOC_NAME=FAT:FQL_AUDITING_CLIENT_TEMPLATE.FAT&amp;display_string=Audit&amp;VAR:KEY=ZAXWRIBCVK&amp;VAR:QUERY=RkZfRUJJVERBX0lCKCdMVE1TJywzODYzNyk=&amp;WINDOW=FIRST_POPUP&amp;HEIGHT=450&amp;WIDTH=450&amp;START_MA","XIMIZED=FALSE&amp;VAR:CALENDAR=US&amp;VAR:SYMBOL=05614P10&amp;VAR:INDEX=0"}</definedName>
    <definedName name="_3421__FDSAUDITLINK__" localSheetId="6" hidden="1">{"fdsup://directions/FAT Viewer?action=UPDATE&amp;creator=factset&amp;DYN_ARGS=TRUE&amp;DOC_NAME=FAT:FQL_AUDITING_CLIENT_TEMPLATE.FAT&amp;display_string=Audit&amp;VAR:KEY=RCBAHAFYFU&amp;VAR:QUERY=RkZfRUJJVERBX0lCKCdMVE1TJywzODYzNik=&amp;WINDOW=FIRST_POPUP&amp;HEIGHT=450&amp;WIDTH=450&amp;START_MA","XIMIZED=FALSE&amp;VAR:CALENDAR=US&amp;VAR:SYMBOL=05614P10&amp;VAR:INDEX=0"}</definedName>
    <definedName name="_3421__FDSAUDITLINK__" hidden="1">{"fdsup://directions/FAT Viewer?action=UPDATE&amp;creator=factset&amp;DYN_ARGS=TRUE&amp;DOC_NAME=FAT:FQL_AUDITING_CLIENT_TEMPLATE.FAT&amp;display_string=Audit&amp;VAR:KEY=RCBAHAFYFU&amp;VAR:QUERY=RkZfRUJJVERBX0lCKCdMVE1TJywzODYzNik=&amp;WINDOW=FIRST_POPUP&amp;HEIGHT=450&amp;WIDTH=450&amp;START_MA","XIMIZED=FALSE&amp;VAR:CALENDAR=US&amp;VAR:SYMBOL=05614P10&amp;VAR:INDEX=0"}</definedName>
    <definedName name="_3422__FDSAUDITLINK__" localSheetId="6" hidden="1">{"fdsup://directions/FAT Viewer?action=UPDATE&amp;creator=factset&amp;DYN_ARGS=TRUE&amp;DOC_NAME=FAT:FQL_AUDITING_CLIENT_TEMPLATE.FAT&amp;display_string=Audit&amp;VAR:KEY=ZWTYROLAVY&amp;VAR:QUERY=RkZfRUJJVERBX0lCKCdMVE1TJywzODYzNSk=&amp;WINDOW=FIRST_POPUP&amp;HEIGHT=450&amp;WIDTH=450&amp;START_MA","XIMIZED=FALSE&amp;VAR:CALENDAR=US&amp;VAR:SYMBOL=05614P10&amp;VAR:INDEX=0"}</definedName>
    <definedName name="_3422__FDSAUDITLINK__" hidden="1">{"fdsup://directions/FAT Viewer?action=UPDATE&amp;creator=factset&amp;DYN_ARGS=TRUE&amp;DOC_NAME=FAT:FQL_AUDITING_CLIENT_TEMPLATE.FAT&amp;display_string=Audit&amp;VAR:KEY=ZWTYROLAVY&amp;VAR:QUERY=RkZfRUJJVERBX0lCKCdMVE1TJywzODYzNSk=&amp;WINDOW=FIRST_POPUP&amp;HEIGHT=450&amp;WIDTH=450&amp;START_MA","XIMIZED=FALSE&amp;VAR:CALENDAR=US&amp;VAR:SYMBOL=05614P10&amp;VAR:INDEX=0"}</definedName>
    <definedName name="_3423__FDSAUDITLINK__" localSheetId="6" hidden="1">{"fdsup://directions/FAT Viewer?action=UPDATE&amp;creator=factset&amp;DYN_ARGS=TRUE&amp;DOC_NAME=FAT:FQL_AUDITING_CLIENT_TEMPLATE.FAT&amp;display_string=Audit&amp;VAR:KEY=NAVWJYHMVU&amp;VAR:QUERY=RkZfRUJJVERBX0lCKCdMVE1TJywzODYzNCk=&amp;WINDOW=FIRST_POPUP&amp;HEIGHT=450&amp;WIDTH=450&amp;START_MA","XIMIZED=FALSE&amp;VAR:CALENDAR=US&amp;VAR:SYMBOL=05614P10&amp;VAR:INDEX=0"}</definedName>
    <definedName name="_3423__FDSAUDITLINK__" hidden="1">{"fdsup://directions/FAT Viewer?action=UPDATE&amp;creator=factset&amp;DYN_ARGS=TRUE&amp;DOC_NAME=FAT:FQL_AUDITING_CLIENT_TEMPLATE.FAT&amp;display_string=Audit&amp;VAR:KEY=NAVWJYHMVU&amp;VAR:QUERY=RkZfRUJJVERBX0lCKCdMVE1TJywzODYzNCk=&amp;WINDOW=FIRST_POPUP&amp;HEIGHT=450&amp;WIDTH=450&amp;START_MA","XIMIZED=FALSE&amp;VAR:CALENDAR=US&amp;VAR:SYMBOL=05614P10&amp;VAR:INDEX=0"}</definedName>
    <definedName name="_3424__FDSAUDITLINK__" localSheetId="6" hidden="1">{"fdsup://directions/FAT Viewer?action=UPDATE&amp;creator=factset&amp;DYN_ARGS=TRUE&amp;DOC_NAME=FAT:FQL_AUDITING_CLIENT_TEMPLATE.FAT&amp;display_string=Audit&amp;VAR:KEY=XOBUFCVWPI&amp;VAR:QUERY=RkZfRUJJVERBX0lCKCdMVE1TJywzODYzMyk=&amp;WINDOW=FIRST_POPUP&amp;HEIGHT=450&amp;WIDTH=450&amp;START_MA","XIMIZED=FALSE&amp;VAR:CALENDAR=US&amp;VAR:SYMBOL=05614P10&amp;VAR:INDEX=0"}</definedName>
    <definedName name="_3424__FDSAUDITLINK__" hidden="1">{"fdsup://directions/FAT Viewer?action=UPDATE&amp;creator=factset&amp;DYN_ARGS=TRUE&amp;DOC_NAME=FAT:FQL_AUDITING_CLIENT_TEMPLATE.FAT&amp;display_string=Audit&amp;VAR:KEY=XOBUFCVWPI&amp;VAR:QUERY=RkZfRUJJVERBX0lCKCdMVE1TJywzODYzMyk=&amp;WINDOW=FIRST_POPUP&amp;HEIGHT=450&amp;WIDTH=450&amp;START_MA","XIMIZED=FALSE&amp;VAR:CALENDAR=US&amp;VAR:SYMBOL=05614P10&amp;VAR:INDEX=0"}</definedName>
    <definedName name="_3425__FDSAUDITLINK__" localSheetId="6" hidden="1">{"fdsup://directions/FAT Viewer?action=UPDATE&amp;creator=factset&amp;DYN_ARGS=TRUE&amp;DOC_NAME=FAT:FQL_AUDITING_CLIENT_TEMPLATE.FAT&amp;display_string=Audit&amp;VAR:KEY=ZQZAVEFYJS&amp;VAR:QUERY=RkZfRUJJVERBX0lCKCdMVE1TJywzODYzMik=&amp;WINDOW=FIRST_POPUP&amp;HEIGHT=450&amp;WIDTH=450&amp;START_MA","XIMIZED=FALSE&amp;VAR:CALENDAR=US&amp;VAR:SYMBOL=05614P10&amp;VAR:INDEX=0"}</definedName>
    <definedName name="_3425__FDSAUDITLINK__" hidden="1">{"fdsup://directions/FAT Viewer?action=UPDATE&amp;creator=factset&amp;DYN_ARGS=TRUE&amp;DOC_NAME=FAT:FQL_AUDITING_CLIENT_TEMPLATE.FAT&amp;display_string=Audit&amp;VAR:KEY=ZQZAVEFYJS&amp;VAR:QUERY=RkZfRUJJVERBX0lCKCdMVE1TJywzODYzMik=&amp;WINDOW=FIRST_POPUP&amp;HEIGHT=450&amp;WIDTH=450&amp;START_MA","XIMIZED=FALSE&amp;VAR:CALENDAR=US&amp;VAR:SYMBOL=05614P10&amp;VAR:INDEX=0"}</definedName>
    <definedName name="_3426__FDSAUDITLINK__" localSheetId="6" hidden="1">{"fdsup://directions/FAT Viewer?action=UPDATE&amp;creator=factset&amp;DYN_ARGS=TRUE&amp;DOC_NAME=FAT:FQL_AUDITING_CLIENT_TEMPLATE.FAT&amp;display_string=Audit&amp;VAR:KEY=LGBMTKBUHG&amp;VAR:QUERY=RkZfRUJJVERBX0lCKCdMVE1TJywzODYzMSk=&amp;WINDOW=FIRST_POPUP&amp;HEIGHT=450&amp;WIDTH=450&amp;START_MA","XIMIZED=FALSE&amp;VAR:CALENDAR=US&amp;VAR:SYMBOL=05614P10&amp;VAR:INDEX=0"}</definedName>
    <definedName name="_3426__FDSAUDITLINK__" hidden="1">{"fdsup://directions/FAT Viewer?action=UPDATE&amp;creator=factset&amp;DYN_ARGS=TRUE&amp;DOC_NAME=FAT:FQL_AUDITING_CLIENT_TEMPLATE.FAT&amp;display_string=Audit&amp;VAR:KEY=LGBMTKBUHG&amp;VAR:QUERY=RkZfRUJJVERBX0lCKCdMVE1TJywzODYzMSk=&amp;WINDOW=FIRST_POPUP&amp;HEIGHT=450&amp;WIDTH=450&amp;START_MA","XIMIZED=FALSE&amp;VAR:CALENDAR=US&amp;VAR:SYMBOL=05614P10&amp;VAR:INDEX=0"}</definedName>
    <definedName name="_3427__FDSAUDITLINK__" localSheetId="6" hidden="1">{"fdsup://directions/FAT Viewer?action=UPDATE&amp;creator=factset&amp;DYN_ARGS=TRUE&amp;DOC_NAME=FAT:FQL_AUDITING_CLIENT_TEMPLATE.FAT&amp;display_string=Audit&amp;VAR:KEY=XOPOLIJOJM&amp;VAR:QUERY=RkZfRUJJVERBX0lCKCdMVE1TJywzODYzMCk=&amp;WINDOW=FIRST_POPUP&amp;HEIGHT=450&amp;WIDTH=450&amp;START_MA","XIMIZED=FALSE&amp;VAR:CALENDAR=US&amp;VAR:SYMBOL=05614P10&amp;VAR:INDEX=0"}</definedName>
    <definedName name="_3427__FDSAUDITLINK__" hidden="1">{"fdsup://directions/FAT Viewer?action=UPDATE&amp;creator=factset&amp;DYN_ARGS=TRUE&amp;DOC_NAME=FAT:FQL_AUDITING_CLIENT_TEMPLATE.FAT&amp;display_string=Audit&amp;VAR:KEY=XOPOLIJOJM&amp;VAR:QUERY=RkZfRUJJVERBX0lCKCdMVE1TJywzODYzMCk=&amp;WINDOW=FIRST_POPUP&amp;HEIGHT=450&amp;WIDTH=450&amp;START_MA","XIMIZED=FALSE&amp;VAR:CALENDAR=US&amp;VAR:SYMBOL=05614P10&amp;VAR:INDEX=0"}</definedName>
    <definedName name="_3428__FDSAUDITLINK__" localSheetId="6" hidden="1">{"fdsup://directions/FAT Viewer?action=UPDATE&amp;creator=factset&amp;DYN_ARGS=TRUE&amp;DOC_NAME=FAT:FQL_AUDITING_CLIENT_TEMPLATE.FAT&amp;display_string=Audit&amp;VAR:KEY=XYHKLAZKRE&amp;VAR:QUERY=RkZfRUJJVERBX0lCKCdMVE1TJywzODYyOSk=&amp;WINDOW=FIRST_POPUP&amp;HEIGHT=450&amp;WIDTH=450&amp;START_MA","XIMIZED=FALSE&amp;VAR:CALENDAR=US&amp;VAR:SYMBOL=05614P10&amp;VAR:INDEX=0"}</definedName>
    <definedName name="_3428__FDSAUDITLINK__" hidden="1">{"fdsup://directions/FAT Viewer?action=UPDATE&amp;creator=factset&amp;DYN_ARGS=TRUE&amp;DOC_NAME=FAT:FQL_AUDITING_CLIENT_TEMPLATE.FAT&amp;display_string=Audit&amp;VAR:KEY=XYHKLAZKRE&amp;VAR:QUERY=RkZfRUJJVERBX0lCKCdMVE1TJywzODYyOSk=&amp;WINDOW=FIRST_POPUP&amp;HEIGHT=450&amp;WIDTH=450&amp;START_MA","XIMIZED=FALSE&amp;VAR:CALENDAR=US&amp;VAR:SYMBOL=05614P10&amp;VAR:INDEX=0"}</definedName>
    <definedName name="_3429__FDSAUDITLINK__" localSheetId="6" hidden="1">{"fdsup://directions/FAT Viewer?action=UPDATE&amp;creator=factset&amp;DYN_ARGS=TRUE&amp;DOC_NAME=FAT:FQL_AUDITING_CLIENT_TEMPLATE.FAT&amp;display_string=Audit&amp;VAR:KEY=ZULIFEVULA&amp;VAR:QUERY=RkZfRUJJVERBX0lCKCdMVE1TJywzODYyOCk=&amp;WINDOW=FIRST_POPUP&amp;HEIGHT=450&amp;WIDTH=450&amp;START_MA","XIMIZED=FALSE&amp;VAR:CALENDAR=US&amp;VAR:SYMBOL=05614P10&amp;VAR:INDEX=0"}</definedName>
    <definedName name="_3429__FDSAUDITLINK__" hidden="1">{"fdsup://directions/FAT Viewer?action=UPDATE&amp;creator=factset&amp;DYN_ARGS=TRUE&amp;DOC_NAME=FAT:FQL_AUDITING_CLIENT_TEMPLATE.FAT&amp;display_string=Audit&amp;VAR:KEY=ZULIFEVULA&amp;VAR:QUERY=RkZfRUJJVERBX0lCKCdMVE1TJywzODYyOCk=&amp;WINDOW=FIRST_POPUP&amp;HEIGHT=450&amp;WIDTH=450&amp;START_MA","XIMIZED=FALSE&amp;VAR:CALENDAR=US&amp;VAR:SYMBOL=05614P10&amp;VAR:INDEX=0"}</definedName>
    <definedName name="_343__FDSAUDITLINK__" localSheetId="6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3__FDSAUDITLINK__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30__FDSAUDITLINK__" localSheetId="6" hidden="1">{"fdsup://directions/FAT Viewer?action=UPDATE&amp;creator=factset&amp;DYN_ARGS=TRUE&amp;DOC_NAME=FAT:FQL_AUDITING_CLIENT_TEMPLATE.FAT&amp;display_string=Audit&amp;VAR:KEY=RIVGZSTWRU&amp;VAR:QUERY=RkZfRUJJVERBX0lCKCdMVE1TJywzODYyNyk=&amp;WINDOW=FIRST_POPUP&amp;HEIGHT=450&amp;WIDTH=450&amp;START_MA","XIMIZED=FALSE&amp;VAR:CALENDAR=US&amp;VAR:SYMBOL=05614P10&amp;VAR:INDEX=0"}</definedName>
    <definedName name="_3430__FDSAUDITLINK__" hidden="1">{"fdsup://directions/FAT Viewer?action=UPDATE&amp;creator=factset&amp;DYN_ARGS=TRUE&amp;DOC_NAME=FAT:FQL_AUDITING_CLIENT_TEMPLATE.FAT&amp;display_string=Audit&amp;VAR:KEY=RIVGZSTWRU&amp;VAR:QUERY=RkZfRUJJVERBX0lCKCdMVE1TJywzODYyNyk=&amp;WINDOW=FIRST_POPUP&amp;HEIGHT=450&amp;WIDTH=450&amp;START_MA","XIMIZED=FALSE&amp;VAR:CALENDAR=US&amp;VAR:SYMBOL=05614P10&amp;VAR:INDEX=0"}</definedName>
    <definedName name="_3431__FDSAUDITLINK__" localSheetId="6" hidden="1">{"fdsup://directions/FAT Viewer?action=UPDATE&amp;creator=factset&amp;DYN_ARGS=TRUE&amp;DOC_NAME=FAT:FQL_AUDITING_CLIENT_TEMPLATE.FAT&amp;display_string=Audit&amp;VAR:KEY=RMLQPKLWBO&amp;VAR:QUERY=RkZfRUJJVERBX0lCKCdMVE1TJywzODYyNik=&amp;WINDOW=FIRST_POPUP&amp;HEIGHT=450&amp;WIDTH=450&amp;START_MA","XIMIZED=FALSE&amp;VAR:CALENDAR=US&amp;VAR:SYMBOL=05614P10&amp;VAR:INDEX=0"}</definedName>
    <definedName name="_3431__FDSAUDITLINK__" hidden="1">{"fdsup://directions/FAT Viewer?action=UPDATE&amp;creator=factset&amp;DYN_ARGS=TRUE&amp;DOC_NAME=FAT:FQL_AUDITING_CLIENT_TEMPLATE.FAT&amp;display_string=Audit&amp;VAR:KEY=RMLQPKLWBO&amp;VAR:QUERY=RkZfRUJJVERBX0lCKCdMVE1TJywzODYyNik=&amp;WINDOW=FIRST_POPUP&amp;HEIGHT=450&amp;WIDTH=450&amp;START_MA","XIMIZED=FALSE&amp;VAR:CALENDAR=US&amp;VAR:SYMBOL=05614P10&amp;VAR:INDEX=0"}</definedName>
    <definedName name="_3432__FDSAUDITLINK__" localSheetId="6" hidden="1">{"fdsup://directions/FAT Viewer?action=UPDATE&amp;creator=factset&amp;DYN_ARGS=TRUE&amp;DOC_NAME=FAT:FQL_AUDITING_CLIENT_TEMPLATE.FAT&amp;display_string=Audit&amp;VAR:KEY=LOTQXSDURU&amp;VAR:QUERY=RkZfRUJJVERBX0lCKCdMVE1TJywzODYyNSk=&amp;WINDOW=FIRST_POPUP&amp;HEIGHT=450&amp;WIDTH=450&amp;START_MA","XIMIZED=FALSE&amp;VAR:CALENDAR=US&amp;VAR:SYMBOL=05614P10&amp;VAR:INDEX=0"}</definedName>
    <definedName name="_3432__FDSAUDITLINK__" hidden="1">{"fdsup://directions/FAT Viewer?action=UPDATE&amp;creator=factset&amp;DYN_ARGS=TRUE&amp;DOC_NAME=FAT:FQL_AUDITING_CLIENT_TEMPLATE.FAT&amp;display_string=Audit&amp;VAR:KEY=LOTQXSDURU&amp;VAR:QUERY=RkZfRUJJVERBX0lCKCdMVE1TJywzODYyNSk=&amp;WINDOW=FIRST_POPUP&amp;HEIGHT=450&amp;WIDTH=450&amp;START_MA","XIMIZED=FALSE&amp;VAR:CALENDAR=US&amp;VAR:SYMBOL=05614P10&amp;VAR:INDEX=0"}</definedName>
    <definedName name="_3433__FDSAUDITLINK__" localSheetId="6" hidden="1">{"fdsup://directions/FAT Viewer?action=UPDATE&amp;creator=factset&amp;DYN_ARGS=TRUE&amp;DOC_NAME=FAT:FQL_AUDITING_CLIENT_TEMPLATE.FAT&amp;display_string=Audit&amp;VAR:KEY=VORIBIVINK&amp;VAR:QUERY=RkZfRUJJVERBX0lCKCdMVE1TJywzODYyNCk=&amp;WINDOW=FIRST_POPUP&amp;HEIGHT=450&amp;WIDTH=450&amp;START_MA","XIMIZED=FALSE&amp;VAR:CALENDAR=US&amp;VAR:SYMBOL=05614P10&amp;VAR:INDEX=0"}</definedName>
    <definedName name="_3433__FDSAUDITLINK__" hidden="1">{"fdsup://directions/FAT Viewer?action=UPDATE&amp;creator=factset&amp;DYN_ARGS=TRUE&amp;DOC_NAME=FAT:FQL_AUDITING_CLIENT_TEMPLATE.FAT&amp;display_string=Audit&amp;VAR:KEY=VORIBIVINK&amp;VAR:QUERY=RkZfRUJJVERBX0lCKCdMVE1TJywzODYyNCk=&amp;WINDOW=FIRST_POPUP&amp;HEIGHT=450&amp;WIDTH=450&amp;START_MA","XIMIZED=FALSE&amp;VAR:CALENDAR=US&amp;VAR:SYMBOL=05614P10&amp;VAR:INDEX=0"}</definedName>
    <definedName name="_3434__FDSAUDITLINK__" localSheetId="6" hidden="1">{"fdsup://directions/FAT Viewer?action=UPDATE&amp;creator=factset&amp;DYN_ARGS=TRUE&amp;DOC_NAME=FAT:FQL_AUDITING_CLIENT_TEMPLATE.FAT&amp;display_string=Audit&amp;VAR:KEY=RCFALEXYDS&amp;VAR:QUERY=RkZfRUJJVERBX0lCKCdMVE1TJywzODYyMyk=&amp;WINDOW=FIRST_POPUP&amp;HEIGHT=450&amp;WIDTH=450&amp;START_MA","XIMIZED=FALSE&amp;VAR:CALENDAR=US&amp;VAR:SYMBOL=05614P10&amp;VAR:INDEX=0"}</definedName>
    <definedName name="_3434__FDSAUDITLINK__" hidden="1">{"fdsup://directions/FAT Viewer?action=UPDATE&amp;creator=factset&amp;DYN_ARGS=TRUE&amp;DOC_NAME=FAT:FQL_AUDITING_CLIENT_TEMPLATE.FAT&amp;display_string=Audit&amp;VAR:KEY=RCFALEXYDS&amp;VAR:QUERY=RkZfRUJJVERBX0lCKCdMVE1TJywzODYyMyk=&amp;WINDOW=FIRST_POPUP&amp;HEIGHT=450&amp;WIDTH=450&amp;START_MA","XIMIZED=FALSE&amp;VAR:CALENDAR=US&amp;VAR:SYMBOL=05614P10&amp;VAR:INDEX=0"}</definedName>
    <definedName name="_3435__FDSAUDITLINK__" localSheetId="6" hidden="1">{"fdsup://directions/FAT Viewer?action=UPDATE&amp;creator=factset&amp;DYN_ARGS=TRUE&amp;DOC_NAME=FAT:FQL_AUDITING_CLIENT_TEMPLATE.FAT&amp;display_string=Audit&amp;VAR:KEY=DWZODSNEBQ&amp;VAR:QUERY=RkZfRUJJVERBX0lCKCdMVE1TJywzODYyMik=&amp;WINDOW=FIRST_POPUP&amp;HEIGHT=450&amp;WIDTH=450&amp;START_MA","XIMIZED=FALSE&amp;VAR:CALENDAR=US&amp;VAR:SYMBOL=05614P10&amp;VAR:INDEX=0"}</definedName>
    <definedName name="_3435__FDSAUDITLINK__" hidden="1">{"fdsup://directions/FAT Viewer?action=UPDATE&amp;creator=factset&amp;DYN_ARGS=TRUE&amp;DOC_NAME=FAT:FQL_AUDITING_CLIENT_TEMPLATE.FAT&amp;display_string=Audit&amp;VAR:KEY=DWZODSNEBQ&amp;VAR:QUERY=RkZfRUJJVERBX0lCKCdMVE1TJywzODYyMik=&amp;WINDOW=FIRST_POPUP&amp;HEIGHT=450&amp;WIDTH=450&amp;START_MA","XIMIZED=FALSE&amp;VAR:CALENDAR=US&amp;VAR:SYMBOL=05614P10&amp;VAR:INDEX=0"}</definedName>
    <definedName name="_3436__FDSAUDITLINK__" localSheetId="6" hidden="1">{"fdsup://directions/FAT Viewer?action=UPDATE&amp;creator=factset&amp;DYN_ARGS=TRUE&amp;DOC_NAME=FAT:FQL_AUDITING_CLIENT_TEMPLATE.FAT&amp;display_string=Audit&amp;VAR:KEY=BALANWLYTQ&amp;VAR:QUERY=RkZfRUJJVERBX0lCKCdMVE1TJywzODYyMSk=&amp;WINDOW=FIRST_POPUP&amp;HEIGHT=450&amp;WIDTH=450&amp;START_MA","XIMIZED=FALSE&amp;VAR:CALENDAR=US&amp;VAR:SYMBOL=05614P10&amp;VAR:INDEX=0"}</definedName>
    <definedName name="_3436__FDSAUDITLINK__" hidden="1">{"fdsup://directions/FAT Viewer?action=UPDATE&amp;creator=factset&amp;DYN_ARGS=TRUE&amp;DOC_NAME=FAT:FQL_AUDITING_CLIENT_TEMPLATE.FAT&amp;display_string=Audit&amp;VAR:KEY=BALANWLYTQ&amp;VAR:QUERY=RkZfRUJJVERBX0lCKCdMVE1TJywzODYyMSk=&amp;WINDOW=FIRST_POPUP&amp;HEIGHT=450&amp;WIDTH=450&amp;START_MA","XIMIZED=FALSE&amp;VAR:CALENDAR=US&amp;VAR:SYMBOL=05614P10&amp;VAR:INDEX=0"}</definedName>
    <definedName name="_3437__FDSAUDITLINK__" localSheetId="6" hidden="1">{"fdsup://directions/FAT Viewer?action=UPDATE&amp;creator=factset&amp;DYN_ARGS=TRUE&amp;DOC_NAME=FAT:FQL_AUDITING_CLIENT_TEMPLATE.FAT&amp;display_string=Audit&amp;VAR:KEY=VCPGZGHGJI&amp;VAR:QUERY=RkZfRUJJVERBX0lCKCdMVE1TJywzODYyMCk=&amp;WINDOW=FIRST_POPUP&amp;HEIGHT=450&amp;WIDTH=450&amp;START_MA","XIMIZED=FALSE&amp;VAR:CALENDAR=US&amp;VAR:SYMBOL=05614P10&amp;VAR:INDEX=0"}</definedName>
    <definedName name="_3437__FDSAUDITLINK__" hidden="1">{"fdsup://directions/FAT Viewer?action=UPDATE&amp;creator=factset&amp;DYN_ARGS=TRUE&amp;DOC_NAME=FAT:FQL_AUDITING_CLIENT_TEMPLATE.FAT&amp;display_string=Audit&amp;VAR:KEY=VCPGZGHGJI&amp;VAR:QUERY=RkZfRUJJVERBX0lCKCdMVE1TJywzODYyMCk=&amp;WINDOW=FIRST_POPUP&amp;HEIGHT=450&amp;WIDTH=450&amp;START_MA","XIMIZED=FALSE&amp;VAR:CALENDAR=US&amp;VAR:SYMBOL=05614P10&amp;VAR:INDEX=0"}</definedName>
    <definedName name="_3438__FDSAUDITLINK__" localSheetId="6" hidden="1">{"fdsup://directions/FAT Viewer?action=UPDATE&amp;creator=factset&amp;DYN_ARGS=TRUE&amp;DOC_NAME=FAT:FQL_AUDITING_CLIENT_TEMPLATE.FAT&amp;display_string=Audit&amp;VAR:KEY=PKBUDIFWVG&amp;VAR:QUERY=RkZfRUJJVERBX0lCKCdMVE1TJywzODYxOSk=&amp;WINDOW=FIRST_POPUP&amp;HEIGHT=450&amp;WIDTH=450&amp;START_MA","XIMIZED=FALSE&amp;VAR:CALENDAR=US&amp;VAR:SYMBOL=05614P10&amp;VAR:INDEX=0"}</definedName>
    <definedName name="_3438__FDSAUDITLINK__" hidden="1">{"fdsup://directions/FAT Viewer?action=UPDATE&amp;creator=factset&amp;DYN_ARGS=TRUE&amp;DOC_NAME=FAT:FQL_AUDITING_CLIENT_TEMPLATE.FAT&amp;display_string=Audit&amp;VAR:KEY=PKBUDIFWVG&amp;VAR:QUERY=RkZfRUJJVERBX0lCKCdMVE1TJywzODYxOSk=&amp;WINDOW=FIRST_POPUP&amp;HEIGHT=450&amp;WIDTH=450&amp;START_MA","XIMIZED=FALSE&amp;VAR:CALENDAR=US&amp;VAR:SYMBOL=05614P10&amp;VAR:INDEX=0"}</definedName>
    <definedName name="_3439__FDSAUDITLINK__" localSheetId="6" hidden="1">{"fdsup://directions/FAT Viewer?action=UPDATE&amp;creator=factset&amp;DYN_ARGS=TRUE&amp;DOC_NAME=FAT:FQL_AUDITING_CLIENT_TEMPLATE.FAT&amp;display_string=Audit&amp;VAR:KEY=FANENGJEVA&amp;VAR:QUERY=RkZfRUJJVERBX0lCKCdMVE1TJywzODYxOCk=&amp;WINDOW=FIRST_POPUP&amp;HEIGHT=450&amp;WIDTH=450&amp;START_MA","XIMIZED=FALSE&amp;VAR:CALENDAR=US&amp;VAR:SYMBOL=05614P10&amp;VAR:INDEX=0"}</definedName>
    <definedName name="_3439__FDSAUDITLINK__" hidden="1">{"fdsup://directions/FAT Viewer?action=UPDATE&amp;creator=factset&amp;DYN_ARGS=TRUE&amp;DOC_NAME=FAT:FQL_AUDITING_CLIENT_TEMPLATE.FAT&amp;display_string=Audit&amp;VAR:KEY=FANENGJEVA&amp;VAR:QUERY=RkZfRUJJVERBX0lCKCdMVE1TJywzODYxOCk=&amp;WINDOW=FIRST_POPUP&amp;HEIGHT=450&amp;WIDTH=450&amp;START_MA","XIMIZED=FALSE&amp;VAR:CALENDAR=US&amp;VAR:SYMBOL=05614P10&amp;VAR:INDEX=0"}</definedName>
    <definedName name="_344__FDSAUDITLINK__" localSheetId="6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4__FDSAUDITLINK__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40__FDSAUDITLINK__" localSheetId="6" hidden="1">{"fdsup://directions/FAT Viewer?action=UPDATE&amp;creator=factset&amp;DYN_ARGS=TRUE&amp;DOC_NAME=FAT:FQL_AUDITING_CLIENT_TEMPLATE.FAT&amp;display_string=Audit&amp;VAR:KEY=JWHQXWFIDE&amp;VAR:QUERY=RkZfRUJJVERBX0lCKCdMVE1TJywzODYxNyk=&amp;WINDOW=FIRST_POPUP&amp;HEIGHT=450&amp;WIDTH=450&amp;START_MA","XIMIZED=FALSE&amp;VAR:CALENDAR=US&amp;VAR:SYMBOL=05614P10&amp;VAR:INDEX=0"}</definedName>
    <definedName name="_3440__FDSAUDITLINK__" hidden="1">{"fdsup://directions/FAT Viewer?action=UPDATE&amp;creator=factset&amp;DYN_ARGS=TRUE&amp;DOC_NAME=FAT:FQL_AUDITING_CLIENT_TEMPLATE.FAT&amp;display_string=Audit&amp;VAR:KEY=JWHQXWFIDE&amp;VAR:QUERY=RkZfRUJJVERBX0lCKCdMVE1TJywzODYxNyk=&amp;WINDOW=FIRST_POPUP&amp;HEIGHT=450&amp;WIDTH=450&amp;START_MA","XIMIZED=FALSE&amp;VAR:CALENDAR=US&amp;VAR:SYMBOL=05614P10&amp;VAR:INDEX=0"}</definedName>
    <definedName name="_3441__FDSAUDITLINK__" localSheetId="6" hidden="1">{"fdsup://directions/FAT Viewer?action=UPDATE&amp;creator=factset&amp;DYN_ARGS=TRUE&amp;DOC_NAME=FAT:FQL_AUDITING_CLIENT_TEMPLATE.FAT&amp;display_string=Audit&amp;VAR:KEY=ZUXSXILOFE&amp;VAR:QUERY=RkZfRUJJVERBX0lCKCdMVE1TJywzODYxNik=&amp;WINDOW=FIRST_POPUP&amp;HEIGHT=450&amp;WIDTH=450&amp;START_MA","XIMIZED=FALSE&amp;VAR:CALENDAR=US&amp;VAR:SYMBOL=05614P10&amp;VAR:INDEX=0"}</definedName>
    <definedName name="_3441__FDSAUDITLINK__" hidden="1">{"fdsup://directions/FAT Viewer?action=UPDATE&amp;creator=factset&amp;DYN_ARGS=TRUE&amp;DOC_NAME=FAT:FQL_AUDITING_CLIENT_TEMPLATE.FAT&amp;display_string=Audit&amp;VAR:KEY=ZUXSXILOFE&amp;VAR:QUERY=RkZfRUJJVERBX0lCKCdMVE1TJywzODYxNik=&amp;WINDOW=FIRST_POPUP&amp;HEIGHT=450&amp;WIDTH=450&amp;START_MA","XIMIZED=FALSE&amp;VAR:CALENDAR=US&amp;VAR:SYMBOL=05614P10&amp;VAR:INDEX=0"}</definedName>
    <definedName name="_3442__FDSAUDITLINK__" localSheetId="6" hidden="1">{"fdsup://directions/FAT Viewer?action=UPDATE&amp;creator=factset&amp;DYN_ARGS=TRUE&amp;DOC_NAME=FAT:FQL_AUDITING_CLIENT_TEMPLATE.FAT&amp;display_string=Audit&amp;VAR:KEY=NQRYTKJSVQ&amp;VAR:QUERY=RkZfRUJJVERBX0lCKCdMVE1TJywzODYxNSk=&amp;WINDOW=FIRST_POPUP&amp;HEIGHT=450&amp;WIDTH=450&amp;START_MA","XIMIZED=FALSE&amp;VAR:CALENDAR=US&amp;VAR:SYMBOL=05614P10&amp;VAR:INDEX=0"}</definedName>
    <definedName name="_3442__FDSAUDITLINK__" hidden="1">{"fdsup://directions/FAT Viewer?action=UPDATE&amp;creator=factset&amp;DYN_ARGS=TRUE&amp;DOC_NAME=FAT:FQL_AUDITING_CLIENT_TEMPLATE.FAT&amp;display_string=Audit&amp;VAR:KEY=NQRYTKJSVQ&amp;VAR:QUERY=RkZfRUJJVERBX0lCKCdMVE1TJywzODYxNSk=&amp;WINDOW=FIRST_POPUP&amp;HEIGHT=450&amp;WIDTH=450&amp;START_MA","XIMIZED=FALSE&amp;VAR:CALENDAR=US&amp;VAR:SYMBOL=05614P10&amp;VAR:INDEX=0"}</definedName>
    <definedName name="_3443__FDSAUDITLINK__" localSheetId="6" hidden="1">{"fdsup://directions/FAT Viewer?action=UPDATE&amp;creator=factset&amp;DYN_ARGS=TRUE&amp;DOC_NAME=FAT:FQL_AUDITING_CLIENT_TEMPLATE.FAT&amp;display_string=Audit&amp;VAR:KEY=BKDYPGJUXQ&amp;VAR:QUERY=RkZfRUJJVERBX0lCKCdMVE1TJywzODYxNCk=&amp;WINDOW=FIRST_POPUP&amp;HEIGHT=450&amp;WIDTH=450&amp;START_MA","XIMIZED=FALSE&amp;VAR:CALENDAR=US&amp;VAR:SYMBOL=05614P10&amp;VAR:INDEX=0"}</definedName>
    <definedName name="_3443__FDSAUDITLINK__" hidden="1">{"fdsup://directions/FAT Viewer?action=UPDATE&amp;creator=factset&amp;DYN_ARGS=TRUE&amp;DOC_NAME=FAT:FQL_AUDITING_CLIENT_TEMPLATE.FAT&amp;display_string=Audit&amp;VAR:KEY=BKDYPGJUXQ&amp;VAR:QUERY=RkZfRUJJVERBX0lCKCdMVE1TJywzODYxNCk=&amp;WINDOW=FIRST_POPUP&amp;HEIGHT=450&amp;WIDTH=450&amp;START_MA","XIMIZED=FALSE&amp;VAR:CALENDAR=US&amp;VAR:SYMBOL=05614P10&amp;VAR:INDEX=0"}</definedName>
    <definedName name="_3444__FDSAUDITLINK__" localSheetId="6" hidden="1">{"fdsup://directions/FAT Viewer?action=UPDATE&amp;creator=factset&amp;DYN_ARGS=TRUE&amp;DOC_NAME=FAT:FQL_AUDITING_CLIENT_TEMPLATE.FAT&amp;display_string=Audit&amp;VAR:KEY=FIVQRYLARA&amp;VAR:QUERY=RkZfRUJJVERBX0lCKCdMVE1TJywzODYxMyk=&amp;WINDOW=FIRST_POPUP&amp;HEIGHT=450&amp;WIDTH=450&amp;START_MA","XIMIZED=FALSE&amp;VAR:CALENDAR=US&amp;VAR:SYMBOL=05614P10&amp;VAR:INDEX=0"}</definedName>
    <definedName name="_3444__FDSAUDITLINK__" hidden="1">{"fdsup://directions/FAT Viewer?action=UPDATE&amp;creator=factset&amp;DYN_ARGS=TRUE&amp;DOC_NAME=FAT:FQL_AUDITING_CLIENT_TEMPLATE.FAT&amp;display_string=Audit&amp;VAR:KEY=FIVQRYLARA&amp;VAR:QUERY=RkZfRUJJVERBX0lCKCdMVE1TJywzODYxMyk=&amp;WINDOW=FIRST_POPUP&amp;HEIGHT=450&amp;WIDTH=450&amp;START_MA","XIMIZED=FALSE&amp;VAR:CALENDAR=US&amp;VAR:SYMBOL=05614P10&amp;VAR:INDEX=0"}</definedName>
    <definedName name="_3445__FDSAUDITLINK__" localSheetId="6" hidden="1">{"fdsup://directions/FAT Viewer?action=UPDATE&amp;creator=factset&amp;DYN_ARGS=TRUE&amp;DOC_NAME=FAT:FQL_AUDITING_CLIENT_TEMPLATE.FAT&amp;display_string=Audit&amp;VAR:KEY=HMTQBQBAHC&amp;VAR:QUERY=RkZfRUJJVERBX0lCKCdMVE1TJywzODYxMik=&amp;WINDOW=FIRST_POPUP&amp;HEIGHT=450&amp;WIDTH=450&amp;START_MA","XIMIZED=FALSE&amp;VAR:CALENDAR=US&amp;VAR:SYMBOL=05614P10&amp;VAR:INDEX=0"}</definedName>
    <definedName name="_3445__FDSAUDITLINK__" hidden="1">{"fdsup://directions/FAT Viewer?action=UPDATE&amp;creator=factset&amp;DYN_ARGS=TRUE&amp;DOC_NAME=FAT:FQL_AUDITING_CLIENT_TEMPLATE.FAT&amp;display_string=Audit&amp;VAR:KEY=HMTQBQBAHC&amp;VAR:QUERY=RkZfRUJJVERBX0lCKCdMVE1TJywzODYxMik=&amp;WINDOW=FIRST_POPUP&amp;HEIGHT=450&amp;WIDTH=450&amp;START_MA","XIMIZED=FALSE&amp;VAR:CALENDAR=US&amp;VAR:SYMBOL=05614P10&amp;VAR:INDEX=0"}</definedName>
    <definedName name="_3446__FDSAUDITLINK__" localSheetId="6" hidden="1">{"fdsup://directions/FAT Viewer?action=UPDATE&amp;creator=factset&amp;DYN_ARGS=TRUE&amp;DOC_NAME=FAT:FQL_AUDITING_CLIENT_TEMPLATE.FAT&amp;display_string=Audit&amp;VAR:KEY=DYZOZQTEVK&amp;VAR:QUERY=RkZfRUJJVERBX0lCKCdMVE1TJywzODYxMSk=&amp;WINDOW=FIRST_POPUP&amp;HEIGHT=450&amp;WIDTH=450&amp;START_MA","XIMIZED=FALSE&amp;VAR:CALENDAR=US&amp;VAR:SYMBOL=05614P10&amp;VAR:INDEX=0"}</definedName>
    <definedName name="_3446__FDSAUDITLINK__" hidden="1">{"fdsup://directions/FAT Viewer?action=UPDATE&amp;creator=factset&amp;DYN_ARGS=TRUE&amp;DOC_NAME=FAT:FQL_AUDITING_CLIENT_TEMPLATE.FAT&amp;display_string=Audit&amp;VAR:KEY=DYZOZQTEVK&amp;VAR:QUERY=RkZfRUJJVERBX0lCKCdMVE1TJywzODYxMSk=&amp;WINDOW=FIRST_POPUP&amp;HEIGHT=450&amp;WIDTH=450&amp;START_MA","XIMIZED=FALSE&amp;VAR:CALENDAR=US&amp;VAR:SYMBOL=05614P10&amp;VAR:INDEX=0"}</definedName>
    <definedName name="_3447__FDSAUDITLINK__" localSheetId="6" hidden="1">{"fdsup://directions/FAT Viewer?action=UPDATE&amp;creator=factset&amp;DYN_ARGS=TRUE&amp;DOC_NAME=FAT:FQL_AUDITING_CLIENT_TEMPLATE.FAT&amp;display_string=Audit&amp;VAR:KEY=HSPGROZIRM&amp;VAR:QUERY=RkZfRUJJVERBX0lCKCdMVE1TJywzODYxMCk=&amp;WINDOW=FIRST_POPUP&amp;HEIGHT=450&amp;WIDTH=450&amp;START_MA","XIMIZED=FALSE&amp;VAR:CALENDAR=US&amp;VAR:SYMBOL=05614P10&amp;VAR:INDEX=0"}</definedName>
    <definedName name="_3447__FDSAUDITLINK__" hidden="1">{"fdsup://directions/FAT Viewer?action=UPDATE&amp;creator=factset&amp;DYN_ARGS=TRUE&amp;DOC_NAME=FAT:FQL_AUDITING_CLIENT_TEMPLATE.FAT&amp;display_string=Audit&amp;VAR:KEY=HSPGROZIRM&amp;VAR:QUERY=RkZfRUJJVERBX0lCKCdMVE1TJywzODYxMCk=&amp;WINDOW=FIRST_POPUP&amp;HEIGHT=450&amp;WIDTH=450&amp;START_MA","XIMIZED=FALSE&amp;VAR:CALENDAR=US&amp;VAR:SYMBOL=05614P10&amp;VAR:INDEX=0"}</definedName>
    <definedName name="_3448__FDSAUDITLINK__" localSheetId="6" hidden="1">{"fdsup://directions/FAT Viewer?action=UPDATE&amp;creator=factset&amp;DYN_ARGS=TRUE&amp;DOC_NAME=FAT:FQL_AUDITING_CLIENT_TEMPLATE.FAT&amp;display_string=Audit&amp;VAR:KEY=PIZYPODMJG&amp;VAR:QUERY=RkZfRUJJVERBX0lCKCdMVE1TJywzODYwOSk=&amp;WINDOW=FIRST_POPUP&amp;HEIGHT=450&amp;WIDTH=450&amp;START_MA","XIMIZED=FALSE&amp;VAR:CALENDAR=US&amp;VAR:SYMBOL=05614P10&amp;VAR:INDEX=0"}</definedName>
    <definedName name="_3448__FDSAUDITLINK__" hidden="1">{"fdsup://directions/FAT Viewer?action=UPDATE&amp;creator=factset&amp;DYN_ARGS=TRUE&amp;DOC_NAME=FAT:FQL_AUDITING_CLIENT_TEMPLATE.FAT&amp;display_string=Audit&amp;VAR:KEY=PIZYPODMJG&amp;VAR:QUERY=RkZfRUJJVERBX0lCKCdMVE1TJywzODYwOSk=&amp;WINDOW=FIRST_POPUP&amp;HEIGHT=450&amp;WIDTH=450&amp;START_MA","XIMIZED=FALSE&amp;VAR:CALENDAR=US&amp;VAR:SYMBOL=05614P10&amp;VAR:INDEX=0"}</definedName>
    <definedName name="_3449__FDSAUDITLINK__" localSheetId="6" hidden="1">{"fdsup://directions/FAT Viewer?action=UPDATE&amp;creator=factset&amp;DYN_ARGS=TRUE&amp;DOC_NAME=FAT:FQL_AUDITING_CLIENT_TEMPLATE.FAT&amp;display_string=Audit&amp;VAR:KEY=ZEJATIXCPC&amp;VAR:QUERY=RkZfRUJJVERBX0lCKCdMVE1TJywzODYwOCk=&amp;WINDOW=FIRST_POPUP&amp;HEIGHT=450&amp;WIDTH=450&amp;START_MA","XIMIZED=FALSE&amp;VAR:CALENDAR=US&amp;VAR:SYMBOL=05614P10&amp;VAR:INDEX=0"}</definedName>
    <definedName name="_3449__FDSAUDITLINK__" hidden="1">{"fdsup://directions/FAT Viewer?action=UPDATE&amp;creator=factset&amp;DYN_ARGS=TRUE&amp;DOC_NAME=FAT:FQL_AUDITING_CLIENT_TEMPLATE.FAT&amp;display_string=Audit&amp;VAR:KEY=ZEJATIXCPC&amp;VAR:QUERY=RkZfRUJJVERBX0lCKCdMVE1TJywzODYwOCk=&amp;WINDOW=FIRST_POPUP&amp;HEIGHT=450&amp;WIDTH=450&amp;START_MA","XIMIZED=FALSE&amp;VAR:CALENDAR=US&amp;VAR:SYMBOL=05614P10&amp;VAR:INDEX=0"}</definedName>
    <definedName name="_345__FDSAUDITLINK__" localSheetId="6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5__FDSAUDITLINK__" hidden="1">{"fdsup://directions/FAT%20Viewer?VAR:PED=LTM&amp;VAR:AUDIT_MODE=SUMMARY&amp;VAR:PERIOD=FIXED&amp;VAR:AUDIT_ID=00000117&amp;VAR:DATE=20090313&amp;action=UPDATE&amp;creator=factset&amp;DOC_NAME=FAT:FMA_audit_SUMMARY.fat&amp;DISPLAY_STRING=Display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50__FDSAUDITLINK__" localSheetId="6" hidden="1">{"fdsup://directions/FAT Viewer?action=UPDATE&amp;creator=factset&amp;DYN_ARGS=TRUE&amp;DOC_NAME=FAT:FQL_AUDITING_CLIENT_TEMPLATE.FAT&amp;display_string=Audit&amp;VAR:KEY=HCJCVEXIFM&amp;VAR:QUERY=RkZfRUJJVERBX0lCKCdMVE1TJywzODYwNyk=&amp;WINDOW=FIRST_POPUP&amp;HEIGHT=450&amp;WIDTH=450&amp;START_MA","XIMIZED=FALSE&amp;VAR:CALENDAR=US&amp;VAR:SYMBOL=05614P10&amp;VAR:INDEX=0"}</definedName>
    <definedName name="_3450__FDSAUDITLINK__" hidden="1">{"fdsup://directions/FAT Viewer?action=UPDATE&amp;creator=factset&amp;DYN_ARGS=TRUE&amp;DOC_NAME=FAT:FQL_AUDITING_CLIENT_TEMPLATE.FAT&amp;display_string=Audit&amp;VAR:KEY=HCJCVEXIFM&amp;VAR:QUERY=RkZfRUJJVERBX0lCKCdMVE1TJywzODYwNyk=&amp;WINDOW=FIRST_POPUP&amp;HEIGHT=450&amp;WIDTH=450&amp;START_MA","XIMIZED=FALSE&amp;VAR:CALENDAR=US&amp;VAR:SYMBOL=05614P10&amp;VAR:INDEX=0"}</definedName>
    <definedName name="_3451__FDSAUDITLINK__" localSheetId="6" hidden="1">{"fdsup://directions/FAT Viewer?action=UPDATE&amp;creator=factset&amp;DYN_ARGS=TRUE&amp;DOC_NAME=FAT:FQL_AUDITING_CLIENT_TEMPLATE.FAT&amp;display_string=Audit&amp;VAR:KEY=XCHMNAJQHU&amp;VAR:QUERY=RkZfRUJJVERBX0lCKCdMVE1TJywzODYwNik=&amp;WINDOW=FIRST_POPUP&amp;HEIGHT=450&amp;WIDTH=450&amp;START_MA","XIMIZED=FALSE&amp;VAR:CALENDAR=US&amp;VAR:SYMBOL=05614P10&amp;VAR:INDEX=0"}</definedName>
    <definedName name="_3451__FDSAUDITLINK__" hidden="1">{"fdsup://directions/FAT Viewer?action=UPDATE&amp;creator=factset&amp;DYN_ARGS=TRUE&amp;DOC_NAME=FAT:FQL_AUDITING_CLIENT_TEMPLATE.FAT&amp;display_string=Audit&amp;VAR:KEY=XCHMNAJQHU&amp;VAR:QUERY=RkZfRUJJVERBX0lCKCdMVE1TJywzODYwNik=&amp;WINDOW=FIRST_POPUP&amp;HEIGHT=450&amp;WIDTH=450&amp;START_MA","XIMIZED=FALSE&amp;VAR:CALENDAR=US&amp;VAR:SYMBOL=05614P10&amp;VAR:INDEX=0"}</definedName>
    <definedName name="_3452__FDSAUDITLINK__" localSheetId="6" hidden="1">{"fdsup://directions/FAT Viewer?action=UPDATE&amp;creator=factset&amp;DYN_ARGS=TRUE&amp;DOC_NAME=FAT:FQL_AUDITING_CLIENT_TEMPLATE.FAT&amp;display_string=Audit&amp;VAR:KEY=PWJOPANSBC&amp;VAR:QUERY=RkZfRUJJVERBX0lCKCdMVE1TJywzODYwNSk=&amp;WINDOW=FIRST_POPUP&amp;HEIGHT=450&amp;WIDTH=450&amp;START_MA","XIMIZED=FALSE&amp;VAR:CALENDAR=US&amp;VAR:SYMBOL=05614P10&amp;VAR:INDEX=0"}</definedName>
    <definedName name="_3452__FDSAUDITLINK__" hidden="1">{"fdsup://directions/FAT Viewer?action=UPDATE&amp;creator=factset&amp;DYN_ARGS=TRUE&amp;DOC_NAME=FAT:FQL_AUDITING_CLIENT_TEMPLATE.FAT&amp;display_string=Audit&amp;VAR:KEY=PWJOPANSBC&amp;VAR:QUERY=RkZfRUJJVERBX0lCKCdMVE1TJywzODYwNSk=&amp;WINDOW=FIRST_POPUP&amp;HEIGHT=450&amp;WIDTH=450&amp;START_MA","XIMIZED=FALSE&amp;VAR:CALENDAR=US&amp;VAR:SYMBOL=05614P10&amp;VAR:INDEX=0"}</definedName>
    <definedName name="_3453__FDSAUDITLINK__" localSheetId="6" hidden="1">{"fdsup://directions/FAT Viewer?action=UPDATE&amp;creator=factset&amp;DYN_ARGS=TRUE&amp;DOC_NAME=FAT:FQL_AUDITING_CLIENT_TEMPLATE.FAT&amp;display_string=Audit&amp;VAR:KEY=LULCZURWZA&amp;VAR:QUERY=RkZfRUJJVERBX0lCKCdMVE1TJywzODYwNCk=&amp;WINDOW=FIRST_POPUP&amp;HEIGHT=450&amp;WIDTH=450&amp;START_MA","XIMIZED=FALSE&amp;VAR:CALENDAR=US&amp;VAR:SYMBOL=05614P10&amp;VAR:INDEX=0"}</definedName>
    <definedName name="_3453__FDSAUDITLINK__" hidden="1">{"fdsup://directions/FAT Viewer?action=UPDATE&amp;creator=factset&amp;DYN_ARGS=TRUE&amp;DOC_NAME=FAT:FQL_AUDITING_CLIENT_TEMPLATE.FAT&amp;display_string=Audit&amp;VAR:KEY=LULCZURWZA&amp;VAR:QUERY=RkZfRUJJVERBX0lCKCdMVE1TJywzODYwNCk=&amp;WINDOW=FIRST_POPUP&amp;HEIGHT=450&amp;WIDTH=450&amp;START_MA","XIMIZED=FALSE&amp;VAR:CALENDAR=US&amp;VAR:SYMBOL=05614P10&amp;VAR:INDEX=0"}</definedName>
    <definedName name="_3454__FDSAUDITLINK__" localSheetId="6" hidden="1">{"fdsup://directions/FAT Viewer?action=UPDATE&amp;creator=factset&amp;DYN_ARGS=TRUE&amp;DOC_NAME=FAT:FQL_AUDITING_CLIENT_TEMPLATE.FAT&amp;display_string=Audit&amp;VAR:KEY=XWHQROFEZW&amp;VAR:QUERY=RkZfRUJJVERBX0lCKCdMVE1TJywzODYwMyk=&amp;WINDOW=FIRST_POPUP&amp;HEIGHT=450&amp;WIDTH=450&amp;START_MA","XIMIZED=FALSE&amp;VAR:CALENDAR=US&amp;VAR:SYMBOL=05614P10&amp;VAR:INDEX=0"}</definedName>
    <definedName name="_3454__FDSAUDITLINK__" hidden="1">{"fdsup://directions/FAT Viewer?action=UPDATE&amp;creator=factset&amp;DYN_ARGS=TRUE&amp;DOC_NAME=FAT:FQL_AUDITING_CLIENT_TEMPLATE.FAT&amp;display_string=Audit&amp;VAR:KEY=XWHQROFEZW&amp;VAR:QUERY=RkZfRUJJVERBX0lCKCdMVE1TJywzODYwMyk=&amp;WINDOW=FIRST_POPUP&amp;HEIGHT=450&amp;WIDTH=450&amp;START_MA","XIMIZED=FALSE&amp;VAR:CALENDAR=US&amp;VAR:SYMBOL=05614P10&amp;VAR:INDEX=0"}</definedName>
    <definedName name="_3455__FDSAUDITLINK__" localSheetId="6" hidden="1">{"fdsup://directions/FAT Viewer?action=UPDATE&amp;creator=factset&amp;DYN_ARGS=TRUE&amp;DOC_NAME=FAT:FQL_AUDITING_CLIENT_TEMPLATE.FAT&amp;display_string=Audit&amp;VAR:KEY=PYXWLEXUDO&amp;VAR:QUERY=RkZfRUJJVERBX0lCKCdMVE1TJywzODYwMik=&amp;WINDOW=FIRST_POPUP&amp;HEIGHT=450&amp;WIDTH=450&amp;START_MA","XIMIZED=FALSE&amp;VAR:CALENDAR=US&amp;VAR:SYMBOL=05614P10&amp;VAR:INDEX=0"}</definedName>
    <definedName name="_3455__FDSAUDITLINK__" hidden="1">{"fdsup://directions/FAT Viewer?action=UPDATE&amp;creator=factset&amp;DYN_ARGS=TRUE&amp;DOC_NAME=FAT:FQL_AUDITING_CLIENT_TEMPLATE.FAT&amp;display_string=Audit&amp;VAR:KEY=PYXWLEXUDO&amp;VAR:QUERY=RkZfRUJJVERBX0lCKCdMVE1TJywzODYwMik=&amp;WINDOW=FIRST_POPUP&amp;HEIGHT=450&amp;WIDTH=450&amp;START_MA","XIMIZED=FALSE&amp;VAR:CALENDAR=US&amp;VAR:SYMBOL=05614P10&amp;VAR:INDEX=0"}</definedName>
    <definedName name="_3456__FDSAUDITLINK__" localSheetId="6" hidden="1">{"fdsup://directions/FAT Viewer?action=UPDATE&amp;creator=factset&amp;DYN_ARGS=TRUE&amp;DOC_NAME=FAT:FQL_AUDITING_CLIENT_TEMPLATE.FAT&amp;display_string=Audit&amp;VAR:KEY=ZMHYPUJSZY&amp;VAR:QUERY=RkZfRUJJVERBX0lCKCdMVE1TJywzODYwMSk=&amp;WINDOW=FIRST_POPUP&amp;HEIGHT=450&amp;WIDTH=450&amp;START_MA","XIMIZED=FALSE&amp;VAR:CALENDAR=US&amp;VAR:SYMBOL=05614P10&amp;VAR:INDEX=0"}</definedName>
    <definedName name="_3456__FDSAUDITLINK__" hidden="1">{"fdsup://directions/FAT Viewer?action=UPDATE&amp;creator=factset&amp;DYN_ARGS=TRUE&amp;DOC_NAME=FAT:FQL_AUDITING_CLIENT_TEMPLATE.FAT&amp;display_string=Audit&amp;VAR:KEY=ZMHYPUJSZY&amp;VAR:QUERY=RkZfRUJJVERBX0lCKCdMVE1TJywzODYwMSk=&amp;WINDOW=FIRST_POPUP&amp;HEIGHT=450&amp;WIDTH=450&amp;START_MA","XIMIZED=FALSE&amp;VAR:CALENDAR=US&amp;VAR:SYMBOL=05614P10&amp;VAR:INDEX=0"}</definedName>
    <definedName name="_3457__FDSAUDITLINK__" localSheetId="6" hidden="1">{"fdsup://directions/FAT Viewer?action=UPDATE&amp;creator=factset&amp;DYN_ARGS=TRUE&amp;DOC_NAME=FAT:FQL_AUDITING_CLIENT_TEMPLATE.FAT&amp;display_string=Audit&amp;VAR:KEY=FWXEJGLYXU&amp;VAR:QUERY=RkZfRUJJVERBX0lCKCdMVE1TJywzODYwMCk=&amp;WINDOW=FIRST_POPUP&amp;HEIGHT=450&amp;WIDTH=450&amp;START_MA","XIMIZED=FALSE&amp;VAR:CALENDAR=US&amp;VAR:SYMBOL=05614P10&amp;VAR:INDEX=0"}</definedName>
    <definedName name="_3457__FDSAUDITLINK__" hidden="1">{"fdsup://directions/FAT Viewer?action=UPDATE&amp;creator=factset&amp;DYN_ARGS=TRUE&amp;DOC_NAME=FAT:FQL_AUDITING_CLIENT_TEMPLATE.FAT&amp;display_string=Audit&amp;VAR:KEY=FWXEJGLYXU&amp;VAR:QUERY=RkZfRUJJVERBX0lCKCdMVE1TJywzODYwMCk=&amp;WINDOW=FIRST_POPUP&amp;HEIGHT=450&amp;WIDTH=450&amp;START_MA","XIMIZED=FALSE&amp;VAR:CALENDAR=US&amp;VAR:SYMBOL=05614P10&amp;VAR:INDEX=0"}</definedName>
    <definedName name="_3458__FDSAUDITLINK__" localSheetId="6" hidden="1">{"fdsup://directions/FAT Viewer?action=UPDATE&amp;creator=factset&amp;DYN_ARGS=TRUE&amp;DOC_NAME=FAT:FQL_AUDITING_CLIENT_TEMPLATE.FAT&amp;display_string=Audit&amp;VAR:KEY=XWDIVYTURQ&amp;VAR:QUERY=RkZfRUJJVERBX0lCKCdMVE1TJywzODU5OSk=&amp;WINDOW=FIRST_POPUP&amp;HEIGHT=450&amp;WIDTH=450&amp;START_MA","XIMIZED=FALSE&amp;VAR:CALENDAR=US&amp;VAR:SYMBOL=05614P10&amp;VAR:INDEX=0"}</definedName>
    <definedName name="_3458__FDSAUDITLINK__" hidden="1">{"fdsup://directions/FAT Viewer?action=UPDATE&amp;creator=factset&amp;DYN_ARGS=TRUE&amp;DOC_NAME=FAT:FQL_AUDITING_CLIENT_TEMPLATE.FAT&amp;display_string=Audit&amp;VAR:KEY=XWDIVYTURQ&amp;VAR:QUERY=RkZfRUJJVERBX0lCKCdMVE1TJywzODU5OSk=&amp;WINDOW=FIRST_POPUP&amp;HEIGHT=450&amp;WIDTH=450&amp;START_MA","XIMIZED=FALSE&amp;VAR:CALENDAR=US&amp;VAR:SYMBOL=05614P10&amp;VAR:INDEX=0"}</definedName>
    <definedName name="_3459__FDSAUDITLINK__" localSheetId="6" hidden="1">{"fdsup://directions/FAT Viewer?action=UPDATE&amp;creator=factset&amp;DYN_ARGS=TRUE&amp;DOC_NAME=FAT:FQL_AUDITING_CLIENT_TEMPLATE.FAT&amp;display_string=Audit&amp;VAR:KEY=XITQZABGLO&amp;VAR:QUERY=RkZfRUJJVERBX0lCKCdMVE1TJywzODU5OCk=&amp;WINDOW=FIRST_POPUP&amp;HEIGHT=450&amp;WIDTH=450&amp;START_MA","XIMIZED=FALSE&amp;VAR:CALENDAR=US&amp;VAR:SYMBOL=05614P10&amp;VAR:INDEX=0"}</definedName>
    <definedName name="_3459__FDSAUDITLINK__" hidden="1">{"fdsup://directions/FAT Viewer?action=UPDATE&amp;creator=factset&amp;DYN_ARGS=TRUE&amp;DOC_NAME=FAT:FQL_AUDITING_CLIENT_TEMPLATE.FAT&amp;display_string=Audit&amp;VAR:KEY=XITQZABGLO&amp;VAR:QUERY=RkZfRUJJVERBX0lCKCdMVE1TJywzODU5OCk=&amp;WINDOW=FIRST_POPUP&amp;HEIGHT=450&amp;WIDTH=450&amp;START_MA","XIMIZED=FALSE&amp;VAR:CALENDAR=US&amp;VAR:SYMBOL=05614P10&amp;VAR:INDEX=0"}</definedName>
    <definedName name="_346__FDSAUDITLINK__" localSheetId="6" hidden="1">{"fdsup://directions/FAT%20Viewer?VAR:PED=LTM&amp;VAR:AUDIT_MODE=SUMMARY&amp;VAR:PERIOD=FIXED&amp;VAR:AUDIT_ID=00000117&amp;VAR:DATE=20090312&amp;action=UPDATE&amp;creator=factset&amp;DOC_NAME=FAT:FMA_audit_SUMMARY.fat&amp;DISPLAY_STRING=Display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6__FDSAUDITLINK__" hidden="1">{"fdsup://directions/FAT%20Viewer?VAR:PED=LTM&amp;VAR:AUDIT_MODE=SUMMARY&amp;VAR:PERIOD=FIXED&amp;VAR:AUDIT_ID=00000117&amp;VAR:DATE=20090312&amp;action=UPDATE&amp;creator=factset&amp;DOC_NAME=FAT:FMA_audit_SUMMARY.fat&amp;DISPLAY_STRING=Display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60__FDSAUDITLINK__" localSheetId="6" hidden="1">{"fdsup://directions/FAT Viewer?action=UPDATE&amp;creator=factset&amp;DYN_ARGS=TRUE&amp;DOC_NAME=FAT:FQL_AUDITING_CLIENT_TEMPLATE.FAT&amp;display_string=Audit&amp;VAR:KEY=PSDCHCPMJW&amp;VAR:QUERY=RkZfRUJJVERBX0lCKCdMVE1TJywzODU5Nyk=&amp;WINDOW=FIRST_POPUP&amp;HEIGHT=450&amp;WIDTH=450&amp;START_MA","XIMIZED=FALSE&amp;VAR:CALENDAR=US&amp;VAR:SYMBOL=05614P10&amp;VAR:INDEX=0"}</definedName>
    <definedName name="_3460__FDSAUDITLINK__" hidden="1">{"fdsup://directions/FAT Viewer?action=UPDATE&amp;creator=factset&amp;DYN_ARGS=TRUE&amp;DOC_NAME=FAT:FQL_AUDITING_CLIENT_TEMPLATE.FAT&amp;display_string=Audit&amp;VAR:KEY=PSDCHCPMJW&amp;VAR:QUERY=RkZfRUJJVERBX0lCKCdMVE1TJywzODU5Nyk=&amp;WINDOW=FIRST_POPUP&amp;HEIGHT=450&amp;WIDTH=450&amp;START_MA","XIMIZED=FALSE&amp;VAR:CALENDAR=US&amp;VAR:SYMBOL=05614P10&amp;VAR:INDEX=0"}</definedName>
    <definedName name="_3461__FDSAUDITLINK__" localSheetId="6" hidden="1">{"fdsup://directions/FAT Viewer?action=UPDATE&amp;creator=factset&amp;DYN_ARGS=TRUE&amp;DOC_NAME=FAT:FQL_AUDITING_CLIENT_TEMPLATE.FAT&amp;display_string=Audit&amp;VAR:KEY=NMRSJQDABM&amp;VAR:QUERY=RkZfRUJJVERBX0lCKCdMVE1TJywzODU5Nik=&amp;WINDOW=FIRST_POPUP&amp;HEIGHT=450&amp;WIDTH=450&amp;START_MA","XIMIZED=FALSE&amp;VAR:CALENDAR=US&amp;VAR:SYMBOL=05614P10&amp;VAR:INDEX=0"}</definedName>
    <definedName name="_3461__FDSAUDITLINK__" hidden="1">{"fdsup://directions/FAT Viewer?action=UPDATE&amp;creator=factset&amp;DYN_ARGS=TRUE&amp;DOC_NAME=FAT:FQL_AUDITING_CLIENT_TEMPLATE.FAT&amp;display_string=Audit&amp;VAR:KEY=NMRSJQDABM&amp;VAR:QUERY=RkZfRUJJVERBX0lCKCdMVE1TJywzODU5Nik=&amp;WINDOW=FIRST_POPUP&amp;HEIGHT=450&amp;WIDTH=450&amp;START_MA","XIMIZED=FALSE&amp;VAR:CALENDAR=US&amp;VAR:SYMBOL=05614P10&amp;VAR:INDEX=0"}</definedName>
    <definedName name="_3462__FDSAUDITLINK__" localSheetId="6" hidden="1">{"fdsup://directions/FAT Viewer?action=UPDATE&amp;creator=factset&amp;DYN_ARGS=TRUE&amp;DOC_NAME=FAT:FQL_AUDITING_CLIENT_TEMPLATE.FAT&amp;display_string=Audit&amp;VAR:KEY=PELCZETOPK&amp;VAR:QUERY=RkZfRUJJVERBX0lCKCdMVE1TJywzODU5NSk=&amp;WINDOW=FIRST_POPUP&amp;HEIGHT=450&amp;WIDTH=450&amp;START_MA","XIMIZED=FALSE&amp;VAR:CALENDAR=US&amp;VAR:SYMBOL=05614P10&amp;VAR:INDEX=0"}</definedName>
    <definedName name="_3462__FDSAUDITLINK__" hidden="1">{"fdsup://directions/FAT Viewer?action=UPDATE&amp;creator=factset&amp;DYN_ARGS=TRUE&amp;DOC_NAME=FAT:FQL_AUDITING_CLIENT_TEMPLATE.FAT&amp;display_string=Audit&amp;VAR:KEY=PELCZETOPK&amp;VAR:QUERY=RkZfRUJJVERBX0lCKCdMVE1TJywzODU5NSk=&amp;WINDOW=FIRST_POPUP&amp;HEIGHT=450&amp;WIDTH=450&amp;START_MA","XIMIZED=FALSE&amp;VAR:CALENDAR=US&amp;VAR:SYMBOL=05614P10&amp;VAR:INDEX=0"}</definedName>
    <definedName name="_3463__FDSAUDITLINK__" localSheetId="6" hidden="1">{"fdsup://directions/FAT Viewer?action=UPDATE&amp;creator=factset&amp;DYN_ARGS=TRUE&amp;DOC_NAME=FAT:FQL_AUDITING_CLIENT_TEMPLATE.FAT&amp;display_string=Audit&amp;VAR:KEY=HEPGRGBUJC&amp;VAR:QUERY=RkZfRUJJVERBX0lCKCdMVE1TJywzODU5NCk=&amp;WINDOW=FIRST_POPUP&amp;HEIGHT=450&amp;WIDTH=450&amp;START_MA","XIMIZED=FALSE&amp;VAR:CALENDAR=US&amp;VAR:SYMBOL=05614P10&amp;VAR:INDEX=0"}</definedName>
    <definedName name="_3463__FDSAUDITLINK__" hidden="1">{"fdsup://directions/FAT Viewer?action=UPDATE&amp;creator=factset&amp;DYN_ARGS=TRUE&amp;DOC_NAME=FAT:FQL_AUDITING_CLIENT_TEMPLATE.FAT&amp;display_string=Audit&amp;VAR:KEY=HEPGRGBUJC&amp;VAR:QUERY=RkZfRUJJVERBX0lCKCdMVE1TJywzODU5NCk=&amp;WINDOW=FIRST_POPUP&amp;HEIGHT=450&amp;WIDTH=450&amp;START_MA","XIMIZED=FALSE&amp;VAR:CALENDAR=US&amp;VAR:SYMBOL=05614P10&amp;VAR:INDEX=0"}</definedName>
    <definedName name="_3464__FDSAUDITLINK__" localSheetId="6" hidden="1">{"fdsup://directions/FAT Viewer?action=UPDATE&amp;creator=factset&amp;DYN_ARGS=TRUE&amp;DOC_NAME=FAT:FQL_AUDITING_CLIENT_TEMPLATE.FAT&amp;display_string=Audit&amp;VAR:KEY=JENAZMHCTS&amp;VAR:QUERY=RkZfRUJJVERBX0lCKCdMVE1TJywzODU5Myk=&amp;WINDOW=FIRST_POPUP&amp;HEIGHT=450&amp;WIDTH=450&amp;START_MA","XIMIZED=FALSE&amp;VAR:CALENDAR=US&amp;VAR:SYMBOL=05614P10&amp;VAR:INDEX=0"}</definedName>
    <definedName name="_3464__FDSAUDITLINK__" hidden="1">{"fdsup://directions/FAT Viewer?action=UPDATE&amp;creator=factset&amp;DYN_ARGS=TRUE&amp;DOC_NAME=FAT:FQL_AUDITING_CLIENT_TEMPLATE.FAT&amp;display_string=Audit&amp;VAR:KEY=JENAZMHCTS&amp;VAR:QUERY=RkZfRUJJVERBX0lCKCdMVE1TJywzODU5Myk=&amp;WINDOW=FIRST_POPUP&amp;HEIGHT=450&amp;WIDTH=450&amp;START_MA","XIMIZED=FALSE&amp;VAR:CALENDAR=US&amp;VAR:SYMBOL=05614P10&amp;VAR:INDEX=0"}</definedName>
    <definedName name="_3465__FDSAUDITLINK__" localSheetId="6" hidden="1">{"fdsup://directions/FAT Viewer?action=UPDATE&amp;creator=factset&amp;DYN_ARGS=TRUE&amp;DOC_NAME=FAT:FQL_AUDITING_CLIENT_TEMPLATE.FAT&amp;display_string=Audit&amp;VAR:KEY=POHKVSXWXE&amp;VAR:QUERY=RkZfRUJJVERBX0lCKCdMVE1TJywzODU5Mik=&amp;WINDOW=FIRST_POPUP&amp;HEIGHT=450&amp;WIDTH=450&amp;START_MA","XIMIZED=FALSE&amp;VAR:CALENDAR=US&amp;VAR:SYMBOL=05614P10&amp;VAR:INDEX=0"}</definedName>
    <definedName name="_3465__FDSAUDITLINK__" hidden="1">{"fdsup://directions/FAT Viewer?action=UPDATE&amp;creator=factset&amp;DYN_ARGS=TRUE&amp;DOC_NAME=FAT:FQL_AUDITING_CLIENT_TEMPLATE.FAT&amp;display_string=Audit&amp;VAR:KEY=POHKVSXWXE&amp;VAR:QUERY=RkZfRUJJVERBX0lCKCdMVE1TJywzODU5Mik=&amp;WINDOW=FIRST_POPUP&amp;HEIGHT=450&amp;WIDTH=450&amp;START_MA","XIMIZED=FALSE&amp;VAR:CALENDAR=US&amp;VAR:SYMBOL=05614P10&amp;VAR:INDEX=0"}</definedName>
    <definedName name="_3466__FDSAUDITLINK__" localSheetId="6" hidden="1">{"fdsup://directions/FAT Viewer?action=UPDATE&amp;creator=factset&amp;DYN_ARGS=TRUE&amp;DOC_NAME=FAT:FQL_AUDITING_CLIENT_TEMPLATE.FAT&amp;display_string=Audit&amp;VAR:KEY=DAFIHIPUZC&amp;VAR:QUERY=RkZfRUJJVERBX0lCKCdMVE1TJywzODU5MSk=&amp;WINDOW=FIRST_POPUP&amp;HEIGHT=450&amp;WIDTH=450&amp;START_MA","XIMIZED=FALSE&amp;VAR:CALENDAR=US&amp;VAR:SYMBOL=05614P10&amp;VAR:INDEX=0"}</definedName>
    <definedName name="_3466__FDSAUDITLINK__" hidden="1">{"fdsup://directions/FAT Viewer?action=UPDATE&amp;creator=factset&amp;DYN_ARGS=TRUE&amp;DOC_NAME=FAT:FQL_AUDITING_CLIENT_TEMPLATE.FAT&amp;display_string=Audit&amp;VAR:KEY=DAFIHIPUZC&amp;VAR:QUERY=RkZfRUJJVERBX0lCKCdMVE1TJywzODU5MSk=&amp;WINDOW=FIRST_POPUP&amp;HEIGHT=450&amp;WIDTH=450&amp;START_MA","XIMIZED=FALSE&amp;VAR:CALENDAR=US&amp;VAR:SYMBOL=05614P10&amp;VAR:INDEX=0"}</definedName>
    <definedName name="_3467__FDSAUDITLINK__" localSheetId="6" hidden="1">{"fdsup://directions/FAT Viewer?action=UPDATE&amp;creator=factset&amp;DYN_ARGS=TRUE&amp;DOC_NAME=FAT:FQL_AUDITING_CLIENT_TEMPLATE.FAT&amp;display_string=Audit&amp;VAR:KEY=VKRKJCLARI&amp;VAR:QUERY=RkZfRUJJVERBX0lCKCdMVE1TJywzODU5MCk=&amp;WINDOW=FIRST_POPUP&amp;HEIGHT=450&amp;WIDTH=450&amp;START_MA","XIMIZED=FALSE&amp;VAR:CALENDAR=US&amp;VAR:SYMBOL=05614P10&amp;VAR:INDEX=0"}</definedName>
    <definedName name="_3467__FDSAUDITLINK__" hidden="1">{"fdsup://directions/FAT Viewer?action=UPDATE&amp;creator=factset&amp;DYN_ARGS=TRUE&amp;DOC_NAME=FAT:FQL_AUDITING_CLIENT_TEMPLATE.FAT&amp;display_string=Audit&amp;VAR:KEY=VKRKJCLARI&amp;VAR:QUERY=RkZfRUJJVERBX0lCKCdMVE1TJywzODU5MCk=&amp;WINDOW=FIRST_POPUP&amp;HEIGHT=450&amp;WIDTH=450&amp;START_MA","XIMIZED=FALSE&amp;VAR:CALENDAR=US&amp;VAR:SYMBOL=05614P10&amp;VAR:INDEX=0"}</definedName>
    <definedName name="_3468__FDSAUDITLINK__" localSheetId="6" hidden="1">{"fdsup://directions/FAT Viewer?action=UPDATE&amp;creator=factset&amp;DYN_ARGS=TRUE&amp;DOC_NAME=FAT:FQL_AUDITING_CLIENT_TEMPLATE.FAT&amp;display_string=Audit&amp;VAR:KEY=ZSLARORIZS&amp;VAR:QUERY=RkZfRUJJVERBX0lCKCdMVE1TJywzODU4OSk=&amp;WINDOW=FIRST_POPUP&amp;HEIGHT=450&amp;WIDTH=450&amp;START_MA","XIMIZED=FALSE&amp;VAR:CALENDAR=US&amp;VAR:SYMBOL=05614P10&amp;VAR:INDEX=0"}</definedName>
    <definedName name="_3468__FDSAUDITLINK__" hidden="1">{"fdsup://directions/FAT Viewer?action=UPDATE&amp;creator=factset&amp;DYN_ARGS=TRUE&amp;DOC_NAME=FAT:FQL_AUDITING_CLIENT_TEMPLATE.FAT&amp;display_string=Audit&amp;VAR:KEY=ZSLARORIZS&amp;VAR:QUERY=RkZfRUJJVERBX0lCKCdMVE1TJywzODU4OSk=&amp;WINDOW=FIRST_POPUP&amp;HEIGHT=450&amp;WIDTH=450&amp;START_MA","XIMIZED=FALSE&amp;VAR:CALENDAR=US&amp;VAR:SYMBOL=05614P10&amp;VAR:INDEX=0"}</definedName>
    <definedName name="_3469__FDSAUDITLINK__" localSheetId="6" hidden="1">{"fdsup://directions/FAT Viewer?action=UPDATE&amp;creator=factset&amp;DYN_ARGS=TRUE&amp;DOC_NAME=FAT:FQL_AUDITING_CLIENT_TEMPLATE.FAT&amp;display_string=Audit&amp;VAR:KEY=JILIXWHGJW&amp;VAR:QUERY=RkZfRUJJVERBX0lCKCdMVE1TJywzODU4OCk=&amp;WINDOW=FIRST_POPUP&amp;HEIGHT=450&amp;WIDTH=450&amp;START_MA","XIMIZED=FALSE&amp;VAR:CALENDAR=US&amp;VAR:SYMBOL=05614P10&amp;VAR:INDEX=0"}</definedName>
    <definedName name="_3469__FDSAUDITLINK__" hidden="1">{"fdsup://directions/FAT Viewer?action=UPDATE&amp;creator=factset&amp;DYN_ARGS=TRUE&amp;DOC_NAME=FAT:FQL_AUDITING_CLIENT_TEMPLATE.FAT&amp;display_string=Audit&amp;VAR:KEY=JILIXWHGJW&amp;VAR:QUERY=RkZfRUJJVERBX0lCKCdMVE1TJywzODU4OCk=&amp;WINDOW=FIRST_POPUP&amp;HEIGHT=450&amp;WIDTH=450&amp;START_MA","XIMIZED=FALSE&amp;VAR:CALENDAR=US&amp;VAR:SYMBOL=05614P10&amp;VAR:INDEX=0"}</definedName>
    <definedName name="_347__FDSAUDITLINK__" localSheetId="6" hidden="1">{"fdsup://directions/FAT%20Viewer?VAR:PED=LTM&amp;VAR:AUDIT_MODE=SUMMARY&amp;VAR:PERIOD=FIXED&amp;VAR:AUDIT_ID=00000117&amp;VAR:DATE=20090311&amp;action=UPDATE&amp;creator=factset&amp;DOC_NAME=FAT:FMA_audit_SUMMARY.fat&amp;DISPLAY_STRING=Display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7__FDSAUDITLINK__" hidden="1">{"fdsup://directions/FAT%20Viewer?VAR:PED=LTM&amp;VAR:AUDIT_MODE=SUMMARY&amp;VAR:PERIOD=FIXED&amp;VAR:AUDIT_ID=00000117&amp;VAR:DATE=20090311&amp;action=UPDATE&amp;creator=factset&amp;DOC_NAME=FAT:FMA_audit_SUMMARY.fat&amp;DISPLAY_STRING=Display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70__FDSAUDITLINK__" localSheetId="6" hidden="1">{"fdsup://directions/FAT Viewer?action=UPDATE&amp;creator=factset&amp;DYN_ARGS=TRUE&amp;DOC_NAME=FAT:FQL_AUDITING_CLIENT_TEMPLATE.FAT&amp;display_string=Audit&amp;VAR:KEY=ZIPWVCVULE&amp;VAR:QUERY=RkZfRUJJVERBX0lCKCdMVE1TJywzODU4Nyk=&amp;WINDOW=FIRST_POPUP&amp;HEIGHT=450&amp;WIDTH=450&amp;START_MA","XIMIZED=FALSE&amp;VAR:CALENDAR=US&amp;VAR:SYMBOL=05614P10&amp;VAR:INDEX=0"}</definedName>
    <definedName name="_3470__FDSAUDITLINK__" hidden="1">{"fdsup://directions/FAT Viewer?action=UPDATE&amp;creator=factset&amp;DYN_ARGS=TRUE&amp;DOC_NAME=FAT:FQL_AUDITING_CLIENT_TEMPLATE.FAT&amp;display_string=Audit&amp;VAR:KEY=ZIPWVCVULE&amp;VAR:QUERY=RkZfRUJJVERBX0lCKCdMVE1TJywzODU4Nyk=&amp;WINDOW=FIRST_POPUP&amp;HEIGHT=450&amp;WIDTH=450&amp;START_MA","XIMIZED=FALSE&amp;VAR:CALENDAR=US&amp;VAR:SYMBOL=05614P10&amp;VAR:INDEX=0"}</definedName>
    <definedName name="_3471__FDSAUDITLINK__" localSheetId="6" hidden="1">{"fdsup://directions/FAT Viewer?action=UPDATE&amp;creator=factset&amp;DYN_ARGS=TRUE&amp;DOC_NAME=FAT:FQL_AUDITING_CLIENT_TEMPLATE.FAT&amp;display_string=Audit&amp;VAR:KEY=DGDMBIDWJU&amp;VAR:QUERY=RkZfRUJJVERBX0lCKCdMVE1TJywzODU4Nik=&amp;WINDOW=FIRST_POPUP&amp;HEIGHT=450&amp;WIDTH=450&amp;START_MA","XIMIZED=FALSE&amp;VAR:CALENDAR=US&amp;VAR:SYMBOL=05614P10&amp;VAR:INDEX=0"}</definedName>
    <definedName name="_3471__FDSAUDITLINK__" hidden="1">{"fdsup://directions/FAT Viewer?action=UPDATE&amp;creator=factset&amp;DYN_ARGS=TRUE&amp;DOC_NAME=FAT:FQL_AUDITING_CLIENT_TEMPLATE.FAT&amp;display_string=Audit&amp;VAR:KEY=DGDMBIDWJU&amp;VAR:QUERY=RkZfRUJJVERBX0lCKCdMVE1TJywzODU4Nik=&amp;WINDOW=FIRST_POPUP&amp;HEIGHT=450&amp;WIDTH=450&amp;START_MA","XIMIZED=FALSE&amp;VAR:CALENDAR=US&amp;VAR:SYMBOL=05614P10&amp;VAR:INDEX=0"}</definedName>
    <definedName name="_3472__FDSAUDITLINK__" localSheetId="6" hidden="1">{"fdsup://directions/FAT Viewer?action=UPDATE&amp;creator=factset&amp;DYN_ARGS=TRUE&amp;DOC_NAME=FAT:FQL_AUDITING_CLIENT_TEMPLATE.FAT&amp;display_string=Audit&amp;VAR:KEY=LMXYVGHSJU&amp;VAR:QUERY=RkZfRUJJVERBX0lCKCdMVE1TJywzODU4NSk=&amp;WINDOW=FIRST_POPUP&amp;HEIGHT=450&amp;WIDTH=450&amp;START_MA","XIMIZED=FALSE&amp;VAR:CALENDAR=US&amp;VAR:SYMBOL=05614P10&amp;VAR:INDEX=0"}</definedName>
    <definedName name="_3472__FDSAUDITLINK__" hidden="1">{"fdsup://directions/FAT Viewer?action=UPDATE&amp;creator=factset&amp;DYN_ARGS=TRUE&amp;DOC_NAME=FAT:FQL_AUDITING_CLIENT_TEMPLATE.FAT&amp;display_string=Audit&amp;VAR:KEY=LMXYVGHSJU&amp;VAR:QUERY=RkZfRUJJVERBX0lCKCdMVE1TJywzODU4NSk=&amp;WINDOW=FIRST_POPUP&amp;HEIGHT=450&amp;WIDTH=450&amp;START_MA","XIMIZED=FALSE&amp;VAR:CALENDAR=US&amp;VAR:SYMBOL=05614P10&amp;VAR:INDEX=0"}</definedName>
    <definedName name="_3473__FDSAUDITLINK__" localSheetId="6" hidden="1">{"fdsup://directions/FAT Viewer?action=UPDATE&amp;creator=factset&amp;DYN_ARGS=TRUE&amp;DOC_NAME=FAT:FQL_AUDITING_CLIENT_TEMPLATE.FAT&amp;display_string=Audit&amp;VAR:KEY=PALULWDUPG&amp;VAR:QUERY=RkZfRUJJVERBX0lCKCdMVE1TJywzODU4NCk=&amp;WINDOW=FIRST_POPUP&amp;HEIGHT=450&amp;WIDTH=450&amp;START_MA","XIMIZED=FALSE&amp;VAR:CALENDAR=US&amp;VAR:SYMBOL=05614P10&amp;VAR:INDEX=0"}</definedName>
    <definedName name="_3473__FDSAUDITLINK__" hidden="1">{"fdsup://directions/FAT Viewer?action=UPDATE&amp;creator=factset&amp;DYN_ARGS=TRUE&amp;DOC_NAME=FAT:FQL_AUDITING_CLIENT_TEMPLATE.FAT&amp;display_string=Audit&amp;VAR:KEY=PALULWDUPG&amp;VAR:QUERY=RkZfRUJJVERBX0lCKCdMVE1TJywzODU4NCk=&amp;WINDOW=FIRST_POPUP&amp;HEIGHT=450&amp;WIDTH=450&amp;START_MA","XIMIZED=FALSE&amp;VAR:CALENDAR=US&amp;VAR:SYMBOL=05614P10&amp;VAR:INDEX=0"}</definedName>
    <definedName name="_3474__FDSAUDITLINK__" localSheetId="6" hidden="1">{"fdsup://directions/FAT Viewer?action=UPDATE&amp;creator=factset&amp;DYN_ARGS=TRUE&amp;DOC_NAME=FAT:FQL_AUDITING_CLIENT_TEMPLATE.FAT&amp;display_string=Audit&amp;VAR:KEY=HMJQNGPKJU&amp;VAR:QUERY=RkZfRUJJVERBX0lCKCdMVE1TJywzODU4Myk=&amp;WINDOW=FIRST_POPUP&amp;HEIGHT=450&amp;WIDTH=450&amp;START_MA","XIMIZED=FALSE&amp;VAR:CALENDAR=US&amp;VAR:SYMBOL=05614P10&amp;VAR:INDEX=0"}</definedName>
    <definedName name="_3474__FDSAUDITLINK__" hidden="1">{"fdsup://directions/FAT Viewer?action=UPDATE&amp;creator=factset&amp;DYN_ARGS=TRUE&amp;DOC_NAME=FAT:FQL_AUDITING_CLIENT_TEMPLATE.FAT&amp;display_string=Audit&amp;VAR:KEY=HMJQNGPKJU&amp;VAR:QUERY=RkZfRUJJVERBX0lCKCdMVE1TJywzODU4Myk=&amp;WINDOW=FIRST_POPUP&amp;HEIGHT=450&amp;WIDTH=450&amp;START_MA","XIMIZED=FALSE&amp;VAR:CALENDAR=US&amp;VAR:SYMBOL=05614P10&amp;VAR:INDEX=0"}</definedName>
    <definedName name="_3475__FDSAUDITLINK__" localSheetId="6" hidden="1">{"fdsup://directions/FAT Viewer?action=UPDATE&amp;creator=factset&amp;DYN_ARGS=TRUE&amp;DOC_NAME=FAT:FQL_AUDITING_CLIENT_TEMPLATE.FAT&amp;display_string=Audit&amp;VAR:KEY=NUVKPSFMXU&amp;VAR:QUERY=RkZfRUJJVERBX0lCKCdMVE1TJywzODU4Mik=&amp;WINDOW=FIRST_POPUP&amp;HEIGHT=450&amp;WIDTH=450&amp;START_MA","XIMIZED=FALSE&amp;VAR:CALENDAR=US&amp;VAR:SYMBOL=05614P10&amp;VAR:INDEX=0"}</definedName>
    <definedName name="_3475__FDSAUDITLINK__" hidden="1">{"fdsup://directions/FAT Viewer?action=UPDATE&amp;creator=factset&amp;DYN_ARGS=TRUE&amp;DOC_NAME=FAT:FQL_AUDITING_CLIENT_TEMPLATE.FAT&amp;display_string=Audit&amp;VAR:KEY=NUVKPSFMXU&amp;VAR:QUERY=RkZfRUJJVERBX0lCKCdMVE1TJywzODU4Mik=&amp;WINDOW=FIRST_POPUP&amp;HEIGHT=450&amp;WIDTH=450&amp;START_MA","XIMIZED=FALSE&amp;VAR:CALENDAR=US&amp;VAR:SYMBOL=05614P10&amp;VAR:INDEX=0"}</definedName>
    <definedName name="_3476__FDSAUDITLINK__" localSheetId="6" hidden="1">{"fdsup://directions/FAT Viewer?action=UPDATE&amp;creator=factset&amp;DYN_ARGS=TRUE&amp;DOC_NAME=FAT:FQL_AUDITING_CLIENT_TEMPLATE.FAT&amp;display_string=Audit&amp;VAR:KEY=DMHSJATAXA&amp;VAR:QUERY=RkZfRUJJVERBX0lCKCdMVE1TJywzODU4MSk=&amp;WINDOW=FIRST_POPUP&amp;HEIGHT=450&amp;WIDTH=450&amp;START_MA","XIMIZED=FALSE&amp;VAR:CALENDAR=US&amp;VAR:SYMBOL=05614P10&amp;VAR:INDEX=0"}</definedName>
    <definedName name="_3476__FDSAUDITLINK__" hidden="1">{"fdsup://directions/FAT Viewer?action=UPDATE&amp;creator=factset&amp;DYN_ARGS=TRUE&amp;DOC_NAME=FAT:FQL_AUDITING_CLIENT_TEMPLATE.FAT&amp;display_string=Audit&amp;VAR:KEY=DMHSJATAXA&amp;VAR:QUERY=RkZfRUJJVERBX0lCKCdMVE1TJywzODU4MSk=&amp;WINDOW=FIRST_POPUP&amp;HEIGHT=450&amp;WIDTH=450&amp;START_MA","XIMIZED=FALSE&amp;VAR:CALENDAR=US&amp;VAR:SYMBOL=05614P10&amp;VAR:INDEX=0"}</definedName>
    <definedName name="_3477__FDSAUDITLINK__" localSheetId="6" hidden="1">{"fdsup://directions/FAT Viewer?action=UPDATE&amp;creator=factset&amp;DYN_ARGS=TRUE&amp;DOC_NAME=FAT:FQL_AUDITING_CLIENT_TEMPLATE.FAT&amp;display_string=Audit&amp;VAR:KEY=RKFCXMZSRA&amp;VAR:QUERY=RkZfRUJJVERBX0lCKCdMVE1TJywzODU4MCk=&amp;WINDOW=FIRST_POPUP&amp;HEIGHT=450&amp;WIDTH=450&amp;START_MA","XIMIZED=FALSE&amp;VAR:CALENDAR=US&amp;VAR:SYMBOL=05614P10&amp;VAR:INDEX=0"}</definedName>
    <definedName name="_3477__FDSAUDITLINK__" hidden="1">{"fdsup://directions/FAT Viewer?action=UPDATE&amp;creator=factset&amp;DYN_ARGS=TRUE&amp;DOC_NAME=FAT:FQL_AUDITING_CLIENT_TEMPLATE.FAT&amp;display_string=Audit&amp;VAR:KEY=RKFCXMZSRA&amp;VAR:QUERY=RkZfRUJJVERBX0lCKCdMVE1TJywzODU4MCk=&amp;WINDOW=FIRST_POPUP&amp;HEIGHT=450&amp;WIDTH=450&amp;START_MA","XIMIZED=FALSE&amp;VAR:CALENDAR=US&amp;VAR:SYMBOL=05614P10&amp;VAR:INDEX=0"}</definedName>
    <definedName name="_3478__FDSAUDITLINK__" localSheetId="6" hidden="1">{"fdsup://directions/FAT Viewer?action=UPDATE&amp;creator=factset&amp;DYN_ARGS=TRUE&amp;DOC_NAME=FAT:FQL_AUDITING_CLIENT_TEMPLATE.FAT&amp;display_string=Audit&amp;VAR:KEY=JUJMLUVQXG&amp;VAR:QUERY=RkZfRUJJVERBX0lCKCdMVE1TJywzODU3OSk=&amp;WINDOW=FIRST_POPUP&amp;HEIGHT=450&amp;WIDTH=450&amp;START_MA","XIMIZED=FALSE&amp;VAR:CALENDAR=US&amp;VAR:SYMBOL=05614P10&amp;VAR:INDEX=0"}</definedName>
    <definedName name="_3478__FDSAUDITLINK__" hidden="1">{"fdsup://directions/FAT Viewer?action=UPDATE&amp;creator=factset&amp;DYN_ARGS=TRUE&amp;DOC_NAME=FAT:FQL_AUDITING_CLIENT_TEMPLATE.FAT&amp;display_string=Audit&amp;VAR:KEY=JUJMLUVQXG&amp;VAR:QUERY=RkZfRUJJVERBX0lCKCdMVE1TJywzODU3OSk=&amp;WINDOW=FIRST_POPUP&amp;HEIGHT=450&amp;WIDTH=450&amp;START_MA","XIMIZED=FALSE&amp;VAR:CALENDAR=US&amp;VAR:SYMBOL=05614P10&amp;VAR:INDEX=0"}</definedName>
    <definedName name="_3479__FDSAUDITLINK__" localSheetId="6" hidden="1">{"fdsup://directions/FAT Viewer?action=UPDATE&amp;creator=factset&amp;DYN_ARGS=TRUE&amp;DOC_NAME=FAT:FQL_AUDITING_CLIENT_TEMPLATE.FAT&amp;display_string=Audit&amp;VAR:KEY=BUPOLWRWFI&amp;VAR:QUERY=RkZfRUJJVERBX0lCKCdMVE1TJywzODU3OCk=&amp;WINDOW=FIRST_POPUP&amp;HEIGHT=450&amp;WIDTH=450&amp;START_MA","XIMIZED=FALSE&amp;VAR:CALENDAR=US&amp;VAR:SYMBOL=05614P10&amp;VAR:INDEX=0"}</definedName>
    <definedName name="_3479__FDSAUDITLINK__" hidden="1">{"fdsup://directions/FAT Viewer?action=UPDATE&amp;creator=factset&amp;DYN_ARGS=TRUE&amp;DOC_NAME=FAT:FQL_AUDITING_CLIENT_TEMPLATE.FAT&amp;display_string=Audit&amp;VAR:KEY=BUPOLWRWFI&amp;VAR:QUERY=RkZfRUJJVERBX0lCKCdMVE1TJywzODU3OCk=&amp;WINDOW=FIRST_POPUP&amp;HEIGHT=450&amp;WIDTH=450&amp;START_MA","XIMIZED=FALSE&amp;VAR:CALENDAR=US&amp;VAR:SYMBOL=05614P10&amp;VAR:INDEX=0"}</definedName>
    <definedName name="_348__FDSAUDITLINK__" localSheetId="6" hidden="1">{"fdsup://directions/FAT%20Viewer?VAR:PED=LTM&amp;VAR:AUDIT_MODE=SUMMARY&amp;VAR:PERIOD=FIXED&amp;VAR:AUDIT_ID=00000117&amp;VAR:DATE=20090310&amp;action=UPDATE&amp;creator=factset&amp;DOC_NAME=FAT:FMA_audit_SUMMARY.fat&amp;DISPLAY_STRING=Display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8__FDSAUDITLINK__" hidden="1">{"fdsup://directions/FAT%20Viewer?VAR:PED=LTM&amp;VAR:AUDIT_MODE=SUMMARY&amp;VAR:PERIOD=FIXED&amp;VAR:AUDIT_ID=00000117&amp;VAR:DATE=20090310&amp;action=UPDATE&amp;creator=factset&amp;DOC_NAME=FAT:FMA_audit_SUMMARY.fat&amp;DISPLAY_STRING=Display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80__FDSAUDITLINK__" localSheetId="6" hidden="1">{"fdsup://directions/FAT Viewer?action=UPDATE&amp;creator=factset&amp;DYN_ARGS=TRUE&amp;DOC_NAME=FAT:FQL_AUDITING_CLIENT_TEMPLATE.FAT&amp;display_string=Audit&amp;VAR:KEY=PQFAFGDWNE&amp;VAR:QUERY=RkZfRUJJVERBX0lCKCdMVE1TJywzODU3Nyk=&amp;WINDOW=FIRST_POPUP&amp;HEIGHT=450&amp;WIDTH=450&amp;START_MA","XIMIZED=FALSE&amp;VAR:CALENDAR=US&amp;VAR:SYMBOL=05614P10&amp;VAR:INDEX=0"}</definedName>
    <definedName name="_3480__FDSAUDITLINK__" hidden="1">{"fdsup://directions/FAT Viewer?action=UPDATE&amp;creator=factset&amp;DYN_ARGS=TRUE&amp;DOC_NAME=FAT:FQL_AUDITING_CLIENT_TEMPLATE.FAT&amp;display_string=Audit&amp;VAR:KEY=PQFAFGDWNE&amp;VAR:QUERY=RkZfRUJJVERBX0lCKCdMVE1TJywzODU3Nyk=&amp;WINDOW=FIRST_POPUP&amp;HEIGHT=450&amp;WIDTH=450&amp;START_MA","XIMIZED=FALSE&amp;VAR:CALENDAR=US&amp;VAR:SYMBOL=05614P10&amp;VAR:INDEX=0"}</definedName>
    <definedName name="_3481__FDSAUDITLINK__" localSheetId="6" hidden="1">{"fdsup://directions/FAT Viewer?action=UPDATE&amp;creator=factset&amp;DYN_ARGS=TRUE&amp;DOC_NAME=FAT:FQL_AUDITING_CLIENT_TEMPLATE.FAT&amp;display_string=Audit&amp;VAR:KEY=FMRGFCHKDK&amp;VAR:QUERY=RkZfRUJJVERBX0lCKCdMVE1TJywzODU3Nik=&amp;WINDOW=FIRST_POPUP&amp;HEIGHT=450&amp;WIDTH=450&amp;START_MA","XIMIZED=FALSE&amp;VAR:CALENDAR=US&amp;VAR:SYMBOL=05614P10&amp;VAR:INDEX=0"}</definedName>
    <definedName name="_3481__FDSAUDITLINK__" hidden="1">{"fdsup://directions/FAT Viewer?action=UPDATE&amp;creator=factset&amp;DYN_ARGS=TRUE&amp;DOC_NAME=FAT:FQL_AUDITING_CLIENT_TEMPLATE.FAT&amp;display_string=Audit&amp;VAR:KEY=FMRGFCHKDK&amp;VAR:QUERY=RkZfRUJJVERBX0lCKCdMVE1TJywzODU3Nik=&amp;WINDOW=FIRST_POPUP&amp;HEIGHT=450&amp;WIDTH=450&amp;START_MA","XIMIZED=FALSE&amp;VAR:CALENDAR=US&amp;VAR:SYMBOL=05614P10&amp;VAR:INDEX=0"}</definedName>
    <definedName name="_3482__FDSAUDITLINK__" localSheetId="6" hidden="1">{"fdsup://directions/FAT Viewer?action=UPDATE&amp;creator=factset&amp;DYN_ARGS=TRUE&amp;DOC_NAME=FAT:FQL_AUDITING_CLIENT_TEMPLATE.FAT&amp;display_string=Audit&amp;VAR:KEY=LMFKVUJCBY&amp;VAR:QUERY=RkZfRUJJVERBX0lCKCdMVE1TJywzODU3NSk=&amp;WINDOW=FIRST_POPUP&amp;HEIGHT=450&amp;WIDTH=450&amp;START_MA","XIMIZED=FALSE&amp;VAR:CALENDAR=US&amp;VAR:SYMBOL=05614P10&amp;VAR:INDEX=0"}</definedName>
    <definedName name="_3482__FDSAUDITLINK__" hidden="1">{"fdsup://directions/FAT Viewer?action=UPDATE&amp;creator=factset&amp;DYN_ARGS=TRUE&amp;DOC_NAME=FAT:FQL_AUDITING_CLIENT_TEMPLATE.FAT&amp;display_string=Audit&amp;VAR:KEY=LMFKVUJCBY&amp;VAR:QUERY=RkZfRUJJVERBX0lCKCdMVE1TJywzODU3NSk=&amp;WINDOW=FIRST_POPUP&amp;HEIGHT=450&amp;WIDTH=450&amp;START_MA","XIMIZED=FALSE&amp;VAR:CALENDAR=US&amp;VAR:SYMBOL=05614P10&amp;VAR:INDEX=0"}</definedName>
    <definedName name="_3483__FDSAUDITLINK__" localSheetId="6" hidden="1">{"fdsup://directions/FAT Viewer?action=UPDATE&amp;creator=factset&amp;DYN_ARGS=TRUE&amp;DOC_NAME=FAT:FQL_AUDITING_CLIENT_TEMPLATE.FAT&amp;display_string=Audit&amp;VAR:KEY=RUVIHGNQBC&amp;VAR:QUERY=RkZfRUJJVERBX0lCKCdMVE1TJywzODU3NCk=&amp;WINDOW=FIRST_POPUP&amp;HEIGHT=450&amp;WIDTH=450&amp;START_MA","XIMIZED=FALSE&amp;VAR:CALENDAR=US&amp;VAR:SYMBOL=05614P10&amp;VAR:INDEX=0"}</definedName>
    <definedName name="_3483__FDSAUDITLINK__" hidden="1">{"fdsup://directions/FAT Viewer?action=UPDATE&amp;creator=factset&amp;DYN_ARGS=TRUE&amp;DOC_NAME=FAT:FQL_AUDITING_CLIENT_TEMPLATE.FAT&amp;display_string=Audit&amp;VAR:KEY=RUVIHGNQBC&amp;VAR:QUERY=RkZfRUJJVERBX0lCKCdMVE1TJywzODU3NCk=&amp;WINDOW=FIRST_POPUP&amp;HEIGHT=450&amp;WIDTH=450&amp;START_MA","XIMIZED=FALSE&amp;VAR:CALENDAR=US&amp;VAR:SYMBOL=05614P10&amp;VAR:INDEX=0"}</definedName>
    <definedName name="_3484__FDSAUDITLINK__" localSheetId="6" hidden="1">{"fdsup://directions/FAT Viewer?action=UPDATE&amp;creator=factset&amp;DYN_ARGS=TRUE&amp;DOC_NAME=FAT:FQL_AUDITING_CLIENT_TEMPLATE.FAT&amp;display_string=Audit&amp;VAR:KEY=PCXQVYBWNI&amp;VAR:QUERY=RkZfRUJJVERBX0lCKCdMVE1TJywzODU3Myk=&amp;WINDOW=FIRST_POPUP&amp;HEIGHT=450&amp;WIDTH=450&amp;START_MA","XIMIZED=FALSE&amp;VAR:CALENDAR=US&amp;VAR:SYMBOL=05614P10&amp;VAR:INDEX=0"}</definedName>
    <definedName name="_3484__FDSAUDITLINK__" hidden="1">{"fdsup://directions/FAT Viewer?action=UPDATE&amp;creator=factset&amp;DYN_ARGS=TRUE&amp;DOC_NAME=FAT:FQL_AUDITING_CLIENT_TEMPLATE.FAT&amp;display_string=Audit&amp;VAR:KEY=PCXQVYBWNI&amp;VAR:QUERY=RkZfRUJJVERBX0lCKCdMVE1TJywzODU3Myk=&amp;WINDOW=FIRST_POPUP&amp;HEIGHT=450&amp;WIDTH=450&amp;START_MA","XIMIZED=FALSE&amp;VAR:CALENDAR=US&amp;VAR:SYMBOL=05614P10&amp;VAR:INDEX=0"}</definedName>
    <definedName name="_3485__FDSAUDITLINK__" localSheetId="6" hidden="1">{"fdsup://directions/FAT Viewer?action=UPDATE&amp;creator=factset&amp;DYN_ARGS=TRUE&amp;DOC_NAME=FAT:FQL_AUDITING_CLIENT_TEMPLATE.FAT&amp;display_string=Audit&amp;VAR:KEY=RWXMLWTUNO&amp;VAR:QUERY=RkZfRUJJVERBX0lCKCdMVE1TJywzODU3Mik=&amp;WINDOW=FIRST_POPUP&amp;HEIGHT=450&amp;WIDTH=450&amp;START_MA","XIMIZED=FALSE&amp;VAR:CALENDAR=US&amp;VAR:SYMBOL=05614P10&amp;VAR:INDEX=0"}</definedName>
    <definedName name="_3485__FDSAUDITLINK__" hidden="1">{"fdsup://directions/FAT Viewer?action=UPDATE&amp;creator=factset&amp;DYN_ARGS=TRUE&amp;DOC_NAME=FAT:FQL_AUDITING_CLIENT_TEMPLATE.FAT&amp;display_string=Audit&amp;VAR:KEY=RWXMLWTUNO&amp;VAR:QUERY=RkZfRUJJVERBX0lCKCdMVE1TJywzODU3Mik=&amp;WINDOW=FIRST_POPUP&amp;HEIGHT=450&amp;WIDTH=450&amp;START_MA","XIMIZED=FALSE&amp;VAR:CALENDAR=US&amp;VAR:SYMBOL=05614P10&amp;VAR:INDEX=0"}</definedName>
    <definedName name="_3486__FDSAUDITLINK__" localSheetId="6" hidden="1">{"fdsup://directions/FAT Viewer?action=UPDATE&amp;creator=factset&amp;DYN_ARGS=TRUE&amp;DOC_NAME=FAT:FQL_AUDITING_CLIENT_TEMPLATE.FAT&amp;display_string=Audit&amp;VAR:KEY=DGZEXWRERY&amp;VAR:QUERY=RkZfRUJJVERBX0lCKCdMVE1TJywzODU3MSk=&amp;WINDOW=FIRST_POPUP&amp;HEIGHT=450&amp;WIDTH=450&amp;START_MA","XIMIZED=FALSE&amp;VAR:CALENDAR=US&amp;VAR:SYMBOL=05614P10&amp;VAR:INDEX=0"}</definedName>
    <definedName name="_3486__FDSAUDITLINK__" hidden="1">{"fdsup://directions/FAT Viewer?action=UPDATE&amp;creator=factset&amp;DYN_ARGS=TRUE&amp;DOC_NAME=FAT:FQL_AUDITING_CLIENT_TEMPLATE.FAT&amp;display_string=Audit&amp;VAR:KEY=DGZEXWRERY&amp;VAR:QUERY=RkZfRUJJVERBX0lCKCdMVE1TJywzODU3MSk=&amp;WINDOW=FIRST_POPUP&amp;HEIGHT=450&amp;WIDTH=450&amp;START_MA","XIMIZED=FALSE&amp;VAR:CALENDAR=US&amp;VAR:SYMBOL=05614P10&amp;VAR:INDEX=0"}</definedName>
    <definedName name="_3487__FDSAUDITLINK__" localSheetId="6" hidden="1">{"fdsup://directions/FAT Viewer?action=UPDATE&amp;creator=factset&amp;DYN_ARGS=TRUE&amp;DOC_NAME=FAT:FQL_AUDITING_CLIENT_TEMPLATE.FAT&amp;display_string=Audit&amp;VAR:KEY=JCDIFURCXC&amp;VAR:QUERY=RkZfRUJJVERBX0lCKCdMVE1TJywzODU3MCk=&amp;WINDOW=FIRST_POPUP&amp;HEIGHT=450&amp;WIDTH=450&amp;START_MA","XIMIZED=FALSE&amp;VAR:CALENDAR=US&amp;VAR:SYMBOL=05614P10&amp;VAR:INDEX=0"}</definedName>
    <definedName name="_3487__FDSAUDITLINK__" hidden="1">{"fdsup://directions/FAT Viewer?action=UPDATE&amp;creator=factset&amp;DYN_ARGS=TRUE&amp;DOC_NAME=FAT:FQL_AUDITING_CLIENT_TEMPLATE.FAT&amp;display_string=Audit&amp;VAR:KEY=JCDIFURCXC&amp;VAR:QUERY=RkZfRUJJVERBX0lCKCdMVE1TJywzODU3MCk=&amp;WINDOW=FIRST_POPUP&amp;HEIGHT=450&amp;WIDTH=450&amp;START_MA","XIMIZED=FALSE&amp;VAR:CALENDAR=US&amp;VAR:SYMBOL=05614P10&amp;VAR:INDEX=0"}</definedName>
    <definedName name="_3488__FDSAUDITLINK__" localSheetId="6" hidden="1">{"fdsup://directions/FAT Viewer?action=UPDATE&amp;creator=factset&amp;DYN_ARGS=TRUE&amp;DOC_NAME=FAT:FQL_AUDITING_CLIENT_TEMPLATE.FAT&amp;display_string=Audit&amp;VAR:KEY=PWVSFCTANC&amp;VAR:QUERY=RkZfRUJJVERBX0lCKCdMVE1TJywzODU2OSk=&amp;WINDOW=FIRST_POPUP&amp;HEIGHT=450&amp;WIDTH=450&amp;START_MA","XIMIZED=FALSE&amp;VAR:CALENDAR=US&amp;VAR:SYMBOL=05614P10&amp;VAR:INDEX=0"}</definedName>
    <definedName name="_3488__FDSAUDITLINK__" hidden="1">{"fdsup://directions/FAT Viewer?action=UPDATE&amp;creator=factset&amp;DYN_ARGS=TRUE&amp;DOC_NAME=FAT:FQL_AUDITING_CLIENT_TEMPLATE.FAT&amp;display_string=Audit&amp;VAR:KEY=PWVSFCTANC&amp;VAR:QUERY=RkZfRUJJVERBX0lCKCdMVE1TJywzODU2OSk=&amp;WINDOW=FIRST_POPUP&amp;HEIGHT=450&amp;WIDTH=450&amp;START_MA","XIMIZED=FALSE&amp;VAR:CALENDAR=US&amp;VAR:SYMBOL=05614P10&amp;VAR:INDEX=0"}</definedName>
    <definedName name="_3489__FDSAUDITLINK__" localSheetId="6" hidden="1">{"fdsup://directions/FAT Viewer?action=UPDATE&amp;creator=factset&amp;DYN_ARGS=TRUE&amp;DOC_NAME=FAT:FQL_AUDITING_CLIENT_TEMPLATE.FAT&amp;display_string=Audit&amp;VAR:KEY=RALMNEHYLS&amp;VAR:QUERY=RkZfRUJJVERBX0lCKCdMVE1TJywzODU2OCk=&amp;WINDOW=FIRST_POPUP&amp;HEIGHT=450&amp;WIDTH=450&amp;START_MA","XIMIZED=FALSE&amp;VAR:CALENDAR=US&amp;VAR:SYMBOL=05614P10&amp;VAR:INDEX=0"}</definedName>
    <definedName name="_3489__FDSAUDITLINK__" hidden="1">{"fdsup://directions/FAT Viewer?action=UPDATE&amp;creator=factset&amp;DYN_ARGS=TRUE&amp;DOC_NAME=FAT:FQL_AUDITING_CLIENT_TEMPLATE.FAT&amp;display_string=Audit&amp;VAR:KEY=RALMNEHYLS&amp;VAR:QUERY=RkZfRUJJVERBX0lCKCdMVE1TJywzODU2OCk=&amp;WINDOW=FIRST_POPUP&amp;HEIGHT=450&amp;WIDTH=450&amp;START_MA","XIMIZED=FALSE&amp;VAR:CALENDAR=US&amp;VAR:SYMBOL=05614P10&amp;VAR:INDEX=0"}</definedName>
    <definedName name="_349__FDSAUDITLINK__" localSheetId="6" hidden="1">{"fdsup://directions/FAT%20Viewer?VAR:PED=LTM&amp;VAR:AUDIT_MODE=SUMMARY&amp;VAR:PERIOD=FIXED&amp;VAR:AUDIT_ID=00000117&amp;VAR:DATE=20090309&amp;action=UPDATE&amp;creator=factset&amp;DOC_NAME=FAT:FMA_audit_SUMMARY.fat&amp;DISPLAY_STRING=Display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9__FDSAUDITLINK__" hidden="1">{"fdsup://directions/FAT%20Viewer?VAR:PED=LTM&amp;VAR:AUDIT_MODE=SUMMARY&amp;VAR:PERIOD=FIXED&amp;VAR:AUDIT_ID=00000117&amp;VAR:DATE=20090309&amp;action=UPDATE&amp;creator=factset&amp;DOC_NAME=FAT:FMA_audit_SUMMARY.fat&amp;DISPLAY_STRING=Display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490__FDSAUDITLINK__" localSheetId="6" hidden="1">{"fdsup://directions/FAT Viewer?action=UPDATE&amp;creator=factset&amp;DYN_ARGS=TRUE&amp;DOC_NAME=FAT:FQL_AUDITING_CLIENT_TEMPLATE.FAT&amp;display_string=Audit&amp;VAR:KEY=VEZIHSRMTE&amp;VAR:QUERY=RkZfRUJJVERBX0lCKCdMVE1TJywzODU2Nyk=&amp;WINDOW=FIRST_POPUP&amp;HEIGHT=450&amp;WIDTH=450&amp;START_MA","XIMIZED=FALSE&amp;VAR:CALENDAR=US&amp;VAR:SYMBOL=05614P10&amp;VAR:INDEX=0"}</definedName>
    <definedName name="_3490__FDSAUDITLINK__" hidden="1">{"fdsup://directions/FAT Viewer?action=UPDATE&amp;creator=factset&amp;DYN_ARGS=TRUE&amp;DOC_NAME=FAT:FQL_AUDITING_CLIENT_TEMPLATE.FAT&amp;display_string=Audit&amp;VAR:KEY=VEZIHSRMTE&amp;VAR:QUERY=RkZfRUJJVERBX0lCKCdMVE1TJywzODU2Nyk=&amp;WINDOW=FIRST_POPUP&amp;HEIGHT=450&amp;WIDTH=450&amp;START_MA","XIMIZED=FALSE&amp;VAR:CALENDAR=US&amp;VAR:SYMBOL=05614P10&amp;VAR:INDEX=0"}</definedName>
    <definedName name="_3491__FDSAUDITLINK__" localSheetId="6" hidden="1">{"fdsup://directions/FAT Viewer?action=UPDATE&amp;creator=factset&amp;DYN_ARGS=TRUE&amp;DOC_NAME=FAT:FQL_AUDITING_CLIENT_TEMPLATE.FAT&amp;display_string=Audit&amp;VAR:KEY=BKLEJEXMHI&amp;VAR:QUERY=RkZfRUJJVERBX0lCKCdMVE1TJywzODU2Nik=&amp;WINDOW=FIRST_POPUP&amp;HEIGHT=450&amp;WIDTH=450&amp;START_MA","XIMIZED=FALSE&amp;VAR:CALENDAR=US&amp;VAR:SYMBOL=05614P10&amp;VAR:INDEX=0"}</definedName>
    <definedName name="_3491__FDSAUDITLINK__" hidden="1">{"fdsup://directions/FAT Viewer?action=UPDATE&amp;creator=factset&amp;DYN_ARGS=TRUE&amp;DOC_NAME=FAT:FQL_AUDITING_CLIENT_TEMPLATE.FAT&amp;display_string=Audit&amp;VAR:KEY=BKLEJEXMHI&amp;VAR:QUERY=RkZfRUJJVERBX0lCKCdMVE1TJywzODU2Nik=&amp;WINDOW=FIRST_POPUP&amp;HEIGHT=450&amp;WIDTH=450&amp;START_MA","XIMIZED=FALSE&amp;VAR:CALENDAR=US&amp;VAR:SYMBOL=05614P10&amp;VAR:INDEX=0"}</definedName>
    <definedName name="_3492__FDSAUDITLINK__" localSheetId="6" hidden="1">{"fdsup://directions/FAT Viewer?action=UPDATE&amp;creator=factset&amp;DYN_ARGS=TRUE&amp;DOC_NAME=FAT:FQL_AUDITING_CLIENT_TEMPLATE.FAT&amp;display_string=Audit&amp;VAR:KEY=JCXYBYHUBW&amp;VAR:QUERY=RkZfRUJJVERBX0lCKCdMVE1TJywzODU2NSk=&amp;WINDOW=FIRST_POPUP&amp;HEIGHT=450&amp;WIDTH=450&amp;START_MA","XIMIZED=FALSE&amp;VAR:CALENDAR=US&amp;VAR:SYMBOL=05614P10&amp;VAR:INDEX=0"}</definedName>
    <definedName name="_3492__FDSAUDITLINK__" hidden="1">{"fdsup://directions/FAT Viewer?action=UPDATE&amp;creator=factset&amp;DYN_ARGS=TRUE&amp;DOC_NAME=FAT:FQL_AUDITING_CLIENT_TEMPLATE.FAT&amp;display_string=Audit&amp;VAR:KEY=JCXYBYHUBW&amp;VAR:QUERY=RkZfRUJJVERBX0lCKCdMVE1TJywzODU2NSk=&amp;WINDOW=FIRST_POPUP&amp;HEIGHT=450&amp;WIDTH=450&amp;START_MA","XIMIZED=FALSE&amp;VAR:CALENDAR=US&amp;VAR:SYMBOL=05614P10&amp;VAR:INDEX=0"}</definedName>
    <definedName name="_3493__FDSAUDITLINK__" localSheetId="6" hidden="1">{"fdsup://directions/FAT Viewer?action=UPDATE&amp;creator=factset&amp;DYN_ARGS=TRUE&amp;DOC_NAME=FAT:FQL_AUDITING_CLIENT_TEMPLATE.FAT&amp;display_string=Audit&amp;VAR:KEY=HSTAJOZAXE&amp;VAR:QUERY=RkZfRUJJVERBX0lCKCdMVE1TJywzODU2NCk=&amp;WINDOW=FIRST_POPUP&amp;HEIGHT=450&amp;WIDTH=450&amp;START_MA","XIMIZED=FALSE&amp;VAR:CALENDAR=US&amp;VAR:SYMBOL=05614P10&amp;VAR:INDEX=0"}</definedName>
    <definedName name="_3493__FDSAUDITLINK__" hidden="1">{"fdsup://directions/FAT Viewer?action=UPDATE&amp;creator=factset&amp;DYN_ARGS=TRUE&amp;DOC_NAME=FAT:FQL_AUDITING_CLIENT_TEMPLATE.FAT&amp;display_string=Audit&amp;VAR:KEY=HSTAJOZAXE&amp;VAR:QUERY=RkZfRUJJVERBX0lCKCdMVE1TJywzODU2NCk=&amp;WINDOW=FIRST_POPUP&amp;HEIGHT=450&amp;WIDTH=450&amp;START_MA","XIMIZED=FALSE&amp;VAR:CALENDAR=US&amp;VAR:SYMBOL=05614P10&amp;VAR:INDEX=0"}</definedName>
    <definedName name="_3494__FDSAUDITLINK__" localSheetId="6" hidden="1">{"fdsup://directions/FAT Viewer?action=UPDATE&amp;creator=factset&amp;DYN_ARGS=TRUE&amp;DOC_NAME=FAT:FQL_AUDITING_CLIENT_TEMPLATE.FAT&amp;display_string=Audit&amp;VAR:KEY=ZYXMLUPSVA&amp;VAR:QUERY=RkZfRUJJVERBX0lCKCdMVE1TJywzODU2Myk=&amp;WINDOW=FIRST_POPUP&amp;HEIGHT=450&amp;WIDTH=450&amp;START_MA","XIMIZED=FALSE&amp;VAR:CALENDAR=US&amp;VAR:SYMBOL=05614P10&amp;VAR:INDEX=0"}</definedName>
    <definedName name="_3494__FDSAUDITLINK__" hidden="1">{"fdsup://directions/FAT Viewer?action=UPDATE&amp;creator=factset&amp;DYN_ARGS=TRUE&amp;DOC_NAME=FAT:FQL_AUDITING_CLIENT_TEMPLATE.FAT&amp;display_string=Audit&amp;VAR:KEY=ZYXMLUPSVA&amp;VAR:QUERY=RkZfRUJJVERBX0lCKCdMVE1TJywzODU2Myk=&amp;WINDOW=FIRST_POPUP&amp;HEIGHT=450&amp;WIDTH=450&amp;START_MA","XIMIZED=FALSE&amp;VAR:CALENDAR=US&amp;VAR:SYMBOL=05614P10&amp;VAR:INDEX=0"}</definedName>
    <definedName name="_3495__FDSAUDITLINK__" localSheetId="6" hidden="1">{"fdsup://directions/FAT Viewer?action=UPDATE&amp;creator=factset&amp;DYN_ARGS=TRUE&amp;DOC_NAME=FAT:FQL_AUDITING_CLIENT_TEMPLATE.FAT&amp;display_string=Audit&amp;VAR:KEY=HMLEROZQHG&amp;VAR:QUERY=RkZfRUJJVERBX0lCKCdMVE1TJywzODU2Mik=&amp;WINDOW=FIRST_POPUP&amp;HEIGHT=450&amp;WIDTH=450&amp;START_MA","XIMIZED=FALSE&amp;VAR:CALENDAR=US&amp;VAR:SYMBOL=05614P10&amp;VAR:INDEX=0"}</definedName>
    <definedName name="_3495__FDSAUDITLINK__" hidden="1">{"fdsup://directions/FAT Viewer?action=UPDATE&amp;creator=factset&amp;DYN_ARGS=TRUE&amp;DOC_NAME=FAT:FQL_AUDITING_CLIENT_TEMPLATE.FAT&amp;display_string=Audit&amp;VAR:KEY=HMLEROZQHG&amp;VAR:QUERY=RkZfRUJJVERBX0lCKCdMVE1TJywzODU2Mik=&amp;WINDOW=FIRST_POPUP&amp;HEIGHT=450&amp;WIDTH=450&amp;START_MA","XIMIZED=FALSE&amp;VAR:CALENDAR=US&amp;VAR:SYMBOL=05614P10&amp;VAR:INDEX=0"}</definedName>
    <definedName name="_3496__FDSAUDITLINK__" localSheetId="6" hidden="1">{"fdsup://directions/FAT Viewer?action=UPDATE&amp;creator=factset&amp;DYN_ARGS=TRUE&amp;DOC_NAME=FAT:FQL_AUDITING_CLIENT_TEMPLATE.FAT&amp;display_string=Audit&amp;VAR:KEY=TGNWTWFGHA&amp;VAR:QUERY=RkZfRUJJVERBX0lCKCdMVE1TJywzODU2MSk=&amp;WINDOW=FIRST_POPUP&amp;HEIGHT=450&amp;WIDTH=450&amp;START_MA","XIMIZED=FALSE&amp;VAR:CALENDAR=US&amp;VAR:SYMBOL=05614P10&amp;VAR:INDEX=0"}</definedName>
    <definedName name="_3496__FDSAUDITLINK__" hidden="1">{"fdsup://directions/FAT Viewer?action=UPDATE&amp;creator=factset&amp;DYN_ARGS=TRUE&amp;DOC_NAME=FAT:FQL_AUDITING_CLIENT_TEMPLATE.FAT&amp;display_string=Audit&amp;VAR:KEY=TGNWTWFGHA&amp;VAR:QUERY=RkZfRUJJVERBX0lCKCdMVE1TJywzODU2MSk=&amp;WINDOW=FIRST_POPUP&amp;HEIGHT=450&amp;WIDTH=450&amp;START_MA","XIMIZED=FALSE&amp;VAR:CALENDAR=US&amp;VAR:SYMBOL=05614P10&amp;VAR:INDEX=0"}</definedName>
    <definedName name="_3497__FDSAUDITLINK__" localSheetId="6" hidden="1">{"fdsup://directions/FAT Viewer?action=UPDATE&amp;creator=factset&amp;DYN_ARGS=TRUE&amp;DOC_NAME=FAT:FQL_AUDITING_CLIENT_TEMPLATE.FAT&amp;display_string=Audit&amp;VAR:KEY=JSHSXYFILK&amp;VAR:QUERY=RkZfRUJJVERBX0lCKCdMVE1TJywzODU2MCk=&amp;WINDOW=FIRST_POPUP&amp;HEIGHT=450&amp;WIDTH=450&amp;START_MA","XIMIZED=FALSE&amp;VAR:CALENDAR=US&amp;VAR:SYMBOL=05614P10&amp;VAR:INDEX=0"}</definedName>
    <definedName name="_3497__FDSAUDITLINK__" hidden="1">{"fdsup://directions/FAT Viewer?action=UPDATE&amp;creator=factset&amp;DYN_ARGS=TRUE&amp;DOC_NAME=FAT:FQL_AUDITING_CLIENT_TEMPLATE.FAT&amp;display_string=Audit&amp;VAR:KEY=JSHSXYFILK&amp;VAR:QUERY=RkZfRUJJVERBX0lCKCdMVE1TJywzODU2MCk=&amp;WINDOW=FIRST_POPUP&amp;HEIGHT=450&amp;WIDTH=450&amp;START_MA","XIMIZED=FALSE&amp;VAR:CALENDAR=US&amp;VAR:SYMBOL=05614P10&amp;VAR:INDEX=0"}</definedName>
    <definedName name="_3498__FDSAUDITLINK__" localSheetId="6" hidden="1">{"fdsup://directions/FAT Viewer?action=UPDATE&amp;creator=factset&amp;DYN_ARGS=TRUE&amp;DOC_NAME=FAT:FQL_AUDITING_CLIENT_TEMPLATE.FAT&amp;display_string=Audit&amp;VAR:KEY=DSNIJULMRQ&amp;VAR:QUERY=RkZfRUJJVERBX0lCKCdMVE1TJywzODU1OSk=&amp;WINDOW=FIRST_POPUP&amp;HEIGHT=450&amp;WIDTH=450&amp;START_MA","XIMIZED=FALSE&amp;VAR:CALENDAR=US&amp;VAR:SYMBOL=05614P10&amp;VAR:INDEX=0"}</definedName>
    <definedName name="_3498__FDSAUDITLINK__" hidden="1">{"fdsup://directions/FAT Viewer?action=UPDATE&amp;creator=factset&amp;DYN_ARGS=TRUE&amp;DOC_NAME=FAT:FQL_AUDITING_CLIENT_TEMPLATE.FAT&amp;display_string=Audit&amp;VAR:KEY=DSNIJULMRQ&amp;VAR:QUERY=RkZfRUJJVERBX0lCKCdMVE1TJywzODU1OSk=&amp;WINDOW=FIRST_POPUP&amp;HEIGHT=450&amp;WIDTH=450&amp;START_MA","XIMIZED=FALSE&amp;VAR:CALENDAR=US&amp;VAR:SYMBOL=05614P10&amp;VAR:INDEX=0"}</definedName>
    <definedName name="_3499__FDSAUDITLINK__" localSheetId="6" hidden="1">{"fdsup://directions/FAT Viewer?action=UPDATE&amp;creator=factset&amp;DYN_ARGS=TRUE&amp;DOC_NAME=FAT:FQL_AUDITING_CLIENT_TEMPLATE.FAT&amp;display_string=Audit&amp;VAR:KEY=DMDYHQXKNC&amp;VAR:QUERY=RkZfRUJJVERBX0lCKCdMVE1TJywzODU1OCk=&amp;WINDOW=FIRST_POPUP&amp;HEIGHT=450&amp;WIDTH=450&amp;START_MA","XIMIZED=FALSE&amp;VAR:CALENDAR=US&amp;VAR:SYMBOL=05614P10&amp;VAR:INDEX=0"}</definedName>
    <definedName name="_3499__FDSAUDITLINK__" hidden="1">{"fdsup://directions/FAT Viewer?action=UPDATE&amp;creator=factset&amp;DYN_ARGS=TRUE&amp;DOC_NAME=FAT:FQL_AUDITING_CLIENT_TEMPLATE.FAT&amp;display_string=Audit&amp;VAR:KEY=DMDYHQXKNC&amp;VAR:QUERY=RkZfRUJJVERBX0lCKCdMVE1TJywzODU1OCk=&amp;WINDOW=FIRST_POPUP&amp;HEIGHT=450&amp;WIDTH=450&amp;START_MA","XIMIZED=FALSE&amp;VAR:CALENDAR=US&amp;VAR:SYMBOL=05614P10&amp;VAR:INDEX=0"}</definedName>
    <definedName name="_35__FDSAUDITLINK__" localSheetId="6" hidden="1">{"fdsup://directions/FAT Viewer?action=UPDATE&amp;creator=factset&amp;DYN_ARGS=TRUE&amp;DOC_NAME=FAT:FQL_AUDITING_CLIENT_TEMPLATE.FAT&amp;display_string=Audit&amp;VAR:KEY=HKJEJEDARY&amp;VAR:QUERY=QVZHKENTRl9ORVRfSU5DKEFOTiwwRlksLTZGWSxZKSkgLyAoQVZHKENTRl9BU1NFVFMoQU5OLDBGWSwtNkZZL","EZZKSkgLSBBVkcoQ1NGX0lOVEFORyhBTk4sMCwtNkZZLEZZKSkp&amp;WINDOW=FIRST_POPUP&amp;HEIGHT=450&amp;WIDTH=450&amp;START_MAXIMIZED=FALSE&amp;VAR:CALENDAR=US&amp;VAR:SYMBOL=KSP"}</definedName>
    <definedName name="_35__FDSAUDITLINK__" hidden="1">{"fdsup://directions/FAT Viewer?action=UPDATE&amp;creator=factset&amp;DYN_ARGS=TRUE&amp;DOC_NAME=FAT:FQL_AUDITING_CLIENT_TEMPLATE.FAT&amp;display_string=Audit&amp;VAR:KEY=HKJEJEDARY&amp;VAR:QUERY=QVZHKENTRl9ORVRfSU5DKEFOTiwwRlksLTZGWSxZKSkgLyAoQVZHKENTRl9BU1NFVFMoQU5OLDBGWSwtNkZZL","EZZKSkgLSBBVkcoQ1NGX0lOVEFORyhBTk4sMCwtNkZZLEZZKSkp&amp;WINDOW=FIRST_POPUP&amp;HEIGHT=450&amp;WIDTH=450&amp;START_MAXIMIZED=FALSE&amp;VAR:CALENDAR=US&amp;VAR:SYMBOL=KSP"}</definedName>
    <definedName name="_350__FDSAUDITLINK__" localSheetId="6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0__FDSAUDITLINK__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00__FDSAUDITLINK__" localSheetId="6" hidden="1">{"fdsup://directions/FAT Viewer?action=UPDATE&amp;creator=factset&amp;DYN_ARGS=TRUE&amp;DOC_NAME=FAT:FQL_AUDITING_CLIENT_TEMPLATE.FAT&amp;display_string=Audit&amp;VAR:KEY=NGTKLCFQRS&amp;VAR:QUERY=RkZfRUJJVERBX0lCKCdMVE1TJywzODU1Nyk=&amp;WINDOW=FIRST_POPUP&amp;HEIGHT=450&amp;WIDTH=450&amp;START_MA","XIMIZED=FALSE&amp;VAR:CALENDAR=US&amp;VAR:SYMBOL=05614P10&amp;VAR:INDEX=0"}</definedName>
    <definedName name="_3500__FDSAUDITLINK__" hidden="1">{"fdsup://directions/FAT Viewer?action=UPDATE&amp;creator=factset&amp;DYN_ARGS=TRUE&amp;DOC_NAME=FAT:FQL_AUDITING_CLIENT_TEMPLATE.FAT&amp;display_string=Audit&amp;VAR:KEY=NGTKLCFQRS&amp;VAR:QUERY=RkZfRUJJVERBX0lCKCdMVE1TJywzODU1Nyk=&amp;WINDOW=FIRST_POPUP&amp;HEIGHT=450&amp;WIDTH=450&amp;START_MA","XIMIZED=FALSE&amp;VAR:CALENDAR=US&amp;VAR:SYMBOL=05614P10&amp;VAR:INDEX=0"}</definedName>
    <definedName name="_3501__FDSAUDITLINK__" localSheetId="6" hidden="1">{"fdsup://directions/FAT Viewer?action=UPDATE&amp;creator=factset&amp;DYN_ARGS=TRUE&amp;DOC_NAME=FAT:FQL_AUDITING_CLIENT_TEMPLATE.FAT&amp;display_string=Audit&amp;VAR:KEY=LAJIPINUTM&amp;VAR:QUERY=RkZfRUJJVERBX0lCKCdMVE1TJywzODU1Nik=&amp;WINDOW=FIRST_POPUP&amp;HEIGHT=450&amp;WIDTH=450&amp;START_MA","XIMIZED=FALSE&amp;VAR:CALENDAR=US&amp;VAR:SYMBOL=05614P10&amp;VAR:INDEX=0"}</definedName>
    <definedName name="_3501__FDSAUDITLINK__" hidden="1">{"fdsup://directions/FAT Viewer?action=UPDATE&amp;creator=factset&amp;DYN_ARGS=TRUE&amp;DOC_NAME=FAT:FQL_AUDITING_CLIENT_TEMPLATE.FAT&amp;display_string=Audit&amp;VAR:KEY=LAJIPINUTM&amp;VAR:QUERY=RkZfRUJJVERBX0lCKCdMVE1TJywzODU1Nik=&amp;WINDOW=FIRST_POPUP&amp;HEIGHT=450&amp;WIDTH=450&amp;START_MA","XIMIZED=FALSE&amp;VAR:CALENDAR=US&amp;VAR:SYMBOL=05614P10&amp;VAR:INDEX=0"}</definedName>
    <definedName name="_3502__FDSAUDITLINK__" localSheetId="6" hidden="1">{"fdsup://directions/FAT Viewer?action=UPDATE&amp;creator=factset&amp;DYN_ARGS=TRUE&amp;DOC_NAME=FAT:FQL_AUDITING_CLIENT_TEMPLATE.FAT&amp;display_string=Audit&amp;VAR:KEY=FIVMBUFOLK&amp;VAR:QUERY=RkZfRUJJVERBX0lCKCdMVE1TJywzODU1NSk=&amp;WINDOW=FIRST_POPUP&amp;HEIGHT=450&amp;WIDTH=450&amp;START_MA","XIMIZED=FALSE&amp;VAR:CALENDAR=US&amp;VAR:SYMBOL=05614P10&amp;VAR:INDEX=0"}</definedName>
    <definedName name="_3502__FDSAUDITLINK__" hidden="1">{"fdsup://directions/FAT Viewer?action=UPDATE&amp;creator=factset&amp;DYN_ARGS=TRUE&amp;DOC_NAME=FAT:FQL_AUDITING_CLIENT_TEMPLATE.FAT&amp;display_string=Audit&amp;VAR:KEY=FIVMBUFOLK&amp;VAR:QUERY=RkZfRUJJVERBX0lCKCdMVE1TJywzODU1NSk=&amp;WINDOW=FIRST_POPUP&amp;HEIGHT=450&amp;WIDTH=450&amp;START_MA","XIMIZED=FALSE&amp;VAR:CALENDAR=US&amp;VAR:SYMBOL=05614P10&amp;VAR:INDEX=0"}</definedName>
    <definedName name="_3503__FDSAUDITLINK__" localSheetId="6" hidden="1">{"fdsup://directions/FAT Viewer?action=UPDATE&amp;creator=factset&amp;DYN_ARGS=TRUE&amp;DOC_NAME=FAT:FQL_AUDITING_CLIENT_TEMPLATE.FAT&amp;display_string=Audit&amp;VAR:KEY=XQXYFSNUPG&amp;VAR:QUERY=RkZfRUJJVERBX0lCKCdMVE1TJywzODU1NCk=&amp;WINDOW=FIRST_POPUP&amp;HEIGHT=450&amp;WIDTH=450&amp;START_MA","XIMIZED=FALSE&amp;VAR:CALENDAR=US&amp;VAR:SYMBOL=05614P10&amp;VAR:INDEX=0"}</definedName>
    <definedName name="_3503__FDSAUDITLINK__" hidden="1">{"fdsup://directions/FAT Viewer?action=UPDATE&amp;creator=factset&amp;DYN_ARGS=TRUE&amp;DOC_NAME=FAT:FQL_AUDITING_CLIENT_TEMPLATE.FAT&amp;display_string=Audit&amp;VAR:KEY=XQXYFSNUPG&amp;VAR:QUERY=RkZfRUJJVERBX0lCKCdMVE1TJywzODU1NCk=&amp;WINDOW=FIRST_POPUP&amp;HEIGHT=450&amp;WIDTH=450&amp;START_MA","XIMIZED=FALSE&amp;VAR:CALENDAR=US&amp;VAR:SYMBOL=05614P10&amp;VAR:INDEX=0"}</definedName>
    <definedName name="_3504__FDSAUDITLINK__" localSheetId="6" hidden="1">{"fdsup://directions/FAT Viewer?action=UPDATE&amp;creator=factset&amp;DYN_ARGS=TRUE&amp;DOC_NAME=FAT:FQL_AUDITING_CLIENT_TEMPLATE.FAT&amp;display_string=Audit&amp;VAR:KEY=TOHADSBQFU&amp;VAR:QUERY=RkZfRUJJVERBX0lCKCdMVE1TJywzODU1Myk=&amp;WINDOW=FIRST_POPUP&amp;HEIGHT=450&amp;WIDTH=450&amp;START_MA","XIMIZED=FALSE&amp;VAR:CALENDAR=US&amp;VAR:SYMBOL=05614P10&amp;VAR:INDEX=0"}</definedName>
    <definedName name="_3504__FDSAUDITLINK__" hidden="1">{"fdsup://directions/FAT Viewer?action=UPDATE&amp;creator=factset&amp;DYN_ARGS=TRUE&amp;DOC_NAME=FAT:FQL_AUDITING_CLIENT_TEMPLATE.FAT&amp;display_string=Audit&amp;VAR:KEY=TOHADSBQFU&amp;VAR:QUERY=RkZfRUJJVERBX0lCKCdMVE1TJywzODU1Myk=&amp;WINDOW=FIRST_POPUP&amp;HEIGHT=450&amp;WIDTH=450&amp;START_MA","XIMIZED=FALSE&amp;VAR:CALENDAR=US&amp;VAR:SYMBOL=05614P10&amp;VAR:INDEX=0"}</definedName>
    <definedName name="_3505__FDSAUDITLINK__" localSheetId="6" hidden="1">{"fdsup://directions/FAT Viewer?action=UPDATE&amp;creator=factset&amp;DYN_ARGS=TRUE&amp;DOC_NAME=FAT:FQL_AUDITING_CLIENT_TEMPLATE.FAT&amp;display_string=Audit&amp;VAR:KEY=PKJQBMNAVE&amp;VAR:QUERY=RkZfRUJJVERBX0lCKCdMVE1TJywzODU1Mik=&amp;WINDOW=FIRST_POPUP&amp;HEIGHT=450&amp;WIDTH=450&amp;START_MA","XIMIZED=FALSE&amp;VAR:CALENDAR=US&amp;VAR:SYMBOL=05614P10&amp;VAR:INDEX=0"}</definedName>
    <definedName name="_3505__FDSAUDITLINK__" hidden="1">{"fdsup://directions/FAT Viewer?action=UPDATE&amp;creator=factset&amp;DYN_ARGS=TRUE&amp;DOC_NAME=FAT:FQL_AUDITING_CLIENT_TEMPLATE.FAT&amp;display_string=Audit&amp;VAR:KEY=PKJQBMNAVE&amp;VAR:QUERY=RkZfRUJJVERBX0lCKCdMVE1TJywzODU1Mik=&amp;WINDOW=FIRST_POPUP&amp;HEIGHT=450&amp;WIDTH=450&amp;START_MA","XIMIZED=FALSE&amp;VAR:CALENDAR=US&amp;VAR:SYMBOL=05614P10&amp;VAR:INDEX=0"}</definedName>
    <definedName name="_3506__FDSAUDITLINK__" localSheetId="6" hidden="1">{"fdsup://directions/FAT Viewer?action=UPDATE&amp;creator=factset&amp;DYN_ARGS=TRUE&amp;DOC_NAME=FAT:FQL_AUDITING_CLIENT_TEMPLATE.FAT&amp;display_string=Audit&amp;VAR:KEY=ZOXWJMLWFI&amp;VAR:QUERY=RkZfRUJJVERBX0lCKCdMVE1TJywzODU1MSk=&amp;WINDOW=FIRST_POPUP&amp;HEIGHT=450&amp;WIDTH=450&amp;START_MA","XIMIZED=FALSE&amp;VAR:CALENDAR=US&amp;VAR:SYMBOL=05614P10&amp;VAR:INDEX=0"}</definedName>
    <definedName name="_3506__FDSAUDITLINK__" hidden="1">{"fdsup://directions/FAT Viewer?action=UPDATE&amp;creator=factset&amp;DYN_ARGS=TRUE&amp;DOC_NAME=FAT:FQL_AUDITING_CLIENT_TEMPLATE.FAT&amp;display_string=Audit&amp;VAR:KEY=ZOXWJMLWFI&amp;VAR:QUERY=RkZfRUJJVERBX0lCKCdMVE1TJywzODU1MSk=&amp;WINDOW=FIRST_POPUP&amp;HEIGHT=450&amp;WIDTH=450&amp;START_MA","XIMIZED=FALSE&amp;VAR:CALENDAR=US&amp;VAR:SYMBOL=05614P10&amp;VAR:INDEX=0"}</definedName>
    <definedName name="_3507__FDSAUDITLINK__" localSheetId="6" hidden="1">{"fdsup://directions/FAT Viewer?action=UPDATE&amp;creator=factset&amp;DYN_ARGS=TRUE&amp;DOC_NAME=FAT:FQL_AUDITING_CLIENT_TEMPLATE.FAT&amp;display_string=Audit&amp;VAR:KEY=ZCJQNYNARK&amp;VAR:QUERY=RkZfRUJJVERBX0lCKCdMVE1TJywzODU1MCk=&amp;WINDOW=FIRST_POPUP&amp;HEIGHT=450&amp;WIDTH=450&amp;START_MA","XIMIZED=FALSE&amp;VAR:CALENDAR=US&amp;VAR:SYMBOL=05614P10&amp;VAR:INDEX=0"}</definedName>
    <definedName name="_3507__FDSAUDITLINK__" hidden="1">{"fdsup://directions/FAT Viewer?action=UPDATE&amp;creator=factset&amp;DYN_ARGS=TRUE&amp;DOC_NAME=FAT:FQL_AUDITING_CLIENT_TEMPLATE.FAT&amp;display_string=Audit&amp;VAR:KEY=ZCJQNYNARK&amp;VAR:QUERY=RkZfRUJJVERBX0lCKCdMVE1TJywzODU1MCk=&amp;WINDOW=FIRST_POPUP&amp;HEIGHT=450&amp;WIDTH=450&amp;START_MA","XIMIZED=FALSE&amp;VAR:CALENDAR=US&amp;VAR:SYMBOL=05614P10&amp;VAR:INDEX=0"}</definedName>
    <definedName name="_3508__FDSAUDITLINK__" localSheetId="6" hidden="1">{"fdsup://directions/FAT Viewer?action=UPDATE&amp;creator=factset&amp;DYN_ARGS=TRUE&amp;DOC_NAME=FAT:FQL_AUDITING_CLIENT_TEMPLATE.FAT&amp;display_string=Audit&amp;VAR:KEY=ZQFEXIRCVO&amp;VAR:QUERY=RkZfRUJJVERBX0lCKCdMVE1TJywzODU0OSk=&amp;WINDOW=FIRST_POPUP&amp;HEIGHT=450&amp;WIDTH=450&amp;START_MA","XIMIZED=FALSE&amp;VAR:CALENDAR=US&amp;VAR:SYMBOL=05614P10&amp;VAR:INDEX=0"}</definedName>
    <definedName name="_3508__FDSAUDITLINK__" hidden="1">{"fdsup://directions/FAT Viewer?action=UPDATE&amp;creator=factset&amp;DYN_ARGS=TRUE&amp;DOC_NAME=FAT:FQL_AUDITING_CLIENT_TEMPLATE.FAT&amp;display_string=Audit&amp;VAR:KEY=ZQFEXIRCVO&amp;VAR:QUERY=RkZfRUJJVERBX0lCKCdMVE1TJywzODU0OSk=&amp;WINDOW=FIRST_POPUP&amp;HEIGHT=450&amp;WIDTH=450&amp;START_MA","XIMIZED=FALSE&amp;VAR:CALENDAR=US&amp;VAR:SYMBOL=05614P10&amp;VAR:INDEX=0"}</definedName>
    <definedName name="_3509__FDSAUDITLINK__" localSheetId="6" hidden="1">{"fdsup://directions/FAT Viewer?action=UPDATE&amp;creator=factset&amp;DYN_ARGS=TRUE&amp;DOC_NAME=FAT:FQL_AUDITING_CLIENT_TEMPLATE.FAT&amp;display_string=Audit&amp;VAR:KEY=NMDARSTQDK&amp;VAR:QUERY=RkZfRUJJVERBX0lCKCdMVE1TJywzODU0OCk=&amp;WINDOW=FIRST_POPUP&amp;HEIGHT=450&amp;WIDTH=450&amp;START_MA","XIMIZED=FALSE&amp;VAR:CALENDAR=US&amp;VAR:SYMBOL=05614P10&amp;VAR:INDEX=0"}</definedName>
    <definedName name="_3509__FDSAUDITLINK__" hidden="1">{"fdsup://directions/FAT Viewer?action=UPDATE&amp;creator=factset&amp;DYN_ARGS=TRUE&amp;DOC_NAME=FAT:FQL_AUDITING_CLIENT_TEMPLATE.FAT&amp;display_string=Audit&amp;VAR:KEY=NMDARSTQDK&amp;VAR:QUERY=RkZfRUJJVERBX0lCKCdMVE1TJywzODU0OCk=&amp;WINDOW=FIRST_POPUP&amp;HEIGHT=450&amp;WIDTH=450&amp;START_MA","XIMIZED=FALSE&amp;VAR:CALENDAR=US&amp;VAR:SYMBOL=05614P10&amp;VAR:INDEX=0"}</definedName>
    <definedName name="_351__FDSAUDITLINK__" localSheetId="6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1__FDSAUDITLINK__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10__FDSAUDITLINK__" localSheetId="6" hidden="1">{"fdsup://directions/FAT Viewer?action=UPDATE&amp;creator=factset&amp;DYN_ARGS=TRUE&amp;DOC_NAME=FAT:FQL_AUDITING_CLIENT_TEMPLATE.FAT&amp;display_string=Audit&amp;VAR:KEY=HEJEHMHYVG&amp;VAR:QUERY=RkZfRUJJVERBX0lCKCdMVE1TJywzODU0Nyk=&amp;WINDOW=FIRST_POPUP&amp;HEIGHT=450&amp;WIDTH=450&amp;START_MA","XIMIZED=FALSE&amp;VAR:CALENDAR=US&amp;VAR:SYMBOL=05614P10&amp;VAR:INDEX=0"}</definedName>
    <definedName name="_3510__FDSAUDITLINK__" hidden="1">{"fdsup://directions/FAT Viewer?action=UPDATE&amp;creator=factset&amp;DYN_ARGS=TRUE&amp;DOC_NAME=FAT:FQL_AUDITING_CLIENT_TEMPLATE.FAT&amp;display_string=Audit&amp;VAR:KEY=HEJEHMHYVG&amp;VAR:QUERY=RkZfRUJJVERBX0lCKCdMVE1TJywzODU0Nyk=&amp;WINDOW=FIRST_POPUP&amp;HEIGHT=450&amp;WIDTH=450&amp;START_MA","XIMIZED=FALSE&amp;VAR:CALENDAR=US&amp;VAR:SYMBOL=05614P10&amp;VAR:INDEX=0"}</definedName>
    <definedName name="_3511__FDSAUDITLINK__" localSheetId="6" hidden="1">{"fdsup://directions/FAT Viewer?action=UPDATE&amp;creator=factset&amp;DYN_ARGS=TRUE&amp;DOC_NAME=FAT:FQL_AUDITING_CLIENT_TEMPLATE.FAT&amp;display_string=Audit&amp;VAR:KEY=NQZWHCTOTE&amp;VAR:QUERY=RkZfRUJJVERBX0lCKCdMVE1TJywzODU0Nik=&amp;WINDOW=FIRST_POPUP&amp;HEIGHT=450&amp;WIDTH=450&amp;START_MA","XIMIZED=FALSE&amp;VAR:CALENDAR=US&amp;VAR:SYMBOL=05614P10&amp;VAR:INDEX=0"}</definedName>
    <definedName name="_3511__FDSAUDITLINK__" hidden="1">{"fdsup://directions/FAT Viewer?action=UPDATE&amp;creator=factset&amp;DYN_ARGS=TRUE&amp;DOC_NAME=FAT:FQL_AUDITING_CLIENT_TEMPLATE.FAT&amp;display_string=Audit&amp;VAR:KEY=NQZWHCTOTE&amp;VAR:QUERY=RkZfRUJJVERBX0lCKCdMVE1TJywzODU0Nik=&amp;WINDOW=FIRST_POPUP&amp;HEIGHT=450&amp;WIDTH=450&amp;START_MA","XIMIZED=FALSE&amp;VAR:CALENDAR=US&amp;VAR:SYMBOL=05614P10&amp;VAR:INDEX=0"}</definedName>
    <definedName name="_3512__FDSAUDITLINK__" localSheetId="6" hidden="1">{"fdsup://directions/FAT Viewer?action=UPDATE&amp;creator=factset&amp;DYN_ARGS=TRUE&amp;DOC_NAME=FAT:FQL_AUDITING_CLIENT_TEMPLATE.FAT&amp;display_string=Audit&amp;VAR:KEY=JGLCJYBSHI&amp;VAR:QUERY=RkZfRUJJVERBX0lCKCdMVE1TJywzODU0NSk=&amp;WINDOW=FIRST_POPUP&amp;HEIGHT=450&amp;WIDTH=450&amp;START_MA","XIMIZED=FALSE&amp;VAR:CALENDAR=US&amp;VAR:SYMBOL=05614P10&amp;VAR:INDEX=0"}</definedName>
    <definedName name="_3512__FDSAUDITLINK__" hidden="1">{"fdsup://directions/FAT Viewer?action=UPDATE&amp;creator=factset&amp;DYN_ARGS=TRUE&amp;DOC_NAME=FAT:FQL_AUDITING_CLIENT_TEMPLATE.FAT&amp;display_string=Audit&amp;VAR:KEY=JGLCJYBSHI&amp;VAR:QUERY=RkZfRUJJVERBX0lCKCdMVE1TJywzODU0NSk=&amp;WINDOW=FIRST_POPUP&amp;HEIGHT=450&amp;WIDTH=450&amp;START_MA","XIMIZED=FALSE&amp;VAR:CALENDAR=US&amp;VAR:SYMBOL=05614P10&amp;VAR:INDEX=0"}</definedName>
    <definedName name="_3513__FDSAUDITLINK__" localSheetId="6" hidden="1">{"fdsup://directions/FAT Viewer?action=UPDATE&amp;creator=factset&amp;DYN_ARGS=TRUE&amp;DOC_NAME=FAT:FQL_AUDITING_CLIENT_TEMPLATE.FAT&amp;display_string=Audit&amp;VAR:KEY=VQZIVKPMTO&amp;VAR:QUERY=RkZfRUJJVERBX0lCKCdMVE1TJywzODU0NCk=&amp;WINDOW=FIRST_POPUP&amp;HEIGHT=450&amp;WIDTH=450&amp;START_MA","XIMIZED=FALSE&amp;VAR:CALENDAR=US&amp;VAR:SYMBOL=05614P10&amp;VAR:INDEX=0"}</definedName>
    <definedName name="_3513__FDSAUDITLINK__" hidden="1">{"fdsup://directions/FAT Viewer?action=UPDATE&amp;creator=factset&amp;DYN_ARGS=TRUE&amp;DOC_NAME=FAT:FQL_AUDITING_CLIENT_TEMPLATE.FAT&amp;display_string=Audit&amp;VAR:KEY=VQZIVKPMTO&amp;VAR:QUERY=RkZfRUJJVERBX0lCKCdMVE1TJywzODU0NCk=&amp;WINDOW=FIRST_POPUP&amp;HEIGHT=450&amp;WIDTH=450&amp;START_MA","XIMIZED=FALSE&amp;VAR:CALENDAR=US&amp;VAR:SYMBOL=05614P10&amp;VAR:INDEX=0"}</definedName>
    <definedName name="_3514__FDSAUDITLINK__" localSheetId="6" hidden="1">{"fdsup://directions/FAT Viewer?action=UPDATE&amp;creator=factset&amp;DYN_ARGS=TRUE&amp;DOC_NAME=FAT:FQL_AUDITING_CLIENT_TEMPLATE.FAT&amp;display_string=Audit&amp;VAR:KEY=FGRINSNGFO&amp;VAR:QUERY=RkZfRUJJVERBX0lCKCdMVE1TJywzODU0Myk=&amp;WINDOW=FIRST_POPUP&amp;HEIGHT=450&amp;WIDTH=450&amp;START_MA","XIMIZED=FALSE&amp;VAR:CALENDAR=US&amp;VAR:SYMBOL=05614P10&amp;VAR:INDEX=0"}</definedName>
    <definedName name="_3514__FDSAUDITLINK__" hidden="1">{"fdsup://directions/FAT Viewer?action=UPDATE&amp;creator=factset&amp;DYN_ARGS=TRUE&amp;DOC_NAME=FAT:FQL_AUDITING_CLIENT_TEMPLATE.FAT&amp;display_string=Audit&amp;VAR:KEY=FGRINSNGFO&amp;VAR:QUERY=RkZfRUJJVERBX0lCKCdMVE1TJywzODU0Myk=&amp;WINDOW=FIRST_POPUP&amp;HEIGHT=450&amp;WIDTH=450&amp;START_MA","XIMIZED=FALSE&amp;VAR:CALENDAR=US&amp;VAR:SYMBOL=05614P10&amp;VAR:INDEX=0"}</definedName>
    <definedName name="_3515__FDSAUDITLINK__" localSheetId="6" hidden="1">{"fdsup://directions/FAT Viewer?action=UPDATE&amp;creator=factset&amp;DYN_ARGS=TRUE&amp;DOC_NAME=FAT:FQL_AUDITING_CLIENT_TEMPLATE.FAT&amp;display_string=Audit&amp;VAR:KEY=DYZAXIFKDQ&amp;VAR:QUERY=RkZfRUJJVERBX0lCKCdMVE1TJywzODU0Mik=&amp;WINDOW=FIRST_POPUP&amp;HEIGHT=450&amp;WIDTH=450&amp;START_MA","XIMIZED=FALSE&amp;VAR:CALENDAR=US&amp;VAR:SYMBOL=05614P10&amp;VAR:INDEX=0"}</definedName>
    <definedName name="_3515__FDSAUDITLINK__" hidden="1">{"fdsup://directions/FAT Viewer?action=UPDATE&amp;creator=factset&amp;DYN_ARGS=TRUE&amp;DOC_NAME=FAT:FQL_AUDITING_CLIENT_TEMPLATE.FAT&amp;display_string=Audit&amp;VAR:KEY=DYZAXIFKDQ&amp;VAR:QUERY=RkZfRUJJVERBX0lCKCdMVE1TJywzODU0Mik=&amp;WINDOW=FIRST_POPUP&amp;HEIGHT=450&amp;WIDTH=450&amp;START_MA","XIMIZED=FALSE&amp;VAR:CALENDAR=US&amp;VAR:SYMBOL=05614P10&amp;VAR:INDEX=0"}</definedName>
    <definedName name="_3516__FDSAUDITLINK__" localSheetId="6" hidden="1">{"fdsup://directions/FAT Viewer?action=UPDATE&amp;creator=factset&amp;DYN_ARGS=TRUE&amp;DOC_NAME=FAT:FQL_AUDITING_CLIENT_TEMPLATE.FAT&amp;display_string=Audit&amp;VAR:KEY=TKNYHCPIZQ&amp;VAR:QUERY=RkZfRUJJVERBX0lCKCdMVE1TJywzODU0MSk=&amp;WINDOW=FIRST_POPUP&amp;HEIGHT=450&amp;WIDTH=450&amp;START_MA","XIMIZED=FALSE&amp;VAR:CALENDAR=US&amp;VAR:SYMBOL=05614P10&amp;VAR:INDEX=0"}</definedName>
    <definedName name="_3516__FDSAUDITLINK__" hidden="1">{"fdsup://directions/FAT Viewer?action=UPDATE&amp;creator=factset&amp;DYN_ARGS=TRUE&amp;DOC_NAME=FAT:FQL_AUDITING_CLIENT_TEMPLATE.FAT&amp;display_string=Audit&amp;VAR:KEY=TKNYHCPIZQ&amp;VAR:QUERY=RkZfRUJJVERBX0lCKCdMVE1TJywzODU0MSk=&amp;WINDOW=FIRST_POPUP&amp;HEIGHT=450&amp;WIDTH=450&amp;START_MA","XIMIZED=FALSE&amp;VAR:CALENDAR=US&amp;VAR:SYMBOL=05614P10&amp;VAR:INDEX=0"}</definedName>
    <definedName name="_3517__FDSAUDITLINK__" localSheetId="6" hidden="1">{"fdsup://directions/FAT Viewer?action=UPDATE&amp;creator=factset&amp;DYN_ARGS=TRUE&amp;DOC_NAME=FAT:FQL_AUDITING_CLIENT_TEMPLATE.FAT&amp;display_string=Audit&amp;VAR:KEY=XITIDEDOJU&amp;VAR:QUERY=RkZfRUJJVERBX0lCKCdMVE1TJywzODU0MCk=&amp;WINDOW=FIRST_POPUP&amp;HEIGHT=450&amp;WIDTH=450&amp;START_MA","XIMIZED=FALSE&amp;VAR:CALENDAR=US&amp;VAR:SYMBOL=05614P10&amp;VAR:INDEX=0"}</definedName>
    <definedName name="_3517__FDSAUDITLINK__" hidden="1">{"fdsup://directions/FAT Viewer?action=UPDATE&amp;creator=factset&amp;DYN_ARGS=TRUE&amp;DOC_NAME=FAT:FQL_AUDITING_CLIENT_TEMPLATE.FAT&amp;display_string=Audit&amp;VAR:KEY=XITIDEDOJU&amp;VAR:QUERY=RkZfRUJJVERBX0lCKCdMVE1TJywzODU0MCk=&amp;WINDOW=FIRST_POPUP&amp;HEIGHT=450&amp;WIDTH=450&amp;START_MA","XIMIZED=FALSE&amp;VAR:CALENDAR=US&amp;VAR:SYMBOL=05614P10&amp;VAR:INDEX=0"}</definedName>
    <definedName name="_3518__FDSAUDITLINK__" localSheetId="6" hidden="1">{"fdsup://directions/FAT Viewer?action=UPDATE&amp;creator=factset&amp;DYN_ARGS=TRUE&amp;DOC_NAME=FAT:FQL_AUDITING_CLIENT_TEMPLATE.FAT&amp;display_string=Audit&amp;VAR:KEY=DEJUJONUZI&amp;VAR:QUERY=RkZfRUJJVERBX0lCKCdMVE1TJywzODUzOSk=&amp;WINDOW=FIRST_POPUP&amp;HEIGHT=450&amp;WIDTH=450&amp;START_MA","XIMIZED=FALSE&amp;VAR:CALENDAR=US&amp;VAR:SYMBOL=05614P10&amp;VAR:INDEX=0"}</definedName>
    <definedName name="_3518__FDSAUDITLINK__" hidden="1">{"fdsup://directions/FAT Viewer?action=UPDATE&amp;creator=factset&amp;DYN_ARGS=TRUE&amp;DOC_NAME=FAT:FQL_AUDITING_CLIENT_TEMPLATE.FAT&amp;display_string=Audit&amp;VAR:KEY=DEJUJONUZI&amp;VAR:QUERY=RkZfRUJJVERBX0lCKCdMVE1TJywzODUzOSk=&amp;WINDOW=FIRST_POPUP&amp;HEIGHT=450&amp;WIDTH=450&amp;START_MA","XIMIZED=FALSE&amp;VAR:CALENDAR=US&amp;VAR:SYMBOL=05614P10&amp;VAR:INDEX=0"}</definedName>
    <definedName name="_3519__FDSAUDITLINK__" localSheetId="6" hidden="1">{"fdsup://directions/FAT Viewer?action=UPDATE&amp;creator=factset&amp;DYN_ARGS=TRUE&amp;DOC_NAME=FAT:FQL_AUDITING_CLIENT_TEMPLATE.FAT&amp;display_string=Audit&amp;VAR:KEY=RCZOZSBUBG&amp;VAR:QUERY=RkZfRUJJVERBX0lCKCdMVE1TJywzODUzOCk=&amp;WINDOW=FIRST_POPUP&amp;HEIGHT=450&amp;WIDTH=450&amp;START_MA","XIMIZED=FALSE&amp;VAR:CALENDAR=US&amp;VAR:SYMBOL=05614P10&amp;VAR:INDEX=0"}</definedName>
    <definedName name="_3519__FDSAUDITLINK__" hidden="1">{"fdsup://directions/FAT Viewer?action=UPDATE&amp;creator=factset&amp;DYN_ARGS=TRUE&amp;DOC_NAME=FAT:FQL_AUDITING_CLIENT_TEMPLATE.FAT&amp;display_string=Audit&amp;VAR:KEY=RCZOZSBUBG&amp;VAR:QUERY=RkZfRUJJVERBX0lCKCdMVE1TJywzODUzOCk=&amp;WINDOW=FIRST_POPUP&amp;HEIGHT=450&amp;WIDTH=450&amp;START_MA","XIMIZED=FALSE&amp;VAR:CALENDAR=US&amp;VAR:SYMBOL=05614P10&amp;VAR:INDEX=0"}</definedName>
    <definedName name="_352__FDSAUDITLINK__" localSheetId="6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2__FDSAUDITLINK__" hidden="1">{"fdsup://directions/FAT%20Viewer?VAR:PED=LTM&amp;VAR:AUDIT_MODE=SUMMARY&amp;VAR:PERIOD=FIXED&amp;VAR:AUDIT_ID=00000117&amp;VAR:DATE=20090306&amp;action=UPDATE&amp;creator=factset&amp;DOC_NAME=FAT:FMA_audit_SUMMARY.fat&amp;DISPLAY_STRING=Display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20__FDSAUDITLINK__" localSheetId="6" hidden="1">{"fdsup://directions/FAT Viewer?action=UPDATE&amp;creator=factset&amp;DYN_ARGS=TRUE&amp;DOC_NAME=FAT:FQL_AUDITING_CLIENT_TEMPLATE.FAT&amp;display_string=Audit&amp;VAR:KEY=HIDKVWFULG&amp;VAR:QUERY=RkZfRUJJVERBX0lCKCdMVE1TJywzODUzNyk=&amp;WINDOW=FIRST_POPUP&amp;HEIGHT=450&amp;WIDTH=450&amp;START_MA","XIMIZED=FALSE&amp;VAR:CALENDAR=US&amp;VAR:SYMBOL=05614P10&amp;VAR:INDEX=0"}</definedName>
    <definedName name="_3520__FDSAUDITLINK__" hidden="1">{"fdsup://directions/FAT Viewer?action=UPDATE&amp;creator=factset&amp;DYN_ARGS=TRUE&amp;DOC_NAME=FAT:FQL_AUDITING_CLIENT_TEMPLATE.FAT&amp;display_string=Audit&amp;VAR:KEY=HIDKVWFULG&amp;VAR:QUERY=RkZfRUJJVERBX0lCKCdMVE1TJywzODUzNyk=&amp;WINDOW=FIRST_POPUP&amp;HEIGHT=450&amp;WIDTH=450&amp;START_MA","XIMIZED=FALSE&amp;VAR:CALENDAR=US&amp;VAR:SYMBOL=05614P10&amp;VAR:INDEX=0"}</definedName>
    <definedName name="_3521__FDSAUDITLINK__" localSheetId="6" hidden="1">{"fdsup://directions/FAT Viewer?action=UPDATE&amp;creator=factset&amp;DYN_ARGS=TRUE&amp;DOC_NAME=FAT:FQL_AUDITING_CLIENT_TEMPLATE.FAT&amp;display_string=Audit&amp;VAR:KEY=BMRARGFQXI&amp;VAR:QUERY=RkZfRUJJVERBX0lCKCdMVE1TJywzODUzNik=&amp;WINDOW=FIRST_POPUP&amp;HEIGHT=450&amp;WIDTH=450&amp;START_MA","XIMIZED=FALSE&amp;VAR:CALENDAR=US&amp;VAR:SYMBOL=05614P10&amp;VAR:INDEX=0"}</definedName>
    <definedName name="_3521__FDSAUDITLINK__" hidden="1">{"fdsup://directions/FAT Viewer?action=UPDATE&amp;creator=factset&amp;DYN_ARGS=TRUE&amp;DOC_NAME=FAT:FQL_AUDITING_CLIENT_TEMPLATE.FAT&amp;display_string=Audit&amp;VAR:KEY=BMRARGFQXI&amp;VAR:QUERY=RkZfRUJJVERBX0lCKCdMVE1TJywzODUzNik=&amp;WINDOW=FIRST_POPUP&amp;HEIGHT=450&amp;WIDTH=450&amp;START_MA","XIMIZED=FALSE&amp;VAR:CALENDAR=US&amp;VAR:SYMBOL=05614P10&amp;VAR:INDEX=0"}</definedName>
    <definedName name="_3522__FDSAUDITLINK__" localSheetId="6" hidden="1">{"fdsup://directions/FAT Viewer?action=UPDATE&amp;creator=factset&amp;DYN_ARGS=TRUE&amp;DOC_NAME=FAT:FQL_AUDITING_CLIENT_TEMPLATE.FAT&amp;display_string=Audit&amp;VAR:KEY=LMFEVUZAJG&amp;VAR:QUERY=RkZfRUJJVERBX0lCKCdMVE1TJywzODUzNSk=&amp;WINDOW=FIRST_POPUP&amp;HEIGHT=450&amp;WIDTH=450&amp;START_MA","XIMIZED=FALSE&amp;VAR:CALENDAR=US&amp;VAR:SYMBOL=05614P10&amp;VAR:INDEX=0"}</definedName>
    <definedName name="_3522__FDSAUDITLINK__" hidden="1">{"fdsup://directions/FAT Viewer?action=UPDATE&amp;creator=factset&amp;DYN_ARGS=TRUE&amp;DOC_NAME=FAT:FQL_AUDITING_CLIENT_TEMPLATE.FAT&amp;display_string=Audit&amp;VAR:KEY=LMFEVUZAJG&amp;VAR:QUERY=RkZfRUJJVERBX0lCKCdMVE1TJywzODUzNSk=&amp;WINDOW=FIRST_POPUP&amp;HEIGHT=450&amp;WIDTH=450&amp;START_MA","XIMIZED=FALSE&amp;VAR:CALENDAR=US&amp;VAR:SYMBOL=05614P10&amp;VAR:INDEX=0"}</definedName>
    <definedName name="_3523__FDSAUDITLINK__" localSheetId="6" hidden="1">{"fdsup://directions/FAT Viewer?action=UPDATE&amp;creator=factset&amp;DYN_ARGS=TRUE&amp;DOC_NAME=FAT:FQL_AUDITING_CLIENT_TEMPLATE.FAT&amp;display_string=Audit&amp;VAR:KEY=NWNMZEVWDI&amp;VAR:QUERY=RkZfRUJJVERBX0lCKCdMVE1TJywzODUzNCk=&amp;WINDOW=FIRST_POPUP&amp;HEIGHT=450&amp;WIDTH=450&amp;START_MA","XIMIZED=FALSE&amp;VAR:CALENDAR=US&amp;VAR:SYMBOL=05614P10&amp;VAR:INDEX=0"}</definedName>
    <definedName name="_3523__FDSAUDITLINK__" hidden="1">{"fdsup://directions/FAT Viewer?action=UPDATE&amp;creator=factset&amp;DYN_ARGS=TRUE&amp;DOC_NAME=FAT:FQL_AUDITING_CLIENT_TEMPLATE.FAT&amp;display_string=Audit&amp;VAR:KEY=NWNMZEVWDI&amp;VAR:QUERY=RkZfRUJJVERBX0lCKCdMVE1TJywzODUzNCk=&amp;WINDOW=FIRST_POPUP&amp;HEIGHT=450&amp;WIDTH=450&amp;START_MA","XIMIZED=FALSE&amp;VAR:CALENDAR=US&amp;VAR:SYMBOL=05614P10&amp;VAR:INDEX=0"}</definedName>
    <definedName name="_3524__FDSAUDITLINK__" localSheetId="6" hidden="1">{"fdsup://directions/FAT Viewer?action=UPDATE&amp;creator=factset&amp;DYN_ARGS=TRUE&amp;DOC_NAME=FAT:FQL_AUDITING_CLIENT_TEMPLATE.FAT&amp;display_string=Audit&amp;VAR:KEY=LOBMXGPURM&amp;VAR:QUERY=RkZfRUJJVERBX0lCKCdMVE1TJywzODUzMyk=&amp;WINDOW=FIRST_POPUP&amp;HEIGHT=450&amp;WIDTH=450&amp;START_MA","XIMIZED=FALSE&amp;VAR:CALENDAR=US&amp;VAR:SYMBOL=05614P10&amp;VAR:INDEX=0"}</definedName>
    <definedName name="_3524__FDSAUDITLINK__" hidden="1">{"fdsup://directions/FAT Viewer?action=UPDATE&amp;creator=factset&amp;DYN_ARGS=TRUE&amp;DOC_NAME=FAT:FQL_AUDITING_CLIENT_TEMPLATE.FAT&amp;display_string=Audit&amp;VAR:KEY=LOBMXGPURM&amp;VAR:QUERY=RkZfRUJJVERBX0lCKCdMVE1TJywzODUzMyk=&amp;WINDOW=FIRST_POPUP&amp;HEIGHT=450&amp;WIDTH=450&amp;START_MA","XIMIZED=FALSE&amp;VAR:CALENDAR=US&amp;VAR:SYMBOL=05614P10&amp;VAR:INDEX=0"}</definedName>
    <definedName name="_3525__FDSAUDITLINK__" localSheetId="6" hidden="1">{"fdsup://directions/FAT Viewer?action=UPDATE&amp;creator=factset&amp;DYN_ARGS=TRUE&amp;DOC_NAME=FAT:FQL_AUDITING_CLIENT_TEMPLATE.FAT&amp;display_string=Audit&amp;VAR:KEY=BKJEVUNIDO&amp;VAR:QUERY=RkZfRUJJVERBX0lCKCdMVE1TJywzODUzMik=&amp;WINDOW=FIRST_POPUP&amp;HEIGHT=450&amp;WIDTH=450&amp;START_MA","XIMIZED=FALSE&amp;VAR:CALENDAR=US&amp;VAR:SYMBOL=05614P10&amp;VAR:INDEX=0"}</definedName>
    <definedName name="_3525__FDSAUDITLINK__" hidden="1">{"fdsup://directions/FAT Viewer?action=UPDATE&amp;creator=factset&amp;DYN_ARGS=TRUE&amp;DOC_NAME=FAT:FQL_AUDITING_CLIENT_TEMPLATE.FAT&amp;display_string=Audit&amp;VAR:KEY=BKJEVUNIDO&amp;VAR:QUERY=RkZfRUJJVERBX0lCKCdMVE1TJywzODUzMik=&amp;WINDOW=FIRST_POPUP&amp;HEIGHT=450&amp;WIDTH=450&amp;START_MA","XIMIZED=FALSE&amp;VAR:CALENDAR=US&amp;VAR:SYMBOL=05614P10&amp;VAR:INDEX=0"}</definedName>
    <definedName name="_3526__FDSAUDITLINK__" localSheetId="6" hidden="1">{"fdsup://directions/FAT Viewer?action=UPDATE&amp;creator=factset&amp;DYN_ARGS=TRUE&amp;DOC_NAME=FAT:FQL_AUDITING_CLIENT_TEMPLATE.FAT&amp;display_string=Audit&amp;VAR:KEY=NUDQVKRYTU&amp;VAR:QUERY=RkZfRUJJVERBX0lCKCdMVE1TJywzODUzMSk=&amp;WINDOW=FIRST_POPUP&amp;HEIGHT=450&amp;WIDTH=450&amp;START_MA","XIMIZED=FALSE&amp;VAR:CALENDAR=US&amp;VAR:SYMBOL=05614P10&amp;VAR:INDEX=0"}</definedName>
    <definedName name="_3526__FDSAUDITLINK__" hidden="1">{"fdsup://directions/FAT Viewer?action=UPDATE&amp;creator=factset&amp;DYN_ARGS=TRUE&amp;DOC_NAME=FAT:FQL_AUDITING_CLIENT_TEMPLATE.FAT&amp;display_string=Audit&amp;VAR:KEY=NUDQVKRYTU&amp;VAR:QUERY=RkZfRUJJVERBX0lCKCdMVE1TJywzODUzMSk=&amp;WINDOW=FIRST_POPUP&amp;HEIGHT=450&amp;WIDTH=450&amp;START_MA","XIMIZED=FALSE&amp;VAR:CALENDAR=US&amp;VAR:SYMBOL=05614P10&amp;VAR:INDEX=0"}</definedName>
    <definedName name="_3527__FDSAUDITLINK__" localSheetId="6" hidden="1">{"fdsup://directions/FAT Viewer?action=UPDATE&amp;creator=factset&amp;DYN_ARGS=TRUE&amp;DOC_NAME=FAT:FQL_AUDITING_CLIENT_TEMPLATE.FAT&amp;display_string=Audit&amp;VAR:KEY=RSTQBEZSBU&amp;VAR:QUERY=RkZfRUJJVERBX0lCKCdMVE1TJywzODUzMCk=&amp;WINDOW=FIRST_POPUP&amp;HEIGHT=450&amp;WIDTH=450&amp;START_MA","XIMIZED=FALSE&amp;VAR:CALENDAR=US&amp;VAR:SYMBOL=05614P10&amp;VAR:INDEX=0"}</definedName>
    <definedName name="_3527__FDSAUDITLINK__" hidden="1">{"fdsup://directions/FAT Viewer?action=UPDATE&amp;creator=factset&amp;DYN_ARGS=TRUE&amp;DOC_NAME=FAT:FQL_AUDITING_CLIENT_TEMPLATE.FAT&amp;display_string=Audit&amp;VAR:KEY=RSTQBEZSBU&amp;VAR:QUERY=RkZfRUJJVERBX0lCKCdMVE1TJywzODUzMCk=&amp;WINDOW=FIRST_POPUP&amp;HEIGHT=450&amp;WIDTH=450&amp;START_MA","XIMIZED=FALSE&amp;VAR:CALENDAR=US&amp;VAR:SYMBOL=05614P10&amp;VAR:INDEX=0"}</definedName>
    <definedName name="_3528__FDSAUDITLINK__" localSheetId="6" hidden="1">{"fdsup://directions/FAT Viewer?action=UPDATE&amp;creator=factset&amp;DYN_ARGS=TRUE&amp;DOC_NAME=FAT:FQL_AUDITING_CLIENT_TEMPLATE.FAT&amp;display_string=Audit&amp;VAR:KEY=NEPEFMJGVE&amp;VAR:QUERY=RkZfRUJJVERBX0lCKCdMVE1TJywzODUyOSk=&amp;WINDOW=FIRST_POPUP&amp;HEIGHT=450&amp;WIDTH=450&amp;START_MA","XIMIZED=FALSE&amp;VAR:CALENDAR=US&amp;VAR:SYMBOL=05614P10&amp;VAR:INDEX=0"}</definedName>
    <definedName name="_3528__FDSAUDITLINK__" hidden="1">{"fdsup://directions/FAT Viewer?action=UPDATE&amp;creator=factset&amp;DYN_ARGS=TRUE&amp;DOC_NAME=FAT:FQL_AUDITING_CLIENT_TEMPLATE.FAT&amp;display_string=Audit&amp;VAR:KEY=NEPEFMJGVE&amp;VAR:QUERY=RkZfRUJJVERBX0lCKCdMVE1TJywzODUyOSk=&amp;WINDOW=FIRST_POPUP&amp;HEIGHT=450&amp;WIDTH=450&amp;START_MA","XIMIZED=FALSE&amp;VAR:CALENDAR=US&amp;VAR:SYMBOL=05614P10&amp;VAR:INDEX=0"}</definedName>
    <definedName name="_3529__FDSAUDITLINK__" localSheetId="6" hidden="1">{"fdsup://directions/FAT Viewer?action=UPDATE&amp;creator=factset&amp;DYN_ARGS=TRUE&amp;DOC_NAME=FAT:FQL_AUDITING_CLIENT_TEMPLATE.FAT&amp;display_string=Audit&amp;VAR:KEY=FKZEDILKJW&amp;VAR:QUERY=RkZfRUJJVERBX0lCKCdMVE1TJywzODUyOCk=&amp;WINDOW=FIRST_POPUP&amp;HEIGHT=450&amp;WIDTH=450&amp;START_MA","XIMIZED=FALSE&amp;VAR:CALENDAR=US&amp;VAR:SYMBOL=05614P10&amp;VAR:INDEX=0"}</definedName>
    <definedName name="_3529__FDSAUDITLINK__" hidden="1">{"fdsup://directions/FAT Viewer?action=UPDATE&amp;creator=factset&amp;DYN_ARGS=TRUE&amp;DOC_NAME=FAT:FQL_AUDITING_CLIENT_TEMPLATE.FAT&amp;display_string=Audit&amp;VAR:KEY=FKZEDILKJW&amp;VAR:QUERY=RkZfRUJJVERBX0lCKCdMVE1TJywzODUyOCk=&amp;WINDOW=FIRST_POPUP&amp;HEIGHT=450&amp;WIDTH=450&amp;START_MA","XIMIZED=FALSE&amp;VAR:CALENDAR=US&amp;VAR:SYMBOL=05614P10&amp;VAR:INDEX=0"}</definedName>
    <definedName name="_353__FDSAUDITLINK__" localSheetId="6" hidden="1">{"fdsup://directions/FAT%20Viewer?VAR:PED=LTM&amp;VAR:AUDIT_MODE=SUMMARY&amp;VAR:PERIOD=FIXED&amp;VAR:AUDIT_ID=00000117&amp;VAR:DATE=20090305&amp;action=UPDATE&amp;creator=factset&amp;DOC_NAME=FAT:FMA_audit_SUMMARY.fat&amp;DISPLAY_STRING=Display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3__FDSAUDITLINK__" hidden="1">{"fdsup://directions/FAT%20Viewer?VAR:PED=LTM&amp;VAR:AUDIT_MODE=SUMMARY&amp;VAR:PERIOD=FIXED&amp;VAR:AUDIT_ID=00000117&amp;VAR:DATE=20090305&amp;action=UPDATE&amp;creator=factset&amp;DOC_NAME=FAT:FMA_audit_SUMMARY.fat&amp;DISPLAY_STRING=Display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30__FDSAUDITLINK__" localSheetId="6" hidden="1">{"fdsup://directions/FAT Viewer?action=UPDATE&amp;creator=factset&amp;DYN_ARGS=TRUE&amp;DOC_NAME=FAT:FQL_AUDITING_CLIENT_TEMPLATE.FAT&amp;display_string=Audit&amp;VAR:KEY=FIFSXOZENI&amp;VAR:QUERY=RkZfRUJJVERBX0lCKCdMVE1TJywzODUyNyk=&amp;WINDOW=FIRST_POPUP&amp;HEIGHT=450&amp;WIDTH=450&amp;START_MA","XIMIZED=FALSE&amp;VAR:CALENDAR=US&amp;VAR:SYMBOL=05614P10&amp;VAR:INDEX=0"}</definedName>
    <definedName name="_3530__FDSAUDITLINK__" hidden="1">{"fdsup://directions/FAT Viewer?action=UPDATE&amp;creator=factset&amp;DYN_ARGS=TRUE&amp;DOC_NAME=FAT:FQL_AUDITING_CLIENT_TEMPLATE.FAT&amp;display_string=Audit&amp;VAR:KEY=FIFSXOZENI&amp;VAR:QUERY=RkZfRUJJVERBX0lCKCdMVE1TJywzODUyNyk=&amp;WINDOW=FIRST_POPUP&amp;HEIGHT=450&amp;WIDTH=450&amp;START_MA","XIMIZED=FALSE&amp;VAR:CALENDAR=US&amp;VAR:SYMBOL=05614P10&amp;VAR:INDEX=0"}</definedName>
    <definedName name="_3531__FDSAUDITLINK__" localSheetId="6" hidden="1">{"fdsup://directions/FAT Viewer?action=UPDATE&amp;creator=factset&amp;DYN_ARGS=TRUE&amp;DOC_NAME=FAT:FQL_AUDITING_CLIENT_TEMPLATE.FAT&amp;display_string=Audit&amp;VAR:KEY=LYRELSLODE&amp;VAR:QUERY=RkZfRUJJVERBX0lCKCdMVE1TJywzODUyNik=&amp;WINDOW=FIRST_POPUP&amp;HEIGHT=450&amp;WIDTH=450&amp;START_MA","XIMIZED=FALSE&amp;VAR:CALENDAR=US&amp;VAR:SYMBOL=05614P10&amp;VAR:INDEX=0"}</definedName>
    <definedName name="_3531__FDSAUDITLINK__" hidden="1">{"fdsup://directions/FAT Viewer?action=UPDATE&amp;creator=factset&amp;DYN_ARGS=TRUE&amp;DOC_NAME=FAT:FQL_AUDITING_CLIENT_TEMPLATE.FAT&amp;display_string=Audit&amp;VAR:KEY=LYRELSLODE&amp;VAR:QUERY=RkZfRUJJVERBX0lCKCdMVE1TJywzODUyNik=&amp;WINDOW=FIRST_POPUP&amp;HEIGHT=450&amp;WIDTH=450&amp;START_MA","XIMIZED=FALSE&amp;VAR:CALENDAR=US&amp;VAR:SYMBOL=05614P10&amp;VAR:INDEX=0"}</definedName>
    <definedName name="_3532__FDSAUDITLINK__" localSheetId="6" hidden="1">{"fdsup://directions/FAT Viewer?action=UPDATE&amp;creator=factset&amp;DYN_ARGS=TRUE&amp;DOC_NAME=FAT:FQL_AUDITING_CLIENT_TEMPLATE.FAT&amp;display_string=Audit&amp;VAR:KEY=DYJSNYXMBW&amp;VAR:QUERY=RkZfRUJJVERBX0lCKCdMVE1TJywzODUyNSk=&amp;WINDOW=FIRST_POPUP&amp;HEIGHT=450&amp;WIDTH=450&amp;START_MA","XIMIZED=FALSE&amp;VAR:CALENDAR=US&amp;VAR:SYMBOL=05614P10&amp;VAR:INDEX=0"}</definedName>
    <definedName name="_3532__FDSAUDITLINK__" hidden="1">{"fdsup://directions/FAT Viewer?action=UPDATE&amp;creator=factset&amp;DYN_ARGS=TRUE&amp;DOC_NAME=FAT:FQL_AUDITING_CLIENT_TEMPLATE.FAT&amp;display_string=Audit&amp;VAR:KEY=DYJSNYXMBW&amp;VAR:QUERY=RkZfRUJJVERBX0lCKCdMVE1TJywzODUyNSk=&amp;WINDOW=FIRST_POPUP&amp;HEIGHT=450&amp;WIDTH=450&amp;START_MA","XIMIZED=FALSE&amp;VAR:CALENDAR=US&amp;VAR:SYMBOL=05614P10&amp;VAR:INDEX=0"}</definedName>
    <definedName name="_3533__FDSAUDITLINK__" localSheetId="6" hidden="1">{"fdsup://directions/FAT Viewer?action=UPDATE&amp;creator=factset&amp;DYN_ARGS=TRUE&amp;DOC_NAME=FAT:FQL_AUDITING_CLIENT_TEMPLATE.FAT&amp;display_string=Audit&amp;VAR:KEY=FYHEFIRIZI&amp;VAR:QUERY=RkZfRUJJVERBX0lCKCdMVE1TJywzODUyNCk=&amp;WINDOW=FIRST_POPUP&amp;HEIGHT=450&amp;WIDTH=450&amp;START_MA","XIMIZED=FALSE&amp;VAR:CALENDAR=US&amp;VAR:SYMBOL=05614P10&amp;VAR:INDEX=0"}</definedName>
    <definedName name="_3533__FDSAUDITLINK__" hidden="1">{"fdsup://directions/FAT Viewer?action=UPDATE&amp;creator=factset&amp;DYN_ARGS=TRUE&amp;DOC_NAME=FAT:FQL_AUDITING_CLIENT_TEMPLATE.FAT&amp;display_string=Audit&amp;VAR:KEY=FYHEFIRIZI&amp;VAR:QUERY=RkZfRUJJVERBX0lCKCdMVE1TJywzODUyNCk=&amp;WINDOW=FIRST_POPUP&amp;HEIGHT=450&amp;WIDTH=450&amp;START_MA","XIMIZED=FALSE&amp;VAR:CALENDAR=US&amp;VAR:SYMBOL=05614P10&amp;VAR:INDEX=0"}</definedName>
    <definedName name="_3534__FDSAUDITLINK__" localSheetId="6" hidden="1">{"fdsup://directions/FAT Viewer?action=UPDATE&amp;creator=factset&amp;DYN_ARGS=TRUE&amp;DOC_NAME=FAT:FQL_AUDITING_CLIENT_TEMPLATE.FAT&amp;display_string=Audit&amp;VAR:KEY=JKBOPCDORY&amp;VAR:QUERY=RkZfRUJJVERBX0lCKCdMVE1TJywzODUyMyk=&amp;WINDOW=FIRST_POPUP&amp;HEIGHT=450&amp;WIDTH=450&amp;START_MA","XIMIZED=FALSE&amp;VAR:CALENDAR=US&amp;VAR:SYMBOL=05614P10&amp;VAR:INDEX=0"}</definedName>
    <definedName name="_3534__FDSAUDITLINK__" hidden="1">{"fdsup://directions/FAT Viewer?action=UPDATE&amp;creator=factset&amp;DYN_ARGS=TRUE&amp;DOC_NAME=FAT:FQL_AUDITING_CLIENT_TEMPLATE.FAT&amp;display_string=Audit&amp;VAR:KEY=JKBOPCDORY&amp;VAR:QUERY=RkZfRUJJVERBX0lCKCdMVE1TJywzODUyMyk=&amp;WINDOW=FIRST_POPUP&amp;HEIGHT=450&amp;WIDTH=450&amp;START_MA","XIMIZED=FALSE&amp;VAR:CALENDAR=US&amp;VAR:SYMBOL=05614P10&amp;VAR:INDEX=0"}</definedName>
    <definedName name="_3535__FDSAUDITLINK__" localSheetId="6" hidden="1">{"fdsup://directions/FAT Viewer?action=UPDATE&amp;creator=factset&amp;DYN_ARGS=TRUE&amp;DOC_NAME=FAT:FQL_AUDITING_CLIENT_TEMPLATE.FAT&amp;display_string=Audit&amp;VAR:KEY=HGXQZEVGFG&amp;VAR:QUERY=RkZfRUJJVERBX0lCKCdMVE1TJywzODUyMik=&amp;WINDOW=FIRST_POPUP&amp;HEIGHT=450&amp;WIDTH=450&amp;START_MA","XIMIZED=FALSE&amp;VAR:CALENDAR=US&amp;VAR:SYMBOL=05614P10&amp;VAR:INDEX=0"}</definedName>
    <definedName name="_3535__FDSAUDITLINK__" hidden="1">{"fdsup://directions/FAT Viewer?action=UPDATE&amp;creator=factset&amp;DYN_ARGS=TRUE&amp;DOC_NAME=FAT:FQL_AUDITING_CLIENT_TEMPLATE.FAT&amp;display_string=Audit&amp;VAR:KEY=HGXQZEVGFG&amp;VAR:QUERY=RkZfRUJJVERBX0lCKCdMVE1TJywzODUyMik=&amp;WINDOW=FIRST_POPUP&amp;HEIGHT=450&amp;WIDTH=450&amp;START_MA","XIMIZED=FALSE&amp;VAR:CALENDAR=US&amp;VAR:SYMBOL=05614P10&amp;VAR:INDEX=0"}</definedName>
    <definedName name="_3536__FDSAUDITLINK__" localSheetId="6" hidden="1">{"fdsup://directions/FAT Viewer?action=UPDATE&amp;creator=factset&amp;DYN_ARGS=TRUE&amp;DOC_NAME=FAT:FQL_AUDITING_CLIENT_TEMPLATE.FAT&amp;display_string=Audit&amp;VAR:KEY=LGTYFUNWRK&amp;VAR:QUERY=RkZfRUJJVERBX0lCKCdMVE1TJywzODUyMSk=&amp;WINDOW=FIRST_POPUP&amp;HEIGHT=450&amp;WIDTH=450&amp;START_MA","XIMIZED=FALSE&amp;VAR:CALENDAR=US&amp;VAR:SYMBOL=05614P10&amp;VAR:INDEX=0"}</definedName>
    <definedName name="_3536__FDSAUDITLINK__" hidden="1">{"fdsup://directions/FAT Viewer?action=UPDATE&amp;creator=factset&amp;DYN_ARGS=TRUE&amp;DOC_NAME=FAT:FQL_AUDITING_CLIENT_TEMPLATE.FAT&amp;display_string=Audit&amp;VAR:KEY=LGTYFUNWRK&amp;VAR:QUERY=RkZfRUJJVERBX0lCKCdMVE1TJywzODUyMSk=&amp;WINDOW=FIRST_POPUP&amp;HEIGHT=450&amp;WIDTH=450&amp;START_MA","XIMIZED=FALSE&amp;VAR:CALENDAR=US&amp;VAR:SYMBOL=05614P10&amp;VAR:INDEX=0"}</definedName>
    <definedName name="_3537__FDSAUDITLINK__" localSheetId="6" hidden="1">{"fdsup://directions/FAT Viewer?action=UPDATE&amp;creator=factset&amp;DYN_ARGS=TRUE&amp;DOC_NAME=FAT:FQL_AUDITING_CLIENT_TEMPLATE.FAT&amp;display_string=Audit&amp;VAR:KEY=LGLABIROJO&amp;VAR:QUERY=RkZfRUJJVERBX0lCKCdMVE1TJywzODUyMCk=&amp;WINDOW=FIRST_POPUP&amp;HEIGHT=450&amp;WIDTH=450&amp;START_MA","XIMIZED=FALSE&amp;VAR:CALENDAR=US&amp;VAR:SYMBOL=05614P10&amp;VAR:INDEX=0"}</definedName>
    <definedName name="_3537__FDSAUDITLINK__" hidden="1">{"fdsup://directions/FAT Viewer?action=UPDATE&amp;creator=factset&amp;DYN_ARGS=TRUE&amp;DOC_NAME=FAT:FQL_AUDITING_CLIENT_TEMPLATE.FAT&amp;display_string=Audit&amp;VAR:KEY=LGLABIROJO&amp;VAR:QUERY=RkZfRUJJVERBX0lCKCdMVE1TJywzODUyMCk=&amp;WINDOW=FIRST_POPUP&amp;HEIGHT=450&amp;WIDTH=450&amp;START_MA","XIMIZED=FALSE&amp;VAR:CALENDAR=US&amp;VAR:SYMBOL=05614P10&amp;VAR:INDEX=0"}</definedName>
    <definedName name="_3538__FDSAUDITLINK__" localSheetId="6" hidden="1">{"fdsup://directions/FAT Viewer?action=UPDATE&amp;creator=factset&amp;DYN_ARGS=TRUE&amp;DOC_NAME=FAT:FQL_AUDITING_CLIENT_TEMPLATE.FAT&amp;display_string=Audit&amp;VAR:KEY=LCXCRWVEDI&amp;VAR:QUERY=RkZfRUJJVERBX0lCKCdMVE1TJywzODUxOSk=&amp;WINDOW=FIRST_POPUP&amp;HEIGHT=450&amp;WIDTH=450&amp;START_MA","XIMIZED=FALSE&amp;VAR:CALENDAR=US&amp;VAR:SYMBOL=05614P10&amp;VAR:INDEX=0"}</definedName>
    <definedName name="_3538__FDSAUDITLINK__" hidden="1">{"fdsup://directions/FAT Viewer?action=UPDATE&amp;creator=factset&amp;DYN_ARGS=TRUE&amp;DOC_NAME=FAT:FQL_AUDITING_CLIENT_TEMPLATE.FAT&amp;display_string=Audit&amp;VAR:KEY=LCXCRWVEDI&amp;VAR:QUERY=RkZfRUJJVERBX0lCKCdMVE1TJywzODUxOSk=&amp;WINDOW=FIRST_POPUP&amp;HEIGHT=450&amp;WIDTH=450&amp;START_MA","XIMIZED=FALSE&amp;VAR:CALENDAR=US&amp;VAR:SYMBOL=05614P10&amp;VAR:INDEX=0"}</definedName>
    <definedName name="_3539__FDSAUDITLINK__" localSheetId="6" hidden="1">{"fdsup://directions/FAT Viewer?action=UPDATE&amp;creator=factset&amp;DYN_ARGS=TRUE&amp;DOC_NAME=FAT:FQL_AUDITING_CLIENT_TEMPLATE.FAT&amp;display_string=Audit&amp;VAR:KEY=FALOHYZQBS&amp;VAR:QUERY=RkZfRUJJVERBX0lCKCdMVE1TJywzODUxOCk=&amp;WINDOW=FIRST_POPUP&amp;HEIGHT=450&amp;WIDTH=450&amp;START_MA","XIMIZED=FALSE&amp;VAR:CALENDAR=US&amp;VAR:SYMBOL=05614P10&amp;VAR:INDEX=0"}</definedName>
    <definedName name="_3539__FDSAUDITLINK__" hidden="1">{"fdsup://directions/FAT Viewer?action=UPDATE&amp;creator=factset&amp;DYN_ARGS=TRUE&amp;DOC_NAME=FAT:FQL_AUDITING_CLIENT_TEMPLATE.FAT&amp;display_string=Audit&amp;VAR:KEY=FALOHYZQBS&amp;VAR:QUERY=RkZfRUJJVERBX0lCKCdMVE1TJywzODUxOCk=&amp;WINDOW=FIRST_POPUP&amp;HEIGHT=450&amp;WIDTH=450&amp;START_MA","XIMIZED=FALSE&amp;VAR:CALENDAR=US&amp;VAR:SYMBOL=05614P10&amp;VAR:INDEX=0"}</definedName>
    <definedName name="_354__FDSAUDITLINK__" localSheetId="6" hidden="1">{"fdsup://directions/FAT%20Viewer?VAR:PED=LTM&amp;VAR:AUDIT_MODE=SUMMARY&amp;VAR:PERIOD=FIXED&amp;VAR:AUDIT_ID=00000117&amp;VAR:DATE=20090304&amp;action=UPDATE&amp;creator=factset&amp;DOC_NAME=FAT:FMA_audit_SUMMARY.fat&amp;DISPLAY_STRING=Display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4__FDSAUDITLINK__" hidden="1">{"fdsup://directions/FAT%20Viewer?VAR:PED=LTM&amp;VAR:AUDIT_MODE=SUMMARY&amp;VAR:PERIOD=FIXED&amp;VAR:AUDIT_ID=00000117&amp;VAR:DATE=20090304&amp;action=UPDATE&amp;creator=factset&amp;DOC_NAME=FAT:FMA_audit_SUMMARY.fat&amp;DISPLAY_STRING=Display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40__FDSAUDITLINK__" localSheetId="6" hidden="1">{"fdsup://directions/FAT Viewer?action=UPDATE&amp;creator=factset&amp;DYN_ARGS=TRUE&amp;DOC_NAME=FAT:FQL_AUDITING_CLIENT_TEMPLATE.FAT&amp;display_string=Audit&amp;VAR:KEY=VAXOFINQDU&amp;VAR:QUERY=RkZfRUJJVERBX0lCKCdMVE1TJywzODUxNyk=&amp;WINDOW=FIRST_POPUP&amp;HEIGHT=450&amp;WIDTH=450&amp;START_MA","XIMIZED=FALSE&amp;VAR:CALENDAR=US&amp;VAR:SYMBOL=05614P10&amp;VAR:INDEX=0"}</definedName>
    <definedName name="_3540__FDSAUDITLINK__" hidden="1">{"fdsup://directions/FAT Viewer?action=UPDATE&amp;creator=factset&amp;DYN_ARGS=TRUE&amp;DOC_NAME=FAT:FQL_AUDITING_CLIENT_TEMPLATE.FAT&amp;display_string=Audit&amp;VAR:KEY=VAXOFINQDU&amp;VAR:QUERY=RkZfRUJJVERBX0lCKCdMVE1TJywzODUxNyk=&amp;WINDOW=FIRST_POPUP&amp;HEIGHT=450&amp;WIDTH=450&amp;START_MA","XIMIZED=FALSE&amp;VAR:CALENDAR=US&amp;VAR:SYMBOL=05614P10&amp;VAR:INDEX=0"}</definedName>
    <definedName name="_3541__FDSAUDITLINK__" localSheetId="6" hidden="1">{"fdsup://directions/FAT Viewer?action=UPDATE&amp;creator=factset&amp;DYN_ARGS=TRUE&amp;DOC_NAME=FAT:FQL_AUDITING_CLIENT_TEMPLATE.FAT&amp;display_string=Audit&amp;VAR:KEY=JEXCXYLALM&amp;VAR:QUERY=RkZfRUJJVERBX0lCKCdMVE1TJywzODUxNik=&amp;WINDOW=FIRST_POPUP&amp;HEIGHT=450&amp;WIDTH=450&amp;START_MA","XIMIZED=FALSE&amp;VAR:CALENDAR=US&amp;VAR:SYMBOL=05614P10&amp;VAR:INDEX=0"}</definedName>
    <definedName name="_3541__FDSAUDITLINK__" hidden="1">{"fdsup://directions/FAT Viewer?action=UPDATE&amp;creator=factset&amp;DYN_ARGS=TRUE&amp;DOC_NAME=FAT:FQL_AUDITING_CLIENT_TEMPLATE.FAT&amp;display_string=Audit&amp;VAR:KEY=JEXCXYLALM&amp;VAR:QUERY=RkZfRUJJVERBX0lCKCdMVE1TJywzODUxNik=&amp;WINDOW=FIRST_POPUP&amp;HEIGHT=450&amp;WIDTH=450&amp;START_MA","XIMIZED=FALSE&amp;VAR:CALENDAR=US&amp;VAR:SYMBOL=05614P10&amp;VAR:INDEX=0"}</definedName>
    <definedName name="_3542__FDSAUDITLINK__" localSheetId="6" hidden="1">{"fdsup://directions/FAT Viewer?action=UPDATE&amp;creator=factset&amp;DYN_ARGS=TRUE&amp;DOC_NAME=FAT:FQL_AUDITING_CLIENT_TEMPLATE.FAT&amp;display_string=Audit&amp;VAR:KEY=HERIVODIVG&amp;VAR:QUERY=RkZfRUJJVERBX0lCKCdMVE1TJywzODUxNSk=&amp;WINDOW=FIRST_POPUP&amp;HEIGHT=450&amp;WIDTH=450&amp;START_MA","XIMIZED=FALSE&amp;VAR:CALENDAR=US&amp;VAR:SYMBOL=05614P10&amp;VAR:INDEX=0"}</definedName>
    <definedName name="_3542__FDSAUDITLINK__" hidden="1">{"fdsup://directions/FAT Viewer?action=UPDATE&amp;creator=factset&amp;DYN_ARGS=TRUE&amp;DOC_NAME=FAT:FQL_AUDITING_CLIENT_TEMPLATE.FAT&amp;display_string=Audit&amp;VAR:KEY=HERIVODIVG&amp;VAR:QUERY=RkZfRUJJVERBX0lCKCdMVE1TJywzODUxNSk=&amp;WINDOW=FIRST_POPUP&amp;HEIGHT=450&amp;WIDTH=450&amp;START_MA","XIMIZED=FALSE&amp;VAR:CALENDAR=US&amp;VAR:SYMBOL=05614P10&amp;VAR:INDEX=0"}</definedName>
    <definedName name="_3543__FDSAUDITLINK__" localSheetId="6" hidden="1">{"fdsup://directions/FAT Viewer?action=UPDATE&amp;creator=factset&amp;DYN_ARGS=TRUE&amp;DOC_NAME=FAT:FQL_AUDITING_CLIENT_TEMPLATE.FAT&amp;display_string=Audit&amp;VAR:KEY=PMHEHAXOLU&amp;VAR:QUERY=RkZfRUJJVERBX0lCKCdMVE1TJywzODUxNCk=&amp;WINDOW=FIRST_POPUP&amp;HEIGHT=450&amp;WIDTH=450&amp;START_MA","XIMIZED=FALSE&amp;VAR:CALENDAR=US&amp;VAR:SYMBOL=05614P10&amp;VAR:INDEX=0"}</definedName>
    <definedName name="_3543__FDSAUDITLINK__" hidden="1">{"fdsup://directions/FAT Viewer?action=UPDATE&amp;creator=factset&amp;DYN_ARGS=TRUE&amp;DOC_NAME=FAT:FQL_AUDITING_CLIENT_TEMPLATE.FAT&amp;display_string=Audit&amp;VAR:KEY=PMHEHAXOLU&amp;VAR:QUERY=RkZfRUJJVERBX0lCKCdMVE1TJywzODUxNCk=&amp;WINDOW=FIRST_POPUP&amp;HEIGHT=450&amp;WIDTH=450&amp;START_MA","XIMIZED=FALSE&amp;VAR:CALENDAR=US&amp;VAR:SYMBOL=05614P10&amp;VAR:INDEX=0"}</definedName>
    <definedName name="_3544__FDSAUDITLINK__" localSheetId="6" hidden="1">{"fdsup://directions/FAT Viewer?action=UPDATE&amp;creator=factset&amp;DYN_ARGS=TRUE&amp;DOC_NAME=FAT:FQL_AUDITING_CLIENT_TEMPLATE.FAT&amp;display_string=Audit&amp;VAR:KEY=LGDATCDUZS&amp;VAR:QUERY=RkZfRUJJVERBX0lCKCdMVE1TJywzODUxMyk=&amp;WINDOW=FIRST_POPUP&amp;HEIGHT=450&amp;WIDTH=450&amp;START_MA","XIMIZED=FALSE&amp;VAR:CALENDAR=US&amp;VAR:SYMBOL=05614P10&amp;VAR:INDEX=0"}</definedName>
    <definedName name="_3544__FDSAUDITLINK__" hidden="1">{"fdsup://directions/FAT Viewer?action=UPDATE&amp;creator=factset&amp;DYN_ARGS=TRUE&amp;DOC_NAME=FAT:FQL_AUDITING_CLIENT_TEMPLATE.FAT&amp;display_string=Audit&amp;VAR:KEY=LGDATCDUZS&amp;VAR:QUERY=RkZfRUJJVERBX0lCKCdMVE1TJywzODUxMyk=&amp;WINDOW=FIRST_POPUP&amp;HEIGHT=450&amp;WIDTH=450&amp;START_MA","XIMIZED=FALSE&amp;VAR:CALENDAR=US&amp;VAR:SYMBOL=05614P10&amp;VAR:INDEX=0"}</definedName>
    <definedName name="_3545__FDSAUDITLINK__" localSheetId="6" hidden="1">{"fdsup://directions/FAT Viewer?action=UPDATE&amp;creator=factset&amp;DYN_ARGS=TRUE&amp;DOC_NAME=FAT:FQL_AUDITING_CLIENT_TEMPLATE.FAT&amp;display_string=Audit&amp;VAR:KEY=NWBUBILUJC&amp;VAR:QUERY=RkZfRUJJVERBX0lCKCdMVE1TJywzODUxMik=&amp;WINDOW=FIRST_POPUP&amp;HEIGHT=450&amp;WIDTH=450&amp;START_MA","XIMIZED=FALSE&amp;VAR:CALENDAR=US&amp;VAR:SYMBOL=05614P10&amp;VAR:INDEX=0"}</definedName>
    <definedName name="_3545__FDSAUDITLINK__" hidden="1">{"fdsup://directions/FAT Viewer?action=UPDATE&amp;creator=factset&amp;DYN_ARGS=TRUE&amp;DOC_NAME=FAT:FQL_AUDITING_CLIENT_TEMPLATE.FAT&amp;display_string=Audit&amp;VAR:KEY=NWBUBILUJC&amp;VAR:QUERY=RkZfRUJJVERBX0lCKCdMVE1TJywzODUxMik=&amp;WINDOW=FIRST_POPUP&amp;HEIGHT=450&amp;WIDTH=450&amp;START_MA","XIMIZED=FALSE&amp;VAR:CALENDAR=US&amp;VAR:SYMBOL=05614P10&amp;VAR:INDEX=0"}</definedName>
    <definedName name="_3546__FDSAUDITLINK__" localSheetId="6" hidden="1">{"fdsup://directions/FAT Viewer?action=UPDATE&amp;creator=factset&amp;DYN_ARGS=TRUE&amp;DOC_NAME=FAT:FQL_AUDITING_CLIENT_TEMPLATE.FAT&amp;display_string=Audit&amp;VAR:KEY=XIRCTQPURE&amp;VAR:QUERY=RkZfRUJJVERBX0lCKCdMVE1TJywzODUxMSk=&amp;WINDOW=FIRST_POPUP&amp;HEIGHT=450&amp;WIDTH=450&amp;START_MA","XIMIZED=FALSE&amp;VAR:CALENDAR=US&amp;VAR:SYMBOL=05614P10&amp;VAR:INDEX=0"}</definedName>
    <definedName name="_3546__FDSAUDITLINK__" hidden="1">{"fdsup://directions/FAT Viewer?action=UPDATE&amp;creator=factset&amp;DYN_ARGS=TRUE&amp;DOC_NAME=FAT:FQL_AUDITING_CLIENT_TEMPLATE.FAT&amp;display_string=Audit&amp;VAR:KEY=XIRCTQPURE&amp;VAR:QUERY=RkZfRUJJVERBX0lCKCdMVE1TJywzODUxMSk=&amp;WINDOW=FIRST_POPUP&amp;HEIGHT=450&amp;WIDTH=450&amp;START_MA","XIMIZED=FALSE&amp;VAR:CALENDAR=US&amp;VAR:SYMBOL=05614P10&amp;VAR:INDEX=0"}</definedName>
    <definedName name="_3547__FDSAUDITLINK__" localSheetId="6" hidden="1">{"fdsup://directions/FAT Viewer?action=UPDATE&amp;creator=factset&amp;DYN_ARGS=TRUE&amp;DOC_NAME=FAT:FQL_AUDITING_CLIENT_TEMPLATE.FAT&amp;display_string=Audit&amp;VAR:KEY=FGBGRITAVK&amp;VAR:QUERY=RkZfRUJJVERBX0lCKCdMVE1TJywzODUxMCk=&amp;WINDOW=FIRST_POPUP&amp;HEIGHT=450&amp;WIDTH=450&amp;START_MA","XIMIZED=FALSE&amp;VAR:CALENDAR=US&amp;VAR:SYMBOL=05614P10&amp;VAR:INDEX=0"}</definedName>
    <definedName name="_3547__FDSAUDITLINK__" hidden="1">{"fdsup://directions/FAT Viewer?action=UPDATE&amp;creator=factset&amp;DYN_ARGS=TRUE&amp;DOC_NAME=FAT:FQL_AUDITING_CLIENT_TEMPLATE.FAT&amp;display_string=Audit&amp;VAR:KEY=FGBGRITAVK&amp;VAR:QUERY=RkZfRUJJVERBX0lCKCdMVE1TJywzODUxMCk=&amp;WINDOW=FIRST_POPUP&amp;HEIGHT=450&amp;WIDTH=450&amp;START_MA","XIMIZED=FALSE&amp;VAR:CALENDAR=US&amp;VAR:SYMBOL=05614P10&amp;VAR:INDEX=0"}</definedName>
    <definedName name="_3548__FDSAUDITLINK__" localSheetId="6" hidden="1">{"fdsup://directions/FAT Viewer?action=UPDATE&amp;creator=factset&amp;DYN_ARGS=TRUE&amp;DOC_NAME=FAT:FQL_AUDITING_CLIENT_TEMPLATE.FAT&amp;display_string=Audit&amp;VAR:KEY=LWBUNSTGHE&amp;VAR:QUERY=RkZfRUJJVERBX0lCKCdMVE1TJywzODUwOSk=&amp;WINDOW=FIRST_POPUP&amp;HEIGHT=450&amp;WIDTH=450&amp;START_MA","XIMIZED=FALSE&amp;VAR:CALENDAR=US&amp;VAR:SYMBOL=05614P10&amp;VAR:INDEX=0"}</definedName>
    <definedName name="_3548__FDSAUDITLINK__" hidden="1">{"fdsup://directions/FAT Viewer?action=UPDATE&amp;creator=factset&amp;DYN_ARGS=TRUE&amp;DOC_NAME=FAT:FQL_AUDITING_CLIENT_TEMPLATE.FAT&amp;display_string=Audit&amp;VAR:KEY=LWBUNSTGHE&amp;VAR:QUERY=RkZfRUJJVERBX0lCKCdMVE1TJywzODUwOSk=&amp;WINDOW=FIRST_POPUP&amp;HEIGHT=450&amp;WIDTH=450&amp;START_MA","XIMIZED=FALSE&amp;VAR:CALENDAR=US&amp;VAR:SYMBOL=05614P10&amp;VAR:INDEX=0"}</definedName>
    <definedName name="_3549__FDSAUDITLINK__" localSheetId="6" hidden="1">{"fdsup://directions/FAT Viewer?action=UPDATE&amp;creator=factset&amp;DYN_ARGS=TRUE&amp;DOC_NAME=FAT:FQL_AUDITING_CLIENT_TEMPLATE.FAT&amp;display_string=Audit&amp;VAR:KEY=ZSNEVEFIVQ&amp;VAR:QUERY=RkZfRUJJVERBX0lCKCdMVE1TJywzODUwOCk=&amp;WINDOW=FIRST_POPUP&amp;HEIGHT=450&amp;WIDTH=450&amp;START_MA","XIMIZED=FALSE&amp;VAR:CALENDAR=US&amp;VAR:SYMBOL=05614P10&amp;VAR:INDEX=0"}</definedName>
    <definedName name="_3549__FDSAUDITLINK__" hidden="1">{"fdsup://directions/FAT Viewer?action=UPDATE&amp;creator=factset&amp;DYN_ARGS=TRUE&amp;DOC_NAME=FAT:FQL_AUDITING_CLIENT_TEMPLATE.FAT&amp;display_string=Audit&amp;VAR:KEY=ZSNEVEFIVQ&amp;VAR:QUERY=RkZfRUJJVERBX0lCKCdMVE1TJywzODUwOCk=&amp;WINDOW=FIRST_POPUP&amp;HEIGHT=450&amp;WIDTH=450&amp;START_MA","XIMIZED=FALSE&amp;VAR:CALENDAR=US&amp;VAR:SYMBOL=05614P10&amp;VAR:INDEX=0"}</definedName>
    <definedName name="_355__FDSAUDITLINK__" localSheetId="6" hidden="1">{"fdsup://directions/FAT%20Viewer?VAR:PED=LTM&amp;VAR:AUDIT_MODE=SUMMARY&amp;VAR:PERIOD=FIXED&amp;VAR:AUDIT_ID=00000117&amp;VAR:DATE=20090303&amp;action=UPDATE&amp;creator=factset&amp;DOC_NAME=FAT:FMA_audit_SUMMARY.fat&amp;DISPLAY_STRING=Display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5__FDSAUDITLINK__" hidden="1">{"fdsup://directions/FAT%20Viewer?VAR:PED=LTM&amp;VAR:AUDIT_MODE=SUMMARY&amp;VAR:PERIOD=FIXED&amp;VAR:AUDIT_ID=00000117&amp;VAR:DATE=20090303&amp;action=UPDATE&amp;creator=factset&amp;DOC_NAME=FAT:FMA_audit_SUMMARY.fat&amp;DISPLAY_STRING=Display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50__FDSAUDITLINK__" localSheetId="6" hidden="1">{"fdsup://directions/FAT Viewer?action=UPDATE&amp;creator=factset&amp;DYN_ARGS=TRUE&amp;DOC_NAME=FAT:FQL_AUDITING_CLIENT_TEMPLATE.FAT&amp;display_string=Audit&amp;VAR:KEY=TMJGPCHENY&amp;VAR:QUERY=RkZfRUJJVERBX0lCKCdMVE1TJywzODUwNyk=&amp;WINDOW=FIRST_POPUP&amp;HEIGHT=450&amp;WIDTH=450&amp;START_MA","XIMIZED=FALSE&amp;VAR:CALENDAR=US&amp;VAR:SYMBOL=05614P10&amp;VAR:INDEX=0"}</definedName>
    <definedName name="_3550__FDSAUDITLINK__" hidden="1">{"fdsup://directions/FAT Viewer?action=UPDATE&amp;creator=factset&amp;DYN_ARGS=TRUE&amp;DOC_NAME=FAT:FQL_AUDITING_CLIENT_TEMPLATE.FAT&amp;display_string=Audit&amp;VAR:KEY=TMJGPCHENY&amp;VAR:QUERY=RkZfRUJJVERBX0lCKCdMVE1TJywzODUwNyk=&amp;WINDOW=FIRST_POPUP&amp;HEIGHT=450&amp;WIDTH=450&amp;START_MA","XIMIZED=FALSE&amp;VAR:CALENDAR=US&amp;VAR:SYMBOL=05614P10&amp;VAR:INDEX=0"}</definedName>
    <definedName name="_3551__FDSAUDITLINK__" localSheetId="6" hidden="1">{"fdsup://directions/FAT Viewer?action=UPDATE&amp;creator=factset&amp;DYN_ARGS=TRUE&amp;DOC_NAME=FAT:FQL_AUDITING_CLIENT_TEMPLATE.FAT&amp;display_string=Audit&amp;VAR:KEY=TWBKHIVABM&amp;VAR:QUERY=RkZfRUJJVERBX0lCKCdMVE1TJywzODUwNik=&amp;WINDOW=FIRST_POPUP&amp;HEIGHT=450&amp;WIDTH=450&amp;START_MA","XIMIZED=FALSE&amp;VAR:CALENDAR=US&amp;VAR:SYMBOL=05614P10&amp;VAR:INDEX=0"}</definedName>
    <definedName name="_3551__FDSAUDITLINK__" hidden="1">{"fdsup://directions/FAT Viewer?action=UPDATE&amp;creator=factset&amp;DYN_ARGS=TRUE&amp;DOC_NAME=FAT:FQL_AUDITING_CLIENT_TEMPLATE.FAT&amp;display_string=Audit&amp;VAR:KEY=TWBKHIVABM&amp;VAR:QUERY=RkZfRUJJVERBX0lCKCdMVE1TJywzODUwNik=&amp;WINDOW=FIRST_POPUP&amp;HEIGHT=450&amp;WIDTH=450&amp;START_MA","XIMIZED=FALSE&amp;VAR:CALENDAR=US&amp;VAR:SYMBOL=05614P10&amp;VAR:INDEX=0"}</definedName>
    <definedName name="_3552__FDSAUDITLINK__" localSheetId="6" hidden="1">{"fdsup://directions/FAT Viewer?action=UPDATE&amp;creator=factset&amp;DYN_ARGS=TRUE&amp;DOC_NAME=FAT:FQL_AUDITING_CLIENT_TEMPLATE.FAT&amp;display_string=Audit&amp;VAR:KEY=FYBQLGLSLI&amp;VAR:QUERY=RkZfRUJJVERBX0lCKCdMVE1TJywzODUwNSk=&amp;WINDOW=FIRST_POPUP&amp;HEIGHT=450&amp;WIDTH=450&amp;START_MA","XIMIZED=FALSE&amp;VAR:CALENDAR=US&amp;VAR:SYMBOL=05614P10&amp;VAR:INDEX=0"}</definedName>
    <definedName name="_3552__FDSAUDITLINK__" hidden="1">{"fdsup://directions/FAT Viewer?action=UPDATE&amp;creator=factset&amp;DYN_ARGS=TRUE&amp;DOC_NAME=FAT:FQL_AUDITING_CLIENT_TEMPLATE.FAT&amp;display_string=Audit&amp;VAR:KEY=FYBQLGLSLI&amp;VAR:QUERY=RkZfRUJJVERBX0lCKCdMVE1TJywzODUwNSk=&amp;WINDOW=FIRST_POPUP&amp;HEIGHT=450&amp;WIDTH=450&amp;START_MA","XIMIZED=FALSE&amp;VAR:CALENDAR=US&amp;VAR:SYMBOL=05614P10&amp;VAR:INDEX=0"}</definedName>
    <definedName name="_3553__FDSAUDITLINK__" localSheetId="6" hidden="1">{"fdsup://directions/FAT Viewer?action=UPDATE&amp;creator=factset&amp;DYN_ARGS=TRUE&amp;DOC_NAME=FAT:FQL_AUDITING_CLIENT_TEMPLATE.FAT&amp;display_string=Audit&amp;VAR:KEY=NIXIXODIPC&amp;VAR:QUERY=RkZfRUJJVERBX0lCKCdMVE1TJywzODUwNCk=&amp;WINDOW=FIRST_POPUP&amp;HEIGHT=450&amp;WIDTH=450&amp;START_MA","XIMIZED=FALSE&amp;VAR:CALENDAR=US&amp;VAR:SYMBOL=05614P10&amp;VAR:INDEX=0"}</definedName>
    <definedName name="_3553__FDSAUDITLINK__" hidden="1">{"fdsup://directions/FAT Viewer?action=UPDATE&amp;creator=factset&amp;DYN_ARGS=TRUE&amp;DOC_NAME=FAT:FQL_AUDITING_CLIENT_TEMPLATE.FAT&amp;display_string=Audit&amp;VAR:KEY=NIXIXODIPC&amp;VAR:QUERY=RkZfRUJJVERBX0lCKCdMVE1TJywzODUwNCk=&amp;WINDOW=FIRST_POPUP&amp;HEIGHT=450&amp;WIDTH=450&amp;START_MA","XIMIZED=FALSE&amp;VAR:CALENDAR=US&amp;VAR:SYMBOL=05614P10&amp;VAR:INDEX=0"}</definedName>
    <definedName name="_3554__FDSAUDITLINK__" localSheetId="6" hidden="1">{"fdsup://directions/FAT Viewer?action=UPDATE&amp;creator=factset&amp;DYN_ARGS=TRUE&amp;DOC_NAME=FAT:FQL_AUDITING_CLIENT_TEMPLATE.FAT&amp;display_string=Audit&amp;VAR:KEY=LKDARSHCVK&amp;VAR:QUERY=RkZfRUJJVERBX0lCKCdMVE1TJywzODUwMyk=&amp;WINDOW=FIRST_POPUP&amp;HEIGHT=450&amp;WIDTH=450&amp;START_MA","XIMIZED=FALSE&amp;VAR:CALENDAR=US&amp;VAR:SYMBOL=05614P10&amp;VAR:INDEX=0"}</definedName>
    <definedName name="_3554__FDSAUDITLINK__" hidden="1">{"fdsup://directions/FAT Viewer?action=UPDATE&amp;creator=factset&amp;DYN_ARGS=TRUE&amp;DOC_NAME=FAT:FQL_AUDITING_CLIENT_TEMPLATE.FAT&amp;display_string=Audit&amp;VAR:KEY=LKDARSHCVK&amp;VAR:QUERY=RkZfRUJJVERBX0lCKCdMVE1TJywzODUwMyk=&amp;WINDOW=FIRST_POPUP&amp;HEIGHT=450&amp;WIDTH=450&amp;START_MA","XIMIZED=FALSE&amp;VAR:CALENDAR=US&amp;VAR:SYMBOL=05614P10&amp;VAR:INDEX=0"}</definedName>
    <definedName name="_3555__FDSAUDITLINK__" localSheetId="6" hidden="1">{"fdsup://directions/FAT Viewer?action=UPDATE&amp;creator=factset&amp;DYN_ARGS=TRUE&amp;DOC_NAME=FAT:FQL_AUDITING_CLIENT_TEMPLATE.FAT&amp;display_string=Audit&amp;VAR:KEY=PCPIRYLGTI&amp;VAR:QUERY=RkZfRUJJVERBX0lCKCdMVE1TJywzODUwMik=&amp;WINDOW=FIRST_POPUP&amp;HEIGHT=450&amp;WIDTH=450&amp;START_MA","XIMIZED=FALSE&amp;VAR:CALENDAR=US&amp;VAR:SYMBOL=05614P10&amp;VAR:INDEX=0"}</definedName>
    <definedName name="_3555__FDSAUDITLINK__" hidden="1">{"fdsup://directions/FAT Viewer?action=UPDATE&amp;creator=factset&amp;DYN_ARGS=TRUE&amp;DOC_NAME=FAT:FQL_AUDITING_CLIENT_TEMPLATE.FAT&amp;display_string=Audit&amp;VAR:KEY=PCPIRYLGTI&amp;VAR:QUERY=RkZfRUJJVERBX0lCKCdMVE1TJywzODUwMik=&amp;WINDOW=FIRST_POPUP&amp;HEIGHT=450&amp;WIDTH=450&amp;START_MA","XIMIZED=FALSE&amp;VAR:CALENDAR=US&amp;VAR:SYMBOL=05614P10&amp;VAR:INDEX=0"}</definedName>
    <definedName name="_3556__FDSAUDITLINK__" localSheetId="6" hidden="1">{"fdsup://directions/FAT Viewer?action=UPDATE&amp;creator=factset&amp;DYN_ARGS=TRUE&amp;DOC_NAME=FAT:FQL_AUDITING_CLIENT_TEMPLATE.FAT&amp;display_string=Audit&amp;VAR:KEY=LETWRKJSNS&amp;VAR:QUERY=RkZfRUJJVERBX0lCKCdMVE1TJywzODUwMSk=&amp;WINDOW=FIRST_POPUP&amp;HEIGHT=450&amp;WIDTH=450&amp;START_MA","XIMIZED=FALSE&amp;VAR:CALENDAR=US&amp;VAR:SYMBOL=05614P10&amp;VAR:INDEX=0"}</definedName>
    <definedName name="_3556__FDSAUDITLINK__" hidden="1">{"fdsup://directions/FAT Viewer?action=UPDATE&amp;creator=factset&amp;DYN_ARGS=TRUE&amp;DOC_NAME=FAT:FQL_AUDITING_CLIENT_TEMPLATE.FAT&amp;display_string=Audit&amp;VAR:KEY=LETWRKJSNS&amp;VAR:QUERY=RkZfRUJJVERBX0lCKCdMVE1TJywzODUwMSk=&amp;WINDOW=FIRST_POPUP&amp;HEIGHT=450&amp;WIDTH=450&amp;START_MA","XIMIZED=FALSE&amp;VAR:CALENDAR=US&amp;VAR:SYMBOL=05614P10&amp;VAR:INDEX=0"}</definedName>
    <definedName name="_3557__FDSAUDITLINK__" localSheetId="6" hidden="1">{"fdsup://directions/FAT Viewer?action=UPDATE&amp;creator=factset&amp;DYN_ARGS=TRUE&amp;DOC_NAME=FAT:FQL_AUDITING_CLIENT_TEMPLATE.FAT&amp;display_string=Audit&amp;VAR:KEY=HANSZQLIDK&amp;VAR:QUERY=RkZfRUJJVERBX0lCKCdMVE1TJywzODUwMCk=&amp;WINDOW=FIRST_POPUP&amp;HEIGHT=450&amp;WIDTH=450&amp;START_MA","XIMIZED=FALSE&amp;VAR:CALENDAR=US&amp;VAR:SYMBOL=05614P10&amp;VAR:INDEX=0"}</definedName>
    <definedName name="_3557__FDSAUDITLINK__" hidden="1">{"fdsup://directions/FAT Viewer?action=UPDATE&amp;creator=factset&amp;DYN_ARGS=TRUE&amp;DOC_NAME=FAT:FQL_AUDITING_CLIENT_TEMPLATE.FAT&amp;display_string=Audit&amp;VAR:KEY=HANSZQLIDK&amp;VAR:QUERY=RkZfRUJJVERBX0lCKCdMVE1TJywzODUwMCk=&amp;WINDOW=FIRST_POPUP&amp;HEIGHT=450&amp;WIDTH=450&amp;START_MA","XIMIZED=FALSE&amp;VAR:CALENDAR=US&amp;VAR:SYMBOL=05614P10&amp;VAR:INDEX=0"}</definedName>
    <definedName name="_3558__FDSAUDITLINK__" localSheetId="6" hidden="1">{"fdsup://directions/FAT Viewer?action=UPDATE&amp;creator=factset&amp;DYN_ARGS=TRUE&amp;DOC_NAME=FAT:FQL_AUDITING_CLIENT_TEMPLATE.FAT&amp;display_string=Audit&amp;VAR:KEY=PKPAZKRGNI&amp;VAR:QUERY=RkZfRUJJVERBX0lCKCdMVE1TJywzODQ5OSk=&amp;WINDOW=FIRST_POPUP&amp;HEIGHT=450&amp;WIDTH=450&amp;START_MA","XIMIZED=FALSE&amp;VAR:CALENDAR=US&amp;VAR:SYMBOL=05614P10&amp;VAR:INDEX=0"}</definedName>
    <definedName name="_3558__FDSAUDITLINK__" hidden="1">{"fdsup://directions/FAT Viewer?action=UPDATE&amp;creator=factset&amp;DYN_ARGS=TRUE&amp;DOC_NAME=FAT:FQL_AUDITING_CLIENT_TEMPLATE.FAT&amp;display_string=Audit&amp;VAR:KEY=PKPAZKRGNI&amp;VAR:QUERY=RkZfRUJJVERBX0lCKCdMVE1TJywzODQ5OSk=&amp;WINDOW=FIRST_POPUP&amp;HEIGHT=450&amp;WIDTH=450&amp;START_MA","XIMIZED=FALSE&amp;VAR:CALENDAR=US&amp;VAR:SYMBOL=05614P10&amp;VAR:INDEX=0"}</definedName>
    <definedName name="_3559__FDSAUDITLINK__" localSheetId="6" hidden="1">{"fdsup://directions/FAT Viewer?action=UPDATE&amp;creator=factset&amp;DYN_ARGS=TRUE&amp;DOC_NAME=FAT:FQL_AUDITING_CLIENT_TEMPLATE.FAT&amp;display_string=Audit&amp;VAR:KEY=FURGXMFANC&amp;VAR:QUERY=RkZfRUJJVERBX0lCKCdMVE1TJywzODQ5OCk=&amp;WINDOW=FIRST_POPUP&amp;HEIGHT=450&amp;WIDTH=450&amp;START_MA","XIMIZED=FALSE&amp;VAR:CALENDAR=US&amp;VAR:SYMBOL=05614P10&amp;VAR:INDEX=0"}</definedName>
    <definedName name="_3559__FDSAUDITLINK__" hidden="1">{"fdsup://directions/FAT Viewer?action=UPDATE&amp;creator=factset&amp;DYN_ARGS=TRUE&amp;DOC_NAME=FAT:FQL_AUDITING_CLIENT_TEMPLATE.FAT&amp;display_string=Audit&amp;VAR:KEY=FURGXMFANC&amp;VAR:QUERY=RkZfRUJJVERBX0lCKCdMVE1TJywzODQ5OCk=&amp;WINDOW=FIRST_POPUP&amp;HEIGHT=450&amp;WIDTH=450&amp;START_MA","XIMIZED=FALSE&amp;VAR:CALENDAR=US&amp;VAR:SYMBOL=05614P10&amp;VAR:INDEX=0"}</definedName>
    <definedName name="_356__FDSAUDITLINK__" localSheetId="6" hidden="1">{"fdsup://directions/FAT%20Viewer?VAR:PED=LTM&amp;VAR:AUDIT_MODE=SUMMARY&amp;VAR:PERIOD=FIXED&amp;VAR:AUDIT_ID=00000117&amp;VAR:DATE=20090302&amp;action=UPDATE&amp;creator=factset&amp;DOC_NAME=FAT:FMA_audit_SUMMARY.fat&amp;DISPLAY_STRING=Display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6__FDSAUDITLINK__" hidden="1">{"fdsup://directions/FAT%20Viewer?VAR:PED=LTM&amp;VAR:AUDIT_MODE=SUMMARY&amp;VAR:PERIOD=FIXED&amp;VAR:AUDIT_ID=00000117&amp;VAR:DATE=20090302&amp;action=UPDATE&amp;creator=factset&amp;DOC_NAME=FAT:FMA_audit_SUMMARY.fat&amp;DISPLAY_STRING=Display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EBITDA&amp;VAR:CHGPERIOD=NA&amp;VAR:FQLFORMULA=FMA_EVAL_EBITDA&amp;VAR:CURRENCY=NA&amp;VAR:P=NA&amp;VAR:V=7.13","4593&amp;VAR:null=.html"}</definedName>
    <definedName name="_3560__FDSAUDITLINK__" localSheetId="6" hidden="1">{"fdsup://directions/FAT Viewer?action=UPDATE&amp;creator=factset&amp;DYN_ARGS=TRUE&amp;DOC_NAME=FAT:FQL_AUDITING_CLIENT_TEMPLATE.FAT&amp;display_string=Audit&amp;VAR:KEY=BYZOVOBQPY&amp;VAR:QUERY=RkZfRUJJVERBX0lCKCdMVE1TJywzODQ5Nyk=&amp;WINDOW=FIRST_POPUP&amp;HEIGHT=450&amp;WIDTH=450&amp;START_MA","XIMIZED=FALSE&amp;VAR:CALENDAR=US&amp;VAR:SYMBOL=05614P10&amp;VAR:INDEX=0"}</definedName>
    <definedName name="_3560__FDSAUDITLINK__" hidden="1">{"fdsup://directions/FAT Viewer?action=UPDATE&amp;creator=factset&amp;DYN_ARGS=TRUE&amp;DOC_NAME=FAT:FQL_AUDITING_CLIENT_TEMPLATE.FAT&amp;display_string=Audit&amp;VAR:KEY=BYZOVOBQPY&amp;VAR:QUERY=RkZfRUJJVERBX0lCKCdMVE1TJywzODQ5Nyk=&amp;WINDOW=FIRST_POPUP&amp;HEIGHT=450&amp;WIDTH=450&amp;START_MA","XIMIZED=FALSE&amp;VAR:CALENDAR=US&amp;VAR:SYMBOL=05614P10&amp;VAR:INDEX=0"}</definedName>
    <definedName name="_3561__FDSAUDITLINK__" localSheetId="6" hidden="1">{"fdsup://directions/FAT Viewer?action=UPDATE&amp;creator=factset&amp;DYN_ARGS=TRUE&amp;DOC_NAME=FAT:FQL_AUDITING_CLIENT_TEMPLATE.FAT&amp;display_string=Audit&amp;VAR:KEY=PMDEXSDEHW&amp;VAR:QUERY=RkZfRUJJVERBX0lCKCdMVE1TJywzODQ5Nik=&amp;WINDOW=FIRST_POPUP&amp;HEIGHT=450&amp;WIDTH=450&amp;START_MA","XIMIZED=FALSE&amp;VAR:CALENDAR=US&amp;VAR:SYMBOL=05614P10&amp;VAR:INDEX=0"}</definedName>
    <definedName name="_3561__FDSAUDITLINK__" hidden="1">{"fdsup://directions/FAT Viewer?action=UPDATE&amp;creator=factset&amp;DYN_ARGS=TRUE&amp;DOC_NAME=FAT:FQL_AUDITING_CLIENT_TEMPLATE.FAT&amp;display_string=Audit&amp;VAR:KEY=PMDEXSDEHW&amp;VAR:QUERY=RkZfRUJJVERBX0lCKCdMVE1TJywzODQ5Nik=&amp;WINDOW=FIRST_POPUP&amp;HEIGHT=450&amp;WIDTH=450&amp;START_MA","XIMIZED=FALSE&amp;VAR:CALENDAR=US&amp;VAR:SYMBOL=05614P10&amp;VAR:INDEX=0"}</definedName>
    <definedName name="_3562__FDSAUDITLINK__" localSheetId="6" hidden="1">{"fdsup://directions/FAT Viewer?action=UPDATE&amp;creator=factset&amp;DYN_ARGS=TRUE&amp;DOC_NAME=FAT:FQL_AUDITING_CLIENT_TEMPLATE.FAT&amp;display_string=Audit&amp;VAR:KEY=JMVKJYBIDU&amp;VAR:QUERY=RkZfRUJJVERBX0lCKCdMVE1TJywzODQ5NSk=&amp;WINDOW=FIRST_POPUP&amp;HEIGHT=450&amp;WIDTH=450&amp;START_MA","XIMIZED=FALSE&amp;VAR:CALENDAR=US&amp;VAR:SYMBOL=05614P10&amp;VAR:INDEX=0"}</definedName>
    <definedName name="_3562__FDSAUDITLINK__" hidden="1">{"fdsup://directions/FAT Viewer?action=UPDATE&amp;creator=factset&amp;DYN_ARGS=TRUE&amp;DOC_NAME=FAT:FQL_AUDITING_CLIENT_TEMPLATE.FAT&amp;display_string=Audit&amp;VAR:KEY=JMVKJYBIDU&amp;VAR:QUERY=RkZfRUJJVERBX0lCKCdMVE1TJywzODQ5NSk=&amp;WINDOW=FIRST_POPUP&amp;HEIGHT=450&amp;WIDTH=450&amp;START_MA","XIMIZED=FALSE&amp;VAR:CALENDAR=US&amp;VAR:SYMBOL=05614P10&amp;VAR:INDEX=0"}</definedName>
    <definedName name="_3563__FDSAUDITLINK__" localSheetId="6" hidden="1">{"fdsup://directions/FAT Viewer?action=UPDATE&amp;creator=factset&amp;DYN_ARGS=TRUE&amp;DOC_NAME=FAT:FQL_AUDITING_CLIENT_TEMPLATE.FAT&amp;display_string=Audit&amp;VAR:KEY=NABWBCXKPG&amp;VAR:QUERY=RkZfRUJJVERBX0lCKCdMVE1TJywzODQ5NCk=&amp;WINDOW=FIRST_POPUP&amp;HEIGHT=450&amp;WIDTH=450&amp;START_MA","XIMIZED=FALSE&amp;VAR:CALENDAR=US&amp;VAR:SYMBOL=05614P10&amp;VAR:INDEX=0"}</definedName>
    <definedName name="_3563__FDSAUDITLINK__" hidden="1">{"fdsup://directions/FAT Viewer?action=UPDATE&amp;creator=factset&amp;DYN_ARGS=TRUE&amp;DOC_NAME=FAT:FQL_AUDITING_CLIENT_TEMPLATE.FAT&amp;display_string=Audit&amp;VAR:KEY=NABWBCXKPG&amp;VAR:QUERY=RkZfRUJJVERBX0lCKCdMVE1TJywzODQ5NCk=&amp;WINDOW=FIRST_POPUP&amp;HEIGHT=450&amp;WIDTH=450&amp;START_MA","XIMIZED=FALSE&amp;VAR:CALENDAR=US&amp;VAR:SYMBOL=05614P10&amp;VAR:INDEX=0"}</definedName>
    <definedName name="_3564__FDSAUDITLINK__" localSheetId="6" hidden="1">{"fdsup://directions/FAT Viewer?action=UPDATE&amp;creator=factset&amp;DYN_ARGS=TRUE&amp;DOC_NAME=FAT:FQL_AUDITING_CLIENT_TEMPLATE.FAT&amp;display_string=Audit&amp;VAR:KEY=DOVADGZWXC&amp;VAR:QUERY=RkZfRUJJVERBX0lCKCdMVE1TJywzODQ5Myk=&amp;WINDOW=FIRST_POPUP&amp;HEIGHT=450&amp;WIDTH=450&amp;START_MA","XIMIZED=FALSE&amp;VAR:CALENDAR=US&amp;VAR:SYMBOL=05614P10&amp;VAR:INDEX=0"}</definedName>
    <definedName name="_3564__FDSAUDITLINK__" hidden="1">{"fdsup://directions/FAT Viewer?action=UPDATE&amp;creator=factset&amp;DYN_ARGS=TRUE&amp;DOC_NAME=FAT:FQL_AUDITING_CLIENT_TEMPLATE.FAT&amp;display_string=Audit&amp;VAR:KEY=DOVADGZWXC&amp;VAR:QUERY=RkZfRUJJVERBX0lCKCdMVE1TJywzODQ5Myk=&amp;WINDOW=FIRST_POPUP&amp;HEIGHT=450&amp;WIDTH=450&amp;START_MA","XIMIZED=FALSE&amp;VAR:CALENDAR=US&amp;VAR:SYMBOL=05614P10&amp;VAR:INDEX=0"}</definedName>
    <definedName name="_3565__FDSAUDITLINK__" localSheetId="6" hidden="1">{"fdsup://directions/FAT Viewer?action=UPDATE&amp;creator=factset&amp;DYN_ARGS=TRUE&amp;DOC_NAME=FAT:FQL_AUDITING_CLIENT_TEMPLATE.FAT&amp;display_string=Audit&amp;VAR:KEY=LKPCHERWVC&amp;VAR:QUERY=RkZfRUJJVERBX0lCKCdMVE1TJywzODQ5Mik=&amp;WINDOW=FIRST_POPUP&amp;HEIGHT=450&amp;WIDTH=450&amp;START_MA","XIMIZED=FALSE&amp;VAR:CALENDAR=US&amp;VAR:SYMBOL=05614P10&amp;VAR:INDEX=0"}</definedName>
    <definedName name="_3565__FDSAUDITLINK__" hidden="1">{"fdsup://directions/FAT Viewer?action=UPDATE&amp;creator=factset&amp;DYN_ARGS=TRUE&amp;DOC_NAME=FAT:FQL_AUDITING_CLIENT_TEMPLATE.FAT&amp;display_string=Audit&amp;VAR:KEY=LKPCHERWVC&amp;VAR:QUERY=RkZfRUJJVERBX0lCKCdMVE1TJywzODQ5Mik=&amp;WINDOW=FIRST_POPUP&amp;HEIGHT=450&amp;WIDTH=450&amp;START_MA","XIMIZED=FALSE&amp;VAR:CALENDAR=US&amp;VAR:SYMBOL=05614P10&amp;VAR:INDEX=0"}</definedName>
    <definedName name="_3566__FDSAUDITLINK__" localSheetId="6" hidden="1">{"fdsup://directions/FAT Viewer?action=UPDATE&amp;creator=factset&amp;DYN_ARGS=TRUE&amp;DOC_NAME=FAT:FQL_AUDITING_CLIENT_TEMPLATE.FAT&amp;display_string=Audit&amp;VAR:KEY=JEBQTKRUPK&amp;VAR:QUERY=RkZfRUJJVERBX0lCKCdMVE1TJywzODQ5MSk=&amp;WINDOW=FIRST_POPUP&amp;HEIGHT=450&amp;WIDTH=450&amp;START_MA","XIMIZED=FALSE&amp;VAR:CALENDAR=US&amp;VAR:SYMBOL=05614P10&amp;VAR:INDEX=0"}</definedName>
    <definedName name="_3566__FDSAUDITLINK__" hidden="1">{"fdsup://directions/FAT Viewer?action=UPDATE&amp;creator=factset&amp;DYN_ARGS=TRUE&amp;DOC_NAME=FAT:FQL_AUDITING_CLIENT_TEMPLATE.FAT&amp;display_string=Audit&amp;VAR:KEY=JEBQTKRUPK&amp;VAR:QUERY=RkZfRUJJVERBX0lCKCdMVE1TJywzODQ5MSk=&amp;WINDOW=FIRST_POPUP&amp;HEIGHT=450&amp;WIDTH=450&amp;START_MA","XIMIZED=FALSE&amp;VAR:CALENDAR=US&amp;VAR:SYMBOL=05614P10&amp;VAR:INDEX=0"}</definedName>
    <definedName name="_3567__FDSAUDITLINK__" localSheetId="6" hidden="1">{"fdsup://directions/FAT Viewer?action=UPDATE&amp;creator=factset&amp;DYN_ARGS=TRUE&amp;DOC_NAME=FAT:FQL_AUDITING_CLIENT_TEMPLATE.FAT&amp;display_string=Audit&amp;VAR:KEY=DAPCPANCPU&amp;VAR:QUERY=RkZfRUJJVERBX0lCKCdMVE1TJywzODQ5MCk=&amp;WINDOW=FIRST_POPUP&amp;HEIGHT=450&amp;WIDTH=450&amp;START_MA","XIMIZED=FALSE&amp;VAR:CALENDAR=US&amp;VAR:SYMBOL=05614P10&amp;VAR:INDEX=0"}</definedName>
    <definedName name="_3567__FDSAUDITLINK__" hidden="1">{"fdsup://directions/FAT Viewer?action=UPDATE&amp;creator=factset&amp;DYN_ARGS=TRUE&amp;DOC_NAME=FAT:FQL_AUDITING_CLIENT_TEMPLATE.FAT&amp;display_string=Audit&amp;VAR:KEY=DAPCPANCPU&amp;VAR:QUERY=RkZfRUJJVERBX0lCKCdMVE1TJywzODQ5MCk=&amp;WINDOW=FIRST_POPUP&amp;HEIGHT=450&amp;WIDTH=450&amp;START_MA","XIMIZED=FALSE&amp;VAR:CALENDAR=US&amp;VAR:SYMBOL=05614P10&amp;VAR:INDEX=0"}</definedName>
    <definedName name="_3568__FDSAUDITLINK__" localSheetId="6" hidden="1">{"fdsup://directions/FAT Viewer?action=UPDATE&amp;creator=factset&amp;DYN_ARGS=TRUE&amp;DOC_NAME=FAT:FQL_AUDITING_CLIENT_TEMPLATE.FAT&amp;display_string=Audit&amp;VAR:KEY=JKVCZMHADG&amp;VAR:QUERY=RkZfRUJJVERBX0lCKCdMVE1TJywzODQ4OSk=&amp;WINDOW=FIRST_POPUP&amp;HEIGHT=450&amp;WIDTH=450&amp;START_MA","XIMIZED=FALSE&amp;VAR:CALENDAR=US&amp;VAR:SYMBOL=05614P10&amp;VAR:INDEX=0"}</definedName>
    <definedName name="_3568__FDSAUDITLINK__" hidden="1">{"fdsup://directions/FAT Viewer?action=UPDATE&amp;creator=factset&amp;DYN_ARGS=TRUE&amp;DOC_NAME=FAT:FQL_AUDITING_CLIENT_TEMPLATE.FAT&amp;display_string=Audit&amp;VAR:KEY=JKVCZMHADG&amp;VAR:QUERY=RkZfRUJJVERBX0lCKCdMVE1TJywzODQ4OSk=&amp;WINDOW=FIRST_POPUP&amp;HEIGHT=450&amp;WIDTH=450&amp;START_MA","XIMIZED=FALSE&amp;VAR:CALENDAR=US&amp;VAR:SYMBOL=05614P10&amp;VAR:INDEX=0"}</definedName>
    <definedName name="_3569__FDSAUDITLINK__" localSheetId="6" hidden="1">{"fdsup://directions/FAT Viewer?action=UPDATE&amp;creator=factset&amp;DYN_ARGS=TRUE&amp;DOC_NAME=FAT:FQL_AUDITING_CLIENT_TEMPLATE.FAT&amp;display_string=Audit&amp;VAR:KEY=XETGFELOJQ&amp;VAR:QUERY=RkZfRUJJVERBX0lCKCdMVE1TJywzODQ4OCk=&amp;WINDOW=FIRST_POPUP&amp;HEIGHT=450&amp;WIDTH=450&amp;START_MA","XIMIZED=FALSE&amp;VAR:CALENDAR=US&amp;VAR:SYMBOL=05614P10&amp;VAR:INDEX=0"}</definedName>
    <definedName name="_3569__FDSAUDITLINK__" hidden="1">{"fdsup://directions/FAT Viewer?action=UPDATE&amp;creator=factset&amp;DYN_ARGS=TRUE&amp;DOC_NAME=FAT:FQL_AUDITING_CLIENT_TEMPLATE.FAT&amp;display_string=Audit&amp;VAR:KEY=XETGFELOJQ&amp;VAR:QUERY=RkZfRUJJVERBX0lCKCdMVE1TJywzODQ4OCk=&amp;WINDOW=FIRST_POPUP&amp;HEIGHT=450&amp;WIDTH=450&amp;START_MA","XIMIZED=FALSE&amp;VAR:CALENDAR=US&amp;VAR:SYMBOL=05614P10&amp;VAR:INDEX=0"}</definedName>
    <definedName name="_357__FDSAUDITLINK__" localSheetId="6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7__FDSAUDITLINK__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70__FDSAUDITLINK__" localSheetId="6" hidden="1">{"fdsup://directions/FAT Viewer?action=UPDATE&amp;creator=factset&amp;DYN_ARGS=TRUE&amp;DOC_NAME=FAT:FQL_AUDITING_CLIENT_TEMPLATE.FAT&amp;display_string=Audit&amp;VAR:KEY=DMHILOBMDA&amp;VAR:QUERY=RkZfRUJJVERBX0lCKCdMVE1TJywzODQ4Nyk=&amp;WINDOW=FIRST_POPUP&amp;HEIGHT=450&amp;WIDTH=450&amp;START_MA","XIMIZED=FALSE&amp;VAR:CALENDAR=US&amp;VAR:SYMBOL=05614P10&amp;VAR:INDEX=0"}</definedName>
    <definedName name="_3570__FDSAUDITLINK__" hidden="1">{"fdsup://directions/FAT Viewer?action=UPDATE&amp;creator=factset&amp;DYN_ARGS=TRUE&amp;DOC_NAME=FAT:FQL_AUDITING_CLIENT_TEMPLATE.FAT&amp;display_string=Audit&amp;VAR:KEY=DMHILOBMDA&amp;VAR:QUERY=RkZfRUJJVERBX0lCKCdMVE1TJywzODQ4Nyk=&amp;WINDOW=FIRST_POPUP&amp;HEIGHT=450&amp;WIDTH=450&amp;START_MA","XIMIZED=FALSE&amp;VAR:CALENDAR=US&amp;VAR:SYMBOL=05614P10&amp;VAR:INDEX=0"}</definedName>
    <definedName name="_3571__FDSAUDITLINK__" localSheetId="6" hidden="1">{"fdsup://directions/FAT Viewer?action=UPDATE&amp;creator=factset&amp;DYN_ARGS=TRUE&amp;DOC_NAME=FAT:FQL_AUDITING_CLIENT_TEMPLATE.FAT&amp;display_string=Audit&amp;VAR:KEY=LUHQRMBAPG&amp;VAR:QUERY=RkZfRUJJVERBX0lCKCdMVE1TJywzODQ4Nik=&amp;WINDOW=FIRST_POPUP&amp;HEIGHT=450&amp;WIDTH=450&amp;START_MA","XIMIZED=FALSE&amp;VAR:CALENDAR=US&amp;VAR:SYMBOL=05614P10&amp;VAR:INDEX=0"}</definedName>
    <definedName name="_3571__FDSAUDITLINK__" hidden="1">{"fdsup://directions/FAT Viewer?action=UPDATE&amp;creator=factset&amp;DYN_ARGS=TRUE&amp;DOC_NAME=FAT:FQL_AUDITING_CLIENT_TEMPLATE.FAT&amp;display_string=Audit&amp;VAR:KEY=LUHQRMBAPG&amp;VAR:QUERY=RkZfRUJJVERBX0lCKCdMVE1TJywzODQ4Nik=&amp;WINDOW=FIRST_POPUP&amp;HEIGHT=450&amp;WIDTH=450&amp;START_MA","XIMIZED=FALSE&amp;VAR:CALENDAR=US&amp;VAR:SYMBOL=05614P10&amp;VAR:INDEX=0"}</definedName>
    <definedName name="_3572__FDSAUDITLINK__" localSheetId="6" hidden="1">{"fdsup://directions/FAT Viewer?action=UPDATE&amp;creator=factset&amp;DYN_ARGS=TRUE&amp;DOC_NAME=FAT:FQL_AUDITING_CLIENT_TEMPLATE.FAT&amp;display_string=Audit&amp;VAR:KEY=DGHQZYVKZK&amp;VAR:QUERY=RkZfRUJJVERBX0lCKCdMVE1TJywzODQ4NSk=&amp;WINDOW=FIRST_POPUP&amp;HEIGHT=450&amp;WIDTH=450&amp;START_MA","XIMIZED=FALSE&amp;VAR:CALENDAR=US&amp;VAR:SYMBOL=05614P10&amp;VAR:INDEX=0"}</definedName>
    <definedName name="_3572__FDSAUDITLINK__" hidden="1">{"fdsup://directions/FAT Viewer?action=UPDATE&amp;creator=factset&amp;DYN_ARGS=TRUE&amp;DOC_NAME=FAT:FQL_AUDITING_CLIENT_TEMPLATE.FAT&amp;display_string=Audit&amp;VAR:KEY=DGHQZYVKZK&amp;VAR:QUERY=RkZfRUJJVERBX0lCKCdMVE1TJywzODQ4NSk=&amp;WINDOW=FIRST_POPUP&amp;HEIGHT=450&amp;WIDTH=450&amp;START_MA","XIMIZED=FALSE&amp;VAR:CALENDAR=US&amp;VAR:SYMBOL=05614P10&amp;VAR:INDEX=0"}</definedName>
    <definedName name="_3573__FDSAUDITLINK__" localSheetId="6" hidden="1">{"fdsup://directions/FAT Viewer?action=UPDATE&amp;creator=factset&amp;DYN_ARGS=TRUE&amp;DOC_NAME=FAT:FQL_AUDITING_CLIENT_TEMPLATE.FAT&amp;display_string=Audit&amp;VAR:KEY=JWHOJKJYXS&amp;VAR:QUERY=RkZfRUJJVERBX0lCKCdMVE1TJywzODQ4NCk=&amp;WINDOW=FIRST_POPUP&amp;HEIGHT=450&amp;WIDTH=450&amp;START_MA","XIMIZED=FALSE&amp;VAR:CALENDAR=US&amp;VAR:SYMBOL=05614P10&amp;VAR:INDEX=0"}</definedName>
    <definedName name="_3573__FDSAUDITLINK__" hidden="1">{"fdsup://directions/FAT Viewer?action=UPDATE&amp;creator=factset&amp;DYN_ARGS=TRUE&amp;DOC_NAME=FAT:FQL_AUDITING_CLIENT_TEMPLATE.FAT&amp;display_string=Audit&amp;VAR:KEY=JWHOJKJYXS&amp;VAR:QUERY=RkZfRUJJVERBX0lCKCdMVE1TJywzODQ4NCk=&amp;WINDOW=FIRST_POPUP&amp;HEIGHT=450&amp;WIDTH=450&amp;START_MA","XIMIZED=FALSE&amp;VAR:CALENDAR=US&amp;VAR:SYMBOL=05614P10&amp;VAR:INDEX=0"}</definedName>
    <definedName name="_3574__FDSAUDITLINK__" localSheetId="6" hidden="1">{"fdsup://directions/FAT Viewer?action=UPDATE&amp;creator=factset&amp;DYN_ARGS=TRUE&amp;DOC_NAME=FAT:FQL_AUDITING_CLIENT_TEMPLATE.FAT&amp;display_string=Audit&amp;VAR:KEY=PCNMRCXSRQ&amp;VAR:QUERY=RkZfRUJJVERBX0lCKCdMVE1TJywzODQ4Myk=&amp;WINDOW=FIRST_POPUP&amp;HEIGHT=450&amp;WIDTH=450&amp;START_MA","XIMIZED=FALSE&amp;VAR:CALENDAR=US&amp;VAR:SYMBOL=05614P10&amp;VAR:INDEX=0"}</definedName>
    <definedName name="_3574__FDSAUDITLINK__" hidden="1">{"fdsup://directions/FAT Viewer?action=UPDATE&amp;creator=factset&amp;DYN_ARGS=TRUE&amp;DOC_NAME=FAT:FQL_AUDITING_CLIENT_TEMPLATE.FAT&amp;display_string=Audit&amp;VAR:KEY=PCNMRCXSRQ&amp;VAR:QUERY=RkZfRUJJVERBX0lCKCdMVE1TJywzODQ4Myk=&amp;WINDOW=FIRST_POPUP&amp;HEIGHT=450&amp;WIDTH=450&amp;START_MA","XIMIZED=FALSE&amp;VAR:CALENDAR=US&amp;VAR:SYMBOL=05614P10&amp;VAR:INDEX=0"}</definedName>
    <definedName name="_3575__FDSAUDITLINK__" localSheetId="6" hidden="1">{"fdsup://directions/FAT Viewer?action=UPDATE&amp;creator=factset&amp;DYN_ARGS=TRUE&amp;DOC_NAME=FAT:FQL_AUDITING_CLIENT_TEMPLATE.FAT&amp;display_string=Audit&amp;VAR:KEY=RWFSJMZMXA&amp;VAR:QUERY=RkZfRUJJVERBX0lCKCdMVE1TJywzODQ4Mik=&amp;WINDOW=FIRST_POPUP&amp;HEIGHT=450&amp;WIDTH=450&amp;START_MA","XIMIZED=FALSE&amp;VAR:CALENDAR=US&amp;VAR:SYMBOL=05614P10&amp;VAR:INDEX=0"}</definedName>
    <definedName name="_3575__FDSAUDITLINK__" hidden="1">{"fdsup://directions/FAT Viewer?action=UPDATE&amp;creator=factset&amp;DYN_ARGS=TRUE&amp;DOC_NAME=FAT:FQL_AUDITING_CLIENT_TEMPLATE.FAT&amp;display_string=Audit&amp;VAR:KEY=RWFSJMZMXA&amp;VAR:QUERY=RkZfRUJJVERBX0lCKCdMVE1TJywzODQ4Mik=&amp;WINDOW=FIRST_POPUP&amp;HEIGHT=450&amp;WIDTH=450&amp;START_MA","XIMIZED=FALSE&amp;VAR:CALENDAR=US&amp;VAR:SYMBOL=05614P10&amp;VAR:INDEX=0"}</definedName>
    <definedName name="_3576__FDSAUDITLINK__" localSheetId="6" hidden="1">{"fdsup://directions/FAT Viewer?action=UPDATE&amp;creator=factset&amp;DYN_ARGS=TRUE&amp;DOC_NAME=FAT:FQL_AUDITING_CLIENT_TEMPLATE.FAT&amp;display_string=Audit&amp;VAR:KEY=DILEPMHGLA&amp;VAR:QUERY=RkZfRUJJVERBX0lCKCdMVE1TJywzODQ4MSk=&amp;WINDOW=FIRST_POPUP&amp;HEIGHT=450&amp;WIDTH=450&amp;START_MA","XIMIZED=FALSE&amp;VAR:CALENDAR=US&amp;VAR:SYMBOL=05614P10&amp;VAR:INDEX=0"}</definedName>
    <definedName name="_3576__FDSAUDITLINK__" hidden="1">{"fdsup://directions/FAT Viewer?action=UPDATE&amp;creator=factset&amp;DYN_ARGS=TRUE&amp;DOC_NAME=FAT:FQL_AUDITING_CLIENT_TEMPLATE.FAT&amp;display_string=Audit&amp;VAR:KEY=DILEPMHGLA&amp;VAR:QUERY=RkZfRUJJVERBX0lCKCdMVE1TJywzODQ4MSk=&amp;WINDOW=FIRST_POPUP&amp;HEIGHT=450&amp;WIDTH=450&amp;START_MA","XIMIZED=FALSE&amp;VAR:CALENDAR=US&amp;VAR:SYMBOL=05614P10&amp;VAR:INDEX=0"}</definedName>
    <definedName name="_3577__FDSAUDITLINK__" localSheetId="6" hidden="1">{"fdsup://directions/FAT Viewer?action=UPDATE&amp;creator=factset&amp;DYN_ARGS=TRUE&amp;DOC_NAME=FAT:FQL_AUDITING_CLIENT_TEMPLATE.FAT&amp;display_string=Audit&amp;VAR:KEY=RQPUDKXELE&amp;VAR:QUERY=RkZfRUJJVERBX0lCKCdMVE1TJywzODQ4MCk=&amp;WINDOW=FIRST_POPUP&amp;HEIGHT=450&amp;WIDTH=450&amp;START_MA","XIMIZED=FALSE&amp;VAR:CALENDAR=US&amp;VAR:SYMBOL=05614P10&amp;VAR:INDEX=0"}</definedName>
    <definedName name="_3577__FDSAUDITLINK__" hidden="1">{"fdsup://directions/FAT Viewer?action=UPDATE&amp;creator=factset&amp;DYN_ARGS=TRUE&amp;DOC_NAME=FAT:FQL_AUDITING_CLIENT_TEMPLATE.FAT&amp;display_string=Audit&amp;VAR:KEY=RQPUDKXELE&amp;VAR:QUERY=RkZfRUJJVERBX0lCKCdMVE1TJywzODQ4MCk=&amp;WINDOW=FIRST_POPUP&amp;HEIGHT=450&amp;WIDTH=450&amp;START_MA","XIMIZED=FALSE&amp;VAR:CALENDAR=US&amp;VAR:SYMBOL=05614P10&amp;VAR:INDEX=0"}</definedName>
    <definedName name="_3578__FDSAUDITLINK__" localSheetId="6" hidden="1">{"fdsup://directions/FAT Viewer?action=UPDATE&amp;creator=factset&amp;DYN_ARGS=TRUE&amp;DOC_NAME=FAT:FQL_AUDITING_CLIENT_TEMPLATE.FAT&amp;display_string=Audit&amp;VAR:KEY=FCNSTOJUTE&amp;VAR:QUERY=RkZfRUJJVERBX0lCKCdMVE1TJywzODQ3OSk=&amp;WINDOW=FIRST_POPUP&amp;HEIGHT=450&amp;WIDTH=450&amp;START_MA","XIMIZED=FALSE&amp;VAR:CALENDAR=US&amp;VAR:SYMBOL=05614P10&amp;VAR:INDEX=0"}</definedName>
    <definedName name="_3578__FDSAUDITLINK__" hidden="1">{"fdsup://directions/FAT Viewer?action=UPDATE&amp;creator=factset&amp;DYN_ARGS=TRUE&amp;DOC_NAME=FAT:FQL_AUDITING_CLIENT_TEMPLATE.FAT&amp;display_string=Audit&amp;VAR:KEY=FCNSTOJUTE&amp;VAR:QUERY=RkZfRUJJVERBX0lCKCdMVE1TJywzODQ3OSk=&amp;WINDOW=FIRST_POPUP&amp;HEIGHT=450&amp;WIDTH=450&amp;START_MA","XIMIZED=FALSE&amp;VAR:CALENDAR=US&amp;VAR:SYMBOL=05614P10&amp;VAR:INDEX=0"}</definedName>
    <definedName name="_3579__FDSAUDITLINK__" localSheetId="6" hidden="1">{"fdsup://directions/FAT Viewer?action=UPDATE&amp;creator=factset&amp;DYN_ARGS=TRUE&amp;DOC_NAME=FAT:FQL_AUDITING_CLIENT_TEMPLATE.FAT&amp;display_string=Audit&amp;VAR:KEY=RQNOPWTYZW&amp;VAR:QUERY=RkZfRUJJVERBX0lCKCdMVE1TJywzODQ3OCk=&amp;WINDOW=FIRST_POPUP&amp;HEIGHT=450&amp;WIDTH=450&amp;START_MA","XIMIZED=FALSE&amp;VAR:CALENDAR=US&amp;VAR:SYMBOL=05614P10&amp;VAR:INDEX=0"}</definedName>
    <definedName name="_3579__FDSAUDITLINK__" hidden="1">{"fdsup://directions/FAT Viewer?action=UPDATE&amp;creator=factset&amp;DYN_ARGS=TRUE&amp;DOC_NAME=FAT:FQL_AUDITING_CLIENT_TEMPLATE.FAT&amp;display_string=Audit&amp;VAR:KEY=RQNOPWTYZW&amp;VAR:QUERY=RkZfRUJJVERBX0lCKCdMVE1TJywzODQ3OCk=&amp;WINDOW=FIRST_POPUP&amp;HEIGHT=450&amp;WIDTH=450&amp;START_MA","XIMIZED=FALSE&amp;VAR:CALENDAR=US&amp;VAR:SYMBOL=05614P10&amp;VAR:INDEX=0"}</definedName>
    <definedName name="_358__FDSAUDITLINK__" localSheetId="6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8__FDSAUDITLINK__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80__FDSAUDITLINK__" localSheetId="6" hidden="1">{"fdsup://directions/FAT Viewer?action=UPDATE&amp;creator=factset&amp;DYN_ARGS=TRUE&amp;DOC_NAME=FAT:FQL_AUDITING_CLIENT_TEMPLATE.FAT&amp;display_string=Audit&amp;VAR:KEY=NCRWLQPOBI&amp;VAR:QUERY=RkZfRUJJVERBX0lCKCdMVE1TJywzODQ3Nyk=&amp;WINDOW=FIRST_POPUP&amp;HEIGHT=450&amp;WIDTH=450&amp;START_MA","XIMIZED=FALSE&amp;VAR:CALENDAR=US&amp;VAR:SYMBOL=05614P10&amp;VAR:INDEX=0"}</definedName>
    <definedName name="_3580__FDSAUDITLINK__" hidden="1">{"fdsup://directions/FAT Viewer?action=UPDATE&amp;creator=factset&amp;DYN_ARGS=TRUE&amp;DOC_NAME=FAT:FQL_AUDITING_CLIENT_TEMPLATE.FAT&amp;display_string=Audit&amp;VAR:KEY=NCRWLQPOBI&amp;VAR:QUERY=RkZfRUJJVERBX0lCKCdMVE1TJywzODQ3Nyk=&amp;WINDOW=FIRST_POPUP&amp;HEIGHT=450&amp;WIDTH=450&amp;START_MA","XIMIZED=FALSE&amp;VAR:CALENDAR=US&amp;VAR:SYMBOL=05614P10&amp;VAR:INDEX=0"}</definedName>
    <definedName name="_3581__FDSAUDITLINK__" localSheetId="6" hidden="1">{"fdsup://directions/FAT Viewer?action=UPDATE&amp;creator=factset&amp;DYN_ARGS=TRUE&amp;DOC_NAME=FAT:FQL_AUDITING_CLIENT_TEMPLATE.FAT&amp;display_string=Audit&amp;VAR:KEY=LEPEVYVANS&amp;VAR:QUERY=RkZfRUJJVERBX0lCKCdMVE1TJywzODQ3Nik=&amp;WINDOW=FIRST_POPUP&amp;HEIGHT=450&amp;WIDTH=450&amp;START_MA","XIMIZED=FALSE&amp;VAR:CALENDAR=US&amp;VAR:SYMBOL=05614P10&amp;VAR:INDEX=0"}</definedName>
    <definedName name="_3581__FDSAUDITLINK__" hidden="1">{"fdsup://directions/FAT Viewer?action=UPDATE&amp;creator=factset&amp;DYN_ARGS=TRUE&amp;DOC_NAME=FAT:FQL_AUDITING_CLIENT_TEMPLATE.FAT&amp;display_string=Audit&amp;VAR:KEY=LEPEVYVANS&amp;VAR:QUERY=RkZfRUJJVERBX0lCKCdMVE1TJywzODQ3Nik=&amp;WINDOW=FIRST_POPUP&amp;HEIGHT=450&amp;WIDTH=450&amp;START_MA","XIMIZED=FALSE&amp;VAR:CALENDAR=US&amp;VAR:SYMBOL=05614P10&amp;VAR:INDEX=0"}</definedName>
    <definedName name="_3582__FDSAUDITLINK__" localSheetId="6" hidden="1">{"fdsup://directions/FAT Viewer?action=UPDATE&amp;creator=factset&amp;DYN_ARGS=TRUE&amp;DOC_NAME=FAT:FQL_AUDITING_CLIENT_TEMPLATE.FAT&amp;display_string=Audit&amp;VAR:KEY=NQTURQTCLY&amp;VAR:QUERY=RkZfRUJJVERBX0lCKCdMVE1TJywzODQ3NSk=&amp;WINDOW=FIRST_POPUP&amp;HEIGHT=450&amp;WIDTH=450&amp;START_MA","XIMIZED=FALSE&amp;VAR:CALENDAR=US&amp;VAR:SYMBOL=05614P10&amp;VAR:INDEX=0"}</definedName>
    <definedName name="_3582__FDSAUDITLINK__" hidden="1">{"fdsup://directions/FAT Viewer?action=UPDATE&amp;creator=factset&amp;DYN_ARGS=TRUE&amp;DOC_NAME=FAT:FQL_AUDITING_CLIENT_TEMPLATE.FAT&amp;display_string=Audit&amp;VAR:KEY=NQTURQTCLY&amp;VAR:QUERY=RkZfRUJJVERBX0lCKCdMVE1TJywzODQ3NSk=&amp;WINDOW=FIRST_POPUP&amp;HEIGHT=450&amp;WIDTH=450&amp;START_MA","XIMIZED=FALSE&amp;VAR:CALENDAR=US&amp;VAR:SYMBOL=05614P10&amp;VAR:INDEX=0"}</definedName>
    <definedName name="_3583__FDSAUDITLINK__" localSheetId="6" hidden="1">{"fdsup://directions/FAT Viewer?action=UPDATE&amp;creator=factset&amp;DYN_ARGS=TRUE&amp;DOC_NAME=FAT:FQL_AUDITING_CLIENT_TEMPLATE.FAT&amp;display_string=Audit&amp;VAR:KEY=NYRCHSNEZU&amp;VAR:QUERY=RkZfRUJJVERBX0lCKCdMVE1TJywzODQ3NCk=&amp;WINDOW=FIRST_POPUP&amp;HEIGHT=450&amp;WIDTH=450&amp;START_MA","XIMIZED=FALSE&amp;VAR:CALENDAR=US&amp;VAR:SYMBOL=05614P10&amp;VAR:INDEX=0"}</definedName>
    <definedName name="_3583__FDSAUDITLINK__" hidden="1">{"fdsup://directions/FAT Viewer?action=UPDATE&amp;creator=factset&amp;DYN_ARGS=TRUE&amp;DOC_NAME=FAT:FQL_AUDITING_CLIENT_TEMPLATE.FAT&amp;display_string=Audit&amp;VAR:KEY=NYRCHSNEZU&amp;VAR:QUERY=RkZfRUJJVERBX0lCKCdMVE1TJywzODQ3NCk=&amp;WINDOW=FIRST_POPUP&amp;HEIGHT=450&amp;WIDTH=450&amp;START_MA","XIMIZED=FALSE&amp;VAR:CALENDAR=US&amp;VAR:SYMBOL=05614P10&amp;VAR:INDEX=0"}</definedName>
    <definedName name="_3584__FDSAUDITLINK__" localSheetId="6" hidden="1">{"fdsup://directions/FAT Viewer?action=UPDATE&amp;creator=factset&amp;DYN_ARGS=TRUE&amp;DOC_NAME=FAT:FQL_AUDITING_CLIENT_TEMPLATE.FAT&amp;display_string=Audit&amp;VAR:KEY=TGBSRCRAXA&amp;VAR:QUERY=RkZfRUJJVERBX0lCKCdMVE1TJywzODQ3Myk=&amp;WINDOW=FIRST_POPUP&amp;HEIGHT=450&amp;WIDTH=450&amp;START_MA","XIMIZED=FALSE&amp;VAR:CALENDAR=US&amp;VAR:SYMBOL=05614P10&amp;VAR:INDEX=0"}</definedName>
    <definedName name="_3584__FDSAUDITLINK__" hidden="1">{"fdsup://directions/FAT Viewer?action=UPDATE&amp;creator=factset&amp;DYN_ARGS=TRUE&amp;DOC_NAME=FAT:FQL_AUDITING_CLIENT_TEMPLATE.FAT&amp;display_string=Audit&amp;VAR:KEY=TGBSRCRAXA&amp;VAR:QUERY=RkZfRUJJVERBX0lCKCdMVE1TJywzODQ3Myk=&amp;WINDOW=FIRST_POPUP&amp;HEIGHT=450&amp;WIDTH=450&amp;START_MA","XIMIZED=FALSE&amp;VAR:CALENDAR=US&amp;VAR:SYMBOL=05614P10&amp;VAR:INDEX=0"}</definedName>
    <definedName name="_3585__FDSAUDITLINK__" localSheetId="6" hidden="1">{"fdsup://directions/FAT Viewer?action=UPDATE&amp;creator=factset&amp;DYN_ARGS=TRUE&amp;DOC_NAME=FAT:FQL_AUDITING_CLIENT_TEMPLATE.FAT&amp;display_string=Audit&amp;VAR:KEY=TWZKTMNSHU&amp;VAR:QUERY=RkZfRUJJVERBX0lCKCdMVE1TJywzODQ3Mik=&amp;WINDOW=FIRST_POPUP&amp;HEIGHT=450&amp;WIDTH=450&amp;START_MA","XIMIZED=FALSE&amp;VAR:CALENDAR=US&amp;VAR:SYMBOL=05614P10&amp;VAR:INDEX=0"}</definedName>
    <definedName name="_3585__FDSAUDITLINK__" hidden="1">{"fdsup://directions/FAT Viewer?action=UPDATE&amp;creator=factset&amp;DYN_ARGS=TRUE&amp;DOC_NAME=FAT:FQL_AUDITING_CLIENT_TEMPLATE.FAT&amp;display_string=Audit&amp;VAR:KEY=TWZKTMNSHU&amp;VAR:QUERY=RkZfRUJJVERBX0lCKCdMVE1TJywzODQ3Mik=&amp;WINDOW=FIRST_POPUP&amp;HEIGHT=450&amp;WIDTH=450&amp;START_MA","XIMIZED=FALSE&amp;VAR:CALENDAR=US&amp;VAR:SYMBOL=05614P10&amp;VAR:INDEX=0"}</definedName>
    <definedName name="_3586__FDSAUDITLINK__" localSheetId="6" hidden="1">{"fdsup://directions/FAT Viewer?action=UPDATE&amp;creator=factset&amp;DYN_ARGS=TRUE&amp;DOC_NAME=FAT:FQL_AUDITING_CLIENT_TEMPLATE.FAT&amp;display_string=Audit&amp;VAR:KEY=VGNQNKPUZY&amp;VAR:QUERY=RkZfRUJJVERBX0lCKCdMVE1TJywzODQ3MSk=&amp;WINDOW=FIRST_POPUP&amp;HEIGHT=450&amp;WIDTH=450&amp;START_MA","XIMIZED=FALSE&amp;VAR:CALENDAR=US&amp;VAR:SYMBOL=05614P10&amp;VAR:INDEX=0"}</definedName>
    <definedName name="_3586__FDSAUDITLINK__" hidden="1">{"fdsup://directions/FAT Viewer?action=UPDATE&amp;creator=factset&amp;DYN_ARGS=TRUE&amp;DOC_NAME=FAT:FQL_AUDITING_CLIENT_TEMPLATE.FAT&amp;display_string=Audit&amp;VAR:KEY=VGNQNKPUZY&amp;VAR:QUERY=RkZfRUJJVERBX0lCKCdMVE1TJywzODQ3MSk=&amp;WINDOW=FIRST_POPUP&amp;HEIGHT=450&amp;WIDTH=450&amp;START_MA","XIMIZED=FALSE&amp;VAR:CALENDAR=US&amp;VAR:SYMBOL=05614P10&amp;VAR:INDEX=0"}</definedName>
    <definedName name="_3587__FDSAUDITLINK__" localSheetId="6" hidden="1">{"fdsup://directions/FAT Viewer?action=UPDATE&amp;creator=factset&amp;DYN_ARGS=TRUE&amp;DOC_NAME=FAT:FQL_AUDITING_CLIENT_TEMPLATE.FAT&amp;display_string=Audit&amp;VAR:KEY=NCRYTUXADS&amp;VAR:QUERY=RkZfRUJJVERBX0lCKCdMVE1TJywzODQ3MCk=&amp;WINDOW=FIRST_POPUP&amp;HEIGHT=450&amp;WIDTH=450&amp;START_MA","XIMIZED=FALSE&amp;VAR:CALENDAR=US&amp;VAR:SYMBOL=05614P10&amp;VAR:INDEX=0"}</definedName>
    <definedName name="_3587__FDSAUDITLINK__" hidden="1">{"fdsup://directions/FAT Viewer?action=UPDATE&amp;creator=factset&amp;DYN_ARGS=TRUE&amp;DOC_NAME=FAT:FQL_AUDITING_CLIENT_TEMPLATE.FAT&amp;display_string=Audit&amp;VAR:KEY=NCRYTUXADS&amp;VAR:QUERY=RkZfRUJJVERBX0lCKCdMVE1TJywzODQ3MCk=&amp;WINDOW=FIRST_POPUP&amp;HEIGHT=450&amp;WIDTH=450&amp;START_MA","XIMIZED=FALSE&amp;VAR:CALENDAR=US&amp;VAR:SYMBOL=05614P10&amp;VAR:INDEX=0"}</definedName>
    <definedName name="_3588__FDSAUDITLINK__" localSheetId="6" hidden="1">{"fdsup://directions/FAT Viewer?action=UPDATE&amp;creator=factset&amp;DYN_ARGS=TRUE&amp;DOC_NAME=FAT:FQL_AUDITING_CLIENT_TEMPLATE.FAT&amp;display_string=Audit&amp;VAR:KEY=RIPURYZEPY&amp;VAR:QUERY=RkZfRUJJVERBX0lCKCdMVE1TJywzODQ2OSk=&amp;WINDOW=FIRST_POPUP&amp;HEIGHT=450&amp;WIDTH=450&amp;START_MA","XIMIZED=FALSE&amp;VAR:CALENDAR=US&amp;VAR:SYMBOL=05614P10&amp;VAR:INDEX=0"}</definedName>
    <definedName name="_3588__FDSAUDITLINK__" hidden="1">{"fdsup://directions/FAT Viewer?action=UPDATE&amp;creator=factset&amp;DYN_ARGS=TRUE&amp;DOC_NAME=FAT:FQL_AUDITING_CLIENT_TEMPLATE.FAT&amp;display_string=Audit&amp;VAR:KEY=RIPURYZEPY&amp;VAR:QUERY=RkZfRUJJVERBX0lCKCdMVE1TJywzODQ2OSk=&amp;WINDOW=FIRST_POPUP&amp;HEIGHT=450&amp;WIDTH=450&amp;START_MA","XIMIZED=FALSE&amp;VAR:CALENDAR=US&amp;VAR:SYMBOL=05614P10&amp;VAR:INDEX=0"}</definedName>
    <definedName name="_3589__FDSAUDITLINK__" localSheetId="6" hidden="1">{"fdsup://directions/FAT Viewer?action=UPDATE&amp;creator=factset&amp;DYN_ARGS=TRUE&amp;DOC_NAME=FAT:FQL_AUDITING_CLIENT_TEMPLATE.FAT&amp;display_string=Audit&amp;VAR:KEY=RKTOLCVMZC&amp;VAR:QUERY=RkZfRUJJVERBX0lCKCdMVE1TJywzODQ2OCk=&amp;WINDOW=FIRST_POPUP&amp;HEIGHT=450&amp;WIDTH=450&amp;START_MA","XIMIZED=FALSE&amp;VAR:CALENDAR=US&amp;VAR:SYMBOL=05614P10&amp;VAR:INDEX=0"}</definedName>
    <definedName name="_3589__FDSAUDITLINK__" hidden="1">{"fdsup://directions/FAT Viewer?action=UPDATE&amp;creator=factset&amp;DYN_ARGS=TRUE&amp;DOC_NAME=FAT:FQL_AUDITING_CLIENT_TEMPLATE.FAT&amp;display_string=Audit&amp;VAR:KEY=RKTOLCVMZC&amp;VAR:QUERY=RkZfRUJJVERBX0lCKCdMVE1TJywzODQ2OCk=&amp;WINDOW=FIRST_POPUP&amp;HEIGHT=450&amp;WIDTH=450&amp;START_MA","XIMIZED=FALSE&amp;VAR:CALENDAR=US&amp;VAR:SYMBOL=05614P10&amp;VAR:INDEX=0"}</definedName>
    <definedName name="_359__FDSAUDITLINK__" localSheetId="6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9__FDSAUDITLINK__" hidden="1">{"fdsup://directions/FAT%20Viewer?VAR:PED=LTM&amp;VAR:AUDIT_MODE=SUMMARY&amp;VAR:PERIOD=FIXED&amp;VAR:AUDIT_ID=00000117&amp;VAR:DATE=20090227&amp;action=UPDATE&amp;creator=factset&amp;DOC_NAME=FAT:FMA_audit_SUMMARY.fat&amp;DISPLAY_STRING=Display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590__FDSAUDITLINK__" localSheetId="6" hidden="1">{"fdsup://directions/FAT Viewer?action=UPDATE&amp;creator=factset&amp;DYN_ARGS=TRUE&amp;DOC_NAME=FAT:FQL_AUDITING_CLIENT_TEMPLATE.FAT&amp;display_string=Audit&amp;VAR:KEY=BCDWHWXIPU&amp;VAR:QUERY=RkZfRUJJVERBX0lCKCdMVE1TJywzODQ2Nyk=&amp;WINDOW=FIRST_POPUP&amp;HEIGHT=450&amp;WIDTH=450&amp;START_MA","XIMIZED=FALSE&amp;VAR:CALENDAR=US&amp;VAR:SYMBOL=05614P10&amp;VAR:INDEX=0"}</definedName>
    <definedName name="_3590__FDSAUDITLINK__" hidden="1">{"fdsup://directions/FAT Viewer?action=UPDATE&amp;creator=factset&amp;DYN_ARGS=TRUE&amp;DOC_NAME=FAT:FQL_AUDITING_CLIENT_TEMPLATE.FAT&amp;display_string=Audit&amp;VAR:KEY=BCDWHWXIPU&amp;VAR:QUERY=RkZfRUJJVERBX0lCKCdMVE1TJywzODQ2Nyk=&amp;WINDOW=FIRST_POPUP&amp;HEIGHT=450&amp;WIDTH=450&amp;START_MA","XIMIZED=FALSE&amp;VAR:CALENDAR=US&amp;VAR:SYMBOL=05614P10&amp;VAR:INDEX=0"}</definedName>
    <definedName name="_3591__FDSAUDITLINK__" localSheetId="6" hidden="1">{"fdsup://directions/FAT Viewer?action=UPDATE&amp;creator=factset&amp;DYN_ARGS=TRUE&amp;DOC_NAME=FAT:FQL_AUDITING_CLIENT_TEMPLATE.FAT&amp;display_string=Audit&amp;VAR:KEY=DCVGTINUDA&amp;VAR:QUERY=RkZfRUJJVERBX0lCKCdMVE1TJywzODQ2Nik=&amp;WINDOW=FIRST_POPUP&amp;HEIGHT=450&amp;WIDTH=450&amp;START_MA","XIMIZED=FALSE&amp;VAR:CALENDAR=US&amp;VAR:SYMBOL=05614P10&amp;VAR:INDEX=0"}</definedName>
    <definedName name="_3591__FDSAUDITLINK__" hidden="1">{"fdsup://directions/FAT Viewer?action=UPDATE&amp;creator=factset&amp;DYN_ARGS=TRUE&amp;DOC_NAME=FAT:FQL_AUDITING_CLIENT_TEMPLATE.FAT&amp;display_string=Audit&amp;VAR:KEY=DCVGTINUDA&amp;VAR:QUERY=RkZfRUJJVERBX0lCKCdMVE1TJywzODQ2Nik=&amp;WINDOW=FIRST_POPUP&amp;HEIGHT=450&amp;WIDTH=450&amp;START_MA","XIMIZED=FALSE&amp;VAR:CALENDAR=US&amp;VAR:SYMBOL=05614P10&amp;VAR:INDEX=0"}</definedName>
    <definedName name="_3592__FDSAUDITLINK__" localSheetId="6" hidden="1">{"fdsup://directions/FAT Viewer?action=UPDATE&amp;creator=factset&amp;DYN_ARGS=TRUE&amp;DOC_NAME=FAT:FQL_AUDITING_CLIENT_TEMPLATE.FAT&amp;display_string=Audit&amp;VAR:KEY=HWNCPSVMDU&amp;VAR:QUERY=RkZfRUJJVERBX0lCKCdMVE1TJywzODQ2NSk=&amp;WINDOW=FIRST_POPUP&amp;HEIGHT=450&amp;WIDTH=450&amp;START_MA","XIMIZED=FALSE&amp;VAR:CALENDAR=US&amp;VAR:SYMBOL=05614P10&amp;VAR:INDEX=0"}</definedName>
    <definedName name="_3592__FDSAUDITLINK__" hidden="1">{"fdsup://directions/FAT Viewer?action=UPDATE&amp;creator=factset&amp;DYN_ARGS=TRUE&amp;DOC_NAME=FAT:FQL_AUDITING_CLIENT_TEMPLATE.FAT&amp;display_string=Audit&amp;VAR:KEY=HWNCPSVMDU&amp;VAR:QUERY=RkZfRUJJVERBX0lCKCdMVE1TJywzODQ2NSk=&amp;WINDOW=FIRST_POPUP&amp;HEIGHT=450&amp;WIDTH=450&amp;START_MA","XIMIZED=FALSE&amp;VAR:CALENDAR=US&amp;VAR:SYMBOL=05614P10&amp;VAR:INDEX=0"}</definedName>
    <definedName name="_3593__FDSAUDITLINK__" localSheetId="6" hidden="1">{"fdsup://directions/FAT Viewer?action=UPDATE&amp;creator=factset&amp;DYN_ARGS=TRUE&amp;DOC_NAME=FAT:FQL_AUDITING_CLIENT_TEMPLATE.FAT&amp;display_string=Audit&amp;VAR:KEY=RGZQDIBGNC&amp;VAR:QUERY=RkZfRUJJVERBX0lCKCdMVE1TJywzODQ2NCk=&amp;WINDOW=FIRST_POPUP&amp;HEIGHT=450&amp;WIDTH=450&amp;START_MA","XIMIZED=FALSE&amp;VAR:CALENDAR=US&amp;VAR:SYMBOL=05614P10&amp;VAR:INDEX=0"}</definedName>
    <definedName name="_3593__FDSAUDITLINK__" hidden="1">{"fdsup://directions/FAT Viewer?action=UPDATE&amp;creator=factset&amp;DYN_ARGS=TRUE&amp;DOC_NAME=FAT:FQL_AUDITING_CLIENT_TEMPLATE.FAT&amp;display_string=Audit&amp;VAR:KEY=RGZQDIBGNC&amp;VAR:QUERY=RkZfRUJJVERBX0lCKCdMVE1TJywzODQ2NCk=&amp;WINDOW=FIRST_POPUP&amp;HEIGHT=450&amp;WIDTH=450&amp;START_MA","XIMIZED=FALSE&amp;VAR:CALENDAR=US&amp;VAR:SYMBOL=05614P10&amp;VAR:INDEX=0"}</definedName>
    <definedName name="_3594__FDSAUDITLINK__" localSheetId="6" hidden="1">{"fdsup://directions/FAT Viewer?action=UPDATE&amp;creator=factset&amp;DYN_ARGS=TRUE&amp;DOC_NAME=FAT:FQL_AUDITING_CLIENT_TEMPLATE.FAT&amp;display_string=Audit&amp;VAR:KEY=DIPCVSFWTA&amp;VAR:QUERY=RkZfRUJJVERBX0lCKCdMVE1TJywzODQ2Myk=&amp;WINDOW=FIRST_POPUP&amp;HEIGHT=450&amp;WIDTH=450&amp;START_MA","XIMIZED=FALSE&amp;VAR:CALENDAR=US&amp;VAR:SYMBOL=05614P10&amp;VAR:INDEX=0"}</definedName>
    <definedName name="_3594__FDSAUDITLINK__" hidden="1">{"fdsup://directions/FAT Viewer?action=UPDATE&amp;creator=factset&amp;DYN_ARGS=TRUE&amp;DOC_NAME=FAT:FQL_AUDITING_CLIENT_TEMPLATE.FAT&amp;display_string=Audit&amp;VAR:KEY=DIPCVSFWTA&amp;VAR:QUERY=RkZfRUJJVERBX0lCKCdMVE1TJywzODQ2Myk=&amp;WINDOW=FIRST_POPUP&amp;HEIGHT=450&amp;WIDTH=450&amp;START_MA","XIMIZED=FALSE&amp;VAR:CALENDAR=US&amp;VAR:SYMBOL=05614P10&amp;VAR:INDEX=0"}</definedName>
    <definedName name="_3595__FDSAUDITLINK__" localSheetId="6" hidden="1">{"fdsup://directions/FAT Viewer?action=UPDATE&amp;creator=factset&amp;DYN_ARGS=TRUE&amp;DOC_NAME=FAT:FQL_AUDITING_CLIENT_TEMPLATE.FAT&amp;display_string=Audit&amp;VAR:KEY=VQVYXATGNO&amp;VAR:QUERY=RkZfRUJJVERBX0lCKCdMVE1TJywzODQ2Mik=&amp;WINDOW=FIRST_POPUP&amp;HEIGHT=450&amp;WIDTH=450&amp;START_MA","XIMIZED=FALSE&amp;VAR:CALENDAR=US&amp;VAR:SYMBOL=05614P10&amp;VAR:INDEX=0"}</definedName>
    <definedName name="_3595__FDSAUDITLINK__" hidden="1">{"fdsup://directions/FAT Viewer?action=UPDATE&amp;creator=factset&amp;DYN_ARGS=TRUE&amp;DOC_NAME=FAT:FQL_AUDITING_CLIENT_TEMPLATE.FAT&amp;display_string=Audit&amp;VAR:KEY=VQVYXATGNO&amp;VAR:QUERY=RkZfRUJJVERBX0lCKCdMVE1TJywzODQ2Mik=&amp;WINDOW=FIRST_POPUP&amp;HEIGHT=450&amp;WIDTH=450&amp;START_MA","XIMIZED=FALSE&amp;VAR:CALENDAR=US&amp;VAR:SYMBOL=05614P10&amp;VAR:INDEX=0"}</definedName>
    <definedName name="_3596__FDSAUDITLINK__" localSheetId="6" hidden="1">{"fdsup://directions/FAT Viewer?action=UPDATE&amp;creator=factset&amp;DYN_ARGS=TRUE&amp;DOC_NAME=FAT:FQL_AUDITING_CLIENT_TEMPLATE.FAT&amp;display_string=Audit&amp;VAR:KEY=ZQZUXQLEPO&amp;VAR:QUERY=RkZfRUJJVERBX0lCKCdMVE1TJywzODQ2MSk=&amp;WINDOW=FIRST_POPUP&amp;HEIGHT=450&amp;WIDTH=450&amp;START_MA","XIMIZED=FALSE&amp;VAR:CALENDAR=US&amp;VAR:SYMBOL=05614P10&amp;VAR:INDEX=0"}</definedName>
    <definedName name="_3596__FDSAUDITLINK__" hidden="1">{"fdsup://directions/FAT Viewer?action=UPDATE&amp;creator=factset&amp;DYN_ARGS=TRUE&amp;DOC_NAME=FAT:FQL_AUDITING_CLIENT_TEMPLATE.FAT&amp;display_string=Audit&amp;VAR:KEY=ZQZUXQLEPO&amp;VAR:QUERY=RkZfRUJJVERBX0lCKCdMVE1TJywzODQ2MSk=&amp;WINDOW=FIRST_POPUP&amp;HEIGHT=450&amp;WIDTH=450&amp;START_MA","XIMIZED=FALSE&amp;VAR:CALENDAR=US&amp;VAR:SYMBOL=05614P10&amp;VAR:INDEX=0"}</definedName>
    <definedName name="_3597__FDSAUDITLINK__" localSheetId="6" hidden="1">{"fdsup://directions/FAT Viewer?action=UPDATE&amp;creator=factset&amp;DYN_ARGS=TRUE&amp;DOC_NAME=FAT:FQL_AUDITING_CLIENT_TEMPLATE.FAT&amp;display_string=Audit&amp;VAR:KEY=JCFYVODAVE&amp;VAR:QUERY=RkZfRUJJVERBX0lCKCdMVE1TJywzODQ2MCk=&amp;WINDOW=FIRST_POPUP&amp;HEIGHT=450&amp;WIDTH=450&amp;START_MA","XIMIZED=FALSE&amp;VAR:CALENDAR=US&amp;VAR:SYMBOL=05614P10&amp;VAR:INDEX=0"}</definedName>
    <definedName name="_3597__FDSAUDITLINK__" hidden="1">{"fdsup://directions/FAT Viewer?action=UPDATE&amp;creator=factset&amp;DYN_ARGS=TRUE&amp;DOC_NAME=FAT:FQL_AUDITING_CLIENT_TEMPLATE.FAT&amp;display_string=Audit&amp;VAR:KEY=JCFYVODAVE&amp;VAR:QUERY=RkZfRUJJVERBX0lCKCdMVE1TJywzODQ2MCk=&amp;WINDOW=FIRST_POPUP&amp;HEIGHT=450&amp;WIDTH=450&amp;START_MA","XIMIZED=FALSE&amp;VAR:CALENDAR=US&amp;VAR:SYMBOL=05614P10&amp;VAR:INDEX=0"}</definedName>
    <definedName name="_3598__FDSAUDITLINK__" localSheetId="6" hidden="1">{"fdsup://directions/FAT Viewer?action=UPDATE&amp;creator=factset&amp;DYN_ARGS=TRUE&amp;DOC_NAME=FAT:FQL_AUDITING_CLIENT_TEMPLATE.FAT&amp;display_string=Audit&amp;VAR:KEY=FQFUJMNQZS&amp;VAR:QUERY=RkZfRUJJVERBX0lCKCdMVE1TJywzODQ1OSk=&amp;WINDOW=FIRST_POPUP&amp;HEIGHT=450&amp;WIDTH=450&amp;START_MA","XIMIZED=FALSE&amp;VAR:CALENDAR=US&amp;VAR:SYMBOL=05614P10&amp;VAR:INDEX=0"}</definedName>
    <definedName name="_3598__FDSAUDITLINK__" hidden="1">{"fdsup://directions/FAT Viewer?action=UPDATE&amp;creator=factset&amp;DYN_ARGS=TRUE&amp;DOC_NAME=FAT:FQL_AUDITING_CLIENT_TEMPLATE.FAT&amp;display_string=Audit&amp;VAR:KEY=FQFUJMNQZS&amp;VAR:QUERY=RkZfRUJJVERBX0lCKCdMVE1TJywzODQ1OSk=&amp;WINDOW=FIRST_POPUP&amp;HEIGHT=450&amp;WIDTH=450&amp;START_MA","XIMIZED=FALSE&amp;VAR:CALENDAR=US&amp;VAR:SYMBOL=05614P10&amp;VAR:INDEX=0"}</definedName>
    <definedName name="_3599__FDSAUDITLINK__" localSheetId="6" hidden="1">{"fdsup://directions/FAT Viewer?action=UPDATE&amp;creator=factset&amp;DYN_ARGS=TRUE&amp;DOC_NAME=FAT:FQL_AUDITING_CLIENT_TEMPLATE.FAT&amp;display_string=Audit&amp;VAR:KEY=DEDKDUVKLQ&amp;VAR:QUERY=RkZfRUJJVERBX0lCKCdMVE1TJywzODQ1OCk=&amp;WINDOW=FIRST_POPUP&amp;HEIGHT=450&amp;WIDTH=450&amp;START_MA","XIMIZED=FALSE&amp;VAR:CALENDAR=US&amp;VAR:SYMBOL=05614P10&amp;VAR:INDEX=0"}</definedName>
    <definedName name="_3599__FDSAUDITLINK__" hidden="1">{"fdsup://directions/FAT Viewer?action=UPDATE&amp;creator=factset&amp;DYN_ARGS=TRUE&amp;DOC_NAME=FAT:FQL_AUDITING_CLIENT_TEMPLATE.FAT&amp;display_string=Audit&amp;VAR:KEY=DEDKDUVKLQ&amp;VAR:QUERY=RkZfRUJJVERBX0lCKCdMVE1TJywzODQ1OCk=&amp;WINDOW=FIRST_POPUP&amp;HEIGHT=450&amp;WIDTH=450&amp;START_MA","XIMIZED=FALSE&amp;VAR:CALENDAR=US&amp;VAR:SYMBOL=05614P10&amp;VAR:INDEX=0"}</definedName>
    <definedName name="_36__FDSAUDITLINK__" localSheetId="6" hidden="1">{"fdsup://directions/FAT Viewer?action=UPDATE&amp;creator=factset&amp;DYN_ARGS=TRUE&amp;DOC_NAME=FAT:FQL_AUDITING_CLIENT_TEMPLATE.FAT&amp;display_string=Audit&amp;VAR:KEY=LOHEVUBMRK&amp;VAR:QUERY=QVZHKENTRl9ORVRfSU5DKEFOTiwwRlksLTZGWSxZKSkgLyAoQVZHKENTRl9BU1NFVFMoQU5OLDBGWSwtNkZZL","EZZKSkgLSBBVkcoQ1NGX0lOVEFORyhBTk4sMCwtNkZZLEZZKSkp&amp;WINDOW=FIRST_POPUP&amp;HEIGHT=450&amp;WIDTH=450&amp;START_MAXIMIZED=FALSE&amp;VAR:CALENDAR=US&amp;VAR:SYMBOL=01448210"}</definedName>
    <definedName name="_36__FDSAUDITLINK__" hidden="1">{"fdsup://directions/FAT Viewer?action=UPDATE&amp;creator=factset&amp;DYN_ARGS=TRUE&amp;DOC_NAME=FAT:FQL_AUDITING_CLIENT_TEMPLATE.FAT&amp;display_string=Audit&amp;VAR:KEY=LOHEVUBMRK&amp;VAR:QUERY=QVZHKENTRl9ORVRfSU5DKEFOTiwwRlksLTZGWSxZKSkgLyAoQVZHKENTRl9BU1NFVFMoQU5OLDBGWSwtNkZZL","EZZKSkgLSBBVkcoQ1NGX0lOVEFORyhBTk4sMCwtNkZZLEZZKSkp&amp;WINDOW=FIRST_POPUP&amp;HEIGHT=450&amp;WIDTH=450&amp;START_MAXIMIZED=FALSE&amp;VAR:CALENDAR=US&amp;VAR:SYMBOL=01448210"}</definedName>
    <definedName name="_360__FDSAUDITLINK__" localSheetId="6" hidden="1">{"fdsup://directions/FAT%20Viewer?VAR:PED=LTM&amp;VAR:AUDIT_MODE=SUMMARY&amp;VAR:PERIOD=FIXED&amp;VAR:AUDIT_ID=00000117&amp;VAR:DATE=20090226&amp;action=UPDATE&amp;creator=factset&amp;DOC_NAME=FAT:FMA_audit_SUMMARY.fat&amp;DISPLAY_STRING=Display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0__FDSAUDITLINK__" hidden="1">{"fdsup://directions/FAT%20Viewer?VAR:PED=LTM&amp;VAR:AUDIT_MODE=SUMMARY&amp;VAR:PERIOD=FIXED&amp;VAR:AUDIT_ID=00000117&amp;VAR:DATE=20090226&amp;action=UPDATE&amp;creator=factset&amp;DOC_NAME=FAT:FMA_audit_SUMMARY.fat&amp;DISPLAY_STRING=Display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00__FDSAUDITLINK__" localSheetId="6" hidden="1">{"fdsup://directions/FAT Viewer?action=UPDATE&amp;creator=factset&amp;DYN_ARGS=TRUE&amp;DOC_NAME=FAT:FQL_AUDITING_CLIENT_TEMPLATE.FAT&amp;display_string=Audit&amp;VAR:KEY=XIROTGFARQ&amp;VAR:QUERY=RkZfRUJJVERBX0lCKCdMVE1TJywzODQ1Nyk=&amp;WINDOW=FIRST_POPUP&amp;HEIGHT=450&amp;WIDTH=450&amp;START_MA","XIMIZED=FALSE&amp;VAR:CALENDAR=US&amp;VAR:SYMBOL=05614P10&amp;VAR:INDEX=0"}</definedName>
    <definedName name="_3600__FDSAUDITLINK__" hidden="1">{"fdsup://directions/FAT Viewer?action=UPDATE&amp;creator=factset&amp;DYN_ARGS=TRUE&amp;DOC_NAME=FAT:FQL_AUDITING_CLIENT_TEMPLATE.FAT&amp;display_string=Audit&amp;VAR:KEY=XIROTGFARQ&amp;VAR:QUERY=RkZfRUJJVERBX0lCKCdMVE1TJywzODQ1Nyk=&amp;WINDOW=FIRST_POPUP&amp;HEIGHT=450&amp;WIDTH=450&amp;START_MA","XIMIZED=FALSE&amp;VAR:CALENDAR=US&amp;VAR:SYMBOL=05614P10&amp;VAR:INDEX=0"}</definedName>
    <definedName name="_3601__FDSAUDITLINK__" localSheetId="6" hidden="1">{"fdsup://directions/FAT Viewer?action=UPDATE&amp;creator=factset&amp;DYN_ARGS=TRUE&amp;DOC_NAME=FAT:FQL_AUDITING_CLIENT_TEMPLATE.FAT&amp;display_string=Audit&amp;VAR:KEY=PKXAREBKLY&amp;VAR:QUERY=RkZfRUJJVERBX0lCKCdMVE1TJywzODQ1Nik=&amp;WINDOW=FIRST_POPUP&amp;HEIGHT=450&amp;WIDTH=450&amp;START_MA","XIMIZED=FALSE&amp;VAR:CALENDAR=US&amp;VAR:SYMBOL=05614P10&amp;VAR:INDEX=0"}</definedName>
    <definedName name="_3601__FDSAUDITLINK__" hidden="1">{"fdsup://directions/FAT Viewer?action=UPDATE&amp;creator=factset&amp;DYN_ARGS=TRUE&amp;DOC_NAME=FAT:FQL_AUDITING_CLIENT_TEMPLATE.FAT&amp;display_string=Audit&amp;VAR:KEY=PKXAREBKLY&amp;VAR:QUERY=RkZfRUJJVERBX0lCKCdMVE1TJywzODQ1Nik=&amp;WINDOW=FIRST_POPUP&amp;HEIGHT=450&amp;WIDTH=450&amp;START_MA","XIMIZED=FALSE&amp;VAR:CALENDAR=US&amp;VAR:SYMBOL=05614P10&amp;VAR:INDEX=0"}</definedName>
    <definedName name="_3602__FDSAUDITLINK__" localSheetId="6" hidden="1">{"fdsup://directions/FAT Viewer?action=UPDATE&amp;creator=factset&amp;DYN_ARGS=TRUE&amp;DOC_NAME=FAT:FQL_AUDITING_CLIENT_TEMPLATE.FAT&amp;display_string=Audit&amp;VAR:KEY=XUNWFIXYTO&amp;VAR:QUERY=RkZfRUJJVERBX0lCKCdMVE1TJywzODQ1NSk=&amp;WINDOW=FIRST_POPUP&amp;HEIGHT=450&amp;WIDTH=450&amp;START_MA","XIMIZED=FALSE&amp;VAR:CALENDAR=US&amp;VAR:SYMBOL=05614P10&amp;VAR:INDEX=0"}</definedName>
    <definedName name="_3602__FDSAUDITLINK__" hidden="1">{"fdsup://directions/FAT Viewer?action=UPDATE&amp;creator=factset&amp;DYN_ARGS=TRUE&amp;DOC_NAME=FAT:FQL_AUDITING_CLIENT_TEMPLATE.FAT&amp;display_string=Audit&amp;VAR:KEY=XUNWFIXYTO&amp;VAR:QUERY=RkZfRUJJVERBX0lCKCdMVE1TJywzODQ1NSk=&amp;WINDOW=FIRST_POPUP&amp;HEIGHT=450&amp;WIDTH=450&amp;START_MA","XIMIZED=FALSE&amp;VAR:CALENDAR=US&amp;VAR:SYMBOL=05614P10&amp;VAR:INDEX=0"}</definedName>
    <definedName name="_3603__FDSAUDITLINK__" localSheetId="6" hidden="1">{"fdsup://directions/FAT Viewer?action=UPDATE&amp;creator=factset&amp;DYN_ARGS=TRUE&amp;DOC_NAME=FAT:FQL_AUDITING_CLIENT_TEMPLATE.FAT&amp;display_string=Audit&amp;VAR:KEY=NCPYRSNMBE&amp;VAR:QUERY=RkZfRUJJVERBX0lCKCdMVE1TJywzODQ1NCk=&amp;WINDOW=FIRST_POPUP&amp;HEIGHT=450&amp;WIDTH=450&amp;START_MA","XIMIZED=FALSE&amp;VAR:CALENDAR=US&amp;VAR:SYMBOL=05614P10&amp;VAR:INDEX=0"}</definedName>
    <definedName name="_3603__FDSAUDITLINK__" hidden="1">{"fdsup://directions/FAT Viewer?action=UPDATE&amp;creator=factset&amp;DYN_ARGS=TRUE&amp;DOC_NAME=FAT:FQL_AUDITING_CLIENT_TEMPLATE.FAT&amp;display_string=Audit&amp;VAR:KEY=NCPYRSNMBE&amp;VAR:QUERY=RkZfRUJJVERBX0lCKCdMVE1TJywzODQ1NCk=&amp;WINDOW=FIRST_POPUP&amp;HEIGHT=450&amp;WIDTH=450&amp;START_MA","XIMIZED=FALSE&amp;VAR:CALENDAR=US&amp;VAR:SYMBOL=05614P10&amp;VAR:INDEX=0"}</definedName>
    <definedName name="_3604__FDSAUDITLINK__" localSheetId="6" hidden="1">{"fdsup://directions/FAT Viewer?action=UPDATE&amp;creator=factset&amp;DYN_ARGS=TRUE&amp;DOC_NAME=FAT:FQL_AUDITING_CLIENT_TEMPLATE.FAT&amp;display_string=Audit&amp;VAR:KEY=TOPYHSVUBM&amp;VAR:QUERY=RkZfRUJJVERBX0lCKCdMVE1TJywzODQ1Myk=&amp;WINDOW=FIRST_POPUP&amp;HEIGHT=450&amp;WIDTH=450&amp;START_MA","XIMIZED=FALSE&amp;VAR:CALENDAR=US&amp;VAR:SYMBOL=05614P10&amp;VAR:INDEX=0"}</definedName>
    <definedName name="_3604__FDSAUDITLINK__" hidden="1">{"fdsup://directions/FAT Viewer?action=UPDATE&amp;creator=factset&amp;DYN_ARGS=TRUE&amp;DOC_NAME=FAT:FQL_AUDITING_CLIENT_TEMPLATE.FAT&amp;display_string=Audit&amp;VAR:KEY=TOPYHSVUBM&amp;VAR:QUERY=RkZfRUJJVERBX0lCKCdMVE1TJywzODQ1Myk=&amp;WINDOW=FIRST_POPUP&amp;HEIGHT=450&amp;WIDTH=450&amp;START_MA","XIMIZED=FALSE&amp;VAR:CALENDAR=US&amp;VAR:SYMBOL=05614P10&amp;VAR:INDEX=0"}</definedName>
    <definedName name="_3605__FDSAUDITLINK__" localSheetId="6" hidden="1">{"fdsup://directions/FAT Viewer?action=UPDATE&amp;creator=factset&amp;DYN_ARGS=TRUE&amp;DOC_NAME=FAT:FQL_AUDITING_CLIENT_TEMPLATE.FAT&amp;display_string=Audit&amp;VAR:KEY=ZARCPQLSFG&amp;VAR:QUERY=RkZfRUJJVERBX0lCKCdMVE1TJywzODQ1Mik=&amp;WINDOW=FIRST_POPUP&amp;HEIGHT=450&amp;WIDTH=450&amp;START_MA","XIMIZED=FALSE&amp;VAR:CALENDAR=US&amp;VAR:SYMBOL=05614P10&amp;VAR:INDEX=0"}</definedName>
    <definedName name="_3605__FDSAUDITLINK__" hidden="1">{"fdsup://directions/FAT Viewer?action=UPDATE&amp;creator=factset&amp;DYN_ARGS=TRUE&amp;DOC_NAME=FAT:FQL_AUDITING_CLIENT_TEMPLATE.FAT&amp;display_string=Audit&amp;VAR:KEY=ZARCPQLSFG&amp;VAR:QUERY=RkZfRUJJVERBX0lCKCdMVE1TJywzODQ1Mik=&amp;WINDOW=FIRST_POPUP&amp;HEIGHT=450&amp;WIDTH=450&amp;START_MA","XIMIZED=FALSE&amp;VAR:CALENDAR=US&amp;VAR:SYMBOL=05614P10&amp;VAR:INDEX=0"}</definedName>
    <definedName name="_3606__FDSAUDITLINK__" localSheetId="6" hidden="1">{"fdsup://directions/FAT Viewer?action=UPDATE&amp;creator=factset&amp;DYN_ARGS=TRUE&amp;DOC_NAME=FAT:FQL_AUDITING_CLIENT_TEMPLATE.FAT&amp;display_string=Audit&amp;VAR:KEY=TYLKZUNMRG&amp;VAR:QUERY=RkZfRUJJVERBX0lCKCdMVE1TJywzODQ1MSk=&amp;WINDOW=FIRST_POPUP&amp;HEIGHT=450&amp;WIDTH=450&amp;START_MA","XIMIZED=FALSE&amp;VAR:CALENDAR=US&amp;VAR:SYMBOL=05614P10&amp;VAR:INDEX=0"}</definedName>
    <definedName name="_3606__FDSAUDITLINK__" hidden="1">{"fdsup://directions/FAT Viewer?action=UPDATE&amp;creator=factset&amp;DYN_ARGS=TRUE&amp;DOC_NAME=FAT:FQL_AUDITING_CLIENT_TEMPLATE.FAT&amp;display_string=Audit&amp;VAR:KEY=TYLKZUNMRG&amp;VAR:QUERY=RkZfRUJJVERBX0lCKCdMVE1TJywzODQ1MSk=&amp;WINDOW=FIRST_POPUP&amp;HEIGHT=450&amp;WIDTH=450&amp;START_MA","XIMIZED=FALSE&amp;VAR:CALENDAR=US&amp;VAR:SYMBOL=05614P10&amp;VAR:INDEX=0"}</definedName>
    <definedName name="_3607__FDSAUDITLINK__" localSheetId="6" hidden="1">{"fdsup://directions/FAT Viewer?action=UPDATE&amp;creator=factset&amp;DYN_ARGS=TRUE&amp;DOC_NAME=FAT:FQL_AUDITING_CLIENT_TEMPLATE.FAT&amp;display_string=Audit&amp;VAR:KEY=TAJOTGNKFO&amp;VAR:QUERY=RkZfRUJJVERBX0lCKCdMVE1TJywzODQ1MCk=&amp;WINDOW=FIRST_POPUP&amp;HEIGHT=450&amp;WIDTH=450&amp;START_MA","XIMIZED=FALSE&amp;VAR:CALENDAR=US&amp;VAR:SYMBOL=05614P10&amp;VAR:INDEX=0"}</definedName>
    <definedName name="_3607__FDSAUDITLINK__" hidden="1">{"fdsup://directions/FAT Viewer?action=UPDATE&amp;creator=factset&amp;DYN_ARGS=TRUE&amp;DOC_NAME=FAT:FQL_AUDITING_CLIENT_TEMPLATE.FAT&amp;display_string=Audit&amp;VAR:KEY=TAJOTGNKFO&amp;VAR:QUERY=RkZfRUJJVERBX0lCKCdMVE1TJywzODQ1MCk=&amp;WINDOW=FIRST_POPUP&amp;HEIGHT=450&amp;WIDTH=450&amp;START_MA","XIMIZED=FALSE&amp;VAR:CALENDAR=US&amp;VAR:SYMBOL=05614P10&amp;VAR:INDEX=0"}</definedName>
    <definedName name="_3608__FDSAUDITLINK__" localSheetId="6" hidden="1">{"fdsup://directions/FAT Viewer?action=UPDATE&amp;creator=factset&amp;DYN_ARGS=TRUE&amp;DOC_NAME=FAT:FQL_AUDITING_CLIENT_TEMPLATE.FAT&amp;display_string=Audit&amp;VAR:KEY=ZSTIROVEBI&amp;VAR:QUERY=RkZfRUJJVERBX0lCKCdMVE1TJywzODQ0OSk=&amp;WINDOW=FIRST_POPUP&amp;HEIGHT=450&amp;WIDTH=450&amp;START_MA","XIMIZED=FALSE&amp;VAR:CALENDAR=US&amp;VAR:SYMBOL=05614P10&amp;VAR:INDEX=0"}</definedName>
    <definedName name="_3608__FDSAUDITLINK__" hidden="1">{"fdsup://directions/FAT Viewer?action=UPDATE&amp;creator=factset&amp;DYN_ARGS=TRUE&amp;DOC_NAME=FAT:FQL_AUDITING_CLIENT_TEMPLATE.FAT&amp;display_string=Audit&amp;VAR:KEY=ZSTIROVEBI&amp;VAR:QUERY=RkZfRUJJVERBX0lCKCdMVE1TJywzODQ0OSk=&amp;WINDOW=FIRST_POPUP&amp;HEIGHT=450&amp;WIDTH=450&amp;START_MA","XIMIZED=FALSE&amp;VAR:CALENDAR=US&amp;VAR:SYMBOL=05614P10&amp;VAR:INDEX=0"}</definedName>
    <definedName name="_3609__FDSAUDITLINK__" localSheetId="6" hidden="1">{"fdsup://directions/FAT Viewer?action=UPDATE&amp;creator=factset&amp;DYN_ARGS=TRUE&amp;DOC_NAME=FAT:FQL_AUDITING_CLIENT_TEMPLATE.FAT&amp;display_string=Audit&amp;VAR:KEY=BCLANSPYZG&amp;VAR:QUERY=RkZfRUJJVERBX0lCKCdMVE1TJywzODQ0OCk=&amp;WINDOW=FIRST_POPUP&amp;HEIGHT=450&amp;WIDTH=450&amp;START_MA","XIMIZED=FALSE&amp;VAR:CALENDAR=US&amp;VAR:SYMBOL=05614P10&amp;VAR:INDEX=0"}</definedName>
    <definedName name="_3609__FDSAUDITLINK__" hidden="1">{"fdsup://directions/FAT Viewer?action=UPDATE&amp;creator=factset&amp;DYN_ARGS=TRUE&amp;DOC_NAME=FAT:FQL_AUDITING_CLIENT_TEMPLATE.FAT&amp;display_string=Audit&amp;VAR:KEY=BCLANSPYZG&amp;VAR:QUERY=RkZfRUJJVERBX0lCKCdMVE1TJywzODQ0OCk=&amp;WINDOW=FIRST_POPUP&amp;HEIGHT=450&amp;WIDTH=450&amp;START_MA","XIMIZED=FALSE&amp;VAR:CALENDAR=US&amp;VAR:SYMBOL=05614P10&amp;VAR:INDEX=0"}</definedName>
    <definedName name="_361__FDSAUDITLINK__" localSheetId="6" hidden="1">{"fdsup://directions/FAT%20Viewer?VAR:PED=LTM&amp;VAR:AUDIT_MODE=SUMMARY&amp;VAR:PERIOD=FIXED&amp;VAR:AUDIT_ID=00000117&amp;VAR:DATE=20090225&amp;action=UPDATE&amp;creator=factset&amp;DOC_NAME=FAT:FMA_audit_SUMMARY.fat&amp;DISPLAY_STRING=Display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1__FDSAUDITLINK__" hidden="1">{"fdsup://directions/FAT%20Viewer?VAR:PED=LTM&amp;VAR:AUDIT_MODE=SUMMARY&amp;VAR:PERIOD=FIXED&amp;VAR:AUDIT_ID=00000117&amp;VAR:DATE=20090225&amp;action=UPDATE&amp;creator=factset&amp;DOC_NAME=FAT:FMA_audit_SUMMARY.fat&amp;DISPLAY_STRING=Display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10__FDSAUDITLINK__" localSheetId="6" hidden="1">{"fdsup://directions/FAT Viewer?action=UPDATE&amp;creator=factset&amp;DYN_ARGS=TRUE&amp;DOC_NAME=FAT:FQL_AUDITING_CLIENT_TEMPLATE.FAT&amp;display_string=Audit&amp;VAR:KEY=LMBGLGXCNI&amp;VAR:QUERY=RkZfRUJJVERBX0lCKCdMVE1TJywzODQ0Nyk=&amp;WINDOW=FIRST_POPUP&amp;HEIGHT=450&amp;WIDTH=450&amp;START_MA","XIMIZED=FALSE&amp;VAR:CALENDAR=US&amp;VAR:SYMBOL=05614P10&amp;VAR:INDEX=0"}</definedName>
    <definedName name="_3610__FDSAUDITLINK__" hidden="1">{"fdsup://directions/FAT Viewer?action=UPDATE&amp;creator=factset&amp;DYN_ARGS=TRUE&amp;DOC_NAME=FAT:FQL_AUDITING_CLIENT_TEMPLATE.FAT&amp;display_string=Audit&amp;VAR:KEY=LMBGLGXCNI&amp;VAR:QUERY=RkZfRUJJVERBX0lCKCdMVE1TJywzODQ0Nyk=&amp;WINDOW=FIRST_POPUP&amp;HEIGHT=450&amp;WIDTH=450&amp;START_MA","XIMIZED=FALSE&amp;VAR:CALENDAR=US&amp;VAR:SYMBOL=05614P10&amp;VAR:INDEX=0"}</definedName>
    <definedName name="_3611__FDSAUDITLINK__" localSheetId="6" hidden="1">{"fdsup://directions/FAT Viewer?action=UPDATE&amp;creator=factset&amp;DYN_ARGS=TRUE&amp;DOC_NAME=FAT:FQL_AUDITING_CLIENT_TEMPLATE.FAT&amp;display_string=Audit&amp;VAR:KEY=NUNQFWLKVA&amp;VAR:QUERY=RkZfRUJJVERBX0lCKCdMVE1TJywzODQ0Nik=&amp;WINDOW=FIRST_POPUP&amp;HEIGHT=450&amp;WIDTH=450&amp;START_MA","XIMIZED=FALSE&amp;VAR:CALENDAR=US&amp;VAR:SYMBOL=05614P10&amp;VAR:INDEX=0"}</definedName>
    <definedName name="_3611__FDSAUDITLINK__" hidden="1">{"fdsup://directions/FAT Viewer?action=UPDATE&amp;creator=factset&amp;DYN_ARGS=TRUE&amp;DOC_NAME=FAT:FQL_AUDITING_CLIENT_TEMPLATE.FAT&amp;display_string=Audit&amp;VAR:KEY=NUNQFWLKVA&amp;VAR:QUERY=RkZfRUJJVERBX0lCKCdMVE1TJywzODQ0Nik=&amp;WINDOW=FIRST_POPUP&amp;HEIGHT=450&amp;WIDTH=450&amp;START_MA","XIMIZED=FALSE&amp;VAR:CALENDAR=US&amp;VAR:SYMBOL=05614P10&amp;VAR:INDEX=0"}</definedName>
    <definedName name="_3612__FDSAUDITLINK__" localSheetId="6" hidden="1">{"fdsup://directions/FAT Viewer?action=UPDATE&amp;creator=factset&amp;DYN_ARGS=TRUE&amp;DOC_NAME=FAT:FQL_AUDITING_CLIENT_TEMPLATE.FAT&amp;display_string=Audit&amp;VAR:KEY=JGBOJGPKHG&amp;VAR:QUERY=RkZfRUJJVERBX0lCKCdMVE1TJywzODQ0NSk=&amp;WINDOW=FIRST_POPUP&amp;HEIGHT=450&amp;WIDTH=450&amp;START_MA","XIMIZED=FALSE&amp;VAR:CALENDAR=US&amp;VAR:SYMBOL=05614P10&amp;VAR:INDEX=0"}</definedName>
    <definedName name="_3612__FDSAUDITLINK__" hidden="1">{"fdsup://directions/FAT Viewer?action=UPDATE&amp;creator=factset&amp;DYN_ARGS=TRUE&amp;DOC_NAME=FAT:FQL_AUDITING_CLIENT_TEMPLATE.FAT&amp;display_string=Audit&amp;VAR:KEY=JGBOJGPKHG&amp;VAR:QUERY=RkZfRUJJVERBX0lCKCdMVE1TJywzODQ0NSk=&amp;WINDOW=FIRST_POPUP&amp;HEIGHT=450&amp;WIDTH=450&amp;START_MA","XIMIZED=FALSE&amp;VAR:CALENDAR=US&amp;VAR:SYMBOL=05614P10&amp;VAR:INDEX=0"}</definedName>
    <definedName name="_3613__FDSAUDITLINK__" localSheetId="6" hidden="1">{"fdsup://directions/FAT Viewer?action=UPDATE&amp;creator=factset&amp;DYN_ARGS=TRUE&amp;DOC_NAME=FAT:FQL_AUDITING_CLIENT_TEMPLATE.FAT&amp;display_string=Audit&amp;VAR:KEY=HANUVABYNW&amp;VAR:QUERY=RkZfRUJJVERBX0lCKCdMVE1TJywzODQ0NCk=&amp;WINDOW=FIRST_POPUP&amp;HEIGHT=450&amp;WIDTH=450&amp;START_MA","XIMIZED=FALSE&amp;VAR:CALENDAR=US&amp;VAR:SYMBOL=05614P10&amp;VAR:INDEX=0"}</definedName>
    <definedName name="_3613__FDSAUDITLINK__" hidden="1">{"fdsup://directions/FAT Viewer?action=UPDATE&amp;creator=factset&amp;DYN_ARGS=TRUE&amp;DOC_NAME=FAT:FQL_AUDITING_CLIENT_TEMPLATE.FAT&amp;display_string=Audit&amp;VAR:KEY=HANUVABYNW&amp;VAR:QUERY=RkZfRUJJVERBX0lCKCdMVE1TJywzODQ0NCk=&amp;WINDOW=FIRST_POPUP&amp;HEIGHT=450&amp;WIDTH=450&amp;START_MA","XIMIZED=FALSE&amp;VAR:CALENDAR=US&amp;VAR:SYMBOL=05614P10&amp;VAR:INDEX=0"}</definedName>
    <definedName name="_3614__FDSAUDITLINK__" localSheetId="6" hidden="1">{"fdsup://directions/FAT Viewer?action=UPDATE&amp;creator=factset&amp;DYN_ARGS=TRUE&amp;DOC_NAME=FAT:FQL_AUDITING_CLIENT_TEMPLATE.FAT&amp;display_string=Audit&amp;VAR:KEY=JIJCBQLQLE&amp;VAR:QUERY=RkZfRUJJVERBX0lCKCdMVE1TJywzODQ0Myk=&amp;WINDOW=FIRST_POPUP&amp;HEIGHT=450&amp;WIDTH=450&amp;START_MA","XIMIZED=FALSE&amp;VAR:CALENDAR=US&amp;VAR:SYMBOL=05614P10&amp;VAR:INDEX=0"}</definedName>
    <definedName name="_3614__FDSAUDITLINK__" hidden="1">{"fdsup://directions/FAT Viewer?action=UPDATE&amp;creator=factset&amp;DYN_ARGS=TRUE&amp;DOC_NAME=FAT:FQL_AUDITING_CLIENT_TEMPLATE.FAT&amp;display_string=Audit&amp;VAR:KEY=JIJCBQLQLE&amp;VAR:QUERY=RkZfRUJJVERBX0lCKCdMVE1TJywzODQ0Myk=&amp;WINDOW=FIRST_POPUP&amp;HEIGHT=450&amp;WIDTH=450&amp;START_MA","XIMIZED=FALSE&amp;VAR:CALENDAR=US&amp;VAR:SYMBOL=05614P10&amp;VAR:INDEX=0"}</definedName>
    <definedName name="_3615__FDSAUDITLINK__" localSheetId="6" hidden="1">{"fdsup://directions/FAT Viewer?action=UPDATE&amp;creator=factset&amp;DYN_ARGS=TRUE&amp;DOC_NAME=FAT:FQL_AUDITING_CLIENT_TEMPLATE.FAT&amp;display_string=Audit&amp;VAR:KEY=FGRKPGXIHO&amp;VAR:QUERY=RkZfRUJJVERBX0lCKCdMVE1TJywzODQ0Mik=&amp;WINDOW=FIRST_POPUP&amp;HEIGHT=450&amp;WIDTH=450&amp;START_MA","XIMIZED=FALSE&amp;VAR:CALENDAR=US&amp;VAR:SYMBOL=05614P10&amp;VAR:INDEX=0"}</definedName>
    <definedName name="_3615__FDSAUDITLINK__" hidden="1">{"fdsup://directions/FAT Viewer?action=UPDATE&amp;creator=factset&amp;DYN_ARGS=TRUE&amp;DOC_NAME=FAT:FQL_AUDITING_CLIENT_TEMPLATE.FAT&amp;display_string=Audit&amp;VAR:KEY=FGRKPGXIHO&amp;VAR:QUERY=RkZfRUJJVERBX0lCKCdMVE1TJywzODQ0Mik=&amp;WINDOW=FIRST_POPUP&amp;HEIGHT=450&amp;WIDTH=450&amp;START_MA","XIMIZED=FALSE&amp;VAR:CALENDAR=US&amp;VAR:SYMBOL=05614P10&amp;VAR:INDEX=0"}</definedName>
    <definedName name="_3616__FDSAUDITLINK__" localSheetId="6" hidden="1">{"fdsup://directions/FAT Viewer?action=UPDATE&amp;creator=factset&amp;DYN_ARGS=TRUE&amp;DOC_NAME=FAT:FQL_AUDITING_CLIENT_TEMPLATE.FAT&amp;display_string=Audit&amp;VAR:KEY=DGXITQRMJC&amp;VAR:QUERY=RkZfRUJJVERBX0lCKCdMVE1TJywzODQ0MSk=&amp;WINDOW=FIRST_POPUP&amp;HEIGHT=450&amp;WIDTH=450&amp;START_MA","XIMIZED=FALSE&amp;VAR:CALENDAR=US&amp;VAR:SYMBOL=05614P10&amp;VAR:INDEX=0"}</definedName>
    <definedName name="_3616__FDSAUDITLINK__" hidden="1">{"fdsup://directions/FAT Viewer?action=UPDATE&amp;creator=factset&amp;DYN_ARGS=TRUE&amp;DOC_NAME=FAT:FQL_AUDITING_CLIENT_TEMPLATE.FAT&amp;display_string=Audit&amp;VAR:KEY=DGXITQRMJC&amp;VAR:QUERY=RkZfRUJJVERBX0lCKCdMVE1TJywzODQ0MSk=&amp;WINDOW=FIRST_POPUP&amp;HEIGHT=450&amp;WIDTH=450&amp;START_MA","XIMIZED=FALSE&amp;VAR:CALENDAR=US&amp;VAR:SYMBOL=05614P10&amp;VAR:INDEX=0"}</definedName>
    <definedName name="_3617__FDSAUDITLINK__" localSheetId="6" hidden="1">{"fdsup://directions/FAT Viewer?action=UPDATE&amp;creator=factset&amp;DYN_ARGS=TRUE&amp;DOC_NAME=FAT:FQL_AUDITING_CLIENT_TEMPLATE.FAT&amp;display_string=Audit&amp;VAR:KEY=TGHSBALCNA&amp;VAR:QUERY=RkZfRUJJVERBX0lCKCdMVE1TJywzODQ0MCk=&amp;WINDOW=FIRST_POPUP&amp;HEIGHT=450&amp;WIDTH=450&amp;START_MA","XIMIZED=FALSE&amp;VAR:CALENDAR=US&amp;VAR:SYMBOL=05614P10&amp;VAR:INDEX=0"}</definedName>
    <definedName name="_3617__FDSAUDITLINK__" hidden="1">{"fdsup://directions/FAT Viewer?action=UPDATE&amp;creator=factset&amp;DYN_ARGS=TRUE&amp;DOC_NAME=FAT:FQL_AUDITING_CLIENT_TEMPLATE.FAT&amp;display_string=Audit&amp;VAR:KEY=TGHSBALCNA&amp;VAR:QUERY=RkZfRUJJVERBX0lCKCdMVE1TJywzODQ0MCk=&amp;WINDOW=FIRST_POPUP&amp;HEIGHT=450&amp;WIDTH=450&amp;START_MA","XIMIZED=FALSE&amp;VAR:CALENDAR=US&amp;VAR:SYMBOL=05614P10&amp;VAR:INDEX=0"}</definedName>
    <definedName name="_3618__FDSAUDITLINK__" localSheetId="6" hidden="1">{"fdsup://directions/FAT Viewer?action=UPDATE&amp;creator=factset&amp;DYN_ARGS=TRUE&amp;DOC_NAME=FAT:FQL_AUDITING_CLIENT_TEMPLATE.FAT&amp;display_string=Audit&amp;VAR:KEY=HWPEPINUDO&amp;VAR:QUERY=RkZfRUJJVERBX0lCKCdMVE1TJywzODQzOSk=&amp;WINDOW=FIRST_POPUP&amp;HEIGHT=450&amp;WIDTH=450&amp;START_MA","XIMIZED=FALSE&amp;VAR:CALENDAR=US&amp;VAR:SYMBOL=05614P10&amp;VAR:INDEX=0"}</definedName>
    <definedName name="_3618__FDSAUDITLINK__" hidden="1">{"fdsup://directions/FAT Viewer?action=UPDATE&amp;creator=factset&amp;DYN_ARGS=TRUE&amp;DOC_NAME=FAT:FQL_AUDITING_CLIENT_TEMPLATE.FAT&amp;display_string=Audit&amp;VAR:KEY=HWPEPINUDO&amp;VAR:QUERY=RkZfRUJJVERBX0lCKCdMVE1TJywzODQzOSk=&amp;WINDOW=FIRST_POPUP&amp;HEIGHT=450&amp;WIDTH=450&amp;START_MA","XIMIZED=FALSE&amp;VAR:CALENDAR=US&amp;VAR:SYMBOL=05614P10&amp;VAR:INDEX=0"}</definedName>
    <definedName name="_3619__FDSAUDITLINK__" localSheetId="6" hidden="1">{"fdsup://directions/FAT Viewer?action=UPDATE&amp;creator=factset&amp;DYN_ARGS=TRUE&amp;DOC_NAME=FAT:FQL_AUDITING_CLIENT_TEMPLATE.FAT&amp;display_string=Audit&amp;VAR:KEY=NEBAZURGBI&amp;VAR:QUERY=RkZfRUJJVERBX0lCKCdMVE1TJywzODQzOCk=&amp;WINDOW=FIRST_POPUP&amp;HEIGHT=450&amp;WIDTH=450&amp;START_MA","XIMIZED=FALSE&amp;VAR:CALENDAR=US&amp;VAR:SYMBOL=05614P10&amp;VAR:INDEX=0"}</definedName>
    <definedName name="_3619__FDSAUDITLINK__" hidden="1">{"fdsup://directions/FAT Viewer?action=UPDATE&amp;creator=factset&amp;DYN_ARGS=TRUE&amp;DOC_NAME=FAT:FQL_AUDITING_CLIENT_TEMPLATE.FAT&amp;display_string=Audit&amp;VAR:KEY=NEBAZURGBI&amp;VAR:QUERY=RkZfRUJJVERBX0lCKCdMVE1TJywzODQzOCk=&amp;WINDOW=FIRST_POPUP&amp;HEIGHT=450&amp;WIDTH=450&amp;START_MA","XIMIZED=FALSE&amp;VAR:CALENDAR=US&amp;VAR:SYMBOL=05614P10&amp;VAR:INDEX=0"}</definedName>
    <definedName name="_362__FDSAUDITLINK__" localSheetId="6" hidden="1">{"fdsup://directions/FAT%20Viewer?VAR:PED=LTM&amp;VAR:AUDIT_MODE=SUMMARY&amp;VAR:PERIOD=FIXED&amp;VAR:AUDIT_ID=00000117&amp;VAR:DATE=20090224&amp;action=UPDATE&amp;creator=factset&amp;DOC_NAME=FAT:FMA_audit_SUMMARY.fat&amp;DISPLAY_STRING=Display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2__FDSAUDITLINK__" hidden="1">{"fdsup://directions/FAT%20Viewer?VAR:PED=LTM&amp;VAR:AUDIT_MODE=SUMMARY&amp;VAR:PERIOD=FIXED&amp;VAR:AUDIT_ID=00000117&amp;VAR:DATE=20090224&amp;action=UPDATE&amp;creator=factset&amp;DOC_NAME=FAT:FMA_audit_SUMMARY.fat&amp;DISPLAY_STRING=Display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20__FDSAUDITLINK__" localSheetId="6" hidden="1">{"fdsup://directions/FAT Viewer?action=UPDATE&amp;creator=factset&amp;DYN_ARGS=TRUE&amp;DOC_NAME=FAT:FQL_AUDITING_CLIENT_TEMPLATE.FAT&amp;display_string=Audit&amp;VAR:KEY=VAPKTCNGFC&amp;VAR:QUERY=RkZfRUJJVERBX0lCKCdMVE1TJywzODQzNyk=&amp;WINDOW=FIRST_POPUP&amp;HEIGHT=450&amp;WIDTH=450&amp;START_MA","XIMIZED=FALSE&amp;VAR:CALENDAR=US&amp;VAR:SYMBOL=05614P10&amp;VAR:INDEX=0"}</definedName>
    <definedName name="_3620__FDSAUDITLINK__" hidden="1">{"fdsup://directions/FAT Viewer?action=UPDATE&amp;creator=factset&amp;DYN_ARGS=TRUE&amp;DOC_NAME=FAT:FQL_AUDITING_CLIENT_TEMPLATE.FAT&amp;display_string=Audit&amp;VAR:KEY=VAPKTCNGFC&amp;VAR:QUERY=RkZfRUJJVERBX0lCKCdMVE1TJywzODQzNyk=&amp;WINDOW=FIRST_POPUP&amp;HEIGHT=450&amp;WIDTH=450&amp;START_MA","XIMIZED=FALSE&amp;VAR:CALENDAR=US&amp;VAR:SYMBOL=05614P10&amp;VAR:INDEX=0"}</definedName>
    <definedName name="_3621__FDSAUDITLINK__" localSheetId="6" hidden="1">{"fdsup://directions/FAT Viewer?action=UPDATE&amp;creator=factset&amp;DYN_ARGS=TRUE&amp;DOC_NAME=FAT:FQL_AUDITING_CLIENT_TEMPLATE.FAT&amp;display_string=Audit&amp;VAR:KEY=PYFCJKLCFM&amp;VAR:QUERY=RkZfRUJJVERBX0lCKCdMVE1TJywzODQzNik=&amp;WINDOW=FIRST_POPUP&amp;HEIGHT=450&amp;WIDTH=450&amp;START_MA","XIMIZED=FALSE&amp;VAR:CALENDAR=US&amp;VAR:SYMBOL=05614P10&amp;VAR:INDEX=0"}</definedName>
    <definedName name="_3621__FDSAUDITLINK__" hidden="1">{"fdsup://directions/FAT Viewer?action=UPDATE&amp;creator=factset&amp;DYN_ARGS=TRUE&amp;DOC_NAME=FAT:FQL_AUDITING_CLIENT_TEMPLATE.FAT&amp;display_string=Audit&amp;VAR:KEY=PYFCJKLCFM&amp;VAR:QUERY=RkZfRUJJVERBX0lCKCdMVE1TJywzODQzNik=&amp;WINDOW=FIRST_POPUP&amp;HEIGHT=450&amp;WIDTH=450&amp;START_MA","XIMIZED=FALSE&amp;VAR:CALENDAR=US&amp;VAR:SYMBOL=05614P10&amp;VAR:INDEX=0"}</definedName>
    <definedName name="_3622__FDSAUDITLINK__" localSheetId="6" hidden="1">{"fdsup://directions/FAT Viewer?action=UPDATE&amp;creator=factset&amp;DYN_ARGS=TRUE&amp;DOC_NAME=FAT:FQL_AUDITING_CLIENT_TEMPLATE.FAT&amp;display_string=Audit&amp;VAR:KEY=DMJSTCDGXU&amp;VAR:QUERY=RkZfRUJJVERBX0lCKCdMVE1TJywzODQzNSk=&amp;WINDOW=FIRST_POPUP&amp;HEIGHT=450&amp;WIDTH=450&amp;START_MA","XIMIZED=FALSE&amp;VAR:CALENDAR=US&amp;VAR:SYMBOL=05614P10&amp;VAR:INDEX=0"}</definedName>
    <definedName name="_3622__FDSAUDITLINK__" hidden="1">{"fdsup://directions/FAT Viewer?action=UPDATE&amp;creator=factset&amp;DYN_ARGS=TRUE&amp;DOC_NAME=FAT:FQL_AUDITING_CLIENT_TEMPLATE.FAT&amp;display_string=Audit&amp;VAR:KEY=DMJSTCDGXU&amp;VAR:QUERY=RkZfRUJJVERBX0lCKCdMVE1TJywzODQzNSk=&amp;WINDOW=FIRST_POPUP&amp;HEIGHT=450&amp;WIDTH=450&amp;START_MA","XIMIZED=FALSE&amp;VAR:CALENDAR=US&amp;VAR:SYMBOL=05614P10&amp;VAR:INDEX=0"}</definedName>
    <definedName name="_3623__FDSAUDITLINK__" localSheetId="6" hidden="1">{"fdsup://directions/FAT Viewer?action=UPDATE&amp;creator=factset&amp;DYN_ARGS=TRUE&amp;DOC_NAME=FAT:FQL_AUDITING_CLIENT_TEMPLATE.FAT&amp;display_string=Audit&amp;VAR:KEY=ZKLIPADATS&amp;VAR:QUERY=RkZfRUJJVERBX0lCKCdMVE1TJywzODQzNCk=&amp;WINDOW=FIRST_POPUP&amp;HEIGHT=450&amp;WIDTH=450&amp;START_MA","XIMIZED=FALSE&amp;VAR:CALENDAR=US&amp;VAR:SYMBOL=05614P10&amp;VAR:INDEX=0"}</definedName>
    <definedName name="_3623__FDSAUDITLINK__" hidden="1">{"fdsup://directions/FAT Viewer?action=UPDATE&amp;creator=factset&amp;DYN_ARGS=TRUE&amp;DOC_NAME=FAT:FQL_AUDITING_CLIENT_TEMPLATE.FAT&amp;display_string=Audit&amp;VAR:KEY=ZKLIPADATS&amp;VAR:QUERY=RkZfRUJJVERBX0lCKCdMVE1TJywzODQzNCk=&amp;WINDOW=FIRST_POPUP&amp;HEIGHT=450&amp;WIDTH=450&amp;START_MA","XIMIZED=FALSE&amp;VAR:CALENDAR=US&amp;VAR:SYMBOL=05614P10&amp;VAR:INDEX=0"}</definedName>
    <definedName name="_3624__FDSAUDITLINK__" localSheetId="6" hidden="1">{"fdsup://directions/FAT Viewer?action=UPDATE&amp;creator=factset&amp;DYN_ARGS=TRUE&amp;DOC_NAME=FAT:FQL_AUDITING_CLIENT_TEMPLATE.FAT&amp;display_string=Audit&amp;VAR:KEY=PAJKDYTKNM&amp;VAR:QUERY=RkZfRUJJVERBX0lCKCdMVE1TJywzODQzMyk=&amp;WINDOW=FIRST_POPUP&amp;HEIGHT=450&amp;WIDTH=450&amp;START_MA","XIMIZED=FALSE&amp;VAR:CALENDAR=US&amp;VAR:SYMBOL=05614P10&amp;VAR:INDEX=0"}</definedName>
    <definedName name="_3624__FDSAUDITLINK__" hidden="1">{"fdsup://directions/FAT Viewer?action=UPDATE&amp;creator=factset&amp;DYN_ARGS=TRUE&amp;DOC_NAME=FAT:FQL_AUDITING_CLIENT_TEMPLATE.FAT&amp;display_string=Audit&amp;VAR:KEY=PAJKDYTKNM&amp;VAR:QUERY=RkZfRUJJVERBX0lCKCdMVE1TJywzODQzMyk=&amp;WINDOW=FIRST_POPUP&amp;HEIGHT=450&amp;WIDTH=450&amp;START_MA","XIMIZED=FALSE&amp;VAR:CALENDAR=US&amp;VAR:SYMBOL=05614P10&amp;VAR:INDEX=0"}</definedName>
    <definedName name="_3625__FDSAUDITLINK__" localSheetId="6" hidden="1">{"fdsup://directions/FAT Viewer?action=UPDATE&amp;creator=factset&amp;DYN_ARGS=TRUE&amp;DOC_NAME=FAT:FQL_AUDITING_CLIENT_TEMPLATE.FAT&amp;display_string=Audit&amp;VAR:KEY=VOHWBANSRA&amp;VAR:QUERY=RkZfRUJJVERBX0lCKCdMVE1TJywzODQzMik=&amp;WINDOW=FIRST_POPUP&amp;HEIGHT=450&amp;WIDTH=450&amp;START_MA","XIMIZED=FALSE&amp;VAR:CALENDAR=US&amp;VAR:SYMBOL=05614P10&amp;VAR:INDEX=0"}</definedName>
    <definedName name="_3625__FDSAUDITLINK__" hidden="1">{"fdsup://directions/FAT Viewer?action=UPDATE&amp;creator=factset&amp;DYN_ARGS=TRUE&amp;DOC_NAME=FAT:FQL_AUDITING_CLIENT_TEMPLATE.FAT&amp;display_string=Audit&amp;VAR:KEY=VOHWBANSRA&amp;VAR:QUERY=RkZfRUJJVERBX0lCKCdMVE1TJywzODQzMik=&amp;WINDOW=FIRST_POPUP&amp;HEIGHT=450&amp;WIDTH=450&amp;START_MA","XIMIZED=FALSE&amp;VAR:CALENDAR=US&amp;VAR:SYMBOL=05614P10&amp;VAR:INDEX=0"}</definedName>
    <definedName name="_3626__FDSAUDITLINK__" localSheetId="6" hidden="1">{"fdsup://directions/FAT Viewer?action=UPDATE&amp;creator=factset&amp;DYN_ARGS=TRUE&amp;DOC_NAME=FAT:FQL_AUDITING_CLIENT_TEMPLATE.FAT&amp;display_string=Audit&amp;VAR:KEY=NMBUBIJMBS&amp;VAR:QUERY=RkZfRUJJVERBX0lCKCdMVE1TJywzODQzMSk=&amp;WINDOW=FIRST_POPUP&amp;HEIGHT=450&amp;WIDTH=450&amp;START_MA","XIMIZED=FALSE&amp;VAR:CALENDAR=US&amp;VAR:SYMBOL=05614P10&amp;VAR:INDEX=0"}</definedName>
    <definedName name="_3626__FDSAUDITLINK__" hidden="1">{"fdsup://directions/FAT Viewer?action=UPDATE&amp;creator=factset&amp;DYN_ARGS=TRUE&amp;DOC_NAME=FAT:FQL_AUDITING_CLIENT_TEMPLATE.FAT&amp;display_string=Audit&amp;VAR:KEY=NMBUBIJMBS&amp;VAR:QUERY=RkZfRUJJVERBX0lCKCdMVE1TJywzODQzMSk=&amp;WINDOW=FIRST_POPUP&amp;HEIGHT=450&amp;WIDTH=450&amp;START_MA","XIMIZED=FALSE&amp;VAR:CALENDAR=US&amp;VAR:SYMBOL=05614P10&amp;VAR:INDEX=0"}</definedName>
    <definedName name="_3627__FDSAUDITLINK__" localSheetId="6" hidden="1">{"fdsup://directions/FAT Viewer?action=UPDATE&amp;creator=factset&amp;DYN_ARGS=TRUE&amp;DOC_NAME=FAT:FQL_AUDITING_CLIENT_TEMPLATE.FAT&amp;display_string=Audit&amp;VAR:KEY=FCRCFGZWVY&amp;VAR:QUERY=RkZfRUJJVERBX0lCKCdMVE1TJywzODQzMCk=&amp;WINDOW=FIRST_POPUP&amp;HEIGHT=450&amp;WIDTH=450&amp;START_MA","XIMIZED=FALSE&amp;VAR:CALENDAR=US&amp;VAR:SYMBOL=05614P10&amp;VAR:INDEX=0"}</definedName>
    <definedName name="_3627__FDSAUDITLINK__" hidden="1">{"fdsup://directions/FAT Viewer?action=UPDATE&amp;creator=factset&amp;DYN_ARGS=TRUE&amp;DOC_NAME=FAT:FQL_AUDITING_CLIENT_TEMPLATE.FAT&amp;display_string=Audit&amp;VAR:KEY=FCRCFGZWVY&amp;VAR:QUERY=RkZfRUJJVERBX0lCKCdMVE1TJywzODQzMCk=&amp;WINDOW=FIRST_POPUP&amp;HEIGHT=450&amp;WIDTH=450&amp;START_MA","XIMIZED=FALSE&amp;VAR:CALENDAR=US&amp;VAR:SYMBOL=05614P10&amp;VAR:INDEX=0"}</definedName>
    <definedName name="_3628__FDSAUDITLINK__" localSheetId="6" hidden="1">{"fdsup://directions/FAT Viewer?action=UPDATE&amp;creator=factset&amp;DYN_ARGS=TRUE&amp;DOC_NAME=FAT:FQL_AUDITING_CLIENT_TEMPLATE.FAT&amp;display_string=Audit&amp;VAR:KEY=TYLABCJKVC&amp;VAR:QUERY=RkZfRUJJVERBX0lCKCdMVE1TJywzODQyOSk=&amp;WINDOW=FIRST_POPUP&amp;HEIGHT=450&amp;WIDTH=450&amp;START_MA","XIMIZED=FALSE&amp;VAR:CALENDAR=US&amp;VAR:SYMBOL=05614P10&amp;VAR:INDEX=0"}</definedName>
    <definedName name="_3628__FDSAUDITLINK__" hidden="1">{"fdsup://directions/FAT Viewer?action=UPDATE&amp;creator=factset&amp;DYN_ARGS=TRUE&amp;DOC_NAME=FAT:FQL_AUDITING_CLIENT_TEMPLATE.FAT&amp;display_string=Audit&amp;VAR:KEY=TYLABCJKVC&amp;VAR:QUERY=RkZfRUJJVERBX0lCKCdMVE1TJywzODQyOSk=&amp;WINDOW=FIRST_POPUP&amp;HEIGHT=450&amp;WIDTH=450&amp;START_MA","XIMIZED=FALSE&amp;VAR:CALENDAR=US&amp;VAR:SYMBOL=05614P10&amp;VAR:INDEX=0"}</definedName>
    <definedName name="_3629__FDSAUDITLINK__" localSheetId="6" hidden="1">{"fdsup://directions/FAT Viewer?action=UPDATE&amp;creator=factset&amp;DYN_ARGS=TRUE&amp;DOC_NAME=FAT:FQL_AUDITING_CLIENT_TEMPLATE.FAT&amp;display_string=Audit&amp;VAR:KEY=RMTCLSZUTC&amp;VAR:QUERY=RkZfRUJJVERBX0lCKCdMVE1TJywzODQyOCk=&amp;WINDOW=FIRST_POPUP&amp;HEIGHT=450&amp;WIDTH=450&amp;START_MA","XIMIZED=FALSE&amp;VAR:CALENDAR=US&amp;VAR:SYMBOL=05614P10&amp;VAR:INDEX=0"}</definedName>
    <definedName name="_3629__FDSAUDITLINK__" hidden="1">{"fdsup://directions/FAT Viewer?action=UPDATE&amp;creator=factset&amp;DYN_ARGS=TRUE&amp;DOC_NAME=FAT:FQL_AUDITING_CLIENT_TEMPLATE.FAT&amp;display_string=Audit&amp;VAR:KEY=RMTCLSZUTC&amp;VAR:QUERY=RkZfRUJJVERBX0lCKCdMVE1TJywzODQyOCk=&amp;WINDOW=FIRST_POPUP&amp;HEIGHT=450&amp;WIDTH=450&amp;START_MA","XIMIZED=FALSE&amp;VAR:CALENDAR=US&amp;VAR:SYMBOL=05614P10&amp;VAR:INDEX=0"}</definedName>
    <definedName name="_363__FDSAUDITLINK__" localSheetId="6" hidden="1">{"fdsup://directions/FAT%20Viewer?VAR:PED=LTM&amp;VAR:AUDIT_MODE=SUMMARY&amp;VAR:PERIOD=FIXED&amp;VAR:AUDIT_ID=00000117&amp;VAR:DATE=20090223&amp;action=UPDATE&amp;creator=factset&amp;DOC_NAME=FAT:FMA_audit_SUMMARY.fat&amp;DISPLAY_STRING=Display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3__FDSAUDITLINK__" hidden="1">{"fdsup://directions/FAT%20Viewer?VAR:PED=LTM&amp;VAR:AUDIT_MODE=SUMMARY&amp;VAR:PERIOD=FIXED&amp;VAR:AUDIT_ID=00000117&amp;VAR:DATE=20090223&amp;action=UPDATE&amp;creator=factset&amp;DOC_NAME=FAT:FMA_audit_SUMMARY.fat&amp;DISPLAY_STRING=Display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30__FDSAUDITLINK__" localSheetId="6" hidden="1">{"fdsup://directions/FAT Viewer?action=UPDATE&amp;creator=factset&amp;DYN_ARGS=TRUE&amp;DOC_NAME=FAT:FQL_AUDITING_CLIENT_TEMPLATE.FAT&amp;display_string=Audit&amp;VAR:KEY=RKFKRQTEJI&amp;VAR:QUERY=RkZfRUJJVERBX0lCKCdMVE1TJywzODQyNyk=&amp;WINDOW=FIRST_POPUP&amp;HEIGHT=450&amp;WIDTH=450&amp;START_MA","XIMIZED=FALSE&amp;VAR:CALENDAR=US&amp;VAR:SYMBOL=05614P10&amp;VAR:INDEX=0"}</definedName>
    <definedName name="_3630__FDSAUDITLINK__" hidden="1">{"fdsup://directions/FAT Viewer?action=UPDATE&amp;creator=factset&amp;DYN_ARGS=TRUE&amp;DOC_NAME=FAT:FQL_AUDITING_CLIENT_TEMPLATE.FAT&amp;display_string=Audit&amp;VAR:KEY=RKFKRQTEJI&amp;VAR:QUERY=RkZfRUJJVERBX0lCKCdMVE1TJywzODQyNyk=&amp;WINDOW=FIRST_POPUP&amp;HEIGHT=450&amp;WIDTH=450&amp;START_MA","XIMIZED=FALSE&amp;VAR:CALENDAR=US&amp;VAR:SYMBOL=05614P10&amp;VAR:INDEX=0"}</definedName>
    <definedName name="_3631__FDSAUDITLINK__" localSheetId="6" hidden="1">{"fdsup://directions/FAT Viewer?action=UPDATE&amp;creator=factset&amp;DYN_ARGS=TRUE&amp;DOC_NAME=FAT:FQL_AUDITING_CLIENT_TEMPLATE.FAT&amp;display_string=Audit&amp;VAR:KEY=FIXCVWLCZY&amp;VAR:QUERY=RkZfRUJJVERBX0lCKCdMVE1TJywzODQyNik=&amp;WINDOW=FIRST_POPUP&amp;HEIGHT=450&amp;WIDTH=450&amp;START_MA","XIMIZED=FALSE&amp;VAR:CALENDAR=US&amp;VAR:SYMBOL=05614P10&amp;VAR:INDEX=0"}</definedName>
    <definedName name="_3631__FDSAUDITLINK__" hidden="1">{"fdsup://directions/FAT Viewer?action=UPDATE&amp;creator=factset&amp;DYN_ARGS=TRUE&amp;DOC_NAME=FAT:FQL_AUDITING_CLIENT_TEMPLATE.FAT&amp;display_string=Audit&amp;VAR:KEY=FIXCVWLCZY&amp;VAR:QUERY=RkZfRUJJVERBX0lCKCdMVE1TJywzODQyNik=&amp;WINDOW=FIRST_POPUP&amp;HEIGHT=450&amp;WIDTH=450&amp;START_MA","XIMIZED=FALSE&amp;VAR:CALENDAR=US&amp;VAR:SYMBOL=05614P10&amp;VAR:INDEX=0"}</definedName>
    <definedName name="_3632__FDSAUDITLINK__" localSheetId="6" hidden="1">{"fdsup://directions/FAT Viewer?action=UPDATE&amp;creator=factset&amp;DYN_ARGS=TRUE&amp;DOC_NAME=FAT:FQL_AUDITING_CLIENT_TEMPLATE.FAT&amp;display_string=Audit&amp;VAR:KEY=RUXQNGVERI&amp;VAR:QUERY=RkZfRUJJVERBX0lCKCdMVE1TJywzODQyNSk=&amp;WINDOW=FIRST_POPUP&amp;HEIGHT=450&amp;WIDTH=450&amp;START_MA","XIMIZED=FALSE&amp;VAR:CALENDAR=US&amp;VAR:SYMBOL=05614P10&amp;VAR:INDEX=0"}</definedName>
    <definedName name="_3632__FDSAUDITLINK__" hidden="1">{"fdsup://directions/FAT Viewer?action=UPDATE&amp;creator=factset&amp;DYN_ARGS=TRUE&amp;DOC_NAME=FAT:FQL_AUDITING_CLIENT_TEMPLATE.FAT&amp;display_string=Audit&amp;VAR:KEY=RUXQNGVERI&amp;VAR:QUERY=RkZfRUJJVERBX0lCKCdMVE1TJywzODQyNSk=&amp;WINDOW=FIRST_POPUP&amp;HEIGHT=450&amp;WIDTH=450&amp;START_MA","XIMIZED=FALSE&amp;VAR:CALENDAR=US&amp;VAR:SYMBOL=05614P10&amp;VAR:INDEX=0"}</definedName>
    <definedName name="_3633__FDSAUDITLINK__" localSheetId="6" hidden="1">{"fdsup://directions/FAT Viewer?action=UPDATE&amp;creator=factset&amp;DYN_ARGS=TRUE&amp;DOC_NAME=FAT:FQL_AUDITING_CLIENT_TEMPLATE.FAT&amp;display_string=Audit&amp;VAR:KEY=FSBQFADCRS&amp;VAR:QUERY=RkZfRUJJVERBX0lCKCdMVE1TJywzODQyNCk=&amp;WINDOW=FIRST_POPUP&amp;HEIGHT=450&amp;WIDTH=450&amp;START_MA","XIMIZED=FALSE&amp;VAR:CALENDAR=US&amp;VAR:SYMBOL=05614P10&amp;VAR:INDEX=0"}</definedName>
    <definedName name="_3633__FDSAUDITLINK__" hidden="1">{"fdsup://directions/FAT Viewer?action=UPDATE&amp;creator=factset&amp;DYN_ARGS=TRUE&amp;DOC_NAME=FAT:FQL_AUDITING_CLIENT_TEMPLATE.FAT&amp;display_string=Audit&amp;VAR:KEY=FSBQFADCRS&amp;VAR:QUERY=RkZfRUJJVERBX0lCKCdMVE1TJywzODQyNCk=&amp;WINDOW=FIRST_POPUP&amp;HEIGHT=450&amp;WIDTH=450&amp;START_MA","XIMIZED=FALSE&amp;VAR:CALENDAR=US&amp;VAR:SYMBOL=05614P10&amp;VAR:INDEX=0"}</definedName>
    <definedName name="_3634__FDSAUDITLINK__" localSheetId="6" hidden="1">{"fdsup://directions/FAT Viewer?action=UPDATE&amp;creator=factset&amp;DYN_ARGS=TRUE&amp;DOC_NAME=FAT:FQL_AUDITING_CLIENT_TEMPLATE.FAT&amp;display_string=Audit&amp;VAR:KEY=BOPUVMRUBG&amp;VAR:QUERY=RkZfRUJJVERBX0lCKCdMVE1TJywzODQyMyk=&amp;WINDOW=FIRST_POPUP&amp;HEIGHT=450&amp;WIDTH=450&amp;START_MA","XIMIZED=FALSE&amp;VAR:CALENDAR=US&amp;VAR:SYMBOL=05614P10&amp;VAR:INDEX=0"}</definedName>
    <definedName name="_3634__FDSAUDITLINK__" hidden="1">{"fdsup://directions/FAT Viewer?action=UPDATE&amp;creator=factset&amp;DYN_ARGS=TRUE&amp;DOC_NAME=FAT:FQL_AUDITING_CLIENT_TEMPLATE.FAT&amp;display_string=Audit&amp;VAR:KEY=BOPUVMRUBG&amp;VAR:QUERY=RkZfRUJJVERBX0lCKCdMVE1TJywzODQyMyk=&amp;WINDOW=FIRST_POPUP&amp;HEIGHT=450&amp;WIDTH=450&amp;START_MA","XIMIZED=FALSE&amp;VAR:CALENDAR=US&amp;VAR:SYMBOL=05614P10&amp;VAR:INDEX=0"}</definedName>
    <definedName name="_3635__FDSAUDITLINK__" localSheetId="6" hidden="1">{"fdsup://directions/FAT Viewer?action=UPDATE&amp;creator=factset&amp;DYN_ARGS=TRUE&amp;DOC_NAME=FAT:FQL_AUDITING_CLIENT_TEMPLATE.FAT&amp;display_string=Audit&amp;VAR:KEY=PARWVGPOZC&amp;VAR:QUERY=RkZfRUJJVERBX0lCKCdMVE1TJywzODQyMik=&amp;WINDOW=FIRST_POPUP&amp;HEIGHT=450&amp;WIDTH=450&amp;START_MA","XIMIZED=FALSE&amp;VAR:CALENDAR=US&amp;VAR:SYMBOL=05614P10&amp;VAR:INDEX=0"}</definedName>
    <definedName name="_3635__FDSAUDITLINK__" hidden="1">{"fdsup://directions/FAT Viewer?action=UPDATE&amp;creator=factset&amp;DYN_ARGS=TRUE&amp;DOC_NAME=FAT:FQL_AUDITING_CLIENT_TEMPLATE.FAT&amp;display_string=Audit&amp;VAR:KEY=PARWVGPOZC&amp;VAR:QUERY=RkZfRUJJVERBX0lCKCdMVE1TJywzODQyMik=&amp;WINDOW=FIRST_POPUP&amp;HEIGHT=450&amp;WIDTH=450&amp;START_MA","XIMIZED=FALSE&amp;VAR:CALENDAR=US&amp;VAR:SYMBOL=05614P10&amp;VAR:INDEX=0"}</definedName>
    <definedName name="_3636__FDSAUDITLINK__" localSheetId="6" hidden="1">{"fdsup://directions/FAT Viewer?action=UPDATE&amp;creator=factset&amp;DYN_ARGS=TRUE&amp;DOC_NAME=FAT:FQL_AUDITING_CLIENT_TEMPLATE.FAT&amp;display_string=Audit&amp;VAR:KEY=FURINMFSNU&amp;VAR:QUERY=RkZfRUJJVERBX0lCKCdMVE1TJywzODQyMSk=&amp;WINDOW=FIRST_POPUP&amp;HEIGHT=450&amp;WIDTH=450&amp;START_MA","XIMIZED=FALSE&amp;VAR:CALENDAR=US&amp;VAR:SYMBOL=05614P10&amp;VAR:INDEX=0"}</definedName>
    <definedName name="_3636__FDSAUDITLINK__" hidden="1">{"fdsup://directions/FAT Viewer?action=UPDATE&amp;creator=factset&amp;DYN_ARGS=TRUE&amp;DOC_NAME=FAT:FQL_AUDITING_CLIENT_TEMPLATE.FAT&amp;display_string=Audit&amp;VAR:KEY=FURINMFSNU&amp;VAR:QUERY=RkZfRUJJVERBX0lCKCdMVE1TJywzODQyMSk=&amp;WINDOW=FIRST_POPUP&amp;HEIGHT=450&amp;WIDTH=450&amp;START_MA","XIMIZED=FALSE&amp;VAR:CALENDAR=US&amp;VAR:SYMBOL=05614P10&amp;VAR:INDEX=0"}</definedName>
    <definedName name="_3637__FDSAUDITLINK__" localSheetId="6" hidden="1">{"fdsup://directions/FAT Viewer?action=UPDATE&amp;creator=factset&amp;DYN_ARGS=TRUE&amp;DOC_NAME=FAT:FQL_AUDITING_CLIENT_TEMPLATE.FAT&amp;display_string=Audit&amp;VAR:KEY=LYVWNUBIVS&amp;VAR:QUERY=RkZfRUJJVERBX0lCKCdMVE1TJywzODQyMCk=&amp;WINDOW=FIRST_POPUP&amp;HEIGHT=450&amp;WIDTH=450&amp;START_MA","XIMIZED=FALSE&amp;VAR:CALENDAR=US&amp;VAR:SYMBOL=05614P10&amp;VAR:INDEX=0"}</definedName>
    <definedName name="_3637__FDSAUDITLINK__" hidden="1">{"fdsup://directions/FAT Viewer?action=UPDATE&amp;creator=factset&amp;DYN_ARGS=TRUE&amp;DOC_NAME=FAT:FQL_AUDITING_CLIENT_TEMPLATE.FAT&amp;display_string=Audit&amp;VAR:KEY=LYVWNUBIVS&amp;VAR:QUERY=RkZfRUJJVERBX0lCKCdMVE1TJywzODQyMCk=&amp;WINDOW=FIRST_POPUP&amp;HEIGHT=450&amp;WIDTH=450&amp;START_MA","XIMIZED=FALSE&amp;VAR:CALENDAR=US&amp;VAR:SYMBOL=05614P10&amp;VAR:INDEX=0"}</definedName>
    <definedName name="_3638__FDSAUDITLINK__" localSheetId="6" hidden="1">{"fdsup://directions/FAT Viewer?action=UPDATE&amp;creator=factset&amp;DYN_ARGS=TRUE&amp;DOC_NAME=FAT:FQL_AUDITING_CLIENT_TEMPLATE.FAT&amp;display_string=Audit&amp;VAR:KEY=TEVOLURKLQ&amp;VAR:QUERY=RkZfRUJJVERBX0lCKCdMVE1TJywzODQxOSk=&amp;WINDOW=FIRST_POPUP&amp;HEIGHT=450&amp;WIDTH=450&amp;START_MA","XIMIZED=FALSE&amp;VAR:CALENDAR=US&amp;VAR:SYMBOL=05614P10&amp;VAR:INDEX=0"}</definedName>
    <definedName name="_3638__FDSAUDITLINK__" hidden="1">{"fdsup://directions/FAT Viewer?action=UPDATE&amp;creator=factset&amp;DYN_ARGS=TRUE&amp;DOC_NAME=FAT:FQL_AUDITING_CLIENT_TEMPLATE.FAT&amp;display_string=Audit&amp;VAR:KEY=TEVOLURKLQ&amp;VAR:QUERY=RkZfRUJJVERBX0lCKCdMVE1TJywzODQxOSk=&amp;WINDOW=FIRST_POPUP&amp;HEIGHT=450&amp;WIDTH=450&amp;START_MA","XIMIZED=FALSE&amp;VAR:CALENDAR=US&amp;VAR:SYMBOL=05614P10&amp;VAR:INDEX=0"}</definedName>
    <definedName name="_3639__FDSAUDITLINK__" localSheetId="6" hidden="1">{"fdsup://directions/FAT Viewer?action=UPDATE&amp;creator=factset&amp;DYN_ARGS=TRUE&amp;DOC_NAME=FAT:FQL_AUDITING_CLIENT_TEMPLATE.FAT&amp;display_string=Audit&amp;VAR:KEY=FKPCFIPAXM&amp;VAR:QUERY=RkZfRUJJVERBX0lCKCdMVE1TJywzODQxOCk=&amp;WINDOW=FIRST_POPUP&amp;HEIGHT=450&amp;WIDTH=450&amp;START_MA","XIMIZED=FALSE&amp;VAR:CALENDAR=US&amp;VAR:SYMBOL=05614P10&amp;VAR:INDEX=0"}</definedName>
    <definedName name="_3639__FDSAUDITLINK__" hidden="1">{"fdsup://directions/FAT Viewer?action=UPDATE&amp;creator=factset&amp;DYN_ARGS=TRUE&amp;DOC_NAME=FAT:FQL_AUDITING_CLIENT_TEMPLATE.FAT&amp;display_string=Audit&amp;VAR:KEY=FKPCFIPAXM&amp;VAR:QUERY=RkZfRUJJVERBX0lCKCdMVE1TJywzODQxOCk=&amp;WINDOW=FIRST_POPUP&amp;HEIGHT=450&amp;WIDTH=450&amp;START_MA","XIMIZED=FALSE&amp;VAR:CALENDAR=US&amp;VAR:SYMBOL=05614P10&amp;VAR:INDEX=0"}</definedName>
    <definedName name="_364__FDSAUDITLINK__" localSheetId="6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4__FDSAUDITLINK__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40__FDSAUDITLINK__" localSheetId="6" hidden="1">{"fdsup://directions/FAT Viewer?action=UPDATE&amp;creator=factset&amp;DYN_ARGS=TRUE&amp;DOC_NAME=FAT:FQL_AUDITING_CLIENT_TEMPLATE.FAT&amp;display_string=Audit&amp;VAR:KEY=FYDUJGTQPG&amp;VAR:QUERY=RkZfRUJJVERBX0lCKCdMVE1TJywzODQxNyk=&amp;WINDOW=FIRST_POPUP&amp;HEIGHT=450&amp;WIDTH=450&amp;START_MA","XIMIZED=FALSE&amp;VAR:CALENDAR=US&amp;VAR:SYMBOL=05614P10&amp;VAR:INDEX=0"}</definedName>
    <definedName name="_3640__FDSAUDITLINK__" hidden="1">{"fdsup://directions/FAT Viewer?action=UPDATE&amp;creator=factset&amp;DYN_ARGS=TRUE&amp;DOC_NAME=FAT:FQL_AUDITING_CLIENT_TEMPLATE.FAT&amp;display_string=Audit&amp;VAR:KEY=FYDUJGTQPG&amp;VAR:QUERY=RkZfRUJJVERBX0lCKCdMVE1TJywzODQxNyk=&amp;WINDOW=FIRST_POPUP&amp;HEIGHT=450&amp;WIDTH=450&amp;START_MA","XIMIZED=FALSE&amp;VAR:CALENDAR=US&amp;VAR:SYMBOL=05614P10&amp;VAR:INDEX=0"}</definedName>
    <definedName name="_3641__FDSAUDITLINK__" localSheetId="6" hidden="1">{"fdsup://directions/FAT Viewer?action=UPDATE&amp;creator=factset&amp;DYN_ARGS=TRUE&amp;DOC_NAME=FAT:FQL_AUDITING_CLIENT_TEMPLATE.FAT&amp;display_string=Audit&amp;VAR:KEY=VWFOLWPYJK&amp;VAR:QUERY=RkZfRUJJVERBX0lCKCdMVE1TJywzODQxNik=&amp;WINDOW=FIRST_POPUP&amp;HEIGHT=450&amp;WIDTH=450&amp;START_MA","XIMIZED=FALSE&amp;VAR:CALENDAR=US&amp;VAR:SYMBOL=05614P10&amp;VAR:INDEX=0"}</definedName>
    <definedName name="_3641__FDSAUDITLINK__" hidden="1">{"fdsup://directions/FAT Viewer?action=UPDATE&amp;creator=factset&amp;DYN_ARGS=TRUE&amp;DOC_NAME=FAT:FQL_AUDITING_CLIENT_TEMPLATE.FAT&amp;display_string=Audit&amp;VAR:KEY=VWFOLWPYJK&amp;VAR:QUERY=RkZfRUJJVERBX0lCKCdMVE1TJywzODQxNik=&amp;WINDOW=FIRST_POPUP&amp;HEIGHT=450&amp;WIDTH=450&amp;START_MA","XIMIZED=FALSE&amp;VAR:CALENDAR=US&amp;VAR:SYMBOL=05614P10&amp;VAR:INDEX=0"}</definedName>
    <definedName name="_3642__FDSAUDITLINK__" localSheetId="6" hidden="1">{"fdsup://directions/FAT Viewer?action=UPDATE&amp;creator=factset&amp;DYN_ARGS=TRUE&amp;DOC_NAME=FAT:FQL_AUDITING_CLIENT_TEMPLATE.FAT&amp;display_string=Audit&amp;VAR:KEY=HUTSDSBALA&amp;VAR:QUERY=RkZfRUJJVERBX0lCKCdMVE1TJywzODQxNSk=&amp;WINDOW=FIRST_POPUP&amp;HEIGHT=450&amp;WIDTH=450&amp;START_MA","XIMIZED=FALSE&amp;VAR:CALENDAR=US&amp;VAR:SYMBOL=05614P10&amp;VAR:INDEX=0"}</definedName>
    <definedName name="_3642__FDSAUDITLINK__" hidden="1">{"fdsup://directions/FAT Viewer?action=UPDATE&amp;creator=factset&amp;DYN_ARGS=TRUE&amp;DOC_NAME=FAT:FQL_AUDITING_CLIENT_TEMPLATE.FAT&amp;display_string=Audit&amp;VAR:KEY=HUTSDSBALA&amp;VAR:QUERY=RkZfRUJJVERBX0lCKCdMVE1TJywzODQxNSk=&amp;WINDOW=FIRST_POPUP&amp;HEIGHT=450&amp;WIDTH=450&amp;START_MA","XIMIZED=FALSE&amp;VAR:CALENDAR=US&amp;VAR:SYMBOL=05614P10&amp;VAR:INDEX=0"}</definedName>
    <definedName name="_3643__FDSAUDITLINK__" localSheetId="6" hidden="1">{"fdsup://directions/FAT Viewer?action=UPDATE&amp;creator=factset&amp;DYN_ARGS=TRUE&amp;DOC_NAME=FAT:FQL_AUDITING_CLIENT_TEMPLATE.FAT&amp;display_string=Audit&amp;VAR:KEY=LSPYJWPWFK&amp;VAR:QUERY=RkZfRUJJVERBX0lCKCdMVE1TJywzODQxNCk=&amp;WINDOW=FIRST_POPUP&amp;HEIGHT=450&amp;WIDTH=450&amp;START_MA","XIMIZED=FALSE&amp;VAR:CALENDAR=US&amp;VAR:SYMBOL=05614P10&amp;VAR:INDEX=0"}</definedName>
    <definedName name="_3643__FDSAUDITLINK__" hidden="1">{"fdsup://directions/FAT Viewer?action=UPDATE&amp;creator=factset&amp;DYN_ARGS=TRUE&amp;DOC_NAME=FAT:FQL_AUDITING_CLIENT_TEMPLATE.FAT&amp;display_string=Audit&amp;VAR:KEY=LSPYJWPWFK&amp;VAR:QUERY=RkZfRUJJVERBX0lCKCdMVE1TJywzODQxNCk=&amp;WINDOW=FIRST_POPUP&amp;HEIGHT=450&amp;WIDTH=450&amp;START_MA","XIMIZED=FALSE&amp;VAR:CALENDAR=US&amp;VAR:SYMBOL=05614P10&amp;VAR:INDEX=0"}</definedName>
    <definedName name="_3644__FDSAUDITLINK__" localSheetId="6" hidden="1">{"fdsup://directions/FAT Viewer?action=UPDATE&amp;creator=factset&amp;DYN_ARGS=TRUE&amp;DOC_NAME=FAT:FQL_AUDITING_CLIENT_TEMPLATE.FAT&amp;display_string=Audit&amp;VAR:KEY=VULOLGXOPM&amp;VAR:QUERY=RkZfRUJJVERBX0lCKCdMVE1TJywzODQxMyk=&amp;WINDOW=FIRST_POPUP&amp;HEIGHT=450&amp;WIDTH=450&amp;START_MA","XIMIZED=FALSE&amp;VAR:CALENDAR=US&amp;VAR:SYMBOL=05614P10&amp;VAR:INDEX=0"}</definedName>
    <definedName name="_3644__FDSAUDITLINK__" hidden="1">{"fdsup://directions/FAT Viewer?action=UPDATE&amp;creator=factset&amp;DYN_ARGS=TRUE&amp;DOC_NAME=FAT:FQL_AUDITING_CLIENT_TEMPLATE.FAT&amp;display_string=Audit&amp;VAR:KEY=VULOLGXOPM&amp;VAR:QUERY=RkZfRUJJVERBX0lCKCdMVE1TJywzODQxMyk=&amp;WINDOW=FIRST_POPUP&amp;HEIGHT=450&amp;WIDTH=450&amp;START_MA","XIMIZED=FALSE&amp;VAR:CALENDAR=US&amp;VAR:SYMBOL=05614P10&amp;VAR:INDEX=0"}</definedName>
    <definedName name="_3645__FDSAUDITLINK__" localSheetId="6" hidden="1">{"fdsup://directions/FAT Viewer?action=UPDATE&amp;creator=factset&amp;DYN_ARGS=TRUE&amp;DOC_NAME=FAT:FQL_AUDITING_CLIENT_TEMPLATE.FAT&amp;display_string=Audit&amp;VAR:KEY=VMNEFGXSLS&amp;VAR:QUERY=RkZfRUJJVERBX0lCKCdMVE1TJywzODQxMik=&amp;WINDOW=FIRST_POPUP&amp;HEIGHT=450&amp;WIDTH=450&amp;START_MA","XIMIZED=FALSE&amp;VAR:CALENDAR=US&amp;VAR:SYMBOL=05614P10&amp;VAR:INDEX=0"}</definedName>
    <definedName name="_3645__FDSAUDITLINK__" hidden="1">{"fdsup://directions/FAT Viewer?action=UPDATE&amp;creator=factset&amp;DYN_ARGS=TRUE&amp;DOC_NAME=FAT:FQL_AUDITING_CLIENT_TEMPLATE.FAT&amp;display_string=Audit&amp;VAR:KEY=VMNEFGXSLS&amp;VAR:QUERY=RkZfRUJJVERBX0lCKCdMVE1TJywzODQxMik=&amp;WINDOW=FIRST_POPUP&amp;HEIGHT=450&amp;WIDTH=450&amp;START_MA","XIMIZED=FALSE&amp;VAR:CALENDAR=US&amp;VAR:SYMBOL=05614P10&amp;VAR:INDEX=0"}</definedName>
    <definedName name="_3646__FDSAUDITLINK__" localSheetId="6" hidden="1">{"fdsup://directions/FAT Viewer?action=UPDATE&amp;creator=factset&amp;DYN_ARGS=TRUE&amp;DOC_NAME=FAT:FQL_AUDITING_CLIENT_TEMPLATE.FAT&amp;display_string=Audit&amp;VAR:KEY=TYXOXCDSPU&amp;VAR:QUERY=RkZfRUJJVERBX0lCKCdMVE1TJywzODQxMSk=&amp;WINDOW=FIRST_POPUP&amp;HEIGHT=450&amp;WIDTH=450&amp;START_MA","XIMIZED=FALSE&amp;VAR:CALENDAR=US&amp;VAR:SYMBOL=05614P10&amp;VAR:INDEX=0"}</definedName>
    <definedName name="_3646__FDSAUDITLINK__" hidden="1">{"fdsup://directions/FAT Viewer?action=UPDATE&amp;creator=factset&amp;DYN_ARGS=TRUE&amp;DOC_NAME=FAT:FQL_AUDITING_CLIENT_TEMPLATE.FAT&amp;display_string=Audit&amp;VAR:KEY=TYXOXCDSPU&amp;VAR:QUERY=RkZfRUJJVERBX0lCKCdMVE1TJywzODQxMSk=&amp;WINDOW=FIRST_POPUP&amp;HEIGHT=450&amp;WIDTH=450&amp;START_MA","XIMIZED=FALSE&amp;VAR:CALENDAR=US&amp;VAR:SYMBOL=05614P10&amp;VAR:INDEX=0"}</definedName>
    <definedName name="_3647__FDSAUDITLINK__" localSheetId="6" hidden="1">{"fdsup://directions/FAT Viewer?action=UPDATE&amp;creator=factset&amp;DYN_ARGS=TRUE&amp;DOC_NAME=FAT:FQL_AUDITING_CLIENT_TEMPLATE.FAT&amp;display_string=Audit&amp;VAR:KEY=RKHSLALAXQ&amp;VAR:QUERY=RkZfRUJJVERBX0lCKCdMVE1TJywzODQxMCk=&amp;WINDOW=FIRST_POPUP&amp;HEIGHT=450&amp;WIDTH=450&amp;START_MA","XIMIZED=FALSE&amp;VAR:CALENDAR=US&amp;VAR:SYMBOL=05614P10&amp;VAR:INDEX=0"}</definedName>
    <definedName name="_3647__FDSAUDITLINK__" hidden="1">{"fdsup://directions/FAT Viewer?action=UPDATE&amp;creator=factset&amp;DYN_ARGS=TRUE&amp;DOC_NAME=FAT:FQL_AUDITING_CLIENT_TEMPLATE.FAT&amp;display_string=Audit&amp;VAR:KEY=RKHSLALAXQ&amp;VAR:QUERY=RkZfRUJJVERBX0lCKCdMVE1TJywzODQxMCk=&amp;WINDOW=FIRST_POPUP&amp;HEIGHT=450&amp;WIDTH=450&amp;START_MA","XIMIZED=FALSE&amp;VAR:CALENDAR=US&amp;VAR:SYMBOL=05614P10&amp;VAR:INDEX=0"}</definedName>
    <definedName name="_3648__FDSAUDITLINK__" localSheetId="6" hidden="1">{"fdsup://directions/FAT Viewer?action=UPDATE&amp;creator=factset&amp;DYN_ARGS=TRUE&amp;DOC_NAME=FAT:FQL_AUDITING_CLIENT_TEMPLATE.FAT&amp;display_string=Audit&amp;VAR:KEY=RODSFQRCDC&amp;VAR:QUERY=RkZfRUJJVERBX0lCKCdMVE1TJywzODQwOSk=&amp;WINDOW=FIRST_POPUP&amp;HEIGHT=450&amp;WIDTH=450&amp;START_MA","XIMIZED=FALSE&amp;VAR:CALENDAR=US&amp;VAR:SYMBOL=05614P10&amp;VAR:INDEX=0"}</definedName>
    <definedName name="_3648__FDSAUDITLINK__" hidden="1">{"fdsup://directions/FAT Viewer?action=UPDATE&amp;creator=factset&amp;DYN_ARGS=TRUE&amp;DOC_NAME=FAT:FQL_AUDITING_CLIENT_TEMPLATE.FAT&amp;display_string=Audit&amp;VAR:KEY=RODSFQRCDC&amp;VAR:QUERY=RkZfRUJJVERBX0lCKCdMVE1TJywzODQwOSk=&amp;WINDOW=FIRST_POPUP&amp;HEIGHT=450&amp;WIDTH=450&amp;START_MA","XIMIZED=FALSE&amp;VAR:CALENDAR=US&amp;VAR:SYMBOL=05614P10&amp;VAR:INDEX=0"}</definedName>
    <definedName name="_3649__FDSAUDITLINK__" localSheetId="6" hidden="1">{"fdsup://directions/FAT Viewer?action=UPDATE&amp;creator=factset&amp;DYN_ARGS=TRUE&amp;DOC_NAME=FAT:FQL_AUDITING_CLIENT_TEMPLATE.FAT&amp;display_string=Audit&amp;VAR:KEY=JUTILMHAXO&amp;VAR:QUERY=RkZfRUJJVERBX0lCKCdMVE1TJywzODQwOCk=&amp;WINDOW=FIRST_POPUP&amp;HEIGHT=450&amp;WIDTH=450&amp;START_MA","XIMIZED=FALSE&amp;VAR:CALENDAR=US&amp;VAR:SYMBOL=05614P10&amp;VAR:INDEX=0"}</definedName>
    <definedName name="_3649__FDSAUDITLINK__" hidden="1">{"fdsup://directions/FAT Viewer?action=UPDATE&amp;creator=factset&amp;DYN_ARGS=TRUE&amp;DOC_NAME=FAT:FQL_AUDITING_CLIENT_TEMPLATE.FAT&amp;display_string=Audit&amp;VAR:KEY=JUTILMHAXO&amp;VAR:QUERY=RkZfRUJJVERBX0lCKCdMVE1TJywzODQwOCk=&amp;WINDOW=FIRST_POPUP&amp;HEIGHT=450&amp;WIDTH=450&amp;START_MA","XIMIZED=FALSE&amp;VAR:CALENDAR=US&amp;VAR:SYMBOL=05614P10&amp;VAR:INDEX=0"}</definedName>
    <definedName name="_365__FDSAUDITLINK__" localSheetId="6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5__FDSAUDITLINK__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50__FDSAUDITLINK__" localSheetId="6" hidden="1">{"fdsup://directions/FAT Viewer?action=UPDATE&amp;creator=factset&amp;DYN_ARGS=TRUE&amp;DOC_NAME=FAT:FQL_AUDITING_CLIENT_TEMPLATE.FAT&amp;display_string=Audit&amp;VAR:KEY=XMDITOFGBK&amp;VAR:QUERY=RkZfRUJJVERBX0lCKCdMVE1TJywzODQwNyk=&amp;WINDOW=FIRST_POPUP&amp;HEIGHT=450&amp;WIDTH=450&amp;START_MA","XIMIZED=FALSE&amp;VAR:CALENDAR=US&amp;VAR:SYMBOL=05614P10&amp;VAR:INDEX=0"}</definedName>
    <definedName name="_3650__FDSAUDITLINK__" hidden="1">{"fdsup://directions/FAT Viewer?action=UPDATE&amp;creator=factset&amp;DYN_ARGS=TRUE&amp;DOC_NAME=FAT:FQL_AUDITING_CLIENT_TEMPLATE.FAT&amp;display_string=Audit&amp;VAR:KEY=XMDITOFGBK&amp;VAR:QUERY=RkZfRUJJVERBX0lCKCdMVE1TJywzODQwNyk=&amp;WINDOW=FIRST_POPUP&amp;HEIGHT=450&amp;WIDTH=450&amp;START_MA","XIMIZED=FALSE&amp;VAR:CALENDAR=US&amp;VAR:SYMBOL=05614P10&amp;VAR:INDEX=0"}</definedName>
    <definedName name="_3651__FDSAUDITLINK__" localSheetId="6" hidden="1">{"fdsup://directions/FAT Viewer?action=UPDATE&amp;creator=factset&amp;DYN_ARGS=TRUE&amp;DOC_NAME=FAT:FQL_AUDITING_CLIENT_TEMPLATE.FAT&amp;display_string=Audit&amp;VAR:KEY=VKXUXEVITQ&amp;VAR:QUERY=RkZfRUJJVERBX0lCKCdMVE1TJywzODQwNik=&amp;WINDOW=FIRST_POPUP&amp;HEIGHT=450&amp;WIDTH=450&amp;START_MA","XIMIZED=FALSE&amp;VAR:CALENDAR=US&amp;VAR:SYMBOL=05614P10&amp;VAR:INDEX=0"}</definedName>
    <definedName name="_3651__FDSAUDITLINK__" hidden="1">{"fdsup://directions/FAT Viewer?action=UPDATE&amp;creator=factset&amp;DYN_ARGS=TRUE&amp;DOC_NAME=FAT:FQL_AUDITING_CLIENT_TEMPLATE.FAT&amp;display_string=Audit&amp;VAR:KEY=VKXUXEVITQ&amp;VAR:QUERY=RkZfRUJJVERBX0lCKCdMVE1TJywzODQwNik=&amp;WINDOW=FIRST_POPUP&amp;HEIGHT=450&amp;WIDTH=450&amp;START_MA","XIMIZED=FALSE&amp;VAR:CALENDAR=US&amp;VAR:SYMBOL=05614P10&amp;VAR:INDEX=0"}</definedName>
    <definedName name="_3652__FDSAUDITLINK__" localSheetId="6" hidden="1">{"fdsup://directions/FAT Viewer?action=UPDATE&amp;creator=factset&amp;DYN_ARGS=TRUE&amp;DOC_NAME=FAT:FQL_AUDITING_CLIENT_TEMPLATE.FAT&amp;display_string=Audit&amp;VAR:KEY=DULKHQHQLQ&amp;VAR:QUERY=RkZfRUJJVERBX0lCKCdMVE1TJywzODQwNSk=&amp;WINDOW=FIRST_POPUP&amp;HEIGHT=450&amp;WIDTH=450&amp;START_MA","XIMIZED=FALSE&amp;VAR:CALENDAR=US&amp;VAR:SYMBOL=05614P10&amp;VAR:INDEX=0"}</definedName>
    <definedName name="_3652__FDSAUDITLINK__" hidden="1">{"fdsup://directions/FAT Viewer?action=UPDATE&amp;creator=factset&amp;DYN_ARGS=TRUE&amp;DOC_NAME=FAT:FQL_AUDITING_CLIENT_TEMPLATE.FAT&amp;display_string=Audit&amp;VAR:KEY=DULKHQHQLQ&amp;VAR:QUERY=RkZfRUJJVERBX0lCKCdMVE1TJywzODQwNSk=&amp;WINDOW=FIRST_POPUP&amp;HEIGHT=450&amp;WIDTH=450&amp;START_MA","XIMIZED=FALSE&amp;VAR:CALENDAR=US&amp;VAR:SYMBOL=05614P10&amp;VAR:INDEX=0"}</definedName>
    <definedName name="_3653__FDSAUDITLINK__" localSheetId="6" hidden="1">{"fdsup://directions/FAT Viewer?action=UPDATE&amp;creator=factset&amp;DYN_ARGS=TRUE&amp;DOC_NAME=FAT:FQL_AUDITING_CLIENT_TEMPLATE.FAT&amp;display_string=Audit&amp;VAR:KEY=ZQLIPOHUTU&amp;VAR:QUERY=RkZfRUJJVERBX0lCKCdMVE1TJywzODQwNCk=&amp;WINDOW=FIRST_POPUP&amp;HEIGHT=450&amp;WIDTH=450&amp;START_MA","XIMIZED=FALSE&amp;VAR:CALENDAR=US&amp;VAR:SYMBOL=05614P10&amp;VAR:INDEX=0"}</definedName>
    <definedName name="_3653__FDSAUDITLINK__" hidden="1">{"fdsup://directions/FAT Viewer?action=UPDATE&amp;creator=factset&amp;DYN_ARGS=TRUE&amp;DOC_NAME=FAT:FQL_AUDITING_CLIENT_TEMPLATE.FAT&amp;display_string=Audit&amp;VAR:KEY=ZQLIPOHUTU&amp;VAR:QUERY=RkZfRUJJVERBX0lCKCdMVE1TJywzODQwNCk=&amp;WINDOW=FIRST_POPUP&amp;HEIGHT=450&amp;WIDTH=450&amp;START_MA","XIMIZED=FALSE&amp;VAR:CALENDAR=US&amp;VAR:SYMBOL=05614P10&amp;VAR:INDEX=0"}</definedName>
    <definedName name="_3654__FDSAUDITLINK__" localSheetId="6" hidden="1">{"fdsup://directions/FAT Viewer?action=UPDATE&amp;creator=factset&amp;DYN_ARGS=TRUE&amp;DOC_NAME=FAT:FQL_AUDITING_CLIENT_TEMPLATE.FAT&amp;display_string=Audit&amp;VAR:KEY=RUZURAPMZM&amp;VAR:QUERY=RkZfRUJJVERBX0lCKCdMVE1TJywzODQwMyk=&amp;WINDOW=FIRST_POPUP&amp;HEIGHT=450&amp;WIDTH=450&amp;START_MA","XIMIZED=FALSE&amp;VAR:CALENDAR=US&amp;VAR:SYMBOL=05614P10&amp;VAR:INDEX=0"}</definedName>
    <definedName name="_3654__FDSAUDITLINK__" hidden="1">{"fdsup://directions/FAT Viewer?action=UPDATE&amp;creator=factset&amp;DYN_ARGS=TRUE&amp;DOC_NAME=FAT:FQL_AUDITING_CLIENT_TEMPLATE.FAT&amp;display_string=Audit&amp;VAR:KEY=RUZURAPMZM&amp;VAR:QUERY=RkZfRUJJVERBX0lCKCdMVE1TJywzODQwMyk=&amp;WINDOW=FIRST_POPUP&amp;HEIGHT=450&amp;WIDTH=450&amp;START_MA","XIMIZED=FALSE&amp;VAR:CALENDAR=US&amp;VAR:SYMBOL=05614P10&amp;VAR:INDEX=0"}</definedName>
    <definedName name="_3655__FDSAUDITLINK__" localSheetId="6" hidden="1">{"fdsup://directions/FAT Viewer?action=UPDATE&amp;creator=factset&amp;DYN_ARGS=TRUE&amp;DOC_NAME=FAT:FQL_AUDITING_CLIENT_TEMPLATE.FAT&amp;display_string=Audit&amp;VAR:KEY=ZGDOZKTCTC&amp;VAR:QUERY=RkZfRUJJVERBX0lCKCdMVE1TJywzODQwMik=&amp;WINDOW=FIRST_POPUP&amp;HEIGHT=450&amp;WIDTH=450&amp;START_MA","XIMIZED=FALSE&amp;VAR:CALENDAR=US&amp;VAR:SYMBOL=05614P10&amp;VAR:INDEX=0"}</definedName>
    <definedName name="_3655__FDSAUDITLINK__" hidden="1">{"fdsup://directions/FAT Viewer?action=UPDATE&amp;creator=factset&amp;DYN_ARGS=TRUE&amp;DOC_NAME=FAT:FQL_AUDITING_CLIENT_TEMPLATE.FAT&amp;display_string=Audit&amp;VAR:KEY=ZGDOZKTCTC&amp;VAR:QUERY=RkZfRUJJVERBX0lCKCdMVE1TJywzODQwMik=&amp;WINDOW=FIRST_POPUP&amp;HEIGHT=450&amp;WIDTH=450&amp;START_MA","XIMIZED=FALSE&amp;VAR:CALENDAR=US&amp;VAR:SYMBOL=05614P10&amp;VAR:INDEX=0"}</definedName>
    <definedName name="_3656__FDSAUDITLINK__" localSheetId="6" hidden="1">{"fdsup://directions/FAT Viewer?action=UPDATE&amp;creator=factset&amp;DYN_ARGS=TRUE&amp;DOC_NAME=FAT:FQL_AUDITING_CLIENT_TEMPLATE.FAT&amp;display_string=Audit&amp;VAR:KEY=XSLOHCLKJM&amp;VAR:QUERY=RkZfRUJJVERBX0lCKCdMVE1TJyw0MDIyOSk=&amp;WINDOW=FIRST_POPUP&amp;HEIGHT=450&amp;WIDTH=450&amp;START_MA","XIMIZED=FALSE&amp;VAR:CALENDAR=US&amp;VAR:SYMBOL=37183T10&amp;VAR:INDEX=0"}</definedName>
    <definedName name="_3656__FDSAUDITLINK__" hidden="1">{"fdsup://directions/FAT Viewer?action=UPDATE&amp;creator=factset&amp;DYN_ARGS=TRUE&amp;DOC_NAME=FAT:FQL_AUDITING_CLIENT_TEMPLATE.FAT&amp;display_string=Audit&amp;VAR:KEY=XSLOHCLKJM&amp;VAR:QUERY=RkZfRUJJVERBX0lCKCdMVE1TJyw0MDIyOSk=&amp;WINDOW=FIRST_POPUP&amp;HEIGHT=450&amp;WIDTH=450&amp;START_MA","XIMIZED=FALSE&amp;VAR:CALENDAR=US&amp;VAR:SYMBOL=37183T10&amp;VAR:INDEX=0"}</definedName>
    <definedName name="_3657__FDSAUDITLINK__" localSheetId="6" hidden="1">{"fdsup://directions/FAT Viewer?action=UPDATE&amp;creator=factset&amp;DYN_ARGS=TRUE&amp;DOC_NAME=FAT:FQL_AUDITING_CLIENT_TEMPLATE.FAT&amp;display_string=Audit&amp;VAR:KEY=FUHWREJEBE&amp;VAR:QUERY=RkZfRUJJVERBX0lCKCdMVE1TJyw0MDIyOCk=&amp;WINDOW=FIRST_POPUP&amp;HEIGHT=450&amp;WIDTH=450&amp;START_MA","XIMIZED=FALSE&amp;VAR:CALENDAR=US&amp;VAR:SYMBOL=37183T10&amp;VAR:INDEX=0"}</definedName>
    <definedName name="_3657__FDSAUDITLINK__" hidden="1">{"fdsup://directions/FAT Viewer?action=UPDATE&amp;creator=factset&amp;DYN_ARGS=TRUE&amp;DOC_NAME=FAT:FQL_AUDITING_CLIENT_TEMPLATE.FAT&amp;display_string=Audit&amp;VAR:KEY=FUHWREJEBE&amp;VAR:QUERY=RkZfRUJJVERBX0lCKCdMVE1TJyw0MDIyOCk=&amp;WINDOW=FIRST_POPUP&amp;HEIGHT=450&amp;WIDTH=450&amp;START_MA","XIMIZED=FALSE&amp;VAR:CALENDAR=US&amp;VAR:SYMBOL=37183T10&amp;VAR:INDEX=0"}</definedName>
    <definedName name="_3658__FDSAUDITLINK__" localSheetId="6" hidden="1">{"fdsup://directions/FAT Viewer?action=UPDATE&amp;creator=factset&amp;DYN_ARGS=TRUE&amp;DOC_NAME=FAT:FQL_AUDITING_CLIENT_TEMPLATE.FAT&amp;display_string=Audit&amp;VAR:KEY=XELCBOZEFU&amp;VAR:QUERY=RkZfRUJJVERBX0lCKCdMVE1TJyw0MDIyNyk=&amp;WINDOW=FIRST_POPUP&amp;HEIGHT=450&amp;WIDTH=450&amp;START_MA","XIMIZED=FALSE&amp;VAR:CALENDAR=US&amp;VAR:SYMBOL=37183T10&amp;VAR:INDEX=0"}</definedName>
    <definedName name="_3658__FDSAUDITLINK__" hidden="1">{"fdsup://directions/FAT Viewer?action=UPDATE&amp;creator=factset&amp;DYN_ARGS=TRUE&amp;DOC_NAME=FAT:FQL_AUDITING_CLIENT_TEMPLATE.FAT&amp;display_string=Audit&amp;VAR:KEY=XELCBOZEFU&amp;VAR:QUERY=RkZfRUJJVERBX0lCKCdMVE1TJyw0MDIyNyk=&amp;WINDOW=FIRST_POPUP&amp;HEIGHT=450&amp;WIDTH=450&amp;START_MA","XIMIZED=FALSE&amp;VAR:CALENDAR=US&amp;VAR:SYMBOL=37183T10&amp;VAR:INDEX=0"}</definedName>
    <definedName name="_3659__FDSAUDITLINK__" localSheetId="6" hidden="1">{"fdsup://directions/FAT Viewer?action=UPDATE&amp;creator=factset&amp;DYN_ARGS=TRUE&amp;DOC_NAME=FAT:FQL_AUDITING_CLIENT_TEMPLATE.FAT&amp;display_string=Audit&amp;VAR:KEY=ZEBMPCZSDO&amp;VAR:QUERY=RkZfRUJJVERBX0lCKCdMVE1TJyw0MDIyNik=&amp;WINDOW=FIRST_POPUP&amp;HEIGHT=450&amp;WIDTH=450&amp;START_MA","XIMIZED=FALSE&amp;VAR:CALENDAR=US&amp;VAR:SYMBOL=37183T10&amp;VAR:INDEX=0"}</definedName>
    <definedName name="_3659__FDSAUDITLINK__" hidden="1">{"fdsup://directions/FAT Viewer?action=UPDATE&amp;creator=factset&amp;DYN_ARGS=TRUE&amp;DOC_NAME=FAT:FQL_AUDITING_CLIENT_TEMPLATE.FAT&amp;display_string=Audit&amp;VAR:KEY=ZEBMPCZSDO&amp;VAR:QUERY=RkZfRUJJVERBX0lCKCdMVE1TJyw0MDIyNik=&amp;WINDOW=FIRST_POPUP&amp;HEIGHT=450&amp;WIDTH=450&amp;START_MA","XIMIZED=FALSE&amp;VAR:CALENDAR=US&amp;VAR:SYMBOL=37183T10&amp;VAR:INDEX=0"}</definedName>
    <definedName name="_366__FDSAUDITLINK__" localSheetId="6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6__FDSAUDITLINK__" hidden="1">{"fdsup://directions/FAT%20Viewer?VAR:PED=LTM&amp;VAR:AUDIT_MODE=SUMMARY&amp;VAR:PERIOD=FIXED&amp;VAR:AUDIT_ID=00000117&amp;VAR:DATE=20090220&amp;action=UPDATE&amp;creator=factset&amp;DOC_NAME=FAT:FMA_audit_SUMMARY.fat&amp;DISPLAY_STRING=Display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60__FDSAUDITLINK__" localSheetId="6" hidden="1">{"fdsup://directions/FAT Viewer?action=UPDATE&amp;creator=factset&amp;DYN_ARGS=TRUE&amp;DOC_NAME=FAT:FQL_AUDITING_CLIENT_TEMPLATE.FAT&amp;display_string=Audit&amp;VAR:KEY=DUZKJGREZA&amp;VAR:QUERY=RkZfRUJJVERBX0lCKCdMVE1TJyw0MDIyNSk=&amp;WINDOW=FIRST_POPUP&amp;HEIGHT=450&amp;WIDTH=450&amp;START_MA","XIMIZED=FALSE&amp;VAR:CALENDAR=US&amp;VAR:SYMBOL=37183T10&amp;VAR:INDEX=0"}</definedName>
    <definedName name="_3660__FDSAUDITLINK__" hidden="1">{"fdsup://directions/FAT Viewer?action=UPDATE&amp;creator=factset&amp;DYN_ARGS=TRUE&amp;DOC_NAME=FAT:FQL_AUDITING_CLIENT_TEMPLATE.FAT&amp;display_string=Audit&amp;VAR:KEY=DUZKJGREZA&amp;VAR:QUERY=RkZfRUJJVERBX0lCKCdMVE1TJyw0MDIyNSk=&amp;WINDOW=FIRST_POPUP&amp;HEIGHT=450&amp;WIDTH=450&amp;START_MA","XIMIZED=FALSE&amp;VAR:CALENDAR=US&amp;VAR:SYMBOL=37183T10&amp;VAR:INDEX=0"}</definedName>
    <definedName name="_3661__FDSAUDITLINK__" localSheetId="6" hidden="1">{"fdsup://directions/FAT Viewer?action=UPDATE&amp;creator=factset&amp;DYN_ARGS=TRUE&amp;DOC_NAME=FAT:FQL_AUDITING_CLIENT_TEMPLATE.FAT&amp;display_string=Audit&amp;VAR:KEY=NCZKBMVUBE&amp;VAR:QUERY=RkZfRUJJVERBX0lCKCdMVE1TJyw0MDIyNCk=&amp;WINDOW=FIRST_POPUP&amp;HEIGHT=450&amp;WIDTH=450&amp;START_MA","XIMIZED=FALSE&amp;VAR:CALENDAR=US&amp;VAR:SYMBOL=37183T10&amp;VAR:INDEX=0"}</definedName>
    <definedName name="_3661__FDSAUDITLINK__" hidden="1">{"fdsup://directions/FAT Viewer?action=UPDATE&amp;creator=factset&amp;DYN_ARGS=TRUE&amp;DOC_NAME=FAT:FQL_AUDITING_CLIENT_TEMPLATE.FAT&amp;display_string=Audit&amp;VAR:KEY=NCZKBMVUBE&amp;VAR:QUERY=RkZfRUJJVERBX0lCKCdMVE1TJyw0MDIyNCk=&amp;WINDOW=FIRST_POPUP&amp;HEIGHT=450&amp;WIDTH=450&amp;START_MA","XIMIZED=FALSE&amp;VAR:CALENDAR=US&amp;VAR:SYMBOL=37183T10&amp;VAR:INDEX=0"}</definedName>
    <definedName name="_3662__FDSAUDITLINK__" localSheetId="6" hidden="1">{"fdsup://directions/FAT Viewer?action=UPDATE&amp;creator=factset&amp;DYN_ARGS=TRUE&amp;DOC_NAME=FAT:FQL_AUDITING_CLIENT_TEMPLATE.FAT&amp;display_string=Audit&amp;VAR:KEY=XONOLQBULK&amp;VAR:QUERY=RkZfRUJJVERBX0lCKCdMVE1TJyw0MDIyMyk=&amp;WINDOW=FIRST_POPUP&amp;HEIGHT=450&amp;WIDTH=450&amp;START_MA","XIMIZED=FALSE&amp;VAR:CALENDAR=US&amp;VAR:SYMBOL=37183T10&amp;VAR:INDEX=0"}</definedName>
    <definedName name="_3662__FDSAUDITLINK__" hidden="1">{"fdsup://directions/FAT Viewer?action=UPDATE&amp;creator=factset&amp;DYN_ARGS=TRUE&amp;DOC_NAME=FAT:FQL_AUDITING_CLIENT_TEMPLATE.FAT&amp;display_string=Audit&amp;VAR:KEY=XONOLQBULK&amp;VAR:QUERY=RkZfRUJJVERBX0lCKCdMVE1TJyw0MDIyMyk=&amp;WINDOW=FIRST_POPUP&amp;HEIGHT=450&amp;WIDTH=450&amp;START_MA","XIMIZED=FALSE&amp;VAR:CALENDAR=US&amp;VAR:SYMBOL=37183T10&amp;VAR:INDEX=0"}</definedName>
    <definedName name="_3663__FDSAUDITLINK__" localSheetId="6" hidden="1">{"fdsup://directions/FAT Viewer?action=UPDATE&amp;creator=factset&amp;DYN_ARGS=TRUE&amp;DOC_NAME=FAT:FQL_AUDITING_CLIENT_TEMPLATE.FAT&amp;display_string=Audit&amp;VAR:KEY=BWDETWHIXM&amp;VAR:QUERY=RkZfRUJJVERBX0lCKCdMVE1TJyw0MDIyMik=&amp;WINDOW=FIRST_POPUP&amp;HEIGHT=450&amp;WIDTH=450&amp;START_MA","XIMIZED=FALSE&amp;VAR:CALENDAR=US&amp;VAR:SYMBOL=37183T10&amp;VAR:INDEX=0"}</definedName>
    <definedName name="_3663__FDSAUDITLINK__" hidden="1">{"fdsup://directions/FAT Viewer?action=UPDATE&amp;creator=factset&amp;DYN_ARGS=TRUE&amp;DOC_NAME=FAT:FQL_AUDITING_CLIENT_TEMPLATE.FAT&amp;display_string=Audit&amp;VAR:KEY=BWDETWHIXM&amp;VAR:QUERY=RkZfRUJJVERBX0lCKCdMVE1TJyw0MDIyMik=&amp;WINDOW=FIRST_POPUP&amp;HEIGHT=450&amp;WIDTH=450&amp;START_MA","XIMIZED=FALSE&amp;VAR:CALENDAR=US&amp;VAR:SYMBOL=37183T10&amp;VAR:INDEX=0"}</definedName>
    <definedName name="_3664__FDSAUDITLINK__" localSheetId="6" hidden="1">{"fdsup://directions/FAT Viewer?action=UPDATE&amp;creator=factset&amp;DYN_ARGS=TRUE&amp;DOC_NAME=FAT:FQL_AUDITING_CLIENT_TEMPLATE.FAT&amp;display_string=Audit&amp;VAR:KEY=BCTMNWDMDM&amp;VAR:QUERY=RkZfRUJJVERBX0lCKCdMVE1TJyw0MDIyMSk=&amp;WINDOW=FIRST_POPUP&amp;HEIGHT=450&amp;WIDTH=450&amp;START_MA","XIMIZED=FALSE&amp;VAR:CALENDAR=US&amp;VAR:SYMBOL=37183T10&amp;VAR:INDEX=0"}</definedName>
    <definedName name="_3664__FDSAUDITLINK__" hidden="1">{"fdsup://directions/FAT Viewer?action=UPDATE&amp;creator=factset&amp;DYN_ARGS=TRUE&amp;DOC_NAME=FAT:FQL_AUDITING_CLIENT_TEMPLATE.FAT&amp;display_string=Audit&amp;VAR:KEY=BCTMNWDMDM&amp;VAR:QUERY=RkZfRUJJVERBX0lCKCdMVE1TJyw0MDIyMSk=&amp;WINDOW=FIRST_POPUP&amp;HEIGHT=450&amp;WIDTH=450&amp;START_MA","XIMIZED=FALSE&amp;VAR:CALENDAR=US&amp;VAR:SYMBOL=37183T10&amp;VAR:INDEX=0"}</definedName>
    <definedName name="_3665__FDSAUDITLINK__" localSheetId="6" hidden="1">{"fdsup://directions/FAT Viewer?action=UPDATE&amp;creator=factset&amp;DYN_ARGS=TRUE&amp;DOC_NAME=FAT:FQL_AUDITING_CLIENT_TEMPLATE.FAT&amp;display_string=Audit&amp;VAR:KEY=FGXWDWZEPQ&amp;VAR:QUERY=RkZfRUJJVERBX0lCKCdMVE1TJyw0MDIyMCk=&amp;WINDOW=FIRST_POPUP&amp;HEIGHT=450&amp;WIDTH=450&amp;START_MA","XIMIZED=FALSE&amp;VAR:CALENDAR=US&amp;VAR:SYMBOL=37183T10&amp;VAR:INDEX=0"}</definedName>
    <definedName name="_3665__FDSAUDITLINK__" hidden="1">{"fdsup://directions/FAT Viewer?action=UPDATE&amp;creator=factset&amp;DYN_ARGS=TRUE&amp;DOC_NAME=FAT:FQL_AUDITING_CLIENT_TEMPLATE.FAT&amp;display_string=Audit&amp;VAR:KEY=FGXWDWZEPQ&amp;VAR:QUERY=RkZfRUJJVERBX0lCKCdMVE1TJyw0MDIyMCk=&amp;WINDOW=FIRST_POPUP&amp;HEIGHT=450&amp;WIDTH=450&amp;START_MA","XIMIZED=FALSE&amp;VAR:CALENDAR=US&amp;VAR:SYMBOL=37183T10&amp;VAR:INDEX=0"}</definedName>
    <definedName name="_3666__FDSAUDITLINK__" localSheetId="6" hidden="1">{"fdsup://directions/FAT Viewer?action=UPDATE&amp;creator=factset&amp;DYN_ARGS=TRUE&amp;DOC_NAME=FAT:FQL_AUDITING_CLIENT_TEMPLATE.FAT&amp;display_string=Audit&amp;VAR:KEY=PSBKXQJARE&amp;VAR:QUERY=RkZfRUJJVERBX0lCKCdMVE1TJyw0MDIxOSk=&amp;WINDOW=FIRST_POPUP&amp;HEIGHT=450&amp;WIDTH=450&amp;START_MA","XIMIZED=FALSE&amp;VAR:CALENDAR=US&amp;VAR:SYMBOL=37183T10&amp;VAR:INDEX=0"}</definedName>
    <definedName name="_3666__FDSAUDITLINK__" hidden="1">{"fdsup://directions/FAT Viewer?action=UPDATE&amp;creator=factset&amp;DYN_ARGS=TRUE&amp;DOC_NAME=FAT:FQL_AUDITING_CLIENT_TEMPLATE.FAT&amp;display_string=Audit&amp;VAR:KEY=PSBKXQJARE&amp;VAR:QUERY=RkZfRUJJVERBX0lCKCdMVE1TJyw0MDIxOSk=&amp;WINDOW=FIRST_POPUP&amp;HEIGHT=450&amp;WIDTH=450&amp;START_MA","XIMIZED=FALSE&amp;VAR:CALENDAR=US&amp;VAR:SYMBOL=37183T10&amp;VAR:INDEX=0"}</definedName>
    <definedName name="_3667__FDSAUDITLINK__" localSheetId="6" hidden="1">{"fdsup://directions/FAT Viewer?action=UPDATE&amp;creator=factset&amp;DYN_ARGS=TRUE&amp;DOC_NAME=FAT:FQL_AUDITING_CLIENT_TEMPLATE.FAT&amp;display_string=Audit&amp;VAR:KEY=JIDKJGFQJE&amp;VAR:QUERY=RkZfRUJJVERBX0lCKCdMVE1TJyw0MDIxOCk=&amp;WINDOW=FIRST_POPUP&amp;HEIGHT=450&amp;WIDTH=450&amp;START_MA","XIMIZED=FALSE&amp;VAR:CALENDAR=US&amp;VAR:SYMBOL=37183T10&amp;VAR:INDEX=0"}</definedName>
    <definedName name="_3667__FDSAUDITLINK__" hidden="1">{"fdsup://directions/FAT Viewer?action=UPDATE&amp;creator=factset&amp;DYN_ARGS=TRUE&amp;DOC_NAME=FAT:FQL_AUDITING_CLIENT_TEMPLATE.FAT&amp;display_string=Audit&amp;VAR:KEY=JIDKJGFQJE&amp;VAR:QUERY=RkZfRUJJVERBX0lCKCdMVE1TJyw0MDIxOCk=&amp;WINDOW=FIRST_POPUP&amp;HEIGHT=450&amp;WIDTH=450&amp;START_MA","XIMIZED=FALSE&amp;VAR:CALENDAR=US&amp;VAR:SYMBOL=37183T10&amp;VAR:INDEX=0"}</definedName>
    <definedName name="_3668__FDSAUDITLINK__" localSheetId="6" hidden="1">{"fdsup://directions/FAT Viewer?action=UPDATE&amp;creator=factset&amp;DYN_ARGS=TRUE&amp;DOC_NAME=FAT:FQL_AUDITING_CLIENT_TEMPLATE.FAT&amp;display_string=Audit&amp;VAR:KEY=NCZEZUDOBM&amp;VAR:QUERY=RkZfRUJJVERBX0lCKCdMVE1TJyw0MDIxNyk=&amp;WINDOW=FIRST_POPUP&amp;HEIGHT=450&amp;WIDTH=450&amp;START_MA","XIMIZED=FALSE&amp;VAR:CALENDAR=US&amp;VAR:SYMBOL=37183T10&amp;VAR:INDEX=0"}</definedName>
    <definedName name="_3668__FDSAUDITLINK__" hidden="1">{"fdsup://directions/FAT Viewer?action=UPDATE&amp;creator=factset&amp;DYN_ARGS=TRUE&amp;DOC_NAME=FAT:FQL_AUDITING_CLIENT_TEMPLATE.FAT&amp;display_string=Audit&amp;VAR:KEY=NCZEZUDOBM&amp;VAR:QUERY=RkZfRUJJVERBX0lCKCdMVE1TJyw0MDIxNyk=&amp;WINDOW=FIRST_POPUP&amp;HEIGHT=450&amp;WIDTH=450&amp;START_MA","XIMIZED=FALSE&amp;VAR:CALENDAR=US&amp;VAR:SYMBOL=37183T10&amp;VAR:INDEX=0"}</definedName>
    <definedName name="_3669__FDSAUDITLINK__" localSheetId="6" hidden="1">{"fdsup://directions/FAT Viewer?action=UPDATE&amp;creator=factset&amp;DYN_ARGS=TRUE&amp;DOC_NAME=FAT:FQL_AUDITING_CLIENT_TEMPLATE.FAT&amp;display_string=Audit&amp;VAR:KEY=HEBSLMDEJE&amp;VAR:QUERY=RkZfRUJJVERBX0lCKCdMVE1TJyw0MDIxNik=&amp;WINDOW=FIRST_POPUP&amp;HEIGHT=450&amp;WIDTH=450&amp;START_MA","XIMIZED=FALSE&amp;VAR:CALENDAR=US&amp;VAR:SYMBOL=37183T10&amp;VAR:INDEX=0"}</definedName>
    <definedName name="_3669__FDSAUDITLINK__" hidden="1">{"fdsup://directions/FAT Viewer?action=UPDATE&amp;creator=factset&amp;DYN_ARGS=TRUE&amp;DOC_NAME=FAT:FQL_AUDITING_CLIENT_TEMPLATE.FAT&amp;display_string=Audit&amp;VAR:KEY=HEBSLMDEJE&amp;VAR:QUERY=RkZfRUJJVERBX0lCKCdMVE1TJyw0MDIxNik=&amp;WINDOW=FIRST_POPUP&amp;HEIGHT=450&amp;WIDTH=450&amp;START_MA","XIMIZED=FALSE&amp;VAR:CALENDAR=US&amp;VAR:SYMBOL=37183T10&amp;VAR:INDEX=0"}</definedName>
    <definedName name="_367__FDSAUDITLINK__" localSheetId="6" hidden="1">{"fdsup://directions/FAT%20Viewer?VAR:PED=LTM&amp;VAR:AUDIT_MODE=SUMMARY&amp;VAR:PERIOD=FIXED&amp;VAR:AUDIT_ID=00000117&amp;VAR:DATE=20090219&amp;action=UPDATE&amp;creator=factset&amp;DOC_NAME=FAT:FMA_audit_SUMMARY.fat&amp;DISPLAY_STRING=Display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7__FDSAUDITLINK__" hidden="1">{"fdsup://directions/FAT%20Viewer?VAR:PED=LTM&amp;VAR:AUDIT_MODE=SUMMARY&amp;VAR:PERIOD=FIXED&amp;VAR:AUDIT_ID=00000117&amp;VAR:DATE=20090219&amp;action=UPDATE&amp;creator=factset&amp;DOC_NAME=FAT:FMA_audit_SUMMARY.fat&amp;DISPLAY_STRING=Display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70__FDSAUDITLINK__" localSheetId="6" hidden="1">{"fdsup://directions/FAT Viewer?action=UPDATE&amp;creator=factset&amp;DYN_ARGS=TRUE&amp;DOC_NAME=FAT:FQL_AUDITING_CLIENT_TEMPLATE.FAT&amp;display_string=Audit&amp;VAR:KEY=FSDSDSFWJM&amp;VAR:QUERY=RkZfRUJJVERBX0lCKCdMVE1TJyw0MDIxNSk=&amp;WINDOW=FIRST_POPUP&amp;HEIGHT=450&amp;WIDTH=450&amp;START_MA","XIMIZED=FALSE&amp;VAR:CALENDAR=US&amp;VAR:SYMBOL=37183T10&amp;VAR:INDEX=0"}</definedName>
    <definedName name="_3670__FDSAUDITLINK__" hidden="1">{"fdsup://directions/FAT Viewer?action=UPDATE&amp;creator=factset&amp;DYN_ARGS=TRUE&amp;DOC_NAME=FAT:FQL_AUDITING_CLIENT_TEMPLATE.FAT&amp;display_string=Audit&amp;VAR:KEY=FSDSDSFWJM&amp;VAR:QUERY=RkZfRUJJVERBX0lCKCdMVE1TJyw0MDIxNSk=&amp;WINDOW=FIRST_POPUP&amp;HEIGHT=450&amp;WIDTH=450&amp;START_MA","XIMIZED=FALSE&amp;VAR:CALENDAR=US&amp;VAR:SYMBOL=37183T10&amp;VAR:INDEX=0"}</definedName>
    <definedName name="_3671__FDSAUDITLINK__" localSheetId="6" hidden="1">{"fdsup://directions/FAT Viewer?action=UPDATE&amp;creator=factset&amp;DYN_ARGS=TRUE&amp;DOC_NAME=FAT:FQL_AUDITING_CLIENT_TEMPLATE.FAT&amp;display_string=Audit&amp;VAR:KEY=ZIFEZIRKHG&amp;VAR:QUERY=RkZfRUJJVERBX0lCKCdMVE1TJyw0MDIxNCk=&amp;WINDOW=FIRST_POPUP&amp;HEIGHT=450&amp;WIDTH=450&amp;START_MA","XIMIZED=FALSE&amp;VAR:CALENDAR=US&amp;VAR:SYMBOL=37183T10&amp;VAR:INDEX=0"}</definedName>
    <definedName name="_3671__FDSAUDITLINK__" hidden="1">{"fdsup://directions/FAT Viewer?action=UPDATE&amp;creator=factset&amp;DYN_ARGS=TRUE&amp;DOC_NAME=FAT:FQL_AUDITING_CLIENT_TEMPLATE.FAT&amp;display_string=Audit&amp;VAR:KEY=ZIFEZIRKHG&amp;VAR:QUERY=RkZfRUJJVERBX0lCKCdMVE1TJyw0MDIxNCk=&amp;WINDOW=FIRST_POPUP&amp;HEIGHT=450&amp;WIDTH=450&amp;START_MA","XIMIZED=FALSE&amp;VAR:CALENDAR=US&amp;VAR:SYMBOL=37183T10&amp;VAR:INDEX=0"}</definedName>
    <definedName name="_3672__FDSAUDITLINK__" localSheetId="6" hidden="1">{"fdsup://directions/FAT Viewer?action=UPDATE&amp;creator=factset&amp;DYN_ARGS=TRUE&amp;DOC_NAME=FAT:FQL_AUDITING_CLIENT_TEMPLATE.FAT&amp;display_string=Audit&amp;VAR:KEY=LIDMFWJONY&amp;VAR:QUERY=RkZfRUJJVERBX0lCKCdMVE1TJyw0MDIxMyk=&amp;WINDOW=FIRST_POPUP&amp;HEIGHT=450&amp;WIDTH=450&amp;START_MA","XIMIZED=FALSE&amp;VAR:CALENDAR=US&amp;VAR:SYMBOL=37183T10&amp;VAR:INDEX=0"}</definedName>
    <definedName name="_3672__FDSAUDITLINK__" hidden="1">{"fdsup://directions/FAT Viewer?action=UPDATE&amp;creator=factset&amp;DYN_ARGS=TRUE&amp;DOC_NAME=FAT:FQL_AUDITING_CLIENT_TEMPLATE.FAT&amp;display_string=Audit&amp;VAR:KEY=LIDMFWJONY&amp;VAR:QUERY=RkZfRUJJVERBX0lCKCdMVE1TJyw0MDIxMyk=&amp;WINDOW=FIRST_POPUP&amp;HEIGHT=450&amp;WIDTH=450&amp;START_MA","XIMIZED=FALSE&amp;VAR:CALENDAR=US&amp;VAR:SYMBOL=37183T10&amp;VAR:INDEX=0"}</definedName>
    <definedName name="_3673__FDSAUDITLINK__" localSheetId="6" hidden="1">{"fdsup://directions/FAT Viewer?action=UPDATE&amp;creator=factset&amp;DYN_ARGS=TRUE&amp;DOC_NAME=FAT:FQL_AUDITING_CLIENT_TEMPLATE.FAT&amp;display_string=Audit&amp;VAR:KEY=VYXCNWLQPA&amp;VAR:QUERY=RkZfRUJJVERBX0lCKCdMVE1TJyw0MDIxMik=&amp;WINDOW=FIRST_POPUP&amp;HEIGHT=450&amp;WIDTH=450&amp;START_MA","XIMIZED=FALSE&amp;VAR:CALENDAR=US&amp;VAR:SYMBOL=37183T10&amp;VAR:INDEX=0"}</definedName>
    <definedName name="_3673__FDSAUDITLINK__" hidden="1">{"fdsup://directions/FAT Viewer?action=UPDATE&amp;creator=factset&amp;DYN_ARGS=TRUE&amp;DOC_NAME=FAT:FQL_AUDITING_CLIENT_TEMPLATE.FAT&amp;display_string=Audit&amp;VAR:KEY=VYXCNWLQPA&amp;VAR:QUERY=RkZfRUJJVERBX0lCKCdMVE1TJyw0MDIxMik=&amp;WINDOW=FIRST_POPUP&amp;HEIGHT=450&amp;WIDTH=450&amp;START_MA","XIMIZED=FALSE&amp;VAR:CALENDAR=US&amp;VAR:SYMBOL=37183T10&amp;VAR:INDEX=0"}</definedName>
    <definedName name="_3674__FDSAUDITLINK__" localSheetId="6" hidden="1">{"fdsup://directions/FAT Viewer?action=UPDATE&amp;creator=factset&amp;DYN_ARGS=TRUE&amp;DOC_NAME=FAT:FQL_AUDITING_CLIENT_TEMPLATE.FAT&amp;display_string=Audit&amp;VAR:KEY=BYLITQXIHA&amp;VAR:QUERY=RkZfRUJJVERBX0lCKCdMVE1TJyw0MDIxMSk=&amp;WINDOW=FIRST_POPUP&amp;HEIGHT=450&amp;WIDTH=450&amp;START_MA","XIMIZED=FALSE&amp;VAR:CALENDAR=US&amp;VAR:SYMBOL=37183T10&amp;VAR:INDEX=0"}</definedName>
    <definedName name="_3674__FDSAUDITLINK__" hidden="1">{"fdsup://directions/FAT Viewer?action=UPDATE&amp;creator=factset&amp;DYN_ARGS=TRUE&amp;DOC_NAME=FAT:FQL_AUDITING_CLIENT_TEMPLATE.FAT&amp;display_string=Audit&amp;VAR:KEY=BYLITQXIHA&amp;VAR:QUERY=RkZfRUJJVERBX0lCKCdMVE1TJyw0MDIxMSk=&amp;WINDOW=FIRST_POPUP&amp;HEIGHT=450&amp;WIDTH=450&amp;START_MA","XIMIZED=FALSE&amp;VAR:CALENDAR=US&amp;VAR:SYMBOL=37183T10&amp;VAR:INDEX=0"}</definedName>
    <definedName name="_3675__FDSAUDITLINK__" localSheetId="6" hidden="1">{"fdsup://directions/FAT Viewer?action=UPDATE&amp;creator=factset&amp;DYN_ARGS=TRUE&amp;DOC_NAME=FAT:FQL_AUDITING_CLIENT_TEMPLATE.FAT&amp;display_string=Audit&amp;VAR:KEY=PAXGPYFKLA&amp;VAR:QUERY=RkZfRUJJVERBX0lCKCdMVE1TJyw0MDIxMCk=&amp;WINDOW=FIRST_POPUP&amp;HEIGHT=450&amp;WIDTH=450&amp;START_MA","XIMIZED=FALSE&amp;VAR:CALENDAR=US&amp;VAR:SYMBOL=37183T10&amp;VAR:INDEX=0"}</definedName>
    <definedName name="_3675__FDSAUDITLINK__" hidden="1">{"fdsup://directions/FAT Viewer?action=UPDATE&amp;creator=factset&amp;DYN_ARGS=TRUE&amp;DOC_NAME=FAT:FQL_AUDITING_CLIENT_TEMPLATE.FAT&amp;display_string=Audit&amp;VAR:KEY=PAXGPYFKLA&amp;VAR:QUERY=RkZfRUJJVERBX0lCKCdMVE1TJyw0MDIxMCk=&amp;WINDOW=FIRST_POPUP&amp;HEIGHT=450&amp;WIDTH=450&amp;START_MA","XIMIZED=FALSE&amp;VAR:CALENDAR=US&amp;VAR:SYMBOL=37183T10&amp;VAR:INDEX=0"}</definedName>
    <definedName name="_3676__FDSAUDITLINK__" localSheetId="6" hidden="1">{"fdsup://directions/FAT Viewer?action=UPDATE&amp;creator=factset&amp;DYN_ARGS=TRUE&amp;DOC_NAME=FAT:FQL_AUDITING_CLIENT_TEMPLATE.FAT&amp;display_string=Audit&amp;VAR:KEY=FWNGZABEZA&amp;VAR:QUERY=RkZfRUJJVERBX0lCKCdMVE1TJyw0MDIwOSk=&amp;WINDOW=FIRST_POPUP&amp;HEIGHT=450&amp;WIDTH=450&amp;START_MA","XIMIZED=FALSE&amp;VAR:CALENDAR=US&amp;VAR:SYMBOL=37183T10&amp;VAR:INDEX=0"}</definedName>
    <definedName name="_3676__FDSAUDITLINK__" hidden="1">{"fdsup://directions/FAT Viewer?action=UPDATE&amp;creator=factset&amp;DYN_ARGS=TRUE&amp;DOC_NAME=FAT:FQL_AUDITING_CLIENT_TEMPLATE.FAT&amp;display_string=Audit&amp;VAR:KEY=FWNGZABEZA&amp;VAR:QUERY=RkZfRUJJVERBX0lCKCdMVE1TJyw0MDIwOSk=&amp;WINDOW=FIRST_POPUP&amp;HEIGHT=450&amp;WIDTH=450&amp;START_MA","XIMIZED=FALSE&amp;VAR:CALENDAR=US&amp;VAR:SYMBOL=37183T10&amp;VAR:INDEX=0"}</definedName>
    <definedName name="_3677__FDSAUDITLINK__" localSheetId="6" hidden="1">{"fdsup://directions/FAT Viewer?action=UPDATE&amp;creator=factset&amp;DYN_ARGS=TRUE&amp;DOC_NAME=FAT:FQL_AUDITING_CLIENT_TEMPLATE.FAT&amp;display_string=Audit&amp;VAR:KEY=DAJWVINWPA&amp;VAR:QUERY=RkZfRUJJVERBX0lCKCdMVE1TJyw0MDIwOCk=&amp;WINDOW=FIRST_POPUP&amp;HEIGHT=450&amp;WIDTH=450&amp;START_MA","XIMIZED=FALSE&amp;VAR:CALENDAR=US&amp;VAR:SYMBOL=37183T10&amp;VAR:INDEX=0"}</definedName>
    <definedName name="_3677__FDSAUDITLINK__" hidden="1">{"fdsup://directions/FAT Viewer?action=UPDATE&amp;creator=factset&amp;DYN_ARGS=TRUE&amp;DOC_NAME=FAT:FQL_AUDITING_CLIENT_TEMPLATE.FAT&amp;display_string=Audit&amp;VAR:KEY=DAJWVINWPA&amp;VAR:QUERY=RkZfRUJJVERBX0lCKCdMVE1TJyw0MDIwOCk=&amp;WINDOW=FIRST_POPUP&amp;HEIGHT=450&amp;WIDTH=450&amp;START_MA","XIMIZED=FALSE&amp;VAR:CALENDAR=US&amp;VAR:SYMBOL=37183T10&amp;VAR:INDEX=0"}</definedName>
    <definedName name="_3678__FDSAUDITLINK__" localSheetId="6" hidden="1">{"fdsup://directions/FAT Viewer?action=UPDATE&amp;creator=factset&amp;DYN_ARGS=TRUE&amp;DOC_NAME=FAT:FQL_AUDITING_CLIENT_TEMPLATE.FAT&amp;display_string=Audit&amp;VAR:KEY=NIHURSHKNQ&amp;VAR:QUERY=RkZfRUJJVERBX0lCKCdMVE1TJyw0MDIwNyk=&amp;WINDOW=FIRST_POPUP&amp;HEIGHT=450&amp;WIDTH=450&amp;START_MA","XIMIZED=FALSE&amp;VAR:CALENDAR=US&amp;VAR:SYMBOL=37183T10&amp;VAR:INDEX=0"}</definedName>
    <definedName name="_3678__FDSAUDITLINK__" hidden="1">{"fdsup://directions/FAT Viewer?action=UPDATE&amp;creator=factset&amp;DYN_ARGS=TRUE&amp;DOC_NAME=FAT:FQL_AUDITING_CLIENT_TEMPLATE.FAT&amp;display_string=Audit&amp;VAR:KEY=NIHURSHKNQ&amp;VAR:QUERY=RkZfRUJJVERBX0lCKCdMVE1TJyw0MDIwNyk=&amp;WINDOW=FIRST_POPUP&amp;HEIGHT=450&amp;WIDTH=450&amp;START_MA","XIMIZED=FALSE&amp;VAR:CALENDAR=US&amp;VAR:SYMBOL=37183T10&amp;VAR:INDEX=0"}</definedName>
    <definedName name="_3679__FDSAUDITLINK__" localSheetId="6" hidden="1">{"fdsup://directions/FAT Viewer?action=UPDATE&amp;creator=factset&amp;DYN_ARGS=TRUE&amp;DOC_NAME=FAT:FQL_AUDITING_CLIENT_TEMPLATE.FAT&amp;display_string=Audit&amp;VAR:KEY=DILSLIXILQ&amp;VAR:QUERY=RkZfRUJJVERBX0lCKCdMVE1TJyw0MDIwNik=&amp;WINDOW=FIRST_POPUP&amp;HEIGHT=450&amp;WIDTH=450&amp;START_MA","XIMIZED=FALSE&amp;VAR:CALENDAR=US&amp;VAR:SYMBOL=37183T10&amp;VAR:INDEX=0"}</definedName>
    <definedName name="_3679__FDSAUDITLINK__" hidden="1">{"fdsup://directions/FAT Viewer?action=UPDATE&amp;creator=factset&amp;DYN_ARGS=TRUE&amp;DOC_NAME=FAT:FQL_AUDITING_CLIENT_TEMPLATE.FAT&amp;display_string=Audit&amp;VAR:KEY=DILSLIXILQ&amp;VAR:QUERY=RkZfRUJJVERBX0lCKCdMVE1TJyw0MDIwNik=&amp;WINDOW=FIRST_POPUP&amp;HEIGHT=450&amp;WIDTH=450&amp;START_MA","XIMIZED=FALSE&amp;VAR:CALENDAR=US&amp;VAR:SYMBOL=37183T10&amp;VAR:INDEX=0"}</definedName>
    <definedName name="_368__FDSAUDITLINK__" localSheetId="6" hidden="1">{"fdsup://directions/FAT%20Viewer?VAR:PED=LTM&amp;VAR:AUDIT_MODE=SUMMARY&amp;VAR:PERIOD=FIXED&amp;VAR:AUDIT_ID=00000117&amp;VAR:DATE=20090218&amp;action=UPDATE&amp;creator=factset&amp;DOC_NAME=FAT:FMA_audit_SUMMARY.fat&amp;DISPLAY_STRING=Display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8__FDSAUDITLINK__" hidden="1">{"fdsup://directions/FAT%20Viewer?VAR:PED=LTM&amp;VAR:AUDIT_MODE=SUMMARY&amp;VAR:PERIOD=FIXED&amp;VAR:AUDIT_ID=00000117&amp;VAR:DATE=20090218&amp;action=UPDATE&amp;creator=factset&amp;DOC_NAME=FAT:FMA_audit_SUMMARY.fat&amp;DISPLAY_STRING=Display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80__FDSAUDITLINK__" localSheetId="6" hidden="1">{"fdsup://directions/FAT Viewer?action=UPDATE&amp;creator=factset&amp;DYN_ARGS=TRUE&amp;DOC_NAME=FAT:FQL_AUDITING_CLIENT_TEMPLATE.FAT&amp;display_string=Audit&amp;VAR:KEY=PCNOHKLSXC&amp;VAR:QUERY=RkZfRUJJVERBX0lCKCdMVE1TJyw0MDIwNSk=&amp;WINDOW=FIRST_POPUP&amp;HEIGHT=450&amp;WIDTH=450&amp;START_MA","XIMIZED=FALSE&amp;VAR:CALENDAR=US&amp;VAR:SYMBOL=37183T10&amp;VAR:INDEX=0"}</definedName>
    <definedName name="_3680__FDSAUDITLINK__" hidden="1">{"fdsup://directions/FAT Viewer?action=UPDATE&amp;creator=factset&amp;DYN_ARGS=TRUE&amp;DOC_NAME=FAT:FQL_AUDITING_CLIENT_TEMPLATE.FAT&amp;display_string=Audit&amp;VAR:KEY=PCNOHKLSXC&amp;VAR:QUERY=RkZfRUJJVERBX0lCKCdMVE1TJyw0MDIwNSk=&amp;WINDOW=FIRST_POPUP&amp;HEIGHT=450&amp;WIDTH=450&amp;START_MA","XIMIZED=FALSE&amp;VAR:CALENDAR=US&amp;VAR:SYMBOL=37183T10&amp;VAR:INDEX=0"}</definedName>
    <definedName name="_3681__FDSAUDITLINK__" localSheetId="6" hidden="1">{"fdsup://directions/FAT Viewer?action=UPDATE&amp;creator=factset&amp;DYN_ARGS=TRUE&amp;DOC_NAME=FAT:FQL_AUDITING_CLIENT_TEMPLATE.FAT&amp;display_string=Audit&amp;VAR:KEY=NORUVWBWVU&amp;VAR:QUERY=RkZfRUJJVERBX0lCKCdMVE1TJyw0MDIwNCk=&amp;WINDOW=FIRST_POPUP&amp;HEIGHT=450&amp;WIDTH=450&amp;START_MA","XIMIZED=FALSE&amp;VAR:CALENDAR=US&amp;VAR:SYMBOL=37183T10&amp;VAR:INDEX=0"}</definedName>
    <definedName name="_3681__FDSAUDITLINK__" hidden="1">{"fdsup://directions/FAT Viewer?action=UPDATE&amp;creator=factset&amp;DYN_ARGS=TRUE&amp;DOC_NAME=FAT:FQL_AUDITING_CLIENT_TEMPLATE.FAT&amp;display_string=Audit&amp;VAR:KEY=NORUVWBWVU&amp;VAR:QUERY=RkZfRUJJVERBX0lCKCdMVE1TJyw0MDIwNCk=&amp;WINDOW=FIRST_POPUP&amp;HEIGHT=450&amp;WIDTH=450&amp;START_MA","XIMIZED=FALSE&amp;VAR:CALENDAR=US&amp;VAR:SYMBOL=37183T10&amp;VAR:INDEX=0"}</definedName>
    <definedName name="_3682__FDSAUDITLINK__" localSheetId="6" hidden="1">{"fdsup://directions/FAT Viewer?action=UPDATE&amp;creator=factset&amp;DYN_ARGS=TRUE&amp;DOC_NAME=FAT:FQL_AUDITING_CLIENT_TEMPLATE.FAT&amp;display_string=Audit&amp;VAR:KEY=LUHEZMDUBG&amp;VAR:QUERY=RkZfRUJJVERBX0lCKCdMVE1TJyw0MDIwMyk=&amp;WINDOW=FIRST_POPUP&amp;HEIGHT=450&amp;WIDTH=450&amp;START_MA","XIMIZED=FALSE&amp;VAR:CALENDAR=US&amp;VAR:SYMBOL=37183T10&amp;VAR:INDEX=0"}</definedName>
    <definedName name="_3682__FDSAUDITLINK__" hidden="1">{"fdsup://directions/FAT Viewer?action=UPDATE&amp;creator=factset&amp;DYN_ARGS=TRUE&amp;DOC_NAME=FAT:FQL_AUDITING_CLIENT_TEMPLATE.FAT&amp;display_string=Audit&amp;VAR:KEY=LUHEZMDUBG&amp;VAR:QUERY=RkZfRUJJVERBX0lCKCdMVE1TJyw0MDIwMyk=&amp;WINDOW=FIRST_POPUP&amp;HEIGHT=450&amp;WIDTH=450&amp;START_MA","XIMIZED=FALSE&amp;VAR:CALENDAR=US&amp;VAR:SYMBOL=37183T10&amp;VAR:INDEX=0"}</definedName>
    <definedName name="_3683__FDSAUDITLINK__" localSheetId="6" hidden="1">{"fdsup://directions/FAT Viewer?action=UPDATE&amp;creator=factset&amp;DYN_ARGS=TRUE&amp;DOC_NAME=FAT:FQL_AUDITING_CLIENT_TEMPLATE.FAT&amp;display_string=Audit&amp;VAR:KEY=TCNADYZEVK&amp;VAR:QUERY=RkZfRUJJVERBX0lCKCdMVE1TJyw0MDIwMik=&amp;WINDOW=FIRST_POPUP&amp;HEIGHT=450&amp;WIDTH=450&amp;START_MA","XIMIZED=FALSE&amp;VAR:CALENDAR=US&amp;VAR:SYMBOL=37183T10&amp;VAR:INDEX=0"}</definedName>
    <definedName name="_3683__FDSAUDITLINK__" hidden="1">{"fdsup://directions/FAT Viewer?action=UPDATE&amp;creator=factset&amp;DYN_ARGS=TRUE&amp;DOC_NAME=FAT:FQL_AUDITING_CLIENT_TEMPLATE.FAT&amp;display_string=Audit&amp;VAR:KEY=TCNADYZEVK&amp;VAR:QUERY=RkZfRUJJVERBX0lCKCdMVE1TJyw0MDIwMik=&amp;WINDOW=FIRST_POPUP&amp;HEIGHT=450&amp;WIDTH=450&amp;START_MA","XIMIZED=FALSE&amp;VAR:CALENDAR=US&amp;VAR:SYMBOL=37183T10&amp;VAR:INDEX=0"}</definedName>
    <definedName name="_3684__FDSAUDITLINK__" localSheetId="6" hidden="1">{"fdsup://directions/FAT Viewer?action=UPDATE&amp;creator=factset&amp;DYN_ARGS=TRUE&amp;DOC_NAME=FAT:FQL_AUDITING_CLIENT_TEMPLATE.FAT&amp;display_string=Audit&amp;VAR:KEY=JQDWZSHKNK&amp;VAR:QUERY=RkZfRUJJVERBX0lCKCdMVE1TJyw0MDIwMSk=&amp;WINDOW=FIRST_POPUP&amp;HEIGHT=450&amp;WIDTH=450&amp;START_MA","XIMIZED=FALSE&amp;VAR:CALENDAR=US&amp;VAR:SYMBOL=37183T10&amp;VAR:INDEX=0"}</definedName>
    <definedName name="_3684__FDSAUDITLINK__" hidden="1">{"fdsup://directions/FAT Viewer?action=UPDATE&amp;creator=factset&amp;DYN_ARGS=TRUE&amp;DOC_NAME=FAT:FQL_AUDITING_CLIENT_TEMPLATE.FAT&amp;display_string=Audit&amp;VAR:KEY=JQDWZSHKNK&amp;VAR:QUERY=RkZfRUJJVERBX0lCKCdMVE1TJyw0MDIwMSk=&amp;WINDOW=FIRST_POPUP&amp;HEIGHT=450&amp;WIDTH=450&amp;START_MA","XIMIZED=FALSE&amp;VAR:CALENDAR=US&amp;VAR:SYMBOL=37183T10&amp;VAR:INDEX=0"}</definedName>
    <definedName name="_3685__FDSAUDITLINK__" localSheetId="6" hidden="1">{"fdsup://directions/FAT Viewer?action=UPDATE&amp;creator=factset&amp;DYN_ARGS=TRUE&amp;DOC_NAME=FAT:FQL_AUDITING_CLIENT_TEMPLATE.FAT&amp;display_string=Audit&amp;VAR:KEY=ZSLSDUFUHA&amp;VAR:QUERY=RkZfRUJJVERBX0lCKCdMVE1TJyw0MDIwMCk=&amp;WINDOW=FIRST_POPUP&amp;HEIGHT=450&amp;WIDTH=450&amp;START_MA","XIMIZED=FALSE&amp;VAR:CALENDAR=US&amp;VAR:SYMBOL=37183T10&amp;VAR:INDEX=0"}</definedName>
    <definedName name="_3685__FDSAUDITLINK__" hidden="1">{"fdsup://directions/FAT Viewer?action=UPDATE&amp;creator=factset&amp;DYN_ARGS=TRUE&amp;DOC_NAME=FAT:FQL_AUDITING_CLIENT_TEMPLATE.FAT&amp;display_string=Audit&amp;VAR:KEY=ZSLSDUFUHA&amp;VAR:QUERY=RkZfRUJJVERBX0lCKCdMVE1TJyw0MDIwMCk=&amp;WINDOW=FIRST_POPUP&amp;HEIGHT=450&amp;WIDTH=450&amp;START_MA","XIMIZED=FALSE&amp;VAR:CALENDAR=US&amp;VAR:SYMBOL=37183T10&amp;VAR:INDEX=0"}</definedName>
    <definedName name="_3686__FDSAUDITLINK__" localSheetId="6" hidden="1">{"fdsup://directions/FAT Viewer?action=UPDATE&amp;creator=factset&amp;DYN_ARGS=TRUE&amp;DOC_NAME=FAT:FQL_AUDITING_CLIENT_TEMPLATE.FAT&amp;display_string=Audit&amp;VAR:KEY=BSPSBADIXK&amp;VAR:QUERY=RkZfRUJJVERBX0lCKCdMVE1TJyw0MDE5OSk=&amp;WINDOW=FIRST_POPUP&amp;HEIGHT=450&amp;WIDTH=450&amp;START_MA","XIMIZED=FALSE&amp;VAR:CALENDAR=US&amp;VAR:SYMBOL=37183T10&amp;VAR:INDEX=0"}</definedName>
    <definedName name="_3686__FDSAUDITLINK__" hidden="1">{"fdsup://directions/FAT Viewer?action=UPDATE&amp;creator=factset&amp;DYN_ARGS=TRUE&amp;DOC_NAME=FAT:FQL_AUDITING_CLIENT_TEMPLATE.FAT&amp;display_string=Audit&amp;VAR:KEY=BSPSBADIXK&amp;VAR:QUERY=RkZfRUJJVERBX0lCKCdMVE1TJyw0MDE5OSk=&amp;WINDOW=FIRST_POPUP&amp;HEIGHT=450&amp;WIDTH=450&amp;START_MA","XIMIZED=FALSE&amp;VAR:CALENDAR=US&amp;VAR:SYMBOL=37183T10&amp;VAR:INDEX=0"}</definedName>
    <definedName name="_3687__FDSAUDITLINK__" localSheetId="6" hidden="1">{"fdsup://directions/FAT Viewer?action=UPDATE&amp;creator=factset&amp;DYN_ARGS=TRUE&amp;DOC_NAME=FAT:FQL_AUDITING_CLIENT_TEMPLATE.FAT&amp;display_string=Audit&amp;VAR:KEY=XIZQXUTUXO&amp;VAR:QUERY=RkZfRUJJVERBX0lCKCdMVE1TJyw0MDE5OCk=&amp;WINDOW=FIRST_POPUP&amp;HEIGHT=450&amp;WIDTH=450&amp;START_MA","XIMIZED=FALSE&amp;VAR:CALENDAR=US&amp;VAR:SYMBOL=37183T10&amp;VAR:INDEX=0"}</definedName>
    <definedName name="_3687__FDSAUDITLINK__" hidden="1">{"fdsup://directions/FAT Viewer?action=UPDATE&amp;creator=factset&amp;DYN_ARGS=TRUE&amp;DOC_NAME=FAT:FQL_AUDITING_CLIENT_TEMPLATE.FAT&amp;display_string=Audit&amp;VAR:KEY=XIZQXUTUXO&amp;VAR:QUERY=RkZfRUJJVERBX0lCKCdMVE1TJyw0MDE5OCk=&amp;WINDOW=FIRST_POPUP&amp;HEIGHT=450&amp;WIDTH=450&amp;START_MA","XIMIZED=FALSE&amp;VAR:CALENDAR=US&amp;VAR:SYMBOL=37183T10&amp;VAR:INDEX=0"}</definedName>
    <definedName name="_3688__FDSAUDITLINK__" localSheetId="6" hidden="1">{"fdsup://directions/FAT Viewer?action=UPDATE&amp;creator=factset&amp;DYN_ARGS=TRUE&amp;DOC_NAME=FAT:FQL_AUDITING_CLIENT_TEMPLATE.FAT&amp;display_string=Audit&amp;VAR:KEY=PWXEREDCTM&amp;VAR:QUERY=RkZfRUJJVERBX0lCKCdMVE1TJyw0MDE5Nyk=&amp;WINDOW=FIRST_POPUP&amp;HEIGHT=450&amp;WIDTH=450&amp;START_MA","XIMIZED=FALSE&amp;VAR:CALENDAR=US&amp;VAR:SYMBOL=37183T10&amp;VAR:INDEX=0"}</definedName>
    <definedName name="_3688__FDSAUDITLINK__" hidden="1">{"fdsup://directions/FAT Viewer?action=UPDATE&amp;creator=factset&amp;DYN_ARGS=TRUE&amp;DOC_NAME=FAT:FQL_AUDITING_CLIENT_TEMPLATE.FAT&amp;display_string=Audit&amp;VAR:KEY=PWXEREDCTM&amp;VAR:QUERY=RkZfRUJJVERBX0lCKCdMVE1TJyw0MDE5Nyk=&amp;WINDOW=FIRST_POPUP&amp;HEIGHT=450&amp;WIDTH=450&amp;START_MA","XIMIZED=FALSE&amp;VAR:CALENDAR=US&amp;VAR:SYMBOL=37183T10&amp;VAR:INDEX=0"}</definedName>
    <definedName name="_3689__FDSAUDITLINK__" localSheetId="6" hidden="1">{"fdsup://directions/FAT Viewer?action=UPDATE&amp;creator=factset&amp;DYN_ARGS=TRUE&amp;DOC_NAME=FAT:FQL_AUDITING_CLIENT_TEMPLATE.FAT&amp;display_string=Audit&amp;VAR:KEY=FSTYFMBUHC&amp;VAR:QUERY=RkZfRUJJVERBX0lCKCdMVE1TJyw0MDE5Nik=&amp;WINDOW=FIRST_POPUP&amp;HEIGHT=450&amp;WIDTH=450&amp;START_MA","XIMIZED=FALSE&amp;VAR:CALENDAR=US&amp;VAR:SYMBOL=37183T10&amp;VAR:INDEX=0"}</definedName>
    <definedName name="_3689__FDSAUDITLINK__" hidden="1">{"fdsup://directions/FAT Viewer?action=UPDATE&amp;creator=factset&amp;DYN_ARGS=TRUE&amp;DOC_NAME=FAT:FQL_AUDITING_CLIENT_TEMPLATE.FAT&amp;display_string=Audit&amp;VAR:KEY=FSTYFMBUHC&amp;VAR:QUERY=RkZfRUJJVERBX0lCKCdMVE1TJyw0MDE5Nik=&amp;WINDOW=FIRST_POPUP&amp;HEIGHT=450&amp;WIDTH=450&amp;START_MA","XIMIZED=FALSE&amp;VAR:CALENDAR=US&amp;VAR:SYMBOL=37183T10&amp;VAR:INDEX=0"}</definedName>
    <definedName name="_369__FDSAUDITLINK__" localSheetId="6" hidden="1">{"fdsup://directions/FAT%20Viewer?VAR:PED=LTM&amp;VAR:AUDIT_MODE=SUMMARY&amp;VAR:PERIOD=FIXED&amp;VAR:AUDIT_ID=00000117&amp;VAR:DATE=20090217&amp;action=UPDATE&amp;creator=factset&amp;DOC_NAME=FAT:FMA_audit_SUMMARY.fat&amp;DISPLAY_STRING=Display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9__FDSAUDITLINK__" hidden="1">{"fdsup://directions/FAT%20Viewer?VAR:PED=LTM&amp;VAR:AUDIT_MODE=SUMMARY&amp;VAR:PERIOD=FIXED&amp;VAR:AUDIT_ID=00000117&amp;VAR:DATE=20090217&amp;action=UPDATE&amp;creator=factset&amp;DOC_NAME=FAT:FMA_audit_SUMMARY.fat&amp;DISPLAY_STRING=Display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690__FDSAUDITLINK__" localSheetId="6" hidden="1">{"fdsup://directions/FAT Viewer?action=UPDATE&amp;creator=factset&amp;DYN_ARGS=TRUE&amp;DOC_NAME=FAT:FQL_AUDITING_CLIENT_TEMPLATE.FAT&amp;display_string=Audit&amp;VAR:KEY=NYFAJWBKXA&amp;VAR:QUERY=RkZfRUJJVERBX0lCKCdMVE1TJyw0MDE5NSk=&amp;WINDOW=FIRST_POPUP&amp;HEIGHT=450&amp;WIDTH=450&amp;START_MA","XIMIZED=FALSE&amp;VAR:CALENDAR=US&amp;VAR:SYMBOL=37183T10&amp;VAR:INDEX=0"}</definedName>
    <definedName name="_3690__FDSAUDITLINK__" hidden="1">{"fdsup://directions/FAT Viewer?action=UPDATE&amp;creator=factset&amp;DYN_ARGS=TRUE&amp;DOC_NAME=FAT:FQL_AUDITING_CLIENT_TEMPLATE.FAT&amp;display_string=Audit&amp;VAR:KEY=NYFAJWBKXA&amp;VAR:QUERY=RkZfRUJJVERBX0lCKCdMVE1TJyw0MDE5NSk=&amp;WINDOW=FIRST_POPUP&amp;HEIGHT=450&amp;WIDTH=450&amp;START_MA","XIMIZED=FALSE&amp;VAR:CALENDAR=US&amp;VAR:SYMBOL=37183T10&amp;VAR:INDEX=0"}</definedName>
    <definedName name="_3691__FDSAUDITLINK__" localSheetId="6" hidden="1">{"fdsup://directions/FAT Viewer?action=UPDATE&amp;creator=factset&amp;DYN_ARGS=TRUE&amp;DOC_NAME=FAT:FQL_AUDITING_CLIENT_TEMPLATE.FAT&amp;display_string=Audit&amp;VAR:KEY=BCTQJIRMLG&amp;VAR:QUERY=RkZfRUJJVERBX0lCKCdMVE1TJyw0MDE5NCk=&amp;WINDOW=FIRST_POPUP&amp;HEIGHT=450&amp;WIDTH=450&amp;START_MA","XIMIZED=FALSE&amp;VAR:CALENDAR=US&amp;VAR:SYMBOL=37183T10&amp;VAR:INDEX=0"}</definedName>
    <definedName name="_3691__FDSAUDITLINK__" hidden="1">{"fdsup://directions/FAT Viewer?action=UPDATE&amp;creator=factset&amp;DYN_ARGS=TRUE&amp;DOC_NAME=FAT:FQL_AUDITING_CLIENT_TEMPLATE.FAT&amp;display_string=Audit&amp;VAR:KEY=BCTQJIRMLG&amp;VAR:QUERY=RkZfRUJJVERBX0lCKCdMVE1TJyw0MDE5NCk=&amp;WINDOW=FIRST_POPUP&amp;HEIGHT=450&amp;WIDTH=450&amp;START_MA","XIMIZED=FALSE&amp;VAR:CALENDAR=US&amp;VAR:SYMBOL=37183T10&amp;VAR:INDEX=0"}</definedName>
    <definedName name="_3692__FDSAUDITLINK__" localSheetId="6" hidden="1">{"fdsup://directions/FAT Viewer?action=UPDATE&amp;creator=factset&amp;DYN_ARGS=TRUE&amp;DOC_NAME=FAT:FQL_AUDITING_CLIENT_TEMPLATE.FAT&amp;display_string=Audit&amp;VAR:KEY=FCDUXERKRC&amp;VAR:QUERY=RkZfRUJJVERBX0lCKCdMVE1TJyw0MDE5Myk=&amp;WINDOW=FIRST_POPUP&amp;HEIGHT=450&amp;WIDTH=450&amp;START_MA","XIMIZED=FALSE&amp;VAR:CALENDAR=US&amp;VAR:SYMBOL=37183T10&amp;VAR:INDEX=0"}</definedName>
    <definedName name="_3692__FDSAUDITLINK__" hidden="1">{"fdsup://directions/FAT Viewer?action=UPDATE&amp;creator=factset&amp;DYN_ARGS=TRUE&amp;DOC_NAME=FAT:FQL_AUDITING_CLIENT_TEMPLATE.FAT&amp;display_string=Audit&amp;VAR:KEY=FCDUXERKRC&amp;VAR:QUERY=RkZfRUJJVERBX0lCKCdMVE1TJyw0MDE5Myk=&amp;WINDOW=FIRST_POPUP&amp;HEIGHT=450&amp;WIDTH=450&amp;START_MA","XIMIZED=FALSE&amp;VAR:CALENDAR=US&amp;VAR:SYMBOL=37183T10&amp;VAR:INDEX=0"}</definedName>
    <definedName name="_3693__FDSAUDITLINK__" localSheetId="6" hidden="1">{"fdsup://directions/FAT Viewer?action=UPDATE&amp;creator=factset&amp;DYN_ARGS=TRUE&amp;DOC_NAME=FAT:FQL_AUDITING_CLIENT_TEMPLATE.FAT&amp;display_string=Audit&amp;VAR:KEY=RMJALARYRE&amp;VAR:QUERY=RkZfRUJJVERBX0lCKCdMVE1TJyw0MDE5Mik=&amp;WINDOW=FIRST_POPUP&amp;HEIGHT=450&amp;WIDTH=450&amp;START_MA","XIMIZED=FALSE&amp;VAR:CALENDAR=US&amp;VAR:SYMBOL=37183T10&amp;VAR:INDEX=0"}</definedName>
    <definedName name="_3693__FDSAUDITLINK__" hidden="1">{"fdsup://directions/FAT Viewer?action=UPDATE&amp;creator=factset&amp;DYN_ARGS=TRUE&amp;DOC_NAME=FAT:FQL_AUDITING_CLIENT_TEMPLATE.FAT&amp;display_string=Audit&amp;VAR:KEY=RMJALARYRE&amp;VAR:QUERY=RkZfRUJJVERBX0lCKCdMVE1TJyw0MDE5Mik=&amp;WINDOW=FIRST_POPUP&amp;HEIGHT=450&amp;WIDTH=450&amp;START_MA","XIMIZED=FALSE&amp;VAR:CALENDAR=US&amp;VAR:SYMBOL=37183T10&amp;VAR:INDEX=0"}</definedName>
    <definedName name="_3694__FDSAUDITLINK__" localSheetId="6" hidden="1">{"fdsup://directions/FAT Viewer?action=UPDATE&amp;creator=factset&amp;DYN_ARGS=TRUE&amp;DOC_NAME=FAT:FQL_AUDITING_CLIENT_TEMPLATE.FAT&amp;display_string=Audit&amp;VAR:KEY=PSTSZUNMRI&amp;VAR:QUERY=RkZfRUJJVERBX0lCKCdMVE1TJyw0MDE5MSk=&amp;WINDOW=FIRST_POPUP&amp;HEIGHT=450&amp;WIDTH=450&amp;START_MA","XIMIZED=FALSE&amp;VAR:CALENDAR=US&amp;VAR:SYMBOL=37183T10&amp;VAR:INDEX=0"}</definedName>
    <definedName name="_3694__FDSAUDITLINK__" hidden="1">{"fdsup://directions/FAT Viewer?action=UPDATE&amp;creator=factset&amp;DYN_ARGS=TRUE&amp;DOC_NAME=FAT:FQL_AUDITING_CLIENT_TEMPLATE.FAT&amp;display_string=Audit&amp;VAR:KEY=PSTSZUNMRI&amp;VAR:QUERY=RkZfRUJJVERBX0lCKCdMVE1TJyw0MDE5MSk=&amp;WINDOW=FIRST_POPUP&amp;HEIGHT=450&amp;WIDTH=450&amp;START_MA","XIMIZED=FALSE&amp;VAR:CALENDAR=US&amp;VAR:SYMBOL=37183T10&amp;VAR:INDEX=0"}</definedName>
    <definedName name="_3695__FDSAUDITLINK__" localSheetId="6" hidden="1">{"fdsup://directions/FAT Viewer?action=UPDATE&amp;creator=factset&amp;DYN_ARGS=TRUE&amp;DOC_NAME=FAT:FQL_AUDITING_CLIENT_TEMPLATE.FAT&amp;display_string=Audit&amp;VAR:KEY=PMFGDAFYLK&amp;VAR:QUERY=RkZfRUJJVERBX0lCKCdMVE1TJyw0MDE5MCk=&amp;WINDOW=FIRST_POPUP&amp;HEIGHT=450&amp;WIDTH=450&amp;START_MA","XIMIZED=FALSE&amp;VAR:CALENDAR=US&amp;VAR:SYMBOL=37183T10&amp;VAR:INDEX=0"}</definedName>
    <definedName name="_3695__FDSAUDITLINK__" hidden="1">{"fdsup://directions/FAT Viewer?action=UPDATE&amp;creator=factset&amp;DYN_ARGS=TRUE&amp;DOC_NAME=FAT:FQL_AUDITING_CLIENT_TEMPLATE.FAT&amp;display_string=Audit&amp;VAR:KEY=PMFGDAFYLK&amp;VAR:QUERY=RkZfRUJJVERBX0lCKCdMVE1TJyw0MDE5MCk=&amp;WINDOW=FIRST_POPUP&amp;HEIGHT=450&amp;WIDTH=450&amp;START_MA","XIMIZED=FALSE&amp;VAR:CALENDAR=US&amp;VAR:SYMBOL=37183T10&amp;VAR:INDEX=0"}</definedName>
    <definedName name="_3696__FDSAUDITLINK__" localSheetId="6" hidden="1">{"fdsup://directions/FAT Viewer?action=UPDATE&amp;creator=factset&amp;DYN_ARGS=TRUE&amp;DOC_NAME=FAT:FQL_AUDITING_CLIENT_TEMPLATE.FAT&amp;display_string=Audit&amp;VAR:KEY=VAVKTERKPW&amp;VAR:QUERY=RkZfRUJJVERBX0lCKCdMVE1TJyw0MDE4OSk=&amp;WINDOW=FIRST_POPUP&amp;HEIGHT=450&amp;WIDTH=450&amp;START_MA","XIMIZED=FALSE&amp;VAR:CALENDAR=US&amp;VAR:SYMBOL=37183T10&amp;VAR:INDEX=0"}</definedName>
    <definedName name="_3696__FDSAUDITLINK__" hidden="1">{"fdsup://directions/FAT Viewer?action=UPDATE&amp;creator=factset&amp;DYN_ARGS=TRUE&amp;DOC_NAME=FAT:FQL_AUDITING_CLIENT_TEMPLATE.FAT&amp;display_string=Audit&amp;VAR:KEY=VAVKTERKPW&amp;VAR:QUERY=RkZfRUJJVERBX0lCKCdMVE1TJyw0MDE4OSk=&amp;WINDOW=FIRST_POPUP&amp;HEIGHT=450&amp;WIDTH=450&amp;START_MA","XIMIZED=FALSE&amp;VAR:CALENDAR=US&amp;VAR:SYMBOL=37183T10&amp;VAR:INDEX=0"}</definedName>
    <definedName name="_3697__FDSAUDITLINK__" localSheetId="6" hidden="1">{"fdsup://directions/FAT Viewer?action=UPDATE&amp;creator=factset&amp;DYN_ARGS=TRUE&amp;DOC_NAME=FAT:FQL_AUDITING_CLIENT_TEMPLATE.FAT&amp;display_string=Audit&amp;VAR:KEY=NULYDKHOJS&amp;VAR:QUERY=RkZfRUJJVERBX0lCKCdMVE1TJyw0MDE4OCk=&amp;WINDOW=FIRST_POPUP&amp;HEIGHT=450&amp;WIDTH=450&amp;START_MA","XIMIZED=FALSE&amp;VAR:CALENDAR=US&amp;VAR:SYMBOL=37183T10&amp;VAR:INDEX=0"}</definedName>
    <definedName name="_3697__FDSAUDITLINK__" hidden="1">{"fdsup://directions/FAT Viewer?action=UPDATE&amp;creator=factset&amp;DYN_ARGS=TRUE&amp;DOC_NAME=FAT:FQL_AUDITING_CLIENT_TEMPLATE.FAT&amp;display_string=Audit&amp;VAR:KEY=NULYDKHOJS&amp;VAR:QUERY=RkZfRUJJVERBX0lCKCdMVE1TJyw0MDE4OCk=&amp;WINDOW=FIRST_POPUP&amp;HEIGHT=450&amp;WIDTH=450&amp;START_MA","XIMIZED=FALSE&amp;VAR:CALENDAR=US&amp;VAR:SYMBOL=37183T10&amp;VAR:INDEX=0"}</definedName>
    <definedName name="_3698__FDSAUDITLINK__" localSheetId="6" hidden="1">{"fdsup://directions/FAT Viewer?action=UPDATE&amp;creator=factset&amp;DYN_ARGS=TRUE&amp;DOC_NAME=FAT:FQL_AUDITING_CLIENT_TEMPLATE.FAT&amp;display_string=Audit&amp;VAR:KEY=XUVUJADYRS&amp;VAR:QUERY=RkZfRUJJVERBX0lCKCdMVE1TJyw0MDE4Nyk=&amp;WINDOW=FIRST_POPUP&amp;HEIGHT=450&amp;WIDTH=450&amp;START_MA","XIMIZED=FALSE&amp;VAR:CALENDAR=US&amp;VAR:SYMBOL=37183T10&amp;VAR:INDEX=0"}</definedName>
    <definedName name="_3698__FDSAUDITLINK__" hidden="1">{"fdsup://directions/FAT Viewer?action=UPDATE&amp;creator=factset&amp;DYN_ARGS=TRUE&amp;DOC_NAME=FAT:FQL_AUDITING_CLIENT_TEMPLATE.FAT&amp;display_string=Audit&amp;VAR:KEY=XUVUJADYRS&amp;VAR:QUERY=RkZfRUJJVERBX0lCKCdMVE1TJyw0MDE4Nyk=&amp;WINDOW=FIRST_POPUP&amp;HEIGHT=450&amp;WIDTH=450&amp;START_MA","XIMIZED=FALSE&amp;VAR:CALENDAR=US&amp;VAR:SYMBOL=37183T10&amp;VAR:INDEX=0"}</definedName>
    <definedName name="_3699__FDSAUDITLINK__" localSheetId="6" hidden="1">{"fdsup://directions/FAT Viewer?action=UPDATE&amp;creator=factset&amp;DYN_ARGS=TRUE&amp;DOC_NAME=FAT:FQL_AUDITING_CLIENT_TEMPLATE.FAT&amp;display_string=Audit&amp;VAR:KEY=FEFCRKRGLA&amp;VAR:QUERY=RkZfRUJJVERBX0lCKCdMVE1TJyw0MDE4Nik=&amp;WINDOW=FIRST_POPUP&amp;HEIGHT=450&amp;WIDTH=450&amp;START_MA","XIMIZED=FALSE&amp;VAR:CALENDAR=US&amp;VAR:SYMBOL=37183T10&amp;VAR:INDEX=0"}</definedName>
    <definedName name="_3699__FDSAUDITLINK__" hidden="1">{"fdsup://directions/FAT Viewer?action=UPDATE&amp;creator=factset&amp;DYN_ARGS=TRUE&amp;DOC_NAME=FAT:FQL_AUDITING_CLIENT_TEMPLATE.FAT&amp;display_string=Audit&amp;VAR:KEY=FEFCRKRGLA&amp;VAR:QUERY=RkZfRUJJVERBX0lCKCdMVE1TJyw0MDE4Nik=&amp;WINDOW=FIRST_POPUP&amp;HEIGHT=450&amp;WIDTH=450&amp;START_MA","XIMIZED=FALSE&amp;VAR:CALENDAR=US&amp;VAR:SYMBOL=37183T10&amp;VAR:INDEX=0"}</definedName>
    <definedName name="_37__FDSAUDITLINK__" localSheetId="6" hidden="1">{"fdsup://directions/FAT Viewer?action=UPDATE&amp;creator=factset&amp;DYN_ARGS=TRUE&amp;DOC_NAME=FAT:FQL_AUDITING_CLIENT_TEMPLATE.FAT&amp;display_string=Audit&amp;VAR:KEY=LUTMJYFKJK&amp;VAR:QUERY=QVZHKENTRl9ORVRfSU5DKEFOTiwwRlksLTZGWSxZKSkgLyAoQVZHKENTRl9BU1NFVFMoQU5OLDBGWSwtNkZZL","EZZKSkgLSBBVkcoQ1NGX0lOVEFORyhBTk4sMCwtNkZZLEZZKSkp&amp;WINDOW=FIRST_POPUP&amp;HEIGHT=450&amp;WIDTH=450&amp;START_MAXIMIZED=FALSE&amp;VAR:CALENDAR=US&amp;VAR:SYMBOL=RLOG"}</definedName>
    <definedName name="_37__FDSAUDITLINK__" hidden="1">{"fdsup://directions/FAT Viewer?action=UPDATE&amp;creator=factset&amp;DYN_ARGS=TRUE&amp;DOC_NAME=FAT:FQL_AUDITING_CLIENT_TEMPLATE.FAT&amp;display_string=Audit&amp;VAR:KEY=LUTMJYFKJK&amp;VAR:QUERY=QVZHKENTRl9ORVRfSU5DKEFOTiwwRlksLTZGWSxZKSkgLyAoQVZHKENTRl9BU1NFVFMoQU5OLDBGWSwtNkZZL","EZZKSkgLSBBVkcoQ1NGX0lOVEFORyhBTk4sMCwtNkZZLEZZKSkp&amp;WINDOW=FIRST_POPUP&amp;HEIGHT=450&amp;WIDTH=450&amp;START_MAXIMIZED=FALSE&amp;VAR:CALENDAR=US&amp;VAR:SYMBOL=RLOG"}</definedName>
    <definedName name="_370__FDSAUDITLINK__" localSheetId="6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0__FDSAUDITLINK__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00__FDSAUDITLINK__" localSheetId="6" hidden="1">{"fdsup://directions/FAT Viewer?action=UPDATE&amp;creator=factset&amp;DYN_ARGS=TRUE&amp;DOC_NAME=FAT:FQL_AUDITING_CLIENT_TEMPLATE.FAT&amp;display_string=Audit&amp;VAR:KEY=FGFKBMHETG&amp;VAR:QUERY=RkZfRUJJVERBX0lCKCdMVE1TJyw0MDE4NSk=&amp;WINDOW=FIRST_POPUP&amp;HEIGHT=450&amp;WIDTH=450&amp;START_MA","XIMIZED=FALSE&amp;VAR:CALENDAR=US&amp;VAR:SYMBOL=37183T10&amp;VAR:INDEX=0"}</definedName>
    <definedName name="_3700__FDSAUDITLINK__" hidden="1">{"fdsup://directions/FAT Viewer?action=UPDATE&amp;creator=factset&amp;DYN_ARGS=TRUE&amp;DOC_NAME=FAT:FQL_AUDITING_CLIENT_TEMPLATE.FAT&amp;display_string=Audit&amp;VAR:KEY=FGFKBMHETG&amp;VAR:QUERY=RkZfRUJJVERBX0lCKCdMVE1TJyw0MDE4NSk=&amp;WINDOW=FIRST_POPUP&amp;HEIGHT=450&amp;WIDTH=450&amp;START_MA","XIMIZED=FALSE&amp;VAR:CALENDAR=US&amp;VAR:SYMBOL=37183T10&amp;VAR:INDEX=0"}</definedName>
    <definedName name="_3701__FDSAUDITLINK__" localSheetId="6" hidden="1">{"fdsup://directions/FAT Viewer?action=UPDATE&amp;creator=factset&amp;DYN_ARGS=TRUE&amp;DOC_NAME=FAT:FQL_AUDITING_CLIENT_TEMPLATE.FAT&amp;display_string=Audit&amp;VAR:KEY=NYHQNWDEBE&amp;VAR:QUERY=RkZfRUJJVERBX0lCKCdMVE1TJyw0MDE4NCk=&amp;WINDOW=FIRST_POPUP&amp;HEIGHT=450&amp;WIDTH=450&amp;START_MA","XIMIZED=FALSE&amp;VAR:CALENDAR=US&amp;VAR:SYMBOL=37183T10&amp;VAR:INDEX=0"}</definedName>
    <definedName name="_3701__FDSAUDITLINK__" hidden="1">{"fdsup://directions/FAT Viewer?action=UPDATE&amp;creator=factset&amp;DYN_ARGS=TRUE&amp;DOC_NAME=FAT:FQL_AUDITING_CLIENT_TEMPLATE.FAT&amp;display_string=Audit&amp;VAR:KEY=NYHQNWDEBE&amp;VAR:QUERY=RkZfRUJJVERBX0lCKCdMVE1TJyw0MDE4NCk=&amp;WINDOW=FIRST_POPUP&amp;HEIGHT=450&amp;WIDTH=450&amp;START_MA","XIMIZED=FALSE&amp;VAR:CALENDAR=US&amp;VAR:SYMBOL=37183T10&amp;VAR:INDEX=0"}</definedName>
    <definedName name="_3702__FDSAUDITLINK__" localSheetId="6" hidden="1">{"fdsup://directions/FAT Viewer?action=UPDATE&amp;creator=factset&amp;DYN_ARGS=TRUE&amp;DOC_NAME=FAT:FQL_AUDITING_CLIENT_TEMPLATE.FAT&amp;display_string=Audit&amp;VAR:KEY=FCRIVWTQFI&amp;VAR:QUERY=RkZfRUJJVERBX0lCKCdMVE1TJyw0MDE4Myk=&amp;WINDOW=FIRST_POPUP&amp;HEIGHT=450&amp;WIDTH=450&amp;START_MA","XIMIZED=FALSE&amp;VAR:CALENDAR=US&amp;VAR:SYMBOL=37183T10&amp;VAR:INDEX=0"}</definedName>
    <definedName name="_3702__FDSAUDITLINK__" hidden="1">{"fdsup://directions/FAT Viewer?action=UPDATE&amp;creator=factset&amp;DYN_ARGS=TRUE&amp;DOC_NAME=FAT:FQL_AUDITING_CLIENT_TEMPLATE.FAT&amp;display_string=Audit&amp;VAR:KEY=FCRIVWTQFI&amp;VAR:QUERY=RkZfRUJJVERBX0lCKCdMVE1TJyw0MDE4Myk=&amp;WINDOW=FIRST_POPUP&amp;HEIGHT=450&amp;WIDTH=450&amp;START_MA","XIMIZED=FALSE&amp;VAR:CALENDAR=US&amp;VAR:SYMBOL=37183T10&amp;VAR:INDEX=0"}</definedName>
    <definedName name="_3703__FDSAUDITLINK__" localSheetId="6" hidden="1">{"fdsup://directions/FAT Viewer?action=UPDATE&amp;creator=factset&amp;DYN_ARGS=TRUE&amp;DOC_NAME=FAT:FQL_AUDITING_CLIENT_TEMPLATE.FAT&amp;display_string=Audit&amp;VAR:KEY=NGHIXITIVY&amp;VAR:QUERY=RkZfRUJJVERBX0lCKCdMVE1TJyw0MDE4Mik=&amp;WINDOW=FIRST_POPUP&amp;HEIGHT=450&amp;WIDTH=450&amp;START_MA","XIMIZED=FALSE&amp;VAR:CALENDAR=US&amp;VAR:SYMBOL=37183T10&amp;VAR:INDEX=0"}</definedName>
    <definedName name="_3703__FDSAUDITLINK__" hidden="1">{"fdsup://directions/FAT Viewer?action=UPDATE&amp;creator=factset&amp;DYN_ARGS=TRUE&amp;DOC_NAME=FAT:FQL_AUDITING_CLIENT_TEMPLATE.FAT&amp;display_string=Audit&amp;VAR:KEY=NGHIXITIVY&amp;VAR:QUERY=RkZfRUJJVERBX0lCKCdMVE1TJyw0MDE4Mik=&amp;WINDOW=FIRST_POPUP&amp;HEIGHT=450&amp;WIDTH=450&amp;START_MA","XIMIZED=FALSE&amp;VAR:CALENDAR=US&amp;VAR:SYMBOL=37183T10&amp;VAR:INDEX=0"}</definedName>
    <definedName name="_3704__FDSAUDITLINK__" localSheetId="6" hidden="1">{"fdsup://directions/FAT Viewer?action=UPDATE&amp;creator=factset&amp;DYN_ARGS=TRUE&amp;DOC_NAME=FAT:FQL_AUDITING_CLIENT_TEMPLATE.FAT&amp;display_string=Audit&amp;VAR:KEY=XMVUPILEPY&amp;VAR:QUERY=RkZfRUJJVERBX0lCKCdMVE1TJyw0MDE4MSk=&amp;WINDOW=FIRST_POPUP&amp;HEIGHT=450&amp;WIDTH=450&amp;START_MA","XIMIZED=FALSE&amp;VAR:CALENDAR=US&amp;VAR:SYMBOL=37183T10&amp;VAR:INDEX=0"}</definedName>
    <definedName name="_3704__FDSAUDITLINK__" hidden="1">{"fdsup://directions/FAT Viewer?action=UPDATE&amp;creator=factset&amp;DYN_ARGS=TRUE&amp;DOC_NAME=FAT:FQL_AUDITING_CLIENT_TEMPLATE.FAT&amp;display_string=Audit&amp;VAR:KEY=XMVUPILEPY&amp;VAR:QUERY=RkZfRUJJVERBX0lCKCdMVE1TJyw0MDE4MSk=&amp;WINDOW=FIRST_POPUP&amp;HEIGHT=450&amp;WIDTH=450&amp;START_MA","XIMIZED=FALSE&amp;VAR:CALENDAR=US&amp;VAR:SYMBOL=37183T10&amp;VAR:INDEX=0"}</definedName>
    <definedName name="_3705__FDSAUDITLINK__" localSheetId="6" hidden="1">{"fdsup://directions/FAT Viewer?action=UPDATE&amp;creator=factset&amp;DYN_ARGS=TRUE&amp;DOC_NAME=FAT:FQL_AUDITING_CLIENT_TEMPLATE.FAT&amp;display_string=Audit&amp;VAR:KEY=JAZSXIJUDG&amp;VAR:QUERY=RkZfRUJJVERBX0lCKCdMVE1TJyw0MDE4MCk=&amp;WINDOW=FIRST_POPUP&amp;HEIGHT=450&amp;WIDTH=450&amp;START_MA","XIMIZED=FALSE&amp;VAR:CALENDAR=US&amp;VAR:SYMBOL=37183T10&amp;VAR:INDEX=0"}</definedName>
    <definedName name="_3705__FDSAUDITLINK__" hidden="1">{"fdsup://directions/FAT Viewer?action=UPDATE&amp;creator=factset&amp;DYN_ARGS=TRUE&amp;DOC_NAME=FAT:FQL_AUDITING_CLIENT_TEMPLATE.FAT&amp;display_string=Audit&amp;VAR:KEY=JAZSXIJUDG&amp;VAR:QUERY=RkZfRUJJVERBX0lCKCdMVE1TJyw0MDE4MCk=&amp;WINDOW=FIRST_POPUP&amp;HEIGHT=450&amp;WIDTH=450&amp;START_MA","XIMIZED=FALSE&amp;VAR:CALENDAR=US&amp;VAR:SYMBOL=37183T10&amp;VAR:INDEX=0"}</definedName>
    <definedName name="_3706__FDSAUDITLINK__" localSheetId="6" hidden="1">{"fdsup://directions/FAT Viewer?action=UPDATE&amp;creator=factset&amp;DYN_ARGS=TRUE&amp;DOC_NAME=FAT:FQL_AUDITING_CLIENT_TEMPLATE.FAT&amp;display_string=Audit&amp;VAR:KEY=NIJWPAFGRS&amp;VAR:QUERY=RkZfRUJJVERBX0lCKCdMVE1TJyw0MDE3OSk=&amp;WINDOW=FIRST_POPUP&amp;HEIGHT=450&amp;WIDTH=450&amp;START_MA","XIMIZED=FALSE&amp;VAR:CALENDAR=US&amp;VAR:SYMBOL=37183T10&amp;VAR:INDEX=0"}</definedName>
    <definedName name="_3706__FDSAUDITLINK__" hidden="1">{"fdsup://directions/FAT Viewer?action=UPDATE&amp;creator=factset&amp;DYN_ARGS=TRUE&amp;DOC_NAME=FAT:FQL_AUDITING_CLIENT_TEMPLATE.FAT&amp;display_string=Audit&amp;VAR:KEY=NIJWPAFGRS&amp;VAR:QUERY=RkZfRUJJVERBX0lCKCdMVE1TJyw0MDE3OSk=&amp;WINDOW=FIRST_POPUP&amp;HEIGHT=450&amp;WIDTH=450&amp;START_MA","XIMIZED=FALSE&amp;VAR:CALENDAR=US&amp;VAR:SYMBOL=37183T10&amp;VAR:INDEX=0"}</definedName>
    <definedName name="_3707__FDSAUDITLINK__" localSheetId="6" hidden="1">{"fdsup://directions/FAT Viewer?action=UPDATE&amp;creator=factset&amp;DYN_ARGS=TRUE&amp;DOC_NAME=FAT:FQL_AUDITING_CLIENT_TEMPLATE.FAT&amp;display_string=Audit&amp;VAR:KEY=LQBAVQDSHG&amp;VAR:QUERY=RkZfRUJJVERBX0lCKCdMVE1TJyw0MDE3OCk=&amp;WINDOW=FIRST_POPUP&amp;HEIGHT=450&amp;WIDTH=450&amp;START_MA","XIMIZED=FALSE&amp;VAR:CALENDAR=US&amp;VAR:SYMBOL=37183T10&amp;VAR:INDEX=0"}</definedName>
    <definedName name="_3707__FDSAUDITLINK__" hidden="1">{"fdsup://directions/FAT Viewer?action=UPDATE&amp;creator=factset&amp;DYN_ARGS=TRUE&amp;DOC_NAME=FAT:FQL_AUDITING_CLIENT_TEMPLATE.FAT&amp;display_string=Audit&amp;VAR:KEY=LQBAVQDSHG&amp;VAR:QUERY=RkZfRUJJVERBX0lCKCdMVE1TJyw0MDE3OCk=&amp;WINDOW=FIRST_POPUP&amp;HEIGHT=450&amp;WIDTH=450&amp;START_MA","XIMIZED=FALSE&amp;VAR:CALENDAR=US&amp;VAR:SYMBOL=37183T10&amp;VAR:INDEX=0"}</definedName>
    <definedName name="_3708__FDSAUDITLINK__" localSheetId="6" hidden="1">{"fdsup://directions/FAT Viewer?action=UPDATE&amp;creator=factset&amp;DYN_ARGS=TRUE&amp;DOC_NAME=FAT:FQL_AUDITING_CLIENT_TEMPLATE.FAT&amp;display_string=Audit&amp;VAR:KEY=JGNIXMBCZM&amp;VAR:QUERY=RkZfRUJJVERBX0lCKCdMVE1TJyw0MDE3Nyk=&amp;WINDOW=FIRST_POPUP&amp;HEIGHT=450&amp;WIDTH=450&amp;START_MA","XIMIZED=FALSE&amp;VAR:CALENDAR=US&amp;VAR:SYMBOL=37183T10&amp;VAR:INDEX=0"}</definedName>
    <definedName name="_3708__FDSAUDITLINK__" hidden="1">{"fdsup://directions/FAT Viewer?action=UPDATE&amp;creator=factset&amp;DYN_ARGS=TRUE&amp;DOC_NAME=FAT:FQL_AUDITING_CLIENT_TEMPLATE.FAT&amp;display_string=Audit&amp;VAR:KEY=JGNIXMBCZM&amp;VAR:QUERY=RkZfRUJJVERBX0lCKCdMVE1TJyw0MDE3Nyk=&amp;WINDOW=FIRST_POPUP&amp;HEIGHT=450&amp;WIDTH=450&amp;START_MA","XIMIZED=FALSE&amp;VAR:CALENDAR=US&amp;VAR:SYMBOL=37183T10&amp;VAR:INDEX=0"}</definedName>
    <definedName name="_3709__FDSAUDITLINK__" localSheetId="6" hidden="1">{"fdsup://directions/FAT Viewer?action=UPDATE&amp;creator=factset&amp;DYN_ARGS=TRUE&amp;DOC_NAME=FAT:FQL_AUDITING_CLIENT_TEMPLATE.FAT&amp;display_string=Audit&amp;VAR:KEY=RODYXCTANK&amp;VAR:QUERY=RkZfRUJJVERBX0lCKCdMVE1TJyw0MDE3Nik=&amp;WINDOW=FIRST_POPUP&amp;HEIGHT=450&amp;WIDTH=450&amp;START_MA","XIMIZED=FALSE&amp;VAR:CALENDAR=US&amp;VAR:SYMBOL=37183T10&amp;VAR:INDEX=0"}</definedName>
    <definedName name="_3709__FDSAUDITLINK__" hidden="1">{"fdsup://directions/FAT Viewer?action=UPDATE&amp;creator=factset&amp;DYN_ARGS=TRUE&amp;DOC_NAME=FAT:FQL_AUDITING_CLIENT_TEMPLATE.FAT&amp;display_string=Audit&amp;VAR:KEY=RODYXCTANK&amp;VAR:QUERY=RkZfRUJJVERBX0lCKCdMVE1TJyw0MDE3Nik=&amp;WINDOW=FIRST_POPUP&amp;HEIGHT=450&amp;WIDTH=450&amp;START_MA","XIMIZED=FALSE&amp;VAR:CALENDAR=US&amp;VAR:SYMBOL=37183T10&amp;VAR:INDEX=0"}</definedName>
    <definedName name="_371__FDSAUDITLINK__" localSheetId="6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1__FDSAUDITLINK__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10__FDSAUDITLINK__" localSheetId="6" hidden="1">{"fdsup://directions/FAT Viewer?action=UPDATE&amp;creator=factset&amp;DYN_ARGS=TRUE&amp;DOC_NAME=FAT:FQL_AUDITING_CLIENT_TEMPLATE.FAT&amp;display_string=Audit&amp;VAR:KEY=HSFCLIVMJY&amp;VAR:QUERY=RkZfRUJJVERBX0lCKCdMVE1TJyw0MDE3NSk=&amp;WINDOW=FIRST_POPUP&amp;HEIGHT=450&amp;WIDTH=450&amp;START_MA","XIMIZED=FALSE&amp;VAR:CALENDAR=US&amp;VAR:SYMBOL=37183T10&amp;VAR:INDEX=0"}</definedName>
    <definedName name="_3710__FDSAUDITLINK__" hidden="1">{"fdsup://directions/FAT Viewer?action=UPDATE&amp;creator=factset&amp;DYN_ARGS=TRUE&amp;DOC_NAME=FAT:FQL_AUDITING_CLIENT_TEMPLATE.FAT&amp;display_string=Audit&amp;VAR:KEY=HSFCLIVMJY&amp;VAR:QUERY=RkZfRUJJVERBX0lCKCdMVE1TJyw0MDE3NSk=&amp;WINDOW=FIRST_POPUP&amp;HEIGHT=450&amp;WIDTH=450&amp;START_MA","XIMIZED=FALSE&amp;VAR:CALENDAR=US&amp;VAR:SYMBOL=37183T10&amp;VAR:INDEX=0"}</definedName>
    <definedName name="_3711__FDSAUDITLINK__" localSheetId="6" hidden="1">{"fdsup://directions/FAT Viewer?action=UPDATE&amp;creator=factset&amp;DYN_ARGS=TRUE&amp;DOC_NAME=FAT:FQL_AUDITING_CLIENT_TEMPLATE.FAT&amp;display_string=Audit&amp;VAR:KEY=LMFUTGTOTI&amp;VAR:QUERY=RkZfRUJJVERBX0lCKCdMVE1TJyw0MDE3NCk=&amp;WINDOW=FIRST_POPUP&amp;HEIGHT=450&amp;WIDTH=450&amp;START_MA","XIMIZED=FALSE&amp;VAR:CALENDAR=US&amp;VAR:SYMBOL=37183T10&amp;VAR:INDEX=0"}</definedName>
    <definedName name="_3711__FDSAUDITLINK__" hidden="1">{"fdsup://directions/FAT Viewer?action=UPDATE&amp;creator=factset&amp;DYN_ARGS=TRUE&amp;DOC_NAME=FAT:FQL_AUDITING_CLIENT_TEMPLATE.FAT&amp;display_string=Audit&amp;VAR:KEY=LMFUTGTOTI&amp;VAR:QUERY=RkZfRUJJVERBX0lCKCdMVE1TJyw0MDE3NCk=&amp;WINDOW=FIRST_POPUP&amp;HEIGHT=450&amp;WIDTH=450&amp;START_MA","XIMIZED=FALSE&amp;VAR:CALENDAR=US&amp;VAR:SYMBOL=37183T10&amp;VAR:INDEX=0"}</definedName>
    <definedName name="_3712__FDSAUDITLINK__" localSheetId="6" hidden="1">{"fdsup://directions/FAT Viewer?action=UPDATE&amp;creator=factset&amp;DYN_ARGS=TRUE&amp;DOC_NAME=FAT:FQL_AUDITING_CLIENT_TEMPLATE.FAT&amp;display_string=Audit&amp;VAR:KEY=HMNCNQFKZM&amp;VAR:QUERY=RkZfRUJJVERBX0lCKCdMVE1TJyw0MDE3Myk=&amp;WINDOW=FIRST_POPUP&amp;HEIGHT=450&amp;WIDTH=450&amp;START_MA","XIMIZED=FALSE&amp;VAR:CALENDAR=US&amp;VAR:SYMBOL=37183T10&amp;VAR:INDEX=0"}</definedName>
    <definedName name="_3712__FDSAUDITLINK__" hidden="1">{"fdsup://directions/FAT Viewer?action=UPDATE&amp;creator=factset&amp;DYN_ARGS=TRUE&amp;DOC_NAME=FAT:FQL_AUDITING_CLIENT_TEMPLATE.FAT&amp;display_string=Audit&amp;VAR:KEY=HMNCNQFKZM&amp;VAR:QUERY=RkZfRUJJVERBX0lCKCdMVE1TJyw0MDE3Myk=&amp;WINDOW=FIRST_POPUP&amp;HEIGHT=450&amp;WIDTH=450&amp;START_MA","XIMIZED=FALSE&amp;VAR:CALENDAR=US&amp;VAR:SYMBOL=37183T10&amp;VAR:INDEX=0"}</definedName>
    <definedName name="_3713__FDSAUDITLINK__" localSheetId="6" hidden="1">{"fdsup://directions/FAT Viewer?action=UPDATE&amp;creator=factset&amp;DYN_ARGS=TRUE&amp;DOC_NAME=FAT:FQL_AUDITING_CLIENT_TEMPLATE.FAT&amp;display_string=Audit&amp;VAR:KEY=BYBARQFKFS&amp;VAR:QUERY=RkZfRUJJVERBX0lCKCdMVE1TJyw0MDE3Mik=&amp;WINDOW=FIRST_POPUP&amp;HEIGHT=450&amp;WIDTH=450&amp;START_MA","XIMIZED=FALSE&amp;VAR:CALENDAR=US&amp;VAR:SYMBOL=37183T10&amp;VAR:INDEX=0"}</definedName>
    <definedName name="_3713__FDSAUDITLINK__" hidden="1">{"fdsup://directions/FAT Viewer?action=UPDATE&amp;creator=factset&amp;DYN_ARGS=TRUE&amp;DOC_NAME=FAT:FQL_AUDITING_CLIENT_TEMPLATE.FAT&amp;display_string=Audit&amp;VAR:KEY=BYBARQFKFS&amp;VAR:QUERY=RkZfRUJJVERBX0lCKCdMVE1TJyw0MDE3Mik=&amp;WINDOW=FIRST_POPUP&amp;HEIGHT=450&amp;WIDTH=450&amp;START_MA","XIMIZED=FALSE&amp;VAR:CALENDAR=US&amp;VAR:SYMBOL=37183T10&amp;VAR:INDEX=0"}</definedName>
    <definedName name="_3714__FDSAUDITLINK__" localSheetId="6" hidden="1">{"fdsup://directions/FAT Viewer?action=UPDATE&amp;creator=factset&amp;DYN_ARGS=TRUE&amp;DOC_NAME=FAT:FQL_AUDITING_CLIENT_TEMPLATE.FAT&amp;display_string=Audit&amp;VAR:KEY=XCVOFCNQBE&amp;VAR:QUERY=RkZfRUJJVERBX0lCKCdMVE1TJyw0MDE3MSk=&amp;WINDOW=FIRST_POPUP&amp;HEIGHT=450&amp;WIDTH=450&amp;START_MA","XIMIZED=FALSE&amp;VAR:CALENDAR=US&amp;VAR:SYMBOL=37183T10&amp;VAR:INDEX=0"}</definedName>
    <definedName name="_3714__FDSAUDITLINK__" hidden="1">{"fdsup://directions/FAT Viewer?action=UPDATE&amp;creator=factset&amp;DYN_ARGS=TRUE&amp;DOC_NAME=FAT:FQL_AUDITING_CLIENT_TEMPLATE.FAT&amp;display_string=Audit&amp;VAR:KEY=XCVOFCNQBE&amp;VAR:QUERY=RkZfRUJJVERBX0lCKCdMVE1TJyw0MDE3MSk=&amp;WINDOW=FIRST_POPUP&amp;HEIGHT=450&amp;WIDTH=450&amp;START_MA","XIMIZED=FALSE&amp;VAR:CALENDAR=US&amp;VAR:SYMBOL=37183T10&amp;VAR:INDEX=0"}</definedName>
    <definedName name="_3715__FDSAUDITLINK__" localSheetId="6" hidden="1">{"fdsup://directions/FAT Viewer?action=UPDATE&amp;creator=factset&amp;DYN_ARGS=TRUE&amp;DOC_NAME=FAT:FQL_AUDITING_CLIENT_TEMPLATE.FAT&amp;display_string=Audit&amp;VAR:KEY=JGBYDMFILA&amp;VAR:QUERY=RkZfRUJJVERBX0lCKCdMVE1TJyw0MDE3MCk=&amp;WINDOW=FIRST_POPUP&amp;HEIGHT=450&amp;WIDTH=450&amp;START_MA","XIMIZED=FALSE&amp;VAR:CALENDAR=US&amp;VAR:SYMBOL=37183T10&amp;VAR:INDEX=0"}</definedName>
    <definedName name="_3715__FDSAUDITLINK__" hidden="1">{"fdsup://directions/FAT Viewer?action=UPDATE&amp;creator=factset&amp;DYN_ARGS=TRUE&amp;DOC_NAME=FAT:FQL_AUDITING_CLIENT_TEMPLATE.FAT&amp;display_string=Audit&amp;VAR:KEY=JGBYDMFILA&amp;VAR:QUERY=RkZfRUJJVERBX0lCKCdMVE1TJyw0MDE3MCk=&amp;WINDOW=FIRST_POPUP&amp;HEIGHT=450&amp;WIDTH=450&amp;START_MA","XIMIZED=FALSE&amp;VAR:CALENDAR=US&amp;VAR:SYMBOL=37183T10&amp;VAR:INDEX=0"}</definedName>
    <definedName name="_3716__FDSAUDITLINK__" localSheetId="6" hidden="1">{"fdsup://directions/FAT Viewer?action=UPDATE&amp;creator=factset&amp;DYN_ARGS=TRUE&amp;DOC_NAME=FAT:FQL_AUDITING_CLIENT_TEMPLATE.FAT&amp;display_string=Audit&amp;VAR:KEY=RYFKFYXENW&amp;VAR:QUERY=RkZfRUJJVERBX0lCKCdMVE1TJyw0MDE2OSk=&amp;WINDOW=FIRST_POPUP&amp;HEIGHT=450&amp;WIDTH=450&amp;START_MA","XIMIZED=FALSE&amp;VAR:CALENDAR=US&amp;VAR:SYMBOL=37183T10&amp;VAR:INDEX=0"}</definedName>
    <definedName name="_3716__FDSAUDITLINK__" hidden="1">{"fdsup://directions/FAT Viewer?action=UPDATE&amp;creator=factset&amp;DYN_ARGS=TRUE&amp;DOC_NAME=FAT:FQL_AUDITING_CLIENT_TEMPLATE.FAT&amp;display_string=Audit&amp;VAR:KEY=RYFKFYXENW&amp;VAR:QUERY=RkZfRUJJVERBX0lCKCdMVE1TJyw0MDE2OSk=&amp;WINDOW=FIRST_POPUP&amp;HEIGHT=450&amp;WIDTH=450&amp;START_MA","XIMIZED=FALSE&amp;VAR:CALENDAR=US&amp;VAR:SYMBOL=37183T10&amp;VAR:INDEX=0"}</definedName>
    <definedName name="_3717__FDSAUDITLINK__" localSheetId="6" hidden="1">{"fdsup://directions/FAT Viewer?action=UPDATE&amp;creator=factset&amp;DYN_ARGS=TRUE&amp;DOC_NAME=FAT:FQL_AUDITING_CLIENT_TEMPLATE.FAT&amp;display_string=Audit&amp;VAR:KEY=PGVEREHQTK&amp;VAR:QUERY=RkZfRUJJVERBX0lCKCdMVE1TJyw0MDE2OCk=&amp;WINDOW=FIRST_POPUP&amp;HEIGHT=450&amp;WIDTH=450&amp;START_MA","XIMIZED=FALSE&amp;VAR:CALENDAR=US&amp;VAR:SYMBOL=37183T10&amp;VAR:INDEX=0"}</definedName>
    <definedName name="_3717__FDSAUDITLINK__" hidden="1">{"fdsup://directions/FAT Viewer?action=UPDATE&amp;creator=factset&amp;DYN_ARGS=TRUE&amp;DOC_NAME=FAT:FQL_AUDITING_CLIENT_TEMPLATE.FAT&amp;display_string=Audit&amp;VAR:KEY=PGVEREHQTK&amp;VAR:QUERY=RkZfRUJJVERBX0lCKCdMVE1TJyw0MDE2OCk=&amp;WINDOW=FIRST_POPUP&amp;HEIGHT=450&amp;WIDTH=450&amp;START_MA","XIMIZED=FALSE&amp;VAR:CALENDAR=US&amp;VAR:SYMBOL=37183T10&amp;VAR:INDEX=0"}</definedName>
    <definedName name="_3718__FDSAUDITLINK__" localSheetId="6" hidden="1">{"fdsup://directions/FAT Viewer?action=UPDATE&amp;creator=factset&amp;DYN_ARGS=TRUE&amp;DOC_NAME=FAT:FQL_AUDITING_CLIENT_TEMPLATE.FAT&amp;display_string=Audit&amp;VAR:KEY=BMZMHEZGDW&amp;VAR:QUERY=RkZfRUJJVERBX0lCKCdMVE1TJyw0MDE2Nyk=&amp;WINDOW=FIRST_POPUP&amp;HEIGHT=450&amp;WIDTH=450&amp;START_MA","XIMIZED=FALSE&amp;VAR:CALENDAR=US&amp;VAR:SYMBOL=37183T10&amp;VAR:INDEX=0"}</definedName>
    <definedName name="_3718__FDSAUDITLINK__" hidden="1">{"fdsup://directions/FAT Viewer?action=UPDATE&amp;creator=factset&amp;DYN_ARGS=TRUE&amp;DOC_NAME=FAT:FQL_AUDITING_CLIENT_TEMPLATE.FAT&amp;display_string=Audit&amp;VAR:KEY=BMZMHEZGDW&amp;VAR:QUERY=RkZfRUJJVERBX0lCKCdMVE1TJyw0MDE2Nyk=&amp;WINDOW=FIRST_POPUP&amp;HEIGHT=450&amp;WIDTH=450&amp;START_MA","XIMIZED=FALSE&amp;VAR:CALENDAR=US&amp;VAR:SYMBOL=37183T10&amp;VAR:INDEX=0"}</definedName>
    <definedName name="_3719__FDSAUDITLINK__" localSheetId="6" hidden="1">{"fdsup://directions/FAT Viewer?action=UPDATE&amp;creator=factset&amp;DYN_ARGS=TRUE&amp;DOC_NAME=FAT:FQL_AUDITING_CLIENT_TEMPLATE.FAT&amp;display_string=Audit&amp;VAR:KEY=VEVUVCTQPS&amp;VAR:QUERY=RkZfRUJJVERBX0lCKCdMVE1TJyw0MDE2Nik=&amp;WINDOW=FIRST_POPUP&amp;HEIGHT=450&amp;WIDTH=450&amp;START_MA","XIMIZED=FALSE&amp;VAR:CALENDAR=US&amp;VAR:SYMBOL=37183T10&amp;VAR:INDEX=0"}</definedName>
    <definedName name="_3719__FDSAUDITLINK__" hidden="1">{"fdsup://directions/FAT Viewer?action=UPDATE&amp;creator=factset&amp;DYN_ARGS=TRUE&amp;DOC_NAME=FAT:FQL_AUDITING_CLIENT_TEMPLATE.FAT&amp;display_string=Audit&amp;VAR:KEY=VEVUVCTQPS&amp;VAR:QUERY=RkZfRUJJVERBX0lCKCdMVE1TJyw0MDE2Nik=&amp;WINDOW=FIRST_POPUP&amp;HEIGHT=450&amp;WIDTH=450&amp;START_MA","XIMIZED=FALSE&amp;VAR:CALENDAR=US&amp;VAR:SYMBOL=37183T10&amp;VAR:INDEX=0"}</definedName>
    <definedName name="_372__FDSAUDITLINK__" localSheetId="6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2__FDSAUDITLINK__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20__FDSAUDITLINK__" localSheetId="6" hidden="1">{"fdsup://directions/FAT Viewer?action=UPDATE&amp;creator=factset&amp;DYN_ARGS=TRUE&amp;DOC_NAME=FAT:FQL_AUDITING_CLIENT_TEMPLATE.FAT&amp;display_string=Audit&amp;VAR:KEY=RAPIHWHMHA&amp;VAR:QUERY=RkZfRUJJVERBX0lCKCdMVE1TJyw0MDE2NSk=&amp;WINDOW=FIRST_POPUP&amp;HEIGHT=450&amp;WIDTH=450&amp;START_MA","XIMIZED=FALSE&amp;VAR:CALENDAR=US&amp;VAR:SYMBOL=37183T10&amp;VAR:INDEX=0"}</definedName>
    <definedName name="_3720__FDSAUDITLINK__" hidden="1">{"fdsup://directions/FAT Viewer?action=UPDATE&amp;creator=factset&amp;DYN_ARGS=TRUE&amp;DOC_NAME=FAT:FQL_AUDITING_CLIENT_TEMPLATE.FAT&amp;display_string=Audit&amp;VAR:KEY=RAPIHWHMHA&amp;VAR:QUERY=RkZfRUJJVERBX0lCKCdMVE1TJyw0MDE2NSk=&amp;WINDOW=FIRST_POPUP&amp;HEIGHT=450&amp;WIDTH=450&amp;START_MA","XIMIZED=FALSE&amp;VAR:CALENDAR=US&amp;VAR:SYMBOL=37183T10&amp;VAR:INDEX=0"}</definedName>
    <definedName name="_3721__FDSAUDITLINK__" localSheetId="6" hidden="1">{"fdsup://directions/FAT Viewer?action=UPDATE&amp;creator=factset&amp;DYN_ARGS=TRUE&amp;DOC_NAME=FAT:FQL_AUDITING_CLIENT_TEMPLATE.FAT&amp;display_string=Audit&amp;VAR:KEY=XSZARGJCRI&amp;VAR:QUERY=RkZfRUJJVERBX0lCKCdMVE1TJyw0MDE2NCk=&amp;WINDOW=FIRST_POPUP&amp;HEIGHT=450&amp;WIDTH=450&amp;START_MA","XIMIZED=FALSE&amp;VAR:CALENDAR=US&amp;VAR:SYMBOL=37183T10&amp;VAR:INDEX=0"}</definedName>
    <definedName name="_3721__FDSAUDITLINK__" hidden="1">{"fdsup://directions/FAT Viewer?action=UPDATE&amp;creator=factset&amp;DYN_ARGS=TRUE&amp;DOC_NAME=FAT:FQL_AUDITING_CLIENT_TEMPLATE.FAT&amp;display_string=Audit&amp;VAR:KEY=XSZARGJCRI&amp;VAR:QUERY=RkZfRUJJVERBX0lCKCdMVE1TJyw0MDE2NCk=&amp;WINDOW=FIRST_POPUP&amp;HEIGHT=450&amp;WIDTH=450&amp;START_MA","XIMIZED=FALSE&amp;VAR:CALENDAR=US&amp;VAR:SYMBOL=37183T10&amp;VAR:INDEX=0"}</definedName>
    <definedName name="_3722__FDSAUDITLINK__" localSheetId="6" hidden="1">{"fdsup://directions/FAT Viewer?action=UPDATE&amp;creator=factset&amp;DYN_ARGS=TRUE&amp;DOC_NAME=FAT:FQL_AUDITING_CLIENT_TEMPLATE.FAT&amp;display_string=Audit&amp;VAR:KEY=RYPCFAZGJI&amp;VAR:QUERY=RkZfRUJJVERBX0lCKCdMVE1TJyw0MDE2Myk=&amp;WINDOW=FIRST_POPUP&amp;HEIGHT=450&amp;WIDTH=450&amp;START_MA","XIMIZED=FALSE&amp;VAR:CALENDAR=US&amp;VAR:SYMBOL=37183T10&amp;VAR:INDEX=0"}</definedName>
    <definedName name="_3722__FDSAUDITLINK__" hidden="1">{"fdsup://directions/FAT Viewer?action=UPDATE&amp;creator=factset&amp;DYN_ARGS=TRUE&amp;DOC_NAME=FAT:FQL_AUDITING_CLIENT_TEMPLATE.FAT&amp;display_string=Audit&amp;VAR:KEY=RYPCFAZGJI&amp;VAR:QUERY=RkZfRUJJVERBX0lCKCdMVE1TJyw0MDE2Myk=&amp;WINDOW=FIRST_POPUP&amp;HEIGHT=450&amp;WIDTH=450&amp;START_MA","XIMIZED=FALSE&amp;VAR:CALENDAR=US&amp;VAR:SYMBOL=37183T10&amp;VAR:INDEX=0"}</definedName>
    <definedName name="_3723__FDSAUDITLINK__" localSheetId="6" hidden="1">{"fdsup://directions/FAT Viewer?action=UPDATE&amp;creator=factset&amp;DYN_ARGS=TRUE&amp;DOC_NAME=FAT:FQL_AUDITING_CLIENT_TEMPLATE.FAT&amp;display_string=Audit&amp;VAR:KEY=VWDSFGPOJE&amp;VAR:QUERY=RkZfRUJJVERBX0lCKCdMVE1TJyw0MDE2Mik=&amp;WINDOW=FIRST_POPUP&amp;HEIGHT=450&amp;WIDTH=450&amp;START_MA","XIMIZED=FALSE&amp;VAR:CALENDAR=US&amp;VAR:SYMBOL=37183T10&amp;VAR:INDEX=0"}</definedName>
    <definedName name="_3723__FDSAUDITLINK__" hidden="1">{"fdsup://directions/FAT Viewer?action=UPDATE&amp;creator=factset&amp;DYN_ARGS=TRUE&amp;DOC_NAME=FAT:FQL_AUDITING_CLIENT_TEMPLATE.FAT&amp;display_string=Audit&amp;VAR:KEY=VWDSFGPOJE&amp;VAR:QUERY=RkZfRUJJVERBX0lCKCdMVE1TJyw0MDE2Mik=&amp;WINDOW=FIRST_POPUP&amp;HEIGHT=450&amp;WIDTH=450&amp;START_MA","XIMIZED=FALSE&amp;VAR:CALENDAR=US&amp;VAR:SYMBOL=37183T10&amp;VAR:INDEX=0"}</definedName>
    <definedName name="_3724__FDSAUDITLINK__" localSheetId="6" hidden="1">{"fdsup://directions/FAT Viewer?action=UPDATE&amp;creator=factset&amp;DYN_ARGS=TRUE&amp;DOC_NAME=FAT:FQL_AUDITING_CLIENT_TEMPLATE.FAT&amp;display_string=Audit&amp;VAR:KEY=NEXUJKBQJQ&amp;VAR:QUERY=RkZfRUJJVERBX0lCKCdMVE1TJyw0MDE2MSk=&amp;WINDOW=FIRST_POPUP&amp;HEIGHT=450&amp;WIDTH=450&amp;START_MA","XIMIZED=FALSE&amp;VAR:CALENDAR=US&amp;VAR:SYMBOL=37183T10&amp;VAR:INDEX=0"}</definedName>
    <definedName name="_3724__FDSAUDITLINK__" hidden="1">{"fdsup://directions/FAT Viewer?action=UPDATE&amp;creator=factset&amp;DYN_ARGS=TRUE&amp;DOC_NAME=FAT:FQL_AUDITING_CLIENT_TEMPLATE.FAT&amp;display_string=Audit&amp;VAR:KEY=NEXUJKBQJQ&amp;VAR:QUERY=RkZfRUJJVERBX0lCKCdMVE1TJyw0MDE2MSk=&amp;WINDOW=FIRST_POPUP&amp;HEIGHT=450&amp;WIDTH=450&amp;START_MA","XIMIZED=FALSE&amp;VAR:CALENDAR=US&amp;VAR:SYMBOL=37183T10&amp;VAR:INDEX=0"}</definedName>
    <definedName name="_3725__FDSAUDITLINK__" localSheetId="6" hidden="1">{"fdsup://directions/FAT Viewer?action=UPDATE&amp;creator=factset&amp;DYN_ARGS=TRUE&amp;DOC_NAME=FAT:FQL_AUDITING_CLIENT_TEMPLATE.FAT&amp;display_string=Audit&amp;VAR:KEY=HEZALCDWXE&amp;VAR:QUERY=RkZfRUJJVERBX0lCKCdMVE1TJyw0MDE2MCk=&amp;WINDOW=FIRST_POPUP&amp;HEIGHT=450&amp;WIDTH=450&amp;START_MA","XIMIZED=FALSE&amp;VAR:CALENDAR=US&amp;VAR:SYMBOL=37183T10&amp;VAR:INDEX=0"}</definedName>
    <definedName name="_3725__FDSAUDITLINK__" hidden="1">{"fdsup://directions/FAT Viewer?action=UPDATE&amp;creator=factset&amp;DYN_ARGS=TRUE&amp;DOC_NAME=FAT:FQL_AUDITING_CLIENT_TEMPLATE.FAT&amp;display_string=Audit&amp;VAR:KEY=HEZALCDWXE&amp;VAR:QUERY=RkZfRUJJVERBX0lCKCdMVE1TJyw0MDE2MCk=&amp;WINDOW=FIRST_POPUP&amp;HEIGHT=450&amp;WIDTH=450&amp;START_MA","XIMIZED=FALSE&amp;VAR:CALENDAR=US&amp;VAR:SYMBOL=37183T10&amp;VAR:INDEX=0"}</definedName>
    <definedName name="_3726__FDSAUDITLINK__" localSheetId="6" hidden="1">{"fdsup://directions/FAT Viewer?action=UPDATE&amp;creator=factset&amp;DYN_ARGS=TRUE&amp;DOC_NAME=FAT:FQL_AUDITING_CLIENT_TEMPLATE.FAT&amp;display_string=Audit&amp;VAR:KEY=BWJWBWXSZG&amp;VAR:QUERY=RkZfRUJJVERBX0lCKCdMVE1TJyw0MDE1OSk=&amp;WINDOW=FIRST_POPUP&amp;HEIGHT=450&amp;WIDTH=450&amp;START_MA","XIMIZED=FALSE&amp;VAR:CALENDAR=US&amp;VAR:SYMBOL=37183T10&amp;VAR:INDEX=0"}</definedName>
    <definedName name="_3726__FDSAUDITLINK__" hidden="1">{"fdsup://directions/FAT Viewer?action=UPDATE&amp;creator=factset&amp;DYN_ARGS=TRUE&amp;DOC_NAME=FAT:FQL_AUDITING_CLIENT_TEMPLATE.FAT&amp;display_string=Audit&amp;VAR:KEY=BWJWBWXSZG&amp;VAR:QUERY=RkZfRUJJVERBX0lCKCdMVE1TJyw0MDE1OSk=&amp;WINDOW=FIRST_POPUP&amp;HEIGHT=450&amp;WIDTH=450&amp;START_MA","XIMIZED=FALSE&amp;VAR:CALENDAR=US&amp;VAR:SYMBOL=37183T10&amp;VAR:INDEX=0"}</definedName>
    <definedName name="_3727__FDSAUDITLINK__" localSheetId="6" hidden="1">{"fdsup://directions/FAT Viewer?action=UPDATE&amp;creator=factset&amp;DYN_ARGS=TRUE&amp;DOC_NAME=FAT:FQL_AUDITING_CLIENT_TEMPLATE.FAT&amp;display_string=Audit&amp;VAR:KEY=NKDIZCFCLI&amp;VAR:QUERY=RkZfRUJJVERBX0lCKCdMVE1TJyw0MDE1OCk=&amp;WINDOW=FIRST_POPUP&amp;HEIGHT=450&amp;WIDTH=450&amp;START_MA","XIMIZED=FALSE&amp;VAR:CALENDAR=US&amp;VAR:SYMBOL=37183T10&amp;VAR:INDEX=0"}</definedName>
    <definedName name="_3727__FDSAUDITLINK__" hidden="1">{"fdsup://directions/FAT Viewer?action=UPDATE&amp;creator=factset&amp;DYN_ARGS=TRUE&amp;DOC_NAME=FAT:FQL_AUDITING_CLIENT_TEMPLATE.FAT&amp;display_string=Audit&amp;VAR:KEY=NKDIZCFCLI&amp;VAR:QUERY=RkZfRUJJVERBX0lCKCdMVE1TJyw0MDE1OCk=&amp;WINDOW=FIRST_POPUP&amp;HEIGHT=450&amp;WIDTH=450&amp;START_MA","XIMIZED=FALSE&amp;VAR:CALENDAR=US&amp;VAR:SYMBOL=37183T10&amp;VAR:INDEX=0"}</definedName>
    <definedName name="_3728__FDSAUDITLINK__" localSheetId="6" hidden="1">{"fdsup://directions/FAT Viewer?action=UPDATE&amp;creator=factset&amp;DYN_ARGS=TRUE&amp;DOC_NAME=FAT:FQL_AUDITING_CLIENT_TEMPLATE.FAT&amp;display_string=Audit&amp;VAR:KEY=HYHKNQJWXS&amp;VAR:QUERY=RkZfRUJJVERBX0lCKCdMVE1TJyw0MDE1Nyk=&amp;WINDOW=FIRST_POPUP&amp;HEIGHT=450&amp;WIDTH=450&amp;START_MA","XIMIZED=FALSE&amp;VAR:CALENDAR=US&amp;VAR:SYMBOL=37183T10&amp;VAR:INDEX=0"}</definedName>
    <definedName name="_3728__FDSAUDITLINK__" hidden="1">{"fdsup://directions/FAT Viewer?action=UPDATE&amp;creator=factset&amp;DYN_ARGS=TRUE&amp;DOC_NAME=FAT:FQL_AUDITING_CLIENT_TEMPLATE.FAT&amp;display_string=Audit&amp;VAR:KEY=HYHKNQJWXS&amp;VAR:QUERY=RkZfRUJJVERBX0lCKCdMVE1TJyw0MDE1Nyk=&amp;WINDOW=FIRST_POPUP&amp;HEIGHT=450&amp;WIDTH=450&amp;START_MA","XIMIZED=FALSE&amp;VAR:CALENDAR=US&amp;VAR:SYMBOL=37183T10&amp;VAR:INDEX=0"}</definedName>
    <definedName name="_3729__FDSAUDITLINK__" localSheetId="6" hidden="1">{"fdsup://directions/FAT Viewer?action=UPDATE&amp;creator=factset&amp;DYN_ARGS=TRUE&amp;DOC_NAME=FAT:FQL_AUDITING_CLIENT_TEMPLATE.FAT&amp;display_string=Audit&amp;VAR:KEY=NOLSJWHSLU&amp;VAR:QUERY=RkZfRUJJVERBX0lCKCdMVE1TJyw0MDE1Nik=&amp;WINDOW=FIRST_POPUP&amp;HEIGHT=450&amp;WIDTH=450&amp;START_MA","XIMIZED=FALSE&amp;VAR:CALENDAR=US&amp;VAR:SYMBOL=37183T10&amp;VAR:INDEX=0"}</definedName>
    <definedName name="_3729__FDSAUDITLINK__" hidden="1">{"fdsup://directions/FAT Viewer?action=UPDATE&amp;creator=factset&amp;DYN_ARGS=TRUE&amp;DOC_NAME=FAT:FQL_AUDITING_CLIENT_TEMPLATE.FAT&amp;display_string=Audit&amp;VAR:KEY=NOLSJWHSLU&amp;VAR:QUERY=RkZfRUJJVERBX0lCKCdMVE1TJyw0MDE1Nik=&amp;WINDOW=FIRST_POPUP&amp;HEIGHT=450&amp;WIDTH=450&amp;START_MA","XIMIZED=FALSE&amp;VAR:CALENDAR=US&amp;VAR:SYMBOL=37183T10&amp;VAR:INDEX=0"}</definedName>
    <definedName name="_373__FDSAUDITLINK__" localSheetId="6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3__FDSAUDITLINK__" hidden="1">{"fdsup://directions/FAT%20Viewer?VAR:PED=LTM&amp;VAR:AUDIT_MODE=SUMMARY&amp;VAR:PERIOD=FIXED&amp;VAR:AUDIT_ID=00000117&amp;VAR:DATE=20090213&amp;action=UPDATE&amp;creator=factset&amp;DOC_NAME=FAT:FMA_audit_SUMMARY.fat&amp;DISPLAY_STRING=Display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30__FDSAUDITLINK__" localSheetId="6" hidden="1">{"fdsup://directions/FAT Viewer?action=UPDATE&amp;creator=factset&amp;DYN_ARGS=TRUE&amp;DOC_NAME=FAT:FQL_AUDITING_CLIENT_TEMPLATE.FAT&amp;display_string=Audit&amp;VAR:KEY=TUNGRMXQNU&amp;VAR:QUERY=RkZfRUJJVERBX0lCKCdMVE1TJyw0MDE1NSk=&amp;WINDOW=FIRST_POPUP&amp;HEIGHT=450&amp;WIDTH=450&amp;START_MA","XIMIZED=FALSE&amp;VAR:CALENDAR=US&amp;VAR:SYMBOL=37183T10&amp;VAR:INDEX=0"}</definedName>
    <definedName name="_3730__FDSAUDITLINK__" hidden="1">{"fdsup://directions/FAT Viewer?action=UPDATE&amp;creator=factset&amp;DYN_ARGS=TRUE&amp;DOC_NAME=FAT:FQL_AUDITING_CLIENT_TEMPLATE.FAT&amp;display_string=Audit&amp;VAR:KEY=TUNGRMXQNU&amp;VAR:QUERY=RkZfRUJJVERBX0lCKCdMVE1TJyw0MDE1NSk=&amp;WINDOW=FIRST_POPUP&amp;HEIGHT=450&amp;WIDTH=450&amp;START_MA","XIMIZED=FALSE&amp;VAR:CALENDAR=US&amp;VAR:SYMBOL=37183T10&amp;VAR:INDEX=0"}</definedName>
    <definedName name="_3731__FDSAUDITLINK__" localSheetId="6" hidden="1">{"fdsup://directions/FAT Viewer?action=UPDATE&amp;creator=factset&amp;DYN_ARGS=TRUE&amp;DOC_NAME=FAT:FQL_AUDITING_CLIENT_TEMPLATE.FAT&amp;display_string=Audit&amp;VAR:KEY=TGTWZWVQHS&amp;VAR:QUERY=RkZfRUJJVERBX0lCKCdMVE1TJyw0MDE1NCk=&amp;WINDOW=FIRST_POPUP&amp;HEIGHT=450&amp;WIDTH=450&amp;START_MA","XIMIZED=FALSE&amp;VAR:CALENDAR=US&amp;VAR:SYMBOL=37183T10&amp;VAR:INDEX=0"}</definedName>
    <definedName name="_3731__FDSAUDITLINK__" hidden="1">{"fdsup://directions/FAT Viewer?action=UPDATE&amp;creator=factset&amp;DYN_ARGS=TRUE&amp;DOC_NAME=FAT:FQL_AUDITING_CLIENT_TEMPLATE.FAT&amp;display_string=Audit&amp;VAR:KEY=TGTWZWVQHS&amp;VAR:QUERY=RkZfRUJJVERBX0lCKCdMVE1TJyw0MDE1NCk=&amp;WINDOW=FIRST_POPUP&amp;HEIGHT=450&amp;WIDTH=450&amp;START_MA","XIMIZED=FALSE&amp;VAR:CALENDAR=US&amp;VAR:SYMBOL=37183T10&amp;VAR:INDEX=0"}</definedName>
    <definedName name="_3732__FDSAUDITLINK__" localSheetId="6" hidden="1">{"fdsup://directions/FAT Viewer?action=UPDATE&amp;creator=factset&amp;DYN_ARGS=TRUE&amp;DOC_NAME=FAT:FQL_AUDITING_CLIENT_TEMPLATE.FAT&amp;display_string=Audit&amp;VAR:KEY=DMTKXEVYJE&amp;VAR:QUERY=RkZfRUJJVERBX0lCKCdMVE1TJyw0MDE1Myk=&amp;WINDOW=FIRST_POPUP&amp;HEIGHT=450&amp;WIDTH=450&amp;START_MA","XIMIZED=FALSE&amp;VAR:CALENDAR=US&amp;VAR:SYMBOL=37183T10&amp;VAR:INDEX=0"}</definedName>
    <definedName name="_3732__FDSAUDITLINK__" hidden="1">{"fdsup://directions/FAT Viewer?action=UPDATE&amp;creator=factset&amp;DYN_ARGS=TRUE&amp;DOC_NAME=FAT:FQL_AUDITING_CLIENT_TEMPLATE.FAT&amp;display_string=Audit&amp;VAR:KEY=DMTKXEVYJE&amp;VAR:QUERY=RkZfRUJJVERBX0lCKCdMVE1TJyw0MDE1Myk=&amp;WINDOW=FIRST_POPUP&amp;HEIGHT=450&amp;WIDTH=450&amp;START_MA","XIMIZED=FALSE&amp;VAR:CALENDAR=US&amp;VAR:SYMBOL=37183T10&amp;VAR:INDEX=0"}</definedName>
    <definedName name="_3733__FDSAUDITLINK__" localSheetId="6" hidden="1">{"fdsup://directions/FAT Viewer?action=UPDATE&amp;creator=factset&amp;DYN_ARGS=TRUE&amp;DOC_NAME=FAT:FQL_AUDITING_CLIENT_TEMPLATE.FAT&amp;display_string=Audit&amp;VAR:KEY=VWRMZMXSVW&amp;VAR:QUERY=RkZfRUJJVERBX0lCKCdMVE1TJyw0MDE1Mik=&amp;WINDOW=FIRST_POPUP&amp;HEIGHT=450&amp;WIDTH=450&amp;START_MA","XIMIZED=FALSE&amp;VAR:CALENDAR=US&amp;VAR:SYMBOL=37183T10&amp;VAR:INDEX=0"}</definedName>
    <definedName name="_3733__FDSAUDITLINK__" hidden="1">{"fdsup://directions/FAT Viewer?action=UPDATE&amp;creator=factset&amp;DYN_ARGS=TRUE&amp;DOC_NAME=FAT:FQL_AUDITING_CLIENT_TEMPLATE.FAT&amp;display_string=Audit&amp;VAR:KEY=VWRMZMXSVW&amp;VAR:QUERY=RkZfRUJJVERBX0lCKCdMVE1TJyw0MDE1Mik=&amp;WINDOW=FIRST_POPUP&amp;HEIGHT=450&amp;WIDTH=450&amp;START_MA","XIMIZED=FALSE&amp;VAR:CALENDAR=US&amp;VAR:SYMBOL=37183T10&amp;VAR:INDEX=0"}</definedName>
    <definedName name="_3734__FDSAUDITLINK__" localSheetId="6" hidden="1">{"fdsup://directions/FAT Viewer?action=UPDATE&amp;creator=factset&amp;DYN_ARGS=TRUE&amp;DOC_NAME=FAT:FQL_AUDITING_CLIENT_TEMPLATE.FAT&amp;display_string=Audit&amp;VAR:KEY=HEDGPUHEDC&amp;VAR:QUERY=RkZfRUJJVERBX0lCKCdMVE1TJyw0MDE1MSk=&amp;WINDOW=FIRST_POPUP&amp;HEIGHT=450&amp;WIDTH=450&amp;START_MA","XIMIZED=FALSE&amp;VAR:CALENDAR=US&amp;VAR:SYMBOL=37183T10&amp;VAR:INDEX=0"}</definedName>
    <definedName name="_3734__FDSAUDITLINK__" hidden="1">{"fdsup://directions/FAT Viewer?action=UPDATE&amp;creator=factset&amp;DYN_ARGS=TRUE&amp;DOC_NAME=FAT:FQL_AUDITING_CLIENT_TEMPLATE.FAT&amp;display_string=Audit&amp;VAR:KEY=HEDGPUHEDC&amp;VAR:QUERY=RkZfRUJJVERBX0lCKCdMVE1TJyw0MDE1MSk=&amp;WINDOW=FIRST_POPUP&amp;HEIGHT=450&amp;WIDTH=450&amp;START_MA","XIMIZED=FALSE&amp;VAR:CALENDAR=US&amp;VAR:SYMBOL=37183T10&amp;VAR:INDEX=0"}</definedName>
    <definedName name="_3735__FDSAUDITLINK__" localSheetId="6" hidden="1">{"fdsup://directions/FAT Viewer?action=UPDATE&amp;creator=factset&amp;DYN_ARGS=TRUE&amp;DOC_NAME=FAT:FQL_AUDITING_CLIENT_TEMPLATE.FAT&amp;display_string=Audit&amp;VAR:KEY=TKDKFAHWRE&amp;VAR:QUERY=RkZfRUJJVERBX0lCKCdMVE1TJyw0MDE1MCk=&amp;WINDOW=FIRST_POPUP&amp;HEIGHT=450&amp;WIDTH=450&amp;START_MA","XIMIZED=FALSE&amp;VAR:CALENDAR=US&amp;VAR:SYMBOL=37183T10&amp;VAR:INDEX=0"}</definedName>
    <definedName name="_3735__FDSAUDITLINK__" hidden="1">{"fdsup://directions/FAT Viewer?action=UPDATE&amp;creator=factset&amp;DYN_ARGS=TRUE&amp;DOC_NAME=FAT:FQL_AUDITING_CLIENT_TEMPLATE.FAT&amp;display_string=Audit&amp;VAR:KEY=TKDKFAHWRE&amp;VAR:QUERY=RkZfRUJJVERBX0lCKCdMVE1TJyw0MDE1MCk=&amp;WINDOW=FIRST_POPUP&amp;HEIGHT=450&amp;WIDTH=450&amp;START_MA","XIMIZED=FALSE&amp;VAR:CALENDAR=US&amp;VAR:SYMBOL=37183T10&amp;VAR:INDEX=0"}</definedName>
    <definedName name="_3736__FDSAUDITLINK__" localSheetId="6" hidden="1">{"fdsup://directions/FAT Viewer?action=UPDATE&amp;creator=factset&amp;DYN_ARGS=TRUE&amp;DOC_NAME=FAT:FQL_AUDITING_CLIENT_TEMPLATE.FAT&amp;display_string=Audit&amp;VAR:KEY=FMNKHALMDK&amp;VAR:QUERY=RkZfRUJJVERBX0lCKCdMVE1TJyw0MDE0OSk=&amp;WINDOW=FIRST_POPUP&amp;HEIGHT=450&amp;WIDTH=450&amp;START_MA","XIMIZED=FALSE&amp;VAR:CALENDAR=US&amp;VAR:SYMBOL=37183T10&amp;VAR:INDEX=0"}</definedName>
    <definedName name="_3736__FDSAUDITLINK__" hidden="1">{"fdsup://directions/FAT Viewer?action=UPDATE&amp;creator=factset&amp;DYN_ARGS=TRUE&amp;DOC_NAME=FAT:FQL_AUDITING_CLIENT_TEMPLATE.FAT&amp;display_string=Audit&amp;VAR:KEY=FMNKHALMDK&amp;VAR:QUERY=RkZfRUJJVERBX0lCKCdMVE1TJyw0MDE0OSk=&amp;WINDOW=FIRST_POPUP&amp;HEIGHT=450&amp;WIDTH=450&amp;START_MA","XIMIZED=FALSE&amp;VAR:CALENDAR=US&amp;VAR:SYMBOL=37183T10&amp;VAR:INDEX=0"}</definedName>
    <definedName name="_3737__FDSAUDITLINK__" localSheetId="6" hidden="1">{"fdsup://directions/FAT Viewer?action=UPDATE&amp;creator=factset&amp;DYN_ARGS=TRUE&amp;DOC_NAME=FAT:FQL_AUDITING_CLIENT_TEMPLATE.FAT&amp;display_string=Audit&amp;VAR:KEY=DENABGXUZQ&amp;VAR:QUERY=RkZfRUJJVERBX0lCKCdMVE1TJyw0MDE0OCk=&amp;WINDOW=FIRST_POPUP&amp;HEIGHT=450&amp;WIDTH=450&amp;START_MA","XIMIZED=FALSE&amp;VAR:CALENDAR=US&amp;VAR:SYMBOL=37183T10&amp;VAR:INDEX=0"}</definedName>
    <definedName name="_3737__FDSAUDITLINK__" hidden="1">{"fdsup://directions/FAT Viewer?action=UPDATE&amp;creator=factset&amp;DYN_ARGS=TRUE&amp;DOC_NAME=FAT:FQL_AUDITING_CLIENT_TEMPLATE.FAT&amp;display_string=Audit&amp;VAR:KEY=DENABGXUZQ&amp;VAR:QUERY=RkZfRUJJVERBX0lCKCdMVE1TJyw0MDE0OCk=&amp;WINDOW=FIRST_POPUP&amp;HEIGHT=450&amp;WIDTH=450&amp;START_MA","XIMIZED=FALSE&amp;VAR:CALENDAR=US&amp;VAR:SYMBOL=37183T10&amp;VAR:INDEX=0"}</definedName>
    <definedName name="_3738__FDSAUDITLINK__" localSheetId="6" hidden="1">{"fdsup://directions/FAT Viewer?action=UPDATE&amp;creator=factset&amp;DYN_ARGS=TRUE&amp;DOC_NAME=FAT:FQL_AUDITING_CLIENT_TEMPLATE.FAT&amp;display_string=Audit&amp;VAR:KEY=VWNSNOFQLU&amp;VAR:QUERY=RkZfRUJJVERBX0lCKCdMVE1TJyw0MDE0Nyk=&amp;WINDOW=FIRST_POPUP&amp;HEIGHT=450&amp;WIDTH=450&amp;START_MA","XIMIZED=FALSE&amp;VAR:CALENDAR=US&amp;VAR:SYMBOL=37183T10&amp;VAR:INDEX=0"}</definedName>
    <definedName name="_3738__FDSAUDITLINK__" hidden="1">{"fdsup://directions/FAT Viewer?action=UPDATE&amp;creator=factset&amp;DYN_ARGS=TRUE&amp;DOC_NAME=FAT:FQL_AUDITING_CLIENT_TEMPLATE.FAT&amp;display_string=Audit&amp;VAR:KEY=VWNSNOFQLU&amp;VAR:QUERY=RkZfRUJJVERBX0lCKCdMVE1TJyw0MDE0Nyk=&amp;WINDOW=FIRST_POPUP&amp;HEIGHT=450&amp;WIDTH=450&amp;START_MA","XIMIZED=FALSE&amp;VAR:CALENDAR=US&amp;VAR:SYMBOL=37183T10&amp;VAR:INDEX=0"}</definedName>
    <definedName name="_3739__FDSAUDITLINK__" localSheetId="6" hidden="1">{"fdsup://directions/FAT Viewer?action=UPDATE&amp;creator=factset&amp;DYN_ARGS=TRUE&amp;DOC_NAME=FAT:FQL_AUDITING_CLIENT_TEMPLATE.FAT&amp;display_string=Audit&amp;VAR:KEY=HGDALYNUDG&amp;VAR:QUERY=RkZfRUJJVERBX0lCKCdMVE1TJyw0MDE0Nik=&amp;WINDOW=FIRST_POPUP&amp;HEIGHT=450&amp;WIDTH=450&amp;START_MA","XIMIZED=FALSE&amp;VAR:CALENDAR=US&amp;VAR:SYMBOL=37183T10&amp;VAR:INDEX=0"}</definedName>
    <definedName name="_3739__FDSAUDITLINK__" hidden="1">{"fdsup://directions/FAT Viewer?action=UPDATE&amp;creator=factset&amp;DYN_ARGS=TRUE&amp;DOC_NAME=FAT:FQL_AUDITING_CLIENT_TEMPLATE.FAT&amp;display_string=Audit&amp;VAR:KEY=HGDALYNUDG&amp;VAR:QUERY=RkZfRUJJVERBX0lCKCdMVE1TJyw0MDE0Nik=&amp;WINDOW=FIRST_POPUP&amp;HEIGHT=450&amp;WIDTH=450&amp;START_MA","XIMIZED=FALSE&amp;VAR:CALENDAR=US&amp;VAR:SYMBOL=37183T10&amp;VAR:INDEX=0"}</definedName>
    <definedName name="_374__FDSAUDITLINK__" localSheetId="6" hidden="1">{"fdsup://directions/FAT%20Viewer?VAR:PED=LTM&amp;VAR:AUDIT_MODE=SUMMARY&amp;VAR:PERIOD=FIXED&amp;VAR:AUDIT_ID=00000117&amp;VAR:DATE=20090212&amp;action=UPDATE&amp;creator=factset&amp;DOC_NAME=FAT:FMA_audit_SUMMARY.fat&amp;DISPLAY_STRING=Display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4__FDSAUDITLINK__" hidden="1">{"fdsup://directions/FAT%20Viewer?VAR:PED=LTM&amp;VAR:AUDIT_MODE=SUMMARY&amp;VAR:PERIOD=FIXED&amp;VAR:AUDIT_ID=00000117&amp;VAR:DATE=20090212&amp;action=UPDATE&amp;creator=factset&amp;DOC_NAME=FAT:FMA_audit_SUMMARY.fat&amp;DISPLAY_STRING=Display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40__FDSAUDITLINK__" localSheetId="6" hidden="1">{"fdsup://directions/FAT Viewer?action=UPDATE&amp;creator=factset&amp;DYN_ARGS=TRUE&amp;DOC_NAME=FAT:FQL_AUDITING_CLIENT_TEMPLATE.FAT&amp;display_string=Audit&amp;VAR:KEY=PWDATUNQPW&amp;VAR:QUERY=RkZfRUJJVERBX0lCKCdMVE1TJyw0MDE0NSk=&amp;WINDOW=FIRST_POPUP&amp;HEIGHT=450&amp;WIDTH=450&amp;START_MA","XIMIZED=FALSE&amp;VAR:CALENDAR=US&amp;VAR:SYMBOL=37183T10&amp;VAR:INDEX=0"}</definedName>
    <definedName name="_3740__FDSAUDITLINK__" hidden="1">{"fdsup://directions/FAT Viewer?action=UPDATE&amp;creator=factset&amp;DYN_ARGS=TRUE&amp;DOC_NAME=FAT:FQL_AUDITING_CLIENT_TEMPLATE.FAT&amp;display_string=Audit&amp;VAR:KEY=PWDATUNQPW&amp;VAR:QUERY=RkZfRUJJVERBX0lCKCdMVE1TJyw0MDE0NSk=&amp;WINDOW=FIRST_POPUP&amp;HEIGHT=450&amp;WIDTH=450&amp;START_MA","XIMIZED=FALSE&amp;VAR:CALENDAR=US&amp;VAR:SYMBOL=37183T10&amp;VAR:INDEX=0"}</definedName>
    <definedName name="_3741__FDSAUDITLINK__" localSheetId="6" hidden="1">{"fdsup://directions/FAT Viewer?action=UPDATE&amp;creator=factset&amp;DYN_ARGS=TRUE&amp;DOC_NAME=FAT:FQL_AUDITING_CLIENT_TEMPLATE.FAT&amp;display_string=Audit&amp;VAR:KEY=JUPAHCXMHS&amp;VAR:QUERY=RkZfRUJJVERBX0lCKCdMVE1TJyw0MDE0NCk=&amp;WINDOW=FIRST_POPUP&amp;HEIGHT=450&amp;WIDTH=450&amp;START_MA","XIMIZED=FALSE&amp;VAR:CALENDAR=US&amp;VAR:SYMBOL=37183T10&amp;VAR:INDEX=0"}</definedName>
    <definedName name="_3741__FDSAUDITLINK__" hidden="1">{"fdsup://directions/FAT Viewer?action=UPDATE&amp;creator=factset&amp;DYN_ARGS=TRUE&amp;DOC_NAME=FAT:FQL_AUDITING_CLIENT_TEMPLATE.FAT&amp;display_string=Audit&amp;VAR:KEY=JUPAHCXMHS&amp;VAR:QUERY=RkZfRUJJVERBX0lCKCdMVE1TJyw0MDE0NCk=&amp;WINDOW=FIRST_POPUP&amp;HEIGHT=450&amp;WIDTH=450&amp;START_MA","XIMIZED=FALSE&amp;VAR:CALENDAR=US&amp;VAR:SYMBOL=37183T10&amp;VAR:INDEX=0"}</definedName>
    <definedName name="_3742__FDSAUDITLINK__" localSheetId="6" hidden="1">{"fdsup://directions/FAT Viewer?action=UPDATE&amp;creator=factset&amp;DYN_ARGS=TRUE&amp;DOC_NAME=FAT:FQL_AUDITING_CLIENT_TEMPLATE.FAT&amp;display_string=Audit&amp;VAR:KEY=VCRGRSDCRM&amp;VAR:QUERY=RkZfRUJJVERBX0lCKCdMVE1TJyw0MDE0Myk=&amp;WINDOW=FIRST_POPUP&amp;HEIGHT=450&amp;WIDTH=450&amp;START_MA","XIMIZED=FALSE&amp;VAR:CALENDAR=US&amp;VAR:SYMBOL=37183T10&amp;VAR:INDEX=0"}</definedName>
    <definedName name="_3742__FDSAUDITLINK__" hidden="1">{"fdsup://directions/FAT Viewer?action=UPDATE&amp;creator=factset&amp;DYN_ARGS=TRUE&amp;DOC_NAME=FAT:FQL_AUDITING_CLIENT_TEMPLATE.FAT&amp;display_string=Audit&amp;VAR:KEY=VCRGRSDCRM&amp;VAR:QUERY=RkZfRUJJVERBX0lCKCdMVE1TJyw0MDE0Myk=&amp;WINDOW=FIRST_POPUP&amp;HEIGHT=450&amp;WIDTH=450&amp;START_MA","XIMIZED=FALSE&amp;VAR:CALENDAR=US&amp;VAR:SYMBOL=37183T10&amp;VAR:INDEX=0"}</definedName>
    <definedName name="_3743__FDSAUDITLINK__" localSheetId="6" hidden="1">{"fdsup://directions/FAT Viewer?action=UPDATE&amp;creator=factset&amp;DYN_ARGS=TRUE&amp;DOC_NAME=FAT:FQL_AUDITING_CLIENT_TEMPLATE.FAT&amp;display_string=Audit&amp;VAR:KEY=XWNSZGVYLG&amp;VAR:QUERY=RkZfRUJJVERBX0lCKCdMVE1TJyw0MDE0Mik=&amp;WINDOW=FIRST_POPUP&amp;HEIGHT=450&amp;WIDTH=450&amp;START_MA","XIMIZED=FALSE&amp;VAR:CALENDAR=US&amp;VAR:SYMBOL=37183T10&amp;VAR:INDEX=0"}</definedName>
    <definedName name="_3743__FDSAUDITLINK__" hidden="1">{"fdsup://directions/FAT Viewer?action=UPDATE&amp;creator=factset&amp;DYN_ARGS=TRUE&amp;DOC_NAME=FAT:FQL_AUDITING_CLIENT_TEMPLATE.FAT&amp;display_string=Audit&amp;VAR:KEY=XWNSZGVYLG&amp;VAR:QUERY=RkZfRUJJVERBX0lCKCdMVE1TJyw0MDE0Mik=&amp;WINDOW=FIRST_POPUP&amp;HEIGHT=450&amp;WIDTH=450&amp;START_MA","XIMIZED=FALSE&amp;VAR:CALENDAR=US&amp;VAR:SYMBOL=37183T10&amp;VAR:INDEX=0"}</definedName>
    <definedName name="_3744__FDSAUDITLINK__" localSheetId="6" hidden="1">{"fdsup://directions/FAT Viewer?action=UPDATE&amp;creator=factset&amp;DYN_ARGS=TRUE&amp;DOC_NAME=FAT:FQL_AUDITING_CLIENT_TEMPLATE.FAT&amp;display_string=Audit&amp;VAR:KEY=XUBABORYZG&amp;VAR:QUERY=RkZfRUJJVERBX0lCKCdMVE1TJyw0MDE0MSk=&amp;WINDOW=FIRST_POPUP&amp;HEIGHT=450&amp;WIDTH=450&amp;START_MA","XIMIZED=FALSE&amp;VAR:CALENDAR=US&amp;VAR:SYMBOL=37183T10&amp;VAR:INDEX=0"}</definedName>
    <definedName name="_3744__FDSAUDITLINK__" hidden="1">{"fdsup://directions/FAT Viewer?action=UPDATE&amp;creator=factset&amp;DYN_ARGS=TRUE&amp;DOC_NAME=FAT:FQL_AUDITING_CLIENT_TEMPLATE.FAT&amp;display_string=Audit&amp;VAR:KEY=XUBABORYZG&amp;VAR:QUERY=RkZfRUJJVERBX0lCKCdMVE1TJyw0MDE0MSk=&amp;WINDOW=FIRST_POPUP&amp;HEIGHT=450&amp;WIDTH=450&amp;START_MA","XIMIZED=FALSE&amp;VAR:CALENDAR=US&amp;VAR:SYMBOL=37183T10&amp;VAR:INDEX=0"}</definedName>
    <definedName name="_3745__FDSAUDITLINK__" localSheetId="6" hidden="1">{"fdsup://directions/FAT Viewer?action=UPDATE&amp;creator=factset&amp;DYN_ARGS=TRUE&amp;DOC_NAME=FAT:FQL_AUDITING_CLIENT_TEMPLATE.FAT&amp;display_string=Audit&amp;VAR:KEY=BYDOBSVSJQ&amp;VAR:QUERY=RkZfRUJJVERBX0lCKCdMVE1TJyw0MDE0MCk=&amp;WINDOW=FIRST_POPUP&amp;HEIGHT=450&amp;WIDTH=450&amp;START_MA","XIMIZED=FALSE&amp;VAR:CALENDAR=US&amp;VAR:SYMBOL=37183T10&amp;VAR:INDEX=0"}</definedName>
    <definedName name="_3745__FDSAUDITLINK__" hidden="1">{"fdsup://directions/FAT Viewer?action=UPDATE&amp;creator=factset&amp;DYN_ARGS=TRUE&amp;DOC_NAME=FAT:FQL_AUDITING_CLIENT_TEMPLATE.FAT&amp;display_string=Audit&amp;VAR:KEY=BYDOBSVSJQ&amp;VAR:QUERY=RkZfRUJJVERBX0lCKCdMVE1TJyw0MDE0MCk=&amp;WINDOW=FIRST_POPUP&amp;HEIGHT=450&amp;WIDTH=450&amp;START_MA","XIMIZED=FALSE&amp;VAR:CALENDAR=US&amp;VAR:SYMBOL=37183T10&amp;VAR:INDEX=0"}</definedName>
    <definedName name="_3746__FDSAUDITLINK__" localSheetId="6" hidden="1">{"fdsup://directions/FAT Viewer?action=UPDATE&amp;creator=factset&amp;DYN_ARGS=TRUE&amp;DOC_NAME=FAT:FQL_AUDITING_CLIENT_TEMPLATE.FAT&amp;display_string=Audit&amp;VAR:KEY=ZGBQPYTKJA&amp;VAR:QUERY=RkZfRUJJVERBX0lCKCdMVE1TJyw0MDEzOSk=&amp;WINDOW=FIRST_POPUP&amp;HEIGHT=450&amp;WIDTH=450&amp;START_MA","XIMIZED=FALSE&amp;VAR:CALENDAR=US&amp;VAR:SYMBOL=37183T10&amp;VAR:INDEX=0"}</definedName>
    <definedName name="_3746__FDSAUDITLINK__" hidden="1">{"fdsup://directions/FAT Viewer?action=UPDATE&amp;creator=factset&amp;DYN_ARGS=TRUE&amp;DOC_NAME=FAT:FQL_AUDITING_CLIENT_TEMPLATE.FAT&amp;display_string=Audit&amp;VAR:KEY=ZGBQPYTKJA&amp;VAR:QUERY=RkZfRUJJVERBX0lCKCdMVE1TJyw0MDEzOSk=&amp;WINDOW=FIRST_POPUP&amp;HEIGHT=450&amp;WIDTH=450&amp;START_MA","XIMIZED=FALSE&amp;VAR:CALENDAR=US&amp;VAR:SYMBOL=37183T10&amp;VAR:INDEX=0"}</definedName>
    <definedName name="_3747__FDSAUDITLINK__" localSheetId="6" hidden="1">{"fdsup://directions/FAT Viewer?action=UPDATE&amp;creator=factset&amp;DYN_ARGS=TRUE&amp;DOC_NAME=FAT:FQL_AUDITING_CLIENT_TEMPLATE.FAT&amp;display_string=Audit&amp;VAR:KEY=DIVERSBSJK&amp;VAR:QUERY=RkZfRUJJVERBX0lCKCdMVE1TJyw0MDEzOCk=&amp;WINDOW=FIRST_POPUP&amp;HEIGHT=450&amp;WIDTH=450&amp;START_MA","XIMIZED=FALSE&amp;VAR:CALENDAR=US&amp;VAR:SYMBOL=37183T10&amp;VAR:INDEX=0"}</definedName>
    <definedName name="_3747__FDSAUDITLINK__" hidden="1">{"fdsup://directions/FAT Viewer?action=UPDATE&amp;creator=factset&amp;DYN_ARGS=TRUE&amp;DOC_NAME=FAT:FQL_AUDITING_CLIENT_TEMPLATE.FAT&amp;display_string=Audit&amp;VAR:KEY=DIVERSBSJK&amp;VAR:QUERY=RkZfRUJJVERBX0lCKCdMVE1TJyw0MDEzOCk=&amp;WINDOW=FIRST_POPUP&amp;HEIGHT=450&amp;WIDTH=450&amp;START_MA","XIMIZED=FALSE&amp;VAR:CALENDAR=US&amp;VAR:SYMBOL=37183T10&amp;VAR:INDEX=0"}</definedName>
    <definedName name="_3748__FDSAUDITLINK__" localSheetId="6" hidden="1">{"fdsup://directions/FAT Viewer?action=UPDATE&amp;creator=factset&amp;DYN_ARGS=TRUE&amp;DOC_NAME=FAT:FQL_AUDITING_CLIENT_TEMPLATE.FAT&amp;display_string=Audit&amp;VAR:KEY=VSXIVSBCTY&amp;VAR:QUERY=RkZfRUJJVERBX0lCKCdMVE1TJyw0MDEzNyk=&amp;WINDOW=FIRST_POPUP&amp;HEIGHT=450&amp;WIDTH=450&amp;START_MA","XIMIZED=FALSE&amp;VAR:CALENDAR=US&amp;VAR:SYMBOL=37183T10&amp;VAR:INDEX=0"}</definedName>
    <definedName name="_3748__FDSAUDITLINK__" hidden="1">{"fdsup://directions/FAT Viewer?action=UPDATE&amp;creator=factset&amp;DYN_ARGS=TRUE&amp;DOC_NAME=FAT:FQL_AUDITING_CLIENT_TEMPLATE.FAT&amp;display_string=Audit&amp;VAR:KEY=VSXIVSBCTY&amp;VAR:QUERY=RkZfRUJJVERBX0lCKCdMVE1TJyw0MDEzNyk=&amp;WINDOW=FIRST_POPUP&amp;HEIGHT=450&amp;WIDTH=450&amp;START_MA","XIMIZED=FALSE&amp;VAR:CALENDAR=US&amp;VAR:SYMBOL=37183T10&amp;VAR:INDEX=0"}</definedName>
    <definedName name="_3749__FDSAUDITLINK__" localSheetId="6" hidden="1">{"fdsup://directions/FAT Viewer?action=UPDATE&amp;creator=factset&amp;DYN_ARGS=TRUE&amp;DOC_NAME=FAT:FQL_AUDITING_CLIENT_TEMPLATE.FAT&amp;display_string=Audit&amp;VAR:KEY=DQRENWDQPU&amp;VAR:QUERY=RkZfRUJJVERBX0lCKCdMVE1TJyw0MDEzNik=&amp;WINDOW=FIRST_POPUP&amp;HEIGHT=450&amp;WIDTH=450&amp;START_MA","XIMIZED=FALSE&amp;VAR:CALENDAR=US&amp;VAR:SYMBOL=37183T10&amp;VAR:INDEX=0"}</definedName>
    <definedName name="_3749__FDSAUDITLINK__" hidden="1">{"fdsup://directions/FAT Viewer?action=UPDATE&amp;creator=factset&amp;DYN_ARGS=TRUE&amp;DOC_NAME=FAT:FQL_AUDITING_CLIENT_TEMPLATE.FAT&amp;display_string=Audit&amp;VAR:KEY=DQRENWDQPU&amp;VAR:QUERY=RkZfRUJJVERBX0lCKCdMVE1TJyw0MDEzNik=&amp;WINDOW=FIRST_POPUP&amp;HEIGHT=450&amp;WIDTH=450&amp;START_MA","XIMIZED=FALSE&amp;VAR:CALENDAR=US&amp;VAR:SYMBOL=37183T10&amp;VAR:INDEX=0"}</definedName>
    <definedName name="_375__FDSAUDITLINK__" localSheetId="6" hidden="1">{"fdsup://directions/FAT%20Viewer?VAR:PED=LTM&amp;VAR:AUDIT_MODE=SUMMARY&amp;VAR:PERIOD=FIXED&amp;VAR:AUDIT_ID=00000117&amp;VAR:DATE=20090211&amp;action=UPDATE&amp;creator=factset&amp;DOC_NAME=FAT:FMA_audit_SUMMARY.fat&amp;DISPLAY_STRING=Display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5__FDSAUDITLINK__" hidden="1">{"fdsup://directions/FAT%20Viewer?VAR:PED=LTM&amp;VAR:AUDIT_MODE=SUMMARY&amp;VAR:PERIOD=FIXED&amp;VAR:AUDIT_ID=00000117&amp;VAR:DATE=20090211&amp;action=UPDATE&amp;creator=factset&amp;DOC_NAME=FAT:FMA_audit_SUMMARY.fat&amp;DISPLAY_STRING=Display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50__FDSAUDITLINK__" localSheetId="6" hidden="1">{"fdsup://directions/FAT Viewer?action=UPDATE&amp;creator=factset&amp;DYN_ARGS=TRUE&amp;DOC_NAME=FAT:FQL_AUDITING_CLIENT_TEMPLATE.FAT&amp;display_string=Audit&amp;VAR:KEY=ZURWHSXIRK&amp;VAR:QUERY=RkZfRUJJVERBX0lCKCdMVE1TJyw0MDEzNSk=&amp;WINDOW=FIRST_POPUP&amp;HEIGHT=450&amp;WIDTH=450&amp;START_MA","XIMIZED=FALSE&amp;VAR:CALENDAR=US&amp;VAR:SYMBOL=37183T10&amp;VAR:INDEX=0"}</definedName>
    <definedName name="_3750__FDSAUDITLINK__" hidden="1">{"fdsup://directions/FAT Viewer?action=UPDATE&amp;creator=factset&amp;DYN_ARGS=TRUE&amp;DOC_NAME=FAT:FQL_AUDITING_CLIENT_TEMPLATE.FAT&amp;display_string=Audit&amp;VAR:KEY=ZURWHSXIRK&amp;VAR:QUERY=RkZfRUJJVERBX0lCKCdMVE1TJyw0MDEzNSk=&amp;WINDOW=FIRST_POPUP&amp;HEIGHT=450&amp;WIDTH=450&amp;START_MA","XIMIZED=FALSE&amp;VAR:CALENDAR=US&amp;VAR:SYMBOL=37183T10&amp;VAR:INDEX=0"}</definedName>
    <definedName name="_3751__FDSAUDITLINK__" localSheetId="6" hidden="1">{"fdsup://directions/FAT Viewer?action=UPDATE&amp;creator=factset&amp;DYN_ARGS=TRUE&amp;DOC_NAME=FAT:FQL_AUDITING_CLIENT_TEMPLATE.FAT&amp;display_string=Audit&amp;VAR:KEY=LORQXQDMTA&amp;VAR:QUERY=RkZfRUJJVERBX0lCKCdMVE1TJyw0MDEzNCk=&amp;WINDOW=FIRST_POPUP&amp;HEIGHT=450&amp;WIDTH=450&amp;START_MA","XIMIZED=FALSE&amp;VAR:CALENDAR=US&amp;VAR:SYMBOL=37183T10&amp;VAR:INDEX=0"}</definedName>
    <definedName name="_3751__FDSAUDITLINK__" hidden="1">{"fdsup://directions/FAT Viewer?action=UPDATE&amp;creator=factset&amp;DYN_ARGS=TRUE&amp;DOC_NAME=FAT:FQL_AUDITING_CLIENT_TEMPLATE.FAT&amp;display_string=Audit&amp;VAR:KEY=LORQXQDMTA&amp;VAR:QUERY=RkZfRUJJVERBX0lCKCdMVE1TJyw0MDEzNCk=&amp;WINDOW=FIRST_POPUP&amp;HEIGHT=450&amp;WIDTH=450&amp;START_MA","XIMIZED=FALSE&amp;VAR:CALENDAR=US&amp;VAR:SYMBOL=37183T10&amp;VAR:INDEX=0"}</definedName>
    <definedName name="_3752__FDSAUDITLINK__" localSheetId="6" hidden="1">{"fdsup://directions/FAT Viewer?action=UPDATE&amp;creator=factset&amp;DYN_ARGS=TRUE&amp;DOC_NAME=FAT:FQL_AUDITING_CLIENT_TEMPLATE.FAT&amp;display_string=Audit&amp;VAR:KEY=NYROPIDCDU&amp;VAR:QUERY=RkZfRUJJVERBX0lCKCdMVE1TJyw0MDEzMyk=&amp;WINDOW=FIRST_POPUP&amp;HEIGHT=450&amp;WIDTH=450&amp;START_MA","XIMIZED=FALSE&amp;VAR:CALENDAR=US&amp;VAR:SYMBOL=37183T10&amp;VAR:INDEX=0"}</definedName>
    <definedName name="_3752__FDSAUDITLINK__" hidden="1">{"fdsup://directions/FAT Viewer?action=UPDATE&amp;creator=factset&amp;DYN_ARGS=TRUE&amp;DOC_NAME=FAT:FQL_AUDITING_CLIENT_TEMPLATE.FAT&amp;display_string=Audit&amp;VAR:KEY=NYROPIDCDU&amp;VAR:QUERY=RkZfRUJJVERBX0lCKCdMVE1TJyw0MDEzMyk=&amp;WINDOW=FIRST_POPUP&amp;HEIGHT=450&amp;WIDTH=450&amp;START_MA","XIMIZED=FALSE&amp;VAR:CALENDAR=US&amp;VAR:SYMBOL=37183T10&amp;VAR:INDEX=0"}</definedName>
    <definedName name="_3753__FDSAUDITLINK__" localSheetId="6" hidden="1">{"fdsup://directions/FAT Viewer?action=UPDATE&amp;creator=factset&amp;DYN_ARGS=TRUE&amp;DOC_NAME=FAT:FQL_AUDITING_CLIENT_TEMPLATE.FAT&amp;display_string=Audit&amp;VAR:KEY=VORKJKRGVI&amp;VAR:QUERY=RkZfRUJJVERBX0lCKCdMVE1TJyw0MDEzMik=&amp;WINDOW=FIRST_POPUP&amp;HEIGHT=450&amp;WIDTH=450&amp;START_MA","XIMIZED=FALSE&amp;VAR:CALENDAR=US&amp;VAR:SYMBOL=37183T10&amp;VAR:INDEX=0"}</definedName>
    <definedName name="_3753__FDSAUDITLINK__" hidden="1">{"fdsup://directions/FAT Viewer?action=UPDATE&amp;creator=factset&amp;DYN_ARGS=TRUE&amp;DOC_NAME=FAT:FQL_AUDITING_CLIENT_TEMPLATE.FAT&amp;display_string=Audit&amp;VAR:KEY=VORKJKRGVI&amp;VAR:QUERY=RkZfRUJJVERBX0lCKCdMVE1TJyw0MDEzMik=&amp;WINDOW=FIRST_POPUP&amp;HEIGHT=450&amp;WIDTH=450&amp;START_MA","XIMIZED=FALSE&amp;VAR:CALENDAR=US&amp;VAR:SYMBOL=37183T10&amp;VAR:INDEX=0"}</definedName>
    <definedName name="_3754__FDSAUDITLINK__" localSheetId="6" hidden="1">{"fdsup://directions/FAT Viewer?action=UPDATE&amp;creator=factset&amp;DYN_ARGS=TRUE&amp;DOC_NAME=FAT:FQL_AUDITING_CLIENT_TEMPLATE.FAT&amp;display_string=Audit&amp;VAR:KEY=LUDKBKTGHK&amp;VAR:QUERY=RkZfRUJJVERBX0lCKCdMVE1TJyw0MDEzMSk=&amp;WINDOW=FIRST_POPUP&amp;HEIGHT=450&amp;WIDTH=450&amp;START_MA","XIMIZED=FALSE&amp;VAR:CALENDAR=US&amp;VAR:SYMBOL=37183T10&amp;VAR:INDEX=0"}</definedName>
    <definedName name="_3754__FDSAUDITLINK__" hidden="1">{"fdsup://directions/FAT Viewer?action=UPDATE&amp;creator=factset&amp;DYN_ARGS=TRUE&amp;DOC_NAME=FAT:FQL_AUDITING_CLIENT_TEMPLATE.FAT&amp;display_string=Audit&amp;VAR:KEY=LUDKBKTGHK&amp;VAR:QUERY=RkZfRUJJVERBX0lCKCdMVE1TJyw0MDEzMSk=&amp;WINDOW=FIRST_POPUP&amp;HEIGHT=450&amp;WIDTH=450&amp;START_MA","XIMIZED=FALSE&amp;VAR:CALENDAR=US&amp;VAR:SYMBOL=37183T10&amp;VAR:INDEX=0"}</definedName>
    <definedName name="_3755__FDSAUDITLINK__" localSheetId="6" hidden="1">{"fdsup://directions/FAT Viewer?action=UPDATE&amp;creator=factset&amp;DYN_ARGS=TRUE&amp;DOC_NAME=FAT:FQL_AUDITING_CLIENT_TEMPLATE.FAT&amp;display_string=Audit&amp;VAR:KEY=BOBGFORSZC&amp;VAR:QUERY=RkZfRUJJVERBX0lCKCdMVE1TJyw0MDEzMCk=&amp;WINDOW=FIRST_POPUP&amp;HEIGHT=450&amp;WIDTH=450&amp;START_MA","XIMIZED=FALSE&amp;VAR:CALENDAR=US&amp;VAR:SYMBOL=37183T10&amp;VAR:INDEX=0"}</definedName>
    <definedName name="_3755__FDSAUDITLINK__" hidden="1">{"fdsup://directions/FAT Viewer?action=UPDATE&amp;creator=factset&amp;DYN_ARGS=TRUE&amp;DOC_NAME=FAT:FQL_AUDITING_CLIENT_TEMPLATE.FAT&amp;display_string=Audit&amp;VAR:KEY=BOBGFORSZC&amp;VAR:QUERY=RkZfRUJJVERBX0lCKCdMVE1TJyw0MDEzMCk=&amp;WINDOW=FIRST_POPUP&amp;HEIGHT=450&amp;WIDTH=450&amp;START_MA","XIMIZED=FALSE&amp;VAR:CALENDAR=US&amp;VAR:SYMBOL=37183T10&amp;VAR:INDEX=0"}</definedName>
    <definedName name="_3756__FDSAUDITLINK__" localSheetId="6" hidden="1">{"fdsup://directions/FAT Viewer?action=UPDATE&amp;creator=factset&amp;DYN_ARGS=TRUE&amp;DOC_NAME=FAT:FQL_AUDITING_CLIENT_TEMPLATE.FAT&amp;display_string=Audit&amp;VAR:KEY=FYTMBAHUVK&amp;VAR:QUERY=RkZfRUJJVERBX0lCKCdMVE1TJyw0MDEyOSk=&amp;WINDOW=FIRST_POPUP&amp;HEIGHT=450&amp;WIDTH=450&amp;START_MA","XIMIZED=FALSE&amp;VAR:CALENDAR=US&amp;VAR:SYMBOL=37183T10&amp;VAR:INDEX=0"}</definedName>
    <definedName name="_3756__FDSAUDITLINK__" hidden="1">{"fdsup://directions/FAT Viewer?action=UPDATE&amp;creator=factset&amp;DYN_ARGS=TRUE&amp;DOC_NAME=FAT:FQL_AUDITING_CLIENT_TEMPLATE.FAT&amp;display_string=Audit&amp;VAR:KEY=FYTMBAHUVK&amp;VAR:QUERY=RkZfRUJJVERBX0lCKCdMVE1TJyw0MDEyOSk=&amp;WINDOW=FIRST_POPUP&amp;HEIGHT=450&amp;WIDTH=450&amp;START_MA","XIMIZED=FALSE&amp;VAR:CALENDAR=US&amp;VAR:SYMBOL=37183T10&amp;VAR:INDEX=0"}</definedName>
    <definedName name="_3757__FDSAUDITLINK__" localSheetId="6" hidden="1">{"fdsup://directions/FAT Viewer?action=UPDATE&amp;creator=factset&amp;DYN_ARGS=TRUE&amp;DOC_NAME=FAT:FQL_AUDITING_CLIENT_TEMPLATE.FAT&amp;display_string=Audit&amp;VAR:KEY=DQDMTADQTY&amp;VAR:QUERY=RkZfRUJJVERBX0lCKCdMVE1TJyw0MDEyOCk=&amp;WINDOW=FIRST_POPUP&amp;HEIGHT=450&amp;WIDTH=450&amp;START_MA","XIMIZED=FALSE&amp;VAR:CALENDAR=US&amp;VAR:SYMBOL=37183T10&amp;VAR:INDEX=0"}</definedName>
    <definedName name="_3757__FDSAUDITLINK__" hidden="1">{"fdsup://directions/FAT Viewer?action=UPDATE&amp;creator=factset&amp;DYN_ARGS=TRUE&amp;DOC_NAME=FAT:FQL_AUDITING_CLIENT_TEMPLATE.FAT&amp;display_string=Audit&amp;VAR:KEY=DQDMTADQTY&amp;VAR:QUERY=RkZfRUJJVERBX0lCKCdMVE1TJyw0MDEyOCk=&amp;WINDOW=FIRST_POPUP&amp;HEIGHT=450&amp;WIDTH=450&amp;START_MA","XIMIZED=FALSE&amp;VAR:CALENDAR=US&amp;VAR:SYMBOL=37183T10&amp;VAR:INDEX=0"}</definedName>
    <definedName name="_3758__FDSAUDITLINK__" localSheetId="6" hidden="1">{"fdsup://directions/FAT Viewer?action=UPDATE&amp;creator=factset&amp;DYN_ARGS=TRUE&amp;DOC_NAME=FAT:FQL_AUDITING_CLIENT_TEMPLATE.FAT&amp;display_string=Audit&amp;VAR:KEY=VSBOZGHKTO&amp;VAR:QUERY=RkZfRUJJVERBX0lCKCdMVE1TJyw0MDEyNyk=&amp;WINDOW=FIRST_POPUP&amp;HEIGHT=450&amp;WIDTH=450&amp;START_MA","XIMIZED=FALSE&amp;VAR:CALENDAR=US&amp;VAR:SYMBOL=37183T10&amp;VAR:INDEX=0"}</definedName>
    <definedName name="_3758__FDSAUDITLINK__" hidden="1">{"fdsup://directions/FAT Viewer?action=UPDATE&amp;creator=factset&amp;DYN_ARGS=TRUE&amp;DOC_NAME=FAT:FQL_AUDITING_CLIENT_TEMPLATE.FAT&amp;display_string=Audit&amp;VAR:KEY=VSBOZGHKTO&amp;VAR:QUERY=RkZfRUJJVERBX0lCKCdMVE1TJyw0MDEyNyk=&amp;WINDOW=FIRST_POPUP&amp;HEIGHT=450&amp;WIDTH=450&amp;START_MA","XIMIZED=FALSE&amp;VAR:CALENDAR=US&amp;VAR:SYMBOL=37183T10&amp;VAR:INDEX=0"}</definedName>
    <definedName name="_3759__FDSAUDITLINK__" localSheetId="6" hidden="1">{"fdsup://directions/FAT Viewer?action=UPDATE&amp;creator=factset&amp;DYN_ARGS=TRUE&amp;DOC_NAME=FAT:FQL_AUDITING_CLIENT_TEMPLATE.FAT&amp;display_string=Audit&amp;VAR:KEY=TMPYRGZSBM&amp;VAR:QUERY=RkZfRUJJVERBX0lCKCdMVE1TJyw0MDEyNik=&amp;WINDOW=FIRST_POPUP&amp;HEIGHT=450&amp;WIDTH=450&amp;START_MA","XIMIZED=FALSE&amp;VAR:CALENDAR=US&amp;VAR:SYMBOL=37183T10&amp;VAR:INDEX=0"}</definedName>
    <definedName name="_3759__FDSAUDITLINK__" hidden="1">{"fdsup://directions/FAT Viewer?action=UPDATE&amp;creator=factset&amp;DYN_ARGS=TRUE&amp;DOC_NAME=FAT:FQL_AUDITING_CLIENT_TEMPLATE.FAT&amp;display_string=Audit&amp;VAR:KEY=TMPYRGZSBM&amp;VAR:QUERY=RkZfRUJJVERBX0lCKCdMVE1TJyw0MDEyNik=&amp;WINDOW=FIRST_POPUP&amp;HEIGHT=450&amp;WIDTH=450&amp;START_MA","XIMIZED=FALSE&amp;VAR:CALENDAR=US&amp;VAR:SYMBOL=37183T10&amp;VAR:INDEX=0"}</definedName>
    <definedName name="_376__FDSAUDITLINK__" localSheetId="6" hidden="1">{"fdsup://directions/FAT%20Viewer?VAR:PED=LTM&amp;VAR:AUDIT_MODE=SUMMARY&amp;VAR:PERIOD=FIXED&amp;VAR:AUDIT_ID=00000117&amp;VAR:DATE=20090210&amp;action=UPDATE&amp;creator=factset&amp;DOC_NAME=FAT:FMA_audit_SUMMARY.fat&amp;DISPLAY_STRING=Display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6__FDSAUDITLINK__" hidden="1">{"fdsup://directions/FAT%20Viewer?VAR:PED=LTM&amp;VAR:AUDIT_MODE=SUMMARY&amp;VAR:PERIOD=FIXED&amp;VAR:AUDIT_ID=00000117&amp;VAR:DATE=20090210&amp;action=UPDATE&amp;creator=factset&amp;DOC_NAME=FAT:FMA_audit_SUMMARY.fat&amp;DISPLAY_STRING=Display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60__FDSAUDITLINK__" localSheetId="6" hidden="1">{"fdsup://directions/FAT Viewer?action=UPDATE&amp;creator=factset&amp;DYN_ARGS=TRUE&amp;DOC_NAME=FAT:FQL_AUDITING_CLIENT_TEMPLATE.FAT&amp;display_string=Audit&amp;VAR:KEY=FOTATIRGRU&amp;VAR:QUERY=RkZfRUJJVERBX0lCKCdMVE1TJyw0MDEyNSk=&amp;WINDOW=FIRST_POPUP&amp;HEIGHT=450&amp;WIDTH=450&amp;START_MA","XIMIZED=FALSE&amp;VAR:CALENDAR=US&amp;VAR:SYMBOL=37183T10&amp;VAR:INDEX=0"}</definedName>
    <definedName name="_3760__FDSAUDITLINK__" hidden="1">{"fdsup://directions/FAT Viewer?action=UPDATE&amp;creator=factset&amp;DYN_ARGS=TRUE&amp;DOC_NAME=FAT:FQL_AUDITING_CLIENT_TEMPLATE.FAT&amp;display_string=Audit&amp;VAR:KEY=FOTATIRGRU&amp;VAR:QUERY=RkZfRUJJVERBX0lCKCdMVE1TJyw0MDEyNSk=&amp;WINDOW=FIRST_POPUP&amp;HEIGHT=450&amp;WIDTH=450&amp;START_MA","XIMIZED=FALSE&amp;VAR:CALENDAR=US&amp;VAR:SYMBOL=37183T10&amp;VAR:INDEX=0"}</definedName>
    <definedName name="_3761__FDSAUDITLINK__" localSheetId="6" hidden="1">{"fdsup://directions/FAT Viewer?action=UPDATE&amp;creator=factset&amp;DYN_ARGS=TRUE&amp;DOC_NAME=FAT:FQL_AUDITING_CLIENT_TEMPLATE.FAT&amp;display_string=Audit&amp;VAR:KEY=DGXITWTQBW&amp;VAR:QUERY=RkZfRUJJVERBX0lCKCdMVE1TJyw0MDEyNCk=&amp;WINDOW=FIRST_POPUP&amp;HEIGHT=450&amp;WIDTH=450&amp;START_MA","XIMIZED=FALSE&amp;VAR:CALENDAR=US&amp;VAR:SYMBOL=37183T10&amp;VAR:INDEX=0"}</definedName>
    <definedName name="_3761__FDSAUDITLINK__" hidden="1">{"fdsup://directions/FAT Viewer?action=UPDATE&amp;creator=factset&amp;DYN_ARGS=TRUE&amp;DOC_NAME=FAT:FQL_AUDITING_CLIENT_TEMPLATE.FAT&amp;display_string=Audit&amp;VAR:KEY=DGXITWTQBW&amp;VAR:QUERY=RkZfRUJJVERBX0lCKCdMVE1TJyw0MDEyNCk=&amp;WINDOW=FIRST_POPUP&amp;HEIGHT=450&amp;WIDTH=450&amp;START_MA","XIMIZED=FALSE&amp;VAR:CALENDAR=US&amp;VAR:SYMBOL=37183T10&amp;VAR:INDEX=0"}</definedName>
    <definedName name="_3762__FDSAUDITLINK__" localSheetId="6" hidden="1">{"fdsup://directions/FAT Viewer?action=UPDATE&amp;creator=factset&amp;DYN_ARGS=TRUE&amp;DOC_NAME=FAT:FQL_AUDITING_CLIENT_TEMPLATE.FAT&amp;display_string=Audit&amp;VAR:KEY=NIZUVEZGJY&amp;VAR:QUERY=RkZfRUJJVERBX0lCKCdMVE1TJyw0MDEyMyk=&amp;WINDOW=FIRST_POPUP&amp;HEIGHT=450&amp;WIDTH=450&amp;START_MA","XIMIZED=FALSE&amp;VAR:CALENDAR=US&amp;VAR:SYMBOL=37183T10&amp;VAR:INDEX=0"}</definedName>
    <definedName name="_3762__FDSAUDITLINK__" hidden="1">{"fdsup://directions/FAT Viewer?action=UPDATE&amp;creator=factset&amp;DYN_ARGS=TRUE&amp;DOC_NAME=FAT:FQL_AUDITING_CLIENT_TEMPLATE.FAT&amp;display_string=Audit&amp;VAR:KEY=NIZUVEZGJY&amp;VAR:QUERY=RkZfRUJJVERBX0lCKCdMVE1TJyw0MDEyMyk=&amp;WINDOW=FIRST_POPUP&amp;HEIGHT=450&amp;WIDTH=450&amp;START_MA","XIMIZED=FALSE&amp;VAR:CALENDAR=US&amp;VAR:SYMBOL=37183T10&amp;VAR:INDEX=0"}</definedName>
    <definedName name="_3763__FDSAUDITLINK__" localSheetId="6" hidden="1">{"fdsup://directions/FAT Viewer?action=UPDATE&amp;creator=factset&amp;DYN_ARGS=TRUE&amp;DOC_NAME=FAT:FQL_AUDITING_CLIENT_TEMPLATE.FAT&amp;display_string=Audit&amp;VAR:KEY=FUVEXEXOFW&amp;VAR:QUERY=RkZfRUJJVERBX0lCKCdMVE1TJyw0MDEyMik=&amp;WINDOW=FIRST_POPUP&amp;HEIGHT=450&amp;WIDTH=450&amp;START_MA","XIMIZED=FALSE&amp;VAR:CALENDAR=US&amp;VAR:SYMBOL=37183T10&amp;VAR:INDEX=0"}</definedName>
    <definedName name="_3763__FDSAUDITLINK__" hidden="1">{"fdsup://directions/FAT Viewer?action=UPDATE&amp;creator=factset&amp;DYN_ARGS=TRUE&amp;DOC_NAME=FAT:FQL_AUDITING_CLIENT_TEMPLATE.FAT&amp;display_string=Audit&amp;VAR:KEY=FUVEXEXOFW&amp;VAR:QUERY=RkZfRUJJVERBX0lCKCdMVE1TJyw0MDEyMik=&amp;WINDOW=FIRST_POPUP&amp;HEIGHT=450&amp;WIDTH=450&amp;START_MA","XIMIZED=FALSE&amp;VAR:CALENDAR=US&amp;VAR:SYMBOL=37183T10&amp;VAR:INDEX=0"}</definedName>
    <definedName name="_3764__FDSAUDITLINK__" localSheetId="6" hidden="1">{"fdsup://directions/FAT Viewer?action=UPDATE&amp;creator=factset&amp;DYN_ARGS=TRUE&amp;DOC_NAME=FAT:FQL_AUDITING_CLIENT_TEMPLATE.FAT&amp;display_string=Audit&amp;VAR:KEY=VMLCBQLSZY&amp;VAR:QUERY=RkZfRUJJVERBX0lCKCdMVE1TJyw0MDEyMSk=&amp;WINDOW=FIRST_POPUP&amp;HEIGHT=450&amp;WIDTH=450&amp;START_MA","XIMIZED=FALSE&amp;VAR:CALENDAR=US&amp;VAR:SYMBOL=37183T10&amp;VAR:INDEX=0"}</definedName>
    <definedName name="_3764__FDSAUDITLINK__" hidden="1">{"fdsup://directions/FAT Viewer?action=UPDATE&amp;creator=factset&amp;DYN_ARGS=TRUE&amp;DOC_NAME=FAT:FQL_AUDITING_CLIENT_TEMPLATE.FAT&amp;display_string=Audit&amp;VAR:KEY=VMLCBQLSZY&amp;VAR:QUERY=RkZfRUJJVERBX0lCKCdMVE1TJyw0MDEyMSk=&amp;WINDOW=FIRST_POPUP&amp;HEIGHT=450&amp;WIDTH=450&amp;START_MA","XIMIZED=FALSE&amp;VAR:CALENDAR=US&amp;VAR:SYMBOL=37183T10&amp;VAR:INDEX=0"}</definedName>
    <definedName name="_3765__FDSAUDITLINK__" localSheetId="6" hidden="1">{"fdsup://directions/FAT Viewer?action=UPDATE&amp;creator=factset&amp;DYN_ARGS=TRUE&amp;DOC_NAME=FAT:FQL_AUDITING_CLIENT_TEMPLATE.FAT&amp;display_string=Audit&amp;VAR:KEY=FCDKVOXUVW&amp;VAR:QUERY=RkZfRUJJVERBX0lCKCdMVE1TJyw0MDEyMCk=&amp;WINDOW=FIRST_POPUP&amp;HEIGHT=450&amp;WIDTH=450&amp;START_MA","XIMIZED=FALSE&amp;VAR:CALENDAR=US&amp;VAR:SYMBOL=37183T10&amp;VAR:INDEX=0"}</definedName>
    <definedName name="_3765__FDSAUDITLINK__" hidden="1">{"fdsup://directions/FAT Viewer?action=UPDATE&amp;creator=factset&amp;DYN_ARGS=TRUE&amp;DOC_NAME=FAT:FQL_AUDITING_CLIENT_TEMPLATE.FAT&amp;display_string=Audit&amp;VAR:KEY=FCDKVOXUVW&amp;VAR:QUERY=RkZfRUJJVERBX0lCKCdMVE1TJyw0MDEyMCk=&amp;WINDOW=FIRST_POPUP&amp;HEIGHT=450&amp;WIDTH=450&amp;START_MA","XIMIZED=FALSE&amp;VAR:CALENDAR=US&amp;VAR:SYMBOL=37183T10&amp;VAR:INDEX=0"}</definedName>
    <definedName name="_3766__FDSAUDITLINK__" localSheetId="6" hidden="1">{"fdsup://directions/FAT Viewer?action=UPDATE&amp;creator=factset&amp;DYN_ARGS=TRUE&amp;DOC_NAME=FAT:FQL_AUDITING_CLIENT_TEMPLATE.FAT&amp;display_string=Audit&amp;VAR:KEY=NKPWDSLEXA&amp;VAR:QUERY=RkZfRUJJVERBX0lCKCdMVE1TJyw0MDExOSk=&amp;WINDOW=FIRST_POPUP&amp;HEIGHT=450&amp;WIDTH=450&amp;START_MA","XIMIZED=FALSE&amp;VAR:CALENDAR=US&amp;VAR:SYMBOL=37183T10&amp;VAR:INDEX=0"}</definedName>
    <definedName name="_3766__FDSAUDITLINK__" hidden="1">{"fdsup://directions/FAT Viewer?action=UPDATE&amp;creator=factset&amp;DYN_ARGS=TRUE&amp;DOC_NAME=FAT:FQL_AUDITING_CLIENT_TEMPLATE.FAT&amp;display_string=Audit&amp;VAR:KEY=NKPWDSLEXA&amp;VAR:QUERY=RkZfRUJJVERBX0lCKCdMVE1TJyw0MDExOSk=&amp;WINDOW=FIRST_POPUP&amp;HEIGHT=450&amp;WIDTH=450&amp;START_MA","XIMIZED=FALSE&amp;VAR:CALENDAR=US&amp;VAR:SYMBOL=37183T10&amp;VAR:INDEX=0"}</definedName>
    <definedName name="_3767__FDSAUDITLINK__" localSheetId="6" hidden="1">{"fdsup://directions/FAT Viewer?action=UPDATE&amp;creator=factset&amp;DYN_ARGS=TRUE&amp;DOC_NAME=FAT:FQL_AUDITING_CLIENT_TEMPLATE.FAT&amp;display_string=Audit&amp;VAR:KEY=BIRWRILONA&amp;VAR:QUERY=RkZfRUJJVERBX0lCKCdMVE1TJyw0MDExOCk=&amp;WINDOW=FIRST_POPUP&amp;HEIGHT=450&amp;WIDTH=450&amp;START_MA","XIMIZED=FALSE&amp;VAR:CALENDAR=US&amp;VAR:SYMBOL=37183T10&amp;VAR:INDEX=0"}</definedName>
    <definedName name="_3767__FDSAUDITLINK__" hidden="1">{"fdsup://directions/FAT Viewer?action=UPDATE&amp;creator=factset&amp;DYN_ARGS=TRUE&amp;DOC_NAME=FAT:FQL_AUDITING_CLIENT_TEMPLATE.FAT&amp;display_string=Audit&amp;VAR:KEY=BIRWRILONA&amp;VAR:QUERY=RkZfRUJJVERBX0lCKCdMVE1TJyw0MDExOCk=&amp;WINDOW=FIRST_POPUP&amp;HEIGHT=450&amp;WIDTH=450&amp;START_MA","XIMIZED=FALSE&amp;VAR:CALENDAR=US&amp;VAR:SYMBOL=37183T10&amp;VAR:INDEX=0"}</definedName>
    <definedName name="_3768__FDSAUDITLINK__" localSheetId="6" hidden="1">{"fdsup://directions/FAT Viewer?action=UPDATE&amp;creator=factset&amp;DYN_ARGS=TRUE&amp;DOC_NAME=FAT:FQL_AUDITING_CLIENT_TEMPLATE.FAT&amp;display_string=Audit&amp;VAR:KEY=PENWLWHODW&amp;VAR:QUERY=RkZfRUJJVERBX0lCKCdMVE1TJyw0MDExNyk=&amp;WINDOW=FIRST_POPUP&amp;HEIGHT=450&amp;WIDTH=450&amp;START_MA","XIMIZED=FALSE&amp;VAR:CALENDAR=US&amp;VAR:SYMBOL=37183T10&amp;VAR:INDEX=0"}</definedName>
    <definedName name="_3768__FDSAUDITLINK__" hidden="1">{"fdsup://directions/FAT Viewer?action=UPDATE&amp;creator=factset&amp;DYN_ARGS=TRUE&amp;DOC_NAME=FAT:FQL_AUDITING_CLIENT_TEMPLATE.FAT&amp;display_string=Audit&amp;VAR:KEY=PENWLWHODW&amp;VAR:QUERY=RkZfRUJJVERBX0lCKCdMVE1TJyw0MDExNyk=&amp;WINDOW=FIRST_POPUP&amp;HEIGHT=450&amp;WIDTH=450&amp;START_MA","XIMIZED=FALSE&amp;VAR:CALENDAR=US&amp;VAR:SYMBOL=37183T10&amp;VAR:INDEX=0"}</definedName>
    <definedName name="_3769__FDSAUDITLINK__" localSheetId="6" hidden="1">{"fdsup://directions/FAT Viewer?action=UPDATE&amp;creator=factset&amp;DYN_ARGS=TRUE&amp;DOC_NAME=FAT:FQL_AUDITING_CLIENT_TEMPLATE.FAT&amp;display_string=Audit&amp;VAR:KEY=NWXGFGDONE&amp;VAR:QUERY=RkZfRUJJVERBX0lCKCdMVE1TJyw0MDExNik=&amp;WINDOW=FIRST_POPUP&amp;HEIGHT=450&amp;WIDTH=450&amp;START_MA","XIMIZED=FALSE&amp;VAR:CALENDAR=US&amp;VAR:SYMBOL=37183T10&amp;VAR:INDEX=0"}</definedName>
    <definedName name="_3769__FDSAUDITLINK__" hidden="1">{"fdsup://directions/FAT Viewer?action=UPDATE&amp;creator=factset&amp;DYN_ARGS=TRUE&amp;DOC_NAME=FAT:FQL_AUDITING_CLIENT_TEMPLATE.FAT&amp;display_string=Audit&amp;VAR:KEY=NWXGFGDONE&amp;VAR:QUERY=RkZfRUJJVERBX0lCKCdMVE1TJyw0MDExNik=&amp;WINDOW=FIRST_POPUP&amp;HEIGHT=450&amp;WIDTH=450&amp;START_MA","XIMIZED=FALSE&amp;VAR:CALENDAR=US&amp;VAR:SYMBOL=37183T10&amp;VAR:INDEX=0"}</definedName>
    <definedName name="_377__FDSAUDITLINK__" localSheetId="6" hidden="1">{"fdsup://directions/FAT%20Viewer?VAR:PED=LTM&amp;VAR:AUDIT_MODE=SUMMARY&amp;VAR:PERIOD=FIXED&amp;VAR:AUDIT_ID=00000117&amp;VAR:DATE=20090209&amp;action=UPDATE&amp;creator=factset&amp;DOC_NAME=FAT:FMA_audit_SUMMARY.fat&amp;DISPLAY_STRING=Display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7__FDSAUDITLINK__" hidden="1">{"fdsup://directions/FAT%20Viewer?VAR:PED=LTM&amp;VAR:AUDIT_MODE=SUMMARY&amp;VAR:PERIOD=FIXED&amp;VAR:AUDIT_ID=00000117&amp;VAR:DATE=20090209&amp;action=UPDATE&amp;creator=factset&amp;DOC_NAME=FAT:FMA_audit_SUMMARY.fat&amp;DISPLAY_STRING=Display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70__FDSAUDITLINK__" localSheetId="6" hidden="1">{"fdsup://directions/FAT Viewer?action=UPDATE&amp;creator=factset&amp;DYN_ARGS=TRUE&amp;DOC_NAME=FAT:FQL_AUDITING_CLIENT_TEMPLATE.FAT&amp;display_string=Audit&amp;VAR:KEY=XWHSXGRSBU&amp;VAR:QUERY=RkZfRUJJVERBX0lCKCdMVE1TJyw0MDExNSk=&amp;WINDOW=FIRST_POPUP&amp;HEIGHT=450&amp;WIDTH=450&amp;START_MA","XIMIZED=FALSE&amp;VAR:CALENDAR=US&amp;VAR:SYMBOL=37183T10&amp;VAR:INDEX=0"}</definedName>
    <definedName name="_3770__FDSAUDITLINK__" hidden="1">{"fdsup://directions/FAT Viewer?action=UPDATE&amp;creator=factset&amp;DYN_ARGS=TRUE&amp;DOC_NAME=FAT:FQL_AUDITING_CLIENT_TEMPLATE.FAT&amp;display_string=Audit&amp;VAR:KEY=XWHSXGRSBU&amp;VAR:QUERY=RkZfRUJJVERBX0lCKCdMVE1TJyw0MDExNSk=&amp;WINDOW=FIRST_POPUP&amp;HEIGHT=450&amp;WIDTH=450&amp;START_MA","XIMIZED=FALSE&amp;VAR:CALENDAR=US&amp;VAR:SYMBOL=37183T10&amp;VAR:INDEX=0"}</definedName>
    <definedName name="_3771__FDSAUDITLINK__" localSheetId="6" hidden="1">{"fdsup://directions/FAT Viewer?action=UPDATE&amp;creator=factset&amp;DYN_ARGS=TRUE&amp;DOC_NAME=FAT:FQL_AUDITING_CLIENT_TEMPLATE.FAT&amp;display_string=Audit&amp;VAR:KEY=PWTSPKBERM&amp;VAR:QUERY=RkZfRUJJVERBX0lCKCdMVE1TJyw0MDExNCk=&amp;WINDOW=FIRST_POPUP&amp;HEIGHT=450&amp;WIDTH=450&amp;START_MA","XIMIZED=FALSE&amp;VAR:CALENDAR=US&amp;VAR:SYMBOL=37183T10&amp;VAR:INDEX=0"}</definedName>
    <definedName name="_3771__FDSAUDITLINK__" hidden="1">{"fdsup://directions/FAT Viewer?action=UPDATE&amp;creator=factset&amp;DYN_ARGS=TRUE&amp;DOC_NAME=FAT:FQL_AUDITING_CLIENT_TEMPLATE.FAT&amp;display_string=Audit&amp;VAR:KEY=PWTSPKBERM&amp;VAR:QUERY=RkZfRUJJVERBX0lCKCdMVE1TJyw0MDExNCk=&amp;WINDOW=FIRST_POPUP&amp;HEIGHT=450&amp;WIDTH=450&amp;START_MA","XIMIZED=FALSE&amp;VAR:CALENDAR=US&amp;VAR:SYMBOL=37183T10&amp;VAR:INDEX=0"}</definedName>
    <definedName name="_3772__FDSAUDITLINK__" localSheetId="6" hidden="1">{"fdsup://directions/FAT Viewer?action=UPDATE&amp;creator=factset&amp;DYN_ARGS=TRUE&amp;DOC_NAME=FAT:FQL_AUDITING_CLIENT_TEMPLATE.FAT&amp;display_string=Audit&amp;VAR:KEY=XIPGLYLIJQ&amp;VAR:QUERY=RkZfRUJJVERBX0lCKCdMVE1TJyw0MDExMyk=&amp;WINDOW=FIRST_POPUP&amp;HEIGHT=450&amp;WIDTH=450&amp;START_MA","XIMIZED=FALSE&amp;VAR:CALENDAR=US&amp;VAR:SYMBOL=37183T10&amp;VAR:INDEX=0"}</definedName>
    <definedName name="_3772__FDSAUDITLINK__" hidden="1">{"fdsup://directions/FAT Viewer?action=UPDATE&amp;creator=factset&amp;DYN_ARGS=TRUE&amp;DOC_NAME=FAT:FQL_AUDITING_CLIENT_TEMPLATE.FAT&amp;display_string=Audit&amp;VAR:KEY=XIPGLYLIJQ&amp;VAR:QUERY=RkZfRUJJVERBX0lCKCdMVE1TJyw0MDExMyk=&amp;WINDOW=FIRST_POPUP&amp;HEIGHT=450&amp;WIDTH=450&amp;START_MA","XIMIZED=FALSE&amp;VAR:CALENDAR=US&amp;VAR:SYMBOL=37183T10&amp;VAR:INDEX=0"}</definedName>
    <definedName name="_3773__FDSAUDITLINK__" localSheetId="6" hidden="1">{"fdsup://directions/FAT Viewer?action=UPDATE&amp;creator=factset&amp;DYN_ARGS=TRUE&amp;DOC_NAME=FAT:FQL_AUDITING_CLIENT_TEMPLATE.FAT&amp;display_string=Audit&amp;VAR:KEY=RSXEHIRETO&amp;VAR:QUERY=RkZfRUJJVERBX0lCKCdMVE1TJyw0MDExMik=&amp;WINDOW=FIRST_POPUP&amp;HEIGHT=450&amp;WIDTH=450&amp;START_MA","XIMIZED=FALSE&amp;VAR:CALENDAR=US&amp;VAR:SYMBOL=37183T10&amp;VAR:INDEX=0"}</definedName>
    <definedName name="_3773__FDSAUDITLINK__" hidden="1">{"fdsup://directions/FAT Viewer?action=UPDATE&amp;creator=factset&amp;DYN_ARGS=TRUE&amp;DOC_NAME=FAT:FQL_AUDITING_CLIENT_TEMPLATE.FAT&amp;display_string=Audit&amp;VAR:KEY=RSXEHIRETO&amp;VAR:QUERY=RkZfRUJJVERBX0lCKCdMVE1TJyw0MDExMik=&amp;WINDOW=FIRST_POPUP&amp;HEIGHT=450&amp;WIDTH=450&amp;START_MA","XIMIZED=FALSE&amp;VAR:CALENDAR=US&amp;VAR:SYMBOL=37183T10&amp;VAR:INDEX=0"}</definedName>
    <definedName name="_3774__FDSAUDITLINK__" localSheetId="6" hidden="1">{"fdsup://directions/FAT Viewer?action=UPDATE&amp;creator=factset&amp;DYN_ARGS=TRUE&amp;DOC_NAME=FAT:FQL_AUDITING_CLIENT_TEMPLATE.FAT&amp;display_string=Audit&amp;VAR:KEY=RQFKLSBCTO&amp;VAR:QUERY=RkZfRUJJVERBX0lCKCdMVE1TJyw0MDExMSk=&amp;WINDOW=FIRST_POPUP&amp;HEIGHT=450&amp;WIDTH=450&amp;START_MA","XIMIZED=FALSE&amp;VAR:CALENDAR=US&amp;VAR:SYMBOL=37183T10&amp;VAR:INDEX=0"}</definedName>
    <definedName name="_3774__FDSAUDITLINK__" hidden="1">{"fdsup://directions/FAT Viewer?action=UPDATE&amp;creator=factset&amp;DYN_ARGS=TRUE&amp;DOC_NAME=FAT:FQL_AUDITING_CLIENT_TEMPLATE.FAT&amp;display_string=Audit&amp;VAR:KEY=RQFKLSBCTO&amp;VAR:QUERY=RkZfRUJJVERBX0lCKCdMVE1TJyw0MDExMSk=&amp;WINDOW=FIRST_POPUP&amp;HEIGHT=450&amp;WIDTH=450&amp;START_MA","XIMIZED=FALSE&amp;VAR:CALENDAR=US&amp;VAR:SYMBOL=37183T10&amp;VAR:INDEX=0"}</definedName>
    <definedName name="_3775__FDSAUDITLINK__" localSheetId="6" hidden="1">{"fdsup://directions/FAT Viewer?action=UPDATE&amp;creator=factset&amp;DYN_ARGS=TRUE&amp;DOC_NAME=FAT:FQL_AUDITING_CLIENT_TEMPLATE.FAT&amp;display_string=Audit&amp;VAR:KEY=HCRUHGNULI&amp;VAR:QUERY=RkZfRUJJVERBX0lCKCdMVE1TJyw0MDExMCk=&amp;WINDOW=FIRST_POPUP&amp;HEIGHT=450&amp;WIDTH=450&amp;START_MA","XIMIZED=FALSE&amp;VAR:CALENDAR=US&amp;VAR:SYMBOL=37183T10&amp;VAR:INDEX=0"}</definedName>
    <definedName name="_3775__FDSAUDITLINK__" hidden="1">{"fdsup://directions/FAT Viewer?action=UPDATE&amp;creator=factset&amp;DYN_ARGS=TRUE&amp;DOC_NAME=FAT:FQL_AUDITING_CLIENT_TEMPLATE.FAT&amp;display_string=Audit&amp;VAR:KEY=HCRUHGNULI&amp;VAR:QUERY=RkZfRUJJVERBX0lCKCdMVE1TJyw0MDExMCk=&amp;WINDOW=FIRST_POPUP&amp;HEIGHT=450&amp;WIDTH=450&amp;START_MA","XIMIZED=FALSE&amp;VAR:CALENDAR=US&amp;VAR:SYMBOL=37183T10&amp;VAR:INDEX=0"}</definedName>
    <definedName name="_3776__FDSAUDITLINK__" localSheetId="6" hidden="1">{"fdsup://directions/FAT Viewer?action=UPDATE&amp;creator=factset&amp;DYN_ARGS=TRUE&amp;DOC_NAME=FAT:FQL_AUDITING_CLIENT_TEMPLATE.FAT&amp;display_string=Audit&amp;VAR:KEY=ZONOPCBMFW&amp;VAR:QUERY=RkZfRUJJVERBX0lCKCdMVE1TJyw0MDEwOSk=&amp;WINDOW=FIRST_POPUP&amp;HEIGHT=450&amp;WIDTH=450&amp;START_MA","XIMIZED=FALSE&amp;VAR:CALENDAR=US&amp;VAR:SYMBOL=37183T10&amp;VAR:INDEX=0"}</definedName>
    <definedName name="_3776__FDSAUDITLINK__" hidden="1">{"fdsup://directions/FAT Viewer?action=UPDATE&amp;creator=factset&amp;DYN_ARGS=TRUE&amp;DOC_NAME=FAT:FQL_AUDITING_CLIENT_TEMPLATE.FAT&amp;display_string=Audit&amp;VAR:KEY=ZONOPCBMFW&amp;VAR:QUERY=RkZfRUJJVERBX0lCKCdMVE1TJyw0MDEwOSk=&amp;WINDOW=FIRST_POPUP&amp;HEIGHT=450&amp;WIDTH=450&amp;START_MA","XIMIZED=FALSE&amp;VAR:CALENDAR=US&amp;VAR:SYMBOL=37183T10&amp;VAR:INDEX=0"}</definedName>
    <definedName name="_3777__FDSAUDITLINK__" localSheetId="6" hidden="1">{"fdsup://directions/FAT Viewer?action=UPDATE&amp;creator=factset&amp;DYN_ARGS=TRUE&amp;DOC_NAME=FAT:FQL_AUDITING_CLIENT_TEMPLATE.FAT&amp;display_string=Audit&amp;VAR:KEY=BCXKLMFQBO&amp;VAR:QUERY=RkZfRUJJVERBX0lCKCdMVE1TJyw0MDEwOCk=&amp;WINDOW=FIRST_POPUP&amp;HEIGHT=450&amp;WIDTH=450&amp;START_MA","XIMIZED=FALSE&amp;VAR:CALENDAR=US&amp;VAR:SYMBOL=37183T10&amp;VAR:INDEX=0"}</definedName>
    <definedName name="_3777__FDSAUDITLINK__" hidden="1">{"fdsup://directions/FAT Viewer?action=UPDATE&amp;creator=factset&amp;DYN_ARGS=TRUE&amp;DOC_NAME=FAT:FQL_AUDITING_CLIENT_TEMPLATE.FAT&amp;display_string=Audit&amp;VAR:KEY=BCXKLMFQBO&amp;VAR:QUERY=RkZfRUJJVERBX0lCKCdMVE1TJyw0MDEwOCk=&amp;WINDOW=FIRST_POPUP&amp;HEIGHT=450&amp;WIDTH=450&amp;START_MA","XIMIZED=FALSE&amp;VAR:CALENDAR=US&amp;VAR:SYMBOL=37183T10&amp;VAR:INDEX=0"}</definedName>
    <definedName name="_3778__FDSAUDITLINK__" localSheetId="6" hidden="1">{"fdsup://directions/FAT Viewer?action=UPDATE&amp;creator=factset&amp;DYN_ARGS=TRUE&amp;DOC_NAME=FAT:FQL_AUDITING_CLIENT_TEMPLATE.FAT&amp;display_string=Audit&amp;VAR:KEY=TIRAVYDGRY&amp;VAR:QUERY=RkZfRUJJVERBX0lCKCdMVE1TJyw0MDEwNyk=&amp;WINDOW=FIRST_POPUP&amp;HEIGHT=450&amp;WIDTH=450&amp;START_MA","XIMIZED=FALSE&amp;VAR:CALENDAR=US&amp;VAR:SYMBOL=37183T10&amp;VAR:INDEX=0"}</definedName>
    <definedName name="_3778__FDSAUDITLINK__" hidden="1">{"fdsup://directions/FAT Viewer?action=UPDATE&amp;creator=factset&amp;DYN_ARGS=TRUE&amp;DOC_NAME=FAT:FQL_AUDITING_CLIENT_TEMPLATE.FAT&amp;display_string=Audit&amp;VAR:KEY=TIRAVYDGRY&amp;VAR:QUERY=RkZfRUJJVERBX0lCKCdMVE1TJyw0MDEwNyk=&amp;WINDOW=FIRST_POPUP&amp;HEIGHT=450&amp;WIDTH=450&amp;START_MA","XIMIZED=FALSE&amp;VAR:CALENDAR=US&amp;VAR:SYMBOL=37183T10&amp;VAR:INDEX=0"}</definedName>
    <definedName name="_3779__FDSAUDITLINK__" localSheetId="6" hidden="1">{"fdsup://directions/FAT Viewer?action=UPDATE&amp;creator=factset&amp;DYN_ARGS=TRUE&amp;DOC_NAME=FAT:FQL_AUDITING_CLIENT_TEMPLATE.FAT&amp;display_string=Audit&amp;VAR:KEY=BEXCBAPSRY&amp;VAR:QUERY=RkZfRUJJVERBX0lCKCdMVE1TJyw0MDEwNik=&amp;WINDOW=FIRST_POPUP&amp;HEIGHT=450&amp;WIDTH=450&amp;START_MA","XIMIZED=FALSE&amp;VAR:CALENDAR=US&amp;VAR:SYMBOL=37183T10&amp;VAR:INDEX=0"}</definedName>
    <definedName name="_3779__FDSAUDITLINK__" hidden="1">{"fdsup://directions/FAT Viewer?action=UPDATE&amp;creator=factset&amp;DYN_ARGS=TRUE&amp;DOC_NAME=FAT:FQL_AUDITING_CLIENT_TEMPLATE.FAT&amp;display_string=Audit&amp;VAR:KEY=BEXCBAPSRY&amp;VAR:QUERY=RkZfRUJJVERBX0lCKCdMVE1TJyw0MDEwNik=&amp;WINDOW=FIRST_POPUP&amp;HEIGHT=450&amp;WIDTH=450&amp;START_MA","XIMIZED=FALSE&amp;VAR:CALENDAR=US&amp;VAR:SYMBOL=37183T10&amp;VAR:INDEX=0"}</definedName>
    <definedName name="_378__FDSAUDITLINK__" localSheetId="6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8__FDSAUDITLINK__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80__FDSAUDITLINK__" localSheetId="6" hidden="1">{"fdsup://directions/FAT Viewer?action=UPDATE&amp;creator=factset&amp;DYN_ARGS=TRUE&amp;DOC_NAME=FAT:FQL_AUDITING_CLIENT_TEMPLATE.FAT&amp;display_string=Audit&amp;VAR:KEY=ZMREBODUFA&amp;VAR:QUERY=RkZfRUJJVERBX0lCKCdMVE1TJyw0MDEwNSk=&amp;WINDOW=FIRST_POPUP&amp;HEIGHT=450&amp;WIDTH=450&amp;START_MA","XIMIZED=FALSE&amp;VAR:CALENDAR=US&amp;VAR:SYMBOL=37183T10&amp;VAR:INDEX=0"}</definedName>
    <definedName name="_3780__FDSAUDITLINK__" hidden="1">{"fdsup://directions/FAT Viewer?action=UPDATE&amp;creator=factset&amp;DYN_ARGS=TRUE&amp;DOC_NAME=FAT:FQL_AUDITING_CLIENT_TEMPLATE.FAT&amp;display_string=Audit&amp;VAR:KEY=ZMREBODUFA&amp;VAR:QUERY=RkZfRUJJVERBX0lCKCdMVE1TJyw0MDEwNSk=&amp;WINDOW=FIRST_POPUP&amp;HEIGHT=450&amp;WIDTH=450&amp;START_MA","XIMIZED=FALSE&amp;VAR:CALENDAR=US&amp;VAR:SYMBOL=37183T10&amp;VAR:INDEX=0"}</definedName>
    <definedName name="_3781__FDSAUDITLINK__" localSheetId="6" hidden="1">{"fdsup://directions/FAT Viewer?action=UPDATE&amp;creator=factset&amp;DYN_ARGS=TRUE&amp;DOC_NAME=FAT:FQL_AUDITING_CLIENT_TEMPLATE.FAT&amp;display_string=Audit&amp;VAR:KEY=HQNSHWZKZO&amp;VAR:QUERY=RkZfRUJJVERBX0lCKCdMVE1TJyw0MDEwNCk=&amp;WINDOW=FIRST_POPUP&amp;HEIGHT=450&amp;WIDTH=450&amp;START_MA","XIMIZED=FALSE&amp;VAR:CALENDAR=US&amp;VAR:SYMBOL=37183T10&amp;VAR:INDEX=0"}</definedName>
    <definedName name="_3781__FDSAUDITLINK__" hidden="1">{"fdsup://directions/FAT Viewer?action=UPDATE&amp;creator=factset&amp;DYN_ARGS=TRUE&amp;DOC_NAME=FAT:FQL_AUDITING_CLIENT_TEMPLATE.FAT&amp;display_string=Audit&amp;VAR:KEY=HQNSHWZKZO&amp;VAR:QUERY=RkZfRUJJVERBX0lCKCdMVE1TJyw0MDEwNCk=&amp;WINDOW=FIRST_POPUP&amp;HEIGHT=450&amp;WIDTH=450&amp;START_MA","XIMIZED=FALSE&amp;VAR:CALENDAR=US&amp;VAR:SYMBOL=37183T10&amp;VAR:INDEX=0"}</definedName>
    <definedName name="_3782__FDSAUDITLINK__" localSheetId="6" hidden="1">{"fdsup://directions/FAT Viewer?action=UPDATE&amp;creator=factset&amp;DYN_ARGS=TRUE&amp;DOC_NAME=FAT:FQL_AUDITING_CLIENT_TEMPLATE.FAT&amp;display_string=Audit&amp;VAR:KEY=RSPWLQDEBG&amp;VAR:QUERY=RkZfRUJJVERBX0lCKCdMVE1TJyw0MDEwMyk=&amp;WINDOW=FIRST_POPUP&amp;HEIGHT=450&amp;WIDTH=450&amp;START_MA","XIMIZED=FALSE&amp;VAR:CALENDAR=US&amp;VAR:SYMBOL=37183T10&amp;VAR:INDEX=0"}</definedName>
    <definedName name="_3782__FDSAUDITLINK__" hidden="1">{"fdsup://directions/FAT Viewer?action=UPDATE&amp;creator=factset&amp;DYN_ARGS=TRUE&amp;DOC_NAME=FAT:FQL_AUDITING_CLIENT_TEMPLATE.FAT&amp;display_string=Audit&amp;VAR:KEY=RSPWLQDEBG&amp;VAR:QUERY=RkZfRUJJVERBX0lCKCdMVE1TJyw0MDEwMyk=&amp;WINDOW=FIRST_POPUP&amp;HEIGHT=450&amp;WIDTH=450&amp;START_MA","XIMIZED=FALSE&amp;VAR:CALENDAR=US&amp;VAR:SYMBOL=37183T10&amp;VAR:INDEX=0"}</definedName>
    <definedName name="_3783__FDSAUDITLINK__" localSheetId="6" hidden="1">{"fdsup://directions/FAT Viewer?action=UPDATE&amp;creator=factset&amp;DYN_ARGS=TRUE&amp;DOC_NAME=FAT:FQL_AUDITING_CLIENT_TEMPLATE.FAT&amp;display_string=Audit&amp;VAR:KEY=ZWHIPGPSTG&amp;VAR:QUERY=RkZfRUJJVERBX0lCKCdMVE1TJyw0MDEwMik=&amp;WINDOW=FIRST_POPUP&amp;HEIGHT=450&amp;WIDTH=450&amp;START_MA","XIMIZED=FALSE&amp;VAR:CALENDAR=US&amp;VAR:SYMBOL=37183T10&amp;VAR:INDEX=0"}</definedName>
    <definedName name="_3783__FDSAUDITLINK__" hidden="1">{"fdsup://directions/FAT Viewer?action=UPDATE&amp;creator=factset&amp;DYN_ARGS=TRUE&amp;DOC_NAME=FAT:FQL_AUDITING_CLIENT_TEMPLATE.FAT&amp;display_string=Audit&amp;VAR:KEY=ZWHIPGPSTG&amp;VAR:QUERY=RkZfRUJJVERBX0lCKCdMVE1TJyw0MDEwMik=&amp;WINDOW=FIRST_POPUP&amp;HEIGHT=450&amp;WIDTH=450&amp;START_MA","XIMIZED=FALSE&amp;VAR:CALENDAR=US&amp;VAR:SYMBOL=37183T10&amp;VAR:INDEX=0"}</definedName>
    <definedName name="_3784__FDSAUDITLINK__" localSheetId="6" hidden="1">{"fdsup://directions/FAT Viewer?action=UPDATE&amp;creator=factset&amp;DYN_ARGS=TRUE&amp;DOC_NAME=FAT:FQL_AUDITING_CLIENT_TEMPLATE.FAT&amp;display_string=Audit&amp;VAR:KEY=BCBAPCFCVG&amp;VAR:QUERY=RkZfRUJJVERBX0lCKCdMVE1TJyw0MDEwMSk=&amp;WINDOW=FIRST_POPUP&amp;HEIGHT=450&amp;WIDTH=450&amp;START_MA","XIMIZED=FALSE&amp;VAR:CALENDAR=US&amp;VAR:SYMBOL=37183T10&amp;VAR:INDEX=0"}</definedName>
    <definedName name="_3784__FDSAUDITLINK__" hidden="1">{"fdsup://directions/FAT Viewer?action=UPDATE&amp;creator=factset&amp;DYN_ARGS=TRUE&amp;DOC_NAME=FAT:FQL_AUDITING_CLIENT_TEMPLATE.FAT&amp;display_string=Audit&amp;VAR:KEY=BCBAPCFCVG&amp;VAR:QUERY=RkZfRUJJVERBX0lCKCdMVE1TJyw0MDEwMSk=&amp;WINDOW=FIRST_POPUP&amp;HEIGHT=450&amp;WIDTH=450&amp;START_MA","XIMIZED=FALSE&amp;VAR:CALENDAR=US&amp;VAR:SYMBOL=37183T10&amp;VAR:INDEX=0"}</definedName>
    <definedName name="_3785__FDSAUDITLINK__" localSheetId="6" hidden="1">{"fdsup://directions/FAT Viewer?action=UPDATE&amp;creator=factset&amp;DYN_ARGS=TRUE&amp;DOC_NAME=FAT:FQL_AUDITING_CLIENT_TEMPLATE.FAT&amp;display_string=Audit&amp;VAR:KEY=BSBCDGTWZS&amp;VAR:QUERY=RkZfRUJJVERBX0lCKCdMVE1TJyw0MDEwMCk=&amp;WINDOW=FIRST_POPUP&amp;HEIGHT=450&amp;WIDTH=450&amp;START_MA","XIMIZED=FALSE&amp;VAR:CALENDAR=US&amp;VAR:SYMBOL=37183T10&amp;VAR:INDEX=0"}</definedName>
    <definedName name="_3785__FDSAUDITLINK__" hidden="1">{"fdsup://directions/FAT Viewer?action=UPDATE&amp;creator=factset&amp;DYN_ARGS=TRUE&amp;DOC_NAME=FAT:FQL_AUDITING_CLIENT_TEMPLATE.FAT&amp;display_string=Audit&amp;VAR:KEY=BSBCDGTWZS&amp;VAR:QUERY=RkZfRUJJVERBX0lCKCdMVE1TJyw0MDEwMCk=&amp;WINDOW=FIRST_POPUP&amp;HEIGHT=450&amp;WIDTH=450&amp;START_MA","XIMIZED=FALSE&amp;VAR:CALENDAR=US&amp;VAR:SYMBOL=37183T10&amp;VAR:INDEX=0"}</definedName>
    <definedName name="_3786__FDSAUDITLINK__" localSheetId="6" hidden="1">{"fdsup://directions/FAT Viewer?action=UPDATE&amp;creator=factset&amp;DYN_ARGS=TRUE&amp;DOC_NAME=FAT:FQL_AUDITING_CLIENT_TEMPLATE.FAT&amp;display_string=Audit&amp;VAR:KEY=HSZOBWVIXE&amp;VAR:QUERY=RkZfRUJJVERBX0lCKCdMVE1TJyw0MDA5OSk=&amp;WINDOW=FIRST_POPUP&amp;HEIGHT=450&amp;WIDTH=450&amp;START_MA","XIMIZED=FALSE&amp;VAR:CALENDAR=US&amp;VAR:SYMBOL=37183T10&amp;VAR:INDEX=0"}</definedName>
    <definedName name="_3786__FDSAUDITLINK__" hidden="1">{"fdsup://directions/FAT Viewer?action=UPDATE&amp;creator=factset&amp;DYN_ARGS=TRUE&amp;DOC_NAME=FAT:FQL_AUDITING_CLIENT_TEMPLATE.FAT&amp;display_string=Audit&amp;VAR:KEY=HSZOBWVIXE&amp;VAR:QUERY=RkZfRUJJVERBX0lCKCdMVE1TJyw0MDA5OSk=&amp;WINDOW=FIRST_POPUP&amp;HEIGHT=450&amp;WIDTH=450&amp;START_MA","XIMIZED=FALSE&amp;VAR:CALENDAR=US&amp;VAR:SYMBOL=37183T10&amp;VAR:INDEX=0"}</definedName>
    <definedName name="_3787__FDSAUDITLINK__" localSheetId="6" hidden="1">{"fdsup://directions/FAT Viewer?action=UPDATE&amp;creator=factset&amp;DYN_ARGS=TRUE&amp;DOC_NAME=FAT:FQL_AUDITING_CLIENT_TEMPLATE.FAT&amp;display_string=Audit&amp;VAR:KEY=FEVMFQFIVI&amp;VAR:QUERY=RkZfRUJJVERBX0lCKCdMVE1TJyw0MDA5OCk=&amp;WINDOW=FIRST_POPUP&amp;HEIGHT=450&amp;WIDTH=450&amp;START_MA","XIMIZED=FALSE&amp;VAR:CALENDAR=US&amp;VAR:SYMBOL=37183T10&amp;VAR:INDEX=0"}</definedName>
    <definedName name="_3787__FDSAUDITLINK__" hidden="1">{"fdsup://directions/FAT Viewer?action=UPDATE&amp;creator=factset&amp;DYN_ARGS=TRUE&amp;DOC_NAME=FAT:FQL_AUDITING_CLIENT_TEMPLATE.FAT&amp;display_string=Audit&amp;VAR:KEY=FEVMFQFIVI&amp;VAR:QUERY=RkZfRUJJVERBX0lCKCdMVE1TJyw0MDA5OCk=&amp;WINDOW=FIRST_POPUP&amp;HEIGHT=450&amp;WIDTH=450&amp;START_MA","XIMIZED=FALSE&amp;VAR:CALENDAR=US&amp;VAR:SYMBOL=37183T10&amp;VAR:INDEX=0"}</definedName>
    <definedName name="_3788__FDSAUDITLINK__" localSheetId="6" hidden="1">{"fdsup://directions/FAT Viewer?action=UPDATE&amp;creator=factset&amp;DYN_ARGS=TRUE&amp;DOC_NAME=FAT:FQL_AUDITING_CLIENT_TEMPLATE.FAT&amp;display_string=Audit&amp;VAR:KEY=XSNGPSBMFU&amp;VAR:QUERY=RkZfRUJJVERBX0lCKCdMVE1TJyw0MDA5Nyk=&amp;WINDOW=FIRST_POPUP&amp;HEIGHT=450&amp;WIDTH=450&amp;START_MA","XIMIZED=FALSE&amp;VAR:CALENDAR=US&amp;VAR:SYMBOL=37183T10&amp;VAR:INDEX=0"}</definedName>
    <definedName name="_3788__FDSAUDITLINK__" hidden="1">{"fdsup://directions/FAT Viewer?action=UPDATE&amp;creator=factset&amp;DYN_ARGS=TRUE&amp;DOC_NAME=FAT:FQL_AUDITING_CLIENT_TEMPLATE.FAT&amp;display_string=Audit&amp;VAR:KEY=XSNGPSBMFU&amp;VAR:QUERY=RkZfRUJJVERBX0lCKCdMVE1TJyw0MDA5Nyk=&amp;WINDOW=FIRST_POPUP&amp;HEIGHT=450&amp;WIDTH=450&amp;START_MA","XIMIZED=FALSE&amp;VAR:CALENDAR=US&amp;VAR:SYMBOL=37183T10&amp;VAR:INDEX=0"}</definedName>
    <definedName name="_3789__FDSAUDITLINK__" localSheetId="6" hidden="1">{"fdsup://directions/FAT Viewer?action=UPDATE&amp;creator=factset&amp;DYN_ARGS=TRUE&amp;DOC_NAME=FAT:FQL_AUDITING_CLIENT_TEMPLATE.FAT&amp;display_string=Audit&amp;VAR:KEY=LOVKJMHUNU&amp;VAR:QUERY=RkZfRUJJVERBX0lCKCdMVE1TJyw0MDA5Nik=&amp;WINDOW=FIRST_POPUP&amp;HEIGHT=450&amp;WIDTH=450&amp;START_MA","XIMIZED=FALSE&amp;VAR:CALENDAR=US&amp;VAR:SYMBOL=37183T10&amp;VAR:INDEX=0"}</definedName>
    <definedName name="_3789__FDSAUDITLINK__" hidden="1">{"fdsup://directions/FAT Viewer?action=UPDATE&amp;creator=factset&amp;DYN_ARGS=TRUE&amp;DOC_NAME=FAT:FQL_AUDITING_CLIENT_TEMPLATE.FAT&amp;display_string=Audit&amp;VAR:KEY=LOVKJMHUNU&amp;VAR:QUERY=RkZfRUJJVERBX0lCKCdMVE1TJyw0MDA5Nik=&amp;WINDOW=FIRST_POPUP&amp;HEIGHT=450&amp;WIDTH=450&amp;START_MA","XIMIZED=FALSE&amp;VAR:CALENDAR=US&amp;VAR:SYMBOL=37183T10&amp;VAR:INDEX=0"}</definedName>
    <definedName name="_379__FDSAUDITLINK__" localSheetId="6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9__FDSAUDITLINK__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790__FDSAUDITLINK__" localSheetId="6" hidden="1">{"fdsup://directions/FAT Viewer?action=UPDATE&amp;creator=factset&amp;DYN_ARGS=TRUE&amp;DOC_NAME=FAT:FQL_AUDITING_CLIENT_TEMPLATE.FAT&amp;display_string=Audit&amp;VAR:KEY=FEFSNQJETG&amp;VAR:QUERY=RkZfRUJJVERBX0lCKCdMVE1TJyw0MDA5NSk=&amp;WINDOW=FIRST_POPUP&amp;HEIGHT=450&amp;WIDTH=450&amp;START_MA","XIMIZED=FALSE&amp;VAR:CALENDAR=US&amp;VAR:SYMBOL=37183T10&amp;VAR:INDEX=0"}</definedName>
    <definedName name="_3790__FDSAUDITLINK__" hidden="1">{"fdsup://directions/FAT Viewer?action=UPDATE&amp;creator=factset&amp;DYN_ARGS=TRUE&amp;DOC_NAME=FAT:FQL_AUDITING_CLIENT_TEMPLATE.FAT&amp;display_string=Audit&amp;VAR:KEY=FEFSNQJETG&amp;VAR:QUERY=RkZfRUJJVERBX0lCKCdMVE1TJyw0MDA5NSk=&amp;WINDOW=FIRST_POPUP&amp;HEIGHT=450&amp;WIDTH=450&amp;START_MA","XIMIZED=FALSE&amp;VAR:CALENDAR=US&amp;VAR:SYMBOL=37183T10&amp;VAR:INDEX=0"}</definedName>
    <definedName name="_3791__FDSAUDITLINK__" localSheetId="6" hidden="1">{"fdsup://directions/FAT Viewer?action=UPDATE&amp;creator=factset&amp;DYN_ARGS=TRUE&amp;DOC_NAME=FAT:FQL_AUDITING_CLIENT_TEMPLATE.FAT&amp;display_string=Audit&amp;VAR:KEY=XWPEBGPYBO&amp;VAR:QUERY=RkZfRUJJVERBX0lCKCdMVE1TJyw0MDA5NCk=&amp;WINDOW=FIRST_POPUP&amp;HEIGHT=450&amp;WIDTH=450&amp;START_MA","XIMIZED=FALSE&amp;VAR:CALENDAR=US&amp;VAR:SYMBOL=37183T10&amp;VAR:INDEX=0"}</definedName>
    <definedName name="_3791__FDSAUDITLINK__" hidden="1">{"fdsup://directions/FAT Viewer?action=UPDATE&amp;creator=factset&amp;DYN_ARGS=TRUE&amp;DOC_NAME=FAT:FQL_AUDITING_CLIENT_TEMPLATE.FAT&amp;display_string=Audit&amp;VAR:KEY=XWPEBGPYBO&amp;VAR:QUERY=RkZfRUJJVERBX0lCKCdMVE1TJyw0MDA5NCk=&amp;WINDOW=FIRST_POPUP&amp;HEIGHT=450&amp;WIDTH=450&amp;START_MA","XIMIZED=FALSE&amp;VAR:CALENDAR=US&amp;VAR:SYMBOL=37183T10&amp;VAR:INDEX=0"}</definedName>
    <definedName name="_3792__FDSAUDITLINK__" localSheetId="6" hidden="1">{"fdsup://directions/FAT Viewer?action=UPDATE&amp;creator=factset&amp;DYN_ARGS=TRUE&amp;DOC_NAME=FAT:FQL_AUDITING_CLIENT_TEMPLATE.FAT&amp;display_string=Audit&amp;VAR:KEY=XEJEVSROTG&amp;VAR:QUERY=RkZfRUJJVERBX0lCKCdMVE1TJyw0MDA5Myk=&amp;WINDOW=FIRST_POPUP&amp;HEIGHT=450&amp;WIDTH=450&amp;START_MA","XIMIZED=FALSE&amp;VAR:CALENDAR=US&amp;VAR:SYMBOL=37183T10&amp;VAR:INDEX=0"}</definedName>
    <definedName name="_3792__FDSAUDITLINK__" hidden="1">{"fdsup://directions/FAT Viewer?action=UPDATE&amp;creator=factset&amp;DYN_ARGS=TRUE&amp;DOC_NAME=FAT:FQL_AUDITING_CLIENT_TEMPLATE.FAT&amp;display_string=Audit&amp;VAR:KEY=XEJEVSROTG&amp;VAR:QUERY=RkZfRUJJVERBX0lCKCdMVE1TJyw0MDA5Myk=&amp;WINDOW=FIRST_POPUP&amp;HEIGHT=450&amp;WIDTH=450&amp;START_MA","XIMIZED=FALSE&amp;VAR:CALENDAR=US&amp;VAR:SYMBOL=37183T10&amp;VAR:INDEX=0"}</definedName>
    <definedName name="_3793__FDSAUDITLINK__" localSheetId="6" hidden="1">{"fdsup://directions/FAT Viewer?action=UPDATE&amp;creator=factset&amp;DYN_ARGS=TRUE&amp;DOC_NAME=FAT:FQL_AUDITING_CLIENT_TEMPLATE.FAT&amp;display_string=Audit&amp;VAR:KEY=RAPQJQVWRQ&amp;VAR:QUERY=RkZfRUJJVERBX0lCKCdMVE1TJyw0MDA5Mik=&amp;WINDOW=FIRST_POPUP&amp;HEIGHT=450&amp;WIDTH=450&amp;START_MA","XIMIZED=FALSE&amp;VAR:CALENDAR=US&amp;VAR:SYMBOL=37183T10&amp;VAR:INDEX=0"}</definedName>
    <definedName name="_3793__FDSAUDITLINK__" hidden="1">{"fdsup://directions/FAT Viewer?action=UPDATE&amp;creator=factset&amp;DYN_ARGS=TRUE&amp;DOC_NAME=FAT:FQL_AUDITING_CLIENT_TEMPLATE.FAT&amp;display_string=Audit&amp;VAR:KEY=RAPQJQVWRQ&amp;VAR:QUERY=RkZfRUJJVERBX0lCKCdMVE1TJyw0MDA5Mik=&amp;WINDOW=FIRST_POPUP&amp;HEIGHT=450&amp;WIDTH=450&amp;START_MA","XIMIZED=FALSE&amp;VAR:CALENDAR=US&amp;VAR:SYMBOL=37183T10&amp;VAR:INDEX=0"}</definedName>
    <definedName name="_3794__FDSAUDITLINK__" localSheetId="6" hidden="1">{"fdsup://directions/FAT Viewer?action=UPDATE&amp;creator=factset&amp;DYN_ARGS=TRUE&amp;DOC_NAME=FAT:FQL_AUDITING_CLIENT_TEMPLATE.FAT&amp;display_string=Audit&amp;VAR:KEY=FGTUFWHYTA&amp;VAR:QUERY=RkZfRUJJVERBX0lCKCdMVE1TJyw0MDA5MSk=&amp;WINDOW=FIRST_POPUP&amp;HEIGHT=450&amp;WIDTH=450&amp;START_MA","XIMIZED=FALSE&amp;VAR:CALENDAR=US&amp;VAR:SYMBOL=37183T10&amp;VAR:INDEX=0"}</definedName>
    <definedName name="_3794__FDSAUDITLINK__" hidden="1">{"fdsup://directions/FAT Viewer?action=UPDATE&amp;creator=factset&amp;DYN_ARGS=TRUE&amp;DOC_NAME=FAT:FQL_AUDITING_CLIENT_TEMPLATE.FAT&amp;display_string=Audit&amp;VAR:KEY=FGTUFWHYTA&amp;VAR:QUERY=RkZfRUJJVERBX0lCKCdMVE1TJyw0MDA5MSk=&amp;WINDOW=FIRST_POPUP&amp;HEIGHT=450&amp;WIDTH=450&amp;START_MA","XIMIZED=FALSE&amp;VAR:CALENDAR=US&amp;VAR:SYMBOL=37183T10&amp;VAR:INDEX=0"}</definedName>
    <definedName name="_3795__FDSAUDITLINK__" localSheetId="6" hidden="1">{"fdsup://directions/FAT Viewer?action=UPDATE&amp;creator=factset&amp;DYN_ARGS=TRUE&amp;DOC_NAME=FAT:FQL_AUDITING_CLIENT_TEMPLATE.FAT&amp;display_string=Audit&amp;VAR:KEY=LKHCJQTEHS&amp;VAR:QUERY=RkZfRUJJVERBX0lCKCdMVE1TJyw0MDA5MCk=&amp;WINDOW=FIRST_POPUP&amp;HEIGHT=450&amp;WIDTH=450&amp;START_MA","XIMIZED=FALSE&amp;VAR:CALENDAR=US&amp;VAR:SYMBOL=37183T10&amp;VAR:INDEX=0"}</definedName>
    <definedName name="_3795__FDSAUDITLINK__" hidden="1">{"fdsup://directions/FAT Viewer?action=UPDATE&amp;creator=factset&amp;DYN_ARGS=TRUE&amp;DOC_NAME=FAT:FQL_AUDITING_CLIENT_TEMPLATE.FAT&amp;display_string=Audit&amp;VAR:KEY=LKHCJQTEHS&amp;VAR:QUERY=RkZfRUJJVERBX0lCKCdMVE1TJyw0MDA5MCk=&amp;WINDOW=FIRST_POPUP&amp;HEIGHT=450&amp;WIDTH=450&amp;START_MA","XIMIZED=FALSE&amp;VAR:CALENDAR=US&amp;VAR:SYMBOL=37183T10&amp;VAR:INDEX=0"}</definedName>
    <definedName name="_3796__FDSAUDITLINK__" localSheetId="6" hidden="1">{"fdsup://directions/FAT Viewer?action=UPDATE&amp;creator=factset&amp;DYN_ARGS=TRUE&amp;DOC_NAME=FAT:FQL_AUDITING_CLIENT_TEMPLATE.FAT&amp;display_string=Audit&amp;VAR:KEY=FMPWPMHWHU&amp;VAR:QUERY=RkZfRUJJVERBX0lCKCdMVE1TJyw0MDA4OSk=&amp;WINDOW=FIRST_POPUP&amp;HEIGHT=450&amp;WIDTH=450&amp;START_MA","XIMIZED=FALSE&amp;VAR:CALENDAR=US&amp;VAR:SYMBOL=37183T10&amp;VAR:INDEX=0"}</definedName>
    <definedName name="_3796__FDSAUDITLINK__" hidden="1">{"fdsup://directions/FAT Viewer?action=UPDATE&amp;creator=factset&amp;DYN_ARGS=TRUE&amp;DOC_NAME=FAT:FQL_AUDITING_CLIENT_TEMPLATE.FAT&amp;display_string=Audit&amp;VAR:KEY=FMPWPMHWHU&amp;VAR:QUERY=RkZfRUJJVERBX0lCKCdMVE1TJyw0MDA4OSk=&amp;WINDOW=FIRST_POPUP&amp;HEIGHT=450&amp;WIDTH=450&amp;START_MA","XIMIZED=FALSE&amp;VAR:CALENDAR=US&amp;VAR:SYMBOL=37183T10&amp;VAR:INDEX=0"}</definedName>
    <definedName name="_3797__FDSAUDITLINK__" localSheetId="6" hidden="1">{"fdsup://directions/FAT Viewer?action=UPDATE&amp;creator=factset&amp;DYN_ARGS=TRUE&amp;DOC_NAME=FAT:FQL_AUDITING_CLIENT_TEMPLATE.FAT&amp;display_string=Audit&amp;VAR:KEY=HIXCLQBUXE&amp;VAR:QUERY=RkZfRUJJVERBX0lCKCdMVE1TJyw0MDA4OCk=&amp;WINDOW=FIRST_POPUP&amp;HEIGHT=450&amp;WIDTH=450&amp;START_MA","XIMIZED=FALSE&amp;VAR:CALENDAR=US&amp;VAR:SYMBOL=37183T10&amp;VAR:INDEX=0"}</definedName>
    <definedName name="_3797__FDSAUDITLINK__" hidden="1">{"fdsup://directions/FAT Viewer?action=UPDATE&amp;creator=factset&amp;DYN_ARGS=TRUE&amp;DOC_NAME=FAT:FQL_AUDITING_CLIENT_TEMPLATE.FAT&amp;display_string=Audit&amp;VAR:KEY=HIXCLQBUXE&amp;VAR:QUERY=RkZfRUJJVERBX0lCKCdMVE1TJyw0MDA4OCk=&amp;WINDOW=FIRST_POPUP&amp;HEIGHT=450&amp;WIDTH=450&amp;START_MA","XIMIZED=FALSE&amp;VAR:CALENDAR=US&amp;VAR:SYMBOL=37183T10&amp;VAR:INDEX=0"}</definedName>
    <definedName name="_3798__FDSAUDITLINK__" localSheetId="6" hidden="1">{"fdsup://directions/FAT Viewer?action=UPDATE&amp;creator=factset&amp;DYN_ARGS=TRUE&amp;DOC_NAME=FAT:FQL_AUDITING_CLIENT_TEMPLATE.FAT&amp;display_string=Audit&amp;VAR:KEY=NUTYPIBEVA&amp;VAR:QUERY=RkZfRUJJVERBX0lCKCdMVE1TJyw0MDA4Nyk=&amp;WINDOW=FIRST_POPUP&amp;HEIGHT=450&amp;WIDTH=450&amp;START_MA","XIMIZED=FALSE&amp;VAR:CALENDAR=US&amp;VAR:SYMBOL=37183T10&amp;VAR:INDEX=0"}</definedName>
    <definedName name="_3798__FDSAUDITLINK__" hidden="1">{"fdsup://directions/FAT Viewer?action=UPDATE&amp;creator=factset&amp;DYN_ARGS=TRUE&amp;DOC_NAME=FAT:FQL_AUDITING_CLIENT_TEMPLATE.FAT&amp;display_string=Audit&amp;VAR:KEY=NUTYPIBEVA&amp;VAR:QUERY=RkZfRUJJVERBX0lCKCdMVE1TJyw0MDA4Nyk=&amp;WINDOW=FIRST_POPUP&amp;HEIGHT=450&amp;WIDTH=450&amp;START_MA","XIMIZED=FALSE&amp;VAR:CALENDAR=US&amp;VAR:SYMBOL=37183T10&amp;VAR:INDEX=0"}</definedName>
    <definedName name="_3799__FDSAUDITLINK__" localSheetId="6" hidden="1">{"fdsup://directions/FAT Viewer?action=UPDATE&amp;creator=factset&amp;DYN_ARGS=TRUE&amp;DOC_NAME=FAT:FQL_AUDITING_CLIENT_TEMPLATE.FAT&amp;display_string=Audit&amp;VAR:KEY=LGJONANSJY&amp;VAR:QUERY=RkZfRUJJVERBX0lCKCdMVE1TJyw0MDA4Nik=&amp;WINDOW=FIRST_POPUP&amp;HEIGHT=450&amp;WIDTH=450&amp;START_MA","XIMIZED=FALSE&amp;VAR:CALENDAR=US&amp;VAR:SYMBOL=37183T10&amp;VAR:INDEX=0"}</definedName>
    <definedName name="_3799__FDSAUDITLINK__" hidden="1">{"fdsup://directions/FAT Viewer?action=UPDATE&amp;creator=factset&amp;DYN_ARGS=TRUE&amp;DOC_NAME=FAT:FQL_AUDITING_CLIENT_TEMPLATE.FAT&amp;display_string=Audit&amp;VAR:KEY=LGJONANSJY&amp;VAR:QUERY=RkZfRUJJVERBX0lCKCdMVE1TJyw0MDA4Nik=&amp;WINDOW=FIRST_POPUP&amp;HEIGHT=450&amp;WIDTH=450&amp;START_MA","XIMIZED=FALSE&amp;VAR:CALENDAR=US&amp;VAR:SYMBOL=37183T10&amp;VAR:INDEX=0"}</definedName>
    <definedName name="_38__FDSAUDITLINK__" localSheetId="6" hidden="1">{"fdsup://directions/FAT Viewer?action=UPDATE&amp;creator=factset&amp;DYN_ARGS=TRUE&amp;DOC_NAME=FAT:FQL_AUDITING_CLIENT_TEMPLATE.FAT&amp;display_string=Audit&amp;VAR:KEY=WXSLOFKVWJ&amp;VAR:QUERY=QVZHKENTRl9ORVRfSU5DKEFOTiwwRlksLTZGWSxZKSkgLyAoQVZHKENTRl9BU1NFVFMoQU5OLDBGWSwtNkZZL","EZZKSkgLSBBVkcoQ1NGX0lOVEFORyhBTk4sMCwtNkZZLEZZKSkp&amp;WINDOW=FIRST_POPUP&amp;HEIGHT=450&amp;WIDTH=450&amp;START_MAXIMIZED=FALSE&amp;VAR:CALENDAR=US&amp;VAR:SYMBOL=02916P10"}</definedName>
    <definedName name="_38__FDSAUDITLINK__" hidden="1">{"fdsup://directions/FAT Viewer?action=UPDATE&amp;creator=factset&amp;DYN_ARGS=TRUE&amp;DOC_NAME=FAT:FQL_AUDITING_CLIENT_TEMPLATE.FAT&amp;display_string=Audit&amp;VAR:KEY=WXSLOFKVWJ&amp;VAR:QUERY=QVZHKENTRl9ORVRfSU5DKEFOTiwwRlksLTZGWSxZKSkgLyAoQVZHKENTRl9BU1NFVFMoQU5OLDBGWSwtNkZZL","EZZKSkgLSBBVkcoQ1NGX0lOVEFORyhBTk4sMCwtNkZZLEZZKSkp&amp;WINDOW=FIRST_POPUP&amp;HEIGHT=450&amp;WIDTH=450&amp;START_MAXIMIZED=FALSE&amp;VAR:CALENDAR=US&amp;VAR:SYMBOL=02916P10"}</definedName>
    <definedName name="_380__FDSAUDITLINK__" localSheetId="6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0__FDSAUDITLINK__" hidden="1">{"fdsup://directions/FAT%20Viewer?VAR:PED=LTM&amp;VAR:AUDIT_MODE=SUMMARY&amp;VAR:PERIOD=FIXED&amp;VAR:AUDIT_ID=00000117&amp;VAR:DATE=20090206&amp;action=UPDATE&amp;creator=factset&amp;DOC_NAME=FAT:FMA_audit_SUMMARY.fat&amp;DISPLAY_STRING=Display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00__FDSAUDITLINK__" localSheetId="6" hidden="1">{"fdsup://directions/FAT Viewer?action=UPDATE&amp;creator=factset&amp;DYN_ARGS=TRUE&amp;DOC_NAME=FAT:FQL_AUDITING_CLIENT_TEMPLATE.FAT&amp;display_string=Audit&amp;VAR:KEY=POBUZEFIVO&amp;VAR:QUERY=RkZfRUJJVERBX0lCKCdMVE1TJyw0MDA4NSk=&amp;WINDOW=FIRST_POPUP&amp;HEIGHT=450&amp;WIDTH=450&amp;START_MA","XIMIZED=FALSE&amp;VAR:CALENDAR=US&amp;VAR:SYMBOL=37183T10&amp;VAR:INDEX=0"}</definedName>
    <definedName name="_3800__FDSAUDITLINK__" hidden="1">{"fdsup://directions/FAT Viewer?action=UPDATE&amp;creator=factset&amp;DYN_ARGS=TRUE&amp;DOC_NAME=FAT:FQL_AUDITING_CLIENT_TEMPLATE.FAT&amp;display_string=Audit&amp;VAR:KEY=POBUZEFIVO&amp;VAR:QUERY=RkZfRUJJVERBX0lCKCdMVE1TJyw0MDA4NSk=&amp;WINDOW=FIRST_POPUP&amp;HEIGHT=450&amp;WIDTH=450&amp;START_MA","XIMIZED=FALSE&amp;VAR:CALENDAR=US&amp;VAR:SYMBOL=37183T10&amp;VAR:INDEX=0"}</definedName>
    <definedName name="_3801__FDSAUDITLINK__" localSheetId="6" hidden="1">{"fdsup://directions/FAT Viewer?action=UPDATE&amp;creator=factset&amp;DYN_ARGS=TRUE&amp;DOC_NAME=FAT:FQL_AUDITING_CLIENT_TEMPLATE.FAT&amp;display_string=Audit&amp;VAR:KEY=DKFAZGTITI&amp;VAR:QUERY=RkZfRUJJVERBX0lCKCdMVE1TJyw0MDA4NCk=&amp;WINDOW=FIRST_POPUP&amp;HEIGHT=450&amp;WIDTH=450&amp;START_MA","XIMIZED=FALSE&amp;VAR:CALENDAR=US&amp;VAR:SYMBOL=37183T10&amp;VAR:INDEX=0"}</definedName>
    <definedName name="_3801__FDSAUDITLINK__" hidden="1">{"fdsup://directions/FAT Viewer?action=UPDATE&amp;creator=factset&amp;DYN_ARGS=TRUE&amp;DOC_NAME=FAT:FQL_AUDITING_CLIENT_TEMPLATE.FAT&amp;display_string=Audit&amp;VAR:KEY=DKFAZGTITI&amp;VAR:QUERY=RkZfRUJJVERBX0lCKCdMVE1TJyw0MDA4NCk=&amp;WINDOW=FIRST_POPUP&amp;HEIGHT=450&amp;WIDTH=450&amp;START_MA","XIMIZED=FALSE&amp;VAR:CALENDAR=US&amp;VAR:SYMBOL=37183T10&amp;VAR:INDEX=0"}</definedName>
    <definedName name="_3802__FDSAUDITLINK__" localSheetId="6" hidden="1">{"fdsup://directions/FAT Viewer?action=UPDATE&amp;creator=factset&amp;DYN_ARGS=TRUE&amp;DOC_NAME=FAT:FQL_AUDITING_CLIENT_TEMPLATE.FAT&amp;display_string=Audit&amp;VAR:KEY=XILANWRGLI&amp;VAR:QUERY=RkZfRUJJVERBX0lCKCdMVE1TJyw0MDA4Myk=&amp;WINDOW=FIRST_POPUP&amp;HEIGHT=450&amp;WIDTH=450&amp;START_MA","XIMIZED=FALSE&amp;VAR:CALENDAR=US&amp;VAR:SYMBOL=37183T10&amp;VAR:INDEX=0"}</definedName>
    <definedName name="_3802__FDSAUDITLINK__" hidden="1">{"fdsup://directions/FAT Viewer?action=UPDATE&amp;creator=factset&amp;DYN_ARGS=TRUE&amp;DOC_NAME=FAT:FQL_AUDITING_CLIENT_TEMPLATE.FAT&amp;display_string=Audit&amp;VAR:KEY=XILANWRGLI&amp;VAR:QUERY=RkZfRUJJVERBX0lCKCdMVE1TJyw0MDA4Myk=&amp;WINDOW=FIRST_POPUP&amp;HEIGHT=450&amp;WIDTH=450&amp;START_MA","XIMIZED=FALSE&amp;VAR:CALENDAR=US&amp;VAR:SYMBOL=37183T10&amp;VAR:INDEX=0"}</definedName>
    <definedName name="_3803__FDSAUDITLINK__" localSheetId="6" hidden="1">{"fdsup://directions/FAT Viewer?action=UPDATE&amp;creator=factset&amp;DYN_ARGS=TRUE&amp;DOC_NAME=FAT:FQL_AUDITING_CLIENT_TEMPLATE.FAT&amp;display_string=Audit&amp;VAR:KEY=NAXUPCZAFW&amp;VAR:QUERY=RkZfRUJJVERBX0lCKCdMVE1TJyw0MDA4Mik=&amp;WINDOW=FIRST_POPUP&amp;HEIGHT=450&amp;WIDTH=450&amp;START_MA","XIMIZED=FALSE&amp;VAR:CALENDAR=US&amp;VAR:SYMBOL=37183T10&amp;VAR:INDEX=0"}</definedName>
    <definedName name="_3803__FDSAUDITLINK__" hidden="1">{"fdsup://directions/FAT Viewer?action=UPDATE&amp;creator=factset&amp;DYN_ARGS=TRUE&amp;DOC_NAME=FAT:FQL_AUDITING_CLIENT_TEMPLATE.FAT&amp;display_string=Audit&amp;VAR:KEY=NAXUPCZAFW&amp;VAR:QUERY=RkZfRUJJVERBX0lCKCdMVE1TJyw0MDA4Mik=&amp;WINDOW=FIRST_POPUP&amp;HEIGHT=450&amp;WIDTH=450&amp;START_MA","XIMIZED=FALSE&amp;VAR:CALENDAR=US&amp;VAR:SYMBOL=37183T10&amp;VAR:INDEX=0"}</definedName>
    <definedName name="_3804__FDSAUDITLINK__" localSheetId="6" hidden="1">{"fdsup://directions/FAT Viewer?action=UPDATE&amp;creator=factset&amp;DYN_ARGS=TRUE&amp;DOC_NAME=FAT:FQL_AUDITING_CLIENT_TEMPLATE.FAT&amp;display_string=Audit&amp;VAR:KEY=NWPEJCJQJA&amp;VAR:QUERY=RkZfRUJJVERBX0lCKCdMVE1TJyw0MDA4MSk=&amp;WINDOW=FIRST_POPUP&amp;HEIGHT=450&amp;WIDTH=450&amp;START_MA","XIMIZED=FALSE&amp;VAR:CALENDAR=US&amp;VAR:SYMBOL=37183T10&amp;VAR:INDEX=0"}</definedName>
    <definedName name="_3804__FDSAUDITLINK__" hidden="1">{"fdsup://directions/FAT Viewer?action=UPDATE&amp;creator=factset&amp;DYN_ARGS=TRUE&amp;DOC_NAME=FAT:FQL_AUDITING_CLIENT_TEMPLATE.FAT&amp;display_string=Audit&amp;VAR:KEY=NWPEJCJQJA&amp;VAR:QUERY=RkZfRUJJVERBX0lCKCdMVE1TJyw0MDA4MSk=&amp;WINDOW=FIRST_POPUP&amp;HEIGHT=450&amp;WIDTH=450&amp;START_MA","XIMIZED=FALSE&amp;VAR:CALENDAR=US&amp;VAR:SYMBOL=37183T10&amp;VAR:INDEX=0"}</definedName>
    <definedName name="_3805__FDSAUDITLINK__" localSheetId="6" hidden="1">{"fdsup://directions/FAT Viewer?action=UPDATE&amp;creator=factset&amp;DYN_ARGS=TRUE&amp;DOC_NAME=FAT:FQL_AUDITING_CLIENT_TEMPLATE.FAT&amp;display_string=Audit&amp;VAR:KEY=NSVYRGLGVU&amp;VAR:QUERY=RkZfRUJJVERBX0lCKCdMVE1TJyw0MDA4MCk=&amp;WINDOW=FIRST_POPUP&amp;HEIGHT=450&amp;WIDTH=450&amp;START_MA","XIMIZED=FALSE&amp;VAR:CALENDAR=US&amp;VAR:SYMBOL=37183T10&amp;VAR:INDEX=0"}</definedName>
    <definedName name="_3805__FDSAUDITLINK__" hidden="1">{"fdsup://directions/FAT Viewer?action=UPDATE&amp;creator=factset&amp;DYN_ARGS=TRUE&amp;DOC_NAME=FAT:FQL_AUDITING_CLIENT_TEMPLATE.FAT&amp;display_string=Audit&amp;VAR:KEY=NSVYRGLGVU&amp;VAR:QUERY=RkZfRUJJVERBX0lCKCdMVE1TJyw0MDA4MCk=&amp;WINDOW=FIRST_POPUP&amp;HEIGHT=450&amp;WIDTH=450&amp;START_MA","XIMIZED=FALSE&amp;VAR:CALENDAR=US&amp;VAR:SYMBOL=37183T10&amp;VAR:INDEX=0"}</definedName>
    <definedName name="_3806__FDSAUDITLINK__" localSheetId="6" hidden="1">{"fdsup://directions/FAT Viewer?action=UPDATE&amp;creator=factset&amp;DYN_ARGS=TRUE&amp;DOC_NAME=FAT:FQL_AUDITING_CLIENT_TEMPLATE.FAT&amp;display_string=Audit&amp;VAR:KEY=TEXKJAZODW&amp;VAR:QUERY=RkZfRUJJVERBX0lCKCdMVE1TJyw0MDA3OSk=&amp;WINDOW=FIRST_POPUP&amp;HEIGHT=450&amp;WIDTH=450&amp;START_MA","XIMIZED=FALSE&amp;VAR:CALENDAR=US&amp;VAR:SYMBOL=37183T10&amp;VAR:INDEX=0"}</definedName>
    <definedName name="_3806__FDSAUDITLINK__" hidden="1">{"fdsup://directions/FAT Viewer?action=UPDATE&amp;creator=factset&amp;DYN_ARGS=TRUE&amp;DOC_NAME=FAT:FQL_AUDITING_CLIENT_TEMPLATE.FAT&amp;display_string=Audit&amp;VAR:KEY=TEXKJAZODW&amp;VAR:QUERY=RkZfRUJJVERBX0lCKCdMVE1TJyw0MDA3OSk=&amp;WINDOW=FIRST_POPUP&amp;HEIGHT=450&amp;WIDTH=450&amp;START_MA","XIMIZED=FALSE&amp;VAR:CALENDAR=US&amp;VAR:SYMBOL=37183T10&amp;VAR:INDEX=0"}</definedName>
    <definedName name="_3807__FDSAUDITLINK__" localSheetId="6" hidden="1">{"fdsup://directions/FAT Viewer?action=UPDATE&amp;creator=factset&amp;DYN_ARGS=TRUE&amp;DOC_NAME=FAT:FQL_AUDITING_CLIENT_TEMPLATE.FAT&amp;display_string=Audit&amp;VAR:KEY=ZAJUJUTIHY&amp;VAR:QUERY=RkZfRUJJVERBX0lCKCdMVE1TJyw0MDA3OCk=&amp;WINDOW=FIRST_POPUP&amp;HEIGHT=450&amp;WIDTH=450&amp;START_MA","XIMIZED=FALSE&amp;VAR:CALENDAR=US&amp;VAR:SYMBOL=37183T10&amp;VAR:INDEX=0"}</definedName>
    <definedName name="_3807__FDSAUDITLINK__" hidden="1">{"fdsup://directions/FAT Viewer?action=UPDATE&amp;creator=factset&amp;DYN_ARGS=TRUE&amp;DOC_NAME=FAT:FQL_AUDITING_CLIENT_TEMPLATE.FAT&amp;display_string=Audit&amp;VAR:KEY=ZAJUJUTIHY&amp;VAR:QUERY=RkZfRUJJVERBX0lCKCdMVE1TJyw0MDA3OCk=&amp;WINDOW=FIRST_POPUP&amp;HEIGHT=450&amp;WIDTH=450&amp;START_MA","XIMIZED=FALSE&amp;VAR:CALENDAR=US&amp;VAR:SYMBOL=37183T10&amp;VAR:INDEX=0"}</definedName>
    <definedName name="_3808__FDSAUDITLINK__" localSheetId="6" hidden="1">{"fdsup://directions/FAT Viewer?action=UPDATE&amp;creator=factset&amp;DYN_ARGS=TRUE&amp;DOC_NAME=FAT:FQL_AUDITING_CLIENT_TEMPLATE.FAT&amp;display_string=Audit&amp;VAR:KEY=LUTKFKFSJK&amp;VAR:QUERY=RkZfRUJJVERBX0lCKCdMVE1TJyw0MDA3Nyk=&amp;WINDOW=FIRST_POPUP&amp;HEIGHT=450&amp;WIDTH=450&amp;START_MA","XIMIZED=FALSE&amp;VAR:CALENDAR=US&amp;VAR:SYMBOL=37183T10&amp;VAR:INDEX=0"}</definedName>
    <definedName name="_3808__FDSAUDITLINK__" hidden="1">{"fdsup://directions/FAT Viewer?action=UPDATE&amp;creator=factset&amp;DYN_ARGS=TRUE&amp;DOC_NAME=FAT:FQL_AUDITING_CLIENT_TEMPLATE.FAT&amp;display_string=Audit&amp;VAR:KEY=LUTKFKFSJK&amp;VAR:QUERY=RkZfRUJJVERBX0lCKCdMVE1TJyw0MDA3Nyk=&amp;WINDOW=FIRST_POPUP&amp;HEIGHT=450&amp;WIDTH=450&amp;START_MA","XIMIZED=FALSE&amp;VAR:CALENDAR=US&amp;VAR:SYMBOL=37183T10&amp;VAR:INDEX=0"}</definedName>
    <definedName name="_3809__FDSAUDITLINK__" localSheetId="6" hidden="1">{"fdsup://directions/FAT Viewer?action=UPDATE&amp;creator=factset&amp;DYN_ARGS=TRUE&amp;DOC_NAME=FAT:FQL_AUDITING_CLIENT_TEMPLATE.FAT&amp;display_string=Audit&amp;VAR:KEY=JGREVYLKRU&amp;VAR:QUERY=RkZfRUJJVERBX0lCKCdMVE1TJyw0MDA3Nik=&amp;WINDOW=FIRST_POPUP&amp;HEIGHT=450&amp;WIDTH=450&amp;START_MA","XIMIZED=FALSE&amp;VAR:CALENDAR=US&amp;VAR:SYMBOL=37183T10&amp;VAR:INDEX=0"}</definedName>
    <definedName name="_3809__FDSAUDITLINK__" hidden="1">{"fdsup://directions/FAT Viewer?action=UPDATE&amp;creator=factset&amp;DYN_ARGS=TRUE&amp;DOC_NAME=FAT:FQL_AUDITING_CLIENT_TEMPLATE.FAT&amp;display_string=Audit&amp;VAR:KEY=JGREVYLKRU&amp;VAR:QUERY=RkZfRUJJVERBX0lCKCdMVE1TJyw0MDA3Nik=&amp;WINDOW=FIRST_POPUP&amp;HEIGHT=450&amp;WIDTH=450&amp;START_MA","XIMIZED=FALSE&amp;VAR:CALENDAR=US&amp;VAR:SYMBOL=37183T10&amp;VAR:INDEX=0"}</definedName>
    <definedName name="_381__FDSAUDITLINK__" localSheetId="6" hidden="1">{"fdsup://directions/FAT%20Viewer?VAR:PED=LTM&amp;VAR:AUDIT_MODE=SUMMARY&amp;VAR:PERIOD=FIXED&amp;VAR:AUDIT_ID=00000117&amp;VAR:DATE=20090205&amp;action=UPDATE&amp;creator=factset&amp;DOC_NAME=FAT:FMA_audit_SUMMARY.fat&amp;DISPLAY_STRING=Display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1__FDSAUDITLINK__" hidden="1">{"fdsup://directions/FAT%20Viewer?VAR:PED=LTM&amp;VAR:AUDIT_MODE=SUMMARY&amp;VAR:PERIOD=FIXED&amp;VAR:AUDIT_ID=00000117&amp;VAR:DATE=20090205&amp;action=UPDATE&amp;creator=factset&amp;DOC_NAME=FAT:FMA_audit_SUMMARY.fat&amp;DISPLAY_STRING=Display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10__FDSAUDITLINK__" localSheetId="6" hidden="1">{"fdsup://directions/FAT Viewer?action=UPDATE&amp;creator=factset&amp;DYN_ARGS=TRUE&amp;DOC_NAME=FAT:FQL_AUDITING_CLIENT_TEMPLATE.FAT&amp;display_string=Audit&amp;VAR:KEY=XIXYFQDULO&amp;VAR:QUERY=RkZfRUJJVERBX0lCKCdMVE1TJyw0MDA3NSk=&amp;WINDOW=FIRST_POPUP&amp;HEIGHT=450&amp;WIDTH=450&amp;START_MA","XIMIZED=FALSE&amp;VAR:CALENDAR=US&amp;VAR:SYMBOL=37183T10&amp;VAR:INDEX=0"}</definedName>
    <definedName name="_3810__FDSAUDITLINK__" hidden="1">{"fdsup://directions/FAT Viewer?action=UPDATE&amp;creator=factset&amp;DYN_ARGS=TRUE&amp;DOC_NAME=FAT:FQL_AUDITING_CLIENT_TEMPLATE.FAT&amp;display_string=Audit&amp;VAR:KEY=XIXYFQDULO&amp;VAR:QUERY=RkZfRUJJVERBX0lCKCdMVE1TJyw0MDA3NSk=&amp;WINDOW=FIRST_POPUP&amp;HEIGHT=450&amp;WIDTH=450&amp;START_MA","XIMIZED=FALSE&amp;VAR:CALENDAR=US&amp;VAR:SYMBOL=37183T10&amp;VAR:INDEX=0"}</definedName>
    <definedName name="_3811__FDSAUDITLINK__" localSheetId="6" hidden="1">{"fdsup://directions/FAT Viewer?action=UPDATE&amp;creator=factset&amp;DYN_ARGS=TRUE&amp;DOC_NAME=FAT:FQL_AUDITING_CLIENT_TEMPLATE.FAT&amp;display_string=Audit&amp;VAR:KEY=PITKHIJIBM&amp;VAR:QUERY=RkZfRUJJVERBX0lCKCdMVE1TJyw0MDA3NCk=&amp;WINDOW=FIRST_POPUP&amp;HEIGHT=450&amp;WIDTH=450&amp;START_MA","XIMIZED=FALSE&amp;VAR:CALENDAR=US&amp;VAR:SYMBOL=37183T10&amp;VAR:INDEX=0"}</definedName>
    <definedName name="_3811__FDSAUDITLINK__" hidden="1">{"fdsup://directions/FAT Viewer?action=UPDATE&amp;creator=factset&amp;DYN_ARGS=TRUE&amp;DOC_NAME=FAT:FQL_AUDITING_CLIENT_TEMPLATE.FAT&amp;display_string=Audit&amp;VAR:KEY=PITKHIJIBM&amp;VAR:QUERY=RkZfRUJJVERBX0lCKCdMVE1TJyw0MDA3NCk=&amp;WINDOW=FIRST_POPUP&amp;HEIGHT=450&amp;WIDTH=450&amp;START_MA","XIMIZED=FALSE&amp;VAR:CALENDAR=US&amp;VAR:SYMBOL=37183T10&amp;VAR:INDEX=0"}</definedName>
    <definedName name="_3812__FDSAUDITLINK__" localSheetId="6" hidden="1">{"fdsup://directions/FAT Viewer?action=UPDATE&amp;creator=factset&amp;DYN_ARGS=TRUE&amp;DOC_NAME=FAT:FQL_AUDITING_CLIENT_TEMPLATE.FAT&amp;display_string=Audit&amp;VAR:KEY=ZGRCVUFKDA&amp;VAR:QUERY=RkZfRUJJVERBX0lCKCdMVE1TJyw0MDA3Myk=&amp;WINDOW=FIRST_POPUP&amp;HEIGHT=450&amp;WIDTH=450&amp;START_MA","XIMIZED=FALSE&amp;VAR:CALENDAR=US&amp;VAR:SYMBOL=37183T10&amp;VAR:INDEX=0"}</definedName>
    <definedName name="_3812__FDSAUDITLINK__" hidden="1">{"fdsup://directions/FAT Viewer?action=UPDATE&amp;creator=factset&amp;DYN_ARGS=TRUE&amp;DOC_NAME=FAT:FQL_AUDITING_CLIENT_TEMPLATE.FAT&amp;display_string=Audit&amp;VAR:KEY=ZGRCVUFKDA&amp;VAR:QUERY=RkZfRUJJVERBX0lCKCdMVE1TJyw0MDA3Myk=&amp;WINDOW=FIRST_POPUP&amp;HEIGHT=450&amp;WIDTH=450&amp;START_MA","XIMIZED=FALSE&amp;VAR:CALENDAR=US&amp;VAR:SYMBOL=37183T10&amp;VAR:INDEX=0"}</definedName>
    <definedName name="_3813__FDSAUDITLINK__" localSheetId="6" hidden="1">{"fdsup://directions/FAT Viewer?action=UPDATE&amp;creator=factset&amp;DYN_ARGS=TRUE&amp;DOC_NAME=FAT:FQL_AUDITING_CLIENT_TEMPLATE.FAT&amp;display_string=Audit&amp;VAR:KEY=PUNEBONCHO&amp;VAR:QUERY=RkZfRUJJVERBX0lCKCdMVE1TJyw0MDA3Mik=&amp;WINDOW=FIRST_POPUP&amp;HEIGHT=450&amp;WIDTH=450&amp;START_MA","XIMIZED=FALSE&amp;VAR:CALENDAR=US&amp;VAR:SYMBOL=37183T10&amp;VAR:INDEX=0"}</definedName>
    <definedName name="_3813__FDSAUDITLINK__" hidden="1">{"fdsup://directions/FAT Viewer?action=UPDATE&amp;creator=factset&amp;DYN_ARGS=TRUE&amp;DOC_NAME=FAT:FQL_AUDITING_CLIENT_TEMPLATE.FAT&amp;display_string=Audit&amp;VAR:KEY=PUNEBONCHO&amp;VAR:QUERY=RkZfRUJJVERBX0lCKCdMVE1TJyw0MDA3Mik=&amp;WINDOW=FIRST_POPUP&amp;HEIGHT=450&amp;WIDTH=450&amp;START_MA","XIMIZED=FALSE&amp;VAR:CALENDAR=US&amp;VAR:SYMBOL=37183T10&amp;VAR:INDEX=0"}</definedName>
    <definedName name="_3814__FDSAUDITLINK__" localSheetId="6" hidden="1">{"fdsup://directions/FAT Viewer?action=UPDATE&amp;creator=factset&amp;DYN_ARGS=TRUE&amp;DOC_NAME=FAT:FQL_AUDITING_CLIENT_TEMPLATE.FAT&amp;display_string=Audit&amp;VAR:KEY=LEDGRKNWFW&amp;VAR:QUERY=RkZfRUJJVERBX0lCKCdMVE1TJyw0MDA3MSk=&amp;WINDOW=FIRST_POPUP&amp;HEIGHT=450&amp;WIDTH=450&amp;START_MA","XIMIZED=FALSE&amp;VAR:CALENDAR=US&amp;VAR:SYMBOL=37183T10&amp;VAR:INDEX=0"}</definedName>
    <definedName name="_3814__FDSAUDITLINK__" hidden="1">{"fdsup://directions/FAT Viewer?action=UPDATE&amp;creator=factset&amp;DYN_ARGS=TRUE&amp;DOC_NAME=FAT:FQL_AUDITING_CLIENT_TEMPLATE.FAT&amp;display_string=Audit&amp;VAR:KEY=LEDGRKNWFW&amp;VAR:QUERY=RkZfRUJJVERBX0lCKCdMVE1TJyw0MDA3MSk=&amp;WINDOW=FIRST_POPUP&amp;HEIGHT=450&amp;WIDTH=450&amp;START_MA","XIMIZED=FALSE&amp;VAR:CALENDAR=US&amp;VAR:SYMBOL=37183T10&amp;VAR:INDEX=0"}</definedName>
    <definedName name="_3815__FDSAUDITLINK__" localSheetId="6" hidden="1">{"fdsup://directions/FAT Viewer?action=UPDATE&amp;creator=factset&amp;DYN_ARGS=TRUE&amp;DOC_NAME=FAT:FQL_AUDITING_CLIENT_TEMPLATE.FAT&amp;display_string=Audit&amp;VAR:KEY=BYTQVEJEJQ&amp;VAR:QUERY=RkZfRUJJVERBX0lCKCdMVE1TJyw0MDA3MCk=&amp;WINDOW=FIRST_POPUP&amp;HEIGHT=450&amp;WIDTH=450&amp;START_MA","XIMIZED=FALSE&amp;VAR:CALENDAR=US&amp;VAR:SYMBOL=37183T10&amp;VAR:INDEX=0"}</definedName>
    <definedName name="_3815__FDSAUDITLINK__" hidden="1">{"fdsup://directions/FAT Viewer?action=UPDATE&amp;creator=factset&amp;DYN_ARGS=TRUE&amp;DOC_NAME=FAT:FQL_AUDITING_CLIENT_TEMPLATE.FAT&amp;display_string=Audit&amp;VAR:KEY=BYTQVEJEJQ&amp;VAR:QUERY=RkZfRUJJVERBX0lCKCdMVE1TJyw0MDA3MCk=&amp;WINDOW=FIRST_POPUP&amp;HEIGHT=450&amp;WIDTH=450&amp;START_MA","XIMIZED=FALSE&amp;VAR:CALENDAR=US&amp;VAR:SYMBOL=37183T10&amp;VAR:INDEX=0"}</definedName>
    <definedName name="_3816__FDSAUDITLINK__" localSheetId="6" hidden="1">{"fdsup://directions/FAT Viewer?action=UPDATE&amp;creator=factset&amp;DYN_ARGS=TRUE&amp;DOC_NAME=FAT:FQL_AUDITING_CLIENT_TEMPLATE.FAT&amp;display_string=Audit&amp;VAR:KEY=PKXIVMRANI&amp;VAR:QUERY=RkZfRUJJVERBX0lCKCdMVE1TJyw0MDA2OSk=&amp;WINDOW=FIRST_POPUP&amp;HEIGHT=450&amp;WIDTH=450&amp;START_MA","XIMIZED=FALSE&amp;VAR:CALENDAR=US&amp;VAR:SYMBOL=37183T10&amp;VAR:INDEX=0"}</definedName>
    <definedName name="_3816__FDSAUDITLINK__" hidden="1">{"fdsup://directions/FAT Viewer?action=UPDATE&amp;creator=factset&amp;DYN_ARGS=TRUE&amp;DOC_NAME=FAT:FQL_AUDITING_CLIENT_TEMPLATE.FAT&amp;display_string=Audit&amp;VAR:KEY=PKXIVMRANI&amp;VAR:QUERY=RkZfRUJJVERBX0lCKCdMVE1TJyw0MDA2OSk=&amp;WINDOW=FIRST_POPUP&amp;HEIGHT=450&amp;WIDTH=450&amp;START_MA","XIMIZED=FALSE&amp;VAR:CALENDAR=US&amp;VAR:SYMBOL=37183T10&amp;VAR:INDEX=0"}</definedName>
    <definedName name="_3817__FDSAUDITLINK__" localSheetId="6" hidden="1">{"fdsup://directions/FAT Viewer?action=UPDATE&amp;creator=factset&amp;DYN_ARGS=TRUE&amp;DOC_NAME=FAT:FQL_AUDITING_CLIENT_TEMPLATE.FAT&amp;display_string=Audit&amp;VAR:KEY=ZYXMJMBAXY&amp;VAR:QUERY=RkZfRUJJVERBX0lCKCdMVE1TJyw0MDA2OCk=&amp;WINDOW=FIRST_POPUP&amp;HEIGHT=450&amp;WIDTH=450&amp;START_MA","XIMIZED=FALSE&amp;VAR:CALENDAR=US&amp;VAR:SYMBOL=37183T10&amp;VAR:INDEX=0"}</definedName>
    <definedName name="_3817__FDSAUDITLINK__" hidden="1">{"fdsup://directions/FAT Viewer?action=UPDATE&amp;creator=factset&amp;DYN_ARGS=TRUE&amp;DOC_NAME=FAT:FQL_AUDITING_CLIENT_TEMPLATE.FAT&amp;display_string=Audit&amp;VAR:KEY=ZYXMJMBAXY&amp;VAR:QUERY=RkZfRUJJVERBX0lCKCdMVE1TJyw0MDA2OCk=&amp;WINDOW=FIRST_POPUP&amp;HEIGHT=450&amp;WIDTH=450&amp;START_MA","XIMIZED=FALSE&amp;VAR:CALENDAR=US&amp;VAR:SYMBOL=37183T10&amp;VAR:INDEX=0"}</definedName>
    <definedName name="_3818__FDSAUDITLINK__" localSheetId="6" hidden="1">{"fdsup://directions/FAT Viewer?action=UPDATE&amp;creator=factset&amp;DYN_ARGS=TRUE&amp;DOC_NAME=FAT:FQL_AUDITING_CLIENT_TEMPLATE.FAT&amp;display_string=Audit&amp;VAR:KEY=HITOXUDEVK&amp;VAR:QUERY=RkZfRUJJVERBX0lCKCdMVE1TJyw0MDA2Nyk=&amp;WINDOW=FIRST_POPUP&amp;HEIGHT=450&amp;WIDTH=450&amp;START_MA","XIMIZED=FALSE&amp;VAR:CALENDAR=US&amp;VAR:SYMBOL=37183T10&amp;VAR:INDEX=0"}</definedName>
    <definedName name="_3818__FDSAUDITLINK__" hidden="1">{"fdsup://directions/FAT Viewer?action=UPDATE&amp;creator=factset&amp;DYN_ARGS=TRUE&amp;DOC_NAME=FAT:FQL_AUDITING_CLIENT_TEMPLATE.FAT&amp;display_string=Audit&amp;VAR:KEY=HITOXUDEVK&amp;VAR:QUERY=RkZfRUJJVERBX0lCKCdMVE1TJyw0MDA2Nyk=&amp;WINDOW=FIRST_POPUP&amp;HEIGHT=450&amp;WIDTH=450&amp;START_MA","XIMIZED=FALSE&amp;VAR:CALENDAR=US&amp;VAR:SYMBOL=37183T10&amp;VAR:INDEX=0"}</definedName>
    <definedName name="_3819__FDSAUDITLINK__" localSheetId="6" hidden="1">{"fdsup://directions/FAT Viewer?action=UPDATE&amp;creator=factset&amp;DYN_ARGS=TRUE&amp;DOC_NAME=FAT:FQL_AUDITING_CLIENT_TEMPLATE.FAT&amp;display_string=Audit&amp;VAR:KEY=BAJWLGJGXO&amp;VAR:QUERY=RkZfRUJJVERBX0lCKCdMVE1TJyw0MDA2Nik=&amp;WINDOW=FIRST_POPUP&amp;HEIGHT=450&amp;WIDTH=450&amp;START_MA","XIMIZED=FALSE&amp;VAR:CALENDAR=US&amp;VAR:SYMBOL=37183T10&amp;VAR:INDEX=0"}</definedName>
    <definedName name="_3819__FDSAUDITLINK__" hidden="1">{"fdsup://directions/FAT Viewer?action=UPDATE&amp;creator=factset&amp;DYN_ARGS=TRUE&amp;DOC_NAME=FAT:FQL_AUDITING_CLIENT_TEMPLATE.FAT&amp;display_string=Audit&amp;VAR:KEY=BAJWLGJGXO&amp;VAR:QUERY=RkZfRUJJVERBX0lCKCdMVE1TJyw0MDA2Nik=&amp;WINDOW=FIRST_POPUP&amp;HEIGHT=450&amp;WIDTH=450&amp;START_MA","XIMIZED=FALSE&amp;VAR:CALENDAR=US&amp;VAR:SYMBOL=37183T10&amp;VAR:INDEX=0"}</definedName>
    <definedName name="_382__FDSAUDITLINK__" localSheetId="6" hidden="1">{"fdsup://directions/FAT%20Viewer?VAR:PED=LTM&amp;VAR:AUDIT_MODE=SUMMARY&amp;VAR:PERIOD=FIXED&amp;VAR:AUDIT_ID=00000117&amp;VAR:DATE=20090204&amp;action=UPDATE&amp;creator=factset&amp;DOC_NAME=FAT:FMA_audit_SUMMARY.fat&amp;DISPLAY_STRING=Display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2__FDSAUDITLINK__" hidden="1">{"fdsup://directions/FAT%20Viewer?VAR:PED=LTM&amp;VAR:AUDIT_MODE=SUMMARY&amp;VAR:PERIOD=FIXED&amp;VAR:AUDIT_ID=00000117&amp;VAR:DATE=20090204&amp;action=UPDATE&amp;creator=factset&amp;DOC_NAME=FAT:FMA_audit_SUMMARY.fat&amp;DISPLAY_STRING=Display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20__FDSAUDITLINK__" localSheetId="6" hidden="1">{"fdsup://directions/FAT Viewer?action=UPDATE&amp;creator=factset&amp;DYN_ARGS=TRUE&amp;DOC_NAME=FAT:FQL_AUDITING_CLIENT_TEMPLATE.FAT&amp;display_string=Audit&amp;VAR:KEY=RKTGDKROLM&amp;VAR:QUERY=RkZfRUJJVERBX0lCKCdMVE1TJyw0MDA2NSk=&amp;WINDOW=FIRST_POPUP&amp;HEIGHT=450&amp;WIDTH=450&amp;START_MA","XIMIZED=FALSE&amp;VAR:CALENDAR=US&amp;VAR:SYMBOL=37183T10&amp;VAR:INDEX=0"}</definedName>
    <definedName name="_3820__FDSAUDITLINK__" hidden="1">{"fdsup://directions/FAT Viewer?action=UPDATE&amp;creator=factset&amp;DYN_ARGS=TRUE&amp;DOC_NAME=FAT:FQL_AUDITING_CLIENT_TEMPLATE.FAT&amp;display_string=Audit&amp;VAR:KEY=RKTGDKROLM&amp;VAR:QUERY=RkZfRUJJVERBX0lCKCdMVE1TJyw0MDA2NSk=&amp;WINDOW=FIRST_POPUP&amp;HEIGHT=450&amp;WIDTH=450&amp;START_MA","XIMIZED=FALSE&amp;VAR:CALENDAR=US&amp;VAR:SYMBOL=37183T10&amp;VAR:INDEX=0"}</definedName>
    <definedName name="_3821__FDSAUDITLINK__" localSheetId="6" hidden="1">{"fdsup://directions/FAT Viewer?action=UPDATE&amp;creator=factset&amp;DYN_ARGS=TRUE&amp;DOC_NAME=FAT:FQL_AUDITING_CLIENT_TEMPLATE.FAT&amp;display_string=Audit&amp;VAR:KEY=VGLAVSPIDI&amp;VAR:QUERY=RkZfRUJJVERBX0lCKCdMVE1TJyw0MDA2NCk=&amp;WINDOW=FIRST_POPUP&amp;HEIGHT=450&amp;WIDTH=450&amp;START_MA","XIMIZED=FALSE&amp;VAR:CALENDAR=US&amp;VAR:SYMBOL=37183T10&amp;VAR:INDEX=0"}</definedName>
    <definedName name="_3821__FDSAUDITLINK__" hidden="1">{"fdsup://directions/FAT Viewer?action=UPDATE&amp;creator=factset&amp;DYN_ARGS=TRUE&amp;DOC_NAME=FAT:FQL_AUDITING_CLIENT_TEMPLATE.FAT&amp;display_string=Audit&amp;VAR:KEY=VGLAVSPIDI&amp;VAR:QUERY=RkZfRUJJVERBX0lCKCdMVE1TJyw0MDA2NCk=&amp;WINDOW=FIRST_POPUP&amp;HEIGHT=450&amp;WIDTH=450&amp;START_MA","XIMIZED=FALSE&amp;VAR:CALENDAR=US&amp;VAR:SYMBOL=37183T10&amp;VAR:INDEX=0"}</definedName>
    <definedName name="_3822__FDSAUDITLINK__" localSheetId="6" hidden="1">{"fdsup://directions/FAT Viewer?action=UPDATE&amp;creator=factset&amp;DYN_ARGS=TRUE&amp;DOC_NAME=FAT:FQL_AUDITING_CLIENT_TEMPLATE.FAT&amp;display_string=Audit&amp;VAR:KEY=VYNWZIFUNA&amp;VAR:QUERY=RkZfRUJJVERBX0lCKCdMVE1TJyw0MDA2Myk=&amp;WINDOW=FIRST_POPUP&amp;HEIGHT=450&amp;WIDTH=450&amp;START_MA","XIMIZED=FALSE&amp;VAR:CALENDAR=US&amp;VAR:SYMBOL=37183T10&amp;VAR:INDEX=0"}</definedName>
    <definedName name="_3822__FDSAUDITLINK__" hidden="1">{"fdsup://directions/FAT Viewer?action=UPDATE&amp;creator=factset&amp;DYN_ARGS=TRUE&amp;DOC_NAME=FAT:FQL_AUDITING_CLIENT_TEMPLATE.FAT&amp;display_string=Audit&amp;VAR:KEY=VYNWZIFUNA&amp;VAR:QUERY=RkZfRUJJVERBX0lCKCdMVE1TJyw0MDA2Myk=&amp;WINDOW=FIRST_POPUP&amp;HEIGHT=450&amp;WIDTH=450&amp;START_MA","XIMIZED=FALSE&amp;VAR:CALENDAR=US&amp;VAR:SYMBOL=37183T10&amp;VAR:INDEX=0"}</definedName>
    <definedName name="_3823__FDSAUDITLINK__" localSheetId="6" hidden="1">{"fdsup://directions/FAT Viewer?action=UPDATE&amp;creator=factset&amp;DYN_ARGS=TRUE&amp;DOC_NAME=FAT:FQL_AUDITING_CLIENT_TEMPLATE.FAT&amp;display_string=Audit&amp;VAR:KEY=ZGPMNGTORS&amp;VAR:QUERY=RkZfRUJJVERBX0lCKCdMVE1TJyw0MDA2Mik=&amp;WINDOW=FIRST_POPUP&amp;HEIGHT=450&amp;WIDTH=450&amp;START_MA","XIMIZED=FALSE&amp;VAR:CALENDAR=US&amp;VAR:SYMBOL=37183T10&amp;VAR:INDEX=0"}</definedName>
    <definedName name="_3823__FDSAUDITLINK__" hidden="1">{"fdsup://directions/FAT Viewer?action=UPDATE&amp;creator=factset&amp;DYN_ARGS=TRUE&amp;DOC_NAME=FAT:FQL_AUDITING_CLIENT_TEMPLATE.FAT&amp;display_string=Audit&amp;VAR:KEY=ZGPMNGTORS&amp;VAR:QUERY=RkZfRUJJVERBX0lCKCdMVE1TJyw0MDA2Mik=&amp;WINDOW=FIRST_POPUP&amp;HEIGHT=450&amp;WIDTH=450&amp;START_MA","XIMIZED=FALSE&amp;VAR:CALENDAR=US&amp;VAR:SYMBOL=37183T10&amp;VAR:INDEX=0"}</definedName>
    <definedName name="_3824__FDSAUDITLINK__" localSheetId="6" hidden="1">{"fdsup://directions/FAT Viewer?action=UPDATE&amp;creator=factset&amp;DYN_ARGS=TRUE&amp;DOC_NAME=FAT:FQL_AUDITING_CLIENT_TEMPLATE.FAT&amp;display_string=Audit&amp;VAR:KEY=BSTIPUVGTW&amp;VAR:QUERY=RkZfRUJJVERBX0lCKCdMVE1TJyw0MDA2MSk=&amp;WINDOW=FIRST_POPUP&amp;HEIGHT=450&amp;WIDTH=450&amp;START_MA","XIMIZED=FALSE&amp;VAR:CALENDAR=US&amp;VAR:SYMBOL=37183T10&amp;VAR:INDEX=0"}</definedName>
    <definedName name="_3824__FDSAUDITLINK__" hidden="1">{"fdsup://directions/FAT Viewer?action=UPDATE&amp;creator=factset&amp;DYN_ARGS=TRUE&amp;DOC_NAME=FAT:FQL_AUDITING_CLIENT_TEMPLATE.FAT&amp;display_string=Audit&amp;VAR:KEY=BSTIPUVGTW&amp;VAR:QUERY=RkZfRUJJVERBX0lCKCdMVE1TJyw0MDA2MSk=&amp;WINDOW=FIRST_POPUP&amp;HEIGHT=450&amp;WIDTH=450&amp;START_MA","XIMIZED=FALSE&amp;VAR:CALENDAR=US&amp;VAR:SYMBOL=37183T10&amp;VAR:INDEX=0"}</definedName>
    <definedName name="_3825__FDSAUDITLINK__" localSheetId="6" hidden="1">{"fdsup://directions/FAT Viewer?action=UPDATE&amp;creator=factset&amp;DYN_ARGS=TRUE&amp;DOC_NAME=FAT:FQL_AUDITING_CLIENT_TEMPLATE.FAT&amp;display_string=Audit&amp;VAR:KEY=DSNUBWJILI&amp;VAR:QUERY=RkZfRUJJVERBX0lCKCdMVE1TJyw0MDA2MCk=&amp;WINDOW=FIRST_POPUP&amp;HEIGHT=450&amp;WIDTH=450&amp;START_MA","XIMIZED=FALSE&amp;VAR:CALENDAR=US&amp;VAR:SYMBOL=37183T10&amp;VAR:INDEX=0"}</definedName>
    <definedName name="_3825__FDSAUDITLINK__" hidden="1">{"fdsup://directions/FAT Viewer?action=UPDATE&amp;creator=factset&amp;DYN_ARGS=TRUE&amp;DOC_NAME=FAT:FQL_AUDITING_CLIENT_TEMPLATE.FAT&amp;display_string=Audit&amp;VAR:KEY=DSNUBWJILI&amp;VAR:QUERY=RkZfRUJJVERBX0lCKCdMVE1TJyw0MDA2MCk=&amp;WINDOW=FIRST_POPUP&amp;HEIGHT=450&amp;WIDTH=450&amp;START_MA","XIMIZED=FALSE&amp;VAR:CALENDAR=US&amp;VAR:SYMBOL=37183T10&amp;VAR:INDEX=0"}</definedName>
    <definedName name="_3826__FDSAUDITLINK__" localSheetId="6" hidden="1">{"fdsup://directions/FAT Viewer?action=UPDATE&amp;creator=factset&amp;DYN_ARGS=TRUE&amp;DOC_NAME=FAT:FQL_AUDITING_CLIENT_TEMPLATE.FAT&amp;display_string=Audit&amp;VAR:KEY=DGVGZSZYVO&amp;VAR:QUERY=RkZfRUJJVERBX0lCKCdMVE1TJyw0MDA1OSk=&amp;WINDOW=FIRST_POPUP&amp;HEIGHT=450&amp;WIDTH=450&amp;START_MA","XIMIZED=FALSE&amp;VAR:CALENDAR=US&amp;VAR:SYMBOL=37183T10&amp;VAR:INDEX=0"}</definedName>
    <definedName name="_3826__FDSAUDITLINK__" hidden="1">{"fdsup://directions/FAT Viewer?action=UPDATE&amp;creator=factset&amp;DYN_ARGS=TRUE&amp;DOC_NAME=FAT:FQL_AUDITING_CLIENT_TEMPLATE.FAT&amp;display_string=Audit&amp;VAR:KEY=DGVGZSZYVO&amp;VAR:QUERY=RkZfRUJJVERBX0lCKCdMVE1TJyw0MDA1OSk=&amp;WINDOW=FIRST_POPUP&amp;HEIGHT=450&amp;WIDTH=450&amp;START_MA","XIMIZED=FALSE&amp;VAR:CALENDAR=US&amp;VAR:SYMBOL=37183T10&amp;VAR:INDEX=0"}</definedName>
    <definedName name="_3827__FDSAUDITLINK__" localSheetId="6" hidden="1">{"fdsup://directions/FAT Viewer?action=UPDATE&amp;creator=factset&amp;DYN_ARGS=TRUE&amp;DOC_NAME=FAT:FQL_AUDITING_CLIENT_TEMPLATE.FAT&amp;display_string=Audit&amp;VAR:KEY=PGHCBWREVU&amp;VAR:QUERY=RkZfRUJJVERBX0lCKCdMVE1TJyw0MDA1OCk=&amp;WINDOW=FIRST_POPUP&amp;HEIGHT=450&amp;WIDTH=450&amp;START_MA","XIMIZED=FALSE&amp;VAR:CALENDAR=US&amp;VAR:SYMBOL=37183T10&amp;VAR:INDEX=0"}</definedName>
    <definedName name="_3827__FDSAUDITLINK__" hidden="1">{"fdsup://directions/FAT Viewer?action=UPDATE&amp;creator=factset&amp;DYN_ARGS=TRUE&amp;DOC_NAME=FAT:FQL_AUDITING_CLIENT_TEMPLATE.FAT&amp;display_string=Audit&amp;VAR:KEY=PGHCBWREVU&amp;VAR:QUERY=RkZfRUJJVERBX0lCKCdMVE1TJyw0MDA1OCk=&amp;WINDOW=FIRST_POPUP&amp;HEIGHT=450&amp;WIDTH=450&amp;START_MA","XIMIZED=FALSE&amp;VAR:CALENDAR=US&amp;VAR:SYMBOL=37183T10&amp;VAR:INDEX=0"}</definedName>
    <definedName name="_3828__FDSAUDITLINK__" localSheetId="6" hidden="1">{"fdsup://directions/FAT Viewer?action=UPDATE&amp;creator=factset&amp;DYN_ARGS=TRUE&amp;DOC_NAME=FAT:FQL_AUDITING_CLIENT_TEMPLATE.FAT&amp;display_string=Audit&amp;VAR:KEY=VIBQDMDGLK&amp;VAR:QUERY=RkZfRUJJVERBX0lCKCdMVE1TJyw0MDA1Nyk=&amp;WINDOW=FIRST_POPUP&amp;HEIGHT=450&amp;WIDTH=450&amp;START_MA","XIMIZED=FALSE&amp;VAR:CALENDAR=US&amp;VAR:SYMBOL=37183T10&amp;VAR:INDEX=0"}</definedName>
    <definedName name="_3828__FDSAUDITLINK__" hidden="1">{"fdsup://directions/FAT Viewer?action=UPDATE&amp;creator=factset&amp;DYN_ARGS=TRUE&amp;DOC_NAME=FAT:FQL_AUDITING_CLIENT_TEMPLATE.FAT&amp;display_string=Audit&amp;VAR:KEY=VIBQDMDGLK&amp;VAR:QUERY=RkZfRUJJVERBX0lCKCdMVE1TJyw0MDA1Nyk=&amp;WINDOW=FIRST_POPUP&amp;HEIGHT=450&amp;WIDTH=450&amp;START_MA","XIMIZED=FALSE&amp;VAR:CALENDAR=US&amp;VAR:SYMBOL=37183T10&amp;VAR:INDEX=0"}</definedName>
    <definedName name="_3829__FDSAUDITLINK__" localSheetId="6" hidden="1">{"fdsup://directions/FAT Viewer?action=UPDATE&amp;creator=factset&amp;DYN_ARGS=TRUE&amp;DOC_NAME=FAT:FQL_AUDITING_CLIENT_TEMPLATE.FAT&amp;display_string=Audit&amp;VAR:KEY=DQXUVWTQHK&amp;VAR:QUERY=RkZfRUJJVERBX0lCKCdMVE1TJyw0MDA1Nik=&amp;WINDOW=FIRST_POPUP&amp;HEIGHT=450&amp;WIDTH=450&amp;START_MA","XIMIZED=FALSE&amp;VAR:CALENDAR=US&amp;VAR:SYMBOL=37183T10&amp;VAR:INDEX=0"}</definedName>
    <definedName name="_3829__FDSAUDITLINK__" hidden="1">{"fdsup://directions/FAT Viewer?action=UPDATE&amp;creator=factset&amp;DYN_ARGS=TRUE&amp;DOC_NAME=FAT:FQL_AUDITING_CLIENT_TEMPLATE.FAT&amp;display_string=Audit&amp;VAR:KEY=DQXUVWTQHK&amp;VAR:QUERY=RkZfRUJJVERBX0lCKCdMVE1TJyw0MDA1Nik=&amp;WINDOW=FIRST_POPUP&amp;HEIGHT=450&amp;WIDTH=450&amp;START_MA","XIMIZED=FALSE&amp;VAR:CALENDAR=US&amp;VAR:SYMBOL=37183T10&amp;VAR:INDEX=0"}</definedName>
    <definedName name="_383__FDSAUDITLINK__" localSheetId="6" hidden="1">{"fdsup://directions/FAT%20Viewer?VAR:PED=LTM&amp;VAR:AUDIT_MODE=SUMMARY&amp;VAR:PERIOD=FIXED&amp;VAR:AUDIT_ID=00000117&amp;VAR:DATE=20090203&amp;action=UPDATE&amp;creator=factset&amp;DOC_NAME=FAT:FMA_audit_SUMMARY.fat&amp;DISPLAY_STRING=Display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3__FDSAUDITLINK__" hidden="1">{"fdsup://directions/FAT%20Viewer?VAR:PED=LTM&amp;VAR:AUDIT_MODE=SUMMARY&amp;VAR:PERIOD=FIXED&amp;VAR:AUDIT_ID=00000117&amp;VAR:DATE=20090203&amp;action=UPDATE&amp;creator=factset&amp;DOC_NAME=FAT:FMA_audit_SUMMARY.fat&amp;DISPLAY_STRING=Display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30__FDSAUDITLINK__" localSheetId="6" hidden="1">{"fdsup://directions/FAT Viewer?action=UPDATE&amp;creator=factset&amp;DYN_ARGS=TRUE&amp;DOC_NAME=FAT:FQL_AUDITING_CLIENT_TEMPLATE.FAT&amp;display_string=Audit&amp;VAR:KEY=FUXARSTWPQ&amp;VAR:QUERY=RkZfRUJJVERBX0lCKCdMVE1TJyw0MDA1NSk=&amp;WINDOW=FIRST_POPUP&amp;HEIGHT=450&amp;WIDTH=450&amp;START_MA","XIMIZED=FALSE&amp;VAR:CALENDAR=US&amp;VAR:SYMBOL=37183T10&amp;VAR:INDEX=0"}</definedName>
    <definedName name="_3830__FDSAUDITLINK__" hidden="1">{"fdsup://directions/FAT Viewer?action=UPDATE&amp;creator=factset&amp;DYN_ARGS=TRUE&amp;DOC_NAME=FAT:FQL_AUDITING_CLIENT_TEMPLATE.FAT&amp;display_string=Audit&amp;VAR:KEY=FUXARSTWPQ&amp;VAR:QUERY=RkZfRUJJVERBX0lCKCdMVE1TJyw0MDA1NSk=&amp;WINDOW=FIRST_POPUP&amp;HEIGHT=450&amp;WIDTH=450&amp;START_MA","XIMIZED=FALSE&amp;VAR:CALENDAR=US&amp;VAR:SYMBOL=37183T10&amp;VAR:INDEX=0"}</definedName>
    <definedName name="_3831__FDSAUDITLINK__" localSheetId="6" hidden="1">{"fdsup://directions/FAT Viewer?action=UPDATE&amp;creator=factset&amp;DYN_ARGS=TRUE&amp;DOC_NAME=FAT:FQL_AUDITING_CLIENT_TEMPLATE.FAT&amp;display_string=Audit&amp;VAR:KEY=HSBYPARWVC&amp;VAR:QUERY=RkZfRUJJVERBX0lCKCdMVE1TJyw0MDA1NCk=&amp;WINDOW=FIRST_POPUP&amp;HEIGHT=450&amp;WIDTH=450&amp;START_MA","XIMIZED=FALSE&amp;VAR:CALENDAR=US&amp;VAR:SYMBOL=37183T10&amp;VAR:INDEX=0"}</definedName>
    <definedName name="_3831__FDSAUDITLINK__" hidden="1">{"fdsup://directions/FAT Viewer?action=UPDATE&amp;creator=factset&amp;DYN_ARGS=TRUE&amp;DOC_NAME=FAT:FQL_AUDITING_CLIENT_TEMPLATE.FAT&amp;display_string=Audit&amp;VAR:KEY=HSBYPARWVC&amp;VAR:QUERY=RkZfRUJJVERBX0lCKCdMVE1TJyw0MDA1NCk=&amp;WINDOW=FIRST_POPUP&amp;HEIGHT=450&amp;WIDTH=450&amp;START_MA","XIMIZED=FALSE&amp;VAR:CALENDAR=US&amp;VAR:SYMBOL=37183T10&amp;VAR:INDEX=0"}</definedName>
    <definedName name="_3832__FDSAUDITLINK__" localSheetId="6" hidden="1">{"fdsup://directions/FAT Viewer?action=UPDATE&amp;creator=factset&amp;DYN_ARGS=TRUE&amp;DOC_NAME=FAT:FQL_AUDITING_CLIENT_TEMPLATE.FAT&amp;display_string=Audit&amp;VAR:KEY=LKLSZYBCBA&amp;VAR:QUERY=RkZfRUJJVERBX0lCKCdMVE1TJyw0MDA1Myk=&amp;WINDOW=FIRST_POPUP&amp;HEIGHT=450&amp;WIDTH=450&amp;START_MA","XIMIZED=FALSE&amp;VAR:CALENDAR=US&amp;VAR:SYMBOL=37183T10&amp;VAR:INDEX=0"}</definedName>
    <definedName name="_3832__FDSAUDITLINK__" hidden="1">{"fdsup://directions/FAT Viewer?action=UPDATE&amp;creator=factset&amp;DYN_ARGS=TRUE&amp;DOC_NAME=FAT:FQL_AUDITING_CLIENT_TEMPLATE.FAT&amp;display_string=Audit&amp;VAR:KEY=LKLSZYBCBA&amp;VAR:QUERY=RkZfRUJJVERBX0lCKCdMVE1TJyw0MDA1Myk=&amp;WINDOW=FIRST_POPUP&amp;HEIGHT=450&amp;WIDTH=450&amp;START_MA","XIMIZED=FALSE&amp;VAR:CALENDAR=US&amp;VAR:SYMBOL=37183T10&amp;VAR:INDEX=0"}</definedName>
    <definedName name="_3833__FDSAUDITLINK__" localSheetId="6" hidden="1">{"fdsup://directions/FAT Viewer?action=UPDATE&amp;creator=factset&amp;DYN_ARGS=TRUE&amp;DOC_NAME=FAT:FQL_AUDITING_CLIENT_TEMPLATE.FAT&amp;display_string=Audit&amp;VAR:KEY=JGZMJARYDG&amp;VAR:QUERY=RkZfRUJJVERBX0lCKCdMVE1TJyw0MDA1Mik=&amp;WINDOW=FIRST_POPUP&amp;HEIGHT=450&amp;WIDTH=450&amp;START_MA","XIMIZED=FALSE&amp;VAR:CALENDAR=US&amp;VAR:SYMBOL=37183T10&amp;VAR:INDEX=0"}</definedName>
    <definedName name="_3833__FDSAUDITLINK__" hidden="1">{"fdsup://directions/FAT Viewer?action=UPDATE&amp;creator=factset&amp;DYN_ARGS=TRUE&amp;DOC_NAME=FAT:FQL_AUDITING_CLIENT_TEMPLATE.FAT&amp;display_string=Audit&amp;VAR:KEY=JGZMJARYDG&amp;VAR:QUERY=RkZfRUJJVERBX0lCKCdMVE1TJyw0MDA1Mik=&amp;WINDOW=FIRST_POPUP&amp;HEIGHT=450&amp;WIDTH=450&amp;START_MA","XIMIZED=FALSE&amp;VAR:CALENDAR=US&amp;VAR:SYMBOL=37183T10&amp;VAR:INDEX=0"}</definedName>
    <definedName name="_3834__FDSAUDITLINK__" localSheetId="6" hidden="1">{"fdsup://directions/FAT Viewer?action=UPDATE&amp;creator=factset&amp;DYN_ARGS=TRUE&amp;DOC_NAME=FAT:FQL_AUDITING_CLIENT_TEMPLATE.FAT&amp;display_string=Audit&amp;VAR:KEY=NOJQVIZQDW&amp;VAR:QUERY=RkZfRUJJVERBX0lCKCdMVE1TJyw0MDA1MSk=&amp;WINDOW=FIRST_POPUP&amp;HEIGHT=450&amp;WIDTH=450&amp;START_MA","XIMIZED=FALSE&amp;VAR:CALENDAR=US&amp;VAR:SYMBOL=37183T10&amp;VAR:INDEX=0"}</definedName>
    <definedName name="_3834__FDSAUDITLINK__" hidden="1">{"fdsup://directions/FAT Viewer?action=UPDATE&amp;creator=factset&amp;DYN_ARGS=TRUE&amp;DOC_NAME=FAT:FQL_AUDITING_CLIENT_TEMPLATE.FAT&amp;display_string=Audit&amp;VAR:KEY=NOJQVIZQDW&amp;VAR:QUERY=RkZfRUJJVERBX0lCKCdMVE1TJyw0MDA1MSk=&amp;WINDOW=FIRST_POPUP&amp;HEIGHT=450&amp;WIDTH=450&amp;START_MA","XIMIZED=FALSE&amp;VAR:CALENDAR=US&amp;VAR:SYMBOL=37183T10&amp;VAR:INDEX=0"}</definedName>
    <definedName name="_3835__FDSAUDITLINK__" localSheetId="6" hidden="1">{"fdsup://directions/FAT Viewer?action=UPDATE&amp;creator=factset&amp;DYN_ARGS=TRUE&amp;DOC_NAME=FAT:FQL_AUDITING_CLIENT_TEMPLATE.FAT&amp;display_string=Audit&amp;VAR:KEY=RWJUJKXURA&amp;VAR:QUERY=RkZfRUJJVERBX0lCKCdMVE1TJyw0MDA1MCk=&amp;WINDOW=FIRST_POPUP&amp;HEIGHT=450&amp;WIDTH=450&amp;START_MA","XIMIZED=FALSE&amp;VAR:CALENDAR=US&amp;VAR:SYMBOL=37183T10&amp;VAR:INDEX=0"}</definedName>
    <definedName name="_3835__FDSAUDITLINK__" hidden="1">{"fdsup://directions/FAT Viewer?action=UPDATE&amp;creator=factset&amp;DYN_ARGS=TRUE&amp;DOC_NAME=FAT:FQL_AUDITING_CLIENT_TEMPLATE.FAT&amp;display_string=Audit&amp;VAR:KEY=RWJUJKXURA&amp;VAR:QUERY=RkZfRUJJVERBX0lCKCdMVE1TJyw0MDA1MCk=&amp;WINDOW=FIRST_POPUP&amp;HEIGHT=450&amp;WIDTH=450&amp;START_MA","XIMIZED=FALSE&amp;VAR:CALENDAR=US&amp;VAR:SYMBOL=37183T10&amp;VAR:INDEX=0"}</definedName>
    <definedName name="_3836__FDSAUDITLINK__" localSheetId="6" hidden="1">{"fdsup://directions/FAT Viewer?action=UPDATE&amp;creator=factset&amp;DYN_ARGS=TRUE&amp;DOC_NAME=FAT:FQL_AUDITING_CLIENT_TEMPLATE.FAT&amp;display_string=Audit&amp;VAR:KEY=HAJQNGJEDK&amp;VAR:QUERY=RkZfRUJJVERBX0lCKCdMVE1TJyw0MDA0OSk=&amp;WINDOW=FIRST_POPUP&amp;HEIGHT=450&amp;WIDTH=450&amp;START_MA","XIMIZED=FALSE&amp;VAR:CALENDAR=US&amp;VAR:SYMBOL=37183T10&amp;VAR:INDEX=0"}</definedName>
    <definedName name="_3836__FDSAUDITLINK__" hidden="1">{"fdsup://directions/FAT Viewer?action=UPDATE&amp;creator=factset&amp;DYN_ARGS=TRUE&amp;DOC_NAME=FAT:FQL_AUDITING_CLIENT_TEMPLATE.FAT&amp;display_string=Audit&amp;VAR:KEY=HAJQNGJEDK&amp;VAR:QUERY=RkZfRUJJVERBX0lCKCdMVE1TJyw0MDA0OSk=&amp;WINDOW=FIRST_POPUP&amp;HEIGHT=450&amp;WIDTH=450&amp;START_MA","XIMIZED=FALSE&amp;VAR:CALENDAR=US&amp;VAR:SYMBOL=37183T10&amp;VAR:INDEX=0"}</definedName>
    <definedName name="_3837__FDSAUDITLINK__" localSheetId="6" hidden="1">{"fdsup://directions/FAT Viewer?action=UPDATE&amp;creator=factset&amp;DYN_ARGS=TRUE&amp;DOC_NAME=FAT:FQL_AUDITING_CLIENT_TEMPLATE.FAT&amp;display_string=Audit&amp;VAR:KEY=LALKTYZOJY&amp;VAR:QUERY=RkZfRUJJVERBX0lCKCdMVE1TJyw0MDA0OCk=&amp;WINDOW=FIRST_POPUP&amp;HEIGHT=450&amp;WIDTH=450&amp;START_MA","XIMIZED=FALSE&amp;VAR:CALENDAR=US&amp;VAR:SYMBOL=37183T10&amp;VAR:INDEX=0"}</definedName>
    <definedName name="_3837__FDSAUDITLINK__" hidden="1">{"fdsup://directions/FAT Viewer?action=UPDATE&amp;creator=factset&amp;DYN_ARGS=TRUE&amp;DOC_NAME=FAT:FQL_AUDITING_CLIENT_TEMPLATE.FAT&amp;display_string=Audit&amp;VAR:KEY=LALKTYZOJY&amp;VAR:QUERY=RkZfRUJJVERBX0lCKCdMVE1TJyw0MDA0OCk=&amp;WINDOW=FIRST_POPUP&amp;HEIGHT=450&amp;WIDTH=450&amp;START_MA","XIMIZED=FALSE&amp;VAR:CALENDAR=US&amp;VAR:SYMBOL=37183T10&amp;VAR:INDEX=0"}</definedName>
    <definedName name="_3838__FDSAUDITLINK__" localSheetId="6" hidden="1">{"fdsup://directions/FAT Viewer?action=UPDATE&amp;creator=factset&amp;DYN_ARGS=TRUE&amp;DOC_NAME=FAT:FQL_AUDITING_CLIENT_TEMPLATE.FAT&amp;display_string=Audit&amp;VAR:KEY=LCHMJQXGXS&amp;VAR:QUERY=RkZfRUJJVERBX0lCKCdMVE1TJyw0MDA0Nyk=&amp;WINDOW=FIRST_POPUP&amp;HEIGHT=450&amp;WIDTH=450&amp;START_MA","XIMIZED=FALSE&amp;VAR:CALENDAR=US&amp;VAR:SYMBOL=37183T10&amp;VAR:INDEX=0"}</definedName>
    <definedName name="_3838__FDSAUDITLINK__" hidden="1">{"fdsup://directions/FAT Viewer?action=UPDATE&amp;creator=factset&amp;DYN_ARGS=TRUE&amp;DOC_NAME=FAT:FQL_AUDITING_CLIENT_TEMPLATE.FAT&amp;display_string=Audit&amp;VAR:KEY=LCHMJQXGXS&amp;VAR:QUERY=RkZfRUJJVERBX0lCKCdMVE1TJyw0MDA0Nyk=&amp;WINDOW=FIRST_POPUP&amp;HEIGHT=450&amp;WIDTH=450&amp;START_MA","XIMIZED=FALSE&amp;VAR:CALENDAR=US&amp;VAR:SYMBOL=37183T10&amp;VAR:INDEX=0"}</definedName>
    <definedName name="_3839__FDSAUDITLINK__" localSheetId="6" hidden="1">{"fdsup://directions/FAT Viewer?action=UPDATE&amp;creator=factset&amp;DYN_ARGS=TRUE&amp;DOC_NAME=FAT:FQL_AUDITING_CLIENT_TEMPLATE.FAT&amp;display_string=Audit&amp;VAR:KEY=RGXAHSVYVC&amp;VAR:QUERY=RkZfRUJJVERBX0lCKCdMVE1TJyw0MDA0Nik=&amp;WINDOW=FIRST_POPUP&amp;HEIGHT=450&amp;WIDTH=450&amp;START_MA","XIMIZED=FALSE&amp;VAR:CALENDAR=US&amp;VAR:SYMBOL=37183T10&amp;VAR:INDEX=0"}</definedName>
    <definedName name="_3839__FDSAUDITLINK__" hidden="1">{"fdsup://directions/FAT Viewer?action=UPDATE&amp;creator=factset&amp;DYN_ARGS=TRUE&amp;DOC_NAME=FAT:FQL_AUDITING_CLIENT_TEMPLATE.FAT&amp;display_string=Audit&amp;VAR:KEY=RGXAHSVYVC&amp;VAR:QUERY=RkZfRUJJVERBX0lCKCdMVE1TJyw0MDA0Nik=&amp;WINDOW=FIRST_POPUP&amp;HEIGHT=450&amp;WIDTH=450&amp;START_MA","XIMIZED=FALSE&amp;VAR:CALENDAR=US&amp;VAR:SYMBOL=37183T10&amp;VAR:INDEX=0"}</definedName>
    <definedName name="_384__FDSAUDITLINK__" localSheetId="6" hidden="1">{"fdsup://directions/FAT%20Viewer?VAR:PED=LTM&amp;VAR:AUDIT_MODE=SUMMARY&amp;VAR:PERIOD=FIXED&amp;VAR:AUDIT_ID=00000117&amp;VAR:DATE=20090202&amp;action=UPDATE&amp;creator=factset&amp;DOC_NAME=FAT:FMA_audit_SUMMARY.fat&amp;DISPLAY_STRING=Display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4__FDSAUDITLINK__" hidden="1">{"fdsup://directions/FAT%20Viewer?VAR:PED=LTM&amp;VAR:AUDIT_MODE=SUMMARY&amp;VAR:PERIOD=FIXED&amp;VAR:AUDIT_ID=00000117&amp;VAR:DATE=20090202&amp;action=UPDATE&amp;creator=factset&amp;DOC_NAME=FAT:FMA_audit_SUMMARY.fat&amp;DISPLAY_STRING=Display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EBITDA&amp;VAR:CHGPERIOD=NA&amp;VAR:FQLFORMULA=FMA_EVAL_EBITDA&amp;VAR:CURRENCY=NA&amp;VAR:P=NA&amp;VAR:V=6.86","5273&amp;VAR:null=.html"}</definedName>
    <definedName name="_3840__FDSAUDITLINK__" localSheetId="6" hidden="1">{"fdsup://directions/FAT Viewer?action=UPDATE&amp;creator=factset&amp;DYN_ARGS=TRUE&amp;DOC_NAME=FAT:FQL_AUDITING_CLIENT_TEMPLATE.FAT&amp;display_string=Audit&amp;VAR:KEY=ZCDWNEJUPG&amp;VAR:QUERY=RkZfRUJJVERBX0lCKCdMVE1TJyw0MDA0NSk=&amp;WINDOW=FIRST_POPUP&amp;HEIGHT=450&amp;WIDTH=450&amp;START_MA","XIMIZED=FALSE&amp;VAR:CALENDAR=US&amp;VAR:SYMBOL=37183T10&amp;VAR:INDEX=0"}</definedName>
    <definedName name="_3840__FDSAUDITLINK__" hidden="1">{"fdsup://directions/FAT Viewer?action=UPDATE&amp;creator=factset&amp;DYN_ARGS=TRUE&amp;DOC_NAME=FAT:FQL_AUDITING_CLIENT_TEMPLATE.FAT&amp;display_string=Audit&amp;VAR:KEY=ZCDWNEJUPG&amp;VAR:QUERY=RkZfRUJJVERBX0lCKCdMVE1TJyw0MDA0NSk=&amp;WINDOW=FIRST_POPUP&amp;HEIGHT=450&amp;WIDTH=450&amp;START_MA","XIMIZED=FALSE&amp;VAR:CALENDAR=US&amp;VAR:SYMBOL=37183T10&amp;VAR:INDEX=0"}</definedName>
    <definedName name="_3841__FDSAUDITLINK__" localSheetId="6" hidden="1">{"fdsup://directions/FAT Viewer?action=UPDATE&amp;creator=factset&amp;DYN_ARGS=TRUE&amp;DOC_NAME=FAT:FQL_AUDITING_CLIENT_TEMPLATE.FAT&amp;display_string=Audit&amp;VAR:KEY=PYLUPMXSBI&amp;VAR:QUERY=RkZfRUJJVERBX0lCKCdMVE1TJyw0MDA0NCk=&amp;WINDOW=FIRST_POPUP&amp;HEIGHT=450&amp;WIDTH=450&amp;START_MA","XIMIZED=FALSE&amp;VAR:CALENDAR=US&amp;VAR:SYMBOL=37183T10&amp;VAR:INDEX=0"}</definedName>
    <definedName name="_3841__FDSAUDITLINK__" hidden="1">{"fdsup://directions/FAT Viewer?action=UPDATE&amp;creator=factset&amp;DYN_ARGS=TRUE&amp;DOC_NAME=FAT:FQL_AUDITING_CLIENT_TEMPLATE.FAT&amp;display_string=Audit&amp;VAR:KEY=PYLUPMXSBI&amp;VAR:QUERY=RkZfRUJJVERBX0lCKCdMVE1TJyw0MDA0NCk=&amp;WINDOW=FIRST_POPUP&amp;HEIGHT=450&amp;WIDTH=450&amp;START_MA","XIMIZED=FALSE&amp;VAR:CALENDAR=US&amp;VAR:SYMBOL=37183T10&amp;VAR:INDEX=0"}</definedName>
    <definedName name="_3842__FDSAUDITLINK__" localSheetId="6" hidden="1">{"fdsup://directions/FAT Viewer?action=UPDATE&amp;creator=factset&amp;DYN_ARGS=TRUE&amp;DOC_NAME=FAT:FQL_AUDITING_CLIENT_TEMPLATE.FAT&amp;display_string=Audit&amp;VAR:KEY=NILAJWVGJE&amp;VAR:QUERY=RkZfRUJJVERBX0lCKCdMVE1TJyw0MDA0Myk=&amp;WINDOW=FIRST_POPUP&amp;HEIGHT=450&amp;WIDTH=450&amp;START_MA","XIMIZED=FALSE&amp;VAR:CALENDAR=US&amp;VAR:SYMBOL=37183T10&amp;VAR:INDEX=0"}</definedName>
    <definedName name="_3842__FDSAUDITLINK__" hidden="1">{"fdsup://directions/FAT Viewer?action=UPDATE&amp;creator=factset&amp;DYN_ARGS=TRUE&amp;DOC_NAME=FAT:FQL_AUDITING_CLIENT_TEMPLATE.FAT&amp;display_string=Audit&amp;VAR:KEY=NILAJWVGJE&amp;VAR:QUERY=RkZfRUJJVERBX0lCKCdMVE1TJyw0MDA0Myk=&amp;WINDOW=FIRST_POPUP&amp;HEIGHT=450&amp;WIDTH=450&amp;START_MA","XIMIZED=FALSE&amp;VAR:CALENDAR=US&amp;VAR:SYMBOL=37183T10&amp;VAR:INDEX=0"}</definedName>
    <definedName name="_3843__FDSAUDITLINK__" localSheetId="6" hidden="1">{"fdsup://directions/FAT Viewer?action=UPDATE&amp;creator=factset&amp;DYN_ARGS=TRUE&amp;DOC_NAME=FAT:FQL_AUDITING_CLIENT_TEMPLATE.FAT&amp;display_string=Audit&amp;VAR:KEY=VSJINYLATI&amp;VAR:QUERY=RkZfRUJJVERBX0lCKCdMVE1TJyw0MDA0Mik=&amp;WINDOW=FIRST_POPUP&amp;HEIGHT=450&amp;WIDTH=450&amp;START_MA","XIMIZED=FALSE&amp;VAR:CALENDAR=US&amp;VAR:SYMBOL=37183T10&amp;VAR:INDEX=0"}</definedName>
    <definedName name="_3843__FDSAUDITLINK__" hidden="1">{"fdsup://directions/FAT Viewer?action=UPDATE&amp;creator=factset&amp;DYN_ARGS=TRUE&amp;DOC_NAME=FAT:FQL_AUDITING_CLIENT_TEMPLATE.FAT&amp;display_string=Audit&amp;VAR:KEY=VSJINYLATI&amp;VAR:QUERY=RkZfRUJJVERBX0lCKCdMVE1TJyw0MDA0Mik=&amp;WINDOW=FIRST_POPUP&amp;HEIGHT=450&amp;WIDTH=450&amp;START_MA","XIMIZED=FALSE&amp;VAR:CALENDAR=US&amp;VAR:SYMBOL=37183T10&amp;VAR:INDEX=0"}</definedName>
    <definedName name="_3844__FDSAUDITLINK__" localSheetId="6" hidden="1">{"fdsup://directions/FAT Viewer?action=UPDATE&amp;creator=factset&amp;DYN_ARGS=TRUE&amp;DOC_NAME=FAT:FQL_AUDITING_CLIENT_TEMPLATE.FAT&amp;display_string=Audit&amp;VAR:KEY=ZKLWJANMRM&amp;VAR:QUERY=RkZfRUJJVERBX0lCKCdMVE1TJyw0MDA0MSk=&amp;WINDOW=FIRST_POPUP&amp;HEIGHT=450&amp;WIDTH=450&amp;START_MA","XIMIZED=FALSE&amp;VAR:CALENDAR=US&amp;VAR:SYMBOL=37183T10&amp;VAR:INDEX=0"}</definedName>
    <definedName name="_3844__FDSAUDITLINK__" hidden="1">{"fdsup://directions/FAT Viewer?action=UPDATE&amp;creator=factset&amp;DYN_ARGS=TRUE&amp;DOC_NAME=FAT:FQL_AUDITING_CLIENT_TEMPLATE.FAT&amp;display_string=Audit&amp;VAR:KEY=ZKLWJANMRM&amp;VAR:QUERY=RkZfRUJJVERBX0lCKCdMVE1TJyw0MDA0MSk=&amp;WINDOW=FIRST_POPUP&amp;HEIGHT=450&amp;WIDTH=450&amp;START_MA","XIMIZED=FALSE&amp;VAR:CALENDAR=US&amp;VAR:SYMBOL=37183T10&amp;VAR:INDEX=0"}</definedName>
    <definedName name="_3845__FDSAUDITLINK__" localSheetId="6" hidden="1">{"fdsup://directions/FAT Viewer?action=UPDATE&amp;creator=factset&amp;DYN_ARGS=TRUE&amp;DOC_NAME=FAT:FQL_AUDITING_CLIENT_TEMPLATE.FAT&amp;display_string=Audit&amp;VAR:KEY=TYDMPUVKRC&amp;VAR:QUERY=RkZfRUJJVERBX0lCKCdMVE1TJyw0MDA0MCk=&amp;WINDOW=FIRST_POPUP&amp;HEIGHT=450&amp;WIDTH=450&amp;START_MA","XIMIZED=FALSE&amp;VAR:CALENDAR=US&amp;VAR:SYMBOL=37183T10&amp;VAR:INDEX=0"}</definedName>
    <definedName name="_3845__FDSAUDITLINK__" hidden="1">{"fdsup://directions/FAT Viewer?action=UPDATE&amp;creator=factset&amp;DYN_ARGS=TRUE&amp;DOC_NAME=FAT:FQL_AUDITING_CLIENT_TEMPLATE.FAT&amp;display_string=Audit&amp;VAR:KEY=TYDMPUVKRC&amp;VAR:QUERY=RkZfRUJJVERBX0lCKCdMVE1TJyw0MDA0MCk=&amp;WINDOW=FIRST_POPUP&amp;HEIGHT=450&amp;WIDTH=450&amp;START_MA","XIMIZED=FALSE&amp;VAR:CALENDAR=US&amp;VAR:SYMBOL=37183T10&amp;VAR:INDEX=0"}</definedName>
    <definedName name="_3846__FDSAUDITLINK__" localSheetId="6" hidden="1">{"fdsup://directions/FAT Viewer?action=UPDATE&amp;creator=factset&amp;DYN_ARGS=TRUE&amp;DOC_NAME=FAT:FQL_AUDITING_CLIENT_TEMPLATE.FAT&amp;display_string=Audit&amp;VAR:KEY=BEHYLYJCTO&amp;VAR:QUERY=RkZfRUJJVERBX0lCKCdMVE1TJyw0MDAzOSk=&amp;WINDOW=FIRST_POPUP&amp;HEIGHT=450&amp;WIDTH=450&amp;START_MA","XIMIZED=FALSE&amp;VAR:CALENDAR=US&amp;VAR:SYMBOL=37183T10&amp;VAR:INDEX=0"}</definedName>
    <definedName name="_3846__FDSAUDITLINK__" hidden="1">{"fdsup://directions/FAT Viewer?action=UPDATE&amp;creator=factset&amp;DYN_ARGS=TRUE&amp;DOC_NAME=FAT:FQL_AUDITING_CLIENT_TEMPLATE.FAT&amp;display_string=Audit&amp;VAR:KEY=BEHYLYJCTO&amp;VAR:QUERY=RkZfRUJJVERBX0lCKCdMVE1TJyw0MDAzOSk=&amp;WINDOW=FIRST_POPUP&amp;HEIGHT=450&amp;WIDTH=450&amp;START_MA","XIMIZED=FALSE&amp;VAR:CALENDAR=US&amp;VAR:SYMBOL=37183T10&amp;VAR:INDEX=0"}</definedName>
    <definedName name="_3847__FDSAUDITLINK__" localSheetId="6" hidden="1">{"fdsup://directions/FAT Viewer?action=UPDATE&amp;creator=factset&amp;DYN_ARGS=TRUE&amp;DOC_NAME=FAT:FQL_AUDITING_CLIENT_TEMPLATE.FAT&amp;display_string=Audit&amp;VAR:KEY=VGTQHKHGBC&amp;VAR:QUERY=RkZfRUJJVERBX0lCKCdMVE1TJyw0MDAzOCk=&amp;WINDOW=FIRST_POPUP&amp;HEIGHT=450&amp;WIDTH=450&amp;START_MA","XIMIZED=FALSE&amp;VAR:CALENDAR=US&amp;VAR:SYMBOL=37183T10&amp;VAR:INDEX=0"}</definedName>
    <definedName name="_3847__FDSAUDITLINK__" hidden="1">{"fdsup://directions/FAT Viewer?action=UPDATE&amp;creator=factset&amp;DYN_ARGS=TRUE&amp;DOC_NAME=FAT:FQL_AUDITING_CLIENT_TEMPLATE.FAT&amp;display_string=Audit&amp;VAR:KEY=VGTQHKHGBC&amp;VAR:QUERY=RkZfRUJJVERBX0lCKCdMVE1TJyw0MDAzOCk=&amp;WINDOW=FIRST_POPUP&amp;HEIGHT=450&amp;WIDTH=450&amp;START_MA","XIMIZED=FALSE&amp;VAR:CALENDAR=US&amp;VAR:SYMBOL=37183T10&amp;VAR:INDEX=0"}</definedName>
    <definedName name="_3848__FDSAUDITLINK__" localSheetId="6" hidden="1">{"fdsup://directions/FAT Viewer?action=UPDATE&amp;creator=factset&amp;DYN_ARGS=TRUE&amp;DOC_NAME=FAT:FQL_AUDITING_CLIENT_TEMPLATE.FAT&amp;display_string=Audit&amp;VAR:KEY=DIBOJYDWRE&amp;VAR:QUERY=RkZfRUJJVERBX0lCKCdMVE1TJyw0MDAzNyk=&amp;WINDOW=FIRST_POPUP&amp;HEIGHT=450&amp;WIDTH=450&amp;START_MA","XIMIZED=FALSE&amp;VAR:CALENDAR=US&amp;VAR:SYMBOL=37183T10&amp;VAR:INDEX=0"}</definedName>
    <definedName name="_3848__FDSAUDITLINK__" hidden="1">{"fdsup://directions/FAT Viewer?action=UPDATE&amp;creator=factset&amp;DYN_ARGS=TRUE&amp;DOC_NAME=FAT:FQL_AUDITING_CLIENT_TEMPLATE.FAT&amp;display_string=Audit&amp;VAR:KEY=DIBOJYDWRE&amp;VAR:QUERY=RkZfRUJJVERBX0lCKCdMVE1TJyw0MDAzNyk=&amp;WINDOW=FIRST_POPUP&amp;HEIGHT=450&amp;WIDTH=450&amp;START_MA","XIMIZED=FALSE&amp;VAR:CALENDAR=US&amp;VAR:SYMBOL=37183T10&amp;VAR:INDEX=0"}</definedName>
    <definedName name="_3849__FDSAUDITLINK__" localSheetId="6" hidden="1">{"fdsup://directions/FAT Viewer?action=UPDATE&amp;creator=factset&amp;DYN_ARGS=TRUE&amp;DOC_NAME=FAT:FQL_AUDITING_CLIENT_TEMPLATE.FAT&amp;display_string=Audit&amp;VAR:KEY=RQPKZMJITQ&amp;VAR:QUERY=RkZfRUJJVERBX0lCKCdMVE1TJyw0MDAzNik=&amp;WINDOW=FIRST_POPUP&amp;HEIGHT=450&amp;WIDTH=450&amp;START_MA","XIMIZED=FALSE&amp;VAR:CALENDAR=US&amp;VAR:SYMBOL=37183T10&amp;VAR:INDEX=0"}</definedName>
    <definedName name="_3849__FDSAUDITLINK__" hidden="1">{"fdsup://directions/FAT Viewer?action=UPDATE&amp;creator=factset&amp;DYN_ARGS=TRUE&amp;DOC_NAME=FAT:FQL_AUDITING_CLIENT_TEMPLATE.FAT&amp;display_string=Audit&amp;VAR:KEY=RQPKZMJITQ&amp;VAR:QUERY=RkZfRUJJVERBX0lCKCdMVE1TJyw0MDAzNik=&amp;WINDOW=FIRST_POPUP&amp;HEIGHT=450&amp;WIDTH=450&amp;START_MA","XIMIZED=FALSE&amp;VAR:CALENDAR=US&amp;VAR:SYMBOL=37183T10&amp;VAR:INDEX=0"}</definedName>
    <definedName name="_385__FDSAUDITLINK__" localSheetId="6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5__FDSAUDITLINK__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50__FDSAUDITLINK__" localSheetId="6" hidden="1">{"fdsup://directions/FAT Viewer?action=UPDATE&amp;creator=factset&amp;DYN_ARGS=TRUE&amp;DOC_NAME=FAT:FQL_AUDITING_CLIENT_TEMPLATE.FAT&amp;display_string=Audit&amp;VAR:KEY=ZSPAPAFSFY&amp;VAR:QUERY=RkZfRUJJVERBX0lCKCdMVE1TJyw0MDAzNSk=&amp;WINDOW=FIRST_POPUP&amp;HEIGHT=450&amp;WIDTH=450&amp;START_MA","XIMIZED=FALSE&amp;VAR:CALENDAR=US&amp;VAR:SYMBOL=37183T10&amp;VAR:INDEX=0"}</definedName>
    <definedName name="_3850__FDSAUDITLINK__" hidden="1">{"fdsup://directions/FAT Viewer?action=UPDATE&amp;creator=factset&amp;DYN_ARGS=TRUE&amp;DOC_NAME=FAT:FQL_AUDITING_CLIENT_TEMPLATE.FAT&amp;display_string=Audit&amp;VAR:KEY=ZSPAPAFSFY&amp;VAR:QUERY=RkZfRUJJVERBX0lCKCdMVE1TJyw0MDAzNSk=&amp;WINDOW=FIRST_POPUP&amp;HEIGHT=450&amp;WIDTH=450&amp;START_MA","XIMIZED=FALSE&amp;VAR:CALENDAR=US&amp;VAR:SYMBOL=37183T10&amp;VAR:INDEX=0"}</definedName>
    <definedName name="_3851__FDSAUDITLINK__" localSheetId="6" hidden="1">{"fdsup://directions/FAT Viewer?action=UPDATE&amp;creator=factset&amp;DYN_ARGS=TRUE&amp;DOC_NAME=FAT:FQL_AUDITING_CLIENT_TEMPLATE.FAT&amp;display_string=Audit&amp;VAR:KEY=BUZQNOJUTA&amp;VAR:QUERY=RkZfRUJJVERBX0lCKCdMVE1TJyw0MDAzNCk=&amp;WINDOW=FIRST_POPUP&amp;HEIGHT=450&amp;WIDTH=450&amp;START_MA","XIMIZED=FALSE&amp;VAR:CALENDAR=US&amp;VAR:SYMBOL=37183T10&amp;VAR:INDEX=0"}</definedName>
    <definedName name="_3851__FDSAUDITLINK__" hidden="1">{"fdsup://directions/FAT Viewer?action=UPDATE&amp;creator=factset&amp;DYN_ARGS=TRUE&amp;DOC_NAME=FAT:FQL_AUDITING_CLIENT_TEMPLATE.FAT&amp;display_string=Audit&amp;VAR:KEY=BUZQNOJUTA&amp;VAR:QUERY=RkZfRUJJVERBX0lCKCdMVE1TJyw0MDAzNCk=&amp;WINDOW=FIRST_POPUP&amp;HEIGHT=450&amp;WIDTH=450&amp;START_MA","XIMIZED=FALSE&amp;VAR:CALENDAR=US&amp;VAR:SYMBOL=37183T10&amp;VAR:INDEX=0"}</definedName>
    <definedName name="_3852__FDSAUDITLINK__" localSheetId="6" hidden="1">{"fdsup://directions/FAT Viewer?action=UPDATE&amp;creator=factset&amp;DYN_ARGS=TRUE&amp;DOC_NAME=FAT:FQL_AUDITING_CLIENT_TEMPLATE.FAT&amp;display_string=Audit&amp;VAR:KEY=DGLALSZQTW&amp;VAR:QUERY=RkZfRUJJVERBX0lCKCdMVE1TJyw0MDAzMyk=&amp;WINDOW=FIRST_POPUP&amp;HEIGHT=450&amp;WIDTH=450&amp;START_MA","XIMIZED=FALSE&amp;VAR:CALENDAR=US&amp;VAR:SYMBOL=37183T10&amp;VAR:INDEX=0"}</definedName>
    <definedName name="_3852__FDSAUDITLINK__" hidden="1">{"fdsup://directions/FAT Viewer?action=UPDATE&amp;creator=factset&amp;DYN_ARGS=TRUE&amp;DOC_NAME=FAT:FQL_AUDITING_CLIENT_TEMPLATE.FAT&amp;display_string=Audit&amp;VAR:KEY=DGLALSZQTW&amp;VAR:QUERY=RkZfRUJJVERBX0lCKCdMVE1TJyw0MDAzMyk=&amp;WINDOW=FIRST_POPUP&amp;HEIGHT=450&amp;WIDTH=450&amp;START_MA","XIMIZED=FALSE&amp;VAR:CALENDAR=US&amp;VAR:SYMBOL=37183T10&amp;VAR:INDEX=0"}</definedName>
    <definedName name="_3853__FDSAUDITLINK__" localSheetId="6" hidden="1">{"fdsup://directions/FAT Viewer?action=UPDATE&amp;creator=factset&amp;DYN_ARGS=TRUE&amp;DOC_NAME=FAT:FQL_AUDITING_CLIENT_TEMPLATE.FAT&amp;display_string=Audit&amp;VAR:KEY=NMZGFMRUBU&amp;VAR:QUERY=RkZfRUJJVERBX0lCKCdMVE1TJyw0MDAzMik=&amp;WINDOW=FIRST_POPUP&amp;HEIGHT=450&amp;WIDTH=450&amp;START_MA","XIMIZED=FALSE&amp;VAR:CALENDAR=US&amp;VAR:SYMBOL=37183T10&amp;VAR:INDEX=0"}</definedName>
    <definedName name="_3853__FDSAUDITLINK__" hidden="1">{"fdsup://directions/FAT Viewer?action=UPDATE&amp;creator=factset&amp;DYN_ARGS=TRUE&amp;DOC_NAME=FAT:FQL_AUDITING_CLIENT_TEMPLATE.FAT&amp;display_string=Audit&amp;VAR:KEY=NMZGFMRUBU&amp;VAR:QUERY=RkZfRUJJVERBX0lCKCdMVE1TJyw0MDAzMik=&amp;WINDOW=FIRST_POPUP&amp;HEIGHT=450&amp;WIDTH=450&amp;START_MA","XIMIZED=FALSE&amp;VAR:CALENDAR=US&amp;VAR:SYMBOL=37183T10&amp;VAR:INDEX=0"}</definedName>
    <definedName name="_3854__FDSAUDITLINK__" localSheetId="6" hidden="1">{"fdsup://directions/FAT Viewer?action=UPDATE&amp;creator=factset&amp;DYN_ARGS=TRUE&amp;DOC_NAME=FAT:FQL_AUDITING_CLIENT_TEMPLATE.FAT&amp;display_string=Audit&amp;VAR:KEY=XALAFENWVQ&amp;VAR:QUERY=RkZfRUJJVERBX0lCKCdMVE1TJyw0MDAzMSk=&amp;WINDOW=FIRST_POPUP&amp;HEIGHT=450&amp;WIDTH=450&amp;START_MA","XIMIZED=FALSE&amp;VAR:CALENDAR=US&amp;VAR:SYMBOL=37183T10&amp;VAR:INDEX=0"}</definedName>
    <definedName name="_3854__FDSAUDITLINK__" hidden="1">{"fdsup://directions/FAT Viewer?action=UPDATE&amp;creator=factset&amp;DYN_ARGS=TRUE&amp;DOC_NAME=FAT:FQL_AUDITING_CLIENT_TEMPLATE.FAT&amp;display_string=Audit&amp;VAR:KEY=XALAFENWVQ&amp;VAR:QUERY=RkZfRUJJVERBX0lCKCdMVE1TJyw0MDAzMSk=&amp;WINDOW=FIRST_POPUP&amp;HEIGHT=450&amp;WIDTH=450&amp;START_MA","XIMIZED=FALSE&amp;VAR:CALENDAR=US&amp;VAR:SYMBOL=37183T10&amp;VAR:INDEX=0"}</definedName>
    <definedName name="_3855__FDSAUDITLINK__" localSheetId="6" hidden="1">{"fdsup://directions/FAT Viewer?action=UPDATE&amp;creator=factset&amp;DYN_ARGS=TRUE&amp;DOC_NAME=FAT:FQL_AUDITING_CLIENT_TEMPLATE.FAT&amp;display_string=Audit&amp;VAR:KEY=PARABANWPQ&amp;VAR:QUERY=RkZfRUJJVERBX0lCKCdMVE1TJyw0MDAzMCk=&amp;WINDOW=FIRST_POPUP&amp;HEIGHT=450&amp;WIDTH=450&amp;START_MA","XIMIZED=FALSE&amp;VAR:CALENDAR=US&amp;VAR:SYMBOL=37183T10&amp;VAR:INDEX=0"}</definedName>
    <definedName name="_3855__FDSAUDITLINK__" hidden="1">{"fdsup://directions/FAT Viewer?action=UPDATE&amp;creator=factset&amp;DYN_ARGS=TRUE&amp;DOC_NAME=FAT:FQL_AUDITING_CLIENT_TEMPLATE.FAT&amp;display_string=Audit&amp;VAR:KEY=PARABANWPQ&amp;VAR:QUERY=RkZfRUJJVERBX0lCKCdMVE1TJyw0MDAzMCk=&amp;WINDOW=FIRST_POPUP&amp;HEIGHT=450&amp;WIDTH=450&amp;START_MA","XIMIZED=FALSE&amp;VAR:CALENDAR=US&amp;VAR:SYMBOL=37183T10&amp;VAR:INDEX=0"}</definedName>
    <definedName name="_3856__FDSAUDITLINK__" localSheetId="6" hidden="1">{"fdsup://directions/FAT Viewer?action=UPDATE&amp;creator=factset&amp;DYN_ARGS=TRUE&amp;DOC_NAME=FAT:FQL_AUDITING_CLIENT_TEMPLATE.FAT&amp;display_string=Audit&amp;VAR:KEY=DGFMNEBENY&amp;VAR:QUERY=RkZfRUJJVERBX0lCKCdMVE1TJyw0MDAyOSk=&amp;WINDOW=FIRST_POPUP&amp;HEIGHT=450&amp;WIDTH=450&amp;START_MA","XIMIZED=FALSE&amp;VAR:CALENDAR=US&amp;VAR:SYMBOL=37183T10&amp;VAR:INDEX=0"}</definedName>
    <definedName name="_3856__FDSAUDITLINK__" hidden="1">{"fdsup://directions/FAT Viewer?action=UPDATE&amp;creator=factset&amp;DYN_ARGS=TRUE&amp;DOC_NAME=FAT:FQL_AUDITING_CLIENT_TEMPLATE.FAT&amp;display_string=Audit&amp;VAR:KEY=DGFMNEBENY&amp;VAR:QUERY=RkZfRUJJVERBX0lCKCdMVE1TJyw0MDAyOSk=&amp;WINDOW=FIRST_POPUP&amp;HEIGHT=450&amp;WIDTH=450&amp;START_MA","XIMIZED=FALSE&amp;VAR:CALENDAR=US&amp;VAR:SYMBOL=37183T10&amp;VAR:INDEX=0"}</definedName>
    <definedName name="_3857__FDSAUDITLINK__" localSheetId="6" hidden="1">{"fdsup://directions/FAT Viewer?action=UPDATE&amp;creator=factset&amp;DYN_ARGS=TRUE&amp;DOC_NAME=FAT:FQL_AUDITING_CLIENT_TEMPLATE.FAT&amp;display_string=Audit&amp;VAR:KEY=XKJSZSJOZO&amp;VAR:QUERY=RkZfRUJJVERBX0lCKCdMVE1TJyw0MDAyOCk=&amp;WINDOW=FIRST_POPUP&amp;HEIGHT=450&amp;WIDTH=450&amp;START_MA","XIMIZED=FALSE&amp;VAR:CALENDAR=US&amp;VAR:SYMBOL=37183T10&amp;VAR:INDEX=0"}</definedName>
    <definedName name="_3857__FDSAUDITLINK__" hidden="1">{"fdsup://directions/FAT Viewer?action=UPDATE&amp;creator=factset&amp;DYN_ARGS=TRUE&amp;DOC_NAME=FAT:FQL_AUDITING_CLIENT_TEMPLATE.FAT&amp;display_string=Audit&amp;VAR:KEY=XKJSZSJOZO&amp;VAR:QUERY=RkZfRUJJVERBX0lCKCdMVE1TJyw0MDAyOCk=&amp;WINDOW=FIRST_POPUP&amp;HEIGHT=450&amp;WIDTH=450&amp;START_MA","XIMIZED=FALSE&amp;VAR:CALENDAR=US&amp;VAR:SYMBOL=37183T10&amp;VAR:INDEX=0"}</definedName>
    <definedName name="_3858__FDSAUDITLINK__" localSheetId="6" hidden="1">{"fdsup://directions/FAT Viewer?action=UPDATE&amp;creator=factset&amp;DYN_ARGS=TRUE&amp;DOC_NAME=FAT:FQL_AUDITING_CLIENT_TEMPLATE.FAT&amp;display_string=Audit&amp;VAR:KEY=DGTQJOBGZK&amp;VAR:QUERY=RkZfRUJJVERBX0lCKCdMVE1TJyw0MDAyNyk=&amp;WINDOW=FIRST_POPUP&amp;HEIGHT=450&amp;WIDTH=450&amp;START_MA","XIMIZED=FALSE&amp;VAR:CALENDAR=US&amp;VAR:SYMBOL=37183T10&amp;VAR:INDEX=0"}</definedName>
    <definedName name="_3858__FDSAUDITLINK__" hidden="1">{"fdsup://directions/FAT Viewer?action=UPDATE&amp;creator=factset&amp;DYN_ARGS=TRUE&amp;DOC_NAME=FAT:FQL_AUDITING_CLIENT_TEMPLATE.FAT&amp;display_string=Audit&amp;VAR:KEY=DGTQJOBGZK&amp;VAR:QUERY=RkZfRUJJVERBX0lCKCdMVE1TJyw0MDAyNyk=&amp;WINDOW=FIRST_POPUP&amp;HEIGHT=450&amp;WIDTH=450&amp;START_MA","XIMIZED=FALSE&amp;VAR:CALENDAR=US&amp;VAR:SYMBOL=37183T10&amp;VAR:INDEX=0"}</definedName>
    <definedName name="_3859__FDSAUDITLINK__" localSheetId="6" hidden="1">{"fdsup://directions/FAT Viewer?action=UPDATE&amp;creator=factset&amp;DYN_ARGS=TRUE&amp;DOC_NAME=FAT:FQL_AUDITING_CLIENT_TEMPLATE.FAT&amp;display_string=Audit&amp;VAR:KEY=NENCBYPUVE&amp;VAR:QUERY=RkZfRUJJVERBX0lCKCdMVE1TJyw0MDAyNik=&amp;WINDOW=FIRST_POPUP&amp;HEIGHT=450&amp;WIDTH=450&amp;START_MA","XIMIZED=FALSE&amp;VAR:CALENDAR=US&amp;VAR:SYMBOL=37183T10&amp;VAR:INDEX=0"}</definedName>
    <definedName name="_3859__FDSAUDITLINK__" hidden="1">{"fdsup://directions/FAT Viewer?action=UPDATE&amp;creator=factset&amp;DYN_ARGS=TRUE&amp;DOC_NAME=FAT:FQL_AUDITING_CLIENT_TEMPLATE.FAT&amp;display_string=Audit&amp;VAR:KEY=NENCBYPUVE&amp;VAR:QUERY=RkZfRUJJVERBX0lCKCdMVE1TJyw0MDAyNik=&amp;WINDOW=FIRST_POPUP&amp;HEIGHT=450&amp;WIDTH=450&amp;START_MA","XIMIZED=FALSE&amp;VAR:CALENDAR=US&amp;VAR:SYMBOL=37183T10&amp;VAR:INDEX=0"}</definedName>
    <definedName name="_386__FDSAUDITLINK__" localSheetId="6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6__FDSAUDITLINK__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60__FDSAUDITLINK__" localSheetId="6" hidden="1">{"fdsup://directions/FAT Viewer?action=UPDATE&amp;creator=factset&amp;DYN_ARGS=TRUE&amp;DOC_NAME=FAT:FQL_AUDITING_CLIENT_TEMPLATE.FAT&amp;display_string=Audit&amp;VAR:KEY=RCFWRGBIDW&amp;VAR:QUERY=RkZfRUJJVERBX0lCKCdMVE1TJyw0MDAyNSk=&amp;WINDOW=FIRST_POPUP&amp;HEIGHT=450&amp;WIDTH=450&amp;START_MA","XIMIZED=FALSE&amp;VAR:CALENDAR=US&amp;VAR:SYMBOL=37183T10&amp;VAR:INDEX=0"}</definedName>
    <definedName name="_3860__FDSAUDITLINK__" hidden="1">{"fdsup://directions/FAT Viewer?action=UPDATE&amp;creator=factset&amp;DYN_ARGS=TRUE&amp;DOC_NAME=FAT:FQL_AUDITING_CLIENT_TEMPLATE.FAT&amp;display_string=Audit&amp;VAR:KEY=RCFWRGBIDW&amp;VAR:QUERY=RkZfRUJJVERBX0lCKCdMVE1TJyw0MDAyNSk=&amp;WINDOW=FIRST_POPUP&amp;HEIGHT=450&amp;WIDTH=450&amp;START_MA","XIMIZED=FALSE&amp;VAR:CALENDAR=US&amp;VAR:SYMBOL=37183T10&amp;VAR:INDEX=0"}</definedName>
    <definedName name="_3861__FDSAUDITLINK__" localSheetId="6" hidden="1">{"fdsup://directions/FAT Viewer?action=UPDATE&amp;creator=factset&amp;DYN_ARGS=TRUE&amp;DOC_NAME=FAT:FQL_AUDITING_CLIENT_TEMPLATE.FAT&amp;display_string=Audit&amp;VAR:KEY=LSLEJWVSVS&amp;VAR:QUERY=RkZfRUJJVERBX0lCKCdMVE1TJyw0MDAyNCk=&amp;WINDOW=FIRST_POPUP&amp;HEIGHT=450&amp;WIDTH=450&amp;START_MA","XIMIZED=FALSE&amp;VAR:CALENDAR=US&amp;VAR:SYMBOL=37183T10&amp;VAR:INDEX=0"}</definedName>
    <definedName name="_3861__FDSAUDITLINK__" hidden="1">{"fdsup://directions/FAT Viewer?action=UPDATE&amp;creator=factset&amp;DYN_ARGS=TRUE&amp;DOC_NAME=FAT:FQL_AUDITING_CLIENT_TEMPLATE.FAT&amp;display_string=Audit&amp;VAR:KEY=LSLEJWVSVS&amp;VAR:QUERY=RkZfRUJJVERBX0lCKCdMVE1TJyw0MDAyNCk=&amp;WINDOW=FIRST_POPUP&amp;HEIGHT=450&amp;WIDTH=450&amp;START_MA","XIMIZED=FALSE&amp;VAR:CALENDAR=US&amp;VAR:SYMBOL=37183T10&amp;VAR:INDEX=0"}</definedName>
    <definedName name="_3862__FDSAUDITLINK__" localSheetId="6" hidden="1">{"fdsup://directions/FAT Viewer?action=UPDATE&amp;creator=factset&amp;DYN_ARGS=TRUE&amp;DOC_NAME=FAT:FQL_AUDITING_CLIENT_TEMPLATE.FAT&amp;display_string=Audit&amp;VAR:KEY=JIPWNQPOPO&amp;VAR:QUERY=RkZfRUJJVERBX0lCKCdMVE1TJyw0MDAyMyk=&amp;WINDOW=FIRST_POPUP&amp;HEIGHT=450&amp;WIDTH=450&amp;START_MA","XIMIZED=FALSE&amp;VAR:CALENDAR=US&amp;VAR:SYMBOL=37183T10&amp;VAR:INDEX=0"}</definedName>
    <definedName name="_3862__FDSAUDITLINK__" hidden="1">{"fdsup://directions/FAT Viewer?action=UPDATE&amp;creator=factset&amp;DYN_ARGS=TRUE&amp;DOC_NAME=FAT:FQL_AUDITING_CLIENT_TEMPLATE.FAT&amp;display_string=Audit&amp;VAR:KEY=JIPWNQPOPO&amp;VAR:QUERY=RkZfRUJJVERBX0lCKCdMVE1TJyw0MDAyMyk=&amp;WINDOW=FIRST_POPUP&amp;HEIGHT=450&amp;WIDTH=450&amp;START_MA","XIMIZED=FALSE&amp;VAR:CALENDAR=US&amp;VAR:SYMBOL=37183T10&amp;VAR:INDEX=0"}</definedName>
    <definedName name="_3863__FDSAUDITLINK__" localSheetId="6" hidden="1">{"fdsup://directions/FAT Viewer?action=UPDATE&amp;creator=factset&amp;DYN_ARGS=TRUE&amp;DOC_NAME=FAT:FQL_AUDITING_CLIENT_TEMPLATE.FAT&amp;display_string=Audit&amp;VAR:KEY=LWFYDAJEDY&amp;VAR:QUERY=RkZfRUJJVERBX0lCKCdMVE1TJyw0MDAyMik=&amp;WINDOW=FIRST_POPUP&amp;HEIGHT=450&amp;WIDTH=450&amp;START_MA","XIMIZED=FALSE&amp;VAR:CALENDAR=US&amp;VAR:SYMBOL=37183T10&amp;VAR:INDEX=0"}</definedName>
    <definedName name="_3863__FDSAUDITLINK__" hidden="1">{"fdsup://directions/FAT Viewer?action=UPDATE&amp;creator=factset&amp;DYN_ARGS=TRUE&amp;DOC_NAME=FAT:FQL_AUDITING_CLIENT_TEMPLATE.FAT&amp;display_string=Audit&amp;VAR:KEY=LWFYDAJEDY&amp;VAR:QUERY=RkZfRUJJVERBX0lCKCdMVE1TJyw0MDAyMik=&amp;WINDOW=FIRST_POPUP&amp;HEIGHT=450&amp;WIDTH=450&amp;START_MA","XIMIZED=FALSE&amp;VAR:CALENDAR=US&amp;VAR:SYMBOL=37183T10&amp;VAR:INDEX=0"}</definedName>
    <definedName name="_3864__FDSAUDITLINK__" localSheetId="6" hidden="1">{"fdsup://directions/FAT Viewer?action=UPDATE&amp;creator=factset&amp;DYN_ARGS=TRUE&amp;DOC_NAME=FAT:FQL_AUDITING_CLIENT_TEMPLATE.FAT&amp;display_string=Audit&amp;VAR:KEY=TYZIHMJSHI&amp;VAR:QUERY=RkZfRUJJVERBX0lCKCdMVE1TJyw0MDAyMSk=&amp;WINDOW=FIRST_POPUP&amp;HEIGHT=450&amp;WIDTH=450&amp;START_MA","XIMIZED=FALSE&amp;VAR:CALENDAR=US&amp;VAR:SYMBOL=37183T10&amp;VAR:INDEX=0"}</definedName>
    <definedName name="_3864__FDSAUDITLINK__" hidden="1">{"fdsup://directions/FAT Viewer?action=UPDATE&amp;creator=factset&amp;DYN_ARGS=TRUE&amp;DOC_NAME=FAT:FQL_AUDITING_CLIENT_TEMPLATE.FAT&amp;display_string=Audit&amp;VAR:KEY=TYZIHMJSHI&amp;VAR:QUERY=RkZfRUJJVERBX0lCKCdMVE1TJyw0MDAyMSk=&amp;WINDOW=FIRST_POPUP&amp;HEIGHT=450&amp;WIDTH=450&amp;START_MA","XIMIZED=FALSE&amp;VAR:CALENDAR=US&amp;VAR:SYMBOL=37183T10&amp;VAR:INDEX=0"}</definedName>
    <definedName name="_3865__FDSAUDITLINK__" localSheetId="6" hidden="1">{"fdsup://directions/FAT Viewer?action=UPDATE&amp;creator=factset&amp;DYN_ARGS=TRUE&amp;DOC_NAME=FAT:FQL_AUDITING_CLIENT_TEMPLATE.FAT&amp;display_string=Audit&amp;VAR:KEY=ZMFEDMRYPI&amp;VAR:QUERY=RkZfRUJJVERBX0lCKCdMVE1TJyw0MDAyMCk=&amp;WINDOW=FIRST_POPUP&amp;HEIGHT=450&amp;WIDTH=450&amp;START_MA","XIMIZED=FALSE&amp;VAR:CALENDAR=US&amp;VAR:SYMBOL=37183T10&amp;VAR:INDEX=0"}</definedName>
    <definedName name="_3865__FDSAUDITLINK__" hidden="1">{"fdsup://directions/FAT Viewer?action=UPDATE&amp;creator=factset&amp;DYN_ARGS=TRUE&amp;DOC_NAME=FAT:FQL_AUDITING_CLIENT_TEMPLATE.FAT&amp;display_string=Audit&amp;VAR:KEY=ZMFEDMRYPI&amp;VAR:QUERY=RkZfRUJJVERBX0lCKCdMVE1TJyw0MDAyMCk=&amp;WINDOW=FIRST_POPUP&amp;HEIGHT=450&amp;WIDTH=450&amp;START_MA","XIMIZED=FALSE&amp;VAR:CALENDAR=US&amp;VAR:SYMBOL=37183T10&amp;VAR:INDEX=0"}</definedName>
    <definedName name="_3866__FDSAUDITLINK__" localSheetId="6" hidden="1">{"fdsup://directions/FAT Viewer?action=UPDATE&amp;creator=factset&amp;DYN_ARGS=TRUE&amp;DOC_NAME=FAT:FQL_AUDITING_CLIENT_TEMPLATE.FAT&amp;display_string=Audit&amp;VAR:KEY=FOZSNKTMBE&amp;VAR:QUERY=RkZfRUJJVERBX0lCKCdMVE1TJyw0MDAxOSk=&amp;WINDOW=FIRST_POPUP&amp;HEIGHT=450&amp;WIDTH=450&amp;START_MA","XIMIZED=FALSE&amp;VAR:CALENDAR=US&amp;VAR:SYMBOL=37183T10&amp;VAR:INDEX=0"}</definedName>
    <definedName name="_3866__FDSAUDITLINK__" hidden="1">{"fdsup://directions/FAT Viewer?action=UPDATE&amp;creator=factset&amp;DYN_ARGS=TRUE&amp;DOC_NAME=FAT:FQL_AUDITING_CLIENT_TEMPLATE.FAT&amp;display_string=Audit&amp;VAR:KEY=FOZSNKTMBE&amp;VAR:QUERY=RkZfRUJJVERBX0lCKCdMVE1TJyw0MDAxOSk=&amp;WINDOW=FIRST_POPUP&amp;HEIGHT=450&amp;WIDTH=450&amp;START_MA","XIMIZED=FALSE&amp;VAR:CALENDAR=US&amp;VAR:SYMBOL=37183T10&amp;VAR:INDEX=0"}</definedName>
    <definedName name="_3867__FDSAUDITLINK__" localSheetId="6" hidden="1">{"fdsup://directions/FAT Viewer?action=UPDATE&amp;creator=factset&amp;DYN_ARGS=TRUE&amp;DOC_NAME=FAT:FQL_AUDITING_CLIENT_TEMPLATE.FAT&amp;display_string=Audit&amp;VAR:KEY=FWDMNMBSHU&amp;VAR:QUERY=RkZfRUJJVERBX0lCKCdMVE1TJyw0MDAxOCk=&amp;WINDOW=FIRST_POPUP&amp;HEIGHT=450&amp;WIDTH=450&amp;START_MA","XIMIZED=FALSE&amp;VAR:CALENDAR=US&amp;VAR:SYMBOL=37183T10&amp;VAR:INDEX=0"}</definedName>
    <definedName name="_3867__FDSAUDITLINK__" hidden="1">{"fdsup://directions/FAT Viewer?action=UPDATE&amp;creator=factset&amp;DYN_ARGS=TRUE&amp;DOC_NAME=FAT:FQL_AUDITING_CLIENT_TEMPLATE.FAT&amp;display_string=Audit&amp;VAR:KEY=FWDMNMBSHU&amp;VAR:QUERY=RkZfRUJJVERBX0lCKCdMVE1TJyw0MDAxOCk=&amp;WINDOW=FIRST_POPUP&amp;HEIGHT=450&amp;WIDTH=450&amp;START_MA","XIMIZED=FALSE&amp;VAR:CALENDAR=US&amp;VAR:SYMBOL=37183T10&amp;VAR:INDEX=0"}</definedName>
    <definedName name="_3868__FDSAUDITLINK__" localSheetId="6" hidden="1">{"fdsup://directions/FAT Viewer?action=UPDATE&amp;creator=factset&amp;DYN_ARGS=TRUE&amp;DOC_NAME=FAT:FQL_AUDITING_CLIENT_TEMPLATE.FAT&amp;display_string=Audit&amp;VAR:KEY=RWPWHOBIRW&amp;VAR:QUERY=RkZfRUJJVERBX0lCKCdMVE1TJyw0MDAxNyk=&amp;WINDOW=FIRST_POPUP&amp;HEIGHT=450&amp;WIDTH=450&amp;START_MA","XIMIZED=FALSE&amp;VAR:CALENDAR=US&amp;VAR:SYMBOL=37183T10&amp;VAR:INDEX=0"}</definedName>
    <definedName name="_3868__FDSAUDITLINK__" hidden="1">{"fdsup://directions/FAT Viewer?action=UPDATE&amp;creator=factset&amp;DYN_ARGS=TRUE&amp;DOC_NAME=FAT:FQL_AUDITING_CLIENT_TEMPLATE.FAT&amp;display_string=Audit&amp;VAR:KEY=RWPWHOBIRW&amp;VAR:QUERY=RkZfRUJJVERBX0lCKCdMVE1TJyw0MDAxNyk=&amp;WINDOW=FIRST_POPUP&amp;HEIGHT=450&amp;WIDTH=450&amp;START_MA","XIMIZED=FALSE&amp;VAR:CALENDAR=US&amp;VAR:SYMBOL=37183T10&amp;VAR:INDEX=0"}</definedName>
    <definedName name="_3869__FDSAUDITLINK__" localSheetId="6" hidden="1">{"fdsup://directions/FAT Viewer?action=UPDATE&amp;creator=factset&amp;DYN_ARGS=TRUE&amp;DOC_NAME=FAT:FQL_AUDITING_CLIENT_TEMPLATE.FAT&amp;display_string=Audit&amp;VAR:KEY=JYNEHWNMJW&amp;VAR:QUERY=RkZfRUJJVERBX0lCKCdMVE1TJyw0MDAxNik=&amp;WINDOW=FIRST_POPUP&amp;HEIGHT=450&amp;WIDTH=450&amp;START_MA","XIMIZED=FALSE&amp;VAR:CALENDAR=US&amp;VAR:SYMBOL=37183T10&amp;VAR:INDEX=0"}</definedName>
    <definedName name="_3869__FDSAUDITLINK__" hidden="1">{"fdsup://directions/FAT Viewer?action=UPDATE&amp;creator=factset&amp;DYN_ARGS=TRUE&amp;DOC_NAME=FAT:FQL_AUDITING_CLIENT_TEMPLATE.FAT&amp;display_string=Audit&amp;VAR:KEY=JYNEHWNMJW&amp;VAR:QUERY=RkZfRUJJVERBX0lCKCdMVE1TJyw0MDAxNik=&amp;WINDOW=FIRST_POPUP&amp;HEIGHT=450&amp;WIDTH=450&amp;START_MA","XIMIZED=FALSE&amp;VAR:CALENDAR=US&amp;VAR:SYMBOL=37183T10&amp;VAR:INDEX=0"}</definedName>
    <definedName name="_387__FDSAUDITLINK__" localSheetId="6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7__FDSAUDITLINK__" hidden="1">{"fdsup://directions/FAT%20Viewer?VAR:PED=LTM&amp;VAR:AUDIT_MODE=SUMMARY&amp;VAR:PERIOD=FIXED&amp;VAR:AUDIT_ID=00000117&amp;VAR:DATE=20090130&amp;action=UPDATE&amp;creator=factset&amp;DOC_NAME=FAT:FMA_audit_SUMMARY.fat&amp;DISPLAY_STRING=Display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70__FDSAUDITLINK__" localSheetId="6" hidden="1">{"fdsup://directions/FAT Viewer?action=UPDATE&amp;creator=factset&amp;DYN_ARGS=TRUE&amp;DOC_NAME=FAT:FQL_AUDITING_CLIENT_TEMPLATE.FAT&amp;display_string=Audit&amp;VAR:KEY=VGJKBCDKVW&amp;VAR:QUERY=RkZfRUJJVERBX0lCKCdMVE1TJyw0MDAxNSk=&amp;WINDOW=FIRST_POPUP&amp;HEIGHT=450&amp;WIDTH=450&amp;START_MA","XIMIZED=FALSE&amp;VAR:CALENDAR=US&amp;VAR:SYMBOL=37183T10&amp;VAR:INDEX=0"}</definedName>
    <definedName name="_3870__FDSAUDITLINK__" hidden="1">{"fdsup://directions/FAT Viewer?action=UPDATE&amp;creator=factset&amp;DYN_ARGS=TRUE&amp;DOC_NAME=FAT:FQL_AUDITING_CLIENT_TEMPLATE.FAT&amp;display_string=Audit&amp;VAR:KEY=VGJKBCDKVW&amp;VAR:QUERY=RkZfRUJJVERBX0lCKCdMVE1TJyw0MDAxNSk=&amp;WINDOW=FIRST_POPUP&amp;HEIGHT=450&amp;WIDTH=450&amp;START_MA","XIMIZED=FALSE&amp;VAR:CALENDAR=US&amp;VAR:SYMBOL=37183T10&amp;VAR:INDEX=0"}</definedName>
    <definedName name="_3871__FDSAUDITLINK__" localSheetId="6" hidden="1">{"fdsup://directions/FAT Viewer?action=UPDATE&amp;creator=factset&amp;DYN_ARGS=TRUE&amp;DOC_NAME=FAT:FQL_AUDITING_CLIENT_TEMPLATE.FAT&amp;display_string=Audit&amp;VAR:KEY=TUDGTQTQTE&amp;VAR:QUERY=RkZfRUJJVERBX0lCKCdMVE1TJyw0MDAxNCk=&amp;WINDOW=FIRST_POPUP&amp;HEIGHT=450&amp;WIDTH=450&amp;START_MA","XIMIZED=FALSE&amp;VAR:CALENDAR=US&amp;VAR:SYMBOL=37183T10&amp;VAR:INDEX=0"}</definedName>
    <definedName name="_3871__FDSAUDITLINK__" hidden="1">{"fdsup://directions/FAT Viewer?action=UPDATE&amp;creator=factset&amp;DYN_ARGS=TRUE&amp;DOC_NAME=FAT:FQL_AUDITING_CLIENT_TEMPLATE.FAT&amp;display_string=Audit&amp;VAR:KEY=TUDGTQTQTE&amp;VAR:QUERY=RkZfRUJJVERBX0lCKCdMVE1TJyw0MDAxNCk=&amp;WINDOW=FIRST_POPUP&amp;HEIGHT=450&amp;WIDTH=450&amp;START_MA","XIMIZED=FALSE&amp;VAR:CALENDAR=US&amp;VAR:SYMBOL=37183T10&amp;VAR:INDEX=0"}</definedName>
    <definedName name="_3872__FDSAUDITLINK__" localSheetId="6" hidden="1">{"fdsup://directions/FAT Viewer?action=UPDATE&amp;creator=factset&amp;DYN_ARGS=TRUE&amp;DOC_NAME=FAT:FQL_AUDITING_CLIENT_TEMPLATE.FAT&amp;display_string=Audit&amp;VAR:KEY=LKRORWDKTK&amp;VAR:QUERY=RkZfRUJJVERBX0lCKCdMVE1TJyw0MDAxMyk=&amp;WINDOW=FIRST_POPUP&amp;HEIGHT=450&amp;WIDTH=450&amp;START_MA","XIMIZED=FALSE&amp;VAR:CALENDAR=US&amp;VAR:SYMBOL=37183T10&amp;VAR:INDEX=0"}</definedName>
    <definedName name="_3872__FDSAUDITLINK__" hidden="1">{"fdsup://directions/FAT Viewer?action=UPDATE&amp;creator=factset&amp;DYN_ARGS=TRUE&amp;DOC_NAME=FAT:FQL_AUDITING_CLIENT_TEMPLATE.FAT&amp;display_string=Audit&amp;VAR:KEY=LKRORWDKTK&amp;VAR:QUERY=RkZfRUJJVERBX0lCKCdMVE1TJyw0MDAxMyk=&amp;WINDOW=FIRST_POPUP&amp;HEIGHT=450&amp;WIDTH=450&amp;START_MA","XIMIZED=FALSE&amp;VAR:CALENDAR=US&amp;VAR:SYMBOL=37183T10&amp;VAR:INDEX=0"}</definedName>
    <definedName name="_3873__FDSAUDITLINK__" localSheetId="6" hidden="1">{"fdsup://directions/FAT Viewer?action=UPDATE&amp;creator=factset&amp;DYN_ARGS=TRUE&amp;DOC_NAME=FAT:FQL_AUDITING_CLIENT_TEMPLATE.FAT&amp;display_string=Audit&amp;VAR:KEY=VCLUXATULM&amp;VAR:QUERY=RkZfRUJJVERBX0lCKCdMVE1TJyw0MDAxMik=&amp;WINDOW=FIRST_POPUP&amp;HEIGHT=450&amp;WIDTH=450&amp;START_MA","XIMIZED=FALSE&amp;VAR:CALENDAR=US&amp;VAR:SYMBOL=37183T10&amp;VAR:INDEX=0"}</definedName>
    <definedName name="_3873__FDSAUDITLINK__" hidden="1">{"fdsup://directions/FAT Viewer?action=UPDATE&amp;creator=factset&amp;DYN_ARGS=TRUE&amp;DOC_NAME=FAT:FQL_AUDITING_CLIENT_TEMPLATE.FAT&amp;display_string=Audit&amp;VAR:KEY=VCLUXATULM&amp;VAR:QUERY=RkZfRUJJVERBX0lCKCdMVE1TJyw0MDAxMik=&amp;WINDOW=FIRST_POPUP&amp;HEIGHT=450&amp;WIDTH=450&amp;START_MA","XIMIZED=FALSE&amp;VAR:CALENDAR=US&amp;VAR:SYMBOL=37183T10&amp;VAR:INDEX=0"}</definedName>
    <definedName name="_3874__FDSAUDITLINK__" localSheetId="6" hidden="1">{"fdsup://directions/FAT Viewer?action=UPDATE&amp;creator=factset&amp;DYN_ARGS=TRUE&amp;DOC_NAME=FAT:FQL_AUDITING_CLIENT_TEMPLATE.FAT&amp;display_string=Audit&amp;VAR:KEY=HEROPIVGXM&amp;VAR:QUERY=RkZfRUJJVERBX0lCKCdMVE1TJyw0MDAxMSk=&amp;WINDOW=FIRST_POPUP&amp;HEIGHT=450&amp;WIDTH=450&amp;START_MA","XIMIZED=FALSE&amp;VAR:CALENDAR=US&amp;VAR:SYMBOL=37183T10&amp;VAR:INDEX=0"}</definedName>
    <definedName name="_3874__FDSAUDITLINK__" hidden="1">{"fdsup://directions/FAT Viewer?action=UPDATE&amp;creator=factset&amp;DYN_ARGS=TRUE&amp;DOC_NAME=FAT:FQL_AUDITING_CLIENT_TEMPLATE.FAT&amp;display_string=Audit&amp;VAR:KEY=HEROPIVGXM&amp;VAR:QUERY=RkZfRUJJVERBX0lCKCdMVE1TJyw0MDAxMSk=&amp;WINDOW=FIRST_POPUP&amp;HEIGHT=450&amp;WIDTH=450&amp;START_MA","XIMIZED=FALSE&amp;VAR:CALENDAR=US&amp;VAR:SYMBOL=37183T10&amp;VAR:INDEX=0"}</definedName>
    <definedName name="_3875__FDSAUDITLINK__" localSheetId="6" hidden="1">{"fdsup://directions/FAT Viewer?action=UPDATE&amp;creator=factset&amp;DYN_ARGS=TRUE&amp;DOC_NAME=FAT:FQL_AUDITING_CLIENT_TEMPLATE.FAT&amp;display_string=Audit&amp;VAR:KEY=DQDOPYLULM&amp;VAR:QUERY=RkZfRUJJVERBX0lCKCdMVE1TJyw0MDAxMCk=&amp;WINDOW=FIRST_POPUP&amp;HEIGHT=450&amp;WIDTH=450&amp;START_MA","XIMIZED=FALSE&amp;VAR:CALENDAR=US&amp;VAR:SYMBOL=37183T10&amp;VAR:INDEX=0"}</definedName>
    <definedName name="_3875__FDSAUDITLINK__" hidden="1">{"fdsup://directions/FAT Viewer?action=UPDATE&amp;creator=factset&amp;DYN_ARGS=TRUE&amp;DOC_NAME=FAT:FQL_AUDITING_CLIENT_TEMPLATE.FAT&amp;display_string=Audit&amp;VAR:KEY=DQDOPYLULM&amp;VAR:QUERY=RkZfRUJJVERBX0lCKCdMVE1TJyw0MDAxMCk=&amp;WINDOW=FIRST_POPUP&amp;HEIGHT=450&amp;WIDTH=450&amp;START_MA","XIMIZED=FALSE&amp;VAR:CALENDAR=US&amp;VAR:SYMBOL=37183T10&amp;VAR:INDEX=0"}</definedName>
    <definedName name="_3876__FDSAUDITLINK__" localSheetId="6" hidden="1">{"fdsup://directions/FAT Viewer?action=UPDATE&amp;creator=factset&amp;DYN_ARGS=TRUE&amp;DOC_NAME=FAT:FQL_AUDITING_CLIENT_TEMPLATE.FAT&amp;display_string=Audit&amp;VAR:KEY=TYDMNOFGBE&amp;VAR:QUERY=RkZfRUJJVERBX0lCKCdMVE1TJyw0MDAwOSk=&amp;WINDOW=FIRST_POPUP&amp;HEIGHT=450&amp;WIDTH=450&amp;START_MA","XIMIZED=FALSE&amp;VAR:CALENDAR=US&amp;VAR:SYMBOL=37183T10&amp;VAR:INDEX=0"}</definedName>
    <definedName name="_3876__FDSAUDITLINK__" hidden="1">{"fdsup://directions/FAT Viewer?action=UPDATE&amp;creator=factset&amp;DYN_ARGS=TRUE&amp;DOC_NAME=FAT:FQL_AUDITING_CLIENT_TEMPLATE.FAT&amp;display_string=Audit&amp;VAR:KEY=TYDMNOFGBE&amp;VAR:QUERY=RkZfRUJJVERBX0lCKCdMVE1TJyw0MDAwOSk=&amp;WINDOW=FIRST_POPUP&amp;HEIGHT=450&amp;WIDTH=450&amp;START_MA","XIMIZED=FALSE&amp;VAR:CALENDAR=US&amp;VAR:SYMBOL=37183T10&amp;VAR:INDEX=0"}</definedName>
    <definedName name="_3877__FDSAUDITLINK__" localSheetId="6" hidden="1">{"fdsup://directions/FAT Viewer?action=UPDATE&amp;creator=factset&amp;DYN_ARGS=TRUE&amp;DOC_NAME=FAT:FQL_AUDITING_CLIENT_TEMPLATE.FAT&amp;display_string=Audit&amp;VAR:KEY=BONEDWPMPC&amp;VAR:QUERY=RkZfRUJJVERBX0lCKCdMVE1TJyw0MDAwOCk=&amp;WINDOW=FIRST_POPUP&amp;HEIGHT=450&amp;WIDTH=450&amp;START_MA","XIMIZED=FALSE&amp;VAR:CALENDAR=US&amp;VAR:SYMBOL=37183T10&amp;VAR:INDEX=0"}</definedName>
    <definedName name="_3877__FDSAUDITLINK__" hidden="1">{"fdsup://directions/FAT Viewer?action=UPDATE&amp;creator=factset&amp;DYN_ARGS=TRUE&amp;DOC_NAME=FAT:FQL_AUDITING_CLIENT_TEMPLATE.FAT&amp;display_string=Audit&amp;VAR:KEY=BONEDWPMPC&amp;VAR:QUERY=RkZfRUJJVERBX0lCKCdMVE1TJyw0MDAwOCk=&amp;WINDOW=FIRST_POPUP&amp;HEIGHT=450&amp;WIDTH=450&amp;START_MA","XIMIZED=FALSE&amp;VAR:CALENDAR=US&amp;VAR:SYMBOL=37183T10&amp;VAR:INDEX=0"}</definedName>
    <definedName name="_3878__FDSAUDITLINK__" localSheetId="6" hidden="1">{"fdsup://directions/FAT Viewer?action=UPDATE&amp;creator=factset&amp;DYN_ARGS=TRUE&amp;DOC_NAME=FAT:FQL_AUDITING_CLIENT_TEMPLATE.FAT&amp;display_string=Audit&amp;VAR:KEY=XOJUNOHWPY&amp;VAR:QUERY=RkZfRUJJVERBX0lCKCdMVE1TJyw0MDAwNyk=&amp;WINDOW=FIRST_POPUP&amp;HEIGHT=450&amp;WIDTH=450&amp;START_MA","XIMIZED=FALSE&amp;VAR:CALENDAR=US&amp;VAR:SYMBOL=37183T10&amp;VAR:INDEX=0"}</definedName>
    <definedName name="_3878__FDSAUDITLINK__" hidden="1">{"fdsup://directions/FAT Viewer?action=UPDATE&amp;creator=factset&amp;DYN_ARGS=TRUE&amp;DOC_NAME=FAT:FQL_AUDITING_CLIENT_TEMPLATE.FAT&amp;display_string=Audit&amp;VAR:KEY=XOJUNOHWPY&amp;VAR:QUERY=RkZfRUJJVERBX0lCKCdMVE1TJyw0MDAwNyk=&amp;WINDOW=FIRST_POPUP&amp;HEIGHT=450&amp;WIDTH=450&amp;START_MA","XIMIZED=FALSE&amp;VAR:CALENDAR=US&amp;VAR:SYMBOL=37183T10&amp;VAR:INDEX=0"}</definedName>
    <definedName name="_3879__FDSAUDITLINK__" localSheetId="6" hidden="1">{"fdsup://directions/FAT Viewer?action=UPDATE&amp;creator=factset&amp;DYN_ARGS=TRUE&amp;DOC_NAME=FAT:FQL_AUDITING_CLIENT_TEMPLATE.FAT&amp;display_string=Audit&amp;VAR:KEY=BQNAXGNWPY&amp;VAR:QUERY=RkZfRUJJVERBX0lCKCdMVE1TJyw0MDAwNik=&amp;WINDOW=FIRST_POPUP&amp;HEIGHT=450&amp;WIDTH=450&amp;START_MA","XIMIZED=FALSE&amp;VAR:CALENDAR=US&amp;VAR:SYMBOL=37183T10&amp;VAR:INDEX=0"}</definedName>
    <definedName name="_3879__FDSAUDITLINK__" hidden="1">{"fdsup://directions/FAT Viewer?action=UPDATE&amp;creator=factset&amp;DYN_ARGS=TRUE&amp;DOC_NAME=FAT:FQL_AUDITING_CLIENT_TEMPLATE.FAT&amp;display_string=Audit&amp;VAR:KEY=BQNAXGNWPY&amp;VAR:QUERY=RkZfRUJJVERBX0lCKCdMVE1TJyw0MDAwNik=&amp;WINDOW=FIRST_POPUP&amp;HEIGHT=450&amp;WIDTH=450&amp;START_MA","XIMIZED=FALSE&amp;VAR:CALENDAR=US&amp;VAR:SYMBOL=37183T10&amp;VAR:INDEX=0"}</definedName>
    <definedName name="_388__FDSAUDITLINK__" localSheetId="6" hidden="1">{"fdsup://directions/FAT%20Viewer?VAR:PED=LTM&amp;VAR:AUDIT_MODE=SUMMARY&amp;VAR:PERIOD=FIXED&amp;VAR:AUDIT_ID=00000117&amp;VAR:DATE=20090129&amp;action=UPDATE&amp;creator=factset&amp;DOC_NAME=FAT:FMA_audit_SUMMARY.fat&amp;DISPLAY_STRING=Display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8__FDSAUDITLINK__" hidden="1">{"fdsup://directions/FAT%20Viewer?VAR:PED=LTM&amp;VAR:AUDIT_MODE=SUMMARY&amp;VAR:PERIOD=FIXED&amp;VAR:AUDIT_ID=00000117&amp;VAR:DATE=20090129&amp;action=UPDATE&amp;creator=factset&amp;DOC_NAME=FAT:FMA_audit_SUMMARY.fat&amp;DISPLAY_STRING=Display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80__FDSAUDITLINK__" localSheetId="6" hidden="1">{"fdsup://directions/FAT Viewer?action=UPDATE&amp;creator=factset&amp;DYN_ARGS=TRUE&amp;DOC_NAME=FAT:FQL_AUDITING_CLIENT_TEMPLATE.FAT&amp;display_string=Audit&amp;VAR:KEY=DUTGNSRGPU&amp;VAR:QUERY=RkZfRUJJVERBX0lCKCdMVE1TJyw0MDAwNSk=&amp;WINDOW=FIRST_POPUP&amp;HEIGHT=450&amp;WIDTH=450&amp;START_MA","XIMIZED=FALSE&amp;VAR:CALENDAR=US&amp;VAR:SYMBOL=37183T10&amp;VAR:INDEX=0"}</definedName>
    <definedName name="_3880__FDSAUDITLINK__" hidden="1">{"fdsup://directions/FAT Viewer?action=UPDATE&amp;creator=factset&amp;DYN_ARGS=TRUE&amp;DOC_NAME=FAT:FQL_AUDITING_CLIENT_TEMPLATE.FAT&amp;display_string=Audit&amp;VAR:KEY=DUTGNSRGPU&amp;VAR:QUERY=RkZfRUJJVERBX0lCKCdMVE1TJyw0MDAwNSk=&amp;WINDOW=FIRST_POPUP&amp;HEIGHT=450&amp;WIDTH=450&amp;START_MA","XIMIZED=FALSE&amp;VAR:CALENDAR=US&amp;VAR:SYMBOL=37183T10&amp;VAR:INDEX=0"}</definedName>
    <definedName name="_3881__FDSAUDITLINK__" localSheetId="6" hidden="1">{"fdsup://directions/FAT Viewer?action=UPDATE&amp;creator=factset&amp;DYN_ARGS=TRUE&amp;DOC_NAME=FAT:FQL_AUDITING_CLIENT_TEMPLATE.FAT&amp;display_string=Audit&amp;VAR:KEY=TQREFABWFE&amp;VAR:QUERY=RkZfRUJJVERBX0lCKCdMVE1TJyw0MDAwNCk=&amp;WINDOW=FIRST_POPUP&amp;HEIGHT=450&amp;WIDTH=450&amp;START_MA","XIMIZED=FALSE&amp;VAR:CALENDAR=US&amp;VAR:SYMBOL=37183T10&amp;VAR:INDEX=0"}</definedName>
    <definedName name="_3881__FDSAUDITLINK__" hidden="1">{"fdsup://directions/FAT Viewer?action=UPDATE&amp;creator=factset&amp;DYN_ARGS=TRUE&amp;DOC_NAME=FAT:FQL_AUDITING_CLIENT_TEMPLATE.FAT&amp;display_string=Audit&amp;VAR:KEY=TQREFABWFE&amp;VAR:QUERY=RkZfRUJJVERBX0lCKCdMVE1TJyw0MDAwNCk=&amp;WINDOW=FIRST_POPUP&amp;HEIGHT=450&amp;WIDTH=450&amp;START_MA","XIMIZED=FALSE&amp;VAR:CALENDAR=US&amp;VAR:SYMBOL=37183T10&amp;VAR:INDEX=0"}</definedName>
    <definedName name="_3882__FDSAUDITLINK__" localSheetId="6" hidden="1">{"fdsup://directions/FAT Viewer?action=UPDATE&amp;creator=factset&amp;DYN_ARGS=TRUE&amp;DOC_NAME=FAT:FQL_AUDITING_CLIENT_TEMPLATE.FAT&amp;display_string=Audit&amp;VAR:KEY=FMBYTYZOXQ&amp;VAR:QUERY=RkZfRUJJVERBX0lCKCdMVE1TJyw0MDAwMyk=&amp;WINDOW=FIRST_POPUP&amp;HEIGHT=450&amp;WIDTH=450&amp;START_MA","XIMIZED=FALSE&amp;VAR:CALENDAR=US&amp;VAR:SYMBOL=37183T10&amp;VAR:INDEX=0"}</definedName>
    <definedName name="_3882__FDSAUDITLINK__" hidden="1">{"fdsup://directions/FAT Viewer?action=UPDATE&amp;creator=factset&amp;DYN_ARGS=TRUE&amp;DOC_NAME=FAT:FQL_AUDITING_CLIENT_TEMPLATE.FAT&amp;display_string=Audit&amp;VAR:KEY=FMBYTYZOXQ&amp;VAR:QUERY=RkZfRUJJVERBX0lCKCdMVE1TJyw0MDAwMyk=&amp;WINDOW=FIRST_POPUP&amp;HEIGHT=450&amp;WIDTH=450&amp;START_MA","XIMIZED=FALSE&amp;VAR:CALENDAR=US&amp;VAR:SYMBOL=37183T10&amp;VAR:INDEX=0"}</definedName>
    <definedName name="_3883__FDSAUDITLINK__" localSheetId="6" hidden="1">{"fdsup://directions/FAT Viewer?action=UPDATE&amp;creator=factset&amp;DYN_ARGS=TRUE&amp;DOC_NAME=FAT:FQL_AUDITING_CLIENT_TEMPLATE.FAT&amp;display_string=Audit&amp;VAR:KEY=BUNIRMJSLO&amp;VAR:QUERY=RkZfRUJJVERBX0lCKCdMVE1TJyw0MDAwMik=&amp;WINDOW=FIRST_POPUP&amp;HEIGHT=450&amp;WIDTH=450&amp;START_MA","XIMIZED=FALSE&amp;VAR:CALENDAR=US&amp;VAR:SYMBOL=37183T10&amp;VAR:INDEX=0"}</definedName>
    <definedName name="_3883__FDSAUDITLINK__" hidden="1">{"fdsup://directions/FAT Viewer?action=UPDATE&amp;creator=factset&amp;DYN_ARGS=TRUE&amp;DOC_NAME=FAT:FQL_AUDITING_CLIENT_TEMPLATE.FAT&amp;display_string=Audit&amp;VAR:KEY=BUNIRMJSLO&amp;VAR:QUERY=RkZfRUJJVERBX0lCKCdMVE1TJyw0MDAwMik=&amp;WINDOW=FIRST_POPUP&amp;HEIGHT=450&amp;WIDTH=450&amp;START_MA","XIMIZED=FALSE&amp;VAR:CALENDAR=US&amp;VAR:SYMBOL=37183T10&amp;VAR:INDEX=0"}</definedName>
    <definedName name="_3884__FDSAUDITLINK__" localSheetId="6" hidden="1">{"fdsup://directions/FAT Viewer?action=UPDATE&amp;creator=factset&amp;DYN_ARGS=TRUE&amp;DOC_NAME=FAT:FQL_AUDITING_CLIENT_TEMPLATE.FAT&amp;display_string=Audit&amp;VAR:KEY=HGBMTUHSZQ&amp;VAR:QUERY=RkZfRUJJVERBX0lCKCdMVE1TJyw0MDAwMSk=&amp;WINDOW=FIRST_POPUP&amp;HEIGHT=450&amp;WIDTH=450&amp;START_MA","XIMIZED=FALSE&amp;VAR:CALENDAR=US&amp;VAR:SYMBOL=37183T10&amp;VAR:INDEX=0"}</definedName>
    <definedName name="_3884__FDSAUDITLINK__" hidden="1">{"fdsup://directions/FAT Viewer?action=UPDATE&amp;creator=factset&amp;DYN_ARGS=TRUE&amp;DOC_NAME=FAT:FQL_AUDITING_CLIENT_TEMPLATE.FAT&amp;display_string=Audit&amp;VAR:KEY=HGBMTUHSZQ&amp;VAR:QUERY=RkZfRUJJVERBX0lCKCdMVE1TJyw0MDAwMSk=&amp;WINDOW=FIRST_POPUP&amp;HEIGHT=450&amp;WIDTH=450&amp;START_MA","XIMIZED=FALSE&amp;VAR:CALENDAR=US&amp;VAR:SYMBOL=37183T10&amp;VAR:INDEX=0"}</definedName>
    <definedName name="_3885__FDSAUDITLINK__" localSheetId="6" hidden="1">{"fdsup://directions/FAT Viewer?action=UPDATE&amp;creator=factset&amp;DYN_ARGS=TRUE&amp;DOC_NAME=FAT:FQL_AUDITING_CLIENT_TEMPLATE.FAT&amp;display_string=Audit&amp;VAR:KEY=FMXIBALGBY&amp;VAR:QUERY=RkZfRUJJVERBX0lCKCdMVE1TJyw0MDAwMCk=&amp;WINDOW=FIRST_POPUP&amp;HEIGHT=450&amp;WIDTH=450&amp;START_MA","XIMIZED=FALSE&amp;VAR:CALENDAR=US&amp;VAR:SYMBOL=37183T10&amp;VAR:INDEX=0"}</definedName>
    <definedName name="_3885__FDSAUDITLINK__" hidden="1">{"fdsup://directions/FAT Viewer?action=UPDATE&amp;creator=factset&amp;DYN_ARGS=TRUE&amp;DOC_NAME=FAT:FQL_AUDITING_CLIENT_TEMPLATE.FAT&amp;display_string=Audit&amp;VAR:KEY=FMXIBALGBY&amp;VAR:QUERY=RkZfRUJJVERBX0lCKCdMVE1TJyw0MDAwMCk=&amp;WINDOW=FIRST_POPUP&amp;HEIGHT=450&amp;WIDTH=450&amp;START_MA","XIMIZED=FALSE&amp;VAR:CALENDAR=US&amp;VAR:SYMBOL=37183T10&amp;VAR:INDEX=0"}</definedName>
    <definedName name="_3886__FDSAUDITLINK__" localSheetId="6" hidden="1">{"fdsup://directions/FAT Viewer?action=UPDATE&amp;creator=factset&amp;DYN_ARGS=TRUE&amp;DOC_NAME=FAT:FQL_AUDITING_CLIENT_TEMPLATE.FAT&amp;display_string=Audit&amp;VAR:KEY=DARSJKJIBW&amp;VAR:QUERY=RkZfRUJJVERBX0lCKCdMVE1TJywzOTk5OSk=&amp;WINDOW=FIRST_POPUP&amp;HEIGHT=450&amp;WIDTH=450&amp;START_MA","XIMIZED=FALSE&amp;VAR:CALENDAR=US&amp;VAR:SYMBOL=37183T10&amp;VAR:INDEX=0"}</definedName>
    <definedName name="_3886__FDSAUDITLINK__" hidden="1">{"fdsup://directions/FAT Viewer?action=UPDATE&amp;creator=factset&amp;DYN_ARGS=TRUE&amp;DOC_NAME=FAT:FQL_AUDITING_CLIENT_TEMPLATE.FAT&amp;display_string=Audit&amp;VAR:KEY=DARSJKJIBW&amp;VAR:QUERY=RkZfRUJJVERBX0lCKCdMVE1TJywzOTk5OSk=&amp;WINDOW=FIRST_POPUP&amp;HEIGHT=450&amp;WIDTH=450&amp;START_MA","XIMIZED=FALSE&amp;VAR:CALENDAR=US&amp;VAR:SYMBOL=37183T10&amp;VAR:INDEX=0"}</definedName>
    <definedName name="_3887__FDSAUDITLINK__" localSheetId="6" hidden="1">{"fdsup://directions/FAT Viewer?action=UPDATE&amp;creator=factset&amp;DYN_ARGS=TRUE&amp;DOC_NAME=FAT:FQL_AUDITING_CLIENT_TEMPLATE.FAT&amp;display_string=Audit&amp;VAR:KEY=VWJGZSPQFO&amp;VAR:QUERY=RkZfRUJJVERBX0lCKCdMVE1TJywzOTk5OCk=&amp;WINDOW=FIRST_POPUP&amp;HEIGHT=450&amp;WIDTH=450&amp;START_MA","XIMIZED=FALSE&amp;VAR:CALENDAR=US&amp;VAR:SYMBOL=37183T10&amp;VAR:INDEX=0"}</definedName>
    <definedName name="_3887__FDSAUDITLINK__" hidden="1">{"fdsup://directions/FAT Viewer?action=UPDATE&amp;creator=factset&amp;DYN_ARGS=TRUE&amp;DOC_NAME=FAT:FQL_AUDITING_CLIENT_TEMPLATE.FAT&amp;display_string=Audit&amp;VAR:KEY=VWJGZSPQFO&amp;VAR:QUERY=RkZfRUJJVERBX0lCKCdMVE1TJywzOTk5OCk=&amp;WINDOW=FIRST_POPUP&amp;HEIGHT=450&amp;WIDTH=450&amp;START_MA","XIMIZED=FALSE&amp;VAR:CALENDAR=US&amp;VAR:SYMBOL=37183T10&amp;VAR:INDEX=0"}</definedName>
    <definedName name="_3888__FDSAUDITLINK__" localSheetId="6" hidden="1">{"fdsup://directions/FAT Viewer?action=UPDATE&amp;creator=factset&amp;DYN_ARGS=TRUE&amp;DOC_NAME=FAT:FQL_AUDITING_CLIENT_TEMPLATE.FAT&amp;display_string=Audit&amp;VAR:KEY=TSDCJUXUPC&amp;VAR:QUERY=RkZfRUJJVERBX0lCKCdMVE1TJywzOTk5Nyk=&amp;WINDOW=FIRST_POPUP&amp;HEIGHT=450&amp;WIDTH=450&amp;START_MA","XIMIZED=FALSE&amp;VAR:CALENDAR=US&amp;VAR:SYMBOL=37183T10&amp;VAR:INDEX=0"}</definedName>
    <definedName name="_3888__FDSAUDITLINK__" hidden="1">{"fdsup://directions/FAT Viewer?action=UPDATE&amp;creator=factset&amp;DYN_ARGS=TRUE&amp;DOC_NAME=FAT:FQL_AUDITING_CLIENT_TEMPLATE.FAT&amp;display_string=Audit&amp;VAR:KEY=TSDCJUXUPC&amp;VAR:QUERY=RkZfRUJJVERBX0lCKCdMVE1TJywzOTk5Nyk=&amp;WINDOW=FIRST_POPUP&amp;HEIGHT=450&amp;WIDTH=450&amp;START_MA","XIMIZED=FALSE&amp;VAR:CALENDAR=US&amp;VAR:SYMBOL=37183T10&amp;VAR:INDEX=0"}</definedName>
    <definedName name="_3889__FDSAUDITLINK__" localSheetId="6" hidden="1">{"fdsup://directions/FAT Viewer?action=UPDATE&amp;creator=factset&amp;DYN_ARGS=TRUE&amp;DOC_NAME=FAT:FQL_AUDITING_CLIENT_TEMPLATE.FAT&amp;display_string=Audit&amp;VAR:KEY=TYFOZYTKHK&amp;VAR:QUERY=RkZfRUJJVERBX0lCKCdMVE1TJywzOTk5Nik=&amp;WINDOW=FIRST_POPUP&amp;HEIGHT=450&amp;WIDTH=450&amp;START_MA","XIMIZED=FALSE&amp;VAR:CALENDAR=US&amp;VAR:SYMBOL=37183T10&amp;VAR:INDEX=0"}</definedName>
    <definedName name="_3889__FDSAUDITLINK__" hidden="1">{"fdsup://directions/FAT Viewer?action=UPDATE&amp;creator=factset&amp;DYN_ARGS=TRUE&amp;DOC_NAME=FAT:FQL_AUDITING_CLIENT_TEMPLATE.FAT&amp;display_string=Audit&amp;VAR:KEY=TYFOZYTKHK&amp;VAR:QUERY=RkZfRUJJVERBX0lCKCdMVE1TJywzOTk5Nik=&amp;WINDOW=FIRST_POPUP&amp;HEIGHT=450&amp;WIDTH=450&amp;START_MA","XIMIZED=FALSE&amp;VAR:CALENDAR=US&amp;VAR:SYMBOL=37183T10&amp;VAR:INDEX=0"}</definedName>
    <definedName name="_389__FDSAUDITLINK__" localSheetId="6" hidden="1">{"fdsup://directions/FAT%20Viewer?VAR:PED=LTM&amp;VAR:AUDIT_MODE=SUMMARY&amp;VAR:PERIOD=FIXED&amp;VAR:AUDIT_ID=00000117&amp;VAR:DATE=20090128&amp;action=UPDATE&amp;creator=factset&amp;DOC_NAME=FAT:FMA_audit_SUMMARY.fat&amp;DISPLAY_STRING=Display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9__FDSAUDITLINK__" hidden="1">{"fdsup://directions/FAT%20Viewer?VAR:PED=LTM&amp;VAR:AUDIT_MODE=SUMMARY&amp;VAR:PERIOD=FIXED&amp;VAR:AUDIT_ID=00000117&amp;VAR:DATE=20090128&amp;action=UPDATE&amp;creator=factset&amp;DOC_NAME=FAT:FMA_audit_SUMMARY.fat&amp;DISPLAY_STRING=Display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890__FDSAUDITLINK__" localSheetId="6" hidden="1">{"fdsup://directions/FAT Viewer?action=UPDATE&amp;creator=factset&amp;DYN_ARGS=TRUE&amp;DOC_NAME=FAT:FQL_AUDITING_CLIENT_TEMPLATE.FAT&amp;display_string=Audit&amp;VAR:KEY=RSJSPOTGNC&amp;VAR:QUERY=RkZfRUJJVERBX0lCKCdMVE1TJywzOTk5NSk=&amp;WINDOW=FIRST_POPUP&amp;HEIGHT=450&amp;WIDTH=450&amp;START_MA","XIMIZED=FALSE&amp;VAR:CALENDAR=US&amp;VAR:SYMBOL=37183T10&amp;VAR:INDEX=0"}</definedName>
    <definedName name="_3890__FDSAUDITLINK__" hidden="1">{"fdsup://directions/FAT Viewer?action=UPDATE&amp;creator=factset&amp;DYN_ARGS=TRUE&amp;DOC_NAME=FAT:FQL_AUDITING_CLIENT_TEMPLATE.FAT&amp;display_string=Audit&amp;VAR:KEY=RSJSPOTGNC&amp;VAR:QUERY=RkZfRUJJVERBX0lCKCdMVE1TJywzOTk5NSk=&amp;WINDOW=FIRST_POPUP&amp;HEIGHT=450&amp;WIDTH=450&amp;START_MA","XIMIZED=FALSE&amp;VAR:CALENDAR=US&amp;VAR:SYMBOL=37183T10&amp;VAR:INDEX=0"}</definedName>
    <definedName name="_3891__FDSAUDITLINK__" localSheetId="6" hidden="1">{"fdsup://directions/FAT Viewer?action=UPDATE&amp;creator=factset&amp;DYN_ARGS=TRUE&amp;DOC_NAME=FAT:FQL_AUDITING_CLIENT_TEMPLATE.FAT&amp;display_string=Audit&amp;VAR:KEY=HGHQXQRSTQ&amp;VAR:QUERY=RkZfRUJJVERBX0lCKCdMVE1TJywzOTk5NCk=&amp;WINDOW=FIRST_POPUP&amp;HEIGHT=450&amp;WIDTH=450&amp;START_MA","XIMIZED=FALSE&amp;VAR:CALENDAR=US&amp;VAR:SYMBOL=37183T10&amp;VAR:INDEX=0"}</definedName>
    <definedName name="_3891__FDSAUDITLINK__" hidden="1">{"fdsup://directions/FAT Viewer?action=UPDATE&amp;creator=factset&amp;DYN_ARGS=TRUE&amp;DOC_NAME=FAT:FQL_AUDITING_CLIENT_TEMPLATE.FAT&amp;display_string=Audit&amp;VAR:KEY=HGHQXQRSTQ&amp;VAR:QUERY=RkZfRUJJVERBX0lCKCdMVE1TJywzOTk5NCk=&amp;WINDOW=FIRST_POPUP&amp;HEIGHT=450&amp;WIDTH=450&amp;START_MA","XIMIZED=FALSE&amp;VAR:CALENDAR=US&amp;VAR:SYMBOL=37183T10&amp;VAR:INDEX=0"}</definedName>
    <definedName name="_3892__FDSAUDITLINK__" localSheetId="6" hidden="1">{"fdsup://directions/FAT Viewer?action=UPDATE&amp;creator=factset&amp;DYN_ARGS=TRUE&amp;DOC_NAME=FAT:FQL_AUDITING_CLIENT_TEMPLATE.FAT&amp;display_string=Audit&amp;VAR:KEY=DOTIVSTWNW&amp;VAR:QUERY=RkZfRUJJVERBX0lCKCdMVE1TJywzOTk5Myk=&amp;WINDOW=FIRST_POPUP&amp;HEIGHT=450&amp;WIDTH=450&amp;START_MA","XIMIZED=FALSE&amp;VAR:CALENDAR=US&amp;VAR:SYMBOL=37183T10&amp;VAR:INDEX=0"}</definedName>
    <definedName name="_3892__FDSAUDITLINK__" hidden="1">{"fdsup://directions/FAT Viewer?action=UPDATE&amp;creator=factset&amp;DYN_ARGS=TRUE&amp;DOC_NAME=FAT:FQL_AUDITING_CLIENT_TEMPLATE.FAT&amp;display_string=Audit&amp;VAR:KEY=DOTIVSTWNW&amp;VAR:QUERY=RkZfRUJJVERBX0lCKCdMVE1TJywzOTk5Myk=&amp;WINDOW=FIRST_POPUP&amp;HEIGHT=450&amp;WIDTH=450&amp;START_MA","XIMIZED=FALSE&amp;VAR:CALENDAR=US&amp;VAR:SYMBOL=37183T10&amp;VAR:INDEX=0"}</definedName>
    <definedName name="_3893__FDSAUDITLINK__" localSheetId="6" hidden="1">{"fdsup://directions/FAT Viewer?action=UPDATE&amp;creator=factset&amp;DYN_ARGS=TRUE&amp;DOC_NAME=FAT:FQL_AUDITING_CLIENT_TEMPLATE.FAT&amp;display_string=Audit&amp;VAR:KEY=DSHKBUVYPS&amp;VAR:QUERY=RkZfRUJJVERBX0lCKCdMVE1TJywzOTk5Mik=&amp;WINDOW=FIRST_POPUP&amp;HEIGHT=450&amp;WIDTH=450&amp;START_MA","XIMIZED=FALSE&amp;VAR:CALENDAR=US&amp;VAR:SYMBOL=37183T10&amp;VAR:INDEX=0"}</definedName>
    <definedName name="_3893__FDSAUDITLINK__" hidden="1">{"fdsup://directions/FAT Viewer?action=UPDATE&amp;creator=factset&amp;DYN_ARGS=TRUE&amp;DOC_NAME=FAT:FQL_AUDITING_CLIENT_TEMPLATE.FAT&amp;display_string=Audit&amp;VAR:KEY=DSHKBUVYPS&amp;VAR:QUERY=RkZfRUJJVERBX0lCKCdMVE1TJywzOTk5Mik=&amp;WINDOW=FIRST_POPUP&amp;HEIGHT=450&amp;WIDTH=450&amp;START_MA","XIMIZED=FALSE&amp;VAR:CALENDAR=US&amp;VAR:SYMBOL=37183T10&amp;VAR:INDEX=0"}</definedName>
    <definedName name="_3894__FDSAUDITLINK__" localSheetId="6" hidden="1">{"fdsup://directions/FAT Viewer?action=UPDATE&amp;creator=factset&amp;DYN_ARGS=TRUE&amp;DOC_NAME=FAT:FQL_AUDITING_CLIENT_TEMPLATE.FAT&amp;display_string=Audit&amp;VAR:KEY=XUBWTGZGLI&amp;VAR:QUERY=RkZfRUJJVERBX0lCKCdMVE1TJywzOTk5MSk=&amp;WINDOW=FIRST_POPUP&amp;HEIGHT=450&amp;WIDTH=450&amp;START_MA","XIMIZED=FALSE&amp;VAR:CALENDAR=US&amp;VAR:SYMBOL=37183T10&amp;VAR:INDEX=0"}</definedName>
    <definedName name="_3894__FDSAUDITLINK__" hidden="1">{"fdsup://directions/FAT Viewer?action=UPDATE&amp;creator=factset&amp;DYN_ARGS=TRUE&amp;DOC_NAME=FAT:FQL_AUDITING_CLIENT_TEMPLATE.FAT&amp;display_string=Audit&amp;VAR:KEY=XUBWTGZGLI&amp;VAR:QUERY=RkZfRUJJVERBX0lCKCdMVE1TJywzOTk5MSk=&amp;WINDOW=FIRST_POPUP&amp;HEIGHT=450&amp;WIDTH=450&amp;START_MA","XIMIZED=FALSE&amp;VAR:CALENDAR=US&amp;VAR:SYMBOL=37183T10&amp;VAR:INDEX=0"}</definedName>
    <definedName name="_3895__FDSAUDITLINK__" localSheetId="6" hidden="1">{"fdsup://directions/FAT Viewer?action=UPDATE&amp;creator=factset&amp;DYN_ARGS=TRUE&amp;DOC_NAME=FAT:FQL_AUDITING_CLIENT_TEMPLATE.FAT&amp;display_string=Audit&amp;VAR:KEY=NIRAZCPGVQ&amp;VAR:QUERY=RkZfRUJJVERBX0lCKCdMVE1TJywzOTk5MCk=&amp;WINDOW=FIRST_POPUP&amp;HEIGHT=450&amp;WIDTH=450&amp;START_MA","XIMIZED=FALSE&amp;VAR:CALENDAR=US&amp;VAR:SYMBOL=37183T10&amp;VAR:INDEX=0"}</definedName>
    <definedName name="_3895__FDSAUDITLINK__" hidden="1">{"fdsup://directions/FAT Viewer?action=UPDATE&amp;creator=factset&amp;DYN_ARGS=TRUE&amp;DOC_NAME=FAT:FQL_AUDITING_CLIENT_TEMPLATE.FAT&amp;display_string=Audit&amp;VAR:KEY=NIRAZCPGVQ&amp;VAR:QUERY=RkZfRUJJVERBX0lCKCdMVE1TJywzOTk5MCk=&amp;WINDOW=FIRST_POPUP&amp;HEIGHT=450&amp;WIDTH=450&amp;START_MA","XIMIZED=FALSE&amp;VAR:CALENDAR=US&amp;VAR:SYMBOL=37183T10&amp;VAR:INDEX=0"}</definedName>
    <definedName name="_3896__FDSAUDITLINK__" localSheetId="6" hidden="1">{"fdsup://directions/FAT Viewer?action=UPDATE&amp;creator=factset&amp;DYN_ARGS=TRUE&amp;DOC_NAME=FAT:FQL_AUDITING_CLIENT_TEMPLATE.FAT&amp;display_string=Audit&amp;VAR:KEY=VQTCDQXKFC&amp;VAR:QUERY=RkZfRUJJVERBX0lCKCdMVE1TJywzOTk4OSk=&amp;WINDOW=FIRST_POPUP&amp;HEIGHT=450&amp;WIDTH=450&amp;START_MA","XIMIZED=FALSE&amp;VAR:CALENDAR=US&amp;VAR:SYMBOL=37183T10&amp;VAR:INDEX=0"}</definedName>
    <definedName name="_3896__FDSAUDITLINK__" hidden="1">{"fdsup://directions/FAT Viewer?action=UPDATE&amp;creator=factset&amp;DYN_ARGS=TRUE&amp;DOC_NAME=FAT:FQL_AUDITING_CLIENT_TEMPLATE.FAT&amp;display_string=Audit&amp;VAR:KEY=VQTCDQXKFC&amp;VAR:QUERY=RkZfRUJJVERBX0lCKCdMVE1TJywzOTk4OSk=&amp;WINDOW=FIRST_POPUP&amp;HEIGHT=450&amp;WIDTH=450&amp;START_MA","XIMIZED=FALSE&amp;VAR:CALENDAR=US&amp;VAR:SYMBOL=37183T10&amp;VAR:INDEX=0"}</definedName>
    <definedName name="_3897__FDSAUDITLINK__" localSheetId="6" hidden="1">{"fdsup://directions/FAT Viewer?action=UPDATE&amp;creator=factset&amp;DYN_ARGS=TRUE&amp;DOC_NAME=FAT:FQL_AUDITING_CLIENT_TEMPLATE.FAT&amp;display_string=Audit&amp;VAR:KEY=FSHIJGVARU&amp;VAR:QUERY=RkZfRUJJVERBX0lCKCdMVE1TJywzOTk4OCk=&amp;WINDOW=FIRST_POPUP&amp;HEIGHT=450&amp;WIDTH=450&amp;START_MA","XIMIZED=FALSE&amp;VAR:CALENDAR=US&amp;VAR:SYMBOL=37183T10&amp;VAR:INDEX=0"}</definedName>
    <definedName name="_3897__FDSAUDITLINK__" hidden="1">{"fdsup://directions/FAT Viewer?action=UPDATE&amp;creator=factset&amp;DYN_ARGS=TRUE&amp;DOC_NAME=FAT:FQL_AUDITING_CLIENT_TEMPLATE.FAT&amp;display_string=Audit&amp;VAR:KEY=FSHIJGVARU&amp;VAR:QUERY=RkZfRUJJVERBX0lCKCdMVE1TJywzOTk4OCk=&amp;WINDOW=FIRST_POPUP&amp;HEIGHT=450&amp;WIDTH=450&amp;START_MA","XIMIZED=FALSE&amp;VAR:CALENDAR=US&amp;VAR:SYMBOL=37183T10&amp;VAR:INDEX=0"}</definedName>
    <definedName name="_3898__FDSAUDITLINK__" localSheetId="6" hidden="1">{"fdsup://directions/FAT Viewer?action=UPDATE&amp;creator=factset&amp;DYN_ARGS=TRUE&amp;DOC_NAME=FAT:FQL_AUDITING_CLIENT_TEMPLATE.FAT&amp;display_string=Audit&amp;VAR:KEY=NMNCDCVENQ&amp;VAR:QUERY=RkZfRUJJVERBX0lCKCdMVE1TJywzOTk4Nyk=&amp;WINDOW=FIRST_POPUP&amp;HEIGHT=450&amp;WIDTH=450&amp;START_MA","XIMIZED=FALSE&amp;VAR:CALENDAR=US&amp;VAR:SYMBOL=37183T10&amp;VAR:INDEX=0"}</definedName>
    <definedName name="_3898__FDSAUDITLINK__" hidden="1">{"fdsup://directions/FAT Viewer?action=UPDATE&amp;creator=factset&amp;DYN_ARGS=TRUE&amp;DOC_NAME=FAT:FQL_AUDITING_CLIENT_TEMPLATE.FAT&amp;display_string=Audit&amp;VAR:KEY=NMNCDCVENQ&amp;VAR:QUERY=RkZfRUJJVERBX0lCKCdMVE1TJywzOTk4Nyk=&amp;WINDOW=FIRST_POPUP&amp;HEIGHT=450&amp;WIDTH=450&amp;START_MA","XIMIZED=FALSE&amp;VAR:CALENDAR=US&amp;VAR:SYMBOL=37183T10&amp;VAR:INDEX=0"}</definedName>
    <definedName name="_3899__FDSAUDITLINK__" localSheetId="6" hidden="1">{"fdsup://directions/FAT Viewer?action=UPDATE&amp;creator=factset&amp;DYN_ARGS=TRUE&amp;DOC_NAME=FAT:FQL_AUDITING_CLIENT_TEMPLATE.FAT&amp;display_string=Audit&amp;VAR:KEY=TEVEXUDGTU&amp;VAR:QUERY=RkZfRUJJVERBX0lCKCdMVE1TJywzOTk4Nik=&amp;WINDOW=FIRST_POPUP&amp;HEIGHT=450&amp;WIDTH=450&amp;START_MA","XIMIZED=FALSE&amp;VAR:CALENDAR=US&amp;VAR:SYMBOL=37183T10&amp;VAR:INDEX=0"}</definedName>
    <definedName name="_3899__FDSAUDITLINK__" hidden="1">{"fdsup://directions/FAT Viewer?action=UPDATE&amp;creator=factset&amp;DYN_ARGS=TRUE&amp;DOC_NAME=FAT:FQL_AUDITING_CLIENT_TEMPLATE.FAT&amp;display_string=Audit&amp;VAR:KEY=TEVEXUDGTU&amp;VAR:QUERY=RkZfRUJJVERBX0lCKCdMVE1TJywzOTk4Nik=&amp;WINDOW=FIRST_POPUP&amp;HEIGHT=450&amp;WIDTH=450&amp;START_MA","XIMIZED=FALSE&amp;VAR:CALENDAR=US&amp;VAR:SYMBOL=37183T10&amp;VAR:INDEX=0"}</definedName>
    <definedName name="_39__FDSAUDITLINK__" localSheetId="6" hidden="1">{"fdsup://directions/FAT Viewer?action=UPDATE&amp;creator=factset&amp;DYN_ARGS=TRUE&amp;DOC_NAME=FAT:FQL_AUDITING_CLIENT_TEMPLATE.FAT&amp;display_string=Audit&amp;VAR:KEY=EDIXWLORGH&amp;VAR:QUERY=QVZHKENTRl9ORVRfSU5DKEFOTiwwRlksLTZGWSxZKSkgLyAoQVZHKENTRl9BU1NFVFMoQU5OLDBGWSwtNkZZL","EZZKSkgLSBBVkcoQ1NGX0lOVEFORyhBTk4sMCwtNkZZLEZZKSkp&amp;WINDOW=FIRST_POPUP&amp;HEIGHT=450&amp;WIDTH=450&amp;START_MAXIMIZED=FALSE&amp;VAR:CALENDAR=US&amp;VAR:SYMBOL=ESEA"}</definedName>
    <definedName name="_39__FDSAUDITLINK__" hidden="1">{"fdsup://directions/FAT Viewer?action=UPDATE&amp;creator=factset&amp;DYN_ARGS=TRUE&amp;DOC_NAME=FAT:FQL_AUDITING_CLIENT_TEMPLATE.FAT&amp;display_string=Audit&amp;VAR:KEY=EDIXWLORGH&amp;VAR:QUERY=QVZHKENTRl9ORVRfSU5DKEFOTiwwRlksLTZGWSxZKSkgLyAoQVZHKENTRl9BU1NFVFMoQU5OLDBGWSwtNkZZL","EZZKSkgLSBBVkcoQ1NGX0lOVEFORyhBTk4sMCwtNkZZLEZZKSkp&amp;WINDOW=FIRST_POPUP&amp;HEIGHT=450&amp;WIDTH=450&amp;START_MAXIMIZED=FALSE&amp;VAR:CALENDAR=US&amp;VAR:SYMBOL=ESEA"}</definedName>
    <definedName name="_390__FDSAUDITLINK__" localSheetId="6" hidden="1">{"fdsup://directions/FAT%20Viewer?VAR:PED=LTM&amp;VAR:AUDIT_MODE=SUMMARY&amp;VAR:PERIOD=FIXED&amp;VAR:AUDIT_ID=00000117&amp;VAR:DATE=20090127&amp;action=UPDATE&amp;creator=factset&amp;DOC_NAME=FAT:FMA_audit_SUMMARY.fat&amp;DISPLAY_STRING=Display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0__FDSAUDITLINK__" hidden="1">{"fdsup://directions/FAT%20Viewer?VAR:PED=LTM&amp;VAR:AUDIT_MODE=SUMMARY&amp;VAR:PERIOD=FIXED&amp;VAR:AUDIT_ID=00000117&amp;VAR:DATE=20090127&amp;action=UPDATE&amp;creator=factset&amp;DOC_NAME=FAT:FMA_audit_SUMMARY.fat&amp;DISPLAY_STRING=Display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00__FDSAUDITLINK__" localSheetId="6" hidden="1">{"fdsup://directions/FAT Viewer?action=UPDATE&amp;creator=factset&amp;DYN_ARGS=TRUE&amp;DOC_NAME=FAT:FQL_AUDITING_CLIENT_TEMPLATE.FAT&amp;display_string=Audit&amp;VAR:KEY=JANSRALQPA&amp;VAR:QUERY=RkZfRUJJVERBX0lCKCdMVE1TJywzOTk4NSk=&amp;WINDOW=FIRST_POPUP&amp;HEIGHT=450&amp;WIDTH=450&amp;START_MA","XIMIZED=FALSE&amp;VAR:CALENDAR=US&amp;VAR:SYMBOL=37183T10&amp;VAR:INDEX=0"}</definedName>
    <definedName name="_3900__FDSAUDITLINK__" hidden="1">{"fdsup://directions/FAT Viewer?action=UPDATE&amp;creator=factset&amp;DYN_ARGS=TRUE&amp;DOC_NAME=FAT:FQL_AUDITING_CLIENT_TEMPLATE.FAT&amp;display_string=Audit&amp;VAR:KEY=JANSRALQPA&amp;VAR:QUERY=RkZfRUJJVERBX0lCKCdMVE1TJywzOTk4NSk=&amp;WINDOW=FIRST_POPUP&amp;HEIGHT=450&amp;WIDTH=450&amp;START_MA","XIMIZED=FALSE&amp;VAR:CALENDAR=US&amp;VAR:SYMBOL=37183T10&amp;VAR:INDEX=0"}</definedName>
    <definedName name="_3901__FDSAUDITLINK__" localSheetId="6" hidden="1">{"fdsup://directions/FAT Viewer?action=UPDATE&amp;creator=factset&amp;DYN_ARGS=TRUE&amp;DOC_NAME=FAT:FQL_AUDITING_CLIENT_TEMPLATE.FAT&amp;display_string=Audit&amp;VAR:KEY=TSHGRAXQNE&amp;VAR:QUERY=RkZfRUJJVERBX0lCKCdMVE1TJywzOTk4NCk=&amp;WINDOW=FIRST_POPUP&amp;HEIGHT=450&amp;WIDTH=450&amp;START_MA","XIMIZED=FALSE&amp;VAR:CALENDAR=US&amp;VAR:SYMBOL=37183T10&amp;VAR:INDEX=0"}</definedName>
    <definedName name="_3901__FDSAUDITLINK__" hidden="1">{"fdsup://directions/FAT Viewer?action=UPDATE&amp;creator=factset&amp;DYN_ARGS=TRUE&amp;DOC_NAME=FAT:FQL_AUDITING_CLIENT_TEMPLATE.FAT&amp;display_string=Audit&amp;VAR:KEY=TSHGRAXQNE&amp;VAR:QUERY=RkZfRUJJVERBX0lCKCdMVE1TJywzOTk4NCk=&amp;WINDOW=FIRST_POPUP&amp;HEIGHT=450&amp;WIDTH=450&amp;START_MA","XIMIZED=FALSE&amp;VAR:CALENDAR=US&amp;VAR:SYMBOL=37183T10&amp;VAR:INDEX=0"}</definedName>
    <definedName name="_3902__FDSAUDITLINK__" localSheetId="6" hidden="1">{"fdsup://directions/FAT Viewer?action=UPDATE&amp;creator=factset&amp;DYN_ARGS=TRUE&amp;DOC_NAME=FAT:FQL_AUDITING_CLIENT_TEMPLATE.FAT&amp;display_string=Audit&amp;VAR:KEY=FYTILKNUXO&amp;VAR:QUERY=RkZfRUJJVERBX0lCKCdMVE1TJywzOTk4Myk=&amp;WINDOW=FIRST_POPUP&amp;HEIGHT=450&amp;WIDTH=450&amp;START_MA","XIMIZED=FALSE&amp;VAR:CALENDAR=US&amp;VAR:SYMBOL=37183T10&amp;VAR:INDEX=0"}</definedName>
    <definedName name="_3902__FDSAUDITLINK__" hidden="1">{"fdsup://directions/FAT Viewer?action=UPDATE&amp;creator=factset&amp;DYN_ARGS=TRUE&amp;DOC_NAME=FAT:FQL_AUDITING_CLIENT_TEMPLATE.FAT&amp;display_string=Audit&amp;VAR:KEY=FYTILKNUXO&amp;VAR:QUERY=RkZfRUJJVERBX0lCKCdMVE1TJywzOTk4Myk=&amp;WINDOW=FIRST_POPUP&amp;HEIGHT=450&amp;WIDTH=450&amp;START_MA","XIMIZED=FALSE&amp;VAR:CALENDAR=US&amp;VAR:SYMBOL=37183T10&amp;VAR:INDEX=0"}</definedName>
    <definedName name="_3903__FDSAUDITLINK__" localSheetId="6" hidden="1">{"fdsup://directions/FAT Viewer?action=UPDATE&amp;creator=factset&amp;DYN_ARGS=TRUE&amp;DOC_NAME=FAT:FQL_AUDITING_CLIENT_TEMPLATE.FAT&amp;display_string=Audit&amp;VAR:KEY=ZAHUXKTYZC&amp;VAR:QUERY=RkZfRUJJVERBX0lCKCdMVE1TJywzOTk4Mik=&amp;WINDOW=FIRST_POPUP&amp;HEIGHT=450&amp;WIDTH=450&amp;START_MA","XIMIZED=FALSE&amp;VAR:CALENDAR=US&amp;VAR:SYMBOL=37183T10&amp;VAR:INDEX=0"}</definedName>
    <definedName name="_3903__FDSAUDITLINK__" hidden="1">{"fdsup://directions/FAT Viewer?action=UPDATE&amp;creator=factset&amp;DYN_ARGS=TRUE&amp;DOC_NAME=FAT:FQL_AUDITING_CLIENT_TEMPLATE.FAT&amp;display_string=Audit&amp;VAR:KEY=ZAHUXKTYZC&amp;VAR:QUERY=RkZfRUJJVERBX0lCKCdMVE1TJywzOTk4Mik=&amp;WINDOW=FIRST_POPUP&amp;HEIGHT=450&amp;WIDTH=450&amp;START_MA","XIMIZED=FALSE&amp;VAR:CALENDAR=US&amp;VAR:SYMBOL=37183T10&amp;VAR:INDEX=0"}</definedName>
    <definedName name="_3904__FDSAUDITLINK__" localSheetId="6" hidden="1">{"fdsup://directions/FAT Viewer?action=UPDATE&amp;creator=factset&amp;DYN_ARGS=TRUE&amp;DOC_NAME=FAT:FQL_AUDITING_CLIENT_TEMPLATE.FAT&amp;display_string=Audit&amp;VAR:KEY=NKRSHAVUZK&amp;VAR:QUERY=RkZfRUJJVERBX0lCKCdMVE1TJywzOTk4MSk=&amp;WINDOW=FIRST_POPUP&amp;HEIGHT=450&amp;WIDTH=450&amp;START_MA","XIMIZED=FALSE&amp;VAR:CALENDAR=US&amp;VAR:SYMBOL=37183T10&amp;VAR:INDEX=0"}</definedName>
    <definedName name="_3904__FDSAUDITLINK__" hidden="1">{"fdsup://directions/FAT Viewer?action=UPDATE&amp;creator=factset&amp;DYN_ARGS=TRUE&amp;DOC_NAME=FAT:FQL_AUDITING_CLIENT_TEMPLATE.FAT&amp;display_string=Audit&amp;VAR:KEY=NKRSHAVUZK&amp;VAR:QUERY=RkZfRUJJVERBX0lCKCdMVE1TJywzOTk4MSk=&amp;WINDOW=FIRST_POPUP&amp;HEIGHT=450&amp;WIDTH=450&amp;START_MA","XIMIZED=FALSE&amp;VAR:CALENDAR=US&amp;VAR:SYMBOL=37183T10&amp;VAR:INDEX=0"}</definedName>
    <definedName name="_3905__FDSAUDITLINK__" localSheetId="6" hidden="1">{"fdsup://directions/FAT Viewer?action=UPDATE&amp;creator=factset&amp;DYN_ARGS=TRUE&amp;DOC_NAME=FAT:FQL_AUDITING_CLIENT_TEMPLATE.FAT&amp;display_string=Audit&amp;VAR:KEY=TGPEDCHKTG&amp;VAR:QUERY=RkZfRUJJVERBX0lCKCdMVE1TJywzOTk4MCk=&amp;WINDOW=FIRST_POPUP&amp;HEIGHT=450&amp;WIDTH=450&amp;START_MA","XIMIZED=FALSE&amp;VAR:CALENDAR=US&amp;VAR:SYMBOL=37183T10&amp;VAR:INDEX=0"}</definedName>
    <definedName name="_3905__FDSAUDITLINK__" hidden="1">{"fdsup://directions/FAT Viewer?action=UPDATE&amp;creator=factset&amp;DYN_ARGS=TRUE&amp;DOC_NAME=FAT:FQL_AUDITING_CLIENT_TEMPLATE.FAT&amp;display_string=Audit&amp;VAR:KEY=TGPEDCHKTG&amp;VAR:QUERY=RkZfRUJJVERBX0lCKCdMVE1TJywzOTk4MCk=&amp;WINDOW=FIRST_POPUP&amp;HEIGHT=450&amp;WIDTH=450&amp;START_MA","XIMIZED=FALSE&amp;VAR:CALENDAR=US&amp;VAR:SYMBOL=37183T10&amp;VAR:INDEX=0"}</definedName>
    <definedName name="_3906__FDSAUDITLINK__" localSheetId="6" hidden="1">{"fdsup://directions/FAT Viewer?action=UPDATE&amp;creator=factset&amp;DYN_ARGS=TRUE&amp;DOC_NAME=FAT:FQL_AUDITING_CLIENT_TEMPLATE.FAT&amp;display_string=Audit&amp;VAR:KEY=HCFERWFYTQ&amp;VAR:QUERY=RkZfRUJJVERBX0lCKCdMVE1TJywzOTk3OSk=&amp;WINDOW=FIRST_POPUP&amp;HEIGHT=450&amp;WIDTH=450&amp;START_MA","XIMIZED=FALSE&amp;VAR:CALENDAR=US&amp;VAR:SYMBOL=37183T10&amp;VAR:INDEX=0"}</definedName>
    <definedName name="_3906__FDSAUDITLINK__" hidden="1">{"fdsup://directions/FAT Viewer?action=UPDATE&amp;creator=factset&amp;DYN_ARGS=TRUE&amp;DOC_NAME=FAT:FQL_AUDITING_CLIENT_TEMPLATE.FAT&amp;display_string=Audit&amp;VAR:KEY=HCFERWFYTQ&amp;VAR:QUERY=RkZfRUJJVERBX0lCKCdMVE1TJywzOTk3OSk=&amp;WINDOW=FIRST_POPUP&amp;HEIGHT=450&amp;WIDTH=450&amp;START_MA","XIMIZED=FALSE&amp;VAR:CALENDAR=US&amp;VAR:SYMBOL=37183T10&amp;VAR:INDEX=0"}</definedName>
    <definedName name="_3907__FDSAUDITLINK__" localSheetId="6" hidden="1">{"fdsup://directions/FAT Viewer?action=UPDATE&amp;creator=factset&amp;DYN_ARGS=TRUE&amp;DOC_NAME=FAT:FQL_AUDITING_CLIENT_TEMPLATE.FAT&amp;display_string=Audit&amp;VAR:KEY=PEBIZOJYFG&amp;VAR:QUERY=RkZfRUJJVERBX0lCKCdMVE1TJywzOTk3OCk=&amp;WINDOW=FIRST_POPUP&amp;HEIGHT=450&amp;WIDTH=450&amp;START_MA","XIMIZED=FALSE&amp;VAR:CALENDAR=US&amp;VAR:SYMBOL=37183T10&amp;VAR:INDEX=0"}</definedName>
    <definedName name="_3907__FDSAUDITLINK__" hidden="1">{"fdsup://directions/FAT Viewer?action=UPDATE&amp;creator=factset&amp;DYN_ARGS=TRUE&amp;DOC_NAME=FAT:FQL_AUDITING_CLIENT_TEMPLATE.FAT&amp;display_string=Audit&amp;VAR:KEY=PEBIZOJYFG&amp;VAR:QUERY=RkZfRUJJVERBX0lCKCdMVE1TJywzOTk3OCk=&amp;WINDOW=FIRST_POPUP&amp;HEIGHT=450&amp;WIDTH=450&amp;START_MA","XIMIZED=FALSE&amp;VAR:CALENDAR=US&amp;VAR:SYMBOL=37183T10&amp;VAR:INDEX=0"}</definedName>
    <definedName name="_3908__FDSAUDITLINK__" localSheetId="6" hidden="1">{"fdsup://directions/FAT Viewer?action=UPDATE&amp;creator=factset&amp;DYN_ARGS=TRUE&amp;DOC_NAME=FAT:FQL_AUDITING_CLIENT_TEMPLATE.FAT&amp;display_string=Audit&amp;VAR:KEY=LMFQRANGHO&amp;VAR:QUERY=RkZfRUJJVERBX0lCKCdMVE1TJywzOTk3Nyk=&amp;WINDOW=FIRST_POPUP&amp;HEIGHT=450&amp;WIDTH=450&amp;START_MA","XIMIZED=FALSE&amp;VAR:CALENDAR=US&amp;VAR:SYMBOL=37183T10&amp;VAR:INDEX=0"}</definedName>
    <definedName name="_3908__FDSAUDITLINK__" hidden="1">{"fdsup://directions/FAT Viewer?action=UPDATE&amp;creator=factset&amp;DYN_ARGS=TRUE&amp;DOC_NAME=FAT:FQL_AUDITING_CLIENT_TEMPLATE.FAT&amp;display_string=Audit&amp;VAR:KEY=LMFQRANGHO&amp;VAR:QUERY=RkZfRUJJVERBX0lCKCdMVE1TJywzOTk3Nyk=&amp;WINDOW=FIRST_POPUP&amp;HEIGHT=450&amp;WIDTH=450&amp;START_MA","XIMIZED=FALSE&amp;VAR:CALENDAR=US&amp;VAR:SYMBOL=37183T10&amp;VAR:INDEX=0"}</definedName>
    <definedName name="_3909__FDSAUDITLINK__" localSheetId="6" hidden="1">{"fdsup://directions/FAT Viewer?action=UPDATE&amp;creator=factset&amp;DYN_ARGS=TRUE&amp;DOC_NAME=FAT:FQL_AUDITING_CLIENT_TEMPLATE.FAT&amp;display_string=Audit&amp;VAR:KEY=NKDEHSBABU&amp;VAR:QUERY=RkZfRUJJVERBX0lCKCdMVE1TJywzOTk3Nik=&amp;WINDOW=FIRST_POPUP&amp;HEIGHT=450&amp;WIDTH=450&amp;START_MA","XIMIZED=FALSE&amp;VAR:CALENDAR=US&amp;VAR:SYMBOL=37183T10&amp;VAR:INDEX=0"}</definedName>
    <definedName name="_3909__FDSAUDITLINK__" hidden="1">{"fdsup://directions/FAT Viewer?action=UPDATE&amp;creator=factset&amp;DYN_ARGS=TRUE&amp;DOC_NAME=FAT:FQL_AUDITING_CLIENT_TEMPLATE.FAT&amp;display_string=Audit&amp;VAR:KEY=NKDEHSBABU&amp;VAR:QUERY=RkZfRUJJVERBX0lCKCdMVE1TJywzOTk3Nik=&amp;WINDOW=FIRST_POPUP&amp;HEIGHT=450&amp;WIDTH=450&amp;START_MA","XIMIZED=FALSE&amp;VAR:CALENDAR=US&amp;VAR:SYMBOL=37183T10&amp;VAR:INDEX=0"}</definedName>
    <definedName name="_391__FDSAUDITLINK__" localSheetId="6" hidden="1">{"fdsup://directions/FAT%20Viewer?VAR:PED=LTM&amp;VAR:AUDIT_MODE=SUMMARY&amp;VAR:PERIOD=FIXED&amp;VAR:AUDIT_ID=00000117&amp;VAR:DATE=20090126&amp;action=UPDATE&amp;creator=factset&amp;DOC_NAME=FAT:FMA_audit_SUMMARY.fat&amp;DISPLAY_STRING=Display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1__FDSAUDITLINK__" hidden="1">{"fdsup://directions/FAT%20Viewer?VAR:PED=LTM&amp;VAR:AUDIT_MODE=SUMMARY&amp;VAR:PERIOD=FIXED&amp;VAR:AUDIT_ID=00000117&amp;VAR:DATE=20090126&amp;action=UPDATE&amp;creator=factset&amp;DOC_NAME=FAT:FMA_audit_SUMMARY.fat&amp;DISPLAY_STRING=Display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10__FDSAUDITLINK__" localSheetId="6" hidden="1">{"fdsup://directions/FAT Viewer?action=UPDATE&amp;creator=factset&amp;DYN_ARGS=TRUE&amp;DOC_NAME=FAT:FQL_AUDITING_CLIENT_TEMPLATE.FAT&amp;display_string=Audit&amp;VAR:KEY=VMJSLGRUHA&amp;VAR:QUERY=RkZfRUJJVERBX0lCKCdMVE1TJywzOTk3NSk=&amp;WINDOW=FIRST_POPUP&amp;HEIGHT=450&amp;WIDTH=450&amp;START_MA","XIMIZED=FALSE&amp;VAR:CALENDAR=US&amp;VAR:SYMBOL=37183T10&amp;VAR:INDEX=0"}</definedName>
    <definedName name="_3910__FDSAUDITLINK__" hidden="1">{"fdsup://directions/FAT Viewer?action=UPDATE&amp;creator=factset&amp;DYN_ARGS=TRUE&amp;DOC_NAME=FAT:FQL_AUDITING_CLIENT_TEMPLATE.FAT&amp;display_string=Audit&amp;VAR:KEY=VMJSLGRUHA&amp;VAR:QUERY=RkZfRUJJVERBX0lCKCdMVE1TJywzOTk3NSk=&amp;WINDOW=FIRST_POPUP&amp;HEIGHT=450&amp;WIDTH=450&amp;START_MA","XIMIZED=FALSE&amp;VAR:CALENDAR=US&amp;VAR:SYMBOL=37183T10&amp;VAR:INDEX=0"}</definedName>
    <definedName name="_3911__FDSAUDITLINK__" localSheetId="6" hidden="1">{"fdsup://directions/FAT Viewer?action=UPDATE&amp;creator=factset&amp;DYN_ARGS=TRUE&amp;DOC_NAME=FAT:FQL_AUDITING_CLIENT_TEMPLATE.FAT&amp;display_string=Audit&amp;VAR:KEY=XMPAFMVMLY&amp;VAR:QUERY=RkZfRUJJVERBX0lCKCdMVE1TJywzOTk3NCk=&amp;WINDOW=FIRST_POPUP&amp;HEIGHT=450&amp;WIDTH=450&amp;START_MA","XIMIZED=FALSE&amp;VAR:CALENDAR=US&amp;VAR:SYMBOL=37183T10&amp;VAR:INDEX=0"}</definedName>
    <definedName name="_3911__FDSAUDITLINK__" hidden="1">{"fdsup://directions/FAT Viewer?action=UPDATE&amp;creator=factset&amp;DYN_ARGS=TRUE&amp;DOC_NAME=FAT:FQL_AUDITING_CLIENT_TEMPLATE.FAT&amp;display_string=Audit&amp;VAR:KEY=XMPAFMVMLY&amp;VAR:QUERY=RkZfRUJJVERBX0lCKCdMVE1TJywzOTk3NCk=&amp;WINDOW=FIRST_POPUP&amp;HEIGHT=450&amp;WIDTH=450&amp;START_MA","XIMIZED=FALSE&amp;VAR:CALENDAR=US&amp;VAR:SYMBOL=37183T10&amp;VAR:INDEX=0"}</definedName>
    <definedName name="_3912__FDSAUDITLINK__" localSheetId="6" hidden="1">{"fdsup://directions/FAT Viewer?action=UPDATE&amp;creator=factset&amp;DYN_ARGS=TRUE&amp;DOC_NAME=FAT:FQL_AUDITING_CLIENT_TEMPLATE.FAT&amp;display_string=Audit&amp;VAR:KEY=JETONMZERO&amp;VAR:QUERY=RkZfRUJJVERBX0lCKCdMVE1TJywzOTk3Myk=&amp;WINDOW=FIRST_POPUP&amp;HEIGHT=450&amp;WIDTH=450&amp;START_MA","XIMIZED=FALSE&amp;VAR:CALENDAR=US&amp;VAR:SYMBOL=37183T10&amp;VAR:INDEX=0"}</definedName>
    <definedName name="_3912__FDSAUDITLINK__" hidden="1">{"fdsup://directions/FAT Viewer?action=UPDATE&amp;creator=factset&amp;DYN_ARGS=TRUE&amp;DOC_NAME=FAT:FQL_AUDITING_CLIENT_TEMPLATE.FAT&amp;display_string=Audit&amp;VAR:KEY=JETONMZERO&amp;VAR:QUERY=RkZfRUJJVERBX0lCKCdMVE1TJywzOTk3Myk=&amp;WINDOW=FIRST_POPUP&amp;HEIGHT=450&amp;WIDTH=450&amp;START_MA","XIMIZED=FALSE&amp;VAR:CALENDAR=US&amp;VAR:SYMBOL=37183T10&amp;VAR:INDEX=0"}</definedName>
    <definedName name="_3913__FDSAUDITLINK__" localSheetId="6" hidden="1">{"fdsup://directions/FAT Viewer?action=UPDATE&amp;creator=factset&amp;DYN_ARGS=TRUE&amp;DOC_NAME=FAT:FQL_AUDITING_CLIENT_TEMPLATE.FAT&amp;display_string=Audit&amp;VAR:KEY=BEPWZMZIPI&amp;VAR:QUERY=RkZfRUJJVERBX0lCKCdMVE1TJywzOTk3Mik=&amp;WINDOW=FIRST_POPUP&amp;HEIGHT=450&amp;WIDTH=450&amp;START_MA","XIMIZED=FALSE&amp;VAR:CALENDAR=US&amp;VAR:SYMBOL=37183T10&amp;VAR:INDEX=0"}</definedName>
    <definedName name="_3913__FDSAUDITLINK__" hidden="1">{"fdsup://directions/FAT Viewer?action=UPDATE&amp;creator=factset&amp;DYN_ARGS=TRUE&amp;DOC_NAME=FAT:FQL_AUDITING_CLIENT_TEMPLATE.FAT&amp;display_string=Audit&amp;VAR:KEY=BEPWZMZIPI&amp;VAR:QUERY=RkZfRUJJVERBX0lCKCdMVE1TJywzOTk3Mik=&amp;WINDOW=FIRST_POPUP&amp;HEIGHT=450&amp;WIDTH=450&amp;START_MA","XIMIZED=FALSE&amp;VAR:CALENDAR=US&amp;VAR:SYMBOL=37183T10&amp;VAR:INDEX=0"}</definedName>
    <definedName name="_3914__FDSAUDITLINK__" localSheetId="6" hidden="1">{"fdsup://directions/FAT Viewer?action=UPDATE&amp;creator=factset&amp;DYN_ARGS=TRUE&amp;DOC_NAME=FAT:FQL_AUDITING_CLIENT_TEMPLATE.FAT&amp;display_string=Audit&amp;VAR:KEY=RWHYLIVQZI&amp;VAR:QUERY=RkZfRUJJVERBX0lCKCdMVE1TJywzOTk3MSk=&amp;WINDOW=FIRST_POPUP&amp;HEIGHT=450&amp;WIDTH=450&amp;START_MA","XIMIZED=FALSE&amp;VAR:CALENDAR=US&amp;VAR:SYMBOL=37183T10&amp;VAR:INDEX=0"}</definedName>
    <definedName name="_3914__FDSAUDITLINK__" hidden="1">{"fdsup://directions/FAT Viewer?action=UPDATE&amp;creator=factset&amp;DYN_ARGS=TRUE&amp;DOC_NAME=FAT:FQL_AUDITING_CLIENT_TEMPLATE.FAT&amp;display_string=Audit&amp;VAR:KEY=RWHYLIVQZI&amp;VAR:QUERY=RkZfRUJJVERBX0lCKCdMVE1TJywzOTk3MSk=&amp;WINDOW=FIRST_POPUP&amp;HEIGHT=450&amp;WIDTH=450&amp;START_MA","XIMIZED=FALSE&amp;VAR:CALENDAR=US&amp;VAR:SYMBOL=37183T10&amp;VAR:INDEX=0"}</definedName>
    <definedName name="_3915__FDSAUDITLINK__" localSheetId="6" hidden="1">{"fdsup://directions/FAT Viewer?action=UPDATE&amp;creator=factset&amp;DYN_ARGS=TRUE&amp;DOC_NAME=FAT:FQL_AUDITING_CLIENT_TEMPLATE.FAT&amp;display_string=Audit&amp;VAR:KEY=LYJARGPKRG&amp;VAR:QUERY=RkZfRUJJVERBX0lCKCdMVE1TJywzOTk3MCk=&amp;WINDOW=FIRST_POPUP&amp;HEIGHT=450&amp;WIDTH=450&amp;START_MA","XIMIZED=FALSE&amp;VAR:CALENDAR=US&amp;VAR:SYMBOL=37183T10&amp;VAR:INDEX=0"}</definedName>
    <definedName name="_3915__FDSAUDITLINK__" hidden="1">{"fdsup://directions/FAT Viewer?action=UPDATE&amp;creator=factset&amp;DYN_ARGS=TRUE&amp;DOC_NAME=FAT:FQL_AUDITING_CLIENT_TEMPLATE.FAT&amp;display_string=Audit&amp;VAR:KEY=LYJARGPKRG&amp;VAR:QUERY=RkZfRUJJVERBX0lCKCdMVE1TJywzOTk3MCk=&amp;WINDOW=FIRST_POPUP&amp;HEIGHT=450&amp;WIDTH=450&amp;START_MA","XIMIZED=FALSE&amp;VAR:CALENDAR=US&amp;VAR:SYMBOL=37183T10&amp;VAR:INDEX=0"}</definedName>
    <definedName name="_3916__FDSAUDITLINK__" localSheetId="6" hidden="1">{"fdsup://directions/FAT Viewer?action=UPDATE&amp;creator=factset&amp;DYN_ARGS=TRUE&amp;DOC_NAME=FAT:FQL_AUDITING_CLIENT_TEMPLATE.FAT&amp;display_string=Audit&amp;VAR:KEY=XQLGPEJEHC&amp;VAR:QUERY=RkZfRUJJVERBX0lCKCdMVE1TJywzOTk2OSk=&amp;WINDOW=FIRST_POPUP&amp;HEIGHT=450&amp;WIDTH=450&amp;START_MA","XIMIZED=FALSE&amp;VAR:CALENDAR=US&amp;VAR:SYMBOL=37183T10&amp;VAR:INDEX=0"}</definedName>
    <definedName name="_3916__FDSAUDITLINK__" hidden="1">{"fdsup://directions/FAT Viewer?action=UPDATE&amp;creator=factset&amp;DYN_ARGS=TRUE&amp;DOC_NAME=FAT:FQL_AUDITING_CLIENT_TEMPLATE.FAT&amp;display_string=Audit&amp;VAR:KEY=XQLGPEJEHC&amp;VAR:QUERY=RkZfRUJJVERBX0lCKCdMVE1TJywzOTk2OSk=&amp;WINDOW=FIRST_POPUP&amp;HEIGHT=450&amp;WIDTH=450&amp;START_MA","XIMIZED=FALSE&amp;VAR:CALENDAR=US&amp;VAR:SYMBOL=37183T10&amp;VAR:INDEX=0"}</definedName>
    <definedName name="_3917__FDSAUDITLINK__" localSheetId="6" hidden="1">{"fdsup://directions/FAT Viewer?action=UPDATE&amp;creator=factset&amp;DYN_ARGS=TRUE&amp;DOC_NAME=FAT:FQL_AUDITING_CLIENT_TEMPLATE.FAT&amp;display_string=Audit&amp;VAR:KEY=FCDCLELGRY&amp;VAR:QUERY=RkZfRUJJVERBX0lCKCdMVE1TJywzOTk2OCk=&amp;WINDOW=FIRST_POPUP&amp;HEIGHT=450&amp;WIDTH=450&amp;START_MA","XIMIZED=FALSE&amp;VAR:CALENDAR=US&amp;VAR:SYMBOL=37183T10&amp;VAR:INDEX=0"}</definedName>
    <definedName name="_3917__FDSAUDITLINK__" hidden="1">{"fdsup://directions/FAT Viewer?action=UPDATE&amp;creator=factset&amp;DYN_ARGS=TRUE&amp;DOC_NAME=FAT:FQL_AUDITING_CLIENT_TEMPLATE.FAT&amp;display_string=Audit&amp;VAR:KEY=FCDCLELGRY&amp;VAR:QUERY=RkZfRUJJVERBX0lCKCdMVE1TJywzOTk2OCk=&amp;WINDOW=FIRST_POPUP&amp;HEIGHT=450&amp;WIDTH=450&amp;START_MA","XIMIZED=FALSE&amp;VAR:CALENDAR=US&amp;VAR:SYMBOL=37183T10&amp;VAR:INDEX=0"}</definedName>
    <definedName name="_3918__FDSAUDITLINK__" localSheetId="6" hidden="1">{"fdsup://directions/FAT Viewer?action=UPDATE&amp;creator=factset&amp;DYN_ARGS=TRUE&amp;DOC_NAME=FAT:FQL_AUDITING_CLIENT_TEMPLATE.FAT&amp;display_string=Audit&amp;VAR:KEY=TCNWHYNQBM&amp;VAR:QUERY=RkZfRUJJVERBX0lCKCdMVE1TJywzOTk2Nyk=&amp;WINDOW=FIRST_POPUP&amp;HEIGHT=450&amp;WIDTH=450&amp;START_MA","XIMIZED=FALSE&amp;VAR:CALENDAR=US&amp;VAR:SYMBOL=37183T10&amp;VAR:INDEX=0"}</definedName>
    <definedName name="_3918__FDSAUDITLINK__" hidden="1">{"fdsup://directions/FAT Viewer?action=UPDATE&amp;creator=factset&amp;DYN_ARGS=TRUE&amp;DOC_NAME=FAT:FQL_AUDITING_CLIENT_TEMPLATE.FAT&amp;display_string=Audit&amp;VAR:KEY=TCNWHYNQBM&amp;VAR:QUERY=RkZfRUJJVERBX0lCKCdMVE1TJywzOTk2Nyk=&amp;WINDOW=FIRST_POPUP&amp;HEIGHT=450&amp;WIDTH=450&amp;START_MA","XIMIZED=FALSE&amp;VAR:CALENDAR=US&amp;VAR:SYMBOL=37183T10&amp;VAR:INDEX=0"}</definedName>
    <definedName name="_3919__FDSAUDITLINK__" localSheetId="6" hidden="1">{"fdsup://directions/FAT Viewer?action=UPDATE&amp;creator=factset&amp;DYN_ARGS=TRUE&amp;DOC_NAME=FAT:FQL_AUDITING_CLIENT_TEMPLATE.FAT&amp;display_string=Audit&amp;VAR:KEY=DARIFEBCDE&amp;VAR:QUERY=RkZfRUJJVERBX0lCKCdMVE1TJywzOTk2Nik=&amp;WINDOW=FIRST_POPUP&amp;HEIGHT=450&amp;WIDTH=450&amp;START_MA","XIMIZED=FALSE&amp;VAR:CALENDAR=US&amp;VAR:SYMBOL=37183T10&amp;VAR:INDEX=0"}</definedName>
    <definedName name="_3919__FDSAUDITLINK__" hidden="1">{"fdsup://directions/FAT Viewer?action=UPDATE&amp;creator=factset&amp;DYN_ARGS=TRUE&amp;DOC_NAME=FAT:FQL_AUDITING_CLIENT_TEMPLATE.FAT&amp;display_string=Audit&amp;VAR:KEY=DARIFEBCDE&amp;VAR:QUERY=RkZfRUJJVERBX0lCKCdMVE1TJywzOTk2Nik=&amp;WINDOW=FIRST_POPUP&amp;HEIGHT=450&amp;WIDTH=450&amp;START_MA","XIMIZED=FALSE&amp;VAR:CALENDAR=US&amp;VAR:SYMBOL=37183T10&amp;VAR:INDEX=0"}</definedName>
    <definedName name="_392__FDSAUDITLINK__" localSheetId="6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2__FDSAUDITLINK__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20__FDSAUDITLINK__" localSheetId="6" hidden="1">{"fdsup://directions/FAT Viewer?action=UPDATE&amp;creator=factset&amp;DYN_ARGS=TRUE&amp;DOC_NAME=FAT:FQL_AUDITING_CLIENT_TEMPLATE.FAT&amp;display_string=Audit&amp;VAR:KEY=HMXANELCXQ&amp;VAR:QUERY=RkZfRUJJVERBX0lCKCdMVE1TJywzOTk2NSk=&amp;WINDOW=FIRST_POPUP&amp;HEIGHT=450&amp;WIDTH=450&amp;START_MA","XIMIZED=FALSE&amp;VAR:CALENDAR=US&amp;VAR:SYMBOL=37183T10&amp;VAR:INDEX=0"}</definedName>
    <definedName name="_3920__FDSAUDITLINK__" hidden="1">{"fdsup://directions/FAT Viewer?action=UPDATE&amp;creator=factset&amp;DYN_ARGS=TRUE&amp;DOC_NAME=FAT:FQL_AUDITING_CLIENT_TEMPLATE.FAT&amp;display_string=Audit&amp;VAR:KEY=HMXANELCXQ&amp;VAR:QUERY=RkZfRUJJVERBX0lCKCdMVE1TJywzOTk2NSk=&amp;WINDOW=FIRST_POPUP&amp;HEIGHT=450&amp;WIDTH=450&amp;START_MA","XIMIZED=FALSE&amp;VAR:CALENDAR=US&amp;VAR:SYMBOL=37183T10&amp;VAR:INDEX=0"}</definedName>
    <definedName name="_3921__FDSAUDITLINK__" localSheetId="6" hidden="1">{"fdsup://directions/FAT Viewer?action=UPDATE&amp;creator=factset&amp;DYN_ARGS=TRUE&amp;DOC_NAME=FAT:FQL_AUDITING_CLIENT_TEMPLATE.FAT&amp;display_string=Audit&amp;VAR:KEY=FKVCFQTOZQ&amp;VAR:QUERY=RkZfRUJJVERBX0lCKCdMVE1TJywzOTk2NCk=&amp;WINDOW=FIRST_POPUP&amp;HEIGHT=450&amp;WIDTH=450&amp;START_MA","XIMIZED=FALSE&amp;VAR:CALENDAR=US&amp;VAR:SYMBOL=37183T10&amp;VAR:INDEX=0"}</definedName>
    <definedName name="_3921__FDSAUDITLINK__" hidden="1">{"fdsup://directions/FAT Viewer?action=UPDATE&amp;creator=factset&amp;DYN_ARGS=TRUE&amp;DOC_NAME=FAT:FQL_AUDITING_CLIENT_TEMPLATE.FAT&amp;display_string=Audit&amp;VAR:KEY=FKVCFQTOZQ&amp;VAR:QUERY=RkZfRUJJVERBX0lCKCdMVE1TJywzOTk2NCk=&amp;WINDOW=FIRST_POPUP&amp;HEIGHT=450&amp;WIDTH=450&amp;START_MA","XIMIZED=FALSE&amp;VAR:CALENDAR=US&amp;VAR:SYMBOL=37183T10&amp;VAR:INDEX=0"}</definedName>
    <definedName name="_3922__FDSAUDITLINK__" localSheetId="6" hidden="1">{"fdsup://directions/FAT Viewer?action=UPDATE&amp;creator=factset&amp;DYN_ARGS=TRUE&amp;DOC_NAME=FAT:FQL_AUDITING_CLIENT_TEMPLATE.FAT&amp;display_string=Audit&amp;VAR:KEY=PUJCZMZUTQ&amp;VAR:QUERY=RkZfRUJJVERBX0lCKCdMVE1TJywzOTk2Myk=&amp;WINDOW=FIRST_POPUP&amp;HEIGHT=450&amp;WIDTH=450&amp;START_MA","XIMIZED=FALSE&amp;VAR:CALENDAR=US&amp;VAR:SYMBOL=37183T10&amp;VAR:INDEX=0"}</definedName>
    <definedName name="_3922__FDSAUDITLINK__" hidden="1">{"fdsup://directions/FAT Viewer?action=UPDATE&amp;creator=factset&amp;DYN_ARGS=TRUE&amp;DOC_NAME=FAT:FQL_AUDITING_CLIENT_TEMPLATE.FAT&amp;display_string=Audit&amp;VAR:KEY=PUJCZMZUTQ&amp;VAR:QUERY=RkZfRUJJVERBX0lCKCdMVE1TJywzOTk2Myk=&amp;WINDOW=FIRST_POPUP&amp;HEIGHT=450&amp;WIDTH=450&amp;START_MA","XIMIZED=FALSE&amp;VAR:CALENDAR=US&amp;VAR:SYMBOL=37183T10&amp;VAR:INDEX=0"}</definedName>
    <definedName name="_3923__FDSAUDITLINK__" localSheetId="6" hidden="1">{"fdsup://directions/FAT Viewer?action=UPDATE&amp;creator=factset&amp;DYN_ARGS=TRUE&amp;DOC_NAME=FAT:FQL_AUDITING_CLIENT_TEMPLATE.FAT&amp;display_string=Audit&amp;VAR:KEY=TCHQTAVEJE&amp;VAR:QUERY=RkZfRUJJVERBX0lCKCdMVE1TJywzOTk2Mik=&amp;WINDOW=FIRST_POPUP&amp;HEIGHT=450&amp;WIDTH=450&amp;START_MA","XIMIZED=FALSE&amp;VAR:CALENDAR=US&amp;VAR:SYMBOL=37183T10&amp;VAR:INDEX=0"}</definedName>
    <definedName name="_3923__FDSAUDITLINK__" hidden="1">{"fdsup://directions/FAT Viewer?action=UPDATE&amp;creator=factset&amp;DYN_ARGS=TRUE&amp;DOC_NAME=FAT:FQL_AUDITING_CLIENT_TEMPLATE.FAT&amp;display_string=Audit&amp;VAR:KEY=TCHQTAVEJE&amp;VAR:QUERY=RkZfRUJJVERBX0lCKCdMVE1TJywzOTk2Mik=&amp;WINDOW=FIRST_POPUP&amp;HEIGHT=450&amp;WIDTH=450&amp;START_MA","XIMIZED=FALSE&amp;VAR:CALENDAR=US&amp;VAR:SYMBOL=37183T10&amp;VAR:INDEX=0"}</definedName>
    <definedName name="_3924__FDSAUDITLINK__" localSheetId="6" hidden="1">{"fdsup://directions/FAT Viewer?action=UPDATE&amp;creator=factset&amp;DYN_ARGS=TRUE&amp;DOC_NAME=FAT:FQL_AUDITING_CLIENT_TEMPLATE.FAT&amp;display_string=Audit&amp;VAR:KEY=FCFOPEJIFQ&amp;VAR:QUERY=RkZfRUJJVERBX0lCKCdMVE1TJywzOTk2MSk=&amp;WINDOW=FIRST_POPUP&amp;HEIGHT=450&amp;WIDTH=450&amp;START_MA","XIMIZED=FALSE&amp;VAR:CALENDAR=US&amp;VAR:SYMBOL=37183T10&amp;VAR:INDEX=0"}</definedName>
    <definedName name="_3924__FDSAUDITLINK__" hidden="1">{"fdsup://directions/FAT Viewer?action=UPDATE&amp;creator=factset&amp;DYN_ARGS=TRUE&amp;DOC_NAME=FAT:FQL_AUDITING_CLIENT_TEMPLATE.FAT&amp;display_string=Audit&amp;VAR:KEY=FCFOPEJIFQ&amp;VAR:QUERY=RkZfRUJJVERBX0lCKCdMVE1TJywzOTk2MSk=&amp;WINDOW=FIRST_POPUP&amp;HEIGHT=450&amp;WIDTH=450&amp;START_MA","XIMIZED=FALSE&amp;VAR:CALENDAR=US&amp;VAR:SYMBOL=37183T10&amp;VAR:INDEX=0"}</definedName>
    <definedName name="_3925__FDSAUDITLINK__" localSheetId="6" hidden="1">{"fdsup://directions/FAT Viewer?action=UPDATE&amp;creator=factset&amp;DYN_ARGS=TRUE&amp;DOC_NAME=FAT:FQL_AUDITING_CLIENT_TEMPLATE.FAT&amp;display_string=Audit&amp;VAR:KEY=VKTGDEPUPI&amp;VAR:QUERY=RkZfRUJJVERBX0lCKCdMVE1TJywzOTk2MCk=&amp;WINDOW=FIRST_POPUP&amp;HEIGHT=450&amp;WIDTH=450&amp;START_MA","XIMIZED=FALSE&amp;VAR:CALENDAR=US&amp;VAR:SYMBOL=37183T10&amp;VAR:INDEX=0"}</definedName>
    <definedName name="_3925__FDSAUDITLINK__" hidden="1">{"fdsup://directions/FAT Viewer?action=UPDATE&amp;creator=factset&amp;DYN_ARGS=TRUE&amp;DOC_NAME=FAT:FQL_AUDITING_CLIENT_TEMPLATE.FAT&amp;display_string=Audit&amp;VAR:KEY=VKTGDEPUPI&amp;VAR:QUERY=RkZfRUJJVERBX0lCKCdMVE1TJywzOTk2MCk=&amp;WINDOW=FIRST_POPUP&amp;HEIGHT=450&amp;WIDTH=450&amp;START_MA","XIMIZED=FALSE&amp;VAR:CALENDAR=US&amp;VAR:SYMBOL=37183T10&amp;VAR:INDEX=0"}</definedName>
    <definedName name="_3926__FDSAUDITLINK__" localSheetId="6" hidden="1">{"fdsup://directions/FAT Viewer?action=UPDATE&amp;creator=factset&amp;DYN_ARGS=TRUE&amp;DOC_NAME=FAT:FQL_AUDITING_CLIENT_TEMPLATE.FAT&amp;display_string=Audit&amp;VAR:KEY=LGZYREBELU&amp;VAR:QUERY=RkZfRUJJVERBX0lCKCdMVE1TJywzOTk1OSk=&amp;WINDOW=FIRST_POPUP&amp;HEIGHT=450&amp;WIDTH=450&amp;START_MA","XIMIZED=FALSE&amp;VAR:CALENDAR=US&amp;VAR:SYMBOL=37183T10&amp;VAR:INDEX=0"}</definedName>
    <definedName name="_3926__FDSAUDITLINK__" hidden="1">{"fdsup://directions/FAT Viewer?action=UPDATE&amp;creator=factset&amp;DYN_ARGS=TRUE&amp;DOC_NAME=FAT:FQL_AUDITING_CLIENT_TEMPLATE.FAT&amp;display_string=Audit&amp;VAR:KEY=LGZYREBELU&amp;VAR:QUERY=RkZfRUJJVERBX0lCKCdMVE1TJywzOTk1OSk=&amp;WINDOW=FIRST_POPUP&amp;HEIGHT=450&amp;WIDTH=450&amp;START_MA","XIMIZED=FALSE&amp;VAR:CALENDAR=US&amp;VAR:SYMBOL=37183T10&amp;VAR:INDEX=0"}</definedName>
    <definedName name="_3927__FDSAUDITLINK__" localSheetId="6" hidden="1">{"fdsup://directions/FAT Viewer?action=UPDATE&amp;creator=factset&amp;DYN_ARGS=TRUE&amp;DOC_NAME=FAT:FQL_AUDITING_CLIENT_TEMPLATE.FAT&amp;display_string=Audit&amp;VAR:KEY=HEZAHWVGBU&amp;VAR:QUERY=RkZfRUJJVERBX0lCKCdMVE1TJywzOTk1OCk=&amp;WINDOW=FIRST_POPUP&amp;HEIGHT=450&amp;WIDTH=450&amp;START_MA","XIMIZED=FALSE&amp;VAR:CALENDAR=US&amp;VAR:SYMBOL=37183T10&amp;VAR:INDEX=0"}</definedName>
    <definedName name="_3927__FDSAUDITLINK__" hidden="1">{"fdsup://directions/FAT Viewer?action=UPDATE&amp;creator=factset&amp;DYN_ARGS=TRUE&amp;DOC_NAME=FAT:FQL_AUDITING_CLIENT_TEMPLATE.FAT&amp;display_string=Audit&amp;VAR:KEY=HEZAHWVGBU&amp;VAR:QUERY=RkZfRUJJVERBX0lCKCdMVE1TJywzOTk1OCk=&amp;WINDOW=FIRST_POPUP&amp;HEIGHT=450&amp;WIDTH=450&amp;START_MA","XIMIZED=FALSE&amp;VAR:CALENDAR=US&amp;VAR:SYMBOL=37183T10&amp;VAR:INDEX=0"}</definedName>
    <definedName name="_3928__FDSAUDITLINK__" localSheetId="6" hidden="1">{"fdsup://directions/FAT Viewer?action=UPDATE&amp;creator=factset&amp;DYN_ARGS=TRUE&amp;DOC_NAME=FAT:FQL_AUDITING_CLIENT_TEMPLATE.FAT&amp;display_string=Audit&amp;VAR:KEY=DWHUJYZAHM&amp;VAR:QUERY=RkZfRUJJVERBX0lCKCdMVE1TJywzOTk1Nyk=&amp;WINDOW=FIRST_POPUP&amp;HEIGHT=450&amp;WIDTH=450&amp;START_MA","XIMIZED=FALSE&amp;VAR:CALENDAR=US&amp;VAR:SYMBOL=37183T10&amp;VAR:INDEX=0"}</definedName>
    <definedName name="_3928__FDSAUDITLINK__" hidden="1">{"fdsup://directions/FAT Viewer?action=UPDATE&amp;creator=factset&amp;DYN_ARGS=TRUE&amp;DOC_NAME=FAT:FQL_AUDITING_CLIENT_TEMPLATE.FAT&amp;display_string=Audit&amp;VAR:KEY=DWHUJYZAHM&amp;VAR:QUERY=RkZfRUJJVERBX0lCKCdMVE1TJywzOTk1Nyk=&amp;WINDOW=FIRST_POPUP&amp;HEIGHT=450&amp;WIDTH=450&amp;START_MA","XIMIZED=FALSE&amp;VAR:CALENDAR=US&amp;VAR:SYMBOL=37183T10&amp;VAR:INDEX=0"}</definedName>
    <definedName name="_3929__FDSAUDITLINK__" localSheetId="6" hidden="1">{"fdsup://directions/FAT Viewer?action=UPDATE&amp;creator=factset&amp;DYN_ARGS=TRUE&amp;DOC_NAME=FAT:FQL_AUDITING_CLIENT_TEMPLATE.FAT&amp;display_string=Audit&amp;VAR:KEY=VCJOPIPQFY&amp;VAR:QUERY=RkZfRUJJVERBX0lCKCdMVE1TJywzOTk1Nik=&amp;WINDOW=FIRST_POPUP&amp;HEIGHT=450&amp;WIDTH=450&amp;START_MA","XIMIZED=FALSE&amp;VAR:CALENDAR=US&amp;VAR:SYMBOL=37183T10&amp;VAR:INDEX=0"}</definedName>
    <definedName name="_3929__FDSAUDITLINK__" hidden="1">{"fdsup://directions/FAT Viewer?action=UPDATE&amp;creator=factset&amp;DYN_ARGS=TRUE&amp;DOC_NAME=FAT:FQL_AUDITING_CLIENT_TEMPLATE.FAT&amp;display_string=Audit&amp;VAR:KEY=VCJOPIPQFY&amp;VAR:QUERY=RkZfRUJJVERBX0lCKCdMVE1TJywzOTk1Nik=&amp;WINDOW=FIRST_POPUP&amp;HEIGHT=450&amp;WIDTH=450&amp;START_MA","XIMIZED=FALSE&amp;VAR:CALENDAR=US&amp;VAR:SYMBOL=37183T10&amp;VAR:INDEX=0"}</definedName>
    <definedName name="_393__FDSAUDITLINK__" localSheetId="6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3__FDSAUDITLINK__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30__FDSAUDITLINK__" localSheetId="6" hidden="1">{"fdsup://directions/FAT Viewer?action=UPDATE&amp;creator=factset&amp;DYN_ARGS=TRUE&amp;DOC_NAME=FAT:FQL_AUDITING_CLIENT_TEMPLATE.FAT&amp;display_string=Audit&amp;VAR:KEY=TMBEJCHOPA&amp;VAR:QUERY=RkZfRUJJVERBX0lCKCdMVE1TJywzOTk1NSk=&amp;WINDOW=FIRST_POPUP&amp;HEIGHT=450&amp;WIDTH=450&amp;START_MA","XIMIZED=FALSE&amp;VAR:CALENDAR=US&amp;VAR:SYMBOL=37183T10&amp;VAR:INDEX=0"}</definedName>
    <definedName name="_3930__FDSAUDITLINK__" hidden="1">{"fdsup://directions/FAT Viewer?action=UPDATE&amp;creator=factset&amp;DYN_ARGS=TRUE&amp;DOC_NAME=FAT:FQL_AUDITING_CLIENT_TEMPLATE.FAT&amp;display_string=Audit&amp;VAR:KEY=TMBEJCHOPA&amp;VAR:QUERY=RkZfRUJJVERBX0lCKCdMVE1TJywzOTk1NSk=&amp;WINDOW=FIRST_POPUP&amp;HEIGHT=450&amp;WIDTH=450&amp;START_MA","XIMIZED=FALSE&amp;VAR:CALENDAR=US&amp;VAR:SYMBOL=37183T10&amp;VAR:INDEX=0"}</definedName>
    <definedName name="_3931__FDSAUDITLINK__" localSheetId="6" hidden="1">{"fdsup://directions/FAT Viewer?action=UPDATE&amp;creator=factset&amp;DYN_ARGS=TRUE&amp;DOC_NAME=FAT:FQL_AUDITING_CLIENT_TEMPLATE.FAT&amp;display_string=Audit&amp;VAR:KEY=JGNUZMJOPY&amp;VAR:QUERY=RkZfRUJJVERBX0lCKCdMVE1TJywzOTk1NCk=&amp;WINDOW=FIRST_POPUP&amp;HEIGHT=450&amp;WIDTH=450&amp;START_MA","XIMIZED=FALSE&amp;VAR:CALENDAR=US&amp;VAR:SYMBOL=37183T10&amp;VAR:INDEX=0"}</definedName>
    <definedName name="_3931__FDSAUDITLINK__" hidden="1">{"fdsup://directions/FAT Viewer?action=UPDATE&amp;creator=factset&amp;DYN_ARGS=TRUE&amp;DOC_NAME=FAT:FQL_AUDITING_CLIENT_TEMPLATE.FAT&amp;display_string=Audit&amp;VAR:KEY=JGNUZMJOPY&amp;VAR:QUERY=RkZfRUJJVERBX0lCKCdMVE1TJywzOTk1NCk=&amp;WINDOW=FIRST_POPUP&amp;HEIGHT=450&amp;WIDTH=450&amp;START_MA","XIMIZED=FALSE&amp;VAR:CALENDAR=US&amp;VAR:SYMBOL=37183T10&amp;VAR:INDEX=0"}</definedName>
    <definedName name="_3932__FDSAUDITLINK__" localSheetId="6" hidden="1">{"fdsup://directions/FAT Viewer?action=UPDATE&amp;creator=factset&amp;DYN_ARGS=TRUE&amp;DOC_NAME=FAT:FQL_AUDITING_CLIENT_TEMPLATE.FAT&amp;display_string=Audit&amp;VAR:KEY=VQTKDUBOVW&amp;VAR:QUERY=RkZfRUJJVERBX0lCKCdMVE1TJywzOTk1Myk=&amp;WINDOW=FIRST_POPUP&amp;HEIGHT=450&amp;WIDTH=450&amp;START_MA","XIMIZED=FALSE&amp;VAR:CALENDAR=US&amp;VAR:SYMBOL=37183T10&amp;VAR:INDEX=0"}</definedName>
    <definedName name="_3932__FDSAUDITLINK__" hidden="1">{"fdsup://directions/FAT Viewer?action=UPDATE&amp;creator=factset&amp;DYN_ARGS=TRUE&amp;DOC_NAME=FAT:FQL_AUDITING_CLIENT_TEMPLATE.FAT&amp;display_string=Audit&amp;VAR:KEY=VQTKDUBOVW&amp;VAR:QUERY=RkZfRUJJVERBX0lCKCdMVE1TJywzOTk1Myk=&amp;WINDOW=FIRST_POPUP&amp;HEIGHT=450&amp;WIDTH=450&amp;START_MA","XIMIZED=FALSE&amp;VAR:CALENDAR=US&amp;VAR:SYMBOL=37183T10&amp;VAR:INDEX=0"}</definedName>
    <definedName name="_3933__FDSAUDITLINK__" localSheetId="6" hidden="1">{"fdsup://directions/FAT Viewer?action=UPDATE&amp;creator=factset&amp;DYN_ARGS=TRUE&amp;DOC_NAME=FAT:FQL_AUDITING_CLIENT_TEMPLATE.FAT&amp;display_string=Audit&amp;VAR:KEY=NUJIRYJMBU&amp;VAR:QUERY=RkZfRUJJVERBX0lCKCdMVE1TJywzOTk1Mik=&amp;WINDOW=FIRST_POPUP&amp;HEIGHT=450&amp;WIDTH=450&amp;START_MA","XIMIZED=FALSE&amp;VAR:CALENDAR=US&amp;VAR:SYMBOL=37183T10&amp;VAR:INDEX=0"}</definedName>
    <definedName name="_3933__FDSAUDITLINK__" hidden="1">{"fdsup://directions/FAT Viewer?action=UPDATE&amp;creator=factset&amp;DYN_ARGS=TRUE&amp;DOC_NAME=FAT:FQL_AUDITING_CLIENT_TEMPLATE.FAT&amp;display_string=Audit&amp;VAR:KEY=NUJIRYJMBU&amp;VAR:QUERY=RkZfRUJJVERBX0lCKCdMVE1TJywzOTk1Mik=&amp;WINDOW=FIRST_POPUP&amp;HEIGHT=450&amp;WIDTH=450&amp;START_MA","XIMIZED=FALSE&amp;VAR:CALENDAR=US&amp;VAR:SYMBOL=37183T10&amp;VAR:INDEX=0"}</definedName>
    <definedName name="_3934__FDSAUDITLINK__" localSheetId="6" hidden="1">{"fdsup://directions/FAT Viewer?action=UPDATE&amp;creator=factset&amp;DYN_ARGS=TRUE&amp;DOC_NAME=FAT:FQL_AUDITING_CLIENT_TEMPLATE.FAT&amp;display_string=Audit&amp;VAR:KEY=RYNAZCPMTO&amp;VAR:QUERY=RkZfRUJJVERBX0lCKCdMVE1TJywzOTk1MSk=&amp;WINDOW=FIRST_POPUP&amp;HEIGHT=450&amp;WIDTH=450&amp;START_MA","XIMIZED=FALSE&amp;VAR:CALENDAR=US&amp;VAR:SYMBOL=37183T10&amp;VAR:INDEX=0"}</definedName>
    <definedName name="_3934__FDSAUDITLINK__" hidden="1">{"fdsup://directions/FAT Viewer?action=UPDATE&amp;creator=factset&amp;DYN_ARGS=TRUE&amp;DOC_NAME=FAT:FQL_AUDITING_CLIENT_TEMPLATE.FAT&amp;display_string=Audit&amp;VAR:KEY=RYNAZCPMTO&amp;VAR:QUERY=RkZfRUJJVERBX0lCKCdMVE1TJywzOTk1MSk=&amp;WINDOW=FIRST_POPUP&amp;HEIGHT=450&amp;WIDTH=450&amp;START_MA","XIMIZED=FALSE&amp;VAR:CALENDAR=US&amp;VAR:SYMBOL=37183T10&amp;VAR:INDEX=0"}</definedName>
    <definedName name="_3935__FDSAUDITLINK__" localSheetId="6" hidden="1">{"fdsup://directions/FAT Viewer?action=UPDATE&amp;creator=factset&amp;DYN_ARGS=TRUE&amp;DOC_NAME=FAT:FQL_AUDITING_CLIENT_TEMPLATE.FAT&amp;display_string=Audit&amp;VAR:KEY=RADKHMVYXK&amp;VAR:QUERY=RkZfRUJJVERBX0lCKCdMVE1TJywzOTk1MCk=&amp;WINDOW=FIRST_POPUP&amp;HEIGHT=450&amp;WIDTH=450&amp;START_MA","XIMIZED=FALSE&amp;VAR:CALENDAR=US&amp;VAR:SYMBOL=37183T10&amp;VAR:INDEX=0"}</definedName>
    <definedName name="_3935__FDSAUDITLINK__" hidden="1">{"fdsup://directions/FAT Viewer?action=UPDATE&amp;creator=factset&amp;DYN_ARGS=TRUE&amp;DOC_NAME=FAT:FQL_AUDITING_CLIENT_TEMPLATE.FAT&amp;display_string=Audit&amp;VAR:KEY=RADKHMVYXK&amp;VAR:QUERY=RkZfRUJJVERBX0lCKCdMVE1TJywzOTk1MCk=&amp;WINDOW=FIRST_POPUP&amp;HEIGHT=450&amp;WIDTH=450&amp;START_MA","XIMIZED=FALSE&amp;VAR:CALENDAR=US&amp;VAR:SYMBOL=37183T10&amp;VAR:INDEX=0"}</definedName>
    <definedName name="_3936__FDSAUDITLINK__" localSheetId="6" hidden="1">{"fdsup://directions/FAT Viewer?action=UPDATE&amp;creator=factset&amp;DYN_ARGS=TRUE&amp;DOC_NAME=FAT:FQL_AUDITING_CLIENT_TEMPLATE.FAT&amp;display_string=Audit&amp;VAR:KEY=FABCNCFOBE&amp;VAR:QUERY=RkZfRUJJVERBX0lCKCdMVE1TJywzOTk0OSk=&amp;WINDOW=FIRST_POPUP&amp;HEIGHT=450&amp;WIDTH=450&amp;START_MA","XIMIZED=FALSE&amp;VAR:CALENDAR=US&amp;VAR:SYMBOL=37183T10&amp;VAR:INDEX=0"}</definedName>
    <definedName name="_3936__FDSAUDITLINK__" hidden="1">{"fdsup://directions/FAT Viewer?action=UPDATE&amp;creator=factset&amp;DYN_ARGS=TRUE&amp;DOC_NAME=FAT:FQL_AUDITING_CLIENT_TEMPLATE.FAT&amp;display_string=Audit&amp;VAR:KEY=FABCNCFOBE&amp;VAR:QUERY=RkZfRUJJVERBX0lCKCdMVE1TJywzOTk0OSk=&amp;WINDOW=FIRST_POPUP&amp;HEIGHT=450&amp;WIDTH=450&amp;START_MA","XIMIZED=FALSE&amp;VAR:CALENDAR=US&amp;VAR:SYMBOL=37183T10&amp;VAR:INDEX=0"}</definedName>
    <definedName name="_3937__FDSAUDITLINK__" localSheetId="6" hidden="1">{"fdsup://directions/FAT Viewer?action=UPDATE&amp;creator=factset&amp;DYN_ARGS=TRUE&amp;DOC_NAME=FAT:FQL_AUDITING_CLIENT_TEMPLATE.FAT&amp;display_string=Audit&amp;VAR:KEY=LIJMHQNSJY&amp;VAR:QUERY=RkZfRUJJVERBX0lCKCdMVE1TJywzOTk0OCk=&amp;WINDOW=FIRST_POPUP&amp;HEIGHT=450&amp;WIDTH=450&amp;START_MA","XIMIZED=FALSE&amp;VAR:CALENDAR=US&amp;VAR:SYMBOL=37183T10&amp;VAR:INDEX=0"}</definedName>
    <definedName name="_3937__FDSAUDITLINK__" hidden="1">{"fdsup://directions/FAT Viewer?action=UPDATE&amp;creator=factset&amp;DYN_ARGS=TRUE&amp;DOC_NAME=FAT:FQL_AUDITING_CLIENT_TEMPLATE.FAT&amp;display_string=Audit&amp;VAR:KEY=LIJMHQNSJY&amp;VAR:QUERY=RkZfRUJJVERBX0lCKCdMVE1TJywzOTk0OCk=&amp;WINDOW=FIRST_POPUP&amp;HEIGHT=450&amp;WIDTH=450&amp;START_MA","XIMIZED=FALSE&amp;VAR:CALENDAR=US&amp;VAR:SYMBOL=37183T10&amp;VAR:INDEX=0"}</definedName>
    <definedName name="_3938__FDSAUDITLINK__" localSheetId="6" hidden="1">{"fdsup://directions/FAT Viewer?action=UPDATE&amp;creator=factset&amp;DYN_ARGS=TRUE&amp;DOC_NAME=FAT:FQL_AUDITING_CLIENT_TEMPLATE.FAT&amp;display_string=Audit&amp;VAR:KEY=FWHARYNAFI&amp;VAR:QUERY=RkZfRUJJVERBX0lCKCdMVE1TJywzOTk0Nyk=&amp;WINDOW=FIRST_POPUP&amp;HEIGHT=450&amp;WIDTH=450&amp;START_MA","XIMIZED=FALSE&amp;VAR:CALENDAR=US&amp;VAR:SYMBOL=37183T10&amp;VAR:INDEX=0"}</definedName>
    <definedName name="_3938__FDSAUDITLINK__" hidden="1">{"fdsup://directions/FAT Viewer?action=UPDATE&amp;creator=factset&amp;DYN_ARGS=TRUE&amp;DOC_NAME=FAT:FQL_AUDITING_CLIENT_TEMPLATE.FAT&amp;display_string=Audit&amp;VAR:KEY=FWHARYNAFI&amp;VAR:QUERY=RkZfRUJJVERBX0lCKCdMVE1TJywzOTk0Nyk=&amp;WINDOW=FIRST_POPUP&amp;HEIGHT=450&amp;WIDTH=450&amp;START_MA","XIMIZED=FALSE&amp;VAR:CALENDAR=US&amp;VAR:SYMBOL=37183T10&amp;VAR:INDEX=0"}</definedName>
    <definedName name="_3939__FDSAUDITLINK__" localSheetId="6" hidden="1">{"fdsup://directions/FAT Viewer?action=UPDATE&amp;creator=factset&amp;DYN_ARGS=TRUE&amp;DOC_NAME=FAT:FQL_AUDITING_CLIENT_TEMPLATE.FAT&amp;display_string=Audit&amp;VAR:KEY=PURKLWVOVM&amp;VAR:QUERY=RkZfRUJJVERBX0lCKCdMVE1TJywzOTk0Nik=&amp;WINDOW=FIRST_POPUP&amp;HEIGHT=450&amp;WIDTH=450&amp;START_MA","XIMIZED=FALSE&amp;VAR:CALENDAR=US&amp;VAR:SYMBOL=37183T10&amp;VAR:INDEX=0"}</definedName>
    <definedName name="_3939__FDSAUDITLINK__" hidden="1">{"fdsup://directions/FAT Viewer?action=UPDATE&amp;creator=factset&amp;DYN_ARGS=TRUE&amp;DOC_NAME=FAT:FQL_AUDITING_CLIENT_TEMPLATE.FAT&amp;display_string=Audit&amp;VAR:KEY=PURKLWVOVM&amp;VAR:QUERY=RkZfRUJJVERBX0lCKCdMVE1TJywzOTk0Nik=&amp;WINDOW=FIRST_POPUP&amp;HEIGHT=450&amp;WIDTH=450&amp;START_MA","XIMIZED=FALSE&amp;VAR:CALENDAR=US&amp;VAR:SYMBOL=37183T10&amp;VAR:INDEX=0"}</definedName>
    <definedName name="_394__FDSAUDITLINK__" localSheetId="6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4__FDSAUDITLINK__" hidden="1">{"fdsup://directions/FAT%20Viewer?VAR:PED=LTM&amp;VAR:AUDIT_MODE=SUMMARY&amp;VAR:PERIOD=FIXED&amp;VAR:AUDIT_ID=00000117&amp;VAR:DATE=20090123&amp;action=UPDATE&amp;creator=factset&amp;DOC_NAME=FAT:FMA_audit_SUMMARY.fat&amp;DISPLAY_STRING=Display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40__FDSAUDITLINK__" localSheetId="6" hidden="1">{"fdsup://directions/FAT Viewer?action=UPDATE&amp;creator=factset&amp;DYN_ARGS=TRUE&amp;DOC_NAME=FAT:FQL_AUDITING_CLIENT_TEMPLATE.FAT&amp;display_string=Audit&amp;VAR:KEY=VWXQNOLQTO&amp;VAR:QUERY=RkZfRUJJVERBX0lCKCdMVE1TJywzOTk0NSk=&amp;WINDOW=FIRST_POPUP&amp;HEIGHT=450&amp;WIDTH=450&amp;START_MA","XIMIZED=FALSE&amp;VAR:CALENDAR=US&amp;VAR:SYMBOL=37183T10&amp;VAR:INDEX=0"}</definedName>
    <definedName name="_3940__FDSAUDITLINK__" hidden="1">{"fdsup://directions/FAT Viewer?action=UPDATE&amp;creator=factset&amp;DYN_ARGS=TRUE&amp;DOC_NAME=FAT:FQL_AUDITING_CLIENT_TEMPLATE.FAT&amp;display_string=Audit&amp;VAR:KEY=VWXQNOLQTO&amp;VAR:QUERY=RkZfRUJJVERBX0lCKCdMVE1TJywzOTk0NSk=&amp;WINDOW=FIRST_POPUP&amp;HEIGHT=450&amp;WIDTH=450&amp;START_MA","XIMIZED=FALSE&amp;VAR:CALENDAR=US&amp;VAR:SYMBOL=37183T10&amp;VAR:INDEX=0"}</definedName>
    <definedName name="_3941__FDSAUDITLINK__" localSheetId="6" hidden="1">{"fdsup://directions/FAT Viewer?action=UPDATE&amp;creator=factset&amp;DYN_ARGS=TRUE&amp;DOC_NAME=FAT:FQL_AUDITING_CLIENT_TEMPLATE.FAT&amp;display_string=Audit&amp;VAR:KEY=HAFYFSTEPA&amp;VAR:QUERY=RkZfRUJJVERBX0lCKCdMVE1TJywzOTk0NCk=&amp;WINDOW=FIRST_POPUP&amp;HEIGHT=450&amp;WIDTH=450&amp;START_MA","XIMIZED=FALSE&amp;VAR:CALENDAR=US&amp;VAR:SYMBOL=37183T10&amp;VAR:INDEX=0"}</definedName>
    <definedName name="_3941__FDSAUDITLINK__" hidden="1">{"fdsup://directions/FAT Viewer?action=UPDATE&amp;creator=factset&amp;DYN_ARGS=TRUE&amp;DOC_NAME=FAT:FQL_AUDITING_CLIENT_TEMPLATE.FAT&amp;display_string=Audit&amp;VAR:KEY=HAFYFSTEPA&amp;VAR:QUERY=RkZfRUJJVERBX0lCKCdMVE1TJywzOTk0NCk=&amp;WINDOW=FIRST_POPUP&amp;HEIGHT=450&amp;WIDTH=450&amp;START_MA","XIMIZED=FALSE&amp;VAR:CALENDAR=US&amp;VAR:SYMBOL=37183T10&amp;VAR:INDEX=0"}</definedName>
    <definedName name="_3942__FDSAUDITLINK__" localSheetId="6" hidden="1">{"fdsup://directions/FAT Viewer?action=UPDATE&amp;creator=factset&amp;DYN_ARGS=TRUE&amp;DOC_NAME=FAT:FQL_AUDITING_CLIENT_TEMPLATE.FAT&amp;display_string=Audit&amp;VAR:KEY=BOTMDKHWVQ&amp;VAR:QUERY=RkZfRUJJVERBX0lCKCdMVE1TJywzOTk0Myk=&amp;WINDOW=FIRST_POPUP&amp;HEIGHT=450&amp;WIDTH=450&amp;START_MA","XIMIZED=FALSE&amp;VAR:CALENDAR=US&amp;VAR:SYMBOL=37183T10&amp;VAR:INDEX=0"}</definedName>
    <definedName name="_3942__FDSAUDITLINK__" hidden="1">{"fdsup://directions/FAT Viewer?action=UPDATE&amp;creator=factset&amp;DYN_ARGS=TRUE&amp;DOC_NAME=FAT:FQL_AUDITING_CLIENT_TEMPLATE.FAT&amp;display_string=Audit&amp;VAR:KEY=BOTMDKHWVQ&amp;VAR:QUERY=RkZfRUJJVERBX0lCKCdMVE1TJywzOTk0Myk=&amp;WINDOW=FIRST_POPUP&amp;HEIGHT=450&amp;WIDTH=450&amp;START_MA","XIMIZED=FALSE&amp;VAR:CALENDAR=US&amp;VAR:SYMBOL=37183T10&amp;VAR:INDEX=0"}</definedName>
    <definedName name="_3943__FDSAUDITLINK__" localSheetId="6" hidden="1">{"fdsup://directions/FAT Viewer?action=UPDATE&amp;creator=factset&amp;DYN_ARGS=TRUE&amp;DOC_NAME=FAT:FQL_AUDITING_CLIENT_TEMPLATE.FAT&amp;display_string=Audit&amp;VAR:KEY=ZOHEFMNWLK&amp;VAR:QUERY=RkZfRUJJVERBX0lCKCdMVE1TJywzOTk0Mik=&amp;WINDOW=FIRST_POPUP&amp;HEIGHT=450&amp;WIDTH=450&amp;START_MA","XIMIZED=FALSE&amp;VAR:CALENDAR=US&amp;VAR:SYMBOL=37183T10&amp;VAR:INDEX=0"}</definedName>
    <definedName name="_3943__FDSAUDITLINK__" hidden="1">{"fdsup://directions/FAT Viewer?action=UPDATE&amp;creator=factset&amp;DYN_ARGS=TRUE&amp;DOC_NAME=FAT:FQL_AUDITING_CLIENT_TEMPLATE.FAT&amp;display_string=Audit&amp;VAR:KEY=ZOHEFMNWLK&amp;VAR:QUERY=RkZfRUJJVERBX0lCKCdMVE1TJywzOTk0Mik=&amp;WINDOW=FIRST_POPUP&amp;HEIGHT=450&amp;WIDTH=450&amp;START_MA","XIMIZED=FALSE&amp;VAR:CALENDAR=US&amp;VAR:SYMBOL=37183T10&amp;VAR:INDEX=0"}</definedName>
    <definedName name="_3944__FDSAUDITLINK__" localSheetId="6" hidden="1">{"fdsup://directions/FAT Viewer?action=UPDATE&amp;creator=factset&amp;DYN_ARGS=TRUE&amp;DOC_NAME=FAT:FQL_AUDITING_CLIENT_TEMPLATE.FAT&amp;display_string=Audit&amp;VAR:KEY=JKLYTGBIFE&amp;VAR:QUERY=RkZfRUJJVERBX0lCKCdMVE1TJywzOTk0MSk=&amp;WINDOW=FIRST_POPUP&amp;HEIGHT=450&amp;WIDTH=450&amp;START_MA","XIMIZED=FALSE&amp;VAR:CALENDAR=US&amp;VAR:SYMBOL=37183T10&amp;VAR:INDEX=0"}</definedName>
    <definedName name="_3944__FDSAUDITLINK__" hidden="1">{"fdsup://directions/FAT Viewer?action=UPDATE&amp;creator=factset&amp;DYN_ARGS=TRUE&amp;DOC_NAME=FAT:FQL_AUDITING_CLIENT_TEMPLATE.FAT&amp;display_string=Audit&amp;VAR:KEY=JKLYTGBIFE&amp;VAR:QUERY=RkZfRUJJVERBX0lCKCdMVE1TJywzOTk0MSk=&amp;WINDOW=FIRST_POPUP&amp;HEIGHT=450&amp;WIDTH=450&amp;START_MA","XIMIZED=FALSE&amp;VAR:CALENDAR=US&amp;VAR:SYMBOL=37183T10&amp;VAR:INDEX=0"}</definedName>
    <definedName name="_3945__FDSAUDITLINK__" localSheetId="6" hidden="1">{"fdsup://directions/FAT Viewer?action=UPDATE&amp;creator=factset&amp;DYN_ARGS=TRUE&amp;DOC_NAME=FAT:FQL_AUDITING_CLIENT_TEMPLATE.FAT&amp;display_string=Audit&amp;VAR:KEY=HEZSTQLSLI&amp;VAR:QUERY=RkZfRUJJVERBX0lCKCdMVE1TJywzOTk0MCk=&amp;WINDOW=FIRST_POPUP&amp;HEIGHT=450&amp;WIDTH=450&amp;START_MA","XIMIZED=FALSE&amp;VAR:CALENDAR=US&amp;VAR:SYMBOL=37183T10&amp;VAR:INDEX=0"}</definedName>
    <definedName name="_3945__FDSAUDITLINK__" hidden="1">{"fdsup://directions/FAT Viewer?action=UPDATE&amp;creator=factset&amp;DYN_ARGS=TRUE&amp;DOC_NAME=FAT:FQL_AUDITING_CLIENT_TEMPLATE.FAT&amp;display_string=Audit&amp;VAR:KEY=HEZSTQLSLI&amp;VAR:QUERY=RkZfRUJJVERBX0lCKCdMVE1TJywzOTk0MCk=&amp;WINDOW=FIRST_POPUP&amp;HEIGHT=450&amp;WIDTH=450&amp;START_MA","XIMIZED=FALSE&amp;VAR:CALENDAR=US&amp;VAR:SYMBOL=37183T10&amp;VAR:INDEX=0"}</definedName>
    <definedName name="_3946__FDSAUDITLINK__" localSheetId="6" hidden="1">{"fdsup://directions/FAT Viewer?action=UPDATE&amp;creator=factset&amp;DYN_ARGS=TRUE&amp;DOC_NAME=FAT:FQL_AUDITING_CLIENT_TEMPLATE.FAT&amp;display_string=Audit&amp;VAR:KEY=FMXAHQVMDS&amp;VAR:QUERY=RkZfRUJJVERBX0lCKCdMVE1TJywzOTkzOSk=&amp;WINDOW=FIRST_POPUP&amp;HEIGHT=450&amp;WIDTH=450&amp;START_MA","XIMIZED=FALSE&amp;VAR:CALENDAR=US&amp;VAR:SYMBOL=37183T10&amp;VAR:INDEX=0"}</definedName>
    <definedName name="_3946__FDSAUDITLINK__" hidden="1">{"fdsup://directions/FAT Viewer?action=UPDATE&amp;creator=factset&amp;DYN_ARGS=TRUE&amp;DOC_NAME=FAT:FQL_AUDITING_CLIENT_TEMPLATE.FAT&amp;display_string=Audit&amp;VAR:KEY=FMXAHQVMDS&amp;VAR:QUERY=RkZfRUJJVERBX0lCKCdMVE1TJywzOTkzOSk=&amp;WINDOW=FIRST_POPUP&amp;HEIGHT=450&amp;WIDTH=450&amp;START_MA","XIMIZED=FALSE&amp;VAR:CALENDAR=US&amp;VAR:SYMBOL=37183T10&amp;VAR:INDEX=0"}</definedName>
    <definedName name="_3947__FDSAUDITLINK__" localSheetId="6" hidden="1">{"fdsup://directions/FAT Viewer?action=UPDATE&amp;creator=factset&amp;DYN_ARGS=TRUE&amp;DOC_NAME=FAT:FQL_AUDITING_CLIENT_TEMPLATE.FAT&amp;display_string=Audit&amp;VAR:KEY=ZOHKPQFQHA&amp;VAR:QUERY=RkZfRUJJVERBX0lCKCdMVE1TJywzOTkzOCk=&amp;WINDOW=FIRST_POPUP&amp;HEIGHT=450&amp;WIDTH=450&amp;START_MA","XIMIZED=FALSE&amp;VAR:CALENDAR=US&amp;VAR:SYMBOL=37183T10&amp;VAR:INDEX=0"}</definedName>
    <definedName name="_3947__FDSAUDITLINK__" hidden="1">{"fdsup://directions/FAT Viewer?action=UPDATE&amp;creator=factset&amp;DYN_ARGS=TRUE&amp;DOC_NAME=FAT:FQL_AUDITING_CLIENT_TEMPLATE.FAT&amp;display_string=Audit&amp;VAR:KEY=ZOHKPQFQHA&amp;VAR:QUERY=RkZfRUJJVERBX0lCKCdMVE1TJywzOTkzOCk=&amp;WINDOW=FIRST_POPUP&amp;HEIGHT=450&amp;WIDTH=450&amp;START_MA","XIMIZED=FALSE&amp;VAR:CALENDAR=US&amp;VAR:SYMBOL=37183T10&amp;VAR:INDEX=0"}</definedName>
    <definedName name="_3948__FDSAUDITLINK__" localSheetId="6" hidden="1">{"fdsup://directions/FAT Viewer?action=UPDATE&amp;creator=factset&amp;DYN_ARGS=TRUE&amp;DOC_NAME=FAT:FQL_AUDITING_CLIENT_TEMPLATE.FAT&amp;display_string=Audit&amp;VAR:KEY=ZKDIHWNEPE&amp;VAR:QUERY=RkZfRUJJVERBX0lCKCdMVE1TJywzOTkzNyk=&amp;WINDOW=FIRST_POPUP&amp;HEIGHT=450&amp;WIDTH=450&amp;START_MA","XIMIZED=FALSE&amp;VAR:CALENDAR=US&amp;VAR:SYMBOL=37183T10&amp;VAR:INDEX=0"}</definedName>
    <definedName name="_3948__FDSAUDITLINK__" hidden="1">{"fdsup://directions/FAT Viewer?action=UPDATE&amp;creator=factset&amp;DYN_ARGS=TRUE&amp;DOC_NAME=FAT:FQL_AUDITING_CLIENT_TEMPLATE.FAT&amp;display_string=Audit&amp;VAR:KEY=ZKDIHWNEPE&amp;VAR:QUERY=RkZfRUJJVERBX0lCKCdMVE1TJywzOTkzNyk=&amp;WINDOW=FIRST_POPUP&amp;HEIGHT=450&amp;WIDTH=450&amp;START_MA","XIMIZED=FALSE&amp;VAR:CALENDAR=US&amp;VAR:SYMBOL=37183T10&amp;VAR:INDEX=0"}</definedName>
    <definedName name="_3949__FDSAUDITLINK__" localSheetId="6" hidden="1">{"fdsup://directions/FAT Viewer?action=UPDATE&amp;creator=factset&amp;DYN_ARGS=TRUE&amp;DOC_NAME=FAT:FQL_AUDITING_CLIENT_TEMPLATE.FAT&amp;display_string=Audit&amp;VAR:KEY=FQDWXCVUTM&amp;VAR:QUERY=RkZfRUJJVERBX0lCKCdMVE1TJywzOTkzNik=&amp;WINDOW=FIRST_POPUP&amp;HEIGHT=450&amp;WIDTH=450&amp;START_MA","XIMIZED=FALSE&amp;VAR:CALENDAR=US&amp;VAR:SYMBOL=37183T10&amp;VAR:INDEX=0"}</definedName>
    <definedName name="_3949__FDSAUDITLINK__" hidden="1">{"fdsup://directions/FAT Viewer?action=UPDATE&amp;creator=factset&amp;DYN_ARGS=TRUE&amp;DOC_NAME=FAT:FQL_AUDITING_CLIENT_TEMPLATE.FAT&amp;display_string=Audit&amp;VAR:KEY=FQDWXCVUTM&amp;VAR:QUERY=RkZfRUJJVERBX0lCKCdMVE1TJywzOTkzNik=&amp;WINDOW=FIRST_POPUP&amp;HEIGHT=450&amp;WIDTH=450&amp;START_MA","XIMIZED=FALSE&amp;VAR:CALENDAR=US&amp;VAR:SYMBOL=37183T10&amp;VAR:INDEX=0"}</definedName>
    <definedName name="_395__FDSAUDITLINK__" localSheetId="6" hidden="1">{"fdsup://directions/FAT%20Viewer?VAR:PED=LTM&amp;VAR:AUDIT_MODE=SUMMARY&amp;VAR:PERIOD=FIXED&amp;VAR:AUDIT_ID=00000117&amp;VAR:DATE=20090122&amp;action=UPDATE&amp;creator=factset&amp;DOC_NAME=FAT:FMA_audit_SUMMARY.fat&amp;DISPLAY_STRING=Display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5__FDSAUDITLINK__" hidden="1">{"fdsup://directions/FAT%20Viewer?VAR:PED=LTM&amp;VAR:AUDIT_MODE=SUMMARY&amp;VAR:PERIOD=FIXED&amp;VAR:AUDIT_ID=00000117&amp;VAR:DATE=20090122&amp;action=UPDATE&amp;creator=factset&amp;DOC_NAME=FAT:FMA_audit_SUMMARY.fat&amp;DISPLAY_STRING=Display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50__FDSAUDITLINK__" localSheetId="6" hidden="1">{"fdsup://directions/FAT Viewer?action=UPDATE&amp;creator=factset&amp;DYN_ARGS=TRUE&amp;DOC_NAME=FAT:FQL_AUDITING_CLIENT_TEMPLATE.FAT&amp;display_string=Audit&amp;VAR:KEY=JQTYHYZSJE&amp;VAR:QUERY=RkZfRUJJVERBX0lCKCdMVE1TJywzOTkzNSk=&amp;WINDOW=FIRST_POPUP&amp;HEIGHT=450&amp;WIDTH=450&amp;START_MA","XIMIZED=FALSE&amp;VAR:CALENDAR=US&amp;VAR:SYMBOL=37183T10&amp;VAR:INDEX=0"}</definedName>
    <definedName name="_3950__FDSAUDITLINK__" hidden="1">{"fdsup://directions/FAT Viewer?action=UPDATE&amp;creator=factset&amp;DYN_ARGS=TRUE&amp;DOC_NAME=FAT:FQL_AUDITING_CLIENT_TEMPLATE.FAT&amp;display_string=Audit&amp;VAR:KEY=JQTYHYZSJE&amp;VAR:QUERY=RkZfRUJJVERBX0lCKCdMVE1TJywzOTkzNSk=&amp;WINDOW=FIRST_POPUP&amp;HEIGHT=450&amp;WIDTH=450&amp;START_MA","XIMIZED=FALSE&amp;VAR:CALENDAR=US&amp;VAR:SYMBOL=37183T10&amp;VAR:INDEX=0"}</definedName>
    <definedName name="_3951__FDSAUDITLINK__" localSheetId="6" hidden="1">{"fdsup://directions/FAT Viewer?action=UPDATE&amp;creator=factset&amp;DYN_ARGS=TRUE&amp;DOC_NAME=FAT:FQL_AUDITING_CLIENT_TEMPLATE.FAT&amp;display_string=Audit&amp;VAR:KEY=RIFQDMPYPQ&amp;VAR:QUERY=RkZfRUJJVERBX0lCKCdMVE1TJywzOTkzNCk=&amp;WINDOW=FIRST_POPUP&amp;HEIGHT=450&amp;WIDTH=450&amp;START_MA","XIMIZED=FALSE&amp;VAR:CALENDAR=US&amp;VAR:SYMBOL=37183T10&amp;VAR:INDEX=0"}</definedName>
    <definedName name="_3951__FDSAUDITLINK__" hidden="1">{"fdsup://directions/FAT Viewer?action=UPDATE&amp;creator=factset&amp;DYN_ARGS=TRUE&amp;DOC_NAME=FAT:FQL_AUDITING_CLIENT_TEMPLATE.FAT&amp;display_string=Audit&amp;VAR:KEY=RIFQDMPYPQ&amp;VAR:QUERY=RkZfRUJJVERBX0lCKCdMVE1TJywzOTkzNCk=&amp;WINDOW=FIRST_POPUP&amp;HEIGHT=450&amp;WIDTH=450&amp;START_MA","XIMIZED=FALSE&amp;VAR:CALENDAR=US&amp;VAR:SYMBOL=37183T10&amp;VAR:INDEX=0"}</definedName>
    <definedName name="_3952__FDSAUDITLINK__" localSheetId="6" hidden="1">{"fdsup://directions/FAT Viewer?action=UPDATE&amp;creator=factset&amp;DYN_ARGS=TRUE&amp;DOC_NAME=FAT:FQL_AUDITING_CLIENT_TEMPLATE.FAT&amp;display_string=Audit&amp;VAR:KEY=NEBWZIZKZG&amp;VAR:QUERY=RkZfRUJJVERBX0lCKCdMVE1TJywzOTkzMyk=&amp;WINDOW=FIRST_POPUP&amp;HEIGHT=450&amp;WIDTH=450&amp;START_MA","XIMIZED=FALSE&amp;VAR:CALENDAR=US&amp;VAR:SYMBOL=37183T10&amp;VAR:INDEX=0"}</definedName>
    <definedName name="_3952__FDSAUDITLINK__" hidden="1">{"fdsup://directions/FAT Viewer?action=UPDATE&amp;creator=factset&amp;DYN_ARGS=TRUE&amp;DOC_NAME=FAT:FQL_AUDITING_CLIENT_TEMPLATE.FAT&amp;display_string=Audit&amp;VAR:KEY=NEBWZIZKZG&amp;VAR:QUERY=RkZfRUJJVERBX0lCKCdMVE1TJywzOTkzMyk=&amp;WINDOW=FIRST_POPUP&amp;HEIGHT=450&amp;WIDTH=450&amp;START_MA","XIMIZED=FALSE&amp;VAR:CALENDAR=US&amp;VAR:SYMBOL=37183T10&amp;VAR:INDEX=0"}</definedName>
    <definedName name="_3953__FDSAUDITLINK__" localSheetId="6" hidden="1">{"fdsup://directions/FAT Viewer?action=UPDATE&amp;creator=factset&amp;DYN_ARGS=TRUE&amp;DOC_NAME=FAT:FQL_AUDITING_CLIENT_TEMPLATE.FAT&amp;display_string=Audit&amp;VAR:KEY=DQFQLMXUDI&amp;VAR:QUERY=RkZfRUJJVERBX0lCKCdMVE1TJywzOTkzMik=&amp;WINDOW=FIRST_POPUP&amp;HEIGHT=450&amp;WIDTH=450&amp;START_MA","XIMIZED=FALSE&amp;VAR:CALENDAR=US&amp;VAR:SYMBOL=37183T10&amp;VAR:INDEX=0"}</definedName>
    <definedName name="_3953__FDSAUDITLINK__" hidden="1">{"fdsup://directions/FAT Viewer?action=UPDATE&amp;creator=factset&amp;DYN_ARGS=TRUE&amp;DOC_NAME=FAT:FQL_AUDITING_CLIENT_TEMPLATE.FAT&amp;display_string=Audit&amp;VAR:KEY=DQFQLMXUDI&amp;VAR:QUERY=RkZfRUJJVERBX0lCKCdMVE1TJywzOTkzMik=&amp;WINDOW=FIRST_POPUP&amp;HEIGHT=450&amp;WIDTH=450&amp;START_MA","XIMIZED=FALSE&amp;VAR:CALENDAR=US&amp;VAR:SYMBOL=37183T10&amp;VAR:INDEX=0"}</definedName>
    <definedName name="_3954__FDSAUDITLINK__" localSheetId="6" hidden="1">{"fdsup://directions/FAT Viewer?action=UPDATE&amp;creator=factset&amp;DYN_ARGS=TRUE&amp;DOC_NAME=FAT:FQL_AUDITING_CLIENT_TEMPLATE.FAT&amp;display_string=Audit&amp;VAR:KEY=FWPQNOZIZI&amp;VAR:QUERY=RkZfRUJJVERBX0lCKCdMVE1TJywzOTkzMSk=&amp;WINDOW=FIRST_POPUP&amp;HEIGHT=450&amp;WIDTH=450&amp;START_MA","XIMIZED=FALSE&amp;VAR:CALENDAR=US&amp;VAR:SYMBOL=37183T10&amp;VAR:INDEX=0"}</definedName>
    <definedName name="_3954__FDSAUDITLINK__" hidden="1">{"fdsup://directions/FAT Viewer?action=UPDATE&amp;creator=factset&amp;DYN_ARGS=TRUE&amp;DOC_NAME=FAT:FQL_AUDITING_CLIENT_TEMPLATE.FAT&amp;display_string=Audit&amp;VAR:KEY=FWPQNOZIZI&amp;VAR:QUERY=RkZfRUJJVERBX0lCKCdMVE1TJywzOTkzMSk=&amp;WINDOW=FIRST_POPUP&amp;HEIGHT=450&amp;WIDTH=450&amp;START_MA","XIMIZED=FALSE&amp;VAR:CALENDAR=US&amp;VAR:SYMBOL=37183T10&amp;VAR:INDEX=0"}</definedName>
    <definedName name="_3955__FDSAUDITLINK__" localSheetId="6" hidden="1">{"fdsup://directions/FAT Viewer?action=UPDATE&amp;creator=factset&amp;DYN_ARGS=TRUE&amp;DOC_NAME=FAT:FQL_AUDITING_CLIENT_TEMPLATE.FAT&amp;display_string=Audit&amp;VAR:KEY=DCTQDSLUFK&amp;VAR:QUERY=RkZfRUJJVERBX0lCKCdMVE1TJywzOTkzMCk=&amp;WINDOW=FIRST_POPUP&amp;HEIGHT=450&amp;WIDTH=450&amp;START_MA","XIMIZED=FALSE&amp;VAR:CALENDAR=US&amp;VAR:SYMBOL=37183T10&amp;VAR:INDEX=0"}</definedName>
    <definedName name="_3955__FDSAUDITLINK__" hidden="1">{"fdsup://directions/FAT Viewer?action=UPDATE&amp;creator=factset&amp;DYN_ARGS=TRUE&amp;DOC_NAME=FAT:FQL_AUDITING_CLIENT_TEMPLATE.FAT&amp;display_string=Audit&amp;VAR:KEY=DCTQDSLUFK&amp;VAR:QUERY=RkZfRUJJVERBX0lCKCdMVE1TJywzOTkzMCk=&amp;WINDOW=FIRST_POPUP&amp;HEIGHT=450&amp;WIDTH=450&amp;START_MA","XIMIZED=FALSE&amp;VAR:CALENDAR=US&amp;VAR:SYMBOL=37183T10&amp;VAR:INDEX=0"}</definedName>
    <definedName name="_3956__FDSAUDITLINK__" localSheetId="6" hidden="1">{"fdsup://directions/FAT Viewer?action=UPDATE&amp;creator=factset&amp;DYN_ARGS=TRUE&amp;DOC_NAME=FAT:FQL_AUDITING_CLIENT_TEMPLATE.FAT&amp;display_string=Audit&amp;VAR:KEY=LEFIRUROJU&amp;VAR:QUERY=RkZfRUJJVERBX0lCKCdMVE1TJywzOTkyOSk=&amp;WINDOW=FIRST_POPUP&amp;HEIGHT=450&amp;WIDTH=450&amp;START_MA","XIMIZED=FALSE&amp;VAR:CALENDAR=US&amp;VAR:SYMBOL=37183T10&amp;VAR:INDEX=0"}</definedName>
    <definedName name="_3956__FDSAUDITLINK__" hidden="1">{"fdsup://directions/FAT Viewer?action=UPDATE&amp;creator=factset&amp;DYN_ARGS=TRUE&amp;DOC_NAME=FAT:FQL_AUDITING_CLIENT_TEMPLATE.FAT&amp;display_string=Audit&amp;VAR:KEY=LEFIRUROJU&amp;VAR:QUERY=RkZfRUJJVERBX0lCKCdMVE1TJywzOTkyOSk=&amp;WINDOW=FIRST_POPUP&amp;HEIGHT=450&amp;WIDTH=450&amp;START_MA","XIMIZED=FALSE&amp;VAR:CALENDAR=US&amp;VAR:SYMBOL=37183T10&amp;VAR:INDEX=0"}</definedName>
    <definedName name="_3957__FDSAUDITLINK__" localSheetId="6" hidden="1">{"fdsup://directions/FAT Viewer?action=UPDATE&amp;creator=factset&amp;DYN_ARGS=TRUE&amp;DOC_NAME=FAT:FQL_AUDITING_CLIENT_TEMPLATE.FAT&amp;display_string=Audit&amp;VAR:KEY=RSTWTGNEZI&amp;VAR:QUERY=RkZfRUJJVERBX0lCKCdMVE1TJywzOTkyOCk=&amp;WINDOW=FIRST_POPUP&amp;HEIGHT=450&amp;WIDTH=450&amp;START_MA","XIMIZED=FALSE&amp;VAR:CALENDAR=US&amp;VAR:SYMBOL=37183T10&amp;VAR:INDEX=0"}</definedName>
    <definedName name="_3957__FDSAUDITLINK__" hidden="1">{"fdsup://directions/FAT Viewer?action=UPDATE&amp;creator=factset&amp;DYN_ARGS=TRUE&amp;DOC_NAME=FAT:FQL_AUDITING_CLIENT_TEMPLATE.FAT&amp;display_string=Audit&amp;VAR:KEY=RSTWTGNEZI&amp;VAR:QUERY=RkZfRUJJVERBX0lCKCdMVE1TJywzOTkyOCk=&amp;WINDOW=FIRST_POPUP&amp;HEIGHT=450&amp;WIDTH=450&amp;START_MA","XIMIZED=FALSE&amp;VAR:CALENDAR=US&amp;VAR:SYMBOL=37183T10&amp;VAR:INDEX=0"}</definedName>
    <definedName name="_3958__FDSAUDITLINK__" localSheetId="6" hidden="1">{"fdsup://directions/FAT Viewer?action=UPDATE&amp;creator=factset&amp;DYN_ARGS=TRUE&amp;DOC_NAME=FAT:FQL_AUDITING_CLIENT_TEMPLATE.FAT&amp;display_string=Audit&amp;VAR:KEY=DCNKTOFELG&amp;VAR:QUERY=RkZfRUJJVERBX0lCKCdMVE1TJywzOTkyNyk=&amp;WINDOW=FIRST_POPUP&amp;HEIGHT=450&amp;WIDTH=450&amp;START_MA","XIMIZED=FALSE&amp;VAR:CALENDAR=US&amp;VAR:SYMBOL=37183T10&amp;VAR:INDEX=0"}</definedName>
    <definedName name="_3958__FDSAUDITLINK__" hidden="1">{"fdsup://directions/FAT Viewer?action=UPDATE&amp;creator=factset&amp;DYN_ARGS=TRUE&amp;DOC_NAME=FAT:FQL_AUDITING_CLIENT_TEMPLATE.FAT&amp;display_string=Audit&amp;VAR:KEY=DCNKTOFELG&amp;VAR:QUERY=RkZfRUJJVERBX0lCKCdMVE1TJywzOTkyNyk=&amp;WINDOW=FIRST_POPUP&amp;HEIGHT=450&amp;WIDTH=450&amp;START_MA","XIMIZED=FALSE&amp;VAR:CALENDAR=US&amp;VAR:SYMBOL=37183T10&amp;VAR:INDEX=0"}</definedName>
    <definedName name="_3959__FDSAUDITLINK__" localSheetId="6" hidden="1">{"fdsup://directions/FAT Viewer?action=UPDATE&amp;creator=factset&amp;DYN_ARGS=TRUE&amp;DOC_NAME=FAT:FQL_AUDITING_CLIENT_TEMPLATE.FAT&amp;display_string=Audit&amp;VAR:KEY=FCXMXIDWJG&amp;VAR:QUERY=RkZfRUJJVERBX0lCKCdMVE1TJywzOTkyNik=&amp;WINDOW=FIRST_POPUP&amp;HEIGHT=450&amp;WIDTH=450&amp;START_MA","XIMIZED=FALSE&amp;VAR:CALENDAR=US&amp;VAR:SYMBOL=37183T10&amp;VAR:INDEX=0"}</definedName>
    <definedName name="_3959__FDSAUDITLINK__" hidden="1">{"fdsup://directions/FAT Viewer?action=UPDATE&amp;creator=factset&amp;DYN_ARGS=TRUE&amp;DOC_NAME=FAT:FQL_AUDITING_CLIENT_TEMPLATE.FAT&amp;display_string=Audit&amp;VAR:KEY=FCXMXIDWJG&amp;VAR:QUERY=RkZfRUJJVERBX0lCKCdMVE1TJywzOTkyNik=&amp;WINDOW=FIRST_POPUP&amp;HEIGHT=450&amp;WIDTH=450&amp;START_MA","XIMIZED=FALSE&amp;VAR:CALENDAR=US&amp;VAR:SYMBOL=37183T10&amp;VAR:INDEX=0"}</definedName>
    <definedName name="_396__FDSAUDITLINK__" localSheetId="6" hidden="1">{"fdsup://directions/FAT%20Viewer?VAR:PED=LTM&amp;VAR:AUDIT_MODE=SUMMARY&amp;VAR:PERIOD=FIXED&amp;VAR:AUDIT_ID=00000117&amp;VAR:DATE=20090121&amp;action=UPDATE&amp;creator=factset&amp;DOC_NAME=FAT:FMA_audit_SUMMARY.fat&amp;DISPLAY_STRING=Display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6__FDSAUDITLINK__" hidden="1">{"fdsup://directions/FAT%20Viewer?VAR:PED=LTM&amp;VAR:AUDIT_MODE=SUMMARY&amp;VAR:PERIOD=FIXED&amp;VAR:AUDIT_ID=00000117&amp;VAR:DATE=20090121&amp;action=UPDATE&amp;creator=factset&amp;DOC_NAME=FAT:FMA_audit_SUMMARY.fat&amp;DISPLAY_STRING=Display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60__FDSAUDITLINK__" localSheetId="6" hidden="1">{"fdsup://directions/FAT Viewer?action=UPDATE&amp;creator=factset&amp;DYN_ARGS=TRUE&amp;DOC_NAME=FAT:FQL_AUDITING_CLIENT_TEMPLATE.FAT&amp;display_string=Audit&amp;VAR:KEY=ZERUBENWJA&amp;VAR:QUERY=RkZfRUJJVERBX0lCKCdMVE1TJywzOTkyNSk=&amp;WINDOW=FIRST_POPUP&amp;HEIGHT=450&amp;WIDTH=450&amp;START_MA","XIMIZED=FALSE&amp;VAR:CALENDAR=US&amp;VAR:SYMBOL=37183T10&amp;VAR:INDEX=0"}</definedName>
    <definedName name="_3960__FDSAUDITLINK__" hidden="1">{"fdsup://directions/FAT Viewer?action=UPDATE&amp;creator=factset&amp;DYN_ARGS=TRUE&amp;DOC_NAME=FAT:FQL_AUDITING_CLIENT_TEMPLATE.FAT&amp;display_string=Audit&amp;VAR:KEY=ZERUBENWJA&amp;VAR:QUERY=RkZfRUJJVERBX0lCKCdMVE1TJywzOTkyNSk=&amp;WINDOW=FIRST_POPUP&amp;HEIGHT=450&amp;WIDTH=450&amp;START_MA","XIMIZED=FALSE&amp;VAR:CALENDAR=US&amp;VAR:SYMBOL=37183T10&amp;VAR:INDEX=0"}</definedName>
    <definedName name="_3961__FDSAUDITLINK__" localSheetId="6" hidden="1">{"fdsup://directions/FAT Viewer?action=UPDATE&amp;creator=factset&amp;DYN_ARGS=TRUE&amp;DOC_NAME=FAT:FQL_AUDITING_CLIENT_TEMPLATE.FAT&amp;display_string=Audit&amp;VAR:KEY=BCXABIFOTY&amp;VAR:QUERY=RkZfRUJJVERBX0lCKCdMVE1TJywzOTkyNCk=&amp;WINDOW=FIRST_POPUP&amp;HEIGHT=450&amp;WIDTH=450&amp;START_MA","XIMIZED=FALSE&amp;VAR:CALENDAR=US&amp;VAR:SYMBOL=37183T10&amp;VAR:INDEX=0"}</definedName>
    <definedName name="_3961__FDSAUDITLINK__" hidden="1">{"fdsup://directions/FAT Viewer?action=UPDATE&amp;creator=factset&amp;DYN_ARGS=TRUE&amp;DOC_NAME=FAT:FQL_AUDITING_CLIENT_TEMPLATE.FAT&amp;display_string=Audit&amp;VAR:KEY=BCXABIFOTY&amp;VAR:QUERY=RkZfRUJJVERBX0lCKCdMVE1TJywzOTkyNCk=&amp;WINDOW=FIRST_POPUP&amp;HEIGHT=450&amp;WIDTH=450&amp;START_MA","XIMIZED=FALSE&amp;VAR:CALENDAR=US&amp;VAR:SYMBOL=37183T10&amp;VAR:INDEX=0"}</definedName>
    <definedName name="_3962__FDSAUDITLINK__" localSheetId="6" hidden="1">{"fdsup://directions/FAT Viewer?action=UPDATE&amp;creator=factset&amp;DYN_ARGS=TRUE&amp;DOC_NAME=FAT:FQL_AUDITING_CLIENT_TEMPLATE.FAT&amp;display_string=Audit&amp;VAR:KEY=TUTSPKXSRQ&amp;VAR:QUERY=RkZfRUJJVERBX0lCKCdMVE1TJywzOTkyMyk=&amp;WINDOW=FIRST_POPUP&amp;HEIGHT=450&amp;WIDTH=450&amp;START_MA","XIMIZED=FALSE&amp;VAR:CALENDAR=US&amp;VAR:SYMBOL=37183T10&amp;VAR:INDEX=0"}</definedName>
    <definedName name="_3962__FDSAUDITLINK__" hidden="1">{"fdsup://directions/FAT Viewer?action=UPDATE&amp;creator=factset&amp;DYN_ARGS=TRUE&amp;DOC_NAME=FAT:FQL_AUDITING_CLIENT_TEMPLATE.FAT&amp;display_string=Audit&amp;VAR:KEY=TUTSPKXSRQ&amp;VAR:QUERY=RkZfRUJJVERBX0lCKCdMVE1TJywzOTkyMyk=&amp;WINDOW=FIRST_POPUP&amp;HEIGHT=450&amp;WIDTH=450&amp;START_MA","XIMIZED=FALSE&amp;VAR:CALENDAR=US&amp;VAR:SYMBOL=37183T10&amp;VAR:INDEX=0"}</definedName>
    <definedName name="_3963__FDSAUDITLINK__" localSheetId="6" hidden="1">{"fdsup://directions/FAT Viewer?action=UPDATE&amp;creator=factset&amp;DYN_ARGS=TRUE&amp;DOC_NAME=FAT:FQL_AUDITING_CLIENT_TEMPLATE.FAT&amp;display_string=Audit&amp;VAR:KEY=RGVSTYJELW&amp;VAR:QUERY=RkZfRUJJVERBX0lCKCdMVE1TJywzOTkyMik=&amp;WINDOW=FIRST_POPUP&amp;HEIGHT=450&amp;WIDTH=450&amp;START_MA","XIMIZED=FALSE&amp;VAR:CALENDAR=US&amp;VAR:SYMBOL=37183T10&amp;VAR:INDEX=0"}</definedName>
    <definedName name="_3963__FDSAUDITLINK__" hidden="1">{"fdsup://directions/FAT Viewer?action=UPDATE&amp;creator=factset&amp;DYN_ARGS=TRUE&amp;DOC_NAME=FAT:FQL_AUDITING_CLIENT_TEMPLATE.FAT&amp;display_string=Audit&amp;VAR:KEY=RGVSTYJELW&amp;VAR:QUERY=RkZfRUJJVERBX0lCKCdMVE1TJywzOTkyMik=&amp;WINDOW=FIRST_POPUP&amp;HEIGHT=450&amp;WIDTH=450&amp;START_MA","XIMIZED=FALSE&amp;VAR:CALENDAR=US&amp;VAR:SYMBOL=37183T10&amp;VAR:INDEX=0"}</definedName>
    <definedName name="_3964__FDSAUDITLINK__" localSheetId="6" hidden="1">{"fdsup://directions/FAT Viewer?action=UPDATE&amp;creator=factset&amp;DYN_ARGS=TRUE&amp;DOC_NAME=FAT:FQL_AUDITING_CLIENT_TEMPLATE.FAT&amp;display_string=Audit&amp;VAR:KEY=XIPUNWZSZY&amp;VAR:QUERY=RkZfRUJJVERBX0lCKCdMVE1TJywzOTkyMSk=&amp;WINDOW=FIRST_POPUP&amp;HEIGHT=450&amp;WIDTH=450&amp;START_MA","XIMIZED=FALSE&amp;VAR:CALENDAR=US&amp;VAR:SYMBOL=37183T10&amp;VAR:INDEX=0"}</definedName>
    <definedName name="_3964__FDSAUDITLINK__" hidden="1">{"fdsup://directions/FAT Viewer?action=UPDATE&amp;creator=factset&amp;DYN_ARGS=TRUE&amp;DOC_NAME=FAT:FQL_AUDITING_CLIENT_TEMPLATE.FAT&amp;display_string=Audit&amp;VAR:KEY=XIPUNWZSZY&amp;VAR:QUERY=RkZfRUJJVERBX0lCKCdMVE1TJywzOTkyMSk=&amp;WINDOW=FIRST_POPUP&amp;HEIGHT=450&amp;WIDTH=450&amp;START_MA","XIMIZED=FALSE&amp;VAR:CALENDAR=US&amp;VAR:SYMBOL=37183T10&amp;VAR:INDEX=0"}</definedName>
    <definedName name="_3965__FDSAUDITLINK__" localSheetId="6" hidden="1">{"fdsup://directions/FAT Viewer?action=UPDATE&amp;creator=factset&amp;DYN_ARGS=TRUE&amp;DOC_NAME=FAT:FQL_AUDITING_CLIENT_TEMPLATE.FAT&amp;display_string=Audit&amp;VAR:KEY=FEXIPOTSLE&amp;VAR:QUERY=RkZfRUJJVERBX0lCKCdMVE1TJywzOTkyMCk=&amp;WINDOW=FIRST_POPUP&amp;HEIGHT=450&amp;WIDTH=450&amp;START_MA","XIMIZED=FALSE&amp;VAR:CALENDAR=US&amp;VAR:SYMBOL=37183T10&amp;VAR:INDEX=0"}</definedName>
    <definedName name="_3965__FDSAUDITLINK__" hidden="1">{"fdsup://directions/FAT Viewer?action=UPDATE&amp;creator=factset&amp;DYN_ARGS=TRUE&amp;DOC_NAME=FAT:FQL_AUDITING_CLIENT_TEMPLATE.FAT&amp;display_string=Audit&amp;VAR:KEY=FEXIPOTSLE&amp;VAR:QUERY=RkZfRUJJVERBX0lCKCdMVE1TJywzOTkyMCk=&amp;WINDOW=FIRST_POPUP&amp;HEIGHT=450&amp;WIDTH=450&amp;START_MA","XIMIZED=FALSE&amp;VAR:CALENDAR=US&amp;VAR:SYMBOL=37183T10&amp;VAR:INDEX=0"}</definedName>
    <definedName name="_3966__FDSAUDITLINK__" localSheetId="6" hidden="1">{"fdsup://directions/FAT Viewer?action=UPDATE&amp;creator=factset&amp;DYN_ARGS=TRUE&amp;DOC_NAME=FAT:FQL_AUDITING_CLIENT_TEMPLATE.FAT&amp;display_string=Audit&amp;VAR:KEY=NQFWXIFIRE&amp;VAR:QUERY=RkZfRUJJVERBX0lCKCdMVE1TJywzOTkxOSk=&amp;WINDOW=FIRST_POPUP&amp;HEIGHT=450&amp;WIDTH=450&amp;START_MA","XIMIZED=FALSE&amp;VAR:CALENDAR=US&amp;VAR:SYMBOL=37183T10&amp;VAR:INDEX=0"}</definedName>
    <definedName name="_3966__FDSAUDITLINK__" hidden="1">{"fdsup://directions/FAT Viewer?action=UPDATE&amp;creator=factset&amp;DYN_ARGS=TRUE&amp;DOC_NAME=FAT:FQL_AUDITING_CLIENT_TEMPLATE.FAT&amp;display_string=Audit&amp;VAR:KEY=NQFWXIFIRE&amp;VAR:QUERY=RkZfRUJJVERBX0lCKCdMVE1TJywzOTkxOSk=&amp;WINDOW=FIRST_POPUP&amp;HEIGHT=450&amp;WIDTH=450&amp;START_MA","XIMIZED=FALSE&amp;VAR:CALENDAR=US&amp;VAR:SYMBOL=37183T10&amp;VAR:INDEX=0"}</definedName>
    <definedName name="_3967__FDSAUDITLINK__" localSheetId="6" hidden="1">{"fdsup://directions/FAT Viewer?action=UPDATE&amp;creator=factset&amp;DYN_ARGS=TRUE&amp;DOC_NAME=FAT:FQL_AUDITING_CLIENT_TEMPLATE.FAT&amp;display_string=Audit&amp;VAR:KEY=PIBMFYHAPW&amp;VAR:QUERY=RkZfRUJJVERBX0lCKCdMVE1TJywzOTkxOCk=&amp;WINDOW=FIRST_POPUP&amp;HEIGHT=450&amp;WIDTH=450&amp;START_MA","XIMIZED=FALSE&amp;VAR:CALENDAR=US&amp;VAR:SYMBOL=37183T10&amp;VAR:INDEX=0"}</definedName>
    <definedName name="_3967__FDSAUDITLINK__" hidden="1">{"fdsup://directions/FAT Viewer?action=UPDATE&amp;creator=factset&amp;DYN_ARGS=TRUE&amp;DOC_NAME=FAT:FQL_AUDITING_CLIENT_TEMPLATE.FAT&amp;display_string=Audit&amp;VAR:KEY=PIBMFYHAPW&amp;VAR:QUERY=RkZfRUJJVERBX0lCKCdMVE1TJywzOTkxOCk=&amp;WINDOW=FIRST_POPUP&amp;HEIGHT=450&amp;WIDTH=450&amp;START_MA","XIMIZED=FALSE&amp;VAR:CALENDAR=US&amp;VAR:SYMBOL=37183T10&amp;VAR:INDEX=0"}</definedName>
    <definedName name="_3968__FDSAUDITLINK__" localSheetId="6" hidden="1">{"fdsup://directions/FAT Viewer?action=UPDATE&amp;creator=factset&amp;DYN_ARGS=TRUE&amp;DOC_NAME=FAT:FQL_AUDITING_CLIENT_TEMPLATE.FAT&amp;display_string=Audit&amp;VAR:KEY=BWHYZSNADE&amp;VAR:QUERY=RkZfRUJJVERBX0lCKCdMVE1TJywzOTkxNyk=&amp;WINDOW=FIRST_POPUP&amp;HEIGHT=450&amp;WIDTH=450&amp;START_MA","XIMIZED=FALSE&amp;VAR:CALENDAR=US&amp;VAR:SYMBOL=37183T10&amp;VAR:INDEX=0"}</definedName>
    <definedName name="_3968__FDSAUDITLINK__" hidden="1">{"fdsup://directions/FAT Viewer?action=UPDATE&amp;creator=factset&amp;DYN_ARGS=TRUE&amp;DOC_NAME=FAT:FQL_AUDITING_CLIENT_TEMPLATE.FAT&amp;display_string=Audit&amp;VAR:KEY=BWHYZSNADE&amp;VAR:QUERY=RkZfRUJJVERBX0lCKCdMVE1TJywzOTkxNyk=&amp;WINDOW=FIRST_POPUP&amp;HEIGHT=450&amp;WIDTH=450&amp;START_MA","XIMIZED=FALSE&amp;VAR:CALENDAR=US&amp;VAR:SYMBOL=37183T10&amp;VAR:INDEX=0"}</definedName>
    <definedName name="_3969__FDSAUDITLINK__" localSheetId="6" hidden="1">{"fdsup://directions/FAT Viewer?action=UPDATE&amp;creator=factset&amp;DYN_ARGS=TRUE&amp;DOC_NAME=FAT:FQL_AUDITING_CLIENT_TEMPLATE.FAT&amp;display_string=Audit&amp;VAR:KEY=RUNQXYZOZO&amp;VAR:QUERY=RkZfRUJJVERBX0lCKCdMVE1TJywzOTkxNik=&amp;WINDOW=FIRST_POPUP&amp;HEIGHT=450&amp;WIDTH=450&amp;START_MA","XIMIZED=FALSE&amp;VAR:CALENDAR=US&amp;VAR:SYMBOL=37183T10&amp;VAR:INDEX=0"}</definedName>
    <definedName name="_3969__FDSAUDITLINK__" hidden="1">{"fdsup://directions/FAT Viewer?action=UPDATE&amp;creator=factset&amp;DYN_ARGS=TRUE&amp;DOC_NAME=FAT:FQL_AUDITING_CLIENT_TEMPLATE.FAT&amp;display_string=Audit&amp;VAR:KEY=RUNQXYZOZO&amp;VAR:QUERY=RkZfRUJJVERBX0lCKCdMVE1TJywzOTkxNik=&amp;WINDOW=FIRST_POPUP&amp;HEIGHT=450&amp;WIDTH=450&amp;START_MA","XIMIZED=FALSE&amp;VAR:CALENDAR=US&amp;VAR:SYMBOL=37183T10&amp;VAR:INDEX=0"}</definedName>
    <definedName name="_397__FDSAUDITLINK__" localSheetId="6" hidden="1">{"fdsup://directions/FAT%20Viewer?VAR:PED=LTM&amp;VAR:AUDIT_MODE=SUMMARY&amp;VAR:PERIOD=FIXED&amp;VAR:AUDIT_ID=00000117&amp;VAR:DATE=20090120&amp;action=UPDATE&amp;creator=factset&amp;DOC_NAME=FAT:FMA_audit_SUMMARY.fat&amp;DISPLAY_STRING=Display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7__FDSAUDITLINK__" hidden="1">{"fdsup://directions/FAT%20Viewer?VAR:PED=LTM&amp;VAR:AUDIT_MODE=SUMMARY&amp;VAR:PERIOD=FIXED&amp;VAR:AUDIT_ID=00000117&amp;VAR:DATE=20090120&amp;action=UPDATE&amp;creator=factset&amp;DOC_NAME=FAT:FMA_audit_SUMMARY.fat&amp;DISPLAY_STRING=Display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70__FDSAUDITLINK__" localSheetId="6" hidden="1">{"fdsup://directions/FAT Viewer?action=UPDATE&amp;creator=factset&amp;DYN_ARGS=TRUE&amp;DOC_NAME=FAT:FQL_AUDITING_CLIENT_TEMPLATE.FAT&amp;display_string=Audit&amp;VAR:KEY=BSTWJQXOFU&amp;VAR:QUERY=RkZfRUJJVERBX0lCKCdMVE1TJywzOTkxNSk=&amp;WINDOW=FIRST_POPUP&amp;HEIGHT=450&amp;WIDTH=450&amp;START_MA","XIMIZED=FALSE&amp;VAR:CALENDAR=US&amp;VAR:SYMBOL=37183T10&amp;VAR:INDEX=0"}</definedName>
    <definedName name="_3970__FDSAUDITLINK__" hidden="1">{"fdsup://directions/FAT Viewer?action=UPDATE&amp;creator=factset&amp;DYN_ARGS=TRUE&amp;DOC_NAME=FAT:FQL_AUDITING_CLIENT_TEMPLATE.FAT&amp;display_string=Audit&amp;VAR:KEY=BSTWJQXOFU&amp;VAR:QUERY=RkZfRUJJVERBX0lCKCdMVE1TJywzOTkxNSk=&amp;WINDOW=FIRST_POPUP&amp;HEIGHT=450&amp;WIDTH=450&amp;START_MA","XIMIZED=FALSE&amp;VAR:CALENDAR=US&amp;VAR:SYMBOL=37183T10&amp;VAR:INDEX=0"}</definedName>
    <definedName name="_3971__FDSAUDITLINK__" localSheetId="6" hidden="1">{"fdsup://directions/FAT Viewer?action=UPDATE&amp;creator=factset&amp;DYN_ARGS=TRUE&amp;DOC_NAME=FAT:FQL_AUDITING_CLIENT_TEMPLATE.FAT&amp;display_string=Audit&amp;VAR:KEY=HGXCHCXAJO&amp;VAR:QUERY=RkZfRUJJVERBX0lCKCdMVE1TJywzOTkxNCk=&amp;WINDOW=FIRST_POPUP&amp;HEIGHT=450&amp;WIDTH=450&amp;START_MA","XIMIZED=FALSE&amp;VAR:CALENDAR=US&amp;VAR:SYMBOL=37183T10&amp;VAR:INDEX=0"}</definedName>
    <definedName name="_3971__FDSAUDITLINK__" hidden="1">{"fdsup://directions/FAT Viewer?action=UPDATE&amp;creator=factset&amp;DYN_ARGS=TRUE&amp;DOC_NAME=FAT:FQL_AUDITING_CLIENT_TEMPLATE.FAT&amp;display_string=Audit&amp;VAR:KEY=HGXCHCXAJO&amp;VAR:QUERY=RkZfRUJJVERBX0lCKCdMVE1TJywzOTkxNCk=&amp;WINDOW=FIRST_POPUP&amp;HEIGHT=450&amp;WIDTH=450&amp;START_MA","XIMIZED=FALSE&amp;VAR:CALENDAR=US&amp;VAR:SYMBOL=37183T10&amp;VAR:INDEX=0"}</definedName>
    <definedName name="_3972__FDSAUDITLINK__" localSheetId="6" hidden="1">{"fdsup://directions/FAT Viewer?action=UPDATE&amp;creator=factset&amp;DYN_ARGS=TRUE&amp;DOC_NAME=FAT:FQL_AUDITING_CLIENT_TEMPLATE.FAT&amp;display_string=Audit&amp;VAR:KEY=BORYNALYJQ&amp;VAR:QUERY=RkZfRUJJVERBX0lCKCdMVE1TJywzOTkxMyk=&amp;WINDOW=FIRST_POPUP&amp;HEIGHT=450&amp;WIDTH=450&amp;START_MA","XIMIZED=FALSE&amp;VAR:CALENDAR=US&amp;VAR:SYMBOL=37183T10&amp;VAR:INDEX=0"}</definedName>
    <definedName name="_3972__FDSAUDITLINK__" hidden="1">{"fdsup://directions/FAT Viewer?action=UPDATE&amp;creator=factset&amp;DYN_ARGS=TRUE&amp;DOC_NAME=FAT:FQL_AUDITING_CLIENT_TEMPLATE.FAT&amp;display_string=Audit&amp;VAR:KEY=BORYNALYJQ&amp;VAR:QUERY=RkZfRUJJVERBX0lCKCdMVE1TJywzOTkxMyk=&amp;WINDOW=FIRST_POPUP&amp;HEIGHT=450&amp;WIDTH=450&amp;START_MA","XIMIZED=FALSE&amp;VAR:CALENDAR=US&amp;VAR:SYMBOL=37183T10&amp;VAR:INDEX=0"}</definedName>
    <definedName name="_3973__FDSAUDITLINK__" localSheetId="6" hidden="1">{"fdsup://directions/FAT Viewer?action=UPDATE&amp;creator=factset&amp;DYN_ARGS=TRUE&amp;DOC_NAME=FAT:FQL_AUDITING_CLIENT_TEMPLATE.FAT&amp;display_string=Audit&amp;VAR:KEY=JIDKPUXQFG&amp;VAR:QUERY=RkZfRUJJVERBX0lCKCdMVE1TJywzOTkxMik=&amp;WINDOW=FIRST_POPUP&amp;HEIGHT=450&amp;WIDTH=450&amp;START_MA","XIMIZED=FALSE&amp;VAR:CALENDAR=US&amp;VAR:SYMBOL=37183T10&amp;VAR:INDEX=0"}</definedName>
    <definedName name="_3973__FDSAUDITLINK__" hidden="1">{"fdsup://directions/FAT Viewer?action=UPDATE&amp;creator=factset&amp;DYN_ARGS=TRUE&amp;DOC_NAME=FAT:FQL_AUDITING_CLIENT_TEMPLATE.FAT&amp;display_string=Audit&amp;VAR:KEY=JIDKPUXQFG&amp;VAR:QUERY=RkZfRUJJVERBX0lCKCdMVE1TJywzOTkxMik=&amp;WINDOW=FIRST_POPUP&amp;HEIGHT=450&amp;WIDTH=450&amp;START_MA","XIMIZED=FALSE&amp;VAR:CALENDAR=US&amp;VAR:SYMBOL=37183T10&amp;VAR:INDEX=0"}</definedName>
    <definedName name="_3974__FDSAUDITLINK__" localSheetId="6" hidden="1">{"fdsup://directions/FAT Viewer?action=UPDATE&amp;creator=factset&amp;DYN_ARGS=TRUE&amp;DOC_NAME=FAT:FQL_AUDITING_CLIENT_TEMPLATE.FAT&amp;display_string=Audit&amp;VAR:KEY=LCJEZAJWTS&amp;VAR:QUERY=RkZfRUJJVERBX0lCKCdMVE1TJywzOTkxMSk=&amp;WINDOW=FIRST_POPUP&amp;HEIGHT=450&amp;WIDTH=450&amp;START_MA","XIMIZED=FALSE&amp;VAR:CALENDAR=US&amp;VAR:SYMBOL=37183T10&amp;VAR:INDEX=0"}</definedName>
    <definedName name="_3974__FDSAUDITLINK__" hidden="1">{"fdsup://directions/FAT Viewer?action=UPDATE&amp;creator=factset&amp;DYN_ARGS=TRUE&amp;DOC_NAME=FAT:FQL_AUDITING_CLIENT_TEMPLATE.FAT&amp;display_string=Audit&amp;VAR:KEY=LCJEZAJWTS&amp;VAR:QUERY=RkZfRUJJVERBX0lCKCdMVE1TJywzOTkxMSk=&amp;WINDOW=FIRST_POPUP&amp;HEIGHT=450&amp;WIDTH=450&amp;START_MA","XIMIZED=FALSE&amp;VAR:CALENDAR=US&amp;VAR:SYMBOL=37183T10&amp;VAR:INDEX=0"}</definedName>
    <definedName name="_3975__FDSAUDITLINK__" localSheetId="6" hidden="1">{"fdsup://directions/FAT Viewer?action=UPDATE&amp;creator=factset&amp;DYN_ARGS=TRUE&amp;DOC_NAME=FAT:FQL_AUDITING_CLIENT_TEMPLATE.FAT&amp;display_string=Audit&amp;VAR:KEY=NKDUNCJMXC&amp;VAR:QUERY=RkZfRUJJVERBX0lCKCdMVE1TJywzOTkxMCk=&amp;WINDOW=FIRST_POPUP&amp;HEIGHT=450&amp;WIDTH=450&amp;START_MA","XIMIZED=FALSE&amp;VAR:CALENDAR=US&amp;VAR:SYMBOL=37183T10&amp;VAR:INDEX=0"}</definedName>
    <definedName name="_3975__FDSAUDITLINK__" hidden="1">{"fdsup://directions/FAT Viewer?action=UPDATE&amp;creator=factset&amp;DYN_ARGS=TRUE&amp;DOC_NAME=FAT:FQL_AUDITING_CLIENT_TEMPLATE.FAT&amp;display_string=Audit&amp;VAR:KEY=NKDUNCJMXC&amp;VAR:QUERY=RkZfRUJJVERBX0lCKCdMVE1TJywzOTkxMCk=&amp;WINDOW=FIRST_POPUP&amp;HEIGHT=450&amp;WIDTH=450&amp;START_MA","XIMIZED=FALSE&amp;VAR:CALENDAR=US&amp;VAR:SYMBOL=37183T10&amp;VAR:INDEX=0"}</definedName>
    <definedName name="_3976__FDSAUDITLINK__" localSheetId="6" hidden="1">{"fdsup://directions/FAT Viewer?action=UPDATE&amp;creator=factset&amp;DYN_ARGS=TRUE&amp;DOC_NAME=FAT:FQL_AUDITING_CLIENT_TEMPLATE.FAT&amp;display_string=Audit&amp;VAR:KEY=ZWJSFURQPE&amp;VAR:QUERY=RkZfRUJJVERBX0lCKCdMVE1TJywzOTkwOSk=&amp;WINDOW=FIRST_POPUP&amp;HEIGHT=450&amp;WIDTH=450&amp;START_MA","XIMIZED=FALSE&amp;VAR:CALENDAR=US&amp;VAR:SYMBOL=37183T10&amp;VAR:INDEX=0"}</definedName>
    <definedName name="_3976__FDSAUDITLINK__" hidden="1">{"fdsup://directions/FAT Viewer?action=UPDATE&amp;creator=factset&amp;DYN_ARGS=TRUE&amp;DOC_NAME=FAT:FQL_AUDITING_CLIENT_TEMPLATE.FAT&amp;display_string=Audit&amp;VAR:KEY=ZWJSFURQPE&amp;VAR:QUERY=RkZfRUJJVERBX0lCKCdMVE1TJywzOTkwOSk=&amp;WINDOW=FIRST_POPUP&amp;HEIGHT=450&amp;WIDTH=450&amp;START_MA","XIMIZED=FALSE&amp;VAR:CALENDAR=US&amp;VAR:SYMBOL=37183T10&amp;VAR:INDEX=0"}</definedName>
    <definedName name="_3977__FDSAUDITLINK__" localSheetId="6" hidden="1">{"fdsup://directions/FAT Viewer?action=UPDATE&amp;creator=factset&amp;DYN_ARGS=TRUE&amp;DOC_NAME=FAT:FQL_AUDITING_CLIENT_TEMPLATE.FAT&amp;display_string=Audit&amp;VAR:KEY=JADQHSJSDY&amp;VAR:QUERY=RkZfRUJJVERBX0lCKCdMVE1TJywzOTkwOCk=&amp;WINDOW=FIRST_POPUP&amp;HEIGHT=450&amp;WIDTH=450&amp;START_MA","XIMIZED=FALSE&amp;VAR:CALENDAR=US&amp;VAR:SYMBOL=37183T10&amp;VAR:INDEX=0"}</definedName>
    <definedName name="_3977__FDSAUDITLINK__" hidden="1">{"fdsup://directions/FAT Viewer?action=UPDATE&amp;creator=factset&amp;DYN_ARGS=TRUE&amp;DOC_NAME=FAT:FQL_AUDITING_CLIENT_TEMPLATE.FAT&amp;display_string=Audit&amp;VAR:KEY=JADQHSJSDY&amp;VAR:QUERY=RkZfRUJJVERBX0lCKCdMVE1TJywzOTkwOCk=&amp;WINDOW=FIRST_POPUP&amp;HEIGHT=450&amp;WIDTH=450&amp;START_MA","XIMIZED=FALSE&amp;VAR:CALENDAR=US&amp;VAR:SYMBOL=37183T10&amp;VAR:INDEX=0"}</definedName>
    <definedName name="_3978__FDSAUDITLINK__" localSheetId="6" hidden="1">{"fdsup://directions/FAT Viewer?action=UPDATE&amp;creator=factset&amp;DYN_ARGS=TRUE&amp;DOC_NAME=FAT:FQL_AUDITING_CLIENT_TEMPLATE.FAT&amp;display_string=Audit&amp;VAR:KEY=LMZULSJGRU&amp;VAR:QUERY=RkZfRUJJVERBX0lCKCdMVE1TJywzOTkwNyk=&amp;WINDOW=FIRST_POPUP&amp;HEIGHT=450&amp;WIDTH=450&amp;START_MA","XIMIZED=FALSE&amp;VAR:CALENDAR=US&amp;VAR:SYMBOL=37183T10&amp;VAR:INDEX=0"}</definedName>
    <definedName name="_3978__FDSAUDITLINK__" hidden="1">{"fdsup://directions/FAT Viewer?action=UPDATE&amp;creator=factset&amp;DYN_ARGS=TRUE&amp;DOC_NAME=FAT:FQL_AUDITING_CLIENT_TEMPLATE.FAT&amp;display_string=Audit&amp;VAR:KEY=LMZULSJGRU&amp;VAR:QUERY=RkZfRUJJVERBX0lCKCdMVE1TJywzOTkwNyk=&amp;WINDOW=FIRST_POPUP&amp;HEIGHT=450&amp;WIDTH=450&amp;START_MA","XIMIZED=FALSE&amp;VAR:CALENDAR=US&amp;VAR:SYMBOL=37183T10&amp;VAR:INDEX=0"}</definedName>
    <definedName name="_3979__FDSAUDITLINK__" localSheetId="6" hidden="1">{"fdsup://directions/FAT Viewer?action=UPDATE&amp;creator=factset&amp;DYN_ARGS=TRUE&amp;DOC_NAME=FAT:FQL_AUDITING_CLIENT_TEMPLATE.FAT&amp;display_string=Audit&amp;VAR:KEY=BITOHYLWXA&amp;VAR:QUERY=RkZfRUJJVERBX0lCKCdMVE1TJywzOTkwNik=&amp;WINDOW=FIRST_POPUP&amp;HEIGHT=450&amp;WIDTH=450&amp;START_MA","XIMIZED=FALSE&amp;VAR:CALENDAR=US&amp;VAR:SYMBOL=37183T10&amp;VAR:INDEX=0"}</definedName>
    <definedName name="_3979__FDSAUDITLINK__" hidden="1">{"fdsup://directions/FAT Viewer?action=UPDATE&amp;creator=factset&amp;DYN_ARGS=TRUE&amp;DOC_NAME=FAT:FQL_AUDITING_CLIENT_TEMPLATE.FAT&amp;display_string=Audit&amp;VAR:KEY=BITOHYLWXA&amp;VAR:QUERY=RkZfRUJJVERBX0lCKCdMVE1TJywzOTkwNik=&amp;WINDOW=FIRST_POPUP&amp;HEIGHT=450&amp;WIDTH=450&amp;START_MA","XIMIZED=FALSE&amp;VAR:CALENDAR=US&amp;VAR:SYMBOL=37183T10&amp;VAR:INDEX=0"}</definedName>
    <definedName name="_398__FDSAUDITLINK__" localSheetId="6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8__FDSAUDITLINK__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80__FDSAUDITLINK__" localSheetId="6" hidden="1">{"fdsup://directions/FAT Viewer?action=UPDATE&amp;creator=factset&amp;DYN_ARGS=TRUE&amp;DOC_NAME=FAT:FQL_AUDITING_CLIENT_TEMPLATE.FAT&amp;display_string=Audit&amp;VAR:KEY=BUBGNOPCDA&amp;VAR:QUERY=RkZfRUJJVERBX0lCKCdMVE1TJywzOTkwNSk=&amp;WINDOW=FIRST_POPUP&amp;HEIGHT=450&amp;WIDTH=450&amp;START_MA","XIMIZED=FALSE&amp;VAR:CALENDAR=US&amp;VAR:SYMBOL=37183T10&amp;VAR:INDEX=0"}</definedName>
    <definedName name="_3980__FDSAUDITLINK__" hidden="1">{"fdsup://directions/FAT Viewer?action=UPDATE&amp;creator=factset&amp;DYN_ARGS=TRUE&amp;DOC_NAME=FAT:FQL_AUDITING_CLIENT_TEMPLATE.FAT&amp;display_string=Audit&amp;VAR:KEY=BUBGNOPCDA&amp;VAR:QUERY=RkZfRUJJVERBX0lCKCdMVE1TJywzOTkwNSk=&amp;WINDOW=FIRST_POPUP&amp;HEIGHT=450&amp;WIDTH=450&amp;START_MA","XIMIZED=FALSE&amp;VAR:CALENDAR=US&amp;VAR:SYMBOL=37183T10&amp;VAR:INDEX=0"}</definedName>
    <definedName name="_3981__FDSAUDITLINK__" localSheetId="6" hidden="1">{"fdsup://directions/FAT Viewer?action=UPDATE&amp;creator=factset&amp;DYN_ARGS=TRUE&amp;DOC_NAME=FAT:FQL_AUDITING_CLIENT_TEMPLATE.FAT&amp;display_string=Audit&amp;VAR:KEY=HUTOLMBOPW&amp;VAR:QUERY=RkZfRUJJVERBX0lCKCdMVE1TJywzOTkwNCk=&amp;WINDOW=FIRST_POPUP&amp;HEIGHT=450&amp;WIDTH=450&amp;START_MA","XIMIZED=FALSE&amp;VAR:CALENDAR=US&amp;VAR:SYMBOL=37183T10&amp;VAR:INDEX=0"}</definedName>
    <definedName name="_3981__FDSAUDITLINK__" hidden="1">{"fdsup://directions/FAT Viewer?action=UPDATE&amp;creator=factset&amp;DYN_ARGS=TRUE&amp;DOC_NAME=FAT:FQL_AUDITING_CLIENT_TEMPLATE.FAT&amp;display_string=Audit&amp;VAR:KEY=HUTOLMBOPW&amp;VAR:QUERY=RkZfRUJJVERBX0lCKCdMVE1TJywzOTkwNCk=&amp;WINDOW=FIRST_POPUP&amp;HEIGHT=450&amp;WIDTH=450&amp;START_MA","XIMIZED=FALSE&amp;VAR:CALENDAR=US&amp;VAR:SYMBOL=37183T10&amp;VAR:INDEX=0"}</definedName>
    <definedName name="_3982__FDSAUDITLINK__" localSheetId="6" hidden="1">{"fdsup://directions/FAT Viewer?action=UPDATE&amp;creator=factset&amp;DYN_ARGS=TRUE&amp;DOC_NAME=FAT:FQL_AUDITING_CLIENT_TEMPLATE.FAT&amp;display_string=Audit&amp;VAR:KEY=DYVCFGNCTW&amp;VAR:QUERY=RkZfRUJJVERBX0lCKCdMVE1TJywzOTkwMyk=&amp;WINDOW=FIRST_POPUP&amp;HEIGHT=450&amp;WIDTH=450&amp;START_MA","XIMIZED=FALSE&amp;VAR:CALENDAR=US&amp;VAR:SYMBOL=37183T10&amp;VAR:INDEX=0"}</definedName>
    <definedName name="_3982__FDSAUDITLINK__" hidden="1">{"fdsup://directions/FAT Viewer?action=UPDATE&amp;creator=factset&amp;DYN_ARGS=TRUE&amp;DOC_NAME=FAT:FQL_AUDITING_CLIENT_TEMPLATE.FAT&amp;display_string=Audit&amp;VAR:KEY=DYVCFGNCTW&amp;VAR:QUERY=RkZfRUJJVERBX0lCKCdMVE1TJywzOTkwMyk=&amp;WINDOW=FIRST_POPUP&amp;HEIGHT=450&amp;WIDTH=450&amp;START_MA","XIMIZED=FALSE&amp;VAR:CALENDAR=US&amp;VAR:SYMBOL=37183T10&amp;VAR:INDEX=0"}</definedName>
    <definedName name="_3983__FDSAUDITLINK__" localSheetId="6" hidden="1">{"fdsup://directions/FAT Viewer?action=UPDATE&amp;creator=factset&amp;DYN_ARGS=TRUE&amp;DOC_NAME=FAT:FQL_AUDITING_CLIENT_TEMPLATE.FAT&amp;display_string=Audit&amp;VAR:KEY=XWZKRMFOLO&amp;VAR:QUERY=RkZfRUJJVERBX0lCKCdMVE1TJywzOTkwMik=&amp;WINDOW=FIRST_POPUP&amp;HEIGHT=450&amp;WIDTH=450&amp;START_MA","XIMIZED=FALSE&amp;VAR:CALENDAR=US&amp;VAR:SYMBOL=37183T10&amp;VAR:INDEX=0"}</definedName>
    <definedName name="_3983__FDSAUDITLINK__" hidden="1">{"fdsup://directions/FAT Viewer?action=UPDATE&amp;creator=factset&amp;DYN_ARGS=TRUE&amp;DOC_NAME=FAT:FQL_AUDITING_CLIENT_TEMPLATE.FAT&amp;display_string=Audit&amp;VAR:KEY=XWZKRMFOLO&amp;VAR:QUERY=RkZfRUJJVERBX0lCKCdMVE1TJywzOTkwMik=&amp;WINDOW=FIRST_POPUP&amp;HEIGHT=450&amp;WIDTH=450&amp;START_MA","XIMIZED=FALSE&amp;VAR:CALENDAR=US&amp;VAR:SYMBOL=37183T10&amp;VAR:INDEX=0"}</definedName>
    <definedName name="_3984__FDSAUDITLINK__" localSheetId="6" hidden="1">{"fdsup://directions/FAT Viewer?action=UPDATE&amp;creator=factset&amp;DYN_ARGS=TRUE&amp;DOC_NAME=FAT:FQL_AUDITING_CLIENT_TEMPLATE.FAT&amp;display_string=Audit&amp;VAR:KEY=RCTOBURUTE&amp;VAR:QUERY=RkZfRUJJVERBX0lCKCdMVE1TJywzOTkwMSk=&amp;WINDOW=FIRST_POPUP&amp;HEIGHT=450&amp;WIDTH=450&amp;START_MA","XIMIZED=FALSE&amp;VAR:CALENDAR=US&amp;VAR:SYMBOL=37183T10&amp;VAR:INDEX=0"}</definedName>
    <definedName name="_3984__FDSAUDITLINK__" hidden="1">{"fdsup://directions/FAT Viewer?action=UPDATE&amp;creator=factset&amp;DYN_ARGS=TRUE&amp;DOC_NAME=FAT:FQL_AUDITING_CLIENT_TEMPLATE.FAT&amp;display_string=Audit&amp;VAR:KEY=RCTOBURUTE&amp;VAR:QUERY=RkZfRUJJVERBX0lCKCdMVE1TJywzOTkwMSk=&amp;WINDOW=FIRST_POPUP&amp;HEIGHT=450&amp;WIDTH=450&amp;START_MA","XIMIZED=FALSE&amp;VAR:CALENDAR=US&amp;VAR:SYMBOL=37183T10&amp;VAR:INDEX=0"}</definedName>
    <definedName name="_3985__FDSAUDITLINK__" localSheetId="6" hidden="1">{"fdsup://directions/FAT Viewer?action=UPDATE&amp;creator=factset&amp;DYN_ARGS=TRUE&amp;DOC_NAME=FAT:FQL_AUDITING_CLIENT_TEMPLATE.FAT&amp;display_string=Audit&amp;VAR:KEY=XUZYXSPUJE&amp;VAR:QUERY=RkZfRUJJVERBX0lCKCdMVE1TJywzOTkwMCk=&amp;WINDOW=FIRST_POPUP&amp;HEIGHT=450&amp;WIDTH=450&amp;START_MA","XIMIZED=FALSE&amp;VAR:CALENDAR=US&amp;VAR:SYMBOL=37183T10&amp;VAR:INDEX=0"}</definedName>
    <definedName name="_3985__FDSAUDITLINK__" hidden="1">{"fdsup://directions/FAT Viewer?action=UPDATE&amp;creator=factset&amp;DYN_ARGS=TRUE&amp;DOC_NAME=FAT:FQL_AUDITING_CLIENT_TEMPLATE.FAT&amp;display_string=Audit&amp;VAR:KEY=XUZYXSPUJE&amp;VAR:QUERY=RkZfRUJJVERBX0lCKCdMVE1TJywzOTkwMCk=&amp;WINDOW=FIRST_POPUP&amp;HEIGHT=450&amp;WIDTH=450&amp;START_MA","XIMIZED=FALSE&amp;VAR:CALENDAR=US&amp;VAR:SYMBOL=37183T10&amp;VAR:INDEX=0"}</definedName>
    <definedName name="_3986__FDSAUDITLINK__" localSheetId="6" hidden="1">{"fdsup://directions/FAT Viewer?action=UPDATE&amp;creator=factset&amp;DYN_ARGS=TRUE&amp;DOC_NAME=FAT:FQL_AUDITING_CLIENT_TEMPLATE.FAT&amp;display_string=Audit&amp;VAR:KEY=NANUTMRUPG&amp;VAR:QUERY=RkZfRUJJVERBX0lCKCdMVE1TJywzOTg5OSk=&amp;WINDOW=FIRST_POPUP&amp;HEIGHT=450&amp;WIDTH=450&amp;START_MA","XIMIZED=FALSE&amp;VAR:CALENDAR=US&amp;VAR:SYMBOL=37183T10&amp;VAR:INDEX=0"}</definedName>
    <definedName name="_3986__FDSAUDITLINK__" hidden="1">{"fdsup://directions/FAT Viewer?action=UPDATE&amp;creator=factset&amp;DYN_ARGS=TRUE&amp;DOC_NAME=FAT:FQL_AUDITING_CLIENT_TEMPLATE.FAT&amp;display_string=Audit&amp;VAR:KEY=NANUTMRUPG&amp;VAR:QUERY=RkZfRUJJVERBX0lCKCdMVE1TJywzOTg5OSk=&amp;WINDOW=FIRST_POPUP&amp;HEIGHT=450&amp;WIDTH=450&amp;START_MA","XIMIZED=FALSE&amp;VAR:CALENDAR=US&amp;VAR:SYMBOL=37183T10&amp;VAR:INDEX=0"}</definedName>
    <definedName name="_3987__FDSAUDITLINK__" localSheetId="6" hidden="1">{"fdsup://directions/FAT Viewer?action=UPDATE&amp;creator=factset&amp;DYN_ARGS=TRUE&amp;DOC_NAME=FAT:FQL_AUDITING_CLIENT_TEMPLATE.FAT&amp;display_string=Audit&amp;VAR:KEY=DSJODADWFO&amp;VAR:QUERY=RkZfRUJJVERBX0lCKCdMVE1TJywzOTg5OCk=&amp;WINDOW=FIRST_POPUP&amp;HEIGHT=450&amp;WIDTH=450&amp;START_MA","XIMIZED=FALSE&amp;VAR:CALENDAR=US&amp;VAR:SYMBOL=37183T10&amp;VAR:INDEX=0"}</definedName>
    <definedName name="_3987__FDSAUDITLINK__" hidden="1">{"fdsup://directions/FAT Viewer?action=UPDATE&amp;creator=factset&amp;DYN_ARGS=TRUE&amp;DOC_NAME=FAT:FQL_AUDITING_CLIENT_TEMPLATE.FAT&amp;display_string=Audit&amp;VAR:KEY=DSJODADWFO&amp;VAR:QUERY=RkZfRUJJVERBX0lCKCdMVE1TJywzOTg5OCk=&amp;WINDOW=FIRST_POPUP&amp;HEIGHT=450&amp;WIDTH=450&amp;START_MA","XIMIZED=FALSE&amp;VAR:CALENDAR=US&amp;VAR:SYMBOL=37183T10&amp;VAR:INDEX=0"}</definedName>
    <definedName name="_3988__FDSAUDITLINK__" localSheetId="6" hidden="1">{"fdsup://directions/FAT Viewer?action=UPDATE&amp;creator=factset&amp;DYN_ARGS=TRUE&amp;DOC_NAME=FAT:FQL_AUDITING_CLIENT_TEMPLATE.FAT&amp;display_string=Audit&amp;VAR:KEY=RGHEZWVWTM&amp;VAR:QUERY=RkZfRUJJVERBX0lCKCdMVE1TJywzOTg5Nyk=&amp;WINDOW=FIRST_POPUP&amp;HEIGHT=450&amp;WIDTH=450&amp;START_MA","XIMIZED=FALSE&amp;VAR:CALENDAR=US&amp;VAR:SYMBOL=37183T10&amp;VAR:INDEX=0"}</definedName>
    <definedName name="_3988__FDSAUDITLINK__" hidden="1">{"fdsup://directions/FAT Viewer?action=UPDATE&amp;creator=factset&amp;DYN_ARGS=TRUE&amp;DOC_NAME=FAT:FQL_AUDITING_CLIENT_TEMPLATE.FAT&amp;display_string=Audit&amp;VAR:KEY=RGHEZWVWTM&amp;VAR:QUERY=RkZfRUJJVERBX0lCKCdMVE1TJywzOTg5Nyk=&amp;WINDOW=FIRST_POPUP&amp;HEIGHT=450&amp;WIDTH=450&amp;START_MA","XIMIZED=FALSE&amp;VAR:CALENDAR=US&amp;VAR:SYMBOL=37183T10&amp;VAR:INDEX=0"}</definedName>
    <definedName name="_3989__FDSAUDITLINK__" localSheetId="6" hidden="1">{"fdsup://directions/FAT Viewer?action=UPDATE&amp;creator=factset&amp;DYN_ARGS=TRUE&amp;DOC_NAME=FAT:FQL_AUDITING_CLIENT_TEMPLATE.FAT&amp;display_string=Audit&amp;VAR:KEY=FMLAFQPMNS&amp;VAR:QUERY=RkZfRUJJVERBX0lCKCdMVE1TJywzOTg5Nik=&amp;WINDOW=FIRST_POPUP&amp;HEIGHT=450&amp;WIDTH=450&amp;START_MA","XIMIZED=FALSE&amp;VAR:CALENDAR=US&amp;VAR:SYMBOL=37183T10&amp;VAR:INDEX=0"}</definedName>
    <definedName name="_3989__FDSAUDITLINK__" hidden="1">{"fdsup://directions/FAT Viewer?action=UPDATE&amp;creator=factset&amp;DYN_ARGS=TRUE&amp;DOC_NAME=FAT:FQL_AUDITING_CLIENT_TEMPLATE.FAT&amp;display_string=Audit&amp;VAR:KEY=FMLAFQPMNS&amp;VAR:QUERY=RkZfRUJJVERBX0lCKCdMVE1TJywzOTg5Nik=&amp;WINDOW=FIRST_POPUP&amp;HEIGHT=450&amp;WIDTH=450&amp;START_MA","XIMIZED=FALSE&amp;VAR:CALENDAR=US&amp;VAR:SYMBOL=37183T10&amp;VAR:INDEX=0"}</definedName>
    <definedName name="_399__FDSAUDITLINK__" localSheetId="6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9__FDSAUDITLINK__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3990__FDSAUDITLINK__" localSheetId="6" hidden="1">{"fdsup://directions/FAT Viewer?action=UPDATE&amp;creator=factset&amp;DYN_ARGS=TRUE&amp;DOC_NAME=FAT:FQL_AUDITING_CLIENT_TEMPLATE.FAT&amp;display_string=Audit&amp;VAR:KEY=JGJEFEPQNS&amp;VAR:QUERY=RkZfRUJJVERBX0lCKCdMVE1TJywzOTg5NSk=&amp;WINDOW=FIRST_POPUP&amp;HEIGHT=450&amp;WIDTH=450&amp;START_MA","XIMIZED=FALSE&amp;VAR:CALENDAR=US&amp;VAR:SYMBOL=37183T10&amp;VAR:INDEX=0"}</definedName>
    <definedName name="_3990__FDSAUDITLINK__" hidden="1">{"fdsup://directions/FAT Viewer?action=UPDATE&amp;creator=factset&amp;DYN_ARGS=TRUE&amp;DOC_NAME=FAT:FQL_AUDITING_CLIENT_TEMPLATE.FAT&amp;display_string=Audit&amp;VAR:KEY=JGJEFEPQNS&amp;VAR:QUERY=RkZfRUJJVERBX0lCKCdMVE1TJywzOTg5NSk=&amp;WINDOW=FIRST_POPUP&amp;HEIGHT=450&amp;WIDTH=450&amp;START_MA","XIMIZED=FALSE&amp;VAR:CALENDAR=US&amp;VAR:SYMBOL=37183T10&amp;VAR:INDEX=0"}</definedName>
    <definedName name="_3991__FDSAUDITLINK__" localSheetId="6" hidden="1">{"fdsup://directions/FAT Viewer?action=UPDATE&amp;creator=factset&amp;DYN_ARGS=TRUE&amp;DOC_NAME=FAT:FQL_AUDITING_CLIENT_TEMPLATE.FAT&amp;display_string=Audit&amp;VAR:KEY=HGZEBEBEXU&amp;VAR:QUERY=RkZfRUJJVERBX0lCKCdMVE1TJywzOTg5NCk=&amp;WINDOW=FIRST_POPUP&amp;HEIGHT=450&amp;WIDTH=450&amp;START_MA","XIMIZED=FALSE&amp;VAR:CALENDAR=US&amp;VAR:SYMBOL=37183T10&amp;VAR:INDEX=0"}</definedName>
    <definedName name="_3991__FDSAUDITLINK__" hidden="1">{"fdsup://directions/FAT Viewer?action=UPDATE&amp;creator=factset&amp;DYN_ARGS=TRUE&amp;DOC_NAME=FAT:FQL_AUDITING_CLIENT_TEMPLATE.FAT&amp;display_string=Audit&amp;VAR:KEY=HGZEBEBEXU&amp;VAR:QUERY=RkZfRUJJVERBX0lCKCdMVE1TJywzOTg5NCk=&amp;WINDOW=FIRST_POPUP&amp;HEIGHT=450&amp;WIDTH=450&amp;START_MA","XIMIZED=FALSE&amp;VAR:CALENDAR=US&amp;VAR:SYMBOL=37183T10&amp;VAR:INDEX=0"}</definedName>
    <definedName name="_3992__FDSAUDITLINK__" localSheetId="6" hidden="1">{"fdsup://directions/FAT Viewer?action=UPDATE&amp;creator=factset&amp;DYN_ARGS=TRUE&amp;DOC_NAME=FAT:FQL_AUDITING_CLIENT_TEMPLATE.FAT&amp;display_string=Audit&amp;VAR:KEY=ZUJYDSXUTY&amp;VAR:QUERY=RkZfRUJJVERBX0lCKCdMVE1TJywzOTg5Myk=&amp;WINDOW=FIRST_POPUP&amp;HEIGHT=450&amp;WIDTH=450&amp;START_MA","XIMIZED=FALSE&amp;VAR:CALENDAR=US&amp;VAR:SYMBOL=37183T10&amp;VAR:INDEX=0"}</definedName>
    <definedName name="_3992__FDSAUDITLINK__" hidden="1">{"fdsup://directions/FAT Viewer?action=UPDATE&amp;creator=factset&amp;DYN_ARGS=TRUE&amp;DOC_NAME=FAT:FQL_AUDITING_CLIENT_TEMPLATE.FAT&amp;display_string=Audit&amp;VAR:KEY=ZUJYDSXUTY&amp;VAR:QUERY=RkZfRUJJVERBX0lCKCdMVE1TJywzOTg5Myk=&amp;WINDOW=FIRST_POPUP&amp;HEIGHT=450&amp;WIDTH=450&amp;START_MA","XIMIZED=FALSE&amp;VAR:CALENDAR=US&amp;VAR:SYMBOL=37183T10&amp;VAR:INDEX=0"}</definedName>
    <definedName name="_3993__FDSAUDITLINK__" localSheetId="6" hidden="1">{"fdsup://directions/FAT Viewer?action=UPDATE&amp;creator=factset&amp;DYN_ARGS=TRUE&amp;DOC_NAME=FAT:FQL_AUDITING_CLIENT_TEMPLATE.FAT&amp;display_string=Audit&amp;VAR:KEY=VYXIFIHEFI&amp;VAR:QUERY=RkZfRUJJVERBX0lCKCdMVE1TJywzOTg5Mik=&amp;WINDOW=FIRST_POPUP&amp;HEIGHT=450&amp;WIDTH=450&amp;START_MA","XIMIZED=FALSE&amp;VAR:CALENDAR=US&amp;VAR:SYMBOL=37183T10&amp;VAR:INDEX=0"}</definedName>
    <definedName name="_3993__FDSAUDITLINK__" hidden="1">{"fdsup://directions/FAT Viewer?action=UPDATE&amp;creator=factset&amp;DYN_ARGS=TRUE&amp;DOC_NAME=FAT:FQL_AUDITING_CLIENT_TEMPLATE.FAT&amp;display_string=Audit&amp;VAR:KEY=VYXIFIHEFI&amp;VAR:QUERY=RkZfRUJJVERBX0lCKCdMVE1TJywzOTg5Mik=&amp;WINDOW=FIRST_POPUP&amp;HEIGHT=450&amp;WIDTH=450&amp;START_MA","XIMIZED=FALSE&amp;VAR:CALENDAR=US&amp;VAR:SYMBOL=37183T10&amp;VAR:INDEX=0"}</definedName>
    <definedName name="_3994__FDSAUDITLINK__" localSheetId="6" hidden="1">{"fdsup://directions/FAT Viewer?action=UPDATE&amp;creator=factset&amp;DYN_ARGS=TRUE&amp;DOC_NAME=FAT:FQL_AUDITING_CLIENT_TEMPLATE.FAT&amp;display_string=Audit&amp;VAR:KEY=TIRATUVQTK&amp;VAR:QUERY=RkZfRUJJVERBX0lCKCdMVE1TJywzOTg5MSk=&amp;WINDOW=FIRST_POPUP&amp;HEIGHT=450&amp;WIDTH=450&amp;START_MA","XIMIZED=FALSE&amp;VAR:CALENDAR=US&amp;VAR:SYMBOL=37183T10&amp;VAR:INDEX=0"}</definedName>
    <definedName name="_3994__FDSAUDITLINK__" hidden="1">{"fdsup://directions/FAT Viewer?action=UPDATE&amp;creator=factset&amp;DYN_ARGS=TRUE&amp;DOC_NAME=FAT:FQL_AUDITING_CLIENT_TEMPLATE.FAT&amp;display_string=Audit&amp;VAR:KEY=TIRATUVQTK&amp;VAR:QUERY=RkZfRUJJVERBX0lCKCdMVE1TJywzOTg5MSk=&amp;WINDOW=FIRST_POPUP&amp;HEIGHT=450&amp;WIDTH=450&amp;START_MA","XIMIZED=FALSE&amp;VAR:CALENDAR=US&amp;VAR:SYMBOL=37183T10&amp;VAR:INDEX=0"}</definedName>
    <definedName name="_3995__FDSAUDITLINK__" localSheetId="6" hidden="1">{"fdsup://directions/FAT Viewer?action=UPDATE&amp;creator=factset&amp;DYN_ARGS=TRUE&amp;DOC_NAME=FAT:FQL_AUDITING_CLIENT_TEMPLATE.FAT&amp;display_string=Audit&amp;VAR:KEY=VSVSRGJCPK&amp;VAR:QUERY=RkZfRUJJVERBX0lCKCdMVE1TJywzOTg5MCk=&amp;WINDOW=FIRST_POPUP&amp;HEIGHT=450&amp;WIDTH=450&amp;START_MA","XIMIZED=FALSE&amp;VAR:CALENDAR=US&amp;VAR:SYMBOL=37183T10&amp;VAR:INDEX=0"}</definedName>
    <definedName name="_3995__FDSAUDITLINK__" hidden="1">{"fdsup://directions/FAT Viewer?action=UPDATE&amp;creator=factset&amp;DYN_ARGS=TRUE&amp;DOC_NAME=FAT:FQL_AUDITING_CLIENT_TEMPLATE.FAT&amp;display_string=Audit&amp;VAR:KEY=VSVSRGJCPK&amp;VAR:QUERY=RkZfRUJJVERBX0lCKCdMVE1TJywzOTg5MCk=&amp;WINDOW=FIRST_POPUP&amp;HEIGHT=450&amp;WIDTH=450&amp;START_MA","XIMIZED=FALSE&amp;VAR:CALENDAR=US&amp;VAR:SYMBOL=37183T10&amp;VAR:INDEX=0"}</definedName>
    <definedName name="_3996__FDSAUDITLINK__" localSheetId="6" hidden="1">{"fdsup://directions/FAT Viewer?action=UPDATE&amp;creator=factset&amp;DYN_ARGS=TRUE&amp;DOC_NAME=FAT:FQL_AUDITING_CLIENT_TEMPLATE.FAT&amp;display_string=Audit&amp;VAR:KEY=VCTAJKTKBI&amp;VAR:QUERY=RkZfRUJJVERBX0lCKCdMVE1TJywzOTg4OSk=&amp;WINDOW=FIRST_POPUP&amp;HEIGHT=450&amp;WIDTH=450&amp;START_MA","XIMIZED=FALSE&amp;VAR:CALENDAR=US&amp;VAR:SYMBOL=37183T10&amp;VAR:INDEX=0"}</definedName>
    <definedName name="_3996__FDSAUDITLINK__" hidden="1">{"fdsup://directions/FAT Viewer?action=UPDATE&amp;creator=factset&amp;DYN_ARGS=TRUE&amp;DOC_NAME=FAT:FQL_AUDITING_CLIENT_TEMPLATE.FAT&amp;display_string=Audit&amp;VAR:KEY=VCTAJKTKBI&amp;VAR:QUERY=RkZfRUJJVERBX0lCKCdMVE1TJywzOTg4OSk=&amp;WINDOW=FIRST_POPUP&amp;HEIGHT=450&amp;WIDTH=450&amp;START_MA","XIMIZED=FALSE&amp;VAR:CALENDAR=US&amp;VAR:SYMBOL=37183T10&amp;VAR:INDEX=0"}</definedName>
    <definedName name="_3997__FDSAUDITLINK__" localSheetId="6" hidden="1">{"fdsup://directions/FAT Viewer?action=UPDATE&amp;creator=factset&amp;DYN_ARGS=TRUE&amp;DOC_NAME=FAT:FQL_AUDITING_CLIENT_TEMPLATE.FAT&amp;display_string=Audit&amp;VAR:KEY=RKTAFIJQZG&amp;VAR:QUERY=RkZfRUJJVERBX0lCKCdMVE1TJywzOTg4OCk=&amp;WINDOW=FIRST_POPUP&amp;HEIGHT=450&amp;WIDTH=450&amp;START_MA","XIMIZED=FALSE&amp;VAR:CALENDAR=US&amp;VAR:SYMBOL=37183T10&amp;VAR:INDEX=0"}</definedName>
    <definedName name="_3997__FDSAUDITLINK__" hidden="1">{"fdsup://directions/FAT Viewer?action=UPDATE&amp;creator=factset&amp;DYN_ARGS=TRUE&amp;DOC_NAME=FAT:FQL_AUDITING_CLIENT_TEMPLATE.FAT&amp;display_string=Audit&amp;VAR:KEY=RKTAFIJQZG&amp;VAR:QUERY=RkZfRUJJVERBX0lCKCdMVE1TJywzOTg4OCk=&amp;WINDOW=FIRST_POPUP&amp;HEIGHT=450&amp;WIDTH=450&amp;START_MA","XIMIZED=FALSE&amp;VAR:CALENDAR=US&amp;VAR:SYMBOL=37183T10&amp;VAR:INDEX=0"}</definedName>
    <definedName name="_3998__FDSAUDITLINK__" localSheetId="6" hidden="1">{"fdsup://directions/FAT Viewer?action=UPDATE&amp;creator=factset&amp;DYN_ARGS=TRUE&amp;DOC_NAME=FAT:FQL_AUDITING_CLIENT_TEMPLATE.FAT&amp;display_string=Audit&amp;VAR:KEY=TWTKPOTMBC&amp;VAR:QUERY=RkZfRUJJVERBX0lCKCdMVE1TJywzOTg4Nyk=&amp;WINDOW=FIRST_POPUP&amp;HEIGHT=450&amp;WIDTH=450&amp;START_MA","XIMIZED=FALSE&amp;VAR:CALENDAR=US&amp;VAR:SYMBOL=37183T10&amp;VAR:INDEX=0"}</definedName>
    <definedName name="_3998__FDSAUDITLINK__" hidden="1">{"fdsup://directions/FAT Viewer?action=UPDATE&amp;creator=factset&amp;DYN_ARGS=TRUE&amp;DOC_NAME=FAT:FQL_AUDITING_CLIENT_TEMPLATE.FAT&amp;display_string=Audit&amp;VAR:KEY=TWTKPOTMBC&amp;VAR:QUERY=RkZfRUJJVERBX0lCKCdMVE1TJywzOTg4Nyk=&amp;WINDOW=FIRST_POPUP&amp;HEIGHT=450&amp;WIDTH=450&amp;START_MA","XIMIZED=FALSE&amp;VAR:CALENDAR=US&amp;VAR:SYMBOL=37183T10&amp;VAR:INDEX=0"}</definedName>
    <definedName name="_3999__FDSAUDITLINK__" localSheetId="6" hidden="1">{"fdsup://directions/FAT Viewer?action=UPDATE&amp;creator=factset&amp;DYN_ARGS=TRUE&amp;DOC_NAME=FAT:FQL_AUDITING_CLIENT_TEMPLATE.FAT&amp;display_string=Audit&amp;VAR:KEY=DWVSFEBIPC&amp;VAR:QUERY=RkZfRUJJVERBX0lCKCdMVE1TJywzOTg4Nik=&amp;WINDOW=FIRST_POPUP&amp;HEIGHT=450&amp;WIDTH=450&amp;START_MA","XIMIZED=FALSE&amp;VAR:CALENDAR=US&amp;VAR:SYMBOL=37183T10&amp;VAR:INDEX=0"}</definedName>
    <definedName name="_3999__FDSAUDITLINK__" hidden="1">{"fdsup://directions/FAT Viewer?action=UPDATE&amp;creator=factset&amp;DYN_ARGS=TRUE&amp;DOC_NAME=FAT:FQL_AUDITING_CLIENT_TEMPLATE.FAT&amp;display_string=Audit&amp;VAR:KEY=DWVSFEBIPC&amp;VAR:QUERY=RkZfRUJJVERBX0lCKCdMVE1TJywzOTg4Nik=&amp;WINDOW=FIRST_POPUP&amp;HEIGHT=450&amp;WIDTH=450&amp;START_MA","XIMIZED=FALSE&amp;VAR:CALENDAR=US&amp;VAR:SYMBOL=37183T10&amp;VAR:INDEX=0"}</definedName>
    <definedName name="_4__FDSAUDITLINK__" localSheetId="6" hidden="1">{"fdsup://directions/FAT Viewer?action=UPDATE&amp;creator=factset&amp;DYN_ARGS=TRUE&amp;DOC_NAME=FAT:FQL_AUDITING_CLIENT_TEMPLATE.FAT&amp;display_string=Audit&amp;VAR:KEY=WHCFCNCFAF&amp;VAR:QUERY=QVZHKENTRl9ORVRfSU5DKEFOTiwwRlksLTZGWSxZKSkgLyAoQVZHKENTRl9BU1NFVFMoQU5OLDBGWSwtNkZZL","EZZKSkgLSBBVkcoQ1NGX0lOVEFORyhBTk4sMCwtNkZZLEZZKSkp&amp;WINDOW=FIRST_POPUP&amp;HEIGHT=450&amp;WIDTH=450&amp;START_MAXIMIZED=FALSE&amp;VAR:CALENDAR=US&amp;VAR:SYMBOL=DAC"}</definedName>
    <definedName name="_4__FDSAUDITLINK__" hidden="1">{"fdsup://directions/FAT Viewer?action=UPDATE&amp;creator=factset&amp;DYN_ARGS=TRUE&amp;DOC_NAME=FAT:FQL_AUDITING_CLIENT_TEMPLATE.FAT&amp;display_string=Audit&amp;VAR:KEY=WHCFCNCFAF&amp;VAR:QUERY=QVZHKENTRl9ORVRfSU5DKEFOTiwwRlksLTZGWSxZKSkgLyAoQVZHKENTRl9BU1NFVFMoQU5OLDBGWSwtNkZZL","EZZKSkgLSBBVkcoQ1NGX0lOVEFORyhBTk4sMCwtNkZZLEZZKSkp&amp;WINDOW=FIRST_POPUP&amp;HEIGHT=450&amp;WIDTH=450&amp;START_MAXIMIZED=FALSE&amp;VAR:CALENDAR=US&amp;VAR:SYMBOL=DAC"}</definedName>
    <definedName name="_40__FDSAUDITLINK__" localSheetId="6" hidden="1">{"fdsup://directions/FAT Viewer?action=UPDATE&amp;creator=factset&amp;DYN_ARGS=TRUE&amp;DOC_NAME=FAT:FQL_AUDITING_CLIENT_TEMPLATE.FAT&amp;display_string=Audit&amp;VAR:KEY=FAFWFMPQNY&amp;VAR:QUERY=QVZHKENTRl9ORVRfSU5DKEFOTiwwRlksLTZGWSxZKSkgLyAoQVZHKENTRl9BU1NFVFMoQU5OLDBGWSwtNkZZL","EZZKSkgLSBBVkcoQ1NGX0lOVEFORyhBTk4sMCwtNkZZLEZZKSkp&amp;WINDOW=FIRST_POPUP&amp;HEIGHT=450&amp;WIDTH=450&amp;START_MAXIMIZED=FALSE&amp;VAR:CALENDAR=US&amp;VAR:SYMBOL=CGI"}</definedName>
    <definedName name="_40__FDSAUDITLINK__" hidden="1">{"fdsup://directions/FAT Viewer?action=UPDATE&amp;creator=factset&amp;DYN_ARGS=TRUE&amp;DOC_NAME=FAT:FQL_AUDITING_CLIENT_TEMPLATE.FAT&amp;display_string=Audit&amp;VAR:KEY=FAFWFMPQNY&amp;VAR:QUERY=QVZHKENTRl9ORVRfSU5DKEFOTiwwRlksLTZGWSxZKSkgLyAoQVZHKENTRl9BU1NFVFMoQU5OLDBGWSwtNkZZL","EZZKSkgLSBBVkcoQ1NGX0lOVEFORyhBTk4sMCwtNkZZLEZZKSkp&amp;WINDOW=FIRST_POPUP&amp;HEIGHT=450&amp;WIDTH=450&amp;START_MAXIMIZED=FALSE&amp;VAR:CALENDAR=US&amp;VAR:SYMBOL=CGI"}</definedName>
    <definedName name="_400__FDSAUDITLINK__" localSheetId="6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0__FDSAUDITLINK__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00__FDSAUDITLINK__" localSheetId="6" hidden="1">{"fdsup://directions/FAT Viewer?action=UPDATE&amp;creator=factset&amp;DYN_ARGS=TRUE&amp;DOC_NAME=FAT:FQL_AUDITING_CLIENT_TEMPLATE.FAT&amp;display_string=Audit&amp;VAR:KEY=BYDWVGLSZM&amp;VAR:QUERY=RkZfRUJJVERBX0lCKCdMVE1TJywzOTg4NSk=&amp;WINDOW=FIRST_POPUP&amp;HEIGHT=450&amp;WIDTH=450&amp;START_MA","XIMIZED=FALSE&amp;VAR:CALENDAR=US&amp;VAR:SYMBOL=37183T10&amp;VAR:INDEX=0"}</definedName>
    <definedName name="_4000__FDSAUDITLINK__" hidden="1">{"fdsup://directions/FAT Viewer?action=UPDATE&amp;creator=factset&amp;DYN_ARGS=TRUE&amp;DOC_NAME=FAT:FQL_AUDITING_CLIENT_TEMPLATE.FAT&amp;display_string=Audit&amp;VAR:KEY=BYDWVGLSZM&amp;VAR:QUERY=RkZfRUJJVERBX0lCKCdMVE1TJywzOTg4NSk=&amp;WINDOW=FIRST_POPUP&amp;HEIGHT=450&amp;WIDTH=450&amp;START_MA","XIMIZED=FALSE&amp;VAR:CALENDAR=US&amp;VAR:SYMBOL=37183T10&amp;VAR:INDEX=0"}</definedName>
    <definedName name="_4001__FDSAUDITLINK__" localSheetId="6" hidden="1">{"fdsup://directions/FAT Viewer?action=UPDATE&amp;creator=factset&amp;DYN_ARGS=TRUE&amp;DOC_NAME=FAT:FQL_AUDITING_CLIENT_TEMPLATE.FAT&amp;display_string=Audit&amp;VAR:KEY=NONIXAPCBM&amp;VAR:QUERY=RkZfRUJJVERBX0lCKCdMVE1TJywzOTg4NCk=&amp;WINDOW=FIRST_POPUP&amp;HEIGHT=450&amp;WIDTH=450&amp;START_MA","XIMIZED=FALSE&amp;VAR:CALENDAR=US&amp;VAR:SYMBOL=37183T10&amp;VAR:INDEX=0"}</definedName>
    <definedName name="_4001__FDSAUDITLINK__" hidden="1">{"fdsup://directions/FAT Viewer?action=UPDATE&amp;creator=factset&amp;DYN_ARGS=TRUE&amp;DOC_NAME=FAT:FQL_AUDITING_CLIENT_TEMPLATE.FAT&amp;display_string=Audit&amp;VAR:KEY=NONIXAPCBM&amp;VAR:QUERY=RkZfRUJJVERBX0lCKCdMVE1TJywzOTg4NCk=&amp;WINDOW=FIRST_POPUP&amp;HEIGHT=450&amp;WIDTH=450&amp;START_MA","XIMIZED=FALSE&amp;VAR:CALENDAR=US&amp;VAR:SYMBOL=37183T10&amp;VAR:INDEX=0"}</definedName>
    <definedName name="_4002__FDSAUDITLINK__" localSheetId="6" hidden="1">{"fdsup://directions/FAT Viewer?action=UPDATE&amp;creator=factset&amp;DYN_ARGS=TRUE&amp;DOC_NAME=FAT:FQL_AUDITING_CLIENT_TEMPLATE.FAT&amp;display_string=Audit&amp;VAR:KEY=ROTWBIZGBU&amp;VAR:QUERY=RkZfRUJJVERBX0lCKCdMVE1TJywzOTg4Myk=&amp;WINDOW=FIRST_POPUP&amp;HEIGHT=450&amp;WIDTH=450&amp;START_MA","XIMIZED=FALSE&amp;VAR:CALENDAR=US&amp;VAR:SYMBOL=37183T10&amp;VAR:INDEX=0"}</definedName>
    <definedName name="_4002__FDSAUDITLINK__" hidden="1">{"fdsup://directions/FAT Viewer?action=UPDATE&amp;creator=factset&amp;DYN_ARGS=TRUE&amp;DOC_NAME=FAT:FQL_AUDITING_CLIENT_TEMPLATE.FAT&amp;display_string=Audit&amp;VAR:KEY=ROTWBIZGBU&amp;VAR:QUERY=RkZfRUJJVERBX0lCKCdMVE1TJywzOTg4Myk=&amp;WINDOW=FIRST_POPUP&amp;HEIGHT=450&amp;WIDTH=450&amp;START_MA","XIMIZED=FALSE&amp;VAR:CALENDAR=US&amp;VAR:SYMBOL=37183T10&amp;VAR:INDEX=0"}</definedName>
    <definedName name="_4003__FDSAUDITLINK__" localSheetId="6" hidden="1">{"fdsup://directions/FAT Viewer?action=UPDATE&amp;creator=factset&amp;DYN_ARGS=TRUE&amp;DOC_NAME=FAT:FQL_AUDITING_CLIENT_TEMPLATE.FAT&amp;display_string=Audit&amp;VAR:KEY=ZCHYJGDIRK&amp;VAR:QUERY=RkZfRUJJVERBX0lCKCdMVE1TJywzOTg4Mik=&amp;WINDOW=FIRST_POPUP&amp;HEIGHT=450&amp;WIDTH=450&amp;START_MA","XIMIZED=FALSE&amp;VAR:CALENDAR=US&amp;VAR:SYMBOL=37183T10&amp;VAR:INDEX=0"}</definedName>
    <definedName name="_4003__FDSAUDITLINK__" hidden="1">{"fdsup://directions/FAT Viewer?action=UPDATE&amp;creator=factset&amp;DYN_ARGS=TRUE&amp;DOC_NAME=FAT:FQL_AUDITING_CLIENT_TEMPLATE.FAT&amp;display_string=Audit&amp;VAR:KEY=ZCHYJGDIRK&amp;VAR:QUERY=RkZfRUJJVERBX0lCKCdMVE1TJywzOTg4Mik=&amp;WINDOW=FIRST_POPUP&amp;HEIGHT=450&amp;WIDTH=450&amp;START_MA","XIMIZED=FALSE&amp;VAR:CALENDAR=US&amp;VAR:SYMBOL=37183T10&amp;VAR:INDEX=0"}</definedName>
    <definedName name="_4004__FDSAUDITLINK__" localSheetId="6" hidden="1">{"fdsup://directions/FAT Viewer?action=UPDATE&amp;creator=factset&amp;DYN_ARGS=TRUE&amp;DOC_NAME=FAT:FQL_AUDITING_CLIENT_TEMPLATE.FAT&amp;display_string=Audit&amp;VAR:KEY=ZQRSJMJMNQ&amp;VAR:QUERY=RkZfRUJJVERBX0lCKCdMVE1TJywzOTg4MSk=&amp;WINDOW=FIRST_POPUP&amp;HEIGHT=450&amp;WIDTH=450&amp;START_MA","XIMIZED=FALSE&amp;VAR:CALENDAR=US&amp;VAR:SYMBOL=37183T10&amp;VAR:INDEX=0"}</definedName>
    <definedName name="_4004__FDSAUDITLINK__" hidden="1">{"fdsup://directions/FAT Viewer?action=UPDATE&amp;creator=factset&amp;DYN_ARGS=TRUE&amp;DOC_NAME=FAT:FQL_AUDITING_CLIENT_TEMPLATE.FAT&amp;display_string=Audit&amp;VAR:KEY=ZQRSJMJMNQ&amp;VAR:QUERY=RkZfRUJJVERBX0lCKCdMVE1TJywzOTg4MSk=&amp;WINDOW=FIRST_POPUP&amp;HEIGHT=450&amp;WIDTH=450&amp;START_MA","XIMIZED=FALSE&amp;VAR:CALENDAR=US&amp;VAR:SYMBOL=37183T10&amp;VAR:INDEX=0"}</definedName>
    <definedName name="_4005__FDSAUDITLINK__" localSheetId="6" hidden="1">{"fdsup://directions/FAT Viewer?action=UPDATE&amp;creator=factset&amp;DYN_ARGS=TRUE&amp;DOC_NAME=FAT:FQL_AUDITING_CLIENT_TEMPLATE.FAT&amp;display_string=Audit&amp;VAR:KEY=XQDYPGFONE&amp;VAR:QUERY=RkZfRUJJVERBX0lCKCdMVE1TJywzOTg4MCk=&amp;WINDOW=FIRST_POPUP&amp;HEIGHT=450&amp;WIDTH=450&amp;START_MA","XIMIZED=FALSE&amp;VAR:CALENDAR=US&amp;VAR:SYMBOL=37183T10&amp;VAR:INDEX=0"}</definedName>
    <definedName name="_4005__FDSAUDITLINK__" hidden="1">{"fdsup://directions/FAT Viewer?action=UPDATE&amp;creator=factset&amp;DYN_ARGS=TRUE&amp;DOC_NAME=FAT:FQL_AUDITING_CLIENT_TEMPLATE.FAT&amp;display_string=Audit&amp;VAR:KEY=XQDYPGFONE&amp;VAR:QUERY=RkZfRUJJVERBX0lCKCdMVE1TJywzOTg4MCk=&amp;WINDOW=FIRST_POPUP&amp;HEIGHT=450&amp;WIDTH=450&amp;START_MA","XIMIZED=FALSE&amp;VAR:CALENDAR=US&amp;VAR:SYMBOL=37183T10&amp;VAR:INDEX=0"}</definedName>
    <definedName name="_4006__FDSAUDITLINK__" localSheetId="6" hidden="1">{"fdsup://directions/FAT Viewer?action=UPDATE&amp;creator=factset&amp;DYN_ARGS=TRUE&amp;DOC_NAME=FAT:FQL_AUDITING_CLIENT_TEMPLATE.FAT&amp;display_string=Audit&amp;VAR:KEY=JUTIVKRUZC&amp;VAR:QUERY=RkZfRUJJVERBX0lCKCdMVE1TJywzOTg3OSk=&amp;WINDOW=FIRST_POPUP&amp;HEIGHT=450&amp;WIDTH=450&amp;START_MA","XIMIZED=FALSE&amp;VAR:CALENDAR=US&amp;VAR:SYMBOL=37183T10&amp;VAR:INDEX=0"}</definedName>
    <definedName name="_4006__FDSAUDITLINK__" hidden="1">{"fdsup://directions/FAT Viewer?action=UPDATE&amp;creator=factset&amp;DYN_ARGS=TRUE&amp;DOC_NAME=FAT:FQL_AUDITING_CLIENT_TEMPLATE.FAT&amp;display_string=Audit&amp;VAR:KEY=JUTIVKRUZC&amp;VAR:QUERY=RkZfRUJJVERBX0lCKCdMVE1TJywzOTg3OSk=&amp;WINDOW=FIRST_POPUP&amp;HEIGHT=450&amp;WIDTH=450&amp;START_MA","XIMIZED=FALSE&amp;VAR:CALENDAR=US&amp;VAR:SYMBOL=37183T10&amp;VAR:INDEX=0"}</definedName>
    <definedName name="_4007__FDSAUDITLINK__" localSheetId="6" hidden="1">{"fdsup://directions/FAT Viewer?action=UPDATE&amp;creator=factset&amp;DYN_ARGS=TRUE&amp;DOC_NAME=FAT:FQL_AUDITING_CLIENT_TEMPLATE.FAT&amp;display_string=Audit&amp;VAR:KEY=DSJKZSNERK&amp;VAR:QUERY=RkZfRUJJVERBX0lCKCdMVE1TJywzOTg3OCk=&amp;WINDOW=FIRST_POPUP&amp;HEIGHT=450&amp;WIDTH=450&amp;START_MA","XIMIZED=FALSE&amp;VAR:CALENDAR=US&amp;VAR:SYMBOL=37183T10&amp;VAR:INDEX=0"}</definedName>
    <definedName name="_4007__FDSAUDITLINK__" hidden="1">{"fdsup://directions/FAT Viewer?action=UPDATE&amp;creator=factset&amp;DYN_ARGS=TRUE&amp;DOC_NAME=FAT:FQL_AUDITING_CLIENT_TEMPLATE.FAT&amp;display_string=Audit&amp;VAR:KEY=DSJKZSNERK&amp;VAR:QUERY=RkZfRUJJVERBX0lCKCdMVE1TJywzOTg3OCk=&amp;WINDOW=FIRST_POPUP&amp;HEIGHT=450&amp;WIDTH=450&amp;START_MA","XIMIZED=FALSE&amp;VAR:CALENDAR=US&amp;VAR:SYMBOL=37183T10&amp;VAR:INDEX=0"}</definedName>
    <definedName name="_4008__FDSAUDITLINK__" localSheetId="6" hidden="1">{"fdsup://directions/FAT Viewer?action=UPDATE&amp;creator=factset&amp;DYN_ARGS=TRUE&amp;DOC_NAME=FAT:FQL_AUDITING_CLIENT_TEMPLATE.FAT&amp;display_string=Audit&amp;VAR:KEY=PMZILEVSDI&amp;VAR:QUERY=RkZfRUJJVERBX0lCKCdMVE1TJywzOTg3Nyk=&amp;WINDOW=FIRST_POPUP&amp;HEIGHT=450&amp;WIDTH=450&amp;START_MA","XIMIZED=FALSE&amp;VAR:CALENDAR=US&amp;VAR:SYMBOL=37183T10&amp;VAR:INDEX=0"}</definedName>
    <definedName name="_4008__FDSAUDITLINK__" hidden="1">{"fdsup://directions/FAT Viewer?action=UPDATE&amp;creator=factset&amp;DYN_ARGS=TRUE&amp;DOC_NAME=FAT:FQL_AUDITING_CLIENT_TEMPLATE.FAT&amp;display_string=Audit&amp;VAR:KEY=PMZILEVSDI&amp;VAR:QUERY=RkZfRUJJVERBX0lCKCdMVE1TJywzOTg3Nyk=&amp;WINDOW=FIRST_POPUP&amp;HEIGHT=450&amp;WIDTH=450&amp;START_MA","XIMIZED=FALSE&amp;VAR:CALENDAR=US&amp;VAR:SYMBOL=37183T10&amp;VAR:INDEX=0"}</definedName>
    <definedName name="_4009__FDSAUDITLINK__" localSheetId="6" hidden="1">{"fdsup://directions/FAT Viewer?action=UPDATE&amp;creator=factset&amp;DYN_ARGS=TRUE&amp;DOC_NAME=FAT:FQL_AUDITING_CLIENT_TEMPLATE.FAT&amp;display_string=Audit&amp;VAR:KEY=VOVCXSBMHO&amp;VAR:QUERY=RkZfRUJJVERBX0lCKCdMVE1TJywzOTg3Nik=&amp;WINDOW=FIRST_POPUP&amp;HEIGHT=450&amp;WIDTH=450&amp;START_MA","XIMIZED=FALSE&amp;VAR:CALENDAR=US&amp;VAR:SYMBOL=37183T10&amp;VAR:INDEX=0"}</definedName>
    <definedName name="_4009__FDSAUDITLINK__" hidden="1">{"fdsup://directions/FAT Viewer?action=UPDATE&amp;creator=factset&amp;DYN_ARGS=TRUE&amp;DOC_NAME=FAT:FQL_AUDITING_CLIENT_TEMPLATE.FAT&amp;display_string=Audit&amp;VAR:KEY=VOVCXSBMHO&amp;VAR:QUERY=RkZfRUJJVERBX0lCKCdMVE1TJywzOTg3Nik=&amp;WINDOW=FIRST_POPUP&amp;HEIGHT=450&amp;WIDTH=450&amp;START_MA","XIMIZED=FALSE&amp;VAR:CALENDAR=US&amp;VAR:SYMBOL=37183T10&amp;VAR:INDEX=0"}</definedName>
    <definedName name="_401__FDSAUDITLINK__" localSheetId="6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1__FDSAUDITLINK__" hidden="1">{"fdsup://directions/FAT%20Viewer?VAR:PED=LTM&amp;VAR:AUDIT_MODE=SUMMARY&amp;VAR:PERIOD=FIXED&amp;VAR:AUDIT_ID=00000117&amp;VAR:DATE=20090116&amp;action=UPDATE&amp;creator=factset&amp;DOC_NAME=FAT:FMA_audit_SUMMARY.fat&amp;DISPLAY_STRING=Display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10__FDSAUDITLINK__" localSheetId="6" hidden="1">{"fdsup://directions/FAT Viewer?action=UPDATE&amp;creator=factset&amp;DYN_ARGS=TRUE&amp;DOC_NAME=FAT:FQL_AUDITING_CLIENT_TEMPLATE.FAT&amp;display_string=Audit&amp;VAR:KEY=JMDGLWLIDG&amp;VAR:QUERY=RkZfRUJJVERBX0lCKCdMVE1TJywzOTg3NSk=&amp;WINDOW=FIRST_POPUP&amp;HEIGHT=450&amp;WIDTH=450&amp;START_MA","XIMIZED=FALSE&amp;VAR:CALENDAR=US&amp;VAR:SYMBOL=37183T10&amp;VAR:INDEX=0"}</definedName>
    <definedName name="_4010__FDSAUDITLINK__" hidden="1">{"fdsup://directions/FAT Viewer?action=UPDATE&amp;creator=factset&amp;DYN_ARGS=TRUE&amp;DOC_NAME=FAT:FQL_AUDITING_CLIENT_TEMPLATE.FAT&amp;display_string=Audit&amp;VAR:KEY=JMDGLWLIDG&amp;VAR:QUERY=RkZfRUJJVERBX0lCKCdMVE1TJywzOTg3NSk=&amp;WINDOW=FIRST_POPUP&amp;HEIGHT=450&amp;WIDTH=450&amp;START_MA","XIMIZED=FALSE&amp;VAR:CALENDAR=US&amp;VAR:SYMBOL=37183T10&amp;VAR:INDEX=0"}</definedName>
    <definedName name="_4011__FDSAUDITLINK__" localSheetId="6" hidden="1">{"fdsup://directions/FAT Viewer?action=UPDATE&amp;creator=factset&amp;DYN_ARGS=TRUE&amp;DOC_NAME=FAT:FQL_AUDITING_CLIENT_TEMPLATE.FAT&amp;display_string=Audit&amp;VAR:KEY=RQNCXYLSPA&amp;VAR:QUERY=RkZfRUJJVERBX0lCKCdMVE1TJywzOTg3NCk=&amp;WINDOW=FIRST_POPUP&amp;HEIGHT=450&amp;WIDTH=450&amp;START_MA","XIMIZED=FALSE&amp;VAR:CALENDAR=US&amp;VAR:SYMBOL=37183T10&amp;VAR:INDEX=0"}</definedName>
    <definedName name="_4011__FDSAUDITLINK__" hidden="1">{"fdsup://directions/FAT Viewer?action=UPDATE&amp;creator=factset&amp;DYN_ARGS=TRUE&amp;DOC_NAME=FAT:FQL_AUDITING_CLIENT_TEMPLATE.FAT&amp;display_string=Audit&amp;VAR:KEY=RQNCXYLSPA&amp;VAR:QUERY=RkZfRUJJVERBX0lCKCdMVE1TJywzOTg3NCk=&amp;WINDOW=FIRST_POPUP&amp;HEIGHT=450&amp;WIDTH=450&amp;START_MA","XIMIZED=FALSE&amp;VAR:CALENDAR=US&amp;VAR:SYMBOL=37183T10&amp;VAR:INDEX=0"}</definedName>
    <definedName name="_4012__FDSAUDITLINK__" localSheetId="6" hidden="1">{"fdsup://directions/FAT Viewer?action=UPDATE&amp;creator=factset&amp;DYN_ARGS=TRUE&amp;DOC_NAME=FAT:FQL_AUDITING_CLIENT_TEMPLATE.FAT&amp;display_string=Audit&amp;VAR:KEY=JQTANGVYRM&amp;VAR:QUERY=RkZfRUJJVERBX0lCKCdMVE1TJywzOTg3Myk=&amp;WINDOW=FIRST_POPUP&amp;HEIGHT=450&amp;WIDTH=450&amp;START_MA","XIMIZED=FALSE&amp;VAR:CALENDAR=US&amp;VAR:SYMBOL=37183T10&amp;VAR:INDEX=0"}</definedName>
    <definedName name="_4012__FDSAUDITLINK__" hidden="1">{"fdsup://directions/FAT Viewer?action=UPDATE&amp;creator=factset&amp;DYN_ARGS=TRUE&amp;DOC_NAME=FAT:FQL_AUDITING_CLIENT_TEMPLATE.FAT&amp;display_string=Audit&amp;VAR:KEY=JQTANGVYRM&amp;VAR:QUERY=RkZfRUJJVERBX0lCKCdMVE1TJywzOTg3Myk=&amp;WINDOW=FIRST_POPUP&amp;HEIGHT=450&amp;WIDTH=450&amp;START_MA","XIMIZED=FALSE&amp;VAR:CALENDAR=US&amp;VAR:SYMBOL=37183T10&amp;VAR:INDEX=0"}</definedName>
    <definedName name="_4013__FDSAUDITLINK__" localSheetId="6" hidden="1">{"fdsup://directions/FAT Viewer?action=UPDATE&amp;creator=factset&amp;DYN_ARGS=TRUE&amp;DOC_NAME=FAT:FQL_AUDITING_CLIENT_TEMPLATE.FAT&amp;display_string=Audit&amp;VAR:KEY=HWNKTSFKFU&amp;VAR:QUERY=RkZfRUJJVERBX0lCKCdMVE1TJywzOTg3Mik=&amp;WINDOW=FIRST_POPUP&amp;HEIGHT=450&amp;WIDTH=450&amp;START_MA","XIMIZED=FALSE&amp;VAR:CALENDAR=US&amp;VAR:SYMBOL=37183T10&amp;VAR:INDEX=0"}</definedName>
    <definedName name="_4013__FDSAUDITLINK__" hidden="1">{"fdsup://directions/FAT Viewer?action=UPDATE&amp;creator=factset&amp;DYN_ARGS=TRUE&amp;DOC_NAME=FAT:FQL_AUDITING_CLIENT_TEMPLATE.FAT&amp;display_string=Audit&amp;VAR:KEY=HWNKTSFKFU&amp;VAR:QUERY=RkZfRUJJVERBX0lCKCdMVE1TJywzOTg3Mik=&amp;WINDOW=FIRST_POPUP&amp;HEIGHT=450&amp;WIDTH=450&amp;START_MA","XIMIZED=FALSE&amp;VAR:CALENDAR=US&amp;VAR:SYMBOL=37183T10&amp;VAR:INDEX=0"}</definedName>
    <definedName name="_4014__FDSAUDITLINK__" localSheetId="6" hidden="1">{"fdsup://directions/FAT Viewer?action=UPDATE&amp;creator=factset&amp;DYN_ARGS=TRUE&amp;DOC_NAME=FAT:FQL_AUDITING_CLIENT_TEMPLATE.FAT&amp;display_string=Audit&amp;VAR:KEY=XKJSFEHSNE&amp;VAR:QUERY=RkZfRUJJVERBX0lCKCdMVE1TJywzOTg3MSk=&amp;WINDOW=FIRST_POPUP&amp;HEIGHT=450&amp;WIDTH=450&amp;START_MA","XIMIZED=FALSE&amp;VAR:CALENDAR=US&amp;VAR:SYMBOL=37183T10&amp;VAR:INDEX=0"}</definedName>
    <definedName name="_4014__FDSAUDITLINK__" hidden="1">{"fdsup://directions/FAT Viewer?action=UPDATE&amp;creator=factset&amp;DYN_ARGS=TRUE&amp;DOC_NAME=FAT:FQL_AUDITING_CLIENT_TEMPLATE.FAT&amp;display_string=Audit&amp;VAR:KEY=XKJSFEHSNE&amp;VAR:QUERY=RkZfRUJJVERBX0lCKCdMVE1TJywzOTg3MSk=&amp;WINDOW=FIRST_POPUP&amp;HEIGHT=450&amp;WIDTH=450&amp;START_MA","XIMIZED=FALSE&amp;VAR:CALENDAR=US&amp;VAR:SYMBOL=37183T10&amp;VAR:INDEX=0"}</definedName>
    <definedName name="_4015__FDSAUDITLINK__" localSheetId="6" hidden="1">{"fdsup://directions/FAT Viewer?action=UPDATE&amp;creator=factset&amp;DYN_ARGS=TRUE&amp;DOC_NAME=FAT:FQL_AUDITING_CLIENT_TEMPLATE.FAT&amp;display_string=Audit&amp;VAR:KEY=XMLAFGRSVG&amp;VAR:QUERY=RkZfRUJJVERBX0lCKCdMVE1TJywzOTg3MCk=&amp;WINDOW=FIRST_POPUP&amp;HEIGHT=450&amp;WIDTH=450&amp;START_MA","XIMIZED=FALSE&amp;VAR:CALENDAR=US&amp;VAR:SYMBOL=37183T10&amp;VAR:INDEX=0"}</definedName>
    <definedName name="_4015__FDSAUDITLINK__" hidden="1">{"fdsup://directions/FAT Viewer?action=UPDATE&amp;creator=factset&amp;DYN_ARGS=TRUE&amp;DOC_NAME=FAT:FQL_AUDITING_CLIENT_TEMPLATE.FAT&amp;display_string=Audit&amp;VAR:KEY=XMLAFGRSVG&amp;VAR:QUERY=RkZfRUJJVERBX0lCKCdMVE1TJywzOTg3MCk=&amp;WINDOW=FIRST_POPUP&amp;HEIGHT=450&amp;WIDTH=450&amp;START_MA","XIMIZED=FALSE&amp;VAR:CALENDAR=US&amp;VAR:SYMBOL=37183T10&amp;VAR:INDEX=0"}</definedName>
    <definedName name="_4016__FDSAUDITLINK__" localSheetId="6" hidden="1">{"fdsup://directions/FAT Viewer?action=UPDATE&amp;creator=factset&amp;DYN_ARGS=TRUE&amp;DOC_NAME=FAT:FQL_AUDITING_CLIENT_TEMPLATE.FAT&amp;display_string=Audit&amp;VAR:KEY=PGPOPOZQTE&amp;VAR:QUERY=RkZfRUJJVERBX0lCKCdMVE1TJywzOTg2OSk=&amp;WINDOW=FIRST_POPUP&amp;HEIGHT=450&amp;WIDTH=450&amp;START_MA","XIMIZED=FALSE&amp;VAR:CALENDAR=US&amp;VAR:SYMBOL=37183T10&amp;VAR:INDEX=0"}</definedName>
    <definedName name="_4016__FDSAUDITLINK__" hidden="1">{"fdsup://directions/FAT Viewer?action=UPDATE&amp;creator=factset&amp;DYN_ARGS=TRUE&amp;DOC_NAME=FAT:FQL_AUDITING_CLIENT_TEMPLATE.FAT&amp;display_string=Audit&amp;VAR:KEY=PGPOPOZQTE&amp;VAR:QUERY=RkZfRUJJVERBX0lCKCdMVE1TJywzOTg2OSk=&amp;WINDOW=FIRST_POPUP&amp;HEIGHT=450&amp;WIDTH=450&amp;START_MA","XIMIZED=FALSE&amp;VAR:CALENDAR=US&amp;VAR:SYMBOL=37183T10&amp;VAR:INDEX=0"}</definedName>
    <definedName name="_4017__FDSAUDITLINK__" localSheetId="6" hidden="1">{"fdsup://directions/FAT Viewer?action=UPDATE&amp;creator=factset&amp;DYN_ARGS=TRUE&amp;DOC_NAME=FAT:FQL_AUDITING_CLIENT_TEMPLATE.FAT&amp;display_string=Audit&amp;VAR:KEY=LQLEJAPITI&amp;VAR:QUERY=RkZfRUJJVERBX0lCKCdMVE1TJywzOTg2OCk=&amp;WINDOW=FIRST_POPUP&amp;HEIGHT=450&amp;WIDTH=450&amp;START_MA","XIMIZED=FALSE&amp;VAR:CALENDAR=US&amp;VAR:SYMBOL=37183T10&amp;VAR:INDEX=0"}</definedName>
    <definedName name="_4017__FDSAUDITLINK__" hidden="1">{"fdsup://directions/FAT Viewer?action=UPDATE&amp;creator=factset&amp;DYN_ARGS=TRUE&amp;DOC_NAME=FAT:FQL_AUDITING_CLIENT_TEMPLATE.FAT&amp;display_string=Audit&amp;VAR:KEY=LQLEJAPITI&amp;VAR:QUERY=RkZfRUJJVERBX0lCKCdMVE1TJywzOTg2OCk=&amp;WINDOW=FIRST_POPUP&amp;HEIGHT=450&amp;WIDTH=450&amp;START_MA","XIMIZED=FALSE&amp;VAR:CALENDAR=US&amp;VAR:SYMBOL=37183T10&amp;VAR:INDEX=0"}</definedName>
    <definedName name="_4018__FDSAUDITLINK__" localSheetId="6" hidden="1">{"fdsup://directions/FAT Viewer?action=UPDATE&amp;creator=factset&amp;DYN_ARGS=TRUE&amp;DOC_NAME=FAT:FQL_AUDITING_CLIENT_TEMPLATE.FAT&amp;display_string=Audit&amp;VAR:KEY=VSHMPMHOVU&amp;VAR:QUERY=RkZfRUJJVERBX0lCKCdMVE1TJywzOTg2Nyk=&amp;WINDOW=FIRST_POPUP&amp;HEIGHT=450&amp;WIDTH=450&amp;START_MA","XIMIZED=FALSE&amp;VAR:CALENDAR=US&amp;VAR:SYMBOL=37183T10&amp;VAR:INDEX=0"}</definedName>
    <definedName name="_4018__FDSAUDITLINK__" hidden="1">{"fdsup://directions/FAT Viewer?action=UPDATE&amp;creator=factset&amp;DYN_ARGS=TRUE&amp;DOC_NAME=FAT:FQL_AUDITING_CLIENT_TEMPLATE.FAT&amp;display_string=Audit&amp;VAR:KEY=VSHMPMHOVU&amp;VAR:QUERY=RkZfRUJJVERBX0lCKCdMVE1TJywzOTg2Nyk=&amp;WINDOW=FIRST_POPUP&amp;HEIGHT=450&amp;WIDTH=450&amp;START_MA","XIMIZED=FALSE&amp;VAR:CALENDAR=US&amp;VAR:SYMBOL=37183T10&amp;VAR:INDEX=0"}</definedName>
    <definedName name="_4019__FDSAUDITLINK__" localSheetId="6" hidden="1">{"fdsup://directions/FAT Viewer?action=UPDATE&amp;creator=factset&amp;DYN_ARGS=TRUE&amp;DOC_NAME=FAT:FQL_AUDITING_CLIENT_TEMPLATE.FAT&amp;display_string=Audit&amp;VAR:KEY=BGLYHKJAVE&amp;VAR:QUERY=RkZfRUJJVERBX0lCKCdMVE1TJywzOTg2Nik=&amp;WINDOW=FIRST_POPUP&amp;HEIGHT=450&amp;WIDTH=450&amp;START_MA","XIMIZED=FALSE&amp;VAR:CALENDAR=US&amp;VAR:SYMBOL=37183T10&amp;VAR:INDEX=0"}</definedName>
    <definedName name="_4019__FDSAUDITLINK__" hidden="1">{"fdsup://directions/FAT Viewer?action=UPDATE&amp;creator=factset&amp;DYN_ARGS=TRUE&amp;DOC_NAME=FAT:FQL_AUDITING_CLIENT_TEMPLATE.FAT&amp;display_string=Audit&amp;VAR:KEY=BGLYHKJAVE&amp;VAR:QUERY=RkZfRUJJVERBX0lCKCdMVE1TJywzOTg2Nik=&amp;WINDOW=FIRST_POPUP&amp;HEIGHT=450&amp;WIDTH=450&amp;START_MA","XIMIZED=FALSE&amp;VAR:CALENDAR=US&amp;VAR:SYMBOL=37183T10&amp;VAR:INDEX=0"}</definedName>
    <definedName name="_402__FDSAUDITLINK__" localSheetId="6" hidden="1">{"fdsup://directions/FAT%20Viewer?VAR:PED=LTM&amp;VAR:AUDIT_MODE=SUMMARY&amp;VAR:PERIOD=FIXED&amp;VAR:AUDIT_ID=00000117&amp;VAR:DATE=20090115&amp;action=UPDATE&amp;creator=factset&amp;DOC_NAME=FAT:FMA_audit_SUMMARY.fat&amp;DISPLAY_STRING=Display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2__FDSAUDITLINK__" hidden="1">{"fdsup://directions/FAT%20Viewer?VAR:PED=LTM&amp;VAR:AUDIT_MODE=SUMMARY&amp;VAR:PERIOD=FIXED&amp;VAR:AUDIT_ID=00000117&amp;VAR:DATE=20090115&amp;action=UPDATE&amp;creator=factset&amp;DOC_NAME=FAT:FMA_audit_SUMMARY.fat&amp;DISPLAY_STRING=Display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20__FDSAUDITLINK__" localSheetId="6" hidden="1">{"fdsup://directions/FAT Viewer?action=UPDATE&amp;creator=factset&amp;DYN_ARGS=TRUE&amp;DOC_NAME=FAT:FQL_AUDITING_CLIENT_TEMPLATE.FAT&amp;display_string=Audit&amp;VAR:KEY=NADYDMLELK&amp;VAR:QUERY=RkZfRUJJVERBX0lCKCdMVE1TJywzOTg2NSk=&amp;WINDOW=FIRST_POPUP&amp;HEIGHT=450&amp;WIDTH=450&amp;START_MA","XIMIZED=FALSE&amp;VAR:CALENDAR=US&amp;VAR:SYMBOL=37183T10&amp;VAR:INDEX=0"}</definedName>
    <definedName name="_4020__FDSAUDITLINK__" hidden="1">{"fdsup://directions/FAT Viewer?action=UPDATE&amp;creator=factset&amp;DYN_ARGS=TRUE&amp;DOC_NAME=FAT:FQL_AUDITING_CLIENT_TEMPLATE.FAT&amp;display_string=Audit&amp;VAR:KEY=NADYDMLELK&amp;VAR:QUERY=RkZfRUJJVERBX0lCKCdMVE1TJywzOTg2NSk=&amp;WINDOW=FIRST_POPUP&amp;HEIGHT=450&amp;WIDTH=450&amp;START_MA","XIMIZED=FALSE&amp;VAR:CALENDAR=US&amp;VAR:SYMBOL=37183T10&amp;VAR:INDEX=0"}</definedName>
    <definedName name="_4021__FDSAUDITLINK__" localSheetId="6" hidden="1">{"fdsup://directions/FAT Viewer?action=UPDATE&amp;creator=factset&amp;DYN_ARGS=TRUE&amp;DOC_NAME=FAT:FQL_AUDITING_CLIENT_TEMPLATE.FAT&amp;display_string=Audit&amp;VAR:KEY=PUVUNIDQNC&amp;VAR:QUERY=RkZfRUJJVERBX0lCKCdMVE1TJywzOTg2NCk=&amp;WINDOW=FIRST_POPUP&amp;HEIGHT=450&amp;WIDTH=450&amp;START_MA","XIMIZED=FALSE&amp;VAR:CALENDAR=US&amp;VAR:SYMBOL=37183T10&amp;VAR:INDEX=0"}</definedName>
    <definedName name="_4021__FDSAUDITLINK__" hidden="1">{"fdsup://directions/FAT Viewer?action=UPDATE&amp;creator=factset&amp;DYN_ARGS=TRUE&amp;DOC_NAME=FAT:FQL_AUDITING_CLIENT_TEMPLATE.FAT&amp;display_string=Audit&amp;VAR:KEY=PUVUNIDQNC&amp;VAR:QUERY=RkZfRUJJVERBX0lCKCdMVE1TJywzOTg2NCk=&amp;WINDOW=FIRST_POPUP&amp;HEIGHT=450&amp;WIDTH=450&amp;START_MA","XIMIZED=FALSE&amp;VAR:CALENDAR=US&amp;VAR:SYMBOL=37183T10&amp;VAR:INDEX=0"}</definedName>
    <definedName name="_4022__FDSAUDITLINK__" localSheetId="6" hidden="1">{"fdsup://directions/FAT Viewer?action=UPDATE&amp;creator=factset&amp;DYN_ARGS=TRUE&amp;DOC_NAME=FAT:FQL_AUDITING_CLIENT_TEMPLATE.FAT&amp;display_string=Audit&amp;VAR:KEY=JGROVETINM&amp;VAR:QUERY=RkZfRUJJVERBX0lCKCdMVE1TJywzOTg2Myk=&amp;WINDOW=FIRST_POPUP&amp;HEIGHT=450&amp;WIDTH=450&amp;START_MA","XIMIZED=FALSE&amp;VAR:CALENDAR=US&amp;VAR:SYMBOL=37183T10&amp;VAR:INDEX=0"}</definedName>
    <definedName name="_4022__FDSAUDITLINK__" hidden="1">{"fdsup://directions/FAT Viewer?action=UPDATE&amp;creator=factset&amp;DYN_ARGS=TRUE&amp;DOC_NAME=FAT:FQL_AUDITING_CLIENT_TEMPLATE.FAT&amp;display_string=Audit&amp;VAR:KEY=JGROVETINM&amp;VAR:QUERY=RkZfRUJJVERBX0lCKCdMVE1TJywzOTg2Myk=&amp;WINDOW=FIRST_POPUP&amp;HEIGHT=450&amp;WIDTH=450&amp;START_MA","XIMIZED=FALSE&amp;VAR:CALENDAR=US&amp;VAR:SYMBOL=37183T10&amp;VAR:INDEX=0"}</definedName>
    <definedName name="_4023__FDSAUDITLINK__" localSheetId="6" hidden="1">{"fdsup://directions/FAT Viewer?action=UPDATE&amp;creator=factset&amp;DYN_ARGS=TRUE&amp;DOC_NAME=FAT:FQL_AUDITING_CLIENT_TEMPLATE.FAT&amp;display_string=Audit&amp;VAR:KEY=VEBONMLWJK&amp;VAR:QUERY=RkZfRUJJVERBX0lCKCdMVE1TJywzOTg2Mik=&amp;WINDOW=FIRST_POPUP&amp;HEIGHT=450&amp;WIDTH=450&amp;START_MA","XIMIZED=FALSE&amp;VAR:CALENDAR=US&amp;VAR:SYMBOL=37183T10&amp;VAR:INDEX=0"}</definedName>
    <definedName name="_4023__FDSAUDITLINK__" hidden="1">{"fdsup://directions/FAT Viewer?action=UPDATE&amp;creator=factset&amp;DYN_ARGS=TRUE&amp;DOC_NAME=FAT:FQL_AUDITING_CLIENT_TEMPLATE.FAT&amp;display_string=Audit&amp;VAR:KEY=VEBONMLWJK&amp;VAR:QUERY=RkZfRUJJVERBX0lCKCdMVE1TJywzOTg2Mik=&amp;WINDOW=FIRST_POPUP&amp;HEIGHT=450&amp;WIDTH=450&amp;START_MA","XIMIZED=FALSE&amp;VAR:CALENDAR=US&amp;VAR:SYMBOL=37183T10&amp;VAR:INDEX=0"}</definedName>
    <definedName name="_4024__FDSAUDITLINK__" localSheetId="6" hidden="1">{"fdsup://directions/FAT Viewer?action=UPDATE&amp;creator=factset&amp;DYN_ARGS=TRUE&amp;DOC_NAME=FAT:FQL_AUDITING_CLIENT_TEMPLATE.FAT&amp;display_string=Audit&amp;VAR:KEY=HKJMTOZAHS&amp;VAR:QUERY=RkZfRUJJVERBX0lCKCdMVE1TJywzOTg2MSk=&amp;WINDOW=FIRST_POPUP&amp;HEIGHT=450&amp;WIDTH=450&amp;START_MA","XIMIZED=FALSE&amp;VAR:CALENDAR=US&amp;VAR:SYMBOL=37183T10&amp;VAR:INDEX=0"}</definedName>
    <definedName name="_4024__FDSAUDITLINK__" hidden="1">{"fdsup://directions/FAT Viewer?action=UPDATE&amp;creator=factset&amp;DYN_ARGS=TRUE&amp;DOC_NAME=FAT:FQL_AUDITING_CLIENT_TEMPLATE.FAT&amp;display_string=Audit&amp;VAR:KEY=HKJMTOZAHS&amp;VAR:QUERY=RkZfRUJJVERBX0lCKCdMVE1TJywzOTg2MSk=&amp;WINDOW=FIRST_POPUP&amp;HEIGHT=450&amp;WIDTH=450&amp;START_MA","XIMIZED=FALSE&amp;VAR:CALENDAR=US&amp;VAR:SYMBOL=37183T10&amp;VAR:INDEX=0"}</definedName>
    <definedName name="_4025__FDSAUDITLINK__" localSheetId="6" hidden="1">{"fdsup://directions/FAT Viewer?action=UPDATE&amp;creator=factset&amp;DYN_ARGS=TRUE&amp;DOC_NAME=FAT:FQL_AUDITING_CLIENT_TEMPLATE.FAT&amp;display_string=Audit&amp;VAR:KEY=HEXQJUVIDA&amp;VAR:QUERY=RkZfRUJJVERBX0lCKCdMVE1TJywzOTg2MCk=&amp;WINDOW=FIRST_POPUP&amp;HEIGHT=450&amp;WIDTH=450&amp;START_MA","XIMIZED=FALSE&amp;VAR:CALENDAR=US&amp;VAR:SYMBOL=37183T10&amp;VAR:INDEX=0"}</definedName>
    <definedName name="_4025__FDSAUDITLINK__" hidden="1">{"fdsup://directions/FAT Viewer?action=UPDATE&amp;creator=factset&amp;DYN_ARGS=TRUE&amp;DOC_NAME=FAT:FQL_AUDITING_CLIENT_TEMPLATE.FAT&amp;display_string=Audit&amp;VAR:KEY=HEXQJUVIDA&amp;VAR:QUERY=RkZfRUJJVERBX0lCKCdMVE1TJywzOTg2MCk=&amp;WINDOW=FIRST_POPUP&amp;HEIGHT=450&amp;WIDTH=450&amp;START_MA","XIMIZED=FALSE&amp;VAR:CALENDAR=US&amp;VAR:SYMBOL=37183T10&amp;VAR:INDEX=0"}</definedName>
    <definedName name="_4026__FDSAUDITLINK__" localSheetId="6" hidden="1">{"fdsup://directions/FAT Viewer?action=UPDATE&amp;creator=factset&amp;DYN_ARGS=TRUE&amp;DOC_NAME=FAT:FQL_AUDITING_CLIENT_TEMPLATE.FAT&amp;display_string=Audit&amp;VAR:KEY=LMZWDEVKFO&amp;VAR:QUERY=RkZfRUJJVERBX0lCKCdMVE1TJywzOTg1OSk=&amp;WINDOW=FIRST_POPUP&amp;HEIGHT=450&amp;WIDTH=450&amp;START_MA","XIMIZED=FALSE&amp;VAR:CALENDAR=US&amp;VAR:SYMBOL=37183T10&amp;VAR:INDEX=0"}</definedName>
    <definedName name="_4026__FDSAUDITLINK__" hidden="1">{"fdsup://directions/FAT Viewer?action=UPDATE&amp;creator=factset&amp;DYN_ARGS=TRUE&amp;DOC_NAME=FAT:FQL_AUDITING_CLIENT_TEMPLATE.FAT&amp;display_string=Audit&amp;VAR:KEY=LMZWDEVKFO&amp;VAR:QUERY=RkZfRUJJVERBX0lCKCdMVE1TJywzOTg1OSk=&amp;WINDOW=FIRST_POPUP&amp;HEIGHT=450&amp;WIDTH=450&amp;START_MA","XIMIZED=FALSE&amp;VAR:CALENDAR=US&amp;VAR:SYMBOL=37183T10&amp;VAR:INDEX=0"}</definedName>
    <definedName name="_4027__FDSAUDITLINK__" localSheetId="6" hidden="1">{"fdsup://directions/FAT Viewer?action=UPDATE&amp;creator=factset&amp;DYN_ARGS=TRUE&amp;DOC_NAME=FAT:FQL_AUDITING_CLIENT_TEMPLATE.FAT&amp;display_string=Audit&amp;VAR:KEY=LQFGRYDAZE&amp;VAR:QUERY=RkZfRUJJVERBX0lCKCdMVE1TJywzOTg1OCk=&amp;WINDOW=FIRST_POPUP&amp;HEIGHT=450&amp;WIDTH=450&amp;START_MA","XIMIZED=FALSE&amp;VAR:CALENDAR=US&amp;VAR:SYMBOL=37183T10&amp;VAR:INDEX=0"}</definedName>
    <definedName name="_4027__FDSAUDITLINK__" hidden="1">{"fdsup://directions/FAT Viewer?action=UPDATE&amp;creator=factset&amp;DYN_ARGS=TRUE&amp;DOC_NAME=FAT:FQL_AUDITING_CLIENT_TEMPLATE.FAT&amp;display_string=Audit&amp;VAR:KEY=LQFGRYDAZE&amp;VAR:QUERY=RkZfRUJJVERBX0lCKCdMVE1TJywzOTg1OCk=&amp;WINDOW=FIRST_POPUP&amp;HEIGHT=450&amp;WIDTH=450&amp;START_MA","XIMIZED=FALSE&amp;VAR:CALENDAR=US&amp;VAR:SYMBOL=37183T10&amp;VAR:INDEX=0"}</definedName>
    <definedName name="_4028__FDSAUDITLINK__" localSheetId="6" hidden="1">{"fdsup://directions/FAT Viewer?action=UPDATE&amp;creator=factset&amp;DYN_ARGS=TRUE&amp;DOC_NAME=FAT:FQL_AUDITING_CLIENT_TEMPLATE.FAT&amp;display_string=Audit&amp;VAR:KEY=PSLYPKJIPM&amp;VAR:QUERY=RkZfRUJJVERBX0lCKCdMVE1TJywzOTg1Nyk=&amp;WINDOW=FIRST_POPUP&amp;HEIGHT=450&amp;WIDTH=450&amp;START_MA","XIMIZED=FALSE&amp;VAR:CALENDAR=US&amp;VAR:SYMBOL=37183T10&amp;VAR:INDEX=0"}</definedName>
    <definedName name="_4028__FDSAUDITLINK__" hidden="1">{"fdsup://directions/FAT Viewer?action=UPDATE&amp;creator=factset&amp;DYN_ARGS=TRUE&amp;DOC_NAME=FAT:FQL_AUDITING_CLIENT_TEMPLATE.FAT&amp;display_string=Audit&amp;VAR:KEY=PSLYPKJIPM&amp;VAR:QUERY=RkZfRUJJVERBX0lCKCdMVE1TJywzOTg1Nyk=&amp;WINDOW=FIRST_POPUP&amp;HEIGHT=450&amp;WIDTH=450&amp;START_MA","XIMIZED=FALSE&amp;VAR:CALENDAR=US&amp;VAR:SYMBOL=37183T10&amp;VAR:INDEX=0"}</definedName>
    <definedName name="_4029__FDSAUDITLINK__" localSheetId="6" hidden="1">{"fdsup://directions/FAT Viewer?action=UPDATE&amp;creator=factset&amp;DYN_ARGS=TRUE&amp;DOC_NAME=FAT:FQL_AUDITING_CLIENT_TEMPLATE.FAT&amp;display_string=Audit&amp;VAR:KEY=NOZGVKXCHO&amp;VAR:QUERY=RkZfRUJJVERBX0lCKCdMVE1TJywzOTg1Nik=&amp;WINDOW=FIRST_POPUP&amp;HEIGHT=450&amp;WIDTH=450&amp;START_MA","XIMIZED=FALSE&amp;VAR:CALENDAR=US&amp;VAR:SYMBOL=37183T10&amp;VAR:INDEX=0"}</definedName>
    <definedName name="_4029__FDSAUDITLINK__" hidden="1">{"fdsup://directions/FAT Viewer?action=UPDATE&amp;creator=factset&amp;DYN_ARGS=TRUE&amp;DOC_NAME=FAT:FQL_AUDITING_CLIENT_TEMPLATE.FAT&amp;display_string=Audit&amp;VAR:KEY=NOZGVKXCHO&amp;VAR:QUERY=RkZfRUJJVERBX0lCKCdMVE1TJywzOTg1Nik=&amp;WINDOW=FIRST_POPUP&amp;HEIGHT=450&amp;WIDTH=450&amp;START_MA","XIMIZED=FALSE&amp;VAR:CALENDAR=US&amp;VAR:SYMBOL=37183T10&amp;VAR:INDEX=0"}</definedName>
    <definedName name="_403__FDSAUDITLINK__" localSheetId="6" hidden="1">{"fdsup://directions/FAT%20Viewer?VAR:PED=LTM&amp;VAR:AUDIT_MODE=SUMMARY&amp;VAR:PERIOD=FIXED&amp;VAR:AUDIT_ID=00000117&amp;VAR:DATE=20090114&amp;action=UPDATE&amp;creator=factset&amp;DOC_NAME=FAT:FMA_audit_SUMMARY.fat&amp;DISPLAY_STRING=Display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3__FDSAUDITLINK__" hidden="1">{"fdsup://directions/FAT%20Viewer?VAR:PED=LTM&amp;VAR:AUDIT_MODE=SUMMARY&amp;VAR:PERIOD=FIXED&amp;VAR:AUDIT_ID=00000117&amp;VAR:DATE=20090114&amp;action=UPDATE&amp;creator=factset&amp;DOC_NAME=FAT:FMA_audit_SUMMARY.fat&amp;DISPLAY_STRING=Display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30__FDSAUDITLINK__" localSheetId="6" hidden="1">{"fdsup://directions/FAT Viewer?action=UPDATE&amp;creator=factset&amp;DYN_ARGS=TRUE&amp;DOC_NAME=FAT:FQL_AUDITING_CLIENT_TEMPLATE.FAT&amp;display_string=Audit&amp;VAR:KEY=VWXCBWBQHS&amp;VAR:QUERY=RkZfRUJJVERBX0lCKCdMVE1TJywzOTg1NSk=&amp;WINDOW=FIRST_POPUP&amp;HEIGHT=450&amp;WIDTH=450&amp;START_MA","XIMIZED=FALSE&amp;VAR:CALENDAR=US&amp;VAR:SYMBOL=37183T10&amp;VAR:INDEX=0"}</definedName>
    <definedName name="_4030__FDSAUDITLINK__" hidden="1">{"fdsup://directions/FAT Viewer?action=UPDATE&amp;creator=factset&amp;DYN_ARGS=TRUE&amp;DOC_NAME=FAT:FQL_AUDITING_CLIENT_TEMPLATE.FAT&amp;display_string=Audit&amp;VAR:KEY=VWXCBWBQHS&amp;VAR:QUERY=RkZfRUJJVERBX0lCKCdMVE1TJywzOTg1NSk=&amp;WINDOW=FIRST_POPUP&amp;HEIGHT=450&amp;WIDTH=450&amp;START_MA","XIMIZED=FALSE&amp;VAR:CALENDAR=US&amp;VAR:SYMBOL=37183T10&amp;VAR:INDEX=0"}</definedName>
    <definedName name="_4031__FDSAUDITLINK__" localSheetId="6" hidden="1">{"fdsup://directions/FAT Viewer?action=UPDATE&amp;creator=factset&amp;DYN_ARGS=TRUE&amp;DOC_NAME=FAT:FQL_AUDITING_CLIENT_TEMPLATE.FAT&amp;display_string=Audit&amp;VAR:KEY=ZCPMNENIVY&amp;VAR:QUERY=RkZfRUJJVERBX0lCKCdMVE1TJywzOTg1NCk=&amp;WINDOW=FIRST_POPUP&amp;HEIGHT=450&amp;WIDTH=450&amp;START_MA","XIMIZED=FALSE&amp;VAR:CALENDAR=US&amp;VAR:SYMBOL=37183T10&amp;VAR:INDEX=0"}</definedName>
    <definedName name="_4031__FDSAUDITLINK__" hidden="1">{"fdsup://directions/FAT Viewer?action=UPDATE&amp;creator=factset&amp;DYN_ARGS=TRUE&amp;DOC_NAME=FAT:FQL_AUDITING_CLIENT_TEMPLATE.FAT&amp;display_string=Audit&amp;VAR:KEY=ZCPMNENIVY&amp;VAR:QUERY=RkZfRUJJVERBX0lCKCdMVE1TJywzOTg1NCk=&amp;WINDOW=FIRST_POPUP&amp;HEIGHT=450&amp;WIDTH=450&amp;START_MA","XIMIZED=FALSE&amp;VAR:CALENDAR=US&amp;VAR:SYMBOL=37183T10&amp;VAR:INDEX=0"}</definedName>
    <definedName name="_4032__FDSAUDITLINK__" localSheetId="6" hidden="1">{"fdsup://directions/FAT Viewer?action=UPDATE&amp;creator=factset&amp;DYN_ARGS=TRUE&amp;DOC_NAME=FAT:FQL_AUDITING_CLIENT_TEMPLATE.FAT&amp;display_string=Audit&amp;VAR:KEY=TWBERKHWXM&amp;VAR:QUERY=RkZfRUJJVERBX0lCKCdMVE1TJywzOTg1Myk=&amp;WINDOW=FIRST_POPUP&amp;HEIGHT=450&amp;WIDTH=450&amp;START_MA","XIMIZED=FALSE&amp;VAR:CALENDAR=US&amp;VAR:SYMBOL=37183T10&amp;VAR:INDEX=0"}</definedName>
    <definedName name="_4032__FDSAUDITLINK__" hidden="1">{"fdsup://directions/FAT Viewer?action=UPDATE&amp;creator=factset&amp;DYN_ARGS=TRUE&amp;DOC_NAME=FAT:FQL_AUDITING_CLIENT_TEMPLATE.FAT&amp;display_string=Audit&amp;VAR:KEY=TWBERKHWXM&amp;VAR:QUERY=RkZfRUJJVERBX0lCKCdMVE1TJywzOTg1Myk=&amp;WINDOW=FIRST_POPUP&amp;HEIGHT=450&amp;WIDTH=450&amp;START_MA","XIMIZED=FALSE&amp;VAR:CALENDAR=US&amp;VAR:SYMBOL=37183T10&amp;VAR:INDEX=0"}</definedName>
    <definedName name="_4033__FDSAUDITLINK__" localSheetId="6" hidden="1">{"fdsup://directions/FAT Viewer?action=UPDATE&amp;creator=factset&amp;DYN_ARGS=TRUE&amp;DOC_NAME=FAT:FQL_AUDITING_CLIENT_TEMPLATE.FAT&amp;display_string=Audit&amp;VAR:KEY=PEFKVIXCJM&amp;VAR:QUERY=RkZfRUJJVERBX0lCKCdMVE1TJywzOTg1Mik=&amp;WINDOW=FIRST_POPUP&amp;HEIGHT=450&amp;WIDTH=450&amp;START_MA","XIMIZED=FALSE&amp;VAR:CALENDAR=US&amp;VAR:SYMBOL=37183T10&amp;VAR:INDEX=0"}</definedName>
    <definedName name="_4033__FDSAUDITLINK__" hidden="1">{"fdsup://directions/FAT Viewer?action=UPDATE&amp;creator=factset&amp;DYN_ARGS=TRUE&amp;DOC_NAME=FAT:FQL_AUDITING_CLIENT_TEMPLATE.FAT&amp;display_string=Audit&amp;VAR:KEY=PEFKVIXCJM&amp;VAR:QUERY=RkZfRUJJVERBX0lCKCdMVE1TJywzOTg1Mik=&amp;WINDOW=FIRST_POPUP&amp;HEIGHT=450&amp;WIDTH=450&amp;START_MA","XIMIZED=FALSE&amp;VAR:CALENDAR=US&amp;VAR:SYMBOL=37183T10&amp;VAR:INDEX=0"}</definedName>
    <definedName name="_4034__FDSAUDITLINK__" localSheetId="6" hidden="1">{"fdsup://directions/FAT Viewer?action=UPDATE&amp;creator=factset&amp;DYN_ARGS=TRUE&amp;DOC_NAME=FAT:FQL_AUDITING_CLIENT_TEMPLATE.FAT&amp;display_string=Audit&amp;VAR:KEY=ZMBQLCTGNK&amp;VAR:QUERY=RkZfRUJJVERBX0lCKCdMVE1TJywzOTg1MSk=&amp;WINDOW=FIRST_POPUP&amp;HEIGHT=450&amp;WIDTH=450&amp;START_MA","XIMIZED=FALSE&amp;VAR:CALENDAR=US&amp;VAR:SYMBOL=37183T10&amp;VAR:INDEX=0"}</definedName>
    <definedName name="_4034__FDSAUDITLINK__" hidden="1">{"fdsup://directions/FAT Viewer?action=UPDATE&amp;creator=factset&amp;DYN_ARGS=TRUE&amp;DOC_NAME=FAT:FQL_AUDITING_CLIENT_TEMPLATE.FAT&amp;display_string=Audit&amp;VAR:KEY=ZMBQLCTGNK&amp;VAR:QUERY=RkZfRUJJVERBX0lCKCdMVE1TJywzOTg1MSk=&amp;WINDOW=FIRST_POPUP&amp;HEIGHT=450&amp;WIDTH=450&amp;START_MA","XIMIZED=FALSE&amp;VAR:CALENDAR=US&amp;VAR:SYMBOL=37183T10&amp;VAR:INDEX=0"}</definedName>
    <definedName name="_4035__FDSAUDITLINK__" localSheetId="6" hidden="1">{"fdsup://directions/FAT Viewer?action=UPDATE&amp;creator=factset&amp;DYN_ARGS=TRUE&amp;DOC_NAME=FAT:FQL_AUDITING_CLIENT_TEMPLATE.FAT&amp;display_string=Audit&amp;VAR:KEY=VIRIZSPWVI&amp;VAR:QUERY=RkZfRUJJVERBX0lCKCdMVE1TJywzOTg1MCk=&amp;WINDOW=FIRST_POPUP&amp;HEIGHT=450&amp;WIDTH=450&amp;START_MA","XIMIZED=FALSE&amp;VAR:CALENDAR=US&amp;VAR:SYMBOL=37183T10&amp;VAR:INDEX=0"}</definedName>
    <definedName name="_4035__FDSAUDITLINK__" hidden="1">{"fdsup://directions/FAT Viewer?action=UPDATE&amp;creator=factset&amp;DYN_ARGS=TRUE&amp;DOC_NAME=FAT:FQL_AUDITING_CLIENT_TEMPLATE.FAT&amp;display_string=Audit&amp;VAR:KEY=VIRIZSPWVI&amp;VAR:QUERY=RkZfRUJJVERBX0lCKCdMVE1TJywzOTg1MCk=&amp;WINDOW=FIRST_POPUP&amp;HEIGHT=450&amp;WIDTH=450&amp;START_MA","XIMIZED=FALSE&amp;VAR:CALENDAR=US&amp;VAR:SYMBOL=37183T10&amp;VAR:INDEX=0"}</definedName>
    <definedName name="_4036__FDSAUDITLINK__" localSheetId="6" hidden="1">{"fdsup://directions/FAT Viewer?action=UPDATE&amp;creator=factset&amp;DYN_ARGS=TRUE&amp;DOC_NAME=FAT:FQL_AUDITING_CLIENT_TEMPLATE.FAT&amp;display_string=Audit&amp;VAR:KEY=TOLUJURSDC&amp;VAR:QUERY=RkZfRUJJVERBX0lCKCdMVE1TJywzOTg0OSk=&amp;WINDOW=FIRST_POPUP&amp;HEIGHT=450&amp;WIDTH=450&amp;START_MA","XIMIZED=FALSE&amp;VAR:CALENDAR=US&amp;VAR:SYMBOL=37183T10&amp;VAR:INDEX=0"}</definedName>
    <definedName name="_4036__FDSAUDITLINK__" hidden="1">{"fdsup://directions/FAT Viewer?action=UPDATE&amp;creator=factset&amp;DYN_ARGS=TRUE&amp;DOC_NAME=FAT:FQL_AUDITING_CLIENT_TEMPLATE.FAT&amp;display_string=Audit&amp;VAR:KEY=TOLUJURSDC&amp;VAR:QUERY=RkZfRUJJVERBX0lCKCdMVE1TJywzOTg0OSk=&amp;WINDOW=FIRST_POPUP&amp;HEIGHT=450&amp;WIDTH=450&amp;START_MA","XIMIZED=FALSE&amp;VAR:CALENDAR=US&amp;VAR:SYMBOL=37183T10&amp;VAR:INDEX=0"}</definedName>
    <definedName name="_4037__FDSAUDITLINK__" localSheetId="6" hidden="1">{"fdsup://directions/FAT Viewer?action=UPDATE&amp;creator=factset&amp;DYN_ARGS=TRUE&amp;DOC_NAME=FAT:FQL_AUDITING_CLIENT_TEMPLATE.FAT&amp;display_string=Audit&amp;VAR:KEY=XWRQZYTOLG&amp;VAR:QUERY=RkZfRUJJVERBX0lCKCdMVE1TJywzOTg0OCk=&amp;WINDOW=FIRST_POPUP&amp;HEIGHT=450&amp;WIDTH=450&amp;START_MA","XIMIZED=FALSE&amp;VAR:CALENDAR=US&amp;VAR:SYMBOL=37183T10&amp;VAR:INDEX=0"}</definedName>
    <definedName name="_4037__FDSAUDITLINK__" hidden="1">{"fdsup://directions/FAT Viewer?action=UPDATE&amp;creator=factset&amp;DYN_ARGS=TRUE&amp;DOC_NAME=FAT:FQL_AUDITING_CLIENT_TEMPLATE.FAT&amp;display_string=Audit&amp;VAR:KEY=XWRQZYTOLG&amp;VAR:QUERY=RkZfRUJJVERBX0lCKCdMVE1TJywzOTg0OCk=&amp;WINDOW=FIRST_POPUP&amp;HEIGHT=450&amp;WIDTH=450&amp;START_MA","XIMIZED=FALSE&amp;VAR:CALENDAR=US&amp;VAR:SYMBOL=37183T10&amp;VAR:INDEX=0"}</definedName>
    <definedName name="_4038__FDSAUDITLINK__" localSheetId="6" hidden="1">{"fdsup://directions/FAT Viewer?action=UPDATE&amp;creator=factset&amp;DYN_ARGS=TRUE&amp;DOC_NAME=FAT:FQL_AUDITING_CLIENT_TEMPLATE.FAT&amp;display_string=Audit&amp;VAR:KEY=NUREDQNEBU&amp;VAR:QUERY=RkZfRUJJVERBX0lCKCdMVE1TJywzOTg0Nyk=&amp;WINDOW=FIRST_POPUP&amp;HEIGHT=450&amp;WIDTH=450&amp;START_MA","XIMIZED=FALSE&amp;VAR:CALENDAR=US&amp;VAR:SYMBOL=37183T10&amp;VAR:INDEX=0"}</definedName>
    <definedName name="_4038__FDSAUDITLINK__" hidden="1">{"fdsup://directions/FAT Viewer?action=UPDATE&amp;creator=factset&amp;DYN_ARGS=TRUE&amp;DOC_NAME=FAT:FQL_AUDITING_CLIENT_TEMPLATE.FAT&amp;display_string=Audit&amp;VAR:KEY=NUREDQNEBU&amp;VAR:QUERY=RkZfRUJJVERBX0lCKCdMVE1TJywzOTg0Nyk=&amp;WINDOW=FIRST_POPUP&amp;HEIGHT=450&amp;WIDTH=450&amp;START_MA","XIMIZED=FALSE&amp;VAR:CALENDAR=US&amp;VAR:SYMBOL=37183T10&amp;VAR:INDEX=0"}</definedName>
    <definedName name="_4039__FDSAUDITLINK__" localSheetId="6" hidden="1">{"fdsup://directions/FAT Viewer?action=UPDATE&amp;creator=factset&amp;DYN_ARGS=TRUE&amp;DOC_NAME=FAT:FQL_AUDITING_CLIENT_TEMPLATE.FAT&amp;display_string=Audit&amp;VAR:KEY=DAPIHCVIFE&amp;VAR:QUERY=RkZfRUJJVERBX0lCKCdMVE1TJywzOTg0Nik=&amp;WINDOW=FIRST_POPUP&amp;HEIGHT=450&amp;WIDTH=450&amp;START_MA","XIMIZED=FALSE&amp;VAR:CALENDAR=US&amp;VAR:SYMBOL=37183T10&amp;VAR:INDEX=0"}</definedName>
    <definedName name="_4039__FDSAUDITLINK__" hidden="1">{"fdsup://directions/FAT Viewer?action=UPDATE&amp;creator=factset&amp;DYN_ARGS=TRUE&amp;DOC_NAME=FAT:FQL_AUDITING_CLIENT_TEMPLATE.FAT&amp;display_string=Audit&amp;VAR:KEY=DAPIHCVIFE&amp;VAR:QUERY=RkZfRUJJVERBX0lCKCdMVE1TJywzOTg0Nik=&amp;WINDOW=FIRST_POPUP&amp;HEIGHT=450&amp;WIDTH=450&amp;START_MA","XIMIZED=FALSE&amp;VAR:CALENDAR=US&amp;VAR:SYMBOL=37183T10&amp;VAR:INDEX=0"}</definedName>
    <definedName name="_404__FDSAUDITLINK__" localSheetId="6" hidden="1">{"fdsup://directions/FAT%20Viewer?VAR:PED=LTM&amp;VAR:AUDIT_MODE=SUMMARY&amp;VAR:PERIOD=FIXED&amp;VAR:AUDIT_ID=00000117&amp;VAR:DATE=20090113&amp;action=UPDATE&amp;creator=factset&amp;DOC_NAME=FAT:FMA_audit_SUMMARY.fat&amp;DISPLAY_STRING=Display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4__FDSAUDITLINK__" hidden="1">{"fdsup://directions/FAT%20Viewer?VAR:PED=LTM&amp;VAR:AUDIT_MODE=SUMMARY&amp;VAR:PERIOD=FIXED&amp;VAR:AUDIT_ID=00000117&amp;VAR:DATE=20090113&amp;action=UPDATE&amp;creator=factset&amp;DOC_NAME=FAT:FMA_audit_SUMMARY.fat&amp;DISPLAY_STRING=Display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40__FDSAUDITLINK__" localSheetId="6" hidden="1">{"fdsup://directions/FAT Viewer?action=UPDATE&amp;creator=factset&amp;DYN_ARGS=TRUE&amp;DOC_NAME=FAT:FQL_AUDITING_CLIENT_TEMPLATE.FAT&amp;display_string=Audit&amp;VAR:KEY=FUBWJADOHA&amp;VAR:QUERY=RkZfRUJJVERBX0lCKCdMVE1TJywzOTg0NSk=&amp;WINDOW=FIRST_POPUP&amp;HEIGHT=450&amp;WIDTH=450&amp;START_MA","XIMIZED=FALSE&amp;VAR:CALENDAR=US&amp;VAR:SYMBOL=37183T10&amp;VAR:INDEX=0"}</definedName>
    <definedName name="_4040__FDSAUDITLINK__" hidden="1">{"fdsup://directions/FAT Viewer?action=UPDATE&amp;creator=factset&amp;DYN_ARGS=TRUE&amp;DOC_NAME=FAT:FQL_AUDITING_CLIENT_TEMPLATE.FAT&amp;display_string=Audit&amp;VAR:KEY=FUBWJADOHA&amp;VAR:QUERY=RkZfRUJJVERBX0lCKCdMVE1TJywzOTg0NSk=&amp;WINDOW=FIRST_POPUP&amp;HEIGHT=450&amp;WIDTH=450&amp;START_MA","XIMIZED=FALSE&amp;VAR:CALENDAR=US&amp;VAR:SYMBOL=37183T10&amp;VAR:INDEX=0"}</definedName>
    <definedName name="_4041__FDSAUDITLINK__" localSheetId="6" hidden="1">{"fdsup://directions/FAT Viewer?action=UPDATE&amp;creator=factset&amp;DYN_ARGS=TRUE&amp;DOC_NAME=FAT:FQL_AUDITING_CLIENT_TEMPLATE.FAT&amp;display_string=Audit&amp;VAR:KEY=RAHWPSJMDW&amp;VAR:QUERY=RkZfRUJJVERBX0lCKCdMVE1TJywzOTg0NCk=&amp;WINDOW=FIRST_POPUP&amp;HEIGHT=450&amp;WIDTH=450&amp;START_MA","XIMIZED=FALSE&amp;VAR:CALENDAR=US&amp;VAR:SYMBOL=37183T10&amp;VAR:INDEX=0"}</definedName>
    <definedName name="_4041__FDSAUDITLINK__" hidden="1">{"fdsup://directions/FAT Viewer?action=UPDATE&amp;creator=factset&amp;DYN_ARGS=TRUE&amp;DOC_NAME=FAT:FQL_AUDITING_CLIENT_TEMPLATE.FAT&amp;display_string=Audit&amp;VAR:KEY=RAHWPSJMDW&amp;VAR:QUERY=RkZfRUJJVERBX0lCKCdMVE1TJywzOTg0NCk=&amp;WINDOW=FIRST_POPUP&amp;HEIGHT=450&amp;WIDTH=450&amp;START_MA","XIMIZED=FALSE&amp;VAR:CALENDAR=US&amp;VAR:SYMBOL=37183T10&amp;VAR:INDEX=0"}</definedName>
    <definedName name="_4042__FDSAUDITLINK__" localSheetId="6" hidden="1">{"fdsup://directions/FAT Viewer?action=UPDATE&amp;creator=factset&amp;DYN_ARGS=TRUE&amp;DOC_NAME=FAT:FQL_AUDITING_CLIENT_TEMPLATE.FAT&amp;display_string=Audit&amp;VAR:KEY=LOPCLYLUVA&amp;VAR:QUERY=RkZfRUJJVERBX0lCKCdMVE1TJywzOTg0Myk=&amp;WINDOW=FIRST_POPUP&amp;HEIGHT=450&amp;WIDTH=450&amp;START_MA","XIMIZED=FALSE&amp;VAR:CALENDAR=US&amp;VAR:SYMBOL=37183T10&amp;VAR:INDEX=0"}</definedName>
    <definedName name="_4042__FDSAUDITLINK__" hidden="1">{"fdsup://directions/FAT Viewer?action=UPDATE&amp;creator=factset&amp;DYN_ARGS=TRUE&amp;DOC_NAME=FAT:FQL_AUDITING_CLIENT_TEMPLATE.FAT&amp;display_string=Audit&amp;VAR:KEY=LOPCLYLUVA&amp;VAR:QUERY=RkZfRUJJVERBX0lCKCdMVE1TJywzOTg0Myk=&amp;WINDOW=FIRST_POPUP&amp;HEIGHT=450&amp;WIDTH=450&amp;START_MA","XIMIZED=FALSE&amp;VAR:CALENDAR=US&amp;VAR:SYMBOL=37183T10&amp;VAR:INDEX=0"}</definedName>
    <definedName name="_4043__FDSAUDITLINK__" localSheetId="6" hidden="1">{"fdsup://directions/FAT Viewer?action=UPDATE&amp;creator=factset&amp;DYN_ARGS=TRUE&amp;DOC_NAME=FAT:FQL_AUDITING_CLIENT_TEMPLATE.FAT&amp;display_string=Audit&amp;VAR:KEY=BGZAFWLSZG&amp;VAR:QUERY=RkZfRUJJVERBX0lCKCdMVE1TJywzOTg0Mik=&amp;WINDOW=FIRST_POPUP&amp;HEIGHT=450&amp;WIDTH=450&amp;START_MA","XIMIZED=FALSE&amp;VAR:CALENDAR=US&amp;VAR:SYMBOL=37183T10&amp;VAR:INDEX=0"}</definedName>
    <definedName name="_4043__FDSAUDITLINK__" hidden="1">{"fdsup://directions/FAT Viewer?action=UPDATE&amp;creator=factset&amp;DYN_ARGS=TRUE&amp;DOC_NAME=FAT:FQL_AUDITING_CLIENT_TEMPLATE.FAT&amp;display_string=Audit&amp;VAR:KEY=BGZAFWLSZG&amp;VAR:QUERY=RkZfRUJJVERBX0lCKCdMVE1TJywzOTg0Mik=&amp;WINDOW=FIRST_POPUP&amp;HEIGHT=450&amp;WIDTH=450&amp;START_MA","XIMIZED=FALSE&amp;VAR:CALENDAR=US&amp;VAR:SYMBOL=37183T10&amp;VAR:INDEX=0"}</definedName>
    <definedName name="_4044__FDSAUDITLINK__" localSheetId="6" hidden="1">{"fdsup://directions/FAT Viewer?action=UPDATE&amp;creator=factset&amp;DYN_ARGS=TRUE&amp;DOC_NAME=FAT:FQL_AUDITING_CLIENT_TEMPLATE.FAT&amp;display_string=Audit&amp;VAR:KEY=LKBEVOBGNY&amp;VAR:QUERY=RkZfRUJJVERBX0lCKCdMVE1TJywzOTg0MSk=&amp;WINDOW=FIRST_POPUP&amp;HEIGHT=450&amp;WIDTH=450&amp;START_MA","XIMIZED=FALSE&amp;VAR:CALENDAR=US&amp;VAR:SYMBOL=37183T10&amp;VAR:INDEX=0"}</definedName>
    <definedName name="_4044__FDSAUDITLINK__" hidden="1">{"fdsup://directions/FAT Viewer?action=UPDATE&amp;creator=factset&amp;DYN_ARGS=TRUE&amp;DOC_NAME=FAT:FQL_AUDITING_CLIENT_TEMPLATE.FAT&amp;display_string=Audit&amp;VAR:KEY=LKBEVOBGNY&amp;VAR:QUERY=RkZfRUJJVERBX0lCKCdMVE1TJywzOTg0MSk=&amp;WINDOW=FIRST_POPUP&amp;HEIGHT=450&amp;WIDTH=450&amp;START_MA","XIMIZED=FALSE&amp;VAR:CALENDAR=US&amp;VAR:SYMBOL=37183T10&amp;VAR:INDEX=0"}</definedName>
    <definedName name="_4045__FDSAUDITLINK__" localSheetId="6" hidden="1">{"fdsup://directions/FAT Viewer?action=UPDATE&amp;creator=factset&amp;DYN_ARGS=TRUE&amp;DOC_NAME=FAT:FQL_AUDITING_CLIENT_TEMPLATE.FAT&amp;display_string=Audit&amp;VAR:KEY=JQJIRMTAZM&amp;VAR:QUERY=RkZfRUJJVERBX0lCKCdMVE1TJywzOTg0MCk=&amp;WINDOW=FIRST_POPUP&amp;HEIGHT=450&amp;WIDTH=450&amp;START_MA","XIMIZED=FALSE&amp;VAR:CALENDAR=US&amp;VAR:SYMBOL=37183T10&amp;VAR:INDEX=0"}</definedName>
    <definedName name="_4045__FDSAUDITLINK__" hidden="1">{"fdsup://directions/FAT Viewer?action=UPDATE&amp;creator=factset&amp;DYN_ARGS=TRUE&amp;DOC_NAME=FAT:FQL_AUDITING_CLIENT_TEMPLATE.FAT&amp;display_string=Audit&amp;VAR:KEY=JQJIRMTAZM&amp;VAR:QUERY=RkZfRUJJVERBX0lCKCdMVE1TJywzOTg0MCk=&amp;WINDOW=FIRST_POPUP&amp;HEIGHT=450&amp;WIDTH=450&amp;START_MA","XIMIZED=FALSE&amp;VAR:CALENDAR=US&amp;VAR:SYMBOL=37183T10&amp;VAR:INDEX=0"}</definedName>
    <definedName name="_4046__FDSAUDITLINK__" localSheetId="6" hidden="1">{"fdsup://directions/FAT Viewer?action=UPDATE&amp;creator=factset&amp;DYN_ARGS=TRUE&amp;DOC_NAME=FAT:FQL_AUDITING_CLIENT_TEMPLATE.FAT&amp;display_string=Audit&amp;VAR:KEY=VETUDMVATY&amp;VAR:QUERY=RkZfRUJJVERBX0lCKCdMVE1TJywzOTgzOSk=&amp;WINDOW=FIRST_POPUP&amp;HEIGHT=450&amp;WIDTH=450&amp;START_MA","XIMIZED=FALSE&amp;VAR:CALENDAR=US&amp;VAR:SYMBOL=37183T10&amp;VAR:INDEX=0"}</definedName>
    <definedName name="_4046__FDSAUDITLINK__" hidden="1">{"fdsup://directions/FAT Viewer?action=UPDATE&amp;creator=factset&amp;DYN_ARGS=TRUE&amp;DOC_NAME=FAT:FQL_AUDITING_CLIENT_TEMPLATE.FAT&amp;display_string=Audit&amp;VAR:KEY=VETUDMVATY&amp;VAR:QUERY=RkZfRUJJVERBX0lCKCdMVE1TJywzOTgzOSk=&amp;WINDOW=FIRST_POPUP&amp;HEIGHT=450&amp;WIDTH=450&amp;START_MA","XIMIZED=FALSE&amp;VAR:CALENDAR=US&amp;VAR:SYMBOL=37183T10&amp;VAR:INDEX=0"}</definedName>
    <definedName name="_4047__FDSAUDITLINK__" localSheetId="6" hidden="1">{"fdsup://directions/FAT Viewer?action=UPDATE&amp;creator=factset&amp;DYN_ARGS=TRUE&amp;DOC_NAME=FAT:FQL_AUDITING_CLIENT_TEMPLATE.FAT&amp;display_string=Audit&amp;VAR:KEY=HKTOROBONI&amp;VAR:QUERY=RkZfRUJJVERBX0lCKCdMVE1TJywzOTgzOCk=&amp;WINDOW=FIRST_POPUP&amp;HEIGHT=450&amp;WIDTH=450&amp;START_MA","XIMIZED=FALSE&amp;VAR:CALENDAR=US&amp;VAR:SYMBOL=37183T10&amp;VAR:INDEX=0"}</definedName>
    <definedName name="_4047__FDSAUDITLINK__" hidden="1">{"fdsup://directions/FAT Viewer?action=UPDATE&amp;creator=factset&amp;DYN_ARGS=TRUE&amp;DOC_NAME=FAT:FQL_AUDITING_CLIENT_TEMPLATE.FAT&amp;display_string=Audit&amp;VAR:KEY=HKTOROBONI&amp;VAR:QUERY=RkZfRUJJVERBX0lCKCdMVE1TJywzOTgzOCk=&amp;WINDOW=FIRST_POPUP&amp;HEIGHT=450&amp;WIDTH=450&amp;START_MA","XIMIZED=FALSE&amp;VAR:CALENDAR=US&amp;VAR:SYMBOL=37183T10&amp;VAR:INDEX=0"}</definedName>
    <definedName name="_4048__FDSAUDITLINK__" localSheetId="6" hidden="1">{"fdsup://directions/FAT Viewer?action=UPDATE&amp;creator=factset&amp;DYN_ARGS=TRUE&amp;DOC_NAME=FAT:FQL_AUDITING_CLIENT_TEMPLATE.FAT&amp;display_string=Audit&amp;VAR:KEY=PSVWZCTWXM&amp;VAR:QUERY=RkZfRUJJVERBX0lCKCdMVE1TJywzOTgzNyk=&amp;WINDOW=FIRST_POPUP&amp;HEIGHT=450&amp;WIDTH=450&amp;START_MA","XIMIZED=FALSE&amp;VAR:CALENDAR=US&amp;VAR:SYMBOL=37183T10&amp;VAR:INDEX=0"}</definedName>
    <definedName name="_4048__FDSAUDITLINK__" hidden="1">{"fdsup://directions/FAT Viewer?action=UPDATE&amp;creator=factset&amp;DYN_ARGS=TRUE&amp;DOC_NAME=FAT:FQL_AUDITING_CLIENT_TEMPLATE.FAT&amp;display_string=Audit&amp;VAR:KEY=PSVWZCTWXM&amp;VAR:QUERY=RkZfRUJJVERBX0lCKCdMVE1TJywzOTgzNyk=&amp;WINDOW=FIRST_POPUP&amp;HEIGHT=450&amp;WIDTH=450&amp;START_MA","XIMIZED=FALSE&amp;VAR:CALENDAR=US&amp;VAR:SYMBOL=37183T10&amp;VAR:INDEX=0"}</definedName>
    <definedName name="_4049__FDSAUDITLINK__" localSheetId="6" hidden="1">{"fdsup://directions/FAT Viewer?action=UPDATE&amp;creator=factset&amp;DYN_ARGS=TRUE&amp;DOC_NAME=FAT:FQL_AUDITING_CLIENT_TEMPLATE.FAT&amp;display_string=Audit&amp;VAR:KEY=DGZGZQXAVK&amp;VAR:QUERY=RkZfRUJJVERBX0lCKCdMVE1TJywzOTgzNik=&amp;WINDOW=FIRST_POPUP&amp;HEIGHT=450&amp;WIDTH=450&amp;START_MA","XIMIZED=FALSE&amp;VAR:CALENDAR=US&amp;VAR:SYMBOL=37183T10&amp;VAR:INDEX=0"}</definedName>
    <definedName name="_4049__FDSAUDITLINK__" hidden="1">{"fdsup://directions/FAT Viewer?action=UPDATE&amp;creator=factset&amp;DYN_ARGS=TRUE&amp;DOC_NAME=FAT:FQL_AUDITING_CLIENT_TEMPLATE.FAT&amp;display_string=Audit&amp;VAR:KEY=DGZGZQXAVK&amp;VAR:QUERY=RkZfRUJJVERBX0lCKCdMVE1TJywzOTgzNik=&amp;WINDOW=FIRST_POPUP&amp;HEIGHT=450&amp;WIDTH=450&amp;START_MA","XIMIZED=FALSE&amp;VAR:CALENDAR=US&amp;VAR:SYMBOL=37183T10&amp;VAR:INDEX=0"}</definedName>
    <definedName name="_405__FDSAUDITLINK__" localSheetId="6" hidden="1">{"fdsup://directions/FAT%20Viewer?VAR:PED=LTM&amp;VAR:AUDIT_MODE=SUMMARY&amp;VAR:PERIOD=FIXED&amp;VAR:AUDIT_ID=00000117&amp;VAR:DATE=20090112&amp;action=UPDATE&amp;creator=factset&amp;DOC_NAME=FAT:FMA_audit_SUMMARY.fat&amp;DISPLAY_STRING=Display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5__FDSAUDITLINK__" hidden="1">{"fdsup://directions/FAT%20Viewer?VAR:PED=LTM&amp;VAR:AUDIT_MODE=SUMMARY&amp;VAR:PERIOD=FIXED&amp;VAR:AUDIT_ID=00000117&amp;VAR:DATE=20090112&amp;action=UPDATE&amp;creator=factset&amp;DOC_NAME=FAT:FMA_audit_SUMMARY.fat&amp;DISPLAY_STRING=Display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50__FDSAUDITLINK__" localSheetId="6" hidden="1">{"fdsup://directions/FAT Viewer?action=UPDATE&amp;creator=factset&amp;DYN_ARGS=TRUE&amp;DOC_NAME=FAT:FQL_AUDITING_CLIENT_TEMPLATE.FAT&amp;display_string=Audit&amp;VAR:KEY=BAFENIVMBY&amp;VAR:QUERY=RkZfRUJJVERBX0lCKCdMVE1TJywzOTgzNSk=&amp;WINDOW=FIRST_POPUP&amp;HEIGHT=450&amp;WIDTH=450&amp;START_MA","XIMIZED=FALSE&amp;VAR:CALENDAR=US&amp;VAR:SYMBOL=37183T10&amp;VAR:INDEX=0"}</definedName>
    <definedName name="_4050__FDSAUDITLINK__" hidden="1">{"fdsup://directions/FAT Viewer?action=UPDATE&amp;creator=factset&amp;DYN_ARGS=TRUE&amp;DOC_NAME=FAT:FQL_AUDITING_CLIENT_TEMPLATE.FAT&amp;display_string=Audit&amp;VAR:KEY=BAFENIVMBY&amp;VAR:QUERY=RkZfRUJJVERBX0lCKCdMVE1TJywzOTgzNSk=&amp;WINDOW=FIRST_POPUP&amp;HEIGHT=450&amp;WIDTH=450&amp;START_MA","XIMIZED=FALSE&amp;VAR:CALENDAR=US&amp;VAR:SYMBOL=37183T10&amp;VAR:INDEX=0"}</definedName>
    <definedName name="_4051__FDSAUDITLINK__" localSheetId="6" hidden="1">{"fdsup://directions/FAT Viewer?action=UPDATE&amp;creator=factset&amp;DYN_ARGS=TRUE&amp;DOC_NAME=FAT:FQL_AUDITING_CLIENT_TEMPLATE.FAT&amp;display_string=Audit&amp;VAR:KEY=RMPUVEZMXK&amp;VAR:QUERY=RkZfRUJJVERBX0lCKCdMVE1TJywzOTgzNCk=&amp;WINDOW=FIRST_POPUP&amp;HEIGHT=450&amp;WIDTH=450&amp;START_MA","XIMIZED=FALSE&amp;VAR:CALENDAR=US&amp;VAR:SYMBOL=37183T10&amp;VAR:INDEX=0"}</definedName>
    <definedName name="_4051__FDSAUDITLINK__" hidden="1">{"fdsup://directions/FAT Viewer?action=UPDATE&amp;creator=factset&amp;DYN_ARGS=TRUE&amp;DOC_NAME=FAT:FQL_AUDITING_CLIENT_TEMPLATE.FAT&amp;display_string=Audit&amp;VAR:KEY=RMPUVEZMXK&amp;VAR:QUERY=RkZfRUJJVERBX0lCKCdMVE1TJywzOTgzNCk=&amp;WINDOW=FIRST_POPUP&amp;HEIGHT=450&amp;WIDTH=450&amp;START_MA","XIMIZED=FALSE&amp;VAR:CALENDAR=US&amp;VAR:SYMBOL=37183T10&amp;VAR:INDEX=0"}</definedName>
    <definedName name="_4052__FDSAUDITLINK__" localSheetId="6" hidden="1">{"fdsup://directions/FAT Viewer?action=UPDATE&amp;creator=factset&amp;DYN_ARGS=TRUE&amp;DOC_NAME=FAT:FQL_AUDITING_CLIENT_TEMPLATE.FAT&amp;display_string=Audit&amp;VAR:KEY=XQBAHYTYDU&amp;VAR:QUERY=RkZfRUJJVERBX0lCKCdMVE1TJywzOTgzMyk=&amp;WINDOW=FIRST_POPUP&amp;HEIGHT=450&amp;WIDTH=450&amp;START_MA","XIMIZED=FALSE&amp;VAR:CALENDAR=US&amp;VAR:SYMBOL=37183T10&amp;VAR:INDEX=0"}</definedName>
    <definedName name="_4052__FDSAUDITLINK__" hidden="1">{"fdsup://directions/FAT Viewer?action=UPDATE&amp;creator=factset&amp;DYN_ARGS=TRUE&amp;DOC_NAME=FAT:FQL_AUDITING_CLIENT_TEMPLATE.FAT&amp;display_string=Audit&amp;VAR:KEY=XQBAHYTYDU&amp;VAR:QUERY=RkZfRUJJVERBX0lCKCdMVE1TJywzOTgzMyk=&amp;WINDOW=FIRST_POPUP&amp;HEIGHT=450&amp;WIDTH=450&amp;START_MA","XIMIZED=FALSE&amp;VAR:CALENDAR=US&amp;VAR:SYMBOL=37183T10&amp;VAR:INDEX=0"}</definedName>
    <definedName name="_4053__FDSAUDITLINK__" localSheetId="6" hidden="1">{"fdsup://directions/FAT Viewer?action=UPDATE&amp;creator=factset&amp;DYN_ARGS=TRUE&amp;DOC_NAME=FAT:FQL_AUDITING_CLIENT_TEMPLATE.FAT&amp;display_string=Audit&amp;VAR:KEY=HIBAZCDCRO&amp;VAR:QUERY=RkZfRUJJVERBX0lCKCdMVE1TJywzOTgzMik=&amp;WINDOW=FIRST_POPUP&amp;HEIGHT=450&amp;WIDTH=450&amp;START_MA","XIMIZED=FALSE&amp;VAR:CALENDAR=US&amp;VAR:SYMBOL=37183T10&amp;VAR:INDEX=0"}</definedName>
    <definedName name="_4053__FDSAUDITLINK__" hidden="1">{"fdsup://directions/FAT Viewer?action=UPDATE&amp;creator=factset&amp;DYN_ARGS=TRUE&amp;DOC_NAME=FAT:FQL_AUDITING_CLIENT_TEMPLATE.FAT&amp;display_string=Audit&amp;VAR:KEY=HIBAZCDCRO&amp;VAR:QUERY=RkZfRUJJVERBX0lCKCdMVE1TJywzOTgzMik=&amp;WINDOW=FIRST_POPUP&amp;HEIGHT=450&amp;WIDTH=450&amp;START_MA","XIMIZED=FALSE&amp;VAR:CALENDAR=US&amp;VAR:SYMBOL=37183T10&amp;VAR:INDEX=0"}</definedName>
    <definedName name="_4054__FDSAUDITLINK__" localSheetId="6" hidden="1">{"fdsup://directions/FAT Viewer?action=UPDATE&amp;creator=factset&amp;DYN_ARGS=TRUE&amp;DOC_NAME=FAT:FQL_AUDITING_CLIENT_TEMPLATE.FAT&amp;display_string=Audit&amp;VAR:KEY=PYFOPCNSTM&amp;VAR:QUERY=RkZfRUJJVERBX0lCKCdMVE1TJywzOTgzMSk=&amp;WINDOW=FIRST_POPUP&amp;HEIGHT=450&amp;WIDTH=450&amp;START_MA","XIMIZED=FALSE&amp;VAR:CALENDAR=US&amp;VAR:SYMBOL=37183T10&amp;VAR:INDEX=0"}</definedName>
    <definedName name="_4054__FDSAUDITLINK__" hidden="1">{"fdsup://directions/FAT Viewer?action=UPDATE&amp;creator=factset&amp;DYN_ARGS=TRUE&amp;DOC_NAME=FAT:FQL_AUDITING_CLIENT_TEMPLATE.FAT&amp;display_string=Audit&amp;VAR:KEY=PYFOPCNSTM&amp;VAR:QUERY=RkZfRUJJVERBX0lCKCdMVE1TJywzOTgzMSk=&amp;WINDOW=FIRST_POPUP&amp;HEIGHT=450&amp;WIDTH=450&amp;START_MA","XIMIZED=FALSE&amp;VAR:CALENDAR=US&amp;VAR:SYMBOL=37183T10&amp;VAR:INDEX=0"}</definedName>
    <definedName name="_4055__FDSAUDITLINK__" localSheetId="6" hidden="1">{"fdsup://directions/FAT Viewer?action=UPDATE&amp;creator=factset&amp;DYN_ARGS=TRUE&amp;DOC_NAME=FAT:FQL_AUDITING_CLIENT_TEMPLATE.FAT&amp;display_string=Audit&amp;VAR:KEY=XYNOPUZATO&amp;VAR:QUERY=RkZfRUJJVERBX0lCKCdMVE1TJywzOTgzMCk=&amp;WINDOW=FIRST_POPUP&amp;HEIGHT=450&amp;WIDTH=450&amp;START_MA","XIMIZED=FALSE&amp;VAR:CALENDAR=US&amp;VAR:SYMBOL=37183T10&amp;VAR:INDEX=0"}</definedName>
    <definedName name="_4055__FDSAUDITLINK__" hidden="1">{"fdsup://directions/FAT Viewer?action=UPDATE&amp;creator=factset&amp;DYN_ARGS=TRUE&amp;DOC_NAME=FAT:FQL_AUDITING_CLIENT_TEMPLATE.FAT&amp;display_string=Audit&amp;VAR:KEY=XYNOPUZATO&amp;VAR:QUERY=RkZfRUJJVERBX0lCKCdMVE1TJywzOTgzMCk=&amp;WINDOW=FIRST_POPUP&amp;HEIGHT=450&amp;WIDTH=450&amp;START_MA","XIMIZED=FALSE&amp;VAR:CALENDAR=US&amp;VAR:SYMBOL=37183T10&amp;VAR:INDEX=0"}</definedName>
    <definedName name="_4056__FDSAUDITLINK__" localSheetId="6" hidden="1">{"fdsup://directions/FAT Viewer?action=UPDATE&amp;creator=factset&amp;DYN_ARGS=TRUE&amp;DOC_NAME=FAT:FQL_AUDITING_CLIENT_TEMPLATE.FAT&amp;display_string=Audit&amp;VAR:KEY=PCFKTABMHM&amp;VAR:QUERY=RkZfRUJJVERBX0lCKCdMVE1TJywzOTgyOSk=&amp;WINDOW=FIRST_POPUP&amp;HEIGHT=450&amp;WIDTH=450&amp;START_MA","XIMIZED=FALSE&amp;VAR:CALENDAR=US&amp;VAR:SYMBOL=37183T10&amp;VAR:INDEX=0"}</definedName>
    <definedName name="_4056__FDSAUDITLINK__" hidden="1">{"fdsup://directions/FAT Viewer?action=UPDATE&amp;creator=factset&amp;DYN_ARGS=TRUE&amp;DOC_NAME=FAT:FQL_AUDITING_CLIENT_TEMPLATE.FAT&amp;display_string=Audit&amp;VAR:KEY=PCFKTABMHM&amp;VAR:QUERY=RkZfRUJJVERBX0lCKCdMVE1TJywzOTgyOSk=&amp;WINDOW=FIRST_POPUP&amp;HEIGHT=450&amp;WIDTH=450&amp;START_MA","XIMIZED=FALSE&amp;VAR:CALENDAR=US&amp;VAR:SYMBOL=37183T10&amp;VAR:INDEX=0"}</definedName>
    <definedName name="_4057__FDSAUDITLINK__" localSheetId="6" hidden="1">{"fdsup://directions/FAT Viewer?action=UPDATE&amp;creator=factset&amp;DYN_ARGS=TRUE&amp;DOC_NAME=FAT:FQL_AUDITING_CLIENT_TEMPLATE.FAT&amp;display_string=Audit&amp;VAR:KEY=FWVOZWNKJS&amp;VAR:QUERY=RkZfRUJJVERBX0lCKCdMVE1TJywzOTgyOCk=&amp;WINDOW=FIRST_POPUP&amp;HEIGHT=450&amp;WIDTH=450&amp;START_MA","XIMIZED=FALSE&amp;VAR:CALENDAR=US&amp;VAR:SYMBOL=37183T10&amp;VAR:INDEX=0"}</definedName>
    <definedName name="_4057__FDSAUDITLINK__" hidden="1">{"fdsup://directions/FAT Viewer?action=UPDATE&amp;creator=factset&amp;DYN_ARGS=TRUE&amp;DOC_NAME=FAT:FQL_AUDITING_CLIENT_TEMPLATE.FAT&amp;display_string=Audit&amp;VAR:KEY=FWVOZWNKJS&amp;VAR:QUERY=RkZfRUJJVERBX0lCKCdMVE1TJywzOTgyOCk=&amp;WINDOW=FIRST_POPUP&amp;HEIGHT=450&amp;WIDTH=450&amp;START_MA","XIMIZED=FALSE&amp;VAR:CALENDAR=US&amp;VAR:SYMBOL=37183T10&amp;VAR:INDEX=0"}</definedName>
    <definedName name="_4058__FDSAUDITLINK__" localSheetId="6" hidden="1">{"fdsup://directions/FAT Viewer?action=UPDATE&amp;creator=factset&amp;DYN_ARGS=TRUE&amp;DOC_NAME=FAT:FQL_AUDITING_CLIENT_TEMPLATE.FAT&amp;display_string=Audit&amp;VAR:KEY=BERQPGDYBY&amp;VAR:QUERY=RkZfRUJJVERBX0lCKCdMVE1TJywzOTgyNyk=&amp;WINDOW=FIRST_POPUP&amp;HEIGHT=450&amp;WIDTH=450&amp;START_MA","XIMIZED=FALSE&amp;VAR:CALENDAR=US&amp;VAR:SYMBOL=37183T10&amp;VAR:INDEX=0"}</definedName>
    <definedName name="_4058__FDSAUDITLINK__" hidden="1">{"fdsup://directions/FAT Viewer?action=UPDATE&amp;creator=factset&amp;DYN_ARGS=TRUE&amp;DOC_NAME=FAT:FQL_AUDITING_CLIENT_TEMPLATE.FAT&amp;display_string=Audit&amp;VAR:KEY=BERQPGDYBY&amp;VAR:QUERY=RkZfRUJJVERBX0lCKCdMVE1TJywzOTgyNyk=&amp;WINDOW=FIRST_POPUP&amp;HEIGHT=450&amp;WIDTH=450&amp;START_MA","XIMIZED=FALSE&amp;VAR:CALENDAR=US&amp;VAR:SYMBOL=37183T10&amp;VAR:INDEX=0"}</definedName>
    <definedName name="_4059__FDSAUDITLINK__" localSheetId="6" hidden="1">{"fdsup://directions/FAT Viewer?action=UPDATE&amp;creator=factset&amp;DYN_ARGS=TRUE&amp;DOC_NAME=FAT:FQL_AUDITING_CLIENT_TEMPLATE.FAT&amp;display_string=Audit&amp;VAR:KEY=NOZCHCTAVC&amp;VAR:QUERY=RkZfRUJJVERBX0lCKCdMVE1TJywzOTgyNik=&amp;WINDOW=FIRST_POPUP&amp;HEIGHT=450&amp;WIDTH=450&amp;START_MA","XIMIZED=FALSE&amp;VAR:CALENDAR=US&amp;VAR:SYMBOL=37183T10&amp;VAR:INDEX=0"}</definedName>
    <definedName name="_4059__FDSAUDITLINK__" hidden="1">{"fdsup://directions/FAT Viewer?action=UPDATE&amp;creator=factset&amp;DYN_ARGS=TRUE&amp;DOC_NAME=FAT:FQL_AUDITING_CLIENT_TEMPLATE.FAT&amp;display_string=Audit&amp;VAR:KEY=NOZCHCTAVC&amp;VAR:QUERY=RkZfRUJJVERBX0lCKCdMVE1TJywzOTgyNik=&amp;WINDOW=FIRST_POPUP&amp;HEIGHT=450&amp;WIDTH=450&amp;START_MA","XIMIZED=FALSE&amp;VAR:CALENDAR=US&amp;VAR:SYMBOL=37183T10&amp;VAR:INDEX=0"}</definedName>
    <definedName name="_406__FDSAUDITLINK__" localSheetId="6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6__FDSAUDITLINK__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60__FDSAUDITLINK__" localSheetId="6" hidden="1">{"fdsup://directions/FAT Viewer?action=UPDATE&amp;creator=factset&amp;DYN_ARGS=TRUE&amp;DOC_NAME=FAT:FQL_AUDITING_CLIENT_TEMPLATE.FAT&amp;display_string=Audit&amp;VAR:KEY=NCHWPANURO&amp;VAR:QUERY=RkZfRUJJVERBX0lCKCdMVE1TJywzOTgyNSk=&amp;WINDOW=FIRST_POPUP&amp;HEIGHT=450&amp;WIDTH=450&amp;START_MA","XIMIZED=FALSE&amp;VAR:CALENDAR=US&amp;VAR:SYMBOL=37183T10&amp;VAR:INDEX=0"}</definedName>
    <definedName name="_4060__FDSAUDITLINK__" hidden="1">{"fdsup://directions/FAT Viewer?action=UPDATE&amp;creator=factset&amp;DYN_ARGS=TRUE&amp;DOC_NAME=FAT:FQL_AUDITING_CLIENT_TEMPLATE.FAT&amp;display_string=Audit&amp;VAR:KEY=NCHWPANURO&amp;VAR:QUERY=RkZfRUJJVERBX0lCKCdMVE1TJywzOTgyNSk=&amp;WINDOW=FIRST_POPUP&amp;HEIGHT=450&amp;WIDTH=450&amp;START_MA","XIMIZED=FALSE&amp;VAR:CALENDAR=US&amp;VAR:SYMBOL=37183T10&amp;VAR:INDEX=0"}</definedName>
    <definedName name="_4061__FDSAUDITLINK__" localSheetId="6" hidden="1">{"fdsup://directions/FAT Viewer?action=UPDATE&amp;creator=factset&amp;DYN_ARGS=TRUE&amp;DOC_NAME=FAT:FQL_AUDITING_CLIENT_TEMPLATE.FAT&amp;display_string=Audit&amp;VAR:KEY=NCHUHETKLA&amp;VAR:QUERY=RkZfRUJJVERBX0lCKCdMVE1TJywzOTgyNCk=&amp;WINDOW=FIRST_POPUP&amp;HEIGHT=450&amp;WIDTH=450&amp;START_MA","XIMIZED=FALSE&amp;VAR:CALENDAR=US&amp;VAR:SYMBOL=37183T10&amp;VAR:INDEX=0"}</definedName>
    <definedName name="_4061__FDSAUDITLINK__" hidden="1">{"fdsup://directions/FAT Viewer?action=UPDATE&amp;creator=factset&amp;DYN_ARGS=TRUE&amp;DOC_NAME=FAT:FQL_AUDITING_CLIENT_TEMPLATE.FAT&amp;display_string=Audit&amp;VAR:KEY=NCHUHETKLA&amp;VAR:QUERY=RkZfRUJJVERBX0lCKCdMVE1TJywzOTgyNCk=&amp;WINDOW=FIRST_POPUP&amp;HEIGHT=450&amp;WIDTH=450&amp;START_MA","XIMIZED=FALSE&amp;VAR:CALENDAR=US&amp;VAR:SYMBOL=37183T10&amp;VAR:INDEX=0"}</definedName>
    <definedName name="_4062__FDSAUDITLINK__" localSheetId="6" hidden="1">{"fdsup://directions/FAT Viewer?action=UPDATE&amp;creator=factset&amp;DYN_ARGS=TRUE&amp;DOC_NAME=FAT:FQL_AUDITING_CLIENT_TEMPLATE.FAT&amp;display_string=Audit&amp;VAR:KEY=ROPMZUPCVQ&amp;VAR:QUERY=RkZfRUJJVERBX0lCKCdMVE1TJywzOTgyMyk=&amp;WINDOW=FIRST_POPUP&amp;HEIGHT=450&amp;WIDTH=450&amp;START_MA","XIMIZED=FALSE&amp;VAR:CALENDAR=US&amp;VAR:SYMBOL=37183T10&amp;VAR:INDEX=0"}</definedName>
    <definedName name="_4062__FDSAUDITLINK__" hidden="1">{"fdsup://directions/FAT Viewer?action=UPDATE&amp;creator=factset&amp;DYN_ARGS=TRUE&amp;DOC_NAME=FAT:FQL_AUDITING_CLIENT_TEMPLATE.FAT&amp;display_string=Audit&amp;VAR:KEY=ROPMZUPCVQ&amp;VAR:QUERY=RkZfRUJJVERBX0lCKCdMVE1TJywzOTgyMyk=&amp;WINDOW=FIRST_POPUP&amp;HEIGHT=450&amp;WIDTH=450&amp;START_MA","XIMIZED=FALSE&amp;VAR:CALENDAR=US&amp;VAR:SYMBOL=37183T10&amp;VAR:INDEX=0"}</definedName>
    <definedName name="_4063__FDSAUDITLINK__" localSheetId="6" hidden="1">{"fdsup://directions/FAT Viewer?action=UPDATE&amp;creator=factset&amp;DYN_ARGS=TRUE&amp;DOC_NAME=FAT:FQL_AUDITING_CLIENT_TEMPLATE.FAT&amp;display_string=Audit&amp;VAR:KEY=PEHORKNATU&amp;VAR:QUERY=RkZfRUJJVERBX0lCKCdMVE1TJywzOTgyMik=&amp;WINDOW=FIRST_POPUP&amp;HEIGHT=450&amp;WIDTH=450&amp;START_MA","XIMIZED=FALSE&amp;VAR:CALENDAR=US&amp;VAR:SYMBOL=37183T10&amp;VAR:INDEX=0"}</definedName>
    <definedName name="_4063__FDSAUDITLINK__" hidden="1">{"fdsup://directions/FAT Viewer?action=UPDATE&amp;creator=factset&amp;DYN_ARGS=TRUE&amp;DOC_NAME=FAT:FQL_AUDITING_CLIENT_TEMPLATE.FAT&amp;display_string=Audit&amp;VAR:KEY=PEHORKNATU&amp;VAR:QUERY=RkZfRUJJVERBX0lCKCdMVE1TJywzOTgyMik=&amp;WINDOW=FIRST_POPUP&amp;HEIGHT=450&amp;WIDTH=450&amp;START_MA","XIMIZED=FALSE&amp;VAR:CALENDAR=US&amp;VAR:SYMBOL=37183T10&amp;VAR:INDEX=0"}</definedName>
    <definedName name="_4064__FDSAUDITLINK__" localSheetId="6" hidden="1">{"fdsup://directions/FAT Viewer?action=UPDATE&amp;creator=factset&amp;DYN_ARGS=TRUE&amp;DOC_NAME=FAT:FQL_AUDITING_CLIENT_TEMPLATE.FAT&amp;display_string=Audit&amp;VAR:KEY=FOXORKTGLG&amp;VAR:QUERY=RkZfRUJJVERBX0lCKCdMVE1TJywzOTgyMSk=&amp;WINDOW=FIRST_POPUP&amp;HEIGHT=450&amp;WIDTH=450&amp;START_MA","XIMIZED=FALSE&amp;VAR:CALENDAR=US&amp;VAR:SYMBOL=37183T10&amp;VAR:INDEX=0"}</definedName>
    <definedName name="_4064__FDSAUDITLINK__" hidden="1">{"fdsup://directions/FAT Viewer?action=UPDATE&amp;creator=factset&amp;DYN_ARGS=TRUE&amp;DOC_NAME=FAT:FQL_AUDITING_CLIENT_TEMPLATE.FAT&amp;display_string=Audit&amp;VAR:KEY=FOXORKTGLG&amp;VAR:QUERY=RkZfRUJJVERBX0lCKCdMVE1TJywzOTgyMSk=&amp;WINDOW=FIRST_POPUP&amp;HEIGHT=450&amp;WIDTH=450&amp;START_MA","XIMIZED=FALSE&amp;VAR:CALENDAR=US&amp;VAR:SYMBOL=37183T10&amp;VAR:INDEX=0"}</definedName>
    <definedName name="_4065__FDSAUDITLINK__" localSheetId="6" hidden="1">{"fdsup://directions/FAT Viewer?action=UPDATE&amp;creator=factset&amp;DYN_ARGS=TRUE&amp;DOC_NAME=FAT:FQL_AUDITING_CLIENT_TEMPLATE.FAT&amp;display_string=Audit&amp;VAR:KEY=DOZMRUVUHE&amp;VAR:QUERY=RkZfRUJJVERBX0lCKCdMVE1TJywzOTgyMCk=&amp;WINDOW=FIRST_POPUP&amp;HEIGHT=450&amp;WIDTH=450&amp;START_MA","XIMIZED=FALSE&amp;VAR:CALENDAR=US&amp;VAR:SYMBOL=37183T10&amp;VAR:INDEX=0"}</definedName>
    <definedName name="_4065__FDSAUDITLINK__" hidden="1">{"fdsup://directions/FAT Viewer?action=UPDATE&amp;creator=factset&amp;DYN_ARGS=TRUE&amp;DOC_NAME=FAT:FQL_AUDITING_CLIENT_TEMPLATE.FAT&amp;display_string=Audit&amp;VAR:KEY=DOZMRUVUHE&amp;VAR:QUERY=RkZfRUJJVERBX0lCKCdMVE1TJywzOTgyMCk=&amp;WINDOW=FIRST_POPUP&amp;HEIGHT=450&amp;WIDTH=450&amp;START_MA","XIMIZED=FALSE&amp;VAR:CALENDAR=US&amp;VAR:SYMBOL=37183T10&amp;VAR:INDEX=0"}</definedName>
    <definedName name="_4066__FDSAUDITLINK__" localSheetId="6" hidden="1">{"fdsup://directions/FAT Viewer?action=UPDATE&amp;creator=factset&amp;DYN_ARGS=TRUE&amp;DOC_NAME=FAT:FQL_AUDITING_CLIENT_TEMPLATE.FAT&amp;display_string=Audit&amp;VAR:KEY=RGXKRKTEXK&amp;VAR:QUERY=RkZfRUJJVERBX0lCKCdMVE1TJywzOTgxOSk=&amp;WINDOW=FIRST_POPUP&amp;HEIGHT=450&amp;WIDTH=450&amp;START_MA","XIMIZED=FALSE&amp;VAR:CALENDAR=US&amp;VAR:SYMBOL=37183T10&amp;VAR:INDEX=0"}</definedName>
    <definedName name="_4066__FDSAUDITLINK__" hidden="1">{"fdsup://directions/FAT Viewer?action=UPDATE&amp;creator=factset&amp;DYN_ARGS=TRUE&amp;DOC_NAME=FAT:FQL_AUDITING_CLIENT_TEMPLATE.FAT&amp;display_string=Audit&amp;VAR:KEY=RGXKRKTEXK&amp;VAR:QUERY=RkZfRUJJVERBX0lCKCdMVE1TJywzOTgxOSk=&amp;WINDOW=FIRST_POPUP&amp;HEIGHT=450&amp;WIDTH=450&amp;START_MA","XIMIZED=FALSE&amp;VAR:CALENDAR=US&amp;VAR:SYMBOL=37183T10&amp;VAR:INDEX=0"}</definedName>
    <definedName name="_4067__FDSAUDITLINK__" localSheetId="6" hidden="1">{"fdsup://directions/FAT Viewer?action=UPDATE&amp;creator=factset&amp;DYN_ARGS=TRUE&amp;DOC_NAME=FAT:FQL_AUDITING_CLIENT_TEMPLATE.FAT&amp;display_string=Audit&amp;VAR:KEY=FGRYZKXSLG&amp;VAR:QUERY=RkZfRUJJVERBX0lCKCdMVE1TJywzOTgxOCk=&amp;WINDOW=FIRST_POPUP&amp;HEIGHT=450&amp;WIDTH=450&amp;START_MA","XIMIZED=FALSE&amp;VAR:CALENDAR=US&amp;VAR:SYMBOL=37183T10&amp;VAR:INDEX=0"}</definedName>
    <definedName name="_4067__FDSAUDITLINK__" hidden="1">{"fdsup://directions/FAT Viewer?action=UPDATE&amp;creator=factset&amp;DYN_ARGS=TRUE&amp;DOC_NAME=FAT:FQL_AUDITING_CLIENT_TEMPLATE.FAT&amp;display_string=Audit&amp;VAR:KEY=FGRYZKXSLG&amp;VAR:QUERY=RkZfRUJJVERBX0lCKCdMVE1TJywzOTgxOCk=&amp;WINDOW=FIRST_POPUP&amp;HEIGHT=450&amp;WIDTH=450&amp;START_MA","XIMIZED=FALSE&amp;VAR:CALENDAR=US&amp;VAR:SYMBOL=37183T10&amp;VAR:INDEX=0"}</definedName>
    <definedName name="_4068__FDSAUDITLINK__" localSheetId="6" hidden="1">{"fdsup://directions/FAT Viewer?action=UPDATE&amp;creator=factset&amp;DYN_ARGS=TRUE&amp;DOC_NAME=FAT:FQL_AUDITING_CLIENT_TEMPLATE.FAT&amp;display_string=Audit&amp;VAR:KEY=DIBENYJWRU&amp;VAR:QUERY=RkZfRUJJVERBX0lCKCdMVE1TJywzOTgxNyk=&amp;WINDOW=FIRST_POPUP&amp;HEIGHT=450&amp;WIDTH=450&amp;START_MA","XIMIZED=FALSE&amp;VAR:CALENDAR=US&amp;VAR:SYMBOL=37183T10&amp;VAR:INDEX=0"}</definedName>
    <definedName name="_4068__FDSAUDITLINK__" hidden="1">{"fdsup://directions/FAT Viewer?action=UPDATE&amp;creator=factset&amp;DYN_ARGS=TRUE&amp;DOC_NAME=FAT:FQL_AUDITING_CLIENT_TEMPLATE.FAT&amp;display_string=Audit&amp;VAR:KEY=DIBENYJWRU&amp;VAR:QUERY=RkZfRUJJVERBX0lCKCdMVE1TJywzOTgxNyk=&amp;WINDOW=FIRST_POPUP&amp;HEIGHT=450&amp;WIDTH=450&amp;START_MA","XIMIZED=FALSE&amp;VAR:CALENDAR=US&amp;VAR:SYMBOL=37183T10&amp;VAR:INDEX=0"}</definedName>
    <definedName name="_4069__FDSAUDITLINK__" localSheetId="6" hidden="1">{"fdsup://directions/FAT Viewer?action=UPDATE&amp;creator=factset&amp;DYN_ARGS=TRUE&amp;DOC_NAME=FAT:FQL_AUDITING_CLIENT_TEMPLATE.FAT&amp;display_string=Audit&amp;VAR:KEY=PKVYVGFWLI&amp;VAR:QUERY=RkZfRUJJVERBX0lCKCdMVE1TJywzOTgxNik=&amp;WINDOW=FIRST_POPUP&amp;HEIGHT=450&amp;WIDTH=450&amp;START_MA","XIMIZED=FALSE&amp;VAR:CALENDAR=US&amp;VAR:SYMBOL=37183T10&amp;VAR:INDEX=0"}</definedName>
    <definedName name="_4069__FDSAUDITLINK__" hidden="1">{"fdsup://directions/FAT Viewer?action=UPDATE&amp;creator=factset&amp;DYN_ARGS=TRUE&amp;DOC_NAME=FAT:FQL_AUDITING_CLIENT_TEMPLATE.FAT&amp;display_string=Audit&amp;VAR:KEY=PKVYVGFWLI&amp;VAR:QUERY=RkZfRUJJVERBX0lCKCdMVE1TJywzOTgxNik=&amp;WINDOW=FIRST_POPUP&amp;HEIGHT=450&amp;WIDTH=450&amp;START_MA","XIMIZED=FALSE&amp;VAR:CALENDAR=US&amp;VAR:SYMBOL=37183T10&amp;VAR:INDEX=0"}</definedName>
    <definedName name="_407__FDSAUDITLINK__" localSheetId="6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7__FDSAUDITLINK__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70__FDSAUDITLINK__" localSheetId="6" hidden="1">{"fdsup://directions/FAT Viewer?action=UPDATE&amp;creator=factset&amp;DYN_ARGS=TRUE&amp;DOC_NAME=FAT:FQL_AUDITING_CLIENT_TEMPLATE.FAT&amp;display_string=Audit&amp;VAR:KEY=JUTIVYREBM&amp;VAR:QUERY=RkZfRUJJVERBX0lCKCdMVE1TJywzOTgxNSk=&amp;WINDOW=FIRST_POPUP&amp;HEIGHT=450&amp;WIDTH=450&amp;START_MA","XIMIZED=FALSE&amp;VAR:CALENDAR=US&amp;VAR:SYMBOL=37183T10&amp;VAR:INDEX=0"}</definedName>
    <definedName name="_4070__FDSAUDITLINK__" hidden="1">{"fdsup://directions/FAT Viewer?action=UPDATE&amp;creator=factset&amp;DYN_ARGS=TRUE&amp;DOC_NAME=FAT:FQL_AUDITING_CLIENT_TEMPLATE.FAT&amp;display_string=Audit&amp;VAR:KEY=JUTIVYREBM&amp;VAR:QUERY=RkZfRUJJVERBX0lCKCdMVE1TJywzOTgxNSk=&amp;WINDOW=FIRST_POPUP&amp;HEIGHT=450&amp;WIDTH=450&amp;START_MA","XIMIZED=FALSE&amp;VAR:CALENDAR=US&amp;VAR:SYMBOL=37183T10&amp;VAR:INDEX=0"}</definedName>
    <definedName name="_4071__FDSAUDITLINK__" localSheetId="6" hidden="1">{"fdsup://directions/FAT Viewer?action=UPDATE&amp;creator=factset&amp;DYN_ARGS=TRUE&amp;DOC_NAME=FAT:FQL_AUDITING_CLIENT_TEMPLATE.FAT&amp;display_string=Audit&amp;VAR:KEY=DABCJQNWJO&amp;VAR:QUERY=RkZfRUJJVERBX0lCKCdMVE1TJywzOTgxNCk=&amp;WINDOW=FIRST_POPUP&amp;HEIGHT=450&amp;WIDTH=450&amp;START_MA","XIMIZED=FALSE&amp;VAR:CALENDAR=US&amp;VAR:SYMBOL=37183T10&amp;VAR:INDEX=0"}</definedName>
    <definedName name="_4071__FDSAUDITLINK__" hidden="1">{"fdsup://directions/FAT Viewer?action=UPDATE&amp;creator=factset&amp;DYN_ARGS=TRUE&amp;DOC_NAME=FAT:FQL_AUDITING_CLIENT_TEMPLATE.FAT&amp;display_string=Audit&amp;VAR:KEY=DABCJQNWJO&amp;VAR:QUERY=RkZfRUJJVERBX0lCKCdMVE1TJywzOTgxNCk=&amp;WINDOW=FIRST_POPUP&amp;HEIGHT=450&amp;WIDTH=450&amp;START_MA","XIMIZED=FALSE&amp;VAR:CALENDAR=US&amp;VAR:SYMBOL=37183T10&amp;VAR:INDEX=0"}</definedName>
    <definedName name="_4072__FDSAUDITLINK__" localSheetId="6" hidden="1">{"fdsup://directions/FAT Viewer?action=UPDATE&amp;creator=factset&amp;DYN_ARGS=TRUE&amp;DOC_NAME=FAT:FQL_AUDITING_CLIENT_TEMPLATE.FAT&amp;display_string=Audit&amp;VAR:KEY=FOTYRMTWFC&amp;VAR:QUERY=RkZfRUJJVERBX0lCKCdMVE1TJywzOTgxMyk=&amp;WINDOW=FIRST_POPUP&amp;HEIGHT=450&amp;WIDTH=450&amp;START_MA","XIMIZED=FALSE&amp;VAR:CALENDAR=US&amp;VAR:SYMBOL=37183T10&amp;VAR:INDEX=0"}</definedName>
    <definedName name="_4072__FDSAUDITLINK__" hidden="1">{"fdsup://directions/FAT Viewer?action=UPDATE&amp;creator=factset&amp;DYN_ARGS=TRUE&amp;DOC_NAME=FAT:FQL_AUDITING_CLIENT_TEMPLATE.FAT&amp;display_string=Audit&amp;VAR:KEY=FOTYRMTWFC&amp;VAR:QUERY=RkZfRUJJVERBX0lCKCdMVE1TJywzOTgxMyk=&amp;WINDOW=FIRST_POPUP&amp;HEIGHT=450&amp;WIDTH=450&amp;START_MA","XIMIZED=FALSE&amp;VAR:CALENDAR=US&amp;VAR:SYMBOL=37183T10&amp;VAR:INDEX=0"}</definedName>
    <definedName name="_4073__FDSAUDITLINK__" localSheetId="6" hidden="1">{"fdsup://directions/FAT Viewer?action=UPDATE&amp;creator=factset&amp;DYN_ARGS=TRUE&amp;DOC_NAME=FAT:FQL_AUDITING_CLIENT_TEMPLATE.FAT&amp;display_string=Audit&amp;VAR:KEY=NGHMRSRWJC&amp;VAR:QUERY=RkZfRUJJVERBX0lCKCdMVE1TJywzOTgxMik=&amp;WINDOW=FIRST_POPUP&amp;HEIGHT=450&amp;WIDTH=450&amp;START_MA","XIMIZED=FALSE&amp;VAR:CALENDAR=US&amp;VAR:SYMBOL=37183T10&amp;VAR:INDEX=0"}</definedName>
    <definedName name="_4073__FDSAUDITLINK__" hidden="1">{"fdsup://directions/FAT Viewer?action=UPDATE&amp;creator=factset&amp;DYN_ARGS=TRUE&amp;DOC_NAME=FAT:FQL_AUDITING_CLIENT_TEMPLATE.FAT&amp;display_string=Audit&amp;VAR:KEY=NGHMRSRWJC&amp;VAR:QUERY=RkZfRUJJVERBX0lCKCdMVE1TJywzOTgxMik=&amp;WINDOW=FIRST_POPUP&amp;HEIGHT=450&amp;WIDTH=450&amp;START_MA","XIMIZED=FALSE&amp;VAR:CALENDAR=US&amp;VAR:SYMBOL=37183T10&amp;VAR:INDEX=0"}</definedName>
    <definedName name="_4074__FDSAUDITLINK__" localSheetId="6" hidden="1">{"fdsup://directions/FAT Viewer?action=UPDATE&amp;creator=factset&amp;DYN_ARGS=TRUE&amp;DOC_NAME=FAT:FQL_AUDITING_CLIENT_TEMPLATE.FAT&amp;display_string=Audit&amp;VAR:KEY=PKXGZILGJW&amp;VAR:QUERY=RkZfRUJJVERBX0lCKCdMVE1TJywzOTgxMSk=&amp;WINDOW=FIRST_POPUP&amp;HEIGHT=450&amp;WIDTH=450&amp;START_MA","XIMIZED=FALSE&amp;VAR:CALENDAR=US&amp;VAR:SYMBOL=37183T10&amp;VAR:INDEX=0"}</definedName>
    <definedName name="_4074__FDSAUDITLINK__" hidden="1">{"fdsup://directions/FAT Viewer?action=UPDATE&amp;creator=factset&amp;DYN_ARGS=TRUE&amp;DOC_NAME=FAT:FQL_AUDITING_CLIENT_TEMPLATE.FAT&amp;display_string=Audit&amp;VAR:KEY=PKXGZILGJW&amp;VAR:QUERY=RkZfRUJJVERBX0lCKCdMVE1TJywzOTgxMSk=&amp;WINDOW=FIRST_POPUP&amp;HEIGHT=450&amp;WIDTH=450&amp;START_MA","XIMIZED=FALSE&amp;VAR:CALENDAR=US&amp;VAR:SYMBOL=37183T10&amp;VAR:INDEX=0"}</definedName>
    <definedName name="_4075__FDSAUDITLINK__" localSheetId="6" hidden="1">{"fdsup://directions/FAT Viewer?action=UPDATE&amp;creator=factset&amp;DYN_ARGS=TRUE&amp;DOC_NAME=FAT:FQL_AUDITING_CLIENT_TEMPLATE.FAT&amp;display_string=Audit&amp;VAR:KEY=BOZCHOPOZM&amp;VAR:QUERY=RkZfRUJJVERBX0lCKCdMVE1TJywzOTgxMCk=&amp;WINDOW=FIRST_POPUP&amp;HEIGHT=450&amp;WIDTH=450&amp;START_MA","XIMIZED=FALSE&amp;VAR:CALENDAR=US&amp;VAR:SYMBOL=37183T10&amp;VAR:INDEX=0"}</definedName>
    <definedName name="_4075__FDSAUDITLINK__" hidden="1">{"fdsup://directions/FAT Viewer?action=UPDATE&amp;creator=factset&amp;DYN_ARGS=TRUE&amp;DOC_NAME=FAT:FQL_AUDITING_CLIENT_TEMPLATE.FAT&amp;display_string=Audit&amp;VAR:KEY=BOZCHOPOZM&amp;VAR:QUERY=RkZfRUJJVERBX0lCKCdMVE1TJywzOTgxMCk=&amp;WINDOW=FIRST_POPUP&amp;HEIGHT=450&amp;WIDTH=450&amp;START_MA","XIMIZED=FALSE&amp;VAR:CALENDAR=US&amp;VAR:SYMBOL=37183T10&amp;VAR:INDEX=0"}</definedName>
    <definedName name="_4076__FDSAUDITLINK__" localSheetId="6" hidden="1">{"fdsup://directions/FAT Viewer?action=UPDATE&amp;creator=factset&amp;DYN_ARGS=TRUE&amp;DOC_NAME=FAT:FQL_AUDITING_CLIENT_TEMPLATE.FAT&amp;display_string=Audit&amp;VAR:KEY=JYNUTONALA&amp;VAR:QUERY=RkZfRUJJVERBX0lCKCdMVE1TJywzOTgwOSk=&amp;WINDOW=FIRST_POPUP&amp;HEIGHT=450&amp;WIDTH=450&amp;START_MA","XIMIZED=FALSE&amp;VAR:CALENDAR=US&amp;VAR:SYMBOL=37183T10&amp;VAR:INDEX=0"}</definedName>
    <definedName name="_4076__FDSAUDITLINK__" hidden="1">{"fdsup://directions/FAT Viewer?action=UPDATE&amp;creator=factset&amp;DYN_ARGS=TRUE&amp;DOC_NAME=FAT:FQL_AUDITING_CLIENT_TEMPLATE.FAT&amp;display_string=Audit&amp;VAR:KEY=JYNUTONALA&amp;VAR:QUERY=RkZfRUJJVERBX0lCKCdMVE1TJywzOTgwOSk=&amp;WINDOW=FIRST_POPUP&amp;HEIGHT=450&amp;WIDTH=450&amp;START_MA","XIMIZED=FALSE&amp;VAR:CALENDAR=US&amp;VAR:SYMBOL=37183T10&amp;VAR:INDEX=0"}</definedName>
    <definedName name="_4077__FDSAUDITLINK__" localSheetId="6" hidden="1">{"fdsup://directions/FAT Viewer?action=UPDATE&amp;creator=factset&amp;DYN_ARGS=TRUE&amp;DOC_NAME=FAT:FQL_AUDITING_CLIENT_TEMPLATE.FAT&amp;display_string=Audit&amp;VAR:KEY=FMTOZATKTO&amp;VAR:QUERY=RkZfRUJJVERBX0lCKCdMVE1TJywzOTgwOCk=&amp;WINDOW=FIRST_POPUP&amp;HEIGHT=450&amp;WIDTH=450&amp;START_MA","XIMIZED=FALSE&amp;VAR:CALENDAR=US&amp;VAR:SYMBOL=37183T10&amp;VAR:INDEX=0"}</definedName>
    <definedName name="_4077__FDSAUDITLINK__" hidden="1">{"fdsup://directions/FAT Viewer?action=UPDATE&amp;creator=factset&amp;DYN_ARGS=TRUE&amp;DOC_NAME=FAT:FQL_AUDITING_CLIENT_TEMPLATE.FAT&amp;display_string=Audit&amp;VAR:KEY=FMTOZATKTO&amp;VAR:QUERY=RkZfRUJJVERBX0lCKCdMVE1TJywzOTgwOCk=&amp;WINDOW=FIRST_POPUP&amp;HEIGHT=450&amp;WIDTH=450&amp;START_MA","XIMIZED=FALSE&amp;VAR:CALENDAR=US&amp;VAR:SYMBOL=37183T10&amp;VAR:INDEX=0"}</definedName>
    <definedName name="_4078__FDSAUDITLINK__" localSheetId="6" hidden="1">{"fdsup://directions/FAT Viewer?action=UPDATE&amp;creator=factset&amp;DYN_ARGS=TRUE&amp;DOC_NAME=FAT:FQL_AUDITING_CLIENT_TEMPLATE.FAT&amp;display_string=Audit&amp;VAR:KEY=NUVWHMHARU&amp;VAR:QUERY=RkZfRUJJVERBX0lCKCdMVE1TJywzOTgwNyk=&amp;WINDOW=FIRST_POPUP&amp;HEIGHT=450&amp;WIDTH=450&amp;START_MA","XIMIZED=FALSE&amp;VAR:CALENDAR=US&amp;VAR:SYMBOL=37183T10&amp;VAR:INDEX=0"}</definedName>
    <definedName name="_4078__FDSAUDITLINK__" hidden="1">{"fdsup://directions/FAT Viewer?action=UPDATE&amp;creator=factset&amp;DYN_ARGS=TRUE&amp;DOC_NAME=FAT:FQL_AUDITING_CLIENT_TEMPLATE.FAT&amp;display_string=Audit&amp;VAR:KEY=NUVWHMHARU&amp;VAR:QUERY=RkZfRUJJVERBX0lCKCdMVE1TJywzOTgwNyk=&amp;WINDOW=FIRST_POPUP&amp;HEIGHT=450&amp;WIDTH=450&amp;START_MA","XIMIZED=FALSE&amp;VAR:CALENDAR=US&amp;VAR:SYMBOL=37183T10&amp;VAR:INDEX=0"}</definedName>
    <definedName name="_4079__FDSAUDITLINK__" localSheetId="6" hidden="1">{"fdsup://directions/FAT Viewer?action=UPDATE&amp;creator=factset&amp;DYN_ARGS=TRUE&amp;DOC_NAME=FAT:FQL_AUDITING_CLIENT_TEMPLATE.FAT&amp;display_string=Audit&amp;VAR:KEY=ZKLQJSBWTA&amp;VAR:QUERY=RkZfRUJJVERBX0lCKCdMVE1TJywzOTgwNik=&amp;WINDOW=FIRST_POPUP&amp;HEIGHT=450&amp;WIDTH=450&amp;START_MA","XIMIZED=FALSE&amp;VAR:CALENDAR=US&amp;VAR:SYMBOL=37183T10&amp;VAR:INDEX=0"}</definedName>
    <definedName name="_4079__FDSAUDITLINK__" hidden="1">{"fdsup://directions/FAT Viewer?action=UPDATE&amp;creator=factset&amp;DYN_ARGS=TRUE&amp;DOC_NAME=FAT:FQL_AUDITING_CLIENT_TEMPLATE.FAT&amp;display_string=Audit&amp;VAR:KEY=ZKLQJSBWTA&amp;VAR:QUERY=RkZfRUJJVERBX0lCKCdMVE1TJywzOTgwNik=&amp;WINDOW=FIRST_POPUP&amp;HEIGHT=450&amp;WIDTH=450&amp;START_MA","XIMIZED=FALSE&amp;VAR:CALENDAR=US&amp;VAR:SYMBOL=37183T10&amp;VAR:INDEX=0"}</definedName>
    <definedName name="_408__FDSAUDITLINK__" localSheetId="6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8__FDSAUDITLINK__" hidden="1">{"fdsup://directions/FAT%20Viewer?VAR:PED=LTM&amp;VAR:AUDIT_MODE=SUMMARY&amp;VAR:PERIOD=FIXED&amp;VAR:AUDIT_ID=00000117&amp;VAR:DATE=20090109&amp;action=UPDATE&amp;creator=factset&amp;DOC_NAME=FAT:FMA_audit_SUMMARY.fat&amp;DISPLAY_STRING=Display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80__FDSAUDITLINK__" localSheetId="6" hidden="1">{"fdsup://directions/FAT Viewer?action=UPDATE&amp;creator=factset&amp;DYN_ARGS=TRUE&amp;DOC_NAME=FAT:FQL_AUDITING_CLIENT_TEMPLATE.FAT&amp;display_string=Audit&amp;VAR:KEY=LIZWDORWTU&amp;VAR:QUERY=RkZfRUJJVERBX0lCKCdMVE1TJywzOTgwNSk=&amp;WINDOW=FIRST_POPUP&amp;HEIGHT=450&amp;WIDTH=450&amp;START_MA","XIMIZED=FALSE&amp;VAR:CALENDAR=US&amp;VAR:SYMBOL=37183T10&amp;VAR:INDEX=0"}</definedName>
    <definedName name="_4080__FDSAUDITLINK__" hidden="1">{"fdsup://directions/FAT Viewer?action=UPDATE&amp;creator=factset&amp;DYN_ARGS=TRUE&amp;DOC_NAME=FAT:FQL_AUDITING_CLIENT_TEMPLATE.FAT&amp;display_string=Audit&amp;VAR:KEY=LIZWDORWTU&amp;VAR:QUERY=RkZfRUJJVERBX0lCKCdMVE1TJywzOTgwNSk=&amp;WINDOW=FIRST_POPUP&amp;HEIGHT=450&amp;WIDTH=450&amp;START_MA","XIMIZED=FALSE&amp;VAR:CALENDAR=US&amp;VAR:SYMBOL=37183T10&amp;VAR:INDEX=0"}</definedName>
    <definedName name="_4081__FDSAUDITLINK__" localSheetId="6" hidden="1">{"fdsup://directions/FAT Viewer?action=UPDATE&amp;creator=factset&amp;DYN_ARGS=TRUE&amp;DOC_NAME=FAT:FQL_AUDITING_CLIENT_TEMPLATE.FAT&amp;display_string=Audit&amp;VAR:KEY=XOXIPCLWTQ&amp;VAR:QUERY=RkZfRUJJVERBX0lCKCdMVE1TJywzOTgwNCk=&amp;WINDOW=FIRST_POPUP&amp;HEIGHT=450&amp;WIDTH=450&amp;START_MA","XIMIZED=FALSE&amp;VAR:CALENDAR=US&amp;VAR:SYMBOL=37183T10&amp;VAR:INDEX=0"}</definedName>
    <definedName name="_4081__FDSAUDITLINK__" hidden="1">{"fdsup://directions/FAT Viewer?action=UPDATE&amp;creator=factset&amp;DYN_ARGS=TRUE&amp;DOC_NAME=FAT:FQL_AUDITING_CLIENT_TEMPLATE.FAT&amp;display_string=Audit&amp;VAR:KEY=XOXIPCLWTQ&amp;VAR:QUERY=RkZfRUJJVERBX0lCKCdMVE1TJywzOTgwNCk=&amp;WINDOW=FIRST_POPUP&amp;HEIGHT=450&amp;WIDTH=450&amp;START_MA","XIMIZED=FALSE&amp;VAR:CALENDAR=US&amp;VAR:SYMBOL=37183T10&amp;VAR:INDEX=0"}</definedName>
    <definedName name="_4082__FDSAUDITLINK__" localSheetId="6" hidden="1">{"fdsup://directions/FAT Viewer?action=UPDATE&amp;creator=factset&amp;DYN_ARGS=TRUE&amp;DOC_NAME=FAT:FQL_AUDITING_CLIENT_TEMPLATE.FAT&amp;display_string=Audit&amp;VAR:KEY=PMLUNILANC&amp;VAR:QUERY=RkZfRUJJVERBX0lCKCdMVE1TJywzOTgwMyk=&amp;WINDOW=FIRST_POPUP&amp;HEIGHT=450&amp;WIDTH=450&amp;START_MA","XIMIZED=FALSE&amp;VAR:CALENDAR=US&amp;VAR:SYMBOL=37183T10&amp;VAR:INDEX=0"}</definedName>
    <definedName name="_4082__FDSAUDITLINK__" hidden="1">{"fdsup://directions/FAT Viewer?action=UPDATE&amp;creator=factset&amp;DYN_ARGS=TRUE&amp;DOC_NAME=FAT:FQL_AUDITING_CLIENT_TEMPLATE.FAT&amp;display_string=Audit&amp;VAR:KEY=PMLUNILANC&amp;VAR:QUERY=RkZfRUJJVERBX0lCKCdMVE1TJywzOTgwMyk=&amp;WINDOW=FIRST_POPUP&amp;HEIGHT=450&amp;WIDTH=450&amp;START_MA","XIMIZED=FALSE&amp;VAR:CALENDAR=US&amp;VAR:SYMBOL=37183T10&amp;VAR:INDEX=0"}</definedName>
    <definedName name="_4083__FDSAUDITLINK__" localSheetId="6" hidden="1">{"fdsup://directions/FAT Viewer?action=UPDATE&amp;creator=factset&amp;DYN_ARGS=TRUE&amp;DOC_NAME=FAT:FQL_AUDITING_CLIENT_TEMPLATE.FAT&amp;display_string=Audit&amp;VAR:KEY=BKDMFYFYXW&amp;VAR:QUERY=RkZfRUJJVERBX0lCKCdMVE1TJywzOTgwMik=&amp;WINDOW=FIRST_POPUP&amp;HEIGHT=450&amp;WIDTH=450&amp;START_MA","XIMIZED=FALSE&amp;VAR:CALENDAR=US&amp;VAR:SYMBOL=37183T10&amp;VAR:INDEX=0"}</definedName>
    <definedName name="_4083__FDSAUDITLINK__" hidden="1">{"fdsup://directions/FAT Viewer?action=UPDATE&amp;creator=factset&amp;DYN_ARGS=TRUE&amp;DOC_NAME=FAT:FQL_AUDITING_CLIENT_TEMPLATE.FAT&amp;display_string=Audit&amp;VAR:KEY=BKDMFYFYXW&amp;VAR:QUERY=RkZfRUJJVERBX0lCKCdMVE1TJywzOTgwMik=&amp;WINDOW=FIRST_POPUP&amp;HEIGHT=450&amp;WIDTH=450&amp;START_MA","XIMIZED=FALSE&amp;VAR:CALENDAR=US&amp;VAR:SYMBOL=37183T10&amp;VAR:INDEX=0"}</definedName>
    <definedName name="_4084__FDSAUDITLINK__" localSheetId="6" hidden="1">{"fdsup://directions/FAT Viewer?action=UPDATE&amp;creator=factset&amp;DYN_ARGS=TRUE&amp;DOC_NAME=FAT:FQL_AUDITING_CLIENT_TEMPLATE.FAT&amp;display_string=Audit&amp;VAR:KEY=HWBIXGLWXG&amp;VAR:QUERY=RkZfRUJJVERBX0lCKCdMVE1TJywzOTgwMSk=&amp;WINDOW=FIRST_POPUP&amp;HEIGHT=450&amp;WIDTH=450&amp;START_MA","XIMIZED=FALSE&amp;VAR:CALENDAR=US&amp;VAR:SYMBOL=37183T10&amp;VAR:INDEX=0"}</definedName>
    <definedName name="_4084__FDSAUDITLINK__" hidden="1">{"fdsup://directions/FAT Viewer?action=UPDATE&amp;creator=factset&amp;DYN_ARGS=TRUE&amp;DOC_NAME=FAT:FQL_AUDITING_CLIENT_TEMPLATE.FAT&amp;display_string=Audit&amp;VAR:KEY=HWBIXGLWXG&amp;VAR:QUERY=RkZfRUJJVERBX0lCKCdMVE1TJywzOTgwMSk=&amp;WINDOW=FIRST_POPUP&amp;HEIGHT=450&amp;WIDTH=450&amp;START_MA","XIMIZED=FALSE&amp;VAR:CALENDAR=US&amp;VAR:SYMBOL=37183T10&amp;VAR:INDEX=0"}</definedName>
    <definedName name="_4085__FDSAUDITLINK__" localSheetId="6" hidden="1">{"fdsup://directions/FAT Viewer?action=UPDATE&amp;creator=factset&amp;DYN_ARGS=TRUE&amp;DOC_NAME=FAT:FQL_AUDITING_CLIENT_TEMPLATE.FAT&amp;display_string=Audit&amp;VAR:KEY=LEBURAXSJS&amp;VAR:QUERY=RkZfRUJJVERBX0lCKCdMVE1TJywzOTgwMCk=&amp;WINDOW=FIRST_POPUP&amp;HEIGHT=450&amp;WIDTH=450&amp;START_MA","XIMIZED=FALSE&amp;VAR:CALENDAR=US&amp;VAR:SYMBOL=37183T10&amp;VAR:INDEX=0"}</definedName>
    <definedName name="_4085__FDSAUDITLINK__" hidden="1">{"fdsup://directions/FAT Viewer?action=UPDATE&amp;creator=factset&amp;DYN_ARGS=TRUE&amp;DOC_NAME=FAT:FQL_AUDITING_CLIENT_TEMPLATE.FAT&amp;display_string=Audit&amp;VAR:KEY=LEBURAXSJS&amp;VAR:QUERY=RkZfRUJJVERBX0lCKCdMVE1TJywzOTgwMCk=&amp;WINDOW=FIRST_POPUP&amp;HEIGHT=450&amp;WIDTH=450&amp;START_MA","XIMIZED=FALSE&amp;VAR:CALENDAR=US&amp;VAR:SYMBOL=37183T10&amp;VAR:INDEX=0"}</definedName>
    <definedName name="_4086__FDSAUDITLINK__" localSheetId="6" hidden="1">{"fdsup://directions/FAT Viewer?action=UPDATE&amp;creator=factset&amp;DYN_ARGS=TRUE&amp;DOC_NAME=FAT:FQL_AUDITING_CLIENT_TEMPLATE.FAT&amp;display_string=Audit&amp;VAR:KEY=DWZKHGPOXC&amp;VAR:QUERY=RkZfRUJJVERBX0lCKCdMVE1TJywzOTc5OSk=&amp;WINDOW=FIRST_POPUP&amp;HEIGHT=450&amp;WIDTH=450&amp;START_MA","XIMIZED=FALSE&amp;VAR:CALENDAR=US&amp;VAR:SYMBOL=37183T10&amp;VAR:INDEX=0"}</definedName>
    <definedName name="_4086__FDSAUDITLINK__" hidden="1">{"fdsup://directions/FAT Viewer?action=UPDATE&amp;creator=factset&amp;DYN_ARGS=TRUE&amp;DOC_NAME=FAT:FQL_AUDITING_CLIENT_TEMPLATE.FAT&amp;display_string=Audit&amp;VAR:KEY=DWZKHGPOXC&amp;VAR:QUERY=RkZfRUJJVERBX0lCKCdMVE1TJywzOTc5OSk=&amp;WINDOW=FIRST_POPUP&amp;HEIGHT=450&amp;WIDTH=450&amp;START_MA","XIMIZED=FALSE&amp;VAR:CALENDAR=US&amp;VAR:SYMBOL=37183T10&amp;VAR:INDEX=0"}</definedName>
    <definedName name="_4087__FDSAUDITLINK__" localSheetId="6" hidden="1">{"fdsup://directions/FAT Viewer?action=UPDATE&amp;creator=factset&amp;DYN_ARGS=TRUE&amp;DOC_NAME=FAT:FQL_AUDITING_CLIENT_TEMPLATE.FAT&amp;display_string=Audit&amp;VAR:KEY=VIHSBGNGTK&amp;VAR:QUERY=RkZfRUJJVERBX0lCKCdMVE1TJywzOTc5OCk=&amp;WINDOW=FIRST_POPUP&amp;HEIGHT=450&amp;WIDTH=450&amp;START_MA","XIMIZED=FALSE&amp;VAR:CALENDAR=US&amp;VAR:SYMBOL=37183T10&amp;VAR:INDEX=0"}</definedName>
    <definedName name="_4087__FDSAUDITLINK__" hidden="1">{"fdsup://directions/FAT Viewer?action=UPDATE&amp;creator=factset&amp;DYN_ARGS=TRUE&amp;DOC_NAME=FAT:FQL_AUDITING_CLIENT_TEMPLATE.FAT&amp;display_string=Audit&amp;VAR:KEY=VIHSBGNGTK&amp;VAR:QUERY=RkZfRUJJVERBX0lCKCdMVE1TJywzOTc5OCk=&amp;WINDOW=FIRST_POPUP&amp;HEIGHT=450&amp;WIDTH=450&amp;START_MA","XIMIZED=FALSE&amp;VAR:CALENDAR=US&amp;VAR:SYMBOL=37183T10&amp;VAR:INDEX=0"}</definedName>
    <definedName name="_4088__FDSAUDITLINK__" localSheetId="6" hidden="1">{"fdsup://directions/FAT Viewer?action=UPDATE&amp;creator=factset&amp;DYN_ARGS=TRUE&amp;DOC_NAME=FAT:FQL_AUDITING_CLIENT_TEMPLATE.FAT&amp;display_string=Audit&amp;VAR:KEY=ZOZYHYDITY&amp;VAR:QUERY=RkZfRUJJVERBX0lCKCdMVE1TJywzOTc5Nyk=&amp;WINDOW=FIRST_POPUP&amp;HEIGHT=450&amp;WIDTH=450&amp;START_MA","XIMIZED=FALSE&amp;VAR:CALENDAR=US&amp;VAR:SYMBOL=37183T10&amp;VAR:INDEX=0"}</definedName>
    <definedName name="_4088__FDSAUDITLINK__" hidden="1">{"fdsup://directions/FAT Viewer?action=UPDATE&amp;creator=factset&amp;DYN_ARGS=TRUE&amp;DOC_NAME=FAT:FQL_AUDITING_CLIENT_TEMPLATE.FAT&amp;display_string=Audit&amp;VAR:KEY=ZOZYHYDITY&amp;VAR:QUERY=RkZfRUJJVERBX0lCKCdMVE1TJywzOTc5Nyk=&amp;WINDOW=FIRST_POPUP&amp;HEIGHT=450&amp;WIDTH=450&amp;START_MA","XIMIZED=FALSE&amp;VAR:CALENDAR=US&amp;VAR:SYMBOL=37183T10&amp;VAR:INDEX=0"}</definedName>
    <definedName name="_4089__FDSAUDITLINK__" localSheetId="6" hidden="1">{"fdsup://directions/FAT Viewer?action=UPDATE&amp;creator=factset&amp;DYN_ARGS=TRUE&amp;DOC_NAME=FAT:FQL_AUDITING_CLIENT_TEMPLATE.FAT&amp;display_string=Audit&amp;VAR:KEY=XOFGFCJIJI&amp;VAR:QUERY=RkZfRUJJVERBX0lCKCdMVE1TJywzOTc5Nik=&amp;WINDOW=FIRST_POPUP&amp;HEIGHT=450&amp;WIDTH=450&amp;START_MA","XIMIZED=FALSE&amp;VAR:CALENDAR=US&amp;VAR:SYMBOL=37183T10&amp;VAR:INDEX=0"}</definedName>
    <definedName name="_4089__FDSAUDITLINK__" hidden="1">{"fdsup://directions/FAT Viewer?action=UPDATE&amp;creator=factset&amp;DYN_ARGS=TRUE&amp;DOC_NAME=FAT:FQL_AUDITING_CLIENT_TEMPLATE.FAT&amp;display_string=Audit&amp;VAR:KEY=XOFGFCJIJI&amp;VAR:QUERY=RkZfRUJJVERBX0lCKCdMVE1TJywzOTc5Nik=&amp;WINDOW=FIRST_POPUP&amp;HEIGHT=450&amp;WIDTH=450&amp;START_MA","XIMIZED=FALSE&amp;VAR:CALENDAR=US&amp;VAR:SYMBOL=37183T10&amp;VAR:INDEX=0"}</definedName>
    <definedName name="_409__FDSAUDITLINK__" localSheetId="6" hidden="1">{"fdsup://directions/FAT%20Viewer?VAR:PED=LTM&amp;VAR:AUDIT_MODE=SUMMARY&amp;VAR:PERIOD=FIXED&amp;VAR:AUDIT_ID=00000117&amp;VAR:DATE=20090108&amp;action=UPDATE&amp;creator=factset&amp;DOC_NAME=FAT:FMA_audit_SUMMARY.fat&amp;DISPLAY_STRING=Display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9__FDSAUDITLINK__" hidden="1">{"fdsup://directions/FAT%20Viewer?VAR:PED=LTM&amp;VAR:AUDIT_MODE=SUMMARY&amp;VAR:PERIOD=FIXED&amp;VAR:AUDIT_ID=00000117&amp;VAR:DATE=20090108&amp;action=UPDATE&amp;creator=factset&amp;DOC_NAME=FAT:FMA_audit_SUMMARY.fat&amp;DISPLAY_STRING=Display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090__FDSAUDITLINK__" localSheetId="6" hidden="1">{"fdsup://directions/FAT Viewer?action=UPDATE&amp;creator=factset&amp;DYN_ARGS=TRUE&amp;DOC_NAME=FAT:FQL_AUDITING_CLIENT_TEMPLATE.FAT&amp;display_string=Audit&amp;VAR:KEY=NUBANEJORW&amp;VAR:QUERY=RkZfRUJJVERBX0lCKCdMVE1TJywzOTc5NSk=&amp;WINDOW=FIRST_POPUP&amp;HEIGHT=450&amp;WIDTH=450&amp;START_MA","XIMIZED=FALSE&amp;VAR:CALENDAR=US&amp;VAR:SYMBOL=37183T10&amp;VAR:INDEX=0"}</definedName>
    <definedName name="_4090__FDSAUDITLINK__" hidden="1">{"fdsup://directions/FAT Viewer?action=UPDATE&amp;creator=factset&amp;DYN_ARGS=TRUE&amp;DOC_NAME=FAT:FQL_AUDITING_CLIENT_TEMPLATE.FAT&amp;display_string=Audit&amp;VAR:KEY=NUBANEJORW&amp;VAR:QUERY=RkZfRUJJVERBX0lCKCdMVE1TJywzOTc5NSk=&amp;WINDOW=FIRST_POPUP&amp;HEIGHT=450&amp;WIDTH=450&amp;START_MA","XIMIZED=FALSE&amp;VAR:CALENDAR=US&amp;VAR:SYMBOL=37183T10&amp;VAR:INDEX=0"}</definedName>
    <definedName name="_4091__FDSAUDITLINK__" localSheetId="6" hidden="1">{"fdsup://directions/FAT Viewer?action=UPDATE&amp;creator=factset&amp;DYN_ARGS=TRUE&amp;DOC_NAME=FAT:FQL_AUDITING_CLIENT_TEMPLATE.FAT&amp;display_string=Audit&amp;VAR:KEY=VQTSJCZOXS&amp;VAR:QUERY=RkZfRUJJVERBX0lCKCdMVE1TJywzOTc5NCk=&amp;WINDOW=FIRST_POPUP&amp;HEIGHT=450&amp;WIDTH=450&amp;START_MA","XIMIZED=FALSE&amp;VAR:CALENDAR=US&amp;VAR:SYMBOL=37183T10&amp;VAR:INDEX=0"}</definedName>
    <definedName name="_4091__FDSAUDITLINK__" hidden="1">{"fdsup://directions/FAT Viewer?action=UPDATE&amp;creator=factset&amp;DYN_ARGS=TRUE&amp;DOC_NAME=FAT:FQL_AUDITING_CLIENT_TEMPLATE.FAT&amp;display_string=Audit&amp;VAR:KEY=VQTSJCZOXS&amp;VAR:QUERY=RkZfRUJJVERBX0lCKCdMVE1TJywzOTc5NCk=&amp;WINDOW=FIRST_POPUP&amp;HEIGHT=450&amp;WIDTH=450&amp;START_MA","XIMIZED=FALSE&amp;VAR:CALENDAR=US&amp;VAR:SYMBOL=37183T10&amp;VAR:INDEX=0"}</definedName>
    <definedName name="_4092__FDSAUDITLINK__" localSheetId="6" hidden="1">{"fdsup://directions/FAT Viewer?action=UPDATE&amp;creator=factset&amp;DYN_ARGS=TRUE&amp;DOC_NAME=FAT:FQL_AUDITING_CLIENT_TEMPLATE.FAT&amp;display_string=Audit&amp;VAR:KEY=JAPOJEDMVA&amp;VAR:QUERY=RkZfRUJJVERBX0lCKCdMVE1TJywzOTc5Myk=&amp;WINDOW=FIRST_POPUP&amp;HEIGHT=450&amp;WIDTH=450&amp;START_MA","XIMIZED=FALSE&amp;VAR:CALENDAR=US&amp;VAR:SYMBOL=37183T10&amp;VAR:INDEX=0"}</definedName>
    <definedName name="_4092__FDSAUDITLINK__" hidden="1">{"fdsup://directions/FAT Viewer?action=UPDATE&amp;creator=factset&amp;DYN_ARGS=TRUE&amp;DOC_NAME=FAT:FQL_AUDITING_CLIENT_TEMPLATE.FAT&amp;display_string=Audit&amp;VAR:KEY=JAPOJEDMVA&amp;VAR:QUERY=RkZfRUJJVERBX0lCKCdMVE1TJywzOTc5Myk=&amp;WINDOW=FIRST_POPUP&amp;HEIGHT=450&amp;WIDTH=450&amp;START_MA","XIMIZED=FALSE&amp;VAR:CALENDAR=US&amp;VAR:SYMBOL=37183T10&amp;VAR:INDEX=0"}</definedName>
    <definedName name="_4093__FDSAUDITLINK__" localSheetId="6" hidden="1">{"fdsup://directions/FAT Viewer?action=UPDATE&amp;creator=factset&amp;DYN_ARGS=TRUE&amp;DOC_NAME=FAT:FQL_AUDITING_CLIENT_TEMPLATE.FAT&amp;display_string=Audit&amp;VAR:KEY=HCXQXQPGFC&amp;VAR:QUERY=RkZfRUJJVERBX0lCKCdMVE1TJywzOTc5Mik=&amp;WINDOW=FIRST_POPUP&amp;HEIGHT=450&amp;WIDTH=450&amp;START_MA","XIMIZED=FALSE&amp;VAR:CALENDAR=US&amp;VAR:SYMBOL=37183T10&amp;VAR:INDEX=0"}</definedName>
    <definedName name="_4093__FDSAUDITLINK__" hidden="1">{"fdsup://directions/FAT Viewer?action=UPDATE&amp;creator=factset&amp;DYN_ARGS=TRUE&amp;DOC_NAME=FAT:FQL_AUDITING_CLIENT_TEMPLATE.FAT&amp;display_string=Audit&amp;VAR:KEY=HCXQXQPGFC&amp;VAR:QUERY=RkZfRUJJVERBX0lCKCdMVE1TJywzOTc5Mik=&amp;WINDOW=FIRST_POPUP&amp;HEIGHT=450&amp;WIDTH=450&amp;START_MA","XIMIZED=FALSE&amp;VAR:CALENDAR=US&amp;VAR:SYMBOL=37183T10&amp;VAR:INDEX=0"}</definedName>
    <definedName name="_4094__FDSAUDITLINK__" localSheetId="6" hidden="1">{"fdsup://directions/FAT Viewer?action=UPDATE&amp;creator=factset&amp;DYN_ARGS=TRUE&amp;DOC_NAME=FAT:FQL_AUDITING_CLIENT_TEMPLATE.FAT&amp;display_string=Audit&amp;VAR:KEY=TEJAHIHOVE&amp;VAR:QUERY=RkZfRUJJVERBX0lCKCdMVE1TJywzOTc5MSk=&amp;WINDOW=FIRST_POPUP&amp;HEIGHT=450&amp;WIDTH=450&amp;START_MA","XIMIZED=FALSE&amp;VAR:CALENDAR=US&amp;VAR:SYMBOL=37183T10&amp;VAR:INDEX=0"}</definedName>
    <definedName name="_4094__FDSAUDITLINK__" hidden="1">{"fdsup://directions/FAT Viewer?action=UPDATE&amp;creator=factset&amp;DYN_ARGS=TRUE&amp;DOC_NAME=FAT:FQL_AUDITING_CLIENT_TEMPLATE.FAT&amp;display_string=Audit&amp;VAR:KEY=TEJAHIHOVE&amp;VAR:QUERY=RkZfRUJJVERBX0lCKCdMVE1TJywzOTc5MSk=&amp;WINDOW=FIRST_POPUP&amp;HEIGHT=450&amp;WIDTH=450&amp;START_MA","XIMIZED=FALSE&amp;VAR:CALENDAR=US&amp;VAR:SYMBOL=37183T10&amp;VAR:INDEX=0"}</definedName>
    <definedName name="_4095__FDSAUDITLINK__" localSheetId="6" hidden="1">{"fdsup://directions/FAT Viewer?action=UPDATE&amp;creator=factset&amp;DYN_ARGS=TRUE&amp;DOC_NAME=FAT:FQL_AUDITING_CLIENT_TEMPLATE.FAT&amp;display_string=Audit&amp;VAR:KEY=PKDEXWLWLS&amp;VAR:QUERY=RkZfRUJJVERBX0lCKCdMVE1TJywzOTc5MCk=&amp;WINDOW=FIRST_POPUP&amp;HEIGHT=450&amp;WIDTH=450&amp;START_MA","XIMIZED=FALSE&amp;VAR:CALENDAR=US&amp;VAR:SYMBOL=37183T10&amp;VAR:INDEX=0"}</definedName>
    <definedName name="_4095__FDSAUDITLINK__" hidden="1">{"fdsup://directions/FAT Viewer?action=UPDATE&amp;creator=factset&amp;DYN_ARGS=TRUE&amp;DOC_NAME=FAT:FQL_AUDITING_CLIENT_TEMPLATE.FAT&amp;display_string=Audit&amp;VAR:KEY=PKDEXWLWLS&amp;VAR:QUERY=RkZfRUJJVERBX0lCKCdMVE1TJywzOTc5MCk=&amp;WINDOW=FIRST_POPUP&amp;HEIGHT=450&amp;WIDTH=450&amp;START_MA","XIMIZED=FALSE&amp;VAR:CALENDAR=US&amp;VAR:SYMBOL=37183T10&amp;VAR:INDEX=0"}</definedName>
    <definedName name="_4096__FDSAUDITLINK__" localSheetId="6" hidden="1">{"fdsup://directions/FAT Viewer?action=UPDATE&amp;creator=factset&amp;DYN_ARGS=TRUE&amp;DOC_NAME=FAT:FQL_AUDITING_CLIENT_TEMPLATE.FAT&amp;display_string=Audit&amp;VAR:KEY=ZSFEJCBYZE&amp;VAR:QUERY=RkZfRUJJVERBX0lCKCdMVE1TJywzOTc4OSk=&amp;WINDOW=FIRST_POPUP&amp;HEIGHT=450&amp;WIDTH=450&amp;START_MA","XIMIZED=FALSE&amp;VAR:CALENDAR=US&amp;VAR:SYMBOL=37183T10&amp;VAR:INDEX=0"}</definedName>
    <definedName name="_4096__FDSAUDITLINK__" hidden="1">{"fdsup://directions/FAT Viewer?action=UPDATE&amp;creator=factset&amp;DYN_ARGS=TRUE&amp;DOC_NAME=FAT:FQL_AUDITING_CLIENT_TEMPLATE.FAT&amp;display_string=Audit&amp;VAR:KEY=ZSFEJCBYZE&amp;VAR:QUERY=RkZfRUJJVERBX0lCKCdMVE1TJywzOTc4OSk=&amp;WINDOW=FIRST_POPUP&amp;HEIGHT=450&amp;WIDTH=450&amp;START_MA","XIMIZED=FALSE&amp;VAR:CALENDAR=US&amp;VAR:SYMBOL=37183T10&amp;VAR:INDEX=0"}</definedName>
    <definedName name="_4097__FDSAUDITLINK__" localSheetId="6" hidden="1">{"fdsup://directions/FAT Viewer?action=UPDATE&amp;creator=factset&amp;DYN_ARGS=TRUE&amp;DOC_NAME=FAT:FQL_AUDITING_CLIENT_TEMPLATE.FAT&amp;display_string=Audit&amp;VAR:KEY=RGTOVWTWPI&amp;VAR:QUERY=RkZfRUJJVERBX0lCKCdMVE1TJywzOTc4OCk=&amp;WINDOW=FIRST_POPUP&amp;HEIGHT=450&amp;WIDTH=450&amp;START_MA","XIMIZED=FALSE&amp;VAR:CALENDAR=US&amp;VAR:SYMBOL=37183T10&amp;VAR:INDEX=0"}</definedName>
    <definedName name="_4097__FDSAUDITLINK__" hidden="1">{"fdsup://directions/FAT Viewer?action=UPDATE&amp;creator=factset&amp;DYN_ARGS=TRUE&amp;DOC_NAME=FAT:FQL_AUDITING_CLIENT_TEMPLATE.FAT&amp;display_string=Audit&amp;VAR:KEY=RGTOVWTWPI&amp;VAR:QUERY=RkZfRUJJVERBX0lCKCdMVE1TJywzOTc4OCk=&amp;WINDOW=FIRST_POPUP&amp;HEIGHT=450&amp;WIDTH=450&amp;START_MA","XIMIZED=FALSE&amp;VAR:CALENDAR=US&amp;VAR:SYMBOL=37183T10&amp;VAR:INDEX=0"}</definedName>
    <definedName name="_4098__FDSAUDITLINK__" localSheetId="6" hidden="1">{"fdsup://directions/FAT Viewer?action=UPDATE&amp;creator=factset&amp;DYN_ARGS=TRUE&amp;DOC_NAME=FAT:FQL_AUDITING_CLIENT_TEMPLATE.FAT&amp;display_string=Audit&amp;VAR:KEY=ZGBYNEFIBY&amp;VAR:QUERY=RkZfRUJJVERBX0lCKCdMVE1TJywzOTc4Nyk=&amp;WINDOW=FIRST_POPUP&amp;HEIGHT=450&amp;WIDTH=450&amp;START_MA","XIMIZED=FALSE&amp;VAR:CALENDAR=US&amp;VAR:SYMBOL=37183T10&amp;VAR:INDEX=0"}</definedName>
    <definedName name="_4098__FDSAUDITLINK__" hidden="1">{"fdsup://directions/FAT Viewer?action=UPDATE&amp;creator=factset&amp;DYN_ARGS=TRUE&amp;DOC_NAME=FAT:FQL_AUDITING_CLIENT_TEMPLATE.FAT&amp;display_string=Audit&amp;VAR:KEY=ZGBYNEFIBY&amp;VAR:QUERY=RkZfRUJJVERBX0lCKCdMVE1TJywzOTc4Nyk=&amp;WINDOW=FIRST_POPUP&amp;HEIGHT=450&amp;WIDTH=450&amp;START_MA","XIMIZED=FALSE&amp;VAR:CALENDAR=US&amp;VAR:SYMBOL=37183T10&amp;VAR:INDEX=0"}</definedName>
    <definedName name="_4099__FDSAUDITLINK__" localSheetId="6" hidden="1">{"fdsup://directions/FAT Viewer?action=UPDATE&amp;creator=factset&amp;DYN_ARGS=TRUE&amp;DOC_NAME=FAT:FQL_AUDITING_CLIENT_TEMPLATE.FAT&amp;display_string=Audit&amp;VAR:KEY=DWDAVSBETO&amp;VAR:QUERY=RkZfRUJJVERBX0lCKCdMVE1TJywzOTc4Nik=&amp;WINDOW=FIRST_POPUP&amp;HEIGHT=450&amp;WIDTH=450&amp;START_MA","XIMIZED=FALSE&amp;VAR:CALENDAR=US&amp;VAR:SYMBOL=37183T10&amp;VAR:INDEX=0"}</definedName>
    <definedName name="_4099__FDSAUDITLINK__" hidden="1">{"fdsup://directions/FAT Viewer?action=UPDATE&amp;creator=factset&amp;DYN_ARGS=TRUE&amp;DOC_NAME=FAT:FQL_AUDITING_CLIENT_TEMPLATE.FAT&amp;display_string=Audit&amp;VAR:KEY=DWDAVSBETO&amp;VAR:QUERY=RkZfRUJJVERBX0lCKCdMVE1TJywzOTc4Nik=&amp;WINDOW=FIRST_POPUP&amp;HEIGHT=450&amp;WIDTH=450&amp;START_MA","XIMIZED=FALSE&amp;VAR:CALENDAR=US&amp;VAR:SYMBOL=37183T10&amp;VAR:INDEX=0"}</definedName>
    <definedName name="_41__FDSAUDITLINK__" localSheetId="6" hidden="1">{"fdsup://directions/FAT Viewer?action=UPDATE&amp;creator=factset&amp;DYN_ARGS=TRUE&amp;DOC_NAME=FAT:FQL_AUDITING_CLIENT_TEMPLATE.FAT&amp;display_string=Audit&amp;VAR:KEY=EDIPELYZYX&amp;VAR:QUERY=QVZHKENTRl9ORVRfSU5DKEFOTiwwRlksLTZGWSxZKSkgLyAoQVZHKENTRl9BU1NFVFMoQU5OLDBGWSwtNkZZL","EZZKSkgLSBBVkcoQ1NGX0lOVEFORyhBTk4sMCwtNkZZLEZZKSkp&amp;WINDOW=FIRST_POPUP&amp;HEIGHT=450&amp;WIDTH=450&amp;START_MAXIMIZED=FALSE&amp;VAR:CALENDAR=US&amp;VAR:SYMBOL=35702310"}</definedName>
    <definedName name="_41__FDSAUDITLINK__" hidden="1">{"fdsup://directions/FAT Viewer?action=UPDATE&amp;creator=factset&amp;DYN_ARGS=TRUE&amp;DOC_NAME=FAT:FQL_AUDITING_CLIENT_TEMPLATE.FAT&amp;display_string=Audit&amp;VAR:KEY=EDIPELYZYX&amp;VAR:QUERY=QVZHKENTRl9ORVRfSU5DKEFOTiwwRlksLTZGWSxZKSkgLyAoQVZHKENTRl9BU1NFVFMoQU5OLDBGWSwtNkZZL","EZZKSkgLSBBVkcoQ1NGX0lOVEFORyhBTk4sMCwtNkZZLEZZKSkp&amp;WINDOW=FIRST_POPUP&amp;HEIGHT=450&amp;WIDTH=450&amp;START_MAXIMIZED=FALSE&amp;VAR:CALENDAR=US&amp;VAR:SYMBOL=35702310"}</definedName>
    <definedName name="_410__FDSAUDITLINK__" localSheetId="6" hidden="1">{"fdsup://directions/FAT%20Viewer?VAR:PED=LTM&amp;VAR:AUDIT_MODE=SUMMARY&amp;VAR:PERIOD=FIXED&amp;VAR:AUDIT_ID=00000117&amp;VAR:DATE=20090107&amp;action=UPDATE&amp;creator=factset&amp;DOC_NAME=FAT:FMA_audit_SUMMARY.fat&amp;DISPLAY_STRING=Display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0__FDSAUDITLINK__" hidden="1">{"fdsup://directions/FAT%20Viewer?VAR:PED=LTM&amp;VAR:AUDIT_MODE=SUMMARY&amp;VAR:PERIOD=FIXED&amp;VAR:AUDIT_ID=00000117&amp;VAR:DATE=20090107&amp;action=UPDATE&amp;creator=factset&amp;DOC_NAME=FAT:FMA_audit_SUMMARY.fat&amp;DISPLAY_STRING=Display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00__FDSAUDITLINK__" localSheetId="6" hidden="1">{"fdsup://directions/FAT Viewer?action=UPDATE&amp;creator=factset&amp;DYN_ARGS=TRUE&amp;DOC_NAME=FAT:FQL_AUDITING_CLIENT_TEMPLATE.FAT&amp;display_string=Audit&amp;VAR:KEY=HKFOXUVMZG&amp;VAR:QUERY=RkZfRUJJVERBX0lCKCdMVE1TJywzOTc4NSk=&amp;WINDOW=FIRST_POPUP&amp;HEIGHT=450&amp;WIDTH=450&amp;START_MA","XIMIZED=FALSE&amp;VAR:CALENDAR=US&amp;VAR:SYMBOL=37183T10&amp;VAR:INDEX=0"}</definedName>
    <definedName name="_4100__FDSAUDITLINK__" hidden="1">{"fdsup://directions/FAT Viewer?action=UPDATE&amp;creator=factset&amp;DYN_ARGS=TRUE&amp;DOC_NAME=FAT:FQL_AUDITING_CLIENT_TEMPLATE.FAT&amp;display_string=Audit&amp;VAR:KEY=HKFOXUVMZG&amp;VAR:QUERY=RkZfRUJJVERBX0lCKCdMVE1TJywzOTc4NSk=&amp;WINDOW=FIRST_POPUP&amp;HEIGHT=450&amp;WIDTH=450&amp;START_MA","XIMIZED=FALSE&amp;VAR:CALENDAR=US&amp;VAR:SYMBOL=37183T10&amp;VAR:INDEX=0"}</definedName>
    <definedName name="_4101__FDSAUDITLINK__" localSheetId="6" hidden="1">{"fdsup://directions/FAT Viewer?action=UPDATE&amp;creator=factset&amp;DYN_ARGS=TRUE&amp;DOC_NAME=FAT:FQL_AUDITING_CLIENT_TEMPLATE.FAT&amp;display_string=Audit&amp;VAR:KEY=XGFQXCVETQ&amp;VAR:QUERY=RkZfRUJJVERBX0lCKCdMVE1TJywzOTc4NCk=&amp;WINDOW=FIRST_POPUP&amp;HEIGHT=450&amp;WIDTH=450&amp;START_MA","XIMIZED=FALSE&amp;VAR:CALENDAR=US&amp;VAR:SYMBOL=37183T10&amp;VAR:INDEX=0"}</definedName>
    <definedName name="_4101__FDSAUDITLINK__" hidden="1">{"fdsup://directions/FAT Viewer?action=UPDATE&amp;creator=factset&amp;DYN_ARGS=TRUE&amp;DOC_NAME=FAT:FQL_AUDITING_CLIENT_TEMPLATE.FAT&amp;display_string=Audit&amp;VAR:KEY=XGFQXCVETQ&amp;VAR:QUERY=RkZfRUJJVERBX0lCKCdMVE1TJywzOTc4NCk=&amp;WINDOW=FIRST_POPUP&amp;HEIGHT=450&amp;WIDTH=450&amp;START_MA","XIMIZED=FALSE&amp;VAR:CALENDAR=US&amp;VAR:SYMBOL=37183T10&amp;VAR:INDEX=0"}</definedName>
    <definedName name="_4102__FDSAUDITLINK__" localSheetId="6" hidden="1">{"fdsup://directions/FAT Viewer?action=UPDATE&amp;creator=factset&amp;DYN_ARGS=TRUE&amp;DOC_NAME=FAT:FQL_AUDITING_CLIENT_TEMPLATE.FAT&amp;display_string=Audit&amp;VAR:KEY=PCTWJIJKLG&amp;VAR:QUERY=RkZfRUJJVERBX0lCKCdMVE1TJywzOTc4Myk=&amp;WINDOW=FIRST_POPUP&amp;HEIGHT=450&amp;WIDTH=450&amp;START_MA","XIMIZED=FALSE&amp;VAR:CALENDAR=US&amp;VAR:SYMBOL=37183T10&amp;VAR:INDEX=0"}</definedName>
    <definedName name="_4102__FDSAUDITLINK__" hidden="1">{"fdsup://directions/FAT Viewer?action=UPDATE&amp;creator=factset&amp;DYN_ARGS=TRUE&amp;DOC_NAME=FAT:FQL_AUDITING_CLIENT_TEMPLATE.FAT&amp;display_string=Audit&amp;VAR:KEY=PCTWJIJKLG&amp;VAR:QUERY=RkZfRUJJVERBX0lCKCdMVE1TJywzOTc4Myk=&amp;WINDOW=FIRST_POPUP&amp;HEIGHT=450&amp;WIDTH=450&amp;START_MA","XIMIZED=FALSE&amp;VAR:CALENDAR=US&amp;VAR:SYMBOL=37183T10&amp;VAR:INDEX=0"}</definedName>
    <definedName name="_4103__FDSAUDITLINK__" localSheetId="6" hidden="1">{"fdsup://directions/FAT Viewer?action=UPDATE&amp;creator=factset&amp;DYN_ARGS=TRUE&amp;DOC_NAME=FAT:FQL_AUDITING_CLIENT_TEMPLATE.FAT&amp;display_string=Audit&amp;VAR:KEY=FIHATCJENO&amp;VAR:QUERY=RkZfRUJJVERBX0lCKCdMVE1TJywzOTc4Mik=&amp;WINDOW=FIRST_POPUP&amp;HEIGHT=450&amp;WIDTH=450&amp;START_MA","XIMIZED=FALSE&amp;VAR:CALENDAR=US&amp;VAR:SYMBOL=37183T10&amp;VAR:INDEX=0"}</definedName>
    <definedName name="_4103__FDSAUDITLINK__" hidden="1">{"fdsup://directions/FAT Viewer?action=UPDATE&amp;creator=factset&amp;DYN_ARGS=TRUE&amp;DOC_NAME=FAT:FQL_AUDITING_CLIENT_TEMPLATE.FAT&amp;display_string=Audit&amp;VAR:KEY=FIHATCJENO&amp;VAR:QUERY=RkZfRUJJVERBX0lCKCdMVE1TJywzOTc4Mik=&amp;WINDOW=FIRST_POPUP&amp;HEIGHT=450&amp;WIDTH=450&amp;START_MA","XIMIZED=FALSE&amp;VAR:CALENDAR=US&amp;VAR:SYMBOL=37183T10&amp;VAR:INDEX=0"}</definedName>
    <definedName name="_4104__FDSAUDITLINK__" localSheetId="6" hidden="1">{"fdsup://directions/FAT Viewer?action=UPDATE&amp;creator=factset&amp;DYN_ARGS=TRUE&amp;DOC_NAME=FAT:FQL_AUDITING_CLIENT_TEMPLATE.FAT&amp;display_string=Audit&amp;VAR:KEY=NIXQFGHONY&amp;VAR:QUERY=RkZfRUJJVERBX0lCKCdMVE1TJywzOTc4MSk=&amp;WINDOW=FIRST_POPUP&amp;HEIGHT=450&amp;WIDTH=450&amp;START_MA","XIMIZED=FALSE&amp;VAR:CALENDAR=US&amp;VAR:SYMBOL=37183T10&amp;VAR:INDEX=0"}</definedName>
    <definedName name="_4104__FDSAUDITLINK__" hidden="1">{"fdsup://directions/FAT Viewer?action=UPDATE&amp;creator=factset&amp;DYN_ARGS=TRUE&amp;DOC_NAME=FAT:FQL_AUDITING_CLIENT_TEMPLATE.FAT&amp;display_string=Audit&amp;VAR:KEY=NIXQFGHONY&amp;VAR:QUERY=RkZfRUJJVERBX0lCKCdMVE1TJywzOTc4MSk=&amp;WINDOW=FIRST_POPUP&amp;HEIGHT=450&amp;WIDTH=450&amp;START_MA","XIMIZED=FALSE&amp;VAR:CALENDAR=US&amp;VAR:SYMBOL=37183T10&amp;VAR:INDEX=0"}</definedName>
    <definedName name="_4105__FDSAUDITLINK__" localSheetId="6" hidden="1">{"fdsup://directions/FAT Viewer?action=UPDATE&amp;creator=factset&amp;DYN_ARGS=TRUE&amp;DOC_NAME=FAT:FQL_AUDITING_CLIENT_TEMPLATE.FAT&amp;display_string=Audit&amp;VAR:KEY=HUDSZYTIFE&amp;VAR:QUERY=RkZfRUJJVERBX0lCKCdMVE1TJywzOTc4MCk=&amp;WINDOW=FIRST_POPUP&amp;HEIGHT=450&amp;WIDTH=450&amp;START_MA","XIMIZED=FALSE&amp;VAR:CALENDAR=US&amp;VAR:SYMBOL=37183T10&amp;VAR:INDEX=0"}</definedName>
    <definedName name="_4105__FDSAUDITLINK__" hidden="1">{"fdsup://directions/FAT Viewer?action=UPDATE&amp;creator=factset&amp;DYN_ARGS=TRUE&amp;DOC_NAME=FAT:FQL_AUDITING_CLIENT_TEMPLATE.FAT&amp;display_string=Audit&amp;VAR:KEY=HUDSZYTIFE&amp;VAR:QUERY=RkZfRUJJVERBX0lCKCdMVE1TJywzOTc4MCk=&amp;WINDOW=FIRST_POPUP&amp;HEIGHT=450&amp;WIDTH=450&amp;START_MA","XIMIZED=FALSE&amp;VAR:CALENDAR=US&amp;VAR:SYMBOL=37183T10&amp;VAR:INDEX=0"}</definedName>
    <definedName name="_4106__FDSAUDITLINK__" localSheetId="6" hidden="1">{"fdsup://directions/FAT Viewer?action=UPDATE&amp;creator=factset&amp;DYN_ARGS=TRUE&amp;DOC_NAME=FAT:FQL_AUDITING_CLIENT_TEMPLATE.FAT&amp;display_string=Audit&amp;VAR:KEY=NEDIDWTOBS&amp;VAR:QUERY=RkZfRUJJVERBX0lCKCdMVE1TJywzOTc3OSk=&amp;WINDOW=FIRST_POPUP&amp;HEIGHT=450&amp;WIDTH=450&amp;START_MA","XIMIZED=FALSE&amp;VAR:CALENDAR=US&amp;VAR:SYMBOL=37183T10&amp;VAR:INDEX=0"}</definedName>
    <definedName name="_4106__FDSAUDITLINK__" hidden="1">{"fdsup://directions/FAT Viewer?action=UPDATE&amp;creator=factset&amp;DYN_ARGS=TRUE&amp;DOC_NAME=FAT:FQL_AUDITING_CLIENT_TEMPLATE.FAT&amp;display_string=Audit&amp;VAR:KEY=NEDIDWTOBS&amp;VAR:QUERY=RkZfRUJJVERBX0lCKCdMVE1TJywzOTc3OSk=&amp;WINDOW=FIRST_POPUP&amp;HEIGHT=450&amp;WIDTH=450&amp;START_MA","XIMIZED=FALSE&amp;VAR:CALENDAR=US&amp;VAR:SYMBOL=37183T10&amp;VAR:INDEX=0"}</definedName>
    <definedName name="_4107__FDSAUDITLINK__" localSheetId="6" hidden="1">{"fdsup://directions/FAT Viewer?action=UPDATE&amp;creator=factset&amp;DYN_ARGS=TRUE&amp;DOC_NAME=FAT:FQL_AUDITING_CLIENT_TEMPLATE.FAT&amp;display_string=Audit&amp;VAR:KEY=DKVKZGFQHA&amp;VAR:QUERY=RkZfRUJJVERBX0lCKCdMVE1TJywzOTc3OCk=&amp;WINDOW=FIRST_POPUP&amp;HEIGHT=450&amp;WIDTH=450&amp;START_MA","XIMIZED=FALSE&amp;VAR:CALENDAR=US&amp;VAR:SYMBOL=37183T10&amp;VAR:INDEX=0"}</definedName>
    <definedName name="_4107__FDSAUDITLINK__" hidden="1">{"fdsup://directions/FAT Viewer?action=UPDATE&amp;creator=factset&amp;DYN_ARGS=TRUE&amp;DOC_NAME=FAT:FQL_AUDITING_CLIENT_TEMPLATE.FAT&amp;display_string=Audit&amp;VAR:KEY=DKVKZGFQHA&amp;VAR:QUERY=RkZfRUJJVERBX0lCKCdMVE1TJywzOTc3OCk=&amp;WINDOW=FIRST_POPUP&amp;HEIGHT=450&amp;WIDTH=450&amp;START_MA","XIMIZED=FALSE&amp;VAR:CALENDAR=US&amp;VAR:SYMBOL=37183T10&amp;VAR:INDEX=0"}</definedName>
    <definedName name="_4108__FDSAUDITLINK__" localSheetId="6" hidden="1">{"fdsup://directions/FAT Viewer?action=UPDATE&amp;creator=factset&amp;DYN_ARGS=TRUE&amp;DOC_NAME=FAT:FQL_AUDITING_CLIENT_TEMPLATE.FAT&amp;display_string=Audit&amp;VAR:KEY=TOBKZSDSTC&amp;VAR:QUERY=RkZfRUJJVERBX0lCKCdMVE1TJywzOTc3Nyk=&amp;WINDOW=FIRST_POPUP&amp;HEIGHT=450&amp;WIDTH=450&amp;START_MA","XIMIZED=FALSE&amp;VAR:CALENDAR=US&amp;VAR:SYMBOL=37183T10&amp;VAR:INDEX=0"}</definedName>
    <definedName name="_4108__FDSAUDITLINK__" hidden="1">{"fdsup://directions/FAT Viewer?action=UPDATE&amp;creator=factset&amp;DYN_ARGS=TRUE&amp;DOC_NAME=FAT:FQL_AUDITING_CLIENT_TEMPLATE.FAT&amp;display_string=Audit&amp;VAR:KEY=TOBKZSDSTC&amp;VAR:QUERY=RkZfRUJJVERBX0lCKCdMVE1TJywzOTc3Nyk=&amp;WINDOW=FIRST_POPUP&amp;HEIGHT=450&amp;WIDTH=450&amp;START_MA","XIMIZED=FALSE&amp;VAR:CALENDAR=US&amp;VAR:SYMBOL=37183T10&amp;VAR:INDEX=0"}</definedName>
    <definedName name="_4109__FDSAUDITLINK__" localSheetId="6" hidden="1">{"fdsup://directions/FAT Viewer?action=UPDATE&amp;creator=factset&amp;DYN_ARGS=TRUE&amp;DOC_NAME=FAT:FQL_AUDITING_CLIENT_TEMPLATE.FAT&amp;display_string=Audit&amp;VAR:KEY=BANYNATCXI&amp;VAR:QUERY=RkZfRUJJVERBX0lCKCdMVE1TJywzOTc3Nik=&amp;WINDOW=FIRST_POPUP&amp;HEIGHT=450&amp;WIDTH=450&amp;START_MA","XIMIZED=FALSE&amp;VAR:CALENDAR=US&amp;VAR:SYMBOL=37183T10&amp;VAR:INDEX=0"}</definedName>
    <definedName name="_4109__FDSAUDITLINK__" hidden="1">{"fdsup://directions/FAT Viewer?action=UPDATE&amp;creator=factset&amp;DYN_ARGS=TRUE&amp;DOC_NAME=FAT:FQL_AUDITING_CLIENT_TEMPLATE.FAT&amp;display_string=Audit&amp;VAR:KEY=BANYNATCXI&amp;VAR:QUERY=RkZfRUJJVERBX0lCKCdMVE1TJywzOTc3Nik=&amp;WINDOW=FIRST_POPUP&amp;HEIGHT=450&amp;WIDTH=450&amp;START_MA","XIMIZED=FALSE&amp;VAR:CALENDAR=US&amp;VAR:SYMBOL=37183T10&amp;VAR:INDEX=0"}</definedName>
    <definedName name="_411__FDSAUDITLINK__" localSheetId="6" hidden="1">{"fdsup://directions/FAT%20Viewer?VAR:PED=LTM&amp;VAR:AUDIT_MODE=SUMMARY&amp;VAR:PERIOD=FIXED&amp;VAR:AUDIT_ID=00000117&amp;VAR:DATE=20090106&amp;action=UPDATE&amp;creator=factset&amp;DOC_NAME=FAT:FMA_audit_SUMMARY.fat&amp;DISPLAY_STRING=Display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1__FDSAUDITLINK__" hidden="1">{"fdsup://directions/FAT%20Viewer?VAR:PED=LTM&amp;VAR:AUDIT_MODE=SUMMARY&amp;VAR:PERIOD=FIXED&amp;VAR:AUDIT_ID=00000117&amp;VAR:DATE=20090106&amp;action=UPDATE&amp;creator=factset&amp;DOC_NAME=FAT:FMA_audit_SUMMARY.fat&amp;DISPLAY_STRING=Display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10__FDSAUDITLINK__" localSheetId="6" hidden="1">{"fdsup://directions/FAT Viewer?action=UPDATE&amp;creator=factset&amp;DYN_ARGS=TRUE&amp;DOC_NAME=FAT:FQL_AUDITING_CLIENT_TEMPLATE.FAT&amp;display_string=Audit&amp;VAR:KEY=FKVYLYLEFU&amp;VAR:QUERY=RkZfRUJJVERBX0lCKCdMVE1TJywzOTc3NSk=&amp;WINDOW=FIRST_POPUP&amp;HEIGHT=450&amp;WIDTH=450&amp;START_MA","XIMIZED=FALSE&amp;VAR:CALENDAR=US&amp;VAR:SYMBOL=37183T10&amp;VAR:INDEX=0"}</definedName>
    <definedName name="_4110__FDSAUDITLINK__" hidden="1">{"fdsup://directions/FAT Viewer?action=UPDATE&amp;creator=factset&amp;DYN_ARGS=TRUE&amp;DOC_NAME=FAT:FQL_AUDITING_CLIENT_TEMPLATE.FAT&amp;display_string=Audit&amp;VAR:KEY=FKVYLYLEFU&amp;VAR:QUERY=RkZfRUJJVERBX0lCKCdMVE1TJywzOTc3NSk=&amp;WINDOW=FIRST_POPUP&amp;HEIGHT=450&amp;WIDTH=450&amp;START_MA","XIMIZED=FALSE&amp;VAR:CALENDAR=US&amp;VAR:SYMBOL=37183T10&amp;VAR:INDEX=0"}</definedName>
    <definedName name="_4111__FDSAUDITLINK__" localSheetId="6" hidden="1">{"fdsup://directions/FAT Viewer?action=UPDATE&amp;creator=factset&amp;DYN_ARGS=TRUE&amp;DOC_NAME=FAT:FQL_AUDITING_CLIENT_TEMPLATE.FAT&amp;display_string=Audit&amp;VAR:KEY=RSLGHGRAFY&amp;VAR:QUERY=RkZfRUJJVERBX0lCKCdMVE1TJywzOTc3NCk=&amp;WINDOW=FIRST_POPUP&amp;HEIGHT=450&amp;WIDTH=450&amp;START_MA","XIMIZED=FALSE&amp;VAR:CALENDAR=US&amp;VAR:SYMBOL=37183T10&amp;VAR:INDEX=0"}</definedName>
    <definedName name="_4111__FDSAUDITLINK__" hidden="1">{"fdsup://directions/FAT Viewer?action=UPDATE&amp;creator=factset&amp;DYN_ARGS=TRUE&amp;DOC_NAME=FAT:FQL_AUDITING_CLIENT_TEMPLATE.FAT&amp;display_string=Audit&amp;VAR:KEY=RSLGHGRAFY&amp;VAR:QUERY=RkZfRUJJVERBX0lCKCdMVE1TJywzOTc3NCk=&amp;WINDOW=FIRST_POPUP&amp;HEIGHT=450&amp;WIDTH=450&amp;START_MA","XIMIZED=FALSE&amp;VAR:CALENDAR=US&amp;VAR:SYMBOL=37183T10&amp;VAR:INDEX=0"}</definedName>
    <definedName name="_4112__FDSAUDITLINK__" localSheetId="6" hidden="1">{"fdsup://directions/FAT Viewer?action=UPDATE&amp;creator=factset&amp;DYN_ARGS=TRUE&amp;DOC_NAME=FAT:FQL_AUDITING_CLIENT_TEMPLATE.FAT&amp;display_string=Audit&amp;VAR:KEY=JMHONIPQDI&amp;VAR:QUERY=RkZfRUJJVERBX0lCKCdMVE1TJywzOTc3Myk=&amp;WINDOW=FIRST_POPUP&amp;HEIGHT=450&amp;WIDTH=450&amp;START_MA","XIMIZED=FALSE&amp;VAR:CALENDAR=US&amp;VAR:SYMBOL=37183T10&amp;VAR:INDEX=0"}</definedName>
    <definedName name="_4112__FDSAUDITLINK__" hidden="1">{"fdsup://directions/FAT Viewer?action=UPDATE&amp;creator=factset&amp;DYN_ARGS=TRUE&amp;DOC_NAME=FAT:FQL_AUDITING_CLIENT_TEMPLATE.FAT&amp;display_string=Audit&amp;VAR:KEY=JMHONIPQDI&amp;VAR:QUERY=RkZfRUJJVERBX0lCKCdMVE1TJywzOTc3Myk=&amp;WINDOW=FIRST_POPUP&amp;HEIGHT=450&amp;WIDTH=450&amp;START_MA","XIMIZED=FALSE&amp;VAR:CALENDAR=US&amp;VAR:SYMBOL=37183T10&amp;VAR:INDEX=0"}</definedName>
    <definedName name="_4113__FDSAUDITLINK__" localSheetId="6" hidden="1">{"fdsup://directions/FAT Viewer?action=UPDATE&amp;creator=factset&amp;DYN_ARGS=TRUE&amp;DOC_NAME=FAT:FQL_AUDITING_CLIENT_TEMPLATE.FAT&amp;display_string=Audit&amp;VAR:KEY=BQVELSLGBO&amp;VAR:QUERY=RkZfRUJJVERBX0lCKCdMVE1TJywzOTc3Mik=&amp;WINDOW=FIRST_POPUP&amp;HEIGHT=450&amp;WIDTH=450&amp;START_MA","XIMIZED=FALSE&amp;VAR:CALENDAR=US&amp;VAR:SYMBOL=37183T10&amp;VAR:INDEX=0"}</definedName>
    <definedName name="_4113__FDSAUDITLINK__" hidden="1">{"fdsup://directions/FAT Viewer?action=UPDATE&amp;creator=factset&amp;DYN_ARGS=TRUE&amp;DOC_NAME=FAT:FQL_AUDITING_CLIENT_TEMPLATE.FAT&amp;display_string=Audit&amp;VAR:KEY=BQVELSLGBO&amp;VAR:QUERY=RkZfRUJJVERBX0lCKCdMVE1TJywzOTc3Mik=&amp;WINDOW=FIRST_POPUP&amp;HEIGHT=450&amp;WIDTH=450&amp;START_MA","XIMIZED=FALSE&amp;VAR:CALENDAR=US&amp;VAR:SYMBOL=37183T10&amp;VAR:INDEX=0"}</definedName>
    <definedName name="_4114__FDSAUDITLINK__" localSheetId="6" hidden="1">{"fdsup://directions/FAT Viewer?action=UPDATE&amp;creator=factset&amp;DYN_ARGS=TRUE&amp;DOC_NAME=FAT:FQL_AUDITING_CLIENT_TEMPLATE.FAT&amp;display_string=Audit&amp;VAR:KEY=HAJSBADCRG&amp;VAR:QUERY=RkZfRUJJVERBX0lCKCdMVE1TJywzOTc3MSk=&amp;WINDOW=FIRST_POPUP&amp;HEIGHT=450&amp;WIDTH=450&amp;START_MA","XIMIZED=FALSE&amp;VAR:CALENDAR=US&amp;VAR:SYMBOL=37183T10&amp;VAR:INDEX=0"}</definedName>
    <definedName name="_4114__FDSAUDITLINK__" hidden="1">{"fdsup://directions/FAT Viewer?action=UPDATE&amp;creator=factset&amp;DYN_ARGS=TRUE&amp;DOC_NAME=FAT:FQL_AUDITING_CLIENT_TEMPLATE.FAT&amp;display_string=Audit&amp;VAR:KEY=HAJSBADCRG&amp;VAR:QUERY=RkZfRUJJVERBX0lCKCdMVE1TJywzOTc3MSk=&amp;WINDOW=FIRST_POPUP&amp;HEIGHT=450&amp;WIDTH=450&amp;START_MA","XIMIZED=FALSE&amp;VAR:CALENDAR=US&amp;VAR:SYMBOL=37183T10&amp;VAR:INDEX=0"}</definedName>
    <definedName name="_4115__FDSAUDITLINK__" localSheetId="6" hidden="1">{"fdsup://directions/FAT Viewer?action=UPDATE&amp;creator=factset&amp;DYN_ARGS=TRUE&amp;DOC_NAME=FAT:FQL_AUDITING_CLIENT_TEMPLATE.FAT&amp;display_string=Audit&amp;VAR:KEY=DURCPUXQTS&amp;VAR:QUERY=RkZfRUJJVERBX0lCKCdMVE1TJywzOTc3MCk=&amp;WINDOW=FIRST_POPUP&amp;HEIGHT=450&amp;WIDTH=450&amp;START_MA","XIMIZED=FALSE&amp;VAR:CALENDAR=US&amp;VAR:SYMBOL=37183T10&amp;VAR:INDEX=0"}</definedName>
    <definedName name="_4115__FDSAUDITLINK__" hidden="1">{"fdsup://directions/FAT Viewer?action=UPDATE&amp;creator=factset&amp;DYN_ARGS=TRUE&amp;DOC_NAME=FAT:FQL_AUDITING_CLIENT_TEMPLATE.FAT&amp;display_string=Audit&amp;VAR:KEY=DURCPUXQTS&amp;VAR:QUERY=RkZfRUJJVERBX0lCKCdMVE1TJywzOTc3MCk=&amp;WINDOW=FIRST_POPUP&amp;HEIGHT=450&amp;WIDTH=450&amp;START_MA","XIMIZED=FALSE&amp;VAR:CALENDAR=US&amp;VAR:SYMBOL=37183T10&amp;VAR:INDEX=0"}</definedName>
    <definedName name="_4116__FDSAUDITLINK__" localSheetId="6" hidden="1">{"fdsup://directions/FAT Viewer?action=UPDATE&amp;creator=factset&amp;DYN_ARGS=TRUE&amp;DOC_NAME=FAT:FQL_AUDITING_CLIENT_TEMPLATE.FAT&amp;display_string=Audit&amp;VAR:KEY=RYJIDYPKPY&amp;VAR:QUERY=RkZfRUJJVERBX0lCKCdMVE1TJywzOTc2OSk=&amp;WINDOW=FIRST_POPUP&amp;HEIGHT=450&amp;WIDTH=450&amp;START_MA","XIMIZED=FALSE&amp;VAR:CALENDAR=US&amp;VAR:SYMBOL=37183T10&amp;VAR:INDEX=0"}</definedName>
    <definedName name="_4116__FDSAUDITLINK__" hidden="1">{"fdsup://directions/FAT Viewer?action=UPDATE&amp;creator=factset&amp;DYN_ARGS=TRUE&amp;DOC_NAME=FAT:FQL_AUDITING_CLIENT_TEMPLATE.FAT&amp;display_string=Audit&amp;VAR:KEY=RYJIDYPKPY&amp;VAR:QUERY=RkZfRUJJVERBX0lCKCdMVE1TJywzOTc2OSk=&amp;WINDOW=FIRST_POPUP&amp;HEIGHT=450&amp;WIDTH=450&amp;START_MA","XIMIZED=FALSE&amp;VAR:CALENDAR=US&amp;VAR:SYMBOL=37183T10&amp;VAR:INDEX=0"}</definedName>
    <definedName name="_4117__FDSAUDITLINK__" localSheetId="6" hidden="1">{"fdsup://directions/FAT Viewer?action=UPDATE&amp;creator=factset&amp;DYN_ARGS=TRUE&amp;DOC_NAME=FAT:FQL_AUDITING_CLIENT_TEMPLATE.FAT&amp;display_string=Audit&amp;VAR:KEY=RABWXQNYJQ&amp;VAR:QUERY=RkZfRUJJVERBX0lCKCdMVE1TJywzOTc2OCk=&amp;WINDOW=FIRST_POPUP&amp;HEIGHT=450&amp;WIDTH=450&amp;START_MA","XIMIZED=FALSE&amp;VAR:CALENDAR=US&amp;VAR:SYMBOL=37183T10&amp;VAR:INDEX=0"}</definedName>
    <definedName name="_4117__FDSAUDITLINK__" hidden="1">{"fdsup://directions/FAT Viewer?action=UPDATE&amp;creator=factset&amp;DYN_ARGS=TRUE&amp;DOC_NAME=FAT:FQL_AUDITING_CLIENT_TEMPLATE.FAT&amp;display_string=Audit&amp;VAR:KEY=RABWXQNYJQ&amp;VAR:QUERY=RkZfRUJJVERBX0lCKCdMVE1TJywzOTc2OCk=&amp;WINDOW=FIRST_POPUP&amp;HEIGHT=450&amp;WIDTH=450&amp;START_MA","XIMIZED=FALSE&amp;VAR:CALENDAR=US&amp;VAR:SYMBOL=37183T10&amp;VAR:INDEX=0"}</definedName>
    <definedName name="_4118__FDSAUDITLINK__" localSheetId="6" hidden="1">{"fdsup://directions/FAT Viewer?action=UPDATE&amp;creator=factset&amp;DYN_ARGS=TRUE&amp;DOC_NAME=FAT:FQL_AUDITING_CLIENT_TEMPLATE.FAT&amp;display_string=Audit&amp;VAR:KEY=RWVABIXEFG&amp;VAR:QUERY=RkZfRUJJVERBX0lCKCdMVE1TJywzOTc2Nyk=&amp;WINDOW=FIRST_POPUP&amp;HEIGHT=450&amp;WIDTH=450&amp;START_MA","XIMIZED=FALSE&amp;VAR:CALENDAR=US&amp;VAR:SYMBOL=37183T10&amp;VAR:INDEX=0"}</definedName>
    <definedName name="_4118__FDSAUDITLINK__" hidden="1">{"fdsup://directions/FAT Viewer?action=UPDATE&amp;creator=factset&amp;DYN_ARGS=TRUE&amp;DOC_NAME=FAT:FQL_AUDITING_CLIENT_TEMPLATE.FAT&amp;display_string=Audit&amp;VAR:KEY=RWVABIXEFG&amp;VAR:QUERY=RkZfRUJJVERBX0lCKCdMVE1TJywzOTc2Nyk=&amp;WINDOW=FIRST_POPUP&amp;HEIGHT=450&amp;WIDTH=450&amp;START_MA","XIMIZED=FALSE&amp;VAR:CALENDAR=US&amp;VAR:SYMBOL=37183T10&amp;VAR:INDEX=0"}</definedName>
    <definedName name="_4119__FDSAUDITLINK__" localSheetId="6" hidden="1">{"fdsup://directions/FAT Viewer?action=UPDATE&amp;creator=factset&amp;DYN_ARGS=TRUE&amp;DOC_NAME=FAT:FQL_AUDITING_CLIENT_TEMPLATE.FAT&amp;display_string=Audit&amp;VAR:KEY=NKVUFKRWLO&amp;VAR:QUERY=RkZfRUJJVERBX0lCKCdMVE1TJywzOTc2Nik=&amp;WINDOW=FIRST_POPUP&amp;HEIGHT=450&amp;WIDTH=450&amp;START_MA","XIMIZED=FALSE&amp;VAR:CALENDAR=US&amp;VAR:SYMBOL=37183T10&amp;VAR:INDEX=0"}</definedName>
    <definedName name="_4119__FDSAUDITLINK__" hidden="1">{"fdsup://directions/FAT Viewer?action=UPDATE&amp;creator=factset&amp;DYN_ARGS=TRUE&amp;DOC_NAME=FAT:FQL_AUDITING_CLIENT_TEMPLATE.FAT&amp;display_string=Audit&amp;VAR:KEY=NKVUFKRWLO&amp;VAR:QUERY=RkZfRUJJVERBX0lCKCdMVE1TJywzOTc2Nik=&amp;WINDOW=FIRST_POPUP&amp;HEIGHT=450&amp;WIDTH=450&amp;START_MA","XIMIZED=FALSE&amp;VAR:CALENDAR=US&amp;VAR:SYMBOL=37183T10&amp;VAR:INDEX=0"}</definedName>
    <definedName name="_412__FDSAUDITLINK__" localSheetId="6" hidden="1">{"fdsup://directions/FAT%20Viewer?VAR:PED=LTM&amp;VAR:AUDIT_MODE=SUMMARY&amp;VAR:PERIOD=FIXED&amp;VAR:AUDIT_ID=00000117&amp;VAR:DATE=20090105&amp;action=UPDATE&amp;creator=factset&amp;DOC_NAME=FAT:FMA_audit_SUMMARY.fat&amp;DISPLAY_STRING=Display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2__FDSAUDITLINK__" hidden="1">{"fdsup://directions/FAT%20Viewer?VAR:PED=LTM&amp;VAR:AUDIT_MODE=SUMMARY&amp;VAR:PERIOD=FIXED&amp;VAR:AUDIT_ID=00000117&amp;VAR:DATE=20090105&amp;action=UPDATE&amp;creator=factset&amp;DOC_NAME=FAT:FMA_audit_SUMMARY.fat&amp;DISPLAY_STRING=Display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20__FDSAUDITLINK__" localSheetId="6" hidden="1">{"fdsup://directions/FAT Viewer?action=UPDATE&amp;creator=factset&amp;DYN_ARGS=TRUE&amp;DOC_NAME=FAT:FQL_AUDITING_CLIENT_TEMPLATE.FAT&amp;display_string=Audit&amp;VAR:KEY=FCDAFULOXC&amp;VAR:QUERY=RkZfRUJJVERBX0lCKCdMVE1TJywzOTc2NSk=&amp;WINDOW=FIRST_POPUP&amp;HEIGHT=450&amp;WIDTH=450&amp;START_MA","XIMIZED=FALSE&amp;VAR:CALENDAR=US&amp;VAR:SYMBOL=37183T10&amp;VAR:INDEX=0"}</definedName>
    <definedName name="_4120__FDSAUDITLINK__" hidden="1">{"fdsup://directions/FAT Viewer?action=UPDATE&amp;creator=factset&amp;DYN_ARGS=TRUE&amp;DOC_NAME=FAT:FQL_AUDITING_CLIENT_TEMPLATE.FAT&amp;display_string=Audit&amp;VAR:KEY=FCDAFULOXC&amp;VAR:QUERY=RkZfRUJJVERBX0lCKCdMVE1TJywzOTc2NSk=&amp;WINDOW=FIRST_POPUP&amp;HEIGHT=450&amp;WIDTH=450&amp;START_MA","XIMIZED=FALSE&amp;VAR:CALENDAR=US&amp;VAR:SYMBOL=37183T10&amp;VAR:INDEX=0"}</definedName>
    <definedName name="_4121__FDSAUDITLINK__" localSheetId="6" hidden="1">{"fdsup://directions/FAT Viewer?action=UPDATE&amp;creator=factset&amp;DYN_ARGS=TRUE&amp;DOC_NAME=FAT:FQL_AUDITING_CLIENT_TEMPLATE.FAT&amp;display_string=Audit&amp;VAR:KEY=DMBIROBIFI&amp;VAR:QUERY=RkZfRUJJVERBX0lCKCdMVE1TJywzOTc2NCk=&amp;WINDOW=FIRST_POPUP&amp;HEIGHT=450&amp;WIDTH=450&amp;START_MA","XIMIZED=FALSE&amp;VAR:CALENDAR=US&amp;VAR:SYMBOL=37183T10&amp;VAR:INDEX=0"}</definedName>
    <definedName name="_4121__FDSAUDITLINK__" hidden="1">{"fdsup://directions/FAT Viewer?action=UPDATE&amp;creator=factset&amp;DYN_ARGS=TRUE&amp;DOC_NAME=FAT:FQL_AUDITING_CLIENT_TEMPLATE.FAT&amp;display_string=Audit&amp;VAR:KEY=DMBIROBIFI&amp;VAR:QUERY=RkZfRUJJVERBX0lCKCdMVE1TJywzOTc2NCk=&amp;WINDOW=FIRST_POPUP&amp;HEIGHT=450&amp;WIDTH=450&amp;START_MA","XIMIZED=FALSE&amp;VAR:CALENDAR=US&amp;VAR:SYMBOL=37183T10&amp;VAR:INDEX=0"}</definedName>
    <definedName name="_4122__FDSAUDITLINK__" localSheetId="6" hidden="1">{"fdsup://directions/FAT Viewer?action=UPDATE&amp;creator=factset&amp;DYN_ARGS=TRUE&amp;DOC_NAME=FAT:FQL_AUDITING_CLIENT_TEMPLATE.FAT&amp;display_string=Audit&amp;VAR:KEY=XEZMRMVWZG&amp;VAR:QUERY=RkZfRUJJVERBX0lCKCdMVE1TJywzOTc2Myk=&amp;WINDOW=FIRST_POPUP&amp;HEIGHT=450&amp;WIDTH=450&amp;START_MA","XIMIZED=FALSE&amp;VAR:CALENDAR=US&amp;VAR:SYMBOL=37183T10&amp;VAR:INDEX=0"}</definedName>
    <definedName name="_4122__FDSAUDITLINK__" hidden="1">{"fdsup://directions/FAT Viewer?action=UPDATE&amp;creator=factset&amp;DYN_ARGS=TRUE&amp;DOC_NAME=FAT:FQL_AUDITING_CLIENT_TEMPLATE.FAT&amp;display_string=Audit&amp;VAR:KEY=XEZMRMVWZG&amp;VAR:QUERY=RkZfRUJJVERBX0lCKCdMVE1TJywzOTc2Myk=&amp;WINDOW=FIRST_POPUP&amp;HEIGHT=450&amp;WIDTH=450&amp;START_MA","XIMIZED=FALSE&amp;VAR:CALENDAR=US&amp;VAR:SYMBOL=37183T10&amp;VAR:INDEX=0"}</definedName>
    <definedName name="_4123__FDSAUDITLINK__" localSheetId="6" hidden="1">{"fdsup://directions/FAT Viewer?action=UPDATE&amp;creator=factset&amp;DYN_ARGS=TRUE&amp;DOC_NAME=FAT:FQL_AUDITING_CLIENT_TEMPLATE.FAT&amp;display_string=Audit&amp;VAR:KEY=LMPUJEXUPA&amp;VAR:QUERY=RkZfRUJJVERBX0lCKCdMVE1TJywzOTc2Mik=&amp;WINDOW=FIRST_POPUP&amp;HEIGHT=450&amp;WIDTH=450&amp;START_MA","XIMIZED=FALSE&amp;VAR:CALENDAR=US&amp;VAR:SYMBOL=37183T10&amp;VAR:INDEX=0"}</definedName>
    <definedName name="_4123__FDSAUDITLINK__" hidden="1">{"fdsup://directions/FAT Viewer?action=UPDATE&amp;creator=factset&amp;DYN_ARGS=TRUE&amp;DOC_NAME=FAT:FQL_AUDITING_CLIENT_TEMPLATE.FAT&amp;display_string=Audit&amp;VAR:KEY=LMPUJEXUPA&amp;VAR:QUERY=RkZfRUJJVERBX0lCKCdMVE1TJywzOTc2Mik=&amp;WINDOW=FIRST_POPUP&amp;HEIGHT=450&amp;WIDTH=450&amp;START_MA","XIMIZED=FALSE&amp;VAR:CALENDAR=US&amp;VAR:SYMBOL=37183T10&amp;VAR:INDEX=0"}</definedName>
    <definedName name="_4124__FDSAUDITLINK__" localSheetId="6" hidden="1">{"fdsup://directions/FAT Viewer?action=UPDATE&amp;creator=factset&amp;DYN_ARGS=TRUE&amp;DOC_NAME=FAT:FQL_AUDITING_CLIENT_TEMPLATE.FAT&amp;display_string=Audit&amp;VAR:KEY=POBGJGVSBY&amp;VAR:QUERY=RkZfRUJJVERBX0lCKCdMVE1TJywzOTc2MSk=&amp;WINDOW=FIRST_POPUP&amp;HEIGHT=450&amp;WIDTH=450&amp;START_MA","XIMIZED=FALSE&amp;VAR:CALENDAR=US&amp;VAR:SYMBOL=37183T10&amp;VAR:INDEX=0"}</definedName>
    <definedName name="_4124__FDSAUDITLINK__" hidden="1">{"fdsup://directions/FAT Viewer?action=UPDATE&amp;creator=factset&amp;DYN_ARGS=TRUE&amp;DOC_NAME=FAT:FQL_AUDITING_CLIENT_TEMPLATE.FAT&amp;display_string=Audit&amp;VAR:KEY=POBGJGVSBY&amp;VAR:QUERY=RkZfRUJJVERBX0lCKCdMVE1TJywzOTc2MSk=&amp;WINDOW=FIRST_POPUP&amp;HEIGHT=450&amp;WIDTH=450&amp;START_MA","XIMIZED=FALSE&amp;VAR:CALENDAR=US&amp;VAR:SYMBOL=37183T10&amp;VAR:INDEX=0"}</definedName>
    <definedName name="_4125__FDSAUDITLINK__" localSheetId="6" hidden="1">{"fdsup://directions/FAT Viewer?action=UPDATE&amp;creator=factset&amp;DYN_ARGS=TRUE&amp;DOC_NAME=FAT:FQL_AUDITING_CLIENT_TEMPLATE.FAT&amp;display_string=Audit&amp;VAR:KEY=RANKJITAPU&amp;VAR:QUERY=RkZfRUJJVERBX0lCKCdMVE1TJywzOTc2MCk=&amp;WINDOW=FIRST_POPUP&amp;HEIGHT=450&amp;WIDTH=450&amp;START_MA","XIMIZED=FALSE&amp;VAR:CALENDAR=US&amp;VAR:SYMBOL=37183T10&amp;VAR:INDEX=0"}</definedName>
    <definedName name="_4125__FDSAUDITLINK__" hidden="1">{"fdsup://directions/FAT Viewer?action=UPDATE&amp;creator=factset&amp;DYN_ARGS=TRUE&amp;DOC_NAME=FAT:FQL_AUDITING_CLIENT_TEMPLATE.FAT&amp;display_string=Audit&amp;VAR:KEY=RANKJITAPU&amp;VAR:QUERY=RkZfRUJJVERBX0lCKCdMVE1TJywzOTc2MCk=&amp;WINDOW=FIRST_POPUP&amp;HEIGHT=450&amp;WIDTH=450&amp;START_MA","XIMIZED=FALSE&amp;VAR:CALENDAR=US&amp;VAR:SYMBOL=37183T10&amp;VAR:INDEX=0"}</definedName>
    <definedName name="_4126__FDSAUDITLINK__" localSheetId="6" hidden="1">{"fdsup://directions/FAT Viewer?action=UPDATE&amp;creator=factset&amp;DYN_ARGS=TRUE&amp;DOC_NAME=FAT:FQL_AUDITING_CLIENT_TEMPLATE.FAT&amp;display_string=Audit&amp;VAR:KEY=ZQHGPCLCZE&amp;VAR:QUERY=RkZfRUJJVERBX0lCKCdMVE1TJywzOTc1OSk=&amp;WINDOW=FIRST_POPUP&amp;HEIGHT=450&amp;WIDTH=450&amp;START_MA","XIMIZED=FALSE&amp;VAR:CALENDAR=US&amp;VAR:SYMBOL=37183T10&amp;VAR:INDEX=0"}</definedName>
    <definedName name="_4126__FDSAUDITLINK__" hidden="1">{"fdsup://directions/FAT Viewer?action=UPDATE&amp;creator=factset&amp;DYN_ARGS=TRUE&amp;DOC_NAME=FAT:FQL_AUDITING_CLIENT_TEMPLATE.FAT&amp;display_string=Audit&amp;VAR:KEY=ZQHGPCLCZE&amp;VAR:QUERY=RkZfRUJJVERBX0lCKCdMVE1TJywzOTc1OSk=&amp;WINDOW=FIRST_POPUP&amp;HEIGHT=450&amp;WIDTH=450&amp;START_MA","XIMIZED=FALSE&amp;VAR:CALENDAR=US&amp;VAR:SYMBOL=37183T10&amp;VAR:INDEX=0"}</definedName>
    <definedName name="_4127__FDSAUDITLINK__" localSheetId="6" hidden="1">{"fdsup://directions/FAT Viewer?action=UPDATE&amp;creator=factset&amp;DYN_ARGS=TRUE&amp;DOC_NAME=FAT:FQL_AUDITING_CLIENT_TEMPLATE.FAT&amp;display_string=Audit&amp;VAR:KEY=LYZEVYDAJY&amp;VAR:QUERY=RkZfRUJJVERBX0lCKCdMVE1TJywzOTc1OCk=&amp;WINDOW=FIRST_POPUP&amp;HEIGHT=450&amp;WIDTH=450&amp;START_MA","XIMIZED=FALSE&amp;VAR:CALENDAR=US&amp;VAR:SYMBOL=37183T10&amp;VAR:INDEX=0"}</definedName>
    <definedName name="_4127__FDSAUDITLINK__" hidden="1">{"fdsup://directions/FAT Viewer?action=UPDATE&amp;creator=factset&amp;DYN_ARGS=TRUE&amp;DOC_NAME=FAT:FQL_AUDITING_CLIENT_TEMPLATE.FAT&amp;display_string=Audit&amp;VAR:KEY=LYZEVYDAJY&amp;VAR:QUERY=RkZfRUJJVERBX0lCKCdMVE1TJywzOTc1OCk=&amp;WINDOW=FIRST_POPUP&amp;HEIGHT=450&amp;WIDTH=450&amp;START_MA","XIMIZED=FALSE&amp;VAR:CALENDAR=US&amp;VAR:SYMBOL=37183T10&amp;VAR:INDEX=0"}</definedName>
    <definedName name="_4128__FDSAUDITLINK__" localSheetId="6" hidden="1">{"fdsup://directions/FAT Viewer?action=UPDATE&amp;creator=factset&amp;DYN_ARGS=TRUE&amp;DOC_NAME=FAT:FQL_AUDITING_CLIENT_TEMPLATE.FAT&amp;display_string=Audit&amp;VAR:KEY=BGTWZSBQDI&amp;VAR:QUERY=RkZfRUJJVERBX0lCKCdMVE1TJywzOTc1Nyk=&amp;WINDOW=FIRST_POPUP&amp;HEIGHT=450&amp;WIDTH=450&amp;START_MA","XIMIZED=FALSE&amp;VAR:CALENDAR=US&amp;VAR:SYMBOL=37183T10&amp;VAR:INDEX=0"}</definedName>
    <definedName name="_4128__FDSAUDITLINK__" hidden="1">{"fdsup://directions/FAT Viewer?action=UPDATE&amp;creator=factset&amp;DYN_ARGS=TRUE&amp;DOC_NAME=FAT:FQL_AUDITING_CLIENT_TEMPLATE.FAT&amp;display_string=Audit&amp;VAR:KEY=BGTWZSBQDI&amp;VAR:QUERY=RkZfRUJJVERBX0lCKCdMVE1TJywzOTc1Nyk=&amp;WINDOW=FIRST_POPUP&amp;HEIGHT=450&amp;WIDTH=450&amp;START_MA","XIMIZED=FALSE&amp;VAR:CALENDAR=US&amp;VAR:SYMBOL=37183T10&amp;VAR:INDEX=0"}</definedName>
    <definedName name="_4129__FDSAUDITLINK__" localSheetId="6" hidden="1">{"fdsup://directions/FAT Viewer?action=UPDATE&amp;creator=factset&amp;DYN_ARGS=TRUE&amp;DOC_NAME=FAT:FQL_AUDITING_CLIENT_TEMPLATE.FAT&amp;display_string=Audit&amp;VAR:KEY=LEVALKVQRI&amp;VAR:QUERY=RkZfRUJJVERBX0lCKCdMVE1TJywzOTc1Nik=&amp;WINDOW=FIRST_POPUP&amp;HEIGHT=450&amp;WIDTH=450&amp;START_MA","XIMIZED=FALSE&amp;VAR:CALENDAR=US&amp;VAR:SYMBOL=37183T10&amp;VAR:INDEX=0"}</definedName>
    <definedName name="_4129__FDSAUDITLINK__" hidden="1">{"fdsup://directions/FAT Viewer?action=UPDATE&amp;creator=factset&amp;DYN_ARGS=TRUE&amp;DOC_NAME=FAT:FQL_AUDITING_CLIENT_TEMPLATE.FAT&amp;display_string=Audit&amp;VAR:KEY=LEVALKVQRI&amp;VAR:QUERY=RkZfRUJJVERBX0lCKCdMVE1TJywzOTc1Nik=&amp;WINDOW=FIRST_POPUP&amp;HEIGHT=450&amp;WIDTH=450&amp;START_MA","XIMIZED=FALSE&amp;VAR:CALENDAR=US&amp;VAR:SYMBOL=37183T10&amp;VAR:INDEX=0"}</definedName>
    <definedName name="_413__FDSAUDITLINK__" localSheetId="6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3__FDSAUDITLINK__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30__FDSAUDITLINK__" localSheetId="6" hidden="1">{"fdsup://directions/FAT Viewer?action=UPDATE&amp;creator=factset&amp;DYN_ARGS=TRUE&amp;DOC_NAME=FAT:FQL_AUDITING_CLIENT_TEMPLATE.FAT&amp;display_string=Audit&amp;VAR:KEY=JGTIHYREHU&amp;VAR:QUERY=RkZfRUJJVERBX0lCKCdMVE1TJywzOTc1NSk=&amp;WINDOW=FIRST_POPUP&amp;HEIGHT=450&amp;WIDTH=450&amp;START_MA","XIMIZED=FALSE&amp;VAR:CALENDAR=US&amp;VAR:SYMBOL=37183T10&amp;VAR:INDEX=0"}</definedName>
    <definedName name="_4130__FDSAUDITLINK__" hidden="1">{"fdsup://directions/FAT Viewer?action=UPDATE&amp;creator=factset&amp;DYN_ARGS=TRUE&amp;DOC_NAME=FAT:FQL_AUDITING_CLIENT_TEMPLATE.FAT&amp;display_string=Audit&amp;VAR:KEY=JGTIHYREHU&amp;VAR:QUERY=RkZfRUJJVERBX0lCKCdMVE1TJywzOTc1NSk=&amp;WINDOW=FIRST_POPUP&amp;HEIGHT=450&amp;WIDTH=450&amp;START_MA","XIMIZED=FALSE&amp;VAR:CALENDAR=US&amp;VAR:SYMBOL=37183T10&amp;VAR:INDEX=0"}</definedName>
    <definedName name="_4131__FDSAUDITLINK__" localSheetId="6" hidden="1">{"fdsup://directions/FAT Viewer?action=UPDATE&amp;creator=factset&amp;DYN_ARGS=TRUE&amp;DOC_NAME=FAT:FQL_AUDITING_CLIENT_TEMPLATE.FAT&amp;display_string=Audit&amp;VAR:KEY=DORGDOPGNA&amp;VAR:QUERY=RkZfRUJJVERBX0lCKCdMVE1TJywzOTc1NCk=&amp;WINDOW=FIRST_POPUP&amp;HEIGHT=450&amp;WIDTH=450&amp;START_MA","XIMIZED=FALSE&amp;VAR:CALENDAR=US&amp;VAR:SYMBOL=37183T10&amp;VAR:INDEX=0"}</definedName>
    <definedName name="_4131__FDSAUDITLINK__" hidden="1">{"fdsup://directions/FAT Viewer?action=UPDATE&amp;creator=factset&amp;DYN_ARGS=TRUE&amp;DOC_NAME=FAT:FQL_AUDITING_CLIENT_TEMPLATE.FAT&amp;display_string=Audit&amp;VAR:KEY=DORGDOPGNA&amp;VAR:QUERY=RkZfRUJJVERBX0lCKCdMVE1TJywzOTc1NCk=&amp;WINDOW=FIRST_POPUP&amp;HEIGHT=450&amp;WIDTH=450&amp;START_MA","XIMIZED=FALSE&amp;VAR:CALENDAR=US&amp;VAR:SYMBOL=37183T10&amp;VAR:INDEX=0"}</definedName>
    <definedName name="_4132__FDSAUDITLINK__" localSheetId="6" hidden="1">{"fdsup://directions/FAT Viewer?action=UPDATE&amp;creator=factset&amp;DYN_ARGS=TRUE&amp;DOC_NAME=FAT:FQL_AUDITING_CLIENT_TEMPLATE.FAT&amp;display_string=Audit&amp;VAR:KEY=XSVANMXSLI&amp;VAR:QUERY=RkZfRUJJVERBX0lCKCdMVE1TJywzOTc1Myk=&amp;WINDOW=FIRST_POPUP&amp;HEIGHT=450&amp;WIDTH=450&amp;START_MA","XIMIZED=FALSE&amp;VAR:CALENDAR=US&amp;VAR:SYMBOL=37183T10&amp;VAR:INDEX=0"}</definedName>
    <definedName name="_4132__FDSAUDITLINK__" hidden="1">{"fdsup://directions/FAT Viewer?action=UPDATE&amp;creator=factset&amp;DYN_ARGS=TRUE&amp;DOC_NAME=FAT:FQL_AUDITING_CLIENT_TEMPLATE.FAT&amp;display_string=Audit&amp;VAR:KEY=XSVANMXSLI&amp;VAR:QUERY=RkZfRUJJVERBX0lCKCdMVE1TJywzOTc1Myk=&amp;WINDOW=FIRST_POPUP&amp;HEIGHT=450&amp;WIDTH=450&amp;START_MA","XIMIZED=FALSE&amp;VAR:CALENDAR=US&amp;VAR:SYMBOL=37183T10&amp;VAR:INDEX=0"}</definedName>
    <definedName name="_4133__FDSAUDITLINK__" localSheetId="6" hidden="1">{"fdsup://directions/FAT Viewer?action=UPDATE&amp;creator=factset&amp;DYN_ARGS=TRUE&amp;DOC_NAME=FAT:FQL_AUDITING_CLIENT_TEMPLATE.FAT&amp;display_string=Audit&amp;VAR:KEY=BSVKHWFQRA&amp;VAR:QUERY=RkZfRUJJVERBX0lCKCdMVE1TJywzOTc1Mik=&amp;WINDOW=FIRST_POPUP&amp;HEIGHT=450&amp;WIDTH=450&amp;START_MA","XIMIZED=FALSE&amp;VAR:CALENDAR=US&amp;VAR:SYMBOL=37183T10&amp;VAR:INDEX=0"}</definedName>
    <definedName name="_4133__FDSAUDITLINK__" hidden="1">{"fdsup://directions/FAT Viewer?action=UPDATE&amp;creator=factset&amp;DYN_ARGS=TRUE&amp;DOC_NAME=FAT:FQL_AUDITING_CLIENT_TEMPLATE.FAT&amp;display_string=Audit&amp;VAR:KEY=BSVKHWFQRA&amp;VAR:QUERY=RkZfRUJJVERBX0lCKCdMVE1TJywzOTc1Mik=&amp;WINDOW=FIRST_POPUP&amp;HEIGHT=450&amp;WIDTH=450&amp;START_MA","XIMIZED=FALSE&amp;VAR:CALENDAR=US&amp;VAR:SYMBOL=37183T10&amp;VAR:INDEX=0"}</definedName>
    <definedName name="_4134__FDSAUDITLINK__" localSheetId="6" hidden="1">{"fdsup://directions/FAT Viewer?action=UPDATE&amp;creator=factset&amp;DYN_ARGS=TRUE&amp;DOC_NAME=FAT:FQL_AUDITING_CLIENT_TEMPLATE.FAT&amp;display_string=Audit&amp;VAR:KEY=PGDKNGLWFU&amp;VAR:QUERY=RkZfRUJJVERBX0lCKCdMVE1TJywzOTc1MSk=&amp;WINDOW=FIRST_POPUP&amp;HEIGHT=450&amp;WIDTH=450&amp;START_MA","XIMIZED=FALSE&amp;VAR:CALENDAR=US&amp;VAR:SYMBOL=37183T10&amp;VAR:INDEX=0"}</definedName>
    <definedName name="_4134__FDSAUDITLINK__" hidden="1">{"fdsup://directions/FAT Viewer?action=UPDATE&amp;creator=factset&amp;DYN_ARGS=TRUE&amp;DOC_NAME=FAT:FQL_AUDITING_CLIENT_TEMPLATE.FAT&amp;display_string=Audit&amp;VAR:KEY=PGDKNGLWFU&amp;VAR:QUERY=RkZfRUJJVERBX0lCKCdMVE1TJywzOTc1MSk=&amp;WINDOW=FIRST_POPUP&amp;HEIGHT=450&amp;WIDTH=450&amp;START_MA","XIMIZED=FALSE&amp;VAR:CALENDAR=US&amp;VAR:SYMBOL=37183T10&amp;VAR:INDEX=0"}</definedName>
    <definedName name="_4135__FDSAUDITLINK__" localSheetId="6" hidden="1">{"fdsup://directions/FAT Viewer?action=UPDATE&amp;creator=factset&amp;DYN_ARGS=TRUE&amp;DOC_NAME=FAT:FQL_AUDITING_CLIENT_TEMPLATE.FAT&amp;display_string=Audit&amp;VAR:KEY=DOPQNYPCJI&amp;VAR:QUERY=RkZfRUJJVERBX0lCKCdMVE1TJywzOTc1MCk=&amp;WINDOW=FIRST_POPUP&amp;HEIGHT=450&amp;WIDTH=450&amp;START_MA","XIMIZED=FALSE&amp;VAR:CALENDAR=US&amp;VAR:SYMBOL=37183T10&amp;VAR:INDEX=0"}</definedName>
    <definedName name="_4135__FDSAUDITLINK__" hidden="1">{"fdsup://directions/FAT Viewer?action=UPDATE&amp;creator=factset&amp;DYN_ARGS=TRUE&amp;DOC_NAME=FAT:FQL_AUDITING_CLIENT_TEMPLATE.FAT&amp;display_string=Audit&amp;VAR:KEY=DOPQNYPCJI&amp;VAR:QUERY=RkZfRUJJVERBX0lCKCdMVE1TJywzOTc1MCk=&amp;WINDOW=FIRST_POPUP&amp;HEIGHT=450&amp;WIDTH=450&amp;START_MA","XIMIZED=FALSE&amp;VAR:CALENDAR=US&amp;VAR:SYMBOL=37183T10&amp;VAR:INDEX=0"}</definedName>
    <definedName name="_4136__FDSAUDITLINK__" localSheetId="6" hidden="1">{"fdsup://directions/FAT Viewer?action=UPDATE&amp;creator=factset&amp;DYN_ARGS=TRUE&amp;DOC_NAME=FAT:FQL_AUDITING_CLIENT_TEMPLATE.FAT&amp;display_string=Audit&amp;VAR:KEY=LYTQNKXIFI&amp;VAR:QUERY=RkZfRUJJVERBX0lCKCdMVE1TJywzOTc0OSk=&amp;WINDOW=FIRST_POPUP&amp;HEIGHT=450&amp;WIDTH=450&amp;START_MA","XIMIZED=FALSE&amp;VAR:CALENDAR=US&amp;VAR:SYMBOL=37183T10&amp;VAR:INDEX=0"}</definedName>
    <definedName name="_4136__FDSAUDITLINK__" hidden="1">{"fdsup://directions/FAT Viewer?action=UPDATE&amp;creator=factset&amp;DYN_ARGS=TRUE&amp;DOC_NAME=FAT:FQL_AUDITING_CLIENT_TEMPLATE.FAT&amp;display_string=Audit&amp;VAR:KEY=LYTQNKXIFI&amp;VAR:QUERY=RkZfRUJJVERBX0lCKCdMVE1TJywzOTc0OSk=&amp;WINDOW=FIRST_POPUP&amp;HEIGHT=450&amp;WIDTH=450&amp;START_MA","XIMIZED=FALSE&amp;VAR:CALENDAR=US&amp;VAR:SYMBOL=37183T10&amp;VAR:INDEX=0"}</definedName>
    <definedName name="_4137__FDSAUDITLINK__" localSheetId="6" hidden="1">{"fdsup://directions/FAT Viewer?action=UPDATE&amp;creator=factset&amp;DYN_ARGS=TRUE&amp;DOC_NAME=FAT:FQL_AUDITING_CLIENT_TEMPLATE.FAT&amp;display_string=Audit&amp;VAR:KEY=NGLYXGBWJG&amp;VAR:QUERY=RkZfRUJJVERBX0lCKCdMVE1TJywzOTc0OCk=&amp;WINDOW=FIRST_POPUP&amp;HEIGHT=450&amp;WIDTH=450&amp;START_MA","XIMIZED=FALSE&amp;VAR:CALENDAR=US&amp;VAR:SYMBOL=37183T10&amp;VAR:INDEX=0"}</definedName>
    <definedName name="_4137__FDSAUDITLINK__" hidden="1">{"fdsup://directions/FAT Viewer?action=UPDATE&amp;creator=factset&amp;DYN_ARGS=TRUE&amp;DOC_NAME=FAT:FQL_AUDITING_CLIENT_TEMPLATE.FAT&amp;display_string=Audit&amp;VAR:KEY=NGLYXGBWJG&amp;VAR:QUERY=RkZfRUJJVERBX0lCKCdMVE1TJywzOTc0OCk=&amp;WINDOW=FIRST_POPUP&amp;HEIGHT=450&amp;WIDTH=450&amp;START_MA","XIMIZED=FALSE&amp;VAR:CALENDAR=US&amp;VAR:SYMBOL=37183T10&amp;VAR:INDEX=0"}</definedName>
    <definedName name="_4138__FDSAUDITLINK__" localSheetId="6" hidden="1">{"fdsup://directions/FAT Viewer?action=UPDATE&amp;creator=factset&amp;DYN_ARGS=TRUE&amp;DOC_NAME=FAT:FQL_AUDITING_CLIENT_TEMPLATE.FAT&amp;display_string=Audit&amp;VAR:KEY=DOXIPYNMLE&amp;VAR:QUERY=RkZfRUJJVERBX0lCKCdMVE1TJywzOTc0Nyk=&amp;WINDOW=FIRST_POPUP&amp;HEIGHT=450&amp;WIDTH=450&amp;START_MA","XIMIZED=FALSE&amp;VAR:CALENDAR=US&amp;VAR:SYMBOL=37183T10&amp;VAR:INDEX=0"}</definedName>
    <definedName name="_4138__FDSAUDITLINK__" hidden="1">{"fdsup://directions/FAT Viewer?action=UPDATE&amp;creator=factset&amp;DYN_ARGS=TRUE&amp;DOC_NAME=FAT:FQL_AUDITING_CLIENT_TEMPLATE.FAT&amp;display_string=Audit&amp;VAR:KEY=DOXIPYNMLE&amp;VAR:QUERY=RkZfRUJJVERBX0lCKCdMVE1TJywzOTc0Nyk=&amp;WINDOW=FIRST_POPUP&amp;HEIGHT=450&amp;WIDTH=450&amp;START_MA","XIMIZED=FALSE&amp;VAR:CALENDAR=US&amp;VAR:SYMBOL=37183T10&amp;VAR:INDEX=0"}</definedName>
    <definedName name="_4139__FDSAUDITLINK__" localSheetId="6" hidden="1">{"fdsup://directions/FAT Viewer?action=UPDATE&amp;creator=factset&amp;DYN_ARGS=TRUE&amp;DOC_NAME=FAT:FQL_AUDITING_CLIENT_TEMPLATE.FAT&amp;display_string=Audit&amp;VAR:KEY=DYLKJSFSVM&amp;VAR:QUERY=RkZfRUJJVERBX0lCKCdMVE1TJywzOTc0Nik=&amp;WINDOW=FIRST_POPUP&amp;HEIGHT=450&amp;WIDTH=450&amp;START_MA","XIMIZED=FALSE&amp;VAR:CALENDAR=US&amp;VAR:SYMBOL=37183T10&amp;VAR:INDEX=0"}</definedName>
    <definedName name="_4139__FDSAUDITLINK__" hidden="1">{"fdsup://directions/FAT Viewer?action=UPDATE&amp;creator=factset&amp;DYN_ARGS=TRUE&amp;DOC_NAME=FAT:FQL_AUDITING_CLIENT_TEMPLATE.FAT&amp;display_string=Audit&amp;VAR:KEY=DYLKJSFSVM&amp;VAR:QUERY=RkZfRUJJVERBX0lCKCdMVE1TJywzOTc0Nik=&amp;WINDOW=FIRST_POPUP&amp;HEIGHT=450&amp;WIDTH=450&amp;START_MA","XIMIZED=FALSE&amp;VAR:CALENDAR=US&amp;VAR:SYMBOL=37183T10&amp;VAR:INDEX=0"}</definedName>
    <definedName name="_414__FDSAUDITLINK__" localSheetId="6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4__FDSAUDITLINK__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40__FDSAUDITLINK__" localSheetId="6" hidden="1">{"fdsup://directions/FAT Viewer?action=UPDATE&amp;creator=factset&amp;DYN_ARGS=TRUE&amp;DOC_NAME=FAT:FQL_AUDITING_CLIENT_TEMPLATE.FAT&amp;display_string=Audit&amp;VAR:KEY=TCFYRGFKHA&amp;VAR:QUERY=RkZfRUJJVERBX0lCKCdMVE1TJywzOTc0NSk=&amp;WINDOW=FIRST_POPUP&amp;HEIGHT=450&amp;WIDTH=450&amp;START_MA","XIMIZED=FALSE&amp;VAR:CALENDAR=US&amp;VAR:SYMBOL=37183T10&amp;VAR:INDEX=0"}</definedName>
    <definedName name="_4140__FDSAUDITLINK__" hidden="1">{"fdsup://directions/FAT Viewer?action=UPDATE&amp;creator=factset&amp;DYN_ARGS=TRUE&amp;DOC_NAME=FAT:FQL_AUDITING_CLIENT_TEMPLATE.FAT&amp;display_string=Audit&amp;VAR:KEY=TCFYRGFKHA&amp;VAR:QUERY=RkZfRUJJVERBX0lCKCdMVE1TJywzOTc0NSk=&amp;WINDOW=FIRST_POPUP&amp;HEIGHT=450&amp;WIDTH=450&amp;START_MA","XIMIZED=FALSE&amp;VAR:CALENDAR=US&amp;VAR:SYMBOL=37183T10&amp;VAR:INDEX=0"}</definedName>
    <definedName name="_4141__FDSAUDITLINK__" localSheetId="6" hidden="1">{"fdsup://directions/FAT Viewer?action=UPDATE&amp;creator=factset&amp;DYN_ARGS=TRUE&amp;DOC_NAME=FAT:FQL_AUDITING_CLIENT_TEMPLATE.FAT&amp;display_string=Audit&amp;VAR:KEY=RQHUBWVCLO&amp;VAR:QUERY=RkZfRUJJVERBX0lCKCdMVE1TJywzOTc0NCk=&amp;WINDOW=FIRST_POPUP&amp;HEIGHT=450&amp;WIDTH=450&amp;START_MA","XIMIZED=FALSE&amp;VAR:CALENDAR=US&amp;VAR:SYMBOL=37183T10&amp;VAR:INDEX=0"}</definedName>
    <definedName name="_4141__FDSAUDITLINK__" hidden="1">{"fdsup://directions/FAT Viewer?action=UPDATE&amp;creator=factset&amp;DYN_ARGS=TRUE&amp;DOC_NAME=FAT:FQL_AUDITING_CLIENT_TEMPLATE.FAT&amp;display_string=Audit&amp;VAR:KEY=RQHUBWVCLO&amp;VAR:QUERY=RkZfRUJJVERBX0lCKCdMVE1TJywzOTc0NCk=&amp;WINDOW=FIRST_POPUP&amp;HEIGHT=450&amp;WIDTH=450&amp;START_MA","XIMIZED=FALSE&amp;VAR:CALENDAR=US&amp;VAR:SYMBOL=37183T10&amp;VAR:INDEX=0"}</definedName>
    <definedName name="_4142__FDSAUDITLINK__" localSheetId="6" hidden="1">{"fdsup://directions/FAT Viewer?action=UPDATE&amp;creator=factset&amp;DYN_ARGS=TRUE&amp;DOC_NAME=FAT:FQL_AUDITING_CLIENT_TEMPLATE.FAT&amp;display_string=Audit&amp;VAR:KEY=POPMVGJKRI&amp;VAR:QUERY=RkZfRUJJVERBX0lCKCdMVE1TJywzOTc0Myk=&amp;WINDOW=FIRST_POPUP&amp;HEIGHT=450&amp;WIDTH=450&amp;START_MA","XIMIZED=FALSE&amp;VAR:CALENDAR=US&amp;VAR:SYMBOL=37183T10&amp;VAR:INDEX=0"}</definedName>
    <definedName name="_4142__FDSAUDITLINK__" hidden="1">{"fdsup://directions/FAT Viewer?action=UPDATE&amp;creator=factset&amp;DYN_ARGS=TRUE&amp;DOC_NAME=FAT:FQL_AUDITING_CLIENT_TEMPLATE.FAT&amp;display_string=Audit&amp;VAR:KEY=POPMVGJKRI&amp;VAR:QUERY=RkZfRUJJVERBX0lCKCdMVE1TJywzOTc0Myk=&amp;WINDOW=FIRST_POPUP&amp;HEIGHT=450&amp;WIDTH=450&amp;START_MA","XIMIZED=FALSE&amp;VAR:CALENDAR=US&amp;VAR:SYMBOL=37183T10&amp;VAR:INDEX=0"}</definedName>
    <definedName name="_4143__FDSAUDITLINK__" localSheetId="6" hidden="1">{"fdsup://directions/FAT Viewer?action=UPDATE&amp;creator=factset&amp;DYN_ARGS=TRUE&amp;DOC_NAME=FAT:FQL_AUDITING_CLIENT_TEMPLATE.FAT&amp;display_string=Audit&amp;VAR:KEY=HCJYTOPSHI&amp;VAR:QUERY=RkZfRUJJVERBX0lCKCdMVE1TJywzOTc0Mik=&amp;WINDOW=FIRST_POPUP&amp;HEIGHT=450&amp;WIDTH=450&amp;START_MA","XIMIZED=FALSE&amp;VAR:CALENDAR=US&amp;VAR:SYMBOL=37183T10&amp;VAR:INDEX=0"}</definedName>
    <definedName name="_4143__FDSAUDITLINK__" hidden="1">{"fdsup://directions/FAT Viewer?action=UPDATE&amp;creator=factset&amp;DYN_ARGS=TRUE&amp;DOC_NAME=FAT:FQL_AUDITING_CLIENT_TEMPLATE.FAT&amp;display_string=Audit&amp;VAR:KEY=HCJYTOPSHI&amp;VAR:QUERY=RkZfRUJJVERBX0lCKCdMVE1TJywzOTc0Mik=&amp;WINDOW=FIRST_POPUP&amp;HEIGHT=450&amp;WIDTH=450&amp;START_MA","XIMIZED=FALSE&amp;VAR:CALENDAR=US&amp;VAR:SYMBOL=37183T10&amp;VAR:INDEX=0"}</definedName>
    <definedName name="_4144__FDSAUDITLINK__" localSheetId="6" hidden="1">{"fdsup://directions/FAT Viewer?action=UPDATE&amp;creator=factset&amp;DYN_ARGS=TRUE&amp;DOC_NAME=FAT:FQL_AUDITING_CLIENT_TEMPLATE.FAT&amp;display_string=Audit&amp;VAR:KEY=FWJMVKDQRY&amp;VAR:QUERY=RkZfRUJJVERBX0lCKCdMVE1TJywzOTc0MSk=&amp;WINDOW=FIRST_POPUP&amp;HEIGHT=450&amp;WIDTH=450&amp;START_MA","XIMIZED=FALSE&amp;VAR:CALENDAR=US&amp;VAR:SYMBOL=37183T10&amp;VAR:INDEX=0"}</definedName>
    <definedName name="_4144__FDSAUDITLINK__" hidden="1">{"fdsup://directions/FAT Viewer?action=UPDATE&amp;creator=factset&amp;DYN_ARGS=TRUE&amp;DOC_NAME=FAT:FQL_AUDITING_CLIENT_TEMPLATE.FAT&amp;display_string=Audit&amp;VAR:KEY=FWJMVKDQRY&amp;VAR:QUERY=RkZfRUJJVERBX0lCKCdMVE1TJywzOTc0MSk=&amp;WINDOW=FIRST_POPUP&amp;HEIGHT=450&amp;WIDTH=450&amp;START_MA","XIMIZED=FALSE&amp;VAR:CALENDAR=US&amp;VAR:SYMBOL=37183T10&amp;VAR:INDEX=0"}</definedName>
    <definedName name="_4145__FDSAUDITLINK__" localSheetId="6" hidden="1">{"fdsup://directions/FAT Viewer?action=UPDATE&amp;creator=factset&amp;DYN_ARGS=TRUE&amp;DOC_NAME=FAT:FQL_AUDITING_CLIENT_TEMPLATE.FAT&amp;display_string=Audit&amp;VAR:KEY=PEVEFCLGVK&amp;VAR:QUERY=RkZfRUJJVERBX0lCKCdMVE1TJywzOTc0MCk=&amp;WINDOW=FIRST_POPUP&amp;HEIGHT=450&amp;WIDTH=450&amp;START_MA","XIMIZED=FALSE&amp;VAR:CALENDAR=US&amp;VAR:SYMBOL=37183T10&amp;VAR:INDEX=0"}</definedName>
    <definedName name="_4145__FDSAUDITLINK__" hidden="1">{"fdsup://directions/FAT Viewer?action=UPDATE&amp;creator=factset&amp;DYN_ARGS=TRUE&amp;DOC_NAME=FAT:FQL_AUDITING_CLIENT_TEMPLATE.FAT&amp;display_string=Audit&amp;VAR:KEY=PEVEFCLGVK&amp;VAR:QUERY=RkZfRUJJVERBX0lCKCdMVE1TJywzOTc0MCk=&amp;WINDOW=FIRST_POPUP&amp;HEIGHT=450&amp;WIDTH=450&amp;START_MA","XIMIZED=FALSE&amp;VAR:CALENDAR=US&amp;VAR:SYMBOL=37183T10&amp;VAR:INDEX=0"}</definedName>
    <definedName name="_4146__FDSAUDITLINK__" localSheetId="6" hidden="1">{"fdsup://directions/FAT Viewer?action=UPDATE&amp;creator=factset&amp;DYN_ARGS=TRUE&amp;DOC_NAME=FAT:FQL_AUDITING_CLIENT_TEMPLATE.FAT&amp;display_string=Audit&amp;VAR:KEY=NEZADUBARW&amp;VAR:QUERY=RkZfRUJJVERBX0lCKCdMVE1TJywzOTczOSk=&amp;WINDOW=FIRST_POPUP&amp;HEIGHT=450&amp;WIDTH=450&amp;START_MA","XIMIZED=FALSE&amp;VAR:CALENDAR=US&amp;VAR:SYMBOL=37183T10&amp;VAR:INDEX=0"}</definedName>
    <definedName name="_4146__FDSAUDITLINK__" hidden="1">{"fdsup://directions/FAT Viewer?action=UPDATE&amp;creator=factset&amp;DYN_ARGS=TRUE&amp;DOC_NAME=FAT:FQL_AUDITING_CLIENT_TEMPLATE.FAT&amp;display_string=Audit&amp;VAR:KEY=NEZADUBARW&amp;VAR:QUERY=RkZfRUJJVERBX0lCKCdMVE1TJywzOTczOSk=&amp;WINDOW=FIRST_POPUP&amp;HEIGHT=450&amp;WIDTH=450&amp;START_MA","XIMIZED=FALSE&amp;VAR:CALENDAR=US&amp;VAR:SYMBOL=37183T10&amp;VAR:INDEX=0"}</definedName>
    <definedName name="_4147__FDSAUDITLINK__" localSheetId="6" hidden="1">{"fdsup://directions/FAT Viewer?action=UPDATE&amp;creator=factset&amp;DYN_ARGS=TRUE&amp;DOC_NAME=FAT:FQL_AUDITING_CLIENT_TEMPLATE.FAT&amp;display_string=Audit&amp;VAR:KEY=BUPCNKJGXM&amp;VAR:QUERY=RkZfRUJJVERBX0lCKCdMVE1TJywzOTczOCk=&amp;WINDOW=FIRST_POPUP&amp;HEIGHT=450&amp;WIDTH=450&amp;START_MA","XIMIZED=FALSE&amp;VAR:CALENDAR=US&amp;VAR:SYMBOL=37183T10&amp;VAR:INDEX=0"}</definedName>
    <definedName name="_4147__FDSAUDITLINK__" hidden="1">{"fdsup://directions/FAT Viewer?action=UPDATE&amp;creator=factset&amp;DYN_ARGS=TRUE&amp;DOC_NAME=FAT:FQL_AUDITING_CLIENT_TEMPLATE.FAT&amp;display_string=Audit&amp;VAR:KEY=BUPCNKJGXM&amp;VAR:QUERY=RkZfRUJJVERBX0lCKCdMVE1TJywzOTczOCk=&amp;WINDOW=FIRST_POPUP&amp;HEIGHT=450&amp;WIDTH=450&amp;START_MA","XIMIZED=FALSE&amp;VAR:CALENDAR=US&amp;VAR:SYMBOL=37183T10&amp;VAR:INDEX=0"}</definedName>
    <definedName name="_4148__FDSAUDITLINK__" localSheetId="6" hidden="1">{"fdsup://directions/FAT Viewer?action=UPDATE&amp;creator=factset&amp;DYN_ARGS=TRUE&amp;DOC_NAME=FAT:FQL_AUDITING_CLIENT_TEMPLATE.FAT&amp;display_string=Audit&amp;VAR:KEY=LQTUNWZMFM&amp;VAR:QUERY=RkZfRUJJVERBX0lCKCdMVE1TJywzOTczNyk=&amp;WINDOW=FIRST_POPUP&amp;HEIGHT=450&amp;WIDTH=450&amp;START_MA","XIMIZED=FALSE&amp;VAR:CALENDAR=US&amp;VAR:SYMBOL=37183T10&amp;VAR:INDEX=0"}</definedName>
    <definedName name="_4148__FDSAUDITLINK__" hidden="1">{"fdsup://directions/FAT Viewer?action=UPDATE&amp;creator=factset&amp;DYN_ARGS=TRUE&amp;DOC_NAME=FAT:FQL_AUDITING_CLIENT_TEMPLATE.FAT&amp;display_string=Audit&amp;VAR:KEY=LQTUNWZMFM&amp;VAR:QUERY=RkZfRUJJVERBX0lCKCdMVE1TJywzOTczNyk=&amp;WINDOW=FIRST_POPUP&amp;HEIGHT=450&amp;WIDTH=450&amp;START_MA","XIMIZED=FALSE&amp;VAR:CALENDAR=US&amp;VAR:SYMBOL=37183T10&amp;VAR:INDEX=0"}</definedName>
    <definedName name="_4149__FDSAUDITLINK__" localSheetId="6" hidden="1">{"fdsup://directions/FAT Viewer?action=UPDATE&amp;creator=factset&amp;DYN_ARGS=TRUE&amp;DOC_NAME=FAT:FQL_AUDITING_CLIENT_TEMPLATE.FAT&amp;display_string=Audit&amp;VAR:KEY=ZCZMREFSVY&amp;VAR:QUERY=RkZfRUJJVERBX0lCKCdMVE1TJywzOTczNik=&amp;WINDOW=FIRST_POPUP&amp;HEIGHT=450&amp;WIDTH=450&amp;START_MA","XIMIZED=FALSE&amp;VAR:CALENDAR=US&amp;VAR:SYMBOL=37183T10&amp;VAR:INDEX=0"}</definedName>
    <definedName name="_4149__FDSAUDITLINK__" hidden="1">{"fdsup://directions/FAT Viewer?action=UPDATE&amp;creator=factset&amp;DYN_ARGS=TRUE&amp;DOC_NAME=FAT:FQL_AUDITING_CLIENT_TEMPLATE.FAT&amp;display_string=Audit&amp;VAR:KEY=ZCZMREFSVY&amp;VAR:QUERY=RkZfRUJJVERBX0lCKCdMVE1TJywzOTczNik=&amp;WINDOW=FIRST_POPUP&amp;HEIGHT=450&amp;WIDTH=450&amp;START_MA","XIMIZED=FALSE&amp;VAR:CALENDAR=US&amp;VAR:SYMBOL=37183T10&amp;VAR:INDEX=0"}</definedName>
    <definedName name="_415__FDSAUDITLINK__" localSheetId="6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5__FDSAUDITLINK__" hidden="1">{"fdsup://directions/FAT%20Viewer?VAR:PED=LTM&amp;VAR:AUDIT_MODE=SUMMARY&amp;VAR:PERIOD=FIXED&amp;VAR:AUDIT_ID=00000117&amp;VAR:DATE=20090102&amp;action=UPDATE&amp;creator=factset&amp;DOC_NAME=FAT:FMA_audit_SUMMARY.fat&amp;DISPLAY_STRING=Display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50__FDSAUDITLINK__" localSheetId="6" hidden="1">{"fdsup://directions/FAT Viewer?action=UPDATE&amp;creator=factset&amp;DYN_ARGS=TRUE&amp;DOC_NAME=FAT:FQL_AUDITING_CLIENT_TEMPLATE.FAT&amp;display_string=Audit&amp;VAR:KEY=DOVUNKZKNG&amp;VAR:QUERY=RkZfRUJJVERBX0lCKCdMVE1TJywzOTczNSk=&amp;WINDOW=FIRST_POPUP&amp;HEIGHT=450&amp;WIDTH=450&amp;START_MA","XIMIZED=FALSE&amp;VAR:CALENDAR=US&amp;VAR:SYMBOL=37183T10&amp;VAR:INDEX=0"}</definedName>
    <definedName name="_4150__FDSAUDITLINK__" hidden="1">{"fdsup://directions/FAT Viewer?action=UPDATE&amp;creator=factset&amp;DYN_ARGS=TRUE&amp;DOC_NAME=FAT:FQL_AUDITING_CLIENT_TEMPLATE.FAT&amp;display_string=Audit&amp;VAR:KEY=DOVUNKZKNG&amp;VAR:QUERY=RkZfRUJJVERBX0lCKCdMVE1TJywzOTczNSk=&amp;WINDOW=FIRST_POPUP&amp;HEIGHT=450&amp;WIDTH=450&amp;START_MA","XIMIZED=FALSE&amp;VAR:CALENDAR=US&amp;VAR:SYMBOL=37183T10&amp;VAR:INDEX=0"}</definedName>
    <definedName name="_4151__FDSAUDITLINK__" localSheetId="6" hidden="1">{"fdsup://directions/FAT Viewer?action=UPDATE&amp;creator=factset&amp;DYN_ARGS=TRUE&amp;DOC_NAME=FAT:FQL_AUDITING_CLIENT_TEMPLATE.FAT&amp;display_string=Audit&amp;VAR:KEY=NUBGRILGLY&amp;VAR:QUERY=RkZfRUJJVERBX0lCKCdMVE1TJywzOTczNCk=&amp;WINDOW=FIRST_POPUP&amp;HEIGHT=450&amp;WIDTH=450&amp;START_MA","XIMIZED=FALSE&amp;VAR:CALENDAR=US&amp;VAR:SYMBOL=37183T10&amp;VAR:INDEX=0"}</definedName>
    <definedName name="_4151__FDSAUDITLINK__" hidden="1">{"fdsup://directions/FAT Viewer?action=UPDATE&amp;creator=factset&amp;DYN_ARGS=TRUE&amp;DOC_NAME=FAT:FQL_AUDITING_CLIENT_TEMPLATE.FAT&amp;display_string=Audit&amp;VAR:KEY=NUBGRILGLY&amp;VAR:QUERY=RkZfRUJJVERBX0lCKCdMVE1TJywzOTczNCk=&amp;WINDOW=FIRST_POPUP&amp;HEIGHT=450&amp;WIDTH=450&amp;START_MA","XIMIZED=FALSE&amp;VAR:CALENDAR=US&amp;VAR:SYMBOL=37183T10&amp;VAR:INDEX=0"}</definedName>
    <definedName name="_4152__FDSAUDITLINK__" localSheetId="6" hidden="1">{"fdsup://directions/FAT Viewer?action=UPDATE&amp;creator=factset&amp;DYN_ARGS=TRUE&amp;DOC_NAME=FAT:FQL_AUDITING_CLIENT_TEMPLATE.FAT&amp;display_string=Audit&amp;VAR:KEY=LERWRKXIPQ&amp;VAR:QUERY=RkZfRUJJVERBX0lCKCdMVE1TJywzOTczMyk=&amp;WINDOW=FIRST_POPUP&amp;HEIGHT=450&amp;WIDTH=450&amp;START_MA","XIMIZED=FALSE&amp;VAR:CALENDAR=US&amp;VAR:SYMBOL=37183T10&amp;VAR:INDEX=0"}</definedName>
    <definedName name="_4152__FDSAUDITLINK__" hidden="1">{"fdsup://directions/FAT Viewer?action=UPDATE&amp;creator=factset&amp;DYN_ARGS=TRUE&amp;DOC_NAME=FAT:FQL_AUDITING_CLIENT_TEMPLATE.FAT&amp;display_string=Audit&amp;VAR:KEY=LERWRKXIPQ&amp;VAR:QUERY=RkZfRUJJVERBX0lCKCdMVE1TJywzOTczMyk=&amp;WINDOW=FIRST_POPUP&amp;HEIGHT=450&amp;WIDTH=450&amp;START_MA","XIMIZED=FALSE&amp;VAR:CALENDAR=US&amp;VAR:SYMBOL=37183T10&amp;VAR:INDEX=0"}</definedName>
    <definedName name="_4153__FDSAUDITLINK__" localSheetId="6" hidden="1">{"fdsup://directions/FAT Viewer?action=UPDATE&amp;creator=factset&amp;DYN_ARGS=TRUE&amp;DOC_NAME=FAT:FQL_AUDITING_CLIENT_TEMPLATE.FAT&amp;display_string=Audit&amp;VAR:KEY=DCXYNURIHY&amp;VAR:QUERY=RkZfRUJJVERBX0lCKCdMVE1TJywzOTczMik=&amp;WINDOW=FIRST_POPUP&amp;HEIGHT=450&amp;WIDTH=450&amp;START_MA","XIMIZED=FALSE&amp;VAR:CALENDAR=US&amp;VAR:SYMBOL=37183T10&amp;VAR:INDEX=0"}</definedName>
    <definedName name="_4153__FDSAUDITLINK__" hidden="1">{"fdsup://directions/FAT Viewer?action=UPDATE&amp;creator=factset&amp;DYN_ARGS=TRUE&amp;DOC_NAME=FAT:FQL_AUDITING_CLIENT_TEMPLATE.FAT&amp;display_string=Audit&amp;VAR:KEY=DCXYNURIHY&amp;VAR:QUERY=RkZfRUJJVERBX0lCKCdMVE1TJywzOTczMik=&amp;WINDOW=FIRST_POPUP&amp;HEIGHT=450&amp;WIDTH=450&amp;START_MA","XIMIZED=FALSE&amp;VAR:CALENDAR=US&amp;VAR:SYMBOL=37183T10&amp;VAR:INDEX=0"}</definedName>
    <definedName name="_4154__FDSAUDITLINK__" localSheetId="6" hidden="1">{"fdsup://directions/FAT Viewer?action=UPDATE&amp;creator=factset&amp;DYN_ARGS=TRUE&amp;DOC_NAME=FAT:FQL_AUDITING_CLIENT_TEMPLATE.FAT&amp;display_string=Audit&amp;VAR:KEY=BSXULIFGNI&amp;VAR:QUERY=RkZfRUJJVERBX0lCKCdMVE1TJywzOTczMSk=&amp;WINDOW=FIRST_POPUP&amp;HEIGHT=450&amp;WIDTH=450&amp;START_MA","XIMIZED=FALSE&amp;VAR:CALENDAR=US&amp;VAR:SYMBOL=37183T10&amp;VAR:INDEX=0"}</definedName>
    <definedName name="_4154__FDSAUDITLINK__" hidden="1">{"fdsup://directions/FAT Viewer?action=UPDATE&amp;creator=factset&amp;DYN_ARGS=TRUE&amp;DOC_NAME=FAT:FQL_AUDITING_CLIENT_TEMPLATE.FAT&amp;display_string=Audit&amp;VAR:KEY=BSXULIFGNI&amp;VAR:QUERY=RkZfRUJJVERBX0lCKCdMVE1TJywzOTczMSk=&amp;WINDOW=FIRST_POPUP&amp;HEIGHT=450&amp;WIDTH=450&amp;START_MA","XIMIZED=FALSE&amp;VAR:CALENDAR=US&amp;VAR:SYMBOL=37183T10&amp;VAR:INDEX=0"}</definedName>
    <definedName name="_4155__FDSAUDITLINK__" localSheetId="6" hidden="1">{"fdsup://directions/FAT Viewer?action=UPDATE&amp;creator=factset&amp;DYN_ARGS=TRUE&amp;DOC_NAME=FAT:FQL_AUDITING_CLIENT_TEMPLATE.FAT&amp;display_string=Audit&amp;VAR:KEY=XYFUJQJIRM&amp;VAR:QUERY=RkZfRUJJVERBX0lCKCdMVE1TJywzOTczMCk=&amp;WINDOW=FIRST_POPUP&amp;HEIGHT=450&amp;WIDTH=450&amp;START_MA","XIMIZED=FALSE&amp;VAR:CALENDAR=US&amp;VAR:SYMBOL=37183T10&amp;VAR:INDEX=0"}</definedName>
    <definedName name="_4155__FDSAUDITLINK__" hidden="1">{"fdsup://directions/FAT Viewer?action=UPDATE&amp;creator=factset&amp;DYN_ARGS=TRUE&amp;DOC_NAME=FAT:FQL_AUDITING_CLIENT_TEMPLATE.FAT&amp;display_string=Audit&amp;VAR:KEY=XYFUJQJIRM&amp;VAR:QUERY=RkZfRUJJVERBX0lCKCdMVE1TJywzOTczMCk=&amp;WINDOW=FIRST_POPUP&amp;HEIGHT=450&amp;WIDTH=450&amp;START_MA","XIMIZED=FALSE&amp;VAR:CALENDAR=US&amp;VAR:SYMBOL=37183T10&amp;VAR:INDEX=0"}</definedName>
    <definedName name="_4156__FDSAUDITLINK__" localSheetId="6" hidden="1">{"fdsup://directions/FAT Viewer?action=UPDATE&amp;creator=factset&amp;DYN_ARGS=TRUE&amp;DOC_NAME=FAT:FQL_AUDITING_CLIENT_TEMPLATE.FAT&amp;display_string=Audit&amp;VAR:KEY=ZGVUNYPEXW&amp;VAR:QUERY=RkZfRUJJVERBX0lCKCdMVE1TJywzOTcyOSk=&amp;WINDOW=FIRST_POPUP&amp;HEIGHT=450&amp;WIDTH=450&amp;START_MA","XIMIZED=FALSE&amp;VAR:CALENDAR=US&amp;VAR:SYMBOL=37183T10&amp;VAR:INDEX=0"}</definedName>
    <definedName name="_4156__FDSAUDITLINK__" hidden="1">{"fdsup://directions/FAT Viewer?action=UPDATE&amp;creator=factset&amp;DYN_ARGS=TRUE&amp;DOC_NAME=FAT:FQL_AUDITING_CLIENT_TEMPLATE.FAT&amp;display_string=Audit&amp;VAR:KEY=ZGVUNYPEXW&amp;VAR:QUERY=RkZfRUJJVERBX0lCKCdMVE1TJywzOTcyOSk=&amp;WINDOW=FIRST_POPUP&amp;HEIGHT=450&amp;WIDTH=450&amp;START_MA","XIMIZED=FALSE&amp;VAR:CALENDAR=US&amp;VAR:SYMBOL=37183T10&amp;VAR:INDEX=0"}</definedName>
    <definedName name="_4157__FDSAUDITLINK__" localSheetId="6" hidden="1">{"fdsup://directions/FAT Viewer?action=UPDATE&amp;creator=factset&amp;DYN_ARGS=TRUE&amp;DOC_NAME=FAT:FQL_AUDITING_CLIENT_TEMPLATE.FAT&amp;display_string=Audit&amp;VAR:KEY=FAJCDGBKJM&amp;VAR:QUERY=RkZfRUJJVERBX0lCKCdMVE1TJywzOTcyOCk=&amp;WINDOW=FIRST_POPUP&amp;HEIGHT=450&amp;WIDTH=450&amp;START_MA","XIMIZED=FALSE&amp;VAR:CALENDAR=US&amp;VAR:SYMBOL=37183T10&amp;VAR:INDEX=0"}</definedName>
    <definedName name="_4157__FDSAUDITLINK__" hidden="1">{"fdsup://directions/FAT Viewer?action=UPDATE&amp;creator=factset&amp;DYN_ARGS=TRUE&amp;DOC_NAME=FAT:FQL_AUDITING_CLIENT_TEMPLATE.FAT&amp;display_string=Audit&amp;VAR:KEY=FAJCDGBKJM&amp;VAR:QUERY=RkZfRUJJVERBX0lCKCdMVE1TJywzOTcyOCk=&amp;WINDOW=FIRST_POPUP&amp;HEIGHT=450&amp;WIDTH=450&amp;START_MA","XIMIZED=FALSE&amp;VAR:CALENDAR=US&amp;VAR:SYMBOL=37183T10&amp;VAR:INDEX=0"}</definedName>
    <definedName name="_4158__FDSAUDITLINK__" localSheetId="6" hidden="1">{"fdsup://directions/FAT Viewer?action=UPDATE&amp;creator=factset&amp;DYN_ARGS=TRUE&amp;DOC_NAME=FAT:FQL_AUDITING_CLIENT_TEMPLATE.FAT&amp;display_string=Audit&amp;VAR:KEY=VGZOXCZQJU&amp;VAR:QUERY=RkZfRUJJVERBX0lCKCdMVE1TJywzOTcyNyk=&amp;WINDOW=FIRST_POPUP&amp;HEIGHT=450&amp;WIDTH=450&amp;START_MA","XIMIZED=FALSE&amp;VAR:CALENDAR=US&amp;VAR:SYMBOL=37183T10&amp;VAR:INDEX=0"}</definedName>
    <definedName name="_4158__FDSAUDITLINK__" hidden="1">{"fdsup://directions/FAT Viewer?action=UPDATE&amp;creator=factset&amp;DYN_ARGS=TRUE&amp;DOC_NAME=FAT:FQL_AUDITING_CLIENT_TEMPLATE.FAT&amp;display_string=Audit&amp;VAR:KEY=VGZOXCZQJU&amp;VAR:QUERY=RkZfRUJJVERBX0lCKCdMVE1TJywzOTcyNyk=&amp;WINDOW=FIRST_POPUP&amp;HEIGHT=450&amp;WIDTH=450&amp;START_MA","XIMIZED=FALSE&amp;VAR:CALENDAR=US&amp;VAR:SYMBOL=37183T10&amp;VAR:INDEX=0"}</definedName>
    <definedName name="_4159__FDSAUDITLINK__" localSheetId="6" hidden="1">{"fdsup://directions/FAT Viewer?action=UPDATE&amp;creator=factset&amp;DYN_ARGS=TRUE&amp;DOC_NAME=FAT:FQL_AUDITING_CLIENT_TEMPLATE.FAT&amp;display_string=Audit&amp;VAR:KEY=VGZWPQDWLQ&amp;VAR:QUERY=RkZfRUJJVERBX0lCKCdMVE1TJywzOTcyNik=&amp;WINDOW=FIRST_POPUP&amp;HEIGHT=450&amp;WIDTH=450&amp;START_MA","XIMIZED=FALSE&amp;VAR:CALENDAR=US&amp;VAR:SYMBOL=37183T10&amp;VAR:INDEX=0"}</definedName>
    <definedName name="_4159__FDSAUDITLINK__" hidden="1">{"fdsup://directions/FAT Viewer?action=UPDATE&amp;creator=factset&amp;DYN_ARGS=TRUE&amp;DOC_NAME=FAT:FQL_AUDITING_CLIENT_TEMPLATE.FAT&amp;display_string=Audit&amp;VAR:KEY=VGZWPQDWLQ&amp;VAR:QUERY=RkZfRUJJVERBX0lCKCdMVE1TJywzOTcyNik=&amp;WINDOW=FIRST_POPUP&amp;HEIGHT=450&amp;WIDTH=450&amp;START_MA","XIMIZED=FALSE&amp;VAR:CALENDAR=US&amp;VAR:SYMBOL=37183T10&amp;VAR:INDEX=0"}</definedName>
    <definedName name="_416__FDSAUDITLINK__" localSheetId="6" hidden="1">{"fdsup://directions/FAT%20Viewer?VAR:PED=LTM&amp;VAR:AUDIT_MODE=SUMMARY&amp;VAR:PERIOD=FIXED&amp;VAR:AUDIT_ID=00000117&amp;VAR:DATE=20081231&amp;action=UPDATE&amp;creator=factset&amp;DOC_NAME=FAT:FMA_audit_SUMMARY.fat&amp;DISPLAY_STRING=Display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6__FDSAUDITLINK__" hidden="1">{"fdsup://directions/FAT%20Viewer?VAR:PED=LTM&amp;VAR:AUDIT_MODE=SUMMARY&amp;VAR:PERIOD=FIXED&amp;VAR:AUDIT_ID=00000117&amp;VAR:DATE=20081231&amp;action=UPDATE&amp;creator=factset&amp;DOC_NAME=FAT:FMA_audit_SUMMARY.fat&amp;DISPLAY_STRING=Display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60__FDSAUDITLINK__" localSheetId="6" hidden="1">{"fdsup://directions/FAT Viewer?action=UPDATE&amp;creator=factset&amp;DYN_ARGS=TRUE&amp;DOC_NAME=FAT:FQL_AUDITING_CLIENT_TEMPLATE.FAT&amp;display_string=Audit&amp;VAR:KEY=ZUXSDAVQFC&amp;VAR:QUERY=RkZfRUJJVERBX0lCKCdMVE1TJywzOTcyNSk=&amp;WINDOW=FIRST_POPUP&amp;HEIGHT=450&amp;WIDTH=450&amp;START_MA","XIMIZED=FALSE&amp;VAR:CALENDAR=US&amp;VAR:SYMBOL=37183T10&amp;VAR:INDEX=0"}</definedName>
    <definedName name="_4160__FDSAUDITLINK__" hidden="1">{"fdsup://directions/FAT Viewer?action=UPDATE&amp;creator=factset&amp;DYN_ARGS=TRUE&amp;DOC_NAME=FAT:FQL_AUDITING_CLIENT_TEMPLATE.FAT&amp;display_string=Audit&amp;VAR:KEY=ZUXSDAVQFC&amp;VAR:QUERY=RkZfRUJJVERBX0lCKCdMVE1TJywzOTcyNSk=&amp;WINDOW=FIRST_POPUP&amp;HEIGHT=450&amp;WIDTH=450&amp;START_MA","XIMIZED=FALSE&amp;VAR:CALENDAR=US&amp;VAR:SYMBOL=37183T10&amp;VAR:INDEX=0"}</definedName>
    <definedName name="_4161__FDSAUDITLINK__" localSheetId="6" hidden="1">{"fdsup://directions/FAT Viewer?action=UPDATE&amp;creator=factset&amp;DYN_ARGS=TRUE&amp;DOC_NAME=FAT:FQL_AUDITING_CLIENT_TEMPLATE.FAT&amp;display_string=Audit&amp;VAR:KEY=BSDCXYLSHE&amp;VAR:QUERY=RkZfRUJJVERBX0lCKCdMVE1TJywzOTcyNCk=&amp;WINDOW=FIRST_POPUP&amp;HEIGHT=450&amp;WIDTH=450&amp;START_MA","XIMIZED=FALSE&amp;VAR:CALENDAR=US&amp;VAR:SYMBOL=37183T10&amp;VAR:INDEX=0"}</definedName>
    <definedName name="_4161__FDSAUDITLINK__" hidden="1">{"fdsup://directions/FAT Viewer?action=UPDATE&amp;creator=factset&amp;DYN_ARGS=TRUE&amp;DOC_NAME=FAT:FQL_AUDITING_CLIENT_TEMPLATE.FAT&amp;display_string=Audit&amp;VAR:KEY=BSDCXYLSHE&amp;VAR:QUERY=RkZfRUJJVERBX0lCKCdMVE1TJywzOTcyNCk=&amp;WINDOW=FIRST_POPUP&amp;HEIGHT=450&amp;WIDTH=450&amp;START_MA","XIMIZED=FALSE&amp;VAR:CALENDAR=US&amp;VAR:SYMBOL=37183T10&amp;VAR:INDEX=0"}</definedName>
    <definedName name="_4162__FDSAUDITLINK__" localSheetId="6" hidden="1">{"fdsup://directions/FAT Viewer?action=UPDATE&amp;creator=factset&amp;DYN_ARGS=TRUE&amp;DOC_NAME=FAT:FQL_AUDITING_CLIENT_TEMPLATE.FAT&amp;display_string=Audit&amp;VAR:KEY=DIRGPQDYJC&amp;VAR:QUERY=RkZfRUJJVERBX0lCKCdMVE1TJywzOTcyMyk=&amp;WINDOW=FIRST_POPUP&amp;HEIGHT=450&amp;WIDTH=450&amp;START_MA","XIMIZED=FALSE&amp;VAR:CALENDAR=US&amp;VAR:SYMBOL=37183T10&amp;VAR:INDEX=0"}</definedName>
    <definedName name="_4162__FDSAUDITLINK__" hidden="1">{"fdsup://directions/FAT Viewer?action=UPDATE&amp;creator=factset&amp;DYN_ARGS=TRUE&amp;DOC_NAME=FAT:FQL_AUDITING_CLIENT_TEMPLATE.FAT&amp;display_string=Audit&amp;VAR:KEY=DIRGPQDYJC&amp;VAR:QUERY=RkZfRUJJVERBX0lCKCdMVE1TJywzOTcyMyk=&amp;WINDOW=FIRST_POPUP&amp;HEIGHT=450&amp;WIDTH=450&amp;START_MA","XIMIZED=FALSE&amp;VAR:CALENDAR=US&amp;VAR:SYMBOL=37183T10&amp;VAR:INDEX=0"}</definedName>
    <definedName name="_4163__FDSAUDITLINK__" localSheetId="6" hidden="1">{"fdsup://directions/FAT Viewer?action=UPDATE&amp;creator=factset&amp;DYN_ARGS=TRUE&amp;DOC_NAME=FAT:FQL_AUDITING_CLIENT_TEMPLATE.FAT&amp;display_string=Audit&amp;VAR:KEY=DIDYJIRKVE&amp;VAR:QUERY=RkZfRUJJVERBX0lCKCdMVE1TJywzOTcyMik=&amp;WINDOW=FIRST_POPUP&amp;HEIGHT=450&amp;WIDTH=450&amp;START_MA","XIMIZED=FALSE&amp;VAR:CALENDAR=US&amp;VAR:SYMBOL=37183T10&amp;VAR:INDEX=0"}</definedName>
    <definedName name="_4163__FDSAUDITLINK__" hidden="1">{"fdsup://directions/FAT Viewer?action=UPDATE&amp;creator=factset&amp;DYN_ARGS=TRUE&amp;DOC_NAME=FAT:FQL_AUDITING_CLIENT_TEMPLATE.FAT&amp;display_string=Audit&amp;VAR:KEY=DIDYJIRKVE&amp;VAR:QUERY=RkZfRUJJVERBX0lCKCdMVE1TJywzOTcyMik=&amp;WINDOW=FIRST_POPUP&amp;HEIGHT=450&amp;WIDTH=450&amp;START_MA","XIMIZED=FALSE&amp;VAR:CALENDAR=US&amp;VAR:SYMBOL=37183T10&amp;VAR:INDEX=0"}</definedName>
    <definedName name="_4164__FDSAUDITLINK__" localSheetId="6" hidden="1">{"fdsup://directions/FAT Viewer?action=UPDATE&amp;creator=factset&amp;DYN_ARGS=TRUE&amp;DOC_NAME=FAT:FQL_AUDITING_CLIENT_TEMPLATE.FAT&amp;display_string=Audit&amp;VAR:KEY=JURKRUDEDM&amp;VAR:QUERY=RkZfRUJJVERBX0lCKCdMVE1TJywzOTcyMSk=&amp;WINDOW=FIRST_POPUP&amp;HEIGHT=450&amp;WIDTH=450&amp;START_MA","XIMIZED=FALSE&amp;VAR:CALENDAR=US&amp;VAR:SYMBOL=37183T10&amp;VAR:INDEX=0"}</definedName>
    <definedName name="_4164__FDSAUDITLINK__" hidden="1">{"fdsup://directions/FAT Viewer?action=UPDATE&amp;creator=factset&amp;DYN_ARGS=TRUE&amp;DOC_NAME=FAT:FQL_AUDITING_CLIENT_TEMPLATE.FAT&amp;display_string=Audit&amp;VAR:KEY=JURKRUDEDM&amp;VAR:QUERY=RkZfRUJJVERBX0lCKCdMVE1TJywzOTcyMSk=&amp;WINDOW=FIRST_POPUP&amp;HEIGHT=450&amp;WIDTH=450&amp;START_MA","XIMIZED=FALSE&amp;VAR:CALENDAR=US&amp;VAR:SYMBOL=37183T10&amp;VAR:INDEX=0"}</definedName>
    <definedName name="_4165__FDSAUDITLINK__" localSheetId="6" hidden="1">{"fdsup://directions/FAT Viewer?action=UPDATE&amp;creator=factset&amp;DYN_ARGS=TRUE&amp;DOC_NAME=FAT:FQL_AUDITING_CLIENT_TEMPLATE.FAT&amp;display_string=Audit&amp;VAR:KEY=XSJATINWJY&amp;VAR:QUERY=RkZfRUJJVERBX0lCKCdMVE1TJywzOTcyMCk=&amp;WINDOW=FIRST_POPUP&amp;HEIGHT=450&amp;WIDTH=450&amp;START_MA","XIMIZED=FALSE&amp;VAR:CALENDAR=US&amp;VAR:SYMBOL=37183T10&amp;VAR:INDEX=0"}</definedName>
    <definedName name="_4165__FDSAUDITLINK__" hidden="1">{"fdsup://directions/FAT Viewer?action=UPDATE&amp;creator=factset&amp;DYN_ARGS=TRUE&amp;DOC_NAME=FAT:FQL_AUDITING_CLIENT_TEMPLATE.FAT&amp;display_string=Audit&amp;VAR:KEY=XSJATINWJY&amp;VAR:QUERY=RkZfRUJJVERBX0lCKCdMVE1TJywzOTcyMCk=&amp;WINDOW=FIRST_POPUP&amp;HEIGHT=450&amp;WIDTH=450&amp;START_MA","XIMIZED=FALSE&amp;VAR:CALENDAR=US&amp;VAR:SYMBOL=37183T10&amp;VAR:INDEX=0"}</definedName>
    <definedName name="_4166__FDSAUDITLINK__" localSheetId="6" hidden="1">{"fdsup://directions/FAT Viewer?action=UPDATE&amp;creator=factset&amp;DYN_ARGS=TRUE&amp;DOC_NAME=FAT:FQL_AUDITING_CLIENT_TEMPLATE.FAT&amp;display_string=Audit&amp;VAR:KEY=FQXCVQDGVI&amp;VAR:QUERY=RkZfRUJJVERBX0lCKCdMVE1TJywzOTcxOSk=&amp;WINDOW=FIRST_POPUP&amp;HEIGHT=450&amp;WIDTH=450&amp;START_MA","XIMIZED=FALSE&amp;VAR:CALENDAR=US&amp;VAR:SYMBOL=37183T10&amp;VAR:INDEX=0"}</definedName>
    <definedName name="_4166__FDSAUDITLINK__" hidden="1">{"fdsup://directions/FAT Viewer?action=UPDATE&amp;creator=factset&amp;DYN_ARGS=TRUE&amp;DOC_NAME=FAT:FQL_AUDITING_CLIENT_TEMPLATE.FAT&amp;display_string=Audit&amp;VAR:KEY=FQXCVQDGVI&amp;VAR:QUERY=RkZfRUJJVERBX0lCKCdMVE1TJywzOTcxOSk=&amp;WINDOW=FIRST_POPUP&amp;HEIGHT=450&amp;WIDTH=450&amp;START_MA","XIMIZED=FALSE&amp;VAR:CALENDAR=US&amp;VAR:SYMBOL=37183T10&amp;VAR:INDEX=0"}</definedName>
    <definedName name="_4167__FDSAUDITLINK__" localSheetId="6" hidden="1">{"fdsup://directions/FAT Viewer?action=UPDATE&amp;creator=factset&amp;DYN_ARGS=TRUE&amp;DOC_NAME=FAT:FQL_AUDITING_CLIENT_TEMPLATE.FAT&amp;display_string=Audit&amp;VAR:KEY=DGNEDWZCNU&amp;VAR:QUERY=RkZfRUJJVERBX0lCKCdMVE1TJywzOTcxOCk=&amp;WINDOW=FIRST_POPUP&amp;HEIGHT=450&amp;WIDTH=450&amp;START_MA","XIMIZED=FALSE&amp;VAR:CALENDAR=US&amp;VAR:SYMBOL=37183T10&amp;VAR:INDEX=0"}</definedName>
    <definedName name="_4167__FDSAUDITLINK__" hidden="1">{"fdsup://directions/FAT Viewer?action=UPDATE&amp;creator=factset&amp;DYN_ARGS=TRUE&amp;DOC_NAME=FAT:FQL_AUDITING_CLIENT_TEMPLATE.FAT&amp;display_string=Audit&amp;VAR:KEY=DGNEDWZCNU&amp;VAR:QUERY=RkZfRUJJVERBX0lCKCdMVE1TJywzOTcxOCk=&amp;WINDOW=FIRST_POPUP&amp;HEIGHT=450&amp;WIDTH=450&amp;START_MA","XIMIZED=FALSE&amp;VAR:CALENDAR=US&amp;VAR:SYMBOL=37183T10&amp;VAR:INDEX=0"}</definedName>
    <definedName name="_4168__FDSAUDITLINK__" localSheetId="6" hidden="1">{"fdsup://directions/FAT Viewer?action=UPDATE&amp;creator=factset&amp;DYN_ARGS=TRUE&amp;DOC_NAME=FAT:FQL_AUDITING_CLIENT_TEMPLATE.FAT&amp;display_string=Audit&amp;VAR:KEY=BWDWRQBCBS&amp;VAR:QUERY=RkZfRUJJVERBX0lCKCdMVE1TJywzOTcxNyk=&amp;WINDOW=FIRST_POPUP&amp;HEIGHT=450&amp;WIDTH=450&amp;START_MA","XIMIZED=FALSE&amp;VAR:CALENDAR=US&amp;VAR:SYMBOL=37183T10&amp;VAR:INDEX=0"}</definedName>
    <definedName name="_4168__FDSAUDITLINK__" hidden="1">{"fdsup://directions/FAT Viewer?action=UPDATE&amp;creator=factset&amp;DYN_ARGS=TRUE&amp;DOC_NAME=FAT:FQL_AUDITING_CLIENT_TEMPLATE.FAT&amp;display_string=Audit&amp;VAR:KEY=BWDWRQBCBS&amp;VAR:QUERY=RkZfRUJJVERBX0lCKCdMVE1TJywzOTcxNyk=&amp;WINDOW=FIRST_POPUP&amp;HEIGHT=450&amp;WIDTH=450&amp;START_MA","XIMIZED=FALSE&amp;VAR:CALENDAR=US&amp;VAR:SYMBOL=37183T10&amp;VAR:INDEX=0"}</definedName>
    <definedName name="_4169__FDSAUDITLINK__" localSheetId="6" hidden="1">{"fdsup://directions/FAT Viewer?action=UPDATE&amp;creator=factset&amp;DYN_ARGS=TRUE&amp;DOC_NAME=FAT:FQL_AUDITING_CLIENT_TEMPLATE.FAT&amp;display_string=Audit&amp;VAR:KEY=HAPEJYJEBE&amp;VAR:QUERY=RkZfRUJJVERBX0lCKCdMVE1TJywzOTcxNik=&amp;WINDOW=FIRST_POPUP&amp;HEIGHT=450&amp;WIDTH=450&amp;START_MA","XIMIZED=FALSE&amp;VAR:CALENDAR=US&amp;VAR:SYMBOL=37183T10&amp;VAR:INDEX=0"}</definedName>
    <definedName name="_4169__FDSAUDITLINK__" hidden="1">{"fdsup://directions/FAT Viewer?action=UPDATE&amp;creator=factset&amp;DYN_ARGS=TRUE&amp;DOC_NAME=FAT:FQL_AUDITING_CLIENT_TEMPLATE.FAT&amp;display_string=Audit&amp;VAR:KEY=HAPEJYJEBE&amp;VAR:QUERY=RkZfRUJJVERBX0lCKCdMVE1TJywzOTcxNik=&amp;WINDOW=FIRST_POPUP&amp;HEIGHT=450&amp;WIDTH=450&amp;START_MA","XIMIZED=FALSE&amp;VAR:CALENDAR=US&amp;VAR:SYMBOL=37183T10&amp;VAR:INDEX=0"}</definedName>
    <definedName name="_417__FDSAUDITLINK__" localSheetId="6" hidden="1">{"fdsup://directions/FAT%20Viewer?VAR:PED=LTM&amp;VAR:AUDIT_MODE=SUMMARY&amp;VAR:PERIOD=FIXED&amp;VAR:AUDIT_ID=00000117&amp;VAR:DATE=20081231&amp;action=UPDATE&amp;creator=factset&amp;DOC_NAME=FAT:FMA_audit_SUMMARY.fat&amp;DISPLAY_STRING=Display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7__FDSAUDITLINK__" hidden="1">{"fdsup://directions/FAT%20Viewer?VAR:PED=LTM&amp;VAR:AUDIT_MODE=SUMMARY&amp;VAR:PERIOD=FIXED&amp;VAR:AUDIT_ID=00000117&amp;VAR:DATE=20081231&amp;action=UPDATE&amp;creator=factset&amp;DOC_NAME=FAT:FMA_audit_SUMMARY.fat&amp;DISPLAY_STRING=Display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EBITDA&amp;VAR:CHGPERIOD=NA&amp;VAR:FQLFORMULA=FMA_EVAL_EBITDA&amp;VAR:CURRENCY=NA&amp;VAR:P=NA&amp;VAR:V=7.57","0094&amp;VAR:null=.html"}</definedName>
    <definedName name="_4170__FDSAUDITLINK__" localSheetId="6" hidden="1">{"fdsup://directions/FAT Viewer?action=UPDATE&amp;creator=factset&amp;DYN_ARGS=TRUE&amp;DOC_NAME=FAT:FQL_AUDITING_CLIENT_TEMPLATE.FAT&amp;display_string=Audit&amp;VAR:KEY=XOJYLKZUVI&amp;VAR:QUERY=RkZfRUJJVERBX0lCKCdMVE1TJywzOTcxNSk=&amp;WINDOW=FIRST_POPUP&amp;HEIGHT=450&amp;WIDTH=450&amp;START_MA","XIMIZED=FALSE&amp;VAR:CALENDAR=US&amp;VAR:SYMBOL=37183T10&amp;VAR:INDEX=0"}</definedName>
    <definedName name="_4170__FDSAUDITLINK__" hidden="1">{"fdsup://directions/FAT Viewer?action=UPDATE&amp;creator=factset&amp;DYN_ARGS=TRUE&amp;DOC_NAME=FAT:FQL_AUDITING_CLIENT_TEMPLATE.FAT&amp;display_string=Audit&amp;VAR:KEY=XOJYLKZUVI&amp;VAR:QUERY=RkZfRUJJVERBX0lCKCdMVE1TJywzOTcxNSk=&amp;WINDOW=FIRST_POPUP&amp;HEIGHT=450&amp;WIDTH=450&amp;START_MA","XIMIZED=FALSE&amp;VAR:CALENDAR=US&amp;VAR:SYMBOL=37183T10&amp;VAR:INDEX=0"}</definedName>
    <definedName name="_4171__FDSAUDITLINK__" localSheetId="6" hidden="1">{"fdsup://directions/FAT Viewer?action=UPDATE&amp;creator=factset&amp;DYN_ARGS=TRUE&amp;DOC_NAME=FAT:FQL_AUDITING_CLIENT_TEMPLATE.FAT&amp;display_string=Audit&amp;VAR:KEY=LABKHIDEFE&amp;VAR:QUERY=RkZfRUJJVERBX0lCKCdMVE1TJywzOTcxNCk=&amp;WINDOW=FIRST_POPUP&amp;HEIGHT=450&amp;WIDTH=450&amp;START_MA","XIMIZED=FALSE&amp;VAR:CALENDAR=US&amp;VAR:SYMBOL=37183T10&amp;VAR:INDEX=0"}</definedName>
    <definedName name="_4171__FDSAUDITLINK__" hidden="1">{"fdsup://directions/FAT Viewer?action=UPDATE&amp;creator=factset&amp;DYN_ARGS=TRUE&amp;DOC_NAME=FAT:FQL_AUDITING_CLIENT_TEMPLATE.FAT&amp;display_string=Audit&amp;VAR:KEY=LABKHIDEFE&amp;VAR:QUERY=RkZfRUJJVERBX0lCKCdMVE1TJywzOTcxNCk=&amp;WINDOW=FIRST_POPUP&amp;HEIGHT=450&amp;WIDTH=450&amp;START_MA","XIMIZED=FALSE&amp;VAR:CALENDAR=US&amp;VAR:SYMBOL=37183T10&amp;VAR:INDEX=0"}</definedName>
    <definedName name="_4172__FDSAUDITLINK__" localSheetId="6" hidden="1">{"fdsup://directions/FAT Viewer?action=UPDATE&amp;creator=factset&amp;DYN_ARGS=TRUE&amp;DOC_NAME=FAT:FQL_AUDITING_CLIENT_TEMPLATE.FAT&amp;display_string=Audit&amp;VAR:KEY=XYVAPSJMFA&amp;VAR:QUERY=RkZfRUJJVERBX0lCKCdMVE1TJywzOTcxMyk=&amp;WINDOW=FIRST_POPUP&amp;HEIGHT=450&amp;WIDTH=450&amp;START_MA","XIMIZED=FALSE&amp;VAR:CALENDAR=US&amp;VAR:SYMBOL=37183T10&amp;VAR:INDEX=0"}</definedName>
    <definedName name="_4172__FDSAUDITLINK__" hidden="1">{"fdsup://directions/FAT Viewer?action=UPDATE&amp;creator=factset&amp;DYN_ARGS=TRUE&amp;DOC_NAME=FAT:FQL_AUDITING_CLIENT_TEMPLATE.FAT&amp;display_string=Audit&amp;VAR:KEY=XYVAPSJMFA&amp;VAR:QUERY=RkZfRUJJVERBX0lCKCdMVE1TJywzOTcxMyk=&amp;WINDOW=FIRST_POPUP&amp;HEIGHT=450&amp;WIDTH=450&amp;START_MA","XIMIZED=FALSE&amp;VAR:CALENDAR=US&amp;VAR:SYMBOL=37183T10&amp;VAR:INDEX=0"}</definedName>
    <definedName name="_4173__FDSAUDITLINK__" localSheetId="6" hidden="1">{"fdsup://directions/FAT Viewer?action=UPDATE&amp;creator=factset&amp;DYN_ARGS=TRUE&amp;DOC_NAME=FAT:FQL_AUDITING_CLIENT_TEMPLATE.FAT&amp;display_string=Audit&amp;VAR:KEY=DCVYLGLARI&amp;VAR:QUERY=RkZfRUJJVERBX0lCKCdMVE1TJywzOTcxMik=&amp;WINDOW=FIRST_POPUP&amp;HEIGHT=450&amp;WIDTH=450&amp;START_MA","XIMIZED=FALSE&amp;VAR:CALENDAR=US&amp;VAR:SYMBOL=37183T10&amp;VAR:INDEX=0"}</definedName>
    <definedName name="_4173__FDSAUDITLINK__" hidden="1">{"fdsup://directions/FAT Viewer?action=UPDATE&amp;creator=factset&amp;DYN_ARGS=TRUE&amp;DOC_NAME=FAT:FQL_AUDITING_CLIENT_TEMPLATE.FAT&amp;display_string=Audit&amp;VAR:KEY=DCVYLGLARI&amp;VAR:QUERY=RkZfRUJJVERBX0lCKCdMVE1TJywzOTcxMik=&amp;WINDOW=FIRST_POPUP&amp;HEIGHT=450&amp;WIDTH=450&amp;START_MA","XIMIZED=FALSE&amp;VAR:CALENDAR=US&amp;VAR:SYMBOL=37183T10&amp;VAR:INDEX=0"}</definedName>
    <definedName name="_4174__FDSAUDITLINK__" localSheetId="6" hidden="1">{"fdsup://directions/FAT Viewer?action=UPDATE&amp;creator=factset&amp;DYN_ARGS=TRUE&amp;DOC_NAME=FAT:FQL_AUDITING_CLIENT_TEMPLATE.FAT&amp;display_string=Audit&amp;VAR:KEY=XILOJCRGDM&amp;VAR:QUERY=RkZfRUJJVERBX0lCKCdMVE1TJywzOTcxMSk=&amp;WINDOW=FIRST_POPUP&amp;HEIGHT=450&amp;WIDTH=450&amp;START_MA","XIMIZED=FALSE&amp;VAR:CALENDAR=US&amp;VAR:SYMBOL=37183T10&amp;VAR:INDEX=0"}</definedName>
    <definedName name="_4174__FDSAUDITLINK__" hidden="1">{"fdsup://directions/FAT Viewer?action=UPDATE&amp;creator=factset&amp;DYN_ARGS=TRUE&amp;DOC_NAME=FAT:FQL_AUDITING_CLIENT_TEMPLATE.FAT&amp;display_string=Audit&amp;VAR:KEY=XILOJCRGDM&amp;VAR:QUERY=RkZfRUJJVERBX0lCKCdMVE1TJywzOTcxMSk=&amp;WINDOW=FIRST_POPUP&amp;HEIGHT=450&amp;WIDTH=450&amp;START_MA","XIMIZED=FALSE&amp;VAR:CALENDAR=US&amp;VAR:SYMBOL=37183T10&amp;VAR:INDEX=0"}</definedName>
    <definedName name="_4175__FDSAUDITLINK__" localSheetId="6" hidden="1">{"fdsup://directions/FAT Viewer?action=UPDATE&amp;creator=factset&amp;DYN_ARGS=TRUE&amp;DOC_NAME=FAT:FQL_AUDITING_CLIENT_TEMPLATE.FAT&amp;display_string=Audit&amp;VAR:KEY=NUFUTIBGNW&amp;VAR:QUERY=RkZfRUJJVERBX0lCKCdMVE1TJywzOTcxMCk=&amp;WINDOW=FIRST_POPUP&amp;HEIGHT=450&amp;WIDTH=450&amp;START_MA","XIMIZED=FALSE&amp;VAR:CALENDAR=US&amp;VAR:SYMBOL=37183T10&amp;VAR:INDEX=0"}</definedName>
    <definedName name="_4175__FDSAUDITLINK__" hidden="1">{"fdsup://directions/FAT Viewer?action=UPDATE&amp;creator=factset&amp;DYN_ARGS=TRUE&amp;DOC_NAME=FAT:FQL_AUDITING_CLIENT_TEMPLATE.FAT&amp;display_string=Audit&amp;VAR:KEY=NUFUTIBGNW&amp;VAR:QUERY=RkZfRUJJVERBX0lCKCdMVE1TJywzOTcxMCk=&amp;WINDOW=FIRST_POPUP&amp;HEIGHT=450&amp;WIDTH=450&amp;START_MA","XIMIZED=FALSE&amp;VAR:CALENDAR=US&amp;VAR:SYMBOL=37183T10&amp;VAR:INDEX=0"}</definedName>
    <definedName name="_4176__FDSAUDITLINK__" localSheetId="6" hidden="1">{"fdsup://directions/FAT Viewer?action=UPDATE&amp;creator=factset&amp;DYN_ARGS=TRUE&amp;DOC_NAME=FAT:FQL_AUDITING_CLIENT_TEMPLATE.FAT&amp;display_string=Audit&amp;VAR:KEY=HULMNKDSFS&amp;VAR:QUERY=RkZfRUJJVERBX0lCKCdMVE1TJywzOTcwOSk=&amp;WINDOW=FIRST_POPUP&amp;HEIGHT=450&amp;WIDTH=450&amp;START_MA","XIMIZED=FALSE&amp;VAR:CALENDAR=US&amp;VAR:SYMBOL=37183T10&amp;VAR:INDEX=0"}</definedName>
    <definedName name="_4176__FDSAUDITLINK__" hidden="1">{"fdsup://directions/FAT Viewer?action=UPDATE&amp;creator=factset&amp;DYN_ARGS=TRUE&amp;DOC_NAME=FAT:FQL_AUDITING_CLIENT_TEMPLATE.FAT&amp;display_string=Audit&amp;VAR:KEY=HULMNKDSFS&amp;VAR:QUERY=RkZfRUJJVERBX0lCKCdMVE1TJywzOTcwOSk=&amp;WINDOW=FIRST_POPUP&amp;HEIGHT=450&amp;WIDTH=450&amp;START_MA","XIMIZED=FALSE&amp;VAR:CALENDAR=US&amp;VAR:SYMBOL=37183T10&amp;VAR:INDEX=0"}</definedName>
    <definedName name="_4177__FDSAUDITLINK__" localSheetId="6" hidden="1">{"fdsup://directions/FAT Viewer?action=UPDATE&amp;creator=factset&amp;DYN_ARGS=TRUE&amp;DOC_NAME=FAT:FQL_AUDITING_CLIENT_TEMPLATE.FAT&amp;display_string=Audit&amp;VAR:KEY=XMNWDMVIRW&amp;VAR:QUERY=RkZfRUJJVERBX0lCKCdMVE1TJywzOTcwOCk=&amp;WINDOW=FIRST_POPUP&amp;HEIGHT=450&amp;WIDTH=450&amp;START_MA","XIMIZED=FALSE&amp;VAR:CALENDAR=US&amp;VAR:SYMBOL=37183T10&amp;VAR:INDEX=0"}</definedName>
    <definedName name="_4177__FDSAUDITLINK__" hidden="1">{"fdsup://directions/FAT Viewer?action=UPDATE&amp;creator=factset&amp;DYN_ARGS=TRUE&amp;DOC_NAME=FAT:FQL_AUDITING_CLIENT_TEMPLATE.FAT&amp;display_string=Audit&amp;VAR:KEY=XMNWDMVIRW&amp;VAR:QUERY=RkZfRUJJVERBX0lCKCdMVE1TJywzOTcwOCk=&amp;WINDOW=FIRST_POPUP&amp;HEIGHT=450&amp;WIDTH=450&amp;START_MA","XIMIZED=FALSE&amp;VAR:CALENDAR=US&amp;VAR:SYMBOL=37183T10&amp;VAR:INDEX=0"}</definedName>
    <definedName name="_4178__FDSAUDITLINK__" localSheetId="6" hidden="1">{"fdsup://directions/FAT Viewer?action=UPDATE&amp;creator=factset&amp;DYN_ARGS=TRUE&amp;DOC_NAME=FAT:FQL_AUDITING_CLIENT_TEMPLATE.FAT&amp;display_string=Audit&amp;VAR:KEY=DYTYFIFWBU&amp;VAR:QUERY=RkZfRUJJVERBX0lCKCdMVE1TJywzOTcwNyk=&amp;WINDOW=FIRST_POPUP&amp;HEIGHT=450&amp;WIDTH=450&amp;START_MA","XIMIZED=FALSE&amp;VAR:CALENDAR=US&amp;VAR:SYMBOL=37183T10&amp;VAR:INDEX=0"}</definedName>
    <definedName name="_4178__FDSAUDITLINK__" hidden="1">{"fdsup://directions/FAT Viewer?action=UPDATE&amp;creator=factset&amp;DYN_ARGS=TRUE&amp;DOC_NAME=FAT:FQL_AUDITING_CLIENT_TEMPLATE.FAT&amp;display_string=Audit&amp;VAR:KEY=DYTYFIFWBU&amp;VAR:QUERY=RkZfRUJJVERBX0lCKCdMVE1TJywzOTcwNyk=&amp;WINDOW=FIRST_POPUP&amp;HEIGHT=450&amp;WIDTH=450&amp;START_MA","XIMIZED=FALSE&amp;VAR:CALENDAR=US&amp;VAR:SYMBOL=37183T10&amp;VAR:INDEX=0"}</definedName>
    <definedName name="_4179__FDSAUDITLINK__" localSheetId="6" hidden="1">{"fdsup://directions/FAT Viewer?action=UPDATE&amp;creator=factset&amp;DYN_ARGS=TRUE&amp;DOC_NAME=FAT:FQL_AUDITING_CLIENT_TEMPLATE.FAT&amp;display_string=Audit&amp;VAR:KEY=NENKBALAFI&amp;VAR:QUERY=RkZfRUJJVERBX0lCKCdMVE1TJywzOTcwNik=&amp;WINDOW=FIRST_POPUP&amp;HEIGHT=450&amp;WIDTH=450&amp;START_MA","XIMIZED=FALSE&amp;VAR:CALENDAR=US&amp;VAR:SYMBOL=37183T10&amp;VAR:INDEX=0"}</definedName>
    <definedName name="_4179__FDSAUDITLINK__" hidden="1">{"fdsup://directions/FAT Viewer?action=UPDATE&amp;creator=factset&amp;DYN_ARGS=TRUE&amp;DOC_NAME=FAT:FQL_AUDITING_CLIENT_TEMPLATE.FAT&amp;display_string=Audit&amp;VAR:KEY=NENKBALAFI&amp;VAR:QUERY=RkZfRUJJVERBX0lCKCdMVE1TJywzOTcwNik=&amp;WINDOW=FIRST_POPUP&amp;HEIGHT=450&amp;WIDTH=450&amp;START_MA","XIMIZED=FALSE&amp;VAR:CALENDAR=US&amp;VAR:SYMBOL=37183T10&amp;VAR:INDEX=0"}</definedName>
    <definedName name="_418__FDSAUDITLINK__" localSheetId="6" hidden="1">{"fdsup://directions/FAT%20Viewer?VAR:PED=LTM&amp;VAR:AUDIT_MODE=SUMMARY&amp;VAR:PERIOD=FIXED&amp;VAR:AUDIT_ID=00000117&amp;VAR:DATE=20081230&amp;action=UPDATE&amp;creator=factset&amp;DOC_NAME=FAT:FMA_audit_SUMMARY.fat&amp;DISPLAY_STRING=Display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18__FDSAUDITLINK__" hidden="1">{"fdsup://directions/FAT%20Viewer?VAR:PED=LTM&amp;VAR:AUDIT_MODE=SUMMARY&amp;VAR:PERIOD=FIXED&amp;VAR:AUDIT_ID=00000117&amp;VAR:DATE=20081230&amp;action=UPDATE&amp;creator=factset&amp;DOC_NAME=FAT:FMA_audit_SUMMARY.fat&amp;DISPLAY_STRING=Display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180__FDSAUDITLINK__" localSheetId="6" hidden="1">{"fdsup://directions/FAT Viewer?action=UPDATE&amp;creator=factset&amp;DYN_ARGS=TRUE&amp;DOC_NAME=FAT:FQL_AUDITING_CLIENT_TEMPLATE.FAT&amp;display_string=Audit&amp;VAR:KEY=RCRGBMVKLE&amp;VAR:QUERY=RkZfRUJJVERBX0lCKCdMVE1TJywzOTcwNSk=&amp;WINDOW=FIRST_POPUP&amp;HEIGHT=450&amp;WIDTH=450&amp;START_MA","XIMIZED=FALSE&amp;VAR:CALENDAR=US&amp;VAR:SYMBOL=37183T10&amp;VAR:INDEX=0"}</definedName>
    <definedName name="_4180__FDSAUDITLINK__" hidden="1">{"fdsup://directions/FAT Viewer?action=UPDATE&amp;creator=factset&amp;DYN_ARGS=TRUE&amp;DOC_NAME=FAT:FQL_AUDITING_CLIENT_TEMPLATE.FAT&amp;display_string=Audit&amp;VAR:KEY=RCRGBMVKLE&amp;VAR:QUERY=RkZfRUJJVERBX0lCKCdMVE1TJywzOTcwNSk=&amp;WINDOW=FIRST_POPUP&amp;HEIGHT=450&amp;WIDTH=450&amp;START_MA","XIMIZED=FALSE&amp;VAR:CALENDAR=US&amp;VAR:SYMBOL=37183T10&amp;VAR:INDEX=0"}</definedName>
    <definedName name="_4181__FDSAUDITLINK__" localSheetId="6" hidden="1">{"fdsup://directions/FAT Viewer?action=UPDATE&amp;creator=factset&amp;DYN_ARGS=TRUE&amp;DOC_NAME=FAT:FQL_AUDITING_CLIENT_TEMPLATE.FAT&amp;display_string=Audit&amp;VAR:KEY=ZYBGJGZMPQ&amp;VAR:QUERY=RkZfRUJJVERBX0lCKCdMVE1TJywzOTcwNCk=&amp;WINDOW=FIRST_POPUP&amp;HEIGHT=450&amp;WIDTH=450&amp;START_MA","XIMIZED=FALSE&amp;VAR:CALENDAR=US&amp;VAR:SYMBOL=37183T10&amp;VAR:INDEX=0"}</definedName>
    <definedName name="_4181__FDSAUDITLINK__" hidden="1">{"fdsup://directions/FAT Viewer?action=UPDATE&amp;creator=factset&amp;DYN_ARGS=TRUE&amp;DOC_NAME=FAT:FQL_AUDITING_CLIENT_TEMPLATE.FAT&amp;display_string=Audit&amp;VAR:KEY=ZYBGJGZMPQ&amp;VAR:QUERY=RkZfRUJJVERBX0lCKCdMVE1TJywzOTcwNCk=&amp;WINDOW=FIRST_POPUP&amp;HEIGHT=450&amp;WIDTH=450&amp;START_MA","XIMIZED=FALSE&amp;VAR:CALENDAR=US&amp;VAR:SYMBOL=37183T10&amp;VAR:INDEX=0"}</definedName>
    <definedName name="_4182__FDSAUDITLINK__" localSheetId="6" hidden="1">{"fdsup://directions/FAT Viewer?action=UPDATE&amp;creator=factset&amp;DYN_ARGS=TRUE&amp;DOC_NAME=FAT:FQL_AUDITING_CLIENT_TEMPLATE.FAT&amp;display_string=Audit&amp;VAR:KEY=DSROXCXSBC&amp;VAR:QUERY=RkZfRUJJVERBX0lCKCdMVE1TJywzOTcwMyk=&amp;WINDOW=FIRST_POPUP&amp;HEIGHT=450&amp;WIDTH=450&amp;START_MA","XIMIZED=FALSE&amp;VAR:CALENDAR=US&amp;VAR:SYMBOL=37183T10&amp;VAR:INDEX=0"}</definedName>
    <definedName name="_4182__FDSAUDITLINK__" hidden="1">{"fdsup://directions/FAT Viewer?action=UPDATE&amp;creator=factset&amp;DYN_ARGS=TRUE&amp;DOC_NAME=FAT:FQL_AUDITING_CLIENT_TEMPLATE.FAT&amp;display_string=Audit&amp;VAR:KEY=DSROXCXSBC&amp;VAR:QUERY=RkZfRUJJVERBX0lCKCdMVE1TJywzOTcwMyk=&amp;WINDOW=FIRST_POPUP&amp;HEIGHT=450&amp;WIDTH=450&amp;START_MA","XIMIZED=FALSE&amp;VAR:CALENDAR=US&amp;VAR:SYMBOL=37183T10&amp;VAR:INDEX=0"}</definedName>
    <definedName name="_4183__FDSAUDITLINK__" localSheetId="6" hidden="1">{"fdsup://directions/FAT Viewer?action=UPDATE&amp;creator=factset&amp;DYN_ARGS=TRUE&amp;DOC_NAME=FAT:FQL_AUDITING_CLIENT_TEMPLATE.FAT&amp;display_string=Audit&amp;VAR:KEY=ROHAXSHUVG&amp;VAR:QUERY=RkZfRUJJVERBX0lCKCdMVE1TJywzOTcwMik=&amp;WINDOW=FIRST_POPUP&amp;HEIGHT=450&amp;WIDTH=450&amp;START_MA","XIMIZED=FALSE&amp;VAR:CALENDAR=US&amp;VAR:SYMBOL=37183T10&amp;VAR:INDEX=0"}</definedName>
    <definedName name="_4183__FDSAUDITLINK__" hidden="1">{"fdsup://directions/FAT Viewer?action=UPDATE&amp;creator=factset&amp;DYN_ARGS=TRUE&amp;DOC_NAME=FAT:FQL_AUDITING_CLIENT_TEMPLATE.FAT&amp;display_string=Audit&amp;VAR:KEY=ROHAXSHUVG&amp;VAR:QUERY=RkZfRUJJVERBX0lCKCdMVE1TJywzOTcwMik=&amp;WINDOW=FIRST_POPUP&amp;HEIGHT=450&amp;WIDTH=450&amp;START_MA","XIMIZED=FALSE&amp;VAR:CALENDAR=US&amp;VAR:SYMBOL=37183T10&amp;VAR:INDEX=0"}</definedName>
    <definedName name="_4184__FDSAUDITLINK__" localSheetId="6" hidden="1">{"fdsup://directions/FAT Viewer?action=UPDATE&amp;creator=factset&amp;DYN_ARGS=TRUE&amp;DOC_NAME=FAT:FQL_AUDITING_CLIENT_TEMPLATE.FAT&amp;display_string=Audit&amp;VAR:KEY=FCDMPGXMHO&amp;VAR:QUERY=RkZfRUJJVERBX0lCKCdMVE1TJywzOTcwMSk=&amp;WINDOW=FIRST_POPUP&amp;HEIGHT=450&amp;WIDTH=450&amp;START_MA","XIMIZED=FALSE&amp;VAR:CALENDAR=US&amp;VAR:SYMBOL=37183T10&amp;VAR:INDEX=0"}</definedName>
    <definedName name="_4184__FDSAUDITLINK__" hidden="1">{"fdsup://directions/FAT Viewer?action=UPDATE&amp;creator=factset&amp;DYN_ARGS=TRUE&amp;DOC_NAME=FAT:FQL_AUDITING_CLIENT_TEMPLATE.FAT&amp;display_string=Audit&amp;VAR:KEY=FCDMPGXMHO&amp;VAR:QUERY=RkZfRUJJVERBX0lCKCdMVE1TJywzOTcwMSk=&amp;WINDOW=FIRST_POPUP&amp;HEIGHT=450&amp;WIDTH=450&amp;START_MA","XIMIZED=FALSE&amp;VAR:CALENDAR=US&amp;VAR:SYMBOL=37183T10&amp;VAR:INDEX=0"}</definedName>
    <definedName name="_4185__FDSAUDITLINK__" localSheetId="6" hidden="1">{"fdsup://directions/FAT Viewer?action=UPDATE&amp;creator=factset&amp;DYN_ARGS=TRUE&amp;DOC_NAME=FAT:FQL_AUDITING_CLIENT_TEMPLATE.FAT&amp;display_string=Audit&amp;VAR:KEY=TQTUJUTSNM&amp;VAR:QUERY=RkZfRUJJVERBX0lCKCdMVE1TJywzOTcwMCk=&amp;WINDOW=FIRST_POPUP&amp;HEIGHT=450&amp;WIDTH=450&amp;START_MA","XIMIZED=FALSE&amp;VAR:CALENDAR=US&amp;VAR:SYMBOL=37183T10&amp;VAR:INDEX=0"}</definedName>
    <definedName name="_4185__FDSAUDITLINK__" hidden="1">{"fdsup://directions/FAT Viewer?action=UPDATE&amp;creator=factset&amp;DYN_ARGS=TRUE&amp;DOC_NAME=FAT:FQL_AUDITING_CLIENT_TEMPLATE.FAT&amp;display_string=Audit&amp;VAR:KEY=TQTUJUTSNM&amp;VAR:QUERY=RkZfRUJJVERBX0lCKCdMVE1TJywzOTcwMCk=&amp;WINDOW=FIRST_POPUP&amp;HEIGHT=450&amp;WIDTH=450&amp;START_MA","XIMIZED=FALSE&amp;VAR:CALENDAR=US&amp;VAR:SYMBOL=37183T10&amp;VAR:INDEX=0"}</definedName>
    <definedName name="_4186__FDSAUDITLINK__" localSheetId="6" hidden="1">{"fdsup://directions/FAT Viewer?action=UPDATE&amp;creator=factset&amp;DYN_ARGS=TRUE&amp;DOC_NAME=FAT:FQL_AUDITING_CLIENT_TEMPLATE.FAT&amp;display_string=Audit&amp;VAR:KEY=FIPETGPMFY&amp;VAR:QUERY=RkZfRUJJVERBX0lCKCdMVE1TJywzOTY5OSk=&amp;WINDOW=FIRST_POPUP&amp;HEIGHT=450&amp;WIDTH=450&amp;START_MA","XIMIZED=FALSE&amp;VAR:CALENDAR=US&amp;VAR:SYMBOL=37183T10&amp;VAR:INDEX=0"}</definedName>
    <definedName name="_4186__FDSAUDITLINK__" hidden="1">{"fdsup://directions/FAT Viewer?action=UPDATE&amp;creator=factset&amp;DYN_ARGS=TRUE&amp;DOC_NAME=FAT:FQL_AUDITING_CLIENT_TEMPLATE.FAT&amp;display_string=Audit&amp;VAR:KEY=FIPETGPMFY&amp;VAR:QUERY=RkZfRUJJVERBX0lCKCdMVE1TJywzOTY5OSk=&amp;WINDOW=FIRST_POPUP&amp;HEIGHT=450&amp;WIDTH=450&amp;START_MA","XIMIZED=FALSE&amp;VAR:CALENDAR=US&amp;VAR:SYMBOL=37183T10&amp;VAR:INDEX=0"}</definedName>
    <definedName name="_4187__FDSAUDITLINK__" localSheetId="6" hidden="1">{"fdsup://directions/FAT Viewer?action=UPDATE&amp;creator=factset&amp;DYN_ARGS=TRUE&amp;DOC_NAME=FAT:FQL_AUDITING_CLIENT_TEMPLATE.FAT&amp;display_string=Audit&amp;VAR:KEY=LURQTSNEJC&amp;VAR:QUERY=RkZfRUJJVERBX0lCKCdMVE1TJywzOTY5OCk=&amp;WINDOW=FIRST_POPUP&amp;HEIGHT=450&amp;WIDTH=450&amp;START_MA","XIMIZED=FALSE&amp;VAR:CALENDAR=US&amp;VAR:SYMBOL=37183T10&amp;VAR:INDEX=0"}</definedName>
    <definedName name="_4187__FDSAUDITLINK__" hidden="1">{"fdsup://directions/FAT Viewer?action=UPDATE&amp;creator=factset&amp;DYN_ARGS=TRUE&amp;DOC_NAME=FAT:FQL_AUDITING_CLIENT_TEMPLATE.FAT&amp;display_string=Audit&amp;VAR:KEY=LURQTSNEJC&amp;VAR:QUERY=RkZfRUJJVERBX0lCKCdMVE1TJywzOTY5OCk=&amp;WINDOW=FIRST_POPUP&amp;HEIGHT=450&amp;WIDTH=450&amp;START_MA","XIMIZED=FALSE&amp;VAR:CALENDAR=US&amp;VAR:SYMBOL=37183T10&amp;VAR:INDEX=0"}</definedName>
    <definedName name="_4188__FDSAUDITLINK__" localSheetId="6" hidden="1">{"fdsup://directions/FAT Viewer?action=UPDATE&amp;creator=factset&amp;DYN_ARGS=TRUE&amp;DOC_NAME=FAT:FQL_AUDITING_CLIENT_TEMPLATE.FAT&amp;display_string=Audit&amp;VAR:KEY=XERKFQBEJW&amp;VAR:QUERY=RkZfRUJJVERBX0lCKCdMVE1TJywzOTY5Nyk=&amp;WINDOW=FIRST_POPUP&amp;HEIGHT=450&amp;WIDTH=450&amp;START_MA","XIMIZED=FALSE&amp;VAR:CALENDAR=US&amp;VAR:SYMBOL=37183T10&amp;VAR:INDEX=0"}</definedName>
    <definedName name="_4188__FDSAUDITLINK__" hidden="1">{"fdsup://directions/FAT Viewer?action=UPDATE&amp;creator=factset&amp;DYN_ARGS=TRUE&amp;DOC_NAME=FAT:FQL_AUDITING_CLIENT_TEMPLATE.FAT&amp;display_string=Audit&amp;VAR:KEY=XERKFQBEJW&amp;VAR:QUERY=RkZfRUJJVERBX0lCKCdMVE1TJywzOTY5Nyk=&amp;WINDOW=FIRST_POPUP&amp;HEIGHT=450&amp;WIDTH=450&amp;START_MA","XIMIZED=FALSE&amp;VAR:CALENDAR=US&amp;VAR:SYMBOL=37183T10&amp;VAR:INDEX=0"}</definedName>
    <definedName name="_4189__FDSAUDITLINK__" localSheetId="6" hidden="1">{"fdsup://directions/FAT Viewer?action=UPDATE&amp;creator=factset&amp;DYN_ARGS=TRUE&amp;DOC_NAME=FAT:FQL_AUDITING_CLIENT_TEMPLATE.FAT&amp;display_string=Audit&amp;VAR:KEY=VMBKXWVWPG&amp;VAR:QUERY=RkZfRUJJVERBX0lCKCdMVE1TJywzOTY5Nik=&amp;WINDOW=FIRST_POPUP&amp;HEIGHT=450&amp;WIDTH=450&amp;START_MA","XIMIZED=FALSE&amp;VAR:CALENDAR=US&amp;VAR:SYMBOL=37183T10&amp;VAR:INDEX=0"}</definedName>
    <definedName name="_4189__FDSAUDITLINK__" hidden="1">{"fdsup://directions/FAT Viewer?action=UPDATE&amp;creator=factset&amp;DYN_ARGS=TRUE&amp;DOC_NAME=FAT:FQL_AUDITING_CLIENT_TEMPLATE.FAT&amp;display_string=Audit&amp;VAR:KEY=VMBKXWVWPG&amp;VAR:QUERY=RkZfRUJJVERBX0lCKCdMVE1TJywzOTY5Nik=&amp;WINDOW=FIRST_POPUP&amp;HEIGHT=450&amp;WIDTH=450&amp;START_MA","XIMIZED=FALSE&amp;VAR:CALENDAR=US&amp;VAR:SYMBOL=37183T10&amp;VAR:INDEX=0"}</definedName>
    <definedName name="_419__FDSAUDITLINK__" localSheetId="6" hidden="1">{"fdsup://directions/FAT%20Viewer?VAR:PED=LTM&amp;VAR:AUDIT_MODE=SUMMARY&amp;VAR:PERIOD=FIXED&amp;VAR:AUDIT_ID=00000117&amp;VAR:DATE=20081229&amp;action=UPDATE&amp;creator=factset&amp;DOC_NAME=FAT:FMA_audit_SUMMARY.fat&amp;DISPLAY_STRING=Display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19__FDSAUDITLINK__" hidden="1">{"fdsup://directions/FAT%20Viewer?VAR:PED=LTM&amp;VAR:AUDIT_MODE=SUMMARY&amp;VAR:PERIOD=FIXED&amp;VAR:AUDIT_ID=00000117&amp;VAR:DATE=20081229&amp;action=UPDATE&amp;creator=factset&amp;DOC_NAME=FAT:FMA_audit_SUMMARY.fat&amp;DISPLAY_STRING=Display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190__FDSAUDITLINK__" localSheetId="6" hidden="1">{"fdsup://directions/FAT Viewer?action=UPDATE&amp;creator=factset&amp;DYN_ARGS=TRUE&amp;DOC_NAME=FAT:FQL_AUDITING_CLIENT_TEMPLATE.FAT&amp;display_string=Audit&amp;VAR:KEY=FUJSRWJGPW&amp;VAR:QUERY=RkZfRUJJVERBX0lCKCdMVE1TJywzOTY5NSk=&amp;WINDOW=FIRST_POPUP&amp;HEIGHT=450&amp;WIDTH=450&amp;START_MA","XIMIZED=FALSE&amp;VAR:CALENDAR=US&amp;VAR:SYMBOL=37183T10&amp;VAR:INDEX=0"}</definedName>
    <definedName name="_4190__FDSAUDITLINK__" hidden="1">{"fdsup://directions/FAT Viewer?action=UPDATE&amp;creator=factset&amp;DYN_ARGS=TRUE&amp;DOC_NAME=FAT:FQL_AUDITING_CLIENT_TEMPLATE.FAT&amp;display_string=Audit&amp;VAR:KEY=FUJSRWJGPW&amp;VAR:QUERY=RkZfRUJJVERBX0lCKCdMVE1TJywzOTY5NSk=&amp;WINDOW=FIRST_POPUP&amp;HEIGHT=450&amp;WIDTH=450&amp;START_MA","XIMIZED=FALSE&amp;VAR:CALENDAR=US&amp;VAR:SYMBOL=37183T10&amp;VAR:INDEX=0"}</definedName>
    <definedName name="_4191__FDSAUDITLINK__" localSheetId="6" hidden="1">{"fdsup://directions/FAT Viewer?action=UPDATE&amp;creator=factset&amp;DYN_ARGS=TRUE&amp;DOC_NAME=FAT:FQL_AUDITING_CLIENT_TEMPLATE.FAT&amp;display_string=Audit&amp;VAR:KEY=DGBAXKDKFC&amp;VAR:QUERY=RkZfRUJJVERBX0lCKCdMVE1TJywzOTY5NCk=&amp;WINDOW=FIRST_POPUP&amp;HEIGHT=450&amp;WIDTH=450&amp;START_MA","XIMIZED=FALSE&amp;VAR:CALENDAR=US&amp;VAR:SYMBOL=37183T10&amp;VAR:INDEX=0"}</definedName>
    <definedName name="_4191__FDSAUDITLINK__" hidden="1">{"fdsup://directions/FAT Viewer?action=UPDATE&amp;creator=factset&amp;DYN_ARGS=TRUE&amp;DOC_NAME=FAT:FQL_AUDITING_CLIENT_TEMPLATE.FAT&amp;display_string=Audit&amp;VAR:KEY=DGBAXKDKFC&amp;VAR:QUERY=RkZfRUJJVERBX0lCKCdMVE1TJywzOTY5NCk=&amp;WINDOW=FIRST_POPUP&amp;HEIGHT=450&amp;WIDTH=450&amp;START_MA","XIMIZED=FALSE&amp;VAR:CALENDAR=US&amp;VAR:SYMBOL=37183T10&amp;VAR:INDEX=0"}</definedName>
    <definedName name="_4192__FDSAUDITLINK__" localSheetId="6" hidden="1">{"fdsup://directions/FAT Viewer?action=UPDATE&amp;creator=factset&amp;DYN_ARGS=TRUE&amp;DOC_NAME=FAT:FQL_AUDITING_CLIENT_TEMPLATE.FAT&amp;display_string=Audit&amp;VAR:KEY=VKRMZGFMXM&amp;VAR:QUERY=RkZfRUJJVERBX0lCKCdMVE1TJywzOTY5Myk=&amp;WINDOW=FIRST_POPUP&amp;HEIGHT=450&amp;WIDTH=450&amp;START_MA","XIMIZED=FALSE&amp;VAR:CALENDAR=US&amp;VAR:SYMBOL=37183T10&amp;VAR:INDEX=0"}</definedName>
    <definedName name="_4192__FDSAUDITLINK__" hidden="1">{"fdsup://directions/FAT Viewer?action=UPDATE&amp;creator=factset&amp;DYN_ARGS=TRUE&amp;DOC_NAME=FAT:FQL_AUDITING_CLIENT_TEMPLATE.FAT&amp;display_string=Audit&amp;VAR:KEY=VKRMZGFMXM&amp;VAR:QUERY=RkZfRUJJVERBX0lCKCdMVE1TJywzOTY5Myk=&amp;WINDOW=FIRST_POPUP&amp;HEIGHT=450&amp;WIDTH=450&amp;START_MA","XIMIZED=FALSE&amp;VAR:CALENDAR=US&amp;VAR:SYMBOL=37183T10&amp;VAR:INDEX=0"}</definedName>
    <definedName name="_4193__FDSAUDITLINK__" localSheetId="6" hidden="1">{"fdsup://directions/FAT Viewer?action=UPDATE&amp;creator=factset&amp;DYN_ARGS=TRUE&amp;DOC_NAME=FAT:FQL_AUDITING_CLIENT_TEMPLATE.FAT&amp;display_string=Audit&amp;VAR:KEY=TYBCHKPKXG&amp;VAR:QUERY=RkZfRUJJVERBX0lCKCdMVE1TJywzOTY5Mik=&amp;WINDOW=FIRST_POPUP&amp;HEIGHT=450&amp;WIDTH=450&amp;START_MA","XIMIZED=FALSE&amp;VAR:CALENDAR=US&amp;VAR:SYMBOL=37183T10&amp;VAR:INDEX=0"}</definedName>
    <definedName name="_4193__FDSAUDITLINK__" hidden="1">{"fdsup://directions/FAT Viewer?action=UPDATE&amp;creator=factset&amp;DYN_ARGS=TRUE&amp;DOC_NAME=FAT:FQL_AUDITING_CLIENT_TEMPLATE.FAT&amp;display_string=Audit&amp;VAR:KEY=TYBCHKPKXG&amp;VAR:QUERY=RkZfRUJJVERBX0lCKCdMVE1TJywzOTY5Mik=&amp;WINDOW=FIRST_POPUP&amp;HEIGHT=450&amp;WIDTH=450&amp;START_MA","XIMIZED=FALSE&amp;VAR:CALENDAR=US&amp;VAR:SYMBOL=37183T10&amp;VAR:INDEX=0"}</definedName>
    <definedName name="_4194__FDSAUDITLINK__" localSheetId="6" hidden="1">{"fdsup://directions/FAT Viewer?action=UPDATE&amp;creator=factset&amp;DYN_ARGS=TRUE&amp;DOC_NAME=FAT:FQL_AUDITING_CLIENT_TEMPLATE.FAT&amp;display_string=Audit&amp;VAR:KEY=TMDARUFITO&amp;VAR:QUERY=RkZfRUJJVERBX0lCKCdMVE1TJywzOTY5MSk=&amp;WINDOW=FIRST_POPUP&amp;HEIGHT=450&amp;WIDTH=450&amp;START_MA","XIMIZED=FALSE&amp;VAR:CALENDAR=US&amp;VAR:SYMBOL=37183T10&amp;VAR:INDEX=0"}</definedName>
    <definedName name="_4194__FDSAUDITLINK__" hidden="1">{"fdsup://directions/FAT Viewer?action=UPDATE&amp;creator=factset&amp;DYN_ARGS=TRUE&amp;DOC_NAME=FAT:FQL_AUDITING_CLIENT_TEMPLATE.FAT&amp;display_string=Audit&amp;VAR:KEY=TMDARUFITO&amp;VAR:QUERY=RkZfRUJJVERBX0lCKCdMVE1TJywzOTY5MSk=&amp;WINDOW=FIRST_POPUP&amp;HEIGHT=450&amp;WIDTH=450&amp;START_MA","XIMIZED=FALSE&amp;VAR:CALENDAR=US&amp;VAR:SYMBOL=37183T10&amp;VAR:INDEX=0"}</definedName>
    <definedName name="_4195__FDSAUDITLINK__" localSheetId="6" hidden="1">{"fdsup://directions/FAT Viewer?action=UPDATE&amp;creator=factset&amp;DYN_ARGS=TRUE&amp;DOC_NAME=FAT:FQL_AUDITING_CLIENT_TEMPLATE.FAT&amp;display_string=Audit&amp;VAR:KEY=RQBUJYVQHS&amp;VAR:QUERY=RkZfRUJJVERBX0lCKCdMVE1TJywzOTY5MCk=&amp;WINDOW=FIRST_POPUP&amp;HEIGHT=450&amp;WIDTH=450&amp;START_MA","XIMIZED=FALSE&amp;VAR:CALENDAR=US&amp;VAR:SYMBOL=37183T10&amp;VAR:INDEX=0"}</definedName>
    <definedName name="_4195__FDSAUDITLINK__" hidden="1">{"fdsup://directions/FAT Viewer?action=UPDATE&amp;creator=factset&amp;DYN_ARGS=TRUE&amp;DOC_NAME=FAT:FQL_AUDITING_CLIENT_TEMPLATE.FAT&amp;display_string=Audit&amp;VAR:KEY=RQBUJYVQHS&amp;VAR:QUERY=RkZfRUJJVERBX0lCKCdMVE1TJywzOTY5MCk=&amp;WINDOW=FIRST_POPUP&amp;HEIGHT=450&amp;WIDTH=450&amp;START_MA","XIMIZED=FALSE&amp;VAR:CALENDAR=US&amp;VAR:SYMBOL=37183T10&amp;VAR:INDEX=0"}</definedName>
    <definedName name="_4196__FDSAUDITLINK__" localSheetId="6" hidden="1">{"fdsup://directions/FAT Viewer?action=UPDATE&amp;creator=factset&amp;DYN_ARGS=TRUE&amp;DOC_NAME=FAT:FQL_AUDITING_CLIENT_TEMPLATE.FAT&amp;display_string=Audit&amp;VAR:KEY=HOPQBULAHQ&amp;VAR:QUERY=RkZfRUJJVERBX0lCKCdMVE1TJywzOTY4OSk=&amp;WINDOW=FIRST_POPUP&amp;HEIGHT=450&amp;WIDTH=450&amp;START_MA","XIMIZED=FALSE&amp;VAR:CALENDAR=US&amp;VAR:SYMBOL=37183T10&amp;VAR:INDEX=0"}</definedName>
    <definedName name="_4196__FDSAUDITLINK__" hidden="1">{"fdsup://directions/FAT Viewer?action=UPDATE&amp;creator=factset&amp;DYN_ARGS=TRUE&amp;DOC_NAME=FAT:FQL_AUDITING_CLIENT_TEMPLATE.FAT&amp;display_string=Audit&amp;VAR:KEY=HOPQBULAHQ&amp;VAR:QUERY=RkZfRUJJVERBX0lCKCdMVE1TJywzOTY4OSk=&amp;WINDOW=FIRST_POPUP&amp;HEIGHT=450&amp;WIDTH=450&amp;START_MA","XIMIZED=FALSE&amp;VAR:CALENDAR=US&amp;VAR:SYMBOL=37183T10&amp;VAR:INDEX=0"}</definedName>
    <definedName name="_4197__FDSAUDITLINK__" localSheetId="6" hidden="1">{"fdsup://directions/FAT Viewer?action=UPDATE&amp;creator=factset&amp;DYN_ARGS=TRUE&amp;DOC_NAME=FAT:FQL_AUDITING_CLIENT_TEMPLATE.FAT&amp;display_string=Audit&amp;VAR:KEY=XSTAJYJCJE&amp;VAR:QUERY=RkZfRUJJVERBX0lCKCdMVE1TJywzOTY4OCk=&amp;WINDOW=FIRST_POPUP&amp;HEIGHT=450&amp;WIDTH=450&amp;START_MA","XIMIZED=FALSE&amp;VAR:CALENDAR=US&amp;VAR:SYMBOL=37183T10&amp;VAR:INDEX=0"}</definedName>
    <definedName name="_4197__FDSAUDITLINK__" hidden="1">{"fdsup://directions/FAT Viewer?action=UPDATE&amp;creator=factset&amp;DYN_ARGS=TRUE&amp;DOC_NAME=FAT:FQL_AUDITING_CLIENT_TEMPLATE.FAT&amp;display_string=Audit&amp;VAR:KEY=XSTAJYJCJE&amp;VAR:QUERY=RkZfRUJJVERBX0lCKCdMVE1TJywzOTY4OCk=&amp;WINDOW=FIRST_POPUP&amp;HEIGHT=450&amp;WIDTH=450&amp;START_MA","XIMIZED=FALSE&amp;VAR:CALENDAR=US&amp;VAR:SYMBOL=37183T10&amp;VAR:INDEX=0"}</definedName>
    <definedName name="_4198__FDSAUDITLINK__" localSheetId="6" hidden="1">{"fdsup://directions/FAT Viewer?action=UPDATE&amp;creator=factset&amp;DYN_ARGS=TRUE&amp;DOC_NAME=FAT:FQL_AUDITING_CLIENT_TEMPLATE.FAT&amp;display_string=Audit&amp;VAR:KEY=RULQDWDQJI&amp;VAR:QUERY=RkZfRUJJVERBX0lCKCdMVE1TJywzOTY4Nyk=&amp;WINDOW=FIRST_POPUP&amp;HEIGHT=450&amp;WIDTH=450&amp;START_MA","XIMIZED=FALSE&amp;VAR:CALENDAR=US&amp;VAR:SYMBOL=37183T10&amp;VAR:INDEX=0"}</definedName>
    <definedName name="_4198__FDSAUDITLINK__" hidden="1">{"fdsup://directions/FAT Viewer?action=UPDATE&amp;creator=factset&amp;DYN_ARGS=TRUE&amp;DOC_NAME=FAT:FQL_AUDITING_CLIENT_TEMPLATE.FAT&amp;display_string=Audit&amp;VAR:KEY=RULQDWDQJI&amp;VAR:QUERY=RkZfRUJJVERBX0lCKCdMVE1TJywzOTY4Nyk=&amp;WINDOW=FIRST_POPUP&amp;HEIGHT=450&amp;WIDTH=450&amp;START_MA","XIMIZED=FALSE&amp;VAR:CALENDAR=US&amp;VAR:SYMBOL=37183T10&amp;VAR:INDEX=0"}</definedName>
    <definedName name="_4199__FDSAUDITLINK__" localSheetId="6" hidden="1">{"fdsup://directions/FAT Viewer?action=UPDATE&amp;creator=factset&amp;DYN_ARGS=TRUE&amp;DOC_NAME=FAT:FQL_AUDITING_CLIENT_TEMPLATE.FAT&amp;display_string=Audit&amp;VAR:KEY=VGJIRKTARE&amp;VAR:QUERY=RkZfRUJJVERBX0lCKCdMVE1TJywzOTY4Nik=&amp;WINDOW=FIRST_POPUP&amp;HEIGHT=450&amp;WIDTH=450&amp;START_MA","XIMIZED=FALSE&amp;VAR:CALENDAR=US&amp;VAR:SYMBOL=37183T10&amp;VAR:INDEX=0"}</definedName>
    <definedName name="_4199__FDSAUDITLINK__" hidden="1">{"fdsup://directions/FAT Viewer?action=UPDATE&amp;creator=factset&amp;DYN_ARGS=TRUE&amp;DOC_NAME=FAT:FQL_AUDITING_CLIENT_TEMPLATE.FAT&amp;display_string=Audit&amp;VAR:KEY=VGJIRKTARE&amp;VAR:QUERY=RkZfRUJJVERBX0lCKCdMVE1TJywzOTY4Nik=&amp;WINDOW=FIRST_POPUP&amp;HEIGHT=450&amp;WIDTH=450&amp;START_MA","XIMIZED=FALSE&amp;VAR:CALENDAR=US&amp;VAR:SYMBOL=37183T10&amp;VAR:INDEX=0"}</definedName>
    <definedName name="_42__FDSAUDITLINK__" localSheetId="6" hidden="1">{"fdsup://directions/FAT Viewer?action=UPDATE&amp;creator=factset&amp;DYN_ARGS=TRUE&amp;DOC_NAME=FAT:FQL_AUDITING_CLIENT_TEMPLATE.FAT&amp;display_string=Audit&amp;VAR:KEY=BCNQBSFEDG&amp;VAR:QUERY=QVZHKENTRl9ORVRfSU5DKEFOTiwwRlksLTZGWSxZKSkgLyAoQVZHKENTRl9BU1NFVFMoQU5OLDBGWSwtNkZZL","EZZKSkgLSBBVkcoQ1NGX0lOVEFORyhBTk4sMCwtNkZZLEZZKSkp&amp;WINDOW=FIRST_POPUP&amp;HEIGHT=450&amp;WIDTH=450&amp;START_MAXIMIZED=FALSE&amp;VAR:CALENDAR=US&amp;VAR:SYMBOL=CNW"}</definedName>
    <definedName name="_42__FDSAUDITLINK__" hidden="1">{"fdsup://directions/FAT Viewer?action=UPDATE&amp;creator=factset&amp;DYN_ARGS=TRUE&amp;DOC_NAME=FAT:FQL_AUDITING_CLIENT_TEMPLATE.FAT&amp;display_string=Audit&amp;VAR:KEY=BCNQBSFEDG&amp;VAR:QUERY=QVZHKENTRl9ORVRfSU5DKEFOTiwwRlksLTZGWSxZKSkgLyAoQVZHKENTRl9BU1NFVFMoQU5OLDBGWSwtNkZZL","EZZKSkgLSBBVkcoQ1NGX0lOVEFORyhBTk4sMCwtNkZZLEZZKSkp&amp;WINDOW=FIRST_POPUP&amp;HEIGHT=450&amp;WIDTH=450&amp;START_MAXIMIZED=FALSE&amp;VAR:CALENDAR=US&amp;VAR:SYMBOL=CNW"}</definedName>
    <definedName name="_420__FDSAUDITLINK__" localSheetId="6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0__FDSAUDITLINK__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00__FDSAUDITLINK__" localSheetId="6" hidden="1">{"fdsup://directions/FAT Viewer?action=UPDATE&amp;creator=factset&amp;DYN_ARGS=TRUE&amp;DOC_NAME=FAT:FQL_AUDITING_CLIENT_TEMPLATE.FAT&amp;display_string=Audit&amp;VAR:KEY=RYHCBABOZY&amp;VAR:QUERY=RkZfRUJJVERBX0lCKCdMVE1TJywzOTY4NSk=&amp;WINDOW=FIRST_POPUP&amp;HEIGHT=450&amp;WIDTH=450&amp;START_MA","XIMIZED=FALSE&amp;VAR:CALENDAR=US&amp;VAR:SYMBOL=37183T10&amp;VAR:INDEX=0"}</definedName>
    <definedName name="_4200__FDSAUDITLINK__" hidden="1">{"fdsup://directions/FAT Viewer?action=UPDATE&amp;creator=factset&amp;DYN_ARGS=TRUE&amp;DOC_NAME=FAT:FQL_AUDITING_CLIENT_TEMPLATE.FAT&amp;display_string=Audit&amp;VAR:KEY=RYHCBABOZY&amp;VAR:QUERY=RkZfRUJJVERBX0lCKCdMVE1TJywzOTY4NSk=&amp;WINDOW=FIRST_POPUP&amp;HEIGHT=450&amp;WIDTH=450&amp;START_MA","XIMIZED=FALSE&amp;VAR:CALENDAR=US&amp;VAR:SYMBOL=37183T10&amp;VAR:INDEX=0"}</definedName>
    <definedName name="_4201__FDSAUDITLINK__" localSheetId="6" hidden="1">{"fdsup://directions/FAT Viewer?action=UPDATE&amp;creator=factset&amp;DYN_ARGS=TRUE&amp;DOC_NAME=FAT:FQL_AUDITING_CLIENT_TEMPLATE.FAT&amp;display_string=Audit&amp;VAR:KEY=BCHSPUBGZE&amp;VAR:QUERY=RkZfRUJJVERBX0lCKCdMVE1TJywzOTY4NCk=&amp;WINDOW=FIRST_POPUP&amp;HEIGHT=450&amp;WIDTH=450&amp;START_MA","XIMIZED=FALSE&amp;VAR:CALENDAR=US&amp;VAR:SYMBOL=37183T10&amp;VAR:INDEX=0"}</definedName>
    <definedName name="_4201__FDSAUDITLINK__" hidden="1">{"fdsup://directions/FAT Viewer?action=UPDATE&amp;creator=factset&amp;DYN_ARGS=TRUE&amp;DOC_NAME=FAT:FQL_AUDITING_CLIENT_TEMPLATE.FAT&amp;display_string=Audit&amp;VAR:KEY=BCHSPUBGZE&amp;VAR:QUERY=RkZfRUJJVERBX0lCKCdMVE1TJywzOTY4NCk=&amp;WINDOW=FIRST_POPUP&amp;HEIGHT=450&amp;WIDTH=450&amp;START_MA","XIMIZED=FALSE&amp;VAR:CALENDAR=US&amp;VAR:SYMBOL=37183T10&amp;VAR:INDEX=0"}</definedName>
    <definedName name="_4202__FDSAUDITLINK__" localSheetId="6" hidden="1">{"fdsup://directions/FAT Viewer?action=UPDATE&amp;creator=factset&amp;DYN_ARGS=TRUE&amp;DOC_NAME=FAT:FQL_AUDITING_CLIENT_TEMPLATE.FAT&amp;display_string=Audit&amp;VAR:KEY=XWDCFQHGVS&amp;VAR:QUERY=RkZfRUJJVERBX0lCKCdMVE1TJywzOTY4Myk=&amp;WINDOW=FIRST_POPUP&amp;HEIGHT=450&amp;WIDTH=450&amp;START_MA","XIMIZED=FALSE&amp;VAR:CALENDAR=US&amp;VAR:SYMBOL=37183T10&amp;VAR:INDEX=0"}</definedName>
    <definedName name="_4202__FDSAUDITLINK__" hidden="1">{"fdsup://directions/FAT Viewer?action=UPDATE&amp;creator=factset&amp;DYN_ARGS=TRUE&amp;DOC_NAME=FAT:FQL_AUDITING_CLIENT_TEMPLATE.FAT&amp;display_string=Audit&amp;VAR:KEY=XWDCFQHGVS&amp;VAR:QUERY=RkZfRUJJVERBX0lCKCdMVE1TJywzOTY4Myk=&amp;WINDOW=FIRST_POPUP&amp;HEIGHT=450&amp;WIDTH=450&amp;START_MA","XIMIZED=FALSE&amp;VAR:CALENDAR=US&amp;VAR:SYMBOL=37183T10&amp;VAR:INDEX=0"}</definedName>
    <definedName name="_4203__FDSAUDITLINK__" localSheetId="6" hidden="1">{"fdsup://directions/FAT Viewer?action=UPDATE&amp;creator=factset&amp;DYN_ARGS=TRUE&amp;DOC_NAME=FAT:FQL_AUDITING_CLIENT_TEMPLATE.FAT&amp;display_string=Audit&amp;VAR:KEY=VCRWVSXULY&amp;VAR:QUERY=RkZfRUJJVERBX0lCKCdMVE1TJywzOTY4Mik=&amp;WINDOW=FIRST_POPUP&amp;HEIGHT=450&amp;WIDTH=450&amp;START_MA","XIMIZED=FALSE&amp;VAR:CALENDAR=US&amp;VAR:SYMBOL=37183T10&amp;VAR:INDEX=0"}</definedName>
    <definedName name="_4203__FDSAUDITLINK__" hidden="1">{"fdsup://directions/FAT Viewer?action=UPDATE&amp;creator=factset&amp;DYN_ARGS=TRUE&amp;DOC_NAME=FAT:FQL_AUDITING_CLIENT_TEMPLATE.FAT&amp;display_string=Audit&amp;VAR:KEY=VCRWVSXULY&amp;VAR:QUERY=RkZfRUJJVERBX0lCKCdMVE1TJywzOTY4Mik=&amp;WINDOW=FIRST_POPUP&amp;HEIGHT=450&amp;WIDTH=450&amp;START_MA","XIMIZED=FALSE&amp;VAR:CALENDAR=US&amp;VAR:SYMBOL=37183T10&amp;VAR:INDEX=0"}</definedName>
    <definedName name="_4204__FDSAUDITLINK__" localSheetId="6" hidden="1">{"fdsup://directions/FAT Viewer?action=UPDATE&amp;creator=factset&amp;DYN_ARGS=TRUE&amp;DOC_NAME=FAT:FQL_AUDITING_CLIENT_TEMPLATE.FAT&amp;display_string=Audit&amp;VAR:KEY=HYJQVEDCJW&amp;VAR:QUERY=RkZfRUJJVERBX0lCKCdMVE1TJywzOTY4MSk=&amp;WINDOW=FIRST_POPUP&amp;HEIGHT=450&amp;WIDTH=450&amp;START_MA","XIMIZED=FALSE&amp;VAR:CALENDAR=US&amp;VAR:SYMBOL=37183T10&amp;VAR:INDEX=0"}</definedName>
    <definedName name="_4204__FDSAUDITLINK__" hidden="1">{"fdsup://directions/FAT Viewer?action=UPDATE&amp;creator=factset&amp;DYN_ARGS=TRUE&amp;DOC_NAME=FAT:FQL_AUDITING_CLIENT_TEMPLATE.FAT&amp;display_string=Audit&amp;VAR:KEY=HYJQVEDCJW&amp;VAR:QUERY=RkZfRUJJVERBX0lCKCdMVE1TJywzOTY4MSk=&amp;WINDOW=FIRST_POPUP&amp;HEIGHT=450&amp;WIDTH=450&amp;START_MA","XIMIZED=FALSE&amp;VAR:CALENDAR=US&amp;VAR:SYMBOL=37183T10&amp;VAR:INDEX=0"}</definedName>
    <definedName name="_4205__FDSAUDITLINK__" localSheetId="6" hidden="1">{"fdsup://directions/FAT Viewer?action=UPDATE&amp;creator=factset&amp;DYN_ARGS=TRUE&amp;DOC_NAME=FAT:FQL_AUDITING_CLIENT_TEMPLATE.FAT&amp;display_string=Audit&amp;VAR:KEY=HQRUJKTWPK&amp;VAR:QUERY=RkZfRUJJVERBX0lCKCdMVE1TJywzOTY4MCk=&amp;WINDOW=FIRST_POPUP&amp;HEIGHT=450&amp;WIDTH=450&amp;START_MA","XIMIZED=FALSE&amp;VAR:CALENDAR=US&amp;VAR:SYMBOL=37183T10&amp;VAR:INDEX=0"}</definedName>
    <definedName name="_4205__FDSAUDITLINK__" hidden="1">{"fdsup://directions/FAT Viewer?action=UPDATE&amp;creator=factset&amp;DYN_ARGS=TRUE&amp;DOC_NAME=FAT:FQL_AUDITING_CLIENT_TEMPLATE.FAT&amp;display_string=Audit&amp;VAR:KEY=HQRUJKTWPK&amp;VAR:QUERY=RkZfRUJJVERBX0lCKCdMVE1TJywzOTY4MCk=&amp;WINDOW=FIRST_POPUP&amp;HEIGHT=450&amp;WIDTH=450&amp;START_MA","XIMIZED=FALSE&amp;VAR:CALENDAR=US&amp;VAR:SYMBOL=37183T10&amp;VAR:INDEX=0"}</definedName>
    <definedName name="_4206__FDSAUDITLINK__" localSheetId="6" hidden="1">{"fdsup://directions/FAT Viewer?action=UPDATE&amp;creator=factset&amp;DYN_ARGS=TRUE&amp;DOC_NAME=FAT:FQL_AUDITING_CLIENT_TEMPLATE.FAT&amp;display_string=Audit&amp;VAR:KEY=TGDOFWNOTU&amp;VAR:QUERY=RkZfRUJJVERBX0lCKCdMVE1TJywzOTY3OSk=&amp;WINDOW=FIRST_POPUP&amp;HEIGHT=450&amp;WIDTH=450&amp;START_MA","XIMIZED=FALSE&amp;VAR:CALENDAR=US&amp;VAR:SYMBOL=37183T10&amp;VAR:INDEX=0"}</definedName>
    <definedName name="_4206__FDSAUDITLINK__" hidden="1">{"fdsup://directions/FAT Viewer?action=UPDATE&amp;creator=factset&amp;DYN_ARGS=TRUE&amp;DOC_NAME=FAT:FQL_AUDITING_CLIENT_TEMPLATE.FAT&amp;display_string=Audit&amp;VAR:KEY=TGDOFWNOTU&amp;VAR:QUERY=RkZfRUJJVERBX0lCKCdMVE1TJywzOTY3OSk=&amp;WINDOW=FIRST_POPUP&amp;HEIGHT=450&amp;WIDTH=450&amp;START_MA","XIMIZED=FALSE&amp;VAR:CALENDAR=US&amp;VAR:SYMBOL=37183T10&amp;VAR:INDEX=0"}</definedName>
    <definedName name="_4207__FDSAUDITLINK__" localSheetId="6" hidden="1">{"fdsup://directions/FAT Viewer?action=UPDATE&amp;creator=factset&amp;DYN_ARGS=TRUE&amp;DOC_NAME=FAT:FQL_AUDITING_CLIENT_TEMPLATE.FAT&amp;display_string=Audit&amp;VAR:KEY=JMPIPQNIJS&amp;VAR:QUERY=RkZfRUJJVERBX0lCKCdMVE1TJywzOTY3OCk=&amp;WINDOW=FIRST_POPUP&amp;HEIGHT=450&amp;WIDTH=450&amp;START_MA","XIMIZED=FALSE&amp;VAR:CALENDAR=US&amp;VAR:SYMBOL=37183T10&amp;VAR:INDEX=0"}</definedName>
    <definedName name="_4207__FDSAUDITLINK__" hidden="1">{"fdsup://directions/FAT Viewer?action=UPDATE&amp;creator=factset&amp;DYN_ARGS=TRUE&amp;DOC_NAME=FAT:FQL_AUDITING_CLIENT_TEMPLATE.FAT&amp;display_string=Audit&amp;VAR:KEY=JMPIPQNIJS&amp;VAR:QUERY=RkZfRUJJVERBX0lCKCdMVE1TJywzOTY3OCk=&amp;WINDOW=FIRST_POPUP&amp;HEIGHT=450&amp;WIDTH=450&amp;START_MA","XIMIZED=FALSE&amp;VAR:CALENDAR=US&amp;VAR:SYMBOL=37183T10&amp;VAR:INDEX=0"}</definedName>
    <definedName name="_4208__FDSAUDITLINK__" localSheetId="6" hidden="1">{"fdsup://directions/FAT Viewer?action=UPDATE&amp;creator=factset&amp;DYN_ARGS=TRUE&amp;DOC_NAME=FAT:FQL_AUDITING_CLIENT_TEMPLATE.FAT&amp;display_string=Audit&amp;VAR:KEY=HCZCPIFKJK&amp;VAR:QUERY=RkZfRUJJVERBX0lCKCdMVE1TJywzOTY3Nyk=&amp;WINDOW=FIRST_POPUP&amp;HEIGHT=450&amp;WIDTH=450&amp;START_MA","XIMIZED=FALSE&amp;VAR:CALENDAR=US&amp;VAR:SYMBOL=37183T10&amp;VAR:INDEX=0"}</definedName>
    <definedName name="_4208__FDSAUDITLINK__" hidden="1">{"fdsup://directions/FAT Viewer?action=UPDATE&amp;creator=factset&amp;DYN_ARGS=TRUE&amp;DOC_NAME=FAT:FQL_AUDITING_CLIENT_TEMPLATE.FAT&amp;display_string=Audit&amp;VAR:KEY=HCZCPIFKJK&amp;VAR:QUERY=RkZfRUJJVERBX0lCKCdMVE1TJywzOTY3Nyk=&amp;WINDOW=FIRST_POPUP&amp;HEIGHT=450&amp;WIDTH=450&amp;START_MA","XIMIZED=FALSE&amp;VAR:CALENDAR=US&amp;VAR:SYMBOL=37183T10&amp;VAR:INDEX=0"}</definedName>
    <definedName name="_4209__FDSAUDITLINK__" localSheetId="6" hidden="1">{"fdsup://directions/FAT Viewer?action=UPDATE&amp;creator=factset&amp;DYN_ARGS=TRUE&amp;DOC_NAME=FAT:FQL_AUDITING_CLIENT_TEMPLATE.FAT&amp;display_string=Audit&amp;VAR:KEY=VGDSZOJKPA&amp;VAR:QUERY=RkZfRUJJVERBX0lCKCdMVE1TJywzOTY3Nik=&amp;WINDOW=FIRST_POPUP&amp;HEIGHT=450&amp;WIDTH=450&amp;START_MA","XIMIZED=FALSE&amp;VAR:CALENDAR=US&amp;VAR:SYMBOL=37183T10&amp;VAR:INDEX=0"}</definedName>
    <definedName name="_4209__FDSAUDITLINK__" hidden="1">{"fdsup://directions/FAT Viewer?action=UPDATE&amp;creator=factset&amp;DYN_ARGS=TRUE&amp;DOC_NAME=FAT:FQL_AUDITING_CLIENT_TEMPLATE.FAT&amp;display_string=Audit&amp;VAR:KEY=VGDSZOJKPA&amp;VAR:QUERY=RkZfRUJJVERBX0lCKCdMVE1TJywzOTY3Nik=&amp;WINDOW=FIRST_POPUP&amp;HEIGHT=450&amp;WIDTH=450&amp;START_MA","XIMIZED=FALSE&amp;VAR:CALENDAR=US&amp;VAR:SYMBOL=37183T10&amp;VAR:INDEX=0"}</definedName>
    <definedName name="_421__FDSAUDITLINK__" localSheetId="6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1__FDSAUDITLINK__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10__FDSAUDITLINK__" localSheetId="6" hidden="1">{"fdsup://directions/FAT Viewer?action=UPDATE&amp;creator=factset&amp;DYN_ARGS=TRUE&amp;DOC_NAME=FAT:FQL_AUDITING_CLIENT_TEMPLATE.FAT&amp;display_string=Audit&amp;VAR:KEY=PYTOHWVWVQ&amp;VAR:QUERY=RkZfRUJJVERBX0lCKCdMVE1TJywzOTY3NSk=&amp;WINDOW=FIRST_POPUP&amp;HEIGHT=450&amp;WIDTH=450&amp;START_MA","XIMIZED=FALSE&amp;VAR:CALENDAR=US&amp;VAR:SYMBOL=37183T10&amp;VAR:INDEX=0"}</definedName>
    <definedName name="_4210__FDSAUDITLINK__" hidden="1">{"fdsup://directions/FAT Viewer?action=UPDATE&amp;creator=factset&amp;DYN_ARGS=TRUE&amp;DOC_NAME=FAT:FQL_AUDITING_CLIENT_TEMPLATE.FAT&amp;display_string=Audit&amp;VAR:KEY=PYTOHWVWVQ&amp;VAR:QUERY=RkZfRUJJVERBX0lCKCdMVE1TJywzOTY3NSk=&amp;WINDOW=FIRST_POPUP&amp;HEIGHT=450&amp;WIDTH=450&amp;START_MA","XIMIZED=FALSE&amp;VAR:CALENDAR=US&amp;VAR:SYMBOL=37183T10&amp;VAR:INDEX=0"}</definedName>
    <definedName name="_4211__FDSAUDITLINK__" localSheetId="6" hidden="1">{"fdsup://directions/FAT Viewer?action=UPDATE&amp;creator=factset&amp;DYN_ARGS=TRUE&amp;DOC_NAME=FAT:FQL_AUDITING_CLIENT_TEMPLATE.FAT&amp;display_string=Audit&amp;VAR:KEY=XCROVGLOFY&amp;VAR:QUERY=RkZfRUJJVERBX0lCKCdMVE1TJywzOTY3NCk=&amp;WINDOW=FIRST_POPUP&amp;HEIGHT=450&amp;WIDTH=450&amp;START_MA","XIMIZED=FALSE&amp;VAR:CALENDAR=US&amp;VAR:SYMBOL=37183T10&amp;VAR:INDEX=0"}</definedName>
    <definedName name="_4211__FDSAUDITLINK__" hidden="1">{"fdsup://directions/FAT Viewer?action=UPDATE&amp;creator=factset&amp;DYN_ARGS=TRUE&amp;DOC_NAME=FAT:FQL_AUDITING_CLIENT_TEMPLATE.FAT&amp;display_string=Audit&amp;VAR:KEY=XCROVGLOFY&amp;VAR:QUERY=RkZfRUJJVERBX0lCKCdMVE1TJywzOTY3NCk=&amp;WINDOW=FIRST_POPUP&amp;HEIGHT=450&amp;WIDTH=450&amp;START_MA","XIMIZED=FALSE&amp;VAR:CALENDAR=US&amp;VAR:SYMBOL=37183T10&amp;VAR:INDEX=0"}</definedName>
    <definedName name="_4212__FDSAUDITLINK__" localSheetId="6" hidden="1">{"fdsup://directions/FAT Viewer?action=UPDATE&amp;creator=factset&amp;DYN_ARGS=TRUE&amp;DOC_NAME=FAT:FQL_AUDITING_CLIENT_TEMPLATE.FAT&amp;display_string=Audit&amp;VAR:KEY=VCXOJURCNQ&amp;VAR:QUERY=RkZfRUJJVERBX0lCKCdMVE1TJywzOTY3Myk=&amp;WINDOW=FIRST_POPUP&amp;HEIGHT=450&amp;WIDTH=450&amp;START_MA","XIMIZED=FALSE&amp;VAR:CALENDAR=US&amp;VAR:SYMBOL=37183T10&amp;VAR:INDEX=0"}</definedName>
    <definedName name="_4212__FDSAUDITLINK__" hidden="1">{"fdsup://directions/FAT Viewer?action=UPDATE&amp;creator=factset&amp;DYN_ARGS=TRUE&amp;DOC_NAME=FAT:FQL_AUDITING_CLIENT_TEMPLATE.FAT&amp;display_string=Audit&amp;VAR:KEY=VCXOJURCNQ&amp;VAR:QUERY=RkZfRUJJVERBX0lCKCdMVE1TJywzOTY3Myk=&amp;WINDOW=FIRST_POPUP&amp;HEIGHT=450&amp;WIDTH=450&amp;START_MA","XIMIZED=FALSE&amp;VAR:CALENDAR=US&amp;VAR:SYMBOL=37183T10&amp;VAR:INDEX=0"}</definedName>
    <definedName name="_4213__FDSAUDITLINK__" localSheetId="6" hidden="1">{"fdsup://directions/FAT Viewer?action=UPDATE&amp;creator=factset&amp;DYN_ARGS=TRUE&amp;DOC_NAME=FAT:FQL_AUDITING_CLIENT_TEMPLATE.FAT&amp;display_string=Audit&amp;VAR:KEY=VUFKXWHCZM&amp;VAR:QUERY=RkZfRUJJVERBX0lCKCdMVE1TJywzOTY3Mik=&amp;WINDOW=FIRST_POPUP&amp;HEIGHT=450&amp;WIDTH=450&amp;START_MA","XIMIZED=FALSE&amp;VAR:CALENDAR=US&amp;VAR:SYMBOL=37183T10&amp;VAR:INDEX=0"}</definedName>
    <definedName name="_4213__FDSAUDITLINK__" hidden="1">{"fdsup://directions/FAT Viewer?action=UPDATE&amp;creator=factset&amp;DYN_ARGS=TRUE&amp;DOC_NAME=FAT:FQL_AUDITING_CLIENT_TEMPLATE.FAT&amp;display_string=Audit&amp;VAR:KEY=VUFKXWHCZM&amp;VAR:QUERY=RkZfRUJJVERBX0lCKCdMVE1TJywzOTY3Mik=&amp;WINDOW=FIRST_POPUP&amp;HEIGHT=450&amp;WIDTH=450&amp;START_MA","XIMIZED=FALSE&amp;VAR:CALENDAR=US&amp;VAR:SYMBOL=37183T10&amp;VAR:INDEX=0"}</definedName>
    <definedName name="_4214__FDSAUDITLINK__" localSheetId="6" hidden="1">{"fdsup://directions/FAT Viewer?action=UPDATE&amp;creator=factset&amp;DYN_ARGS=TRUE&amp;DOC_NAME=FAT:FQL_AUDITING_CLIENT_TEMPLATE.FAT&amp;display_string=Audit&amp;VAR:KEY=TYPUVSDULC&amp;VAR:QUERY=RkZfRUJJVERBX0lCKCdMVE1TJywzOTY3MSk=&amp;WINDOW=FIRST_POPUP&amp;HEIGHT=450&amp;WIDTH=450&amp;START_MA","XIMIZED=FALSE&amp;VAR:CALENDAR=US&amp;VAR:SYMBOL=37183T10&amp;VAR:INDEX=0"}</definedName>
    <definedName name="_4214__FDSAUDITLINK__" hidden="1">{"fdsup://directions/FAT Viewer?action=UPDATE&amp;creator=factset&amp;DYN_ARGS=TRUE&amp;DOC_NAME=FAT:FQL_AUDITING_CLIENT_TEMPLATE.FAT&amp;display_string=Audit&amp;VAR:KEY=TYPUVSDULC&amp;VAR:QUERY=RkZfRUJJVERBX0lCKCdMVE1TJywzOTY3MSk=&amp;WINDOW=FIRST_POPUP&amp;HEIGHT=450&amp;WIDTH=450&amp;START_MA","XIMIZED=FALSE&amp;VAR:CALENDAR=US&amp;VAR:SYMBOL=37183T10&amp;VAR:INDEX=0"}</definedName>
    <definedName name="_4215__FDSAUDITLINK__" localSheetId="6" hidden="1">{"fdsup://directions/FAT Viewer?action=UPDATE&amp;creator=factset&amp;DYN_ARGS=TRUE&amp;DOC_NAME=FAT:FQL_AUDITING_CLIENT_TEMPLATE.FAT&amp;display_string=Audit&amp;VAR:KEY=JINOPMFYHK&amp;VAR:QUERY=RkZfRUJJVERBX0lCKCdMVE1TJywzOTY3MCk=&amp;WINDOW=FIRST_POPUP&amp;HEIGHT=450&amp;WIDTH=450&amp;START_MA","XIMIZED=FALSE&amp;VAR:CALENDAR=US&amp;VAR:SYMBOL=37183T10&amp;VAR:INDEX=0"}</definedName>
    <definedName name="_4215__FDSAUDITLINK__" hidden="1">{"fdsup://directions/FAT Viewer?action=UPDATE&amp;creator=factset&amp;DYN_ARGS=TRUE&amp;DOC_NAME=FAT:FQL_AUDITING_CLIENT_TEMPLATE.FAT&amp;display_string=Audit&amp;VAR:KEY=JINOPMFYHK&amp;VAR:QUERY=RkZfRUJJVERBX0lCKCdMVE1TJywzOTY3MCk=&amp;WINDOW=FIRST_POPUP&amp;HEIGHT=450&amp;WIDTH=450&amp;START_MA","XIMIZED=FALSE&amp;VAR:CALENDAR=US&amp;VAR:SYMBOL=37183T10&amp;VAR:INDEX=0"}</definedName>
    <definedName name="_4216__FDSAUDITLINK__" localSheetId="6" hidden="1">{"fdsup://directions/FAT Viewer?action=UPDATE&amp;creator=factset&amp;DYN_ARGS=TRUE&amp;DOC_NAME=FAT:FQL_AUDITING_CLIENT_TEMPLATE.FAT&amp;display_string=Audit&amp;VAR:KEY=VMPABCHKRO&amp;VAR:QUERY=RkZfRUJJVERBX0lCKCdMVE1TJywzOTY2OSk=&amp;WINDOW=FIRST_POPUP&amp;HEIGHT=450&amp;WIDTH=450&amp;START_MA","XIMIZED=FALSE&amp;VAR:CALENDAR=US&amp;VAR:SYMBOL=37183T10&amp;VAR:INDEX=0"}</definedName>
    <definedName name="_4216__FDSAUDITLINK__" hidden="1">{"fdsup://directions/FAT Viewer?action=UPDATE&amp;creator=factset&amp;DYN_ARGS=TRUE&amp;DOC_NAME=FAT:FQL_AUDITING_CLIENT_TEMPLATE.FAT&amp;display_string=Audit&amp;VAR:KEY=VMPABCHKRO&amp;VAR:QUERY=RkZfRUJJVERBX0lCKCdMVE1TJywzOTY2OSk=&amp;WINDOW=FIRST_POPUP&amp;HEIGHT=450&amp;WIDTH=450&amp;START_MA","XIMIZED=FALSE&amp;VAR:CALENDAR=US&amp;VAR:SYMBOL=37183T10&amp;VAR:INDEX=0"}</definedName>
    <definedName name="_4217__FDSAUDITLINK__" localSheetId="6" hidden="1">{"fdsup://directions/FAT Viewer?action=UPDATE&amp;creator=factset&amp;DYN_ARGS=TRUE&amp;DOC_NAME=FAT:FQL_AUDITING_CLIENT_TEMPLATE.FAT&amp;display_string=Audit&amp;VAR:KEY=FMDYFGLGLE&amp;VAR:QUERY=RkZfRUJJVERBX0lCKCdMVE1TJywzOTY2OCk=&amp;WINDOW=FIRST_POPUP&amp;HEIGHT=450&amp;WIDTH=450&amp;START_MA","XIMIZED=FALSE&amp;VAR:CALENDAR=US&amp;VAR:SYMBOL=37183T10&amp;VAR:INDEX=0"}</definedName>
    <definedName name="_4217__FDSAUDITLINK__" hidden="1">{"fdsup://directions/FAT Viewer?action=UPDATE&amp;creator=factset&amp;DYN_ARGS=TRUE&amp;DOC_NAME=FAT:FQL_AUDITING_CLIENT_TEMPLATE.FAT&amp;display_string=Audit&amp;VAR:KEY=FMDYFGLGLE&amp;VAR:QUERY=RkZfRUJJVERBX0lCKCdMVE1TJywzOTY2OCk=&amp;WINDOW=FIRST_POPUP&amp;HEIGHT=450&amp;WIDTH=450&amp;START_MA","XIMIZED=FALSE&amp;VAR:CALENDAR=US&amp;VAR:SYMBOL=37183T10&amp;VAR:INDEX=0"}</definedName>
    <definedName name="_4218__FDSAUDITLINK__" localSheetId="6" hidden="1">{"fdsup://directions/FAT Viewer?action=UPDATE&amp;creator=factset&amp;DYN_ARGS=TRUE&amp;DOC_NAME=FAT:FQL_AUDITING_CLIENT_TEMPLATE.FAT&amp;display_string=Audit&amp;VAR:KEY=DKNOVKXULM&amp;VAR:QUERY=RkZfRUJJVERBX0lCKCdMVE1TJywzOTY2Nyk=&amp;WINDOW=FIRST_POPUP&amp;HEIGHT=450&amp;WIDTH=450&amp;START_MA","XIMIZED=FALSE&amp;VAR:CALENDAR=US&amp;VAR:SYMBOL=37183T10&amp;VAR:INDEX=0"}</definedName>
    <definedName name="_4218__FDSAUDITLINK__" hidden="1">{"fdsup://directions/FAT Viewer?action=UPDATE&amp;creator=factset&amp;DYN_ARGS=TRUE&amp;DOC_NAME=FAT:FQL_AUDITING_CLIENT_TEMPLATE.FAT&amp;display_string=Audit&amp;VAR:KEY=DKNOVKXULM&amp;VAR:QUERY=RkZfRUJJVERBX0lCKCdMVE1TJywzOTY2Nyk=&amp;WINDOW=FIRST_POPUP&amp;HEIGHT=450&amp;WIDTH=450&amp;START_MA","XIMIZED=FALSE&amp;VAR:CALENDAR=US&amp;VAR:SYMBOL=37183T10&amp;VAR:INDEX=0"}</definedName>
    <definedName name="_4219__FDSAUDITLINK__" localSheetId="6" hidden="1">{"fdsup://directions/FAT Viewer?action=UPDATE&amp;creator=factset&amp;DYN_ARGS=TRUE&amp;DOC_NAME=FAT:FQL_AUDITING_CLIENT_TEMPLATE.FAT&amp;display_string=Audit&amp;VAR:KEY=NYNOLWBYPM&amp;VAR:QUERY=RkZfRUJJVERBX0lCKCdMVE1TJywzOTY2Nik=&amp;WINDOW=FIRST_POPUP&amp;HEIGHT=450&amp;WIDTH=450&amp;START_MA","XIMIZED=FALSE&amp;VAR:CALENDAR=US&amp;VAR:SYMBOL=37183T10&amp;VAR:INDEX=0"}</definedName>
    <definedName name="_4219__FDSAUDITLINK__" hidden="1">{"fdsup://directions/FAT Viewer?action=UPDATE&amp;creator=factset&amp;DYN_ARGS=TRUE&amp;DOC_NAME=FAT:FQL_AUDITING_CLIENT_TEMPLATE.FAT&amp;display_string=Audit&amp;VAR:KEY=NYNOLWBYPM&amp;VAR:QUERY=RkZfRUJJVERBX0lCKCdMVE1TJywzOTY2Nik=&amp;WINDOW=FIRST_POPUP&amp;HEIGHT=450&amp;WIDTH=450&amp;START_MA","XIMIZED=FALSE&amp;VAR:CALENDAR=US&amp;VAR:SYMBOL=37183T10&amp;VAR:INDEX=0"}</definedName>
    <definedName name="_422__FDSAUDITLINK__" localSheetId="6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2__FDSAUDITLINK__" hidden="1">{"fdsup://directions/FAT%20Viewer?VAR:PED=LTM&amp;VAR:AUDIT_MODE=SUMMARY&amp;VAR:PERIOD=FIXED&amp;VAR:AUDIT_ID=00000117&amp;VAR:DATE=20081226&amp;action=UPDATE&amp;creator=factset&amp;DOC_NAME=FAT:FMA_audit_SUMMARY.fat&amp;DISPLAY_STRING=Display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20__FDSAUDITLINK__" localSheetId="6" hidden="1">{"fdsup://directions/FAT Viewer?action=UPDATE&amp;creator=factset&amp;DYN_ARGS=TRUE&amp;DOC_NAME=FAT:FQL_AUDITING_CLIENT_TEMPLATE.FAT&amp;display_string=Audit&amp;VAR:KEY=FCTYLEFKBK&amp;VAR:QUERY=RkZfRUJJVERBX0lCKCdMVE1TJywzOTY2NSk=&amp;WINDOW=FIRST_POPUP&amp;HEIGHT=450&amp;WIDTH=450&amp;START_MA","XIMIZED=FALSE&amp;VAR:CALENDAR=US&amp;VAR:SYMBOL=37183T10&amp;VAR:INDEX=0"}</definedName>
    <definedName name="_4220__FDSAUDITLINK__" hidden="1">{"fdsup://directions/FAT Viewer?action=UPDATE&amp;creator=factset&amp;DYN_ARGS=TRUE&amp;DOC_NAME=FAT:FQL_AUDITING_CLIENT_TEMPLATE.FAT&amp;display_string=Audit&amp;VAR:KEY=FCTYLEFKBK&amp;VAR:QUERY=RkZfRUJJVERBX0lCKCdMVE1TJywzOTY2NSk=&amp;WINDOW=FIRST_POPUP&amp;HEIGHT=450&amp;WIDTH=450&amp;START_MA","XIMIZED=FALSE&amp;VAR:CALENDAR=US&amp;VAR:SYMBOL=37183T10&amp;VAR:INDEX=0"}</definedName>
    <definedName name="_4221__FDSAUDITLINK__" localSheetId="6" hidden="1">{"fdsup://directions/FAT Viewer?action=UPDATE&amp;creator=factset&amp;DYN_ARGS=TRUE&amp;DOC_NAME=FAT:FQL_AUDITING_CLIENT_TEMPLATE.FAT&amp;display_string=Audit&amp;VAR:KEY=BOVGZERCXM&amp;VAR:QUERY=RkZfRUJJVERBX0lCKCdMVE1TJywzOTY2NCk=&amp;WINDOW=FIRST_POPUP&amp;HEIGHT=450&amp;WIDTH=450&amp;START_MA","XIMIZED=FALSE&amp;VAR:CALENDAR=US&amp;VAR:SYMBOL=37183T10&amp;VAR:INDEX=0"}</definedName>
    <definedName name="_4221__FDSAUDITLINK__" hidden="1">{"fdsup://directions/FAT Viewer?action=UPDATE&amp;creator=factset&amp;DYN_ARGS=TRUE&amp;DOC_NAME=FAT:FQL_AUDITING_CLIENT_TEMPLATE.FAT&amp;display_string=Audit&amp;VAR:KEY=BOVGZERCXM&amp;VAR:QUERY=RkZfRUJJVERBX0lCKCdMVE1TJywzOTY2NCk=&amp;WINDOW=FIRST_POPUP&amp;HEIGHT=450&amp;WIDTH=450&amp;START_MA","XIMIZED=FALSE&amp;VAR:CALENDAR=US&amp;VAR:SYMBOL=37183T10&amp;VAR:INDEX=0"}</definedName>
    <definedName name="_4222__FDSAUDITLINK__" localSheetId="6" hidden="1">{"fdsup://directions/FAT Viewer?action=UPDATE&amp;creator=factset&amp;DYN_ARGS=TRUE&amp;DOC_NAME=FAT:FQL_AUDITING_CLIENT_TEMPLATE.FAT&amp;display_string=Audit&amp;VAR:KEY=PQDUBMJSXO&amp;VAR:QUERY=RkZfRUJJVERBX0lCKCdMVE1TJywzOTY2Myk=&amp;WINDOW=FIRST_POPUP&amp;HEIGHT=450&amp;WIDTH=450&amp;START_MA","XIMIZED=FALSE&amp;VAR:CALENDAR=US&amp;VAR:SYMBOL=37183T10&amp;VAR:INDEX=0"}</definedName>
    <definedName name="_4222__FDSAUDITLINK__" hidden="1">{"fdsup://directions/FAT Viewer?action=UPDATE&amp;creator=factset&amp;DYN_ARGS=TRUE&amp;DOC_NAME=FAT:FQL_AUDITING_CLIENT_TEMPLATE.FAT&amp;display_string=Audit&amp;VAR:KEY=PQDUBMJSXO&amp;VAR:QUERY=RkZfRUJJVERBX0lCKCdMVE1TJywzOTY2Myk=&amp;WINDOW=FIRST_POPUP&amp;HEIGHT=450&amp;WIDTH=450&amp;START_MA","XIMIZED=FALSE&amp;VAR:CALENDAR=US&amp;VAR:SYMBOL=37183T10&amp;VAR:INDEX=0"}</definedName>
    <definedName name="_4223__FDSAUDITLINK__" localSheetId="6" hidden="1">{"fdsup://directions/FAT Viewer?action=UPDATE&amp;creator=factset&amp;DYN_ARGS=TRUE&amp;DOC_NAME=FAT:FQL_AUDITING_CLIENT_TEMPLATE.FAT&amp;display_string=Audit&amp;VAR:KEY=BMNWTGPGTG&amp;VAR:QUERY=RkZfRUJJVERBX0lCKCdMVE1TJywzOTY2Mik=&amp;WINDOW=FIRST_POPUP&amp;HEIGHT=450&amp;WIDTH=450&amp;START_MA","XIMIZED=FALSE&amp;VAR:CALENDAR=US&amp;VAR:SYMBOL=37183T10&amp;VAR:INDEX=0"}</definedName>
    <definedName name="_4223__FDSAUDITLINK__" hidden="1">{"fdsup://directions/FAT Viewer?action=UPDATE&amp;creator=factset&amp;DYN_ARGS=TRUE&amp;DOC_NAME=FAT:FQL_AUDITING_CLIENT_TEMPLATE.FAT&amp;display_string=Audit&amp;VAR:KEY=BMNWTGPGTG&amp;VAR:QUERY=RkZfRUJJVERBX0lCKCdMVE1TJywzOTY2Mik=&amp;WINDOW=FIRST_POPUP&amp;HEIGHT=450&amp;WIDTH=450&amp;START_MA","XIMIZED=FALSE&amp;VAR:CALENDAR=US&amp;VAR:SYMBOL=37183T10&amp;VAR:INDEX=0"}</definedName>
    <definedName name="_4224__FDSAUDITLINK__" localSheetId="6" hidden="1">{"fdsup://directions/FAT Viewer?action=UPDATE&amp;creator=factset&amp;DYN_ARGS=TRUE&amp;DOC_NAME=FAT:FQL_AUDITING_CLIENT_TEMPLATE.FAT&amp;display_string=Audit&amp;VAR:KEY=DMJMBELKLC&amp;VAR:QUERY=RkZfRUJJVERBX0lCKCdMVE1TJywzOTY2MSk=&amp;WINDOW=FIRST_POPUP&amp;HEIGHT=450&amp;WIDTH=450&amp;START_MA","XIMIZED=FALSE&amp;VAR:CALENDAR=US&amp;VAR:SYMBOL=37183T10&amp;VAR:INDEX=0"}</definedName>
    <definedName name="_4224__FDSAUDITLINK__" hidden="1">{"fdsup://directions/FAT Viewer?action=UPDATE&amp;creator=factset&amp;DYN_ARGS=TRUE&amp;DOC_NAME=FAT:FQL_AUDITING_CLIENT_TEMPLATE.FAT&amp;display_string=Audit&amp;VAR:KEY=DMJMBELKLC&amp;VAR:QUERY=RkZfRUJJVERBX0lCKCdMVE1TJywzOTY2MSk=&amp;WINDOW=FIRST_POPUP&amp;HEIGHT=450&amp;WIDTH=450&amp;START_MA","XIMIZED=FALSE&amp;VAR:CALENDAR=US&amp;VAR:SYMBOL=37183T10&amp;VAR:INDEX=0"}</definedName>
    <definedName name="_4225__FDSAUDITLINK__" localSheetId="6" hidden="1">{"fdsup://directions/FAT Viewer?action=UPDATE&amp;creator=factset&amp;DYN_ARGS=TRUE&amp;DOC_NAME=FAT:FQL_AUDITING_CLIENT_TEMPLATE.FAT&amp;display_string=Audit&amp;VAR:KEY=ZILEXERMFK&amp;VAR:QUERY=RkZfRUJJVERBX0lCKCdMVE1TJywzOTY2MCk=&amp;WINDOW=FIRST_POPUP&amp;HEIGHT=450&amp;WIDTH=450&amp;START_MA","XIMIZED=FALSE&amp;VAR:CALENDAR=US&amp;VAR:SYMBOL=37183T10&amp;VAR:INDEX=0"}</definedName>
    <definedName name="_4225__FDSAUDITLINK__" hidden="1">{"fdsup://directions/FAT Viewer?action=UPDATE&amp;creator=factset&amp;DYN_ARGS=TRUE&amp;DOC_NAME=FAT:FQL_AUDITING_CLIENT_TEMPLATE.FAT&amp;display_string=Audit&amp;VAR:KEY=ZILEXERMFK&amp;VAR:QUERY=RkZfRUJJVERBX0lCKCdMVE1TJywzOTY2MCk=&amp;WINDOW=FIRST_POPUP&amp;HEIGHT=450&amp;WIDTH=450&amp;START_MA","XIMIZED=FALSE&amp;VAR:CALENDAR=US&amp;VAR:SYMBOL=37183T10&amp;VAR:INDEX=0"}</definedName>
    <definedName name="_4226__FDSAUDITLINK__" localSheetId="6" hidden="1">{"fdsup://directions/FAT Viewer?action=UPDATE&amp;creator=factset&amp;DYN_ARGS=TRUE&amp;DOC_NAME=FAT:FQL_AUDITING_CLIENT_TEMPLATE.FAT&amp;display_string=Audit&amp;VAR:KEY=NUVEHKBMDM&amp;VAR:QUERY=RkZfRUJJVERBX0lCKCdMVE1TJywzOTY1OSk=&amp;WINDOW=FIRST_POPUP&amp;HEIGHT=450&amp;WIDTH=450&amp;START_MA","XIMIZED=FALSE&amp;VAR:CALENDAR=US&amp;VAR:SYMBOL=37183T10&amp;VAR:INDEX=0"}</definedName>
    <definedName name="_4226__FDSAUDITLINK__" hidden="1">{"fdsup://directions/FAT Viewer?action=UPDATE&amp;creator=factset&amp;DYN_ARGS=TRUE&amp;DOC_NAME=FAT:FQL_AUDITING_CLIENT_TEMPLATE.FAT&amp;display_string=Audit&amp;VAR:KEY=NUVEHKBMDM&amp;VAR:QUERY=RkZfRUJJVERBX0lCKCdMVE1TJywzOTY1OSk=&amp;WINDOW=FIRST_POPUP&amp;HEIGHT=450&amp;WIDTH=450&amp;START_MA","XIMIZED=FALSE&amp;VAR:CALENDAR=US&amp;VAR:SYMBOL=37183T10&amp;VAR:INDEX=0"}</definedName>
    <definedName name="_4227__FDSAUDITLINK__" localSheetId="6" hidden="1">{"fdsup://directions/FAT Viewer?action=UPDATE&amp;creator=factset&amp;DYN_ARGS=TRUE&amp;DOC_NAME=FAT:FQL_AUDITING_CLIENT_TEMPLATE.FAT&amp;display_string=Audit&amp;VAR:KEY=TIJCLUDIHE&amp;VAR:QUERY=RkZfRUJJVERBX0lCKCdMVE1TJywzOTY1OCk=&amp;WINDOW=FIRST_POPUP&amp;HEIGHT=450&amp;WIDTH=450&amp;START_MA","XIMIZED=FALSE&amp;VAR:CALENDAR=US&amp;VAR:SYMBOL=37183T10&amp;VAR:INDEX=0"}</definedName>
    <definedName name="_4227__FDSAUDITLINK__" hidden="1">{"fdsup://directions/FAT Viewer?action=UPDATE&amp;creator=factset&amp;DYN_ARGS=TRUE&amp;DOC_NAME=FAT:FQL_AUDITING_CLIENT_TEMPLATE.FAT&amp;display_string=Audit&amp;VAR:KEY=TIJCLUDIHE&amp;VAR:QUERY=RkZfRUJJVERBX0lCKCdMVE1TJywzOTY1OCk=&amp;WINDOW=FIRST_POPUP&amp;HEIGHT=450&amp;WIDTH=450&amp;START_MA","XIMIZED=FALSE&amp;VAR:CALENDAR=US&amp;VAR:SYMBOL=37183T10&amp;VAR:INDEX=0"}</definedName>
    <definedName name="_4228__FDSAUDITLINK__" localSheetId="6" hidden="1">{"fdsup://directions/FAT Viewer?action=UPDATE&amp;creator=factset&amp;DYN_ARGS=TRUE&amp;DOC_NAME=FAT:FQL_AUDITING_CLIENT_TEMPLATE.FAT&amp;display_string=Audit&amp;VAR:KEY=XQLODGDWVE&amp;VAR:QUERY=RkZfRUJJVERBX0lCKCdMVE1TJywzOTY1Nyk=&amp;WINDOW=FIRST_POPUP&amp;HEIGHT=450&amp;WIDTH=450&amp;START_MA","XIMIZED=FALSE&amp;VAR:CALENDAR=US&amp;VAR:SYMBOL=37183T10&amp;VAR:INDEX=0"}</definedName>
    <definedName name="_4228__FDSAUDITLINK__" hidden="1">{"fdsup://directions/FAT Viewer?action=UPDATE&amp;creator=factset&amp;DYN_ARGS=TRUE&amp;DOC_NAME=FAT:FQL_AUDITING_CLIENT_TEMPLATE.FAT&amp;display_string=Audit&amp;VAR:KEY=XQLODGDWVE&amp;VAR:QUERY=RkZfRUJJVERBX0lCKCdMVE1TJywzOTY1Nyk=&amp;WINDOW=FIRST_POPUP&amp;HEIGHT=450&amp;WIDTH=450&amp;START_MA","XIMIZED=FALSE&amp;VAR:CALENDAR=US&amp;VAR:SYMBOL=37183T10&amp;VAR:INDEX=0"}</definedName>
    <definedName name="_4229__FDSAUDITLINK__" localSheetId="6" hidden="1">{"fdsup://directions/FAT Viewer?action=UPDATE&amp;creator=factset&amp;DYN_ARGS=TRUE&amp;DOC_NAME=FAT:FQL_AUDITING_CLIENT_TEMPLATE.FAT&amp;display_string=Audit&amp;VAR:KEY=TQRGZQBYPC&amp;VAR:QUERY=RkZfRUJJVERBX0lCKCdMVE1TJywzOTY1Nik=&amp;WINDOW=FIRST_POPUP&amp;HEIGHT=450&amp;WIDTH=450&amp;START_MA","XIMIZED=FALSE&amp;VAR:CALENDAR=US&amp;VAR:SYMBOL=37183T10&amp;VAR:INDEX=0"}</definedName>
    <definedName name="_4229__FDSAUDITLINK__" hidden="1">{"fdsup://directions/FAT Viewer?action=UPDATE&amp;creator=factset&amp;DYN_ARGS=TRUE&amp;DOC_NAME=FAT:FQL_AUDITING_CLIENT_TEMPLATE.FAT&amp;display_string=Audit&amp;VAR:KEY=TQRGZQBYPC&amp;VAR:QUERY=RkZfRUJJVERBX0lCKCdMVE1TJywzOTY1Nik=&amp;WINDOW=FIRST_POPUP&amp;HEIGHT=450&amp;WIDTH=450&amp;START_MA","XIMIZED=FALSE&amp;VAR:CALENDAR=US&amp;VAR:SYMBOL=37183T10&amp;VAR:INDEX=0"}</definedName>
    <definedName name="_423__FDSAUDITLINK__" localSheetId="6" hidden="1">{"fdsup://directions/FAT%20Viewer?VAR:PED=LTM&amp;VAR:AUDIT_MODE=SUMMARY&amp;VAR:PERIOD=FIXED&amp;VAR:AUDIT_ID=00000117&amp;VAR:DATE=20081224&amp;action=UPDATE&amp;creator=factset&amp;DOC_NAME=FAT:FMA_audit_SUMMARY.fat&amp;DISPLAY_STRING=Display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3__FDSAUDITLINK__" hidden="1">{"fdsup://directions/FAT%20Viewer?VAR:PED=LTM&amp;VAR:AUDIT_MODE=SUMMARY&amp;VAR:PERIOD=FIXED&amp;VAR:AUDIT_ID=00000117&amp;VAR:DATE=20081224&amp;action=UPDATE&amp;creator=factset&amp;DOC_NAME=FAT:FMA_audit_SUMMARY.fat&amp;DISPLAY_STRING=Display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30__FDSAUDITLINK__" localSheetId="6" hidden="1">{"fdsup://directions/FAT Viewer?action=UPDATE&amp;creator=factset&amp;DYN_ARGS=TRUE&amp;DOC_NAME=FAT:FQL_AUDITING_CLIENT_TEMPLATE.FAT&amp;display_string=Audit&amp;VAR:KEY=VARAXUVOHA&amp;VAR:QUERY=RkZfRUJJVERBX0lCKCdMVE1TJywzOTY1NSk=&amp;WINDOW=FIRST_POPUP&amp;HEIGHT=450&amp;WIDTH=450&amp;START_MA","XIMIZED=FALSE&amp;VAR:CALENDAR=US&amp;VAR:SYMBOL=37183T10&amp;VAR:INDEX=0"}</definedName>
    <definedName name="_4230__FDSAUDITLINK__" hidden="1">{"fdsup://directions/FAT Viewer?action=UPDATE&amp;creator=factset&amp;DYN_ARGS=TRUE&amp;DOC_NAME=FAT:FQL_AUDITING_CLIENT_TEMPLATE.FAT&amp;display_string=Audit&amp;VAR:KEY=VARAXUVOHA&amp;VAR:QUERY=RkZfRUJJVERBX0lCKCdMVE1TJywzOTY1NSk=&amp;WINDOW=FIRST_POPUP&amp;HEIGHT=450&amp;WIDTH=450&amp;START_MA","XIMIZED=FALSE&amp;VAR:CALENDAR=US&amp;VAR:SYMBOL=37183T10&amp;VAR:INDEX=0"}</definedName>
    <definedName name="_4231__FDSAUDITLINK__" localSheetId="6" hidden="1">{"fdsup://directions/FAT Viewer?action=UPDATE&amp;creator=factset&amp;DYN_ARGS=TRUE&amp;DOC_NAME=FAT:FQL_AUDITING_CLIENT_TEMPLATE.FAT&amp;display_string=Audit&amp;VAR:KEY=JWPGPGTGFI&amp;VAR:QUERY=RkZfRUJJVERBX0lCKCdMVE1TJywzOTY1NCk=&amp;WINDOW=FIRST_POPUP&amp;HEIGHT=450&amp;WIDTH=450&amp;START_MA","XIMIZED=FALSE&amp;VAR:CALENDAR=US&amp;VAR:SYMBOL=37183T10&amp;VAR:INDEX=0"}</definedName>
    <definedName name="_4231__FDSAUDITLINK__" hidden="1">{"fdsup://directions/FAT Viewer?action=UPDATE&amp;creator=factset&amp;DYN_ARGS=TRUE&amp;DOC_NAME=FAT:FQL_AUDITING_CLIENT_TEMPLATE.FAT&amp;display_string=Audit&amp;VAR:KEY=JWPGPGTGFI&amp;VAR:QUERY=RkZfRUJJVERBX0lCKCdMVE1TJywzOTY1NCk=&amp;WINDOW=FIRST_POPUP&amp;HEIGHT=450&amp;WIDTH=450&amp;START_MA","XIMIZED=FALSE&amp;VAR:CALENDAR=US&amp;VAR:SYMBOL=37183T10&amp;VAR:INDEX=0"}</definedName>
    <definedName name="_4232__FDSAUDITLINK__" localSheetId="6" hidden="1">{"fdsup://directions/FAT Viewer?action=UPDATE&amp;creator=factset&amp;DYN_ARGS=TRUE&amp;DOC_NAME=FAT:FQL_AUDITING_CLIENT_TEMPLATE.FAT&amp;display_string=Audit&amp;VAR:KEY=DSZGTELQRG&amp;VAR:QUERY=RkZfRUJJVERBX0lCKCdMVE1TJywzOTY1Myk=&amp;WINDOW=FIRST_POPUP&amp;HEIGHT=450&amp;WIDTH=450&amp;START_MA","XIMIZED=FALSE&amp;VAR:CALENDAR=US&amp;VAR:SYMBOL=37183T10&amp;VAR:INDEX=0"}</definedName>
    <definedName name="_4232__FDSAUDITLINK__" hidden="1">{"fdsup://directions/FAT Viewer?action=UPDATE&amp;creator=factset&amp;DYN_ARGS=TRUE&amp;DOC_NAME=FAT:FQL_AUDITING_CLIENT_TEMPLATE.FAT&amp;display_string=Audit&amp;VAR:KEY=DSZGTELQRG&amp;VAR:QUERY=RkZfRUJJVERBX0lCKCdMVE1TJywzOTY1Myk=&amp;WINDOW=FIRST_POPUP&amp;HEIGHT=450&amp;WIDTH=450&amp;START_MA","XIMIZED=FALSE&amp;VAR:CALENDAR=US&amp;VAR:SYMBOL=37183T10&amp;VAR:INDEX=0"}</definedName>
    <definedName name="_4233__FDSAUDITLINK__" localSheetId="6" hidden="1">{"fdsup://directions/FAT Viewer?action=UPDATE&amp;creator=factset&amp;DYN_ARGS=TRUE&amp;DOC_NAME=FAT:FQL_AUDITING_CLIENT_TEMPLATE.FAT&amp;display_string=Audit&amp;VAR:KEY=VQVKNCZWJC&amp;VAR:QUERY=RkZfRUJJVERBX0lCKCdMVE1TJywzOTY1Mik=&amp;WINDOW=FIRST_POPUP&amp;HEIGHT=450&amp;WIDTH=450&amp;START_MA","XIMIZED=FALSE&amp;VAR:CALENDAR=US&amp;VAR:SYMBOL=37183T10&amp;VAR:INDEX=0"}</definedName>
    <definedName name="_4233__FDSAUDITLINK__" hidden="1">{"fdsup://directions/FAT Viewer?action=UPDATE&amp;creator=factset&amp;DYN_ARGS=TRUE&amp;DOC_NAME=FAT:FQL_AUDITING_CLIENT_TEMPLATE.FAT&amp;display_string=Audit&amp;VAR:KEY=VQVKNCZWJC&amp;VAR:QUERY=RkZfRUJJVERBX0lCKCdMVE1TJywzOTY1Mik=&amp;WINDOW=FIRST_POPUP&amp;HEIGHT=450&amp;WIDTH=450&amp;START_MA","XIMIZED=FALSE&amp;VAR:CALENDAR=US&amp;VAR:SYMBOL=37183T10&amp;VAR:INDEX=0"}</definedName>
    <definedName name="_4234__FDSAUDITLINK__" localSheetId="6" hidden="1">{"fdsup://directions/FAT Viewer?action=UPDATE&amp;creator=factset&amp;DYN_ARGS=TRUE&amp;DOC_NAME=FAT:FQL_AUDITING_CLIENT_TEMPLATE.FAT&amp;display_string=Audit&amp;VAR:KEY=PSJMBKVSTM&amp;VAR:QUERY=RkZfRUJJVERBX0lCKCdMVE1TJywzOTY1MSk=&amp;WINDOW=FIRST_POPUP&amp;HEIGHT=450&amp;WIDTH=450&amp;START_MA","XIMIZED=FALSE&amp;VAR:CALENDAR=US&amp;VAR:SYMBOL=37183T10&amp;VAR:INDEX=0"}</definedName>
    <definedName name="_4234__FDSAUDITLINK__" hidden="1">{"fdsup://directions/FAT Viewer?action=UPDATE&amp;creator=factset&amp;DYN_ARGS=TRUE&amp;DOC_NAME=FAT:FQL_AUDITING_CLIENT_TEMPLATE.FAT&amp;display_string=Audit&amp;VAR:KEY=PSJMBKVSTM&amp;VAR:QUERY=RkZfRUJJVERBX0lCKCdMVE1TJywzOTY1MSk=&amp;WINDOW=FIRST_POPUP&amp;HEIGHT=450&amp;WIDTH=450&amp;START_MA","XIMIZED=FALSE&amp;VAR:CALENDAR=US&amp;VAR:SYMBOL=37183T10&amp;VAR:INDEX=0"}</definedName>
    <definedName name="_4235__FDSAUDITLINK__" localSheetId="6" hidden="1">{"fdsup://directions/FAT Viewer?action=UPDATE&amp;creator=factset&amp;DYN_ARGS=TRUE&amp;DOC_NAME=FAT:FQL_AUDITING_CLIENT_TEMPLATE.FAT&amp;display_string=Audit&amp;VAR:KEY=RUNYVGXYDW&amp;VAR:QUERY=RkZfRUJJVERBX0lCKCdMVE1TJywzOTY1MCk=&amp;WINDOW=FIRST_POPUP&amp;HEIGHT=450&amp;WIDTH=450&amp;START_MA","XIMIZED=FALSE&amp;VAR:CALENDAR=US&amp;VAR:SYMBOL=37183T10&amp;VAR:INDEX=0"}</definedName>
    <definedName name="_4235__FDSAUDITLINK__" hidden="1">{"fdsup://directions/FAT Viewer?action=UPDATE&amp;creator=factset&amp;DYN_ARGS=TRUE&amp;DOC_NAME=FAT:FQL_AUDITING_CLIENT_TEMPLATE.FAT&amp;display_string=Audit&amp;VAR:KEY=RUNYVGXYDW&amp;VAR:QUERY=RkZfRUJJVERBX0lCKCdMVE1TJywzOTY1MCk=&amp;WINDOW=FIRST_POPUP&amp;HEIGHT=450&amp;WIDTH=450&amp;START_MA","XIMIZED=FALSE&amp;VAR:CALENDAR=US&amp;VAR:SYMBOL=37183T10&amp;VAR:INDEX=0"}</definedName>
    <definedName name="_4236__FDSAUDITLINK__" localSheetId="6" hidden="1">{"fdsup://directions/FAT Viewer?action=UPDATE&amp;creator=factset&amp;DYN_ARGS=TRUE&amp;DOC_NAME=FAT:FQL_AUDITING_CLIENT_TEMPLATE.FAT&amp;display_string=Audit&amp;VAR:KEY=PMXIFCDODY&amp;VAR:QUERY=RkZfRUJJVERBX0lCKCdMVE1TJywzOTY0OSk=&amp;WINDOW=FIRST_POPUP&amp;HEIGHT=450&amp;WIDTH=450&amp;START_MA","XIMIZED=FALSE&amp;VAR:CALENDAR=US&amp;VAR:SYMBOL=37183T10&amp;VAR:INDEX=0"}</definedName>
    <definedName name="_4236__FDSAUDITLINK__" hidden="1">{"fdsup://directions/FAT Viewer?action=UPDATE&amp;creator=factset&amp;DYN_ARGS=TRUE&amp;DOC_NAME=FAT:FQL_AUDITING_CLIENT_TEMPLATE.FAT&amp;display_string=Audit&amp;VAR:KEY=PMXIFCDODY&amp;VAR:QUERY=RkZfRUJJVERBX0lCKCdMVE1TJywzOTY0OSk=&amp;WINDOW=FIRST_POPUP&amp;HEIGHT=450&amp;WIDTH=450&amp;START_MA","XIMIZED=FALSE&amp;VAR:CALENDAR=US&amp;VAR:SYMBOL=37183T10&amp;VAR:INDEX=0"}</definedName>
    <definedName name="_4237__FDSAUDITLINK__" localSheetId="6" hidden="1">{"fdsup://directions/FAT Viewer?action=UPDATE&amp;creator=factset&amp;DYN_ARGS=TRUE&amp;DOC_NAME=FAT:FQL_AUDITING_CLIENT_TEMPLATE.FAT&amp;display_string=Audit&amp;VAR:KEY=HCTCVADGLA&amp;VAR:QUERY=RkZfRUJJVERBX0lCKCdMVE1TJywzOTY0OCk=&amp;WINDOW=FIRST_POPUP&amp;HEIGHT=450&amp;WIDTH=450&amp;START_MA","XIMIZED=FALSE&amp;VAR:CALENDAR=US&amp;VAR:SYMBOL=37183T10&amp;VAR:INDEX=0"}</definedName>
    <definedName name="_4237__FDSAUDITLINK__" hidden="1">{"fdsup://directions/FAT Viewer?action=UPDATE&amp;creator=factset&amp;DYN_ARGS=TRUE&amp;DOC_NAME=FAT:FQL_AUDITING_CLIENT_TEMPLATE.FAT&amp;display_string=Audit&amp;VAR:KEY=HCTCVADGLA&amp;VAR:QUERY=RkZfRUJJVERBX0lCKCdMVE1TJywzOTY0OCk=&amp;WINDOW=FIRST_POPUP&amp;HEIGHT=450&amp;WIDTH=450&amp;START_MA","XIMIZED=FALSE&amp;VAR:CALENDAR=US&amp;VAR:SYMBOL=37183T10&amp;VAR:INDEX=0"}</definedName>
    <definedName name="_4238__FDSAUDITLINK__" localSheetId="6" hidden="1">{"fdsup://directions/FAT Viewer?action=UPDATE&amp;creator=factset&amp;DYN_ARGS=TRUE&amp;DOC_NAME=FAT:FQL_AUDITING_CLIENT_TEMPLATE.FAT&amp;display_string=Audit&amp;VAR:KEY=JKZMFGPYNE&amp;VAR:QUERY=RkZfRUJJVERBX0lCKCdMVE1TJywzOTY0Nyk=&amp;WINDOW=FIRST_POPUP&amp;HEIGHT=450&amp;WIDTH=450&amp;START_MA","XIMIZED=FALSE&amp;VAR:CALENDAR=US&amp;VAR:SYMBOL=37183T10&amp;VAR:INDEX=0"}</definedName>
    <definedName name="_4238__FDSAUDITLINK__" hidden="1">{"fdsup://directions/FAT Viewer?action=UPDATE&amp;creator=factset&amp;DYN_ARGS=TRUE&amp;DOC_NAME=FAT:FQL_AUDITING_CLIENT_TEMPLATE.FAT&amp;display_string=Audit&amp;VAR:KEY=JKZMFGPYNE&amp;VAR:QUERY=RkZfRUJJVERBX0lCKCdMVE1TJywzOTY0Nyk=&amp;WINDOW=FIRST_POPUP&amp;HEIGHT=450&amp;WIDTH=450&amp;START_MA","XIMIZED=FALSE&amp;VAR:CALENDAR=US&amp;VAR:SYMBOL=37183T10&amp;VAR:INDEX=0"}</definedName>
    <definedName name="_4239__FDSAUDITLINK__" localSheetId="6" hidden="1">{"fdsup://directions/FAT Viewer?action=UPDATE&amp;creator=factset&amp;DYN_ARGS=TRUE&amp;DOC_NAME=FAT:FQL_AUDITING_CLIENT_TEMPLATE.FAT&amp;display_string=Audit&amp;VAR:KEY=HOLODKFEJO&amp;VAR:QUERY=RkZfRUJJVERBX0lCKCdMVE1TJywzOTY0Nik=&amp;WINDOW=FIRST_POPUP&amp;HEIGHT=450&amp;WIDTH=450&amp;START_MA","XIMIZED=FALSE&amp;VAR:CALENDAR=US&amp;VAR:SYMBOL=37183T10&amp;VAR:INDEX=0"}</definedName>
    <definedName name="_4239__FDSAUDITLINK__" hidden="1">{"fdsup://directions/FAT Viewer?action=UPDATE&amp;creator=factset&amp;DYN_ARGS=TRUE&amp;DOC_NAME=FAT:FQL_AUDITING_CLIENT_TEMPLATE.FAT&amp;display_string=Audit&amp;VAR:KEY=HOLODKFEJO&amp;VAR:QUERY=RkZfRUJJVERBX0lCKCdMVE1TJywzOTY0Nik=&amp;WINDOW=FIRST_POPUP&amp;HEIGHT=450&amp;WIDTH=450&amp;START_MA","XIMIZED=FALSE&amp;VAR:CALENDAR=US&amp;VAR:SYMBOL=37183T10&amp;VAR:INDEX=0"}</definedName>
    <definedName name="_424__FDSAUDITLINK__" localSheetId="6" hidden="1">{"fdsup://directions/FAT%20Viewer?VAR:PED=LTM&amp;VAR:AUDIT_MODE=SUMMARY&amp;VAR:PERIOD=FIXED&amp;VAR:AUDIT_ID=00000117&amp;VAR:DATE=20081224&amp;action=UPDATE&amp;creator=factset&amp;DOC_NAME=FAT:FMA_audit_SUMMARY.fat&amp;DISPLAY_STRING=Display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4__FDSAUDITLINK__" hidden="1">{"fdsup://directions/FAT%20Viewer?VAR:PED=LTM&amp;VAR:AUDIT_MODE=SUMMARY&amp;VAR:PERIOD=FIXED&amp;VAR:AUDIT_ID=00000117&amp;VAR:DATE=20081224&amp;action=UPDATE&amp;creator=factset&amp;DOC_NAME=FAT:FMA_audit_SUMMARY.fat&amp;DISPLAY_STRING=Display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40__FDSAUDITLINK__" localSheetId="6" hidden="1">{"fdsup://directions/FAT Viewer?action=UPDATE&amp;creator=factset&amp;DYN_ARGS=TRUE&amp;DOC_NAME=FAT:FQL_AUDITING_CLIENT_TEMPLATE.FAT&amp;display_string=Audit&amp;VAR:KEY=PCHIHQHOZI&amp;VAR:QUERY=RkZfRUJJVERBX0lCKCdMVE1TJywzOTY0NSk=&amp;WINDOW=FIRST_POPUP&amp;HEIGHT=450&amp;WIDTH=450&amp;START_MA","XIMIZED=FALSE&amp;VAR:CALENDAR=US&amp;VAR:SYMBOL=37183T10&amp;VAR:INDEX=0"}</definedName>
    <definedName name="_4240__FDSAUDITLINK__" hidden="1">{"fdsup://directions/FAT Viewer?action=UPDATE&amp;creator=factset&amp;DYN_ARGS=TRUE&amp;DOC_NAME=FAT:FQL_AUDITING_CLIENT_TEMPLATE.FAT&amp;display_string=Audit&amp;VAR:KEY=PCHIHQHOZI&amp;VAR:QUERY=RkZfRUJJVERBX0lCKCdMVE1TJywzOTY0NSk=&amp;WINDOW=FIRST_POPUP&amp;HEIGHT=450&amp;WIDTH=450&amp;START_MA","XIMIZED=FALSE&amp;VAR:CALENDAR=US&amp;VAR:SYMBOL=37183T10&amp;VAR:INDEX=0"}</definedName>
    <definedName name="_4241__FDSAUDITLINK__" localSheetId="6" hidden="1">{"fdsup://directions/FAT Viewer?action=UPDATE&amp;creator=factset&amp;DYN_ARGS=TRUE&amp;DOC_NAME=FAT:FQL_AUDITING_CLIENT_TEMPLATE.FAT&amp;display_string=Audit&amp;VAR:KEY=TSDKZMBAJO&amp;VAR:QUERY=RkZfRUJJVERBX0lCKCdMVE1TJywzOTY0NCk=&amp;WINDOW=FIRST_POPUP&amp;HEIGHT=450&amp;WIDTH=450&amp;START_MA","XIMIZED=FALSE&amp;VAR:CALENDAR=US&amp;VAR:SYMBOL=37183T10&amp;VAR:INDEX=0"}</definedName>
    <definedName name="_4241__FDSAUDITLINK__" hidden="1">{"fdsup://directions/FAT Viewer?action=UPDATE&amp;creator=factset&amp;DYN_ARGS=TRUE&amp;DOC_NAME=FAT:FQL_AUDITING_CLIENT_TEMPLATE.FAT&amp;display_string=Audit&amp;VAR:KEY=TSDKZMBAJO&amp;VAR:QUERY=RkZfRUJJVERBX0lCKCdMVE1TJywzOTY0NCk=&amp;WINDOW=FIRST_POPUP&amp;HEIGHT=450&amp;WIDTH=450&amp;START_MA","XIMIZED=FALSE&amp;VAR:CALENDAR=US&amp;VAR:SYMBOL=37183T10&amp;VAR:INDEX=0"}</definedName>
    <definedName name="_4242__FDSAUDITLINK__" localSheetId="6" hidden="1">{"fdsup://directions/FAT Viewer?action=UPDATE&amp;creator=factset&amp;DYN_ARGS=TRUE&amp;DOC_NAME=FAT:FQL_AUDITING_CLIENT_TEMPLATE.FAT&amp;display_string=Audit&amp;VAR:KEY=TCLITETARE&amp;VAR:QUERY=RkZfRUJJVERBX0lCKCdMVE1TJywzOTY0Myk=&amp;WINDOW=FIRST_POPUP&amp;HEIGHT=450&amp;WIDTH=450&amp;START_MA","XIMIZED=FALSE&amp;VAR:CALENDAR=US&amp;VAR:SYMBOL=37183T10&amp;VAR:INDEX=0"}</definedName>
    <definedName name="_4242__FDSAUDITLINK__" hidden="1">{"fdsup://directions/FAT Viewer?action=UPDATE&amp;creator=factset&amp;DYN_ARGS=TRUE&amp;DOC_NAME=FAT:FQL_AUDITING_CLIENT_TEMPLATE.FAT&amp;display_string=Audit&amp;VAR:KEY=TCLITETARE&amp;VAR:QUERY=RkZfRUJJVERBX0lCKCdMVE1TJywzOTY0Myk=&amp;WINDOW=FIRST_POPUP&amp;HEIGHT=450&amp;WIDTH=450&amp;START_MA","XIMIZED=FALSE&amp;VAR:CALENDAR=US&amp;VAR:SYMBOL=37183T10&amp;VAR:INDEX=0"}</definedName>
    <definedName name="_4243__FDSAUDITLINK__" localSheetId="6" hidden="1">{"fdsup://directions/FAT Viewer?action=UPDATE&amp;creator=factset&amp;DYN_ARGS=TRUE&amp;DOC_NAME=FAT:FQL_AUDITING_CLIENT_TEMPLATE.FAT&amp;display_string=Audit&amp;VAR:KEY=TEVOXEFCVK&amp;VAR:QUERY=RkZfRUJJVERBX0lCKCdMVE1TJywzOTY0Mik=&amp;WINDOW=FIRST_POPUP&amp;HEIGHT=450&amp;WIDTH=450&amp;START_MA","XIMIZED=FALSE&amp;VAR:CALENDAR=US&amp;VAR:SYMBOL=37183T10&amp;VAR:INDEX=0"}</definedName>
    <definedName name="_4243__FDSAUDITLINK__" hidden="1">{"fdsup://directions/FAT Viewer?action=UPDATE&amp;creator=factset&amp;DYN_ARGS=TRUE&amp;DOC_NAME=FAT:FQL_AUDITING_CLIENT_TEMPLATE.FAT&amp;display_string=Audit&amp;VAR:KEY=TEVOXEFCVK&amp;VAR:QUERY=RkZfRUJJVERBX0lCKCdMVE1TJywzOTY0Mik=&amp;WINDOW=FIRST_POPUP&amp;HEIGHT=450&amp;WIDTH=450&amp;START_MA","XIMIZED=FALSE&amp;VAR:CALENDAR=US&amp;VAR:SYMBOL=37183T10&amp;VAR:INDEX=0"}</definedName>
    <definedName name="_4244__FDSAUDITLINK__" localSheetId="6" hidden="1">{"fdsup://directions/FAT Viewer?action=UPDATE&amp;creator=factset&amp;DYN_ARGS=TRUE&amp;DOC_NAME=FAT:FQL_AUDITING_CLIENT_TEMPLATE.FAT&amp;display_string=Audit&amp;VAR:KEY=VYTCPGTWZA&amp;VAR:QUERY=RkZfRUJJVERBX0lCKCdMVE1TJywzOTY0MSk=&amp;WINDOW=FIRST_POPUP&amp;HEIGHT=450&amp;WIDTH=450&amp;START_MA","XIMIZED=FALSE&amp;VAR:CALENDAR=US&amp;VAR:SYMBOL=37183T10&amp;VAR:INDEX=0"}</definedName>
    <definedName name="_4244__FDSAUDITLINK__" hidden="1">{"fdsup://directions/FAT Viewer?action=UPDATE&amp;creator=factset&amp;DYN_ARGS=TRUE&amp;DOC_NAME=FAT:FQL_AUDITING_CLIENT_TEMPLATE.FAT&amp;display_string=Audit&amp;VAR:KEY=VYTCPGTWZA&amp;VAR:QUERY=RkZfRUJJVERBX0lCKCdMVE1TJywzOTY0MSk=&amp;WINDOW=FIRST_POPUP&amp;HEIGHT=450&amp;WIDTH=450&amp;START_MA","XIMIZED=FALSE&amp;VAR:CALENDAR=US&amp;VAR:SYMBOL=37183T10&amp;VAR:INDEX=0"}</definedName>
    <definedName name="_4245__FDSAUDITLINK__" localSheetId="6" hidden="1">{"fdsup://directions/FAT Viewer?action=UPDATE&amp;creator=factset&amp;DYN_ARGS=TRUE&amp;DOC_NAME=FAT:FQL_AUDITING_CLIENT_TEMPLATE.FAT&amp;display_string=Audit&amp;VAR:KEY=BGRSTWZARK&amp;VAR:QUERY=RkZfRUJJVERBX0lCKCdMVE1TJywzOTY0MCk=&amp;WINDOW=FIRST_POPUP&amp;HEIGHT=450&amp;WIDTH=450&amp;START_MA","XIMIZED=FALSE&amp;VAR:CALENDAR=US&amp;VAR:SYMBOL=37183T10&amp;VAR:INDEX=0"}</definedName>
    <definedName name="_4245__FDSAUDITLINK__" hidden="1">{"fdsup://directions/FAT Viewer?action=UPDATE&amp;creator=factset&amp;DYN_ARGS=TRUE&amp;DOC_NAME=FAT:FQL_AUDITING_CLIENT_TEMPLATE.FAT&amp;display_string=Audit&amp;VAR:KEY=BGRSTWZARK&amp;VAR:QUERY=RkZfRUJJVERBX0lCKCdMVE1TJywzOTY0MCk=&amp;WINDOW=FIRST_POPUP&amp;HEIGHT=450&amp;WIDTH=450&amp;START_MA","XIMIZED=FALSE&amp;VAR:CALENDAR=US&amp;VAR:SYMBOL=37183T10&amp;VAR:INDEX=0"}</definedName>
    <definedName name="_4246__FDSAUDITLINK__" localSheetId="6" hidden="1">{"fdsup://directions/FAT Viewer?action=UPDATE&amp;creator=factset&amp;DYN_ARGS=TRUE&amp;DOC_NAME=FAT:FQL_AUDITING_CLIENT_TEMPLATE.FAT&amp;display_string=Audit&amp;VAR:KEY=PCFGJWTCDC&amp;VAR:QUERY=RkZfRUJJVERBX0lCKCdMVE1TJywzOTYzOSk=&amp;WINDOW=FIRST_POPUP&amp;HEIGHT=450&amp;WIDTH=450&amp;START_MA","XIMIZED=FALSE&amp;VAR:CALENDAR=US&amp;VAR:SYMBOL=37183T10&amp;VAR:INDEX=0"}</definedName>
    <definedName name="_4246__FDSAUDITLINK__" hidden="1">{"fdsup://directions/FAT Viewer?action=UPDATE&amp;creator=factset&amp;DYN_ARGS=TRUE&amp;DOC_NAME=FAT:FQL_AUDITING_CLIENT_TEMPLATE.FAT&amp;display_string=Audit&amp;VAR:KEY=PCFGJWTCDC&amp;VAR:QUERY=RkZfRUJJVERBX0lCKCdMVE1TJywzOTYzOSk=&amp;WINDOW=FIRST_POPUP&amp;HEIGHT=450&amp;WIDTH=450&amp;START_MA","XIMIZED=FALSE&amp;VAR:CALENDAR=US&amp;VAR:SYMBOL=37183T10&amp;VAR:INDEX=0"}</definedName>
    <definedName name="_4247__FDSAUDITLINK__" localSheetId="6" hidden="1">{"fdsup://directions/FAT Viewer?action=UPDATE&amp;creator=factset&amp;DYN_ARGS=TRUE&amp;DOC_NAME=FAT:FQL_AUDITING_CLIENT_TEMPLATE.FAT&amp;display_string=Audit&amp;VAR:KEY=RIDUZKTYZC&amp;VAR:QUERY=RkZfRUJJVERBX0lCKCdMVE1TJywzOTYzOCk=&amp;WINDOW=FIRST_POPUP&amp;HEIGHT=450&amp;WIDTH=450&amp;START_MA","XIMIZED=FALSE&amp;VAR:CALENDAR=US&amp;VAR:SYMBOL=37183T10&amp;VAR:INDEX=0"}</definedName>
    <definedName name="_4247__FDSAUDITLINK__" hidden="1">{"fdsup://directions/FAT Viewer?action=UPDATE&amp;creator=factset&amp;DYN_ARGS=TRUE&amp;DOC_NAME=FAT:FQL_AUDITING_CLIENT_TEMPLATE.FAT&amp;display_string=Audit&amp;VAR:KEY=RIDUZKTYZC&amp;VAR:QUERY=RkZfRUJJVERBX0lCKCdMVE1TJywzOTYzOCk=&amp;WINDOW=FIRST_POPUP&amp;HEIGHT=450&amp;WIDTH=450&amp;START_MA","XIMIZED=FALSE&amp;VAR:CALENDAR=US&amp;VAR:SYMBOL=37183T10&amp;VAR:INDEX=0"}</definedName>
    <definedName name="_4248__FDSAUDITLINK__" localSheetId="6" hidden="1">{"fdsup://directions/FAT Viewer?action=UPDATE&amp;creator=factset&amp;DYN_ARGS=TRUE&amp;DOC_NAME=FAT:FQL_AUDITING_CLIENT_TEMPLATE.FAT&amp;display_string=Audit&amp;VAR:KEY=XOPMVKJWFU&amp;VAR:QUERY=RkZfRUJJVERBX0lCKCdMVE1TJywzOTYzNyk=&amp;WINDOW=FIRST_POPUP&amp;HEIGHT=450&amp;WIDTH=450&amp;START_MA","XIMIZED=FALSE&amp;VAR:CALENDAR=US&amp;VAR:SYMBOL=37183T10&amp;VAR:INDEX=0"}</definedName>
    <definedName name="_4248__FDSAUDITLINK__" hidden="1">{"fdsup://directions/FAT Viewer?action=UPDATE&amp;creator=factset&amp;DYN_ARGS=TRUE&amp;DOC_NAME=FAT:FQL_AUDITING_CLIENT_TEMPLATE.FAT&amp;display_string=Audit&amp;VAR:KEY=XOPMVKJWFU&amp;VAR:QUERY=RkZfRUJJVERBX0lCKCdMVE1TJywzOTYzNyk=&amp;WINDOW=FIRST_POPUP&amp;HEIGHT=450&amp;WIDTH=450&amp;START_MA","XIMIZED=FALSE&amp;VAR:CALENDAR=US&amp;VAR:SYMBOL=37183T10&amp;VAR:INDEX=0"}</definedName>
    <definedName name="_4249__FDSAUDITLINK__" localSheetId="6" hidden="1">{"fdsup://directions/FAT Viewer?action=UPDATE&amp;creator=factset&amp;DYN_ARGS=TRUE&amp;DOC_NAME=FAT:FQL_AUDITING_CLIENT_TEMPLATE.FAT&amp;display_string=Audit&amp;VAR:KEY=HYZCVEJIXK&amp;VAR:QUERY=RkZfRUJJVERBX0lCKCdMVE1TJywzOTYzNik=&amp;WINDOW=FIRST_POPUP&amp;HEIGHT=450&amp;WIDTH=450&amp;START_MA","XIMIZED=FALSE&amp;VAR:CALENDAR=US&amp;VAR:SYMBOL=37183T10&amp;VAR:INDEX=0"}</definedName>
    <definedName name="_4249__FDSAUDITLINK__" hidden="1">{"fdsup://directions/FAT Viewer?action=UPDATE&amp;creator=factset&amp;DYN_ARGS=TRUE&amp;DOC_NAME=FAT:FQL_AUDITING_CLIENT_TEMPLATE.FAT&amp;display_string=Audit&amp;VAR:KEY=HYZCVEJIXK&amp;VAR:QUERY=RkZfRUJJVERBX0lCKCdMVE1TJywzOTYzNik=&amp;WINDOW=FIRST_POPUP&amp;HEIGHT=450&amp;WIDTH=450&amp;START_MA","XIMIZED=FALSE&amp;VAR:CALENDAR=US&amp;VAR:SYMBOL=37183T10&amp;VAR:INDEX=0"}</definedName>
    <definedName name="_425__FDSAUDITLINK__" localSheetId="6" hidden="1">{"fdsup://directions/FAT%20Viewer?VAR:PED=LTM&amp;VAR:AUDIT_MODE=SUMMARY&amp;VAR:PERIOD=FIXED&amp;VAR:AUDIT_ID=00000117&amp;VAR:DATE=20081223&amp;action=UPDATE&amp;creator=factset&amp;DOC_NAME=FAT:FMA_audit_SUMMARY.fat&amp;DISPLAY_STRING=Display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5__FDSAUDITLINK__" hidden="1">{"fdsup://directions/FAT%20Viewer?VAR:PED=LTM&amp;VAR:AUDIT_MODE=SUMMARY&amp;VAR:PERIOD=FIXED&amp;VAR:AUDIT_ID=00000117&amp;VAR:DATE=20081223&amp;action=UPDATE&amp;creator=factset&amp;DOC_NAME=FAT:FMA_audit_SUMMARY.fat&amp;DISPLAY_STRING=Display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50__FDSAUDITLINK__" localSheetId="6" hidden="1">{"fdsup://directions/FAT Viewer?action=UPDATE&amp;creator=factset&amp;DYN_ARGS=TRUE&amp;DOC_NAME=FAT:FQL_AUDITING_CLIENT_TEMPLATE.FAT&amp;display_string=Audit&amp;VAR:KEY=BWLCPKDCDQ&amp;VAR:QUERY=RkZfRUJJVERBX0lCKCdMVE1TJywzOTYzNSk=&amp;WINDOW=FIRST_POPUP&amp;HEIGHT=450&amp;WIDTH=450&amp;START_MA","XIMIZED=FALSE&amp;VAR:CALENDAR=US&amp;VAR:SYMBOL=37183T10&amp;VAR:INDEX=0"}</definedName>
    <definedName name="_4250__FDSAUDITLINK__" hidden="1">{"fdsup://directions/FAT Viewer?action=UPDATE&amp;creator=factset&amp;DYN_ARGS=TRUE&amp;DOC_NAME=FAT:FQL_AUDITING_CLIENT_TEMPLATE.FAT&amp;display_string=Audit&amp;VAR:KEY=BWLCPKDCDQ&amp;VAR:QUERY=RkZfRUJJVERBX0lCKCdMVE1TJywzOTYzNSk=&amp;WINDOW=FIRST_POPUP&amp;HEIGHT=450&amp;WIDTH=450&amp;START_MA","XIMIZED=FALSE&amp;VAR:CALENDAR=US&amp;VAR:SYMBOL=37183T10&amp;VAR:INDEX=0"}</definedName>
    <definedName name="_4251__FDSAUDITLINK__" localSheetId="6" hidden="1">{"fdsup://directions/FAT Viewer?action=UPDATE&amp;creator=factset&amp;DYN_ARGS=TRUE&amp;DOC_NAME=FAT:FQL_AUDITING_CLIENT_TEMPLATE.FAT&amp;display_string=Audit&amp;VAR:KEY=LCXMZABSPM&amp;VAR:QUERY=RkZfRUJJVERBX0lCKCdMVE1TJywzOTYzNCk=&amp;WINDOW=FIRST_POPUP&amp;HEIGHT=450&amp;WIDTH=450&amp;START_MA","XIMIZED=FALSE&amp;VAR:CALENDAR=US&amp;VAR:SYMBOL=37183T10&amp;VAR:INDEX=0"}</definedName>
    <definedName name="_4251__FDSAUDITLINK__" hidden="1">{"fdsup://directions/FAT Viewer?action=UPDATE&amp;creator=factset&amp;DYN_ARGS=TRUE&amp;DOC_NAME=FAT:FQL_AUDITING_CLIENT_TEMPLATE.FAT&amp;display_string=Audit&amp;VAR:KEY=LCXMZABSPM&amp;VAR:QUERY=RkZfRUJJVERBX0lCKCdMVE1TJywzOTYzNCk=&amp;WINDOW=FIRST_POPUP&amp;HEIGHT=450&amp;WIDTH=450&amp;START_MA","XIMIZED=FALSE&amp;VAR:CALENDAR=US&amp;VAR:SYMBOL=37183T10&amp;VAR:INDEX=0"}</definedName>
    <definedName name="_4252__FDSAUDITLINK__" localSheetId="6" hidden="1">{"fdsup://directions/FAT Viewer?action=UPDATE&amp;creator=factset&amp;DYN_ARGS=TRUE&amp;DOC_NAME=FAT:FQL_AUDITING_CLIENT_TEMPLATE.FAT&amp;display_string=Audit&amp;VAR:KEY=HYTORWREZQ&amp;VAR:QUERY=RkZfRUJJVERBX0lCKCdMVE1TJywzOTYzMyk=&amp;WINDOW=FIRST_POPUP&amp;HEIGHT=450&amp;WIDTH=450&amp;START_MA","XIMIZED=FALSE&amp;VAR:CALENDAR=US&amp;VAR:SYMBOL=37183T10&amp;VAR:INDEX=0"}</definedName>
    <definedName name="_4252__FDSAUDITLINK__" hidden="1">{"fdsup://directions/FAT Viewer?action=UPDATE&amp;creator=factset&amp;DYN_ARGS=TRUE&amp;DOC_NAME=FAT:FQL_AUDITING_CLIENT_TEMPLATE.FAT&amp;display_string=Audit&amp;VAR:KEY=HYTORWREZQ&amp;VAR:QUERY=RkZfRUJJVERBX0lCKCdMVE1TJywzOTYzMyk=&amp;WINDOW=FIRST_POPUP&amp;HEIGHT=450&amp;WIDTH=450&amp;START_MA","XIMIZED=FALSE&amp;VAR:CALENDAR=US&amp;VAR:SYMBOL=37183T10&amp;VAR:INDEX=0"}</definedName>
    <definedName name="_4253__FDSAUDITLINK__" localSheetId="6" hidden="1">{"fdsup://directions/FAT Viewer?action=UPDATE&amp;creator=factset&amp;DYN_ARGS=TRUE&amp;DOC_NAME=FAT:FQL_AUDITING_CLIENT_TEMPLATE.FAT&amp;display_string=Audit&amp;VAR:KEY=TSJIFSDING&amp;VAR:QUERY=RkZfRUJJVERBX0lCKCdMVE1TJywzOTYzMik=&amp;WINDOW=FIRST_POPUP&amp;HEIGHT=450&amp;WIDTH=450&amp;START_MA","XIMIZED=FALSE&amp;VAR:CALENDAR=US&amp;VAR:SYMBOL=37183T10&amp;VAR:INDEX=0"}</definedName>
    <definedName name="_4253__FDSAUDITLINK__" hidden="1">{"fdsup://directions/FAT Viewer?action=UPDATE&amp;creator=factset&amp;DYN_ARGS=TRUE&amp;DOC_NAME=FAT:FQL_AUDITING_CLIENT_TEMPLATE.FAT&amp;display_string=Audit&amp;VAR:KEY=TSJIFSDING&amp;VAR:QUERY=RkZfRUJJVERBX0lCKCdMVE1TJywzOTYzMik=&amp;WINDOW=FIRST_POPUP&amp;HEIGHT=450&amp;WIDTH=450&amp;START_MA","XIMIZED=FALSE&amp;VAR:CALENDAR=US&amp;VAR:SYMBOL=37183T10&amp;VAR:INDEX=0"}</definedName>
    <definedName name="_4254__FDSAUDITLINK__" localSheetId="6" hidden="1">{"fdsup://directions/FAT Viewer?action=UPDATE&amp;creator=factset&amp;DYN_ARGS=TRUE&amp;DOC_NAME=FAT:FQL_AUDITING_CLIENT_TEMPLATE.FAT&amp;display_string=Audit&amp;VAR:KEY=XOHUNMNGTU&amp;VAR:QUERY=RkZfRUJJVERBX0lCKCdMVE1TJywzOTYzMSk=&amp;WINDOW=FIRST_POPUP&amp;HEIGHT=450&amp;WIDTH=450&amp;START_MA","XIMIZED=FALSE&amp;VAR:CALENDAR=US&amp;VAR:SYMBOL=37183T10&amp;VAR:INDEX=0"}</definedName>
    <definedName name="_4254__FDSAUDITLINK__" hidden="1">{"fdsup://directions/FAT Viewer?action=UPDATE&amp;creator=factset&amp;DYN_ARGS=TRUE&amp;DOC_NAME=FAT:FQL_AUDITING_CLIENT_TEMPLATE.FAT&amp;display_string=Audit&amp;VAR:KEY=XOHUNMNGTU&amp;VAR:QUERY=RkZfRUJJVERBX0lCKCdMVE1TJywzOTYzMSk=&amp;WINDOW=FIRST_POPUP&amp;HEIGHT=450&amp;WIDTH=450&amp;START_MA","XIMIZED=FALSE&amp;VAR:CALENDAR=US&amp;VAR:SYMBOL=37183T10&amp;VAR:INDEX=0"}</definedName>
    <definedName name="_4255__FDSAUDITLINK__" localSheetId="6" hidden="1">{"fdsup://directions/FAT Viewer?action=UPDATE&amp;creator=factset&amp;DYN_ARGS=TRUE&amp;DOC_NAME=FAT:FQL_AUDITING_CLIENT_TEMPLATE.FAT&amp;display_string=Audit&amp;VAR:KEY=BAZIZQLKJQ&amp;VAR:QUERY=RkZfRUJJVERBX0lCKCdMVE1TJywzOTYzMCk=&amp;WINDOW=FIRST_POPUP&amp;HEIGHT=450&amp;WIDTH=450&amp;START_MA","XIMIZED=FALSE&amp;VAR:CALENDAR=US&amp;VAR:SYMBOL=37183T10&amp;VAR:INDEX=0"}</definedName>
    <definedName name="_4255__FDSAUDITLINK__" hidden="1">{"fdsup://directions/FAT Viewer?action=UPDATE&amp;creator=factset&amp;DYN_ARGS=TRUE&amp;DOC_NAME=FAT:FQL_AUDITING_CLIENT_TEMPLATE.FAT&amp;display_string=Audit&amp;VAR:KEY=BAZIZQLKJQ&amp;VAR:QUERY=RkZfRUJJVERBX0lCKCdMVE1TJywzOTYzMCk=&amp;WINDOW=FIRST_POPUP&amp;HEIGHT=450&amp;WIDTH=450&amp;START_MA","XIMIZED=FALSE&amp;VAR:CALENDAR=US&amp;VAR:SYMBOL=37183T10&amp;VAR:INDEX=0"}</definedName>
    <definedName name="_4256__FDSAUDITLINK__" localSheetId="6" hidden="1">{"fdsup://directions/FAT Viewer?action=UPDATE&amp;creator=factset&amp;DYN_ARGS=TRUE&amp;DOC_NAME=FAT:FQL_AUDITING_CLIENT_TEMPLATE.FAT&amp;display_string=Audit&amp;VAR:KEY=VGXINCFEPS&amp;VAR:QUERY=RkZfRUJJVERBX0lCKCdMVE1TJywzOTYyOSk=&amp;WINDOW=FIRST_POPUP&amp;HEIGHT=450&amp;WIDTH=450&amp;START_MA","XIMIZED=FALSE&amp;VAR:CALENDAR=US&amp;VAR:SYMBOL=37183T10&amp;VAR:INDEX=0"}</definedName>
    <definedName name="_4256__FDSAUDITLINK__" hidden="1">{"fdsup://directions/FAT Viewer?action=UPDATE&amp;creator=factset&amp;DYN_ARGS=TRUE&amp;DOC_NAME=FAT:FQL_AUDITING_CLIENT_TEMPLATE.FAT&amp;display_string=Audit&amp;VAR:KEY=VGXINCFEPS&amp;VAR:QUERY=RkZfRUJJVERBX0lCKCdMVE1TJywzOTYyOSk=&amp;WINDOW=FIRST_POPUP&amp;HEIGHT=450&amp;WIDTH=450&amp;START_MA","XIMIZED=FALSE&amp;VAR:CALENDAR=US&amp;VAR:SYMBOL=37183T10&amp;VAR:INDEX=0"}</definedName>
    <definedName name="_4257__FDSAUDITLINK__" localSheetId="6" hidden="1">{"fdsup://directions/FAT Viewer?action=UPDATE&amp;creator=factset&amp;DYN_ARGS=TRUE&amp;DOC_NAME=FAT:FQL_AUDITING_CLIENT_TEMPLATE.FAT&amp;display_string=Audit&amp;VAR:KEY=BURWZETCPC&amp;VAR:QUERY=RkZfRUJJVERBX0lCKCdMVE1TJywzOTYyOCk=&amp;WINDOW=FIRST_POPUP&amp;HEIGHT=450&amp;WIDTH=450&amp;START_MA","XIMIZED=FALSE&amp;VAR:CALENDAR=US&amp;VAR:SYMBOL=37183T10&amp;VAR:INDEX=0"}</definedName>
    <definedName name="_4257__FDSAUDITLINK__" hidden="1">{"fdsup://directions/FAT Viewer?action=UPDATE&amp;creator=factset&amp;DYN_ARGS=TRUE&amp;DOC_NAME=FAT:FQL_AUDITING_CLIENT_TEMPLATE.FAT&amp;display_string=Audit&amp;VAR:KEY=BURWZETCPC&amp;VAR:QUERY=RkZfRUJJVERBX0lCKCdMVE1TJywzOTYyOCk=&amp;WINDOW=FIRST_POPUP&amp;HEIGHT=450&amp;WIDTH=450&amp;START_MA","XIMIZED=FALSE&amp;VAR:CALENDAR=US&amp;VAR:SYMBOL=37183T10&amp;VAR:INDEX=0"}</definedName>
    <definedName name="_4258__FDSAUDITLINK__" localSheetId="6" hidden="1">{"fdsup://directions/FAT Viewer?action=UPDATE&amp;creator=factset&amp;DYN_ARGS=TRUE&amp;DOC_NAME=FAT:FQL_AUDITING_CLIENT_TEMPLATE.FAT&amp;display_string=Audit&amp;VAR:KEY=XCZYRYFYVK&amp;VAR:QUERY=RkZfRUJJVERBX0lCKCdMVE1TJywzOTYyNyk=&amp;WINDOW=FIRST_POPUP&amp;HEIGHT=450&amp;WIDTH=450&amp;START_MA","XIMIZED=FALSE&amp;VAR:CALENDAR=US&amp;VAR:SYMBOL=37183T10&amp;VAR:INDEX=0"}</definedName>
    <definedName name="_4258__FDSAUDITLINK__" hidden="1">{"fdsup://directions/FAT Viewer?action=UPDATE&amp;creator=factset&amp;DYN_ARGS=TRUE&amp;DOC_NAME=FAT:FQL_AUDITING_CLIENT_TEMPLATE.FAT&amp;display_string=Audit&amp;VAR:KEY=XCZYRYFYVK&amp;VAR:QUERY=RkZfRUJJVERBX0lCKCdMVE1TJywzOTYyNyk=&amp;WINDOW=FIRST_POPUP&amp;HEIGHT=450&amp;WIDTH=450&amp;START_MA","XIMIZED=FALSE&amp;VAR:CALENDAR=US&amp;VAR:SYMBOL=37183T10&amp;VAR:INDEX=0"}</definedName>
    <definedName name="_4259__FDSAUDITLINK__" localSheetId="6" hidden="1">{"fdsup://directions/FAT Viewer?action=UPDATE&amp;creator=factset&amp;DYN_ARGS=TRUE&amp;DOC_NAME=FAT:FQL_AUDITING_CLIENT_TEMPLATE.FAT&amp;display_string=Audit&amp;VAR:KEY=TWPKLUFKHG&amp;VAR:QUERY=RkZfRUJJVERBX0lCKCdMVE1TJywzOTYyNik=&amp;WINDOW=FIRST_POPUP&amp;HEIGHT=450&amp;WIDTH=450&amp;START_MA","XIMIZED=FALSE&amp;VAR:CALENDAR=US&amp;VAR:SYMBOL=37183T10&amp;VAR:INDEX=0"}</definedName>
    <definedName name="_4259__FDSAUDITLINK__" hidden="1">{"fdsup://directions/FAT Viewer?action=UPDATE&amp;creator=factset&amp;DYN_ARGS=TRUE&amp;DOC_NAME=FAT:FQL_AUDITING_CLIENT_TEMPLATE.FAT&amp;display_string=Audit&amp;VAR:KEY=TWPKLUFKHG&amp;VAR:QUERY=RkZfRUJJVERBX0lCKCdMVE1TJywzOTYyNik=&amp;WINDOW=FIRST_POPUP&amp;HEIGHT=450&amp;WIDTH=450&amp;START_MA","XIMIZED=FALSE&amp;VAR:CALENDAR=US&amp;VAR:SYMBOL=37183T10&amp;VAR:INDEX=0"}</definedName>
    <definedName name="_426__FDSAUDITLINK__" localSheetId="6" hidden="1">{"fdsup://directions/FAT%20Viewer?VAR:PED=LTM&amp;VAR:AUDIT_MODE=SUMMARY&amp;VAR:PERIOD=FIXED&amp;VAR:AUDIT_ID=00000117&amp;VAR:DATE=20081222&amp;action=UPDATE&amp;creator=factset&amp;DOC_NAME=FAT:FMA_audit_SUMMARY.fat&amp;DISPLAY_STRING=Display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6__FDSAUDITLINK__" hidden="1">{"fdsup://directions/FAT%20Viewer?VAR:PED=LTM&amp;VAR:AUDIT_MODE=SUMMARY&amp;VAR:PERIOD=FIXED&amp;VAR:AUDIT_ID=00000117&amp;VAR:DATE=20081222&amp;action=UPDATE&amp;creator=factset&amp;DOC_NAME=FAT:FMA_audit_SUMMARY.fat&amp;DISPLAY_STRING=Display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60__FDSAUDITLINK__" localSheetId="6" hidden="1">{"fdsup://directions/FAT Viewer?action=UPDATE&amp;creator=factset&amp;DYN_ARGS=TRUE&amp;DOC_NAME=FAT:FQL_AUDITING_CLIENT_TEMPLATE.FAT&amp;display_string=Audit&amp;VAR:KEY=ZWDGPIHUHA&amp;VAR:QUERY=RkZfRUJJVERBX0lCKCdMVE1TJywzOTYyNSk=&amp;WINDOW=FIRST_POPUP&amp;HEIGHT=450&amp;WIDTH=450&amp;START_MA","XIMIZED=FALSE&amp;VAR:CALENDAR=US&amp;VAR:SYMBOL=37183T10&amp;VAR:INDEX=0"}</definedName>
    <definedName name="_4260__FDSAUDITLINK__" hidden="1">{"fdsup://directions/FAT Viewer?action=UPDATE&amp;creator=factset&amp;DYN_ARGS=TRUE&amp;DOC_NAME=FAT:FQL_AUDITING_CLIENT_TEMPLATE.FAT&amp;display_string=Audit&amp;VAR:KEY=ZWDGPIHUHA&amp;VAR:QUERY=RkZfRUJJVERBX0lCKCdMVE1TJywzOTYyNSk=&amp;WINDOW=FIRST_POPUP&amp;HEIGHT=450&amp;WIDTH=450&amp;START_MA","XIMIZED=FALSE&amp;VAR:CALENDAR=US&amp;VAR:SYMBOL=37183T10&amp;VAR:INDEX=0"}</definedName>
    <definedName name="_4261__FDSAUDITLINK__" localSheetId="6" hidden="1">{"fdsup://directions/FAT Viewer?action=UPDATE&amp;creator=factset&amp;DYN_ARGS=TRUE&amp;DOC_NAME=FAT:FQL_AUDITING_CLIENT_TEMPLATE.FAT&amp;display_string=Audit&amp;VAR:KEY=VSBIPQBQPM&amp;VAR:QUERY=RkZfRUJJVERBX0lCKCdMVE1TJywzOTYyNCk=&amp;WINDOW=FIRST_POPUP&amp;HEIGHT=450&amp;WIDTH=450&amp;START_MA","XIMIZED=FALSE&amp;VAR:CALENDAR=US&amp;VAR:SYMBOL=37183T10&amp;VAR:INDEX=0"}</definedName>
    <definedName name="_4261__FDSAUDITLINK__" hidden="1">{"fdsup://directions/FAT Viewer?action=UPDATE&amp;creator=factset&amp;DYN_ARGS=TRUE&amp;DOC_NAME=FAT:FQL_AUDITING_CLIENT_TEMPLATE.FAT&amp;display_string=Audit&amp;VAR:KEY=VSBIPQBQPM&amp;VAR:QUERY=RkZfRUJJVERBX0lCKCdMVE1TJywzOTYyNCk=&amp;WINDOW=FIRST_POPUP&amp;HEIGHT=450&amp;WIDTH=450&amp;START_MA","XIMIZED=FALSE&amp;VAR:CALENDAR=US&amp;VAR:SYMBOL=37183T10&amp;VAR:INDEX=0"}</definedName>
    <definedName name="_4262__FDSAUDITLINK__" localSheetId="6" hidden="1">{"fdsup://directions/FAT Viewer?action=UPDATE&amp;creator=factset&amp;DYN_ARGS=TRUE&amp;DOC_NAME=FAT:FQL_AUDITING_CLIENT_TEMPLATE.FAT&amp;display_string=Audit&amp;VAR:KEY=BYZWBYZERA&amp;VAR:QUERY=RkZfRUJJVERBX0lCKCdMVE1TJywzOTYyMyk=&amp;WINDOW=FIRST_POPUP&amp;HEIGHT=450&amp;WIDTH=450&amp;START_MA","XIMIZED=FALSE&amp;VAR:CALENDAR=US&amp;VAR:SYMBOL=37183T10&amp;VAR:INDEX=0"}</definedName>
    <definedName name="_4262__FDSAUDITLINK__" hidden="1">{"fdsup://directions/FAT Viewer?action=UPDATE&amp;creator=factset&amp;DYN_ARGS=TRUE&amp;DOC_NAME=FAT:FQL_AUDITING_CLIENT_TEMPLATE.FAT&amp;display_string=Audit&amp;VAR:KEY=BYZWBYZERA&amp;VAR:QUERY=RkZfRUJJVERBX0lCKCdMVE1TJywzOTYyMyk=&amp;WINDOW=FIRST_POPUP&amp;HEIGHT=450&amp;WIDTH=450&amp;START_MA","XIMIZED=FALSE&amp;VAR:CALENDAR=US&amp;VAR:SYMBOL=37183T10&amp;VAR:INDEX=0"}</definedName>
    <definedName name="_4263__FDSAUDITLINK__" localSheetId="6" hidden="1">{"fdsup://directions/FAT Viewer?action=UPDATE&amp;creator=factset&amp;DYN_ARGS=TRUE&amp;DOC_NAME=FAT:FQL_AUDITING_CLIENT_TEMPLATE.FAT&amp;display_string=Audit&amp;VAR:KEY=LCPOXSDQBM&amp;VAR:QUERY=RkZfRUJJVERBX0lCKCdMVE1TJywzOTYyMik=&amp;WINDOW=FIRST_POPUP&amp;HEIGHT=450&amp;WIDTH=450&amp;START_MA","XIMIZED=FALSE&amp;VAR:CALENDAR=US&amp;VAR:SYMBOL=37183T10&amp;VAR:INDEX=0"}</definedName>
    <definedName name="_4263__FDSAUDITLINK__" hidden="1">{"fdsup://directions/FAT Viewer?action=UPDATE&amp;creator=factset&amp;DYN_ARGS=TRUE&amp;DOC_NAME=FAT:FQL_AUDITING_CLIENT_TEMPLATE.FAT&amp;display_string=Audit&amp;VAR:KEY=LCPOXSDQBM&amp;VAR:QUERY=RkZfRUJJVERBX0lCKCdMVE1TJywzOTYyMik=&amp;WINDOW=FIRST_POPUP&amp;HEIGHT=450&amp;WIDTH=450&amp;START_MA","XIMIZED=FALSE&amp;VAR:CALENDAR=US&amp;VAR:SYMBOL=37183T10&amp;VAR:INDEX=0"}</definedName>
    <definedName name="_4264__FDSAUDITLINK__" localSheetId="6" hidden="1">{"fdsup://directions/FAT Viewer?action=UPDATE&amp;creator=factset&amp;DYN_ARGS=TRUE&amp;DOC_NAME=FAT:FQL_AUDITING_CLIENT_TEMPLATE.FAT&amp;display_string=Audit&amp;VAR:KEY=BALCHKHAFQ&amp;VAR:QUERY=RkZfRUJJVERBX0lCKCdMVE1TJywzOTYyMSk=&amp;WINDOW=FIRST_POPUP&amp;HEIGHT=450&amp;WIDTH=450&amp;START_MA","XIMIZED=FALSE&amp;VAR:CALENDAR=US&amp;VAR:SYMBOL=37183T10&amp;VAR:INDEX=0"}</definedName>
    <definedName name="_4264__FDSAUDITLINK__" hidden="1">{"fdsup://directions/FAT Viewer?action=UPDATE&amp;creator=factset&amp;DYN_ARGS=TRUE&amp;DOC_NAME=FAT:FQL_AUDITING_CLIENT_TEMPLATE.FAT&amp;display_string=Audit&amp;VAR:KEY=BALCHKHAFQ&amp;VAR:QUERY=RkZfRUJJVERBX0lCKCdMVE1TJywzOTYyMSk=&amp;WINDOW=FIRST_POPUP&amp;HEIGHT=450&amp;WIDTH=450&amp;START_MA","XIMIZED=FALSE&amp;VAR:CALENDAR=US&amp;VAR:SYMBOL=37183T10&amp;VAR:INDEX=0"}</definedName>
    <definedName name="_4265__FDSAUDITLINK__" localSheetId="6" hidden="1">{"fdsup://directions/FAT Viewer?action=UPDATE&amp;creator=factset&amp;DYN_ARGS=TRUE&amp;DOC_NAME=FAT:FQL_AUDITING_CLIENT_TEMPLATE.FAT&amp;display_string=Audit&amp;VAR:KEY=FOXSPSLYXE&amp;VAR:QUERY=RkZfRUJJVERBX0lCKCdMVE1TJywzOTYyMCk=&amp;WINDOW=FIRST_POPUP&amp;HEIGHT=450&amp;WIDTH=450&amp;START_MA","XIMIZED=FALSE&amp;VAR:CALENDAR=US&amp;VAR:SYMBOL=37183T10&amp;VAR:INDEX=0"}</definedName>
    <definedName name="_4265__FDSAUDITLINK__" hidden="1">{"fdsup://directions/FAT Viewer?action=UPDATE&amp;creator=factset&amp;DYN_ARGS=TRUE&amp;DOC_NAME=FAT:FQL_AUDITING_CLIENT_TEMPLATE.FAT&amp;display_string=Audit&amp;VAR:KEY=FOXSPSLYXE&amp;VAR:QUERY=RkZfRUJJVERBX0lCKCdMVE1TJywzOTYyMCk=&amp;WINDOW=FIRST_POPUP&amp;HEIGHT=450&amp;WIDTH=450&amp;START_MA","XIMIZED=FALSE&amp;VAR:CALENDAR=US&amp;VAR:SYMBOL=37183T10&amp;VAR:INDEX=0"}</definedName>
    <definedName name="_4266__FDSAUDITLINK__" localSheetId="6" hidden="1">{"fdsup://directions/FAT Viewer?action=UPDATE&amp;creator=factset&amp;DYN_ARGS=TRUE&amp;DOC_NAME=FAT:FQL_AUDITING_CLIENT_TEMPLATE.FAT&amp;display_string=Audit&amp;VAR:KEY=ZQPAPENUFG&amp;VAR:QUERY=RkZfRUJJVERBX0lCKCdMVE1TJywzOTYxOSk=&amp;WINDOW=FIRST_POPUP&amp;HEIGHT=450&amp;WIDTH=450&amp;START_MA","XIMIZED=FALSE&amp;VAR:CALENDAR=US&amp;VAR:SYMBOL=37183T10&amp;VAR:INDEX=0"}</definedName>
    <definedName name="_4266__FDSAUDITLINK__" hidden="1">{"fdsup://directions/FAT Viewer?action=UPDATE&amp;creator=factset&amp;DYN_ARGS=TRUE&amp;DOC_NAME=FAT:FQL_AUDITING_CLIENT_TEMPLATE.FAT&amp;display_string=Audit&amp;VAR:KEY=ZQPAPENUFG&amp;VAR:QUERY=RkZfRUJJVERBX0lCKCdMVE1TJywzOTYxOSk=&amp;WINDOW=FIRST_POPUP&amp;HEIGHT=450&amp;WIDTH=450&amp;START_MA","XIMIZED=FALSE&amp;VAR:CALENDAR=US&amp;VAR:SYMBOL=37183T10&amp;VAR:INDEX=0"}</definedName>
    <definedName name="_4267__FDSAUDITLINK__" localSheetId="6" hidden="1">{"fdsup://directions/FAT Viewer?action=UPDATE&amp;creator=factset&amp;DYN_ARGS=TRUE&amp;DOC_NAME=FAT:FQL_AUDITING_CLIENT_TEMPLATE.FAT&amp;display_string=Audit&amp;VAR:KEY=ZONIJUFMJU&amp;VAR:QUERY=RkZfRUJJVERBX0lCKCdMVE1TJywzOTYxOCk=&amp;WINDOW=FIRST_POPUP&amp;HEIGHT=450&amp;WIDTH=450&amp;START_MA","XIMIZED=FALSE&amp;VAR:CALENDAR=US&amp;VAR:SYMBOL=37183T10&amp;VAR:INDEX=0"}</definedName>
    <definedName name="_4267__FDSAUDITLINK__" hidden="1">{"fdsup://directions/FAT Viewer?action=UPDATE&amp;creator=factset&amp;DYN_ARGS=TRUE&amp;DOC_NAME=FAT:FQL_AUDITING_CLIENT_TEMPLATE.FAT&amp;display_string=Audit&amp;VAR:KEY=ZONIJUFMJU&amp;VAR:QUERY=RkZfRUJJVERBX0lCKCdMVE1TJywzOTYxOCk=&amp;WINDOW=FIRST_POPUP&amp;HEIGHT=450&amp;WIDTH=450&amp;START_MA","XIMIZED=FALSE&amp;VAR:CALENDAR=US&amp;VAR:SYMBOL=37183T10&amp;VAR:INDEX=0"}</definedName>
    <definedName name="_4268__FDSAUDITLINK__" localSheetId="6" hidden="1">{"fdsup://directions/FAT Viewer?action=UPDATE&amp;creator=factset&amp;DYN_ARGS=TRUE&amp;DOC_NAME=FAT:FQL_AUDITING_CLIENT_TEMPLATE.FAT&amp;display_string=Audit&amp;VAR:KEY=VKVCTSVADY&amp;VAR:QUERY=RkZfRUJJVERBX0lCKCdMVE1TJywzOTYxNyk=&amp;WINDOW=FIRST_POPUP&amp;HEIGHT=450&amp;WIDTH=450&amp;START_MA","XIMIZED=FALSE&amp;VAR:CALENDAR=US&amp;VAR:SYMBOL=37183T10&amp;VAR:INDEX=0"}</definedName>
    <definedName name="_4268__FDSAUDITLINK__" hidden="1">{"fdsup://directions/FAT Viewer?action=UPDATE&amp;creator=factset&amp;DYN_ARGS=TRUE&amp;DOC_NAME=FAT:FQL_AUDITING_CLIENT_TEMPLATE.FAT&amp;display_string=Audit&amp;VAR:KEY=VKVCTSVADY&amp;VAR:QUERY=RkZfRUJJVERBX0lCKCdMVE1TJywzOTYxNyk=&amp;WINDOW=FIRST_POPUP&amp;HEIGHT=450&amp;WIDTH=450&amp;START_MA","XIMIZED=FALSE&amp;VAR:CALENDAR=US&amp;VAR:SYMBOL=37183T10&amp;VAR:INDEX=0"}</definedName>
    <definedName name="_4269__FDSAUDITLINK__" localSheetId="6" hidden="1">{"fdsup://directions/FAT Viewer?action=UPDATE&amp;creator=factset&amp;DYN_ARGS=TRUE&amp;DOC_NAME=FAT:FQL_AUDITING_CLIENT_TEMPLATE.FAT&amp;display_string=Audit&amp;VAR:KEY=TQNELKREFY&amp;VAR:QUERY=RkZfRUJJVERBX0lCKCdMVE1TJywzOTYxNik=&amp;WINDOW=FIRST_POPUP&amp;HEIGHT=450&amp;WIDTH=450&amp;START_MA","XIMIZED=FALSE&amp;VAR:CALENDAR=US&amp;VAR:SYMBOL=37183T10&amp;VAR:INDEX=0"}</definedName>
    <definedName name="_4269__FDSAUDITLINK__" hidden="1">{"fdsup://directions/FAT Viewer?action=UPDATE&amp;creator=factset&amp;DYN_ARGS=TRUE&amp;DOC_NAME=FAT:FQL_AUDITING_CLIENT_TEMPLATE.FAT&amp;display_string=Audit&amp;VAR:KEY=TQNELKREFY&amp;VAR:QUERY=RkZfRUJJVERBX0lCKCdMVE1TJywzOTYxNik=&amp;WINDOW=FIRST_POPUP&amp;HEIGHT=450&amp;WIDTH=450&amp;START_MA","XIMIZED=FALSE&amp;VAR:CALENDAR=US&amp;VAR:SYMBOL=37183T10&amp;VAR:INDEX=0"}</definedName>
    <definedName name="_427__FDSAUDITLINK__" localSheetId="6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7__FDSAUDITLINK__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70__FDSAUDITLINK__" localSheetId="6" hidden="1">{"fdsup://directions/FAT Viewer?action=UPDATE&amp;creator=factset&amp;DYN_ARGS=TRUE&amp;DOC_NAME=FAT:FQL_AUDITING_CLIENT_TEMPLATE.FAT&amp;display_string=Audit&amp;VAR:KEY=NMTYROBIVG&amp;VAR:QUERY=RkZfRUJJVERBX0lCKCdMVE1TJywzOTYxNSk=&amp;WINDOW=FIRST_POPUP&amp;HEIGHT=450&amp;WIDTH=450&amp;START_MA","XIMIZED=FALSE&amp;VAR:CALENDAR=US&amp;VAR:SYMBOL=37183T10&amp;VAR:INDEX=0"}</definedName>
    <definedName name="_4270__FDSAUDITLINK__" hidden="1">{"fdsup://directions/FAT Viewer?action=UPDATE&amp;creator=factset&amp;DYN_ARGS=TRUE&amp;DOC_NAME=FAT:FQL_AUDITING_CLIENT_TEMPLATE.FAT&amp;display_string=Audit&amp;VAR:KEY=NMTYROBIVG&amp;VAR:QUERY=RkZfRUJJVERBX0lCKCdMVE1TJywzOTYxNSk=&amp;WINDOW=FIRST_POPUP&amp;HEIGHT=450&amp;WIDTH=450&amp;START_MA","XIMIZED=FALSE&amp;VAR:CALENDAR=US&amp;VAR:SYMBOL=37183T10&amp;VAR:INDEX=0"}</definedName>
    <definedName name="_4271__FDSAUDITLINK__" localSheetId="6" hidden="1">{"fdsup://directions/FAT Viewer?action=UPDATE&amp;creator=factset&amp;DYN_ARGS=TRUE&amp;DOC_NAME=FAT:FQL_AUDITING_CLIENT_TEMPLATE.FAT&amp;display_string=Audit&amp;VAR:KEY=LQJCZQTSXQ&amp;VAR:QUERY=RkZfRUJJVERBX0lCKCdMVE1TJywzOTYxNCk=&amp;WINDOW=FIRST_POPUP&amp;HEIGHT=450&amp;WIDTH=450&amp;START_MA","XIMIZED=FALSE&amp;VAR:CALENDAR=US&amp;VAR:SYMBOL=37183T10&amp;VAR:INDEX=0"}</definedName>
    <definedName name="_4271__FDSAUDITLINK__" hidden="1">{"fdsup://directions/FAT Viewer?action=UPDATE&amp;creator=factset&amp;DYN_ARGS=TRUE&amp;DOC_NAME=FAT:FQL_AUDITING_CLIENT_TEMPLATE.FAT&amp;display_string=Audit&amp;VAR:KEY=LQJCZQTSXQ&amp;VAR:QUERY=RkZfRUJJVERBX0lCKCdMVE1TJywzOTYxNCk=&amp;WINDOW=FIRST_POPUP&amp;HEIGHT=450&amp;WIDTH=450&amp;START_MA","XIMIZED=FALSE&amp;VAR:CALENDAR=US&amp;VAR:SYMBOL=37183T10&amp;VAR:INDEX=0"}</definedName>
    <definedName name="_4272__FDSAUDITLINK__" localSheetId="6" hidden="1">{"fdsup://directions/FAT Viewer?action=UPDATE&amp;creator=factset&amp;DYN_ARGS=TRUE&amp;DOC_NAME=FAT:FQL_AUDITING_CLIENT_TEMPLATE.FAT&amp;display_string=Audit&amp;VAR:KEY=XMXQLIVSPC&amp;VAR:QUERY=RkZfRUJJVERBX0lCKCdMVE1TJywzOTYxMyk=&amp;WINDOW=FIRST_POPUP&amp;HEIGHT=450&amp;WIDTH=450&amp;START_MA","XIMIZED=FALSE&amp;VAR:CALENDAR=US&amp;VAR:SYMBOL=37183T10&amp;VAR:INDEX=0"}</definedName>
    <definedName name="_4272__FDSAUDITLINK__" hidden="1">{"fdsup://directions/FAT Viewer?action=UPDATE&amp;creator=factset&amp;DYN_ARGS=TRUE&amp;DOC_NAME=FAT:FQL_AUDITING_CLIENT_TEMPLATE.FAT&amp;display_string=Audit&amp;VAR:KEY=XMXQLIVSPC&amp;VAR:QUERY=RkZfRUJJVERBX0lCKCdMVE1TJywzOTYxMyk=&amp;WINDOW=FIRST_POPUP&amp;HEIGHT=450&amp;WIDTH=450&amp;START_MA","XIMIZED=FALSE&amp;VAR:CALENDAR=US&amp;VAR:SYMBOL=37183T10&amp;VAR:INDEX=0"}</definedName>
    <definedName name="_4273__FDSAUDITLINK__" localSheetId="6" hidden="1">{"fdsup://directions/FAT Viewer?action=UPDATE&amp;creator=factset&amp;DYN_ARGS=TRUE&amp;DOC_NAME=FAT:FQL_AUDITING_CLIENT_TEMPLATE.FAT&amp;display_string=Audit&amp;VAR:KEY=POVGXYXCXO&amp;VAR:QUERY=RkZfRUJJVERBX0lCKCdMVE1TJywzOTYxMik=&amp;WINDOW=FIRST_POPUP&amp;HEIGHT=450&amp;WIDTH=450&amp;START_MA","XIMIZED=FALSE&amp;VAR:CALENDAR=US&amp;VAR:SYMBOL=37183T10&amp;VAR:INDEX=0"}</definedName>
    <definedName name="_4273__FDSAUDITLINK__" hidden="1">{"fdsup://directions/FAT Viewer?action=UPDATE&amp;creator=factset&amp;DYN_ARGS=TRUE&amp;DOC_NAME=FAT:FQL_AUDITING_CLIENT_TEMPLATE.FAT&amp;display_string=Audit&amp;VAR:KEY=POVGXYXCXO&amp;VAR:QUERY=RkZfRUJJVERBX0lCKCdMVE1TJywzOTYxMik=&amp;WINDOW=FIRST_POPUP&amp;HEIGHT=450&amp;WIDTH=450&amp;START_MA","XIMIZED=FALSE&amp;VAR:CALENDAR=US&amp;VAR:SYMBOL=37183T10&amp;VAR:INDEX=0"}</definedName>
    <definedName name="_4274__FDSAUDITLINK__" localSheetId="6" hidden="1">{"fdsup://directions/FAT Viewer?action=UPDATE&amp;creator=factset&amp;DYN_ARGS=TRUE&amp;DOC_NAME=FAT:FQL_AUDITING_CLIENT_TEMPLATE.FAT&amp;display_string=Audit&amp;VAR:KEY=XWVARKJQNA&amp;VAR:QUERY=RkZfRUJJVERBX0lCKCdMVE1TJywzOTYxMSk=&amp;WINDOW=FIRST_POPUP&amp;HEIGHT=450&amp;WIDTH=450&amp;START_MA","XIMIZED=FALSE&amp;VAR:CALENDAR=US&amp;VAR:SYMBOL=37183T10&amp;VAR:INDEX=0"}</definedName>
    <definedName name="_4274__FDSAUDITLINK__" hidden="1">{"fdsup://directions/FAT Viewer?action=UPDATE&amp;creator=factset&amp;DYN_ARGS=TRUE&amp;DOC_NAME=FAT:FQL_AUDITING_CLIENT_TEMPLATE.FAT&amp;display_string=Audit&amp;VAR:KEY=XWVARKJQNA&amp;VAR:QUERY=RkZfRUJJVERBX0lCKCdMVE1TJywzOTYxMSk=&amp;WINDOW=FIRST_POPUP&amp;HEIGHT=450&amp;WIDTH=450&amp;START_MA","XIMIZED=FALSE&amp;VAR:CALENDAR=US&amp;VAR:SYMBOL=37183T10&amp;VAR:INDEX=0"}</definedName>
    <definedName name="_4275__FDSAUDITLINK__" localSheetId="6" hidden="1">{"fdsup://directions/FAT Viewer?action=UPDATE&amp;creator=factset&amp;DYN_ARGS=TRUE&amp;DOC_NAME=FAT:FQL_AUDITING_CLIENT_TEMPLATE.FAT&amp;display_string=Audit&amp;VAR:KEY=NSFWVOZKJI&amp;VAR:QUERY=RkZfRUJJVERBX0lCKCdMVE1TJywzOTYxMCk=&amp;WINDOW=FIRST_POPUP&amp;HEIGHT=450&amp;WIDTH=450&amp;START_MA","XIMIZED=FALSE&amp;VAR:CALENDAR=US&amp;VAR:SYMBOL=37183T10&amp;VAR:INDEX=0"}</definedName>
    <definedName name="_4275__FDSAUDITLINK__" hidden="1">{"fdsup://directions/FAT Viewer?action=UPDATE&amp;creator=factset&amp;DYN_ARGS=TRUE&amp;DOC_NAME=FAT:FQL_AUDITING_CLIENT_TEMPLATE.FAT&amp;display_string=Audit&amp;VAR:KEY=NSFWVOZKJI&amp;VAR:QUERY=RkZfRUJJVERBX0lCKCdMVE1TJywzOTYxMCk=&amp;WINDOW=FIRST_POPUP&amp;HEIGHT=450&amp;WIDTH=450&amp;START_MA","XIMIZED=FALSE&amp;VAR:CALENDAR=US&amp;VAR:SYMBOL=37183T10&amp;VAR:INDEX=0"}</definedName>
    <definedName name="_4276__FDSAUDITLINK__" localSheetId="6" hidden="1">{"fdsup://directions/FAT Viewer?action=UPDATE&amp;creator=factset&amp;DYN_ARGS=TRUE&amp;DOC_NAME=FAT:FQL_AUDITING_CLIENT_TEMPLATE.FAT&amp;display_string=Audit&amp;VAR:KEY=FGDUFSTQDA&amp;VAR:QUERY=RkZfRUJJVERBX0lCKCdMVE1TJywzOTYwOSk=&amp;WINDOW=FIRST_POPUP&amp;HEIGHT=450&amp;WIDTH=450&amp;START_MA","XIMIZED=FALSE&amp;VAR:CALENDAR=US&amp;VAR:SYMBOL=37183T10&amp;VAR:INDEX=0"}</definedName>
    <definedName name="_4276__FDSAUDITLINK__" hidden="1">{"fdsup://directions/FAT Viewer?action=UPDATE&amp;creator=factset&amp;DYN_ARGS=TRUE&amp;DOC_NAME=FAT:FQL_AUDITING_CLIENT_TEMPLATE.FAT&amp;display_string=Audit&amp;VAR:KEY=FGDUFSTQDA&amp;VAR:QUERY=RkZfRUJJVERBX0lCKCdMVE1TJywzOTYwOSk=&amp;WINDOW=FIRST_POPUP&amp;HEIGHT=450&amp;WIDTH=450&amp;START_MA","XIMIZED=FALSE&amp;VAR:CALENDAR=US&amp;VAR:SYMBOL=37183T10&amp;VAR:INDEX=0"}</definedName>
    <definedName name="_4277__FDSAUDITLINK__" localSheetId="6" hidden="1">{"fdsup://directions/FAT Viewer?action=UPDATE&amp;creator=factset&amp;DYN_ARGS=TRUE&amp;DOC_NAME=FAT:FQL_AUDITING_CLIENT_TEMPLATE.FAT&amp;display_string=Audit&amp;VAR:KEY=ROFGVELCZC&amp;VAR:QUERY=RkZfRUJJVERBX0lCKCdMVE1TJywzOTYwOCk=&amp;WINDOW=FIRST_POPUP&amp;HEIGHT=450&amp;WIDTH=450&amp;START_MA","XIMIZED=FALSE&amp;VAR:CALENDAR=US&amp;VAR:SYMBOL=37183T10&amp;VAR:INDEX=0"}</definedName>
    <definedName name="_4277__FDSAUDITLINK__" hidden="1">{"fdsup://directions/FAT Viewer?action=UPDATE&amp;creator=factset&amp;DYN_ARGS=TRUE&amp;DOC_NAME=FAT:FQL_AUDITING_CLIENT_TEMPLATE.FAT&amp;display_string=Audit&amp;VAR:KEY=ROFGVELCZC&amp;VAR:QUERY=RkZfRUJJVERBX0lCKCdMVE1TJywzOTYwOCk=&amp;WINDOW=FIRST_POPUP&amp;HEIGHT=450&amp;WIDTH=450&amp;START_MA","XIMIZED=FALSE&amp;VAR:CALENDAR=US&amp;VAR:SYMBOL=37183T10&amp;VAR:INDEX=0"}</definedName>
    <definedName name="_4278__FDSAUDITLINK__" localSheetId="6" hidden="1">{"fdsup://directions/FAT Viewer?action=UPDATE&amp;creator=factset&amp;DYN_ARGS=TRUE&amp;DOC_NAME=FAT:FQL_AUDITING_CLIENT_TEMPLATE.FAT&amp;display_string=Audit&amp;VAR:KEY=RQTKJUFIVQ&amp;VAR:QUERY=RkZfRUJJVERBX0lCKCdMVE1TJywzOTYwNyk=&amp;WINDOW=FIRST_POPUP&amp;HEIGHT=450&amp;WIDTH=450&amp;START_MA","XIMIZED=FALSE&amp;VAR:CALENDAR=US&amp;VAR:SYMBOL=37183T10&amp;VAR:INDEX=0"}</definedName>
    <definedName name="_4278__FDSAUDITLINK__" hidden="1">{"fdsup://directions/FAT Viewer?action=UPDATE&amp;creator=factset&amp;DYN_ARGS=TRUE&amp;DOC_NAME=FAT:FQL_AUDITING_CLIENT_TEMPLATE.FAT&amp;display_string=Audit&amp;VAR:KEY=RQTKJUFIVQ&amp;VAR:QUERY=RkZfRUJJVERBX0lCKCdMVE1TJywzOTYwNyk=&amp;WINDOW=FIRST_POPUP&amp;HEIGHT=450&amp;WIDTH=450&amp;START_MA","XIMIZED=FALSE&amp;VAR:CALENDAR=US&amp;VAR:SYMBOL=37183T10&amp;VAR:INDEX=0"}</definedName>
    <definedName name="_4279__FDSAUDITLINK__" localSheetId="6" hidden="1">{"fdsup://directions/FAT Viewer?action=UPDATE&amp;creator=factset&amp;DYN_ARGS=TRUE&amp;DOC_NAME=FAT:FQL_AUDITING_CLIENT_TEMPLATE.FAT&amp;display_string=Audit&amp;VAR:KEY=XABAXOXKJI&amp;VAR:QUERY=RkZfRUJJVERBX0lCKCdMVE1TJywzOTYwNik=&amp;WINDOW=FIRST_POPUP&amp;HEIGHT=450&amp;WIDTH=450&amp;START_MA","XIMIZED=FALSE&amp;VAR:CALENDAR=US&amp;VAR:SYMBOL=37183T10&amp;VAR:INDEX=0"}</definedName>
    <definedName name="_4279__FDSAUDITLINK__" hidden="1">{"fdsup://directions/FAT Viewer?action=UPDATE&amp;creator=factset&amp;DYN_ARGS=TRUE&amp;DOC_NAME=FAT:FQL_AUDITING_CLIENT_TEMPLATE.FAT&amp;display_string=Audit&amp;VAR:KEY=XABAXOXKJI&amp;VAR:QUERY=RkZfRUJJVERBX0lCKCdMVE1TJywzOTYwNik=&amp;WINDOW=FIRST_POPUP&amp;HEIGHT=450&amp;WIDTH=450&amp;START_MA","XIMIZED=FALSE&amp;VAR:CALENDAR=US&amp;VAR:SYMBOL=37183T10&amp;VAR:INDEX=0"}</definedName>
    <definedName name="_428__FDSAUDITLINK__" localSheetId="6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8__FDSAUDITLINK__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80__FDSAUDITLINK__" localSheetId="6" hidden="1">{"fdsup://directions/FAT Viewer?action=UPDATE&amp;creator=factset&amp;DYN_ARGS=TRUE&amp;DOC_NAME=FAT:FQL_AUDITING_CLIENT_TEMPLATE.FAT&amp;display_string=Audit&amp;VAR:KEY=NYBEHCDERS&amp;VAR:QUERY=RkZfRUJJVERBX0lCKCdMVE1TJywzOTYwNSk=&amp;WINDOW=FIRST_POPUP&amp;HEIGHT=450&amp;WIDTH=450&amp;START_MA","XIMIZED=FALSE&amp;VAR:CALENDAR=US&amp;VAR:SYMBOL=37183T10&amp;VAR:INDEX=0"}</definedName>
    <definedName name="_4280__FDSAUDITLINK__" hidden="1">{"fdsup://directions/FAT Viewer?action=UPDATE&amp;creator=factset&amp;DYN_ARGS=TRUE&amp;DOC_NAME=FAT:FQL_AUDITING_CLIENT_TEMPLATE.FAT&amp;display_string=Audit&amp;VAR:KEY=NYBEHCDERS&amp;VAR:QUERY=RkZfRUJJVERBX0lCKCdMVE1TJywzOTYwNSk=&amp;WINDOW=FIRST_POPUP&amp;HEIGHT=450&amp;WIDTH=450&amp;START_MA","XIMIZED=FALSE&amp;VAR:CALENDAR=US&amp;VAR:SYMBOL=37183T10&amp;VAR:INDEX=0"}</definedName>
    <definedName name="_4281__FDSAUDITLINK__" localSheetId="6" hidden="1">{"fdsup://directions/FAT Viewer?action=UPDATE&amp;creator=factset&amp;DYN_ARGS=TRUE&amp;DOC_NAME=FAT:FQL_AUDITING_CLIENT_TEMPLATE.FAT&amp;display_string=Audit&amp;VAR:KEY=FMXIHCPWNG&amp;VAR:QUERY=RkZfRUJJVERBX0lCKCdMVE1TJywzOTYwNCk=&amp;WINDOW=FIRST_POPUP&amp;HEIGHT=450&amp;WIDTH=450&amp;START_MA","XIMIZED=FALSE&amp;VAR:CALENDAR=US&amp;VAR:SYMBOL=37183T10&amp;VAR:INDEX=0"}</definedName>
    <definedName name="_4281__FDSAUDITLINK__" hidden="1">{"fdsup://directions/FAT Viewer?action=UPDATE&amp;creator=factset&amp;DYN_ARGS=TRUE&amp;DOC_NAME=FAT:FQL_AUDITING_CLIENT_TEMPLATE.FAT&amp;display_string=Audit&amp;VAR:KEY=FMXIHCPWNG&amp;VAR:QUERY=RkZfRUJJVERBX0lCKCdMVE1TJywzOTYwNCk=&amp;WINDOW=FIRST_POPUP&amp;HEIGHT=450&amp;WIDTH=450&amp;START_MA","XIMIZED=FALSE&amp;VAR:CALENDAR=US&amp;VAR:SYMBOL=37183T10&amp;VAR:INDEX=0"}</definedName>
    <definedName name="_4282__FDSAUDITLINK__" localSheetId="6" hidden="1">{"fdsup://directions/FAT Viewer?action=UPDATE&amp;creator=factset&amp;DYN_ARGS=TRUE&amp;DOC_NAME=FAT:FQL_AUDITING_CLIENT_TEMPLATE.FAT&amp;display_string=Audit&amp;VAR:KEY=TATUJKDMVW&amp;VAR:QUERY=RkZfRUJJVERBX0lCKCdMVE1TJywzOTYwMyk=&amp;WINDOW=FIRST_POPUP&amp;HEIGHT=450&amp;WIDTH=450&amp;START_MA","XIMIZED=FALSE&amp;VAR:CALENDAR=US&amp;VAR:SYMBOL=37183T10&amp;VAR:INDEX=0"}</definedName>
    <definedName name="_4282__FDSAUDITLINK__" hidden="1">{"fdsup://directions/FAT Viewer?action=UPDATE&amp;creator=factset&amp;DYN_ARGS=TRUE&amp;DOC_NAME=FAT:FQL_AUDITING_CLIENT_TEMPLATE.FAT&amp;display_string=Audit&amp;VAR:KEY=TATUJKDMVW&amp;VAR:QUERY=RkZfRUJJVERBX0lCKCdMVE1TJywzOTYwMyk=&amp;WINDOW=FIRST_POPUP&amp;HEIGHT=450&amp;WIDTH=450&amp;START_MA","XIMIZED=FALSE&amp;VAR:CALENDAR=US&amp;VAR:SYMBOL=37183T10&amp;VAR:INDEX=0"}</definedName>
    <definedName name="_4283__FDSAUDITLINK__" localSheetId="6" hidden="1">{"fdsup://directions/FAT Viewer?action=UPDATE&amp;creator=factset&amp;DYN_ARGS=TRUE&amp;DOC_NAME=FAT:FQL_AUDITING_CLIENT_TEMPLATE.FAT&amp;display_string=Audit&amp;VAR:KEY=REJSFWJADQ&amp;VAR:QUERY=RkZfRUJJVERBX0lCKCdMVE1TJywzOTYwMik=&amp;WINDOW=FIRST_POPUP&amp;HEIGHT=450&amp;WIDTH=450&amp;START_MA","XIMIZED=FALSE&amp;VAR:CALENDAR=US&amp;VAR:SYMBOL=37183T10&amp;VAR:INDEX=0"}</definedName>
    <definedName name="_4283__FDSAUDITLINK__" hidden="1">{"fdsup://directions/FAT Viewer?action=UPDATE&amp;creator=factset&amp;DYN_ARGS=TRUE&amp;DOC_NAME=FAT:FQL_AUDITING_CLIENT_TEMPLATE.FAT&amp;display_string=Audit&amp;VAR:KEY=REJSFWJADQ&amp;VAR:QUERY=RkZfRUJJVERBX0lCKCdMVE1TJywzOTYwMik=&amp;WINDOW=FIRST_POPUP&amp;HEIGHT=450&amp;WIDTH=450&amp;START_MA","XIMIZED=FALSE&amp;VAR:CALENDAR=US&amp;VAR:SYMBOL=37183T10&amp;VAR:INDEX=0"}</definedName>
    <definedName name="_4284__FDSAUDITLINK__" localSheetId="6" hidden="1">{"fdsup://directions/FAT Viewer?action=UPDATE&amp;creator=factset&amp;DYN_ARGS=TRUE&amp;DOC_NAME=FAT:FQL_AUDITING_CLIENT_TEMPLATE.FAT&amp;display_string=Audit&amp;VAR:KEY=XMZETOLETC&amp;VAR:QUERY=RkZfRUJJVERBX0lCKCdMVE1TJywzOTYwMSk=&amp;WINDOW=FIRST_POPUP&amp;HEIGHT=450&amp;WIDTH=450&amp;START_MA","XIMIZED=FALSE&amp;VAR:CALENDAR=US&amp;VAR:SYMBOL=37183T10&amp;VAR:INDEX=0"}</definedName>
    <definedName name="_4284__FDSAUDITLINK__" hidden="1">{"fdsup://directions/FAT Viewer?action=UPDATE&amp;creator=factset&amp;DYN_ARGS=TRUE&amp;DOC_NAME=FAT:FQL_AUDITING_CLIENT_TEMPLATE.FAT&amp;display_string=Audit&amp;VAR:KEY=XMZETOLETC&amp;VAR:QUERY=RkZfRUJJVERBX0lCKCdMVE1TJywzOTYwMSk=&amp;WINDOW=FIRST_POPUP&amp;HEIGHT=450&amp;WIDTH=450&amp;START_MA","XIMIZED=FALSE&amp;VAR:CALENDAR=US&amp;VAR:SYMBOL=37183T10&amp;VAR:INDEX=0"}</definedName>
    <definedName name="_4285__FDSAUDITLINK__" localSheetId="6" hidden="1">{"fdsup://directions/FAT Viewer?action=UPDATE&amp;creator=factset&amp;DYN_ARGS=TRUE&amp;DOC_NAME=FAT:FQL_AUDITING_CLIENT_TEMPLATE.FAT&amp;display_string=Audit&amp;VAR:KEY=JYVQXMTMBW&amp;VAR:QUERY=RkZfRUJJVERBX0lCKCdMVE1TJywzOTYwMCk=&amp;WINDOW=FIRST_POPUP&amp;HEIGHT=450&amp;WIDTH=450&amp;START_MA","XIMIZED=FALSE&amp;VAR:CALENDAR=US&amp;VAR:SYMBOL=37183T10&amp;VAR:INDEX=0"}</definedName>
    <definedName name="_4285__FDSAUDITLINK__" hidden="1">{"fdsup://directions/FAT Viewer?action=UPDATE&amp;creator=factset&amp;DYN_ARGS=TRUE&amp;DOC_NAME=FAT:FQL_AUDITING_CLIENT_TEMPLATE.FAT&amp;display_string=Audit&amp;VAR:KEY=JYVQXMTMBW&amp;VAR:QUERY=RkZfRUJJVERBX0lCKCdMVE1TJywzOTYwMCk=&amp;WINDOW=FIRST_POPUP&amp;HEIGHT=450&amp;WIDTH=450&amp;START_MA","XIMIZED=FALSE&amp;VAR:CALENDAR=US&amp;VAR:SYMBOL=37183T10&amp;VAR:INDEX=0"}</definedName>
    <definedName name="_4286__FDSAUDITLINK__" localSheetId="6" hidden="1">{"fdsup://directions/FAT Viewer?action=UPDATE&amp;creator=factset&amp;DYN_ARGS=TRUE&amp;DOC_NAME=FAT:FQL_AUDITING_CLIENT_TEMPLATE.FAT&amp;display_string=Audit&amp;VAR:KEY=PYHSFWROLS&amp;VAR:QUERY=RkZfRUJJVERBX0lCKCdMVE1TJywzOTU5OSk=&amp;WINDOW=FIRST_POPUP&amp;HEIGHT=450&amp;WIDTH=450&amp;START_MA","XIMIZED=FALSE&amp;VAR:CALENDAR=US&amp;VAR:SYMBOL=37183T10&amp;VAR:INDEX=0"}</definedName>
    <definedName name="_4286__FDSAUDITLINK__" hidden="1">{"fdsup://directions/FAT Viewer?action=UPDATE&amp;creator=factset&amp;DYN_ARGS=TRUE&amp;DOC_NAME=FAT:FQL_AUDITING_CLIENT_TEMPLATE.FAT&amp;display_string=Audit&amp;VAR:KEY=PYHSFWROLS&amp;VAR:QUERY=RkZfRUJJVERBX0lCKCdMVE1TJywzOTU5OSk=&amp;WINDOW=FIRST_POPUP&amp;HEIGHT=450&amp;WIDTH=450&amp;START_MA","XIMIZED=FALSE&amp;VAR:CALENDAR=US&amp;VAR:SYMBOL=37183T10&amp;VAR:INDEX=0"}</definedName>
    <definedName name="_4287__FDSAUDITLINK__" localSheetId="6" hidden="1">{"fdsup://directions/FAT Viewer?action=UPDATE&amp;creator=factset&amp;DYN_ARGS=TRUE&amp;DOC_NAME=FAT:FQL_AUDITING_CLIENT_TEMPLATE.FAT&amp;display_string=Audit&amp;VAR:KEY=VGVSPOZIFC&amp;VAR:QUERY=RkZfRUJJVERBX0lCKCdMVE1TJywzOTU5OCk=&amp;WINDOW=FIRST_POPUP&amp;HEIGHT=450&amp;WIDTH=450&amp;START_MA","XIMIZED=FALSE&amp;VAR:CALENDAR=US&amp;VAR:SYMBOL=37183T10&amp;VAR:INDEX=0"}</definedName>
    <definedName name="_4287__FDSAUDITLINK__" hidden="1">{"fdsup://directions/FAT Viewer?action=UPDATE&amp;creator=factset&amp;DYN_ARGS=TRUE&amp;DOC_NAME=FAT:FQL_AUDITING_CLIENT_TEMPLATE.FAT&amp;display_string=Audit&amp;VAR:KEY=VGVSPOZIFC&amp;VAR:QUERY=RkZfRUJJVERBX0lCKCdMVE1TJywzOTU5OCk=&amp;WINDOW=FIRST_POPUP&amp;HEIGHT=450&amp;WIDTH=450&amp;START_MA","XIMIZED=FALSE&amp;VAR:CALENDAR=US&amp;VAR:SYMBOL=37183T10&amp;VAR:INDEX=0"}</definedName>
    <definedName name="_4288__FDSAUDITLINK__" localSheetId="6" hidden="1">{"fdsup://directions/FAT Viewer?action=UPDATE&amp;creator=factset&amp;DYN_ARGS=TRUE&amp;DOC_NAME=FAT:FQL_AUDITING_CLIENT_TEMPLATE.FAT&amp;display_string=Audit&amp;VAR:KEY=PERGBSVWLA&amp;VAR:QUERY=RkZfRUJJVERBX0lCKCdMVE1TJywzOTU5Nyk=&amp;WINDOW=FIRST_POPUP&amp;HEIGHT=450&amp;WIDTH=450&amp;START_MA","XIMIZED=FALSE&amp;VAR:CALENDAR=US&amp;VAR:SYMBOL=37183T10&amp;VAR:INDEX=0"}</definedName>
    <definedName name="_4288__FDSAUDITLINK__" hidden="1">{"fdsup://directions/FAT Viewer?action=UPDATE&amp;creator=factset&amp;DYN_ARGS=TRUE&amp;DOC_NAME=FAT:FQL_AUDITING_CLIENT_TEMPLATE.FAT&amp;display_string=Audit&amp;VAR:KEY=PERGBSVWLA&amp;VAR:QUERY=RkZfRUJJVERBX0lCKCdMVE1TJywzOTU5Nyk=&amp;WINDOW=FIRST_POPUP&amp;HEIGHT=450&amp;WIDTH=450&amp;START_MA","XIMIZED=FALSE&amp;VAR:CALENDAR=US&amp;VAR:SYMBOL=37183T10&amp;VAR:INDEX=0"}</definedName>
    <definedName name="_4289__FDSAUDITLINK__" localSheetId="6" hidden="1">{"fdsup://directions/FAT Viewer?action=UPDATE&amp;creator=factset&amp;DYN_ARGS=TRUE&amp;DOC_NAME=FAT:FQL_AUDITING_CLIENT_TEMPLATE.FAT&amp;display_string=Audit&amp;VAR:KEY=PURAVWHAXE&amp;VAR:QUERY=RkZfRUJJVERBX0lCKCdMVE1TJywzOTU5Nik=&amp;WINDOW=FIRST_POPUP&amp;HEIGHT=450&amp;WIDTH=450&amp;START_MA","XIMIZED=FALSE&amp;VAR:CALENDAR=US&amp;VAR:SYMBOL=37183T10&amp;VAR:INDEX=0"}</definedName>
    <definedName name="_4289__FDSAUDITLINK__" hidden="1">{"fdsup://directions/FAT Viewer?action=UPDATE&amp;creator=factset&amp;DYN_ARGS=TRUE&amp;DOC_NAME=FAT:FQL_AUDITING_CLIENT_TEMPLATE.FAT&amp;display_string=Audit&amp;VAR:KEY=PURAVWHAXE&amp;VAR:QUERY=RkZfRUJJVERBX0lCKCdMVE1TJywzOTU5Nik=&amp;WINDOW=FIRST_POPUP&amp;HEIGHT=450&amp;WIDTH=450&amp;START_MA","XIMIZED=FALSE&amp;VAR:CALENDAR=US&amp;VAR:SYMBOL=37183T10&amp;VAR:INDEX=0"}</definedName>
    <definedName name="_429__FDSAUDITLINK__" localSheetId="6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9__FDSAUDITLINK__" hidden="1">{"fdsup://directions/FAT%20Viewer?VAR:PED=LTM&amp;VAR:AUDIT_MODE=SUMMARY&amp;VAR:PERIOD=FIXED&amp;VAR:AUDIT_ID=00000117&amp;VAR:DATE=20081219&amp;action=UPDATE&amp;creator=factset&amp;DOC_NAME=FAT:FMA_audit_SUMMARY.fat&amp;DISPLAY_STRING=Display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290__FDSAUDITLINK__" localSheetId="6" hidden="1">{"fdsup://directions/FAT Viewer?action=UPDATE&amp;creator=factset&amp;DYN_ARGS=TRUE&amp;DOC_NAME=FAT:FQL_AUDITING_CLIENT_TEMPLATE.FAT&amp;display_string=Audit&amp;VAR:KEY=DSJANITATQ&amp;VAR:QUERY=RkZfRUJJVERBX0lCKCdMVE1TJywzOTU5NSk=&amp;WINDOW=FIRST_POPUP&amp;HEIGHT=450&amp;WIDTH=450&amp;START_MA","XIMIZED=FALSE&amp;VAR:CALENDAR=US&amp;VAR:SYMBOL=37183T10&amp;VAR:INDEX=0"}</definedName>
    <definedName name="_4290__FDSAUDITLINK__" hidden="1">{"fdsup://directions/FAT Viewer?action=UPDATE&amp;creator=factset&amp;DYN_ARGS=TRUE&amp;DOC_NAME=FAT:FQL_AUDITING_CLIENT_TEMPLATE.FAT&amp;display_string=Audit&amp;VAR:KEY=DSJANITATQ&amp;VAR:QUERY=RkZfRUJJVERBX0lCKCdMVE1TJywzOTU5NSk=&amp;WINDOW=FIRST_POPUP&amp;HEIGHT=450&amp;WIDTH=450&amp;START_MA","XIMIZED=FALSE&amp;VAR:CALENDAR=US&amp;VAR:SYMBOL=37183T10&amp;VAR:INDEX=0"}</definedName>
    <definedName name="_4291__FDSAUDITLINK__" localSheetId="6" hidden="1">{"fdsup://directions/FAT Viewer?action=UPDATE&amp;creator=factset&amp;DYN_ARGS=TRUE&amp;DOC_NAME=FAT:FQL_AUDITING_CLIENT_TEMPLATE.FAT&amp;display_string=Audit&amp;VAR:KEY=VGTEPIZKPM&amp;VAR:QUERY=RkZfRUJJVERBX0lCKCdMVE1TJywzOTU5NCk=&amp;WINDOW=FIRST_POPUP&amp;HEIGHT=450&amp;WIDTH=450&amp;START_MA","XIMIZED=FALSE&amp;VAR:CALENDAR=US&amp;VAR:SYMBOL=37183T10&amp;VAR:INDEX=0"}</definedName>
    <definedName name="_4291__FDSAUDITLINK__" hidden="1">{"fdsup://directions/FAT Viewer?action=UPDATE&amp;creator=factset&amp;DYN_ARGS=TRUE&amp;DOC_NAME=FAT:FQL_AUDITING_CLIENT_TEMPLATE.FAT&amp;display_string=Audit&amp;VAR:KEY=VGTEPIZKPM&amp;VAR:QUERY=RkZfRUJJVERBX0lCKCdMVE1TJywzOTU5NCk=&amp;WINDOW=FIRST_POPUP&amp;HEIGHT=450&amp;WIDTH=450&amp;START_MA","XIMIZED=FALSE&amp;VAR:CALENDAR=US&amp;VAR:SYMBOL=37183T10&amp;VAR:INDEX=0"}</definedName>
    <definedName name="_4292__FDSAUDITLINK__" localSheetId="6" hidden="1">{"fdsup://directions/FAT Viewer?action=UPDATE&amp;creator=factset&amp;DYN_ARGS=TRUE&amp;DOC_NAME=FAT:FQL_AUDITING_CLIENT_TEMPLATE.FAT&amp;display_string=Audit&amp;VAR:KEY=RWFIVWFMNQ&amp;VAR:QUERY=RkZfRUJJVERBX0lCKCdMVE1TJywzOTU5Myk=&amp;WINDOW=FIRST_POPUP&amp;HEIGHT=450&amp;WIDTH=450&amp;START_MA","XIMIZED=FALSE&amp;VAR:CALENDAR=US&amp;VAR:SYMBOL=37183T10&amp;VAR:INDEX=0"}</definedName>
    <definedName name="_4292__FDSAUDITLINK__" hidden="1">{"fdsup://directions/FAT Viewer?action=UPDATE&amp;creator=factset&amp;DYN_ARGS=TRUE&amp;DOC_NAME=FAT:FQL_AUDITING_CLIENT_TEMPLATE.FAT&amp;display_string=Audit&amp;VAR:KEY=RWFIVWFMNQ&amp;VAR:QUERY=RkZfRUJJVERBX0lCKCdMVE1TJywzOTU5Myk=&amp;WINDOW=FIRST_POPUP&amp;HEIGHT=450&amp;WIDTH=450&amp;START_MA","XIMIZED=FALSE&amp;VAR:CALENDAR=US&amp;VAR:SYMBOL=37183T10&amp;VAR:INDEX=0"}</definedName>
    <definedName name="_4293__FDSAUDITLINK__" localSheetId="6" hidden="1">{"fdsup://directions/FAT Viewer?action=UPDATE&amp;creator=factset&amp;DYN_ARGS=TRUE&amp;DOC_NAME=FAT:FQL_AUDITING_CLIENT_TEMPLATE.FAT&amp;display_string=Audit&amp;VAR:KEY=XARCZWTULS&amp;VAR:QUERY=RkZfRUJJVERBX0lCKCdMVE1TJywzOTU5Mik=&amp;WINDOW=FIRST_POPUP&amp;HEIGHT=450&amp;WIDTH=450&amp;START_MA","XIMIZED=FALSE&amp;VAR:CALENDAR=US&amp;VAR:SYMBOL=37183T10&amp;VAR:INDEX=0"}</definedName>
    <definedName name="_4293__FDSAUDITLINK__" hidden="1">{"fdsup://directions/FAT Viewer?action=UPDATE&amp;creator=factset&amp;DYN_ARGS=TRUE&amp;DOC_NAME=FAT:FQL_AUDITING_CLIENT_TEMPLATE.FAT&amp;display_string=Audit&amp;VAR:KEY=XARCZWTULS&amp;VAR:QUERY=RkZfRUJJVERBX0lCKCdMVE1TJywzOTU5Mik=&amp;WINDOW=FIRST_POPUP&amp;HEIGHT=450&amp;WIDTH=450&amp;START_MA","XIMIZED=FALSE&amp;VAR:CALENDAR=US&amp;VAR:SYMBOL=37183T10&amp;VAR:INDEX=0"}</definedName>
    <definedName name="_4294__FDSAUDITLINK__" localSheetId="6" hidden="1">{"fdsup://directions/FAT Viewer?action=UPDATE&amp;creator=factset&amp;DYN_ARGS=TRUE&amp;DOC_NAME=FAT:FQL_AUDITING_CLIENT_TEMPLATE.FAT&amp;display_string=Audit&amp;VAR:KEY=DUJKXETYXM&amp;VAR:QUERY=RkZfRUJJVERBX0lCKCdMVE1TJywzOTU5MSk=&amp;WINDOW=FIRST_POPUP&amp;HEIGHT=450&amp;WIDTH=450&amp;START_MA","XIMIZED=FALSE&amp;VAR:CALENDAR=US&amp;VAR:SYMBOL=37183T10&amp;VAR:INDEX=0"}</definedName>
    <definedName name="_4294__FDSAUDITLINK__" hidden="1">{"fdsup://directions/FAT Viewer?action=UPDATE&amp;creator=factset&amp;DYN_ARGS=TRUE&amp;DOC_NAME=FAT:FQL_AUDITING_CLIENT_TEMPLATE.FAT&amp;display_string=Audit&amp;VAR:KEY=DUJKXETYXM&amp;VAR:QUERY=RkZfRUJJVERBX0lCKCdMVE1TJywzOTU5MSk=&amp;WINDOW=FIRST_POPUP&amp;HEIGHT=450&amp;WIDTH=450&amp;START_MA","XIMIZED=FALSE&amp;VAR:CALENDAR=US&amp;VAR:SYMBOL=37183T10&amp;VAR:INDEX=0"}</definedName>
    <definedName name="_4295__FDSAUDITLINK__" localSheetId="6" hidden="1">{"fdsup://directions/FAT Viewer?action=UPDATE&amp;creator=factset&amp;DYN_ARGS=TRUE&amp;DOC_NAME=FAT:FQL_AUDITING_CLIENT_TEMPLATE.FAT&amp;display_string=Audit&amp;VAR:KEY=FEVMFURQPQ&amp;VAR:QUERY=RkZfRUJJVERBX0lCKCdMVE1TJywzOTU5MCk=&amp;WINDOW=FIRST_POPUP&amp;HEIGHT=450&amp;WIDTH=450&amp;START_MA","XIMIZED=FALSE&amp;VAR:CALENDAR=US&amp;VAR:SYMBOL=37183T10&amp;VAR:INDEX=0"}</definedName>
    <definedName name="_4295__FDSAUDITLINK__" hidden="1">{"fdsup://directions/FAT Viewer?action=UPDATE&amp;creator=factset&amp;DYN_ARGS=TRUE&amp;DOC_NAME=FAT:FQL_AUDITING_CLIENT_TEMPLATE.FAT&amp;display_string=Audit&amp;VAR:KEY=FEVMFURQPQ&amp;VAR:QUERY=RkZfRUJJVERBX0lCKCdMVE1TJywzOTU5MCk=&amp;WINDOW=FIRST_POPUP&amp;HEIGHT=450&amp;WIDTH=450&amp;START_MA","XIMIZED=FALSE&amp;VAR:CALENDAR=US&amp;VAR:SYMBOL=37183T10&amp;VAR:INDEX=0"}</definedName>
    <definedName name="_4296__FDSAUDITLINK__" localSheetId="6" hidden="1">{"fdsup://directions/FAT Viewer?action=UPDATE&amp;creator=factset&amp;DYN_ARGS=TRUE&amp;DOC_NAME=FAT:FQL_AUDITING_CLIENT_TEMPLATE.FAT&amp;display_string=Audit&amp;VAR:KEY=DGNOPEFQHM&amp;VAR:QUERY=RkZfRUJJVERBX0lCKCdMVE1TJywzOTU4OSk=&amp;WINDOW=FIRST_POPUP&amp;HEIGHT=450&amp;WIDTH=450&amp;START_MA","XIMIZED=FALSE&amp;VAR:CALENDAR=US&amp;VAR:SYMBOL=37183T10&amp;VAR:INDEX=0"}</definedName>
    <definedName name="_4296__FDSAUDITLINK__" hidden="1">{"fdsup://directions/FAT Viewer?action=UPDATE&amp;creator=factset&amp;DYN_ARGS=TRUE&amp;DOC_NAME=FAT:FQL_AUDITING_CLIENT_TEMPLATE.FAT&amp;display_string=Audit&amp;VAR:KEY=DGNOPEFQHM&amp;VAR:QUERY=RkZfRUJJVERBX0lCKCdMVE1TJywzOTU4OSk=&amp;WINDOW=FIRST_POPUP&amp;HEIGHT=450&amp;WIDTH=450&amp;START_MA","XIMIZED=FALSE&amp;VAR:CALENDAR=US&amp;VAR:SYMBOL=37183T10&amp;VAR:INDEX=0"}</definedName>
    <definedName name="_4297__FDSAUDITLINK__" localSheetId="6" hidden="1">{"fdsup://directions/FAT Viewer?action=UPDATE&amp;creator=factset&amp;DYN_ARGS=TRUE&amp;DOC_NAME=FAT:FQL_AUDITING_CLIENT_TEMPLATE.FAT&amp;display_string=Audit&amp;VAR:KEY=FGTMNYHGTE&amp;VAR:QUERY=RkZfRUJJVERBX0lCKCdMVE1TJywzOTU4OCk=&amp;WINDOW=FIRST_POPUP&amp;HEIGHT=450&amp;WIDTH=450&amp;START_MA","XIMIZED=FALSE&amp;VAR:CALENDAR=US&amp;VAR:SYMBOL=37183T10&amp;VAR:INDEX=0"}</definedName>
    <definedName name="_4297__FDSAUDITLINK__" hidden="1">{"fdsup://directions/FAT Viewer?action=UPDATE&amp;creator=factset&amp;DYN_ARGS=TRUE&amp;DOC_NAME=FAT:FQL_AUDITING_CLIENT_TEMPLATE.FAT&amp;display_string=Audit&amp;VAR:KEY=FGTMNYHGTE&amp;VAR:QUERY=RkZfRUJJVERBX0lCKCdMVE1TJywzOTU4OCk=&amp;WINDOW=FIRST_POPUP&amp;HEIGHT=450&amp;WIDTH=450&amp;START_MA","XIMIZED=FALSE&amp;VAR:CALENDAR=US&amp;VAR:SYMBOL=37183T10&amp;VAR:INDEX=0"}</definedName>
    <definedName name="_4298__FDSAUDITLINK__" localSheetId="6" hidden="1">{"fdsup://directions/FAT Viewer?action=UPDATE&amp;creator=factset&amp;DYN_ARGS=TRUE&amp;DOC_NAME=FAT:FQL_AUDITING_CLIENT_TEMPLATE.FAT&amp;display_string=Audit&amp;VAR:KEY=NUZIXSXMJY&amp;VAR:QUERY=RkZfRUJJVERBX0lCKCdMVE1TJywzOTU4Nyk=&amp;WINDOW=FIRST_POPUP&amp;HEIGHT=450&amp;WIDTH=450&amp;START_MA","XIMIZED=FALSE&amp;VAR:CALENDAR=US&amp;VAR:SYMBOL=37183T10&amp;VAR:INDEX=0"}</definedName>
    <definedName name="_4298__FDSAUDITLINK__" hidden="1">{"fdsup://directions/FAT Viewer?action=UPDATE&amp;creator=factset&amp;DYN_ARGS=TRUE&amp;DOC_NAME=FAT:FQL_AUDITING_CLIENT_TEMPLATE.FAT&amp;display_string=Audit&amp;VAR:KEY=NUZIXSXMJY&amp;VAR:QUERY=RkZfRUJJVERBX0lCKCdMVE1TJywzOTU4Nyk=&amp;WINDOW=FIRST_POPUP&amp;HEIGHT=450&amp;WIDTH=450&amp;START_MA","XIMIZED=FALSE&amp;VAR:CALENDAR=US&amp;VAR:SYMBOL=37183T10&amp;VAR:INDEX=0"}</definedName>
    <definedName name="_4299__FDSAUDITLINK__" localSheetId="6" hidden="1">{"fdsup://directions/FAT Viewer?action=UPDATE&amp;creator=factset&amp;DYN_ARGS=TRUE&amp;DOC_NAME=FAT:FQL_AUDITING_CLIENT_TEMPLATE.FAT&amp;display_string=Audit&amp;VAR:KEY=ZEBYHKBQRY&amp;VAR:QUERY=RkZfRUJJVERBX0lCKCdMVE1TJywzOTU4Nik=&amp;WINDOW=FIRST_POPUP&amp;HEIGHT=450&amp;WIDTH=450&amp;START_MA","XIMIZED=FALSE&amp;VAR:CALENDAR=US&amp;VAR:SYMBOL=37183T10&amp;VAR:INDEX=0"}</definedName>
    <definedName name="_4299__FDSAUDITLINK__" hidden="1">{"fdsup://directions/FAT Viewer?action=UPDATE&amp;creator=factset&amp;DYN_ARGS=TRUE&amp;DOC_NAME=FAT:FQL_AUDITING_CLIENT_TEMPLATE.FAT&amp;display_string=Audit&amp;VAR:KEY=ZEBYHKBQRY&amp;VAR:QUERY=RkZfRUJJVERBX0lCKCdMVE1TJywzOTU4Nik=&amp;WINDOW=FIRST_POPUP&amp;HEIGHT=450&amp;WIDTH=450&amp;START_MA","XIMIZED=FALSE&amp;VAR:CALENDAR=US&amp;VAR:SYMBOL=37183T10&amp;VAR:INDEX=0"}</definedName>
    <definedName name="_43__FDSAUDITLINK__" localSheetId="6" hidden="1">{"fdsup://directions/FAT Viewer?action=UPDATE&amp;creator=factset&amp;DYN_ARGS=TRUE&amp;DOC_NAME=FAT:FQL_AUDITING_CLIENT_TEMPLATE.FAT&amp;display_string=Audit&amp;VAR:KEY=FSJQLEVQXQ&amp;VAR:QUERY=QVZHKENTRl9ORVRfSU5DKEFOTiwwRlksLTZGWSxZKSkgLyAoQVZHKENTRl9BU1NFVFMoQU5OLDBGWSwtNkZZL","EZZKSkgLSBBVkcoQ1NGX0lOVEFORyhBTk4sMCwtNkZZLEZZKSkp&amp;WINDOW=FIRST_POPUP&amp;HEIGHT=450&amp;WIDTH=450&amp;START_MAXIMIZED=FALSE&amp;VAR:CALENDAR=US&amp;VAR:SYMBOL=YRCW"}</definedName>
    <definedName name="_43__FDSAUDITLINK__" hidden="1">{"fdsup://directions/FAT Viewer?action=UPDATE&amp;creator=factset&amp;DYN_ARGS=TRUE&amp;DOC_NAME=FAT:FQL_AUDITING_CLIENT_TEMPLATE.FAT&amp;display_string=Audit&amp;VAR:KEY=FSJQLEVQXQ&amp;VAR:QUERY=QVZHKENTRl9ORVRfSU5DKEFOTiwwRlksLTZGWSxZKSkgLyAoQVZHKENTRl9BU1NFVFMoQU5OLDBGWSwtNkZZL","EZZKSkgLSBBVkcoQ1NGX0lOVEFORyhBTk4sMCwtNkZZLEZZKSkp&amp;WINDOW=FIRST_POPUP&amp;HEIGHT=450&amp;WIDTH=450&amp;START_MAXIMIZED=FALSE&amp;VAR:CALENDAR=US&amp;VAR:SYMBOL=YRCW"}</definedName>
    <definedName name="_430__FDSAUDITLINK__" localSheetId="6" hidden="1">{"fdsup://directions/FAT%20Viewer?VAR:PED=LTM&amp;VAR:AUDIT_MODE=SUMMARY&amp;VAR:PERIOD=FIXED&amp;VAR:AUDIT_ID=00000117&amp;VAR:DATE=20081218&amp;action=UPDATE&amp;creator=factset&amp;DOC_NAME=FAT:FMA_audit_SUMMARY.fat&amp;DISPLAY_STRING=Display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0__FDSAUDITLINK__" hidden="1">{"fdsup://directions/FAT%20Viewer?VAR:PED=LTM&amp;VAR:AUDIT_MODE=SUMMARY&amp;VAR:PERIOD=FIXED&amp;VAR:AUDIT_ID=00000117&amp;VAR:DATE=20081218&amp;action=UPDATE&amp;creator=factset&amp;DOC_NAME=FAT:FMA_audit_SUMMARY.fat&amp;DISPLAY_STRING=Display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00__FDSAUDITLINK__" localSheetId="6" hidden="1">{"fdsup://directions/FAT Viewer?action=UPDATE&amp;creator=factset&amp;DYN_ARGS=TRUE&amp;DOC_NAME=FAT:FQL_AUDITING_CLIENT_TEMPLATE.FAT&amp;display_string=Audit&amp;VAR:KEY=RABOHOVWTG&amp;VAR:QUERY=RkZfRUJJVERBX0lCKCdMVE1TJywzOTU4NSk=&amp;WINDOW=FIRST_POPUP&amp;HEIGHT=450&amp;WIDTH=450&amp;START_MA","XIMIZED=FALSE&amp;VAR:CALENDAR=US&amp;VAR:SYMBOL=37183T10&amp;VAR:INDEX=0"}</definedName>
    <definedName name="_4300__FDSAUDITLINK__" hidden="1">{"fdsup://directions/FAT Viewer?action=UPDATE&amp;creator=factset&amp;DYN_ARGS=TRUE&amp;DOC_NAME=FAT:FQL_AUDITING_CLIENT_TEMPLATE.FAT&amp;display_string=Audit&amp;VAR:KEY=RABOHOVWTG&amp;VAR:QUERY=RkZfRUJJVERBX0lCKCdMVE1TJywzOTU4NSk=&amp;WINDOW=FIRST_POPUP&amp;HEIGHT=450&amp;WIDTH=450&amp;START_MA","XIMIZED=FALSE&amp;VAR:CALENDAR=US&amp;VAR:SYMBOL=37183T10&amp;VAR:INDEX=0"}</definedName>
    <definedName name="_4301__FDSAUDITLINK__" localSheetId="6" hidden="1">{"fdsup://directions/FAT Viewer?action=UPDATE&amp;creator=factset&amp;DYN_ARGS=TRUE&amp;DOC_NAME=FAT:FQL_AUDITING_CLIENT_TEMPLATE.FAT&amp;display_string=Audit&amp;VAR:KEY=BGXYDIBCHI&amp;VAR:QUERY=RkZfRUJJVERBX0lCKCdMVE1TJywzOTU4NCk=&amp;WINDOW=FIRST_POPUP&amp;HEIGHT=450&amp;WIDTH=450&amp;START_MA","XIMIZED=FALSE&amp;VAR:CALENDAR=US&amp;VAR:SYMBOL=37183T10&amp;VAR:INDEX=0"}</definedName>
    <definedName name="_4301__FDSAUDITLINK__" hidden="1">{"fdsup://directions/FAT Viewer?action=UPDATE&amp;creator=factset&amp;DYN_ARGS=TRUE&amp;DOC_NAME=FAT:FQL_AUDITING_CLIENT_TEMPLATE.FAT&amp;display_string=Audit&amp;VAR:KEY=BGXYDIBCHI&amp;VAR:QUERY=RkZfRUJJVERBX0lCKCdMVE1TJywzOTU4NCk=&amp;WINDOW=FIRST_POPUP&amp;HEIGHT=450&amp;WIDTH=450&amp;START_MA","XIMIZED=FALSE&amp;VAR:CALENDAR=US&amp;VAR:SYMBOL=37183T10&amp;VAR:INDEX=0"}</definedName>
    <definedName name="_4302__FDSAUDITLINK__" localSheetId="6" hidden="1">{"fdsup://directions/FAT Viewer?action=UPDATE&amp;creator=factset&amp;DYN_ARGS=TRUE&amp;DOC_NAME=FAT:FQL_AUDITING_CLIENT_TEMPLATE.FAT&amp;display_string=Audit&amp;VAR:KEY=HKVWJSLCPY&amp;VAR:QUERY=RkZfRUJJVERBX0lCKCdMVE1TJywzOTU4Myk=&amp;WINDOW=FIRST_POPUP&amp;HEIGHT=450&amp;WIDTH=450&amp;START_MA","XIMIZED=FALSE&amp;VAR:CALENDAR=US&amp;VAR:SYMBOL=37183T10&amp;VAR:INDEX=0"}</definedName>
    <definedName name="_4302__FDSAUDITLINK__" hidden="1">{"fdsup://directions/FAT Viewer?action=UPDATE&amp;creator=factset&amp;DYN_ARGS=TRUE&amp;DOC_NAME=FAT:FQL_AUDITING_CLIENT_TEMPLATE.FAT&amp;display_string=Audit&amp;VAR:KEY=HKVWJSLCPY&amp;VAR:QUERY=RkZfRUJJVERBX0lCKCdMVE1TJywzOTU4Myk=&amp;WINDOW=FIRST_POPUP&amp;HEIGHT=450&amp;WIDTH=450&amp;START_MA","XIMIZED=FALSE&amp;VAR:CALENDAR=US&amp;VAR:SYMBOL=37183T10&amp;VAR:INDEX=0"}</definedName>
    <definedName name="_4303__FDSAUDITLINK__" localSheetId="6" hidden="1">{"fdsup://directions/FAT Viewer?action=UPDATE&amp;creator=factset&amp;DYN_ARGS=TRUE&amp;DOC_NAME=FAT:FQL_AUDITING_CLIENT_TEMPLATE.FAT&amp;display_string=Audit&amp;VAR:KEY=JALYVGHARQ&amp;VAR:QUERY=RkZfRUJJVERBX0lCKCdMVE1TJywzOTU4Mik=&amp;WINDOW=FIRST_POPUP&amp;HEIGHT=450&amp;WIDTH=450&amp;START_MA","XIMIZED=FALSE&amp;VAR:CALENDAR=US&amp;VAR:SYMBOL=37183T10&amp;VAR:INDEX=0"}</definedName>
    <definedName name="_4303__FDSAUDITLINK__" hidden="1">{"fdsup://directions/FAT Viewer?action=UPDATE&amp;creator=factset&amp;DYN_ARGS=TRUE&amp;DOC_NAME=FAT:FQL_AUDITING_CLIENT_TEMPLATE.FAT&amp;display_string=Audit&amp;VAR:KEY=JALYVGHARQ&amp;VAR:QUERY=RkZfRUJJVERBX0lCKCdMVE1TJywzOTU4Mik=&amp;WINDOW=FIRST_POPUP&amp;HEIGHT=450&amp;WIDTH=450&amp;START_MA","XIMIZED=FALSE&amp;VAR:CALENDAR=US&amp;VAR:SYMBOL=37183T10&amp;VAR:INDEX=0"}</definedName>
    <definedName name="_4304__FDSAUDITLINK__" localSheetId="6" hidden="1">{"fdsup://directions/FAT Viewer?action=UPDATE&amp;creator=factset&amp;DYN_ARGS=TRUE&amp;DOC_NAME=FAT:FQL_AUDITING_CLIENT_TEMPLATE.FAT&amp;display_string=Audit&amp;VAR:KEY=PQDWPAXQFC&amp;VAR:QUERY=RkZfRUJJVERBX0lCKCdMVE1TJywzOTU4MSk=&amp;WINDOW=FIRST_POPUP&amp;HEIGHT=450&amp;WIDTH=450&amp;START_MA","XIMIZED=FALSE&amp;VAR:CALENDAR=US&amp;VAR:SYMBOL=37183T10&amp;VAR:INDEX=0"}</definedName>
    <definedName name="_4304__FDSAUDITLINK__" hidden="1">{"fdsup://directions/FAT Viewer?action=UPDATE&amp;creator=factset&amp;DYN_ARGS=TRUE&amp;DOC_NAME=FAT:FQL_AUDITING_CLIENT_TEMPLATE.FAT&amp;display_string=Audit&amp;VAR:KEY=PQDWPAXQFC&amp;VAR:QUERY=RkZfRUJJVERBX0lCKCdMVE1TJywzOTU4MSk=&amp;WINDOW=FIRST_POPUP&amp;HEIGHT=450&amp;WIDTH=450&amp;START_MA","XIMIZED=FALSE&amp;VAR:CALENDAR=US&amp;VAR:SYMBOL=37183T10&amp;VAR:INDEX=0"}</definedName>
    <definedName name="_4305__FDSAUDITLINK__" localSheetId="6" hidden="1">{"fdsup://directions/FAT Viewer?action=UPDATE&amp;creator=factset&amp;DYN_ARGS=TRUE&amp;DOC_NAME=FAT:FQL_AUDITING_CLIENT_TEMPLATE.FAT&amp;display_string=Audit&amp;VAR:KEY=TYTYXEXEVW&amp;VAR:QUERY=RkZfRUJJVERBX0lCKCdMVE1TJywzOTU4MCk=&amp;WINDOW=FIRST_POPUP&amp;HEIGHT=450&amp;WIDTH=450&amp;START_MA","XIMIZED=FALSE&amp;VAR:CALENDAR=US&amp;VAR:SYMBOL=37183T10&amp;VAR:INDEX=0"}</definedName>
    <definedName name="_4305__FDSAUDITLINK__" hidden="1">{"fdsup://directions/FAT Viewer?action=UPDATE&amp;creator=factset&amp;DYN_ARGS=TRUE&amp;DOC_NAME=FAT:FQL_AUDITING_CLIENT_TEMPLATE.FAT&amp;display_string=Audit&amp;VAR:KEY=TYTYXEXEVW&amp;VAR:QUERY=RkZfRUJJVERBX0lCKCdMVE1TJywzOTU4MCk=&amp;WINDOW=FIRST_POPUP&amp;HEIGHT=450&amp;WIDTH=450&amp;START_MA","XIMIZED=FALSE&amp;VAR:CALENDAR=US&amp;VAR:SYMBOL=37183T10&amp;VAR:INDEX=0"}</definedName>
    <definedName name="_4306__FDSAUDITLINK__" localSheetId="6" hidden="1">{"fdsup://directions/FAT Viewer?action=UPDATE&amp;creator=factset&amp;DYN_ARGS=TRUE&amp;DOC_NAME=FAT:FQL_AUDITING_CLIENT_TEMPLATE.FAT&amp;display_string=Audit&amp;VAR:KEY=BKJGNINUBC&amp;VAR:QUERY=RkZfRUJJVERBX0lCKCdMVE1TJywzOTU3OSk=&amp;WINDOW=FIRST_POPUP&amp;HEIGHT=450&amp;WIDTH=450&amp;START_MA","XIMIZED=FALSE&amp;VAR:CALENDAR=US&amp;VAR:SYMBOL=37183T10&amp;VAR:INDEX=0"}</definedName>
    <definedName name="_4306__FDSAUDITLINK__" hidden="1">{"fdsup://directions/FAT Viewer?action=UPDATE&amp;creator=factset&amp;DYN_ARGS=TRUE&amp;DOC_NAME=FAT:FQL_AUDITING_CLIENT_TEMPLATE.FAT&amp;display_string=Audit&amp;VAR:KEY=BKJGNINUBC&amp;VAR:QUERY=RkZfRUJJVERBX0lCKCdMVE1TJywzOTU3OSk=&amp;WINDOW=FIRST_POPUP&amp;HEIGHT=450&amp;WIDTH=450&amp;START_MA","XIMIZED=FALSE&amp;VAR:CALENDAR=US&amp;VAR:SYMBOL=37183T10&amp;VAR:INDEX=0"}</definedName>
    <definedName name="_4307__FDSAUDITLINK__" localSheetId="6" hidden="1">{"fdsup://directions/FAT Viewer?action=UPDATE&amp;creator=factset&amp;DYN_ARGS=TRUE&amp;DOC_NAME=FAT:FQL_AUDITING_CLIENT_TEMPLATE.FAT&amp;display_string=Audit&amp;VAR:KEY=TGLMTMROVW&amp;VAR:QUERY=RkZfRUJJVERBX0lCKCdMVE1TJywzOTU3OCk=&amp;WINDOW=FIRST_POPUP&amp;HEIGHT=450&amp;WIDTH=450&amp;START_MA","XIMIZED=FALSE&amp;VAR:CALENDAR=US&amp;VAR:SYMBOL=37183T10&amp;VAR:INDEX=0"}</definedName>
    <definedName name="_4307__FDSAUDITLINK__" hidden="1">{"fdsup://directions/FAT Viewer?action=UPDATE&amp;creator=factset&amp;DYN_ARGS=TRUE&amp;DOC_NAME=FAT:FQL_AUDITING_CLIENT_TEMPLATE.FAT&amp;display_string=Audit&amp;VAR:KEY=TGLMTMROVW&amp;VAR:QUERY=RkZfRUJJVERBX0lCKCdMVE1TJywzOTU3OCk=&amp;WINDOW=FIRST_POPUP&amp;HEIGHT=450&amp;WIDTH=450&amp;START_MA","XIMIZED=FALSE&amp;VAR:CALENDAR=US&amp;VAR:SYMBOL=37183T10&amp;VAR:INDEX=0"}</definedName>
    <definedName name="_4308__FDSAUDITLINK__" localSheetId="6" hidden="1">{"fdsup://directions/FAT Viewer?action=UPDATE&amp;creator=factset&amp;DYN_ARGS=TRUE&amp;DOC_NAME=FAT:FQL_AUDITING_CLIENT_TEMPLATE.FAT&amp;display_string=Audit&amp;VAR:KEY=XIHCHSXSNS&amp;VAR:QUERY=RkZfRUJJVERBX0lCKCdMVE1TJywzOTU3Nyk=&amp;WINDOW=FIRST_POPUP&amp;HEIGHT=450&amp;WIDTH=450&amp;START_MA","XIMIZED=FALSE&amp;VAR:CALENDAR=US&amp;VAR:SYMBOL=37183T10&amp;VAR:INDEX=0"}</definedName>
    <definedName name="_4308__FDSAUDITLINK__" hidden="1">{"fdsup://directions/FAT Viewer?action=UPDATE&amp;creator=factset&amp;DYN_ARGS=TRUE&amp;DOC_NAME=FAT:FQL_AUDITING_CLIENT_TEMPLATE.FAT&amp;display_string=Audit&amp;VAR:KEY=XIHCHSXSNS&amp;VAR:QUERY=RkZfRUJJVERBX0lCKCdMVE1TJywzOTU3Nyk=&amp;WINDOW=FIRST_POPUP&amp;HEIGHT=450&amp;WIDTH=450&amp;START_MA","XIMIZED=FALSE&amp;VAR:CALENDAR=US&amp;VAR:SYMBOL=37183T10&amp;VAR:INDEX=0"}</definedName>
    <definedName name="_4309__FDSAUDITLINK__" localSheetId="6" hidden="1">{"fdsup://directions/FAT Viewer?action=UPDATE&amp;creator=factset&amp;DYN_ARGS=TRUE&amp;DOC_NAME=FAT:FQL_AUDITING_CLIENT_TEMPLATE.FAT&amp;display_string=Audit&amp;VAR:KEY=JGHWNMPWTO&amp;VAR:QUERY=RkZfRUJJVERBX0lCKCdMVE1TJywzOTU3Nik=&amp;WINDOW=FIRST_POPUP&amp;HEIGHT=450&amp;WIDTH=450&amp;START_MA","XIMIZED=FALSE&amp;VAR:CALENDAR=US&amp;VAR:SYMBOL=37183T10&amp;VAR:INDEX=0"}</definedName>
    <definedName name="_4309__FDSAUDITLINK__" hidden="1">{"fdsup://directions/FAT Viewer?action=UPDATE&amp;creator=factset&amp;DYN_ARGS=TRUE&amp;DOC_NAME=FAT:FQL_AUDITING_CLIENT_TEMPLATE.FAT&amp;display_string=Audit&amp;VAR:KEY=JGHWNMPWTO&amp;VAR:QUERY=RkZfRUJJVERBX0lCKCdMVE1TJywzOTU3Nik=&amp;WINDOW=FIRST_POPUP&amp;HEIGHT=450&amp;WIDTH=450&amp;START_MA","XIMIZED=FALSE&amp;VAR:CALENDAR=US&amp;VAR:SYMBOL=37183T10&amp;VAR:INDEX=0"}</definedName>
    <definedName name="_431__FDSAUDITLINK__" localSheetId="6" hidden="1">{"fdsup://directions/FAT%20Viewer?VAR:PED=LTM&amp;VAR:AUDIT_MODE=SUMMARY&amp;VAR:PERIOD=FIXED&amp;VAR:AUDIT_ID=00000117&amp;VAR:DATE=20081217&amp;action=UPDATE&amp;creator=factset&amp;DOC_NAME=FAT:FMA_audit_SUMMARY.fat&amp;DISPLAY_STRING=Display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1__FDSAUDITLINK__" hidden="1">{"fdsup://directions/FAT%20Viewer?VAR:PED=LTM&amp;VAR:AUDIT_MODE=SUMMARY&amp;VAR:PERIOD=FIXED&amp;VAR:AUDIT_ID=00000117&amp;VAR:DATE=20081217&amp;action=UPDATE&amp;creator=factset&amp;DOC_NAME=FAT:FMA_audit_SUMMARY.fat&amp;DISPLAY_STRING=Display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10__FDSAUDITLINK__" localSheetId="6" hidden="1">{"fdsup://directions/FAT Viewer?action=UPDATE&amp;creator=factset&amp;DYN_ARGS=TRUE&amp;DOC_NAME=FAT:FQL_AUDITING_CLIENT_TEMPLATE.FAT&amp;display_string=Audit&amp;VAR:KEY=POVAXAPARM&amp;VAR:QUERY=RkZfRUJJVERBX0lCKCdMVE1TJywzOTU3NSk=&amp;WINDOW=FIRST_POPUP&amp;HEIGHT=450&amp;WIDTH=450&amp;START_MA","XIMIZED=FALSE&amp;VAR:CALENDAR=US&amp;VAR:SYMBOL=37183T10&amp;VAR:INDEX=0"}</definedName>
    <definedName name="_4310__FDSAUDITLINK__" hidden="1">{"fdsup://directions/FAT Viewer?action=UPDATE&amp;creator=factset&amp;DYN_ARGS=TRUE&amp;DOC_NAME=FAT:FQL_AUDITING_CLIENT_TEMPLATE.FAT&amp;display_string=Audit&amp;VAR:KEY=POVAXAPARM&amp;VAR:QUERY=RkZfRUJJVERBX0lCKCdMVE1TJywzOTU3NSk=&amp;WINDOW=FIRST_POPUP&amp;HEIGHT=450&amp;WIDTH=450&amp;START_MA","XIMIZED=FALSE&amp;VAR:CALENDAR=US&amp;VAR:SYMBOL=37183T10&amp;VAR:INDEX=0"}</definedName>
    <definedName name="_4311__FDSAUDITLINK__" localSheetId="6" hidden="1">{"fdsup://directions/FAT Viewer?action=UPDATE&amp;creator=factset&amp;DYN_ARGS=TRUE&amp;DOC_NAME=FAT:FQL_AUDITING_CLIENT_TEMPLATE.FAT&amp;display_string=Audit&amp;VAR:KEY=ZSTIPKDKRQ&amp;VAR:QUERY=RkZfRUJJVERBX0lCKCdMVE1TJywzOTU3NCk=&amp;WINDOW=FIRST_POPUP&amp;HEIGHT=450&amp;WIDTH=450&amp;START_MA","XIMIZED=FALSE&amp;VAR:CALENDAR=US&amp;VAR:SYMBOL=37183T10&amp;VAR:INDEX=0"}</definedName>
    <definedName name="_4311__FDSAUDITLINK__" hidden="1">{"fdsup://directions/FAT Viewer?action=UPDATE&amp;creator=factset&amp;DYN_ARGS=TRUE&amp;DOC_NAME=FAT:FQL_AUDITING_CLIENT_TEMPLATE.FAT&amp;display_string=Audit&amp;VAR:KEY=ZSTIPKDKRQ&amp;VAR:QUERY=RkZfRUJJVERBX0lCKCdMVE1TJywzOTU3NCk=&amp;WINDOW=FIRST_POPUP&amp;HEIGHT=450&amp;WIDTH=450&amp;START_MA","XIMIZED=FALSE&amp;VAR:CALENDAR=US&amp;VAR:SYMBOL=37183T10&amp;VAR:INDEX=0"}</definedName>
    <definedName name="_4312__FDSAUDITLINK__" localSheetId="6" hidden="1">{"fdsup://directions/FAT Viewer?action=UPDATE&amp;creator=factset&amp;DYN_ARGS=TRUE&amp;DOC_NAME=FAT:FQL_AUDITING_CLIENT_TEMPLATE.FAT&amp;display_string=Audit&amp;VAR:KEY=LUNWDMVCNO&amp;VAR:QUERY=RkZfRUJJVERBX0lCKCdMVE1TJywzOTU3Myk=&amp;WINDOW=FIRST_POPUP&amp;HEIGHT=450&amp;WIDTH=450&amp;START_MA","XIMIZED=FALSE&amp;VAR:CALENDAR=US&amp;VAR:SYMBOL=37183T10&amp;VAR:INDEX=0"}</definedName>
    <definedName name="_4312__FDSAUDITLINK__" hidden="1">{"fdsup://directions/FAT Viewer?action=UPDATE&amp;creator=factset&amp;DYN_ARGS=TRUE&amp;DOC_NAME=FAT:FQL_AUDITING_CLIENT_TEMPLATE.FAT&amp;display_string=Audit&amp;VAR:KEY=LUNWDMVCNO&amp;VAR:QUERY=RkZfRUJJVERBX0lCKCdMVE1TJywzOTU3Myk=&amp;WINDOW=FIRST_POPUP&amp;HEIGHT=450&amp;WIDTH=450&amp;START_MA","XIMIZED=FALSE&amp;VAR:CALENDAR=US&amp;VAR:SYMBOL=37183T10&amp;VAR:INDEX=0"}</definedName>
    <definedName name="_4313__FDSAUDITLINK__" localSheetId="6" hidden="1">{"fdsup://directions/FAT Viewer?action=UPDATE&amp;creator=factset&amp;DYN_ARGS=TRUE&amp;DOC_NAME=FAT:FQL_AUDITING_CLIENT_TEMPLATE.FAT&amp;display_string=Audit&amp;VAR:KEY=VETIDATEDE&amp;VAR:QUERY=RkZfRUJJVERBX0lCKCdMVE1TJywzOTU3Mik=&amp;WINDOW=FIRST_POPUP&amp;HEIGHT=450&amp;WIDTH=450&amp;START_MA","XIMIZED=FALSE&amp;VAR:CALENDAR=US&amp;VAR:SYMBOL=37183T10&amp;VAR:INDEX=0"}</definedName>
    <definedName name="_4313__FDSAUDITLINK__" hidden="1">{"fdsup://directions/FAT Viewer?action=UPDATE&amp;creator=factset&amp;DYN_ARGS=TRUE&amp;DOC_NAME=FAT:FQL_AUDITING_CLIENT_TEMPLATE.FAT&amp;display_string=Audit&amp;VAR:KEY=VETIDATEDE&amp;VAR:QUERY=RkZfRUJJVERBX0lCKCdMVE1TJywzOTU3Mik=&amp;WINDOW=FIRST_POPUP&amp;HEIGHT=450&amp;WIDTH=450&amp;START_MA","XIMIZED=FALSE&amp;VAR:CALENDAR=US&amp;VAR:SYMBOL=37183T10&amp;VAR:INDEX=0"}</definedName>
    <definedName name="_4314__FDSAUDITLINK__" localSheetId="6" hidden="1">{"fdsup://directions/FAT Viewer?action=UPDATE&amp;creator=factset&amp;DYN_ARGS=TRUE&amp;DOC_NAME=FAT:FQL_AUDITING_CLIENT_TEMPLATE.FAT&amp;display_string=Audit&amp;VAR:KEY=NWJUBWDWJY&amp;VAR:QUERY=RkZfRUJJVERBX0lCKCdMVE1TJywzOTU3MSk=&amp;WINDOW=FIRST_POPUP&amp;HEIGHT=450&amp;WIDTH=450&amp;START_MA","XIMIZED=FALSE&amp;VAR:CALENDAR=US&amp;VAR:SYMBOL=37183T10&amp;VAR:INDEX=0"}</definedName>
    <definedName name="_4314__FDSAUDITLINK__" hidden="1">{"fdsup://directions/FAT Viewer?action=UPDATE&amp;creator=factset&amp;DYN_ARGS=TRUE&amp;DOC_NAME=FAT:FQL_AUDITING_CLIENT_TEMPLATE.FAT&amp;display_string=Audit&amp;VAR:KEY=NWJUBWDWJY&amp;VAR:QUERY=RkZfRUJJVERBX0lCKCdMVE1TJywzOTU3MSk=&amp;WINDOW=FIRST_POPUP&amp;HEIGHT=450&amp;WIDTH=450&amp;START_MA","XIMIZED=FALSE&amp;VAR:CALENDAR=US&amp;VAR:SYMBOL=37183T10&amp;VAR:INDEX=0"}</definedName>
    <definedName name="_4315__FDSAUDITLINK__" localSheetId="6" hidden="1">{"fdsup://directions/FAT Viewer?action=UPDATE&amp;creator=factset&amp;DYN_ARGS=TRUE&amp;DOC_NAME=FAT:FQL_AUDITING_CLIENT_TEMPLATE.FAT&amp;display_string=Audit&amp;VAR:KEY=JUBETIBAPY&amp;VAR:QUERY=RkZfRUJJVERBX0lCKCdMVE1TJywzOTU3MCk=&amp;WINDOW=FIRST_POPUP&amp;HEIGHT=450&amp;WIDTH=450&amp;START_MA","XIMIZED=FALSE&amp;VAR:CALENDAR=US&amp;VAR:SYMBOL=37183T10&amp;VAR:INDEX=0"}</definedName>
    <definedName name="_4315__FDSAUDITLINK__" hidden="1">{"fdsup://directions/FAT Viewer?action=UPDATE&amp;creator=factset&amp;DYN_ARGS=TRUE&amp;DOC_NAME=FAT:FQL_AUDITING_CLIENT_TEMPLATE.FAT&amp;display_string=Audit&amp;VAR:KEY=JUBETIBAPY&amp;VAR:QUERY=RkZfRUJJVERBX0lCKCdMVE1TJywzOTU3MCk=&amp;WINDOW=FIRST_POPUP&amp;HEIGHT=450&amp;WIDTH=450&amp;START_MA","XIMIZED=FALSE&amp;VAR:CALENDAR=US&amp;VAR:SYMBOL=37183T10&amp;VAR:INDEX=0"}</definedName>
    <definedName name="_4316__FDSAUDITLINK__" localSheetId="6" hidden="1">{"fdsup://directions/FAT Viewer?action=UPDATE&amp;creator=factset&amp;DYN_ARGS=TRUE&amp;DOC_NAME=FAT:FQL_AUDITING_CLIENT_TEMPLATE.FAT&amp;display_string=Audit&amp;VAR:KEY=LSDYHODQFS&amp;VAR:QUERY=RkZfRUJJVERBX0lCKCdMVE1TJywzOTU2OSk=&amp;WINDOW=FIRST_POPUP&amp;HEIGHT=450&amp;WIDTH=450&amp;START_MA","XIMIZED=FALSE&amp;VAR:CALENDAR=US&amp;VAR:SYMBOL=37183T10&amp;VAR:INDEX=0"}</definedName>
    <definedName name="_4316__FDSAUDITLINK__" hidden="1">{"fdsup://directions/FAT Viewer?action=UPDATE&amp;creator=factset&amp;DYN_ARGS=TRUE&amp;DOC_NAME=FAT:FQL_AUDITING_CLIENT_TEMPLATE.FAT&amp;display_string=Audit&amp;VAR:KEY=LSDYHODQFS&amp;VAR:QUERY=RkZfRUJJVERBX0lCKCdMVE1TJywzOTU2OSk=&amp;WINDOW=FIRST_POPUP&amp;HEIGHT=450&amp;WIDTH=450&amp;START_MA","XIMIZED=FALSE&amp;VAR:CALENDAR=US&amp;VAR:SYMBOL=37183T10&amp;VAR:INDEX=0"}</definedName>
    <definedName name="_4317__FDSAUDITLINK__" localSheetId="6" hidden="1">{"fdsup://directions/FAT Viewer?action=UPDATE&amp;creator=factset&amp;DYN_ARGS=TRUE&amp;DOC_NAME=FAT:FQL_AUDITING_CLIENT_TEMPLATE.FAT&amp;display_string=Audit&amp;VAR:KEY=XWZWTWZURK&amp;VAR:QUERY=RkZfRUJJVERBX0lCKCdMVE1TJywzOTU2OCk=&amp;WINDOW=FIRST_POPUP&amp;HEIGHT=450&amp;WIDTH=450&amp;START_MA","XIMIZED=FALSE&amp;VAR:CALENDAR=US&amp;VAR:SYMBOL=37183T10&amp;VAR:INDEX=0"}</definedName>
    <definedName name="_4317__FDSAUDITLINK__" hidden="1">{"fdsup://directions/FAT Viewer?action=UPDATE&amp;creator=factset&amp;DYN_ARGS=TRUE&amp;DOC_NAME=FAT:FQL_AUDITING_CLIENT_TEMPLATE.FAT&amp;display_string=Audit&amp;VAR:KEY=XWZWTWZURK&amp;VAR:QUERY=RkZfRUJJVERBX0lCKCdMVE1TJywzOTU2OCk=&amp;WINDOW=FIRST_POPUP&amp;HEIGHT=450&amp;WIDTH=450&amp;START_MA","XIMIZED=FALSE&amp;VAR:CALENDAR=US&amp;VAR:SYMBOL=37183T10&amp;VAR:INDEX=0"}</definedName>
    <definedName name="_4318__FDSAUDITLINK__" localSheetId="6" hidden="1">{"fdsup://directions/FAT Viewer?action=UPDATE&amp;creator=factset&amp;DYN_ARGS=TRUE&amp;DOC_NAME=FAT:FQL_AUDITING_CLIENT_TEMPLATE.FAT&amp;display_string=Audit&amp;VAR:KEY=RQJMNGDWNE&amp;VAR:QUERY=RkZfRUJJVERBX0lCKCdMVE1TJywzOTU2Nyk=&amp;WINDOW=FIRST_POPUP&amp;HEIGHT=450&amp;WIDTH=450&amp;START_MA","XIMIZED=FALSE&amp;VAR:CALENDAR=US&amp;VAR:SYMBOL=37183T10&amp;VAR:INDEX=0"}</definedName>
    <definedName name="_4318__FDSAUDITLINK__" hidden="1">{"fdsup://directions/FAT Viewer?action=UPDATE&amp;creator=factset&amp;DYN_ARGS=TRUE&amp;DOC_NAME=FAT:FQL_AUDITING_CLIENT_TEMPLATE.FAT&amp;display_string=Audit&amp;VAR:KEY=RQJMNGDWNE&amp;VAR:QUERY=RkZfRUJJVERBX0lCKCdMVE1TJywzOTU2Nyk=&amp;WINDOW=FIRST_POPUP&amp;HEIGHT=450&amp;WIDTH=450&amp;START_MA","XIMIZED=FALSE&amp;VAR:CALENDAR=US&amp;VAR:SYMBOL=37183T10&amp;VAR:INDEX=0"}</definedName>
    <definedName name="_4319__FDSAUDITLINK__" localSheetId="6" hidden="1">{"fdsup://directions/FAT Viewer?action=UPDATE&amp;creator=factset&amp;DYN_ARGS=TRUE&amp;DOC_NAME=FAT:FQL_AUDITING_CLIENT_TEMPLATE.FAT&amp;display_string=Audit&amp;VAR:KEY=REXQFIDARC&amp;VAR:QUERY=RkZfRUJJVERBX0lCKCdMVE1TJywzOTU2Nik=&amp;WINDOW=FIRST_POPUP&amp;HEIGHT=450&amp;WIDTH=450&amp;START_MA","XIMIZED=FALSE&amp;VAR:CALENDAR=US&amp;VAR:SYMBOL=37183T10&amp;VAR:INDEX=0"}</definedName>
    <definedName name="_4319__FDSAUDITLINK__" hidden="1">{"fdsup://directions/FAT Viewer?action=UPDATE&amp;creator=factset&amp;DYN_ARGS=TRUE&amp;DOC_NAME=FAT:FQL_AUDITING_CLIENT_TEMPLATE.FAT&amp;display_string=Audit&amp;VAR:KEY=REXQFIDARC&amp;VAR:QUERY=RkZfRUJJVERBX0lCKCdMVE1TJywzOTU2Nik=&amp;WINDOW=FIRST_POPUP&amp;HEIGHT=450&amp;WIDTH=450&amp;START_MA","XIMIZED=FALSE&amp;VAR:CALENDAR=US&amp;VAR:SYMBOL=37183T10&amp;VAR:INDEX=0"}</definedName>
    <definedName name="_432__FDSAUDITLINK__" localSheetId="6" hidden="1">{"fdsup://directions/FAT%20Viewer?VAR:PED=LTM&amp;VAR:AUDIT_MODE=SUMMARY&amp;VAR:PERIOD=FIXED&amp;VAR:AUDIT_ID=00000117&amp;VAR:DATE=20081216&amp;action=UPDATE&amp;creator=factset&amp;DOC_NAME=FAT:FMA_audit_SUMMARY.fat&amp;DISPLAY_STRING=Display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2__FDSAUDITLINK__" hidden="1">{"fdsup://directions/FAT%20Viewer?VAR:PED=LTM&amp;VAR:AUDIT_MODE=SUMMARY&amp;VAR:PERIOD=FIXED&amp;VAR:AUDIT_ID=00000117&amp;VAR:DATE=20081216&amp;action=UPDATE&amp;creator=factset&amp;DOC_NAME=FAT:FMA_audit_SUMMARY.fat&amp;DISPLAY_STRING=Display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20__FDSAUDITLINK__" localSheetId="6" hidden="1">{"fdsup://directions/FAT Viewer?action=UPDATE&amp;creator=factset&amp;DYN_ARGS=TRUE&amp;DOC_NAME=FAT:FQL_AUDITING_CLIENT_TEMPLATE.FAT&amp;display_string=Audit&amp;VAR:KEY=LGRYVKZEVW&amp;VAR:QUERY=RkZfRUJJVERBX0lCKCdMVE1TJywzOTU2NSk=&amp;WINDOW=FIRST_POPUP&amp;HEIGHT=450&amp;WIDTH=450&amp;START_MA","XIMIZED=FALSE&amp;VAR:CALENDAR=US&amp;VAR:SYMBOL=37183T10&amp;VAR:INDEX=0"}</definedName>
    <definedName name="_4320__FDSAUDITLINK__" hidden="1">{"fdsup://directions/FAT Viewer?action=UPDATE&amp;creator=factset&amp;DYN_ARGS=TRUE&amp;DOC_NAME=FAT:FQL_AUDITING_CLIENT_TEMPLATE.FAT&amp;display_string=Audit&amp;VAR:KEY=LGRYVKZEVW&amp;VAR:QUERY=RkZfRUJJVERBX0lCKCdMVE1TJywzOTU2NSk=&amp;WINDOW=FIRST_POPUP&amp;HEIGHT=450&amp;WIDTH=450&amp;START_MA","XIMIZED=FALSE&amp;VAR:CALENDAR=US&amp;VAR:SYMBOL=37183T10&amp;VAR:INDEX=0"}</definedName>
    <definedName name="_4321__FDSAUDITLINK__" localSheetId="6" hidden="1">{"fdsup://directions/FAT Viewer?action=UPDATE&amp;creator=factset&amp;DYN_ARGS=TRUE&amp;DOC_NAME=FAT:FQL_AUDITING_CLIENT_TEMPLATE.FAT&amp;display_string=Audit&amp;VAR:KEY=RIVGNGHOLC&amp;VAR:QUERY=RkZfRUJJVERBX0lCKCdMVE1TJywzOTU2NCk=&amp;WINDOW=FIRST_POPUP&amp;HEIGHT=450&amp;WIDTH=450&amp;START_MA","XIMIZED=FALSE&amp;VAR:CALENDAR=US&amp;VAR:SYMBOL=37183T10&amp;VAR:INDEX=0"}</definedName>
    <definedName name="_4321__FDSAUDITLINK__" hidden="1">{"fdsup://directions/FAT Viewer?action=UPDATE&amp;creator=factset&amp;DYN_ARGS=TRUE&amp;DOC_NAME=FAT:FQL_AUDITING_CLIENT_TEMPLATE.FAT&amp;display_string=Audit&amp;VAR:KEY=RIVGNGHOLC&amp;VAR:QUERY=RkZfRUJJVERBX0lCKCdMVE1TJywzOTU2NCk=&amp;WINDOW=FIRST_POPUP&amp;HEIGHT=450&amp;WIDTH=450&amp;START_MA","XIMIZED=FALSE&amp;VAR:CALENDAR=US&amp;VAR:SYMBOL=37183T10&amp;VAR:INDEX=0"}</definedName>
    <definedName name="_4322__FDSAUDITLINK__" localSheetId="6" hidden="1">{"fdsup://directions/FAT Viewer?action=UPDATE&amp;creator=factset&amp;DYN_ARGS=TRUE&amp;DOC_NAME=FAT:FQL_AUDITING_CLIENT_TEMPLATE.FAT&amp;display_string=Audit&amp;VAR:KEY=VIHOBCHGFW&amp;VAR:QUERY=RkZfRUJJVERBX0lCKCdMVE1TJywzOTU2Myk=&amp;WINDOW=FIRST_POPUP&amp;HEIGHT=450&amp;WIDTH=450&amp;START_MA","XIMIZED=FALSE&amp;VAR:CALENDAR=US&amp;VAR:SYMBOL=37183T10&amp;VAR:INDEX=0"}</definedName>
    <definedName name="_4322__FDSAUDITLINK__" hidden="1">{"fdsup://directions/FAT Viewer?action=UPDATE&amp;creator=factset&amp;DYN_ARGS=TRUE&amp;DOC_NAME=FAT:FQL_AUDITING_CLIENT_TEMPLATE.FAT&amp;display_string=Audit&amp;VAR:KEY=VIHOBCHGFW&amp;VAR:QUERY=RkZfRUJJVERBX0lCKCdMVE1TJywzOTU2Myk=&amp;WINDOW=FIRST_POPUP&amp;HEIGHT=450&amp;WIDTH=450&amp;START_MA","XIMIZED=FALSE&amp;VAR:CALENDAR=US&amp;VAR:SYMBOL=37183T10&amp;VAR:INDEX=0"}</definedName>
    <definedName name="_4323__FDSAUDITLINK__" localSheetId="6" hidden="1">{"fdsup://directions/FAT Viewer?action=UPDATE&amp;creator=factset&amp;DYN_ARGS=TRUE&amp;DOC_NAME=FAT:FQL_AUDITING_CLIENT_TEMPLATE.FAT&amp;display_string=Audit&amp;VAR:KEY=JUFYXIDGVS&amp;VAR:QUERY=RkZfRUJJVERBX0lCKCdMVE1TJywzOTU2Mik=&amp;WINDOW=FIRST_POPUP&amp;HEIGHT=450&amp;WIDTH=450&amp;START_MA","XIMIZED=FALSE&amp;VAR:CALENDAR=US&amp;VAR:SYMBOL=37183T10&amp;VAR:INDEX=0"}</definedName>
    <definedName name="_4323__FDSAUDITLINK__" hidden="1">{"fdsup://directions/FAT Viewer?action=UPDATE&amp;creator=factset&amp;DYN_ARGS=TRUE&amp;DOC_NAME=FAT:FQL_AUDITING_CLIENT_TEMPLATE.FAT&amp;display_string=Audit&amp;VAR:KEY=JUFYXIDGVS&amp;VAR:QUERY=RkZfRUJJVERBX0lCKCdMVE1TJywzOTU2Mik=&amp;WINDOW=FIRST_POPUP&amp;HEIGHT=450&amp;WIDTH=450&amp;START_MA","XIMIZED=FALSE&amp;VAR:CALENDAR=US&amp;VAR:SYMBOL=37183T10&amp;VAR:INDEX=0"}</definedName>
    <definedName name="_4324__FDSAUDITLINK__" localSheetId="6" hidden="1">{"fdsup://directions/FAT Viewer?action=UPDATE&amp;creator=factset&amp;DYN_ARGS=TRUE&amp;DOC_NAME=FAT:FQL_AUDITING_CLIENT_TEMPLATE.FAT&amp;display_string=Audit&amp;VAR:KEY=TMXARWZAZY&amp;VAR:QUERY=RkZfRUJJVERBX0lCKCdMVE1TJywzOTU2MSk=&amp;WINDOW=FIRST_POPUP&amp;HEIGHT=450&amp;WIDTH=450&amp;START_MA","XIMIZED=FALSE&amp;VAR:CALENDAR=US&amp;VAR:SYMBOL=37183T10&amp;VAR:INDEX=0"}</definedName>
    <definedName name="_4324__FDSAUDITLINK__" hidden="1">{"fdsup://directions/FAT Viewer?action=UPDATE&amp;creator=factset&amp;DYN_ARGS=TRUE&amp;DOC_NAME=FAT:FQL_AUDITING_CLIENT_TEMPLATE.FAT&amp;display_string=Audit&amp;VAR:KEY=TMXARWZAZY&amp;VAR:QUERY=RkZfRUJJVERBX0lCKCdMVE1TJywzOTU2MSk=&amp;WINDOW=FIRST_POPUP&amp;HEIGHT=450&amp;WIDTH=450&amp;START_MA","XIMIZED=FALSE&amp;VAR:CALENDAR=US&amp;VAR:SYMBOL=37183T10&amp;VAR:INDEX=0"}</definedName>
    <definedName name="_4325__FDSAUDITLINK__" localSheetId="6" hidden="1">{"fdsup://directions/FAT Viewer?action=UPDATE&amp;creator=factset&amp;DYN_ARGS=TRUE&amp;DOC_NAME=FAT:FQL_AUDITING_CLIENT_TEMPLATE.FAT&amp;display_string=Audit&amp;VAR:KEY=LYJAHSPQPQ&amp;VAR:QUERY=RkZfRUJJVERBX0lCKCdMVE1TJywzOTU2MCk=&amp;WINDOW=FIRST_POPUP&amp;HEIGHT=450&amp;WIDTH=450&amp;START_MA","XIMIZED=FALSE&amp;VAR:CALENDAR=US&amp;VAR:SYMBOL=37183T10&amp;VAR:INDEX=0"}</definedName>
    <definedName name="_4325__FDSAUDITLINK__" hidden="1">{"fdsup://directions/FAT Viewer?action=UPDATE&amp;creator=factset&amp;DYN_ARGS=TRUE&amp;DOC_NAME=FAT:FQL_AUDITING_CLIENT_TEMPLATE.FAT&amp;display_string=Audit&amp;VAR:KEY=LYJAHSPQPQ&amp;VAR:QUERY=RkZfRUJJVERBX0lCKCdMVE1TJywzOTU2MCk=&amp;WINDOW=FIRST_POPUP&amp;HEIGHT=450&amp;WIDTH=450&amp;START_MA","XIMIZED=FALSE&amp;VAR:CALENDAR=US&amp;VAR:SYMBOL=37183T10&amp;VAR:INDEX=0"}</definedName>
    <definedName name="_4326__FDSAUDITLINK__" localSheetId="6" hidden="1">{"fdsup://directions/FAT Viewer?action=UPDATE&amp;creator=factset&amp;DYN_ARGS=TRUE&amp;DOC_NAME=FAT:FQL_AUDITING_CLIENT_TEMPLATE.FAT&amp;display_string=Audit&amp;VAR:KEY=JIFGLYBEBA&amp;VAR:QUERY=RkZfRUJJVERBX0lCKCdMVE1TJywzOTU1OSk=&amp;WINDOW=FIRST_POPUP&amp;HEIGHT=450&amp;WIDTH=450&amp;START_MA","XIMIZED=FALSE&amp;VAR:CALENDAR=US&amp;VAR:SYMBOL=37183T10&amp;VAR:INDEX=0"}</definedName>
    <definedName name="_4326__FDSAUDITLINK__" hidden="1">{"fdsup://directions/FAT Viewer?action=UPDATE&amp;creator=factset&amp;DYN_ARGS=TRUE&amp;DOC_NAME=FAT:FQL_AUDITING_CLIENT_TEMPLATE.FAT&amp;display_string=Audit&amp;VAR:KEY=JIFGLYBEBA&amp;VAR:QUERY=RkZfRUJJVERBX0lCKCdMVE1TJywzOTU1OSk=&amp;WINDOW=FIRST_POPUP&amp;HEIGHT=450&amp;WIDTH=450&amp;START_MA","XIMIZED=FALSE&amp;VAR:CALENDAR=US&amp;VAR:SYMBOL=37183T10&amp;VAR:INDEX=0"}</definedName>
    <definedName name="_4327__FDSAUDITLINK__" localSheetId="6" hidden="1">{"fdsup://directions/FAT Viewer?action=UPDATE&amp;creator=factset&amp;DYN_ARGS=TRUE&amp;DOC_NAME=FAT:FQL_AUDITING_CLIENT_TEMPLATE.FAT&amp;display_string=Audit&amp;VAR:KEY=LAPSLSPEPY&amp;VAR:QUERY=RkZfRUJJVERBX0lCKCdMVE1TJywzOTU1OCk=&amp;WINDOW=FIRST_POPUP&amp;HEIGHT=450&amp;WIDTH=450&amp;START_MA","XIMIZED=FALSE&amp;VAR:CALENDAR=US&amp;VAR:SYMBOL=37183T10&amp;VAR:INDEX=0"}</definedName>
    <definedName name="_4327__FDSAUDITLINK__" hidden="1">{"fdsup://directions/FAT Viewer?action=UPDATE&amp;creator=factset&amp;DYN_ARGS=TRUE&amp;DOC_NAME=FAT:FQL_AUDITING_CLIENT_TEMPLATE.FAT&amp;display_string=Audit&amp;VAR:KEY=LAPSLSPEPY&amp;VAR:QUERY=RkZfRUJJVERBX0lCKCdMVE1TJywzOTU1OCk=&amp;WINDOW=FIRST_POPUP&amp;HEIGHT=450&amp;WIDTH=450&amp;START_MA","XIMIZED=FALSE&amp;VAR:CALENDAR=US&amp;VAR:SYMBOL=37183T10&amp;VAR:INDEX=0"}</definedName>
    <definedName name="_4328__FDSAUDITLINK__" localSheetId="6" hidden="1">{"fdsup://directions/FAT Viewer?action=UPDATE&amp;creator=factset&amp;DYN_ARGS=TRUE&amp;DOC_NAME=FAT:FQL_AUDITING_CLIENT_TEMPLATE.FAT&amp;display_string=Audit&amp;VAR:KEY=XKLIHQJEVM&amp;VAR:QUERY=RkZfRUJJVERBX0lCKCdMVE1TJywzOTU1Nyk=&amp;WINDOW=FIRST_POPUP&amp;HEIGHT=450&amp;WIDTH=450&amp;START_MA","XIMIZED=FALSE&amp;VAR:CALENDAR=US&amp;VAR:SYMBOL=37183T10&amp;VAR:INDEX=0"}</definedName>
    <definedName name="_4328__FDSAUDITLINK__" hidden="1">{"fdsup://directions/FAT Viewer?action=UPDATE&amp;creator=factset&amp;DYN_ARGS=TRUE&amp;DOC_NAME=FAT:FQL_AUDITING_CLIENT_TEMPLATE.FAT&amp;display_string=Audit&amp;VAR:KEY=XKLIHQJEVM&amp;VAR:QUERY=RkZfRUJJVERBX0lCKCdMVE1TJywzOTU1Nyk=&amp;WINDOW=FIRST_POPUP&amp;HEIGHT=450&amp;WIDTH=450&amp;START_MA","XIMIZED=FALSE&amp;VAR:CALENDAR=US&amp;VAR:SYMBOL=37183T10&amp;VAR:INDEX=0"}</definedName>
    <definedName name="_4329__FDSAUDITLINK__" localSheetId="6" hidden="1">{"fdsup://directions/FAT Viewer?action=UPDATE&amp;creator=factset&amp;DYN_ARGS=TRUE&amp;DOC_NAME=FAT:FQL_AUDITING_CLIENT_TEMPLATE.FAT&amp;display_string=Audit&amp;VAR:KEY=FMHEVOZURK&amp;VAR:QUERY=RkZfRUJJVERBX0lCKCdMVE1TJywzOTU1Nik=&amp;WINDOW=FIRST_POPUP&amp;HEIGHT=450&amp;WIDTH=450&amp;START_MA","XIMIZED=FALSE&amp;VAR:CALENDAR=US&amp;VAR:SYMBOL=37183T10&amp;VAR:INDEX=0"}</definedName>
    <definedName name="_4329__FDSAUDITLINK__" hidden="1">{"fdsup://directions/FAT Viewer?action=UPDATE&amp;creator=factset&amp;DYN_ARGS=TRUE&amp;DOC_NAME=FAT:FQL_AUDITING_CLIENT_TEMPLATE.FAT&amp;display_string=Audit&amp;VAR:KEY=FMHEVOZURK&amp;VAR:QUERY=RkZfRUJJVERBX0lCKCdMVE1TJywzOTU1Nik=&amp;WINDOW=FIRST_POPUP&amp;HEIGHT=450&amp;WIDTH=450&amp;START_MA","XIMIZED=FALSE&amp;VAR:CALENDAR=US&amp;VAR:SYMBOL=37183T10&amp;VAR:INDEX=0"}</definedName>
    <definedName name="_433__FDSAUDITLINK__" localSheetId="6" hidden="1">{"fdsup://directions/FAT%20Viewer?VAR:PED=LTM&amp;VAR:AUDIT_MODE=SUMMARY&amp;VAR:PERIOD=FIXED&amp;VAR:AUDIT_ID=00000117&amp;VAR:DATE=20081215&amp;action=UPDATE&amp;creator=factset&amp;DOC_NAME=FAT:FMA_audit_SUMMARY.fat&amp;DISPLAY_STRING=Display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3__FDSAUDITLINK__" hidden="1">{"fdsup://directions/FAT%20Viewer?VAR:PED=LTM&amp;VAR:AUDIT_MODE=SUMMARY&amp;VAR:PERIOD=FIXED&amp;VAR:AUDIT_ID=00000117&amp;VAR:DATE=20081215&amp;action=UPDATE&amp;creator=factset&amp;DOC_NAME=FAT:FMA_audit_SUMMARY.fat&amp;DISPLAY_STRING=Display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30__FDSAUDITLINK__" localSheetId="6" hidden="1">{"fdsup://directions/FAT Viewer?action=UPDATE&amp;creator=factset&amp;DYN_ARGS=TRUE&amp;DOC_NAME=FAT:FQL_AUDITING_CLIENT_TEMPLATE.FAT&amp;display_string=Audit&amp;VAR:KEY=JUDMNMVKZE&amp;VAR:QUERY=RkZfRUJJVERBX0lCKCdMVE1TJywzOTU1NSk=&amp;WINDOW=FIRST_POPUP&amp;HEIGHT=450&amp;WIDTH=450&amp;START_MA","XIMIZED=FALSE&amp;VAR:CALENDAR=US&amp;VAR:SYMBOL=37183T10&amp;VAR:INDEX=0"}</definedName>
    <definedName name="_4330__FDSAUDITLINK__" hidden="1">{"fdsup://directions/FAT Viewer?action=UPDATE&amp;creator=factset&amp;DYN_ARGS=TRUE&amp;DOC_NAME=FAT:FQL_AUDITING_CLIENT_TEMPLATE.FAT&amp;display_string=Audit&amp;VAR:KEY=JUDMNMVKZE&amp;VAR:QUERY=RkZfRUJJVERBX0lCKCdMVE1TJywzOTU1NSk=&amp;WINDOW=FIRST_POPUP&amp;HEIGHT=450&amp;WIDTH=450&amp;START_MA","XIMIZED=FALSE&amp;VAR:CALENDAR=US&amp;VAR:SYMBOL=37183T10&amp;VAR:INDEX=0"}</definedName>
    <definedName name="_4331__FDSAUDITLINK__" localSheetId="6" hidden="1">{"fdsup://directions/FAT Viewer?action=UPDATE&amp;creator=factset&amp;DYN_ARGS=TRUE&amp;DOC_NAME=FAT:FQL_AUDITING_CLIENT_TEMPLATE.FAT&amp;display_string=Audit&amp;VAR:KEY=NWVORCPGZC&amp;VAR:QUERY=RkZfRUJJVERBX0lCKCdMVE1TJywzOTU1NCk=&amp;WINDOW=FIRST_POPUP&amp;HEIGHT=450&amp;WIDTH=450&amp;START_MA","XIMIZED=FALSE&amp;VAR:CALENDAR=US&amp;VAR:SYMBOL=37183T10&amp;VAR:INDEX=0"}</definedName>
    <definedName name="_4331__FDSAUDITLINK__" hidden="1">{"fdsup://directions/FAT Viewer?action=UPDATE&amp;creator=factset&amp;DYN_ARGS=TRUE&amp;DOC_NAME=FAT:FQL_AUDITING_CLIENT_TEMPLATE.FAT&amp;display_string=Audit&amp;VAR:KEY=NWVORCPGZC&amp;VAR:QUERY=RkZfRUJJVERBX0lCKCdMVE1TJywzOTU1NCk=&amp;WINDOW=FIRST_POPUP&amp;HEIGHT=450&amp;WIDTH=450&amp;START_MA","XIMIZED=FALSE&amp;VAR:CALENDAR=US&amp;VAR:SYMBOL=37183T10&amp;VAR:INDEX=0"}</definedName>
    <definedName name="_4332__FDSAUDITLINK__" localSheetId="6" hidden="1">{"fdsup://directions/FAT Viewer?action=UPDATE&amp;creator=factset&amp;DYN_ARGS=TRUE&amp;DOC_NAME=FAT:FQL_AUDITING_CLIENT_TEMPLATE.FAT&amp;display_string=Audit&amp;VAR:KEY=DGBQZQPEVQ&amp;VAR:QUERY=RkZfRUJJVERBX0lCKCdMVE1TJywzOTU1Myk=&amp;WINDOW=FIRST_POPUP&amp;HEIGHT=450&amp;WIDTH=450&amp;START_MA","XIMIZED=FALSE&amp;VAR:CALENDAR=US&amp;VAR:SYMBOL=37183T10&amp;VAR:INDEX=0"}</definedName>
    <definedName name="_4332__FDSAUDITLINK__" hidden="1">{"fdsup://directions/FAT Viewer?action=UPDATE&amp;creator=factset&amp;DYN_ARGS=TRUE&amp;DOC_NAME=FAT:FQL_AUDITING_CLIENT_TEMPLATE.FAT&amp;display_string=Audit&amp;VAR:KEY=DGBQZQPEVQ&amp;VAR:QUERY=RkZfRUJJVERBX0lCKCdMVE1TJywzOTU1Myk=&amp;WINDOW=FIRST_POPUP&amp;HEIGHT=450&amp;WIDTH=450&amp;START_MA","XIMIZED=FALSE&amp;VAR:CALENDAR=US&amp;VAR:SYMBOL=37183T10&amp;VAR:INDEX=0"}</definedName>
    <definedName name="_4333__FDSAUDITLINK__" localSheetId="6" hidden="1">{"fdsup://directions/FAT Viewer?action=UPDATE&amp;creator=factset&amp;DYN_ARGS=TRUE&amp;DOC_NAME=FAT:FQL_AUDITING_CLIENT_TEMPLATE.FAT&amp;display_string=Audit&amp;VAR:KEY=TAJONCDEPW&amp;VAR:QUERY=RkZfRUJJVERBX0lCKCdMVE1TJywzOTU1Mik=&amp;WINDOW=FIRST_POPUP&amp;HEIGHT=450&amp;WIDTH=450&amp;START_MA","XIMIZED=FALSE&amp;VAR:CALENDAR=US&amp;VAR:SYMBOL=37183T10&amp;VAR:INDEX=0"}</definedName>
    <definedName name="_4333__FDSAUDITLINK__" hidden="1">{"fdsup://directions/FAT Viewer?action=UPDATE&amp;creator=factset&amp;DYN_ARGS=TRUE&amp;DOC_NAME=FAT:FQL_AUDITING_CLIENT_TEMPLATE.FAT&amp;display_string=Audit&amp;VAR:KEY=TAJONCDEPW&amp;VAR:QUERY=RkZfRUJJVERBX0lCKCdMVE1TJywzOTU1Mik=&amp;WINDOW=FIRST_POPUP&amp;HEIGHT=450&amp;WIDTH=450&amp;START_MA","XIMIZED=FALSE&amp;VAR:CALENDAR=US&amp;VAR:SYMBOL=37183T10&amp;VAR:INDEX=0"}</definedName>
    <definedName name="_4334__FDSAUDITLINK__" localSheetId="6" hidden="1">{"fdsup://directions/FAT Viewer?action=UPDATE&amp;creator=factset&amp;DYN_ARGS=TRUE&amp;DOC_NAME=FAT:FQL_AUDITING_CLIENT_TEMPLATE.FAT&amp;display_string=Audit&amp;VAR:KEY=JWZSPWBIBW&amp;VAR:QUERY=RkZfRUJJVERBX0lCKCdMVE1TJywzOTU1MSk=&amp;WINDOW=FIRST_POPUP&amp;HEIGHT=450&amp;WIDTH=450&amp;START_MA","XIMIZED=FALSE&amp;VAR:CALENDAR=US&amp;VAR:SYMBOL=37183T10&amp;VAR:INDEX=0"}</definedName>
    <definedName name="_4334__FDSAUDITLINK__" hidden="1">{"fdsup://directions/FAT Viewer?action=UPDATE&amp;creator=factset&amp;DYN_ARGS=TRUE&amp;DOC_NAME=FAT:FQL_AUDITING_CLIENT_TEMPLATE.FAT&amp;display_string=Audit&amp;VAR:KEY=JWZSPWBIBW&amp;VAR:QUERY=RkZfRUJJVERBX0lCKCdMVE1TJywzOTU1MSk=&amp;WINDOW=FIRST_POPUP&amp;HEIGHT=450&amp;WIDTH=450&amp;START_MA","XIMIZED=FALSE&amp;VAR:CALENDAR=US&amp;VAR:SYMBOL=37183T10&amp;VAR:INDEX=0"}</definedName>
    <definedName name="_4335__FDSAUDITLINK__" localSheetId="6" hidden="1">{"fdsup://directions/FAT Viewer?action=UPDATE&amp;creator=factset&amp;DYN_ARGS=TRUE&amp;DOC_NAME=FAT:FQL_AUDITING_CLIENT_TEMPLATE.FAT&amp;display_string=Audit&amp;VAR:KEY=DKBQDIJAVQ&amp;VAR:QUERY=RkZfRUJJVERBX0lCKCdMVE1TJywzOTU1MCk=&amp;WINDOW=FIRST_POPUP&amp;HEIGHT=450&amp;WIDTH=450&amp;START_MA","XIMIZED=FALSE&amp;VAR:CALENDAR=US&amp;VAR:SYMBOL=37183T10&amp;VAR:INDEX=0"}</definedName>
    <definedName name="_4335__FDSAUDITLINK__" hidden="1">{"fdsup://directions/FAT Viewer?action=UPDATE&amp;creator=factset&amp;DYN_ARGS=TRUE&amp;DOC_NAME=FAT:FQL_AUDITING_CLIENT_TEMPLATE.FAT&amp;display_string=Audit&amp;VAR:KEY=DKBQDIJAVQ&amp;VAR:QUERY=RkZfRUJJVERBX0lCKCdMVE1TJywzOTU1MCk=&amp;WINDOW=FIRST_POPUP&amp;HEIGHT=450&amp;WIDTH=450&amp;START_MA","XIMIZED=FALSE&amp;VAR:CALENDAR=US&amp;VAR:SYMBOL=37183T10&amp;VAR:INDEX=0"}</definedName>
    <definedName name="_4336__FDSAUDITLINK__" localSheetId="6" hidden="1">{"fdsup://directions/FAT Viewer?action=UPDATE&amp;creator=factset&amp;DYN_ARGS=TRUE&amp;DOC_NAME=FAT:FQL_AUDITING_CLIENT_TEMPLATE.FAT&amp;display_string=Audit&amp;VAR:KEY=LILOPQXYFY&amp;VAR:QUERY=RkZfRUJJVERBX0lCKCdMVE1TJywzOTU0OSk=&amp;WINDOW=FIRST_POPUP&amp;HEIGHT=450&amp;WIDTH=450&amp;START_MA","XIMIZED=FALSE&amp;VAR:CALENDAR=US&amp;VAR:SYMBOL=37183T10&amp;VAR:INDEX=0"}</definedName>
    <definedName name="_4336__FDSAUDITLINK__" hidden="1">{"fdsup://directions/FAT Viewer?action=UPDATE&amp;creator=factset&amp;DYN_ARGS=TRUE&amp;DOC_NAME=FAT:FQL_AUDITING_CLIENT_TEMPLATE.FAT&amp;display_string=Audit&amp;VAR:KEY=LILOPQXYFY&amp;VAR:QUERY=RkZfRUJJVERBX0lCKCdMVE1TJywzOTU0OSk=&amp;WINDOW=FIRST_POPUP&amp;HEIGHT=450&amp;WIDTH=450&amp;START_MA","XIMIZED=FALSE&amp;VAR:CALENDAR=US&amp;VAR:SYMBOL=37183T10&amp;VAR:INDEX=0"}</definedName>
    <definedName name="_4337__FDSAUDITLINK__" localSheetId="6" hidden="1">{"fdsup://directions/FAT Viewer?action=UPDATE&amp;creator=factset&amp;DYN_ARGS=TRUE&amp;DOC_NAME=FAT:FQL_AUDITING_CLIENT_TEMPLATE.FAT&amp;display_string=Audit&amp;VAR:KEY=FSBUVUXGFK&amp;VAR:QUERY=RkZfRUJJVERBX0lCKCdMVE1TJywzOTU0OCk=&amp;WINDOW=FIRST_POPUP&amp;HEIGHT=450&amp;WIDTH=450&amp;START_MA","XIMIZED=FALSE&amp;VAR:CALENDAR=US&amp;VAR:SYMBOL=37183T10&amp;VAR:INDEX=0"}</definedName>
    <definedName name="_4337__FDSAUDITLINK__" hidden="1">{"fdsup://directions/FAT Viewer?action=UPDATE&amp;creator=factset&amp;DYN_ARGS=TRUE&amp;DOC_NAME=FAT:FQL_AUDITING_CLIENT_TEMPLATE.FAT&amp;display_string=Audit&amp;VAR:KEY=FSBUVUXGFK&amp;VAR:QUERY=RkZfRUJJVERBX0lCKCdMVE1TJywzOTU0OCk=&amp;WINDOW=FIRST_POPUP&amp;HEIGHT=450&amp;WIDTH=450&amp;START_MA","XIMIZED=FALSE&amp;VAR:CALENDAR=US&amp;VAR:SYMBOL=37183T10&amp;VAR:INDEX=0"}</definedName>
    <definedName name="_4338__FDSAUDITLINK__" localSheetId="6" hidden="1">{"fdsup://directions/FAT Viewer?action=UPDATE&amp;creator=factset&amp;DYN_ARGS=TRUE&amp;DOC_NAME=FAT:FQL_AUDITING_CLIENT_TEMPLATE.FAT&amp;display_string=Audit&amp;VAR:KEY=PEZWFELSHU&amp;VAR:QUERY=RkZfRUJJVERBX0lCKCdMVE1TJywzOTU0Nyk=&amp;WINDOW=FIRST_POPUP&amp;HEIGHT=450&amp;WIDTH=450&amp;START_MA","XIMIZED=FALSE&amp;VAR:CALENDAR=US&amp;VAR:SYMBOL=37183T10&amp;VAR:INDEX=0"}</definedName>
    <definedName name="_4338__FDSAUDITLINK__" hidden="1">{"fdsup://directions/FAT Viewer?action=UPDATE&amp;creator=factset&amp;DYN_ARGS=TRUE&amp;DOC_NAME=FAT:FQL_AUDITING_CLIENT_TEMPLATE.FAT&amp;display_string=Audit&amp;VAR:KEY=PEZWFELSHU&amp;VAR:QUERY=RkZfRUJJVERBX0lCKCdMVE1TJywzOTU0Nyk=&amp;WINDOW=FIRST_POPUP&amp;HEIGHT=450&amp;WIDTH=450&amp;START_MA","XIMIZED=FALSE&amp;VAR:CALENDAR=US&amp;VAR:SYMBOL=37183T10&amp;VAR:INDEX=0"}</definedName>
    <definedName name="_4339__FDSAUDITLINK__" localSheetId="6" hidden="1">{"fdsup://directions/FAT Viewer?action=UPDATE&amp;creator=factset&amp;DYN_ARGS=TRUE&amp;DOC_NAME=FAT:FQL_AUDITING_CLIENT_TEMPLATE.FAT&amp;display_string=Audit&amp;VAR:KEY=VCXUHQPKRQ&amp;VAR:QUERY=RkZfRUJJVERBX0lCKCdMVE1TJywzOTU0Nik=&amp;WINDOW=FIRST_POPUP&amp;HEIGHT=450&amp;WIDTH=450&amp;START_MA","XIMIZED=FALSE&amp;VAR:CALENDAR=US&amp;VAR:SYMBOL=37183T10&amp;VAR:INDEX=0"}</definedName>
    <definedName name="_4339__FDSAUDITLINK__" hidden="1">{"fdsup://directions/FAT Viewer?action=UPDATE&amp;creator=factset&amp;DYN_ARGS=TRUE&amp;DOC_NAME=FAT:FQL_AUDITING_CLIENT_TEMPLATE.FAT&amp;display_string=Audit&amp;VAR:KEY=VCXUHQPKRQ&amp;VAR:QUERY=RkZfRUJJVERBX0lCKCdMVE1TJywzOTU0Nik=&amp;WINDOW=FIRST_POPUP&amp;HEIGHT=450&amp;WIDTH=450&amp;START_MA","XIMIZED=FALSE&amp;VAR:CALENDAR=US&amp;VAR:SYMBOL=37183T10&amp;VAR:INDEX=0"}</definedName>
    <definedName name="_434__FDSAUDITLINK__" localSheetId="6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4__FDSAUDITLINK__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40__FDSAUDITLINK__" localSheetId="6" hidden="1">{"fdsup://directions/FAT Viewer?action=UPDATE&amp;creator=factset&amp;DYN_ARGS=TRUE&amp;DOC_NAME=FAT:FQL_AUDITING_CLIENT_TEMPLATE.FAT&amp;display_string=Audit&amp;VAR:KEY=LWDUJGTCLW&amp;VAR:QUERY=RkZfRUJJVERBX0lCKCdMVE1TJywzOTU0NSk=&amp;WINDOW=FIRST_POPUP&amp;HEIGHT=450&amp;WIDTH=450&amp;START_MA","XIMIZED=FALSE&amp;VAR:CALENDAR=US&amp;VAR:SYMBOL=37183T10&amp;VAR:INDEX=0"}</definedName>
    <definedName name="_4340__FDSAUDITLINK__" hidden="1">{"fdsup://directions/FAT Viewer?action=UPDATE&amp;creator=factset&amp;DYN_ARGS=TRUE&amp;DOC_NAME=FAT:FQL_AUDITING_CLIENT_TEMPLATE.FAT&amp;display_string=Audit&amp;VAR:KEY=LWDUJGTCLW&amp;VAR:QUERY=RkZfRUJJVERBX0lCKCdMVE1TJywzOTU0NSk=&amp;WINDOW=FIRST_POPUP&amp;HEIGHT=450&amp;WIDTH=450&amp;START_MA","XIMIZED=FALSE&amp;VAR:CALENDAR=US&amp;VAR:SYMBOL=37183T10&amp;VAR:INDEX=0"}</definedName>
    <definedName name="_4341__FDSAUDITLINK__" localSheetId="6" hidden="1">{"fdsup://directions/FAT Viewer?action=UPDATE&amp;creator=factset&amp;DYN_ARGS=TRUE&amp;DOC_NAME=FAT:FQL_AUDITING_CLIENT_TEMPLATE.FAT&amp;display_string=Audit&amp;VAR:KEY=FMPQVWZEDM&amp;VAR:QUERY=RkZfRUJJVERBX0lCKCdMVE1TJywzOTU0NCk=&amp;WINDOW=FIRST_POPUP&amp;HEIGHT=450&amp;WIDTH=450&amp;START_MA","XIMIZED=FALSE&amp;VAR:CALENDAR=US&amp;VAR:SYMBOL=37183T10&amp;VAR:INDEX=0"}</definedName>
    <definedName name="_4341__FDSAUDITLINK__" hidden="1">{"fdsup://directions/FAT Viewer?action=UPDATE&amp;creator=factset&amp;DYN_ARGS=TRUE&amp;DOC_NAME=FAT:FQL_AUDITING_CLIENT_TEMPLATE.FAT&amp;display_string=Audit&amp;VAR:KEY=FMPQVWZEDM&amp;VAR:QUERY=RkZfRUJJVERBX0lCKCdMVE1TJywzOTU0NCk=&amp;WINDOW=FIRST_POPUP&amp;HEIGHT=450&amp;WIDTH=450&amp;START_MA","XIMIZED=FALSE&amp;VAR:CALENDAR=US&amp;VAR:SYMBOL=37183T10&amp;VAR:INDEX=0"}</definedName>
    <definedName name="_4342__FDSAUDITLINK__" localSheetId="6" hidden="1">{"fdsup://directions/FAT Viewer?action=UPDATE&amp;creator=factset&amp;DYN_ARGS=TRUE&amp;DOC_NAME=FAT:FQL_AUDITING_CLIENT_TEMPLATE.FAT&amp;display_string=Audit&amp;VAR:KEY=JGTOPUJWNA&amp;VAR:QUERY=RkZfRUJJVERBX0lCKCdMVE1TJywzOTU0Myk=&amp;WINDOW=FIRST_POPUP&amp;HEIGHT=450&amp;WIDTH=450&amp;START_MA","XIMIZED=FALSE&amp;VAR:CALENDAR=US&amp;VAR:SYMBOL=37183T10&amp;VAR:INDEX=0"}</definedName>
    <definedName name="_4342__FDSAUDITLINK__" hidden="1">{"fdsup://directions/FAT Viewer?action=UPDATE&amp;creator=factset&amp;DYN_ARGS=TRUE&amp;DOC_NAME=FAT:FQL_AUDITING_CLIENT_TEMPLATE.FAT&amp;display_string=Audit&amp;VAR:KEY=JGTOPUJWNA&amp;VAR:QUERY=RkZfRUJJVERBX0lCKCdMVE1TJywzOTU0Myk=&amp;WINDOW=FIRST_POPUP&amp;HEIGHT=450&amp;WIDTH=450&amp;START_MA","XIMIZED=FALSE&amp;VAR:CALENDAR=US&amp;VAR:SYMBOL=37183T10&amp;VAR:INDEX=0"}</definedName>
    <definedName name="_4343__FDSAUDITLINK__" localSheetId="6" hidden="1">{"fdsup://directions/FAT Viewer?action=UPDATE&amp;creator=factset&amp;DYN_ARGS=TRUE&amp;DOC_NAME=FAT:FQL_AUDITING_CLIENT_TEMPLATE.FAT&amp;display_string=Audit&amp;VAR:KEY=JWZYVCNSNE&amp;VAR:QUERY=RkZfRUJJVERBX0lCKCdMVE1TJywzOTU0Mik=&amp;WINDOW=FIRST_POPUP&amp;HEIGHT=450&amp;WIDTH=450&amp;START_MA","XIMIZED=FALSE&amp;VAR:CALENDAR=US&amp;VAR:SYMBOL=37183T10&amp;VAR:INDEX=0"}</definedName>
    <definedName name="_4343__FDSAUDITLINK__" hidden="1">{"fdsup://directions/FAT Viewer?action=UPDATE&amp;creator=factset&amp;DYN_ARGS=TRUE&amp;DOC_NAME=FAT:FQL_AUDITING_CLIENT_TEMPLATE.FAT&amp;display_string=Audit&amp;VAR:KEY=JWZYVCNSNE&amp;VAR:QUERY=RkZfRUJJVERBX0lCKCdMVE1TJywzOTU0Mik=&amp;WINDOW=FIRST_POPUP&amp;HEIGHT=450&amp;WIDTH=450&amp;START_MA","XIMIZED=FALSE&amp;VAR:CALENDAR=US&amp;VAR:SYMBOL=37183T10&amp;VAR:INDEX=0"}</definedName>
    <definedName name="_4344__FDSAUDITLINK__" localSheetId="6" hidden="1">{"fdsup://directions/FAT Viewer?action=UPDATE&amp;creator=factset&amp;DYN_ARGS=TRUE&amp;DOC_NAME=FAT:FQL_AUDITING_CLIENT_TEMPLATE.FAT&amp;display_string=Audit&amp;VAR:KEY=VWBYPOJYLW&amp;VAR:QUERY=RkZfRUJJVERBX0lCKCdMVE1TJywzOTU0MSk=&amp;WINDOW=FIRST_POPUP&amp;HEIGHT=450&amp;WIDTH=450&amp;START_MA","XIMIZED=FALSE&amp;VAR:CALENDAR=US&amp;VAR:SYMBOL=37183T10&amp;VAR:INDEX=0"}</definedName>
    <definedName name="_4344__FDSAUDITLINK__" hidden="1">{"fdsup://directions/FAT Viewer?action=UPDATE&amp;creator=factset&amp;DYN_ARGS=TRUE&amp;DOC_NAME=FAT:FQL_AUDITING_CLIENT_TEMPLATE.FAT&amp;display_string=Audit&amp;VAR:KEY=VWBYPOJYLW&amp;VAR:QUERY=RkZfRUJJVERBX0lCKCdMVE1TJywzOTU0MSk=&amp;WINDOW=FIRST_POPUP&amp;HEIGHT=450&amp;WIDTH=450&amp;START_MA","XIMIZED=FALSE&amp;VAR:CALENDAR=US&amp;VAR:SYMBOL=37183T10&amp;VAR:INDEX=0"}</definedName>
    <definedName name="_4345__FDSAUDITLINK__" localSheetId="6" hidden="1">{"fdsup://directions/FAT Viewer?action=UPDATE&amp;creator=factset&amp;DYN_ARGS=TRUE&amp;DOC_NAME=FAT:FQL_AUDITING_CLIENT_TEMPLATE.FAT&amp;display_string=Audit&amp;VAR:KEY=HSDENQXEFK&amp;VAR:QUERY=RkZfRUJJVERBX0lCKCdMVE1TJywzOTU0MCk=&amp;WINDOW=FIRST_POPUP&amp;HEIGHT=450&amp;WIDTH=450&amp;START_MA","XIMIZED=FALSE&amp;VAR:CALENDAR=US&amp;VAR:SYMBOL=37183T10&amp;VAR:INDEX=0"}</definedName>
    <definedName name="_4345__FDSAUDITLINK__" hidden="1">{"fdsup://directions/FAT Viewer?action=UPDATE&amp;creator=factset&amp;DYN_ARGS=TRUE&amp;DOC_NAME=FAT:FQL_AUDITING_CLIENT_TEMPLATE.FAT&amp;display_string=Audit&amp;VAR:KEY=HSDENQXEFK&amp;VAR:QUERY=RkZfRUJJVERBX0lCKCdMVE1TJywzOTU0MCk=&amp;WINDOW=FIRST_POPUP&amp;HEIGHT=450&amp;WIDTH=450&amp;START_MA","XIMIZED=FALSE&amp;VAR:CALENDAR=US&amp;VAR:SYMBOL=37183T10&amp;VAR:INDEX=0"}</definedName>
    <definedName name="_4346__FDSAUDITLINK__" localSheetId="6" hidden="1">{"fdsup://directions/FAT Viewer?action=UPDATE&amp;creator=factset&amp;DYN_ARGS=TRUE&amp;DOC_NAME=FAT:FQL_AUDITING_CLIENT_TEMPLATE.FAT&amp;display_string=Audit&amp;VAR:KEY=BQPAXATMHG&amp;VAR:QUERY=RkZfRUJJVERBX0lCKCdMVE1TJywzOTUzOSk=&amp;WINDOW=FIRST_POPUP&amp;HEIGHT=450&amp;WIDTH=450&amp;START_MA","XIMIZED=FALSE&amp;VAR:CALENDAR=US&amp;VAR:SYMBOL=37183T10&amp;VAR:INDEX=0"}</definedName>
    <definedName name="_4346__FDSAUDITLINK__" hidden="1">{"fdsup://directions/FAT Viewer?action=UPDATE&amp;creator=factset&amp;DYN_ARGS=TRUE&amp;DOC_NAME=FAT:FQL_AUDITING_CLIENT_TEMPLATE.FAT&amp;display_string=Audit&amp;VAR:KEY=BQPAXATMHG&amp;VAR:QUERY=RkZfRUJJVERBX0lCKCdMVE1TJywzOTUzOSk=&amp;WINDOW=FIRST_POPUP&amp;HEIGHT=450&amp;WIDTH=450&amp;START_MA","XIMIZED=FALSE&amp;VAR:CALENDAR=US&amp;VAR:SYMBOL=37183T10&amp;VAR:INDEX=0"}</definedName>
    <definedName name="_4347__FDSAUDITLINK__" localSheetId="6" hidden="1">{"fdsup://directions/FAT Viewer?action=UPDATE&amp;creator=factset&amp;DYN_ARGS=TRUE&amp;DOC_NAME=FAT:FQL_AUDITING_CLIENT_TEMPLATE.FAT&amp;display_string=Audit&amp;VAR:KEY=DCPELYZETA&amp;VAR:QUERY=RkZfRUJJVERBX0lCKCdMVE1TJywzOTUzOCk=&amp;WINDOW=FIRST_POPUP&amp;HEIGHT=450&amp;WIDTH=450&amp;START_MA","XIMIZED=FALSE&amp;VAR:CALENDAR=US&amp;VAR:SYMBOL=37183T10&amp;VAR:INDEX=0"}</definedName>
    <definedName name="_4347__FDSAUDITLINK__" hidden="1">{"fdsup://directions/FAT Viewer?action=UPDATE&amp;creator=factset&amp;DYN_ARGS=TRUE&amp;DOC_NAME=FAT:FQL_AUDITING_CLIENT_TEMPLATE.FAT&amp;display_string=Audit&amp;VAR:KEY=DCPELYZETA&amp;VAR:QUERY=RkZfRUJJVERBX0lCKCdMVE1TJywzOTUzOCk=&amp;WINDOW=FIRST_POPUP&amp;HEIGHT=450&amp;WIDTH=450&amp;START_MA","XIMIZED=FALSE&amp;VAR:CALENDAR=US&amp;VAR:SYMBOL=37183T10&amp;VAR:INDEX=0"}</definedName>
    <definedName name="_4348__FDSAUDITLINK__" localSheetId="6" hidden="1">{"fdsup://directions/FAT Viewer?action=UPDATE&amp;creator=factset&amp;DYN_ARGS=TRUE&amp;DOC_NAME=FAT:FQL_AUDITING_CLIENT_TEMPLATE.FAT&amp;display_string=Audit&amp;VAR:KEY=TIJSBQTKDE&amp;VAR:QUERY=RkZfRUJJVERBX0lCKCdMVE1TJywzOTUzNyk=&amp;WINDOW=FIRST_POPUP&amp;HEIGHT=450&amp;WIDTH=450&amp;START_MA","XIMIZED=FALSE&amp;VAR:CALENDAR=US&amp;VAR:SYMBOL=37183T10&amp;VAR:INDEX=0"}</definedName>
    <definedName name="_4348__FDSAUDITLINK__" hidden="1">{"fdsup://directions/FAT Viewer?action=UPDATE&amp;creator=factset&amp;DYN_ARGS=TRUE&amp;DOC_NAME=FAT:FQL_AUDITING_CLIENT_TEMPLATE.FAT&amp;display_string=Audit&amp;VAR:KEY=TIJSBQTKDE&amp;VAR:QUERY=RkZfRUJJVERBX0lCKCdMVE1TJywzOTUzNyk=&amp;WINDOW=FIRST_POPUP&amp;HEIGHT=450&amp;WIDTH=450&amp;START_MA","XIMIZED=FALSE&amp;VAR:CALENDAR=US&amp;VAR:SYMBOL=37183T10&amp;VAR:INDEX=0"}</definedName>
    <definedName name="_4349__FDSAUDITLINK__" localSheetId="6" hidden="1">{"fdsup://directions/FAT Viewer?action=UPDATE&amp;creator=factset&amp;DYN_ARGS=TRUE&amp;DOC_NAME=FAT:FQL_AUDITING_CLIENT_TEMPLATE.FAT&amp;display_string=Audit&amp;VAR:KEY=XMZYFAPAZI&amp;VAR:QUERY=RkZfRUJJVERBX0lCKCdMVE1TJywzOTUzNik=&amp;WINDOW=FIRST_POPUP&amp;HEIGHT=450&amp;WIDTH=450&amp;START_MA","XIMIZED=FALSE&amp;VAR:CALENDAR=US&amp;VAR:SYMBOL=37183T10&amp;VAR:INDEX=0"}</definedName>
    <definedName name="_4349__FDSAUDITLINK__" hidden="1">{"fdsup://directions/FAT Viewer?action=UPDATE&amp;creator=factset&amp;DYN_ARGS=TRUE&amp;DOC_NAME=FAT:FQL_AUDITING_CLIENT_TEMPLATE.FAT&amp;display_string=Audit&amp;VAR:KEY=XMZYFAPAZI&amp;VAR:QUERY=RkZfRUJJVERBX0lCKCdMVE1TJywzOTUzNik=&amp;WINDOW=FIRST_POPUP&amp;HEIGHT=450&amp;WIDTH=450&amp;START_MA","XIMIZED=FALSE&amp;VAR:CALENDAR=US&amp;VAR:SYMBOL=37183T10&amp;VAR:INDEX=0"}</definedName>
    <definedName name="_435__FDSAUDITLINK__" localSheetId="6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5__FDSAUDITLINK__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50__FDSAUDITLINK__" localSheetId="6" hidden="1">{"fdsup://directions/FAT Viewer?action=UPDATE&amp;creator=factset&amp;DYN_ARGS=TRUE&amp;DOC_NAME=FAT:FQL_AUDITING_CLIENT_TEMPLATE.FAT&amp;display_string=Audit&amp;VAR:KEY=LWXGNSZWDI&amp;VAR:QUERY=RkZfRUJJVERBX0lCKCdMVE1TJywzOTUzNSk=&amp;WINDOW=FIRST_POPUP&amp;HEIGHT=450&amp;WIDTH=450&amp;START_MA","XIMIZED=FALSE&amp;VAR:CALENDAR=US&amp;VAR:SYMBOL=37183T10&amp;VAR:INDEX=0"}</definedName>
    <definedName name="_4350__FDSAUDITLINK__" hidden="1">{"fdsup://directions/FAT Viewer?action=UPDATE&amp;creator=factset&amp;DYN_ARGS=TRUE&amp;DOC_NAME=FAT:FQL_AUDITING_CLIENT_TEMPLATE.FAT&amp;display_string=Audit&amp;VAR:KEY=LWXGNSZWDI&amp;VAR:QUERY=RkZfRUJJVERBX0lCKCdMVE1TJywzOTUzNSk=&amp;WINDOW=FIRST_POPUP&amp;HEIGHT=450&amp;WIDTH=450&amp;START_MA","XIMIZED=FALSE&amp;VAR:CALENDAR=US&amp;VAR:SYMBOL=37183T10&amp;VAR:INDEX=0"}</definedName>
    <definedName name="_4351__FDSAUDITLINK__" localSheetId="6" hidden="1">{"fdsup://directions/FAT Viewer?action=UPDATE&amp;creator=factset&amp;DYN_ARGS=TRUE&amp;DOC_NAME=FAT:FQL_AUDITING_CLIENT_TEMPLATE.FAT&amp;display_string=Audit&amp;VAR:KEY=JKLODCFCVO&amp;VAR:QUERY=RkZfRUJJVERBX0lCKCdMVE1TJywzOTUzNCk=&amp;WINDOW=FIRST_POPUP&amp;HEIGHT=450&amp;WIDTH=450&amp;START_MA","XIMIZED=FALSE&amp;VAR:CALENDAR=US&amp;VAR:SYMBOL=37183T10&amp;VAR:INDEX=0"}</definedName>
    <definedName name="_4351__FDSAUDITLINK__" hidden="1">{"fdsup://directions/FAT Viewer?action=UPDATE&amp;creator=factset&amp;DYN_ARGS=TRUE&amp;DOC_NAME=FAT:FQL_AUDITING_CLIENT_TEMPLATE.FAT&amp;display_string=Audit&amp;VAR:KEY=JKLODCFCVO&amp;VAR:QUERY=RkZfRUJJVERBX0lCKCdMVE1TJywzOTUzNCk=&amp;WINDOW=FIRST_POPUP&amp;HEIGHT=450&amp;WIDTH=450&amp;START_MA","XIMIZED=FALSE&amp;VAR:CALENDAR=US&amp;VAR:SYMBOL=37183T10&amp;VAR:INDEX=0"}</definedName>
    <definedName name="_4352__FDSAUDITLINK__" localSheetId="6" hidden="1">{"fdsup://directions/FAT Viewer?action=UPDATE&amp;creator=factset&amp;DYN_ARGS=TRUE&amp;DOC_NAME=FAT:FQL_AUDITING_CLIENT_TEMPLATE.FAT&amp;display_string=Audit&amp;VAR:KEY=VCDSHUXKZU&amp;VAR:QUERY=RkZfRUJJVERBX0lCKCdMVE1TJywzOTUzMyk=&amp;WINDOW=FIRST_POPUP&amp;HEIGHT=450&amp;WIDTH=450&amp;START_MA","XIMIZED=FALSE&amp;VAR:CALENDAR=US&amp;VAR:SYMBOL=37183T10&amp;VAR:INDEX=0"}</definedName>
    <definedName name="_4352__FDSAUDITLINK__" hidden="1">{"fdsup://directions/FAT Viewer?action=UPDATE&amp;creator=factset&amp;DYN_ARGS=TRUE&amp;DOC_NAME=FAT:FQL_AUDITING_CLIENT_TEMPLATE.FAT&amp;display_string=Audit&amp;VAR:KEY=VCDSHUXKZU&amp;VAR:QUERY=RkZfRUJJVERBX0lCKCdMVE1TJywzOTUzMyk=&amp;WINDOW=FIRST_POPUP&amp;HEIGHT=450&amp;WIDTH=450&amp;START_MA","XIMIZED=FALSE&amp;VAR:CALENDAR=US&amp;VAR:SYMBOL=37183T10&amp;VAR:INDEX=0"}</definedName>
    <definedName name="_4353__FDSAUDITLINK__" localSheetId="6" hidden="1">{"fdsup://directions/FAT Viewer?action=UPDATE&amp;creator=factset&amp;DYN_ARGS=TRUE&amp;DOC_NAME=FAT:FQL_AUDITING_CLIENT_TEMPLATE.FAT&amp;display_string=Audit&amp;VAR:KEY=ZUZQLQBGBU&amp;VAR:QUERY=RkZfRUJJVERBX0lCKCdMVE1TJywzOTUzMik=&amp;WINDOW=FIRST_POPUP&amp;HEIGHT=450&amp;WIDTH=450&amp;START_MA","XIMIZED=FALSE&amp;VAR:CALENDAR=US&amp;VAR:SYMBOL=37183T10&amp;VAR:INDEX=0"}</definedName>
    <definedName name="_4353__FDSAUDITLINK__" hidden="1">{"fdsup://directions/FAT Viewer?action=UPDATE&amp;creator=factset&amp;DYN_ARGS=TRUE&amp;DOC_NAME=FAT:FQL_AUDITING_CLIENT_TEMPLATE.FAT&amp;display_string=Audit&amp;VAR:KEY=ZUZQLQBGBU&amp;VAR:QUERY=RkZfRUJJVERBX0lCKCdMVE1TJywzOTUzMik=&amp;WINDOW=FIRST_POPUP&amp;HEIGHT=450&amp;WIDTH=450&amp;START_MA","XIMIZED=FALSE&amp;VAR:CALENDAR=US&amp;VAR:SYMBOL=37183T10&amp;VAR:INDEX=0"}</definedName>
    <definedName name="_4354__FDSAUDITLINK__" localSheetId="6" hidden="1">{"fdsup://directions/FAT Viewer?action=UPDATE&amp;creator=factset&amp;DYN_ARGS=TRUE&amp;DOC_NAME=FAT:FQL_AUDITING_CLIENT_TEMPLATE.FAT&amp;display_string=Audit&amp;VAR:KEY=BEJIZGVWXG&amp;VAR:QUERY=RkZfRUJJVERBX0lCKCdMVE1TJywzOTUzMSk=&amp;WINDOW=FIRST_POPUP&amp;HEIGHT=450&amp;WIDTH=450&amp;START_MA","XIMIZED=FALSE&amp;VAR:CALENDAR=US&amp;VAR:SYMBOL=37183T10&amp;VAR:INDEX=0"}</definedName>
    <definedName name="_4354__FDSAUDITLINK__" hidden="1">{"fdsup://directions/FAT Viewer?action=UPDATE&amp;creator=factset&amp;DYN_ARGS=TRUE&amp;DOC_NAME=FAT:FQL_AUDITING_CLIENT_TEMPLATE.FAT&amp;display_string=Audit&amp;VAR:KEY=BEJIZGVWXG&amp;VAR:QUERY=RkZfRUJJVERBX0lCKCdMVE1TJywzOTUzMSk=&amp;WINDOW=FIRST_POPUP&amp;HEIGHT=450&amp;WIDTH=450&amp;START_MA","XIMIZED=FALSE&amp;VAR:CALENDAR=US&amp;VAR:SYMBOL=37183T10&amp;VAR:INDEX=0"}</definedName>
    <definedName name="_4355__FDSAUDITLINK__" localSheetId="6" hidden="1">{"fdsup://directions/FAT Viewer?action=UPDATE&amp;creator=factset&amp;DYN_ARGS=TRUE&amp;DOC_NAME=FAT:FQL_AUDITING_CLIENT_TEMPLATE.FAT&amp;display_string=Audit&amp;VAR:KEY=LOZCPCRKFG&amp;VAR:QUERY=RkZfRUJJVERBX0lCKCdMVE1TJywzOTUzMCk=&amp;WINDOW=FIRST_POPUP&amp;HEIGHT=450&amp;WIDTH=450&amp;START_MA","XIMIZED=FALSE&amp;VAR:CALENDAR=US&amp;VAR:SYMBOL=37183T10&amp;VAR:INDEX=0"}</definedName>
    <definedName name="_4355__FDSAUDITLINK__" hidden="1">{"fdsup://directions/FAT Viewer?action=UPDATE&amp;creator=factset&amp;DYN_ARGS=TRUE&amp;DOC_NAME=FAT:FQL_AUDITING_CLIENT_TEMPLATE.FAT&amp;display_string=Audit&amp;VAR:KEY=LOZCPCRKFG&amp;VAR:QUERY=RkZfRUJJVERBX0lCKCdMVE1TJywzOTUzMCk=&amp;WINDOW=FIRST_POPUP&amp;HEIGHT=450&amp;WIDTH=450&amp;START_MA","XIMIZED=FALSE&amp;VAR:CALENDAR=US&amp;VAR:SYMBOL=37183T10&amp;VAR:INDEX=0"}</definedName>
    <definedName name="_4356__FDSAUDITLINK__" localSheetId="6" hidden="1">{"fdsup://directions/FAT Viewer?action=UPDATE&amp;creator=factset&amp;DYN_ARGS=TRUE&amp;DOC_NAME=FAT:FQL_AUDITING_CLIENT_TEMPLATE.FAT&amp;display_string=Audit&amp;VAR:KEY=JGTWJEVALG&amp;VAR:QUERY=RkZfRUJJVERBX0lCKCdMVE1TJywzOTUyOSk=&amp;WINDOW=FIRST_POPUP&amp;HEIGHT=450&amp;WIDTH=450&amp;START_MA","XIMIZED=FALSE&amp;VAR:CALENDAR=US&amp;VAR:SYMBOL=37183T10&amp;VAR:INDEX=0"}</definedName>
    <definedName name="_4356__FDSAUDITLINK__" hidden="1">{"fdsup://directions/FAT Viewer?action=UPDATE&amp;creator=factset&amp;DYN_ARGS=TRUE&amp;DOC_NAME=FAT:FQL_AUDITING_CLIENT_TEMPLATE.FAT&amp;display_string=Audit&amp;VAR:KEY=JGTWJEVALG&amp;VAR:QUERY=RkZfRUJJVERBX0lCKCdMVE1TJywzOTUyOSk=&amp;WINDOW=FIRST_POPUP&amp;HEIGHT=450&amp;WIDTH=450&amp;START_MA","XIMIZED=FALSE&amp;VAR:CALENDAR=US&amp;VAR:SYMBOL=37183T10&amp;VAR:INDEX=0"}</definedName>
    <definedName name="_4357__FDSAUDITLINK__" localSheetId="6" hidden="1">{"fdsup://directions/FAT Viewer?action=UPDATE&amp;creator=factset&amp;DYN_ARGS=TRUE&amp;DOC_NAME=FAT:FQL_AUDITING_CLIENT_TEMPLATE.FAT&amp;display_string=Audit&amp;VAR:KEY=FGXCDCVUBO&amp;VAR:QUERY=RkZfRUJJVERBX0lCKCdMVE1TJywzOTUyOCk=&amp;WINDOW=FIRST_POPUP&amp;HEIGHT=450&amp;WIDTH=450&amp;START_MA","XIMIZED=FALSE&amp;VAR:CALENDAR=US&amp;VAR:SYMBOL=37183T10&amp;VAR:INDEX=0"}</definedName>
    <definedName name="_4357__FDSAUDITLINK__" hidden="1">{"fdsup://directions/FAT Viewer?action=UPDATE&amp;creator=factset&amp;DYN_ARGS=TRUE&amp;DOC_NAME=FAT:FQL_AUDITING_CLIENT_TEMPLATE.FAT&amp;display_string=Audit&amp;VAR:KEY=FGXCDCVUBO&amp;VAR:QUERY=RkZfRUJJVERBX0lCKCdMVE1TJywzOTUyOCk=&amp;WINDOW=FIRST_POPUP&amp;HEIGHT=450&amp;WIDTH=450&amp;START_MA","XIMIZED=FALSE&amp;VAR:CALENDAR=US&amp;VAR:SYMBOL=37183T10&amp;VAR:INDEX=0"}</definedName>
    <definedName name="_4358__FDSAUDITLINK__" localSheetId="6" hidden="1">{"fdsup://directions/FAT Viewer?action=UPDATE&amp;creator=factset&amp;DYN_ARGS=TRUE&amp;DOC_NAME=FAT:FQL_AUDITING_CLIENT_TEMPLATE.FAT&amp;display_string=Audit&amp;VAR:KEY=PSNMBEBGRU&amp;VAR:QUERY=RkZfRUJJVERBX0lCKCdMVE1TJywzOTUyNyk=&amp;WINDOW=FIRST_POPUP&amp;HEIGHT=450&amp;WIDTH=450&amp;START_MA","XIMIZED=FALSE&amp;VAR:CALENDAR=US&amp;VAR:SYMBOL=37183T10&amp;VAR:INDEX=0"}</definedName>
    <definedName name="_4358__FDSAUDITLINK__" hidden="1">{"fdsup://directions/FAT Viewer?action=UPDATE&amp;creator=factset&amp;DYN_ARGS=TRUE&amp;DOC_NAME=FAT:FQL_AUDITING_CLIENT_TEMPLATE.FAT&amp;display_string=Audit&amp;VAR:KEY=PSNMBEBGRU&amp;VAR:QUERY=RkZfRUJJVERBX0lCKCdMVE1TJywzOTUyNyk=&amp;WINDOW=FIRST_POPUP&amp;HEIGHT=450&amp;WIDTH=450&amp;START_MA","XIMIZED=FALSE&amp;VAR:CALENDAR=US&amp;VAR:SYMBOL=37183T10&amp;VAR:INDEX=0"}</definedName>
    <definedName name="_4359__FDSAUDITLINK__" localSheetId="6" hidden="1">{"fdsup://directions/FAT Viewer?action=UPDATE&amp;creator=factset&amp;DYN_ARGS=TRUE&amp;DOC_NAME=FAT:FQL_AUDITING_CLIENT_TEMPLATE.FAT&amp;display_string=Audit&amp;VAR:KEY=HCLIFKVONG&amp;VAR:QUERY=RkZfRUJJVERBX0lCKCdMVE1TJywzOTUyNik=&amp;WINDOW=FIRST_POPUP&amp;HEIGHT=450&amp;WIDTH=450&amp;START_MA","XIMIZED=FALSE&amp;VAR:CALENDAR=US&amp;VAR:SYMBOL=37183T10&amp;VAR:INDEX=0"}</definedName>
    <definedName name="_4359__FDSAUDITLINK__" hidden="1">{"fdsup://directions/FAT Viewer?action=UPDATE&amp;creator=factset&amp;DYN_ARGS=TRUE&amp;DOC_NAME=FAT:FQL_AUDITING_CLIENT_TEMPLATE.FAT&amp;display_string=Audit&amp;VAR:KEY=HCLIFKVONG&amp;VAR:QUERY=RkZfRUJJVERBX0lCKCdMVE1TJywzOTUyNik=&amp;WINDOW=FIRST_POPUP&amp;HEIGHT=450&amp;WIDTH=450&amp;START_MA","XIMIZED=FALSE&amp;VAR:CALENDAR=US&amp;VAR:SYMBOL=37183T10&amp;VAR:INDEX=0"}</definedName>
    <definedName name="_436__FDSAUDITLINK__" localSheetId="6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6__FDSAUDITLINK__" hidden="1">{"fdsup://directions/FAT%20Viewer?VAR:PED=LTM&amp;VAR:AUDIT_MODE=SUMMARY&amp;VAR:PERIOD=FIXED&amp;VAR:AUDIT_ID=00000117&amp;VAR:DATE=20081212&amp;action=UPDATE&amp;creator=factset&amp;DOC_NAME=FAT:FMA_audit_SUMMARY.fat&amp;DISPLAY_STRING=Display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60__FDSAUDITLINK__" localSheetId="6" hidden="1">{"fdsup://directions/FAT Viewer?action=UPDATE&amp;creator=factset&amp;DYN_ARGS=TRUE&amp;DOC_NAME=FAT:FQL_AUDITING_CLIENT_TEMPLATE.FAT&amp;display_string=Audit&amp;VAR:KEY=HWZKFOJQNC&amp;VAR:QUERY=RkZfRUJJVERBX0lCKCdMVE1TJywzOTUyNSk=&amp;WINDOW=FIRST_POPUP&amp;HEIGHT=450&amp;WIDTH=450&amp;START_MA","XIMIZED=FALSE&amp;VAR:CALENDAR=US&amp;VAR:SYMBOL=37183T10&amp;VAR:INDEX=0"}</definedName>
    <definedName name="_4360__FDSAUDITLINK__" hidden="1">{"fdsup://directions/FAT Viewer?action=UPDATE&amp;creator=factset&amp;DYN_ARGS=TRUE&amp;DOC_NAME=FAT:FQL_AUDITING_CLIENT_TEMPLATE.FAT&amp;display_string=Audit&amp;VAR:KEY=HWZKFOJQNC&amp;VAR:QUERY=RkZfRUJJVERBX0lCKCdMVE1TJywzOTUyNSk=&amp;WINDOW=FIRST_POPUP&amp;HEIGHT=450&amp;WIDTH=450&amp;START_MA","XIMIZED=FALSE&amp;VAR:CALENDAR=US&amp;VAR:SYMBOL=37183T10&amp;VAR:INDEX=0"}</definedName>
    <definedName name="_4361__FDSAUDITLINK__" localSheetId="6" hidden="1">{"fdsup://directions/FAT Viewer?action=UPDATE&amp;creator=factset&amp;DYN_ARGS=TRUE&amp;DOC_NAME=FAT:FQL_AUDITING_CLIENT_TEMPLATE.FAT&amp;display_string=Audit&amp;VAR:KEY=LOPQHYFGXQ&amp;VAR:QUERY=RkZfRUJJVERBX0lCKCdMVE1TJywzOTUyNCk=&amp;WINDOW=FIRST_POPUP&amp;HEIGHT=450&amp;WIDTH=450&amp;START_MA","XIMIZED=FALSE&amp;VAR:CALENDAR=US&amp;VAR:SYMBOL=37183T10&amp;VAR:INDEX=0"}</definedName>
    <definedName name="_4361__FDSAUDITLINK__" hidden="1">{"fdsup://directions/FAT Viewer?action=UPDATE&amp;creator=factset&amp;DYN_ARGS=TRUE&amp;DOC_NAME=FAT:FQL_AUDITING_CLIENT_TEMPLATE.FAT&amp;display_string=Audit&amp;VAR:KEY=LOPQHYFGXQ&amp;VAR:QUERY=RkZfRUJJVERBX0lCKCdMVE1TJywzOTUyNCk=&amp;WINDOW=FIRST_POPUP&amp;HEIGHT=450&amp;WIDTH=450&amp;START_MA","XIMIZED=FALSE&amp;VAR:CALENDAR=US&amp;VAR:SYMBOL=37183T10&amp;VAR:INDEX=0"}</definedName>
    <definedName name="_4362__FDSAUDITLINK__" localSheetId="6" hidden="1">{"fdsup://directions/FAT Viewer?action=UPDATE&amp;creator=factset&amp;DYN_ARGS=TRUE&amp;DOC_NAME=FAT:FQL_AUDITING_CLIENT_TEMPLATE.FAT&amp;display_string=Audit&amp;VAR:KEY=XWDCPGXMDE&amp;VAR:QUERY=RkZfRUJJVERBX0lCKCdMVE1TJywzOTUyMyk=&amp;WINDOW=FIRST_POPUP&amp;HEIGHT=450&amp;WIDTH=450&amp;START_MA","XIMIZED=FALSE&amp;VAR:CALENDAR=US&amp;VAR:SYMBOL=37183T10&amp;VAR:INDEX=0"}</definedName>
    <definedName name="_4362__FDSAUDITLINK__" hidden="1">{"fdsup://directions/FAT Viewer?action=UPDATE&amp;creator=factset&amp;DYN_ARGS=TRUE&amp;DOC_NAME=FAT:FQL_AUDITING_CLIENT_TEMPLATE.FAT&amp;display_string=Audit&amp;VAR:KEY=XWDCPGXMDE&amp;VAR:QUERY=RkZfRUJJVERBX0lCKCdMVE1TJywzOTUyMyk=&amp;WINDOW=FIRST_POPUP&amp;HEIGHT=450&amp;WIDTH=450&amp;START_MA","XIMIZED=FALSE&amp;VAR:CALENDAR=US&amp;VAR:SYMBOL=37183T10&amp;VAR:INDEX=0"}</definedName>
    <definedName name="_4363__FDSAUDITLINK__" localSheetId="6" hidden="1">{"fdsup://directions/FAT Viewer?action=UPDATE&amp;creator=factset&amp;DYN_ARGS=TRUE&amp;DOC_NAME=FAT:FQL_AUDITING_CLIENT_TEMPLATE.FAT&amp;display_string=Audit&amp;VAR:KEY=BMJEHYDUZM&amp;VAR:QUERY=RkZfRUJJVERBX0lCKCdMVE1TJywzOTUyMik=&amp;WINDOW=FIRST_POPUP&amp;HEIGHT=450&amp;WIDTH=450&amp;START_MA","XIMIZED=FALSE&amp;VAR:CALENDAR=US&amp;VAR:SYMBOL=37183T10&amp;VAR:INDEX=0"}</definedName>
    <definedName name="_4363__FDSAUDITLINK__" hidden="1">{"fdsup://directions/FAT Viewer?action=UPDATE&amp;creator=factset&amp;DYN_ARGS=TRUE&amp;DOC_NAME=FAT:FQL_AUDITING_CLIENT_TEMPLATE.FAT&amp;display_string=Audit&amp;VAR:KEY=BMJEHYDUZM&amp;VAR:QUERY=RkZfRUJJVERBX0lCKCdMVE1TJywzOTUyMik=&amp;WINDOW=FIRST_POPUP&amp;HEIGHT=450&amp;WIDTH=450&amp;START_MA","XIMIZED=FALSE&amp;VAR:CALENDAR=US&amp;VAR:SYMBOL=37183T10&amp;VAR:INDEX=0"}</definedName>
    <definedName name="_4364__FDSAUDITLINK__" localSheetId="6" hidden="1">{"fdsup://directions/FAT Viewer?action=UPDATE&amp;creator=factset&amp;DYN_ARGS=TRUE&amp;DOC_NAME=FAT:FQL_AUDITING_CLIENT_TEMPLATE.FAT&amp;display_string=Audit&amp;VAR:KEY=XKXYLQXKNK&amp;VAR:QUERY=RkZfRUJJVERBX0lCKCdMVE1TJywzOTUyMSk=&amp;WINDOW=FIRST_POPUP&amp;HEIGHT=450&amp;WIDTH=450&amp;START_MA","XIMIZED=FALSE&amp;VAR:CALENDAR=US&amp;VAR:SYMBOL=37183T10&amp;VAR:INDEX=0"}</definedName>
    <definedName name="_4364__FDSAUDITLINK__" hidden="1">{"fdsup://directions/FAT Viewer?action=UPDATE&amp;creator=factset&amp;DYN_ARGS=TRUE&amp;DOC_NAME=FAT:FQL_AUDITING_CLIENT_TEMPLATE.FAT&amp;display_string=Audit&amp;VAR:KEY=XKXYLQXKNK&amp;VAR:QUERY=RkZfRUJJVERBX0lCKCdMVE1TJywzOTUyMSk=&amp;WINDOW=FIRST_POPUP&amp;HEIGHT=450&amp;WIDTH=450&amp;START_MA","XIMIZED=FALSE&amp;VAR:CALENDAR=US&amp;VAR:SYMBOL=37183T10&amp;VAR:INDEX=0"}</definedName>
    <definedName name="_4365__FDSAUDITLINK__" localSheetId="6" hidden="1">{"fdsup://directions/FAT Viewer?action=UPDATE&amp;creator=factset&amp;DYN_ARGS=TRUE&amp;DOC_NAME=FAT:FQL_AUDITING_CLIENT_TEMPLATE.FAT&amp;display_string=Audit&amp;VAR:KEY=DUVATGNYLW&amp;VAR:QUERY=RkZfRUJJVERBX0lCKCdMVE1TJywzOTUyMCk=&amp;WINDOW=FIRST_POPUP&amp;HEIGHT=450&amp;WIDTH=450&amp;START_MA","XIMIZED=FALSE&amp;VAR:CALENDAR=US&amp;VAR:SYMBOL=37183T10&amp;VAR:INDEX=0"}</definedName>
    <definedName name="_4365__FDSAUDITLINK__" hidden="1">{"fdsup://directions/FAT Viewer?action=UPDATE&amp;creator=factset&amp;DYN_ARGS=TRUE&amp;DOC_NAME=FAT:FQL_AUDITING_CLIENT_TEMPLATE.FAT&amp;display_string=Audit&amp;VAR:KEY=DUVATGNYLW&amp;VAR:QUERY=RkZfRUJJVERBX0lCKCdMVE1TJywzOTUyMCk=&amp;WINDOW=FIRST_POPUP&amp;HEIGHT=450&amp;WIDTH=450&amp;START_MA","XIMIZED=FALSE&amp;VAR:CALENDAR=US&amp;VAR:SYMBOL=37183T10&amp;VAR:INDEX=0"}</definedName>
    <definedName name="_4366__FDSAUDITLINK__" localSheetId="6" hidden="1">{"fdsup://directions/FAT Viewer?action=UPDATE&amp;creator=factset&amp;DYN_ARGS=TRUE&amp;DOC_NAME=FAT:FQL_AUDITING_CLIENT_TEMPLATE.FAT&amp;display_string=Audit&amp;VAR:KEY=BULQBWJKFY&amp;VAR:QUERY=RkZfRUJJVERBX0lCKCdMVE1TJywzOTUxOSk=&amp;WINDOW=FIRST_POPUP&amp;HEIGHT=450&amp;WIDTH=450&amp;START_MA","XIMIZED=FALSE&amp;VAR:CALENDAR=US&amp;VAR:SYMBOL=37183T10&amp;VAR:INDEX=0"}</definedName>
    <definedName name="_4366__FDSAUDITLINK__" hidden="1">{"fdsup://directions/FAT Viewer?action=UPDATE&amp;creator=factset&amp;DYN_ARGS=TRUE&amp;DOC_NAME=FAT:FQL_AUDITING_CLIENT_TEMPLATE.FAT&amp;display_string=Audit&amp;VAR:KEY=BULQBWJKFY&amp;VAR:QUERY=RkZfRUJJVERBX0lCKCdMVE1TJywzOTUxOSk=&amp;WINDOW=FIRST_POPUP&amp;HEIGHT=450&amp;WIDTH=450&amp;START_MA","XIMIZED=FALSE&amp;VAR:CALENDAR=US&amp;VAR:SYMBOL=37183T10&amp;VAR:INDEX=0"}</definedName>
    <definedName name="_4367__FDSAUDITLINK__" localSheetId="6" hidden="1">{"fdsup://directions/FAT Viewer?action=UPDATE&amp;creator=factset&amp;DYN_ARGS=TRUE&amp;DOC_NAME=FAT:FQL_AUDITING_CLIENT_TEMPLATE.FAT&amp;display_string=Audit&amp;VAR:KEY=FELETQFWHK&amp;VAR:QUERY=RkZfRUJJVERBX0lCKCdMVE1TJywzOTUxOCk=&amp;WINDOW=FIRST_POPUP&amp;HEIGHT=450&amp;WIDTH=450&amp;START_MA","XIMIZED=FALSE&amp;VAR:CALENDAR=US&amp;VAR:SYMBOL=37183T10&amp;VAR:INDEX=0"}</definedName>
    <definedName name="_4367__FDSAUDITLINK__" hidden="1">{"fdsup://directions/FAT Viewer?action=UPDATE&amp;creator=factset&amp;DYN_ARGS=TRUE&amp;DOC_NAME=FAT:FQL_AUDITING_CLIENT_TEMPLATE.FAT&amp;display_string=Audit&amp;VAR:KEY=FELETQFWHK&amp;VAR:QUERY=RkZfRUJJVERBX0lCKCdMVE1TJywzOTUxOCk=&amp;WINDOW=FIRST_POPUP&amp;HEIGHT=450&amp;WIDTH=450&amp;START_MA","XIMIZED=FALSE&amp;VAR:CALENDAR=US&amp;VAR:SYMBOL=37183T10&amp;VAR:INDEX=0"}</definedName>
    <definedName name="_4368__FDSAUDITLINK__" localSheetId="6" hidden="1">{"fdsup://directions/FAT Viewer?action=UPDATE&amp;creator=factset&amp;DYN_ARGS=TRUE&amp;DOC_NAME=FAT:FQL_AUDITING_CLIENT_TEMPLATE.FAT&amp;display_string=Audit&amp;VAR:KEY=RWBUTQZMRW&amp;VAR:QUERY=RkZfRUJJVERBX0lCKCdMVE1TJywzOTUxNyk=&amp;WINDOW=FIRST_POPUP&amp;HEIGHT=450&amp;WIDTH=450&amp;START_MA","XIMIZED=FALSE&amp;VAR:CALENDAR=US&amp;VAR:SYMBOL=37183T10&amp;VAR:INDEX=0"}</definedName>
    <definedName name="_4368__FDSAUDITLINK__" hidden="1">{"fdsup://directions/FAT Viewer?action=UPDATE&amp;creator=factset&amp;DYN_ARGS=TRUE&amp;DOC_NAME=FAT:FQL_AUDITING_CLIENT_TEMPLATE.FAT&amp;display_string=Audit&amp;VAR:KEY=RWBUTQZMRW&amp;VAR:QUERY=RkZfRUJJVERBX0lCKCdMVE1TJywzOTUxNyk=&amp;WINDOW=FIRST_POPUP&amp;HEIGHT=450&amp;WIDTH=450&amp;START_MA","XIMIZED=FALSE&amp;VAR:CALENDAR=US&amp;VAR:SYMBOL=37183T10&amp;VAR:INDEX=0"}</definedName>
    <definedName name="_4369__FDSAUDITLINK__" localSheetId="6" hidden="1">{"fdsup://directions/FAT Viewer?action=UPDATE&amp;creator=factset&amp;DYN_ARGS=TRUE&amp;DOC_NAME=FAT:FQL_AUDITING_CLIENT_TEMPLATE.FAT&amp;display_string=Audit&amp;VAR:KEY=FAJMXABSRA&amp;VAR:QUERY=RkZfRUJJVERBX0lCKCdMVE1TJywzOTUxNik=&amp;WINDOW=FIRST_POPUP&amp;HEIGHT=450&amp;WIDTH=450&amp;START_MA","XIMIZED=FALSE&amp;VAR:CALENDAR=US&amp;VAR:SYMBOL=37183T10&amp;VAR:INDEX=0"}</definedName>
    <definedName name="_4369__FDSAUDITLINK__" hidden="1">{"fdsup://directions/FAT Viewer?action=UPDATE&amp;creator=factset&amp;DYN_ARGS=TRUE&amp;DOC_NAME=FAT:FQL_AUDITING_CLIENT_TEMPLATE.FAT&amp;display_string=Audit&amp;VAR:KEY=FAJMXABSRA&amp;VAR:QUERY=RkZfRUJJVERBX0lCKCdMVE1TJywzOTUxNik=&amp;WINDOW=FIRST_POPUP&amp;HEIGHT=450&amp;WIDTH=450&amp;START_MA","XIMIZED=FALSE&amp;VAR:CALENDAR=US&amp;VAR:SYMBOL=37183T10&amp;VAR:INDEX=0"}</definedName>
    <definedName name="_437__FDSAUDITLINK__" localSheetId="6" hidden="1">{"fdsup://directions/FAT%20Viewer?VAR:PED=LTM&amp;VAR:AUDIT_MODE=SUMMARY&amp;VAR:PERIOD=FIXED&amp;VAR:AUDIT_ID=00000117&amp;VAR:DATE=20081211&amp;action=UPDATE&amp;creator=factset&amp;DOC_NAME=FAT:FMA_audit_SUMMARY.fat&amp;DISPLAY_STRING=Display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7__FDSAUDITLINK__" hidden="1">{"fdsup://directions/FAT%20Viewer?VAR:PED=LTM&amp;VAR:AUDIT_MODE=SUMMARY&amp;VAR:PERIOD=FIXED&amp;VAR:AUDIT_ID=00000117&amp;VAR:DATE=20081211&amp;action=UPDATE&amp;creator=factset&amp;DOC_NAME=FAT:FMA_audit_SUMMARY.fat&amp;DISPLAY_STRING=Display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70__FDSAUDITLINK__" localSheetId="6" hidden="1">{"fdsup://directions/FAT Viewer?action=UPDATE&amp;creator=factset&amp;DYN_ARGS=TRUE&amp;DOC_NAME=FAT:FQL_AUDITING_CLIENT_TEMPLATE.FAT&amp;display_string=Audit&amp;VAR:KEY=HCHIFSBKVA&amp;VAR:QUERY=RkZfRUJJVERBX0lCKCdMVE1TJywzOTUxNSk=&amp;WINDOW=FIRST_POPUP&amp;HEIGHT=450&amp;WIDTH=450&amp;START_MA","XIMIZED=FALSE&amp;VAR:CALENDAR=US&amp;VAR:SYMBOL=37183T10&amp;VAR:INDEX=0"}</definedName>
    <definedName name="_4370__FDSAUDITLINK__" hidden="1">{"fdsup://directions/FAT Viewer?action=UPDATE&amp;creator=factset&amp;DYN_ARGS=TRUE&amp;DOC_NAME=FAT:FQL_AUDITING_CLIENT_TEMPLATE.FAT&amp;display_string=Audit&amp;VAR:KEY=HCHIFSBKVA&amp;VAR:QUERY=RkZfRUJJVERBX0lCKCdMVE1TJywzOTUxNSk=&amp;WINDOW=FIRST_POPUP&amp;HEIGHT=450&amp;WIDTH=450&amp;START_MA","XIMIZED=FALSE&amp;VAR:CALENDAR=US&amp;VAR:SYMBOL=37183T10&amp;VAR:INDEX=0"}</definedName>
    <definedName name="_4371__FDSAUDITLINK__" localSheetId="6" hidden="1">{"fdsup://directions/FAT Viewer?action=UPDATE&amp;creator=factset&amp;DYN_ARGS=TRUE&amp;DOC_NAME=FAT:FQL_AUDITING_CLIENT_TEMPLATE.FAT&amp;display_string=Audit&amp;VAR:KEY=LWDWJELATQ&amp;VAR:QUERY=RkZfRUJJVERBX0lCKCdMVE1TJywzOTUxNCk=&amp;WINDOW=FIRST_POPUP&amp;HEIGHT=450&amp;WIDTH=450&amp;START_MA","XIMIZED=FALSE&amp;VAR:CALENDAR=US&amp;VAR:SYMBOL=37183T10&amp;VAR:INDEX=0"}</definedName>
    <definedName name="_4371__FDSAUDITLINK__" hidden="1">{"fdsup://directions/FAT Viewer?action=UPDATE&amp;creator=factset&amp;DYN_ARGS=TRUE&amp;DOC_NAME=FAT:FQL_AUDITING_CLIENT_TEMPLATE.FAT&amp;display_string=Audit&amp;VAR:KEY=LWDWJELATQ&amp;VAR:QUERY=RkZfRUJJVERBX0lCKCdMVE1TJywzOTUxNCk=&amp;WINDOW=FIRST_POPUP&amp;HEIGHT=450&amp;WIDTH=450&amp;START_MA","XIMIZED=FALSE&amp;VAR:CALENDAR=US&amp;VAR:SYMBOL=37183T10&amp;VAR:INDEX=0"}</definedName>
    <definedName name="_4372__FDSAUDITLINK__" localSheetId="6" hidden="1">{"fdsup://directions/FAT Viewer?action=UPDATE&amp;creator=factset&amp;DYN_ARGS=TRUE&amp;DOC_NAME=FAT:FQL_AUDITING_CLIENT_TEMPLATE.FAT&amp;display_string=Audit&amp;VAR:KEY=TEZKRQPAJQ&amp;VAR:QUERY=RkZfRUJJVERBX0lCKCdMVE1TJywzOTUxMyk=&amp;WINDOW=FIRST_POPUP&amp;HEIGHT=450&amp;WIDTH=450&amp;START_MA","XIMIZED=FALSE&amp;VAR:CALENDAR=US&amp;VAR:SYMBOL=37183T10&amp;VAR:INDEX=0"}</definedName>
    <definedName name="_4372__FDSAUDITLINK__" hidden="1">{"fdsup://directions/FAT Viewer?action=UPDATE&amp;creator=factset&amp;DYN_ARGS=TRUE&amp;DOC_NAME=FAT:FQL_AUDITING_CLIENT_TEMPLATE.FAT&amp;display_string=Audit&amp;VAR:KEY=TEZKRQPAJQ&amp;VAR:QUERY=RkZfRUJJVERBX0lCKCdMVE1TJywzOTUxMyk=&amp;WINDOW=FIRST_POPUP&amp;HEIGHT=450&amp;WIDTH=450&amp;START_MA","XIMIZED=FALSE&amp;VAR:CALENDAR=US&amp;VAR:SYMBOL=37183T10&amp;VAR:INDEX=0"}</definedName>
    <definedName name="_4373__FDSAUDITLINK__" localSheetId="6" hidden="1">{"fdsup://directions/FAT Viewer?action=UPDATE&amp;creator=factset&amp;DYN_ARGS=TRUE&amp;DOC_NAME=FAT:FQL_AUDITING_CLIENT_TEMPLATE.FAT&amp;display_string=Audit&amp;VAR:KEY=TANIDAHMXY&amp;VAR:QUERY=RkZfRUJJVERBX0lCKCdMVE1TJywzOTUxMik=&amp;WINDOW=FIRST_POPUP&amp;HEIGHT=450&amp;WIDTH=450&amp;START_MA","XIMIZED=FALSE&amp;VAR:CALENDAR=US&amp;VAR:SYMBOL=37183T10&amp;VAR:INDEX=0"}</definedName>
    <definedName name="_4373__FDSAUDITLINK__" hidden="1">{"fdsup://directions/FAT Viewer?action=UPDATE&amp;creator=factset&amp;DYN_ARGS=TRUE&amp;DOC_NAME=FAT:FQL_AUDITING_CLIENT_TEMPLATE.FAT&amp;display_string=Audit&amp;VAR:KEY=TANIDAHMXY&amp;VAR:QUERY=RkZfRUJJVERBX0lCKCdMVE1TJywzOTUxMik=&amp;WINDOW=FIRST_POPUP&amp;HEIGHT=450&amp;WIDTH=450&amp;START_MA","XIMIZED=FALSE&amp;VAR:CALENDAR=US&amp;VAR:SYMBOL=37183T10&amp;VAR:INDEX=0"}</definedName>
    <definedName name="_4374__FDSAUDITLINK__" localSheetId="6" hidden="1">{"fdsup://directions/FAT Viewer?action=UPDATE&amp;creator=factset&amp;DYN_ARGS=TRUE&amp;DOC_NAME=FAT:FQL_AUDITING_CLIENT_TEMPLATE.FAT&amp;display_string=Audit&amp;VAR:KEY=PSZUPUNGPG&amp;VAR:QUERY=RkZfRUJJVERBX0lCKCdMVE1TJywzOTUxMSk=&amp;WINDOW=FIRST_POPUP&amp;HEIGHT=450&amp;WIDTH=450&amp;START_MA","XIMIZED=FALSE&amp;VAR:CALENDAR=US&amp;VAR:SYMBOL=37183T10&amp;VAR:INDEX=0"}</definedName>
    <definedName name="_4374__FDSAUDITLINK__" hidden="1">{"fdsup://directions/FAT Viewer?action=UPDATE&amp;creator=factset&amp;DYN_ARGS=TRUE&amp;DOC_NAME=FAT:FQL_AUDITING_CLIENT_TEMPLATE.FAT&amp;display_string=Audit&amp;VAR:KEY=PSZUPUNGPG&amp;VAR:QUERY=RkZfRUJJVERBX0lCKCdMVE1TJywzOTUxMSk=&amp;WINDOW=FIRST_POPUP&amp;HEIGHT=450&amp;WIDTH=450&amp;START_MA","XIMIZED=FALSE&amp;VAR:CALENDAR=US&amp;VAR:SYMBOL=37183T10&amp;VAR:INDEX=0"}</definedName>
    <definedName name="_4375__FDSAUDITLINK__" localSheetId="6" hidden="1">{"fdsup://directions/FAT Viewer?action=UPDATE&amp;creator=factset&amp;DYN_ARGS=TRUE&amp;DOC_NAME=FAT:FQL_AUDITING_CLIENT_TEMPLATE.FAT&amp;display_string=Audit&amp;VAR:KEY=ZSHAVGPKZI&amp;VAR:QUERY=RkZfRUJJVERBX0lCKCdMVE1TJywzOTUxMCk=&amp;WINDOW=FIRST_POPUP&amp;HEIGHT=450&amp;WIDTH=450&amp;START_MA","XIMIZED=FALSE&amp;VAR:CALENDAR=US&amp;VAR:SYMBOL=37183T10&amp;VAR:INDEX=0"}</definedName>
    <definedName name="_4375__FDSAUDITLINK__" hidden="1">{"fdsup://directions/FAT Viewer?action=UPDATE&amp;creator=factset&amp;DYN_ARGS=TRUE&amp;DOC_NAME=FAT:FQL_AUDITING_CLIENT_TEMPLATE.FAT&amp;display_string=Audit&amp;VAR:KEY=ZSHAVGPKZI&amp;VAR:QUERY=RkZfRUJJVERBX0lCKCdMVE1TJywzOTUxMCk=&amp;WINDOW=FIRST_POPUP&amp;HEIGHT=450&amp;WIDTH=450&amp;START_MA","XIMIZED=FALSE&amp;VAR:CALENDAR=US&amp;VAR:SYMBOL=37183T10&amp;VAR:INDEX=0"}</definedName>
    <definedName name="_4376__FDSAUDITLINK__" localSheetId="6" hidden="1">{"fdsup://directions/FAT Viewer?action=UPDATE&amp;creator=factset&amp;DYN_ARGS=TRUE&amp;DOC_NAME=FAT:FQL_AUDITING_CLIENT_TEMPLATE.FAT&amp;display_string=Audit&amp;VAR:KEY=HEFGLODQZS&amp;VAR:QUERY=RkZfRUJJVERBX0lCKCdMVE1TJywzOTUwOSk=&amp;WINDOW=FIRST_POPUP&amp;HEIGHT=450&amp;WIDTH=450&amp;START_MA","XIMIZED=FALSE&amp;VAR:CALENDAR=US&amp;VAR:SYMBOL=37183T10&amp;VAR:INDEX=0"}</definedName>
    <definedName name="_4376__FDSAUDITLINK__" hidden="1">{"fdsup://directions/FAT Viewer?action=UPDATE&amp;creator=factset&amp;DYN_ARGS=TRUE&amp;DOC_NAME=FAT:FQL_AUDITING_CLIENT_TEMPLATE.FAT&amp;display_string=Audit&amp;VAR:KEY=HEFGLODQZS&amp;VAR:QUERY=RkZfRUJJVERBX0lCKCdMVE1TJywzOTUwOSk=&amp;WINDOW=FIRST_POPUP&amp;HEIGHT=450&amp;WIDTH=450&amp;START_MA","XIMIZED=FALSE&amp;VAR:CALENDAR=US&amp;VAR:SYMBOL=37183T10&amp;VAR:INDEX=0"}</definedName>
    <definedName name="_4377__FDSAUDITLINK__" localSheetId="6" hidden="1">{"fdsup://directions/FAT Viewer?action=UPDATE&amp;creator=factset&amp;DYN_ARGS=TRUE&amp;DOC_NAME=FAT:FQL_AUDITING_CLIENT_TEMPLATE.FAT&amp;display_string=Audit&amp;VAR:KEY=NEDMDYRCTG&amp;VAR:QUERY=RkZfRUJJVERBX0lCKCdMVE1TJywzOTUwOCk=&amp;WINDOW=FIRST_POPUP&amp;HEIGHT=450&amp;WIDTH=450&amp;START_MA","XIMIZED=FALSE&amp;VAR:CALENDAR=US&amp;VAR:SYMBOL=37183T10&amp;VAR:INDEX=0"}</definedName>
    <definedName name="_4377__FDSAUDITLINK__" hidden="1">{"fdsup://directions/FAT Viewer?action=UPDATE&amp;creator=factset&amp;DYN_ARGS=TRUE&amp;DOC_NAME=FAT:FQL_AUDITING_CLIENT_TEMPLATE.FAT&amp;display_string=Audit&amp;VAR:KEY=NEDMDYRCTG&amp;VAR:QUERY=RkZfRUJJVERBX0lCKCdMVE1TJywzOTUwOCk=&amp;WINDOW=FIRST_POPUP&amp;HEIGHT=450&amp;WIDTH=450&amp;START_MA","XIMIZED=FALSE&amp;VAR:CALENDAR=US&amp;VAR:SYMBOL=37183T10&amp;VAR:INDEX=0"}</definedName>
    <definedName name="_4378__FDSAUDITLINK__" localSheetId="6" hidden="1">{"fdsup://directions/FAT Viewer?action=UPDATE&amp;creator=factset&amp;DYN_ARGS=TRUE&amp;DOC_NAME=FAT:FQL_AUDITING_CLIENT_TEMPLATE.FAT&amp;display_string=Audit&amp;VAR:KEY=PKHSXMDENM&amp;VAR:QUERY=RkZfRUJJVERBX0lCKCdMVE1TJywzOTUwNyk=&amp;WINDOW=FIRST_POPUP&amp;HEIGHT=450&amp;WIDTH=450&amp;START_MA","XIMIZED=FALSE&amp;VAR:CALENDAR=US&amp;VAR:SYMBOL=37183T10&amp;VAR:INDEX=0"}</definedName>
    <definedName name="_4378__FDSAUDITLINK__" hidden="1">{"fdsup://directions/FAT Viewer?action=UPDATE&amp;creator=factset&amp;DYN_ARGS=TRUE&amp;DOC_NAME=FAT:FQL_AUDITING_CLIENT_TEMPLATE.FAT&amp;display_string=Audit&amp;VAR:KEY=PKHSXMDENM&amp;VAR:QUERY=RkZfRUJJVERBX0lCKCdMVE1TJywzOTUwNyk=&amp;WINDOW=FIRST_POPUP&amp;HEIGHT=450&amp;WIDTH=450&amp;START_MA","XIMIZED=FALSE&amp;VAR:CALENDAR=US&amp;VAR:SYMBOL=37183T10&amp;VAR:INDEX=0"}</definedName>
    <definedName name="_4379__FDSAUDITLINK__" localSheetId="6" hidden="1">{"fdsup://directions/FAT Viewer?action=UPDATE&amp;creator=factset&amp;DYN_ARGS=TRUE&amp;DOC_NAME=FAT:FQL_AUDITING_CLIENT_TEMPLATE.FAT&amp;display_string=Audit&amp;VAR:KEY=FMZQTUDQXQ&amp;VAR:QUERY=RkZfRUJJVERBX0lCKCdMVE1TJywzOTUwNik=&amp;WINDOW=FIRST_POPUP&amp;HEIGHT=450&amp;WIDTH=450&amp;START_MA","XIMIZED=FALSE&amp;VAR:CALENDAR=US&amp;VAR:SYMBOL=37183T10&amp;VAR:INDEX=0"}</definedName>
    <definedName name="_4379__FDSAUDITLINK__" hidden="1">{"fdsup://directions/FAT Viewer?action=UPDATE&amp;creator=factset&amp;DYN_ARGS=TRUE&amp;DOC_NAME=FAT:FQL_AUDITING_CLIENT_TEMPLATE.FAT&amp;display_string=Audit&amp;VAR:KEY=FMZQTUDQXQ&amp;VAR:QUERY=RkZfRUJJVERBX0lCKCdMVE1TJywzOTUwNik=&amp;WINDOW=FIRST_POPUP&amp;HEIGHT=450&amp;WIDTH=450&amp;START_MA","XIMIZED=FALSE&amp;VAR:CALENDAR=US&amp;VAR:SYMBOL=37183T10&amp;VAR:INDEX=0"}</definedName>
    <definedName name="_438__FDSAUDITLINK__" localSheetId="6" hidden="1">{"fdsup://directions/FAT%20Viewer?VAR:PED=LTM&amp;VAR:AUDIT_MODE=SUMMARY&amp;VAR:PERIOD=FIXED&amp;VAR:AUDIT_ID=00000117&amp;VAR:DATE=20081210&amp;action=UPDATE&amp;creator=factset&amp;DOC_NAME=FAT:FMA_audit_SUMMARY.fat&amp;DISPLAY_STRING=Display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8__FDSAUDITLINK__" hidden="1">{"fdsup://directions/FAT%20Viewer?VAR:PED=LTM&amp;VAR:AUDIT_MODE=SUMMARY&amp;VAR:PERIOD=FIXED&amp;VAR:AUDIT_ID=00000117&amp;VAR:DATE=20081210&amp;action=UPDATE&amp;creator=factset&amp;DOC_NAME=FAT:FMA_audit_SUMMARY.fat&amp;DISPLAY_STRING=Display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80__FDSAUDITLINK__" localSheetId="6" hidden="1">{"fdsup://directions/FAT Viewer?action=UPDATE&amp;creator=factset&amp;DYN_ARGS=TRUE&amp;DOC_NAME=FAT:FQL_AUDITING_CLIENT_TEMPLATE.FAT&amp;display_string=Audit&amp;VAR:KEY=FIJUPETQJK&amp;VAR:QUERY=RkZfRUJJVERBX0lCKCdMVE1TJywzOTUwNSk=&amp;WINDOW=FIRST_POPUP&amp;HEIGHT=450&amp;WIDTH=450&amp;START_MA","XIMIZED=FALSE&amp;VAR:CALENDAR=US&amp;VAR:SYMBOL=37183T10&amp;VAR:INDEX=0"}</definedName>
    <definedName name="_4380__FDSAUDITLINK__" hidden="1">{"fdsup://directions/FAT Viewer?action=UPDATE&amp;creator=factset&amp;DYN_ARGS=TRUE&amp;DOC_NAME=FAT:FQL_AUDITING_CLIENT_TEMPLATE.FAT&amp;display_string=Audit&amp;VAR:KEY=FIJUPETQJK&amp;VAR:QUERY=RkZfRUJJVERBX0lCKCdMVE1TJywzOTUwNSk=&amp;WINDOW=FIRST_POPUP&amp;HEIGHT=450&amp;WIDTH=450&amp;START_MA","XIMIZED=FALSE&amp;VAR:CALENDAR=US&amp;VAR:SYMBOL=37183T10&amp;VAR:INDEX=0"}</definedName>
    <definedName name="_4381__FDSAUDITLINK__" localSheetId="6" hidden="1">{"fdsup://directions/FAT Viewer?action=UPDATE&amp;creator=factset&amp;DYN_ARGS=TRUE&amp;DOC_NAME=FAT:FQL_AUDITING_CLIENT_TEMPLATE.FAT&amp;display_string=Audit&amp;VAR:KEY=DGNOBKTOFO&amp;VAR:QUERY=RkZfRUJJVERBX0lCKCdMVE1TJywzOTUwNCk=&amp;WINDOW=FIRST_POPUP&amp;HEIGHT=450&amp;WIDTH=450&amp;START_MA","XIMIZED=FALSE&amp;VAR:CALENDAR=US&amp;VAR:SYMBOL=37183T10&amp;VAR:INDEX=0"}</definedName>
    <definedName name="_4381__FDSAUDITLINK__" hidden="1">{"fdsup://directions/FAT Viewer?action=UPDATE&amp;creator=factset&amp;DYN_ARGS=TRUE&amp;DOC_NAME=FAT:FQL_AUDITING_CLIENT_TEMPLATE.FAT&amp;display_string=Audit&amp;VAR:KEY=DGNOBKTOFO&amp;VAR:QUERY=RkZfRUJJVERBX0lCKCdMVE1TJywzOTUwNCk=&amp;WINDOW=FIRST_POPUP&amp;HEIGHT=450&amp;WIDTH=450&amp;START_MA","XIMIZED=FALSE&amp;VAR:CALENDAR=US&amp;VAR:SYMBOL=37183T10&amp;VAR:INDEX=0"}</definedName>
    <definedName name="_4382__FDSAUDITLINK__" localSheetId="6" hidden="1">{"fdsup://directions/FAT Viewer?action=UPDATE&amp;creator=factset&amp;DYN_ARGS=TRUE&amp;DOC_NAME=FAT:FQL_AUDITING_CLIENT_TEMPLATE.FAT&amp;display_string=Audit&amp;VAR:KEY=XMBUTQLUXY&amp;VAR:QUERY=RkZfRUJJVERBX0lCKCdMVE1TJywzOTUwMyk=&amp;WINDOW=FIRST_POPUP&amp;HEIGHT=450&amp;WIDTH=450&amp;START_MA","XIMIZED=FALSE&amp;VAR:CALENDAR=US&amp;VAR:SYMBOL=37183T10&amp;VAR:INDEX=0"}</definedName>
    <definedName name="_4382__FDSAUDITLINK__" hidden="1">{"fdsup://directions/FAT Viewer?action=UPDATE&amp;creator=factset&amp;DYN_ARGS=TRUE&amp;DOC_NAME=FAT:FQL_AUDITING_CLIENT_TEMPLATE.FAT&amp;display_string=Audit&amp;VAR:KEY=XMBUTQLUXY&amp;VAR:QUERY=RkZfRUJJVERBX0lCKCdMVE1TJywzOTUwMyk=&amp;WINDOW=FIRST_POPUP&amp;HEIGHT=450&amp;WIDTH=450&amp;START_MA","XIMIZED=FALSE&amp;VAR:CALENDAR=US&amp;VAR:SYMBOL=37183T10&amp;VAR:INDEX=0"}</definedName>
    <definedName name="_4383__FDSAUDITLINK__" localSheetId="6" hidden="1">{"fdsup://directions/FAT Viewer?action=UPDATE&amp;creator=factset&amp;DYN_ARGS=TRUE&amp;DOC_NAME=FAT:FQL_AUDITING_CLIENT_TEMPLATE.FAT&amp;display_string=Audit&amp;VAR:KEY=JWFGXGFMBY&amp;VAR:QUERY=RkZfRUJJVERBX0lCKCdMVE1TJywzOTUwMik=&amp;WINDOW=FIRST_POPUP&amp;HEIGHT=450&amp;WIDTH=450&amp;START_MA","XIMIZED=FALSE&amp;VAR:CALENDAR=US&amp;VAR:SYMBOL=37183T10&amp;VAR:INDEX=0"}</definedName>
    <definedName name="_4383__FDSAUDITLINK__" hidden="1">{"fdsup://directions/FAT Viewer?action=UPDATE&amp;creator=factset&amp;DYN_ARGS=TRUE&amp;DOC_NAME=FAT:FQL_AUDITING_CLIENT_TEMPLATE.FAT&amp;display_string=Audit&amp;VAR:KEY=JWFGXGFMBY&amp;VAR:QUERY=RkZfRUJJVERBX0lCKCdMVE1TJywzOTUwMik=&amp;WINDOW=FIRST_POPUP&amp;HEIGHT=450&amp;WIDTH=450&amp;START_MA","XIMIZED=FALSE&amp;VAR:CALENDAR=US&amp;VAR:SYMBOL=37183T10&amp;VAR:INDEX=0"}</definedName>
    <definedName name="_4384__FDSAUDITLINK__" localSheetId="6" hidden="1">{"fdsup://directions/FAT Viewer?action=UPDATE&amp;creator=factset&amp;DYN_ARGS=TRUE&amp;DOC_NAME=FAT:FQL_AUDITING_CLIENT_TEMPLATE.FAT&amp;display_string=Audit&amp;VAR:KEY=VUBEVGJCPS&amp;VAR:QUERY=RkZfRUJJVERBX0lCKCdMVE1TJywzOTUwMSk=&amp;WINDOW=FIRST_POPUP&amp;HEIGHT=450&amp;WIDTH=450&amp;START_MA","XIMIZED=FALSE&amp;VAR:CALENDAR=US&amp;VAR:SYMBOL=37183T10&amp;VAR:INDEX=0"}</definedName>
    <definedName name="_4384__FDSAUDITLINK__" hidden="1">{"fdsup://directions/FAT Viewer?action=UPDATE&amp;creator=factset&amp;DYN_ARGS=TRUE&amp;DOC_NAME=FAT:FQL_AUDITING_CLIENT_TEMPLATE.FAT&amp;display_string=Audit&amp;VAR:KEY=VUBEVGJCPS&amp;VAR:QUERY=RkZfRUJJVERBX0lCKCdMVE1TJywzOTUwMSk=&amp;WINDOW=FIRST_POPUP&amp;HEIGHT=450&amp;WIDTH=450&amp;START_MA","XIMIZED=FALSE&amp;VAR:CALENDAR=US&amp;VAR:SYMBOL=37183T10&amp;VAR:INDEX=0"}</definedName>
    <definedName name="_4385__FDSAUDITLINK__" localSheetId="6" hidden="1">{"fdsup://directions/FAT Viewer?action=UPDATE&amp;creator=factset&amp;DYN_ARGS=TRUE&amp;DOC_NAME=FAT:FQL_AUDITING_CLIENT_TEMPLATE.FAT&amp;display_string=Audit&amp;VAR:KEY=RINOTCVODO&amp;VAR:QUERY=RkZfRUJJVERBX0lCKCdMVE1TJywzOTUwMCk=&amp;WINDOW=FIRST_POPUP&amp;HEIGHT=450&amp;WIDTH=450&amp;START_MA","XIMIZED=FALSE&amp;VAR:CALENDAR=US&amp;VAR:SYMBOL=37183T10&amp;VAR:INDEX=0"}</definedName>
    <definedName name="_4385__FDSAUDITLINK__" hidden="1">{"fdsup://directions/FAT Viewer?action=UPDATE&amp;creator=factset&amp;DYN_ARGS=TRUE&amp;DOC_NAME=FAT:FQL_AUDITING_CLIENT_TEMPLATE.FAT&amp;display_string=Audit&amp;VAR:KEY=RINOTCVODO&amp;VAR:QUERY=RkZfRUJJVERBX0lCKCdMVE1TJywzOTUwMCk=&amp;WINDOW=FIRST_POPUP&amp;HEIGHT=450&amp;WIDTH=450&amp;START_MA","XIMIZED=FALSE&amp;VAR:CALENDAR=US&amp;VAR:SYMBOL=37183T10&amp;VAR:INDEX=0"}</definedName>
    <definedName name="_4386__FDSAUDITLINK__" localSheetId="6" hidden="1">{"fdsup://directions/FAT Viewer?action=UPDATE&amp;creator=factset&amp;DYN_ARGS=TRUE&amp;DOC_NAME=FAT:FQL_AUDITING_CLIENT_TEMPLATE.FAT&amp;display_string=Audit&amp;VAR:KEY=NCXMPEBMFM&amp;VAR:QUERY=RkZfRUJJVERBX0lCKCdMVE1TJywzOTQ5OSk=&amp;WINDOW=FIRST_POPUP&amp;HEIGHT=450&amp;WIDTH=450&amp;START_MA","XIMIZED=FALSE&amp;VAR:CALENDAR=US&amp;VAR:SYMBOL=37183T10&amp;VAR:INDEX=0"}</definedName>
    <definedName name="_4386__FDSAUDITLINK__" hidden="1">{"fdsup://directions/FAT Viewer?action=UPDATE&amp;creator=factset&amp;DYN_ARGS=TRUE&amp;DOC_NAME=FAT:FQL_AUDITING_CLIENT_TEMPLATE.FAT&amp;display_string=Audit&amp;VAR:KEY=NCXMPEBMFM&amp;VAR:QUERY=RkZfRUJJVERBX0lCKCdMVE1TJywzOTQ5OSk=&amp;WINDOW=FIRST_POPUP&amp;HEIGHT=450&amp;WIDTH=450&amp;START_MA","XIMIZED=FALSE&amp;VAR:CALENDAR=US&amp;VAR:SYMBOL=37183T10&amp;VAR:INDEX=0"}</definedName>
    <definedName name="_4387__FDSAUDITLINK__" localSheetId="6" hidden="1">{"fdsup://directions/FAT Viewer?action=UPDATE&amp;creator=factset&amp;DYN_ARGS=TRUE&amp;DOC_NAME=FAT:FQL_AUDITING_CLIENT_TEMPLATE.FAT&amp;display_string=Audit&amp;VAR:KEY=LYPGNSFSLA&amp;VAR:QUERY=RkZfRUJJVERBX0lCKCdMVE1TJywzOTQ5OCk=&amp;WINDOW=FIRST_POPUP&amp;HEIGHT=450&amp;WIDTH=450&amp;START_MA","XIMIZED=FALSE&amp;VAR:CALENDAR=US&amp;VAR:SYMBOL=37183T10&amp;VAR:INDEX=0"}</definedName>
    <definedName name="_4387__FDSAUDITLINK__" hidden="1">{"fdsup://directions/FAT Viewer?action=UPDATE&amp;creator=factset&amp;DYN_ARGS=TRUE&amp;DOC_NAME=FAT:FQL_AUDITING_CLIENT_TEMPLATE.FAT&amp;display_string=Audit&amp;VAR:KEY=LYPGNSFSLA&amp;VAR:QUERY=RkZfRUJJVERBX0lCKCdMVE1TJywzOTQ5OCk=&amp;WINDOW=FIRST_POPUP&amp;HEIGHT=450&amp;WIDTH=450&amp;START_MA","XIMIZED=FALSE&amp;VAR:CALENDAR=US&amp;VAR:SYMBOL=37183T10&amp;VAR:INDEX=0"}</definedName>
    <definedName name="_4388__FDSAUDITLINK__" localSheetId="6" hidden="1">{"fdsup://directions/FAT Viewer?action=UPDATE&amp;creator=factset&amp;DYN_ARGS=TRUE&amp;DOC_NAME=FAT:FQL_AUDITING_CLIENT_TEMPLATE.FAT&amp;display_string=Audit&amp;VAR:KEY=JETETAVQLQ&amp;VAR:QUERY=RkZfRUJJVERBX0lCKCdMVE1TJywzOTQ5Nyk=&amp;WINDOW=FIRST_POPUP&amp;HEIGHT=450&amp;WIDTH=450&amp;START_MA","XIMIZED=FALSE&amp;VAR:CALENDAR=US&amp;VAR:SYMBOL=37183T10&amp;VAR:INDEX=0"}</definedName>
    <definedName name="_4388__FDSAUDITLINK__" hidden="1">{"fdsup://directions/FAT Viewer?action=UPDATE&amp;creator=factset&amp;DYN_ARGS=TRUE&amp;DOC_NAME=FAT:FQL_AUDITING_CLIENT_TEMPLATE.FAT&amp;display_string=Audit&amp;VAR:KEY=JETETAVQLQ&amp;VAR:QUERY=RkZfRUJJVERBX0lCKCdMVE1TJywzOTQ5Nyk=&amp;WINDOW=FIRST_POPUP&amp;HEIGHT=450&amp;WIDTH=450&amp;START_MA","XIMIZED=FALSE&amp;VAR:CALENDAR=US&amp;VAR:SYMBOL=37183T10&amp;VAR:INDEX=0"}</definedName>
    <definedName name="_4389__FDSAUDITLINK__" localSheetId="6" hidden="1">{"fdsup://directions/FAT Viewer?action=UPDATE&amp;creator=factset&amp;DYN_ARGS=TRUE&amp;DOC_NAME=FAT:FQL_AUDITING_CLIENT_TEMPLATE.FAT&amp;display_string=Audit&amp;VAR:KEY=NMFSVKFKNK&amp;VAR:QUERY=RkZfRUJJVERBX0lCKCdMVE1TJywzOTQ5Nik=&amp;WINDOW=FIRST_POPUP&amp;HEIGHT=450&amp;WIDTH=450&amp;START_MA","XIMIZED=FALSE&amp;VAR:CALENDAR=US&amp;VAR:SYMBOL=37183T10&amp;VAR:INDEX=0"}</definedName>
    <definedName name="_4389__FDSAUDITLINK__" hidden="1">{"fdsup://directions/FAT Viewer?action=UPDATE&amp;creator=factset&amp;DYN_ARGS=TRUE&amp;DOC_NAME=FAT:FQL_AUDITING_CLIENT_TEMPLATE.FAT&amp;display_string=Audit&amp;VAR:KEY=NMFSVKFKNK&amp;VAR:QUERY=RkZfRUJJVERBX0lCKCdMVE1TJywzOTQ5Nik=&amp;WINDOW=FIRST_POPUP&amp;HEIGHT=450&amp;WIDTH=450&amp;START_MA","XIMIZED=FALSE&amp;VAR:CALENDAR=US&amp;VAR:SYMBOL=37183T10&amp;VAR:INDEX=0"}</definedName>
    <definedName name="_439__FDSAUDITLINK__" localSheetId="6" hidden="1">{"fdsup://directions/FAT%20Viewer?VAR:PED=LTM&amp;VAR:AUDIT_MODE=SUMMARY&amp;VAR:PERIOD=FIXED&amp;VAR:AUDIT_ID=00000117&amp;VAR:DATE=20081209&amp;action=UPDATE&amp;creator=factset&amp;DOC_NAME=FAT:FMA_audit_SUMMARY.fat&amp;DISPLAY_STRING=Display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9__FDSAUDITLINK__" hidden="1">{"fdsup://directions/FAT%20Viewer?VAR:PED=LTM&amp;VAR:AUDIT_MODE=SUMMARY&amp;VAR:PERIOD=FIXED&amp;VAR:AUDIT_ID=00000117&amp;VAR:DATE=20081209&amp;action=UPDATE&amp;creator=factset&amp;DOC_NAME=FAT:FMA_audit_SUMMARY.fat&amp;DISPLAY_STRING=Display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390__FDSAUDITLINK__" localSheetId="6" hidden="1">{"fdsup://directions/FAT Viewer?action=UPDATE&amp;creator=factset&amp;DYN_ARGS=TRUE&amp;DOC_NAME=FAT:FQL_AUDITING_CLIENT_TEMPLATE.FAT&amp;display_string=Audit&amp;VAR:KEY=DQRQRIPIRM&amp;VAR:QUERY=RkZfRUJJVERBX0lCKCdMVE1TJywzOTQ5NSk=&amp;WINDOW=FIRST_POPUP&amp;HEIGHT=450&amp;WIDTH=450&amp;START_MA","XIMIZED=FALSE&amp;VAR:CALENDAR=US&amp;VAR:SYMBOL=37183T10&amp;VAR:INDEX=0"}</definedName>
    <definedName name="_4390__FDSAUDITLINK__" hidden="1">{"fdsup://directions/FAT Viewer?action=UPDATE&amp;creator=factset&amp;DYN_ARGS=TRUE&amp;DOC_NAME=FAT:FQL_AUDITING_CLIENT_TEMPLATE.FAT&amp;display_string=Audit&amp;VAR:KEY=DQRQRIPIRM&amp;VAR:QUERY=RkZfRUJJVERBX0lCKCdMVE1TJywzOTQ5NSk=&amp;WINDOW=FIRST_POPUP&amp;HEIGHT=450&amp;WIDTH=450&amp;START_MA","XIMIZED=FALSE&amp;VAR:CALENDAR=US&amp;VAR:SYMBOL=37183T10&amp;VAR:INDEX=0"}</definedName>
    <definedName name="_4391__FDSAUDITLINK__" localSheetId="6" hidden="1">{"fdsup://directions/FAT Viewer?action=UPDATE&amp;creator=factset&amp;DYN_ARGS=TRUE&amp;DOC_NAME=FAT:FQL_AUDITING_CLIENT_TEMPLATE.FAT&amp;display_string=Audit&amp;VAR:KEY=JERCLCLQDW&amp;VAR:QUERY=RkZfRUJJVERBX0lCKCdMVE1TJywzOTQ5NCk=&amp;WINDOW=FIRST_POPUP&amp;HEIGHT=450&amp;WIDTH=450&amp;START_MA","XIMIZED=FALSE&amp;VAR:CALENDAR=US&amp;VAR:SYMBOL=37183T10&amp;VAR:INDEX=0"}</definedName>
    <definedName name="_4391__FDSAUDITLINK__" hidden="1">{"fdsup://directions/FAT Viewer?action=UPDATE&amp;creator=factset&amp;DYN_ARGS=TRUE&amp;DOC_NAME=FAT:FQL_AUDITING_CLIENT_TEMPLATE.FAT&amp;display_string=Audit&amp;VAR:KEY=JERCLCLQDW&amp;VAR:QUERY=RkZfRUJJVERBX0lCKCdMVE1TJywzOTQ5NCk=&amp;WINDOW=FIRST_POPUP&amp;HEIGHT=450&amp;WIDTH=450&amp;START_MA","XIMIZED=FALSE&amp;VAR:CALENDAR=US&amp;VAR:SYMBOL=37183T10&amp;VAR:INDEX=0"}</definedName>
    <definedName name="_4392__FDSAUDITLINK__" localSheetId="6" hidden="1">{"fdsup://directions/FAT Viewer?action=UPDATE&amp;creator=factset&amp;DYN_ARGS=TRUE&amp;DOC_NAME=FAT:FQL_AUDITING_CLIENT_TEMPLATE.FAT&amp;display_string=Audit&amp;VAR:KEY=ROJOBYJQNE&amp;VAR:QUERY=RkZfRUJJVERBX0lCKCdMVE1TJywzOTQ5Myk=&amp;WINDOW=FIRST_POPUP&amp;HEIGHT=450&amp;WIDTH=450&amp;START_MA","XIMIZED=FALSE&amp;VAR:CALENDAR=US&amp;VAR:SYMBOL=37183T10&amp;VAR:INDEX=0"}</definedName>
    <definedName name="_4392__FDSAUDITLINK__" hidden="1">{"fdsup://directions/FAT Viewer?action=UPDATE&amp;creator=factset&amp;DYN_ARGS=TRUE&amp;DOC_NAME=FAT:FQL_AUDITING_CLIENT_TEMPLATE.FAT&amp;display_string=Audit&amp;VAR:KEY=ROJOBYJQNE&amp;VAR:QUERY=RkZfRUJJVERBX0lCKCdMVE1TJywzOTQ5Myk=&amp;WINDOW=FIRST_POPUP&amp;HEIGHT=450&amp;WIDTH=450&amp;START_MA","XIMIZED=FALSE&amp;VAR:CALENDAR=US&amp;VAR:SYMBOL=37183T10&amp;VAR:INDEX=0"}</definedName>
    <definedName name="_4393__FDSAUDITLINK__" localSheetId="6" hidden="1">{"fdsup://directions/FAT Viewer?action=UPDATE&amp;creator=factset&amp;DYN_ARGS=TRUE&amp;DOC_NAME=FAT:FQL_AUDITING_CLIENT_TEMPLATE.FAT&amp;display_string=Audit&amp;VAR:KEY=HMNEFUNQDC&amp;VAR:QUERY=RkZfRUJJVERBX0lCKCdMVE1TJywzOTQ5Mik=&amp;WINDOW=FIRST_POPUP&amp;HEIGHT=450&amp;WIDTH=450&amp;START_MA","XIMIZED=FALSE&amp;VAR:CALENDAR=US&amp;VAR:SYMBOL=37183T10&amp;VAR:INDEX=0"}</definedName>
    <definedName name="_4393__FDSAUDITLINK__" hidden="1">{"fdsup://directions/FAT Viewer?action=UPDATE&amp;creator=factset&amp;DYN_ARGS=TRUE&amp;DOC_NAME=FAT:FQL_AUDITING_CLIENT_TEMPLATE.FAT&amp;display_string=Audit&amp;VAR:KEY=HMNEFUNQDC&amp;VAR:QUERY=RkZfRUJJVERBX0lCKCdMVE1TJywzOTQ5Mik=&amp;WINDOW=FIRST_POPUP&amp;HEIGHT=450&amp;WIDTH=450&amp;START_MA","XIMIZED=FALSE&amp;VAR:CALENDAR=US&amp;VAR:SYMBOL=37183T10&amp;VAR:INDEX=0"}</definedName>
    <definedName name="_4394__FDSAUDITLINK__" localSheetId="6" hidden="1">{"fdsup://directions/FAT Viewer?action=UPDATE&amp;creator=factset&amp;DYN_ARGS=TRUE&amp;DOC_NAME=FAT:FQL_AUDITING_CLIENT_TEMPLATE.FAT&amp;display_string=Audit&amp;VAR:KEY=FORCTIXGRI&amp;VAR:QUERY=RkZfRUJJVERBX0lCKCdMVE1TJywzOTQ5MSk=&amp;WINDOW=FIRST_POPUP&amp;HEIGHT=450&amp;WIDTH=450&amp;START_MA","XIMIZED=FALSE&amp;VAR:CALENDAR=US&amp;VAR:SYMBOL=37183T10&amp;VAR:INDEX=0"}</definedName>
    <definedName name="_4394__FDSAUDITLINK__" hidden="1">{"fdsup://directions/FAT Viewer?action=UPDATE&amp;creator=factset&amp;DYN_ARGS=TRUE&amp;DOC_NAME=FAT:FQL_AUDITING_CLIENT_TEMPLATE.FAT&amp;display_string=Audit&amp;VAR:KEY=FORCTIXGRI&amp;VAR:QUERY=RkZfRUJJVERBX0lCKCdMVE1TJywzOTQ5MSk=&amp;WINDOW=FIRST_POPUP&amp;HEIGHT=450&amp;WIDTH=450&amp;START_MA","XIMIZED=FALSE&amp;VAR:CALENDAR=US&amp;VAR:SYMBOL=37183T10&amp;VAR:INDEX=0"}</definedName>
    <definedName name="_4395__FDSAUDITLINK__" localSheetId="6" hidden="1">{"fdsup://directions/FAT Viewer?action=UPDATE&amp;creator=factset&amp;DYN_ARGS=TRUE&amp;DOC_NAME=FAT:FQL_AUDITING_CLIENT_TEMPLATE.FAT&amp;display_string=Audit&amp;VAR:KEY=LKJOHYPWTW&amp;VAR:QUERY=RkZfRUJJVERBX0lCKCdMVE1TJywzOTQ5MCk=&amp;WINDOW=FIRST_POPUP&amp;HEIGHT=450&amp;WIDTH=450&amp;START_MA","XIMIZED=FALSE&amp;VAR:CALENDAR=US&amp;VAR:SYMBOL=37183T10&amp;VAR:INDEX=0"}</definedName>
    <definedName name="_4395__FDSAUDITLINK__" hidden="1">{"fdsup://directions/FAT Viewer?action=UPDATE&amp;creator=factset&amp;DYN_ARGS=TRUE&amp;DOC_NAME=FAT:FQL_AUDITING_CLIENT_TEMPLATE.FAT&amp;display_string=Audit&amp;VAR:KEY=LKJOHYPWTW&amp;VAR:QUERY=RkZfRUJJVERBX0lCKCdMVE1TJywzOTQ5MCk=&amp;WINDOW=FIRST_POPUP&amp;HEIGHT=450&amp;WIDTH=450&amp;START_MA","XIMIZED=FALSE&amp;VAR:CALENDAR=US&amp;VAR:SYMBOL=37183T10&amp;VAR:INDEX=0"}</definedName>
    <definedName name="_4396__FDSAUDITLINK__" localSheetId="6" hidden="1">{"fdsup://directions/FAT Viewer?action=UPDATE&amp;creator=factset&amp;DYN_ARGS=TRUE&amp;DOC_NAME=FAT:FQL_AUDITING_CLIENT_TEMPLATE.FAT&amp;display_string=Audit&amp;VAR:KEY=BKXKZMBORG&amp;VAR:QUERY=RkZfRUJJVERBX0lCKCdMVE1TJywzOTQ4OSk=&amp;WINDOW=FIRST_POPUP&amp;HEIGHT=450&amp;WIDTH=450&amp;START_MA","XIMIZED=FALSE&amp;VAR:CALENDAR=US&amp;VAR:SYMBOL=37183T10&amp;VAR:INDEX=0"}</definedName>
    <definedName name="_4396__FDSAUDITLINK__" hidden="1">{"fdsup://directions/FAT Viewer?action=UPDATE&amp;creator=factset&amp;DYN_ARGS=TRUE&amp;DOC_NAME=FAT:FQL_AUDITING_CLIENT_TEMPLATE.FAT&amp;display_string=Audit&amp;VAR:KEY=BKXKZMBORG&amp;VAR:QUERY=RkZfRUJJVERBX0lCKCdMVE1TJywzOTQ4OSk=&amp;WINDOW=FIRST_POPUP&amp;HEIGHT=450&amp;WIDTH=450&amp;START_MA","XIMIZED=FALSE&amp;VAR:CALENDAR=US&amp;VAR:SYMBOL=37183T10&amp;VAR:INDEX=0"}</definedName>
    <definedName name="_4397__FDSAUDITLINK__" localSheetId="6" hidden="1">{"fdsup://directions/FAT Viewer?action=UPDATE&amp;creator=factset&amp;DYN_ARGS=TRUE&amp;DOC_NAME=FAT:FQL_AUDITING_CLIENT_TEMPLATE.FAT&amp;display_string=Audit&amp;VAR:KEY=ZWTOFGFKVY&amp;VAR:QUERY=RkZfRUJJVERBX0lCKCdMVE1TJywzOTQ4OCk=&amp;WINDOW=FIRST_POPUP&amp;HEIGHT=450&amp;WIDTH=450&amp;START_MA","XIMIZED=FALSE&amp;VAR:CALENDAR=US&amp;VAR:SYMBOL=37183T10&amp;VAR:INDEX=0"}</definedName>
    <definedName name="_4397__FDSAUDITLINK__" hidden="1">{"fdsup://directions/FAT Viewer?action=UPDATE&amp;creator=factset&amp;DYN_ARGS=TRUE&amp;DOC_NAME=FAT:FQL_AUDITING_CLIENT_TEMPLATE.FAT&amp;display_string=Audit&amp;VAR:KEY=ZWTOFGFKVY&amp;VAR:QUERY=RkZfRUJJVERBX0lCKCdMVE1TJywzOTQ4OCk=&amp;WINDOW=FIRST_POPUP&amp;HEIGHT=450&amp;WIDTH=450&amp;START_MA","XIMIZED=FALSE&amp;VAR:CALENDAR=US&amp;VAR:SYMBOL=37183T10&amp;VAR:INDEX=0"}</definedName>
    <definedName name="_4398__FDSAUDITLINK__" localSheetId="6" hidden="1">{"fdsup://directions/FAT Viewer?action=UPDATE&amp;creator=factset&amp;DYN_ARGS=TRUE&amp;DOC_NAME=FAT:FQL_AUDITING_CLIENT_TEMPLATE.FAT&amp;display_string=Audit&amp;VAR:KEY=ZYDYDARIJU&amp;VAR:QUERY=RkZfRUJJVERBX0lCKCdMVE1TJywzOTQ4Nyk=&amp;WINDOW=FIRST_POPUP&amp;HEIGHT=450&amp;WIDTH=450&amp;START_MA","XIMIZED=FALSE&amp;VAR:CALENDAR=US&amp;VAR:SYMBOL=37183T10&amp;VAR:INDEX=0"}</definedName>
    <definedName name="_4398__FDSAUDITLINK__" hidden="1">{"fdsup://directions/FAT Viewer?action=UPDATE&amp;creator=factset&amp;DYN_ARGS=TRUE&amp;DOC_NAME=FAT:FQL_AUDITING_CLIENT_TEMPLATE.FAT&amp;display_string=Audit&amp;VAR:KEY=ZYDYDARIJU&amp;VAR:QUERY=RkZfRUJJVERBX0lCKCdMVE1TJywzOTQ4Nyk=&amp;WINDOW=FIRST_POPUP&amp;HEIGHT=450&amp;WIDTH=450&amp;START_MA","XIMIZED=FALSE&amp;VAR:CALENDAR=US&amp;VAR:SYMBOL=37183T10&amp;VAR:INDEX=0"}</definedName>
    <definedName name="_4399__FDSAUDITLINK__" localSheetId="6" hidden="1">{"fdsup://directions/FAT Viewer?action=UPDATE&amp;creator=factset&amp;DYN_ARGS=TRUE&amp;DOC_NAME=FAT:FQL_AUDITING_CLIENT_TEMPLATE.FAT&amp;display_string=Audit&amp;VAR:KEY=RYZGFILKDE&amp;VAR:QUERY=RkZfRUJJVERBX0lCKCdMVE1TJywzOTQ4Nik=&amp;WINDOW=FIRST_POPUP&amp;HEIGHT=450&amp;WIDTH=450&amp;START_MA","XIMIZED=FALSE&amp;VAR:CALENDAR=US&amp;VAR:SYMBOL=37183T10&amp;VAR:INDEX=0"}</definedName>
    <definedName name="_4399__FDSAUDITLINK__" hidden="1">{"fdsup://directions/FAT Viewer?action=UPDATE&amp;creator=factset&amp;DYN_ARGS=TRUE&amp;DOC_NAME=FAT:FQL_AUDITING_CLIENT_TEMPLATE.FAT&amp;display_string=Audit&amp;VAR:KEY=RYZGFILKDE&amp;VAR:QUERY=RkZfRUJJVERBX0lCKCdMVE1TJywzOTQ4Nik=&amp;WINDOW=FIRST_POPUP&amp;HEIGHT=450&amp;WIDTH=450&amp;START_MA","XIMIZED=FALSE&amp;VAR:CALENDAR=US&amp;VAR:SYMBOL=37183T10&amp;VAR:INDEX=0"}</definedName>
    <definedName name="_44__FDSAUDITLINK__" localSheetId="6" hidden="1">{"fdsup://directions/FAT Viewer?action=UPDATE&amp;creator=factset&amp;DYN_ARGS=TRUE&amp;DOC_NAME=FAT:FQL_AUDITING_CLIENT_TEMPLATE.FAT&amp;display_string=Audit&amp;VAR:KEY=IRKRYZGLWV&amp;VAR:QUERY=QVZHKENTRl9ORVRfSU5DKEFOTiwwRlksLTZGWSxZKSkgLyAoQVZHKENTRl9BU1NFVFMoQU5OLDBGWSwtNkZZL","EZZKSkgLSBBVkcoQ1NGX0lOVEFORyhBTk4sMCwtNkZZLEZZKSkp&amp;WINDOW=FIRST_POPUP&amp;HEIGHT=450&amp;WIDTH=450&amp;START_MAXIMIZED=FALSE&amp;VAR:CALENDAR=US&amp;VAR:SYMBOL=GNK"}</definedName>
    <definedName name="_44__FDSAUDITLINK__" hidden="1">{"fdsup://directions/FAT Viewer?action=UPDATE&amp;creator=factset&amp;DYN_ARGS=TRUE&amp;DOC_NAME=FAT:FQL_AUDITING_CLIENT_TEMPLATE.FAT&amp;display_string=Audit&amp;VAR:KEY=IRKRYZGLWV&amp;VAR:QUERY=QVZHKENTRl9ORVRfSU5DKEFOTiwwRlksLTZGWSxZKSkgLyAoQVZHKENTRl9BU1NFVFMoQU5OLDBGWSwtNkZZL","EZZKSkgLSBBVkcoQ1NGX0lOVEFORyhBTk4sMCwtNkZZLEZZKSkp&amp;WINDOW=FIRST_POPUP&amp;HEIGHT=450&amp;WIDTH=450&amp;START_MAXIMIZED=FALSE&amp;VAR:CALENDAR=US&amp;VAR:SYMBOL=GNK"}</definedName>
    <definedName name="_440__FDSAUDITLINK__" localSheetId="6" hidden="1">{"fdsup://directions/FAT%20Viewer?VAR:PED=LTM&amp;VAR:AUDIT_MODE=SUMMARY&amp;VAR:PERIOD=FIXED&amp;VAR:AUDIT_ID=00000117&amp;VAR:DATE=20081208&amp;action=UPDATE&amp;creator=factset&amp;DOC_NAME=FAT:FMA_audit_SUMMARY.fat&amp;DISPLAY_STRING=Display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0__FDSAUDITLINK__" hidden="1">{"fdsup://directions/FAT%20Viewer?VAR:PED=LTM&amp;VAR:AUDIT_MODE=SUMMARY&amp;VAR:PERIOD=FIXED&amp;VAR:AUDIT_ID=00000117&amp;VAR:DATE=20081208&amp;action=UPDATE&amp;creator=factset&amp;DOC_NAME=FAT:FMA_audit_SUMMARY.fat&amp;DISPLAY_STRING=Display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00__FDSAUDITLINK__" localSheetId="6" hidden="1">{"fdsup://directions/FAT Viewer?action=UPDATE&amp;creator=factset&amp;DYN_ARGS=TRUE&amp;DOC_NAME=FAT:FQL_AUDITING_CLIENT_TEMPLATE.FAT&amp;display_string=Audit&amp;VAR:KEY=DAPWXELQZS&amp;VAR:QUERY=RkZfRUJJVERBX0lCKCdMVE1TJywzOTQ4NSk=&amp;WINDOW=FIRST_POPUP&amp;HEIGHT=450&amp;WIDTH=450&amp;START_MA","XIMIZED=FALSE&amp;VAR:CALENDAR=US&amp;VAR:SYMBOL=37183T10&amp;VAR:INDEX=0"}</definedName>
    <definedName name="_4400__FDSAUDITLINK__" hidden="1">{"fdsup://directions/FAT Viewer?action=UPDATE&amp;creator=factset&amp;DYN_ARGS=TRUE&amp;DOC_NAME=FAT:FQL_AUDITING_CLIENT_TEMPLATE.FAT&amp;display_string=Audit&amp;VAR:KEY=DAPWXELQZS&amp;VAR:QUERY=RkZfRUJJVERBX0lCKCdMVE1TJywzOTQ4NSk=&amp;WINDOW=FIRST_POPUP&amp;HEIGHT=450&amp;WIDTH=450&amp;START_MA","XIMIZED=FALSE&amp;VAR:CALENDAR=US&amp;VAR:SYMBOL=37183T10&amp;VAR:INDEX=0"}</definedName>
    <definedName name="_4401__FDSAUDITLINK__" localSheetId="6" hidden="1">{"fdsup://directions/FAT Viewer?action=UPDATE&amp;creator=factset&amp;DYN_ARGS=TRUE&amp;DOC_NAME=FAT:FQL_AUDITING_CLIENT_TEMPLATE.FAT&amp;display_string=Audit&amp;VAR:KEY=TOVKVMDQHS&amp;VAR:QUERY=RkZfRUJJVERBX0lCKCdMVE1TJywzOTQ4NCk=&amp;WINDOW=FIRST_POPUP&amp;HEIGHT=450&amp;WIDTH=450&amp;START_MA","XIMIZED=FALSE&amp;VAR:CALENDAR=US&amp;VAR:SYMBOL=37183T10&amp;VAR:INDEX=0"}</definedName>
    <definedName name="_4401__FDSAUDITLINK__" hidden="1">{"fdsup://directions/FAT Viewer?action=UPDATE&amp;creator=factset&amp;DYN_ARGS=TRUE&amp;DOC_NAME=FAT:FQL_AUDITING_CLIENT_TEMPLATE.FAT&amp;display_string=Audit&amp;VAR:KEY=TOVKVMDQHS&amp;VAR:QUERY=RkZfRUJJVERBX0lCKCdMVE1TJywzOTQ4NCk=&amp;WINDOW=FIRST_POPUP&amp;HEIGHT=450&amp;WIDTH=450&amp;START_MA","XIMIZED=FALSE&amp;VAR:CALENDAR=US&amp;VAR:SYMBOL=37183T10&amp;VAR:INDEX=0"}</definedName>
    <definedName name="_4402__FDSAUDITLINK__" localSheetId="6" hidden="1">{"fdsup://directions/FAT Viewer?action=UPDATE&amp;creator=factset&amp;DYN_ARGS=TRUE&amp;DOC_NAME=FAT:FQL_AUDITING_CLIENT_TEMPLATE.FAT&amp;display_string=Audit&amp;VAR:KEY=NUFOPERGRI&amp;VAR:QUERY=RkZfRUJJVERBX0lCKCdMVE1TJywzOTQ4Myk=&amp;WINDOW=FIRST_POPUP&amp;HEIGHT=450&amp;WIDTH=450&amp;START_MA","XIMIZED=FALSE&amp;VAR:CALENDAR=US&amp;VAR:SYMBOL=37183T10&amp;VAR:INDEX=0"}</definedName>
    <definedName name="_4402__FDSAUDITLINK__" hidden="1">{"fdsup://directions/FAT Viewer?action=UPDATE&amp;creator=factset&amp;DYN_ARGS=TRUE&amp;DOC_NAME=FAT:FQL_AUDITING_CLIENT_TEMPLATE.FAT&amp;display_string=Audit&amp;VAR:KEY=NUFOPERGRI&amp;VAR:QUERY=RkZfRUJJVERBX0lCKCdMVE1TJywzOTQ4Myk=&amp;WINDOW=FIRST_POPUP&amp;HEIGHT=450&amp;WIDTH=450&amp;START_MA","XIMIZED=FALSE&amp;VAR:CALENDAR=US&amp;VAR:SYMBOL=37183T10&amp;VAR:INDEX=0"}</definedName>
    <definedName name="_4403__FDSAUDITLINK__" localSheetId="6" hidden="1">{"fdsup://directions/FAT Viewer?action=UPDATE&amp;creator=factset&amp;DYN_ARGS=TRUE&amp;DOC_NAME=FAT:FQL_AUDITING_CLIENT_TEMPLATE.FAT&amp;display_string=Audit&amp;VAR:KEY=VUNETQRENS&amp;VAR:QUERY=RkZfRUJJVERBX0lCKCdMVE1TJywzOTQ4Mik=&amp;WINDOW=FIRST_POPUP&amp;HEIGHT=450&amp;WIDTH=450&amp;START_MA","XIMIZED=FALSE&amp;VAR:CALENDAR=US&amp;VAR:SYMBOL=37183T10&amp;VAR:INDEX=0"}</definedName>
    <definedName name="_4403__FDSAUDITLINK__" hidden="1">{"fdsup://directions/FAT Viewer?action=UPDATE&amp;creator=factset&amp;DYN_ARGS=TRUE&amp;DOC_NAME=FAT:FQL_AUDITING_CLIENT_TEMPLATE.FAT&amp;display_string=Audit&amp;VAR:KEY=VUNETQRENS&amp;VAR:QUERY=RkZfRUJJVERBX0lCKCdMVE1TJywzOTQ4Mik=&amp;WINDOW=FIRST_POPUP&amp;HEIGHT=450&amp;WIDTH=450&amp;START_MA","XIMIZED=FALSE&amp;VAR:CALENDAR=US&amp;VAR:SYMBOL=37183T10&amp;VAR:INDEX=0"}</definedName>
    <definedName name="_4404__FDSAUDITLINK__" localSheetId="6" hidden="1">{"fdsup://directions/FAT Viewer?action=UPDATE&amp;creator=factset&amp;DYN_ARGS=TRUE&amp;DOC_NAME=FAT:FQL_AUDITING_CLIENT_TEMPLATE.FAT&amp;display_string=Audit&amp;VAR:KEY=HWPUPYDMRS&amp;VAR:QUERY=RkZfRUJJVERBX0lCKCdMVE1TJywzOTQ4MSk=&amp;WINDOW=FIRST_POPUP&amp;HEIGHT=450&amp;WIDTH=450&amp;START_MA","XIMIZED=FALSE&amp;VAR:CALENDAR=US&amp;VAR:SYMBOL=37183T10&amp;VAR:INDEX=0"}</definedName>
    <definedName name="_4404__FDSAUDITLINK__" hidden="1">{"fdsup://directions/FAT Viewer?action=UPDATE&amp;creator=factset&amp;DYN_ARGS=TRUE&amp;DOC_NAME=FAT:FQL_AUDITING_CLIENT_TEMPLATE.FAT&amp;display_string=Audit&amp;VAR:KEY=HWPUPYDMRS&amp;VAR:QUERY=RkZfRUJJVERBX0lCKCdMVE1TJywzOTQ4MSk=&amp;WINDOW=FIRST_POPUP&amp;HEIGHT=450&amp;WIDTH=450&amp;START_MA","XIMIZED=FALSE&amp;VAR:CALENDAR=US&amp;VAR:SYMBOL=37183T10&amp;VAR:INDEX=0"}</definedName>
    <definedName name="_4405__FDSAUDITLINK__" localSheetId="6" hidden="1">{"fdsup://directions/FAT Viewer?action=UPDATE&amp;creator=factset&amp;DYN_ARGS=TRUE&amp;DOC_NAME=FAT:FQL_AUDITING_CLIENT_TEMPLATE.FAT&amp;display_string=Audit&amp;VAR:KEY=BAXCJCDQLM&amp;VAR:QUERY=RkZfRUJJVERBX0lCKCdMVE1TJywzOTQ4MCk=&amp;WINDOW=FIRST_POPUP&amp;HEIGHT=450&amp;WIDTH=450&amp;START_MA","XIMIZED=FALSE&amp;VAR:CALENDAR=US&amp;VAR:SYMBOL=37183T10&amp;VAR:INDEX=0"}</definedName>
    <definedName name="_4405__FDSAUDITLINK__" hidden="1">{"fdsup://directions/FAT Viewer?action=UPDATE&amp;creator=factset&amp;DYN_ARGS=TRUE&amp;DOC_NAME=FAT:FQL_AUDITING_CLIENT_TEMPLATE.FAT&amp;display_string=Audit&amp;VAR:KEY=BAXCJCDQLM&amp;VAR:QUERY=RkZfRUJJVERBX0lCKCdMVE1TJywzOTQ4MCk=&amp;WINDOW=FIRST_POPUP&amp;HEIGHT=450&amp;WIDTH=450&amp;START_MA","XIMIZED=FALSE&amp;VAR:CALENDAR=US&amp;VAR:SYMBOL=37183T10&amp;VAR:INDEX=0"}</definedName>
    <definedName name="_4406__FDSAUDITLINK__" localSheetId="6" hidden="1">{"fdsup://directions/FAT Viewer?action=UPDATE&amp;creator=factset&amp;DYN_ARGS=TRUE&amp;DOC_NAME=FAT:FQL_AUDITING_CLIENT_TEMPLATE.FAT&amp;display_string=Audit&amp;VAR:KEY=JKXGRGRYRK&amp;VAR:QUERY=RkZfRUJJVERBX0lCKCdMVE1TJywzOTQ3OSk=&amp;WINDOW=FIRST_POPUP&amp;HEIGHT=450&amp;WIDTH=450&amp;START_MA","XIMIZED=FALSE&amp;VAR:CALENDAR=US&amp;VAR:SYMBOL=37183T10&amp;VAR:INDEX=0"}</definedName>
    <definedName name="_4406__FDSAUDITLINK__" hidden="1">{"fdsup://directions/FAT Viewer?action=UPDATE&amp;creator=factset&amp;DYN_ARGS=TRUE&amp;DOC_NAME=FAT:FQL_AUDITING_CLIENT_TEMPLATE.FAT&amp;display_string=Audit&amp;VAR:KEY=JKXGRGRYRK&amp;VAR:QUERY=RkZfRUJJVERBX0lCKCdMVE1TJywzOTQ3OSk=&amp;WINDOW=FIRST_POPUP&amp;HEIGHT=450&amp;WIDTH=450&amp;START_MA","XIMIZED=FALSE&amp;VAR:CALENDAR=US&amp;VAR:SYMBOL=37183T10&amp;VAR:INDEX=0"}</definedName>
    <definedName name="_4407__FDSAUDITLINK__" localSheetId="6" hidden="1">{"fdsup://directions/FAT Viewer?action=UPDATE&amp;creator=factset&amp;DYN_ARGS=TRUE&amp;DOC_NAME=FAT:FQL_AUDITING_CLIENT_TEMPLATE.FAT&amp;display_string=Audit&amp;VAR:KEY=HWPULYFCPI&amp;VAR:QUERY=RkZfRUJJVERBX0lCKCdMVE1TJywzOTQ3OCk=&amp;WINDOW=FIRST_POPUP&amp;HEIGHT=450&amp;WIDTH=450&amp;START_MA","XIMIZED=FALSE&amp;VAR:CALENDAR=US&amp;VAR:SYMBOL=37183T10&amp;VAR:INDEX=0"}</definedName>
    <definedName name="_4407__FDSAUDITLINK__" hidden="1">{"fdsup://directions/FAT Viewer?action=UPDATE&amp;creator=factset&amp;DYN_ARGS=TRUE&amp;DOC_NAME=FAT:FQL_AUDITING_CLIENT_TEMPLATE.FAT&amp;display_string=Audit&amp;VAR:KEY=HWPULYFCPI&amp;VAR:QUERY=RkZfRUJJVERBX0lCKCdMVE1TJywzOTQ3OCk=&amp;WINDOW=FIRST_POPUP&amp;HEIGHT=450&amp;WIDTH=450&amp;START_MA","XIMIZED=FALSE&amp;VAR:CALENDAR=US&amp;VAR:SYMBOL=37183T10&amp;VAR:INDEX=0"}</definedName>
    <definedName name="_4408__FDSAUDITLINK__" localSheetId="6" hidden="1">{"fdsup://directions/FAT Viewer?action=UPDATE&amp;creator=factset&amp;DYN_ARGS=TRUE&amp;DOC_NAME=FAT:FQL_AUDITING_CLIENT_TEMPLATE.FAT&amp;display_string=Audit&amp;VAR:KEY=BOXCZMZKVW&amp;VAR:QUERY=RkZfRUJJVERBX0lCKCdMVE1TJywzOTQ3Nyk=&amp;WINDOW=FIRST_POPUP&amp;HEIGHT=450&amp;WIDTH=450&amp;START_MA","XIMIZED=FALSE&amp;VAR:CALENDAR=US&amp;VAR:SYMBOL=37183T10&amp;VAR:INDEX=0"}</definedName>
    <definedName name="_4408__FDSAUDITLINK__" hidden="1">{"fdsup://directions/FAT Viewer?action=UPDATE&amp;creator=factset&amp;DYN_ARGS=TRUE&amp;DOC_NAME=FAT:FQL_AUDITING_CLIENT_TEMPLATE.FAT&amp;display_string=Audit&amp;VAR:KEY=BOXCZMZKVW&amp;VAR:QUERY=RkZfRUJJVERBX0lCKCdMVE1TJywzOTQ3Nyk=&amp;WINDOW=FIRST_POPUP&amp;HEIGHT=450&amp;WIDTH=450&amp;START_MA","XIMIZED=FALSE&amp;VAR:CALENDAR=US&amp;VAR:SYMBOL=37183T10&amp;VAR:INDEX=0"}</definedName>
    <definedName name="_4409__FDSAUDITLINK__" localSheetId="6" hidden="1">{"fdsup://directions/FAT Viewer?action=UPDATE&amp;creator=factset&amp;DYN_ARGS=TRUE&amp;DOC_NAME=FAT:FQL_AUDITING_CLIENT_TEMPLATE.FAT&amp;display_string=Audit&amp;VAR:KEY=TCBOZODWFW&amp;VAR:QUERY=RkZfRUJJVERBX0lCKCdMVE1TJywzOTQ3Nik=&amp;WINDOW=FIRST_POPUP&amp;HEIGHT=450&amp;WIDTH=450&amp;START_MA","XIMIZED=FALSE&amp;VAR:CALENDAR=US&amp;VAR:SYMBOL=37183T10&amp;VAR:INDEX=0"}</definedName>
    <definedName name="_4409__FDSAUDITLINK__" hidden="1">{"fdsup://directions/FAT Viewer?action=UPDATE&amp;creator=factset&amp;DYN_ARGS=TRUE&amp;DOC_NAME=FAT:FQL_AUDITING_CLIENT_TEMPLATE.FAT&amp;display_string=Audit&amp;VAR:KEY=TCBOZODWFW&amp;VAR:QUERY=RkZfRUJJVERBX0lCKCdMVE1TJywzOTQ3Nik=&amp;WINDOW=FIRST_POPUP&amp;HEIGHT=450&amp;WIDTH=450&amp;START_MA","XIMIZED=FALSE&amp;VAR:CALENDAR=US&amp;VAR:SYMBOL=37183T10&amp;VAR:INDEX=0"}</definedName>
    <definedName name="_441__FDSAUDITLINK__" localSheetId="6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1__FDSAUDITLINK__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10__FDSAUDITLINK__" localSheetId="6" hidden="1">{"fdsup://directions/FAT Viewer?action=UPDATE&amp;creator=factset&amp;DYN_ARGS=TRUE&amp;DOC_NAME=FAT:FQL_AUDITING_CLIENT_TEMPLATE.FAT&amp;display_string=Audit&amp;VAR:KEY=ZKXSFIFCLC&amp;VAR:QUERY=RkZfRUJJVERBX0lCKCdMVE1TJywzOTQ3NSk=&amp;WINDOW=FIRST_POPUP&amp;HEIGHT=450&amp;WIDTH=450&amp;START_MA","XIMIZED=FALSE&amp;VAR:CALENDAR=US&amp;VAR:SYMBOL=37183T10&amp;VAR:INDEX=0"}</definedName>
    <definedName name="_4410__FDSAUDITLINK__" hidden="1">{"fdsup://directions/FAT Viewer?action=UPDATE&amp;creator=factset&amp;DYN_ARGS=TRUE&amp;DOC_NAME=FAT:FQL_AUDITING_CLIENT_TEMPLATE.FAT&amp;display_string=Audit&amp;VAR:KEY=ZKXSFIFCLC&amp;VAR:QUERY=RkZfRUJJVERBX0lCKCdMVE1TJywzOTQ3NSk=&amp;WINDOW=FIRST_POPUP&amp;HEIGHT=450&amp;WIDTH=450&amp;START_MA","XIMIZED=FALSE&amp;VAR:CALENDAR=US&amp;VAR:SYMBOL=37183T10&amp;VAR:INDEX=0"}</definedName>
    <definedName name="_4411__FDSAUDITLINK__" localSheetId="6" hidden="1">{"fdsup://directions/FAT Viewer?action=UPDATE&amp;creator=factset&amp;DYN_ARGS=TRUE&amp;DOC_NAME=FAT:FQL_AUDITING_CLIENT_TEMPLATE.FAT&amp;display_string=Audit&amp;VAR:KEY=ZCXWTKJAVM&amp;VAR:QUERY=RkZfRUJJVERBX0lCKCdMVE1TJywzOTQ3NCk=&amp;WINDOW=FIRST_POPUP&amp;HEIGHT=450&amp;WIDTH=450&amp;START_MA","XIMIZED=FALSE&amp;VAR:CALENDAR=US&amp;VAR:SYMBOL=37183T10&amp;VAR:INDEX=0"}</definedName>
    <definedName name="_4411__FDSAUDITLINK__" hidden="1">{"fdsup://directions/FAT Viewer?action=UPDATE&amp;creator=factset&amp;DYN_ARGS=TRUE&amp;DOC_NAME=FAT:FQL_AUDITING_CLIENT_TEMPLATE.FAT&amp;display_string=Audit&amp;VAR:KEY=ZCXWTKJAVM&amp;VAR:QUERY=RkZfRUJJVERBX0lCKCdMVE1TJywzOTQ3NCk=&amp;WINDOW=FIRST_POPUP&amp;HEIGHT=450&amp;WIDTH=450&amp;START_MA","XIMIZED=FALSE&amp;VAR:CALENDAR=US&amp;VAR:SYMBOL=37183T10&amp;VAR:INDEX=0"}</definedName>
    <definedName name="_4412__FDSAUDITLINK__" localSheetId="6" hidden="1">{"fdsup://directions/FAT Viewer?action=UPDATE&amp;creator=factset&amp;DYN_ARGS=TRUE&amp;DOC_NAME=FAT:FQL_AUDITING_CLIENT_TEMPLATE.FAT&amp;display_string=Audit&amp;VAR:KEY=RIJWVCJCNA&amp;VAR:QUERY=RkZfRUJJVERBX0lCKCdMVE1TJywzOTQ3Myk=&amp;WINDOW=FIRST_POPUP&amp;HEIGHT=450&amp;WIDTH=450&amp;START_MA","XIMIZED=FALSE&amp;VAR:CALENDAR=US&amp;VAR:SYMBOL=37183T10&amp;VAR:INDEX=0"}</definedName>
    <definedName name="_4412__FDSAUDITLINK__" hidden="1">{"fdsup://directions/FAT Viewer?action=UPDATE&amp;creator=factset&amp;DYN_ARGS=TRUE&amp;DOC_NAME=FAT:FQL_AUDITING_CLIENT_TEMPLATE.FAT&amp;display_string=Audit&amp;VAR:KEY=RIJWVCJCNA&amp;VAR:QUERY=RkZfRUJJVERBX0lCKCdMVE1TJywzOTQ3Myk=&amp;WINDOW=FIRST_POPUP&amp;HEIGHT=450&amp;WIDTH=450&amp;START_MA","XIMIZED=FALSE&amp;VAR:CALENDAR=US&amp;VAR:SYMBOL=37183T10&amp;VAR:INDEX=0"}</definedName>
    <definedName name="_4413__FDSAUDITLINK__" localSheetId="6" hidden="1">{"fdsup://directions/FAT Viewer?action=UPDATE&amp;creator=factset&amp;DYN_ARGS=TRUE&amp;DOC_NAME=FAT:FQL_AUDITING_CLIENT_TEMPLATE.FAT&amp;display_string=Audit&amp;VAR:KEY=HGTSNYJCVO&amp;VAR:QUERY=RkZfRUJJVERBX0lCKCdMVE1TJywzOTQ3Mik=&amp;WINDOW=FIRST_POPUP&amp;HEIGHT=450&amp;WIDTH=450&amp;START_MA","XIMIZED=FALSE&amp;VAR:CALENDAR=US&amp;VAR:SYMBOL=37183T10&amp;VAR:INDEX=0"}</definedName>
    <definedName name="_4413__FDSAUDITLINK__" hidden="1">{"fdsup://directions/FAT Viewer?action=UPDATE&amp;creator=factset&amp;DYN_ARGS=TRUE&amp;DOC_NAME=FAT:FQL_AUDITING_CLIENT_TEMPLATE.FAT&amp;display_string=Audit&amp;VAR:KEY=HGTSNYJCVO&amp;VAR:QUERY=RkZfRUJJVERBX0lCKCdMVE1TJywzOTQ3Mik=&amp;WINDOW=FIRST_POPUP&amp;HEIGHT=450&amp;WIDTH=450&amp;START_MA","XIMIZED=FALSE&amp;VAR:CALENDAR=US&amp;VAR:SYMBOL=37183T10&amp;VAR:INDEX=0"}</definedName>
    <definedName name="_4414__FDSAUDITLINK__" localSheetId="6" hidden="1">{"fdsup://directions/FAT Viewer?action=UPDATE&amp;creator=factset&amp;DYN_ARGS=TRUE&amp;DOC_NAME=FAT:FQL_AUDITING_CLIENT_TEMPLATE.FAT&amp;display_string=Audit&amp;VAR:KEY=PWJIJELIZK&amp;VAR:QUERY=RkZfRUJJVERBX0lCKCdMVE1TJywzOTQ3MSk=&amp;WINDOW=FIRST_POPUP&amp;HEIGHT=450&amp;WIDTH=450&amp;START_MA","XIMIZED=FALSE&amp;VAR:CALENDAR=US&amp;VAR:SYMBOL=37183T10&amp;VAR:INDEX=0"}</definedName>
    <definedName name="_4414__FDSAUDITLINK__" hidden="1">{"fdsup://directions/FAT Viewer?action=UPDATE&amp;creator=factset&amp;DYN_ARGS=TRUE&amp;DOC_NAME=FAT:FQL_AUDITING_CLIENT_TEMPLATE.FAT&amp;display_string=Audit&amp;VAR:KEY=PWJIJELIZK&amp;VAR:QUERY=RkZfRUJJVERBX0lCKCdMVE1TJywzOTQ3MSk=&amp;WINDOW=FIRST_POPUP&amp;HEIGHT=450&amp;WIDTH=450&amp;START_MA","XIMIZED=FALSE&amp;VAR:CALENDAR=US&amp;VAR:SYMBOL=37183T10&amp;VAR:INDEX=0"}</definedName>
    <definedName name="_4415__FDSAUDITLINK__" localSheetId="6" hidden="1">{"fdsup://directions/FAT Viewer?action=UPDATE&amp;creator=factset&amp;DYN_ARGS=TRUE&amp;DOC_NAME=FAT:FQL_AUDITING_CLIENT_TEMPLATE.FAT&amp;display_string=Audit&amp;VAR:KEY=HANYTULSLE&amp;VAR:QUERY=RkZfRUJJVERBX0lCKCdMVE1TJywzOTQ3MCk=&amp;WINDOW=FIRST_POPUP&amp;HEIGHT=450&amp;WIDTH=450&amp;START_MA","XIMIZED=FALSE&amp;VAR:CALENDAR=US&amp;VAR:SYMBOL=37183T10&amp;VAR:INDEX=0"}</definedName>
    <definedName name="_4415__FDSAUDITLINK__" hidden="1">{"fdsup://directions/FAT Viewer?action=UPDATE&amp;creator=factset&amp;DYN_ARGS=TRUE&amp;DOC_NAME=FAT:FQL_AUDITING_CLIENT_TEMPLATE.FAT&amp;display_string=Audit&amp;VAR:KEY=HANYTULSLE&amp;VAR:QUERY=RkZfRUJJVERBX0lCKCdMVE1TJywzOTQ3MCk=&amp;WINDOW=FIRST_POPUP&amp;HEIGHT=450&amp;WIDTH=450&amp;START_MA","XIMIZED=FALSE&amp;VAR:CALENDAR=US&amp;VAR:SYMBOL=37183T10&amp;VAR:INDEX=0"}</definedName>
    <definedName name="_4416__FDSAUDITLINK__" localSheetId="6" hidden="1">{"fdsup://directions/FAT Viewer?action=UPDATE&amp;creator=factset&amp;DYN_ARGS=TRUE&amp;DOC_NAME=FAT:FQL_AUDITING_CLIENT_TEMPLATE.FAT&amp;display_string=Audit&amp;VAR:KEY=BUTQVMPOXE&amp;VAR:QUERY=RkZfRUJJVERBX0lCKCdMVE1TJywzOTQ2OSk=&amp;WINDOW=FIRST_POPUP&amp;HEIGHT=450&amp;WIDTH=450&amp;START_MA","XIMIZED=FALSE&amp;VAR:CALENDAR=US&amp;VAR:SYMBOL=37183T10&amp;VAR:INDEX=0"}</definedName>
    <definedName name="_4416__FDSAUDITLINK__" hidden="1">{"fdsup://directions/FAT Viewer?action=UPDATE&amp;creator=factset&amp;DYN_ARGS=TRUE&amp;DOC_NAME=FAT:FQL_AUDITING_CLIENT_TEMPLATE.FAT&amp;display_string=Audit&amp;VAR:KEY=BUTQVMPOXE&amp;VAR:QUERY=RkZfRUJJVERBX0lCKCdMVE1TJywzOTQ2OSk=&amp;WINDOW=FIRST_POPUP&amp;HEIGHT=450&amp;WIDTH=450&amp;START_MA","XIMIZED=FALSE&amp;VAR:CALENDAR=US&amp;VAR:SYMBOL=37183T10&amp;VAR:INDEX=0"}</definedName>
    <definedName name="_4417__FDSAUDITLINK__" localSheetId="6" hidden="1">{"fdsup://directions/FAT Viewer?action=UPDATE&amp;creator=factset&amp;DYN_ARGS=TRUE&amp;DOC_NAME=FAT:FQL_AUDITING_CLIENT_TEMPLATE.FAT&amp;display_string=Audit&amp;VAR:KEY=LEHCVYVANK&amp;VAR:QUERY=RkZfRUJJVERBX0lCKCdMVE1TJywzOTQ2OCk=&amp;WINDOW=FIRST_POPUP&amp;HEIGHT=450&amp;WIDTH=450&amp;START_MA","XIMIZED=FALSE&amp;VAR:CALENDAR=US&amp;VAR:SYMBOL=37183T10&amp;VAR:INDEX=0"}</definedName>
    <definedName name="_4417__FDSAUDITLINK__" hidden="1">{"fdsup://directions/FAT Viewer?action=UPDATE&amp;creator=factset&amp;DYN_ARGS=TRUE&amp;DOC_NAME=FAT:FQL_AUDITING_CLIENT_TEMPLATE.FAT&amp;display_string=Audit&amp;VAR:KEY=LEHCVYVANK&amp;VAR:QUERY=RkZfRUJJVERBX0lCKCdMVE1TJywzOTQ2OCk=&amp;WINDOW=FIRST_POPUP&amp;HEIGHT=450&amp;WIDTH=450&amp;START_MA","XIMIZED=FALSE&amp;VAR:CALENDAR=US&amp;VAR:SYMBOL=37183T10&amp;VAR:INDEX=0"}</definedName>
    <definedName name="_4418__FDSAUDITLINK__" localSheetId="6" hidden="1">{"fdsup://directions/FAT Viewer?action=UPDATE&amp;creator=factset&amp;DYN_ARGS=TRUE&amp;DOC_NAME=FAT:FQL_AUDITING_CLIENT_TEMPLATE.FAT&amp;display_string=Audit&amp;VAR:KEY=JIPQNABGBW&amp;VAR:QUERY=RkZfRUJJVERBX0lCKCdMVE1TJywzOTQ2Nyk=&amp;WINDOW=FIRST_POPUP&amp;HEIGHT=450&amp;WIDTH=450&amp;START_MA","XIMIZED=FALSE&amp;VAR:CALENDAR=US&amp;VAR:SYMBOL=37183T10&amp;VAR:INDEX=0"}</definedName>
    <definedName name="_4418__FDSAUDITLINK__" hidden="1">{"fdsup://directions/FAT Viewer?action=UPDATE&amp;creator=factset&amp;DYN_ARGS=TRUE&amp;DOC_NAME=FAT:FQL_AUDITING_CLIENT_TEMPLATE.FAT&amp;display_string=Audit&amp;VAR:KEY=JIPQNABGBW&amp;VAR:QUERY=RkZfRUJJVERBX0lCKCdMVE1TJywzOTQ2Nyk=&amp;WINDOW=FIRST_POPUP&amp;HEIGHT=450&amp;WIDTH=450&amp;START_MA","XIMIZED=FALSE&amp;VAR:CALENDAR=US&amp;VAR:SYMBOL=37183T10&amp;VAR:INDEX=0"}</definedName>
    <definedName name="_4419__FDSAUDITLINK__" localSheetId="6" hidden="1">{"fdsup://directions/FAT Viewer?action=UPDATE&amp;creator=factset&amp;DYN_ARGS=TRUE&amp;DOC_NAME=FAT:FQL_AUDITING_CLIENT_TEMPLATE.FAT&amp;display_string=Audit&amp;VAR:KEY=JUZSBMVUPI&amp;VAR:QUERY=RkZfRUJJVERBX0lCKCdMVE1TJywzOTQ2Nik=&amp;WINDOW=FIRST_POPUP&amp;HEIGHT=450&amp;WIDTH=450&amp;START_MA","XIMIZED=FALSE&amp;VAR:CALENDAR=US&amp;VAR:SYMBOL=37183T10&amp;VAR:INDEX=0"}</definedName>
    <definedName name="_4419__FDSAUDITLINK__" hidden="1">{"fdsup://directions/FAT Viewer?action=UPDATE&amp;creator=factset&amp;DYN_ARGS=TRUE&amp;DOC_NAME=FAT:FQL_AUDITING_CLIENT_TEMPLATE.FAT&amp;display_string=Audit&amp;VAR:KEY=JUZSBMVUPI&amp;VAR:QUERY=RkZfRUJJVERBX0lCKCdMVE1TJywzOTQ2Nik=&amp;WINDOW=FIRST_POPUP&amp;HEIGHT=450&amp;WIDTH=450&amp;START_MA","XIMIZED=FALSE&amp;VAR:CALENDAR=US&amp;VAR:SYMBOL=37183T10&amp;VAR:INDEX=0"}</definedName>
    <definedName name="_442__FDSAUDITLINK__" localSheetId="6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2__FDSAUDITLINK__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20__FDSAUDITLINK__" localSheetId="6" hidden="1">{"fdsup://directions/FAT Viewer?action=UPDATE&amp;creator=factset&amp;DYN_ARGS=TRUE&amp;DOC_NAME=FAT:FQL_AUDITING_CLIENT_TEMPLATE.FAT&amp;display_string=Audit&amp;VAR:KEY=ZSPMHYHMVK&amp;VAR:QUERY=RkZfRUJJVERBX0lCKCdMVE1TJywzOTQ2NSk=&amp;WINDOW=FIRST_POPUP&amp;HEIGHT=450&amp;WIDTH=450&amp;START_MA","XIMIZED=FALSE&amp;VAR:CALENDAR=US&amp;VAR:SYMBOL=37183T10&amp;VAR:INDEX=0"}</definedName>
    <definedName name="_4420__FDSAUDITLINK__" hidden="1">{"fdsup://directions/FAT Viewer?action=UPDATE&amp;creator=factset&amp;DYN_ARGS=TRUE&amp;DOC_NAME=FAT:FQL_AUDITING_CLIENT_TEMPLATE.FAT&amp;display_string=Audit&amp;VAR:KEY=ZSPMHYHMVK&amp;VAR:QUERY=RkZfRUJJVERBX0lCKCdMVE1TJywzOTQ2NSk=&amp;WINDOW=FIRST_POPUP&amp;HEIGHT=450&amp;WIDTH=450&amp;START_MA","XIMIZED=FALSE&amp;VAR:CALENDAR=US&amp;VAR:SYMBOL=37183T10&amp;VAR:INDEX=0"}</definedName>
    <definedName name="_4421__FDSAUDITLINK__" localSheetId="6" hidden="1">{"fdsup://directions/FAT Viewer?action=UPDATE&amp;creator=factset&amp;DYN_ARGS=TRUE&amp;DOC_NAME=FAT:FQL_AUDITING_CLIENT_TEMPLATE.FAT&amp;display_string=Audit&amp;VAR:KEY=HOXUZKTGVK&amp;VAR:QUERY=RkZfRUJJVERBX0lCKCdMVE1TJywzOTQ2NCk=&amp;WINDOW=FIRST_POPUP&amp;HEIGHT=450&amp;WIDTH=450&amp;START_MA","XIMIZED=FALSE&amp;VAR:CALENDAR=US&amp;VAR:SYMBOL=37183T10&amp;VAR:INDEX=0"}</definedName>
    <definedName name="_4421__FDSAUDITLINK__" hidden="1">{"fdsup://directions/FAT Viewer?action=UPDATE&amp;creator=factset&amp;DYN_ARGS=TRUE&amp;DOC_NAME=FAT:FQL_AUDITING_CLIENT_TEMPLATE.FAT&amp;display_string=Audit&amp;VAR:KEY=HOXUZKTGVK&amp;VAR:QUERY=RkZfRUJJVERBX0lCKCdMVE1TJywzOTQ2NCk=&amp;WINDOW=FIRST_POPUP&amp;HEIGHT=450&amp;WIDTH=450&amp;START_MA","XIMIZED=FALSE&amp;VAR:CALENDAR=US&amp;VAR:SYMBOL=37183T10&amp;VAR:INDEX=0"}</definedName>
    <definedName name="_4422__FDSAUDITLINK__" localSheetId="6" hidden="1">{"fdsup://directions/FAT Viewer?action=UPDATE&amp;creator=factset&amp;DYN_ARGS=TRUE&amp;DOC_NAME=FAT:FQL_AUDITING_CLIENT_TEMPLATE.FAT&amp;display_string=Audit&amp;VAR:KEY=VINATEXCRE&amp;VAR:QUERY=RkZfRUJJVERBX0lCKCdMVE1TJywzOTQ2Myk=&amp;WINDOW=FIRST_POPUP&amp;HEIGHT=450&amp;WIDTH=450&amp;START_MA","XIMIZED=FALSE&amp;VAR:CALENDAR=US&amp;VAR:SYMBOL=37183T10&amp;VAR:INDEX=0"}</definedName>
    <definedName name="_4422__FDSAUDITLINK__" hidden="1">{"fdsup://directions/FAT Viewer?action=UPDATE&amp;creator=factset&amp;DYN_ARGS=TRUE&amp;DOC_NAME=FAT:FQL_AUDITING_CLIENT_TEMPLATE.FAT&amp;display_string=Audit&amp;VAR:KEY=VINATEXCRE&amp;VAR:QUERY=RkZfRUJJVERBX0lCKCdMVE1TJywzOTQ2Myk=&amp;WINDOW=FIRST_POPUP&amp;HEIGHT=450&amp;WIDTH=450&amp;START_MA","XIMIZED=FALSE&amp;VAR:CALENDAR=US&amp;VAR:SYMBOL=37183T10&amp;VAR:INDEX=0"}</definedName>
    <definedName name="_4423__FDSAUDITLINK__" localSheetId="6" hidden="1">{"fdsup://directions/FAT Viewer?action=UPDATE&amp;creator=factset&amp;DYN_ARGS=TRUE&amp;DOC_NAME=FAT:FQL_AUDITING_CLIENT_TEMPLATE.FAT&amp;display_string=Audit&amp;VAR:KEY=VQVCTQFYXQ&amp;VAR:QUERY=RkZfRUJJVERBX0lCKCdMVE1TJywzOTQ2Mik=&amp;WINDOW=FIRST_POPUP&amp;HEIGHT=450&amp;WIDTH=450&amp;START_MA","XIMIZED=FALSE&amp;VAR:CALENDAR=US&amp;VAR:SYMBOL=37183T10&amp;VAR:INDEX=0"}</definedName>
    <definedName name="_4423__FDSAUDITLINK__" hidden="1">{"fdsup://directions/FAT Viewer?action=UPDATE&amp;creator=factset&amp;DYN_ARGS=TRUE&amp;DOC_NAME=FAT:FQL_AUDITING_CLIENT_TEMPLATE.FAT&amp;display_string=Audit&amp;VAR:KEY=VQVCTQFYXQ&amp;VAR:QUERY=RkZfRUJJVERBX0lCKCdMVE1TJywzOTQ2Mik=&amp;WINDOW=FIRST_POPUP&amp;HEIGHT=450&amp;WIDTH=450&amp;START_MA","XIMIZED=FALSE&amp;VAR:CALENDAR=US&amp;VAR:SYMBOL=37183T10&amp;VAR:INDEX=0"}</definedName>
    <definedName name="_4424__FDSAUDITLINK__" localSheetId="6" hidden="1">{"fdsup://directions/FAT Viewer?action=UPDATE&amp;creator=factset&amp;DYN_ARGS=TRUE&amp;DOC_NAME=FAT:FQL_AUDITING_CLIENT_TEMPLATE.FAT&amp;display_string=Audit&amp;VAR:KEY=XWNQRMXCJC&amp;VAR:QUERY=RkZfRUJJVERBX0lCKCdMVE1TJywzOTQ2MSk=&amp;WINDOW=FIRST_POPUP&amp;HEIGHT=450&amp;WIDTH=450&amp;START_MA","XIMIZED=FALSE&amp;VAR:CALENDAR=US&amp;VAR:SYMBOL=37183T10&amp;VAR:INDEX=0"}</definedName>
    <definedName name="_4424__FDSAUDITLINK__" hidden="1">{"fdsup://directions/FAT Viewer?action=UPDATE&amp;creator=factset&amp;DYN_ARGS=TRUE&amp;DOC_NAME=FAT:FQL_AUDITING_CLIENT_TEMPLATE.FAT&amp;display_string=Audit&amp;VAR:KEY=XWNQRMXCJC&amp;VAR:QUERY=RkZfRUJJVERBX0lCKCdMVE1TJywzOTQ2MSk=&amp;WINDOW=FIRST_POPUP&amp;HEIGHT=450&amp;WIDTH=450&amp;START_MA","XIMIZED=FALSE&amp;VAR:CALENDAR=US&amp;VAR:SYMBOL=37183T10&amp;VAR:INDEX=0"}</definedName>
    <definedName name="_4425__FDSAUDITLINK__" localSheetId="6" hidden="1">{"fdsup://directions/FAT Viewer?action=UPDATE&amp;creator=factset&amp;DYN_ARGS=TRUE&amp;DOC_NAME=FAT:FQL_AUDITING_CLIENT_TEMPLATE.FAT&amp;display_string=Audit&amp;VAR:KEY=TKHUPOPSNS&amp;VAR:QUERY=RkZfRUJJVERBX0lCKCdMVE1TJywzOTQ2MCk=&amp;WINDOW=FIRST_POPUP&amp;HEIGHT=450&amp;WIDTH=450&amp;START_MA","XIMIZED=FALSE&amp;VAR:CALENDAR=US&amp;VAR:SYMBOL=37183T10&amp;VAR:INDEX=0"}</definedName>
    <definedName name="_4425__FDSAUDITLINK__" hidden="1">{"fdsup://directions/FAT Viewer?action=UPDATE&amp;creator=factset&amp;DYN_ARGS=TRUE&amp;DOC_NAME=FAT:FQL_AUDITING_CLIENT_TEMPLATE.FAT&amp;display_string=Audit&amp;VAR:KEY=TKHUPOPSNS&amp;VAR:QUERY=RkZfRUJJVERBX0lCKCdMVE1TJywzOTQ2MCk=&amp;WINDOW=FIRST_POPUP&amp;HEIGHT=450&amp;WIDTH=450&amp;START_MA","XIMIZED=FALSE&amp;VAR:CALENDAR=US&amp;VAR:SYMBOL=37183T10&amp;VAR:INDEX=0"}</definedName>
    <definedName name="_4426__FDSAUDITLINK__" localSheetId="6" hidden="1">{"fdsup://directions/FAT Viewer?action=UPDATE&amp;creator=factset&amp;DYN_ARGS=TRUE&amp;DOC_NAME=FAT:FQL_AUDITING_CLIENT_TEMPLATE.FAT&amp;display_string=Audit&amp;VAR:KEY=RCTEBSLUTU&amp;VAR:QUERY=RkZfRUJJVERBX0lCKCdMVE1TJywzOTQ1OSk=&amp;WINDOW=FIRST_POPUP&amp;HEIGHT=450&amp;WIDTH=450&amp;START_MA","XIMIZED=FALSE&amp;VAR:CALENDAR=US&amp;VAR:SYMBOL=37183T10&amp;VAR:INDEX=0"}</definedName>
    <definedName name="_4426__FDSAUDITLINK__" hidden="1">{"fdsup://directions/FAT Viewer?action=UPDATE&amp;creator=factset&amp;DYN_ARGS=TRUE&amp;DOC_NAME=FAT:FQL_AUDITING_CLIENT_TEMPLATE.FAT&amp;display_string=Audit&amp;VAR:KEY=RCTEBSLUTU&amp;VAR:QUERY=RkZfRUJJVERBX0lCKCdMVE1TJywzOTQ1OSk=&amp;WINDOW=FIRST_POPUP&amp;HEIGHT=450&amp;WIDTH=450&amp;START_MA","XIMIZED=FALSE&amp;VAR:CALENDAR=US&amp;VAR:SYMBOL=37183T10&amp;VAR:INDEX=0"}</definedName>
    <definedName name="_4427__FDSAUDITLINK__" localSheetId="6" hidden="1">{"fdsup://directions/FAT Viewer?action=UPDATE&amp;creator=factset&amp;DYN_ARGS=TRUE&amp;DOC_NAME=FAT:FQL_AUDITING_CLIENT_TEMPLATE.FAT&amp;display_string=Audit&amp;VAR:KEY=ZKFONEPATK&amp;VAR:QUERY=RkZfRUJJVERBX0lCKCdMVE1TJywzOTQ1OCk=&amp;WINDOW=FIRST_POPUP&amp;HEIGHT=450&amp;WIDTH=450&amp;START_MA","XIMIZED=FALSE&amp;VAR:CALENDAR=US&amp;VAR:SYMBOL=37183T10&amp;VAR:INDEX=0"}</definedName>
    <definedName name="_4427__FDSAUDITLINK__" hidden="1">{"fdsup://directions/FAT Viewer?action=UPDATE&amp;creator=factset&amp;DYN_ARGS=TRUE&amp;DOC_NAME=FAT:FQL_AUDITING_CLIENT_TEMPLATE.FAT&amp;display_string=Audit&amp;VAR:KEY=ZKFONEPATK&amp;VAR:QUERY=RkZfRUJJVERBX0lCKCdMVE1TJywzOTQ1OCk=&amp;WINDOW=FIRST_POPUP&amp;HEIGHT=450&amp;WIDTH=450&amp;START_MA","XIMIZED=FALSE&amp;VAR:CALENDAR=US&amp;VAR:SYMBOL=37183T10&amp;VAR:INDEX=0"}</definedName>
    <definedName name="_4428__FDSAUDITLINK__" localSheetId="6" hidden="1">{"fdsup://directions/FAT Viewer?action=UPDATE&amp;creator=factset&amp;DYN_ARGS=TRUE&amp;DOC_NAME=FAT:FQL_AUDITING_CLIENT_TEMPLATE.FAT&amp;display_string=Audit&amp;VAR:KEY=DODSHYTEPQ&amp;VAR:QUERY=RkZfRUJJVERBX0lCKCdMVE1TJywzOTQ1Nyk=&amp;WINDOW=FIRST_POPUP&amp;HEIGHT=450&amp;WIDTH=450&amp;START_MA","XIMIZED=FALSE&amp;VAR:CALENDAR=US&amp;VAR:SYMBOL=37183T10&amp;VAR:INDEX=0"}</definedName>
    <definedName name="_4428__FDSAUDITLINK__" hidden="1">{"fdsup://directions/FAT Viewer?action=UPDATE&amp;creator=factset&amp;DYN_ARGS=TRUE&amp;DOC_NAME=FAT:FQL_AUDITING_CLIENT_TEMPLATE.FAT&amp;display_string=Audit&amp;VAR:KEY=DODSHYTEPQ&amp;VAR:QUERY=RkZfRUJJVERBX0lCKCdMVE1TJywzOTQ1Nyk=&amp;WINDOW=FIRST_POPUP&amp;HEIGHT=450&amp;WIDTH=450&amp;START_MA","XIMIZED=FALSE&amp;VAR:CALENDAR=US&amp;VAR:SYMBOL=37183T10&amp;VAR:INDEX=0"}</definedName>
    <definedName name="_4429__FDSAUDITLINK__" localSheetId="6" hidden="1">{"fdsup://directions/FAT Viewer?action=UPDATE&amp;creator=factset&amp;DYN_ARGS=TRUE&amp;DOC_NAME=FAT:FQL_AUDITING_CLIENT_TEMPLATE.FAT&amp;display_string=Audit&amp;VAR:KEY=JYBABSVCDK&amp;VAR:QUERY=RkZfRUJJVERBX0lCKCdMVE1TJywzOTQ1Nik=&amp;WINDOW=FIRST_POPUP&amp;HEIGHT=450&amp;WIDTH=450&amp;START_MA","XIMIZED=FALSE&amp;VAR:CALENDAR=US&amp;VAR:SYMBOL=37183T10&amp;VAR:INDEX=0"}</definedName>
    <definedName name="_4429__FDSAUDITLINK__" hidden="1">{"fdsup://directions/FAT Viewer?action=UPDATE&amp;creator=factset&amp;DYN_ARGS=TRUE&amp;DOC_NAME=FAT:FQL_AUDITING_CLIENT_TEMPLATE.FAT&amp;display_string=Audit&amp;VAR:KEY=JYBABSVCDK&amp;VAR:QUERY=RkZfRUJJVERBX0lCKCdMVE1TJywzOTQ1Nik=&amp;WINDOW=FIRST_POPUP&amp;HEIGHT=450&amp;WIDTH=450&amp;START_MA","XIMIZED=FALSE&amp;VAR:CALENDAR=US&amp;VAR:SYMBOL=37183T10&amp;VAR:INDEX=0"}</definedName>
    <definedName name="_443__FDSAUDITLINK__" localSheetId="6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3__FDSAUDITLINK__" hidden="1">{"fdsup://directions/FAT%20Viewer?VAR:PED=LTM&amp;VAR:AUDIT_MODE=SUMMARY&amp;VAR:PERIOD=FIXED&amp;VAR:AUDIT_ID=00000117&amp;VAR:DATE=20081205&amp;action=UPDATE&amp;creator=factset&amp;DOC_NAME=FAT:FMA_audit_SUMMARY.fat&amp;DISPLAY_STRING=Display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30__FDSAUDITLINK__" localSheetId="6" hidden="1">{"fdsup://directions/FAT Viewer?action=UPDATE&amp;creator=factset&amp;DYN_ARGS=TRUE&amp;DOC_NAME=FAT:FQL_AUDITING_CLIENT_TEMPLATE.FAT&amp;display_string=Audit&amp;VAR:KEY=JIJSPEPONI&amp;VAR:QUERY=RkZfRUJJVERBX0lCKCdMVE1TJywzOTQ1NSk=&amp;WINDOW=FIRST_POPUP&amp;HEIGHT=450&amp;WIDTH=450&amp;START_MA","XIMIZED=FALSE&amp;VAR:CALENDAR=US&amp;VAR:SYMBOL=37183T10&amp;VAR:INDEX=0"}</definedName>
    <definedName name="_4430__FDSAUDITLINK__" hidden="1">{"fdsup://directions/FAT Viewer?action=UPDATE&amp;creator=factset&amp;DYN_ARGS=TRUE&amp;DOC_NAME=FAT:FQL_AUDITING_CLIENT_TEMPLATE.FAT&amp;display_string=Audit&amp;VAR:KEY=JIJSPEPONI&amp;VAR:QUERY=RkZfRUJJVERBX0lCKCdMVE1TJywzOTQ1NSk=&amp;WINDOW=FIRST_POPUP&amp;HEIGHT=450&amp;WIDTH=450&amp;START_MA","XIMIZED=FALSE&amp;VAR:CALENDAR=US&amp;VAR:SYMBOL=37183T10&amp;VAR:INDEX=0"}</definedName>
    <definedName name="_4431__FDSAUDITLINK__" localSheetId="6" hidden="1">{"fdsup://directions/FAT Viewer?action=UPDATE&amp;creator=factset&amp;DYN_ARGS=TRUE&amp;DOC_NAME=FAT:FQL_AUDITING_CLIENT_TEMPLATE.FAT&amp;display_string=Audit&amp;VAR:KEY=DYTUHGDWDM&amp;VAR:QUERY=RkZfRUJJVERBX0lCKCdMVE1TJywzOTQ1NCk=&amp;WINDOW=FIRST_POPUP&amp;HEIGHT=450&amp;WIDTH=450&amp;START_MA","XIMIZED=FALSE&amp;VAR:CALENDAR=US&amp;VAR:SYMBOL=37183T10&amp;VAR:INDEX=0"}</definedName>
    <definedName name="_4431__FDSAUDITLINK__" hidden="1">{"fdsup://directions/FAT Viewer?action=UPDATE&amp;creator=factset&amp;DYN_ARGS=TRUE&amp;DOC_NAME=FAT:FQL_AUDITING_CLIENT_TEMPLATE.FAT&amp;display_string=Audit&amp;VAR:KEY=DYTUHGDWDM&amp;VAR:QUERY=RkZfRUJJVERBX0lCKCdMVE1TJywzOTQ1NCk=&amp;WINDOW=FIRST_POPUP&amp;HEIGHT=450&amp;WIDTH=450&amp;START_MA","XIMIZED=FALSE&amp;VAR:CALENDAR=US&amp;VAR:SYMBOL=37183T10&amp;VAR:INDEX=0"}</definedName>
    <definedName name="_4432__FDSAUDITLINK__" localSheetId="6" hidden="1">{"fdsup://directions/FAT Viewer?action=UPDATE&amp;creator=factset&amp;DYN_ARGS=TRUE&amp;DOC_NAME=FAT:FQL_AUDITING_CLIENT_TEMPLATE.FAT&amp;display_string=Audit&amp;VAR:KEY=BCHUPSJMDO&amp;VAR:QUERY=RkZfRUJJVERBX0lCKCdMVE1TJywzOTQ1Myk=&amp;WINDOW=FIRST_POPUP&amp;HEIGHT=450&amp;WIDTH=450&amp;START_MA","XIMIZED=FALSE&amp;VAR:CALENDAR=US&amp;VAR:SYMBOL=37183T10&amp;VAR:INDEX=0"}</definedName>
    <definedName name="_4432__FDSAUDITLINK__" hidden="1">{"fdsup://directions/FAT Viewer?action=UPDATE&amp;creator=factset&amp;DYN_ARGS=TRUE&amp;DOC_NAME=FAT:FQL_AUDITING_CLIENT_TEMPLATE.FAT&amp;display_string=Audit&amp;VAR:KEY=BCHUPSJMDO&amp;VAR:QUERY=RkZfRUJJVERBX0lCKCdMVE1TJywzOTQ1Myk=&amp;WINDOW=FIRST_POPUP&amp;HEIGHT=450&amp;WIDTH=450&amp;START_MA","XIMIZED=FALSE&amp;VAR:CALENDAR=US&amp;VAR:SYMBOL=37183T10&amp;VAR:INDEX=0"}</definedName>
    <definedName name="_4433__FDSAUDITLINK__" localSheetId="6" hidden="1">{"fdsup://directions/FAT Viewer?action=UPDATE&amp;creator=factset&amp;DYN_ARGS=TRUE&amp;DOC_NAME=FAT:FQL_AUDITING_CLIENT_TEMPLATE.FAT&amp;display_string=Audit&amp;VAR:KEY=FOBGVMJMRG&amp;VAR:QUERY=RkZfRUJJVERBX0lCKCdMVE1TJywzOTQ1Mik=&amp;WINDOW=FIRST_POPUP&amp;HEIGHT=450&amp;WIDTH=450&amp;START_MA","XIMIZED=FALSE&amp;VAR:CALENDAR=US&amp;VAR:SYMBOL=37183T10&amp;VAR:INDEX=0"}</definedName>
    <definedName name="_4433__FDSAUDITLINK__" hidden="1">{"fdsup://directions/FAT Viewer?action=UPDATE&amp;creator=factset&amp;DYN_ARGS=TRUE&amp;DOC_NAME=FAT:FQL_AUDITING_CLIENT_TEMPLATE.FAT&amp;display_string=Audit&amp;VAR:KEY=FOBGVMJMRG&amp;VAR:QUERY=RkZfRUJJVERBX0lCKCdMVE1TJywzOTQ1Mik=&amp;WINDOW=FIRST_POPUP&amp;HEIGHT=450&amp;WIDTH=450&amp;START_MA","XIMIZED=FALSE&amp;VAR:CALENDAR=US&amp;VAR:SYMBOL=37183T10&amp;VAR:INDEX=0"}</definedName>
    <definedName name="_4434__FDSAUDITLINK__" localSheetId="6" hidden="1">{"fdsup://directions/FAT Viewer?action=UPDATE&amp;creator=factset&amp;DYN_ARGS=TRUE&amp;DOC_NAME=FAT:FQL_AUDITING_CLIENT_TEMPLATE.FAT&amp;display_string=Audit&amp;VAR:KEY=HGHATEBCNS&amp;VAR:QUERY=RkZfRUJJVERBX0lCKCdMVE1TJywzOTQ1MSk=&amp;WINDOW=FIRST_POPUP&amp;HEIGHT=450&amp;WIDTH=450&amp;START_MA","XIMIZED=FALSE&amp;VAR:CALENDAR=US&amp;VAR:SYMBOL=37183T10&amp;VAR:INDEX=0"}</definedName>
    <definedName name="_4434__FDSAUDITLINK__" hidden="1">{"fdsup://directions/FAT Viewer?action=UPDATE&amp;creator=factset&amp;DYN_ARGS=TRUE&amp;DOC_NAME=FAT:FQL_AUDITING_CLIENT_TEMPLATE.FAT&amp;display_string=Audit&amp;VAR:KEY=HGHATEBCNS&amp;VAR:QUERY=RkZfRUJJVERBX0lCKCdMVE1TJywzOTQ1MSk=&amp;WINDOW=FIRST_POPUP&amp;HEIGHT=450&amp;WIDTH=450&amp;START_MA","XIMIZED=FALSE&amp;VAR:CALENDAR=US&amp;VAR:SYMBOL=37183T10&amp;VAR:INDEX=0"}</definedName>
    <definedName name="_4435__FDSAUDITLINK__" localSheetId="6" hidden="1">{"fdsup://directions/FAT Viewer?action=UPDATE&amp;creator=factset&amp;DYN_ARGS=TRUE&amp;DOC_NAME=FAT:FQL_AUDITING_CLIENT_TEMPLATE.FAT&amp;display_string=Audit&amp;VAR:KEY=TMTSJKBCZU&amp;VAR:QUERY=RkZfRUJJVERBX0lCKCdMVE1TJywzOTQ1MCk=&amp;WINDOW=FIRST_POPUP&amp;HEIGHT=450&amp;WIDTH=450&amp;START_MA","XIMIZED=FALSE&amp;VAR:CALENDAR=US&amp;VAR:SYMBOL=37183T10&amp;VAR:INDEX=0"}</definedName>
    <definedName name="_4435__FDSAUDITLINK__" hidden="1">{"fdsup://directions/FAT Viewer?action=UPDATE&amp;creator=factset&amp;DYN_ARGS=TRUE&amp;DOC_NAME=FAT:FQL_AUDITING_CLIENT_TEMPLATE.FAT&amp;display_string=Audit&amp;VAR:KEY=TMTSJKBCZU&amp;VAR:QUERY=RkZfRUJJVERBX0lCKCdMVE1TJywzOTQ1MCk=&amp;WINDOW=FIRST_POPUP&amp;HEIGHT=450&amp;WIDTH=450&amp;START_MA","XIMIZED=FALSE&amp;VAR:CALENDAR=US&amp;VAR:SYMBOL=37183T10&amp;VAR:INDEX=0"}</definedName>
    <definedName name="_4436__FDSAUDITLINK__" localSheetId="6" hidden="1">{"fdsup://directions/FAT Viewer?action=UPDATE&amp;creator=factset&amp;DYN_ARGS=TRUE&amp;DOC_NAME=FAT:FQL_AUDITING_CLIENT_TEMPLATE.FAT&amp;display_string=Audit&amp;VAR:KEY=ZGLIHQJUVG&amp;VAR:QUERY=RkZfRUJJVERBX0lCKCdMVE1TJywzOTQ0OSk=&amp;WINDOW=FIRST_POPUP&amp;HEIGHT=450&amp;WIDTH=450&amp;START_MA","XIMIZED=FALSE&amp;VAR:CALENDAR=US&amp;VAR:SYMBOL=37183T10&amp;VAR:INDEX=0"}</definedName>
    <definedName name="_4436__FDSAUDITLINK__" hidden="1">{"fdsup://directions/FAT Viewer?action=UPDATE&amp;creator=factset&amp;DYN_ARGS=TRUE&amp;DOC_NAME=FAT:FQL_AUDITING_CLIENT_TEMPLATE.FAT&amp;display_string=Audit&amp;VAR:KEY=ZGLIHQJUVG&amp;VAR:QUERY=RkZfRUJJVERBX0lCKCdMVE1TJywzOTQ0OSk=&amp;WINDOW=FIRST_POPUP&amp;HEIGHT=450&amp;WIDTH=450&amp;START_MA","XIMIZED=FALSE&amp;VAR:CALENDAR=US&amp;VAR:SYMBOL=37183T10&amp;VAR:INDEX=0"}</definedName>
    <definedName name="_4437__FDSAUDITLINK__" localSheetId="6" hidden="1">{"fdsup://directions/FAT Viewer?action=UPDATE&amp;creator=factset&amp;DYN_ARGS=TRUE&amp;DOC_NAME=FAT:FQL_AUDITING_CLIENT_TEMPLATE.FAT&amp;display_string=Audit&amp;VAR:KEY=TAZQZQJEJE&amp;VAR:QUERY=RkZfRUJJVERBX0lCKCdMVE1TJywzOTQ0OCk=&amp;WINDOW=FIRST_POPUP&amp;HEIGHT=450&amp;WIDTH=450&amp;START_MA","XIMIZED=FALSE&amp;VAR:CALENDAR=US&amp;VAR:SYMBOL=37183T10&amp;VAR:INDEX=0"}</definedName>
    <definedName name="_4437__FDSAUDITLINK__" hidden="1">{"fdsup://directions/FAT Viewer?action=UPDATE&amp;creator=factset&amp;DYN_ARGS=TRUE&amp;DOC_NAME=FAT:FQL_AUDITING_CLIENT_TEMPLATE.FAT&amp;display_string=Audit&amp;VAR:KEY=TAZQZQJEJE&amp;VAR:QUERY=RkZfRUJJVERBX0lCKCdMVE1TJywzOTQ0OCk=&amp;WINDOW=FIRST_POPUP&amp;HEIGHT=450&amp;WIDTH=450&amp;START_MA","XIMIZED=FALSE&amp;VAR:CALENDAR=US&amp;VAR:SYMBOL=37183T10&amp;VAR:INDEX=0"}</definedName>
    <definedName name="_4438__FDSAUDITLINK__" localSheetId="6" hidden="1">{"fdsup://directions/FAT Viewer?action=UPDATE&amp;creator=factset&amp;DYN_ARGS=TRUE&amp;DOC_NAME=FAT:FQL_AUDITING_CLIENT_TEMPLATE.FAT&amp;display_string=Audit&amp;VAR:KEY=FEDQXSVMBM&amp;VAR:QUERY=RkZfRUJJVERBX0lCKCdMVE1TJywzOTQ0Nyk=&amp;WINDOW=FIRST_POPUP&amp;HEIGHT=450&amp;WIDTH=450&amp;START_MA","XIMIZED=FALSE&amp;VAR:CALENDAR=US&amp;VAR:SYMBOL=37183T10&amp;VAR:INDEX=0"}</definedName>
    <definedName name="_4438__FDSAUDITLINK__" hidden="1">{"fdsup://directions/FAT Viewer?action=UPDATE&amp;creator=factset&amp;DYN_ARGS=TRUE&amp;DOC_NAME=FAT:FQL_AUDITING_CLIENT_TEMPLATE.FAT&amp;display_string=Audit&amp;VAR:KEY=FEDQXSVMBM&amp;VAR:QUERY=RkZfRUJJVERBX0lCKCdMVE1TJywzOTQ0Nyk=&amp;WINDOW=FIRST_POPUP&amp;HEIGHT=450&amp;WIDTH=450&amp;START_MA","XIMIZED=FALSE&amp;VAR:CALENDAR=US&amp;VAR:SYMBOL=37183T10&amp;VAR:INDEX=0"}</definedName>
    <definedName name="_4439__FDSAUDITLINK__" localSheetId="6" hidden="1">{"fdsup://directions/FAT Viewer?action=UPDATE&amp;creator=factset&amp;DYN_ARGS=TRUE&amp;DOC_NAME=FAT:FQL_AUDITING_CLIENT_TEMPLATE.FAT&amp;display_string=Audit&amp;VAR:KEY=DKFEZUZWRS&amp;VAR:QUERY=RkZfRUJJVERBX0lCKCdMVE1TJywzOTQ0Nik=&amp;WINDOW=FIRST_POPUP&amp;HEIGHT=450&amp;WIDTH=450&amp;START_MA","XIMIZED=FALSE&amp;VAR:CALENDAR=US&amp;VAR:SYMBOL=37183T10&amp;VAR:INDEX=0"}</definedName>
    <definedName name="_4439__FDSAUDITLINK__" hidden="1">{"fdsup://directions/FAT Viewer?action=UPDATE&amp;creator=factset&amp;DYN_ARGS=TRUE&amp;DOC_NAME=FAT:FQL_AUDITING_CLIENT_TEMPLATE.FAT&amp;display_string=Audit&amp;VAR:KEY=DKFEZUZWRS&amp;VAR:QUERY=RkZfRUJJVERBX0lCKCdMVE1TJywzOTQ0Nik=&amp;WINDOW=FIRST_POPUP&amp;HEIGHT=450&amp;WIDTH=450&amp;START_MA","XIMIZED=FALSE&amp;VAR:CALENDAR=US&amp;VAR:SYMBOL=37183T10&amp;VAR:INDEX=0"}</definedName>
    <definedName name="_444__FDSAUDITLINK__" localSheetId="6" hidden="1">{"fdsup://directions/FAT%20Viewer?VAR:PED=LTM&amp;VAR:AUDIT_MODE=SUMMARY&amp;VAR:PERIOD=FIXED&amp;VAR:AUDIT_ID=00000117&amp;VAR:DATE=20081204&amp;action=UPDATE&amp;creator=factset&amp;DOC_NAME=FAT:FMA_audit_SUMMARY.fat&amp;DISPLAY_STRING=Display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4__FDSAUDITLINK__" hidden="1">{"fdsup://directions/FAT%20Viewer?VAR:PED=LTM&amp;VAR:AUDIT_MODE=SUMMARY&amp;VAR:PERIOD=FIXED&amp;VAR:AUDIT_ID=00000117&amp;VAR:DATE=20081204&amp;action=UPDATE&amp;creator=factset&amp;DOC_NAME=FAT:FMA_audit_SUMMARY.fat&amp;DISPLAY_STRING=Display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40__FDSAUDITLINK__" localSheetId="6" hidden="1">{"fdsup://directions/FAT Viewer?action=UPDATE&amp;creator=factset&amp;DYN_ARGS=TRUE&amp;DOC_NAME=FAT:FQL_AUDITING_CLIENT_TEMPLATE.FAT&amp;display_string=Audit&amp;VAR:KEY=RCRKXSFAJG&amp;VAR:QUERY=RkZfRUJJVERBX0lCKCdMVE1TJywzOTQ0NSk=&amp;WINDOW=FIRST_POPUP&amp;HEIGHT=450&amp;WIDTH=450&amp;START_MA","XIMIZED=FALSE&amp;VAR:CALENDAR=US&amp;VAR:SYMBOL=37183T10&amp;VAR:INDEX=0"}</definedName>
    <definedName name="_4440__FDSAUDITLINK__" hidden="1">{"fdsup://directions/FAT Viewer?action=UPDATE&amp;creator=factset&amp;DYN_ARGS=TRUE&amp;DOC_NAME=FAT:FQL_AUDITING_CLIENT_TEMPLATE.FAT&amp;display_string=Audit&amp;VAR:KEY=RCRKXSFAJG&amp;VAR:QUERY=RkZfRUJJVERBX0lCKCdMVE1TJywzOTQ0NSk=&amp;WINDOW=FIRST_POPUP&amp;HEIGHT=450&amp;WIDTH=450&amp;START_MA","XIMIZED=FALSE&amp;VAR:CALENDAR=US&amp;VAR:SYMBOL=37183T10&amp;VAR:INDEX=0"}</definedName>
    <definedName name="_4441__FDSAUDITLINK__" localSheetId="6" hidden="1">{"fdsup://directions/FAT Viewer?action=UPDATE&amp;creator=factset&amp;DYN_ARGS=TRUE&amp;DOC_NAME=FAT:FQL_AUDITING_CLIENT_TEMPLATE.FAT&amp;display_string=Audit&amp;VAR:KEY=ROBWRKVWNS&amp;VAR:QUERY=RkZfRUJJVERBX0lCKCdMVE1TJywzOTQ0NCk=&amp;WINDOW=FIRST_POPUP&amp;HEIGHT=450&amp;WIDTH=450&amp;START_MA","XIMIZED=FALSE&amp;VAR:CALENDAR=US&amp;VAR:SYMBOL=37183T10&amp;VAR:INDEX=0"}</definedName>
    <definedName name="_4441__FDSAUDITLINK__" hidden="1">{"fdsup://directions/FAT Viewer?action=UPDATE&amp;creator=factset&amp;DYN_ARGS=TRUE&amp;DOC_NAME=FAT:FQL_AUDITING_CLIENT_TEMPLATE.FAT&amp;display_string=Audit&amp;VAR:KEY=ROBWRKVWNS&amp;VAR:QUERY=RkZfRUJJVERBX0lCKCdMVE1TJywzOTQ0NCk=&amp;WINDOW=FIRST_POPUP&amp;HEIGHT=450&amp;WIDTH=450&amp;START_MA","XIMIZED=FALSE&amp;VAR:CALENDAR=US&amp;VAR:SYMBOL=37183T10&amp;VAR:INDEX=0"}</definedName>
    <definedName name="_4442__FDSAUDITLINK__" localSheetId="6" hidden="1">{"fdsup://directions/FAT Viewer?action=UPDATE&amp;creator=factset&amp;DYN_ARGS=TRUE&amp;DOC_NAME=FAT:FQL_AUDITING_CLIENT_TEMPLATE.FAT&amp;display_string=Audit&amp;VAR:KEY=JOFIXCZCBW&amp;VAR:QUERY=RkZfRUJJVERBX0lCKCdMVE1TJywzOTQ0Myk=&amp;WINDOW=FIRST_POPUP&amp;HEIGHT=450&amp;WIDTH=450&amp;START_MA","XIMIZED=FALSE&amp;VAR:CALENDAR=US&amp;VAR:SYMBOL=37183T10&amp;VAR:INDEX=0"}</definedName>
    <definedName name="_4442__FDSAUDITLINK__" hidden="1">{"fdsup://directions/FAT Viewer?action=UPDATE&amp;creator=factset&amp;DYN_ARGS=TRUE&amp;DOC_NAME=FAT:FQL_AUDITING_CLIENT_TEMPLATE.FAT&amp;display_string=Audit&amp;VAR:KEY=JOFIXCZCBW&amp;VAR:QUERY=RkZfRUJJVERBX0lCKCdMVE1TJywzOTQ0Myk=&amp;WINDOW=FIRST_POPUP&amp;HEIGHT=450&amp;WIDTH=450&amp;START_MA","XIMIZED=FALSE&amp;VAR:CALENDAR=US&amp;VAR:SYMBOL=37183T10&amp;VAR:INDEX=0"}</definedName>
    <definedName name="_4443__FDSAUDITLINK__" localSheetId="6" hidden="1">{"fdsup://directions/FAT Viewer?action=UPDATE&amp;creator=factset&amp;DYN_ARGS=TRUE&amp;DOC_NAME=FAT:FQL_AUDITING_CLIENT_TEMPLATE.FAT&amp;display_string=Audit&amp;VAR:KEY=TONSTSVIXM&amp;VAR:QUERY=RkZfRUJJVERBX0lCKCdMVE1TJywzOTQ0Mik=&amp;WINDOW=FIRST_POPUP&amp;HEIGHT=450&amp;WIDTH=450&amp;START_MA","XIMIZED=FALSE&amp;VAR:CALENDAR=US&amp;VAR:SYMBOL=37183T10&amp;VAR:INDEX=0"}</definedName>
    <definedName name="_4443__FDSAUDITLINK__" hidden="1">{"fdsup://directions/FAT Viewer?action=UPDATE&amp;creator=factset&amp;DYN_ARGS=TRUE&amp;DOC_NAME=FAT:FQL_AUDITING_CLIENT_TEMPLATE.FAT&amp;display_string=Audit&amp;VAR:KEY=TONSTSVIXM&amp;VAR:QUERY=RkZfRUJJVERBX0lCKCdMVE1TJywzOTQ0Mik=&amp;WINDOW=FIRST_POPUP&amp;HEIGHT=450&amp;WIDTH=450&amp;START_MA","XIMIZED=FALSE&amp;VAR:CALENDAR=US&amp;VAR:SYMBOL=37183T10&amp;VAR:INDEX=0"}</definedName>
    <definedName name="_4444__FDSAUDITLINK__" localSheetId="6" hidden="1">{"fdsup://directions/FAT Viewer?action=UPDATE&amp;creator=factset&amp;DYN_ARGS=TRUE&amp;DOC_NAME=FAT:FQL_AUDITING_CLIENT_TEMPLATE.FAT&amp;display_string=Audit&amp;VAR:KEY=LODGDOBARA&amp;VAR:QUERY=RkZfRUJJVERBX0lCKCdMVE1TJywzOTQ0MSk=&amp;WINDOW=FIRST_POPUP&amp;HEIGHT=450&amp;WIDTH=450&amp;START_MA","XIMIZED=FALSE&amp;VAR:CALENDAR=US&amp;VAR:SYMBOL=37183T10&amp;VAR:INDEX=0"}</definedName>
    <definedName name="_4444__FDSAUDITLINK__" hidden="1">{"fdsup://directions/FAT Viewer?action=UPDATE&amp;creator=factset&amp;DYN_ARGS=TRUE&amp;DOC_NAME=FAT:FQL_AUDITING_CLIENT_TEMPLATE.FAT&amp;display_string=Audit&amp;VAR:KEY=LODGDOBARA&amp;VAR:QUERY=RkZfRUJJVERBX0lCKCdMVE1TJywzOTQ0MSk=&amp;WINDOW=FIRST_POPUP&amp;HEIGHT=450&amp;WIDTH=450&amp;START_MA","XIMIZED=FALSE&amp;VAR:CALENDAR=US&amp;VAR:SYMBOL=37183T10&amp;VAR:INDEX=0"}</definedName>
    <definedName name="_4445__FDSAUDITLINK__" localSheetId="6" hidden="1">{"fdsup://directions/FAT Viewer?action=UPDATE&amp;creator=factset&amp;DYN_ARGS=TRUE&amp;DOC_NAME=FAT:FQL_AUDITING_CLIENT_TEMPLATE.FAT&amp;display_string=Audit&amp;VAR:KEY=DCLCJETAFI&amp;VAR:QUERY=RkZfRUJJVERBX0lCKCdMVE1TJywzOTQ0MCk=&amp;WINDOW=FIRST_POPUP&amp;HEIGHT=450&amp;WIDTH=450&amp;START_MA","XIMIZED=FALSE&amp;VAR:CALENDAR=US&amp;VAR:SYMBOL=37183T10&amp;VAR:INDEX=0"}</definedName>
    <definedName name="_4445__FDSAUDITLINK__" hidden="1">{"fdsup://directions/FAT Viewer?action=UPDATE&amp;creator=factset&amp;DYN_ARGS=TRUE&amp;DOC_NAME=FAT:FQL_AUDITING_CLIENT_TEMPLATE.FAT&amp;display_string=Audit&amp;VAR:KEY=DCLCJETAFI&amp;VAR:QUERY=RkZfRUJJVERBX0lCKCdMVE1TJywzOTQ0MCk=&amp;WINDOW=FIRST_POPUP&amp;HEIGHT=450&amp;WIDTH=450&amp;START_MA","XIMIZED=FALSE&amp;VAR:CALENDAR=US&amp;VAR:SYMBOL=37183T10&amp;VAR:INDEX=0"}</definedName>
    <definedName name="_4446__FDSAUDITLINK__" localSheetId="6" hidden="1">{"fdsup://directions/FAT Viewer?action=UPDATE&amp;creator=factset&amp;DYN_ARGS=TRUE&amp;DOC_NAME=FAT:FQL_AUDITING_CLIENT_TEMPLATE.FAT&amp;display_string=Audit&amp;VAR:KEY=JUVSTWLSZK&amp;VAR:QUERY=RkZfRUJJVERBX0lCKCdMVE1TJywzOTQzOSk=&amp;WINDOW=FIRST_POPUP&amp;HEIGHT=450&amp;WIDTH=450&amp;START_MA","XIMIZED=FALSE&amp;VAR:CALENDAR=US&amp;VAR:SYMBOL=37183T10&amp;VAR:INDEX=0"}</definedName>
    <definedName name="_4446__FDSAUDITLINK__" hidden="1">{"fdsup://directions/FAT Viewer?action=UPDATE&amp;creator=factset&amp;DYN_ARGS=TRUE&amp;DOC_NAME=FAT:FQL_AUDITING_CLIENT_TEMPLATE.FAT&amp;display_string=Audit&amp;VAR:KEY=JUVSTWLSZK&amp;VAR:QUERY=RkZfRUJJVERBX0lCKCdMVE1TJywzOTQzOSk=&amp;WINDOW=FIRST_POPUP&amp;HEIGHT=450&amp;WIDTH=450&amp;START_MA","XIMIZED=FALSE&amp;VAR:CALENDAR=US&amp;VAR:SYMBOL=37183T10&amp;VAR:INDEX=0"}</definedName>
    <definedName name="_4447__FDSAUDITLINK__" localSheetId="6" hidden="1">{"fdsup://directions/FAT Viewer?action=UPDATE&amp;creator=factset&amp;DYN_ARGS=TRUE&amp;DOC_NAME=FAT:FQL_AUDITING_CLIENT_TEMPLATE.FAT&amp;display_string=Audit&amp;VAR:KEY=NWFKDCVULS&amp;VAR:QUERY=RkZfRUJJVERBX0lCKCdMVE1TJywzOTQzOCk=&amp;WINDOW=FIRST_POPUP&amp;HEIGHT=450&amp;WIDTH=450&amp;START_MA","XIMIZED=FALSE&amp;VAR:CALENDAR=US&amp;VAR:SYMBOL=37183T10&amp;VAR:INDEX=0"}</definedName>
    <definedName name="_4447__FDSAUDITLINK__" hidden="1">{"fdsup://directions/FAT Viewer?action=UPDATE&amp;creator=factset&amp;DYN_ARGS=TRUE&amp;DOC_NAME=FAT:FQL_AUDITING_CLIENT_TEMPLATE.FAT&amp;display_string=Audit&amp;VAR:KEY=NWFKDCVULS&amp;VAR:QUERY=RkZfRUJJVERBX0lCKCdMVE1TJywzOTQzOCk=&amp;WINDOW=FIRST_POPUP&amp;HEIGHT=450&amp;WIDTH=450&amp;START_MA","XIMIZED=FALSE&amp;VAR:CALENDAR=US&amp;VAR:SYMBOL=37183T10&amp;VAR:INDEX=0"}</definedName>
    <definedName name="_4448__FDSAUDITLINK__" localSheetId="6" hidden="1">{"fdsup://directions/FAT Viewer?action=UPDATE&amp;creator=factset&amp;DYN_ARGS=TRUE&amp;DOC_NAME=FAT:FQL_AUDITING_CLIENT_TEMPLATE.FAT&amp;display_string=Audit&amp;VAR:KEY=LEHSPUJIPE&amp;VAR:QUERY=RkZfRUJJVERBX0lCKCdMVE1TJywzOTQzNyk=&amp;WINDOW=FIRST_POPUP&amp;HEIGHT=450&amp;WIDTH=450&amp;START_MA","XIMIZED=FALSE&amp;VAR:CALENDAR=US&amp;VAR:SYMBOL=37183T10&amp;VAR:INDEX=0"}</definedName>
    <definedName name="_4448__FDSAUDITLINK__" hidden="1">{"fdsup://directions/FAT Viewer?action=UPDATE&amp;creator=factset&amp;DYN_ARGS=TRUE&amp;DOC_NAME=FAT:FQL_AUDITING_CLIENT_TEMPLATE.FAT&amp;display_string=Audit&amp;VAR:KEY=LEHSPUJIPE&amp;VAR:QUERY=RkZfRUJJVERBX0lCKCdMVE1TJywzOTQzNyk=&amp;WINDOW=FIRST_POPUP&amp;HEIGHT=450&amp;WIDTH=450&amp;START_MA","XIMIZED=FALSE&amp;VAR:CALENDAR=US&amp;VAR:SYMBOL=37183T10&amp;VAR:INDEX=0"}</definedName>
    <definedName name="_4449__FDSAUDITLINK__" localSheetId="6" hidden="1">{"fdsup://directions/FAT Viewer?action=UPDATE&amp;creator=factset&amp;DYN_ARGS=TRUE&amp;DOC_NAME=FAT:FQL_AUDITING_CLIENT_TEMPLATE.FAT&amp;display_string=Audit&amp;VAR:KEY=HMTUTGFYJQ&amp;VAR:QUERY=RkZfRUJJVERBX0lCKCdMVE1TJywzOTQzNik=&amp;WINDOW=FIRST_POPUP&amp;HEIGHT=450&amp;WIDTH=450&amp;START_MA","XIMIZED=FALSE&amp;VAR:CALENDAR=US&amp;VAR:SYMBOL=37183T10&amp;VAR:INDEX=0"}</definedName>
    <definedName name="_4449__FDSAUDITLINK__" hidden="1">{"fdsup://directions/FAT Viewer?action=UPDATE&amp;creator=factset&amp;DYN_ARGS=TRUE&amp;DOC_NAME=FAT:FQL_AUDITING_CLIENT_TEMPLATE.FAT&amp;display_string=Audit&amp;VAR:KEY=HMTUTGFYJQ&amp;VAR:QUERY=RkZfRUJJVERBX0lCKCdMVE1TJywzOTQzNik=&amp;WINDOW=FIRST_POPUP&amp;HEIGHT=450&amp;WIDTH=450&amp;START_MA","XIMIZED=FALSE&amp;VAR:CALENDAR=US&amp;VAR:SYMBOL=37183T10&amp;VAR:INDEX=0"}</definedName>
    <definedName name="_445__FDSAUDITLINK__" localSheetId="6" hidden="1">{"fdsup://directions/FAT%20Viewer?VAR:PED=LTM&amp;VAR:AUDIT_MODE=SUMMARY&amp;VAR:PERIOD=FIXED&amp;VAR:AUDIT_ID=00000117&amp;VAR:DATE=20081203&amp;action=UPDATE&amp;creator=factset&amp;DOC_NAME=FAT:FMA_audit_SUMMARY.fat&amp;DISPLAY_STRING=Display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5__FDSAUDITLINK__" hidden="1">{"fdsup://directions/FAT%20Viewer?VAR:PED=LTM&amp;VAR:AUDIT_MODE=SUMMARY&amp;VAR:PERIOD=FIXED&amp;VAR:AUDIT_ID=00000117&amp;VAR:DATE=20081203&amp;action=UPDATE&amp;creator=factset&amp;DOC_NAME=FAT:FMA_audit_SUMMARY.fat&amp;DISPLAY_STRING=Display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50__FDSAUDITLINK__" localSheetId="6" hidden="1">{"fdsup://directions/FAT Viewer?action=UPDATE&amp;creator=factset&amp;DYN_ARGS=TRUE&amp;DOC_NAME=FAT:FQL_AUDITING_CLIENT_TEMPLATE.FAT&amp;display_string=Audit&amp;VAR:KEY=DQTCDCHWPA&amp;VAR:QUERY=RkZfRUJJVERBX0lCKCdMVE1TJywzOTQzNSk=&amp;WINDOW=FIRST_POPUP&amp;HEIGHT=450&amp;WIDTH=450&amp;START_MA","XIMIZED=FALSE&amp;VAR:CALENDAR=US&amp;VAR:SYMBOL=37183T10&amp;VAR:INDEX=0"}</definedName>
    <definedName name="_4450__FDSAUDITLINK__" hidden="1">{"fdsup://directions/FAT Viewer?action=UPDATE&amp;creator=factset&amp;DYN_ARGS=TRUE&amp;DOC_NAME=FAT:FQL_AUDITING_CLIENT_TEMPLATE.FAT&amp;display_string=Audit&amp;VAR:KEY=DQTCDCHWPA&amp;VAR:QUERY=RkZfRUJJVERBX0lCKCdMVE1TJywzOTQzNSk=&amp;WINDOW=FIRST_POPUP&amp;HEIGHT=450&amp;WIDTH=450&amp;START_MA","XIMIZED=FALSE&amp;VAR:CALENDAR=US&amp;VAR:SYMBOL=37183T10&amp;VAR:INDEX=0"}</definedName>
    <definedName name="_4451__FDSAUDITLINK__" localSheetId="6" hidden="1">{"fdsup://directions/FAT Viewer?action=UPDATE&amp;creator=factset&amp;DYN_ARGS=TRUE&amp;DOC_NAME=FAT:FQL_AUDITING_CLIENT_TEMPLATE.FAT&amp;display_string=Audit&amp;VAR:KEY=VQPEZIBKJE&amp;VAR:QUERY=RkZfRUJJVERBX0lCKCdMVE1TJywzOTQzNCk=&amp;WINDOW=FIRST_POPUP&amp;HEIGHT=450&amp;WIDTH=450&amp;START_MA","XIMIZED=FALSE&amp;VAR:CALENDAR=US&amp;VAR:SYMBOL=37183T10&amp;VAR:INDEX=0"}</definedName>
    <definedName name="_4451__FDSAUDITLINK__" hidden="1">{"fdsup://directions/FAT Viewer?action=UPDATE&amp;creator=factset&amp;DYN_ARGS=TRUE&amp;DOC_NAME=FAT:FQL_AUDITING_CLIENT_TEMPLATE.FAT&amp;display_string=Audit&amp;VAR:KEY=VQPEZIBKJE&amp;VAR:QUERY=RkZfRUJJVERBX0lCKCdMVE1TJywzOTQzNCk=&amp;WINDOW=FIRST_POPUP&amp;HEIGHT=450&amp;WIDTH=450&amp;START_MA","XIMIZED=FALSE&amp;VAR:CALENDAR=US&amp;VAR:SYMBOL=37183T10&amp;VAR:INDEX=0"}</definedName>
    <definedName name="_4452__FDSAUDITLINK__" localSheetId="6" hidden="1">{"fdsup://directions/FAT Viewer?action=UPDATE&amp;creator=factset&amp;DYN_ARGS=TRUE&amp;DOC_NAME=FAT:FQL_AUDITING_CLIENT_TEMPLATE.FAT&amp;display_string=Audit&amp;VAR:KEY=TWHAPGHSBO&amp;VAR:QUERY=RkZfRUJJVERBX0lCKCdMVE1TJywzOTQzMyk=&amp;WINDOW=FIRST_POPUP&amp;HEIGHT=450&amp;WIDTH=450&amp;START_MA","XIMIZED=FALSE&amp;VAR:CALENDAR=US&amp;VAR:SYMBOL=37183T10&amp;VAR:INDEX=0"}</definedName>
    <definedName name="_4452__FDSAUDITLINK__" hidden="1">{"fdsup://directions/FAT Viewer?action=UPDATE&amp;creator=factset&amp;DYN_ARGS=TRUE&amp;DOC_NAME=FAT:FQL_AUDITING_CLIENT_TEMPLATE.FAT&amp;display_string=Audit&amp;VAR:KEY=TWHAPGHSBO&amp;VAR:QUERY=RkZfRUJJVERBX0lCKCdMVE1TJywzOTQzMyk=&amp;WINDOW=FIRST_POPUP&amp;HEIGHT=450&amp;WIDTH=450&amp;START_MA","XIMIZED=FALSE&amp;VAR:CALENDAR=US&amp;VAR:SYMBOL=37183T10&amp;VAR:INDEX=0"}</definedName>
    <definedName name="_4453__FDSAUDITLINK__" localSheetId="6" hidden="1">{"fdsup://directions/FAT Viewer?action=UPDATE&amp;creator=factset&amp;DYN_ARGS=TRUE&amp;DOC_NAME=FAT:FQL_AUDITING_CLIENT_TEMPLATE.FAT&amp;display_string=Audit&amp;VAR:KEY=RUDWTMFKNM&amp;VAR:QUERY=RkZfRUJJVERBX0lCKCdMVE1TJywzOTQzMik=&amp;WINDOW=FIRST_POPUP&amp;HEIGHT=450&amp;WIDTH=450&amp;START_MA","XIMIZED=FALSE&amp;VAR:CALENDAR=US&amp;VAR:SYMBOL=37183T10&amp;VAR:INDEX=0"}</definedName>
    <definedName name="_4453__FDSAUDITLINK__" hidden="1">{"fdsup://directions/FAT Viewer?action=UPDATE&amp;creator=factset&amp;DYN_ARGS=TRUE&amp;DOC_NAME=FAT:FQL_AUDITING_CLIENT_TEMPLATE.FAT&amp;display_string=Audit&amp;VAR:KEY=RUDWTMFKNM&amp;VAR:QUERY=RkZfRUJJVERBX0lCKCdMVE1TJywzOTQzMik=&amp;WINDOW=FIRST_POPUP&amp;HEIGHT=450&amp;WIDTH=450&amp;START_MA","XIMIZED=FALSE&amp;VAR:CALENDAR=US&amp;VAR:SYMBOL=37183T10&amp;VAR:INDEX=0"}</definedName>
    <definedName name="_4454__FDSAUDITLINK__" localSheetId="6" hidden="1">{"fdsup://directions/FAT Viewer?action=UPDATE&amp;creator=factset&amp;DYN_ARGS=TRUE&amp;DOC_NAME=FAT:FQL_AUDITING_CLIENT_TEMPLATE.FAT&amp;display_string=Audit&amp;VAR:KEY=XKPCBGTOPM&amp;VAR:QUERY=RkZfRUJJVERBX0lCKCdMVE1TJywzOTQzMSk=&amp;WINDOW=FIRST_POPUP&amp;HEIGHT=450&amp;WIDTH=450&amp;START_MA","XIMIZED=FALSE&amp;VAR:CALENDAR=US&amp;VAR:SYMBOL=37183T10&amp;VAR:INDEX=0"}</definedName>
    <definedName name="_4454__FDSAUDITLINK__" hidden="1">{"fdsup://directions/FAT Viewer?action=UPDATE&amp;creator=factset&amp;DYN_ARGS=TRUE&amp;DOC_NAME=FAT:FQL_AUDITING_CLIENT_TEMPLATE.FAT&amp;display_string=Audit&amp;VAR:KEY=XKPCBGTOPM&amp;VAR:QUERY=RkZfRUJJVERBX0lCKCdMVE1TJywzOTQzMSk=&amp;WINDOW=FIRST_POPUP&amp;HEIGHT=450&amp;WIDTH=450&amp;START_MA","XIMIZED=FALSE&amp;VAR:CALENDAR=US&amp;VAR:SYMBOL=37183T10&amp;VAR:INDEX=0"}</definedName>
    <definedName name="_4455__FDSAUDITLINK__" localSheetId="6" hidden="1">{"fdsup://directions/FAT Viewer?action=UPDATE&amp;creator=factset&amp;DYN_ARGS=TRUE&amp;DOC_NAME=FAT:FQL_AUDITING_CLIENT_TEMPLATE.FAT&amp;display_string=Audit&amp;VAR:KEY=LIDCDMNEPU&amp;VAR:QUERY=RkZfRUJJVERBX0lCKCdMVE1TJywzOTQzMCk=&amp;WINDOW=FIRST_POPUP&amp;HEIGHT=450&amp;WIDTH=450&amp;START_MA","XIMIZED=FALSE&amp;VAR:CALENDAR=US&amp;VAR:SYMBOL=37183T10&amp;VAR:INDEX=0"}</definedName>
    <definedName name="_4455__FDSAUDITLINK__" hidden="1">{"fdsup://directions/FAT Viewer?action=UPDATE&amp;creator=factset&amp;DYN_ARGS=TRUE&amp;DOC_NAME=FAT:FQL_AUDITING_CLIENT_TEMPLATE.FAT&amp;display_string=Audit&amp;VAR:KEY=LIDCDMNEPU&amp;VAR:QUERY=RkZfRUJJVERBX0lCKCdMVE1TJywzOTQzMCk=&amp;WINDOW=FIRST_POPUP&amp;HEIGHT=450&amp;WIDTH=450&amp;START_MA","XIMIZED=FALSE&amp;VAR:CALENDAR=US&amp;VAR:SYMBOL=37183T10&amp;VAR:INDEX=0"}</definedName>
    <definedName name="_4456__FDSAUDITLINK__" localSheetId="6" hidden="1">{"fdsup://directions/FAT Viewer?action=UPDATE&amp;creator=factset&amp;DYN_ARGS=TRUE&amp;DOC_NAME=FAT:FQL_AUDITING_CLIENT_TEMPLATE.FAT&amp;display_string=Audit&amp;VAR:KEY=NSNMRIBSDQ&amp;VAR:QUERY=RkZfRUJJVERBX0lCKCdMVE1TJywzOTQyOSk=&amp;WINDOW=FIRST_POPUP&amp;HEIGHT=450&amp;WIDTH=450&amp;START_MA","XIMIZED=FALSE&amp;VAR:CALENDAR=US&amp;VAR:SYMBOL=37183T10&amp;VAR:INDEX=0"}</definedName>
    <definedName name="_4456__FDSAUDITLINK__" hidden="1">{"fdsup://directions/FAT Viewer?action=UPDATE&amp;creator=factset&amp;DYN_ARGS=TRUE&amp;DOC_NAME=FAT:FQL_AUDITING_CLIENT_TEMPLATE.FAT&amp;display_string=Audit&amp;VAR:KEY=NSNMRIBSDQ&amp;VAR:QUERY=RkZfRUJJVERBX0lCKCdMVE1TJywzOTQyOSk=&amp;WINDOW=FIRST_POPUP&amp;HEIGHT=450&amp;WIDTH=450&amp;START_MA","XIMIZED=FALSE&amp;VAR:CALENDAR=US&amp;VAR:SYMBOL=37183T10&amp;VAR:INDEX=0"}</definedName>
    <definedName name="_4457__FDSAUDITLINK__" localSheetId="6" hidden="1">{"fdsup://directions/FAT Viewer?action=UPDATE&amp;creator=factset&amp;DYN_ARGS=TRUE&amp;DOC_NAME=FAT:FQL_AUDITING_CLIENT_TEMPLATE.FAT&amp;display_string=Audit&amp;VAR:KEY=NIRWTYVKXQ&amp;VAR:QUERY=RkZfRUJJVERBX0lCKCdMVE1TJywzOTQyOCk=&amp;WINDOW=FIRST_POPUP&amp;HEIGHT=450&amp;WIDTH=450&amp;START_MA","XIMIZED=FALSE&amp;VAR:CALENDAR=US&amp;VAR:SYMBOL=37183T10&amp;VAR:INDEX=0"}</definedName>
    <definedName name="_4457__FDSAUDITLINK__" hidden="1">{"fdsup://directions/FAT Viewer?action=UPDATE&amp;creator=factset&amp;DYN_ARGS=TRUE&amp;DOC_NAME=FAT:FQL_AUDITING_CLIENT_TEMPLATE.FAT&amp;display_string=Audit&amp;VAR:KEY=NIRWTYVKXQ&amp;VAR:QUERY=RkZfRUJJVERBX0lCKCdMVE1TJywzOTQyOCk=&amp;WINDOW=FIRST_POPUP&amp;HEIGHT=450&amp;WIDTH=450&amp;START_MA","XIMIZED=FALSE&amp;VAR:CALENDAR=US&amp;VAR:SYMBOL=37183T10&amp;VAR:INDEX=0"}</definedName>
    <definedName name="_4458__FDSAUDITLINK__" localSheetId="6" hidden="1">{"fdsup://directions/FAT Viewer?action=UPDATE&amp;creator=factset&amp;DYN_ARGS=TRUE&amp;DOC_NAME=FAT:FQL_AUDITING_CLIENT_TEMPLATE.FAT&amp;display_string=Audit&amp;VAR:KEY=LADIDSLQZE&amp;VAR:QUERY=RkZfRUJJVERBX0lCKCdMVE1TJywzOTQyNyk=&amp;WINDOW=FIRST_POPUP&amp;HEIGHT=450&amp;WIDTH=450&amp;START_MA","XIMIZED=FALSE&amp;VAR:CALENDAR=US&amp;VAR:SYMBOL=37183T10&amp;VAR:INDEX=0"}</definedName>
    <definedName name="_4458__FDSAUDITLINK__" hidden="1">{"fdsup://directions/FAT Viewer?action=UPDATE&amp;creator=factset&amp;DYN_ARGS=TRUE&amp;DOC_NAME=FAT:FQL_AUDITING_CLIENT_TEMPLATE.FAT&amp;display_string=Audit&amp;VAR:KEY=LADIDSLQZE&amp;VAR:QUERY=RkZfRUJJVERBX0lCKCdMVE1TJywzOTQyNyk=&amp;WINDOW=FIRST_POPUP&amp;HEIGHT=450&amp;WIDTH=450&amp;START_MA","XIMIZED=FALSE&amp;VAR:CALENDAR=US&amp;VAR:SYMBOL=37183T10&amp;VAR:INDEX=0"}</definedName>
    <definedName name="_4459__FDSAUDITLINK__" localSheetId="6" hidden="1">{"fdsup://directions/FAT Viewer?action=UPDATE&amp;creator=factset&amp;DYN_ARGS=TRUE&amp;DOC_NAME=FAT:FQL_AUDITING_CLIENT_TEMPLATE.FAT&amp;display_string=Audit&amp;VAR:KEY=PUVABMXWBY&amp;VAR:QUERY=RkZfRUJJVERBX0lCKCdMVE1TJywzOTQyNik=&amp;WINDOW=FIRST_POPUP&amp;HEIGHT=450&amp;WIDTH=450&amp;START_MA","XIMIZED=FALSE&amp;VAR:CALENDAR=US&amp;VAR:SYMBOL=37183T10&amp;VAR:INDEX=0"}</definedName>
    <definedName name="_4459__FDSAUDITLINK__" hidden="1">{"fdsup://directions/FAT Viewer?action=UPDATE&amp;creator=factset&amp;DYN_ARGS=TRUE&amp;DOC_NAME=FAT:FQL_AUDITING_CLIENT_TEMPLATE.FAT&amp;display_string=Audit&amp;VAR:KEY=PUVABMXWBY&amp;VAR:QUERY=RkZfRUJJVERBX0lCKCdMVE1TJywzOTQyNik=&amp;WINDOW=FIRST_POPUP&amp;HEIGHT=450&amp;WIDTH=450&amp;START_MA","XIMIZED=FALSE&amp;VAR:CALENDAR=US&amp;VAR:SYMBOL=37183T10&amp;VAR:INDEX=0"}</definedName>
    <definedName name="_446__FDSAUDITLINK__" localSheetId="6" hidden="1">{"fdsup://directions/FAT%20Viewer?VAR:PED=LTM&amp;VAR:AUDIT_MODE=SUMMARY&amp;VAR:PERIOD=FIXED&amp;VAR:AUDIT_ID=00000117&amp;VAR:DATE=20081202&amp;action=UPDATE&amp;creator=factset&amp;DOC_NAME=FAT:FMA_audit_SUMMARY.fat&amp;DISPLAY_STRING=Display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6__FDSAUDITLINK__" hidden="1">{"fdsup://directions/FAT%20Viewer?VAR:PED=LTM&amp;VAR:AUDIT_MODE=SUMMARY&amp;VAR:PERIOD=FIXED&amp;VAR:AUDIT_ID=00000117&amp;VAR:DATE=20081202&amp;action=UPDATE&amp;creator=factset&amp;DOC_NAME=FAT:FMA_audit_SUMMARY.fat&amp;DISPLAY_STRING=Display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60__FDSAUDITLINK__" localSheetId="6" hidden="1">{"fdsup://directions/FAT Viewer?action=UPDATE&amp;creator=factset&amp;DYN_ARGS=TRUE&amp;DOC_NAME=FAT:FQL_AUDITING_CLIENT_TEMPLATE.FAT&amp;display_string=Audit&amp;VAR:KEY=HUZSLYLEDE&amp;VAR:QUERY=RkZfRUJJVERBX0lCKCdMVE1TJywzOTQyNSk=&amp;WINDOW=FIRST_POPUP&amp;HEIGHT=450&amp;WIDTH=450&amp;START_MA","XIMIZED=FALSE&amp;VAR:CALENDAR=US&amp;VAR:SYMBOL=37183T10&amp;VAR:INDEX=0"}</definedName>
    <definedName name="_4460__FDSAUDITLINK__" hidden="1">{"fdsup://directions/FAT Viewer?action=UPDATE&amp;creator=factset&amp;DYN_ARGS=TRUE&amp;DOC_NAME=FAT:FQL_AUDITING_CLIENT_TEMPLATE.FAT&amp;display_string=Audit&amp;VAR:KEY=HUZSLYLEDE&amp;VAR:QUERY=RkZfRUJJVERBX0lCKCdMVE1TJywzOTQyNSk=&amp;WINDOW=FIRST_POPUP&amp;HEIGHT=450&amp;WIDTH=450&amp;START_MA","XIMIZED=FALSE&amp;VAR:CALENDAR=US&amp;VAR:SYMBOL=37183T10&amp;VAR:INDEX=0"}</definedName>
    <definedName name="_4461__FDSAUDITLINK__" localSheetId="6" hidden="1">{"fdsup://directions/FAT Viewer?action=UPDATE&amp;creator=factset&amp;DYN_ARGS=TRUE&amp;DOC_NAME=FAT:FQL_AUDITING_CLIENT_TEMPLATE.FAT&amp;display_string=Audit&amp;VAR:KEY=ZMDUVYHEFW&amp;VAR:QUERY=RkZfRUJJVERBX0lCKCdMVE1TJywzOTQyNCk=&amp;WINDOW=FIRST_POPUP&amp;HEIGHT=450&amp;WIDTH=450&amp;START_MA","XIMIZED=FALSE&amp;VAR:CALENDAR=US&amp;VAR:SYMBOL=37183T10&amp;VAR:INDEX=0"}</definedName>
    <definedName name="_4461__FDSAUDITLINK__" hidden="1">{"fdsup://directions/FAT Viewer?action=UPDATE&amp;creator=factset&amp;DYN_ARGS=TRUE&amp;DOC_NAME=FAT:FQL_AUDITING_CLIENT_TEMPLATE.FAT&amp;display_string=Audit&amp;VAR:KEY=ZMDUVYHEFW&amp;VAR:QUERY=RkZfRUJJVERBX0lCKCdMVE1TJywzOTQyNCk=&amp;WINDOW=FIRST_POPUP&amp;HEIGHT=450&amp;WIDTH=450&amp;START_MA","XIMIZED=FALSE&amp;VAR:CALENDAR=US&amp;VAR:SYMBOL=37183T10&amp;VAR:INDEX=0"}</definedName>
    <definedName name="_4462__FDSAUDITLINK__" localSheetId="6" hidden="1">{"fdsup://directions/FAT Viewer?action=UPDATE&amp;creator=factset&amp;DYN_ARGS=TRUE&amp;DOC_NAME=FAT:FQL_AUDITING_CLIENT_TEMPLATE.FAT&amp;display_string=Audit&amp;VAR:KEY=VMTKRMFCXA&amp;VAR:QUERY=RkZfRUJJVERBX0lCKCdMVE1TJywzOTQyMyk=&amp;WINDOW=FIRST_POPUP&amp;HEIGHT=450&amp;WIDTH=450&amp;START_MA","XIMIZED=FALSE&amp;VAR:CALENDAR=US&amp;VAR:SYMBOL=37183T10&amp;VAR:INDEX=0"}</definedName>
    <definedName name="_4462__FDSAUDITLINK__" hidden="1">{"fdsup://directions/FAT Viewer?action=UPDATE&amp;creator=factset&amp;DYN_ARGS=TRUE&amp;DOC_NAME=FAT:FQL_AUDITING_CLIENT_TEMPLATE.FAT&amp;display_string=Audit&amp;VAR:KEY=VMTKRMFCXA&amp;VAR:QUERY=RkZfRUJJVERBX0lCKCdMVE1TJywzOTQyMyk=&amp;WINDOW=FIRST_POPUP&amp;HEIGHT=450&amp;WIDTH=450&amp;START_MA","XIMIZED=FALSE&amp;VAR:CALENDAR=US&amp;VAR:SYMBOL=37183T10&amp;VAR:INDEX=0"}</definedName>
    <definedName name="_4463__FDSAUDITLINK__" localSheetId="6" hidden="1">{"fdsup://directions/FAT Viewer?action=UPDATE&amp;creator=factset&amp;DYN_ARGS=TRUE&amp;DOC_NAME=FAT:FQL_AUDITING_CLIENT_TEMPLATE.FAT&amp;display_string=Audit&amp;VAR:KEY=RCHIJMZYPS&amp;VAR:QUERY=RkZfRUJJVERBX0lCKCdMVE1TJywzOTQyMik=&amp;WINDOW=FIRST_POPUP&amp;HEIGHT=450&amp;WIDTH=450&amp;START_MA","XIMIZED=FALSE&amp;VAR:CALENDAR=US&amp;VAR:SYMBOL=37183T10&amp;VAR:INDEX=0"}</definedName>
    <definedName name="_4463__FDSAUDITLINK__" hidden="1">{"fdsup://directions/FAT Viewer?action=UPDATE&amp;creator=factset&amp;DYN_ARGS=TRUE&amp;DOC_NAME=FAT:FQL_AUDITING_CLIENT_TEMPLATE.FAT&amp;display_string=Audit&amp;VAR:KEY=RCHIJMZYPS&amp;VAR:QUERY=RkZfRUJJVERBX0lCKCdMVE1TJywzOTQyMik=&amp;WINDOW=FIRST_POPUP&amp;HEIGHT=450&amp;WIDTH=450&amp;START_MA","XIMIZED=FALSE&amp;VAR:CALENDAR=US&amp;VAR:SYMBOL=37183T10&amp;VAR:INDEX=0"}</definedName>
    <definedName name="_4464__FDSAUDITLINK__" localSheetId="6" hidden="1">{"fdsup://directions/FAT Viewer?action=UPDATE&amp;creator=factset&amp;DYN_ARGS=TRUE&amp;DOC_NAME=FAT:FQL_AUDITING_CLIENT_TEMPLATE.FAT&amp;display_string=Audit&amp;VAR:KEY=FYRCNEHIRG&amp;VAR:QUERY=RkZfRUJJVERBX0lCKCdMVE1TJywzOTQyMSk=&amp;WINDOW=FIRST_POPUP&amp;HEIGHT=450&amp;WIDTH=450&amp;START_MA","XIMIZED=FALSE&amp;VAR:CALENDAR=US&amp;VAR:SYMBOL=37183T10&amp;VAR:INDEX=0"}</definedName>
    <definedName name="_4464__FDSAUDITLINK__" hidden="1">{"fdsup://directions/FAT Viewer?action=UPDATE&amp;creator=factset&amp;DYN_ARGS=TRUE&amp;DOC_NAME=FAT:FQL_AUDITING_CLIENT_TEMPLATE.FAT&amp;display_string=Audit&amp;VAR:KEY=FYRCNEHIRG&amp;VAR:QUERY=RkZfRUJJVERBX0lCKCdMVE1TJywzOTQyMSk=&amp;WINDOW=FIRST_POPUP&amp;HEIGHT=450&amp;WIDTH=450&amp;START_MA","XIMIZED=FALSE&amp;VAR:CALENDAR=US&amp;VAR:SYMBOL=37183T10&amp;VAR:INDEX=0"}</definedName>
    <definedName name="_4465__FDSAUDITLINK__" localSheetId="6" hidden="1">{"fdsup://directions/FAT Viewer?action=UPDATE&amp;creator=factset&amp;DYN_ARGS=TRUE&amp;DOC_NAME=FAT:FQL_AUDITING_CLIENT_TEMPLATE.FAT&amp;display_string=Audit&amp;VAR:KEY=LSFGRQNGVS&amp;VAR:QUERY=RkZfRUJJVERBX0lCKCdMVE1TJywzOTQyMCk=&amp;WINDOW=FIRST_POPUP&amp;HEIGHT=450&amp;WIDTH=450&amp;START_MA","XIMIZED=FALSE&amp;VAR:CALENDAR=US&amp;VAR:SYMBOL=37183T10&amp;VAR:INDEX=0"}</definedName>
    <definedName name="_4465__FDSAUDITLINK__" hidden="1">{"fdsup://directions/FAT Viewer?action=UPDATE&amp;creator=factset&amp;DYN_ARGS=TRUE&amp;DOC_NAME=FAT:FQL_AUDITING_CLIENT_TEMPLATE.FAT&amp;display_string=Audit&amp;VAR:KEY=LSFGRQNGVS&amp;VAR:QUERY=RkZfRUJJVERBX0lCKCdMVE1TJywzOTQyMCk=&amp;WINDOW=FIRST_POPUP&amp;HEIGHT=450&amp;WIDTH=450&amp;START_MA","XIMIZED=FALSE&amp;VAR:CALENDAR=US&amp;VAR:SYMBOL=37183T10&amp;VAR:INDEX=0"}</definedName>
    <definedName name="_4466__FDSAUDITLINK__" localSheetId="6" hidden="1">{"fdsup://directions/FAT Viewer?action=UPDATE&amp;creator=factset&amp;DYN_ARGS=TRUE&amp;DOC_NAME=FAT:FQL_AUDITING_CLIENT_TEMPLATE.FAT&amp;display_string=Audit&amp;VAR:KEY=XYLOPCRMHM&amp;VAR:QUERY=RkZfRUJJVERBX0lCKCdMVE1TJywzOTQxOSk=&amp;WINDOW=FIRST_POPUP&amp;HEIGHT=450&amp;WIDTH=450&amp;START_MA","XIMIZED=FALSE&amp;VAR:CALENDAR=US&amp;VAR:SYMBOL=37183T10&amp;VAR:INDEX=0"}</definedName>
    <definedName name="_4466__FDSAUDITLINK__" hidden="1">{"fdsup://directions/FAT Viewer?action=UPDATE&amp;creator=factset&amp;DYN_ARGS=TRUE&amp;DOC_NAME=FAT:FQL_AUDITING_CLIENT_TEMPLATE.FAT&amp;display_string=Audit&amp;VAR:KEY=XYLOPCRMHM&amp;VAR:QUERY=RkZfRUJJVERBX0lCKCdMVE1TJywzOTQxOSk=&amp;WINDOW=FIRST_POPUP&amp;HEIGHT=450&amp;WIDTH=450&amp;START_MA","XIMIZED=FALSE&amp;VAR:CALENDAR=US&amp;VAR:SYMBOL=37183T10&amp;VAR:INDEX=0"}</definedName>
    <definedName name="_4467__FDSAUDITLINK__" localSheetId="6" hidden="1">{"fdsup://directions/FAT Viewer?action=UPDATE&amp;creator=factset&amp;DYN_ARGS=TRUE&amp;DOC_NAME=FAT:FQL_AUDITING_CLIENT_TEMPLATE.FAT&amp;display_string=Audit&amp;VAR:KEY=LGZYXYXKLQ&amp;VAR:QUERY=RkZfRUJJVERBX0lCKCdMVE1TJywzOTQxOCk=&amp;WINDOW=FIRST_POPUP&amp;HEIGHT=450&amp;WIDTH=450&amp;START_MA","XIMIZED=FALSE&amp;VAR:CALENDAR=US&amp;VAR:SYMBOL=37183T10&amp;VAR:INDEX=0"}</definedName>
    <definedName name="_4467__FDSAUDITLINK__" hidden="1">{"fdsup://directions/FAT Viewer?action=UPDATE&amp;creator=factset&amp;DYN_ARGS=TRUE&amp;DOC_NAME=FAT:FQL_AUDITING_CLIENT_TEMPLATE.FAT&amp;display_string=Audit&amp;VAR:KEY=LGZYXYXKLQ&amp;VAR:QUERY=RkZfRUJJVERBX0lCKCdMVE1TJywzOTQxOCk=&amp;WINDOW=FIRST_POPUP&amp;HEIGHT=450&amp;WIDTH=450&amp;START_MA","XIMIZED=FALSE&amp;VAR:CALENDAR=US&amp;VAR:SYMBOL=37183T10&amp;VAR:INDEX=0"}</definedName>
    <definedName name="_4468__FDSAUDITLINK__" localSheetId="6" hidden="1">{"fdsup://directions/FAT Viewer?action=UPDATE&amp;creator=factset&amp;DYN_ARGS=TRUE&amp;DOC_NAME=FAT:FQL_AUDITING_CLIENT_TEMPLATE.FAT&amp;display_string=Audit&amp;VAR:KEY=LAFYHMDUBW&amp;VAR:QUERY=RkZfRUJJVERBX0lCKCdMVE1TJywzOTQxNyk=&amp;WINDOW=FIRST_POPUP&amp;HEIGHT=450&amp;WIDTH=450&amp;START_MA","XIMIZED=FALSE&amp;VAR:CALENDAR=US&amp;VAR:SYMBOL=37183T10&amp;VAR:INDEX=0"}</definedName>
    <definedName name="_4468__FDSAUDITLINK__" hidden="1">{"fdsup://directions/FAT Viewer?action=UPDATE&amp;creator=factset&amp;DYN_ARGS=TRUE&amp;DOC_NAME=FAT:FQL_AUDITING_CLIENT_TEMPLATE.FAT&amp;display_string=Audit&amp;VAR:KEY=LAFYHMDUBW&amp;VAR:QUERY=RkZfRUJJVERBX0lCKCdMVE1TJywzOTQxNyk=&amp;WINDOW=FIRST_POPUP&amp;HEIGHT=450&amp;WIDTH=450&amp;START_MA","XIMIZED=FALSE&amp;VAR:CALENDAR=US&amp;VAR:SYMBOL=37183T10&amp;VAR:INDEX=0"}</definedName>
    <definedName name="_4469__FDSAUDITLINK__" localSheetId="6" hidden="1">{"fdsup://directions/FAT Viewer?action=UPDATE&amp;creator=factset&amp;DYN_ARGS=TRUE&amp;DOC_NAME=FAT:FQL_AUDITING_CLIENT_TEMPLATE.FAT&amp;display_string=Audit&amp;VAR:KEY=XERGXUJWDQ&amp;VAR:QUERY=RkZfRUJJVERBX0lCKCdMVE1TJywzOTQxNik=&amp;WINDOW=FIRST_POPUP&amp;HEIGHT=450&amp;WIDTH=450&amp;START_MA","XIMIZED=FALSE&amp;VAR:CALENDAR=US&amp;VAR:SYMBOL=37183T10&amp;VAR:INDEX=0"}</definedName>
    <definedName name="_4469__FDSAUDITLINK__" hidden="1">{"fdsup://directions/FAT Viewer?action=UPDATE&amp;creator=factset&amp;DYN_ARGS=TRUE&amp;DOC_NAME=FAT:FQL_AUDITING_CLIENT_TEMPLATE.FAT&amp;display_string=Audit&amp;VAR:KEY=XERGXUJWDQ&amp;VAR:QUERY=RkZfRUJJVERBX0lCKCdMVE1TJywzOTQxNik=&amp;WINDOW=FIRST_POPUP&amp;HEIGHT=450&amp;WIDTH=450&amp;START_MA","XIMIZED=FALSE&amp;VAR:CALENDAR=US&amp;VAR:SYMBOL=37183T10&amp;VAR:INDEX=0"}</definedName>
    <definedName name="_447__FDSAUDITLINK__" localSheetId="6" hidden="1">{"fdsup://directions/FAT%20Viewer?VAR:PED=LTM&amp;VAR:AUDIT_MODE=SUMMARY&amp;VAR:PERIOD=FIXED&amp;VAR:AUDIT_ID=00000117&amp;VAR:DATE=20081201&amp;action=UPDATE&amp;creator=factset&amp;DOC_NAME=FAT:FMA_audit_SUMMARY.fat&amp;DISPLAY_STRING=Display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7__FDSAUDITLINK__" hidden="1">{"fdsup://directions/FAT%20Viewer?VAR:PED=LTM&amp;VAR:AUDIT_MODE=SUMMARY&amp;VAR:PERIOD=FIXED&amp;VAR:AUDIT_ID=00000117&amp;VAR:DATE=20081201&amp;action=UPDATE&amp;creator=factset&amp;DOC_NAME=FAT:FMA_audit_SUMMARY.fat&amp;DISPLAY_STRING=Display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EBITDA&amp;VAR:CHGPERIOD=NA&amp;VAR:FQLFORMULA=FMA_EVAL_EBITDA&amp;VAR:CURRENCY=NA&amp;VAR:P=NA&amp;VAR:V=7.46","8132&amp;VAR:null=.html"}</definedName>
    <definedName name="_4470__FDSAUDITLINK__" localSheetId="6" hidden="1">{"fdsup://directions/FAT Viewer?action=UPDATE&amp;creator=factset&amp;DYN_ARGS=TRUE&amp;DOC_NAME=FAT:FQL_AUDITING_CLIENT_TEMPLATE.FAT&amp;display_string=Audit&amp;VAR:KEY=HQTMZKNOJW&amp;VAR:QUERY=RkZfRUJJVERBX0lCKCdMVE1TJywzOTQxNSk=&amp;WINDOW=FIRST_POPUP&amp;HEIGHT=450&amp;WIDTH=450&amp;START_MA","XIMIZED=FALSE&amp;VAR:CALENDAR=US&amp;VAR:SYMBOL=37183T10&amp;VAR:INDEX=0"}</definedName>
    <definedName name="_4470__FDSAUDITLINK__" hidden="1">{"fdsup://directions/FAT Viewer?action=UPDATE&amp;creator=factset&amp;DYN_ARGS=TRUE&amp;DOC_NAME=FAT:FQL_AUDITING_CLIENT_TEMPLATE.FAT&amp;display_string=Audit&amp;VAR:KEY=HQTMZKNOJW&amp;VAR:QUERY=RkZfRUJJVERBX0lCKCdMVE1TJywzOTQxNSk=&amp;WINDOW=FIRST_POPUP&amp;HEIGHT=450&amp;WIDTH=450&amp;START_MA","XIMIZED=FALSE&amp;VAR:CALENDAR=US&amp;VAR:SYMBOL=37183T10&amp;VAR:INDEX=0"}</definedName>
    <definedName name="_4471__FDSAUDITLINK__" localSheetId="6" hidden="1">{"fdsup://directions/FAT Viewer?action=UPDATE&amp;creator=factset&amp;DYN_ARGS=TRUE&amp;DOC_NAME=FAT:FQL_AUDITING_CLIENT_TEMPLATE.FAT&amp;display_string=Audit&amp;VAR:KEY=BYBSBUXMRK&amp;VAR:QUERY=RkZfRUJJVERBX0lCKCdMVE1TJywzOTQxNCk=&amp;WINDOW=FIRST_POPUP&amp;HEIGHT=450&amp;WIDTH=450&amp;START_MA","XIMIZED=FALSE&amp;VAR:CALENDAR=US&amp;VAR:SYMBOL=37183T10&amp;VAR:INDEX=0"}</definedName>
    <definedName name="_4471__FDSAUDITLINK__" hidden="1">{"fdsup://directions/FAT Viewer?action=UPDATE&amp;creator=factset&amp;DYN_ARGS=TRUE&amp;DOC_NAME=FAT:FQL_AUDITING_CLIENT_TEMPLATE.FAT&amp;display_string=Audit&amp;VAR:KEY=BYBSBUXMRK&amp;VAR:QUERY=RkZfRUJJVERBX0lCKCdMVE1TJywzOTQxNCk=&amp;WINDOW=FIRST_POPUP&amp;HEIGHT=450&amp;WIDTH=450&amp;START_MA","XIMIZED=FALSE&amp;VAR:CALENDAR=US&amp;VAR:SYMBOL=37183T10&amp;VAR:INDEX=0"}</definedName>
    <definedName name="_4472__FDSAUDITLINK__" localSheetId="6" hidden="1">{"fdsup://directions/FAT Viewer?action=UPDATE&amp;creator=factset&amp;DYN_ARGS=TRUE&amp;DOC_NAME=FAT:FQL_AUDITING_CLIENT_TEMPLATE.FAT&amp;display_string=Audit&amp;VAR:KEY=LKRMLCTWNO&amp;VAR:QUERY=RkZfRUJJVERBX0lCKCdMVE1TJywzOTQxMyk=&amp;WINDOW=FIRST_POPUP&amp;HEIGHT=450&amp;WIDTH=450&amp;START_MA","XIMIZED=FALSE&amp;VAR:CALENDAR=US&amp;VAR:SYMBOL=37183T10&amp;VAR:INDEX=0"}</definedName>
    <definedName name="_4472__FDSAUDITLINK__" hidden="1">{"fdsup://directions/FAT Viewer?action=UPDATE&amp;creator=factset&amp;DYN_ARGS=TRUE&amp;DOC_NAME=FAT:FQL_AUDITING_CLIENT_TEMPLATE.FAT&amp;display_string=Audit&amp;VAR:KEY=LKRMLCTWNO&amp;VAR:QUERY=RkZfRUJJVERBX0lCKCdMVE1TJywzOTQxMyk=&amp;WINDOW=FIRST_POPUP&amp;HEIGHT=450&amp;WIDTH=450&amp;START_MA","XIMIZED=FALSE&amp;VAR:CALENDAR=US&amp;VAR:SYMBOL=37183T10&amp;VAR:INDEX=0"}</definedName>
    <definedName name="_4473__FDSAUDITLINK__" localSheetId="6" hidden="1">{"fdsup://directions/FAT Viewer?action=UPDATE&amp;creator=factset&amp;DYN_ARGS=TRUE&amp;DOC_NAME=FAT:FQL_AUDITING_CLIENT_TEMPLATE.FAT&amp;display_string=Audit&amp;VAR:KEY=REPOLEBYDW&amp;VAR:QUERY=RkZfRUJJVERBX0lCKCdMVE1TJywzOTQxMik=&amp;WINDOW=FIRST_POPUP&amp;HEIGHT=450&amp;WIDTH=450&amp;START_MA","XIMIZED=FALSE&amp;VAR:CALENDAR=US&amp;VAR:SYMBOL=37183T10&amp;VAR:INDEX=0"}</definedName>
    <definedName name="_4473__FDSAUDITLINK__" hidden="1">{"fdsup://directions/FAT Viewer?action=UPDATE&amp;creator=factset&amp;DYN_ARGS=TRUE&amp;DOC_NAME=FAT:FQL_AUDITING_CLIENT_TEMPLATE.FAT&amp;display_string=Audit&amp;VAR:KEY=REPOLEBYDW&amp;VAR:QUERY=RkZfRUJJVERBX0lCKCdMVE1TJywzOTQxMik=&amp;WINDOW=FIRST_POPUP&amp;HEIGHT=450&amp;WIDTH=450&amp;START_MA","XIMIZED=FALSE&amp;VAR:CALENDAR=US&amp;VAR:SYMBOL=37183T10&amp;VAR:INDEX=0"}</definedName>
    <definedName name="_4474__FDSAUDITLINK__" localSheetId="6" hidden="1">{"fdsup://directions/FAT Viewer?action=UPDATE&amp;creator=factset&amp;DYN_ARGS=TRUE&amp;DOC_NAME=FAT:FQL_AUDITING_CLIENT_TEMPLATE.FAT&amp;display_string=Audit&amp;VAR:KEY=PIPKFYHMTC&amp;VAR:QUERY=RkZfRUJJVERBX0lCKCdMVE1TJywzOTQxMSk=&amp;WINDOW=FIRST_POPUP&amp;HEIGHT=450&amp;WIDTH=450&amp;START_MA","XIMIZED=FALSE&amp;VAR:CALENDAR=US&amp;VAR:SYMBOL=37183T10&amp;VAR:INDEX=0"}</definedName>
    <definedName name="_4474__FDSAUDITLINK__" hidden="1">{"fdsup://directions/FAT Viewer?action=UPDATE&amp;creator=factset&amp;DYN_ARGS=TRUE&amp;DOC_NAME=FAT:FQL_AUDITING_CLIENT_TEMPLATE.FAT&amp;display_string=Audit&amp;VAR:KEY=PIPKFYHMTC&amp;VAR:QUERY=RkZfRUJJVERBX0lCKCdMVE1TJywzOTQxMSk=&amp;WINDOW=FIRST_POPUP&amp;HEIGHT=450&amp;WIDTH=450&amp;START_MA","XIMIZED=FALSE&amp;VAR:CALENDAR=US&amp;VAR:SYMBOL=37183T10&amp;VAR:INDEX=0"}</definedName>
    <definedName name="_4475__FDSAUDITLINK__" localSheetId="6" hidden="1">{"fdsup://directions/FAT Viewer?action=UPDATE&amp;creator=factset&amp;DYN_ARGS=TRUE&amp;DOC_NAME=FAT:FQL_AUDITING_CLIENT_TEMPLATE.FAT&amp;display_string=Audit&amp;VAR:KEY=BUHMTKDCVE&amp;VAR:QUERY=RkZfRUJJVERBX0lCKCdMVE1TJywzOTQxMCk=&amp;WINDOW=FIRST_POPUP&amp;HEIGHT=450&amp;WIDTH=450&amp;START_MA","XIMIZED=FALSE&amp;VAR:CALENDAR=US&amp;VAR:SYMBOL=37183T10&amp;VAR:INDEX=0"}</definedName>
    <definedName name="_4475__FDSAUDITLINK__" hidden="1">{"fdsup://directions/FAT Viewer?action=UPDATE&amp;creator=factset&amp;DYN_ARGS=TRUE&amp;DOC_NAME=FAT:FQL_AUDITING_CLIENT_TEMPLATE.FAT&amp;display_string=Audit&amp;VAR:KEY=BUHMTKDCVE&amp;VAR:QUERY=RkZfRUJJVERBX0lCKCdMVE1TJywzOTQxMCk=&amp;WINDOW=FIRST_POPUP&amp;HEIGHT=450&amp;WIDTH=450&amp;START_MA","XIMIZED=FALSE&amp;VAR:CALENDAR=US&amp;VAR:SYMBOL=37183T10&amp;VAR:INDEX=0"}</definedName>
    <definedName name="_4476__FDSAUDITLINK__" localSheetId="6" hidden="1">{"fdsup://directions/FAT Viewer?action=UPDATE&amp;creator=factset&amp;DYN_ARGS=TRUE&amp;DOC_NAME=FAT:FQL_AUDITING_CLIENT_TEMPLATE.FAT&amp;display_string=Audit&amp;VAR:KEY=JOVUPMXGHA&amp;VAR:QUERY=RkZfRUJJVERBX0lCKCdMVE1TJywzOTQwOSk=&amp;WINDOW=FIRST_POPUP&amp;HEIGHT=450&amp;WIDTH=450&amp;START_MA","XIMIZED=FALSE&amp;VAR:CALENDAR=US&amp;VAR:SYMBOL=37183T10&amp;VAR:INDEX=0"}</definedName>
    <definedName name="_4476__FDSAUDITLINK__" hidden="1">{"fdsup://directions/FAT Viewer?action=UPDATE&amp;creator=factset&amp;DYN_ARGS=TRUE&amp;DOC_NAME=FAT:FQL_AUDITING_CLIENT_TEMPLATE.FAT&amp;display_string=Audit&amp;VAR:KEY=JOVUPMXGHA&amp;VAR:QUERY=RkZfRUJJVERBX0lCKCdMVE1TJywzOTQwOSk=&amp;WINDOW=FIRST_POPUP&amp;HEIGHT=450&amp;WIDTH=450&amp;START_MA","XIMIZED=FALSE&amp;VAR:CALENDAR=US&amp;VAR:SYMBOL=37183T10&amp;VAR:INDEX=0"}</definedName>
    <definedName name="_4477__FDSAUDITLINK__" localSheetId="6" hidden="1">{"fdsup://directions/FAT Viewer?action=UPDATE&amp;creator=factset&amp;DYN_ARGS=TRUE&amp;DOC_NAME=FAT:FQL_AUDITING_CLIENT_TEMPLATE.FAT&amp;display_string=Audit&amp;VAR:KEY=DSTQBCNAVI&amp;VAR:QUERY=RkZfRUJJVERBX0lCKCdMVE1TJywzOTQwOCk=&amp;WINDOW=FIRST_POPUP&amp;HEIGHT=450&amp;WIDTH=450&amp;START_MA","XIMIZED=FALSE&amp;VAR:CALENDAR=US&amp;VAR:SYMBOL=37183T10&amp;VAR:INDEX=0"}</definedName>
    <definedName name="_4477__FDSAUDITLINK__" hidden="1">{"fdsup://directions/FAT Viewer?action=UPDATE&amp;creator=factset&amp;DYN_ARGS=TRUE&amp;DOC_NAME=FAT:FQL_AUDITING_CLIENT_TEMPLATE.FAT&amp;display_string=Audit&amp;VAR:KEY=DSTQBCNAVI&amp;VAR:QUERY=RkZfRUJJVERBX0lCKCdMVE1TJywzOTQwOCk=&amp;WINDOW=FIRST_POPUP&amp;HEIGHT=450&amp;WIDTH=450&amp;START_MA","XIMIZED=FALSE&amp;VAR:CALENDAR=US&amp;VAR:SYMBOL=37183T10&amp;VAR:INDEX=0"}</definedName>
    <definedName name="_4478__FDSAUDITLINK__" localSheetId="6" hidden="1">{"fdsup://directions/FAT Viewer?action=UPDATE&amp;creator=factset&amp;DYN_ARGS=TRUE&amp;DOC_NAME=FAT:FQL_AUDITING_CLIENT_TEMPLATE.FAT&amp;display_string=Audit&amp;VAR:KEY=PSBCZUJSBE&amp;VAR:QUERY=RkZfRUJJVERBX0lCKCdMVE1TJywzOTQwNyk=&amp;WINDOW=FIRST_POPUP&amp;HEIGHT=450&amp;WIDTH=450&amp;START_MA","XIMIZED=FALSE&amp;VAR:CALENDAR=US&amp;VAR:SYMBOL=37183T10&amp;VAR:INDEX=0"}</definedName>
    <definedName name="_4478__FDSAUDITLINK__" hidden="1">{"fdsup://directions/FAT Viewer?action=UPDATE&amp;creator=factset&amp;DYN_ARGS=TRUE&amp;DOC_NAME=FAT:FQL_AUDITING_CLIENT_TEMPLATE.FAT&amp;display_string=Audit&amp;VAR:KEY=PSBCZUJSBE&amp;VAR:QUERY=RkZfRUJJVERBX0lCKCdMVE1TJywzOTQwNyk=&amp;WINDOW=FIRST_POPUP&amp;HEIGHT=450&amp;WIDTH=450&amp;START_MA","XIMIZED=FALSE&amp;VAR:CALENDAR=US&amp;VAR:SYMBOL=37183T10&amp;VAR:INDEX=0"}</definedName>
    <definedName name="_4479__FDSAUDITLINK__" localSheetId="6" hidden="1">{"fdsup://directions/FAT Viewer?action=UPDATE&amp;creator=factset&amp;DYN_ARGS=TRUE&amp;DOC_NAME=FAT:FQL_AUDITING_CLIENT_TEMPLATE.FAT&amp;display_string=Audit&amp;VAR:KEY=XALALGRGBM&amp;VAR:QUERY=RkZfRUJJVERBX0lCKCdMVE1TJywzOTQwNik=&amp;WINDOW=FIRST_POPUP&amp;HEIGHT=450&amp;WIDTH=450&amp;START_MA","XIMIZED=FALSE&amp;VAR:CALENDAR=US&amp;VAR:SYMBOL=37183T10&amp;VAR:INDEX=0"}</definedName>
    <definedName name="_4479__FDSAUDITLINK__" hidden="1">{"fdsup://directions/FAT Viewer?action=UPDATE&amp;creator=factset&amp;DYN_ARGS=TRUE&amp;DOC_NAME=FAT:FQL_AUDITING_CLIENT_TEMPLATE.FAT&amp;display_string=Audit&amp;VAR:KEY=XALALGRGBM&amp;VAR:QUERY=RkZfRUJJVERBX0lCKCdMVE1TJywzOTQwNik=&amp;WINDOW=FIRST_POPUP&amp;HEIGHT=450&amp;WIDTH=450&amp;START_MA","XIMIZED=FALSE&amp;VAR:CALENDAR=US&amp;VAR:SYMBOL=37183T10&amp;VAR:INDEX=0"}</definedName>
    <definedName name="_448__FDSAUDITLINK__" localSheetId="6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48__FDSAUDITLINK__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480__FDSAUDITLINK__" localSheetId="6" hidden="1">{"fdsup://directions/FAT Viewer?action=UPDATE&amp;creator=factset&amp;DYN_ARGS=TRUE&amp;DOC_NAME=FAT:FQL_AUDITING_CLIENT_TEMPLATE.FAT&amp;display_string=Audit&amp;VAR:KEY=NMXSPWXSXC&amp;VAR:QUERY=RkZfRUJJVERBX0lCKCdMVE1TJywzOTQwNSk=&amp;WINDOW=FIRST_POPUP&amp;HEIGHT=450&amp;WIDTH=450&amp;START_MA","XIMIZED=FALSE&amp;VAR:CALENDAR=US&amp;VAR:SYMBOL=37183T10&amp;VAR:INDEX=0"}</definedName>
    <definedName name="_4480__FDSAUDITLINK__" hidden="1">{"fdsup://directions/FAT Viewer?action=UPDATE&amp;creator=factset&amp;DYN_ARGS=TRUE&amp;DOC_NAME=FAT:FQL_AUDITING_CLIENT_TEMPLATE.FAT&amp;display_string=Audit&amp;VAR:KEY=NMXSPWXSXC&amp;VAR:QUERY=RkZfRUJJVERBX0lCKCdMVE1TJywzOTQwNSk=&amp;WINDOW=FIRST_POPUP&amp;HEIGHT=450&amp;WIDTH=450&amp;START_MA","XIMIZED=FALSE&amp;VAR:CALENDAR=US&amp;VAR:SYMBOL=37183T10&amp;VAR:INDEX=0"}</definedName>
    <definedName name="_4481__FDSAUDITLINK__" localSheetId="6" hidden="1">{"fdsup://directions/FAT Viewer?action=UPDATE&amp;creator=factset&amp;DYN_ARGS=TRUE&amp;DOC_NAME=FAT:FQL_AUDITING_CLIENT_TEMPLATE.FAT&amp;display_string=Audit&amp;VAR:KEY=BQRQVIJCTG&amp;VAR:QUERY=RkZfRUJJVERBX0lCKCdMVE1TJywzOTQwNCk=&amp;WINDOW=FIRST_POPUP&amp;HEIGHT=450&amp;WIDTH=450&amp;START_MA","XIMIZED=FALSE&amp;VAR:CALENDAR=US&amp;VAR:SYMBOL=37183T10&amp;VAR:INDEX=0"}</definedName>
    <definedName name="_4481__FDSAUDITLINK__" hidden="1">{"fdsup://directions/FAT Viewer?action=UPDATE&amp;creator=factset&amp;DYN_ARGS=TRUE&amp;DOC_NAME=FAT:FQL_AUDITING_CLIENT_TEMPLATE.FAT&amp;display_string=Audit&amp;VAR:KEY=BQRQVIJCTG&amp;VAR:QUERY=RkZfRUJJVERBX0lCKCdMVE1TJywzOTQwNCk=&amp;WINDOW=FIRST_POPUP&amp;HEIGHT=450&amp;WIDTH=450&amp;START_MA","XIMIZED=FALSE&amp;VAR:CALENDAR=US&amp;VAR:SYMBOL=37183T10&amp;VAR:INDEX=0"}</definedName>
    <definedName name="_4482__FDSAUDITLINK__" localSheetId="6" hidden="1">{"fdsup://directions/FAT Viewer?action=UPDATE&amp;creator=factset&amp;DYN_ARGS=TRUE&amp;DOC_NAME=FAT:FQL_AUDITING_CLIENT_TEMPLATE.FAT&amp;display_string=Audit&amp;VAR:KEY=BGBKZMXMTC&amp;VAR:QUERY=RkZfRUJJVERBX0lCKCdMVE1TJywzOTQwMyk=&amp;WINDOW=FIRST_POPUP&amp;HEIGHT=450&amp;WIDTH=450&amp;START_MA","XIMIZED=FALSE&amp;VAR:CALENDAR=US&amp;VAR:SYMBOL=37183T10&amp;VAR:INDEX=0"}</definedName>
    <definedName name="_4482__FDSAUDITLINK__" hidden="1">{"fdsup://directions/FAT Viewer?action=UPDATE&amp;creator=factset&amp;DYN_ARGS=TRUE&amp;DOC_NAME=FAT:FQL_AUDITING_CLIENT_TEMPLATE.FAT&amp;display_string=Audit&amp;VAR:KEY=BGBKZMXMTC&amp;VAR:QUERY=RkZfRUJJVERBX0lCKCdMVE1TJywzOTQwMyk=&amp;WINDOW=FIRST_POPUP&amp;HEIGHT=450&amp;WIDTH=450&amp;START_MA","XIMIZED=FALSE&amp;VAR:CALENDAR=US&amp;VAR:SYMBOL=37183T10&amp;VAR:INDEX=0"}</definedName>
    <definedName name="_4483__FDSAUDITLINK__" localSheetId="6" hidden="1">{"fdsup://directions/FAT Viewer?action=UPDATE&amp;creator=factset&amp;DYN_ARGS=TRUE&amp;DOC_NAME=FAT:FQL_AUDITING_CLIENT_TEMPLATE.FAT&amp;display_string=Audit&amp;VAR:KEY=RKLYRQZEBU&amp;VAR:QUERY=RkZfRUJJVERBX0lCKCdMVE1TJywzOTQwMik=&amp;WINDOW=FIRST_POPUP&amp;HEIGHT=450&amp;WIDTH=450&amp;START_MA","XIMIZED=FALSE&amp;VAR:CALENDAR=US&amp;VAR:SYMBOL=37183T10&amp;VAR:INDEX=0"}</definedName>
    <definedName name="_4483__FDSAUDITLINK__" hidden="1">{"fdsup://directions/FAT Viewer?action=UPDATE&amp;creator=factset&amp;DYN_ARGS=TRUE&amp;DOC_NAME=FAT:FQL_AUDITING_CLIENT_TEMPLATE.FAT&amp;display_string=Audit&amp;VAR:KEY=RKLYRQZEBU&amp;VAR:QUERY=RkZfRUJJVERBX0lCKCdMVE1TJywzOTQwMik=&amp;WINDOW=FIRST_POPUP&amp;HEIGHT=450&amp;WIDTH=450&amp;START_MA","XIMIZED=FALSE&amp;VAR:CALENDAR=US&amp;VAR:SYMBOL=37183T10&amp;VAR:INDEX=0"}</definedName>
    <definedName name="_4484__FDSAUDITLINK__" localSheetId="6" hidden="1">{"fdsup://directions/FAT Viewer?action=UPDATE&amp;creator=factset&amp;DYN_ARGS=TRUE&amp;DOC_NAME=FAT:FQL_AUDITING_CLIENT_TEMPLATE.FAT&amp;display_string=Audit&amp;VAR:KEY=DCNKBQDWBM&amp;VAR:QUERY=RkZfRUJJVERBX0lCKCdMVE1TJywzOTQwMSk=&amp;WINDOW=FIRST_POPUP&amp;HEIGHT=450&amp;WIDTH=450&amp;START_MA","XIMIZED=FALSE&amp;VAR:CALENDAR=US&amp;VAR:SYMBOL=37183T10&amp;VAR:INDEX=0"}</definedName>
    <definedName name="_4484__FDSAUDITLINK__" hidden="1">{"fdsup://directions/FAT Viewer?action=UPDATE&amp;creator=factset&amp;DYN_ARGS=TRUE&amp;DOC_NAME=FAT:FQL_AUDITING_CLIENT_TEMPLATE.FAT&amp;display_string=Audit&amp;VAR:KEY=DCNKBQDWBM&amp;VAR:QUERY=RkZfRUJJVERBX0lCKCdMVE1TJywzOTQwMSk=&amp;WINDOW=FIRST_POPUP&amp;HEIGHT=450&amp;WIDTH=450&amp;START_MA","XIMIZED=FALSE&amp;VAR:CALENDAR=US&amp;VAR:SYMBOL=37183T10&amp;VAR:INDEX=0"}</definedName>
    <definedName name="_4485__FDSAUDITLINK__" localSheetId="6" hidden="1">{"fdsup://directions/FAT Viewer?action=UPDATE&amp;creator=factset&amp;DYN_ARGS=TRUE&amp;DOC_NAME=FAT:FQL_AUDITING_CLIENT_TEMPLATE.FAT&amp;display_string=Audit&amp;VAR:KEY=TCHYXORORY&amp;VAR:QUERY=RkZfRUJJVERBX0lCKCdMVE1TJywzOTQwMCk=&amp;WINDOW=FIRST_POPUP&amp;HEIGHT=450&amp;WIDTH=450&amp;START_MA","XIMIZED=FALSE&amp;VAR:CALENDAR=US&amp;VAR:SYMBOL=37183T10&amp;VAR:INDEX=0"}</definedName>
    <definedName name="_4485__FDSAUDITLINK__" hidden="1">{"fdsup://directions/FAT Viewer?action=UPDATE&amp;creator=factset&amp;DYN_ARGS=TRUE&amp;DOC_NAME=FAT:FQL_AUDITING_CLIENT_TEMPLATE.FAT&amp;display_string=Audit&amp;VAR:KEY=TCHYXORORY&amp;VAR:QUERY=RkZfRUJJVERBX0lCKCdMVE1TJywzOTQwMCk=&amp;WINDOW=FIRST_POPUP&amp;HEIGHT=450&amp;WIDTH=450&amp;START_MA","XIMIZED=FALSE&amp;VAR:CALENDAR=US&amp;VAR:SYMBOL=37183T10&amp;VAR:INDEX=0"}</definedName>
    <definedName name="_4486__FDSAUDITLINK__" localSheetId="6" hidden="1">{"fdsup://directions/FAT Viewer?action=UPDATE&amp;creator=factset&amp;DYN_ARGS=TRUE&amp;DOC_NAME=FAT:FQL_AUDITING_CLIENT_TEMPLATE.FAT&amp;display_string=Audit&amp;VAR:KEY=FETCFMLIXQ&amp;VAR:QUERY=RkZfRUJJVERBX0lCKCdMVE1TJywzOTM5OSk=&amp;WINDOW=FIRST_POPUP&amp;HEIGHT=450&amp;WIDTH=450&amp;START_MA","XIMIZED=FALSE&amp;VAR:CALENDAR=US&amp;VAR:SYMBOL=37183T10&amp;VAR:INDEX=0"}</definedName>
    <definedName name="_4486__FDSAUDITLINK__" hidden="1">{"fdsup://directions/FAT Viewer?action=UPDATE&amp;creator=factset&amp;DYN_ARGS=TRUE&amp;DOC_NAME=FAT:FQL_AUDITING_CLIENT_TEMPLATE.FAT&amp;display_string=Audit&amp;VAR:KEY=FETCFMLIXQ&amp;VAR:QUERY=RkZfRUJJVERBX0lCKCdMVE1TJywzOTM5OSk=&amp;WINDOW=FIRST_POPUP&amp;HEIGHT=450&amp;WIDTH=450&amp;START_MA","XIMIZED=FALSE&amp;VAR:CALENDAR=US&amp;VAR:SYMBOL=37183T10&amp;VAR:INDEX=0"}</definedName>
    <definedName name="_4487__FDSAUDITLINK__" localSheetId="6" hidden="1">{"fdsup://directions/FAT Viewer?action=UPDATE&amp;creator=factset&amp;DYN_ARGS=TRUE&amp;DOC_NAME=FAT:FQL_AUDITING_CLIENT_TEMPLATE.FAT&amp;display_string=Audit&amp;VAR:KEY=JSFEBKZYRG&amp;VAR:QUERY=RkZfRUJJVERBX0lCKCdMVE1TJywzOTM5OCk=&amp;WINDOW=FIRST_POPUP&amp;HEIGHT=450&amp;WIDTH=450&amp;START_MA","XIMIZED=FALSE&amp;VAR:CALENDAR=US&amp;VAR:SYMBOL=37183T10&amp;VAR:INDEX=0"}</definedName>
    <definedName name="_4487__FDSAUDITLINK__" hidden="1">{"fdsup://directions/FAT Viewer?action=UPDATE&amp;creator=factset&amp;DYN_ARGS=TRUE&amp;DOC_NAME=FAT:FQL_AUDITING_CLIENT_TEMPLATE.FAT&amp;display_string=Audit&amp;VAR:KEY=JSFEBKZYRG&amp;VAR:QUERY=RkZfRUJJVERBX0lCKCdMVE1TJywzOTM5OCk=&amp;WINDOW=FIRST_POPUP&amp;HEIGHT=450&amp;WIDTH=450&amp;START_MA","XIMIZED=FALSE&amp;VAR:CALENDAR=US&amp;VAR:SYMBOL=37183T10&amp;VAR:INDEX=0"}</definedName>
    <definedName name="_4488__FDSAUDITLINK__" localSheetId="6" hidden="1">{"fdsup://directions/FAT Viewer?action=UPDATE&amp;creator=factset&amp;DYN_ARGS=TRUE&amp;DOC_NAME=FAT:FQL_AUDITING_CLIENT_TEMPLATE.FAT&amp;display_string=Audit&amp;VAR:KEY=HQHAZEPMLG&amp;VAR:QUERY=RkZfRUJJVERBX0lCKCdMVE1TJywzOTM5Nyk=&amp;WINDOW=FIRST_POPUP&amp;HEIGHT=450&amp;WIDTH=450&amp;START_MA","XIMIZED=FALSE&amp;VAR:CALENDAR=US&amp;VAR:SYMBOL=37183T10&amp;VAR:INDEX=0"}</definedName>
    <definedName name="_4488__FDSAUDITLINK__" hidden="1">{"fdsup://directions/FAT Viewer?action=UPDATE&amp;creator=factset&amp;DYN_ARGS=TRUE&amp;DOC_NAME=FAT:FQL_AUDITING_CLIENT_TEMPLATE.FAT&amp;display_string=Audit&amp;VAR:KEY=HQHAZEPMLG&amp;VAR:QUERY=RkZfRUJJVERBX0lCKCdMVE1TJywzOTM5Nyk=&amp;WINDOW=FIRST_POPUP&amp;HEIGHT=450&amp;WIDTH=450&amp;START_MA","XIMIZED=FALSE&amp;VAR:CALENDAR=US&amp;VAR:SYMBOL=37183T10&amp;VAR:INDEX=0"}</definedName>
    <definedName name="_4489__FDSAUDITLINK__" localSheetId="6" hidden="1">{"fdsup://directions/FAT Viewer?action=UPDATE&amp;creator=factset&amp;DYN_ARGS=TRUE&amp;DOC_NAME=FAT:FQL_AUDITING_CLIENT_TEMPLATE.FAT&amp;display_string=Audit&amp;VAR:KEY=LMXGNIBKHQ&amp;VAR:QUERY=RkZfRUJJVERBX0lCKCdMVE1TJywzOTM5Nik=&amp;WINDOW=FIRST_POPUP&amp;HEIGHT=450&amp;WIDTH=450&amp;START_MA","XIMIZED=FALSE&amp;VAR:CALENDAR=US&amp;VAR:SYMBOL=37183T10&amp;VAR:INDEX=0"}</definedName>
    <definedName name="_4489__FDSAUDITLINK__" hidden="1">{"fdsup://directions/FAT Viewer?action=UPDATE&amp;creator=factset&amp;DYN_ARGS=TRUE&amp;DOC_NAME=FAT:FQL_AUDITING_CLIENT_TEMPLATE.FAT&amp;display_string=Audit&amp;VAR:KEY=LMXGNIBKHQ&amp;VAR:QUERY=RkZfRUJJVERBX0lCKCdMVE1TJywzOTM5Nik=&amp;WINDOW=FIRST_POPUP&amp;HEIGHT=450&amp;WIDTH=450&amp;START_MA","XIMIZED=FALSE&amp;VAR:CALENDAR=US&amp;VAR:SYMBOL=37183T10&amp;VAR:INDEX=0"}</definedName>
    <definedName name="_449__FDSAUDITLINK__" localSheetId="6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49__FDSAUDITLINK__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490__FDSAUDITLINK__" localSheetId="6" hidden="1">{"fdsup://directions/FAT Viewer?action=UPDATE&amp;creator=factset&amp;DYN_ARGS=TRUE&amp;DOC_NAME=FAT:FQL_AUDITING_CLIENT_TEMPLATE.FAT&amp;display_string=Audit&amp;VAR:KEY=XOTCDEJSRM&amp;VAR:QUERY=RkZfRUJJVERBX0lCKCdMVE1TJywzOTM5NSk=&amp;WINDOW=FIRST_POPUP&amp;HEIGHT=450&amp;WIDTH=450&amp;START_MA","XIMIZED=FALSE&amp;VAR:CALENDAR=US&amp;VAR:SYMBOL=37183T10&amp;VAR:INDEX=0"}</definedName>
    <definedName name="_4490__FDSAUDITLINK__" hidden="1">{"fdsup://directions/FAT Viewer?action=UPDATE&amp;creator=factset&amp;DYN_ARGS=TRUE&amp;DOC_NAME=FAT:FQL_AUDITING_CLIENT_TEMPLATE.FAT&amp;display_string=Audit&amp;VAR:KEY=XOTCDEJSRM&amp;VAR:QUERY=RkZfRUJJVERBX0lCKCdMVE1TJywzOTM5NSk=&amp;WINDOW=FIRST_POPUP&amp;HEIGHT=450&amp;WIDTH=450&amp;START_MA","XIMIZED=FALSE&amp;VAR:CALENDAR=US&amp;VAR:SYMBOL=37183T10&amp;VAR:INDEX=0"}</definedName>
    <definedName name="_4491__FDSAUDITLINK__" localSheetId="6" hidden="1">{"fdsup://directions/FAT Viewer?action=UPDATE&amp;creator=factset&amp;DYN_ARGS=TRUE&amp;DOC_NAME=FAT:FQL_AUDITING_CLIENT_TEMPLATE.FAT&amp;display_string=Audit&amp;VAR:KEY=RINYREBWFS&amp;VAR:QUERY=RkZfRUJJVERBX0lCKCdMVE1TJywzOTM5NCk=&amp;WINDOW=FIRST_POPUP&amp;HEIGHT=450&amp;WIDTH=450&amp;START_MA","XIMIZED=FALSE&amp;VAR:CALENDAR=US&amp;VAR:SYMBOL=37183T10&amp;VAR:INDEX=0"}</definedName>
    <definedName name="_4491__FDSAUDITLINK__" hidden="1">{"fdsup://directions/FAT Viewer?action=UPDATE&amp;creator=factset&amp;DYN_ARGS=TRUE&amp;DOC_NAME=FAT:FQL_AUDITING_CLIENT_TEMPLATE.FAT&amp;display_string=Audit&amp;VAR:KEY=RINYREBWFS&amp;VAR:QUERY=RkZfRUJJVERBX0lCKCdMVE1TJywzOTM5NCk=&amp;WINDOW=FIRST_POPUP&amp;HEIGHT=450&amp;WIDTH=450&amp;START_MA","XIMIZED=FALSE&amp;VAR:CALENDAR=US&amp;VAR:SYMBOL=37183T10&amp;VAR:INDEX=0"}</definedName>
    <definedName name="_4492__FDSAUDITLINK__" localSheetId="6" hidden="1">{"fdsup://directions/FAT Viewer?action=UPDATE&amp;creator=factset&amp;DYN_ARGS=TRUE&amp;DOC_NAME=FAT:FQL_AUDITING_CLIENT_TEMPLATE.FAT&amp;display_string=Audit&amp;VAR:KEY=DILAHCVEJI&amp;VAR:QUERY=RkZfRUJJVERBX0lCKCdMVE1TJywzOTM5Myk=&amp;WINDOW=FIRST_POPUP&amp;HEIGHT=450&amp;WIDTH=450&amp;START_MA","XIMIZED=FALSE&amp;VAR:CALENDAR=US&amp;VAR:SYMBOL=37183T10&amp;VAR:INDEX=0"}</definedName>
    <definedName name="_4492__FDSAUDITLINK__" hidden="1">{"fdsup://directions/FAT Viewer?action=UPDATE&amp;creator=factset&amp;DYN_ARGS=TRUE&amp;DOC_NAME=FAT:FQL_AUDITING_CLIENT_TEMPLATE.FAT&amp;display_string=Audit&amp;VAR:KEY=DILAHCVEJI&amp;VAR:QUERY=RkZfRUJJVERBX0lCKCdMVE1TJywzOTM5Myk=&amp;WINDOW=FIRST_POPUP&amp;HEIGHT=450&amp;WIDTH=450&amp;START_MA","XIMIZED=FALSE&amp;VAR:CALENDAR=US&amp;VAR:SYMBOL=37183T10&amp;VAR:INDEX=0"}</definedName>
    <definedName name="_4493__FDSAUDITLINK__" localSheetId="6" hidden="1">{"fdsup://directions/FAT Viewer?action=UPDATE&amp;creator=factset&amp;DYN_ARGS=TRUE&amp;DOC_NAME=FAT:FQL_AUDITING_CLIENT_TEMPLATE.FAT&amp;display_string=Audit&amp;VAR:KEY=FABOPSHALQ&amp;VAR:QUERY=RkZfRUJJVERBX0lCKCdMVE1TJywzOTM5Mik=&amp;WINDOW=FIRST_POPUP&amp;HEIGHT=450&amp;WIDTH=450&amp;START_MA","XIMIZED=FALSE&amp;VAR:CALENDAR=US&amp;VAR:SYMBOL=37183T10&amp;VAR:INDEX=0"}</definedName>
    <definedName name="_4493__FDSAUDITLINK__" hidden="1">{"fdsup://directions/FAT Viewer?action=UPDATE&amp;creator=factset&amp;DYN_ARGS=TRUE&amp;DOC_NAME=FAT:FQL_AUDITING_CLIENT_TEMPLATE.FAT&amp;display_string=Audit&amp;VAR:KEY=FABOPSHALQ&amp;VAR:QUERY=RkZfRUJJVERBX0lCKCdMVE1TJywzOTM5Mik=&amp;WINDOW=FIRST_POPUP&amp;HEIGHT=450&amp;WIDTH=450&amp;START_MA","XIMIZED=FALSE&amp;VAR:CALENDAR=US&amp;VAR:SYMBOL=37183T10&amp;VAR:INDEX=0"}</definedName>
    <definedName name="_4494__FDSAUDITLINK__" localSheetId="6" hidden="1">{"fdsup://directions/FAT Viewer?action=UPDATE&amp;creator=factset&amp;DYN_ARGS=TRUE&amp;DOC_NAME=FAT:FQL_AUDITING_CLIENT_TEMPLATE.FAT&amp;display_string=Audit&amp;VAR:KEY=RMVCFUDINA&amp;VAR:QUERY=RkZfRUJJVERBX0lCKCdMVE1TJywzOTM5MSk=&amp;WINDOW=FIRST_POPUP&amp;HEIGHT=450&amp;WIDTH=450&amp;START_MA","XIMIZED=FALSE&amp;VAR:CALENDAR=US&amp;VAR:SYMBOL=37183T10&amp;VAR:INDEX=0"}</definedName>
    <definedName name="_4494__FDSAUDITLINK__" hidden="1">{"fdsup://directions/FAT Viewer?action=UPDATE&amp;creator=factset&amp;DYN_ARGS=TRUE&amp;DOC_NAME=FAT:FQL_AUDITING_CLIENT_TEMPLATE.FAT&amp;display_string=Audit&amp;VAR:KEY=RMVCFUDINA&amp;VAR:QUERY=RkZfRUJJVERBX0lCKCdMVE1TJywzOTM5MSk=&amp;WINDOW=FIRST_POPUP&amp;HEIGHT=450&amp;WIDTH=450&amp;START_MA","XIMIZED=FALSE&amp;VAR:CALENDAR=US&amp;VAR:SYMBOL=37183T10&amp;VAR:INDEX=0"}</definedName>
    <definedName name="_4495__FDSAUDITLINK__" localSheetId="6" hidden="1">{"fdsup://directions/FAT Viewer?action=UPDATE&amp;creator=factset&amp;DYN_ARGS=TRUE&amp;DOC_NAME=FAT:FQL_AUDITING_CLIENT_TEMPLATE.FAT&amp;display_string=Audit&amp;VAR:KEY=TMRALWDAHI&amp;VAR:QUERY=RkZfRUJJVERBX0lCKCdMVE1TJywzOTM5MCk=&amp;WINDOW=FIRST_POPUP&amp;HEIGHT=450&amp;WIDTH=450&amp;START_MA","XIMIZED=FALSE&amp;VAR:CALENDAR=US&amp;VAR:SYMBOL=37183T10&amp;VAR:INDEX=0"}</definedName>
    <definedName name="_4495__FDSAUDITLINK__" hidden="1">{"fdsup://directions/FAT Viewer?action=UPDATE&amp;creator=factset&amp;DYN_ARGS=TRUE&amp;DOC_NAME=FAT:FQL_AUDITING_CLIENT_TEMPLATE.FAT&amp;display_string=Audit&amp;VAR:KEY=TMRALWDAHI&amp;VAR:QUERY=RkZfRUJJVERBX0lCKCdMVE1TJywzOTM5MCk=&amp;WINDOW=FIRST_POPUP&amp;HEIGHT=450&amp;WIDTH=450&amp;START_MA","XIMIZED=FALSE&amp;VAR:CALENDAR=US&amp;VAR:SYMBOL=37183T10&amp;VAR:INDEX=0"}</definedName>
    <definedName name="_4496__FDSAUDITLINK__" localSheetId="6" hidden="1">{"fdsup://directions/FAT Viewer?action=UPDATE&amp;creator=factset&amp;DYN_ARGS=TRUE&amp;DOC_NAME=FAT:FQL_AUDITING_CLIENT_TEMPLATE.FAT&amp;display_string=Audit&amp;VAR:KEY=BSXSFGBENA&amp;VAR:QUERY=RkZfRUJJVERBX0lCKCdMVE1TJywzOTM4OSk=&amp;WINDOW=FIRST_POPUP&amp;HEIGHT=450&amp;WIDTH=450&amp;START_MA","XIMIZED=FALSE&amp;VAR:CALENDAR=US&amp;VAR:SYMBOL=37183T10&amp;VAR:INDEX=0"}</definedName>
    <definedName name="_4496__FDSAUDITLINK__" hidden="1">{"fdsup://directions/FAT Viewer?action=UPDATE&amp;creator=factset&amp;DYN_ARGS=TRUE&amp;DOC_NAME=FAT:FQL_AUDITING_CLIENT_TEMPLATE.FAT&amp;display_string=Audit&amp;VAR:KEY=BSXSFGBENA&amp;VAR:QUERY=RkZfRUJJVERBX0lCKCdMVE1TJywzOTM4OSk=&amp;WINDOW=FIRST_POPUP&amp;HEIGHT=450&amp;WIDTH=450&amp;START_MA","XIMIZED=FALSE&amp;VAR:CALENDAR=US&amp;VAR:SYMBOL=37183T10&amp;VAR:INDEX=0"}</definedName>
    <definedName name="_4497__FDSAUDITLINK__" localSheetId="6" hidden="1">{"fdsup://directions/FAT Viewer?action=UPDATE&amp;creator=factset&amp;DYN_ARGS=TRUE&amp;DOC_NAME=FAT:FQL_AUDITING_CLIENT_TEMPLATE.FAT&amp;display_string=Audit&amp;VAR:KEY=XIVGPCRKLU&amp;VAR:QUERY=RkZfRUJJVERBX0lCKCdMVE1TJywzOTM4OCk=&amp;WINDOW=FIRST_POPUP&amp;HEIGHT=450&amp;WIDTH=450&amp;START_MA","XIMIZED=FALSE&amp;VAR:CALENDAR=US&amp;VAR:SYMBOL=37183T10&amp;VAR:INDEX=0"}</definedName>
    <definedName name="_4497__FDSAUDITLINK__" hidden="1">{"fdsup://directions/FAT Viewer?action=UPDATE&amp;creator=factset&amp;DYN_ARGS=TRUE&amp;DOC_NAME=FAT:FQL_AUDITING_CLIENT_TEMPLATE.FAT&amp;display_string=Audit&amp;VAR:KEY=XIVGPCRKLU&amp;VAR:QUERY=RkZfRUJJVERBX0lCKCdMVE1TJywzOTM4OCk=&amp;WINDOW=FIRST_POPUP&amp;HEIGHT=450&amp;WIDTH=450&amp;START_MA","XIMIZED=FALSE&amp;VAR:CALENDAR=US&amp;VAR:SYMBOL=37183T10&amp;VAR:INDEX=0"}</definedName>
    <definedName name="_4498__FDSAUDITLINK__" localSheetId="6" hidden="1">{"fdsup://directions/FAT Viewer?action=UPDATE&amp;creator=factset&amp;DYN_ARGS=TRUE&amp;DOC_NAME=FAT:FQL_AUDITING_CLIENT_TEMPLATE.FAT&amp;display_string=Audit&amp;VAR:KEY=HAFSTOHEPQ&amp;VAR:QUERY=RkZfRUJJVERBX0lCKCdMVE1TJywzOTM4Nyk=&amp;WINDOW=FIRST_POPUP&amp;HEIGHT=450&amp;WIDTH=450&amp;START_MA","XIMIZED=FALSE&amp;VAR:CALENDAR=US&amp;VAR:SYMBOL=37183T10&amp;VAR:INDEX=0"}</definedName>
    <definedName name="_4498__FDSAUDITLINK__" hidden="1">{"fdsup://directions/FAT Viewer?action=UPDATE&amp;creator=factset&amp;DYN_ARGS=TRUE&amp;DOC_NAME=FAT:FQL_AUDITING_CLIENT_TEMPLATE.FAT&amp;display_string=Audit&amp;VAR:KEY=HAFSTOHEPQ&amp;VAR:QUERY=RkZfRUJJVERBX0lCKCdMVE1TJywzOTM4Nyk=&amp;WINDOW=FIRST_POPUP&amp;HEIGHT=450&amp;WIDTH=450&amp;START_MA","XIMIZED=FALSE&amp;VAR:CALENDAR=US&amp;VAR:SYMBOL=37183T10&amp;VAR:INDEX=0"}</definedName>
    <definedName name="_4499__FDSAUDITLINK__" localSheetId="6" hidden="1">{"fdsup://directions/FAT Viewer?action=UPDATE&amp;creator=factset&amp;DYN_ARGS=TRUE&amp;DOC_NAME=FAT:FQL_AUDITING_CLIENT_TEMPLATE.FAT&amp;display_string=Audit&amp;VAR:KEY=PQBWJMZIZG&amp;VAR:QUERY=RkZfRUJJVERBX0lCKCdMVE1TJywzOTM4Nik=&amp;WINDOW=FIRST_POPUP&amp;HEIGHT=450&amp;WIDTH=450&amp;START_MA","XIMIZED=FALSE&amp;VAR:CALENDAR=US&amp;VAR:SYMBOL=37183T10&amp;VAR:INDEX=0"}</definedName>
    <definedName name="_4499__FDSAUDITLINK__" hidden="1">{"fdsup://directions/FAT Viewer?action=UPDATE&amp;creator=factset&amp;DYN_ARGS=TRUE&amp;DOC_NAME=FAT:FQL_AUDITING_CLIENT_TEMPLATE.FAT&amp;display_string=Audit&amp;VAR:KEY=PQBWJMZIZG&amp;VAR:QUERY=RkZfRUJJVERBX0lCKCdMVE1TJywzOTM4Nik=&amp;WINDOW=FIRST_POPUP&amp;HEIGHT=450&amp;WIDTH=450&amp;START_MA","XIMIZED=FALSE&amp;VAR:CALENDAR=US&amp;VAR:SYMBOL=37183T10&amp;VAR:INDEX=0"}</definedName>
    <definedName name="_45__FDSAUDITLINK__" localSheetId="6" hidden="1">{"fdsup://directions/FAT Viewer?action=UPDATE&amp;creator=factset&amp;DYN_ARGS=TRUE&amp;DOC_NAME=FAT:FQL_AUDITING_CLIENT_TEMPLATE.FAT&amp;display_string=Audit&amp;VAR:KEY=OVUNGXQPQR&amp;VAR:QUERY=QVZHKENTRl9ORVRfSU5DKEFOTiwwRlksLTZGWSxZKSkgLyAoQVZHKENTRl9BU1NFVFMoQU5OLDBGWSwtNkZZL","EZZKSkgLSBBVkcoQ1NGX0lOVEFORyhBTk4sMCwtNkZZLEZZKSkp&amp;WINDOW=FIRST_POPUP&amp;HEIGHT=450&amp;WIDTH=450&amp;START_MAXIMIZED=FALSE&amp;VAR:CALENDAR=US&amp;VAR:SYMBOL=669452"}</definedName>
    <definedName name="_45__FDSAUDITLINK__" hidden="1">{"fdsup://directions/FAT Viewer?action=UPDATE&amp;creator=factset&amp;DYN_ARGS=TRUE&amp;DOC_NAME=FAT:FQL_AUDITING_CLIENT_TEMPLATE.FAT&amp;display_string=Audit&amp;VAR:KEY=OVUNGXQPQR&amp;VAR:QUERY=QVZHKENTRl9ORVRfSU5DKEFOTiwwRlksLTZGWSxZKSkgLyAoQVZHKENTRl9BU1NFVFMoQU5OLDBGWSwtNkZZL","EZZKSkgLSBBVkcoQ1NGX0lOVEFORyhBTk4sMCwtNkZZLEZZKSkp&amp;WINDOW=FIRST_POPUP&amp;HEIGHT=450&amp;WIDTH=450&amp;START_MAXIMIZED=FALSE&amp;VAR:CALENDAR=US&amp;VAR:SYMBOL=669452"}</definedName>
    <definedName name="_450__FDSAUDITLINK__" localSheetId="6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0__FDSAUDITLINK__" hidden="1">{"fdsup://directions/FAT%20Viewer?VAR:PED=LTM&amp;VAR:AUDIT_MODE=SUMMARY&amp;VAR:PERIOD=FIXED&amp;VAR:AUDIT_ID=00000117&amp;VAR:DATE=20081128&amp;action=UPDATE&amp;creator=factset&amp;DOC_NAME=FAT:FMA_audit_SUMMARY.fat&amp;DISPLAY_STRING=Display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00__FDSAUDITLINK__" localSheetId="6" hidden="1">{"fdsup://directions/FAT Viewer?action=UPDATE&amp;creator=factset&amp;DYN_ARGS=TRUE&amp;DOC_NAME=FAT:FQL_AUDITING_CLIENT_TEMPLATE.FAT&amp;display_string=Audit&amp;VAR:KEY=PMHCTEPWDU&amp;VAR:QUERY=RkZfRUJJVERBX0lCKCdMVE1TJywzOTM4NSk=&amp;WINDOW=FIRST_POPUP&amp;HEIGHT=450&amp;WIDTH=450&amp;START_MA","XIMIZED=FALSE&amp;VAR:CALENDAR=US&amp;VAR:SYMBOL=37183T10&amp;VAR:INDEX=0"}</definedName>
    <definedName name="_4500__FDSAUDITLINK__" hidden="1">{"fdsup://directions/FAT Viewer?action=UPDATE&amp;creator=factset&amp;DYN_ARGS=TRUE&amp;DOC_NAME=FAT:FQL_AUDITING_CLIENT_TEMPLATE.FAT&amp;display_string=Audit&amp;VAR:KEY=PMHCTEPWDU&amp;VAR:QUERY=RkZfRUJJVERBX0lCKCdMVE1TJywzOTM4NSk=&amp;WINDOW=FIRST_POPUP&amp;HEIGHT=450&amp;WIDTH=450&amp;START_MA","XIMIZED=FALSE&amp;VAR:CALENDAR=US&amp;VAR:SYMBOL=37183T10&amp;VAR:INDEX=0"}</definedName>
    <definedName name="_4501__FDSAUDITLINK__" localSheetId="6" hidden="1">{"fdsup://directions/FAT Viewer?action=UPDATE&amp;creator=factset&amp;DYN_ARGS=TRUE&amp;DOC_NAME=FAT:FQL_AUDITING_CLIENT_TEMPLATE.FAT&amp;display_string=Audit&amp;VAR:KEY=DGDONEZGJA&amp;VAR:QUERY=RkZfRUJJVERBX0lCKCdMVE1TJywzOTM4NCk=&amp;WINDOW=FIRST_POPUP&amp;HEIGHT=450&amp;WIDTH=450&amp;START_MA","XIMIZED=FALSE&amp;VAR:CALENDAR=US&amp;VAR:SYMBOL=37183T10&amp;VAR:INDEX=0"}</definedName>
    <definedName name="_4501__FDSAUDITLINK__" hidden="1">{"fdsup://directions/FAT Viewer?action=UPDATE&amp;creator=factset&amp;DYN_ARGS=TRUE&amp;DOC_NAME=FAT:FQL_AUDITING_CLIENT_TEMPLATE.FAT&amp;display_string=Audit&amp;VAR:KEY=DGDONEZGJA&amp;VAR:QUERY=RkZfRUJJVERBX0lCKCdMVE1TJywzOTM4NCk=&amp;WINDOW=FIRST_POPUP&amp;HEIGHT=450&amp;WIDTH=450&amp;START_MA","XIMIZED=FALSE&amp;VAR:CALENDAR=US&amp;VAR:SYMBOL=37183T10&amp;VAR:INDEX=0"}</definedName>
    <definedName name="_4502__FDSAUDITLINK__" localSheetId="6" hidden="1">{"fdsup://directions/FAT Viewer?action=UPDATE&amp;creator=factset&amp;DYN_ARGS=TRUE&amp;DOC_NAME=FAT:FQL_AUDITING_CLIENT_TEMPLATE.FAT&amp;display_string=Audit&amp;VAR:KEY=ZQPOBYRMZK&amp;VAR:QUERY=RkZfRUJJVERBX0lCKCdMVE1TJywzOTM4Myk=&amp;WINDOW=FIRST_POPUP&amp;HEIGHT=450&amp;WIDTH=450&amp;START_MA","XIMIZED=FALSE&amp;VAR:CALENDAR=US&amp;VAR:SYMBOL=37183T10&amp;VAR:INDEX=0"}</definedName>
    <definedName name="_4502__FDSAUDITLINK__" hidden="1">{"fdsup://directions/FAT Viewer?action=UPDATE&amp;creator=factset&amp;DYN_ARGS=TRUE&amp;DOC_NAME=FAT:FQL_AUDITING_CLIENT_TEMPLATE.FAT&amp;display_string=Audit&amp;VAR:KEY=ZQPOBYRMZK&amp;VAR:QUERY=RkZfRUJJVERBX0lCKCdMVE1TJywzOTM4Myk=&amp;WINDOW=FIRST_POPUP&amp;HEIGHT=450&amp;WIDTH=450&amp;START_MA","XIMIZED=FALSE&amp;VAR:CALENDAR=US&amp;VAR:SYMBOL=37183T10&amp;VAR:INDEX=0"}</definedName>
    <definedName name="_4503__FDSAUDITLINK__" localSheetId="6" hidden="1">{"fdsup://directions/FAT Viewer?action=UPDATE&amp;creator=factset&amp;DYN_ARGS=TRUE&amp;DOC_NAME=FAT:FQL_AUDITING_CLIENT_TEMPLATE.FAT&amp;display_string=Audit&amp;VAR:KEY=XQRIBSNCTE&amp;VAR:QUERY=RkZfRUJJVERBX0lCKCdMVE1TJywzOTM4Mik=&amp;WINDOW=FIRST_POPUP&amp;HEIGHT=450&amp;WIDTH=450&amp;START_MA","XIMIZED=FALSE&amp;VAR:CALENDAR=US&amp;VAR:SYMBOL=37183T10&amp;VAR:INDEX=0"}</definedName>
    <definedName name="_4503__FDSAUDITLINK__" hidden="1">{"fdsup://directions/FAT Viewer?action=UPDATE&amp;creator=factset&amp;DYN_ARGS=TRUE&amp;DOC_NAME=FAT:FQL_AUDITING_CLIENT_TEMPLATE.FAT&amp;display_string=Audit&amp;VAR:KEY=XQRIBSNCTE&amp;VAR:QUERY=RkZfRUJJVERBX0lCKCdMVE1TJywzOTM4Mik=&amp;WINDOW=FIRST_POPUP&amp;HEIGHT=450&amp;WIDTH=450&amp;START_MA","XIMIZED=FALSE&amp;VAR:CALENDAR=US&amp;VAR:SYMBOL=37183T10&amp;VAR:INDEX=0"}</definedName>
    <definedName name="_4504__FDSAUDITLINK__" localSheetId="6" hidden="1">{"fdsup://directions/FAT Viewer?action=UPDATE&amp;creator=factset&amp;DYN_ARGS=TRUE&amp;DOC_NAME=FAT:FQL_AUDITING_CLIENT_TEMPLATE.FAT&amp;display_string=Audit&amp;VAR:KEY=XUHELCZSPY&amp;VAR:QUERY=RkZfRUJJVERBX0lCKCdMVE1TJywzOTM4MSk=&amp;WINDOW=FIRST_POPUP&amp;HEIGHT=450&amp;WIDTH=450&amp;START_MA","XIMIZED=FALSE&amp;VAR:CALENDAR=US&amp;VAR:SYMBOL=37183T10&amp;VAR:INDEX=0"}</definedName>
    <definedName name="_4504__FDSAUDITLINK__" hidden="1">{"fdsup://directions/FAT Viewer?action=UPDATE&amp;creator=factset&amp;DYN_ARGS=TRUE&amp;DOC_NAME=FAT:FQL_AUDITING_CLIENT_TEMPLATE.FAT&amp;display_string=Audit&amp;VAR:KEY=XUHELCZSPY&amp;VAR:QUERY=RkZfRUJJVERBX0lCKCdMVE1TJywzOTM4MSk=&amp;WINDOW=FIRST_POPUP&amp;HEIGHT=450&amp;WIDTH=450&amp;START_MA","XIMIZED=FALSE&amp;VAR:CALENDAR=US&amp;VAR:SYMBOL=37183T10&amp;VAR:INDEX=0"}</definedName>
    <definedName name="_4505__FDSAUDITLINK__" localSheetId="6" hidden="1">{"fdsup://directions/FAT Viewer?action=UPDATE&amp;creator=factset&amp;DYN_ARGS=TRUE&amp;DOC_NAME=FAT:FQL_AUDITING_CLIENT_TEMPLATE.FAT&amp;display_string=Audit&amp;VAR:KEY=LCTKVWFMBU&amp;VAR:QUERY=RkZfRUJJVERBX0lCKCdMVE1TJywzOTM4MCk=&amp;WINDOW=FIRST_POPUP&amp;HEIGHT=450&amp;WIDTH=450&amp;START_MA","XIMIZED=FALSE&amp;VAR:CALENDAR=US&amp;VAR:SYMBOL=37183T10&amp;VAR:INDEX=0"}</definedName>
    <definedName name="_4505__FDSAUDITLINK__" hidden="1">{"fdsup://directions/FAT Viewer?action=UPDATE&amp;creator=factset&amp;DYN_ARGS=TRUE&amp;DOC_NAME=FAT:FQL_AUDITING_CLIENT_TEMPLATE.FAT&amp;display_string=Audit&amp;VAR:KEY=LCTKVWFMBU&amp;VAR:QUERY=RkZfRUJJVERBX0lCKCdMVE1TJywzOTM4MCk=&amp;WINDOW=FIRST_POPUP&amp;HEIGHT=450&amp;WIDTH=450&amp;START_MA","XIMIZED=FALSE&amp;VAR:CALENDAR=US&amp;VAR:SYMBOL=37183T10&amp;VAR:INDEX=0"}</definedName>
    <definedName name="_4506__FDSAUDITLINK__" localSheetId="6" hidden="1">{"fdsup://directions/FAT Viewer?action=UPDATE&amp;creator=factset&amp;DYN_ARGS=TRUE&amp;DOC_NAME=FAT:FQL_AUDITING_CLIENT_TEMPLATE.FAT&amp;display_string=Audit&amp;VAR:KEY=XMZEXOFANQ&amp;VAR:QUERY=RkZfRUJJVERBX0lCKCdMVE1TJywzOTM3OSk=&amp;WINDOW=FIRST_POPUP&amp;HEIGHT=450&amp;WIDTH=450&amp;START_MA","XIMIZED=FALSE&amp;VAR:CALENDAR=US&amp;VAR:SYMBOL=37183T10&amp;VAR:INDEX=0"}</definedName>
    <definedName name="_4506__FDSAUDITLINK__" hidden="1">{"fdsup://directions/FAT Viewer?action=UPDATE&amp;creator=factset&amp;DYN_ARGS=TRUE&amp;DOC_NAME=FAT:FQL_AUDITING_CLIENT_TEMPLATE.FAT&amp;display_string=Audit&amp;VAR:KEY=XMZEXOFANQ&amp;VAR:QUERY=RkZfRUJJVERBX0lCKCdMVE1TJywzOTM3OSk=&amp;WINDOW=FIRST_POPUP&amp;HEIGHT=450&amp;WIDTH=450&amp;START_MA","XIMIZED=FALSE&amp;VAR:CALENDAR=US&amp;VAR:SYMBOL=37183T10&amp;VAR:INDEX=0"}</definedName>
    <definedName name="_4507__FDSAUDITLINK__" localSheetId="6" hidden="1">{"fdsup://directions/FAT Viewer?action=UPDATE&amp;creator=factset&amp;DYN_ARGS=TRUE&amp;DOC_NAME=FAT:FQL_AUDITING_CLIENT_TEMPLATE.FAT&amp;display_string=Audit&amp;VAR:KEY=BMHEHIPOZM&amp;VAR:QUERY=RkZfRUJJVERBX0lCKCdMVE1TJywzOTM3OCk=&amp;WINDOW=FIRST_POPUP&amp;HEIGHT=450&amp;WIDTH=450&amp;START_MA","XIMIZED=FALSE&amp;VAR:CALENDAR=US&amp;VAR:SYMBOL=37183T10&amp;VAR:INDEX=0"}</definedName>
    <definedName name="_4507__FDSAUDITLINK__" hidden="1">{"fdsup://directions/FAT Viewer?action=UPDATE&amp;creator=factset&amp;DYN_ARGS=TRUE&amp;DOC_NAME=FAT:FQL_AUDITING_CLIENT_TEMPLATE.FAT&amp;display_string=Audit&amp;VAR:KEY=BMHEHIPOZM&amp;VAR:QUERY=RkZfRUJJVERBX0lCKCdMVE1TJywzOTM3OCk=&amp;WINDOW=FIRST_POPUP&amp;HEIGHT=450&amp;WIDTH=450&amp;START_MA","XIMIZED=FALSE&amp;VAR:CALENDAR=US&amp;VAR:SYMBOL=37183T10&amp;VAR:INDEX=0"}</definedName>
    <definedName name="_4508__FDSAUDITLINK__" localSheetId="6" hidden="1">{"fdsup://directions/FAT Viewer?action=UPDATE&amp;creator=factset&amp;DYN_ARGS=TRUE&amp;DOC_NAME=FAT:FQL_AUDITING_CLIENT_TEMPLATE.FAT&amp;display_string=Audit&amp;VAR:KEY=VKDSNCLYLY&amp;VAR:QUERY=RkZfRUJJVERBX0lCKCdMVE1TJywzOTM3Nyk=&amp;WINDOW=FIRST_POPUP&amp;HEIGHT=450&amp;WIDTH=450&amp;START_MA","XIMIZED=FALSE&amp;VAR:CALENDAR=US&amp;VAR:SYMBOL=37183T10&amp;VAR:INDEX=0"}</definedName>
    <definedName name="_4508__FDSAUDITLINK__" hidden="1">{"fdsup://directions/FAT Viewer?action=UPDATE&amp;creator=factset&amp;DYN_ARGS=TRUE&amp;DOC_NAME=FAT:FQL_AUDITING_CLIENT_TEMPLATE.FAT&amp;display_string=Audit&amp;VAR:KEY=VKDSNCLYLY&amp;VAR:QUERY=RkZfRUJJVERBX0lCKCdMVE1TJywzOTM3Nyk=&amp;WINDOW=FIRST_POPUP&amp;HEIGHT=450&amp;WIDTH=450&amp;START_MA","XIMIZED=FALSE&amp;VAR:CALENDAR=US&amp;VAR:SYMBOL=37183T10&amp;VAR:INDEX=0"}</definedName>
    <definedName name="_4509__FDSAUDITLINK__" localSheetId="6" hidden="1">{"fdsup://directions/FAT Viewer?action=UPDATE&amp;creator=factset&amp;DYN_ARGS=TRUE&amp;DOC_NAME=FAT:FQL_AUDITING_CLIENT_TEMPLATE.FAT&amp;display_string=Audit&amp;VAR:KEY=JOJAHEDMXO&amp;VAR:QUERY=RkZfRUJJVERBX0lCKCdMVE1TJywzOTM3Nik=&amp;WINDOW=FIRST_POPUP&amp;HEIGHT=450&amp;WIDTH=450&amp;START_MA","XIMIZED=FALSE&amp;VAR:CALENDAR=US&amp;VAR:SYMBOL=37183T10&amp;VAR:INDEX=0"}</definedName>
    <definedName name="_4509__FDSAUDITLINK__" hidden="1">{"fdsup://directions/FAT Viewer?action=UPDATE&amp;creator=factset&amp;DYN_ARGS=TRUE&amp;DOC_NAME=FAT:FQL_AUDITING_CLIENT_TEMPLATE.FAT&amp;display_string=Audit&amp;VAR:KEY=JOJAHEDMXO&amp;VAR:QUERY=RkZfRUJJVERBX0lCKCdMVE1TJywzOTM3Nik=&amp;WINDOW=FIRST_POPUP&amp;HEIGHT=450&amp;WIDTH=450&amp;START_MA","XIMIZED=FALSE&amp;VAR:CALENDAR=US&amp;VAR:SYMBOL=37183T10&amp;VAR:INDEX=0"}</definedName>
    <definedName name="_451__FDSAUDITLINK__" localSheetId="6" hidden="1">{"fdsup://directions/FAT%20Viewer?VAR:PED=LTM&amp;VAR:AUDIT_MODE=SUMMARY&amp;VAR:PERIOD=FIXED&amp;VAR:AUDIT_ID=00000117&amp;VAR:DATE=20081126&amp;action=UPDATE&amp;creator=factset&amp;DOC_NAME=FAT:FMA_audit_SUMMARY.fat&amp;DISPLAY_STRING=Display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1__FDSAUDITLINK__" hidden="1">{"fdsup://directions/FAT%20Viewer?VAR:PED=LTM&amp;VAR:AUDIT_MODE=SUMMARY&amp;VAR:PERIOD=FIXED&amp;VAR:AUDIT_ID=00000117&amp;VAR:DATE=20081126&amp;action=UPDATE&amp;creator=factset&amp;DOC_NAME=FAT:FMA_audit_SUMMARY.fat&amp;DISPLAY_STRING=Display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10__FDSAUDITLINK__" localSheetId="6" hidden="1">{"fdsup://directions/FAT Viewer?action=UPDATE&amp;creator=factset&amp;DYN_ARGS=TRUE&amp;DOC_NAME=FAT:FQL_AUDITING_CLIENT_TEMPLATE.FAT&amp;display_string=Audit&amp;VAR:KEY=JGDGRKLMTM&amp;VAR:QUERY=RkZfRUJJVERBX0lCKCdMVE1TJywzOTM3NSk=&amp;WINDOW=FIRST_POPUP&amp;HEIGHT=450&amp;WIDTH=450&amp;START_MA","XIMIZED=FALSE&amp;VAR:CALENDAR=US&amp;VAR:SYMBOL=37183T10&amp;VAR:INDEX=0"}</definedName>
    <definedName name="_4510__FDSAUDITLINK__" hidden="1">{"fdsup://directions/FAT Viewer?action=UPDATE&amp;creator=factset&amp;DYN_ARGS=TRUE&amp;DOC_NAME=FAT:FQL_AUDITING_CLIENT_TEMPLATE.FAT&amp;display_string=Audit&amp;VAR:KEY=JGDGRKLMTM&amp;VAR:QUERY=RkZfRUJJVERBX0lCKCdMVE1TJywzOTM3NSk=&amp;WINDOW=FIRST_POPUP&amp;HEIGHT=450&amp;WIDTH=450&amp;START_MA","XIMIZED=FALSE&amp;VAR:CALENDAR=US&amp;VAR:SYMBOL=37183T10&amp;VAR:INDEX=0"}</definedName>
    <definedName name="_4511__FDSAUDITLINK__" localSheetId="6" hidden="1">{"fdsup://directions/FAT Viewer?action=UPDATE&amp;creator=factset&amp;DYN_ARGS=TRUE&amp;DOC_NAME=FAT:FQL_AUDITING_CLIENT_TEMPLATE.FAT&amp;display_string=Audit&amp;VAR:KEY=RIBQDQXCTW&amp;VAR:QUERY=RkZfRUJJVERBX0lCKCdMVE1TJywzOTM3NCk=&amp;WINDOW=FIRST_POPUP&amp;HEIGHT=450&amp;WIDTH=450&amp;START_MA","XIMIZED=FALSE&amp;VAR:CALENDAR=US&amp;VAR:SYMBOL=37183T10&amp;VAR:INDEX=0"}</definedName>
    <definedName name="_4511__FDSAUDITLINK__" hidden="1">{"fdsup://directions/FAT Viewer?action=UPDATE&amp;creator=factset&amp;DYN_ARGS=TRUE&amp;DOC_NAME=FAT:FQL_AUDITING_CLIENT_TEMPLATE.FAT&amp;display_string=Audit&amp;VAR:KEY=RIBQDQXCTW&amp;VAR:QUERY=RkZfRUJJVERBX0lCKCdMVE1TJywzOTM3NCk=&amp;WINDOW=FIRST_POPUP&amp;HEIGHT=450&amp;WIDTH=450&amp;START_MA","XIMIZED=FALSE&amp;VAR:CALENDAR=US&amp;VAR:SYMBOL=37183T10&amp;VAR:INDEX=0"}</definedName>
    <definedName name="_4512__FDSAUDITLINK__" localSheetId="6" hidden="1">{"fdsup://directions/FAT Viewer?action=UPDATE&amp;creator=factset&amp;DYN_ARGS=TRUE&amp;DOC_NAME=FAT:FQL_AUDITING_CLIENT_TEMPLATE.FAT&amp;display_string=Audit&amp;VAR:KEY=JSNIDCXKPA&amp;VAR:QUERY=RkZfRUJJVERBX0lCKCdMVE1TJywzOTM3Myk=&amp;WINDOW=FIRST_POPUP&amp;HEIGHT=450&amp;WIDTH=450&amp;START_MA","XIMIZED=FALSE&amp;VAR:CALENDAR=US&amp;VAR:SYMBOL=37183T10&amp;VAR:INDEX=0"}</definedName>
    <definedName name="_4512__FDSAUDITLINK__" hidden="1">{"fdsup://directions/FAT Viewer?action=UPDATE&amp;creator=factset&amp;DYN_ARGS=TRUE&amp;DOC_NAME=FAT:FQL_AUDITING_CLIENT_TEMPLATE.FAT&amp;display_string=Audit&amp;VAR:KEY=JSNIDCXKPA&amp;VAR:QUERY=RkZfRUJJVERBX0lCKCdMVE1TJywzOTM3Myk=&amp;WINDOW=FIRST_POPUP&amp;HEIGHT=450&amp;WIDTH=450&amp;START_MA","XIMIZED=FALSE&amp;VAR:CALENDAR=US&amp;VAR:SYMBOL=37183T10&amp;VAR:INDEX=0"}</definedName>
    <definedName name="_4513__FDSAUDITLINK__" localSheetId="6" hidden="1">{"fdsup://directions/FAT Viewer?action=UPDATE&amp;creator=factset&amp;DYN_ARGS=TRUE&amp;DOC_NAME=FAT:FQL_AUDITING_CLIENT_TEMPLATE.FAT&amp;display_string=Audit&amp;VAR:KEY=TQPCHCHSVQ&amp;VAR:QUERY=RkZfRUJJVERBX0lCKCdMVE1TJywzOTM3Mik=&amp;WINDOW=FIRST_POPUP&amp;HEIGHT=450&amp;WIDTH=450&amp;START_MA","XIMIZED=FALSE&amp;VAR:CALENDAR=US&amp;VAR:SYMBOL=37183T10&amp;VAR:INDEX=0"}</definedName>
    <definedName name="_4513__FDSAUDITLINK__" hidden="1">{"fdsup://directions/FAT Viewer?action=UPDATE&amp;creator=factset&amp;DYN_ARGS=TRUE&amp;DOC_NAME=FAT:FQL_AUDITING_CLIENT_TEMPLATE.FAT&amp;display_string=Audit&amp;VAR:KEY=TQPCHCHSVQ&amp;VAR:QUERY=RkZfRUJJVERBX0lCKCdMVE1TJywzOTM3Mik=&amp;WINDOW=FIRST_POPUP&amp;HEIGHT=450&amp;WIDTH=450&amp;START_MA","XIMIZED=FALSE&amp;VAR:CALENDAR=US&amp;VAR:SYMBOL=37183T10&amp;VAR:INDEX=0"}</definedName>
    <definedName name="_4514__FDSAUDITLINK__" localSheetId="6" hidden="1">{"fdsup://directions/FAT Viewer?action=UPDATE&amp;creator=factset&amp;DYN_ARGS=TRUE&amp;DOC_NAME=FAT:FQL_AUDITING_CLIENT_TEMPLATE.FAT&amp;display_string=Audit&amp;VAR:KEY=RAVWLQPQTY&amp;VAR:QUERY=RkZfRUJJVERBX0lCKCdMVE1TJywzOTM3MSk=&amp;WINDOW=FIRST_POPUP&amp;HEIGHT=450&amp;WIDTH=450&amp;START_MA","XIMIZED=FALSE&amp;VAR:CALENDAR=US&amp;VAR:SYMBOL=37183T10&amp;VAR:INDEX=0"}</definedName>
    <definedName name="_4514__FDSAUDITLINK__" hidden="1">{"fdsup://directions/FAT Viewer?action=UPDATE&amp;creator=factset&amp;DYN_ARGS=TRUE&amp;DOC_NAME=FAT:FQL_AUDITING_CLIENT_TEMPLATE.FAT&amp;display_string=Audit&amp;VAR:KEY=RAVWLQPQTY&amp;VAR:QUERY=RkZfRUJJVERBX0lCKCdMVE1TJywzOTM3MSk=&amp;WINDOW=FIRST_POPUP&amp;HEIGHT=450&amp;WIDTH=450&amp;START_MA","XIMIZED=FALSE&amp;VAR:CALENDAR=US&amp;VAR:SYMBOL=37183T10&amp;VAR:INDEX=0"}</definedName>
    <definedName name="_4515__FDSAUDITLINK__" localSheetId="6" hidden="1">{"fdsup://directions/FAT Viewer?action=UPDATE&amp;creator=factset&amp;DYN_ARGS=TRUE&amp;DOC_NAME=FAT:FQL_AUDITING_CLIENT_TEMPLATE.FAT&amp;display_string=Audit&amp;VAR:KEY=LOZQXGDAFC&amp;VAR:QUERY=RkZfRUJJVERBX0lCKCdMVE1TJywzOTM3MCk=&amp;WINDOW=FIRST_POPUP&amp;HEIGHT=450&amp;WIDTH=450&amp;START_MA","XIMIZED=FALSE&amp;VAR:CALENDAR=US&amp;VAR:SYMBOL=37183T10&amp;VAR:INDEX=0"}</definedName>
    <definedName name="_4515__FDSAUDITLINK__" hidden="1">{"fdsup://directions/FAT Viewer?action=UPDATE&amp;creator=factset&amp;DYN_ARGS=TRUE&amp;DOC_NAME=FAT:FQL_AUDITING_CLIENT_TEMPLATE.FAT&amp;display_string=Audit&amp;VAR:KEY=LOZQXGDAFC&amp;VAR:QUERY=RkZfRUJJVERBX0lCKCdMVE1TJywzOTM3MCk=&amp;WINDOW=FIRST_POPUP&amp;HEIGHT=450&amp;WIDTH=450&amp;START_MA","XIMIZED=FALSE&amp;VAR:CALENDAR=US&amp;VAR:SYMBOL=37183T10&amp;VAR:INDEX=0"}</definedName>
    <definedName name="_4516__FDSAUDITLINK__" localSheetId="6" hidden="1">{"fdsup://directions/FAT Viewer?action=UPDATE&amp;creator=factset&amp;DYN_ARGS=TRUE&amp;DOC_NAME=FAT:FQL_AUDITING_CLIENT_TEMPLATE.FAT&amp;display_string=Audit&amp;VAR:KEY=RKFUNGVCFA&amp;VAR:QUERY=RkZfRUJJVERBX0lCKCdMVE1TJywzOTM2OSk=&amp;WINDOW=FIRST_POPUP&amp;HEIGHT=450&amp;WIDTH=450&amp;START_MA","XIMIZED=FALSE&amp;VAR:CALENDAR=US&amp;VAR:SYMBOL=37183T10&amp;VAR:INDEX=0"}</definedName>
    <definedName name="_4516__FDSAUDITLINK__" hidden="1">{"fdsup://directions/FAT Viewer?action=UPDATE&amp;creator=factset&amp;DYN_ARGS=TRUE&amp;DOC_NAME=FAT:FQL_AUDITING_CLIENT_TEMPLATE.FAT&amp;display_string=Audit&amp;VAR:KEY=RKFUNGVCFA&amp;VAR:QUERY=RkZfRUJJVERBX0lCKCdMVE1TJywzOTM2OSk=&amp;WINDOW=FIRST_POPUP&amp;HEIGHT=450&amp;WIDTH=450&amp;START_MA","XIMIZED=FALSE&amp;VAR:CALENDAR=US&amp;VAR:SYMBOL=37183T10&amp;VAR:INDEX=0"}</definedName>
    <definedName name="_4517__FDSAUDITLINK__" localSheetId="6" hidden="1">{"fdsup://directions/FAT Viewer?action=UPDATE&amp;creator=factset&amp;DYN_ARGS=TRUE&amp;DOC_NAME=FAT:FQL_AUDITING_CLIENT_TEMPLATE.FAT&amp;display_string=Audit&amp;VAR:KEY=RYPILAXWVQ&amp;VAR:QUERY=RkZfRUJJVERBX0lCKCdMVE1TJywzOTM2OCk=&amp;WINDOW=FIRST_POPUP&amp;HEIGHT=450&amp;WIDTH=450&amp;START_MA","XIMIZED=FALSE&amp;VAR:CALENDAR=US&amp;VAR:SYMBOL=37183T10&amp;VAR:INDEX=0"}</definedName>
    <definedName name="_4517__FDSAUDITLINK__" hidden="1">{"fdsup://directions/FAT Viewer?action=UPDATE&amp;creator=factset&amp;DYN_ARGS=TRUE&amp;DOC_NAME=FAT:FQL_AUDITING_CLIENT_TEMPLATE.FAT&amp;display_string=Audit&amp;VAR:KEY=RYPILAXWVQ&amp;VAR:QUERY=RkZfRUJJVERBX0lCKCdMVE1TJywzOTM2OCk=&amp;WINDOW=FIRST_POPUP&amp;HEIGHT=450&amp;WIDTH=450&amp;START_MA","XIMIZED=FALSE&amp;VAR:CALENDAR=US&amp;VAR:SYMBOL=37183T10&amp;VAR:INDEX=0"}</definedName>
    <definedName name="_4518__FDSAUDITLINK__" localSheetId="6" hidden="1">{"fdsup://directions/FAT Viewer?action=UPDATE&amp;creator=factset&amp;DYN_ARGS=TRUE&amp;DOC_NAME=FAT:FQL_AUDITING_CLIENT_TEMPLATE.FAT&amp;display_string=Audit&amp;VAR:KEY=DGLOXGTKTE&amp;VAR:QUERY=RkZfRUJJVERBX0lCKCdMVE1TJywzOTM2Nyk=&amp;WINDOW=FIRST_POPUP&amp;HEIGHT=450&amp;WIDTH=450&amp;START_MA","XIMIZED=FALSE&amp;VAR:CALENDAR=US&amp;VAR:SYMBOL=37183T10&amp;VAR:INDEX=0"}</definedName>
    <definedName name="_4518__FDSAUDITLINK__" hidden="1">{"fdsup://directions/FAT Viewer?action=UPDATE&amp;creator=factset&amp;DYN_ARGS=TRUE&amp;DOC_NAME=FAT:FQL_AUDITING_CLIENT_TEMPLATE.FAT&amp;display_string=Audit&amp;VAR:KEY=DGLOXGTKTE&amp;VAR:QUERY=RkZfRUJJVERBX0lCKCdMVE1TJywzOTM2Nyk=&amp;WINDOW=FIRST_POPUP&amp;HEIGHT=450&amp;WIDTH=450&amp;START_MA","XIMIZED=FALSE&amp;VAR:CALENDAR=US&amp;VAR:SYMBOL=37183T10&amp;VAR:INDEX=0"}</definedName>
    <definedName name="_4519__FDSAUDITLINK__" localSheetId="6" hidden="1">{"fdsup://directions/FAT Viewer?action=UPDATE&amp;creator=factset&amp;DYN_ARGS=TRUE&amp;DOC_NAME=FAT:FQL_AUDITING_CLIENT_TEMPLATE.FAT&amp;display_string=Audit&amp;VAR:KEY=FQHAPUXYZG&amp;VAR:QUERY=RkZfRUJJVERBX0lCKCdMVE1TJywzOTM2Nik=&amp;WINDOW=FIRST_POPUP&amp;HEIGHT=450&amp;WIDTH=450&amp;START_MA","XIMIZED=FALSE&amp;VAR:CALENDAR=US&amp;VAR:SYMBOL=37183T10&amp;VAR:INDEX=0"}</definedName>
    <definedName name="_4519__FDSAUDITLINK__" hidden="1">{"fdsup://directions/FAT Viewer?action=UPDATE&amp;creator=factset&amp;DYN_ARGS=TRUE&amp;DOC_NAME=FAT:FQL_AUDITING_CLIENT_TEMPLATE.FAT&amp;display_string=Audit&amp;VAR:KEY=FQHAPUXYZG&amp;VAR:QUERY=RkZfRUJJVERBX0lCKCdMVE1TJywzOTM2Nik=&amp;WINDOW=FIRST_POPUP&amp;HEIGHT=450&amp;WIDTH=450&amp;START_MA","XIMIZED=FALSE&amp;VAR:CALENDAR=US&amp;VAR:SYMBOL=37183T10&amp;VAR:INDEX=0"}</definedName>
    <definedName name="_452__FDSAUDITLINK__" localSheetId="6" hidden="1">{"fdsup://directions/FAT%20Viewer?VAR:PED=LTM&amp;VAR:AUDIT_MODE=SUMMARY&amp;VAR:PERIOD=FIXED&amp;VAR:AUDIT_ID=00000117&amp;VAR:DATE=20081126&amp;action=UPDATE&amp;creator=factset&amp;DOC_NAME=FAT:FMA_audit_SUMMARY.fat&amp;DISPLAY_STRING=Display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2__FDSAUDITLINK__" hidden="1">{"fdsup://directions/FAT%20Viewer?VAR:PED=LTM&amp;VAR:AUDIT_MODE=SUMMARY&amp;VAR:PERIOD=FIXED&amp;VAR:AUDIT_ID=00000117&amp;VAR:DATE=20081126&amp;action=UPDATE&amp;creator=factset&amp;DOC_NAME=FAT:FMA_audit_SUMMARY.fat&amp;DISPLAY_STRING=Display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20__FDSAUDITLINK__" localSheetId="6" hidden="1">{"fdsup://directions/FAT Viewer?action=UPDATE&amp;creator=factset&amp;DYN_ARGS=TRUE&amp;DOC_NAME=FAT:FQL_AUDITING_CLIENT_TEMPLATE.FAT&amp;display_string=Audit&amp;VAR:KEY=TKZWDANALS&amp;VAR:QUERY=RkZfRUJJVERBX0lCKCdMVE1TJywzOTM2NSk=&amp;WINDOW=FIRST_POPUP&amp;HEIGHT=450&amp;WIDTH=450&amp;START_MA","XIMIZED=FALSE&amp;VAR:CALENDAR=US&amp;VAR:SYMBOL=37183T10&amp;VAR:INDEX=0"}</definedName>
    <definedName name="_4520__FDSAUDITLINK__" hidden="1">{"fdsup://directions/FAT Viewer?action=UPDATE&amp;creator=factset&amp;DYN_ARGS=TRUE&amp;DOC_NAME=FAT:FQL_AUDITING_CLIENT_TEMPLATE.FAT&amp;display_string=Audit&amp;VAR:KEY=TKZWDANALS&amp;VAR:QUERY=RkZfRUJJVERBX0lCKCdMVE1TJywzOTM2NSk=&amp;WINDOW=FIRST_POPUP&amp;HEIGHT=450&amp;WIDTH=450&amp;START_MA","XIMIZED=FALSE&amp;VAR:CALENDAR=US&amp;VAR:SYMBOL=37183T10&amp;VAR:INDEX=0"}</definedName>
    <definedName name="_4521__FDSAUDITLINK__" localSheetId="6" hidden="1">{"fdsup://directions/FAT Viewer?action=UPDATE&amp;creator=factset&amp;DYN_ARGS=TRUE&amp;DOC_NAME=FAT:FQL_AUDITING_CLIENT_TEMPLATE.FAT&amp;display_string=Audit&amp;VAR:KEY=BSTGHMRUPA&amp;VAR:QUERY=RkZfRUJJVERBX0lCKCdMVE1TJywzOTM2NCk=&amp;WINDOW=FIRST_POPUP&amp;HEIGHT=450&amp;WIDTH=450&amp;START_MA","XIMIZED=FALSE&amp;VAR:CALENDAR=US&amp;VAR:SYMBOL=37183T10&amp;VAR:INDEX=0"}</definedName>
    <definedName name="_4521__FDSAUDITLINK__" hidden="1">{"fdsup://directions/FAT Viewer?action=UPDATE&amp;creator=factset&amp;DYN_ARGS=TRUE&amp;DOC_NAME=FAT:FQL_AUDITING_CLIENT_TEMPLATE.FAT&amp;display_string=Audit&amp;VAR:KEY=BSTGHMRUPA&amp;VAR:QUERY=RkZfRUJJVERBX0lCKCdMVE1TJywzOTM2NCk=&amp;WINDOW=FIRST_POPUP&amp;HEIGHT=450&amp;WIDTH=450&amp;START_MA","XIMIZED=FALSE&amp;VAR:CALENDAR=US&amp;VAR:SYMBOL=37183T10&amp;VAR:INDEX=0"}</definedName>
    <definedName name="_4522__FDSAUDITLINK__" localSheetId="6" hidden="1">{"fdsup://directions/FAT Viewer?action=UPDATE&amp;creator=factset&amp;DYN_ARGS=TRUE&amp;DOC_NAME=FAT:FQL_AUDITING_CLIENT_TEMPLATE.FAT&amp;display_string=Audit&amp;VAR:KEY=FILONKBSLI&amp;VAR:QUERY=RkZfRUJJVERBX0lCKCdMVE1TJywzOTM2Myk=&amp;WINDOW=FIRST_POPUP&amp;HEIGHT=450&amp;WIDTH=450&amp;START_MA","XIMIZED=FALSE&amp;VAR:CALENDAR=US&amp;VAR:SYMBOL=37183T10&amp;VAR:INDEX=0"}</definedName>
    <definedName name="_4522__FDSAUDITLINK__" hidden="1">{"fdsup://directions/FAT Viewer?action=UPDATE&amp;creator=factset&amp;DYN_ARGS=TRUE&amp;DOC_NAME=FAT:FQL_AUDITING_CLIENT_TEMPLATE.FAT&amp;display_string=Audit&amp;VAR:KEY=FILONKBSLI&amp;VAR:QUERY=RkZfRUJJVERBX0lCKCdMVE1TJywzOTM2Myk=&amp;WINDOW=FIRST_POPUP&amp;HEIGHT=450&amp;WIDTH=450&amp;START_MA","XIMIZED=FALSE&amp;VAR:CALENDAR=US&amp;VAR:SYMBOL=37183T10&amp;VAR:INDEX=0"}</definedName>
    <definedName name="_4523__FDSAUDITLINK__" localSheetId="6" hidden="1">{"fdsup://directions/FAT Viewer?action=UPDATE&amp;creator=factset&amp;DYN_ARGS=TRUE&amp;DOC_NAME=FAT:FQL_AUDITING_CLIENT_TEMPLATE.FAT&amp;display_string=Audit&amp;VAR:KEY=ZKDYPAZWHM&amp;VAR:QUERY=RkZfRUJJVERBX0lCKCdMVE1TJywzOTM2Mik=&amp;WINDOW=FIRST_POPUP&amp;HEIGHT=450&amp;WIDTH=450&amp;START_MA","XIMIZED=FALSE&amp;VAR:CALENDAR=US&amp;VAR:SYMBOL=37183T10&amp;VAR:INDEX=0"}</definedName>
    <definedName name="_4523__FDSAUDITLINK__" hidden="1">{"fdsup://directions/FAT Viewer?action=UPDATE&amp;creator=factset&amp;DYN_ARGS=TRUE&amp;DOC_NAME=FAT:FQL_AUDITING_CLIENT_TEMPLATE.FAT&amp;display_string=Audit&amp;VAR:KEY=ZKDYPAZWHM&amp;VAR:QUERY=RkZfRUJJVERBX0lCKCdMVE1TJywzOTM2Mik=&amp;WINDOW=FIRST_POPUP&amp;HEIGHT=450&amp;WIDTH=450&amp;START_MA","XIMIZED=FALSE&amp;VAR:CALENDAR=US&amp;VAR:SYMBOL=37183T10&amp;VAR:INDEX=0"}</definedName>
    <definedName name="_4524__FDSAUDITLINK__" localSheetId="6" hidden="1">{"fdsup://directions/FAT Viewer?action=UPDATE&amp;creator=factset&amp;DYN_ARGS=TRUE&amp;DOC_NAME=FAT:FQL_AUDITING_CLIENT_TEMPLATE.FAT&amp;display_string=Audit&amp;VAR:KEY=TCXSVMFAHU&amp;VAR:QUERY=RkZfRUJJVERBX0lCKCdMVE1TJywzOTM2MSk=&amp;WINDOW=FIRST_POPUP&amp;HEIGHT=450&amp;WIDTH=450&amp;START_MA","XIMIZED=FALSE&amp;VAR:CALENDAR=US&amp;VAR:SYMBOL=37183T10&amp;VAR:INDEX=0"}</definedName>
    <definedName name="_4524__FDSAUDITLINK__" hidden="1">{"fdsup://directions/FAT Viewer?action=UPDATE&amp;creator=factset&amp;DYN_ARGS=TRUE&amp;DOC_NAME=FAT:FQL_AUDITING_CLIENT_TEMPLATE.FAT&amp;display_string=Audit&amp;VAR:KEY=TCXSVMFAHU&amp;VAR:QUERY=RkZfRUJJVERBX0lCKCdMVE1TJywzOTM2MSk=&amp;WINDOW=FIRST_POPUP&amp;HEIGHT=450&amp;WIDTH=450&amp;START_MA","XIMIZED=FALSE&amp;VAR:CALENDAR=US&amp;VAR:SYMBOL=37183T10&amp;VAR:INDEX=0"}</definedName>
    <definedName name="_4525__FDSAUDITLINK__" localSheetId="6" hidden="1">{"fdsup://directions/FAT Viewer?action=UPDATE&amp;creator=factset&amp;DYN_ARGS=TRUE&amp;DOC_NAME=FAT:FQL_AUDITING_CLIENT_TEMPLATE.FAT&amp;display_string=Audit&amp;VAR:KEY=PAFUXERUTK&amp;VAR:QUERY=RkZfRUJJVERBX0lCKCdMVE1TJywzOTM2MCk=&amp;WINDOW=FIRST_POPUP&amp;HEIGHT=450&amp;WIDTH=450&amp;START_MA","XIMIZED=FALSE&amp;VAR:CALENDAR=US&amp;VAR:SYMBOL=37183T10&amp;VAR:INDEX=0"}</definedName>
    <definedName name="_4525__FDSAUDITLINK__" hidden="1">{"fdsup://directions/FAT Viewer?action=UPDATE&amp;creator=factset&amp;DYN_ARGS=TRUE&amp;DOC_NAME=FAT:FQL_AUDITING_CLIENT_TEMPLATE.FAT&amp;display_string=Audit&amp;VAR:KEY=PAFUXERUTK&amp;VAR:QUERY=RkZfRUJJVERBX0lCKCdMVE1TJywzOTM2MCk=&amp;WINDOW=FIRST_POPUP&amp;HEIGHT=450&amp;WIDTH=450&amp;START_MA","XIMIZED=FALSE&amp;VAR:CALENDAR=US&amp;VAR:SYMBOL=37183T10&amp;VAR:INDEX=0"}</definedName>
    <definedName name="_4526__FDSAUDITLINK__" localSheetId="6" hidden="1">{"fdsup://directions/FAT Viewer?action=UPDATE&amp;creator=factset&amp;DYN_ARGS=TRUE&amp;DOC_NAME=FAT:FQL_AUDITING_CLIENT_TEMPLATE.FAT&amp;display_string=Audit&amp;VAR:KEY=NYFGNMRIRU&amp;VAR:QUERY=RkZfRUJJVERBX0lCKCdMVE1TJywzOTM1OSk=&amp;WINDOW=FIRST_POPUP&amp;HEIGHT=450&amp;WIDTH=450&amp;START_MA","XIMIZED=FALSE&amp;VAR:CALENDAR=US&amp;VAR:SYMBOL=37183T10&amp;VAR:INDEX=0"}</definedName>
    <definedName name="_4526__FDSAUDITLINK__" hidden="1">{"fdsup://directions/FAT Viewer?action=UPDATE&amp;creator=factset&amp;DYN_ARGS=TRUE&amp;DOC_NAME=FAT:FQL_AUDITING_CLIENT_TEMPLATE.FAT&amp;display_string=Audit&amp;VAR:KEY=NYFGNMRIRU&amp;VAR:QUERY=RkZfRUJJVERBX0lCKCdMVE1TJywzOTM1OSk=&amp;WINDOW=FIRST_POPUP&amp;HEIGHT=450&amp;WIDTH=450&amp;START_MA","XIMIZED=FALSE&amp;VAR:CALENDAR=US&amp;VAR:SYMBOL=37183T10&amp;VAR:INDEX=0"}</definedName>
    <definedName name="_4527__FDSAUDITLINK__" localSheetId="6" hidden="1">{"fdsup://directions/FAT Viewer?action=UPDATE&amp;creator=factset&amp;DYN_ARGS=TRUE&amp;DOC_NAME=FAT:FQL_AUDITING_CLIENT_TEMPLATE.FAT&amp;display_string=Audit&amp;VAR:KEY=LWLGVMDSHS&amp;VAR:QUERY=RkZfRUJJVERBX0lCKCdMVE1TJywzOTM1OCk=&amp;WINDOW=FIRST_POPUP&amp;HEIGHT=450&amp;WIDTH=450&amp;START_MA","XIMIZED=FALSE&amp;VAR:CALENDAR=US&amp;VAR:SYMBOL=37183T10&amp;VAR:INDEX=0"}</definedName>
    <definedName name="_4527__FDSAUDITLINK__" hidden="1">{"fdsup://directions/FAT Viewer?action=UPDATE&amp;creator=factset&amp;DYN_ARGS=TRUE&amp;DOC_NAME=FAT:FQL_AUDITING_CLIENT_TEMPLATE.FAT&amp;display_string=Audit&amp;VAR:KEY=LWLGVMDSHS&amp;VAR:QUERY=RkZfRUJJVERBX0lCKCdMVE1TJywzOTM1OCk=&amp;WINDOW=FIRST_POPUP&amp;HEIGHT=450&amp;WIDTH=450&amp;START_MA","XIMIZED=FALSE&amp;VAR:CALENDAR=US&amp;VAR:SYMBOL=37183T10&amp;VAR:INDEX=0"}</definedName>
    <definedName name="_4528__FDSAUDITLINK__" localSheetId="6" hidden="1">{"fdsup://directions/FAT Viewer?action=UPDATE&amp;creator=factset&amp;DYN_ARGS=TRUE&amp;DOC_NAME=FAT:FQL_AUDITING_CLIENT_TEMPLATE.FAT&amp;display_string=Audit&amp;VAR:KEY=DKTCNUJKDM&amp;VAR:QUERY=RkZfRUJJVERBX0lCKCdMVE1TJywzOTM1Nyk=&amp;WINDOW=FIRST_POPUP&amp;HEIGHT=450&amp;WIDTH=450&amp;START_MA","XIMIZED=FALSE&amp;VAR:CALENDAR=US&amp;VAR:SYMBOL=37183T10&amp;VAR:INDEX=0"}</definedName>
    <definedName name="_4528__FDSAUDITLINK__" hidden="1">{"fdsup://directions/FAT Viewer?action=UPDATE&amp;creator=factset&amp;DYN_ARGS=TRUE&amp;DOC_NAME=FAT:FQL_AUDITING_CLIENT_TEMPLATE.FAT&amp;display_string=Audit&amp;VAR:KEY=DKTCNUJKDM&amp;VAR:QUERY=RkZfRUJJVERBX0lCKCdMVE1TJywzOTM1Nyk=&amp;WINDOW=FIRST_POPUP&amp;HEIGHT=450&amp;WIDTH=450&amp;START_MA","XIMIZED=FALSE&amp;VAR:CALENDAR=US&amp;VAR:SYMBOL=37183T10&amp;VAR:INDEX=0"}</definedName>
    <definedName name="_4529__FDSAUDITLINK__" localSheetId="6" hidden="1">{"fdsup://directions/FAT Viewer?action=UPDATE&amp;creator=factset&amp;DYN_ARGS=TRUE&amp;DOC_NAME=FAT:FQL_AUDITING_CLIENT_TEMPLATE.FAT&amp;display_string=Audit&amp;VAR:KEY=NAFMJQRWLQ&amp;VAR:QUERY=RkZfRUJJVERBX0lCKCdMVE1TJywzOTM1Nik=&amp;WINDOW=FIRST_POPUP&amp;HEIGHT=450&amp;WIDTH=450&amp;START_MA","XIMIZED=FALSE&amp;VAR:CALENDAR=US&amp;VAR:SYMBOL=37183T10&amp;VAR:INDEX=0"}</definedName>
    <definedName name="_4529__FDSAUDITLINK__" hidden="1">{"fdsup://directions/FAT Viewer?action=UPDATE&amp;creator=factset&amp;DYN_ARGS=TRUE&amp;DOC_NAME=FAT:FQL_AUDITING_CLIENT_TEMPLATE.FAT&amp;display_string=Audit&amp;VAR:KEY=NAFMJQRWLQ&amp;VAR:QUERY=RkZfRUJJVERBX0lCKCdMVE1TJywzOTM1Nik=&amp;WINDOW=FIRST_POPUP&amp;HEIGHT=450&amp;WIDTH=450&amp;START_MA","XIMIZED=FALSE&amp;VAR:CALENDAR=US&amp;VAR:SYMBOL=37183T10&amp;VAR:INDEX=0"}</definedName>
    <definedName name="_453__FDSAUDITLINK__" localSheetId="6" hidden="1">{"fdsup://directions/FAT%20Viewer?VAR:PED=LTM&amp;VAR:AUDIT_MODE=SUMMARY&amp;VAR:PERIOD=FIXED&amp;VAR:AUDIT_ID=00000117&amp;VAR:DATE=20081125&amp;action=UPDATE&amp;creator=factset&amp;DOC_NAME=FAT:FMA_audit_SUMMARY.fat&amp;DISPLAY_STRING=Display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3__FDSAUDITLINK__" hidden="1">{"fdsup://directions/FAT%20Viewer?VAR:PED=LTM&amp;VAR:AUDIT_MODE=SUMMARY&amp;VAR:PERIOD=FIXED&amp;VAR:AUDIT_ID=00000117&amp;VAR:DATE=20081125&amp;action=UPDATE&amp;creator=factset&amp;DOC_NAME=FAT:FMA_audit_SUMMARY.fat&amp;DISPLAY_STRING=Display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30__FDSAUDITLINK__" localSheetId="6" hidden="1">{"fdsup://directions/FAT Viewer?action=UPDATE&amp;creator=factset&amp;DYN_ARGS=TRUE&amp;DOC_NAME=FAT:FQL_AUDITING_CLIENT_TEMPLATE.FAT&amp;display_string=Audit&amp;VAR:KEY=TUPKDYFQNQ&amp;VAR:QUERY=RkZfRUJJVERBX0lCKCdMVE1TJywzOTM1NSk=&amp;WINDOW=FIRST_POPUP&amp;HEIGHT=450&amp;WIDTH=450&amp;START_MA","XIMIZED=FALSE&amp;VAR:CALENDAR=US&amp;VAR:SYMBOL=37183T10&amp;VAR:INDEX=0"}</definedName>
    <definedName name="_4530__FDSAUDITLINK__" hidden="1">{"fdsup://directions/FAT Viewer?action=UPDATE&amp;creator=factset&amp;DYN_ARGS=TRUE&amp;DOC_NAME=FAT:FQL_AUDITING_CLIENT_TEMPLATE.FAT&amp;display_string=Audit&amp;VAR:KEY=TUPKDYFQNQ&amp;VAR:QUERY=RkZfRUJJVERBX0lCKCdMVE1TJywzOTM1NSk=&amp;WINDOW=FIRST_POPUP&amp;HEIGHT=450&amp;WIDTH=450&amp;START_MA","XIMIZED=FALSE&amp;VAR:CALENDAR=US&amp;VAR:SYMBOL=37183T10&amp;VAR:INDEX=0"}</definedName>
    <definedName name="_4531__FDSAUDITLINK__" localSheetId="6" hidden="1">{"fdsup://directions/FAT Viewer?action=UPDATE&amp;creator=factset&amp;DYN_ARGS=TRUE&amp;DOC_NAME=FAT:FQL_AUDITING_CLIENT_TEMPLATE.FAT&amp;display_string=Audit&amp;VAR:KEY=LYBYLQTQVK&amp;VAR:QUERY=RkZfRUJJVERBX0lCKCdMVE1TJywzOTM1NCk=&amp;WINDOW=FIRST_POPUP&amp;HEIGHT=450&amp;WIDTH=450&amp;START_MA","XIMIZED=FALSE&amp;VAR:CALENDAR=US&amp;VAR:SYMBOL=37183T10&amp;VAR:INDEX=0"}</definedName>
    <definedName name="_4531__FDSAUDITLINK__" hidden="1">{"fdsup://directions/FAT Viewer?action=UPDATE&amp;creator=factset&amp;DYN_ARGS=TRUE&amp;DOC_NAME=FAT:FQL_AUDITING_CLIENT_TEMPLATE.FAT&amp;display_string=Audit&amp;VAR:KEY=LYBYLQTQVK&amp;VAR:QUERY=RkZfRUJJVERBX0lCKCdMVE1TJywzOTM1NCk=&amp;WINDOW=FIRST_POPUP&amp;HEIGHT=450&amp;WIDTH=450&amp;START_MA","XIMIZED=FALSE&amp;VAR:CALENDAR=US&amp;VAR:SYMBOL=37183T10&amp;VAR:INDEX=0"}</definedName>
    <definedName name="_4532__FDSAUDITLINK__" localSheetId="6" hidden="1">{"fdsup://directions/FAT Viewer?action=UPDATE&amp;creator=factset&amp;DYN_ARGS=TRUE&amp;DOC_NAME=FAT:FQL_AUDITING_CLIENT_TEMPLATE.FAT&amp;display_string=Audit&amp;VAR:KEY=XGPQDMJYBQ&amp;VAR:QUERY=RkZfRUJJVERBX0lCKCdMVE1TJywzOTM1Myk=&amp;WINDOW=FIRST_POPUP&amp;HEIGHT=450&amp;WIDTH=450&amp;START_MA","XIMIZED=FALSE&amp;VAR:CALENDAR=US&amp;VAR:SYMBOL=37183T10&amp;VAR:INDEX=0"}</definedName>
    <definedName name="_4532__FDSAUDITLINK__" hidden="1">{"fdsup://directions/FAT Viewer?action=UPDATE&amp;creator=factset&amp;DYN_ARGS=TRUE&amp;DOC_NAME=FAT:FQL_AUDITING_CLIENT_TEMPLATE.FAT&amp;display_string=Audit&amp;VAR:KEY=XGPQDMJYBQ&amp;VAR:QUERY=RkZfRUJJVERBX0lCKCdMVE1TJywzOTM1Myk=&amp;WINDOW=FIRST_POPUP&amp;HEIGHT=450&amp;WIDTH=450&amp;START_MA","XIMIZED=FALSE&amp;VAR:CALENDAR=US&amp;VAR:SYMBOL=37183T10&amp;VAR:INDEX=0"}</definedName>
    <definedName name="_4533__FDSAUDITLINK__" localSheetId="6" hidden="1">{"fdsup://directions/FAT Viewer?action=UPDATE&amp;creator=factset&amp;DYN_ARGS=TRUE&amp;DOC_NAME=FAT:FQL_AUDITING_CLIENT_TEMPLATE.FAT&amp;display_string=Audit&amp;VAR:KEY=LIJUTYTGLW&amp;VAR:QUERY=RkZfRUJJVERBX0lCKCdMVE1TJywzOTM1Mik=&amp;WINDOW=FIRST_POPUP&amp;HEIGHT=450&amp;WIDTH=450&amp;START_MA","XIMIZED=FALSE&amp;VAR:CALENDAR=US&amp;VAR:SYMBOL=37183T10&amp;VAR:INDEX=0"}</definedName>
    <definedName name="_4533__FDSAUDITLINK__" hidden="1">{"fdsup://directions/FAT Viewer?action=UPDATE&amp;creator=factset&amp;DYN_ARGS=TRUE&amp;DOC_NAME=FAT:FQL_AUDITING_CLIENT_TEMPLATE.FAT&amp;display_string=Audit&amp;VAR:KEY=LIJUTYTGLW&amp;VAR:QUERY=RkZfRUJJVERBX0lCKCdMVE1TJywzOTM1Mik=&amp;WINDOW=FIRST_POPUP&amp;HEIGHT=450&amp;WIDTH=450&amp;START_MA","XIMIZED=FALSE&amp;VAR:CALENDAR=US&amp;VAR:SYMBOL=37183T10&amp;VAR:INDEX=0"}</definedName>
    <definedName name="_4534__FDSAUDITLINK__" localSheetId="6" hidden="1">{"fdsup://directions/FAT Viewer?action=UPDATE&amp;creator=factset&amp;DYN_ARGS=TRUE&amp;DOC_NAME=FAT:FQL_AUDITING_CLIENT_TEMPLATE.FAT&amp;display_string=Audit&amp;VAR:KEY=PQRGVQXEPM&amp;VAR:QUERY=RkZfRUJJVERBX0lCKCdMVE1TJywzOTM1MSk=&amp;WINDOW=FIRST_POPUP&amp;HEIGHT=450&amp;WIDTH=450&amp;START_MA","XIMIZED=FALSE&amp;VAR:CALENDAR=US&amp;VAR:SYMBOL=37183T10&amp;VAR:INDEX=0"}</definedName>
    <definedName name="_4534__FDSAUDITLINK__" hidden="1">{"fdsup://directions/FAT Viewer?action=UPDATE&amp;creator=factset&amp;DYN_ARGS=TRUE&amp;DOC_NAME=FAT:FQL_AUDITING_CLIENT_TEMPLATE.FAT&amp;display_string=Audit&amp;VAR:KEY=PQRGVQXEPM&amp;VAR:QUERY=RkZfRUJJVERBX0lCKCdMVE1TJywzOTM1MSk=&amp;WINDOW=FIRST_POPUP&amp;HEIGHT=450&amp;WIDTH=450&amp;START_MA","XIMIZED=FALSE&amp;VAR:CALENDAR=US&amp;VAR:SYMBOL=37183T10&amp;VAR:INDEX=0"}</definedName>
    <definedName name="_4535__FDSAUDITLINK__" localSheetId="6" hidden="1">{"fdsup://directions/FAT Viewer?action=UPDATE&amp;creator=factset&amp;DYN_ARGS=TRUE&amp;DOC_NAME=FAT:FQL_AUDITING_CLIENT_TEMPLATE.FAT&amp;display_string=Audit&amp;VAR:KEY=DCVITMTENW&amp;VAR:QUERY=RkZfRUJJVERBX0lCKCdMVE1TJywzOTM1MCk=&amp;WINDOW=FIRST_POPUP&amp;HEIGHT=450&amp;WIDTH=450&amp;START_MA","XIMIZED=FALSE&amp;VAR:CALENDAR=US&amp;VAR:SYMBOL=37183T10&amp;VAR:INDEX=0"}</definedName>
    <definedName name="_4535__FDSAUDITLINK__" hidden="1">{"fdsup://directions/FAT Viewer?action=UPDATE&amp;creator=factset&amp;DYN_ARGS=TRUE&amp;DOC_NAME=FAT:FQL_AUDITING_CLIENT_TEMPLATE.FAT&amp;display_string=Audit&amp;VAR:KEY=DCVITMTENW&amp;VAR:QUERY=RkZfRUJJVERBX0lCKCdMVE1TJywzOTM1MCk=&amp;WINDOW=FIRST_POPUP&amp;HEIGHT=450&amp;WIDTH=450&amp;START_MA","XIMIZED=FALSE&amp;VAR:CALENDAR=US&amp;VAR:SYMBOL=37183T10&amp;VAR:INDEX=0"}</definedName>
    <definedName name="_4536__FDSAUDITLINK__" localSheetId="6" hidden="1">{"fdsup://directions/FAT Viewer?action=UPDATE&amp;creator=factset&amp;DYN_ARGS=TRUE&amp;DOC_NAME=FAT:FQL_AUDITING_CLIENT_TEMPLATE.FAT&amp;display_string=Audit&amp;VAR:KEY=HWNSBMTYLW&amp;VAR:QUERY=RkZfRUJJVERBX0lCKCdMVE1TJywzOTM0OSk=&amp;WINDOW=FIRST_POPUP&amp;HEIGHT=450&amp;WIDTH=450&amp;START_MA","XIMIZED=FALSE&amp;VAR:CALENDAR=US&amp;VAR:SYMBOL=37183T10&amp;VAR:INDEX=0"}</definedName>
    <definedName name="_4536__FDSAUDITLINK__" hidden="1">{"fdsup://directions/FAT Viewer?action=UPDATE&amp;creator=factset&amp;DYN_ARGS=TRUE&amp;DOC_NAME=FAT:FQL_AUDITING_CLIENT_TEMPLATE.FAT&amp;display_string=Audit&amp;VAR:KEY=HWNSBMTYLW&amp;VAR:QUERY=RkZfRUJJVERBX0lCKCdMVE1TJywzOTM0OSk=&amp;WINDOW=FIRST_POPUP&amp;HEIGHT=450&amp;WIDTH=450&amp;START_MA","XIMIZED=FALSE&amp;VAR:CALENDAR=US&amp;VAR:SYMBOL=37183T10&amp;VAR:INDEX=0"}</definedName>
    <definedName name="_4537__FDSAUDITLINK__" localSheetId="6" hidden="1">{"fdsup://directions/FAT Viewer?action=UPDATE&amp;creator=factset&amp;DYN_ARGS=TRUE&amp;DOC_NAME=FAT:FQL_AUDITING_CLIENT_TEMPLATE.FAT&amp;display_string=Audit&amp;VAR:KEY=FUXKZCNGRQ&amp;VAR:QUERY=RkZfRUJJVERBX0lCKCdMVE1TJywzOTM0OCk=&amp;WINDOW=FIRST_POPUP&amp;HEIGHT=450&amp;WIDTH=450&amp;START_MA","XIMIZED=FALSE&amp;VAR:CALENDAR=US&amp;VAR:SYMBOL=37183T10&amp;VAR:INDEX=0"}</definedName>
    <definedName name="_4537__FDSAUDITLINK__" hidden="1">{"fdsup://directions/FAT Viewer?action=UPDATE&amp;creator=factset&amp;DYN_ARGS=TRUE&amp;DOC_NAME=FAT:FQL_AUDITING_CLIENT_TEMPLATE.FAT&amp;display_string=Audit&amp;VAR:KEY=FUXKZCNGRQ&amp;VAR:QUERY=RkZfRUJJVERBX0lCKCdMVE1TJywzOTM0OCk=&amp;WINDOW=FIRST_POPUP&amp;HEIGHT=450&amp;WIDTH=450&amp;START_MA","XIMIZED=FALSE&amp;VAR:CALENDAR=US&amp;VAR:SYMBOL=37183T10&amp;VAR:INDEX=0"}</definedName>
    <definedName name="_4538__FDSAUDITLINK__" localSheetId="6" hidden="1">{"fdsup://directions/FAT Viewer?action=UPDATE&amp;creator=factset&amp;DYN_ARGS=TRUE&amp;DOC_NAME=FAT:FQL_AUDITING_CLIENT_TEMPLATE.FAT&amp;display_string=Audit&amp;VAR:KEY=ZOPMNYPYTU&amp;VAR:QUERY=RkZfRUJJVERBX0lCKCdMVE1TJywzOTM0Nyk=&amp;WINDOW=FIRST_POPUP&amp;HEIGHT=450&amp;WIDTH=450&amp;START_MA","XIMIZED=FALSE&amp;VAR:CALENDAR=US&amp;VAR:SYMBOL=37183T10&amp;VAR:INDEX=0"}</definedName>
    <definedName name="_4538__FDSAUDITLINK__" hidden="1">{"fdsup://directions/FAT Viewer?action=UPDATE&amp;creator=factset&amp;DYN_ARGS=TRUE&amp;DOC_NAME=FAT:FQL_AUDITING_CLIENT_TEMPLATE.FAT&amp;display_string=Audit&amp;VAR:KEY=ZOPMNYPYTU&amp;VAR:QUERY=RkZfRUJJVERBX0lCKCdMVE1TJywzOTM0Nyk=&amp;WINDOW=FIRST_POPUP&amp;HEIGHT=450&amp;WIDTH=450&amp;START_MA","XIMIZED=FALSE&amp;VAR:CALENDAR=US&amp;VAR:SYMBOL=37183T10&amp;VAR:INDEX=0"}</definedName>
    <definedName name="_4539__FDSAUDITLINK__" localSheetId="6" hidden="1">{"fdsup://directions/FAT Viewer?action=UPDATE&amp;creator=factset&amp;DYN_ARGS=TRUE&amp;DOC_NAME=FAT:FQL_AUDITING_CLIENT_TEMPLATE.FAT&amp;display_string=Audit&amp;VAR:KEY=HQHCFEVEDY&amp;VAR:QUERY=RkZfRUJJVERBX0lCKCdMVE1TJywzOTM0Nik=&amp;WINDOW=FIRST_POPUP&amp;HEIGHT=450&amp;WIDTH=450&amp;START_MA","XIMIZED=FALSE&amp;VAR:CALENDAR=US&amp;VAR:SYMBOL=37183T10&amp;VAR:INDEX=0"}</definedName>
    <definedName name="_4539__FDSAUDITLINK__" hidden="1">{"fdsup://directions/FAT Viewer?action=UPDATE&amp;creator=factset&amp;DYN_ARGS=TRUE&amp;DOC_NAME=FAT:FQL_AUDITING_CLIENT_TEMPLATE.FAT&amp;display_string=Audit&amp;VAR:KEY=HQHCFEVEDY&amp;VAR:QUERY=RkZfRUJJVERBX0lCKCdMVE1TJywzOTM0Nik=&amp;WINDOW=FIRST_POPUP&amp;HEIGHT=450&amp;WIDTH=450&amp;START_MA","XIMIZED=FALSE&amp;VAR:CALENDAR=US&amp;VAR:SYMBOL=37183T10&amp;VAR:INDEX=0"}</definedName>
    <definedName name="_454__FDSAUDITLINK__" localSheetId="6" hidden="1">{"fdsup://directions/FAT%20Viewer?VAR:PED=LTM&amp;VAR:AUDIT_MODE=SUMMARY&amp;VAR:PERIOD=FIXED&amp;VAR:AUDIT_ID=00000117&amp;VAR:DATE=20081124&amp;action=UPDATE&amp;creator=factset&amp;DOC_NAME=FAT:FMA_audit_SUMMARY.fat&amp;DISPLAY_STRING=Display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4__FDSAUDITLINK__" hidden="1">{"fdsup://directions/FAT%20Viewer?VAR:PED=LTM&amp;VAR:AUDIT_MODE=SUMMARY&amp;VAR:PERIOD=FIXED&amp;VAR:AUDIT_ID=00000117&amp;VAR:DATE=20081124&amp;action=UPDATE&amp;creator=factset&amp;DOC_NAME=FAT:FMA_audit_SUMMARY.fat&amp;DISPLAY_STRING=Display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40__FDSAUDITLINK__" localSheetId="6" hidden="1">{"fdsup://directions/FAT Viewer?action=UPDATE&amp;creator=factset&amp;DYN_ARGS=TRUE&amp;DOC_NAME=FAT:FQL_AUDITING_CLIENT_TEMPLATE.FAT&amp;display_string=Audit&amp;VAR:KEY=RSHUZKRWRM&amp;VAR:QUERY=RkZfRUJJVERBX0lCKCdMVE1TJywzOTM0NSk=&amp;WINDOW=FIRST_POPUP&amp;HEIGHT=450&amp;WIDTH=450&amp;START_MA","XIMIZED=FALSE&amp;VAR:CALENDAR=US&amp;VAR:SYMBOL=37183T10&amp;VAR:INDEX=0"}</definedName>
    <definedName name="_4540__FDSAUDITLINK__" hidden="1">{"fdsup://directions/FAT Viewer?action=UPDATE&amp;creator=factset&amp;DYN_ARGS=TRUE&amp;DOC_NAME=FAT:FQL_AUDITING_CLIENT_TEMPLATE.FAT&amp;display_string=Audit&amp;VAR:KEY=RSHUZKRWRM&amp;VAR:QUERY=RkZfRUJJVERBX0lCKCdMVE1TJywzOTM0NSk=&amp;WINDOW=FIRST_POPUP&amp;HEIGHT=450&amp;WIDTH=450&amp;START_MA","XIMIZED=FALSE&amp;VAR:CALENDAR=US&amp;VAR:SYMBOL=37183T10&amp;VAR:INDEX=0"}</definedName>
    <definedName name="_4541__FDSAUDITLINK__" localSheetId="6" hidden="1">{"fdsup://directions/FAT Viewer?action=UPDATE&amp;creator=factset&amp;DYN_ARGS=TRUE&amp;DOC_NAME=FAT:FQL_AUDITING_CLIENT_TEMPLATE.FAT&amp;display_string=Audit&amp;VAR:KEY=HWNGJMHEBK&amp;VAR:QUERY=RkZfRUJJVERBX0lCKCdMVE1TJywzOTM0NCk=&amp;WINDOW=FIRST_POPUP&amp;HEIGHT=450&amp;WIDTH=450&amp;START_MA","XIMIZED=FALSE&amp;VAR:CALENDAR=US&amp;VAR:SYMBOL=37183T10&amp;VAR:INDEX=0"}</definedName>
    <definedName name="_4541__FDSAUDITLINK__" hidden="1">{"fdsup://directions/FAT Viewer?action=UPDATE&amp;creator=factset&amp;DYN_ARGS=TRUE&amp;DOC_NAME=FAT:FQL_AUDITING_CLIENT_TEMPLATE.FAT&amp;display_string=Audit&amp;VAR:KEY=HWNGJMHEBK&amp;VAR:QUERY=RkZfRUJJVERBX0lCKCdMVE1TJywzOTM0NCk=&amp;WINDOW=FIRST_POPUP&amp;HEIGHT=450&amp;WIDTH=450&amp;START_MA","XIMIZED=FALSE&amp;VAR:CALENDAR=US&amp;VAR:SYMBOL=37183T10&amp;VAR:INDEX=0"}</definedName>
    <definedName name="_4542__FDSAUDITLINK__" localSheetId="6" hidden="1">{"fdsup://directions/FAT Viewer?action=UPDATE&amp;creator=factset&amp;DYN_ARGS=TRUE&amp;DOC_NAME=FAT:FQL_AUDITING_CLIENT_TEMPLATE.FAT&amp;display_string=Audit&amp;VAR:KEY=BWNKTWTUJS&amp;VAR:QUERY=RkZfRUJJVERBX0lCKCdMVE1TJywzOTM0Myk=&amp;WINDOW=FIRST_POPUP&amp;HEIGHT=450&amp;WIDTH=450&amp;START_MA","XIMIZED=FALSE&amp;VAR:CALENDAR=US&amp;VAR:SYMBOL=37183T10&amp;VAR:INDEX=0"}</definedName>
    <definedName name="_4542__FDSAUDITLINK__" hidden="1">{"fdsup://directions/FAT Viewer?action=UPDATE&amp;creator=factset&amp;DYN_ARGS=TRUE&amp;DOC_NAME=FAT:FQL_AUDITING_CLIENT_TEMPLATE.FAT&amp;display_string=Audit&amp;VAR:KEY=BWNKTWTUJS&amp;VAR:QUERY=RkZfRUJJVERBX0lCKCdMVE1TJywzOTM0Myk=&amp;WINDOW=FIRST_POPUP&amp;HEIGHT=450&amp;WIDTH=450&amp;START_MA","XIMIZED=FALSE&amp;VAR:CALENDAR=US&amp;VAR:SYMBOL=37183T10&amp;VAR:INDEX=0"}</definedName>
    <definedName name="_4543__FDSAUDITLINK__" localSheetId="6" hidden="1">{"fdsup://directions/FAT Viewer?action=UPDATE&amp;creator=factset&amp;DYN_ARGS=TRUE&amp;DOC_NAME=FAT:FQL_AUDITING_CLIENT_TEMPLATE.FAT&amp;display_string=Audit&amp;VAR:KEY=RKLKLGZUPU&amp;VAR:QUERY=RkZfRUJJVERBX0lCKCdMVE1TJywzOTM0Mik=&amp;WINDOW=FIRST_POPUP&amp;HEIGHT=450&amp;WIDTH=450&amp;START_MA","XIMIZED=FALSE&amp;VAR:CALENDAR=US&amp;VAR:SYMBOL=37183T10&amp;VAR:INDEX=0"}</definedName>
    <definedName name="_4543__FDSAUDITLINK__" hidden="1">{"fdsup://directions/FAT Viewer?action=UPDATE&amp;creator=factset&amp;DYN_ARGS=TRUE&amp;DOC_NAME=FAT:FQL_AUDITING_CLIENT_TEMPLATE.FAT&amp;display_string=Audit&amp;VAR:KEY=RKLKLGZUPU&amp;VAR:QUERY=RkZfRUJJVERBX0lCKCdMVE1TJywzOTM0Mik=&amp;WINDOW=FIRST_POPUP&amp;HEIGHT=450&amp;WIDTH=450&amp;START_MA","XIMIZED=FALSE&amp;VAR:CALENDAR=US&amp;VAR:SYMBOL=37183T10&amp;VAR:INDEX=0"}</definedName>
    <definedName name="_4544__FDSAUDITLINK__" localSheetId="6" hidden="1">{"fdsup://directions/FAT Viewer?action=UPDATE&amp;creator=factset&amp;DYN_ARGS=TRUE&amp;DOC_NAME=FAT:FQL_AUDITING_CLIENT_TEMPLATE.FAT&amp;display_string=Audit&amp;VAR:KEY=PONSTCPMXM&amp;VAR:QUERY=RkZfRUJJVERBX0lCKCdMVE1TJywzOTM0MSk=&amp;WINDOW=FIRST_POPUP&amp;HEIGHT=450&amp;WIDTH=450&amp;START_MA","XIMIZED=FALSE&amp;VAR:CALENDAR=US&amp;VAR:SYMBOL=37183T10&amp;VAR:INDEX=0"}</definedName>
    <definedName name="_4544__FDSAUDITLINK__" hidden="1">{"fdsup://directions/FAT Viewer?action=UPDATE&amp;creator=factset&amp;DYN_ARGS=TRUE&amp;DOC_NAME=FAT:FQL_AUDITING_CLIENT_TEMPLATE.FAT&amp;display_string=Audit&amp;VAR:KEY=PONSTCPMXM&amp;VAR:QUERY=RkZfRUJJVERBX0lCKCdMVE1TJywzOTM0MSk=&amp;WINDOW=FIRST_POPUP&amp;HEIGHT=450&amp;WIDTH=450&amp;START_MA","XIMIZED=FALSE&amp;VAR:CALENDAR=US&amp;VAR:SYMBOL=37183T10&amp;VAR:INDEX=0"}</definedName>
    <definedName name="_4545__FDSAUDITLINK__" localSheetId="6" hidden="1">{"fdsup://directions/FAT Viewer?action=UPDATE&amp;creator=factset&amp;DYN_ARGS=TRUE&amp;DOC_NAME=FAT:FQL_AUDITING_CLIENT_TEMPLATE.FAT&amp;display_string=Audit&amp;VAR:KEY=ZWHGLCLMNQ&amp;VAR:QUERY=RkZfRUJJVERBX0lCKCdMVE1TJywzOTM0MCk=&amp;WINDOW=FIRST_POPUP&amp;HEIGHT=450&amp;WIDTH=450&amp;START_MA","XIMIZED=FALSE&amp;VAR:CALENDAR=US&amp;VAR:SYMBOL=37183T10&amp;VAR:INDEX=0"}</definedName>
    <definedName name="_4545__FDSAUDITLINK__" hidden="1">{"fdsup://directions/FAT Viewer?action=UPDATE&amp;creator=factset&amp;DYN_ARGS=TRUE&amp;DOC_NAME=FAT:FQL_AUDITING_CLIENT_TEMPLATE.FAT&amp;display_string=Audit&amp;VAR:KEY=ZWHGLCLMNQ&amp;VAR:QUERY=RkZfRUJJVERBX0lCKCdMVE1TJywzOTM0MCk=&amp;WINDOW=FIRST_POPUP&amp;HEIGHT=450&amp;WIDTH=450&amp;START_MA","XIMIZED=FALSE&amp;VAR:CALENDAR=US&amp;VAR:SYMBOL=37183T10&amp;VAR:INDEX=0"}</definedName>
    <definedName name="_4546__FDSAUDITLINK__" localSheetId="6" hidden="1">{"fdsup://directions/FAT Viewer?action=UPDATE&amp;creator=factset&amp;DYN_ARGS=TRUE&amp;DOC_NAME=FAT:FQL_AUDITING_CLIENT_TEMPLATE.FAT&amp;display_string=Audit&amp;VAR:KEY=FCRCDOHQNQ&amp;VAR:QUERY=RkZfRUJJVERBX0lCKCdMVE1TJywzOTMzOSk=&amp;WINDOW=FIRST_POPUP&amp;HEIGHT=450&amp;WIDTH=450&amp;START_MA","XIMIZED=FALSE&amp;VAR:CALENDAR=US&amp;VAR:SYMBOL=37183T10&amp;VAR:INDEX=0"}</definedName>
    <definedName name="_4546__FDSAUDITLINK__" hidden="1">{"fdsup://directions/FAT Viewer?action=UPDATE&amp;creator=factset&amp;DYN_ARGS=TRUE&amp;DOC_NAME=FAT:FQL_AUDITING_CLIENT_TEMPLATE.FAT&amp;display_string=Audit&amp;VAR:KEY=FCRCDOHQNQ&amp;VAR:QUERY=RkZfRUJJVERBX0lCKCdMVE1TJywzOTMzOSk=&amp;WINDOW=FIRST_POPUP&amp;HEIGHT=450&amp;WIDTH=450&amp;START_MA","XIMIZED=FALSE&amp;VAR:CALENDAR=US&amp;VAR:SYMBOL=37183T10&amp;VAR:INDEX=0"}</definedName>
    <definedName name="_4547__FDSAUDITLINK__" localSheetId="6" hidden="1">{"fdsup://directions/FAT Viewer?action=UPDATE&amp;creator=factset&amp;DYN_ARGS=TRUE&amp;DOC_NAME=FAT:FQL_AUDITING_CLIENT_TEMPLATE.FAT&amp;display_string=Audit&amp;VAR:KEY=DYDOBSPIBM&amp;VAR:QUERY=RkZfRUJJVERBX0lCKCdMVE1TJywzOTMzOCk=&amp;WINDOW=FIRST_POPUP&amp;HEIGHT=450&amp;WIDTH=450&amp;START_MA","XIMIZED=FALSE&amp;VAR:CALENDAR=US&amp;VAR:SYMBOL=37183T10&amp;VAR:INDEX=0"}</definedName>
    <definedName name="_4547__FDSAUDITLINK__" hidden="1">{"fdsup://directions/FAT Viewer?action=UPDATE&amp;creator=factset&amp;DYN_ARGS=TRUE&amp;DOC_NAME=FAT:FQL_AUDITING_CLIENT_TEMPLATE.FAT&amp;display_string=Audit&amp;VAR:KEY=DYDOBSPIBM&amp;VAR:QUERY=RkZfRUJJVERBX0lCKCdMVE1TJywzOTMzOCk=&amp;WINDOW=FIRST_POPUP&amp;HEIGHT=450&amp;WIDTH=450&amp;START_MA","XIMIZED=FALSE&amp;VAR:CALENDAR=US&amp;VAR:SYMBOL=37183T10&amp;VAR:INDEX=0"}</definedName>
    <definedName name="_4548__FDSAUDITLINK__" localSheetId="6" hidden="1">{"fdsup://directions/FAT Viewer?action=UPDATE&amp;creator=factset&amp;DYN_ARGS=TRUE&amp;DOC_NAME=FAT:FQL_AUDITING_CLIENT_TEMPLATE.FAT&amp;display_string=Audit&amp;VAR:KEY=RGDUJWTCJS&amp;VAR:QUERY=RkZfRUJJVERBX0lCKCdMVE1TJywzOTMzNyk=&amp;WINDOW=FIRST_POPUP&amp;HEIGHT=450&amp;WIDTH=450&amp;START_MA","XIMIZED=FALSE&amp;VAR:CALENDAR=US&amp;VAR:SYMBOL=37183T10&amp;VAR:INDEX=0"}</definedName>
    <definedName name="_4548__FDSAUDITLINK__" hidden="1">{"fdsup://directions/FAT Viewer?action=UPDATE&amp;creator=factset&amp;DYN_ARGS=TRUE&amp;DOC_NAME=FAT:FQL_AUDITING_CLIENT_TEMPLATE.FAT&amp;display_string=Audit&amp;VAR:KEY=RGDUJWTCJS&amp;VAR:QUERY=RkZfRUJJVERBX0lCKCdMVE1TJywzOTMzNyk=&amp;WINDOW=FIRST_POPUP&amp;HEIGHT=450&amp;WIDTH=450&amp;START_MA","XIMIZED=FALSE&amp;VAR:CALENDAR=US&amp;VAR:SYMBOL=37183T10&amp;VAR:INDEX=0"}</definedName>
    <definedName name="_4549__FDSAUDITLINK__" localSheetId="6" hidden="1">{"fdsup://directions/FAT Viewer?action=UPDATE&amp;creator=factset&amp;DYN_ARGS=TRUE&amp;DOC_NAME=FAT:FQL_AUDITING_CLIENT_TEMPLATE.FAT&amp;display_string=Audit&amp;VAR:KEY=HEPAFSZCZW&amp;VAR:QUERY=RkZfRUJJVERBX0lCKCdMVE1TJywzOTMzNik=&amp;WINDOW=FIRST_POPUP&amp;HEIGHT=450&amp;WIDTH=450&amp;START_MA","XIMIZED=FALSE&amp;VAR:CALENDAR=US&amp;VAR:SYMBOL=37183T10&amp;VAR:INDEX=0"}</definedName>
    <definedName name="_4549__FDSAUDITLINK__" hidden="1">{"fdsup://directions/FAT Viewer?action=UPDATE&amp;creator=factset&amp;DYN_ARGS=TRUE&amp;DOC_NAME=FAT:FQL_AUDITING_CLIENT_TEMPLATE.FAT&amp;display_string=Audit&amp;VAR:KEY=HEPAFSZCZW&amp;VAR:QUERY=RkZfRUJJVERBX0lCKCdMVE1TJywzOTMzNik=&amp;WINDOW=FIRST_POPUP&amp;HEIGHT=450&amp;WIDTH=450&amp;START_MA","XIMIZED=FALSE&amp;VAR:CALENDAR=US&amp;VAR:SYMBOL=37183T10&amp;VAR:INDEX=0"}</definedName>
    <definedName name="_455__FDSAUDITLINK__" localSheetId="6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5__FDSAUDITLINK__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50__FDSAUDITLINK__" localSheetId="6" hidden="1">{"fdsup://directions/FAT Viewer?action=UPDATE&amp;creator=factset&amp;DYN_ARGS=TRUE&amp;DOC_NAME=FAT:FQL_AUDITING_CLIENT_TEMPLATE.FAT&amp;display_string=Audit&amp;VAR:KEY=NWRSTKXONI&amp;VAR:QUERY=RkZfRUJJVERBX0lCKCdMVE1TJywzOTMzNSk=&amp;WINDOW=FIRST_POPUP&amp;HEIGHT=450&amp;WIDTH=450&amp;START_MA","XIMIZED=FALSE&amp;VAR:CALENDAR=US&amp;VAR:SYMBOL=37183T10&amp;VAR:INDEX=0"}</definedName>
    <definedName name="_4550__FDSAUDITLINK__" hidden="1">{"fdsup://directions/FAT Viewer?action=UPDATE&amp;creator=factset&amp;DYN_ARGS=TRUE&amp;DOC_NAME=FAT:FQL_AUDITING_CLIENT_TEMPLATE.FAT&amp;display_string=Audit&amp;VAR:KEY=NWRSTKXONI&amp;VAR:QUERY=RkZfRUJJVERBX0lCKCdMVE1TJywzOTMzNSk=&amp;WINDOW=FIRST_POPUP&amp;HEIGHT=450&amp;WIDTH=450&amp;START_MA","XIMIZED=FALSE&amp;VAR:CALENDAR=US&amp;VAR:SYMBOL=37183T10&amp;VAR:INDEX=0"}</definedName>
    <definedName name="_4551__FDSAUDITLINK__" localSheetId="6" hidden="1">{"fdsup://directions/FAT Viewer?action=UPDATE&amp;creator=factset&amp;DYN_ARGS=TRUE&amp;DOC_NAME=FAT:FQL_AUDITING_CLIENT_TEMPLATE.FAT&amp;display_string=Audit&amp;VAR:KEY=HKXWHKBSVQ&amp;VAR:QUERY=RkZfRUJJVERBX0lCKCdMVE1TJywzOTMzNCk=&amp;WINDOW=FIRST_POPUP&amp;HEIGHT=450&amp;WIDTH=450&amp;START_MA","XIMIZED=FALSE&amp;VAR:CALENDAR=US&amp;VAR:SYMBOL=37183T10&amp;VAR:INDEX=0"}</definedName>
    <definedName name="_4551__FDSAUDITLINK__" hidden="1">{"fdsup://directions/FAT Viewer?action=UPDATE&amp;creator=factset&amp;DYN_ARGS=TRUE&amp;DOC_NAME=FAT:FQL_AUDITING_CLIENT_TEMPLATE.FAT&amp;display_string=Audit&amp;VAR:KEY=HKXWHKBSVQ&amp;VAR:QUERY=RkZfRUJJVERBX0lCKCdMVE1TJywzOTMzNCk=&amp;WINDOW=FIRST_POPUP&amp;HEIGHT=450&amp;WIDTH=450&amp;START_MA","XIMIZED=FALSE&amp;VAR:CALENDAR=US&amp;VAR:SYMBOL=37183T10&amp;VAR:INDEX=0"}</definedName>
    <definedName name="_4552__FDSAUDITLINK__" localSheetId="6" hidden="1">{"fdsup://directions/FAT Viewer?action=UPDATE&amp;creator=factset&amp;DYN_ARGS=TRUE&amp;DOC_NAME=FAT:FQL_AUDITING_CLIENT_TEMPLATE.FAT&amp;display_string=Audit&amp;VAR:KEY=TMNEFOLIRM&amp;VAR:QUERY=RkZfRUJJVERBX0lCKCdMVE1TJywzOTMzMyk=&amp;WINDOW=FIRST_POPUP&amp;HEIGHT=450&amp;WIDTH=450&amp;START_MA","XIMIZED=FALSE&amp;VAR:CALENDAR=US&amp;VAR:SYMBOL=37183T10&amp;VAR:INDEX=0"}</definedName>
    <definedName name="_4552__FDSAUDITLINK__" hidden="1">{"fdsup://directions/FAT Viewer?action=UPDATE&amp;creator=factset&amp;DYN_ARGS=TRUE&amp;DOC_NAME=FAT:FQL_AUDITING_CLIENT_TEMPLATE.FAT&amp;display_string=Audit&amp;VAR:KEY=TMNEFOLIRM&amp;VAR:QUERY=RkZfRUJJVERBX0lCKCdMVE1TJywzOTMzMyk=&amp;WINDOW=FIRST_POPUP&amp;HEIGHT=450&amp;WIDTH=450&amp;START_MA","XIMIZED=FALSE&amp;VAR:CALENDAR=US&amp;VAR:SYMBOL=37183T10&amp;VAR:INDEX=0"}</definedName>
    <definedName name="_4553__FDSAUDITLINK__" localSheetId="6" hidden="1">{"fdsup://directions/FAT Viewer?action=UPDATE&amp;creator=factset&amp;DYN_ARGS=TRUE&amp;DOC_NAME=FAT:FQL_AUDITING_CLIENT_TEMPLATE.FAT&amp;display_string=Audit&amp;VAR:KEY=LMLYXSNGVQ&amp;VAR:QUERY=RkZfRUJJVERBX0lCKCdMVE1TJywzOTMzMik=&amp;WINDOW=FIRST_POPUP&amp;HEIGHT=450&amp;WIDTH=450&amp;START_MA","XIMIZED=FALSE&amp;VAR:CALENDAR=US&amp;VAR:SYMBOL=37183T10&amp;VAR:INDEX=0"}</definedName>
    <definedName name="_4553__FDSAUDITLINK__" hidden="1">{"fdsup://directions/FAT Viewer?action=UPDATE&amp;creator=factset&amp;DYN_ARGS=TRUE&amp;DOC_NAME=FAT:FQL_AUDITING_CLIENT_TEMPLATE.FAT&amp;display_string=Audit&amp;VAR:KEY=LMLYXSNGVQ&amp;VAR:QUERY=RkZfRUJJVERBX0lCKCdMVE1TJywzOTMzMik=&amp;WINDOW=FIRST_POPUP&amp;HEIGHT=450&amp;WIDTH=450&amp;START_MA","XIMIZED=FALSE&amp;VAR:CALENDAR=US&amp;VAR:SYMBOL=37183T10&amp;VAR:INDEX=0"}</definedName>
    <definedName name="_4554__FDSAUDITLINK__" localSheetId="6" hidden="1">{"fdsup://directions/FAT Viewer?action=UPDATE&amp;creator=factset&amp;DYN_ARGS=TRUE&amp;DOC_NAME=FAT:FQL_AUDITING_CLIENT_TEMPLATE.FAT&amp;display_string=Audit&amp;VAR:KEY=RKDILIDMLU&amp;VAR:QUERY=RkZfRUJJVERBX0lCKCdMVE1TJywzOTMzMSk=&amp;WINDOW=FIRST_POPUP&amp;HEIGHT=450&amp;WIDTH=450&amp;START_MA","XIMIZED=FALSE&amp;VAR:CALENDAR=US&amp;VAR:SYMBOL=37183T10&amp;VAR:INDEX=0"}</definedName>
    <definedName name="_4554__FDSAUDITLINK__" hidden="1">{"fdsup://directions/FAT Viewer?action=UPDATE&amp;creator=factset&amp;DYN_ARGS=TRUE&amp;DOC_NAME=FAT:FQL_AUDITING_CLIENT_TEMPLATE.FAT&amp;display_string=Audit&amp;VAR:KEY=RKDILIDMLU&amp;VAR:QUERY=RkZfRUJJVERBX0lCKCdMVE1TJywzOTMzMSk=&amp;WINDOW=FIRST_POPUP&amp;HEIGHT=450&amp;WIDTH=450&amp;START_MA","XIMIZED=FALSE&amp;VAR:CALENDAR=US&amp;VAR:SYMBOL=37183T10&amp;VAR:INDEX=0"}</definedName>
    <definedName name="_4555__FDSAUDITLINK__" localSheetId="6" hidden="1">{"fdsup://directions/FAT Viewer?action=UPDATE&amp;creator=factset&amp;DYN_ARGS=TRUE&amp;DOC_NAME=FAT:FQL_AUDITING_CLIENT_TEMPLATE.FAT&amp;display_string=Audit&amp;VAR:KEY=ZUBELIBCVK&amp;VAR:QUERY=RkZfRUJJVERBX0lCKCdMVE1TJywzOTMzMCk=&amp;WINDOW=FIRST_POPUP&amp;HEIGHT=450&amp;WIDTH=450&amp;START_MA","XIMIZED=FALSE&amp;VAR:CALENDAR=US&amp;VAR:SYMBOL=37183T10&amp;VAR:INDEX=0"}</definedName>
    <definedName name="_4555__FDSAUDITLINK__" hidden="1">{"fdsup://directions/FAT Viewer?action=UPDATE&amp;creator=factset&amp;DYN_ARGS=TRUE&amp;DOC_NAME=FAT:FQL_AUDITING_CLIENT_TEMPLATE.FAT&amp;display_string=Audit&amp;VAR:KEY=ZUBELIBCVK&amp;VAR:QUERY=RkZfRUJJVERBX0lCKCdMVE1TJywzOTMzMCk=&amp;WINDOW=FIRST_POPUP&amp;HEIGHT=450&amp;WIDTH=450&amp;START_MA","XIMIZED=FALSE&amp;VAR:CALENDAR=US&amp;VAR:SYMBOL=37183T10&amp;VAR:INDEX=0"}</definedName>
    <definedName name="_4556__FDSAUDITLINK__" localSheetId="6" hidden="1">{"fdsup://directions/FAT Viewer?action=UPDATE&amp;creator=factset&amp;DYN_ARGS=TRUE&amp;DOC_NAME=FAT:FQL_AUDITING_CLIENT_TEMPLATE.FAT&amp;display_string=Audit&amp;VAR:KEY=RMLGZSNIDW&amp;VAR:QUERY=RkZfRUJJVERBX0lCKCdMVE1TJywzOTMyOSk=&amp;WINDOW=FIRST_POPUP&amp;HEIGHT=450&amp;WIDTH=450&amp;START_MA","XIMIZED=FALSE&amp;VAR:CALENDAR=US&amp;VAR:SYMBOL=37183T10&amp;VAR:INDEX=0"}</definedName>
    <definedName name="_4556__FDSAUDITLINK__" hidden="1">{"fdsup://directions/FAT Viewer?action=UPDATE&amp;creator=factset&amp;DYN_ARGS=TRUE&amp;DOC_NAME=FAT:FQL_AUDITING_CLIENT_TEMPLATE.FAT&amp;display_string=Audit&amp;VAR:KEY=RMLGZSNIDW&amp;VAR:QUERY=RkZfRUJJVERBX0lCKCdMVE1TJywzOTMyOSk=&amp;WINDOW=FIRST_POPUP&amp;HEIGHT=450&amp;WIDTH=450&amp;START_MA","XIMIZED=FALSE&amp;VAR:CALENDAR=US&amp;VAR:SYMBOL=37183T10&amp;VAR:INDEX=0"}</definedName>
    <definedName name="_4557__FDSAUDITLINK__" localSheetId="6" hidden="1">{"fdsup://directions/FAT Viewer?action=UPDATE&amp;creator=factset&amp;DYN_ARGS=TRUE&amp;DOC_NAME=FAT:FQL_AUDITING_CLIENT_TEMPLATE.FAT&amp;display_string=Audit&amp;VAR:KEY=LGNGREDYPK&amp;VAR:QUERY=RkZfRUJJVERBX0lCKCdMVE1TJywzOTMyOCk=&amp;WINDOW=FIRST_POPUP&amp;HEIGHT=450&amp;WIDTH=450&amp;START_MA","XIMIZED=FALSE&amp;VAR:CALENDAR=US&amp;VAR:SYMBOL=37183T10&amp;VAR:INDEX=0"}</definedName>
    <definedName name="_4557__FDSAUDITLINK__" hidden="1">{"fdsup://directions/FAT Viewer?action=UPDATE&amp;creator=factset&amp;DYN_ARGS=TRUE&amp;DOC_NAME=FAT:FQL_AUDITING_CLIENT_TEMPLATE.FAT&amp;display_string=Audit&amp;VAR:KEY=LGNGREDYPK&amp;VAR:QUERY=RkZfRUJJVERBX0lCKCdMVE1TJywzOTMyOCk=&amp;WINDOW=FIRST_POPUP&amp;HEIGHT=450&amp;WIDTH=450&amp;START_MA","XIMIZED=FALSE&amp;VAR:CALENDAR=US&amp;VAR:SYMBOL=37183T10&amp;VAR:INDEX=0"}</definedName>
    <definedName name="_4558__FDSAUDITLINK__" localSheetId="6" hidden="1">{"fdsup://directions/FAT Viewer?action=UPDATE&amp;creator=factset&amp;DYN_ARGS=TRUE&amp;DOC_NAME=FAT:FQL_AUDITING_CLIENT_TEMPLATE.FAT&amp;display_string=Audit&amp;VAR:KEY=NWHWHIJMHI&amp;VAR:QUERY=RkZfRUJJVERBX0lCKCdMVE1TJywzOTMyNyk=&amp;WINDOW=FIRST_POPUP&amp;HEIGHT=450&amp;WIDTH=450&amp;START_MA","XIMIZED=FALSE&amp;VAR:CALENDAR=US&amp;VAR:SYMBOL=37183T10&amp;VAR:INDEX=0"}</definedName>
    <definedName name="_4558__FDSAUDITLINK__" hidden="1">{"fdsup://directions/FAT Viewer?action=UPDATE&amp;creator=factset&amp;DYN_ARGS=TRUE&amp;DOC_NAME=FAT:FQL_AUDITING_CLIENT_TEMPLATE.FAT&amp;display_string=Audit&amp;VAR:KEY=NWHWHIJMHI&amp;VAR:QUERY=RkZfRUJJVERBX0lCKCdMVE1TJywzOTMyNyk=&amp;WINDOW=FIRST_POPUP&amp;HEIGHT=450&amp;WIDTH=450&amp;START_MA","XIMIZED=FALSE&amp;VAR:CALENDAR=US&amp;VAR:SYMBOL=37183T10&amp;VAR:INDEX=0"}</definedName>
    <definedName name="_4559__FDSAUDITLINK__" localSheetId="6" hidden="1">{"fdsup://directions/FAT Viewer?action=UPDATE&amp;creator=factset&amp;DYN_ARGS=TRUE&amp;DOC_NAME=FAT:FQL_AUDITING_CLIENT_TEMPLATE.FAT&amp;display_string=Audit&amp;VAR:KEY=HONGLEDMLK&amp;VAR:QUERY=RkZfRUJJVERBX0lCKCdMVE1TJywzOTMyNik=&amp;WINDOW=FIRST_POPUP&amp;HEIGHT=450&amp;WIDTH=450&amp;START_MA","XIMIZED=FALSE&amp;VAR:CALENDAR=US&amp;VAR:SYMBOL=37183T10&amp;VAR:INDEX=0"}</definedName>
    <definedName name="_4559__FDSAUDITLINK__" hidden="1">{"fdsup://directions/FAT Viewer?action=UPDATE&amp;creator=factset&amp;DYN_ARGS=TRUE&amp;DOC_NAME=FAT:FQL_AUDITING_CLIENT_TEMPLATE.FAT&amp;display_string=Audit&amp;VAR:KEY=HONGLEDMLK&amp;VAR:QUERY=RkZfRUJJVERBX0lCKCdMVE1TJywzOTMyNik=&amp;WINDOW=FIRST_POPUP&amp;HEIGHT=450&amp;WIDTH=450&amp;START_MA","XIMIZED=FALSE&amp;VAR:CALENDAR=US&amp;VAR:SYMBOL=37183T10&amp;VAR:INDEX=0"}</definedName>
    <definedName name="_456__FDSAUDITLINK__" localSheetId="6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6__FDSAUDITLINK__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60__FDSAUDITLINK__" localSheetId="6" hidden="1">{"fdsup://directions/FAT Viewer?action=UPDATE&amp;creator=factset&amp;DYN_ARGS=TRUE&amp;DOC_NAME=FAT:FQL_AUDITING_CLIENT_TEMPLATE.FAT&amp;display_string=Audit&amp;VAR:KEY=XCFGTKZANA&amp;VAR:QUERY=RkZfRUJJVERBX0lCKCdMVE1TJywzOTMyNSk=&amp;WINDOW=FIRST_POPUP&amp;HEIGHT=450&amp;WIDTH=450&amp;START_MA","XIMIZED=FALSE&amp;VAR:CALENDAR=US&amp;VAR:SYMBOL=37183T10&amp;VAR:INDEX=0"}</definedName>
    <definedName name="_4560__FDSAUDITLINK__" hidden="1">{"fdsup://directions/FAT Viewer?action=UPDATE&amp;creator=factset&amp;DYN_ARGS=TRUE&amp;DOC_NAME=FAT:FQL_AUDITING_CLIENT_TEMPLATE.FAT&amp;display_string=Audit&amp;VAR:KEY=XCFGTKZANA&amp;VAR:QUERY=RkZfRUJJVERBX0lCKCdMVE1TJywzOTMyNSk=&amp;WINDOW=FIRST_POPUP&amp;HEIGHT=450&amp;WIDTH=450&amp;START_MA","XIMIZED=FALSE&amp;VAR:CALENDAR=US&amp;VAR:SYMBOL=37183T10&amp;VAR:INDEX=0"}</definedName>
    <definedName name="_4561__FDSAUDITLINK__" localSheetId="6" hidden="1">{"fdsup://directions/FAT Viewer?action=UPDATE&amp;creator=factset&amp;DYN_ARGS=TRUE&amp;DOC_NAME=FAT:FQL_AUDITING_CLIENT_TEMPLATE.FAT&amp;display_string=Audit&amp;VAR:KEY=PCVQDITEPY&amp;VAR:QUERY=RkZfRUJJVERBX0lCKCdMVE1TJywzOTMyNCk=&amp;WINDOW=FIRST_POPUP&amp;HEIGHT=450&amp;WIDTH=450&amp;START_MA","XIMIZED=FALSE&amp;VAR:CALENDAR=US&amp;VAR:SYMBOL=37183T10&amp;VAR:INDEX=0"}</definedName>
    <definedName name="_4561__FDSAUDITLINK__" hidden="1">{"fdsup://directions/FAT Viewer?action=UPDATE&amp;creator=factset&amp;DYN_ARGS=TRUE&amp;DOC_NAME=FAT:FQL_AUDITING_CLIENT_TEMPLATE.FAT&amp;display_string=Audit&amp;VAR:KEY=PCVQDITEPY&amp;VAR:QUERY=RkZfRUJJVERBX0lCKCdMVE1TJywzOTMyNCk=&amp;WINDOW=FIRST_POPUP&amp;HEIGHT=450&amp;WIDTH=450&amp;START_MA","XIMIZED=FALSE&amp;VAR:CALENDAR=US&amp;VAR:SYMBOL=37183T10&amp;VAR:INDEX=0"}</definedName>
    <definedName name="_4562__FDSAUDITLINK__" localSheetId="6" hidden="1">{"fdsup://directions/FAT Viewer?action=UPDATE&amp;creator=factset&amp;DYN_ARGS=TRUE&amp;DOC_NAME=FAT:FQL_AUDITING_CLIENT_TEMPLATE.FAT&amp;display_string=Audit&amp;VAR:KEY=FKBAFUHURM&amp;VAR:QUERY=RkZfRUJJVERBX0lCKCdMVE1TJywzOTMyMyk=&amp;WINDOW=FIRST_POPUP&amp;HEIGHT=450&amp;WIDTH=450&amp;START_MA","XIMIZED=FALSE&amp;VAR:CALENDAR=US&amp;VAR:SYMBOL=37183T10&amp;VAR:INDEX=0"}</definedName>
    <definedName name="_4562__FDSAUDITLINK__" hidden="1">{"fdsup://directions/FAT Viewer?action=UPDATE&amp;creator=factset&amp;DYN_ARGS=TRUE&amp;DOC_NAME=FAT:FQL_AUDITING_CLIENT_TEMPLATE.FAT&amp;display_string=Audit&amp;VAR:KEY=FKBAFUHURM&amp;VAR:QUERY=RkZfRUJJVERBX0lCKCdMVE1TJywzOTMyMyk=&amp;WINDOW=FIRST_POPUP&amp;HEIGHT=450&amp;WIDTH=450&amp;START_MA","XIMIZED=FALSE&amp;VAR:CALENDAR=US&amp;VAR:SYMBOL=37183T10&amp;VAR:INDEX=0"}</definedName>
    <definedName name="_4563__FDSAUDITLINK__" localSheetId="6" hidden="1">{"fdsup://directions/FAT Viewer?action=UPDATE&amp;creator=factset&amp;DYN_ARGS=TRUE&amp;DOC_NAME=FAT:FQL_AUDITING_CLIENT_TEMPLATE.FAT&amp;display_string=Audit&amp;VAR:KEY=VUVEFQXMDA&amp;VAR:QUERY=RkZfRUJJVERBX0lCKCdMVE1TJywzOTMyMik=&amp;WINDOW=FIRST_POPUP&amp;HEIGHT=450&amp;WIDTH=450&amp;START_MA","XIMIZED=FALSE&amp;VAR:CALENDAR=US&amp;VAR:SYMBOL=37183T10&amp;VAR:INDEX=0"}</definedName>
    <definedName name="_4563__FDSAUDITLINK__" hidden="1">{"fdsup://directions/FAT Viewer?action=UPDATE&amp;creator=factset&amp;DYN_ARGS=TRUE&amp;DOC_NAME=FAT:FQL_AUDITING_CLIENT_TEMPLATE.FAT&amp;display_string=Audit&amp;VAR:KEY=VUVEFQXMDA&amp;VAR:QUERY=RkZfRUJJVERBX0lCKCdMVE1TJywzOTMyMik=&amp;WINDOW=FIRST_POPUP&amp;HEIGHT=450&amp;WIDTH=450&amp;START_MA","XIMIZED=FALSE&amp;VAR:CALENDAR=US&amp;VAR:SYMBOL=37183T10&amp;VAR:INDEX=0"}</definedName>
    <definedName name="_4564__FDSAUDITLINK__" localSheetId="6" hidden="1">{"fdsup://directions/FAT Viewer?action=UPDATE&amp;creator=factset&amp;DYN_ARGS=TRUE&amp;DOC_NAME=FAT:FQL_AUDITING_CLIENT_TEMPLATE.FAT&amp;display_string=Audit&amp;VAR:KEY=HQJYNYRKPQ&amp;VAR:QUERY=RkZfRUJJVERBX0lCKCdMVE1TJywzOTMyMSk=&amp;WINDOW=FIRST_POPUP&amp;HEIGHT=450&amp;WIDTH=450&amp;START_MA","XIMIZED=FALSE&amp;VAR:CALENDAR=US&amp;VAR:SYMBOL=37183T10&amp;VAR:INDEX=0"}</definedName>
    <definedName name="_4564__FDSAUDITLINK__" hidden="1">{"fdsup://directions/FAT Viewer?action=UPDATE&amp;creator=factset&amp;DYN_ARGS=TRUE&amp;DOC_NAME=FAT:FQL_AUDITING_CLIENT_TEMPLATE.FAT&amp;display_string=Audit&amp;VAR:KEY=HQJYNYRKPQ&amp;VAR:QUERY=RkZfRUJJVERBX0lCKCdMVE1TJywzOTMyMSk=&amp;WINDOW=FIRST_POPUP&amp;HEIGHT=450&amp;WIDTH=450&amp;START_MA","XIMIZED=FALSE&amp;VAR:CALENDAR=US&amp;VAR:SYMBOL=37183T10&amp;VAR:INDEX=0"}</definedName>
    <definedName name="_4565__FDSAUDITLINK__" localSheetId="6" hidden="1">{"fdsup://directions/FAT Viewer?action=UPDATE&amp;creator=factset&amp;DYN_ARGS=TRUE&amp;DOC_NAME=FAT:FQL_AUDITING_CLIENT_TEMPLATE.FAT&amp;display_string=Audit&amp;VAR:KEY=NCPOBQPEZG&amp;VAR:QUERY=RkZfRUJJVERBX0lCKCdMVE1TJywzOTMyMCk=&amp;WINDOW=FIRST_POPUP&amp;HEIGHT=450&amp;WIDTH=450&amp;START_MA","XIMIZED=FALSE&amp;VAR:CALENDAR=US&amp;VAR:SYMBOL=37183T10&amp;VAR:INDEX=0"}</definedName>
    <definedName name="_4565__FDSAUDITLINK__" hidden="1">{"fdsup://directions/FAT Viewer?action=UPDATE&amp;creator=factset&amp;DYN_ARGS=TRUE&amp;DOC_NAME=FAT:FQL_AUDITING_CLIENT_TEMPLATE.FAT&amp;display_string=Audit&amp;VAR:KEY=NCPOBQPEZG&amp;VAR:QUERY=RkZfRUJJVERBX0lCKCdMVE1TJywzOTMyMCk=&amp;WINDOW=FIRST_POPUP&amp;HEIGHT=450&amp;WIDTH=450&amp;START_MA","XIMIZED=FALSE&amp;VAR:CALENDAR=US&amp;VAR:SYMBOL=37183T10&amp;VAR:INDEX=0"}</definedName>
    <definedName name="_4566__FDSAUDITLINK__" localSheetId="6" hidden="1">{"fdsup://directions/FAT Viewer?action=UPDATE&amp;creator=factset&amp;DYN_ARGS=TRUE&amp;DOC_NAME=FAT:FQL_AUDITING_CLIENT_TEMPLATE.FAT&amp;display_string=Audit&amp;VAR:KEY=NQVKJADANA&amp;VAR:QUERY=RkZfRUJJVERBX0lCKCdMVE1TJywzOTMxOSk=&amp;WINDOW=FIRST_POPUP&amp;HEIGHT=450&amp;WIDTH=450&amp;START_MA","XIMIZED=FALSE&amp;VAR:CALENDAR=US&amp;VAR:SYMBOL=37183T10&amp;VAR:INDEX=0"}</definedName>
    <definedName name="_4566__FDSAUDITLINK__" hidden="1">{"fdsup://directions/FAT Viewer?action=UPDATE&amp;creator=factset&amp;DYN_ARGS=TRUE&amp;DOC_NAME=FAT:FQL_AUDITING_CLIENT_TEMPLATE.FAT&amp;display_string=Audit&amp;VAR:KEY=NQVKJADANA&amp;VAR:QUERY=RkZfRUJJVERBX0lCKCdMVE1TJywzOTMxOSk=&amp;WINDOW=FIRST_POPUP&amp;HEIGHT=450&amp;WIDTH=450&amp;START_MA","XIMIZED=FALSE&amp;VAR:CALENDAR=US&amp;VAR:SYMBOL=37183T10&amp;VAR:INDEX=0"}</definedName>
    <definedName name="_4567__FDSAUDITLINK__" localSheetId="6" hidden="1">{"fdsup://directions/FAT Viewer?action=UPDATE&amp;creator=factset&amp;DYN_ARGS=TRUE&amp;DOC_NAME=FAT:FQL_AUDITING_CLIENT_TEMPLATE.FAT&amp;display_string=Audit&amp;VAR:KEY=PKBQLSDADG&amp;VAR:QUERY=RkZfRUJJVERBX0lCKCdMVE1TJywzOTMxOCk=&amp;WINDOW=FIRST_POPUP&amp;HEIGHT=450&amp;WIDTH=450&amp;START_MA","XIMIZED=FALSE&amp;VAR:CALENDAR=US&amp;VAR:SYMBOL=37183T10&amp;VAR:INDEX=0"}</definedName>
    <definedName name="_4567__FDSAUDITLINK__" hidden="1">{"fdsup://directions/FAT Viewer?action=UPDATE&amp;creator=factset&amp;DYN_ARGS=TRUE&amp;DOC_NAME=FAT:FQL_AUDITING_CLIENT_TEMPLATE.FAT&amp;display_string=Audit&amp;VAR:KEY=PKBQLSDADG&amp;VAR:QUERY=RkZfRUJJVERBX0lCKCdMVE1TJywzOTMxOCk=&amp;WINDOW=FIRST_POPUP&amp;HEIGHT=450&amp;WIDTH=450&amp;START_MA","XIMIZED=FALSE&amp;VAR:CALENDAR=US&amp;VAR:SYMBOL=37183T10&amp;VAR:INDEX=0"}</definedName>
    <definedName name="_4568__FDSAUDITLINK__" localSheetId="6" hidden="1">{"fdsup://directions/FAT Viewer?action=UPDATE&amp;creator=factset&amp;DYN_ARGS=TRUE&amp;DOC_NAME=FAT:FQL_AUDITING_CLIENT_TEMPLATE.FAT&amp;display_string=Audit&amp;VAR:KEY=FSBCDSLGJQ&amp;VAR:QUERY=RkZfRUJJVERBX0lCKCdMVE1TJywzOTMxNyk=&amp;WINDOW=FIRST_POPUP&amp;HEIGHT=450&amp;WIDTH=450&amp;START_MA","XIMIZED=FALSE&amp;VAR:CALENDAR=US&amp;VAR:SYMBOL=37183T10&amp;VAR:INDEX=0"}</definedName>
    <definedName name="_4568__FDSAUDITLINK__" hidden="1">{"fdsup://directions/FAT Viewer?action=UPDATE&amp;creator=factset&amp;DYN_ARGS=TRUE&amp;DOC_NAME=FAT:FQL_AUDITING_CLIENT_TEMPLATE.FAT&amp;display_string=Audit&amp;VAR:KEY=FSBCDSLGJQ&amp;VAR:QUERY=RkZfRUJJVERBX0lCKCdMVE1TJywzOTMxNyk=&amp;WINDOW=FIRST_POPUP&amp;HEIGHT=450&amp;WIDTH=450&amp;START_MA","XIMIZED=FALSE&amp;VAR:CALENDAR=US&amp;VAR:SYMBOL=37183T10&amp;VAR:INDEX=0"}</definedName>
    <definedName name="_4569__FDSAUDITLINK__" localSheetId="6" hidden="1">{"fdsup://directions/FAT Viewer?action=UPDATE&amp;creator=factset&amp;DYN_ARGS=TRUE&amp;DOC_NAME=FAT:FQL_AUDITING_CLIENT_TEMPLATE.FAT&amp;display_string=Audit&amp;VAR:KEY=XMDILUNQBW&amp;VAR:QUERY=RkZfRUJJVERBX0lCKCdMVE1TJywzOTMxNik=&amp;WINDOW=FIRST_POPUP&amp;HEIGHT=450&amp;WIDTH=450&amp;START_MA","XIMIZED=FALSE&amp;VAR:CALENDAR=US&amp;VAR:SYMBOL=37183T10&amp;VAR:INDEX=0"}</definedName>
    <definedName name="_4569__FDSAUDITLINK__" hidden="1">{"fdsup://directions/FAT Viewer?action=UPDATE&amp;creator=factset&amp;DYN_ARGS=TRUE&amp;DOC_NAME=FAT:FQL_AUDITING_CLIENT_TEMPLATE.FAT&amp;display_string=Audit&amp;VAR:KEY=XMDILUNQBW&amp;VAR:QUERY=RkZfRUJJVERBX0lCKCdMVE1TJywzOTMxNik=&amp;WINDOW=FIRST_POPUP&amp;HEIGHT=450&amp;WIDTH=450&amp;START_MA","XIMIZED=FALSE&amp;VAR:CALENDAR=US&amp;VAR:SYMBOL=37183T10&amp;VAR:INDEX=0"}</definedName>
    <definedName name="_457__FDSAUDITLINK__" localSheetId="6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7__FDSAUDITLINK__" hidden="1">{"fdsup://directions/FAT%20Viewer?VAR:PED=LTM&amp;VAR:AUDIT_MODE=SUMMARY&amp;VAR:PERIOD=FIXED&amp;VAR:AUDIT_ID=00000117&amp;VAR:DATE=20081121&amp;action=UPDATE&amp;creator=factset&amp;DOC_NAME=FAT:FMA_audit_SUMMARY.fat&amp;DISPLAY_STRING=Display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70__FDSAUDITLINK__" localSheetId="6" hidden="1">{"fdsup://directions/FAT Viewer?action=UPDATE&amp;creator=factset&amp;DYN_ARGS=TRUE&amp;DOC_NAME=FAT:FQL_AUDITING_CLIENT_TEMPLATE.FAT&amp;display_string=Audit&amp;VAR:KEY=DINSTSPANM&amp;VAR:QUERY=RkZfRUJJVERBX0lCKCdMVE1TJywzOTMxNSk=&amp;WINDOW=FIRST_POPUP&amp;HEIGHT=450&amp;WIDTH=450&amp;START_MA","XIMIZED=FALSE&amp;VAR:CALENDAR=US&amp;VAR:SYMBOL=37183T10&amp;VAR:INDEX=0"}</definedName>
    <definedName name="_4570__FDSAUDITLINK__" hidden="1">{"fdsup://directions/FAT Viewer?action=UPDATE&amp;creator=factset&amp;DYN_ARGS=TRUE&amp;DOC_NAME=FAT:FQL_AUDITING_CLIENT_TEMPLATE.FAT&amp;display_string=Audit&amp;VAR:KEY=DINSTSPANM&amp;VAR:QUERY=RkZfRUJJVERBX0lCKCdMVE1TJywzOTMxNSk=&amp;WINDOW=FIRST_POPUP&amp;HEIGHT=450&amp;WIDTH=450&amp;START_MA","XIMIZED=FALSE&amp;VAR:CALENDAR=US&amp;VAR:SYMBOL=37183T10&amp;VAR:INDEX=0"}</definedName>
    <definedName name="_4571__FDSAUDITLINK__" localSheetId="6" hidden="1">{"fdsup://directions/FAT Viewer?action=UPDATE&amp;creator=factset&amp;DYN_ARGS=TRUE&amp;DOC_NAME=FAT:FQL_AUDITING_CLIENT_TEMPLATE.FAT&amp;display_string=Audit&amp;VAR:KEY=ZUHABWBAPO&amp;VAR:QUERY=RkZfRUJJVERBX0lCKCdMVE1TJywzOTMxNCk=&amp;WINDOW=FIRST_POPUP&amp;HEIGHT=450&amp;WIDTH=450&amp;START_MA","XIMIZED=FALSE&amp;VAR:CALENDAR=US&amp;VAR:SYMBOL=37183T10&amp;VAR:INDEX=0"}</definedName>
    <definedName name="_4571__FDSAUDITLINK__" hidden="1">{"fdsup://directions/FAT Viewer?action=UPDATE&amp;creator=factset&amp;DYN_ARGS=TRUE&amp;DOC_NAME=FAT:FQL_AUDITING_CLIENT_TEMPLATE.FAT&amp;display_string=Audit&amp;VAR:KEY=ZUHABWBAPO&amp;VAR:QUERY=RkZfRUJJVERBX0lCKCdMVE1TJywzOTMxNCk=&amp;WINDOW=FIRST_POPUP&amp;HEIGHT=450&amp;WIDTH=450&amp;START_MA","XIMIZED=FALSE&amp;VAR:CALENDAR=US&amp;VAR:SYMBOL=37183T10&amp;VAR:INDEX=0"}</definedName>
    <definedName name="_4572__FDSAUDITLINK__" localSheetId="6" hidden="1">{"fdsup://directions/FAT Viewer?action=UPDATE&amp;creator=factset&amp;DYN_ARGS=TRUE&amp;DOC_NAME=FAT:FQL_AUDITING_CLIENT_TEMPLATE.FAT&amp;display_string=Audit&amp;VAR:KEY=HQBIHOHGZQ&amp;VAR:QUERY=RkZfRUJJVERBX0lCKCdMVE1TJywzOTMxMyk=&amp;WINDOW=FIRST_POPUP&amp;HEIGHT=450&amp;WIDTH=450&amp;START_MA","XIMIZED=FALSE&amp;VAR:CALENDAR=US&amp;VAR:SYMBOL=37183T10&amp;VAR:INDEX=0"}</definedName>
    <definedName name="_4572__FDSAUDITLINK__" hidden="1">{"fdsup://directions/FAT Viewer?action=UPDATE&amp;creator=factset&amp;DYN_ARGS=TRUE&amp;DOC_NAME=FAT:FQL_AUDITING_CLIENT_TEMPLATE.FAT&amp;display_string=Audit&amp;VAR:KEY=HQBIHOHGZQ&amp;VAR:QUERY=RkZfRUJJVERBX0lCKCdMVE1TJywzOTMxMyk=&amp;WINDOW=FIRST_POPUP&amp;HEIGHT=450&amp;WIDTH=450&amp;START_MA","XIMIZED=FALSE&amp;VAR:CALENDAR=US&amp;VAR:SYMBOL=37183T10&amp;VAR:INDEX=0"}</definedName>
    <definedName name="_4573__FDSAUDITLINK__" localSheetId="6" hidden="1">{"fdsup://directions/FAT Viewer?action=UPDATE&amp;creator=factset&amp;DYN_ARGS=TRUE&amp;DOC_NAME=FAT:FQL_AUDITING_CLIENT_TEMPLATE.FAT&amp;display_string=Audit&amp;VAR:KEY=TAVYBMJKNY&amp;VAR:QUERY=RkZfRUJJVERBX0lCKCdMVE1TJywzOTMxMik=&amp;WINDOW=FIRST_POPUP&amp;HEIGHT=450&amp;WIDTH=450&amp;START_MA","XIMIZED=FALSE&amp;VAR:CALENDAR=US&amp;VAR:SYMBOL=37183T10&amp;VAR:INDEX=0"}</definedName>
    <definedName name="_4573__FDSAUDITLINK__" hidden="1">{"fdsup://directions/FAT Viewer?action=UPDATE&amp;creator=factset&amp;DYN_ARGS=TRUE&amp;DOC_NAME=FAT:FQL_AUDITING_CLIENT_TEMPLATE.FAT&amp;display_string=Audit&amp;VAR:KEY=TAVYBMJKNY&amp;VAR:QUERY=RkZfRUJJVERBX0lCKCdMVE1TJywzOTMxMik=&amp;WINDOW=FIRST_POPUP&amp;HEIGHT=450&amp;WIDTH=450&amp;START_MA","XIMIZED=FALSE&amp;VAR:CALENDAR=US&amp;VAR:SYMBOL=37183T10&amp;VAR:INDEX=0"}</definedName>
    <definedName name="_4574__FDSAUDITLINK__" localSheetId="6" hidden="1">{"fdsup://directions/FAT Viewer?action=UPDATE&amp;creator=factset&amp;DYN_ARGS=TRUE&amp;DOC_NAME=FAT:FQL_AUDITING_CLIENT_TEMPLATE.FAT&amp;display_string=Audit&amp;VAR:KEY=RIHIVQPUJM&amp;VAR:QUERY=RkZfRUJJVERBX0lCKCdMVE1TJywzOTMxMSk=&amp;WINDOW=FIRST_POPUP&amp;HEIGHT=450&amp;WIDTH=450&amp;START_MA","XIMIZED=FALSE&amp;VAR:CALENDAR=US&amp;VAR:SYMBOL=37183T10&amp;VAR:INDEX=0"}</definedName>
    <definedName name="_4574__FDSAUDITLINK__" hidden="1">{"fdsup://directions/FAT Viewer?action=UPDATE&amp;creator=factset&amp;DYN_ARGS=TRUE&amp;DOC_NAME=FAT:FQL_AUDITING_CLIENT_TEMPLATE.FAT&amp;display_string=Audit&amp;VAR:KEY=RIHIVQPUJM&amp;VAR:QUERY=RkZfRUJJVERBX0lCKCdMVE1TJywzOTMxMSk=&amp;WINDOW=FIRST_POPUP&amp;HEIGHT=450&amp;WIDTH=450&amp;START_MA","XIMIZED=FALSE&amp;VAR:CALENDAR=US&amp;VAR:SYMBOL=37183T10&amp;VAR:INDEX=0"}</definedName>
    <definedName name="_4575__FDSAUDITLINK__" localSheetId="6" hidden="1">{"fdsup://directions/FAT Viewer?action=UPDATE&amp;creator=factset&amp;DYN_ARGS=TRUE&amp;DOC_NAME=FAT:FQL_AUDITING_CLIENT_TEMPLATE.FAT&amp;display_string=Audit&amp;VAR:KEY=DEFEZOPMZU&amp;VAR:QUERY=RkZfRUJJVERBX0lCKCdMVE1TJywzOTMxMCk=&amp;WINDOW=FIRST_POPUP&amp;HEIGHT=450&amp;WIDTH=450&amp;START_MA","XIMIZED=FALSE&amp;VAR:CALENDAR=US&amp;VAR:SYMBOL=37183T10&amp;VAR:INDEX=0"}</definedName>
    <definedName name="_4575__FDSAUDITLINK__" hidden="1">{"fdsup://directions/FAT Viewer?action=UPDATE&amp;creator=factset&amp;DYN_ARGS=TRUE&amp;DOC_NAME=FAT:FQL_AUDITING_CLIENT_TEMPLATE.FAT&amp;display_string=Audit&amp;VAR:KEY=DEFEZOPMZU&amp;VAR:QUERY=RkZfRUJJVERBX0lCKCdMVE1TJywzOTMxMCk=&amp;WINDOW=FIRST_POPUP&amp;HEIGHT=450&amp;WIDTH=450&amp;START_MA","XIMIZED=FALSE&amp;VAR:CALENDAR=US&amp;VAR:SYMBOL=37183T10&amp;VAR:INDEX=0"}</definedName>
    <definedName name="_4576__FDSAUDITLINK__" localSheetId="6" hidden="1">{"fdsup://directions/FAT Viewer?action=UPDATE&amp;creator=factset&amp;DYN_ARGS=TRUE&amp;DOC_NAME=FAT:FQL_AUDITING_CLIENT_TEMPLATE.FAT&amp;display_string=Audit&amp;VAR:KEY=DWXQPGVSNG&amp;VAR:QUERY=RkZfRUJJVERBX0lCKCdMVE1TJywzOTMwOSk=&amp;WINDOW=FIRST_POPUP&amp;HEIGHT=450&amp;WIDTH=450&amp;START_MA","XIMIZED=FALSE&amp;VAR:CALENDAR=US&amp;VAR:SYMBOL=37183T10&amp;VAR:INDEX=0"}</definedName>
    <definedName name="_4576__FDSAUDITLINK__" hidden="1">{"fdsup://directions/FAT Viewer?action=UPDATE&amp;creator=factset&amp;DYN_ARGS=TRUE&amp;DOC_NAME=FAT:FQL_AUDITING_CLIENT_TEMPLATE.FAT&amp;display_string=Audit&amp;VAR:KEY=DWXQPGVSNG&amp;VAR:QUERY=RkZfRUJJVERBX0lCKCdMVE1TJywzOTMwOSk=&amp;WINDOW=FIRST_POPUP&amp;HEIGHT=450&amp;WIDTH=450&amp;START_MA","XIMIZED=FALSE&amp;VAR:CALENDAR=US&amp;VAR:SYMBOL=37183T10&amp;VAR:INDEX=0"}</definedName>
    <definedName name="_4577__FDSAUDITLINK__" localSheetId="6" hidden="1">{"fdsup://directions/FAT Viewer?action=UPDATE&amp;creator=factset&amp;DYN_ARGS=TRUE&amp;DOC_NAME=FAT:FQL_AUDITING_CLIENT_TEMPLATE.FAT&amp;display_string=Audit&amp;VAR:KEY=BKDOHGVQDS&amp;VAR:QUERY=RkZfRUJJVERBX0lCKCdMVE1TJywzOTMwOCk=&amp;WINDOW=FIRST_POPUP&amp;HEIGHT=450&amp;WIDTH=450&amp;START_MA","XIMIZED=FALSE&amp;VAR:CALENDAR=US&amp;VAR:SYMBOL=37183T10&amp;VAR:INDEX=0"}</definedName>
    <definedName name="_4577__FDSAUDITLINK__" hidden="1">{"fdsup://directions/FAT Viewer?action=UPDATE&amp;creator=factset&amp;DYN_ARGS=TRUE&amp;DOC_NAME=FAT:FQL_AUDITING_CLIENT_TEMPLATE.FAT&amp;display_string=Audit&amp;VAR:KEY=BKDOHGVQDS&amp;VAR:QUERY=RkZfRUJJVERBX0lCKCdMVE1TJywzOTMwOCk=&amp;WINDOW=FIRST_POPUP&amp;HEIGHT=450&amp;WIDTH=450&amp;START_MA","XIMIZED=FALSE&amp;VAR:CALENDAR=US&amp;VAR:SYMBOL=37183T10&amp;VAR:INDEX=0"}</definedName>
    <definedName name="_4578__FDSAUDITLINK__" localSheetId="6" hidden="1">{"fdsup://directions/FAT Viewer?action=UPDATE&amp;creator=factset&amp;DYN_ARGS=TRUE&amp;DOC_NAME=FAT:FQL_AUDITING_CLIENT_TEMPLATE.FAT&amp;display_string=Audit&amp;VAR:KEY=FIXIHSPAJY&amp;VAR:QUERY=RkZfRUJJVERBX0lCKCdMVE1TJywzOTMwNyk=&amp;WINDOW=FIRST_POPUP&amp;HEIGHT=450&amp;WIDTH=450&amp;START_MA","XIMIZED=FALSE&amp;VAR:CALENDAR=US&amp;VAR:SYMBOL=37183T10&amp;VAR:INDEX=0"}</definedName>
    <definedName name="_4578__FDSAUDITLINK__" hidden="1">{"fdsup://directions/FAT Viewer?action=UPDATE&amp;creator=factset&amp;DYN_ARGS=TRUE&amp;DOC_NAME=FAT:FQL_AUDITING_CLIENT_TEMPLATE.FAT&amp;display_string=Audit&amp;VAR:KEY=FIXIHSPAJY&amp;VAR:QUERY=RkZfRUJJVERBX0lCKCdMVE1TJywzOTMwNyk=&amp;WINDOW=FIRST_POPUP&amp;HEIGHT=450&amp;WIDTH=450&amp;START_MA","XIMIZED=FALSE&amp;VAR:CALENDAR=US&amp;VAR:SYMBOL=37183T10&amp;VAR:INDEX=0"}</definedName>
    <definedName name="_4579__FDSAUDITLINK__" localSheetId="6" hidden="1">{"fdsup://directions/FAT Viewer?action=UPDATE&amp;creator=factset&amp;DYN_ARGS=TRUE&amp;DOC_NAME=FAT:FQL_AUDITING_CLIENT_TEMPLATE.FAT&amp;display_string=Audit&amp;VAR:KEY=FCNKZWZAHW&amp;VAR:QUERY=RkZfRUJJVERBX0lCKCdMVE1TJywzOTMwNik=&amp;WINDOW=FIRST_POPUP&amp;HEIGHT=450&amp;WIDTH=450&amp;START_MA","XIMIZED=FALSE&amp;VAR:CALENDAR=US&amp;VAR:SYMBOL=37183T10&amp;VAR:INDEX=0"}</definedName>
    <definedName name="_4579__FDSAUDITLINK__" hidden="1">{"fdsup://directions/FAT Viewer?action=UPDATE&amp;creator=factset&amp;DYN_ARGS=TRUE&amp;DOC_NAME=FAT:FQL_AUDITING_CLIENT_TEMPLATE.FAT&amp;display_string=Audit&amp;VAR:KEY=FCNKZWZAHW&amp;VAR:QUERY=RkZfRUJJVERBX0lCKCdMVE1TJywzOTMwNik=&amp;WINDOW=FIRST_POPUP&amp;HEIGHT=450&amp;WIDTH=450&amp;START_MA","XIMIZED=FALSE&amp;VAR:CALENDAR=US&amp;VAR:SYMBOL=37183T10&amp;VAR:INDEX=0"}</definedName>
    <definedName name="_458__FDSAUDITLINK__" localSheetId="6" hidden="1">{"fdsup://directions/FAT%20Viewer?VAR:PED=LTM&amp;VAR:AUDIT_MODE=SUMMARY&amp;VAR:PERIOD=FIXED&amp;VAR:AUDIT_ID=00000117&amp;VAR:DATE=20081120&amp;action=UPDATE&amp;creator=factset&amp;DOC_NAME=FAT:FMA_audit_SUMMARY.fat&amp;DISPLAY_STRING=Display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8__FDSAUDITLINK__" hidden="1">{"fdsup://directions/FAT%20Viewer?VAR:PED=LTM&amp;VAR:AUDIT_MODE=SUMMARY&amp;VAR:PERIOD=FIXED&amp;VAR:AUDIT_ID=00000117&amp;VAR:DATE=20081120&amp;action=UPDATE&amp;creator=factset&amp;DOC_NAME=FAT:FMA_audit_SUMMARY.fat&amp;DISPLAY_STRING=Display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80__FDSAUDITLINK__" localSheetId="6" hidden="1">{"fdsup://directions/FAT Viewer?action=UPDATE&amp;creator=factset&amp;DYN_ARGS=TRUE&amp;DOC_NAME=FAT:FQL_AUDITING_CLIENT_TEMPLATE.FAT&amp;display_string=Audit&amp;VAR:KEY=VQFQHQVYBK&amp;VAR:QUERY=RkZfRUJJVERBX0lCKCdMVE1TJywzOTMwNSk=&amp;WINDOW=FIRST_POPUP&amp;HEIGHT=450&amp;WIDTH=450&amp;START_MA","XIMIZED=FALSE&amp;VAR:CALENDAR=US&amp;VAR:SYMBOL=37183T10&amp;VAR:INDEX=0"}</definedName>
    <definedName name="_4580__FDSAUDITLINK__" hidden="1">{"fdsup://directions/FAT Viewer?action=UPDATE&amp;creator=factset&amp;DYN_ARGS=TRUE&amp;DOC_NAME=FAT:FQL_AUDITING_CLIENT_TEMPLATE.FAT&amp;display_string=Audit&amp;VAR:KEY=VQFQHQVYBK&amp;VAR:QUERY=RkZfRUJJVERBX0lCKCdMVE1TJywzOTMwNSk=&amp;WINDOW=FIRST_POPUP&amp;HEIGHT=450&amp;WIDTH=450&amp;START_MA","XIMIZED=FALSE&amp;VAR:CALENDAR=US&amp;VAR:SYMBOL=37183T10&amp;VAR:INDEX=0"}</definedName>
    <definedName name="_4581__FDSAUDITLINK__" localSheetId="6" hidden="1">{"fdsup://directions/FAT Viewer?action=UPDATE&amp;creator=factset&amp;DYN_ARGS=TRUE&amp;DOC_NAME=FAT:FQL_AUDITING_CLIENT_TEMPLATE.FAT&amp;display_string=Audit&amp;VAR:KEY=BGHMJAPIPO&amp;VAR:QUERY=RkZfRUJJVERBX0lCKCdMVE1TJywzOTMwNCk=&amp;WINDOW=FIRST_POPUP&amp;HEIGHT=450&amp;WIDTH=450&amp;START_MA","XIMIZED=FALSE&amp;VAR:CALENDAR=US&amp;VAR:SYMBOL=37183T10&amp;VAR:INDEX=0"}</definedName>
    <definedName name="_4581__FDSAUDITLINK__" hidden="1">{"fdsup://directions/FAT Viewer?action=UPDATE&amp;creator=factset&amp;DYN_ARGS=TRUE&amp;DOC_NAME=FAT:FQL_AUDITING_CLIENT_TEMPLATE.FAT&amp;display_string=Audit&amp;VAR:KEY=BGHMJAPIPO&amp;VAR:QUERY=RkZfRUJJVERBX0lCKCdMVE1TJywzOTMwNCk=&amp;WINDOW=FIRST_POPUP&amp;HEIGHT=450&amp;WIDTH=450&amp;START_MA","XIMIZED=FALSE&amp;VAR:CALENDAR=US&amp;VAR:SYMBOL=37183T10&amp;VAR:INDEX=0"}</definedName>
    <definedName name="_4582__FDSAUDITLINK__" localSheetId="6" hidden="1">{"fdsup://directions/FAT Viewer?action=UPDATE&amp;creator=factset&amp;DYN_ARGS=TRUE&amp;DOC_NAME=FAT:FQL_AUDITING_CLIENT_TEMPLATE.FAT&amp;display_string=Audit&amp;VAR:KEY=NUTANORSFQ&amp;VAR:QUERY=RkZfRUJJVERBX0lCKCdMVE1TJywzOTMwMyk=&amp;WINDOW=FIRST_POPUP&amp;HEIGHT=450&amp;WIDTH=450&amp;START_MA","XIMIZED=FALSE&amp;VAR:CALENDAR=US&amp;VAR:SYMBOL=37183T10&amp;VAR:INDEX=0"}</definedName>
    <definedName name="_4582__FDSAUDITLINK__" hidden="1">{"fdsup://directions/FAT Viewer?action=UPDATE&amp;creator=factset&amp;DYN_ARGS=TRUE&amp;DOC_NAME=FAT:FQL_AUDITING_CLIENT_TEMPLATE.FAT&amp;display_string=Audit&amp;VAR:KEY=NUTANORSFQ&amp;VAR:QUERY=RkZfRUJJVERBX0lCKCdMVE1TJywzOTMwMyk=&amp;WINDOW=FIRST_POPUP&amp;HEIGHT=450&amp;WIDTH=450&amp;START_MA","XIMIZED=FALSE&amp;VAR:CALENDAR=US&amp;VAR:SYMBOL=37183T10&amp;VAR:INDEX=0"}</definedName>
    <definedName name="_4583__FDSAUDITLINK__" localSheetId="6" hidden="1">{"fdsup://directions/FAT Viewer?action=UPDATE&amp;creator=factset&amp;DYN_ARGS=TRUE&amp;DOC_NAME=FAT:FQL_AUDITING_CLIENT_TEMPLATE.FAT&amp;display_string=Audit&amp;VAR:KEY=DYJIBORABQ&amp;VAR:QUERY=RkZfRUJJVERBX0lCKCdMVE1TJywzOTMwMik=&amp;WINDOW=FIRST_POPUP&amp;HEIGHT=450&amp;WIDTH=450&amp;START_MA","XIMIZED=FALSE&amp;VAR:CALENDAR=US&amp;VAR:SYMBOL=37183T10&amp;VAR:INDEX=0"}</definedName>
    <definedName name="_4583__FDSAUDITLINK__" hidden="1">{"fdsup://directions/FAT Viewer?action=UPDATE&amp;creator=factset&amp;DYN_ARGS=TRUE&amp;DOC_NAME=FAT:FQL_AUDITING_CLIENT_TEMPLATE.FAT&amp;display_string=Audit&amp;VAR:KEY=DYJIBORABQ&amp;VAR:QUERY=RkZfRUJJVERBX0lCKCdMVE1TJywzOTMwMik=&amp;WINDOW=FIRST_POPUP&amp;HEIGHT=450&amp;WIDTH=450&amp;START_MA","XIMIZED=FALSE&amp;VAR:CALENDAR=US&amp;VAR:SYMBOL=37183T10&amp;VAR:INDEX=0"}</definedName>
    <definedName name="_4584__FDSAUDITLINK__" localSheetId="6" hidden="1">{"fdsup://directions/FAT Viewer?action=UPDATE&amp;creator=factset&amp;DYN_ARGS=TRUE&amp;DOC_NAME=FAT:FQL_AUDITING_CLIENT_TEMPLATE.FAT&amp;display_string=Audit&amp;VAR:KEY=RWZMPYNYHI&amp;VAR:QUERY=RkZfRUJJVERBX0lCKCdMVE1TJywzOTMwMSk=&amp;WINDOW=FIRST_POPUP&amp;HEIGHT=450&amp;WIDTH=450&amp;START_MA","XIMIZED=FALSE&amp;VAR:CALENDAR=US&amp;VAR:SYMBOL=37183T10&amp;VAR:INDEX=0"}</definedName>
    <definedName name="_4584__FDSAUDITLINK__" hidden="1">{"fdsup://directions/FAT Viewer?action=UPDATE&amp;creator=factset&amp;DYN_ARGS=TRUE&amp;DOC_NAME=FAT:FQL_AUDITING_CLIENT_TEMPLATE.FAT&amp;display_string=Audit&amp;VAR:KEY=RWZMPYNYHI&amp;VAR:QUERY=RkZfRUJJVERBX0lCKCdMVE1TJywzOTMwMSk=&amp;WINDOW=FIRST_POPUP&amp;HEIGHT=450&amp;WIDTH=450&amp;START_MA","XIMIZED=FALSE&amp;VAR:CALENDAR=US&amp;VAR:SYMBOL=37183T10&amp;VAR:INDEX=0"}</definedName>
    <definedName name="_4585__FDSAUDITLINK__" localSheetId="6" hidden="1">{"fdsup://directions/FAT Viewer?action=UPDATE&amp;creator=factset&amp;DYN_ARGS=TRUE&amp;DOC_NAME=FAT:FQL_AUDITING_CLIENT_TEMPLATE.FAT&amp;display_string=Audit&amp;VAR:KEY=DMVOVWXWXS&amp;VAR:QUERY=RkZfRUJJVERBX0lCKCdMVE1TJywzOTMwMCk=&amp;WINDOW=FIRST_POPUP&amp;HEIGHT=450&amp;WIDTH=450&amp;START_MA","XIMIZED=FALSE&amp;VAR:CALENDAR=US&amp;VAR:SYMBOL=37183T10&amp;VAR:INDEX=0"}</definedName>
    <definedName name="_4585__FDSAUDITLINK__" hidden="1">{"fdsup://directions/FAT Viewer?action=UPDATE&amp;creator=factset&amp;DYN_ARGS=TRUE&amp;DOC_NAME=FAT:FQL_AUDITING_CLIENT_TEMPLATE.FAT&amp;display_string=Audit&amp;VAR:KEY=DMVOVWXWXS&amp;VAR:QUERY=RkZfRUJJVERBX0lCKCdMVE1TJywzOTMwMCk=&amp;WINDOW=FIRST_POPUP&amp;HEIGHT=450&amp;WIDTH=450&amp;START_MA","XIMIZED=FALSE&amp;VAR:CALENDAR=US&amp;VAR:SYMBOL=37183T10&amp;VAR:INDEX=0"}</definedName>
    <definedName name="_4586__FDSAUDITLINK__" localSheetId="6" hidden="1">{"fdsup://directions/FAT Viewer?action=UPDATE&amp;creator=factset&amp;DYN_ARGS=TRUE&amp;DOC_NAME=FAT:FQL_AUDITING_CLIENT_TEMPLATE.FAT&amp;display_string=Audit&amp;VAR:KEY=NMNKNGLSLK&amp;VAR:QUERY=RkZfRUJJVERBX0lCKCdMVE1TJywzOTI5OSk=&amp;WINDOW=FIRST_POPUP&amp;HEIGHT=450&amp;WIDTH=450&amp;START_MA","XIMIZED=FALSE&amp;VAR:CALENDAR=US&amp;VAR:SYMBOL=37183T10&amp;VAR:INDEX=0"}</definedName>
    <definedName name="_4586__FDSAUDITLINK__" hidden="1">{"fdsup://directions/FAT Viewer?action=UPDATE&amp;creator=factset&amp;DYN_ARGS=TRUE&amp;DOC_NAME=FAT:FQL_AUDITING_CLIENT_TEMPLATE.FAT&amp;display_string=Audit&amp;VAR:KEY=NMNKNGLSLK&amp;VAR:QUERY=RkZfRUJJVERBX0lCKCdMVE1TJywzOTI5OSk=&amp;WINDOW=FIRST_POPUP&amp;HEIGHT=450&amp;WIDTH=450&amp;START_MA","XIMIZED=FALSE&amp;VAR:CALENDAR=US&amp;VAR:SYMBOL=37183T10&amp;VAR:INDEX=0"}</definedName>
    <definedName name="_4587__FDSAUDITLINK__" localSheetId="6" hidden="1">{"fdsup://directions/FAT Viewer?action=UPDATE&amp;creator=factset&amp;DYN_ARGS=TRUE&amp;DOC_NAME=FAT:FQL_AUDITING_CLIENT_TEMPLATE.FAT&amp;display_string=Audit&amp;VAR:KEY=LUBELUHMXI&amp;VAR:QUERY=RkZfRUJJVERBX0lCKCdMVE1TJywzOTI5OCk=&amp;WINDOW=FIRST_POPUP&amp;HEIGHT=450&amp;WIDTH=450&amp;START_MA","XIMIZED=FALSE&amp;VAR:CALENDAR=US&amp;VAR:SYMBOL=37183T10&amp;VAR:INDEX=0"}</definedName>
    <definedName name="_4587__FDSAUDITLINK__" hidden="1">{"fdsup://directions/FAT Viewer?action=UPDATE&amp;creator=factset&amp;DYN_ARGS=TRUE&amp;DOC_NAME=FAT:FQL_AUDITING_CLIENT_TEMPLATE.FAT&amp;display_string=Audit&amp;VAR:KEY=LUBELUHMXI&amp;VAR:QUERY=RkZfRUJJVERBX0lCKCdMVE1TJywzOTI5OCk=&amp;WINDOW=FIRST_POPUP&amp;HEIGHT=450&amp;WIDTH=450&amp;START_MA","XIMIZED=FALSE&amp;VAR:CALENDAR=US&amp;VAR:SYMBOL=37183T10&amp;VAR:INDEX=0"}</definedName>
    <definedName name="_4588__FDSAUDITLINK__" localSheetId="6" hidden="1">{"fdsup://directions/FAT Viewer?action=UPDATE&amp;creator=factset&amp;DYN_ARGS=TRUE&amp;DOC_NAME=FAT:FQL_AUDITING_CLIENT_TEMPLATE.FAT&amp;display_string=Audit&amp;VAR:KEY=BILSTUXAPK&amp;VAR:QUERY=RkZfRUJJVERBX0lCKCdMVE1TJywzOTI5Nyk=&amp;WINDOW=FIRST_POPUP&amp;HEIGHT=450&amp;WIDTH=450&amp;START_MA","XIMIZED=FALSE&amp;VAR:CALENDAR=US&amp;VAR:SYMBOL=37183T10&amp;VAR:INDEX=0"}</definedName>
    <definedName name="_4588__FDSAUDITLINK__" hidden="1">{"fdsup://directions/FAT Viewer?action=UPDATE&amp;creator=factset&amp;DYN_ARGS=TRUE&amp;DOC_NAME=FAT:FQL_AUDITING_CLIENT_TEMPLATE.FAT&amp;display_string=Audit&amp;VAR:KEY=BILSTUXAPK&amp;VAR:QUERY=RkZfRUJJVERBX0lCKCdMVE1TJywzOTI5Nyk=&amp;WINDOW=FIRST_POPUP&amp;HEIGHT=450&amp;WIDTH=450&amp;START_MA","XIMIZED=FALSE&amp;VAR:CALENDAR=US&amp;VAR:SYMBOL=37183T10&amp;VAR:INDEX=0"}</definedName>
    <definedName name="_4589__FDSAUDITLINK__" localSheetId="6" hidden="1">{"fdsup://directions/FAT Viewer?action=UPDATE&amp;creator=factset&amp;DYN_ARGS=TRUE&amp;DOC_NAME=FAT:FQL_AUDITING_CLIENT_TEMPLATE.FAT&amp;display_string=Audit&amp;VAR:KEY=LWLGRWRQTG&amp;VAR:QUERY=RkZfRUJJVERBX0lCKCdMVE1TJywzOTI5Nik=&amp;WINDOW=FIRST_POPUP&amp;HEIGHT=450&amp;WIDTH=450&amp;START_MA","XIMIZED=FALSE&amp;VAR:CALENDAR=US&amp;VAR:SYMBOL=37183T10&amp;VAR:INDEX=0"}</definedName>
    <definedName name="_4589__FDSAUDITLINK__" hidden="1">{"fdsup://directions/FAT Viewer?action=UPDATE&amp;creator=factset&amp;DYN_ARGS=TRUE&amp;DOC_NAME=FAT:FQL_AUDITING_CLIENT_TEMPLATE.FAT&amp;display_string=Audit&amp;VAR:KEY=LWLGRWRQTG&amp;VAR:QUERY=RkZfRUJJVERBX0lCKCdMVE1TJywzOTI5Nik=&amp;WINDOW=FIRST_POPUP&amp;HEIGHT=450&amp;WIDTH=450&amp;START_MA","XIMIZED=FALSE&amp;VAR:CALENDAR=US&amp;VAR:SYMBOL=37183T10&amp;VAR:INDEX=0"}</definedName>
    <definedName name="_459__FDSAUDITLINK__" localSheetId="6" hidden="1">{"fdsup://directions/FAT%20Viewer?VAR:PED=LTM&amp;VAR:AUDIT_MODE=SUMMARY&amp;VAR:PERIOD=FIXED&amp;VAR:AUDIT_ID=00000117&amp;VAR:DATE=20081119&amp;action=UPDATE&amp;creator=factset&amp;DOC_NAME=FAT:FMA_audit_SUMMARY.fat&amp;DISPLAY_STRING=Display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9__FDSAUDITLINK__" hidden="1">{"fdsup://directions/FAT%20Viewer?VAR:PED=LTM&amp;VAR:AUDIT_MODE=SUMMARY&amp;VAR:PERIOD=FIXED&amp;VAR:AUDIT_ID=00000117&amp;VAR:DATE=20081119&amp;action=UPDATE&amp;creator=factset&amp;DOC_NAME=FAT:FMA_audit_SUMMARY.fat&amp;DISPLAY_STRING=Display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590__FDSAUDITLINK__" localSheetId="6" hidden="1">{"fdsup://directions/FAT Viewer?action=UPDATE&amp;creator=factset&amp;DYN_ARGS=TRUE&amp;DOC_NAME=FAT:FQL_AUDITING_CLIENT_TEMPLATE.FAT&amp;display_string=Audit&amp;VAR:KEY=LYXKXMJURE&amp;VAR:QUERY=RkZfRUJJVERBX0lCKCdMVE1TJywzOTI5NSk=&amp;WINDOW=FIRST_POPUP&amp;HEIGHT=450&amp;WIDTH=450&amp;START_MA","XIMIZED=FALSE&amp;VAR:CALENDAR=US&amp;VAR:SYMBOL=37183T10&amp;VAR:INDEX=0"}</definedName>
    <definedName name="_4590__FDSAUDITLINK__" hidden="1">{"fdsup://directions/FAT Viewer?action=UPDATE&amp;creator=factset&amp;DYN_ARGS=TRUE&amp;DOC_NAME=FAT:FQL_AUDITING_CLIENT_TEMPLATE.FAT&amp;display_string=Audit&amp;VAR:KEY=LYXKXMJURE&amp;VAR:QUERY=RkZfRUJJVERBX0lCKCdMVE1TJywzOTI5NSk=&amp;WINDOW=FIRST_POPUP&amp;HEIGHT=450&amp;WIDTH=450&amp;START_MA","XIMIZED=FALSE&amp;VAR:CALENDAR=US&amp;VAR:SYMBOL=37183T10&amp;VAR:INDEX=0"}</definedName>
    <definedName name="_4591__FDSAUDITLINK__" localSheetId="6" hidden="1">{"fdsup://directions/FAT Viewer?action=UPDATE&amp;creator=factset&amp;DYN_ARGS=TRUE&amp;DOC_NAME=FAT:FQL_AUDITING_CLIENT_TEMPLATE.FAT&amp;display_string=Audit&amp;VAR:KEY=JIPKTCTYBS&amp;VAR:QUERY=RkZfRUJJVERBX0lCKCdMVE1TJywzOTI5NCk=&amp;WINDOW=FIRST_POPUP&amp;HEIGHT=450&amp;WIDTH=450&amp;START_MA","XIMIZED=FALSE&amp;VAR:CALENDAR=US&amp;VAR:SYMBOL=37183T10&amp;VAR:INDEX=0"}</definedName>
    <definedName name="_4591__FDSAUDITLINK__" hidden="1">{"fdsup://directions/FAT Viewer?action=UPDATE&amp;creator=factset&amp;DYN_ARGS=TRUE&amp;DOC_NAME=FAT:FQL_AUDITING_CLIENT_TEMPLATE.FAT&amp;display_string=Audit&amp;VAR:KEY=JIPKTCTYBS&amp;VAR:QUERY=RkZfRUJJVERBX0lCKCdMVE1TJywzOTI5NCk=&amp;WINDOW=FIRST_POPUP&amp;HEIGHT=450&amp;WIDTH=450&amp;START_MA","XIMIZED=FALSE&amp;VAR:CALENDAR=US&amp;VAR:SYMBOL=37183T10&amp;VAR:INDEX=0"}</definedName>
    <definedName name="_4592__FDSAUDITLINK__" localSheetId="6" hidden="1">{"fdsup://directions/FAT Viewer?action=UPDATE&amp;creator=factset&amp;DYN_ARGS=TRUE&amp;DOC_NAME=FAT:FQL_AUDITING_CLIENT_TEMPLATE.FAT&amp;display_string=Audit&amp;VAR:KEY=DSBOXAPKDG&amp;VAR:QUERY=RkZfRUJJVERBX0lCKCdMVE1TJywzOTI5Myk=&amp;WINDOW=FIRST_POPUP&amp;HEIGHT=450&amp;WIDTH=450&amp;START_MA","XIMIZED=FALSE&amp;VAR:CALENDAR=US&amp;VAR:SYMBOL=37183T10&amp;VAR:INDEX=0"}</definedName>
    <definedName name="_4592__FDSAUDITLINK__" hidden="1">{"fdsup://directions/FAT Viewer?action=UPDATE&amp;creator=factset&amp;DYN_ARGS=TRUE&amp;DOC_NAME=FAT:FQL_AUDITING_CLIENT_TEMPLATE.FAT&amp;display_string=Audit&amp;VAR:KEY=DSBOXAPKDG&amp;VAR:QUERY=RkZfRUJJVERBX0lCKCdMVE1TJywzOTI5Myk=&amp;WINDOW=FIRST_POPUP&amp;HEIGHT=450&amp;WIDTH=450&amp;START_MA","XIMIZED=FALSE&amp;VAR:CALENDAR=US&amp;VAR:SYMBOL=37183T10&amp;VAR:INDEX=0"}</definedName>
    <definedName name="_4593__FDSAUDITLINK__" localSheetId="6" hidden="1">{"fdsup://directions/FAT Viewer?action=UPDATE&amp;creator=factset&amp;DYN_ARGS=TRUE&amp;DOC_NAME=FAT:FQL_AUDITING_CLIENT_TEMPLATE.FAT&amp;display_string=Audit&amp;VAR:KEY=ZEXCTYPIXU&amp;VAR:QUERY=RkZfRUJJVERBX0lCKCdMVE1TJywzOTI5Mik=&amp;WINDOW=FIRST_POPUP&amp;HEIGHT=450&amp;WIDTH=450&amp;START_MA","XIMIZED=FALSE&amp;VAR:CALENDAR=US&amp;VAR:SYMBOL=37183T10&amp;VAR:INDEX=0"}</definedName>
    <definedName name="_4593__FDSAUDITLINK__" hidden="1">{"fdsup://directions/FAT Viewer?action=UPDATE&amp;creator=factset&amp;DYN_ARGS=TRUE&amp;DOC_NAME=FAT:FQL_AUDITING_CLIENT_TEMPLATE.FAT&amp;display_string=Audit&amp;VAR:KEY=ZEXCTYPIXU&amp;VAR:QUERY=RkZfRUJJVERBX0lCKCdMVE1TJywzOTI5Mik=&amp;WINDOW=FIRST_POPUP&amp;HEIGHT=450&amp;WIDTH=450&amp;START_MA","XIMIZED=FALSE&amp;VAR:CALENDAR=US&amp;VAR:SYMBOL=37183T10&amp;VAR:INDEX=0"}</definedName>
    <definedName name="_4594__FDSAUDITLINK__" localSheetId="6" hidden="1">{"fdsup://directions/FAT Viewer?action=UPDATE&amp;creator=factset&amp;DYN_ARGS=TRUE&amp;DOC_NAME=FAT:FQL_AUDITING_CLIENT_TEMPLATE.FAT&amp;display_string=Audit&amp;VAR:KEY=BIPMZMXADO&amp;VAR:QUERY=RkZfRUJJVERBX0lCKCdMVE1TJywzOTI5MSk=&amp;WINDOW=FIRST_POPUP&amp;HEIGHT=450&amp;WIDTH=450&amp;START_MA","XIMIZED=FALSE&amp;VAR:CALENDAR=US&amp;VAR:SYMBOL=37183T10&amp;VAR:INDEX=0"}</definedName>
    <definedName name="_4594__FDSAUDITLINK__" hidden="1">{"fdsup://directions/FAT Viewer?action=UPDATE&amp;creator=factset&amp;DYN_ARGS=TRUE&amp;DOC_NAME=FAT:FQL_AUDITING_CLIENT_TEMPLATE.FAT&amp;display_string=Audit&amp;VAR:KEY=BIPMZMXADO&amp;VAR:QUERY=RkZfRUJJVERBX0lCKCdMVE1TJywzOTI5MSk=&amp;WINDOW=FIRST_POPUP&amp;HEIGHT=450&amp;WIDTH=450&amp;START_MA","XIMIZED=FALSE&amp;VAR:CALENDAR=US&amp;VAR:SYMBOL=37183T10&amp;VAR:INDEX=0"}</definedName>
    <definedName name="_4595__FDSAUDITLINK__" localSheetId="6" hidden="1">{"fdsup://directions/FAT Viewer?action=UPDATE&amp;creator=factset&amp;DYN_ARGS=TRUE&amp;DOC_NAME=FAT:FQL_AUDITING_CLIENT_TEMPLATE.FAT&amp;display_string=Audit&amp;VAR:KEY=XKNADATMDY&amp;VAR:QUERY=RkZfRUJJVERBX0lCKCdMVE1TJywzOTI5MCk=&amp;WINDOW=FIRST_POPUP&amp;HEIGHT=450&amp;WIDTH=450&amp;START_MA","XIMIZED=FALSE&amp;VAR:CALENDAR=US&amp;VAR:SYMBOL=37183T10&amp;VAR:INDEX=0"}</definedName>
    <definedName name="_4595__FDSAUDITLINK__" hidden="1">{"fdsup://directions/FAT Viewer?action=UPDATE&amp;creator=factset&amp;DYN_ARGS=TRUE&amp;DOC_NAME=FAT:FQL_AUDITING_CLIENT_TEMPLATE.FAT&amp;display_string=Audit&amp;VAR:KEY=XKNADATMDY&amp;VAR:QUERY=RkZfRUJJVERBX0lCKCdMVE1TJywzOTI5MCk=&amp;WINDOW=FIRST_POPUP&amp;HEIGHT=450&amp;WIDTH=450&amp;START_MA","XIMIZED=FALSE&amp;VAR:CALENDAR=US&amp;VAR:SYMBOL=37183T10&amp;VAR:INDEX=0"}</definedName>
    <definedName name="_4596__FDSAUDITLINK__" localSheetId="6" hidden="1">{"fdsup://directions/FAT Viewer?action=UPDATE&amp;creator=factset&amp;DYN_ARGS=TRUE&amp;DOC_NAME=FAT:FQL_AUDITING_CLIENT_TEMPLATE.FAT&amp;display_string=Audit&amp;VAR:KEY=HKLYNMDAXK&amp;VAR:QUERY=RkZfRUJJVERBX0lCKCdMVE1TJywzOTI4OSk=&amp;WINDOW=FIRST_POPUP&amp;HEIGHT=450&amp;WIDTH=450&amp;START_MA","XIMIZED=FALSE&amp;VAR:CALENDAR=US&amp;VAR:SYMBOL=37183T10&amp;VAR:INDEX=0"}</definedName>
    <definedName name="_4596__FDSAUDITLINK__" hidden="1">{"fdsup://directions/FAT Viewer?action=UPDATE&amp;creator=factset&amp;DYN_ARGS=TRUE&amp;DOC_NAME=FAT:FQL_AUDITING_CLIENT_TEMPLATE.FAT&amp;display_string=Audit&amp;VAR:KEY=HKLYNMDAXK&amp;VAR:QUERY=RkZfRUJJVERBX0lCKCdMVE1TJywzOTI4OSk=&amp;WINDOW=FIRST_POPUP&amp;HEIGHT=450&amp;WIDTH=450&amp;START_MA","XIMIZED=FALSE&amp;VAR:CALENDAR=US&amp;VAR:SYMBOL=37183T10&amp;VAR:INDEX=0"}</definedName>
    <definedName name="_4597__FDSAUDITLINK__" localSheetId="6" hidden="1">{"fdsup://directions/FAT Viewer?action=UPDATE&amp;creator=factset&amp;DYN_ARGS=TRUE&amp;DOC_NAME=FAT:FQL_AUDITING_CLIENT_TEMPLATE.FAT&amp;display_string=Audit&amp;VAR:KEY=JSREJMVCLW&amp;VAR:QUERY=RkZfRUJJVERBX0lCKCdMVE1TJywzOTI4OCk=&amp;WINDOW=FIRST_POPUP&amp;HEIGHT=450&amp;WIDTH=450&amp;START_MA","XIMIZED=FALSE&amp;VAR:CALENDAR=US&amp;VAR:SYMBOL=37183T10&amp;VAR:INDEX=0"}</definedName>
    <definedName name="_4597__FDSAUDITLINK__" hidden="1">{"fdsup://directions/FAT Viewer?action=UPDATE&amp;creator=factset&amp;DYN_ARGS=TRUE&amp;DOC_NAME=FAT:FQL_AUDITING_CLIENT_TEMPLATE.FAT&amp;display_string=Audit&amp;VAR:KEY=JSREJMVCLW&amp;VAR:QUERY=RkZfRUJJVERBX0lCKCdMVE1TJywzOTI4OCk=&amp;WINDOW=FIRST_POPUP&amp;HEIGHT=450&amp;WIDTH=450&amp;START_MA","XIMIZED=FALSE&amp;VAR:CALENDAR=US&amp;VAR:SYMBOL=37183T10&amp;VAR:INDEX=0"}</definedName>
    <definedName name="_4598__FDSAUDITLINK__" localSheetId="6" hidden="1">{"fdsup://directions/FAT Viewer?action=UPDATE&amp;creator=factset&amp;DYN_ARGS=TRUE&amp;DOC_NAME=FAT:FQL_AUDITING_CLIENT_TEMPLATE.FAT&amp;display_string=Audit&amp;VAR:KEY=VADMLIBSLK&amp;VAR:QUERY=RkZfRUJJVERBX0lCKCdMVE1TJywzOTI4Nyk=&amp;WINDOW=FIRST_POPUP&amp;HEIGHT=450&amp;WIDTH=450&amp;START_MA","XIMIZED=FALSE&amp;VAR:CALENDAR=US&amp;VAR:SYMBOL=37183T10&amp;VAR:INDEX=0"}</definedName>
    <definedName name="_4598__FDSAUDITLINK__" hidden="1">{"fdsup://directions/FAT Viewer?action=UPDATE&amp;creator=factset&amp;DYN_ARGS=TRUE&amp;DOC_NAME=FAT:FQL_AUDITING_CLIENT_TEMPLATE.FAT&amp;display_string=Audit&amp;VAR:KEY=VADMLIBSLK&amp;VAR:QUERY=RkZfRUJJVERBX0lCKCdMVE1TJywzOTI4Nyk=&amp;WINDOW=FIRST_POPUP&amp;HEIGHT=450&amp;WIDTH=450&amp;START_MA","XIMIZED=FALSE&amp;VAR:CALENDAR=US&amp;VAR:SYMBOL=37183T10&amp;VAR:INDEX=0"}</definedName>
    <definedName name="_4599__FDSAUDITLINK__" localSheetId="6" hidden="1">{"fdsup://directions/FAT Viewer?action=UPDATE&amp;creator=factset&amp;DYN_ARGS=TRUE&amp;DOC_NAME=FAT:FQL_AUDITING_CLIENT_TEMPLATE.FAT&amp;display_string=Audit&amp;VAR:KEY=VGDUTQTEDE&amp;VAR:QUERY=RkZfRUJJVERBX0lCKCdMVE1TJywzOTI4Nik=&amp;WINDOW=FIRST_POPUP&amp;HEIGHT=450&amp;WIDTH=450&amp;START_MA","XIMIZED=FALSE&amp;VAR:CALENDAR=US&amp;VAR:SYMBOL=37183T10&amp;VAR:INDEX=0"}</definedName>
    <definedName name="_4599__FDSAUDITLINK__" hidden="1">{"fdsup://directions/FAT Viewer?action=UPDATE&amp;creator=factset&amp;DYN_ARGS=TRUE&amp;DOC_NAME=FAT:FQL_AUDITING_CLIENT_TEMPLATE.FAT&amp;display_string=Audit&amp;VAR:KEY=VGDUTQTEDE&amp;VAR:QUERY=RkZfRUJJVERBX0lCKCdMVE1TJywzOTI4Nik=&amp;WINDOW=FIRST_POPUP&amp;HEIGHT=450&amp;WIDTH=450&amp;START_MA","XIMIZED=FALSE&amp;VAR:CALENDAR=US&amp;VAR:SYMBOL=37183T10&amp;VAR:INDEX=0"}</definedName>
    <definedName name="_46__FDSAUDITLINK__" localSheetId="6" hidden="1">{"fdsup://directions/FAT Viewer?action=UPDATE&amp;creator=factset&amp;DYN_ARGS=TRUE&amp;DOC_NAME=FAT:FQL_AUDITING_CLIENT_TEMPLATE.FAT&amp;display_string=Audit&amp;VAR:KEY=JKTGJATCNC&amp;VAR:QUERY=QVZHKENTRl9ORVRfSU5DKEFOTiwwRlksLTZGWSxZKSkgLyAoQVZHKENTRl9BU1NFVFMoQU5OLDBGWSwtNkZZL","EZZKSkgLSBBVkcoQ1NGX0lOVEFORyhBTk4sMCwtNkZZLEZZKSkp&amp;WINDOW=FIRST_POPUP&amp;HEIGHT=450&amp;WIDTH=450&amp;START_MAXIMIZED=FALSE&amp;VAR:CALENDAR=US&amp;VAR:SYMBOL=MRTN"}</definedName>
    <definedName name="_46__FDSAUDITLINK__" hidden="1">{"fdsup://directions/FAT Viewer?action=UPDATE&amp;creator=factset&amp;DYN_ARGS=TRUE&amp;DOC_NAME=FAT:FQL_AUDITING_CLIENT_TEMPLATE.FAT&amp;display_string=Audit&amp;VAR:KEY=JKTGJATCNC&amp;VAR:QUERY=QVZHKENTRl9ORVRfSU5DKEFOTiwwRlksLTZGWSxZKSkgLyAoQVZHKENTRl9BU1NFVFMoQU5OLDBGWSwtNkZZL","EZZKSkgLSBBVkcoQ1NGX0lOVEFORyhBTk4sMCwtNkZZLEZZKSkp&amp;WINDOW=FIRST_POPUP&amp;HEIGHT=450&amp;WIDTH=450&amp;START_MAXIMIZED=FALSE&amp;VAR:CALENDAR=US&amp;VAR:SYMBOL=MRTN"}</definedName>
    <definedName name="_460__FDSAUDITLINK__" localSheetId="6" hidden="1">{"fdsup://directions/FAT%20Viewer?VAR:PED=LTM&amp;VAR:AUDIT_MODE=SUMMARY&amp;VAR:PERIOD=FIXED&amp;VAR:AUDIT_ID=00000117&amp;VAR:DATE=20081118&amp;action=UPDATE&amp;creator=factset&amp;DOC_NAME=FAT:FMA_audit_SUMMARY.fat&amp;DISPLAY_STRING=Display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0__FDSAUDITLINK__" hidden="1">{"fdsup://directions/FAT%20Viewer?VAR:PED=LTM&amp;VAR:AUDIT_MODE=SUMMARY&amp;VAR:PERIOD=FIXED&amp;VAR:AUDIT_ID=00000117&amp;VAR:DATE=20081118&amp;action=UPDATE&amp;creator=factset&amp;DOC_NAME=FAT:FMA_audit_SUMMARY.fat&amp;DISPLAY_STRING=Display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00__FDSAUDITLINK__" localSheetId="6" hidden="1">{"fdsup://directions/FAT Viewer?action=UPDATE&amp;creator=factset&amp;DYN_ARGS=TRUE&amp;DOC_NAME=FAT:FQL_AUDITING_CLIENT_TEMPLATE.FAT&amp;display_string=Audit&amp;VAR:KEY=XETQXSVAFQ&amp;VAR:QUERY=RkZfRUJJVERBX0lCKCdMVE1TJywzOTI4NSk=&amp;WINDOW=FIRST_POPUP&amp;HEIGHT=450&amp;WIDTH=450&amp;START_MA","XIMIZED=FALSE&amp;VAR:CALENDAR=US&amp;VAR:SYMBOL=37183T10&amp;VAR:INDEX=0"}</definedName>
    <definedName name="_4600__FDSAUDITLINK__" hidden="1">{"fdsup://directions/FAT Viewer?action=UPDATE&amp;creator=factset&amp;DYN_ARGS=TRUE&amp;DOC_NAME=FAT:FQL_AUDITING_CLIENT_TEMPLATE.FAT&amp;display_string=Audit&amp;VAR:KEY=XETQXSVAFQ&amp;VAR:QUERY=RkZfRUJJVERBX0lCKCdMVE1TJywzOTI4NSk=&amp;WINDOW=FIRST_POPUP&amp;HEIGHT=450&amp;WIDTH=450&amp;START_MA","XIMIZED=FALSE&amp;VAR:CALENDAR=US&amp;VAR:SYMBOL=37183T10&amp;VAR:INDEX=0"}</definedName>
    <definedName name="_4601__FDSAUDITLINK__" localSheetId="6" hidden="1">{"fdsup://directions/FAT Viewer?action=UPDATE&amp;creator=factset&amp;DYN_ARGS=TRUE&amp;DOC_NAME=FAT:FQL_AUDITING_CLIENT_TEMPLATE.FAT&amp;display_string=Audit&amp;VAR:KEY=PSXEJSHMNM&amp;VAR:QUERY=RkZfRUJJVERBX0lCKCdMVE1TJywzOTI4NCk=&amp;WINDOW=FIRST_POPUP&amp;HEIGHT=450&amp;WIDTH=450&amp;START_MA","XIMIZED=FALSE&amp;VAR:CALENDAR=US&amp;VAR:SYMBOL=37183T10&amp;VAR:INDEX=0"}</definedName>
    <definedName name="_4601__FDSAUDITLINK__" hidden="1">{"fdsup://directions/FAT Viewer?action=UPDATE&amp;creator=factset&amp;DYN_ARGS=TRUE&amp;DOC_NAME=FAT:FQL_AUDITING_CLIENT_TEMPLATE.FAT&amp;display_string=Audit&amp;VAR:KEY=PSXEJSHMNM&amp;VAR:QUERY=RkZfRUJJVERBX0lCKCdMVE1TJywzOTI4NCk=&amp;WINDOW=FIRST_POPUP&amp;HEIGHT=450&amp;WIDTH=450&amp;START_MA","XIMIZED=FALSE&amp;VAR:CALENDAR=US&amp;VAR:SYMBOL=37183T10&amp;VAR:INDEX=0"}</definedName>
    <definedName name="_4602__FDSAUDITLINK__" localSheetId="6" hidden="1">{"fdsup://directions/FAT Viewer?action=UPDATE&amp;creator=factset&amp;DYN_ARGS=TRUE&amp;DOC_NAME=FAT:FQL_AUDITING_CLIENT_TEMPLATE.FAT&amp;display_string=Audit&amp;VAR:KEY=FGXOZAXQDW&amp;VAR:QUERY=RkZfRUJJVERBX0lCKCdMVE1TJywzOTI4Myk=&amp;WINDOW=FIRST_POPUP&amp;HEIGHT=450&amp;WIDTH=450&amp;START_MA","XIMIZED=FALSE&amp;VAR:CALENDAR=US&amp;VAR:SYMBOL=37183T10&amp;VAR:INDEX=0"}</definedName>
    <definedName name="_4602__FDSAUDITLINK__" hidden="1">{"fdsup://directions/FAT Viewer?action=UPDATE&amp;creator=factset&amp;DYN_ARGS=TRUE&amp;DOC_NAME=FAT:FQL_AUDITING_CLIENT_TEMPLATE.FAT&amp;display_string=Audit&amp;VAR:KEY=FGXOZAXQDW&amp;VAR:QUERY=RkZfRUJJVERBX0lCKCdMVE1TJywzOTI4Myk=&amp;WINDOW=FIRST_POPUP&amp;HEIGHT=450&amp;WIDTH=450&amp;START_MA","XIMIZED=FALSE&amp;VAR:CALENDAR=US&amp;VAR:SYMBOL=37183T10&amp;VAR:INDEX=0"}</definedName>
    <definedName name="_4603__FDSAUDITLINK__" localSheetId="6" hidden="1">{"fdsup://directions/FAT Viewer?action=UPDATE&amp;creator=factset&amp;DYN_ARGS=TRUE&amp;DOC_NAME=FAT:FQL_AUDITING_CLIENT_TEMPLATE.FAT&amp;display_string=Audit&amp;VAR:KEY=RAXITYXQFW&amp;VAR:QUERY=RkZfRUJJVERBX0lCKCdMVE1TJywzOTI4Mik=&amp;WINDOW=FIRST_POPUP&amp;HEIGHT=450&amp;WIDTH=450&amp;START_MA","XIMIZED=FALSE&amp;VAR:CALENDAR=US&amp;VAR:SYMBOL=37183T10&amp;VAR:INDEX=0"}</definedName>
    <definedName name="_4603__FDSAUDITLINK__" hidden="1">{"fdsup://directions/FAT Viewer?action=UPDATE&amp;creator=factset&amp;DYN_ARGS=TRUE&amp;DOC_NAME=FAT:FQL_AUDITING_CLIENT_TEMPLATE.FAT&amp;display_string=Audit&amp;VAR:KEY=RAXITYXQFW&amp;VAR:QUERY=RkZfRUJJVERBX0lCKCdMVE1TJywzOTI4Mik=&amp;WINDOW=FIRST_POPUP&amp;HEIGHT=450&amp;WIDTH=450&amp;START_MA","XIMIZED=FALSE&amp;VAR:CALENDAR=US&amp;VAR:SYMBOL=37183T10&amp;VAR:INDEX=0"}</definedName>
    <definedName name="_4604__FDSAUDITLINK__" localSheetId="6" hidden="1">{"fdsup://directions/FAT Viewer?action=UPDATE&amp;creator=factset&amp;DYN_ARGS=TRUE&amp;DOC_NAME=FAT:FQL_AUDITING_CLIENT_TEMPLATE.FAT&amp;display_string=Audit&amp;VAR:KEY=LSNCLMFYZW&amp;VAR:QUERY=RkZfRUJJVERBX0lCKCdMVE1TJywzOTI4MSk=&amp;WINDOW=FIRST_POPUP&amp;HEIGHT=450&amp;WIDTH=450&amp;START_MA","XIMIZED=FALSE&amp;VAR:CALENDAR=US&amp;VAR:SYMBOL=37183T10&amp;VAR:INDEX=0"}</definedName>
    <definedName name="_4604__FDSAUDITLINK__" hidden="1">{"fdsup://directions/FAT Viewer?action=UPDATE&amp;creator=factset&amp;DYN_ARGS=TRUE&amp;DOC_NAME=FAT:FQL_AUDITING_CLIENT_TEMPLATE.FAT&amp;display_string=Audit&amp;VAR:KEY=LSNCLMFYZW&amp;VAR:QUERY=RkZfRUJJVERBX0lCKCdMVE1TJywzOTI4MSk=&amp;WINDOW=FIRST_POPUP&amp;HEIGHT=450&amp;WIDTH=450&amp;START_MA","XIMIZED=FALSE&amp;VAR:CALENDAR=US&amp;VAR:SYMBOL=37183T10&amp;VAR:INDEX=0"}</definedName>
    <definedName name="_4605__FDSAUDITLINK__" localSheetId="6" hidden="1">{"fdsup://directions/FAT Viewer?action=UPDATE&amp;creator=factset&amp;DYN_ARGS=TRUE&amp;DOC_NAME=FAT:FQL_AUDITING_CLIENT_TEMPLATE.FAT&amp;display_string=Audit&amp;VAR:KEY=HCPETCZYTM&amp;VAR:QUERY=RkZfRUJJVERBX0lCKCdMVE1TJywzOTI4MCk=&amp;WINDOW=FIRST_POPUP&amp;HEIGHT=450&amp;WIDTH=450&amp;START_MA","XIMIZED=FALSE&amp;VAR:CALENDAR=US&amp;VAR:SYMBOL=37183T10&amp;VAR:INDEX=0"}</definedName>
    <definedName name="_4605__FDSAUDITLINK__" hidden="1">{"fdsup://directions/FAT Viewer?action=UPDATE&amp;creator=factset&amp;DYN_ARGS=TRUE&amp;DOC_NAME=FAT:FQL_AUDITING_CLIENT_TEMPLATE.FAT&amp;display_string=Audit&amp;VAR:KEY=HCPETCZYTM&amp;VAR:QUERY=RkZfRUJJVERBX0lCKCdMVE1TJywzOTI4MCk=&amp;WINDOW=FIRST_POPUP&amp;HEIGHT=450&amp;WIDTH=450&amp;START_MA","XIMIZED=FALSE&amp;VAR:CALENDAR=US&amp;VAR:SYMBOL=37183T10&amp;VAR:INDEX=0"}</definedName>
    <definedName name="_4606__FDSAUDITLINK__" localSheetId="6" hidden="1">{"fdsup://directions/FAT Viewer?action=UPDATE&amp;creator=factset&amp;DYN_ARGS=TRUE&amp;DOC_NAME=FAT:FQL_AUDITING_CLIENT_TEMPLATE.FAT&amp;display_string=Audit&amp;VAR:KEY=NAZGXSXGXC&amp;VAR:QUERY=RkZfRUJJVERBX0lCKCdMVE1TJywzOTI3OSk=&amp;WINDOW=FIRST_POPUP&amp;HEIGHT=450&amp;WIDTH=450&amp;START_MA","XIMIZED=FALSE&amp;VAR:CALENDAR=US&amp;VAR:SYMBOL=37183T10&amp;VAR:INDEX=0"}</definedName>
    <definedName name="_4606__FDSAUDITLINK__" hidden="1">{"fdsup://directions/FAT Viewer?action=UPDATE&amp;creator=factset&amp;DYN_ARGS=TRUE&amp;DOC_NAME=FAT:FQL_AUDITING_CLIENT_TEMPLATE.FAT&amp;display_string=Audit&amp;VAR:KEY=NAZGXSXGXC&amp;VAR:QUERY=RkZfRUJJVERBX0lCKCdMVE1TJywzOTI3OSk=&amp;WINDOW=FIRST_POPUP&amp;HEIGHT=450&amp;WIDTH=450&amp;START_MA","XIMIZED=FALSE&amp;VAR:CALENDAR=US&amp;VAR:SYMBOL=37183T10&amp;VAR:INDEX=0"}</definedName>
    <definedName name="_4607__FDSAUDITLINK__" localSheetId="6" hidden="1">{"fdsup://directions/FAT Viewer?action=UPDATE&amp;creator=factset&amp;DYN_ARGS=TRUE&amp;DOC_NAME=FAT:FQL_AUDITING_CLIENT_TEMPLATE.FAT&amp;display_string=Audit&amp;VAR:KEY=ZETGZMHOXU&amp;VAR:QUERY=RkZfRUJJVERBX0lCKCdMVE1TJywzOTI3OCk=&amp;WINDOW=FIRST_POPUP&amp;HEIGHT=450&amp;WIDTH=450&amp;START_MA","XIMIZED=FALSE&amp;VAR:CALENDAR=US&amp;VAR:SYMBOL=37183T10&amp;VAR:INDEX=0"}</definedName>
    <definedName name="_4607__FDSAUDITLINK__" hidden="1">{"fdsup://directions/FAT Viewer?action=UPDATE&amp;creator=factset&amp;DYN_ARGS=TRUE&amp;DOC_NAME=FAT:FQL_AUDITING_CLIENT_TEMPLATE.FAT&amp;display_string=Audit&amp;VAR:KEY=ZETGZMHOXU&amp;VAR:QUERY=RkZfRUJJVERBX0lCKCdMVE1TJywzOTI3OCk=&amp;WINDOW=FIRST_POPUP&amp;HEIGHT=450&amp;WIDTH=450&amp;START_MA","XIMIZED=FALSE&amp;VAR:CALENDAR=US&amp;VAR:SYMBOL=37183T10&amp;VAR:INDEX=0"}</definedName>
    <definedName name="_4608__FDSAUDITLINK__" localSheetId="6" hidden="1">{"fdsup://directions/FAT Viewer?action=UPDATE&amp;creator=factset&amp;DYN_ARGS=TRUE&amp;DOC_NAME=FAT:FQL_AUDITING_CLIENT_TEMPLATE.FAT&amp;display_string=Audit&amp;VAR:KEY=NIZKJITGRA&amp;VAR:QUERY=RkZfRUJJVERBX0lCKCdMVE1TJywzOTI3Nyk=&amp;WINDOW=FIRST_POPUP&amp;HEIGHT=450&amp;WIDTH=450&amp;START_MA","XIMIZED=FALSE&amp;VAR:CALENDAR=US&amp;VAR:SYMBOL=37183T10&amp;VAR:INDEX=0"}</definedName>
    <definedName name="_4608__FDSAUDITLINK__" hidden="1">{"fdsup://directions/FAT Viewer?action=UPDATE&amp;creator=factset&amp;DYN_ARGS=TRUE&amp;DOC_NAME=FAT:FQL_AUDITING_CLIENT_TEMPLATE.FAT&amp;display_string=Audit&amp;VAR:KEY=NIZKJITGRA&amp;VAR:QUERY=RkZfRUJJVERBX0lCKCdMVE1TJywzOTI3Nyk=&amp;WINDOW=FIRST_POPUP&amp;HEIGHT=450&amp;WIDTH=450&amp;START_MA","XIMIZED=FALSE&amp;VAR:CALENDAR=US&amp;VAR:SYMBOL=37183T10&amp;VAR:INDEX=0"}</definedName>
    <definedName name="_4609__FDSAUDITLINK__" localSheetId="6" hidden="1">{"fdsup://directions/FAT Viewer?action=UPDATE&amp;creator=factset&amp;DYN_ARGS=TRUE&amp;DOC_NAME=FAT:FQL_AUDITING_CLIENT_TEMPLATE.FAT&amp;display_string=Audit&amp;VAR:KEY=NQBCLYVYLS&amp;VAR:QUERY=RkZfRUJJVERBX0lCKCdMVE1TJywzOTI3Nik=&amp;WINDOW=FIRST_POPUP&amp;HEIGHT=450&amp;WIDTH=450&amp;START_MA","XIMIZED=FALSE&amp;VAR:CALENDAR=US&amp;VAR:SYMBOL=37183T10&amp;VAR:INDEX=0"}</definedName>
    <definedName name="_4609__FDSAUDITLINK__" hidden="1">{"fdsup://directions/FAT Viewer?action=UPDATE&amp;creator=factset&amp;DYN_ARGS=TRUE&amp;DOC_NAME=FAT:FQL_AUDITING_CLIENT_TEMPLATE.FAT&amp;display_string=Audit&amp;VAR:KEY=NQBCLYVYLS&amp;VAR:QUERY=RkZfRUJJVERBX0lCKCdMVE1TJywzOTI3Nik=&amp;WINDOW=FIRST_POPUP&amp;HEIGHT=450&amp;WIDTH=450&amp;START_MA","XIMIZED=FALSE&amp;VAR:CALENDAR=US&amp;VAR:SYMBOL=37183T10&amp;VAR:INDEX=0"}</definedName>
    <definedName name="_461__FDSAUDITLINK__" localSheetId="6" hidden="1">{"fdsup://directions/FAT%20Viewer?VAR:PED=LTM&amp;VAR:AUDIT_MODE=SUMMARY&amp;VAR:PERIOD=FIXED&amp;VAR:AUDIT_ID=00000117&amp;VAR:DATE=20081117&amp;action=UPDATE&amp;creator=factset&amp;DOC_NAME=FAT:FMA_audit_SUMMARY.fat&amp;DISPLAY_STRING=Display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1__FDSAUDITLINK__" hidden="1">{"fdsup://directions/FAT%20Viewer?VAR:PED=LTM&amp;VAR:AUDIT_MODE=SUMMARY&amp;VAR:PERIOD=FIXED&amp;VAR:AUDIT_ID=00000117&amp;VAR:DATE=20081117&amp;action=UPDATE&amp;creator=factset&amp;DOC_NAME=FAT:FMA_audit_SUMMARY.fat&amp;DISPLAY_STRING=Display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10__FDSAUDITLINK__" localSheetId="6" hidden="1">{"fdsup://directions/FAT Viewer?action=UPDATE&amp;creator=factset&amp;DYN_ARGS=TRUE&amp;DOC_NAME=FAT:FQL_AUDITING_CLIENT_TEMPLATE.FAT&amp;display_string=Audit&amp;VAR:KEY=VAHGRCRAZA&amp;VAR:QUERY=RkZfRUJJVERBX0lCKCdMVE1TJywzOTI3NSk=&amp;WINDOW=FIRST_POPUP&amp;HEIGHT=450&amp;WIDTH=450&amp;START_MA","XIMIZED=FALSE&amp;VAR:CALENDAR=US&amp;VAR:SYMBOL=37183T10&amp;VAR:INDEX=0"}</definedName>
    <definedName name="_4610__FDSAUDITLINK__" hidden="1">{"fdsup://directions/FAT Viewer?action=UPDATE&amp;creator=factset&amp;DYN_ARGS=TRUE&amp;DOC_NAME=FAT:FQL_AUDITING_CLIENT_TEMPLATE.FAT&amp;display_string=Audit&amp;VAR:KEY=VAHGRCRAZA&amp;VAR:QUERY=RkZfRUJJVERBX0lCKCdMVE1TJywzOTI3NSk=&amp;WINDOW=FIRST_POPUP&amp;HEIGHT=450&amp;WIDTH=450&amp;START_MA","XIMIZED=FALSE&amp;VAR:CALENDAR=US&amp;VAR:SYMBOL=37183T10&amp;VAR:INDEX=0"}</definedName>
    <definedName name="_4611__FDSAUDITLINK__" localSheetId="6" hidden="1">{"fdsup://directions/FAT Viewer?action=UPDATE&amp;creator=factset&amp;DYN_ARGS=TRUE&amp;DOC_NAME=FAT:FQL_AUDITING_CLIENT_TEMPLATE.FAT&amp;display_string=Audit&amp;VAR:KEY=TWZMZCJQBO&amp;VAR:QUERY=RkZfRUJJVERBX0lCKCdMVE1TJywzOTI3NCk=&amp;WINDOW=FIRST_POPUP&amp;HEIGHT=450&amp;WIDTH=450&amp;START_MA","XIMIZED=FALSE&amp;VAR:CALENDAR=US&amp;VAR:SYMBOL=37183T10&amp;VAR:INDEX=0"}</definedName>
    <definedName name="_4611__FDSAUDITLINK__" hidden="1">{"fdsup://directions/FAT Viewer?action=UPDATE&amp;creator=factset&amp;DYN_ARGS=TRUE&amp;DOC_NAME=FAT:FQL_AUDITING_CLIENT_TEMPLATE.FAT&amp;display_string=Audit&amp;VAR:KEY=TWZMZCJQBO&amp;VAR:QUERY=RkZfRUJJVERBX0lCKCdMVE1TJywzOTI3NCk=&amp;WINDOW=FIRST_POPUP&amp;HEIGHT=450&amp;WIDTH=450&amp;START_MA","XIMIZED=FALSE&amp;VAR:CALENDAR=US&amp;VAR:SYMBOL=37183T10&amp;VAR:INDEX=0"}</definedName>
    <definedName name="_4612__FDSAUDITLINK__" localSheetId="6" hidden="1">{"fdsup://directions/FAT Viewer?action=UPDATE&amp;creator=factset&amp;DYN_ARGS=TRUE&amp;DOC_NAME=FAT:FQL_AUDITING_CLIENT_TEMPLATE.FAT&amp;display_string=Audit&amp;VAR:KEY=LCDYPGNEDO&amp;VAR:QUERY=RkZfRUJJVERBX0lCKCdMVE1TJywzOTI3Myk=&amp;WINDOW=FIRST_POPUP&amp;HEIGHT=450&amp;WIDTH=450&amp;START_MA","XIMIZED=FALSE&amp;VAR:CALENDAR=US&amp;VAR:SYMBOL=37183T10&amp;VAR:INDEX=0"}</definedName>
    <definedName name="_4612__FDSAUDITLINK__" hidden="1">{"fdsup://directions/FAT Viewer?action=UPDATE&amp;creator=factset&amp;DYN_ARGS=TRUE&amp;DOC_NAME=FAT:FQL_AUDITING_CLIENT_TEMPLATE.FAT&amp;display_string=Audit&amp;VAR:KEY=LCDYPGNEDO&amp;VAR:QUERY=RkZfRUJJVERBX0lCKCdMVE1TJywzOTI3Myk=&amp;WINDOW=FIRST_POPUP&amp;HEIGHT=450&amp;WIDTH=450&amp;START_MA","XIMIZED=FALSE&amp;VAR:CALENDAR=US&amp;VAR:SYMBOL=37183T10&amp;VAR:INDEX=0"}</definedName>
    <definedName name="_4613__FDSAUDITLINK__" localSheetId="6" hidden="1">{"fdsup://directions/FAT Viewer?action=UPDATE&amp;creator=factset&amp;DYN_ARGS=TRUE&amp;DOC_NAME=FAT:FQL_AUDITING_CLIENT_TEMPLATE.FAT&amp;display_string=Audit&amp;VAR:KEY=RAHSNUXETA&amp;VAR:QUERY=RkZfRUJJVERBX0lCKCdMVE1TJywzOTI3Mik=&amp;WINDOW=FIRST_POPUP&amp;HEIGHT=450&amp;WIDTH=450&amp;START_MA","XIMIZED=FALSE&amp;VAR:CALENDAR=US&amp;VAR:SYMBOL=37183T10&amp;VAR:INDEX=0"}</definedName>
    <definedName name="_4613__FDSAUDITLINK__" hidden="1">{"fdsup://directions/FAT Viewer?action=UPDATE&amp;creator=factset&amp;DYN_ARGS=TRUE&amp;DOC_NAME=FAT:FQL_AUDITING_CLIENT_TEMPLATE.FAT&amp;display_string=Audit&amp;VAR:KEY=RAHSNUXETA&amp;VAR:QUERY=RkZfRUJJVERBX0lCKCdMVE1TJywzOTI3Mik=&amp;WINDOW=FIRST_POPUP&amp;HEIGHT=450&amp;WIDTH=450&amp;START_MA","XIMIZED=FALSE&amp;VAR:CALENDAR=US&amp;VAR:SYMBOL=37183T10&amp;VAR:INDEX=0"}</definedName>
    <definedName name="_4614__FDSAUDITLINK__" localSheetId="6" hidden="1">{"fdsup://directions/FAT Viewer?action=UPDATE&amp;creator=factset&amp;DYN_ARGS=TRUE&amp;DOC_NAME=FAT:FQL_AUDITING_CLIENT_TEMPLATE.FAT&amp;display_string=Audit&amp;VAR:KEY=DERUPMJQLG&amp;VAR:QUERY=RkZfRUJJVERBX0lCKCdMVE1TJywzOTI3MSk=&amp;WINDOW=FIRST_POPUP&amp;HEIGHT=450&amp;WIDTH=450&amp;START_MA","XIMIZED=FALSE&amp;VAR:CALENDAR=US&amp;VAR:SYMBOL=37183T10&amp;VAR:INDEX=0"}</definedName>
    <definedName name="_4614__FDSAUDITLINK__" hidden="1">{"fdsup://directions/FAT Viewer?action=UPDATE&amp;creator=factset&amp;DYN_ARGS=TRUE&amp;DOC_NAME=FAT:FQL_AUDITING_CLIENT_TEMPLATE.FAT&amp;display_string=Audit&amp;VAR:KEY=DERUPMJQLG&amp;VAR:QUERY=RkZfRUJJVERBX0lCKCdMVE1TJywzOTI3MSk=&amp;WINDOW=FIRST_POPUP&amp;HEIGHT=450&amp;WIDTH=450&amp;START_MA","XIMIZED=FALSE&amp;VAR:CALENDAR=US&amp;VAR:SYMBOL=37183T10&amp;VAR:INDEX=0"}</definedName>
    <definedName name="_4615__FDSAUDITLINK__" localSheetId="6" hidden="1">{"fdsup://directions/FAT Viewer?action=UPDATE&amp;creator=factset&amp;DYN_ARGS=TRUE&amp;DOC_NAME=FAT:FQL_AUDITING_CLIENT_TEMPLATE.FAT&amp;display_string=Audit&amp;VAR:KEY=ZSHQPGPIDE&amp;VAR:QUERY=RkZfRUJJVERBX0lCKCdMVE1TJywzOTI3MCk=&amp;WINDOW=FIRST_POPUP&amp;HEIGHT=450&amp;WIDTH=450&amp;START_MA","XIMIZED=FALSE&amp;VAR:CALENDAR=US&amp;VAR:SYMBOL=37183T10&amp;VAR:INDEX=0"}</definedName>
    <definedName name="_4615__FDSAUDITLINK__" hidden="1">{"fdsup://directions/FAT Viewer?action=UPDATE&amp;creator=factset&amp;DYN_ARGS=TRUE&amp;DOC_NAME=FAT:FQL_AUDITING_CLIENT_TEMPLATE.FAT&amp;display_string=Audit&amp;VAR:KEY=ZSHQPGPIDE&amp;VAR:QUERY=RkZfRUJJVERBX0lCKCdMVE1TJywzOTI3MCk=&amp;WINDOW=FIRST_POPUP&amp;HEIGHT=450&amp;WIDTH=450&amp;START_MA","XIMIZED=FALSE&amp;VAR:CALENDAR=US&amp;VAR:SYMBOL=37183T10&amp;VAR:INDEX=0"}</definedName>
    <definedName name="_4616__FDSAUDITLINK__" localSheetId="6" hidden="1">{"fdsup://directions/FAT Viewer?action=UPDATE&amp;creator=factset&amp;DYN_ARGS=TRUE&amp;DOC_NAME=FAT:FQL_AUDITING_CLIENT_TEMPLATE.FAT&amp;display_string=Audit&amp;VAR:KEY=NWHWLWJAVQ&amp;VAR:QUERY=RkZfRUJJVERBX0lCKCdMVE1TJywzOTI2OSk=&amp;WINDOW=FIRST_POPUP&amp;HEIGHT=450&amp;WIDTH=450&amp;START_MA","XIMIZED=FALSE&amp;VAR:CALENDAR=US&amp;VAR:SYMBOL=37183T10&amp;VAR:INDEX=0"}</definedName>
    <definedName name="_4616__FDSAUDITLINK__" hidden="1">{"fdsup://directions/FAT Viewer?action=UPDATE&amp;creator=factset&amp;DYN_ARGS=TRUE&amp;DOC_NAME=FAT:FQL_AUDITING_CLIENT_TEMPLATE.FAT&amp;display_string=Audit&amp;VAR:KEY=NWHWLWJAVQ&amp;VAR:QUERY=RkZfRUJJVERBX0lCKCdMVE1TJywzOTI2OSk=&amp;WINDOW=FIRST_POPUP&amp;HEIGHT=450&amp;WIDTH=450&amp;START_MA","XIMIZED=FALSE&amp;VAR:CALENDAR=US&amp;VAR:SYMBOL=37183T10&amp;VAR:INDEX=0"}</definedName>
    <definedName name="_4617__FDSAUDITLINK__" localSheetId="6" hidden="1">{"fdsup://directions/FAT Viewer?action=UPDATE&amp;creator=factset&amp;DYN_ARGS=TRUE&amp;DOC_NAME=FAT:FQL_AUDITING_CLIENT_TEMPLATE.FAT&amp;display_string=Audit&amp;VAR:KEY=DCBCTGTEVA&amp;VAR:QUERY=RkZfRUJJVERBX0lCKCdMVE1TJywzOTI2OCk=&amp;WINDOW=FIRST_POPUP&amp;HEIGHT=450&amp;WIDTH=450&amp;START_MA","XIMIZED=FALSE&amp;VAR:CALENDAR=US&amp;VAR:SYMBOL=37183T10&amp;VAR:INDEX=0"}</definedName>
    <definedName name="_4617__FDSAUDITLINK__" hidden="1">{"fdsup://directions/FAT Viewer?action=UPDATE&amp;creator=factset&amp;DYN_ARGS=TRUE&amp;DOC_NAME=FAT:FQL_AUDITING_CLIENT_TEMPLATE.FAT&amp;display_string=Audit&amp;VAR:KEY=DCBCTGTEVA&amp;VAR:QUERY=RkZfRUJJVERBX0lCKCdMVE1TJywzOTI2OCk=&amp;WINDOW=FIRST_POPUP&amp;HEIGHT=450&amp;WIDTH=450&amp;START_MA","XIMIZED=FALSE&amp;VAR:CALENDAR=US&amp;VAR:SYMBOL=37183T10&amp;VAR:INDEX=0"}</definedName>
    <definedName name="_4618__FDSAUDITLINK__" localSheetId="6" hidden="1">{"fdsup://directions/FAT Viewer?action=UPDATE&amp;creator=factset&amp;DYN_ARGS=TRUE&amp;DOC_NAME=FAT:FQL_AUDITING_CLIENT_TEMPLATE.FAT&amp;display_string=Audit&amp;VAR:KEY=BQRIXCNIPI&amp;VAR:QUERY=RkZfRUJJVERBX0lCKCdMVE1TJywzOTI2Nyk=&amp;WINDOW=FIRST_POPUP&amp;HEIGHT=450&amp;WIDTH=450&amp;START_MA","XIMIZED=FALSE&amp;VAR:CALENDAR=US&amp;VAR:SYMBOL=37183T10&amp;VAR:INDEX=0"}</definedName>
    <definedName name="_4618__FDSAUDITLINK__" hidden="1">{"fdsup://directions/FAT Viewer?action=UPDATE&amp;creator=factset&amp;DYN_ARGS=TRUE&amp;DOC_NAME=FAT:FQL_AUDITING_CLIENT_TEMPLATE.FAT&amp;display_string=Audit&amp;VAR:KEY=BQRIXCNIPI&amp;VAR:QUERY=RkZfRUJJVERBX0lCKCdMVE1TJywzOTI2Nyk=&amp;WINDOW=FIRST_POPUP&amp;HEIGHT=450&amp;WIDTH=450&amp;START_MA","XIMIZED=FALSE&amp;VAR:CALENDAR=US&amp;VAR:SYMBOL=37183T10&amp;VAR:INDEX=0"}</definedName>
    <definedName name="_4619__FDSAUDITLINK__" localSheetId="6" hidden="1">{"fdsup://directions/FAT Viewer?action=UPDATE&amp;creator=factset&amp;DYN_ARGS=TRUE&amp;DOC_NAME=FAT:FQL_AUDITING_CLIENT_TEMPLATE.FAT&amp;display_string=Audit&amp;VAR:KEY=VENCLUDGBM&amp;VAR:QUERY=RkZfRUJJVERBX0lCKCdMVE1TJywzOTI2Nik=&amp;WINDOW=FIRST_POPUP&amp;HEIGHT=450&amp;WIDTH=450&amp;START_MA","XIMIZED=FALSE&amp;VAR:CALENDAR=US&amp;VAR:SYMBOL=37183T10&amp;VAR:INDEX=0"}</definedName>
    <definedName name="_4619__FDSAUDITLINK__" hidden="1">{"fdsup://directions/FAT Viewer?action=UPDATE&amp;creator=factset&amp;DYN_ARGS=TRUE&amp;DOC_NAME=FAT:FQL_AUDITING_CLIENT_TEMPLATE.FAT&amp;display_string=Audit&amp;VAR:KEY=VENCLUDGBM&amp;VAR:QUERY=RkZfRUJJVERBX0lCKCdMVE1TJywzOTI2Nik=&amp;WINDOW=FIRST_POPUP&amp;HEIGHT=450&amp;WIDTH=450&amp;START_MA","XIMIZED=FALSE&amp;VAR:CALENDAR=US&amp;VAR:SYMBOL=37183T10&amp;VAR:INDEX=0"}</definedName>
    <definedName name="_462__FDSAUDITLINK__" localSheetId="6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2__FDSAUDITLINK__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20__FDSAUDITLINK__" localSheetId="6" hidden="1">{"fdsup://directions/FAT Viewer?action=UPDATE&amp;creator=factset&amp;DYN_ARGS=TRUE&amp;DOC_NAME=FAT:FQL_AUDITING_CLIENT_TEMPLATE.FAT&amp;display_string=Audit&amp;VAR:KEY=PYVQXIFQBQ&amp;VAR:QUERY=RkZfRUJJVERBX0lCKCdMVE1TJywzOTI2NSk=&amp;WINDOW=FIRST_POPUP&amp;HEIGHT=450&amp;WIDTH=450&amp;START_MA","XIMIZED=FALSE&amp;VAR:CALENDAR=US&amp;VAR:SYMBOL=37183T10&amp;VAR:INDEX=0"}</definedName>
    <definedName name="_4620__FDSAUDITLINK__" hidden="1">{"fdsup://directions/FAT Viewer?action=UPDATE&amp;creator=factset&amp;DYN_ARGS=TRUE&amp;DOC_NAME=FAT:FQL_AUDITING_CLIENT_TEMPLATE.FAT&amp;display_string=Audit&amp;VAR:KEY=PYVQXIFQBQ&amp;VAR:QUERY=RkZfRUJJVERBX0lCKCdMVE1TJywzOTI2NSk=&amp;WINDOW=FIRST_POPUP&amp;HEIGHT=450&amp;WIDTH=450&amp;START_MA","XIMIZED=FALSE&amp;VAR:CALENDAR=US&amp;VAR:SYMBOL=37183T10&amp;VAR:INDEX=0"}</definedName>
    <definedName name="_4621__FDSAUDITLINK__" localSheetId="6" hidden="1">{"fdsup://directions/FAT Viewer?action=UPDATE&amp;creator=factset&amp;DYN_ARGS=TRUE&amp;DOC_NAME=FAT:FQL_AUDITING_CLIENT_TEMPLATE.FAT&amp;display_string=Audit&amp;VAR:KEY=TSXQVCVIRI&amp;VAR:QUERY=RkZfRUJJVERBX0lCKCdMVE1TJywzOTI2NCk=&amp;WINDOW=FIRST_POPUP&amp;HEIGHT=450&amp;WIDTH=450&amp;START_MA","XIMIZED=FALSE&amp;VAR:CALENDAR=US&amp;VAR:SYMBOL=37183T10&amp;VAR:INDEX=0"}</definedName>
    <definedName name="_4621__FDSAUDITLINK__" hidden="1">{"fdsup://directions/FAT Viewer?action=UPDATE&amp;creator=factset&amp;DYN_ARGS=TRUE&amp;DOC_NAME=FAT:FQL_AUDITING_CLIENT_TEMPLATE.FAT&amp;display_string=Audit&amp;VAR:KEY=TSXQVCVIRI&amp;VAR:QUERY=RkZfRUJJVERBX0lCKCdMVE1TJywzOTI2NCk=&amp;WINDOW=FIRST_POPUP&amp;HEIGHT=450&amp;WIDTH=450&amp;START_MA","XIMIZED=FALSE&amp;VAR:CALENDAR=US&amp;VAR:SYMBOL=37183T10&amp;VAR:INDEX=0"}</definedName>
    <definedName name="_4622__FDSAUDITLINK__" localSheetId="6" hidden="1">{"fdsup://directions/FAT Viewer?action=UPDATE&amp;creator=factset&amp;DYN_ARGS=TRUE&amp;DOC_NAME=FAT:FQL_AUDITING_CLIENT_TEMPLATE.FAT&amp;display_string=Audit&amp;VAR:KEY=NGHYBYHSVI&amp;VAR:QUERY=RkZfRUJJVERBX0lCKCdMVE1TJywzOTI2Myk=&amp;WINDOW=FIRST_POPUP&amp;HEIGHT=450&amp;WIDTH=450&amp;START_MA","XIMIZED=FALSE&amp;VAR:CALENDAR=US&amp;VAR:SYMBOL=37183T10&amp;VAR:INDEX=0"}</definedName>
    <definedName name="_4622__FDSAUDITLINK__" hidden="1">{"fdsup://directions/FAT Viewer?action=UPDATE&amp;creator=factset&amp;DYN_ARGS=TRUE&amp;DOC_NAME=FAT:FQL_AUDITING_CLIENT_TEMPLATE.FAT&amp;display_string=Audit&amp;VAR:KEY=NGHYBYHSVI&amp;VAR:QUERY=RkZfRUJJVERBX0lCKCdMVE1TJywzOTI2Myk=&amp;WINDOW=FIRST_POPUP&amp;HEIGHT=450&amp;WIDTH=450&amp;START_MA","XIMIZED=FALSE&amp;VAR:CALENDAR=US&amp;VAR:SYMBOL=37183T10&amp;VAR:INDEX=0"}</definedName>
    <definedName name="_4623__FDSAUDITLINK__" localSheetId="6" hidden="1">{"fdsup://directions/FAT Viewer?action=UPDATE&amp;creator=factset&amp;DYN_ARGS=TRUE&amp;DOC_NAME=FAT:FQL_AUDITING_CLIENT_TEMPLATE.FAT&amp;display_string=Audit&amp;VAR:KEY=HIPWNAFKTE&amp;VAR:QUERY=RkZfRUJJVERBX0lCKCdMVE1TJywzOTI2Mik=&amp;WINDOW=FIRST_POPUP&amp;HEIGHT=450&amp;WIDTH=450&amp;START_MA","XIMIZED=FALSE&amp;VAR:CALENDAR=US&amp;VAR:SYMBOL=37183T10&amp;VAR:INDEX=0"}</definedName>
    <definedName name="_4623__FDSAUDITLINK__" hidden="1">{"fdsup://directions/FAT Viewer?action=UPDATE&amp;creator=factset&amp;DYN_ARGS=TRUE&amp;DOC_NAME=FAT:FQL_AUDITING_CLIENT_TEMPLATE.FAT&amp;display_string=Audit&amp;VAR:KEY=HIPWNAFKTE&amp;VAR:QUERY=RkZfRUJJVERBX0lCKCdMVE1TJywzOTI2Mik=&amp;WINDOW=FIRST_POPUP&amp;HEIGHT=450&amp;WIDTH=450&amp;START_MA","XIMIZED=FALSE&amp;VAR:CALENDAR=US&amp;VAR:SYMBOL=37183T10&amp;VAR:INDEX=0"}</definedName>
    <definedName name="_4624__FDSAUDITLINK__" localSheetId="6" hidden="1">{"fdsup://directions/FAT Viewer?action=UPDATE&amp;creator=factset&amp;DYN_ARGS=TRUE&amp;DOC_NAME=FAT:FQL_AUDITING_CLIENT_TEMPLATE.FAT&amp;display_string=Audit&amp;VAR:KEY=ZOJCFGBOZM&amp;VAR:QUERY=RkZfRUJJVERBX0lCKCdMVE1TJywzOTI2MSk=&amp;WINDOW=FIRST_POPUP&amp;HEIGHT=450&amp;WIDTH=450&amp;START_MA","XIMIZED=FALSE&amp;VAR:CALENDAR=US&amp;VAR:SYMBOL=37183T10&amp;VAR:INDEX=0"}</definedName>
    <definedName name="_4624__FDSAUDITLINK__" hidden="1">{"fdsup://directions/FAT Viewer?action=UPDATE&amp;creator=factset&amp;DYN_ARGS=TRUE&amp;DOC_NAME=FAT:FQL_AUDITING_CLIENT_TEMPLATE.FAT&amp;display_string=Audit&amp;VAR:KEY=ZOJCFGBOZM&amp;VAR:QUERY=RkZfRUJJVERBX0lCKCdMVE1TJywzOTI2MSk=&amp;WINDOW=FIRST_POPUP&amp;HEIGHT=450&amp;WIDTH=450&amp;START_MA","XIMIZED=FALSE&amp;VAR:CALENDAR=US&amp;VAR:SYMBOL=37183T10&amp;VAR:INDEX=0"}</definedName>
    <definedName name="_4625__FDSAUDITLINK__" localSheetId="6" hidden="1">{"fdsup://directions/FAT Viewer?action=UPDATE&amp;creator=factset&amp;DYN_ARGS=TRUE&amp;DOC_NAME=FAT:FQL_AUDITING_CLIENT_TEMPLATE.FAT&amp;display_string=Audit&amp;VAR:KEY=HOZOLSJUXW&amp;VAR:QUERY=RkZfRUJJVERBX0lCKCdMVE1TJywzOTI2MCk=&amp;WINDOW=FIRST_POPUP&amp;HEIGHT=450&amp;WIDTH=450&amp;START_MA","XIMIZED=FALSE&amp;VAR:CALENDAR=US&amp;VAR:SYMBOL=37183T10&amp;VAR:INDEX=0"}</definedName>
    <definedName name="_4625__FDSAUDITLINK__" hidden="1">{"fdsup://directions/FAT Viewer?action=UPDATE&amp;creator=factset&amp;DYN_ARGS=TRUE&amp;DOC_NAME=FAT:FQL_AUDITING_CLIENT_TEMPLATE.FAT&amp;display_string=Audit&amp;VAR:KEY=HOZOLSJUXW&amp;VAR:QUERY=RkZfRUJJVERBX0lCKCdMVE1TJywzOTI2MCk=&amp;WINDOW=FIRST_POPUP&amp;HEIGHT=450&amp;WIDTH=450&amp;START_MA","XIMIZED=FALSE&amp;VAR:CALENDAR=US&amp;VAR:SYMBOL=37183T10&amp;VAR:INDEX=0"}</definedName>
    <definedName name="_4626__FDSAUDITLINK__" localSheetId="6" hidden="1">{"fdsup://directions/FAT Viewer?action=UPDATE&amp;creator=factset&amp;DYN_ARGS=TRUE&amp;DOC_NAME=FAT:FQL_AUDITING_CLIENT_TEMPLATE.FAT&amp;display_string=Audit&amp;VAR:KEY=DORIVQXEJU&amp;VAR:QUERY=RkZfRUJJVERBX0lCKCdMVE1TJywzOTI1OSk=&amp;WINDOW=FIRST_POPUP&amp;HEIGHT=450&amp;WIDTH=450&amp;START_MA","XIMIZED=FALSE&amp;VAR:CALENDAR=US&amp;VAR:SYMBOL=37183T10&amp;VAR:INDEX=0"}</definedName>
    <definedName name="_4626__FDSAUDITLINK__" hidden="1">{"fdsup://directions/FAT Viewer?action=UPDATE&amp;creator=factset&amp;DYN_ARGS=TRUE&amp;DOC_NAME=FAT:FQL_AUDITING_CLIENT_TEMPLATE.FAT&amp;display_string=Audit&amp;VAR:KEY=DORIVQXEJU&amp;VAR:QUERY=RkZfRUJJVERBX0lCKCdMVE1TJywzOTI1OSk=&amp;WINDOW=FIRST_POPUP&amp;HEIGHT=450&amp;WIDTH=450&amp;START_MA","XIMIZED=FALSE&amp;VAR:CALENDAR=US&amp;VAR:SYMBOL=37183T10&amp;VAR:INDEX=0"}</definedName>
    <definedName name="_4627__FDSAUDITLINK__" localSheetId="6" hidden="1">{"fdsup://directions/FAT Viewer?action=UPDATE&amp;creator=factset&amp;DYN_ARGS=TRUE&amp;DOC_NAME=FAT:FQL_AUDITING_CLIENT_TEMPLATE.FAT&amp;display_string=Audit&amp;VAR:KEY=LMXMJAFYVC&amp;VAR:QUERY=RkZfRUJJVERBX0lCKCdMVE1TJywzOTI1OCk=&amp;WINDOW=FIRST_POPUP&amp;HEIGHT=450&amp;WIDTH=450&amp;START_MA","XIMIZED=FALSE&amp;VAR:CALENDAR=US&amp;VAR:SYMBOL=37183T10&amp;VAR:INDEX=0"}</definedName>
    <definedName name="_4627__FDSAUDITLINK__" hidden="1">{"fdsup://directions/FAT Viewer?action=UPDATE&amp;creator=factset&amp;DYN_ARGS=TRUE&amp;DOC_NAME=FAT:FQL_AUDITING_CLIENT_TEMPLATE.FAT&amp;display_string=Audit&amp;VAR:KEY=LMXMJAFYVC&amp;VAR:QUERY=RkZfRUJJVERBX0lCKCdMVE1TJywzOTI1OCk=&amp;WINDOW=FIRST_POPUP&amp;HEIGHT=450&amp;WIDTH=450&amp;START_MA","XIMIZED=FALSE&amp;VAR:CALENDAR=US&amp;VAR:SYMBOL=37183T10&amp;VAR:INDEX=0"}</definedName>
    <definedName name="_4628__FDSAUDITLINK__" localSheetId="6" hidden="1">{"fdsup://directions/FAT Viewer?action=UPDATE&amp;creator=factset&amp;DYN_ARGS=TRUE&amp;DOC_NAME=FAT:FQL_AUDITING_CLIENT_TEMPLATE.FAT&amp;display_string=Audit&amp;VAR:KEY=XSDCFMBGPE&amp;VAR:QUERY=RkZfRUJJVERBX0lCKCdMVE1TJywzOTI1Nyk=&amp;WINDOW=FIRST_POPUP&amp;HEIGHT=450&amp;WIDTH=450&amp;START_MA","XIMIZED=FALSE&amp;VAR:CALENDAR=US&amp;VAR:SYMBOL=37183T10&amp;VAR:INDEX=0"}</definedName>
    <definedName name="_4628__FDSAUDITLINK__" hidden="1">{"fdsup://directions/FAT Viewer?action=UPDATE&amp;creator=factset&amp;DYN_ARGS=TRUE&amp;DOC_NAME=FAT:FQL_AUDITING_CLIENT_TEMPLATE.FAT&amp;display_string=Audit&amp;VAR:KEY=XSDCFMBGPE&amp;VAR:QUERY=RkZfRUJJVERBX0lCKCdMVE1TJywzOTI1Nyk=&amp;WINDOW=FIRST_POPUP&amp;HEIGHT=450&amp;WIDTH=450&amp;START_MA","XIMIZED=FALSE&amp;VAR:CALENDAR=US&amp;VAR:SYMBOL=37183T10&amp;VAR:INDEX=0"}</definedName>
    <definedName name="_4629__FDSAUDITLINK__" localSheetId="6" hidden="1">{"fdsup://directions/FAT Viewer?action=UPDATE&amp;creator=factset&amp;DYN_ARGS=TRUE&amp;DOC_NAME=FAT:FQL_AUDITING_CLIENT_TEMPLATE.FAT&amp;display_string=Audit&amp;VAR:KEY=PSXIDAJGLQ&amp;VAR:QUERY=RkZfRUJJVERBX0lCKCdMVE1TJywzOTI1Nik=&amp;WINDOW=FIRST_POPUP&amp;HEIGHT=450&amp;WIDTH=450&amp;START_MA","XIMIZED=FALSE&amp;VAR:CALENDAR=US&amp;VAR:SYMBOL=37183T10&amp;VAR:INDEX=0"}</definedName>
    <definedName name="_4629__FDSAUDITLINK__" hidden="1">{"fdsup://directions/FAT Viewer?action=UPDATE&amp;creator=factset&amp;DYN_ARGS=TRUE&amp;DOC_NAME=FAT:FQL_AUDITING_CLIENT_TEMPLATE.FAT&amp;display_string=Audit&amp;VAR:KEY=PSXIDAJGLQ&amp;VAR:QUERY=RkZfRUJJVERBX0lCKCdMVE1TJywzOTI1Nik=&amp;WINDOW=FIRST_POPUP&amp;HEIGHT=450&amp;WIDTH=450&amp;START_MA","XIMIZED=FALSE&amp;VAR:CALENDAR=US&amp;VAR:SYMBOL=37183T10&amp;VAR:INDEX=0"}</definedName>
    <definedName name="_463__FDSAUDITLINK__" localSheetId="6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3__FDSAUDITLINK__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30__FDSAUDITLINK__" localSheetId="6" hidden="1">{"fdsup://directions/FAT Viewer?action=UPDATE&amp;creator=factset&amp;DYN_ARGS=TRUE&amp;DOC_NAME=FAT:FQL_AUDITING_CLIENT_TEMPLATE.FAT&amp;display_string=Audit&amp;VAR:KEY=FSHGDENSRO&amp;VAR:QUERY=RkZfRUJJVERBX0lCKCdMVE1TJywzOTI1NSk=&amp;WINDOW=FIRST_POPUP&amp;HEIGHT=450&amp;WIDTH=450&amp;START_MA","XIMIZED=FALSE&amp;VAR:CALENDAR=US&amp;VAR:SYMBOL=37183T10&amp;VAR:INDEX=0"}</definedName>
    <definedName name="_4630__FDSAUDITLINK__" hidden="1">{"fdsup://directions/FAT Viewer?action=UPDATE&amp;creator=factset&amp;DYN_ARGS=TRUE&amp;DOC_NAME=FAT:FQL_AUDITING_CLIENT_TEMPLATE.FAT&amp;display_string=Audit&amp;VAR:KEY=FSHGDENSRO&amp;VAR:QUERY=RkZfRUJJVERBX0lCKCdMVE1TJywzOTI1NSk=&amp;WINDOW=FIRST_POPUP&amp;HEIGHT=450&amp;WIDTH=450&amp;START_MA","XIMIZED=FALSE&amp;VAR:CALENDAR=US&amp;VAR:SYMBOL=37183T10&amp;VAR:INDEX=0"}</definedName>
    <definedName name="_4631__FDSAUDITLINK__" localSheetId="6" hidden="1">{"fdsup://directions/FAT Viewer?action=UPDATE&amp;creator=factset&amp;DYN_ARGS=TRUE&amp;DOC_NAME=FAT:FQL_AUDITING_CLIENT_TEMPLATE.FAT&amp;display_string=Audit&amp;VAR:KEY=TUPODQZWTK&amp;VAR:QUERY=RkZfRUJJVERBX0lCKCdMVE1TJywzOTI1NCk=&amp;WINDOW=FIRST_POPUP&amp;HEIGHT=450&amp;WIDTH=450&amp;START_MA","XIMIZED=FALSE&amp;VAR:CALENDAR=US&amp;VAR:SYMBOL=37183T10&amp;VAR:INDEX=0"}</definedName>
    <definedName name="_4631__FDSAUDITLINK__" hidden="1">{"fdsup://directions/FAT Viewer?action=UPDATE&amp;creator=factset&amp;DYN_ARGS=TRUE&amp;DOC_NAME=FAT:FQL_AUDITING_CLIENT_TEMPLATE.FAT&amp;display_string=Audit&amp;VAR:KEY=TUPODQZWTK&amp;VAR:QUERY=RkZfRUJJVERBX0lCKCdMVE1TJywzOTI1NCk=&amp;WINDOW=FIRST_POPUP&amp;HEIGHT=450&amp;WIDTH=450&amp;START_MA","XIMIZED=FALSE&amp;VAR:CALENDAR=US&amp;VAR:SYMBOL=37183T10&amp;VAR:INDEX=0"}</definedName>
    <definedName name="_4632__FDSAUDITLINK__" localSheetId="6" hidden="1">{"fdsup://directions/FAT Viewer?action=UPDATE&amp;creator=factset&amp;DYN_ARGS=TRUE&amp;DOC_NAME=FAT:FQL_AUDITING_CLIENT_TEMPLATE.FAT&amp;display_string=Audit&amp;VAR:KEY=ZGFCBUJALE&amp;VAR:QUERY=RkZfRUJJVERBX0lCKCdMVE1TJywzOTI1Myk=&amp;WINDOW=FIRST_POPUP&amp;HEIGHT=450&amp;WIDTH=450&amp;START_MA","XIMIZED=FALSE&amp;VAR:CALENDAR=US&amp;VAR:SYMBOL=37183T10&amp;VAR:INDEX=0"}</definedName>
    <definedName name="_4632__FDSAUDITLINK__" hidden="1">{"fdsup://directions/FAT Viewer?action=UPDATE&amp;creator=factset&amp;DYN_ARGS=TRUE&amp;DOC_NAME=FAT:FQL_AUDITING_CLIENT_TEMPLATE.FAT&amp;display_string=Audit&amp;VAR:KEY=ZGFCBUJALE&amp;VAR:QUERY=RkZfRUJJVERBX0lCKCdMVE1TJywzOTI1Myk=&amp;WINDOW=FIRST_POPUP&amp;HEIGHT=450&amp;WIDTH=450&amp;START_MA","XIMIZED=FALSE&amp;VAR:CALENDAR=US&amp;VAR:SYMBOL=37183T10&amp;VAR:INDEX=0"}</definedName>
    <definedName name="_4633__FDSAUDITLINK__" localSheetId="6" hidden="1">{"fdsup://directions/FAT Viewer?action=UPDATE&amp;creator=factset&amp;DYN_ARGS=TRUE&amp;DOC_NAME=FAT:FQL_AUDITING_CLIENT_TEMPLATE.FAT&amp;display_string=Audit&amp;VAR:KEY=FMHSLSLGFA&amp;VAR:QUERY=RkZfRUJJVERBX0lCKCdMVE1TJywzOTI1Mik=&amp;WINDOW=FIRST_POPUP&amp;HEIGHT=450&amp;WIDTH=450&amp;START_MA","XIMIZED=FALSE&amp;VAR:CALENDAR=US&amp;VAR:SYMBOL=37183T10&amp;VAR:INDEX=0"}</definedName>
    <definedName name="_4633__FDSAUDITLINK__" hidden="1">{"fdsup://directions/FAT Viewer?action=UPDATE&amp;creator=factset&amp;DYN_ARGS=TRUE&amp;DOC_NAME=FAT:FQL_AUDITING_CLIENT_TEMPLATE.FAT&amp;display_string=Audit&amp;VAR:KEY=FMHSLSLGFA&amp;VAR:QUERY=RkZfRUJJVERBX0lCKCdMVE1TJywzOTI1Mik=&amp;WINDOW=FIRST_POPUP&amp;HEIGHT=450&amp;WIDTH=450&amp;START_MA","XIMIZED=FALSE&amp;VAR:CALENDAR=US&amp;VAR:SYMBOL=37183T10&amp;VAR:INDEX=0"}</definedName>
    <definedName name="_4634__FDSAUDITLINK__" localSheetId="6" hidden="1">{"fdsup://directions/FAT Viewer?action=UPDATE&amp;creator=factset&amp;DYN_ARGS=TRUE&amp;DOC_NAME=FAT:FQL_AUDITING_CLIENT_TEMPLATE.FAT&amp;display_string=Audit&amp;VAR:KEY=HETIDMTKNY&amp;VAR:QUERY=RkZfRUJJVERBX0lCKCdMVE1TJywzOTI1MSk=&amp;WINDOW=FIRST_POPUP&amp;HEIGHT=450&amp;WIDTH=450&amp;START_MA","XIMIZED=FALSE&amp;VAR:CALENDAR=US&amp;VAR:SYMBOL=37183T10&amp;VAR:INDEX=0"}</definedName>
    <definedName name="_4634__FDSAUDITLINK__" hidden="1">{"fdsup://directions/FAT Viewer?action=UPDATE&amp;creator=factset&amp;DYN_ARGS=TRUE&amp;DOC_NAME=FAT:FQL_AUDITING_CLIENT_TEMPLATE.FAT&amp;display_string=Audit&amp;VAR:KEY=HETIDMTKNY&amp;VAR:QUERY=RkZfRUJJVERBX0lCKCdMVE1TJywzOTI1MSk=&amp;WINDOW=FIRST_POPUP&amp;HEIGHT=450&amp;WIDTH=450&amp;START_MA","XIMIZED=FALSE&amp;VAR:CALENDAR=US&amp;VAR:SYMBOL=37183T10&amp;VAR:INDEX=0"}</definedName>
    <definedName name="_4635__FDSAUDITLINK__" localSheetId="6" hidden="1">{"fdsup://directions/FAT Viewer?action=UPDATE&amp;creator=factset&amp;DYN_ARGS=TRUE&amp;DOC_NAME=FAT:FQL_AUDITING_CLIENT_TEMPLATE.FAT&amp;display_string=Audit&amp;VAR:KEY=LYFATMRGDU&amp;VAR:QUERY=RkZfRUJJVERBX0lCKCdMVE1TJywzOTI1MCk=&amp;WINDOW=FIRST_POPUP&amp;HEIGHT=450&amp;WIDTH=450&amp;START_MA","XIMIZED=FALSE&amp;VAR:CALENDAR=US&amp;VAR:SYMBOL=37183T10&amp;VAR:INDEX=0"}</definedName>
    <definedName name="_4635__FDSAUDITLINK__" hidden="1">{"fdsup://directions/FAT Viewer?action=UPDATE&amp;creator=factset&amp;DYN_ARGS=TRUE&amp;DOC_NAME=FAT:FQL_AUDITING_CLIENT_TEMPLATE.FAT&amp;display_string=Audit&amp;VAR:KEY=LYFATMRGDU&amp;VAR:QUERY=RkZfRUJJVERBX0lCKCdMVE1TJywzOTI1MCk=&amp;WINDOW=FIRST_POPUP&amp;HEIGHT=450&amp;WIDTH=450&amp;START_MA","XIMIZED=FALSE&amp;VAR:CALENDAR=US&amp;VAR:SYMBOL=37183T10&amp;VAR:INDEX=0"}</definedName>
    <definedName name="_4636__FDSAUDITLINK__" localSheetId="6" hidden="1">{"fdsup://directions/FAT Viewer?action=UPDATE&amp;creator=factset&amp;DYN_ARGS=TRUE&amp;DOC_NAME=FAT:FQL_AUDITING_CLIENT_TEMPLATE.FAT&amp;display_string=Audit&amp;VAR:KEY=NENIXMBARI&amp;VAR:QUERY=RkZfRUJJVERBX0lCKCdMVE1TJywzOTI0OSk=&amp;WINDOW=FIRST_POPUP&amp;HEIGHT=450&amp;WIDTH=450&amp;START_MA","XIMIZED=FALSE&amp;VAR:CALENDAR=US&amp;VAR:SYMBOL=37183T10&amp;VAR:INDEX=0"}</definedName>
    <definedName name="_4636__FDSAUDITLINK__" hidden="1">{"fdsup://directions/FAT Viewer?action=UPDATE&amp;creator=factset&amp;DYN_ARGS=TRUE&amp;DOC_NAME=FAT:FQL_AUDITING_CLIENT_TEMPLATE.FAT&amp;display_string=Audit&amp;VAR:KEY=NENIXMBARI&amp;VAR:QUERY=RkZfRUJJVERBX0lCKCdMVE1TJywzOTI0OSk=&amp;WINDOW=FIRST_POPUP&amp;HEIGHT=450&amp;WIDTH=450&amp;START_MA","XIMIZED=FALSE&amp;VAR:CALENDAR=US&amp;VAR:SYMBOL=37183T10&amp;VAR:INDEX=0"}</definedName>
    <definedName name="_4637__FDSAUDITLINK__" localSheetId="6" hidden="1">{"fdsup://directions/FAT Viewer?action=UPDATE&amp;creator=factset&amp;DYN_ARGS=TRUE&amp;DOC_NAME=FAT:FQL_AUDITING_CLIENT_TEMPLATE.FAT&amp;display_string=Audit&amp;VAR:KEY=VQJOHAPCDE&amp;VAR:QUERY=RkZfRUJJVERBX0lCKCdMVE1TJywzOTI0OCk=&amp;WINDOW=FIRST_POPUP&amp;HEIGHT=450&amp;WIDTH=450&amp;START_MA","XIMIZED=FALSE&amp;VAR:CALENDAR=US&amp;VAR:SYMBOL=37183T10&amp;VAR:INDEX=0"}</definedName>
    <definedName name="_4637__FDSAUDITLINK__" hidden="1">{"fdsup://directions/FAT Viewer?action=UPDATE&amp;creator=factset&amp;DYN_ARGS=TRUE&amp;DOC_NAME=FAT:FQL_AUDITING_CLIENT_TEMPLATE.FAT&amp;display_string=Audit&amp;VAR:KEY=VQJOHAPCDE&amp;VAR:QUERY=RkZfRUJJVERBX0lCKCdMVE1TJywzOTI0OCk=&amp;WINDOW=FIRST_POPUP&amp;HEIGHT=450&amp;WIDTH=450&amp;START_MA","XIMIZED=FALSE&amp;VAR:CALENDAR=US&amp;VAR:SYMBOL=37183T10&amp;VAR:INDEX=0"}</definedName>
    <definedName name="_4638__FDSAUDITLINK__" localSheetId="6" hidden="1">{"fdsup://directions/FAT Viewer?action=UPDATE&amp;creator=factset&amp;DYN_ARGS=TRUE&amp;DOC_NAME=FAT:FQL_AUDITING_CLIENT_TEMPLATE.FAT&amp;display_string=Audit&amp;VAR:KEY=RSTYNUBIRI&amp;VAR:QUERY=RkZfRUJJVERBX0lCKCdMVE1TJywzOTI0Nyk=&amp;WINDOW=FIRST_POPUP&amp;HEIGHT=450&amp;WIDTH=450&amp;START_MA","XIMIZED=FALSE&amp;VAR:CALENDAR=US&amp;VAR:SYMBOL=37183T10&amp;VAR:INDEX=0"}</definedName>
    <definedName name="_4638__FDSAUDITLINK__" hidden="1">{"fdsup://directions/FAT Viewer?action=UPDATE&amp;creator=factset&amp;DYN_ARGS=TRUE&amp;DOC_NAME=FAT:FQL_AUDITING_CLIENT_TEMPLATE.FAT&amp;display_string=Audit&amp;VAR:KEY=RSTYNUBIRI&amp;VAR:QUERY=RkZfRUJJVERBX0lCKCdMVE1TJywzOTI0Nyk=&amp;WINDOW=FIRST_POPUP&amp;HEIGHT=450&amp;WIDTH=450&amp;START_MA","XIMIZED=FALSE&amp;VAR:CALENDAR=US&amp;VAR:SYMBOL=37183T10&amp;VAR:INDEX=0"}</definedName>
    <definedName name="_4639__FDSAUDITLINK__" localSheetId="6" hidden="1">{"fdsup://directions/FAT Viewer?action=UPDATE&amp;creator=factset&amp;DYN_ARGS=TRUE&amp;DOC_NAME=FAT:FQL_AUDITING_CLIENT_TEMPLATE.FAT&amp;display_string=Audit&amp;VAR:KEY=LKXKZQXAXE&amp;VAR:QUERY=RkZfRUJJVERBX0lCKCdMVE1TJywzOTI0Nik=&amp;WINDOW=FIRST_POPUP&amp;HEIGHT=450&amp;WIDTH=450&amp;START_MA","XIMIZED=FALSE&amp;VAR:CALENDAR=US&amp;VAR:SYMBOL=37183T10&amp;VAR:INDEX=0"}</definedName>
    <definedName name="_4639__FDSAUDITLINK__" hidden="1">{"fdsup://directions/FAT Viewer?action=UPDATE&amp;creator=factset&amp;DYN_ARGS=TRUE&amp;DOC_NAME=FAT:FQL_AUDITING_CLIENT_TEMPLATE.FAT&amp;display_string=Audit&amp;VAR:KEY=LKXKZQXAXE&amp;VAR:QUERY=RkZfRUJJVERBX0lCKCdMVE1TJywzOTI0Nik=&amp;WINDOW=FIRST_POPUP&amp;HEIGHT=450&amp;WIDTH=450&amp;START_MA","XIMIZED=FALSE&amp;VAR:CALENDAR=US&amp;VAR:SYMBOL=37183T10&amp;VAR:INDEX=0"}</definedName>
    <definedName name="_464__FDSAUDITLINK__" localSheetId="6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4__FDSAUDITLINK__" hidden="1">{"fdsup://directions/FAT%20Viewer?VAR:PED=LTM&amp;VAR:AUDIT_MODE=SUMMARY&amp;VAR:PERIOD=FIXED&amp;VAR:AUDIT_ID=00000117&amp;VAR:DATE=20081114&amp;action=UPDATE&amp;creator=factset&amp;DOC_NAME=FAT:FMA_audit_SUMMARY.fat&amp;DISPLAY_STRING=Display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40__FDSAUDITLINK__" localSheetId="6" hidden="1">{"fdsup://directions/FAT Viewer?action=UPDATE&amp;creator=factset&amp;DYN_ARGS=TRUE&amp;DOC_NAME=FAT:FQL_AUDITING_CLIENT_TEMPLATE.FAT&amp;display_string=Audit&amp;VAR:KEY=XAROZMDUBQ&amp;VAR:QUERY=RkZfRUJJVERBX0lCKCdMVE1TJywzOTI0NSk=&amp;WINDOW=FIRST_POPUP&amp;HEIGHT=450&amp;WIDTH=450&amp;START_MA","XIMIZED=FALSE&amp;VAR:CALENDAR=US&amp;VAR:SYMBOL=37183T10&amp;VAR:INDEX=0"}</definedName>
    <definedName name="_4640__FDSAUDITLINK__" hidden="1">{"fdsup://directions/FAT Viewer?action=UPDATE&amp;creator=factset&amp;DYN_ARGS=TRUE&amp;DOC_NAME=FAT:FQL_AUDITING_CLIENT_TEMPLATE.FAT&amp;display_string=Audit&amp;VAR:KEY=XAROZMDUBQ&amp;VAR:QUERY=RkZfRUJJVERBX0lCKCdMVE1TJywzOTI0NSk=&amp;WINDOW=FIRST_POPUP&amp;HEIGHT=450&amp;WIDTH=450&amp;START_MA","XIMIZED=FALSE&amp;VAR:CALENDAR=US&amp;VAR:SYMBOL=37183T10&amp;VAR:INDEX=0"}</definedName>
    <definedName name="_4641__FDSAUDITLINK__" localSheetId="6" hidden="1">{"fdsup://directions/FAT Viewer?action=UPDATE&amp;creator=factset&amp;DYN_ARGS=TRUE&amp;DOC_NAME=FAT:FQL_AUDITING_CLIENT_TEMPLATE.FAT&amp;display_string=Audit&amp;VAR:KEY=NOJIVCPOXE&amp;VAR:QUERY=RkZfRUJJVERBX0lCKCdMVE1TJywzOTI0NCk=&amp;WINDOW=FIRST_POPUP&amp;HEIGHT=450&amp;WIDTH=450&amp;START_MA","XIMIZED=FALSE&amp;VAR:CALENDAR=US&amp;VAR:SYMBOL=37183T10&amp;VAR:INDEX=0"}</definedName>
    <definedName name="_4641__FDSAUDITLINK__" hidden="1">{"fdsup://directions/FAT Viewer?action=UPDATE&amp;creator=factset&amp;DYN_ARGS=TRUE&amp;DOC_NAME=FAT:FQL_AUDITING_CLIENT_TEMPLATE.FAT&amp;display_string=Audit&amp;VAR:KEY=NOJIVCPOXE&amp;VAR:QUERY=RkZfRUJJVERBX0lCKCdMVE1TJywzOTI0NCk=&amp;WINDOW=FIRST_POPUP&amp;HEIGHT=450&amp;WIDTH=450&amp;START_MA","XIMIZED=FALSE&amp;VAR:CALENDAR=US&amp;VAR:SYMBOL=37183T10&amp;VAR:INDEX=0"}</definedName>
    <definedName name="_4642__FDSAUDITLINK__" localSheetId="6" hidden="1">{"fdsup://directions/FAT Viewer?action=UPDATE&amp;creator=factset&amp;DYN_ARGS=TRUE&amp;DOC_NAME=FAT:FQL_AUDITING_CLIENT_TEMPLATE.FAT&amp;display_string=Audit&amp;VAR:KEY=TUBYNEBGVQ&amp;VAR:QUERY=RkZfRUJJVERBX0lCKCdMVE1TJywzOTI0Myk=&amp;WINDOW=FIRST_POPUP&amp;HEIGHT=450&amp;WIDTH=450&amp;START_MA","XIMIZED=FALSE&amp;VAR:CALENDAR=US&amp;VAR:SYMBOL=37183T10&amp;VAR:INDEX=0"}</definedName>
    <definedName name="_4642__FDSAUDITLINK__" hidden="1">{"fdsup://directions/FAT Viewer?action=UPDATE&amp;creator=factset&amp;DYN_ARGS=TRUE&amp;DOC_NAME=FAT:FQL_AUDITING_CLIENT_TEMPLATE.FAT&amp;display_string=Audit&amp;VAR:KEY=TUBYNEBGVQ&amp;VAR:QUERY=RkZfRUJJVERBX0lCKCdMVE1TJywzOTI0Myk=&amp;WINDOW=FIRST_POPUP&amp;HEIGHT=450&amp;WIDTH=450&amp;START_MA","XIMIZED=FALSE&amp;VAR:CALENDAR=US&amp;VAR:SYMBOL=37183T10&amp;VAR:INDEX=0"}</definedName>
    <definedName name="_4643__FDSAUDITLINK__" localSheetId="6" hidden="1">{"fdsup://directions/FAT Viewer?action=UPDATE&amp;creator=factset&amp;DYN_ARGS=TRUE&amp;DOC_NAME=FAT:FQL_AUDITING_CLIENT_TEMPLATE.FAT&amp;display_string=Audit&amp;VAR:KEY=DSBKVIFEBK&amp;VAR:QUERY=RkZfRUJJVERBX0lCKCdMVE1TJywzOTI0Mik=&amp;WINDOW=FIRST_POPUP&amp;HEIGHT=450&amp;WIDTH=450&amp;START_MA","XIMIZED=FALSE&amp;VAR:CALENDAR=US&amp;VAR:SYMBOL=37183T10&amp;VAR:INDEX=0"}</definedName>
    <definedName name="_4643__FDSAUDITLINK__" hidden="1">{"fdsup://directions/FAT Viewer?action=UPDATE&amp;creator=factset&amp;DYN_ARGS=TRUE&amp;DOC_NAME=FAT:FQL_AUDITING_CLIENT_TEMPLATE.FAT&amp;display_string=Audit&amp;VAR:KEY=DSBKVIFEBK&amp;VAR:QUERY=RkZfRUJJVERBX0lCKCdMVE1TJywzOTI0Mik=&amp;WINDOW=FIRST_POPUP&amp;HEIGHT=450&amp;WIDTH=450&amp;START_MA","XIMIZED=FALSE&amp;VAR:CALENDAR=US&amp;VAR:SYMBOL=37183T10&amp;VAR:INDEX=0"}</definedName>
    <definedName name="_4644__FDSAUDITLINK__" localSheetId="6" hidden="1">{"fdsup://directions/FAT Viewer?action=UPDATE&amp;creator=factset&amp;DYN_ARGS=TRUE&amp;DOC_NAME=FAT:FQL_AUDITING_CLIENT_TEMPLATE.FAT&amp;display_string=Audit&amp;VAR:KEY=DMXWHATCZC&amp;VAR:QUERY=RkZfRUJJVERBX0lCKCdMVE1TJywzOTI0MSk=&amp;WINDOW=FIRST_POPUP&amp;HEIGHT=450&amp;WIDTH=450&amp;START_MA","XIMIZED=FALSE&amp;VAR:CALENDAR=US&amp;VAR:SYMBOL=37183T10&amp;VAR:INDEX=0"}</definedName>
    <definedName name="_4644__FDSAUDITLINK__" hidden="1">{"fdsup://directions/FAT Viewer?action=UPDATE&amp;creator=factset&amp;DYN_ARGS=TRUE&amp;DOC_NAME=FAT:FQL_AUDITING_CLIENT_TEMPLATE.FAT&amp;display_string=Audit&amp;VAR:KEY=DMXWHATCZC&amp;VAR:QUERY=RkZfRUJJVERBX0lCKCdMVE1TJywzOTI0MSk=&amp;WINDOW=FIRST_POPUP&amp;HEIGHT=450&amp;WIDTH=450&amp;START_MA","XIMIZED=FALSE&amp;VAR:CALENDAR=US&amp;VAR:SYMBOL=37183T10&amp;VAR:INDEX=0"}</definedName>
    <definedName name="_4645__FDSAUDITLINK__" localSheetId="6" hidden="1">{"fdsup://directions/FAT Viewer?action=UPDATE&amp;creator=factset&amp;DYN_ARGS=TRUE&amp;DOC_NAME=FAT:FQL_AUDITING_CLIENT_TEMPLATE.FAT&amp;display_string=Audit&amp;VAR:KEY=NYRAVMNYZA&amp;VAR:QUERY=RkZfRUJJVERBX0lCKCdMVE1TJywzOTI0MCk=&amp;WINDOW=FIRST_POPUP&amp;HEIGHT=450&amp;WIDTH=450&amp;START_MA","XIMIZED=FALSE&amp;VAR:CALENDAR=US&amp;VAR:SYMBOL=37183T10&amp;VAR:INDEX=0"}</definedName>
    <definedName name="_4645__FDSAUDITLINK__" hidden="1">{"fdsup://directions/FAT Viewer?action=UPDATE&amp;creator=factset&amp;DYN_ARGS=TRUE&amp;DOC_NAME=FAT:FQL_AUDITING_CLIENT_TEMPLATE.FAT&amp;display_string=Audit&amp;VAR:KEY=NYRAVMNYZA&amp;VAR:QUERY=RkZfRUJJVERBX0lCKCdMVE1TJywzOTI0MCk=&amp;WINDOW=FIRST_POPUP&amp;HEIGHT=450&amp;WIDTH=450&amp;START_MA","XIMIZED=FALSE&amp;VAR:CALENDAR=US&amp;VAR:SYMBOL=37183T10&amp;VAR:INDEX=0"}</definedName>
    <definedName name="_4646__FDSAUDITLINK__" localSheetId="6" hidden="1">{"fdsup://directions/FAT Viewer?action=UPDATE&amp;creator=factset&amp;DYN_ARGS=TRUE&amp;DOC_NAME=FAT:FQL_AUDITING_CLIENT_TEMPLATE.FAT&amp;display_string=Audit&amp;VAR:KEY=NQVMBOTGDY&amp;VAR:QUERY=RkZfRUJJVERBX0lCKCdMVE1TJywzOTIzOSk=&amp;WINDOW=FIRST_POPUP&amp;HEIGHT=450&amp;WIDTH=450&amp;START_MA","XIMIZED=FALSE&amp;VAR:CALENDAR=US&amp;VAR:SYMBOL=37183T10&amp;VAR:INDEX=0"}</definedName>
    <definedName name="_4646__FDSAUDITLINK__" hidden="1">{"fdsup://directions/FAT Viewer?action=UPDATE&amp;creator=factset&amp;DYN_ARGS=TRUE&amp;DOC_NAME=FAT:FQL_AUDITING_CLIENT_TEMPLATE.FAT&amp;display_string=Audit&amp;VAR:KEY=NQVMBOTGDY&amp;VAR:QUERY=RkZfRUJJVERBX0lCKCdMVE1TJywzOTIzOSk=&amp;WINDOW=FIRST_POPUP&amp;HEIGHT=450&amp;WIDTH=450&amp;START_MA","XIMIZED=FALSE&amp;VAR:CALENDAR=US&amp;VAR:SYMBOL=37183T10&amp;VAR:INDEX=0"}</definedName>
    <definedName name="_4647__FDSAUDITLINK__" localSheetId="6" hidden="1">{"fdsup://directions/FAT Viewer?action=UPDATE&amp;creator=factset&amp;DYN_ARGS=TRUE&amp;DOC_NAME=FAT:FQL_AUDITING_CLIENT_TEMPLATE.FAT&amp;display_string=Audit&amp;VAR:KEY=NKTITSXMXO&amp;VAR:QUERY=RkZfRUJJVERBX0lCKCdMVE1TJywzOTIzOCk=&amp;WINDOW=FIRST_POPUP&amp;HEIGHT=450&amp;WIDTH=450&amp;START_MA","XIMIZED=FALSE&amp;VAR:CALENDAR=US&amp;VAR:SYMBOL=37183T10&amp;VAR:INDEX=0"}</definedName>
    <definedName name="_4647__FDSAUDITLINK__" hidden="1">{"fdsup://directions/FAT Viewer?action=UPDATE&amp;creator=factset&amp;DYN_ARGS=TRUE&amp;DOC_NAME=FAT:FQL_AUDITING_CLIENT_TEMPLATE.FAT&amp;display_string=Audit&amp;VAR:KEY=NKTITSXMXO&amp;VAR:QUERY=RkZfRUJJVERBX0lCKCdMVE1TJywzOTIzOCk=&amp;WINDOW=FIRST_POPUP&amp;HEIGHT=450&amp;WIDTH=450&amp;START_MA","XIMIZED=FALSE&amp;VAR:CALENDAR=US&amp;VAR:SYMBOL=37183T10&amp;VAR:INDEX=0"}</definedName>
    <definedName name="_4648__FDSAUDITLINK__" localSheetId="6" hidden="1">{"fdsup://directions/FAT Viewer?action=UPDATE&amp;creator=factset&amp;DYN_ARGS=TRUE&amp;DOC_NAME=FAT:FQL_AUDITING_CLIENT_TEMPLATE.FAT&amp;display_string=Audit&amp;VAR:KEY=RMRYBKDCLG&amp;VAR:QUERY=RkZfRUJJVERBX0lCKCdMVE1TJywzOTIzNyk=&amp;WINDOW=FIRST_POPUP&amp;HEIGHT=450&amp;WIDTH=450&amp;START_MA","XIMIZED=FALSE&amp;VAR:CALENDAR=US&amp;VAR:SYMBOL=37183T10&amp;VAR:INDEX=0"}</definedName>
    <definedName name="_4648__FDSAUDITLINK__" hidden="1">{"fdsup://directions/FAT Viewer?action=UPDATE&amp;creator=factset&amp;DYN_ARGS=TRUE&amp;DOC_NAME=FAT:FQL_AUDITING_CLIENT_TEMPLATE.FAT&amp;display_string=Audit&amp;VAR:KEY=RMRYBKDCLG&amp;VAR:QUERY=RkZfRUJJVERBX0lCKCdMVE1TJywzOTIzNyk=&amp;WINDOW=FIRST_POPUP&amp;HEIGHT=450&amp;WIDTH=450&amp;START_MA","XIMIZED=FALSE&amp;VAR:CALENDAR=US&amp;VAR:SYMBOL=37183T10&amp;VAR:INDEX=0"}</definedName>
    <definedName name="_4649__FDSAUDITLINK__" localSheetId="6" hidden="1">{"fdsup://directions/FAT Viewer?action=UPDATE&amp;creator=factset&amp;DYN_ARGS=TRUE&amp;DOC_NAME=FAT:FQL_AUDITING_CLIENT_TEMPLATE.FAT&amp;display_string=Audit&amp;VAR:KEY=ZGZWDQJINU&amp;VAR:QUERY=RkZfRUJJVERBX0lCKCdMVE1TJywzOTIzNik=&amp;WINDOW=FIRST_POPUP&amp;HEIGHT=450&amp;WIDTH=450&amp;START_MA","XIMIZED=FALSE&amp;VAR:CALENDAR=US&amp;VAR:SYMBOL=37183T10&amp;VAR:INDEX=0"}</definedName>
    <definedName name="_4649__FDSAUDITLINK__" hidden="1">{"fdsup://directions/FAT Viewer?action=UPDATE&amp;creator=factset&amp;DYN_ARGS=TRUE&amp;DOC_NAME=FAT:FQL_AUDITING_CLIENT_TEMPLATE.FAT&amp;display_string=Audit&amp;VAR:KEY=ZGZWDQJINU&amp;VAR:QUERY=RkZfRUJJVERBX0lCKCdMVE1TJywzOTIzNik=&amp;WINDOW=FIRST_POPUP&amp;HEIGHT=450&amp;WIDTH=450&amp;START_MA","XIMIZED=FALSE&amp;VAR:CALENDAR=US&amp;VAR:SYMBOL=37183T10&amp;VAR:INDEX=0"}</definedName>
    <definedName name="_465__FDSAUDITLINK__" localSheetId="6" hidden="1">{"fdsup://directions/FAT%20Viewer?VAR:PED=LTM&amp;VAR:AUDIT_MODE=SUMMARY&amp;VAR:PERIOD=FIXED&amp;VAR:AUDIT_ID=00000117&amp;VAR:DATE=20081113&amp;action=UPDATE&amp;creator=factset&amp;DOC_NAME=FAT:FMA_audit_SUMMARY.fat&amp;DISPLAY_STRING=Display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5__FDSAUDITLINK__" hidden="1">{"fdsup://directions/FAT%20Viewer?VAR:PED=LTM&amp;VAR:AUDIT_MODE=SUMMARY&amp;VAR:PERIOD=FIXED&amp;VAR:AUDIT_ID=00000117&amp;VAR:DATE=20081113&amp;action=UPDATE&amp;creator=factset&amp;DOC_NAME=FAT:FMA_audit_SUMMARY.fat&amp;DISPLAY_STRING=Display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50__FDSAUDITLINK__" localSheetId="6" hidden="1">{"fdsup://directions/FAT Viewer?action=UPDATE&amp;creator=factset&amp;DYN_ARGS=TRUE&amp;DOC_NAME=FAT:FQL_AUDITING_CLIENT_TEMPLATE.FAT&amp;display_string=Audit&amp;VAR:KEY=JQHGDEHYRC&amp;VAR:QUERY=RkZfRUJJVERBX0lCKCdMVE1TJywzOTIzNSk=&amp;WINDOW=FIRST_POPUP&amp;HEIGHT=450&amp;WIDTH=450&amp;START_MA","XIMIZED=FALSE&amp;VAR:CALENDAR=US&amp;VAR:SYMBOL=37183T10&amp;VAR:INDEX=0"}</definedName>
    <definedName name="_4650__FDSAUDITLINK__" hidden="1">{"fdsup://directions/FAT Viewer?action=UPDATE&amp;creator=factset&amp;DYN_ARGS=TRUE&amp;DOC_NAME=FAT:FQL_AUDITING_CLIENT_TEMPLATE.FAT&amp;display_string=Audit&amp;VAR:KEY=JQHGDEHYRC&amp;VAR:QUERY=RkZfRUJJVERBX0lCKCdMVE1TJywzOTIzNSk=&amp;WINDOW=FIRST_POPUP&amp;HEIGHT=450&amp;WIDTH=450&amp;START_MA","XIMIZED=FALSE&amp;VAR:CALENDAR=US&amp;VAR:SYMBOL=37183T10&amp;VAR:INDEX=0"}</definedName>
    <definedName name="_4651__FDSAUDITLINK__" localSheetId="6" hidden="1">{"fdsup://directions/FAT Viewer?action=UPDATE&amp;creator=factset&amp;DYN_ARGS=TRUE&amp;DOC_NAME=FAT:FQL_AUDITING_CLIENT_TEMPLATE.FAT&amp;display_string=Audit&amp;VAR:KEY=ZIHONANGHO&amp;VAR:QUERY=RkZfRUJJVERBX0lCKCdMVE1TJywzOTIzNCk=&amp;WINDOW=FIRST_POPUP&amp;HEIGHT=450&amp;WIDTH=450&amp;START_MA","XIMIZED=FALSE&amp;VAR:CALENDAR=US&amp;VAR:SYMBOL=37183T10&amp;VAR:INDEX=0"}</definedName>
    <definedName name="_4651__FDSAUDITLINK__" hidden="1">{"fdsup://directions/FAT Viewer?action=UPDATE&amp;creator=factset&amp;DYN_ARGS=TRUE&amp;DOC_NAME=FAT:FQL_AUDITING_CLIENT_TEMPLATE.FAT&amp;display_string=Audit&amp;VAR:KEY=ZIHONANGHO&amp;VAR:QUERY=RkZfRUJJVERBX0lCKCdMVE1TJywzOTIzNCk=&amp;WINDOW=FIRST_POPUP&amp;HEIGHT=450&amp;WIDTH=450&amp;START_MA","XIMIZED=FALSE&amp;VAR:CALENDAR=US&amp;VAR:SYMBOL=37183T10&amp;VAR:INDEX=0"}</definedName>
    <definedName name="_4652__FDSAUDITLINK__" localSheetId="6" hidden="1">{"fdsup://directions/FAT Viewer?action=UPDATE&amp;creator=factset&amp;DYN_ARGS=TRUE&amp;DOC_NAME=FAT:FQL_AUDITING_CLIENT_TEMPLATE.FAT&amp;display_string=Audit&amp;VAR:KEY=FGDYRMVEHK&amp;VAR:QUERY=RkZfRUJJVERBX0lCKCdMVE1TJywzOTIzMyk=&amp;WINDOW=FIRST_POPUP&amp;HEIGHT=450&amp;WIDTH=450&amp;START_MA","XIMIZED=FALSE&amp;VAR:CALENDAR=US&amp;VAR:SYMBOL=37183T10&amp;VAR:INDEX=0"}</definedName>
    <definedName name="_4652__FDSAUDITLINK__" hidden="1">{"fdsup://directions/FAT Viewer?action=UPDATE&amp;creator=factset&amp;DYN_ARGS=TRUE&amp;DOC_NAME=FAT:FQL_AUDITING_CLIENT_TEMPLATE.FAT&amp;display_string=Audit&amp;VAR:KEY=FGDYRMVEHK&amp;VAR:QUERY=RkZfRUJJVERBX0lCKCdMVE1TJywzOTIzMyk=&amp;WINDOW=FIRST_POPUP&amp;HEIGHT=450&amp;WIDTH=450&amp;START_MA","XIMIZED=FALSE&amp;VAR:CALENDAR=US&amp;VAR:SYMBOL=37183T10&amp;VAR:INDEX=0"}</definedName>
    <definedName name="_4653__FDSAUDITLINK__" localSheetId="6" hidden="1">{"fdsup://directions/FAT Viewer?action=UPDATE&amp;creator=factset&amp;DYN_ARGS=TRUE&amp;DOC_NAME=FAT:FQL_AUDITING_CLIENT_TEMPLATE.FAT&amp;display_string=Audit&amp;VAR:KEY=DEJSRCPCHE&amp;VAR:QUERY=RkZfRUJJVERBX0lCKCdMVE1TJywzOTIzMik=&amp;WINDOW=FIRST_POPUP&amp;HEIGHT=450&amp;WIDTH=450&amp;START_MA","XIMIZED=FALSE&amp;VAR:CALENDAR=US&amp;VAR:SYMBOL=37183T10&amp;VAR:INDEX=0"}</definedName>
    <definedName name="_4653__FDSAUDITLINK__" hidden="1">{"fdsup://directions/FAT Viewer?action=UPDATE&amp;creator=factset&amp;DYN_ARGS=TRUE&amp;DOC_NAME=FAT:FQL_AUDITING_CLIENT_TEMPLATE.FAT&amp;display_string=Audit&amp;VAR:KEY=DEJSRCPCHE&amp;VAR:QUERY=RkZfRUJJVERBX0lCKCdMVE1TJywzOTIzMik=&amp;WINDOW=FIRST_POPUP&amp;HEIGHT=450&amp;WIDTH=450&amp;START_MA","XIMIZED=FALSE&amp;VAR:CALENDAR=US&amp;VAR:SYMBOL=37183T10&amp;VAR:INDEX=0"}</definedName>
    <definedName name="_4654__FDSAUDITLINK__" localSheetId="6" hidden="1">{"fdsup://directions/FAT Viewer?action=UPDATE&amp;creator=factset&amp;DYN_ARGS=TRUE&amp;DOC_NAME=FAT:FQL_AUDITING_CLIENT_TEMPLATE.FAT&amp;display_string=Audit&amp;VAR:KEY=JGHWFWJEBG&amp;VAR:QUERY=RkZfRUJJVERBX0lCKCdMVE1TJywzOTIzMSk=&amp;WINDOW=FIRST_POPUP&amp;HEIGHT=450&amp;WIDTH=450&amp;START_MA","XIMIZED=FALSE&amp;VAR:CALENDAR=US&amp;VAR:SYMBOL=37183T10&amp;VAR:INDEX=0"}</definedName>
    <definedName name="_4654__FDSAUDITLINK__" hidden="1">{"fdsup://directions/FAT Viewer?action=UPDATE&amp;creator=factset&amp;DYN_ARGS=TRUE&amp;DOC_NAME=FAT:FQL_AUDITING_CLIENT_TEMPLATE.FAT&amp;display_string=Audit&amp;VAR:KEY=JGHWFWJEBG&amp;VAR:QUERY=RkZfRUJJVERBX0lCKCdMVE1TJywzOTIzMSk=&amp;WINDOW=FIRST_POPUP&amp;HEIGHT=450&amp;WIDTH=450&amp;START_MA","XIMIZED=FALSE&amp;VAR:CALENDAR=US&amp;VAR:SYMBOL=37183T10&amp;VAR:INDEX=0"}</definedName>
    <definedName name="_4655__FDSAUDITLINK__" localSheetId="6" hidden="1">{"fdsup://directions/FAT Viewer?action=UPDATE&amp;creator=factset&amp;DYN_ARGS=TRUE&amp;DOC_NAME=FAT:FQL_AUDITING_CLIENT_TEMPLATE.FAT&amp;display_string=Audit&amp;VAR:KEY=ZKDCHABQVC&amp;VAR:QUERY=RkZfRUJJVERBX0lCKCdMVE1TJywzOTIzMCk=&amp;WINDOW=FIRST_POPUP&amp;HEIGHT=450&amp;WIDTH=450&amp;START_MA","XIMIZED=FALSE&amp;VAR:CALENDAR=US&amp;VAR:SYMBOL=37183T10&amp;VAR:INDEX=0"}</definedName>
    <definedName name="_4655__FDSAUDITLINK__" hidden="1">{"fdsup://directions/FAT Viewer?action=UPDATE&amp;creator=factset&amp;DYN_ARGS=TRUE&amp;DOC_NAME=FAT:FQL_AUDITING_CLIENT_TEMPLATE.FAT&amp;display_string=Audit&amp;VAR:KEY=ZKDCHABQVC&amp;VAR:QUERY=RkZfRUJJVERBX0lCKCdMVE1TJywzOTIzMCk=&amp;WINDOW=FIRST_POPUP&amp;HEIGHT=450&amp;WIDTH=450&amp;START_MA","XIMIZED=FALSE&amp;VAR:CALENDAR=US&amp;VAR:SYMBOL=37183T10&amp;VAR:INDEX=0"}</definedName>
    <definedName name="_4656__FDSAUDITLINK__" localSheetId="6" hidden="1">{"fdsup://directions/FAT Viewer?action=UPDATE&amp;creator=factset&amp;DYN_ARGS=TRUE&amp;DOC_NAME=FAT:FQL_AUDITING_CLIENT_TEMPLATE.FAT&amp;display_string=Audit&amp;VAR:KEY=LITGRAXWNK&amp;VAR:QUERY=RkZfRUJJVERBX0lCKCdMVE1TJywzOTIyOSk=&amp;WINDOW=FIRST_POPUP&amp;HEIGHT=450&amp;WIDTH=450&amp;START_MA","XIMIZED=FALSE&amp;VAR:CALENDAR=US&amp;VAR:SYMBOL=37183T10&amp;VAR:INDEX=0"}</definedName>
    <definedName name="_4656__FDSAUDITLINK__" hidden="1">{"fdsup://directions/FAT Viewer?action=UPDATE&amp;creator=factset&amp;DYN_ARGS=TRUE&amp;DOC_NAME=FAT:FQL_AUDITING_CLIENT_TEMPLATE.FAT&amp;display_string=Audit&amp;VAR:KEY=LITGRAXWNK&amp;VAR:QUERY=RkZfRUJJVERBX0lCKCdMVE1TJywzOTIyOSk=&amp;WINDOW=FIRST_POPUP&amp;HEIGHT=450&amp;WIDTH=450&amp;START_MA","XIMIZED=FALSE&amp;VAR:CALENDAR=US&amp;VAR:SYMBOL=37183T10&amp;VAR:INDEX=0"}</definedName>
    <definedName name="_4657__FDSAUDITLINK__" localSheetId="6" hidden="1">{"fdsup://directions/FAT Viewer?action=UPDATE&amp;creator=factset&amp;DYN_ARGS=TRUE&amp;DOC_NAME=FAT:FQL_AUDITING_CLIENT_TEMPLATE.FAT&amp;display_string=Audit&amp;VAR:KEY=FYHIVEXOTI&amp;VAR:QUERY=RkZfRUJJVERBX0lCKCdMVE1TJywzOTIyOCk=&amp;WINDOW=FIRST_POPUP&amp;HEIGHT=450&amp;WIDTH=450&amp;START_MA","XIMIZED=FALSE&amp;VAR:CALENDAR=US&amp;VAR:SYMBOL=37183T10&amp;VAR:INDEX=0"}</definedName>
    <definedName name="_4657__FDSAUDITLINK__" hidden="1">{"fdsup://directions/FAT Viewer?action=UPDATE&amp;creator=factset&amp;DYN_ARGS=TRUE&amp;DOC_NAME=FAT:FQL_AUDITING_CLIENT_TEMPLATE.FAT&amp;display_string=Audit&amp;VAR:KEY=FYHIVEXOTI&amp;VAR:QUERY=RkZfRUJJVERBX0lCKCdMVE1TJywzOTIyOCk=&amp;WINDOW=FIRST_POPUP&amp;HEIGHT=450&amp;WIDTH=450&amp;START_MA","XIMIZED=FALSE&amp;VAR:CALENDAR=US&amp;VAR:SYMBOL=37183T10&amp;VAR:INDEX=0"}</definedName>
    <definedName name="_4658__FDSAUDITLINK__" localSheetId="6" hidden="1">{"fdsup://directions/FAT Viewer?action=UPDATE&amp;creator=factset&amp;DYN_ARGS=TRUE&amp;DOC_NAME=FAT:FQL_AUDITING_CLIENT_TEMPLATE.FAT&amp;display_string=Audit&amp;VAR:KEY=XSHKVONUNS&amp;VAR:QUERY=RkZfRUJJVERBX0lCKCdMVE1TJywzOTIyNyk=&amp;WINDOW=FIRST_POPUP&amp;HEIGHT=450&amp;WIDTH=450&amp;START_MA","XIMIZED=FALSE&amp;VAR:CALENDAR=US&amp;VAR:SYMBOL=37183T10&amp;VAR:INDEX=0"}</definedName>
    <definedName name="_4658__FDSAUDITLINK__" hidden="1">{"fdsup://directions/FAT Viewer?action=UPDATE&amp;creator=factset&amp;DYN_ARGS=TRUE&amp;DOC_NAME=FAT:FQL_AUDITING_CLIENT_TEMPLATE.FAT&amp;display_string=Audit&amp;VAR:KEY=XSHKVONUNS&amp;VAR:QUERY=RkZfRUJJVERBX0lCKCdMVE1TJywzOTIyNyk=&amp;WINDOW=FIRST_POPUP&amp;HEIGHT=450&amp;WIDTH=450&amp;START_MA","XIMIZED=FALSE&amp;VAR:CALENDAR=US&amp;VAR:SYMBOL=37183T10&amp;VAR:INDEX=0"}</definedName>
    <definedName name="_4659__FDSAUDITLINK__" localSheetId="6" hidden="1">{"fdsup://directions/FAT Viewer?action=UPDATE&amp;creator=factset&amp;DYN_ARGS=TRUE&amp;DOC_NAME=FAT:FQL_AUDITING_CLIENT_TEMPLATE.FAT&amp;display_string=Audit&amp;VAR:KEY=TCDANIPORG&amp;VAR:QUERY=RkZfRUJJVERBX0lCKCdMVE1TJywzOTIyNik=&amp;WINDOW=FIRST_POPUP&amp;HEIGHT=450&amp;WIDTH=450&amp;START_MA","XIMIZED=FALSE&amp;VAR:CALENDAR=US&amp;VAR:SYMBOL=37183T10&amp;VAR:INDEX=0"}</definedName>
    <definedName name="_4659__FDSAUDITLINK__" hidden="1">{"fdsup://directions/FAT Viewer?action=UPDATE&amp;creator=factset&amp;DYN_ARGS=TRUE&amp;DOC_NAME=FAT:FQL_AUDITING_CLIENT_TEMPLATE.FAT&amp;display_string=Audit&amp;VAR:KEY=TCDANIPORG&amp;VAR:QUERY=RkZfRUJJVERBX0lCKCdMVE1TJywzOTIyNik=&amp;WINDOW=FIRST_POPUP&amp;HEIGHT=450&amp;WIDTH=450&amp;START_MA","XIMIZED=FALSE&amp;VAR:CALENDAR=US&amp;VAR:SYMBOL=37183T10&amp;VAR:INDEX=0"}</definedName>
    <definedName name="_466__FDSAUDITLINK__" localSheetId="6" hidden="1">{"fdsup://directions/FAT%20Viewer?VAR:PED=LTM&amp;VAR:AUDIT_MODE=SUMMARY&amp;VAR:PERIOD=FIXED&amp;VAR:AUDIT_ID=00000117&amp;VAR:DATE=20081112&amp;action=UPDATE&amp;creator=factset&amp;DOC_NAME=FAT:FMA_audit_SUMMARY.fat&amp;DISPLAY_STRING=Display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6__FDSAUDITLINK__" hidden="1">{"fdsup://directions/FAT%20Viewer?VAR:PED=LTM&amp;VAR:AUDIT_MODE=SUMMARY&amp;VAR:PERIOD=FIXED&amp;VAR:AUDIT_ID=00000117&amp;VAR:DATE=20081112&amp;action=UPDATE&amp;creator=factset&amp;DOC_NAME=FAT:FMA_audit_SUMMARY.fat&amp;DISPLAY_STRING=Display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60__FDSAUDITLINK__" localSheetId="6" hidden="1">{"fdsup://directions/FAT Viewer?action=UPDATE&amp;creator=factset&amp;DYN_ARGS=TRUE&amp;DOC_NAME=FAT:FQL_AUDITING_CLIENT_TEMPLATE.FAT&amp;display_string=Audit&amp;VAR:KEY=NIJGDCZYVO&amp;VAR:QUERY=RkZfRUJJVERBX0lCKCdMVE1TJywzOTIyNSk=&amp;WINDOW=FIRST_POPUP&amp;HEIGHT=450&amp;WIDTH=450&amp;START_MA","XIMIZED=FALSE&amp;VAR:CALENDAR=US&amp;VAR:SYMBOL=37183T10&amp;VAR:INDEX=0"}</definedName>
    <definedName name="_4660__FDSAUDITLINK__" hidden="1">{"fdsup://directions/FAT Viewer?action=UPDATE&amp;creator=factset&amp;DYN_ARGS=TRUE&amp;DOC_NAME=FAT:FQL_AUDITING_CLIENT_TEMPLATE.FAT&amp;display_string=Audit&amp;VAR:KEY=NIJGDCZYVO&amp;VAR:QUERY=RkZfRUJJVERBX0lCKCdMVE1TJywzOTIyNSk=&amp;WINDOW=FIRST_POPUP&amp;HEIGHT=450&amp;WIDTH=450&amp;START_MA","XIMIZED=FALSE&amp;VAR:CALENDAR=US&amp;VAR:SYMBOL=37183T10&amp;VAR:INDEX=0"}</definedName>
    <definedName name="_4661__FDSAUDITLINK__" localSheetId="6" hidden="1">{"fdsup://directions/FAT Viewer?action=UPDATE&amp;creator=factset&amp;DYN_ARGS=TRUE&amp;DOC_NAME=FAT:FQL_AUDITING_CLIENT_TEMPLATE.FAT&amp;display_string=Audit&amp;VAR:KEY=HKBEFMRSJG&amp;VAR:QUERY=RkZfRUJJVERBX0lCKCdMVE1TJywzOTIyNCk=&amp;WINDOW=FIRST_POPUP&amp;HEIGHT=450&amp;WIDTH=450&amp;START_MA","XIMIZED=FALSE&amp;VAR:CALENDAR=US&amp;VAR:SYMBOL=37183T10&amp;VAR:INDEX=0"}</definedName>
    <definedName name="_4661__FDSAUDITLINK__" hidden="1">{"fdsup://directions/FAT Viewer?action=UPDATE&amp;creator=factset&amp;DYN_ARGS=TRUE&amp;DOC_NAME=FAT:FQL_AUDITING_CLIENT_TEMPLATE.FAT&amp;display_string=Audit&amp;VAR:KEY=HKBEFMRSJG&amp;VAR:QUERY=RkZfRUJJVERBX0lCKCdMVE1TJywzOTIyNCk=&amp;WINDOW=FIRST_POPUP&amp;HEIGHT=450&amp;WIDTH=450&amp;START_MA","XIMIZED=FALSE&amp;VAR:CALENDAR=US&amp;VAR:SYMBOL=37183T10&amp;VAR:INDEX=0"}</definedName>
    <definedName name="_4662__FDSAUDITLINK__" localSheetId="6" hidden="1">{"fdsup://directions/FAT Viewer?action=UPDATE&amp;creator=factset&amp;DYN_ARGS=TRUE&amp;DOC_NAME=FAT:FQL_AUDITING_CLIENT_TEMPLATE.FAT&amp;display_string=Audit&amp;VAR:KEY=RILEFUDWZS&amp;VAR:QUERY=RkZfRUJJVERBX0lCKCdMVE1TJywzOTIyMyk=&amp;WINDOW=FIRST_POPUP&amp;HEIGHT=450&amp;WIDTH=450&amp;START_MA","XIMIZED=FALSE&amp;VAR:CALENDAR=US&amp;VAR:SYMBOL=37183T10&amp;VAR:INDEX=0"}</definedName>
    <definedName name="_4662__FDSAUDITLINK__" hidden="1">{"fdsup://directions/FAT Viewer?action=UPDATE&amp;creator=factset&amp;DYN_ARGS=TRUE&amp;DOC_NAME=FAT:FQL_AUDITING_CLIENT_TEMPLATE.FAT&amp;display_string=Audit&amp;VAR:KEY=RILEFUDWZS&amp;VAR:QUERY=RkZfRUJJVERBX0lCKCdMVE1TJywzOTIyMyk=&amp;WINDOW=FIRST_POPUP&amp;HEIGHT=450&amp;WIDTH=450&amp;START_MA","XIMIZED=FALSE&amp;VAR:CALENDAR=US&amp;VAR:SYMBOL=37183T10&amp;VAR:INDEX=0"}</definedName>
    <definedName name="_4663__FDSAUDITLINK__" localSheetId="6" hidden="1">{"fdsup://directions/FAT Viewer?action=UPDATE&amp;creator=factset&amp;DYN_ARGS=TRUE&amp;DOC_NAME=FAT:FQL_AUDITING_CLIENT_TEMPLATE.FAT&amp;display_string=Audit&amp;VAR:KEY=TOHOFYXQNU&amp;VAR:QUERY=RkZfRUJJVERBX0lCKCdMVE1TJywzOTIyMik=&amp;WINDOW=FIRST_POPUP&amp;HEIGHT=450&amp;WIDTH=450&amp;START_MA","XIMIZED=FALSE&amp;VAR:CALENDAR=US&amp;VAR:SYMBOL=37183T10&amp;VAR:INDEX=0"}</definedName>
    <definedName name="_4663__FDSAUDITLINK__" hidden="1">{"fdsup://directions/FAT Viewer?action=UPDATE&amp;creator=factset&amp;DYN_ARGS=TRUE&amp;DOC_NAME=FAT:FQL_AUDITING_CLIENT_TEMPLATE.FAT&amp;display_string=Audit&amp;VAR:KEY=TOHOFYXQNU&amp;VAR:QUERY=RkZfRUJJVERBX0lCKCdMVE1TJywzOTIyMik=&amp;WINDOW=FIRST_POPUP&amp;HEIGHT=450&amp;WIDTH=450&amp;START_MA","XIMIZED=FALSE&amp;VAR:CALENDAR=US&amp;VAR:SYMBOL=37183T10&amp;VAR:INDEX=0"}</definedName>
    <definedName name="_4664__FDSAUDITLINK__" localSheetId="6" hidden="1">{"fdsup://directions/FAT Viewer?action=UPDATE&amp;creator=factset&amp;DYN_ARGS=TRUE&amp;DOC_NAME=FAT:FQL_AUDITING_CLIENT_TEMPLATE.FAT&amp;display_string=Audit&amp;VAR:KEY=RSLWZYXQVS&amp;VAR:QUERY=RkZfRUJJVERBX0lCKCdMVE1TJywzOTIyMSk=&amp;WINDOW=FIRST_POPUP&amp;HEIGHT=450&amp;WIDTH=450&amp;START_MA","XIMIZED=FALSE&amp;VAR:CALENDAR=US&amp;VAR:SYMBOL=37183T10&amp;VAR:INDEX=0"}</definedName>
    <definedName name="_4664__FDSAUDITLINK__" hidden="1">{"fdsup://directions/FAT Viewer?action=UPDATE&amp;creator=factset&amp;DYN_ARGS=TRUE&amp;DOC_NAME=FAT:FQL_AUDITING_CLIENT_TEMPLATE.FAT&amp;display_string=Audit&amp;VAR:KEY=RSLWZYXQVS&amp;VAR:QUERY=RkZfRUJJVERBX0lCKCdMVE1TJywzOTIyMSk=&amp;WINDOW=FIRST_POPUP&amp;HEIGHT=450&amp;WIDTH=450&amp;START_MA","XIMIZED=FALSE&amp;VAR:CALENDAR=US&amp;VAR:SYMBOL=37183T10&amp;VAR:INDEX=0"}</definedName>
    <definedName name="_4665__FDSAUDITLINK__" localSheetId="6" hidden="1">{"fdsup://directions/FAT Viewer?action=UPDATE&amp;creator=factset&amp;DYN_ARGS=TRUE&amp;DOC_NAME=FAT:FQL_AUDITING_CLIENT_TEMPLATE.FAT&amp;display_string=Audit&amp;VAR:KEY=ZOTYRMDSJO&amp;VAR:QUERY=RkZfRUJJVERBX0lCKCdMVE1TJywzOTIyMCk=&amp;WINDOW=FIRST_POPUP&amp;HEIGHT=450&amp;WIDTH=450&amp;START_MA","XIMIZED=FALSE&amp;VAR:CALENDAR=US&amp;VAR:SYMBOL=37183T10&amp;VAR:INDEX=0"}</definedName>
    <definedName name="_4665__FDSAUDITLINK__" hidden="1">{"fdsup://directions/FAT Viewer?action=UPDATE&amp;creator=factset&amp;DYN_ARGS=TRUE&amp;DOC_NAME=FAT:FQL_AUDITING_CLIENT_TEMPLATE.FAT&amp;display_string=Audit&amp;VAR:KEY=ZOTYRMDSJO&amp;VAR:QUERY=RkZfRUJJVERBX0lCKCdMVE1TJywzOTIyMCk=&amp;WINDOW=FIRST_POPUP&amp;HEIGHT=450&amp;WIDTH=450&amp;START_MA","XIMIZED=FALSE&amp;VAR:CALENDAR=US&amp;VAR:SYMBOL=37183T10&amp;VAR:INDEX=0"}</definedName>
    <definedName name="_4666__FDSAUDITLINK__" localSheetId="6" hidden="1">{"fdsup://directions/FAT Viewer?action=UPDATE&amp;creator=factset&amp;DYN_ARGS=TRUE&amp;DOC_NAME=FAT:FQL_AUDITING_CLIENT_TEMPLATE.FAT&amp;display_string=Audit&amp;VAR:KEY=FMLYLCVUFY&amp;VAR:QUERY=RkZfRUJJVERBX0lCKCdMVE1TJywzOTIxOSk=&amp;WINDOW=FIRST_POPUP&amp;HEIGHT=450&amp;WIDTH=450&amp;START_MA","XIMIZED=FALSE&amp;VAR:CALENDAR=US&amp;VAR:SYMBOL=37183T10&amp;VAR:INDEX=0"}</definedName>
    <definedName name="_4666__FDSAUDITLINK__" hidden="1">{"fdsup://directions/FAT Viewer?action=UPDATE&amp;creator=factset&amp;DYN_ARGS=TRUE&amp;DOC_NAME=FAT:FQL_AUDITING_CLIENT_TEMPLATE.FAT&amp;display_string=Audit&amp;VAR:KEY=FMLYLCVUFY&amp;VAR:QUERY=RkZfRUJJVERBX0lCKCdMVE1TJywzOTIxOSk=&amp;WINDOW=FIRST_POPUP&amp;HEIGHT=450&amp;WIDTH=450&amp;START_MA","XIMIZED=FALSE&amp;VAR:CALENDAR=US&amp;VAR:SYMBOL=37183T10&amp;VAR:INDEX=0"}</definedName>
    <definedName name="_4667__FDSAUDITLINK__" localSheetId="6" hidden="1">{"fdsup://directions/FAT Viewer?action=UPDATE&amp;creator=factset&amp;DYN_ARGS=TRUE&amp;DOC_NAME=FAT:FQL_AUDITING_CLIENT_TEMPLATE.FAT&amp;display_string=Audit&amp;VAR:KEY=ZOXGBABIJW&amp;VAR:QUERY=RkZfRUJJVERBX0lCKCdMVE1TJywzOTIxOCk=&amp;WINDOW=FIRST_POPUP&amp;HEIGHT=450&amp;WIDTH=450&amp;START_MA","XIMIZED=FALSE&amp;VAR:CALENDAR=US&amp;VAR:SYMBOL=37183T10&amp;VAR:INDEX=0"}</definedName>
    <definedName name="_4667__FDSAUDITLINK__" hidden="1">{"fdsup://directions/FAT Viewer?action=UPDATE&amp;creator=factset&amp;DYN_ARGS=TRUE&amp;DOC_NAME=FAT:FQL_AUDITING_CLIENT_TEMPLATE.FAT&amp;display_string=Audit&amp;VAR:KEY=ZOXGBABIJW&amp;VAR:QUERY=RkZfRUJJVERBX0lCKCdMVE1TJywzOTIxOCk=&amp;WINDOW=FIRST_POPUP&amp;HEIGHT=450&amp;WIDTH=450&amp;START_MA","XIMIZED=FALSE&amp;VAR:CALENDAR=US&amp;VAR:SYMBOL=37183T10&amp;VAR:INDEX=0"}</definedName>
    <definedName name="_4668__FDSAUDITLINK__" localSheetId="6" hidden="1">{"fdsup://directions/FAT Viewer?action=UPDATE&amp;creator=factset&amp;DYN_ARGS=TRUE&amp;DOC_NAME=FAT:FQL_AUDITING_CLIENT_TEMPLATE.FAT&amp;display_string=Audit&amp;VAR:KEY=JMDWPKVKNM&amp;VAR:QUERY=RkZfRUJJVERBX0lCKCdMVE1TJywzOTIxNyk=&amp;WINDOW=FIRST_POPUP&amp;HEIGHT=450&amp;WIDTH=450&amp;START_MA","XIMIZED=FALSE&amp;VAR:CALENDAR=US&amp;VAR:SYMBOL=37183T10&amp;VAR:INDEX=0"}</definedName>
    <definedName name="_4668__FDSAUDITLINK__" hidden="1">{"fdsup://directions/FAT Viewer?action=UPDATE&amp;creator=factset&amp;DYN_ARGS=TRUE&amp;DOC_NAME=FAT:FQL_AUDITING_CLIENT_TEMPLATE.FAT&amp;display_string=Audit&amp;VAR:KEY=JMDWPKVKNM&amp;VAR:QUERY=RkZfRUJJVERBX0lCKCdMVE1TJywzOTIxNyk=&amp;WINDOW=FIRST_POPUP&amp;HEIGHT=450&amp;WIDTH=450&amp;START_MA","XIMIZED=FALSE&amp;VAR:CALENDAR=US&amp;VAR:SYMBOL=37183T10&amp;VAR:INDEX=0"}</definedName>
    <definedName name="_4669__FDSAUDITLINK__" localSheetId="6" hidden="1">{"fdsup://directions/FAT Viewer?action=UPDATE&amp;creator=factset&amp;DYN_ARGS=TRUE&amp;DOC_NAME=FAT:FQL_AUDITING_CLIENT_TEMPLATE.FAT&amp;display_string=Audit&amp;VAR:KEY=VOLCVAXQDI&amp;VAR:QUERY=RkZfRUJJVERBX0lCKCdMVE1TJywzOTIxNik=&amp;WINDOW=FIRST_POPUP&amp;HEIGHT=450&amp;WIDTH=450&amp;START_MA","XIMIZED=FALSE&amp;VAR:CALENDAR=US&amp;VAR:SYMBOL=37183T10&amp;VAR:INDEX=0"}</definedName>
    <definedName name="_4669__FDSAUDITLINK__" hidden="1">{"fdsup://directions/FAT Viewer?action=UPDATE&amp;creator=factset&amp;DYN_ARGS=TRUE&amp;DOC_NAME=FAT:FQL_AUDITING_CLIENT_TEMPLATE.FAT&amp;display_string=Audit&amp;VAR:KEY=VOLCVAXQDI&amp;VAR:QUERY=RkZfRUJJVERBX0lCKCdMVE1TJywzOTIxNik=&amp;WINDOW=FIRST_POPUP&amp;HEIGHT=450&amp;WIDTH=450&amp;START_MA","XIMIZED=FALSE&amp;VAR:CALENDAR=US&amp;VAR:SYMBOL=37183T10&amp;VAR:INDEX=0"}</definedName>
    <definedName name="_467__FDSAUDITLINK__" localSheetId="6" hidden="1">{"fdsup://directions/FAT%20Viewer?VAR:PED=LTM&amp;VAR:AUDIT_MODE=SUMMARY&amp;VAR:PERIOD=FIXED&amp;VAR:AUDIT_ID=00000117&amp;VAR:DATE=20081111&amp;action=UPDATE&amp;creator=factset&amp;DOC_NAME=FAT:FMA_audit_SUMMARY.fat&amp;DISPLAY_STRING=Display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7__FDSAUDITLINK__" hidden="1">{"fdsup://directions/FAT%20Viewer?VAR:PED=LTM&amp;VAR:AUDIT_MODE=SUMMARY&amp;VAR:PERIOD=FIXED&amp;VAR:AUDIT_ID=00000117&amp;VAR:DATE=20081111&amp;action=UPDATE&amp;creator=factset&amp;DOC_NAME=FAT:FMA_audit_SUMMARY.fat&amp;DISPLAY_STRING=Display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70__FDSAUDITLINK__" localSheetId="6" hidden="1">{"fdsup://directions/FAT Viewer?action=UPDATE&amp;creator=factset&amp;DYN_ARGS=TRUE&amp;DOC_NAME=FAT:FQL_AUDITING_CLIENT_TEMPLATE.FAT&amp;display_string=Audit&amp;VAR:KEY=LUBQTUZUVM&amp;VAR:QUERY=RkZfRUJJVERBX0lCKCdMVE1TJywzOTIxNSk=&amp;WINDOW=FIRST_POPUP&amp;HEIGHT=450&amp;WIDTH=450&amp;START_MA","XIMIZED=FALSE&amp;VAR:CALENDAR=US&amp;VAR:SYMBOL=37183T10&amp;VAR:INDEX=0"}</definedName>
    <definedName name="_4670__FDSAUDITLINK__" hidden="1">{"fdsup://directions/FAT Viewer?action=UPDATE&amp;creator=factset&amp;DYN_ARGS=TRUE&amp;DOC_NAME=FAT:FQL_AUDITING_CLIENT_TEMPLATE.FAT&amp;display_string=Audit&amp;VAR:KEY=LUBQTUZUVM&amp;VAR:QUERY=RkZfRUJJVERBX0lCKCdMVE1TJywzOTIxNSk=&amp;WINDOW=FIRST_POPUP&amp;HEIGHT=450&amp;WIDTH=450&amp;START_MA","XIMIZED=FALSE&amp;VAR:CALENDAR=US&amp;VAR:SYMBOL=37183T10&amp;VAR:INDEX=0"}</definedName>
    <definedName name="_4671__FDSAUDITLINK__" localSheetId="6" hidden="1">{"fdsup://directions/FAT Viewer?action=UPDATE&amp;creator=factset&amp;DYN_ARGS=TRUE&amp;DOC_NAME=FAT:FQL_AUDITING_CLIENT_TEMPLATE.FAT&amp;display_string=Audit&amp;VAR:KEY=HIVYDUVOZW&amp;VAR:QUERY=RkZfRUJJVERBX0lCKCdMVE1TJywzOTIxNCk=&amp;WINDOW=FIRST_POPUP&amp;HEIGHT=450&amp;WIDTH=450&amp;START_MA","XIMIZED=FALSE&amp;VAR:CALENDAR=US&amp;VAR:SYMBOL=37183T10&amp;VAR:INDEX=0"}</definedName>
    <definedName name="_4671__FDSAUDITLINK__" hidden="1">{"fdsup://directions/FAT Viewer?action=UPDATE&amp;creator=factset&amp;DYN_ARGS=TRUE&amp;DOC_NAME=FAT:FQL_AUDITING_CLIENT_TEMPLATE.FAT&amp;display_string=Audit&amp;VAR:KEY=HIVYDUVOZW&amp;VAR:QUERY=RkZfRUJJVERBX0lCKCdMVE1TJywzOTIxNCk=&amp;WINDOW=FIRST_POPUP&amp;HEIGHT=450&amp;WIDTH=450&amp;START_MA","XIMIZED=FALSE&amp;VAR:CALENDAR=US&amp;VAR:SYMBOL=37183T10&amp;VAR:INDEX=0"}</definedName>
    <definedName name="_4672__FDSAUDITLINK__" localSheetId="6" hidden="1">{"fdsup://directions/FAT Viewer?action=UPDATE&amp;creator=factset&amp;DYN_ARGS=TRUE&amp;DOC_NAME=FAT:FQL_AUDITING_CLIENT_TEMPLATE.FAT&amp;display_string=Audit&amp;VAR:KEY=RIHKHOFOXS&amp;VAR:QUERY=RkZfRUJJVERBX0lCKCdMVE1TJywzOTIxMyk=&amp;WINDOW=FIRST_POPUP&amp;HEIGHT=450&amp;WIDTH=450&amp;START_MA","XIMIZED=FALSE&amp;VAR:CALENDAR=US&amp;VAR:SYMBOL=37183T10&amp;VAR:INDEX=0"}</definedName>
    <definedName name="_4672__FDSAUDITLINK__" hidden="1">{"fdsup://directions/FAT Viewer?action=UPDATE&amp;creator=factset&amp;DYN_ARGS=TRUE&amp;DOC_NAME=FAT:FQL_AUDITING_CLIENT_TEMPLATE.FAT&amp;display_string=Audit&amp;VAR:KEY=RIHKHOFOXS&amp;VAR:QUERY=RkZfRUJJVERBX0lCKCdMVE1TJywzOTIxMyk=&amp;WINDOW=FIRST_POPUP&amp;HEIGHT=450&amp;WIDTH=450&amp;START_MA","XIMIZED=FALSE&amp;VAR:CALENDAR=US&amp;VAR:SYMBOL=37183T10&amp;VAR:INDEX=0"}</definedName>
    <definedName name="_4673__FDSAUDITLINK__" localSheetId="6" hidden="1">{"fdsup://directions/FAT Viewer?action=UPDATE&amp;creator=factset&amp;DYN_ARGS=TRUE&amp;DOC_NAME=FAT:FQL_AUDITING_CLIENT_TEMPLATE.FAT&amp;display_string=Audit&amp;VAR:KEY=TQBGXELIHU&amp;VAR:QUERY=RkZfRUJJVERBX0lCKCdMVE1TJywzOTIxMik=&amp;WINDOW=FIRST_POPUP&amp;HEIGHT=450&amp;WIDTH=450&amp;START_MA","XIMIZED=FALSE&amp;VAR:CALENDAR=US&amp;VAR:SYMBOL=37183T10&amp;VAR:INDEX=0"}</definedName>
    <definedName name="_4673__FDSAUDITLINK__" hidden="1">{"fdsup://directions/FAT Viewer?action=UPDATE&amp;creator=factset&amp;DYN_ARGS=TRUE&amp;DOC_NAME=FAT:FQL_AUDITING_CLIENT_TEMPLATE.FAT&amp;display_string=Audit&amp;VAR:KEY=TQBGXELIHU&amp;VAR:QUERY=RkZfRUJJVERBX0lCKCdMVE1TJywzOTIxMik=&amp;WINDOW=FIRST_POPUP&amp;HEIGHT=450&amp;WIDTH=450&amp;START_MA","XIMIZED=FALSE&amp;VAR:CALENDAR=US&amp;VAR:SYMBOL=37183T10&amp;VAR:INDEX=0"}</definedName>
    <definedName name="_4674__FDSAUDITLINK__" localSheetId="6" hidden="1">{"fdsup://directions/FAT Viewer?action=UPDATE&amp;creator=factset&amp;DYN_ARGS=TRUE&amp;DOC_NAME=FAT:FQL_AUDITING_CLIENT_TEMPLATE.FAT&amp;display_string=Audit&amp;VAR:KEY=BYZGNWXWRW&amp;VAR:QUERY=RkZfRUJJVERBX0lCKCdMVE1TJywzOTIxMSk=&amp;WINDOW=FIRST_POPUP&amp;HEIGHT=450&amp;WIDTH=450&amp;START_MA","XIMIZED=FALSE&amp;VAR:CALENDAR=US&amp;VAR:SYMBOL=37183T10&amp;VAR:INDEX=0"}</definedName>
    <definedName name="_4674__FDSAUDITLINK__" hidden="1">{"fdsup://directions/FAT Viewer?action=UPDATE&amp;creator=factset&amp;DYN_ARGS=TRUE&amp;DOC_NAME=FAT:FQL_AUDITING_CLIENT_TEMPLATE.FAT&amp;display_string=Audit&amp;VAR:KEY=BYZGNWXWRW&amp;VAR:QUERY=RkZfRUJJVERBX0lCKCdMVE1TJywzOTIxMSk=&amp;WINDOW=FIRST_POPUP&amp;HEIGHT=450&amp;WIDTH=450&amp;START_MA","XIMIZED=FALSE&amp;VAR:CALENDAR=US&amp;VAR:SYMBOL=37183T10&amp;VAR:INDEX=0"}</definedName>
    <definedName name="_4675__FDSAUDITLINK__" localSheetId="6" hidden="1">{"fdsup://directions/FAT Viewer?action=UPDATE&amp;creator=factset&amp;DYN_ARGS=TRUE&amp;DOC_NAME=FAT:FQL_AUDITING_CLIENT_TEMPLATE.FAT&amp;display_string=Audit&amp;VAR:KEY=LOROZYTYNW&amp;VAR:QUERY=RkZfRUJJVERBX0lCKCdMVE1TJywzOTIxMCk=&amp;WINDOW=FIRST_POPUP&amp;HEIGHT=450&amp;WIDTH=450&amp;START_MA","XIMIZED=FALSE&amp;VAR:CALENDAR=US&amp;VAR:SYMBOL=37183T10&amp;VAR:INDEX=0"}</definedName>
    <definedName name="_4675__FDSAUDITLINK__" hidden="1">{"fdsup://directions/FAT Viewer?action=UPDATE&amp;creator=factset&amp;DYN_ARGS=TRUE&amp;DOC_NAME=FAT:FQL_AUDITING_CLIENT_TEMPLATE.FAT&amp;display_string=Audit&amp;VAR:KEY=LOROZYTYNW&amp;VAR:QUERY=RkZfRUJJVERBX0lCKCdMVE1TJywzOTIxMCk=&amp;WINDOW=FIRST_POPUP&amp;HEIGHT=450&amp;WIDTH=450&amp;START_MA","XIMIZED=FALSE&amp;VAR:CALENDAR=US&amp;VAR:SYMBOL=37183T10&amp;VAR:INDEX=0"}</definedName>
    <definedName name="_4676__FDSAUDITLINK__" localSheetId="6" hidden="1">{"fdsup://directions/FAT Viewer?action=UPDATE&amp;creator=factset&amp;DYN_ARGS=TRUE&amp;DOC_NAME=FAT:FQL_AUDITING_CLIENT_TEMPLATE.FAT&amp;display_string=Audit&amp;VAR:KEY=FIDALMZENK&amp;VAR:QUERY=RkZfRUJJVERBX0lCKCdMVE1TJywzOTIwOSk=&amp;WINDOW=FIRST_POPUP&amp;HEIGHT=450&amp;WIDTH=450&amp;START_MA","XIMIZED=FALSE&amp;VAR:CALENDAR=US&amp;VAR:SYMBOL=37183T10&amp;VAR:INDEX=0"}</definedName>
    <definedName name="_4676__FDSAUDITLINK__" hidden="1">{"fdsup://directions/FAT Viewer?action=UPDATE&amp;creator=factset&amp;DYN_ARGS=TRUE&amp;DOC_NAME=FAT:FQL_AUDITING_CLIENT_TEMPLATE.FAT&amp;display_string=Audit&amp;VAR:KEY=FIDALMZENK&amp;VAR:QUERY=RkZfRUJJVERBX0lCKCdMVE1TJywzOTIwOSk=&amp;WINDOW=FIRST_POPUP&amp;HEIGHT=450&amp;WIDTH=450&amp;START_MA","XIMIZED=FALSE&amp;VAR:CALENDAR=US&amp;VAR:SYMBOL=37183T10&amp;VAR:INDEX=0"}</definedName>
    <definedName name="_4677__FDSAUDITLINK__" localSheetId="6" hidden="1">{"fdsup://directions/FAT Viewer?action=UPDATE&amp;creator=factset&amp;DYN_ARGS=TRUE&amp;DOC_NAME=FAT:FQL_AUDITING_CLIENT_TEMPLATE.FAT&amp;display_string=Audit&amp;VAR:KEY=LWZOBUTEHA&amp;VAR:QUERY=RkZfRUJJVERBX0lCKCdMVE1TJywzOTIwOCk=&amp;WINDOW=FIRST_POPUP&amp;HEIGHT=450&amp;WIDTH=450&amp;START_MA","XIMIZED=FALSE&amp;VAR:CALENDAR=US&amp;VAR:SYMBOL=37183T10&amp;VAR:INDEX=0"}</definedName>
    <definedName name="_4677__FDSAUDITLINK__" hidden="1">{"fdsup://directions/FAT Viewer?action=UPDATE&amp;creator=factset&amp;DYN_ARGS=TRUE&amp;DOC_NAME=FAT:FQL_AUDITING_CLIENT_TEMPLATE.FAT&amp;display_string=Audit&amp;VAR:KEY=LWZOBUTEHA&amp;VAR:QUERY=RkZfRUJJVERBX0lCKCdMVE1TJywzOTIwOCk=&amp;WINDOW=FIRST_POPUP&amp;HEIGHT=450&amp;WIDTH=450&amp;START_MA","XIMIZED=FALSE&amp;VAR:CALENDAR=US&amp;VAR:SYMBOL=37183T10&amp;VAR:INDEX=0"}</definedName>
    <definedName name="_4678__FDSAUDITLINK__" localSheetId="6" hidden="1">{"fdsup://directions/FAT Viewer?action=UPDATE&amp;creator=factset&amp;DYN_ARGS=TRUE&amp;DOC_NAME=FAT:FQL_AUDITING_CLIENT_TEMPLATE.FAT&amp;display_string=Audit&amp;VAR:KEY=PMFIFWBETS&amp;VAR:QUERY=RkZfRUJJVERBX0lCKCdMVE1TJywzOTIwNyk=&amp;WINDOW=FIRST_POPUP&amp;HEIGHT=450&amp;WIDTH=450&amp;START_MA","XIMIZED=FALSE&amp;VAR:CALENDAR=US&amp;VAR:SYMBOL=37183T10&amp;VAR:INDEX=0"}</definedName>
    <definedName name="_4678__FDSAUDITLINK__" hidden="1">{"fdsup://directions/FAT Viewer?action=UPDATE&amp;creator=factset&amp;DYN_ARGS=TRUE&amp;DOC_NAME=FAT:FQL_AUDITING_CLIENT_TEMPLATE.FAT&amp;display_string=Audit&amp;VAR:KEY=PMFIFWBETS&amp;VAR:QUERY=RkZfRUJJVERBX0lCKCdMVE1TJywzOTIwNyk=&amp;WINDOW=FIRST_POPUP&amp;HEIGHT=450&amp;WIDTH=450&amp;START_MA","XIMIZED=FALSE&amp;VAR:CALENDAR=US&amp;VAR:SYMBOL=37183T10&amp;VAR:INDEX=0"}</definedName>
    <definedName name="_4679__FDSAUDITLINK__" localSheetId="6" hidden="1">{"fdsup://directions/FAT Viewer?action=UPDATE&amp;creator=factset&amp;DYN_ARGS=TRUE&amp;DOC_NAME=FAT:FQL_AUDITING_CLIENT_TEMPLATE.FAT&amp;display_string=Audit&amp;VAR:KEY=XMNSBUNYRM&amp;VAR:QUERY=RkZfRUJJVERBX0lCKCdMVE1TJywzOTIwNik=&amp;WINDOW=FIRST_POPUP&amp;HEIGHT=450&amp;WIDTH=450&amp;START_MA","XIMIZED=FALSE&amp;VAR:CALENDAR=US&amp;VAR:SYMBOL=37183T10&amp;VAR:INDEX=0"}</definedName>
    <definedName name="_4679__FDSAUDITLINK__" hidden="1">{"fdsup://directions/FAT Viewer?action=UPDATE&amp;creator=factset&amp;DYN_ARGS=TRUE&amp;DOC_NAME=FAT:FQL_AUDITING_CLIENT_TEMPLATE.FAT&amp;display_string=Audit&amp;VAR:KEY=XMNSBUNYRM&amp;VAR:QUERY=RkZfRUJJVERBX0lCKCdMVE1TJywzOTIwNik=&amp;WINDOW=FIRST_POPUP&amp;HEIGHT=450&amp;WIDTH=450&amp;START_MA","XIMIZED=FALSE&amp;VAR:CALENDAR=US&amp;VAR:SYMBOL=37183T10&amp;VAR:INDEX=0"}</definedName>
    <definedName name="_468__FDSAUDITLINK__" localSheetId="6" hidden="1">{"fdsup://directions/FAT%20Viewer?VAR:PED=LTM&amp;VAR:AUDIT_MODE=SUMMARY&amp;VAR:PERIOD=FIXED&amp;VAR:AUDIT_ID=00000117&amp;VAR:DATE=20081110&amp;action=UPDATE&amp;creator=factset&amp;DOC_NAME=FAT:FMA_audit_SUMMARY.fat&amp;DISPLAY_STRING=Display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8__FDSAUDITLINK__" hidden="1">{"fdsup://directions/FAT%20Viewer?VAR:PED=LTM&amp;VAR:AUDIT_MODE=SUMMARY&amp;VAR:PERIOD=FIXED&amp;VAR:AUDIT_ID=00000117&amp;VAR:DATE=20081110&amp;action=UPDATE&amp;creator=factset&amp;DOC_NAME=FAT:FMA_audit_SUMMARY.fat&amp;DISPLAY_STRING=Display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80__FDSAUDITLINK__" localSheetId="6" hidden="1">{"fdsup://directions/FAT Viewer?action=UPDATE&amp;creator=factset&amp;DYN_ARGS=TRUE&amp;DOC_NAME=FAT:FQL_AUDITING_CLIENT_TEMPLATE.FAT&amp;display_string=Audit&amp;VAR:KEY=ZCVWPEHERO&amp;VAR:QUERY=RkZfRUJJVERBX0lCKCdMVE1TJywzOTIwNSk=&amp;WINDOW=FIRST_POPUP&amp;HEIGHT=450&amp;WIDTH=450&amp;START_MA","XIMIZED=FALSE&amp;VAR:CALENDAR=US&amp;VAR:SYMBOL=37183T10&amp;VAR:INDEX=0"}</definedName>
    <definedName name="_4680__FDSAUDITLINK__" hidden="1">{"fdsup://directions/FAT Viewer?action=UPDATE&amp;creator=factset&amp;DYN_ARGS=TRUE&amp;DOC_NAME=FAT:FQL_AUDITING_CLIENT_TEMPLATE.FAT&amp;display_string=Audit&amp;VAR:KEY=ZCVWPEHERO&amp;VAR:QUERY=RkZfRUJJVERBX0lCKCdMVE1TJywzOTIwNSk=&amp;WINDOW=FIRST_POPUP&amp;HEIGHT=450&amp;WIDTH=450&amp;START_MA","XIMIZED=FALSE&amp;VAR:CALENDAR=US&amp;VAR:SYMBOL=37183T10&amp;VAR:INDEX=0"}</definedName>
    <definedName name="_4681__FDSAUDITLINK__" localSheetId="6" hidden="1">{"fdsup://directions/FAT Viewer?action=UPDATE&amp;creator=factset&amp;DYN_ARGS=TRUE&amp;DOC_NAME=FAT:FQL_AUDITING_CLIENT_TEMPLATE.FAT&amp;display_string=Audit&amp;VAR:KEY=PGTUXINYZY&amp;VAR:QUERY=RkZfRUJJVERBX0lCKCdMVE1TJywzOTIwNCk=&amp;WINDOW=FIRST_POPUP&amp;HEIGHT=450&amp;WIDTH=450&amp;START_MA","XIMIZED=FALSE&amp;VAR:CALENDAR=US&amp;VAR:SYMBOL=37183T10&amp;VAR:INDEX=0"}</definedName>
    <definedName name="_4681__FDSAUDITLINK__" hidden="1">{"fdsup://directions/FAT Viewer?action=UPDATE&amp;creator=factset&amp;DYN_ARGS=TRUE&amp;DOC_NAME=FAT:FQL_AUDITING_CLIENT_TEMPLATE.FAT&amp;display_string=Audit&amp;VAR:KEY=PGTUXINYZY&amp;VAR:QUERY=RkZfRUJJVERBX0lCKCdMVE1TJywzOTIwNCk=&amp;WINDOW=FIRST_POPUP&amp;HEIGHT=450&amp;WIDTH=450&amp;START_MA","XIMIZED=FALSE&amp;VAR:CALENDAR=US&amp;VAR:SYMBOL=37183T10&amp;VAR:INDEX=0"}</definedName>
    <definedName name="_4682__FDSAUDITLINK__" localSheetId="6" hidden="1">{"fdsup://directions/FAT Viewer?action=UPDATE&amp;creator=factset&amp;DYN_ARGS=TRUE&amp;DOC_NAME=FAT:FQL_AUDITING_CLIENT_TEMPLATE.FAT&amp;display_string=Audit&amp;VAR:KEY=ZMLQJIFOTU&amp;VAR:QUERY=RkZfRUJJVERBX0lCKCdMVE1TJywzOTIwMyk=&amp;WINDOW=FIRST_POPUP&amp;HEIGHT=450&amp;WIDTH=450&amp;START_MA","XIMIZED=FALSE&amp;VAR:CALENDAR=US&amp;VAR:SYMBOL=37183T10&amp;VAR:INDEX=0"}</definedName>
    <definedName name="_4682__FDSAUDITLINK__" hidden="1">{"fdsup://directions/FAT Viewer?action=UPDATE&amp;creator=factset&amp;DYN_ARGS=TRUE&amp;DOC_NAME=FAT:FQL_AUDITING_CLIENT_TEMPLATE.FAT&amp;display_string=Audit&amp;VAR:KEY=ZMLQJIFOTU&amp;VAR:QUERY=RkZfRUJJVERBX0lCKCdMVE1TJywzOTIwMyk=&amp;WINDOW=FIRST_POPUP&amp;HEIGHT=450&amp;WIDTH=450&amp;START_MA","XIMIZED=FALSE&amp;VAR:CALENDAR=US&amp;VAR:SYMBOL=37183T10&amp;VAR:INDEX=0"}</definedName>
    <definedName name="_4683__FDSAUDITLINK__" localSheetId="6" hidden="1">{"fdsup://directions/FAT Viewer?action=UPDATE&amp;creator=factset&amp;DYN_ARGS=TRUE&amp;DOC_NAME=FAT:FQL_AUDITING_CLIENT_TEMPLATE.FAT&amp;display_string=Audit&amp;VAR:KEY=FCVQJWXWHW&amp;VAR:QUERY=RkZfRUJJVERBX0lCKCdMVE1TJywzOTIwMik=&amp;WINDOW=FIRST_POPUP&amp;HEIGHT=450&amp;WIDTH=450&amp;START_MA","XIMIZED=FALSE&amp;VAR:CALENDAR=US&amp;VAR:SYMBOL=37183T10&amp;VAR:INDEX=0"}</definedName>
    <definedName name="_4683__FDSAUDITLINK__" hidden="1">{"fdsup://directions/FAT Viewer?action=UPDATE&amp;creator=factset&amp;DYN_ARGS=TRUE&amp;DOC_NAME=FAT:FQL_AUDITING_CLIENT_TEMPLATE.FAT&amp;display_string=Audit&amp;VAR:KEY=FCVQJWXWHW&amp;VAR:QUERY=RkZfRUJJVERBX0lCKCdMVE1TJywzOTIwMik=&amp;WINDOW=FIRST_POPUP&amp;HEIGHT=450&amp;WIDTH=450&amp;START_MA","XIMIZED=FALSE&amp;VAR:CALENDAR=US&amp;VAR:SYMBOL=37183T10&amp;VAR:INDEX=0"}</definedName>
    <definedName name="_4684__FDSAUDITLINK__" localSheetId="6" hidden="1">{"fdsup://directions/FAT Viewer?action=UPDATE&amp;creator=factset&amp;DYN_ARGS=TRUE&amp;DOC_NAME=FAT:FQL_AUDITING_CLIENT_TEMPLATE.FAT&amp;display_string=Audit&amp;VAR:KEY=PQJGRSLEPY&amp;VAR:QUERY=RkZfRUJJVERBX0lCKCdMVE1TJywzOTIwMSk=&amp;WINDOW=FIRST_POPUP&amp;HEIGHT=450&amp;WIDTH=450&amp;START_MA","XIMIZED=FALSE&amp;VAR:CALENDAR=US&amp;VAR:SYMBOL=37183T10&amp;VAR:INDEX=0"}</definedName>
    <definedName name="_4684__FDSAUDITLINK__" hidden="1">{"fdsup://directions/FAT Viewer?action=UPDATE&amp;creator=factset&amp;DYN_ARGS=TRUE&amp;DOC_NAME=FAT:FQL_AUDITING_CLIENT_TEMPLATE.FAT&amp;display_string=Audit&amp;VAR:KEY=PQJGRSLEPY&amp;VAR:QUERY=RkZfRUJJVERBX0lCKCdMVE1TJywzOTIwMSk=&amp;WINDOW=FIRST_POPUP&amp;HEIGHT=450&amp;WIDTH=450&amp;START_MA","XIMIZED=FALSE&amp;VAR:CALENDAR=US&amp;VAR:SYMBOL=37183T10&amp;VAR:INDEX=0"}</definedName>
    <definedName name="_4685__FDSAUDITLINK__" localSheetId="6" hidden="1">{"fdsup://directions/FAT Viewer?action=UPDATE&amp;creator=factset&amp;DYN_ARGS=TRUE&amp;DOC_NAME=FAT:FQL_AUDITING_CLIENT_TEMPLATE.FAT&amp;display_string=Audit&amp;VAR:KEY=TWTIJONMZE&amp;VAR:QUERY=RkZfRUJJVERBX0lCKCdMVE1TJywzOTIwMCk=&amp;WINDOW=FIRST_POPUP&amp;HEIGHT=450&amp;WIDTH=450&amp;START_MA","XIMIZED=FALSE&amp;VAR:CALENDAR=US&amp;VAR:SYMBOL=37183T10&amp;VAR:INDEX=0"}</definedName>
    <definedName name="_4685__FDSAUDITLINK__" hidden="1">{"fdsup://directions/FAT Viewer?action=UPDATE&amp;creator=factset&amp;DYN_ARGS=TRUE&amp;DOC_NAME=FAT:FQL_AUDITING_CLIENT_TEMPLATE.FAT&amp;display_string=Audit&amp;VAR:KEY=TWTIJONMZE&amp;VAR:QUERY=RkZfRUJJVERBX0lCKCdMVE1TJywzOTIwMCk=&amp;WINDOW=FIRST_POPUP&amp;HEIGHT=450&amp;WIDTH=450&amp;START_MA","XIMIZED=FALSE&amp;VAR:CALENDAR=US&amp;VAR:SYMBOL=37183T10&amp;VAR:INDEX=0"}</definedName>
    <definedName name="_4686__FDSAUDITLINK__" localSheetId="6" hidden="1">{"fdsup://directions/FAT Viewer?action=UPDATE&amp;creator=factset&amp;DYN_ARGS=TRUE&amp;DOC_NAME=FAT:FQL_AUDITING_CLIENT_TEMPLATE.FAT&amp;display_string=Audit&amp;VAR:KEY=DADIXAFSHA&amp;VAR:QUERY=RkZfRUJJVERBX0lCKCdMVE1TJywzOTE5OSk=&amp;WINDOW=FIRST_POPUP&amp;HEIGHT=450&amp;WIDTH=450&amp;START_MA","XIMIZED=FALSE&amp;VAR:CALENDAR=US&amp;VAR:SYMBOL=37183T10&amp;VAR:INDEX=0"}</definedName>
    <definedName name="_4686__FDSAUDITLINK__" hidden="1">{"fdsup://directions/FAT Viewer?action=UPDATE&amp;creator=factset&amp;DYN_ARGS=TRUE&amp;DOC_NAME=FAT:FQL_AUDITING_CLIENT_TEMPLATE.FAT&amp;display_string=Audit&amp;VAR:KEY=DADIXAFSHA&amp;VAR:QUERY=RkZfRUJJVERBX0lCKCdMVE1TJywzOTE5OSk=&amp;WINDOW=FIRST_POPUP&amp;HEIGHT=450&amp;WIDTH=450&amp;START_MA","XIMIZED=FALSE&amp;VAR:CALENDAR=US&amp;VAR:SYMBOL=37183T10&amp;VAR:INDEX=0"}</definedName>
    <definedName name="_4687__FDSAUDITLINK__" localSheetId="6" hidden="1">{"fdsup://directions/FAT Viewer?action=UPDATE&amp;creator=factset&amp;DYN_ARGS=TRUE&amp;DOC_NAME=FAT:FQL_AUDITING_CLIENT_TEMPLATE.FAT&amp;display_string=Audit&amp;VAR:KEY=BSFEVANWZE&amp;VAR:QUERY=RkZfRUJJVERBX0lCKCdMVE1TJywzOTE5OCk=&amp;WINDOW=FIRST_POPUP&amp;HEIGHT=450&amp;WIDTH=450&amp;START_MA","XIMIZED=FALSE&amp;VAR:CALENDAR=US&amp;VAR:SYMBOL=37183T10&amp;VAR:INDEX=0"}</definedName>
    <definedName name="_4687__FDSAUDITLINK__" hidden="1">{"fdsup://directions/FAT Viewer?action=UPDATE&amp;creator=factset&amp;DYN_ARGS=TRUE&amp;DOC_NAME=FAT:FQL_AUDITING_CLIENT_TEMPLATE.FAT&amp;display_string=Audit&amp;VAR:KEY=BSFEVANWZE&amp;VAR:QUERY=RkZfRUJJVERBX0lCKCdMVE1TJywzOTE5OCk=&amp;WINDOW=FIRST_POPUP&amp;HEIGHT=450&amp;WIDTH=450&amp;START_MA","XIMIZED=FALSE&amp;VAR:CALENDAR=US&amp;VAR:SYMBOL=37183T10&amp;VAR:INDEX=0"}</definedName>
    <definedName name="_4688__FDSAUDITLINK__" localSheetId="6" hidden="1">{"fdsup://directions/FAT Viewer?action=UPDATE&amp;creator=factset&amp;DYN_ARGS=TRUE&amp;DOC_NAME=FAT:FQL_AUDITING_CLIENT_TEMPLATE.FAT&amp;display_string=Audit&amp;VAR:KEY=PMLAPYDGRI&amp;VAR:QUERY=RkZfRUJJVERBX0lCKCdMVE1TJywzOTE5Nyk=&amp;WINDOW=FIRST_POPUP&amp;HEIGHT=450&amp;WIDTH=450&amp;START_MA","XIMIZED=FALSE&amp;VAR:CALENDAR=US&amp;VAR:SYMBOL=37183T10&amp;VAR:INDEX=0"}</definedName>
    <definedName name="_4688__FDSAUDITLINK__" hidden="1">{"fdsup://directions/FAT Viewer?action=UPDATE&amp;creator=factset&amp;DYN_ARGS=TRUE&amp;DOC_NAME=FAT:FQL_AUDITING_CLIENT_TEMPLATE.FAT&amp;display_string=Audit&amp;VAR:KEY=PMLAPYDGRI&amp;VAR:QUERY=RkZfRUJJVERBX0lCKCdMVE1TJywzOTE5Nyk=&amp;WINDOW=FIRST_POPUP&amp;HEIGHT=450&amp;WIDTH=450&amp;START_MA","XIMIZED=FALSE&amp;VAR:CALENDAR=US&amp;VAR:SYMBOL=37183T10&amp;VAR:INDEX=0"}</definedName>
    <definedName name="_4689__FDSAUDITLINK__" localSheetId="6" hidden="1">{"fdsup://directions/FAT Viewer?action=UPDATE&amp;creator=factset&amp;DYN_ARGS=TRUE&amp;DOC_NAME=FAT:FQL_AUDITING_CLIENT_TEMPLATE.FAT&amp;display_string=Audit&amp;VAR:KEY=FMJCHQJCZU&amp;VAR:QUERY=RkZfRUJJVERBX0lCKCdMVE1TJywzOTE5Nik=&amp;WINDOW=FIRST_POPUP&amp;HEIGHT=450&amp;WIDTH=450&amp;START_MA","XIMIZED=FALSE&amp;VAR:CALENDAR=US&amp;VAR:SYMBOL=37183T10&amp;VAR:INDEX=0"}</definedName>
    <definedName name="_4689__FDSAUDITLINK__" hidden="1">{"fdsup://directions/FAT Viewer?action=UPDATE&amp;creator=factset&amp;DYN_ARGS=TRUE&amp;DOC_NAME=FAT:FQL_AUDITING_CLIENT_TEMPLATE.FAT&amp;display_string=Audit&amp;VAR:KEY=FMJCHQJCZU&amp;VAR:QUERY=RkZfRUJJVERBX0lCKCdMVE1TJywzOTE5Nik=&amp;WINDOW=FIRST_POPUP&amp;HEIGHT=450&amp;WIDTH=450&amp;START_MA","XIMIZED=FALSE&amp;VAR:CALENDAR=US&amp;VAR:SYMBOL=37183T10&amp;VAR:INDEX=0"}</definedName>
    <definedName name="_469__FDSAUDITLINK__" localSheetId="6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9__FDSAUDITLINK__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690__FDSAUDITLINK__" localSheetId="6" hidden="1">{"fdsup://directions/FAT Viewer?action=UPDATE&amp;creator=factset&amp;DYN_ARGS=TRUE&amp;DOC_NAME=FAT:FQL_AUDITING_CLIENT_TEMPLATE.FAT&amp;display_string=Audit&amp;VAR:KEY=DQZEJAPQBG&amp;VAR:QUERY=RkZfRUJJVERBX0lCKCdMVE1TJywzOTE5NSk=&amp;WINDOW=FIRST_POPUP&amp;HEIGHT=450&amp;WIDTH=450&amp;START_MA","XIMIZED=FALSE&amp;VAR:CALENDAR=US&amp;VAR:SYMBOL=37183T10&amp;VAR:INDEX=0"}</definedName>
    <definedName name="_4690__FDSAUDITLINK__" hidden="1">{"fdsup://directions/FAT Viewer?action=UPDATE&amp;creator=factset&amp;DYN_ARGS=TRUE&amp;DOC_NAME=FAT:FQL_AUDITING_CLIENT_TEMPLATE.FAT&amp;display_string=Audit&amp;VAR:KEY=DQZEJAPQBG&amp;VAR:QUERY=RkZfRUJJVERBX0lCKCdMVE1TJywzOTE5NSk=&amp;WINDOW=FIRST_POPUP&amp;HEIGHT=450&amp;WIDTH=450&amp;START_MA","XIMIZED=FALSE&amp;VAR:CALENDAR=US&amp;VAR:SYMBOL=37183T10&amp;VAR:INDEX=0"}</definedName>
    <definedName name="_4691__FDSAUDITLINK__" localSheetId="6" hidden="1">{"fdsup://directions/FAT Viewer?action=UPDATE&amp;creator=factset&amp;DYN_ARGS=TRUE&amp;DOC_NAME=FAT:FQL_AUDITING_CLIENT_TEMPLATE.FAT&amp;display_string=Audit&amp;VAR:KEY=LCZOPAPMPM&amp;VAR:QUERY=RkZfRUJJVERBX0lCKCdMVE1TJywzOTE5NCk=&amp;WINDOW=FIRST_POPUP&amp;HEIGHT=450&amp;WIDTH=450&amp;START_MA","XIMIZED=FALSE&amp;VAR:CALENDAR=US&amp;VAR:SYMBOL=37183T10&amp;VAR:INDEX=0"}</definedName>
    <definedName name="_4691__FDSAUDITLINK__" hidden="1">{"fdsup://directions/FAT Viewer?action=UPDATE&amp;creator=factset&amp;DYN_ARGS=TRUE&amp;DOC_NAME=FAT:FQL_AUDITING_CLIENT_TEMPLATE.FAT&amp;display_string=Audit&amp;VAR:KEY=LCZOPAPMPM&amp;VAR:QUERY=RkZfRUJJVERBX0lCKCdMVE1TJywzOTE5NCk=&amp;WINDOW=FIRST_POPUP&amp;HEIGHT=450&amp;WIDTH=450&amp;START_MA","XIMIZED=FALSE&amp;VAR:CALENDAR=US&amp;VAR:SYMBOL=37183T10&amp;VAR:INDEX=0"}</definedName>
    <definedName name="_4692__FDSAUDITLINK__" localSheetId="6" hidden="1">{"fdsup://directions/FAT Viewer?action=UPDATE&amp;creator=factset&amp;DYN_ARGS=TRUE&amp;DOC_NAME=FAT:FQL_AUDITING_CLIENT_TEMPLATE.FAT&amp;display_string=Audit&amp;VAR:KEY=DMLUJODKJS&amp;VAR:QUERY=RkZfRUJJVERBX0lCKCdMVE1TJywzOTE5Myk=&amp;WINDOW=FIRST_POPUP&amp;HEIGHT=450&amp;WIDTH=450&amp;START_MA","XIMIZED=FALSE&amp;VAR:CALENDAR=US&amp;VAR:SYMBOL=37183T10&amp;VAR:INDEX=0"}</definedName>
    <definedName name="_4692__FDSAUDITLINK__" hidden="1">{"fdsup://directions/FAT Viewer?action=UPDATE&amp;creator=factset&amp;DYN_ARGS=TRUE&amp;DOC_NAME=FAT:FQL_AUDITING_CLIENT_TEMPLATE.FAT&amp;display_string=Audit&amp;VAR:KEY=DMLUJODKJS&amp;VAR:QUERY=RkZfRUJJVERBX0lCKCdMVE1TJywzOTE5Myk=&amp;WINDOW=FIRST_POPUP&amp;HEIGHT=450&amp;WIDTH=450&amp;START_MA","XIMIZED=FALSE&amp;VAR:CALENDAR=US&amp;VAR:SYMBOL=37183T10&amp;VAR:INDEX=0"}</definedName>
    <definedName name="_4693__FDSAUDITLINK__" localSheetId="6" hidden="1">{"fdsup://directions/FAT Viewer?action=UPDATE&amp;creator=factset&amp;DYN_ARGS=TRUE&amp;DOC_NAME=FAT:FQL_AUDITING_CLIENT_TEMPLATE.FAT&amp;display_string=Audit&amp;VAR:KEY=BKNMDKRWXU&amp;VAR:QUERY=RkZfRUJJVERBX0lCKCdMVE1TJywzOTE5Mik=&amp;WINDOW=FIRST_POPUP&amp;HEIGHT=450&amp;WIDTH=450&amp;START_MA","XIMIZED=FALSE&amp;VAR:CALENDAR=US&amp;VAR:SYMBOL=37183T10&amp;VAR:INDEX=0"}</definedName>
    <definedName name="_4693__FDSAUDITLINK__" hidden="1">{"fdsup://directions/FAT Viewer?action=UPDATE&amp;creator=factset&amp;DYN_ARGS=TRUE&amp;DOC_NAME=FAT:FQL_AUDITING_CLIENT_TEMPLATE.FAT&amp;display_string=Audit&amp;VAR:KEY=BKNMDKRWXU&amp;VAR:QUERY=RkZfRUJJVERBX0lCKCdMVE1TJywzOTE5Mik=&amp;WINDOW=FIRST_POPUP&amp;HEIGHT=450&amp;WIDTH=450&amp;START_MA","XIMIZED=FALSE&amp;VAR:CALENDAR=US&amp;VAR:SYMBOL=37183T10&amp;VAR:INDEX=0"}</definedName>
    <definedName name="_4694__FDSAUDITLINK__" localSheetId="6" hidden="1">{"fdsup://directions/FAT Viewer?action=UPDATE&amp;creator=factset&amp;DYN_ARGS=TRUE&amp;DOC_NAME=FAT:FQL_AUDITING_CLIENT_TEMPLATE.FAT&amp;display_string=Audit&amp;VAR:KEY=TQJCRWVMNY&amp;VAR:QUERY=RkZfRUJJVERBX0lCKCdMVE1TJywzOTE5MSk=&amp;WINDOW=FIRST_POPUP&amp;HEIGHT=450&amp;WIDTH=450&amp;START_MA","XIMIZED=FALSE&amp;VAR:CALENDAR=US&amp;VAR:SYMBOL=37183T10&amp;VAR:INDEX=0"}</definedName>
    <definedName name="_4694__FDSAUDITLINK__" hidden="1">{"fdsup://directions/FAT Viewer?action=UPDATE&amp;creator=factset&amp;DYN_ARGS=TRUE&amp;DOC_NAME=FAT:FQL_AUDITING_CLIENT_TEMPLATE.FAT&amp;display_string=Audit&amp;VAR:KEY=TQJCRWVMNY&amp;VAR:QUERY=RkZfRUJJVERBX0lCKCdMVE1TJywzOTE5MSk=&amp;WINDOW=FIRST_POPUP&amp;HEIGHT=450&amp;WIDTH=450&amp;START_MA","XIMIZED=FALSE&amp;VAR:CALENDAR=US&amp;VAR:SYMBOL=37183T10&amp;VAR:INDEX=0"}</definedName>
    <definedName name="_4695__FDSAUDITLINK__" localSheetId="6" hidden="1">{"fdsup://directions/FAT Viewer?action=UPDATE&amp;creator=factset&amp;DYN_ARGS=TRUE&amp;DOC_NAME=FAT:FQL_AUDITING_CLIENT_TEMPLATE.FAT&amp;display_string=Audit&amp;VAR:KEY=TSRMJEZQNC&amp;VAR:QUERY=RkZfRUJJVERBX0lCKCdMVE1TJywzOTE5MCk=&amp;WINDOW=FIRST_POPUP&amp;HEIGHT=450&amp;WIDTH=450&amp;START_MA","XIMIZED=FALSE&amp;VAR:CALENDAR=US&amp;VAR:SYMBOL=37183T10&amp;VAR:INDEX=0"}</definedName>
    <definedName name="_4695__FDSAUDITLINK__" hidden="1">{"fdsup://directions/FAT Viewer?action=UPDATE&amp;creator=factset&amp;DYN_ARGS=TRUE&amp;DOC_NAME=FAT:FQL_AUDITING_CLIENT_TEMPLATE.FAT&amp;display_string=Audit&amp;VAR:KEY=TSRMJEZQNC&amp;VAR:QUERY=RkZfRUJJVERBX0lCKCdMVE1TJywzOTE5MCk=&amp;WINDOW=FIRST_POPUP&amp;HEIGHT=450&amp;WIDTH=450&amp;START_MA","XIMIZED=FALSE&amp;VAR:CALENDAR=US&amp;VAR:SYMBOL=37183T10&amp;VAR:INDEX=0"}</definedName>
    <definedName name="_4696__FDSAUDITLINK__" localSheetId="6" hidden="1">{"fdsup://directions/FAT Viewer?action=UPDATE&amp;creator=factset&amp;DYN_ARGS=TRUE&amp;DOC_NAME=FAT:FQL_AUDITING_CLIENT_TEMPLATE.FAT&amp;display_string=Audit&amp;VAR:KEY=NSXUHKVOTM&amp;VAR:QUERY=RkZfRUJJVERBX0lCKCdMVE1TJywzOTE4OSk=&amp;WINDOW=FIRST_POPUP&amp;HEIGHT=450&amp;WIDTH=450&amp;START_MA","XIMIZED=FALSE&amp;VAR:CALENDAR=US&amp;VAR:SYMBOL=37183T10&amp;VAR:INDEX=0"}</definedName>
    <definedName name="_4696__FDSAUDITLINK__" hidden="1">{"fdsup://directions/FAT Viewer?action=UPDATE&amp;creator=factset&amp;DYN_ARGS=TRUE&amp;DOC_NAME=FAT:FQL_AUDITING_CLIENT_TEMPLATE.FAT&amp;display_string=Audit&amp;VAR:KEY=NSXUHKVOTM&amp;VAR:QUERY=RkZfRUJJVERBX0lCKCdMVE1TJywzOTE4OSk=&amp;WINDOW=FIRST_POPUP&amp;HEIGHT=450&amp;WIDTH=450&amp;START_MA","XIMIZED=FALSE&amp;VAR:CALENDAR=US&amp;VAR:SYMBOL=37183T10&amp;VAR:INDEX=0"}</definedName>
    <definedName name="_4697__FDSAUDITLINK__" localSheetId="6" hidden="1">{"fdsup://directions/FAT Viewer?action=UPDATE&amp;creator=factset&amp;DYN_ARGS=TRUE&amp;DOC_NAME=FAT:FQL_AUDITING_CLIENT_TEMPLATE.FAT&amp;display_string=Audit&amp;VAR:KEY=RWHQTCZGDO&amp;VAR:QUERY=RkZfRUJJVERBX0lCKCdMVE1TJywzOTE4OCk=&amp;WINDOW=FIRST_POPUP&amp;HEIGHT=450&amp;WIDTH=450&amp;START_MA","XIMIZED=FALSE&amp;VAR:CALENDAR=US&amp;VAR:SYMBOL=37183T10&amp;VAR:INDEX=0"}</definedName>
    <definedName name="_4697__FDSAUDITLINK__" hidden="1">{"fdsup://directions/FAT Viewer?action=UPDATE&amp;creator=factset&amp;DYN_ARGS=TRUE&amp;DOC_NAME=FAT:FQL_AUDITING_CLIENT_TEMPLATE.FAT&amp;display_string=Audit&amp;VAR:KEY=RWHQTCZGDO&amp;VAR:QUERY=RkZfRUJJVERBX0lCKCdMVE1TJywzOTE4OCk=&amp;WINDOW=FIRST_POPUP&amp;HEIGHT=450&amp;WIDTH=450&amp;START_MA","XIMIZED=FALSE&amp;VAR:CALENDAR=US&amp;VAR:SYMBOL=37183T10&amp;VAR:INDEX=0"}</definedName>
    <definedName name="_4698__FDSAUDITLINK__" localSheetId="6" hidden="1">{"fdsup://directions/FAT Viewer?action=UPDATE&amp;creator=factset&amp;DYN_ARGS=TRUE&amp;DOC_NAME=FAT:FQL_AUDITING_CLIENT_TEMPLATE.FAT&amp;display_string=Audit&amp;VAR:KEY=HCRQXQHMDQ&amp;VAR:QUERY=RkZfRUJJVERBX0lCKCdMVE1TJywzOTE4Nyk=&amp;WINDOW=FIRST_POPUP&amp;HEIGHT=450&amp;WIDTH=450&amp;START_MA","XIMIZED=FALSE&amp;VAR:CALENDAR=US&amp;VAR:SYMBOL=37183T10&amp;VAR:INDEX=0"}</definedName>
    <definedName name="_4698__FDSAUDITLINK__" hidden="1">{"fdsup://directions/FAT Viewer?action=UPDATE&amp;creator=factset&amp;DYN_ARGS=TRUE&amp;DOC_NAME=FAT:FQL_AUDITING_CLIENT_TEMPLATE.FAT&amp;display_string=Audit&amp;VAR:KEY=HCRQXQHMDQ&amp;VAR:QUERY=RkZfRUJJVERBX0lCKCdMVE1TJywzOTE4Nyk=&amp;WINDOW=FIRST_POPUP&amp;HEIGHT=450&amp;WIDTH=450&amp;START_MA","XIMIZED=FALSE&amp;VAR:CALENDAR=US&amp;VAR:SYMBOL=37183T10&amp;VAR:INDEX=0"}</definedName>
    <definedName name="_4699__FDSAUDITLINK__" localSheetId="6" hidden="1">{"fdsup://directions/FAT Viewer?action=UPDATE&amp;creator=factset&amp;DYN_ARGS=TRUE&amp;DOC_NAME=FAT:FQL_AUDITING_CLIENT_TEMPLATE.FAT&amp;display_string=Audit&amp;VAR:KEY=JMXABODYDC&amp;VAR:QUERY=RkZfRUJJVERBX0lCKCdMVE1TJywzOTE4Nik=&amp;WINDOW=FIRST_POPUP&amp;HEIGHT=450&amp;WIDTH=450&amp;START_MA","XIMIZED=FALSE&amp;VAR:CALENDAR=US&amp;VAR:SYMBOL=37183T10&amp;VAR:INDEX=0"}</definedName>
    <definedName name="_4699__FDSAUDITLINK__" hidden="1">{"fdsup://directions/FAT Viewer?action=UPDATE&amp;creator=factset&amp;DYN_ARGS=TRUE&amp;DOC_NAME=FAT:FQL_AUDITING_CLIENT_TEMPLATE.FAT&amp;display_string=Audit&amp;VAR:KEY=JMXABODYDC&amp;VAR:QUERY=RkZfRUJJVERBX0lCKCdMVE1TJywzOTE4Nik=&amp;WINDOW=FIRST_POPUP&amp;HEIGHT=450&amp;WIDTH=450&amp;START_MA","XIMIZED=FALSE&amp;VAR:CALENDAR=US&amp;VAR:SYMBOL=37183T10&amp;VAR:INDEX=0"}</definedName>
    <definedName name="_47__FDSAUDITLINK__" localSheetId="6" hidden="1">{"fdsup://directions/FAT Viewer?action=UPDATE&amp;creator=factset&amp;DYN_ARGS=TRUE&amp;DOC_NAME=FAT:FQL_AUDITING_CLIENT_TEMPLATE.FAT&amp;display_string=Audit&amp;VAR:KEY=IVMXMXWREV&amp;VAR:QUERY=QVZHKENTRl9ORVRfSU5DKEFOTiwwRlksLTZGWSxZKSkgLyAoQVZHKENTRl9BU1NFVFMoQU5OLDBGWSwtNkZZL","EZZKSkgLSBBVkcoQ1NGX0lOVEFORyhBTk4sMCwtNkZZLEZZKSkp&amp;WINDOW=FIRST_POPUP&amp;HEIGHT=450&amp;WIDTH=450&amp;START_MAXIMIZED=FALSE&amp;VAR:CALENDAR=US&amp;VAR:SYMBOL=35006010"}</definedName>
    <definedName name="_47__FDSAUDITLINK__" hidden="1">{"fdsup://directions/FAT Viewer?action=UPDATE&amp;creator=factset&amp;DYN_ARGS=TRUE&amp;DOC_NAME=FAT:FQL_AUDITING_CLIENT_TEMPLATE.FAT&amp;display_string=Audit&amp;VAR:KEY=IVMXMXWREV&amp;VAR:QUERY=QVZHKENTRl9ORVRfSU5DKEFOTiwwRlksLTZGWSxZKSkgLyAoQVZHKENTRl9BU1NFVFMoQU5OLDBGWSwtNkZZL","EZZKSkgLSBBVkcoQ1NGX0lOVEFORyhBTk4sMCwtNkZZLEZZKSkp&amp;WINDOW=FIRST_POPUP&amp;HEIGHT=450&amp;WIDTH=450&amp;START_MAXIMIZED=FALSE&amp;VAR:CALENDAR=US&amp;VAR:SYMBOL=35006010"}</definedName>
    <definedName name="_470__FDSAUDITLINK__" localSheetId="6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0__FDSAUDITLINK__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00__FDSAUDITLINK__" localSheetId="6" hidden="1">{"fdsup://directions/FAT Viewer?action=UPDATE&amp;creator=factset&amp;DYN_ARGS=TRUE&amp;DOC_NAME=FAT:FQL_AUDITING_CLIENT_TEMPLATE.FAT&amp;display_string=Audit&amp;VAR:KEY=JUFYZMDERK&amp;VAR:QUERY=RkZfRUJJVERBX0lCKCdMVE1TJywzOTE4NSk=&amp;WINDOW=FIRST_POPUP&amp;HEIGHT=450&amp;WIDTH=450&amp;START_MA","XIMIZED=FALSE&amp;VAR:CALENDAR=US&amp;VAR:SYMBOL=37183T10&amp;VAR:INDEX=0"}</definedName>
    <definedName name="_4700__FDSAUDITLINK__" hidden="1">{"fdsup://directions/FAT Viewer?action=UPDATE&amp;creator=factset&amp;DYN_ARGS=TRUE&amp;DOC_NAME=FAT:FQL_AUDITING_CLIENT_TEMPLATE.FAT&amp;display_string=Audit&amp;VAR:KEY=JUFYZMDERK&amp;VAR:QUERY=RkZfRUJJVERBX0lCKCdMVE1TJywzOTE4NSk=&amp;WINDOW=FIRST_POPUP&amp;HEIGHT=450&amp;WIDTH=450&amp;START_MA","XIMIZED=FALSE&amp;VAR:CALENDAR=US&amp;VAR:SYMBOL=37183T10&amp;VAR:INDEX=0"}</definedName>
    <definedName name="_4701__FDSAUDITLINK__" localSheetId="6" hidden="1">{"fdsup://directions/FAT Viewer?action=UPDATE&amp;creator=factset&amp;DYN_ARGS=TRUE&amp;DOC_NAME=FAT:FQL_AUDITING_CLIENT_TEMPLATE.FAT&amp;display_string=Audit&amp;VAR:KEY=HONKFSFWXA&amp;VAR:QUERY=RkZfRUJJVERBX0lCKCdMVE1TJywzOTE4NCk=&amp;WINDOW=FIRST_POPUP&amp;HEIGHT=450&amp;WIDTH=450&amp;START_MA","XIMIZED=FALSE&amp;VAR:CALENDAR=US&amp;VAR:SYMBOL=37183T10&amp;VAR:INDEX=0"}</definedName>
    <definedName name="_4701__FDSAUDITLINK__" hidden="1">{"fdsup://directions/FAT Viewer?action=UPDATE&amp;creator=factset&amp;DYN_ARGS=TRUE&amp;DOC_NAME=FAT:FQL_AUDITING_CLIENT_TEMPLATE.FAT&amp;display_string=Audit&amp;VAR:KEY=HONKFSFWXA&amp;VAR:QUERY=RkZfRUJJVERBX0lCKCdMVE1TJywzOTE4NCk=&amp;WINDOW=FIRST_POPUP&amp;HEIGHT=450&amp;WIDTH=450&amp;START_MA","XIMIZED=FALSE&amp;VAR:CALENDAR=US&amp;VAR:SYMBOL=37183T10&amp;VAR:INDEX=0"}</definedName>
    <definedName name="_4702__FDSAUDITLINK__" localSheetId="6" hidden="1">{"fdsup://directions/FAT Viewer?action=UPDATE&amp;creator=factset&amp;DYN_ARGS=TRUE&amp;DOC_NAME=FAT:FQL_AUDITING_CLIENT_TEMPLATE.FAT&amp;display_string=Audit&amp;VAR:KEY=ZAZCDGZWZG&amp;VAR:QUERY=RkZfRUJJVERBX0lCKCdMVE1TJywzOTE4Myk=&amp;WINDOW=FIRST_POPUP&amp;HEIGHT=450&amp;WIDTH=450&amp;START_MA","XIMIZED=FALSE&amp;VAR:CALENDAR=US&amp;VAR:SYMBOL=37183T10&amp;VAR:INDEX=0"}</definedName>
    <definedName name="_4702__FDSAUDITLINK__" hidden="1">{"fdsup://directions/FAT Viewer?action=UPDATE&amp;creator=factset&amp;DYN_ARGS=TRUE&amp;DOC_NAME=FAT:FQL_AUDITING_CLIENT_TEMPLATE.FAT&amp;display_string=Audit&amp;VAR:KEY=ZAZCDGZWZG&amp;VAR:QUERY=RkZfRUJJVERBX0lCKCdMVE1TJywzOTE4Myk=&amp;WINDOW=FIRST_POPUP&amp;HEIGHT=450&amp;WIDTH=450&amp;START_MA","XIMIZED=FALSE&amp;VAR:CALENDAR=US&amp;VAR:SYMBOL=37183T10&amp;VAR:INDEX=0"}</definedName>
    <definedName name="_4703__FDSAUDITLINK__" localSheetId="6" hidden="1">{"fdsup://directions/FAT Viewer?action=UPDATE&amp;creator=factset&amp;DYN_ARGS=TRUE&amp;DOC_NAME=FAT:FQL_AUDITING_CLIENT_TEMPLATE.FAT&amp;display_string=Audit&amp;VAR:KEY=XALSDOXYNI&amp;VAR:QUERY=RkZfRUJJVERBX0lCKCdMVE1TJywzOTE4Mik=&amp;WINDOW=FIRST_POPUP&amp;HEIGHT=450&amp;WIDTH=450&amp;START_MA","XIMIZED=FALSE&amp;VAR:CALENDAR=US&amp;VAR:SYMBOL=37183T10&amp;VAR:INDEX=0"}</definedName>
    <definedName name="_4703__FDSAUDITLINK__" hidden="1">{"fdsup://directions/FAT Viewer?action=UPDATE&amp;creator=factset&amp;DYN_ARGS=TRUE&amp;DOC_NAME=FAT:FQL_AUDITING_CLIENT_TEMPLATE.FAT&amp;display_string=Audit&amp;VAR:KEY=XALSDOXYNI&amp;VAR:QUERY=RkZfRUJJVERBX0lCKCdMVE1TJywzOTE4Mik=&amp;WINDOW=FIRST_POPUP&amp;HEIGHT=450&amp;WIDTH=450&amp;START_MA","XIMIZED=FALSE&amp;VAR:CALENDAR=US&amp;VAR:SYMBOL=37183T10&amp;VAR:INDEX=0"}</definedName>
    <definedName name="_4704__FDSAUDITLINK__" localSheetId="6" hidden="1">{"fdsup://directions/FAT Viewer?action=UPDATE&amp;creator=factset&amp;DYN_ARGS=TRUE&amp;DOC_NAME=FAT:FQL_AUDITING_CLIENT_TEMPLATE.FAT&amp;display_string=Audit&amp;VAR:KEY=ZIXSJUREZC&amp;VAR:QUERY=RkZfRUJJVERBX0lCKCdMVE1TJywzOTE4MSk=&amp;WINDOW=FIRST_POPUP&amp;HEIGHT=450&amp;WIDTH=450&amp;START_MA","XIMIZED=FALSE&amp;VAR:CALENDAR=US&amp;VAR:SYMBOL=37183T10&amp;VAR:INDEX=0"}</definedName>
    <definedName name="_4704__FDSAUDITLINK__" hidden="1">{"fdsup://directions/FAT Viewer?action=UPDATE&amp;creator=factset&amp;DYN_ARGS=TRUE&amp;DOC_NAME=FAT:FQL_AUDITING_CLIENT_TEMPLATE.FAT&amp;display_string=Audit&amp;VAR:KEY=ZIXSJUREZC&amp;VAR:QUERY=RkZfRUJJVERBX0lCKCdMVE1TJywzOTE4MSk=&amp;WINDOW=FIRST_POPUP&amp;HEIGHT=450&amp;WIDTH=450&amp;START_MA","XIMIZED=FALSE&amp;VAR:CALENDAR=US&amp;VAR:SYMBOL=37183T10&amp;VAR:INDEX=0"}</definedName>
    <definedName name="_4705__FDSAUDITLINK__" localSheetId="6" hidden="1">{"fdsup://directions/FAT Viewer?action=UPDATE&amp;creator=factset&amp;DYN_ARGS=TRUE&amp;DOC_NAME=FAT:FQL_AUDITING_CLIENT_TEMPLATE.FAT&amp;display_string=Audit&amp;VAR:KEY=HWLKRELIZE&amp;VAR:QUERY=RkZfRUJJVERBX0lCKCdMVE1TJywzOTE4MCk=&amp;WINDOW=FIRST_POPUP&amp;HEIGHT=450&amp;WIDTH=450&amp;START_MA","XIMIZED=FALSE&amp;VAR:CALENDAR=US&amp;VAR:SYMBOL=37183T10&amp;VAR:INDEX=0"}</definedName>
    <definedName name="_4705__FDSAUDITLINK__" hidden="1">{"fdsup://directions/FAT Viewer?action=UPDATE&amp;creator=factset&amp;DYN_ARGS=TRUE&amp;DOC_NAME=FAT:FQL_AUDITING_CLIENT_TEMPLATE.FAT&amp;display_string=Audit&amp;VAR:KEY=HWLKRELIZE&amp;VAR:QUERY=RkZfRUJJVERBX0lCKCdMVE1TJywzOTE4MCk=&amp;WINDOW=FIRST_POPUP&amp;HEIGHT=450&amp;WIDTH=450&amp;START_MA","XIMIZED=FALSE&amp;VAR:CALENDAR=US&amp;VAR:SYMBOL=37183T10&amp;VAR:INDEX=0"}</definedName>
    <definedName name="_4706__FDSAUDITLINK__" localSheetId="6" hidden="1">{"fdsup://directions/FAT Viewer?action=UPDATE&amp;creator=factset&amp;DYN_ARGS=TRUE&amp;DOC_NAME=FAT:FQL_AUDITING_CLIENT_TEMPLATE.FAT&amp;display_string=Audit&amp;VAR:KEY=JIFGXUROVO&amp;VAR:QUERY=RkZfRUJJVERBX0lCKCdMVE1TJywzOTE3OSk=&amp;WINDOW=FIRST_POPUP&amp;HEIGHT=450&amp;WIDTH=450&amp;START_MA","XIMIZED=FALSE&amp;VAR:CALENDAR=US&amp;VAR:SYMBOL=37183T10&amp;VAR:INDEX=0"}</definedName>
    <definedName name="_4706__FDSAUDITLINK__" hidden="1">{"fdsup://directions/FAT Viewer?action=UPDATE&amp;creator=factset&amp;DYN_ARGS=TRUE&amp;DOC_NAME=FAT:FQL_AUDITING_CLIENT_TEMPLATE.FAT&amp;display_string=Audit&amp;VAR:KEY=JIFGXUROVO&amp;VAR:QUERY=RkZfRUJJVERBX0lCKCdMVE1TJywzOTE3OSk=&amp;WINDOW=FIRST_POPUP&amp;HEIGHT=450&amp;WIDTH=450&amp;START_MA","XIMIZED=FALSE&amp;VAR:CALENDAR=US&amp;VAR:SYMBOL=37183T10&amp;VAR:INDEX=0"}</definedName>
    <definedName name="_4707__FDSAUDITLINK__" localSheetId="6" hidden="1">{"fdsup://directions/FAT Viewer?action=UPDATE&amp;creator=factset&amp;DYN_ARGS=TRUE&amp;DOC_NAME=FAT:FQL_AUDITING_CLIENT_TEMPLATE.FAT&amp;display_string=Audit&amp;VAR:KEY=BWJOFYJYZS&amp;VAR:QUERY=RkZfRUJJVERBX0lCKCdMVE1TJywzOTE3OCk=&amp;WINDOW=FIRST_POPUP&amp;HEIGHT=450&amp;WIDTH=450&amp;START_MA","XIMIZED=FALSE&amp;VAR:CALENDAR=US&amp;VAR:SYMBOL=37183T10&amp;VAR:INDEX=0"}</definedName>
    <definedName name="_4707__FDSAUDITLINK__" hidden="1">{"fdsup://directions/FAT Viewer?action=UPDATE&amp;creator=factset&amp;DYN_ARGS=TRUE&amp;DOC_NAME=FAT:FQL_AUDITING_CLIENT_TEMPLATE.FAT&amp;display_string=Audit&amp;VAR:KEY=BWJOFYJYZS&amp;VAR:QUERY=RkZfRUJJVERBX0lCKCdMVE1TJywzOTE3OCk=&amp;WINDOW=FIRST_POPUP&amp;HEIGHT=450&amp;WIDTH=450&amp;START_MA","XIMIZED=FALSE&amp;VAR:CALENDAR=US&amp;VAR:SYMBOL=37183T10&amp;VAR:INDEX=0"}</definedName>
    <definedName name="_4708__FDSAUDITLINK__" localSheetId="6" hidden="1">{"fdsup://directions/FAT Viewer?action=UPDATE&amp;creator=factset&amp;DYN_ARGS=TRUE&amp;DOC_NAME=FAT:FQL_AUDITING_CLIENT_TEMPLATE.FAT&amp;display_string=Audit&amp;VAR:KEY=HSZSBYZOFK&amp;VAR:QUERY=RkZfRUJJVERBX0lCKCdMVE1TJywzOTE3Nyk=&amp;WINDOW=FIRST_POPUP&amp;HEIGHT=450&amp;WIDTH=450&amp;START_MA","XIMIZED=FALSE&amp;VAR:CALENDAR=US&amp;VAR:SYMBOL=37183T10&amp;VAR:INDEX=0"}</definedName>
    <definedName name="_4708__FDSAUDITLINK__" hidden="1">{"fdsup://directions/FAT Viewer?action=UPDATE&amp;creator=factset&amp;DYN_ARGS=TRUE&amp;DOC_NAME=FAT:FQL_AUDITING_CLIENT_TEMPLATE.FAT&amp;display_string=Audit&amp;VAR:KEY=HSZSBYZOFK&amp;VAR:QUERY=RkZfRUJJVERBX0lCKCdMVE1TJywzOTE3Nyk=&amp;WINDOW=FIRST_POPUP&amp;HEIGHT=450&amp;WIDTH=450&amp;START_MA","XIMIZED=FALSE&amp;VAR:CALENDAR=US&amp;VAR:SYMBOL=37183T10&amp;VAR:INDEX=0"}</definedName>
    <definedName name="_4709__FDSAUDITLINK__" localSheetId="6" hidden="1">{"fdsup://directions/FAT Viewer?action=UPDATE&amp;creator=factset&amp;DYN_ARGS=TRUE&amp;DOC_NAME=FAT:FQL_AUDITING_CLIENT_TEMPLATE.FAT&amp;display_string=Audit&amp;VAR:KEY=VEHQJGDEDU&amp;VAR:QUERY=RkZfRUJJVERBX0lCKCdMVE1TJywzOTE3Nik=&amp;WINDOW=FIRST_POPUP&amp;HEIGHT=450&amp;WIDTH=450&amp;START_MA","XIMIZED=FALSE&amp;VAR:CALENDAR=US&amp;VAR:SYMBOL=37183T10&amp;VAR:INDEX=0"}</definedName>
    <definedName name="_4709__FDSAUDITLINK__" hidden="1">{"fdsup://directions/FAT Viewer?action=UPDATE&amp;creator=factset&amp;DYN_ARGS=TRUE&amp;DOC_NAME=FAT:FQL_AUDITING_CLIENT_TEMPLATE.FAT&amp;display_string=Audit&amp;VAR:KEY=VEHQJGDEDU&amp;VAR:QUERY=RkZfRUJJVERBX0lCKCdMVE1TJywzOTE3Nik=&amp;WINDOW=FIRST_POPUP&amp;HEIGHT=450&amp;WIDTH=450&amp;START_MA","XIMIZED=FALSE&amp;VAR:CALENDAR=US&amp;VAR:SYMBOL=37183T10&amp;VAR:INDEX=0"}</definedName>
    <definedName name="_471__FDSAUDITLINK__" localSheetId="6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1__FDSAUDITLINK__" hidden="1">{"fdsup://directions/FAT%20Viewer?VAR:PED=LTM&amp;VAR:AUDIT_MODE=SUMMARY&amp;VAR:PERIOD=FIXED&amp;VAR:AUDIT_ID=00000117&amp;VAR:DATE=20081107&amp;action=UPDATE&amp;creator=factset&amp;DOC_NAME=FAT:FMA_audit_SUMMARY.fat&amp;DISPLAY_STRING=Display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10__FDSAUDITLINK__" localSheetId="6" hidden="1">{"fdsup://directions/FAT Viewer?action=UPDATE&amp;creator=factset&amp;DYN_ARGS=TRUE&amp;DOC_NAME=FAT:FQL_AUDITING_CLIENT_TEMPLATE.FAT&amp;display_string=Audit&amp;VAR:KEY=RKFYZSDQLG&amp;VAR:QUERY=RkZfRUJJVERBX0lCKCdMVE1TJywzOTE3NSk=&amp;WINDOW=FIRST_POPUP&amp;HEIGHT=450&amp;WIDTH=450&amp;START_MA","XIMIZED=FALSE&amp;VAR:CALENDAR=US&amp;VAR:SYMBOL=37183T10&amp;VAR:INDEX=0"}</definedName>
    <definedName name="_4710__FDSAUDITLINK__" hidden="1">{"fdsup://directions/FAT Viewer?action=UPDATE&amp;creator=factset&amp;DYN_ARGS=TRUE&amp;DOC_NAME=FAT:FQL_AUDITING_CLIENT_TEMPLATE.FAT&amp;display_string=Audit&amp;VAR:KEY=RKFYZSDQLG&amp;VAR:QUERY=RkZfRUJJVERBX0lCKCdMVE1TJywzOTE3NSk=&amp;WINDOW=FIRST_POPUP&amp;HEIGHT=450&amp;WIDTH=450&amp;START_MA","XIMIZED=FALSE&amp;VAR:CALENDAR=US&amp;VAR:SYMBOL=37183T10&amp;VAR:INDEX=0"}</definedName>
    <definedName name="_4711__FDSAUDITLINK__" localSheetId="6" hidden="1">{"fdsup://directions/FAT Viewer?action=UPDATE&amp;creator=factset&amp;DYN_ARGS=TRUE&amp;DOC_NAME=FAT:FQL_AUDITING_CLIENT_TEMPLATE.FAT&amp;display_string=Audit&amp;VAR:KEY=XWRKRWRMHK&amp;VAR:QUERY=RkZfRUJJVERBX0lCKCdMVE1TJywzOTE3NCk=&amp;WINDOW=FIRST_POPUP&amp;HEIGHT=450&amp;WIDTH=450&amp;START_MA","XIMIZED=FALSE&amp;VAR:CALENDAR=US&amp;VAR:SYMBOL=37183T10&amp;VAR:INDEX=0"}</definedName>
    <definedName name="_4711__FDSAUDITLINK__" hidden="1">{"fdsup://directions/FAT Viewer?action=UPDATE&amp;creator=factset&amp;DYN_ARGS=TRUE&amp;DOC_NAME=FAT:FQL_AUDITING_CLIENT_TEMPLATE.FAT&amp;display_string=Audit&amp;VAR:KEY=XWRKRWRMHK&amp;VAR:QUERY=RkZfRUJJVERBX0lCKCdMVE1TJywzOTE3NCk=&amp;WINDOW=FIRST_POPUP&amp;HEIGHT=450&amp;WIDTH=450&amp;START_MA","XIMIZED=FALSE&amp;VAR:CALENDAR=US&amp;VAR:SYMBOL=37183T10&amp;VAR:INDEX=0"}</definedName>
    <definedName name="_4712__FDSAUDITLINK__" localSheetId="6" hidden="1">{"fdsup://directions/FAT Viewer?action=UPDATE&amp;creator=factset&amp;DYN_ARGS=TRUE&amp;DOC_NAME=FAT:FQL_AUDITING_CLIENT_TEMPLATE.FAT&amp;display_string=Audit&amp;VAR:KEY=XQDENKDWRK&amp;VAR:QUERY=RkZfRUJJVERBX0lCKCdMVE1TJywzOTE3Myk=&amp;WINDOW=FIRST_POPUP&amp;HEIGHT=450&amp;WIDTH=450&amp;START_MA","XIMIZED=FALSE&amp;VAR:CALENDAR=US&amp;VAR:SYMBOL=37183T10&amp;VAR:INDEX=0"}</definedName>
    <definedName name="_4712__FDSAUDITLINK__" hidden="1">{"fdsup://directions/FAT Viewer?action=UPDATE&amp;creator=factset&amp;DYN_ARGS=TRUE&amp;DOC_NAME=FAT:FQL_AUDITING_CLIENT_TEMPLATE.FAT&amp;display_string=Audit&amp;VAR:KEY=XQDENKDWRK&amp;VAR:QUERY=RkZfRUJJVERBX0lCKCdMVE1TJywzOTE3Myk=&amp;WINDOW=FIRST_POPUP&amp;HEIGHT=450&amp;WIDTH=450&amp;START_MA","XIMIZED=FALSE&amp;VAR:CALENDAR=US&amp;VAR:SYMBOL=37183T10&amp;VAR:INDEX=0"}</definedName>
    <definedName name="_4713__FDSAUDITLINK__" localSheetId="6" hidden="1">{"fdsup://directions/FAT Viewer?action=UPDATE&amp;creator=factset&amp;DYN_ARGS=TRUE&amp;DOC_NAME=FAT:FQL_AUDITING_CLIENT_TEMPLATE.FAT&amp;display_string=Audit&amp;VAR:KEY=PWDGHETCDQ&amp;VAR:QUERY=RkZfRUJJVERBX0lCKCdMVE1TJywzOTE3Mik=&amp;WINDOW=FIRST_POPUP&amp;HEIGHT=450&amp;WIDTH=450&amp;START_MA","XIMIZED=FALSE&amp;VAR:CALENDAR=US&amp;VAR:SYMBOL=37183T10&amp;VAR:INDEX=0"}</definedName>
    <definedName name="_4713__FDSAUDITLINK__" hidden="1">{"fdsup://directions/FAT Viewer?action=UPDATE&amp;creator=factset&amp;DYN_ARGS=TRUE&amp;DOC_NAME=FAT:FQL_AUDITING_CLIENT_TEMPLATE.FAT&amp;display_string=Audit&amp;VAR:KEY=PWDGHETCDQ&amp;VAR:QUERY=RkZfRUJJVERBX0lCKCdMVE1TJywzOTE3Mik=&amp;WINDOW=FIRST_POPUP&amp;HEIGHT=450&amp;WIDTH=450&amp;START_MA","XIMIZED=FALSE&amp;VAR:CALENDAR=US&amp;VAR:SYMBOL=37183T10&amp;VAR:INDEX=0"}</definedName>
    <definedName name="_4714__FDSAUDITLINK__" localSheetId="6" hidden="1">{"fdsup://directions/FAT Viewer?action=UPDATE&amp;creator=factset&amp;DYN_ARGS=TRUE&amp;DOC_NAME=FAT:FQL_AUDITING_CLIENT_TEMPLATE.FAT&amp;display_string=Audit&amp;VAR:KEY=XYRQBYHQPY&amp;VAR:QUERY=RkZfRUJJVERBX0lCKCdMVE1TJywzOTE3MSk=&amp;WINDOW=FIRST_POPUP&amp;HEIGHT=450&amp;WIDTH=450&amp;START_MA","XIMIZED=FALSE&amp;VAR:CALENDAR=US&amp;VAR:SYMBOL=37183T10&amp;VAR:INDEX=0"}</definedName>
    <definedName name="_4714__FDSAUDITLINK__" hidden="1">{"fdsup://directions/FAT Viewer?action=UPDATE&amp;creator=factset&amp;DYN_ARGS=TRUE&amp;DOC_NAME=FAT:FQL_AUDITING_CLIENT_TEMPLATE.FAT&amp;display_string=Audit&amp;VAR:KEY=XYRQBYHQPY&amp;VAR:QUERY=RkZfRUJJVERBX0lCKCdMVE1TJywzOTE3MSk=&amp;WINDOW=FIRST_POPUP&amp;HEIGHT=450&amp;WIDTH=450&amp;START_MA","XIMIZED=FALSE&amp;VAR:CALENDAR=US&amp;VAR:SYMBOL=37183T10&amp;VAR:INDEX=0"}</definedName>
    <definedName name="_4715__FDSAUDITLINK__" localSheetId="6" hidden="1">{"fdsup://directions/FAT Viewer?action=UPDATE&amp;creator=factset&amp;DYN_ARGS=TRUE&amp;DOC_NAME=FAT:FQL_AUDITING_CLIENT_TEMPLATE.FAT&amp;display_string=Audit&amp;VAR:KEY=LQVWHYDWZC&amp;VAR:QUERY=RkZfRUJJVERBX0lCKCdMVE1TJywzOTE3MCk=&amp;WINDOW=FIRST_POPUP&amp;HEIGHT=450&amp;WIDTH=450&amp;START_MA","XIMIZED=FALSE&amp;VAR:CALENDAR=US&amp;VAR:SYMBOL=37183T10&amp;VAR:INDEX=0"}</definedName>
    <definedName name="_4715__FDSAUDITLINK__" hidden="1">{"fdsup://directions/FAT Viewer?action=UPDATE&amp;creator=factset&amp;DYN_ARGS=TRUE&amp;DOC_NAME=FAT:FQL_AUDITING_CLIENT_TEMPLATE.FAT&amp;display_string=Audit&amp;VAR:KEY=LQVWHYDWZC&amp;VAR:QUERY=RkZfRUJJVERBX0lCKCdMVE1TJywzOTE3MCk=&amp;WINDOW=FIRST_POPUP&amp;HEIGHT=450&amp;WIDTH=450&amp;START_MA","XIMIZED=FALSE&amp;VAR:CALENDAR=US&amp;VAR:SYMBOL=37183T10&amp;VAR:INDEX=0"}</definedName>
    <definedName name="_4716__FDSAUDITLINK__" localSheetId="6" hidden="1">{"fdsup://directions/FAT Viewer?action=UPDATE&amp;creator=factset&amp;DYN_ARGS=TRUE&amp;DOC_NAME=FAT:FQL_AUDITING_CLIENT_TEMPLATE.FAT&amp;display_string=Audit&amp;VAR:KEY=XWVODEJMTC&amp;VAR:QUERY=RkZfRUJJVERBX0lCKCdMVE1TJywzOTE2OSk=&amp;WINDOW=FIRST_POPUP&amp;HEIGHT=450&amp;WIDTH=450&amp;START_MA","XIMIZED=FALSE&amp;VAR:CALENDAR=US&amp;VAR:SYMBOL=37183T10&amp;VAR:INDEX=0"}</definedName>
    <definedName name="_4716__FDSAUDITLINK__" hidden="1">{"fdsup://directions/FAT Viewer?action=UPDATE&amp;creator=factset&amp;DYN_ARGS=TRUE&amp;DOC_NAME=FAT:FQL_AUDITING_CLIENT_TEMPLATE.FAT&amp;display_string=Audit&amp;VAR:KEY=XWVODEJMTC&amp;VAR:QUERY=RkZfRUJJVERBX0lCKCdMVE1TJywzOTE2OSk=&amp;WINDOW=FIRST_POPUP&amp;HEIGHT=450&amp;WIDTH=450&amp;START_MA","XIMIZED=FALSE&amp;VAR:CALENDAR=US&amp;VAR:SYMBOL=37183T10&amp;VAR:INDEX=0"}</definedName>
    <definedName name="_4717__FDSAUDITLINK__" localSheetId="6" hidden="1">{"fdsup://directions/FAT Viewer?action=UPDATE&amp;creator=factset&amp;DYN_ARGS=TRUE&amp;DOC_NAME=FAT:FQL_AUDITING_CLIENT_TEMPLATE.FAT&amp;display_string=Audit&amp;VAR:KEY=JCNUJUROPY&amp;VAR:QUERY=RkZfRUJJVERBX0lCKCdMVE1TJywzOTE2OCk=&amp;WINDOW=FIRST_POPUP&amp;HEIGHT=450&amp;WIDTH=450&amp;START_MA","XIMIZED=FALSE&amp;VAR:CALENDAR=US&amp;VAR:SYMBOL=37183T10&amp;VAR:INDEX=0"}</definedName>
    <definedName name="_4717__FDSAUDITLINK__" hidden="1">{"fdsup://directions/FAT Viewer?action=UPDATE&amp;creator=factset&amp;DYN_ARGS=TRUE&amp;DOC_NAME=FAT:FQL_AUDITING_CLIENT_TEMPLATE.FAT&amp;display_string=Audit&amp;VAR:KEY=JCNUJUROPY&amp;VAR:QUERY=RkZfRUJJVERBX0lCKCdMVE1TJywzOTE2OCk=&amp;WINDOW=FIRST_POPUP&amp;HEIGHT=450&amp;WIDTH=450&amp;START_MA","XIMIZED=FALSE&amp;VAR:CALENDAR=US&amp;VAR:SYMBOL=37183T10&amp;VAR:INDEX=0"}</definedName>
    <definedName name="_4718__FDSAUDITLINK__" localSheetId="6" hidden="1">{"fdsup://directions/FAT Viewer?action=UPDATE&amp;creator=factset&amp;DYN_ARGS=TRUE&amp;DOC_NAME=FAT:FQL_AUDITING_CLIENT_TEMPLATE.FAT&amp;display_string=Audit&amp;VAR:KEY=RGTQPWXGVC&amp;VAR:QUERY=RkZfRUJJVERBX0lCKCdMVE1TJywzOTE2Nyk=&amp;WINDOW=FIRST_POPUP&amp;HEIGHT=450&amp;WIDTH=450&amp;START_MA","XIMIZED=FALSE&amp;VAR:CALENDAR=US&amp;VAR:SYMBOL=37183T10&amp;VAR:INDEX=0"}</definedName>
    <definedName name="_4718__FDSAUDITLINK__" hidden="1">{"fdsup://directions/FAT Viewer?action=UPDATE&amp;creator=factset&amp;DYN_ARGS=TRUE&amp;DOC_NAME=FAT:FQL_AUDITING_CLIENT_TEMPLATE.FAT&amp;display_string=Audit&amp;VAR:KEY=RGTQPWXGVC&amp;VAR:QUERY=RkZfRUJJVERBX0lCKCdMVE1TJywzOTE2Nyk=&amp;WINDOW=FIRST_POPUP&amp;HEIGHT=450&amp;WIDTH=450&amp;START_MA","XIMIZED=FALSE&amp;VAR:CALENDAR=US&amp;VAR:SYMBOL=37183T10&amp;VAR:INDEX=0"}</definedName>
    <definedName name="_4719__FDSAUDITLINK__" localSheetId="6" hidden="1">{"fdsup://directions/FAT Viewer?action=UPDATE&amp;creator=factset&amp;DYN_ARGS=TRUE&amp;DOC_NAME=FAT:FQL_AUDITING_CLIENT_TEMPLATE.FAT&amp;display_string=Audit&amp;VAR:KEY=PAJQPABWLO&amp;VAR:QUERY=RkZfRUJJVERBX0lCKCdMVE1TJywzOTE2Nik=&amp;WINDOW=FIRST_POPUP&amp;HEIGHT=450&amp;WIDTH=450&amp;START_MA","XIMIZED=FALSE&amp;VAR:CALENDAR=US&amp;VAR:SYMBOL=37183T10&amp;VAR:INDEX=0"}</definedName>
    <definedName name="_4719__FDSAUDITLINK__" hidden="1">{"fdsup://directions/FAT Viewer?action=UPDATE&amp;creator=factset&amp;DYN_ARGS=TRUE&amp;DOC_NAME=FAT:FQL_AUDITING_CLIENT_TEMPLATE.FAT&amp;display_string=Audit&amp;VAR:KEY=PAJQPABWLO&amp;VAR:QUERY=RkZfRUJJVERBX0lCKCdMVE1TJywzOTE2Nik=&amp;WINDOW=FIRST_POPUP&amp;HEIGHT=450&amp;WIDTH=450&amp;START_MA","XIMIZED=FALSE&amp;VAR:CALENDAR=US&amp;VAR:SYMBOL=37183T10&amp;VAR:INDEX=0"}</definedName>
    <definedName name="_472__FDSAUDITLINK__" localSheetId="6" hidden="1">{"fdsup://directions/FAT%20Viewer?VAR:PED=LTM&amp;VAR:AUDIT_MODE=SUMMARY&amp;VAR:PERIOD=FIXED&amp;VAR:AUDIT_ID=00000117&amp;VAR:DATE=20081106&amp;action=UPDATE&amp;creator=factset&amp;DOC_NAME=FAT:FMA_audit_SUMMARY.fat&amp;DISPLAY_STRING=Display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2__FDSAUDITLINK__" hidden="1">{"fdsup://directions/FAT%20Viewer?VAR:PED=LTM&amp;VAR:AUDIT_MODE=SUMMARY&amp;VAR:PERIOD=FIXED&amp;VAR:AUDIT_ID=00000117&amp;VAR:DATE=20081106&amp;action=UPDATE&amp;creator=factset&amp;DOC_NAME=FAT:FMA_audit_SUMMARY.fat&amp;DISPLAY_STRING=Display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20__FDSAUDITLINK__" localSheetId="6" hidden="1">{"fdsup://directions/FAT Viewer?action=UPDATE&amp;creator=factset&amp;DYN_ARGS=TRUE&amp;DOC_NAME=FAT:FQL_AUDITING_CLIENT_TEMPLATE.FAT&amp;display_string=Audit&amp;VAR:KEY=JQBWXYFCZW&amp;VAR:QUERY=RkZfRUJJVERBX0lCKCdMVE1TJywzOTE2NSk=&amp;WINDOW=FIRST_POPUP&amp;HEIGHT=450&amp;WIDTH=450&amp;START_MA","XIMIZED=FALSE&amp;VAR:CALENDAR=US&amp;VAR:SYMBOL=37183T10&amp;VAR:INDEX=0"}</definedName>
    <definedName name="_4720__FDSAUDITLINK__" hidden="1">{"fdsup://directions/FAT Viewer?action=UPDATE&amp;creator=factset&amp;DYN_ARGS=TRUE&amp;DOC_NAME=FAT:FQL_AUDITING_CLIENT_TEMPLATE.FAT&amp;display_string=Audit&amp;VAR:KEY=JQBWXYFCZW&amp;VAR:QUERY=RkZfRUJJVERBX0lCKCdMVE1TJywzOTE2NSk=&amp;WINDOW=FIRST_POPUP&amp;HEIGHT=450&amp;WIDTH=450&amp;START_MA","XIMIZED=FALSE&amp;VAR:CALENDAR=US&amp;VAR:SYMBOL=37183T10&amp;VAR:INDEX=0"}</definedName>
    <definedName name="_4721__FDSAUDITLINK__" localSheetId="6" hidden="1">{"fdsup://directions/FAT Viewer?action=UPDATE&amp;creator=factset&amp;DYN_ARGS=TRUE&amp;DOC_NAME=FAT:FQL_AUDITING_CLIENT_TEMPLATE.FAT&amp;display_string=Audit&amp;VAR:KEY=FALENSLKTM&amp;VAR:QUERY=RkZfRUJJVERBX0lCKCdMVE1TJywzOTE2NCk=&amp;WINDOW=FIRST_POPUP&amp;HEIGHT=450&amp;WIDTH=450&amp;START_MA","XIMIZED=FALSE&amp;VAR:CALENDAR=US&amp;VAR:SYMBOL=37183T10&amp;VAR:INDEX=0"}</definedName>
    <definedName name="_4721__FDSAUDITLINK__" hidden="1">{"fdsup://directions/FAT Viewer?action=UPDATE&amp;creator=factset&amp;DYN_ARGS=TRUE&amp;DOC_NAME=FAT:FQL_AUDITING_CLIENT_TEMPLATE.FAT&amp;display_string=Audit&amp;VAR:KEY=FALENSLKTM&amp;VAR:QUERY=RkZfRUJJVERBX0lCKCdMVE1TJywzOTE2NCk=&amp;WINDOW=FIRST_POPUP&amp;HEIGHT=450&amp;WIDTH=450&amp;START_MA","XIMIZED=FALSE&amp;VAR:CALENDAR=US&amp;VAR:SYMBOL=37183T10&amp;VAR:INDEX=0"}</definedName>
    <definedName name="_4722__FDSAUDITLINK__" localSheetId="6" hidden="1">{"fdsup://directions/FAT Viewer?action=UPDATE&amp;creator=factset&amp;DYN_ARGS=TRUE&amp;DOC_NAME=FAT:FQL_AUDITING_CLIENT_TEMPLATE.FAT&amp;display_string=Audit&amp;VAR:KEY=HARQNEPEFW&amp;VAR:QUERY=RkZfRUJJVERBX0lCKCdMVE1TJywzOTE2Myk=&amp;WINDOW=FIRST_POPUP&amp;HEIGHT=450&amp;WIDTH=450&amp;START_MA","XIMIZED=FALSE&amp;VAR:CALENDAR=US&amp;VAR:SYMBOL=37183T10&amp;VAR:INDEX=0"}</definedName>
    <definedName name="_4722__FDSAUDITLINK__" hidden="1">{"fdsup://directions/FAT Viewer?action=UPDATE&amp;creator=factset&amp;DYN_ARGS=TRUE&amp;DOC_NAME=FAT:FQL_AUDITING_CLIENT_TEMPLATE.FAT&amp;display_string=Audit&amp;VAR:KEY=HARQNEPEFW&amp;VAR:QUERY=RkZfRUJJVERBX0lCKCdMVE1TJywzOTE2Myk=&amp;WINDOW=FIRST_POPUP&amp;HEIGHT=450&amp;WIDTH=450&amp;START_MA","XIMIZED=FALSE&amp;VAR:CALENDAR=US&amp;VAR:SYMBOL=37183T10&amp;VAR:INDEX=0"}</definedName>
    <definedName name="_4723__FDSAUDITLINK__" localSheetId="6" hidden="1">{"fdsup://directions/FAT Viewer?action=UPDATE&amp;creator=factset&amp;DYN_ARGS=TRUE&amp;DOC_NAME=FAT:FQL_AUDITING_CLIENT_TEMPLATE.FAT&amp;display_string=Audit&amp;VAR:KEY=TMTUHURMZK&amp;VAR:QUERY=RkZfRUJJVERBX0lCKCdMVE1TJywzOTE2Mik=&amp;WINDOW=FIRST_POPUP&amp;HEIGHT=450&amp;WIDTH=450&amp;START_MA","XIMIZED=FALSE&amp;VAR:CALENDAR=US&amp;VAR:SYMBOL=37183T10&amp;VAR:INDEX=0"}</definedName>
    <definedName name="_4723__FDSAUDITLINK__" hidden="1">{"fdsup://directions/FAT Viewer?action=UPDATE&amp;creator=factset&amp;DYN_ARGS=TRUE&amp;DOC_NAME=FAT:FQL_AUDITING_CLIENT_TEMPLATE.FAT&amp;display_string=Audit&amp;VAR:KEY=TMTUHURMZK&amp;VAR:QUERY=RkZfRUJJVERBX0lCKCdMVE1TJywzOTE2Mik=&amp;WINDOW=FIRST_POPUP&amp;HEIGHT=450&amp;WIDTH=450&amp;START_MA","XIMIZED=FALSE&amp;VAR:CALENDAR=US&amp;VAR:SYMBOL=37183T10&amp;VAR:INDEX=0"}</definedName>
    <definedName name="_4724__FDSAUDITLINK__" localSheetId="6" hidden="1">{"fdsup://directions/FAT Viewer?action=UPDATE&amp;creator=factset&amp;DYN_ARGS=TRUE&amp;DOC_NAME=FAT:FQL_AUDITING_CLIENT_TEMPLATE.FAT&amp;display_string=Audit&amp;VAR:KEY=HYDQLYFQFK&amp;VAR:QUERY=RkZfRUJJVERBX0lCKCdMVE1TJywzOTE2MSk=&amp;WINDOW=FIRST_POPUP&amp;HEIGHT=450&amp;WIDTH=450&amp;START_MA","XIMIZED=FALSE&amp;VAR:CALENDAR=US&amp;VAR:SYMBOL=37183T10&amp;VAR:INDEX=0"}</definedName>
    <definedName name="_4724__FDSAUDITLINK__" hidden="1">{"fdsup://directions/FAT Viewer?action=UPDATE&amp;creator=factset&amp;DYN_ARGS=TRUE&amp;DOC_NAME=FAT:FQL_AUDITING_CLIENT_TEMPLATE.FAT&amp;display_string=Audit&amp;VAR:KEY=HYDQLYFQFK&amp;VAR:QUERY=RkZfRUJJVERBX0lCKCdMVE1TJywzOTE2MSk=&amp;WINDOW=FIRST_POPUP&amp;HEIGHT=450&amp;WIDTH=450&amp;START_MA","XIMIZED=FALSE&amp;VAR:CALENDAR=US&amp;VAR:SYMBOL=37183T10&amp;VAR:INDEX=0"}</definedName>
    <definedName name="_4725__FDSAUDITLINK__" localSheetId="6" hidden="1">{"fdsup://directions/FAT Viewer?action=UPDATE&amp;creator=factset&amp;DYN_ARGS=TRUE&amp;DOC_NAME=FAT:FQL_AUDITING_CLIENT_TEMPLATE.FAT&amp;display_string=Audit&amp;VAR:KEY=ZWBITWRQJW&amp;VAR:QUERY=RkZfRUJJVERBX0lCKCdMVE1TJywzOTE2MCk=&amp;WINDOW=FIRST_POPUP&amp;HEIGHT=450&amp;WIDTH=450&amp;START_MA","XIMIZED=FALSE&amp;VAR:CALENDAR=US&amp;VAR:SYMBOL=37183T10&amp;VAR:INDEX=0"}</definedName>
    <definedName name="_4725__FDSAUDITLINK__" hidden="1">{"fdsup://directions/FAT Viewer?action=UPDATE&amp;creator=factset&amp;DYN_ARGS=TRUE&amp;DOC_NAME=FAT:FQL_AUDITING_CLIENT_TEMPLATE.FAT&amp;display_string=Audit&amp;VAR:KEY=ZWBITWRQJW&amp;VAR:QUERY=RkZfRUJJVERBX0lCKCdMVE1TJywzOTE2MCk=&amp;WINDOW=FIRST_POPUP&amp;HEIGHT=450&amp;WIDTH=450&amp;START_MA","XIMIZED=FALSE&amp;VAR:CALENDAR=US&amp;VAR:SYMBOL=37183T10&amp;VAR:INDEX=0"}</definedName>
    <definedName name="_4726__FDSAUDITLINK__" localSheetId="6" hidden="1">{"fdsup://directions/FAT Viewer?action=UPDATE&amp;creator=factset&amp;DYN_ARGS=TRUE&amp;DOC_NAME=FAT:FQL_AUDITING_CLIENT_TEMPLATE.FAT&amp;display_string=Audit&amp;VAR:KEY=NEDKHMHIDO&amp;VAR:QUERY=RkZfRUJJVERBX0lCKCdMVE1TJywzOTE1OSk=&amp;WINDOW=FIRST_POPUP&amp;HEIGHT=450&amp;WIDTH=450&amp;START_MA","XIMIZED=FALSE&amp;VAR:CALENDAR=US&amp;VAR:SYMBOL=37183T10&amp;VAR:INDEX=0"}</definedName>
    <definedName name="_4726__FDSAUDITLINK__" hidden="1">{"fdsup://directions/FAT Viewer?action=UPDATE&amp;creator=factset&amp;DYN_ARGS=TRUE&amp;DOC_NAME=FAT:FQL_AUDITING_CLIENT_TEMPLATE.FAT&amp;display_string=Audit&amp;VAR:KEY=NEDKHMHIDO&amp;VAR:QUERY=RkZfRUJJVERBX0lCKCdMVE1TJywzOTE1OSk=&amp;WINDOW=FIRST_POPUP&amp;HEIGHT=450&amp;WIDTH=450&amp;START_MA","XIMIZED=FALSE&amp;VAR:CALENDAR=US&amp;VAR:SYMBOL=37183T10&amp;VAR:INDEX=0"}</definedName>
    <definedName name="_4727__FDSAUDITLINK__" localSheetId="6" hidden="1">{"fdsup://directions/FAT Viewer?action=UPDATE&amp;creator=factset&amp;DYN_ARGS=TRUE&amp;DOC_NAME=FAT:FQL_AUDITING_CLIENT_TEMPLATE.FAT&amp;display_string=Audit&amp;VAR:KEY=DWPYHIHQLG&amp;VAR:QUERY=RkZfRUJJVERBX0lCKCdMVE1TJywzOTE1OCk=&amp;WINDOW=FIRST_POPUP&amp;HEIGHT=450&amp;WIDTH=450&amp;START_MA","XIMIZED=FALSE&amp;VAR:CALENDAR=US&amp;VAR:SYMBOL=37183T10&amp;VAR:INDEX=0"}</definedName>
    <definedName name="_4727__FDSAUDITLINK__" hidden="1">{"fdsup://directions/FAT Viewer?action=UPDATE&amp;creator=factset&amp;DYN_ARGS=TRUE&amp;DOC_NAME=FAT:FQL_AUDITING_CLIENT_TEMPLATE.FAT&amp;display_string=Audit&amp;VAR:KEY=DWPYHIHQLG&amp;VAR:QUERY=RkZfRUJJVERBX0lCKCdMVE1TJywzOTE1OCk=&amp;WINDOW=FIRST_POPUP&amp;HEIGHT=450&amp;WIDTH=450&amp;START_MA","XIMIZED=FALSE&amp;VAR:CALENDAR=US&amp;VAR:SYMBOL=37183T10&amp;VAR:INDEX=0"}</definedName>
    <definedName name="_4728__FDSAUDITLINK__" localSheetId="6" hidden="1">{"fdsup://directions/FAT Viewer?action=UPDATE&amp;creator=factset&amp;DYN_ARGS=TRUE&amp;DOC_NAME=FAT:FQL_AUDITING_CLIENT_TEMPLATE.FAT&amp;display_string=Audit&amp;VAR:KEY=TYTEHGZGZA&amp;VAR:QUERY=RkZfRUJJVERBX0lCKCdMVE1TJywzOTE1Nyk=&amp;WINDOW=FIRST_POPUP&amp;HEIGHT=450&amp;WIDTH=450&amp;START_MA","XIMIZED=FALSE&amp;VAR:CALENDAR=US&amp;VAR:SYMBOL=37183T10&amp;VAR:INDEX=0"}</definedName>
    <definedName name="_4728__FDSAUDITLINK__" hidden="1">{"fdsup://directions/FAT Viewer?action=UPDATE&amp;creator=factset&amp;DYN_ARGS=TRUE&amp;DOC_NAME=FAT:FQL_AUDITING_CLIENT_TEMPLATE.FAT&amp;display_string=Audit&amp;VAR:KEY=TYTEHGZGZA&amp;VAR:QUERY=RkZfRUJJVERBX0lCKCdMVE1TJywzOTE1Nyk=&amp;WINDOW=FIRST_POPUP&amp;HEIGHT=450&amp;WIDTH=450&amp;START_MA","XIMIZED=FALSE&amp;VAR:CALENDAR=US&amp;VAR:SYMBOL=37183T10&amp;VAR:INDEX=0"}</definedName>
    <definedName name="_4729__FDSAUDITLINK__" localSheetId="6" hidden="1">{"fdsup://directions/FAT Viewer?action=UPDATE&amp;creator=factset&amp;DYN_ARGS=TRUE&amp;DOC_NAME=FAT:FQL_AUDITING_CLIENT_TEMPLATE.FAT&amp;display_string=Audit&amp;VAR:KEY=NCLWRAZSXC&amp;VAR:QUERY=RkZfRUJJVERBX0lCKCdMVE1TJywzOTE1Nik=&amp;WINDOW=FIRST_POPUP&amp;HEIGHT=450&amp;WIDTH=450&amp;START_MA","XIMIZED=FALSE&amp;VAR:CALENDAR=US&amp;VAR:SYMBOL=37183T10&amp;VAR:INDEX=0"}</definedName>
    <definedName name="_4729__FDSAUDITLINK__" hidden="1">{"fdsup://directions/FAT Viewer?action=UPDATE&amp;creator=factset&amp;DYN_ARGS=TRUE&amp;DOC_NAME=FAT:FQL_AUDITING_CLIENT_TEMPLATE.FAT&amp;display_string=Audit&amp;VAR:KEY=NCLWRAZSXC&amp;VAR:QUERY=RkZfRUJJVERBX0lCKCdMVE1TJywzOTE1Nik=&amp;WINDOW=FIRST_POPUP&amp;HEIGHT=450&amp;WIDTH=450&amp;START_MA","XIMIZED=FALSE&amp;VAR:CALENDAR=US&amp;VAR:SYMBOL=37183T10&amp;VAR:INDEX=0"}</definedName>
    <definedName name="_473__FDSAUDITLINK__" localSheetId="6" hidden="1">{"fdsup://directions/FAT%20Viewer?VAR:PED=LTM&amp;VAR:AUDIT_MODE=SUMMARY&amp;VAR:PERIOD=FIXED&amp;VAR:AUDIT_ID=00000117&amp;VAR:DATE=20081105&amp;action=UPDATE&amp;creator=factset&amp;DOC_NAME=FAT:FMA_audit_SUMMARY.fat&amp;DISPLAY_STRING=Display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3__FDSAUDITLINK__" hidden="1">{"fdsup://directions/FAT%20Viewer?VAR:PED=LTM&amp;VAR:AUDIT_MODE=SUMMARY&amp;VAR:PERIOD=FIXED&amp;VAR:AUDIT_ID=00000117&amp;VAR:DATE=20081105&amp;action=UPDATE&amp;creator=factset&amp;DOC_NAME=FAT:FMA_audit_SUMMARY.fat&amp;DISPLAY_STRING=Display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30__FDSAUDITLINK__" localSheetId="6" hidden="1">{"fdsup://directions/FAT Viewer?action=UPDATE&amp;creator=factset&amp;DYN_ARGS=TRUE&amp;DOC_NAME=FAT:FQL_AUDITING_CLIENT_TEMPLATE.FAT&amp;display_string=Audit&amp;VAR:KEY=DIZGTCZSTM&amp;VAR:QUERY=RkZfRUJJVERBX0lCKCdMVE1TJywzOTE1NSk=&amp;WINDOW=FIRST_POPUP&amp;HEIGHT=450&amp;WIDTH=450&amp;START_MA","XIMIZED=FALSE&amp;VAR:CALENDAR=US&amp;VAR:SYMBOL=37183T10&amp;VAR:INDEX=0"}</definedName>
    <definedName name="_4730__FDSAUDITLINK__" hidden="1">{"fdsup://directions/FAT Viewer?action=UPDATE&amp;creator=factset&amp;DYN_ARGS=TRUE&amp;DOC_NAME=FAT:FQL_AUDITING_CLIENT_TEMPLATE.FAT&amp;display_string=Audit&amp;VAR:KEY=DIZGTCZSTM&amp;VAR:QUERY=RkZfRUJJVERBX0lCKCdMVE1TJywzOTE1NSk=&amp;WINDOW=FIRST_POPUP&amp;HEIGHT=450&amp;WIDTH=450&amp;START_MA","XIMIZED=FALSE&amp;VAR:CALENDAR=US&amp;VAR:SYMBOL=37183T10&amp;VAR:INDEX=0"}</definedName>
    <definedName name="_4731__FDSAUDITLINK__" localSheetId="6" hidden="1">{"fdsup://directions/FAT Viewer?action=UPDATE&amp;creator=factset&amp;DYN_ARGS=TRUE&amp;DOC_NAME=FAT:FQL_AUDITING_CLIENT_TEMPLATE.FAT&amp;display_string=Audit&amp;VAR:KEY=FSZQTORQDY&amp;VAR:QUERY=RkZfRUJJVERBX0lCKCdMVE1TJywzOTE1NCk=&amp;WINDOW=FIRST_POPUP&amp;HEIGHT=450&amp;WIDTH=450&amp;START_MA","XIMIZED=FALSE&amp;VAR:CALENDAR=US&amp;VAR:SYMBOL=37183T10&amp;VAR:INDEX=0"}</definedName>
    <definedName name="_4731__FDSAUDITLINK__" hidden="1">{"fdsup://directions/FAT Viewer?action=UPDATE&amp;creator=factset&amp;DYN_ARGS=TRUE&amp;DOC_NAME=FAT:FQL_AUDITING_CLIENT_TEMPLATE.FAT&amp;display_string=Audit&amp;VAR:KEY=FSZQTORQDY&amp;VAR:QUERY=RkZfRUJJVERBX0lCKCdMVE1TJywzOTE1NCk=&amp;WINDOW=FIRST_POPUP&amp;HEIGHT=450&amp;WIDTH=450&amp;START_MA","XIMIZED=FALSE&amp;VAR:CALENDAR=US&amp;VAR:SYMBOL=37183T10&amp;VAR:INDEX=0"}</definedName>
    <definedName name="_4732__FDSAUDITLINK__" localSheetId="6" hidden="1">{"fdsup://directions/FAT Viewer?action=UPDATE&amp;creator=factset&amp;DYN_ARGS=TRUE&amp;DOC_NAME=FAT:FQL_AUDITING_CLIENT_TEMPLATE.FAT&amp;display_string=Audit&amp;VAR:KEY=JSXKZQZGPQ&amp;VAR:QUERY=RkZfRUJJVERBX0lCKCdMVE1TJywzOTE1Myk=&amp;WINDOW=FIRST_POPUP&amp;HEIGHT=450&amp;WIDTH=450&amp;START_MA","XIMIZED=FALSE&amp;VAR:CALENDAR=US&amp;VAR:SYMBOL=37183T10&amp;VAR:INDEX=0"}</definedName>
    <definedName name="_4732__FDSAUDITLINK__" hidden="1">{"fdsup://directions/FAT Viewer?action=UPDATE&amp;creator=factset&amp;DYN_ARGS=TRUE&amp;DOC_NAME=FAT:FQL_AUDITING_CLIENT_TEMPLATE.FAT&amp;display_string=Audit&amp;VAR:KEY=JSXKZQZGPQ&amp;VAR:QUERY=RkZfRUJJVERBX0lCKCdMVE1TJywzOTE1Myk=&amp;WINDOW=FIRST_POPUP&amp;HEIGHT=450&amp;WIDTH=450&amp;START_MA","XIMIZED=FALSE&amp;VAR:CALENDAR=US&amp;VAR:SYMBOL=37183T10&amp;VAR:INDEX=0"}</definedName>
    <definedName name="_4733__FDSAUDITLINK__" localSheetId="6" hidden="1">{"fdsup://directions/FAT Viewer?action=UPDATE&amp;creator=factset&amp;DYN_ARGS=TRUE&amp;DOC_NAME=FAT:FQL_AUDITING_CLIENT_TEMPLATE.FAT&amp;display_string=Audit&amp;VAR:KEY=POTOVCHQFQ&amp;VAR:QUERY=RkZfRUJJVERBX0lCKCdMVE1TJywzOTE1Mik=&amp;WINDOW=FIRST_POPUP&amp;HEIGHT=450&amp;WIDTH=450&amp;START_MA","XIMIZED=FALSE&amp;VAR:CALENDAR=US&amp;VAR:SYMBOL=37183T10&amp;VAR:INDEX=0"}</definedName>
    <definedName name="_4733__FDSAUDITLINK__" hidden="1">{"fdsup://directions/FAT Viewer?action=UPDATE&amp;creator=factset&amp;DYN_ARGS=TRUE&amp;DOC_NAME=FAT:FQL_AUDITING_CLIENT_TEMPLATE.FAT&amp;display_string=Audit&amp;VAR:KEY=POTOVCHQFQ&amp;VAR:QUERY=RkZfRUJJVERBX0lCKCdMVE1TJywzOTE1Mik=&amp;WINDOW=FIRST_POPUP&amp;HEIGHT=450&amp;WIDTH=450&amp;START_MA","XIMIZED=FALSE&amp;VAR:CALENDAR=US&amp;VAR:SYMBOL=37183T10&amp;VAR:INDEX=0"}</definedName>
    <definedName name="_4734__FDSAUDITLINK__" localSheetId="6" hidden="1">{"fdsup://directions/FAT Viewer?action=UPDATE&amp;creator=factset&amp;DYN_ARGS=TRUE&amp;DOC_NAME=FAT:FQL_AUDITING_CLIENT_TEMPLATE.FAT&amp;display_string=Audit&amp;VAR:KEY=NUBOPIBGDY&amp;VAR:QUERY=RkZfRUJJVERBX0lCKCdMVE1TJywzOTE1MSk=&amp;WINDOW=FIRST_POPUP&amp;HEIGHT=450&amp;WIDTH=450&amp;START_MA","XIMIZED=FALSE&amp;VAR:CALENDAR=US&amp;VAR:SYMBOL=37183T10&amp;VAR:INDEX=0"}</definedName>
    <definedName name="_4734__FDSAUDITLINK__" hidden="1">{"fdsup://directions/FAT Viewer?action=UPDATE&amp;creator=factset&amp;DYN_ARGS=TRUE&amp;DOC_NAME=FAT:FQL_AUDITING_CLIENT_TEMPLATE.FAT&amp;display_string=Audit&amp;VAR:KEY=NUBOPIBGDY&amp;VAR:QUERY=RkZfRUJJVERBX0lCKCdMVE1TJywzOTE1MSk=&amp;WINDOW=FIRST_POPUP&amp;HEIGHT=450&amp;WIDTH=450&amp;START_MA","XIMIZED=FALSE&amp;VAR:CALENDAR=US&amp;VAR:SYMBOL=37183T10&amp;VAR:INDEX=0"}</definedName>
    <definedName name="_4735__FDSAUDITLINK__" localSheetId="6" hidden="1">{"fdsup://directions/FAT Viewer?action=UPDATE&amp;creator=factset&amp;DYN_ARGS=TRUE&amp;DOC_NAME=FAT:FQL_AUDITING_CLIENT_TEMPLATE.FAT&amp;display_string=Audit&amp;VAR:KEY=BWXYDUNYRM&amp;VAR:QUERY=RkZfRUJJVERBX0lCKCdMVE1TJywzOTE1MCk=&amp;WINDOW=FIRST_POPUP&amp;HEIGHT=450&amp;WIDTH=450&amp;START_MA","XIMIZED=FALSE&amp;VAR:CALENDAR=US&amp;VAR:SYMBOL=37183T10&amp;VAR:INDEX=0"}</definedName>
    <definedName name="_4735__FDSAUDITLINK__" hidden="1">{"fdsup://directions/FAT Viewer?action=UPDATE&amp;creator=factset&amp;DYN_ARGS=TRUE&amp;DOC_NAME=FAT:FQL_AUDITING_CLIENT_TEMPLATE.FAT&amp;display_string=Audit&amp;VAR:KEY=BWXYDUNYRM&amp;VAR:QUERY=RkZfRUJJVERBX0lCKCdMVE1TJywzOTE1MCk=&amp;WINDOW=FIRST_POPUP&amp;HEIGHT=450&amp;WIDTH=450&amp;START_MA","XIMIZED=FALSE&amp;VAR:CALENDAR=US&amp;VAR:SYMBOL=37183T10&amp;VAR:INDEX=0"}</definedName>
    <definedName name="_4736__FDSAUDITLINK__" localSheetId="6" hidden="1">{"fdsup://directions/FAT Viewer?action=UPDATE&amp;creator=factset&amp;DYN_ARGS=TRUE&amp;DOC_NAME=FAT:FQL_AUDITING_CLIENT_TEMPLATE.FAT&amp;display_string=Audit&amp;VAR:KEY=HSTQVYXWNI&amp;VAR:QUERY=RkZfRUJJVERBX0lCKCdMVE1TJywzOTE0OSk=&amp;WINDOW=FIRST_POPUP&amp;HEIGHT=450&amp;WIDTH=450&amp;START_MA","XIMIZED=FALSE&amp;VAR:CALENDAR=US&amp;VAR:SYMBOL=37183T10&amp;VAR:INDEX=0"}</definedName>
    <definedName name="_4736__FDSAUDITLINK__" hidden="1">{"fdsup://directions/FAT Viewer?action=UPDATE&amp;creator=factset&amp;DYN_ARGS=TRUE&amp;DOC_NAME=FAT:FQL_AUDITING_CLIENT_TEMPLATE.FAT&amp;display_string=Audit&amp;VAR:KEY=HSTQVYXWNI&amp;VAR:QUERY=RkZfRUJJVERBX0lCKCdMVE1TJywzOTE0OSk=&amp;WINDOW=FIRST_POPUP&amp;HEIGHT=450&amp;WIDTH=450&amp;START_MA","XIMIZED=FALSE&amp;VAR:CALENDAR=US&amp;VAR:SYMBOL=37183T10&amp;VAR:INDEX=0"}</definedName>
    <definedName name="_4737__FDSAUDITLINK__" localSheetId="6" hidden="1">{"fdsup://directions/FAT Viewer?action=UPDATE&amp;creator=factset&amp;DYN_ARGS=TRUE&amp;DOC_NAME=FAT:FQL_AUDITING_CLIENT_TEMPLATE.FAT&amp;display_string=Audit&amp;VAR:KEY=VSJWRKZMRC&amp;VAR:QUERY=RkZfRUJJVERBX0lCKCdMVE1TJywzOTE0OCk=&amp;WINDOW=FIRST_POPUP&amp;HEIGHT=450&amp;WIDTH=450&amp;START_MA","XIMIZED=FALSE&amp;VAR:CALENDAR=US&amp;VAR:SYMBOL=37183T10&amp;VAR:INDEX=0"}</definedName>
    <definedName name="_4737__FDSAUDITLINK__" hidden="1">{"fdsup://directions/FAT Viewer?action=UPDATE&amp;creator=factset&amp;DYN_ARGS=TRUE&amp;DOC_NAME=FAT:FQL_AUDITING_CLIENT_TEMPLATE.FAT&amp;display_string=Audit&amp;VAR:KEY=VSJWRKZMRC&amp;VAR:QUERY=RkZfRUJJVERBX0lCKCdMVE1TJywzOTE0OCk=&amp;WINDOW=FIRST_POPUP&amp;HEIGHT=450&amp;WIDTH=450&amp;START_MA","XIMIZED=FALSE&amp;VAR:CALENDAR=US&amp;VAR:SYMBOL=37183T10&amp;VAR:INDEX=0"}</definedName>
    <definedName name="_4738__FDSAUDITLINK__" localSheetId="6" hidden="1">{"fdsup://directions/FAT Viewer?action=UPDATE&amp;creator=factset&amp;DYN_ARGS=TRUE&amp;DOC_NAME=FAT:FQL_AUDITING_CLIENT_TEMPLATE.FAT&amp;display_string=Audit&amp;VAR:KEY=VENQLWNMBW&amp;VAR:QUERY=RkZfRUJJVERBX0lCKCdMVE1TJywzOTE0Nyk=&amp;WINDOW=FIRST_POPUP&amp;HEIGHT=450&amp;WIDTH=450&amp;START_MA","XIMIZED=FALSE&amp;VAR:CALENDAR=US&amp;VAR:SYMBOL=37183T10&amp;VAR:INDEX=0"}</definedName>
    <definedName name="_4738__FDSAUDITLINK__" hidden="1">{"fdsup://directions/FAT Viewer?action=UPDATE&amp;creator=factset&amp;DYN_ARGS=TRUE&amp;DOC_NAME=FAT:FQL_AUDITING_CLIENT_TEMPLATE.FAT&amp;display_string=Audit&amp;VAR:KEY=VENQLWNMBW&amp;VAR:QUERY=RkZfRUJJVERBX0lCKCdMVE1TJywzOTE0Nyk=&amp;WINDOW=FIRST_POPUP&amp;HEIGHT=450&amp;WIDTH=450&amp;START_MA","XIMIZED=FALSE&amp;VAR:CALENDAR=US&amp;VAR:SYMBOL=37183T10&amp;VAR:INDEX=0"}</definedName>
    <definedName name="_4739__FDSAUDITLINK__" localSheetId="6" hidden="1">{"fdsup://directions/FAT Viewer?action=UPDATE&amp;creator=factset&amp;DYN_ARGS=TRUE&amp;DOC_NAME=FAT:FQL_AUDITING_CLIENT_TEMPLATE.FAT&amp;display_string=Audit&amp;VAR:KEY=BQBQXOHQTK&amp;VAR:QUERY=RkZfRUJJVERBX0lCKCdMVE1TJywzOTE0Nik=&amp;WINDOW=FIRST_POPUP&amp;HEIGHT=450&amp;WIDTH=450&amp;START_MA","XIMIZED=FALSE&amp;VAR:CALENDAR=US&amp;VAR:SYMBOL=37183T10&amp;VAR:INDEX=0"}</definedName>
    <definedName name="_4739__FDSAUDITLINK__" hidden="1">{"fdsup://directions/FAT Viewer?action=UPDATE&amp;creator=factset&amp;DYN_ARGS=TRUE&amp;DOC_NAME=FAT:FQL_AUDITING_CLIENT_TEMPLATE.FAT&amp;display_string=Audit&amp;VAR:KEY=BQBQXOHQTK&amp;VAR:QUERY=RkZfRUJJVERBX0lCKCdMVE1TJywzOTE0Nik=&amp;WINDOW=FIRST_POPUP&amp;HEIGHT=450&amp;WIDTH=450&amp;START_MA","XIMIZED=FALSE&amp;VAR:CALENDAR=US&amp;VAR:SYMBOL=37183T10&amp;VAR:INDEX=0"}</definedName>
    <definedName name="_474__FDSAUDITLINK__" localSheetId="6" hidden="1">{"fdsup://directions/FAT%20Viewer?VAR:PED=LTM&amp;VAR:AUDIT_MODE=SUMMARY&amp;VAR:PERIOD=FIXED&amp;VAR:AUDIT_ID=00000117&amp;VAR:DATE=20081104&amp;action=UPDATE&amp;creator=factset&amp;DOC_NAME=FAT:FMA_audit_SUMMARY.fat&amp;DISPLAY_STRING=Display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4__FDSAUDITLINK__" hidden="1">{"fdsup://directions/FAT%20Viewer?VAR:PED=LTM&amp;VAR:AUDIT_MODE=SUMMARY&amp;VAR:PERIOD=FIXED&amp;VAR:AUDIT_ID=00000117&amp;VAR:DATE=20081104&amp;action=UPDATE&amp;creator=factset&amp;DOC_NAME=FAT:FMA_audit_SUMMARY.fat&amp;DISPLAY_STRING=Display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40__FDSAUDITLINK__" localSheetId="6" hidden="1">{"fdsup://directions/FAT Viewer?action=UPDATE&amp;creator=factset&amp;DYN_ARGS=TRUE&amp;DOC_NAME=FAT:FQL_AUDITING_CLIENT_TEMPLATE.FAT&amp;display_string=Audit&amp;VAR:KEY=TAXKJCJYZO&amp;VAR:QUERY=RkZfRUJJVERBX0lCKCdMVE1TJywzOTE0NSk=&amp;WINDOW=FIRST_POPUP&amp;HEIGHT=450&amp;WIDTH=450&amp;START_MA","XIMIZED=FALSE&amp;VAR:CALENDAR=US&amp;VAR:SYMBOL=37183T10&amp;VAR:INDEX=0"}</definedName>
    <definedName name="_4740__FDSAUDITLINK__" hidden="1">{"fdsup://directions/FAT Viewer?action=UPDATE&amp;creator=factset&amp;DYN_ARGS=TRUE&amp;DOC_NAME=FAT:FQL_AUDITING_CLIENT_TEMPLATE.FAT&amp;display_string=Audit&amp;VAR:KEY=TAXKJCJYZO&amp;VAR:QUERY=RkZfRUJJVERBX0lCKCdMVE1TJywzOTE0NSk=&amp;WINDOW=FIRST_POPUP&amp;HEIGHT=450&amp;WIDTH=450&amp;START_MA","XIMIZED=FALSE&amp;VAR:CALENDAR=US&amp;VAR:SYMBOL=37183T10&amp;VAR:INDEX=0"}</definedName>
    <definedName name="_4741__FDSAUDITLINK__" localSheetId="6" hidden="1">{"fdsup://directions/FAT Viewer?action=UPDATE&amp;creator=factset&amp;DYN_ARGS=TRUE&amp;DOC_NAME=FAT:FQL_AUDITING_CLIENT_TEMPLATE.FAT&amp;display_string=Audit&amp;VAR:KEY=JWDGJSVORS&amp;VAR:QUERY=RkZfRUJJVERBX0lCKCdMVE1TJywzOTE0NCk=&amp;WINDOW=FIRST_POPUP&amp;HEIGHT=450&amp;WIDTH=450&amp;START_MA","XIMIZED=FALSE&amp;VAR:CALENDAR=US&amp;VAR:SYMBOL=37183T10&amp;VAR:INDEX=0"}</definedName>
    <definedName name="_4741__FDSAUDITLINK__" hidden="1">{"fdsup://directions/FAT Viewer?action=UPDATE&amp;creator=factset&amp;DYN_ARGS=TRUE&amp;DOC_NAME=FAT:FQL_AUDITING_CLIENT_TEMPLATE.FAT&amp;display_string=Audit&amp;VAR:KEY=JWDGJSVORS&amp;VAR:QUERY=RkZfRUJJVERBX0lCKCdMVE1TJywzOTE0NCk=&amp;WINDOW=FIRST_POPUP&amp;HEIGHT=450&amp;WIDTH=450&amp;START_MA","XIMIZED=FALSE&amp;VAR:CALENDAR=US&amp;VAR:SYMBOL=37183T10&amp;VAR:INDEX=0"}</definedName>
    <definedName name="_4742__FDSAUDITLINK__" localSheetId="6" hidden="1">{"fdsup://directions/FAT Viewer?action=UPDATE&amp;creator=factset&amp;DYN_ARGS=TRUE&amp;DOC_NAME=FAT:FQL_AUDITING_CLIENT_TEMPLATE.FAT&amp;display_string=Audit&amp;VAR:KEY=PQRKTAFAPQ&amp;VAR:QUERY=RkZfRUJJVERBX0lCKCdMVE1TJywzOTE0Myk=&amp;WINDOW=FIRST_POPUP&amp;HEIGHT=450&amp;WIDTH=450&amp;START_MA","XIMIZED=FALSE&amp;VAR:CALENDAR=US&amp;VAR:SYMBOL=37183T10&amp;VAR:INDEX=0"}</definedName>
    <definedName name="_4742__FDSAUDITLINK__" hidden="1">{"fdsup://directions/FAT Viewer?action=UPDATE&amp;creator=factset&amp;DYN_ARGS=TRUE&amp;DOC_NAME=FAT:FQL_AUDITING_CLIENT_TEMPLATE.FAT&amp;display_string=Audit&amp;VAR:KEY=PQRKTAFAPQ&amp;VAR:QUERY=RkZfRUJJVERBX0lCKCdMVE1TJywzOTE0Myk=&amp;WINDOW=FIRST_POPUP&amp;HEIGHT=450&amp;WIDTH=450&amp;START_MA","XIMIZED=FALSE&amp;VAR:CALENDAR=US&amp;VAR:SYMBOL=37183T10&amp;VAR:INDEX=0"}</definedName>
    <definedName name="_4743__FDSAUDITLINK__" localSheetId="6" hidden="1">{"fdsup://directions/FAT Viewer?action=UPDATE&amp;creator=factset&amp;DYN_ARGS=TRUE&amp;DOC_NAME=FAT:FQL_AUDITING_CLIENT_TEMPLATE.FAT&amp;display_string=Audit&amp;VAR:KEY=NWZOBSBQFA&amp;VAR:QUERY=RkZfRUJJVERBX0lCKCdMVE1TJywzOTE0Mik=&amp;WINDOW=FIRST_POPUP&amp;HEIGHT=450&amp;WIDTH=450&amp;START_MA","XIMIZED=FALSE&amp;VAR:CALENDAR=US&amp;VAR:SYMBOL=37183T10&amp;VAR:INDEX=0"}</definedName>
    <definedName name="_4743__FDSAUDITLINK__" hidden="1">{"fdsup://directions/FAT Viewer?action=UPDATE&amp;creator=factset&amp;DYN_ARGS=TRUE&amp;DOC_NAME=FAT:FQL_AUDITING_CLIENT_TEMPLATE.FAT&amp;display_string=Audit&amp;VAR:KEY=NWZOBSBQFA&amp;VAR:QUERY=RkZfRUJJVERBX0lCKCdMVE1TJywzOTE0Mik=&amp;WINDOW=FIRST_POPUP&amp;HEIGHT=450&amp;WIDTH=450&amp;START_MA","XIMIZED=FALSE&amp;VAR:CALENDAR=US&amp;VAR:SYMBOL=37183T10&amp;VAR:INDEX=0"}</definedName>
    <definedName name="_4744__FDSAUDITLINK__" localSheetId="6" hidden="1">{"fdsup://directions/FAT Viewer?action=UPDATE&amp;creator=factset&amp;DYN_ARGS=TRUE&amp;DOC_NAME=FAT:FQL_AUDITING_CLIENT_TEMPLATE.FAT&amp;display_string=Audit&amp;VAR:KEY=JOJWXQDEZC&amp;VAR:QUERY=RkZfRUJJVERBX0lCKCdMVE1TJywzOTE0MSk=&amp;WINDOW=FIRST_POPUP&amp;HEIGHT=450&amp;WIDTH=450&amp;START_MA","XIMIZED=FALSE&amp;VAR:CALENDAR=US&amp;VAR:SYMBOL=37183T10&amp;VAR:INDEX=0"}</definedName>
    <definedName name="_4744__FDSAUDITLINK__" hidden="1">{"fdsup://directions/FAT Viewer?action=UPDATE&amp;creator=factset&amp;DYN_ARGS=TRUE&amp;DOC_NAME=FAT:FQL_AUDITING_CLIENT_TEMPLATE.FAT&amp;display_string=Audit&amp;VAR:KEY=JOJWXQDEZC&amp;VAR:QUERY=RkZfRUJJVERBX0lCKCdMVE1TJywzOTE0MSk=&amp;WINDOW=FIRST_POPUP&amp;HEIGHT=450&amp;WIDTH=450&amp;START_MA","XIMIZED=FALSE&amp;VAR:CALENDAR=US&amp;VAR:SYMBOL=37183T10&amp;VAR:INDEX=0"}</definedName>
    <definedName name="_4745__FDSAUDITLINK__" localSheetId="6" hidden="1">{"fdsup://directions/FAT Viewer?action=UPDATE&amp;creator=factset&amp;DYN_ARGS=TRUE&amp;DOC_NAME=FAT:FQL_AUDITING_CLIENT_TEMPLATE.FAT&amp;display_string=Audit&amp;VAR:KEY=BMLCFMTKZQ&amp;VAR:QUERY=RkZfRUJJVERBX0lCKCdMVE1TJywzOTE0MCk=&amp;WINDOW=FIRST_POPUP&amp;HEIGHT=450&amp;WIDTH=450&amp;START_MA","XIMIZED=FALSE&amp;VAR:CALENDAR=US&amp;VAR:SYMBOL=37183T10&amp;VAR:INDEX=0"}</definedName>
    <definedName name="_4745__FDSAUDITLINK__" hidden="1">{"fdsup://directions/FAT Viewer?action=UPDATE&amp;creator=factset&amp;DYN_ARGS=TRUE&amp;DOC_NAME=FAT:FQL_AUDITING_CLIENT_TEMPLATE.FAT&amp;display_string=Audit&amp;VAR:KEY=BMLCFMTKZQ&amp;VAR:QUERY=RkZfRUJJVERBX0lCKCdMVE1TJywzOTE0MCk=&amp;WINDOW=FIRST_POPUP&amp;HEIGHT=450&amp;WIDTH=450&amp;START_MA","XIMIZED=FALSE&amp;VAR:CALENDAR=US&amp;VAR:SYMBOL=37183T10&amp;VAR:INDEX=0"}</definedName>
    <definedName name="_4746__FDSAUDITLINK__" localSheetId="6" hidden="1">{"fdsup://directions/FAT Viewer?action=UPDATE&amp;creator=factset&amp;DYN_ARGS=TRUE&amp;DOC_NAME=FAT:FQL_AUDITING_CLIENT_TEMPLATE.FAT&amp;display_string=Audit&amp;VAR:KEY=PAFSLWXGLS&amp;VAR:QUERY=RkZfRUJJVERBX0lCKCdMVE1TJywzOTEzOSk=&amp;WINDOW=FIRST_POPUP&amp;HEIGHT=450&amp;WIDTH=450&amp;START_MA","XIMIZED=FALSE&amp;VAR:CALENDAR=US&amp;VAR:SYMBOL=37183T10&amp;VAR:INDEX=0"}</definedName>
    <definedName name="_4746__FDSAUDITLINK__" hidden="1">{"fdsup://directions/FAT Viewer?action=UPDATE&amp;creator=factset&amp;DYN_ARGS=TRUE&amp;DOC_NAME=FAT:FQL_AUDITING_CLIENT_TEMPLATE.FAT&amp;display_string=Audit&amp;VAR:KEY=PAFSLWXGLS&amp;VAR:QUERY=RkZfRUJJVERBX0lCKCdMVE1TJywzOTEzOSk=&amp;WINDOW=FIRST_POPUP&amp;HEIGHT=450&amp;WIDTH=450&amp;START_MA","XIMIZED=FALSE&amp;VAR:CALENDAR=US&amp;VAR:SYMBOL=37183T10&amp;VAR:INDEX=0"}</definedName>
    <definedName name="_4747__FDSAUDITLINK__" localSheetId="6" hidden="1">{"fdsup://directions/FAT Viewer?action=UPDATE&amp;creator=factset&amp;DYN_ARGS=TRUE&amp;DOC_NAME=FAT:FQL_AUDITING_CLIENT_TEMPLATE.FAT&amp;display_string=Audit&amp;VAR:KEY=ZWROXSVQZO&amp;VAR:QUERY=RkZfRUJJVERBX0lCKCdMVE1TJywzOTEzOCk=&amp;WINDOW=FIRST_POPUP&amp;HEIGHT=450&amp;WIDTH=450&amp;START_MA","XIMIZED=FALSE&amp;VAR:CALENDAR=US&amp;VAR:SYMBOL=37183T10&amp;VAR:INDEX=0"}</definedName>
    <definedName name="_4747__FDSAUDITLINK__" hidden="1">{"fdsup://directions/FAT Viewer?action=UPDATE&amp;creator=factset&amp;DYN_ARGS=TRUE&amp;DOC_NAME=FAT:FQL_AUDITING_CLIENT_TEMPLATE.FAT&amp;display_string=Audit&amp;VAR:KEY=ZWROXSVQZO&amp;VAR:QUERY=RkZfRUJJVERBX0lCKCdMVE1TJywzOTEzOCk=&amp;WINDOW=FIRST_POPUP&amp;HEIGHT=450&amp;WIDTH=450&amp;START_MA","XIMIZED=FALSE&amp;VAR:CALENDAR=US&amp;VAR:SYMBOL=37183T10&amp;VAR:INDEX=0"}</definedName>
    <definedName name="_4748__FDSAUDITLINK__" localSheetId="6" hidden="1">{"fdsup://directions/FAT Viewer?action=UPDATE&amp;creator=factset&amp;DYN_ARGS=TRUE&amp;DOC_NAME=FAT:FQL_AUDITING_CLIENT_TEMPLATE.FAT&amp;display_string=Audit&amp;VAR:KEY=PGPKTKNUZE&amp;VAR:QUERY=RkZfRUJJVERBX0lCKCdMVE1TJywzOTEzNyk=&amp;WINDOW=FIRST_POPUP&amp;HEIGHT=450&amp;WIDTH=450&amp;START_MA","XIMIZED=FALSE&amp;VAR:CALENDAR=US&amp;VAR:SYMBOL=37183T10&amp;VAR:INDEX=0"}</definedName>
    <definedName name="_4748__FDSAUDITLINK__" hidden="1">{"fdsup://directions/FAT Viewer?action=UPDATE&amp;creator=factset&amp;DYN_ARGS=TRUE&amp;DOC_NAME=FAT:FQL_AUDITING_CLIENT_TEMPLATE.FAT&amp;display_string=Audit&amp;VAR:KEY=PGPKTKNUZE&amp;VAR:QUERY=RkZfRUJJVERBX0lCKCdMVE1TJywzOTEzNyk=&amp;WINDOW=FIRST_POPUP&amp;HEIGHT=450&amp;WIDTH=450&amp;START_MA","XIMIZED=FALSE&amp;VAR:CALENDAR=US&amp;VAR:SYMBOL=37183T10&amp;VAR:INDEX=0"}</definedName>
    <definedName name="_4749__FDSAUDITLINK__" localSheetId="6" hidden="1">{"fdsup://directions/FAT Viewer?action=UPDATE&amp;creator=factset&amp;DYN_ARGS=TRUE&amp;DOC_NAME=FAT:FQL_AUDITING_CLIENT_TEMPLATE.FAT&amp;display_string=Audit&amp;VAR:KEY=DSRYTMNWPS&amp;VAR:QUERY=RkZfRUJJVERBX0lCKCdMVE1TJywzOTEzNik=&amp;WINDOW=FIRST_POPUP&amp;HEIGHT=450&amp;WIDTH=450&amp;START_MA","XIMIZED=FALSE&amp;VAR:CALENDAR=US&amp;VAR:SYMBOL=37183T10&amp;VAR:INDEX=0"}</definedName>
    <definedName name="_4749__FDSAUDITLINK__" hidden="1">{"fdsup://directions/FAT Viewer?action=UPDATE&amp;creator=factset&amp;DYN_ARGS=TRUE&amp;DOC_NAME=FAT:FQL_AUDITING_CLIENT_TEMPLATE.FAT&amp;display_string=Audit&amp;VAR:KEY=DSRYTMNWPS&amp;VAR:QUERY=RkZfRUJJVERBX0lCKCdMVE1TJywzOTEzNik=&amp;WINDOW=FIRST_POPUP&amp;HEIGHT=450&amp;WIDTH=450&amp;START_MA","XIMIZED=FALSE&amp;VAR:CALENDAR=US&amp;VAR:SYMBOL=37183T10&amp;VAR:INDEX=0"}</definedName>
    <definedName name="_475__FDSAUDITLINK__" localSheetId="6" hidden="1">{"fdsup://directions/FAT%20Viewer?VAR:PED=LTM&amp;VAR:AUDIT_MODE=SUMMARY&amp;VAR:PERIOD=FIXED&amp;VAR:AUDIT_ID=00000117&amp;VAR:DATE=20081103&amp;action=UPDATE&amp;creator=factset&amp;DOC_NAME=FAT:FMA_audit_SUMMARY.fat&amp;DISPLAY_STRING=Display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5__FDSAUDITLINK__" hidden="1">{"fdsup://directions/FAT%20Viewer?VAR:PED=LTM&amp;VAR:AUDIT_MODE=SUMMARY&amp;VAR:PERIOD=FIXED&amp;VAR:AUDIT_ID=00000117&amp;VAR:DATE=20081103&amp;action=UPDATE&amp;creator=factset&amp;DOC_NAME=FAT:FMA_audit_SUMMARY.fat&amp;DISPLAY_STRING=Display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50__FDSAUDITLINK__" localSheetId="6" hidden="1">{"fdsup://directions/FAT Viewer?action=UPDATE&amp;creator=factset&amp;DYN_ARGS=TRUE&amp;DOC_NAME=FAT:FQL_AUDITING_CLIENT_TEMPLATE.FAT&amp;display_string=Audit&amp;VAR:KEY=BAJYBAFGPO&amp;VAR:QUERY=RkZfRUJJVERBX0lCKCdMVE1TJywzOTEzNSk=&amp;WINDOW=FIRST_POPUP&amp;HEIGHT=450&amp;WIDTH=450&amp;START_MA","XIMIZED=FALSE&amp;VAR:CALENDAR=US&amp;VAR:SYMBOL=37183T10&amp;VAR:INDEX=0"}</definedName>
    <definedName name="_4750__FDSAUDITLINK__" hidden="1">{"fdsup://directions/FAT Viewer?action=UPDATE&amp;creator=factset&amp;DYN_ARGS=TRUE&amp;DOC_NAME=FAT:FQL_AUDITING_CLIENT_TEMPLATE.FAT&amp;display_string=Audit&amp;VAR:KEY=BAJYBAFGPO&amp;VAR:QUERY=RkZfRUJJVERBX0lCKCdMVE1TJywzOTEzNSk=&amp;WINDOW=FIRST_POPUP&amp;HEIGHT=450&amp;WIDTH=450&amp;START_MA","XIMIZED=FALSE&amp;VAR:CALENDAR=US&amp;VAR:SYMBOL=37183T10&amp;VAR:INDEX=0"}</definedName>
    <definedName name="_4751__FDSAUDITLINK__" localSheetId="6" hidden="1">{"fdsup://directions/FAT Viewer?action=UPDATE&amp;creator=factset&amp;DYN_ARGS=TRUE&amp;DOC_NAME=FAT:FQL_AUDITING_CLIENT_TEMPLATE.FAT&amp;display_string=Audit&amp;VAR:KEY=DQRONYZYBW&amp;VAR:QUERY=RkZfRUJJVERBX0lCKCdMVE1TJywzOTEzNCk=&amp;WINDOW=FIRST_POPUP&amp;HEIGHT=450&amp;WIDTH=450&amp;START_MA","XIMIZED=FALSE&amp;VAR:CALENDAR=US&amp;VAR:SYMBOL=37183T10&amp;VAR:INDEX=0"}</definedName>
    <definedName name="_4751__FDSAUDITLINK__" hidden="1">{"fdsup://directions/FAT Viewer?action=UPDATE&amp;creator=factset&amp;DYN_ARGS=TRUE&amp;DOC_NAME=FAT:FQL_AUDITING_CLIENT_TEMPLATE.FAT&amp;display_string=Audit&amp;VAR:KEY=DQRONYZYBW&amp;VAR:QUERY=RkZfRUJJVERBX0lCKCdMVE1TJywzOTEzNCk=&amp;WINDOW=FIRST_POPUP&amp;HEIGHT=450&amp;WIDTH=450&amp;START_MA","XIMIZED=FALSE&amp;VAR:CALENDAR=US&amp;VAR:SYMBOL=37183T10&amp;VAR:INDEX=0"}</definedName>
    <definedName name="_4752__FDSAUDITLINK__" localSheetId="6" hidden="1">{"fdsup://directions/FAT Viewer?action=UPDATE&amp;creator=factset&amp;DYN_ARGS=TRUE&amp;DOC_NAME=FAT:FQL_AUDITING_CLIENT_TEMPLATE.FAT&amp;display_string=Audit&amp;VAR:KEY=ZERUZODMJG&amp;VAR:QUERY=RkZfRUJJVERBX0lCKCdMVE1TJywzOTEzMyk=&amp;WINDOW=FIRST_POPUP&amp;HEIGHT=450&amp;WIDTH=450&amp;START_MA","XIMIZED=FALSE&amp;VAR:CALENDAR=US&amp;VAR:SYMBOL=37183T10&amp;VAR:INDEX=0"}</definedName>
    <definedName name="_4752__FDSAUDITLINK__" hidden="1">{"fdsup://directions/FAT Viewer?action=UPDATE&amp;creator=factset&amp;DYN_ARGS=TRUE&amp;DOC_NAME=FAT:FQL_AUDITING_CLIENT_TEMPLATE.FAT&amp;display_string=Audit&amp;VAR:KEY=ZERUZODMJG&amp;VAR:QUERY=RkZfRUJJVERBX0lCKCdMVE1TJywzOTEzMyk=&amp;WINDOW=FIRST_POPUP&amp;HEIGHT=450&amp;WIDTH=450&amp;START_MA","XIMIZED=FALSE&amp;VAR:CALENDAR=US&amp;VAR:SYMBOL=37183T10&amp;VAR:INDEX=0"}</definedName>
    <definedName name="_4753__FDSAUDITLINK__" localSheetId="6" hidden="1">{"fdsup://directions/FAT Viewer?action=UPDATE&amp;creator=factset&amp;DYN_ARGS=TRUE&amp;DOC_NAME=FAT:FQL_AUDITING_CLIENT_TEMPLATE.FAT&amp;display_string=Audit&amp;VAR:KEY=NQDITQLYPA&amp;VAR:QUERY=RkZfRUJJVERBX0lCKCdMVE1TJywzOTEzMik=&amp;WINDOW=FIRST_POPUP&amp;HEIGHT=450&amp;WIDTH=450&amp;START_MA","XIMIZED=FALSE&amp;VAR:CALENDAR=US&amp;VAR:SYMBOL=37183T10&amp;VAR:INDEX=0"}</definedName>
    <definedName name="_4753__FDSAUDITLINK__" hidden="1">{"fdsup://directions/FAT Viewer?action=UPDATE&amp;creator=factset&amp;DYN_ARGS=TRUE&amp;DOC_NAME=FAT:FQL_AUDITING_CLIENT_TEMPLATE.FAT&amp;display_string=Audit&amp;VAR:KEY=NQDITQLYPA&amp;VAR:QUERY=RkZfRUJJVERBX0lCKCdMVE1TJywzOTEzMik=&amp;WINDOW=FIRST_POPUP&amp;HEIGHT=450&amp;WIDTH=450&amp;START_MA","XIMIZED=FALSE&amp;VAR:CALENDAR=US&amp;VAR:SYMBOL=37183T10&amp;VAR:INDEX=0"}</definedName>
    <definedName name="_4754__FDSAUDITLINK__" localSheetId="6" hidden="1">{"fdsup://directions/FAT Viewer?action=UPDATE&amp;creator=factset&amp;DYN_ARGS=TRUE&amp;DOC_NAME=FAT:FQL_AUDITING_CLIENT_TEMPLATE.FAT&amp;display_string=Audit&amp;VAR:KEY=FUXCTSFILM&amp;VAR:QUERY=RkZfRUJJVERBX0lCKCdMVE1TJywzOTEzMSk=&amp;WINDOW=FIRST_POPUP&amp;HEIGHT=450&amp;WIDTH=450&amp;START_MA","XIMIZED=FALSE&amp;VAR:CALENDAR=US&amp;VAR:SYMBOL=37183T10&amp;VAR:INDEX=0"}</definedName>
    <definedName name="_4754__FDSAUDITLINK__" hidden="1">{"fdsup://directions/FAT Viewer?action=UPDATE&amp;creator=factset&amp;DYN_ARGS=TRUE&amp;DOC_NAME=FAT:FQL_AUDITING_CLIENT_TEMPLATE.FAT&amp;display_string=Audit&amp;VAR:KEY=FUXCTSFILM&amp;VAR:QUERY=RkZfRUJJVERBX0lCKCdMVE1TJywzOTEzMSk=&amp;WINDOW=FIRST_POPUP&amp;HEIGHT=450&amp;WIDTH=450&amp;START_MA","XIMIZED=FALSE&amp;VAR:CALENDAR=US&amp;VAR:SYMBOL=37183T10&amp;VAR:INDEX=0"}</definedName>
    <definedName name="_4755__FDSAUDITLINK__" localSheetId="6" hidden="1">{"fdsup://directions/FAT Viewer?action=UPDATE&amp;creator=factset&amp;DYN_ARGS=TRUE&amp;DOC_NAME=FAT:FQL_AUDITING_CLIENT_TEMPLATE.FAT&amp;display_string=Audit&amp;VAR:KEY=NCBMPUNQTC&amp;VAR:QUERY=RkZfRUJJVERBX0lCKCdMVE1TJywzOTEzMCk=&amp;WINDOW=FIRST_POPUP&amp;HEIGHT=450&amp;WIDTH=450&amp;START_MA","XIMIZED=FALSE&amp;VAR:CALENDAR=US&amp;VAR:SYMBOL=37183T10&amp;VAR:INDEX=0"}</definedName>
    <definedName name="_4755__FDSAUDITLINK__" hidden="1">{"fdsup://directions/FAT Viewer?action=UPDATE&amp;creator=factset&amp;DYN_ARGS=TRUE&amp;DOC_NAME=FAT:FQL_AUDITING_CLIENT_TEMPLATE.FAT&amp;display_string=Audit&amp;VAR:KEY=NCBMPUNQTC&amp;VAR:QUERY=RkZfRUJJVERBX0lCKCdMVE1TJywzOTEzMCk=&amp;WINDOW=FIRST_POPUP&amp;HEIGHT=450&amp;WIDTH=450&amp;START_MA","XIMIZED=FALSE&amp;VAR:CALENDAR=US&amp;VAR:SYMBOL=37183T10&amp;VAR:INDEX=0"}</definedName>
    <definedName name="_4756__FDSAUDITLINK__" localSheetId="6" hidden="1">{"fdsup://directions/FAT Viewer?action=UPDATE&amp;creator=factset&amp;DYN_ARGS=TRUE&amp;DOC_NAME=FAT:FQL_AUDITING_CLIENT_TEMPLATE.FAT&amp;display_string=Audit&amp;VAR:KEY=XUVGLQJYDS&amp;VAR:QUERY=RkZfRUJJVERBX0lCKCdMVE1TJywzOTEyOSk=&amp;WINDOW=FIRST_POPUP&amp;HEIGHT=450&amp;WIDTH=450&amp;START_MA","XIMIZED=FALSE&amp;VAR:CALENDAR=US&amp;VAR:SYMBOL=37183T10&amp;VAR:INDEX=0"}</definedName>
    <definedName name="_4756__FDSAUDITLINK__" hidden="1">{"fdsup://directions/FAT Viewer?action=UPDATE&amp;creator=factset&amp;DYN_ARGS=TRUE&amp;DOC_NAME=FAT:FQL_AUDITING_CLIENT_TEMPLATE.FAT&amp;display_string=Audit&amp;VAR:KEY=XUVGLQJYDS&amp;VAR:QUERY=RkZfRUJJVERBX0lCKCdMVE1TJywzOTEyOSk=&amp;WINDOW=FIRST_POPUP&amp;HEIGHT=450&amp;WIDTH=450&amp;START_MA","XIMIZED=FALSE&amp;VAR:CALENDAR=US&amp;VAR:SYMBOL=37183T10&amp;VAR:INDEX=0"}</definedName>
    <definedName name="_4757__FDSAUDITLINK__" localSheetId="6" hidden="1">{"fdsup://directions/FAT Viewer?action=UPDATE&amp;creator=factset&amp;DYN_ARGS=TRUE&amp;DOC_NAME=FAT:FQL_AUDITING_CLIENT_TEMPLATE.FAT&amp;display_string=Audit&amp;VAR:KEY=PKBOLQTIPO&amp;VAR:QUERY=RkZfRUJJVERBX0lCKCdMVE1TJywzOTEyOCk=&amp;WINDOW=FIRST_POPUP&amp;HEIGHT=450&amp;WIDTH=450&amp;START_MA","XIMIZED=FALSE&amp;VAR:CALENDAR=US&amp;VAR:SYMBOL=37183T10&amp;VAR:INDEX=0"}</definedName>
    <definedName name="_4757__FDSAUDITLINK__" hidden="1">{"fdsup://directions/FAT Viewer?action=UPDATE&amp;creator=factset&amp;DYN_ARGS=TRUE&amp;DOC_NAME=FAT:FQL_AUDITING_CLIENT_TEMPLATE.FAT&amp;display_string=Audit&amp;VAR:KEY=PKBOLQTIPO&amp;VAR:QUERY=RkZfRUJJVERBX0lCKCdMVE1TJywzOTEyOCk=&amp;WINDOW=FIRST_POPUP&amp;HEIGHT=450&amp;WIDTH=450&amp;START_MA","XIMIZED=FALSE&amp;VAR:CALENDAR=US&amp;VAR:SYMBOL=37183T10&amp;VAR:INDEX=0"}</definedName>
    <definedName name="_4758__FDSAUDITLINK__" localSheetId="6" hidden="1">{"fdsup://directions/FAT Viewer?action=UPDATE&amp;creator=factset&amp;DYN_ARGS=TRUE&amp;DOC_NAME=FAT:FQL_AUDITING_CLIENT_TEMPLATE.FAT&amp;display_string=Audit&amp;VAR:KEY=PWNYHILWBM&amp;VAR:QUERY=RkZfRUJJVERBX0lCKCdMVE1TJywzOTEyNyk=&amp;WINDOW=FIRST_POPUP&amp;HEIGHT=450&amp;WIDTH=450&amp;START_MA","XIMIZED=FALSE&amp;VAR:CALENDAR=US&amp;VAR:SYMBOL=37183T10&amp;VAR:INDEX=0"}</definedName>
    <definedName name="_4758__FDSAUDITLINK__" hidden="1">{"fdsup://directions/FAT Viewer?action=UPDATE&amp;creator=factset&amp;DYN_ARGS=TRUE&amp;DOC_NAME=FAT:FQL_AUDITING_CLIENT_TEMPLATE.FAT&amp;display_string=Audit&amp;VAR:KEY=PWNYHILWBM&amp;VAR:QUERY=RkZfRUJJVERBX0lCKCdMVE1TJywzOTEyNyk=&amp;WINDOW=FIRST_POPUP&amp;HEIGHT=450&amp;WIDTH=450&amp;START_MA","XIMIZED=FALSE&amp;VAR:CALENDAR=US&amp;VAR:SYMBOL=37183T10&amp;VAR:INDEX=0"}</definedName>
    <definedName name="_4759__FDSAUDITLINK__" localSheetId="6" hidden="1">{"fdsup://directions/FAT Viewer?action=UPDATE&amp;creator=factset&amp;DYN_ARGS=TRUE&amp;DOC_NAME=FAT:FQL_AUDITING_CLIENT_TEMPLATE.FAT&amp;display_string=Audit&amp;VAR:KEY=ZELSHAHOHW&amp;VAR:QUERY=RkZfRUJJVERBX0lCKCdMVE1TJywzOTEyNik=&amp;WINDOW=FIRST_POPUP&amp;HEIGHT=450&amp;WIDTH=450&amp;START_MA","XIMIZED=FALSE&amp;VAR:CALENDAR=US&amp;VAR:SYMBOL=37183T10&amp;VAR:INDEX=0"}</definedName>
    <definedName name="_4759__FDSAUDITLINK__" hidden="1">{"fdsup://directions/FAT Viewer?action=UPDATE&amp;creator=factset&amp;DYN_ARGS=TRUE&amp;DOC_NAME=FAT:FQL_AUDITING_CLIENT_TEMPLATE.FAT&amp;display_string=Audit&amp;VAR:KEY=ZELSHAHOHW&amp;VAR:QUERY=RkZfRUJJVERBX0lCKCdMVE1TJywzOTEyNik=&amp;WINDOW=FIRST_POPUP&amp;HEIGHT=450&amp;WIDTH=450&amp;START_MA","XIMIZED=FALSE&amp;VAR:CALENDAR=US&amp;VAR:SYMBOL=37183T10&amp;VAR:INDEX=0"}</definedName>
    <definedName name="_476__FDSAUDITLINK__" localSheetId="6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6__FDSAUDITLINK__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60__FDSAUDITLINK__" localSheetId="6" hidden="1">{"fdsup://directions/FAT Viewer?action=UPDATE&amp;creator=factset&amp;DYN_ARGS=TRUE&amp;DOC_NAME=FAT:FQL_AUDITING_CLIENT_TEMPLATE.FAT&amp;display_string=Audit&amp;VAR:KEY=BMJYVQRKXK&amp;VAR:QUERY=RkZfRUJJVERBX0lCKCdMVE1TJywzOTEyNSk=&amp;WINDOW=FIRST_POPUP&amp;HEIGHT=450&amp;WIDTH=450&amp;START_MA","XIMIZED=FALSE&amp;VAR:CALENDAR=US&amp;VAR:SYMBOL=37183T10&amp;VAR:INDEX=0"}</definedName>
    <definedName name="_4760__FDSAUDITLINK__" hidden="1">{"fdsup://directions/FAT Viewer?action=UPDATE&amp;creator=factset&amp;DYN_ARGS=TRUE&amp;DOC_NAME=FAT:FQL_AUDITING_CLIENT_TEMPLATE.FAT&amp;display_string=Audit&amp;VAR:KEY=BMJYVQRKXK&amp;VAR:QUERY=RkZfRUJJVERBX0lCKCdMVE1TJywzOTEyNSk=&amp;WINDOW=FIRST_POPUP&amp;HEIGHT=450&amp;WIDTH=450&amp;START_MA","XIMIZED=FALSE&amp;VAR:CALENDAR=US&amp;VAR:SYMBOL=37183T10&amp;VAR:INDEX=0"}</definedName>
    <definedName name="_4761__FDSAUDITLINK__" localSheetId="6" hidden="1">{"fdsup://directions/FAT Viewer?action=UPDATE&amp;creator=factset&amp;DYN_ARGS=TRUE&amp;DOC_NAME=FAT:FQL_AUDITING_CLIENT_TEMPLATE.FAT&amp;display_string=Audit&amp;VAR:KEY=JIDGFKTKPQ&amp;VAR:QUERY=RkZfRUJJVERBX0lCKCdMVE1TJywzOTEyNCk=&amp;WINDOW=FIRST_POPUP&amp;HEIGHT=450&amp;WIDTH=450&amp;START_MA","XIMIZED=FALSE&amp;VAR:CALENDAR=US&amp;VAR:SYMBOL=37183T10&amp;VAR:INDEX=0"}</definedName>
    <definedName name="_4761__FDSAUDITLINK__" hidden="1">{"fdsup://directions/FAT Viewer?action=UPDATE&amp;creator=factset&amp;DYN_ARGS=TRUE&amp;DOC_NAME=FAT:FQL_AUDITING_CLIENT_TEMPLATE.FAT&amp;display_string=Audit&amp;VAR:KEY=JIDGFKTKPQ&amp;VAR:QUERY=RkZfRUJJVERBX0lCKCdMVE1TJywzOTEyNCk=&amp;WINDOW=FIRST_POPUP&amp;HEIGHT=450&amp;WIDTH=450&amp;START_MA","XIMIZED=FALSE&amp;VAR:CALENDAR=US&amp;VAR:SYMBOL=37183T10&amp;VAR:INDEX=0"}</definedName>
    <definedName name="_4762__FDSAUDITLINK__" localSheetId="6" hidden="1">{"fdsup://directions/FAT Viewer?action=UPDATE&amp;creator=factset&amp;DYN_ARGS=TRUE&amp;DOC_NAME=FAT:FQL_AUDITING_CLIENT_TEMPLATE.FAT&amp;display_string=Audit&amp;VAR:KEY=DEDCVCBIXG&amp;VAR:QUERY=RkZfRUJJVERBX0lCKCdMVE1TJywzOTEyMyk=&amp;WINDOW=FIRST_POPUP&amp;HEIGHT=450&amp;WIDTH=450&amp;START_MA","XIMIZED=FALSE&amp;VAR:CALENDAR=US&amp;VAR:SYMBOL=37183T10&amp;VAR:INDEX=0"}</definedName>
    <definedName name="_4762__FDSAUDITLINK__" hidden="1">{"fdsup://directions/FAT Viewer?action=UPDATE&amp;creator=factset&amp;DYN_ARGS=TRUE&amp;DOC_NAME=FAT:FQL_AUDITING_CLIENT_TEMPLATE.FAT&amp;display_string=Audit&amp;VAR:KEY=DEDCVCBIXG&amp;VAR:QUERY=RkZfRUJJVERBX0lCKCdMVE1TJywzOTEyMyk=&amp;WINDOW=FIRST_POPUP&amp;HEIGHT=450&amp;WIDTH=450&amp;START_MA","XIMIZED=FALSE&amp;VAR:CALENDAR=US&amp;VAR:SYMBOL=37183T10&amp;VAR:INDEX=0"}</definedName>
    <definedName name="_4763__FDSAUDITLINK__" localSheetId="6" hidden="1">{"fdsup://directions/FAT Viewer?action=UPDATE&amp;creator=factset&amp;DYN_ARGS=TRUE&amp;DOC_NAME=FAT:FQL_AUDITING_CLIENT_TEMPLATE.FAT&amp;display_string=Audit&amp;VAR:KEY=RUDYPEXQVK&amp;VAR:QUERY=RkZfRUJJVERBX0lCKCdMVE1TJywzOTEyMik=&amp;WINDOW=FIRST_POPUP&amp;HEIGHT=450&amp;WIDTH=450&amp;START_MA","XIMIZED=FALSE&amp;VAR:CALENDAR=US&amp;VAR:SYMBOL=37183T10&amp;VAR:INDEX=0"}</definedName>
    <definedName name="_4763__FDSAUDITLINK__" hidden="1">{"fdsup://directions/FAT Viewer?action=UPDATE&amp;creator=factset&amp;DYN_ARGS=TRUE&amp;DOC_NAME=FAT:FQL_AUDITING_CLIENT_TEMPLATE.FAT&amp;display_string=Audit&amp;VAR:KEY=RUDYPEXQVK&amp;VAR:QUERY=RkZfRUJJVERBX0lCKCdMVE1TJywzOTEyMik=&amp;WINDOW=FIRST_POPUP&amp;HEIGHT=450&amp;WIDTH=450&amp;START_MA","XIMIZED=FALSE&amp;VAR:CALENDAR=US&amp;VAR:SYMBOL=37183T10&amp;VAR:INDEX=0"}</definedName>
    <definedName name="_4764__FDSAUDITLINK__" localSheetId="6" hidden="1">{"fdsup://directions/FAT Viewer?action=UPDATE&amp;creator=factset&amp;DYN_ARGS=TRUE&amp;DOC_NAME=FAT:FQL_AUDITING_CLIENT_TEMPLATE.FAT&amp;display_string=Audit&amp;VAR:KEY=PKVKBEXSJG&amp;VAR:QUERY=RkZfRUJJVERBX0lCKCdMVE1TJywzOTEyMSk=&amp;WINDOW=FIRST_POPUP&amp;HEIGHT=450&amp;WIDTH=450&amp;START_MA","XIMIZED=FALSE&amp;VAR:CALENDAR=US&amp;VAR:SYMBOL=37183T10&amp;VAR:INDEX=0"}</definedName>
    <definedName name="_4764__FDSAUDITLINK__" hidden="1">{"fdsup://directions/FAT Viewer?action=UPDATE&amp;creator=factset&amp;DYN_ARGS=TRUE&amp;DOC_NAME=FAT:FQL_AUDITING_CLIENT_TEMPLATE.FAT&amp;display_string=Audit&amp;VAR:KEY=PKVKBEXSJG&amp;VAR:QUERY=RkZfRUJJVERBX0lCKCdMVE1TJywzOTEyMSk=&amp;WINDOW=FIRST_POPUP&amp;HEIGHT=450&amp;WIDTH=450&amp;START_MA","XIMIZED=FALSE&amp;VAR:CALENDAR=US&amp;VAR:SYMBOL=37183T10&amp;VAR:INDEX=0"}</definedName>
    <definedName name="_4765__FDSAUDITLINK__" localSheetId="6" hidden="1">{"fdsup://directions/FAT Viewer?action=UPDATE&amp;creator=factset&amp;DYN_ARGS=TRUE&amp;DOC_NAME=FAT:FQL_AUDITING_CLIENT_TEMPLATE.FAT&amp;display_string=Audit&amp;VAR:KEY=TEXCJSLCDG&amp;VAR:QUERY=RkZfRUJJVERBX0lCKCdMVE1TJywzOTEyMCk=&amp;WINDOW=FIRST_POPUP&amp;HEIGHT=450&amp;WIDTH=450&amp;START_MA","XIMIZED=FALSE&amp;VAR:CALENDAR=US&amp;VAR:SYMBOL=37183T10&amp;VAR:INDEX=0"}</definedName>
    <definedName name="_4765__FDSAUDITLINK__" hidden="1">{"fdsup://directions/FAT Viewer?action=UPDATE&amp;creator=factset&amp;DYN_ARGS=TRUE&amp;DOC_NAME=FAT:FQL_AUDITING_CLIENT_TEMPLATE.FAT&amp;display_string=Audit&amp;VAR:KEY=TEXCJSLCDG&amp;VAR:QUERY=RkZfRUJJVERBX0lCKCdMVE1TJywzOTEyMCk=&amp;WINDOW=FIRST_POPUP&amp;HEIGHT=450&amp;WIDTH=450&amp;START_MA","XIMIZED=FALSE&amp;VAR:CALENDAR=US&amp;VAR:SYMBOL=37183T10&amp;VAR:INDEX=0"}</definedName>
    <definedName name="_4766__FDSAUDITLINK__" localSheetId="6" hidden="1">{"fdsup://directions/FAT Viewer?action=UPDATE&amp;creator=factset&amp;DYN_ARGS=TRUE&amp;DOC_NAME=FAT:FQL_AUDITING_CLIENT_TEMPLATE.FAT&amp;display_string=Audit&amp;VAR:KEY=BWJUVMPEBG&amp;VAR:QUERY=RkZfRUJJVERBX0lCKCdMVE1TJywzOTExOSk=&amp;WINDOW=FIRST_POPUP&amp;HEIGHT=450&amp;WIDTH=450&amp;START_MA","XIMIZED=FALSE&amp;VAR:CALENDAR=US&amp;VAR:SYMBOL=37183T10&amp;VAR:INDEX=0"}</definedName>
    <definedName name="_4766__FDSAUDITLINK__" hidden="1">{"fdsup://directions/FAT Viewer?action=UPDATE&amp;creator=factset&amp;DYN_ARGS=TRUE&amp;DOC_NAME=FAT:FQL_AUDITING_CLIENT_TEMPLATE.FAT&amp;display_string=Audit&amp;VAR:KEY=BWJUVMPEBG&amp;VAR:QUERY=RkZfRUJJVERBX0lCKCdMVE1TJywzOTExOSk=&amp;WINDOW=FIRST_POPUP&amp;HEIGHT=450&amp;WIDTH=450&amp;START_MA","XIMIZED=FALSE&amp;VAR:CALENDAR=US&amp;VAR:SYMBOL=37183T10&amp;VAR:INDEX=0"}</definedName>
    <definedName name="_4767__FDSAUDITLINK__" localSheetId="6" hidden="1">{"fdsup://directions/FAT Viewer?action=UPDATE&amp;creator=factset&amp;DYN_ARGS=TRUE&amp;DOC_NAME=FAT:FQL_AUDITING_CLIENT_TEMPLATE.FAT&amp;display_string=Audit&amp;VAR:KEY=ZYBMTCNIVS&amp;VAR:QUERY=RkZfRUJJVERBX0lCKCdMVE1TJywzOTExOCk=&amp;WINDOW=FIRST_POPUP&amp;HEIGHT=450&amp;WIDTH=450&amp;START_MA","XIMIZED=FALSE&amp;VAR:CALENDAR=US&amp;VAR:SYMBOL=37183T10&amp;VAR:INDEX=0"}</definedName>
    <definedName name="_4767__FDSAUDITLINK__" hidden="1">{"fdsup://directions/FAT Viewer?action=UPDATE&amp;creator=factset&amp;DYN_ARGS=TRUE&amp;DOC_NAME=FAT:FQL_AUDITING_CLIENT_TEMPLATE.FAT&amp;display_string=Audit&amp;VAR:KEY=ZYBMTCNIVS&amp;VAR:QUERY=RkZfRUJJVERBX0lCKCdMVE1TJywzOTExOCk=&amp;WINDOW=FIRST_POPUP&amp;HEIGHT=450&amp;WIDTH=450&amp;START_MA","XIMIZED=FALSE&amp;VAR:CALENDAR=US&amp;VAR:SYMBOL=37183T10&amp;VAR:INDEX=0"}</definedName>
    <definedName name="_4768__FDSAUDITLINK__" localSheetId="6" hidden="1">{"fdsup://directions/FAT Viewer?action=UPDATE&amp;creator=factset&amp;DYN_ARGS=TRUE&amp;DOC_NAME=FAT:FQL_AUDITING_CLIENT_TEMPLATE.FAT&amp;display_string=Audit&amp;VAR:KEY=RKVWTGLIFK&amp;VAR:QUERY=RkZfRUJJVERBX0lCKCdMVE1TJywzOTExNyk=&amp;WINDOW=FIRST_POPUP&amp;HEIGHT=450&amp;WIDTH=450&amp;START_MA","XIMIZED=FALSE&amp;VAR:CALENDAR=US&amp;VAR:SYMBOL=37183T10&amp;VAR:INDEX=0"}</definedName>
    <definedName name="_4768__FDSAUDITLINK__" hidden="1">{"fdsup://directions/FAT Viewer?action=UPDATE&amp;creator=factset&amp;DYN_ARGS=TRUE&amp;DOC_NAME=FAT:FQL_AUDITING_CLIENT_TEMPLATE.FAT&amp;display_string=Audit&amp;VAR:KEY=RKVWTGLIFK&amp;VAR:QUERY=RkZfRUJJVERBX0lCKCdMVE1TJywzOTExNyk=&amp;WINDOW=FIRST_POPUP&amp;HEIGHT=450&amp;WIDTH=450&amp;START_MA","XIMIZED=FALSE&amp;VAR:CALENDAR=US&amp;VAR:SYMBOL=37183T10&amp;VAR:INDEX=0"}</definedName>
    <definedName name="_4769__FDSAUDITLINK__" localSheetId="6" hidden="1">{"fdsup://directions/FAT Viewer?action=UPDATE&amp;creator=factset&amp;DYN_ARGS=TRUE&amp;DOC_NAME=FAT:FQL_AUDITING_CLIENT_TEMPLATE.FAT&amp;display_string=Audit&amp;VAR:KEY=LCFCVWDYVA&amp;VAR:QUERY=RkZfRUJJVERBX0lCKCdMVE1TJywzOTExNik=&amp;WINDOW=FIRST_POPUP&amp;HEIGHT=450&amp;WIDTH=450&amp;START_MA","XIMIZED=FALSE&amp;VAR:CALENDAR=US&amp;VAR:SYMBOL=37183T10&amp;VAR:INDEX=0"}</definedName>
    <definedName name="_4769__FDSAUDITLINK__" hidden="1">{"fdsup://directions/FAT Viewer?action=UPDATE&amp;creator=factset&amp;DYN_ARGS=TRUE&amp;DOC_NAME=FAT:FQL_AUDITING_CLIENT_TEMPLATE.FAT&amp;display_string=Audit&amp;VAR:KEY=LCFCVWDYVA&amp;VAR:QUERY=RkZfRUJJVERBX0lCKCdMVE1TJywzOTExNik=&amp;WINDOW=FIRST_POPUP&amp;HEIGHT=450&amp;WIDTH=450&amp;START_MA","XIMIZED=FALSE&amp;VAR:CALENDAR=US&amp;VAR:SYMBOL=37183T10&amp;VAR:INDEX=0"}</definedName>
    <definedName name="_477__FDSAUDITLINK__" localSheetId="6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7__FDSAUDITLINK__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70__FDSAUDITLINK__" localSheetId="6" hidden="1">{"fdsup://directions/FAT Viewer?action=UPDATE&amp;creator=factset&amp;DYN_ARGS=TRUE&amp;DOC_NAME=FAT:FQL_AUDITING_CLIENT_TEMPLATE.FAT&amp;display_string=Audit&amp;VAR:KEY=BGDSHOZGVK&amp;VAR:QUERY=RkZfRUJJVERBX0lCKCdMVE1TJywzOTExNSk=&amp;WINDOW=FIRST_POPUP&amp;HEIGHT=450&amp;WIDTH=450&amp;START_MA","XIMIZED=FALSE&amp;VAR:CALENDAR=US&amp;VAR:SYMBOL=37183T10&amp;VAR:INDEX=0"}</definedName>
    <definedName name="_4770__FDSAUDITLINK__" hidden="1">{"fdsup://directions/FAT Viewer?action=UPDATE&amp;creator=factset&amp;DYN_ARGS=TRUE&amp;DOC_NAME=FAT:FQL_AUDITING_CLIENT_TEMPLATE.FAT&amp;display_string=Audit&amp;VAR:KEY=BGDSHOZGVK&amp;VAR:QUERY=RkZfRUJJVERBX0lCKCdMVE1TJywzOTExNSk=&amp;WINDOW=FIRST_POPUP&amp;HEIGHT=450&amp;WIDTH=450&amp;START_MA","XIMIZED=FALSE&amp;VAR:CALENDAR=US&amp;VAR:SYMBOL=37183T10&amp;VAR:INDEX=0"}</definedName>
    <definedName name="_4771__FDSAUDITLINK__" localSheetId="6" hidden="1">{"fdsup://directions/FAT Viewer?action=UPDATE&amp;creator=factset&amp;DYN_ARGS=TRUE&amp;DOC_NAME=FAT:FQL_AUDITING_CLIENT_TEMPLATE.FAT&amp;display_string=Audit&amp;VAR:KEY=XEFOTUZALU&amp;VAR:QUERY=RkZfRUJJVERBX0lCKCdMVE1TJywzOTExNCk=&amp;WINDOW=FIRST_POPUP&amp;HEIGHT=450&amp;WIDTH=450&amp;START_MA","XIMIZED=FALSE&amp;VAR:CALENDAR=US&amp;VAR:SYMBOL=37183T10&amp;VAR:INDEX=0"}</definedName>
    <definedName name="_4771__FDSAUDITLINK__" hidden="1">{"fdsup://directions/FAT Viewer?action=UPDATE&amp;creator=factset&amp;DYN_ARGS=TRUE&amp;DOC_NAME=FAT:FQL_AUDITING_CLIENT_TEMPLATE.FAT&amp;display_string=Audit&amp;VAR:KEY=XEFOTUZALU&amp;VAR:QUERY=RkZfRUJJVERBX0lCKCdMVE1TJywzOTExNCk=&amp;WINDOW=FIRST_POPUP&amp;HEIGHT=450&amp;WIDTH=450&amp;START_MA","XIMIZED=FALSE&amp;VAR:CALENDAR=US&amp;VAR:SYMBOL=37183T10&amp;VAR:INDEX=0"}</definedName>
    <definedName name="_4772__FDSAUDITLINK__" localSheetId="6" hidden="1">{"fdsup://directions/FAT Viewer?action=UPDATE&amp;creator=factset&amp;DYN_ARGS=TRUE&amp;DOC_NAME=FAT:FQL_AUDITING_CLIENT_TEMPLATE.FAT&amp;display_string=Audit&amp;VAR:KEY=DGDIHEZKDS&amp;VAR:QUERY=RkZfRUJJVERBX0lCKCdMVE1TJywzOTExMyk=&amp;WINDOW=FIRST_POPUP&amp;HEIGHT=450&amp;WIDTH=450&amp;START_MA","XIMIZED=FALSE&amp;VAR:CALENDAR=US&amp;VAR:SYMBOL=37183T10&amp;VAR:INDEX=0"}</definedName>
    <definedName name="_4772__FDSAUDITLINK__" hidden="1">{"fdsup://directions/FAT Viewer?action=UPDATE&amp;creator=factset&amp;DYN_ARGS=TRUE&amp;DOC_NAME=FAT:FQL_AUDITING_CLIENT_TEMPLATE.FAT&amp;display_string=Audit&amp;VAR:KEY=DGDIHEZKDS&amp;VAR:QUERY=RkZfRUJJVERBX0lCKCdMVE1TJywzOTExMyk=&amp;WINDOW=FIRST_POPUP&amp;HEIGHT=450&amp;WIDTH=450&amp;START_MA","XIMIZED=FALSE&amp;VAR:CALENDAR=US&amp;VAR:SYMBOL=37183T10&amp;VAR:INDEX=0"}</definedName>
    <definedName name="_4773__FDSAUDITLINK__" localSheetId="6" hidden="1">{"fdsup://directions/FAT Viewer?action=UPDATE&amp;creator=factset&amp;DYN_ARGS=TRUE&amp;DOC_NAME=FAT:FQL_AUDITING_CLIENT_TEMPLATE.FAT&amp;display_string=Audit&amp;VAR:KEY=NIRWHMPKHO&amp;VAR:QUERY=RkZfRUJJVERBX0lCKCdMVE1TJywzOTExMik=&amp;WINDOW=FIRST_POPUP&amp;HEIGHT=450&amp;WIDTH=450&amp;START_MA","XIMIZED=FALSE&amp;VAR:CALENDAR=US&amp;VAR:SYMBOL=37183T10&amp;VAR:INDEX=0"}</definedName>
    <definedName name="_4773__FDSAUDITLINK__" hidden="1">{"fdsup://directions/FAT Viewer?action=UPDATE&amp;creator=factset&amp;DYN_ARGS=TRUE&amp;DOC_NAME=FAT:FQL_AUDITING_CLIENT_TEMPLATE.FAT&amp;display_string=Audit&amp;VAR:KEY=NIRWHMPKHO&amp;VAR:QUERY=RkZfRUJJVERBX0lCKCdMVE1TJywzOTExMik=&amp;WINDOW=FIRST_POPUP&amp;HEIGHT=450&amp;WIDTH=450&amp;START_MA","XIMIZED=FALSE&amp;VAR:CALENDAR=US&amp;VAR:SYMBOL=37183T10&amp;VAR:INDEX=0"}</definedName>
    <definedName name="_4774__FDSAUDITLINK__" localSheetId="6" hidden="1">{"fdsup://directions/FAT Viewer?action=UPDATE&amp;creator=factset&amp;DYN_ARGS=TRUE&amp;DOC_NAME=FAT:FQL_AUDITING_CLIENT_TEMPLATE.FAT&amp;display_string=Audit&amp;VAR:KEY=PSFINGBQFQ&amp;VAR:QUERY=RkZfRUJJVERBX0lCKCdMVE1TJywzOTExMSk=&amp;WINDOW=FIRST_POPUP&amp;HEIGHT=450&amp;WIDTH=450&amp;START_MA","XIMIZED=FALSE&amp;VAR:CALENDAR=US&amp;VAR:SYMBOL=37183T10&amp;VAR:INDEX=0"}</definedName>
    <definedName name="_4774__FDSAUDITLINK__" hidden="1">{"fdsup://directions/FAT Viewer?action=UPDATE&amp;creator=factset&amp;DYN_ARGS=TRUE&amp;DOC_NAME=FAT:FQL_AUDITING_CLIENT_TEMPLATE.FAT&amp;display_string=Audit&amp;VAR:KEY=PSFINGBQFQ&amp;VAR:QUERY=RkZfRUJJVERBX0lCKCdMVE1TJywzOTExMSk=&amp;WINDOW=FIRST_POPUP&amp;HEIGHT=450&amp;WIDTH=450&amp;START_MA","XIMIZED=FALSE&amp;VAR:CALENDAR=US&amp;VAR:SYMBOL=37183T10&amp;VAR:INDEX=0"}</definedName>
    <definedName name="_4775__FDSAUDITLINK__" localSheetId="6" hidden="1">{"fdsup://directions/FAT Viewer?action=UPDATE&amp;creator=factset&amp;DYN_ARGS=TRUE&amp;DOC_NAME=FAT:FQL_AUDITING_CLIENT_TEMPLATE.FAT&amp;display_string=Audit&amp;VAR:KEY=PINWDSXCHQ&amp;VAR:QUERY=RkZfRUJJVERBX0lCKCdMVE1TJywzOTExMCk=&amp;WINDOW=FIRST_POPUP&amp;HEIGHT=450&amp;WIDTH=450&amp;START_MA","XIMIZED=FALSE&amp;VAR:CALENDAR=US&amp;VAR:SYMBOL=37183T10&amp;VAR:INDEX=0"}</definedName>
    <definedName name="_4775__FDSAUDITLINK__" hidden="1">{"fdsup://directions/FAT Viewer?action=UPDATE&amp;creator=factset&amp;DYN_ARGS=TRUE&amp;DOC_NAME=FAT:FQL_AUDITING_CLIENT_TEMPLATE.FAT&amp;display_string=Audit&amp;VAR:KEY=PINWDSXCHQ&amp;VAR:QUERY=RkZfRUJJVERBX0lCKCdMVE1TJywzOTExMCk=&amp;WINDOW=FIRST_POPUP&amp;HEIGHT=450&amp;WIDTH=450&amp;START_MA","XIMIZED=FALSE&amp;VAR:CALENDAR=US&amp;VAR:SYMBOL=37183T10&amp;VAR:INDEX=0"}</definedName>
    <definedName name="_4776__FDSAUDITLINK__" localSheetId="6" hidden="1">{"fdsup://directions/FAT Viewer?action=UPDATE&amp;creator=factset&amp;DYN_ARGS=TRUE&amp;DOC_NAME=FAT:FQL_AUDITING_CLIENT_TEMPLATE.FAT&amp;display_string=Audit&amp;VAR:KEY=TSRSBANSTO&amp;VAR:QUERY=RkZfRUJJVERBX0lCKCdMVE1TJywzOTEwOSk=&amp;WINDOW=FIRST_POPUP&amp;HEIGHT=450&amp;WIDTH=450&amp;START_MA","XIMIZED=FALSE&amp;VAR:CALENDAR=US&amp;VAR:SYMBOL=37183T10&amp;VAR:INDEX=0"}</definedName>
    <definedName name="_4776__FDSAUDITLINK__" hidden="1">{"fdsup://directions/FAT Viewer?action=UPDATE&amp;creator=factset&amp;DYN_ARGS=TRUE&amp;DOC_NAME=FAT:FQL_AUDITING_CLIENT_TEMPLATE.FAT&amp;display_string=Audit&amp;VAR:KEY=TSRSBANSTO&amp;VAR:QUERY=RkZfRUJJVERBX0lCKCdMVE1TJywzOTEwOSk=&amp;WINDOW=FIRST_POPUP&amp;HEIGHT=450&amp;WIDTH=450&amp;START_MA","XIMIZED=FALSE&amp;VAR:CALENDAR=US&amp;VAR:SYMBOL=37183T10&amp;VAR:INDEX=0"}</definedName>
    <definedName name="_4777__FDSAUDITLINK__" localSheetId="6" hidden="1">{"fdsup://directions/FAT Viewer?action=UPDATE&amp;creator=factset&amp;DYN_ARGS=TRUE&amp;DOC_NAME=FAT:FQL_AUDITING_CLIENT_TEMPLATE.FAT&amp;display_string=Audit&amp;VAR:KEY=JYLUDAXAJI&amp;VAR:QUERY=RkZfRUJJVERBX0lCKCdMVE1TJywzOTEwOCk=&amp;WINDOW=FIRST_POPUP&amp;HEIGHT=450&amp;WIDTH=450&amp;START_MA","XIMIZED=FALSE&amp;VAR:CALENDAR=US&amp;VAR:SYMBOL=37183T10&amp;VAR:INDEX=0"}</definedName>
    <definedName name="_4777__FDSAUDITLINK__" hidden="1">{"fdsup://directions/FAT Viewer?action=UPDATE&amp;creator=factset&amp;DYN_ARGS=TRUE&amp;DOC_NAME=FAT:FQL_AUDITING_CLIENT_TEMPLATE.FAT&amp;display_string=Audit&amp;VAR:KEY=JYLUDAXAJI&amp;VAR:QUERY=RkZfRUJJVERBX0lCKCdMVE1TJywzOTEwOCk=&amp;WINDOW=FIRST_POPUP&amp;HEIGHT=450&amp;WIDTH=450&amp;START_MA","XIMIZED=FALSE&amp;VAR:CALENDAR=US&amp;VAR:SYMBOL=37183T10&amp;VAR:INDEX=0"}</definedName>
    <definedName name="_4778__FDSAUDITLINK__" localSheetId="6" hidden="1">{"fdsup://directions/FAT Viewer?action=UPDATE&amp;creator=factset&amp;DYN_ARGS=TRUE&amp;DOC_NAME=FAT:FQL_AUDITING_CLIENT_TEMPLATE.FAT&amp;display_string=Audit&amp;VAR:KEY=BMRADMBYVO&amp;VAR:QUERY=RkZfRUJJVERBX0lCKCdMVE1TJywzOTEwNyk=&amp;WINDOW=FIRST_POPUP&amp;HEIGHT=450&amp;WIDTH=450&amp;START_MA","XIMIZED=FALSE&amp;VAR:CALENDAR=US&amp;VAR:SYMBOL=37183T10&amp;VAR:INDEX=0"}</definedName>
    <definedName name="_4778__FDSAUDITLINK__" hidden="1">{"fdsup://directions/FAT Viewer?action=UPDATE&amp;creator=factset&amp;DYN_ARGS=TRUE&amp;DOC_NAME=FAT:FQL_AUDITING_CLIENT_TEMPLATE.FAT&amp;display_string=Audit&amp;VAR:KEY=BMRADMBYVO&amp;VAR:QUERY=RkZfRUJJVERBX0lCKCdMVE1TJywzOTEwNyk=&amp;WINDOW=FIRST_POPUP&amp;HEIGHT=450&amp;WIDTH=450&amp;START_MA","XIMIZED=FALSE&amp;VAR:CALENDAR=US&amp;VAR:SYMBOL=37183T10&amp;VAR:INDEX=0"}</definedName>
    <definedName name="_4779__FDSAUDITLINK__" localSheetId="6" hidden="1">{"fdsup://directions/FAT Viewer?action=UPDATE&amp;creator=factset&amp;DYN_ARGS=TRUE&amp;DOC_NAME=FAT:FQL_AUDITING_CLIENT_TEMPLATE.FAT&amp;display_string=Audit&amp;VAR:KEY=TEHCLUTYHA&amp;VAR:QUERY=RkZfRUJJVERBX0lCKCdMVE1TJywzOTEwNik=&amp;WINDOW=FIRST_POPUP&amp;HEIGHT=450&amp;WIDTH=450&amp;START_MA","XIMIZED=FALSE&amp;VAR:CALENDAR=US&amp;VAR:SYMBOL=37183T10&amp;VAR:INDEX=0"}</definedName>
    <definedName name="_4779__FDSAUDITLINK__" hidden="1">{"fdsup://directions/FAT Viewer?action=UPDATE&amp;creator=factset&amp;DYN_ARGS=TRUE&amp;DOC_NAME=FAT:FQL_AUDITING_CLIENT_TEMPLATE.FAT&amp;display_string=Audit&amp;VAR:KEY=TEHCLUTYHA&amp;VAR:QUERY=RkZfRUJJVERBX0lCKCdMVE1TJywzOTEwNik=&amp;WINDOW=FIRST_POPUP&amp;HEIGHT=450&amp;WIDTH=450&amp;START_MA","XIMIZED=FALSE&amp;VAR:CALENDAR=US&amp;VAR:SYMBOL=37183T10&amp;VAR:INDEX=0"}</definedName>
    <definedName name="_478__FDSAUDITLINK__" localSheetId="6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8__FDSAUDITLINK__" hidden="1">{"fdsup://directions/FAT%20Viewer?VAR:PED=LTM&amp;VAR:AUDIT_MODE=SUMMARY&amp;VAR:PERIOD=FIXED&amp;VAR:AUDIT_ID=00000117&amp;VAR:DATE=20081031&amp;action=UPDATE&amp;creator=factset&amp;DOC_NAME=FAT:FMA_audit_SUMMARY.fat&amp;DISPLAY_STRING=Display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EBITDA&amp;VAR:CHGPERIOD=NA&amp;VAR:FQLFORMULA=FMA_EVAL_EBITDA&amp;VAR:CURRENCY=NA&amp;VAR:P=NA&amp;VAR:V=8.31","4116&amp;VAR:null=.html"}</definedName>
    <definedName name="_4780__FDSAUDITLINK__" localSheetId="6" hidden="1">{"fdsup://directions/FAT Viewer?action=UPDATE&amp;creator=factset&amp;DYN_ARGS=TRUE&amp;DOC_NAME=FAT:FQL_AUDITING_CLIENT_TEMPLATE.FAT&amp;display_string=Audit&amp;VAR:KEY=XWBWTKDYDY&amp;VAR:QUERY=RkZfRUJJVERBX0lCKCdMVE1TJywzOTEwNSk=&amp;WINDOW=FIRST_POPUP&amp;HEIGHT=450&amp;WIDTH=450&amp;START_MA","XIMIZED=FALSE&amp;VAR:CALENDAR=US&amp;VAR:SYMBOL=37183T10&amp;VAR:INDEX=0"}</definedName>
    <definedName name="_4780__FDSAUDITLINK__" hidden="1">{"fdsup://directions/FAT Viewer?action=UPDATE&amp;creator=factset&amp;DYN_ARGS=TRUE&amp;DOC_NAME=FAT:FQL_AUDITING_CLIENT_TEMPLATE.FAT&amp;display_string=Audit&amp;VAR:KEY=XWBWTKDYDY&amp;VAR:QUERY=RkZfRUJJVERBX0lCKCdMVE1TJywzOTEwNSk=&amp;WINDOW=FIRST_POPUP&amp;HEIGHT=450&amp;WIDTH=450&amp;START_MA","XIMIZED=FALSE&amp;VAR:CALENDAR=US&amp;VAR:SYMBOL=37183T10&amp;VAR:INDEX=0"}</definedName>
    <definedName name="_4781__FDSAUDITLINK__" localSheetId="6" hidden="1">{"fdsup://directions/FAT Viewer?action=UPDATE&amp;creator=factset&amp;DYN_ARGS=TRUE&amp;DOC_NAME=FAT:FQL_AUDITING_CLIENT_TEMPLATE.FAT&amp;display_string=Audit&amp;VAR:KEY=VANEBWFIVE&amp;VAR:QUERY=RkZfRUJJVERBX0lCKCdMVE1TJywzOTEwNCk=&amp;WINDOW=FIRST_POPUP&amp;HEIGHT=450&amp;WIDTH=450&amp;START_MA","XIMIZED=FALSE&amp;VAR:CALENDAR=US&amp;VAR:SYMBOL=37183T10&amp;VAR:INDEX=0"}</definedName>
    <definedName name="_4781__FDSAUDITLINK__" hidden="1">{"fdsup://directions/FAT Viewer?action=UPDATE&amp;creator=factset&amp;DYN_ARGS=TRUE&amp;DOC_NAME=FAT:FQL_AUDITING_CLIENT_TEMPLATE.FAT&amp;display_string=Audit&amp;VAR:KEY=VANEBWFIVE&amp;VAR:QUERY=RkZfRUJJVERBX0lCKCdMVE1TJywzOTEwNCk=&amp;WINDOW=FIRST_POPUP&amp;HEIGHT=450&amp;WIDTH=450&amp;START_MA","XIMIZED=FALSE&amp;VAR:CALENDAR=US&amp;VAR:SYMBOL=37183T10&amp;VAR:INDEX=0"}</definedName>
    <definedName name="_4782__FDSAUDITLINK__" localSheetId="6" hidden="1">{"fdsup://directions/FAT Viewer?action=UPDATE&amp;creator=factset&amp;DYN_ARGS=TRUE&amp;DOC_NAME=FAT:FQL_AUDITING_CLIENT_TEMPLATE.FAT&amp;display_string=Audit&amp;VAR:KEY=ZSTQPYDSZW&amp;VAR:QUERY=RkZfRUJJVERBX0lCKCdMVE1TJywzOTEwMyk=&amp;WINDOW=FIRST_POPUP&amp;HEIGHT=450&amp;WIDTH=450&amp;START_MA","XIMIZED=FALSE&amp;VAR:CALENDAR=US&amp;VAR:SYMBOL=37183T10&amp;VAR:INDEX=0"}</definedName>
    <definedName name="_4782__FDSAUDITLINK__" hidden="1">{"fdsup://directions/FAT Viewer?action=UPDATE&amp;creator=factset&amp;DYN_ARGS=TRUE&amp;DOC_NAME=FAT:FQL_AUDITING_CLIENT_TEMPLATE.FAT&amp;display_string=Audit&amp;VAR:KEY=ZSTQPYDSZW&amp;VAR:QUERY=RkZfRUJJVERBX0lCKCdMVE1TJywzOTEwMyk=&amp;WINDOW=FIRST_POPUP&amp;HEIGHT=450&amp;WIDTH=450&amp;START_MA","XIMIZED=FALSE&amp;VAR:CALENDAR=US&amp;VAR:SYMBOL=37183T10&amp;VAR:INDEX=0"}</definedName>
    <definedName name="_4783__FDSAUDITLINK__" localSheetId="6" hidden="1">{"fdsup://directions/FAT Viewer?action=UPDATE&amp;creator=factset&amp;DYN_ARGS=TRUE&amp;DOC_NAME=FAT:FQL_AUDITING_CLIENT_TEMPLATE.FAT&amp;display_string=Audit&amp;VAR:KEY=TINMXUTWZI&amp;VAR:QUERY=RkZfRUJJVERBX0lCKCdMVE1TJywzOTEwMik=&amp;WINDOW=FIRST_POPUP&amp;HEIGHT=450&amp;WIDTH=450&amp;START_MA","XIMIZED=FALSE&amp;VAR:CALENDAR=US&amp;VAR:SYMBOL=37183T10&amp;VAR:INDEX=0"}</definedName>
    <definedName name="_4783__FDSAUDITLINK__" hidden="1">{"fdsup://directions/FAT Viewer?action=UPDATE&amp;creator=factset&amp;DYN_ARGS=TRUE&amp;DOC_NAME=FAT:FQL_AUDITING_CLIENT_TEMPLATE.FAT&amp;display_string=Audit&amp;VAR:KEY=TINMXUTWZI&amp;VAR:QUERY=RkZfRUJJVERBX0lCKCdMVE1TJywzOTEwMik=&amp;WINDOW=FIRST_POPUP&amp;HEIGHT=450&amp;WIDTH=450&amp;START_MA","XIMIZED=FALSE&amp;VAR:CALENDAR=US&amp;VAR:SYMBOL=37183T10&amp;VAR:INDEX=0"}</definedName>
    <definedName name="_4784__FDSAUDITLINK__" localSheetId="6" hidden="1">{"fdsup://directions/FAT Viewer?action=UPDATE&amp;creator=factset&amp;DYN_ARGS=TRUE&amp;DOC_NAME=FAT:FQL_AUDITING_CLIENT_TEMPLATE.FAT&amp;display_string=Audit&amp;VAR:KEY=HWBERWLUJI&amp;VAR:QUERY=RkZfRUJJVERBX0lCKCdMVE1TJywzOTEwMSk=&amp;WINDOW=FIRST_POPUP&amp;HEIGHT=450&amp;WIDTH=450&amp;START_MA","XIMIZED=FALSE&amp;VAR:CALENDAR=US&amp;VAR:SYMBOL=37183T10&amp;VAR:INDEX=0"}</definedName>
    <definedName name="_4784__FDSAUDITLINK__" hidden="1">{"fdsup://directions/FAT Viewer?action=UPDATE&amp;creator=factset&amp;DYN_ARGS=TRUE&amp;DOC_NAME=FAT:FQL_AUDITING_CLIENT_TEMPLATE.FAT&amp;display_string=Audit&amp;VAR:KEY=HWBERWLUJI&amp;VAR:QUERY=RkZfRUJJVERBX0lCKCdMVE1TJywzOTEwMSk=&amp;WINDOW=FIRST_POPUP&amp;HEIGHT=450&amp;WIDTH=450&amp;START_MA","XIMIZED=FALSE&amp;VAR:CALENDAR=US&amp;VAR:SYMBOL=37183T10&amp;VAR:INDEX=0"}</definedName>
    <definedName name="_4785__FDSAUDITLINK__" localSheetId="6" hidden="1">{"fdsup://directions/FAT Viewer?action=UPDATE&amp;creator=factset&amp;DYN_ARGS=TRUE&amp;DOC_NAME=FAT:FQL_AUDITING_CLIENT_TEMPLATE.FAT&amp;display_string=Audit&amp;VAR:KEY=FCNWTABQNO&amp;VAR:QUERY=RkZfRUJJVERBX0lCKCdMVE1TJywzOTEwMCk=&amp;WINDOW=FIRST_POPUP&amp;HEIGHT=450&amp;WIDTH=450&amp;START_MA","XIMIZED=FALSE&amp;VAR:CALENDAR=US&amp;VAR:SYMBOL=37183T10&amp;VAR:INDEX=0"}</definedName>
    <definedName name="_4785__FDSAUDITLINK__" hidden="1">{"fdsup://directions/FAT Viewer?action=UPDATE&amp;creator=factset&amp;DYN_ARGS=TRUE&amp;DOC_NAME=FAT:FQL_AUDITING_CLIENT_TEMPLATE.FAT&amp;display_string=Audit&amp;VAR:KEY=FCNWTABQNO&amp;VAR:QUERY=RkZfRUJJVERBX0lCKCdMVE1TJywzOTEwMCk=&amp;WINDOW=FIRST_POPUP&amp;HEIGHT=450&amp;WIDTH=450&amp;START_MA","XIMIZED=FALSE&amp;VAR:CALENDAR=US&amp;VAR:SYMBOL=37183T10&amp;VAR:INDEX=0"}</definedName>
    <definedName name="_4786__FDSAUDITLINK__" localSheetId="6" hidden="1">{"fdsup://directions/FAT Viewer?action=UPDATE&amp;creator=factset&amp;DYN_ARGS=TRUE&amp;DOC_NAME=FAT:FQL_AUDITING_CLIENT_TEMPLATE.FAT&amp;display_string=Audit&amp;VAR:KEY=HKROXAVMXO&amp;VAR:QUERY=RkZfRUJJVERBX0lCKCdMVE1TJywzOTA5OSk=&amp;WINDOW=FIRST_POPUP&amp;HEIGHT=450&amp;WIDTH=450&amp;START_MA","XIMIZED=FALSE&amp;VAR:CALENDAR=US&amp;VAR:SYMBOL=37183T10&amp;VAR:INDEX=0"}</definedName>
    <definedName name="_4786__FDSAUDITLINK__" hidden="1">{"fdsup://directions/FAT Viewer?action=UPDATE&amp;creator=factset&amp;DYN_ARGS=TRUE&amp;DOC_NAME=FAT:FQL_AUDITING_CLIENT_TEMPLATE.FAT&amp;display_string=Audit&amp;VAR:KEY=HKROXAVMXO&amp;VAR:QUERY=RkZfRUJJVERBX0lCKCdMVE1TJywzOTA5OSk=&amp;WINDOW=FIRST_POPUP&amp;HEIGHT=450&amp;WIDTH=450&amp;START_MA","XIMIZED=FALSE&amp;VAR:CALENDAR=US&amp;VAR:SYMBOL=37183T10&amp;VAR:INDEX=0"}</definedName>
    <definedName name="_4787__FDSAUDITLINK__" localSheetId="6" hidden="1">{"fdsup://directions/FAT Viewer?action=UPDATE&amp;creator=factset&amp;DYN_ARGS=TRUE&amp;DOC_NAME=FAT:FQL_AUDITING_CLIENT_TEMPLATE.FAT&amp;display_string=Audit&amp;VAR:KEY=ZCDEDQPUJG&amp;VAR:QUERY=RkZfRUJJVERBX0lCKCdMVE1TJywzOTA5OCk=&amp;WINDOW=FIRST_POPUP&amp;HEIGHT=450&amp;WIDTH=450&amp;START_MA","XIMIZED=FALSE&amp;VAR:CALENDAR=US&amp;VAR:SYMBOL=37183T10&amp;VAR:INDEX=0"}</definedName>
    <definedName name="_4787__FDSAUDITLINK__" hidden="1">{"fdsup://directions/FAT Viewer?action=UPDATE&amp;creator=factset&amp;DYN_ARGS=TRUE&amp;DOC_NAME=FAT:FQL_AUDITING_CLIENT_TEMPLATE.FAT&amp;display_string=Audit&amp;VAR:KEY=ZCDEDQPUJG&amp;VAR:QUERY=RkZfRUJJVERBX0lCKCdMVE1TJywzOTA5OCk=&amp;WINDOW=FIRST_POPUP&amp;HEIGHT=450&amp;WIDTH=450&amp;START_MA","XIMIZED=FALSE&amp;VAR:CALENDAR=US&amp;VAR:SYMBOL=37183T10&amp;VAR:INDEX=0"}</definedName>
    <definedName name="_4788__FDSAUDITLINK__" localSheetId="6" hidden="1">{"fdsup://directions/FAT Viewer?action=UPDATE&amp;creator=factset&amp;DYN_ARGS=TRUE&amp;DOC_NAME=FAT:FQL_AUDITING_CLIENT_TEMPLATE.FAT&amp;display_string=Audit&amp;VAR:KEY=NYJMZQHGHI&amp;VAR:QUERY=RkZfRUJJVERBX0lCKCdMVE1TJywzOTA5Nyk=&amp;WINDOW=FIRST_POPUP&amp;HEIGHT=450&amp;WIDTH=450&amp;START_MA","XIMIZED=FALSE&amp;VAR:CALENDAR=US&amp;VAR:SYMBOL=37183T10&amp;VAR:INDEX=0"}</definedName>
    <definedName name="_4788__FDSAUDITLINK__" hidden="1">{"fdsup://directions/FAT Viewer?action=UPDATE&amp;creator=factset&amp;DYN_ARGS=TRUE&amp;DOC_NAME=FAT:FQL_AUDITING_CLIENT_TEMPLATE.FAT&amp;display_string=Audit&amp;VAR:KEY=NYJMZQHGHI&amp;VAR:QUERY=RkZfRUJJVERBX0lCKCdMVE1TJywzOTA5Nyk=&amp;WINDOW=FIRST_POPUP&amp;HEIGHT=450&amp;WIDTH=450&amp;START_MA","XIMIZED=FALSE&amp;VAR:CALENDAR=US&amp;VAR:SYMBOL=37183T10&amp;VAR:INDEX=0"}</definedName>
    <definedName name="_4789__FDSAUDITLINK__" localSheetId="6" hidden="1">{"fdsup://directions/FAT Viewer?action=UPDATE&amp;creator=factset&amp;DYN_ARGS=TRUE&amp;DOC_NAME=FAT:FQL_AUDITING_CLIENT_TEMPLATE.FAT&amp;display_string=Audit&amp;VAR:KEY=ZEHGHQFARM&amp;VAR:QUERY=RkZfRUJJVERBX0lCKCdMVE1TJywzOTA5Nik=&amp;WINDOW=FIRST_POPUP&amp;HEIGHT=450&amp;WIDTH=450&amp;START_MA","XIMIZED=FALSE&amp;VAR:CALENDAR=US&amp;VAR:SYMBOL=37183T10&amp;VAR:INDEX=0"}</definedName>
    <definedName name="_4789__FDSAUDITLINK__" hidden="1">{"fdsup://directions/FAT Viewer?action=UPDATE&amp;creator=factset&amp;DYN_ARGS=TRUE&amp;DOC_NAME=FAT:FQL_AUDITING_CLIENT_TEMPLATE.FAT&amp;display_string=Audit&amp;VAR:KEY=ZEHGHQFARM&amp;VAR:QUERY=RkZfRUJJVERBX0lCKCdMVE1TJywzOTA5Nik=&amp;WINDOW=FIRST_POPUP&amp;HEIGHT=450&amp;WIDTH=450&amp;START_MA","XIMIZED=FALSE&amp;VAR:CALENDAR=US&amp;VAR:SYMBOL=37183T10&amp;VAR:INDEX=0"}</definedName>
    <definedName name="_479__FDSAUDITLINK__" localSheetId="6" hidden="1">{"fdsup://directions/FAT%20Viewer?VAR:PED=LTM&amp;VAR:AUDIT_MODE=SUMMARY&amp;VAR:PERIOD=FIXED&amp;VAR:AUDIT_ID=00000117&amp;VAR:DATE=20081030&amp;action=UPDATE&amp;creator=factset&amp;DOC_NAME=FAT:FMA_audit_SUMMARY.fat&amp;DISPLAY_STRING=Display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79__FDSAUDITLINK__" hidden="1">{"fdsup://directions/FAT%20Viewer?VAR:PED=LTM&amp;VAR:AUDIT_MODE=SUMMARY&amp;VAR:PERIOD=FIXED&amp;VAR:AUDIT_ID=00000117&amp;VAR:DATE=20081030&amp;action=UPDATE&amp;creator=factset&amp;DOC_NAME=FAT:FMA_audit_SUMMARY.fat&amp;DISPLAY_STRING=Display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790__FDSAUDITLINK__" localSheetId="6" hidden="1">{"fdsup://directions/FAT Viewer?action=UPDATE&amp;creator=factset&amp;DYN_ARGS=TRUE&amp;DOC_NAME=FAT:FQL_AUDITING_CLIENT_TEMPLATE.FAT&amp;display_string=Audit&amp;VAR:KEY=ZGPCDQTWBA&amp;VAR:QUERY=RkZfRUJJVERBX0lCKCdMVE1TJywzOTA5NSk=&amp;WINDOW=FIRST_POPUP&amp;HEIGHT=450&amp;WIDTH=450&amp;START_MA","XIMIZED=FALSE&amp;VAR:CALENDAR=US&amp;VAR:SYMBOL=37183T10&amp;VAR:INDEX=0"}</definedName>
    <definedName name="_4790__FDSAUDITLINK__" hidden="1">{"fdsup://directions/FAT Viewer?action=UPDATE&amp;creator=factset&amp;DYN_ARGS=TRUE&amp;DOC_NAME=FAT:FQL_AUDITING_CLIENT_TEMPLATE.FAT&amp;display_string=Audit&amp;VAR:KEY=ZGPCDQTWBA&amp;VAR:QUERY=RkZfRUJJVERBX0lCKCdMVE1TJywzOTA5NSk=&amp;WINDOW=FIRST_POPUP&amp;HEIGHT=450&amp;WIDTH=450&amp;START_MA","XIMIZED=FALSE&amp;VAR:CALENDAR=US&amp;VAR:SYMBOL=37183T10&amp;VAR:INDEX=0"}</definedName>
    <definedName name="_4791__FDSAUDITLINK__" localSheetId="6" hidden="1">{"fdsup://directions/FAT Viewer?action=UPDATE&amp;creator=factset&amp;DYN_ARGS=TRUE&amp;DOC_NAME=FAT:FQL_AUDITING_CLIENT_TEMPLATE.FAT&amp;display_string=Audit&amp;VAR:KEY=PEHIDIZGVA&amp;VAR:QUERY=RkZfRUJJVERBX0lCKCdMVE1TJywzOTA5NCk=&amp;WINDOW=FIRST_POPUP&amp;HEIGHT=450&amp;WIDTH=450&amp;START_MA","XIMIZED=FALSE&amp;VAR:CALENDAR=US&amp;VAR:SYMBOL=37183T10&amp;VAR:INDEX=0"}</definedName>
    <definedName name="_4791__FDSAUDITLINK__" hidden="1">{"fdsup://directions/FAT Viewer?action=UPDATE&amp;creator=factset&amp;DYN_ARGS=TRUE&amp;DOC_NAME=FAT:FQL_AUDITING_CLIENT_TEMPLATE.FAT&amp;display_string=Audit&amp;VAR:KEY=PEHIDIZGVA&amp;VAR:QUERY=RkZfRUJJVERBX0lCKCdMVE1TJywzOTA5NCk=&amp;WINDOW=FIRST_POPUP&amp;HEIGHT=450&amp;WIDTH=450&amp;START_MA","XIMIZED=FALSE&amp;VAR:CALENDAR=US&amp;VAR:SYMBOL=37183T10&amp;VAR:INDEX=0"}</definedName>
    <definedName name="_4792__FDSAUDITLINK__" localSheetId="6" hidden="1">{"fdsup://directions/FAT Viewer?action=UPDATE&amp;creator=factset&amp;DYN_ARGS=TRUE&amp;DOC_NAME=FAT:FQL_AUDITING_CLIENT_TEMPLATE.FAT&amp;display_string=Audit&amp;VAR:KEY=NCXIBSVILG&amp;VAR:QUERY=RkZfRUJJVERBX0lCKCdMVE1TJywzOTA5Myk=&amp;WINDOW=FIRST_POPUP&amp;HEIGHT=450&amp;WIDTH=450&amp;START_MA","XIMIZED=FALSE&amp;VAR:CALENDAR=US&amp;VAR:SYMBOL=37183T10&amp;VAR:INDEX=0"}</definedName>
    <definedName name="_4792__FDSAUDITLINK__" hidden="1">{"fdsup://directions/FAT Viewer?action=UPDATE&amp;creator=factset&amp;DYN_ARGS=TRUE&amp;DOC_NAME=FAT:FQL_AUDITING_CLIENT_TEMPLATE.FAT&amp;display_string=Audit&amp;VAR:KEY=NCXIBSVILG&amp;VAR:QUERY=RkZfRUJJVERBX0lCKCdMVE1TJywzOTA5Myk=&amp;WINDOW=FIRST_POPUP&amp;HEIGHT=450&amp;WIDTH=450&amp;START_MA","XIMIZED=FALSE&amp;VAR:CALENDAR=US&amp;VAR:SYMBOL=37183T10&amp;VAR:INDEX=0"}</definedName>
    <definedName name="_4793__FDSAUDITLINK__" localSheetId="6" hidden="1">{"fdsup://directions/FAT Viewer?action=UPDATE&amp;creator=factset&amp;DYN_ARGS=TRUE&amp;DOC_NAME=FAT:FQL_AUDITING_CLIENT_TEMPLATE.FAT&amp;display_string=Audit&amp;VAR:KEY=LEZYLUNIRI&amp;VAR:QUERY=RkZfRUJJVERBX0lCKCdMVE1TJywzOTA5Mik=&amp;WINDOW=FIRST_POPUP&amp;HEIGHT=450&amp;WIDTH=450&amp;START_MA","XIMIZED=FALSE&amp;VAR:CALENDAR=US&amp;VAR:SYMBOL=37183T10&amp;VAR:INDEX=0"}</definedName>
    <definedName name="_4793__FDSAUDITLINK__" hidden="1">{"fdsup://directions/FAT Viewer?action=UPDATE&amp;creator=factset&amp;DYN_ARGS=TRUE&amp;DOC_NAME=FAT:FQL_AUDITING_CLIENT_TEMPLATE.FAT&amp;display_string=Audit&amp;VAR:KEY=LEZYLUNIRI&amp;VAR:QUERY=RkZfRUJJVERBX0lCKCdMVE1TJywzOTA5Mik=&amp;WINDOW=FIRST_POPUP&amp;HEIGHT=450&amp;WIDTH=450&amp;START_MA","XIMIZED=FALSE&amp;VAR:CALENDAR=US&amp;VAR:SYMBOL=37183T10&amp;VAR:INDEX=0"}</definedName>
    <definedName name="_4794__FDSAUDITLINK__" localSheetId="6" hidden="1">{"fdsup://directions/FAT Viewer?action=UPDATE&amp;creator=factset&amp;DYN_ARGS=TRUE&amp;DOC_NAME=FAT:FQL_AUDITING_CLIENT_TEMPLATE.FAT&amp;display_string=Audit&amp;VAR:KEY=BAPANUDQDG&amp;VAR:QUERY=RkZfRUJJVERBX0lCKCdMVE1TJywzOTA5MSk=&amp;WINDOW=FIRST_POPUP&amp;HEIGHT=450&amp;WIDTH=450&amp;START_MA","XIMIZED=FALSE&amp;VAR:CALENDAR=US&amp;VAR:SYMBOL=37183T10&amp;VAR:INDEX=0"}</definedName>
    <definedName name="_4794__FDSAUDITLINK__" hidden="1">{"fdsup://directions/FAT Viewer?action=UPDATE&amp;creator=factset&amp;DYN_ARGS=TRUE&amp;DOC_NAME=FAT:FQL_AUDITING_CLIENT_TEMPLATE.FAT&amp;display_string=Audit&amp;VAR:KEY=BAPANUDQDG&amp;VAR:QUERY=RkZfRUJJVERBX0lCKCdMVE1TJywzOTA5MSk=&amp;WINDOW=FIRST_POPUP&amp;HEIGHT=450&amp;WIDTH=450&amp;START_MA","XIMIZED=FALSE&amp;VAR:CALENDAR=US&amp;VAR:SYMBOL=37183T10&amp;VAR:INDEX=0"}</definedName>
    <definedName name="_4795__FDSAUDITLINK__" localSheetId="6" hidden="1">{"fdsup://directions/FAT Viewer?action=UPDATE&amp;creator=factset&amp;DYN_ARGS=TRUE&amp;DOC_NAME=FAT:FQL_AUDITING_CLIENT_TEMPLATE.FAT&amp;display_string=Audit&amp;VAR:KEY=JWZIPWLKZC&amp;VAR:QUERY=RkZfRUJJVERBX0lCKCdMVE1TJywzOTA5MCk=&amp;WINDOW=FIRST_POPUP&amp;HEIGHT=450&amp;WIDTH=450&amp;START_MA","XIMIZED=FALSE&amp;VAR:CALENDAR=US&amp;VAR:SYMBOL=37183T10&amp;VAR:INDEX=0"}</definedName>
    <definedName name="_4795__FDSAUDITLINK__" hidden="1">{"fdsup://directions/FAT Viewer?action=UPDATE&amp;creator=factset&amp;DYN_ARGS=TRUE&amp;DOC_NAME=FAT:FQL_AUDITING_CLIENT_TEMPLATE.FAT&amp;display_string=Audit&amp;VAR:KEY=JWZIPWLKZC&amp;VAR:QUERY=RkZfRUJJVERBX0lCKCdMVE1TJywzOTA5MCk=&amp;WINDOW=FIRST_POPUP&amp;HEIGHT=450&amp;WIDTH=450&amp;START_MA","XIMIZED=FALSE&amp;VAR:CALENDAR=US&amp;VAR:SYMBOL=37183T10&amp;VAR:INDEX=0"}</definedName>
    <definedName name="_4796__FDSAUDITLINK__" localSheetId="6" hidden="1">{"fdsup://directions/FAT Viewer?action=UPDATE&amp;creator=factset&amp;DYN_ARGS=TRUE&amp;DOC_NAME=FAT:FQL_AUDITING_CLIENT_TEMPLATE.FAT&amp;display_string=Audit&amp;VAR:KEY=BKJWDYBMLS&amp;VAR:QUERY=RkZfRUJJVERBX0lCKCdMVE1TJywzOTA4OSk=&amp;WINDOW=FIRST_POPUP&amp;HEIGHT=450&amp;WIDTH=450&amp;START_MA","XIMIZED=FALSE&amp;VAR:CALENDAR=US&amp;VAR:SYMBOL=37183T10&amp;VAR:INDEX=0"}</definedName>
    <definedName name="_4796__FDSAUDITLINK__" hidden="1">{"fdsup://directions/FAT Viewer?action=UPDATE&amp;creator=factset&amp;DYN_ARGS=TRUE&amp;DOC_NAME=FAT:FQL_AUDITING_CLIENT_TEMPLATE.FAT&amp;display_string=Audit&amp;VAR:KEY=BKJWDYBMLS&amp;VAR:QUERY=RkZfRUJJVERBX0lCKCdMVE1TJywzOTA4OSk=&amp;WINDOW=FIRST_POPUP&amp;HEIGHT=450&amp;WIDTH=450&amp;START_MA","XIMIZED=FALSE&amp;VAR:CALENDAR=US&amp;VAR:SYMBOL=37183T10&amp;VAR:INDEX=0"}</definedName>
    <definedName name="_4797__FDSAUDITLINK__" localSheetId="6" hidden="1">{"fdsup://directions/FAT Viewer?action=UPDATE&amp;creator=factset&amp;DYN_ARGS=TRUE&amp;DOC_NAME=FAT:FQL_AUDITING_CLIENT_TEMPLATE.FAT&amp;display_string=Audit&amp;VAR:KEY=FIBCHKNGHG&amp;VAR:QUERY=RkZfRUJJVERBX0lCKCdMVE1TJywzOTA4OCk=&amp;WINDOW=FIRST_POPUP&amp;HEIGHT=450&amp;WIDTH=450&amp;START_MA","XIMIZED=FALSE&amp;VAR:CALENDAR=US&amp;VAR:SYMBOL=37183T10&amp;VAR:INDEX=0"}</definedName>
    <definedName name="_4797__FDSAUDITLINK__" hidden="1">{"fdsup://directions/FAT Viewer?action=UPDATE&amp;creator=factset&amp;DYN_ARGS=TRUE&amp;DOC_NAME=FAT:FQL_AUDITING_CLIENT_TEMPLATE.FAT&amp;display_string=Audit&amp;VAR:KEY=FIBCHKNGHG&amp;VAR:QUERY=RkZfRUJJVERBX0lCKCdMVE1TJywzOTA4OCk=&amp;WINDOW=FIRST_POPUP&amp;HEIGHT=450&amp;WIDTH=450&amp;START_MA","XIMIZED=FALSE&amp;VAR:CALENDAR=US&amp;VAR:SYMBOL=37183T10&amp;VAR:INDEX=0"}</definedName>
    <definedName name="_4798__FDSAUDITLINK__" localSheetId="6" hidden="1">{"fdsup://directions/FAT Viewer?action=UPDATE&amp;creator=factset&amp;DYN_ARGS=TRUE&amp;DOC_NAME=FAT:FQL_AUDITING_CLIENT_TEMPLATE.FAT&amp;display_string=Audit&amp;VAR:KEY=DOLATULIXO&amp;VAR:QUERY=RkZfRUJJVERBX0lCKCdMVE1TJywzOTA4Nyk=&amp;WINDOW=FIRST_POPUP&amp;HEIGHT=450&amp;WIDTH=450&amp;START_MA","XIMIZED=FALSE&amp;VAR:CALENDAR=US&amp;VAR:SYMBOL=37183T10&amp;VAR:INDEX=0"}</definedName>
    <definedName name="_4798__FDSAUDITLINK__" hidden="1">{"fdsup://directions/FAT Viewer?action=UPDATE&amp;creator=factset&amp;DYN_ARGS=TRUE&amp;DOC_NAME=FAT:FQL_AUDITING_CLIENT_TEMPLATE.FAT&amp;display_string=Audit&amp;VAR:KEY=DOLATULIXO&amp;VAR:QUERY=RkZfRUJJVERBX0lCKCdMVE1TJywzOTA4Nyk=&amp;WINDOW=FIRST_POPUP&amp;HEIGHT=450&amp;WIDTH=450&amp;START_MA","XIMIZED=FALSE&amp;VAR:CALENDAR=US&amp;VAR:SYMBOL=37183T10&amp;VAR:INDEX=0"}</definedName>
    <definedName name="_4799__FDSAUDITLINK__" localSheetId="6" hidden="1">{"fdsup://directions/FAT Viewer?action=UPDATE&amp;creator=factset&amp;DYN_ARGS=TRUE&amp;DOC_NAME=FAT:FQL_AUDITING_CLIENT_TEMPLATE.FAT&amp;display_string=Audit&amp;VAR:KEY=PSFOFILUXC&amp;VAR:QUERY=RkZfRUJJVERBX0lCKCdMVE1TJywzOTA4Nik=&amp;WINDOW=FIRST_POPUP&amp;HEIGHT=450&amp;WIDTH=450&amp;START_MA","XIMIZED=FALSE&amp;VAR:CALENDAR=US&amp;VAR:SYMBOL=37183T10&amp;VAR:INDEX=0"}</definedName>
    <definedName name="_4799__FDSAUDITLINK__" hidden="1">{"fdsup://directions/FAT Viewer?action=UPDATE&amp;creator=factset&amp;DYN_ARGS=TRUE&amp;DOC_NAME=FAT:FQL_AUDITING_CLIENT_TEMPLATE.FAT&amp;display_string=Audit&amp;VAR:KEY=PSFOFILUXC&amp;VAR:QUERY=RkZfRUJJVERBX0lCKCdMVE1TJywzOTA4Nik=&amp;WINDOW=FIRST_POPUP&amp;HEIGHT=450&amp;WIDTH=450&amp;START_MA","XIMIZED=FALSE&amp;VAR:CALENDAR=US&amp;VAR:SYMBOL=37183T10&amp;VAR:INDEX=0"}</definedName>
    <definedName name="_48__FDSAUDITLINK__" localSheetId="6" hidden="1">{"fdsup://directions/FAT Viewer?action=UPDATE&amp;creator=factset&amp;DYN_ARGS=TRUE&amp;DOC_NAME=FAT:FQL_AUDITING_CLIENT_TEMPLATE.FAT&amp;display_string=Audit&amp;VAR:KEY=XSPGNGFGHQ&amp;VAR:QUERY=QVZHKENTRl9ORVRfSU5DKEFOTiwwRlksLTZGWSxZKSkgLyAoQVZHKENTRl9BU1NFVFMoQU5OLDBGWSwtNkZZL","EZZKSkgLSBBVkcoQ1NGX0lOVEFORyhBTk4sMCwtNkZZLEZZKSkp&amp;WINDOW=FIRST_POPUP&amp;HEIGHT=450&amp;WIDTH=450&amp;START_MAXIMIZED=FALSE&amp;VAR:CALENDAR=US&amp;VAR:SYMBOL=HTLD"}</definedName>
    <definedName name="_48__FDSAUDITLINK__" hidden="1">{"fdsup://directions/FAT Viewer?action=UPDATE&amp;creator=factset&amp;DYN_ARGS=TRUE&amp;DOC_NAME=FAT:FQL_AUDITING_CLIENT_TEMPLATE.FAT&amp;display_string=Audit&amp;VAR:KEY=XSPGNGFGHQ&amp;VAR:QUERY=QVZHKENTRl9ORVRfSU5DKEFOTiwwRlksLTZGWSxZKSkgLyAoQVZHKENTRl9BU1NFVFMoQU5OLDBGWSwtNkZZL","EZZKSkgLSBBVkcoQ1NGX0lOVEFORyhBTk4sMCwtNkZZLEZZKSkp&amp;WINDOW=FIRST_POPUP&amp;HEIGHT=450&amp;WIDTH=450&amp;START_MAXIMIZED=FALSE&amp;VAR:CALENDAR=US&amp;VAR:SYMBOL=HTLD"}</definedName>
    <definedName name="_480__FDSAUDITLINK__" localSheetId="6" hidden="1">{"fdsup://directions/FAT%20Viewer?VAR:PED=LTM&amp;VAR:AUDIT_MODE=SUMMARY&amp;VAR:PERIOD=FIXED&amp;VAR:AUDIT_ID=00000117&amp;VAR:DATE=20081029&amp;action=UPDATE&amp;creator=factset&amp;DOC_NAME=FAT:FMA_audit_SUMMARY.fat&amp;DISPLAY_STRING=Display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0__FDSAUDITLINK__" hidden="1">{"fdsup://directions/FAT%20Viewer?VAR:PED=LTM&amp;VAR:AUDIT_MODE=SUMMARY&amp;VAR:PERIOD=FIXED&amp;VAR:AUDIT_ID=00000117&amp;VAR:DATE=20081029&amp;action=UPDATE&amp;creator=factset&amp;DOC_NAME=FAT:FMA_audit_SUMMARY.fat&amp;DISPLAY_STRING=Display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00__FDSAUDITLINK__" localSheetId="6" hidden="1">{"fdsup://directions/FAT Viewer?action=UPDATE&amp;creator=factset&amp;DYN_ARGS=TRUE&amp;DOC_NAME=FAT:FQL_AUDITING_CLIENT_TEMPLATE.FAT&amp;display_string=Audit&amp;VAR:KEY=RYNQVOTSHU&amp;VAR:QUERY=RkZfRUJJVERBX0lCKCdMVE1TJywzOTA4NSk=&amp;WINDOW=FIRST_POPUP&amp;HEIGHT=450&amp;WIDTH=450&amp;START_MA","XIMIZED=FALSE&amp;VAR:CALENDAR=US&amp;VAR:SYMBOL=37183T10&amp;VAR:INDEX=0"}</definedName>
    <definedName name="_4800__FDSAUDITLINK__" hidden="1">{"fdsup://directions/FAT Viewer?action=UPDATE&amp;creator=factset&amp;DYN_ARGS=TRUE&amp;DOC_NAME=FAT:FQL_AUDITING_CLIENT_TEMPLATE.FAT&amp;display_string=Audit&amp;VAR:KEY=RYNQVOTSHU&amp;VAR:QUERY=RkZfRUJJVERBX0lCKCdMVE1TJywzOTA4NSk=&amp;WINDOW=FIRST_POPUP&amp;HEIGHT=450&amp;WIDTH=450&amp;START_MA","XIMIZED=FALSE&amp;VAR:CALENDAR=US&amp;VAR:SYMBOL=37183T10&amp;VAR:INDEX=0"}</definedName>
    <definedName name="_4801__FDSAUDITLINK__" localSheetId="6" hidden="1">{"fdsup://directions/FAT Viewer?action=UPDATE&amp;creator=factset&amp;DYN_ARGS=TRUE&amp;DOC_NAME=FAT:FQL_AUDITING_CLIENT_TEMPLATE.FAT&amp;display_string=Audit&amp;VAR:KEY=XMZARAHIHU&amp;VAR:QUERY=RkZfRUJJVERBX0lCKCdMVE1TJywzOTA4NCk=&amp;WINDOW=FIRST_POPUP&amp;HEIGHT=450&amp;WIDTH=450&amp;START_MA","XIMIZED=FALSE&amp;VAR:CALENDAR=US&amp;VAR:SYMBOL=37183T10&amp;VAR:INDEX=0"}</definedName>
    <definedName name="_4801__FDSAUDITLINK__" hidden="1">{"fdsup://directions/FAT Viewer?action=UPDATE&amp;creator=factset&amp;DYN_ARGS=TRUE&amp;DOC_NAME=FAT:FQL_AUDITING_CLIENT_TEMPLATE.FAT&amp;display_string=Audit&amp;VAR:KEY=XMZARAHIHU&amp;VAR:QUERY=RkZfRUJJVERBX0lCKCdMVE1TJywzOTA4NCk=&amp;WINDOW=FIRST_POPUP&amp;HEIGHT=450&amp;WIDTH=450&amp;START_MA","XIMIZED=FALSE&amp;VAR:CALENDAR=US&amp;VAR:SYMBOL=37183T10&amp;VAR:INDEX=0"}</definedName>
    <definedName name="_4802__FDSAUDITLINK__" localSheetId="6" hidden="1">{"fdsup://directions/FAT Viewer?action=UPDATE&amp;creator=factset&amp;DYN_ARGS=TRUE&amp;DOC_NAME=FAT:FQL_AUDITING_CLIENT_TEMPLATE.FAT&amp;display_string=Audit&amp;VAR:KEY=FSVYFWFATM&amp;VAR:QUERY=RkZfRUJJVERBX0lCKCdMVE1TJywzOTA4Myk=&amp;WINDOW=FIRST_POPUP&amp;HEIGHT=450&amp;WIDTH=450&amp;START_MA","XIMIZED=FALSE&amp;VAR:CALENDAR=US&amp;VAR:SYMBOL=37183T10&amp;VAR:INDEX=0"}</definedName>
    <definedName name="_4802__FDSAUDITLINK__" hidden="1">{"fdsup://directions/FAT Viewer?action=UPDATE&amp;creator=factset&amp;DYN_ARGS=TRUE&amp;DOC_NAME=FAT:FQL_AUDITING_CLIENT_TEMPLATE.FAT&amp;display_string=Audit&amp;VAR:KEY=FSVYFWFATM&amp;VAR:QUERY=RkZfRUJJVERBX0lCKCdMVE1TJywzOTA4Myk=&amp;WINDOW=FIRST_POPUP&amp;HEIGHT=450&amp;WIDTH=450&amp;START_MA","XIMIZED=FALSE&amp;VAR:CALENDAR=US&amp;VAR:SYMBOL=37183T10&amp;VAR:INDEX=0"}</definedName>
    <definedName name="_4803__FDSAUDITLINK__" localSheetId="6" hidden="1">{"fdsup://directions/FAT Viewer?action=UPDATE&amp;creator=factset&amp;DYN_ARGS=TRUE&amp;DOC_NAME=FAT:FQL_AUDITING_CLIENT_TEMPLATE.FAT&amp;display_string=Audit&amp;VAR:KEY=PMXOFANMFG&amp;VAR:QUERY=RkZfRUJJVERBX0lCKCdMVE1TJywzOTA4Mik=&amp;WINDOW=FIRST_POPUP&amp;HEIGHT=450&amp;WIDTH=450&amp;START_MA","XIMIZED=FALSE&amp;VAR:CALENDAR=US&amp;VAR:SYMBOL=37183T10&amp;VAR:INDEX=0"}</definedName>
    <definedName name="_4803__FDSAUDITLINK__" hidden="1">{"fdsup://directions/FAT Viewer?action=UPDATE&amp;creator=factset&amp;DYN_ARGS=TRUE&amp;DOC_NAME=FAT:FQL_AUDITING_CLIENT_TEMPLATE.FAT&amp;display_string=Audit&amp;VAR:KEY=PMXOFANMFG&amp;VAR:QUERY=RkZfRUJJVERBX0lCKCdMVE1TJywzOTA4Mik=&amp;WINDOW=FIRST_POPUP&amp;HEIGHT=450&amp;WIDTH=450&amp;START_MA","XIMIZED=FALSE&amp;VAR:CALENDAR=US&amp;VAR:SYMBOL=37183T10&amp;VAR:INDEX=0"}</definedName>
    <definedName name="_4804__FDSAUDITLINK__" localSheetId="6" hidden="1">{"fdsup://directions/FAT Viewer?action=UPDATE&amp;creator=factset&amp;DYN_ARGS=TRUE&amp;DOC_NAME=FAT:FQL_AUDITING_CLIENT_TEMPLATE.FAT&amp;display_string=Audit&amp;VAR:KEY=VWBEZUHORI&amp;VAR:QUERY=RkZfRUJJVERBX0lCKCdMVE1TJywzOTA4MSk=&amp;WINDOW=FIRST_POPUP&amp;HEIGHT=450&amp;WIDTH=450&amp;START_MA","XIMIZED=FALSE&amp;VAR:CALENDAR=US&amp;VAR:SYMBOL=37183T10&amp;VAR:INDEX=0"}</definedName>
    <definedName name="_4804__FDSAUDITLINK__" hidden="1">{"fdsup://directions/FAT Viewer?action=UPDATE&amp;creator=factset&amp;DYN_ARGS=TRUE&amp;DOC_NAME=FAT:FQL_AUDITING_CLIENT_TEMPLATE.FAT&amp;display_string=Audit&amp;VAR:KEY=VWBEZUHORI&amp;VAR:QUERY=RkZfRUJJVERBX0lCKCdMVE1TJywzOTA4MSk=&amp;WINDOW=FIRST_POPUP&amp;HEIGHT=450&amp;WIDTH=450&amp;START_MA","XIMIZED=FALSE&amp;VAR:CALENDAR=US&amp;VAR:SYMBOL=37183T10&amp;VAR:INDEX=0"}</definedName>
    <definedName name="_4805__FDSAUDITLINK__" localSheetId="6" hidden="1">{"fdsup://directions/FAT Viewer?action=UPDATE&amp;creator=factset&amp;DYN_ARGS=TRUE&amp;DOC_NAME=FAT:FQL_AUDITING_CLIENT_TEMPLATE.FAT&amp;display_string=Audit&amp;VAR:KEY=DILKVMLMBS&amp;VAR:QUERY=RkZfRUJJVERBX0lCKCdMVE1TJywzOTA4MCk=&amp;WINDOW=FIRST_POPUP&amp;HEIGHT=450&amp;WIDTH=450&amp;START_MA","XIMIZED=FALSE&amp;VAR:CALENDAR=US&amp;VAR:SYMBOL=37183T10&amp;VAR:INDEX=0"}</definedName>
    <definedName name="_4805__FDSAUDITLINK__" hidden="1">{"fdsup://directions/FAT Viewer?action=UPDATE&amp;creator=factset&amp;DYN_ARGS=TRUE&amp;DOC_NAME=FAT:FQL_AUDITING_CLIENT_TEMPLATE.FAT&amp;display_string=Audit&amp;VAR:KEY=DILKVMLMBS&amp;VAR:QUERY=RkZfRUJJVERBX0lCKCdMVE1TJywzOTA4MCk=&amp;WINDOW=FIRST_POPUP&amp;HEIGHT=450&amp;WIDTH=450&amp;START_MA","XIMIZED=FALSE&amp;VAR:CALENDAR=US&amp;VAR:SYMBOL=37183T10&amp;VAR:INDEX=0"}</definedName>
    <definedName name="_4806__FDSAUDITLINK__" localSheetId="6" hidden="1">{"fdsup://directions/FAT Viewer?action=UPDATE&amp;creator=factset&amp;DYN_ARGS=TRUE&amp;DOC_NAME=FAT:FQL_AUDITING_CLIENT_TEMPLATE.FAT&amp;display_string=Audit&amp;VAR:KEY=PAPWPIXYXG&amp;VAR:QUERY=RkZfRUJJVERBX0lCKCdMVE1TJywzOTA3OSk=&amp;WINDOW=FIRST_POPUP&amp;HEIGHT=450&amp;WIDTH=450&amp;START_MA","XIMIZED=FALSE&amp;VAR:CALENDAR=US&amp;VAR:SYMBOL=37183T10&amp;VAR:INDEX=0"}</definedName>
    <definedName name="_4806__FDSAUDITLINK__" hidden="1">{"fdsup://directions/FAT Viewer?action=UPDATE&amp;creator=factset&amp;DYN_ARGS=TRUE&amp;DOC_NAME=FAT:FQL_AUDITING_CLIENT_TEMPLATE.FAT&amp;display_string=Audit&amp;VAR:KEY=PAPWPIXYXG&amp;VAR:QUERY=RkZfRUJJVERBX0lCKCdMVE1TJywzOTA3OSk=&amp;WINDOW=FIRST_POPUP&amp;HEIGHT=450&amp;WIDTH=450&amp;START_MA","XIMIZED=FALSE&amp;VAR:CALENDAR=US&amp;VAR:SYMBOL=37183T10&amp;VAR:INDEX=0"}</definedName>
    <definedName name="_4807__FDSAUDITLINK__" localSheetId="6" hidden="1">{"fdsup://directions/FAT Viewer?action=UPDATE&amp;creator=factset&amp;DYN_ARGS=TRUE&amp;DOC_NAME=FAT:FQL_AUDITING_CLIENT_TEMPLATE.FAT&amp;display_string=Audit&amp;VAR:KEY=FSXMPUBMVE&amp;VAR:QUERY=RkZfRUJJVERBX0lCKCdMVE1TJywzOTA3OCk=&amp;WINDOW=FIRST_POPUP&amp;HEIGHT=450&amp;WIDTH=450&amp;START_MA","XIMIZED=FALSE&amp;VAR:CALENDAR=US&amp;VAR:SYMBOL=37183T10&amp;VAR:INDEX=0"}</definedName>
    <definedName name="_4807__FDSAUDITLINK__" hidden="1">{"fdsup://directions/FAT Viewer?action=UPDATE&amp;creator=factset&amp;DYN_ARGS=TRUE&amp;DOC_NAME=FAT:FQL_AUDITING_CLIENT_TEMPLATE.FAT&amp;display_string=Audit&amp;VAR:KEY=FSXMPUBMVE&amp;VAR:QUERY=RkZfRUJJVERBX0lCKCdMVE1TJywzOTA3OCk=&amp;WINDOW=FIRST_POPUP&amp;HEIGHT=450&amp;WIDTH=450&amp;START_MA","XIMIZED=FALSE&amp;VAR:CALENDAR=US&amp;VAR:SYMBOL=37183T10&amp;VAR:INDEX=0"}</definedName>
    <definedName name="_4808__FDSAUDITLINK__" localSheetId="6" hidden="1">{"fdsup://directions/FAT Viewer?action=UPDATE&amp;creator=factset&amp;DYN_ARGS=TRUE&amp;DOC_NAME=FAT:FQL_AUDITING_CLIENT_TEMPLATE.FAT&amp;display_string=Audit&amp;VAR:KEY=BOZQFGVOPE&amp;VAR:QUERY=RkZfRUJJVERBX0lCKCdMVE1TJywzOTA3Nyk=&amp;WINDOW=FIRST_POPUP&amp;HEIGHT=450&amp;WIDTH=450&amp;START_MA","XIMIZED=FALSE&amp;VAR:CALENDAR=US&amp;VAR:SYMBOL=37183T10&amp;VAR:INDEX=0"}</definedName>
    <definedName name="_4808__FDSAUDITLINK__" hidden="1">{"fdsup://directions/FAT Viewer?action=UPDATE&amp;creator=factset&amp;DYN_ARGS=TRUE&amp;DOC_NAME=FAT:FQL_AUDITING_CLIENT_TEMPLATE.FAT&amp;display_string=Audit&amp;VAR:KEY=BOZQFGVOPE&amp;VAR:QUERY=RkZfRUJJVERBX0lCKCdMVE1TJywzOTA3Nyk=&amp;WINDOW=FIRST_POPUP&amp;HEIGHT=450&amp;WIDTH=450&amp;START_MA","XIMIZED=FALSE&amp;VAR:CALENDAR=US&amp;VAR:SYMBOL=37183T10&amp;VAR:INDEX=0"}</definedName>
    <definedName name="_4809__FDSAUDITLINK__" localSheetId="6" hidden="1">{"fdsup://directions/FAT Viewer?action=UPDATE&amp;creator=factset&amp;DYN_ARGS=TRUE&amp;DOC_NAME=FAT:FQL_AUDITING_CLIENT_TEMPLATE.FAT&amp;display_string=Audit&amp;VAR:KEY=PQJEVEBMLK&amp;VAR:QUERY=RkZfRUJJVERBX0lCKCdMVE1TJywzOTA3Nik=&amp;WINDOW=FIRST_POPUP&amp;HEIGHT=450&amp;WIDTH=450&amp;START_MA","XIMIZED=FALSE&amp;VAR:CALENDAR=US&amp;VAR:SYMBOL=37183T10&amp;VAR:INDEX=0"}</definedName>
    <definedName name="_4809__FDSAUDITLINK__" hidden="1">{"fdsup://directions/FAT Viewer?action=UPDATE&amp;creator=factset&amp;DYN_ARGS=TRUE&amp;DOC_NAME=FAT:FQL_AUDITING_CLIENT_TEMPLATE.FAT&amp;display_string=Audit&amp;VAR:KEY=PQJEVEBMLK&amp;VAR:QUERY=RkZfRUJJVERBX0lCKCdMVE1TJywzOTA3Nik=&amp;WINDOW=FIRST_POPUP&amp;HEIGHT=450&amp;WIDTH=450&amp;START_MA","XIMIZED=FALSE&amp;VAR:CALENDAR=US&amp;VAR:SYMBOL=37183T10&amp;VAR:INDEX=0"}</definedName>
    <definedName name="_481__FDSAUDITLINK__" localSheetId="6" hidden="1">{"fdsup://directions/FAT%20Viewer?VAR:PED=LTM&amp;VAR:AUDIT_MODE=SUMMARY&amp;VAR:PERIOD=FIXED&amp;VAR:AUDIT_ID=00000117&amp;VAR:DATE=20081028&amp;action=UPDATE&amp;creator=factset&amp;DOC_NAME=FAT:FMA_audit_SUMMARY.fat&amp;DISPLAY_STRING=Display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1__FDSAUDITLINK__" hidden="1">{"fdsup://directions/FAT%20Viewer?VAR:PED=LTM&amp;VAR:AUDIT_MODE=SUMMARY&amp;VAR:PERIOD=FIXED&amp;VAR:AUDIT_ID=00000117&amp;VAR:DATE=20081028&amp;action=UPDATE&amp;creator=factset&amp;DOC_NAME=FAT:FMA_audit_SUMMARY.fat&amp;DISPLAY_STRING=Display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10__FDSAUDITLINK__" localSheetId="6" hidden="1">{"fdsup://directions/FAT Viewer?action=UPDATE&amp;creator=factset&amp;DYN_ARGS=TRUE&amp;DOC_NAME=FAT:FQL_AUDITING_CLIENT_TEMPLATE.FAT&amp;display_string=Audit&amp;VAR:KEY=XKBADQDUDQ&amp;VAR:QUERY=RkZfRUJJVERBX0lCKCdMVE1TJywzOTA3NSk=&amp;WINDOW=FIRST_POPUP&amp;HEIGHT=450&amp;WIDTH=450&amp;START_MA","XIMIZED=FALSE&amp;VAR:CALENDAR=US&amp;VAR:SYMBOL=37183T10&amp;VAR:INDEX=0"}</definedName>
    <definedName name="_4810__FDSAUDITLINK__" hidden="1">{"fdsup://directions/FAT Viewer?action=UPDATE&amp;creator=factset&amp;DYN_ARGS=TRUE&amp;DOC_NAME=FAT:FQL_AUDITING_CLIENT_TEMPLATE.FAT&amp;display_string=Audit&amp;VAR:KEY=XKBADQDUDQ&amp;VAR:QUERY=RkZfRUJJVERBX0lCKCdMVE1TJywzOTA3NSk=&amp;WINDOW=FIRST_POPUP&amp;HEIGHT=450&amp;WIDTH=450&amp;START_MA","XIMIZED=FALSE&amp;VAR:CALENDAR=US&amp;VAR:SYMBOL=37183T10&amp;VAR:INDEX=0"}</definedName>
    <definedName name="_4811__FDSAUDITLINK__" localSheetId="6" hidden="1">{"fdsup://directions/FAT Viewer?action=UPDATE&amp;creator=factset&amp;DYN_ARGS=TRUE&amp;DOC_NAME=FAT:FQL_AUDITING_CLIENT_TEMPLATE.FAT&amp;display_string=Audit&amp;VAR:KEY=BEXSROLENQ&amp;VAR:QUERY=RkZfRUJJVERBX0lCKCdMVE1TJywzOTA3NCk=&amp;WINDOW=FIRST_POPUP&amp;HEIGHT=450&amp;WIDTH=450&amp;START_MA","XIMIZED=FALSE&amp;VAR:CALENDAR=US&amp;VAR:SYMBOL=37183T10&amp;VAR:INDEX=0"}</definedName>
    <definedName name="_4811__FDSAUDITLINK__" hidden="1">{"fdsup://directions/FAT Viewer?action=UPDATE&amp;creator=factset&amp;DYN_ARGS=TRUE&amp;DOC_NAME=FAT:FQL_AUDITING_CLIENT_TEMPLATE.FAT&amp;display_string=Audit&amp;VAR:KEY=BEXSROLENQ&amp;VAR:QUERY=RkZfRUJJVERBX0lCKCdMVE1TJywzOTA3NCk=&amp;WINDOW=FIRST_POPUP&amp;HEIGHT=450&amp;WIDTH=450&amp;START_MA","XIMIZED=FALSE&amp;VAR:CALENDAR=US&amp;VAR:SYMBOL=37183T10&amp;VAR:INDEX=0"}</definedName>
    <definedName name="_4812__FDSAUDITLINK__" localSheetId="6" hidden="1">{"fdsup://directions/FAT Viewer?action=UPDATE&amp;creator=factset&amp;DYN_ARGS=TRUE&amp;DOC_NAME=FAT:FQL_AUDITING_CLIENT_TEMPLATE.FAT&amp;display_string=Audit&amp;VAR:KEY=JWFKVYZOLS&amp;VAR:QUERY=RkZfRUJJVERBX0lCKCdMVE1TJywzOTA3Myk=&amp;WINDOW=FIRST_POPUP&amp;HEIGHT=450&amp;WIDTH=450&amp;START_MA","XIMIZED=FALSE&amp;VAR:CALENDAR=US&amp;VAR:SYMBOL=37183T10&amp;VAR:INDEX=0"}</definedName>
    <definedName name="_4812__FDSAUDITLINK__" hidden="1">{"fdsup://directions/FAT Viewer?action=UPDATE&amp;creator=factset&amp;DYN_ARGS=TRUE&amp;DOC_NAME=FAT:FQL_AUDITING_CLIENT_TEMPLATE.FAT&amp;display_string=Audit&amp;VAR:KEY=JWFKVYZOLS&amp;VAR:QUERY=RkZfRUJJVERBX0lCKCdMVE1TJywzOTA3Myk=&amp;WINDOW=FIRST_POPUP&amp;HEIGHT=450&amp;WIDTH=450&amp;START_MA","XIMIZED=FALSE&amp;VAR:CALENDAR=US&amp;VAR:SYMBOL=37183T10&amp;VAR:INDEX=0"}</definedName>
    <definedName name="_4813__FDSAUDITLINK__" localSheetId="6" hidden="1">{"fdsup://directions/FAT Viewer?action=UPDATE&amp;creator=factset&amp;DYN_ARGS=TRUE&amp;DOC_NAME=FAT:FQL_AUDITING_CLIENT_TEMPLATE.FAT&amp;display_string=Audit&amp;VAR:KEY=PSDELUDQTQ&amp;VAR:QUERY=RkZfRUJJVERBX0lCKCdMVE1TJywzOTA3Mik=&amp;WINDOW=FIRST_POPUP&amp;HEIGHT=450&amp;WIDTH=450&amp;START_MA","XIMIZED=FALSE&amp;VAR:CALENDAR=US&amp;VAR:SYMBOL=37183T10&amp;VAR:INDEX=0"}</definedName>
    <definedName name="_4813__FDSAUDITLINK__" hidden="1">{"fdsup://directions/FAT Viewer?action=UPDATE&amp;creator=factset&amp;DYN_ARGS=TRUE&amp;DOC_NAME=FAT:FQL_AUDITING_CLIENT_TEMPLATE.FAT&amp;display_string=Audit&amp;VAR:KEY=PSDELUDQTQ&amp;VAR:QUERY=RkZfRUJJVERBX0lCKCdMVE1TJywzOTA3Mik=&amp;WINDOW=FIRST_POPUP&amp;HEIGHT=450&amp;WIDTH=450&amp;START_MA","XIMIZED=FALSE&amp;VAR:CALENDAR=US&amp;VAR:SYMBOL=37183T10&amp;VAR:INDEX=0"}</definedName>
    <definedName name="_4814__FDSAUDITLINK__" localSheetId="6" hidden="1">{"fdsup://directions/FAT Viewer?action=UPDATE&amp;creator=factset&amp;DYN_ARGS=TRUE&amp;DOC_NAME=FAT:FQL_AUDITING_CLIENT_TEMPLATE.FAT&amp;display_string=Audit&amp;VAR:KEY=PQHUVGLCVC&amp;VAR:QUERY=RkZfRUJJVERBX0lCKCdMVE1TJywzOTA3MSk=&amp;WINDOW=FIRST_POPUP&amp;HEIGHT=450&amp;WIDTH=450&amp;START_MA","XIMIZED=FALSE&amp;VAR:CALENDAR=US&amp;VAR:SYMBOL=37183T10&amp;VAR:INDEX=0"}</definedName>
    <definedName name="_4814__FDSAUDITLINK__" hidden="1">{"fdsup://directions/FAT Viewer?action=UPDATE&amp;creator=factset&amp;DYN_ARGS=TRUE&amp;DOC_NAME=FAT:FQL_AUDITING_CLIENT_TEMPLATE.FAT&amp;display_string=Audit&amp;VAR:KEY=PQHUVGLCVC&amp;VAR:QUERY=RkZfRUJJVERBX0lCKCdMVE1TJywzOTA3MSk=&amp;WINDOW=FIRST_POPUP&amp;HEIGHT=450&amp;WIDTH=450&amp;START_MA","XIMIZED=FALSE&amp;VAR:CALENDAR=US&amp;VAR:SYMBOL=37183T10&amp;VAR:INDEX=0"}</definedName>
    <definedName name="_4815__FDSAUDITLINK__" localSheetId="6" hidden="1">{"fdsup://directions/FAT Viewer?action=UPDATE&amp;creator=factset&amp;DYN_ARGS=TRUE&amp;DOC_NAME=FAT:FQL_AUDITING_CLIENT_TEMPLATE.FAT&amp;display_string=Audit&amp;VAR:KEY=XEDMRMRUZS&amp;VAR:QUERY=RkZfRUJJVERBX0lCKCdMVE1TJywzOTA3MCk=&amp;WINDOW=FIRST_POPUP&amp;HEIGHT=450&amp;WIDTH=450&amp;START_MA","XIMIZED=FALSE&amp;VAR:CALENDAR=US&amp;VAR:SYMBOL=37183T10&amp;VAR:INDEX=0"}</definedName>
    <definedName name="_4815__FDSAUDITLINK__" hidden="1">{"fdsup://directions/FAT Viewer?action=UPDATE&amp;creator=factset&amp;DYN_ARGS=TRUE&amp;DOC_NAME=FAT:FQL_AUDITING_CLIENT_TEMPLATE.FAT&amp;display_string=Audit&amp;VAR:KEY=XEDMRMRUZS&amp;VAR:QUERY=RkZfRUJJVERBX0lCKCdMVE1TJywzOTA3MCk=&amp;WINDOW=FIRST_POPUP&amp;HEIGHT=450&amp;WIDTH=450&amp;START_MA","XIMIZED=FALSE&amp;VAR:CALENDAR=US&amp;VAR:SYMBOL=37183T10&amp;VAR:INDEX=0"}</definedName>
    <definedName name="_4816__FDSAUDITLINK__" localSheetId="6" hidden="1">{"fdsup://directions/FAT Viewer?action=UPDATE&amp;creator=factset&amp;DYN_ARGS=TRUE&amp;DOC_NAME=FAT:FQL_AUDITING_CLIENT_TEMPLATE.FAT&amp;display_string=Audit&amp;VAR:KEY=NAFAJGBYZI&amp;VAR:QUERY=RkZfRUJJVERBX0lCKCdMVE1TJywzOTA2OSk=&amp;WINDOW=FIRST_POPUP&amp;HEIGHT=450&amp;WIDTH=450&amp;START_MA","XIMIZED=FALSE&amp;VAR:CALENDAR=US&amp;VAR:SYMBOL=37183T10&amp;VAR:INDEX=0"}</definedName>
    <definedName name="_4816__FDSAUDITLINK__" hidden="1">{"fdsup://directions/FAT Viewer?action=UPDATE&amp;creator=factset&amp;DYN_ARGS=TRUE&amp;DOC_NAME=FAT:FQL_AUDITING_CLIENT_TEMPLATE.FAT&amp;display_string=Audit&amp;VAR:KEY=NAFAJGBYZI&amp;VAR:QUERY=RkZfRUJJVERBX0lCKCdMVE1TJywzOTA2OSk=&amp;WINDOW=FIRST_POPUP&amp;HEIGHT=450&amp;WIDTH=450&amp;START_MA","XIMIZED=FALSE&amp;VAR:CALENDAR=US&amp;VAR:SYMBOL=37183T10&amp;VAR:INDEX=0"}</definedName>
    <definedName name="_4817__FDSAUDITLINK__" localSheetId="6" hidden="1">{"fdsup://directions/FAT Viewer?action=UPDATE&amp;creator=factset&amp;DYN_ARGS=TRUE&amp;DOC_NAME=FAT:FQL_AUDITING_CLIENT_TEMPLATE.FAT&amp;display_string=Audit&amp;VAR:KEY=NQFKRENCHS&amp;VAR:QUERY=RkZfRUJJVERBX0lCKCdMVE1TJywzOTA2OCk=&amp;WINDOW=FIRST_POPUP&amp;HEIGHT=450&amp;WIDTH=450&amp;START_MA","XIMIZED=FALSE&amp;VAR:CALENDAR=US&amp;VAR:SYMBOL=37183T10&amp;VAR:INDEX=0"}</definedName>
    <definedName name="_4817__FDSAUDITLINK__" hidden="1">{"fdsup://directions/FAT Viewer?action=UPDATE&amp;creator=factset&amp;DYN_ARGS=TRUE&amp;DOC_NAME=FAT:FQL_AUDITING_CLIENT_TEMPLATE.FAT&amp;display_string=Audit&amp;VAR:KEY=NQFKRENCHS&amp;VAR:QUERY=RkZfRUJJVERBX0lCKCdMVE1TJywzOTA2OCk=&amp;WINDOW=FIRST_POPUP&amp;HEIGHT=450&amp;WIDTH=450&amp;START_MA","XIMIZED=FALSE&amp;VAR:CALENDAR=US&amp;VAR:SYMBOL=37183T10&amp;VAR:INDEX=0"}</definedName>
    <definedName name="_4818__FDSAUDITLINK__" localSheetId="6" hidden="1">{"fdsup://directions/FAT Viewer?action=UPDATE&amp;creator=factset&amp;DYN_ARGS=TRUE&amp;DOC_NAME=FAT:FQL_AUDITING_CLIENT_TEMPLATE.FAT&amp;display_string=Audit&amp;VAR:KEY=LYJMPSHOZA&amp;VAR:QUERY=RkZfRUJJVERBX0lCKCdMVE1TJywzOTA2Nyk=&amp;WINDOW=FIRST_POPUP&amp;HEIGHT=450&amp;WIDTH=450&amp;START_MA","XIMIZED=FALSE&amp;VAR:CALENDAR=US&amp;VAR:SYMBOL=37183T10&amp;VAR:INDEX=0"}</definedName>
    <definedName name="_4818__FDSAUDITLINK__" hidden="1">{"fdsup://directions/FAT Viewer?action=UPDATE&amp;creator=factset&amp;DYN_ARGS=TRUE&amp;DOC_NAME=FAT:FQL_AUDITING_CLIENT_TEMPLATE.FAT&amp;display_string=Audit&amp;VAR:KEY=LYJMPSHOZA&amp;VAR:QUERY=RkZfRUJJVERBX0lCKCdMVE1TJywzOTA2Nyk=&amp;WINDOW=FIRST_POPUP&amp;HEIGHT=450&amp;WIDTH=450&amp;START_MA","XIMIZED=FALSE&amp;VAR:CALENDAR=US&amp;VAR:SYMBOL=37183T10&amp;VAR:INDEX=0"}</definedName>
    <definedName name="_4819__FDSAUDITLINK__" localSheetId="6" hidden="1">{"fdsup://directions/FAT Viewer?action=UPDATE&amp;creator=factset&amp;DYN_ARGS=TRUE&amp;DOC_NAME=FAT:FQL_AUDITING_CLIENT_TEMPLATE.FAT&amp;display_string=Audit&amp;VAR:KEY=VCRYBMPCTY&amp;VAR:QUERY=RkZfRUJJVERBX0lCKCdMVE1TJywzOTA2Nik=&amp;WINDOW=FIRST_POPUP&amp;HEIGHT=450&amp;WIDTH=450&amp;START_MA","XIMIZED=FALSE&amp;VAR:CALENDAR=US&amp;VAR:SYMBOL=37183T10&amp;VAR:INDEX=0"}</definedName>
    <definedName name="_4819__FDSAUDITLINK__" hidden="1">{"fdsup://directions/FAT Viewer?action=UPDATE&amp;creator=factset&amp;DYN_ARGS=TRUE&amp;DOC_NAME=FAT:FQL_AUDITING_CLIENT_TEMPLATE.FAT&amp;display_string=Audit&amp;VAR:KEY=VCRYBMPCTY&amp;VAR:QUERY=RkZfRUJJVERBX0lCKCdMVE1TJywzOTA2Nik=&amp;WINDOW=FIRST_POPUP&amp;HEIGHT=450&amp;WIDTH=450&amp;START_MA","XIMIZED=FALSE&amp;VAR:CALENDAR=US&amp;VAR:SYMBOL=37183T10&amp;VAR:INDEX=0"}</definedName>
    <definedName name="_482__FDSAUDITLINK__" localSheetId="6" hidden="1">{"fdsup://directions/FAT%20Viewer?VAR:PED=LTM&amp;VAR:AUDIT_MODE=SUMMARY&amp;VAR:PERIOD=FIXED&amp;VAR:AUDIT_ID=00000117&amp;VAR:DATE=20081027&amp;action=UPDATE&amp;creator=factset&amp;DOC_NAME=FAT:FMA_audit_SUMMARY.fat&amp;DISPLAY_STRING=Display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2__FDSAUDITLINK__" hidden="1">{"fdsup://directions/FAT%20Viewer?VAR:PED=LTM&amp;VAR:AUDIT_MODE=SUMMARY&amp;VAR:PERIOD=FIXED&amp;VAR:AUDIT_ID=00000117&amp;VAR:DATE=20081027&amp;action=UPDATE&amp;creator=factset&amp;DOC_NAME=FAT:FMA_audit_SUMMARY.fat&amp;DISPLAY_STRING=Display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20__FDSAUDITLINK__" localSheetId="6" hidden="1">{"fdsup://directions/FAT Viewer?action=UPDATE&amp;creator=factset&amp;DYN_ARGS=TRUE&amp;DOC_NAME=FAT:FQL_AUDITING_CLIENT_TEMPLATE.FAT&amp;display_string=Audit&amp;VAR:KEY=ZODSBKDUHM&amp;VAR:QUERY=RkZfRUJJVERBX0lCKCdMVE1TJywzOTA2NSk=&amp;WINDOW=FIRST_POPUP&amp;HEIGHT=450&amp;WIDTH=450&amp;START_MA","XIMIZED=FALSE&amp;VAR:CALENDAR=US&amp;VAR:SYMBOL=37183T10&amp;VAR:INDEX=0"}</definedName>
    <definedName name="_4820__FDSAUDITLINK__" hidden="1">{"fdsup://directions/FAT Viewer?action=UPDATE&amp;creator=factset&amp;DYN_ARGS=TRUE&amp;DOC_NAME=FAT:FQL_AUDITING_CLIENT_TEMPLATE.FAT&amp;display_string=Audit&amp;VAR:KEY=ZODSBKDUHM&amp;VAR:QUERY=RkZfRUJJVERBX0lCKCdMVE1TJywzOTA2NSk=&amp;WINDOW=FIRST_POPUP&amp;HEIGHT=450&amp;WIDTH=450&amp;START_MA","XIMIZED=FALSE&amp;VAR:CALENDAR=US&amp;VAR:SYMBOL=37183T10&amp;VAR:INDEX=0"}</definedName>
    <definedName name="_4821__FDSAUDITLINK__" localSheetId="6" hidden="1">{"fdsup://directions/FAT Viewer?action=UPDATE&amp;creator=factset&amp;DYN_ARGS=TRUE&amp;DOC_NAME=FAT:FQL_AUDITING_CLIENT_TEMPLATE.FAT&amp;display_string=Audit&amp;VAR:KEY=TWBENSZANQ&amp;VAR:QUERY=RkZfRUJJVERBX0lCKCdMVE1TJywzOTA2NCk=&amp;WINDOW=FIRST_POPUP&amp;HEIGHT=450&amp;WIDTH=450&amp;START_MA","XIMIZED=FALSE&amp;VAR:CALENDAR=US&amp;VAR:SYMBOL=37183T10&amp;VAR:INDEX=0"}</definedName>
    <definedName name="_4821__FDSAUDITLINK__" hidden="1">{"fdsup://directions/FAT Viewer?action=UPDATE&amp;creator=factset&amp;DYN_ARGS=TRUE&amp;DOC_NAME=FAT:FQL_AUDITING_CLIENT_TEMPLATE.FAT&amp;display_string=Audit&amp;VAR:KEY=TWBENSZANQ&amp;VAR:QUERY=RkZfRUJJVERBX0lCKCdMVE1TJywzOTA2NCk=&amp;WINDOW=FIRST_POPUP&amp;HEIGHT=450&amp;WIDTH=450&amp;START_MA","XIMIZED=FALSE&amp;VAR:CALENDAR=US&amp;VAR:SYMBOL=37183T10&amp;VAR:INDEX=0"}</definedName>
    <definedName name="_4822__FDSAUDITLINK__" localSheetId="6" hidden="1">{"fdsup://directions/FAT Viewer?action=UPDATE&amp;creator=factset&amp;DYN_ARGS=TRUE&amp;DOC_NAME=FAT:FQL_AUDITING_CLIENT_TEMPLATE.FAT&amp;display_string=Audit&amp;VAR:KEY=JEBSDCHSJE&amp;VAR:QUERY=RkZfRUJJVERBX0lCKCdMVE1TJywzOTA2Myk=&amp;WINDOW=FIRST_POPUP&amp;HEIGHT=450&amp;WIDTH=450&amp;START_MA","XIMIZED=FALSE&amp;VAR:CALENDAR=US&amp;VAR:SYMBOL=37183T10&amp;VAR:INDEX=0"}</definedName>
    <definedName name="_4822__FDSAUDITLINK__" hidden="1">{"fdsup://directions/FAT Viewer?action=UPDATE&amp;creator=factset&amp;DYN_ARGS=TRUE&amp;DOC_NAME=FAT:FQL_AUDITING_CLIENT_TEMPLATE.FAT&amp;display_string=Audit&amp;VAR:KEY=JEBSDCHSJE&amp;VAR:QUERY=RkZfRUJJVERBX0lCKCdMVE1TJywzOTA2Myk=&amp;WINDOW=FIRST_POPUP&amp;HEIGHT=450&amp;WIDTH=450&amp;START_MA","XIMIZED=FALSE&amp;VAR:CALENDAR=US&amp;VAR:SYMBOL=37183T10&amp;VAR:INDEX=0"}</definedName>
    <definedName name="_4823__FDSAUDITLINK__" localSheetId="6" hidden="1">{"fdsup://directions/FAT Viewer?action=UPDATE&amp;creator=factset&amp;DYN_ARGS=TRUE&amp;DOC_NAME=FAT:FQL_AUDITING_CLIENT_TEMPLATE.FAT&amp;display_string=Audit&amp;VAR:KEY=XCJQDWXSDG&amp;VAR:QUERY=RkZfRUJJVERBX0lCKCdMVE1TJywzOTA2Mik=&amp;WINDOW=FIRST_POPUP&amp;HEIGHT=450&amp;WIDTH=450&amp;START_MA","XIMIZED=FALSE&amp;VAR:CALENDAR=US&amp;VAR:SYMBOL=37183T10&amp;VAR:INDEX=0"}</definedName>
    <definedName name="_4823__FDSAUDITLINK__" hidden="1">{"fdsup://directions/FAT Viewer?action=UPDATE&amp;creator=factset&amp;DYN_ARGS=TRUE&amp;DOC_NAME=FAT:FQL_AUDITING_CLIENT_TEMPLATE.FAT&amp;display_string=Audit&amp;VAR:KEY=XCJQDWXSDG&amp;VAR:QUERY=RkZfRUJJVERBX0lCKCdMVE1TJywzOTA2Mik=&amp;WINDOW=FIRST_POPUP&amp;HEIGHT=450&amp;WIDTH=450&amp;START_MA","XIMIZED=FALSE&amp;VAR:CALENDAR=US&amp;VAR:SYMBOL=37183T10&amp;VAR:INDEX=0"}</definedName>
    <definedName name="_4824__FDSAUDITLINK__" localSheetId="6" hidden="1">{"fdsup://directions/FAT Viewer?action=UPDATE&amp;creator=factset&amp;DYN_ARGS=TRUE&amp;DOC_NAME=FAT:FQL_AUDITING_CLIENT_TEMPLATE.FAT&amp;display_string=Audit&amp;VAR:KEY=XWTGRQVYXU&amp;VAR:QUERY=RkZfRUJJVERBX0lCKCdMVE1TJywzOTA2MSk=&amp;WINDOW=FIRST_POPUP&amp;HEIGHT=450&amp;WIDTH=450&amp;START_MA","XIMIZED=FALSE&amp;VAR:CALENDAR=US&amp;VAR:SYMBOL=37183T10&amp;VAR:INDEX=0"}</definedName>
    <definedName name="_4824__FDSAUDITLINK__" hidden="1">{"fdsup://directions/FAT Viewer?action=UPDATE&amp;creator=factset&amp;DYN_ARGS=TRUE&amp;DOC_NAME=FAT:FQL_AUDITING_CLIENT_TEMPLATE.FAT&amp;display_string=Audit&amp;VAR:KEY=XWTGRQVYXU&amp;VAR:QUERY=RkZfRUJJVERBX0lCKCdMVE1TJywzOTA2MSk=&amp;WINDOW=FIRST_POPUP&amp;HEIGHT=450&amp;WIDTH=450&amp;START_MA","XIMIZED=FALSE&amp;VAR:CALENDAR=US&amp;VAR:SYMBOL=37183T10&amp;VAR:INDEX=0"}</definedName>
    <definedName name="_4825__FDSAUDITLINK__" localSheetId="6" hidden="1">{"fdsup://directions/FAT Viewer?action=UPDATE&amp;creator=factset&amp;DYN_ARGS=TRUE&amp;DOC_NAME=FAT:FQL_AUDITING_CLIENT_TEMPLATE.FAT&amp;display_string=Audit&amp;VAR:KEY=LQXQXERQDQ&amp;VAR:QUERY=RkZfRUJJVERBX0lCKCdMVE1TJywzOTA2MCk=&amp;WINDOW=FIRST_POPUP&amp;HEIGHT=450&amp;WIDTH=450&amp;START_MA","XIMIZED=FALSE&amp;VAR:CALENDAR=US&amp;VAR:SYMBOL=37183T10&amp;VAR:INDEX=0"}</definedName>
    <definedName name="_4825__FDSAUDITLINK__" hidden="1">{"fdsup://directions/FAT Viewer?action=UPDATE&amp;creator=factset&amp;DYN_ARGS=TRUE&amp;DOC_NAME=FAT:FQL_AUDITING_CLIENT_TEMPLATE.FAT&amp;display_string=Audit&amp;VAR:KEY=LQXQXERQDQ&amp;VAR:QUERY=RkZfRUJJVERBX0lCKCdMVE1TJywzOTA2MCk=&amp;WINDOW=FIRST_POPUP&amp;HEIGHT=450&amp;WIDTH=450&amp;START_MA","XIMIZED=FALSE&amp;VAR:CALENDAR=US&amp;VAR:SYMBOL=37183T10&amp;VAR:INDEX=0"}</definedName>
    <definedName name="_4826__FDSAUDITLINK__" localSheetId="6" hidden="1">{"fdsup://directions/FAT Viewer?action=UPDATE&amp;creator=factset&amp;DYN_ARGS=TRUE&amp;DOC_NAME=FAT:FQL_AUDITING_CLIENT_TEMPLATE.FAT&amp;display_string=Audit&amp;VAR:KEY=BQDETSNIJI&amp;VAR:QUERY=RkZfRUJJVERBX0lCKCdMVE1TJywzOTA1OSk=&amp;WINDOW=FIRST_POPUP&amp;HEIGHT=450&amp;WIDTH=450&amp;START_MA","XIMIZED=FALSE&amp;VAR:CALENDAR=US&amp;VAR:SYMBOL=37183T10&amp;VAR:INDEX=0"}</definedName>
    <definedName name="_4826__FDSAUDITLINK__" hidden="1">{"fdsup://directions/FAT Viewer?action=UPDATE&amp;creator=factset&amp;DYN_ARGS=TRUE&amp;DOC_NAME=FAT:FQL_AUDITING_CLIENT_TEMPLATE.FAT&amp;display_string=Audit&amp;VAR:KEY=BQDETSNIJI&amp;VAR:QUERY=RkZfRUJJVERBX0lCKCdMVE1TJywzOTA1OSk=&amp;WINDOW=FIRST_POPUP&amp;HEIGHT=450&amp;WIDTH=450&amp;START_MA","XIMIZED=FALSE&amp;VAR:CALENDAR=US&amp;VAR:SYMBOL=37183T10&amp;VAR:INDEX=0"}</definedName>
    <definedName name="_4827__FDSAUDITLINK__" localSheetId="6" hidden="1">{"fdsup://directions/FAT Viewer?action=UPDATE&amp;creator=factset&amp;DYN_ARGS=TRUE&amp;DOC_NAME=FAT:FQL_AUDITING_CLIENT_TEMPLATE.FAT&amp;display_string=Audit&amp;VAR:KEY=JMRODQNATW&amp;VAR:QUERY=RkZfRUJJVERBX0lCKCdMVE1TJywzOTA1OCk=&amp;WINDOW=FIRST_POPUP&amp;HEIGHT=450&amp;WIDTH=450&amp;START_MA","XIMIZED=FALSE&amp;VAR:CALENDAR=US&amp;VAR:SYMBOL=37183T10&amp;VAR:INDEX=0"}</definedName>
    <definedName name="_4827__FDSAUDITLINK__" hidden="1">{"fdsup://directions/FAT Viewer?action=UPDATE&amp;creator=factset&amp;DYN_ARGS=TRUE&amp;DOC_NAME=FAT:FQL_AUDITING_CLIENT_TEMPLATE.FAT&amp;display_string=Audit&amp;VAR:KEY=JMRODQNATW&amp;VAR:QUERY=RkZfRUJJVERBX0lCKCdMVE1TJywzOTA1OCk=&amp;WINDOW=FIRST_POPUP&amp;HEIGHT=450&amp;WIDTH=450&amp;START_MA","XIMIZED=FALSE&amp;VAR:CALENDAR=US&amp;VAR:SYMBOL=37183T10&amp;VAR:INDEX=0"}</definedName>
    <definedName name="_4828__FDSAUDITLINK__" localSheetId="6" hidden="1">{"fdsup://directions/FAT Viewer?action=UPDATE&amp;creator=factset&amp;DYN_ARGS=TRUE&amp;DOC_NAME=FAT:FQL_AUDITING_CLIENT_TEMPLATE.FAT&amp;display_string=Audit&amp;VAR:KEY=BWBAREXSZE&amp;VAR:QUERY=RkZfRUJJVERBX0lCKCdMVE1TJywzOTA1Nyk=&amp;WINDOW=FIRST_POPUP&amp;HEIGHT=450&amp;WIDTH=450&amp;START_MA","XIMIZED=FALSE&amp;VAR:CALENDAR=US&amp;VAR:SYMBOL=37183T10&amp;VAR:INDEX=0"}</definedName>
    <definedName name="_4828__FDSAUDITLINK__" hidden="1">{"fdsup://directions/FAT Viewer?action=UPDATE&amp;creator=factset&amp;DYN_ARGS=TRUE&amp;DOC_NAME=FAT:FQL_AUDITING_CLIENT_TEMPLATE.FAT&amp;display_string=Audit&amp;VAR:KEY=BWBAREXSZE&amp;VAR:QUERY=RkZfRUJJVERBX0lCKCdMVE1TJywzOTA1Nyk=&amp;WINDOW=FIRST_POPUP&amp;HEIGHT=450&amp;WIDTH=450&amp;START_MA","XIMIZED=FALSE&amp;VAR:CALENDAR=US&amp;VAR:SYMBOL=37183T10&amp;VAR:INDEX=0"}</definedName>
    <definedName name="_4829__FDSAUDITLINK__" localSheetId="6" hidden="1">{"fdsup://directions/FAT Viewer?action=UPDATE&amp;creator=factset&amp;DYN_ARGS=TRUE&amp;DOC_NAME=FAT:FQL_AUDITING_CLIENT_TEMPLATE.FAT&amp;display_string=Audit&amp;VAR:KEY=ZOXGFWRGXO&amp;VAR:QUERY=RkZfRUJJVERBX0lCKCdMVE1TJywzOTA1Nik=&amp;WINDOW=FIRST_POPUP&amp;HEIGHT=450&amp;WIDTH=450&amp;START_MA","XIMIZED=FALSE&amp;VAR:CALENDAR=US&amp;VAR:SYMBOL=37183T10&amp;VAR:INDEX=0"}</definedName>
    <definedName name="_4829__FDSAUDITLINK__" hidden="1">{"fdsup://directions/FAT Viewer?action=UPDATE&amp;creator=factset&amp;DYN_ARGS=TRUE&amp;DOC_NAME=FAT:FQL_AUDITING_CLIENT_TEMPLATE.FAT&amp;display_string=Audit&amp;VAR:KEY=ZOXGFWRGXO&amp;VAR:QUERY=RkZfRUJJVERBX0lCKCdMVE1TJywzOTA1Nik=&amp;WINDOW=FIRST_POPUP&amp;HEIGHT=450&amp;WIDTH=450&amp;START_MA","XIMIZED=FALSE&amp;VAR:CALENDAR=US&amp;VAR:SYMBOL=37183T10&amp;VAR:INDEX=0"}</definedName>
    <definedName name="_483__FDSAUDITLINK__" localSheetId="6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3__FDSAUDITLINK__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30__FDSAUDITLINK__" localSheetId="6" hidden="1">{"fdsup://directions/FAT Viewer?action=UPDATE&amp;creator=factset&amp;DYN_ARGS=TRUE&amp;DOC_NAME=FAT:FQL_AUDITING_CLIENT_TEMPLATE.FAT&amp;display_string=Audit&amp;VAR:KEY=RUHAZSZYFO&amp;VAR:QUERY=RkZfRUJJVERBX0lCKCdMVE1TJywzOTA1NSk=&amp;WINDOW=FIRST_POPUP&amp;HEIGHT=450&amp;WIDTH=450&amp;START_MA","XIMIZED=FALSE&amp;VAR:CALENDAR=US&amp;VAR:SYMBOL=37183T10&amp;VAR:INDEX=0"}</definedName>
    <definedName name="_4830__FDSAUDITLINK__" hidden="1">{"fdsup://directions/FAT Viewer?action=UPDATE&amp;creator=factset&amp;DYN_ARGS=TRUE&amp;DOC_NAME=FAT:FQL_AUDITING_CLIENT_TEMPLATE.FAT&amp;display_string=Audit&amp;VAR:KEY=RUHAZSZYFO&amp;VAR:QUERY=RkZfRUJJVERBX0lCKCdMVE1TJywzOTA1NSk=&amp;WINDOW=FIRST_POPUP&amp;HEIGHT=450&amp;WIDTH=450&amp;START_MA","XIMIZED=FALSE&amp;VAR:CALENDAR=US&amp;VAR:SYMBOL=37183T10&amp;VAR:INDEX=0"}</definedName>
    <definedName name="_4831__FDSAUDITLINK__" localSheetId="6" hidden="1">{"fdsup://directions/FAT Viewer?action=UPDATE&amp;creator=factset&amp;DYN_ARGS=TRUE&amp;DOC_NAME=FAT:FQL_AUDITING_CLIENT_TEMPLATE.FAT&amp;display_string=Audit&amp;VAR:KEY=DEDAZYZGPA&amp;VAR:QUERY=RkZfRUJJVERBX0lCKCdMVE1TJywzOTA1NCk=&amp;WINDOW=FIRST_POPUP&amp;HEIGHT=450&amp;WIDTH=450&amp;START_MA","XIMIZED=FALSE&amp;VAR:CALENDAR=US&amp;VAR:SYMBOL=37183T10&amp;VAR:INDEX=0"}</definedName>
    <definedName name="_4831__FDSAUDITLINK__" hidden="1">{"fdsup://directions/FAT Viewer?action=UPDATE&amp;creator=factset&amp;DYN_ARGS=TRUE&amp;DOC_NAME=FAT:FQL_AUDITING_CLIENT_TEMPLATE.FAT&amp;display_string=Audit&amp;VAR:KEY=DEDAZYZGPA&amp;VAR:QUERY=RkZfRUJJVERBX0lCKCdMVE1TJywzOTA1NCk=&amp;WINDOW=FIRST_POPUP&amp;HEIGHT=450&amp;WIDTH=450&amp;START_MA","XIMIZED=FALSE&amp;VAR:CALENDAR=US&amp;VAR:SYMBOL=37183T10&amp;VAR:INDEX=0"}</definedName>
    <definedName name="_4832__FDSAUDITLINK__" localSheetId="6" hidden="1">{"fdsup://directions/FAT Viewer?action=UPDATE&amp;creator=factset&amp;DYN_ARGS=TRUE&amp;DOC_NAME=FAT:FQL_AUDITING_CLIENT_TEMPLATE.FAT&amp;display_string=Audit&amp;VAR:KEY=HMRSDCJSLM&amp;VAR:QUERY=RkZfRUJJVERBX0lCKCdMVE1TJywzOTA1Myk=&amp;WINDOW=FIRST_POPUP&amp;HEIGHT=450&amp;WIDTH=450&amp;START_MA","XIMIZED=FALSE&amp;VAR:CALENDAR=US&amp;VAR:SYMBOL=37183T10&amp;VAR:INDEX=0"}</definedName>
    <definedName name="_4832__FDSAUDITLINK__" hidden="1">{"fdsup://directions/FAT Viewer?action=UPDATE&amp;creator=factset&amp;DYN_ARGS=TRUE&amp;DOC_NAME=FAT:FQL_AUDITING_CLIENT_TEMPLATE.FAT&amp;display_string=Audit&amp;VAR:KEY=HMRSDCJSLM&amp;VAR:QUERY=RkZfRUJJVERBX0lCKCdMVE1TJywzOTA1Myk=&amp;WINDOW=FIRST_POPUP&amp;HEIGHT=450&amp;WIDTH=450&amp;START_MA","XIMIZED=FALSE&amp;VAR:CALENDAR=US&amp;VAR:SYMBOL=37183T10&amp;VAR:INDEX=0"}</definedName>
    <definedName name="_4833__FDSAUDITLINK__" localSheetId="6" hidden="1">{"fdsup://directions/FAT Viewer?action=UPDATE&amp;creator=factset&amp;DYN_ARGS=TRUE&amp;DOC_NAME=FAT:FQL_AUDITING_CLIENT_TEMPLATE.FAT&amp;display_string=Audit&amp;VAR:KEY=HWXIDULCHY&amp;VAR:QUERY=RkZfRUJJVERBX0lCKCdMVE1TJywzOTA1Mik=&amp;WINDOW=FIRST_POPUP&amp;HEIGHT=450&amp;WIDTH=450&amp;START_MA","XIMIZED=FALSE&amp;VAR:CALENDAR=US&amp;VAR:SYMBOL=37183T10&amp;VAR:INDEX=0"}</definedName>
    <definedName name="_4833__FDSAUDITLINK__" hidden="1">{"fdsup://directions/FAT Viewer?action=UPDATE&amp;creator=factset&amp;DYN_ARGS=TRUE&amp;DOC_NAME=FAT:FQL_AUDITING_CLIENT_TEMPLATE.FAT&amp;display_string=Audit&amp;VAR:KEY=HWXIDULCHY&amp;VAR:QUERY=RkZfRUJJVERBX0lCKCdMVE1TJywzOTA1Mik=&amp;WINDOW=FIRST_POPUP&amp;HEIGHT=450&amp;WIDTH=450&amp;START_MA","XIMIZED=FALSE&amp;VAR:CALENDAR=US&amp;VAR:SYMBOL=37183T10&amp;VAR:INDEX=0"}</definedName>
    <definedName name="_4834__FDSAUDITLINK__" localSheetId="6" hidden="1">{"fdsup://directions/FAT Viewer?action=UPDATE&amp;creator=factset&amp;DYN_ARGS=TRUE&amp;DOC_NAME=FAT:FQL_AUDITING_CLIENT_TEMPLATE.FAT&amp;display_string=Audit&amp;VAR:KEY=XMXSLGTMJS&amp;VAR:QUERY=RkZfRUJJVERBX0lCKCdMVE1TJywzOTA1MSk=&amp;WINDOW=FIRST_POPUP&amp;HEIGHT=450&amp;WIDTH=450&amp;START_MA","XIMIZED=FALSE&amp;VAR:CALENDAR=US&amp;VAR:SYMBOL=37183T10&amp;VAR:INDEX=0"}</definedName>
    <definedName name="_4834__FDSAUDITLINK__" hidden="1">{"fdsup://directions/FAT Viewer?action=UPDATE&amp;creator=factset&amp;DYN_ARGS=TRUE&amp;DOC_NAME=FAT:FQL_AUDITING_CLIENT_TEMPLATE.FAT&amp;display_string=Audit&amp;VAR:KEY=XMXSLGTMJS&amp;VAR:QUERY=RkZfRUJJVERBX0lCKCdMVE1TJywzOTA1MSk=&amp;WINDOW=FIRST_POPUP&amp;HEIGHT=450&amp;WIDTH=450&amp;START_MA","XIMIZED=FALSE&amp;VAR:CALENDAR=US&amp;VAR:SYMBOL=37183T10&amp;VAR:INDEX=0"}</definedName>
    <definedName name="_4835__FDSAUDITLINK__" localSheetId="6" hidden="1">{"fdsup://directions/FAT Viewer?action=UPDATE&amp;creator=factset&amp;DYN_ARGS=TRUE&amp;DOC_NAME=FAT:FQL_AUDITING_CLIENT_TEMPLATE.FAT&amp;display_string=Audit&amp;VAR:KEY=RANKDGPAVQ&amp;VAR:QUERY=RkZfRUJJVERBX0lCKCdMVE1TJywzOTA1MCk=&amp;WINDOW=FIRST_POPUP&amp;HEIGHT=450&amp;WIDTH=450&amp;START_MA","XIMIZED=FALSE&amp;VAR:CALENDAR=US&amp;VAR:SYMBOL=37183T10&amp;VAR:INDEX=0"}</definedName>
    <definedName name="_4835__FDSAUDITLINK__" hidden="1">{"fdsup://directions/FAT Viewer?action=UPDATE&amp;creator=factset&amp;DYN_ARGS=TRUE&amp;DOC_NAME=FAT:FQL_AUDITING_CLIENT_TEMPLATE.FAT&amp;display_string=Audit&amp;VAR:KEY=RANKDGPAVQ&amp;VAR:QUERY=RkZfRUJJVERBX0lCKCdMVE1TJywzOTA1MCk=&amp;WINDOW=FIRST_POPUP&amp;HEIGHT=450&amp;WIDTH=450&amp;START_MA","XIMIZED=FALSE&amp;VAR:CALENDAR=US&amp;VAR:SYMBOL=37183T10&amp;VAR:INDEX=0"}</definedName>
    <definedName name="_4836__FDSAUDITLINK__" localSheetId="6" hidden="1">{"fdsup://directions/FAT Viewer?action=UPDATE&amp;creator=factset&amp;DYN_ARGS=TRUE&amp;DOC_NAME=FAT:FQL_AUDITING_CLIENT_TEMPLATE.FAT&amp;display_string=Audit&amp;VAR:KEY=NWZAJEDOZI&amp;VAR:QUERY=RkZfRUJJVERBX0lCKCdMVE1TJywzOTA0OSk=&amp;WINDOW=FIRST_POPUP&amp;HEIGHT=450&amp;WIDTH=450&amp;START_MA","XIMIZED=FALSE&amp;VAR:CALENDAR=US&amp;VAR:SYMBOL=37183T10&amp;VAR:INDEX=0"}</definedName>
    <definedName name="_4836__FDSAUDITLINK__" hidden="1">{"fdsup://directions/FAT Viewer?action=UPDATE&amp;creator=factset&amp;DYN_ARGS=TRUE&amp;DOC_NAME=FAT:FQL_AUDITING_CLIENT_TEMPLATE.FAT&amp;display_string=Audit&amp;VAR:KEY=NWZAJEDOZI&amp;VAR:QUERY=RkZfRUJJVERBX0lCKCdMVE1TJywzOTA0OSk=&amp;WINDOW=FIRST_POPUP&amp;HEIGHT=450&amp;WIDTH=450&amp;START_MA","XIMIZED=FALSE&amp;VAR:CALENDAR=US&amp;VAR:SYMBOL=37183T10&amp;VAR:INDEX=0"}</definedName>
    <definedName name="_4837__FDSAUDITLINK__" localSheetId="6" hidden="1">{"fdsup://directions/FAT Viewer?action=UPDATE&amp;creator=factset&amp;DYN_ARGS=TRUE&amp;DOC_NAME=FAT:FQL_AUDITING_CLIENT_TEMPLATE.FAT&amp;display_string=Audit&amp;VAR:KEY=JMLGDCFYPC&amp;VAR:QUERY=RkZfRUJJVERBX0lCKCdMVE1TJywzOTA0OCk=&amp;WINDOW=FIRST_POPUP&amp;HEIGHT=450&amp;WIDTH=450&amp;START_MA","XIMIZED=FALSE&amp;VAR:CALENDAR=US&amp;VAR:SYMBOL=37183T10&amp;VAR:INDEX=0"}</definedName>
    <definedName name="_4837__FDSAUDITLINK__" hidden="1">{"fdsup://directions/FAT Viewer?action=UPDATE&amp;creator=factset&amp;DYN_ARGS=TRUE&amp;DOC_NAME=FAT:FQL_AUDITING_CLIENT_TEMPLATE.FAT&amp;display_string=Audit&amp;VAR:KEY=JMLGDCFYPC&amp;VAR:QUERY=RkZfRUJJVERBX0lCKCdMVE1TJywzOTA0OCk=&amp;WINDOW=FIRST_POPUP&amp;HEIGHT=450&amp;WIDTH=450&amp;START_MA","XIMIZED=FALSE&amp;VAR:CALENDAR=US&amp;VAR:SYMBOL=37183T10&amp;VAR:INDEX=0"}</definedName>
    <definedName name="_4838__FDSAUDITLINK__" localSheetId="6" hidden="1">{"fdsup://directions/FAT Viewer?action=UPDATE&amp;creator=factset&amp;DYN_ARGS=TRUE&amp;DOC_NAME=FAT:FQL_AUDITING_CLIENT_TEMPLATE.FAT&amp;display_string=Audit&amp;VAR:KEY=TEHSZQNANG&amp;VAR:QUERY=RkZfRUJJVERBX0lCKCdMVE1TJywzOTA0Nyk=&amp;WINDOW=FIRST_POPUP&amp;HEIGHT=450&amp;WIDTH=450&amp;START_MA","XIMIZED=FALSE&amp;VAR:CALENDAR=US&amp;VAR:SYMBOL=37183T10&amp;VAR:INDEX=0"}</definedName>
    <definedName name="_4838__FDSAUDITLINK__" hidden="1">{"fdsup://directions/FAT Viewer?action=UPDATE&amp;creator=factset&amp;DYN_ARGS=TRUE&amp;DOC_NAME=FAT:FQL_AUDITING_CLIENT_TEMPLATE.FAT&amp;display_string=Audit&amp;VAR:KEY=TEHSZQNANG&amp;VAR:QUERY=RkZfRUJJVERBX0lCKCdMVE1TJywzOTA0Nyk=&amp;WINDOW=FIRST_POPUP&amp;HEIGHT=450&amp;WIDTH=450&amp;START_MA","XIMIZED=FALSE&amp;VAR:CALENDAR=US&amp;VAR:SYMBOL=37183T10&amp;VAR:INDEX=0"}</definedName>
    <definedName name="_4839__FDSAUDITLINK__" localSheetId="6" hidden="1">{"fdsup://directions/FAT Viewer?action=UPDATE&amp;creator=factset&amp;DYN_ARGS=TRUE&amp;DOC_NAME=FAT:FQL_AUDITING_CLIENT_TEMPLATE.FAT&amp;display_string=Audit&amp;VAR:KEY=BULCHETMTU&amp;VAR:QUERY=RkZfRUJJVERBX0lCKCdMVE1TJywzOTA0Nik=&amp;WINDOW=FIRST_POPUP&amp;HEIGHT=450&amp;WIDTH=450&amp;START_MA","XIMIZED=FALSE&amp;VAR:CALENDAR=US&amp;VAR:SYMBOL=37183T10&amp;VAR:INDEX=0"}</definedName>
    <definedName name="_4839__FDSAUDITLINK__" hidden="1">{"fdsup://directions/FAT Viewer?action=UPDATE&amp;creator=factset&amp;DYN_ARGS=TRUE&amp;DOC_NAME=FAT:FQL_AUDITING_CLIENT_TEMPLATE.FAT&amp;display_string=Audit&amp;VAR:KEY=BULCHETMTU&amp;VAR:QUERY=RkZfRUJJVERBX0lCKCdMVE1TJywzOTA0Nik=&amp;WINDOW=FIRST_POPUP&amp;HEIGHT=450&amp;WIDTH=450&amp;START_MA","XIMIZED=FALSE&amp;VAR:CALENDAR=US&amp;VAR:SYMBOL=37183T10&amp;VAR:INDEX=0"}</definedName>
    <definedName name="_484__FDSAUDITLINK__" localSheetId="6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4__FDSAUDITLINK__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40__FDSAUDITLINK__" localSheetId="6" hidden="1">{"fdsup://directions/FAT Viewer?action=UPDATE&amp;creator=factset&amp;DYN_ARGS=TRUE&amp;DOC_NAME=FAT:FQL_AUDITING_CLIENT_TEMPLATE.FAT&amp;display_string=Audit&amp;VAR:KEY=NYLKTKFGPS&amp;VAR:QUERY=RkZfRUJJVERBX0lCKCdMVE1TJywzOTA0NSk=&amp;WINDOW=FIRST_POPUP&amp;HEIGHT=450&amp;WIDTH=450&amp;START_MA","XIMIZED=FALSE&amp;VAR:CALENDAR=US&amp;VAR:SYMBOL=37183T10&amp;VAR:INDEX=0"}</definedName>
    <definedName name="_4840__FDSAUDITLINK__" hidden="1">{"fdsup://directions/FAT Viewer?action=UPDATE&amp;creator=factset&amp;DYN_ARGS=TRUE&amp;DOC_NAME=FAT:FQL_AUDITING_CLIENT_TEMPLATE.FAT&amp;display_string=Audit&amp;VAR:KEY=NYLKTKFGPS&amp;VAR:QUERY=RkZfRUJJVERBX0lCKCdMVE1TJywzOTA0NSk=&amp;WINDOW=FIRST_POPUP&amp;HEIGHT=450&amp;WIDTH=450&amp;START_MA","XIMIZED=FALSE&amp;VAR:CALENDAR=US&amp;VAR:SYMBOL=37183T10&amp;VAR:INDEX=0"}</definedName>
    <definedName name="_4841__FDSAUDITLINK__" localSheetId="6" hidden="1">{"fdsup://directions/FAT Viewer?action=UPDATE&amp;creator=factset&amp;DYN_ARGS=TRUE&amp;DOC_NAME=FAT:FQL_AUDITING_CLIENT_TEMPLATE.FAT&amp;display_string=Audit&amp;VAR:KEY=HIZSPSPYXE&amp;VAR:QUERY=RkZfRUJJVERBX0lCKCdMVE1TJywzOTA0NCk=&amp;WINDOW=FIRST_POPUP&amp;HEIGHT=450&amp;WIDTH=450&amp;START_MA","XIMIZED=FALSE&amp;VAR:CALENDAR=US&amp;VAR:SYMBOL=37183T10&amp;VAR:INDEX=0"}</definedName>
    <definedName name="_4841__FDSAUDITLINK__" hidden="1">{"fdsup://directions/FAT Viewer?action=UPDATE&amp;creator=factset&amp;DYN_ARGS=TRUE&amp;DOC_NAME=FAT:FQL_AUDITING_CLIENT_TEMPLATE.FAT&amp;display_string=Audit&amp;VAR:KEY=HIZSPSPYXE&amp;VAR:QUERY=RkZfRUJJVERBX0lCKCdMVE1TJywzOTA0NCk=&amp;WINDOW=FIRST_POPUP&amp;HEIGHT=450&amp;WIDTH=450&amp;START_MA","XIMIZED=FALSE&amp;VAR:CALENDAR=US&amp;VAR:SYMBOL=37183T10&amp;VAR:INDEX=0"}</definedName>
    <definedName name="_4842__FDSAUDITLINK__" localSheetId="6" hidden="1">{"fdsup://directions/FAT Viewer?action=UPDATE&amp;creator=factset&amp;DYN_ARGS=TRUE&amp;DOC_NAME=FAT:FQL_AUDITING_CLIENT_TEMPLATE.FAT&amp;display_string=Audit&amp;VAR:KEY=BKBWBQHEXO&amp;VAR:QUERY=RkZfRUJJVERBX0lCKCdMVE1TJywzOTA0Myk=&amp;WINDOW=FIRST_POPUP&amp;HEIGHT=450&amp;WIDTH=450&amp;START_MA","XIMIZED=FALSE&amp;VAR:CALENDAR=US&amp;VAR:SYMBOL=37183T10&amp;VAR:INDEX=0"}</definedName>
    <definedName name="_4842__FDSAUDITLINK__" hidden="1">{"fdsup://directions/FAT Viewer?action=UPDATE&amp;creator=factset&amp;DYN_ARGS=TRUE&amp;DOC_NAME=FAT:FQL_AUDITING_CLIENT_TEMPLATE.FAT&amp;display_string=Audit&amp;VAR:KEY=BKBWBQHEXO&amp;VAR:QUERY=RkZfRUJJVERBX0lCKCdMVE1TJywzOTA0Myk=&amp;WINDOW=FIRST_POPUP&amp;HEIGHT=450&amp;WIDTH=450&amp;START_MA","XIMIZED=FALSE&amp;VAR:CALENDAR=US&amp;VAR:SYMBOL=37183T10&amp;VAR:INDEX=0"}</definedName>
    <definedName name="_4843__FDSAUDITLINK__" localSheetId="6" hidden="1">{"fdsup://directions/FAT Viewer?action=UPDATE&amp;creator=factset&amp;DYN_ARGS=TRUE&amp;DOC_NAME=FAT:FQL_AUDITING_CLIENT_TEMPLATE.FAT&amp;display_string=Audit&amp;VAR:KEY=VINAVUVCRE&amp;VAR:QUERY=RkZfRUJJVERBX0lCKCdMVE1TJywzOTA0Mik=&amp;WINDOW=FIRST_POPUP&amp;HEIGHT=450&amp;WIDTH=450&amp;START_MA","XIMIZED=FALSE&amp;VAR:CALENDAR=US&amp;VAR:SYMBOL=37183T10&amp;VAR:INDEX=0"}</definedName>
    <definedName name="_4843__FDSAUDITLINK__" hidden="1">{"fdsup://directions/FAT Viewer?action=UPDATE&amp;creator=factset&amp;DYN_ARGS=TRUE&amp;DOC_NAME=FAT:FQL_AUDITING_CLIENT_TEMPLATE.FAT&amp;display_string=Audit&amp;VAR:KEY=VINAVUVCRE&amp;VAR:QUERY=RkZfRUJJVERBX0lCKCdMVE1TJywzOTA0Mik=&amp;WINDOW=FIRST_POPUP&amp;HEIGHT=450&amp;WIDTH=450&amp;START_MA","XIMIZED=FALSE&amp;VAR:CALENDAR=US&amp;VAR:SYMBOL=37183T10&amp;VAR:INDEX=0"}</definedName>
    <definedName name="_4844__FDSAUDITLINK__" localSheetId="6" hidden="1">{"fdsup://directions/FAT Viewer?action=UPDATE&amp;creator=factset&amp;DYN_ARGS=TRUE&amp;DOC_NAME=FAT:FQL_AUDITING_CLIENT_TEMPLATE.FAT&amp;display_string=Audit&amp;VAR:KEY=DEPCBYJOVG&amp;VAR:QUERY=RkZfRUJJVERBX0lCKCdMVE1TJywzOTA0MSk=&amp;WINDOW=FIRST_POPUP&amp;HEIGHT=450&amp;WIDTH=450&amp;START_MA","XIMIZED=FALSE&amp;VAR:CALENDAR=US&amp;VAR:SYMBOL=37183T10&amp;VAR:INDEX=0"}</definedName>
    <definedName name="_4844__FDSAUDITLINK__" hidden="1">{"fdsup://directions/FAT Viewer?action=UPDATE&amp;creator=factset&amp;DYN_ARGS=TRUE&amp;DOC_NAME=FAT:FQL_AUDITING_CLIENT_TEMPLATE.FAT&amp;display_string=Audit&amp;VAR:KEY=DEPCBYJOVG&amp;VAR:QUERY=RkZfRUJJVERBX0lCKCdMVE1TJywzOTA0MSk=&amp;WINDOW=FIRST_POPUP&amp;HEIGHT=450&amp;WIDTH=450&amp;START_MA","XIMIZED=FALSE&amp;VAR:CALENDAR=US&amp;VAR:SYMBOL=37183T10&amp;VAR:INDEX=0"}</definedName>
    <definedName name="_4845__FDSAUDITLINK__" localSheetId="6" hidden="1">{"fdsup://directions/FAT Viewer?action=UPDATE&amp;creator=factset&amp;DYN_ARGS=TRUE&amp;DOC_NAME=FAT:FQL_AUDITING_CLIENT_TEMPLATE.FAT&amp;display_string=Audit&amp;VAR:KEY=FCVKHMNUDS&amp;VAR:QUERY=RkZfRUJJVERBX0lCKCdMVE1TJywzOTA0MCk=&amp;WINDOW=FIRST_POPUP&amp;HEIGHT=450&amp;WIDTH=450&amp;START_MA","XIMIZED=FALSE&amp;VAR:CALENDAR=US&amp;VAR:SYMBOL=37183T10&amp;VAR:INDEX=0"}</definedName>
    <definedName name="_4845__FDSAUDITLINK__" hidden="1">{"fdsup://directions/FAT Viewer?action=UPDATE&amp;creator=factset&amp;DYN_ARGS=TRUE&amp;DOC_NAME=FAT:FQL_AUDITING_CLIENT_TEMPLATE.FAT&amp;display_string=Audit&amp;VAR:KEY=FCVKHMNUDS&amp;VAR:QUERY=RkZfRUJJVERBX0lCKCdMVE1TJywzOTA0MCk=&amp;WINDOW=FIRST_POPUP&amp;HEIGHT=450&amp;WIDTH=450&amp;START_MA","XIMIZED=FALSE&amp;VAR:CALENDAR=US&amp;VAR:SYMBOL=37183T10&amp;VAR:INDEX=0"}</definedName>
    <definedName name="_4846__FDSAUDITLINK__" localSheetId="6" hidden="1">{"fdsup://directions/FAT Viewer?action=UPDATE&amp;creator=factset&amp;DYN_ARGS=TRUE&amp;DOC_NAME=FAT:FQL_AUDITING_CLIENT_TEMPLATE.FAT&amp;display_string=Audit&amp;VAR:KEY=TGRYHKHIPS&amp;VAR:QUERY=RkZfRUJJVERBX0lCKCdMVE1TJywzOTAzOSk=&amp;WINDOW=FIRST_POPUP&amp;HEIGHT=450&amp;WIDTH=450&amp;START_MA","XIMIZED=FALSE&amp;VAR:CALENDAR=US&amp;VAR:SYMBOL=37183T10&amp;VAR:INDEX=0"}</definedName>
    <definedName name="_4846__FDSAUDITLINK__" hidden="1">{"fdsup://directions/FAT Viewer?action=UPDATE&amp;creator=factset&amp;DYN_ARGS=TRUE&amp;DOC_NAME=FAT:FQL_AUDITING_CLIENT_TEMPLATE.FAT&amp;display_string=Audit&amp;VAR:KEY=TGRYHKHIPS&amp;VAR:QUERY=RkZfRUJJVERBX0lCKCdMVE1TJywzOTAzOSk=&amp;WINDOW=FIRST_POPUP&amp;HEIGHT=450&amp;WIDTH=450&amp;START_MA","XIMIZED=FALSE&amp;VAR:CALENDAR=US&amp;VAR:SYMBOL=37183T10&amp;VAR:INDEX=0"}</definedName>
    <definedName name="_4847__FDSAUDITLINK__" localSheetId="6" hidden="1">{"fdsup://directions/FAT Viewer?action=UPDATE&amp;creator=factset&amp;DYN_ARGS=TRUE&amp;DOC_NAME=FAT:FQL_AUDITING_CLIENT_TEMPLATE.FAT&amp;display_string=Audit&amp;VAR:KEY=TCZYHCFQHC&amp;VAR:QUERY=RkZfRUJJVERBX0lCKCdMVE1TJywzOTAzOCk=&amp;WINDOW=FIRST_POPUP&amp;HEIGHT=450&amp;WIDTH=450&amp;START_MA","XIMIZED=FALSE&amp;VAR:CALENDAR=US&amp;VAR:SYMBOL=37183T10&amp;VAR:INDEX=0"}</definedName>
    <definedName name="_4847__FDSAUDITLINK__" hidden="1">{"fdsup://directions/FAT Viewer?action=UPDATE&amp;creator=factset&amp;DYN_ARGS=TRUE&amp;DOC_NAME=FAT:FQL_AUDITING_CLIENT_TEMPLATE.FAT&amp;display_string=Audit&amp;VAR:KEY=TCZYHCFQHC&amp;VAR:QUERY=RkZfRUJJVERBX0lCKCdMVE1TJywzOTAzOCk=&amp;WINDOW=FIRST_POPUP&amp;HEIGHT=450&amp;WIDTH=450&amp;START_MA","XIMIZED=FALSE&amp;VAR:CALENDAR=US&amp;VAR:SYMBOL=37183T10&amp;VAR:INDEX=0"}</definedName>
    <definedName name="_4848__FDSAUDITLINK__" localSheetId="6" hidden="1">{"fdsup://directions/FAT Viewer?action=UPDATE&amp;creator=factset&amp;DYN_ARGS=TRUE&amp;DOC_NAME=FAT:FQL_AUDITING_CLIENT_TEMPLATE.FAT&amp;display_string=Audit&amp;VAR:KEY=LMXWBUNINW&amp;VAR:QUERY=RkZfRUJJVERBX0lCKCdMVE1TJywzOTAzNyk=&amp;WINDOW=FIRST_POPUP&amp;HEIGHT=450&amp;WIDTH=450&amp;START_MA","XIMIZED=FALSE&amp;VAR:CALENDAR=US&amp;VAR:SYMBOL=37183T10&amp;VAR:INDEX=0"}</definedName>
    <definedName name="_4848__FDSAUDITLINK__" hidden="1">{"fdsup://directions/FAT Viewer?action=UPDATE&amp;creator=factset&amp;DYN_ARGS=TRUE&amp;DOC_NAME=FAT:FQL_AUDITING_CLIENT_TEMPLATE.FAT&amp;display_string=Audit&amp;VAR:KEY=LMXWBUNINW&amp;VAR:QUERY=RkZfRUJJVERBX0lCKCdMVE1TJywzOTAzNyk=&amp;WINDOW=FIRST_POPUP&amp;HEIGHT=450&amp;WIDTH=450&amp;START_MA","XIMIZED=FALSE&amp;VAR:CALENDAR=US&amp;VAR:SYMBOL=37183T10&amp;VAR:INDEX=0"}</definedName>
    <definedName name="_4849__FDSAUDITLINK__" localSheetId="6" hidden="1">{"fdsup://directions/FAT Viewer?action=UPDATE&amp;creator=factset&amp;DYN_ARGS=TRUE&amp;DOC_NAME=FAT:FQL_AUDITING_CLIENT_TEMPLATE.FAT&amp;display_string=Audit&amp;VAR:KEY=JAJKJQNGTS&amp;VAR:QUERY=RkZfRUJJVERBX0lCKCdMVE1TJywzOTAzNik=&amp;WINDOW=FIRST_POPUP&amp;HEIGHT=450&amp;WIDTH=450&amp;START_MA","XIMIZED=FALSE&amp;VAR:CALENDAR=US&amp;VAR:SYMBOL=37183T10&amp;VAR:INDEX=0"}</definedName>
    <definedName name="_4849__FDSAUDITLINK__" hidden="1">{"fdsup://directions/FAT Viewer?action=UPDATE&amp;creator=factset&amp;DYN_ARGS=TRUE&amp;DOC_NAME=FAT:FQL_AUDITING_CLIENT_TEMPLATE.FAT&amp;display_string=Audit&amp;VAR:KEY=JAJKJQNGTS&amp;VAR:QUERY=RkZfRUJJVERBX0lCKCdMVE1TJywzOTAzNik=&amp;WINDOW=FIRST_POPUP&amp;HEIGHT=450&amp;WIDTH=450&amp;START_MA","XIMIZED=FALSE&amp;VAR:CALENDAR=US&amp;VAR:SYMBOL=37183T10&amp;VAR:INDEX=0"}</definedName>
    <definedName name="_485__FDSAUDITLINK__" localSheetId="6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5__FDSAUDITLINK__" hidden="1">{"fdsup://directions/FAT%20Viewer?VAR:PED=LTM&amp;VAR:AUDIT_MODE=SUMMARY&amp;VAR:PERIOD=FIXED&amp;VAR:AUDIT_ID=00000117&amp;VAR:DATE=20081024&amp;action=UPDATE&amp;creator=factset&amp;DOC_NAME=FAT:FMA_audit_SUMMARY.fat&amp;DISPLAY_STRING=Display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50__FDSAUDITLINK__" localSheetId="6" hidden="1">{"fdsup://directions/FAT Viewer?action=UPDATE&amp;creator=factset&amp;DYN_ARGS=TRUE&amp;DOC_NAME=FAT:FQL_AUDITING_CLIENT_TEMPLATE.FAT&amp;display_string=Audit&amp;VAR:KEY=ZYDSTAZWZK&amp;VAR:QUERY=RkZfRUJJVERBX0lCKCdMVE1TJywzOTAzNSk=&amp;WINDOW=FIRST_POPUP&amp;HEIGHT=450&amp;WIDTH=450&amp;START_MA","XIMIZED=FALSE&amp;VAR:CALENDAR=US&amp;VAR:SYMBOL=37183T10&amp;VAR:INDEX=0"}</definedName>
    <definedName name="_4850__FDSAUDITLINK__" hidden="1">{"fdsup://directions/FAT Viewer?action=UPDATE&amp;creator=factset&amp;DYN_ARGS=TRUE&amp;DOC_NAME=FAT:FQL_AUDITING_CLIENT_TEMPLATE.FAT&amp;display_string=Audit&amp;VAR:KEY=ZYDSTAZWZK&amp;VAR:QUERY=RkZfRUJJVERBX0lCKCdMVE1TJywzOTAzNSk=&amp;WINDOW=FIRST_POPUP&amp;HEIGHT=450&amp;WIDTH=450&amp;START_MA","XIMIZED=FALSE&amp;VAR:CALENDAR=US&amp;VAR:SYMBOL=37183T10&amp;VAR:INDEX=0"}</definedName>
    <definedName name="_4851__FDSAUDITLINK__" localSheetId="6" hidden="1">{"fdsup://directions/FAT Viewer?action=UPDATE&amp;creator=factset&amp;DYN_ARGS=TRUE&amp;DOC_NAME=FAT:FQL_AUDITING_CLIENT_TEMPLATE.FAT&amp;display_string=Audit&amp;VAR:KEY=HKBCVCVGJW&amp;VAR:QUERY=RkZfRUJJVERBX0lCKCdMVE1TJywzOTAzNCk=&amp;WINDOW=FIRST_POPUP&amp;HEIGHT=450&amp;WIDTH=450&amp;START_MA","XIMIZED=FALSE&amp;VAR:CALENDAR=US&amp;VAR:SYMBOL=37183T10&amp;VAR:INDEX=0"}</definedName>
    <definedName name="_4851__FDSAUDITLINK__" hidden="1">{"fdsup://directions/FAT Viewer?action=UPDATE&amp;creator=factset&amp;DYN_ARGS=TRUE&amp;DOC_NAME=FAT:FQL_AUDITING_CLIENT_TEMPLATE.FAT&amp;display_string=Audit&amp;VAR:KEY=HKBCVCVGJW&amp;VAR:QUERY=RkZfRUJJVERBX0lCKCdMVE1TJywzOTAzNCk=&amp;WINDOW=FIRST_POPUP&amp;HEIGHT=450&amp;WIDTH=450&amp;START_MA","XIMIZED=FALSE&amp;VAR:CALENDAR=US&amp;VAR:SYMBOL=37183T10&amp;VAR:INDEX=0"}</definedName>
    <definedName name="_4852__FDSAUDITLINK__" localSheetId="6" hidden="1">{"fdsup://directions/FAT Viewer?action=UPDATE&amp;creator=factset&amp;DYN_ARGS=TRUE&amp;DOC_NAME=FAT:FQL_AUDITING_CLIENT_TEMPLATE.FAT&amp;display_string=Audit&amp;VAR:KEY=XKVWJWPOJS&amp;VAR:QUERY=RkZfRUJJVERBX0lCKCdMVE1TJywzOTAzMyk=&amp;WINDOW=FIRST_POPUP&amp;HEIGHT=450&amp;WIDTH=450&amp;START_MA","XIMIZED=FALSE&amp;VAR:CALENDAR=US&amp;VAR:SYMBOL=37183T10&amp;VAR:INDEX=0"}</definedName>
    <definedName name="_4852__FDSAUDITLINK__" hidden="1">{"fdsup://directions/FAT Viewer?action=UPDATE&amp;creator=factset&amp;DYN_ARGS=TRUE&amp;DOC_NAME=FAT:FQL_AUDITING_CLIENT_TEMPLATE.FAT&amp;display_string=Audit&amp;VAR:KEY=XKVWJWPOJS&amp;VAR:QUERY=RkZfRUJJVERBX0lCKCdMVE1TJywzOTAzMyk=&amp;WINDOW=FIRST_POPUP&amp;HEIGHT=450&amp;WIDTH=450&amp;START_MA","XIMIZED=FALSE&amp;VAR:CALENDAR=US&amp;VAR:SYMBOL=37183T10&amp;VAR:INDEX=0"}</definedName>
    <definedName name="_4853__FDSAUDITLINK__" localSheetId="6" hidden="1">{"fdsup://directions/FAT Viewer?action=UPDATE&amp;creator=factset&amp;DYN_ARGS=TRUE&amp;DOC_NAME=FAT:FQL_AUDITING_CLIENT_TEMPLATE.FAT&amp;display_string=Audit&amp;VAR:KEY=BQFOHWLIJS&amp;VAR:QUERY=RkZfRUJJVERBX0lCKCdMVE1TJywzOTAzMik=&amp;WINDOW=FIRST_POPUP&amp;HEIGHT=450&amp;WIDTH=450&amp;START_MA","XIMIZED=FALSE&amp;VAR:CALENDAR=US&amp;VAR:SYMBOL=37183T10&amp;VAR:INDEX=0"}</definedName>
    <definedName name="_4853__FDSAUDITLINK__" hidden="1">{"fdsup://directions/FAT Viewer?action=UPDATE&amp;creator=factset&amp;DYN_ARGS=TRUE&amp;DOC_NAME=FAT:FQL_AUDITING_CLIENT_TEMPLATE.FAT&amp;display_string=Audit&amp;VAR:KEY=BQFOHWLIJS&amp;VAR:QUERY=RkZfRUJJVERBX0lCKCdMVE1TJywzOTAzMik=&amp;WINDOW=FIRST_POPUP&amp;HEIGHT=450&amp;WIDTH=450&amp;START_MA","XIMIZED=FALSE&amp;VAR:CALENDAR=US&amp;VAR:SYMBOL=37183T10&amp;VAR:INDEX=0"}</definedName>
    <definedName name="_4854__FDSAUDITLINK__" localSheetId="6" hidden="1">{"fdsup://directions/FAT Viewer?action=UPDATE&amp;creator=factset&amp;DYN_ARGS=TRUE&amp;DOC_NAME=FAT:FQL_AUDITING_CLIENT_TEMPLATE.FAT&amp;display_string=Audit&amp;VAR:KEY=RCFEZSRGTG&amp;VAR:QUERY=RkZfRUJJVERBX0lCKCdMVE1TJywzOTAzMSk=&amp;WINDOW=FIRST_POPUP&amp;HEIGHT=450&amp;WIDTH=450&amp;START_MA","XIMIZED=FALSE&amp;VAR:CALENDAR=US&amp;VAR:SYMBOL=37183T10&amp;VAR:INDEX=0"}</definedName>
    <definedName name="_4854__FDSAUDITLINK__" hidden="1">{"fdsup://directions/FAT Viewer?action=UPDATE&amp;creator=factset&amp;DYN_ARGS=TRUE&amp;DOC_NAME=FAT:FQL_AUDITING_CLIENT_TEMPLATE.FAT&amp;display_string=Audit&amp;VAR:KEY=RCFEZSRGTG&amp;VAR:QUERY=RkZfRUJJVERBX0lCKCdMVE1TJywzOTAzMSk=&amp;WINDOW=FIRST_POPUP&amp;HEIGHT=450&amp;WIDTH=450&amp;START_MA","XIMIZED=FALSE&amp;VAR:CALENDAR=US&amp;VAR:SYMBOL=37183T10&amp;VAR:INDEX=0"}</definedName>
    <definedName name="_4855__FDSAUDITLINK__" localSheetId="6" hidden="1">{"fdsup://directions/FAT Viewer?action=UPDATE&amp;creator=factset&amp;DYN_ARGS=TRUE&amp;DOC_NAME=FAT:FQL_AUDITING_CLIENT_TEMPLATE.FAT&amp;display_string=Audit&amp;VAR:KEY=JMTCZUBQTO&amp;VAR:QUERY=RkZfRUJJVERBX0lCKCdMVE1TJywzOTAzMCk=&amp;WINDOW=FIRST_POPUP&amp;HEIGHT=450&amp;WIDTH=450&amp;START_MA","XIMIZED=FALSE&amp;VAR:CALENDAR=US&amp;VAR:SYMBOL=37183T10&amp;VAR:INDEX=0"}</definedName>
    <definedName name="_4855__FDSAUDITLINK__" hidden="1">{"fdsup://directions/FAT Viewer?action=UPDATE&amp;creator=factset&amp;DYN_ARGS=TRUE&amp;DOC_NAME=FAT:FQL_AUDITING_CLIENT_TEMPLATE.FAT&amp;display_string=Audit&amp;VAR:KEY=JMTCZUBQTO&amp;VAR:QUERY=RkZfRUJJVERBX0lCKCdMVE1TJywzOTAzMCk=&amp;WINDOW=FIRST_POPUP&amp;HEIGHT=450&amp;WIDTH=450&amp;START_MA","XIMIZED=FALSE&amp;VAR:CALENDAR=US&amp;VAR:SYMBOL=37183T10&amp;VAR:INDEX=0"}</definedName>
    <definedName name="_4856__FDSAUDITLINK__" localSheetId="6" hidden="1">{"fdsup://directions/FAT Viewer?action=UPDATE&amp;creator=factset&amp;DYN_ARGS=TRUE&amp;DOC_NAME=FAT:FQL_AUDITING_CLIENT_TEMPLATE.FAT&amp;display_string=Audit&amp;VAR:KEY=HOZADMNKBM&amp;VAR:QUERY=RkZfRUJJVERBX0lCKCdMVE1TJywzOTAyOSk=&amp;WINDOW=FIRST_POPUP&amp;HEIGHT=450&amp;WIDTH=450&amp;START_MA","XIMIZED=FALSE&amp;VAR:CALENDAR=US&amp;VAR:SYMBOL=37183T10&amp;VAR:INDEX=0"}</definedName>
    <definedName name="_4856__FDSAUDITLINK__" hidden="1">{"fdsup://directions/FAT Viewer?action=UPDATE&amp;creator=factset&amp;DYN_ARGS=TRUE&amp;DOC_NAME=FAT:FQL_AUDITING_CLIENT_TEMPLATE.FAT&amp;display_string=Audit&amp;VAR:KEY=HOZADMNKBM&amp;VAR:QUERY=RkZfRUJJVERBX0lCKCdMVE1TJywzOTAyOSk=&amp;WINDOW=FIRST_POPUP&amp;HEIGHT=450&amp;WIDTH=450&amp;START_MA","XIMIZED=FALSE&amp;VAR:CALENDAR=US&amp;VAR:SYMBOL=37183T10&amp;VAR:INDEX=0"}</definedName>
    <definedName name="_4857__FDSAUDITLINK__" localSheetId="6" hidden="1">{"fdsup://directions/FAT Viewer?action=UPDATE&amp;creator=factset&amp;DYN_ARGS=TRUE&amp;DOC_NAME=FAT:FQL_AUDITING_CLIENT_TEMPLATE.FAT&amp;display_string=Audit&amp;VAR:KEY=TKLKTENKLO&amp;VAR:QUERY=RkZfRUJJVERBX0lCKCdMVE1TJywzOTAyOCk=&amp;WINDOW=FIRST_POPUP&amp;HEIGHT=450&amp;WIDTH=450&amp;START_MA","XIMIZED=FALSE&amp;VAR:CALENDAR=US&amp;VAR:SYMBOL=37183T10&amp;VAR:INDEX=0"}</definedName>
    <definedName name="_4857__FDSAUDITLINK__" hidden="1">{"fdsup://directions/FAT Viewer?action=UPDATE&amp;creator=factset&amp;DYN_ARGS=TRUE&amp;DOC_NAME=FAT:FQL_AUDITING_CLIENT_TEMPLATE.FAT&amp;display_string=Audit&amp;VAR:KEY=TKLKTENKLO&amp;VAR:QUERY=RkZfRUJJVERBX0lCKCdMVE1TJywzOTAyOCk=&amp;WINDOW=FIRST_POPUP&amp;HEIGHT=450&amp;WIDTH=450&amp;START_MA","XIMIZED=FALSE&amp;VAR:CALENDAR=US&amp;VAR:SYMBOL=37183T10&amp;VAR:INDEX=0"}</definedName>
    <definedName name="_4858__FDSAUDITLINK__" localSheetId="6" hidden="1">{"fdsup://directions/FAT Viewer?action=UPDATE&amp;creator=factset&amp;DYN_ARGS=TRUE&amp;DOC_NAME=FAT:FQL_AUDITING_CLIENT_TEMPLATE.FAT&amp;display_string=Audit&amp;VAR:KEY=XODOTAXUBW&amp;VAR:QUERY=RkZfRUJJVERBX0lCKCdMVE1TJywzOTAyNyk=&amp;WINDOW=FIRST_POPUP&amp;HEIGHT=450&amp;WIDTH=450&amp;START_MA","XIMIZED=FALSE&amp;VAR:CALENDAR=US&amp;VAR:SYMBOL=37183T10&amp;VAR:INDEX=0"}</definedName>
    <definedName name="_4858__FDSAUDITLINK__" hidden="1">{"fdsup://directions/FAT Viewer?action=UPDATE&amp;creator=factset&amp;DYN_ARGS=TRUE&amp;DOC_NAME=FAT:FQL_AUDITING_CLIENT_TEMPLATE.FAT&amp;display_string=Audit&amp;VAR:KEY=XODOTAXUBW&amp;VAR:QUERY=RkZfRUJJVERBX0lCKCdMVE1TJywzOTAyNyk=&amp;WINDOW=FIRST_POPUP&amp;HEIGHT=450&amp;WIDTH=450&amp;START_MA","XIMIZED=FALSE&amp;VAR:CALENDAR=US&amp;VAR:SYMBOL=37183T10&amp;VAR:INDEX=0"}</definedName>
    <definedName name="_4859__FDSAUDITLINK__" localSheetId="6" hidden="1">{"fdsup://directions/FAT Viewer?action=UPDATE&amp;creator=factset&amp;DYN_ARGS=TRUE&amp;DOC_NAME=FAT:FQL_AUDITING_CLIENT_TEMPLATE.FAT&amp;display_string=Audit&amp;VAR:KEY=HQTEFCVADG&amp;VAR:QUERY=RkZfRUJJVERBX0lCKCdMVE1TJywzOTAyNik=&amp;WINDOW=FIRST_POPUP&amp;HEIGHT=450&amp;WIDTH=450&amp;START_MA","XIMIZED=FALSE&amp;VAR:CALENDAR=US&amp;VAR:SYMBOL=37183T10&amp;VAR:INDEX=0"}</definedName>
    <definedName name="_4859__FDSAUDITLINK__" hidden="1">{"fdsup://directions/FAT Viewer?action=UPDATE&amp;creator=factset&amp;DYN_ARGS=TRUE&amp;DOC_NAME=FAT:FQL_AUDITING_CLIENT_TEMPLATE.FAT&amp;display_string=Audit&amp;VAR:KEY=HQTEFCVADG&amp;VAR:QUERY=RkZfRUJJVERBX0lCKCdMVE1TJywzOTAyNik=&amp;WINDOW=FIRST_POPUP&amp;HEIGHT=450&amp;WIDTH=450&amp;START_MA","XIMIZED=FALSE&amp;VAR:CALENDAR=US&amp;VAR:SYMBOL=37183T10&amp;VAR:INDEX=0"}</definedName>
    <definedName name="_486__FDSAUDITLINK__" localSheetId="6" hidden="1">{"fdsup://directions/FAT%20Viewer?VAR:PED=LTM&amp;VAR:AUDIT_MODE=SUMMARY&amp;VAR:PERIOD=FIXED&amp;VAR:AUDIT_ID=00000117&amp;VAR:DATE=20081023&amp;action=UPDATE&amp;creator=factset&amp;DOC_NAME=FAT:FMA_audit_SUMMARY.fat&amp;DISPLAY_STRING=Display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6__FDSAUDITLINK__" hidden="1">{"fdsup://directions/FAT%20Viewer?VAR:PED=LTM&amp;VAR:AUDIT_MODE=SUMMARY&amp;VAR:PERIOD=FIXED&amp;VAR:AUDIT_ID=00000117&amp;VAR:DATE=20081023&amp;action=UPDATE&amp;creator=factset&amp;DOC_NAME=FAT:FMA_audit_SUMMARY.fat&amp;DISPLAY_STRING=Display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60__FDSAUDITLINK__" localSheetId="6" hidden="1">{"fdsup://directions/FAT Viewer?action=UPDATE&amp;creator=factset&amp;DYN_ARGS=TRUE&amp;DOC_NAME=FAT:FQL_AUDITING_CLIENT_TEMPLATE.FAT&amp;display_string=Audit&amp;VAR:KEY=LKFQPUPCLC&amp;VAR:QUERY=RkZfRUJJVERBX0lCKCdMVE1TJywzOTAyNSk=&amp;WINDOW=FIRST_POPUP&amp;HEIGHT=450&amp;WIDTH=450&amp;START_MA","XIMIZED=FALSE&amp;VAR:CALENDAR=US&amp;VAR:SYMBOL=37183T10&amp;VAR:INDEX=0"}</definedName>
    <definedName name="_4860__FDSAUDITLINK__" hidden="1">{"fdsup://directions/FAT Viewer?action=UPDATE&amp;creator=factset&amp;DYN_ARGS=TRUE&amp;DOC_NAME=FAT:FQL_AUDITING_CLIENT_TEMPLATE.FAT&amp;display_string=Audit&amp;VAR:KEY=LKFQPUPCLC&amp;VAR:QUERY=RkZfRUJJVERBX0lCKCdMVE1TJywzOTAyNSk=&amp;WINDOW=FIRST_POPUP&amp;HEIGHT=450&amp;WIDTH=450&amp;START_MA","XIMIZED=FALSE&amp;VAR:CALENDAR=US&amp;VAR:SYMBOL=37183T10&amp;VAR:INDEX=0"}</definedName>
    <definedName name="_4861__FDSAUDITLINK__" localSheetId="6" hidden="1">{"fdsup://directions/FAT Viewer?action=UPDATE&amp;creator=factset&amp;DYN_ARGS=TRUE&amp;DOC_NAME=FAT:FQL_AUDITING_CLIENT_TEMPLATE.FAT&amp;display_string=Audit&amp;VAR:KEY=LATMNYVYNS&amp;VAR:QUERY=RkZfRUJJVERBX0lCKCdMVE1TJywzOTAyNCk=&amp;WINDOW=FIRST_POPUP&amp;HEIGHT=450&amp;WIDTH=450&amp;START_MA","XIMIZED=FALSE&amp;VAR:CALENDAR=US&amp;VAR:SYMBOL=37183T10&amp;VAR:INDEX=0"}</definedName>
    <definedName name="_4861__FDSAUDITLINK__" hidden="1">{"fdsup://directions/FAT Viewer?action=UPDATE&amp;creator=factset&amp;DYN_ARGS=TRUE&amp;DOC_NAME=FAT:FQL_AUDITING_CLIENT_TEMPLATE.FAT&amp;display_string=Audit&amp;VAR:KEY=LATMNYVYNS&amp;VAR:QUERY=RkZfRUJJVERBX0lCKCdMVE1TJywzOTAyNCk=&amp;WINDOW=FIRST_POPUP&amp;HEIGHT=450&amp;WIDTH=450&amp;START_MA","XIMIZED=FALSE&amp;VAR:CALENDAR=US&amp;VAR:SYMBOL=37183T10&amp;VAR:INDEX=0"}</definedName>
    <definedName name="_4862__FDSAUDITLINK__" localSheetId="6" hidden="1">{"fdsup://directions/FAT Viewer?action=UPDATE&amp;creator=factset&amp;DYN_ARGS=TRUE&amp;DOC_NAME=FAT:FQL_AUDITING_CLIENT_TEMPLATE.FAT&amp;display_string=Audit&amp;VAR:KEY=ZUPANKDSDO&amp;VAR:QUERY=RkZfRUJJVERBX0lCKCdMVE1TJywzOTAyMyk=&amp;WINDOW=FIRST_POPUP&amp;HEIGHT=450&amp;WIDTH=450&amp;START_MA","XIMIZED=FALSE&amp;VAR:CALENDAR=US&amp;VAR:SYMBOL=37183T10&amp;VAR:INDEX=0"}</definedName>
    <definedName name="_4862__FDSAUDITLINK__" hidden="1">{"fdsup://directions/FAT Viewer?action=UPDATE&amp;creator=factset&amp;DYN_ARGS=TRUE&amp;DOC_NAME=FAT:FQL_AUDITING_CLIENT_TEMPLATE.FAT&amp;display_string=Audit&amp;VAR:KEY=ZUPANKDSDO&amp;VAR:QUERY=RkZfRUJJVERBX0lCKCdMVE1TJywzOTAyMyk=&amp;WINDOW=FIRST_POPUP&amp;HEIGHT=450&amp;WIDTH=450&amp;START_MA","XIMIZED=FALSE&amp;VAR:CALENDAR=US&amp;VAR:SYMBOL=37183T10&amp;VAR:INDEX=0"}</definedName>
    <definedName name="_4863__FDSAUDITLINK__" localSheetId="6" hidden="1">{"fdsup://directions/FAT Viewer?action=UPDATE&amp;creator=factset&amp;DYN_ARGS=TRUE&amp;DOC_NAME=FAT:FQL_AUDITING_CLIENT_TEMPLATE.FAT&amp;display_string=Audit&amp;VAR:KEY=LUDCJAPGTI&amp;VAR:QUERY=RkZfRUJJVERBX0lCKCdMVE1TJywzOTAyMik=&amp;WINDOW=FIRST_POPUP&amp;HEIGHT=450&amp;WIDTH=450&amp;START_MA","XIMIZED=FALSE&amp;VAR:CALENDAR=US&amp;VAR:SYMBOL=37183T10&amp;VAR:INDEX=0"}</definedName>
    <definedName name="_4863__FDSAUDITLINK__" hidden="1">{"fdsup://directions/FAT Viewer?action=UPDATE&amp;creator=factset&amp;DYN_ARGS=TRUE&amp;DOC_NAME=FAT:FQL_AUDITING_CLIENT_TEMPLATE.FAT&amp;display_string=Audit&amp;VAR:KEY=LUDCJAPGTI&amp;VAR:QUERY=RkZfRUJJVERBX0lCKCdMVE1TJywzOTAyMik=&amp;WINDOW=FIRST_POPUP&amp;HEIGHT=450&amp;WIDTH=450&amp;START_MA","XIMIZED=FALSE&amp;VAR:CALENDAR=US&amp;VAR:SYMBOL=37183T10&amp;VAR:INDEX=0"}</definedName>
    <definedName name="_4864__FDSAUDITLINK__" localSheetId="6" hidden="1">{"fdsup://directions/FAT Viewer?action=UPDATE&amp;creator=factset&amp;DYN_ARGS=TRUE&amp;DOC_NAME=FAT:FQL_AUDITING_CLIENT_TEMPLATE.FAT&amp;display_string=Audit&amp;VAR:KEY=DKRGJORMZY&amp;VAR:QUERY=RkZfRUJJVERBX0lCKCdMVE1TJywzOTAyMSk=&amp;WINDOW=FIRST_POPUP&amp;HEIGHT=450&amp;WIDTH=450&amp;START_MA","XIMIZED=FALSE&amp;VAR:CALENDAR=US&amp;VAR:SYMBOL=37183T10&amp;VAR:INDEX=0"}</definedName>
    <definedName name="_4864__FDSAUDITLINK__" hidden="1">{"fdsup://directions/FAT Viewer?action=UPDATE&amp;creator=factset&amp;DYN_ARGS=TRUE&amp;DOC_NAME=FAT:FQL_AUDITING_CLIENT_TEMPLATE.FAT&amp;display_string=Audit&amp;VAR:KEY=DKRGJORMZY&amp;VAR:QUERY=RkZfRUJJVERBX0lCKCdMVE1TJywzOTAyMSk=&amp;WINDOW=FIRST_POPUP&amp;HEIGHT=450&amp;WIDTH=450&amp;START_MA","XIMIZED=FALSE&amp;VAR:CALENDAR=US&amp;VAR:SYMBOL=37183T10&amp;VAR:INDEX=0"}</definedName>
    <definedName name="_4865__FDSAUDITLINK__" localSheetId="6" hidden="1">{"fdsup://directions/FAT Viewer?action=UPDATE&amp;creator=factset&amp;DYN_ARGS=TRUE&amp;DOC_NAME=FAT:FQL_AUDITING_CLIENT_TEMPLATE.FAT&amp;display_string=Audit&amp;VAR:KEY=HSZWVQBUTE&amp;VAR:QUERY=RkZfRUJJVERBX0lCKCdMVE1TJywzOTAyMCk=&amp;WINDOW=FIRST_POPUP&amp;HEIGHT=450&amp;WIDTH=450&amp;START_MA","XIMIZED=FALSE&amp;VAR:CALENDAR=US&amp;VAR:SYMBOL=37183T10&amp;VAR:INDEX=0"}</definedName>
    <definedName name="_4865__FDSAUDITLINK__" hidden="1">{"fdsup://directions/FAT Viewer?action=UPDATE&amp;creator=factset&amp;DYN_ARGS=TRUE&amp;DOC_NAME=FAT:FQL_AUDITING_CLIENT_TEMPLATE.FAT&amp;display_string=Audit&amp;VAR:KEY=HSZWVQBUTE&amp;VAR:QUERY=RkZfRUJJVERBX0lCKCdMVE1TJywzOTAyMCk=&amp;WINDOW=FIRST_POPUP&amp;HEIGHT=450&amp;WIDTH=450&amp;START_MA","XIMIZED=FALSE&amp;VAR:CALENDAR=US&amp;VAR:SYMBOL=37183T10&amp;VAR:INDEX=0"}</definedName>
    <definedName name="_4866__FDSAUDITLINK__" localSheetId="6" hidden="1">{"fdsup://directions/FAT Viewer?action=UPDATE&amp;creator=factset&amp;DYN_ARGS=TRUE&amp;DOC_NAME=FAT:FQL_AUDITING_CLIENT_TEMPLATE.FAT&amp;display_string=Audit&amp;VAR:KEY=HSZQRSTSJK&amp;VAR:QUERY=RkZfRUJJVERBX0lCKCdMVE1TJywzOTAxOSk=&amp;WINDOW=FIRST_POPUP&amp;HEIGHT=450&amp;WIDTH=450&amp;START_MA","XIMIZED=FALSE&amp;VAR:CALENDAR=US&amp;VAR:SYMBOL=37183T10&amp;VAR:INDEX=0"}</definedName>
    <definedName name="_4866__FDSAUDITLINK__" hidden="1">{"fdsup://directions/FAT Viewer?action=UPDATE&amp;creator=factset&amp;DYN_ARGS=TRUE&amp;DOC_NAME=FAT:FQL_AUDITING_CLIENT_TEMPLATE.FAT&amp;display_string=Audit&amp;VAR:KEY=HSZQRSTSJK&amp;VAR:QUERY=RkZfRUJJVERBX0lCKCdMVE1TJywzOTAxOSk=&amp;WINDOW=FIRST_POPUP&amp;HEIGHT=450&amp;WIDTH=450&amp;START_MA","XIMIZED=FALSE&amp;VAR:CALENDAR=US&amp;VAR:SYMBOL=37183T10&amp;VAR:INDEX=0"}</definedName>
    <definedName name="_4867__FDSAUDITLINK__" localSheetId="6" hidden="1">{"fdsup://directions/FAT Viewer?action=UPDATE&amp;creator=factset&amp;DYN_ARGS=TRUE&amp;DOC_NAME=FAT:FQL_AUDITING_CLIENT_TEMPLATE.FAT&amp;display_string=Audit&amp;VAR:KEY=BQZGVSBCJI&amp;VAR:QUERY=RkZfRUJJVERBX0lCKCdMVE1TJywzOTAxOCk=&amp;WINDOW=FIRST_POPUP&amp;HEIGHT=450&amp;WIDTH=450&amp;START_MA","XIMIZED=FALSE&amp;VAR:CALENDAR=US&amp;VAR:SYMBOL=37183T10&amp;VAR:INDEX=0"}</definedName>
    <definedName name="_4867__FDSAUDITLINK__" hidden="1">{"fdsup://directions/FAT Viewer?action=UPDATE&amp;creator=factset&amp;DYN_ARGS=TRUE&amp;DOC_NAME=FAT:FQL_AUDITING_CLIENT_TEMPLATE.FAT&amp;display_string=Audit&amp;VAR:KEY=BQZGVSBCJI&amp;VAR:QUERY=RkZfRUJJVERBX0lCKCdMVE1TJywzOTAxOCk=&amp;WINDOW=FIRST_POPUP&amp;HEIGHT=450&amp;WIDTH=450&amp;START_MA","XIMIZED=FALSE&amp;VAR:CALENDAR=US&amp;VAR:SYMBOL=37183T10&amp;VAR:INDEX=0"}</definedName>
    <definedName name="_4868__FDSAUDITLINK__" localSheetId="6" hidden="1">{"fdsup://directions/FAT Viewer?action=UPDATE&amp;creator=factset&amp;DYN_ARGS=TRUE&amp;DOC_NAME=FAT:FQL_AUDITING_CLIENT_TEMPLATE.FAT&amp;display_string=Audit&amp;VAR:KEY=JUHQTAZYZE&amp;VAR:QUERY=RkZfRUJJVERBX0lCKCdMVE1TJywzOTAxNyk=&amp;WINDOW=FIRST_POPUP&amp;HEIGHT=450&amp;WIDTH=450&amp;START_MA","XIMIZED=FALSE&amp;VAR:CALENDAR=US&amp;VAR:SYMBOL=37183T10&amp;VAR:INDEX=0"}</definedName>
    <definedName name="_4868__FDSAUDITLINK__" hidden="1">{"fdsup://directions/FAT Viewer?action=UPDATE&amp;creator=factset&amp;DYN_ARGS=TRUE&amp;DOC_NAME=FAT:FQL_AUDITING_CLIENT_TEMPLATE.FAT&amp;display_string=Audit&amp;VAR:KEY=JUHQTAZYZE&amp;VAR:QUERY=RkZfRUJJVERBX0lCKCdMVE1TJywzOTAxNyk=&amp;WINDOW=FIRST_POPUP&amp;HEIGHT=450&amp;WIDTH=450&amp;START_MA","XIMIZED=FALSE&amp;VAR:CALENDAR=US&amp;VAR:SYMBOL=37183T10&amp;VAR:INDEX=0"}</definedName>
    <definedName name="_4869__FDSAUDITLINK__" localSheetId="6" hidden="1">{"fdsup://directions/FAT Viewer?action=UPDATE&amp;creator=factset&amp;DYN_ARGS=TRUE&amp;DOC_NAME=FAT:FQL_AUDITING_CLIENT_TEMPLATE.FAT&amp;display_string=Audit&amp;VAR:KEY=HOHMVEXMTW&amp;VAR:QUERY=RkZfRUJJVERBX0lCKCdMVE1TJywzOTAxNik=&amp;WINDOW=FIRST_POPUP&amp;HEIGHT=450&amp;WIDTH=450&amp;START_MA","XIMIZED=FALSE&amp;VAR:CALENDAR=US&amp;VAR:SYMBOL=37183T10&amp;VAR:INDEX=0"}</definedName>
    <definedName name="_4869__FDSAUDITLINK__" hidden="1">{"fdsup://directions/FAT Viewer?action=UPDATE&amp;creator=factset&amp;DYN_ARGS=TRUE&amp;DOC_NAME=FAT:FQL_AUDITING_CLIENT_TEMPLATE.FAT&amp;display_string=Audit&amp;VAR:KEY=HOHMVEXMTW&amp;VAR:QUERY=RkZfRUJJVERBX0lCKCdMVE1TJywzOTAxNik=&amp;WINDOW=FIRST_POPUP&amp;HEIGHT=450&amp;WIDTH=450&amp;START_MA","XIMIZED=FALSE&amp;VAR:CALENDAR=US&amp;VAR:SYMBOL=37183T10&amp;VAR:INDEX=0"}</definedName>
    <definedName name="_487__FDSAUDITLINK__" localSheetId="6" hidden="1">{"fdsup://directions/FAT%20Viewer?VAR:PED=LTM&amp;VAR:AUDIT_MODE=SUMMARY&amp;VAR:PERIOD=FIXED&amp;VAR:AUDIT_ID=00000117&amp;VAR:DATE=20081022&amp;action=UPDATE&amp;creator=factset&amp;DOC_NAME=FAT:FMA_audit_SUMMARY.fat&amp;DISPLAY_STRING=Display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7__FDSAUDITLINK__" hidden="1">{"fdsup://directions/FAT%20Viewer?VAR:PED=LTM&amp;VAR:AUDIT_MODE=SUMMARY&amp;VAR:PERIOD=FIXED&amp;VAR:AUDIT_ID=00000117&amp;VAR:DATE=20081022&amp;action=UPDATE&amp;creator=factset&amp;DOC_NAME=FAT:FMA_audit_SUMMARY.fat&amp;DISPLAY_STRING=Display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70__FDSAUDITLINK__" localSheetId="6" hidden="1">{"fdsup://directions/FAT Viewer?action=UPDATE&amp;creator=factset&amp;DYN_ARGS=TRUE&amp;DOC_NAME=FAT:FQL_AUDITING_CLIENT_TEMPLATE.FAT&amp;display_string=Audit&amp;VAR:KEY=BKFWZCHMTQ&amp;VAR:QUERY=RkZfRUJJVERBX0lCKCdMVE1TJywzOTAxNSk=&amp;WINDOW=FIRST_POPUP&amp;HEIGHT=450&amp;WIDTH=450&amp;START_MA","XIMIZED=FALSE&amp;VAR:CALENDAR=US&amp;VAR:SYMBOL=37183T10&amp;VAR:INDEX=0"}</definedName>
    <definedName name="_4870__FDSAUDITLINK__" hidden="1">{"fdsup://directions/FAT Viewer?action=UPDATE&amp;creator=factset&amp;DYN_ARGS=TRUE&amp;DOC_NAME=FAT:FQL_AUDITING_CLIENT_TEMPLATE.FAT&amp;display_string=Audit&amp;VAR:KEY=BKFWZCHMTQ&amp;VAR:QUERY=RkZfRUJJVERBX0lCKCdMVE1TJywzOTAxNSk=&amp;WINDOW=FIRST_POPUP&amp;HEIGHT=450&amp;WIDTH=450&amp;START_MA","XIMIZED=FALSE&amp;VAR:CALENDAR=US&amp;VAR:SYMBOL=37183T10&amp;VAR:INDEX=0"}</definedName>
    <definedName name="_4871__FDSAUDITLINK__" localSheetId="6" hidden="1">{"fdsup://directions/FAT Viewer?action=UPDATE&amp;creator=factset&amp;DYN_ARGS=TRUE&amp;DOC_NAME=FAT:FQL_AUDITING_CLIENT_TEMPLATE.FAT&amp;display_string=Audit&amp;VAR:KEY=JCRWVSRQJM&amp;VAR:QUERY=RkZfRUJJVERBX0lCKCdMVE1TJywzOTAxNCk=&amp;WINDOW=FIRST_POPUP&amp;HEIGHT=450&amp;WIDTH=450&amp;START_MA","XIMIZED=FALSE&amp;VAR:CALENDAR=US&amp;VAR:SYMBOL=37183T10&amp;VAR:INDEX=0"}</definedName>
    <definedName name="_4871__FDSAUDITLINK__" hidden="1">{"fdsup://directions/FAT Viewer?action=UPDATE&amp;creator=factset&amp;DYN_ARGS=TRUE&amp;DOC_NAME=FAT:FQL_AUDITING_CLIENT_TEMPLATE.FAT&amp;display_string=Audit&amp;VAR:KEY=JCRWVSRQJM&amp;VAR:QUERY=RkZfRUJJVERBX0lCKCdMVE1TJywzOTAxNCk=&amp;WINDOW=FIRST_POPUP&amp;HEIGHT=450&amp;WIDTH=450&amp;START_MA","XIMIZED=FALSE&amp;VAR:CALENDAR=US&amp;VAR:SYMBOL=37183T10&amp;VAR:INDEX=0"}</definedName>
    <definedName name="_4872__FDSAUDITLINK__" localSheetId="6" hidden="1">{"fdsup://directions/FAT Viewer?action=UPDATE&amp;creator=factset&amp;DYN_ARGS=TRUE&amp;DOC_NAME=FAT:FQL_AUDITING_CLIENT_TEMPLATE.FAT&amp;display_string=Audit&amp;VAR:KEY=FKXYTEHUJO&amp;VAR:QUERY=RkZfRUJJVERBX0lCKCdMVE1TJywzOTAxMyk=&amp;WINDOW=FIRST_POPUP&amp;HEIGHT=450&amp;WIDTH=450&amp;START_MA","XIMIZED=FALSE&amp;VAR:CALENDAR=US&amp;VAR:SYMBOL=37183T10&amp;VAR:INDEX=0"}</definedName>
    <definedName name="_4872__FDSAUDITLINK__" hidden="1">{"fdsup://directions/FAT Viewer?action=UPDATE&amp;creator=factset&amp;DYN_ARGS=TRUE&amp;DOC_NAME=FAT:FQL_AUDITING_CLIENT_TEMPLATE.FAT&amp;display_string=Audit&amp;VAR:KEY=FKXYTEHUJO&amp;VAR:QUERY=RkZfRUJJVERBX0lCKCdMVE1TJywzOTAxMyk=&amp;WINDOW=FIRST_POPUP&amp;HEIGHT=450&amp;WIDTH=450&amp;START_MA","XIMIZED=FALSE&amp;VAR:CALENDAR=US&amp;VAR:SYMBOL=37183T10&amp;VAR:INDEX=0"}</definedName>
    <definedName name="_4873__FDSAUDITLINK__" localSheetId="6" hidden="1">{"fdsup://directions/FAT Viewer?action=UPDATE&amp;creator=factset&amp;DYN_ARGS=TRUE&amp;DOC_NAME=FAT:FQL_AUDITING_CLIENT_TEMPLATE.FAT&amp;display_string=Audit&amp;VAR:KEY=LKNELYHABK&amp;VAR:QUERY=RkZfRUJJVERBX0lCKCdMVE1TJywzOTAxMik=&amp;WINDOW=FIRST_POPUP&amp;HEIGHT=450&amp;WIDTH=450&amp;START_MA","XIMIZED=FALSE&amp;VAR:CALENDAR=US&amp;VAR:SYMBOL=37183T10&amp;VAR:INDEX=0"}</definedName>
    <definedName name="_4873__FDSAUDITLINK__" hidden="1">{"fdsup://directions/FAT Viewer?action=UPDATE&amp;creator=factset&amp;DYN_ARGS=TRUE&amp;DOC_NAME=FAT:FQL_AUDITING_CLIENT_TEMPLATE.FAT&amp;display_string=Audit&amp;VAR:KEY=LKNELYHABK&amp;VAR:QUERY=RkZfRUJJVERBX0lCKCdMVE1TJywzOTAxMik=&amp;WINDOW=FIRST_POPUP&amp;HEIGHT=450&amp;WIDTH=450&amp;START_MA","XIMIZED=FALSE&amp;VAR:CALENDAR=US&amp;VAR:SYMBOL=37183T10&amp;VAR:INDEX=0"}</definedName>
    <definedName name="_4874__FDSAUDITLINK__" localSheetId="6" hidden="1">{"fdsup://directions/FAT Viewer?action=UPDATE&amp;creator=factset&amp;DYN_ARGS=TRUE&amp;DOC_NAME=FAT:FQL_AUDITING_CLIENT_TEMPLATE.FAT&amp;display_string=Audit&amp;VAR:KEY=ZQTADKTGLI&amp;VAR:QUERY=RkZfRUJJVERBX0lCKCdMVE1TJywzOTAxMSk=&amp;WINDOW=FIRST_POPUP&amp;HEIGHT=450&amp;WIDTH=450&amp;START_MA","XIMIZED=FALSE&amp;VAR:CALENDAR=US&amp;VAR:SYMBOL=37183T10&amp;VAR:INDEX=0"}</definedName>
    <definedName name="_4874__FDSAUDITLINK__" hidden="1">{"fdsup://directions/FAT Viewer?action=UPDATE&amp;creator=factset&amp;DYN_ARGS=TRUE&amp;DOC_NAME=FAT:FQL_AUDITING_CLIENT_TEMPLATE.FAT&amp;display_string=Audit&amp;VAR:KEY=ZQTADKTGLI&amp;VAR:QUERY=RkZfRUJJVERBX0lCKCdMVE1TJywzOTAxMSk=&amp;WINDOW=FIRST_POPUP&amp;HEIGHT=450&amp;WIDTH=450&amp;START_MA","XIMIZED=FALSE&amp;VAR:CALENDAR=US&amp;VAR:SYMBOL=37183T10&amp;VAR:INDEX=0"}</definedName>
    <definedName name="_4875__FDSAUDITLINK__" localSheetId="6" hidden="1">{"fdsup://directions/FAT Viewer?action=UPDATE&amp;creator=factset&amp;DYN_ARGS=TRUE&amp;DOC_NAME=FAT:FQL_AUDITING_CLIENT_TEMPLATE.FAT&amp;display_string=Audit&amp;VAR:KEY=LKJCLSJAJY&amp;VAR:QUERY=RkZfRUJJVERBX0lCKCdMVE1TJywzOTAxMCk=&amp;WINDOW=FIRST_POPUP&amp;HEIGHT=450&amp;WIDTH=450&amp;START_MA","XIMIZED=FALSE&amp;VAR:CALENDAR=US&amp;VAR:SYMBOL=37183T10&amp;VAR:INDEX=0"}</definedName>
    <definedName name="_4875__FDSAUDITLINK__" hidden="1">{"fdsup://directions/FAT Viewer?action=UPDATE&amp;creator=factset&amp;DYN_ARGS=TRUE&amp;DOC_NAME=FAT:FQL_AUDITING_CLIENT_TEMPLATE.FAT&amp;display_string=Audit&amp;VAR:KEY=LKJCLSJAJY&amp;VAR:QUERY=RkZfRUJJVERBX0lCKCdMVE1TJywzOTAxMCk=&amp;WINDOW=FIRST_POPUP&amp;HEIGHT=450&amp;WIDTH=450&amp;START_MA","XIMIZED=FALSE&amp;VAR:CALENDAR=US&amp;VAR:SYMBOL=37183T10&amp;VAR:INDEX=0"}</definedName>
    <definedName name="_4876__FDSAUDITLINK__" localSheetId="6" hidden="1">{"fdsup://directions/FAT Viewer?action=UPDATE&amp;creator=factset&amp;DYN_ARGS=TRUE&amp;DOC_NAME=FAT:FQL_AUDITING_CLIENT_TEMPLATE.FAT&amp;display_string=Audit&amp;VAR:KEY=REZKHADMLW&amp;VAR:QUERY=RkZfRUJJVERBX0lCKCdMVE1TJywzOTAwOSk=&amp;WINDOW=FIRST_POPUP&amp;HEIGHT=450&amp;WIDTH=450&amp;START_MA","XIMIZED=FALSE&amp;VAR:CALENDAR=US&amp;VAR:SYMBOL=37183T10&amp;VAR:INDEX=0"}</definedName>
    <definedName name="_4876__FDSAUDITLINK__" hidden="1">{"fdsup://directions/FAT Viewer?action=UPDATE&amp;creator=factset&amp;DYN_ARGS=TRUE&amp;DOC_NAME=FAT:FQL_AUDITING_CLIENT_TEMPLATE.FAT&amp;display_string=Audit&amp;VAR:KEY=REZKHADMLW&amp;VAR:QUERY=RkZfRUJJVERBX0lCKCdMVE1TJywzOTAwOSk=&amp;WINDOW=FIRST_POPUP&amp;HEIGHT=450&amp;WIDTH=450&amp;START_MA","XIMIZED=FALSE&amp;VAR:CALENDAR=US&amp;VAR:SYMBOL=37183T10&amp;VAR:INDEX=0"}</definedName>
    <definedName name="_4877__FDSAUDITLINK__" localSheetId="6" hidden="1">{"fdsup://directions/FAT Viewer?action=UPDATE&amp;creator=factset&amp;DYN_ARGS=TRUE&amp;DOC_NAME=FAT:FQL_AUDITING_CLIENT_TEMPLATE.FAT&amp;display_string=Audit&amp;VAR:KEY=TYTOTQTINS&amp;VAR:QUERY=RkZfRUJJVERBX0lCKCdMVE1TJywzOTAwOCk=&amp;WINDOW=FIRST_POPUP&amp;HEIGHT=450&amp;WIDTH=450&amp;START_MA","XIMIZED=FALSE&amp;VAR:CALENDAR=US&amp;VAR:SYMBOL=37183T10&amp;VAR:INDEX=0"}</definedName>
    <definedName name="_4877__FDSAUDITLINK__" hidden="1">{"fdsup://directions/FAT Viewer?action=UPDATE&amp;creator=factset&amp;DYN_ARGS=TRUE&amp;DOC_NAME=FAT:FQL_AUDITING_CLIENT_TEMPLATE.FAT&amp;display_string=Audit&amp;VAR:KEY=TYTOTQTINS&amp;VAR:QUERY=RkZfRUJJVERBX0lCKCdMVE1TJywzOTAwOCk=&amp;WINDOW=FIRST_POPUP&amp;HEIGHT=450&amp;WIDTH=450&amp;START_MA","XIMIZED=FALSE&amp;VAR:CALENDAR=US&amp;VAR:SYMBOL=37183T10&amp;VAR:INDEX=0"}</definedName>
    <definedName name="_4878__FDSAUDITLINK__" localSheetId="6" hidden="1">{"fdsup://directions/FAT Viewer?action=UPDATE&amp;creator=factset&amp;DYN_ARGS=TRUE&amp;DOC_NAME=FAT:FQL_AUDITING_CLIENT_TEMPLATE.FAT&amp;display_string=Audit&amp;VAR:KEY=NQHYNCFYDS&amp;VAR:QUERY=RkZfRUJJVERBX0lCKCdMVE1TJywzOTAwNyk=&amp;WINDOW=FIRST_POPUP&amp;HEIGHT=450&amp;WIDTH=450&amp;START_MA","XIMIZED=FALSE&amp;VAR:CALENDAR=US&amp;VAR:SYMBOL=37183T10&amp;VAR:INDEX=0"}</definedName>
    <definedName name="_4878__FDSAUDITLINK__" hidden="1">{"fdsup://directions/FAT Viewer?action=UPDATE&amp;creator=factset&amp;DYN_ARGS=TRUE&amp;DOC_NAME=FAT:FQL_AUDITING_CLIENT_TEMPLATE.FAT&amp;display_string=Audit&amp;VAR:KEY=NQHYNCFYDS&amp;VAR:QUERY=RkZfRUJJVERBX0lCKCdMVE1TJywzOTAwNyk=&amp;WINDOW=FIRST_POPUP&amp;HEIGHT=450&amp;WIDTH=450&amp;START_MA","XIMIZED=FALSE&amp;VAR:CALENDAR=US&amp;VAR:SYMBOL=37183T10&amp;VAR:INDEX=0"}</definedName>
    <definedName name="_4879__FDSAUDITLINK__" localSheetId="6" hidden="1">{"fdsup://directions/FAT Viewer?action=UPDATE&amp;creator=factset&amp;DYN_ARGS=TRUE&amp;DOC_NAME=FAT:FQL_AUDITING_CLIENT_TEMPLATE.FAT&amp;display_string=Audit&amp;VAR:KEY=VIBCPMROPE&amp;VAR:QUERY=RkZfRUJJVERBX0lCKCdMVE1TJywzOTAwNik=&amp;WINDOW=FIRST_POPUP&amp;HEIGHT=450&amp;WIDTH=450&amp;START_MA","XIMIZED=FALSE&amp;VAR:CALENDAR=US&amp;VAR:SYMBOL=37183T10&amp;VAR:INDEX=0"}</definedName>
    <definedName name="_4879__FDSAUDITLINK__" hidden="1">{"fdsup://directions/FAT Viewer?action=UPDATE&amp;creator=factset&amp;DYN_ARGS=TRUE&amp;DOC_NAME=FAT:FQL_AUDITING_CLIENT_TEMPLATE.FAT&amp;display_string=Audit&amp;VAR:KEY=VIBCPMROPE&amp;VAR:QUERY=RkZfRUJJVERBX0lCKCdMVE1TJywzOTAwNik=&amp;WINDOW=FIRST_POPUP&amp;HEIGHT=450&amp;WIDTH=450&amp;START_MA","XIMIZED=FALSE&amp;VAR:CALENDAR=US&amp;VAR:SYMBOL=37183T10&amp;VAR:INDEX=0"}</definedName>
    <definedName name="_488__FDSAUDITLINK__" localSheetId="6" hidden="1">{"fdsup://directions/FAT%20Viewer?VAR:PED=LTM&amp;VAR:AUDIT_MODE=SUMMARY&amp;VAR:PERIOD=FIXED&amp;VAR:AUDIT_ID=00000117&amp;VAR:DATE=20081021&amp;action=UPDATE&amp;creator=factset&amp;DOC_NAME=FAT:FMA_audit_SUMMARY.fat&amp;DISPLAY_STRING=Display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8__FDSAUDITLINK__" hidden="1">{"fdsup://directions/FAT%20Viewer?VAR:PED=LTM&amp;VAR:AUDIT_MODE=SUMMARY&amp;VAR:PERIOD=FIXED&amp;VAR:AUDIT_ID=00000117&amp;VAR:DATE=20081021&amp;action=UPDATE&amp;creator=factset&amp;DOC_NAME=FAT:FMA_audit_SUMMARY.fat&amp;DISPLAY_STRING=Display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80__FDSAUDITLINK__" localSheetId="6" hidden="1">{"fdsup://directions/FAT Viewer?action=UPDATE&amp;creator=factset&amp;DYN_ARGS=TRUE&amp;DOC_NAME=FAT:FQL_AUDITING_CLIENT_TEMPLATE.FAT&amp;display_string=Audit&amp;VAR:KEY=JMHOXCVYDG&amp;VAR:QUERY=RkZfRUJJVERBX0lCKCdMVE1TJywzOTAwNSk=&amp;WINDOW=FIRST_POPUP&amp;HEIGHT=450&amp;WIDTH=450&amp;START_MA","XIMIZED=FALSE&amp;VAR:CALENDAR=US&amp;VAR:SYMBOL=37183T10&amp;VAR:INDEX=0"}</definedName>
    <definedName name="_4880__FDSAUDITLINK__" hidden="1">{"fdsup://directions/FAT Viewer?action=UPDATE&amp;creator=factset&amp;DYN_ARGS=TRUE&amp;DOC_NAME=FAT:FQL_AUDITING_CLIENT_TEMPLATE.FAT&amp;display_string=Audit&amp;VAR:KEY=JMHOXCVYDG&amp;VAR:QUERY=RkZfRUJJVERBX0lCKCdMVE1TJywzOTAwNSk=&amp;WINDOW=FIRST_POPUP&amp;HEIGHT=450&amp;WIDTH=450&amp;START_MA","XIMIZED=FALSE&amp;VAR:CALENDAR=US&amp;VAR:SYMBOL=37183T10&amp;VAR:INDEX=0"}</definedName>
    <definedName name="_4881__FDSAUDITLINK__" localSheetId="6" hidden="1">{"fdsup://directions/FAT Viewer?action=UPDATE&amp;creator=factset&amp;DYN_ARGS=TRUE&amp;DOC_NAME=FAT:FQL_AUDITING_CLIENT_TEMPLATE.FAT&amp;display_string=Audit&amp;VAR:KEY=FIRMZSHOTE&amp;VAR:QUERY=RkZfRUJJVERBX0lCKCdMVE1TJywzOTAwNCk=&amp;WINDOW=FIRST_POPUP&amp;HEIGHT=450&amp;WIDTH=450&amp;START_MA","XIMIZED=FALSE&amp;VAR:CALENDAR=US&amp;VAR:SYMBOL=37183T10&amp;VAR:INDEX=0"}</definedName>
    <definedName name="_4881__FDSAUDITLINK__" hidden="1">{"fdsup://directions/FAT Viewer?action=UPDATE&amp;creator=factset&amp;DYN_ARGS=TRUE&amp;DOC_NAME=FAT:FQL_AUDITING_CLIENT_TEMPLATE.FAT&amp;display_string=Audit&amp;VAR:KEY=FIRMZSHOTE&amp;VAR:QUERY=RkZfRUJJVERBX0lCKCdMVE1TJywzOTAwNCk=&amp;WINDOW=FIRST_POPUP&amp;HEIGHT=450&amp;WIDTH=450&amp;START_MA","XIMIZED=FALSE&amp;VAR:CALENDAR=US&amp;VAR:SYMBOL=37183T10&amp;VAR:INDEX=0"}</definedName>
    <definedName name="_4882__FDSAUDITLINK__" localSheetId="6" hidden="1">{"fdsup://directions/FAT Viewer?action=UPDATE&amp;creator=factset&amp;DYN_ARGS=TRUE&amp;DOC_NAME=FAT:FQL_AUDITING_CLIENT_TEMPLATE.FAT&amp;display_string=Audit&amp;VAR:KEY=XKJUXUPMHO&amp;VAR:QUERY=RkZfRUJJVERBX0lCKCdMVE1TJywzOTAwMyk=&amp;WINDOW=FIRST_POPUP&amp;HEIGHT=450&amp;WIDTH=450&amp;START_MA","XIMIZED=FALSE&amp;VAR:CALENDAR=US&amp;VAR:SYMBOL=37183T10&amp;VAR:INDEX=0"}</definedName>
    <definedName name="_4882__FDSAUDITLINK__" hidden="1">{"fdsup://directions/FAT Viewer?action=UPDATE&amp;creator=factset&amp;DYN_ARGS=TRUE&amp;DOC_NAME=FAT:FQL_AUDITING_CLIENT_TEMPLATE.FAT&amp;display_string=Audit&amp;VAR:KEY=XKJUXUPMHO&amp;VAR:QUERY=RkZfRUJJVERBX0lCKCdMVE1TJywzOTAwMyk=&amp;WINDOW=FIRST_POPUP&amp;HEIGHT=450&amp;WIDTH=450&amp;START_MA","XIMIZED=FALSE&amp;VAR:CALENDAR=US&amp;VAR:SYMBOL=37183T10&amp;VAR:INDEX=0"}</definedName>
    <definedName name="_4883__FDSAUDITLINK__" localSheetId="6" hidden="1">{"fdsup://directions/FAT Viewer?action=UPDATE&amp;creator=factset&amp;DYN_ARGS=TRUE&amp;DOC_NAME=FAT:FQL_AUDITING_CLIENT_TEMPLATE.FAT&amp;display_string=Audit&amp;VAR:KEY=DOXUNMHKBC&amp;VAR:QUERY=RkZfRUJJVERBX0lCKCdMVE1TJywzOTAwMik=&amp;WINDOW=FIRST_POPUP&amp;HEIGHT=450&amp;WIDTH=450&amp;START_MA","XIMIZED=FALSE&amp;VAR:CALENDAR=US&amp;VAR:SYMBOL=37183T10&amp;VAR:INDEX=0"}</definedName>
    <definedName name="_4883__FDSAUDITLINK__" hidden="1">{"fdsup://directions/FAT Viewer?action=UPDATE&amp;creator=factset&amp;DYN_ARGS=TRUE&amp;DOC_NAME=FAT:FQL_AUDITING_CLIENT_TEMPLATE.FAT&amp;display_string=Audit&amp;VAR:KEY=DOXUNMHKBC&amp;VAR:QUERY=RkZfRUJJVERBX0lCKCdMVE1TJywzOTAwMik=&amp;WINDOW=FIRST_POPUP&amp;HEIGHT=450&amp;WIDTH=450&amp;START_MA","XIMIZED=FALSE&amp;VAR:CALENDAR=US&amp;VAR:SYMBOL=37183T10&amp;VAR:INDEX=0"}</definedName>
    <definedName name="_4884__FDSAUDITLINK__" localSheetId="6" hidden="1">{"fdsup://directions/FAT Viewer?action=UPDATE&amp;creator=factset&amp;DYN_ARGS=TRUE&amp;DOC_NAME=FAT:FQL_AUDITING_CLIENT_TEMPLATE.FAT&amp;display_string=Audit&amp;VAR:KEY=DQVKVMXYDI&amp;VAR:QUERY=RkZfRUJJVERBX0lCKCdMVE1TJywzOTAwMSk=&amp;WINDOW=FIRST_POPUP&amp;HEIGHT=450&amp;WIDTH=450&amp;START_MA","XIMIZED=FALSE&amp;VAR:CALENDAR=US&amp;VAR:SYMBOL=37183T10&amp;VAR:INDEX=0"}</definedName>
    <definedName name="_4884__FDSAUDITLINK__" hidden="1">{"fdsup://directions/FAT Viewer?action=UPDATE&amp;creator=factset&amp;DYN_ARGS=TRUE&amp;DOC_NAME=FAT:FQL_AUDITING_CLIENT_TEMPLATE.FAT&amp;display_string=Audit&amp;VAR:KEY=DQVKVMXYDI&amp;VAR:QUERY=RkZfRUJJVERBX0lCKCdMVE1TJywzOTAwMSk=&amp;WINDOW=FIRST_POPUP&amp;HEIGHT=450&amp;WIDTH=450&amp;START_MA","XIMIZED=FALSE&amp;VAR:CALENDAR=US&amp;VAR:SYMBOL=37183T10&amp;VAR:INDEX=0"}</definedName>
    <definedName name="_4885__FDSAUDITLINK__" localSheetId="6" hidden="1">{"fdsup://directions/FAT Viewer?action=UPDATE&amp;creator=factset&amp;DYN_ARGS=TRUE&amp;DOC_NAME=FAT:FQL_AUDITING_CLIENT_TEMPLATE.FAT&amp;display_string=Audit&amp;VAR:KEY=JCBAVQPIBS&amp;VAR:QUERY=RkZfRUJJVERBX0lCKCdMVE1TJywzOTAwMCk=&amp;WINDOW=FIRST_POPUP&amp;HEIGHT=450&amp;WIDTH=450&amp;START_MA","XIMIZED=FALSE&amp;VAR:CALENDAR=US&amp;VAR:SYMBOL=37183T10&amp;VAR:INDEX=0"}</definedName>
    <definedName name="_4885__FDSAUDITLINK__" hidden="1">{"fdsup://directions/FAT Viewer?action=UPDATE&amp;creator=factset&amp;DYN_ARGS=TRUE&amp;DOC_NAME=FAT:FQL_AUDITING_CLIENT_TEMPLATE.FAT&amp;display_string=Audit&amp;VAR:KEY=JCBAVQPIBS&amp;VAR:QUERY=RkZfRUJJVERBX0lCKCdMVE1TJywzOTAwMCk=&amp;WINDOW=FIRST_POPUP&amp;HEIGHT=450&amp;WIDTH=450&amp;START_MA","XIMIZED=FALSE&amp;VAR:CALENDAR=US&amp;VAR:SYMBOL=37183T10&amp;VAR:INDEX=0"}</definedName>
    <definedName name="_4886__FDSAUDITLINK__" localSheetId="6" hidden="1">{"fdsup://directions/FAT Viewer?action=UPDATE&amp;creator=factset&amp;DYN_ARGS=TRUE&amp;DOC_NAME=FAT:FQL_AUDITING_CLIENT_TEMPLATE.FAT&amp;display_string=Audit&amp;VAR:KEY=NAPKTITSNE&amp;VAR:QUERY=RkZfRUJJVERBX0lCKCdMVE1TJywzODk5OSk=&amp;WINDOW=FIRST_POPUP&amp;HEIGHT=450&amp;WIDTH=450&amp;START_MA","XIMIZED=FALSE&amp;VAR:CALENDAR=US&amp;VAR:SYMBOL=37183T10&amp;VAR:INDEX=0"}</definedName>
    <definedName name="_4886__FDSAUDITLINK__" hidden="1">{"fdsup://directions/FAT Viewer?action=UPDATE&amp;creator=factset&amp;DYN_ARGS=TRUE&amp;DOC_NAME=FAT:FQL_AUDITING_CLIENT_TEMPLATE.FAT&amp;display_string=Audit&amp;VAR:KEY=NAPKTITSNE&amp;VAR:QUERY=RkZfRUJJVERBX0lCKCdMVE1TJywzODk5OSk=&amp;WINDOW=FIRST_POPUP&amp;HEIGHT=450&amp;WIDTH=450&amp;START_MA","XIMIZED=FALSE&amp;VAR:CALENDAR=US&amp;VAR:SYMBOL=37183T10&amp;VAR:INDEX=0"}</definedName>
    <definedName name="_4887__FDSAUDITLINK__" localSheetId="6" hidden="1">{"fdsup://directions/FAT Viewer?action=UPDATE&amp;creator=factset&amp;DYN_ARGS=TRUE&amp;DOC_NAME=FAT:FQL_AUDITING_CLIENT_TEMPLATE.FAT&amp;display_string=Audit&amp;VAR:KEY=XORQBOXEVQ&amp;VAR:QUERY=RkZfRUJJVERBX0lCKCdMVE1TJywzODk5OCk=&amp;WINDOW=FIRST_POPUP&amp;HEIGHT=450&amp;WIDTH=450&amp;START_MA","XIMIZED=FALSE&amp;VAR:CALENDAR=US&amp;VAR:SYMBOL=37183T10&amp;VAR:INDEX=0"}</definedName>
    <definedName name="_4887__FDSAUDITLINK__" hidden="1">{"fdsup://directions/FAT Viewer?action=UPDATE&amp;creator=factset&amp;DYN_ARGS=TRUE&amp;DOC_NAME=FAT:FQL_AUDITING_CLIENT_TEMPLATE.FAT&amp;display_string=Audit&amp;VAR:KEY=XORQBOXEVQ&amp;VAR:QUERY=RkZfRUJJVERBX0lCKCdMVE1TJywzODk5OCk=&amp;WINDOW=FIRST_POPUP&amp;HEIGHT=450&amp;WIDTH=450&amp;START_MA","XIMIZED=FALSE&amp;VAR:CALENDAR=US&amp;VAR:SYMBOL=37183T10&amp;VAR:INDEX=0"}</definedName>
    <definedName name="_4888__FDSAUDITLINK__" localSheetId="6" hidden="1">{"fdsup://directions/FAT Viewer?action=UPDATE&amp;creator=factset&amp;DYN_ARGS=TRUE&amp;DOC_NAME=FAT:FQL_AUDITING_CLIENT_TEMPLATE.FAT&amp;display_string=Audit&amp;VAR:KEY=JIDOZMFSJK&amp;VAR:QUERY=RkZfRUJJVERBX0lCKCdMVE1TJywzODk5Nyk=&amp;WINDOW=FIRST_POPUP&amp;HEIGHT=450&amp;WIDTH=450&amp;START_MA","XIMIZED=FALSE&amp;VAR:CALENDAR=US&amp;VAR:SYMBOL=37183T10&amp;VAR:INDEX=0"}</definedName>
    <definedName name="_4888__FDSAUDITLINK__" hidden="1">{"fdsup://directions/FAT Viewer?action=UPDATE&amp;creator=factset&amp;DYN_ARGS=TRUE&amp;DOC_NAME=FAT:FQL_AUDITING_CLIENT_TEMPLATE.FAT&amp;display_string=Audit&amp;VAR:KEY=JIDOZMFSJK&amp;VAR:QUERY=RkZfRUJJVERBX0lCKCdMVE1TJywzODk5Nyk=&amp;WINDOW=FIRST_POPUP&amp;HEIGHT=450&amp;WIDTH=450&amp;START_MA","XIMIZED=FALSE&amp;VAR:CALENDAR=US&amp;VAR:SYMBOL=37183T10&amp;VAR:INDEX=0"}</definedName>
    <definedName name="_4889__FDSAUDITLINK__" localSheetId="6" hidden="1">{"fdsup://directions/FAT Viewer?action=UPDATE&amp;creator=factset&amp;DYN_ARGS=TRUE&amp;DOC_NAME=FAT:FQL_AUDITING_CLIENT_TEMPLATE.FAT&amp;display_string=Audit&amp;VAR:KEY=DMPWRWNUNS&amp;VAR:QUERY=RkZfRUJJVERBX0lCKCdMVE1TJywzODk5Nik=&amp;WINDOW=FIRST_POPUP&amp;HEIGHT=450&amp;WIDTH=450&amp;START_MA","XIMIZED=FALSE&amp;VAR:CALENDAR=US&amp;VAR:SYMBOL=37183T10&amp;VAR:INDEX=0"}</definedName>
    <definedName name="_4889__FDSAUDITLINK__" hidden="1">{"fdsup://directions/FAT Viewer?action=UPDATE&amp;creator=factset&amp;DYN_ARGS=TRUE&amp;DOC_NAME=FAT:FQL_AUDITING_CLIENT_TEMPLATE.FAT&amp;display_string=Audit&amp;VAR:KEY=DMPWRWNUNS&amp;VAR:QUERY=RkZfRUJJVERBX0lCKCdMVE1TJywzODk5Nik=&amp;WINDOW=FIRST_POPUP&amp;HEIGHT=450&amp;WIDTH=450&amp;START_MA","XIMIZED=FALSE&amp;VAR:CALENDAR=US&amp;VAR:SYMBOL=37183T10&amp;VAR:INDEX=0"}</definedName>
    <definedName name="_489__FDSAUDITLINK__" localSheetId="6" hidden="1">{"fdsup://directions/FAT%20Viewer?VAR:PED=LTM&amp;VAR:AUDIT_MODE=SUMMARY&amp;VAR:PERIOD=FIXED&amp;VAR:AUDIT_ID=00000117&amp;VAR:DATE=20081020&amp;action=UPDATE&amp;creator=factset&amp;DOC_NAME=FAT:FMA_audit_SUMMARY.fat&amp;DISPLAY_STRING=Display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9__FDSAUDITLINK__" hidden="1">{"fdsup://directions/FAT%20Viewer?VAR:PED=LTM&amp;VAR:AUDIT_MODE=SUMMARY&amp;VAR:PERIOD=FIXED&amp;VAR:AUDIT_ID=00000117&amp;VAR:DATE=20081020&amp;action=UPDATE&amp;creator=factset&amp;DOC_NAME=FAT:FMA_audit_SUMMARY.fat&amp;DISPLAY_STRING=Display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890__FDSAUDITLINK__" localSheetId="6" hidden="1">{"fdsup://directions/FAT Viewer?action=UPDATE&amp;creator=factset&amp;DYN_ARGS=TRUE&amp;DOC_NAME=FAT:FQL_AUDITING_CLIENT_TEMPLATE.FAT&amp;display_string=Audit&amp;VAR:KEY=XONKLINQBO&amp;VAR:QUERY=RkZfRUJJVERBX0lCKCdMVE1TJywzODk5NSk=&amp;WINDOW=FIRST_POPUP&amp;HEIGHT=450&amp;WIDTH=450&amp;START_MA","XIMIZED=FALSE&amp;VAR:CALENDAR=US&amp;VAR:SYMBOL=37183T10&amp;VAR:INDEX=0"}</definedName>
    <definedName name="_4890__FDSAUDITLINK__" hidden="1">{"fdsup://directions/FAT Viewer?action=UPDATE&amp;creator=factset&amp;DYN_ARGS=TRUE&amp;DOC_NAME=FAT:FQL_AUDITING_CLIENT_TEMPLATE.FAT&amp;display_string=Audit&amp;VAR:KEY=XONKLINQBO&amp;VAR:QUERY=RkZfRUJJVERBX0lCKCdMVE1TJywzODk5NSk=&amp;WINDOW=FIRST_POPUP&amp;HEIGHT=450&amp;WIDTH=450&amp;START_MA","XIMIZED=FALSE&amp;VAR:CALENDAR=US&amp;VAR:SYMBOL=37183T10&amp;VAR:INDEX=0"}</definedName>
    <definedName name="_4891__FDSAUDITLINK__" localSheetId="6" hidden="1">{"fdsup://directions/FAT Viewer?action=UPDATE&amp;creator=factset&amp;DYN_ARGS=TRUE&amp;DOC_NAME=FAT:FQL_AUDITING_CLIENT_TEMPLATE.FAT&amp;display_string=Audit&amp;VAR:KEY=FWJWHGPOJI&amp;VAR:QUERY=RkZfRUJJVERBX0lCKCdMVE1TJywzODk5NCk=&amp;WINDOW=FIRST_POPUP&amp;HEIGHT=450&amp;WIDTH=450&amp;START_MA","XIMIZED=FALSE&amp;VAR:CALENDAR=US&amp;VAR:SYMBOL=37183T10&amp;VAR:INDEX=0"}</definedName>
    <definedName name="_4891__FDSAUDITLINK__" hidden="1">{"fdsup://directions/FAT Viewer?action=UPDATE&amp;creator=factset&amp;DYN_ARGS=TRUE&amp;DOC_NAME=FAT:FQL_AUDITING_CLIENT_TEMPLATE.FAT&amp;display_string=Audit&amp;VAR:KEY=FWJWHGPOJI&amp;VAR:QUERY=RkZfRUJJVERBX0lCKCdMVE1TJywzODk5NCk=&amp;WINDOW=FIRST_POPUP&amp;HEIGHT=450&amp;WIDTH=450&amp;START_MA","XIMIZED=FALSE&amp;VAR:CALENDAR=US&amp;VAR:SYMBOL=37183T10&amp;VAR:INDEX=0"}</definedName>
    <definedName name="_4892__FDSAUDITLINK__" localSheetId="6" hidden="1">{"fdsup://directions/FAT Viewer?action=UPDATE&amp;creator=factset&amp;DYN_ARGS=TRUE&amp;DOC_NAME=FAT:FQL_AUDITING_CLIENT_TEMPLATE.FAT&amp;display_string=Audit&amp;VAR:KEY=NANYJCNYXQ&amp;VAR:QUERY=RkZfRUJJVERBX0lCKCdMVE1TJywzODk5Myk=&amp;WINDOW=FIRST_POPUP&amp;HEIGHT=450&amp;WIDTH=450&amp;START_MA","XIMIZED=FALSE&amp;VAR:CALENDAR=US&amp;VAR:SYMBOL=37183T10&amp;VAR:INDEX=0"}</definedName>
    <definedName name="_4892__FDSAUDITLINK__" hidden="1">{"fdsup://directions/FAT Viewer?action=UPDATE&amp;creator=factset&amp;DYN_ARGS=TRUE&amp;DOC_NAME=FAT:FQL_AUDITING_CLIENT_TEMPLATE.FAT&amp;display_string=Audit&amp;VAR:KEY=NANYJCNYXQ&amp;VAR:QUERY=RkZfRUJJVERBX0lCKCdMVE1TJywzODk5Myk=&amp;WINDOW=FIRST_POPUP&amp;HEIGHT=450&amp;WIDTH=450&amp;START_MA","XIMIZED=FALSE&amp;VAR:CALENDAR=US&amp;VAR:SYMBOL=37183T10&amp;VAR:INDEX=0"}</definedName>
    <definedName name="_4893__FDSAUDITLINK__" localSheetId="6" hidden="1">{"fdsup://directions/FAT Viewer?action=UPDATE&amp;creator=factset&amp;DYN_ARGS=TRUE&amp;DOC_NAME=FAT:FQL_AUDITING_CLIENT_TEMPLATE.FAT&amp;display_string=Audit&amp;VAR:KEY=PCFKBEFOJQ&amp;VAR:QUERY=RkZfRUJJVERBX0lCKCdMVE1TJywzODk5Mik=&amp;WINDOW=FIRST_POPUP&amp;HEIGHT=450&amp;WIDTH=450&amp;START_MA","XIMIZED=FALSE&amp;VAR:CALENDAR=US&amp;VAR:SYMBOL=37183T10&amp;VAR:INDEX=0"}</definedName>
    <definedName name="_4893__FDSAUDITLINK__" hidden="1">{"fdsup://directions/FAT Viewer?action=UPDATE&amp;creator=factset&amp;DYN_ARGS=TRUE&amp;DOC_NAME=FAT:FQL_AUDITING_CLIENT_TEMPLATE.FAT&amp;display_string=Audit&amp;VAR:KEY=PCFKBEFOJQ&amp;VAR:QUERY=RkZfRUJJVERBX0lCKCdMVE1TJywzODk5Mik=&amp;WINDOW=FIRST_POPUP&amp;HEIGHT=450&amp;WIDTH=450&amp;START_MA","XIMIZED=FALSE&amp;VAR:CALENDAR=US&amp;VAR:SYMBOL=37183T10&amp;VAR:INDEX=0"}</definedName>
    <definedName name="_4894__FDSAUDITLINK__" localSheetId="6" hidden="1">{"fdsup://directions/FAT Viewer?action=UPDATE&amp;creator=factset&amp;DYN_ARGS=TRUE&amp;DOC_NAME=FAT:FQL_AUDITING_CLIENT_TEMPLATE.FAT&amp;display_string=Audit&amp;VAR:KEY=DKHSXKJWHG&amp;VAR:QUERY=RkZfRUJJVERBX0lCKCdMVE1TJywzODk5MSk=&amp;WINDOW=FIRST_POPUP&amp;HEIGHT=450&amp;WIDTH=450&amp;START_MA","XIMIZED=FALSE&amp;VAR:CALENDAR=US&amp;VAR:SYMBOL=37183T10&amp;VAR:INDEX=0"}</definedName>
    <definedName name="_4894__FDSAUDITLINK__" hidden="1">{"fdsup://directions/FAT Viewer?action=UPDATE&amp;creator=factset&amp;DYN_ARGS=TRUE&amp;DOC_NAME=FAT:FQL_AUDITING_CLIENT_TEMPLATE.FAT&amp;display_string=Audit&amp;VAR:KEY=DKHSXKJWHG&amp;VAR:QUERY=RkZfRUJJVERBX0lCKCdMVE1TJywzODk5MSk=&amp;WINDOW=FIRST_POPUP&amp;HEIGHT=450&amp;WIDTH=450&amp;START_MA","XIMIZED=FALSE&amp;VAR:CALENDAR=US&amp;VAR:SYMBOL=37183T10&amp;VAR:INDEX=0"}</definedName>
    <definedName name="_4895__FDSAUDITLINK__" localSheetId="6" hidden="1">{"fdsup://directions/FAT Viewer?action=UPDATE&amp;creator=factset&amp;DYN_ARGS=TRUE&amp;DOC_NAME=FAT:FQL_AUDITING_CLIENT_TEMPLATE.FAT&amp;display_string=Audit&amp;VAR:KEY=TSZSZYFUVM&amp;VAR:QUERY=RkZfRUJJVERBX0lCKCdMVE1TJywzODk5MCk=&amp;WINDOW=FIRST_POPUP&amp;HEIGHT=450&amp;WIDTH=450&amp;START_MA","XIMIZED=FALSE&amp;VAR:CALENDAR=US&amp;VAR:SYMBOL=37183T10&amp;VAR:INDEX=0"}</definedName>
    <definedName name="_4895__FDSAUDITLINK__" hidden="1">{"fdsup://directions/FAT Viewer?action=UPDATE&amp;creator=factset&amp;DYN_ARGS=TRUE&amp;DOC_NAME=FAT:FQL_AUDITING_CLIENT_TEMPLATE.FAT&amp;display_string=Audit&amp;VAR:KEY=TSZSZYFUVM&amp;VAR:QUERY=RkZfRUJJVERBX0lCKCdMVE1TJywzODk5MCk=&amp;WINDOW=FIRST_POPUP&amp;HEIGHT=450&amp;WIDTH=450&amp;START_MA","XIMIZED=FALSE&amp;VAR:CALENDAR=US&amp;VAR:SYMBOL=37183T10&amp;VAR:INDEX=0"}</definedName>
    <definedName name="_4896__FDSAUDITLINK__" localSheetId="6" hidden="1">{"fdsup://directions/FAT Viewer?action=UPDATE&amp;creator=factset&amp;DYN_ARGS=TRUE&amp;DOC_NAME=FAT:FQL_AUDITING_CLIENT_TEMPLATE.FAT&amp;display_string=Audit&amp;VAR:KEY=DWNARIHUNE&amp;VAR:QUERY=RkZfRUJJVERBX0lCKCdMVE1TJywzODk4OSk=&amp;WINDOW=FIRST_POPUP&amp;HEIGHT=450&amp;WIDTH=450&amp;START_MA","XIMIZED=FALSE&amp;VAR:CALENDAR=US&amp;VAR:SYMBOL=37183T10&amp;VAR:INDEX=0"}</definedName>
    <definedName name="_4896__FDSAUDITLINK__" hidden="1">{"fdsup://directions/FAT Viewer?action=UPDATE&amp;creator=factset&amp;DYN_ARGS=TRUE&amp;DOC_NAME=FAT:FQL_AUDITING_CLIENT_TEMPLATE.FAT&amp;display_string=Audit&amp;VAR:KEY=DWNARIHUNE&amp;VAR:QUERY=RkZfRUJJVERBX0lCKCdMVE1TJywzODk4OSk=&amp;WINDOW=FIRST_POPUP&amp;HEIGHT=450&amp;WIDTH=450&amp;START_MA","XIMIZED=FALSE&amp;VAR:CALENDAR=US&amp;VAR:SYMBOL=37183T10&amp;VAR:INDEX=0"}</definedName>
    <definedName name="_4897__FDSAUDITLINK__" localSheetId="6" hidden="1">{"fdsup://directions/FAT Viewer?action=UPDATE&amp;creator=factset&amp;DYN_ARGS=TRUE&amp;DOC_NAME=FAT:FQL_AUDITING_CLIENT_TEMPLATE.FAT&amp;display_string=Audit&amp;VAR:KEY=ZYNGPKFSZC&amp;VAR:QUERY=RkZfRUJJVERBX0lCKCdMVE1TJywzODk4OCk=&amp;WINDOW=FIRST_POPUP&amp;HEIGHT=450&amp;WIDTH=450&amp;START_MA","XIMIZED=FALSE&amp;VAR:CALENDAR=US&amp;VAR:SYMBOL=37183T10&amp;VAR:INDEX=0"}</definedName>
    <definedName name="_4897__FDSAUDITLINK__" hidden="1">{"fdsup://directions/FAT Viewer?action=UPDATE&amp;creator=factset&amp;DYN_ARGS=TRUE&amp;DOC_NAME=FAT:FQL_AUDITING_CLIENT_TEMPLATE.FAT&amp;display_string=Audit&amp;VAR:KEY=ZYNGPKFSZC&amp;VAR:QUERY=RkZfRUJJVERBX0lCKCdMVE1TJywzODk4OCk=&amp;WINDOW=FIRST_POPUP&amp;HEIGHT=450&amp;WIDTH=450&amp;START_MA","XIMIZED=FALSE&amp;VAR:CALENDAR=US&amp;VAR:SYMBOL=37183T10&amp;VAR:INDEX=0"}</definedName>
    <definedName name="_4898__FDSAUDITLINK__" localSheetId="6" hidden="1">{"fdsup://directions/FAT Viewer?action=UPDATE&amp;creator=factset&amp;DYN_ARGS=TRUE&amp;DOC_NAME=FAT:FQL_AUDITING_CLIENT_TEMPLATE.FAT&amp;display_string=Audit&amp;VAR:KEY=ZGJWDSRMBE&amp;VAR:QUERY=RkZfRUJJVERBX0lCKCdMVE1TJywzODk4Nyk=&amp;WINDOW=FIRST_POPUP&amp;HEIGHT=450&amp;WIDTH=450&amp;START_MA","XIMIZED=FALSE&amp;VAR:CALENDAR=US&amp;VAR:SYMBOL=37183T10&amp;VAR:INDEX=0"}</definedName>
    <definedName name="_4898__FDSAUDITLINK__" hidden="1">{"fdsup://directions/FAT Viewer?action=UPDATE&amp;creator=factset&amp;DYN_ARGS=TRUE&amp;DOC_NAME=FAT:FQL_AUDITING_CLIENT_TEMPLATE.FAT&amp;display_string=Audit&amp;VAR:KEY=ZGJWDSRMBE&amp;VAR:QUERY=RkZfRUJJVERBX0lCKCdMVE1TJywzODk4Nyk=&amp;WINDOW=FIRST_POPUP&amp;HEIGHT=450&amp;WIDTH=450&amp;START_MA","XIMIZED=FALSE&amp;VAR:CALENDAR=US&amp;VAR:SYMBOL=37183T10&amp;VAR:INDEX=0"}</definedName>
    <definedName name="_4899__FDSAUDITLINK__" localSheetId="6" hidden="1">{"fdsup://directions/FAT Viewer?action=UPDATE&amp;creator=factset&amp;DYN_ARGS=TRUE&amp;DOC_NAME=FAT:FQL_AUDITING_CLIENT_TEMPLATE.FAT&amp;display_string=Audit&amp;VAR:KEY=FWXWBMROPE&amp;VAR:QUERY=RkZfRUJJVERBX0lCKCdMVE1TJywzODk4Nik=&amp;WINDOW=FIRST_POPUP&amp;HEIGHT=450&amp;WIDTH=450&amp;START_MA","XIMIZED=FALSE&amp;VAR:CALENDAR=US&amp;VAR:SYMBOL=37183T10&amp;VAR:INDEX=0"}</definedName>
    <definedName name="_4899__FDSAUDITLINK__" hidden="1">{"fdsup://directions/FAT Viewer?action=UPDATE&amp;creator=factset&amp;DYN_ARGS=TRUE&amp;DOC_NAME=FAT:FQL_AUDITING_CLIENT_TEMPLATE.FAT&amp;display_string=Audit&amp;VAR:KEY=FWXWBMROPE&amp;VAR:QUERY=RkZfRUJJVERBX0lCKCdMVE1TJywzODk4Nik=&amp;WINDOW=FIRST_POPUP&amp;HEIGHT=450&amp;WIDTH=450&amp;START_MA","XIMIZED=FALSE&amp;VAR:CALENDAR=US&amp;VAR:SYMBOL=37183T10&amp;VAR:INDEX=0"}</definedName>
    <definedName name="_49__FDSAUDITLINK__" localSheetId="6" hidden="1">{"fdsup://directions/FAT Viewer?action=UPDATE&amp;creator=factset&amp;DYN_ARGS=TRUE&amp;DOC_NAME=FAT:FQL_AUDITING_CLIENT_TEMPLATE.FAT&amp;display_string=Audit&amp;VAR:KEY=IPGHWJSDKP&amp;VAR:QUERY=QVZHKENTRl9ORVRfSU5DKEFOTiwwRlksLTZGWSxZKSkgLyAoQVZHKENTRl9BU1NFVFMoQU5OLDBGWSwtNkZZL","EZZKSkgLSBBVkcoQ1NGX0lOVEFORyhBTk4sMCwtNkZZLEZZKSkp&amp;WINDOW=FIRST_POPUP&amp;HEIGHT=450&amp;WIDTH=450&amp;START_MAXIMIZED=FALSE&amp;VAR:CALENDAR=US&amp;VAR:SYMBOL=39365710"}</definedName>
    <definedName name="_49__FDSAUDITLINK__" hidden="1">{"fdsup://directions/FAT Viewer?action=UPDATE&amp;creator=factset&amp;DYN_ARGS=TRUE&amp;DOC_NAME=FAT:FQL_AUDITING_CLIENT_TEMPLATE.FAT&amp;display_string=Audit&amp;VAR:KEY=IPGHWJSDKP&amp;VAR:QUERY=QVZHKENTRl9ORVRfSU5DKEFOTiwwRlksLTZGWSxZKSkgLyAoQVZHKENTRl9BU1NFVFMoQU5OLDBGWSwtNkZZL","EZZKSkgLSBBVkcoQ1NGX0lOVEFORyhBTk4sMCwtNkZZLEZZKSkp&amp;WINDOW=FIRST_POPUP&amp;HEIGHT=450&amp;WIDTH=450&amp;START_MAXIMIZED=FALSE&amp;VAR:CALENDAR=US&amp;VAR:SYMBOL=39365710"}</definedName>
    <definedName name="_490__FDSAUDITLINK__" localSheetId="6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0__FDSAUDITLINK__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00__FDSAUDITLINK__" localSheetId="6" hidden="1">{"fdsup://directions/FAT Viewer?action=UPDATE&amp;creator=factset&amp;DYN_ARGS=TRUE&amp;DOC_NAME=FAT:FQL_AUDITING_CLIENT_TEMPLATE.FAT&amp;display_string=Audit&amp;VAR:KEY=DOFCZOVYBS&amp;VAR:QUERY=RkZfRUJJVERBX0lCKCdMVE1TJywzODk4NSk=&amp;WINDOW=FIRST_POPUP&amp;HEIGHT=450&amp;WIDTH=450&amp;START_MA","XIMIZED=FALSE&amp;VAR:CALENDAR=US&amp;VAR:SYMBOL=37183T10&amp;VAR:INDEX=0"}</definedName>
    <definedName name="_4900__FDSAUDITLINK__" hidden="1">{"fdsup://directions/FAT Viewer?action=UPDATE&amp;creator=factset&amp;DYN_ARGS=TRUE&amp;DOC_NAME=FAT:FQL_AUDITING_CLIENT_TEMPLATE.FAT&amp;display_string=Audit&amp;VAR:KEY=DOFCZOVYBS&amp;VAR:QUERY=RkZfRUJJVERBX0lCKCdMVE1TJywzODk4NSk=&amp;WINDOW=FIRST_POPUP&amp;HEIGHT=450&amp;WIDTH=450&amp;START_MA","XIMIZED=FALSE&amp;VAR:CALENDAR=US&amp;VAR:SYMBOL=37183T10&amp;VAR:INDEX=0"}</definedName>
    <definedName name="_4901__FDSAUDITLINK__" localSheetId="6" hidden="1">{"fdsup://directions/FAT Viewer?action=UPDATE&amp;creator=factset&amp;DYN_ARGS=TRUE&amp;DOC_NAME=FAT:FQL_AUDITING_CLIENT_TEMPLATE.FAT&amp;display_string=Audit&amp;VAR:KEY=BYDOFCHEDA&amp;VAR:QUERY=RkZfRUJJVERBX0lCKCdMVE1TJywzODk4NCk=&amp;WINDOW=FIRST_POPUP&amp;HEIGHT=450&amp;WIDTH=450&amp;START_MA","XIMIZED=FALSE&amp;VAR:CALENDAR=US&amp;VAR:SYMBOL=37183T10&amp;VAR:INDEX=0"}</definedName>
    <definedName name="_4901__FDSAUDITLINK__" hidden="1">{"fdsup://directions/FAT Viewer?action=UPDATE&amp;creator=factset&amp;DYN_ARGS=TRUE&amp;DOC_NAME=FAT:FQL_AUDITING_CLIENT_TEMPLATE.FAT&amp;display_string=Audit&amp;VAR:KEY=BYDOFCHEDA&amp;VAR:QUERY=RkZfRUJJVERBX0lCKCdMVE1TJywzODk4NCk=&amp;WINDOW=FIRST_POPUP&amp;HEIGHT=450&amp;WIDTH=450&amp;START_MA","XIMIZED=FALSE&amp;VAR:CALENDAR=US&amp;VAR:SYMBOL=37183T10&amp;VAR:INDEX=0"}</definedName>
    <definedName name="_4902__FDSAUDITLINK__" localSheetId="6" hidden="1">{"fdsup://directions/FAT Viewer?action=UPDATE&amp;creator=factset&amp;DYN_ARGS=TRUE&amp;DOC_NAME=FAT:FQL_AUDITING_CLIENT_TEMPLATE.FAT&amp;display_string=Audit&amp;VAR:KEY=TIVYREXMLC&amp;VAR:QUERY=RkZfRUJJVERBX0lCKCdMVE1TJywzODk4Myk=&amp;WINDOW=FIRST_POPUP&amp;HEIGHT=450&amp;WIDTH=450&amp;START_MA","XIMIZED=FALSE&amp;VAR:CALENDAR=US&amp;VAR:SYMBOL=37183T10&amp;VAR:INDEX=0"}</definedName>
    <definedName name="_4902__FDSAUDITLINK__" hidden="1">{"fdsup://directions/FAT Viewer?action=UPDATE&amp;creator=factset&amp;DYN_ARGS=TRUE&amp;DOC_NAME=FAT:FQL_AUDITING_CLIENT_TEMPLATE.FAT&amp;display_string=Audit&amp;VAR:KEY=TIVYREXMLC&amp;VAR:QUERY=RkZfRUJJVERBX0lCKCdMVE1TJywzODk4Myk=&amp;WINDOW=FIRST_POPUP&amp;HEIGHT=450&amp;WIDTH=450&amp;START_MA","XIMIZED=FALSE&amp;VAR:CALENDAR=US&amp;VAR:SYMBOL=37183T10&amp;VAR:INDEX=0"}</definedName>
    <definedName name="_4903__FDSAUDITLINK__" localSheetId="6" hidden="1">{"fdsup://directions/FAT Viewer?action=UPDATE&amp;creator=factset&amp;DYN_ARGS=TRUE&amp;DOC_NAME=FAT:FQL_AUDITING_CLIENT_TEMPLATE.FAT&amp;display_string=Audit&amp;VAR:KEY=TIVMHUFSPK&amp;VAR:QUERY=RkZfRUJJVERBX0lCKCdMVE1TJywzODk4Mik=&amp;WINDOW=FIRST_POPUP&amp;HEIGHT=450&amp;WIDTH=450&amp;START_MA","XIMIZED=FALSE&amp;VAR:CALENDAR=US&amp;VAR:SYMBOL=37183T10&amp;VAR:INDEX=0"}</definedName>
    <definedName name="_4903__FDSAUDITLINK__" hidden="1">{"fdsup://directions/FAT Viewer?action=UPDATE&amp;creator=factset&amp;DYN_ARGS=TRUE&amp;DOC_NAME=FAT:FQL_AUDITING_CLIENT_TEMPLATE.FAT&amp;display_string=Audit&amp;VAR:KEY=TIVMHUFSPK&amp;VAR:QUERY=RkZfRUJJVERBX0lCKCdMVE1TJywzODk4Mik=&amp;WINDOW=FIRST_POPUP&amp;HEIGHT=450&amp;WIDTH=450&amp;START_MA","XIMIZED=FALSE&amp;VAR:CALENDAR=US&amp;VAR:SYMBOL=37183T10&amp;VAR:INDEX=0"}</definedName>
    <definedName name="_4904__FDSAUDITLINK__" localSheetId="6" hidden="1">{"fdsup://directions/FAT Viewer?action=UPDATE&amp;creator=factset&amp;DYN_ARGS=TRUE&amp;DOC_NAME=FAT:FQL_AUDITING_CLIENT_TEMPLATE.FAT&amp;display_string=Audit&amp;VAR:KEY=LWNYPSDUXO&amp;VAR:QUERY=RkZfRUJJVERBX0lCKCdMVE1TJywzODk4MSk=&amp;WINDOW=FIRST_POPUP&amp;HEIGHT=450&amp;WIDTH=450&amp;START_MA","XIMIZED=FALSE&amp;VAR:CALENDAR=US&amp;VAR:SYMBOL=37183T10&amp;VAR:INDEX=0"}</definedName>
    <definedName name="_4904__FDSAUDITLINK__" hidden="1">{"fdsup://directions/FAT Viewer?action=UPDATE&amp;creator=factset&amp;DYN_ARGS=TRUE&amp;DOC_NAME=FAT:FQL_AUDITING_CLIENT_TEMPLATE.FAT&amp;display_string=Audit&amp;VAR:KEY=LWNYPSDUXO&amp;VAR:QUERY=RkZfRUJJVERBX0lCKCdMVE1TJywzODk4MSk=&amp;WINDOW=FIRST_POPUP&amp;HEIGHT=450&amp;WIDTH=450&amp;START_MA","XIMIZED=FALSE&amp;VAR:CALENDAR=US&amp;VAR:SYMBOL=37183T10&amp;VAR:INDEX=0"}</definedName>
    <definedName name="_4905__FDSAUDITLINK__" localSheetId="6" hidden="1">{"fdsup://directions/FAT Viewer?action=UPDATE&amp;creator=factset&amp;DYN_ARGS=TRUE&amp;DOC_NAME=FAT:FQL_AUDITING_CLIENT_TEMPLATE.FAT&amp;display_string=Audit&amp;VAR:KEY=PSRARSPUNI&amp;VAR:QUERY=RkZfRUJJVERBX0lCKCdMVE1TJywzODk4MCk=&amp;WINDOW=FIRST_POPUP&amp;HEIGHT=450&amp;WIDTH=450&amp;START_MA","XIMIZED=FALSE&amp;VAR:CALENDAR=US&amp;VAR:SYMBOL=37183T10&amp;VAR:INDEX=0"}</definedName>
    <definedName name="_4905__FDSAUDITLINK__" hidden="1">{"fdsup://directions/FAT Viewer?action=UPDATE&amp;creator=factset&amp;DYN_ARGS=TRUE&amp;DOC_NAME=FAT:FQL_AUDITING_CLIENT_TEMPLATE.FAT&amp;display_string=Audit&amp;VAR:KEY=PSRARSPUNI&amp;VAR:QUERY=RkZfRUJJVERBX0lCKCdMVE1TJywzODk4MCk=&amp;WINDOW=FIRST_POPUP&amp;HEIGHT=450&amp;WIDTH=450&amp;START_MA","XIMIZED=FALSE&amp;VAR:CALENDAR=US&amp;VAR:SYMBOL=37183T10&amp;VAR:INDEX=0"}</definedName>
    <definedName name="_4906__FDSAUDITLINK__" localSheetId="6" hidden="1">{"fdsup://directions/FAT Viewer?action=UPDATE&amp;creator=factset&amp;DYN_ARGS=TRUE&amp;DOC_NAME=FAT:FQL_AUDITING_CLIENT_TEMPLATE.FAT&amp;display_string=Audit&amp;VAR:KEY=TSVSTIPOHO&amp;VAR:QUERY=RkZfRUJJVERBX0lCKCdMVE1TJywzODk3OSk=&amp;WINDOW=FIRST_POPUP&amp;HEIGHT=450&amp;WIDTH=450&amp;START_MA","XIMIZED=FALSE&amp;VAR:CALENDAR=US&amp;VAR:SYMBOL=37183T10&amp;VAR:INDEX=0"}</definedName>
    <definedName name="_4906__FDSAUDITLINK__" hidden="1">{"fdsup://directions/FAT Viewer?action=UPDATE&amp;creator=factset&amp;DYN_ARGS=TRUE&amp;DOC_NAME=FAT:FQL_AUDITING_CLIENT_TEMPLATE.FAT&amp;display_string=Audit&amp;VAR:KEY=TSVSTIPOHO&amp;VAR:QUERY=RkZfRUJJVERBX0lCKCdMVE1TJywzODk3OSk=&amp;WINDOW=FIRST_POPUP&amp;HEIGHT=450&amp;WIDTH=450&amp;START_MA","XIMIZED=FALSE&amp;VAR:CALENDAR=US&amp;VAR:SYMBOL=37183T10&amp;VAR:INDEX=0"}</definedName>
    <definedName name="_4907__FDSAUDITLINK__" localSheetId="6" hidden="1">{"fdsup://directions/FAT Viewer?action=UPDATE&amp;creator=factset&amp;DYN_ARGS=TRUE&amp;DOC_NAME=FAT:FQL_AUDITING_CLIENT_TEMPLATE.FAT&amp;display_string=Audit&amp;VAR:KEY=RQJMXEZUNS&amp;VAR:QUERY=RkZfRUJJVERBX0lCKCdMVE1TJywzODk3OCk=&amp;WINDOW=FIRST_POPUP&amp;HEIGHT=450&amp;WIDTH=450&amp;START_MA","XIMIZED=FALSE&amp;VAR:CALENDAR=US&amp;VAR:SYMBOL=37183T10&amp;VAR:INDEX=0"}</definedName>
    <definedName name="_4907__FDSAUDITLINK__" hidden="1">{"fdsup://directions/FAT Viewer?action=UPDATE&amp;creator=factset&amp;DYN_ARGS=TRUE&amp;DOC_NAME=FAT:FQL_AUDITING_CLIENT_TEMPLATE.FAT&amp;display_string=Audit&amp;VAR:KEY=RQJMXEZUNS&amp;VAR:QUERY=RkZfRUJJVERBX0lCKCdMVE1TJywzODk3OCk=&amp;WINDOW=FIRST_POPUP&amp;HEIGHT=450&amp;WIDTH=450&amp;START_MA","XIMIZED=FALSE&amp;VAR:CALENDAR=US&amp;VAR:SYMBOL=37183T10&amp;VAR:INDEX=0"}</definedName>
    <definedName name="_4908__FDSAUDITLINK__" localSheetId="6" hidden="1">{"fdsup://directions/FAT Viewer?action=UPDATE&amp;creator=factset&amp;DYN_ARGS=TRUE&amp;DOC_NAME=FAT:FQL_AUDITING_CLIENT_TEMPLATE.FAT&amp;display_string=Audit&amp;VAR:KEY=FQZKPENGBK&amp;VAR:QUERY=RkZfRUJJVERBX0lCKCdMVE1TJywzODk3Nyk=&amp;WINDOW=FIRST_POPUP&amp;HEIGHT=450&amp;WIDTH=450&amp;START_MA","XIMIZED=FALSE&amp;VAR:CALENDAR=US&amp;VAR:SYMBOL=37183T10&amp;VAR:INDEX=0"}</definedName>
    <definedName name="_4908__FDSAUDITLINK__" hidden="1">{"fdsup://directions/FAT Viewer?action=UPDATE&amp;creator=factset&amp;DYN_ARGS=TRUE&amp;DOC_NAME=FAT:FQL_AUDITING_CLIENT_TEMPLATE.FAT&amp;display_string=Audit&amp;VAR:KEY=FQZKPENGBK&amp;VAR:QUERY=RkZfRUJJVERBX0lCKCdMVE1TJywzODk3Nyk=&amp;WINDOW=FIRST_POPUP&amp;HEIGHT=450&amp;WIDTH=450&amp;START_MA","XIMIZED=FALSE&amp;VAR:CALENDAR=US&amp;VAR:SYMBOL=37183T10&amp;VAR:INDEX=0"}</definedName>
    <definedName name="_4909__FDSAUDITLINK__" localSheetId="6" hidden="1">{"fdsup://directions/FAT Viewer?action=UPDATE&amp;creator=factset&amp;DYN_ARGS=TRUE&amp;DOC_NAME=FAT:FQL_AUDITING_CLIENT_TEMPLATE.FAT&amp;display_string=Audit&amp;VAR:KEY=DODCLMXGTG&amp;VAR:QUERY=RkZfRUJJVERBX0lCKCdMVE1TJywzODk3Nik=&amp;WINDOW=FIRST_POPUP&amp;HEIGHT=450&amp;WIDTH=450&amp;START_MA","XIMIZED=FALSE&amp;VAR:CALENDAR=US&amp;VAR:SYMBOL=37183T10&amp;VAR:INDEX=0"}</definedName>
    <definedName name="_4909__FDSAUDITLINK__" hidden="1">{"fdsup://directions/FAT Viewer?action=UPDATE&amp;creator=factset&amp;DYN_ARGS=TRUE&amp;DOC_NAME=FAT:FQL_AUDITING_CLIENT_TEMPLATE.FAT&amp;display_string=Audit&amp;VAR:KEY=DODCLMXGTG&amp;VAR:QUERY=RkZfRUJJVERBX0lCKCdMVE1TJywzODk3Nik=&amp;WINDOW=FIRST_POPUP&amp;HEIGHT=450&amp;WIDTH=450&amp;START_MA","XIMIZED=FALSE&amp;VAR:CALENDAR=US&amp;VAR:SYMBOL=37183T10&amp;VAR:INDEX=0"}</definedName>
    <definedName name="_491__FDSAUDITLINK__" localSheetId="6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1__FDSAUDITLINK__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10__FDSAUDITLINK__" localSheetId="6" hidden="1">{"fdsup://directions/FAT Viewer?action=UPDATE&amp;creator=factset&amp;DYN_ARGS=TRUE&amp;DOC_NAME=FAT:FQL_AUDITING_CLIENT_TEMPLATE.FAT&amp;display_string=Audit&amp;VAR:KEY=RIZKBQJWTQ&amp;VAR:QUERY=RkZfRUJJVERBX0lCKCdMVE1TJywzODk3NSk=&amp;WINDOW=FIRST_POPUP&amp;HEIGHT=450&amp;WIDTH=450&amp;START_MA","XIMIZED=FALSE&amp;VAR:CALENDAR=US&amp;VAR:SYMBOL=37183T10&amp;VAR:INDEX=0"}</definedName>
    <definedName name="_4910__FDSAUDITLINK__" hidden="1">{"fdsup://directions/FAT Viewer?action=UPDATE&amp;creator=factset&amp;DYN_ARGS=TRUE&amp;DOC_NAME=FAT:FQL_AUDITING_CLIENT_TEMPLATE.FAT&amp;display_string=Audit&amp;VAR:KEY=RIZKBQJWTQ&amp;VAR:QUERY=RkZfRUJJVERBX0lCKCdMVE1TJywzODk3NSk=&amp;WINDOW=FIRST_POPUP&amp;HEIGHT=450&amp;WIDTH=450&amp;START_MA","XIMIZED=FALSE&amp;VAR:CALENDAR=US&amp;VAR:SYMBOL=37183T10&amp;VAR:INDEX=0"}</definedName>
    <definedName name="_4911__FDSAUDITLINK__" localSheetId="6" hidden="1">{"fdsup://directions/FAT Viewer?action=UPDATE&amp;creator=factset&amp;DYN_ARGS=TRUE&amp;DOC_NAME=FAT:FQL_AUDITING_CLIENT_TEMPLATE.FAT&amp;display_string=Audit&amp;VAR:KEY=DMZMBSNIHG&amp;VAR:QUERY=RkZfRUJJVERBX0lCKCdMVE1TJywzODk3NCk=&amp;WINDOW=FIRST_POPUP&amp;HEIGHT=450&amp;WIDTH=450&amp;START_MA","XIMIZED=FALSE&amp;VAR:CALENDAR=US&amp;VAR:SYMBOL=37183T10&amp;VAR:INDEX=0"}</definedName>
    <definedName name="_4911__FDSAUDITLINK__" hidden="1">{"fdsup://directions/FAT Viewer?action=UPDATE&amp;creator=factset&amp;DYN_ARGS=TRUE&amp;DOC_NAME=FAT:FQL_AUDITING_CLIENT_TEMPLATE.FAT&amp;display_string=Audit&amp;VAR:KEY=DMZMBSNIHG&amp;VAR:QUERY=RkZfRUJJVERBX0lCKCdMVE1TJywzODk3NCk=&amp;WINDOW=FIRST_POPUP&amp;HEIGHT=450&amp;WIDTH=450&amp;START_MA","XIMIZED=FALSE&amp;VAR:CALENDAR=US&amp;VAR:SYMBOL=37183T10&amp;VAR:INDEX=0"}</definedName>
    <definedName name="_4912__FDSAUDITLINK__" localSheetId="6" hidden="1">{"fdsup://directions/FAT Viewer?action=UPDATE&amp;creator=factset&amp;DYN_ARGS=TRUE&amp;DOC_NAME=FAT:FQL_AUDITING_CLIENT_TEMPLATE.FAT&amp;display_string=Audit&amp;VAR:KEY=DUXQZALEFE&amp;VAR:QUERY=RkZfRUJJVERBX0lCKCdMVE1TJywzODk3Myk=&amp;WINDOW=FIRST_POPUP&amp;HEIGHT=450&amp;WIDTH=450&amp;START_MA","XIMIZED=FALSE&amp;VAR:CALENDAR=US&amp;VAR:SYMBOL=37183T10&amp;VAR:INDEX=0"}</definedName>
    <definedName name="_4912__FDSAUDITLINK__" hidden="1">{"fdsup://directions/FAT Viewer?action=UPDATE&amp;creator=factset&amp;DYN_ARGS=TRUE&amp;DOC_NAME=FAT:FQL_AUDITING_CLIENT_TEMPLATE.FAT&amp;display_string=Audit&amp;VAR:KEY=DUXQZALEFE&amp;VAR:QUERY=RkZfRUJJVERBX0lCKCdMVE1TJywzODk3Myk=&amp;WINDOW=FIRST_POPUP&amp;HEIGHT=450&amp;WIDTH=450&amp;START_MA","XIMIZED=FALSE&amp;VAR:CALENDAR=US&amp;VAR:SYMBOL=37183T10&amp;VAR:INDEX=0"}</definedName>
    <definedName name="_4913__FDSAUDITLINK__" localSheetId="6" hidden="1">{"fdsup://directions/FAT Viewer?action=UPDATE&amp;creator=factset&amp;DYN_ARGS=TRUE&amp;DOC_NAME=FAT:FQL_AUDITING_CLIENT_TEMPLATE.FAT&amp;display_string=Audit&amp;VAR:KEY=XKDYJCPAFG&amp;VAR:QUERY=RkZfRUJJVERBX0lCKCdMVE1TJywzODk3Mik=&amp;WINDOW=FIRST_POPUP&amp;HEIGHT=450&amp;WIDTH=450&amp;START_MA","XIMIZED=FALSE&amp;VAR:CALENDAR=US&amp;VAR:SYMBOL=37183T10&amp;VAR:INDEX=0"}</definedName>
    <definedName name="_4913__FDSAUDITLINK__" hidden="1">{"fdsup://directions/FAT Viewer?action=UPDATE&amp;creator=factset&amp;DYN_ARGS=TRUE&amp;DOC_NAME=FAT:FQL_AUDITING_CLIENT_TEMPLATE.FAT&amp;display_string=Audit&amp;VAR:KEY=XKDYJCPAFG&amp;VAR:QUERY=RkZfRUJJVERBX0lCKCdMVE1TJywzODk3Mik=&amp;WINDOW=FIRST_POPUP&amp;HEIGHT=450&amp;WIDTH=450&amp;START_MA","XIMIZED=FALSE&amp;VAR:CALENDAR=US&amp;VAR:SYMBOL=37183T10&amp;VAR:INDEX=0"}</definedName>
    <definedName name="_4914__FDSAUDITLINK__" localSheetId="6" hidden="1">{"fdsup://directions/FAT Viewer?action=UPDATE&amp;creator=factset&amp;DYN_ARGS=TRUE&amp;DOC_NAME=FAT:FQL_AUDITING_CLIENT_TEMPLATE.FAT&amp;display_string=Audit&amp;VAR:KEY=LUBQXCPQBY&amp;VAR:QUERY=RkZfRUJJVERBX0lCKCdMVE1TJywzODk3MSk=&amp;WINDOW=FIRST_POPUP&amp;HEIGHT=450&amp;WIDTH=450&amp;START_MA","XIMIZED=FALSE&amp;VAR:CALENDAR=US&amp;VAR:SYMBOL=37183T10&amp;VAR:INDEX=0"}</definedName>
    <definedName name="_4914__FDSAUDITLINK__" hidden="1">{"fdsup://directions/FAT Viewer?action=UPDATE&amp;creator=factset&amp;DYN_ARGS=TRUE&amp;DOC_NAME=FAT:FQL_AUDITING_CLIENT_TEMPLATE.FAT&amp;display_string=Audit&amp;VAR:KEY=LUBQXCPQBY&amp;VAR:QUERY=RkZfRUJJVERBX0lCKCdMVE1TJywzODk3MSk=&amp;WINDOW=FIRST_POPUP&amp;HEIGHT=450&amp;WIDTH=450&amp;START_MA","XIMIZED=FALSE&amp;VAR:CALENDAR=US&amp;VAR:SYMBOL=37183T10&amp;VAR:INDEX=0"}</definedName>
    <definedName name="_4915__FDSAUDITLINK__" localSheetId="6" hidden="1">{"fdsup://directions/FAT Viewer?action=UPDATE&amp;creator=factset&amp;DYN_ARGS=TRUE&amp;DOC_NAME=FAT:FQL_AUDITING_CLIENT_TEMPLATE.FAT&amp;display_string=Audit&amp;VAR:KEY=RUJKVKBIHE&amp;VAR:QUERY=RkZfRUJJVERBX0lCKCdMVE1TJywzODk3MCk=&amp;WINDOW=FIRST_POPUP&amp;HEIGHT=450&amp;WIDTH=450&amp;START_MA","XIMIZED=FALSE&amp;VAR:CALENDAR=US&amp;VAR:SYMBOL=37183T10&amp;VAR:INDEX=0"}</definedName>
    <definedName name="_4915__FDSAUDITLINK__" hidden="1">{"fdsup://directions/FAT Viewer?action=UPDATE&amp;creator=factset&amp;DYN_ARGS=TRUE&amp;DOC_NAME=FAT:FQL_AUDITING_CLIENT_TEMPLATE.FAT&amp;display_string=Audit&amp;VAR:KEY=RUJKVKBIHE&amp;VAR:QUERY=RkZfRUJJVERBX0lCKCdMVE1TJywzODk3MCk=&amp;WINDOW=FIRST_POPUP&amp;HEIGHT=450&amp;WIDTH=450&amp;START_MA","XIMIZED=FALSE&amp;VAR:CALENDAR=US&amp;VAR:SYMBOL=37183T10&amp;VAR:INDEX=0"}</definedName>
    <definedName name="_4916__FDSAUDITLINK__" localSheetId="6" hidden="1">{"fdsup://directions/FAT Viewer?action=UPDATE&amp;creator=factset&amp;DYN_ARGS=TRUE&amp;DOC_NAME=FAT:FQL_AUDITING_CLIENT_TEMPLATE.FAT&amp;display_string=Audit&amp;VAR:KEY=FABEBCPSVY&amp;VAR:QUERY=RkZfRUJJVERBX0lCKCdMVE1TJywzODk2OSk=&amp;WINDOW=FIRST_POPUP&amp;HEIGHT=450&amp;WIDTH=450&amp;START_MA","XIMIZED=FALSE&amp;VAR:CALENDAR=US&amp;VAR:SYMBOL=37183T10&amp;VAR:INDEX=0"}</definedName>
    <definedName name="_4916__FDSAUDITLINK__" hidden="1">{"fdsup://directions/FAT Viewer?action=UPDATE&amp;creator=factset&amp;DYN_ARGS=TRUE&amp;DOC_NAME=FAT:FQL_AUDITING_CLIENT_TEMPLATE.FAT&amp;display_string=Audit&amp;VAR:KEY=FABEBCPSVY&amp;VAR:QUERY=RkZfRUJJVERBX0lCKCdMVE1TJywzODk2OSk=&amp;WINDOW=FIRST_POPUP&amp;HEIGHT=450&amp;WIDTH=450&amp;START_MA","XIMIZED=FALSE&amp;VAR:CALENDAR=US&amp;VAR:SYMBOL=37183T10&amp;VAR:INDEX=0"}</definedName>
    <definedName name="_4917__FDSAUDITLINK__" localSheetId="6" hidden="1">{"fdsup://directions/FAT Viewer?action=UPDATE&amp;creator=factset&amp;DYN_ARGS=TRUE&amp;DOC_NAME=FAT:FQL_AUDITING_CLIENT_TEMPLATE.FAT&amp;display_string=Audit&amp;VAR:KEY=VKLWFITYRI&amp;VAR:QUERY=RkZfRUJJVERBX0lCKCdMVE1TJywzODk2OCk=&amp;WINDOW=FIRST_POPUP&amp;HEIGHT=450&amp;WIDTH=450&amp;START_MA","XIMIZED=FALSE&amp;VAR:CALENDAR=US&amp;VAR:SYMBOL=37183T10&amp;VAR:INDEX=0"}</definedName>
    <definedName name="_4917__FDSAUDITLINK__" hidden="1">{"fdsup://directions/FAT Viewer?action=UPDATE&amp;creator=factset&amp;DYN_ARGS=TRUE&amp;DOC_NAME=FAT:FQL_AUDITING_CLIENT_TEMPLATE.FAT&amp;display_string=Audit&amp;VAR:KEY=VKLWFITYRI&amp;VAR:QUERY=RkZfRUJJVERBX0lCKCdMVE1TJywzODk2OCk=&amp;WINDOW=FIRST_POPUP&amp;HEIGHT=450&amp;WIDTH=450&amp;START_MA","XIMIZED=FALSE&amp;VAR:CALENDAR=US&amp;VAR:SYMBOL=37183T10&amp;VAR:INDEX=0"}</definedName>
    <definedName name="_4918__FDSAUDITLINK__" localSheetId="6" hidden="1">{"fdsup://directions/FAT Viewer?action=UPDATE&amp;creator=factset&amp;DYN_ARGS=TRUE&amp;DOC_NAME=FAT:FQL_AUDITING_CLIENT_TEMPLATE.FAT&amp;display_string=Audit&amp;VAR:KEY=ZILSBCFCHG&amp;VAR:QUERY=RkZfRUJJVERBX0lCKCdMVE1TJywzODk2Nyk=&amp;WINDOW=FIRST_POPUP&amp;HEIGHT=450&amp;WIDTH=450&amp;START_MA","XIMIZED=FALSE&amp;VAR:CALENDAR=US&amp;VAR:SYMBOL=37183T10&amp;VAR:INDEX=0"}</definedName>
    <definedName name="_4918__FDSAUDITLINK__" hidden="1">{"fdsup://directions/FAT Viewer?action=UPDATE&amp;creator=factset&amp;DYN_ARGS=TRUE&amp;DOC_NAME=FAT:FQL_AUDITING_CLIENT_TEMPLATE.FAT&amp;display_string=Audit&amp;VAR:KEY=ZILSBCFCHG&amp;VAR:QUERY=RkZfRUJJVERBX0lCKCdMVE1TJywzODk2Nyk=&amp;WINDOW=FIRST_POPUP&amp;HEIGHT=450&amp;WIDTH=450&amp;START_MA","XIMIZED=FALSE&amp;VAR:CALENDAR=US&amp;VAR:SYMBOL=37183T10&amp;VAR:INDEX=0"}</definedName>
    <definedName name="_4919__FDSAUDITLINK__" localSheetId="6" hidden="1">{"fdsup://directions/FAT Viewer?action=UPDATE&amp;creator=factset&amp;DYN_ARGS=TRUE&amp;DOC_NAME=FAT:FQL_AUDITING_CLIENT_TEMPLATE.FAT&amp;display_string=Audit&amp;VAR:KEY=ZWFOZKLYZK&amp;VAR:QUERY=RkZfRUJJVERBX0lCKCdMVE1TJywzODk2Nik=&amp;WINDOW=FIRST_POPUP&amp;HEIGHT=450&amp;WIDTH=450&amp;START_MA","XIMIZED=FALSE&amp;VAR:CALENDAR=US&amp;VAR:SYMBOL=37183T10&amp;VAR:INDEX=0"}</definedName>
    <definedName name="_4919__FDSAUDITLINK__" hidden="1">{"fdsup://directions/FAT Viewer?action=UPDATE&amp;creator=factset&amp;DYN_ARGS=TRUE&amp;DOC_NAME=FAT:FQL_AUDITING_CLIENT_TEMPLATE.FAT&amp;display_string=Audit&amp;VAR:KEY=ZWFOZKLYZK&amp;VAR:QUERY=RkZfRUJJVERBX0lCKCdMVE1TJywzODk2Nik=&amp;WINDOW=FIRST_POPUP&amp;HEIGHT=450&amp;WIDTH=450&amp;START_MA","XIMIZED=FALSE&amp;VAR:CALENDAR=US&amp;VAR:SYMBOL=37183T10&amp;VAR:INDEX=0"}</definedName>
    <definedName name="_492__FDSAUDITLINK__" localSheetId="6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2__FDSAUDITLINK__" hidden="1">{"fdsup://directions/FAT%20Viewer?VAR:PED=LTM&amp;VAR:AUDIT_MODE=SUMMARY&amp;VAR:PERIOD=FIXED&amp;VAR:AUDIT_ID=00000117&amp;VAR:DATE=20081017&amp;action=UPDATE&amp;creator=factset&amp;DOC_NAME=FAT:FMA_audit_SUMMARY.fat&amp;DISPLAY_STRING=Display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20__FDSAUDITLINK__" localSheetId="6" hidden="1">{"fdsup://directions/FAT Viewer?action=UPDATE&amp;creator=factset&amp;DYN_ARGS=TRUE&amp;DOC_NAME=FAT:FQL_AUDITING_CLIENT_TEMPLATE.FAT&amp;display_string=Audit&amp;VAR:KEY=HUHARQXARI&amp;VAR:QUERY=RkZfRUJJVERBX0lCKCdMVE1TJywzODk2NSk=&amp;WINDOW=FIRST_POPUP&amp;HEIGHT=450&amp;WIDTH=450&amp;START_MA","XIMIZED=FALSE&amp;VAR:CALENDAR=US&amp;VAR:SYMBOL=37183T10&amp;VAR:INDEX=0"}</definedName>
    <definedName name="_4920__FDSAUDITLINK__" hidden="1">{"fdsup://directions/FAT Viewer?action=UPDATE&amp;creator=factset&amp;DYN_ARGS=TRUE&amp;DOC_NAME=FAT:FQL_AUDITING_CLIENT_TEMPLATE.FAT&amp;display_string=Audit&amp;VAR:KEY=HUHARQXARI&amp;VAR:QUERY=RkZfRUJJVERBX0lCKCdMVE1TJywzODk2NSk=&amp;WINDOW=FIRST_POPUP&amp;HEIGHT=450&amp;WIDTH=450&amp;START_MA","XIMIZED=FALSE&amp;VAR:CALENDAR=US&amp;VAR:SYMBOL=37183T10&amp;VAR:INDEX=0"}</definedName>
    <definedName name="_4921__FDSAUDITLINK__" localSheetId="6" hidden="1">{"fdsup://directions/FAT Viewer?action=UPDATE&amp;creator=factset&amp;DYN_ARGS=TRUE&amp;DOC_NAME=FAT:FQL_AUDITING_CLIENT_TEMPLATE.FAT&amp;display_string=Audit&amp;VAR:KEY=VOXGRSVUXA&amp;VAR:QUERY=RkZfRUJJVERBX0lCKCdMVE1TJywzODk2NCk=&amp;WINDOW=FIRST_POPUP&amp;HEIGHT=450&amp;WIDTH=450&amp;START_MA","XIMIZED=FALSE&amp;VAR:CALENDAR=US&amp;VAR:SYMBOL=37183T10&amp;VAR:INDEX=0"}</definedName>
    <definedName name="_4921__FDSAUDITLINK__" hidden="1">{"fdsup://directions/FAT Viewer?action=UPDATE&amp;creator=factset&amp;DYN_ARGS=TRUE&amp;DOC_NAME=FAT:FQL_AUDITING_CLIENT_TEMPLATE.FAT&amp;display_string=Audit&amp;VAR:KEY=VOXGRSVUXA&amp;VAR:QUERY=RkZfRUJJVERBX0lCKCdMVE1TJywzODk2NCk=&amp;WINDOW=FIRST_POPUP&amp;HEIGHT=450&amp;WIDTH=450&amp;START_MA","XIMIZED=FALSE&amp;VAR:CALENDAR=US&amp;VAR:SYMBOL=37183T10&amp;VAR:INDEX=0"}</definedName>
    <definedName name="_4922__FDSAUDITLINK__" localSheetId="6" hidden="1">{"fdsup://directions/FAT Viewer?action=UPDATE&amp;creator=factset&amp;DYN_ARGS=TRUE&amp;DOC_NAME=FAT:FQL_AUDITING_CLIENT_TEMPLATE.FAT&amp;display_string=Audit&amp;VAR:KEY=VANMDUZIXU&amp;VAR:QUERY=RkZfRUJJVERBX0lCKCdMVE1TJywzODk2Myk=&amp;WINDOW=FIRST_POPUP&amp;HEIGHT=450&amp;WIDTH=450&amp;START_MA","XIMIZED=FALSE&amp;VAR:CALENDAR=US&amp;VAR:SYMBOL=37183T10&amp;VAR:INDEX=0"}</definedName>
    <definedName name="_4922__FDSAUDITLINK__" hidden="1">{"fdsup://directions/FAT Viewer?action=UPDATE&amp;creator=factset&amp;DYN_ARGS=TRUE&amp;DOC_NAME=FAT:FQL_AUDITING_CLIENT_TEMPLATE.FAT&amp;display_string=Audit&amp;VAR:KEY=VANMDUZIXU&amp;VAR:QUERY=RkZfRUJJVERBX0lCKCdMVE1TJywzODk2Myk=&amp;WINDOW=FIRST_POPUP&amp;HEIGHT=450&amp;WIDTH=450&amp;START_MA","XIMIZED=FALSE&amp;VAR:CALENDAR=US&amp;VAR:SYMBOL=37183T10&amp;VAR:INDEX=0"}</definedName>
    <definedName name="_4923__FDSAUDITLINK__" localSheetId="6" hidden="1">{"fdsup://directions/FAT Viewer?action=UPDATE&amp;creator=factset&amp;DYN_ARGS=TRUE&amp;DOC_NAME=FAT:FQL_AUDITING_CLIENT_TEMPLATE.FAT&amp;display_string=Audit&amp;VAR:KEY=VKBAHOLGFO&amp;VAR:QUERY=RkZfRUJJVERBX0lCKCdMVE1TJywzODk2Mik=&amp;WINDOW=FIRST_POPUP&amp;HEIGHT=450&amp;WIDTH=450&amp;START_MA","XIMIZED=FALSE&amp;VAR:CALENDAR=US&amp;VAR:SYMBOL=37183T10&amp;VAR:INDEX=0"}</definedName>
    <definedName name="_4923__FDSAUDITLINK__" hidden="1">{"fdsup://directions/FAT Viewer?action=UPDATE&amp;creator=factset&amp;DYN_ARGS=TRUE&amp;DOC_NAME=FAT:FQL_AUDITING_CLIENT_TEMPLATE.FAT&amp;display_string=Audit&amp;VAR:KEY=VKBAHOLGFO&amp;VAR:QUERY=RkZfRUJJVERBX0lCKCdMVE1TJywzODk2Mik=&amp;WINDOW=FIRST_POPUP&amp;HEIGHT=450&amp;WIDTH=450&amp;START_MA","XIMIZED=FALSE&amp;VAR:CALENDAR=US&amp;VAR:SYMBOL=37183T10&amp;VAR:INDEX=0"}</definedName>
    <definedName name="_4924__FDSAUDITLINK__" localSheetId="6" hidden="1">{"fdsup://directions/FAT Viewer?action=UPDATE&amp;creator=factset&amp;DYN_ARGS=TRUE&amp;DOC_NAME=FAT:FQL_AUDITING_CLIENT_TEMPLATE.FAT&amp;display_string=Audit&amp;VAR:KEY=DMFUZWXAXE&amp;VAR:QUERY=RkZfRUJJVERBX0lCKCdMVE1TJywzODk2MSk=&amp;WINDOW=FIRST_POPUP&amp;HEIGHT=450&amp;WIDTH=450&amp;START_MA","XIMIZED=FALSE&amp;VAR:CALENDAR=US&amp;VAR:SYMBOL=37183T10&amp;VAR:INDEX=0"}</definedName>
    <definedName name="_4924__FDSAUDITLINK__" hidden="1">{"fdsup://directions/FAT Viewer?action=UPDATE&amp;creator=factset&amp;DYN_ARGS=TRUE&amp;DOC_NAME=FAT:FQL_AUDITING_CLIENT_TEMPLATE.FAT&amp;display_string=Audit&amp;VAR:KEY=DMFUZWXAXE&amp;VAR:QUERY=RkZfRUJJVERBX0lCKCdMVE1TJywzODk2MSk=&amp;WINDOW=FIRST_POPUP&amp;HEIGHT=450&amp;WIDTH=450&amp;START_MA","XIMIZED=FALSE&amp;VAR:CALENDAR=US&amp;VAR:SYMBOL=37183T10&amp;VAR:INDEX=0"}</definedName>
    <definedName name="_4925__FDSAUDITLINK__" localSheetId="6" hidden="1">{"fdsup://directions/FAT Viewer?action=UPDATE&amp;creator=factset&amp;DYN_ARGS=TRUE&amp;DOC_NAME=FAT:FQL_AUDITING_CLIENT_TEMPLATE.FAT&amp;display_string=Audit&amp;VAR:KEY=XWNEBONABW&amp;VAR:QUERY=RkZfRUJJVERBX0lCKCdMVE1TJywzODk2MCk=&amp;WINDOW=FIRST_POPUP&amp;HEIGHT=450&amp;WIDTH=450&amp;START_MA","XIMIZED=FALSE&amp;VAR:CALENDAR=US&amp;VAR:SYMBOL=37183T10&amp;VAR:INDEX=0"}</definedName>
    <definedName name="_4925__FDSAUDITLINK__" hidden="1">{"fdsup://directions/FAT Viewer?action=UPDATE&amp;creator=factset&amp;DYN_ARGS=TRUE&amp;DOC_NAME=FAT:FQL_AUDITING_CLIENT_TEMPLATE.FAT&amp;display_string=Audit&amp;VAR:KEY=XWNEBONABW&amp;VAR:QUERY=RkZfRUJJVERBX0lCKCdMVE1TJywzODk2MCk=&amp;WINDOW=FIRST_POPUP&amp;HEIGHT=450&amp;WIDTH=450&amp;START_MA","XIMIZED=FALSE&amp;VAR:CALENDAR=US&amp;VAR:SYMBOL=37183T10&amp;VAR:INDEX=0"}</definedName>
    <definedName name="_4926__FDSAUDITLINK__" localSheetId="6" hidden="1">{"fdsup://directions/FAT Viewer?action=UPDATE&amp;creator=factset&amp;DYN_ARGS=TRUE&amp;DOC_NAME=FAT:FQL_AUDITING_CLIENT_TEMPLATE.FAT&amp;display_string=Audit&amp;VAR:KEY=NAZMDSNEXY&amp;VAR:QUERY=RkZfRUJJVERBX0lCKCdMVE1TJywzODk1OSk=&amp;WINDOW=FIRST_POPUP&amp;HEIGHT=450&amp;WIDTH=450&amp;START_MA","XIMIZED=FALSE&amp;VAR:CALENDAR=US&amp;VAR:SYMBOL=37183T10&amp;VAR:INDEX=0"}</definedName>
    <definedName name="_4926__FDSAUDITLINK__" hidden="1">{"fdsup://directions/FAT Viewer?action=UPDATE&amp;creator=factset&amp;DYN_ARGS=TRUE&amp;DOC_NAME=FAT:FQL_AUDITING_CLIENT_TEMPLATE.FAT&amp;display_string=Audit&amp;VAR:KEY=NAZMDSNEXY&amp;VAR:QUERY=RkZfRUJJVERBX0lCKCdMVE1TJywzODk1OSk=&amp;WINDOW=FIRST_POPUP&amp;HEIGHT=450&amp;WIDTH=450&amp;START_MA","XIMIZED=FALSE&amp;VAR:CALENDAR=US&amp;VAR:SYMBOL=37183T10&amp;VAR:INDEX=0"}</definedName>
    <definedName name="_4927__FDSAUDITLINK__" localSheetId="6" hidden="1">{"fdsup://directions/FAT Viewer?action=UPDATE&amp;creator=factset&amp;DYN_ARGS=TRUE&amp;DOC_NAME=FAT:FQL_AUDITING_CLIENT_TEMPLATE.FAT&amp;display_string=Audit&amp;VAR:KEY=XGZAXSDIXO&amp;VAR:QUERY=RkZfRUJJVERBX0lCKCdMVE1TJywzODk1OCk=&amp;WINDOW=FIRST_POPUP&amp;HEIGHT=450&amp;WIDTH=450&amp;START_MA","XIMIZED=FALSE&amp;VAR:CALENDAR=US&amp;VAR:SYMBOL=37183T10&amp;VAR:INDEX=0"}</definedName>
    <definedName name="_4927__FDSAUDITLINK__" hidden="1">{"fdsup://directions/FAT Viewer?action=UPDATE&amp;creator=factset&amp;DYN_ARGS=TRUE&amp;DOC_NAME=FAT:FQL_AUDITING_CLIENT_TEMPLATE.FAT&amp;display_string=Audit&amp;VAR:KEY=XGZAXSDIXO&amp;VAR:QUERY=RkZfRUJJVERBX0lCKCdMVE1TJywzODk1OCk=&amp;WINDOW=FIRST_POPUP&amp;HEIGHT=450&amp;WIDTH=450&amp;START_MA","XIMIZED=FALSE&amp;VAR:CALENDAR=US&amp;VAR:SYMBOL=37183T10&amp;VAR:INDEX=0"}</definedName>
    <definedName name="_4928__FDSAUDITLINK__" localSheetId="6" hidden="1">{"fdsup://directions/FAT Viewer?action=UPDATE&amp;creator=factset&amp;DYN_ARGS=TRUE&amp;DOC_NAME=FAT:FQL_AUDITING_CLIENT_TEMPLATE.FAT&amp;display_string=Audit&amp;VAR:KEY=XKNGPCPSJQ&amp;VAR:QUERY=RkZfRUJJVERBX0lCKCdMVE1TJywzODk1Nyk=&amp;WINDOW=FIRST_POPUP&amp;HEIGHT=450&amp;WIDTH=450&amp;START_MA","XIMIZED=FALSE&amp;VAR:CALENDAR=US&amp;VAR:SYMBOL=37183T10&amp;VAR:INDEX=0"}</definedName>
    <definedName name="_4928__FDSAUDITLINK__" hidden="1">{"fdsup://directions/FAT Viewer?action=UPDATE&amp;creator=factset&amp;DYN_ARGS=TRUE&amp;DOC_NAME=FAT:FQL_AUDITING_CLIENT_TEMPLATE.FAT&amp;display_string=Audit&amp;VAR:KEY=XKNGPCPSJQ&amp;VAR:QUERY=RkZfRUJJVERBX0lCKCdMVE1TJywzODk1Nyk=&amp;WINDOW=FIRST_POPUP&amp;HEIGHT=450&amp;WIDTH=450&amp;START_MA","XIMIZED=FALSE&amp;VAR:CALENDAR=US&amp;VAR:SYMBOL=37183T10&amp;VAR:INDEX=0"}</definedName>
    <definedName name="_4929__FDSAUDITLINK__" localSheetId="6" hidden="1">{"fdsup://directions/FAT Viewer?action=UPDATE&amp;creator=factset&amp;DYN_ARGS=TRUE&amp;DOC_NAME=FAT:FQL_AUDITING_CLIENT_TEMPLATE.FAT&amp;display_string=Audit&amp;VAR:KEY=ZCLMBOHOTM&amp;VAR:QUERY=RkZfRUJJVERBX0lCKCdMVE1TJywzODk1Nik=&amp;WINDOW=FIRST_POPUP&amp;HEIGHT=450&amp;WIDTH=450&amp;START_MA","XIMIZED=FALSE&amp;VAR:CALENDAR=US&amp;VAR:SYMBOL=37183T10&amp;VAR:INDEX=0"}</definedName>
    <definedName name="_4929__FDSAUDITLINK__" hidden="1">{"fdsup://directions/FAT Viewer?action=UPDATE&amp;creator=factset&amp;DYN_ARGS=TRUE&amp;DOC_NAME=FAT:FQL_AUDITING_CLIENT_TEMPLATE.FAT&amp;display_string=Audit&amp;VAR:KEY=ZCLMBOHOTM&amp;VAR:QUERY=RkZfRUJJVERBX0lCKCdMVE1TJywzODk1Nik=&amp;WINDOW=FIRST_POPUP&amp;HEIGHT=450&amp;WIDTH=450&amp;START_MA","XIMIZED=FALSE&amp;VAR:CALENDAR=US&amp;VAR:SYMBOL=37183T10&amp;VAR:INDEX=0"}</definedName>
    <definedName name="_493__FDSAUDITLINK__" localSheetId="6" hidden="1">{"fdsup://directions/FAT%20Viewer?VAR:PED=LTM&amp;VAR:AUDIT_MODE=SUMMARY&amp;VAR:PERIOD=FIXED&amp;VAR:AUDIT_ID=00000117&amp;VAR:DATE=20081016&amp;action=UPDATE&amp;creator=factset&amp;DOC_NAME=FAT:FMA_audit_SUMMARY.fat&amp;DISPLAY_STRING=Display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3__FDSAUDITLINK__" hidden="1">{"fdsup://directions/FAT%20Viewer?VAR:PED=LTM&amp;VAR:AUDIT_MODE=SUMMARY&amp;VAR:PERIOD=FIXED&amp;VAR:AUDIT_ID=00000117&amp;VAR:DATE=20081016&amp;action=UPDATE&amp;creator=factset&amp;DOC_NAME=FAT:FMA_audit_SUMMARY.fat&amp;DISPLAY_STRING=Display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30__FDSAUDITLINK__" localSheetId="6" hidden="1">{"fdsup://directions/FAT Viewer?action=UPDATE&amp;creator=factset&amp;DYN_ARGS=TRUE&amp;DOC_NAME=FAT:FQL_AUDITING_CLIENT_TEMPLATE.FAT&amp;display_string=Audit&amp;VAR:KEY=DGTCNIRUHG&amp;VAR:QUERY=RkZfRUJJVERBX0lCKCdMVE1TJywzODk1NSk=&amp;WINDOW=FIRST_POPUP&amp;HEIGHT=450&amp;WIDTH=450&amp;START_MA","XIMIZED=FALSE&amp;VAR:CALENDAR=US&amp;VAR:SYMBOL=37183T10&amp;VAR:INDEX=0"}</definedName>
    <definedName name="_4930__FDSAUDITLINK__" hidden="1">{"fdsup://directions/FAT Viewer?action=UPDATE&amp;creator=factset&amp;DYN_ARGS=TRUE&amp;DOC_NAME=FAT:FQL_AUDITING_CLIENT_TEMPLATE.FAT&amp;display_string=Audit&amp;VAR:KEY=DGTCNIRUHG&amp;VAR:QUERY=RkZfRUJJVERBX0lCKCdMVE1TJywzODk1NSk=&amp;WINDOW=FIRST_POPUP&amp;HEIGHT=450&amp;WIDTH=450&amp;START_MA","XIMIZED=FALSE&amp;VAR:CALENDAR=US&amp;VAR:SYMBOL=37183T10&amp;VAR:INDEX=0"}</definedName>
    <definedName name="_4931__FDSAUDITLINK__" localSheetId="6" hidden="1">{"fdsup://directions/FAT Viewer?action=UPDATE&amp;creator=factset&amp;DYN_ARGS=TRUE&amp;DOC_NAME=FAT:FQL_AUDITING_CLIENT_TEMPLATE.FAT&amp;display_string=Audit&amp;VAR:KEY=DQFMFWLYPQ&amp;VAR:QUERY=RkZfRUJJVERBX0lCKCdMVE1TJywzODk1NCk=&amp;WINDOW=FIRST_POPUP&amp;HEIGHT=450&amp;WIDTH=450&amp;START_MA","XIMIZED=FALSE&amp;VAR:CALENDAR=US&amp;VAR:SYMBOL=37183T10&amp;VAR:INDEX=0"}</definedName>
    <definedName name="_4931__FDSAUDITLINK__" hidden="1">{"fdsup://directions/FAT Viewer?action=UPDATE&amp;creator=factset&amp;DYN_ARGS=TRUE&amp;DOC_NAME=FAT:FQL_AUDITING_CLIENT_TEMPLATE.FAT&amp;display_string=Audit&amp;VAR:KEY=DQFMFWLYPQ&amp;VAR:QUERY=RkZfRUJJVERBX0lCKCdMVE1TJywzODk1NCk=&amp;WINDOW=FIRST_POPUP&amp;HEIGHT=450&amp;WIDTH=450&amp;START_MA","XIMIZED=FALSE&amp;VAR:CALENDAR=US&amp;VAR:SYMBOL=37183T10&amp;VAR:INDEX=0"}</definedName>
    <definedName name="_4932__FDSAUDITLINK__" localSheetId="6" hidden="1">{"fdsup://directions/FAT Viewer?action=UPDATE&amp;creator=factset&amp;DYN_ARGS=TRUE&amp;DOC_NAME=FAT:FQL_AUDITING_CLIENT_TEMPLATE.FAT&amp;display_string=Audit&amp;VAR:KEY=BQHAHMBEFK&amp;VAR:QUERY=RkZfRUJJVERBX0lCKCdMVE1TJywzODk1Myk=&amp;WINDOW=FIRST_POPUP&amp;HEIGHT=450&amp;WIDTH=450&amp;START_MA","XIMIZED=FALSE&amp;VAR:CALENDAR=US&amp;VAR:SYMBOL=37183T10&amp;VAR:INDEX=0"}</definedName>
    <definedName name="_4932__FDSAUDITLINK__" hidden="1">{"fdsup://directions/FAT Viewer?action=UPDATE&amp;creator=factset&amp;DYN_ARGS=TRUE&amp;DOC_NAME=FAT:FQL_AUDITING_CLIENT_TEMPLATE.FAT&amp;display_string=Audit&amp;VAR:KEY=BQHAHMBEFK&amp;VAR:QUERY=RkZfRUJJVERBX0lCKCdMVE1TJywzODk1Myk=&amp;WINDOW=FIRST_POPUP&amp;HEIGHT=450&amp;WIDTH=450&amp;START_MA","XIMIZED=FALSE&amp;VAR:CALENDAR=US&amp;VAR:SYMBOL=37183T10&amp;VAR:INDEX=0"}</definedName>
    <definedName name="_4933__FDSAUDITLINK__" localSheetId="6" hidden="1">{"fdsup://directions/FAT Viewer?action=UPDATE&amp;creator=factset&amp;DYN_ARGS=TRUE&amp;DOC_NAME=FAT:FQL_AUDITING_CLIENT_TEMPLATE.FAT&amp;display_string=Audit&amp;VAR:KEY=PQJIXSNUVW&amp;VAR:QUERY=RkZfRUJJVERBX0lCKCdMVE1TJywzODk1Mik=&amp;WINDOW=FIRST_POPUP&amp;HEIGHT=450&amp;WIDTH=450&amp;START_MA","XIMIZED=FALSE&amp;VAR:CALENDAR=US&amp;VAR:SYMBOL=37183T10&amp;VAR:INDEX=0"}</definedName>
    <definedName name="_4933__FDSAUDITLINK__" hidden="1">{"fdsup://directions/FAT Viewer?action=UPDATE&amp;creator=factset&amp;DYN_ARGS=TRUE&amp;DOC_NAME=FAT:FQL_AUDITING_CLIENT_TEMPLATE.FAT&amp;display_string=Audit&amp;VAR:KEY=PQJIXSNUVW&amp;VAR:QUERY=RkZfRUJJVERBX0lCKCdMVE1TJywzODk1Mik=&amp;WINDOW=FIRST_POPUP&amp;HEIGHT=450&amp;WIDTH=450&amp;START_MA","XIMIZED=FALSE&amp;VAR:CALENDAR=US&amp;VAR:SYMBOL=37183T10&amp;VAR:INDEX=0"}</definedName>
    <definedName name="_4934__FDSAUDITLINK__" localSheetId="6" hidden="1">{"fdsup://directions/FAT Viewer?action=UPDATE&amp;creator=factset&amp;DYN_ARGS=TRUE&amp;DOC_NAME=FAT:FQL_AUDITING_CLIENT_TEMPLATE.FAT&amp;display_string=Audit&amp;VAR:KEY=RGBEHSROFW&amp;VAR:QUERY=RkZfRUJJVERBX0lCKCdMVE1TJywzODk1MSk=&amp;WINDOW=FIRST_POPUP&amp;HEIGHT=450&amp;WIDTH=450&amp;START_MA","XIMIZED=FALSE&amp;VAR:CALENDAR=US&amp;VAR:SYMBOL=37183T10&amp;VAR:INDEX=0"}</definedName>
    <definedName name="_4934__FDSAUDITLINK__" hidden="1">{"fdsup://directions/FAT Viewer?action=UPDATE&amp;creator=factset&amp;DYN_ARGS=TRUE&amp;DOC_NAME=FAT:FQL_AUDITING_CLIENT_TEMPLATE.FAT&amp;display_string=Audit&amp;VAR:KEY=RGBEHSROFW&amp;VAR:QUERY=RkZfRUJJVERBX0lCKCdMVE1TJywzODk1MSk=&amp;WINDOW=FIRST_POPUP&amp;HEIGHT=450&amp;WIDTH=450&amp;START_MA","XIMIZED=FALSE&amp;VAR:CALENDAR=US&amp;VAR:SYMBOL=37183T10&amp;VAR:INDEX=0"}</definedName>
    <definedName name="_4935__FDSAUDITLINK__" localSheetId="6" hidden="1">{"fdsup://directions/FAT Viewer?action=UPDATE&amp;creator=factset&amp;DYN_ARGS=TRUE&amp;DOC_NAME=FAT:FQL_AUDITING_CLIENT_TEMPLATE.FAT&amp;display_string=Audit&amp;VAR:KEY=LYPABGZETK&amp;VAR:QUERY=RkZfRUJJVERBX0lCKCdMVE1TJywzODk1MCk=&amp;WINDOW=FIRST_POPUP&amp;HEIGHT=450&amp;WIDTH=450&amp;START_MA","XIMIZED=FALSE&amp;VAR:CALENDAR=US&amp;VAR:SYMBOL=37183T10&amp;VAR:INDEX=0"}</definedName>
    <definedName name="_4935__FDSAUDITLINK__" hidden="1">{"fdsup://directions/FAT Viewer?action=UPDATE&amp;creator=factset&amp;DYN_ARGS=TRUE&amp;DOC_NAME=FAT:FQL_AUDITING_CLIENT_TEMPLATE.FAT&amp;display_string=Audit&amp;VAR:KEY=LYPABGZETK&amp;VAR:QUERY=RkZfRUJJVERBX0lCKCdMVE1TJywzODk1MCk=&amp;WINDOW=FIRST_POPUP&amp;HEIGHT=450&amp;WIDTH=450&amp;START_MA","XIMIZED=FALSE&amp;VAR:CALENDAR=US&amp;VAR:SYMBOL=37183T10&amp;VAR:INDEX=0"}</definedName>
    <definedName name="_4936__FDSAUDITLINK__" localSheetId="6" hidden="1">{"fdsup://directions/FAT Viewer?action=UPDATE&amp;creator=factset&amp;DYN_ARGS=TRUE&amp;DOC_NAME=FAT:FQL_AUDITING_CLIENT_TEMPLATE.FAT&amp;display_string=Audit&amp;VAR:KEY=FQFMLQLIZE&amp;VAR:QUERY=RkZfRUJJVERBX0lCKCdMVE1TJywzODk0OSk=&amp;WINDOW=FIRST_POPUP&amp;HEIGHT=450&amp;WIDTH=450&amp;START_MA","XIMIZED=FALSE&amp;VAR:CALENDAR=US&amp;VAR:SYMBOL=37183T10&amp;VAR:INDEX=0"}</definedName>
    <definedName name="_4936__FDSAUDITLINK__" hidden="1">{"fdsup://directions/FAT Viewer?action=UPDATE&amp;creator=factset&amp;DYN_ARGS=TRUE&amp;DOC_NAME=FAT:FQL_AUDITING_CLIENT_TEMPLATE.FAT&amp;display_string=Audit&amp;VAR:KEY=FQFMLQLIZE&amp;VAR:QUERY=RkZfRUJJVERBX0lCKCdMVE1TJywzODk0OSk=&amp;WINDOW=FIRST_POPUP&amp;HEIGHT=450&amp;WIDTH=450&amp;START_MA","XIMIZED=FALSE&amp;VAR:CALENDAR=US&amp;VAR:SYMBOL=37183T10&amp;VAR:INDEX=0"}</definedName>
    <definedName name="_4937__FDSAUDITLINK__" localSheetId="6" hidden="1">{"fdsup://directions/FAT Viewer?action=UPDATE&amp;creator=factset&amp;DYN_ARGS=TRUE&amp;DOC_NAME=FAT:FQL_AUDITING_CLIENT_TEMPLATE.FAT&amp;display_string=Audit&amp;VAR:KEY=TMVCBGJWLW&amp;VAR:QUERY=RkZfRUJJVERBX0lCKCdMVE1TJywzODk0OCk=&amp;WINDOW=FIRST_POPUP&amp;HEIGHT=450&amp;WIDTH=450&amp;START_MA","XIMIZED=FALSE&amp;VAR:CALENDAR=US&amp;VAR:SYMBOL=37183T10&amp;VAR:INDEX=0"}</definedName>
    <definedName name="_4937__FDSAUDITLINK__" hidden="1">{"fdsup://directions/FAT Viewer?action=UPDATE&amp;creator=factset&amp;DYN_ARGS=TRUE&amp;DOC_NAME=FAT:FQL_AUDITING_CLIENT_TEMPLATE.FAT&amp;display_string=Audit&amp;VAR:KEY=TMVCBGJWLW&amp;VAR:QUERY=RkZfRUJJVERBX0lCKCdMVE1TJywzODk0OCk=&amp;WINDOW=FIRST_POPUP&amp;HEIGHT=450&amp;WIDTH=450&amp;START_MA","XIMIZED=FALSE&amp;VAR:CALENDAR=US&amp;VAR:SYMBOL=37183T10&amp;VAR:INDEX=0"}</definedName>
    <definedName name="_4938__FDSAUDITLINK__" localSheetId="6" hidden="1">{"fdsup://directions/FAT Viewer?action=UPDATE&amp;creator=factset&amp;DYN_ARGS=TRUE&amp;DOC_NAME=FAT:FQL_AUDITING_CLIENT_TEMPLATE.FAT&amp;display_string=Audit&amp;VAR:KEY=VWJIFEHAVG&amp;VAR:QUERY=RkZfRUJJVERBX0lCKCdMVE1TJywzODk0Nyk=&amp;WINDOW=FIRST_POPUP&amp;HEIGHT=450&amp;WIDTH=450&amp;START_MA","XIMIZED=FALSE&amp;VAR:CALENDAR=US&amp;VAR:SYMBOL=37183T10&amp;VAR:INDEX=0"}</definedName>
    <definedName name="_4938__FDSAUDITLINK__" hidden="1">{"fdsup://directions/FAT Viewer?action=UPDATE&amp;creator=factset&amp;DYN_ARGS=TRUE&amp;DOC_NAME=FAT:FQL_AUDITING_CLIENT_TEMPLATE.FAT&amp;display_string=Audit&amp;VAR:KEY=VWJIFEHAVG&amp;VAR:QUERY=RkZfRUJJVERBX0lCKCdMVE1TJywzODk0Nyk=&amp;WINDOW=FIRST_POPUP&amp;HEIGHT=450&amp;WIDTH=450&amp;START_MA","XIMIZED=FALSE&amp;VAR:CALENDAR=US&amp;VAR:SYMBOL=37183T10&amp;VAR:INDEX=0"}</definedName>
    <definedName name="_4939__FDSAUDITLINK__" localSheetId="6" hidden="1">{"fdsup://directions/FAT Viewer?action=UPDATE&amp;creator=factset&amp;DYN_ARGS=TRUE&amp;DOC_NAME=FAT:FQL_AUDITING_CLIENT_TEMPLATE.FAT&amp;display_string=Audit&amp;VAR:KEY=ZYVKVIDUVO&amp;VAR:QUERY=RkZfRUJJVERBX0lCKCdMVE1TJywzODk0Nik=&amp;WINDOW=FIRST_POPUP&amp;HEIGHT=450&amp;WIDTH=450&amp;START_MA","XIMIZED=FALSE&amp;VAR:CALENDAR=US&amp;VAR:SYMBOL=37183T10&amp;VAR:INDEX=0"}</definedName>
    <definedName name="_4939__FDSAUDITLINK__" hidden="1">{"fdsup://directions/FAT Viewer?action=UPDATE&amp;creator=factset&amp;DYN_ARGS=TRUE&amp;DOC_NAME=FAT:FQL_AUDITING_CLIENT_TEMPLATE.FAT&amp;display_string=Audit&amp;VAR:KEY=ZYVKVIDUVO&amp;VAR:QUERY=RkZfRUJJVERBX0lCKCdMVE1TJywzODk0Nik=&amp;WINDOW=FIRST_POPUP&amp;HEIGHT=450&amp;WIDTH=450&amp;START_MA","XIMIZED=FALSE&amp;VAR:CALENDAR=US&amp;VAR:SYMBOL=37183T10&amp;VAR:INDEX=0"}</definedName>
    <definedName name="_494__FDSAUDITLINK__" localSheetId="6" hidden="1">{"fdsup://directions/FAT%20Viewer?VAR:PED=LTM&amp;VAR:AUDIT_MODE=SUMMARY&amp;VAR:PERIOD=FIXED&amp;VAR:AUDIT_ID=00000117&amp;VAR:DATE=20081015&amp;action=UPDATE&amp;creator=factset&amp;DOC_NAME=FAT:FMA_audit_SUMMARY.fat&amp;DISPLAY_STRING=Display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4__FDSAUDITLINK__" hidden="1">{"fdsup://directions/FAT%20Viewer?VAR:PED=LTM&amp;VAR:AUDIT_MODE=SUMMARY&amp;VAR:PERIOD=FIXED&amp;VAR:AUDIT_ID=00000117&amp;VAR:DATE=20081015&amp;action=UPDATE&amp;creator=factset&amp;DOC_NAME=FAT:FMA_audit_SUMMARY.fat&amp;DISPLAY_STRING=Display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40__FDSAUDITLINK__" localSheetId="6" hidden="1">{"fdsup://directions/FAT Viewer?action=UPDATE&amp;creator=factset&amp;DYN_ARGS=TRUE&amp;DOC_NAME=FAT:FQL_AUDITING_CLIENT_TEMPLATE.FAT&amp;display_string=Audit&amp;VAR:KEY=JANSTELKDA&amp;VAR:QUERY=RkZfRUJJVERBX0lCKCdMVE1TJywzODk0NSk=&amp;WINDOW=FIRST_POPUP&amp;HEIGHT=450&amp;WIDTH=450&amp;START_MA","XIMIZED=FALSE&amp;VAR:CALENDAR=US&amp;VAR:SYMBOL=37183T10&amp;VAR:INDEX=0"}</definedName>
    <definedName name="_4940__FDSAUDITLINK__" hidden="1">{"fdsup://directions/FAT Viewer?action=UPDATE&amp;creator=factset&amp;DYN_ARGS=TRUE&amp;DOC_NAME=FAT:FQL_AUDITING_CLIENT_TEMPLATE.FAT&amp;display_string=Audit&amp;VAR:KEY=JANSTELKDA&amp;VAR:QUERY=RkZfRUJJVERBX0lCKCdMVE1TJywzODk0NSk=&amp;WINDOW=FIRST_POPUP&amp;HEIGHT=450&amp;WIDTH=450&amp;START_MA","XIMIZED=FALSE&amp;VAR:CALENDAR=US&amp;VAR:SYMBOL=37183T10&amp;VAR:INDEX=0"}</definedName>
    <definedName name="_4941__FDSAUDITLINK__" localSheetId="6" hidden="1">{"fdsup://directions/FAT Viewer?action=UPDATE&amp;creator=factset&amp;DYN_ARGS=TRUE&amp;DOC_NAME=FAT:FQL_AUDITING_CLIENT_TEMPLATE.FAT&amp;display_string=Audit&amp;VAR:KEY=JQZUHUNGFQ&amp;VAR:QUERY=RkZfRUJJVERBX0lCKCdMVE1TJywzODk0NCk=&amp;WINDOW=FIRST_POPUP&amp;HEIGHT=450&amp;WIDTH=450&amp;START_MA","XIMIZED=FALSE&amp;VAR:CALENDAR=US&amp;VAR:SYMBOL=37183T10&amp;VAR:INDEX=0"}</definedName>
    <definedName name="_4941__FDSAUDITLINK__" hidden="1">{"fdsup://directions/FAT Viewer?action=UPDATE&amp;creator=factset&amp;DYN_ARGS=TRUE&amp;DOC_NAME=FAT:FQL_AUDITING_CLIENT_TEMPLATE.FAT&amp;display_string=Audit&amp;VAR:KEY=JQZUHUNGFQ&amp;VAR:QUERY=RkZfRUJJVERBX0lCKCdMVE1TJywzODk0NCk=&amp;WINDOW=FIRST_POPUP&amp;HEIGHT=450&amp;WIDTH=450&amp;START_MA","XIMIZED=FALSE&amp;VAR:CALENDAR=US&amp;VAR:SYMBOL=37183T10&amp;VAR:INDEX=0"}</definedName>
    <definedName name="_4942__FDSAUDITLINK__" localSheetId="6" hidden="1">{"fdsup://directions/FAT Viewer?action=UPDATE&amp;creator=factset&amp;DYN_ARGS=TRUE&amp;DOC_NAME=FAT:FQL_AUDITING_CLIENT_TEMPLATE.FAT&amp;display_string=Audit&amp;VAR:KEY=HOZILUNOLO&amp;VAR:QUERY=RkZfRUJJVERBX0lCKCdMVE1TJywzODk0Myk=&amp;WINDOW=FIRST_POPUP&amp;HEIGHT=450&amp;WIDTH=450&amp;START_MA","XIMIZED=FALSE&amp;VAR:CALENDAR=US&amp;VAR:SYMBOL=37183T10&amp;VAR:INDEX=0"}</definedName>
    <definedName name="_4942__FDSAUDITLINK__" hidden="1">{"fdsup://directions/FAT Viewer?action=UPDATE&amp;creator=factset&amp;DYN_ARGS=TRUE&amp;DOC_NAME=FAT:FQL_AUDITING_CLIENT_TEMPLATE.FAT&amp;display_string=Audit&amp;VAR:KEY=HOZILUNOLO&amp;VAR:QUERY=RkZfRUJJVERBX0lCKCdMVE1TJywzODk0Myk=&amp;WINDOW=FIRST_POPUP&amp;HEIGHT=450&amp;WIDTH=450&amp;START_MA","XIMIZED=FALSE&amp;VAR:CALENDAR=US&amp;VAR:SYMBOL=37183T10&amp;VAR:INDEX=0"}</definedName>
    <definedName name="_4943__FDSAUDITLINK__" localSheetId="6" hidden="1">{"fdsup://directions/FAT Viewer?action=UPDATE&amp;creator=factset&amp;DYN_ARGS=TRUE&amp;DOC_NAME=FAT:FQL_AUDITING_CLIENT_TEMPLATE.FAT&amp;display_string=Audit&amp;VAR:KEY=FYRYLOZGXW&amp;VAR:QUERY=RkZfRUJJVERBX0lCKCdMVE1TJywzODk0Mik=&amp;WINDOW=FIRST_POPUP&amp;HEIGHT=450&amp;WIDTH=450&amp;START_MA","XIMIZED=FALSE&amp;VAR:CALENDAR=US&amp;VAR:SYMBOL=37183T10&amp;VAR:INDEX=0"}</definedName>
    <definedName name="_4943__FDSAUDITLINK__" hidden="1">{"fdsup://directions/FAT Viewer?action=UPDATE&amp;creator=factset&amp;DYN_ARGS=TRUE&amp;DOC_NAME=FAT:FQL_AUDITING_CLIENT_TEMPLATE.FAT&amp;display_string=Audit&amp;VAR:KEY=FYRYLOZGXW&amp;VAR:QUERY=RkZfRUJJVERBX0lCKCdMVE1TJywzODk0Mik=&amp;WINDOW=FIRST_POPUP&amp;HEIGHT=450&amp;WIDTH=450&amp;START_MA","XIMIZED=FALSE&amp;VAR:CALENDAR=US&amp;VAR:SYMBOL=37183T10&amp;VAR:INDEX=0"}</definedName>
    <definedName name="_4944__FDSAUDITLINK__" localSheetId="6" hidden="1">{"fdsup://directions/FAT Viewer?action=UPDATE&amp;creator=factset&amp;DYN_ARGS=TRUE&amp;DOC_NAME=FAT:FQL_AUDITING_CLIENT_TEMPLATE.FAT&amp;display_string=Audit&amp;VAR:KEY=ZUZCPEHATW&amp;VAR:QUERY=RkZfRUJJVERBX0lCKCdMVE1TJywzODk0MSk=&amp;WINDOW=FIRST_POPUP&amp;HEIGHT=450&amp;WIDTH=450&amp;START_MA","XIMIZED=FALSE&amp;VAR:CALENDAR=US&amp;VAR:SYMBOL=37183T10&amp;VAR:INDEX=0"}</definedName>
    <definedName name="_4944__FDSAUDITLINK__" hidden="1">{"fdsup://directions/FAT Viewer?action=UPDATE&amp;creator=factset&amp;DYN_ARGS=TRUE&amp;DOC_NAME=FAT:FQL_AUDITING_CLIENT_TEMPLATE.FAT&amp;display_string=Audit&amp;VAR:KEY=ZUZCPEHATW&amp;VAR:QUERY=RkZfRUJJVERBX0lCKCdMVE1TJywzODk0MSk=&amp;WINDOW=FIRST_POPUP&amp;HEIGHT=450&amp;WIDTH=450&amp;START_MA","XIMIZED=FALSE&amp;VAR:CALENDAR=US&amp;VAR:SYMBOL=37183T10&amp;VAR:INDEX=0"}</definedName>
    <definedName name="_4945__FDSAUDITLINK__" localSheetId="6" hidden="1">{"fdsup://directions/FAT Viewer?action=UPDATE&amp;creator=factset&amp;DYN_ARGS=TRUE&amp;DOC_NAME=FAT:FQL_AUDITING_CLIENT_TEMPLATE.FAT&amp;display_string=Audit&amp;VAR:KEY=VKNORWRCRO&amp;VAR:QUERY=RkZfRUJJVERBX0lCKCdMVE1TJywzODk0MCk=&amp;WINDOW=FIRST_POPUP&amp;HEIGHT=450&amp;WIDTH=450&amp;START_MA","XIMIZED=FALSE&amp;VAR:CALENDAR=US&amp;VAR:SYMBOL=37183T10&amp;VAR:INDEX=0"}</definedName>
    <definedName name="_4945__FDSAUDITLINK__" hidden="1">{"fdsup://directions/FAT Viewer?action=UPDATE&amp;creator=factset&amp;DYN_ARGS=TRUE&amp;DOC_NAME=FAT:FQL_AUDITING_CLIENT_TEMPLATE.FAT&amp;display_string=Audit&amp;VAR:KEY=VKNORWRCRO&amp;VAR:QUERY=RkZfRUJJVERBX0lCKCdMVE1TJywzODk0MCk=&amp;WINDOW=FIRST_POPUP&amp;HEIGHT=450&amp;WIDTH=450&amp;START_MA","XIMIZED=FALSE&amp;VAR:CALENDAR=US&amp;VAR:SYMBOL=37183T10&amp;VAR:INDEX=0"}</definedName>
    <definedName name="_4946__FDSAUDITLINK__" localSheetId="6" hidden="1">{"fdsup://directions/FAT Viewer?action=UPDATE&amp;creator=factset&amp;DYN_ARGS=TRUE&amp;DOC_NAME=FAT:FQL_AUDITING_CLIENT_TEMPLATE.FAT&amp;display_string=Audit&amp;VAR:KEY=NETQHUTKVQ&amp;VAR:QUERY=RkZfRUJJVERBX0lCKCdMVE1TJywzODkzOSk=&amp;WINDOW=FIRST_POPUP&amp;HEIGHT=450&amp;WIDTH=450&amp;START_MA","XIMIZED=FALSE&amp;VAR:CALENDAR=US&amp;VAR:SYMBOL=37183T10&amp;VAR:INDEX=0"}</definedName>
    <definedName name="_4946__FDSAUDITLINK__" hidden="1">{"fdsup://directions/FAT Viewer?action=UPDATE&amp;creator=factset&amp;DYN_ARGS=TRUE&amp;DOC_NAME=FAT:FQL_AUDITING_CLIENT_TEMPLATE.FAT&amp;display_string=Audit&amp;VAR:KEY=NETQHUTKVQ&amp;VAR:QUERY=RkZfRUJJVERBX0lCKCdMVE1TJywzODkzOSk=&amp;WINDOW=FIRST_POPUP&amp;HEIGHT=450&amp;WIDTH=450&amp;START_MA","XIMIZED=FALSE&amp;VAR:CALENDAR=US&amp;VAR:SYMBOL=37183T10&amp;VAR:INDEX=0"}</definedName>
    <definedName name="_4947__FDSAUDITLINK__" localSheetId="6" hidden="1">{"fdsup://directions/FAT Viewer?action=UPDATE&amp;creator=factset&amp;DYN_ARGS=TRUE&amp;DOC_NAME=FAT:FQL_AUDITING_CLIENT_TEMPLATE.FAT&amp;display_string=Audit&amp;VAR:KEY=NWHAVYDEZK&amp;VAR:QUERY=RkZfRUJJVERBX0lCKCdMVE1TJywzODkzOCk=&amp;WINDOW=FIRST_POPUP&amp;HEIGHT=450&amp;WIDTH=450&amp;START_MA","XIMIZED=FALSE&amp;VAR:CALENDAR=US&amp;VAR:SYMBOL=37183T10&amp;VAR:INDEX=0"}</definedName>
    <definedName name="_4947__FDSAUDITLINK__" hidden="1">{"fdsup://directions/FAT Viewer?action=UPDATE&amp;creator=factset&amp;DYN_ARGS=TRUE&amp;DOC_NAME=FAT:FQL_AUDITING_CLIENT_TEMPLATE.FAT&amp;display_string=Audit&amp;VAR:KEY=NWHAVYDEZK&amp;VAR:QUERY=RkZfRUJJVERBX0lCKCdMVE1TJywzODkzOCk=&amp;WINDOW=FIRST_POPUP&amp;HEIGHT=450&amp;WIDTH=450&amp;START_MA","XIMIZED=FALSE&amp;VAR:CALENDAR=US&amp;VAR:SYMBOL=37183T10&amp;VAR:INDEX=0"}</definedName>
    <definedName name="_4948__FDSAUDITLINK__" localSheetId="6" hidden="1">{"fdsup://directions/FAT Viewer?action=UPDATE&amp;creator=factset&amp;DYN_ARGS=TRUE&amp;DOC_NAME=FAT:FQL_AUDITING_CLIENT_TEMPLATE.FAT&amp;display_string=Audit&amp;VAR:KEY=DWTQDIBKZS&amp;VAR:QUERY=RkZfRUJJVERBX0lCKCdMVE1TJywzODkzNyk=&amp;WINDOW=FIRST_POPUP&amp;HEIGHT=450&amp;WIDTH=450&amp;START_MA","XIMIZED=FALSE&amp;VAR:CALENDAR=US&amp;VAR:SYMBOL=37183T10&amp;VAR:INDEX=0"}</definedName>
    <definedName name="_4948__FDSAUDITLINK__" hidden="1">{"fdsup://directions/FAT Viewer?action=UPDATE&amp;creator=factset&amp;DYN_ARGS=TRUE&amp;DOC_NAME=FAT:FQL_AUDITING_CLIENT_TEMPLATE.FAT&amp;display_string=Audit&amp;VAR:KEY=DWTQDIBKZS&amp;VAR:QUERY=RkZfRUJJVERBX0lCKCdMVE1TJywzODkzNyk=&amp;WINDOW=FIRST_POPUP&amp;HEIGHT=450&amp;WIDTH=450&amp;START_MA","XIMIZED=FALSE&amp;VAR:CALENDAR=US&amp;VAR:SYMBOL=37183T10&amp;VAR:INDEX=0"}</definedName>
    <definedName name="_4949__FDSAUDITLINK__" localSheetId="6" hidden="1">{"fdsup://directions/FAT Viewer?action=UPDATE&amp;creator=factset&amp;DYN_ARGS=TRUE&amp;DOC_NAME=FAT:FQL_AUDITING_CLIENT_TEMPLATE.FAT&amp;display_string=Audit&amp;VAR:KEY=ZIPQTMXQFQ&amp;VAR:QUERY=RkZfRUJJVERBX0lCKCdMVE1TJywzODkzNik=&amp;WINDOW=FIRST_POPUP&amp;HEIGHT=450&amp;WIDTH=450&amp;START_MA","XIMIZED=FALSE&amp;VAR:CALENDAR=US&amp;VAR:SYMBOL=37183T10&amp;VAR:INDEX=0"}</definedName>
    <definedName name="_4949__FDSAUDITLINK__" hidden="1">{"fdsup://directions/FAT Viewer?action=UPDATE&amp;creator=factset&amp;DYN_ARGS=TRUE&amp;DOC_NAME=FAT:FQL_AUDITING_CLIENT_TEMPLATE.FAT&amp;display_string=Audit&amp;VAR:KEY=ZIPQTMXQFQ&amp;VAR:QUERY=RkZfRUJJVERBX0lCKCdMVE1TJywzODkzNik=&amp;WINDOW=FIRST_POPUP&amp;HEIGHT=450&amp;WIDTH=450&amp;START_MA","XIMIZED=FALSE&amp;VAR:CALENDAR=US&amp;VAR:SYMBOL=37183T10&amp;VAR:INDEX=0"}</definedName>
    <definedName name="_495__FDSAUDITLINK__" localSheetId="6" hidden="1">{"fdsup://directions/FAT%20Viewer?VAR:PED=LTM&amp;VAR:AUDIT_MODE=SUMMARY&amp;VAR:PERIOD=FIXED&amp;VAR:AUDIT_ID=00000117&amp;VAR:DATE=20081014&amp;action=UPDATE&amp;creator=factset&amp;DOC_NAME=FAT:FMA_audit_SUMMARY.fat&amp;DISPLAY_STRING=Display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5__FDSAUDITLINK__" hidden="1">{"fdsup://directions/FAT%20Viewer?VAR:PED=LTM&amp;VAR:AUDIT_MODE=SUMMARY&amp;VAR:PERIOD=FIXED&amp;VAR:AUDIT_ID=00000117&amp;VAR:DATE=20081014&amp;action=UPDATE&amp;creator=factset&amp;DOC_NAME=FAT:FMA_audit_SUMMARY.fat&amp;DISPLAY_STRING=Display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50__FDSAUDITLINK__" localSheetId="6" hidden="1">{"fdsup://directions/FAT Viewer?action=UPDATE&amp;creator=factset&amp;DYN_ARGS=TRUE&amp;DOC_NAME=FAT:FQL_AUDITING_CLIENT_TEMPLATE.FAT&amp;display_string=Audit&amp;VAR:KEY=RAJAFOXQLO&amp;VAR:QUERY=RkZfRUJJVERBX0lCKCdMVE1TJywzODkzNSk=&amp;WINDOW=FIRST_POPUP&amp;HEIGHT=450&amp;WIDTH=450&amp;START_MA","XIMIZED=FALSE&amp;VAR:CALENDAR=US&amp;VAR:SYMBOL=37183T10&amp;VAR:INDEX=0"}</definedName>
    <definedName name="_4950__FDSAUDITLINK__" hidden="1">{"fdsup://directions/FAT Viewer?action=UPDATE&amp;creator=factset&amp;DYN_ARGS=TRUE&amp;DOC_NAME=FAT:FQL_AUDITING_CLIENT_TEMPLATE.FAT&amp;display_string=Audit&amp;VAR:KEY=RAJAFOXQLO&amp;VAR:QUERY=RkZfRUJJVERBX0lCKCdMVE1TJywzODkzNSk=&amp;WINDOW=FIRST_POPUP&amp;HEIGHT=450&amp;WIDTH=450&amp;START_MA","XIMIZED=FALSE&amp;VAR:CALENDAR=US&amp;VAR:SYMBOL=37183T10&amp;VAR:INDEX=0"}</definedName>
    <definedName name="_4951__FDSAUDITLINK__" localSheetId="6" hidden="1">{"fdsup://directions/FAT Viewer?action=UPDATE&amp;creator=factset&amp;DYN_ARGS=TRUE&amp;DOC_NAME=FAT:FQL_AUDITING_CLIENT_TEMPLATE.FAT&amp;display_string=Audit&amp;VAR:KEY=LMRYDUHCJM&amp;VAR:QUERY=RkZfRUJJVERBX0lCKCdMVE1TJywzODkzNCk=&amp;WINDOW=FIRST_POPUP&amp;HEIGHT=450&amp;WIDTH=450&amp;START_MA","XIMIZED=FALSE&amp;VAR:CALENDAR=US&amp;VAR:SYMBOL=37183T10&amp;VAR:INDEX=0"}</definedName>
    <definedName name="_4951__FDSAUDITLINK__" hidden="1">{"fdsup://directions/FAT Viewer?action=UPDATE&amp;creator=factset&amp;DYN_ARGS=TRUE&amp;DOC_NAME=FAT:FQL_AUDITING_CLIENT_TEMPLATE.FAT&amp;display_string=Audit&amp;VAR:KEY=LMRYDUHCJM&amp;VAR:QUERY=RkZfRUJJVERBX0lCKCdMVE1TJywzODkzNCk=&amp;WINDOW=FIRST_POPUP&amp;HEIGHT=450&amp;WIDTH=450&amp;START_MA","XIMIZED=FALSE&amp;VAR:CALENDAR=US&amp;VAR:SYMBOL=37183T10&amp;VAR:INDEX=0"}</definedName>
    <definedName name="_4952__FDSAUDITLINK__" localSheetId="6" hidden="1">{"fdsup://directions/FAT Viewer?action=UPDATE&amp;creator=factset&amp;DYN_ARGS=TRUE&amp;DOC_NAME=FAT:FQL_AUDITING_CLIENT_TEMPLATE.FAT&amp;display_string=Audit&amp;VAR:KEY=TCVMTIVEFI&amp;VAR:QUERY=RkZfRUJJVERBX0lCKCdMVE1TJywzODkzMyk=&amp;WINDOW=FIRST_POPUP&amp;HEIGHT=450&amp;WIDTH=450&amp;START_MA","XIMIZED=FALSE&amp;VAR:CALENDAR=US&amp;VAR:SYMBOL=37183T10&amp;VAR:INDEX=0"}</definedName>
    <definedName name="_4952__FDSAUDITLINK__" hidden="1">{"fdsup://directions/FAT Viewer?action=UPDATE&amp;creator=factset&amp;DYN_ARGS=TRUE&amp;DOC_NAME=FAT:FQL_AUDITING_CLIENT_TEMPLATE.FAT&amp;display_string=Audit&amp;VAR:KEY=TCVMTIVEFI&amp;VAR:QUERY=RkZfRUJJVERBX0lCKCdMVE1TJywzODkzMyk=&amp;WINDOW=FIRST_POPUP&amp;HEIGHT=450&amp;WIDTH=450&amp;START_MA","XIMIZED=FALSE&amp;VAR:CALENDAR=US&amp;VAR:SYMBOL=37183T10&amp;VAR:INDEX=0"}</definedName>
    <definedName name="_4953__FDSAUDITLINK__" localSheetId="6" hidden="1">{"fdsup://directions/FAT Viewer?action=UPDATE&amp;creator=factset&amp;DYN_ARGS=TRUE&amp;DOC_NAME=FAT:FQL_AUDITING_CLIENT_TEMPLATE.FAT&amp;display_string=Audit&amp;VAR:KEY=PQJEJWBSLA&amp;VAR:QUERY=RkZfRUJJVERBX0lCKCdMVE1TJywzODkzMik=&amp;WINDOW=FIRST_POPUP&amp;HEIGHT=450&amp;WIDTH=450&amp;START_MA","XIMIZED=FALSE&amp;VAR:CALENDAR=US&amp;VAR:SYMBOL=37183T10&amp;VAR:INDEX=0"}</definedName>
    <definedName name="_4953__FDSAUDITLINK__" hidden="1">{"fdsup://directions/FAT Viewer?action=UPDATE&amp;creator=factset&amp;DYN_ARGS=TRUE&amp;DOC_NAME=FAT:FQL_AUDITING_CLIENT_TEMPLATE.FAT&amp;display_string=Audit&amp;VAR:KEY=PQJEJWBSLA&amp;VAR:QUERY=RkZfRUJJVERBX0lCKCdMVE1TJywzODkzMik=&amp;WINDOW=FIRST_POPUP&amp;HEIGHT=450&amp;WIDTH=450&amp;START_MA","XIMIZED=FALSE&amp;VAR:CALENDAR=US&amp;VAR:SYMBOL=37183T10&amp;VAR:INDEX=0"}</definedName>
    <definedName name="_4954__FDSAUDITLINK__" localSheetId="6" hidden="1">{"fdsup://directions/FAT Viewer?action=UPDATE&amp;creator=factset&amp;DYN_ARGS=TRUE&amp;DOC_NAME=FAT:FQL_AUDITING_CLIENT_TEMPLATE.FAT&amp;display_string=Audit&amp;VAR:KEY=VYDCRWPONK&amp;VAR:QUERY=RkZfRUJJVERBX0lCKCdMVE1TJywzODkzMSk=&amp;WINDOW=FIRST_POPUP&amp;HEIGHT=450&amp;WIDTH=450&amp;START_MA","XIMIZED=FALSE&amp;VAR:CALENDAR=US&amp;VAR:SYMBOL=37183T10&amp;VAR:INDEX=0"}</definedName>
    <definedName name="_4954__FDSAUDITLINK__" hidden="1">{"fdsup://directions/FAT Viewer?action=UPDATE&amp;creator=factset&amp;DYN_ARGS=TRUE&amp;DOC_NAME=FAT:FQL_AUDITING_CLIENT_TEMPLATE.FAT&amp;display_string=Audit&amp;VAR:KEY=VYDCRWPONK&amp;VAR:QUERY=RkZfRUJJVERBX0lCKCdMVE1TJywzODkzMSk=&amp;WINDOW=FIRST_POPUP&amp;HEIGHT=450&amp;WIDTH=450&amp;START_MA","XIMIZED=FALSE&amp;VAR:CALENDAR=US&amp;VAR:SYMBOL=37183T10&amp;VAR:INDEX=0"}</definedName>
    <definedName name="_4955__FDSAUDITLINK__" localSheetId="6" hidden="1">{"fdsup://directions/FAT Viewer?action=UPDATE&amp;creator=factset&amp;DYN_ARGS=TRUE&amp;DOC_NAME=FAT:FQL_AUDITING_CLIENT_TEMPLATE.FAT&amp;display_string=Audit&amp;VAR:KEY=HQZORCPAZW&amp;VAR:QUERY=RkZfRUJJVERBX0lCKCdMVE1TJywzODkzMCk=&amp;WINDOW=FIRST_POPUP&amp;HEIGHT=450&amp;WIDTH=450&amp;START_MA","XIMIZED=FALSE&amp;VAR:CALENDAR=US&amp;VAR:SYMBOL=37183T10&amp;VAR:INDEX=0"}</definedName>
    <definedName name="_4955__FDSAUDITLINK__" hidden="1">{"fdsup://directions/FAT Viewer?action=UPDATE&amp;creator=factset&amp;DYN_ARGS=TRUE&amp;DOC_NAME=FAT:FQL_AUDITING_CLIENT_TEMPLATE.FAT&amp;display_string=Audit&amp;VAR:KEY=HQZORCPAZW&amp;VAR:QUERY=RkZfRUJJVERBX0lCKCdMVE1TJywzODkzMCk=&amp;WINDOW=FIRST_POPUP&amp;HEIGHT=450&amp;WIDTH=450&amp;START_MA","XIMIZED=FALSE&amp;VAR:CALENDAR=US&amp;VAR:SYMBOL=37183T10&amp;VAR:INDEX=0"}</definedName>
    <definedName name="_4956__FDSAUDITLINK__" localSheetId="6" hidden="1">{"fdsup://directions/FAT Viewer?action=UPDATE&amp;creator=factset&amp;DYN_ARGS=TRUE&amp;DOC_NAME=FAT:FQL_AUDITING_CLIENT_TEMPLATE.FAT&amp;display_string=Audit&amp;VAR:KEY=TUXMTODQJW&amp;VAR:QUERY=RkZfRUJJVERBX0lCKCdMVE1TJywzODkyOSk=&amp;WINDOW=FIRST_POPUP&amp;HEIGHT=450&amp;WIDTH=450&amp;START_MA","XIMIZED=FALSE&amp;VAR:CALENDAR=US&amp;VAR:SYMBOL=37183T10&amp;VAR:INDEX=0"}</definedName>
    <definedName name="_4956__FDSAUDITLINK__" hidden="1">{"fdsup://directions/FAT Viewer?action=UPDATE&amp;creator=factset&amp;DYN_ARGS=TRUE&amp;DOC_NAME=FAT:FQL_AUDITING_CLIENT_TEMPLATE.FAT&amp;display_string=Audit&amp;VAR:KEY=TUXMTODQJW&amp;VAR:QUERY=RkZfRUJJVERBX0lCKCdMVE1TJywzODkyOSk=&amp;WINDOW=FIRST_POPUP&amp;HEIGHT=450&amp;WIDTH=450&amp;START_MA","XIMIZED=FALSE&amp;VAR:CALENDAR=US&amp;VAR:SYMBOL=37183T10&amp;VAR:INDEX=0"}</definedName>
    <definedName name="_4957__FDSAUDITLINK__" localSheetId="6" hidden="1">{"fdsup://directions/FAT Viewer?action=UPDATE&amp;creator=factset&amp;DYN_ARGS=TRUE&amp;DOC_NAME=FAT:FQL_AUDITING_CLIENT_TEMPLATE.FAT&amp;display_string=Audit&amp;VAR:KEY=JYJIJQFMTI&amp;VAR:QUERY=RkZfRUJJVERBX0lCKCdMVE1TJywzODkyOCk=&amp;WINDOW=FIRST_POPUP&amp;HEIGHT=450&amp;WIDTH=450&amp;START_MA","XIMIZED=FALSE&amp;VAR:CALENDAR=US&amp;VAR:SYMBOL=37183T10&amp;VAR:INDEX=0"}</definedName>
    <definedName name="_4957__FDSAUDITLINK__" hidden="1">{"fdsup://directions/FAT Viewer?action=UPDATE&amp;creator=factset&amp;DYN_ARGS=TRUE&amp;DOC_NAME=FAT:FQL_AUDITING_CLIENT_TEMPLATE.FAT&amp;display_string=Audit&amp;VAR:KEY=JYJIJQFMTI&amp;VAR:QUERY=RkZfRUJJVERBX0lCKCdMVE1TJywzODkyOCk=&amp;WINDOW=FIRST_POPUP&amp;HEIGHT=450&amp;WIDTH=450&amp;START_MA","XIMIZED=FALSE&amp;VAR:CALENDAR=US&amp;VAR:SYMBOL=37183T10&amp;VAR:INDEX=0"}</definedName>
    <definedName name="_4958__FDSAUDITLINK__" localSheetId="6" hidden="1">{"fdsup://directions/FAT Viewer?action=UPDATE&amp;creator=factset&amp;DYN_ARGS=TRUE&amp;DOC_NAME=FAT:FQL_AUDITING_CLIENT_TEMPLATE.FAT&amp;display_string=Audit&amp;VAR:KEY=BKRYVYXSLK&amp;VAR:QUERY=RkZfRUJJVERBX0lCKCdMVE1TJywzODkyNyk=&amp;WINDOW=FIRST_POPUP&amp;HEIGHT=450&amp;WIDTH=450&amp;START_MA","XIMIZED=FALSE&amp;VAR:CALENDAR=US&amp;VAR:SYMBOL=37183T10&amp;VAR:INDEX=0"}</definedName>
    <definedName name="_4958__FDSAUDITLINK__" hidden="1">{"fdsup://directions/FAT Viewer?action=UPDATE&amp;creator=factset&amp;DYN_ARGS=TRUE&amp;DOC_NAME=FAT:FQL_AUDITING_CLIENT_TEMPLATE.FAT&amp;display_string=Audit&amp;VAR:KEY=BKRYVYXSLK&amp;VAR:QUERY=RkZfRUJJVERBX0lCKCdMVE1TJywzODkyNyk=&amp;WINDOW=FIRST_POPUP&amp;HEIGHT=450&amp;WIDTH=450&amp;START_MA","XIMIZED=FALSE&amp;VAR:CALENDAR=US&amp;VAR:SYMBOL=37183T10&amp;VAR:INDEX=0"}</definedName>
    <definedName name="_4959__FDSAUDITLINK__" localSheetId="6" hidden="1">{"fdsup://directions/FAT Viewer?action=UPDATE&amp;creator=factset&amp;DYN_ARGS=TRUE&amp;DOC_NAME=FAT:FQL_AUDITING_CLIENT_TEMPLATE.FAT&amp;display_string=Audit&amp;VAR:KEY=FOVWXSHALU&amp;VAR:QUERY=RkZfRUJJVERBX0lCKCdMVE1TJywzODkyNik=&amp;WINDOW=FIRST_POPUP&amp;HEIGHT=450&amp;WIDTH=450&amp;START_MA","XIMIZED=FALSE&amp;VAR:CALENDAR=US&amp;VAR:SYMBOL=37183T10&amp;VAR:INDEX=0"}</definedName>
    <definedName name="_4959__FDSAUDITLINK__" hidden="1">{"fdsup://directions/FAT Viewer?action=UPDATE&amp;creator=factset&amp;DYN_ARGS=TRUE&amp;DOC_NAME=FAT:FQL_AUDITING_CLIENT_TEMPLATE.FAT&amp;display_string=Audit&amp;VAR:KEY=FOVWXSHALU&amp;VAR:QUERY=RkZfRUJJVERBX0lCKCdMVE1TJywzODkyNik=&amp;WINDOW=FIRST_POPUP&amp;HEIGHT=450&amp;WIDTH=450&amp;START_MA","XIMIZED=FALSE&amp;VAR:CALENDAR=US&amp;VAR:SYMBOL=37183T10&amp;VAR:INDEX=0"}</definedName>
    <definedName name="_496__FDSAUDITLINK__" localSheetId="6" hidden="1">{"fdsup://directions/FAT%20Viewer?VAR:PED=LTM&amp;VAR:AUDIT_MODE=SUMMARY&amp;VAR:PERIOD=FIXED&amp;VAR:AUDIT_ID=00000117&amp;VAR:DATE=20081013&amp;action=UPDATE&amp;creator=factset&amp;DOC_NAME=FAT:FMA_audit_SUMMARY.fat&amp;DISPLAY_STRING=Display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6__FDSAUDITLINK__" hidden="1">{"fdsup://directions/FAT%20Viewer?VAR:PED=LTM&amp;VAR:AUDIT_MODE=SUMMARY&amp;VAR:PERIOD=FIXED&amp;VAR:AUDIT_ID=00000117&amp;VAR:DATE=20081013&amp;action=UPDATE&amp;creator=factset&amp;DOC_NAME=FAT:FMA_audit_SUMMARY.fat&amp;DISPLAY_STRING=Display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60__FDSAUDITLINK__" localSheetId="6" hidden="1">{"fdsup://directions/FAT Viewer?action=UPDATE&amp;creator=factset&amp;DYN_ARGS=TRUE&amp;DOC_NAME=FAT:FQL_AUDITING_CLIENT_TEMPLATE.FAT&amp;display_string=Audit&amp;VAR:KEY=NAPOJEFAFI&amp;VAR:QUERY=RkZfRUJJVERBX0lCKCdMVE1TJywzODkyNSk=&amp;WINDOW=FIRST_POPUP&amp;HEIGHT=450&amp;WIDTH=450&amp;START_MA","XIMIZED=FALSE&amp;VAR:CALENDAR=US&amp;VAR:SYMBOL=37183T10&amp;VAR:INDEX=0"}</definedName>
    <definedName name="_4960__FDSAUDITLINK__" hidden="1">{"fdsup://directions/FAT Viewer?action=UPDATE&amp;creator=factset&amp;DYN_ARGS=TRUE&amp;DOC_NAME=FAT:FQL_AUDITING_CLIENT_TEMPLATE.FAT&amp;display_string=Audit&amp;VAR:KEY=NAPOJEFAFI&amp;VAR:QUERY=RkZfRUJJVERBX0lCKCdMVE1TJywzODkyNSk=&amp;WINDOW=FIRST_POPUP&amp;HEIGHT=450&amp;WIDTH=450&amp;START_MA","XIMIZED=FALSE&amp;VAR:CALENDAR=US&amp;VAR:SYMBOL=37183T10&amp;VAR:INDEX=0"}</definedName>
    <definedName name="_4961__FDSAUDITLINK__" localSheetId="6" hidden="1">{"fdsup://directions/FAT Viewer?action=UPDATE&amp;creator=factset&amp;DYN_ARGS=TRUE&amp;DOC_NAME=FAT:FQL_AUDITING_CLIENT_TEMPLATE.FAT&amp;display_string=Audit&amp;VAR:KEY=NEBCDCFQNU&amp;VAR:QUERY=RkZfRUJJVERBX0lCKCdMVE1TJywzODkyNCk=&amp;WINDOW=FIRST_POPUP&amp;HEIGHT=450&amp;WIDTH=450&amp;START_MA","XIMIZED=FALSE&amp;VAR:CALENDAR=US&amp;VAR:SYMBOL=37183T10&amp;VAR:INDEX=0"}</definedName>
    <definedName name="_4961__FDSAUDITLINK__" hidden="1">{"fdsup://directions/FAT Viewer?action=UPDATE&amp;creator=factset&amp;DYN_ARGS=TRUE&amp;DOC_NAME=FAT:FQL_AUDITING_CLIENT_TEMPLATE.FAT&amp;display_string=Audit&amp;VAR:KEY=NEBCDCFQNU&amp;VAR:QUERY=RkZfRUJJVERBX0lCKCdMVE1TJywzODkyNCk=&amp;WINDOW=FIRST_POPUP&amp;HEIGHT=450&amp;WIDTH=450&amp;START_MA","XIMIZED=FALSE&amp;VAR:CALENDAR=US&amp;VAR:SYMBOL=37183T10&amp;VAR:INDEX=0"}</definedName>
    <definedName name="_4962__FDSAUDITLINK__" localSheetId="6" hidden="1">{"fdsup://directions/FAT Viewer?action=UPDATE&amp;creator=factset&amp;DYN_ARGS=TRUE&amp;DOC_NAME=FAT:FQL_AUDITING_CLIENT_TEMPLATE.FAT&amp;display_string=Audit&amp;VAR:KEY=JQLODYJMJI&amp;VAR:QUERY=RkZfRUJJVERBX0lCKCdMVE1TJywzODkyMyk=&amp;WINDOW=FIRST_POPUP&amp;HEIGHT=450&amp;WIDTH=450&amp;START_MA","XIMIZED=FALSE&amp;VAR:CALENDAR=US&amp;VAR:SYMBOL=37183T10&amp;VAR:INDEX=0"}</definedName>
    <definedName name="_4962__FDSAUDITLINK__" hidden="1">{"fdsup://directions/FAT Viewer?action=UPDATE&amp;creator=factset&amp;DYN_ARGS=TRUE&amp;DOC_NAME=FAT:FQL_AUDITING_CLIENT_TEMPLATE.FAT&amp;display_string=Audit&amp;VAR:KEY=JQLODYJMJI&amp;VAR:QUERY=RkZfRUJJVERBX0lCKCdMVE1TJywzODkyMyk=&amp;WINDOW=FIRST_POPUP&amp;HEIGHT=450&amp;WIDTH=450&amp;START_MA","XIMIZED=FALSE&amp;VAR:CALENDAR=US&amp;VAR:SYMBOL=37183T10&amp;VAR:INDEX=0"}</definedName>
    <definedName name="_4963__FDSAUDITLINK__" localSheetId="6" hidden="1">{"fdsup://directions/FAT Viewer?action=UPDATE&amp;creator=factset&amp;DYN_ARGS=TRUE&amp;DOC_NAME=FAT:FQL_AUDITING_CLIENT_TEMPLATE.FAT&amp;display_string=Audit&amp;VAR:KEY=LIHWDSXEDM&amp;VAR:QUERY=RkZfRUJJVERBX0lCKCdMVE1TJywzODkyMik=&amp;WINDOW=FIRST_POPUP&amp;HEIGHT=450&amp;WIDTH=450&amp;START_MA","XIMIZED=FALSE&amp;VAR:CALENDAR=US&amp;VAR:SYMBOL=37183T10&amp;VAR:INDEX=0"}</definedName>
    <definedName name="_4963__FDSAUDITLINK__" hidden="1">{"fdsup://directions/FAT Viewer?action=UPDATE&amp;creator=factset&amp;DYN_ARGS=TRUE&amp;DOC_NAME=FAT:FQL_AUDITING_CLIENT_TEMPLATE.FAT&amp;display_string=Audit&amp;VAR:KEY=LIHWDSXEDM&amp;VAR:QUERY=RkZfRUJJVERBX0lCKCdMVE1TJywzODkyMik=&amp;WINDOW=FIRST_POPUP&amp;HEIGHT=450&amp;WIDTH=450&amp;START_MA","XIMIZED=FALSE&amp;VAR:CALENDAR=US&amp;VAR:SYMBOL=37183T10&amp;VAR:INDEX=0"}</definedName>
    <definedName name="_4964__FDSAUDITLINK__" localSheetId="6" hidden="1">{"fdsup://directions/FAT Viewer?action=UPDATE&amp;creator=factset&amp;DYN_ARGS=TRUE&amp;DOC_NAME=FAT:FQL_AUDITING_CLIENT_TEMPLATE.FAT&amp;display_string=Audit&amp;VAR:KEY=VCPQNAPSRE&amp;VAR:QUERY=RkZfRUJJVERBX0lCKCdMVE1TJywzODkyMSk=&amp;WINDOW=FIRST_POPUP&amp;HEIGHT=450&amp;WIDTH=450&amp;START_MA","XIMIZED=FALSE&amp;VAR:CALENDAR=US&amp;VAR:SYMBOL=37183T10&amp;VAR:INDEX=0"}</definedName>
    <definedName name="_4964__FDSAUDITLINK__" hidden="1">{"fdsup://directions/FAT Viewer?action=UPDATE&amp;creator=factset&amp;DYN_ARGS=TRUE&amp;DOC_NAME=FAT:FQL_AUDITING_CLIENT_TEMPLATE.FAT&amp;display_string=Audit&amp;VAR:KEY=VCPQNAPSRE&amp;VAR:QUERY=RkZfRUJJVERBX0lCKCdMVE1TJywzODkyMSk=&amp;WINDOW=FIRST_POPUP&amp;HEIGHT=450&amp;WIDTH=450&amp;START_MA","XIMIZED=FALSE&amp;VAR:CALENDAR=US&amp;VAR:SYMBOL=37183T10&amp;VAR:INDEX=0"}</definedName>
    <definedName name="_4965__FDSAUDITLINK__" localSheetId="6" hidden="1">{"fdsup://directions/FAT Viewer?action=UPDATE&amp;creator=factset&amp;DYN_ARGS=TRUE&amp;DOC_NAME=FAT:FQL_AUDITING_CLIENT_TEMPLATE.FAT&amp;display_string=Audit&amp;VAR:KEY=FYFGBKDKFG&amp;VAR:QUERY=RkZfRUJJVERBX0lCKCdMVE1TJywzODkyMCk=&amp;WINDOW=FIRST_POPUP&amp;HEIGHT=450&amp;WIDTH=450&amp;START_MA","XIMIZED=FALSE&amp;VAR:CALENDAR=US&amp;VAR:SYMBOL=37183T10&amp;VAR:INDEX=0"}</definedName>
    <definedName name="_4965__FDSAUDITLINK__" hidden="1">{"fdsup://directions/FAT Viewer?action=UPDATE&amp;creator=factset&amp;DYN_ARGS=TRUE&amp;DOC_NAME=FAT:FQL_AUDITING_CLIENT_TEMPLATE.FAT&amp;display_string=Audit&amp;VAR:KEY=FYFGBKDKFG&amp;VAR:QUERY=RkZfRUJJVERBX0lCKCdMVE1TJywzODkyMCk=&amp;WINDOW=FIRST_POPUP&amp;HEIGHT=450&amp;WIDTH=450&amp;START_MA","XIMIZED=FALSE&amp;VAR:CALENDAR=US&amp;VAR:SYMBOL=37183T10&amp;VAR:INDEX=0"}</definedName>
    <definedName name="_4966__FDSAUDITLINK__" localSheetId="6" hidden="1">{"fdsup://directions/FAT Viewer?action=UPDATE&amp;creator=factset&amp;DYN_ARGS=TRUE&amp;DOC_NAME=FAT:FQL_AUDITING_CLIENT_TEMPLATE.FAT&amp;display_string=Audit&amp;VAR:KEY=DWHEVEHWZM&amp;VAR:QUERY=RkZfRUJJVERBX0lCKCdMVE1TJywzODkxOSk=&amp;WINDOW=FIRST_POPUP&amp;HEIGHT=450&amp;WIDTH=450&amp;START_MA","XIMIZED=FALSE&amp;VAR:CALENDAR=US&amp;VAR:SYMBOL=37183T10&amp;VAR:INDEX=0"}</definedName>
    <definedName name="_4966__FDSAUDITLINK__" hidden="1">{"fdsup://directions/FAT Viewer?action=UPDATE&amp;creator=factset&amp;DYN_ARGS=TRUE&amp;DOC_NAME=FAT:FQL_AUDITING_CLIENT_TEMPLATE.FAT&amp;display_string=Audit&amp;VAR:KEY=DWHEVEHWZM&amp;VAR:QUERY=RkZfRUJJVERBX0lCKCdMVE1TJywzODkxOSk=&amp;WINDOW=FIRST_POPUP&amp;HEIGHT=450&amp;WIDTH=450&amp;START_MA","XIMIZED=FALSE&amp;VAR:CALENDAR=US&amp;VAR:SYMBOL=37183T10&amp;VAR:INDEX=0"}</definedName>
    <definedName name="_4967__FDSAUDITLINK__" localSheetId="6" hidden="1">{"fdsup://directions/FAT Viewer?action=UPDATE&amp;creator=factset&amp;DYN_ARGS=TRUE&amp;DOC_NAME=FAT:FQL_AUDITING_CLIENT_TEMPLATE.FAT&amp;display_string=Audit&amp;VAR:KEY=DUZIHKHWRW&amp;VAR:QUERY=RkZfRUJJVERBX0lCKCdMVE1TJywzODkxOCk=&amp;WINDOW=FIRST_POPUP&amp;HEIGHT=450&amp;WIDTH=450&amp;START_MA","XIMIZED=FALSE&amp;VAR:CALENDAR=US&amp;VAR:SYMBOL=37183T10&amp;VAR:INDEX=0"}</definedName>
    <definedName name="_4967__FDSAUDITLINK__" hidden="1">{"fdsup://directions/FAT Viewer?action=UPDATE&amp;creator=factset&amp;DYN_ARGS=TRUE&amp;DOC_NAME=FAT:FQL_AUDITING_CLIENT_TEMPLATE.FAT&amp;display_string=Audit&amp;VAR:KEY=DUZIHKHWRW&amp;VAR:QUERY=RkZfRUJJVERBX0lCKCdMVE1TJywzODkxOCk=&amp;WINDOW=FIRST_POPUP&amp;HEIGHT=450&amp;WIDTH=450&amp;START_MA","XIMIZED=FALSE&amp;VAR:CALENDAR=US&amp;VAR:SYMBOL=37183T10&amp;VAR:INDEX=0"}</definedName>
    <definedName name="_4968__FDSAUDITLINK__" localSheetId="6" hidden="1">{"fdsup://directions/FAT Viewer?action=UPDATE&amp;creator=factset&amp;DYN_ARGS=TRUE&amp;DOC_NAME=FAT:FQL_AUDITING_CLIENT_TEMPLATE.FAT&amp;display_string=Audit&amp;VAR:KEY=XSFCRAFYNC&amp;VAR:QUERY=RkZfRUJJVERBX0lCKCdMVE1TJywzODkxNyk=&amp;WINDOW=FIRST_POPUP&amp;HEIGHT=450&amp;WIDTH=450&amp;START_MA","XIMIZED=FALSE&amp;VAR:CALENDAR=US&amp;VAR:SYMBOL=37183T10&amp;VAR:INDEX=0"}</definedName>
    <definedName name="_4968__FDSAUDITLINK__" hidden="1">{"fdsup://directions/FAT Viewer?action=UPDATE&amp;creator=factset&amp;DYN_ARGS=TRUE&amp;DOC_NAME=FAT:FQL_AUDITING_CLIENT_TEMPLATE.FAT&amp;display_string=Audit&amp;VAR:KEY=XSFCRAFYNC&amp;VAR:QUERY=RkZfRUJJVERBX0lCKCdMVE1TJywzODkxNyk=&amp;WINDOW=FIRST_POPUP&amp;HEIGHT=450&amp;WIDTH=450&amp;START_MA","XIMIZED=FALSE&amp;VAR:CALENDAR=US&amp;VAR:SYMBOL=37183T10&amp;VAR:INDEX=0"}</definedName>
    <definedName name="_4969__FDSAUDITLINK__" localSheetId="6" hidden="1">{"fdsup://directions/FAT Viewer?action=UPDATE&amp;creator=factset&amp;DYN_ARGS=TRUE&amp;DOC_NAME=FAT:FQL_AUDITING_CLIENT_TEMPLATE.FAT&amp;display_string=Audit&amp;VAR:KEY=LUTUDKVIRE&amp;VAR:QUERY=RkZfRUJJVERBX0lCKCdMVE1TJywzODkxNik=&amp;WINDOW=FIRST_POPUP&amp;HEIGHT=450&amp;WIDTH=450&amp;START_MA","XIMIZED=FALSE&amp;VAR:CALENDAR=US&amp;VAR:SYMBOL=37183T10&amp;VAR:INDEX=0"}</definedName>
    <definedName name="_4969__FDSAUDITLINK__" hidden="1">{"fdsup://directions/FAT Viewer?action=UPDATE&amp;creator=factset&amp;DYN_ARGS=TRUE&amp;DOC_NAME=FAT:FQL_AUDITING_CLIENT_TEMPLATE.FAT&amp;display_string=Audit&amp;VAR:KEY=LUTUDKVIRE&amp;VAR:QUERY=RkZfRUJJVERBX0lCKCdMVE1TJywzODkxNik=&amp;WINDOW=FIRST_POPUP&amp;HEIGHT=450&amp;WIDTH=450&amp;START_MA","XIMIZED=FALSE&amp;VAR:CALENDAR=US&amp;VAR:SYMBOL=37183T10&amp;VAR:INDEX=0"}</definedName>
    <definedName name="_497__FDSAUDITLINK__" localSheetId="6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7__FDSAUDITLINK__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70__FDSAUDITLINK__" localSheetId="6" hidden="1">{"fdsup://directions/FAT Viewer?action=UPDATE&amp;creator=factset&amp;DYN_ARGS=TRUE&amp;DOC_NAME=FAT:FQL_AUDITING_CLIENT_TEMPLATE.FAT&amp;display_string=Audit&amp;VAR:KEY=HQZAZGTIRC&amp;VAR:QUERY=RkZfRUJJVERBX0lCKCdMVE1TJywzODkxNSk=&amp;WINDOW=FIRST_POPUP&amp;HEIGHT=450&amp;WIDTH=450&amp;START_MA","XIMIZED=FALSE&amp;VAR:CALENDAR=US&amp;VAR:SYMBOL=37183T10&amp;VAR:INDEX=0"}</definedName>
    <definedName name="_4970__FDSAUDITLINK__" hidden="1">{"fdsup://directions/FAT Viewer?action=UPDATE&amp;creator=factset&amp;DYN_ARGS=TRUE&amp;DOC_NAME=FAT:FQL_AUDITING_CLIENT_TEMPLATE.FAT&amp;display_string=Audit&amp;VAR:KEY=HQZAZGTIRC&amp;VAR:QUERY=RkZfRUJJVERBX0lCKCdMVE1TJywzODkxNSk=&amp;WINDOW=FIRST_POPUP&amp;HEIGHT=450&amp;WIDTH=450&amp;START_MA","XIMIZED=FALSE&amp;VAR:CALENDAR=US&amp;VAR:SYMBOL=37183T10&amp;VAR:INDEX=0"}</definedName>
    <definedName name="_4971__FDSAUDITLINK__" localSheetId="6" hidden="1">{"fdsup://directions/FAT Viewer?action=UPDATE&amp;creator=factset&amp;DYN_ARGS=TRUE&amp;DOC_NAME=FAT:FQL_AUDITING_CLIENT_TEMPLATE.FAT&amp;display_string=Audit&amp;VAR:KEY=DQPKLCRWJK&amp;VAR:QUERY=RkZfRUJJVERBX0lCKCdMVE1TJywzODkxNCk=&amp;WINDOW=FIRST_POPUP&amp;HEIGHT=450&amp;WIDTH=450&amp;START_MA","XIMIZED=FALSE&amp;VAR:CALENDAR=US&amp;VAR:SYMBOL=37183T10&amp;VAR:INDEX=0"}</definedName>
    <definedName name="_4971__FDSAUDITLINK__" hidden="1">{"fdsup://directions/FAT Viewer?action=UPDATE&amp;creator=factset&amp;DYN_ARGS=TRUE&amp;DOC_NAME=FAT:FQL_AUDITING_CLIENT_TEMPLATE.FAT&amp;display_string=Audit&amp;VAR:KEY=DQPKLCRWJK&amp;VAR:QUERY=RkZfRUJJVERBX0lCKCdMVE1TJywzODkxNCk=&amp;WINDOW=FIRST_POPUP&amp;HEIGHT=450&amp;WIDTH=450&amp;START_MA","XIMIZED=FALSE&amp;VAR:CALENDAR=US&amp;VAR:SYMBOL=37183T10&amp;VAR:INDEX=0"}</definedName>
    <definedName name="_4972__FDSAUDITLINK__" localSheetId="6" hidden="1">{"fdsup://directions/FAT Viewer?action=UPDATE&amp;creator=factset&amp;DYN_ARGS=TRUE&amp;DOC_NAME=FAT:FQL_AUDITING_CLIENT_TEMPLATE.FAT&amp;display_string=Audit&amp;VAR:KEY=DEZEXYBAHS&amp;VAR:QUERY=RkZfRUJJVERBX0lCKCdMVE1TJywzODkxMyk=&amp;WINDOW=FIRST_POPUP&amp;HEIGHT=450&amp;WIDTH=450&amp;START_MA","XIMIZED=FALSE&amp;VAR:CALENDAR=US&amp;VAR:SYMBOL=37183T10&amp;VAR:INDEX=0"}</definedName>
    <definedName name="_4972__FDSAUDITLINK__" hidden="1">{"fdsup://directions/FAT Viewer?action=UPDATE&amp;creator=factset&amp;DYN_ARGS=TRUE&amp;DOC_NAME=FAT:FQL_AUDITING_CLIENT_TEMPLATE.FAT&amp;display_string=Audit&amp;VAR:KEY=DEZEXYBAHS&amp;VAR:QUERY=RkZfRUJJVERBX0lCKCdMVE1TJywzODkxMyk=&amp;WINDOW=FIRST_POPUP&amp;HEIGHT=450&amp;WIDTH=450&amp;START_MA","XIMIZED=FALSE&amp;VAR:CALENDAR=US&amp;VAR:SYMBOL=37183T10&amp;VAR:INDEX=0"}</definedName>
    <definedName name="_4973__FDSAUDITLINK__" localSheetId="6" hidden="1">{"fdsup://directions/FAT Viewer?action=UPDATE&amp;creator=factset&amp;DYN_ARGS=TRUE&amp;DOC_NAME=FAT:FQL_AUDITING_CLIENT_TEMPLATE.FAT&amp;display_string=Audit&amp;VAR:KEY=HQVWVWREVO&amp;VAR:QUERY=RkZfRUJJVERBX0lCKCdMVE1TJywzODkxMik=&amp;WINDOW=FIRST_POPUP&amp;HEIGHT=450&amp;WIDTH=450&amp;START_MA","XIMIZED=FALSE&amp;VAR:CALENDAR=US&amp;VAR:SYMBOL=37183T10&amp;VAR:INDEX=0"}</definedName>
    <definedName name="_4973__FDSAUDITLINK__" hidden="1">{"fdsup://directions/FAT Viewer?action=UPDATE&amp;creator=factset&amp;DYN_ARGS=TRUE&amp;DOC_NAME=FAT:FQL_AUDITING_CLIENT_TEMPLATE.FAT&amp;display_string=Audit&amp;VAR:KEY=HQVWVWREVO&amp;VAR:QUERY=RkZfRUJJVERBX0lCKCdMVE1TJywzODkxMik=&amp;WINDOW=FIRST_POPUP&amp;HEIGHT=450&amp;WIDTH=450&amp;START_MA","XIMIZED=FALSE&amp;VAR:CALENDAR=US&amp;VAR:SYMBOL=37183T10&amp;VAR:INDEX=0"}</definedName>
    <definedName name="_4974__FDSAUDITLINK__" localSheetId="6" hidden="1">{"fdsup://directions/FAT Viewer?action=UPDATE&amp;creator=factset&amp;DYN_ARGS=TRUE&amp;DOC_NAME=FAT:FQL_AUDITING_CLIENT_TEMPLATE.FAT&amp;display_string=Audit&amp;VAR:KEY=FSBEDYTALW&amp;VAR:QUERY=RkZfRUJJVERBX0lCKCdMVE1TJywzODkxMSk=&amp;WINDOW=FIRST_POPUP&amp;HEIGHT=450&amp;WIDTH=450&amp;START_MA","XIMIZED=FALSE&amp;VAR:CALENDAR=US&amp;VAR:SYMBOL=37183T10&amp;VAR:INDEX=0"}</definedName>
    <definedName name="_4974__FDSAUDITLINK__" hidden="1">{"fdsup://directions/FAT Viewer?action=UPDATE&amp;creator=factset&amp;DYN_ARGS=TRUE&amp;DOC_NAME=FAT:FQL_AUDITING_CLIENT_TEMPLATE.FAT&amp;display_string=Audit&amp;VAR:KEY=FSBEDYTALW&amp;VAR:QUERY=RkZfRUJJVERBX0lCKCdMVE1TJywzODkxMSk=&amp;WINDOW=FIRST_POPUP&amp;HEIGHT=450&amp;WIDTH=450&amp;START_MA","XIMIZED=FALSE&amp;VAR:CALENDAR=US&amp;VAR:SYMBOL=37183T10&amp;VAR:INDEX=0"}</definedName>
    <definedName name="_4975__FDSAUDITLINK__" localSheetId="6" hidden="1">{"fdsup://directions/FAT Viewer?action=UPDATE&amp;creator=factset&amp;DYN_ARGS=TRUE&amp;DOC_NAME=FAT:FQL_AUDITING_CLIENT_TEMPLATE.FAT&amp;display_string=Audit&amp;VAR:KEY=FKVGFGRCXG&amp;VAR:QUERY=RkZfRUJJVERBX0lCKCdMVE1TJywzODkxMCk=&amp;WINDOW=FIRST_POPUP&amp;HEIGHT=450&amp;WIDTH=450&amp;START_MA","XIMIZED=FALSE&amp;VAR:CALENDAR=US&amp;VAR:SYMBOL=37183T10&amp;VAR:INDEX=0"}</definedName>
    <definedName name="_4975__FDSAUDITLINK__" hidden="1">{"fdsup://directions/FAT Viewer?action=UPDATE&amp;creator=factset&amp;DYN_ARGS=TRUE&amp;DOC_NAME=FAT:FQL_AUDITING_CLIENT_TEMPLATE.FAT&amp;display_string=Audit&amp;VAR:KEY=FKVGFGRCXG&amp;VAR:QUERY=RkZfRUJJVERBX0lCKCdMVE1TJywzODkxMCk=&amp;WINDOW=FIRST_POPUP&amp;HEIGHT=450&amp;WIDTH=450&amp;START_MA","XIMIZED=FALSE&amp;VAR:CALENDAR=US&amp;VAR:SYMBOL=37183T10&amp;VAR:INDEX=0"}</definedName>
    <definedName name="_4976__FDSAUDITLINK__" localSheetId="6" hidden="1">{"fdsup://directions/FAT Viewer?action=UPDATE&amp;creator=factset&amp;DYN_ARGS=TRUE&amp;DOC_NAME=FAT:FQL_AUDITING_CLIENT_TEMPLATE.FAT&amp;display_string=Audit&amp;VAR:KEY=REDKPOZWFE&amp;VAR:QUERY=RkZfRUJJVERBX0lCKCdMVE1TJywzODkwOSk=&amp;WINDOW=FIRST_POPUP&amp;HEIGHT=450&amp;WIDTH=450&amp;START_MA","XIMIZED=FALSE&amp;VAR:CALENDAR=US&amp;VAR:SYMBOL=37183T10&amp;VAR:INDEX=0"}</definedName>
    <definedName name="_4976__FDSAUDITLINK__" hidden="1">{"fdsup://directions/FAT Viewer?action=UPDATE&amp;creator=factset&amp;DYN_ARGS=TRUE&amp;DOC_NAME=FAT:FQL_AUDITING_CLIENT_TEMPLATE.FAT&amp;display_string=Audit&amp;VAR:KEY=REDKPOZWFE&amp;VAR:QUERY=RkZfRUJJVERBX0lCKCdMVE1TJywzODkwOSk=&amp;WINDOW=FIRST_POPUP&amp;HEIGHT=450&amp;WIDTH=450&amp;START_MA","XIMIZED=FALSE&amp;VAR:CALENDAR=US&amp;VAR:SYMBOL=37183T10&amp;VAR:INDEX=0"}</definedName>
    <definedName name="_4977__FDSAUDITLINK__" localSheetId="6" hidden="1">{"fdsup://directions/FAT Viewer?action=UPDATE&amp;creator=factset&amp;DYN_ARGS=TRUE&amp;DOC_NAME=FAT:FQL_AUDITING_CLIENT_TEMPLATE.FAT&amp;display_string=Audit&amp;VAR:KEY=XCXOPUDWJI&amp;VAR:QUERY=RkZfRUJJVERBX0lCKCdMVE1TJywzODkwOCk=&amp;WINDOW=FIRST_POPUP&amp;HEIGHT=450&amp;WIDTH=450&amp;START_MA","XIMIZED=FALSE&amp;VAR:CALENDAR=US&amp;VAR:SYMBOL=37183T10&amp;VAR:INDEX=0"}</definedName>
    <definedName name="_4977__FDSAUDITLINK__" hidden="1">{"fdsup://directions/FAT Viewer?action=UPDATE&amp;creator=factset&amp;DYN_ARGS=TRUE&amp;DOC_NAME=FAT:FQL_AUDITING_CLIENT_TEMPLATE.FAT&amp;display_string=Audit&amp;VAR:KEY=XCXOPUDWJI&amp;VAR:QUERY=RkZfRUJJVERBX0lCKCdMVE1TJywzODkwOCk=&amp;WINDOW=FIRST_POPUP&amp;HEIGHT=450&amp;WIDTH=450&amp;START_MA","XIMIZED=FALSE&amp;VAR:CALENDAR=US&amp;VAR:SYMBOL=37183T10&amp;VAR:INDEX=0"}</definedName>
    <definedName name="_4978__FDSAUDITLINK__" localSheetId="6" hidden="1">{"fdsup://directions/FAT Viewer?action=UPDATE&amp;creator=factset&amp;DYN_ARGS=TRUE&amp;DOC_NAME=FAT:FQL_AUDITING_CLIENT_TEMPLATE.FAT&amp;display_string=Audit&amp;VAR:KEY=PAJSBALATY&amp;VAR:QUERY=RkZfRUJJVERBX0lCKCdMVE1TJywzODkwNyk=&amp;WINDOW=FIRST_POPUP&amp;HEIGHT=450&amp;WIDTH=450&amp;START_MA","XIMIZED=FALSE&amp;VAR:CALENDAR=US&amp;VAR:SYMBOL=37183T10&amp;VAR:INDEX=0"}</definedName>
    <definedName name="_4978__FDSAUDITLINK__" hidden="1">{"fdsup://directions/FAT Viewer?action=UPDATE&amp;creator=factset&amp;DYN_ARGS=TRUE&amp;DOC_NAME=FAT:FQL_AUDITING_CLIENT_TEMPLATE.FAT&amp;display_string=Audit&amp;VAR:KEY=PAJSBALATY&amp;VAR:QUERY=RkZfRUJJVERBX0lCKCdMVE1TJywzODkwNyk=&amp;WINDOW=FIRST_POPUP&amp;HEIGHT=450&amp;WIDTH=450&amp;START_MA","XIMIZED=FALSE&amp;VAR:CALENDAR=US&amp;VAR:SYMBOL=37183T10&amp;VAR:INDEX=0"}</definedName>
    <definedName name="_4979__FDSAUDITLINK__" localSheetId="6" hidden="1">{"fdsup://directions/FAT Viewer?action=UPDATE&amp;creator=factset&amp;DYN_ARGS=TRUE&amp;DOC_NAME=FAT:FQL_AUDITING_CLIENT_TEMPLATE.FAT&amp;display_string=Audit&amp;VAR:KEY=XWVYZUTQRG&amp;VAR:QUERY=RkZfRUJJVERBX0lCKCdMVE1TJywzODkwNik=&amp;WINDOW=FIRST_POPUP&amp;HEIGHT=450&amp;WIDTH=450&amp;START_MA","XIMIZED=FALSE&amp;VAR:CALENDAR=US&amp;VAR:SYMBOL=37183T10&amp;VAR:INDEX=0"}</definedName>
    <definedName name="_4979__FDSAUDITLINK__" hidden="1">{"fdsup://directions/FAT Viewer?action=UPDATE&amp;creator=factset&amp;DYN_ARGS=TRUE&amp;DOC_NAME=FAT:FQL_AUDITING_CLIENT_TEMPLATE.FAT&amp;display_string=Audit&amp;VAR:KEY=XWVYZUTQRG&amp;VAR:QUERY=RkZfRUJJVERBX0lCKCdMVE1TJywzODkwNik=&amp;WINDOW=FIRST_POPUP&amp;HEIGHT=450&amp;WIDTH=450&amp;START_MA","XIMIZED=FALSE&amp;VAR:CALENDAR=US&amp;VAR:SYMBOL=37183T10&amp;VAR:INDEX=0"}</definedName>
    <definedName name="_498__FDSAUDITLINK__" localSheetId="6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8__FDSAUDITLINK__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80__FDSAUDITLINK__" localSheetId="6" hidden="1">{"fdsup://directions/FAT Viewer?action=UPDATE&amp;creator=factset&amp;DYN_ARGS=TRUE&amp;DOC_NAME=FAT:FQL_AUDITING_CLIENT_TEMPLATE.FAT&amp;display_string=Audit&amp;VAR:KEY=JUTORCTSVG&amp;VAR:QUERY=RkZfRUJJVERBX0lCKCdMVE1TJywzODkwNSk=&amp;WINDOW=FIRST_POPUP&amp;HEIGHT=450&amp;WIDTH=450&amp;START_MA","XIMIZED=FALSE&amp;VAR:CALENDAR=US&amp;VAR:SYMBOL=37183T10&amp;VAR:INDEX=0"}</definedName>
    <definedName name="_4980__FDSAUDITLINK__" hidden="1">{"fdsup://directions/FAT Viewer?action=UPDATE&amp;creator=factset&amp;DYN_ARGS=TRUE&amp;DOC_NAME=FAT:FQL_AUDITING_CLIENT_TEMPLATE.FAT&amp;display_string=Audit&amp;VAR:KEY=JUTORCTSVG&amp;VAR:QUERY=RkZfRUJJVERBX0lCKCdMVE1TJywzODkwNSk=&amp;WINDOW=FIRST_POPUP&amp;HEIGHT=450&amp;WIDTH=450&amp;START_MA","XIMIZED=FALSE&amp;VAR:CALENDAR=US&amp;VAR:SYMBOL=37183T10&amp;VAR:INDEX=0"}</definedName>
    <definedName name="_4981__FDSAUDITLINK__" localSheetId="6" hidden="1">{"fdsup://directions/FAT Viewer?action=UPDATE&amp;creator=factset&amp;DYN_ARGS=TRUE&amp;DOC_NAME=FAT:FQL_AUDITING_CLIENT_TEMPLATE.FAT&amp;display_string=Audit&amp;VAR:KEY=ZWLSLEJEVE&amp;VAR:QUERY=RkZfRUJJVERBX0lCKCdMVE1TJywzODkwNCk=&amp;WINDOW=FIRST_POPUP&amp;HEIGHT=450&amp;WIDTH=450&amp;START_MA","XIMIZED=FALSE&amp;VAR:CALENDAR=US&amp;VAR:SYMBOL=37183T10&amp;VAR:INDEX=0"}</definedName>
    <definedName name="_4981__FDSAUDITLINK__" hidden="1">{"fdsup://directions/FAT Viewer?action=UPDATE&amp;creator=factset&amp;DYN_ARGS=TRUE&amp;DOC_NAME=FAT:FQL_AUDITING_CLIENT_TEMPLATE.FAT&amp;display_string=Audit&amp;VAR:KEY=ZWLSLEJEVE&amp;VAR:QUERY=RkZfRUJJVERBX0lCKCdMVE1TJywzODkwNCk=&amp;WINDOW=FIRST_POPUP&amp;HEIGHT=450&amp;WIDTH=450&amp;START_MA","XIMIZED=FALSE&amp;VAR:CALENDAR=US&amp;VAR:SYMBOL=37183T10&amp;VAR:INDEX=0"}</definedName>
    <definedName name="_4982__FDSAUDITLINK__" localSheetId="6" hidden="1">{"fdsup://directions/FAT Viewer?action=UPDATE&amp;creator=factset&amp;DYN_ARGS=TRUE&amp;DOC_NAME=FAT:FQL_AUDITING_CLIENT_TEMPLATE.FAT&amp;display_string=Audit&amp;VAR:KEY=PORQTANGTG&amp;VAR:QUERY=RkZfRUJJVERBX0lCKCdMVE1TJywzODkwMyk=&amp;WINDOW=FIRST_POPUP&amp;HEIGHT=450&amp;WIDTH=450&amp;START_MA","XIMIZED=FALSE&amp;VAR:CALENDAR=US&amp;VAR:SYMBOL=37183T10&amp;VAR:INDEX=0"}</definedName>
    <definedName name="_4982__FDSAUDITLINK__" hidden="1">{"fdsup://directions/FAT Viewer?action=UPDATE&amp;creator=factset&amp;DYN_ARGS=TRUE&amp;DOC_NAME=FAT:FQL_AUDITING_CLIENT_TEMPLATE.FAT&amp;display_string=Audit&amp;VAR:KEY=PORQTANGTG&amp;VAR:QUERY=RkZfRUJJVERBX0lCKCdMVE1TJywzODkwMyk=&amp;WINDOW=FIRST_POPUP&amp;HEIGHT=450&amp;WIDTH=450&amp;START_MA","XIMIZED=FALSE&amp;VAR:CALENDAR=US&amp;VAR:SYMBOL=37183T10&amp;VAR:INDEX=0"}</definedName>
    <definedName name="_4983__FDSAUDITLINK__" localSheetId="6" hidden="1">{"fdsup://directions/FAT Viewer?action=UPDATE&amp;creator=factset&amp;DYN_ARGS=TRUE&amp;DOC_NAME=FAT:FQL_AUDITING_CLIENT_TEMPLATE.FAT&amp;display_string=Audit&amp;VAR:KEY=TEZEHYJENY&amp;VAR:QUERY=RkZfRUJJVERBX0lCKCdMVE1TJywzODkwMik=&amp;WINDOW=FIRST_POPUP&amp;HEIGHT=450&amp;WIDTH=450&amp;START_MA","XIMIZED=FALSE&amp;VAR:CALENDAR=US&amp;VAR:SYMBOL=37183T10&amp;VAR:INDEX=0"}</definedName>
    <definedName name="_4983__FDSAUDITLINK__" hidden="1">{"fdsup://directions/FAT Viewer?action=UPDATE&amp;creator=factset&amp;DYN_ARGS=TRUE&amp;DOC_NAME=FAT:FQL_AUDITING_CLIENT_TEMPLATE.FAT&amp;display_string=Audit&amp;VAR:KEY=TEZEHYJENY&amp;VAR:QUERY=RkZfRUJJVERBX0lCKCdMVE1TJywzODkwMik=&amp;WINDOW=FIRST_POPUP&amp;HEIGHT=450&amp;WIDTH=450&amp;START_MA","XIMIZED=FALSE&amp;VAR:CALENDAR=US&amp;VAR:SYMBOL=37183T10&amp;VAR:INDEX=0"}</definedName>
    <definedName name="_4984__FDSAUDITLINK__" localSheetId="6" hidden="1">{"fdsup://directions/FAT Viewer?action=UPDATE&amp;creator=factset&amp;DYN_ARGS=TRUE&amp;DOC_NAME=FAT:FQL_AUDITING_CLIENT_TEMPLATE.FAT&amp;display_string=Audit&amp;VAR:KEY=VAXCRKXMXW&amp;VAR:QUERY=RkZfRUJJVERBX0lCKCdMVE1TJywzODkwMSk=&amp;WINDOW=FIRST_POPUP&amp;HEIGHT=450&amp;WIDTH=450&amp;START_MA","XIMIZED=FALSE&amp;VAR:CALENDAR=US&amp;VAR:SYMBOL=37183T10&amp;VAR:INDEX=0"}</definedName>
    <definedName name="_4984__FDSAUDITLINK__" hidden="1">{"fdsup://directions/FAT Viewer?action=UPDATE&amp;creator=factset&amp;DYN_ARGS=TRUE&amp;DOC_NAME=FAT:FQL_AUDITING_CLIENT_TEMPLATE.FAT&amp;display_string=Audit&amp;VAR:KEY=VAXCRKXMXW&amp;VAR:QUERY=RkZfRUJJVERBX0lCKCdMVE1TJywzODkwMSk=&amp;WINDOW=FIRST_POPUP&amp;HEIGHT=450&amp;WIDTH=450&amp;START_MA","XIMIZED=FALSE&amp;VAR:CALENDAR=US&amp;VAR:SYMBOL=37183T10&amp;VAR:INDEX=0"}</definedName>
    <definedName name="_4985__FDSAUDITLINK__" localSheetId="6" hidden="1">{"fdsup://directions/FAT Viewer?action=UPDATE&amp;creator=factset&amp;DYN_ARGS=TRUE&amp;DOC_NAME=FAT:FQL_AUDITING_CLIENT_TEMPLATE.FAT&amp;display_string=Audit&amp;VAR:KEY=TKLSZWHKRW&amp;VAR:QUERY=RkZfRUJJVERBX0lCKCdMVE1TJywzODkwMCk=&amp;WINDOW=FIRST_POPUP&amp;HEIGHT=450&amp;WIDTH=450&amp;START_MA","XIMIZED=FALSE&amp;VAR:CALENDAR=US&amp;VAR:SYMBOL=37183T10&amp;VAR:INDEX=0"}</definedName>
    <definedName name="_4985__FDSAUDITLINK__" hidden="1">{"fdsup://directions/FAT Viewer?action=UPDATE&amp;creator=factset&amp;DYN_ARGS=TRUE&amp;DOC_NAME=FAT:FQL_AUDITING_CLIENT_TEMPLATE.FAT&amp;display_string=Audit&amp;VAR:KEY=TKLSZWHKRW&amp;VAR:QUERY=RkZfRUJJVERBX0lCKCdMVE1TJywzODkwMCk=&amp;WINDOW=FIRST_POPUP&amp;HEIGHT=450&amp;WIDTH=450&amp;START_MA","XIMIZED=FALSE&amp;VAR:CALENDAR=US&amp;VAR:SYMBOL=37183T10&amp;VAR:INDEX=0"}</definedName>
    <definedName name="_4986__FDSAUDITLINK__" localSheetId="6" hidden="1">{"fdsup://directions/FAT Viewer?action=UPDATE&amp;creator=factset&amp;DYN_ARGS=TRUE&amp;DOC_NAME=FAT:FQL_AUDITING_CLIENT_TEMPLATE.FAT&amp;display_string=Audit&amp;VAR:KEY=VQTELUBOJS&amp;VAR:QUERY=RkZfRUJJVERBX0lCKCdMVE1TJywzODg5OSk=&amp;WINDOW=FIRST_POPUP&amp;HEIGHT=450&amp;WIDTH=450&amp;START_MA","XIMIZED=FALSE&amp;VAR:CALENDAR=US&amp;VAR:SYMBOL=37183T10&amp;VAR:INDEX=0"}</definedName>
    <definedName name="_4986__FDSAUDITLINK__" hidden="1">{"fdsup://directions/FAT Viewer?action=UPDATE&amp;creator=factset&amp;DYN_ARGS=TRUE&amp;DOC_NAME=FAT:FQL_AUDITING_CLIENT_TEMPLATE.FAT&amp;display_string=Audit&amp;VAR:KEY=VQTELUBOJS&amp;VAR:QUERY=RkZfRUJJVERBX0lCKCdMVE1TJywzODg5OSk=&amp;WINDOW=FIRST_POPUP&amp;HEIGHT=450&amp;WIDTH=450&amp;START_MA","XIMIZED=FALSE&amp;VAR:CALENDAR=US&amp;VAR:SYMBOL=37183T10&amp;VAR:INDEX=0"}</definedName>
    <definedName name="_4987__FDSAUDITLINK__" localSheetId="6" hidden="1">{"fdsup://directions/FAT Viewer?action=UPDATE&amp;creator=factset&amp;DYN_ARGS=TRUE&amp;DOC_NAME=FAT:FQL_AUDITING_CLIENT_TEMPLATE.FAT&amp;display_string=Audit&amp;VAR:KEY=BQRWLKTQNU&amp;VAR:QUERY=RkZfRUJJVERBX0lCKCdMVE1TJywzODg5OCk=&amp;WINDOW=FIRST_POPUP&amp;HEIGHT=450&amp;WIDTH=450&amp;START_MA","XIMIZED=FALSE&amp;VAR:CALENDAR=US&amp;VAR:SYMBOL=37183T10&amp;VAR:INDEX=0"}</definedName>
    <definedName name="_4987__FDSAUDITLINK__" hidden="1">{"fdsup://directions/FAT Viewer?action=UPDATE&amp;creator=factset&amp;DYN_ARGS=TRUE&amp;DOC_NAME=FAT:FQL_AUDITING_CLIENT_TEMPLATE.FAT&amp;display_string=Audit&amp;VAR:KEY=BQRWLKTQNU&amp;VAR:QUERY=RkZfRUJJVERBX0lCKCdMVE1TJywzODg5OCk=&amp;WINDOW=FIRST_POPUP&amp;HEIGHT=450&amp;WIDTH=450&amp;START_MA","XIMIZED=FALSE&amp;VAR:CALENDAR=US&amp;VAR:SYMBOL=37183T10&amp;VAR:INDEX=0"}</definedName>
    <definedName name="_4988__FDSAUDITLINK__" localSheetId="6" hidden="1">{"fdsup://directions/FAT Viewer?action=UPDATE&amp;creator=factset&amp;DYN_ARGS=TRUE&amp;DOC_NAME=FAT:FQL_AUDITING_CLIENT_TEMPLATE.FAT&amp;display_string=Audit&amp;VAR:KEY=BOXQRUJIZG&amp;VAR:QUERY=RkZfRUJJVERBX0lCKCdMVE1TJywzODg5Nyk=&amp;WINDOW=FIRST_POPUP&amp;HEIGHT=450&amp;WIDTH=450&amp;START_MA","XIMIZED=FALSE&amp;VAR:CALENDAR=US&amp;VAR:SYMBOL=37183T10&amp;VAR:INDEX=0"}</definedName>
    <definedName name="_4988__FDSAUDITLINK__" hidden="1">{"fdsup://directions/FAT Viewer?action=UPDATE&amp;creator=factset&amp;DYN_ARGS=TRUE&amp;DOC_NAME=FAT:FQL_AUDITING_CLIENT_TEMPLATE.FAT&amp;display_string=Audit&amp;VAR:KEY=BOXQRUJIZG&amp;VAR:QUERY=RkZfRUJJVERBX0lCKCdMVE1TJywzODg5Nyk=&amp;WINDOW=FIRST_POPUP&amp;HEIGHT=450&amp;WIDTH=450&amp;START_MA","XIMIZED=FALSE&amp;VAR:CALENDAR=US&amp;VAR:SYMBOL=37183T10&amp;VAR:INDEX=0"}</definedName>
    <definedName name="_4989__FDSAUDITLINK__" localSheetId="6" hidden="1">{"fdsup://directions/FAT Viewer?action=UPDATE&amp;creator=factset&amp;DYN_ARGS=TRUE&amp;DOC_NAME=FAT:FQL_AUDITING_CLIENT_TEMPLATE.FAT&amp;display_string=Audit&amp;VAR:KEY=HGXYHKZUBM&amp;VAR:QUERY=RkZfRUJJVERBX0lCKCdMVE1TJywzODg5Nik=&amp;WINDOW=FIRST_POPUP&amp;HEIGHT=450&amp;WIDTH=450&amp;START_MA","XIMIZED=FALSE&amp;VAR:CALENDAR=US&amp;VAR:SYMBOL=37183T10&amp;VAR:INDEX=0"}</definedName>
    <definedName name="_4989__FDSAUDITLINK__" hidden="1">{"fdsup://directions/FAT Viewer?action=UPDATE&amp;creator=factset&amp;DYN_ARGS=TRUE&amp;DOC_NAME=FAT:FQL_AUDITING_CLIENT_TEMPLATE.FAT&amp;display_string=Audit&amp;VAR:KEY=HGXYHKZUBM&amp;VAR:QUERY=RkZfRUJJVERBX0lCKCdMVE1TJywzODg5Nik=&amp;WINDOW=FIRST_POPUP&amp;HEIGHT=450&amp;WIDTH=450&amp;START_MA","XIMIZED=FALSE&amp;VAR:CALENDAR=US&amp;VAR:SYMBOL=37183T10&amp;VAR:INDEX=0"}</definedName>
    <definedName name="_499__FDSAUDITLINK__" localSheetId="6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9__FDSAUDITLINK__" hidden="1">{"fdsup://directions/FAT%20Viewer?VAR:PED=LTM&amp;VAR:AUDIT_MODE=SUMMARY&amp;VAR:PERIOD=FIXED&amp;VAR:AUDIT_ID=00000117&amp;VAR:DATE=20081010&amp;action=UPDATE&amp;creator=factset&amp;DOC_NAME=FAT:FMA_audit_SUMMARY.fat&amp;DISPLAY_STRING=Display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4990__FDSAUDITLINK__" localSheetId="6" hidden="1">{"fdsup://directions/FAT Viewer?action=UPDATE&amp;creator=factset&amp;DYN_ARGS=TRUE&amp;DOC_NAME=FAT:FQL_AUDITING_CLIENT_TEMPLATE.FAT&amp;display_string=Audit&amp;VAR:KEY=HYZIZAPKFW&amp;VAR:QUERY=RkZfRUJJVERBX0lCKCdMVE1TJywzODg5NSk=&amp;WINDOW=FIRST_POPUP&amp;HEIGHT=450&amp;WIDTH=450&amp;START_MA","XIMIZED=FALSE&amp;VAR:CALENDAR=US&amp;VAR:SYMBOL=37183T10&amp;VAR:INDEX=0"}</definedName>
    <definedName name="_4990__FDSAUDITLINK__" hidden="1">{"fdsup://directions/FAT Viewer?action=UPDATE&amp;creator=factset&amp;DYN_ARGS=TRUE&amp;DOC_NAME=FAT:FQL_AUDITING_CLIENT_TEMPLATE.FAT&amp;display_string=Audit&amp;VAR:KEY=HYZIZAPKFW&amp;VAR:QUERY=RkZfRUJJVERBX0lCKCdMVE1TJywzODg5NSk=&amp;WINDOW=FIRST_POPUP&amp;HEIGHT=450&amp;WIDTH=450&amp;START_MA","XIMIZED=FALSE&amp;VAR:CALENDAR=US&amp;VAR:SYMBOL=37183T10&amp;VAR:INDEX=0"}</definedName>
    <definedName name="_4991__FDSAUDITLINK__" localSheetId="6" hidden="1">{"fdsup://directions/FAT Viewer?action=UPDATE&amp;creator=factset&amp;DYN_ARGS=TRUE&amp;DOC_NAME=FAT:FQL_AUDITING_CLIENT_TEMPLATE.FAT&amp;display_string=Audit&amp;VAR:KEY=NAXOZABILG&amp;VAR:QUERY=RkZfRUJJVERBX0lCKCdMVE1TJywzODg5NCk=&amp;WINDOW=FIRST_POPUP&amp;HEIGHT=450&amp;WIDTH=450&amp;START_MA","XIMIZED=FALSE&amp;VAR:CALENDAR=US&amp;VAR:SYMBOL=37183T10&amp;VAR:INDEX=0"}</definedName>
    <definedName name="_4991__FDSAUDITLINK__" hidden="1">{"fdsup://directions/FAT Viewer?action=UPDATE&amp;creator=factset&amp;DYN_ARGS=TRUE&amp;DOC_NAME=FAT:FQL_AUDITING_CLIENT_TEMPLATE.FAT&amp;display_string=Audit&amp;VAR:KEY=NAXOZABILG&amp;VAR:QUERY=RkZfRUJJVERBX0lCKCdMVE1TJywzODg5NCk=&amp;WINDOW=FIRST_POPUP&amp;HEIGHT=450&amp;WIDTH=450&amp;START_MA","XIMIZED=FALSE&amp;VAR:CALENDAR=US&amp;VAR:SYMBOL=37183T10&amp;VAR:INDEX=0"}</definedName>
    <definedName name="_4992__FDSAUDITLINK__" localSheetId="6" hidden="1">{"fdsup://directions/FAT Viewer?action=UPDATE&amp;creator=factset&amp;DYN_ARGS=TRUE&amp;DOC_NAME=FAT:FQL_AUDITING_CLIENT_TEMPLATE.FAT&amp;display_string=Audit&amp;VAR:KEY=JGDGNGLYHS&amp;VAR:QUERY=RkZfRUJJVERBX0lCKCdMVE1TJywzODg5Myk=&amp;WINDOW=FIRST_POPUP&amp;HEIGHT=450&amp;WIDTH=450&amp;START_MA","XIMIZED=FALSE&amp;VAR:CALENDAR=US&amp;VAR:SYMBOL=37183T10&amp;VAR:INDEX=0"}</definedName>
    <definedName name="_4992__FDSAUDITLINK__" hidden="1">{"fdsup://directions/FAT Viewer?action=UPDATE&amp;creator=factset&amp;DYN_ARGS=TRUE&amp;DOC_NAME=FAT:FQL_AUDITING_CLIENT_TEMPLATE.FAT&amp;display_string=Audit&amp;VAR:KEY=JGDGNGLYHS&amp;VAR:QUERY=RkZfRUJJVERBX0lCKCdMVE1TJywzODg5Myk=&amp;WINDOW=FIRST_POPUP&amp;HEIGHT=450&amp;WIDTH=450&amp;START_MA","XIMIZED=FALSE&amp;VAR:CALENDAR=US&amp;VAR:SYMBOL=37183T10&amp;VAR:INDEX=0"}</definedName>
    <definedName name="_4993__FDSAUDITLINK__" localSheetId="6" hidden="1">{"fdsup://directions/FAT Viewer?action=UPDATE&amp;creator=factset&amp;DYN_ARGS=TRUE&amp;DOC_NAME=FAT:FQL_AUDITING_CLIENT_TEMPLATE.FAT&amp;display_string=Audit&amp;VAR:KEY=HMJAHKPOBY&amp;VAR:QUERY=RkZfRUJJVERBX0lCKCdMVE1TJywzODg5Mik=&amp;WINDOW=FIRST_POPUP&amp;HEIGHT=450&amp;WIDTH=450&amp;START_MA","XIMIZED=FALSE&amp;VAR:CALENDAR=US&amp;VAR:SYMBOL=37183T10&amp;VAR:INDEX=0"}</definedName>
    <definedName name="_4993__FDSAUDITLINK__" hidden="1">{"fdsup://directions/FAT Viewer?action=UPDATE&amp;creator=factset&amp;DYN_ARGS=TRUE&amp;DOC_NAME=FAT:FQL_AUDITING_CLIENT_TEMPLATE.FAT&amp;display_string=Audit&amp;VAR:KEY=HMJAHKPOBY&amp;VAR:QUERY=RkZfRUJJVERBX0lCKCdMVE1TJywzODg5Mik=&amp;WINDOW=FIRST_POPUP&amp;HEIGHT=450&amp;WIDTH=450&amp;START_MA","XIMIZED=FALSE&amp;VAR:CALENDAR=US&amp;VAR:SYMBOL=37183T10&amp;VAR:INDEX=0"}</definedName>
    <definedName name="_4994__FDSAUDITLINK__" localSheetId="6" hidden="1">{"fdsup://directions/FAT Viewer?action=UPDATE&amp;creator=factset&amp;DYN_ARGS=TRUE&amp;DOC_NAME=FAT:FQL_AUDITING_CLIENT_TEMPLATE.FAT&amp;display_string=Audit&amp;VAR:KEY=TMDYRMTODO&amp;VAR:QUERY=RkZfRUJJVERBX0lCKCdMVE1TJywzODg5MSk=&amp;WINDOW=FIRST_POPUP&amp;HEIGHT=450&amp;WIDTH=450&amp;START_MA","XIMIZED=FALSE&amp;VAR:CALENDAR=US&amp;VAR:SYMBOL=37183T10&amp;VAR:INDEX=0"}</definedName>
    <definedName name="_4994__FDSAUDITLINK__" hidden="1">{"fdsup://directions/FAT Viewer?action=UPDATE&amp;creator=factset&amp;DYN_ARGS=TRUE&amp;DOC_NAME=FAT:FQL_AUDITING_CLIENT_TEMPLATE.FAT&amp;display_string=Audit&amp;VAR:KEY=TMDYRMTODO&amp;VAR:QUERY=RkZfRUJJVERBX0lCKCdMVE1TJywzODg5MSk=&amp;WINDOW=FIRST_POPUP&amp;HEIGHT=450&amp;WIDTH=450&amp;START_MA","XIMIZED=FALSE&amp;VAR:CALENDAR=US&amp;VAR:SYMBOL=37183T10&amp;VAR:INDEX=0"}</definedName>
    <definedName name="_4995__FDSAUDITLINK__" localSheetId="6" hidden="1">{"fdsup://directions/FAT Viewer?action=UPDATE&amp;creator=factset&amp;DYN_ARGS=TRUE&amp;DOC_NAME=FAT:FQL_AUDITING_CLIENT_TEMPLATE.FAT&amp;display_string=Audit&amp;VAR:KEY=ZWHEDODSJE&amp;VAR:QUERY=RkZfRUJJVERBX0lCKCdMVE1TJywzODg5MCk=&amp;WINDOW=FIRST_POPUP&amp;HEIGHT=450&amp;WIDTH=450&amp;START_MA","XIMIZED=FALSE&amp;VAR:CALENDAR=US&amp;VAR:SYMBOL=37183T10&amp;VAR:INDEX=0"}</definedName>
    <definedName name="_4995__FDSAUDITLINK__" hidden="1">{"fdsup://directions/FAT Viewer?action=UPDATE&amp;creator=factset&amp;DYN_ARGS=TRUE&amp;DOC_NAME=FAT:FQL_AUDITING_CLIENT_TEMPLATE.FAT&amp;display_string=Audit&amp;VAR:KEY=ZWHEDODSJE&amp;VAR:QUERY=RkZfRUJJVERBX0lCKCdMVE1TJywzODg5MCk=&amp;WINDOW=FIRST_POPUP&amp;HEIGHT=450&amp;WIDTH=450&amp;START_MA","XIMIZED=FALSE&amp;VAR:CALENDAR=US&amp;VAR:SYMBOL=37183T10&amp;VAR:INDEX=0"}</definedName>
    <definedName name="_4996__FDSAUDITLINK__" localSheetId="6" hidden="1">{"fdsup://directions/FAT Viewer?action=UPDATE&amp;creator=factset&amp;DYN_ARGS=TRUE&amp;DOC_NAME=FAT:FQL_AUDITING_CLIENT_TEMPLATE.FAT&amp;display_string=Audit&amp;VAR:KEY=TIROBUVEPK&amp;VAR:QUERY=RkZfRUJJVERBX0lCKCdMVE1TJywzODg4OSk=&amp;WINDOW=FIRST_POPUP&amp;HEIGHT=450&amp;WIDTH=450&amp;START_MA","XIMIZED=FALSE&amp;VAR:CALENDAR=US&amp;VAR:SYMBOL=37183T10&amp;VAR:INDEX=0"}</definedName>
    <definedName name="_4996__FDSAUDITLINK__" hidden="1">{"fdsup://directions/FAT Viewer?action=UPDATE&amp;creator=factset&amp;DYN_ARGS=TRUE&amp;DOC_NAME=FAT:FQL_AUDITING_CLIENT_TEMPLATE.FAT&amp;display_string=Audit&amp;VAR:KEY=TIROBUVEPK&amp;VAR:QUERY=RkZfRUJJVERBX0lCKCdMVE1TJywzODg4OSk=&amp;WINDOW=FIRST_POPUP&amp;HEIGHT=450&amp;WIDTH=450&amp;START_MA","XIMIZED=FALSE&amp;VAR:CALENDAR=US&amp;VAR:SYMBOL=37183T10&amp;VAR:INDEX=0"}</definedName>
    <definedName name="_4997__FDSAUDITLINK__" localSheetId="6" hidden="1">{"fdsup://directions/FAT Viewer?action=UPDATE&amp;creator=factset&amp;DYN_ARGS=TRUE&amp;DOC_NAME=FAT:FQL_AUDITING_CLIENT_TEMPLATE.FAT&amp;display_string=Audit&amp;VAR:KEY=RWDIJANULM&amp;VAR:QUERY=RkZfRUJJVERBX0lCKCdMVE1TJywzODg4OCk=&amp;WINDOW=FIRST_POPUP&amp;HEIGHT=450&amp;WIDTH=450&amp;START_MA","XIMIZED=FALSE&amp;VAR:CALENDAR=US&amp;VAR:SYMBOL=37183T10&amp;VAR:INDEX=0"}</definedName>
    <definedName name="_4997__FDSAUDITLINK__" hidden="1">{"fdsup://directions/FAT Viewer?action=UPDATE&amp;creator=factset&amp;DYN_ARGS=TRUE&amp;DOC_NAME=FAT:FQL_AUDITING_CLIENT_TEMPLATE.FAT&amp;display_string=Audit&amp;VAR:KEY=RWDIJANULM&amp;VAR:QUERY=RkZfRUJJVERBX0lCKCdMVE1TJywzODg4OCk=&amp;WINDOW=FIRST_POPUP&amp;HEIGHT=450&amp;WIDTH=450&amp;START_MA","XIMIZED=FALSE&amp;VAR:CALENDAR=US&amp;VAR:SYMBOL=37183T10&amp;VAR:INDEX=0"}</definedName>
    <definedName name="_4998__FDSAUDITLINK__" localSheetId="6" hidden="1">{"fdsup://directions/FAT Viewer?action=UPDATE&amp;creator=factset&amp;DYN_ARGS=TRUE&amp;DOC_NAME=FAT:FQL_AUDITING_CLIENT_TEMPLATE.FAT&amp;display_string=Audit&amp;VAR:KEY=XINYRMBWHC&amp;VAR:QUERY=RkZfRUJJVERBX0lCKCdMVE1TJywzODg4Nyk=&amp;WINDOW=FIRST_POPUP&amp;HEIGHT=450&amp;WIDTH=450&amp;START_MA","XIMIZED=FALSE&amp;VAR:CALENDAR=US&amp;VAR:SYMBOL=37183T10&amp;VAR:INDEX=0"}</definedName>
    <definedName name="_4998__FDSAUDITLINK__" hidden="1">{"fdsup://directions/FAT Viewer?action=UPDATE&amp;creator=factset&amp;DYN_ARGS=TRUE&amp;DOC_NAME=FAT:FQL_AUDITING_CLIENT_TEMPLATE.FAT&amp;display_string=Audit&amp;VAR:KEY=XINYRMBWHC&amp;VAR:QUERY=RkZfRUJJVERBX0lCKCdMVE1TJywzODg4Nyk=&amp;WINDOW=FIRST_POPUP&amp;HEIGHT=450&amp;WIDTH=450&amp;START_MA","XIMIZED=FALSE&amp;VAR:CALENDAR=US&amp;VAR:SYMBOL=37183T10&amp;VAR:INDEX=0"}</definedName>
    <definedName name="_4999__FDSAUDITLINK__" localSheetId="6" hidden="1">{"fdsup://directions/FAT Viewer?action=UPDATE&amp;creator=factset&amp;DYN_ARGS=TRUE&amp;DOC_NAME=FAT:FQL_AUDITING_CLIENT_TEMPLATE.FAT&amp;display_string=Audit&amp;VAR:KEY=XGVKLCZGVM&amp;VAR:QUERY=RkZfRUJJVERBX0lCKCdMVE1TJywzODg4Nik=&amp;WINDOW=FIRST_POPUP&amp;HEIGHT=450&amp;WIDTH=450&amp;START_MA","XIMIZED=FALSE&amp;VAR:CALENDAR=US&amp;VAR:SYMBOL=37183T10&amp;VAR:INDEX=0"}</definedName>
    <definedName name="_4999__FDSAUDITLINK__" hidden="1">{"fdsup://directions/FAT Viewer?action=UPDATE&amp;creator=factset&amp;DYN_ARGS=TRUE&amp;DOC_NAME=FAT:FQL_AUDITING_CLIENT_TEMPLATE.FAT&amp;display_string=Audit&amp;VAR:KEY=XGVKLCZGVM&amp;VAR:QUERY=RkZfRUJJVERBX0lCKCdMVE1TJywzODg4Nik=&amp;WINDOW=FIRST_POPUP&amp;HEIGHT=450&amp;WIDTH=450&amp;START_MA","XIMIZED=FALSE&amp;VAR:CALENDAR=US&amp;VAR:SYMBOL=37183T10&amp;VAR:INDEX=0"}</definedName>
    <definedName name="_5__FDSAUDITLINK__" localSheetId="6" hidden="1">{"fdsup://directions/FAT Viewer?action=UPDATE&amp;creator=factset&amp;DYN_ARGS=TRUE&amp;DOC_NAME=FAT:FQL_AUDITING_CLIENT_TEMPLATE.FAT&amp;display_string=Audit&amp;VAR:KEY=ARMZKPUNSV&amp;VAR:QUERY=QVZHKENTRl9ORVRfSU5DKEFOTiwwRlksLTZGWSxZKSkgLyAoQVZHKENTRl9BU1NFVFMoQU5OLDBGWSwtNkZZL","EZZKSkgLSBBVkcoQ1NGX0lOVEFORyhBTk4sMCwtNkZZLEZZKSkp&amp;WINDOW=FIRST_POPUP&amp;HEIGHT=450&amp;WIDTH=450&amp;START_MAXIMIZED=FALSE&amp;VAR:CALENDAR=US&amp;VAR:SYMBOL=NM"}</definedName>
    <definedName name="_5__FDSAUDITLINK__" hidden="1">{"fdsup://directions/FAT Viewer?action=UPDATE&amp;creator=factset&amp;DYN_ARGS=TRUE&amp;DOC_NAME=FAT:FQL_AUDITING_CLIENT_TEMPLATE.FAT&amp;display_string=Audit&amp;VAR:KEY=ARMZKPUNSV&amp;VAR:QUERY=QVZHKENTRl9ORVRfSU5DKEFOTiwwRlksLTZGWSxZKSkgLyAoQVZHKENTRl9BU1NFVFMoQU5OLDBGWSwtNkZZL","EZZKSkgLSBBVkcoQ1NGX0lOVEFORyhBTk4sMCwtNkZZLEZZKSkp&amp;WINDOW=FIRST_POPUP&amp;HEIGHT=450&amp;WIDTH=450&amp;START_MAXIMIZED=FALSE&amp;VAR:CALENDAR=US&amp;VAR:SYMBOL=NM"}</definedName>
    <definedName name="_50__FDSAUDITLINK__" localSheetId="6" hidden="1">{"fdsup://directions/FAT Viewer?action=UPDATE&amp;creator=factset&amp;DYN_ARGS=TRUE&amp;DOC_NAME=FAT:FQL_AUDITING_CLIENT_TEMPLATE.FAT&amp;display_string=Audit&amp;VAR:KEY=PSDMXWRGXG&amp;VAR:QUERY=QVZHKENTRl9ORVRfSU5DKEFOTiwwRlksLTZGWSxZKSkgLyAoQVZHKENTRl9BU1NFVFMoQU5OLDBGWSwtNkZZL","EZZKSkgLSBBVkcoQ1NGX0lOVEFORyhBTk4sMCwtNkZZLEZZKSkp&amp;WINDOW=FIRST_POPUP&amp;HEIGHT=450&amp;WIDTH=450&amp;START_MAXIMIZED=FALSE&amp;VAR:CALENDAR=US&amp;VAR:SYMBOL=WERN"}</definedName>
    <definedName name="_50__FDSAUDITLINK__" hidden="1">{"fdsup://directions/FAT Viewer?action=UPDATE&amp;creator=factset&amp;DYN_ARGS=TRUE&amp;DOC_NAME=FAT:FQL_AUDITING_CLIENT_TEMPLATE.FAT&amp;display_string=Audit&amp;VAR:KEY=PSDMXWRGXG&amp;VAR:QUERY=QVZHKENTRl9ORVRfSU5DKEFOTiwwRlksLTZGWSxZKSkgLyAoQVZHKENTRl9BU1NFVFMoQU5OLDBGWSwtNkZZL","EZZKSkgLSBBVkcoQ1NGX0lOVEFORyhBTk4sMCwtNkZZLEZZKSkp&amp;WINDOW=FIRST_POPUP&amp;HEIGHT=450&amp;WIDTH=450&amp;START_MAXIMIZED=FALSE&amp;VAR:CALENDAR=US&amp;VAR:SYMBOL=WERN"}</definedName>
    <definedName name="_500__FDSAUDITLINK__" localSheetId="6" hidden="1">{"fdsup://directions/FAT%20Viewer?VAR:PED=LTM&amp;VAR:AUDIT_MODE=SUMMARY&amp;VAR:PERIOD=FIXED&amp;VAR:AUDIT_ID=00000117&amp;VAR:DATE=20081009&amp;action=UPDATE&amp;creator=factset&amp;DOC_NAME=FAT:FMA_audit_SUMMARY.fat&amp;DISPLAY_STRING=Display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0__FDSAUDITLINK__" hidden="1">{"fdsup://directions/FAT%20Viewer?VAR:PED=LTM&amp;VAR:AUDIT_MODE=SUMMARY&amp;VAR:PERIOD=FIXED&amp;VAR:AUDIT_ID=00000117&amp;VAR:DATE=20081009&amp;action=UPDATE&amp;creator=factset&amp;DOC_NAME=FAT:FMA_audit_SUMMARY.fat&amp;DISPLAY_STRING=Display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00__FDSAUDITLINK__" localSheetId="6" hidden="1">{"fdsup://directions/FAT Viewer?action=UPDATE&amp;creator=factset&amp;DYN_ARGS=TRUE&amp;DOC_NAME=FAT:FQL_AUDITING_CLIENT_TEMPLATE.FAT&amp;display_string=Audit&amp;VAR:KEY=JMFYJODSHW&amp;VAR:QUERY=RkZfRUJJVERBX0lCKCdMVE1TJywzODg4NSk=&amp;WINDOW=FIRST_POPUP&amp;HEIGHT=450&amp;WIDTH=450&amp;START_MA","XIMIZED=FALSE&amp;VAR:CALENDAR=US&amp;VAR:SYMBOL=37183T10&amp;VAR:INDEX=0"}</definedName>
    <definedName name="_5000__FDSAUDITLINK__" hidden="1">{"fdsup://directions/FAT Viewer?action=UPDATE&amp;creator=factset&amp;DYN_ARGS=TRUE&amp;DOC_NAME=FAT:FQL_AUDITING_CLIENT_TEMPLATE.FAT&amp;display_string=Audit&amp;VAR:KEY=JMFYJODSHW&amp;VAR:QUERY=RkZfRUJJVERBX0lCKCdMVE1TJywzODg4NSk=&amp;WINDOW=FIRST_POPUP&amp;HEIGHT=450&amp;WIDTH=450&amp;START_MA","XIMIZED=FALSE&amp;VAR:CALENDAR=US&amp;VAR:SYMBOL=37183T10&amp;VAR:INDEX=0"}</definedName>
    <definedName name="_5001__FDSAUDITLINK__" localSheetId="6" hidden="1">{"fdsup://directions/FAT Viewer?action=UPDATE&amp;creator=factset&amp;DYN_ARGS=TRUE&amp;DOC_NAME=FAT:FQL_AUDITING_CLIENT_TEMPLATE.FAT&amp;display_string=Audit&amp;VAR:KEY=TSNCROXWLC&amp;VAR:QUERY=RkZfRUJJVERBX0lCKCdMVE1TJywzODg4NCk=&amp;WINDOW=FIRST_POPUP&amp;HEIGHT=450&amp;WIDTH=450&amp;START_MA","XIMIZED=FALSE&amp;VAR:CALENDAR=US&amp;VAR:SYMBOL=37183T10&amp;VAR:INDEX=0"}</definedName>
    <definedName name="_5001__FDSAUDITLINK__" hidden="1">{"fdsup://directions/FAT Viewer?action=UPDATE&amp;creator=factset&amp;DYN_ARGS=TRUE&amp;DOC_NAME=FAT:FQL_AUDITING_CLIENT_TEMPLATE.FAT&amp;display_string=Audit&amp;VAR:KEY=TSNCROXWLC&amp;VAR:QUERY=RkZfRUJJVERBX0lCKCdMVE1TJywzODg4NCk=&amp;WINDOW=FIRST_POPUP&amp;HEIGHT=450&amp;WIDTH=450&amp;START_MA","XIMIZED=FALSE&amp;VAR:CALENDAR=US&amp;VAR:SYMBOL=37183T10&amp;VAR:INDEX=0"}</definedName>
    <definedName name="_5002__FDSAUDITLINK__" localSheetId="6" hidden="1">{"fdsup://directions/FAT Viewer?action=UPDATE&amp;creator=factset&amp;DYN_ARGS=TRUE&amp;DOC_NAME=FAT:FQL_AUDITING_CLIENT_TEMPLATE.FAT&amp;display_string=Audit&amp;VAR:KEY=NERGFQNIZE&amp;VAR:QUERY=RkZfRUJJVERBX0lCKCdMVE1TJywzODg4Myk=&amp;WINDOW=FIRST_POPUP&amp;HEIGHT=450&amp;WIDTH=450&amp;START_MA","XIMIZED=FALSE&amp;VAR:CALENDAR=US&amp;VAR:SYMBOL=37183T10&amp;VAR:INDEX=0"}</definedName>
    <definedName name="_5002__FDSAUDITLINK__" hidden="1">{"fdsup://directions/FAT Viewer?action=UPDATE&amp;creator=factset&amp;DYN_ARGS=TRUE&amp;DOC_NAME=FAT:FQL_AUDITING_CLIENT_TEMPLATE.FAT&amp;display_string=Audit&amp;VAR:KEY=NERGFQNIZE&amp;VAR:QUERY=RkZfRUJJVERBX0lCKCdMVE1TJywzODg4Myk=&amp;WINDOW=FIRST_POPUP&amp;HEIGHT=450&amp;WIDTH=450&amp;START_MA","XIMIZED=FALSE&amp;VAR:CALENDAR=US&amp;VAR:SYMBOL=37183T10&amp;VAR:INDEX=0"}</definedName>
    <definedName name="_5003__FDSAUDITLINK__" localSheetId="6" hidden="1">{"fdsup://directions/FAT Viewer?action=UPDATE&amp;creator=factset&amp;DYN_ARGS=TRUE&amp;DOC_NAME=FAT:FQL_AUDITING_CLIENT_TEMPLATE.FAT&amp;display_string=Audit&amp;VAR:KEY=PMZQLSFENM&amp;VAR:QUERY=RkZfRUJJVERBX0lCKCdMVE1TJywzODg4Mik=&amp;WINDOW=FIRST_POPUP&amp;HEIGHT=450&amp;WIDTH=450&amp;START_MA","XIMIZED=FALSE&amp;VAR:CALENDAR=US&amp;VAR:SYMBOL=37183T10&amp;VAR:INDEX=0"}</definedName>
    <definedName name="_5003__FDSAUDITLINK__" hidden="1">{"fdsup://directions/FAT Viewer?action=UPDATE&amp;creator=factset&amp;DYN_ARGS=TRUE&amp;DOC_NAME=FAT:FQL_AUDITING_CLIENT_TEMPLATE.FAT&amp;display_string=Audit&amp;VAR:KEY=PMZQLSFENM&amp;VAR:QUERY=RkZfRUJJVERBX0lCKCdMVE1TJywzODg4Mik=&amp;WINDOW=FIRST_POPUP&amp;HEIGHT=450&amp;WIDTH=450&amp;START_MA","XIMIZED=FALSE&amp;VAR:CALENDAR=US&amp;VAR:SYMBOL=37183T10&amp;VAR:INDEX=0"}</definedName>
    <definedName name="_5004__FDSAUDITLINK__" localSheetId="6" hidden="1">{"fdsup://directions/FAT Viewer?action=UPDATE&amp;creator=factset&amp;DYN_ARGS=TRUE&amp;DOC_NAME=FAT:FQL_AUDITING_CLIENT_TEMPLATE.FAT&amp;display_string=Audit&amp;VAR:KEY=DKLMTCHMVO&amp;VAR:QUERY=RkZfRUJJVERBX0lCKCdMVE1TJywzODg4MSk=&amp;WINDOW=FIRST_POPUP&amp;HEIGHT=450&amp;WIDTH=450&amp;START_MA","XIMIZED=FALSE&amp;VAR:CALENDAR=US&amp;VAR:SYMBOL=37183T10&amp;VAR:INDEX=0"}</definedName>
    <definedName name="_5004__FDSAUDITLINK__" hidden="1">{"fdsup://directions/FAT Viewer?action=UPDATE&amp;creator=factset&amp;DYN_ARGS=TRUE&amp;DOC_NAME=FAT:FQL_AUDITING_CLIENT_TEMPLATE.FAT&amp;display_string=Audit&amp;VAR:KEY=DKLMTCHMVO&amp;VAR:QUERY=RkZfRUJJVERBX0lCKCdMVE1TJywzODg4MSk=&amp;WINDOW=FIRST_POPUP&amp;HEIGHT=450&amp;WIDTH=450&amp;START_MA","XIMIZED=FALSE&amp;VAR:CALENDAR=US&amp;VAR:SYMBOL=37183T10&amp;VAR:INDEX=0"}</definedName>
    <definedName name="_5005__FDSAUDITLINK__" localSheetId="6" hidden="1">{"fdsup://directions/FAT Viewer?action=UPDATE&amp;creator=factset&amp;DYN_ARGS=TRUE&amp;DOC_NAME=FAT:FQL_AUDITING_CLIENT_TEMPLATE.FAT&amp;display_string=Audit&amp;VAR:KEY=BELIHKXSXE&amp;VAR:QUERY=RkZfRUJJVERBX0lCKCdMVE1TJywzODg4MCk=&amp;WINDOW=FIRST_POPUP&amp;HEIGHT=450&amp;WIDTH=450&amp;START_MA","XIMIZED=FALSE&amp;VAR:CALENDAR=US&amp;VAR:SYMBOL=37183T10&amp;VAR:INDEX=0"}</definedName>
    <definedName name="_5005__FDSAUDITLINK__" hidden="1">{"fdsup://directions/FAT Viewer?action=UPDATE&amp;creator=factset&amp;DYN_ARGS=TRUE&amp;DOC_NAME=FAT:FQL_AUDITING_CLIENT_TEMPLATE.FAT&amp;display_string=Audit&amp;VAR:KEY=BELIHKXSXE&amp;VAR:QUERY=RkZfRUJJVERBX0lCKCdMVE1TJywzODg4MCk=&amp;WINDOW=FIRST_POPUP&amp;HEIGHT=450&amp;WIDTH=450&amp;START_MA","XIMIZED=FALSE&amp;VAR:CALENDAR=US&amp;VAR:SYMBOL=37183T10&amp;VAR:INDEX=0"}</definedName>
    <definedName name="_5006__FDSAUDITLINK__" localSheetId="6" hidden="1">{"fdsup://directions/FAT Viewer?action=UPDATE&amp;creator=factset&amp;DYN_ARGS=TRUE&amp;DOC_NAME=FAT:FQL_AUDITING_CLIENT_TEMPLATE.FAT&amp;display_string=Audit&amp;VAR:KEY=LAPYXWRQTQ&amp;VAR:QUERY=RkZfRUJJVERBX0lCKCdMVE1TJywzODg3OSk=&amp;WINDOW=FIRST_POPUP&amp;HEIGHT=450&amp;WIDTH=450&amp;START_MA","XIMIZED=FALSE&amp;VAR:CALENDAR=US&amp;VAR:SYMBOL=37183T10&amp;VAR:INDEX=0"}</definedName>
    <definedName name="_5006__FDSAUDITLINK__" hidden="1">{"fdsup://directions/FAT Viewer?action=UPDATE&amp;creator=factset&amp;DYN_ARGS=TRUE&amp;DOC_NAME=FAT:FQL_AUDITING_CLIENT_TEMPLATE.FAT&amp;display_string=Audit&amp;VAR:KEY=LAPYXWRQTQ&amp;VAR:QUERY=RkZfRUJJVERBX0lCKCdMVE1TJywzODg3OSk=&amp;WINDOW=FIRST_POPUP&amp;HEIGHT=450&amp;WIDTH=450&amp;START_MA","XIMIZED=FALSE&amp;VAR:CALENDAR=US&amp;VAR:SYMBOL=37183T10&amp;VAR:INDEX=0"}</definedName>
    <definedName name="_5007__FDSAUDITLINK__" localSheetId="6" hidden="1">{"fdsup://directions/FAT Viewer?action=UPDATE&amp;creator=factset&amp;DYN_ARGS=TRUE&amp;DOC_NAME=FAT:FQL_AUDITING_CLIENT_TEMPLATE.FAT&amp;display_string=Audit&amp;VAR:KEY=PCHIHOTCVC&amp;VAR:QUERY=RkZfRUJJVERBX0lCKCdMVE1TJywzODg3OCk=&amp;WINDOW=FIRST_POPUP&amp;HEIGHT=450&amp;WIDTH=450&amp;START_MA","XIMIZED=FALSE&amp;VAR:CALENDAR=US&amp;VAR:SYMBOL=37183T10&amp;VAR:INDEX=0"}</definedName>
    <definedName name="_5007__FDSAUDITLINK__" hidden="1">{"fdsup://directions/FAT Viewer?action=UPDATE&amp;creator=factset&amp;DYN_ARGS=TRUE&amp;DOC_NAME=FAT:FQL_AUDITING_CLIENT_TEMPLATE.FAT&amp;display_string=Audit&amp;VAR:KEY=PCHIHOTCVC&amp;VAR:QUERY=RkZfRUJJVERBX0lCKCdMVE1TJywzODg3OCk=&amp;WINDOW=FIRST_POPUP&amp;HEIGHT=450&amp;WIDTH=450&amp;START_MA","XIMIZED=FALSE&amp;VAR:CALENDAR=US&amp;VAR:SYMBOL=37183T10&amp;VAR:INDEX=0"}</definedName>
    <definedName name="_5008__FDSAUDITLINK__" localSheetId="6" hidden="1">{"fdsup://directions/FAT Viewer?action=UPDATE&amp;creator=factset&amp;DYN_ARGS=TRUE&amp;DOC_NAME=FAT:FQL_AUDITING_CLIENT_TEMPLATE.FAT&amp;display_string=Audit&amp;VAR:KEY=NINKLQLSPE&amp;VAR:QUERY=RkZfRUJJVERBX0lCKCdMVE1TJywzODg3Nyk=&amp;WINDOW=FIRST_POPUP&amp;HEIGHT=450&amp;WIDTH=450&amp;START_MA","XIMIZED=FALSE&amp;VAR:CALENDAR=US&amp;VAR:SYMBOL=37183T10&amp;VAR:INDEX=0"}</definedName>
    <definedName name="_5008__FDSAUDITLINK__" hidden="1">{"fdsup://directions/FAT Viewer?action=UPDATE&amp;creator=factset&amp;DYN_ARGS=TRUE&amp;DOC_NAME=FAT:FQL_AUDITING_CLIENT_TEMPLATE.FAT&amp;display_string=Audit&amp;VAR:KEY=NINKLQLSPE&amp;VAR:QUERY=RkZfRUJJVERBX0lCKCdMVE1TJywzODg3Nyk=&amp;WINDOW=FIRST_POPUP&amp;HEIGHT=450&amp;WIDTH=450&amp;START_MA","XIMIZED=FALSE&amp;VAR:CALENDAR=US&amp;VAR:SYMBOL=37183T10&amp;VAR:INDEX=0"}</definedName>
    <definedName name="_5009__FDSAUDITLINK__" localSheetId="6" hidden="1">{"fdsup://directions/FAT Viewer?action=UPDATE&amp;creator=factset&amp;DYN_ARGS=TRUE&amp;DOC_NAME=FAT:FQL_AUDITING_CLIENT_TEMPLATE.FAT&amp;display_string=Audit&amp;VAR:KEY=PQZUNYJQVE&amp;VAR:QUERY=RkZfRUJJVERBX0lCKCdMVE1TJywzODg3Nik=&amp;WINDOW=FIRST_POPUP&amp;HEIGHT=450&amp;WIDTH=450&amp;START_MA","XIMIZED=FALSE&amp;VAR:CALENDAR=US&amp;VAR:SYMBOL=37183T10&amp;VAR:INDEX=0"}</definedName>
    <definedName name="_5009__FDSAUDITLINK__" hidden="1">{"fdsup://directions/FAT Viewer?action=UPDATE&amp;creator=factset&amp;DYN_ARGS=TRUE&amp;DOC_NAME=FAT:FQL_AUDITING_CLIENT_TEMPLATE.FAT&amp;display_string=Audit&amp;VAR:KEY=PQZUNYJQVE&amp;VAR:QUERY=RkZfRUJJVERBX0lCKCdMVE1TJywzODg3Nik=&amp;WINDOW=FIRST_POPUP&amp;HEIGHT=450&amp;WIDTH=450&amp;START_MA","XIMIZED=FALSE&amp;VAR:CALENDAR=US&amp;VAR:SYMBOL=37183T10&amp;VAR:INDEX=0"}</definedName>
    <definedName name="_501__FDSAUDITLINK__" localSheetId="6" hidden="1">{"fdsup://directions/FAT%20Viewer?VAR:PED=LTM&amp;VAR:AUDIT_MODE=SUMMARY&amp;VAR:PERIOD=FIXED&amp;VAR:AUDIT_ID=00000117&amp;VAR:DATE=20081008&amp;action=UPDATE&amp;creator=factset&amp;DOC_NAME=FAT:FMA_audit_SUMMARY.fat&amp;DISPLAY_STRING=Display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1__FDSAUDITLINK__" hidden="1">{"fdsup://directions/FAT%20Viewer?VAR:PED=LTM&amp;VAR:AUDIT_MODE=SUMMARY&amp;VAR:PERIOD=FIXED&amp;VAR:AUDIT_ID=00000117&amp;VAR:DATE=20081008&amp;action=UPDATE&amp;creator=factset&amp;DOC_NAME=FAT:FMA_audit_SUMMARY.fat&amp;DISPLAY_STRING=Display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10__FDSAUDITLINK__" localSheetId="6" hidden="1">{"fdsup://directions/FAT Viewer?action=UPDATE&amp;creator=factset&amp;DYN_ARGS=TRUE&amp;DOC_NAME=FAT:FQL_AUDITING_CLIENT_TEMPLATE.FAT&amp;display_string=Audit&amp;VAR:KEY=NKLIRQNMFW&amp;VAR:QUERY=RkZfRUJJVERBX0lCKCdMVE1TJywzODg3NSk=&amp;WINDOW=FIRST_POPUP&amp;HEIGHT=450&amp;WIDTH=450&amp;START_MA","XIMIZED=FALSE&amp;VAR:CALENDAR=US&amp;VAR:SYMBOL=37183T10&amp;VAR:INDEX=0"}</definedName>
    <definedName name="_5010__FDSAUDITLINK__" hidden="1">{"fdsup://directions/FAT Viewer?action=UPDATE&amp;creator=factset&amp;DYN_ARGS=TRUE&amp;DOC_NAME=FAT:FQL_AUDITING_CLIENT_TEMPLATE.FAT&amp;display_string=Audit&amp;VAR:KEY=NKLIRQNMFW&amp;VAR:QUERY=RkZfRUJJVERBX0lCKCdMVE1TJywzODg3NSk=&amp;WINDOW=FIRST_POPUP&amp;HEIGHT=450&amp;WIDTH=450&amp;START_MA","XIMIZED=FALSE&amp;VAR:CALENDAR=US&amp;VAR:SYMBOL=37183T10&amp;VAR:INDEX=0"}</definedName>
    <definedName name="_5011__FDSAUDITLINK__" localSheetId="6" hidden="1">{"fdsup://directions/FAT Viewer?action=UPDATE&amp;creator=factset&amp;DYN_ARGS=TRUE&amp;DOC_NAME=FAT:FQL_AUDITING_CLIENT_TEMPLATE.FAT&amp;display_string=Audit&amp;VAR:KEY=ROTINCVADW&amp;VAR:QUERY=RkZfRUJJVERBX0lCKCdMVE1TJywzODg3NCk=&amp;WINDOW=FIRST_POPUP&amp;HEIGHT=450&amp;WIDTH=450&amp;START_MA","XIMIZED=FALSE&amp;VAR:CALENDAR=US&amp;VAR:SYMBOL=37183T10&amp;VAR:INDEX=0"}</definedName>
    <definedName name="_5011__FDSAUDITLINK__" hidden="1">{"fdsup://directions/FAT Viewer?action=UPDATE&amp;creator=factset&amp;DYN_ARGS=TRUE&amp;DOC_NAME=FAT:FQL_AUDITING_CLIENT_TEMPLATE.FAT&amp;display_string=Audit&amp;VAR:KEY=ROTINCVADW&amp;VAR:QUERY=RkZfRUJJVERBX0lCKCdMVE1TJywzODg3NCk=&amp;WINDOW=FIRST_POPUP&amp;HEIGHT=450&amp;WIDTH=450&amp;START_MA","XIMIZED=FALSE&amp;VAR:CALENDAR=US&amp;VAR:SYMBOL=37183T10&amp;VAR:INDEX=0"}</definedName>
    <definedName name="_5012__FDSAUDITLINK__" localSheetId="6" hidden="1">{"fdsup://directions/FAT Viewer?action=UPDATE&amp;creator=factset&amp;DYN_ARGS=TRUE&amp;DOC_NAME=FAT:FQL_AUDITING_CLIENT_TEMPLATE.FAT&amp;display_string=Audit&amp;VAR:KEY=VALMRUZCBW&amp;VAR:QUERY=RkZfRUJJVERBX0lCKCdMVE1TJywzODg3Myk=&amp;WINDOW=FIRST_POPUP&amp;HEIGHT=450&amp;WIDTH=450&amp;START_MA","XIMIZED=FALSE&amp;VAR:CALENDAR=US&amp;VAR:SYMBOL=37183T10&amp;VAR:INDEX=0"}</definedName>
    <definedName name="_5012__FDSAUDITLINK__" hidden="1">{"fdsup://directions/FAT Viewer?action=UPDATE&amp;creator=factset&amp;DYN_ARGS=TRUE&amp;DOC_NAME=FAT:FQL_AUDITING_CLIENT_TEMPLATE.FAT&amp;display_string=Audit&amp;VAR:KEY=VALMRUZCBW&amp;VAR:QUERY=RkZfRUJJVERBX0lCKCdMVE1TJywzODg3Myk=&amp;WINDOW=FIRST_POPUP&amp;HEIGHT=450&amp;WIDTH=450&amp;START_MA","XIMIZED=FALSE&amp;VAR:CALENDAR=US&amp;VAR:SYMBOL=37183T10&amp;VAR:INDEX=0"}</definedName>
    <definedName name="_5013__FDSAUDITLINK__" localSheetId="6" hidden="1">{"fdsup://directions/FAT Viewer?action=UPDATE&amp;creator=factset&amp;DYN_ARGS=TRUE&amp;DOC_NAME=FAT:FQL_AUDITING_CLIENT_TEMPLATE.FAT&amp;display_string=Audit&amp;VAR:KEY=JSHSREFEFA&amp;VAR:QUERY=RkZfRUJJVERBX0lCKCdMVE1TJywzODg3Mik=&amp;WINDOW=FIRST_POPUP&amp;HEIGHT=450&amp;WIDTH=450&amp;START_MA","XIMIZED=FALSE&amp;VAR:CALENDAR=US&amp;VAR:SYMBOL=37183T10&amp;VAR:INDEX=0"}</definedName>
    <definedName name="_5013__FDSAUDITLINK__" hidden="1">{"fdsup://directions/FAT Viewer?action=UPDATE&amp;creator=factset&amp;DYN_ARGS=TRUE&amp;DOC_NAME=FAT:FQL_AUDITING_CLIENT_TEMPLATE.FAT&amp;display_string=Audit&amp;VAR:KEY=JSHSREFEFA&amp;VAR:QUERY=RkZfRUJJVERBX0lCKCdMVE1TJywzODg3Mik=&amp;WINDOW=FIRST_POPUP&amp;HEIGHT=450&amp;WIDTH=450&amp;START_MA","XIMIZED=FALSE&amp;VAR:CALENDAR=US&amp;VAR:SYMBOL=37183T10&amp;VAR:INDEX=0"}</definedName>
    <definedName name="_5014__FDSAUDITLINK__" localSheetId="6" hidden="1">{"fdsup://directions/FAT Viewer?action=UPDATE&amp;creator=factset&amp;DYN_ARGS=TRUE&amp;DOC_NAME=FAT:FQL_AUDITING_CLIENT_TEMPLATE.FAT&amp;display_string=Audit&amp;VAR:KEY=JWXOZCZGJK&amp;VAR:QUERY=RkZfRUJJVERBX0lCKCdMVE1TJywzODg3MSk=&amp;WINDOW=FIRST_POPUP&amp;HEIGHT=450&amp;WIDTH=450&amp;START_MA","XIMIZED=FALSE&amp;VAR:CALENDAR=US&amp;VAR:SYMBOL=37183T10&amp;VAR:INDEX=0"}</definedName>
    <definedName name="_5014__FDSAUDITLINK__" hidden="1">{"fdsup://directions/FAT Viewer?action=UPDATE&amp;creator=factset&amp;DYN_ARGS=TRUE&amp;DOC_NAME=FAT:FQL_AUDITING_CLIENT_TEMPLATE.FAT&amp;display_string=Audit&amp;VAR:KEY=JWXOZCZGJK&amp;VAR:QUERY=RkZfRUJJVERBX0lCKCdMVE1TJywzODg3MSk=&amp;WINDOW=FIRST_POPUP&amp;HEIGHT=450&amp;WIDTH=450&amp;START_MA","XIMIZED=FALSE&amp;VAR:CALENDAR=US&amp;VAR:SYMBOL=37183T10&amp;VAR:INDEX=0"}</definedName>
    <definedName name="_5015__FDSAUDITLINK__" localSheetId="6" hidden="1">{"fdsup://directions/FAT Viewer?action=UPDATE&amp;creator=factset&amp;DYN_ARGS=TRUE&amp;DOC_NAME=FAT:FQL_AUDITING_CLIENT_TEMPLATE.FAT&amp;display_string=Audit&amp;VAR:KEY=XWPCRIDMRI&amp;VAR:QUERY=RkZfRUJJVERBX0lCKCdMVE1TJywzODg3MCk=&amp;WINDOW=FIRST_POPUP&amp;HEIGHT=450&amp;WIDTH=450&amp;START_MA","XIMIZED=FALSE&amp;VAR:CALENDAR=US&amp;VAR:SYMBOL=37183T10&amp;VAR:INDEX=0"}</definedName>
    <definedName name="_5015__FDSAUDITLINK__" hidden="1">{"fdsup://directions/FAT Viewer?action=UPDATE&amp;creator=factset&amp;DYN_ARGS=TRUE&amp;DOC_NAME=FAT:FQL_AUDITING_CLIENT_TEMPLATE.FAT&amp;display_string=Audit&amp;VAR:KEY=XWPCRIDMRI&amp;VAR:QUERY=RkZfRUJJVERBX0lCKCdMVE1TJywzODg3MCk=&amp;WINDOW=FIRST_POPUP&amp;HEIGHT=450&amp;WIDTH=450&amp;START_MA","XIMIZED=FALSE&amp;VAR:CALENDAR=US&amp;VAR:SYMBOL=37183T10&amp;VAR:INDEX=0"}</definedName>
    <definedName name="_5016__FDSAUDITLINK__" localSheetId="6" hidden="1">{"fdsup://directions/FAT Viewer?action=UPDATE&amp;creator=factset&amp;DYN_ARGS=TRUE&amp;DOC_NAME=FAT:FQL_AUDITING_CLIENT_TEMPLATE.FAT&amp;display_string=Audit&amp;VAR:KEY=HQXUBGLUFE&amp;VAR:QUERY=RkZfRUJJVERBX0lCKCdMVE1TJywzODg2OSk=&amp;WINDOW=FIRST_POPUP&amp;HEIGHT=450&amp;WIDTH=450&amp;START_MA","XIMIZED=FALSE&amp;VAR:CALENDAR=US&amp;VAR:SYMBOL=37183T10&amp;VAR:INDEX=0"}</definedName>
    <definedName name="_5016__FDSAUDITLINK__" hidden="1">{"fdsup://directions/FAT Viewer?action=UPDATE&amp;creator=factset&amp;DYN_ARGS=TRUE&amp;DOC_NAME=FAT:FQL_AUDITING_CLIENT_TEMPLATE.FAT&amp;display_string=Audit&amp;VAR:KEY=HQXUBGLUFE&amp;VAR:QUERY=RkZfRUJJVERBX0lCKCdMVE1TJywzODg2OSk=&amp;WINDOW=FIRST_POPUP&amp;HEIGHT=450&amp;WIDTH=450&amp;START_MA","XIMIZED=FALSE&amp;VAR:CALENDAR=US&amp;VAR:SYMBOL=37183T10&amp;VAR:INDEX=0"}</definedName>
    <definedName name="_5017__FDSAUDITLINK__" localSheetId="6" hidden="1">{"fdsup://directions/FAT Viewer?action=UPDATE&amp;creator=factset&amp;DYN_ARGS=TRUE&amp;DOC_NAME=FAT:FQL_AUDITING_CLIENT_TEMPLATE.FAT&amp;display_string=Audit&amp;VAR:KEY=BUFOBUDGNY&amp;VAR:QUERY=RkZfRUJJVERBX0lCKCdMVE1TJywzODg2OCk=&amp;WINDOW=FIRST_POPUP&amp;HEIGHT=450&amp;WIDTH=450&amp;START_MA","XIMIZED=FALSE&amp;VAR:CALENDAR=US&amp;VAR:SYMBOL=37183T10&amp;VAR:INDEX=0"}</definedName>
    <definedName name="_5017__FDSAUDITLINK__" hidden="1">{"fdsup://directions/FAT Viewer?action=UPDATE&amp;creator=factset&amp;DYN_ARGS=TRUE&amp;DOC_NAME=FAT:FQL_AUDITING_CLIENT_TEMPLATE.FAT&amp;display_string=Audit&amp;VAR:KEY=BUFOBUDGNY&amp;VAR:QUERY=RkZfRUJJVERBX0lCKCdMVE1TJywzODg2OCk=&amp;WINDOW=FIRST_POPUP&amp;HEIGHT=450&amp;WIDTH=450&amp;START_MA","XIMIZED=FALSE&amp;VAR:CALENDAR=US&amp;VAR:SYMBOL=37183T10&amp;VAR:INDEX=0"}</definedName>
    <definedName name="_5018__FDSAUDITLINK__" localSheetId="6" hidden="1">{"fdsup://directions/FAT Viewer?action=UPDATE&amp;creator=factset&amp;DYN_ARGS=TRUE&amp;DOC_NAME=FAT:FQL_AUDITING_CLIENT_TEMPLATE.FAT&amp;display_string=Audit&amp;VAR:KEY=XADYHCPEHQ&amp;VAR:QUERY=RkZfRUJJVERBX0lCKCdMVE1TJywzODg2Nyk=&amp;WINDOW=FIRST_POPUP&amp;HEIGHT=450&amp;WIDTH=450&amp;START_MA","XIMIZED=FALSE&amp;VAR:CALENDAR=US&amp;VAR:SYMBOL=37183T10&amp;VAR:INDEX=0"}</definedName>
    <definedName name="_5018__FDSAUDITLINK__" hidden="1">{"fdsup://directions/FAT Viewer?action=UPDATE&amp;creator=factset&amp;DYN_ARGS=TRUE&amp;DOC_NAME=FAT:FQL_AUDITING_CLIENT_TEMPLATE.FAT&amp;display_string=Audit&amp;VAR:KEY=XADYHCPEHQ&amp;VAR:QUERY=RkZfRUJJVERBX0lCKCdMVE1TJywzODg2Nyk=&amp;WINDOW=FIRST_POPUP&amp;HEIGHT=450&amp;WIDTH=450&amp;START_MA","XIMIZED=FALSE&amp;VAR:CALENDAR=US&amp;VAR:SYMBOL=37183T10&amp;VAR:INDEX=0"}</definedName>
    <definedName name="_5019__FDSAUDITLINK__" localSheetId="6" hidden="1">{"fdsup://directions/FAT Viewer?action=UPDATE&amp;creator=factset&amp;DYN_ARGS=TRUE&amp;DOC_NAME=FAT:FQL_AUDITING_CLIENT_TEMPLATE.FAT&amp;display_string=Audit&amp;VAR:KEY=JCHQBOBYDI&amp;VAR:QUERY=RkZfRUJJVERBX0lCKCdMVE1TJywzODg2Nik=&amp;WINDOW=FIRST_POPUP&amp;HEIGHT=450&amp;WIDTH=450&amp;START_MA","XIMIZED=FALSE&amp;VAR:CALENDAR=US&amp;VAR:SYMBOL=37183T10&amp;VAR:INDEX=0"}</definedName>
    <definedName name="_5019__FDSAUDITLINK__" hidden="1">{"fdsup://directions/FAT Viewer?action=UPDATE&amp;creator=factset&amp;DYN_ARGS=TRUE&amp;DOC_NAME=FAT:FQL_AUDITING_CLIENT_TEMPLATE.FAT&amp;display_string=Audit&amp;VAR:KEY=JCHQBOBYDI&amp;VAR:QUERY=RkZfRUJJVERBX0lCKCdMVE1TJywzODg2Nik=&amp;WINDOW=FIRST_POPUP&amp;HEIGHT=450&amp;WIDTH=450&amp;START_MA","XIMIZED=FALSE&amp;VAR:CALENDAR=US&amp;VAR:SYMBOL=37183T10&amp;VAR:INDEX=0"}</definedName>
    <definedName name="_502__FDSAUDITLINK__" localSheetId="6" hidden="1">{"fdsup://directions/FAT%20Viewer?VAR:PED=LTM&amp;VAR:AUDIT_MODE=SUMMARY&amp;VAR:PERIOD=FIXED&amp;VAR:AUDIT_ID=00000117&amp;VAR:DATE=20081007&amp;action=UPDATE&amp;creator=factset&amp;DOC_NAME=FAT:FMA_audit_SUMMARY.fat&amp;DISPLAY_STRING=Display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2__FDSAUDITLINK__" hidden="1">{"fdsup://directions/FAT%20Viewer?VAR:PED=LTM&amp;VAR:AUDIT_MODE=SUMMARY&amp;VAR:PERIOD=FIXED&amp;VAR:AUDIT_ID=00000117&amp;VAR:DATE=20081007&amp;action=UPDATE&amp;creator=factset&amp;DOC_NAME=FAT:FMA_audit_SUMMARY.fat&amp;DISPLAY_STRING=Display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20__FDSAUDITLINK__" localSheetId="6" hidden="1">{"fdsup://directions/FAT Viewer?action=UPDATE&amp;creator=factset&amp;DYN_ARGS=TRUE&amp;DOC_NAME=FAT:FQL_AUDITING_CLIENT_TEMPLATE.FAT&amp;display_string=Audit&amp;VAR:KEY=NYXSFCFOTK&amp;VAR:QUERY=RkZfRUJJVERBX0lCKCdMVE1TJywzODg2NSk=&amp;WINDOW=FIRST_POPUP&amp;HEIGHT=450&amp;WIDTH=450&amp;START_MA","XIMIZED=FALSE&amp;VAR:CALENDAR=US&amp;VAR:SYMBOL=37183T10&amp;VAR:INDEX=0"}</definedName>
    <definedName name="_5020__FDSAUDITLINK__" hidden="1">{"fdsup://directions/FAT Viewer?action=UPDATE&amp;creator=factset&amp;DYN_ARGS=TRUE&amp;DOC_NAME=FAT:FQL_AUDITING_CLIENT_TEMPLATE.FAT&amp;display_string=Audit&amp;VAR:KEY=NYXSFCFOTK&amp;VAR:QUERY=RkZfRUJJVERBX0lCKCdMVE1TJywzODg2NSk=&amp;WINDOW=FIRST_POPUP&amp;HEIGHT=450&amp;WIDTH=450&amp;START_MA","XIMIZED=FALSE&amp;VAR:CALENDAR=US&amp;VAR:SYMBOL=37183T10&amp;VAR:INDEX=0"}</definedName>
    <definedName name="_5021__FDSAUDITLINK__" localSheetId="6" hidden="1">{"fdsup://directions/FAT Viewer?action=UPDATE&amp;creator=factset&amp;DYN_ARGS=TRUE&amp;DOC_NAME=FAT:FQL_AUDITING_CLIENT_TEMPLATE.FAT&amp;display_string=Audit&amp;VAR:KEY=VIVMPGBGFI&amp;VAR:QUERY=RkZfRUJJVERBX0lCKCdMVE1TJywzODg2NCk=&amp;WINDOW=FIRST_POPUP&amp;HEIGHT=450&amp;WIDTH=450&amp;START_MA","XIMIZED=FALSE&amp;VAR:CALENDAR=US&amp;VAR:SYMBOL=37183T10&amp;VAR:INDEX=0"}</definedName>
    <definedName name="_5021__FDSAUDITLINK__" hidden="1">{"fdsup://directions/FAT Viewer?action=UPDATE&amp;creator=factset&amp;DYN_ARGS=TRUE&amp;DOC_NAME=FAT:FQL_AUDITING_CLIENT_TEMPLATE.FAT&amp;display_string=Audit&amp;VAR:KEY=VIVMPGBGFI&amp;VAR:QUERY=RkZfRUJJVERBX0lCKCdMVE1TJywzODg2NCk=&amp;WINDOW=FIRST_POPUP&amp;HEIGHT=450&amp;WIDTH=450&amp;START_MA","XIMIZED=FALSE&amp;VAR:CALENDAR=US&amp;VAR:SYMBOL=37183T10&amp;VAR:INDEX=0"}</definedName>
    <definedName name="_5022__FDSAUDITLINK__" localSheetId="6" hidden="1">{"fdsup://directions/FAT Viewer?action=UPDATE&amp;creator=factset&amp;DYN_ARGS=TRUE&amp;DOC_NAME=FAT:FQL_AUDITING_CLIENT_TEMPLATE.FAT&amp;display_string=Audit&amp;VAR:KEY=BKZODOVIRC&amp;VAR:QUERY=RkZfRUJJVERBX0lCKCdMVE1TJywzODg2Myk=&amp;WINDOW=FIRST_POPUP&amp;HEIGHT=450&amp;WIDTH=450&amp;START_MA","XIMIZED=FALSE&amp;VAR:CALENDAR=US&amp;VAR:SYMBOL=37183T10&amp;VAR:INDEX=0"}</definedName>
    <definedName name="_5022__FDSAUDITLINK__" hidden="1">{"fdsup://directions/FAT Viewer?action=UPDATE&amp;creator=factset&amp;DYN_ARGS=TRUE&amp;DOC_NAME=FAT:FQL_AUDITING_CLIENT_TEMPLATE.FAT&amp;display_string=Audit&amp;VAR:KEY=BKZODOVIRC&amp;VAR:QUERY=RkZfRUJJVERBX0lCKCdMVE1TJywzODg2Myk=&amp;WINDOW=FIRST_POPUP&amp;HEIGHT=450&amp;WIDTH=450&amp;START_MA","XIMIZED=FALSE&amp;VAR:CALENDAR=US&amp;VAR:SYMBOL=37183T10&amp;VAR:INDEX=0"}</definedName>
    <definedName name="_5023__FDSAUDITLINK__" localSheetId="6" hidden="1">{"fdsup://directions/FAT Viewer?action=UPDATE&amp;creator=factset&amp;DYN_ARGS=TRUE&amp;DOC_NAME=FAT:FQL_AUDITING_CLIENT_TEMPLATE.FAT&amp;display_string=Audit&amp;VAR:KEY=BQZYXAHELI&amp;VAR:QUERY=RkZfRUJJVERBX0lCKCdMVE1TJywzODg2Mik=&amp;WINDOW=FIRST_POPUP&amp;HEIGHT=450&amp;WIDTH=450&amp;START_MA","XIMIZED=FALSE&amp;VAR:CALENDAR=US&amp;VAR:SYMBOL=37183T10&amp;VAR:INDEX=0"}</definedName>
    <definedName name="_5023__FDSAUDITLINK__" hidden="1">{"fdsup://directions/FAT Viewer?action=UPDATE&amp;creator=factset&amp;DYN_ARGS=TRUE&amp;DOC_NAME=FAT:FQL_AUDITING_CLIENT_TEMPLATE.FAT&amp;display_string=Audit&amp;VAR:KEY=BQZYXAHELI&amp;VAR:QUERY=RkZfRUJJVERBX0lCKCdMVE1TJywzODg2Mik=&amp;WINDOW=FIRST_POPUP&amp;HEIGHT=450&amp;WIDTH=450&amp;START_MA","XIMIZED=FALSE&amp;VAR:CALENDAR=US&amp;VAR:SYMBOL=37183T10&amp;VAR:INDEX=0"}</definedName>
    <definedName name="_5024__FDSAUDITLINK__" localSheetId="6" hidden="1">{"fdsup://directions/FAT Viewer?action=UPDATE&amp;creator=factset&amp;DYN_ARGS=TRUE&amp;DOC_NAME=FAT:FQL_AUDITING_CLIENT_TEMPLATE.FAT&amp;display_string=Audit&amp;VAR:KEY=RGZYFQZAHU&amp;VAR:QUERY=RkZfRUJJVERBX0lCKCdMVE1TJywzODg2MSk=&amp;WINDOW=FIRST_POPUP&amp;HEIGHT=450&amp;WIDTH=450&amp;START_MA","XIMIZED=FALSE&amp;VAR:CALENDAR=US&amp;VAR:SYMBOL=37183T10&amp;VAR:INDEX=0"}</definedName>
    <definedName name="_5024__FDSAUDITLINK__" hidden="1">{"fdsup://directions/FAT Viewer?action=UPDATE&amp;creator=factset&amp;DYN_ARGS=TRUE&amp;DOC_NAME=FAT:FQL_AUDITING_CLIENT_TEMPLATE.FAT&amp;display_string=Audit&amp;VAR:KEY=RGZYFQZAHU&amp;VAR:QUERY=RkZfRUJJVERBX0lCKCdMVE1TJywzODg2MSk=&amp;WINDOW=FIRST_POPUP&amp;HEIGHT=450&amp;WIDTH=450&amp;START_MA","XIMIZED=FALSE&amp;VAR:CALENDAR=US&amp;VAR:SYMBOL=37183T10&amp;VAR:INDEX=0"}</definedName>
    <definedName name="_5025__FDSAUDITLINK__" localSheetId="6" hidden="1">{"fdsup://directions/FAT Viewer?action=UPDATE&amp;creator=factset&amp;DYN_ARGS=TRUE&amp;DOC_NAME=FAT:FQL_AUDITING_CLIENT_TEMPLATE.FAT&amp;display_string=Audit&amp;VAR:KEY=HERUPMHSPG&amp;VAR:QUERY=RkZfRUJJVERBX0lCKCdMVE1TJywzODg2MCk=&amp;WINDOW=FIRST_POPUP&amp;HEIGHT=450&amp;WIDTH=450&amp;START_MA","XIMIZED=FALSE&amp;VAR:CALENDAR=US&amp;VAR:SYMBOL=37183T10&amp;VAR:INDEX=0"}</definedName>
    <definedName name="_5025__FDSAUDITLINK__" hidden="1">{"fdsup://directions/FAT Viewer?action=UPDATE&amp;creator=factset&amp;DYN_ARGS=TRUE&amp;DOC_NAME=FAT:FQL_AUDITING_CLIENT_TEMPLATE.FAT&amp;display_string=Audit&amp;VAR:KEY=HERUPMHSPG&amp;VAR:QUERY=RkZfRUJJVERBX0lCKCdMVE1TJywzODg2MCk=&amp;WINDOW=FIRST_POPUP&amp;HEIGHT=450&amp;WIDTH=450&amp;START_MA","XIMIZED=FALSE&amp;VAR:CALENDAR=US&amp;VAR:SYMBOL=37183T10&amp;VAR:INDEX=0"}</definedName>
    <definedName name="_5026__FDSAUDITLINK__" localSheetId="6" hidden="1">{"fdsup://directions/FAT Viewer?action=UPDATE&amp;creator=factset&amp;DYN_ARGS=TRUE&amp;DOC_NAME=FAT:FQL_AUDITING_CLIENT_TEMPLATE.FAT&amp;display_string=Audit&amp;VAR:KEY=ZSBIJQNUXU&amp;VAR:QUERY=RkZfRUJJVERBX0lCKCdMVE1TJywzODg1OSk=&amp;WINDOW=FIRST_POPUP&amp;HEIGHT=450&amp;WIDTH=450&amp;START_MA","XIMIZED=FALSE&amp;VAR:CALENDAR=US&amp;VAR:SYMBOL=37183T10&amp;VAR:INDEX=0"}</definedName>
    <definedName name="_5026__FDSAUDITLINK__" hidden="1">{"fdsup://directions/FAT Viewer?action=UPDATE&amp;creator=factset&amp;DYN_ARGS=TRUE&amp;DOC_NAME=FAT:FQL_AUDITING_CLIENT_TEMPLATE.FAT&amp;display_string=Audit&amp;VAR:KEY=ZSBIJQNUXU&amp;VAR:QUERY=RkZfRUJJVERBX0lCKCdMVE1TJywzODg1OSk=&amp;WINDOW=FIRST_POPUP&amp;HEIGHT=450&amp;WIDTH=450&amp;START_MA","XIMIZED=FALSE&amp;VAR:CALENDAR=US&amp;VAR:SYMBOL=37183T10&amp;VAR:INDEX=0"}</definedName>
    <definedName name="_5027__FDSAUDITLINK__" localSheetId="6" hidden="1">{"fdsup://directions/FAT Viewer?action=UPDATE&amp;creator=factset&amp;DYN_ARGS=TRUE&amp;DOC_NAME=FAT:FQL_AUDITING_CLIENT_TEMPLATE.FAT&amp;display_string=Audit&amp;VAR:KEY=HSLGBGTOXM&amp;VAR:QUERY=RkZfRUJJVERBX0lCKCdMVE1TJywzODg1OCk=&amp;WINDOW=FIRST_POPUP&amp;HEIGHT=450&amp;WIDTH=450&amp;START_MA","XIMIZED=FALSE&amp;VAR:CALENDAR=US&amp;VAR:SYMBOL=37183T10&amp;VAR:INDEX=0"}</definedName>
    <definedName name="_5027__FDSAUDITLINK__" hidden="1">{"fdsup://directions/FAT Viewer?action=UPDATE&amp;creator=factset&amp;DYN_ARGS=TRUE&amp;DOC_NAME=FAT:FQL_AUDITING_CLIENT_TEMPLATE.FAT&amp;display_string=Audit&amp;VAR:KEY=HSLGBGTOXM&amp;VAR:QUERY=RkZfRUJJVERBX0lCKCdMVE1TJywzODg1OCk=&amp;WINDOW=FIRST_POPUP&amp;HEIGHT=450&amp;WIDTH=450&amp;START_MA","XIMIZED=FALSE&amp;VAR:CALENDAR=US&amp;VAR:SYMBOL=37183T10&amp;VAR:INDEX=0"}</definedName>
    <definedName name="_5028__FDSAUDITLINK__" localSheetId="6" hidden="1">{"fdsup://directions/FAT Viewer?action=UPDATE&amp;creator=factset&amp;DYN_ARGS=TRUE&amp;DOC_NAME=FAT:FQL_AUDITING_CLIENT_TEMPLATE.FAT&amp;display_string=Audit&amp;VAR:KEY=LIRYRCTQDA&amp;VAR:QUERY=RkZfRUJJVERBX0lCKCdMVE1TJywzODg1Nyk=&amp;WINDOW=FIRST_POPUP&amp;HEIGHT=450&amp;WIDTH=450&amp;START_MA","XIMIZED=FALSE&amp;VAR:CALENDAR=US&amp;VAR:SYMBOL=37183T10&amp;VAR:INDEX=0"}</definedName>
    <definedName name="_5028__FDSAUDITLINK__" hidden="1">{"fdsup://directions/FAT Viewer?action=UPDATE&amp;creator=factset&amp;DYN_ARGS=TRUE&amp;DOC_NAME=FAT:FQL_AUDITING_CLIENT_TEMPLATE.FAT&amp;display_string=Audit&amp;VAR:KEY=LIRYRCTQDA&amp;VAR:QUERY=RkZfRUJJVERBX0lCKCdMVE1TJywzODg1Nyk=&amp;WINDOW=FIRST_POPUP&amp;HEIGHT=450&amp;WIDTH=450&amp;START_MA","XIMIZED=FALSE&amp;VAR:CALENDAR=US&amp;VAR:SYMBOL=37183T10&amp;VAR:INDEX=0"}</definedName>
    <definedName name="_5029__FDSAUDITLINK__" localSheetId="6" hidden="1">{"fdsup://directions/FAT Viewer?action=UPDATE&amp;creator=factset&amp;DYN_ARGS=TRUE&amp;DOC_NAME=FAT:FQL_AUDITING_CLIENT_TEMPLATE.FAT&amp;display_string=Audit&amp;VAR:KEY=LUHABADCXK&amp;VAR:QUERY=RkZfRUJJVERBX0lCKCdMVE1TJywzODg1Nik=&amp;WINDOW=FIRST_POPUP&amp;HEIGHT=450&amp;WIDTH=450&amp;START_MA","XIMIZED=FALSE&amp;VAR:CALENDAR=US&amp;VAR:SYMBOL=37183T10&amp;VAR:INDEX=0"}</definedName>
    <definedName name="_5029__FDSAUDITLINK__" hidden="1">{"fdsup://directions/FAT Viewer?action=UPDATE&amp;creator=factset&amp;DYN_ARGS=TRUE&amp;DOC_NAME=FAT:FQL_AUDITING_CLIENT_TEMPLATE.FAT&amp;display_string=Audit&amp;VAR:KEY=LUHABADCXK&amp;VAR:QUERY=RkZfRUJJVERBX0lCKCdMVE1TJywzODg1Nik=&amp;WINDOW=FIRST_POPUP&amp;HEIGHT=450&amp;WIDTH=450&amp;START_MA","XIMIZED=FALSE&amp;VAR:CALENDAR=US&amp;VAR:SYMBOL=37183T10&amp;VAR:INDEX=0"}</definedName>
    <definedName name="_503__FDSAUDITLINK__" localSheetId="6" hidden="1">{"fdsup://directions/FAT%20Viewer?VAR:PED=LTM&amp;VAR:AUDIT_MODE=SUMMARY&amp;VAR:PERIOD=FIXED&amp;VAR:AUDIT_ID=00000117&amp;VAR:DATE=20081006&amp;action=UPDATE&amp;creator=factset&amp;DOC_NAME=FAT:FMA_audit_SUMMARY.fat&amp;DISPLAY_STRING=Display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3__FDSAUDITLINK__" hidden="1">{"fdsup://directions/FAT%20Viewer?VAR:PED=LTM&amp;VAR:AUDIT_MODE=SUMMARY&amp;VAR:PERIOD=FIXED&amp;VAR:AUDIT_ID=00000117&amp;VAR:DATE=20081006&amp;action=UPDATE&amp;creator=factset&amp;DOC_NAME=FAT:FMA_audit_SUMMARY.fat&amp;DISPLAY_STRING=Display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30__FDSAUDITLINK__" localSheetId="6" hidden="1">{"fdsup://directions/FAT Viewer?action=UPDATE&amp;creator=factset&amp;DYN_ARGS=TRUE&amp;DOC_NAME=FAT:FQL_AUDITING_CLIENT_TEMPLATE.FAT&amp;display_string=Audit&amp;VAR:KEY=LIDGVCVSDI&amp;VAR:QUERY=RkZfRUJJVERBX0lCKCdMVE1TJywzODg1NSk=&amp;WINDOW=FIRST_POPUP&amp;HEIGHT=450&amp;WIDTH=450&amp;START_MA","XIMIZED=FALSE&amp;VAR:CALENDAR=US&amp;VAR:SYMBOL=37183T10&amp;VAR:INDEX=0"}</definedName>
    <definedName name="_5030__FDSAUDITLINK__" hidden="1">{"fdsup://directions/FAT Viewer?action=UPDATE&amp;creator=factset&amp;DYN_ARGS=TRUE&amp;DOC_NAME=FAT:FQL_AUDITING_CLIENT_TEMPLATE.FAT&amp;display_string=Audit&amp;VAR:KEY=LIDGVCVSDI&amp;VAR:QUERY=RkZfRUJJVERBX0lCKCdMVE1TJywzODg1NSk=&amp;WINDOW=FIRST_POPUP&amp;HEIGHT=450&amp;WIDTH=450&amp;START_MA","XIMIZED=FALSE&amp;VAR:CALENDAR=US&amp;VAR:SYMBOL=37183T10&amp;VAR:INDEX=0"}</definedName>
    <definedName name="_5031__FDSAUDITLINK__" localSheetId="6" hidden="1">{"fdsup://directions/FAT Viewer?action=UPDATE&amp;creator=factset&amp;DYN_ARGS=TRUE&amp;DOC_NAME=FAT:FQL_AUDITING_CLIENT_TEMPLATE.FAT&amp;display_string=Audit&amp;VAR:KEY=LEFANSDCBQ&amp;VAR:QUERY=RkZfRUJJVERBX0lCKCdMVE1TJywzODg1NCk=&amp;WINDOW=FIRST_POPUP&amp;HEIGHT=450&amp;WIDTH=450&amp;START_MA","XIMIZED=FALSE&amp;VAR:CALENDAR=US&amp;VAR:SYMBOL=37183T10&amp;VAR:INDEX=0"}</definedName>
    <definedName name="_5031__FDSAUDITLINK__" hidden="1">{"fdsup://directions/FAT Viewer?action=UPDATE&amp;creator=factset&amp;DYN_ARGS=TRUE&amp;DOC_NAME=FAT:FQL_AUDITING_CLIENT_TEMPLATE.FAT&amp;display_string=Audit&amp;VAR:KEY=LEFANSDCBQ&amp;VAR:QUERY=RkZfRUJJVERBX0lCKCdMVE1TJywzODg1NCk=&amp;WINDOW=FIRST_POPUP&amp;HEIGHT=450&amp;WIDTH=450&amp;START_MA","XIMIZED=FALSE&amp;VAR:CALENDAR=US&amp;VAR:SYMBOL=37183T10&amp;VAR:INDEX=0"}</definedName>
    <definedName name="_5032__FDSAUDITLINK__" localSheetId="6" hidden="1">{"fdsup://directions/FAT Viewer?action=UPDATE&amp;creator=factset&amp;DYN_ARGS=TRUE&amp;DOC_NAME=FAT:FQL_AUDITING_CLIENT_TEMPLATE.FAT&amp;display_string=Audit&amp;VAR:KEY=DWNOBKJEFE&amp;VAR:QUERY=RkZfRUJJVERBX0lCKCdMVE1TJywzODg1Myk=&amp;WINDOW=FIRST_POPUP&amp;HEIGHT=450&amp;WIDTH=450&amp;START_MA","XIMIZED=FALSE&amp;VAR:CALENDAR=US&amp;VAR:SYMBOL=37183T10&amp;VAR:INDEX=0"}</definedName>
    <definedName name="_5032__FDSAUDITLINK__" hidden="1">{"fdsup://directions/FAT Viewer?action=UPDATE&amp;creator=factset&amp;DYN_ARGS=TRUE&amp;DOC_NAME=FAT:FQL_AUDITING_CLIENT_TEMPLATE.FAT&amp;display_string=Audit&amp;VAR:KEY=DWNOBKJEFE&amp;VAR:QUERY=RkZfRUJJVERBX0lCKCdMVE1TJywzODg1Myk=&amp;WINDOW=FIRST_POPUP&amp;HEIGHT=450&amp;WIDTH=450&amp;START_MA","XIMIZED=FALSE&amp;VAR:CALENDAR=US&amp;VAR:SYMBOL=37183T10&amp;VAR:INDEX=0"}</definedName>
    <definedName name="_5033__FDSAUDITLINK__" localSheetId="6" hidden="1">{"fdsup://directions/FAT Viewer?action=UPDATE&amp;creator=factset&amp;DYN_ARGS=TRUE&amp;DOC_NAME=FAT:FQL_AUDITING_CLIENT_TEMPLATE.FAT&amp;display_string=Audit&amp;VAR:KEY=BIBGBKZMHW&amp;VAR:QUERY=RkZfRUJJVERBX0lCKCdMVE1TJywzODg1Mik=&amp;WINDOW=FIRST_POPUP&amp;HEIGHT=450&amp;WIDTH=450&amp;START_MA","XIMIZED=FALSE&amp;VAR:CALENDAR=US&amp;VAR:SYMBOL=37183T10&amp;VAR:INDEX=0"}</definedName>
    <definedName name="_5033__FDSAUDITLINK__" hidden="1">{"fdsup://directions/FAT Viewer?action=UPDATE&amp;creator=factset&amp;DYN_ARGS=TRUE&amp;DOC_NAME=FAT:FQL_AUDITING_CLIENT_TEMPLATE.FAT&amp;display_string=Audit&amp;VAR:KEY=BIBGBKZMHW&amp;VAR:QUERY=RkZfRUJJVERBX0lCKCdMVE1TJywzODg1Mik=&amp;WINDOW=FIRST_POPUP&amp;HEIGHT=450&amp;WIDTH=450&amp;START_MA","XIMIZED=FALSE&amp;VAR:CALENDAR=US&amp;VAR:SYMBOL=37183T10&amp;VAR:INDEX=0"}</definedName>
    <definedName name="_5034__FDSAUDITLINK__" localSheetId="6" hidden="1">{"fdsup://directions/FAT Viewer?action=UPDATE&amp;creator=factset&amp;DYN_ARGS=TRUE&amp;DOC_NAME=FAT:FQL_AUDITING_CLIENT_TEMPLATE.FAT&amp;display_string=Audit&amp;VAR:KEY=REHGNMLQLY&amp;VAR:QUERY=RkZfRUJJVERBX0lCKCdMVE1TJywzODg1MSk=&amp;WINDOW=FIRST_POPUP&amp;HEIGHT=450&amp;WIDTH=450&amp;START_MA","XIMIZED=FALSE&amp;VAR:CALENDAR=US&amp;VAR:SYMBOL=37183T10&amp;VAR:INDEX=0"}</definedName>
    <definedName name="_5034__FDSAUDITLINK__" hidden="1">{"fdsup://directions/FAT Viewer?action=UPDATE&amp;creator=factset&amp;DYN_ARGS=TRUE&amp;DOC_NAME=FAT:FQL_AUDITING_CLIENT_TEMPLATE.FAT&amp;display_string=Audit&amp;VAR:KEY=REHGNMLQLY&amp;VAR:QUERY=RkZfRUJJVERBX0lCKCdMVE1TJywzODg1MSk=&amp;WINDOW=FIRST_POPUP&amp;HEIGHT=450&amp;WIDTH=450&amp;START_MA","XIMIZED=FALSE&amp;VAR:CALENDAR=US&amp;VAR:SYMBOL=37183T10&amp;VAR:INDEX=0"}</definedName>
    <definedName name="_5035__FDSAUDITLINK__" localSheetId="6" hidden="1">{"fdsup://directions/FAT Viewer?action=UPDATE&amp;creator=factset&amp;DYN_ARGS=TRUE&amp;DOC_NAME=FAT:FQL_AUDITING_CLIENT_TEMPLATE.FAT&amp;display_string=Audit&amp;VAR:KEY=FUZQDYPSLM&amp;VAR:QUERY=RkZfRUJJVERBX0lCKCdMVE1TJywzODg1MCk=&amp;WINDOW=FIRST_POPUP&amp;HEIGHT=450&amp;WIDTH=450&amp;START_MA","XIMIZED=FALSE&amp;VAR:CALENDAR=US&amp;VAR:SYMBOL=37183T10&amp;VAR:INDEX=0"}</definedName>
    <definedName name="_5035__FDSAUDITLINK__" hidden="1">{"fdsup://directions/FAT Viewer?action=UPDATE&amp;creator=factset&amp;DYN_ARGS=TRUE&amp;DOC_NAME=FAT:FQL_AUDITING_CLIENT_TEMPLATE.FAT&amp;display_string=Audit&amp;VAR:KEY=FUZQDYPSLM&amp;VAR:QUERY=RkZfRUJJVERBX0lCKCdMVE1TJywzODg1MCk=&amp;WINDOW=FIRST_POPUP&amp;HEIGHT=450&amp;WIDTH=450&amp;START_MA","XIMIZED=FALSE&amp;VAR:CALENDAR=US&amp;VAR:SYMBOL=37183T10&amp;VAR:INDEX=0"}</definedName>
    <definedName name="_5036__FDSAUDITLINK__" localSheetId="6" hidden="1">{"fdsup://directions/FAT Viewer?action=UPDATE&amp;creator=factset&amp;DYN_ARGS=TRUE&amp;DOC_NAME=FAT:FQL_AUDITING_CLIENT_TEMPLATE.FAT&amp;display_string=Audit&amp;VAR:KEY=NOHONQLWPM&amp;VAR:QUERY=RkZfRUJJVERBX0lCKCdMVE1TJywzODg0OSk=&amp;WINDOW=FIRST_POPUP&amp;HEIGHT=450&amp;WIDTH=450&amp;START_MA","XIMIZED=FALSE&amp;VAR:CALENDAR=US&amp;VAR:SYMBOL=37183T10&amp;VAR:INDEX=0"}</definedName>
    <definedName name="_5036__FDSAUDITLINK__" hidden="1">{"fdsup://directions/FAT Viewer?action=UPDATE&amp;creator=factset&amp;DYN_ARGS=TRUE&amp;DOC_NAME=FAT:FQL_AUDITING_CLIENT_TEMPLATE.FAT&amp;display_string=Audit&amp;VAR:KEY=NOHONQLWPM&amp;VAR:QUERY=RkZfRUJJVERBX0lCKCdMVE1TJywzODg0OSk=&amp;WINDOW=FIRST_POPUP&amp;HEIGHT=450&amp;WIDTH=450&amp;START_MA","XIMIZED=FALSE&amp;VAR:CALENDAR=US&amp;VAR:SYMBOL=37183T10&amp;VAR:INDEX=0"}</definedName>
    <definedName name="_5037__FDSAUDITLINK__" localSheetId="6" hidden="1">{"fdsup://directions/FAT Viewer?action=UPDATE&amp;creator=factset&amp;DYN_ARGS=TRUE&amp;DOC_NAME=FAT:FQL_AUDITING_CLIENT_TEMPLATE.FAT&amp;display_string=Audit&amp;VAR:KEY=JOLKBQDWLI&amp;VAR:QUERY=RkZfRUJJVERBX0lCKCdMVE1TJywzODg0OCk=&amp;WINDOW=FIRST_POPUP&amp;HEIGHT=450&amp;WIDTH=450&amp;START_MA","XIMIZED=FALSE&amp;VAR:CALENDAR=US&amp;VAR:SYMBOL=37183T10&amp;VAR:INDEX=0"}</definedName>
    <definedName name="_5037__FDSAUDITLINK__" hidden="1">{"fdsup://directions/FAT Viewer?action=UPDATE&amp;creator=factset&amp;DYN_ARGS=TRUE&amp;DOC_NAME=FAT:FQL_AUDITING_CLIENT_TEMPLATE.FAT&amp;display_string=Audit&amp;VAR:KEY=JOLKBQDWLI&amp;VAR:QUERY=RkZfRUJJVERBX0lCKCdMVE1TJywzODg0OCk=&amp;WINDOW=FIRST_POPUP&amp;HEIGHT=450&amp;WIDTH=450&amp;START_MA","XIMIZED=FALSE&amp;VAR:CALENDAR=US&amp;VAR:SYMBOL=37183T10&amp;VAR:INDEX=0"}</definedName>
    <definedName name="_5038__FDSAUDITLINK__" localSheetId="6" hidden="1">{"fdsup://directions/FAT Viewer?action=UPDATE&amp;creator=factset&amp;DYN_ARGS=TRUE&amp;DOC_NAME=FAT:FQL_AUDITING_CLIENT_TEMPLATE.FAT&amp;display_string=Audit&amp;VAR:KEY=VYJCXULMTK&amp;VAR:QUERY=RkZfRUJJVERBX0lCKCdMVE1TJywzODg0Nyk=&amp;WINDOW=FIRST_POPUP&amp;HEIGHT=450&amp;WIDTH=450&amp;START_MA","XIMIZED=FALSE&amp;VAR:CALENDAR=US&amp;VAR:SYMBOL=37183T10&amp;VAR:INDEX=0"}</definedName>
    <definedName name="_5038__FDSAUDITLINK__" hidden="1">{"fdsup://directions/FAT Viewer?action=UPDATE&amp;creator=factset&amp;DYN_ARGS=TRUE&amp;DOC_NAME=FAT:FQL_AUDITING_CLIENT_TEMPLATE.FAT&amp;display_string=Audit&amp;VAR:KEY=VYJCXULMTK&amp;VAR:QUERY=RkZfRUJJVERBX0lCKCdMVE1TJywzODg0Nyk=&amp;WINDOW=FIRST_POPUP&amp;HEIGHT=450&amp;WIDTH=450&amp;START_MA","XIMIZED=FALSE&amp;VAR:CALENDAR=US&amp;VAR:SYMBOL=37183T10&amp;VAR:INDEX=0"}</definedName>
    <definedName name="_5039__FDSAUDITLINK__" localSheetId="6" hidden="1">{"fdsup://directions/FAT Viewer?action=UPDATE&amp;creator=factset&amp;DYN_ARGS=TRUE&amp;DOC_NAME=FAT:FQL_AUDITING_CLIENT_TEMPLATE.FAT&amp;display_string=Audit&amp;VAR:KEY=LWTUBOTAZQ&amp;VAR:QUERY=RkZfRUJJVERBX0lCKCdMVE1TJywzODg0Nik=&amp;WINDOW=FIRST_POPUP&amp;HEIGHT=450&amp;WIDTH=450&amp;START_MA","XIMIZED=FALSE&amp;VAR:CALENDAR=US&amp;VAR:SYMBOL=37183T10&amp;VAR:INDEX=0"}</definedName>
    <definedName name="_5039__FDSAUDITLINK__" hidden="1">{"fdsup://directions/FAT Viewer?action=UPDATE&amp;creator=factset&amp;DYN_ARGS=TRUE&amp;DOC_NAME=FAT:FQL_AUDITING_CLIENT_TEMPLATE.FAT&amp;display_string=Audit&amp;VAR:KEY=LWTUBOTAZQ&amp;VAR:QUERY=RkZfRUJJVERBX0lCKCdMVE1TJywzODg0Nik=&amp;WINDOW=FIRST_POPUP&amp;HEIGHT=450&amp;WIDTH=450&amp;START_MA","XIMIZED=FALSE&amp;VAR:CALENDAR=US&amp;VAR:SYMBOL=37183T10&amp;VAR:INDEX=0"}</definedName>
    <definedName name="_504__FDSAUDITLINK__" localSheetId="6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4__FDSAUDITLINK__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40__FDSAUDITLINK__" localSheetId="6" hidden="1">{"fdsup://directions/FAT Viewer?action=UPDATE&amp;creator=factset&amp;DYN_ARGS=TRUE&amp;DOC_NAME=FAT:FQL_AUDITING_CLIENT_TEMPLATE.FAT&amp;display_string=Audit&amp;VAR:KEY=HATSZMFWJS&amp;VAR:QUERY=RkZfRUJJVERBX0lCKCdMVE1TJywzODg0NSk=&amp;WINDOW=FIRST_POPUP&amp;HEIGHT=450&amp;WIDTH=450&amp;START_MA","XIMIZED=FALSE&amp;VAR:CALENDAR=US&amp;VAR:SYMBOL=37183T10&amp;VAR:INDEX=0"}</definedName>
    <definedName name="_5040__FDSAUDITLINK__" hidden="1">{"fdsup://directions/FAT Viewer?action=UPDATE&amp;creator=factset&amp;DYN_ARGS=TRUE&amp;DOC_NAME=FAT:FQL_AUDITING_CLIENT_TEMPLATE.FAT&amp;display_string=Audit&amp;VAR:KEY=HATSZMFWJS&amp;VAR:QUERY=RkZfRUJJVERBX0lCKCdMVE1TJywzODg0NSk=&amp;WINDOW=FIRST_POPUP&amp;HEIGHT=450&amp;WIDTH=450&amp;START_MA","XIMIZED=FALSE&amp;VAR:CALENDAR=US&amp;VAR:SYMBOL=37183T10&amp;VAR:INDEX=0"}</definedName>
    <definedName name="_5041__FDSAUDITLINK__" localSheetId="6" hidden="1">{"fdsup://directions/FAT Viewer?action=UPDATE&amp;creator=factset&amp;DYN_ARGS=TRUE&amp;DOC_NAME=FAT:FQL_AUDITING_CLIENT_TEMPLATE.FAT&amp;display_string=Audit&amp;VAR:KEY=RSTKBEXOBG&amp;VAR:QUERY=RkZfRUJJVERBX0lCKCdMVE1TJywzODg0NCk=&amp;WINDOW=FIRST_POPUP&amp;HEIGHT=450&amp;WIDTH=450&amp;START_MA","XIMIZED=FALSE&amp;VAR:CALENDAR=US&amp;VAR:SYMBOL=37183T10&amp;VAR:INDEX=0"}</definedName>
    <definedName name="_5041__FDSAUDITLINK__" hidden="1">{"fdsup://directions/FAT Viewer?action=UPDATE&amp;creator=factset&amp;DYN_ARGS=TRUE&amp;DOC_NAME=FAT:FQL_AUDITING_CLIENT_TEMPLATE.FAT&amp;display_string=Audit&amp;VAR:KEY=RSTKBEXOBG&amp;VAR:QUERY=RkZfRUJJVERBX0lCKCdMVE1TJywzODg0NCk=&amp;WINDOW=FIRST_POPUP&amp;HEIGHT=450&amp;WIDTH=450&amp;START_MA","XIMIZED=FALSE&amp;VAR:CALENDAR=US&amp;VAR:SYMBOL=37183T10&amp;VAR:INDEX=0"}</definedName>
    <definedName name="_5042__FDSAUDITLINK__" localSheetId="6" hidden="1">{"fdsup://directions/FAT Viewer?action=UPDATE&amp;creator=factset&amp;DYN_ARGS=TRUE&amp;DOC_NAME=FAT:FQL_AUDITING_CLIENT_TEMPLATE.FAT&amp;display_string=Audit&amp;VAR:KEY=PUXMBSFELW&amp;VAR:QUERY=RkZfRUJJVERBX0lCKCdMVE1TJywzODg0Myk=&amp;WINDOW=FIRST_POPUP&amp;HEIGHT=450&amp;WIDTH=450&amp;START_MA","XIMIZED=FALSE&amp;VAR:CALENDAR=US&amp;VAR:SYMBOL=37183T10&amp;VAR:INDEX=0"}</definedName>
    <definedName name="_5042__FDSAUDITLINK__" hidden="1">{"fdsup://directions/FAT Viewer?action=UPDATE&amp;creator=factset&amp;DYN_ARGS=TRUE&amp;DOC_NAME=FAT:FQL_AUDITING_CLIENT_TEMPLATE.FAT&amp;display_string=Audit&amp;VAR:KEY=PUXMBSFELW&amp;VAR:QUERY=RkZfRUJJVERBX0lCKCdMVE1TJywzODg0Myk=&amp;WINDOW=FIRST_POPUP&amp;HEIGHT=450&amp;WIDTH=450&amp;START_MA","XIMIZED=FALSE&amp;VAR:CALENDAR=US&amp;VAR:SYMBOL=37183T10&amp;VAR:INDEX=0"}</definedName>
    <definedName name="_5043__FDSAUDITLINK__" localSheetId="6" hidden="1">{"fdsup://directions/FAT Viewer?action=UPDATE&amp;creator=factset&amp;DYN_ARGS=TRUE&amp;DOC_NAME=FAT:FQL_AUDITING_CLIENT_TEMPLATE.FAT&amp;display_string=Audit&amp;VAR:KEY=BCHOXONWVY&amp;VAR:QUERY=RkZfRUJJVERBX0lCKCdMVE1TJywzODg0Mik=&amp;WINDOW=FIRST_POPUP&amp;HEIGHT=450&amp;WIDTH=450&amp;START_MA","XIMIZED=FALSE&amp;VAR:CALENDAR=US&amp;VAR:SYMBOL=37183T10&amp;VAR:INDEX=0"}</definedName>
    <definedName name="_5043__FDSAUDITLINK__" hidden="1">{"fdsup://directions/FAT Viewer?action=UPDATE&amp;creator=factset&amp;DYN_ARGS=TRUE&amp;DOC_NAME=FAT:FQL_AUDITING_CLIENT_TEMPLATE.FAT&amp;display_string=Audit&amp;VAR:KEY=BCHOXONWVY&amp;VAR:QUERY=RkZfRUJJVERBX0lCKCdMVE1TJywzODg0Mik=&amp;WINDOW=FIRST_POPUP&amp;HEIGHT=450&amp;WIDTH=450&amp;START_MA","XIMIZED=FALSE&amp;VAR:CALENDAR=US&amp;VAR:SYMBOL=37183T10&amp;VAR:INDEX=0"}</definedName>
    <definedName name="_5044__FDSAUDITLINK__" localSheetId="6" hidden="1">{"fdsup://directions/FAT Viewer?action=UPDATE&amp;creator=factset&amp;DYN_ARGS=TRUE&amp;DOC_NAME=FAT:FQL_AUDITING_CLIENT_TEMPLATE.FAT&amp;display_string=Audit&amp;VAR:KEY=BKPGTILKTE&amp;VAR:QUERY=RkZfRUJJVERBX0lCKCdMVE1TJywzODg0MSk=&amp;WINDOW=FIRST_POPUP&amp;HEIGHT=450&amp;WIDTH=450&amp;START_MA","XIMIZED=FALSE&amp;VAR:CALENDAR=US&amp;VAR:SYMBOL=37183T10&amp;VAR:INDEX=0"}</definedName>
    <definedName name="_5044__FDSAUDITLINK__" hidden="1">{"fdsup://directions/FAT Viewer?action=UPDATE&amp;creator=factset&amp;DYN_ARGS=TRUE&amp;DOC_NAME=FAT:FQL_AUDITING_CLIENT_TEMPLATE.FAT&amp;display_string=Audit&amp;VAR:KEY=BKPGTILKTE&amp;VAR:QUERY=RkZfRUJJVERBX0lCKCdMVE1TJywzODg0MSk=&amp;WINDOW=FIRST_POPUP&amp;HEIGHT=450&amp;WIDTH=450&amp;START_MA","XIMIZED=FALSE&amp;VAR:CALENDAR=US&amp;VAR:SYMBOL=37183T10&amp;VAR:INDEX=0"}</definedName>
    <definedName name="_5045__FDSAUDITLINK__" localSheetId="6" hidden="1">{"fdsup://directions/FAT Viewer?action=UPDATE&amp;creator=factset&amp;DYN_ARGS=TRUE&amp;DOC_NAME=FAT:FQL_AUDITING_CLIENT_TEMPLATE.FAT&amp;display_string=Audit&amp;VAR:KEY=FCXUJKRMVU&amp;VAR:QUERY=RkZfRUJJVERBX0lCKCdMVE1TJywzODg0MCk=&amp;WINDOW=FIRST_POPUP&amp;HEIGHT=450&amp;WIDTH=450&amp;START_MA","XIMIZED=FALSE&amp;VAR:CALENDAR=US&amp;VAR:SYMBOL=37183T10&amp;VAR:INDEX=0"}</definedName>
    <definedName name="_5045__FDSAUDITLINK__" hidden="1">{"fdsup://directions/FAT Viewer?action=UPDATE&amp;creator=factset&amp;DYN_ARGS=TRUE&amp;DOC_NAME=FAT:FQL_AUDITING_CLIENT_TEMPLATE.FAT&amp;display_string=Audit&amp;VAR:KEY=FCXUJKRMVU&amp;VAR:QUERY=RkZfRUJJVERBX0lCKCdMVE1TJywzODg0MCk=&amp;WINDOW=FIRST_POPUP&amp;HEIGHT=450&amp;WIDTH=450&amp;START_MA","XIMIZED=FALSE&amp;VAR:CALENDAR=US&amp;VAR:SYMBOL=37183T10&amp;VAR:INDEX=0"}</definedName>
    <definedName name="_5046__FDSAUDITLINK__" localSheetId="6" hidden="1">{"fdsup://directions/FAT Viewer?action=UPDATE&amp;creator=factset&amp;DYN_ARGS=TRUE&amp;DOC_NAME=FAT:FQL_AUDITING_CLIENT_TEMPLATE.FAT&amp;display_string=Audit&amp;VAR:KEY=ZKJAJYVKBI&amp;VAR:QUERY=RkZfRUJJVERBX0lCKCdMVE1TJywzODgzOSk=&amp;WINDOW=FIRST_POPUP&amp;HEIGHT=450&amp;WIDTH=450&amp;START_MA","XIMIZED=FALSE&amp;VAR:CALENDAR=US&amp;VAR:SYMBOL=37183T10&amp;VAR:INDEX=0"}</definedName>
    <definedName name="_5046__FDSAUDITLINK__" hidden="1">{"fdsup://directions/FAT Viewer?action=UPDATE&amp;creator=factset&amp;DYN_ARGS=TRUE&amp;DOC_NAME=FAT:FQL_AUDITING_CLIENT_TEMPLATE.FAT&amp;display_string=Audit&amp;VAR:KEY=ZKJAJYVKBI&amp;VAR:QUERY=RkZfRUJJVERBX0lCKCdMVE1TJywzODgzOSk=&amp;WINDOW=FIRST_POPUP&amp;HEIGHT=450&amp;WIDTH=450&amp;START_MA","XIMIZED=FALSE&amp;VAR:CALENDAR=US&amp;VAR:SYMBOL=37183T10&amp;VAR:INDEX=0"}</definedName>
    <definedName name="_5047__FDSAUDITLINK__" localSheetId="6" hidden="1">{"fdsup://directions/FAT Viewer?action=UPDATE&amp;creator=factset&amp;DYN_ARGS=TRUE&amp;DOC_NAME=FAT:FQL_AUDITING_CLIENT_TEMPLATE.FAT&amp;display_string=Audit&amp;VAR:KEY=HKLEBCROHU&amp;VAR:QUERY=RkZfRUJJVERBX0lCKCdMVE1TJywzODgzOCk=&amp;WINDOW=FIRST_POPUP&amp;HEIGHT=450&amp;WIDTH=450&amp;START_MA","XIMIZED=FALSE&amp;VAR:CALENDAR=US&amp;VAR:SYMBOL=37183T10&amp;VAR:INDEX=0"}</definedName>
    <definedName name="_5047__FDSAUDITLINK__" hidden="1">{"fdsup://directions/FAT Viewer?action=UPDATE&amp;creator=factset&amp;DYN_ARGS=TRUE&amp;DOC_NAME=FAT:FQL_AUDITING_CLIENT_TEMPLATE.FAT&amp;display_string=Audit&amp;VAR:KEY=HKLEBCROHU&amp;VAR:QUERY=RkZfRUJJVERBX0lCKCdMVE1TJywzODgzOCk=&amp;WINDOW=FIRST_POPUP&amp;HEIGHT=450&amp;WIDTH=450&amp;START_MA","XIMIZED=FALSE&amp;VAR:CALENDAR=US&amp;VAR:SYMBOL=37183T10&amp;VAR:INDEX=0"}</definedName>
    <definedName name="_5048__FDSAUDITLINK__" localSheetId="6" hidden="1">{"fdsup://directions/FAT Viewer?action=UPDATE&amp;creator=factset&amp;DYN_ARGS=TRUE&amp;DOC_NAME=FAT:FQL_AUDITING_CLIENT_TEMPLATE.FAT&amp;display_string=Audit&amp;VAR:KEY=HQZWFSJKTW&amp;VAR:QUERY=RkZfRUJJVERBX0lCKCdMVE1TJywzODgzNyk=&amp;WINDOW=FIRST_POPUP&amp;HEIGHT=450&amp;WIDTH=450&amp;START_MA","XIMIZED=FALSE&amp;VAR:CALENDAR=US&amp;VAR:SYMBOL=37183T10&amp;VAR:INDEX=0"}</definedName>
    <definedName name="_5048__FDSAUDITLINK__" hidden="1">{"fdsup://directions/FAT Viewer?action=UPDATE&amp;creator=factset&amp;DYN_ARGS=TRUE&amp;DOC_NAME=FAT:FQL_AUDITING_CLIENT_TEMPLATE.FAT&amp;display_string=Audit&amp;VAR:KEY=HQZWFSJKTW&amp;VAR:QUERY=RkZfRUJJVERBX0lCKCdMVE1TJywzODgzNyk=&amp;WINDOW=FIRST_POPUP&amp;HEIGHT=450&amp;WIDTH=450&amp;START_MA","XIMIZED=FALSE&amp;VAR:CALENDAR=US&amp;VAR:SYMBOL=37183T10&amp;VAR:INDEX=0"}</definedName>
    <definedName name="_5049__FDSAUDITLINK__" localSheetId="6" hidden="1">{"fdsup://directions/FAT Viewer?action=UPDATE&amp;creator=factset&amp;DYN_ARGS=TRUE&amp;DOC_NAME=FAT:FQL_AUDITING_CLIENT_TEMPLATE.FAT&amp;display_string=Audit&amp;VAR:KEY=ROBWREPCLI&amp;VAR:QUERY=RkZfRUJJVERBX0lCKCdMVE1TJywzODgzNik=&amp;WINDOW=FIRST_POPUP&amp;HEIGHT=450&amp;WIDTH=450&amp;START_MA","XIMIZED=FALSE&amp;VAR:CALENDAR=US&amp;VAR:SYMBOL=37183T10&amp;VAR:INDEX=0"}</definedName>
    <definedName name="_5049__FDSAUDITLINK__" hidden="1">{"fdsup://directions/FAT Viewer?action=UPDATE&amp;creator=factset&amp;DYN_ARGS=TRUE&amp;DOC_NAME=FAT:FQL_AUDITING_CLIENT_TEMPLATE.FAT&amp;display_string=Audit&amp;VAR:KEY=ROBWREPCLI&amp;VAR:QUERY=RkZfRUJJVERBX0lCKCdMVE1TJywzODgzNik=&amp;WINDOW=FIRST_POPUP&amp;HEIGHT=450&amp;WIDTH=450&amp;START_MA","XIMIZED=FALSE&amp;VAR:CALENDAR=US&amp;VAR:SYMBOL=37183T10&amp;VAR:INDEX=0"}</definedName>
    <definedName name="_505__FDSAUDITLINK__" localSheetId="6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5__FDSAUDITLINK__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50__FDSAUDITLINK__" localSheetId="6" hidden="1">{"fdsup://directions/FAT Viewer?action=UPDATE&amp;creator=factset&amp;DYN_ARGS=TRUE&amp;DOC_NAME=FAT:FQL_AUDITING_CLIENT_TEMPLATE.FAT&amp;display_string=Audit&amp;VAR:KEY=XKRGNYVSXI&amp;VAR:QUERY=RkZfRUJJVERBX0lCKCdMVE1TJywzODgzNSk=&amp;WINDOW=FIRST_POPUP&amp;HEIGHT=450&amp;WIDTH=450&amp;START_MA","XIMIZED=FALSE&amp;VAR:CALENDAR=US&amp;VAR:SYMBOL=37183T10&amp;VAR:INDEX=0"}</definedName>
    <definedName name="_5050__FDSAUDITLINK__" hidden="1">{"fdsup://directions/FAT Viewer?action=UPDATE&amp;creator=factset&amp;DYN_ARGS=TRUE&amp;DOC_NAME=FAT:FQL_AUDITING_CLIENT_TEMPLATE.FAT&amp;display_string=Audit&amp;VAR:KEY=XKRGNYVSXI&amp;VAR:QUERY=RkZfRUJJVERBX0lCKCdMVE1TJywzODgzNSk=&amp;WINDOW=FIRST_POPUP&amp;HEIGHT=450&amp;WIDTH=450&amp;START_MA","XIMIZED=FALSE&amp;VAR:CALENDAR=US&amp;VAR:SYMBOL=37183T10&amp;VAR:INDEX=0"}</definedName>
    <definedName name="_5051__FDSAUDITLINK__" localSheetId="6" hidden="1">{"fdsup://directions/FAT Viewer?action=UPDATE&amp;creator=factset&amp;DYN_ARGS=TRUE&amp;DOC_NAME=FAT:FQL_AUDITING_CLIENT_TEMPLATE.FAT&amp;display_string=Audit&amp;VAR:KEY=VYJKJYHSPA&amp;VAR:QUERY=RkZfRUJJVERBX0lCKCdMVE1TJywzODgzNCk=&amp;WINDOW=FIRST_POPUP&amp;HEIGHT=450&amp;WIDTH=450&amp;START_MA","XIMIZED=FALSE&amp;VAR:CALENDAR=US&amp;VAR:SYMBOL=37183T10&amp;VAR:INDEX=0"}</definedName>
    <definedName name="_5051__FDSAUDITLINK__" hidden="1">{"fdsup://directions/FAT Viewer?action=UPDATE&amp;creator=factset&amp;DYN_ARGS=TRUE&amp;DOC_NAME=FAT:FQL_AUDITING_CLIENT_TEMPLATE.FAT&amp;display_string=Audit&amp;VAR:KEY=VYJKJYHSPA&amp;VAR:QUERY=RkZfRUJJVERBX0lCKCdMVE1TJywzODgzNCk=&amp;WINDOW=FIRST_POPUP&amp;HEIGHT=450&amp;WIDTH=450&amp;START_MA","XIMIZED=FALSE&amp;VAR:CALENDAR=US&amp;VAR:SYMBOL=37183T10&amp;VAR:INDEX=0"}</definedName>
    <definedName name="_5052__FDSAUDITLINK__" localSheetId="6" hidden="1">{"fdsup://directions/FAT Viewer?action=UPDATE&amp;creator=factset&amp;DYN_ARGS=TRUE&amp;DOC_NAME=FAT:FQL_AUDITING_CLIENT_TEMPLATE.FAT&amp;display_string=Audit&amp;VAR:KEY=ZODMJEPYDS&amp;VAR:QUERY=RkZfRUJJVERBX0lCKCdMVE1TJywzODgzMyk=&amp;WINDOW=FIRST_POPUP&amp;HEIGHT=450&amp;WIDTH=450&amp;START_MA","XIMIZED=FALSE&amp;VAR:CALENDAR=US&amp;VAR:SYMBOL=37183T10&amp;VAR:INDEX=0"}</definedName>
    <definedName name="_5052__FDSAUDITLINK__" hidden="1">{"fdsup://directions/FAT Viewer?action=UPDATE&amp;creator=factset&amp;DYN_ARGS=TRUE&amp;DOC_NAME=FAT:FQL_AUDITING_CLIENT_TEMPLATE.FAT&amp;display_string=Audit&amp;VAR:KEY=ZODMJEPYDS&amp;VAR:QUERY=RkZfRUJJVERBX0lCKCdMVE1TJywzODgzMyk=&amp;WINDOW=FIRST_POPUP&amp;HEIGHT=450&amp;WIDTH=450&amp;START_MA","XIMIZED=FALSE&amp;VAR:CALENDAR=US&amp;VAR:SYMBOL=37183T10&amp;VAR:INDEX=0"}</definedName>
    <definedName name="_5053__FDSAUDITLINK__" localSheetId="6" hidden="1">{"fdsup://directions/FAT Viewer?action=UPDATE&amp;creator=factset&amp;DYN_ARGS=TRUE&amp;DOC_NAME=FAT:FQL_AUDITING_CLIENT_TEMPLATE.FAT&amp;display_string=Audit&amp;VAR:KEY=HGJGPIJSTG&amp;VAR:QUERY=RkZfRUJJVERBX0lCKCdMVE1TJywzODgzMik=&amp;WINDOW=FIRST_POPUP&amp;HEIGHT=450&amp;WIDTH=450&amp;START_MA","XIMIZED=FALSE&amp;VAR:CALENDAR=US&amp;VAR:SYMBOL=37183T10&amp;VAR:INDEX=0"}</definedName>
    <definedName name="_5053__FDSAUDITLINK__" hidden="1">{"fdsup://directions/FAT Viewer?action=UPDATE&amp;creator=factset&amp;DYN_ARGS=TRUE&amp;DOC_NAME=FAT:FQL_AUDITING_CLIENT_TEMPLATE.FAT&amp;display_string=Audit&amp;VAR:KEY=HGJGPIJSTG&amp;VAR:QUERY=RkZfRUJJVERBX0lCKCdMVE1TJywzODgzMik=&amp;WINDOW=FIRST_POPUP&amp;HEIGHT=450&amp;WIDTH=450&amp;START_MA","XIMIZED=FALSE&amp;VAR:CALENDAR=US&amp;VAR:SYMBOL=37183T10&amp;VAR:INDEX=0"}</definedName>
    <definedName name="_5054__FDSAUDITLINK__" localSheetId="6" hidden="1">{"fdsup://directions/FAT Viewer?action=UPDATE&amp;creator=factset&amp;DYN_ARGS=TRUE&amp;DOC_NAME=FAT:FQL_AUDITING_CLIENT_TEMPLATE.FAT&amp;display_string=Audit&amp;VAR:KEY=XCDSHOPEDK&amp;VAR:QUERY=RkZfRUJJVERBX0lCKCdMVE1TJywzODgzMSk=&amp;WINDOW=FIRST_POPUP&amp;HEIGHT=450&amp;WIDTH=450&amp;START_MA","XIMIZED=FALSE&amp;VAR:CALENDAR=US&amp;VAR:SYMBOL=37183T10&amp;VAR:INDEX=0"}</definedName>
    <definedName name="_5054__FDSAUDITLINK__" hidden="1">{"fdsup://directions/FAT Viewer?action=UPDATE&amp;creator=factset&amp;DYN_ARGS=TRUE&amp;DOC_NAME=FAT:FQL_AUDITING_CLIENT_TEMPLATE.FAT&amp;display_string=Audit&amp;VAR:KEY=XCDSHOPEDK&amp;VAR:QUERY=RkZfRUJJVERBX0lCKCdMVE1TJywzODgzMSk=&amp;WINDOW=FIRST_POPUP&amp;HEIGHT=450&amp;WIDTH=450&amp;START_MA","XIMIZED=FALSE&amp;VAR:CALENDAR=US&amp;VAR:SYMBOL=37183T10&amp;VAR:INDEX=0"}</definedName>
    <definedName name="_5055__FDSAUDITLINK__" localSheetId="6" hidden="1">{"fdsup://directions/FAT Viewer?action=UPDATE&amp;creator=factset&amp;DYN_ARGS=TRUE&amp;DOC_NAME=FAT:FQL_AUDITING_CLIENT_TEMPLATE.FAT&amp;display_string=Audit&amp;VAR:KEY=PAJGTUJEHY&amp;VAR:QUERY=RkZfRUJJVERBX0lCKCdMVE1TJywzODgzMCk=&amp;WINDOW=FIRST_POPUP&amp;HEIGHT=450&amp;WIDTH=450&amp;START_MA","XIMIZED=FALSE&amp;VAR:CALENDAR=US&amp;VAR:SYMBOL=37183T10&amp;VAR:INDEX=0"}</definedName>
    <definedName name="_5055__FDSAUDITLINK__" hidden="1">{"fdsup://directions/FAT Viewer?action=UPDATE&amp;creator=factset&amp;DYN_ARGS=TRUE&amp;DOC_NAME=FAT:FQL_AUDITING_CLIENT_TEMPLATE.FAT&amp;display_string=Audit&amp;VAR:KEY=PAJGTUJEHY&amp;VAR:QUERY=RkZfRUJJVERBX0lCKCdMVE1TJywzODgzMCk=&amp;WINDOW=FIRST_POPUP&amp;HEIGHT=450&amp;WIDTH=450&amp;START_MA","XIMIZED=FALSE&amp;VAR:CALENDAR=US&amp;VAR:SYMBOL=37183T10&amp;VAR:INDEX=0"}</definedName>
    <definedName name="_5056__FDSAUDITLINK__" localSheetId="6" hidden="1">{"fdsup://directions/FAT Viewer?action=UPDATE&amp;creator=factset&amp;DYN_ARGS=TRUE&amp;DOC_NAME=FAT:FQL_AUDITING_CLIENT_TEMPLATE.FAT&amp;display_string=Audit&amp;VAR:KEY=VKRADADONA&amp;VAR:QUERY=RkZfRUJJVERBX0lCKCdMVE1TJywzODgyOSk=&amp;WINDOW=FIRST_POPUP&amp;HEIGHT=450&amp;WIDTH=450&amp;START_MA","XIMIZED=FALSE&amp;VAR:CALENDAR=US&amp;VAR:SYMBOL=37183T10&amp;VAR:INDEX=0"}</definedName>
    <definedName name="_5056__FDSAUDITLINK__" hidden="1">{"fdsup://directions/FAT Viewer?action=UPDATE&amp;creator=factset&amp;DYN_ARGS=TRUE&amp;DOC_NAME=FAT:FQL_AUDITING_CLIENT_TEMPLATE.FAT&amp;display_string=Audit&amp;VAR:KEY=VKRADADONA&amp;VAR:QUERY=RkZfRUJJVERBX0lCKCdMVE1TJywzODgyOSk=&amp;WINDOW=FIRST_POPUP&amp;HEIGHT=450&amp;WIDTH=450&amp;START_MA","XIMIZED=FALSE&amp;VAR:CALENDAR=US&amp;VAR:SYMBOL=37183T10&amp;VAR:INDEX=0"}</definedName>
    <definedName name="_5057__FDSAUDITLINK__" localSheetId="6" hidden="1">{"fdsup://directions/FAT Viewer?action=UPDATE&amp;creator=factset&amp;DYN_ARGS=TRUE&amp;DOC_NAME=FAT:FQL_AUDITING_CLIENT_TEMPLATE.FAT&amp;display_string=Audit&amp;VAR:KEY=HOVMNQVSFS&amp;VAR:QUERY=RkZfRUJJVERBX0lCKCdMVE1TJywzODgyOCk=&amp;WINDOW=FIRST_POPUP&amp;HEIGHT=450&amp;WIDTH=450&amp;START_MA","XIMIZED=FALSE&amp;VAR:CALENDAR=US&amp;VAR:SYMBOL=37183T10&amp;VAR:INDEX=0"}</definedName>
    <definedName name="_5057__FDSAUDITLINK__" hidden="1">{"fdsup://directions/FAT Viewer?action=UPDATE&amp;creator=factset&amp;DYN_ARGS=TRUE&amp;DOC_NAME=FAT:FQL_AUDITING_CLIENT_TEMPLATE.FAT&amp;display_string=Audit&amp;VAR:KEY=HOVMNQVSFS&amp;VAR:QUERY=RkZfRUJJVERBX0lCKCdMVE1TJywzODgyOCk=&amp;WINDOW=FIRST_POPUP&amp;HEIGHT=450&amp;WIDTH=450&amp;START_MA","XIMIZED=FALSE&amp;VAR:CALENDAR=US&amp;VAR:SYMBOL=37183T10&amp;VAR:INDEX=0"}</definedName>
    <definedName name="_5058__FDSAUDITLINK__" localSheetId="6" hidden="1">{"fdsup://directions/FAT Viewer?action=UPDATE&amp;creator=factset&amp;DYN_ARGS=TRUE&amp;DOC_NAME=FAT:FQL_AUDITING_CLIENT_TEMPLATE.FAT&amp;display_string=Audit&amp;VAR:KEY=FMZOXEPENA&amp;VAR:QUERY=RkZfRUJJVERBX0lCKCdMVE1TJywzODgyNyk=&amp;WINDOW=FIRST_POPUP&amp;HEIGHT=450&amp;WIDTH=450&amp;START_MA","XIMIZED=FALSE&amp;VAR:CALENDAR=US&amp;VAR:SYMBOL=37183T10&amp;VAR:INDEX=0"}</definedName>
    <definedName name="_5058__FDSAUDITLINK__" hidden="1">{"fdsup://directions/FAT Viewer?action=UPDATE&amp;creator=factset&amp;DYN_ARGS=TRUE&amp;DOC_NAME=FAT:FQL_AUDITING_CLIENT_TEMPLATE.FAT&amp;display_string=Audit&amp;VAR:KEY=FMZOXEPENA&amp;VAR:QUERY=RkZfRUJJVERBX0lCKCdMVE1TJywzODgyNyk=&amp;WINDOW=FIRST_POPUP&amp;HEIGHT=450&amp;WIDTH=450&amp;START_MA","XIMIZED=FALSE&amp;VAR:CALENDAR=US&amp;VAR:SYMBOL=37183T10&amp;VAR:INDEX=0"}</definedName>
    <definedName name="_5059__FDSAUDITLINK__" localSheetId="6" hidden="1">{"fdsup://directions/FAT Viewer?action=UPDATE&amp;creator=factset&amp;DYN_ARGS=TRUE&amp;DOC_NAME=FAT:FQL_AUDITING_CLIENT_TEMPLATE.FAT&amp;display_string=Audit&amp;VAR:KEY=JWZEFETCZW&amp;VAR:QUERY=RkZfRUJJVERBX0lCKCdMVE1TJywzODgyNik=&amp;WINDOW=FIRST_POPUP&amp;HEIGHT=450&amp;WIDTH=450&amp;START_MA","XIMIZED=FALSE&amp;VAR:CALENDAR=US&amp;VAR:SYMBOL=37183T10&amp;VAR:INDEX=0"}</definedName>
    <definedName name="_5059__FDSAUDITLINK__" hidden="1">{"fdsup://directions/FAT Viewer?action=UPDATE&amp;creator=factset&amp;DYN_ARGS=TRUE&amp;DOC_NAME=FAT:FQL_AUDITING_CLIENT_TEMPLATE.FAT&amp;display_string=Audit&amp;VAR:KEY=JWZEFETCZW&amp;VAR:QUERY=RkZfRUJJVERBX0lCKCdMVE1TJywzODgyNik=&amp;WINDOW=FIRST_POPUP&amp;HEIGHT=450&amp;WIDTH=450&amp;START_MA","XIMIZED=FALSE&amp;VAR:CALENDAR=US&amp;VAR:SYMBOL=37183T10&amp;VAR:INDEX=0"}</definedName>
    <definedName name="_506__FDSAUDITLINK__" localSheetId="6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6__FDSAUDITLINK__" hidden="1">{"fdsup://directions/FAT%20Viewer?VAR:PED=LTM&amp;VAR:AUDIT_MODE=SUMMARY&amp;VAR:PERIOD=FIXED&amp;VAR:AUDIT_ID=00000117&amp;VAR:DATE=20081003&amp;action=UPDATE&amp;creator=factset&amp;DOC_NAME=FAT:FMA_audit_SUMMARY.fat&amp;DISPLAY_STRING=Display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60__FDSAUDITLINK__" localSheetId="6" hidden="1">{"fdsup://directions/FAT Viewer?action=UPDATE&amp;creator=factset&amp;DYN_ARGS=TRUE&amp;DOC_NAME=FAT:FQL_AUDITING_CLIENT_TEMPLATE.FAT&amp;display_string=Audit&amp;VAR:KEY=FQDMTOTWLM&amp;VAR:QUERY=RkZfRUJJVERBX0lCKCdMVE1TJywzODgyNSk=&amp;WINDOW=FIRST_POPUP&amp;HEIGHT=450&amp;WIDTH=450&amp;START_MA","XIMIZED=FALSE&amp;VAR:CALENDAR=US&amp;VAR:SYMBOL=37183T10&amp;VAR:INDEX=0"}</definedName>
    <definedName name="_5060__FDSAUDITLINK__" hidden="1">{"fdsup://directions/FAT Viewer?action=UPDATE&amp;creator=factset&amp;DYN_ARGS=TRUE&amp;DOC_NAME=FAT:FQL_AUDITING_CLIENT_TEMPLATE.FAT&amp;display_string=Audit&amp;VAR:KEY=FQDMTOTWLM&amp;VAR:QUERY=RkZfRUJJVERBX0lCKCdMVE1TJywzODgyNSk=&amp;WINDOW=FIRST_POPUP&amp;HEIGHT=450&amp;WIDTH=450&amp;START_MA","XIMIZED=FALSE&amp;VAR:CALENDAR=US&amp;VAR:SYMBOL=37183T10&amp;VAR:INDEX=0"}</definedName>
    <definedName name="_5061__FDSAUDITLINK__" localSheetId="6" hidden="1">{"fdsup://directions/FAT Viewer?action=UPDATE&amp;creator=factset&amp;DYN_ARGS=TRUE&amp;DOC_NAME=FAT:FQL_AUDITING_CLIENT_TEMPLATE.FAT&amp;display_string=Audit&amp;VAR:KEY=HMFEREFYTI&amp;VAR:QUERY=RkZfRUJJVERBX0lCKCdMVE1TJywzODgyNCk=&amp;WINDOW=FIRST_POPUP&amp;HEIGHT=450&amp;WIDTH=450&amp;START_MA","XIMIZED=FALSE&amp;VAR:CALENDAR=US&amp;VAR:SYMBOL=37183T10&amp;VAR:INDEX=0"}</definedName>
    <definedName name="_5061__FDSAUDITLINK__" hidden="1">{"fdsup://directions/FAT Viewer?action=UPDATE&amp;creator=factset&amp;DYN_ARGS=TRUE&amp;DOC_NAME=FAT:FQL_AUDITING_CLIENT_TEMPLATE.FAT&amp;display_string=Audit&amp;VAR:KEY=HMFEREFYTI&amp;VAR:QUERY=RkZfRUJJVERBX0lCKCdMVE1TJywzODgyNCk=&amp;WINDOW=FIRST_POPUP&amp;HEIGHT=450&amp;WIDTH=450&amp;START_MA","XIMIZED=FALSE&amp;VAR:CALENDAR=US&amp;VAR:SYMBOL=37183T10&amp;VAR:INDEX=0"}</definedName>
    <definedName name="_5062__FDSAUDITLINK__" localSheetId="6" hidden="1">{"fdsup://directions/FAT Viewer?action=UPDATE&amp;creator=factset&amp;DYN_ARGS=TRUE&amp;DOC_NAME=FAT:FQL_AUDITING_CLIENT_TEMPLATE.FAT&amp;display_string=Audit&amp;VAR:KEY=JEBCPWTCBK&amp;VAR:QUERY=RkZfRUJJVERBX0lCKCdMVE1TJywzODgyMyk=&amp;WINDOW=FIRST_POPUP&amp;HEIGHT=450&amp;WIDTH=450&amp;START_MA","XIMIZED=FALSE&amp;VAR:CALENDAR=US&amp;VAR:SYMBOL=37183T10&amp;VAR:INDEX=0"}</definedName>
    <definedName name="_5062__FDSAUDITLINK__" hidden="1">{"fdsup://directions/FAT Viewer?action=UPDATE&amp;creator=factset&amp;DYN_ARGS=TRUE&amp;DOC_NAME=FAT:FQL_AUDITING_CLIENT_TEMPLATE.FAT&amp;display_string=Audit&amp;VAR:KEY=JEBCPWTCBK&amp;VAR:QUERY=RkZfRUJJVERBX0lCKCdMVE1TJywzODgyMyk=&amp;WINDOW=FIRST_POPUP&amp;HEIGHT=450&amp;WIDTH=450&amp;START_MA","XIMIZED=FALSE&amp;VAR:CALENDAR=US&amp;VAR:SYMBOL=37183T10&amp;VAR:INDEX=0"}</definedName>
    <definedName name="_5063__FDSAUDITLINK__" localSheetId="6" hidden="1">{"fdsup://directions/FAT Viewer?action=UPDATE&amp;creator=factset&amp;DYN_ARGS=TRUE&amp;DOC_NAME=FAT:FQL_AUDITING_CLIENT_TEMPLATE.FAT&amp;display_string=Audit&amp;VAR:KEY=BAVIBARWRE&amp;VAR:QUERY=RkZfRUJJVERBX0lCKCdMVE1TJywzODgyMik=&amp;WINDOW=FIRST_POPUP&amp;HEIGHT=450&amp;WIDTH=450&amp;START_MA","XIMIZED=FALSE&amp;VAR:CALENDAR=US&amp;VAR:SYMBOL=37183T10&amp;VAR:INDEX=0"}</definedName>
    <definedName name="_5063__FDSAUDITLINK__" hidden="1">{"fdsup://directions/FAT Viewer?action=UPDATE&amp;creator=factset&amp;DYN_ARGS=TRUE&amp;DOC_NAME=FAT:FQL_AUDITING_CLIENT_TEMPLATE.FAT&amp;display_string=Audit&amp;VAR:KEY=BAVIBARWRE&amp;VAR:QUERY=RkZfRUJJVERBX0lCKCdMVE1TJywzODgyMik=&amp;WINDOW=FIRST_POPUP&amp;HEIGHT=450&amp;WIDTH=450&amp;START_MA","XIMIZED=FALSE&amp;VAR:CALENDAR=US&amp;VAR:SYMBOL=37183T10&amp;VAR:INDEX=0"}</definedName>
    <definedName name="_5064__FDSAUDITLINK__" localSheetId="6" hidden="1">{"fdsup://directions/FAT Viewer?action=UPDATE&amp;creator=factset&amp;DYN_ARGS=TRUE&amp;DOC_NAME=FAT:FQL_AUDITING_CLIENT_TEMPLATE.FAT&amp;display_string=Audit&amp;VAR:KEY=ZIZCREJKBK&amp;VAR:QUERY=RkZfRUJJVERBX0lCKCdMVE1TJywzODgyMSk=&amp;WINDOW=FIRST_POPUP&amp;HEIGHT=450&amp;WIDTH=450&amp;START_MA","XIMIZED=FALSE&amp;VAR:CALENDAR=US&amp;VAR:SYMBOL=37183T10&amp;VAR:INDEX=0"}</definedName>
    <definedName name="_5064__FDSAUDITLINK__" hidden="1">{"fdsup://directions/FAT Viewer?action=UPDATE&amp;creator=factset&amp;DYN_ARGS=TRUE&amp;DOC_NAME=FAT:FQL_AUDITING_CLIENT_TEMPLATE.FAT&amp;display_string=Audit&amp;VAR:KEY=ZIZCREJKBK&amp;VAR:QUERY=RkZfRUJJVERBX0lCKCdMVE1TJywzODgyMSk=&amp;WINDOW=FIRST_POPUP&amp;HEIGHT=450&amp;WIDTH=450&amp;START_MA","XIMIZED=FALSE&amp;VAR:CALENDAR=US&amp;VAR:SYMBOL=37183T10&amp;VAR:INDEX=0"}</definedName>
    <definedName name="_5065__FDSAUDITLINK__" localSheetId="6" hidden="1">{"fdsup://directions/FAT Viewer?action=UPDATE&amp;creator=factset&amp;DYN_ARGS=TRUE&amp;DOC_NAME=FAT:FQL_AUDITING_CLIENT_TEMPLATE.FAT&amp;display_string=Audit&amp;VAR:KEY=NUNIDIVWNI&amp;VAR:QUERY=RkZfRUJJVERBX0lCKCdMVE1TJywzODgyMCk=&amp;WINDOW=FIRST_POPUP&amp;HEIGHT=450&amp;WIDTH=450&amp;START_MA","XIMIZED=FALSE&amp;VAR:CALENDAR=US&amp;VAR:SYMBOL=37183T10&amp;VAR:INDEX=0"}</definedName>
    <definedName name="_5065__FDSAUDITLINK__" hidden="1">{"fdsup://directions/FAT Viewer?action=UPDATE&amp;creator=factset&amp;DYN_ARGS=TRUE&amp;DOC_NAME=FAT:FQL_AUDITING_CLIENT_TEMPLATE.FAT&amp;display_string=Audit&amp;VAR:KEY=NUNIDIVWNI&amp;VAR:QUERY=RkZfRUJJVERBX0lCKCdMVE1TJywzODgyMCk=&amp;WINDOW=FIRST_POPUP&amp;HEIGHT=450&amp;WIDTH=450&amp;START_MA","XIMIZED=FALSE&amp;VAR:CALENDAR=US&amp;VAR:SYMBOL=37183T10&amp;VAR:INDEX=0"}</definedName>
    <definedName name="_5066__FDSAUDITLINK__" localSheetId="6" hidden="1">{"fdsup://directions/FAT Viewer?action=UPDATE&amp;creator=factset&amp;DYN_ARGS=TRUE&amp;DOC_NAME=FAT:FQL_AUDITING_CLIENT_TEMPLATE.FAT&amp;display_string=Audit&amp;VAR:KEY=DUTKXSZGJM&amp;VAR:QUERY=RkZfRUJJVERBX0lCKCdMVE1TJywzODgxOSk=&amp;WINDOW=FIRST_POPUP&amp;HEIGHT=450&amp;WIDTH=450&amp;START_MA","XIMIZED=FALSE&amp;VAR:CALENDAR=US&amp;VAR:SYMBOL=37183T10&amp;VAR:INDEX=0"}</definedName>
    <definedName name="_5066__FDSAUDITLINK__" hidden="1">{"fdsup://directions/FAT Viewer?action=UPDATE&amp;creator=factset&amp;DYN_ARGS=TRUE&amp;DOC_NAME=FAT:FQL_AUDITING_CLIENT_TEMPLATE.FAT&amp;display_string=Audit&amp;VAR:KEY=DUTKXSZGJM&amp;VAR:QUERY=RkZfRUJJVERBX0lCKCdMVE1TJywzODgxOSk=&amp;WINDOW=FIRST_POPUP&amp;HEIGHT=450&amp;WIDTH=450&amp;START_MA","XIMIZED=FALSE&amp;VAR:CALENDAR=US&amp;VAR:SYMBOL=37183T10&amp;VAR:INDEX=0"}</definedName>
    <definedName name="_5067__FDSAUDITLINK__" localSheetId="6" hidden="1">{"fdsup://directions/FAT Viewer?action=UPDATE&amp;creator=factset&amp;DYN_ARGS=TRUE&amp;DOC_NAME=FAT:FQL_AUDITING_CLIENT_TEMPLATE.FAT&amp;display_string=Audit&amp;VAR:KEY=HITOBCFURQ&amp;VAR:QUERY=RkZfRUJJVERBX0lCKCdMVE1TJywzODgxOCk=&amp;WINDOW=FIRST_POPUP&amp;HEIGHT=450&amp;WIDTH=450&amp;START_MA","XIMIZED=FALSE&amp;VAR:CALENDAR=US&amp;VAR:SYMBOL=37183T10&amp;VAR:INDEX=0"}</definedName>
    <definedName name="_5067__FDSAUDITLINK__" hidden="1">{"fdsup://directions/FAT Viewer?action=UPDATE&amp;creator=factset&amp;DYN_ARGS=TRUE&amp;DOC_NAME=FAT:FQL_AUDITING_CLIENT_TEMPLATE.FAT&amp;display_string=Audit&amp;VAR:KEY=HITOBCFURQ&amp;VAR:QUERY=RkZfRUJJVERBX0lCKCdMVE1TJywzODgxOCk=&amp;WINDOW=FIRST_POPUP&amp;HEIGHT=450&amp;WIDTH=450&amp;START_MA","XIMIZED=FALSE&amp;VAR:CALENDAR=US&amp;VAR:SYMBOL=37183T10&amp;VAR:INDEX=0"}</definedName>
    <definedName name="_5068__FDSAUDITLINK__" localSheetId="6" hidden="1">{"fdsup://directions/FAT Viewer?action=UPDATE&amp;creator=factset&amp;DYN_ARGS=TRUE&amp;DOC_NAME=FAT:FQL_AUDITING_CLIENT_TEMPLATE.FAT&amp;display_string=Audit&amp;VAR:KEY=VCNYXIFQXU&amp;VAR:QUERY=RkZfRUJJVERBX0lCKCdMVE1TJywzODgxNyk=&amp;WINDOW=FIRST_POPUP&amp;HEIGHT=450&amp;WIDTH=450&amp;START_MA","XIMIZED=FALSE&amp;VAR:CALENDAR=US&amp;VAR:SYMBOL=37183T10&amp;VAR:INDEX=0"}</definedName>
    <definedName name="_5068__FDSAUDITLINK__" hidden="1">{"fdsup://directions/FAT Viewer?action=UPDATE&amp;creator=factset&amp;DYN_ARGS=TRUE&amp;DOC_NAME=FAT:FQL_AUDITING_CLIENT_TEMPLATE.FAT&amp;display_string=Audit&amp;VAR:KEY=VCNYXIFQXU&amp;VAR:QUERY=RkZfRUJJVERBX0lCKCdMVE1TJywzODgxNyk=&amp;WINDOW=FIRST_POPUP&amp;HEIGHT=450&amp;WIDTH=450&amp;START_MA","XIMIZED=FALSE&amp;VAR:CALENDAR=US&amp;VAR:SYMBOL=37183T10&amp;VAR:INDEX=0"}</definedName>
    <definedName name="_5069__FDSAUDITLINK__" localSheetId="6" hidden="1">{"fdsup://directions/FAT Viewer?action=UPDATE&amp;creator=factset&amp;DYN_ARGS=TRUE&amp;DOC_NAME=FAT:FQL_AUDITING_CLIENT_TEMPLATE.FAT&amp;display_string=Audit&amp;VAR:KEY=LQTWHKZCVC&amp;VAR:QUERY=RkZfRUJJVERBX0lCKCdMVE1TJywzODgxNik=&amp;WINDOW=FIRST_POPUP&amp;HEIGHT=450&amp;WIDTH=450&amp;START_MA","XIMIZED=FALSE&amp;VAR:CALENDAR=US&amp;VAR:SYMBOL=37183T10&amp;VAR:INDEX=0"}</definedName>
    <definedName name="_5069__FDSAUDITLINK__" hidden="1">{"fdsup://directions/FAT Viewer?action=UPDATE&amp;creator=factset&amp;DYN_ARGS=TRUE&amp;DOC_NAME=FAT:FQL_AUDITING_CLIENT_TEMPLATE.FAT&amp;display_string=Audit&amp;VAR:KEY=LQTWHKZCVC&amp;VAR:QUERY=RkZfRUJJVERBX0lCKCdMVE1TJywzODgxNik=&amp;WINDOW=FIRST_POPUP&amp;HEIGHT=450&amp;WIDTH=450&amp;START_MA","XIMIZED=FALSE&amp;VAR:CALENDAR=US&amp;VAR:SYMBOL=37183T10&amp;VAR:INDEX=0"}</definedName>
    <definedName name="_507__FDSAUDITLINK__" localSheetId="6" hidden="1">{"fdsup://directions/FAT%20Viewer?VAR:PED=LTM&amp;VAR:AUDIT_MODE=SUMMARY&amp;VAR:PERIOD=FIXED&amp;VAR:AUDIT_ID=00000117&amp;VAR:DATE=20081002&amp;action=UPDATE&amp;creator=factset&amp;DOC_NAME=FAT:FMA_audit_SUMMARY.fat&amp;DISPLAY_STRING=Display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7__FDSAUDITLINK__" hidden="1">{"fdsup://directions/FAT%20Viewer?VAR:PED=LTM&amp;VAR:AUDIT_MODE=SUMMARY&amp;VAR:PERIOD=FIXED&amp;VAR:AUDIT_ID=00000117&amp;VAR:DATE=20081002&amp;action=UPDATE&amp;creator=factset&amp;DOC_NAME=FAT:FMA_audit_SUMMARY.fat&amp;DISPLAY_STRING=Display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70__FDSAUDITLINK__" localSheetId="6" hidden="1">{"fdsup://directions/FAT Viewer?action=UPDATE&amp;creator=factset&amp;DYN_ARGS=TRUE&amp;DOC_NAME=FAT:FQL_AUDITING_CLIENT_TEMPLATE.FAT&amp;display_string=Audit&amp;VAR:KEY=NQRSBQTYHE&amp;VAR:QUERY=RkZfRUJJVERBX0lCKCdMVE1TJywzODgxNSk=&amp;WINDOW=FIRST_POPUP&amp;HEIGHT=450&amp;WIDTH=450&amp;START_MA","XIMIZED=FALSE&amp;VAR:CALENDAR=US&amp;VAR:SYMBOL=37183T10&amp;VAR:INDEX=0"}</definedName>
    <definedName name="_5070__FDSAUDITLINK__" hidden="1">{"fdsup://directions/FAT Viewer?action=UPDATE&amp;creator=factset&amp;DYN_ARGS=TRUE&amp;DOC_NAME=FAT:FQL_AUDITING_CLIENT_TEMPLATE.FAT&amp;display_string=Audit&amp;VAR:KEY=NQRSBQTYHE&amp;VAR:QUERY=RkZfRUJJVERBX0lCKCdMVE1TJywzODgxNSk=&amp;WINDOW=FIRST_POPUP&amp;HEIGHT=450&amp;WIDTH=450&amp;START_MA","XIMIZED=FALSE&amp;VAR:CALENDAR=US&amp;VAR:SYMBOL=37183T10&amp;VAR:INDEX=0"}</definedName>
    <definedName name="_5071__FDSAUDITLINK__" localSheetId="6" hidden="1">{"fdsup://directions/FAT Viewer?action=UPDATE&amp;creator=factset&amp;DYN_ARGS=TRUE&amp;DOC_NAME=FAT:FQL_AUDITING_CLIENT_TEMPLATE.FAT&amp;display_string=Audit&amp;VAR:KEY=JUFQLCXCFM&amp;VAR:QUERY=RkZfRUJJVERBX0lCKCdMVE1TJywzODgxNCk=&amp;WINDOW=FIRST_POPUP&amp;HEIGHT=450&amp;WIDTH=450&amp;START_MA","XIMIZED=FALSE&amp;VAR:CALENDAR=US&amp;VAR:SYMBOL=37183T10&amp;VAR:INDEX=0"}</definedName>
    <definedName name="_5071__FDSAUDITLINK__" hidden="1">{"fdsup://directions/FAT Viewer?action=UPDATE&amp;creator=factset&amp;DYN_ARGS=TRUE&amp;DOC_NAME=FAT:FQL_AUDITING_CLIENT_TEMPLATE.FAT&amp;display_string=Audit&amp;VAR:KEY=JUFQLCXCFM&amp;VAR:QUERY=RkZfRUJJVERBX0lCKCdMVE1TJywzODgxNCk=&amp;WINDOW=FIRST_POPUP&amp;HEIGHT=450&amp;WIDTH=450&amp;START_MA","XIMIZED=FALSE&amp;VAR:CALENDAR=US&amp;VAR:SYMBOL=37183T10&amp;VAR:INDEX=0"}</definedName>
    <definedName name="_5072__FDSAUDITLINK__" localSheetId="6" hidden="1">{"fdsup://directions/FAT Viewer?action=UPDATE&amp;creator=factset&amp;DYN_ARGS=TRUE&amp;DOC_NAME=FAT:FQL_AUDITING_CLIENT_TEMPLATE.FAT&amp;display_string=Audit&amp;VAR:KEY=JMBENOFKLY&amp;VAR:QUERY=RkZfRUJJVERBX0lCKCdMVE1TJywzODgxMyk=&amp;WINDOW=FIRST_POPUP&amp;HEIGHT=450&amp;WIDTH=450&amp;START_MA","XIMIZED=FALSE&amp;VAR:CALENDAR=US&amp;VAR:SYMBOL=37183T10&amp;VAR:INDEX=0"}</definedName>
    <definedName name="_5072__FDSAUDITLINK__" hidden="1">{"fdsup://directions/FAT Viewer?action=UPDATE&amp;creator=factset&amp;DYN_ARGS=TRUE&amp;DOC_NAME=FAT:FQL_AUDITING_CLIENT_TEMPLATE.FAT&amp;display_string=Audit&amp;VAR:KEY=JMBENOFKLY&amp;VAR:QUERY=RkZfRUJJVERBX0lCKCdMVE1TJywzODgxMyk=&amp;WINDOW=FIRST_POPUP&amp;HEIGHT=450&amp;WIDTH=450&amp;START_MA","XIMIZED=FALSE&amp;VAR:CALENDAR=US&amp;VAR:SYMBOL=37183T10&amp;VAR:INDEX=0"}</definedName>
    <definedName name="_5073__FDSAUDITLINK__" localSheetId="6" hidden="1">{"fdsup://directions/FAT Viewer?action=UPDATE&amp;creator=factset&amp;DYN_ARGS=TRUE&amp;DOC_NAME=FAT:FQL_AUDITING_CLIENT_TEMPLATE.FAT&amp;display_string=Audit&amp;VAR:KEY=PQXGNODYTE&amp;VAR:QUERY=RkZfRUJJVERBX0lCKCdMVE1TJywzODgxMik=&amp;WINDOW=FIRST_POPUP&amp;HEIGHT=450&amp;WIDTH=450&amp;START_MA","XIMIZED=FALSE&amp;VAR:CALENDAR=US&amp;VAR:SYMBOL=37183T10&amp;VAR:INDEX=0"}</definedName>
    <definedName name="_5073__FDSAUDITLINK__" hidden="1">{"fdsup://directions/FAT Viewer?action=UPDATE&amp;creator=factset&amp;DYN_ARGS=TRUE&amp;DOC_NAME=FAT:FQL_AUDITING_CLIENT_TEMPLATE.FAT&amp;display_string=Audit&amp;VAR:KEY=PQXGNODYTE&amp;VAR:QUERY=RkZfRUJJVERBX0lCKCdMVE1TJywzODgxMik=&amp;WINDOW=FIRST_POPUP&amp;HEIGHT=450&amp;WIDTH=450&amp;START_MA","XIMIZED=FALSE&amp;VAR:CALENDAR=US&amp;VAR:SYMBOL=37183T10&amp;VAR:INDEX=0"}</definedName>
    <definedName name="_5074__FDSAUDITLINK__" localSheetId="6" hidden="1">{"fdsup://directions/FAT Viewer?action=UPDATE&amp;creator=factset&amp;DYN_ARGS=TRUE&amp;DOC_NAME=FAT:FQL_AUDITING_CLIENT_TEMPLATE.FAT&amp;display_string=Audit&amp;VAR:KEY=VEJOTCLAZW&amp;VAR:QUERY=RkZfRUJJVERBX0lCKCdMVE1TJywzODgxMSk=&amp;WINDOW=FIRST_POPUP&amp;HEIGHT=450&amp;WIDTH=450&amp;START_MA","XIMIZED=FALSE&amp;VAR:CALENDAR=US&amp;VAR:SYMBOL=37183T10&amp;VAR:INDEX=0"}</definedName>
    <definedName name="_5074__FDSAUDITLINK__" hidden="1">{"fdsup://directions/FAT Viewer?action=UPDATE&amp;creator=factset&amp;DYN_ARGS=TRUE&amp;DOC_NAME=FAT:FQL_AUDITING_CLIENT_TEMPLATE.FAT&amp;display_string=Audit&amp;VAR:KEY=VEJOTCLAZW&amp;VAR:QUERY=RkZfRUJJVERBX0lCKCdMVE1TJywzODgxMSk=&amp;WINDOW=FIRST_POPUP&amp;HEIGHT=450&amp;WIDTH=450&amp;START_MA","XIMIZED=FALSE&amp;VAR:CALENDAR=US&amp;VAR:SYMBOL=37183T10&amp;VAR:INDEX=0"}</definedName>
    <definedName name="_5075__FDSAUDITLINK__" localSheetId="6" hidden="1">{"fdsup://directions/FAT Viewer?action=UPDATE&amp;creator=factset&amp;DYN_ARGS=TRUE&amp;DOC_NAME=FAT:FQL_AUDITING_CLIENT_TEMPLATE.FAT&amp;display_string=Audit&amp;VAR:KEY=TEDSJGTOTQ&amp;VAR:QUERY=RkZfRUJJVERBX0lCKCdMVE1TJywzODgxMCk=&amp;WINDOW=FIRST_POPUP&amp;HEIGHT=450&amp;WIDTH=450&amp;START_MA","XIMIZED=FALSE&amp;VAR:CALENDAR=US&amp;VAR:SYMBOL=37183T10&amp;VAR:INDEX=0"}</definedName>
    <definedName name="_5075__FDSAUDITLINK__" hidden="1">{"fdsup://directions/FAT Viewer?action=UPDATE&amp;creator=factset&amp;DYN_ARGS=TRUE&amp;DOC_NAME=FAT:FQL_AUDITING_CLIENT_TEMPLATE.FAT&amp;display_string=Audit&amp;VAR:KEY=TEDSJGTOTQ&amp;VAR:QUERY=RkZfRUJJVERBX0lCKCdMVE1TJywzODgxMCk=&amp;WINDOW=FIRST_POPUP&amp;HEIGHT=450&amp;WIDTH=450&amp;START_MA","XIMIZED=FALSE&amp;VAR:CALENDAR=US&amp;VAR:SYMBOL=37183T10&amp;VAR:INDEX=0"}</definedName>
    <definedName name="_5076__FDSAUDITLINK__" localSheetId="6" hidden="1">{"fdsup://directions/FAT Viewer?action=UPDATE&amp;creator=factset&amp;DYN_ARGS=TRUE&amp;DOC_NAME=FAT:FQL_AUDITING_CLIENT_TEMPLATE.FAT&amp;display_string=Audit&amp;VAR:KEY=ZCRIXGFARG&amp;VAR:QUERY=RkZfRUJJVERBX0lCKCdMVE1TJywzODgwOSk=&amp;WINDOW=FIRST_POPUP&amp;HEIGHT=450&amp;WIDTH=450&amp;START_MA","XIMIZED=FALSE&amp;VAR:CALENDAR=US&amp;VAR:SYMBOL=37183T10&amp;VAR:INDEX=0"}</definedName>
    <definedName name="_5076__FDSAUDITLINK__" hidden="1">{"fdsup://directions/FAT Viewer?action=UPDATE&amp;creator=factset&amp;DYN_ARGS=TRUE&amp;DOC_NAME=FAT:FQL_AUDITING_CLIENT_TEMPLATE.FAT&amp;display_string=Audit&amp;VAR:KEY=ZCRIXGFARG&amp;VAR:QUERY=RkZfRUJJVERBX0lCKCdMVE1TJywzODgwOSk=&amp;WINDOW=FIRST_POPUP&amp;HEIGHT=450&amp;WIDTH=450&amp;START_MA","XIMIZED=FALSE&amp;VAR:CALENDAR=US&amp;VAR:SYMBOL=37183T10&amp;VAR:INDEX=0"}</definedName>
    <definedName name="_5077__FDSAUDITLINK__" localSheetId="6" hidden="1">{"fdsup://directions/FAT Viewer?action=UPDATE&amp;creator=factset&amp;DYN_ARGS=TRUE&amp;DOC_NAME=FAT:FQL_AUDITING_CLIENT_TEMPLATE.FAT&amp;display_string=Audit&amp;VAR:KEY=BOPSBQVKHQ&amp;VAR:QUERY=RkZfRUJJVERBX0lCKCdMVE1TJywzODgwOCk=&amp;WINDOW=FIRST_POPUP&amp;HEIGHT=450&amp;WIDTH=450&amp;START_MA","XIMIZED=FALSE&amp;VAR:CALENDAR=US&amp;VAR:SYMBOL=37183T10&amp;VAR:INDEX=0"}</definedName>
    <definedName name="_5077__FDSAUDITLINK__" hidden="1">{"fdsup://directions/FAT Viewer?action=UPDATE&amp;creator=factset&amp;DYN_ARGS=TRUE&amp;DOC_NAME=FAT:FQL_AUDITING_CLIENT_TEMPLATE.FAT&amp;display_string=Audit&amp;VAR:KEY=BOPSBQVKHQ&amp;VAR:QUERY=RkZfRUJJVERBX0lCKCdMVE1TJywzODgwOCk=&amp;WINDOW=FIRST_POPUP&amp;HEIGHT=450&amp;WIDTH=450&amp;START_MA","XIMIZED=FALSE&amp;VAR:CALENDAR=US&amp;VAR:SYMBOL=37183T10&amp;VAR:INDEX=0"}</definedName>
    <definedName name="_5078__FDSAUDITLINK__" localSheetId="6" hidden="1">{"fdsup://directions/FAT Viewer?action=UPDATE&amp;creator=factset&amp;DYN_ARGS=TRUE&amp;DOC_NAME=FAT:FQL_AUDITING_CLIENT_TEMPLATE.FAT&amp;display_string=Audit&amp;VAR:KEY=DERYFGBEFW&amp;VAR:QUERY=RkZfRUJJVERBX0lCKCdMVE1TJywzODgwNyk=&amp;WINDOW=FIRST_POPUP&amp;HEIGHT=450&amp;WIDTH=450&amp;START_MA","XIMIZED=FALSE&amp;VAR:CALENDAR=US&amp;VAR:SYMBOL=37183T10&amp;VAR:INDEX=0"}</definedName>
    <definedName name="_5078__FDSAUDITLINK__" hidden="1">{"fdsup://directions/FAT Viewer?action=UPDATE&amp;creator=factset&amp;DYN_ARGS=TRUE&amp;DOC_NAME=FAT:FQL_AUDITING_CLIENT_TEMPLATE.FAT&amp;display_string=Audit&amp;VAR:KEY=DERYFGBEFW&amp;VAR:QUERY=RkZfRUJJVERBX0lCKCdMVE1TJywzODgwNyk=&amp;WINDOW=FIRST_POPUP&amp;HEIGHT=450&amp;WIDTH=450&amp;START_MA","XIMIZED=FALSE&amp;VAR:CALENDAR=US&amp;VAR:SYMBOL=37183T10&amp;VAR:INDEX=0"}</definedName>
    <definedName name="_5079__FDSAUDITLINK__" localSheetId="6" hidden="1">{"fdsup://directions/FAT Viewer?action=UPDATE&amp;creator=factset&amp;DYN_ARGS=TRUE&amp;DOC_NAME=FAT:FQL_AUDITING_CLIENT_TEMPLATE.FAT&amp;display_string=Audit&amp;VAR:KEY=TUVITWLOPS&amp;VAR:QUERY=RkZfRUJJVERBX0lCKCdMVE1TJywzODgwNik=&amp;WINDOW=FIRST_POPUP&amp;HEIGHT=450&amp;WIDTH=450&amp;START_MA","XIMIZED=FALSE&amp;VAR:CALENDAR=US&amp;VAR:SYMBOL=37183T10&amp;VAR:INDEX=0"}</definedName>
    <definedName name="_5079__FDSAUDITLINK__" hidden="1">{"fdsup://directions/FAT Viewer?action=UPDATE&amp;creator=factset&amp;DYN_ARGS=TRUE&amp;DOC_NAME=FAT:FQL_AUDITING_CLIENT_TEMPLATE.FAT&amp;display_string=Audit&amp;VAR:KEY=TUVITWLOPS&amp;VAR:QUERY=RkZfRUJJVERBX0lCKCdMVE1TJywzODgwNik=&amp;WINDOW=FIRST_POPUP&amp;HEIGHT=450&amp;WIDTH=450&amp;START_MA","XIMIZED=FALSE&amp;VAR:CALENDAR=US&amp;VAR:SYMBOL=37183T10&amp;VAR:INDEX=0"}</definedName>
    <definedName name="_508__FDSAUDITLINK__" localSheetId="6" hidden="1">{"fdsup://directions/FAT%20Viewer?VAR:PED=LTM&amp;VAR:AUDIT_MODE=SUMMARY&amp;VAR:PERIOD=FIXED&amp;VAR:AUDIT_ID=00000117&amp;VAR:DATE=20081001&amp;action=UPDATE&amp;creator=factset&amp;DOC_NAME=FAT:FMA_audit_SUMMARY.fat&amp;DISPLAY_STRING=Display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8__FDSAUDITLINK__" hidden="1">{"fdsup://directions/FAT%20Viewer?VAR:PED=LTM&amp;VAR:AUDIT_MODE=SUMMARY&amp;VAR:PERIOD=FIXED&amp;VAR:AUDIT_ID=00000117&amp;VAR:DATE=20081001&amp;action=UPDATE&amp;creator=factset&amp;DOC_NAME=FAT:FMA_audit_SUMMARY.fat&amp;DISPLAY_STRING=Display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80__FDSAUDITLINK__" localSheetId="6" hidden="1">{"fdsup://directions/FAT Viewer?action=UPDATE&amp;creator=factset&amp;DYN_ARGS=TRUE&amp;DOC_NAME=FAT:FQL_AUDITING_CLIENT_TEMPLATE.FAT&amp;display_string=Audit&amp;VAR:KEY=LGPGXIDEBY&amp;VAR:QUERY=RkZfRUJJVERBX0lCKCdMVE1TJywzODgwNSk=&amp;WINDOW=FIRST_POPUP&amp;HEIGHT=450&amp;WIDTH=450&amp;START_MA","XIMIZED=FALSE&amp;VAR:CALENDAR=US&amp;VAR:SYMBOL=37183T10&amp;VAR:INDEX=0"}</definedName>
    <definedName name="_5080__FDSAUDITLINK__" hidden="1">{"fdsup://directions/FAT Viewer?action=UPDATE&amp;creator=factset&amp;DYN_ARGS=TRUE&amp;DOC_NAME=FAT:FQL_AUDITING_CLIENT_TEMPLATE.FAT&amp;display_string=Audit&amp;VAR:KEY=LGPGXIDEBY&amp;VAR:QUERY=RkZfRUJJVERBX0lCKCdMVE1TJywzODgwNSk=&amp;WINDOW=FIRST_POPUP&amp;HEIGHT=450&amp;WIDTH=450&amp;START_MA","XIMIZED=FALSE&amp;VAR:CALENDAR=US&amp;VAR:SYMBOL=37183T10&amp;VAR:INDEX=0"}</definedName>
    <definedName name="_5081__FDSAUDITLINK__" localSheetId="6" hidden="1">{"fdsup://directions/FAT Viewer?action=UPDATE&amp;creator=factset&amp;DYN_ARGS=TRUE&amp;DOC_NAME=FAT:FQL_AUDITING_CLIENT_TEMPLATE.FAT&amp;display_string=Audit&amp;VAR:KEY=NSBENCLILO&amp;VAR:QUERY=RkZfRUJJVERBX0lCKCdMVE1TJywzODgwNCk=&amp;WINDOW=FIRST_POPUP&amp;HEIGHT=450&amp;WIDTH=450&amp;START_MA","XIMIZED=FALSE&amp;VAR:CALENDAR=US&amp;VAR:SYMBOL=37183T10&amp;VAR:INDEX=0"}</definedName>
    <definedName name="_5081__FDSAUDITLINK__" hidden="1">{"fdsup://directions/FAT Viewer?action=UPDATE&amp;creator=factset&amp;DYN_ARGS=TRUE&amp;DOC_NAME=FAT:FQL_AUDITING_CLIENT_TEMPLATE.FAT&amp;display_string=Audit&amp;VAR:KEY=NSBENCLILO&amp;VAR:QUERY=RkZfRUJJVERBX0lCKCdMVE1TJywzODgwNCk=&amp;WINDOW=FIRST_POPUP&amp;HEIGHT=450&amp;WIDTH=450&amp;START_MA","XIMIZED=FALSE&amp;VAR:CALENDAR=US&amp;VAR:SYMBOL=37183T10&amp;VAR:INDEX=0"}</definedName>
    <definedName name="_5082__FDSAUDITLINK__" localSheetId="6" hidden="1">{"fdsup://directions/FAT Viewer?action=UPDATE&amp;creator=factset&amp;DYN_ARGS=TRUE&amp;DOC_NAME=FAT:FQL_AUDITING_CLIENT_TEMPLATE.FAT&amp;display_string=Audit&amp;VAR:KEY=DUFIBYZWZS&amp;VAR:QUERY=RkZfRUJJVERBX0lCKCdMVE1TJywzODgwMyk=&amp;WINDOW=FIRST_POPUP&amp;HEIGHT=450&amp;WIDTH=450&amp;START_MA","XIMIZED=FALSE&amp;VAR:CALENDAR=US&amp;VAR:SYMBOL=37183T10&amp;VAR:INDEX=0"}</definedName>
    <definedName name="_5082__FDSAUDITLINK__" hidden="1">{"fdsup://directions/FAT Viewer?action=UPDATE&amp;creator=factset&amp;DYN_ARGS=TRUE&amp;DOC_NAME=FAT:FQL_AUDITING_CLIENT_TEMPLATE.FAT&amp;display_string=Audit&amp;VAR:KEY=DUFIBYZWZS&amp;VAR:QUERY=RkZfRUJJVERBX0lCKCdMVE1TJywzODgwMyk=&amp;WINDOW=FIRST_POPUP&amp;HEIGHT=450&amp;WIDTH=450&amp;START_MA","XIMIZED=FALSE&amp;VAR:CALENDAR=US&amp;VAR:SYMBOL=37183T10&amp;VAR:INDEX=0"}</definedName>
    <definedName name="_5083__FDSAUDITLINK__" localSheetId="6" hidden="1">{"fdsup://directions/FAT Viewer?action=UPDATE&amp;creator=factset&amp;DYN_ARGS=TRUE&amp;DOC_NAME=FAT:FQL_AUDITING_CLIENT_TEMPLATE.FAT&amp;display_string=Audit&amp;VAR:KEY=NWDYBSPYDW&amp;VAR:QUERY=RkZfRUJJVERBX0lCKCdMVE1TJywzODgwMik=&amp;WINDOW=FIRST_POPUP&amp;HEIGHT=450&amp;WIDTH=450&amp;START_MA","XIMIZED=FALSE&amp;VAR:CALENDAR=US&amp;VAR:SYMBOL=37183T10&amp;VAR:INDEX=0"}</definedName>
    <definedName name="_5083__FDSAUDITLINK__" hidden="1">{"fdsup://directions/FAT Viewer?action=UPDATE&amp;creator=factset&amp;DYN_ARGS=TRUE&amp;DOC_NAME=FAT:FQL_AUDITING_CLIENT_TEMPLATE.FAT&amp;display_string=Audit&amp;VAR:KEY=NWDYBSPYDW&amp;VAR:QUERY=RkZfRUJJVERBX0lCKCdMVE1TJywzODgwMik=&amp;WINDOW=FIRST_POPUP&amp;HEIGHT=450&amp;WIDTH=450&amp;START_MA","XIMIZED=FALSE&amp;VAR:CALENDAR=US&amp;VAR:SYMBOL=37183T10&amp;VAR:INDEX=0"}</definedName>
    <definedName name="_5084__FDSAUDITLINK__" localSheetId="6" hidden="1">{"fdsup://directions/FAT Viewer?action=UPDATE&amp;creator=factset&amp;DYN_ARGS=TRUE&amp;DOC_NAME=FAT:FQL_AUDITING_CLIENT_TEMPLATE.FAT&amp;display_string=Audit&amp;VAR:KEY=TKFCNKDWFK&amp;VAR:QUERY=RkZfRUJJVERBX0lCKCdMVE1TJywzODgwMSk=&amp;WINDOW=FIRST_POPUP&amp;HEIGHT=450&amp;WIDTH=450&amp;START_MA","XIMIZED=FALSE&amp;VAR:CALENDAR=US&amp;VAR:SYMBOL=37183T10&amp;VAR:INDEX=0"}</definedName>
    <definedName name="_5084__FDSAUDITLINK__" hidden="1">{"fdsup://directions/FAT Viewer?action=UPDATE&amp;creator=factset&amp;DYN_ARGS=TRUE&amp;DOC_NAME=FAT:FQL_AUDITING_CLIENT_TEMPLATE.FAT&amp;display_string=Audit&amp;VAR:KEY=TKFCNKDWFK&amp;VAR:QUERY=RkZfRUJJVERBX0lCKCdMVE1TJywzODgwMSk=&amp;WINDOW=FIRST_POPUP&amp;HEIGHT=450&amp;WIDTH=450&amp;START_MA","XIMIZED=FALSE&amp;VAR:CALENDAR=US&amp;VAR:SYMBOL=37183T10&amp;VAR:INDEX=0"}</definedName>
    <definedName name="_5085__FDSAUDITLINK__" localSheetId="6" hidden="1">{"fdsup://directions/FAT Viewer?action=UPDATE&amp;creator=factset&amp;DYN_ARGS=TRUE&amp;DOC_NAME=FAT:FQL_AUDITING_CLIENT_TEMPLATE.FAT&amp;display_string=Audit&amp;VAR:KEY=ROFQDADIXI&amp;VAR:QUERY=RkZfRUJJVERBX0lCKCdMVE1TJywzODgwMCk=&amp;WINDOW=FIRST_POPUP&amp;HEIGHT=450&amp;WIDTH=450&amp;START_MA","XIMIZED=FALSE&amp;VAR:CALENDAR=US&amp;VAR:SYMBOL=37183T10&amp;VAR:INDEX=0"}</definedName>
    <definedName name="_5085__FDSAUDITLINK__" hidden="1">{"fdsup://directions/FAT Viewer?action=UPDATE&amp;creator=factset&amp;DYN_ARGS=TRUE&amp;DOC_NAME=FAT:FQL_AUDITING_CLIENT_TEMPLATE.FAT&amp;display_string=Audit&amp;VAR:KEY=ROFQDADIXI&amp;VAR:QUERY=RkZfRUJJVERBX0lCKCdMVE1TJywzODgwMCk=&amp;WINDOW=FIRST_POPUP&amp;HEIGHT=450&amp;WIDTH=450&amp;START_MA","XIMIZED=FALSE&amp;VAR:CALENDAR=US&amp;VAR:SYMBOL=37183T10&amp;VAR:INDEX=0"}</definedName>
    <definedName name="_5086__FDSAUDITLINK__" localSheetId="6" hidden="1">{"fdsup://directions/FAT Viewer?action=UPDATE&amp;creator=factset&amp;DYN_ARGS=TRUE&amp;DOC_NAME=FAT:FQL_AUDITING_CLIENT_TEMPLATE.FAT&amp;display_string=Audit&amp;VAR:KEY=RWNQBQFGDM&amp;VAR:QUERY=RkZfRUJJVERBX0lCKCdMVE1TJywzODc5OSk=&amp;WINDOW=FIRST_POPUP&amp;HEIGHT=450&amp;WIDTH=450&amp;START_MA","XIMIZED=FALSE&amp;VAR:CALENDAR=US&amp;VAR:SYMBOL=37183T10&amp;VAR:INDEX=0"}</definedName>
    <definedName name="_5086__FDSAUDITLINK__" hidden="1">{"fdsup://directions/FAT Viewer?action=UPDATE&amp;creator=factset&amp;DYN_ARGS=TRUE&amp;DOC_NAME=FAT:FQL_AUDITING_CLIENT_TEMPLATE.FAT&amp;display_string=Audit&amp;VAR:KEY=RWNQBQFGDM&amp;VAR:QUERY=RkZfRUJJVERBX0lCKCdMVE1TJywzODc5OSk=&amp;WINDOW=FIRST_POPUP&amp;HEIGHT=450&amp;WIDTH=450&amp;START_MA","XIMIZED=FALSE&amp;VAR:CALENDAR=US&amp;VAR:SYMBOL=37183T10&amp;VAR:INDEX=0"}</definedName>
    <definedName name="_5087__FDSAUDITLINK__" localSheetId="6" hidden="1">{"fdsup://directions/FAT Viewer?action=UPDATE&amp;creator=factset&amp;DYN_ARGS=TRUE&amp;DOC_NAME=FAT:FQL_AUDITING_CLIENT_TEMPLATE.FAT&amp;display_string=Audit&amp;VAR:KEY=NATGFQFIPO&amp;VAR:QUERY=RkZfRUJJVERBX0lCKCdMVE1TJywzODc5OCk=&amp;WINDOW=FIRST_POPUP&amp;HEIGHT=450&amp;WIDTH=450&amp;START_MA","XIMIZED=FALSE&amp;VAR:CALENDAR=US&amp;VAR:SYMBOL=37183T10&amp;VAR:INDEX=0"}</definedName>
    <definedName name="_5087__FDSAUDITLINK__" hidden="1">{"fdsup://directions/FAT Viewer?action=UPDATE&amp;creator=factset&amp;DYN_ARGS=TRUE&amp;DOC_NAME=FAT:FQL_AUDITING_CLIENT_TEMPLATE.FAT&amp;display_string=Audit&amp;VAR:KEY=NATGFQFIPO&amp;VAR:QUERY=RkZfRUJJVERBX0lCKCdMVE1TJywzODc5OCk=&amp;WINDOW=FIRST_POPUP&amp;HEIGHT=450&amp;WIDTH=450&amp;START_MA","XIMIZED=FALSE&amp;VAR:CALENDAR=US&amp;VAR:SYMBOL=37183T10&amp;VAR:INDEX=0"}</definedName>
    <definedName name="_5088__FDSAUDITLINK__" localSheetId="6" hidden="1">{"fdsup://directions/FAT Viewer?action=UPDATE&amp;creator=factset&amp;DYN_ARGS=TRUE&amp;DOC_NAME=FAT:FQL_AUDITING_CLIENT_TEMPLATE.FAT&amp;display_string=Audit&amp;VAR:KEY=XYZCJUPERM&amp;VAR:QUERY=RkZfRUJJVERBX0lCKCdMVE1TJywzODc5Nyk=&amp;WINDOW=FIRST_POPUP&amp;HEIGHT=450&amp;WIDTH=450&amp;START_MA","XIMIZED=FALSE&amp;VAR:CALENDAR=US&amp;VAR:SYMBOL=37183T10&amp;VAR:INDEX=0"}</definedName>
    <definedName name="_5088__FDSAUDITLINK__" hidden="1">{"fdsup://directions/FAT Viewer?action=UPDATE&amp;creator=factset&amp;DYN_ARGS=TRUE&amp;DOC_NAME=FAT:FQL_AUDITING_CLIENT_TEMPLATE.FAT&amp;display_string=Audit&amp;VAR:KEY=XYZCJUPERM&amp;VAR:QUERY=RkZfRUJJVERBX0lCKCdMVE1TJywzODc5Nyk=&amp;WINDOW=FIRST_POPUP&amp;HEIGHT=450&amp;WIDTH=450&amp;START_MA","XIMIZED=FALSE&amp;VAR:CALENDAR=US&amp;VAR:SYMBOL=37183T10&amp;VAR:INDEX=0"}</definedName>
    <definedName name="_5089__FDSAUDITLINK__" localSheetId="6" hidden="1">{"fdsup://directions/FAT Viewer?action=UPDATE&amp;creator=factset&amp;DYN_ARGS=TRUE&amp;DOC_NAME=FAT:FQL_AUDITING_CLIENT_TEMPLATE.FAT&amp;display_string=Audit&amp;VAR:KEY=JSFOZYDWZS&amp;VAR:QUERY=RkZfRUJJVERBX0lCKCdMVE1TJywzODc5Nik=&amp;WINDOW=FIRST_POPUP&amp;HEIGHT=450&amp;WIDTH=450&amp;START_MA","XIMIZED=FALSE&amp;VAR:CALENDAR=US&amp;VAR:SYMBOL=37183T10&amp;VAR:INDEX=0"}</definedName>
    <definedName name="_5089__FDSAUDITLINK__" hidden="1">{"fdsup://directions/FAT Viewer?action=UPDATE&amp;creator=factset&amp;DYN_ARGS=TRUE&amp;DOC_NAME=FAT:FQL_AUDITING_CLIENT_TEMPLATE.FAT&amp;display_string=Audit&amp;VAR:KEY=JSFOZYDWZS&amp;VAR:QUERY=RkZfRUJJVERBX0lCKCdMVE1TJywzODc5Nik=&amp;WINDOW=FIRST_POPUP&amp;HEIGHT=450&amp;WIDTH=450&amp;START_MA","XIMIZED=FALSE&amp;VAR:CALENDAR=US&amp;VAR:SYMBOL=37183T10&amp;VAR:INDEX=0"}</definedName>
    <definedName name="_509__FDSAUDITLINK__" localSheetId="6" hidden="1">{"fdsup://directions/FAT%20Viewer?VAR:PED=LTM&amp;VAR:AUDIT_MODE=SUMMARY&amp;VAR:PERIOD=FIXED&amp;VAR:AUDIT_ID=00000117&amp;VAR:DATE=20080930&amp;action=UPDATE&amp;creator=factset&amp;DOC_NAME=FAT:FMA_audit_SUMMARY.fat&amp;DISPLAY_STRING=Display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9__FDSAUDITLINK__" hidden="1">{"fdsup://directions/FAT%20Viewer?VAR:PED=LTM&amp;VAR:AUDIT_MODE=SUMMARY&amp;VAR:PERIOD=FIXED&amp;VAR:AUDIT_ID=00000117&amp;VAR:DATE=20080930&amp;action=UPDATE&amp;creator=factset&amp;DOC_NAME=FAT:FMA_audit_SUMMARY.fat&amp;DISPLAY_STRING=Display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EBITDA&amp;VAR:CHGPERIOD=NA&amp;VAR:FQLFORMULA=FMA_EVAL_EBITDA&amp;VAR:CURRENCY=NA&amp;VAR:P=NA&amp;VAR:V=9.35","7117&amp;VAR:null=.html"}</definedName>
    <definedName name="_5090__FDSAUDITLINK__" localSheetId="6" hidden="1">{"fdsup://directions/FAT Viewer?action=UPDATE&amp;creator=factset&amp;DYN_ARGS=TRUE&amp;DOC_NAME=FAT:FQL_AUDITING_CLIENT_TEMPLATE.FAT&amp;display_string=Audit&amp;VAR:KEY=ZQDSLSTOFE&amp;VAR:QUERY=RkZfRUJJVERBX0lCKCdMVE1TJywzODc5NSk=&amp;WINDOW=FIRST_POPUP&amp;HEIGHT=450&amp;WIDTH=450&amp;START_MA","XIMIZED=FALSE&amp;VAR:CALENDAR=US&amp;VAR:SYMBOL=37183T10&amp;VAR:INDEX=0"}</definedName>
    <definedName name="_5090__FDSAUDITLINK__" hidden="1">{"fdsup://directions/FAT Viewer?action=UPDATE&amp;creator=factset&amp;DYN_ARGS=TRUE&amp;DOC_NAME=FAT:FQL_AUDITING_CLIENT_TEMPLATE.FAT&amp;display_string=Audit&amp;VAR:KEY=ZQDSLSTOFE&amp;VAR:QUERY=RkZfRUJJVERBX0lCKCdMVE1TJywzODc5NSk=&amp;WINDOW=FIRST_POPUP&amp;HEIGHT=450&amp;WIDTH=450&amp;START_MA","XIMIZED=FALSE&amp;VAR:CALENDAR=US&amp;VAR:SYMBOL=37183T10&amp;VAR:INDEX=0"}</definedName>
    <definedName name="_5091__FDSAUDITLINK__" localSheetId="6" hidden="1">{"fdsup://directions/FAT Viewer?action=UPDATE&amp;creator=factset&amp;DYN_ARGS=TRUE&amp;DOC_NAME=FAT:FQL_AUDITING_CLIENT_TEMPLATE.FAT&amp;display_string=Audit&amp;VAR:KEY=TQFULIVGJC&amp;VAR:QUERY=RkZfRUJJVERBX0lCKCdMVE1TJywzODc5NCk=&amp;WINDOW=FIRST_POPUP&amp;HEIGHT=450&amp;WIDTH=450&amp;START_MA","XIMIZED=FALSE&amp;VAR:CALENDAR=US&amp;VAR:SYMBOL=37183T10&amp;VAR:INDEX=0"}</definedName>
    <definedName name="_5091__FDSAUDITLINK__" hidden="1">{"fdsup://directions/FAT Viewer?action=UPDATE&amp;creator=factset&amp;DYN_ARGS=TRUE&amp;DOC_NAME=FAT:FQL_AUDITING_CLIENT_TEMPLATE.FAT&amp;display_string=Audit&amp;VAR:KEY=TQFULIVGJC&amp;VAR:QUERY=RkZfRUJJVERBX0lCKCdMVE1TJywzODc5NCk=&amp;WINDOW=FIRST_POPUP&amp;HEIGHT=450&amp;WIDTH=450&amp;START_MA","XIMIZED=FALSE&amp;VAR:CALENDAR=US&amp;VAR:SYMBOL=37183T10&amp;VAR:INDEX=0"}</definedName>
    <definedName name="_5092__FDSAUDITLINK__" localSheetId="6" hidden="1">{"fdsup://directions/FAT Viewer?action=UPDATE&amp;creator=factset&amp;DYN_ARGS=TRUE&amp;DOC_NAME=FAT:FQL_AUDITING_CLIENT_TEMPLATE.FAT&amp;display_string=Audit&amp;VAR:KEY=REDIZKTWTS&amp;VAR:QUERY=RkZfRUJJVERBX0lCKCdMVE1TJywzODc5Myk=&amp;WINDOW=FIRST_POPUP&amp;HEIGHT=450&amp;WIDTH=450&amp;START_MA","XIMIZED=FALSE&amp;VAR:CALENDAR=US&amp;VAR:SYMBOL=37183T10&amp;VAR:INDEX=0"}</definedName>
    <definedName name="_5092__FDSAUDITLINK__" hidden="1">{"fdsup://directions/FAT Viewer?action=UPDATE&amp;creator=factset&amp;DYN_ARGS=TRUE&amp;DOC_NAME=FAT:FQL_AUDITING_CLIENT_TEMPLATE.FAT&amp;display_string=Audit&amp;VAR:KEY=REDIZKTWTS&amp;VAR:QUERY=RkZfRUJJVERBX0lCKCdMVE1TJywzODc5Myk=&amp;WINDOW=FIRST_POPUP&amp;HEIGHT=450&amp;WIDTH=450&amp;START_MA","XIMIZED=FALSE&amp;VAR:CALENDAR=US&amp;VAR:SYMBOL=37183T10&amp;VAR:INDEX=0"}</definedName>
    <definedName name="_5093__FDSAUDITLINK__" localSheetId="6" hidden="1">{"fdsup://directions/FAT Viewer?action=UPDATE&amp;creator=factset&amp;DYN_ARGS=TRUE&amp;DOC_NAME=FAT:FQL_AUDITING_CLIENT_TEMPLATE.FAT&amp;display_string=Audit&amp;VAR:KEY=NOXKNYLONE&amp;VAR:QUERY=RkZfRUJJVERBX0lCKCdMVE1TJywzODc5Mik=&amp;WINDOW=FIRST_POPUP&amp;HEIGHT=450&amp;WIDTH=450&amp;START_MA","XIMIZED=FALSE&amp;VAR:CALENDAR=US&amp;VAR:SYMBOL=37183T10&amp;VAR:INDEX=0"}</definedName>
    <definedName name="_5093__FDSAUDITLINK__" hidden="1">{"fdsup://directions/FAT Viewer?action=UPDATE&amp;creator=factset&amp;DYN_ARGS=TRUE&amp;DOC_NAME=FAT:FQL_AUDITING_CLIENT_TEMPLATE.FAT&amp;display_string=Audit&amp;VAR:KEY=NOXKNYLONE&amp;VAR:QUERY=RkZfRUJJVERBX0lCKCdMVE1TJywzODc5Mik=&amp;WINDOW=FIRST_POPUP&amp;HEIGHT=450&amp;WIDTH=450&amp;START_MA","XIMIZED=FALSE&amp;VAR:CALENDAR=US&amp;VAR:SYMBOL=37183T10&amp;VAR:INDEX=0"}</definedName>
    <definedName name="_5094__FDSAUDITLINK__" localSheetId="6" hidden="1">{"fdsup://directions/FAT Viewer?action=UPDATE&amp;creator=factset&amp;DYN_ARGS=TRUE&amp;DOC_NAME=FAT:FQL_AUDITING_CLIENT_TEMPLATE.FAT&amp;display_string=Audit&amp;VAR:KEY=DKTEXGRYBW&amp;VAR:QUERY=RkZfRUJJVERBX0lCKCdMVE1TJywzODc5MSk=&amp;WINDOW=FIRST_POPUP&amp;HEIGHT=450&amp;WIDTH=450&amp;START_MA","XIMIZED=FALSE&amp;VAR:CALENDAR=US&amp;VAR:SYMBOL=37183T10&amp;VAR:INDEX=0"}</definedName>
    <definedName name="_5094__FDSAUDITLINK__" hidden="1">{"fdsup://directions/FAT Viewer?action=UPDATE&amp;creator=factset&amp;DYN_ARGS=TRUE&amp;DOC_NAME=FAT:FQL_AUDITING_CLIENT_TEMPLATE.FAT&amp;display_string=Audit&amp;VAR:KEY=DKTEXGRYBW&amp;VAR:QUERY=RkZfRUJJVERBX0lCKCdMVE1TJywzODc5MSk=&amp;WINDOW=FIRST_POPUP&amp;HEIGHT=450&amp;WIDTH=450&amp;START_MA","XIMIZED=FALSE&amp;VAR:CALENDAR=US&amp;VAR:SYMBOL=37183T10&amp;VAR:INDEX=0"}</definedName>
    <definedName name="_5095__FDSAUDITLINK__" localSheetId="6" hidden="1">{"fdsup://directions/FAT Viewer?action=UPDATE&amp;creator=factset&amp;DYN_ARGS=TRUE&amp;DOC_NAME=FAT:FQL_AUDITING_CLIENT_TEMPLATE.FAT&amp;display_string=Audit&amp;VAR:KEY=HOTYBMTMPI&amp;VAR:QUERY=RkZfRUJJVERBX0lCKCdMVE1TJywzODc5MCk=&amp;WINDOW=FIRST_POPUP&amp;HEIGHT=450&amp;WIDTH=450&amp;START_MA","XIMIZED=FALSE&amp;VAR:CALENDAR=US&amp;VAR:SYMBOL=37183T10&amp;VAR:INDEX=0"}</definedName>
    <definedName name="_5095__FDSAUDITLINK__" hidden="1">{"fdsup://directions/FAT Viewer?action=UPDATE&amp;creator=factset&amp;DYN_ARGS=TRUE&amp;DOC_NAME=FAT:FQL_AUDITING_CLIENT_TEMPLATE.FAT&amp;display_string=Audit&amp;VAR:KEY=HOTYBMTMPI&amp;VAR:QUERY=RkZfRUJJVERBX0lCKCdMVE1TJywzODc5MCk=&amp;WINDOW=FIRST_POPUP&amp;HEIGHT=450&amp;WIDTH=450&amp;START_MA","XIMIZED=FALSE&amp;VAR:CALENDAR=US&amp;VAR:SYMBOL=37183T10&amp;VAR:INDEX=0"}</definedName>
    <definedName name="_5096__FDSAUDITLINK__" localSheetId="6" hidden="1">{"fdsup://directions/FAT Viewer?action=UPDATE&amp;creator=factset&amp;DYN_ARGS=TRUE&amp;DOC_NAME=FAT:FQL_AUDITING_CLIENT_TEMPLATE.FAT&amp;display_string=Audit&amp;VAR:KEY=LSTCRALYVO&amp;VAR:QUERY=RkZfRUJJVERBX0lCKCdMVE1TJywzODc4OSk=&amp;WINDOW=FIRST_POPUP&amp;HEIGHT=450&amp;WIDTH=450&amp;START_MA","XIMIZED=FALSE&amp;VAR:CALENDAR=US&amp;VAR:SYMBOL=37183T10&amp;VAR:INDEX=0"}</definedName>
    <definedName name="_5096__FDSAUDITLINK__" hidden="1">{"fdsup://directions/FAT Viewer?action=UPDATE&amp;creator=factset&amp;DYN_ARGS=TRUE&amp;DOC_NAME=FAT:FQL_AUDITING_CLIENT_TEMPLATE.FAT&amp;display_string=Audit&amp;VAR:KEY=LSTCRALYVO&amp;VAR:QUERY=RkZfRUJJVERBX0lCKCdMVE1TJywzODc4OSk=&amp;WINDOW=FIRST_POPUP&amp;HEIGHT=450&amp;WIDTH=450&amp;START_MA","XIMIZED=FALSE&amp;VAR:CALENDAR=US&amp;VAR:SYMBOL=37183T10&amp;VAR:INDEX=0"}</definedName>
    <definedName name="_5097__FDSAUDITLINK__" localSheetId="6" hidden="1">{"fdsup://directions/FAT Viewer?action=UPDATE&amp;creator=factset&amp;DYN_ARGS=TRUE&amp;DOC_NAME=FAT:FQL_AUDITING_CLIENT_TEMPLATE.FAT&amp;display_string=Audit&amp;VAR:KEY=PATMHCXCVQ&amp;VAR:QUERY=RkZfRUJJVERBX0lCKCdMVE1TJywzODc4OCk=&amp;WINDOW=FIRST_POPUP&amp;HEIGHT=450&amp;WIDTH=450&amp;START_MA","XIMIZED=FALSE&amp;VAR:CALENDAR=US&amp;VAR:SYMBOL=37183T10&amp;VAR:INDEX=0"}</definedName>
    <definedName name="_5097__FDSAUDITLINK__" hidden="1">{"fdsup://directions/FAT Viewer?action=UPDATE&amp;creator=factset&amp;DYN_ARGS=TRUE&amp;DOC_NAME=FAT:FQL_AUDITING_CLIENT_TEMPLATE.FAT&amp;display_string=Audit&amp;VAR:KEY=PATMHCXCVQ&amp;VAR:QUERY=RkZfRUJJVERBX0lCKCdMVE1TJywzODc4OCk=&amp;WINDOW=FIRST_POPUP&amp;HEIGHT=450&amp;WIDTH=450&amp;START_MA","XIMIZED=FALSE&amp;VAR:CALENDAR=US&amp;VAR:SYMBOL=37183T10&amp;VAR:INDEX=0"}</definedName>
    <definedName name="_5098__FDSAUDITLINK__" localSheetId="6" hidden="1">{"fdsup://directions/FAT Viewer?action=UPDATE&amp;creator=factset&amp;DYN_ARGS=TRUE&amp;DOC_NAME=FAT:FQL_AUDITING_CLIENT_TEMPLATE.FAT&amp;display_string=Audit&amp;VAR:KEY=ZOTWDSFUHO&amp;VAR:QUERY=RkZfRUJJVERBX0lCKCdMVE1TJywzODc4Nyk=&amp;WINDOW=FIRST_POPUP&amp;HEIGHT=450&amp;WIDTH=450&amp;START_MA","XIMIZED=FALSE&amp;VAR:CALENDAR=US&amp;VAR:SYMBOL=37183T10&amp;VAR:INDEX=0"}</definedName>
    <definedName name="_5098__FDSAUDITLINK__" hidden="1">{"fdsup://directions/FAT Viewer?action=UPDATE&amp;creator=factset&amp;DYN_ARGS=TRUE&amp;DOC_NAME=FAT:FQL_AUDITING_CLIENT_TEMPLATE.FAT&amp;display_string=Audit&amp;VAR:KEY=ZOTWDSFUHO&amp;VAR:QUERY=RkZfRUJJVERBX0lCKCdMVE1TJywzODc4Nyk=&amp;WINDOW=FIRST_POPUP&amp;HEIGHT=450&amp;WIDTH=450&amp;START_MA","XIMIZED=FALSE&amp;VAR:CALENDAR=US&amp;VAR:SYMBOL=37183T10&amp;VAR:INDEX=0"}</definedName>
    <definedName name="_5099__FDSAUDITLINK__" localSheetId="6" hidden="1">{"fdsup://directions/FAT Viewer?action=UPDATE&amp;creator=factset&amp;DYN_ARGS=TRUE&amp;DOC_NAME=FAT:FQL_AUDITING_CLIENT_TEMPLATE.FAT&amp;display_string=Audit&amp;VAR:KEY=ROHAPYDCJS&amp;VAR:QUERY=RkZfRUJJVERBX0lCKCdMVE1TJywzODc4Nik=&amp;WINDOW=FIRST_POPUP&amp;HEIGHT=450&amp;WIDTH=450&amp;START_MA","XIMIZED=FALSE&amp;VAR:CALENDAR=US&amp;VAR:SYMBOL=37183T10&amp;VAR:INDEX=0"}</definedName>
    <definedName name="_5099__FDSAUDITLINK__" hidden="1">{"fdsup://directions/FAT Viewer?action=UPDATE&amp;creator=factset&amp;DYN_ARGS=TRUE&amp;DOC_NAME=FAT:FQL_AUDITING_CLIENT_TEMPLATE.FAT&amp;display_string=Audit&amp;VAR:KEY=ROHAPYDCJS&amp;VAR:QUERY=RkZfRUJJVERBX0lCKCdMVE1TJywzODc4Nik=&amp;WINDOW=FIRST_POPUP&amp;HEIGHT=450&amp;WIDTH=450&amp;START_MA","XIMIZED=FALSE&amp;VAR:CALENDAR=US&amp;VAR:SYMBOL=37183T10&amp;VAR:INDEX=0"}</definedName>
    <definedName name="_51__FDSAUDITLINK__" localSheetId="6" hidden="1">{"fdsup://directions/FAT Viewer?action=UPDATE&amp;creator=factset&amp;DYN_ARGS=TRUE&amp;DOC_NAME=FAT:FQL_AUDITING_CLIENT_TEMPLATE.FAT&amp;display_string=Audit&amp;VAR:KEY=OJMHAPCNEL&amp;VAR:QUERY=QVZHKENTRl9ORVRfSU5DKEFOTiwwRlksLTZGWSxZKSkgLyAoQVZHKENTRl9BU1NFVFMoQU5OLDBGWSwtNkZZL","EZZKSkgLSBBVkcoQ1NGX0lOVEFORyhBTk4sMCwtNkZZLEZZKSkp&amp;WINDOW=FIRST_POPUP&amp;HEIGHT=450&amp;WIDTH=450&amp;START_MAXIMIZED=FALSE&amp;VAR:CALENDAR=US&amp;VAR:SYMBOL=50060P10"}</definedName>
    <definedName name="_51__FDSAUDITLINK__" hidden="1">{"fdsup://directions/FAT Viewer?action=UPDATE&amp;creator=factset&amp;DYN_ARGS=TRUE&amp;DOC_NAME=FAT:FQL_AUDITING_CLIENT_TEMPLATE.FAT&amp;display_string=Audit&amp;VAR:KEY=OJMHAPCNEL&amp;VAR:QUERY=QVZHKENTRl9ORVRfSU5DKEFOTiwwRlksLTZGWSxZKSkgLyAoQVZHKENTRl9BU1NFVFMoQU5OLDBGWSwtNkZZL","EZZKSkgLSBBVkcoQ1NGX0lOVEFORyhBTk4sMCwtNkZZLEZZKSkp&amp;WINDOW=FIRST_POPUP&amp;HEIGHT=450&amp;WIDTH=450&amp;START_MAXIMIZED=FALSE&amp;VAR:CALENDAR=US&amp;VAR:SYMBOL=50060P10"}</definedName>
    <definedName name="_510__FDSAUDITLINK__" localSheetId="6" hidden="1">{"fdsup://directions/FAT%20Viewer?VAR:PED=LTM&amp;VAR:AUDIT_MODE=SUMMARY&amp;VAR:PERIOD=FIXED&amp;VAR:AUDIT_ID=00000117&amp;VAR:DATE=20080929&amp;action=UPDATE&amp;creator=factset&amp;DOC_NAME=FAT:FMA_audit_SUMMARY.fat&amp;DISPLAY_STRING=Display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0__FDSAUDITLINK__" hidden="1">{"fdsup://directions/FAT%20Viewer?VAR:PED=LTM&amp;VAR:AUDIT_MODE=SUMMARY&amp;VAR:PERIOD=FIXED&amp;VAR:AUDIT_ID=00000117&amp;VAR:DATE=20080929&amp;action=UPDATE&amp;creator=factset&amp;DOC_NAME=FAT:FMA_audit_SUMMARY.fat&amp;DISPLAY_STRING=Display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00__FDSAUDITLINK__" localSheetId="6" hidden="1">{"fdsup://directions/FAT Viewer?action=UPDATE&amp;creator=factset&amp;DYN_ARGS=TRUE&amp;DOC_NAME=FAT:FQL_AUDITING_CLIENT_TEMPLATE.FAT&amp;display_string=Audit&amp;VAR:KEY=HSNSZAZULG&amp;VAR:QUERY=RkZfRUJJVERBX0lCKCdMVE1TJywzODc4NSk=&amp;WINDOW=FIRST_POPUP&amp;HEIGHT=450&amp;WIDTH=450&amp;START_MA","XIMIZED=FALSE&amp;VAR:CALENDAR=US&amp;VAR:SYMBOL=37183T10&amp;VAR:INDEX=0"}</definedName>
    <definedName name="_5100__FDSAUDITLINK__" hidden="1">{"fdsup://directions/FAT Viewer?action=UPDATE&amp;creator=factset&amp;DYN_ARGS=TRUE&amp;DOC_NAME=FAT:FQL_AUDITING_CLIENT_TEMPLATE.FAT&amp;display_string=Audit&amp;VAR:KEY=HSNSZAZULG&amp;VAR:QUERY=RkZfRUJJVERBX0lCKCdMVE1TJywzODc4NSk=&amp;WINDOW=FIRST_POPUP&amp;HEIGHT=450&amp;WIDTH=450&amp;START_MA","XIMIZED=FALSE&amp;VAR:CALENDAR=US&amp;VAR:SYMBOL=37183T10&amp;VAR:INDEX=0"}</definedName>
    <definedName name="_5101__FDSAUDITLINK__" localSheetId="6" hidden="1">{"fdsup://directions/FAT Viewer?action=UPDATE&amp;creator=factset&amp;DYN_ARGS=TRUE&amp;DOC_NAME=FAT:FQL_AUDITING_CLIENT_TEMPLATE.FAT&amp;display_string=Audit&amp;VAR:KEY=BQRELUNQXG&amp;VAR:QUERY=RkZfRUJJVERBX0lCKCdMVE1TJywzODc4NCk=&amp;WINDOW=FIRST_POPUP&amp;HEIGHT=450&amp;WIDTH=450&amp;START_MA","XIMIZED=FALSE&amp;VAR:CALENDAR=US&amp;VAR:SYMBOL=37183T10&amp;VAR:INDEX=0"}</definedName>
    <definedName name="_5101__FDSAUDITLINK__" hidden="1">{"fdsup://directions/FAT Viewer?action=UPDATE&amp;creator=factset&amp;DYN_ARGS=TRUE&amp;DOC_NAME=FAT:FQL_AUDITING_CLIENT_TEMPLATE.FAT&amp;display_string=Audit&amp;VAR:KEY=BQRELUNQXG&amp;VAR:QUERY=RkZfRUJJVERBX0lCKCdMVE1TJywzODc4NCk=&amp;WINDOW=FIRST_POPUP&amp;HEIGHT=450&amp;WIDTH=450&amp;START_MA","XIMIZED=FALSE&amp;VAR:CALENDAR=US&amp;VAR:SYMBOL=37183T10&amp;VAR:INDEX=0"}</definedName>
    <definedName name="_5102__FDSAUDITLINK__" localSheetId="6" hidden="1">{"fdsup://directions/FAT Viewer?action=UPDATE&amp;creator=factset&amp;DYN_ARGS=TRUE&amp;DOC_NAME=FAT:FQL_AUDITING_CLIENT_TEMPLATE.FAT&amp;display_string=Audit&amp;VAR:KEY=HQHGRMTCTM&amp;VAR:QUERY=RkZfRUJJVERBX0lCKCdMVE1TJywzODc4Myk=&amp;WINDOW=FIRST_POPUP&amp;HEIGHT=450&amp;WIDTH=450&amp;START_MA","XIMIZED=FALSE&amp;VAR:CALENDAR=US&amp;VAR:SYMBOL=37183T10&amp;VAR:INDEX=0"}</definedName>
    <definedName name="_5102__FDSAUDITLINK__" hidden="1">{"fdsup://directions/FAT Viewer?action=UPDATE&amp;creator=factset&amp;DYN_ARGS=TRUE&amp;DOC_NAME=FAT:FQL_AUDITING_CLIENT_TEMPLATE.FAT&amp;display_string=Audit&amp;VAR:KEY=HQHGRMTCTM&amp;VAR:QUERY=RkZfRUJJVERBX0lCKCdMVE1TJywzODc4Myk=&amp;WINDOW=FIRST_POPUP&amp;HEIGHT=450&amp;WIDTH=450&amp;START_MA","XIMIZED=FALSE&amp;VAR:CALENDAR=US&amp;VAR:SYMBOL=37183T10&amp;VAR:INDEX=0"}</definedName>
    <definedName name="_5103__FDSAUDITLINK__" localSheetId="6" hidden="1">{"fdsup://directions/FAT Viewer?action=UPDATE&amp;creator=factset&amp;DYN_ARGS=TRUE&amp;DOC_NAME=FAT:FQL_AUDITING_CLIENT_TEMPLATE.FAT&amp;display_string=Audit&amp;VAR:KEY=HUFKTITEPW&amp;VAR:QUERY=RkZfRUJJVERBX0lCKCdMVE1TJywzODc4Mik=&amp;WINDOW=FIRST_POPUP&amp;HEIGHT=450&amp;WIDTH=450&amp;START_MA","XIMIZED=FALSE&amp;VAR:CALENDAR=US&amp;VAR:SYMBOL=37183T10&amp;VAR:INDEX=0"}</definedName>
    <definedName name="_5103__FDSAUDITLINK__" hidden="1">{"fdsup://directions/FAT Viewer?action=UPDATE&amp;creator=factset&amp;DYN_ARGS=TRUE&amp;DOC_NAME=FAT:FQL_AUDITING_CLIENT_TEMPLATE.FAT&amp;display_string=Audit&amp;VAR:KEY=HUFKTITEPW&amp;VAR:QUERY=RkZfRUJJVERBX0lCKCdMVE1TJywzODc4Mik=&amp;WINDOW=FIRST_POPUP&amp;HEIGHT=450&amp;WIDTH=450&amp;START_MA","XIMIZED=FALSE&amp;VAR:CALENDAR=US&amp;VAR:SYMBOL=37183T10&amp;VAR:INDEX=0"}</definedName>
    <definedName name="_5104__FDSAUDITLINK__" localSheetId="6" hidden="1">{"fdsup://directions/FAT Viewer?action=UPDATE&amp;creator=factset&amp;DYN_ARGS=TRUE&amp;DOC_NAME=FAT:FQL_AUDITING_CLIENT_TEMPLATE.FAT&amp;display_string=Audit&amp;VAR:KEY=LOBIBYXSLQ&amp;VAR:QUERY=RkZfRUJJVERBX0lCKCdMVE1TJywzODc4MSk=&amp;WINDOW=FIRST_POPUP&amp;HEIGHT=450&amp;WIDTH=450&amp;START_MA","XIMIZED=FALSE&amp;VAR:CALENDAR=US&amp;VAR:SYMBOL=37183T10&amp;VAR:INDEX=0"}</definedName>
    <definedName name="_5104__FDSAUDITLINK__" hidden="1">{"fdsup://directions/FAT Viewer?action=UPDATE&amp;creator=factset&amp;DYN_ARGS=TRUE&amp;DOC_NAME=FAT:FQL_AUDITING_CLIENT_TEMPLATE.FAT&amp;display_string=Audit&amp;VAR:KEY=LOBIBYXSLQ&amp;VAR:QUERY=RkZfRUJJVERBX0lCKCdMVE1TJywzODc4MSk=&amp;WINDOW=FIRST_POPUP&amp;HEIGHT=450&amp;WIDTH=450&amp;START_MA","XIMIZED=FALSE&amp;VAR:CALENDAR=US&amp;VAR:SYMBOL=37183T10&amp;VAR:INDEX=0"}</definedName>
    <definedName name="_5105__FDSAUDITLINK__" localSheetId="6" hidden="1">{"fdsup://directions/FAT Viewer?action=UPDATE&amp;creator=factset&amp;DYN_ARGS=TRUE&amp;DOC_NAME=FAT:FQL_AUDITING_CLIENT_TEMPLATE.FAT&amp;display_string=Audit&amp;VAR:KEY=FCNORWTYXE&amp;VAR:QUERY=RkZfRUJJVERBX0lCKCdMVE1TJywzODc4MCk=&amp;WINDOW=FIRST_POPUP&amp;HEIGHT=450&amp;WIDTH=450&amp;START_MA","XIMIZED=FALSE&amp;VAR:CALENDAR=US&amp;VAR:SYMBOL=37183T10&amp;VAR:INDEX=0"}</definedName>
    <definedName name="_5105__FDSAUDITLINK__" hidden="1">{"fdsup://directions/FAT Viewer?action=UPDATE&amp;creator=factset&amp;DYN_ARGS=TRUE&amp;DOC_NAME=FAT:FQL_AUDITING_CLIENT_TEMPLATE.FAT&amp;display_string=Audit&amp;VAR:KEY=FCNORWTYXE&amp;VAR:QUERY=RkZfRUJJVERBX0lCKCdMVE1TJywzODc4MCk=&amp;WINDOW=FIRST_POPUP&amp;HEIGHT=450&amp;WIDTH=450&amp;START_MA","XIMIZED=FALSE&amp;VAR:CALENDAR=US&amp;VAR:SYMBOL=37183T10&amp;VAR:INDEX=0"}</definedName>
    <definedName name="_5106__FDSAUDITLINK__" localSheetId="6" hidden="1">{"fdsup://directions/FAT Viewer?action=UPDATE&amp;creator=factset&amp;DYN_ARGS=TRUE&amp;DOC_NAME=FAT:FQL_AUDITING_CLIENT_TEMPLATE.FAT&amp;display_string=Audit&amp;VAR:KEY=LCRMRALKXI&amp;VAR:QUERY=RkZfRUJJVERBX0lCKCdMVE1TJywzODc3OSk=&amp;WINDOW=FIRST_POPUP&amp;HEIGHT=450&amp;WIDTH=450&amp;START_MA","XIMIZED=FALSE&amp;VAR:CALENDAR=US&amp;VAR:SYMBOL=37183T10&amp;VAR:INDEX=0"}</definedName>
    <definedName name="_5106__FDSAUDITLINK__" hidden="1">{"fdsup://directions/FAT Viewer?action=UPDATE&amp;creator=factset&amp;DYN_ARGS=TRUE&amp;DOC_NAME=FAT:FQL_AUDITING_CLIENT_TEMPLATE.FAT&amp;display_string=Audit&amp;VAR:KEY=LCRMRALKXI&amp;VAR:QUERY=RkZfRUJJVERBX0lCKCdMVE1TJywzODc3OSk=&amp;WINDOW=FIRST_POPUP&amp;HEIGHT=450&amp;WIDTH=450&amp;START_MA","XIMIZED=FALSE&amp;VAR:CALENDAR=US&amp;VAR:SYMBOL=37183T10&amp;VAR:INDEX=0"}</definedName>
    <definedName name="_5107__FDSAUDITLINK__" localSheetId="6" hidden="1">{"fdsup://directions/FAT Viewer?action=UPDATE&amp;creator=factset&amp;DYN_ARGS=TRUE&amp;DOC_NAME=FAT:FQL_AUDITING_CLIENT_TEMPLATE.FAT&amp;display_string=Audit&amp;VAR:KEY=ZYNEHWVQHK&amp;VAR:QUERY=RkZfRUJJVERBX0lCKCdMVE1TJywzODc3OCk=&amp;WINDOW=FIRST_POPUP&amp;HEIGHT=450&amp;WIDTH=450&amp;START_MA","XIMIZED=FALSE&amp;VAR:CALENDAR=US&amp;VAR:SYMBOL=37183T10&amp;VAR:INDEX=0"}</definedName>
    <definedName name="_5107__FDSAUDITLINK__" hidden="1">{"fdsup://directions/FAT Viewer?action=UPDATE&amp;creator=factset&amp;DYN_ARGS=TRUE&amp;DOC_NAME=FAT:FQL_AUDITING_CLIENT_TEMPLATE.FAT&amp;display_string=Audit&amp;VAR:KEY=ZYNEHWVQHK&amp;VAR:QUERY=RkZfRUJJVERBX0lCKCdMVE1TJywzODc3OCk=&amp;WINDOW=FIRST_POPUP&amp;HEIGHT=450&amp;WIDTH=450&amp;START_MA","XIMIZED=FALSE&amp;VAR:CALENDAR=US&amp;VAR:SYMBOL=37183T10&amp;VAR:INDEX=0"}</definedName>
    <definedName name="_5108__FDSAUDITLINK__" localSheetId="6" hidden="1">{"fdsup://directions/FAT Viewer?action=UPDATE&amp;creator=factset&amp;DYN_ARGS=TRUE&amp;DOC_NAME=FAT:FQL_AUDITING_CLIENT_TEMPLATE.FAT&amp;display_string=Audit&amp;VAR:KEY=DWJOVMBWXW&amp;VAR:QUERY=RkZfRUJJVERBX0lCKCdMVE1TJywzODc3Nyk=&amp;WINDOW=FIRST_POPUP&amp;HEIGHT=450&amp;WIDTH=450&amp;START_MA","XIMIZED=FALSE&amp;VAR:CALENDAR=US&amp;VAR:SYMBOL=37183T10&amp;VAR:INDEX=0"}</definedName>
    <definedName name="_5108__FDSAUDITLINK__" hidden="1">{"fdsup://directions/FAT Viewer?action=UPDATE&amp;creator=factset&amp;DYN_ARGS=TRUE&amp;DOC_NAME=FAT:FQL_AUDITING_CLIENT_TEMPLATE.FAT&amp;display_string=Audit&amp;VAR:KEY=DWJOVMBWXW&amp;VAR:QUERY=RkZfRUJJVERBX0lCKCdMVE1TJywzODc3Nyk=&amp;WINDOW=FIRST_POPUP&amp;HEIGHT=450&amp;WIDTH=450&amp;START_MA","XIMIZED=FALSE&amp;VAR:CALENDAR=US&amp;VAR:SYMBOL=37183T10&amp;VAR:INDEX=0"}</definedName>
    <definedName name="_5109__FDSAUDITLINK__" localSheetId="6" hidden="1">{"fdsup://directions/FAT Viewer?action=UPDATE&amp;creator=factset&amp;DYN_ARGS=TRUE&amp;DOC_NAME=FAT:FQL_AUDITING_CLIENT_TEMPLATE.FAT&amp;display_string=Audit&amp;VAR:KEY=DKFSNWXAZC&amp;VAR:QUERY=RkZfRUJJVERBX0lCKCdMVE1TJywzODc3Nik=&amp;WINDOW=FIRST_POPUP&amp;HEIGHT=450&amp;WIDTH=450&amp;START_MA","XIMIZED=FALSE&amp;VAR:CALENDAR=US&amp;VAR:SYMBOL=37183T10&amp;VAR:INDEX=0"}</definedName>
    <definedName name="_5109__FDSAUDITLINK__" hidden="1">{"fdsup://directions/FAT Viewer?action=UPDATE&amp;creator=factset&amp;DYN_ARGS=TRUE&amp;DOC_NAME=FAT:FQL_AUDITING_CLIENT_TEMPLATE.FAT&amp;display_string=Audit&amp;VAR:KEY=DKFSNWXAZC&amp;VAR:QUERY=RkZfRUJJVERBX0lCKCdMVE1TJywzODc3Nik=&amp;WINDOW=FIRST_POPUP&amp;HEIGHT=450&amp;WIDTH=450&amp;START_MA","XIMIZED=FALSE&amp;VAR:CALENDAR=US&amp;VAR:SYMBOL=37183T10&amp;VAR:INDEX=0"}</definedName>
    <definedName name="_511__FDSAUDITLINK__" localSheetId="6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1__FDSAUDITLINK__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10__FDSAUDITLINK__" localSheetId="6" hidden="1">{"fdsup://directions/FAT Viewer?action=UPDATE&amp;creator=factset&amp;DYN_ARGS=TRUE&amp;DOC_NAME=FAT:FQL_AUDITING_CLIENT_TEMPLATE.FAT&amp;display_string=Audit&amp;VAR:KEY=TMXSDEFILO&amp;VAR:QUERY=RkZfRUJJVERBX0lCKCdMVE1TJywzODc3NSk=&amp;WINDOW=FIRST_POPUP&amp;HEIGHT=450&amp;WIDTH=450&amp;START_MA","XIMIZED=FALSE&amp;VAR:CALENDAR=US&amp;VAR:SYMBOL=37183T10&amp;VAR:INDEX=0"}</definedName>
    <definedName name="_5110__FDSAUDITLINK__" hidden="1">{"fdsup://directions/FAT Viewer?action=UPDATE&amp;creator=factset&amp;DYN_ARGS=TRUE&amp;DOC_NAME=FAT:FQL_AUDITING_CLIENT_TEMPLATE.FAT&amp;display_string=Audit&amp;VAR:KEY=TMXSDEFILO&amp;VAR:QUERY=RkZfRUJJVERBX0lCKCdMVE1TJywzODc3NSk=&amp;WINDOW=FIRST_POPUP&amp;HEIGHT=450&amp;WIDTH=450&amp;START_MA","XIMIZED=FALSE&amp;VAR:CALENDAR=US&amp;VAR:SYMBOL=37183T10&amp;VAR:INDEX=0"}</definedName>
    <definedName name="_5111__FDSAUDITLINK__" localSheetId="6" hidden="1">{"fdsup://directions/FAT Viewer?action=UPDATE&amp;creator=factset&amp;DYN_ARGS=TRUE&amp;DOC_NAME=FAT:FQL_AUDITING_CLIENT_TEMPLATE.FAT&amp;display_string=Audit&amp;VAR:KEY=VQTYLQNEFI&amp;VAR:QUERY=RkZfRUJJVERBX0lCKCdMVE1TJywzODc3NCk=&amp;WINDOW=FIRST_POPUP&amp;HEIGHT=450&amp;WIDTH=450&amp;START_MA","XIMIZED=FALSE&amp;VAR:CALENDAR=US&amp;VAR:SYMBOL=37183T10&amp;VAR:INDEX=0"}</definedName>
    <definedName name="_5111__FDSAUDITLINK__" hidden="1">{"fdsup://directions/FAT Viewer?action=UPDATE&amp;creator=factset&amp;DYN_ARGS=TRUE&amp;DOC_NAME=FAT:FQL_AUDITING_CLIENT_TEMPLATE.FAT&amp;display_string=Audit&amp;VAR:KEY=VQTYLQNEFI&amp;VAR:QUERY=RkZfRUJJVERBX0lCKCdMVE1TJywzODc3NCk=&amp;WINDOW=FIRST_POPUP&amp;HEIGHT=450&amp;WIDTH=450&amp;START_MA","XIMIZED=FALSE&amp;VAR:CALENDAR=US&amp;VAR:SYMBOL=37183T10&amp;VAR:INDEX=0"}</definedName>
    <definedName name="_5112__FDSAUDITLINK__" localSheetId="6" hidden="1">{"fdsup://directions/FAT Viewer?action=UPDATE&amp;creator=factset&amp;DYN_ARGS=TRUE&amp;DOC_NAME=FAT:FQL_AUDITING_CLIENT_TEMPLATE.FAT&amp;display_string=Audit&amp;VAR:KEY=VCVEHUJGZE&amp;VAR:QUERY=RkZfRUJJVERBX0lCKCdMVE1TJywzODc3Myk=&amp;WINDOW=FIRST_POPUP&amp;HEIGHT=450&amp;WIDTH=450&amp;START_MA","XIMIZED=FALSE&amp;VAR:CALENDAR=US&amp;VAR:SYMBOL=37183T10&amp;VAR:INDEX=0"}</definedName>
    <definedName name="_5112__FDSAUDITLINK__" hidden="1">{"fdsup://directions/FAT Viewer?action=UPDATE&amp;creator=factset&amp;DYN_ARGS=TRUE&amp;DOC_NAME=FAT:FQL_AUDITING_CLIENT_TEMPLATE.FAT&amp;display_string=Audit&amp;VAR:KEY=VCVEHUJGZE&amp;VAR:QUERY=RkZfRUJJVERBX0lCKCdMVE1TJywzODc3Myk=&amp;WINDOW=FIRST_POPUP&amp;HEIGHT=450&amp;WIDTH=450&amp;START_MA","XIMIZED=FALSE&amp;VAR:CALENDAR=US&amp;VAR:SYMBOL=37183T10&amp;VAR:INDEX=0"}</definedName>
    <definedName name="_5113__FDSAUDITLINK__" localSheetId="6" hidden="1">{"fdsup://directions/FAT Viewer?action=UPDATE&amp;creator=factset&amp;DYN_ARGS=TRUE&amp;DOC_NAME=FAT:FQL_AUDITING_CLIENT_TEMPLATE.FAT&amp;display_string=Audit&amp;VAR:KEY=VYTSRCRSXS&amp;VAR:QUERY=RkZfRUJJVERBX0lCKCdMVE1TJywzODc3Mik=&amp;WINDOW=FIRST_POPUP&amp;HEIGHT=450&amp;WIDTH=450&amp;START_MA","XIMIZED=FALSE&amp;VAR:CALENDAR=US&amp;VAR:SYMBOL=37183T10&amp;VAR:INDEX=0"}</definedName>
    <definedName name="_5113__FDSAUDITLINK__" hidden="1">{"fdsup://directions/FAT Viewer?action=UPDATE&amp;creator=factset&amp;DYN_ARGS=TRUE&amp;DOC_NAME=FAT:FQL_AUDITING_CLIENT_TEMPLATE.FAT&amp;display_string=Audit&amp;VAR:KEY=VYTSRCRSXS&amp;VAR:QUERY=RkZfRUJJVERBX0lCKCdMVE1TJywzODc3Mik=&amp;WINDOW=FIRST_POPUP&amp;HEIGHT=450&amp;WIDTH=450&amp;START_MA","XIMIZED=FALSE&amp;VAR:CALENDAR=US&amp;VAR:SYMBOL=37183T10&amp;VAR:INDEX=0"}</definedName>
    <definedName name="_5114__FDSAUDITLINK__" localSheetId="6" hidden="1">{"fdsup://directions/FAT Viewer?action=UPDATE&amp;creator=factset&amp;DYN_ARGS=TRUE&amp;DOC_NAME=FAT:FQL_AUDITING_CLIENT_TEMPLATE.FAT&amp;display_string=Audit&amp;VAR:KEY=FMFCDEVABC&amp;VAR:QUERY=RkZfRUJJVERBX0lCKCdMVE1TJywzODc3MSk=&amp;WINDOW=FIRST_POPUP&amp;HEIGHT=450&amp;WIDTH=450&amp;START_MA","XIMIZED=FALSE&amp;VAR:CALENDAR=US&amp;VAR:SYMBOL=37183T10&amp;VAR:INDEX=0"}</definedName>
    <definedName name="_5114__FDSAUDITLINK__" hidden="1">{"fdsup://directions/FAT Viewer?action=UPDATE&amp;creator=factset&amp;DYN_ARGS=TRUE&amp;DOC_NAME=FAT:FQL_AUDITING_CLIENT_TEMPLATE.FAT&amp;display_string=Audit&amp;VAR:KEY=FMFCDEVABC&amp;VAR:QUERY=RkZfRUJJVERBX0lCKCdMVE1TJywzODc3MSk=&amp;WINDOW=FIRST_POPUP&amp;HEIGHT=450&amp;WIDTH=450&amp;START_MA","XIMIZED=FALSE&amp;VAR:CALENDAR=US&amp;VAR:SYMBOL=37183T10&amp;VAR:INDEX=0"}</definedName>
    <definedName name="_5115__FDSAUDITLINK__" localSheetId="6" hidden="1">{"fdsup://directions/FAT Viewer?action=UPDATE&amp;creator=factset&amp;DYN_ARGS=TRUE&amp;DOC_NAME=FAT:FQL_AUDITING_CLIENT_TEMPLATE.FAT&amp;display_string=Audit&amp;VAR:KEY=BUBOVKRGRI&amp;VAR:QUERY=RkZfRUJJVERBX0lCKCdMVE1TJywzODc3MCk=&amp;WINDOW=FIRST_POPUP&amp;HEIGHT=450&amp;WIDTH=450&amp;START_MA","XIMIZED=FALSE&amp;VAR:CALENDAR=US&amp;VAR:SYMBOL=37183T10&amp;VAR:INDEX=0"}</definedName>
    <definedName name="_5115__FDSAUDITLINK__" hidden="1">{"fdsup://directions/FAT Viewer?action=UPDATE&amp;creator=factset&amp;DYN_ARGS=TRUE&amp;DOC_NAME=FAT:FQL_AUDITING_CLIENT_TEMPLATE.FAT&amp;display_string=Audit&amp;VAR:KEY=BUBOVKRGRI&amp;VAR:QUERY=RkZfRUJJVERBX0lCKCdMVE1TJywzODc3MCk=&amp;WINDOW=FIRST_POPUP&amp;HEIGHT=450&amp;WIDTH=450&amp;START_MA","XIMIZED=FALSE&amp;VAR:CALENDAR=US&amp;VAR:SYMBOL=37183T10&amp;VAR:INDEX=0"}</definedName>
    <definedName name="_5116__FDSAUDITLINK__" localSheetId="6" hidden="1">{"fdsup://directions/FAT Viewer?action=UPDATE&amp;creator=factset&amp;DYN_ARGS=TRUE&amp;DOC_NAME=FAT:FQL_AUDITING_CLIENT_TEMPLATE.FAT&amp;display_string=Audit&amp;VAR:KEY=REJKNOVWPY&amp;VAR:QUERY=RkZfRUJJVERBX0lCKCdMVE1TJywzODc2OSk=&amp;WINDOW=FIRST_POPUP&amp;HEIGHT=450&amp;WIDTH=450&amp;START_MA","XIMIZED=FALSE&amp;VAR:CALENDAR=US&amp;VAR:SYMBOL=37183T10&amp;VAR:INDEX=0"}</definedName>
    <definedName name="_5116__FDSAUDITLINK__" hidden="1">{"fdsup://directions/FAT Viewer?action=UPDATE&amp;creator=factset&amp;DYN_ARGS=TRUE&amp;DOC_NAME=FAT:FQL_AUDITING_CLIENT_TEMPLATE.FAT&amp;display_string=Audit&amp;VAR:KEY=REJKNOVWPY&amp;VAR:QUERY=RkZfRUJJVERBX0lCKCdMVE1TJywzODc2OSk=&amp;WINDOW=FIRST_POPUP&amp;HEIGHT=450&amp;WIDTH=450&amp;START_MA","XIMIZED=FALSE&amp;VAR:CALENDAR=US&amp;VAR:SYMBOL=37183T10&amp;VAR:INDEX=0"}</definedName>
    <definedName name="_5117__FDSAUDITLINK__" localSheetId="6" hidden="1">{"fdsup://directions/FAT Viewer?action=UPDATE&amp;creator=factset&amp;DYN_ARGS=TRUE&amp;DOC_NAME=FAT:FQL_AUDITING_CLIENT_TEMPLATE.FAT&amp;display_string=Audit&amp;VAR:KEY=LENSLKBAFY&amp;VAR:QUERY=RkZfRUJJVERBX0lCKCdMVE1TJywzODc2OCk=&amp;WINDOW=FIRST_POPUP&amp;HEIGHT=450&amp;WIDTH=450&amp;START_MA","XIMIZED=FALSE&amp;VAR:CALENDAR=US&amp;VAR:SYMBOL=37183T10&amp;VAR:INDEX=0"}</definedName>
    <definedName name="_5117__FDSAUDITLINK__" hidden="1">{"fdsup://directions/FAT Viewer?action=UPDATE&amp;creator=factset&amp;DYN_ARGS=TRUE&amp;DOC_NAME=FAT:FQL_AUDITING_CLIENT_TEMPLATE.FAT&amp;display_string=Audit&amp;VAR:KEY=LENSLKBAFY&amp;VAR:QUERY=RkZfRUJJVERBX0lCKCdMVE1TJywzODc2OCk=&amp;WINDOW=FIRST_POPUP&amp;HEIGHT=450&amp;WIDTH=450&amp;START_MA","XIMIZED=FALSE&amp;VAR:CALENDAR=US&amp;VAR:SYMBOL=37183T10&amp;VAR:INDEX=0"}</definedName>
    <definedName name="_5118__FDSAUDITLINK__" localSheetId="6" hidden="1">{"fdsup://directions/FAT Viewer?action=UPDATE&amp;creator=factset&amp;DYN_ARGS=TRUE&amp;DOC_NAME=FAT:FQL_AUDITING_CLIENT_TEMPLATE.FAT&amp;display_string=Audit&amp;VAR:KEY=VCROJWRGTS&amp;VAR:QUERY=RkZfRUJJVERBX0lCKCdMVE1TJywzODc2Nyk=&amp;WINDOW=FIRST_POPUP&amp;HEIGHT=450&amp;WIDTH=450&amp;START_MA","XIMIZED=FALSE&amp;VAR:CALENDAR=US&amp;VAR:SYMBOL=37183T10&amp;VAR:INDEX=0"}</definedName>
    <definedName name="_5118__FDSAUDITLINK__" hidden="1">{"fdsup://directions/FAT Viewer?action=UPDATE&amp;creator=factset&amp;DYN_ARGS=TRUE&amp;DOC_NAME=FAT:FQL_AUDITING_CLIENT_TEMPLATE.FAT&amp;display_string=Audit&amp;VAR:KEY=VCROJWRGTS&amp;VAR:QUERY=RkZfRUJJVERBX0lCKCdMVE1TJywzODc2Nyk=&amp;WINDOW=FIRST_POPUP&amp;HEIGHT=450&amp;WIDTH=450&amp;START_MA","XIMIZED=FALSE&amp;VAR:CALENDAR=US&amp;VAR:SYMBOL=37183T10&amp;VAR:INDEX=0"}</definedName>
    <definedName name="_5119__FDSAUDITLINK__" localSheetId="6" hidden="1">{"fdsup://directions/FAT Viewer?action=UPDATE&amp;creator=factset&amp;DYN_ARGS=TRUE&amp;DOC_NAME=FAT:FQL_AUDITING_CLIENT_TEMPLATE.FAT&amp;display_string=Audit&amp;VAR:KEY=RGPGJSFCHC&amp;VAR:QUERY=RkZfRUJJVERBX0lCKCdMVE1TJywzODc2Nik=&amp;WINDOW=FIRST_POPUP&amp;HEIGHT=450&amp;WIDTH=450&amp;START_MA","XIMIZED=FALSE&amp;VAR:CALENDAR=US&amp;VAR:SYMBOL=37183T10&amp;VAR:INDEX=0"}</definedName>
    <definedName name="_5119__FDSAUDITLINK__" hidden="1">{"fdsup://directions/FAT Viewer?action=UPDATE&amp;creator=factset&amp;DYN_ARGS=TRUE&amp;DOC_NAME=FAT:FQL_AUDITING_CLIENT_TEMPLATE.FAT&amp;display_string=Audit&amp;VAR:KEY=RGPGJSFCHC&amp;VAR:QUERY=RkZfRUJJVERBX0lCKCdMVE1TJywzODc2Nik=&amp;WINDOW=FIRST_POPUP&amp;HEIGHT=450&amp;WIDTH=450&amp;START_MA","XIMIZED=FALSE&amp;VAR:CALENDAR=US&amp;VAR:SYMBOL=37183T10&amp;VAR:INDEX=0"}</definedName>
    <definedName name="_512__FDSAUDITLINK__" localSheetId="6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2__FDSAUDITLINK__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20__FDSAUDITLINK__" localSheetId="6" hidden="1">{"fdsup://directions/FAT Viewer?action=UPDATE&amp;creator=factset&amp;DYN_ARGS=TRUE&amp;DOC_NAME=FAT:FQL_AUDITING_CLIENT_TEMPLATE.FAT&amp;display_string=Audit&amp;VAR:KEY=NGJINSPCXM&amp;VAR:QUERY=RkZfRUJJVERBX0lCKCdMVE1TJywzODc2NSk=&amp;WINDOW=FIRST_POPUP&amp;HEIGHT=450&amp;WIDTH=450&amp;START_MA","XIMIZED=FALSE&amp;VAR:CALENDAR=US&amp;VAR:SYMBOL=37183T10&amp;VAR:INDEX=0"}</definedName>
    <definedName name="_5120__FDSAUDITLINK__" hidden="1">{"fdsup://directions/FAT Viewer?action=UPDATE&amp;creator=factset&amp;DYN_ARGS=TRUE&amp;DOC_NAME=FAT:FQL_AUDITING_CLIENT_TEMPLATE.FAT&amp;display_string=Audit&amp;VAR:KEY=NGJINSPCXM&amp;VAR:QUERY=RkZfRUJJVERBX0lCKCdMVE1TJywzODc2NSk=&amp;WINDOW=FIRST_POPUP&amp;HEIGHT=450&amp;WIDTH=450&amp;START_MA","XIMIZED=FALSE&amp;VAR:CALENDAR=US&amp;VAR:SYMBOL=37183T10&amp;VAR:INDEX=0"}</definedName>
    <definedName name="_5121__FDSAUDITLINK__" localSheetId="6" hidden="1">{"fdsup://directions/FAT Viewer?action=UPDATE&amp;creator=factset&amp;DYN_ARGS=TRUE&amp;DOC_NAME=FAT:FQL_AUDITING_CLIENT_TEMPLATE.FAT&amp;display_string=Audit&amp;VAR:KEY=FAVANSTWXC&amp;VAR:QUERY=RkZfRUJJVERBX0lCKCdMVE1TJywzODc2NCk=&amp;WINDOW=FIRST_POPUP&amp;HEIGHT=450&amp;WIDTH=450&amp;START_MA","XIMIZED=FALSE&amp;VAR:CALENDAR=US&amp;VAR:SYMBOL=37183T10&amp;VAR:INDEX=0"}</definedName>
    <definedName name="_5121__FDSAUDITLINK__" hidden="1">{"fdsup://directions/FAT Viewer?action=UPDATE&amp;creator=factset&amp;DYN_ARGS=TRUE&amp;DOC_NAME=FAT:FQL_AUDITING_CLIENT_TEMPLATE.FAT&amp;display_string=Audit&amp;VAR:KEY=FAVANSTWXC&amp;VAR:QUERY=RkZfRUJJVERBX0lCKCdMVE1TJywzODc2NCk=&amp;WINDOW=FIRST_POPUP&amp;HEIGHT=450&amp;WIDTH=450&amp;START_MA","XIMIZED=FALSE&amp;VAR:CALENDAR=US&amp;VAR:SYMBOL=37183T10&amp;VAR:INDEX=0"}</definedName>
    <definedName name="_5122__FDSAUDITLINK__" localSheetId="6" hidden="1">{"fdsup://directions/FAT Viewer?action=UPDATE&amp;creator=factset&amp;DYN_ARGS=TRUE&amp;DOC_NAME=FAT:FQL_AUDITING_CLIENT_TEMPLATE.FAT&amp;display_string=Audit&amp;VAR:KEY=NKHMXCZYXG&amp;VAR:QUERY=RkZfRUJJVERBX0lCKCdMVE1TJywzODc2Myk=&amp;WINDOW=FIRST_POPUP&amp;HEIGHT=450&amp;WIDTH=450&amp;START_MA","XIMIZED=FALSE&amp;VAR:CALENDAR=US&amp;VAR:SYMBOL=37183T10&amp;VAR:INDEX=0"}</definedName>
    <definedName name="_5122__FDSAUDITLINK__" hidden="1">{"fdsup://directions/FAT Viewer?action=UPDATE&amp;creator=factset&amp;DYN_ARGS=TRUE&amp;DOC_NAME=FAT:FQL_AUDITING_CLIENT_TEMPLATE.FAT&amp;display_string=Audit&amp;VAR:KEY=NKHMXCZYXG&amp;VAR:QUERY=RkZfRUJJVERBX0lCKCdMVE1TJywzODc2Myk=&amp;WINDOW=FIRST_POPUP&amp;HEIGHT=450&amp;WIDTH=450&amp;START_MA","XIMIZED=FALSE&amp;VAR:CALENDAR=US&amp;VAR:SYMBOL=37183T10&amp;VAR:INDEX=0"}</definedName>
    <definedName name="_5123__FDSAUDITLINK__" localSheetId="6" hidden="1">{"fdsup://directions/FAT Viewer?action=UPDATE&amp;creator=factset&amp;DYN_ARGS=TRUE&amp;DOC_NAME=FAT:FQL_AUDITING_CLIENT_TEMPLATE.FAT&amp;display_string=Audit&amp;VAR:KEY=HCDIDYVOBS&amp;VAR:QUERY=RkZfRUJJVERBX0lCKCdMVE1TJywzODc2Mik=&amp;WINDOW=FIRST_POPUP&amp;HEIGHT=450&amp;WIDTH=450&amp;START_MA","XIMIZED=FALSE&amp;VAR:CALENDAR=US&amp;VAR:SYMBOL=37183T10&amp;VAR:INDEX=0"}</definedName>
    <definedName name="_5123__FDSAUDITLINK__" hidden="1">{"fdsup://directions/FAT Viewer?action=UPDATE&amp;creator=factset&amp;DYN_ARGS=TRUE&amp;DOC_NAME=FAT:FQL_AUDITING_CLIENT_TEMPLATE.FAT&amp;display_string=Audit&amp;VAR:KEY=HCDIDYVOBS&amp;VAR:QUERY=RkZfRUJJVERBX0lCKCdMVE1TJywzODc2Mik=&amp;WINDOW=FIRST_POPUP&amp;HEIGHT=450&amp;WIDTH=450&amp;START_MA","XIMIZED=FALSE&amp;VAR:CALENDAR=US&amp;VAR:SYMBOL=37183T10&amp;VAR:INDEX=0"}</definedName>
    <definedName name="_5124__FDSAUDITLINK__" localSheetId="6" hidden="1">{"fdsup://directions/FAT Viewer?action=UPDATE&amp;creator=factset&amp;DYN_ARGS=TRUE&amp;DOC_NAME=FAT:FQL_AUDITING_CLIENT_TEMPLATE.FAT&amp;display_string=Audit&amp;VAR:KEY=FKJATKFIBA&amp;VAR:QUERY=RkZfRUJJVERBX0lCKCdMVE1TJywzODc2MSk=&amp;WINDOW=FIRST_POPUP&amp;HEIGHT=450&amp;WIDTH=450&amp;START_MA","XIMIZED=FALSE&amp;VAR:CALENDAR=US&amp;VAR:SYMBOL=37183T10&amp;VAR:INDEX=0"}</definedName>
    <definedName name="_5124__FDSAUDITLINK__" hidden="1">{"fdsup://directions/FAT Viewer?action=UPDATE&amp;creator=factset&amp;DYN_ARGS=TRUE&amp;DOC_NAME=FAT:FQL_AUDITING_CLIENT_TEMPLATE.FAT&amp;display_string=Audit&amp;VAR:KEY=FKJATKFIBA&amp;VAR:QUERY=RkZfRUJJVERBX0lCKCdMVE1TJywzODc2MSk=&amp;WINDOW=FIRST_POPUP&amp;HEIGHT=450&amp;WIDTH=450&amp;START_MA","XIMIZED=FALSE&amp;VAR:CALENDAR=US&amp;VAR:SYMBOL=37183T10&amp;VAR:INDEX=0"}</definedName>
    <definedName name="_5125__FDSAUDITLINK__" localSheetId="6" hidden="1">{"fdsup://directions/FAT Viewer?action=UPDATE&amp;creator=factset&amp;DYN_ARGS=TRUE&amp;DOC_NAME=FAT:FQL_AUDITING_CLIENT_TEMPLATE.FAT&amp;display_string=Audit&amp;VAR:KEY=ZUBOHEXOBG&amp;VAR:QUERY=RkZfRUJJVERBX0lCKCdMVE1TJywzODc2MCk=&amp;WINDOW=FIRST_POPUP&amp;HEIGHT=450&amp;WIDTH=450&amp;START_MA","XIMIZED=FALSE&amp;VAR:CALENDAR=US&amp;VAR:SYMBOL=37183T10&amp;VAR:INDEX=0"}</definedName>
    <definedName name="_5125__FDSAUDITLINK__" hidden="1">{"fdsup://directions/FAT Viewer?action=UPDATE&amp;creator=factset&amp;DYN_ARGS=TRUE&amp;DOC_NAME=FAT:FQL_AUDITING_CLIENT_TEMPLATE.FAT&amp;display_string=Audit&amp;VAR:KEY=ZUBOHEXOBG&amp;VAR:QUERY=RkZfRUJJVERBX0lCKCdMVE1TJywzODc2MCk=&amp;WINDOW=FIRST_POPUP&amp;HEIGHT=450&amp;WIDTH=450&amp;START_MA","XIMIZED=FALSE&amp;VAR:CALENDAR=US&amp;VAR:SYMBOL=37183T10&amp;VAR:INDEX=0"}</definedName>
    <definedName name="_5126__FDSAUDITLINK__" localSheetId="6" hidden="1">{"fdsup://directions/FAT Viewer?action=UPDATE&amp;creator=factset&amp;DYN_ARGS=TRUE&amp;DOC_NAME=FAT:FQL_AUDITING_CLIENT_TEMPLATE.FAT&amp;display_string=Audit&amp;VAR:KEY=NIBQFEXYPW&amp;VAR:QUERY=RkZfRUJJVERBX0lCKCdMVE1TJywzODc1OSk=&amp;WINDOW=FIRST_POPUP&amp;HEIGHT=450&amp;WIDTH=450&amp;START_MA","XIMIZED=FALSE&amp;VAR:CALENDAR=US&amp;VAR:SYMBOL=37183T10&amp;VAR:INDEX=0"}</definedName>
    <definedName name="_5126__FDSAUDITLINK__" hidden="1">{"fdsup://directions/FAT Viewer?action=UPDATE&amp;creator=factset&amp;DYN_ARGS=TRUE&amp;DOC_NAME=FAT:FQL_AUDITING_CLIENT_TEMPLATE.FAT&amp;display_string=Audit&amp;VAR:KEY=NIBQFEXYPW&amp;VAR:QUERY=RkZfRUJJVERBX0lCKCdMVE1TJywzODc1OSk=&amp;WINDOW=FIRST_POPUP&amp;HEIGHT=450&amp;WIDTH=450&amp;START_MA","XIMIZED=FALSE&amp;VAR:CALENDAR=US&amp;VAR:SYMBOL=37183T10&amp;VAR:INDEX=0"}</definedName>
    <definedName name="_5127__FDSAUDITLINK__" localSheetId="6" hidden="1">{"fdsup://directions/FAT Viewer?action=UPDATE&amp;creator=factset&amp;DYN_ARGS=TRUE&amp;DOC_NAME=FAT:FQL_AUDITING_CLIENT_TEMPLATE.FAT&amp;display_string=Audit&amp;VAR:KEY=LGTCBUDIDY&amp;VAR:QUERY=RkZfRUJJVERBX0lCKCdMVE1TJywzODc1OCk=&amp;WINDOW=FIRST_POPUP&amp;HEIGHT=450&amp;WIDTH=450&amp;START_MA","XIMIZED=FALSE&amp;VAR:CALENDAR=US&amp;VAR:SYMBOL=37183T10&amp;VAR:INDEX=0"}</definedName>
    <definedName name="_5127__FDSAUDITLINK__" hidden="1">{"fdsup://directions/FAT Viewer?action=UPDATE&amp;creator=factset&amp;DYN_ARGS=TRUE&amp;DOC_NAME=FAT:FQL_AUDITING_CLIENT_TEMPLATE.FAT&amp;display_string=Audit&amp;VAR:KEY=LGTCBUDIDY&amp;VAR:QUERY=RkZfRUJJVERBX0lCKCdMVE1TJywzODc1OCk=&amp;WINDOW=FIRST_POPUP&amp;HEIGHT=450&amp;WIDTH=450&amp;START_MA","XIMIZED=FALSE&amp;VAR:CALENDAR=US&amp;VAR:SYMBOL=37183T10&amp;VAR:INDEX=0"}</definedName>
    <definedName name="_5128__FDSAUDITLINK__" localSheetId="6" hidden="1">{"fdsup://directions/FAT Viewer?action=UPDATE&amp;creator=factset&amp;DYN_ARGS=TRUE&amp;DOC_NAME=FAT:FQL_AUDITING_CLIENT_TEMPLATE.FAT&amp;display_string=Audit&amp;VAR:KEY=JORSFOBWDW&amp;VAR:QUERY=RkZfRUJJVERBX0lCKCdMVE1TJywzODc1Nyk=&amp;WINDOW=FIRST_POPUP&amp;HEIGHT=450&amp;WIDTH=450&amp;START_MA","XIMIZED=FALSE&amp;VAR:CALENDAR=US&amp;VAR:SYMBOL=37183T10&amp;VAR:INDEX=0"}</definedName>
    <definedName name="_5128__FDSAUDITLINK__" hidden="1">{"fdsup://directions/FAT Viewer?action=UPDATE&amp;creator=factset&amp;DYN_ARGS=TRUE&amp;DOC_NAME=FAT:FQL_AUDITING_CLIENT_TEMPLATE.FAT&amp;display_string=Audit&amp;VAR:KEY=JORSFOBWDW&amp;VAR:QUERY=RkZfRUJJVERBX0lCKCdMVE1TJywzODc1Nyk=&amp;WINDOW=FIRST_POPUP&amp;HEIGHT=450&amp;WIDTH=450&amp;START_MA","XIMIZED=FALSE&amp;VAR:CALENDAR=US&amp;VAR:SYMBOL=37183T10&amp;VAR:INDEX=0"}</definedName>
    <definedName name="_5129__FDSAUDITLINK__" localSheetId="6" hidden="1">{"fdsup://directions/FAT Viewer?action=UPDATE&amp;creator=factset&amp;DYN_ARGS=TRUE&amp;DOC_NAME=FAT:FQL_AUDITING_CLIENT_TEMPLATE.FAT&amp;display_string=Audit&amp;VAR:KEY=HKXUJCXULS&amp;VAR:QUERY=RkZfRUJJVERBX0lCKCdMVE1TJywzODc1Nik=&amp;WINDOW=FIRST_POPUP&amp;HEIGHT=450&amp;WIDTH=450&amp;START_MA","XIMIZED=FALSE&amp;VAR:CALENDAR=US&amp;VAR:SYMBOL=37183T10&amp;VAR:INDEX=0"}</definedName>
    <definedName name="_5129__FDSAUDITLINK__" hidden="1">{"fdsup://directions/FAT Viewer?action=UPDATE&amp;creator=factset&amp;DYN_ARGS=TRUE&amp;DOC_NAME=FAT:FQL_AUDITING_CLIENT_TEMPLATE.FAT&amp;display_string=Audit&amp;VAR:KEY=HKXUJCXULS&amp;VAR:QUERY=RkZfRUJJVERBX0lCKCdMVE1TJywzODc1Nik=&amp;WINDOW=FIRST_POPUP&amp;HEIGHT=450&amp;WIDTH=450&amp;START_MA","XIMIZED=FALSE&amp;VAR:CALENDAR=US&amp;VAR:SYMBOL=37183T10&amp;VAR:INDEX=0"}</definedName>
    <definedName name="_513__FDSAUDITLINK__" localSheetId="6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3__FDSAUDITLINK__" hidden="1">{"fdsup://directions/FAT%20Viewer?VAR:PED=LTM&amp;VAR:AUDIT_MODE=SUMMARY&amp;VAR:PERIOD=FIXED&amp;VAR:AUDIT_ID=00000117&amp;VAR:DATE=20080926&amp;action=UPDATE&amp;creator=factset&amp;DOC_NAME=FAT:FMA_audit_SUMMARY.fat&amp;DISPLAY_STRING=Display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30__FDSAUDITLINK__" localSheetId="6" hidden="1">{"fdsup://directions/FAT Viewer?action=UPDATE&amp;creator=factset&amp;DYN_ARGS=TRUE&amp;DOC_NAME=FAT:FQL_AUDITING_CLIENT_TEMPLATE.FAT&amp;display_string=Audit&amp;VAR:KEY=RSJGDINGNA&amp;VAR:QUERY=RkZfRUJJVERBX0lCKCdMVE1TJywzODc1NSk=&amp;WINDOW=FIRST_POPUP&amp;HEIGHT=450&amp;WIDTH=450&amp;START_MA","XIMIZED=FALSE&amp;VAR:CALENDAR=US&amp;VAR:SYMBOL=37183T10&amp;VAR:INDEX=0"}</definedName>
    <definedName name="_5130__FDSAUDITLINK__" hidden="1">{"fdsup://directions/FAT Viewer?action=UPDATE&amp;creator=factset&amp;DYN_ARGS=TRUE&amp;DOC_NAME=FAT:FQL_AUDITING_CLIENT_TEMPLATE.FAT&amp;display_string=Audit&amp;VAR:KEY=RSJGDINGNA&amp;VAR:QUERY=RkZfRUJJVERBX0lCKCdMVE1TJywzODc1NSk=&amp;WINDOW=FIRST_POPUP&amp;HEIGHT=450&amp;WIDTH=450&amp;START_MA","XIMIZED=FALSE&amp;VAR:CALENDAR=US&amp;VAR:SYMBOL=37183T10&amp;VAR:INDEX=0"}</definedName>
    <definedName name="_5131__FDSAUDITLINK__" localSheetId="6" hidden="1">{"fdsup://directions/FAT Viewer?action=UPDATE&amp;creator=factset&amp;DYN_ARGS=TRUE&amp;DOC_NAME=FAT:FQL_AUDITING_CLIENT_TEMPLATE.FAT&amp;display_string=Audit&amp;VAR:KEY=VCXCJSRCXA&amp;VAR:QUERY=RkZfRUJJVERBX0lCKCdMVE1TJywzODc1NCk=&amp;WINDOW=FIRST_POPUP&amp;HEIGHT=450&amp;WIDTH=450&amp;START_MA","XIMIZED=FALSE&amp;VAR:CALENDAR=US&amp;VAR:SYMBOL=37183T10&amp;VAR:INDEX=0"}</definedName>
    <definedName name="_5131__FDSAUDITLINK__" hidden="1">{"fdsup://directions/FAT Viewer?action=UPDATE&amp;creator=factset&amp;DYN_ARGS=TRUE&amp;DOC_NAME=FAT:FQL_AUDITING_CLIENT_TEMPLATE.FAT&amp;display_string=Audit&amp;VAR:KEY=VCXCJSRCXA&amp;VAR:QUERY=RkZfRUJJVERBX0lCKCdMVE1TJywzODc1NCk=&amp;WINDOW=FIRST_POPUP&amp;HEIGHT=450&amp;WIDTH=450&amp;START_MA","XIMIZED=FALSE&amp;VAR:CALENDAR=US&amp;VAR:SYMBOL=37183T10&amp;VAR:INDEX=0"}</definedName>
    <definedName name="_5132__FDSAUDITLINK__" localSheetId="6" hidden="1">{"fdsup://directions/FAT Viewer?action=UPDATE&amp;creator=factset&amp;DYN_ARGS=TRUE&amp;DOC_NAME=FAT:FQL_AUDITING_CLIENT_TEMPLATE.FAT&amp;display_string=Audit&amp;VAR:KEY=HYHKPMPUNC&amp;VAR:QUERY=RkZfRUJJVERBX0lCKCdMVE1TJywzODc1Myk=&amp;WINDOW=FIRST_POPUP&amp;HEIGHT=450&amp;WIDTH=450&amp;START_MA","XIMIZED=FALSE&amp;VAR:CALENDAR=US&amp;VAR:SYMBOL=37183T10&amp;VAR:INDEX=0"}</definedName>
    <definedName name="_5132__FDSAUDITLINK__" hidden="1">{"fdsup://directions/FAT Viewer?action=UPDATE&amp;creator=factset&amp;DYN_ARGS=TRUE&amp;DOC_NAME=FAT:FQL_AUDITING_CLIENT_TEMPLATE.FAT&amp;display_string=Audit&amp;VAR:KEY=HYHKPMPUNC&amp;VAR:QUERY=RkZfRUJJVERBX0lCKCdMVE1TJywzODc1Myk=&amp;WINDOW=FIRST_POPUP&amp;HEIGHT=450&amp;WIDTH=450&amp;START_MA","XIMIZED=FALSE&amp;VAR:CALENDAR=US&amp;VAR:SYMBOL=37183T10&amp;VAR:INDEX=0"}</definedName>
    <definedName name="_5133__FDSAUDITLINK__" localSheetId="6" hidden="1">{"fdsup://directions/FAT Viewer?action=UPDATE&amp;creator=factset&amp;DYN_ARGS=TRUE&amp;DOC_NAME=FAT:FQL_AUDITING_CLIENT_TEMPLATE.FAT&amp;display_string=Audit&amp;VAR:KEY=HIHAPSHWBA&amp;VAR:QUERY=RkZfRUJJVERBX0lCKCdMVE1TJywzODc1Mik=&amp;WINDOW=FIRST_POPUP&amp;HEIGHT=450&amp;WIDTH=450&amp;START_MA","XIMIZED=FALSE&amp;VAR:CALENDAR=US&amp;VAR:SYMBOL=37183T10&amp;VAR:INDEX=0"}</definedName>
    <definedName name="_5133__FDSAUDITLINK__" hidden="1">{"fdsup://directions/FAT Viewer?action=UPDATE&amp;creator=factset&amp;DYN_ARGS=TRUE&amp;DOC_NAME=FAT:FQL_AUDITING_CLIENT_TEMPLATE.FAT&amp;display_string=Audit&amp;VAR:KEY=HIHAPSHWBA&amp;VAR:QUERY=RkZfRUJJVERBX0lCKCdMVE1TJywzODc1Mik=&amp;WINDOW=FIRST_POPUP&amp;HEIGHT=450&amp;WIDTH=450&amp;START_MA","XIMIZED=FALSE&amp;VAR:CALENDAR=US&amp;VAR:SYMBOL=37183T10&amp;VAR:INDEX=0"}</definedName>
    <definedName name="_5134__FDSAUDITLINK__" localSheetId="6" hidden="1">{"fdsup://directions/FAT Viewer?action=UPDATE&amp;creator=factset&amp;DYN_ARGS=TRUE&amp;DOC_NAME=FAT:FQL_AUDITING_CLIENT_TEMPLATE.FAT&amp;display_string=Audit&amp;VAR:KEY=DANSLIBGZG&amp;VAR:QUERY=RkZfRUJJVERBX0lCKCdMVE1TJywzODc1MSk=&amp;WINDOW=FIRST_POPUP&amp;HEIGHT=450&amp;WIDTH=450&amp;START_MA","XIMIZED=FALSE&amp;VAR:CALENDAR=US&amp;VAR:SYMBOL=37183T10&amp;VAR:INDEX=0"}</definedName>
    <definedName name="_5134__FDSAUDITLINK__" hidden="1">{"fdsup://directions/FAT Viewer?action=UPDATE&amp;creator=factset&amp;DYN_ARGS=TRUE&amp;DOC_NAME=FAT:FQL_AUDITING_CLIENT_TEMPLATE.FAT&amp;display_string=Audit&amp;VAR:KEY=DANSLIBGZG&amp;VAR:QUERY=RkZfRUJJVERBX0lCKCdMVE1TJywzODc1MSk=&amp;WINDOW=FIRST_POPUP&amp;HEIGHT=450&amp;WIDTH=450&amp;START_MA","XIMIZED=FALSE&amp;VAR:CALENDAR=US&amp;VAR:SYMBOL=37183T10&amp;VAR:INDEX=0"}</definedName>
    <definedName name="_5135__FDSAUDITLINK__" localSheetId="6" hidden="1">{"fdsup://directions/FAT Viewer?action=UPDATE&amp;creator=factset&amp;DYN_ARGS=TRUE&amp;DOC_NAME=FAT:FQL_AUDITING_CLIENT_TEMPLATE.FAT&amp;display_string=Audit&amp;VAR:KEY=XATCZANKZM&amp;VAR:QUERY=RkZfRUJJVERBX0lCKCdMVE1TJywzODc1MCk=&amp;WINDOW=FIRST_POPUP&amp;HEIGHT=450&amp;WIDTH=450&amp;START_MA","XIMIZED=FALSE&amp;VAR:CALENDAR=US&amp;VAR:SYMBOL=37183T10&amp;VAR:INDEX=0"}</definedName>
    <definedName name="_5135__FDSAUDITLINK__" hidden="1">{"fdsup://directions/FAT Viewer?action=UPDATE&amp;creator=factset&amp;DYN_ARGS=TRUE&amp;DOC_NAME=FAT:FQL_AUDITING_CLIENT_TEMPLATE.FAT&amp;display_string=Audit&amp;VAR:KEY=XATCZANKZM&amp;VAR:QUERY=RkZfRUJJVERBX0lCKCdMVE1TJywzODc1MCk=&amp;WINDOW=FIRST_POPUP&amp;HEIGHT=450&amp;WIDTH=450&amp;START_MA","XIMIZED=FALSE&amp;VAR:CALENDAR=US&amp;VAR:SYMBOL=37183T10&amp;VAR:INDEX=0"}</definedName>
    <definedName name="_5136__FDSAUDITLINK__" localSheetId="6" hidden="1">{"fdsup://directions/FAT Viewer?action=UPDATE&amp;creator=factset&amp;DYN_ARGS=TRUE&amp;DOC_NAME=FAT:FQL_AUDITING_CLIENT_TEMPLATE.FAT&amp;display_string=Audit&amp;VAR:KEY=TQVEXCJQDA&amp;VAR:QUERY=RkZfRUJJVERBX0lCKCdMVE1TJywzODc0OSk=&amp;WINDOW=FIRST_POPUP&amp;HEIGHT=450&amp;WIDTH=450&amp;START_MA","XIMIZED=FALSE&amp;VAR:CALENDAR=US&amp;VAR:SYMBOL=37183T10&amp;VAR:INDEX=0"}</definedName>
    <definedName name="_5136__FDSAUDITLINK__" hidden="1">{"fdsup://directions/FAT Viewer?action=UPDATE&amp;creator=factset&amp;DYN_ARGS=TRUE&amp;DOC_NAME=FAT:FQL_AUDITING_CLIENT_TEMPLATE.FAT&amp;display_string=Audit&amp;VAR:KEY=TQVEXCJQDA&amp;VAR:QUERY=RkZfRUJJVERBX0lCKCdMVE1TJywzODc0OSk=&amp;WINDOW=FIRST_POPUP&amp;HEIGHT=450&amp;WIDTH=450&amp;START_MA","XIMIZED=FALSE&amp;VAR:CALENDAR=US&amp;VAR:SYMBOL=37183T10&amp;VAR:INDEX=0"}</definedName>
    <definedName name="_5137__FDSAUDITLINK__" localSheetId="6" hidden="1">{"fdsup://directions/FAT Viewer?action=UPDATE&amp;creator=factset&amp;DYN_ARGS=TRUE&amp;DOC_NAME=FAT:FQL_AUDITING_CLIENT_TEMPLATE.FAT&amp;display_string=Audit&amp;VAR:KEY=BIJEREXADW&amp;VAR:QUERY=RkZfRUJJVERBX0lCKCdMVE1TJywzODc0OCk=&amp;WINDOW=FIRST_POPUP&amp;HEIGHT=450&amp;WIDTH=450&amp;START_MA","XIMIZED=FALSE&amp;VAR:CALENDAR=US&amp;VAR:SYMBOL=37183T10&amp;VAR:INDEX=0"}</definedName>
    <definedName name="_5137__FDSAUDITLINK__" hidden="1">{"fdsup://directions/FAT Viewer?action=UPDATE&amp;creator=factset&amp;DYN_ARGS=TRUE&amp;DOC_NAME=FAT:FQL_AUDITING_CLIENT_TEMPLATE.FAT&amp;display_string=Audit&amp;VAR:KEY=BIJEREXADW&amp;VAR:QUERY=RkZfRUJJVERBX0lCKCdMVE1TJywzODc0OCk=&amp;WINDOW=FIRST_POPUP&amp;HEIGHT=450&amp;WIDTH=450&amp;START_MA","XIMIZED=FALSE&amp;VAR:CALENDAR=US&amp;VAR:SYMBOL=37183T10&amp;VAR:INDEX=0"}</definedName>
    <definedName name="_5138__FDSAUDITLINK__" localSheetId="6" hidden="1">{"fdsup://directions/FAT Viewer?action=UPDATE&amp;creator=factset&amp;DYN_ARGS=TRUE&amp;DOC_NAME=FAT:FQL_AUDITING_CLIENT_TEMPLATE.FAT&amp;display_string=Audit&amp;VAR:KEY=NQLQJCFGRG&amp;VAR:QUERY=RkZfRUJJVERBX0lCKCdMVE1TJywzODc0Nyk=&amp;WINDOW=FIRST_POPUP&amp;HEIGHT=450&amp;WIDTH=450&amp;START_MA","XIMIZED=FALSE&amp;VAR:CALENDAR=US&amp;VAR:SYMBOL=37183T10&amp;VAR:INDEX=0"}</definedName>
    <definedName name="_5138__FDSAUDITLINK__" hidden="1">{"fdsup://directions/FAT Viewer?action=UPDATE&amp;creator=factset&amp;DYN_ARGS=TRUE&amp;DOC_NAME=FAT:FQL_AUDITING_CLIENT_TEMPLATE.FAT&amp;display_string=Audit&amp;VAR:KEY=NQLQJCFGRG&amp;VAR:QUERY=RkZfRUJJVERBX0lCKCdMVE1TJywzODc0Nyk=&amp;WINDOW=FIRST_POPUP&amp;HEIGHT=450&amp;WIDTH=450&amp;START_MA","XIMIZED=FALSE&amp;VAR:CALENDAR=US&amp;VAR:SYMBOL=37183T10&amp;VAR:INDEX=0"}</definedName>
    <definedName name="_5139__FDSAUDITLINK__" localSheetId="6" hidden="1">{"fdsup://directions/FAT Viewer?action=UPDATE&amp;creator=factset&amp;DYN_ARGS=TRUE&amp;DOC_NAME=FAT:FQL_AUDITING_CLIENT_TEMPLATE.FAT&amp;display_string=Audit&amp;VAR:KEY=NCDYXMNKJM&amp;VAR:QUERY=RkZfRUJJVERBX0lCKCdMVE1TJywzODc0Nik=&amp;WINDOW=FIRST_POPUP&amp;HEIGHT=450&amp;WIDTH=450&amp;START_MA","XIMIZED=FALSE&amp;VAR:CALENDAR=US&amp;VAR:SYMBOL=37183T10&amp;VAR:INDEX=0"}</definedName>
    <definedName name="_5139__FDSAUDITLINK__" hidden="1">{"fdsup://directions/FAT Viewer?action=UPDATE&amp;creator=factset&amp;DYN_ARGS=TRUE&amp;DOC_NAME=FAT:FQL_AUDITING_CLIENT_TEMPLATE.FAT&amp;display_string=Audit&amp;VAR:KEY=NCDYXMNKJM&amp;VAR:QUERY=RkZfRUJJVERBX0lCKCdMVE1TJywzODc0Nik=&amp;WINDOW=FIRST_POPUP&amp;HEIGHT=450&amp;WIDTH=450&amp;START_MA","XIMIZED=FALSE&amp;VAR:CALENDAR=US&amp;VAR:SYMBOL=37183T10&amp;VAR:INDEX=0"}</definedName>
    <definedName name="_514__FDSAUDITLINK__" localSheetId="6" hidden="1">{"fdsup://directions/FAT%20Viewer?VAR:PED=LTM&amp;VAR:AUDIT_MODE=SUMMARY&amp;VAR:PERIOD=FIXED&amp;VAR:AUDIT_ID=00000117&amp;VAR:DATE=20080925&amp;action=UPDATE&amp;creator=factset&amp;DOC_NAME=FAT:FMA_audit_SUMMARY.fat&amp;DISPLAY_STRING=Display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4__FDSAUDITLINK__" hidden="1">{"fdsup://directions/FAT%20Viewer?VAR:PED=LTM&amp;VAR:AUDIT_MODE=SUMMARY&amp;VAR:PERIOD=FIXED&amp;VAR:AUDIT_ID=00000117&amp;VAR:DATE=20080925&amp;action=UPDATE&amp;creator=factset&amp;DOC_NAME=FAT:FMA_audit_SUMMARY.fat&amp;DISPLAY_STRING=Display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40__FDSAUDITLINK__" localSheetId="6" hidden="1">{"fdsup://directions/FAT Viewer?action=UPDATE&amp;creator=factset&amp;DYN_ARGS=TRUE&amp;DOC_NAME=FAT:FQL_AUDITING_CLIENT_TEMPLATE.FAT&amp;display_string=Audit&amp;VAR:KEY=LWBILMDEDG&amp;VAR:QUERY=RkZfRUJJVERBX0lCKCdMVE1TJywzODc0NSk=&amp;WINDOW=FIRST_POPUP&amp;HEIGHT=450&amp;WIDTH=450&amp;START_MA","XIMIZED=FALSE&amp;VAR:CALENDAR=US&amp;VAR:SYMBOL=37183T10&amp;VAR:INDEX=0"}</definedName>
    <definedName name="_5140__FDSAUDITLINK__" hidden="1">{"fdsup://directions/FAT Viewer?action=UPDATE&amp;creator=factset&amp;DYN_ARGS=TRUE&amp;DOC_NAME=FAT:FQL_AUDITING_CLIENT_TEMPLATE.FAT&amp;display_string=Audit&amp;VAR:KEY=LWBILMDEDG&amp;VAR:QUERY=RkZfRUJJVERBX0lCKCdMVE1TJywzODc0NSk=&amp;WINDOW=FIRST_POPUP&amp;HEIGHT=450&amp;WIDTH=450&amp;START_MA","XIMIZED=FALSE&amp;VAR:CALENDAR=US&amp;VAR:SYMBOL=37183T10&amp;VAR:INDEX=0"}</definedName>
    <definedName name="_5141__FDSAUDITLINK__" localSheetId="6" hidden="1">{"fdsup://directions/FAT Viewer?action=UPDATE&amp;creator=factset&amp;DYN_ARGS=TRUE&amp;DOC_NAME=FAT:FQL_AUDITING_CLIENT_TEMPLATE.FAT&amp;display_string=Audit&amp;VAR:KEY=XCDKHWZSPG&amp;VAR:QUERY=RkZfRUJJVERBX0lCKCdMVE1TJywzODc0NCk=&amp;WINDOW=FIRST_POPUP&amp;HEIGHT=450&amp;WIDTH=450&amp;START_MA","XIMIZED=FALSE&amp;VAR:CALENDAR=US&amp;VAR:SYMBOL=37183T10&amp;VAR:INDEX=0"}</definedName>
    <definedName name="_5141__FDSAUDITLINK__" hidden="1">{"fdsup://directions/FAT Viewer?action=UPDATE&amp;creator=factset&amp;DYN_ARGS=TRUE&amp;DOC_NAME=FAT:FQL_AUDITING_CLIENT_TEMPLATE.FAT&amp;display_string=Audit&amp;VAR:KEY=XCDKHWZSPG&amp;VAR:QUERY=RkZfRUJJVERBX0lCKCdMVE1TJywzODc0NCk=&amp;WINDOW=FIRST_POPUP&amp;HEIGHT=450&amp;WIDTH=450&amp;START_MA","XIMIZED=FALSE&amp;VAR:CALENDAR=US&amp;VAR:SYMBOL=37183T10&amp;VAR:INDEX=0"}</definedName>
    <definedName name="_5142__FDSAUDITLINK__" localSheetId="6" hidden="1">{"fdsup://directions/FAT Viewer?action=UPDATE&amp;creator=factset&amp;DYN_ARGS=TRUE&amp;DOC_NAME=FAT:FQL_AUDITING_CLIENT_TEMPLATE.FAT&amp;display_string=Audit&amp;VAR:KEY=NMXEHKJGZC&amp;VAR:QUERY=RkZfRUJJVERBX0lCKCdMVE1TJywzODc0Myk=&amp;WINDOW=FIRST_POPUP&amp;HEIGHT=450&amp;WIDTH=450&amp;START_MA","XIMIZED=FALSE&amp;VAR:CALENDAR=US&amp;VAR:SYMBOL=37183T10&amp;VAR:INDEX=0"}</definedName>
    <definedName name="_5142__FDSAUDITLINK__" hidden="1">{"fdsup://directions/FAT Viewer?action=UPDATE&amp;creator=factset&amp;DYN_ARGS=TRUE&amp;DOC_NAME=FAT:FQL_AUDITING_CLIENT_TEMPLATE.FAT&amp;display_string=Audit&amp;VAR:KEY=NMXEHKJGZC&amp;VAR:QUERY=RkZfRUJJVERBX0lCKCdMVE1TJywzODc0Myk=&amp;WINDOW=FIRST_POPUP&amp;HEIGHT=450&amp;WIDTH=450&amp;START_MA","XIMIZED=FALSE&amp;VAR:CALENDAR=US&amp;VAR:SYMBOL=37183T10&amp;VAR:INDEX=0"}</definedName>
    <definedName name="_5143__FDSAUDITLINK__" localSheetId="6" hidden="1">{"fdsup://directions/FAT Viewer?action=UPDATE&amp;creator=factset&amp;DYN_ARGS=TRUE&amp;DOC_NAME=FAT:FQL_AUDITING_CLIENT_TEMPLATE.FAT&amp;display_string=Audit&amp;VAR:KEY=JAPAPCJKFA&amp;VAR:QUERY=RkZfRUJJVERBX0lCKCdMVE1TJywzODc0Mik=&amp;WINDOW=FIRST_POPUP&amp;HEIGHT=450&amp;WIDTH=450&amp;START_MA","XIMIZED=FALSE&amp;VAR:CALENDAR=US&amp;VAR:SYMBOL=37183T10&amp;VAR:INDEX=0"}</definedName>
    <definedName name="_5143__FDSAUDITLINK__" hidden="1">{"fdsup://directions/FAT Viewer?action=UPDATE&amp;creator=factset&amp;DYN_ARGS=TRUE&amp;DOC_NAME=FAT:FQL_AUDITING_CLIENT_TEMPLATE.FAT&amp;display_string=Audit&amp;VAR:KEY=JAPAPCJKFA&amp;VAR:QUERY=RkZfRUJJVERBX0lCKCdMVE1TJywzODc0Mik=&amp;WINDOW=FIRST_POPUP&amp;HEIGHT=450&amp;WIDTH=450&amp;START_MA","XIMIZED=FALSE&amp;VAR:CALENDAR=US&amp;VAR:SYMBOL=37183T10&amp;VAR:INDEX=0"}</definedName>
    <definedName name="_5144__FDSAUDITLINK__" localSheetId="6" hidden="1">{"fdsup://directions/FAT Viewer?action=UPDATE&amp;creator=factset&amp;DYN_ARGS=TRUE&amp;DOC_NAME=FAT:FQL_AUDITING_CLIENT_TEMPLATE.FAT&amp;display_string=Audit&amp;VAR:KEY=HIBOHQRQTO&amp;VAR:QUERY=RkZfRUJJVERBX0lCKCdMVE1TJywzODc0MSk=&amp;WINDOW=FIRST_POPUP&amp;HEIGHT=450&amp;WIDTH=450&amp;START_MA","XIMIZED=FALSE&amp;VAR:CALENDAR=US&amp;VAR:SYMBOL=37183T10&amp;VAR:INDEX=0"}</definedName>
    <definedName name="_5144__FDSAUDITLINK__" hidden="1">{"fdsup://directions/FAT Viewer?action=UPDATE&amp;creator=factset&amp;DYN_ARGS=TRUE&amp;DOC_NAME=FAT:FQL_AUDITING_CLIENT_TEMPLATE.FAT&amp;display_string=Audit&amp;VAR:KEY=HIBOHQRQTO&amp;VAR:QUERY=RkZfRUJJVERBX0lCKCdMVE1TJywzODc0MSk=&amp;WINDOW=FIRST_POPUP&amp;HEIGHT=450&amp;WIDTH=450&amp;START_MA","XIMIZED=FALSE&amp;VAR:CALENDAR=US&amp;VAR:SYMBOL=37183T10&amp;VAR:INDEX=0"}</definedName>
    <definedName name="_5145__FDSAUDITLINK__" localSheetId="6" hidden="1">{"fdsup://directions/FAT Viewer?action=UPDATE&amp;creator=factset&amp;DYN_ARGS=TRUE&amp;DOC_NAME=FAT:FQL_AUDITING_CLIENT_TEMPLATE.FAT&amp;display_string=Audit&amp;VAR:KEY=JEDCTGVSVG&amp;VAR:QUERY=RkZfRUJJVERBX0lCKCdMVE1TJywzODc0MCk=&amp;WINDOW=FIRST_POPUP&amp;HEIGHT=450&amp;WIDTH=450&amp;START_MA","XIMIZED=FALSE&amp;VAR:CALENDAR=US&amp;VAR:SYMBOL=37183T10&amp;VAR:INDEX=0"}</definedName>
    <definedName name="_5145__FDSAUDITLINK__" hidden="1">{"fdsup://directions/FAT Viewer?action=UPDATE&amp;creator=factset&amp;DYN_ARGS=TRUE&amp;DOC_NAME=FAT:FQL_AUDITING_CLIENT_TEMPLATE.FAT&amp;display_string=Audit&amp;VAR:KEY=JEDCTGVSVG&amp;VAR:QUERY=RkZfRUJJVERBX0lCKCdMVE1TJywzODc0MCk=&amp;WINDOW=FIRST_POPUP&amp;HEIGHT=450&amp;WIDTH=450&amp;START_MA","XIMIZED=FALSE&amp;VAR:CALENDAR=US&amp;VAR:SYMBOL=37183T10&amp;VAR:INDEX=0"}</definedName>
    <definedName name="_5146__FDSAUDITLINK__" localSheetId="6" hidden="1">{"fdsup://directions/FAT Viewer?action=UPDATE&amp;creator=factset&amp;DYN_ARGS=TRUE&amp;DOC_NAME=FAT:FQL_AUDITING_CLIENT_TEMPLATE.FAT&amp;display_string=Audit&amp;VAR:KEY=NMJUTENWBI&amp;VAR:QUERY=RkZfRUJJVERBX0lCKCdMVE1TJywzODczOSk=&amp;WINDOW=FIRST_POPUP&amp;HEIGHT=450&amp;WIDTH=450&amp;START_MA","XIMIZED=FALSE&amp;VAR:CALENDAR=US&amp;VAR:SYMBOL=37183T10&amp;VAR:INDEX=0"}</definedName>
    <definedName name="_5146__FDSAUDITLINK__" hidden="1">{"fdsup://directions/FAT Viewer?action=UPDATE&amp;creator=factset&amp;DYN_ARGS=TRUE&amp;DOC_NAME=FAT:FQL_AUDITING_CLIENT_TEMPLATE.FAT&amp;display_string=Audit&amp;VAR:KEY=NMJUTENWBI&amp;VAR:QUERY=RkZfRUJJVERBX0lCKCdMVE1TJywzODczOSk=&amp;WINDOW=FIRST_POPUP&amp;HEIGHT=450&amp;WIDTH=450&amp;START_MA","XIMIZED=FALSE&amp;VAR:CALENDAR=US&amp;VAR:SYMBOL=37183T10&amp;VAR:INDEX=0"}</definedName>
    <definedName name="_5147__FDSAUDITLINK__" localSheetId="6" hidden="1">{"fdsup://directions/FAT Viewer?action=UPDATE&amp;creator=factset&amp;DYN_ARGS=TRUE&amp;DOC_NAME=FAT:FQL_AUDITING_CLIENT_TEMPLATE.FAT&amp;display_string=Audit&amp;VAR:KEY=NIHGHYTSNI&amp;VAR:QUERY=RkZfRUJJVERBX0lCKCdMVE1TJywzODczOCk=&amp;WINDOW=FIRST_POPUP&amp;HEIGHT=450&amp;WIDTH=450&amp;START_MA","XIMIZED=FALSE&amp;VAR:CALENDAR=US&amp;VAR:SYMBOL=37183T10&amp;VAR:INDEX=0"}</definedName>
    <definedName name="_5147__FDSAUDITLINK__" hidden="1">{"fdsup://directions/FAT Viewer?action=UPDATE&amp;creator=factset&amp;DYN_ARGS=TRUE&amp;DOC_NAME=FAT:FQL_AUDITING_CLIENT_TEMPLATE.FAT&amp;display_string=Audit&amp;VAR:KEY=NIHGHYTSNI&amp;VAR:QUERY=RkZfRUJJVERBX0lCKCdMVE1TJywzODczOCk=&amp;WINDOW=FIRST_POPUP&amp;HEIGHT=450&amp;WIDTH=450&amp;START_MA","XIMIZED=FALSE&amp;VAR:CALENDAR=US&amp;VAR:SYMBOL=37183T10&amp;VAR:INDEX=0"}</definedName>
    <definedName name="_5148__FDSAUDITLINK__" localSheetId="6" hidden="1">{"fdsup://directions/FAT Viewer?action=UPDATE&amp;creator=factset&amp;DYN_ARGS=TRUE&amp;DOC_NAME=FAT:FQL_AUDITING_CLIENT_TEMPLATE.FAT&amp;display_string=Audit&amp;VAR:KEY=DAJSZAHKDK&amp;VAR:QUERY=RkZfRUJJVERBX0lCKCdMVE1TJywzODczNyk=&amp;WINDOW=FIRST_POPUP&amp;HEIGHT=450&amp;WIDTH=450&amp;START_MA","XIMIZED=FALSE&amp;VAR:CALENDAR=US&amp;VAR:SYMBOL=37183T10&amp;VAR:INDEX=0"}</definedName>
    <definedName name="_5148__FDSAUDITLINK__" hidden="1">{"fdsup://directions/FAT Viewer?action=UPDATE&amp;creator=factset&amp;DYN_ARGS=TRUE&amp;DOC_NAME=FAT:FQL_AUDITING_CLIENT_TEMPLATE.FAT&amp;display_string=Audit&amp;VAR:KEY=DAJSZAHKDK&amp;VAR:QUERY=RkZfRUJJVERBX0lCKCdMVE1TJywzODczNyk=&amp;WINDOW=FIRST_POPUP&amp;HEIGHT=450&amp;WIDTH=450&amp;START_MA","XIMIZED=FALSE&amp;VAR:CALENDAR=US&amp;VAR:SYMBOL=37183T10&amp;VAR:INDEX=0"}</definedName>
    <definedName name="_5149__FDSAUDITLINK__" localSheetId="6" hidden="1">{"fdsup://directions/FAT Viewer?action=UPDATE&amp;creator=factset&amp;DYN_ARGS=TRUE&amp;DOC_NAME=FAT:FQL_AUDITING_CLIENT_TEMPLATE.FAT&amp;display_string=Audit&amp;VAR:KEY=PSZELYPCZC&amp;VAR:QUERY=RkZfRUJJVERBX0lCKCdMVE1TJywzODczNik=&amp;WINDOW=FIRST_POPUP&amp;HEIGHT=450&amp;WIDTH=450&amp;START_MA","XIMIZED=FALSE&amp;VAR:CALENDAR=US&amp;VAR:SYMBOL=37183T10&amp;VAR:INDEX=0"}</definedName>
    <definedName name="_5149__FDSAUDITLINK__" hidden="1">{"fdsup://directions/FAT Viewer?action=UPDATE&amp;creator=factset&amp;DYN_ARGS=TRUE&amp;DOC_NAME=FAT:FQL_AUDITING_CLIENT_TEMPLATE.FAT&amp;display_string=Audit&amp;VAR:KEY=PSZELYPCZC&amp;VAR:QUERY=RkZfRUJJVERBX0lCKCdMVE1TJywzODczNik=&amp;WINDOW=FIRST_POPUP&amp;HEIGHT=450&amp;WIDTH=450&amp;START_MA","XIMIZED=FALSE&amp;VAR:CALENDAR=US&amp;VAR:SYMBOL=37183T10&amp;VAR:INDEX=0"}</definedName>
    <definedName name="_515__FDSAUDITLINK__" localSheetId="6" hidden="1">{"fdsup://directions/FAT%20Viewer?VAR:PED=LTM&amp;VAR:AUDIT_MODE=SUMMARY&amp;VAR:PERIOD=FIXED&amp;VAR:AUDIT_ID=00000117&amp;VAR:DATE=20080924&amp;action=UPDATE&amp;creator=factset&amp;DOC_NAME=FAT:FMA_audit_SUMMARY.fat&amp;DISPLAY_STRING=Display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5__FDSAUDITLINK__" hidden="1">{"fdsup://directions/FAT%20Viewer?VAR:PED=LTM&amp;VAR:AUDIT_MODE=SUMMARY&amp;VAR:PERIOD=FIXED&amp;VAR:AUDIT_ID=00000117&amp;VAR:DATE=20080924&amp;action=UPDATE&amp;creator=factset&amp;DOC_NAME=FAT:FMA_audit_SUMMARY.fat&amp;DISPLAY_STRING=Display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50__FDSAUDITLINK__" localSheetId="6" hidden="1">{"fdsup://directions/FAT Viewer?action=UPDATE&amp;creator=factset&amp;DYN_ARGS=TRUE&amp;DOC_NAME=FAT:FQL_AUDITING_CLIENT_TEMPLATE.FAT&amp;display_string=Audit&amp;VAR:KEY=JOTEXQJIRS&amp;VAR:QUERY=RkZfRUJJVERBX0lCKCdMVE1TJywzODczNSk=&amp;WINDOW=FIRST_POPUP&amp;HEIGHT=450&amp;WIDTH=450&amp;START_MA","XIMIZED=FALSE&amp;VAR:CALENDAR=US&amp;VAR:SYMBOL=37183T10&amp;VAR:INDEX=0"}</definedName>
    <definedName name="_5150__FDSAUDITLINK__" hidden="1">{"fdsup://directions/FAT Viewer?action=UPDATE&amp;creator=factset&amp;DYN_ARGS=TRUE&amp;DOC_NAME=FAT:FQL_AUDITING_CLIENT_TEMPLATE.FAT&amp;display_string=Audit&amp;VAR:KEY=JOTEXQJIRS&amp;VAR:QUERY=RkZfRUJJVERBX0lCKCdMVE1TJywzODczNSk=&amp;WINDOW=FIRST_POPUP&amp;HEIGHT=450&amp;WIDTH=450&amp;START_MA","XIMIZED=FALSE&amp;VAR:CALENDAR=US&amp;VAR:SYMBOL=37183T10&amp;VAR:INDEX=0"}</definedName>
    <definedName name="_5151__FDSAUDITLINK__" localSheetId="6" hidden="1">{"fdsup://directions/FAT Viewer?action=UPDATE&amp;creator=factset&amp;DYN_ARGS=TRUE&amp;DOC_NAME=FAT:FQL_AUDITING_CLIENT_TEMPLATE.FAT&amp;display_string=Audit&amp;VAR:KEY=FSLCZIDOXA&amp;VAR:QUERY=RkZfRUJJVERBX0lCKCdMVE1TJywzODczNCk=&amp;WINDOW=FIRST_POPUP&amp;HEIGHT=450&amp;WIDTH=450&amp;START_MA","XIMIZED=FALSE&amp;VAR:CALENDAR=US&amp;VAR:SYMBOL=37183T10&amp;VAR:INDEX=0"}</definedName>
    <definedName name="_5151__FDSAUDITLINK__" hidden="1">{"fdsup://directions/FAT Viewer?action=UPDATE&amp;creator=factset&amp;DYN_ARGS=TRUE&amp;DOC_NAME=FAT:FQL_AUDITING_CLIENT_TEMPLATE.FAT&amp;display_string=Audit&amp;VAR:KEY=FSLCZIDOXA&amp;VAR:QUERY=RkZfRUJJVERBX0lCKCdMVE1TJywzODczNCk=&amp;WINDOW=FIRST_POPUP&amp;HEIGHT=450&amp;WIDTH=450&amp;START_MA","XIMIZED=FALSE&amp;VAR:CALENDAR=US&amp;VAR:SYMBOL=37183T10&amp;VAR:INDEX=0"}</definedName>
    <definedName name="_5152__FDSAUDITLINK__" localSheetId="6" hidden="1">{"fdsup://directions/FAT Viewer?action=UPDATE&amp;creator=factset&amp;DYN_ARGS=TRUE&amp;DOC_NAME=FAT:FQL_AUDITING_CLIENT_TEMPLATE.FAT&amp;display_string=Audit&amp;VAR:KEY=PKROTYZYZE&amp;VAR:QUERY=RkZfRUJJVERBX0lCKCdMVE1TJywzODczMyk=&amp;WINDOW=FIRST_POPUP&amp;HEIGHT=450&amp;WIDTH=450&amp;START_MA","XIMIZED=FALSE&amp;VAR:CALENDAR=US&amp;VAR:SYMBOL=37183T10&amp;VAR:INDEX=0"}</definedName>
    <definedName name="_5152__FDSAUDITLINK__" hidden="1">{"fdsup://directions/FAT Viewer?action=UPDATE&amp;creator=factset&amp;DYN_ARGS=TRUE&amp;DOC_NAME=FAT:FQL_AUDITING_CLIENT_TEMPLATE.FAT&amp;display_string=Audit&amp;VAR:KEY=PKROTYZYZE&amp;VAR:QUERY=RkZfRUJJVERBX0lCKCdMVE1TJywzODczMyk=&amp;WINDOW=FIRST_POPUP&amp;HEIGHT=450&amp;WIDTH=450&amp;START_MA","XIMIZED=FALSE&amp;VAR:CALENDAR=US&amp;VAR:SYMBOL=37183T10&amp;VAR:INDEX=0"}</definedName>
    <definedName name="_5153__FDSAUDITLINK__" localSheetId="6" hidden="1">{"fdsup://directions/FAT Viewer?action=UPDATE&amp;creator=factset&amp;DYN_ARGS=TRUE&amp;DOC_NAME=FAT:FQL_AUDITING_CLIENT_TEMPLATE.FAT&amp;display_string=Audit&amp;VAR:KEY=ZMXMDARYHK&amp;VAR:QUERY=RkZfRUJJVERBX0lCKCdMVE1TJywzODczMik=&amp;WINDOW=FIRST_POPUP&amp;HEIGHT=450&amp;WIDTH=450&amp;START_MA","XIMIZED=FALSE&amp;VAR:CALENDAR=US&amp;VAR:SYMBOL=37183T10&amp;VAR:INDEX=0"}</definedName>
    <definedName name="_5153__FDSAUDITLINK__" hidden="1">{"fdsup://directions/FAT Viewer?action=UPDATE&amp;creator=factset&amp;DYN_ARGS=TRUE&amp;DOC_NAME=FAT:FQL_AUDITING_CLIENT_TEMPLATE.FAT&amp;display_string=Audit&amp;VAR:KEY=ZMXMDARYHK&amp;VAR:QUERY=RkZfRUJJVERBX0lCKCdMVE1TJywzODczMik=&amp;WINDOW=FIRST_POPUP&amp;HEIGHT=450&amp;WIDTH=450&amp;START_MA","XIMIZED=FALSE&amp;VAR:CALENDAR=US&amp;VAR:SYMBOL=37183T10&amp;VAR:INDEX=0"}</definedName>
    <definedName name="_5154__FDSAUDITLINK__" localSheetId="6" hidden="1">{"fdsup://directions/FAT Viewer?action=UPDATE&amp;creator=factset&amp;DYN_ARGS=TRUE&amp;DOC_NAME=FAT:FQL_AUDITING_CLIENT_TEMPLATE.FAT&amp;display_string=Audit&amp;VAR:KEY=JMRCJAVCVC&amp;VAR:QUERY=RkZfRUJJVERBX0lCKCdMVE1TJywzODczMSk=&amp;WINDOW=FIRST_POPUP&amp;HEIGHT=450&amp;WIDTH=450&amp;START_MA","XIMIZED=FALSE&amp;VAR:CALENDAR=US&amp;VAR:SYMBOL=37183T10&amp;VAR:INDEX=0"}</definedName>
    <definedName name="_5154__FDSAUDITLINK__" hidden="1">{"fdsup://directions/FAT Viewer?action=UPDATE&amp;creator=factset&amp;DYN_ARGS=TRUE&amp;DOC_NAME=FAT:FQL_AUDITING_CLIENT_TEMPLATE.FAT&amp;display_string=Audit&amp;VAR:KEY=JMRCJAVCVC&amp;VAR:QUERY=RkZfRUJJVERBX0lCKCdMVE1TJywzODczMSk=&amp;WINDOW=FIRST_POPUP&amp;HEIGHT=450&amp;WIDTH=450&amp;START_MA","XIMIZED=FALSE&amp;VAR:CALENDAR=US&amp;VAR:SYMBOL=37183T10&amp;VAR:INDEX=0"}</definedName>
    <definedName name="_5155__FDSAUDITLINK__" localSheetId="6" hidden="1">{"fdsup://directions/FAT Viewer?action=UPDATE&amp;creator=factset&amp;DYN_ARGS=TRUE&amp;DOC_NAME=FAT:FQL_AUDITING_CLIENT_TEMPLATE.FAT&amp;display_string=Audit&amp;VAR:KEY=POHMDCPYVK&amp;VAR:QUERY=RkZfRUJJVERBX0lCKCdMVE1TJywzODczMCk=&amp;WINDOW=FIRST_POPUP&amp;HEIGHT=450&amp;WIDTH=450&amp;START_MA","XIMIZED=FALSE&amp;VAR:CALENDAR=US&amp;VAR:SYMBOL=37183T10&amp;VAR:INDEX=0"}</definedName>
    <definedName name="_5155__FDSAUDITLINK__" hidden="1">{"fdsup://directions/FAT Viewer?action=UPDATE&amp;creator=factset&amp;DYN_ARGS=TRUE&amp;DOC_NAME=FAT:FQL_AUDITING_CLIENT_TEMPLATE.FAT&amp;display_string=Audit&amp;VAR:KEY=POHMDCPYVK&amp;VAR:QUERY=RkZfRUJJVERBX0lCKCdMVE1TJywzODczMCk=&amp;WINDOW=FIRST_POPUP&amp;HEIGHT=450&amp;WIDTH=450&amp;START_MA","XIMIZED=FALSE&amp;VAR:CALENDAR=US&amp;VAR:SYMBOL=37183T10&amp;VAR:INDEX=0"}</definedName>
    <definedName name="_5156__FDSAUDITLINK__" localSheetId="6" hidden="1">{"fdsup://directions/FAT Viewer?action=UPDATE&amp;creator=factset&amp;DYN_ARGS=TRUE&amp;DOC_NAME=FAT:FQL_AUDITING_CLIENT_TEMPLATE.FAT&amp;display_string=Audit&amp;VAR:KEY=LKTWXQZITM&amp;VAR:QUERY=RkZfRUJJVERBX0lCKCdMVE1TJywzODcyOSk=&amp;WINDOW=FIRST_POPUP&amp;HEIGHT=450&amp;WIDTH=450&amp;START_MA","XIMIZED=FALSE&amp;VAR:CALENDAR=US&amp;VAR:SYMBOL=37183T10&amp;VAR:INDEX=0"}</definedName>
    <definedName name="_5156__FDSAUDITLINK__" hidden="1">{"fdsup://directions/FAT Viewer?action=UPDATE&amp;creator=factset&amp;DYN_ARGS=TRUE&amp;DOC_NAME=FAT:FQL_AUDITING_CLIENT_TEMPLATE.FAT&amp;display_string=Audit&amp;VAR:KEY=LKTWXQZITM&amp;VAR:QUERY=RkZfRUJJVERBX0lCKCdMVE1TJywzODcyOSk=&amp;WINDOW=FIRST_POPUP&amp;HEIGHT=450&amp;WIDTH=450&amp;START_MA","XIMIZED=FALSE&amp;VAR:CALENDAR=US&amp;VAR:SYMBOL=37183T10&amp;VAR:INDEX=0"}</definedName>
    <definedName name="_5157__FDSAUDITLINK__" localSheetId="6" hidden="1">{"fdsup://directions/FAT Viewer?action=UPDATE&amp;creator=factset&amp;DYN_ARGS=TRUE&amp;DOC_NAME=FAT:FQL_AUDITING_CLIENT_TEMPLATE.FAT&amp;display_string=Audit&amp;VAR:KEY=BOPCBGJCBK&amp;VAR:QUERY=RkZfRUJJVERBX0lCKCdMVE1TJywzODcyOCk=&amp;WINDOW=FIRST_POPUP&amp;HEIGHT=450&amp;WIDTH=450&amp;START_MA","XIMIZED=FALSE&amp;VAR:CALENDAR=US&amp;VAR:SYMBOL=37183T10&amp;VAR:INDEX=0"}</definedName>
    <definedName name="_5157__FDSAUDITLINK__" hidden="1">{"fdsup://directions/FAT Viewer?action=UPDATE&amp;creator=factset&amp;DYN_ARGS=TRUE&amp;DOC_NAME=FAT:FQL_AUDITING_CLIENT_TEMPLATE.FAT&amp;display_string=Audit&amp;VAR:KEY=BOPCBGJCBK&amp;VAR:QUERY=RkZfRUJJVERBX0lCKCdMVE1TJywzODcyOCk=&amp;WINDOW=FIRST_POPUP&amp;HEIGHT=450&amp;WIDTH=450&amp;START_MA","XIMIZED=FALSE&amp;VAR:CALENDAR=US&amp;VAR:SYMBOL=37183T10&amp;VAR:INDEX=0"}</definedName>
    <definedName name="_5158__FDSAUDITLINK__" localSheetId="6" hidden="1">{"fdsup://directions/FAT Viewer?action=UPDATE&amp;creator=factset&amp;DYN_ARGS=TRUE&amp;DOC_NAME=FAT:FQL_AUDITING_CLIENT_TEMPLATE.FAT&amp;display_string=Audit&amp;VAR:KEY=XSNAJYBERC&amp;VAR:QUERY=RkZfRUJJVERBX0lCKCdMVE1TJywzODcyNyk=&amp;WINDOW=FIRST_POPUP&amp;HEIGHT=450&amp;WIDTH=450&amp;START_MA","XIMIZED=FALSE&amp;VAR:CALENDAR=US&amp;VAR:SYMBOL=37183T10&amp;VAR:INDEX=0"}</definedName>
    <definedName name="_5158__FDSAUDITLINK__" hidden="1">{"fdsup://directions/FAT Viewer?action=UPDATE&amp;creator=factset&amp;DYN_ARGS=TRUE&amp;DOC_NAME=FAT:FQL_AUDITING_CLIENT_TEMPLATE.FAT&amp;display_string=Audit&amp;VAR:KEY=XSNAJYBERC&amp;VAR:QUERY=RkZfRUJJVERBX0lCKCdMVE1TJywzODcyNyk=&amp;WINDOW=FIRST_POPUP&amp;HEIGHT=450&amp;WIDTH=450&amp;START_MA","XIMIZED=FALSE&amp;VAR:CALENDAR=US&amp;VAR:SYMBOL=37183T10&amp;VAR:INDEX=0"}</definedName>
    <definedName name="_5159__FDSAUDITLINK__" localSheetId="6" hidden="1">{"fdsup://directions/FAT Viewer?action=UPDATE&amp;creator=factset&amp;DYN_ARGS=TRUE&amp;DOC_NAME=FAT:FQL_AUDITING_CLIENT_TEMPLATE.FAT&amp;display_string=Audit&amp;VAR:KEY=BWZKDIDEFK&amp;VAR:QUERY=RkZfRUJJVERBX0lCKCdMVE1TJywzODcyNik=&amp;WINDOW=FIRST_POPUP&amp;HEIGHT=450&amp;WIDTH=450&amp;START_MA","XIMIZED=FALSE&amp;VAR:CALENDAR=US&amp;VAR:SYMBOL=37183T10&amp;VAR:INDEX=0"}</definedName>
    <definedName name="_5159__FDSAUDITLINK__" hidden="1">{"fdsup://directions/FAT Viewer?action=UPDATE&amp;creator=factset&amp;DYN_ARGS=TRUE&amp;DOC_NAME=FAT:FQL_AUDITING_CLIENT_TEMPLATE.FAT&amp;display_string=Audit&amp;VAR:KEY=BWZKDIDEFK&amp;VAR:QUERY=RkZfRUJJVERBX0lCKCdMVE1TJywzODcyNik=&amp;WINDOW=FIRST_POPUP&amp;HEIGHT=450&amp;WIDTH=450&amp;START_MA","XIMIZED=FALSE&amp;VAR:CALENDAR=US&amp;VAR:SYMBOL=37183T10&amp;VAR:INDEX=0"}</definedName>
    <definedName name="_516__FDSAUDITLINK__" localSheetId="6" hidden="1">{"fdsup://directions/FAT%20Viewer?VAR:PED=LTM&amp;VAR:AUDIT_MODE=SUMMARY&amp;VAR:PERIOD=FIXED&amp;VAR:AUDIT_ID=00000117&amp;VAR:DATE=20080923&amp;action=UPDATE&amp;creator=factset&amp;DOC_NAME=FAT:FMA_audit_SUMMARY.fat&amp;DISPLAY_STRING=Display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6__FDSAUDITLINK__" hidden="1">{"fdsup://directions/FAT%20Viewer?VAR:PED=LTM&amp;VAR:AUDIT_MODE=SUMMARY&amp;VAR:PERIOD=FIXED&amp;VAR:AUDIT_ID=00000117&amp;VAR:DATE=20080923&amp;action=UPDATE&amp;creator=factset&amp;DOC_NAME=FAT:FMA_audit_SUMMARY.fat&amp;DISPLAY_STRING=Display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60__FDSAUDITLINK__" localSheetId="6" hidden="1">{"fdsup://directions/FAT Viewer?action=UPDATE&amp;creator=factset&amp;DYN_ARGS=TRUE&amp;DOC_NAME=FAT:FQL_AUDITING_CLIENT_TEMPLATE.FAT&amp;display_string=Audit&amp;VAR:KEY=DQBMTYLSBE&amp;VAR:QUERY=RkZfRUJJVERBX0lCKCdMVE1TJywzODcyNSk=&amp;WINDOW=FIRST_POPUP&amp;HEIGHT=450&amp;WIDTH=450&amp;START_MA","XIMIZED=FALSE&amp;VAR:CALENDAR=US&amp;VAR:SYMBOL=37183T10&amp;VAR:INDEX=0"}</definedName>
    <definedName name="_5160__FDSAUDITLINK__" hidden="1">{"fdsup://directions/FAT Viewer?action=UPDATE&amp;creator=factset&amp;DYN_ARGS=TRUE&amp;DOC_NAME=FAT:FQL_AUDITING_CLIENT_TEMPLATE.FAT&amp;display_string=Audit&amp;VAR:KEY=DQBMTYLSBE&amp;VAR:QUERY=RkZfRUJJVERBX0lCKCdMVE1TJywzODcyNSk=&amp;WINDOW=FIRST_POPUP&amp;HEIGHT=450&amp;WIDTH=450&amp;START_MA","XIMIZED=FALSE&amp;VAR:CALENDAR=US&amp;VAR:SYMBOL=37183T10&amp;VAR:INDEX=0"}</definedName>
    <definedName name="_5161__FDSAUDITLINK__" localSheetId="6" hidden="1">{"fdsup://directions/FAT Viewer?action=UPDATE&amp;creator=factset&amp;DYN_ARGS=TRUE&amp;DOC_NAME=FAT:FQL_AUDITING_CLIENT_TEMPLATE.FAT&amp;display_string=Audit&amp;VAR:KEY=DSVOTAJABS&amp;VAR:QUERY=RkZfRUJJVERBX0lCKCdMVE1TJywzODcyNCk=&amp;WINDOW=FIRST_POPUP&amp;HEIGHT=450&amp;WIDTH=450&amp;START_MA","XIMIZED=FALSE&amp;VAR:CALENDAR=US&amp;VAR:SYMBOL=37183T10&amp;VAR:INDEX=0"}</definedName>
    <definedName name="_5161__FDSAUDITLINK__" hidden="1">{"fdsup://directions/FAT Viewer?action=UPDATE&amp;creator=factset&amp;DYN_ARGS=TRUE&amp;DOC_NAME=FAT:FQL_AUDITING_CLIENT_TEMPLATE.FAT&amp;display_string=Audit&amp;VAR:KEY=DSVOTAJABS&amp;VAR:QUERY=RkZfRUJJVERBX0lCKCdMVE1TJywzODcyNCk=&amp;WINDOW=FIRST_POPUP&amp;HEIGHT=450&amp;WIDTH=450&amp;START_MA","XIMIZED=FALSE&amp;VAR:CALENDAR=US&amp;VAR:SYMBOL=37183T10&amp;VAR:INDEX=0"}</definedName>
    <definedName name="_5162__FDSAUDITLINK__" localSheetId="6" hidden="1">{"fdsup://directions/FAT Viewer?action=UPDATE&amp;creator=factset&amp;DYN_ARGS=TRUE&amp;DOC_NAME=FAT:FQL_AUDITING_CLIENT_TEMPLATE.FAT&amp;display_string=Audit&amp;VAR:KEY=FUHMPWVARO&amp;VAR:QUERY=RkZfRUJJVERBX0lCKCdMVE1TJywzODcyMyk=&amp;WINDOW=FIRST_POPUP&amp;HEIGHT=450&amp;WIDTH=450&amp;START_MA","XIMIZED=FALSE&amp;VAR:CALENDAR=US&amp;VAR:SYMBOL=37183T10&amp;VAR:INDEX=0"}</definedName>
    <definedName name="_5162__FDSAUDITLINK__" hidden="1">{"fdsup://directions/FAT Viewer?action=UPDATE&amp;creator=factset&amp;DYN_ARGS=TRUE&amp;DOC_NAME=FAT:FQL_AUDITING_CLIENT_TEMPLATE.FAT&amp;display_string=Audit&amp;VAR:KEY=FUHMPWVARO&amp;VAR:QUERY=RkZfRUJJVERBX0lCKCdMVE1TJywzODcyMyk=&amp;WINDOW=FIRST_POPUP&amp;HEIGHT=450&amp;WIDTH=450&amp;START_MA","XIMIZED=FALSE&amp;VAR:CALENDAR=US&amp;VAR:SYMBOL=37183T10&amp;VAR:INDEX=0"}</definedName>
    <definedName name="_5163__FDSAUDITLINK__" localSheetId="6" hidden="1">{"fdsup://directions/FAT Viewer?action=UPDATE&amp;creator=factset&amp;DYN_ARGS=TRUE&amp;DOC_NAME=FAT:FQL_AUDITING_CLIENT_TEMPLATE.FAT&amp;display_string=Audit&amp;VAR:KEY=PKLKNEXOJE&amp;VAR:QUERY=RkZfRUJJVERBX0lCKCdMVE1TJywzODcyMik=&amp;WINDOW=FIRST_POPUP&amp;HEIGHT=450&amp;WIDTH=450&amp;START_MA","XIMIZED=FALSE&amp;VAR:CALENDAR=US&amp;VAR:SYMBOL=37183T10&amp;VAR:INDEX=0"}</definedName>
    <definedName name="_5163__FDSAUDITLINK__" hidden="1">{"fdsup://directions/FAT Viewer?action=UPDATE&amp;creator=factset&amp;DYN_ARGS=TRUE&amp;DOC_NAME=FAT:FQL_AUDITING_CLIENT_TEMPLATE.FAT&amp;display_string=Audit&amp;VAR:KEY=PKLKNEXOJE&amp;VAR:QUERY=RkZfRUJJVERBX0lCKCdMVE1TJywzODcyMik=&amp;WINDOW=FIRST_POPUP&amp;HEIGHT=450&amp;WIDTH=450&amp;START_MA","XIMIZED=FALSE&amp;VAR:CALENDAR=US&amp;VAR:SYMBOL=37183T10&amp;VAR:INDEX=0"}</definedName>
    <definedName name="_5164__FDSAUDITLINK__" localSheetId="6" hidden="1">{"fdsup://directions/FAT Viewer?action=UPDATE&amp;creator=factset&amp;DYN_ARGS=TRUE&amp;DOC_NAME=FAT:FQL_AUDITING_CLIENT_TEMPLATE.FAT&amp;display_string=Audit&amp;VAR:KEY=DMJYXSFSBG&amp;VAR:QUERY=RkZfRUJJVERBX0lCKCdMVE1TJywzODcyMSk=&amp;WINDOW=FIRST_POPUP&amp;HEIGHT=450&amp;WIDTH=450&amp;START_MA","XIMIZED=FALSE&amp;VAR:CALENDAR=US&amp;VAR:SYMBOL=37183T10&amp;VAR:INDEX=0"}</definedName>
    <definedName name="_5164__FDSAUDITLINK__" hidden="1">{"fdsup://directions/FAT Viewer?action=UPDATE&amp;creator=factset&amp;DYN_ARGS=TRUE&amp;DOC_NAME=FAT:FQL_AUDITING_CLIENT_TEMPLATE.FAT&amp;display_string=Audit&amp;VAR:KEY=DMJYXSFSBG&amp;VAR:QUERY=RkZfRUJJVERBX0lCKCdMVE1TJywzODcyMSk=&amp;WINDOW=FIRST_POPUP&amp;HEIGHT=450&amp;WIDTH=450&amp;START_MA","XIMIZED=FALSE&amp;VAR:CALENDAR=US&amp;VAR:SYMBOL=37183T10&amp;VAR:INDEX=0"}</definedName>
    <definedName name="_5165__FDSAUDITLINK__" localSheetId="6" hidden="1">{"fdsup://directions/FAT Viewer?action=UPDATE&amp;creator=factset&amp;DYN_ARGS=TRUE&amp;DOC_NAME=FAT:FQL_AUDITING_CLIENT_TEMPLATE.FAT&amp;display_string=Audit&amp;VAR:KEY=ZAZWJIFWHE&amp;VAR:QUERY=RkZfRUJJVERBX0lCKCdMVE1TJywzODcyMCk=&amp;WINDOW=FIRST_POPUP&amp;HEIGHT=450&amp;WIDTH=450&amp;START_MA","XIMIZED=FALSE&amp;VAR:CALENDAR=US&amp;VAR:SYMBOL=37183T10&amp;VAR:INDEX=0"}</definedName>
    <definedName name="_5165__FDSAUDITLINK__" hidden="1">{"fdsup://directions/FAT Viewer?action=UPDATE&amp;creator=factset&amp;DYN_ARGS=TRUE&amp;DOC_NAME=FAT:FQL_AUDITING_CLIENT_TEMPLATE.FAT&amp;display_string=Audit&amp;VAR:KEY=ZAZWJIFWHE&amp;VAR:QUERY=RkZfRUJJVERBX0lCKCdMVE1TJywzODcyMCk=&amp;WINDOW=FIRST_POPUP&amp;HEIGHT=450&amp;WIDTH=450&amp;START_MA","XIMIZED=FALSE&amp;VAR:CALENDAR=US&amp;VAR:SYMBOL=37183T10&amp;VAR:INDEX=0"}</definedName>
    <definedName name="_5166__FDSAUDITLINK__" localSheetId="6" hidden="1">{"fdsup://directions/FAT Viewer?action=UPDATE&amp;creator=factset&amp;DYN_ARGS=TRUE&amp;DOC_NAME=FAT:FQL_AUDITING_CLIENT_TEMPLATE.FAT&amp;display_string=Audit&amp;VAR:KEY=XKFORKTMLC&amp;VAR:QUERY=RkZfRUJJVERBX0lCKCdMVE1TJywzODcxOSk=&amp;WINDOW=FIRST_POPUP&amp;HEIGHT=450&amp;WIDTH=450&amp;START_MA","XIMIZED=FALSE&amp;VAR:CALENDAR=US&amp;VAR:SYMBOL=37183T10&amp;VAR:INDEX=0"}</definedName>
    <definedName name="_5166__FDSAUDITLINK__" hidden="1">{"fdsup://directions/FAT Viewer?action=UPDATE&amp;creator=factset&amp;DYN_ARGS=TRUE&amp;DOC_NAME=FAT:FQL_AUDITING_CLIENT_TEMPLATE.FAT&amp;display_string=Audit&amp;VAR:KEY=XKFORKTMLC&amp;VAR:QUERY=RkZfRUJJVERBX0lCKCdMVE1TJywzODcxOSk=&amp;WINDOW=FIRST_POPUP&amp;HEIGHT=450&amp;WIDTH=450&amp;START_MA","XIMIZED=FALSE&amp;VAR:CALENDAR=US&amp;VAR:SYMBOL=37183T10&amp;VAR:INDEX=0"}</definedName>
    <definedName name="_5167__FDSAUDITLINK__" localSheetId="6" hidden="1">{"fdsup://directions/FAT Viewer?action=UPDATE&amp;creator=factset&amp;DYN_ARGS=TRUE&amp;DOC_NAME=FAT:FQL_AUDITING_CLIENT_TEMPLATE.FAT&amp;display_string=Audit&amp;VAR:KEY=DGJKLITQNK&amp;VAR:QUERY=RkZfRUJJVERBX0lCKCdMVE1TJywzODcxOCk=&amp;WINDOW=FIRST_POPUP&amp;HEIGHT=450&amp;WIDTH=450&amp;START_MA","XIMIZED=FALSE&amp;VAR:CALENDAR=US&amp;VAR:SYMBOL=37183T10&amp;VAR:INDEX=0"}</definedName>
    <definedName name="_5167__FDSAUDITLINK__" hidden="1">{"fdsup://directions/FAT Viewer?action=UPDATE&amp;creator=factset&amp;DYN_ARGS=TRUE&amp;DOC_NAME=FAT:FQL_AUDITING_CLIENT_TEMPLATE.FAT&amp;display_string=Audit&amp;VAR:KEY=DGJKLITQNK&amp;VAR:QUERY=RkZfRUJJVERBX0lCKCdMVE1TJywzODcxOCk=&amp;WINDOW=FIRST_POPUP&amp;HEIGHT=450&amp;WIDTH=450&amp;START_MA","XIMIZED=FALSE&amp;VAR:CALENDAR=US&amp;VAR:SYMBOL=37183T10&amp;VAR:INDEX=0"}</definedName>
    <definedName name="_5168__FDSAUDITLINK__" localSheetId="6" hidden="1">{"fdsup://directions/FAT Viewer?action=UPDATE&amp;creator=factset&amp;DYN_ARGS=TRUE&amp;DOC_NAME=FAT:FQL_AUDITING_CLIENT_TEMPLATE.FAT&amp;display_string=Audit&amp;VAR:KEY=FIBCZCDUDW&amp;VAR:QUERY=RkZfRUJJVERBX0lCKCdMVE1TJywzODcxNyk=&amp;WINDOW=FIRST_POPUP&amp;HEIGHT=450&amp;WIDTH=450&amp;START_MA","XIMIZED=FALSE&amp;VAR:CALENDAR=US&amp;VAR:SYMBOL=37183T10&amp;VAR:INDEX=0"}</definedName>
    <definedName name="_5168__FDSAUDITLINK__" hidden="1">{"fdsup://directions/FAT Viewer?action=UPDATE&amp;creator=factset&amp;DYN_ARGS=TRUE&amp;DOC_NAME=FAT:FQL_AUDITING_CLIENT_TEMPLATE.FAT&amp;display_string=Audit&amp;VAR:KEY=FIBCZCDUDW&amp;VAR:QUERY=RkZfRUJJVERBX0lCKCdMVE1TJywzODcxNyk=&amp;WINDOW=FIRST_POPUP&amp;HEIGHT=450&amp;WIDTH=450&amp;START_MA","XIMIZED=FALSE&amp;VAR:CALENDAR=US&amp;VAR:SYMBOL=37183T10&amp;VAR:INDEX=0"}</definedName>
    <definedName name="_5169__FDSAUDITLINK__" localSheetId="6" hidden="1">{"fdsup://directions/FAT Viewer?action=UPDATE&amp;creator=factset&amp;DYN_ARGS=TRUE&amp;DOC_NAME=FAT:FQL_AUDITING_CLIENT_TEMPLATE.FAT&amp;display_string=Audit&amp;VAR:KEY=XYNEHGJANK&amp;VAR:QUERY=RkZfRUJJVERBX0lCKCdMVE1TJywzODcxNik=&amp;WINDOW=FIRST_POPUP&amp;HEIGHT=450&amp;WIDTH=450&amp;START_MA","XIMIZED=FALSE&amp;VAR:CALENDAR=US&amp;VAR:SYMBOL=37183T10&amp;VAR:INDEX=0"}</definedName>
    <definedName name="_5169__FDSAUDITLINK__" hidden="1">{"fdsup://directions/FAT Viewer?action=UPDATE&amp;creator=factset&amp;DYN_ARGS=TRUE&amp;DOC_NAME=FAT:FQL_AUDITING_CLIENT_TEMPLATE.FAT&amp;display_string=Audit&amp;VAR:KEY=XYNEHGJANK&amp;VAR:QUERY=RkZfRUJJVERBX0lCKCdMVE1TJywzODcxNik=&amp;WINDOW=FIRST_POPUP&amp;HEIGHT=450&amp;WIDTH=450&amp;START_MA","XIMIZED=FALSE&amp;VAR:CALENDAR=US&amp;VAR:SYMBOL=37183T10&amp;VAR:INDEX=0"}</definedName>
    <definedName name="_517__FDSAUDITLINK__" localSheetId="6" hidden="1">{"fdsup://directions/FAT%20Viewer?VAR:PED=LTM&amp;VAR:AUDIT_MODE=SUMMARY&amp;VAR:PERIOD=FIXED&amp;VAR:AUDIT_ID=00000117&amp;VAR:DATE=20080922&amp;action=UPDATE&amp;creator=factset&amp;DOC_NAME=FAT:FMA_audit_SUMMARY.fat&amp;DISPLAY_STRING=Display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7__FDSAUDITLINK__" hidden="1">{"fdsup://directions/FAT%20Viewer?VAR:PED=LTM&amp;VAR:AUDIT_MODE=SUMMARY&amp;VAR:PERIOD=FIXED&amp;VAR:AUDIT_ID=00000117&amp;VAR:DATE=20080922&amp;action=UPDATE&amp;creator=factset&amp;DOC_NAME=FAT:FMA_audit_SUMMARY.fat&amp;DISPLAY_STRING=Display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70__FDSAUDITLINK__" localSheetId="6" hidden="1">{"fdsup://directions/FAT Viewer?action=UPDATE&amp;creator=factset&amp;DYN_ARGS=TRUE&amp;DOC_NAME=FAT:FQL_AUDITING_CLIENT_TEMPLATE.FAT&amp;display_string=Audit&amp;VAR:KEY=FEPCVSZYLA&amp;VAR:QUERY=RkZfRUJJVERBX0lCKCdMVE1TJywzODcxNSk=&amp;WINDOW=FIRST_POPUP&amp;HEIGHT=450&amp;WIDTH=450&amp;START_MA","XIMIZED=FALSE&amp;VAR:CALENDAR=US&amp;VAR:SYMBOL=37183T10&amp;VAR:INDEX=0"}</definedName>
    <definedName name="_5170__FDSAUDITLINK__" hidden="1">{"fdsup://directions/FAT Viewer?action=UPDATE&amp;creator=factset&amp;DYN_ARGS=TRUE&amp;DOC_NAME=FAT:FQL_AUDITING_CLIENT_TEMPLATE.FAT&amp;display_string=Audit&amp;VAR:KEY=FEPCVSZYLA&amp;VAR:QUERY=RkZfRUJJVERBX0lCKCdMVE1TJywzODcxNSk=&amp;WINDOW=FIRST_POPUP&amp;HEIGHT=450&amp;WIDTH=450&amp;START_MA","XIMIZED=FALSE&amp;VAR:CALENDAR=US&amp;VAR:SYMBOL=37183T10&amp;VAR:INDEX=0"}</definedName>
    <definedName name="_5171__FDSAUDITLINK__" localSheetId="6" hidden="1">{"fdsup://directions/FAT Viewer?action=UPDATE&amp;creator=factset&amp;DYN_ARGS=TRUE&amp;DOC_NAME=FAT:FQL_AUDITING_CLIENT_TEMPLATE.FAT&amp;display_string=Audit&amp;VAR:KEY=PWFOVYFMJM&amp;VAR:QUERY=RkZfRUJJVERBX0lCKCdMVE1TJywzODcxNCk=&amp;WINDOW=FIRST_POPUP&amp;HEIGHT=450&amp;WIDTH=450&amp;START_MA","XIMIZED=FALSE&amp;VAR:CALENDAR=US&amp;VAR:SYMBOL=37183T10&amp;VAR:INDEX=0"}</definedName>
    <definedName name="_5171__FDSAUDITLINK__" hidden="1">{"fdsup://directions/FAT Viewer?action=UPDATE&amp;creator=factset&amp;DYN_ARGS=TRUE&amp;DOC_NAME=FAT:FQL_AUDITING_CLIENT_TEMPLATE.FAT&amp;display_string=Audit&amp;VAR:KEY=PWFOVYFMJM&amp;VAR:QUERY=RkZfRUJJVERBX0lCKCdMVE1TJywzODcxNCk=&amp;WINDOW=FIRST_POPUP&amp;HEIGHT=450&amp;WIDTH=450&amp;START_MA","XIMIZED=FALSE&amp;VAR:CALENDAR=US&amp;VAR:SYMBOL=37183T10&amp;VAR:INDEX=0"}</definedName>
    <definedName name="_5172__FDSAUDITLINK__" localSheetId="6" hidden="1">{"fdsup://directions/FAT Viewer?action=UPDATE&amp;creator=factset&amp;DYN_ARGS=TRUE&amp;DOC_NAME=FAT:FQL_AUDITING_CLIENT_TEMPLATE.FAT&amp;display_string=Audit&amp;VAR:KEY=LYPQLEBANW&amp;VAR:QUERY=RkZfRUJJVERBX0lCKCdMVE1TJywzODcxMyk=&amp;WINDOW=FIRST_POPUP&amp;HEIGHT=450&amp;WIDTH=450&amp;START_MA","XIMIZED=FALSE&amp;VAR:CALENDAR=US&amp;VAR:SYMBOL=37183T10&amp;VAR:INDEX=0"}</definedName>
    <definedName name="_5172__FDSAUDITLINK__" hidden="1">{"fdsup://directions/FAT Viewer?action=UPDATE&amp;creator=factset&amp;DYN_ARGS=TRUE&amp;DOC_NAME=FAT:FQL_AUDITING_CLIENT_TEMPLATE.FAT&amp;display_string=Audit&amp;VAR:KEY=LYPQLEBANW&amp;VAR:QUERY=RkZfRUJJVERBX0lCKCdMVE1TJywzODcxMyk=&amp;WINDOW=FIRST_POPUP&amp;HEIGHT=450&amp;WIDTH=450&amp;START_MA","XIMIZED=FALSE&amp;VAR:CALENDAR=US&amp;VAR:SYMBOL=37183T10&amp;VAR:INDEX=0"}</definedName>
    <definedName name="_5173__FDSAUDITLINK__" localSheetId="6" hidden="1">{"fdsup://directions/FAT Viewer?action=UPDATE&amp;creator=factset&amp;DYN_ARGS=TRUE&amp;DOC_NAME=FAT:FQL_AUDITING_CLIENT_TEMPLATE.FAT&amp;display_string=Audit&amp;VAR:KEY=NABAFSJILS&amp;VAR:QUERY=RkZfRUJJVERBX0lCKCdMVE1TJywzODcxMik=&amp;WINDOW=FIRST_POPUP&amp;HEIGHT=450&amp;WIDTH=450&amp;START_MA","XIMIZED=FALSE&amp;VAR:CALENDAR=US&amp;VAR:SYMBOL=37183T10&amp;VAR:INDEX=0"}</definedName>
    <definedName name="_5173__FDSAUDITLINK__" hidden="1">{"fdsup://directions/FAT Viewer?action=UPDATE&amp;creator=factset&amp;DYN_ARGS=TRUE&amp;DOC_NAME=FAT:FQL_AUDITING_CLIENT_TEMPLATE.FAT&amp;display_string=Audit&amp;VAR:KEY=NABAFSJILS&amp;VAR:QUERY=RkZfRUJJVERBX0lCKCdMVE1TJywzODcxMik=&amp;WINDOW=FIRST_POPUP&amp;HEIGHT=450&amp;WIDTH=450&amp;START_MA","XIMIZED=FALSE&amp;VAR:CALENDAR=US&amp;VAR:SYMBOL=37183T10&amp;VAR:INDEX=0"}</definedName>
    <definedName name="_5174__FDSAUDITLINK__" localSheetId="6" hidden="1">{"fdsup://directions/FAT Viewer?action=UPDATE&amp;creator=factset&amp;DYN_ARGS=TRUE&amp;DOC_NAME=FAT:FQL_AUDITING_CLIENT_TEMPLATE.FAT&amp;display_string=Audit&amp;VAR:KEY=JKVUJCZSTA&amp;VAR:QUERY=RkZfRUJJVERBX0lCKCdMVE1TJywzODcxMSk=&amp;WINDOW=FIRST_POPUP&amp;HEIGHT=450&amp;WIDTH=450&amp;START_MA","XIMIZED=FALSE&amp;VAR:CALENDAR=US&amp;VAR:SYMBOL=37183T10&amp;VAR:INDEX=0"}</definedName>
    <definedName name="_5174__FDSAUDITLINK__" hidden="1">{"fdsup://directions/FAT Viewer?action=UPDATE&amp;creator=factset&amp;DYN_ARGS=TRUE&amp;DOC_NAME=FAT:FQL_AUDITING_CLIENT_TEMPLATE.FAT&amp;display_string=Audit&amp;VAR:KEY=JKVUJCZSTA&amp;VAR:QUERY=RkZfRUJJVERBX0lCKCdMVE1TJywzODcxMSk=&amp;WINDOW=FIRST_POPUP&amp;HEIGHT=450&amp;WIDTH=450&amp;START_MA","XIMIZED=FALSE&amp;VAR:CALENDAR=US&amp;VAR:SYMBOL=37183T10&amp;VAR:INDEX=0"}</definedName>
    <definedName name="_5175__FDSAUDITLINK__" localSheetId="6" hidden="1">{"fdsup://directions/FAT Viewer?action=UPDATE&amp;creator=factset&amp;DYN_ARGS=TRUE&amp;DOC_NAME=FAT:FQL_AUDITING_CLIENT_TEMPLATE.FAT&amp;display_string=Audit&amp;VAR:KEY=XSHWTGZADA&amp;VAR:QUERY=RkZfRUJJVERBX0lCKCdMVE1TJywzODcxMCk=&amp;WINDOW=FIRST_POPUP&amp;HEIGHT=450&amp;WIDTH=450&amp;START_MA","XIMIZED=FALSE&amp;VAR:CALENDAR=US&amp;VAR:SYMBOL=37183T10&amp;VAR:INDEX=0"}</definedName>
    <definedName name="_5175__FDSAUDITLINK__" hidden="1">{"fdsup://directions/FAT Viewer?action=UPDATE&amp;creator=factset&amp;DYN_ARGS=TRUE&amp;DOC_NAME=FAT:FQL_AUDITING_CLIENT_TEMPLATE.FAT&amp;display_string=Audit&amp;VAR:KEY=XSHWTGZADA&amp;VAR:QUERY=RkZfRUJJVERBX0lCKCdMVE1TJywzODcxMCk=&amp;WINDOW=FIRST_POPUP&amp;HEIGHT=450&amp;WIDTH=450&amp;START_MA","XIMIZED=FALSE&amp;VAR:CALENDAR=US&amp;VAR:SYMBOL=37183T10&amp;VAR:INDEX=0"}</definedName>
    <definedName name="_5176__FDSAUDITLINK__" localSheetId="6" hidden="1">{"fdsup://directions/FAT Viewer?action=UPDATE&amp;creator=factset&amp;DYN_ARGS=TRUE&amp;DOC_NAME=FAT:FQL_AUDITING_CLIENT_TEMPLATE.FAT&amp;display_string=Audit&amp;VAR:KEY=XQLSBSVOFQ&amp;VAR:QUERY=RkZfRUJJVERBX0lCKCdMVE1TJywzODcwOSk=&amp;WINDOW=FIRST_POPUP&amp;HEIGHT=450&amp;WIDTH=450&amp;START_MA","XIMIZED=FALSE&amp;VAR:CALENDAR=US&amp;VAR:SYMBOL=37183T10&amp;VAR:INDEX=0"}</definedName>
    <definedName name="_5176__FDSAUDITLINK__" hidden="1">{"fdsup://directions/FAT Viewer?action=UPDATE&amp;creator=factset&amp;DYN_ARGS=TRUE&amp;DOC_NAME=FAT:FQL_AUDITING_CLIENT_TEMPLATE.FAT&amp;display_string=Audit&amp;VAR:KEY=XQLSBSVOFQ&amp;VAR:QUERY=RkZfRUJJVERBX0lCKCdMVE1TJywzODcwOSk=&amp;WINDOW=FIRST_POPUP&amp;HEIGHT=450&amp;WIDTH=450&amp;START_MA","XIMIZED=FALSE&amp;VAR:CALENDAR=US&amp;VAR:SYMBOL=37183T10&amp;VAR:INDEX=0"}</definedName>
    <definedName name="_5177__FDSAUDITLINK__" localSheetId="6" hidden="1">{"fdsup://directions/FAT Viewer?action=UPDATE&amp;creator=factset&amp;DYN_ARGS=TRUE&amp;DOC_NAME=FAT:FQL_AUDITING_CLIENT_TEMPLATE.FAT&amp;display_string=Audit&amp;VAR:KEY=JCRMXCDERG&amp;VAR:QUERY=RkZfRUJJVERBX0lCKCdMVE1TJywzODcwOCk=&amp;WINDOW=FIRST_POPUP&amp;HEIGHT=450&amp;WIDTH=450&amp;START_MA","XIMIZED=FALSE&amp;VAR:CALENDAR=US&amp;VAR:SYMBOL=37183T10&amp;VAR:INDEX=0"}</definedName>
    <definedName name="_5177__FDSAUDITLINK__" hidden="1">{"fdsup://directions/FAT Viewer?action=UPDATE&amp;creator=factset&amp;DYN_ARGS=TRUE&amp;DOC_NAME=FAT:FQL_AUDITING_CLIENT_TEMPLATE.FAT&amp;display_string=Audit&amp;VAR:KEY=JCRMXCDERG&amp;VAR:QUERY=RkZfRUJJVERBX0lCKCdMVE1TJywzODcwOCk=&amp;WINDOW=FIRST_POPUP&amp;HEIGHT=450&amp;WIDTH=450&amp;START_MA","XIMIZED=FALSE&amp;VAR:CALENDAR=US&amp;VAR:SYMBOL=37183T10&amp;VAR:INDEX=0"}</definedName>
    <definedName name="_5178__FDSAUDITLINK__" localSheetId="6" hidden="1">{"fdsup://directions/FAT Viewer?action=UPDATE&amp;creator=factset&amp;DYN_ARGS=TRUE&amp;DOC_NAME=FAT:FQL_AUDITING_CLIENT_TEMPLATE.FAT&amp;display_string=Audit&amp;VAR:KEY=TAHGFGVSLS&amp;VAR:QUERY=RkZfRUJJVERBX0lCKCdMVE1TJywzODcwNyk=&amp;WINDOW=FIRST_POPUP&amp;HEIGHT=450&amp;WIDTH=450&amp;START_MA","XIMIZED=FALSE&amp;VAR:CALENDAR=US&amp;VAR:SYMBOL=37183T10&amp;VAR:INDEX=0"}</definedName>
    <definedName name="_5178__FDSAUDITLINK__" hidden="1">{"fdsup://directions/FAT Viewer?action=UPDATE&amp;creator=factset&amp;DYN_ARGS=TRUE&amp;DOC_NAME=FAT:FQL_AUDITING_CLIENT_TEMPLATE.FAT&amp;display_string=Audit&amp;VAR:KEY=TAHGFGVSLS&amp;VAR:QUERY=RkZfRUJJVERBX0lCKCdMVE1TJywzODcwNyk=&amp;WINDOW=FIRST_POPUP&amp;HEIGHT=450&amp;WIDTH=450&amp;START_MA","XIMIZED=FALSE&amp;VAR:CALENDAR=US&amp;VAR:SYMBOL=37183T10&amp;VAR:INDEX=0"}</definedName>
    <definedName name="_5179__FDSAUDITLINK__" localSheetId="6" hidden="1">{"fdsup://directions/FAT Viewer?action=UPDATE&amp;creator=factset&amp;DYN_ARGS=TRUE&amp;DOC_NAME=FAT:FQL_AUDITING_CLIENT_TEMPLATE.FAT&amp;display_string=Audit&amp;VAR:KEY=POLGLYNUJM&amp;VAR:QUERY=RkZfRUJJVERBX0lCKCdMVE1TJywzODcwNik=&amp;WINDOW=FIRST_POPUP&amp;HEIGHT=450&amp;WIDTH=450&amp;START_MA","XIMIZED=FALSE&amp;VAR:CALENDAR=US&amp;VAR:SYMBOL=37183T10&amp;VAR:INDEX=0"}</definedName>
    <definedName name="_5179__FDSAUDITLINK__" hidden="1">{"fdsup://directions/FAT Viewer?action=UPDATE&amp;creator=factset&amp;DYN_ARGS=TRUE&amp;DOC_NAME=FAT:FQL_AUDITING_CLIENT_TEMPLATE.FAT&amp;display_string=Audit&amp;VAR:KEY=POLGLYNUJM&amp;VAR:QUERY=RkZfRUJJVERBX0lCKCdMVE1TJywzODcwNik=&amp;WINDOW=FIRST_POPUP&amp;HEIGHT=450&amp;WIDTH=450&amp;START_MA","XIMIZED=FALSE&amp;VAR:CALENDAR=US&amp;VAR:SYMBOL=37183T10&amp;VAR:INDEX=0"}</definedName>
    <definedName name="_518__FDSAUDITLINK__" localSheetId="6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8__FDSAUDITLINK__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80__FDSAUDITLINK__" localSheetId="6" hidden="1">{"fdsup://directions/FAT Viewer?action=UPDATE&amp;creator=factset&amp;DYN_ARGS=TRUE&amp;DOC_NAME=FAT:FQL_AUDITING_CLIENT_TEMPLATE.FAT&amp;display_string=Audit&amp;VAR:KEY=ZMLSTOPCPG&amp;VAR:QUERY=RkZfRUJJVERBX0lCKCdMVE1TJywzODcwNSk=&amp;WINDOW=FIRST_POPUP&amp;HEIGHT=450&amp;WIDTH=450&amp;START_MA","XIMIZED=FALSE&amp;VAR:CALENDAR=US&amp;VAR:SYMBOL=37183T10&amp;VAR:INDEX=0"}</definedName>
    <definedName name="_5180__FDSAUDITLINK__" hidden="1">{"fdsup://directions/FAT Viewer?action=UPDATE&amp;creator=factset&amp;DYN_ARGS=TRUE&amp;DOC_NAME=FAT:FQL_AUDITING_CLIENT_TEMPLATE.FAT&amp;display_string=Audit&amp;VAR:KEY=ZMLSTOPCPG&amp;VAR:QUERY=RkZfRUJJVERBX0lCKCdMVE1TJywzODcwNSk=&amp;WINDOW=FIRST_POPUP&amp;HEIGHT=450&amp;WIDTH=450&amp;START_MA","XIMIZED=FALSE&amp;VAR:CALENDAR=US&amp;VAR:SYMBOL=37183T10&amp;VAR:INDEX=0"}</definedName>
    <definedName name="_5181__FDSAUDITLINK__" localSheetId="6" hidden="1">{"fdsup://directions/FAT Viewer?action=UPDATE&amp;creator=factset&amp;DYN_ARGS=TRUE&amp;DOC_NAME=FAT:FQL_AUDITING_CLIENT_TEMPLATE.FAT&amp;display_string=Audit&amp;VAR:KEY=PGXAHOJGTE&amp;VAR:QUERY=RkZfRUJJVERBX0lCKCdMVE1TJywzODcwNCk=&amp;WINDOW=FIRST_POPUP&amp;HEIGHT=450&amp;WIDTH=450&amp;START_MA","XIMIZED=FALSE&amp;VAR:CALENDAR=US&amp;VAR:SYMBOL=37183T10&amp;VAR:INDEX=0"}</definedName>
    <definedName name="_5181__FDSAUDITLINK__" hidden="1">{"fdsup://directions/FAT Viewer?action=UPDATE&amp;creator=factset&amp;DYN_ARGS=TRUE&amp;DOC_NAME=FAT:FQL_AUDITING_CLIENT_TEMPLATE.FAT&amp;display_string=Audit&amp;VAR:KEY=PGXAHOJGTE&amp;VAR:QUERY=RkZfRUJJVERBX0lCKCdMVE1TJywzODcwNCk=&amp;WINDOW=FIRST_POPUP&amp;HEIGHT=450&amp;WIDTH=450&amp;START_MA","XIMIZED=FALSE&amp;VAR:CALENDAR=US&amp;VAR:SYMBOL=37183T10&amp;VAR:INDEX=0"}</definedName>
    <definedName name="_5182__FDSAUDITLINK__" localSheetId="6" hidden="1">{"fdsup://directions/FAT Viewer?action=UPDATE&amp;creator=factset&amp;DYN_ARGS=TRUE&amp;DOC_NAME=FAT:FQL_AUDITING_CLIENT_TEMPLATE.FAT&amp;display_string=Audit&amp;VAR:KEY=ROFUNEBGBW&amp;VAR:QUERY=RkZfRUJJVERBX0lCKCdMVE1TJywzODcwMyk=&amp;WINDOW=FIRST_POPUP&amp;HEIGHT=450&amp;WIDTH=450&amp;START_MA","XIMIZED=FALSE&amp;VAR:CALENDAR=US&amp;VAR:SYMBOL=37183T10&amp;VAR:INDEX=0"}</definedName>
    <definedName name="_5182__FDSAUDITLINK__" hidden="1">{"fdsup://directions/FAT Viewer?action=UPDATE&amp;creator=factset&amp;DYN_ARGS=TRUE&amp;DOC_NAME=FAT:FQL_AUDITING_CLIENT_TEMPLATE.FAT&amp;display_string=Audit&amp;VAR:KEY=ROFUNEBGBW&amp;VAR:QUERY=RkZfRUJJVERBX0lCKCdMVE1TJywzODcwMyk=&amp;WINDOW=FIRST_POPUP&amp;HEIGHT=450&amp;WIDTH=450&amp;START_MA","XIMIZED=FALSE&amp;VAR:CALENDAR=US&amp;VAR:SYMBOL=37183T10&amp;VAR:INDEX=0"}</definedName>
    <definedName name="_5183__FDSAUDITLINK__" localSheetId="6" hidden="1">{"fdsup://directions/FAT Viewer?action=UPDATE&amp;creator=factset&amp;DYN_ARGS=TRUE&amp;DOC_NAME=FAT:FQL_AUDITING_CLIENT_TEMPLATE.FAT&amp;display_string=Audit&amp;VAR:KEY=BUVABMNELG&amp;VAR:QUERY=RkZfRUJJVERBX0lCKCdMVE1TJywzODcwMik=&amp;WINDOW=FIRST_POPUP&amp;HEIGHT=450&amp;WIDTH=450&amp;START_MA","XIMIZED=FALSE&amp;VAR:CALENDAR=US&amp;VAR:SYMBOL=37183T10&amp;VAR:INDEX=0"}</definedName>
    <definedName name="_5183__FDSAUDITLINK__" hidden="1">{"fdsup://directions/FAT Viewer?action=UPDATE&amp;creator=factset&amp;DYN_ARGS=TRUE&amp;DOC_NAME=FAT:FQL_AUDITING_CLIENT_TEMPLATE.FAT&amp;display_string=Audit&amp;VAR:KEY=BUVABMNELG&amp;VAR:QUERY=RkZfRUJJVERBX0lCKCdMVE1TJywzODcwMik=&amp;WINDOW=FIRST_POPUP&amp;HEIGHT=450&amp;WIDTH=450&amp;START_MA","XIMIZED=FALSE&amp;VAR:CALENDAR=US&amp;VAR:SYMBOL=37183T10&amp;VAR:INDEX=0"}</definedName>
    <definedName name="_5184__FDSAUDITLINK__" localSheetId="6" hidden="1">{"fdsup://directions/FAT Viewer?action=UPDATE&amp;creator=factset&amp;DYN_ARGS=TRUE&amp;DOC_NAME=FAT:FQL_AUDITING_CLIENT_TEMPLATE.FAT&amp;display_string=Audit&amp;VAR:KEY=TAJYTGVAFY&amp;VAR:QUERY=RkZfRUJJVERBX0lCKCdMVE1TJywzODcwMSk=&amp;WINDOW=FIRST_POPUP&amp;HEIGHT=450&amp;WIDTH=450&amp;START_MA","XIMIZED=FALSE&amp;VAR:CALENDAR=US&amp;VAR:SYMBOL=37183T10&amp;VAR:INDEX=0"}</definedName>
    <definedName name="_5184__FDSAUDITLINK__" hidden="1">{"fdsup://directions/FAT Viewer?action=UPDATE&amp;creator=factset&amp;DYN_ARGS=TRUE&amp;DOC_NAME=FAT:FQL_AUDITING_CLIENT_TEMPLATE.FAT&amp;display_string=Audit&amp;VAR:KEY=TAJYTGVAFY&amp;VAR:QUERY=RkZfRUJJVERBX0lCKCdMVE1TJywzODcwMSk=&amp;WINDOW=FIRST_POPUP&amp;HEIGHT=450&amp;WIDTH=450&amp;START_MA","XIMIZED=FALSE&amp;VAR:CALENDAR=US&amp;VAR:SYMBOL=37183T10&amp;VAR:INDEX=0"}</definedName>
    <definedName name="_5185__FDSAUDITLINK__" localSheetId="6" hidden="1">{"fdsup://directions/FAT Viewer?action=UPDATE&amp;creator=factset&amp;DYN_ARGS=TRUE&amp;DOC_NAME=FAT:FQL_AUDITING_CLIENT_TEMPLATE.FAT&amp;display_string=Audit&amp;VAR:KEY=FQLWJEHUXK&amp;VAR:QUERY=RkZfRUJJVERBX0lCKCdMVE1TJywzODcwMCk=&amp;WINDOW=FIRST_POPUP&amp;HEIGHT=450&amp;WIDTH=450&amp;START_MA","XIMIZED=FALSE&amp;VAR:CALENDAR=US&amp;VAR:SYMBOL=37183T10&amp;VAR:INDEX=0"}</definedName>
    <definedName name="_5185__FDSAUDITLINK__" hidden="1">{"fdsup://directions/FAT Viewer?action=UPDATE&amp;creator=factset&amp;DYN_ARGS=TRUE&amp;DOC_NAME=FAT:FQL_AUDITING_CLIENT_TEMPLATE.FAT&amp;display_string=Audit&amp;VAR:KEY=FQLWJEHUXK&amp;VAR:QUERY=RkZfRUJJVERBX0lCKCdMVE1TJywzODcwMCk=&amp;WINDOW=FIRST_POPUP&amp;HEIGHT=450&amp;WIDTH=450&amp;START_MA","XIMIZED=FALSE&amp;VAR:CALENDAR=US&amp;VAR:SYMBOL=37183T10&amp;VAR:INDEX=0"}</definedName>
    <definedName name="_5186__FDSAUDITLINK__" localSheetId="6" hidden="1">{"fdsup://directions/FAT Viewer?action=UPDATE&amp;creator=factset&amp;DYN_ARGS=TRUE&amp;DOC_NAME=FAT:FQL_AUDITING_CLIENT_TEMPLATE.FAT&amp;display_string=Audit&amp;VAR:KEY=RGZEPGLAXU&amp;VAR:QUERY=RkZfRUJJVERBX0lCKCdMVE1TJywzODY5OSk=&amp;WINDOW=FIRST_POPUP&amp;HEIGHT=450&amp;WIDTH=450&amp;START_MA","XIMIZED=FALSE&amp;VAR:CALENDAR=US&amp;VAR:SYMBOL=37183T10&amp;VAR:INDEX=0"}</definedName>
    <definedName name="_5186__FDSAUDITLINK__" hidden="1">{"fdsup://directions/FAT Viewer?action=UPDATE&amp;creator=factset&amp;DYN_ARGS=TRUE&amp;DOC_NAME=FAT:FQL_AUDITING_CLIENT_TEMPLATE.FAT&amp;display_string=Audit&amp;VAR:KEY=RGZEPGLAXU&amp;VAR:QUERY=RkZfRUJJVERBX0lCKCdMVE1TJywzODY5OSk=&amp;WINDOW=FIRST_POPUP&amp;HEIGHT=450&amp;WIDTH=450&amp;START_MA","XIMIZED=FALSE&amp;VAR:CALENDAR=US&amp;VAR:SYMBOL=37183T10&amp;VAR:INDEX=0"}</definedName>
    <definedName name="_5187__FDSAUDITLINK__" localSheetId="6" hidden="1">{"fdsup://directions/FAT Viewer?action=UPDATE&amp;creator=factset&amp;DYN_ARGS=TRUE&amp;DOC_NAME=FAT:FQL_AUDITING_CLIENT_TEMPLATE.FAT&amp;display_string=Audit&amp;VAR:KEY=RAPORAZUVS&amp;VAR:QUERY=RkZfRUJJVERBX0lCKCdMVE1TJywzODY5OCk=&amp;WINDOW=FIRST_POPUP&amp;HEIGHT=450&amp;WIDTH=450&amp;START_MA","XIMIZED=FALSE&amp;VAR:CALENDAR=US&amp;VAR:SYMBOL=37183T10&amp;VAR:INDEX=0"}</definedName>
    <definedName name="_5187__FDSAUDITLINK__" hidden="1">{"fdsup://directions/FAT Viewer?action=UPDATE&amp;creator=factset&amp;DYN_ARGS=TRUE&amp;DOC_NAME=FAT:FQL_AUDITING_CLIENT_TEMPLATE.FAT&amp;display_string=Audit&amp;VAR:KEY=RAPORAZUVS&amp;VAR:QUERY=RkZfRUJJVERBX0lCKCdMVE1TJywzODY5OCk=&amp;WINDOW=FIRST_POPUP&amp;HEIGHT=450&amp;WIDTH=450&amp;START_MA","XIMIZED=FALSE&amp;VAR:CALENDAR=US&amp;VAR:SYMBOL=37183T10&amp;VAR:INDEX=0"}</definedName>
    <definedName name="_5188__FDSAUDITLINK__" localSheetId="6" hidden="1">{"fdsup://directions/FAT Viewer?action=UPDATE&amp;creator=factset&amp;DYN_ARGS=TRUE&amp;DOC_NAME=FAT:FQL_AUDITING_CLIENT_TEMPLATE.FAT&amp;display_string=Audit&amp;VAR:KEY=PQZKRWROTK&amp;VAR:QUERY=RkZfRUJJVERBX0lCKCdMVE1TJywzODY5Nyk=&amp;WINDOW=FIRST_POPUP&amp;HEIGHT=450&amp;WIDTH=450&amp;START_MA","XIMIZED=FALSE&amp;VAR:CALENDAR=US&amp;VAR:SYMBOL=37183T10&amp;VAR:INDEX=0"}</definedName>
    <definedName name="_5188__FDSAUDITLINK__" hidden="1">{"fdsup://directions/FAT Viewer?action=UPDATE&amp;creator=factset&amp;DYN_ARGS=TRUE&amp;DOC_NAME=FAT:FQL_AUDITING_CLIENT_TEMPLATE.FAT&amp;display_string=Audit&amp;VAR:KEY=PQZKRWROTK&amp;VAR:QUERY=RkZfRUJJVERBX0lCKCdMVE1TJywzODY5Nyk=&amp;WINDOW=FIRST_POPUP&amp;HEIGHT=450&amp;WIDTH=450&amp;START_MA","XIMIZED=FALSE&amp;VAR:CALENDAR=US&amp;VAR:SYMBOL=37183T10&amp;VAR:INDEX=0"}</definedName>
    <definedName name="_5189__FDSAUDITLINK__" localSheetId="6" hidden="1">{"fdsup://directions/FAT Viewer?action=UPDATE&amp;creator=factset&amp;DYN_ARGS=TRUE&amp;DOC_NAME=FAT:FQL_AUDITING_CLIENT_TEMPLATE.FAT&amp;display_string=Audit&amp;VAR:KEY=PWFANYZYLY&amp;VAR:QUERY=RkZfRUJJVERBX0lCKCdMVE1TJywzODY5Nik=&amp;WINDOW=FIRST_POPUP&amp;HEIGHT=450&amp;WIDTH=450&amp;START_MA","XIMIZED=FALSE&amp;VAR:CALENDAR=US&amp;VAR:SYMBOL=37183T10&amp;VAR:INDEX=0"}</definedName>
    <definedName name="_5189__FDSAUDITLINK__" hidden="1">{"fdsup://directions/FAT Viewer?action=UPDATE&amp;creator=factset&amp;DYN_ARGS=TRUE&amp;DOC_NAME=FAT:FQL_AUDITING_CLIENT_TEMPLATE.FAT&amp;display_string=Audit&amp;VAR:KEY=PWFANYZYLY&amp;VAR:QUERY=RkZfRUJJVERBX0lCKCdMVE1TJywzODY5Nik=&amp;WINDOW=FIRST_POPUP&amp;HEIGHT=450&amp;WIDTH=450&amp;START_MA","XIMIZED=FALSE&amp;VAR:CALENDAR=US&amp;VAR:SYMBOL=37183T10&amp;VAR:INDEX=0"}</definedName>
    <definedName name="_519__FDSAUDITLINK__" localSheetId="6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9__FDSAUDITLINK__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190__FDSAUDITLINK__" localSheetId="6" hidden="1">{"fdsup://directions/FAT Viewer?action=UPDATE&amp;creator=factset&amp;DYN_ARGS=TRUE&amp;DOC_NAME=FAT:FQL_AUDITING_CLIENT_TEMPLATE.FAT&amp;display_string=Audit&amp;VAR:KEY=ZOZMXSPGVQ&amp;VAR:QUERY=RkZfRUJJVERBX0lCKCdMVE1TJywzODY5NSk=&amp;WINDOW=FIRST_POPUP&amp;HEIGHT=450&amp;WIDTH=450&amp;START_MA","XIMIZED=FALSE&amp;VAR:CALENDAR=US&amp;VAR:SYMBOL=37183T10&amp;VAR:INDEX=0"}</definedName>
    <definedName name="_5190__FDSAUDITLINK__" hidden="1">{"fdsup://directions/FAT Viewer?action=UPDATE&amp;creator=factset&amp;DYN_ARGS=TRUE&amp;DOC_NAME=FAT:FQL_AUDITING_CLIENT_TEMPLATE.FAT&amp;display_string=Audit&amp;VAR:KEY=ZOZMXSPGVQ&amp;VAR:QUERY=RkZfRUJJVERBX0lCKCdMVE1TJywzODY5NSk=&amp;WINDOW=FIRST_POPUP&amp;HEIGHT=450&amp;WIDTH=450&amp;START_MA","XIMIZED=FALSE&amp;VAR:CALENDAR=US&amp;VAR:SYMBOL=37183T10&amp;VAR:INDEX=0"}</definedName>
    <definedName name="_5191__FDSAUDITLINK__" localSheetId="6" hidden="1">{"fdsup://directions/FAT Viewer?action=UPDATE&amp;creator=factset&amp;DYN_ARGS=TRUE&amp;DOC_NAME=FAT:FQL_AUDITING_CLIENT_TEMPLATE.FAT&amp;display_string=Audit&amp;VAR:KEY=JWZCTANODI&amp;VAR:QUERY=RkZfRUJJVERBX0lCKCdMVE1TJywzODY5NCk=&amp;WINDOW=FIRST_POPUP&amp;HEIGHT=450&amp;WIDTH=450&amp;START_MA","XIMIZED=FALSE&amp;VAR:CALENDAR=US&amp;VAR:SYMBOL=37183T10&amp;VAR:INDEX=0"}</definedName>
    <definedName name="_5191__FDSAUDITLINK__" hidden="1">{"fdsup://directions/FAT Viewer?action=UPDATE&amp;creator=factset&amp;DYN_ARGS=TRUE&amp;DOC_NAME=FAT:FQL_AUDITING_CLIENT_TEMPLATE.FAT&amp;display_string=Audit&amp;VAR:KEY=JWZCTANODI&amp;VAR:QUERY=RkZfRUJJVERBX0lCKCdMVE1TJywzODY5NCk=&amp;WINDOW=FIRST_POPUP&amp;HEIGHT=450&amp;WIDTH=450&amp;START_MA","XIMIZED=FALSE&amp;VAR:CALENDAR=US&amp;VAR:SYMBOL=37183T10&amp;VAR:INDEX=0"}</definedName>
    <definedName name="_5192__FDSAUDITLINK__" localSheetId="6" hidden="1">{"fdsup://directions/FAT Viewer?action=UPDATE&amp;creator=factset&amp;DYN_ARGS=TRUE&amp;DOC_NAME=FAT:FQL_AUDITING_CLIENT_TEMPLATE.FAT&amp;display_string=Audit&amp;VAR:KEY=RKPMFUDQHW&amp;VAR:QUERY=RkZfRUJJVERBX0lCKCdMVE1TJywzODY5Myk=&amp;WINDOW=FIRST_POPUP&amp;HEIGHT=450&amp;WIDTH=450&amp;START_MA","XIMIZED=FALSE&amp;VAR:CALENDAR=US&amp;VAR:SYMBOL=37183T10&amp;VAR:INDEX=0"}</definedName>
    <definedName name="_5192__FDSAUDITLINK__" hidden="1">{"fdsup://directions/FAT Viewer?action=UPDATE&amp;creator=factset&amp;DYN_ARGS=TRUE&amp;DOC_NAME=FAT:FQL_AUDITING_CLIENT_TEMPLATE.FAT&amp;display_string=Audit&amp;VAR:KEY=RKPMFUDQHW&amp;VAR:QUERY=RkZfRUJJVERBX0lCKCdMVE1TJywzODY5Myk=&amp;WINDOW=FIRST_POPUP&amp;HEIGHT=450&amp;WIDTH=450&amp;START_MA","XIMIZED=FALSE&amp;VAR:CALENDAR=US&amp;VAR:SYMBOL=37183T10&amp;VAR:INDEX=0"}</definedName>
    <definedName name="_5193__FDSAUDITLINK__" localSheetId="6" hidden="1">{"fdsup://directions/FAT Viewer?action=UPDATE&amp;creator=factset&amp;DYN_ARGS=TRUE&amp;DOC_NAME=FAT:FQL_AUDITING_CLIENT_TEMPLATE.FAT&amp;display_string=Audit&amp;VAR:KEY=FGTSHIZMXO&amp;VAR:QUERY=RkZfRUJJVERBX0lCKCdMVE1TJywzODY5Mik=&amp;WINDOW=FIRST_POPUP&amp;HEIGHT=450&amp;WIDTH=450&amp;START_MA","XIMIZED=FALSE&amp;VAR:CALENDAR=US&amp;VAR:SYMBOL=37183T10&amp;VAR:INDEX=0"}</definedName>
    <definedName name="_5193__FDSAUDITLINK__" hidden="1">{"fdsup://directions/FAT Viewer?action=UPDATE&amp;creator=factset&amp;DYN_ARGS=TRUE&amp;DOC_NAME=FAT:FQL_AUDITING_CLIENT_TEMPLATE.FAT&amp;display_string=Audit&amp;VAR:KEY=FGTSHIZMXO&amp;VAR:QUERY=RkZfRUJJVERBX0lCKCdMVE1TJywzODY5Mik=&amp;WINDOW=FIRST_POPUP&amp;HEIGHT=450&amp;WIDTH=450&amp;START_MA","XIMIZED=FALSE&amp;VAR:CALENDAR=US&amp;VAR:SYMBOL=37183T10&amp;VAR:INDEX=0"}</definedName>
    <definedName name="_5194__FDSAUDITLINK__" localSheetId="6" hidden="1">{"fdsup://directions/FAT Viewer?action=UPDATE&amp;creator=factset&amp;DYN_ARGS=TRUE&amp;DOC_NAME=FAT:FQL_AUDITING_CLIENT_TEMPLATE.FAT&amp;display_string=Audit&amp;VAR:KEY=FAPERGRIZG&amp;VAR:QUERY=RkZfRUJJVERBX0lCKCdMVE1TJywzODY5MSk=&amp;WINDOW=FIRST_POPUP&amp;HEIGHT=450&amp;WIDTH=450&amp;START_MA","XIMIZED=FALSE&amp;VAR:CALENDAR=US&amp;VAR:SYMBOL=37183T10&amp;VAR:INDEX=0"}</definedName>
    <definedName name="_5194__FDSAUDITLINK__" hidden="1">{"fdsup://directions/FAT Viewer?action=UPDATE&amp;creator=factset&amp;DYN_ARGS=TRUE&amp;DOC_NAME=FAT:FQL_AUDITING_CLIENT_TEMPLATE.FAT&amp;display_string=Audit&amp;VAR:KEY=FAPERGRIZG&amp;VAR:QUERY=RkZfRUJJVERBX0lCKCdMVE1TJywzODY5MSk=&amp;WINDOW=FIRST_POPUP&amp;HEIGHT=450&amp;WIDTH=450&amp;START_MA","XIMIZED=FALSE&amp;VAR:CALENDAR=US&amp;VAR:SYMBOL=37183T10&amp;VAR:INDEX=0"}</definedName>
    <definedName name="_5195__FDSAUDITLINK__" localSheetId="6" hidden="1">{"fdsup://directions/FAT Viewer?action=UPDATE&amp;creator=factset&amp;DYN_ARGS=TRUE&amp;DOC_NAME=FAT:FQL_AUDITING_CLIENT_TEMPLATE.FAT&amp;display_string=Audit&amp;VAR:KEY=HEFCXSFWLO&amp;VAR:QUERY=RkZfRUJJVERBX0lCKCdMVE1TJywzODY5MCk=&amp;WINDOW=FIRST_POPUP&amp;HEIGHT=450&amp;WIDTH=450&amp;START_MA","XIMIZED=FALSE&amp;VAR:CALENDAR=US&amp;VAR:SYMBOL=37183T10&amp;VAR:INDEX=0"}</definedName>
    <definedName name="_5195__FDSAUDITLINK__" hidden="1">{"fdsup://directions/FAT Viewer?action=UPDATE&amp;creator=factset&amp;DYN_ARGS=TRUE&amp;DOC_NAME=FAT:FQL_AUDITING_CLIENT_TEMPLATE.FAT&amp;display_string=Audit&amp;VAR:KEY=HEFCXSFWLO&amp;VAR:QUERY=RkZfRUJJVERBX0lCKCdMVE1TJywzODY5MCk=&amp;WINDOW=FIRST_POPUP&amp;HEIGHT=450&amp;WIDTH=450&amp;START_MA","XIMIZED=FALSE&amp;VAR:CALENDAR=US&amp;VAR:SYMBOL=37183T10&amp;VAR:INDEX=0"}</definedName>
    <definedName name="_5196__FDSAUDITLINK__" localSheetId="6" hidden="1">{"fdsup://directions/FAT Viewer?action=UPDATE&amp;creator=factset&amp;DYN_ARGS=TRUE&amp;DOC_NAME=FAT:FQL_AUDITING_CLIENT_TEMPLATE.FAT&amp;display_string=Audit&amp;VAR:KEY=HWPANGTADW&amp;VAR:QUERY=RkZfRUJJVERBX0lCKCdMVE1TJywzODY4OSk=&amp;WINDOW=FIRST_POPUP&amp;HEIGHT=450&amp;WIDTH=450&amp;START_MA","XIMIZED=FALSE&amp;VAR:CALENDAR=US&amp;VAR:SYMBOL=37183T10&amp;VAR:INDEX=0"}</definedName>
    <definedName name="_5196__FDSAUDITLINK__" hidden="1">{"fdsup://directions/FAT Viewer?action=UPDATE&amp;creator=factset&amp;DYN_ARGS=TRUE&amp;DOC_NAME=FAT:FQL_AUDITING_CLIENT_TEMPLATE.FAT&amp;display_string=Audit&amp;VAR:KEY=HWPANGTADW&amp;VAR:QUERY=RkZfRUJJVERBX0lCKCdMVE1TJywzODY4OSk=&amp;WINDOW=FIRST_POPUP&amp;HEIGHT=450&amp;WIDTH=450&amp;START_MA","XIMIZED=FALSE&amp;VAR:CALENDAR=US&amp;VAR:SYMBOL=37183T10&amp;VAR:INDEX=0"}</definedName>
    <definedName name="_5197__FDSAUDITLINK__" localSheetId="6" hidden="1">{"fdsup://directions/FAT Viewer?action=UPDATE&amp;creator=factset&amp;DYN_ARGS=TRUE&amp;DOC_NAME=FAT:FQL_AUDITING_CLIENT_TEMPLATE.FAT&amp;display_string=Audit&amp;VAR:KEY=HKTKVKXGVU&amp;VAR:QUERY=RkZfRUJJVERBX0lCKCdMVE1TJywzODY4OCk=&amp;WINDOW=FIRST_POPUP&amp;HEIGHT=450&amp;WIDTH=450&amp;START_MA","XIMIZED=FALSE&amp;VAR:CALENDAR=US&amp;VAR:SYMBOL=37183T10&amp;VAR:INDEX=0"}</definedName>
    <definedName name="_5197__FDSAUDITLINK__" hidden="1">{"fdsup://directions/FAT Viewer?action=UPDATE&amp;creator=factset&amp;DYN_ARGS=TRUE&amp;DOC_NAME=FAT:FQL_AUDITING_CLIENT_TEMPLATE.FAT&amp;display_string=Audit&amp;VAR:KEY=HKTKVKXGVU&amp;VAR:QUERY=RkZfRUJJVERBX0lCKCdMVE1TJywzODY4OCk=&amp;WINDOW=FIRST_POPUP&amp;HEIGHT=450&amp;WIDTH=450&amp;START_MA","XIMIZED=FALSE&amp;VAR:CALENDAR=US&amp;VAR:SYMBOL=37183T10&amp;VAR:INDEX=0"}</definedName>
    <definedName name="_5198__FDSAUDITLINK__" localSheetId="6" hidden="1">{"fdsup://directions/FAT Viewer?action=UPDATE&amp;creator=factset&amp;DYN_ARGS=TRUE&amp;DOC_NAME=FAT:FQL_AUDITING_CLIENT_TEMPLATE.FAT&amp;display_string=Audit&amp;VAR:KEY=TURWDMPEXY&amp;VAR:QUERY=RkZfRUJJVERBX0lCKCdMVE1TJywzODY4Nyk=&amp;WINDOW=FIRST_POPUP&amp;HEIGHT=450&amp;WIDTH=450&amp;START_MA","XIMIZED=FALSE&amp;VAR:CALENDAR=US&amp;VAR:SYMBOL=37183T10&amp;VAR:INDEX=0"}</definedName>
    <definedName name="_5198__FDSAUDITLINK__" hidden="1">{"fdsup://directions/FAT Viewer?action=UPDATE&amp;creator=factset&amp;DYN_ARGS=TRUE&amp;DOC_NAME=FAT:FQL_AUDITING_CLIENT_TEMPLATE.FAT&amp;display_string=Audit&amp;VAR:KEY=TURWDMPEXY&amp;VAR:QUERY=RkZfRUJJVERBX0lCKCdMVE1TJywzODY4Nyk=&amp;WINDOW=FIRST_POPUP&amp;HEIGHT=450&amp;WIDTH=450&amp;START_MA","XIMIZED=FALSE&amp;VAR:CALENDAR=US&amp;VAR:SYMBOL=37183T10&amp;VAR:INDEX=0"}</definedName>
    <definedName name="_5199__FDSAUDITLINK__" localSheetId="6" hidden="1">{"fdsup://directions/FAT Viewer?action=UPDATE&amp;creator=factset&amp;DYN_ARGS=TRUE&amp;DOC_NAME=FAT:FQL_AUDITING_CLIENT_TEMPLATE.FAT&amp;display_string=Audit&amp;VAR:KEY=RSDGBYRCBM&amp;VAR:QUERY=RkZfRUJJVERBX0lCKCdMVE1TJywzODY4Nik=&amp;WINDOW=FIRST_POPUP&amp;HEIGHT=450&amp;WIDTH=450&amp;START_MA","XIMIZED=FALSE&amp;VAR:CALENDAR=US&amp;VAR:SYMBOL=37183T10&amp;VAR:INDEX=0"}</definedName>
    <definedName name="_5199__FDSAUDITLINK__" hidden="1">{"fdsup://directions/FAT Viewer?action=UPDATE&amp;creator=factset&amp;DYN_ARGS=TRUE&amp;DOC_NAME=FAT:FQL_AUDITING_CLIENT_TEMPLATE.FAT&amp;display_string=Audit&amp;VAR:KEY=RSDGBYRCBM&amp;VAR:QUERY=RkZfRUJJVERBX0lCKCdMVE1TJywzODY4Nik=&amp;WINDOW=FIRST_POPUP&amp;HEIGHT=450&amp;WIDTH=450&amp;START_MA","XIMIZED=FALSE&amp;VAR:CALENDAR=US&amp;VAR:SYMBOL=37183T10&amp;VAR:INDEX=0"}</definedName>
    <definedName name="_52__FDSAUDITLINK__" localSheetId="6" hidden="1">{"fdsup://directions/FAT Viewer?action=UPDATE&amp;creator=factset&amp;DYN_ARGS=TRUE&amp;DOC_NAME=FAT:FQL_AUDITING_CLIENT_TEMPLATE.FAT&amp;display_string=Audit&amp;VAR:KEY=RAXYXKLGZS&amp;VAR:QUERY=QVZHKENTRl9ORVRfSU5DKEFOTiwwRlksLTZGWSxZKSkgLyAoQVZHKENTRl9BU1NFVFMoQU5OLDBGWSwtNkZZL","EZZKSkgLSBBVkcoQ1NGX0lOVEFORyhBTk4sMCwtNkZZLEZZKSkp&amp;WINDOW=FIRST_POPUP&amp;HEIGHT=450&amp;WIDTH=450&amp;START_MAXIMIZED=FALSE&amp;VAR:CALENDAR=US&amp;VAR:SYMBOL=293846"}</definedName>
    <definedName name="_52__FDSAUDITLINK__" hidden="1">{"fdsup://directions/FAT Viewer?action=UPDATE&amp;creator=factset&amp;DYN_ARGS=TRUE&amp;DOC_NAME=FAT:FQL_AUDITING_CLIENT_TEMPLATE.FAT&amp;display_string=Audit&amp;VAR:KEY=RAXYXKLGZS&amp;VAR:QUERY=QVZHKENTRl9ORVRfSU5DKEFOTiwwRlksLTZGWSxZKSkgLyAoQVZHKENTRl9BU1NFVFMoQU5OLDBGWSwtNkZZL","EZZKSkgLSBBVkcoQ1NGX0lOVEFORyhBTk4sMCwtNkZZLEZZKSkp&amp;WINDOW=FIRST_POPUP&amp;HEIGHT=450&amp;WIDTH=450&amp;START_MAXIMIZED=FALSE&amp;VAR:CALENDAR=US&amp;VAR:SYMBOL=293846"}</definedName>
    <definedName name="_520__FDSAUDITLINK__" localSheetId="6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0__FDSAUDITLINK__" hidden="1">{"fdsup://directions/FAT%20Viewer?VAR:PED=LTM&amp;VAR:AUDIT_MODE=SUMMARY&amp;VAR:PERIOD=FIXED&amp;VAR:AUDIT_ID=00000117&amp;VAR:DATE=20080919&amp;action=UPDATE&amp;creator=factset&amp;DOC_NAME=FAT:FMA_audit_SUMMARY.fat&amp;DISPLAY_STRING=Display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00__FDSAUDITLINK__" localSheetId="6" hidden="1">{"fdsup://directions/FAT Viewer?action=UPDATE&amp;creator=factset&amp;DYN_ARGS=TRUE&amp;DOC_NAME=FAT:FQL_AUDITING_CLIENT_TEMPLATE.FAT&amp;display_string=Audit&amp;VAR:KEY=BCXCPKBYLI&amp;VAR:QUERY=RkZfRUJJVERBX0lCKCdMVE1TJywzODY4NSk=&amp;WINDOW=FIRST_POPUP&amp;HEIGHT=450&amp;WIDTH=450&amp;START_MA","XIMIZED=FALSE&amp;VAR:CALENDAR=US&amp;VAR:SYMBOL=37183T10&amp;VAR:INDEX=0"}</definedName>
    <definedName name="_5200__FDSAUDITLINK__" hidden="1">{"fdsup://directions/FAT Viewer?action=UPDATE&amp;creator=factset&amp;DYN_ARGS=TRUE&amp;DOC_NAME=FAT:FQL_AUDITING_CLIENT_TEMPLATE.FAT&amp;display_string=Audit&amp;VAR:KEY=BCXCPKBYLI&amp;VAR:QUERY=RkZfRUJJVERBX0lCKCdMVE1TJywzODY4NSk=&amp;WINDOW=FIRST_POPUP&amp;HEIGHT=450&amp;WIDTH=450&amp;START_MA","XIMIZED=FALSE&amp;VAR:CALENDAR=US&amp;VAR:SYMBOL=37183T10&amp;VAR:INDEX=0"}</definedName>
    <definedName name="_5201__FDSAUDITLINK__" localSheetId="6" hidden="1">{"fdsup://directions/FAT Viewer?action=UPDATE&amp;creator=factset&amp;DYN_ARGS=TRUE&amp;DOC_NAME=FAT:FQL_AUDITING_CLIENT_TEMPLATE.FAT&amp;display_string=Audit&amp;VAR:KEY=DGNMTEJORM&amp;VAR:QUERY=RkZfRUJJVERBX0lCKCdMVE1TJywzODY4NCk=&amp;WINDOW=FIRST_POPUP&amp;HEIGHT=450&amp;WIDTH=450&amp;START_MA","XIMIZED=FALSE&amp;VAR:CALENDAR=US&amp;VAR:SYMBOL=37183T10&amp;VAR:INDEX=0"}</definedName>
    <definedName name="_5201__FDSAUDITLINK__" hidden="1">{"fdsup://directions/FAT Viewer?action=UPDATE&amp;creator=factset&amp;DYN_ARGS=TRUE&amp;DOC_NAME=FAT:FQL_AUDITING_CLIENT_TEMPLATE.FAT&amp;display_string=Audit&amp;VAR:KEY=DGNMTEJORM&amp;VAR:QUERY=RkZfRUJJVERBX0lCKCdMVE1TJywzODY4NCk=&amp;WINDOW=FIRST_POPUP&amp;HEIGHT=450&amp;WIDTH=450&amp;START_MA","XIMIZED=FALSE&amp;VAR:CALENDAR=US&amp;VAR:SYMBOL=37183T10&amp;VAR:INDEX=0"}</definedName>
    <definedName name="_5202__FDSAUDITLINK__" localSheetId="6" hidden="1">{"fdsup://directions/FAT Viewer?action=UPDATE&amp;creator=factset&amp;DYN_ARGS=TRUE&amp;DOC_NAME=FAT:FQL_AUDITING_CLIENT_TEMPLATE.FAT&amp;display_string=Audit&amp;VAR:KEY=PUPEJOPIVQ&amp;VAR:QUERY=RkZfRUJJVERBX0lCKCdMVE1TJywzODY4Myk=&amp;WINDOW=FIRST_POPUP&amp;HEIGHT=450&amp;WIDTH=450&amp;START_MA","XIMIZED=FALSE&amp;VAR:CALENDAR=US&amp;VAR:SYMBOL=37183T10&amp;VAR:INDEX=0"}</definedName>
    <definedName name="_5202__FDSAUDITLINK__" hidden="1">{"fdsup://directions/FAT Viewer?action=UPDATE&amp;creator=factset&amp;DYN_ARGS=TRUE&amp;DOC_NAME=FAT:FQL_AUDITING_CLIENT_TEMPLATE.FAT&amp;display_string=Audit&amp;VAR:KEY=PUPEJOPIVQ&amp;VAR:QUERY=RkZfRUJJVERBX0lCKCdMVE1TJywzODY4Myk=&amp;WINDOW=FIRST_POPUP&amp;HEIGHT=450&amp;WIDTH=450&amp;START_MA","XIMIZED=FALSE&amp;VAR:CALENDAR=US&amp;VAR:SYMBOL=37183T10&amp;VAR:INDEX=0"}</definedName>
    <definedName name="_5203__FDSAUDITLINK__" localSheetId="6" hidden="1">{"fdsup://directions/FAT Viewer?action=UPDATE&amp;creator=factset&amp;DYN_ARGS=TRUE&amp;DOC_NAME=FAT:FQL_AUDITING_CLIENT_TEMPLATE.FAT&amp;display_string=Audit&amp;VAR:KEY=ZYPYZERCHM&amp;VAR:QUERY=RkZfRUJJVERBX0lCKCdMVE1TJywzODY4Mik=&amp;WINDOW=FIRST_POPUP&amp;HEIGHT=450&amp;WIDTH=450&amp;START_MA","XIMIZED=FALSE&amp;VAR:CALENDAR=US&amp;VAR:SYMBOL=37183T10&amp;VAR:INDEX=0"}</definedName>
    <definedName name="_5203__FDSAUDITLINK__" hidden="1">{"fdsup://directions/FAT Viewer?action=UPDATE&amp;creator=factset&amp;DYN_ARGS=TRUE&amp;DOC_NAME=FAT:FQL_AUDITING_CLIENT_TEMPLATE.FAT&amp;display_string=Audit&amp;VAR:KEY=ZYPYZERCHM&amp;VAR:QUERY=RkZfRUJJVERBX0lCKCdMVE1TJywzODY4Mik=&amp;WINDOW=FIRST_POPUP&amp;HEIGHT=450&amp;WIDTH=450&amp;START_MA","XIMIZED=FALSE&amp;VAR:CALENDAR=US&amp;VAR:SYMBOL=37183T10&amp;VAR:INDEX=0"}</definedName>
    <definedName name="_5204__FDSAUDITLINK__" localSheetId="6" hidden="1">{"fdsup://directions/FAT Viewer?action=UPDATE&amp;creator=factset&amp;DYN_ARGS=TRUE&amp;DOC_NAME=FAT:FQL_AUDITING_CLIENT_TEMPLATE.FAT&amp;display_string=Audit&amp;VAR:KEY=ZGHUTADQTC&amp;VAR:QUERY=RkZfRUJJVERBX0lCKCdMVE1TJywzODY4MSk=&amp;WINDOW=FIRST_POPUP&amp;HEIGHT=450&amp;WIDTH=450&amp;START_MA","XIMIZED=FALSE&amp;VAR:CALENDAR=US&amp;VAR:SYMBOL=37183T10&amp;VAR:INDEX=0"}</definedName>
    <definedName name="_5204__FDSAUDITLINK__" hidden="1">{"fdsup://directions/FAT Viewer?action=UPDATE&amp;creator=factset&amp;DYN_ARGS=TRUE&amp;DOC_NAME=FAT:FQL_AUDITING_CLIENT_TEMPLATE.FAT&amp;display_string=Audit&amp;VAR:KEY=ZGHUTADQTC&amp;VAR:QUERY=RkZfRUJJVERBX0lCKCdMVE1TJywzODY4MSk=&amp;WINDOW=FIRST_POPUP&amp;HEIGHT=450&amp;WIDTH=450&amp;START_MA","XIMIZED=FALSE&amp;VAR:CALENDAR=US&amp;VAR:SYMBOL=37183T10&amp;VAR:INDEX=0"}</definedName>
    <definedName name="_5205__FDSAUDITLINK__" localSheetId="6" hidden="1">{"fdsup://directions/FAT Viewer?action=UPDATE&amp;creator=factset&amp;DYN_ARGS=TRUE&amp;DOC_NAME=FAT:FQL_AUDITING_CLIENT_TEMPLATE.FAT&amp;display_string=Audit&amp;VAR:KEY=LQJGVYBKFQ&amp;VAR:QUERY=RkZfRUJJVERBX0lCKCdMVE1TJywzODY4MCk=&amp;WINDOW=FIRST_POPUP&amp;HEIGHT=450&amp;WIDTH=450&amp;START_MA","XIMIZED=FALSE&amp;VAR:CALENDAR=US&amp;VAR:SYMBOL=37183T10&amp;VAR:INDEX=0"}</definedName>
    <definedName name="_5205__FDSAUDITLINK__" hidden="1">{"fdsup://directions/FAT Viewer?action=UPDATE&amp;creator=factset&amp;DYN_ARGS=TRUE&amp;DOC_NAME=FAT:FQL_AUDITING_CLIENT_TEMPLATE.FAT&amp;display_string=Audit&amp;VAR:KEY=LQJGVYBKFQ&amp;VAR:QUERY=RkZfRUJJVERBX0lCKCdMVE1TJywzODY4MCk=&amp;WINDOW=FIRST_POPUP&amp;HEIGHT=450&amp;WIDTH=450&amp;START_MA","XIMIZED=FALSE&amp;VAR:CALENDAR=US&amp;VAR:SYMBOL=37183T10&amp;VAR:INDEX=0"}</definedName>
    <definedName name="_5206__FDSAUDITLINK__" localSheetId="6" hidden="1">{"fdsup://directions/FAT Viewer?action=UPDATE&amp;creator=factset&amp;DYN_ARGS=TRUE&amp;DOC_NAME=FAT:FQL_AUDITING_CLIENT_TEMPLATE.FAT&amp;display_string=Audit&amp;VAR:KEY=BKFINWBCXE&amp;VAR:QUERY=RkZfRUJJVERBX0lCKCdMVE1TJywzODY3OSk=&amp;WINDOW=FIRST_POPUP&amp;HEIGHT=450&amp;WIDTH=450&amp;START_MA","XIMIZED=FALSE&amp;VAR:CALENDAR=US&amp;VAR:SYMBOL=37183T10&amp;VAR:INDEX=0"}</definedName>
    <definedName name="_5206__FDSAUDITLINK__" hidden="1">{"fdsup://directions/FAT Viewer?action=UPDATE&amp;creator=factset&amp;DYN_ARGS=TRUE&amp;DOC_NAME=FAT:FQL_AUDITING_CLIENT_TEMPLATE.FAT&amp;display_string=Audit&amp;VAR:KEY=BKFINWBCXE&amp;VAR:QUERY=RkZfRUJJVERBX0lCKCdMVE1TJywzODY3OSk=&amp;WINDOW=FIRST_POPUP&amp;HEIGHT=450&amp;WIDTH=450&amp;START_MA","XIMIZED=FALSE&amp;VAR:CALENDAR=US&amp;VAR:SYMBOL=37183T10&amp;VAR:INDEX=0"}</definedName>
    <definedName name="_5207__FDSAUDITLINK__" localSheetId="6" hidden="1">{"fdsup://directions/FAT Viewer?action=UPDATE&amp;creator=factset&amp;DYN_ARGS=TRUE&amp;DOC_NAME=FAT:FQL_AUDITING_CLIENT_TEMPLATE.FAT&amp;display_string=Audit&amp;VAR:KEY=FUFOHUVCHU&amp;VAR:QUERY=RkZfRUJJVERBX0lCKCdMVE1TJywzODY3OCk=&amp;WINDOW=FIRST_POPUP&amp;HEIGHT=450&amp;WIDTH=450&amp;START_MA","XIMIZED=FALSE&amp;VAR:CALENDAR=US&amp;VAR:SYMBOL=37183T10&amp;VAR:INDEX=0"}</definedName>
    <definedName name="_5207__FDSAUDITLINK__" hidden="1">{"fdsup://directions/FAT Viewer?action=UPDATE&amp;creator=factset&amp;DYN_ARGS=TRUE&amp;DOC_NAME=FAT:FQL_AUDITING_CLIENT_TEMPLATE.FAT&amp;display_string=Audit&amp;VAR:KEY=FUFOHUVCHU&amp;VAR:QUERY=RkZfRUJJVERBX0lCKCdMVE1TJywzODY3OCk=&amp;WINDOW=FIRST_POPUP&amp;HEIGHT=450&amp;WIDTH=450&amp;START_MA","XIMIZED=FALSE&amp;VAR:CALENDAR=US&amp;VAR:SYMBOL=37183T10&amp;VAR:INDEX=0"}</definedName>
    <definedName name="_5208__FDSAUDITLINK__" localSheetId="6" hidden="1">{"fdsup://directions/FAT Viewer?action=UPDATE&amp;creator=factset&amp;DYN_ARGS=TRUE&amp;DOC_NAME=FAT:FQL_AUDITING_CLIENT_TEMPLATE.FAT&amp;display_string=Audit&amp;VAR:KEY=HELMJKDUXS&amp;VAR:QUERY=RkZfRUJJVERBX0lCKCdMVE1TJywzODY3Nyk=&amp;WINDOW=FIRST_POPUP&amp;HEIGHT=450&amp;WIDTH=450&amp;START_MA","XIMIZED=FALSE&amp;VAR:CALENDAR=US&amp;VAR:SYMBOL=37183T10&amp;VAR:INDEX=0"}</definedName>
    <definedName name="_5208__FDSAUDITLINK__" hidden="1">{"fdsup://directions/FAT Viewer?action=UPDATE&amp;creator=factset&amp;DYN_ARGS=TRUE&amp;DOC_NAME=FAT:FQL_AUDITING_CLIENT_TEMPLATE.FAT&amp;display_string=Audit&amp;VAR:KEY=HELMJKDUXS&amp;VAR:QUERY=RkZfRUJJVERBX0lCKCdMVE1TJywzODY3Nyk=&amp;WINDOW=FIRST_POPUP&amp;HEIGHT=450&amp;WIDTH=450&amp;START_MA","XIMIZED=FALSE&amp;VAR:CALENDAR=US&amp;VAR:SYMBOL=37183T10&amp;VAR:INDEX=0"}</definedName>
    <definedName name="_5209__FDSAUDITLINK__" localSheetId="6" hidden="1">{"fdsup://directions/FAT Viewer?action=UPDATE&amp;creator=factset&amp;DYN_ARGS=TRUE&amp;DOC_NAME=FAT:FQL_AUDITING_CLIENT_TEMPLATE.FAT&amp;display_string=Audit&amp;VAR:KEY=PUJMRSDILE&amp;VAR:QUERY=RkZfRUJJVERBX0lCKCdMVE1TJywzODY3Nik=&amp;WINDOW=FIRST_POPUP&amp;HEIGHT=450&amp;WIDTH=450&amp;START_MA","XIMIZED=FALSE&amp;VAR:CALENDAR=US&amp;VAR:SYMBOL=37183T10&amp;VAR:INDEX=0"}</definedName>
    <definedName name="_5209__FDSAUDITLINK__" hidden="1">{"fdsup://directions/FAT Viewer?action=UPDATE&amp;creator=factset&amp;DYN_ARGS=TRUE&amp;DOC_NAME=FAT:FQL_AUDITING_CLIENT_TEMPLATE.FAT&amp;display_string=Audit&amp;VAR:KEY=PUJMRSDILE&amp;VAR:QUERY=RkZfRUJJVERBX0lCKCdMVE1TJywzODY3Nik=&amp;WINDOW=FIRST_POPUP&amp;HEIGHT=450&amp;WIDTH=450&amp;START_MA","XIMIZED=FALSE&amp;VAR:CALENDAR=US&amp;VAR:SYMBOL=37183T10&amp;VAR:INDEX=0"}</definedName>
    <definedName name="_521__FDSAUDITLINK__" localSheetId="6" hidden="1">{"fdsup://directions/FAT%20Viewer?VAR:PED=LTM&amp;VAR:AUDIT_MODE=SUMMARY&amp;VAR:PERIOD=FIXED&amp;VAR:AUDIT_ID=00000117&amp;VAR:DATE=20080918&amp;action=UPDATE&amp;creator=factset&amp;DOC_NAME=FAT:FMA_audit_SUMMARY.fat&amp;DISPLAY_STRING=Display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1__FDSAUDITLINK__" hidden="1">{"fdsup://directions/FAT%20Viewer?VAR:PED=LTM&amp;VAR:AUDIT_MODE=SUMMARY&amp;VAR:PERIOD=FIXED&amp;VAR:AUDIT_ID=00000117&amp;VAR:DATE=20080918&amp;action=UPDATE&amp;creator=factset&amp;DOC_NAME=FAT:FMA_audit_SUMMARY.fat&amp;DISPLAY_STRING=Display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10__FDSAUDITLINK__" localSheetId="6" hidden="1">{"fdsup://directions/FAT Viewer?action=UPDATE&amp;creator=factset&amp;DYN_ARGS=TRUE&amp;DOC_NAME=FAT:FQL_AUDITING_CLIENT_TEMPLATE.FAT&amp;display_string=Audit&amp;VAR:KEY=DCPSFUXIDC&amp;VAR:QUERY=RkZfRUJJVERBX0lCKCdMVE1TJywzODY3NSk=&amp;WINDOW=FIRST_POPUP&amp;HEIGHT=450&amp;WIDTH=450&amp;START_MA","XIMIZED=FALSE&amp;VAR:CALENDAR=US&amp;VAR:SYMBOL=37183T10&amp;VAR:INDEX=0"}</definedName>
    <definedName name="_5210__FDSAUDITLINK__" hidden="1">{"fdsup://directions/FAT Viewer?action=UPDATE&amp;creator=factset&amp;DYN_ARGS=TRUE&amp;DOC_NAME=FAT:FQL_AUDITING_CLIENT_TEMPLATE.FAT&amp;display_string=Audit&amp;VAR:KEY=DCPSFUXIDC&amp;VAR:QUERY=RkZfRUJJVERBX0lCKCdMVE1TJywzODY3NSk=&amp;WINDOW=FIRST_POPUP&amp;HEIGHT=450&amp;WIDTH=450&amp;START_MA","XIMIZED=FALSE&amp;VAR:CALENDAR=US&amp;VAR:SYMBOL=37183T10&amp;VAR:INDEX=0"}</definedName>
    <definedName name="_5211__FDSAUDITLINK__" localSheetId="6" hidden="1">{"fdsup://directions/FAT Viewer?action=UPDATE&amp;creator=factset&amp;DYN_ARGS=TRUE&amp;DOC_NAME=FAT:FQL_AUDITING_CLIENT_TEMPLATE.FAT&amp;display_string=Audit&amp;VAR:KEY=LAPKPMBQPU&amp;VAR:QUERY=RkZfRUJJVERBX0lCKCdMVE1TJywzODY3NCk=&amp;WINDOW=FIRST_POPUP&amp;HEIGHT=450&amp;WIDTH=450&amp;START_MA","XIMIZED=FALSE&amp;VAR:CALENDAR=US&amp;VAR:SYMBOL=37183T10&amp;VAR:INDEX=0"}</definedName>
    <definedName name="_5211__FDSAUDITLINK__" hidden="1">{"fdsup://directions/FAT Viewer?action=UPDATE&amp;creator=factset&amp;DYN_ARGS=TRUE&amp;DOC_NAME=FAT:FQL_AUDITING_CLIENT_TEMPLATE.FAT&amp;display_string=Audit&amp;VAR:KEY=LAPKPMBQPU&amp;VAR:QUERY=RkZfRUJJVERBX0lCKCdMVE1TJywzODY3NCk=&amp;WINDOW=FIRST_POPUP&amp;HEIGHT=450&amp;WIDTH=450&amp;START_MA","XIMIZED=FALSE&amp;VAR:CALENDAR=US&amp;VAR:SYMBOL=37183T10&amp;VAR:INDEX=0"}</definedName>
    <definedName name="_5212__FDSAUDITLINK__" localSheetId="6" hidden="1">{"fdsup://directions/FAT Viewer?action=UPDATE&amp;creator=factset&amp;DYN_ARGS=TRUE&amp;DOC_NAME=FAT:FQL_AUDITING_CLIENT_TEMPLATE.FAT&amp;display_string=Audit&amp;VAR:KEY=NQFUJQFGVQ&amp;VAR:QUERY=RkZfRUJJVERBX0lCKCdMVE1TJywzODY3Myk=&amp;WINDOW=FIRST_POPUP&amp;HEIGHT=450&amp;WIDTH=450&amp;START_MA","XIMIZED=FALSE&amp;VAR:CALENDAR=US&amp;VAR:SYMBOL=37183T10&amp;VAR:INDEX=0"}</definedName>
    <definedName name="_5212__FDSAUDITLINK__" hidden="1">{"fdsup://directions/FAT Viewer?action=UPDATE&amp;creator=factset&amp;DYN_ARGS=TRUE&amp;DOC_NAME=FAT:FQL_AUDITING_CLIENT_TEMPLATE.FAT&amp;display_string=Audit&amp;VAR:KEY=NQFUJQFGVQ&amp;VAR:QUERY=RkZfRUJJVERBX0lCKCdMVE1TJywzODY3Myk=&amp;WINDOW=FIRST_POPUP&amp;HEIGHT=450&amp;WIDTH=450&amp;START_MA","XIMIZED=FALSE&amp;VAR:CALENDAR=US&amp;VAR:SYMBOL=37183T10&amp;VAR:INDEX=0"}</definedName>
    <definedName name="_5213__FDSAUDITLINK__" localSheetId="6" hidden="1">{"fdsup://directions/FAT Viewer?action=UPDATE&amp;creator=factset&amp;DYN_ARGS=TRUE&amp;DOC_NAME=FAT:FQL_AUDITING_CLIENT_TEMPLATE.FAT&amp;display_string=Audit&amp;VAR:KEY=JGVWVWTURI&amp;VAR:QUERY=RkZfRUJJVERBX0lCKCdMVE1TJywzODY3Mik=&amp;WINDOW=FIRST_POPUP&amp;HEIGHT=450&amp;WIDTH=450&amp;START_MA","XIMIZED=FALSE&amp;VAR:CALENDAR=US&amp;VAR:SYMBOL=37183T10&amp;VAR:INDEX=0"}</definedName>
    <definedName name="_5213__FDSAUDITLINK__" hidden="1">{"fdsup://directions/FAT Viewer?action=UPDATE&amp;creator=factset&amp;DYN_ARGS=TRUE&amp;DOC_NAME=FAT:FQL_AUDITING_CLIENT_TEMPLATE.FAT&amp;display_string=Audit&amp;VAR:KEY=JGVWVWTURI&amp;VAR:QUERY=RkZfRUJJVERBX0lCKCdMVE1TJywzODY3Mik=&amp;WINDOW=FIRST_POPUP&amp;HEIGHT=450&amp;WIDTH=450&amp;START_MA","XIMIZED=FALSE&amp;VAR:CALENDAR=US&amp;VAR:SYMBOL=37183T10&amp;VAR:INDEX=0"}</definedName>
    <definedName name="_5214__FDSAUDITLINK__" localSheetId="6" hidden="1">{"fdsup://directions/FAT Viewer?action=UPDATE&amp;creator=factset&amp;DYN_ARGS=TRUE&amp;DOC_NAME=FAT:FQL_AUDITING_CLIENT_TEMPLATE.FAT&amp;display_string=Audit&amp;VAR:KEY=TABCXWHGNU&amp;VAR:QUERY=RkZfRUJJVERBX0lCKCdMVE1TJywzODY3MSk=&amp;WINDOW=FIRST_POPUP&amp;HEIGHT=450&amp;WIDTH=450&amp;START_MA","XIMIZED=FALSE&amp;VAR:CALENDAR=US&amp;VAR:SYMBOL=37183T10&amp;VAR:INDEX=0"}</definedName>
    <definedName name="_5214__FDSAUDITLINK__" hidden="1">{"fdsup://directions/FAT Viewer?action=UPDATE&amp;creator=factset&amp;DYN_ARGS=TRUE&amp;DOC_NAME=FAT:FQL_AUDITING_CLIENT_TEMPLATE.FAT&amp;display_string=Audit&amp;VAR:KEY=TABCXWHGNU&amp;VAR:QUERY=RkZfRUJJVERBX0lCKCdMVE1TJywzODY3MSk=&amp;WINDOW=FIRST_POPUP&amp;HEIGHT=450&amp;WIDTH=450&amp;START_MA","XIMIZED=FALSE&amp;VAR:CALENDAR=US&amp;VAR:SYMBOL=37183T10&amp;VAR:INDEX=0"}</definedName>
    <definedName name="_5215__FDSAUDITLINK__" localSheetId="6" hidden="1">{"fdsup://directions/FAT Viewer?action=UPDATE&amp;creator=factset&amp;DYN_ARGS=TRUE&amp;DOC_NAME=FAT:FQL_AUDITING_CLIENT_TEMPLATE.FAT&amp;display_string=Audit&amp;VAR:KEY=NOJYJQDYHG&amp;VAR:QUERY=RkZfRUJJVERBX0lCKCdMVE1TJywzODY3MCk=&amp;WINDOW=FIRST_POPUP&amp;HEIGHT=450&amp;WIDTH=450&amp;START_MA","XIMIZED=FALSE&amp;VAR:CALENDAR=US&amp;VAR:SYMBOL=37183T10&amp;VAR:INDEX=0"}</definedName>
    <definedName name="_5215__FDSAUDITLINK__" hidden="1">{"fdsup://directions/FAT Viewer?action=UPDATE&amp;creator=factset&amp;DYN_ARGS=TRUE&amp;DOC_NAME=FAT:FQL_AUDITING_CLIENT_TEMPLATE.FAT&amp;display_string=Audit&amp;VAR:KEY=NOJYJQDYHG&amp;VAR:QUERY=RkZfRUJJVERBX0lCKCdMVE1TJywzODY3MCk=&amp;WINDOW=FIRST_POPUP&amp;HEIGHT=450&amp;WIDTH=450&amp;START_MA","XIMIZED=FALSE&amp;VAR:CALENDAR=US&amp;VAR:SYMBOL=37183T10&amp;VAR:INDEX=0"}</definedName>
    <definedName name="_5216__FDSAUDITLINK__" localSheetId="6" hidden="1">{"fdsup://directions/FAT Viewer?action=UPDATE&amp;creator=factset&amp;DYN_ARGS=TRUE&amp;DOC_NAME=FAT:FQL_AUDITING_CLIENT_TEMPLATE.FAT&amp;display_string=Audit&amp;VAR:KEY=ZCHENYXYDU&amp;VAR:QUERY=RkZfRUJJVERBX0lCKCdMVE1TJywzODY2OSk=&amp;WINDOW=FIRST_POPUP&amp;HEIGHT=450&amp;WIDTH=450&amp;START_MA","XIMIZED=FALSE&amp;VAR:CALENDAR=US&amp;VAR:SYMBOL=37183T10&amp;VAR:INDEX=0"}</definedName>
    <definedName name="_5216__FDSAUDITLINK__" hidden="1">{"fdsup://directions/FAT Viewer?action=UPDATE&amp;creator=factset&amp;DYN_ARGS=TRUE&amp;DOC_NAME=FAT:FQL_AUDITING_CLIENT_TEMPLATE.FAT&amp;display_string=Audit&amp;VAR:KEY=ZCHENYXYDU&amp;VAR:QUERY=RkZfRUJJVERBX0lCKCdMVE1TJywzODY2OSk=&amp;WINDOW=FIRST_POPUP&amp;HEIGHT=450&amp;WIDTH=450&amp;START_MA","XIMIZED=FALSE&amp;VAR:CALENDAR=US&amp;VAR:SYMBOL=37183T10&amp;VAR:INDEX=0"}</definedName>
    <definedName name="_5217__FDSAUDITLINK__" localSheetId="6" hidden="1">{"fdsup://directions/FAT Viewer?action=UPDATE&amp;creator=factset&amp;DYN_ARGS=TRUE&amp;DOC_NAME=FAT:FQL_AUDITING_CLIENT_TEMPLATE.FAT&amp;display_string=Audit&amp;VAR:KEY=FITQBCPSBO&amp;VAR:QUERY=RkZfRUJJVERBX0lCKCdMVE1TJywzODY2OCk=&amp;WINDOW=FIRST_POPUP&amp;HEIGHT=450&amp;WIDTH=450&amp;START_MA","XIMIZED=FALSE&amp;VAR:CALENDAR=US&amp;VAR:SYMBOL=37183T10&amp;VAR:INDEX=0"}</definedName>
    <definedName name="_5217__FDSAUDITLINK__" hidden="1">{"fdsup://directions/FAT Viewer?action=UPDATE&amp;creator=factset&amp;DYN_ARGS=TRUE&amp;DOC_NAME=FAT:FQL_AUDITING_CLIENT_TEMPLATE.FAT&amp;display_string=Audit&amp;VAR:KEY=FITQBCPSBO&amp;VAR:QUERY=RkZfRUJJVERBX0lCKCdMVE1TJywzODY2OCk=&amp;WINDOW=FIRST_POPUP&amp;HEIGHT=450&amp;WIDTH=450&amp;START_MA","XIMIZED=FALSE&amp;VAR:CALENDAR=US&amp;VAR:SYMBOL=37183T10&amp;VAR:INDEX=0"}</definedName>
    <definedName name="_5218__FDSAUDITLINK__" localSheetId="6" hidden="1">{"fdsup://directions/FAT Viewer?action=UPDATE&amp;creator=factset&amp;DYN_ARGS=TRUE&amp;DOC_NAME=FAT:FQL_AUDITING_CLIENT_TEMPLATE.FAT&amp;display_string=Audit&amp;VAR:KEY=DKLATKJOHE&amp;VAR:QUERY=RkZfRUJJVERBX0lCKCdMVE1TJywzODY2Nyk=&amp;WINDOW=FIRST_POPUP&amp;HEIGHT=450&amp;WIDTH=450&amp;START_MA","XIMIZED=FALSE&amp;VAR:CALENDAR=US&amp;VAR:SYMBOL=37183T10&amp;VAR:INDEX=0"}</definedName>
    <definedName name="_5218__FDSAUDITLINK__" hidden="1">{"fdsup://directions/FAT Viewer?action=UPDATE&amp;creator=factset&amp;DYN_ARGS=TRUE&amp;DOC_NAME=FAT:FQL_AUDITING_CLIENT_TEMPLATE.FAT&amp;display_string=Audit&amp;VAR:KEY=DKLATKJOHE&amp;VAR:QUERY=RkZfRUJJVERBX0lCKCdMVE1TJywzODY2Nyk=&amp;WINDOW=FIRST_POPUP&amp;HEIGHT=450&amp;WIDTH=450&amp;START_MA","XIMIZED=FALSE&amp;VAR:CALENDAR=US&amp;VAR:SYMBOL=37183T10&amp;VAR:INDEX=0"}</definedName>
    <definedName name="_5219__FDSAUDITLINK__" localSheetId="6" hidden="1">{"fdsup://directions/FAT Viewer?action=UPDATE&amp;creator=factset&amp;DYN_ARGS=TRUE&amp;DOC_NAME=FAT:FQL_AUDITING_CLIENT_TEMPLATE.FAT&amp;display_string=Audit&amp;VAR:KEY=XWNEPUPEVK&amp;VAR:QUERY=RkZfRUJJVERBX0lCKCdMVE1TJywzODY2Nik=&amp;WINDOW=FIRST_POPUP&amp;HEIGHT=450&amp;WIDTH=450&amp;START_MA","XIMIZED=FALSE&amp;VAR:CALENDAR=US&amp;VAR:SYMBOL=37183T10&amp;VAR:INDEX=0"}</definedName>
    <definedName name="_5219__FDSAUDITLINK__" hidden="1">{"fdsup://directions/FAT Viewer?action=UPDATE&amp;creator=factset&amp;DYN_ARGS=TRUE&amp;DOC_NAME=FAT:FQL_AUDITING_CLIENT_TEMPLATE.FAT&amp;display_string=Audit&amp;VAR:KEY=XWNEPUPEVK&amp;VAR:QUERY=RkZfRUJJVERBX0lCKCdMVE1TJywzODY2Nik=&amp;WINDOW=FIRST_POPUP&amp;HEIGHT=450&amp;WIDTH=450&amp;START_MA","XIMIZED=FALSE&amp;VAR:CALENDAR=US&amp;VAR:SYMBOL=37183T10&amp;VAR:INDEX=0"}</definedName>
    <definedName name="_522__FDSAUDITLINK__" localSheetId="6" hidden="1">{"fdsup://directions/FAT%20Viewer?VAR:PED=LTM&amp;VAR:AUDIT_MODE=SUMMARY&amp;VAR:PERIOD=FIXED&amp;VAR:AUDIT_ID=00000117&amp;VAR:DATE=20080917&amp;action=UPDATE&amp;creator=factset&amp;DOC_NAME=FAT:FMA_audit_SUMMARY.fat&amp;DISPLAY_STRING=Display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2__FDSAUDITLINK__" hidden="1">{"fdsup://directions/FAT%20Viewer?VAR:PED=LTM&amp;VAR:AUDIT_MODE=SUMMARY&amp;VAR:PERIOD=FIXED&amp;VAR:AUDIT_ID=00000117&amp;VAR:DATE=20080917&amp;action=UPDATE&amp;creator=factset&amp;DOC_NAME=FAT:FMA_audit_SUMMARY.fat&amp;DISPLAY_STRING=Display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20__FDSAUDITLINK__" localSheetId="6" hidden="1">{"fdsup://directions/FAT Viewer?action=UPDATE&amp;creator=factset&amp;DYN_ARGS=TRUE&amp;DOC_NAME=FAT:FQL_AUDITING_CLIENT_TEMPLATE.FAT&amp;display_string=Audit&amp;VAR:KEY=LYDWZIZANU&amp;VAR:QUERY=RkZfRUJJVERBX0lCKCdMVE1TJywzODY2NSk=&amp;WINDOW=FIRST_POPUP&amp;HEIGHT=450&amp;WIDTH=450&amp;START_MA","XIMIZED=FALSE&amp;VAR:CALENDAR=US&amp;VAR:SYMBOL=37183T10&amp;VAR:INDEX=0"}</definedName>
    <definedName name="_5220__FDSAUDITLINK__" hidden="1">{"fdsup://directions/FAT Viewer?action=UPDATE&amp;creator=factset&amp;DYN_ARGS=TRUE&amp;DOC_NAME=FAT:FQL_AUDITING_CLIENT_TEMPLATE.FAT&amp;display_string=Audit&amp;VAR:KEY=LYDWZIZANU&amp;VAR:QUERY=RkZfRUJJVERBX0lCKCdMVE1TJywzODY2NSk=&amp;WINDOW=FIRST_POPUP&amp;HEIGHT=450&amp;WIDTH=450&amp;START_MA","XIMIZED=FALSE&amp;VAR:CALENDAR=US&amp;VAR:SYMBOL=37183T10&amp;VAR:INDEX=0"}</definedName>
    <definedName name="_5221__FDSAUDITLINK__" localSheetId="6" hidden="1">{"fdsup://directions/FAT Viewer?action=UPDATE&amp;creator=factset&amp;DYN_ARGS=TRUE&amp;DOC_NAME=FAT:FQL_AUDITING_CLIENT_TEMPLATE.FAT&amp;display_string=Audit&amp;VAR:KEY=VCZQZUJETU&amp;VAR:QUERY=RkZfRUJJVERBX0lCKCdMVE1TJywzODY2NCk=&amp;WINDOW=FIRST_POPUP&amp;HEIGHT=450&amp;WIDTH=450&amp;START_MA","XIMIZED=FALSE&amp;VAR:CALENDAR=US&amp;VAR:SYMBOL=37183T10&amp;VAR:INDEX=0"}</definedName>
    <definedName name="_5221__FDSAUDITLINK__" hidden="1">{"fdsup://directions/FAT Viewer?action=UPDATE&amp;creator=factset&amp;DYN_ARGS=TRUE&amp;DOC_NAME=FAT:FQL_AUDITING_CLIENT_TEMPLATE.FAT&amp;display_string=Audit&amp;VAR:KEY=VCZQZUJETU&amp;VAR:QUERY=RkZfRUJJVERBX0lCKCdMVE1TJywzODY2NCk=&amp;WINDOW=FIRST_POPUP&amp;HEIGHT=450&amp;WIDTH=450&amp;START_MA","XIMIZED=FALSE&amp;VAR:CALENDAR=US&amp;VAR:SYMBOL=37183T10&amp;VAR:INDEX=0"}</definedName>
    <definedName name="_5222__FDSAUDITLINK__" localSheetId="6" hidden="1">{"fdsup://directions/FAT Viewer?action=UPDATE&amp;creator=factset&amp;DYN_ARGS=TRUE&amp;DOC_NAME=FAT:FQL_AUDITING_CLIENT_TEMPLATE.FAT&amp;display_string=Audit&amp;VAR:KEY=DSXSPSDGDE&amp;VAR:QUERY=RkZfRUJJVERBX0lCKCdMVE1TJywzODY2Myk=&amp;WINDOW=FIRST_POPUP&amp;HEIGHT=450&amp;WIDTH=450&amp;START_MA","XIMIZED=FALSE&amp;VAR:CALENDAR=US&amp;VAR:SYMBOL=37183T10&amp;VAR:INDEX=0"}</definedName>
    <definedName name="_5222__FDSAUDITLINK__" hidden="1">{"fdsup://directions/FAT Viewer?action=UPDATE&amp;creator=factset&amp;DYN_ARGS=TRUE&amp;DOC_NAME=FAT:FQL_AUDITING_CLIENT_TEMPLATE.FAT&amp;display_string=Audit&amp;VAR:KEY=DSXSPSDGDE&amp;VAR:QUERY=RkZfRUJJVERBX0lCKCdMVE1TJywzODY2Myk=&amp;WINDOW=FIRST_POPUP&amp;HEIGHT=450&amp;WIDTH=450&amp;START_MA","XIMIZED=FALSE&amp;VAR:CALENDAR=US&amp;VAR:SYMBOL=37183T10&amp;VAR:INDEX=0"}</definedName>
    <definedName name="_5223__FDSAUDITLINK__" localSheetId="6" hidden="1">{"fdsup://directions/FAT Viewer?action=UPDATE&amp;creator=factset&amp;DYN_ARGS=TRUE&amp;DOC_NAME=FAT:FQL_AUDITING_CLIENT_TEMPLATE.FAT&amp;display_string=Audit&amp;VAR:KEY=DCBUZELIVG&amp;VAR:QUERY=RkZfRUJJVERBX0lCKCdMVE1TJywzODY2Mik=&amp;WINDOW=FIRST_POPUP&amp;HEIGHT=450&amp;WIDTH=450&amp;START_MA","XIMIZED=FALSE&amp;VAR:CALENDAR=US&amp;VAR:SYMBOL=37183T10&amp;VAR:INDEX=0"}</definedName>
    <definedName name="_5223__FDSAUDITLINK__" hidden="1">{"fdsup://directions/FAT Viewer?action=UPDATE&amp;creator=factset&amp;DYN_ARGS=TRUE&amp;DOC_NAME=FAT:FQL_AUDITING_CLIENT_TEMPLATE.FAT&amp;display_string=Audit&amp;VAR:KEY=DCBUZELIVG&amp;VAR:QUERY=RkZfRUJJVERBX0lCKCdMVE1TJywzODY2Mik=&amp;WINDOW=FIRST_POPUP&amp;HEIGHT=450&amp;WIDTH=450&amp;START_MA","XIMIZED=FALSE&amp;VAR:CALENDAR=US&amp;VAR:SYMBOL=37183T10&amp;VAR:INDEX=0"}</definedName>
    <definedName name="_5224__FDSAUDITLINK__" localSheetId="6" hidden="1">{"fdsup://directions/FAT Viewer?action=UPDATE&amp;creator=factset&amp;DYN_ARGS=TRUE&amp;DOC_NAME=FAT:FQL_AUDITING_CLIENT_TEMPLATE.FAT&amp;display_string=Audit&amp;VAR:KEY=LYPIDIHATW&amp;VAR:QUERY=RkZfRUJJVERBX0lCKCdMVE1TJywzODY2MSk=&amp;WINDOW=FIRST_POPUP&amp;HEIGHT=450&amp;WIDTH=450&amp;START_MA","XIMIZED=FALSE&amp;VAR:CALENDAR=US&amp;VAR:SYMBOL=37183T10&amp;VAR:INDEX=0"}</definedName>
    <definedName name="_5224__FDSAUDITLINK__" hidden="1">{"fdsup://directions/FAT Viewer?action=UPDATE&amp;creator=factset&amp;DYN_ARGS=TRUE&amp;DOC_NAME=FAT:FQL_AUDITING_CLIENT_TEMPLATE.FAT&amp;display_string=Audit&amp;VAR:KEY=LYPIDIHATW&amp;VAR:QUERY=RkZfRUJJVERBX0lCKCdMVE1TJywzODY2MSk=&amp;WINDOW=FIRST_POPUP&amp;HEIGHT=450&amp;WIDTH=450&amp;START_MA","XIMIZED=FALSE&amp;VAR:CALENDAR=US&amp;VAR:SYMBOL=37183T10&amp;VAR:INDEX=0"}</definedName>
    <definedName name="_5225__FDSAUDITLINK__" localSheetId="6" hidden="1">{"fdsup://directions/FAT Viewer?action=UPDATE&amp;creator=factset&amp;DYN_ARGS=TRUE&amp;DOC_NAME=FAT:FQL_AUDITING_CLIENT_TEMPLATE.FAT&amp;display_string=Audit&amp;VAR:KEY=ZAJQJSDERK&amp;VAR:QUERY=RkZfRUJJVERBX0lCKCdMVE1TJywzODY2MCk=&amp;WINDOW=FIRST_POPUP&amp;HEIGHT=450&amp;WIDTH=450&amp;START_MA","XIMIZED=FALSE&amp;VAR:CALENDAR=US&amp;VAR:SYMBOL=37183T10&amp;VAR:INDEX=0"}</definedName>
    <definedName name="_5225__FDSAUDITLINK__" hidden="1">{"fdsup://directions/FAT Viewer?action=UPDATE&amp;creator=factset&amp;DYN_ARGS=TRUE&amp;DOC_NAME=FAT:FQL_AUDITING_CLIENT_TEMPLATE.FAT&amp;display_string=Audit&amp;VAR:KEY=ZAJQJSDERK&amp;VAR:QUERY=RkZfRUJJVERBX0lCKCdMVE1TJywzODY2MCk=&amp;WINDOW=FIRST_POPUP&amp;HEIGHT=450&amp;WIDTH=450&amp;START_MA","XIMIZED=FALSE&amp;VAR:CALENDAR=US&amp;VAR:SYMBOL=37183T10&amp;VAR:INDEX=0"}</definedName>
    <definedName name="_5226__FDSAUDITLINK__" localSheetId="6" hidden="1">{"fdsup://directions/FAT Viewer?action=UPDATE&amp;creator=factset&amp;DYN_ARGS=TRUE&amp;DOC_NAME=FAT:FQL_AUDITING_CLIENT_TEMPLATE.FAT&amp;display_string=Audit&amp;VAR:KEY=NAVMVUZQDQ&amp;VAR:QUERY=RkZfRUJJVERBX0lCKCdMVE1TJywzODY1OSk=&amp;WINDOW=FIRST_POPUP&amp;HEIGHT=450&amp;WIDTH=450&amp;START_MA","XIMIZED=FALSE&amp;VAR:CALENDAR=US&amp;VAR:SYMBOL=37183T10&amp;VAR:INDEX=0"}</definedName>
    <definedName name="_5226__FDSAUDITLINK__" hidden="1">{"fdsup://directions/FAT Viewer?action=UPDATE&amp;creator=factset&amp;DYN_ARGS=TRUE&amp;DOC_NAME=FAT:FQL_AUDITING_CLIENT_TEMPLATE.FAT&amp;display_string=Audit&amp;VAR:KEY=NAVMVUZQDQ&amp;VAR:QUERY=RkZfRUJJVERBX0lCKCdMVE1TJywzODY1OSk=&amp;WINDOW=FIRST_POPUP&amp;HEIGHT=450&amp;WIDTH=450&amp;START_MA","XIMIZED=FALSE&amp;VAR:CALENDAR=US&amp;VAR:SYMBOL=37183T10&amp;VAR:INDEX=0"}</definedName>
    <definedName name="_5227__FDSAUDITLINK__" localSheetId="6" hidden="1">{"fdsup://directions/FAT Viewer?action=UPDATE&amp;creator=factset&amp;DYN_ARGS=TRUE&amp;DOC_NAME=FAT:FQL_AUDITING_CLIENT_TEMPLATE.FAT&amp;display_string=Audit&amp;VAR:KEY=VUDSPANSBW&amp;VAR:QUERY=RkZfRUJJVERBX0lCKCdMVE1TJywzODY1OCk=&amp;WINDOW=FIRST_POPUP&amp;HEIGHT=450&amp;WIDTH=450&amp;START_MA","XIMIZED=FALSE&amp;VAR:CALENDAR=US&amp;VAR:SYMBOL=37183T10&amp;VAR:INDEX=0"}</definedName>
    <definedName name="_5227__FDSAUDITLINK__" hidden="1">{"fdsup://directions/FAT Viewer?action=UPDATE&amp;creator=factset&amp;DYN_ARGS=TRUE&amp;DOC_NAME=FAT:FQL_AUDITING_CLIENT_TEMPLATE.FAT&amp;display_string=Audit&amp;VAR:KEY=VUDSPANSBW&amp;VAR:QUERY=RkZfRUJJVERBX0lCKCdMVE1TJywzODY1OCk=&amp;WINDOW=FIRST_POPUP&amp;HEIGHT=450&amp;WIDTH=450&amp;START_MA","XIMIZED=FALSE&amp;VAR:CALENDAR=US&amp;VAR:SYMBOL=37183T10&amp;VAR:INDEX=0"}</definedName>
    <definedName name="_5228__FDSAUDITLINK__" localSheetId="6" hidden="1">{"fdsup://directions/FAT Viewer?action=UPDATE&amp;creator=factset&amp;DYN_ARGS=TRUE&amp;DOC_NAME=FAT:FQL_AUDITING_CLIENT_TEMPLATE.FAT&amp;display_string=Audit&amp;VAR:KEY=XULOTELSRW&amp;VAR:QUERY=RkZfRUJJVERBX0lCKCdMVE1TJywzODY1Nyk=&amp;WINDOW=FIRST_POPUP&amp;HEIGHT=450&amp;WIDTH=450&amp;START_MA","XIMIZED=FALSE&amp;VAR:CALENDAR=US&amp;VAR:SYMBOL=37183T10&amp;VAR:INDEX=0"}</definedName>
    <definedName name="_5228__FDSAUDITLINK__" hidden="1">{"fdsup://directions/FAT Viewer?action=UPDATE&amp;creator=factset&amp;DYN_ARGS=TRUE&amp;DOC_NAME=FAT:FQL_AUDITING_CLIENT_TEMPLATE.FAT&amp;display_string=Audit&amp;VAR:KEY=XULOTELSRW&amp;VAR:QUERY=RkZfRUJJVERBX0lCKCdMVE1TJywzODY1Nyk=&amp;WINDOW=FIRST_POPUP&amp;HEIGHT=450&amp;WIDTH=450&amp;START_MA","XIMIZED=FALSE&amp;VAR:CALENDAR=US&amp;VAR:SYMBOL=37183T10&amp;VAR:INDEX=0"}</definedName>
    <definedName name="_5229__FDSAUDITLINK__" localSheetId="6" hidden="1">{"fdsup://directions/FAT Viewer?action=UPDATE&amp;creator=factset&amp;DYN_ARGS=TRUE&amp;DOC_NAME=FAT:FQL_AUDITING_CLIENT_TEMPLATE.FAT&amp;display_string=Audit&amp;VAR:KEY=VYXAJELYTS&amp;VAR:QUERY=RkZfRUJJVERBX0lCKCdMVE1TJywzODY1Nik=&amp;WINDOW=FIRST_POPUP&amp;HEIGHT=450&amp;WIDTH=450&amp;START_MA","XIMIZED=FALSE&amp;VAR:CALENDAR=US&amp;VAR:SYMBOL=37183T10&amp;VAR:INDEX=0"}</definedName>
    <definedName name="_5229__FDSAUDITLINK__" hidden="1">{"fdsup://directions/FAT Viewer?action=UPDATE&amp;creator=factset&amp;DYN_ARGS=TRUE&amp;DOC_NAME=FAT:FQL_AUDITING_CLIENT_TEMPLATE.FAT&amp;display_string=Audit&amp;VAR:KEY=VYXAJELYTS&amp;VAR:QUERY=RkZfRUJJVERBX0lCKCdMVE1TJywzODY1Nik=&amp;WINDOW=FIRST_POPUP&amp;HEIGHT=450&amp;WIDTH=450&amp;START_MA","XIMIZED=FALSE&amp;VAR:CALENDAR=US&amp;VAR:SYMBOL=37183T10&amp;VAR:INDEX=0"}</definedName>
    <definedName name="_523__FDSAUDITLINK__" localSheetId="6" hidden="1">{"fdsup://directions/FAT%20Viewer?VAR:PED=LTM&amp;VAR:AUDIT_MODE=SUMMARY&amp;VAR:PERIOD=FIXED&amp;VAR:AUDIT_ID=00000117&amp;VAR:DATE=20080916&amp;action=UPDATE&amp;creator=factset&amp;DOC_NAME=FAT:FMA_audit_SUMMARY.fat&amp;DISPLAY_STRING=Display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3__FDSAUDITLINK__" hidden="1">{"fdsup://directions/FAT%20Viewer?VAR:PED=LTM&amp;VAR:AUDIT_MODE=SUMMARY&amp;VAR:PERIOD=FIXED&amp;VAR:AUDIT_ID=00000117&amp;VAR:DATE=20080916&amp;action=UPDATE&amp;creator=factset&amp;DOC_NAME=FAT:FMA_audit_SUMMARY.fat&amp;DISPLAY_STRING=Display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30__FDSAUDITLINK__" localSheetId="6" hidden="1">{"fdsup://directions/FAT Viewer?action=UPDATE&amp;creator=factset&amp;DYN_ARGS=TRUE&amp;DOC_NAME=FAT:FQL_AUDITING_CLIENT_TEMPLATE.FAT&amp;display_string=Audit&amp;VAR:KEY=JURAFWRKVK&amp;VAR:QUERY=RkZfRUJJVERBX0lCKCdMVE1TJywzODY1NSk=&amp;WINDOW=FIRST_POPUP&amp;HEIGHT=450&amp;WIDTH=450&amp;START_MA","XIMIZED=FALSE&amp;VAR:CALENDAR=US&amp;VAR:SYMBOL=37183T10&amp;VAR:INDEX=0"}</definedName>
    <definedName name="_5230__FDSAUDITLINK__" hidden="1">{"fdsup://directions/FAT Viewer?action=UPDATE&amp;creator=factset&amp;DYN_ARGS=TRUE&amp;DOC_NAME=FAT:FQL_AUDITING_CLIENT_TEMPLATE.FAT&amp;display_string=Audit&amp;VAR:KEY=JURAFWRKVK&amp;VAR:QUERY=RkZfRUJJVERBX0lCKCdMVE1TJywzODY1NSk=&amp;WINDOW=FIRST_POPUP&amp;HEIGHT=450&amp;WIDTH=450&amp;START_MA","XIMIZED=FALSE&amp;VAR:CALENDAR=US&amp;VAR:SYMBOL=37183T10&amp;VAR:INDEX=0"}</definedName>
    <definedName name="_5231__FDSAUDITLINK__" localSheetId="6" hidden="1">{"fdsup://directions/FAT Viewer?action=UPDATE&amp;creator=factset&amp;DYN_ARGS=TRUE&amp;DOC_NAME=FAT:FQL_AUDITING_CLIENT_TEMPLATE.FAT&amp;display_string=Audit&amp;VAR:KEY=LEPEHEVQVU&amp;VAR:QUERY=RkZfRUJJVERBX0lCKCdMVE1TJywzODY1NCk=&amp;WINDOW=FIRST_POPUP&amp;HEIGHT=450&amp;WIDTH=450&amp;START_MA","XIMIZED=FALSE&amp;VAR:CALENDAR=US&amp;VAR:SYMBOL=37183T10&amp;VAR:INDEX=0"}</definedName>
    <definedName name="_5231__FDSAUDITLINK__" hidden="1">{"fdsup://directions/FAT Viewer?action=UPDATE&amp;creator=factset&amp;DYN_ARGS=TRUE&amp;DOC_NAME=FAT:FQL_AUDITING_CLIENT_TEMPLATE.FAT&amp;display_string=Audit&amp;VAR:KEY=LEPEHEVQVU&amp;VAR:QUERY=RkZfRUJJVERBX0lCKCdMVE1TJywzODY1NCk=&amp;WINDOW=FIRST_POPUP&amp;HEIGHT=450&amp;WIDTH=450&amp;START_MA","XIMIZED=FALSE&amp;VAR:CALENDAR=US&amp;VAR:SYMBOL=37183T10&amp;VAR:INDEX=0"}</definedName>
    <definedName name="_5232__FDSAUDITLINK__" localSheetId="6" hidden="1">{"fdsup://directions/FAT Viewer?action=UPDATE&amp;creator=factset&amp;DYN_ARGS=TRUE&amp;DOC_NAME=FAT:FQL_AUDITING_CLIENT_TEMPLATE.FAT&amp;display_string=Audit&amp;VAR:KEY=DOZQTAROLE&amp;VAR:QUERY=RkZfRUJJVERBX0lCKCdMVE1TJywzODY1Myk=&amp;WINDOW=FIRST_POPUP&amp;HEIGHT=450&amp;WIDTH=450&amp;START_MA","XIMIZED=FALSE&amp;VAR:CALENDAR=US&amp;VAR:SYMBOL=37183T10&amp;VAR:INDEX=0"}</definedName>
    <definedName name="_5232__FDSAUDITLINK__" hidden="1">{"fdsup://directions/FAT Viewer?action=UPDATE&amp;creator=factset&amp;DYN_ARGS=TRUE&amp;DOC_NAME=FAT:FQL_AUDITING_CLIENT_TEMPLATE.FAT&amp;display_string=Audit&amp;VAR:KEY=DOZQTAROLE&amp;VAR:QUERY=RkZfRUJJVERBX0lCKCdMVE1TJywzODY1Myk=&amp;WINDOW=FIRST_POPUP&amp;HEIGHT=450&amp;WIDTH=450&amp;START_MA","XIMIZED=FALSE&amp;VAR:CALENDAR=US&amp;VAR:SYMBOL=37183T10&amp;VAR:INDEX=0"}</definedName>
    <definedName name="_5233__FDSAUDITLINK__" localSheetId="6" hidden="1">{"fdsup://directions/FAT Viewer?action=UPDATE&amp;creator=factset&amp;DYN_ARGS=TRUE&amp;DOC_NAME=FAT:FQL_AUDITING_CLIENT_TEMPLATE.FAT&amp;display_string=Audit&amp;VAR:KEY=RYPIVURORE&amp;VAR:QUERY=RkZfRUJJVERBX0lCKCdMVE1TJywzODY1Mik=&amp;WINDOW=FIRST_POPUP&amp;HEIGHT=450&amp;WIDTH=450&amp;START_MA","XIMIZED=FALSE&amp;VAR:CALENDAR=US&amp;VAR:SYMBOL=37183T10&amp;VAR:INDEX=0"}</definedName>
    <definedName name="_5233__FDSAUDITLINK__" hidden="1">{"fdsup://directions/FAT Viewer?action=UPDATE&amp;creator=factset&amp;DYN_ARGS=TRUE&amp;DOC_NAME=FAT:FQL_AUDITING_CLIENT_TEMPLATE.FAT&amp;display_string=Audit&amp;VAR:KEY=RYPIVURORE&amp;VAR:QUERY=RkZfRUJJVERBX0lCKCdMVE1TJywzODY1Mik=&amp;WINDOW=FIRST_POPUP&amp;HEIGHT=450&amp;WIDTH=450&amp;START_MA","XIMIZED=FALSE&amp;VAR:CALENDAR=US&amp;VAR:SYMBOL=37183T10&amp;VAR:INDEX=0"}</definedName>
    <definedName name="_5234__FDSAUDITLINK__" localSheetId="6" hidden="1">{"fdsup://directions/FAT Viewer?action=UPDATE&amp;creator=factset&amp;DYN_ARGS=TRUE&amp;DOC_NAME=FAT:FQL_AUDITING_CLIENT_TEMPLATE.FAT&amp;display_string=Audit&amp;VAR:KEY=ZANWDUJYTO&amp;VAR:QUERY=RkZfRUJJVERBX0lCKCdMVE1TJywzODY1MSk=&amp;WINDOW=FIRST_POPUP&amp;HEIGHT=450&amp;WIDTH=450&amp;START_MA","XIMIZED=FALSE&amp;VAR:CALENDAR=US&amp;VAR:SYMBOL=37183T10&amp;VAR:INDEX=0"}</definedName>
    <definedName name="_5234__FDSAUDITLINK__" hidden="1">{"fdsup://directions/FAT Viewer?action=UPDATE&amp;creator=factset&amp;DYN_ARGS=TRUE&amp;DOC_NAME=FAT:FQL_AUDITING_CLIENT_TEMPLATE.FAT&amp;display_string=Audit&amp;VAR:KEY=ZANWDUJYTO&amp;VAR:QUERY=RkZfRUJJVERBX0lCKCdMVE1TJywzODY1MSk=&amp;WINDOW=FIRST_POPUP&amp;HEIGHT=450&amp;WIDTH=450&amp;START_MA","XIMIZED=FALSE&amp;VAR:CALENDAR=US&amp;VAR:SYMBOL=37183T10&amp;VAR:INDEX=0"}</definedName>
    <definedName name="_5235__FDSAUDITLINK__" localSheetId="6" hidden="1">{"fdsup://directions/FAT Viewer?action=UPDATE&amp;creator=factset&amp;DYN_ARGS=TRUE&amp;DOC_NAME=FAT:FQL_AUDITING_CLIENT_TEMPLATE.FAT&amp;display_string=Audit&amp;VAR:KEY=XKJOBAHAPE&amp;VAR:QUERY=RkZfRUJJVERBX0lCKCdMVE1TJywzODY1MCk=&amp;WINDOW=FIRST_POPUP&amp;HEIGHT=450&amp;WIDTH=450&amp;START_MA","XIMIZED=FALSE&amp;VAR:CALENDAR=US&amp;VAR:SYMBOL=37183T10&amp;VAR:INDEX=0"}</definedName>
    <definedName name="_5235__FDSAUDITLINK__" hidden="1">{"fdsup://directions/FAT Viewer?action=UPDATE&amp;creator=factset&amp;DYN_ARGS=TRUE&amp;DOC_NAME=FAT:FQL_AUDITING_CLIENT_TEMPLATE.FAT&amp;display_string=Audit&amp;VAR:KEY=XKJOBAHAPE&amp;VAR:QUERY=RkZfRUJJVERBX0lCKCdMVE1TJywzODY1MCk=&amp;WINDOW=FIRST_POPUP&amp;HEIGHT=450&amp;WIDTH=450&amp;START_MA","XIMIZED=FALSE&amp;VAR:CALENDAR=US&amp;VAR:SYMBOL=37183T10&amp;VAR:INDEX=0"}</definedName>
    <definedName name="_5236__FDSAUDITLINK__" localSheetId="6" hidden="1">{"fdsup://directions/FAT Viewer?action=UPDATE&amp;creator=factset&amp;DYN_ARGS=TRUE&amp;DOC_NAME=FAT:FQL_AUDITING_CLIENT_TEMPLATE.FAT&amp;display_string=Audit&amp;VAR:KEY=POZSDYXWZM&amp;VAR:QUERY=RkZfRUJJVERBX0lCKCdMVE1TJywzODY0OSk=&amp;WINDOW=FIRST_POPUP&amp;HEIGHT=450&amp;WIDTH=450&amp;START_MA","XIMIZED=FALSE&amp;VAR:CALENDAR=US&amp;VAR:SYMBOL=37183T10&amp;VAR:INDEX=0"}</definedName>
    <definedName name="_5236__FDSAUDITLINK__" hidden="1">{"fdsup://directions/FAT Viewer?action=UPDATE&amp;creator=factset&amp;DYN_ARGS=TRUE&amp;DOC_NAME=FAT:FQL_AUDITING_CLIENT_TEMPLATE.FAT&amp;display_string=Audit&amp;VAR:KEY=POZSDYXWZM&amp;VAR:QUERY=RkZfRUJJVERBX0lCKCdMVE1TJywzODY0OSk=&amp;WINDOW=FIRST_POPUP&amp;HEIGHT=450&amp;WIDTH=450&amp;START_MA","XIMIZED=FALSE&amp;VAR:CALENDAR=US&amp;VAR:SYMBOL=37183T10&amp;VAR:INDEX=0"}</definedName>
    <definedName name="_5237__FDSAUDITLINK__" localSheetId="6" hidden="1">{"fdsup://directions/FAT Viewer?action=UPDATE&amp;creator=factset&amp;DYN_ARGS=TRUE&amp;DOC_NAME=FAT:FQL_AUDITING_CLIENT_TEMPLATE.FAT&amp;display_string=Audit&amp;VAR:KEY=XCXKZUJSHM&amp;VAR:QUERY=RkZfRUJJVERBX0lCKCdMVE1TJywzODY0OCk=&amp;WINDOW=FIRST_POPUP&amp;HEIGHT=450&amp;WIDTH=450&amp;START_MA","XIMIZED=FALSE&amp;VAR:CALENDAR=US&amp;VAR:SYMBOL=37183T10&amp;VAR:INDEX=0"}</definedName>
    <definedName name="_5237__FDSAUDITLINK__" hidden="1">{"fdsup://directions/FAT Viewer?action=UPDATE&amp;creator=factset&amp;DYN_ARGS=TRUE&amp;DOC_NAME=FAT:FQL_AUDITING_CLIENT_TEMPLATE.FAT&amp;display_string=Audit&amp;VAR:KEY=XCXKZUJSHM&amp;VAR:QUERY=RkZfRUJJVERBX0lCKCdMVE1TJywzODY0OCk=&amp;WINDOW=FIRST_POPUP&amp;HEIGHT=450&amp;WIDTH=450&amp;START_MA","XIMIZED=FALSE&amp;VAR:CALENDAR=US&amp;VAR:SYMBOL=37183T10&amp;VAR:INDEX=0"}</definedName>
    <definedName name="_5238__FDSAUDITLINK__" localSheetId="6" hidden="1">{"fdsup://directions/FAT Viewer?action=UPDATE&amp;creator=factset&amp;DYN_ARGS=TRUE&amp;DOC_NAME=FAT:FQL_AUDITING_CLIENT_TEMPLATE.FAT&amp;display_string=Audit&amp;VAR:KEY=LUJGJAFGDY&amp;VAR:QUERY=RkZfRUJJVERBX0lCKCdMVE1TJywzODY0Nyk=&amp;WINDOW=FIRST_POPUP&amp;HEIGHT=450&amp;WIDTH=450&amp;START_MA","XIMIZED=FALSE&amp;VAR:CALENDAR=US&amp;VAR:SYMBOL=37183T10&amp;VAR:INDEX=0"}</definedName>
    <definedName name="_5238__FDSAUDITLINK__" hidden="1">{"fdsup://directions/FAT Viewer?action=UPDATE&amp;creator=factset&amp;DYN_ARGS=TRUE&amp;DOC_NAME=FAT:FQL_AUDITING_CLIENT_TEMPLATE.FAT&amp;display_string=Audit&amp;VAR:KEY=LUJGJAFGDY&amp;VAR:QUERY=RkZfRUJJVERBX0lCKCdMVE1TJywzODY0Nyk=&amp;WINDOW=FIRST_POPUP&amp;HEIGHT=450&amp;WIDTH=450&amp;START_MA","XIMIZED=FALSE&amp;VAR:CALENDAR=US&amp;VAR:SYMBOL=37183T10&amp;VAR:INDEX=0"}</definedName>
    <definedName name="_5239__FDSAUDITLINK__" localSheetId="6" hidden="1">{"fdsup://directions/FAT Viewer?action=UPDATE&amp;creator=factset&amp;DYN_ARGS=TRUE&amp;DOC_NAME=FAT:FQL_AUDITING_CLIENT_TEMPLATE.FAT&amp;display_string=Audit&amp;VAR:KEY=VUJKZSZIDM&amp;VAR:QUERY=RkZfRUJJVERBX0lCKCdMVE1TJywzODY0Nik=&amp;WINDOW=FIRST_POPUP&amp;HEIGHT=450&amp;WIDTH=450&amp;START_MA","XIMIZED=FALSE&amp;VAR:CALENDAR=US&amp;VAR:SYMBOL=37183T10&amp;VAR:INDEX=0"}</definedName>
    <definedName name="_5239__FDSAUDITLINK__" hidden="1">{"fdsup://directions/FAT Viewer?action=UPDATE&amp;creator=factset&amp;DYN_ARGS=TRUE&amp;DOC_NAME=FAT:FQL_AUDITING_CLIENT_TEMPLATE.FAT&amp;display_string=Audit&amp;VAR:KEY=VUJKZSZIDM&amp;VAR:QUERY=RkZfRUJJVERBX0lCKCdMVE1TJywzODY0Nik=&amp;WINDOW=FIRST_POPUP&amp;HEIGHT=450&amp;WIDTH=450&amp;START_MA","XIMIZED=FALSE&amp;VAR:CALENDAR=US&amp;VAR:SYMBOL=37183T10&amp;VAR:INDEX=0"}</definedName>
    <definedName name="_524__FDSAUDITLINK__" localSheetId="6" hidden="1">{"fdsup://directions/FAT%20Viewer?VAR:PED=LTM&amp;VAR:AUDIT_MODE=SUMMARY&amp;VAR:PERIOD=FIXED&amp;VAR:AUDIT_ID=00000117&amp;VAR:DATE=20080915&amp;action=UPDATE&amp;creator=factset&amp;DOC_NAME=FAT:FMA_audit_SUMMARY.fat&amp;DISPLAY_STRING=Display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4__FDSAUDITLINK__" hidden="1">{"fdsup://directions/FAT%20Viewer?VAR:PED=LTM&amp;VAR:AUDIT_MODE=SUMMARY&amp;VAR:PERIOD=FIXED&amp;VAR:AUDIT_ID=00000117&amp;VAR:DATE=20080915&amp;action=UPDATE&amp;creator=factset&amp;DOC_NAME=FAT:FMA_audit_SUMMARY.fat&amp;DISPLAY_STRING=Display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40__FDSAUDITLINK__" localSheetId="6" hidden="1">{"fdsup://directions/FAT Viewer?action=UPDATE&amp;creator=factset&amp;DYN_ARGS=TRUE&amp;DOC_NAME=FAT:FQL_AUDITING_CLIENT_TEMPLATE.FAT&amp;display_string=Audit&amp;VAR:KEY=RQBGLQNQLE&amp;VAR:QUERY=RkZfRUJJVERBX0lCKCdMVE1TJywzODY0NSk=&amp;WINDOW=FIRST_POPUP&amp;HEIGHT=450&amp;WIDTH=450&amp;START_MA","XIMIZED=FALSE&amp;VAR:CALENDAR=US&amp;VAR:SYMBOL=37183T10&amp;VAR:INDEX=0"}</definedName>
    <definedName name="_5240__FDSAUDITLINK__" hidden="1">{"fdsup://directions/FAT Viewer?action=UPDATE&amp;creator=factset&amp;DYN_ARGS=TRUE&amp;DOC_NAME=FAT:FQL_AUDITING_CLIENT_TEMPLATE.FAT&amp;display_string=Audit&amp;VAR:KEY=RQBGLQNQLE&amp;VAR:QUERY=RkZfRUJJVERBX0lCKCdMVE1TJywzODY0NSk=&amp;WINDOW=FIRST_POPUP&amp;HEIGHT=450&amp;WIDTH=450&amp;START_MA","XIMIZED=FALSE&amp;VAR:CALENDAR=US&amp;VAR:SYMBOL=37183T10&amp;VAR:INDEX=0"}</definedName>
    <definedName name="_5241__FDSAUDITLINK__" localSheetId="6" hidden="1">{"fdsup://directions/FAT Viewer?action=UPDATE&amp;creator=factset&amp;DYN_ARGS=TRUE&amp;DOC_NAME=FAT:FQL_AUDITING_CLIENT_TEMPLATE.FAT&amp;display_string=Audit&amp;VAR:KEY=JWTGHSZENC&amp;VAR:QUERY=RkZfRUJJVERBX0lCKCdMVE1TJywzODY0NCk=&amp;WINDOW=FIRST_POPUP&amp;HEIGHT=450&amp;WIDTH=450&amp;START_MA","XIMIZED=FALSE&amp;VAR:CALENDAR=US&amp;VAR:SYMBOL=37183T10&amp;VAR:INDEX=0"}</definedName>
    <definedName name="_5241__FDSAUDITLINK__" hidden="1">{"fdsup://directions/FAT Viewer?action=UPDATE&amp;creator=factset&amp;DYN_ARGS=TRUE&amp;DOC_NAME=FAT:FQL_AUDITING_CLIENT_TEMPLATE.FAT&amp;display_string=Audit&amp;VAR:KEY=JWTGHSZENC&amp;VAR:QUERY=RkZfRUJJVERBX0lCKCdMVE1TJywzODY0NCk=&amp;WINDOW=FIRST_POPUP&amp;HEIGHT=450&amp;WIDTH=450&amp;START_MA","XIMIZED=FALSE&amp;VAR:CALENDAR=US&amp;VAR:SYMBOL=37183T10&amp;VAR:INDEX=0"}</definedName>
    <definedName name="_5242__FDSAUDITLINK__" localSheetId="6" hidden="1">{"fdsup://directions/FAT Viewer?action=UPDATE&amp;creator=factset&amp;DYN_ARGS=TRUE&amp;DOC_NAME=FAT:FQL_AUDITING_CLIENT_TEMPLATE.FAT&amp;display_string=Audit&amp;VAR:KEY=NCVEJANYPU&amp;VAR:QUERY=RkZfRUJJVERBX0lCKCdMVE1TJywzODY0Myk=&amp;WINDOW=FIRST_POPUP&amp;HEIGHT=450&amp;WIDTH=450&amp;START_MA","XIMIZED=FALSE&amp;VAR:CALENDAR=US&amp;VAR:SYMBOL=37183T10&amp;VAR:INDEX=0"}</definedName>
    <definedName name="_5242__FDSAUDITLINK__" hidden="1">{"fdsup://directions/FAT Viewer?action=UPDATE&amp;creator=factset&amp;DYN_ARGS=TRUE&amp;DOC_NAME=FAT:FQL_AUDITING_CLIENT_TEMPLATE.FAT&amp;display_string=Audit&amp;VAR:KEY=NCVEJANYPU&amp;VAR:QUERY=RkZfRUJJVERBX0lCKCdMVE1TJywzODY0Myk=&amp;WINDOW=FIRST_POPUP&amp;HEIGHT=450&amp;WIDTH=450&amp;START_MA","XIMIZED=FALSE&amp;VAR:CALENDAR=US&amp;VAR:SYMBOL=37183T10&amp;VAR:INDEX=0"}</definedName>
    <definedName name="_5243__FDSAUDITLINK__" localSheetId="6" hidden="1">{"fdsup://directions/FAT Viewer?action=UPDATE&amp;creator=factset&amp;DYN_ARGS=TRUE&amp;DOC_NAME=FAT:FQL_AUDITING_CLIENT_TEMPLATE.FAT&amp;display_string=Audit&amp;VAR:KEY=NSJETYFWZS&amp;VAR:QUERY=RkZfRUJJVERBX0lCKCdMVE1TJywzODY0Mik=&amp;WINDOW=FIRST_POPUP&amp;HEIGHT=450&amp;WIDTH=450&amp;START_MA","XIMIZED=FALSE&amp;VAR:CALENDAR=US&amp;VAR:SYMBOL=37183T10&amp;VAR:INDEX=0"}</definedName>
    <definedName name="_5243__FDSAUDITLINK__" hidden="1">{"fdsup://directions/FAT Viewer?action=UPDATE&amp;creator=factset&amp;DYN_ARGS=TRUE&amp;DOC_NAME=FAT:FQL_AUDITING_CLIENT_TEMPLATE.FAT&amp;display_string=Audit&amp;VAR:KEY=NSJETYFWZS&amp;VAR:QUERY=RkZfRUJJVERBX0lCKCdMVE1TJywzODY0Mik=&amp;WINDOW=FIRST_POPUP&amp;HEIGHT=450&amp;WIDTH=450&amp;START_MA","XIMIZED=FALSE&amp;VAR:CALENDAR=US&amp;VAR:SYMBOL=37183T10&amp;VAR:INDEX=0"}</definedName>
    <definedName name="_5244__FDSAUDITLINK__" localSheetId="6" hidden="1">{"fdsup://directions/FAT Viewer?action=UPDATE&amp;creator=factset&amp;DYN_ARGS=TRUE&amp;DOC_NAME=FAT:FQL_AUDITING_CLIENT_TEMPLATE.FAT&amp;display_string=Audit&amp;VAR:KEY=RCZQPWFQNA&amp;VAR:QUERY=RkZfRUJJVERBX0lCKCdMVE1TJywzODY0MSk=&amp;WINDOW=FIRST_POPUP&amp;HEIGHT=450&amp;WIDTH=450&amp;START_MA","XIMIZED=FALSE&amp;VAR:CALENDAR=US&amp;VAR:SYMBOL=37183T10&amp;VAR:INDEX=0"}</definedName>
    <definedName name="_5244__FDSAUDITLINK__" hidden="1">{"fdsup://directions/FAT Viewer?action=UPDATE&amp;creator=factset&amp;DYN_ARGS=TRUE&amp;DOC_NAME=FAT:FQL_AUDITING_CLIENT_TEMPLATE.FAT&amp;display_string=Audit&amp;VAR:KEY=RCZQPWFQNA&amp;VAR:QUERY=RkZfRUJJVERBX0lCKCdMVE1TJywzODY0MSk=&amp;WINDOW=FIRST_POPUP&amp;HEIGHT=450&amp;WIDTH=450&amp;START_MA","XIMIZED=FALSE&amp;VAR:CALENDAR=US&amp;VAR:SYMBOL=37183T10&amp;VAR:INDEX=0"}</definedName>
    <definedName name="_5245__FDSAUDITLINK__" localSheetId="6" hidden="1">{"fdsup://directions/FAT Viewer?action=UPDATE&amp;creator=factset&amp;DYN_ARGS=TRUE&amp;DOC_NAME=FAT:FQL_AUDITING_CLIENT_TEMPLATE.FAT&amp;display_string=Audit&amp;VAR:KEY=HSBULWNQLW&amp;VAR:QUERY=RkZfRUJJVERBX0lCKCdMVE1TJywzODY0MCk=&amp;WINDOW=FIRST_POPUP&amp;HEIGHT=450&amp;WIDTH=450&amp;START_MA","XIMIZED=FALSE&amp;VAR:CALENDAR=US&amp;VAR:SYMBOL=37183T10&amp;VAR:INDEX=0"}</definedName>
    <definedName name="_5245__FDSAUDITLINK__" hidden="1">{"fdsup://directions/FAT Viewer?action=UPDATE&amp;creator=factset&amp;DYN_ARGS=TRUE&amp;DOC_NAME=FAT:FQL_AUDITING_CLIENT_TEMPLATE.FAT&amp;display_string=Audit&amp;VAR:KEY=HSBULWNQLW&amp;VAR:QUERY=RkZfRUJJVERBX0lCKCdMVE1TJywzODY0MCk=&amp;WINDOW=FIRST_POPUP&amp;HEIGHT=450&amp;WIDTH=450&amp;START_MA","XIMIZED=FALSE&amp;VAR:CALENDAR=US&amp;VAR:SYMBOL=37183T10&amp;VAR:INDEX=0"}</definedName>
    <definedName name="_5246__FDSAUDITLINK__" localSheetId="6" hidden="1">{"fdsup://directions/FAT Viewer?action=UPDATE&amp;creator=factset&amp;DYN_ARGS=TRUE&amp;DOC_NAME=FAT:FQL_AUDITING_CLIENT_TEMPLATE.FAT&amp;display_string=Audit&amp;VAR:KEY=ZEZKBWXCDY&amp;VAR:QUERY=RkZfRUJJVERBX0lCKCdMVE1TJywzODYzOSk=&amp;WINDOW=FIRST_POPUP&amp;HEIGHT=450&amp;WIDTH=450&amp;START_MA","XIMIZED=FALSE&amp;VAR:CALENDAR=US&amp;VAR:SYMBOL=37183T10&amp;VAR:INDEX=0"}</definedName>
    <definedName name="_5246__FDSAUDITLINK__" hidden="1">{"fdsup://directions/FAT Viewer?action=UPDATE&amp;creator=factset&amp;DYN_ARGS=TRUE&amp;DOC_NAME=FAT:FQL_AUDITING_CLIENT_TEMPLATE.FAT&amp;display_string=Audit&amp;VAR:KEY=ZEZKBWXCDY&amp;VAR:QUERY=RkZfRUJJVERBX0lCKCdMVE1TJywzODYzOSk=&amp;WINDOW=FIRST_POPUP&amp;HEIGHT=450&amp;WIDTH=450&amp;START_MA","XIMIZED=FALSE&amp;VAR:CALENDAR=US&amp;VAR:SYMBOL=37183T10&amp;VAR:INDEX=0"}</definedName>
    <definedName name="_5247__FDSAUDITLINK__" localSheetId="6" hidden="1">{"fdsup://directions/FAT Viewer?action=UPDATE&amp;creator=factset&amp;DYN_ARGS=TRUE&amp;DOC_NAME=FAT:FQL_AUDITING_CLIENT_TEMPLATE.FAT&amp;display_string=Audit&amp;VAR:KEY=HMLYXWJMNW&amp;VAR:QUERY=RkZfRUJJVERBX0lCKCdMVE1TJywzODYzOCk=&amp;WINDOW=FIRST_POPUP&amp;HEIGHT=450&amp;WIDTH=450&amp;START_MA","XIMIZED=FALSE&amp;VAR:CALENDAR=US&amp;VAR:SYMBOL=37183T10&amp;VAR:INDEX=0"}</definedName>
    <definedName name="_5247__FDSAUDITLINK__" hidden="1">{"fdsup://directions/FAT Viewer?action=UPDATE&amp;creator=factset&amp;DYN_ARGS=TRUE&amp;DOC_NAME=FAT:FQL_AUDITING_CLIENT_TEMPLATE.FAT&amp;display_string=Audit&amp;VAR:KEY=HMLYXWJMNW&amp;VAR:QUERY=RkZfRUJJVERBX0lCKCdMVE1TJywzODYzOCk=&amp;WINDOW=FIRST_POPUP&amp;HEIGHT=450&amp;WIDTH=450&amp;START_MA","XIMIZED=FALSE&amp;VAR:CALENDAR=US&amp;VAR:SYMBOL=37183T10&amp;VAR:INDEX=0"}</definedName>
    <definedName name="_5248__FDSAUDITLINK__" localSheetId="6" hidden="1">{"fdsup://directions/FAT Viewer?action=UPDATE&amp;creator=factset&amp;DYN_ARGS=TRUE&amp;DOC_NAME=FAT:FQL_AUDITING_CLIENT_TEMPLATE.FAT&amp;display_string=Audit&amp;VAR:KEY=VEVOVWPWFG&amp;VAR:QUERY=RkZfRUJJVERBX0lCKCdMVE1TJywzODYzNyk=&amp;WINDOW=FIRST_POPUP&amp;HEIGHT=450&amp;WIDTH=450&amp;START_MA","XIMIZED=FALSE&amp;VAR:CALENDAR=US&amp;VAR:SYMBOL=37183T10&amp;VAR:INDEX=0"}</definedName>
    <definedName name="_5248__FDSAUDITLINK__" hidden="1">{"fdsup://directions/FAT Viewer?action=UPDATE&amp;creator=factset&amp;DYN_ARGS=TRUE&amp;DOC_NAME=FAT:FQL_AUDITING_CLIENT_TEMPLATE.FAT&amp;display_string=Audit&amp;VAR:KEY=VEVOVWPWFG&amp;VAR:QUERY=RkZfRUJJVERBX0lCKCdMVE1TJywzODYzNyk=&amp;WINDOW=FIRST_POPUP&amp;HEIGHT=450&amp;WIDTH=450&amp;START_MA","XIMIZED=FALSE&amp;VAR:CALENDAR=US&amp;VAR:SYMBOL=37183T10&amp;VAR:INDEX=0"}</definedName>
    <definedName name="_5249__FDSAUDITLINK__" localSheetId="6" hidden="1">{"fdsup://directions/FAT Viewer?action=UPDATE&amp;creator=factset&amp;DYN_ARGS=TRUE&amp;DOC_NAME=FAT:FQL_AUDITING_CLIENT_TEMPLATE.FAT&amp;display_string=Audit&amp;VAR:KEY=NCTYVKDKTS&amp;VAR:QUERY=RkZfRUJJVERBX0lCKCdMVE1TJywzODYzNik=&amp;WINDOW=FIRST_POPUP&amp;HEIGHT=450&amp;WIDTH=450&amp;START_MA","XIMIZED=FALSE&amp;VAR:CALENDAR=US&amp;VAR:SYMBOL=37183T10&amp;VAR:INDEX=0"}</definedName>
    <definedName name="_5249__FDSAUDITLINK__" hidden="1">{"fdsup://directions/FAT Viewer?action=UPDATE&amp;creator=factset&amp;DYN_ARGS=TRUE&amp;DOC_NAME=FAT:FQL_AUDITING_CLIENT_TEMPLATE.FAT&amp;display_string=Audit&amp;VAR:KEY=NCTYVKDKTS&amp;VAR:QUERY=RkZfRUJJVERBX0lCKCdMVE1TJywzODYzNik=&amp;WINDOW=FIRST_POPUP&amp;HEIGHT=450&amp;WIDTH=450&amp;START_MA","XIMIZED=FALSE&amp;VAR:CALENDAR=US&amp;VAR:SYMBOL=37183T10&amp;VAR:INDEX=0"}</definedName>
    <definedName name="_525__FDSAUDITLINK__" localSheetId="6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5__FDSAUDITLINK__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50__FDSAUDITLINK__" localSheetId="6" hidden="1">{"fdsup://directions/FAT Viewer?action=UPDATE&amp;creator=factset&amp;DYN_ARGS=TRUE&amp;DOC_NAME=FAT:FQL_AUDITING_CLIENT_TEMPLATE.FAT&amp;display_string=Audit&amp;VAR:KEY=XGXERMTSZI&amp;VAR:QUERY=RkZfRUJJVERBX0lCKCdMVE1TJywzODYzNSk=&amp;WINDOW=FIRST_POPUP&amp;HEIGHT=450&amp;WIDTH=450&amp;START_MA","XIMIZED=FALSE&amp;VAR:CALENDAR=US&amp;VAR:SYMBOL=37183T10&amp;VAR:INDEX=0"}</definedName>
    <definedName name="_5250__FDSAUDITLINK__" hidden="1">{"fdsup://directions/FAT Viewer?action=UPDATE&amp;creator=factset&amp;DYN_ARGS=TRUE&amp;DOC_NAME=FAT:FQL_AUDITING_CLIENT_TEMPLATE.FAT&amp;display_string=Audit&amp;VAR:KEY=XGXERMTSZI&amp;VAR:QUERY=RkZfRUJJVERBX0lCKCdMVE1TJywzODYzNSk=&amp;WINDOW=FIRST_POPUP&amp;HEIGHT=450&amp;WIDTH=450&amp;START_MA","XIMIZED=FALSE&amp;VAR:CALENDAR=US&amp;VAR:SYMBOL=37183T10&amp;VAR:INDEX=0"}</definedName>
    <definedName name="_5251__FDSAUDITLINK__" localSheetId="6" hidden="1">{"fdsup://directions/FAT Viewer?action=UPDATE&amp;creator=factset&amp;DYN_ARGS=TRUE&amp;DOC_NAME=FAT:FQL_AUDITING_CLIENT_TEMPLATE.FAT&amp;display_string=Audit&amp;VAR:KEY=JEBOJSPKVW&amp;VAR:QUERY=RkZfRUJJVERBX0lCKCdMVE1TJywzODYzNCk=&amp;WINDOW=FIRST_POPUP&amp;HEIGHT=450&amp;WIDTH=450&amp;START_MA","XIMIZED=FALSE&amp;VAR:CALENDAR=US&amp;VAR:SYMBOL=37183T10&amp;VAR:INDEX=0"}</definedName>
    <definedName name="_5251__FDSAUDITLINK__" hidden="1">{"fdsup://directions/FAT Viewer?action=UPDATE&amp;creator=factset&amp;DYN_ARGS=TRUE&amp;DOC_NAME=FAT:FQL_AUDITING_CLIENT_TEMPLATE.FAT&amp;display_string=Audit&amp;VAR:KEY=JEBOJSPKVW&amp;VAR:QUERY=RkZfRUJJVERBX0lCKCdMVE1TJywzODYzNCk=&amp;WINDOW=FIRST_POPUP&amp;HEIGHT=450&amp;WIDTH=450&amp;START_MA","XIMIZED=FALSE&amp;VAR:CALENDAR=US&amp;VAR:SYMBOL=37183T10&amp;VAR:INDEX=0"}</definedName>
    <definedName name="_5252__FDSAUDITLINK__" localSheetId="6" hidden="1">{"fdsup://directions/FAT Viewer?action=UPDATE&amp;creator=factset&amp;DYN_ARGS=TRUE&amp;DOC_NAME=FAT:FQL_AUDITING_CLIENT_TEMPLATE.FAT&amp;display_string=Audit&amp;VAR:KEY=DATYDQNMVA&amp;VAR:QUERY=RkZfRUJJVERBX0lCKCdMVE1TJywzODYzMyk=&amp;WINDOW=FIRST_POPUP&amp;HEIGHT=450&amp;WIDTH=450&amp;START_MA","XIMIZED=FALSE&amp;VAR:CALENDAR=US&amp;VAR:SYMBOL=37183T10&amp;VAR:INDEX=0"}</definedName>
    <definedName name="_5252__FDSAUDITLINK__" hidden="1">{"fdsup://directions/FAT Viewer?action=UPDATE&amp;creator=factset&amp;DYN_ARGS=TRUE&amp;DOC_NAME=FAT:FQL_AUDITING_CLIENT_TEMPLATE.FAT&amp;display_string=Audit&amp;VAR:KEY=DATYDQNMVA&amp;VAR:QUERY=RkZfRUJJVERBX0lCKCdMVE1TJywzODYzMyk=&amp;WINDOW=FIRST_POPUP&amp;HEIGHT=450&amp;WIDTH=450&amp;START_MA","XIMIZED=FALSE&amp;VAR:CALENDAR=US&amp;VAR:SYMBOL=37183T10&amp;VAR:INDEX=0"}</definedName>
    <definedName name="_5253__FDSAUDITLINK__" localSheetId="6" hidden="1">{"fdsup://directions/FAT Viewer?action=UPDATE&amp;creator=factset&amp;DYN_ARGS=TRUE&amp;DOC_NAME=FAT:FQL_AUDITING_CLIENT_TEMPLATE.FAT&amp;display_string=Audit&amp;VAR:KEY=PCJCXMRMZE&amp;VAR:QUERY=RkZfRUJJVERBX0lCKCdMVE1TJywzODYzMik=&amp;WINDOW=FIRST_POPUP&amp;HEIGHT=450&amp;WIDTH=450&amp;START_MA","XIMIZED=FALSE&amp;VAR:CALENDAR=US&amp;VAR:SYMBOL=37183T10&amp;VAR:INDEX=0"}</definedName>
    <definedName name="_5253__FDSAUDITLINK__" hidden="1">{"fdsup://directions/FAT Viewer?action=UPDATE&amp;creator=factset&amp;DYN_ARGS=TRUE&amp;DOC_NAME=FAT:FQL_AUDITING_CLIENT_TEMPLATE.FAT&amp;display_string=Audit&amp;VAR:KEY=PCJCXMRMZE&amp;VAR:QUERY=RkZfRUJJVERBX0lCKCdMVE1TJywzODYzMik=&amp;WINDOW=FIRST_POPUP&amp;HEIGHT=450&amp;WIDTH=450&amp;START_MA","XIMIZED=FALSE&amp;VAR:CALENDAR=US&amp;VAR:SYMBOL=37183T10&amp;VAR:INDEX=0"}</definedName>
    <definedName name="_5254__FDSAUDITLINK__" localSheetId="6" hidden="1">{"fdsup://directions/FAT Viewer?action=UPDATE&amp;creator=factset&amp;DYN_ARGS=TRUE&amp;DOC_NAME=FAT:FQL_AUDITING_CLIENT_TEMPLATE.FAT&amp;display_string=Audit&amp;VAR:KEY=HIFSXWBSZW&amp;VAR:QUERY=RkZfRUJJVERBX0lCKCdMVE1TJywzODYzMSk=&amp;WINDOW=FIRST_POPUP&amp;HEIGHT=450&amp;WIDTH=450&amp;START_MA","XIMIZED=FALSE&amp;VAR:CALENDAR=US&amp;VAR:SYMBOL=37183T10&amp;VAR:INDEX=0"}</definedName>
    <definedName name="_5254__FDSAUDITLINK__" hidden="1">{"fdsup://directions/FAT Viewer?action=UPDATE&amp;creator=factset&amp;DYN_ARGS=TRUE&amp;DOC_NAME=FAT:FQL_AUDITING_CLIENT_TEMPLATE.FAT&amp;display_string=Audit&amp;VAR:KEY=HIFSXWBSZW&amp;VAR:QUERY=RkZfRUJJVERBX0lCKCdMVE1TJywzODYzMSk=&amp;WINDOW=FIRST_POPUP&amp;HEIGHT=450&amp;WIDTH=450&amp;START_MA","XIMIZED=FALSE&amp;VAR:CALENDAR=US&amp;VAR:SYMBOL=37183T10&amp;VAR:INDEX=0"}</definedName>
    <definedName name="_5255__FDSAUDITLINK__" localSheetId="6" hidden="1">{"fdsup://directions/FAT Viewer?action=UPDATE&amp;creator=factset&amp;DYN_ARGS=TRUE&amp;DOC_NAME=FAT:FQL_AUDITING_CLIENT_TEMPLATE.FAT&amp;display_string=Audit&amp;VAR:KEY=JYVSFQRUPU&amp;VAR:QUERY=RkZfRUJJVERBX0lCKCdMVE1TJywzODYzMCk=&amp;WINDOW=FIRST_POPUP&amp;HEIGHT=450&amp;WIDTH=450&amp;START_MA","XIMIZED=FALSE&amp;VAR:CALENDAR=US&amp;VAR:SYMBOL=37183T10&amp;VAR:INDEX=0"}</definedName>
    <definedName name="_5255__FDSAUDITLINK__" hidden="1">{"fdsup://directions/FAT Viewer?action=UPDATE&amp;creator=factset&amp;DYN_ARGS=TRUE&amp;DOC_NAME=FAT:FQL_AUDITING_CLIENT_TEMPLATE.FAT&amp;display_string=Audit&amp;VAR:KEY=JYVSFQRUPU&amp;VAR:QUERY=RkZfRUJJVERBX0lCKCdMVE1TJywzODYzMCk=&amp;WINDOW=FIRST_POPUP&amp;HEIGHT=450&amp;WIDTH=450&amp;START_MA","XIMIZED=FALSE&amp;VAR:CALENDAR=US&amp;VAR:SYMBOL=37183T10&amp;VAR:INDEX=0"}</definedName>
    <definedName name="_5256__FDSAUDITLINK__" localSheetId="6" hidden="1">{"fdsup://directions/FAT Viewer?action=UPDATE&amp;creator=factset&amp;DYN_ARGS=TRUE&amp;DOC_NAME=FAT:FQL_AUDITING_CLIENT_TEMPLATE.FAT&amp;display_string=Audit&amp;VAR:KEY=JMTCPCNCHK&amp;VAR:QUERY=RkZfRUJJVERBX0lCKCdMVE1TJywzODYyOSk=&amp;WINDOW=FIRST_POPUP&amp;HEIGHT=450&amp;WIDTH=450&amp;START_MA","XIMIZED=FALSE&amp;VAR:CALENDAR=US&amp;VAR:SYMBOL=37183T10&amp;VAR:INDEX=0"}</definedName>
    <definedName name="_5256__FDSAUDITLINK__" hidden="1">{"fdsup://directions/FAT Viewer?action=UPDATE&amp;creator=factset&amp;DYN_ARGS=TRUE&amp;DOC_NAME=FAT:FQL_AUDITING_CLIENT_TEMPLATE.FAT&amp;display_string=Audit&amp;VAR:KEY=JMTCPCNCHK&amp;VAR:QUERY=RkZfRUJJVERBX0lCKCdMVE1TJywzODYyOSk=&amp;WINDOW=FIRST_POPUP&amp;HEIGHT=450&amp;WIDTH=450&amp;START_MA","XIMIZED=FALSE&amp;VAR:CALENDAR=US&amp;VAR:SYMBOL=37183T10&amp;VAR:INDEX=0"}</definedName>
    <definedName name="_5257__FDSAUDITLINK__" localSheetId="6" hidden="1">{"fdsup://directions/FAT Viewer?action=UPDATE&amp;creator=factset&amp;DYN_ARGS=TRUE&amp;DOC_NAME=FAT:FQL_AUDITING_CLIENT_TEMPLATE.FAT&amp;display_string=Audit&amp;VAR:KEY=LGBEVMRSPA&amp;VAR:QUERY=RkZfRUJJVERBX0lCKCdMVE1TJywzODYyOCk=&amp;WINDOW=FIRST_POPUP&amp;HEIGHT=450&amp;WIDTH=450&amp;START_MA","XIMIZED=FALSE&amp;VAR:CALENDAR=US&amp;VAR:SYMBOL=37183T10&amp;VAR:INDEX=0"}</definedName>
    <definedName name="_5257__FDSAUDITLINK__" hidden="1">{"fdsup://directions/FAT Viewer?action=UPDATE&amp;creator=factset&amp;DYN_ARGS=TRUE&amp;DOC_NAME=FAT:FQL_AUDITING_CLIENT_TEMPLATE.FAT&amp;display_string=Audit&amp;VAR:KEY=LGBEVMRSPA&amp;VAR:QUERY=RkZfRUJJVERBX0lCKCdMVE1TJywzODYyOCk=&amp;WINDOW=FIRST_POPUP&amp;HEIGHT=450&amp;WIDTH=450&amp;START_MA","XIMIZED=FALSE&amp;VAR:CALENDAR=US&amp;VAR:SYMBOL=37183T10&amp;VAR:INDEX=0"}</definedName>
    <definedName name="_5258__FDSAUDITLINK__" localSheetId="6" hidden="1">{"fdsup://directions/FAT Viewer?action=UPDATE&amp;creator=factset&amp;DYN_ARGS=TRUE&amp;DOC_NAME=FAT:FQL_AUDITING_CLIENT_TEMPLATE.FAT&amp;display_string=Audit&amp;VAR:KEY=TYFUHIDWJW&amp;VAR:QUERY=RkZfRUJJVERBX0lCKCdMVE1TJywzODYyNyk=&amp;WINDOW=FIRST_POPUP&amp;HEIGHT=450&amp;WIDTH=450&amp;START_MA","XIMIZED=FALSE&amp;VAR:CALENDAR=US&amp;VAR:SYMBOL=37183T10&amp;VAR:INDEX=0"}</definedName>
    <definedName name="_5258__FDSAUDITLINK__" hidden="1">{"fdsup://directions/FAT Viewer?action=UPDATE&amp;creator=factset&amp;DYN_ARGS=TRUE&amp;DOC_NAME=FAT:FQL_AUDITING_CLIENT_TEMPLATE.FAT&amp;display_string=Audit&amp;VAR:KEY=TYFUHIDWJW&amp;VAR:QUERY=RkZfRUJJVERBX0lCKCdMVE1TJywzODYyNyk=&amp;WINDOW=FIRST_POPUP&amp;HEIGHT=450&amp;WIDTH=450&amp;START_MA","XIMIZED=FALSE&amp;VAR:CALENDAR=US&amp;VAR:SYMBOL=37183T10&amp;VAR:INDEX=0"}</definedName>
    <definedName name="_5259__FDSAUDITLINK__" localSheetId="6" hidden="1">{"fdsup://directions/FAT Viewer?action=UPDATE&amp;creator=factset&amp;DYN_ARGS=TRUE&amp;DOC_NAME=FAT:FQL_AUDITING_CLIENT_TEMPLATE.FAT&amp;display_string=Audit&amp;VAR:KEY=PCNILKFOVK&amp;VAR:QUERY=RkZfRUJJVERBX0lCKCdMVE1TJywzODYyNik=&amp;WINDOW=FIRST_POPUP&amp;HEIGHT=450&amp;WIDTH=450&amp;START_MA","XIMIZED=FALSE&amp;VAR:CALENDAR=US&amp;VAR:SYMBOL=37183T10&amp;VAR:INDEX=0"}</definedName>
    <definedName name="_5259__FDSAUDITLINK__" hidden="1">{"fdsup://directions/FAT Viewer?action=UPDATE&amp;creator=factset&amp;DYN_ARGS=TRUE&amp;DOC_NAME=FAT:FQL_AUDITING_CLIENT_TEMPLATE.FAT&amp;display_string=Audit&amp;VAR:KEY=PCNILKFOVK&amp;VAR:QUERY=RkZfRUJJVERBX0lCKCdMVE1TJywzODYyNik=&amp;WINDOW=FIRST_POPUP&amp;HEIGHT=450&amp;WIDTH=450&amp;START_MA","XIMIZED=FALSE&amp;VAR:CALENDAR=US&amp;VAR:SYMBOL=37183T10&amp;VAR:INDEX=0"}</definedName>
    <definedName name="_526__FDSAUDITLINK__" localSheetId="6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6__FDSAUDITLINK__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60__FDSAUDITLINK__" localSheetId="6" hidden="1">{"fdsup://directions/FAT Viewer?action=UPDATE&amp;creator=factset&amp;DYN_ARGS=TRUE&amp;DOC_NAME=FAT:FQL_AUDITING_CLIENT_TEMPLATE.FAT&amp;display_string=Audit&amp;VAR:KEY=PQZCFCFIZK&amp;VAR:QUERY=RkZfRUJJVERBX0lCKCdMVE1TJywzODYyNSk=&amp;WINDOW=FIRST_POPUP&amp;HEIGHT=450&amp;WIDTH=450&amp;START_MA","XIMIZED=FALSE&amp;VAR:CALENDAR=US&amp;VAR:SYMBOL=37183T10&amp;VAR:INDEX=0"}</definedName>
    <definedName name="_5260__FDSAUDITLINK__" hidden="1">{"fdsup://directions/FAT Viewer?action=UPDATE&amp;creator=factset&amp;DYN_ARGS=TRUE&amp;DOC_NAME=FAT:FQL_AUDITING_CLIENT_TEMPLATE.FAT&amp;display_string=Audit&amp;VAR:KEY=PQZCFCFIZK&amp;VAR:QUERY=RkZfRUJJVERBX0lCKCdMVE1TJywzODYyNSk=&amp;WINDOW=FIRST_POPUP&amp;HEIGHT=450&amp;WIDTH=450&amp;START_MA","XIMIZED=FALSE&amp;VAR:CALENDAR=US&amp;VAR:SYMBOL=37183T10&amp;VAR:INDEX=0"}</definedName>
    <definedName name="_5261__FDSAUDITLINK__" localSheetId="6" hidden="1">{"fdsup://directions/FAT Viewer?action=UPDATE&amp;creator=factset&amp;DYN_ARGS=TRUE&amp;DOC_NAME=FAT:FQL_AUDITING_CLIENT_TEMPLATE.FAT&amp;display_string=Audit&amp;VAR:KEY=ZGPQFMHQJC&amp;VAR:QUERY=RkZfRUJJVERBX0lCKCdMVE1TJywzODYyNCk=&amp;WINDOW=FIRST_POPUP&amp;HEIGHT=450&amp;WIDTH=450&amp;START_MA","XIMIZED=FALSE&amp;VAR:CALENDAR=US&amp;VAR:SYMBOL=37183T10&amp;VAR:INDEX=0"}</definedName>
    <definedName name="_5261__FDSAUDITLINK__" hidden="1">{"fdsup://directions/FAT Viewer?action=UPDATE&amp;creator=factset&amp;DYN_ARGS=TRUE&amp;DOC_NAME=FAT:FQL_AUDITING_CLIENT_TEMPLATE.FAT&amp;display_string=Audit&amp;VAR:KEY=ZGPQFMHQJC&amp;VAR:QUERY=RkZfRUJJVERBX0lCKCdMVE1TJywzODYyNCk=&amp;WINDOW=FIRST_POPUP&amp;HEIGHT=450&amp;WIDTH=450&amp;START_MA","XIMIZED=FALSE&amp;VAR:CALENDAR=US&amp;VAR:SYMBOL=37183T10&amp;VAR:INDEX=0"}</definedName>
    <definedName name="_5262__FDSAUDITLINK__" localSheetId="6" hidden="1">{"fdsup://directions/FAT Viewer?action=UPDATE&amp;creator=factset&amp;DYN_ARGS=TRUE&amp;DOC_NAME=FAT:FQL_AUDITING_CLIENT_TEMPLATE.FAT&amp;display_string=Audit&amp;VAR:KEY=ZONEPIPODK&amp;VAR:QUERY=RkZfRUJJVERBX0lCKCdMVE1TJywzODYyMyk=&amp;WINDOW=FIRST_POPUP&amp;HEIGHT=450&amp;WIDTH=450&amp;START_MA","XIMIZED=FALSE&amp;VAR:CALENDAR=US&amp;VAR:SYMBOL=37183T10&amp;VAR:INDEX=0"}</definedName>
    <definedName name="_5262__FDSAUDITLINK__" hidden="1">{"fdsup://directions/FAT Viewer?action=UPDATE&amp;creator=factset&amp;DYN_ARGS=TRUE&amp;DOC_NAME=FAT:FQL_AUDITING_CLIENT_TEMPLATE.FAT&amp;display_string=Audit&amp;VAR:KEY=ZONEPIPODK&amp;VAR:QUERY=RkZfRUJJVERBX0lCKCdMVE1TJywzODYyMyk=&amp;WINDOW=FIRST_POPUP&amp;HEIGHT=450&amp;WIDTH=450&amp;START_MA","XIMIZED=FALSE&amp;VAR:CALENDAR=US&amp;VAR:SYMBOL=37183T10&amp;VAR:INDEX=0"}</definedName>
    <definedName name="_5263__FDSAUDITLINK__" localSheetId="6" hidden="1">{"fdsup://directions/FAT Viewer?action=UPDATE&amp;creator=factset&amp;DYN_ARGS=TRUE&amp;DOC_NAME=FAT:FQL_AUDITING_CLIENT_TEMPLATE.FAT&amp;display_string=Audit&amp;VAR:KEY=BWTIXSLKLC&amp;VAR:QUERY=RkZfRUJJVERBX0lCKCdMVE1TJywzODYyMik=&amp;WINDOW=FIRST_POPUP&amp;HEIGHT=450&amp;WIDTH=450&amp;START_MA","XIMIZED=FALSE&amp;VAR:CALENDAR=US&amp;VAR:SYMBOL=37183T10&amp;VAR:INDEX=0"}</definedName>
    <definedName name="_5263__FDSAUDITLINK__" hidden="1">{"fdsup://directions/FAT Viewer?action=UPDATE&amp;creator=factset&amp;DYN_ARGS=TRUE&amp;DOC_NAME=FAT:FQL_AUDITING_CLIENT_TEMPLATE.FAT&amp;display_string=Audit&amp;VAR:KEY=BWTIXSLKLC&amp;VAR:QUERY=RkZfRUJJVERBX0lCKCdMVE1TJywzODYyMik=&amp;WINDOW=FIRST_POPUP&amp;HEIGHT=450&amp;WIDTH=450&amp;START_MA","XIMIZED=FALSE&amp;VAR:CALENDAR=US&amp;VAR:SYMBOL=37183T10&amp;VAR:INDEX=0"}</definedName>
    <definedName name="_5264__FDSAUDITLINK__" localSheetId="6" hidden="1">{"fdsup://directions/FAT Viewer?action=UPDATE&amp;creator=factset&amp;DYN_ARGS=TRUE&amp;DOC_NAME=FAT:FQL_AUDITING_CLIENT_TEMPLATE.FAT&amp;display_string=Audit&amp;VAR:KEY=PGLSRKZSDQ&amp;VAR:QUERY=RkZfRUJJVERBX0lCKCdMVE1TJywzODYyMSk=&amp;WINDOW=FIRST_POPUP&amp;HEIGHT=450&amp;WIDTH=450&amp;START_MA","XIMIZED=FALSE&amp;VAR:CALENDAR=US&amp;VAR:SYMBOL=37183T10&amp;VAR:INDEX=0"}</definedName>
    <definedName name="_5264__FDSAUDITLINK__" hidden="1">{"fdsup://directions/FAT Viewer?action=UPDATE&amp;creator=factset&amp;DYN_ARGS=TRUE&amp;DOC_NAME=FAT:FQL_AUDITING_CLIENT_TEMPLATE.FAT&amp;display_string=Audit&amp;VAR:KEY=PGLSRKZSDQ&amp;VAR:QUERY=RkZfRUJJVERBX0lCKCdMVE1TJywzODYyMSk=&amp;WINDOW=FIRST_POPUP&amp;HEIGHT=450&amp;WIDTH=450&amp;START_MA","XIMIZED=FALSE&amp;VAR:CALENDAR=US&amp;VAR:SYMBOL=37183T10&amp;VAR:INDEX=0"}</definedName>
    <definedName name="_5265__FDSAUDITLINK__" localSheetId="6" hidden="1">{"fdsup://directions/FAT Viewer?action=UPDATE&amp;creator=factset&amp;DYN_ARGS=TRUE&amp;DOC_NAME=FAT:FQL_AUDITING_CLIENT_TEMPLATE.FAT&amp;display_string=Audit&amp;VAR:KEY=ZGJMVEJMDE&amp;VAR:QUERY=RkZfRUJJVERBX0lCKCdMVE1TJywzODYyMCk=&amp;WINDOW=FIRST_POPUP&amp;HEIGHT=450&amp;WIDTH=450&amp;START_MA","XIMIZED=FALSE&amp;VAR:CALENDAR=US&amp;VAR:SYMBOL=37183T10&amp;VAR:INDEX=0"}</definedName>
    <definedName name="_5265__FDSAUDITLINK__" hidden="1">{"fdsup://directions/FAT Viewer?action=UPDATE&amp;creator=factset&amp;DYN_ARGS=TRUE&amp;DOC_NAME=FAT:FQL_AUDITING_CLIENT_TEMPLATE.FAT&amp;display_string=Audit&amp;VAR:KEY=ZGJMVEJMDE&amp;VAR:QUERY=RkZfRUJJVERBX0lCKCdMVE1TJywzODYyMCk=&amp;WINDOW=FIRST_POPUP&amp;HEIGHT=450&amp;WIDTH=450&amp;START_MA","XIMIZED=FALSE&amp;VAR:CALENDAR=US&amp;VAR:SYMBOL=37183T10&amp;VAR:INDEX=0"}</definedName>
    <definedName name="_5266__FDSAUDITLINK__" localSheetId="6" hidden="1">{"fdsup://directions/FAT Viewer?action=UPDATE&amp;creator=factset&amp;DYN_ARGS=TRUE&amp;DOC_NAME=FAT:FQL_AUDITING_CLIENT_TEMPLATE.FAT&amp;display_string=Audit&amp;VAR:KEY=FYVONEFQZQ&amp;VAR:QUERY=RkZfRUJJVERBX0lCKCdMVE1TJywzODYxOSk=&amp;WINDOW=FIRST_POPUP&amp;HEIGHT=450&amp;WIDTH=450&amp;START_MA","XIMIZED=FALSE&amp;VAR:CALENDAR=US&amp;VAR:SYMBOL=37183T10&amp;VAR:INDEX=0"}</definedName>
    <definedName name="_5266__FDSAUDITLINK__" hidden="1">{"fdsup://directions/FAT Viewer?action=UPDATE&amp;creator=factset&amp;DYN_ARGS=TRUE&amp;DOC_NAME=FAT:FQL_AUDITING_CLIENT_TEMPLATE.FAT&amp;display_string=Audit&amp;VAR:KEY=FYVONEFQZQ&amp;VAR:QUERY=RkZfRUJJVERBX0lCKCdMVE1TJywzODYxOSk=&amp;WINDOW=FIRST_POPUP&amp;HEIGHT=450&amp;WIDTH=450&amp;START_MA","XIMIZED=FALSE&amp;VAR:CALENDAR=US&amp;VAR:SYMBOL=37183T10&amp;VAR:INDEX=0"}</definedName>
    <definedName name="_5267__FDSAUDITLINK__" localSheetId="6" hidden="1">{"fdsup://directions/FAT Viewer?action=UPDATE&amp;creator=factset&amp;DYN_ARGS=TRUE&amp;DOC_NAME=FAT:FQL_AUDITING_CLIENT_TEMPLATE.FAT&amp;display_string=Audit&amp;VAR:KEY=BAHMDOTKBS&amp;VAR:QUERY=RkZfRUJJVERBX0lCKCdMVE1TJywzODYxOCk=&amp;WINDOW=FIRST_POPUP&amp;HEIGHT=450&amp;WIDTH=450&amp;START_MA","XIMIZED=FALSE&amp;VAR:CALENDAR=US&amp;VAR:SYMBOL=37183T10&amp;VAR:INDEX=0"}</definedName>
    <definedName name="_5267__FDSAUDITLINK__" hidden="1">{"fdsup://directions/FAT Viewer?action=UPDATE&amp;creator=factset&amp;DYN_ARGS=TRUE&amp;DOC_NAME=FAT:FQL_AUDITING_CLIENT_TEMPLATE.FAT&amp;display_string=Audit&amp;VAR:KEY=BAHMDOTKBS&amp;VAR:QUERY=RkZfRUJJVERBX0lCKCdMVE1TJywzODYxOCk=&amp;WINDOW=FIRST_POPUP&amp;HEIGHT=450&amp;WIDTH=450&amp;START_MA","XIMIZED=FALSE&amp;VAR:CALENDAR=US&amp;VAR:SYMBOL=37183T10&amp;VAR:INDEX=0"}</definedName>
    <definedName name="_5268__FDSAUDITLINK__" localSheetId="6" hidden="1">{"fdsup://directions/FAT Viewer?action=UPDATE&amp;creator=factset&amp;DYN_ARGS=TRUE&amp;DOC_NAME=FAT:FQL_AUDITING_CLIENT_TEMPLATE.FAT&amp;display_string=Audit&amp;VAR:KEY=JCZWLMPGVG&amp;VAR:QUERY=RkZfRUJJVERBX0lCKCdMVE1TJywzODYxNyk=&amp;WINDOW=FIRST_POPUP&amp;HEIGHT=450&amp;WIDTH=450&amp;START_MA","XIMIZED=FALSE&amp;VAR:CALENDAR=US&amp;VAR:SYMBOL=37183T10&amp;VAR:INDEX=0"}</definedName>
    <definedName name="_5268__FDSAUDITLINK__" hidden="1">{"fdsup://directions/FAT Viewer?action=UPDATE&amp;creator=factset&amp;DYN_ARGS=TRUE&amp;DOC_NAME=FAT:FQL_AUDITING_CLIENT_TEMPLATE.FAT&amp;display_string=Audit&amp;VAR:KEY=JCZWLMPGVG&amp;VAR:QUERY=RkZfRUJJVERBX0lCKCdMVE1TJywzODYxNyk=&amp;WINDOW=FIRST_POPUP&amp;HEIGHT=450&amp;WIDTH=450&amp;START_MA","XIMIZED=FALSE&amp;VAR:CALENDAR=US&amp;VAR:SYMBOL=37183T10&amp;VAR:INDEX=0"}</definedName>
    <definedName name="_5269__FDSAUDITLINK__" localSheetId="6" hidden="1">{"fdsup://directions/FAT Viewer?action=UPDATE&amp;creator=factset&amp;DYN_ARGS=TRUE&amp;DOC_NAME=FAT:FQL_AUDITING_CLIENT_TEMPLATE.FAT&amp;display_string=Audit&amp;VAR:KEY=LGXABUHULK&amp;VAR:QUERY=RkZfRUJJVERBX0lCKCdMVE1TJywzODYxNik=&amp;WINDOW=FIRST_POPUP&amp;HEIGHT=450&amp;WIDTH=450&amp;START_MA","XIMIZED=FALSE&amp;VAR:CALENDAR=US&amp;VAR:SYMBOL=37183T10&amp;VAR:INDEX=0"}</definedName>
    <definedName name="_5269__FDSAUDITLINK__" hidden="1">{"fdsup://directions/FAT Viewer?action=UPDATE&amp;creator=factset&amp;DYN_ARGS=TRUE&amp;DOC_NAME=FAT:FQL_AUDITING_CLIENT_TEMPLATE.FAT&amp;display_string=Audit&amp;VAR:KEY=LGXABUHULK&amp;VAR:QUERY=RkZfRUJJVERBX0lCKCdMVE1TJywzODYxNik=&amp;WINDOW=FIRST_POPUP&amp;HEIGHT=450&amp;WIDTH=450&amp;START_MA","XIMIZED=FALSE&amp;VAR:CALENDAR=US&amp;VAR:SYMBOL=37183T10&amp;VAR:INDEX=0"}</definedName>
    <definedName name="_527__FDSAUDITLINK__" localSheetId="6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7__FDSAUDITLINK__" hidden="1">{"fdsup://directions/FAT%20Viewer?VAR:PED=LTM&amp;VAR:AUDIT_MODE=SUMMARY&amp;VAR:PERIOD=FIXED&amp;VAR:AUDIT_ID=00000117&amp;VAR:DATE=20080912&amp;action=UPDATE&amp;creator=factset&amp;DOC_NAME=FAT:FMA_audit_SUMMARY.fat&amp;DISPLAY_STRING=Display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70__FDSAUDITLINK__" localSheetId="6" hidden="1">{"fdsup://directions/FAT Viewer?action=UPDATE&amp;creator=factset&amp;DYN_ARGS=TRUE&amp;DOC_NAME=FAT:FQL_AUDITING_CLIENT_TEMPLATE.FAT&amp;display_string=Audit&amp;VAR:KEY=HOXIDCJOVE&amp;VAR:QUERY=RkZfRUJJVERBX0lCKCdMVE1TJywzODYxNSk=&amp;WINDOW=FIRST_POPUP&amp;HEIGHT=450&amp;WIDTH=450&amp;START_MA","XIMIZED=FALSE&amp;VAR:CALENDAR=US&amp;VAR:SYMBOL=37183T10&amp;VAR:INDEX=0"}</definedName>
    <definedName name="_5270__FDSAUDITLINK__" hidden="1">{"fdsup://directions/FAT Viewer?action=UPDATE&amp;creator=factset&amp;DYN_ARGS=TRUE&amp;DOC_NAME=FAT:FQL_AUDITING_CLIENT_TEMPLATE.FAT&amp;display_string=Audit&amp;VAR:KEY=HOXIDCJOVE&amp;VAR:QUERY=RkZfRUJJVERBX0lCKCdMVE1TJywzODYxNSk=&amp;WINDOW=FIRST_POPUP&amp;HEIGHT=450&amp;WIDTH=450&amp;START_MA","XIMIZED=FALSE&amp;VAR:CALENDAR=US&amp;VAR:SYMBOL=37183T10&amp;VAR:INDEX=0"}</definedName>
    <definedName name="_5271__FDSAUDITLINK__" localSheetId="6" hidden="1">{"fdsup://directions/FAT Viewer?action=UPDATE&amp;creator=factset&amp;DYN_ARGS=TRUE&amp;DOC_NAME=FAT:FQL_AUDITING_CLIENT_TEMPLATE.FAT&amp;display_string=Audit&amp;VAR:KEY=RWBGDSZUTO&amp;VAR:QUERY=RkZfRUJJVERBX0lCKCdMVE1TJywzODYxNCk=&amp;WINDOW=FIRST_POPUP&amp;HEIGHT=450&amp;WIDTH=450&amp;START_MA","XIMIZED=FALSE&amp;VAR:CALENDAR=US&amp;VAR:SYMBOL=37183T10&amp;VAR:INDEX=0"}</definedName>
    <definedName name="_5271__FDSAUDITLINK__" hidden="1">{"fdsup://directions/FAT Viewer?action=UPDATE&amp;creator=factset&amp;DYN_ARGS=TRUE&amp;DOC_NAME=FAT:FQL_AUDITING_CLIENT_TEMPLATE.FAT&amp;display_string=Audit&amp;VAR:KEY=RWBGDSZUTO&amp;VAR:QUERY=RkZfRUJJVERBX0lCKCdMVE1TJywzODYxNCk=&amp;WINDOW=FIRST_POPUP&amp;HEIGHT=450&amp;WIDTH=450&amp;START_MA","XIMIZED=FALSE&amp;VAR:CALENDAR=US&amp;VAR:SYMBOL=37183T10&amp;VAR:INDEX=0"}</definedName>
    <definedName name="_5272__FDSAUDITLINK__" localSheetId="6" hidden="1">{"fdsup://directions/FAT Viewer?action=UPDATE&amp;creator=factset&amp;DYN_ARGS=TRUE&amp;DOC_NAME=FAT:FQL_AUDITING_CLIENT_TEMPLATE.FAT&amp;display_string=Audit&amp;VAR:KEY=TGXSDSHAJI&amp;VAR:QUERY=RkZfRUJJVERBX0lCKCdMVE1TJywzODYxMyk=&amp;WINDOW=FIRST_POPUP&amp;HEIGHT=450&amp;WIDTH=450&amp;START_MA","XIMIZED=FALSE&amp;VAR:CALENDAR=US&amp;VAR:SYMBOL=37183T10&amp;VAR:INDEX=0"}</definedName>
    <definedName name="_5272__FDSAUDITLINK__" hidden="1">{"fdsup://directions/FAT Viewer?action=UPDATE&amp;creator=factset&amp;DYN_ARGS=TRUE&amp;DOC_NAME=FAT:FQL_AUDITING_CLIENT_TEMPLATE.FAT&amp;display_string=Audit&amp;VAR:KEY=TGXSDSHAJI&amp;VAR:QUERY=RkZfRUJJVERBX0lCKCdMVE1TJywzODYxMyk=&amp;WINDOW=FIRST_POPUP&amp;HEIGHT=450&amp;WIDTH=450&amp;START_MA","XIMIZED=FALSE&amp;VAR:CALENDAR=US&amp;VAR:SYMBOL=37183T10&amp;VAR:INDEX=0"}</definedName>
    <definedName name="_5273__FDSAUDITLINK__" localSheetId="6" hidden="1">{"fdsup://directions/FAT Viewer?action=UPDATE&amp;creator=factset&amp;DYN_ARGS=TRUE&amp;DOC_NAME=FAT:FQL_AUDITING_CLIENT_TEMPLATE.FAT&amp;display_string=Audit&amp;VAR:KEY=LKXKFADAXO&amp;VAR:QUERY=RkZfRUJJVERBX0lCKCdMVE1TJywzODYxMik=&amp;WINDOW=FIRST_POPUP&amp;HEIGHT=450&amp;WIDTH=450&amp;START_MA","XIMIZED=FALSE&amp;VAR:CALENDAR=US&amp;VAR:SYMBOL=37183T10&amp;VAR:INDEX=0"}</definedName>
    <definedName name="_5273__FDSAUDITLINK__" hidden="1">{"fdsup://directions/FAT Viewer?action=UPDATE&amp;creator=factset&amp;DYN_ARGS=TRUE&amp;DOC_NAME=FAT:FQL_AUDITING_CLIENT_TEMPLATE.FAT&amp;display_string=Audit&amp;VAR:KEY=LKXKFADAXO&amp;VAR:QUERY=RkZfRUJJVERBX0lCKCdMVE1TJywzODYxMik=&amp;WINDOW=FIRST_POPUP&amp;HEIGHT=450&amp;WIDTH=450&amp;START_MA","XIMIZED=FALSE&amp;VAR:CALENDAR=US&amp;VAR:SYMBOL=37183T10&amp;VAR:INDEX=0"}</definedName>
    <definedName name="_5274__FDSAUDITLINK__" localSheetId="6" hidden="1">{"fdsup://directions/FAT Viewer?action=UPDATE&amp;creator=factset&amp;DYN_ARGS=TRUE&amp;DOC_NAME=FAT:FQL_AUDITING_CLIENT_TEMPLATE.FAT&amp;display_string=Audit&amp;VAR:KEY=DWTSHOVMTQ&amp;VAR:QUERY=RkZfRUJJVERBX0lCKCdMVE1TJywzODYxMSk=&amp;WINDOW=FIRST_POPUP&amp;HEIGHT=450&amp;WIDTH=450&amp;START_MA","XIMIZED=FALSE&amp;VAR:CALENDAR=US&amp;VAR:SYMBOL=37183T10&amp;VAR:INDEX=0"}</definedName>
    <definedName name="_5274__FDSAUDITLINK__" hidden="1">{"fdsup://directions/FAT Viewer?action=UPDATE&amp;creator=factset&amp;DYN_ARGS=TRUE&amp;DOC_NAME=FAT:FQL_AUDITING_CLIENT_TEMPLATE.FAT&amp;display_string=Audit&amp;VAR:KEY=DWTSHOVMTQ&amp;VAR:QUERY=RkZfRUJJVERBX0lCKCdMVE1TJywzODYxMSk=&amp;WINDOW=FIRST_POPUP&amp;HEIGHT=450&amp;WIDTH=450&amp;START_MA","XIMIZED=FALSE&amp;VAR:CALENDAR=US&amp;VAR:SYMBOL=37183T10&amp;VAR:INDEX=0"}</definedName>
    <definedName name="_5275__FDSAUDITLINK__" localSheetId="6" hidden="1">{"fdsup://directions/FAT Viewer?action=UPDATE&amp;creator=factset&amp;DYN_ARGS=TRUE&amp;DOC_NAME=FAT:FQL_AUDITING_CLIENT_TEMPLATE.FAT&amp;display_string=Audit&amp;VAR:KEY=BKVKNKBOXE&amp;VAR:QUERY=RkZfRUJJVERBX0lCKCdMVE1TJywzODYxMCk=&amp;WINDOW=FIRST_POPUP&amp;HEIGHT=450&amp;WIDTH=450&amp;START_MA","XIMIZED=FALSE&amp;VAR:CALENDAR=US&amp;VAR:SYMBOL=37183T10&amp;VAR:INDEX=0"}</definedName>
    <definedName name="_5275__FDSAUDITLINK__" hidden="1">{"fdsup://directions/FAT Viewer?action=UPDATE&amp;creator=factset&amp;DYN_ARGS=TRUE&amp;DOC_NAME=FAT:FQL_AUDITING_CLIENT_TEMPLATE.FAT&amp;display_string=Audit&amp;VAR:KEY=BKVKNKBOXE&amp;VAR:QUERY=RkZfRUJJVERBX0lCKCdMVE1TJywzODYxMCk=&amp;WINDOW=FIRST_POPUP&amp;HEIGHT=450&amp;WIDTH=450&amp;START_MA","XIMIZED=FALSE&amp;VAR:CALENDAR=US&amp;VAR:SYMBOL=37183T10&amp;VAR:INDEX=0"}</definedName>
    <definedName name="_5276__FDSAUDITLINK__" localSheetId="6" hidden="1">{"fdsup://directions/FAT Viewer?action=UPDATE&amp;creator=factset&amp;DYN_ARGS=TRUE&amp;DOC_NAME=FAT:FQL_AUDITING_CLIENT_TEMPLATE.FAT&amp;display_string=Audit&amp;VAR:KEY=RCJQBUFKPM&amp;VAR:QUERY=RkZfRUJJVERBX0lCKCdMVE1TJywzODYwOSk=&amp;WINDOW=FIRST_POPUP&amp;HEIGHT=450&amp;WIDTH=450&amp;START_MA","XIMIZED=FALSE&amp;VAR:CALENDAR=US&amp;VAR:SYMBOL=37183T10&amp;VAR:INDEX=0"}</definedName>
    <definedName name="_5276__FDSAUDITLINK__" hidden="1">{"fdsup://directions/FAT Viewer?action=UPDATE&amp;creator=factset&amp;DYN_ARGS=TRUE&amp;DOC_NAME=FAT:FQL_AUDITING_CLIENT_TEMPLATE.FAT&amp;display_string=Audit&amp;VAR:KEY=RCJQBUFKPM&amp;VAR:QUERY=RkZfRUJJVERBX0lCKCdMVE1TJywzODYwOSk=&amp;WINDOW=FIRST_POPUP&amp;HEIGHT=450&amp;WIDTH=450&amp;START_MA","XIMIZED=FALSE&amp;VAR:CALENDAR=US&amp;VAR:SYMBOL=37183T10&amp;VAR:INDEX=0"}</definedName>
    <definedName name="_5277__FDSAUDITLINK__" localSheetId="6" hidden="1">{"fdsup://directions/FAT Viewer?action=UPDATE&amp;creator=factset&amp;DYN_ARGS=TRUE&amp;DOC_NAME=FAT:FQL_AUDITING_CLIENT_TEMPLATE.FAT&amp;display_string=Audit&amp;VAR:KEY=NEFIVYZWDU&amp;VAR:QUERY=RkZfRUJJVERBX0lCKCdMVE1TJywzODYwOCk=&amp;WINDOW=FIRST_POPUP&amp;HEIGHT=450&amp;WIDTH=450&amp;START_MA","XIMIZED=FALSE&amp;VAR:CALENDAR=US&amp;VAR:SYMBOL=37183T10&amp;VAR:INDEX=0"}</definedName>
    <definedName name="_5277__FDSAUDITLINK__" hidden="1">{"fdsup://directions/FAT Viewer?action=UPDATE&amp;creator=factset&amp;DYN_ARGS=TRUE&amp;DOC_NAME=FAT:FQL_AUDITING_CLIENT_TEMPLATE.FAT&amp;display_string=Audit&amp;VAR:KEY=NEFIVYZWDU&amp;VAR:QUERY=RkZfRUJJVERBX0lCKCdMVE1TJywzODYwOCk=&amp;WINDOW=FIRST_POPUP&amp;HEIGHT=450&amp;WIDTH=450&amp;START_MA","XIMIZED=FALSE&amp;VAR:CALENDAR=US&amp;VAR:SYMBOL=37183T10&amp;VAR:INDEX=0"}</definedName>
    <definedName name="_5278__FDSAUDITLINK__" localSheetId="6" hidden="1">{"fdsup://directions/FAT Viewer?action=UPDATE&amp;creator=factset&amp;DYN_ARGS=TRUE&amp;DOC_NAME=FAT:FQL_AUDITING_CLIENT_TEMPLATE.FAT&amp;display_string=Audit&amp;VAR:KEY=HWZKNQFWRY&amp;VAR:QUERY=RkZfRUJJVERBX0lCKCdMVE1TJywzODYwNyk=&amp;WINDOW=FIRST_POPUP&amp;HEIGHT=450&amp;WIDTH=450&amp;START_MA","XIMIZED=FALSE&amp;VAR:CALENDAR=US&amp;VAR:SYMBOL=37183T10&amp;VAR:INDEX=0"}</definedName>
    <definedName name="_5278__FDSAUDITLINK__" hidden="1">{"fdsup://directions/FAT Viewer?action=UPDATE&amp;creator=factset&amp;DYN_ARGS=TRUE&amp;DOC_NAME=FAT:FQL_AUDITING_CLIENT_TEMPLATE.FAT&amp;display_string=Audit&amp;VAR:KEY=HWZKNQFWRY&amp;VAR:QUERY=RkZfRUJJVERBX0lCKCdMVE1TJywzODYwNyk=&amp;WINDOW=FIRST_POPUP&amp;HEIGHT=450&amp;WIDTH=450&amp;START_MA","XIMIZED=FALSE&amp;VAR:CALENDAR=US&amp;VAR:SYMBOL=37183T10&amp;VAR:INDEX=0"}</definedName>
    <definedName name="_5279__FDSAUDITLINK__" localSheetId="6" hidden="1">{"fdsup://directions/FAT Viewer?action=UPDATE&amp;creator=factset&amp;DYN_ARGS=TRUE&amp;DOC_NAME=FAT:FQL_AUDITING_CLIENT_TEMPLATE.FAT&amp;display_string=Audit&amp;VAR:KEY=TQVANODSRO&amp;VAR:QUERY=RkZfRUJJVERBX0lCKCdMVE1TJywzODYwNik=&amp;WINDOW=FIRST_POPUP&amp;HEIGHT=450&amp;WIDTH=450&amp;START_MA","XIMIZED=FALSE&amp;VAR:CALENDAR=US&amp;VAR:SYMBOL=37183T10&amp;VAR:INDEX=0"}</definedName>
    <definedName name="_5279__FDSAUDITLINK__" hidden="1">{"fdsup://directions/FAT Viewer?action=UPDATE&amp;creator=factset&amp;DYN_ARGS=TRUE&amp;DOC_NAME=FAT:FQL_AUDITING_CLIENT_TEMPLATE.FAT&amp;display_string=Audit&amp;VAR:KEY=TQVANODSRO&amp;VAR:QUERY=RkZfRUJJVERBX0lCKCdMVE1TJywzODYwNik=&amp;WINDOW=FIRST_POPUP&amp;HEIGHT=450&amp;WIDTH=450&amp;START_MA","XIMIZED=FALSE&amp;VAR:CALENDAR=US&amp;VAR:SYMBOL=37183T10&amp;VAR:INDEX=0"}</definedName>
    <definedName name="_528__FDSAUDITLINK__" localSheetId="6" hidden="1">{"fdsup://directions/FAT%20Viewer?VAR:PED=LTM&amp;VAR:AUDIT_MODE=SUMMARY&amp;VAR:PERIOD=FIXED&amp;VAR:AUDIT_ID=00000117&amp;VAR:DATE=20080911&amp;action=UPDATE&amp;creator=factset&amp;DOC_NAME=FAT:FMA_audit_SUMMARY.fat&amp;DISPLAY_STRING=Display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8__FDSAUDITLINK__" hidden="1">{"fdsup://directions/FAT%20Viewer?VAR:PED=LTM&amp;VAR:AUDIT_MODE=SUMMARY&amp;VAR:PERIOD=FIXED&amp;VAR:AUDIT_ID=00000117&amp;VAR:DATE=20080911&amp;action=UPDATE&amp;creator=factset&amp;DOC_NAME=FAT:FMA_audit_SUMMARY.fat&amp;DISPLAY_STRING=Display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80__FDSAUDITLINK__" localSheetId="6" hidden="1">{"fdsup://directions/FAT Viewer?action=UPDATE&amp;creator=factset&amp;DYN_ARGS=TRUE&amp;DOC_NAME=FAT:FQL_AUDITING_CLIENT_TEMPLATE.FAT&amp;display_string=Audit&amp;VAR:KEY=JGZQRCLMZE&amp;VAR:QUERY=RkZfRUJJVERBX0lCKCdMVE1TJywzODYwNSk=&amp;WINDOW=FIRST_POPUP&amp;HEIGHT=450&amp;WIDTH=450&amp;START_MA","XIMIZED=FALSE&amp;VAR:CALENDAR=US&amp;VAR:SYMBOL=37183T10&amp;VAR:INDEX=0"}</definedName>
    <definedName name="_5280__FDSAUDITLINK__" hidden="1">{"fdsup://directions/FAT Viewer?action=UPDATE&amp;creator=factset&amp;DYN_ARGS=TRUE&amp;DOC_NAME=FAT:FQL_AUDITING_CLIENT_TEMPLATE.FAT&amp;display_string=Audit&amp;VAR:KEY=JGZQRCLMZE&amp;VAR:QUERY=RkZfRUJJVERBX0lCKCdMVE1TJywzODYwNSk=&amp;WINDOW=FIRST_POPUP&amp;HEIGHT=450&amp;WIDTH=450&amp;START_MA","XIMIZED=FALSE&amp;VAR:CALENDAR=US&amp;VAR:SYMBOL=37183T10&amp;VAR:INDEX=0"}</definedName>
    <definedName name="_5281__FDSAUDITLINK__" localSheetId="6" hidden="1">{"fdsup://directions/FAT Viewer?action=UPDATE&amp;creator=factset&amp;DYN_ARGS=TRUE&amp;DOC_NAME=FAT:FQL_AUDITING_CLIENT_TEMPLATE.FAT&amp;display_string=Audit&amp;VAR:KEY=HWTGRWTCFK&amp;VAR:QUERY=RkZfRUJJVERBX0lCKCdMVE1TJywzODYwNCk=&amp;WINDOW=FIRST_POPUP&amp;HEIGHT=450&amp;WIDTH=450&amp;START_MA","XIMIZED=FALSE&amp;VAR:CALENDAR=US&amp;VAR:SYMBOL=37183T10&amp;VAR:INDEX=0"}</definedName>
    <definedName name="_5281__FDSAUDITLINK__" hidden="1">{"fdsup://directions/FAT Viewer?action=UPDATE&amp;creator=factset&amp;DYN_ARGS=TRUE&amp;DOC_NAME=FAT:FQL_AUDITING_CLIENT_TEMPLATE.FAT&amp;display_string=Audit&amp;VAR:KEY=HWTGRWTCFK&amp;VAR:QUERY=RkZfRUJJVERBX0lCKCdMVE1TJywzODYwNCk=&amp;WINDOW=FIRST_POPUP&amp;HEIGHT=450&amp;WIDTH=450&amp;START_MA","XIMIZED=FALSE&amp;VAR:CALENDAR=US&amp;VAR:SYMBOL=37183T10&amp;VAR:INDEX=0"}</definedName>
    <definedName name="_5282__FDSAUDITLINK__" localSheetId="6" hidden="1">{"fdsup://directions/FAT Viewer?action=UPDATE&amp;creator=factset&amp;DYN_ARGS=TRUE&amp;DOC_NAME=FAT:FQL_AUDITING_CLIENT_TEMPLATE.FAT&amp;display_string=Audit&amp;VAR:KEY=LMNYNUBGDA&amp;VAR:QUERY=RkZfRUJJVERBX0lCKCdMVE1TJywzODYwMyk=&amp;WINDOW=FIRST_POPUP&amp;HEIGHT=450&amp;WIDTH=450&amp;START_MA","XIMIZED=FALSE&amp;VAR:CALENDAR=US&amp;VAR:SYMBOL=37183T10&amp;VAR:INDEX=0"}</definedName>
    <definedName name="_5282__FDSAUDITLINK__" hidden="1">{"fdsup://directions/FAT Viewer?action=UPDATE&amp;creator=factset&amp;DYN_ARGS=TRUE&amp;DOC_NAME=FAT:FQL_AUDITING_CLIENT_TEMPLATE.FAT&amp;display_string=Audit&amp;VAR:KEY=LMNYNUBGDA&amp;VAR:QUERY=RkZfRUJJVERBX0lCKCdMVE1TJywzODYwMyk=&amp;WINDOW=FIRST_POPUP&amp;HEIGHT=450&amp;WIDTH=450&amp;START_MA","XIMIZED=FALSE&amp;VAR:CALENDAR=US&amp;VAR:SYMBOL=37183T10&amp;VAR:INDEX=0"}</definedName>
    <definedName name="_5283__FDSAUDITLINK__" localSheetId="6" hidden="1">{"fdsup://directions/FAT Viewer?action=UPDATE&amp;creator=factset&amp;DYN_ARGS=TRUE&amp;DOC_NAME=FAT:FQL_AUDITING_CLIENT_TEMPLATE.FAT&amp;display_string=Audit&amp;VAR:KEY=NERQRSLORA&amp;VAR:QUERY=RkZfRUJJVERBX0lCKCdMVE1TJywzODYwMik=&amp;WINDOW=FIRST_POPUP&amp;HEIGHT=450&amp;WIDTH=450&amp;START_MA","XIMIZED=FALSE&amp;VAR:CALENDAR=US&amp;VAR:SYMBOL=37183T10&amp;VAR:INDEX=0"}</definedName>
    <definedName name="_5283__FDSAUDITLINK__" hidden="1">{"fdsup://directions/FAT Viewer?action=UPDATE&amp;creator=factset&amp;DYN_ARGS=TRUE&amp;DOC_NAME=FAT:FQL_AUDITING_CLIENT_TEMPLATE.FAT&amp;display_string=Audit&amp;VAR:KEY=NERQRSLORA&amp;VAR:QUERY=RkZfRUJJVERBX0lCKCdMVE1TJywzODYwMik=&amp;WINDOW=FIRST_POPUP&amp;HEIGHT=450&amp;WIDTH=450&amp;START_MA","XIMIZED=FALSE&amp;VAR:CALENDAR=US&amp;VAR:SYMBOL=37183T10&amp;VAR:INDEX=0"}</definedName>
    <definedName name="_5284__FDSAUDITLINK__" localSheetId="6" hidden="1">{"fdsup://directions/FAT Viewer?action=UPDATE&amp;creator=factset&amp;DYN_ARGS=TRUE&amp;DOC_NAME=FAT:FQL_AUDITING_CLIENT_TEMPLATE.FAT&amp;display_string=Audit&amp;VAR:KEY=LSXQXABYHA&amp;VAR:QUERY=RkZfRUJJVERBX0lCKCdMVE1TJywzODYwMSk=&amp;WINDOW=FIRST_POPUP&amp;HEIGHT=450&amp;WIDTH=450&amp;START_MA","XIMIZED=FALSE&amp;VAR:CALENDAR=US&amp;VAR:SYMBOL=37183T10&amp;VAR:INDEX=0"}</definedName>
    <definedName name="_5284__FDSAUDITLINK__" hidden="1">{"fdsup://directions/FAT Viewer?action=UPDATE&amp;creator=factset&amp;DYN_ARGS=TRUE&amp;DOC_NAME=FAT:FQL_AUDITING_CLIENT_TEMPLATE.FAT&amp;display_string=Audit&amp;VAR:KEY=LSXQXABYHA&amp;VAR:QUERY=RkZfRUJJVERBX0lCKCdMVE1TJywzODYwMSk=&amp;WINDOW=FIRST_POPUP&amp;HEIGHT=450&amp;WIDTH=450&amp;START_MA","XIMIZED=FALSE&amp;VAR:CALENDAR=US&amp;VAR:SYMBOL=37183T10&amp;VAR:INDEX=0"}</definedName>
    <definedName name="_5285__FDSAUDITLINK__" localSheetId="6" hidden="1">{"fdsup://directions/FAT Viewer?action=UPDATE&amp;creator=factset&amp;DYN_ARGS=TRUE&amp;DOC_NAME=FAT:FQL_AUDITING_CLIENT_TEMPLATE.FAT&amp;display_string=Audit&amp;VAR:KEY=JILSRONATA&amp;VAR:QUERY=RkZfRUJJVERBX0lCKCdMVE1TJywzODYwMCk=&amp;WINDOW=FIRST_POPUP&amp;HEIGHT=450&amp;WIDTH=450&amp;START_MA","XIMIZED=FALSE&amp;VAR:CALENDAR=US&amp;VAR:SYMBOL=37183T10&amp;VAR:INDEX=0"}</definedName>
    <definedName name="_5285__FDSAUDITLINK__" hidden="1">{"fdsup://directions/FAT Viewer?action=UPDATE&amp;creator=factset&amp;DYN_ARGS=TRUE&amp;DOC_NAME=FAT:FQL_AUDITING_CLIENT_TEMPLATE.FAT&amp;display_string=Audit&amp;VAR:KEY=JILSRONATA&amp;VAR:QUERY=RkZfRUJJVERBX0lCKCdMVE1TJywzODYwMCk=&amp;WINDOW=FIRST_POPUP&amp;HEIGHT=450&amp;WIDTH=450&amp;START_MA","XIMIZED=FALSE&amp;VAR:CALENDAR=US&amp;VAR:SYMBOL=37183T10&amp;VAR:INDEX=0"}</definedName>
    <definedName name="_5286__FDSAUDITLINK__" localSheetId="6" hidden="1">{"fdsup://directions/FAT Viewer?action=UPDATE&amp;creator=factset&amp;DYN_ARGS=TRUE&amp;DOC_NAME=FAT:FQL_AUDITING_CLIENT_TEMPLATE.FAT&amp;display_string=Audit&amp;VAR:KEY=PEHETSBULI&amp;VAR:QUERY=RkZfRUJJVERBX0lCKCdMVE1TJywzODU5OSk=&amp;WINDOW=FIRST_POPUP&amp;HEIGHT=450&amp;WIDTH=450&amp;START_MA","XIMIZED=FALSE&amp;VAR:CALENDAR=US&amp;VAR:SYMBOL=37183T10&amp;VAR:INDEX=0"}</definedName>
    <definedName name="_5286__FDSAUDITLINK__" hidden="1">{"fdsup://directions/FAT Viewer?action=UPDATE&amp;creator=factset&amp;DYN_ARGS=TRUE&amp;DOC_NAME=FAT:FQL_AUDITING_CLIENT_TEMPLATE.FAT&amp;display_string=Audit&amp;VAR:KEY=PEHETSBULI&amp;VAR:QUERY=RkZfRUJJVERBX0lCKCdMVE1TJywzODU5OSk=&amp;WINDOW=FIRST_POPUP&amp;HEIGHT=450&amp;WIDTH=450&amp;START_MA","XIMIZED=FALSE&amp;VAR:CALENDAR=US&amp;VAR:SYMBOL=37183T10&amp;VAR:INDEX=0"}</definedName>
    <definedName name="_5287__FDSAUDITLINK__" localSheetId="6" hidden="1">{"fdsup://directions/FAT Viewer?action=UPDATE&amp;creator=factset&amp;DYN_ARGS=TRUE&amp;DOC_NAME=FAT:FQL_AUDITING_CLIENT_TEMPLATE.FAT&amp;display_string=Audit&amp;VAR:KEY=XGLMRQPYHI&amp;VAR:QUERY=RkZfRUJJVERBX0lCKCdMVE1TJywzODU5OCk=&amp;WINDOW=FIRST_POPUP&amp;HEIGHT=450&amp;WIDTH=450&amp;START_MA","XIMIZED=FALSE&amp;VAR:CALENDAR=US&amp;VAR:SYMBOL=37183T10&amp;VAR:INDEX=0"}</definedName>
    <definedName name="_5287__FDSAUDITLINK__" hidden="1">{"fdsup://directions/FAT Viewer?action=UPDATE&amp;creator=factset&amp;DYN_ARGS=TRUE&amp;DOC_NAME=FAT:FQL_AUDITING_CLIENT_TEMPLATE.FAT&amp;display_string=Audit&amp;VAR:KEY=XGLMRQPYHI&amp;VAR:QUERY=RkZfRUJJVERBX0lCKCdMVE1TJywzODU5OCk=&amp;WINDOW=FIRST_POPUP&amp;HEIGHT=450&amp;WIDTH=450&amp;START_MA","XIMIZED=FALSE&amp;VAR:CALENDAR=US&amp;VAR:SYMBOL=37183T10&amp;VAR:INDEX=0"}</definedName>
    <definedName name="_5288__FDSAUDITLINK__" localSheetId="6" hidden="1">{"fdsup://directions/FAT Viewer?action=UPDATE&amp;creator=factset&amp;DYN_ARGS=TRUE&amp;DOC_NAME=FAT:FQL_AUDITING_CLIENT_TEMPLATE.FAT&amp;display_string=Audit&amp;VAR:KEY=VYLMBEXIVM&amp;VAR:QUERY=RkZfRUJJVERBX0lCKCdMVE1TJywzODU5Nyk=&amp;WINDOW=FIRST_POPUP&amp;HEIGHT=450&amp;WIDTH=450&amp;START_MA","XIMIZED=FALSE&amp;VAR:CALENDAR=US&amp;VAR:SYMBOL=37183T10&amp;VAR:INDEX=0"}</definedName>
    <definedName name="_5288__FDSAUDITLINK__" hidden="1">{"fdsup://directions/FAT Viewer?action=UPDATE&amp;creator=factset&amp;DYN_ARGS=TRUE&amp;DOC_NAME=FAT:FQL_AUDITING_CLIENT_TEMPLATE.FAT&amp;display_string=Audit&amp;VAR:KEY=VYLMBEXIVM&amp;VAR:QUERY=RkZfRUJJVERBX0lCKCdMVE1TJywzODU5Nyk=&amp;WINDOW=FIRST_POPUP&amp;HEIGHT=450&amp;WIDTH=450&amp;START_MA","XIMIZED=FALSE&amp;VAR:CALENDAR=US&amp;VAR:SYMBOL=37183T10&amp;VAR:INDEX=0"}</definedName>
    <definedName name="_5289__FDSAUDITLINK__" localSheetId="6" hidden="1">{"fdsup://directions/FAT Viewer?action=UPDATE&amp;creator=factset&amp;DYN_ARGS=TRUE&amp;DOC_NAME=FAT:FQL_AUDITING_CLIENT_TEMPLATE.FAT&amp;display_string=Audit&amp;VAR:KEY=FSLSBOBGHU&amp;VAR:QUERY=RkZfRUJJVERBX0lCKCdMVE1TJywzODU5Nik=&amp;WINDOW=FIRST_POPUP&amp;HEIGHT=450&amp;WIDTH=450&amp;START_MA","XIMIZED=FALSE&amp;VAR:CALENDAR=US&amp;VAR:SYMBOL=37183T10&amp;VAR:INDEX=0"}</definedName>
    <definedName name="_5289__FDSAUDITLINK__" hidden="1">{"fdsup://directions/FAT Viewer?action=UPDATE&amp;creator=factset&amp;DYN_ARGS=TRUE&amp;DOC_NAME=FAT:FQL_AUDITING_CLIENT_TEMPLATE.FAT&amp;display_string=Audit&amp;VAR:KEY=FSLSBOBGHU&amp;VAR:QUERY=RkZfRUJJVERBX0lCKCdMVE1TJywzODU5Nik=&amp;WINDOW=FIRST_POPUP&amp;HEIGHT=450&amp;WIDTH=450&amp;START_MA","XIMIZED=FALSE&amp;VAR:CALENDAR=US&amp;VAR:SYMBOL=37183T10&amp;VAR:INDEX=0"}</definedName>
    <definedName name="_529__FDSAUDITLINK__" localSheetId="6" hidden="1">{"fdsup://directions/FAT%20Viewer?VAR:PED=LTM&amp;VAR:AUDIT_MODE=SUMMARY&amp;VAR:PERIOD=FIXED&amp;VAR:AUDIT_ID=00000117&amp;VAR:DATE=20080910&amp;action=UPDATE&amp;creator=factset&amp;DOC_NAME=FAT:FMA_audit_SUMMARY.fat&amp;DISPLAY_STRING=Display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9__FDSAUDITLINK__" hidden="1">{"fdsup://directions/FAT%20Viewer?VAR:PED=LTM&amp;VAR:AUDIT_MODE=SUMMARY&amp;VAR:PERIOD=FIXED&amp;VAR:AUDIT_ID=00000117&amp;VAR:DATE=20080910&amp;action=UPDATE&amp;creator=factset&amp;DOC_NAME=FAT:FMA_audit_SUMMARY.fat&amp;DISPLAY_STRING=Display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290__FDSAUDITLINK__" localSheetId="6" hidden="1">{"fdsup://directions/FAT Viewer?action=UPDATE&amp;creator=factset&amp;DYN_ARGS=TRUE&amp;DOC_NAME=FAT:FQL_AUDITING_CLIENT_TEMPLATE.FAT&amp;display_string=Audit&amp;VAR:KEY=VKHIPIFSHK&amp;VAR:QUERY=RkZfRUJJVERBX0lCKCdMVE1TJywzODU5NSk=&amp;WINDOW=FIRST_POPUP&amp;HEIGHT=450&amp;WIDTH=450&amp;START_MA","XIMIZED=FALSE&amp;VAR:CALENDAR=US&amp;VAR:SYMBOL=37183T10&amp;VAR:INDEX=0"}</definedName>
    <definedName name="_5290__FDSAUDITLINK__" hidden="1">{"fdsup://directions/FAT Viewer?action=UPDATE&amp;creator=factset&amp;DYN_ARGS=TRUE&amp;DOC_NAME=FAT:FQL_AUDITING_CLIENT_TEMPLATE.FAT&amp;display_string=Audit&amp;VAR:KEY=VKHIPIFSHK&amp;VAR:QUERY=RkZfRUJJVERBX0lCKCdMVE1TJywzODU5NSk=&amp;WINDOW=FIRST_POPUP&amp;HEIGHT=450&amp;WIDTH=450&amp;START_MA","XIMIZED=FALSE&amp;VAR:CALENDAR=US&amp;VAR:SYMBOL=37183T10&amp;VAR:INDEX=0"}</definedName>
    <definedName name="_5291__FDSAUDITLINK__" localSheetId="6" hidden="1">{"fdsup://directions/FAT Viewer?action=UPDATE&amp;creator=factset&amp;DYN_ARGS=TRUE&amp;DOC_NAME=FAT:FQL_AUDITING_CLIENT_TEMPLATE.FAT&amp;display_string=Audit&amp;VAR:KEY=JIFQNQJETU&amp;VAR:QUERY=RkZfRUJJVERBX0lCKCdMVE1TJywzODU5NCk=&amp;WINDOW=FIRST_POPUP&amp;HEIGHT=450&amp;WIDTH=450&amp;START_MA","XIMIZED=FALSE&amp;VAR:CALENDAR=US&amp;VAR:SYMBOL=37183T10&amp;VAR:INDEX=0"}</definedName>
    <definedName name="_5291__FDSAUDITLINK__" hidden="1">{"fdsup://directions/FAT Viewer?action=UPDATE&amp;creator=factset&amp;DYN_ARGS=TRUE&amp;DOC_NAME=FAT:FQL_AUDITING_CLIENT_TEMPLATE.FAT&amp;display_string=Audit&amp;VAR:KEY=JIFQNQJETU&amp;VAR:QUERY=RkZfRUJJVERBX0lCKCdMVE1TJywzODU5NCk=&amp;WINDOW=FIRST_POPUP&amp;HEIGHT=450&amp;WIDTH=450&amp;START_MA","XIMIZED=FALSE&amp;VAR:CALENDAR=US&amp;VAR:SYMBOL=37183T10&amp;VAR:INDEX=0"}</definedName>
    <definedName name="_5292__FDSAUDITLINK__" localSheetId="6" hidden="1">{"fdsup://directions/FAT Viewer?action=UPDATE&amp;creator=factset&amp;DYN_ARGS=TRUE&amp;DOC_NAME=FAT:FQL_AUDITING_CLIENT_TEMPLATE.FAT&amp;display_string=Audit&amp;VAR:KEY=LINSDEFSTK&amp;VAR:QUERY=RkZfRUJJVERBX0lCKCdMVE1TJywzODU5Myk=&amp;WINDOW=FIRST_POPUP&amp;HEIGHT=450&amp;WIDTH=450&amp;START_MA","XIMIZED=FALSE&amp;VAR:CALENDAR=US&amp;VAR:SYMBOL=37183T10&amp;VAR:INDEX=0"}</definedName>
    <definedName name="_5292__FDSAUDITLINK__" hidden="1">{"fdsup://directions/FAT Viewer?action=UPDATE&amp;creator=factset&amp;DYN_ARGS=TRUE&amp;DOC_NAME=FAT:FQL_AUDITING_CLIENT_TEMPLATE.FAT&amp;display_string=Audit&amp;VAR:KEY=LINSDEFSTK&amp;VAR:QUERY=RkZfRUJJVERBX0lCKCdMVE1TJywzODU5Myk=&amp;WINDOW=FIRST_POPUP&amp;HEIGHT=450&amp;WIDTH=450&amp;START_MA","XIMIZED=FALSE&amp;VAR:CALENDAR=US&amp;VAR:SYMBOL=37183T10&amp;VAR:INDEX=0"}</definedName>
    <definedName name="_5293__FDSAUDITLINK__" localSheetId="6" hidden="1">{"fdsup://directions/FAT Viewer?action=UPDATE&amp;creator=factset&amp;DYN_ARGS=TRUE&amp;DOC_NAME=FAT:FQL_AUDITING_CLIENT_TEMPLATE.FAT&amp;display_string=Audit&amp;VAR:KEY=HSBKVKNGPS&amp;VAR:QUERY=RkZfRUJJVERBX0lCKCdMVE1TJywzODU5Mik=&amp;WINDOW=FIRST_POPUP&amp;HEIGHT=450&amp;WIDTH=450&amp;START_MA","XIMIZED=FALSE&amp;VAR:CALENDAR=US&amp;VAR:SYMBOL=37183T10&amp;VAR:INDEX=0"}</definedName>
    <definedName name="_5293__FDSAUDITLINK__" hidden="1">{"fdsup://directions/FAT Viewer?action=UPDATE&amp;creator=factset&amp;DYN_ARGS=TRUE&amp;DOC_NAME=FAT:FQL_AUDITING_CLIENT_TEMPLATE.FAT&amp;display_string=Audit&amp;VAR:KEY=HSBKVKNGPS&amp;VAR:QUERY=RkZfRUJJVERBX0lCKCdMVE1TJywzODU5Mik=&amp;WINDOW=FIRST_POPUP&amp;HEIGHT=450&amp;WIDTH=450&amp;START_MA","XIMIZED=FALSE&amp;VAR:CALENDAR=US&amp;VAR:SYMBOL=37183T10&amp;VAR:INDEX=0"}</definedName>
    <definedName name="_5294__FDSAUDITLINK__" localSheetId="6" hidden="1">{"fdsup://directions/FAT Viewer?action=UPDATE&amp;creator=factset&amp;DYN_ARGS=TRUE&amp;DOC_NAME=FAT:FQL_AUDITING_CLIENT_TEMPLATE.FAT&amp;display_string=Audit&amp;VAR:KEY=FOBQPGRQBM&amp;VAR:QUERY=RkZfRUJJVERBX0lCKCdMVE1TJywzODU5MSk=&amp;WINDOW=FIRST_POPUP&amp;HEIGHT=450&amp;WIDTH=450&amp;START_MA","XIMIZED=FALSE&amp;VAR:CALENDAR=US&amp;VAR:SYMBOL=37183T10&amp;VAR:INDEX=0"}</definedName>
    <definedName name="_5294__FDSAUDITLINK__" hidden="1">{"fdsup://directions/FAT Viewer?action=UPDATE&amp;creator=factset&amp;DYN_ARGS=TRUE&amp;DOC_NAME=FAT:FQL_AUDITING_CLIENT_TEMPLATE.FAT&amp;display_string=Audit&amp;VAR:KEY=FOBQPGRQBM&amp;VAR:QUERY=RkZfRUJJVERBX0lCKCdMVE1TJywzODU5MSk=&amp;WINDOW=FIRST_POPUP&amp;HEIGHT=450&amp;WIDTH=450&amp;START_MA","XIMIZED=FALSE&amp;VAR:CALENDAR=US&amp;VAR:SYMBOL=37183T10&amp;VAR:INDEX=0"}</definedName>
    <definedName name="_5295__FDSAUDITLINK__" localSheetId="6" hidden="1">{"fdsup://directions/FAT Viewer?action=UPDATE&amp;creator=factset&amp;DYN_ARGS=TRUE&amp;DOC_NAME=FAT:FQL_AUDITING_CLIENT_TEMPLATE.FAT&amp;display_string=Audit&amp;VAR:KEY=NMDCLUBEHM&amp;VAR:QUERY=RkZfRUJJVERBX0lCKCdMVE1TJywzODU5MCk=&amp;WINDOW=FIRST_POPUP&amp;HEIGHT=450&amp;WIDTH=450&amp;START_MA","XIMIZED=FALSE&amp;VAR:CALENDAR=US&amp;VAR:SYMBOL=37183T10&amp;VAR:INDEX=0"}</definedName>
    <definedName name="_5295__FDSAUDITLINK__" hidden="1">{"fdsup://directions/FAT Viewer?action=UPDATE&amp;creator=factset&amp;DYN_ARGS=TRUE&amp;DOC_NAME=FAT:FQL_AUDITING_CLIENT_TEMPLATE.FAT&amp;display_string=Audit&amp;VAR:KEY=NMDCLUBEHM&amp;VAR:QUERY=RkZfRUJJVERBX0lCKCdMVE1TJywzODU5MCk=&amp;WINDOW=FIRST_POPUP&amp;HEIGHT=450&amp;WIDTH=450&amp;START_MA","XIMIZED=FALSE&amp;VAR:CALENDAR=US&amp;VAR:SYMBOL=37183T10&amp;VAR:INDEX=0"}</definedName>
    <definedName name="_5296__FDSAUDITLINK__" localSheetId="6" hidden="1">{"fdsup://directions/FAT Viewer?action=UPDATE&amp;creator=factset&amp;DYN_ARGS=TRUE&amp;DOC_NAME=FAT:FQL_AUDITING_CLIENT_TEMPLATE.FAT&amp;display_string=Audit&amp;VAR:KEY=HSZSJSNQBM&amp;VAR:QUERY=RkZfRUJJVERBX0lCKCdMVE1TJywzODU4OSk=&amp;WINDOW=FIRST_POPUP&amp;HEIGHT=450&amp;WIDTH=450&amp;START_MA","XIMIZED=FALSE&amp;VAR:CALENDAR=US&amp;VAR:SYMBOL=37183T10&amp;VAR:INDEX=0"}</definedName>
    <definedName name="_5296__FDSAUDITLINK__" hidden="1">{"fdsup://directions/FAT Viewer?action=UPDATE&amp;creator=factset&amp;DYN_ARGS=TRUE&amp;DOC_NAME=FAT:FQL_AUDITING_CLIENT_TEMPLATE.FAT&amp;display_string=Audit&amp;VAR:KEY=HSZSJSNQBM&amp;VAR:QUERY=RkZfRUJJVERBX0lCKCdMVE1TJywzODU4OSk=&amp;WINDOW=FIRST_POPUP&amp;HEIGHT=450&amp;WIDTH=450&amp;START_MA","XIMIZED=FALSE&amp;VAR:CALENDAR=US&amp;VAR:SYMBOL=37183T10&amp;VAR:INDEX=0"}</definedName>
    <definedName name="_5297__FDSAUDITLINK__" localSheetId="6" hidden="1">{"fdsup://directions/FAT Viewer?action=UPDATE&amp;creator=factset&amp;DYN_ARGS=TRUE&amp;DOC_NAME=FAT:FQL_AUDITING_CLIENT_TEMPLATE.FAT&amp;display_string=Audit&amp;VAR:KEY=XYXEJCJKZS&amp;VAR:QUERY=RkZfRUJJVERBX0lCKCdMVE1TJywzODU4OCk=&amp;WINDOW=FIRST_POPUP&amp;HEIGHT=450&amp;WIDTH=450&amp;START_MA","XIMIZED=FALSE&amp;VAR:CALENDAR=US&amp;VAR:SYMBOL=37183T10&amp;VAR:INDEX=0"}</definedName>
    <definedName name="_5297__FDSAUDITLINK__" hidden="1">{"fdsup://directions/FAT Viewer?action=UPDATE&amp;creator=factset&amp;DYN_ARGS=TRUE&amp;DOC_NAME=FAT:FQL_AUDITING_CLIENT_TEMPLATE.FAT&amp;display_string=Audit&amp;VAR:KEY=XYXEJCJKZS&amp;VAR:QUERY=RkZfRUJJVERBX0lCKCdMVE1TJywzODU4OCk=&amp;WINDOW=FIRST_POPUP&amp;HEIGHT=450&amp;WIDTH=450&amp;START_MA","XIMIZED=FALSE&amp;VAR:CALENDAR=US&amp;VAR:SYMBOL=37183T10&amp;VAR:INDEX=0"}</definedName>
    <definedName name="_5298__FDSAUDITLINK__" localSheetId="6" hidden="1">{"fdsup://directions/FAT Viewer?action=UPDATE&amp;creator=factset&amp;DYN_ARGS=TRUE&amp;DOC_NAME=FAT:FQL_AUDITING_CLIENT_TEMPLATE.FAT&amp;display_string=Audit&amp;VAR:KEY=RWLGNAJUJM&amp;VAR:QUERY=RkZfRUJJVERBX0lCKCdMVE1TJywzODU4Nyk=&amp;WINDOW=FIRST_POPUP&amp;HEIGHT=450&amp;WIDTH=450&amp;START_MA","XIMIZED=FALSE&amp;VAR:CALENDAR=US&amp;VAR:SYMBOL=37183T10&amp;VAR:INDEX=0"}</definedName>
    <definedName name="_5298__FDSAUDITLINK__" hidden="1">{"fdsup://directions/FAT Viewer?action=UPDATE&amp;creator=factset&amp;DYN_ARGS=TRUE&amp;DOC_NAME=FAT:FQL_AUDITING_CLIENT_TEMPLATE.FAT&amp;display_string=Audit&amp;VAR:KEY=RWLGNAJUJM&amp;VAR:QUERY=RkZfRUJJVERBX0lCKCdMVE1TJywzODU4Nyk=&amp;WINDOW=FIRST_POPUP&amp;HEIGHT=450&amp;WIDTH=450&amp;START_MA","XIMIZED=FALSE&amp;VAR:CALENDAR=US&amp;VAR:SYMBOL=37183T10&amp;VAR:INDEX=0"}</definedName>
    <definedName name="_5299__FDSAUDITLINK__" localSheetId="6" hidden="1">{"fdsup://directions/FAT Viewer?action=UPDATE&amp;creator=factset&amp;DYN_ARGS=TRUE&amp;DOC_NAME=FAT:FQL_AUDITING_CLIENT_TEMPLATE.FAT&amp;display_string=Audit&amp;VAR:KEY=RAPEVKNWHO&amp;VAR:QUERY=RkZfRUJJVERBX0lCKCdMVE1TJywzODU4Nik=&amp;WINDOW=FIRST_POPUP&amp;HEIGHT=450&amp;WIDTH=450&amp;START_MA","XIMIZED=FALSE&amp;VAR:CALENDAR=US&amp;VAR:SYMBOL=37183T10&amp;VAR:INDEX=0"}</definedName>
    <definedName name="_5299__FDSAUDITLINK__" hidden="1">{"fdsup://directions/FAT Viewer?action=UPDATE&amp;creator=factset&amp;DYN_ARGS=TRUE&amp;DOC_NAME=FAT:FQL_AUDITING_CLIENT_TEMPLATE.FAT&amp;display_string=Audit&amp;VAR:KEY=RAPEVKNWHO&amp;VAR:QUERY=RkZfRUJJVERBX0lCKCdMVE1TJywzODU4Nik=&amp;WINDOW=FIRST_POPUP&amp;HEIGHT=450&amp;WIDTH=450&amp;START_MA","XIMIZED=FALSE&amp;VAR:CALENDAR=US&amp;VAR:SYMBOL=37183T10&amp;VAR:INDEX=0"}</definedName>
    <definedName name="_53__FDSAUDITLINK__" localSheetId="6" hidden="1">{"fdsup://directions/FAT Viewer?action=UPDATE&amp;creator=factset&amp;DYN_ARGS=TRUE&amp;DOC_NAME=FAT:FQL_AUDITING_CLIENT_TEMPLATE.FAT&amp;display_string=Audit&amp;VAR:KEY=YBSLCDEHAB&amp;VAR:QUERY=QVZHKENTRl9ORVRfSU5DKEFOTiwwRlksLTZGWSxZKSkgLyAoQVZHKENTRl9BU1NFVFMoQU5OLDBGWSwtNkZZL","EZZKSkgLSBBVkcoQ1NGX0lOVEFORyhBTk4sMCwtNkZZLEZZKSkp&amp;WINDOW=FIRST_POPUP&amp;HEIGHT=450&amp;WIDTH=450&amp;START_MAXIMIZED=FALSE&amp;VAR:CALENDAR=US&amp;VAR:SYMBOL=WNC"}</definedName>
    <definedName name="_53__FDSAUDITLINK__" hidden="1">{"fdsup://directions/FAT Viewer?action=UPDATE&amp;creator=factset&amp;DYN_ARGS=TRUE&amp;DOC_NAME=FAT:FQL_AUDITING_CLIENT_TEMPLATE.FAT&amp;display_string=Audit&amp;VAR:KEY=YBSLCDEHAB&amp;VAR:QUERY=QVZHKENTRl9ORVRfSU5DKEFOTiwwRlksLTZGWSxZKSkgLyAoQVZHKENTRl9BU1NFVFMoQU5OLDBGWSwtNkZZL","EZZKSkgLSBBVkcoQ1NGX0lOVEFORyhBTk4sMCwtNkZZLEZZKSkp&amp;WINDOW=FIRST_POPUP&amp;HEIGHT=450&amp;WIDTH=450&amp;START_MAXIMIZED=FALSE&amp;VAR:CALENDAR=US&amp;VAR:SYMBOL=WNC"}</definedName>
    <definedName name="_530__FDSAUDITLINK__" localSheetId="6" hidden="1">{"fdsup://directions/FAT%20Viewer?VAR:PED=LTM&amp;VAR:AUDIT_MODE=SUMMARY&amp;VAR:PERIOD=FIXED&amp;VAR:AUDIT_ID=00000117&amp;VAR:DATE=20080909&amp;action=UPDATE&amp;creator=factset&amp;DOC_NAME=FAT:FMA_audit_SUMMARY.fat&amp;DISPLAY_STRING=Display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0__FDSAUDITLINK__" hidden="1">{"fdsup://directions/FAT%20Viewer?VAR:PED=LTM&amp;VAR:AUDIT_MODE=SUMMARY&amp;VAR:PERIOD=FIXED&amp;VAR:AUDIT_ID=00000117&amp;VAR:DATE=20080909&amp;action=UPDATE&amp;creator=factset&amp;DOC_NAME=FAT:FMA_audit_SUMMARY.fat&amp;DISPLAY_STRING=Display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00__FDSAUDITLINK__" localSheetId="6" hidden="1">{"fdsup://directions/FAT Viewer?action=UPDATE&amp;creator=factset&amp;DYN_ARGS=TRUE&amp;DOC_NAME=FAT:FQL_AUDITING_CLIENT_TEMPLATE.FAT&amp;display_string=Audit&amp;VAR:KEY=POFCLMXMLA&amp;VAR:QUERY=RkZfRUJJVERBX0lCKCdMVE1TJywzODU4NSk=&amp;WINDOW=FIRST_POPUP&amp;HEIGHT=450&amp;WIDTH=450&amp;START_MA","XIMIZED=FALSE&amp;VAR:CALENDAR=US&amp;VAR:SYMBOL=37183T10&amp;VAR:INDEX=0"}</definedName>
    <definedName name="_5300__FDSAUDITLINK__" hidden="1">{"fdsup://directions/FAT Viewer?action=UPDATE&amp;creator=factset&amp;DYN_ARGS=TRUE&amp;DOC_NAME=FAT:FQL_AUDITING_CLIENT_TEMPLATE.FAT&amp;display_string=Audit&amp;VAR:KEY=POFCLMXMLA&amp;VAR:QUERY=RkZfRUJJVERBX0lCKCdMVE1TJywzODU4NSk=&amp;WINDOW=FIRST_POPUP&amp;HEIGHT=450&amp;WIDTH=450&amp;START_MA","XIMIZED=FALSE&amp;VAR:CALENDAR=US&amp;VAR:SYMBOL=37183T10&amp;VAR:INDEX=0"}</definedName>
    <definedName name="_5301__FDSAUDITLINK__" localSheetId="6" hidden="1">{"fdsup://directions/FAT Viewer?action=UPDATE&amp;creator=factset&amp;DYN_ARGS=TRUE&amp;DOC_NAME=FAT:FQL_AUDITING_CLIENT_TEMPLATE.FAT&amp;display_string=Audit&amp;VAR:KEY=BAHKDCFMVY&amp;VAR:QUERY=RkZfRUJJVERBX0lCKCdMVE1TJywzODU4NCk=&amp;WINDOW=FIRST_POPUP&amp;HEIGHT=450&amp;WIDTH=450&amp;START_MA","XIMIZED=FALSE&amp;VAR:CALENDAR=US&amp;VAR:SYMBOL=37183T10&amp;VAR:INDEX=0"}</definedName>
    <definedName name="_5301__FDSAUDITLINK__" hidden="1">{"fdsup://directions/FAT Viewer?action=UPDATE&amp;creator=factset&amp;DYN_ARGS=TRUE&amp;DOC_NAME=FAT:FQL_AUDITING_CLIENT_TEMPLATE.FAT&amp;display_string=Audit&amp;VAR:KEY=BAHKDCFMVY&amp;VAR:QUERY=RkZfRUJJVERBX0lCKCdMVE1TJywzODU4NCk=&amp;WINDOW=FIRST_POPUP&amp;HEIGHT=450&amp;WIDTH=450&amp;START_MA","XIMIZED=FALSE&amp;VAR:CALENDAR=US&amp;VAR:SYMBOL=37183T10&amp;VAR:INDEX=0"}</definedName>
    <definedName name="_5302__FDSAUDITLINK__" localSheetId="6" hidden="1">{"fdsup://directions/FAT Viewer?action=UPDATE&amp;creator=factset&amp;DYN_ARGS=TRUE&amp;DOC_NAME=FAT:FQL_AUDITING_CLIENT_TEMPLATE.FAT&amp;display_string=Audit&amp;VAR:KEY=NEBYLKBURI&amp;VAR:QUERY=RkZfRUJJVERBX0lCKCdMVE1TJywzODU4Myk=&amp;WINDOW=FIRST_POPUP&amp;HEIGHT=450&amp;WIDTH=450&amp;START_MA","XIMIZED=FALSE&amp;VAR:CALENDAR=US&amp;VAR:SYMBOL=37183T10&amp;VAR:INDEX=0"}</definedName>
    <definedName name="_5302__FDSAUDITLINK__" hidden="1">{"fdsup://directions/FAT Viewer?action=UPDATE&amp;creator=factset&amp;DYN_ARGS=TRUE&amp;DOC_NAME=FAT:FQL_AUDITING_CLIENT_TEMPLATE.FAT&amp;display_string=Audit&amp;VAR:KEY=NEBYLKBURI&amp;VAR:QUERY=RkZfRUJJVERBX0lCKCdMVE1TJywzODU4Myk=&amp;WINDOW=FIRST_POPUP&amp;HEIGHT=450&amp;WIDTH=450&amp;START_MA","XIMIZED=FALSE&amp;VAR:CALENDAR=US&amp;VAR:SYMBOL=37183T10&amp;VAR:INDEX=0"}</definedName>
    <definedName name="_5303__FDSAUDITLINK__" localSheetId="6" hidden="1">{"fdsup://directions/FAT Viewer?action=UPDATE&amp;creator=factset&amp;DYN_ARGS=TRUE&amp;DOC_NAME=FAT:FQL_AUDITING_CLIENT_TEMPLATE.FAT&amp;display_string=Audit&amp;VAR:KEY=FSFSLUTEXC&amp;VAR:QUERY=RkZfRUJJVERBX0lCKCdMVE1TJywzODU4Mik=&amp;WINDOW=FIRST_POPUP&amp;HEIGHT=450&amp;WIDTH=450&amp;START_MA","XIMIZED=FALSE&amp;VAR:CALENDAR=US&amp;VAR:SYMBOL=37183T10&amp;VAR:INDEX=0"}</definedName>
    <definedName name="_5303__FDSAUDITLINK__" hidden="1">{"fdsup://directions/FAT Viewer?action=UPDATE&amp;creator=factset&amp;DYN_ARGS=TRUE&amp;DOC_NAME=FAT:FQL_AUDITING_CLIENT_TEMPLATE.FAT&amp;display_string=Audit&amp;VAR:KEY=FSFSLUTEXC&amp;VAR:QUERY=RkZfRUJJVERBX0lCKCdMVE1TJywzODU4Mik=&amp;WINDOW=FIRST_POPUP&amp;HEIGHT=450&amp;WIDTH=450&amp;START_MA","XIMIZED=FALSE&amp;VAR:CALENDAR=US&amp;VAR:SYMBOL=37183T10&amp;VAR:INDEX=0"}</definedName>
    <definedName name="_5304__FDSAUDITLINK__" localSheetId="6" hidden="1">{"fdsup://directions/FAT Viewer?action=UPDATE&amp;creator=factset&amp;DYN_ARGS=TRUE&amp;DOC_NAME=FAT:FQL_AUDITING_CLIENT_TEMPLATE.FAT&amp;display_string=Audit&amp;VAR:KEY=NOZKPOLELQ&amp;VAR:QUERY=RkZfRUJJVERBX0lCKCdMVE1TJywzODU4MSk=&amp;WINDOW=FIRST_POPUP&amp;HEIGHT=450&amp;WIDTH=450&amp;START_MA","XIMIZED=FALSE&amp;VAR:CALENDAR=US&amp;VAR:SYMBOL=37183T10&amp;VAR:INDEX=0"}</definedName>
    <definedName name="_5304__FDSAUDITLINK__" hidden="1">{"fdsup://directions/FAT Viewer?action=UPDATE&amp;creator=factset&amp;DYN_ARGS=TRUE&amp;DOC_NAME=FAT:FQL_AUDITING_CLIENT_TEMPLATE.FAT&amp;display_string=Audit&amp;VAR:KEY=NOZKPOLELQ&amp;VAR:QUERY=RkZfRUJJVERBX0lCKCdMVE1TJywzODU4MSk=&amp;WINDOW=FIRST_POPUP&amp;HEIGHT=450&amp;WIDTH=450&amp;START_MA","XIMIZED=FALSE&amp;VAR:CALENDAR=US&amp;VAR:SYMBOL=37183T10&amp;VAR:INDEX=0"}</definedName>
    <definedName name="_5305__FDSAUDITLINK__" localSheetId="6" hidden="1">{"fdsup://directions/FAT Viewer?action=UPDATE&amp;creator=factset&amp;DYN_ARGS=TRUE&amp;DOC_NAME=FAT:FQL_AUDITING_CLIENT_TEMPLATE.FAT&amp;display_string=Audit&amp;VAR:KEY=DADCRIVSBO&amp;VAR:QUERY=RkZfRUJJVERBX0lCKCdMVE1TJywzODU4MCk=&amp;WINDOW=FIRST_POPUP&amp;HEIGHT=450&amp;WIDTH=450&amp;START_MA","XIMIZED=FALSE&amp;VAR:CALENDAR=US&amp;VAR:SYMBOL=37183T10&amp;VAR:INDEX=0"}</definedName>
    <definedName name="_5305__FDSAUDITLINK__" hidden="1">{"fdsup://directions/FAT Viewer?action=UPDATE&amp;creator=factset&amp;DYN_ARGS=TRUE&amp;DOC_NAME=FAT:FQL_AUDITING_CLIENT_TEMPLATE.FAT&amp;display_string=Audit&amp;VAR:KEY=DADCRIVSBO&amp;VAR:QUERY=RkZfRUJJVERBX0lCKCdMVE1TJywzODU4MCk=&amp;WINDOW=FIRST_POPUP&amp;HEIGHT=450&amp;WIDTH=450&amp;START_MA","XIMIZED=FALSE&amp;VAR:CALENDAR=US&amp;VAR:SYMBOL=37183T10&amp;VAR:INDEX=0"}</definedName>
    <definedName name="_5306__FDSAUDITLINK__" localSheetId="6" hidden="1">{"fdsup://directions/FAT Viewer?action=UPDATE&amp;creator=factset&amp;DYN_ARGS=TRUE&amp;DOC_NAME=FAT:FQL_AUDITING_CLIENT_TEMPLATE.FAT&amp;display_string=Audit&amp;VAR:KEY=RUTILKNCBY&amp;VAR:QUERY=RkZfRUJJVERBX0lCKCdMVE1TJywzODU3OSk=&amp;WINDOW=FIRST_POPUP&amp;HEIGHT=450&amp;WIDTH=450&amp;START_MA","XIMIZED=FALSE&amp;VAR:CALENDAR=US&amp;VAR:SYMBOL=37183T10&amp;VAR:INDEX=0"}</definedName>
    <definedName name="_5306__FDSAUDITLINK__" hidden="1">{"fdsup://directions/FAT Viewer?action=UPDATE&amp;creator=factset&amp;DYN_ARGS=TRUE&amp;DOC_NAME=FAT:FQL_AUDITING_CLIENT_TEMPLATE.FAT&amp;display_string=Audit&amp;VAR:KEY=RUTILKNCBY&amp;VAR:QUERY=RkZfRUJJVERBX0lCKCdMVE1TJywzODU3OSk=&amp;WINDOW=FIRST_POPUP&amp;HEIGHT=450&amp;WIDTH=450&amp;START_MA","XIMIZED=FALSE&amp;VAR:CALENDAR=US&amp;VAR:SYMBOL=37183T10&amp;VAR:INDEX=0"}</definedName>
    <definedName name="_5307__FDSAUDITLINK__" localSheetId="6" hidden="1">{"fdsup://directions/FAT Viewer?action=UPDATE&amp;creator=factset&amp;DYN_ARGS=TRUE&amp;DOC_NAME=FAT:FQL_AUDITING_CLIENT_TEMPLATE.FAT&amp;display_string=Audit&amp;VAR:KEY=RYNKRMJGZU&amp;VAR:QUERY=RkZfRUJJVERBX0lCKCdMVE1TJywzODU3OCk=&amp;WINDOW=FIRST_POPUP&amp;HEIGHT=450&amp;WIDTH=450&amp;START_MA","XIMIZED=FALSE&amp;VAR:CALENDAR=US&amp;VAR:SYMBOL=37183T10&amp;VAR:INDEX=0"}</definedName>
    <definedName name="_5307__FDSAUDITLINK__" hidden="1">{"fdsup://directions/FAT Viewer?action=UPDATE&amp;creator=factset&amp;DYN_ARGS=TRUE&amp;DOC_NAME=FAT:FQL_AUDITING_CLIENT_TEMPLATE.FAT&amp;display_string=Audit&amp;VAR:KEY=RYNKRMJGZU&amp;VAR:QUERY=RkZfRUJJVERBX0lCKCdMVE1TJywzODU3OCk=&amp;WINDOW=FIRST_POPUP&amp;HEIGHT=450&amp;WIDTH=450&amp;START_MA","XIMIZED=FALSE&amp;VAR:CALENDAR=US&amp;VAR:SYMBOL=37183T10&amp;VAR:INDEX=0"}</definedName>
    <definedName name="_5308__FDSAUDITLINK__" localSheetId="6" hidden="1">{"fdsup://directions/FAT Viewer?action=UPDATE&amp;creator=factset&amp;DYN_ARGS=TRUE&amp;DOC_NAME=FAT:FQL_AUDITING_CLIENT_TEMPLATE.FAT&amp;display_string=Audit&amp;VAR:KEY=LCPMPCFIPO&amp;VAR:QUERY=RkZfRUJJVERBX0lCKCdMVE1TJywzODU3Nyk=&amp;WINDOW=FIRST_POPUP&amp;HEIGHT=450&amp;WIDTH=450&amp;START_MA","XIMIZED=FALSE&amp;VAR:CALENDAR=US&amp;VAR:SYMBOL=37183T10&amp;VAR:INDEX=0"}</definedName>
    <definedName name="_5308__FDSAUDITLINK__" hidden="1">{"fdsup://directions/FAT Viewer?action=UPDATE&amp;creator=factset&amp;DYN_ARGS=TRUE&amp;DOC_NAME=FAT:FQL_AUDITING_CLIENT_TEMPLATE.FAT&amp;display_string=Audit&amp;VAR:KEY=LCPMPCFIPO&amp;VAR:QUERY=RkZfRUJJVERBX0lCKCdMVE1TJywzODU3Nyk=&amp;WINDOW=FIRST_POPUP&amp;HEIGHT=450&amp;WIDTH=450&amp;START_MA","XIMIZED=FALSE&amp;VAR:CALENDAR=US&amp;VAR:SYMBOL=37183T10&amp;VAR:INDEX=0"}</definedName>
    <definedName name="_5309__FDSAUDITLINK__" localSheetId="6" hidden="1">{"fdsup://directions/FAT Viewer?action=UPDATE&amp;creator=factset&amp;DYN_ARGS=TRUE&amp;DOC_NAME=FAT:FQL_AUDITING_CLIENT_TEMPLATE.FAT&amp;display_string=Audit&amp;VAR:KEY=HSNOLEXMLO&amp;VAR:QUERY=RkZfRUJJVERBX0lCKCdMVE1TJywzODU3Nik=&amp;WINDOW=FIRST_POPUP&amp;HEIGHT=450&amp;WIDTH=450&amp;START_MA","XIMIZED=FALSE&amp;VAR:CALENDAR=US&amp;VAR:SYMBOL=37183T10&amp;VAR:INDEX=0"}</definedName>
    <definedName name="_5309__FDSAUDITLINK__" hidden="1">{"fdsup://directions/FAT Viewer?action=UPDATE&amp;creator=factset&amp;DYN_ARGS=TRUE&amp;DOC_NAME=FAT:FQL_AUDITING_CLIENT_TEMPLATE.FAT&amp;display_string=Audit&amp;VAR:KEY=HSNOLEXMLO&amp;VAR:QUERY=RkZfRUJJVERBX0lCKCdMVE1TJywzODU3Nik=&amp;WINDOW=FIRST_POPUP&amp;HEIGHT=450&amp;WIDTH=450&amp;START_MA","XIMIZED=FALSE&amp;VAR:CALENDAR=US&amp;VAR:SYMBOL=37183T10&amp;VAR:INDEX=0"}</definedName>
    <definedName name="_531__FDSAUDITLINK__" localSheetId="6" hidden="1">{"fdsup://directions/FAT%20Viewer?VAR:PED=LTM&amp;VAR:AUDIT_MODE=SUMMARY&amp;VAR:PERIOD=FIXED&amp;VAR:AUDIT_ID=00000117&amp;VAR:DATE=20080908&amp;action=UPDATE&amp;creator=factset&amp;DOC_NAME=FAT:FMA_audit_SUMMARY.fat&amp;DISPLAY_STRING=Display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1__FDSAUDITLINK__" hidden="1">{"fdsup://directions/FAT%20Viewer?VAR:PED=LTM&amp;VAR:AUDIT_MODE=SUMMARY&amp;VAR:PERIOD=FIXED&amp;VAR:AUDIT_ID=00000117&amp;VAR:DATE=20080908&amp;action=UPDATE&amp;creator=factset&amp;DOC_NAME=FAT:FMA_audit_SUMMARY.fat&amp;DISPLAY_STRING=Display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10__FDSAUDITLINK__" localSheetId="6" hidden="1">{"fdsup://directions/FAT Viewer?action=UPDATE&amp;creator=factset&amp;DYN_ARGS=TRUE&amp;DOC_NAME=FAT:FQL_AUDITING_CLIENT_TEMPLATE.FAT&amp;display_string=Audit&amp;VAR:KEY=FKPKHIHIBC&amp;VAR:QUERY=RkZfRUJJVERBX0lCKCdMVE1TJywzODU3NSk=&amp;WINDOW=FIRST_POPUP&amp;HEIGHT=450&amp;WIDTH=450&amp;START_MA","XIMIZED=FALSE&amp;VAR:CALENDAR=US&amp;VAR:SYMBOL=37183T10&amp;VAR:INDEX=0"}</definedName>
    <definedName name="_5310__FDSAUDITLINK__" hidden="1">{"fdsup://directions/FAT Viewer?action=UPDATE&amp;creator=factset&amp;DYN_ARGS=TRUE&amp;DOC_NAME=FAT:FQL_AUDITING_CLIENT_TEMPLATE.FAT&amp;display_string=Audit&amp;VAR:KEY=FKPKHIHIBC&amp;VAR:QUERY=RkZfRUJJVERBX0lCKCdMVE1TJywzODU3NSk=&amp;WINDOW=FIRST_POPUP&amp;HEIGHT=450&amp;WIDTH=450&amp;START_MA","XIMIZED=FALSE&amp;VAR:CALENDAR=US&amp;VAR:SYMBOL=37183T10&amp;VAR:INDEX=0"}</definedName>
    <definedName name="_5311__FDSAUDITLINK__" localSheetId="6" hidden="1">{"fdsup://directions/FAT Viewer?action=UPDATE&amp;creator=factset&amp;DYN_ARGS=TRUE&amp;DOC_NAME=FAT:FQL_AUDITING_CLIENT_TEMPLATE.FAT&amp;display_string=Audit&amp;VAR:KEY=RKTKFQVERI&amp;VAR:QUERY=RkZfRUJJVERBX0lCKCdMVE1TJywzODU3NCk=&amp;WINDOW=FIRST_POPUP&amp;HEIGHT=450&amp;WIDTH=450&amp;START_MA","XIMIZED=FALSE&amp;VAR:CALENDAR=US&amp;VAR:SYMBOL=37183T10&amp;VAR:INDEX=0"}</definedName>
    <definedName name="_5311__FDSAUDITLINK__" hidden="1">{"fdsup://directions/FAT Viewer?action=UPDATE&amp;creator=factset&amp;DYN_ARGS=TRUE&amp;DOC_NAME=FAT:FQL_AUDITING_CLIENT_TEMPLATE.FAT&amp;display_string=Audit&amp;VAR:KEY=RKTKFQVERI&amp;VAR:QUERY=RkZfRUJJVERBX0lCKCdMVE1TJywzODU3NCk=&amp;WINDOW=FIRST_POPUP&amp;HEIGHT=450&amp;WIDTH=450&amp;START_MA","XIMIZED=FALSE&amp;VAR:CALENDAR=US&amp;VAR:SYMBOL=37183T10&amp;VAR:INDEX=0"}</definedName>
    <definedName name="_5312__FDSAUDITLINK__" localSheetId="6" hidden="1">{"fdsup://directions/FAT Viewer?action=UPDATE&amp;creator=factset&amp;DYN_ARGS=TRUE&amp;DOC_NAME=FAT:FQL_AUDITING_CLIENT_TEMPLATE.FAT&amp;display_string=Audit&amp;VAR:KEY=DYZWTOXARE&amp;VAR:QUERY=RkZfRUJJVERBX0lCKCdMVE1TJywzODU3Myk=&amp;WINDOW=FIRST_POPUP&amp;HEIGHT=450&amp;WIDTH=450&amp;START_MA","XIMIZED=FALSE&amp;VAR:CALENDAR=US&amp;VAR:SYMBOL=37183T10&amp;VAR:INDEX=0"}</definedName>
    <definedName name="_5312__FDSAUDITLINK__" hidden="1">{"fdsup://directions/FAT Viewer?action=UPDATE&amp;creator=factset&amp;DYN_ARGS=TRUE&amp;DOC_NAME=FAT:FQL_AUDITING_CLIENT_TEMPLATE.FAT&amp;display_string=Audit&amp;VAR:KEY=DYZWTOXARE&amp;VAR:QUERY=RkZfRUJJVERBX0lCKCdMVE1TJywzODU3Myk=&amp;WINDOW=FIRST_POPUP&amp;HEIGHT=450&amp;WIDTH=450&amp;START_MA","XIMIZED=FALSE&amp;VAR:CALENDAR=US&amp;VAR:SYMBOL=37183T10&amp;VAR:INDEX=0"}</definedName>
    <definedName name="_5313__FDSAUDITLINK__" localSheetId="6" hidden="1">{"fdsup://directions/FAT Viewer?action=UPDATE&amp;creator=factset&amp;DYN_ARGS=TRUE&amp;DOC_NAME=FAT:FQL_AUDITING_CLIENT_TEMPLATE.FAT&amp;display_string=Audit&amp;VAR:KEY=DETMZYBOFK&amp;VAR:QUERY=RkZfRUJJVERBX0lCKCdMVE1TJywzODU3Mik=&amp;WINDOW=FIRST_POPUP&amp;HEIGHT=450&amp;WIDTH=450&amp;START_MA","XIMIZED=FALSE&amp;VAR:CALENDAR=US&amp;VAR:SYMBOL=37183T10&amp;VAR:INDEX=0"}</definedName>
    <definedName name="_5313__FDSAUDITLINK__" hidden="1">{"fdsup://directions/FAT Viewer?action=UPDATE&amp;creator=factset&amp;DYN_ARGS=TRUE&amp;DOC_NAME=FAT:FQL_AUDITING_CLIENT_TEMPLATE.FAT&amp;display_string=Audit&amp;VAR:KEY=DETMZYBOFK&amp;VAR:QUERY=RkZfRUJJVERBX0lCKCdMVE1TJywzODU3Mik=&amp;WINDOW=FIRST_POPUP&amp;HEIGHT=450&amp;WIDTH=450&amp;START_MA","XIMIZED=FALSE&amp;VAR:CALENDAR=US&amp;VAR:SYMBOL=37183T10&amp;VAR:INDEX=0"}</definedName>
    <definedName name="_5314__FDSAUDITLINK__" localSheetId="6" hidden="1">{"fdsup://directions/FAT Viewer?action=UPDATE&amp;creator=factset&amp;DYN_ARGS=TRUE&amp;DOC_NAME=FAT:FQL_AUDITING_CLIENT_TEMPLATE.FAT&amp;display_string=Audit&amp;VAR:KEY=BKBYBONETK&amp;VAR:QUERY=RkZfRUJJVERBX0lCKCdMVE1TJywzODU3MSk=&amp;WINDOW=FIRST_POPUP&amp;HEIGHT=450&amp;WIDTH=450&amp;START_MA","XIMIZED=FALSE&amp;VAR:CALENDAR=US&amp;VAR:SYMBOL=37183T10&amp;VAR:INDEX=0"}</definedName>
    <definedName name="_5314__FDSAUDITLINK__" hidden="1">{"fdsup://directions/FAT Viewer?action=UPDATE&amp;creator=factset&amp;DYN_ARGS=TRUE&amp;DOC_NAME=FAT:FQL_AUDITING_CLIENT_TEMPLATE.FAT&amp;display_string=Audit&amp;VAR:KEY=BKBYBONETK&amp;VAR:QUERY=RkZfRUJJVERBX0lCKCdMVE1TJywzODU3MSk=&amp;WINDOW=FIRST_POPUP&amp;HEIGHT=450&amp;WIDTH=450&amp;START_MA","XIMIZED=FALSE&amp;VAR:CALENDAR=US&amp;VAR:SYMBOL=37183T10&amp;VAR:INDEX=0"}</definedName>
    <definedName name="_5315__FDSAUDITLINK__" localSheetId="6" hidden="1">{"fdsup://directions/FAT Viewer?action=UPDATE&amp;creator=factset&amp;DYN_ARGS=TRUE&amp;DOC_NAME=FAT:FQL_AUDITING_CLIENT_TEMPLATE.FAT&amp;display_string=Audit&amp;VAR:KEY=JAJKXGHYNE&amp;VAR:QUERY=RkZfRUJJVERBX0lCKCdMVE1TJywzODU3MCk=&amp;WINDOW=FIRST_POPUP&amp;HEIGHT=450&amp;WIDTH=450&amp;START_MA","XIMIZED=FALSE&amp;VAR:CALENDAR=US&amp;VAR:SYMBOL=37183T10&amp;VAR:INDEX=0"}</definedName>
    <definedName name="_5315__FDSAUDITLINK__" hidden="1">{"fdsup://directions/FAT Viewer?action=UPDATE&amp;creator=factset&amp;DYN_ARGS=TRUE&amp;DOC_NAME=FAT:FQL_AUDITING_CLIENT_TEMPLATE.FAT&amp;display_string=Audit&amp;VAR:KEY=JAJKXGHYNE&amp;VAR:QUERY=RkZfRUJJVERBX0lCKCdMVE1TJywzODU3MCk=&amp;WINDOW=FIRST_POPUP&amp;HEIGHT=450&amp;WIDTH=450&amp;START_MA","XIMIZED=FALSE&amp;VAR:CALENDAR=US&amp;VAR:SYMBOL=37183T10&amp;VAR:INDEX=0"}</definedName>
    <definedName name="_5316__FDSAUDITLINK__" localSheetId="6" hidden="1">{"fdsup://directions/FAT Viewer?action=UPDATE&amp;creator=factset&amp;DYN_ARGS=TRUE&amp;DOC_NAME=FAT:FQL_AUDITING_CLIENT_TEMPLATE.FAT&amp;display_string=Audit&amp;VAR:KEY=RMHSPGFAPE&amp;VAR:QUERY=RkZfRUJJVERBX0lCKCdMVE1TJywzODU2OSk=&amp;WINDOW=FIRST_POPUP&amp;HEIGHT=450&amp;WIDTH=450&amp;START_MA","XIMIZED=FALSE&amp;VAR:CALENDAR=US&amp;VAR:SYMBOL=37183T10&amp;VAR:INDEX=0"}</definedName>
    <definedName name="_5316__FDSAUDITLINK__" hidden="1">{"fdsup://directions/FAT Viewer?action=UPDATE&amp;creator=factset&amp;DYN_ARGS=TRUE&amp;DOC_NAME=FAT:FQL_AUDITING_CLIENT_TEMPLATE.FAT&amp;display_string=Audit&amp;VAR:KEY=RMHSPGFAPE&amp;VAR:QUERY=RkZfRUJJVERBX0lCKCdMVE1TJywzODU2OSk=&amp;WINDOW=FIRST_POPUP&amp;HEIGHT=450&amp;WIDTH=450&amp;START_MA","XIMIZED=FALSE&amp;VAR:CALENDAR=US&amp;VAR:SYMBOL=37183T10&amp;VAR:INDEX=0"}</definedName>
    <definedName name="_5317__FDSAUDITLINK__" localSheetId="6" hidden="1">{"fdsup://directions/FAT Viewer?action=UPDATE&amp;creator=factset&amp;DYN_ARGS=TRUE&amp;DOC_NAME=FAT:FQL_AUDITING_CLIENT_TEMPLATE.FAT&amp;display_string=Audit&amp;VAR:KEY=VQXMVWFOBQ&amp;VAR:QUERY=RkZfRUJJVERBX0lCKCdMVE1TJywzODU2OCk=&amp;WINDOW=FIRST_POPUP&amp;HEIGHT=450&amp;WIDTH=450&amp;START_MA","XIMIZED=FALSE&amp;VAR:CALENDAR=US&amp;VAR:SYMBOL=37183T10&amp;VAR:INDEX=0"}</definedName>
    <definedName name="_5317__FDSAUDITLINK__" hidden="1">{"fdsup://directions/FAT Viewer?action=UPDATE&amp;creator=factset&amp;DYN_ARGS=TRUE&amp;DOC_NAME=FAT:FQL_AUDITING_CLIENT_TEMPLATE.FAT&amp;display_string=Audit&amp;VAR:KEY=VQXMVWFOBQ&amp;VAR:QUERY=RkZfRUJJVERBX0lCKCdMVE1TJywzODU2OCk=&amp;WINDOW=FIRST_POPUP&amp;HEIGHT=450&amp;WIDTH=450&amp;START_MA","XIMIZED=FALSE&amp;VAR:CALENDAR=US&amp;VAR:SYMBOL=37183T10&amp;VAR:INDEX=0"}</definedName>
    <definedName name="_5318__FDSAUDITLINK__" localSheetId="6" hidden="1">{"fdsup://directions/FAT Viewer?action=UPDATE&amp;creator=factset&amp;DYN_ARGS=TRUE&amp;DOC_NAME=FAT:FQL_AUDITING_CLIENT_TEMPLATE.FAT&amp;display_string=Audit&amp;VAR:KEY=XIDGPANAZQ&amp;VAR:QUERY=RkZfRUJJVERBX0lCKCdMVE1TJywzODU2Nyk=&amp;WINDOW=FIRST_POPUP&amp;HEIGHT=450&amp;WIDTH=450&amp;START_MA","XIMIZED=FALSE&amp;VAR:CALENDAR=US&amp;VAR:SYMBOL=37183T10&amp;VAR:INDEX=0"}</definedName>
    <definedName name="_5318__FDSAUDITLINK__" hidden="1">{"fdsup://directions/FAT Viewer?action=UPDATE&amp;creator=factset&amp;DYN_ARGS=TRUE&amp;DOC_NAME=FAT:FQL_AUDITING_CLIENT_TEMPLATE.FAT&amp;display_string=Audit&amp;VAR:KEY=XIDGPANAZQ&amp;VAR:QUERY=RkZfRUJJVERBX0lCKCdMVE1TJywzODU2Nyk=&amp;WINDOW=FIRST_POPUP&amp;HEIGHT=450&amp;WIDTH=450&amp;START_MA","XIMIZED=FALSE&amp;VAR:CALENDAR=US&amp;VAR:SYMBOL=37183T10&amp;VAR:INDEX=0"}</definedName>
    <definedName name="_5319__FDSAUDITLINK__" localSheetId="6" hidden="1">{"fdsup://directions/FAT Viewer?action=UPDATE&amp;creator=factset&amp;DYN_ARGS=TRUE&amp;DOC_NAME=FAT:FQL_AUDITING_CLIENT_TEMPLATE.FAT&amp;display_string=Audit&amp;VAR:KEY=VKNIREVALU&amp;VAR:QUERY=RkZfRUJJVERBX0lCKCdMVE1TJywzODU2Nik=&amp;WINDOW=FIRST_POPUP&amp;HEIGHT=450&amp;WIDTH=450&amp;START_MA","XIMIZED=FALSE&amp;VAR:CALENDAR=US&amp;VAR:SYMBOL=37183T10&amp;VAR:INDEX=0"}</definedName>
    <definedName name="_5319__FDSAUDITLINK__" hidden="1">{"fdsup://directions/FAT Viewer?action=UPDATE&amp;creator=factset&amp;DYN_ARGS=TRUE&amp;DOC_NAME=FAT:FQL_AUDITING_CLIENT_TEMPLATE.FAT&amp;display_string=Audit&amp;VAR:KEY=VKNIREVALU&amp;VAR:QUERY=RkZfRUJJVERBX0lCKCdMVE1TJywzODU2Nik=&amp;WINDOW=FIRST_POPUP&amp;HEIGHT=450&amp;WIDTH=450&amp;START_MA","XIMIZED=FALSE&amp;VAR:CALENDAR=US&amp;VAR:SYMBOL=37183T10&amp;VAR:INDEX=0"}</definedName>
    <definedName name="_532__FDSAUDITLINK__" localSheetId="6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2__FDSAUDITLINK__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20__FDSAUDITLINK__" localSheetId="6" hidden="1">{"fdsup://directions/FAT Viewer?action=UPDATE&amp;creator=factset&amp;DYN_ARGS=TRUE&amp;DOC_NAME=FAT:FQL_AUDITING_CLIENT_TEMPLATE.FAT&amp;display_string=Audit&amp;VAR:KEY=RWLKLKBWZI&amp;VAR:QUERY=RkZfRUJJVERBX0lCKCdMVE1TJywzODU2NSk=&amp;WINDOW=FIRST_POPUP&amp;HEIGHT=450&amp;WIDTH=450&amp;START_MA","XIMIZED=FALSE&amp;VAR:CALENDAR=US&amp;VAR:SYMBOL=37183T10&amp;VAR:INDEX=0"}</definedName>
    <definedName name="_5320__FDSAUDITLINK__" hidden="1">{"fdsup://directions/FAT Viewer?action=UPDATE&amp;creator=factset&amp;DYN_ARGS=TRUE&amp;DOC_NAME=FAT:FQL_AUDITING_CLIENT_TEMPLATE.FAT&amp;display_string=Audit&amp;VAR:KEY=RWLKLKBWZI&amp;VAR:QUERY=RkZfRUJJVERBX0lCKCdMVE1TJywzODU2NSk=&amp;WINDOW=FIRST_POPUP&amp;HEIGHT=450&amp;WIDTH=450&amp;START_MA","XIMIZED=FALSE&amp;VAR:CALENDAR=US&amp;VAR:SYMBOL=37183T10&amp;VAR:INDEX=0"}</definedName>
    <definedName name="_5321__FDSAUDITLINK__" localSheetId="6" hidden="1">{"fdsup://directions/FAT Viewer?action=UPDATE&amp;creator=factset&amp;DYN_ARGS=TRUE&amp;DOC_NAME=FAT:FQL_AUDITING_CLIENT_TEMPLATE.FAT&amp;display_string=Audit&amp;VAR:KEY=FYVEXCZMBK&amp;VAR:QUERY=RkZfRUJJVERBX0lCKCdMVE1TJywzODU2NCk=&amp;WINDOW=FIRST_POPUP&amp;HEIGHT=450&amp;WIDTH=450&amp;START_MA","XIMIZED=FALSE&amp;VAR:CALENDAR=US&amp;VAR:SYMBOL=37183T10&amp;VAR:INDEX=0"}</definedName>
    <definedName name="_5321__FDSAUDITLINK__" hidden="1">{"fdsup://directions/FAT Viewer?action=UPDATE&amp;creator=factset&amp;DYN_ARGS=TRUE&amp;DOC_NAME=FAT:FQL_AUDITING_CLIENT_TEMPLATE.FAT&amp;display_string=Audit&amp;VAR:KEY=FYVEXCZMBK&amp;VAR:QUERY=RkZfRUJJVERBX0lCKCdMVE1TJywzODU2NCk=&amp;WINDOW=FIRST_POPUP&amp;HEIGHT=450&amp;WIDTH=450&amp;START_MA","XIMIZED=FALSE&amp;VAR:CALENDAR=US&amp;VAR:SYMBOL=37183T10&amp;VAR:INDEX=0"}</definedName>
    <definedName name="_5322__FDSAUDITLINK__" localSheetId="6" hidden="1">{"fdsup://directions/FAT Viewer?action=UPDATE&amp;creator=factset&amp;DYN_ARGS=TRUE&amp;DOC_NAME=FAT:FQL_AUDITING_CLIENT_TEMPLATE.FAT&amp;display_string=Audit&amp;VAR:KEY=JOFOVORCFK&amp;VAR:QUERY=RkZfRUJJVERBX0lCKCdMVE1TJywzODU2Myk=&amp;WINDOW=FIRST_POPUP&amp;HEIGHT=450&amp;WIDTH=450&amp;START_MA","XIMIZED=FALSE&amp;VAR:CALENDAR=US&amp;VAR:SYMBOL=37183T10&amp;VAR:INDEX=0"}</definedName>
    <definedName name="_5322__FDSAUDITLINK__" hidden="1">{"fdsup://directions/FAT Viewer?action=UPDATE&amp;creator=factset&amp;DYN_ARGS=TRUE&amp;DOC_NAME=FAT:FQL_AUDITING_CLIENT_TEMPLATE.FAT&amp;display_string=Audit&amp;VAR:KEY=JOFOVORCFK&amp;VAR:QUERY=RkZfRUJJVERBX0lCKCdMVE1TJywzODU2Myk=&amp;WINDOW=FIRST_POPUP&amp;HEIGHT=450&amp;WIDTH=450&amp;START_MA","XIMIZED=FALSE&amp;VAR:CALENDAR=US&amp;VAR:SYMBOL=37183T10&amp;VAR:INDEX=0"}</definedName>
    <definedName name="_5323__FDSAUDITLINK__" localSheetId="6" hidden="1">{"fdsup://directions/FAT Viewer?action=UPDATE&amp;creator=factset&amp;DYN_ARGS=TRUE&amp;DOC_NAME=FAT:FQL_AUDITING_CLIENT_TEMPLATE.FAT&amp;display_string=Audit&amp;VAR:KEY=NINUPAJYLI&amp;VAR:QUERY=RkZfRUJJVERBX0lCKCdMVE1TJywzODU2Mik=&amp;WINDOW=FIRST_POPUP&amp;HEIGHT=450&amp;WIDTH=450&amp;START_MA","XIMIZED=FALSE&amp;VAR:CALENDAR=US&amp;VAR:SYMBOL=37183T10&amp;VAR:INDEX=0"}</definedName>
    <definedName name="_5323__FDSAUDITLINK__" hidden="1">{"fdsup://directions/FAT Viewer?action=UPDATE&amp;creator=factset&amp;DYN_ARGS=TRUE&amp;DOC_NAME=FAT:FQL_AUDITING_CLIENT_TEMPLATE.FAT&amp;display_string=Audit&amp;VAR:KEY=NINUPAJYLI&amp;VAR:QUERY=RkZfRUJJVERBX0lCKCdMVE1TJywzODU2Mik=&amp;WINDOW=FIRST_POPUP&amp;HEIGHT=450&amp;WIDTH=450&amp;START_MA","XIMIZED=FALSE&amp;VAR:CALENDAR=US&amp;VAR:SYMBOL=37183T10&amp;VAR:INDEX=0"}</definedName>
    <definedName name="_5324__FDSAUDITLINK__" localSheetId="6" hidden="1">{"fdsup://directions/FAT Viewer?action=UPDATE&amp;creator=factset&amp;DYN_ARGS=TRUE&amp;DOC_NAME=FAT:FQL_AUDITING_CLIENT_TEMPLATE.FAT&amp;display_string=Audit&amp;VAR:KEY=BEDWDUJOHE&amp;VAR:QUERY=RkZfRUJJVERBX0lCKCdMVE1TJywzODU2MSk=&amp;WINDOW=FIRST_POPUP&amp;HEIGHT=450&amp;WIDTH=450&amp;START_MA","XIMIZED=FALSE&amp;VAR:CALENDAR=US&amp;VAR:SYMBOL=37183T10&amp;VAR:INDEX=0"}</definedName>
    <definedName name="_5324__FDSAUDITLINK__" hidden="1">{"fdsup://directions/FAT Viewer?action=UPDATE&amp;creator=factset&amp;DYN_ARGS=TRUE&amp;DOC_NAME=FAT:FQL_AUDITING_CLIENT_TEMPLATE.FAT&amp;display_string=Audit&amp;VAR:KEY=BEDWDUJOHE&amp;VAR:QUERY=RkZfRUJJVERBX0lCKCdMVE1TJywzODU2MSk=&amp;WINDOW=FIRST_POPUP&amp;HEIGHT=450&amp;WIDTH=450&amp;START_MA","XIMIZED=FALSE&amp;VAR:CALENDAR=US&amp;VAR:SYMBOL=37183T10&amp;VAR:INDEX=0"}</definedName>
    <definedName name="_5325__FDSAUDITLINK__" localSheetId="6" hidden="1">{"fdsup://directions/FAT Viewer?action=UPDATE&amp;creator=factset&amp;DYN_ARGS=TRUE&amp;DOC_NAME=FAT:FQL_AUDITING_CLIENT_TEMPLATE.FAT&amp;display_string=Audit&amp;VAR:KEY=BAJGFURKTS&amp;VAR:QUERY=RkZfRUJJVERBX0lCKCdMVE1TJywzODU2MCk=&amp;WINDOW=FIRST_POPUP&amp;HEIGHT=450&amp;WIDTH=450&amp;START_MA","XIMIZED=FALSE&amp;VAR:CALENDAR=US&amp;VAR:SYMBOL=37183T10&amp;VAR:INDEX=0"}</definedName>
    <definedName name="_5325__FDSAUDITLINK__" hidden="1">{"fdsup://directions/FAT Viewer?action=UPDATE&amp;creator=factset&amp;DYN_ARGS=TRUE&amp;DOC_NAME=FAT:FQL_AUDITING_CLIENT_TEMPLATE.FAT&amp;display_string=Audit&amp;VAR:KEY=BAJGFURKTS&amp;VAR:QUERY=RkZfRUJJVERBX0lCKCdMVE1TJywzODU2MCk=&amp;WINDOW=FIRST_POPUP&amp;HEIGHT=450&amp;WIDTH=450&amp;START_MA","XIMIZED=FALSE&amp;VAR:CALENDAR=US&amp;VAR:SYMBOL=37183T10&amp;VAR:INDEX=0"}</definedName>
    <definedName name="_5326__FDSAUDITLINK__" localSheetId="6" hidden="1">{"fdsup://directions/FAT Viewer?action=UPDATE&amp;creator=factset&amp;DYN_ARGS=TRUE&amp;DOC_NAME=FAT:FQL_AUDITING_CLIENT_TEMPLATE.FAT&amp;display_string=Audit&amp;VAR:KEY=HWLOZIJCPQ&amp;VAR:QUERY=RkZfRUJJVERBX0lCKCdMVE1TJywzODU1OSk=&amp;WINDOW=FIRST_POPUP&amp;HEIGHT=450&amp;WIDTH=450&amp;START_MA","XIMIZED=FALSE&amp;VAR:CALENDAR=US&amp;VAR:SYMBOL=37183T10&amp;VAR:INDEX=0"}</definedName>
    <definedName name="_5326__FDSAUDITLINK__" hidden="1">{"fdsup://directions/FAT Viewer?action=UPDATE&amp;creator=factset&amp;DYN_ARGS=TRUE&amp;DOC_NAME=FAT:FQL_AUDITING_CLIENT_TEMPLATE.FAT&amp;display_string=Audit&amp;VAR:KEY=HWLOZIJCPQ&amp;VAR:QUERY=RkZfRUJJVERBX0lCKCdMVE1TJywzODU1OSk=&amp;WINDOW=FIRST_POPUP&amp;HEIGHT=450&amp;WIDTH=450&amp;START_MA","XIMIZED=FALSE&amp;VAR:CALENDAR=US&amp;VAR:SYMBOL=37183T10&amp;VAR:INDEX=0"}</definedName>
    <definedName name="_5327__FDSAUDITLINK__" localSheetId="6" hidden="1">{"fdsup://directions/FAT Viewer?action=UPDATE&amp;creator=factset&amp;DYN_ARGS=TRUE&amp;DOC_NAME=FAT:FQL_AUDITING_CLIENT_TEMPLATE.FAT&amp;display_string=Audit&amp;VAR:KEY=NKTSTATGBU&amp;VAR:QUERY=RkZfRUJJVERBX0lCKCdMVE1TJywzODU1OCk=&amp;WINDOW=FIRST_POPUP&amp;HEIGHT=450&amp;WIDTH=450&amp;START_MA","XIMIZED=FALSE&amp;VAR:CALENDAR=US&amp;VAR:SYMBOL=37183T10&amp;VAR:INDEX=0"}</definedName>
    <definedName name="_5327__FDSAUDITLINK__" hidden="1">{"fdsup://directions/FAT Viewer?action=UPDATE&amp;creator=factset&amp;DYN_ARGS=TRUE&amp;DOC_NAME=FAT:FQL_AUDITING_CLIENT_TEMPLATE.FAT&amp;display_string=Audit&amp;VAR:KEY=NKTSTATGBU&amp;VAR:QUERY=RkZfRUJJVERBX0lCKCdMVE1TJywzODU1OCk=&amp;WINDOW=FIRST_POPUP&amp;HEIGHT=450&amp;WIDTH=450&amp;START_MA","XIMIZED=FALSE&amp;VAR:CALENDAR=US&amp;VAR:SYMBOL=37183T10&amp;VAR:INDEX=0"}</definedName>
    <definedName name="_5328__FDSAUDITLINK__" localSheetId="6" hidden="1">{"fdsup://directions/FAT Viewer?action=UPDATE&amp;creator=factset&amp;DYN_ARGS=TRUE&amp;DOC_NAME=FAT:FQL_AUDITING_CLIENT_TEMPLATE.FAT&amp;display_string=Audit&amp;VAR:KEY=NKTSDKHMBY&amp;VAR:QUERY=RkZfRUJJVERBX0lCKCdMVE1TJywzODU1Nyk=&amp;WINDOW=FIRST_POPUP&amp;HEIGHT=450&amp;WIDTH=450&amp;START_MA","XIMIZED=FALSE&amp;VAR:CALENDAR=US&amp;VAR:SYMBOL=37183T10&amp;VAR:INDEX=0"}</definedName>
    <definedName name="_5328__FDSAUDITLINK__" hidden="1">{"fdsup://directions/FAT Viewer?action=UPDATE&amp;creator=factset&amp;DYN_ARGS=TRUE&amp;DOC_NAME=FAT:FQL_AUDITING_CLIENT_TEMPLATE.FAT&amp;display_string=Audit&amp;VAR:KEY=NKTSDKHMBY&amp;VAR:QUERY=RkZfRUJJVERBX0lCKCdMVE1TJywzODU1Nyk=&amp;WINDOW=FIRST_POPUP&amp;HEIGHT=450&amp;WIDTH=450&amp;START_MA","XIMIZED=FALSE&amp;VAR:CALENDAR=US&amp;VAR:SYMBOL=37183T10&amp;VAR:INDEX=0"}</definedName>
    <definedName name="_5329__FDSAUDITLINK__" localSheetId="6" hidden="1">{"fdsup://directions/FAT Viewer?action=UPDATE&amp;creator=factset&amp;DYN_ARGS=TRUE&amp;DOC_NAME=FAT:FQL_AUDITING_CLIENT_TEMPLATE.FAT&amp;display_string=Audit&amp;VAR:KEY=VCVCRQRSZI&amp;VAR:QUERY=RkZfRUJJVERBX0lCKCdMVE1TJywzODU1Nik=&amp;WINDOW=FIRST_POPUP&amp;HEIGHT=450&amp;WIDTH=450&amp;START_MA","XIMIZED=FALSE&amp;VAR:CALENDAR=US&amp;VAR:SYMBOL=37183T10&amp;VAR:INDEX=0"}</definedName>
    <definedName name="_5329__FDSAUDITLINK__" hidden="1">{"fdsup://directions/FAT Viewer?action=UPDATE&amp;creator=factset&amp;DYN_ARGS=TRUE&amp;DOC_NAME=FAT:FQL_AUDITING_CLIENT_TEMPLATE.FAT&amp;display_string=Audit&amp;VAR:KEY=VCVCRQRSZI&amp;VAR:QUERY=RkZfRUJJVERBX0lCKCdMVE1TJywzODU1Nik=&amp;WINDOW=FIRST_POPUP&amp;HEIGHT=450&amp;WIDTH=450&amp;START_MA","XIMIZED=FALSE&amp;VAR:CALENDAR=US&amp;VAR:SYMBOL=37183T10&amp;VAR:INDEX=0"}</definedName>
    <definedName name="_533__FDSAUDITLINK__" localSheetId="6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3__FDSAUDITLINK__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30__FDSAUDITLINK__" localSheetId="6" hidden="1">{"fdsup://directions/FAT Viewer?action=UPDATE&amp;creator=factset&amp;DYN_ARGS=TRUE&amp;DOC_NAME=FAT:FQL_AUDITING_CLIENT_TEMPLATE.FAT&amp;display_string=Audit&amp;VAR:KEY=HAXIPARGRW&amp;VAR:QUERY=RkZfRUJJVERBX0lCKCdMVE1TJywzODU1NSk=&amp;WINDOW=FIRST_POPUP&amp;HEIGHT=450&amp;WIDTH=450&amp;START_MA","XIMIZED=FALSE&amp;VAR:CALENDAR=US&amp;VAR:SYMBOL=37183T10&amp;VAR:INDEX=0"}</definedName>
    <definedName name="_5330__FDSAUDITLINK__" hidden="1">{"fdsup://directions/FAT Viewer?action=UPDATE&amp;creator=factset&amp;DYN_ARGS=TRUE&amp;DOC_NAME=FAT:FQL_AUDITING_CLIENT_TEMPLATE.FAT&amp;display_string=Audit&amp;VAR:KEY=HAXIPARGRW&amp;VAR:QUERY=RkZfRUJJVERBX0lCKCdMVE1TJywzODU1NSk=&amp;WINDOW=FIRST_POPUP&amp;HEIGHT=450&amp;WIDTH=450&amp;START_MA","XIMIZED=FALSE&amp;VAR:CALENDAR=US&amp;VAR:SYMBOL=37183T10&amp;VAR:INDEX=0"}</definedName>
    <definedName name="_5331__FDSAUDITLINK__" localSheetId="6" hidden="1">{"fdsup://directions/FAT Viewer?action=UPDATE&amp;creator=factset&amp;DYN_ARGS=TRUE&amp;DOC_NAME=FAT:FQL_AUDITING_CLIENT_TEMPLATE.FAT&amp;display_string=Audit&amp;VAR:KEY=PYBODSJUBY&amp;VAR:QUERY=RkZfRUJJVERBX0lCKCdMVE1TJywzODU1NCk=&amp;WINDOW=FIRST_POPUP&amp;HEIGHT=450&amp;WIDTH=450&amp;START_MA","XIMIZED=FALSE&amp;VAR:CALENDAR=US&amp;VAR:SYMBOL=37183T10&amp;VAR:INDEX=0"}</definedName>
    <definedName name="_5331__FDSAUDITLINK__" hidden="1">{"fdsup://directions/FAT Viewer?action=UPDATE&amp;creator=factset&amp;DYN_ARGS=TRUE&amp;DOC_NAME=FAT:FQL_AUDITING_CLIENT_TEMPLATE.FAT&amp;display_string=Audit&amp;VAR:KEY=PYBODSJUBY&amp;VAR:QUERY=RkZfRUJJVERBX0lCKCdMVE1TJywzODU1NCk=&amp;WINDOW=FIRST_POPUP&amp;HEIGHT=450&amp;WIDTH=450&amp;START_MA","XIMIZED=FALSE&amp;VAR:CALENDAR=US&amp;VAR:SYMBOL=37183T10&amp;VAR:INDEX=0"}</definedName>
    <definedName name="_5332__FDSAUDITLINK__" localSheetId="6" hidden="1">{"fdsup://directions/FAT Viewer?action=UPDATE&amp;creator=factset&amp;DYN_ARGS=TRUE&amp;DOC_NAME=FAT:FQL_AUDITING_CLIENT_TEMPLATE.FAT&amp;display_string=Audit&amp;VAR:KEY=JGZUBMBAPA&amp;VAR:QUERY=RkZfRUJJVERBX0lCKCdMVE1TJywzODU1Myk=&amp;WINDOW=FIRST_POPUP&amp;HEIGHT=450&amp;WIDTH=450&amp;START_MA","XIMIZED=FALSE&amp;VAR:CALENDAR=US&amp;VAR:SYMBOL=37183T10&amp;VAR:INDEX=0"}</definedName>
    <definedName name="_5332__FDSAUDITLINK__" hidden="1">{"fdsup://directions/FAT Viewer?action=UPDATE&amp;creator=factset&amp;DYN_ARGS=TRUE&amp;DOC_NAME=FAT:FQL_AUDITING_CLIENT_TEMPLATE.FAT&amp;display_string=Audit&amp;VAR:KEY=JGZUBMBAPA&amp;VAR:QUERY=RkZfRUJJVERBX0lCKCdMVE1TJywzODU1Myk=&amp;WINDOW=FIRST_POPUP&amp;HEIGHT=450&amp;WIDTH=450&amp;START_MA","XIMIZED=FALSE&amp;VAR:CALENDAR=US&amp;VAR:SYMBOL=37183T10&amp;VAR:INDEX=0"}</definedName>
    <definedName name="_5333__FDSAUDITLINK__" localSheetId="6" hidden="1">{"fdsup://directions/FAT Viewer?action=UPDATE&amp;creator=factset&amp;DYN_ARGS=TRUE&amp;DOC_NAME=FAT:FQL_AUDITING_CLIENT_TEMPLATE.FAT&amp;display_string=Audit&amp;VAR:KEY=LGHELKBIJI&amp;VAR:QUERY=RkZfRUJJVERBX0lCKCdMVE1TJywzODU1Mik=&amp;WINDOW=FIRST_POPUP&amp;HEIGHT=450&amp;WIDTH=450&amp;START_MA","XIMIZED=FALSE&amp;VAR:CALENDAR=US&amp;VAR:SYMBOL=37183T10&amp;VAR:INDEX=0"}</definedName>
    <definedName name="_5333__FDSAUDITLINK__" hidden="1">{"fdsup://directions/FAT Viewer?action=UPDATE&amp;creator=factset&amp;DYN_ARGS=TRUE&amp;DOC_NAME=FAT:FQL_AUDITING_CLIENT_TEMPLATE.FAT&amp;display_string=Audit&amp;VAR:KEY=LGHELKBIJI&amp;VAR:QUERY=RkZfRUJJVERBX0lCKCdMVE1TJywzODU1Mik=&amp;WINDOW=FIRST_POPUP&amp;HEIGHT=450&amp;WIDTH=450&amp;START_MA","XIMIZED=FALSE&amp;VAR:CALENDAR=US&amp;VAR:SYMBOL=37183T10&amp;VAR:INDEX=0"}</definedName>
    <definedName name="_5334__FDSAUDITLINK__" localSheetId="6" hidden="1">{"fdsup://directions/FAT Viewer?action=UPDATE&amp;creator=factset&amp;DYN_ARGS=TRUE&amp;DOC_NAME=FAT:FQL_AUDITING_CLIENT_TEMPLATE.FAT&amp;display_string=Audit&amp;VAR:KEY=VQNCNMJIZE&amp;VAR:QUERY=RkZfRUJJVERBX0lCKCdMVE1TJywzODU1MSk=&amp;WINDOW=FIRST_POPUP&amp;HEIGHT=450&amp;WIDTH=450&amp;START_MA","XIMIZED=FALSE&amp;VAR:CALENDAR=US&amp;VAR:SYMBOL=37183T10&amp;VAR:INDEX=0"}</definedName>
    <definedName name="_5334__FDSAUDITLINK__" hidden="1">{"fdsup://directions/FAT Viewer?action=UPDATE&amp;creator=factset&amp;DYN_ARGS=TRUE&amp;DOC_NAME=FAT:FQL_AUDITING_CLIENT_TEMPLATE.FAT&amp;display_string=Audit&amp;VAR:KEY=VQNCNMJIZE&amp;VAR:QUERY=RkZfRUJJVERBX0lCKCdMVE1TJywzODU1MSk=&amp;WINDOW=FIRST_POPUP&amp;HEIGHT=450&amp;WIDTH=450&amp;START_MA","XIMIZED=FALSE&amp;VAR:CALENDAR=US&amp;VAR:SYMBOL=37183T10&amp;VAR:INDEX=0"}</definedName>
    <definedName name="_5335__FDSAUDITLINK__" localSheetId="6" hidden="1">{"fdsup://directions/FAT Viewer?action=UPDATE&amp;creator=factset&amp;DYN_ARGS=TRUE&amp;DOC_NAME=FAT:FQL_AUDITING_CLIENT_TEMPLATE.FAT&amp;display_string=Audit&amp;VAR:KEY=FKHOFOTORQ&amp;VAR:QUERY=RkZfRUJJVERBX0lCKCdMVE1TJywzODU1MCk=&amp;WINDOW=FIRST_POPUP&amp;HEIGHT=450&amp;WIDTH=450&amp;START_MA","XIMIZED=FALSE&amp;VAR:CALENDAR=US&amp;VAR:SYMBOL=37183T10&amp;VAR:INDEX=0"}</definedName>
    <definedName name="_5335__FDSAUDITLINK__" hidden="1">{"fdsup://directions/FAT Viewer?action=UPDATE&amp;creator=factset&amp;DYN_ARGS=TRUE&amp;DOC_NAME=FAT:FQL_AUDITING_CLIENT_TEMPLATE.FAT&amp;display_string=Audit&amp;VAR:KEY=FKHOFOTORQ&amp;VAR:QUERY=RkZfRUJJVERBX0lCKCdMVE1TJywzODU1MCk=&amp;WINDOW=FIRST_POPUP&amp;HEIGHT=450&amp;WIDTH=450&amp;START_MA","XIMIZED=FALSE&amp;VAR:CALENDAR=US&amp;VAR:SYMBOL=37183T10&amp;VAR:INDEX=0"}</definedName>
    <definedName name="_5336__FDSAUDITLINK__" localSheetId="6" hidden="1">{"fdsup://directions/FAT Viewer?action=UPDATE&amp;creator=factset&amp;DYN_ARGS=TRUE&amp;DOC_NAME=FAT:FQL_AUDITING_CLIENT_TEMPLATE.FAT&amp;display_string=Audit&amp;VAR:KEY=VURCPQFWZG&amp;VAR:QUERY=RkZfRUJJVERBX0lCKCdMVE1TJywzODU0OSk=&amp;WINDOW=FIRST_POPUP&amp;HEIGHT=450&amp;WIDTH=450&amp;START_MA","XIMIZED=FALSE&amp;VAR:CALENDAR=US&amp;VAR:SYMBOL=37183T10&amp;VAR:INDEX=0"}</definedName>
    <definedName name="_5336__FDSAUDITLINK__" hidden="1">{"fdsup://directions/FAT Viewer?action=UPDATE&amp;creator=factset&amp;DYN_ARGS=TRUE&amp;DOC_NAME=FAT:FQL_AUDITING_CLIENT_TEMPLATE.FAT&amp;display_string=Audit&amp;VAR:KEY=VURCPQFWZG&amp;VAR:QUERY=RkZfRUJJVERBX0lCKCdMVE1TJywzODU0OSk=&amp;WINDOW=FIRST_POPUP&amp;HEIGHT=450&amp;WIDTH=450&amp;START_MA","XIMIZED=FALSE&amp;VAR:CALENDAR=US&amp;VAR:SYMBOL=37183T10&amp;VAR:INDEX=0"}</definedName>
    <definedName name="_5337__FDSAUDITLINK__" localSheetId="6" hidden="1">{"fdsup://directions/FAT Viewer?action=UPDATE&amp;creator=factset&amp;DYN_ARGS=TRUE&amp;DOC_NAME=FAT:FQL_AUDITING_CLIENT_TEMPLATE.FAT&amp;display_string=Audit&amp;VAR:KEY=DSRAHQRQXQ&amp;VAR:QUERY=RkZfRUJJVERBX0lCKCdMVE1TJywzODU0OCk=&amp;WINDOW=FIRST_POPUP&amp;HEIGHT=450&amp;WIDTH=450&amp;START_MA","XIMIZED=FALSE&amp;VAR:CALENDAR=US&amp;VAR:SYMBOL=37183T10&amp;VAR:INDEX=0"}</definedName>
    <definedName name="_5337__FDSAUDITLINK__" hidden="1">{"fdsup://directions/FAT Viewer?action=UPDATE&amp;creator=factset&amp;DYN_ARGS=TRUE&amp;DOC_NAME=FAT:FQL_AUDITING_CLIENT_TEMPLATE.FAT&amp;display_string=Audit&amp;VAR:KEY=DSRAHQRQXQ&amp;VAR:QUERY=RkZfRUJJVERBX0lCKCdMVE1TJywzODU0OCk=&amp;WINDOW=FIRST_POPUP&amp;HEIGHT=450&amp;WIDTH=450&amp;START_MA","XIMIZED=FALSE&amp;VAR:CALENDAR=US&amp;VAR:SYMBOL=37183T10&amp;VAR:INDEX=0"}</definedName>
    <definedName name="_5338__FDSAUDITLINK__" localSheetId="6" hidden="1">{"fdsup://directions/FAT Viewer?action=UPDATE&amp;creator=factset&amp;DYN_ARGS=TRUE&amp;DOC_NAME=FAT:FQL_AUDITING_CLIENT_TEMPLATE.FAT&amp;display_string=Audit&amp;VAR:KEY=JUTERIXQJM&amp;VAR:QUERY=RkZfRUJJVERBX0lCKCdMVE1TJywzODU0Nyk=&amp;WINDOW=FIRST_POPUP&amp;HEIGHT=450&amp;WIDTH=450&amp;START_MA","XIMIZED=FALSE&amp;VAR:CALENDAR=US&amp;VAR:SYMBOL=37183T10&amp;VAR:INDEX=0"}</definedName>
    <definedName name="_5338__FDSAUDITLINK__" hidden="1">{"fdsup://directions/FAT Viewer?action=UPDATE&amp;creator=factset&amp;DYN_ARGS=TRUE&amp;DOC_NAME=FAT:FQL_AUDITING_CLIENT_TEMPLATE.FAT&amp;display_string=Audit&amp;VAR:KEY=JUTERIXQJM&amp;VAR:QUERY=RkZfRUJJVERBX0lCKCdMVE1TJywzODU0Nyk=&amp;WINDOW=FIRST_POPUP&amp;HEIGHT=450&amp;WIDTH=450&amp;START_MA","XIMIZED=FALSE&amp;VAR:CALENDAR=US&amp;VAR:SYMBOL=37183T10&amp;VAR:INDEX=0"}</definedName>
    <definedName name="_5339__FDSAUDITLINK__" localSheetId="6" hidden="1">{"fdsup://directions/FAT Viewer?action=UPDATE&amp;creator=factset&amp;DYN_ARGS=TRUE&amp;DOC_NAME=FAT:FQL_AUDITING_CLIENT_TEMPLATE.FAT&amp;display_string=Audit&amp;VAR:KEY=LYTARCHYTO&amp;VAR:QUERY=RkZfRUJJVERBX0lCKCdMVE1TJywzODU0Nik=&amp;WINDOW=FIRST_POPUP&amp;HEIGHT=450&amp;WIDTH=450&amp;START_MA","XIMIZED=FALSE&amp;VAR:CALENDAR=US&amp;VAR:SYMBOL=37183T10&amp;VAR:INDEX=0"}</definedName>
    <definedName name="_5339__FDSAUDITLINK__" hidden="1">{"fdsup://directions/FAT Viewer?action=UPDATE&amp;creator=factset&amp;DYN_ARGS=TRUE&amp;DOC_NAME=FAT:FQL_AUDITING_CLIENT_TEMPLATE.FAT&amp;display_string=Audit&amp;VAR:KEY=LYTARCHYTO&amp;VAR:QUERY=RkZfRUJJVERBX0lCKCdMVE1TJywzODU0Nik=&amp;WINDOW=FIRST_POPUP&amp;HEIGHT=450&amp;WIDTH=450&amp;START_MA","XIMIZED=FALSE&amp;VAR:CALENDAR=US&amp;VAR:SYMBOL=37183T10&amp;VAR:INDEX=0"}</definedName>
    <definedName name="_534__FDSAUDITLINK__" localSheetId="6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4__FDSAUDITLINK__" hidden="1">{"fdsup://directions/FAT%20Viewer?VAR:PED=LTM&amp;VAR:AUDIT_MODE=SUMMARY&amp;VAR:PERIOD=FIXED&amp;VAR:AUDIT_ID=00000117&amp;VAR:DATE=20080905&amp;action=UPDATE&amp;creator=factset&amp;DOC_NAME=FAT:FMA_audit_SUMMARY.fat&amp;DISPLAY_STRING=Display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40__FDSAUDITLINK__" localSheetId="6" hidden="1">{"fdsup://directions/FAT Viewer?action=UPDATE&amp;creator=factset&amp;DYN_ARGS=TRUE&amp;DOC_NAME=FAT:FQL_AUDITING_CLIENT_TEMPLATE.FAT&amp;display_string=Audit&amp;VAR:KEY=JGLMRCTURI&amp;VAR:QUERY=RkZfRUJJVERBX0lCKCdMVE1TJywzODU0NSk=&amp;WINDOW=FIRST_POPUP&amp;HEIGHT=450&amp;WIDTH=450&amp;START_MA","XIMIZED=FALSE&amp;VAR:CALENDAR=US&amp;VAR:SYMBOL=37183T10&amp;VAR:INDEX=0"}</definedName>
    <definedName name="_5340__FDSAUDITLINK__" hidden="1">{"fdsup://directions/FAT Viewer?action=UPDATE&amp;creator=factset&amp;DYN_ARGS=TRUE&amp;DOC_NAME=FAT:FQL_AUDITING_CLIENT_TEMPLATE.FAT&amp;display_string=Audit&amp;VAR:KEY=JGLMRCTURI&amp;VAR:QUERY=RkZfRUJJVERBX0lCKCdMVE1TJywzODU0NSk=&amp;WINDOW=FIRST_POPUP&amp;HEIGHT=450&amp;WIDTH=450&amp;START_MA","XIMIZED=FALSE&amp;VAR:CALENDAR=US&amp;VAR:SYMBOL=37183T10&amp;VAR:INDEX=0"}</definedName>
    <definedName name="_5341__FDSAUDITLINK__" localSheetId="6" hidden="1">{"fdsup://directions/FAT Viewer?action=UPDATE&amp;creator=factset&amp;DYN_ARGS=TRUE&amp;DOC_NAME=FAT:FQL_AUDITING_CLIENT_TEMPLATE.FAT&amp;display_string=Audit&amp;VAR:KEY=TWRCXCNSLE&amp;VAR:QUERY=RkZfRUJJVERBX0lCKCdMVE1TJywzODU0NCk=&amp;WINDOW=FIRST_POPUP&amp;HEIGHT=450&amp;WIDTH=450&amp;START_MA","XIMIZED=FALSE&amp;VAR:CALENDAR=US&amp;VAR:SYMBOL=37183T10&amp;VAR:INDEX=0"}</definedName>
    <definedName name="_5341__FDSAUDITLINK__" hidden="1">{"fdsup://directions/FAT Viewer?action=UPDATE&amp;creator=factset&amp;DYN_ARGS=TRUE&amp;DOC_NAME=FAT:FQL_AUDITING_CLIENT_TEMPLATE.FAT&amp;display_string=Audit&amp;VAR:KEY=TWRCXCNSLE&amp;VAR:QUERY=RkZfRUJJVERBX0lCKCdMVE1TJywzODU0NCk=&amp;WINDOW=FIRST_POPUP&amp;HEIGHT=450&amp;WIDTH=450&amp;START_MA","XIMIZED=FALSE&amp;VAR:CALENDAR=US&amp;VAR:SYMBOL=37183T10&amp;VAR:INDEX=0"}</definedName>
    <definedName name="_5342__FDSAUDITLINK__" localSheetId="6" hidden="1">{"fdsup://directions/FAT Viewer?action=UPDATE&amp;creator=factset&amp;DYN_ARGS=TRUE&amp;DOC_NAME=FAT:FQL_AUDITING_CLIENT_TEMPLATE.FAT&amp;display_string=Audit&amp;VAR:KEY=RSVEXKLUBG&amp;VAR:QUERY=RkZfRUJJVERBX0lCKCdMVE1TJywzODU0Myk=&amp;WINDOW=FIRST_POPUP&amp;HEIGHT=450&amp;WIDTH=450&amp;START_MA","XIMIZED=FALSE&amp;VAR:CALENDAR=US&amp;VAR:SYMBOL=37183T10&amp;VAR:INDEX=0"}</definedName>
    <definedName name="_5342__FDSAUDITLINK__" hidden="1">{"fdsup://directions/FAT Viewer?action=UPDATE&amp;creator=factset&amp;DYN_ARGS=TRUE&amp;DOC_NAME=FAT:FQL_AUDITING_CLIENT_TEMPLATE.FAT&amp;display_string=Audit&amp;VAR:KEY=RSVEXKLUBG&amp;VAR:QUERY=RkZfRUJJVERBX0lCKCdMVE1TJywzODU0Myk=&amp;WINDOW=FIRST_POPUP&amp;HEIGHT=450&amp;WIDTH=450&amp;START_MA","XIMIZED=FALSE&amp;VAR:CALENDAR=US&amp;VAR:SYMBOL=37183T10&amp;VAR:INDEX=0"}</definedName>
    <definedName name="_5343__FDSAUDITLINK__" localSheetId="6" hidden="1">{"fdsup://directions/FAT Viewer?action=UPDATE&amp;creator=factset&amp;DYN_ARGS=TRUE&amp;DOC_NAME=FAT:FQL_AUDITING_CLIENT_TEMPLATE.FAT&amp;display_string=Audit&amp;VAR:KEY=LWBUPQJUZQ&amp;VAR:QUERY=RkZfRUJJVERBX0lCKCdMVE1TJywzODU0Mik=&amp;WINDOW=FIRST_POPUP&amp;HEIGHT=450&amp;WIDTH=450&amp;START_MA","XIMIZED=FALSE&amp;VAR:CALENDAR=US&amp;VAR:SYMBOL=37183T10&amp;VAR:INDEX=0"}</definedName>
    <definedName name="_5343__FDSAUDITLINK__" hidden="1">{"fdsup://directions/FAT Viewer?action=UPDATE&amp;creator=factset&amp;DYN_ARGS=TRUE&amp;DOC_NAME=FAT:FQL_AUDITING_CLIENT_TEMPLATE.FAT&amp;display_string=Audit&amp;VAR:KEY=LWBUPQJUZQ&amp;VAR:QUERY=RkZfRUJJVERBX0lCKCdMVE1TJywzODU0Mik=&amp;WINDOW=FIRST_POPUP&amp;HEIGHT=450&amp;WIDTH=450&amp;START_MA","XIMIZED=FALSE&amp;VAR:CALENDAR=US&amp;VAR:SYMBOL=37183T10&amp;VAR:INDEX=0"}</definedName>
    <definedName name="_5344__FDSAUDITLINK__" localSheetId="6" hidden="1">{"fdsup://directions/FAT Viewer?action=UPDATE&amp;creator=factset&amp;DYN_ARGS=TRUE&amp;DOC_NAME=FAT:FQL_AUDITING_CLIENT_TEMPLATE.FAT&amp;display_string=Audit&amp;VAR:KEY=BIVUFMNEDG&amp;VAR:QUERY=RkZfRUJJVERBX0lCKCdMVE1TJywzODU0MSk=&amp;WINDOW=FIRST_POPUP&amp;HEIGHT=450&amp;WIDTH=450&amp;START_MA","XIMIZED=FALSE&amp;VAR:CALENDAR=US&amp;VAR:SYMBOL=37183T10&amp;VAR:INDEX=0"}</definedName>
    <definedName name="_5344__FDSAUDITLINK__" hidden="1">{"fdsup://directions/FAT Viewer?action=UPDATE&amp;creator=factset&amp;DYN_ARGS=TRUE&amp;DOC_NAME=FAT:FQL_AUDITING_CLIENT_TEMPLATE.FAT&amp;display_string=Audit&amp;VAR:KEY=BIVUFMNEDG&amp;VAR:QUERY=RkZfRUJJVERBX0lCKCdMVE1TJywzODU0MSk=&amp;WINDOW=FIRST_POPUP&amp;HEIGHT=450&amp;WIDTH=450&amp;START_MA","XIMIZED=FALSE&amp;VAR:CALENDAR=US&amp;VAR:SYMBOL=37183T10&amp;VAR:INDEX=0"}</definedName>
    <definedName name="_5345__FDSAUDITLINK__" localSheetId="6" hidden="1">{"fdsup://directions/FAT Viewer?action=UPDATE&amp;creator=factset&amp;DYN_ARGS=TRUE&amp;DOC_NAME=FAT:FQL_AUDITING_CLIENT_TEMPLATE.FAT&amp;display_string=Audit&amp;VAR:KEY=JYBGVQZAFC&amp;VAR:QUERY=RkZfRUJJVERBX0lCKCdMVE1TJywzODU0MCk=&amp;WINDOW=FIRST_POPUP&amp;HEIGHT=450&amp;WIDTH=450&amp;START_MA","XIMIZED=FALSE&amp;VAR:CALENDAR=US&amp;VAR:SYMBOL=37183T10&amp;VAR:INDEX=0"}</definedName>
    <definedName name="_5345__FDSAUDITLINK__" hidden="1">{"fdsup://directions/FAT Viewer?action=UPDATE&amp;creator=factset&amp;DYN_ARGS=TRUE&amp;DOC_NAME=FAT:FQL_AUDITING_CLIENT_TEMPLATE.FAT&amp;display_string=Audit&amp;VAR:KEY=JYBGVQZAFC&amp;VAR:QUERY=RkZfRUJJVERBX0lCKCdMVE1TJywzODU0MCk=&amp;WINDOW=FIRST_POPUP&amp;HEIGHT=450&amp;WIDTH=450&amp;START_MA","XIMIZED=FALSE&amp;VAR:CALENDAR=US&amp;VAR:SYMBOL=37183T10&amp;VAR:INDEX=0"}</definedName>
    <definedName name="_5346__FDSAUDITLINK__" localSheetId="6" hidden="1">{"fdsup://directions/FAT Viewer?action=UPDATE&amp;creator=factset&amp;DYN_ARGS=TRUE&amp;DOC_NAME=FAT:FQL_AUDITING_CLIENT_TEMPLATE.FAT&amp;display_string=Audit&amp;VAR:KEY=HWTILAPIZG&amp;VAR:QUERY=RkZfRUJJVERBX0lCKCdMVE1TJywzODUzOSk=&amp;WINDOW=FIRST_POPUP&amp;HEIGHT=450&amp;WIDTH=450&amp;START_MA","XIMIZED=FALSE&amp;VAR:CALENDAR=US&amp;VAR:SYMBOL=37183T10&amp;VAR:INDEX=0"}</definedName>
    <definedName name="_5346__FDSAUDITLINK__" hidden="1">{"fdsup://directions/FAT Viewer?action=UPDATE&amp;creator=factset&amp;DYN_ARGS=TRUE&amp;DOC_NAME=FAT:FQL_AUDITING_CLIENT_TEMPLATE.FAT&amp;display_string=Audit&amp;VAR:KEY=HWTILAPIZG&amp;VAR:QUERY=RkZfRUJJVERBX0lCKCdMVE1TJywzODUzOSk=&amp;WINDOW=FIRST_POPUP&amp;HEIGHT=450&amp;WIDTH=450&amp;START_MA","XIMIZED=FALSE&amp;VAR:CALENDAR=US&amp;VAR:SYMBOL=37183T10&amp;VAR:INDEX=0"}</definedName>
    <definedName name="_5347__FDSAUDITLINK__" localSheetId="6" hidden="1">{"fdsup://directions/FAT Viewer?action=UPDATE&amp;creator=factset&amp;DYN_ARGS=TRUE&amp;DOC_NAME=FAT:FQL_AUDITING_CLIENT_TEMPLATE.FAT&amp;display_string=Audit&amp;VAR:KEY=LYPSXCRSXG&amp;VAR:QUERY=RkZfRUJJVERBX0lCKCdMVE1TJywzODUzOCk=&amp;WINDOW=FIRST_POPUP&amp;HEIGHT=450&amp;WIDTH=450&amp;START_MA","XIMIZED=FALSE&amp;VAR:CALENDAR=US&amp;VAR:SYMBOL=37183T10&amp;VAR:INDEX=0"}</definedName>
    <definedName name="_5347__FDSAUDITLINK__" hidden="1">{"fdsup://directions/FAT Viewer?action=UPDATE&amp;creator=factset&amp;DYN_ARGS=TRUE&amp;DOC_NAME=FAT:FQL_AUDITING_CLIENT_TEMPLATE.FAT&amp;display_string=Audit&amp;VAR:KEY=LYPSXCRSXG&amp;VAR:QUERY=RkZfRUJJVERBX0lCKCdMVE1TJywzODUzOCk=&amp;WINDOW=FIRST_POPUP&amp;HEIGHT=450&amp;WIDTH=450&amp;START_MA","XIMIZED=FALSE&amp;VAR:CALENDAR=US&amp;VAR:SYMBOL=37183T10&amp;VAR:INDEX=0"}</definedName>
    <definedName name="_5348__FDSAUDITLINK__" localSheetId="6" hidden="1">{"fdsup://directions/FAT Viewer?action=UPDATE&amp;creator=factset&amp;DYN_ARGS=TRUE&amp;DOC_NAME=FAT:FQL_AUDITING_CLIENT_TEMPLATE.FAT&amp;display_string=Audit&amp;VAR:KEY=JKVIBMRAHK&amp;VAR:QUERY=RkZfRUJJVERBX0lCKCdMVE1TJywzODUzNyk=&amp;WINDOW=FIRST_POPUP&amp;HEIGHT=450&amp;WIDTH=450&amp;START_MA","XIMIZED=FALSE&amp;VAR:CALENDAR=US&amp;VAR:SYMBOL=37183T10&amp;VAR:INDEX=0"}</definedName>
    <definedName name="_5348__FDSAUDITLINK__" hidden="1">{"fdsup://directions/FAT Viewer?action=UPDATE&amp;creator=factset&amp;DYN_ARGS=TRUE&amp;DOC_NAME=FAT:FQL_AUDITING_CLIENT_TEMPLATE.FAT&amp;display_string=Audit&amp;VAR:KEY=JKVIBMRAHK&amp;VAR:QUERY=RkZfRUJJVERBX0lCKCdMVE1TJywzODUzNyk=&amp;WINDOW=FIRST_POPUP&amp;HEIGHT=450&amp;WIDTH=450&amp;START_MA","XIMIZED=FALSE&amp;VAR:CALENDAR=US&amp;VAR:SYMBOL=37183T10&amp;VAR:INDEX=0"}</definedName>
    <definedName name="_5349__FDSAUDITLINK__" localSheetId="6" hidden="1">{"fdsup://directions/FAT Viewer?action=UPDATE&amp;creator=factset&amp;DYN_ARGS=TRUE&amp;DOC_NAME=FAT:FQL_AUDITING_CLIENT_TEMPLATE.FAT&amp;display_string=Audit&amp;VAR:KEY=LMRWRQHCJY&amp;VAR:QUERY=RkZfRUJJVERBX0lCKCdMVE1TJywzODUzNik=&amp;WINDOW=FIRST_POPUP&amp;HEIGHT=450&amp;WIDTH=450&amp;START_MA","XIMIZED=FALSE&amp;VAR:CALENDAR=US&amp;VAR:SYMBOL=37183T10&amp;VAR:INDEX=0"}</definedName>
    <definedName name="_5349__FDSAUDITLINK__" hidden="1">{"fdsup://directions/FAT Viewer?action=UPDATE&amp;creator=factset&amp;DYN_ARGS=TRUE&amp;DOC_NAME=FAT:FQL_AUDITING_CLIENT_TEMPLATE.FAT&amp;display_string=Audit&amp;VAR:KEY=LMRWRQHCJY&amp;VAR:QUERY=RkZfRUJJVERBX0lCKCdMVE1TJywzODUzNik=&amp;WINDOW=FIRST_POPUP&amp;HEIGHT=450&amp;WIDTH=450&amp;START_MA","XIMIZED=FALSE&amp;VAR:CALENDAR=US&amp;VAR:SYMBOL=37183T10&amp;VAR:INDEX=0"}</definedName>
    <definedName name="_535__FDSAUDITLINK__" localSheetId="6" hidden="1">{"fdsup://directions/FAT%20Viewer?VAR:PED=LTM&amp;VAR:AUDIT_MODE=SUMMARY&amp;VAR:PERIOD=FIXED&amp;VAR:AUDIT_ID=00000117&amp;VAR:DATE=20080904&amp;action=UPDATE&amp;creator=factset&amp;DOC_NAME=FAT:FMA_audit_SUMMARY.fat&amp;DISPLAY_STRING=Display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5__FDSAUDITLINK__" hidden="1">{"fdsup://directions/FAT%20Viewer?VAR:PED=LTM&amp;VAR:AUDIT_MODE=SUMMARY&amp;VAR:PERIOD=FIXED&amp;VAR:AUDIT_ID=00000117&amp;VAR:DATE=20080904&amp;action=UPDATE&amp;creator=factset&amp;DOC_NAME=FAT:FMA_audit_SUMMARY.fat&amp;DISPLAY_STRING=Display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50__FDSAUDITLINK__" localSheetId="6" hidden="1">{"fdsup://directions/FAT Viewer?action=UPDATE&amp;creator=factset&amp;DYN_ARGS=TRUE&amp;DOC_NAME=FAT:FQL_AUDITING_CLIENT_TEMPLATE.FAT&amp;display_string=Audit&amp;VAR:KEY=PQDOHKBORM&amp;VAR:QUERY=RkZfRUJJVERBX0lCKCdMVE1TJywzODUzNSk=&amp;WINDOW=FIRST_POPUP&amp;HEIGHT=450&amp;WIDTH=450&amp;START_MA","XIMIZED=FALSE&amp;VAR:CALENDAR=US&amp;VAR:SYMBOL=37183T10&amp;VAR:INDEX=0"}</definedName>
    <definedName name="_5350__FDSAUDITLINK__" hidden="1">{"fdsup://directions/FAT Viewer?action=UPDATE&amp;creator=factset&amp;DYN_ARGS=TRUE&amp;DOC_NAME=FAT:FQL_AUDITING_CLIENT_TEMPLATE.FAT&amp;display_string=Audit&amp;VAR:KEY=PQDOHKBORM&amp;VAR:QUERY=RkZfRUJJVERBX0lCKCdMVE1TJywzODUzNSk=&amp;WINDOW=FIRST_POPUP&amp;HEIGHT=450&amp;WIDTH=450&amp;START_MA","XIMIZED=FALSE&amp;VAR:CALENDAR=US&amp;VAR:SYMBOL=37183T10&amp;VAR:INDEX=0"}</definedName>
    <definedName name="_5351__FDSAUDITLINK__" localSheetId="6" hidden="1">{"fdsup://directions/FAT Viewer?action=UPDATE&amp;creator=factset&amp;DYN_ARGS=TRUE&amp;DOC_NAME=FAT:FQL_AUDITING_CLIENT_TEMPLATE.FAT&amp;display_string=Audit&amp;VAR:KEY=VGJWJMTCRI&amp;VAR:QUERY=RkZfRUJJVERBX0lCKCdMVE1TJywzODUzNCk=&amp;WINDOW=FIRST_POPUP&amp;HEIGHT=450&amp;WIDTH=450&amp;START_MA","XIMIZED=FALSE&amp;VAR:CALENDAR=US&amp;VAR:SYMBOL=37183T10&amp;VAR:INDEX=0"}</definedName>
    <definedName name="_5351__FDSAUDITLINK__" hidden="1">{"fdsup://directions/FAT Viewer?action=UPDATE&amp;creator=factset&amp;DYN_ARGS=TRUE&amp;DOC_NAME=FAT:FQL_AUDITING_CLIENT_TEMPLATE.FAT&amp;display_string=Audit&amp;VAR:KEY=VGJWJMTCRI&amp;VAR:QUERY=RkZfRUJJVERBX0lCKCdMVE1TJywzODUzNCk=&amp;WINDOW=FIRST_POPUP&amp;HEIGHT=450&amp;WIDTH=450&amp;START_MA","XIMIZED=FALSE&amp;VAR:CALENDAR=US&amp;VAR:SYMBOL=37183T10&amp;VAR:INDEX=0"}</definedName>
    <definedName name="_5352__FDSAUDITLINK__" localSheetId="6" hidden="1">{"fdsup://directions/FAT Viewer?action=UPDATE&amp;creator=factset&amp;DYN_ARGS=TRUE&amp;DOC_NAME=FAT:FQL_AUDITING_CLIENT_TEMPLATE.FAT&amp;display_string=Audit&amp;VAR:KEY=JCZQLUDCVY&amp;VAR:QUERY=RkZfRUJJVERBX0lCKCdMVE1TJywzODUzMyk=&amp;WINDOW=FIRST_POPUP&amp;HEIGHT=450&amp;WIDTH=450&amp;START_MA","XIMIZED=FALSE&amp;VAR:CALENDAR=US&amp;VAR:SYMBOL=37183T10&amp;VAR:INDEX=0"}</definedName>
    <definedName name="_5352__FDSAUDITLINK__" hidden="1">{"fdsup://directions/FAT Viewer?action=UPDATE&amp;creator=factset&amp;DYN_ARGS=TRUE&amp;DOC_NAME=FAT:FQL_AUDITING_CLIENT_TEMPLATE.FAT&amp;display_string=Audit&amp;VAR:KEY=JCZQLUDCVY&amp;VAR:QUERY=RkZfRUJJVERBX0lCKCdMVE1TJywzODUzMyk=&amp;WINDOW=FIRST_POPUP&amp;HEIGHT=450&amp;WIDTH=450&amp;START_MA","XIMIZED=FALSE&amp;VAR:CALENDAR=US&amp;VAR:SYMBOL=37183T10&amp;VAR:INDEX=0"}</definedName>
    <definedName name="_5353__FDSAUDITLINK__" localSheetId="6" hidden="1">{"fdsup://directions/FAT Viewer?action=UPDATE&amp;creator=factset&amp;DYN_ARGS=TRUE&amp;DOC_NAME=FAT:FQL_AUDITING_CLIENT_TEMPLATE.FAT&amp;display_string=Audit&amp;VAR:KEY=BOBATAXIPG&amp;VAR:QUERY=RkZfRUJJVERBX0lCKCdMVE1TJywzODUzMik=&amp;WINDOW=FIRST_POPUP&amp;HEIGHT=450&amp;WIDTH=450&amp;START_MA","XIMIZED=FALSE&amp;VAR:CALENDAR=US&amp;VAR:SYMBOL=37183T10&amp;VAR:INDEX=0"}</definedName>
    <definedName name="_5353__FDSAUDITLINK__" hidden="1">{"fdsup://directions/FAT Viewer?action=UPDATE&amp;creator=factset&amp;DYN_ARGS=TRUE&amp;DOC_NAME=FAT:FQL_AUDITING_CLIENT_TEMPLATE.FAT&amp;display_string=Audit&amp;VAR:KEY=BOBATAXIPG&amp;VAR:QUERY=RkZfRUJJVERBX0lCKCdMVE1TJywzODUzMik=&amp;WINDOW=FIRST_POPUP&amp;HEIGHT=450&amp;WIDTH=450&amp;START_MA","XIMIZED=FALSE&amp;VAR:CALENDAR=US&amp;VAR:SYMBOL=37183T10&amp;VAR:INDEX=0"}</definedName>
    <definedName name="_5354__FDSAUDITLINK__" localSheetId="6" hidden="1">{"fdsup://directions/FAT Viewer?action=UPDATE&amp;creator=factset&amp;DYN_ARGS=TRUE&amp;DOC_NAME=FAT:FQL_AUDITING_CLIENT_TEMPLATE.FAT&amp;display_string=Audit&amp;VAR:KEY=HAPOPKJORK&amp;VAR:QUERY=RkZfRUJJVERBX0lCKCdMVE1TJywzODUzMSk=&amp;WINDOW=FIRST_POPUP&amp;HEIGHT=450&amp;WIDTH=450&amp;START_MA","XIMIZED=FALSE&amp;VAR:CALENDAR=US&amp;VAR:SYMBOL=37183T10&amp;VAR:INDEX=0"}</definedName>
    <definedName name="_5354__FDSAUDITLINK__" hidden="1">{"fdsup://directions/FAT Viewer?action=UPDATE&amp;creator=factset&amp;DYN_ARGS=TRUE&amp;DOC_NAME=FAT:FQL_AUDITING_CLIENT_TEMPLATE.FAT&amp;display_string=Audit&amp;VAR:KEY=HAPOPKJORK&amp;VAR:QUERY=RkZfRUJJVERBX0lCKCdMVE1TJywzODUzMSk=&amp;WINDOW=FIRST_POPUP&amp;HEIGHT=450&amp;WIDTH=450&amp;START_MA","XIMIZED=FALSE&amp;VAR:CALENDAR=US&amp;VAR:SYMBOL=37183T10&amp;VAR:INDEX=0"}</definedName>
    <definedName name="_5355__FDSAUDITLINK__" localSheetId="6" hidden="1">{"fdsup://directions/FAT Viewer?action=UPDATE&amp;creator=factset&amp;DYN_ARGS=TRUE&amp;DOC_NAME=FAT:FQL_AUDITING_CLIENT_TEMPLATE.FAT&amp;display_string=Audit&amp;VAR:KEY=ZKLGXGDOXW&amp;VAR:QUERY=RkZfRUJJVERBX0lCKCdMVE1TJywzODUzMCk=&amp;WINDOW=FIRST_POPUP&amp;HEIGHT=450&amp;WIDTH=450&amp;START_MA","XIMIZED=FALSE&amp;VAR:CALENDAR=US&amp;VAR:SYMBOL=37183T10&amp;VAR:INDEX=0"}</definedName>
    <definedName name="_5355__FDSAUDITLINK__" hidden="1">{"fdsup://directions/FAT Viewer?action=UPDATE&amp;creator=factset&amp;DYN_ARGS=TRUE&amp;DOC_NAME=FAT:FQL_AUDITING_CLIENT_TEMPLATE.FAT&amp;display_string=Audit&amp;VAR:KEY=ZKLGXGDOXW&amp;VAR:QUERY=RkZfRUJJVERBX0lCKCdMVE1TJywzODUzMCk=&amp;WINDOW=FIRST_POPUP&amp;HEIGHT=450&amp;WIDTH=450&amp;START_MA","XIMIZED=FALSE&amp;VAR:CALENDAR=US&amp;VAR:SYMBOL=37183T10&amp;VAR:INDEX=0"}</definedName>
    <definedName name="_5356__FDSAUDITLINK__" localSheetId="6" hidden="1">{"fdsup://directions/FAT Viewer?action=UPDATE&amp;creator=factset&amp;DYN_ARGS=TRUE&amp;DOC_NAME=FAT:FQL_AUDITING_CLIENT_TEMPLATE.FAT&amp;display_string=Audit&amp;VAR:KEY=NCFQNEVSLI&amp;VAR:QUERY=RkZfRUJJVERBX0lCKCdMVE1TJywzODUyOSk=&amp;WINDOW=FIRST_POPUP&amp;HEIGHT=450&amp;WIDTH=450&amp;START_MA","XIMIZED=FALSE&amp;VAR:CALENDAR=US&amp;VAR:SYMBOL=37183T10&amp;VAR:INDEX=0"}</definedName>
    <definedName name="_5356__FDSAUDITLINK__" hidden="1">{"fdsup://directions/FAT Viewer?action=UPDATE&amp;creator=factset&amp;DYN_ARGS=TRUE&amp;DOC_NAME=FAT:FQL_AUDITING_CLIENT_TEMPLATE.FAT&amp;display_string=Audit&amp;VAR:KEY=NCFQNEVSLI&amp;VAR:QUERY=RkZfRUJJVERBX0lCKCdMVE1TJywzODUyOSk=&amp;WINDOW=FIRST_POPUP&amp;HEIGHT=450&amp;WIDTH=450&amp;START_MA","XIMIZED=FALSE&amp;VAR:CALENDAR=US&amp;VAR:SYMBOL=37183T10&amp;VAR:INDEX=0"}</definedName>
    <definedName name="_5357__FDSAUDITLINK__" localSheetId="6" hidden="1">{"fdsup://directions/FAT Viewer?action=UPDATE&amp;creator=factset&amp;DYN_ARGS=TRUE&amp;DOC_NAME=FAT:FQL_AUDITING_CLIENT_TEMPLATE.FAT&amp;display_string=Audit&amp;VAR:KEY=BMXMBYVCXW&amp;VAR:QUERY=RkZfRUJJVERBX0lCKCdMVE1TJywzODUyOCk=&amp;WINDOW=FIRST_POPUP&amp;HEIGHT=450&amp;WIDTH=450&amp;START_MA","XIMIZED=FALSE&amp;VAR:CALENDAR=US&amp;VAR:SYMBOL=37183T10&amp;VAR:INDEX=0"}</definedName>
    <definedName name="_5357__FDSAUDITLINK__" hidden="1">{"fdsup://directions/FAT Viewer?action=UPDATE&amp;creator=factset&amp;DYN_ARGS=TRUE&amp;DOC_NAME=FAT:FQL_AUDITING_CLIENT_TEMPLATE.FAT&amp;display_string=Audit&amp;VAR:KEY=BMXMBYVCXW&amp;VAR:QUERY=RkZfRUJJVERBX0lCKCdMVE1TJywzODUyOCk=&amp;WINDOW=FIRST_POPUP&amp;HEIGHT=450&amp;WIDTH=450&amp;START_MA","XIMIZED=FALSE&amp;VAR:CALENDAR=US&amp;VAR:SYMBOL=37183T10&amp;VAR:INDEX=0"}</definedName>
    <definedName name="_5358__FDSAUDITLINK__" localSheetId="6" hidden="1">{"fdsup://directions/FAT Viewer?action=UPDATE&amp;creator=factset&amp;DYN_ARGS=TRUE&amp;DOC_NAME=FAT:FQL_AUDITING_CLIENT_TEMPLATE.FAT&amp;display_string=Audit&amp;VAR:KEY=ZERKDWVWDM&amp;VAR:QUERY=RkZfRUJJVERBX0lCKCdMVE1TJywzODUyNyk=&amp;WINDOW=FIRST_POPUP&amp;HEIGHT=450&amp;WIDTH=450&amp;START_MA","XIMIZED=FALSE&amp;VAR:CALENDAR=US&amp;VAR:SYMBOL=37183T10&amp;VAR:INDEX=0"}</definedName>
    <definedName name="_5358__FDSAUDITLINK__" hidden="1">{"fdsup://directions/FAT Viewer?action=UPDATE&amp;creator=factset&amp;DYN_ARGS=TRUE&amp;DOC_NAME=FAT:FQL_AUDITING_CLIENT_TEMPLATE.FAT&amp;display_string=Audit&amp;VAR:KEY=ZERKDWVWDM&amp;VAR:QUERY=RkZfRUJJVERBX0lCKCdMVE1TJywzODUyNyk=&amp;WINDOW=FIRST_POPUP&amp;HEIGHT=450&amp;WIDTH=450&amp;START_MA","XIMIZED=FALSE&amp;VAR:CALENDAR=US&amp;VAR:SYMBOL=37183T10&amp;VAR:INDEX=0"}</definedName>
    <definedName name="_5359__FDSAUDITLINK__" localSheetId="6" hidden="1">{"fdsup://directions/FAT Viewer?action=UPDATE&amp;creator=factset&amp;DYN_ARGS=TRUE&amp;DOC_NAME=FAT:FQL_AUDITING_CLIENT_TEMPLATE.FAT&amp;display_string=Audit&amp;VAR:KEY=ZIHODSJKXA&amp;VAR:QUERY=RkZfRUJJVERBX0lCKCdMVE1TJywzODUyNik=&amp;WINDOW=FIRST_POPUP&amp;HEIGHT=450&amp;WIDTH=450&amp;START_MA","XIMIZED=FALSE&amp;VAR:CALENDAR=US&amp;VAR:SYMBOL=37183T10&amp;VAR:INDEX=0"}</definedName>
    <definedName name="_5359__FDSAUDITLINK__" hidden="1">{"fdsup://directions/FAT Viewer?action=UPDATE&amp;creator=factset&amp;DYN_ARGS=TRUE&amp;DOC_NAME=FAT:FQL_AUDITING_CLIENT_TEMPLATE.FAT&amp;display_string=Audit&amp;VAR:KEY=ZIHODSJKXA&amp;VAR:QUERY=RkZfRUJJVERBX0lCKCdMVE1TJywzODUyNik=&amp;WINDOW=FIRST_POPUP&amp;HEIGHT=450&amp;WIDTH=450&amp;START_MA","XIMIZED=FALSE&amp;VAR:CALENDAR=US&amp;VAR:SYMBOL=37183T10&amp;VAR:INDEX=0"}</definedName>
    <definedName name="_536__FDSAUDITLINK__" localSheetId="6" hidden="1">{"fdsup://directions/FAT%20Viewer?VAR:PED=LTM&amp;VAR:AUDIT_MODE=SUMMARY&amp;VAR:PERIOD=FIXED&amp;VAR:AUDIT_ID=00000117&amp;VAR:DATE=20080903&amp;action=UPDATE&amp;creator=factset&amp;DOC_NAME=FAT:FMA_audit_SUMMARY.fat&amp;DISPLAY_STRING=Display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6__FDSAUDITLINK__" hidden="1">{"fdsup://directions/FAT%20Viewer?VAR:PED=LTM&amp;VAR:AUDIT_MODE=SUMMARY&amp;VAR:PERIOD=FIXED&amp;VAR:AUDIT_ID=00000117&amp;VAR:DATE=20080903&amp;action=UPDATE&amp;creator=factset&amp;DOC_NAME=FAT:FMA_audit_SUMMARY.fat&amp;DISPLAY_STRING=Display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60__FDSAUDITLINK__" localSheetId="6" hidden="1">{"fdsup://directions/FAT Viewer?action=UPDATE&amp;creator=factset&amp;DYN_ARGS=TRUE&amp;DOC_NAME=FAT:FQL_AUDITING_CLIENT_TEMPLATE.FAT&amp;display_string=Audit&amp;VAR:KEY=BCJCZMRMTQ&amp;VAR:QUERY=RkZfRUJJVERBX0lCKCdMVE1TJywzODUyNSk=&amp;WINDOW=FIRST_POPUP&amp;HEIGHT=450&amp;WIDTH=450&amp;START_MA","XIMIZED=FALSE&amp;VAR:CALENDAR=US&amp;VAR:SYMBOL=37183T10&amp;VAR:INDEX=0"}</definedName>
    <definedName name="_5360__FDSAUDITLINK__" hidden="1">{"fdsup://directions/FAT Viewer?action=UPDATE&amp;creator=factset&amp;DYN_ARGS=TRUE&amp;DOC_NAME=FAT:FQL_AUDITING_CLIENT_TEMPLATE.FAT&amp;display_string=Audit&amp;VAR:KEY=BCJCZMRMTQ&amp;VAR:QUERY=RkZfRUJJVERBX0lCKCdMVE1TJywzODUyNSk=&amp;WINDOW=FIRST_POPUP&amp;HEIGHT=450&amp;WIDTH=450&amp;START_MA","XIMIZED=FALSE&amp;VAR:CALENDAR=US&amp;VAR:SYMBOL=37183T10&amp;VAR:INDEX=0"}</definedName>
    <definedName name="_5361__FDSAUDITLINK__" localSheetId="6" hidden="1">{"fdsup://directions/FAT Viewer?action=UPDATE&amp;creator=factset&amp;DYN_ARGS=TRUE&amp;DOC_NAME=FAT:FQL_AUDITING_CLIENT_TEMPLATE.FAT&amp;display_string=Audit&amp;VAR:KEY=ROLSPOFMFE&amp;VAR:QUERY=RkZfRUJJVERBX0lCKCdMVE1TJywzODUyNCk=&amp;WINDOW=FIRST_POPUP&amp;HEIGHT=450&amp;WIDTH=450&amp;START_MA","XIMIZED=FALSE&amp;VAR:CALENDAR=US&amp;VAR:SYMBOL=37183T10&amp;VAR:INDEX=0"}</definedName>
    <definedName name="_5361__FDSAUDITLINK__" hidden="1">{"fdsup://directions/FAT Viewer?action=UPDATE&amp;creator=factset&amp;DYN_ARGS=TRUE&amp;DOC_NAME=FAT:FQL_AUDITING_CLIENT_TEMPLATE.FAT&amp;display_string=Audit&amp;VAR:KEY=ROLSPOFMFE&amp;VAR:QUERY=RkZfRUJJVERBX0lCKCdMVE1TJywzODUyNCk=&amp;WINDOW=FIRST_POPUP&amp;HEIGHT=450&amp;WIDTH=450&amp;START_MA","XIMIZED=FALSE&amp;VAR:CALENDAR=US&amp;VAR:SYMBOL=37183T10&amp;VAR:INDEX=0"}</definedName>
    <definedName name="_5362__FDSAUDITLINK__" localSheetId="6" hidden="1">{"fdsup://directions/FAT Viewer?action=UPDATE&amp;creator=factset&amp;DYN_ARGS=TRUE&amp;DOC_NAME=FAT:FQL_AUDITING_CLIENT_TEMPLATE.FAT&amp;display_string=Audit&amp;VAR:KEY=LSFURINOVK&amp;VAR:QUERY=RkZfRUJJVERBX0lCKCdMVE1TJywzODUyMyk=&amp;WINDOW=FIRST_POPUP&amp;HEIGHT=450&amp;WIDTH=450&amp;START_MA","XIMIZED=FALSE&amp;VAR:CALENDAR=US&amp;VAR:SYMBOL=37183T10&amp;VAR:INDEX=0"}</definedName>
    <definedName name="_5362__FDSAUDITLINK__" hidden="1">{"fdsup://directions/FAT Viewer?action=UPDATE&amp;creator=factset&amp;DYN_ARGS=TRUE&amp;DOC_NAME=FAT:FQL_AUDITING_CLIENT_TEMPLATE.FAT&amp;display_string=Audit&amp;VAR:KEY=LSFURINOVK&amp;VAR:QUERY=RkZfRUJJVERBX0lCKCdMVE1TJywzODUyMyk=&amp;WINDOW=FIRST_POPUP&amp;HEIGHT=450&amp;WIDTH=450&amp;START_MA","XIMIZED=FALSE&amp;VAR:CALENDAR=US&amp;VAR:SYMBOL=37183T10&amp;VAR:INDEX=0"}</definedName>
    <definedName name="_5363__FDSAUDITLINK__" localSheetId="6" hidden="1">{"fdsup://directions/FAT Viewer?action=UPDATE&amp;creator=factset&amp;DYN_ARGS=TRUE&amp;DOC_NAME=FAT:FQL_AUDITING_CLIENT_TEMPLATE.FAT&amp;display_string=Audit&amp;VAR:KEY=ZEVCRGPSXO&amp;VAR:QUERY=RkZfRUJJVERBX0lCKCdMVE1TJywzODUyMik=&amp;WINDOW=FIRST_POPUP&amp;HEIGHT=450&amp;WIDTH=450&amp;START_MA","XIMIZED=FALSE&amp;VAR:CALENDAR=US&amp;VAR:SYMBOL=37183T10&amp;VAR:INDEX=0"}</definedName>
    <definedName name="_5363__FDSAUDITLINK__" hidden="1">{"fdsup://directions/FAT Viewer?action=UPDATE&amp;creator=factset&amp;DYN_ARGS=TRUE&amp;DOC_NAME=FAT:FQL_AUDITING_CLIENT_TEMPLATE.FAT&amp;display_string=Audit&amp;VAR:KEY=ZEVCRGPSXO&amp;VAR:QUERY=RkZfRUJJVERBX0lCKCdMVE1TJywzODUyMik=&amp;WINDOW=FIRST_POPUP&amp;HEIGHT=450&amp;WIDTH=450&amp;START_MA","XIMIZED=FALSE&amp;VAR:CALENDAR=US&amp;VAR:SYMBOL=37183T10&amp;VAR:INDEX=0"}</definedName>
    <definedName name="_5364__FDSAUDITLINK__" localSheetId="6" hidden="1">{"fdsup://directions/FAT Viewer?action=UPDATE&amp;creator=factset&amp;DYN_ARGS=TRUE&amp;DOC_NAME=FAT:FQL_AUDITING_CLIENT_TEMPLATE.FAT&amp;display_string=Audit&amp;VAR:KEY=DUZYZIPSJY&amp;VAR:QUERY=RkZfRUJJVERBX0lCKCdMVE1TJywzODUyMSk=&amp;WINDOW=FIRST_POPUP&amp;HEIGHT=450&amp;WIDTH=450&amp;START_MA","XIMIZED=FALSE&amp;VAR:CALENDAR=US&amp;VAR:SYMBOL=37183T10&amp;VAR:INDEX=0"}</definedName>
    <definedName name="_5364__FDSAUDITLINK__" hidden="1">{"fdsup://directions/FAT Viewer?action=UPDATE&amp;creator=factset&amp;DYN_ARGS=TRUE&amp;DOC_NAME=FAT:FQL_AUDITING_CLIENT_TEMPLATE.FAT&amp;display_string=Audit&amp;VAR:KEY=DUZYZIPSJY&amp;VAR:QUERY=RkZfRUJJVERBX0lCKCdMVE1TJywzODUyMSk=&amp;WINDOW=FIRST_POPUP&amp;HEIGHT=450&amp;WIDTH=450&amp;START_MA","XIMIZED=FALSE&amp;VAR:CALENDAR=US&amp;VAR:SYMBOL=37183T10&amp;VAR:INDEX=0"}</definedName>
    <definedName name="_5365__FDSAUDITLINK__" localSheetId="6" hidden="1">{"fdsup://directions/FAT Viewer?action=UPDATE&amp;creator=factset&amp;DYN_ARGS=TRUE&amp;DOC_NAME=FAT:FQL_AUDITING_CLIENT_TEMPLATE.FAT&amp;display_string=Audit&amp;VAR:KEY=RYTQDSFCFA&amp;VAR:QUERY=RkZfRUJJVERBX0lCKCdMVE1TJywzODUyMCk=&amp;WINDOW=FIRST_POPUP&amp;HEIGHT=450&amp;WIDTH=450&amp;START_MA","XIMIZED=FALSE&amp;VAR:CALENDAR=US&amp;VAR:SYMBOL=37183T10&amp;VAR:INDEX=0"}</definedName>
    <definedName name="_5365__FDSAUDITLINK__" hidden="1">{"fdsup://directions/FAT Viewer?action=UPDATE&amp;creator=factset&amp;DYN_ARGS=TRUE&amp;DOC_NAME=FAT:FQL_AUDITING_CLIENT_TEMPLATE.FAT&amp;display_string=Audit&amp;VAR:KEY=RYTQDSFCFA&amp;VAR:QUERY=RkZfRUJJVERBX0lCKCdMVE1TJywzODUyMCk=&amp;WINDOW=FIRST_POPUP&amp;HEIGHT=450&amp;WIDTH=450&amp;START_MA","XIMIZED=FALSE&amp;VAR:CALENDAR=US&amp;VAR:SYMBOL=37183T10&amp;VAR:INDEX=0"}</definedName>
    <definedName name="_5366__FDSAUDITLINK__" localSheetId="6" hidden="1">{"fdsup://directions/FAT Viewer?action=UPDATE&amp;creator=factset&amp;DYN_ARGS=TRUE&amp;DOC_NAME=FAT:FQL_AUDITING_CLIENT_TEMPLATE.FAT&amp;display_string=Audit&amp;VAR:KEY=DGJAXMTAJG&amp;VAR:QUERY=RkZfRUJJVERBX0lCKCdMVE1TJywzODUxOSk=&amp;WINDOW=FIRST_POPUP&amp;HEIGHT=450&amp;WIDTH=450&amp;START_MA","XIMIZED=FALSE&amp;VAR:CALENDAR=US&amp;VAR:SYMBOL=37183T10&amp;VAR:INDEX=0"}</definedName>
    <definedName name="_5366__FDSAUDITLINK__" hidden="1">{"fdsup://directions/FAT Viewer?action=UPDATE&amp;creator=factset&amp;DYN_ARGS=TRUE&amp;DOC_NAME=FAT:FQL_AUDITING_CLIENT_TEMPLATE.FAT&amp;display_string=Audit&amp;VAR:KEY=DGJAXMTAJG&amp;VAR:QUERY=RkZfRUJJVERBX0lCKCdMVE1TJywzODUxOSk=&amp;WINDOW=FIRST_POPUP&amp;HEIGHT=450&amp;WIDTH=450&amp;START_MA","XIMIZED=FALSE&amp;VAR:CALENDAR=US&amp;VAR:SYMBOL=37183T10&amp;VAR:INDEX=0"}</definedName>
    <definedName name="_5367__FDSAUDITLINK__" localSheetId="6" hidden="1">{"fdsup://directions/FAT Viewer?action=UPDATE&amp;creator=factset&amp;DYN_ARGS=TRUE&amp;DOC_NAME=FAT:FQL_AUDITING_CLIENT_TEMPLATE.FAT&amp;display_string=Audit&amp;VAR:KEY=HOFIFCDQPI&amp;VAR:QUERY=RkZfRUJJVERBX0lCKCdMVE1TJywzODUxOCk=&amp;WINDOW=FIRST_POPUP&amp;HEIGHT=450&amp;WIDTH=450&amp;START_MA","XIMIZED=FALSE&amp;VAR:CALENDAR=US&amp;VAR:SYMBOL=37183T10&amp;VAR:INDEX=0"}</definedName>
    <definedName name="_5367__FDSAUDITLINK__" hidden="1">{"fdsup://directions/FAT Viewer?action=UPDATE&amp;creator=factset&amp;DYN_ARGS=TRUE&amp;DOC_NAME=FAT:FQL_AUDITING_CLIENT_TEMPLATE.FAT&amp;display_string=Audit&amp;VAR:KEY=HOFIFCDQPI&amp;VAR:QUERY=RkZfRUJJVERBX0lCKCdMVE1TJywzODUxOCk=&amp;WINDOW=FIRST_POPUP&amp;HEIGHT=450&amp;WIDTH=450&amp;START_MA","XIMIZED=FALSE&amp;VAR:CALENDAR=US&amp;VAR:SYMBOL=37183T10&amp;VAR:INDEX=0"}</definedName>
    <definedName name="_5368__FDSAUDITLINK__" localSheetId="6" hidden="1">{"fdsup://directions/FAT Viewer?action=UPDATE&amp;creator=factset&amp;DYN_ARGS=TRUE&amp;DOC_NAME=FAT:FQL_AUDITING_CLIENT_TEMPLATE.FAT&amp;display_string=Audit&amp;VAR:KEY=TQDANSNMXW&amp;VAR:QUERY=RkZfRUJJVERBX0lCKCdMVE1TJywzODUxNyk=&amp;WINDOW=FIRST_POPUP&amp;HEIGHT=450&amp;WIDTH=450&amp;START_MA","XIMIZED=FALSE&amp;VAR:CALENDAR=US&amp;VAR:SYMBOL=37183T10&amp;VAR:INDEX=0"}</definedName>
    <definedName name="_5368__FDSAUDITLINK__" hidden="1">{"fdsup://directions/FAT Viewer?action=UPDATE&amp;creator=factset&amp;DYN_ARGS=TRUE&amp;DOC_NAME=FAT:FQL_AUDITING_CLIENT_TEMPLATE.FAT&amp;display_string=Audit&amp;VAR:KEY=TQDANSNMXW&amp;VAR:QUERY=RkZfRUJJVERBX0lCKCdMVE1TJywzODUxNyk=&amp;WINDOW=FIRST_POPUP&amp;HEIGHT=450&amp;WIDTH=450&amp;START_MA","XIMIZED=FALSE&amp;VAR:CALENDAR=US&amp;VAR:SYMBOL=37183T10&amp;VAR:INDEX=0"}</definedName>
    <definedName name="_5369__FDSAUDITLINK__" localSheetId="6" hidden="1">{"fdsup://directions/FAT Viewer?action=UPDATE&amp;creator=factset&amp;DYN_ARGS=TRUE&amp;DOC_NAME=FAT:FQL_AUDITING_CLIENT_TEMPLATE.FAT&amp;display_string=Audit&amp;VAR:KEY=TEVEDOPQXW&amp;VAR:QUERY=RkZfRUJJVERBX0lCKCdMVE1TJywzODUxNik=&amp;WINDOW=FIRST_POPUP&amp;HEIGHT=450&amp;WIDTH=450&amp;START_MA","XIMIZED=FALSE&amp;VAR:CALENDAR=US&amp;VAR:SYMBOL=37183T10&amp;VAR:INDEX=0"}</definedName>
    <definedName name="_5369__FDSAUDITLINK__" hidden="1">{"fdsup://directions/FAT Viewer?action=UPDATE&amp;creator=factset&amp;DYN_ARGS=TRUE&amp;DOC_NAME=FAT:FQL_AUDITING_CLIENT_TEMPLATE.FAT&amp;display_string=Audit&amp;VAR:KEY=TEVEDOPQXW&amp;VAR:QUERY=RkZfRUJJVERBX0lCKCdMVE1TJywzODUxNik=&amp;WINDOW=FIRST_POPUP&amp;HEIGHT=450&amp;WIDTH=450&amp;START_MA","XIMIZED=FALSE&amp;VAR:CALENDAR=US&amp;VAR:SYMBOL=37183T10&amp;VAR:INDEX=0"}</definedName>
    <definedName name="_537__FDSAUDITLINK__" localSheetId="6" hidden="1">{"fdsup://directions/FAT%20Viewer?VAR:PED=LTM&amp;VAR:AUDIT_MODE=SUMMARY&amp;VAR:PERIOD=FIXED&amp;VAR:AUDIT_ID=00000117&amp;VAR:DATE=20080902&amp;action=UPDATE&amp;creator=factset&amp;DOC_NAME=FAT:FMA_audit_SUMMARY.fat&amp;DISPLAY_STRING=Display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7__FDSAUDITLINK__" hidden="1">{"fdsup://directions/FAT%20Viewer?VAR:PED=LTM&amp;VAR:AUDIT_MODE=SUMMARY&amp;VAR:PERIOD=FIXED&amp;VAR:AUDIT_ID=00000117&amp;VAR:DATE=20080902&amp;action=UPDATE&amp;creator=factset&amp;DOC_NAME=FAT:FMA_audit_SUMMARY.fat&amp;DISPLAY_STRING=Display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EBITDA&amp;VAR:CHGPERIOD=NA&amp;VAR:FQLFORMULA=FMA_EVAL_EBITDA&amp;VAR:CURRENCY=NA&amp;VAR:P=NA&amp;VAR:V=10.7","10135&amp;VAR:null=.html"}</definedName>
    <definedName name="_5370__FDSAUDITLINK__" localSheetId="6" hidden="1">{"fdsup://directions/FAT Viewer?action=UPDATE&amp;creator=factset&amp;DYN_ARGS=TRUE&amp;DOC_NAME=FAT:FQL_AUDITING_CLIENT_TEMPLATE.FAT&amp;display_string=Audit&amp;VAR:KEY=DEBEHIPIHS&amp;VAR:QUERY=RkZfRUJJVERBX0lCKCdMVE1TJywzODUxNSk=&amp;WINDOW=FIRST_POPUP&amp;HEIGHT=450&amp;WIDTH=450&amp;START_MA","XIMIZED=FALSE&amp;VAR:CALENDAR=US&amp;VAR:SYMBOL=37183T10&amp;VAR:INDEX=0"}</definedName>
    <definedName name="_5370__FDSAUDITLINK__" hidden="1">{"fdsup://directions/FAT Viewer?action=UPDATE&amp;creator=factset&amp;DYN_ARGS=TRUE&amp;DOC_NAME=FAT:FQL_AUDITING_CLIENT_TEMPLATE.FAT&amp;display_string=Audit&amp;VAR:KEY=DEBEHIPIHS&amp;VAR:QUERY=RkZfRUJJVERBX0lCKCdMVE1TJywzODUxNSk=&amp;WINDOW=FIRST_POPUP&amp;HEIGHT=450&amp;WIDTH=450&amp;START_MA","XIMIZED=FALSE&amp;VAR:CALENDAR=US&amp;VAR:SYMBOL=37183T10&amp;VAR:INDEX=0"}</definedName>
    <definedName name="_5371__FDSAUDITLINK__" localSheetId="6" hidden="1">{"fdsup://directions/FAT Viewer?action=UPDATE&amp;creator=factset&amp;DYN_ARGS=TRUE&amp;DOC_NAME=FAT:FQL_AUDITING_CLIENT_TEMPLATE.FAT&amp;display_string=Audit&amp;VAR:KEY=ZMXQRWNKVW&amp;VAR:QUERY=RkZfRUJJVERBX0lCKCdMVE1TJywzODUxNCk=&amp;WINDOW=FIRST_POPUP&amp;HEIGHT=450&amp;WIDTH=450&amp;START_MA","XIMIZED=FALSE&amp;VAR:CALENDAR=US&amp;VAR:SYMBOL=37183T10&amp;VAR:INDEX=0"}</definedName>
    <definedName name="_5371__FDSAUDITLINK__" hidden="1">{"fdsup://directions/FAT Viewer?action=UPDATE&amp;creator=factset&amp;DYN_ARGS=TRUE&amp;DOC_NAME=FAT:FQL_AUDITING_CLIENT_TEMPLATE.FAT&amp;display_string=Audit&amp;VAR:KEY=ZMXQRWNKVW&amp;VAR:QUERY=RkZfRUJJVERBX0lCKCdMVE1TJywzODUxNCk=&amp;WINDOW=FIRST_POPUP&amp;HEIGHT=450&amp;WIDTH=450&amp;START_MA","XIMIZED=FALSE&amp;VAR:CALENDAR=US&amp;VAR:SYMBOL=37183T10&amp;VAR:INDEX=0"}</definedName>
    <definedName name="_5372__FDSAUDITLINK__" localSheetId="6" hidden="1">{"fdsup://directions/FAT Viewer?action=UPDATE&amp;creator=factset&amp;DYN_ARGS=TRUE&amp;DOC_NAME=FAT:FQL_AUDITING_CLIENT_TEMPLATE.FAT&amp;display_string=Audit&amp;VAR:KEY=HGBIFSZIFI&amp;VAR:QUERY=RkZfRUJJVERBX0lCKCdMVE1TJywzODUxMyk=&amp;WINDOW=FIRST_POPUP&amp;HEIGHT=450&amp;WIDTH=450&amp;START_MA","XIMIZED=FALSE&amp;VAR:CALENDAR=US&amp;VAR:SYMBOL=37183T10&amp;VAR:INDEX=0"}</definedName>
    <definedName name="_5372__FDSAUDITLINK__" hidden="1">{"fdsup://directions/FAT Viewer?action=UPDATE&amp;creator=factset&amp;DYN_ARGS=TRUE&amp;DOC_NAME=FAT:FQL_AUDITING_CLIENT_TEMPLATE.FAT&amp;display_string=Audit&amp;VAR:KEY=HGBIFSZIFI&amp;VAR:QUERY=RkZfRUJJVERBX0lCKCdMVE1TJywzODUxMyk=&amp;WINDOW=FIRST_POPUP&amp;HEIGHT=450&amp;WIDTH=450&amp;START_MA","XIMIZED=FALSE&amp;VAR:CALENDAR=US&amp;VAR:SYMBOL=37183T10&amp;VAR:INDEX=0"}</definedName>
    <definedName name="_5373__FDSAUDITLINK__" localSheetId="6" hidden="1">{"fdsup://directions/FAT Viewer?action=UPDATE&amp;creator=factset&amp;DYN_ARGS=TRUE&amp;DOC_NAME=FAT:FQL_AUDITING_CLIENT_TEMPLATE.FAT&amp;display_string=Audit&amp;VAR:KEY=HQVAPOTIXC&amp;VAR:QUERY=RkZfRUJJVERBX0lCKCdMVE1TJywzODUxMik=&amp;WINDOW=FIRST_POPUP&amp;HEIGHT=450&amp;WIDTH=450&amp;START_MA","XIMIZED=FALSE&amp;VAR:CALENDAR=US&amp;VAR:SYMBOL=37183T10&amp;VAR:INDEX=0"}</definedName>
    <definedName name="_5373__FDSAUDITLINK__" hidden="1">{"fdsup://directions/FAT Viewer?action=UPDATE&amp;creator=factset&amp;DYN_ARGS=TRUE&amp;DOC_NAME=FAT:FQL_AUDITING_CLIENT_TEMPLATE.FAT&amp;display_string=Audit&amp;VAR:KEY=HQVAPOTIXC&amp;VAR:QUERY=RkZfRUJJVERBX0lCKCdMVE1TJywzODUxMik=&amp;WINDOW=FIRST_POPUP&amp;HEIGHT=450&amp;WIDTH=450&amp;START_MA","XIMIZED=FALSE&amp;VAR:CALENDAR=US&amp;VAR:SYMBOL=37183T10&amp;VAR:INDEX=0"}</definedName>
    <definedName name="_5374__FDSAUDITLINK__" localSheetId="6" hidden="1">{"fdsup://directions/FAT Viewer?action=UPDATE&amp;creator=factset&amp;DYN_ARGS=TRUE&amp;DOC_NAME=FAT:FQL_AUDITING_CLIENT_TEMPLATE.FAT&amp;display_string=Audit&amp;VAR:KEY=BAHWLYNUVM&amp;VAR:QUERY=RkZfRUJJVERBX0lCKCdMVE1TJywzODUxMSk=&amp;WINDOW=FIRST_POPUP&amp;HEIGHT=450&amp;WIDTH=450&amp;START_MA","XIMIZED=FALSE&amp;VAR:CALENDAR=US&amp;VAR:SYMBOL=37183T10&amp;VAR:INDEX=0"}</definedName>
    <definedName name="_5374__FDSAUDITLINK__" hidden="1">{"fdsup://directions/FAT Viewer?action=UPDATE&amp;creator=factset&amp;DYN_ARGS=TRUE&amp;DOC_NAME=FAT:FQL_AUDITING_CLIENT_TEMPLATE.FAT&amp;display_string=Audit&amp;VAR:KEY=BAHWLYNUVM&amp;VAR:QUERY=RkZfRUJJVERBX0lCKCdMVE1TJywzODUxMSk=&amp;WINDOW=FIRST_POPUP&amp;HEIGHT=450&amp;WIDTH=450&amp;START_MA","XIMIZED=FALSE&amp;VAR:CALENDAR=US&amp;VAR:SYMBOL=37183T10&amp;VAR:INDEX=0"}</definedName>
    <definedName name="_5375__FDSAUDITLINK__" localSheetId="6" hidden="1">{"fdsup://directions/FAT Viewer?action=UPDATE&amp;creator=factset&amp;DYN_ARGS=TRUE&amp;DOC_NAME=FAT:FQL_AUDITING_CLIENT_TEMPLATE.FAT&amp;display_string=Audit&amp;VAR:KEY=TOZQZMZGPG&amp;VAR:QUERY=RkZfRUJJVERBX0lCKCdMVE1TJywzODUxMCk=&amp;WINDOW=FIRST_POPUP&amp;HEIGHT=450&amp;WIDTH=450&amp;START_MA","XIMIZED=FALSE&amp;VAR:CALENDAR=US&amp;VAR:SYMBOL=37183T10&amp;VAR:INDEX=0"}</definedName>
    <definedName name="_5375__FDSAUDITLINK__" hidden="1">{"fdsup://directions/FAT Viewer?action=UPDATE&amp;creator=factset&amp;DYN_ARGS=TRUE&amp;DOC_NAME=FAT:FQL_AUDITING_CLIENT_TEMPLATE.FAT&amp;display_string=Audit&amp;VAR:KEY=TOZQZMZGPG&amp;VAR:QUERY=RkZfRUJJVERBX0lCKCdMVE1TJywzODUxMCk=&amp;WINDOW=FIRST_POPUP&amp;HEIGHT=450&amp;WIDTH=450&amp;START_MA","XIMIZED=FALSE&amp;VAR:CALENDAR=US&amp;VAR:SYMBOL=37183T10&amp;VAR:INDEX=0"}</definedName>
    <definedName name="_5376__FDSAUDITLINK__" localSheetId="6" hidden="1">{"fdsup://directions/FAT Viewer?action=UPDATE&amp;creator=factset&amp;DYN_ARGS=TRUE&amp;DOC_NAME=FAT:FQL_AUDITING_CLIENT_TEMPLATE.FAT&amp;display_string=Audit&amp;VAR:KEY=TWXQRORANS&amp;VAR:QUERY=RkZfRUJJVERBX0lCKCdMVE1TJywzODUwOSk=&amp;WINDOW=FIRST_POPUP&amp;HEIGHT=450&amp;WIDTH=450&amp;START_MA","XIMIZED=FALSE&amp;VAR:CALENDAR=US&amp;VAR:SYMBOL=37183T10&amp;VAR:INDEX=0"}</definedName>
    <definedName name="_5376__FDSAUDITLINK__" hidden="1">{"fdsup://directions/FAT Viewer?action=UPDATE&amp;creator=factset&amp;DYN_ARGS=TRUE&amp;DOC_NAME=FAT:FQL_AUDITING_CLIENT_TEMPLATE.FAT&amp;display_string=Audit&amp;VAR:KEY=TWXQRORANS&amp;VAR:QUERY=RkZfRUJJVERBX0lCKCdMVE1TJywzODUwOSk=&amp;WINDOW=FIRST_POPUP&amp;HEIGHT=450&amp;WIDTH=450&amp;START_MA","XIMIZED=FALSE&amp;VAR:CALENDAR=US&amp;VAR:SYMBOL=37183T10&amp;VAR:INDEX=0"}</definedName>
    <definedName name="_5377__FDSAUDITLINK__" localSheetId="6" hidden="1">{"fdsup://directions/FAT Viewer?action=UPDATE&amp;creator=factset&amp;DYN_ARGS=TRUE&amp;DOC_NAME=FAT:FQL_AUDITING_CLIENT_TEMPLATE.FAT&amp;display_string=Audit&amp;VAR:KEY=LONOPGXEZO&amp;VAR:QUERY=RkZfRUJJVERBX0lCKCdMVE1TJywzODUwOCk=&amp;WINDOW=FIRST_POPUP&amp;HEIGHT=450&amp;WIDTH=450&amp;START_MA","XIMIZED=FALSE&amp;VAR:CALENDAR=US&amp;VAR:SYMBOL=37183T10&amp;VAR:INDEX=0"}</definedName>
    <definedName name="_5377__FDSAUDITLINK__" hidden="1">{"fdsup://directions/FAT Viewer?action=UPDATE&amp;creator=factset&amp;DYN_ARGS=TRUE&amp;DOC_NAME=FAT:FQL_AUDITING_CLIENT_TEMPLATE.FAT&amp;display_string=Audit&amp;VAR:KEY=LONOPGXEZO&amp;VAR:QUERY=RkZfRUJJVERBX0lCKCdMVE1TJywzODUwOCk=&amp;WINDOW=FIRST_POPUP&amp;HEIGHT=450&amp;WIDTH=450&amp;START_MA","XIMIZED=FALSE&amp;VAR:CALENDAR=US&amp;VAR:SYMBOL=37183T10&amp;VAR:INDEX=0"}</definedName>
    <definedName name="_5378__FDSAUDITLINK__" localSheetId="6" hidden="1">{"fdsup://directions/FAT Viewer?action=UPDATE&amp;creator=factset&amp;DYN_ARGS=TRUE&amp;DOC_NAME=FAT:FQL_AUDITING_CLIENT_TEMPLATE.FAT&amp;display_string=Audit&amp;VAR:KEY=JYHWLILSRQ&amp;VAR:QUERY=RkZfRUJJVERBX0lCKCdMVE1TJywzODUwNyk=&amp;WINDOW=FIRST_POPUP&amp;HEIGHT=450&amp;WIDTH=450&amp;START_MA","XIMIZED=FALSE&amp;VAR:CALENDAR=US&amp;VAR:SYMBOL=37183T10&amp;VAR:INDEX=0"}</definedName>
    <definedName name="_5378__FDSAUDITLINK__" hidden="1">{"fdsup://directions/FAT Viewer?action=UPDATE&amp;creator=factset&amp;DYN_ARGS=TRUE&amp;DOC_NAME=FAT:FQL_AUDITING_CLIENT_TEMPLATE.FAT&amp;display_string=Audit&amp;VAR:KEY=JYHWLILSRQ&amp;VAR:QUERY=RkZfRUJJVERBX0lCKCdMVE1TJywzODUwNyk=&amp;WINDOW=FIRST_POPUP&amp;HEIGHT=450&amp;WIDTH=450&amp;START_MA","XIMIZED=FALSE&amp;VAR:CALENDAR=US&amp;VAR:SYMBOL=37183T10&amp;VAR:INDEX=0"}</definedName>
    <definedName name="_5379__FDSAUDITLINK__" localSheetId="6" hidden="1">{"fdsup://directions/FAT Viewer?action=UPDATE&amp;creator=factset&amp;DYN_ARGS=TRUE&amp;DOC_NAME=FAT:FQL_AUDITING_CLIENT_TEMPLATE.FAT&amp;display_string=Audit&amp;VAR:KEY=PAJUBUREDO&amp;VAR:QUERY=RkZfRUJJVERBX0lCKCdMVE1TJywzODUwNik=&amp;WINDOW=FIRST_POPUP&amp;HEIGHT=450&amp;WIDTH=450&amp;START_MA","XIMIZED=FALSE&amp;VAR:CALENDAR=US&amp;VAR:SYMBOL=37183T10&amp;VAR:INDEX=0"}</definedName>
    <definedName name="_5379__FDSAUDITLINK__" hidden="1">{"fdsup://directions/FAT Viewer?action=UPDATE&amp;creator=factset&amp;DYN_ARGS=TRUE&amp;DOC_NAME=FAT:FQL_AUDITING_CLIENT_TEMPLATE.FAT&amp;display_string=Audit&amp;VAR:KEY=PAJUBUREDO&amp;VAR:QUERY=RkZfRUJJVERBX0lCKCdMVE1TJywzODUwNik=&amp;WINDOW=FIRST_POPUP&amp;HEIGHT=450&amp;WIDTH=450&amp;START_MA","XIMIZED=FALSE&amp;VAR:CALENDAR=US&amp;VAR:SYMBOL=37183T10&amp;VAR:INDEX=0"}</definedName>
    <definedName name="_538__FDSAUDITLINK__" localSheetId="6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38__FDSAUDITLINK__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380__FDSAUDITLINK__" localSheetId="6" hidden="1">{"fdsup://directions/FAT Viewer?action=UPDATE&amp;creator=factset&amp;DYN_ARGS=TRUE&amp;DOC_NAME=FAT:FQL_AUDITING_CLIENT_TEMPLATE.FAT&amp;display_string=Audit&amp;VAR:KEY=XYFCPKDIHE&amp;VAR:QUERY=RkZfRUJJVERBX0lCKCdMVE1TJywzODUwNSk=&amp;WINDOW=FIRST_POPUP&amp;HEIGHT=450&amp;WIDTH=450&amp;START_MA","XIMIZED=FALSE&amp;VAR:CALENDAR=US&amp;VAR:SYMBOL=37183T10&amp;VAR:INDEX=0"}</definedName>
    <definedName name="_5380__FDSAUDITLINK__" hidden="1">{"fdsup://directions/FAT Viewer?action=UPDATE&amp;creator=factset&amp;DYN_ARGS=TRUE&amp;DOC_NAME=FAT:FQL_AUDITING_CLIENT_TEMPLATE.FAT&amp;display_string=Audit&amp;VAR:KEY=XYFCPKDIHE&amp;VAR:QUERY=RkZfRUJJVERBX0lCKCdMVE1TJywzODUwNSk=&amp;WINDOW=FIRST_POPUP&amp;HEIGHT=450&amp;WIDTH=450&amp;START_MA","XIMIZED=FALSE&amp;VAR:CALENDAR=US&amp;VAR:SYMBOL=37183T10&amp;VAR:INDEX=0"}</definedName>
    <definedName name="_5381__FDSAUDITLINK__" localSheetId="6" hidden="1">{"fdsup://directions/FAT Viewer?action=UPDATE&amp;creator=factset&amp;DYN_ARGS=TRUE&amp;DOC_NAME=FAT:FQL_AUDITING_CLIENT_TEMPLATE.FAT&amp;display_string=Audit&amp;VAR:KEY=XULUTWZMRC&amp;VAR:QUERY=RkZfRUJJVERBX0lCKCdMVE1TJywzODUwNCk=&amp;WINDOW=FIRST_POPUP&amp;HEIGHT=450&amp;WIDTH=450&amp;START_MA","XIMIZED=FALSE&amp;VAR:CALENDAR=US&amp;VAR:SYMBOL=37183T10&amp;VAR:INDEX=0"}</definedName>
    <definedName name="_5381__FDSAUDITLINK__" hidden="1">{"fdsup://directions/FAT Viewer?action=UPDATE&amp;creator=factset&amp;DYN_ARGS=TRUE&amp;DOC_NAME=FAT:FQL_AUDITING_CLIENT_TEMPLATE.FAT&amp;display_string=Audit&amp;VAR:KEY=XULUTWZMRC&amp;VAR:QUERY=RkZfRUJJVERBX0lCKCdMVE1TJywzODUwNCk=&amp;WINDOW=FIRST_POPUP&amp;HEIGHT=450&amp;WIDTH=450&amp;START_MA","XIMIZED=FALSE&amp;VAR:CALENDAR=US&amp;VAR:SYMBOL=37183T10&amp;VAR:INDEX=0"}</definedName>
    <definedName name="_5382__FDSAUDITLINK__" localSheetId="6" hidden="1">{"fdsup://directions/FAT Viewer?action=UPDATE&amp;creator=factset&amp;DYN_ARGS=TRUE&amp;DOC_NAME=FAT:FQL_AUDITING_CLIENT_TEMPLATE.FAT&amp;display_string=Audit&amp;VAR:KEY=LEHEFOBYXA&amp;VAR:QUERY=RkZfRUJJVERBX0lCKCdMVE1TJywzODUwMyk=&amp;WINDOW=FIRST_POPUP&amp;HEIGHT=450&amp;WIDTH=450&amp;START_MA","XIMIZED=FALSE&amp;VAR:CALENDAR=US&amp;VAR:SYMBOL=37183T10&amp;VAR:INDEX=0"}</definedName>
    <definedName name="_5382__FDSAUDITLINK__" hidden="1">{"fdsup://directions/FAT Viewer?action=UPDATE&amp;creator=factset&amp;DYN_ARGS=TRUE&amp;DOC_NAME=FAT:FQL_AUDITING_CLIENT_TEMPLATE.FAT&amp;display_string=Audit&amp;VAR:KEY=LEHEFOBYXA&amp;VAR:QUERY=RkZfRUJJVERBX0lCKCdMVE1TJywzODUwMyk=&amp;WINDOW=FIRST_POPUP&amp;HEIGHT=450&amp;WIDTH=450&amp;START_MA","XIMIZED=FALSE&amp;VAR:CALENDAR=US&amp;VAR:SYMBOL=37183T10&amp;VAR:INDEX=0"}</definedName>
    <definedName name="_5383__FDSAUDITLINK__" localSheetId="6" hidden="1">{"fdsup://directions/FAT Viewer?action=UPDATE&amp;creator=factset&amp;DYN_ARGS=TRUE&amp;DOC_NAME=FAT:FQL_AUDITING_CLIENT_TEMPLATE.FAT&amp;display_string=Audit&amp;VAR:KEY=DELGHKZMNU&amp;VAR:QUERY=RkZfRUJJVERBX0lCKCdMVE1TJywzODUwMik=&amp;WINDOW=FIRST_POPUP&amp;HEIGHT=450&amp;WIDTH=450&amp;START_MA","XIMIZED=FALSE&amp;VAR:CALENDAR=US&amp;VAR:SYMBOL=37183T10&amp;VAR:INDEX=0"}</definedName>
    <definedName name="_5383__FDSAUDITLINK__" hidden="1">{"fdsup://directions/FAT Viewer?action=UPDATE&amp;creator=factset&amp;DYN_ARGS=TRUE&amp;DOC_NAME=FAT:FQL_AUDITING_CLIENT_TEMPLATE.FAT&amp;display_string=Audit&amp;VAR:KEY=DELGHKZMNU&amp;VAR:QUERY=RkZfRUJJVERBX0lCKCdMVE1TJywzODUwMik=&amp;WINDOW=FIRST_POPUP&amp;HEIGHT=450&amp;WIDTH=450&amp;START_MA","XIMIZED=FALSE&amp;VAR:CALENDAR=US&amp;VAR:SYMBOL=37183T10&amp;VAR:INDEX=0"}</definedName>
    <definedName name="_5384__FDSAUDITLINK__" localSheetId="6" hidden="1">{"fdsup://directions/FAT Viewer?action=UPDATE&amp;creator=factset&amp;DYN_ARGS=TRUE&amp;DOC_NAME=FAT:FQL_AUDITING_CLIENT_TEMPLATE.FAT&amp;display_string=Audit&amp;VAR:KEY=XCTCXYTGDM&amp;VAR:QUERY=RkZfRUJJVERBX0lCKCdMVE1TJywzODUwMSk=&amp;WINDOW=FIRST_POPUP&amp;HEIGHT=450&amp;WIDTH=450&amp;START_MA","XIMIZED=FALSE&amp;VAR:CALENDAR=US&amp;VAR:SYMBOL=37183T10&amp;VAR:INDEX=0"}</definedName>
    <definedName name="_5384__FDSAUDITLINK__" hidden="1">{"fdsup://directions/FAT Viewer?action=UPDATE&amp;creator=factset&amp;DYN_ARGS=TRUE&amp;DOC_NAME=FAT:FQL_AUDITING_CLIENT_TEMPLATE.FAT&amp;display_string=Audit&amp;VAR:KEY=XCTCXYTGDM&amp;VAR:QUERY=RkZfRUJJVERBX0lCKCdMVE1TJywzODUwMSk=&amp;WINDOW=FIRST_POPUP&amp;HEIGHT=450&amp;WIDTH=450&amp;START_MA","XIMIZED=FALSE&amp;VAR:CALENDAR=US&amp;VAR:SYMBOL=37183T10&amp;VAR:INDEX=0"}</definedName>
    <definedName name="_5385__FDSAUDITLINK__" localSheetId="6" hidden="1">{"fdsup://directions/FAT Viewer?action=UPDATE&amp;creator=factset&amp;DYN_ARGS=TRUE&amp;DOC_NAME=FAT:FQL_AUDITING_CLIENT_TEMPLATE.FAT&amp;display_string=Audit&amp;VAR:KEY=RCHALQPMDY&amp;VAR:QUERY=RkZfRUJJVERBX0lCKCdMVE1TJywzODUwMCk=&amp;WINDOW=FIRST_POPUP&amp;HEIGHT=450&amp;WIDTH=450&amp;START_MA","XIMIZED=FALSE&amp;VAR:CALENDAR=US&amp;VAR:SYMBOL=37183T10&amp;VAR:INDEX=0"}</definedName>
    <definedName name="_5385__FDSAUDITLINK__" hidden="1">{"fdsup://directions/FAT Viewer?action=UPDATE&amp;creator=factset&amp;DYN_ARGS=TRUE&amp;DOC_NAME=FAT:FQL_AUDITING_CLIENT_TEMPLATE.FAT&amp;display_string=Audit&amp;VAR:KEY=RCHALQPMDY&amp;VAR:QUERY=RkZfRUJJVERBX0lCKCdMVE1TJywzODUwMCk=&amp;WINDOW=FIRST_POPUP&amp;HEIGHT=450&amp;WIDTH=450&amp;START_MA","XIMIZED=FALSE&amp;VAR:CALENDAR=US&amp;VAR:SYMBOL=37183T10&amp;VAR:INDEX=0"}</definedName>
    <definedName name="_5386__FDSAUDITLINK__" localSheetId="6" hidden="1">{"fdsup://directions/FAT Viewer?action=UPDATE&amp;creator=factset&amp;DYN_ARGS=TRUE&amp;DOC_NAME=FAT:FQL_AUDITING_CLIENT_TEMPLATE.FAT&amp;display_string=Audit&amp;VAR:KEY=DWNWBQVEZM&amp;VAR:QUERY=RkZfRUJJVERBX0lCKCdMVE1TJywzODQ5OSk=&amp;WINDOW=FIRST_POPUP&amp;HEIGHT=450&amp;WIDTH=450&amp;START_MA","XIMIZED=FALSE&amp;VAR:CALENDAR=US&amp;VAR:SYMBOL=37183T10&amp;VAR:INDEX=0"}</definedName>
    <definedName name="_5386__FDSAUDITLINK__" hidden="1">{"fdsup://directions/FAT Viewer?action=UPDATE&amp;creator=factset&amp;DYN_ARGS=TRUE&amp;DOC_NAME=FAT:FQL_AUDITING_CLIENT_TEMPLATE.FAT&amp;display_string=Audit&amp;VAR:KEY=DWNWBQVEZM&amp;VAR:QUERY=RkZfRUJJVERBX0lCKCdMVE1TJywzODQ5OSk=&amp;WINDOW=FIRST_POPUP&amp;HEIGHT=450&amp;WIDTH=450&amp;START_MA","XIMIZED=FALSE&amp;VAR:CALENDAR=US&amp;VAR:SYMBOL=37183T10&amp;VAR:INDEX=0"}</definedName>
    <definedName name="_5387__FDSAUDITLINK__" localSheetId="6" hidden="1">{"fdsup://directions/FAT Viewer?action=UPDATE&amp;creator=factset&amp;DYN_ARGS=TRUE&amp;DOC_NAME=FAT:FQL_AUDITING_CLIENT_TEMPLATE.FAT&amp;display_string=Audit&amp;VAR:KEY=DIDGBSFMRM&amp;VAR:QUERY=RkZfRUJJVERBX0lCKCdMVE1TJywzODQ5OCk=&amp;WINDOW=FIRST_POPUP&amp;HEIGHT=450&amp;WIDTH=450&amp;START_MA","XIMIZED=FALSE&amp;VAR:CALENDAR=US&amp;VAR:SYMBOL=37183T10&amp;VAR:INDEX=0"}</definedName>
    <definedName name="_5387__FDSAUDITLINK__" hidden="1">{"fdsup://directions/FAT Viewer?action=UPDATE&amp;creator=factset&amp;DYN_ARGS=TRUE&amp;DOC_NAME=FAT:FQL_AUDITING_CLIENT_TEMPLATE.FAT&amp;display_string=Audit&amp;VAR:KEY=DIDGBSFMRM&amp;VAR:QUERY=RkZfRUJJVERBX0lCKCdMVE1TJywzODQ5OCk=&amp;WINDOW=FIRST_POPUP&amp;HEIGHT=450&amp;WIDTH=450&amp;START_MA","XIMIZED=FALSE&amp;VAR:CALENDAR=US&amp;VAR:SYMBOL=37183T10&amp;VAR:INDEX=0"}</definedName>
    <definedName name="_5388__FDSAUDITLINK__" localSheetId="6" hidden="1">{"fdsup://directions/FAT Viewer?action=UPDATE&amp;creator=factset&amp;DYN_ARGS=TRUE&amp;DOC_NAME=FAT:FQL_AUDITING_CLIENT_TEMPLATE.FAT&amp;display_string=Audit&amp;VAR:KEY=LIVMXWPULI&amp;VAR:QUERY=RkZfRUJJVERBX0lCKCdMVE1TJywzODQ5Nyk=&amp;WINDOW=FIRST_POPUP&amp;HEIGHT=450&amp;WIDTH=450&amp;START_MA","XIMIZED=FALSE&amp;VAR:CALENDAR=US&amp;VAR:SYMBOL=37183T10&amp;VAR:INDEX=0"}</definedName>
    <definedName name="_5388__FDSAUDITLINK__" hidden="1">{"fdsup://directions/FAT Viewer?action=UPDATE&amp;creator=factset&amp;DYN_ARGS=TRUE&amp;DOC_NAME=FAT:FQL_AUDITING_CLIENT_TEMPLATE.FAT&amp;display_string=Audit&amp;VAR:KEY=LIVMXWPULI&amp;VAR:QUERY=RkZfRUJJVERBX0lCKCdMVE1TJywzODQ5Nyk=&amp;WINDOW=FIRST_POPUP&amp;HEIGHT=450&amp;WIDTH=450&amp;START_MA","XIMIZED=FALSE&amp;VAR:CALENDAR=US&amp;VAR:SYMBOL=37183T10&amp;VAR:INDEX=0"}</definedName>
    <definedName name="_5389__FDSAUDITLINK__" localSheetId="6" hidden="1">{"fdsup://directions/FAT Viewer?action=UPDATE&amp;creator=factset&amp;DYN_ARGS=TRUE&amp;DOC_NAME=FAT:FQL_AUDITING_CLIENT_TEMPLATE.FAT&amp;display_string=Audit&amp;VAR:KEY=JWRWJMJYFI&amp;VAR:QUERY=RkZfRUJJVERBX0lCKCdMVE1TJywzODQ5Nik=&amp;WINDOW=FIRST_POPUP&amp;HEIGHT=450&amp;WIDTH=450&amp;START_MA","XIMIZED=FALSE&amp;VAR:CALENDAR=US&amp;VAR:SYMBOL=37183T10&amp;VAR:INDEX=0"}</definedName>
    <definedName name="_5389__FDSAUDITLINK__" hidden="1">{"fdsup://directions/FAT Viewer?action=UPDATE&amp;creator=factset&amp;DYN_ARGS=TRUE&amp;DOC_NAME=FAT:FQL_AUDITING_CLIENT_TEMPLATE.FAT&amp;display_string=Audit&amp;VAR:KEY=JWRWJMJYFI&amp;VAR:QUERY=RkZfRUJJVERBX0lCKCdMVE1TJywzODQ5Nik=&amp;WINDOW=FIRST_POPUP&amp;HEIGHT=450&amp;WIDTH=450&amp;START_MA","XIMIZED=FALSE&amp;VAR:CALENDAR=US&amp;VAR:SYMBOL=37183T10&amp;VAR:INDEX=0"}</definedName>
    <definedName name="_539__FDSAUDITLINK__" localSheetId="6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39__FDSAUDITLINK__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390__FDSAUDITLINK__" localSheetId="6" hidden="1">{"fdsup://directions/FAT Viewer?action=UPDATE&amp;creator=factset&amp;DYN_ARGS=TRUE&amp;DOC_NAME=FAT:FQL_AUDITING_CLIENT_TEMPLATE.FAT&amp;display_string=Audit&amp;VAR:KEY=HKZCRSVMNW&amp;VAR:QUERY=RkZfRUJJVERBX0lCKCdMVE1TJywzODQ5NSk=&amp;WINDOW=FIRST_POPUP&amp;HEIGHT=450&amp;WIDTH=450&amp;START_MA","XIMIZED=FALSE&amp;VAR:CALENDAR=US&amp;VAR:SYMBOL=37183T10&amp;VAR:INDEX=0"}</definedName>
    <definedName name="_5390__FDSAUDITLINK__" hidden="1">{"fdsup://directions/FAT Viewer?action=UPDATE&amp;creator=factset&amp;DYN_ARGS=TRUE&amp;DOC_NAME=FAT:FQL_AUDITING_CLIENT_TEMPLATE.FAT&amp;display_string=Audit&amp;VAR:KEY=HKZCRSVMNW&amp;VAR:QUERY=RkZfRUJJVERBX0lCKCdMVE1TJywzODQ5NSk=&amp;WINDOW=FIRST_POPUP&amp;HEIGHT=450&amp;WIDTH=450&amp;START_MA","XIMIZED=FALSE&amp;VAR:CALENDAR=US&amp;VAR:SYMBOL=37183T10&amp;VAR:INDEX=0"}</definedName>
    <definedName name="_5391__FDSAUDITLINK__" localSheetId="6" hidden="1">{"fdsup://directions/FAT Viewer?action=UPDATE&amp;creator=factset&amp;DYN_ARGS=TRUE&amp;DOC_NAME=FAT:FQL_AUDITING_CLIENT_TEMPLATE.FAT&amp;display_string=Audit&amp;VAR:KEY=LMPUPOVYTY&amp;VAR:QUERY=RkZfRUJJVERBX0lCKCdMVE1TJywzODQ5NCk=&amp;WINDOW=FIRST_POPUP&amp;HEIGHT=450&amp;WIDTH=450&amp;START_MA","XIMIZED=FALSE&amp;VAR:CALENDAR=US&amp;VAR:SYMBOL=37183T10&amp;VAR:INDEX=0"}</definedName>
    <definedName name="_5391__FDSAUDITLINK__" hidden="1">{"fdsup://directions/FAT Viewer?action=UPDATE&amp;creator=factset&amp;DYN_ARGS=TRUE&amp;DOC_NAME=FAT:FQL_AUDITING_CLIENT_TEMPLATE.FAT&amp;display_string=Audit&amp;VAR:KEY=LMPUPOVYTY&amp;VAR:QUERY=RkZfRUJJVERBX0lCKCdMVE1TJywzODQ5NCk=&amp;WINDOW=FIRST_POPUP&amp;HEIGHT=450&amp;WIDTH=450&amp;START_MA","XIMIZED=FALSE&amp;VAR:CALENDAR=US&amp;VAR:SYMBOL=37183T10&amp;VAR:INDEX=0"}</definedName>
    <definedName name="_5392__FDSAUDITLINK__" localSheetId="6" hidden="1">{"fdsup://directions/FAT Viewer?action=UPDATE&amp;creator=factset&amp;DYN_ARGS=TRUE&amp;DOC_NAME=FAT:FQL_AUDITING_CLIENT_TEMPLATE.FAT&amp;display_string=Audit&amp;VAR:KEY=FAXWDKRSZY&amp;VAR:QUERY=RkZfRUJJVERBX0lCKCdMVE1TJywzODQ5Myk=&amp;WINDOW=FIRST_POPUP&amp;HEIGHT=450&amp;WIDTH=450&amp;START_MA","XIMIZED=FALSE&amp;VAR:CALENDAR=US&amp;VAR:SYMBOL=37183T10&amp;VAR:INDEX=0"}</definedName>
    <definedName name="_5392__FDSAUDITLINK__" hidden="1">{"fdsup://directions/FAT Viewer?action=UPDATE&amp;creator=factset&amp;DYN_ARGS=TRUE&amp;DOC_NAME=FAT:FQL_AUDITING_CLIENT_TEMPLATE.FAT&amp;display_string=Audit&amp;VAR:KEY=FAXWDKRSZY&amp;VAR:QUERY=RkZfRUJJVERBX0lCKCdMVE1TJywzODQ5Myk=&amp;WINDOW=FIRST_POPUP&amp;HEIGHT=450&amp;WIDTH=450&amp;START_MA","XIMIZED=FALSE&amp;VAR:CALENDAR=US&amp;VAR:SYMBOL=37183T10&amp;VAR:INDEX=0"}</definedName>
    <definedName name="_5393__FDSAUDITLINK__" localSheetId="6" hidden="1">{"fdsup://directions/FAT Viewer?action=UPDATE&amp;creator=factset&amp;DYN_ARGS=TRUE&amp;DOC_NAME=FAT:FQL_AUDITING_CLIENT_TEMPLATE.FAT&amp;display_string=Audit&amp;VAR:KEY=VKDQJYDCDA&amp;VAR:QUERY=RkZfRUJJVERBX0lCKCdMVE1TJywzODQ5Mik=&amp;WINDOW=FIRST_POPUP&amp;HEIGHT=450&amp;WIDTH=450&amp;START_MA","XIMIZED=FALSE&amp;VAR:CALENDAR=US&amp;VAR:SYMBOL=37183T10&amp;VAR:INDEX=0"}</definedName>
    <definedName name="_5393__FDSAUDITLINK__" hidden="1">{"fdsup://directions/FAT Viewer?action=UPDATE&amp;creator=factset&amp;DYN_ARGS=TRUE&amp;DOC_NAME=FAT:FQL_AUDITING_CLIENT_TEMPLATE.FAT&amp;display_string=Audit&amp;VAR:KEY=VKDQJYDCDA&amp;VAR:QUERY=RkZfRUJJVERBX0lCKCdMVE1TJywzODQ5Mik=&amp;WINDOW=FIRST_POPUP&amp;HEIGHT=450&amp;WIDTH=450&amp;START_MA","XIMIZED=FALSE&amp;VAR:CALENDAR=US&amp;VAR:SYMBOL=37183T10&amp;VAR:INDEX=0"}</definedName>
    <definedName name="_5394__FDSAUDITLINK__" localSheetId="6" hidden="1">{"fdsup://directions/FAT Viewer?action=UPDATE&amp;creator=factset&amp;DYN_ARGS=TRUE&amp;DOC_NAME=FAT:FQL_AUDITING_CLIENT_TEMPLATE.FAT&amp;display_string=Audit&amp;VAR:KEY=ZEXAJSTMLY&amp;VAR:QUERY=RkZfRUJJVERBX0lCKCdMVE1TJywzODQ5MSk=&amp;WINDOW=FIRST_POPUP&amp;HEIGHT=450&amp;WIDTH=450&amp;START_MA","XIMIZED=FALSE&amp;VAR:CALENDAR=US&amp;VAR:SYMBOL=37183T10&amp;VAR:INDEX=0"}</definedName>
    <definedName name="_5394__FDSAUDITLINK__" hidden="1">{"fdsup://directions/FAT Viewer?action=UPDATE&amp;creator=factset&amp;DYN_ARGS=TRUE&amp;DOC_NAME=FAT:FQL_AUDITING_CLIENT_TEMPLATE.FAT&amp;display_string=Audit&amp;VAR:KEY=ZEXAJSTMLY&amp;VAR:QUERY=RkZfRUJJVERBX0lCKCdMVE1TJywzODQ5MSk=&amp;WINDOW=FIRST_POPUP&amp;HEIGHT=450&amp;WIDTH=450&amp;START_MA","XIMIZED=FALSE&amp;VAR:CALENDAR=US&amp;VAR:SYMBOL=37183T10&amp;VAR:INDEX=0"}</definedName>
    <definedName name="_5395__FDSAUDITLINK__" localSheetId="6" hidden="1">{"fdsup://directions/FAT Viewer?action=UPDATE&amp;creator=factset&amp;DYN_ARGS=TRUE&amp;DOC_NAME=FAT:FQL_AUDITING_CLIENT_TEMPLATE.FAT&amp;display_string=Audit&amp;VAR:KEY=PERWNCZWTK&amp;VAR:QUERY=RkZfRUJJVERBX0lCKCdMVE1TJywzODQ5MCk=&amp;WINDOW=FIRST_POPUP&amp;HEIGHT=450&amp;WIDTH=450&amp;START_MA","XIMIZED=FALSE&amp;VAR:CALENDAR=US&amp;VAR:SYMBOL=37183T10&amp;VAR:INDEX=0"}</definedName>
    <definedName name="_5395__FDSAUDITLINK__" hidden="1">{"fdsup://directions/FAT Viewer?action=UPDATE&amp;creator=factset&amp;DYN_ARGS=TRUE&amp;DOC_NAME=FAT:FQL_AUDITING_CLIENT_TEMPLATE.FAT&amp;display_string=Audit&amp;VAR:KEY=PERWNCZWTK&amp;VAR:QUERY=RkZfRUJJVERBX0lCKCdMVE1TJywzODQ5MCk=&amp;WINDOW=FIRST_POPUP&amp;HEIGHT=450&amp;WIDTH=450&amp;START_MA","XIMIZED=FALSE&amp;VAR:CALENDAR=US&amp;VAR:SYMBOL=37183T10&amp;VAR:INDEX=0"}</definedName>
    <definedName name="_5396__FDSAUDITLINK__" localSheetId="6" hidden="1">{"fdsup://directions/FAT Viewer?action=UPDATE&amp;creator=factset&amp;DYN_ARGS=TRUE&amp;DOC_NAME=FAT:FQL_AUDITING_CLIENT_TEMPLATE.FAT&amp;display_string=Audit&amp;VAR:KEY=XMTWDQVALW&amp;VAR:QUERY=RkZfRUJJVERBX0lCKCdMVE1TJywzODQ4OSk=&amp;WINDOW=FIRST_POPUP&amp;HEIGHT=450&amp;WIDTH=450&amp;START_MA","XIMIZED=FALSE&amp;VAR:CALENDAR=US&amp;VAR:SYMBOL=37183T10&amp;VAR:INDEX=0"}</definedName>
    <definedName name="_5396__FDSAUDITLINK__" hidden="1">{"fdsup://directions/FAT Viewer?action=UPDATE&amp;creator=factset&amp;DYN_ARGS=TRUE&amp;DOC_NAME=FAT:FQL_AUDITING_CLIENT_TEMPLATE.FAT&amp;display_string=Audit&amp;VAR:KEY=XMTWDQVALW&amp;VAR:QUERY=RkZfRUJJVERBX0lCKCdMVE1TJywzODQ4OSk=&amp;WINDOW=FIRST_POPUP&amp;HEIGHT=450&amp;WIDTH=450&amp;START_MA","XIMIZED=FALSE&amp;VAR:CALENDAR=US&amp;VAR:SYMBOL=37183T10&amp;VAR:INDEX=0"}</definedName>
    <definedName name="_5397__FDSAUDITLINK__" localSheetId="6" hidden="1">{"fdsup://directions/FAT Viewer?action=UPDATE&amp;creator=factset&amp;DYN_ARGS=TRUE&amp;DOC_NAME=FAT:FQL_AUDITING_CLIENT_TEMPLATE.FAT&amp;display_string=Audit&amp;VAR:KEY=HWZKLSPIDE&amp;VAR:QUERY=RkZfRUJJVERBX0lCKCdMVE1TJywzODQ4OCk=&amp;WINDOW=FIRST_POPUP&amp;HEIGHT=450&amp;WIDTH=450&amp;START_MA","XIMIZED=FALSE&amp;VAR:CALENDAR=US&amp;VAR:SYMBOL=37183T10&amp;VAR:INDEX=0"}</definedName>
    <definedName name="_5397__FDSAUDITLINK__" hidden="1">{"fdsup://directions/FAT Viewer?action=UPDATE&amp;creator=factset&amp;DYN_ARGS=TRUE&amp;DOC_NAME=FAT:FQL_AUDITING_CLIENT_TEMPLATE.FAT&amp;display_string=Audit&amp;VAR:KEY=HWZKLSPIDE&amp;VAR:QUERY=RkZfRUJJVERBX0lCKCdMVE1TJywzODQ4OCk=&amp;WINDOW=FIRST_POPUP&amp;HEIGHT=450&amp;WIDTH=450&amp;START_MA","XIMIZED=FALSE&amp;VAR:CALENDAR=US&amp;VAR:SYMBOL=37183T10&amp;VAR:INDEX=0"}</definedName>
    <definedName name="_5398__FDSAUDITLINK__" localSheetId="6" hidden="1">{"fdsup://directions/FAT Viewer?action=UPDATE&amp;creator=factset&amp;DYN_ARGS=TRUE&amp;DOC_NAME=FAT:FQL_AUDITING_CLIENT_TEMPLATE.FAT&amp;display_string=Audit&amp;VAR:KEY=DCHSVGHEFK&amp;VAR:QUERY=RkZfRUJJVERBX0lCKCdMVE1TJywzODQ4Nyk=&amp;WINDOW=FIRST_POPUP&amp;HEIGHT=450&amp;WIDTH=450&amp;START_MA","XIMIZED=FALSE&amp;VAR:CALENDAR=US&amp;VAR:SYMBOL=37183T10&amp;VAR:INDEX=0"}</definedName>
    <definedName name="_5398__FDSAUDITLINK__" hidden="1">{"fdsup://directions/FAT Viewer?action=UPDATE&amp;creator=factset&amp;DYN_ARGS=TRUE&amp;DOC_NAME=FAT:FQL_AUDITING_CLIENT_TEMPLATE.FAT&amp;display_string=Audit&amp;VAR:KEY=DCHSVGHEFK&amp;VAR:QUERY=RkZfRUJJVERBX0lCKCdMVE1TJywzODQ4Nyk=&amp;WINDOW=FIRST_POPUP&amp;HEIGHT=450&amp;WIDTH=450&amp;START_MA","XIMIZED=FALSE&amp;VAR:CALENDAR=US&amp;VAR:SYMBOL=37183T10&amp;VAR:INDEX=0"}</definedName>
    <definedName name="_5399__FDSAUDITLINK__" localSheetId="6" hidden="1">{"fdsup://directions/FAT Viewer?action=UPDATE&amp;creator=factset&amp;DYN_ARGS=TRUE&amp;DOC_NAME=FAT:FQL_AUDITING_CLIENT_TEMPLATE.FAT&amp;display_string=Audit&amp;VAR:KEY=FGJUTCJOVS&amp;VAR:QUERY=RkZfRUJJVERBX0lCKCdMVE1TJywzODQ4Nik=&amp;WINDOW=FIRST_POPUP&amp;HEIGHT=450&amp;WIDTH=450&amp;START_MA","XIMIZED=FALSE&amp;VAR:CALENDAR=US&amp;VAR:SYMBOL=37183T10&amp;VAR:INDEX=0"}</definedName>
    <definedName name="_5399__FDSAUDITLINK__" hidden="1">{"fdsup://directions/FAT Viewer?action=UPDATE&amp;creator=factset&amp;DYN_ARGS=TRUE&amp;DOC_NAME=FAT:FQL_AUDITING_CLIENT_TEMPLATE.FAT&amp;display_string=Audit&amp;VAR:KEY=FGJUTCJOVS&amp;VAR:QUERY=RkZfRUJJVERBX0lCKCdMVE1TJywzODQ4Nik=&amp;WINDOW=FIRST_POPUP&amp;HEIGHT=450&amp;WIDTH=450&amp;START_MA","XIMIZED=FALSE&amp;VAR:CALENDAR=US&amp;VAR:SYMBOL=37183T10&amp;VAR:INDEX=0"}</definedName>
    <definedName name="_540__FDSAUDITLINK__" localSheetId="6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0__FDSAUDITLINK__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00__FDSAUDITLINK__" localSheetId="6" hidden="1">{"fdsup://directions/FAT Viewer?action=UPDATE&amp;creator=factset&amp;DYN_ARGS=TRUE&amp;DOC_NAME=FAT:FQL_AUDITING_CLIENT_TEMPLATE.FAT&amp;display_string=Audit&amp;VAR:KEY=XGXEXGRWNK&amp;VAR:QUERY=RkZfRUJJVERBX0lCKCdMVE1TJywzODQ4NSk=&amp;WINDOW=FIRST_POPUP&amp;HEIGHT=450&amp;WIDTH=450&amp;START_MA","XIMIZED=FALSE&amp;VAR:CALENDAR=US&amp;VAR:SYMBOL=37183T10&amp;VAR:INDEX=0"}</definedName>
    <definedName name="_5400__FDSAUDITLINK__" hidden="1">{"fdsup://directions/FAT Viewer?action=UPDATE&amp;creator=factset&amp;DYN_ARGS=TRUE&amp;DOC_NAME=FAT:FQL_AUDITING_CLIENT_TEMPLATE.FAT&amp;display_string=Audit&amp;VAR:KEY=XGXEXGRWNK&amp;VAR:QUERY=RkZfRUJJVERBX0lCKCdMVE1TJywzODQ4NSk=&amp;WINDOW=FIRST_POPUP&amp;HEIGHT=450&amp;WIDTH=450&amp;START_MA","XIMIZED=FALSE&amp;VAR:CALENDAR=US&amp;VAR:SYMBOL=37183T10&amp;VAR:INDEX=0"}</definedName>
    <definedName name="_5401__FDSAUDITLINK__" localSheetId="6" hidden="1">{"fdsup://directions/FAT Viewer?action=UPDATE&amp;creator=factset&amp;DYN_ARGS=TRUE&amp;DOC_NAME=FAT:FQL_AUDITING_CLIENT_TEMPLATE.FAT&amp;display_string=Audit&amp;VAR:KEY=TMTIVAJABS&amp;VAR:QUERY=RkZfRUJJVERBX0lCKCdMVE1TJywzODQ4NCk=&amp;WINDOW=FIRST_POPUP&amp;HEIGHT=450&amp;WIDTH=450&amp;START_MA","XIMIZED=FALSE&amp;VAR:CALENDAR=US&amp;VAR:SYMBOL=37183T10&amp;VAR:INDEX=0"}</definedName>
    <definedName name="_5401__FDSAUDITLINK__" hidden="1">{"fdsup://directions/FAT Viewer?action=UPDATE&amp;creator=factset&amp;DYN_ARGS=TRUE&amp;DOC_NAME=FAT:FQL_AUDITING_CLIENT_TEMPLATE.FAT&amp;display_string=Audit&amp;VAR:KEY=TMTIVAJABS&amp;VAR:QUERY=RkZfRUJJVERBX0lCKCdMVE1TJywzODQ4NCk=&amp;WINDOW=FIRST_POPUP&amp;HEIGHT=450&amp;WIDTH=450&amp;START_MA","XIMIZED=FALSE&amp;VAR:CALENDAR=US&amp;VAR:SYMBOL=37183T10&amp;VAR:INDEX=0"}</definedName>
    <definedName name="_5402__FDSAUDITLINK__" localSheetId="6" hidden="1">{"fdsup://directions/FAT Viewer?action=UPDATE&amp;creator=factset&amp;DYN_ARGS=TRUE&amp;DOC_NAME=FAT:FQL_AUDITING_CLIENT_TEMPLATE.FAT&amp;display_string=Audit&amp;VAR:KEY=BANQDAVARI&amp;VAR:QUERY=RkZfRUJJVERBX0lCKCdMVE1TJywzODQ4Myk=&amp;WINDOW=FIRST_POPUP&amp;HEIGHT=450&amp;WIDTH=450&amp;START_MA","XIMIZED=FALSE&amp;VAR:CALENDAR=US&amp;VAR:SYMBOL=37183T10&amp;VAR:INDEX=0"}</definedName>
    <definedName name="_5402__FDSAUDITLINK__" hidden="1">{"fdsup://directions/FAT Viewer?action=UPDATE&amp;creator=factset&amp;DYN_ARGS=TRUE&amp;DOC_NAME=FAT:FQL_AUDITING_CLIENT_TEMPLATE.FAT&amp;display_string=Audit&amp;VAR:KEY=BANQDAVARI&amp;VAR:QUERY=RkZfRUJJVERBX0lCKCdMVE1TJywzODQ4Myk=&amp;WINDOW=FIRST_POPUP&amp;HEIGHT=450&amp;WIDTH=450&amp;START_MA","XIMIZED=FALSE&amp;VAR:CALENDAR=US&amp;VAR:SYMBOL=37183T10&amp;VAR:INDEX=0"}</definedName>
    <definedName name="_5403__FDSAUDITLINK__" localSheetId="6" hidden="1">{"fdsup://directions/FAT Viewer?action=UPDATE&amp;creator=factset&amp;DYN_ARGS=TRUE&amp;DOC_NAME=FAT:FQL_AUDITING_CLIENT_TEMPLATE.FAT&amp;display_string=Audit&amp;VAR:KEY=JEDCXSHMPU&amp;VAR:QUERY=RkZfRUJJVERBX0lCKCdMVE1TJywzODQ4Mik=&amp;WINDOW=FIRST_POPUP&amp;HEIGHT=450&amp;WIDTH=450&amp;START_MA","XIMIZED=FALSE&amp;VAR:CALENDAR=US&amp;VAR:SYMBOL=37183T10&amp;VAR:INDEX=0"}</definedName>
    <definedName name="_5403__FDSAUDITLINK__" hidden="1">{"fdsup://directions/FAT Viewer?action=UPDATE&amp;creator=factset&amp;DYN_ARGS=TRUE&amp;DOC_NAME=FAT:FQL_AUDITING_CLIENT_TEMPLATE.FAT&amp;display_string=Audit&amp;VAR:KEY=JEDCXSHMPU&amp;VAR:QUERY=RkZfRUJJVERBX0lCKCdMVE1TJywzODQ4Mik=&amp;WINDOW=FIRST_POPUP&amp;HEIGHT=450&amp;WIDTH=450&amp;START_MA","XIMIZED=FALSE&amp;VAR:CALENDAR=US&amp;VAR:SYMBOL=37183T10&amp;VAR:INDEX=0"}</definedName>
    <definedName name="_5404__FDSAUDITLINK__" localSheetId="6" hidden="1">{"fdsup://directions/FAT Viewer?action=UPDATE&amp;creator=factset&amp;DYN_ARGS=TRUE&amp;DOC_NAME=FAT:FQL_AUDITING_CLIENT_TEMPLATE.FAT&amp;display_string=Audit&amp;VAR:KEY=NCDMTGHKJO&amp;VAR:QUERY=RkZfRUJJVERBX0lCKCdMVE1TJywzODQ4MSk=&amp;WINDOW=FIRST_POPUP&amp;HEIGHT=450&amp;WIDTH=450&amp;START_MA","XIMIZED=FALSE&amp;VAR:CALENDAR=US&amp;VAR:SYMBOL=37183T10&amp;VAR:INDEX=0"}</definedName>
    <definedName name="_5404__FDSAUDITLINK__" hidden="1">{"fdsup://directions/FAT Viewer?action=UPDATE&amp;creator=factset&amp;DYN_ARGS=TRUE&amp;DOC_NAME=FAT:FQL_AUDITING_CLIENT_TEMPLATE.FAT&amp;display_string=Audit&amp;VAR:KEY=NCDMTGHKJO&amp;VAR:QUERY=RkZfRUJJVERBX0lCKCdMVE1TJywzODQ4MSk=&amp;WINDOW=FIRST_POPUP&amp;HEIGHT=450&amp;WIDTH=450&amp;START_MA","XIMIZED=FALSE&amp;VAR:CALENDAR=US&amp;VAR:SYMBOL=37183T10&amp;VAR:INDEX=0"}</definedName>
    <definedName name="_5405__FDSAUDITLINK__" localSheetId="6" hidden="1">{"fdsup://directions/FAT Viewer?action=UPDATE&amp;creator=factset&amp;DYN_ARGS=TRUE&amp;DOC_NAME=FAT:FQL_AUDITING_CLIENT_TEMPLATE.FAT&amp;display_string=Audit&amp;VAR:KEY=VOTUJGTOXI&amp;VAR:QUERY=RkZfRUJJVERBX0lCKCdMVE1TJywzODQ4MCk=&amp;WINDOW=FIRST_POPUP&amp;HEIGHT=450&amp;WIDTH=450&amp;START_MA","XIMIZED=FALSE&amp;VAR:CALENDAR=US&amp;VAR:SYMBOL=37183T10&amp;VAR:INDEX=0"}</definedName>
    <definedName name="_5405__FDSAUDITLINK__" hidden="1">{"fdsup://directions/FAT Viewer?action=UPDATE&amp;creator=factset&amp;DYN_ARGS=TRUE&amp;DOC_NAME=FAT:FQL_AUDITING_CLIENT_TEMPLATE.FAT&amp;display_string=Audit&amp;VAR:KEY=VOTUJGTOXI&amp;VAR:QUERY=RkZfRUJJVERBX0lCKCdMVE1TJywzODQ4MCk=&amp;WINDOW=FIRST_POPUP&amp;HEIGHT=450&amp;WIDTH=450&amp;START_MA","XIMIZED=FALSE&amp;VAR:CALENDAR=US&amp;VAR:SYMBOL=37183T10&amp;VAR:INDEX=0"}</definedName>
    <definedName name="_5406__FDSAUDITLINK__" localSheetId="6" hidden="1">{"fdsup://directions/FAT Viewer?action=UPDATE&amp;creator=factset&amp;DYN_ARGS=TRUE&amp;DOC_NAME=FAT:FQL_AUDITING_CLIENT_TEMPLATE.FAT&amp;display_string=Audit&amp;VAR:KEY=JCBGLKZSXS&amp;VAR:QUERY=RkZfRUJJVERBX0lCKCdMVE1TJywzODQ3OSk=&amp;WINDOW=FIRST_POPUP&amp;HEIGHT=450&amp;WIDTH=450&amp;START_MA","XIMIZED=FALSE&amp;VAR:CALENDAR=US&amp;VAR:SYMBOL=37183T10&amp;VAR:INDEX=0"}</definedName>
    <definedName name="_5406__FDSAUDITLINK__" hidden="1">{"fdsup://directions/FAT Viewer?action=UPDATE&amp;creator=factset&amp;DYN_ARGS=TRUE&amp;DOC_NAME=FAT:FQL_AUDITING_CLIENT_TEMPLATE.FAT&amp;display_string=Audit&amp;VAR:KEY=JCBGLKZSXS&amp;VAR:QUERY=RkZfRUJJVERBX0lCKCdMVE1TJywzODQ3OSk=&amp;WINDOW=FIRST_POPUP&amp;HEIGHT=450&amp;WIDTH=450&amp;START_MA","XIMIZED=FALSE&amp;VAR:CALENDAR=US&amp;VAR:SYMBOL=37183T10&amp;VAR:INDEX=0"}</definedName>
    <definedName name="_5407__FDSAUDITLINK__" localSheetId="6" hidden="1">{"fdsup://directions/FAT Viewer?action=UPDATE&amp;creator=factset&amp;DYN_ARGS=TRUE&amp;DOC_NAME=FAT:FQL_AUDITING_CLIENT_TEMPLATE.FAT&amp;display_string=Audit&amp;VAR:KEY=XIJQXQRMBU&amp;VAR:QUERY=RkZfRUJJVERBX0lCKCdMVE1TJywzODQ3OCk=&amp;WINDOW=FIRST_POPUP&amp;HEIGHT=450&amp;WIDTH=450&amp;START_MA","XIMIZED=FALSE&amp;VAR:CALENDAR=US&amp;VAR:SYMBOL=37183T10&amp;VAR:INDEX=0"}</definedName>
    <definedName name="_5407__FDSAUDITLINK__" hidden="1">{"fdsup://directions/FAT Viewer?action=UPDATE&amp;creator=factset&amp;DYN_ARGS=TRUE&amp;DOC_NAME=FAT:FQL_AUDITING_CLIENT_TEMPLATE.FAT&amp;display_string=Audit&amp;VAR:KEY=XIJQXQRMBU&amp;VAR:QUERY=RkZfRUJJVERBX0lCKCdMVE1TJywzODQ3OCk=&amp;WINDOW=FIRST_POPUP&amp;HEIGHT=450&amp;WIDTH=450&amp;START_MA","XIMIZED=FALSE&amp;VAR:CALENDAR=US&amp;VAR:SYMBOL=37183T10&amp;VAR:INDEX=0"}</definedName>
    <definedName name="_5408__FDSAUDITLINK__" localSheetId="6" hidden="1">{"fdsup://directions/FAT Viewer?action=UPDATE&amp;creator=factset&amp;DYN_ARGS=TRUE&amp;DOC_NAME=FAT:FQL_AUDITING_CLIENT_TEMPLATE.FAT&amp;display_string=Audit&amp;VAR:KEY=HQDEHEZKNS&amp;VAR:QUERY=RkZfRUJJVERBX0lCKCdMVE1TJywzODQ3Nyk=&amp;WINDOW=FIRST_POPUP&amp;HEIGHT=450&amp;WIDTH=450&amp;START_MA","XIMIZED=FALSE&amp;VAR:CALENDAR=US&amp;VAR:SYMBOL=37183T10&amp;VAR:INDEX=0"}</definedName>
    <definedName name="_5408__FDSAUDITLINK__" hidden="1">{"fdsup://directions/FAT Viewer?action=UPDATE&amp;creator=factset&amp;DYN_ARGS=TRUE&amp;DOC_NAME=FAT:FQL_AUDITING_CLIENT_TEMPLATE.FAT&amp;display_string=Audit&amp;VAR:KEY=HQDEHEZKNS&amp;VAR:QUERY=RkZfRUJJVERBX0lCKCdMVE1TJywzODQ3Nyk=&amp;WINDOW=FIRST_POPUP&amp;HEIGHT=450&amp;WIDTH=450&amp;START_MA","XIMIZED=FALSE&amp;VAR:CALENDAR=US&amp;VAR:SYMBOL=37183T10&amp;VAR:INDEX=0"}</definedName>
    <definedName name="_5409__FDSAUDITLINK__" localSheetId="6" hidden="1">{"fdsup://directions/FAT Viewer?action=UPDATE&amp;creator=factset&amp;DYN_ARGS=TRUE&amp;DOC_NAME=FAT:FQL_AUDITING_CLIENT_TEMPLATE.FAT&amp;display_string=Audit&amp;VAR:KEY=PEPYLWZGVC&amp;VAR:QUERY=RkZfRUJJVERBX0lCKCdMVE1TJywzODQ3Nik=&amp;WINDOW=FIRST_POPUP&amp;HEIGHT=450&amp;WIDTH=450&amp;START_MA","XIMIZED=FALSE&amp;VAR:CALENDAR=US&amp;VAR:SYMBOL=37183T10&amp;VAR:INDEX=0"}</definedName>
    <definedName name="_5409__FDSAUDITLINK__" hidden="1">{"fdsup://directions/FAT Viewer?action=UPDATE&amp;creator=factset&amp;DYN_ARGS=TRUE&amp;DOC_NAME=FAT:FQL_AUDITING_CLIENT_TEMPLATE.FAT&amp;display_string=Audit&amp;VAR:KEY=PEPYLWZGVC&amp;VAR:QUERY=RkZfRUJJVERBX0lCKCdMVE1TJywzODQ3Nik=&amp;WINDOW=FIRST_POPUP&amp;HEIGHT=450&amp;WIDTH=450&amp;START_MA","XIMIZED=FALSE&amp;VAR:CALENDAR=US&amp;VAR:SYMBOL=37183T10&amp;VAR:INDEX=0"}</definedName>
    <definedName name="_541__FDSAUDITLINK__" localSheetId="6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1__FDSAUDITLINK__" hidden="1">{"fdsup://directions/FAT%20Viewer?VAR:PED=LTM&amp;VAR:AUDIT_MODE=SUMMARY&amp;VAR:PERIOD=FIXED&amp;VAR:AUDIT_ID=00000117&amp;VAR:DATE=20080829&amp;action=UPDATE&amp;creator=factset&amp;DOC_NAME=FAT:FMA_audit_SUMMARY.fat&amp;DISPLAY_STRING=Display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10__FDSAUDITLINK__" localSheetId="6" hidden="1">{"fdsup://directions/FAT Viewer?action=UPDATE&amp;creator=factset&amp;DYN_ARGS=TRUE&amp;DOC_NAME=FAT:FQL_AUDITING_CLIENT_TEMPLATE.FAT&amp;display_string=Audit&amp;VAR:KEY=TOZSFYPCHK&amp;VAR:QUERY=RkZfRUJJVERBX0lCKCdMVE1TJywzODQ3NSk=&amp;WINDOW=FIRST_POPUP&amp;HEIGHT=450&amp;WIDTH=450&amp;START_MA","XIMIZED=FALSE&amp;VAR:CALENDAR=US&amp;VAR:SYMBOL=37183T10&amp;VAR:INDEX=0"}</definedName>
    <definedName name="_5410__FDSAUDITLINK__" hidden="1">{"fdsup://directions/FAT Viewer?action=UPDATE&amp;creator=factset&amp;DYN_ARGS=TRUE&amp;DOC_NAME=FAT:FQL_AUDITING_CLIENT_TEMPLATE.FAT&amp;display_string=Audit&amp;VAR:KEY=TOZSFYPCHK&amp;VAR:QUERY=RkZfRUJJVERBX0lCKCdMVE1TJywzODQ3NSk=&amp;WINDOW=FIRST_POPUP&amp;HEIGHT=450&amp;WIDTH=450&amp;START_MA","XIMIZED=FALSE&amp;VAR:CALENDAR=US&amp;VAR:SYMBOL=37183T10&amp;VAR:INDEX=0"}</definedName>
    <definedName name="_5411__FDSAUDITLINK__" localSheetId="6" hidden="1">{"fdsup://directions/FAT Viewer?action=UPDATE&amp;creator=factset&amp;DYN_ARGS=TRUE&amp;DOC_NAME=FAT:FQL_AUDITING_CLIENT_TEMPLATE.FAT&amp;display_string=Audit&amp;VAR:KEY=LQBKBEVGXC&amp;VAR:QUERY=RkZfRUJJVERBX0lCKCdMVE1TJywzODQ3NCk=&amp;WINDOW=FIRST_POPUP&amp;HEIGHT=450&amp;WIDTH=450&amp;START_MA","XIMIZED=FALSE&amp;VAR:CALENDAR=US&amp;VAR:SYMBOL=37183T10&amp;VAR:INDEX=0"}</definedName>
    <definedName name="_5411__FDSAUDITLINK__" hidden="1">{"fdsup://directions/FAT Viewer?action=UPDATE&amp;creator=factset&amp;DYN_ARGS=TRUE&amp;DOC_NAME=FAT:FQL_AUDITING_CLIENT_TEMPLATE.FAT&amp;display_string=Audit&amp;VAR:KEY=LQBKBEVGXC&amp;VAR:QUERY=RkZfRUJJVERBX0lCKCdMVE1TJywzODQ3NCk=&amp;WINDOW=FIRST_POPUP&amp;HEIGHT=450&amp;WIDTH=450&amp;START_MA","XIMIZED=FALSE&amp;VAR:CALENDAR=US&amp;VAR:SYMBOL=37183T10&amp;VAR:INDEX=0"}</definedName>
    <definedName name="_5412__FDSAUDITLINK__" localSheetId="6" hidden="1">{"fdsup://directions/FAT Viewer?action=UPDATE&amp;creator=factset&amp;DYN_ARGS=TRUE&amp;DOC_NAME=FAT:FQL_AUDITING_CLIENT_TEMPLATE.FAT&amp;display_string=Audit&amp;VAR:KEY=ZANEBGHGZK&amp;VAR:QUERY=RkZfRUJJVERBX0lCKCdMVE1TJywzODQ3Myk=&amp;WINDOW=FIRST_POPUP&amp;HEIGHT=450&amp;WIDTH=450&amp;START_MA","XIMIZED=FALSE&amp;VAR:CALENDAR=US&amp;VAR:SYMBOL=37183T10&amp;VAR:INDEX=0"}</definedName>
    <definedName name="_5412__FDSAUDITLINK__" hidden="1">{"fdsup://directions/FAT Viewer?action=UPDATE&amp;creator=factset&amp;DYN_ARGS=TRUE&amp;DOC_NAME=FAT:FQL_AUDITING_CLIENT_TEMPLATE.FAT&amp;display_string=Audit&amp;VAR:KEY=ZANEBGHGZK&amp;VAR:QUERY=RkZfRUJJVERBX0lCKCdMVE1TJywzODQ3Myk=&amp;WINDOW=FIRST_POPUP&amp;HEIGHT=450&amp;WIDTH=450&amp;START_MA","XIMIZED=FALSE&amp;VAR:CALENDAR=US&amp;VAR:SYMBOL=37183T10&amp;VAR:INDEX=0"}</definedName>
    <definedName name="_5413__FDSAUDITLINK__" localSheetId="6" hidden="1">{"fdsup://directions/FAT Viewer?action=UPDATE&amp;creator=factset&amp;DYN_ARGS=TRUE&amp;DOC_NAME=FAT:FQL_AUDITING_CLIENT_TEMPLATE.FAT&amp;display_string=Audit&amp;VAR:KEY=RWFUHYXUPC&amp;VAR:QUERY=RkZfRUJJVERBX0lCKCdMVE1TJywzODQ3Mik=&amp;WINDOW=FIRST_POPUP&amp;HEIGHT=450&amp;WIDTH=450&amp;START_MA","XIMIZED=FALSE&amp;VAR:CALENDAR=US&amp;VAR:SYMBOL=37183T10&amp;VAR:INDEX=0"}</definedName>
    <definedName name="_5413__FDSAUDITLINK__" hidden="1">{"fdsup://directions/FAT Viewer?action=UPDATE&amp;creator=factset&amp;DYN_ARGS=TRUE&amp;DOC_NAME=FAT:FQL_AUDITING_CLIENT_TEMPLATE.FAT&amp;display_string=Audit&amp;VAR:KEY=RWFUHYXUPC&amp;VAR:QUERY=RkZfRUJJVERBX0lCKCdMVE1TJywzODQ3Mik=&amp;WINDOW=FIRST_POPUP&amp;HEIGHT=450&amp;WIDTH=450&amp;START_MA","XIMIZED=FALSE&amp;VAR:CALENDAR=US&amp;VAR:SYMBOL=37183T10&amp;VAR:INDEX=0"}</definedName>
    <definedName name="_5414__FDSAUDITLINK__" localSheetId="6" hidden="1">{"fdsup://directions/FAT Viewer?action=UPDATE&amp;creator=factset&amp;DYN_ARGS=TRUE&amp;DOC_NAME=FAT:FQL_AUDITING_CLIENT_TEMPLATE.FAT&amp;display_string=Audit&amp;VAR:KEY=VQXSJCFGVU&amp;VAR:QUERY=RkZfRUJJVERBX0lCKCdMVE1TJywzODQ3MSk=&amp;WINDOW=FIRST_POPUP&amp;HEIGHT=450&amp;WIDTH=450&amp;START_MA","XIMIZED=FALSE&amp;VAR:CALENDAR=US&amp;VAR:SYMBOL=37183T10&amp;VAR:INDEX=0"}</definedName>
    <definedName name="_5414__FDSAUDITLINK__" hidden="1">{"fdsup://directions/FAT Viewer?action=UPDATE&amp;creator=factset&amp;DYN_ARGS=TRUE&amp;DOC_NAME=FAT:FQL_AUDITING_CLIENT_TEMPLATE.FAT&amp;display_string=Audit&amp;VAR:KEY=VQXSJCFGVU&amp;VAR:QUERY=RkZfRUJJVERBX0lCKCdMVE1TJywzODQ3MSk=&amp;WINDOW=FIRST_POPUP&amp;HEIGHT=450&amp;WIDTH=450&amp;START_MA","XIMIZED=FALSE&amp;VAR:CALENDAR=US&amp;VAR:SYMBOL=37183T10&amp;VAR:INDEX=0"}</definedName>
    <definedName name="_5415__FDSAUDITLINK__" localSheetId="6" hidden="1">{"fdsup://directions/FAT Viewer?action=UPDATE&amp;creator=factset&amp;DYN_ARGS=TRUE&amp;DOC_NAME=FAT:FQL_AUDITING_CLIENT_TEMPLATE.FAT&amp;display_string=Audit&amp;VAR:KEY=JCBEJKVAVM&amp;VAR:QUERY=RkZfRUJJVERBX0lCKCdMVE1TJywzODQ3MCk=&amp;WINDOW=FIRST_POPUP&amp;HEIGHT=450&amp;WIDTH=450&amp;START_MA","XIMIZED=FALSE&amp;VAR:CALENDAR=US&amp;VAR:SYMBOL=37183T10&amp;VAR:INDEX=0"}</definedName>
    <definedName name="_5415__FDSAUDITLINK__" hidden="1">{"fdsup://directions/FAT Viewer?action=UPDATE&amp;creator=factset&amp;DYN_ARGS=TRUE&amp;DOC_NAME=FAT:FQL_AUDITING_CLIENT_TEMPLATE.FAT&amp;display_string=Audit&amp;VAR:KEY=JCBEJKVAVM&amp;VAR:QUERY=RkZfRUJJVERBX0lCKCdMVE1TJywzODQ3MCk=&amp;WINDOW=FIRST_POPUP&amp;HEIGHT=450&amp;WIDTH=450&amp;START_MA","XIMIZED=FALSE&amp;VAR:CALENDAR=US&amp;VAR:SYMBOL=37183T10&amp;VAR:INDEX=0"}</definedName>
    <definedName name="_5416__FDSAUDITLINK__" localSheetId="6" hidden="1">{"fdsup://directions/FAT Viewer?action=UPDATE&amp;creator=factset&amp;DYN_ARGS=TRUE&amp;DOC_NAME=FAT:FQL_AUDITING_CLIENT_TEMPLATE.FAT&amp;display_string=Audit&amp;VAR:KEY=PUFMJCBWVA&amp;VAR:QUERY=RkZfRUJJVERBX0lCKCdMVE1TJywzODQ2OSk=&amp;WINDOW=FIRST_POPUP&amp;HEIGHT=450&amp;WIDTH=450&amp;START_MA","XIMIZED=FALSE&amp;VAR:CALENDAR=US&amp;VAR:SYMBOL=37183T10&amp;VAR:INDEX=0"}</definedName>
    <definedName name="_5416__FDSAUDITLINK__" hidden="1">{"fdsup://directions/FAT Viewer?action=UPDATE&amp;creator=factset&amp;DYN_ARGS=TRUE&amp;DOC_NAME=FAT:FQL_AUDITING_CLIENT_TEMPLATE.FAT&amp;display_string=Audit&amp;VAR:KEY=PUFMJCBWVA&amp;VAR:QUERY=RkZfRUJJVERBX0lCKCdMVE1TJywzODQ2OSk=&amp;WINDOW=FIRST_POPUP&amp;HEIGHT=450&amp;WIDTH=450&amp;START_MA","XIMIZED=FALSE&amp;VAR:CALENDAR=US&amp;VAR:SYMBOL=37183T10&amp;VAR:INDEX=0"}</definedName>
    <definedName name="_5417__FDSAUDITLINK__" localSheetId="6" hidden="1">{"fdsup://directions/FAT Viewer?action=UPDATE&amp;creator=factset&amp;DYN_ARGS=TRUE&amp;DOC_NAME=FAT:FQL_AUDITING_CLIENT_TEMPLATE.FAT&amp;display_string=Audit&amp;VAR:KEY=RIHQJSLCHY&amp;VAR:QUERY=RkZfRUJJVERBX0lCKCdMVE1TJywzODQ2OCk=&amp;WINDOW=FIRST_POPUP&amp;HEIGHT=450&amp;WIDTH=450&amp;START_MA","XIMIZED=FALSE&amp;VAR:CALENDAR=US&amp;VAR:SYMBOL=37183T10&amp;VAR:INDEX=0"}</definedName>
    <definedName name="_5417__FDSAUDITLINK__" hidden="1">{"fdsup://directions/FAT Viewer?action=UPDATE&amp;creator=factset&amp;DYN_ARGS=TRUE&amp;DOC_NAME=FAT:FQL_AUDITING_CLIENT_TEMPLATE.FAT&amp;display_string=Audit&amp;VAR:KEY=RIHQJSLCHY&amp;VAR:QUERY=RkZfRUJJVERBX0lCKCdMVE1TJywzODQ2OCk=&amp;WINDOW=FIRST_POPUP&amp;HEIGHT=450&amp;WIDTH=450&amp;START_MA","XIMIZED=FALSE&amp;VAR:CALENDAR=US&amp;VAR:SYMBOL=37183T10&amp;VAR:INDEX=0"}</definedName>
    <definedName name="_5418__FDSAUDITLINK__" localSheetId="6" hidden="1">{"fdsup://directions/FAT Viewer?action=UPDATE&amp;creator=factset&amp;DYN_ARGS=TRUE&amp;DOC_NAME=FAT:FQL_AUDITING_CLIENT_TEMPLATE.FAT&amp;display_string=Audit&amp;VAR:KEY=XWRQTUZKTG&amp;VAR:QUERY=RkZfRUJJVERBX0lCKCdMVE1TJywzODQ2Nyk=&amp;WINDOW=FIRST_POPUP&amp;HEIGHT=450&amp;WIDTH=450&amp;START_MA","XIMIZED=FALSE&amp;VAR:CALENDAR=US&amp;VAR:SYMBOL=37183T10&amp;VAR:INDEX=0"}</definedName>
    <definedName name="_5418__FDSAUDITLINK__" hidden="1">{"fdsup://directions/FAT Viewer?action=UPDATE&amp;creator=factset&amp;DYN_ARGS=TRUE&amp;DOC_NAME=FAT:FQL_AUDITING_CLIENT_TEMPLATE.FAT&amp;display_string=Audit&amp;VAR:KEY=XWRQTUZKTG&amp;VAR:QUERY=RkZfRUJJVERBX0lCKCdMVE1TJywzODQ2Nyk=&amp;WINDOW=FIRST_POPUP&amp;HEIGHT=450&amp;WIDTH=450&amp;START_MA","XIMIZED=FALSE&amp;VAR:CALENDAR=US&amp;VAR:SYMBOL=37183T10&amp;VAR:INDEX=0"}</definedName>
    <definedName name="_5419__FDSAUDITLINK__" localSheetId="6" hidden="1">{"fdsup://directions/FAT Viewer?action=UPDATE&amp;creator=factset&amp;DYN_ARGS=TRUE&amp;DOC_NAME=FAT:FQL_AUDITING_CLIENT_TEMPLATE.FAT&amp;display_string=Audit&amp;VAR:KEY=TMPGLEJMXC&amp;VAR:QUERY=RkZfRUJJVERBX0lCKCdMVE1TJywzODQ2Nik=&amp;WINDOW=FIRST_POPUP&amp;HEIGHT=450&amp;WIDTH=450&amp;START_MA","XIMIZED=FALSE&amp;VAR:CALENDAR=US&amp;VAR:SYMBOL=37183T10&amp;VAR:INDEX=0"}</definedName>
    <definedName name="_5419__FDSAUDITLINK__" hidden="1">{"fdsup://directions/FAT Viewer?action=UPDATE&amp;creator=factset&amp;DYN_ARGS=TRUE&amp;DOC_NAME=FAT:FQL_AUDITING_CLIENT_TEMPLATE.FAT&amp;display_string=Audit&amp;VAR:KEY=TMPGLEJMXC&amp;VAR:QUERY=RkZfRUJJVERBX0lCKCdMVE1TJywzODQ2Nik=&amp;WINDOW=FIRST_POPUP&amp;HEIGHT=450&amp;WIDTH=450&amp;START_MA","XIMIZED=FALSE&amp;VAR:CALENDAR=US&amp;VAR:SYMBOL=37183T10&amp;VAR:INDEX=0"}</definedName>
    <definedName name="_542__FDSAUDITLINK__" localSheetId="6" hidden="1">{"fdsup://directions/FAT%20Viewer?VAR:PED=LTM&amp;VAR:AUDIT_MODE=SUMMARY&amp;VAR:PERIOD=FIXED&amp;VAR:AUDIT_ID=00000117&amp;VAR:DATE=20080828&amp;action=UPDATE&amp;creator=factset&amp;DOC_NAME=FAT:FMA_audit_SUMMARY.fat&amp;DISPLAY_STRING=Display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2__FDSAUDITLINK__" hidden="1">{"fdsup://directions/FAT%20Viewer?VAR:PED=LTM&amp;VAR:AUDIT_MODE=SUMMARY&amp;VAR:PERIOD=FIXED&amp;VAR:AUDIT_ID=00000117&amp;VAR:DATE=20080828&amp;action=UPDATE&amp;creator=factset&amp;DOC_NAME=FAT:FMA_audit_SUMMARY.fat&amp;DISPLAY_STRING=Display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20__FDSAUDITLINK__" localSheetId="6" hidden="1">{"fdsup://directions/FAT Viewer?action=UPDATE&amp;creator=factset&amp;DYN_ARGS=TRUE&amp;DOC_NAME=FAT:FQL_AUDITING_CLIENT_TEMPLATE.FAT&amp;display_string=Audit&amp;VAR:KEY=XWHONYVSDY&amp;VAR:QUERY=RkZfRUJJVERBX0lCKCdMVE1TJywzODQ2NSk=&amp;WINDOW=FIRST_POPUP&amp;HEIGHT=450&amp;WIDTH=450&amp;START_MA","XIMIZED=FALSE&amp;VAR:CALENDAR=US&amp;VAR:SYMBOL=37183T10&amp;VAR:INDEX=0"}</definedName>
    <definedName name="_5420__FDSAUDITLINK__" hidden="1">{"fdsup://directions/FAT Viewer?action=UPDATE&amp;creator=factset&amp;DYN_ARGS=TRUE&amp;DOC_NAME=FAT:FQL_AUDITING_CLIENT_TEMPLATE.FAT&amp;display_string=Audit&amp;VAR:KEY=XWHONYVSDY&amp;VAR:QUERY=RkZfRUJJVERBX0lCKCdMVE1TJywzODQ2NSk=&amp;WINDOW=FIRST_POPUP&amp;HEIGHT=450&amp;WIDTH=450&amp;START_MA","XIMIZED=FALSE&amp;VAR:CALENDAR=US&amp;VAR:SYMBOL=37183T10&amp;VAR:INDEX=0"}</definedName>
    <definedName name="_5421__FDSAUDITLINK__" localSheetId="6" hidden="1">{"fdsup://directions/FAT Viewer?action=UPDATE&amp;creator=factset&amp;DYN_ARGS=TRUE&amp;DOC_NAME=FAT:FQL_AUDITING_CLIENT_TEMPLATE.FAT&amp;display_string=Audit&amp;VAR:KEY=TOBWPSNWVW&amp;VAR:QUERY=RkZfRUJJVERBX0lCKCdMVE1TJywzODQ2NCk=&amp;WINDOW=FIRST_POPUP&amp;HEIGHT=450&amp;WIDTH=450&amp;START_MA","XIMIZED=FALSE&amp;VAR:CALENDAR=US&amp;VAR:SYMBOL=37183T10&amp;VAR:INDEX=0"}</definedName>
    <definedName name="_5421__FDSAUDITLINK__" hidden="1">{"fdsup://directions/FAT Viewer?action=UPDATE&amp;creator=factset&amp;DYN_ARGS=TRUE&amp;DOC_NAME=FAT:FQL_AUDITING_CLIENT_TEMPLATE.FAT&amp;display_string=Audit&amp;VAR:KEY=TOBWPSNWVW&amp;VAR:QUERY=RkZfRUJJVERBX0lCKCdMVE1TJywzODQ2NCk=&amp;WINDOW=FIRST_POPUP&amp;HEIGHT=450&amp;WIDTH=450&amp;START_MA","XIMIZED=FALSE&amp;VAR:CALENDAR=US&amp;VAR:SYMBOL=37183T10&amp;VAR:INDEX=0"}</definedName>
    <definedName name="_5422__FDSAUDITLINK__" localSheetId="6" hidden="1">{"fdsup://directions/FAT Viewer?action=UPDATE&amp;creator=factset&amp;DYN_ARGS=TRUE&amp;DOC_NAME=FAT:FQL_AUDITING_CLIENT_TEMPLATE.FAT&amp;display_string=Audit&amp;VAR:KEY=DGBGBELYDM&amp;VAR:QUERY=RkZfRUJJVERBX0lCKCdMVE1TJywzODQ2Myk=&amp;WINDOW=FIRST_POPUP&amp;HEIGHT=450&amp;WIDTH=450&amp;START_MA","XIMIZED=FALSE&amp;VAR:CALENDAR=US&amp;VAR:SYMBOL=37183T10&amp;VAR:INDEX=0"}</definedName>
    <definedName name="_5422__FDSAUDITLINK__" hidden="1">{"fdsup://directions/FAT Viewer?action=UPDATE&amp;creator=factset&amp;DYN_ARGS=TRUE&amp;DOC_NAME=FAT:FQL_AUDITING_CLIENT_TEMPLATE.FAT&amp;display_string=Audit&amp;VAR:KEY=DGBGBELYDM&amp;VAR:QUERY=RkZfRUJJVERBX0lCKCdMVE1TJywzODQ2Myk=&amp;WINDOW=FIRST_POPUP&amp;HEIGHT=450&amp;WIDTH=450&amp;START_MA","XIMIZED=FALSE&amp;VAR:CALENDAR=US&amp;VAR:SYMBOL=37183T10&amp;VAR:INDEX=0"}</definedName>
    <definedName name="_5423__FDSAUDITLINK__" localSheetId="6" hidden="1">{"fdsup://directions/FAT Viewer?action=UPDATE&amp;creator=factset&amp;DYN_ARGS=TRUE&amp;DOC_NAME=FAT:FQL_AUDITING_CLIENT_TEMPLATE.FAT&amp;display_string=Audit&amp;VAR:KEY=BQJWNWVMRU&amp;VAR:QUERY=RkZfRUJJVERBX0lCKCdMVE1TJywzODQ2Mik=&amp;WINDOW=FIRST_POPUP&amp;HEIGHT=450&amp;WIDTH=450&amp;START_MA","XIMIZED=FALSE&amp;VAR:CALENDAR=US&amp;VAR:SYMBOL=37183T10&amp;VAR:INDEX=0"}</definedName>
    <definedName name="_5423__FDSAUDITLINK__" hidden="1">{"fdsup://directions/FAT Viewer?action=UPDATE&amp;creator=factset&amp;DYN_ARGS=TRUE&amp;DOC_NAME=FAT:FQL_AUDITING_CLIENT_TEMPLATE.FAT&amp;display_string=Audit&amp;VAR:KEY=BQJWNWVMRU&amp;VAR:QUERY=RkZfRUJJVERBX0lCKCdMVE1TJywzODQ2Mik=&amp;WINDOW=FIRST_POPUP&amp;HEIGHT=450&amp;WIDTH=450&amp;START_MA","XIMIZED=FALSE&amp;VAR:CALENDAR=US&amp;VAR:SYMBOL=37183T10&amp;VAR:INDEX=0"}</definedName>
    <definedName name="_5424__FDSAUDITLINK__" localSheetId="6" hidden="1">{"fdsup://directions/FAT Viewer?action=UPDATE&amp;creator=factset&amp;DYN_ARGS=TRUE&amp;DOC_NAME=FAT:FQL_AUDITING_CLIENT_TEMPLATE.FAT&amp;display_string=Audit&amp;VAR:KEY=TADMNGXMHO&amp;VAR:QUERY=RkZfRUJJVERBX0lCKCdMVE1TJywzODQ2MSk=&amp;WINDOW=FIRST_POPUP&amp;HEIGHT=450&amp;WIDTH=450&amp;START_MA","XIMIZED=FALSE&amp;VAR:CALENDAR=US&amp;VAR:SYMBOL=37183T10&amp;VAR:INDEX=0"}</definedName>
    <definedName name="_5424__FDSAUDITLINK__" hidden="1">{"fdsup://directions/FAT Viewer?action=UPDATE&amp;creator=factset&amp;DYN_ARGS=TRUE&amp;DOC_NAME=FAT:FQL_AUDITING_CLIENT_TEMPLATE.FAT&amp;display_string=Audit&amp;VAR:KEY=TADMNGXMHO&amp;VAR:QUERY=RkZfRUJJVERBX0lCKCdMVE1TJywzODQ2MSk=&amp;WINDOW=FIRST_POPUP&amp;HEIGHT=450&amp;WIDTH=450&amp;START_MA","XIMIZED=FALSE&amp;VAR:CALENDAR=US&amp;VAR:SYMBOL=37183T10&amp;VAR:INDEX=0"}</definedName>
    <definedName name="_5425__FDSAUDITLINK__" localSheetId="6" hidden="1">{"fdsup://directions/FAT Viewer?action=UPDATE&amp;creator=factset&amp;DYN_ARGS=TRUE&amp;DOC_NAME=FAT:FQL_AUDITING_CLIENT_TEMPLATE.FAT&amp;display_string=Audit&amp;VAR:KEY=DOFCPQDOVY&amp;VAR:QUERY=RkZfRUJJVERBX0lCKCdMVE1TJywzODQ2MCk=&amp;WINDOW=FIRST_POPUP&amp;HEIGHT=450&amp;WIDTH=450&amp;START_MA","XIMIZED=FALSE&amp;VAR:CALENDAR=US&amp;VAR:SYMBOL=37183T10&amp;VAR:INDEX=0"}</definedName>
    <definedName name="_5425__FDSAUDITLINK__" hidden="1">{"fdsup://directions/FAT Viewer?action=UPDATE&amp;creator=factset&amp;DYN_ARGS=TRUE&amp;DOC_NAME=FAT:FQL_AUDITING_CLIENT_TEMPLATE.FAT&amp;display_string=Audit&amp;VAR:KEY=DOFCPQDOVY&amp;VAR:QUERY=RkZfRUJJVERBX0lCKCdMVE1TJywzODQ2MCk=&amp;WINDOW=FIRST_POPUP&amp;HEIGHT=450&amp;WIDTH=450&amp;START_MA","XIMIZED=FALSE&amp;VAR:CALENDAR=US&amp;VAR:SYMBOL=37183T10&amp;VAR:INDEX=0"}</definedName>
    <definedName name="_5426__FDSAUDITLINK__" localSheetId="6" hidden="1">{"fdsup://directions/FAT Viewer?action=UPDATE&amp;creator=factset&amp;DYN_ARGS=TRUE&amp;DOC_NAME=FAT:FQL_AUDITING_CLIENT_TEMPLATE.FAT&amp;display_string=Audit&amp;VAR:KEY=HUVWNMPOPY&amp;VAR:QUERY=RkZfRUJJVERBX0lCKCdMVE1TJywzODQ1OSk=&amp;WINDOW=FIRST_POPUP&amp;HEIGHT=450&amp;WIDTH=450&amp;START_MA","XIMIZED=FALSE&amp;VAR:CALENDAR=US&amp;VAR:SYMBOL=37183T10&amp;VAR:INDEX=0"}</definedName>
    <definedName name="_5426__FDSAUDITLINK__" hidden="1">{"fdsup://directions/FAT Viewer?action=UPDATE&amp;creator=factset&amp;DYN_ARGS=TRUE&amp;DOC_NAME=FAT:FQL_AUDITING_CLIENT_TEMPLATE.FAT&amp;display_string=Audit&amp;VAR:KEY=HUVWNMPOPY&amp;VAR:QUERY=RkZfRUJJVERBX0lCKCdMVE1TJywzODQ1OSk=&amp;WINDOW=FIRST_POPUP&amp;HEIGHT=450&amp;WIDTH=450&amp;START_MA","XIMIZED=FALSE&amp;VAR:CALENDAR=US&amp;VAR:SYMBOL=37183T10&amp;VAR:INDEX=0"}</definedName>
    <definedName name="_5427__FDSAUDITLINK__" localSheetId="6" hidden="1">{"fdsup://directions/FAT Viewer?action=UPDATE&amp;creator=factset&amp;DYN_ARGS=TRUE&amp;DOC_NAME=FAT:FQL_AUDITING_CLIENT_TEMPLATE.FAT&amp;display_string=Audit&amp;VAR:KEY=RITIHWXAXC&amp;VAR:QUERY=RkZfRUJJVERBX0lCKCdMVE1TJywzODQ1OCk=&amp;WINDOW=FIRST_POPUP&amp;HEIGHT=450&amp;WIDTH=450&amp;START_MA","XIMIZED=FALSE&amp;VAR:CALENDAR=US&amp;VAR:SYMBOL=37183T10&amp;VAR:INDEX=0"}</definedName>
    <definedName name="_5427__FDSAUDITLINK__" hidden="1">{"fdsup://directions/FAT Viewer?action=UPDATE&amp;creator=factset&amp;DYN_ARGS=TRUE&amp;DOC_NAME=FAT:FQL_AUDITING_CLIENT_TEMPLATE.FAT&amp;display_string=Audit&amp;VAR:KEY=RITIHWXAXC&amp;VAR:QUERY=RkZfRUJJVERBX0lCKCdMVE1TJywzODQ1OCk=&amp;WINDOW=FIRST_POPUP&amp;HEIGHT=450&amp;WIDTH=450&amp;START_MA","XIMIZED=FALSE&amp;VAR:CALENDAR=US&amp;VAR:SYMBOL=37183T10&amp;VAR:INDEX=0"}</definedName>
    <definedName name="_5428__FDSAUDITLINK__" localSheetId="6" hidden="1">{"fdsup://directions/FAT Viewer?action=UPDATE&amp;creator=factset&amp;DYN_ARGS=TRUE&amp;DOC_NAME=FAT:FQL_AUDITING_CLIENT_TEMPLATE.FAT&amp;display_string=Audit&amp;VAR:KEY=BCZOFEHSZM&amp;VAR:QUERY=RkZfRUJJVERBX0lCKCdMVE1TJywzODQ1Nyk=&amp;WINDOW=FIRST_POPUP&amp;HEIGHT=450&amp;WIDTH=450&amp;START_MA","XIMIZED=FALSE&amp;VAR:CALENDAR=US&amp;VAR:SYMBOL=37183T10&amp;VAR:INDEX=0"}</definedName>
    <definedName name="_5428__FDSAUDITLINK__" hidden="1">{"fdsup://directions/FAT Viewer?action=UPDATE&amp;creator=factset&amp;DYN_ARGS=TRUE&amp;DOC_NAME=FAT:FQL_AUDITING_CLIENT_TEMPLATE.FAT&amp;display_string=Audit&amp;VAR:KEY=BCZOFEHSZM&amp;VAR:QUERY=RkZfRUJJVERBX0lCKCdMVE1TJywzODQ1Nyk=&amp;WINDOW=FIRST_POPUP&amp;HEIGHT=450&amp;WIDTH=450&amp;START_MA","XIMIZED=FALSE&amp;VAR:CALENDAR=US&amp;VAR:SYMBOL=37183T10&amp;VAR:INDEX=0"}</definedName>
    <definedName name="_5429__FDSAUDITLINK__" localSheetId="6" hidden="1">{"fdsup://directions/FAT Viewer?action=UPDATE&amp;creator=factset&amp;DYN_ARGS=TRUE&amp;DOC_NAME=FAT:FQL_AUDITING_CLIENT_TEMPLATE.FAT&amp;display_string=Audit&amp;VAR:KEY=JCXSJOPWNK&amp;VAR:QUERY=RkZfRUJJVERBX0lCKCdMVE1TJywzODQ1Nik=&amp;WINDOW=FIRST_POPUP&amp;HEIGHT=450&amp;WIDTH=450&amp;START_MA","XIMIZED=FALSE&amp;VAR:CALENDAR=US&amp;VAR:SYMBOL=37183T10&amp;VAR:INDEX=0"}</definedName>
    <definedName name="_5429__FDSAUDITLINK__" hidden="1">{"fdsup://directions/FAT Viewer?action=UPDATE&amp;creator=factset&amp;DYN_ARGS=TRUE&amp;DOC_NAME=FAT:FQL_AUDITING_CLIENT_TEMPLATE.FAT&amp;display_string=Audit&amp;VAR:KEY=JCXSJOPWNK&amp;VAR:QUERY=RkZfRUJJVERBX0lCKCdMVE1TJywzODQ1Nik=&amp;WINDOW=FIRST_POPUP&amp;HEIGHT=450&amp;WIDTH=450&amp;START_MA","XIMIZED=FALSE&amp;VAR:CALENDAR=US&amp;VAR:SYMBOL=37183T10&amp;VAR:INDEX=0"}</definedName>
    <definedName name="_543__FDSAUDITLINK__" localSheetId="6" hidden="1">{"fdsup://directions/FAT%20Viewer?VAR:PED=LTM&amp;VAR:AUDIT_MODE=SUMMARY&amp;VAR:PERIOD=FIXED&amp;VAR:AUDIT_ID=00000117&amp;VAR:DATE=20080827&amp;action=UPDATE&amp;creator=factset&amp;DOC_NAME=FAT:FMA_audit_SUMMARY.fat&amp;DISPLAY_STRING=Display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3__FDSAUDITLINK__" hidden="1">{"fdsup://directions/FAT%20Viewer?VAR:PED=LTM&amp;VAR:AUDIT_MODE=SUMMARY&amp;VAR:PERIOD=FIXED&amp;VAR:AUDIT_ID=00000117&amp;VAR:DATE=20080827&amp;action=UPDATE&amp;creator=factset&amp;DOC_NAME=FAT:FMA_audit_SUMMARY.fat&amp;DISPLAY_STRING=Display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30__FDSAUDITLINK__" localSheetId="6" hidden="1">{"fdsup://directions/FAT Viewer?action=UPDATE&amp;creator=factset&amp;DYN_ARGS=TRUE&amp;DOC_NAME=FAT:FQL_AUDITING_CLIENT_TEMPLATE.FAT&amp;display_string=Audit&amp;VAR:KEY=VQPKZULQHY&amp;VAR:QUERY=RkZfRUJJVERBX0lCKCdMVE1TJywzODQ1NSk=&amp;WINDOW=FIRST_POPUP&amp;HEIGHT=450&amp;WIDTH=450&amp;START_MA","XIMIZED=FALSE&amp;VAR:CALENDAR=US&amp;VAR:SYMBOL=37183T10&amp;VAR:INDEX=0"}</definedName>
    <definedName name="_5430__FDSAUDITLINK__" hidden="1">{"fdsup://directions/FAT Viewer?action=UPDATE&amp;creator=factset&amp;DYN_ARGS=TRUE&amp;DOC_NAME=FAT:FQL_AUDITING_CLIENT_TEMPLATE.FAT&amp;display_string=Audit&amp;VAR:KEY=VQPKZULQHY&amp;VAR:QUERY=RkZfRUJJVERBX0lCKCdMVE1TJywzODQ1NSk=&amp;WINDOW=FIRST_POPUP&amp;HEIGHT=450&amp;WIDTH=450&amp;START_MA","XIMIZED=FALSE&amp;VAR:CALENDAR=US&amp;VAR:SYMBOL=37183T10&amp;VAR:INDEX=0"}</definedName>
    <definedName name="_5431__FDSAUDITLINK__" localSheetId="6" hidden="1">{"fdsup://directions/FAT Viewer?action=UPDATE&amp;creator=factset&amp;DYN_ARGS=TRUE&amp;DOC_NAME=FAT:FQL_AUDITING_CLIENT_TEMPLATE.FAT&amp;display_string=Audit&amp;VAR:KEY=NGPMNMJWZU&amp;VAR:QUERY=RkZfRUJJVERBX0lCKCdMVE1TJywzODQ1NCk=&amp;WINDOW=FIRST_POPUP&amp;HEIGHT=450&amp;WIDTH=450&amp;START_MA","XIMIZED=FALSE&amp;VAR:CALENDAR=US&amp;VAR:SYMBOL=37183T10&amp;VAR:INDEX=0"}</definedName>
    <definedName name="_5431__FDSAUDITLINK__" hidden="1">{"fdsup://directions/FAT Viewer?action=UPDATE&amp;creator=factset&amp;DYN_ARGS=TRUE&amp;DOC_NAME=FAT:FQL_AUDITING_CLIENT_TEMPLATE.FAT&amp;display_string=Audit&amp;VAR:KEY=NGPMNMJWZU&amp;VAR:QUERY=RkZfRUJJVERBX0lCKCdMVE1TJywzODQ1NCk=&amp;WINDOW=FIRST_POPUP&amp;HEIGHT=450&amp;WIDTH=450&amp;START_MA","XIMIZED=FALSE&amp;VAR:CALENDAR=US&amp;VAR:SYMBOL=37183T10&amp;VAR:INDEX=0"}</definedName>
    <definedName name="_5432__FDSAUDITLINK__" localSheetId="6" hidden="1">{"fdsup://directions/FAT Viewer?action=UPDATE&amp;creator=factset&amp;DYN_ARGS=TRUE&amp;DOC_NAME=FAT:FQL_AUDITING_CLIENT_TEMPLATE.FAT&amp;display_string=Audit&amp;VAR:KEY=NIXWFERERQ&amp;VAR:QUERY=RkZfRUJJVERBX0lCKCdMVE1TJywzODQ1Myk=&amp;WINDOW=FIRST_POPUP&amp;HEIGHT=450&amp;WIDTH=450&amp;START_MA","XIMIZED=FALSE&amp;VAR:CALENDAR=US&amp;VAR:SYMBOL=37183T10&amp;VAR:INDEX=0"}</definedName>
    <definedName name="_5432__FDSAUDITLINK__" hidden="1">{"fdsup://directions/FAT Viewer?action=UPDATE&amp;creator=factset&amp;DYN_ARGS=TRUE&amp;DOC_NAME=FAT:FQL_AUDITING_CLIENT_TEMPLATE.FAT&amp;display_string=Audit&amp;VAR:KEY=NIXWFERERQ&amp;VAR:QUERY=RkZfRUJJVERBX0lCKCdMVE1TJywzODQ1Myk=&amp;WINDOW=FIRST_POPUP&amp;HEIGHT=450&amp;WIDTH=450&amp;START_MA","XIMIZED=FALSE&amp;VAR:CALENDAR=US&amp;VAR:SYMBOL=37183T10&amp;VAR:INDEX=0"}</definedName>
    <definedName name="_5433__FDSAUDITLINK__" localSheetId="6" hidden="1">{"fdsup://directions/FAT Viewer?action=UPDATE&amp;creator=factset&amp;DYN_ARGS=TRUE&amp;DOC_NAME=FAT:FQL_AUDITING_CLIENT_TEMPLATE.FAT&amp;display_string=Audit&amp;VAR:KEY=LEXQLSBSVG&amp;VAR:QUERY=RkZfRUJJVERBX0lCKCdMVE1TJywzODQ1Mik=&amp;WINDOW=FIRST_POPUP&amp;HEIGHT=450&amp;WIDTH=450&amp;START_MA","XIMIZED=FALSE&amp;VAR:CALENDAR=US&amp;VAR:SYMBOL=37183T10&amp;VAR:INDEX=0"}</definedName>
    <definedName name="_5433__FDSAUDITLINK__" hidden="1">{"fdsup://directions/FAT Viewer?action=UPDATE&amp;creator=factset&amp;DYN_ARGS=TRUE&amp;DOC_NAME=FAT:FQL_AUDITING_CLIENT_TEMPLATE.FAT&amp;display_string=Audit&amp;VAR:KEY=LEXQLSBSVG&amp;VAR:QUERY=RkZfRUJJVERBX0lCKCdMVE1TJywzODQ1Mik=&amp;WINDOW=FIRST_POPUP&amp;HEIGHT=450&amp;WIDTH=450&amp;START_MA","XIMIZED=FALSE&amp;VAR:CALENDAR=US&amp;VAR:SYMBOL=37183T10&amp;VAR:INDEX=0"}</definedName>
    <definedName name="_5434__FDSAUDITLINK__" localSheetId="6" hidden="1">{"fdsup://directions/FAT Viewer?action=UPDATE&amp;creator=factset&amp;DYN_ARGS=TRUE&amp;DOC_NAME=FAT:FQL_AUDITING_CLIENT_TEMPLATE.FAT&amp;display_string=Audit&amp;VAR:KEY=ZMPIRMHWXS&amp;VAR:QUERY=RkZfRUJJVERBX0lCKCdMVE1TJywzODQ1MSk=&amp;WINDOW=FIRST_POPUP&amp;HEIGHT=450&amp;WIDTH=450&amp;START_MA","XIMIZED=FALSE&amp;VAR:CALENDAR=US&amp;VAR:SYMBOL=37183T10&amp;VAR:INDEX=0"}</definedName>
    <definedName name="_5434__FDSAUDITLINK__" hidden="1">{"fdsup://directions/FAT Viewer?action=UPDATE&amp;creator=factset&amp;DYN_ARGS=TRUE&amp;DOC_NAME=FAT:FQL_AUDITING_CLIENT_TEMPLATE.FAT&amp;display_string=Audit&amp;VAR:KEY=ZMPIRMHWXS&amp;VAR:QUERY=RkZfRUJJVERBX0lCKCdMVE1TJywzODQ1MSk=&amp;WINDOW=FIRST_POPUP&amp;HEIGHT=450&amp;WIDTH=450&amp;START_MA","XIMIZED=FALSE&amp;VAR:CALENDAR=US&amp;VAR:SYMBOL=37183T10&amp;VAR:INDEX=0"}</definedName>
    <definedName name="_5435__FDSAUDITLINK__" localSheetId="6" hidden="1">{"fdsup://directions/FAT Viewer?action=UPDATE&amp;creator=factset&amp;DYN_ARGS=TRUE&amp;DOC_NAME=FAT:FQL_AUDITING_CLIENT_TEMPLATE.FAT&amp;display_string=Audit&amp;VAR:KEY=HADULGHYVW&amp;VAR:QUERY=RkZfRUJJVERBX0lCKCdMVE1TJywzODQ1MCk=&amp;WINDOW=FIRST_POPUP&amp;HEIGHT=450&amp;WIDTH=450&amp;START_MA","XIMIZED=FALSE&amp;VAR:CALENDAR=US&amp;VAR:SYMBOL=37183T10&amp;VAR:INDEX=0"}</definedName>
    <definedName name="_5435__FDSAUDITLINK__" hidden="1">{"fdsup://directions/FAT Viewer?action=UPDATE&amp;creator=factset&amp;DYN_ARGS=TRUE&amp;DOC_NAME=FAT:FQL_AUDITING_CLIENT_TEMPLATE.FAT&amp;display_string=Audit&amp;VAR:KEY=HADULGHYVW&amp;VAR:QUERY=RkZfRUJJVERBX0lCKCdMVE1TJywzODQ1MCk=&amp;WINDOW=FIRST_POPUP&amp;HEIGHT=450&amp;WIDTH=450&amp;START_MA","XIMIZED=FALSE&amp;VAR:CALENDAR=US&amp;VAR:SYMBOL=37183T10&amp;VAR:INDEX=0"}</definedName>
    <definedName name="_5436__FDSAUDITLINK__" localSheetId="6" hidden="1">{"fdsup://directions/FAT Viewer?action=UPDATE&amp;creator=factset&amp;DYN_ARGS=TRUE&amp;DOC_NAME=FAT:FQL_AUDITING_CLIENT_TEMPLATE.FAT&amp;display_string=Audit&amp;VAR:KEY=VKXODMXORQ&amp;VAR:QUERY=RkZfRUJJVERBX0lCKCdMVE1TJywzODQ0OSk=&amp;WINDOW=FIRST_POPUP&amp;HEIGHT=450&amp;WIDTH=450&amp;START_MA","XIMIZED=FALSE&amp;VAR:CALENDAR=US&amp;VAR:SYMBOL=37183T10&amp;VAR:INDEX=0"}</definedName>
    <definedName name="_5436__FDSAUDITLINK__" hidden="1">{"fdsup://directions/FAT Viewer?action=UPDATE&amp;creator=factset&amp;DYN_ARGS=TRUE&amp;DOC_NAME=FAT:FQL_AUDITING_CLIENT_TEMPLATE.FAT&amp;display_string=Audit&amp;VAR:KEY=VKXODMXORQ&amp;VAR:QUERY=RkZfRUJJVERBX0lCKCdMVE1TJywzODQ0OSk=&amp;WINDOW=FIRST_POPUP&amp;HEIGHT=450&amp;WIDTH=450&amp;START_MA","XIMIZED=FALSE&amp;VAR:CALENDAR=US&amp;VAR:SYMBOL=37183T10&amp;VAR:INDEX=0"}</definedName>
    <definedName name="_5437__FDSAUDITLINK__" localSheetId="6" hidden="1">{"fdsup://directions/FAT Viewer?action=UPDATE&amp;creator=factset&amp;DYN_ARGS=TRUE&amp;DOC_NAME=FAT:FQL_AUDITING_CLIENT_TEMPLATE.FAT&amp;display_string=Audit&amp;VAR:KEY=VQPQLAJIDG&amp;VAR:QUERY=RkZfRUJJVERBX0lCKCdMVE1TJywzODQ0OCk=&amp;WINDOW=FIRST_POPUP&amp;HEIGHT=450&amp;WIDTH=450&amp;START_MA","XIMIZED=FALSE&amp;VAR:CALENDAR=US&amp;VAR:SYMBOL=37183T10&amp;VAR:INDEX=0"}</definedName>
    <definedName name="_5437__FDSAUDITLINK__" hidden="1">{"fdsup://directions/FAT Viewer?action=UPDATE&amp;creator=factset&amp;DYN_ARGS=TRUE&amp;DOC_NAME=FAT:FQL_AUDITING_CLIENT_TEMPLATE.FAT&amp;display_string=Audit&amp;VAR:KEY=VQPQLAJIDG&amp;VAR:QUERY=RkZfRUJJVERBX0lCKCdMVE1TJywzODQ0OCk=&amp;WINDOW=FIRST_POPUP&amp;HEIGHT=450&amp;WIDTH=450&amp;START_MA","XIMIZED=FALSE&amp;VAR:CALENDAR=US&amp;VAR:SYMBOL=37183T10&amp;VAR:INDEX=0"}</definedName>
    <definedName name="_5438__FDSAUDITLINK__" localSheetId="6" hidden="1">{"fdsup://directions/FAT Viewer?action=UPDATE&amp;creator=factset&amp;DYN_ARGS=TRUE&amp;DOC_NAME=FAT:FQL_AUDITING_CLIENT_TEMPLATE.FAT&amp;display_string=Audit&amp;VAR:KEY=ZMPOXARGLE&amp;VAR:QUERY=RkZfRUJJVERBX0lCKCdMVE1TJywzODQ0Nyk=&amp;WINDOW=FIRST_POPUP&amp;HEIGHT=450&amp;WIDTH=450&amp;START_MA","XIMIZED=FALSE&amp;VAR:CALENDAR=US&amp;VAR:SYMBOL=37183T10&amp;VAR:INDEX=0"}</definedName>
    <definedName name="_5438__FDSAUDITLINK__" hidden="1">{"fdsup://directions/FAT Viewer?action=UPDATE&amp;creator=factset&amp;DYN_ARGS=TRUE&amp;DOC_NAME=FAT:FQL_AUDITING_CLIENT_TEMPLATE.FAT&amp;display_string=Audit&amp;VAR:KEY=ZMPOXARGLE&amp;VAR:QUERY=RkZfRUJJVERBX0lCKCdMVE1TJywzODQ0Nyk=&amp;WINDOW=FIRST_POPUP&amp;HEIGHT=450&amp;WIDTH=450&amp;START_MA","XIMIZED=FALSE&amp;VAR:CALENDAR=US&amp;VAR:SYMBOL=37183T10&amp;VAR:INDEX=0"}</definedName>
    <definedName name="_5439__FDSAUDITLINK__" localSheetId="6" hidden="1">{"fdsup://directions/FAT Viewer?action=UPDATE&amp;creator=factset&amp;DYN_ARGS=TRUE&amp;DOC_NAME=FAT:FQL_AUDITING_CLIENT_TEMPLATE.FAT&amp;display_string=Audit&amp;VAR:KEY=VWNCNCVYJC&amp;VAR:QUERY=RkZfRUJJVERBX0lCKCdMVE1TJywzODQ0Nik=&amp;WINDOW=FIRST_POPUP&amp;HEIGHT=450&amp;WIDTH=450&amp;START_MA","XIMIZED=FALSE&amp;VAR:CALENDAR=US&amp;VAR:SYMBOL=37183T10&amp;VAR:INDEX=0"}</definedName>
    <definedName name="_5439__FDSAUDITLINK__" hidden="1">{"fdsup://directions/FAT Viewer?action=UPDATE&amp;creator=factset&amp;DYN_ARGS=TRUE&amp;DOC_NAME=FAT:FQL_AUDITING_CLIENT_TEMPLATE.FAT&amp;display_string=Audit&amp;VAR:KEY=VWNCNCVYJC&amp;VAR:QUERY=RkZfRUJJVERBX0lCKCdMVE1TJywzODQ0Nik=&amp;WINDOW=FIRST_POPUP&amp;HEIGHT=450&amp;WIDTH=450&amp;START_MA","XIMIZED=FALSE&amp;VAR:CALENDAR=US&amp;VAR:SYMBOL=37183T10&amp;VAR:INDEX=0"}</definedName>
    <definedName name="_544__FDSAUDITLINK__" localSheetId="6" hidden="1">{"fdsup://directions/FAT%20Viewer?VAR:PED=LTM&amp;VAR:AUDIT_MODE=SUMMARY&amp;VAR:PERIOD=FIXED&amp;VAR:AUDIT_ID=00000117&amp;VAR:DATE=20080826&amp;action=UPDATE&amp;creator=factset&amp;DOC_NAME=FAT:FMA_audit_SUMMARY.fat&amp;DISPLAY_STRING=Display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4__FDSAUDITLINK__" hidden="1">{"fdsup://directions/FAT%20Viewer?VAR:PED=LTM&amp;VAR:AUDIT_MODE=SUMMARY&amp;VAR:PERIOD=FIXED&amp;VAR:AUDIT_ID=00000117&amp;VAR:DATE=20080826&amp;action=UPDATE&amp;creator=factset&amp;DOC_NAME=FAT:FMA_audit_SUMMARY.fat&amp;DISPLAY_STRING=Display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40__FDSAUDITLINK__" localSheetId="6" hidden="1">{"fdsup://directions/FAT Viewer?action=UPDATE&amp;creator=factset&amp;DYN_ARGS=TRUE&amp;DOC_NAME=FAT:FQL_AUDITING_CLIENT_TEMPLATE.FAT&amp;display_string=Audit&amp;VAR:KEY=FEXQRYVKLS&amp;VAR:QUERY=RkZfRUJJVERBX0lCKCdMVE1TJywzODQ0NSk=&amp;WINDOW=FIRST_POPUP&amp;HEIGHT=450&amp;WIDTH=450&amp;START_MA","XIMIZED=FALSE&amp;VAR:CALENDAR=US&amp;VAR:SYMBOL=37183T10&amp;VAR:INDEX=0"}</definedName>
    <definedName name="_5440__FDSAUDITLINK__" hidden="1">{"fdsup://directions/FAT Viewer?action=UPDATE&amp;creator=factset&amp;DYN_ARGS=TRUE&amp;DOC_NAME=FAT:FQL_AUDITING_CLIENT_TEMPLATE.FAT&amp;display_string=Audit&amp;VAR:KEY=FEXQRYVKLS&amp;VAR:QUERY=RkZfRUJJVERBX0lCKCdMVE1TJywzODQ0NSk=&amp;WINDOW=FIRST_POPUP&amp;HEIGHT=450&amp;WIDTH=450&amp;START_MA","XIMIZED=FALSE&amp;VAR:CALENDAR=US&amp;VAR:SYMBOL=37183T10&amp;VAR:INDEX=0"}</definedName>
    <definedName name="_5441__FDSAUDITLINK__" localSheetId="6" hidden="1">{"fdsup://directions/FAT Viewer?action=UPDATE&amp;creator=factset&amp;DYN_ARGS=TRUE&amp;DOC_NAME=FAT:FQL_AUDITING_CLIENT_TEMPLATE.FAT&amp;display_string=Audit&amp;VAR:KEY=LCBITWNAPO&amp;VAR:QUERY=RkZfRUJJVERBX0lCKCdMVE1TJywzODQ0NCk=&amp;WINDOW=FIRST_POPUP&amp;HEIGHT=450&amp;WIDTH=450&amp;START_MA","XIMIZED=FALSE&amp;VAR:CALENDAR=US&amp;VAR:SYMBOL=37183T10&amp;VAR:INDEX=0"}</definedName>
    <definedName name="_5441__FDSAUDITLINK__" hidden="1">{"fdsup://directions/FAT Viewer?action=UPDATE&amp;creator=factset&amp;DYN_ARGS=TRUE&amp;DOC_NAME=FAT:FQL_AUDITING_CLIENT_TEMPLATE.FAT&amp;display_string=Audit&amp;VAR:KEY=LCBITWNAPO&amp;VAR:QUERY=RkZfRUJJVERBX0lCKCdMVE1TJywzODQ0NCk=&amp;WINDOW=FIRST_POPUP&amp;HEIGHT=450&amp;WIDTH=450&amp;START_MA","XIMIZED=FALSE&amp;VAR:CALENDAR=US&amp;VAR:SYMBOL=37183T10&amp;VAR:INDEX=0"}</definedName>
    <definedName name="_5442__FDSAUDITLINK__" localSheetId="6" hidden="1">{"fdsup://directions/FAT Viewer?action=UPDATE&amp;creator=factset&amp;DYN_ARGS=TRUE&amp;DOC_NAME=FAT:FQL_AUDITING_CLIENT_TEMPLATE.FAT&amp;display_string=Audit&amp;VAR:KEY=RYPOPUDOLS&amp;VAR:QUERY=RkZfRUJJVERBX0lCKCdMVE1TJywzODQ0Myk=&amp;WINDOW=FIRST_POPUP&amp;HEIGHT=450&amp;WIDTH=450&amp;START_MA","XIMIZED=FALSE&amp;VAR:CALENDAR=US&amp;VAR:SYMBOL=37183T10&amp;VAR:INDEX=0"}</definedName>
    <definedName name="_5442__FDSAUDITLINK__" hidden="1">{"fdsup://directions/FAT Viewer?action=UPDATE&amp;creator=factset&amp;DYN_ARGS=TRUE&amp;DOC_NAME=FAT:FQL_AUDITING_CLIENT_TEMPLATE.FAT&amp;display_string=Audit&amp;VAR:KEY=RYPOPUDOLS&amp;VAR:QUERY=RkZfRUJJVERBX0lCKCdMVE1TJywzODQ0Myk=&amp;WINDOW=FIRST_POPUP&amp;HEIGHT=450&amp;WIDTH=450&amp;START_MA","XIMIZED=FALSE&amp;VAR:CALENDAR=US&amp;VAR:SYMBOL=37183T10&amp;VAR:INDEX=0"}</definedName>
    <definedName name="_5443__FDSAUDITLINK__" localSheetId="6" hidden="1">{"fdsup://directions/FAT Viewer?action=UPDATE&amp;creator=factset&amp;DYN_ARGS=TRUE&amp;DOC_NAME=FAT:FQL_AUDITING_CLIENT_TEMPLATE.FAT&amp;display_string=Audit&amp;VAR:KEY=XSTQJQFMHC&amp;VAR:QUERY=RkZfRUJJVERBX0lCKCdMVE1TJywzODQ0Mik=&amp;WINDOW=FIRST_POPUP&amp;HEIGHT=450&amp;WIDTH=450&amp;START_MA","XIMIZED=FALSE&amp;VAR:CALENDAR=US&amp;VAR:SYMBOL=37183T10&amp;VAR:INDEX=0"}</definedName>
    <definedName name="_5443__FDSAUDITLINK__" hidden="1">{"fdsup://directions/FAT Viewer?action=UPDATE&amp;creator=factset&amp;DYN_ARGS=TRUE&amp;DOC_NAME=FAT:FQL_AUDITING_CLIENT_TEMPLATE.FAT&amp;display_string=Audit&amp;VAR:KEY=XSTQJQFMHC&amp;VAR:QUERY=RkZfRUJJVERBX0lCKCdMVE1TJywzODQ0Mik=&amp;WINDOW=FIRST_POPUP&amp;HEIGHT=450&amp;WIDTH=450&amp;START_MA","XIMIZED=FALSE&amp;VAR:CALENDAR=US&amp;VAR:SYMBOL=37183T10&amp;VAR:INDEX=0"}</definedName>
    <definedName name="_5444__FDSAUDITLINK__" localSheetId="6" hidden="1">{"fdsup://directions/FAT Viewer?action=UPDATE&amp;creator=factset&amp;DYN_ARGS=TRUE&amp;DOC_NAME=FAT:FQL_AUDITING_CLIENT_TEMPLATE.FAT&amp;display_string=Audit&amp;VAR:KEY=TGHGTQRGHM&amp;VAR:QUERY=RkZfRUJJVERBX0lCKCdMVE1TJywzODQ0MSk=&amp;WINDOW=FIRST_POPUP&amp;HEIGHT=450&amp;WIDTH=450&amp;START_MA","XIMIZED=FALSE&amp;VAR:CALENDAR=US&amp;VAR:SYMBOL=37183T10&amp;VAR:INDEX=0"}</definedName>
    <definedName name="_5444__FDSAUDITLINK__" hidden="1">{"fdsup://directions/FAT Viewer?action=UPDATE&amp;creator=factset&amp;DYN_ARGS=TRUE&amp;DOC_NAME=FAT:FQL_AUDITING_CLIENT_TEMPLATE.FAT&amp;display_string=Audit&amp;VAR:KEY=TGHGTQRGHM&amp;VAR:QUERY=RkZfRUJJVERBX0lCKCdMVE1TJywzODQ0MSk=&amp;WINDOW=FIRST_POPUP&amp;HEIGHT=450&amp;WIDTH=450&amp;START_MA","XIMIZED=FALSE&amp;VAR:CALENDAR=US&amp;VAR:SYMBOL=37183T10&amp;VAR:INDEX=0"}</definedName>
    <definedName name="_5445__FDSAUDITLINK__" localSheetId="6" hidden="1">{"fdsup://directions/FAT Viewer?action=UPDATE&amp;creator=factset&amp;DYN_ARGS=TRUE&amp;DOC_NAME=FAT:FQL_AUDITING_CLIENT_TEMPLATE.FAT&amp;display_string=Audit&amp;VAR:KEY=LQNQZQFQBG&amp;VAR:QUERY=RkZfRUJJVERBX0lCKCdMVE1TJywzODQ0MCk=&amp;WINDOW=FIRST_POPUP&amp;HEIGHT=450&amp;WIDTH=450&amp;START_MA","XIMIZED=FALSE&amp;VAR:CALENDAR=US&amp;VAR:SYMBOL=37183T10&amp;VAR:INDEX=0"}</definedName>
    <definedName name="_5445__FDSAUDITLINK__" hidden="1">{"fdsup://directions/FAT Viewer?action=UPDATE&amp;creator=factset&amp;DYN_ARGS=TRUE&amp;DOC_NAME=FAT:FQL_AUDITING_CLIENT_TEMPLATE.FAT&amp;display_string=Audit&amp;VAR:KEY=LQNQZQFQBG&amp;VAR:QUERY=RkZfRUJJVERBX0lCKCdMVE1TJywzODQ0MCk=&amp;WINDOW=FIRST_POPUP&amp;HEIGHT=450&amp;WIDTH=450&amp;START_MA","XIMIZED=FALSE&amp;VAR:CALENDAR=US&amp;VAR:SYMBOL=37183T10&amp;VAR:INDEX=0"}</definedName>
    <definedName name="_5446__FDSAUDITLINK__" localSheetId="6" hidden="1">{"fdsup://directions/FAT Viewer?action=UPDATE&amp;creator=factset&amp;DYN_ARGS=TRUE&amp;DOC_NAME=FAT:FQL_AUDITING_CLIENT_TEMPLATE.FAT&amp;display_string=Audit&amp;VAR:KEY=NKZIBUXEVC&amp;VAR:QUERY=RkZfRUJJVERBX0lCKCdMVE1TJywzODQzOSk=&amp;WINDOW=FIRST_POPUP&amp;HEIGHT=450&amp;WIDTH=450&amp;START_MA","XIMIZED=FALSE&amp;VAR:CALENDAR=US&amp;VAR:SYMBOL=37183T10&amp;VAR:INDEX=0"}</definedName>
    <definedName name="_5446__FDSAUDITLINK__" hidden="1">{"fdsup://directions/FAT Viewer?action=UPDATE&amp;creator=factset&amp;DYN_ARGS=TRUE&amp;DOC_NAME=FAT:FQL_AUDITING_CLIENT_TEMPLATE.FAT&amp;display_string=Audit&amp;VAR:KEY=NKZIBUXEVC&amp;VAR:QUERY=RkZfRUJJVERBX0lCKCdMVE1TJywzODQzOSk=&amp;WINDOW=FIRST_POPUP&amp;HEIGHT=450&amp;WIDTH=450&amp;START_MA","XIMIZED=FALSE&amp;VAR:CALENDAR=US&amp;VAR:SYMBOL=37183T10&amp;VAR:INDEX=0"}</definedName>
    <definedName name="_5447__FDSAUDITLINK__" localSheetId="6" hidden="1">{"fdsup://directions/FAT Viewer?action=UPDATE&amp;creator=factset&amp;DYN_ARGS=TRUE&amp;DOC_NAME=FAT:FQL_AUDITING_CLIENT_TEMPLATE.FAT&amp;display_string=Audit&amp;VAR:KEY=TKVWDEDEXI&amp;VAR:QUERY=RkZfRUJJVERBX0lCKCdMVE1TJywzODQzOCk=&amp;WINDOW=FIRST_POPUP&amp;HEIGHT=450&amp;WIDTH=450&amp;START_MA","XIMIZED=FALSE&amp;VAR:CALENDAR=US&amp;VAR:SYMBOL=37183T10&amp;VAR:INDEX=0"}</definedName>
    <definedName name="_5447__FDSAUDITLINK__" hidden="1">{"fdsup://directions/FAT Viewer?action=UPDATE&amp;creator=factset&amp;DYN_ARGS=TRUE&amp;DOC_NAME=FAT:FQL_AUDITING_CLIENT_TEMPLATE.FAT&amp;display_string=Audit&amp;VAR:KEY=TKVWDEDEXI&amp;VAR:QUERY=RkZfRUJJVERBX0lCKCdMVE1TJywzODQzOCk=&amp;WINDOW=FIRST_POPUP&amp;HEIGHT=450&amp;WIDTH=450&amp;START_MA","XIMIZED=FALSE&amp;VAR:CALENDAR=US&amp;VAR:SYMBOL=37183T10&amp;VAR:INDEX=0"}</definedName>
    <definedName name="_5448__FDSAUDITLINK__" localSheetId="6" hidden="1">{"fdsup://directions/FAT Viewer?action=UPDATE&amp;creator=factset&amp;DYN_ARGS=TRUE&amp;DOC_NAME=FAT:FQL_AUDITING_CLIENT_TEMPLATE.FAT&amp;display_string=Audit&amp;VAR:KEY=JMXWVUNYNU&amp;VAR:QUERY=RkZfRUJJVERBX0lCKCdMVE1TJywzODQzNyk=&amp;WINDOW=FIRST_POPUP&amp;HEIGHT=450&amp;WIDTH=450&amp;START_MA","XIMIZED=FALSE&amp;VAR:CALENDAR=US&amp;VAR:SYMBOL=37183T10&amp;VAR:INDEX=0"}</definedName>
    <definedName name="_5448__FDSAUDITLINK__" hidden="1">{"fdsup://directions/FAT Viewer?action=UPDATE&amp;creator=factset&amp;DYN_ARGS=TRUE&amp;DOC_NAME=FAT:FQL_AUDITING_CLIENT_TEMPLATE.FAT&amp;display_string=Audit&amp;VAR:KEY=JMXWVUNYNU&amp;VAR:QUERY=RkZfRUJJVERBX0lCKCdMVE1TJywzODQzNyk=&amp;WINDOW=FIRST_POPUP&amp;HEIGHT=450&amp;WIDTH=450&amp;START_MA","XIMIZED=FALSE&amp;VAR:CALENDAR=US&amp;VAR:SYMBOL=37183T10&amp;VAR:INDEX=0"}</definedName>
    <definedName name="_5449__FDSAUDITLINK__" localSheetId="6" hidden="1">{"fdsup://directions/FAT Viewer?action=UPDATE&amp;creator=factset&amp;DYN_ARGS=TRUE&amp;DOC_NAME=FAT:FQL_AUDITING_CLIENT_TEMPLATE.FAT&amp;display_string=Audit&amp;VAR:KEY=ZOHQJOJUJW&amp;VAR:QUERY=RkZfRUJJVERBX0lCKCdMVE1TJywzODQzNik=&amp;WINDOW=FIRST_POPUP&amp;HEIGHT=450&amp;WIDTH=450&amp;START_MA","XIMIZED=FALSE&amp;VAR:CALENDAR=US&amp;VAR:SYMBOL=37183T10&amp;VAR:INDEX=0"}</definedName>
    <definedName name="_5449__FDSAUDITLINK__" hidden="1">{"fdsup://directions/FAT Viewer?action=UPDATE&amp;creator=factset&amp;DYN_ARGS=TRUE&amp;DOC_NAME=FAT:FQL_AUDITING_CLIENT_TEMPLATE.FAT&amp;display_string=Audit&amp;VAR:KEY=ZOHQJOJUJW&amp;VAR:QUERY=RkZfRUJJVERBX0lCKCdMVE1TJywzODQzNik=&amp;WINDOW=FIRST_POPUP&amp;HEIGHT=450&amp;WIDTH=450&amp;START_MA","XIMIZED=FALSE&amp;VAR:CALENDAR=US&amp;VAR:SYMBOL=37183T10&amp;VAR:INDEX=0"}</definedName>
    <definedName name="_545__FDSAUDITLINK__" localSheetId="6" hidden="1">{"fdsup://directions/FAT%20Viewer?VAR:PED=LTM&amp;VAR:AUDIT_MODE=SUMMARY&amp;VAR:PERIOD=FIXED&amp;VAR:AUDIT_ID=00000117&amp;VAR:DATE=20080825&amp;action=UPDATE&amp;creator=factset&amp;DOC_NAME=FAT:FMA_audit_SUMMARY.fat&amp;DISPLAY_STRING=Display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5__FDSAUDITLINK__" hidden="1">{"fdsup://directions/FAT%20Viewer?VAR:PED=LTM&amp;VAR:AUDIT_MODE=SUMMARY&amp;VAR:PERIOD=FIXED&amp;VAR:AUDIT_ID=00000117&amp;VAR:DATE=20080825&amp;action=UPDATE&amp;creator=factset&amp;DOC_NAME=FAT:FMA_audit_SUMMARY.fat&amp;DISPLAY_STRING=Display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50__FDSAUDITLINK__" localSheetId="6" hidden="1">{"fdsup://directions/FAT Viewer?action=UPDATE&amp;creator=factset&amp;DYN_ARGS=TRUE&amp;DOC_NAME=FAT:FQL_AUDITING_CLIENT_TEMPLATE.FAT&amp;display_string=Audit&amp;VAR:KEY=BEBITOHKFU&amp;VAR:QUERY=RkZfRUJJVERBX0lCKCdMVE1TJywzODQzNSk=&amp;WINDOW=FIRST_POPUP&amp;HEIGHT=450&amp;WIDTH=450&amp;START_MA","XIMIZED=FALSE&amp;VAR:CALENDAR=US&amp;VAR:SYMBOL=37183T10&amp;VAR:INDEX=0"}</definedName>
    <definedName name="_5450__FDSAUDITLINK__" hidden="1">{"fdsup://directions/FAT Viewer?action=UPDATE&amp;creator=factset&amp;DYN_ARGS=TRUE&amp;DOC_NAME=FAT:FQL_AUDITING_CLIENT_TEMPLATE.FAT&amp;display_string=Audit&amp;VAR:KEY=BEBITOHKFU&amp;VAR:QUERY=RkZfRUJJVERBX0lCKCdMVE1TJywzODQzNSk=&amp;WINDOW=FIRST_POPUP&amp;HEIGHT=450&amp;WIDTH=450&amp;START_MA","XIMIZED=FALSE&amp;VAR:CALENDAR=US&amp;VAR:SYMBOL=37183T10&amp;VAR:INDEX=0"}</definedName>
    <definedName name="_5451__FDSAUDITLINK__" localSheetId="6" hidden="1">{"fdsup://directions/FAT Viewer?action=UPDATE&amp;creator=factset&amp;DYN_ARGS=TRUE&amp;DOC_NAME=FAT:FQL_AUDITING_CLIENT_TEMPLATE.FAT&amp;display_string=Audit&amp;VAR:KEY=HQDOPWDWBU&amp;VAR:QUERY=RkZfRUJJVERBX0lCKCdMVE1TJywzODQzNCk=&amp;WINDOW=FIRST_POPUP&amp;HEIGHT=450&amp;WIDTH=450&amp;START_MA","XIMIZED=FALSE&amp;VAR:CALENDAR=US&amp;VAR:SYMBOL=37183T10&amp;VAR:INDEX=0"}</definedName>
    <definedName name="_5451__FDSAUDITLINK__" hidden="1">{"fdsup://directions/FAT Viewer?action=UPDATE&amp;creator=factset&amp;DYN_ARGS=TRUE&amp;DOC_NAME=FAT:FQL_AUDITING_CLIENT_TEMPLATE.FAT&amp;display_string=Audit&amp;VAR:KEY=HQDOPWDWBU&amp;VAR:QUERY=RkZfRUJJVERBX0lCKCdMVE1TJywzODQzNCk=&amp;WINDOW=FIRST_POPUP&amp;HEIGHT=450&amp;WIDTH=450&amp;START_MA","XIMIZED=FALSE&amp;VAR:CALENDAR=US&amp;VAR:SYMBOL=37183T10&amp;VAR:INDEX=0"}</definedName>
    <definedName name="_5452__FDSAUDITLINK__" localSheetId="6" hidden="1">{"fdsup://directions/FAT Viewer?action=UPDATE&amp;creator=factset&amp;DYN_ARGS=TRUE&amp;DOC_NAME=FAT:FQL_AUDITING_CLIENT_TEMPLATE.FAT&amp;display_string=Audit&amp;VAR:KEY=NAPGBYJATM&amp;VAR:QUERY=RkZfRUJJVERBX0lCKCdMVE1TJywzODQzMyk=&amp;WINDOW=FIRST_POPUP&amp;HEIGHT=450&amp;WIDTH=450&amp;START_MA","XIMIZED=FALSE&amp;VAR:CALENDAR=US&amp;VAR:SYMBOL=37183T10&amp;VAR:INDEX=0"}</definedName>
    <definedName name="_5452__FDSAUDITLINK__" hidden="1">{"fdsup://directions/FAT Viewer?action=UPDATE&amp;creator=factset&amp;DYN_ARGS=TRUE&amp;DOC_NAME=FAT:FQL_AUDITING_CLIENT_TEMPLATE.FAT&amp;display_string=Audit&amp;VAR:KEY=NAPGBYJATM&amp;VAR:QUERY=RkZfRUJJVERBX0lCKCdMVE1TJywzODQzMyk=&amp;WINDOW=FIRST_POPUP&amp;HEIGHT=450&amp;WIDTH=450&amp;START_MA","XIMIZED=FALSE&amp;VAR:CALENDAR=US&amp;VAR:SYMBOL=37183T10&amp;VAR:INDEX=0"}</definedName>
    <definedName name="_5453__FDSAUDITLINK__" localSheetId="6" hidden="1">{"fdsup://directions/FAT Viewer?action=UPDATE&amp;creator=factset&amp;DYN_ARGS=TRUE&amp;DOC_NAME=FAT:FQL_AUDITING_CLIENT_TEMPLATE.FAT&amp;display_string=Audit&amp;VAR:KEY=JEZGZKROXQ&amp;VAR:QUERY=RkZfRUJJVERBX0lCKCdMVE1TJywzODQzMik=&amp;WINDOW=FIRST_POPUP&amp;HEIGHT=450&amp;WIDTH=450&amp;START_MA","XIMIZED=FALSE&amp;VAR:CALENDAR=US&amp;VAR:SYMBOL=37183T10&amp;VAR:INDEX=0"}</definedName>
    <definedName name="_5453__FDSAUDITLINK__" hidden="1">{"fdsup://directions/FAT Viewer?action=UPDATE&amp;creator=factset&amp;DYN_ARGS=TRUE&amp;DOC_NAME=FAT:FQL_AUDITING_CLIENT_TEMPLATE.FAT&amp;display_string=Audit&amp;VAR:KEY=JEZGZKROXQ&amp;VAR:QUERY=RkZfRUJJVERBX0lCKCdMVE1TJywzODQzMik=&amp;WINDOW=FIRST_POPUP&amp;HEIGHT=450&amp;WIDTH=450&amp;START_MA","XIMIZED=FALSE&amp;VAR:CALENDAR=US&amp;VAR:SYMBOL=37183T10&amp;VAR:INDEX=0"}</definedName>
    <definedName name="_5454__FDSAUDITLINK__" localSheetId="6" hidden="1">{"fdsup://directions/FAT Viewer?action=UPDATE&amp;creator=factset&amp;DYN_ARGS=TRUE&amp;DOC_NAME=FAT:FQL_AUDITING_CLIENT_TEMPLATE.FAT&amp;display_string=Audit&amp;VAR:KEY=NUJUZYJOVE&amp;VAR:QUERY=RkZfRUJJVERBX0lCKCdMVE1TJywzODQzMSk=&amp;WINDOW=FIRST_POPUP&amp;HEIGHT=450&amp;WIDTH=450&amp;START_MA","XIMIZED=FALSE&amp;VAR:CALENDAR=US&amp;VAR:SYMBOL=37183T10&amp;VAR:INDEX=0"}</definedName>
    <definedName name="_5454__FDSAUDITLINK__" hidden="1">{"fdsup://directions/FAT Viewer?action=UPDATE&amp;creator=factset&amp;DYN_ARGS=TRUE&amp;DOC_NAME=FAT:FQL_AUDITING_CLIENT_TEMPLATE.FAT&amp;display_string=Audit&amp;VAR:KEY=NUJUZYJOVE&amp;VAR:QUERY=RkZfRUJJVERBX0lCKCdMVE1TJywzODQzMSk=&amp;WINDOW=FIRST_POPUP&amp;HEIGHT=450&amp;WIDTH=450&amp;START_MA","XIMIZED=FALSE&amp;VAR:CALENDAR=US&amp;VAR:SYMBOL=37183T10&amp;VAR:INDEX=0"}</definedName>
    <definedName name="_5455__FDSAUDITLINK__" localSheetId="6" hidden="1">{"fdsup://directions/FAT Viewer?action=UPDATE&amp;creator=factset&amp;DYN_ARGS=TRUE&amp;DOC_NAME=FAT:FQL_AUDITING_CLIENT_TEMPLATE.FAT&amp;display_string=Audit&amp;VAR:KEY=HYNWTEPKLE&amp;VAR:QUERY=RkZfRUJJVERBX0lCKCdMVE1TJywzODQzMCk=&amp;WINDOW=FIRST_POPUP&amp;HEIGHT=450&amp;WIDTH=450&amp;START_MA","XIMIZED=FALSE&amp;VAR:CALENDAR=US&amp;VAR:SYMBOL=37183T10&amp;VAR:INDEX=0"}</definedName>
    <definedName name="_5455__FDSAUDITLINK__" hidden="1">{"fdsup://directions/FAT Viewer?action=UPDATE&amp;creator=factset&amp;DYN_ARGS=TRUE&amp;DOC_NAME=FAT:FQL_AUDITING_CLIENT_TEMPLATE.FAT&amp;display_string=Audit&amp;VAR:KEY=HYNWTEPKLE&amp;VAR:QUERY=RkZfRUJJVERBX0lCKCdMVE1TJywzODQzMCk=&amp;WINDOW=FIRST_POPUP&amp;HEIGHT=450&amp;WIDTH=450&amp;START_MA","XIMIZED=FALSE&amp;VAR:CALENDAR=US&amp;VAR:SYMBOL=37183T10&amp;VAR:INDEX=0"}</definedName>
    <definedName name="_5456__FDSAUDITLINK__" localSheetId="6" hidden="1">{"fdsup://directions/FAT Viewer?action=UPDATE&amp;creator=factset&amp;DYN_ARGS=TRUE&amp;DOC_NAME=FAT:FQL_AUDITING_CLIENT_TEMPLATE.FAT&amp;display_string=Audit&amp;VAR:KEY=ZKBYPOFWRQ&amp;VAR:QUERY=RkZfRUJJVERBX0lCKCdMVE1TJywzODQyOSk=&amp;WINDOW=FIRST_POPUP&amp;HEIGHT=450&amp;WIDTH=450&amp;START_MA","XIMIZED=FALSE&amp;VAR:CALENDAR=US&amp;VAR:SYMBOL=37183T10&amp;VAR:INDEX=0"}</definedName>
    <definedName name="_5456__FDSAUDITLINK__" hidden="1">{"fdsup://directions/FAT Viewer?action=UPDATE&amp;creator=factset&amp;DYN_ARGS=TRUE&amp;DOC_NAME=FAT:FQL_AUDITING_CLIENT_TEMPLATE.FAT&amp;display_string=Audit&amp;VAR:KEY=ZKBYPOFWRQ&amp;VAR:QUERY=RkZfRUJJVERBX0lCKCdMVE1TJywzODQyOSk=&amp;WINDOW=FIRST_POPUP&amp;HEIGHT=450&amp;WIDTH=450&amp;START_MA","XIMIZED=FALSE&amp;VAR:CALENDAR=US&amp;VAR:SYMBOL=37183T10&amp;VAR:INDEX=0"}</definedName>
    <definedName name="_5457__FDSAUDITLINK__" localSheetId="6" hidden="1">{"fdsup://directions/FAT Viewer?action=UPDATE&amp;creator=factset&amp;DYN_ARGS=TRUE&amp;DOC_NAME=FAT:FQL_AUDITING_CLIENT_TEMPLATE.FAT&amp;display_string=Audit&amp;VAR:KEY=BAHARSNKBO&amp;VAR:QUERY=RkZfRUJJVERBX0lCKCdMVE1TJywzODQyOCk=&amp;WINDOW=FIRST_POPUP&amp;HEIGHT=450&amp;WIDTH=450&amp;START_MA","XIMIZED=FALSE&amp;VAR:CALENDAR=US&amp;VAR:SYMBOL=37183T10&amp;VAR:INDEX=0"}</definedName>
    <definedName name="_5457__FDSAUDITLINK__" hidden="1">{"fdsup://directions/FAT Viewer?action=UPDATE&amp;creator=factset&amp;DYN_ARGS=TRUE&amp;DOC_NAME=FAT:FQL_AUDITING_CLIENT_TEMPLATE.FAT&amp;display_string=Audit&amp;VAR:KEY=BAHARSNKBO&amp;VAR:QUERY=RkZfRUJJVERBX0lCKCdMVE1TJywzODQyOCk=&amp;WINDOW=FIRST_POPUP&amp;HEIGHT=450&amp;WIDTH=450&amp;START_MA","XIMIZED=FALSE&amp;VAR:CALENDAR=US&amp;VAR:SYMBOL=37183T10&amp;VAR:INDEX=0"}</definedName>
    <definedName name="_5458__FDSAUDITLINK__" localSheetId="6" hidden="1">{"fdsup://directions/FAT Viewer?action=UPDATE&amp;creator=factset&amp;DYN_ARGS=TRUE&amp;DOC_NAME=FAT:FQL_AUDITING_CLIENT_TEMPLATE.FAT&amp;display_string=Audit&amp;VAR:KEY=HOPYRGBOXK&amp;VAR:QUERY=RkZfRUJJVERBX0lCKCdMVE1TJywzODQyNyk=&amp;WINDOW=FIRST_POPUP&amp;HEIGHT=450&amp;WIDTH=450&amp;START_MA","XIMIZED=FALSE&amp;VAR:CALENDAR=US&amp;VAR:SYMBOL=37183T10&amp;VAR:INDEX=0"}</definedName>
    <definedName name="_5458__FDSAUDITLINK__" hidden="1">{"fdsup://directions/FAT Viewer?action=UPDATE&amp;creator=factset&amp;DYN_ARGS=TRUE&amp;DOC_NAME=FAT:FQL_AUDITING_CLIENT_TEMPLATE.FAT&amp;display_string=Audit&amp;VAR:KEY=HOPYRGBOXK&amp;VAR:QUERY=RkZfRUJJVERBX0lCKCdMVE1TJywzODQyNyk=&amp;WINDOW=FIRST_POPUP&amp;HEIGHT=450&amp;WIDTH=450&amp;START_MA","XIMIZED=FALSE&amp;VAR:CALENDAR=US&amp;VAR:SYMBOL=37183T10&amp;VAR:INDEX=0"}</definedName>
    <definedName name="_5459__FDSAUDITLINK__" localSheetId="6" hidden="1">{"fdsup://directions/FAT Viewer?action=UPDATE&amp;creator=factset&amp;DYN_ARGS=TRUE&amp;DOC_NAME=FAT:FQL_AUDITING_CLIENT_TEMPLATE.FAT&amp;display_string=Audit&amp;VAR:KEY=XGXKBSFILW&amp;VAR:QUERY=RkZfRUJJVERBX0lCKCdMVE1TJywzODQyNik=&amp;WINDOW=FIRST_POPUP&amp;HEIGHT=450&amp;WIDTH=450&amp;START_MA","XIMIZED=FALSE&amp;VAR:CALENDAR=US&amp;VAR:SYMBOL=37183T10&amp;VAR:INDEX=0"}</definedName>
    <definedName name="_5459__FDSAUDITLINK__" hidden="1">{"fdsup://directions/FAT Viewer?action=UPDATE&amp;creator=factset&amp;DYN_ARGS=TRUE&amp;DOC_NAME=FAT:FQL_AUDITING_CLIENT_TEMPLATE.FAT&amp;display_string=Audit&amp;VAR:KEY=XGXKBSFILW&amp;VAR:QUERY=RkZfRUJJVERBX0lCKCdMVE1TJywzODQyNik=&amp;WINDOW=FIRST_POPUP&amp;HEIGHT=450&amp;WIDTH=450&amp;START_MA","XIMIZED=FALSE&amp;VAR:CALENDAR=US&amp;VAR:SYMBOL=37183T10&amp;VAR:INDEX=0"}</definedName>
    <definedName name="_546__FDSAUDITLINK__" localSheetId="6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6__FDSAUDITLINK__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60__FDSAUDITLINK__" localSheetId="6" hidden="1">{"fdsup://directions/FAT Viewer?action=UPDATE&amp;creator=factset&amp;DYN_ARGS=TRUE&amp;DOC_NAME=FAT:FQL_AUDITING_CLIENT_TEMPLATE.FAT&amp;display_string=Audit&amp;VAR:KEY=PWBIFMJERY&amp;VAR:QUERY=RkZfRUJJVERBX0lCKCdMVE1TJywzODQyNSk=&amp;WINDOW=FIRST_POPUP&amp;HEIGHT=450&amp;WIDTH=450&amp;START_MA","XIMIZED=FALSE&amp;VAR:CALENDAR=US&amp;VAR:SYMBOL=37183T10&amp;VAR:INDEX=0"}</definedName>
    <definedName name="_5460__FDSAUDITLINK__" hidden="1">{"fdsup://directions/FAT Viewer?action=UPDATE&amp;creator=factset&amp;DYN_ARGS=TRUE&amp;DOC_NAME=FAT:FQL_AUDITING_CLIENT_TEMPLATE.FAT&amp;display_string=Audit&amp;VAR:KEY=PWBIFMJERY&amp;VAR:QUERY=RkZfRUJJVERBX0lCKCdMVE1TJywzODQyNSk=&amp;WINDOW=FIRST_POPUP&amp;HEIGHT=450&amp;WIDTH=450&amp;START_MA","XIMIZED=FALSE&amp;VAR:CALENDAR=US&amp;VAR:SYMBOL=37183T10&amp;VAR:INDEX=0"}</definedName>
    <definedName name="_5461__FDSAUDITLINK__" localSheetId="6" hidden="1">{"fdsup://directions/FAT Viewer?action=UPDATE&amp;creator=factset&amp;DYN_ARGS=TRUE&amp;DOC_NAME=FAT:FQL_AUDITING_CLIENT_TEMPLATE.FAT&amp;display_string=Audit&amp;VAR:KEY=NIRIJUFEZS&amp;VAR:QUERY=RkZfRUJJVERBX0lCKCdMVE1TJywzODQyNCk=&amp;WINDOW=FIRST_POPUP&amp;HEIGHT=450&amp;WIDTH=450&amp;START_MA","XIMIZED=FALSE&amp;VAR:CALENDAR=US&amp;VAR:SYMBOL=37183T10&amp;VAR:INDEX=0"}</definedName>
    <definedName name="_5461__FDSAUDITLINK__" hidden="1">{"fdsup://directions/FAT Viewer?action=UPDATE&amp;creator=factset&amp;DYN_ARGS=TRUE&amp;DOC_NAME=FAT:FQL_AUDITING_CLIENT_TEMPLATE.FAT&amp;display_string=Audit&amp;VAR:KEY=NIRIJUFEZS&amp;VAR:QUERY=RkZfRUJJVERBX0lCKCdMVE1TJywzODQyNCk=&amp;WINDOW=FIRST_POPUP&amp;HEIGHT=450&amp;WIDTH=450&amp;START_MA","XIMIZED=FALSE&amp;VAR:CALENDAR=US&amp;VAR:SYMBOL=37183T10&amp;VAR:INDEX=0"}</definedName>
    <definedName name="_5462__FDSAUDITLINK__" localSheetId="6" hidden="1">{"fdsup://directions/FAT Viewer?action=UPDATE&amp;creator=factset&amp;DYN_ARGS=TRUE&amp;DOC_NAME=FAT:FQL_AUDITING_CLIENT_TEMPLATE.FAT&amp;display_string=Audit&amp;VAR:KEY=VSVCNUHUTW&amp;VAR:QUERY=RkZfRUJJVERBX0lCKCdMVE1TJywzODQyMyk=&amp;WINDOW=FIRST_POPUP&amp;HEIGHT=450&amp;WIDTH=450&amp;START_MA","XIMIZED=FALSE&amp;VAR:CALENDAR=US&amp;VAR:SYMBOL=37183T10&amp;VAR:INDEX=0"}</definedName>
    <definedName name="_5462__FDSAUDITLINK__" hidden="1">{"fdsup://directions/FAT Viewer?action=UPDATE&amp;creator=factset&amp;DYN_ARGS=TRUE&amp;DOC_NAME=FAT:FQL_AUDITING_CLIENT_TEMPLATE.FAT&amp;display_string=Audit&amp;VAR:KEY=VSVCNUHUTW&amp;VAR:QUERY=RkZfRUJJVERBX0lCKCdMVE1TJywzODQyMyk=&amp;WINDOW=FIRST_POPUP&amp;HEIGHT=450&amp;WIDTH=450&amp;START_MA","XIMIZED=FALSE&amp;VAR:CALENDAR=US&amp;VAR:SYMBOL=37183T10&amp;VAR:INDEX=0"}</definedName>
    <definedName name="_5463__FDSAUDITLINK__" localSheetId="6" hidden="1">{"fdsup://directions/FAT Viewer?action=UPDATE&amp;creator=factset&amp;DYN_ARGS=TRUE&amp;DOC_NAME=FAT:FQL_AUDITING_CLIENT_TEMPLATE.FAT&amp;display_string=Audit&amp;VAR:KEY=DOJGVARUFC&amp;VAR:QUERY=RkZfRUJJVERBX0lCKCdMVE1TJywzODQyMik=&amp;WINDOW=FIRST_POPUP&amp;HEIGHT=450&amp;WIDTH=450&amp;START_MA","XIMIZED=FALSE&amp;VAR:CALENDAR=US&amp;VAR:SYMBOL=37183T10&amp;VAR:INDEX=0"}</definedName>
    <definedName name="_5463__FDSAUDITLINK__" hidden="1">{"fdsup://directions/FAT Viewer?action=UPDATE&amp;creator=factset&amp;DYN_ARGS=TRUE&amp;DOC_NAME=FAT:FQL_AUDITING_CLIENT_TEMPLATE.FAT&amp;display_string=Audit&amp;VAR:KEY=DOJGVARUFC&amp;VAR:QUERY=RkZfRUJJVERBX0lCKCdMVE1TJywzODQyMik=&amp;WINDOW=FIRST_POPUP&amp;HEIGHT=450&amp;WIDTH=450&amp;START_MA","XIMIZED=FALSE&amp;VAR:CALENDAR=US&amp;VAR:SYMBOL=37183T10&amp;VAR:INDEX=0"}</definedName>
    <definedName name="_5464__FDSAUDITLINK__" localSheetId="6" hidden="1">{"fdsup://directions/FAT Viewer?action=UPDATE&amp;creator=factset&amp;DYN_ARGS=TRUE&amp;DOC_NAME=FAT:FQL_AUDITING_CLIENT_TEMPLATE.FAT&amp;display_string=Audit&amp;VAR:KEY=HYTWBSTKTQ&amp;VAR:QUERY=RkZfRUJJVERBX0lCKCdMVE1TJywzODQyMSk=&amp;WINDOW=FIRST_POPUP&amp;HEIGHT=450&amp;WIDTH=450&amp;START_MA","XIMIZED=FALSE&amp;VAR:CALENDAR=US&amp;VAR:SYMBOL=37183T10&amp;VAR:INDEX=0"}</definedName>
    <definedName name="_5464__FDSAUDITLINK__" hidden="1">{"fdsup://directions/FAT Viewer?action=UPDATE&amp;creator=factset&amp;DYN_ARGS=TRUE&amp;DOC_NAME=FAT:FQL_AUDITING_CLIENT_TEMPLATE.FAT&amp;display_string=Audit&amp;VAR:KEY=HYTWBSTKTQ&amp;VAR:QUERY=RkZfRUJJVERBX0lCKCdMVE1TJywzODQyMSk=&amp;WINDOW=FIRST_POPUP&amp;HEIGHT=450&amp;WIDTH=450&amp;START_MA","XIMIZED=FALSE&amp;VAR:CALENDAR=US&amp;VAR:SYMBOL=37183T10&amp;VAR:INDEX=0"}</definedName>
    <definedName name="_5465__FDSAUDITLINK__" localSheetId="6" hidden="1">{"fdsup://directions/FAT Viewer?action=UPDATE&amp;creator=factset&amp;DYN_ARGS=TRUE&amp;DOC_NAME=FAT:FQL_AUDITING_CLIENT_TEMPLATE.FAT&amp;display_string=Audit&amp;VAR:KEY=NKHORSFCDY&amp;VAR:QUERY=RkZfRUJJVERBX0lCKCdMVE1TJywzODQyMCk=&amp;WINDOW=FIRST_POPUP&amp;HEIGHT=450&amp;WIDTH=450&amp;START_MA","XIMIZED=FALSE&amp;VAR:CALENDAR=US&amp;VAR:SYMBOL=37183T10&amp;VAR:INDEX=0"}</definedName>
    <definedName name="_5465__FDSAUDITLINK__" hidden="1">{"fdsup://directions/FAT Viewer?action=UPDATE&amp;creator=factset&amp;DYN_ARGS=TRUE&amp;DOC_NAME=FAT:FQL_AUDITING_CLIENT_TEMPLATE.FAT&amp;display_string=Audit&amp;VAR:KEY=NKHORSFCDY&amp;VAR:QUERY=RkZfRUJJVERBX0lCKCdMVE1TJywzODQyMCk=&amp;WINDOW=FIRST_POPUP&amp;HEIGHT=450&amp;WIDTH=450&amp;START_MA","XIMIZED=FALSE&amp;VAR:CALENDAR=US&amp;VAR:SYMBOL=37183T10&amp;VAR:INDEX=0"}</definedName>
    <definedName name="_5466__FDSAUDITLINK__" localSheetId="6" hidden="1">{"fdsup://directions/FAT Viewer?action=UPDATE&amp;creator=factset&amp;DYN_ARGS=TRUE&amp;DOC_NAME=FAT:FQL_AUDITING_CLIENT_TEMPLATE.FAT&amp;display_string=Audit&amp;VAR:KEY=FQZMPKFUBS&amp;VAR:QUERY=RkZfRUJJVERBX0lCKCdMVE1TJywzODQxOSk=&amp;WINDOW=FIRST_POPUP&amp;HEIGHT=450&amp;WIDTH=450&amp;START_MA","XIMIZED=FALSE&amp;VAR:CALENDAR=US&amp;VAR:SYMBOL=37183T10&amp;VAR:INDEX=0"}</definedName>
    <definedName name="_5466__FDSAUDITLINK__" hidden="1">{"fdsup://directions/FAT Viewer?action=UPDATE&amp;creator=factset&amp;DYN_ARGS=TRUE&amp;DOC_NAME=FAT:FQL_AUDITING_CLIENT_TEMPLATE.FAT&amp;display_string=Audit&amp;VAR:KEY=FQZMPKFUBS&amp;VAR:QUERY=RkZfRUJJVERBX0lCKCdMVE1TJywzODQxOSk=&amp;WINDOW=FIRST_POPUP&amp;HEIGHT=450&amp;WIDTH=450&amp;START_MA","XIMIZED=FALSE&amp;VAR:CALENDAR=US&amp;VAR:SYMBOL=37183T10&amp;VAR:INDEX=0"}</definedName>
    <definedName name="_5467__FDSAUDITLINK__" localSheetId="6" hidden="1">{"fdsup://directions/FAT Viewer?action=UPDATE&amp;creator=factset&amp;DYN_ARGS=TRUE&amp;DOC_NAME=FAT:FQL_AUDITING_CLIENT_TEMPLATE.FAT&amp;display_string=Audit&amp;VAR:KEY=XOVOTORUXY&amp;VAR:QUERY=RkZfRUJJVERBX0lCKCdMVE1TJywzODQxOCk=&amp;WINDOW=FIRST_POPUP&amp;HEIGHT=450&amp;WIDTH=450&amp;START_MA","XIMIZED=FALSE&amp;VAR:CALENDAR=US&amp;VAR:SYMBOL=37183T10&amp;VAR:INDEX=0"}</definedName>
    <definedName name="_5467__FDSAUDITLINK__" hidden="1">{"fdsup://directions/FAT Viewer?action=UPDATE&amp;creator=factset&amp;DYN_ARGS=TRUE&amp;DOC_NAME=FAT:FQL_AUDITING_CLIENT_TEMPLATE.FAT&amp;display_string=Audit&amp;VAR:KEY=XOVOTORUXY&amp;VAR:QUERY=RkZfRUJJVERBX0lCKCdMVE1TJywzODQxOCk=&amp;WINDOW=FIRST_POPUP&amp;HEIGHT=450&amp;WIDTH=450&amp;START_MA","XIMIZED=FALSE&amp;VAR:CALENDAR=US&amp;VAR:SYMBOL=37183T10&amp;VAR:INDEX=0"}</definedName>
    <definedName name="_5468__FDSAUDITLINK__" localSheetId="6" hidden="1">{"fdsup://directions/FAT Viewer?action=UPDATE&amp;creator=factset&amp;DYN_ARGS=TRUE&amp;DOC_NAME=FAT:FQL_AUDITING_CLIENT_TEMPLATE.FAT&amp;display_string=Audit&amp;VAR:KEY=TGDYVSFEBM&amp;VAR:QUERY=RkZfRUJJVERBX0lCKCdMVE1TJywzODQxNyk=&amp;WINDOW=FIRST_POPUP&amp;HEIGHT=450&amp;WIDTH=450&amp;START_MA","XIMIZED=FALSE&amp;VAR:CALENDAR=US&amp;VAR:SYMBOL=37183T10&amp;VAR:INDEX=0"}</definedName>
    <definedName name="_5468__FDSAUDITLINK__" hidden="1">{"fdsup://directions/FAT Viewer?action=UPDATE&amp;creator=factset&amp;DYN_ARGS=TRUE&amp;DOC_NAME=FAT:FQL_AUDITING_CLIENT_TEMPLATE.FAT&amp;display_string=Audit&amp;VAR:KEY=TGDYVSFEBM&amp;VAR:QUERY=RkZfRUJJVERBX0lCKCdMVE1TJywzODQxNyk=&amp;WINDOW=FIRST_POPUP&amp;HEIGHT=450&amp;WIDTH=450&amp;START_MA","XIMIZED=FALSE&amp;VAR:CALENDAR=US&amp;VAR:SYMBOL=37183T10&amp;VAR:INDEX=0"}</definedName>
    <definedName name="_5469__FDSAUDITLINK__" localSheetId="6" hidden="1">{"fdsup://directions/FAT Viewer?action=UPDATE&amp;creator=factset&amp;DYN_ARGS=TRUE&amp;DOC_NAME=FAT:FQL_AUDITING_CLIENT_TEMPLATE.FAT&amp;display_string=Audit&amp;VAR:KEY=HKBCRMVYRW&amp;VAR:QUERY=RkZfRUJJVERBX0lCKCdMVE1TJywzODQxNik=&amp;WINDOW=FIRST_POPUP&amp;HEIGHT=450&amp;WIDTH=450&amp;START_MA","XIMIZED=FALSE&amp;VAR:CALENDAR=US&amp;VAR:SYMBOL=37183T10&amp;VAR:INDEX=0"}</definedName>
    <definedName name="_5469__FDSAUDITLINK__" hidden="1">{"fdsup://directions/FAT Viewer?action=UPDATE&amp;creator=factset&amp;DYN_ARGS=TRUE&amp;DOC_NAME=FAT:FQL_AUDITING_CLIENT_TEMPLATE.FAT&amp;display_string=Audit&amp;VAR:KEY=HKBCRMVYRW&amp;VAR:QUERY=RkZfRUJJVERBX0lCKCdMVE1TJywzODQxNik=&amp;WINDOW=FIRST_POPUP&amp;HEIGHT=450&amp;WIDTH=450&amp;START_MA","XIMIZED=FALSE&amp;VAR:CALENDAR=US&amp;VAR:SYMBOL=37183T10&amp;VAR:INDEX=0"}</definedName>
    <definedName name="_547__FDSAUDITLINK__" localSheetId="6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7__FDSAUDITLINK__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70__FDSAUDITLINK__" localSheetId="6" hidden="1">{"fdsup://directions/FAT Viewer?action=UPDATE&amp;creator=factset&amp;DYN_ARGS=TRUE&amp;DOC_NAME=FAT:FQL_AUDITING_CLIENT_TEMPLATE.FAT&amp;display_string=Audit&amp;VAR:KEY=XUBQJCBODO&amp;VAR:QUERY=RkZfRUJJVERBX0lCKCdMVE1TJywzODQxNSk=&amp;WINDOW=FIRST_POPUP&amp;HEIGHT=450&amp;WIDTH=450&amp;START_MA","XIMIZED=FALSE&amp;VAR:CALENDAR=US&amp;VAR:SYMBOL=37183T10&amp;VAR:INDEX=0"}</definedName>
    <definedName name="_5470__FDSAUDITLINK__" hidden="1">{"fdsup://directions/FAT Viewer?action=UPDATE&amp;creator=factset&amp;DYN_ARGS=TRUE&amp;DOC_NAME=FAT:FQL_AUDITING_CLIENT_TEMPLATE.FAT&amp;display_string=Audit&amp;VAR:KEY=XUBQJCBODO&amp;VAR:QUERY=RkZfRUJJVERBX0lCKCdMVE1TJywzODQxNSk=&amp;WINDOW=FIRST_POPUP&amp;HEIGHT=450&amp;WIDTH=450&amp;START_MA","XIMIZED=FALSE&amp;VAR:CALENDAR=US&amp;VAR:SYMBOL=37183T10&amp;VAR:INDEX=0"}</definedName>
    <definedName name="_5471__FDSAUDITLINK__" localSheetId="6" hidden="1">{"fdsup://directions/FAT Viewer?action=UPDATE&amp;creator=factset&amp;DYN_ARGS=TRUE&amp;DOC_NAME=FAT:FQL_AUDITING_CLIENT_TEMPLATE.FAT&amp;display_string=Audit&amp;VAR:KEY=RADUNIHUZO&amp;VAR:QUERY=RkZfRUJJVERBX0lCKCdMVE1TJywzODQxNCk=&amp;WINDOW=FIRST_POPUP&amp;HEIGHT=450&amp;WIDTH=450&amp;START_MA","XIMIZED=FALSE&amp;VAR:CALENDAR=US&amp;VAR:SYMBOL=37183T10&amp;VAR:INDEX=0"}</definedName>
    <definedName name="_5471__FDSAUDITLINK__" hidden="1">{"fdsup://directions/FAT Viewer?action=UPDATE&amp;creator=factset&amp;DYN_ARGS=TRUE&amp;DOC_NAME=FAT:FQL_AUDITING_CLIENT_TEMPLATE.FAT&amp;display_string=Audit&amp;VAR:KEY=RADUNIHUZO&amp;VAR:QUERY=RkZfRUJJVERBX0lCKCdMVE1TJywzODQxNCk=&amp;WINDOW=FIRST_POPUP&amp;HEIGHT=450&amp;WIDTH=450&amp;START_MA","XIMIZED=FALSE&amp;VAR:CALENDAR=US&amp;VAR:SYMBOL=37183T10&amp;VAR:INDEX=0"}</definedName>
    <definedName name="_5472__FDSAUDITLINK__" localSheetId="6" hidden="1">{"fdsup://directions/FAT Viewer?action=UPDATE&amp;creator=factset&amp;DYN_ARGS=TRUE&amp;DOC_NAME=FAT:FQL_AUDITING_CLIENT_TEMPLATE.FAT&amp;display_string=Audit&amp;VAR:KEY=LOBQXEVUXQ&amp;VAR:QUERY=RkZfRUJJVERBX0lCKCdMVE1TJywzODQxMyk=&amp;WINDOW=FIRST_POPUP&amp;HEIGHT=450&amp;WIDTH=450&amp;START_MA","XIMIZED=FALSE&amp;VAR:CALENDAR=US&amp;VAR:SYMBOL=37183T10&amp;VAR:INDEX=0"}</definedName>
    <definedName name="_5472__FDSAUDITLINK__" hidden="1">{"fdsup://directions/FAT Viewer?action=UPDATE&amp;creator=factset&amp;DYN_ARGS=TRUE&amp;DOC_NAME=FAT:FQL_AUDITING_CLIENT_TEMPLATE.FAT&amp;display_string=Audit&amp;VAR:KEY=LOBQXEVUXQ&amp;VAR:QUERY=RkZfRUJJVERBX0lCKCdMVE1TJywzODQxMyk=&amp;WINDOW=FIRST_POPUP&amp;HEIGHT=450&amp;WIDTH=450&amp;START_MA","XIMIZED=FALSE&amp;VAR:CALENDAR=US&amp;VAR:SYMBOL=37183T10&amp;VAR:INDEX=0"}</definedName>
    <definedName name="_5473__FDSAUDITLINK__" localSheetId="6" hidden="1">{"fdsup://directions/FAT Viewer?action=UPDATE&amp;creator=factset&amp;DYN_ARGS=TRUE&amp;DOC_NAME=FAT:FQL_AUDITING_CLIENT_TEMPLATE.FAT&amp;display_string=Audit&amp;VAR:KEY=FILGNEPQRK&amp;VAR:QUERY=RkZfRUJJVERBX0lCKCdMVE1TJywzODQxMik=&amp;WINDOW=FIRST_POPUP&amp;HEIGHT=450&amp;WIDTH=450&amp;START_MA","XIMIZED=FALSE&amp;VAR:CALENDAR=US&amp;VAR:SYMBOL=37183T10&amp;VAR:INDEX=0"}</definedName>
    <definedName name="_5473__FDSAUDITLINK__" hidden="1">{"fdsup://directions/FAT Viewer?action=UPDATE&amp;creator=factset&amp;DYN_ARGS=TRUE&amp;DOC_NAME=FAT:FQL_AUDITING_CLIENT_TEMPLATE.FAT&amp;display_string=Audit&amp;VAR:KEY=FILGNEPQRK&amp;VAR:QUERY=RkZfRUJJVERBX0lCKCdMVE1TJywzODQxMik=&amp;WINDOW=FIRST_POPUP&amp;HEIGHT=450&amp;WIDTH=450&amp;START_MA","XIMIZED=FALSE&amp;VAR:CALENDAR=US&amp;VAR:SYMBOL=37183T10&amp;VAR:INDEX=0"}</definedName>
    <definedName name="_5474__FDSAUDITLINK__" localSheetId="6" hidden="1">{"fdsup://directions/FAT Viewer?action=UPDATE&amp;creator=factset&amp;DYN_ARGS=TRUE&amp;DOC_NAME=FAT:FQL_AUDITING_CLIENT_TEMPLATE.FAT&amp;display_string=Audit&amp;VAR:KEY=VUHOVKTUPE&amp;VAR:QUERY=RkZfRUJJVERBX0lCKCdMVE1TJywzODQxMSk=&amp;WINDOW=FIRST_POPUP&amp;HEIGHT=450&amp;WIDTH=450&amp;START_MA","XIMIZED=FALSE&amp;VAR:CALENDAR=US&amp;VAR:SYMBOL=37183T10&amp;VAR:INDEX=0"}</definedName>
    <definedName name="_5474__FDSAUDITLINK__" hidden="1">{"fdsup://directions/FAT Viewer?action=UPDATE&amp;creator=factset&amp;DYN_ARGS=TRUE&amp;DOC_NAME=FAT:FQL_AUDITING_CLIENT_TEMPLATE.FAT&amp;display_string=Audit&amp;VAR:KEY=VUHOVKTUPE&amp;VAR:QUERY=RkZfRUJJVERBX0lCKCdMVE1TJywzODQxMSk=&amp;WINDOW=FIRST_POPUP&amp;HEIGHT=450&amp;WIDTH=450&amp;START_MA","XIMIZED=FALSE&amp;VAR:CALENDAR=US&amp;VAR:SYMBOL=37183T10&amp;VAR:INDEX=0"}</definedName>
    <definedName name="_5475__FDSAUDITLINK__" localSheetId="6" hidden="1">{"fdsup://directions/FAT Viewer?action=UPDATE&amp;creator=factset&amp;DYN_ARGS=TRUE&amp;DOC_NAME=FAT:FQL_AUDITING_CLIENT_TEMPLATE.FAT&amp;display_string=Audit&amp;VAR:KEY=NQXKTCLUBM&amp;VAR:QUERY=RkZfRUJJVERBX0lCKCdMVE1TJywzODQxMCk=&amp;WINDOW=FIRST_POPUP&amp;HEIGHT=450&amp;WIDTH=450&amp;START_MA","XIMIZED=FALSE&amp;VAR:CALENDAR=US&amp;VAR:SYMBOL=37183T10&amp;VAR:INDEX=0"}</definedName>
    <definedName name="_5475__FDSAUDITLINK__" hidden="1">{"fdsup://directions/FAT Viewer?action=UPDATE&amp;creator=factset&amp;DYN_ARGS=TRUE&amp;DOC_NAME=FAT:FQL_AUDITING_CLIENT_TEMPLATE.FAT&amp;display_string=Audit&amp;VAR:KEY=NQXKTCLUBM&amp;VAR:QUERY=RkZfRUJJVERBX0lCKCdMVE1TJywzODQxMCk=&amp;WINDOW=FIRST_POPUP&amp;HEIGHT=450&amp;WIDTH=450&amp;START_MA","XIMIZED=FALSE&amp;VAR:CALENDAR=US&amp;VAR:SYMBOL=37183T10&amp;VAR:INDEX=0"}</definedName>
    <definedName name="_5476__FDSAUDITLINK__" localSheetId="6" hidden="1">{"fdsup://directions/FAT Viewer?action=UPDATE&amp;creator=factset&amp;DYN_ARGS=TRUE&amp;DOC_NAME=FAT:FQL_AUDITING_CLIENT_TEMPLATE.FAT&amp;display_string=Audit&amp;VAR:KEY=ZKRMLWHQPI&amp;VAR:QUERY=RkZfRUJJVERBX0lCKCdMVE1TJywzODQwOSk=&amp;WINDOW=FIRST_POPUP&amp;HEIGHT=450&amp;WIDTH=450&amp;START_MA","XIMIZED=FALSE&amp;VAR:CALENDAR=US&amp;VAR:SYMBOL=37183T10&amp;VAR:INDEX=0"}</definedName>
    <definedName name="_5476__FDSAUDITLINK__" hidden="1">{"fdsup://directions/FAT Viewer?action=UPDATE&amp;creator=factset&amp;DYN_ARGS=TRUE&amp;DOC_NAME=FAT:FQL_AUDITING_CLIENT_TEMPLATE.FAT&amp;display_string=Audit&amp;VAR:KEY=ZKRMLWHQPI&amp;VAR:QUERY=RkZfRUJJVERBX0lCKCdMVE1TJywzODQwOSk=&amp;WINDOW=FIRST_POPUP&amp;HEIGHT=450&amp;WIDTH=450&amp;START_MA","XIMIZED=FALSE&amp;VAR:CALENDAR=US&amp;VAR:SYMBOL=37183T10&amp;VAR:INDEX=0"}</definedName>
    <definedName name="_5477__FDSAUDITLINK__" localSheetId="6" hidden="1">{"fdsup://directions/FAT Viewer?action=UPDATE&amp;creator=factset&amp;DYN_ARGS=TRUE&amp;DOC_NAME=FAT:FQL_AUDITING_CLIENT_TEMPLATE.FAT&amp;display_string=Audit&amp;VAR:KEY=RONYZMRIRK&amp;VAR:QUERY=RkZfRUJJVERBX0lCKCdMVE1TJywzODQwOCk=&amp;WINDOW=FIRST_POPUP&amp;HEIGHT=450&amp;WIDTH=450&amp;START_MA","XIMIZED=FALSE&amp;VAR:CALENDAR=US&amp;VAR:SYMBOL=37183T10&amp;VAR:INDEX=0"}</definedName>
    <definedName name="_5477__FDSAUDITLINK__" hidden="1">{"fdsup://directions/FAT Viewer?action=UPDATE&amp;creator=factset&amp;DYN_ARGS=TRUE&amp;DOC_NAME=FAT:FQL_AUDITING_CLIENT_TEMPLATE.FAT&amp;display_string=Audit&amp;VAR:KEY=RONYZMRIRK&amp;VAR:QUERY=RkZfRUJJVERBX0lCKCdMVE1TJywzODQwOCk=&amp;WINDOW=FIRST_POPUP&amp;HEIGHT=450&amp;WIDTH=450&amp;START_MA","XIMIZED=FALSE&amp;VAR:CALENDAR=US&amp;VAR:SYMBOL=37183T10&amp;VAR:INDEX=0"}</definedName>
    <definedName name="_5478__FDSAUDITLINK__" localSheetId="6" hidden="1">{"fdsup://directions/FAT Viewer?action=UPDATE&amp;creator=factset&amp;DYN_ARGS=TRUE&amp;DOC_NAME=FAT:FQL_AUDITING_CLIENT_TEMPLATE.FAT&amp;display_string=Audit&amp;VAR:KEY=VYZQHETUZM&amp;VAR:QUERY=RkZfRUJJVERBX0lCKCdMVE1TJywzODQwNyk=&amp;WINDOW=FIRST_POPUP&amp;HEIGHT=450&amp;WIDTH=450&amp;START_MA","XIMIZED=FALSE&amp;VAR:CALENDAR=US&amp;VAR:SYMBOL=37183T10&amp;VAR:INDEX=0"}</definedName>
    <definedName name="_5478__FDSAUDITLINK__" hidden="1">{"fdsup://directions/FAT Viewer?action=UPDATE&amp;creator=factset&amp;DYN_ARGS=TRUE&amp;DOC_NAME=FAT:FQL_AUDITING_CLIENT_TEMPLATE.FAT&amp;display_string=Audit&amp;VAR:KEY=VYZQHETUZM&amp;VAR:QUERY=RkZfRUJJVERBX0lCKCdMVE1TJywzODQwNyk=&amp;WINDOW=FIRST_POPUP&amp;HEIGHT=450&amp;WIDTH=450&amp;START_MA","XIMIZED=FALSE&amp;VAR:CALENDAR=US&amp;VAR:SYMBOL=37183T10&amp;VAR:INDEX=0"}</definedName>
    <definedName name="_5479__FDSAUDITLINK__" localSheetId="6" hidden="1">{"fdsup://directions/FAT Viewer?action=UPDATE&amp;creator=factset&amp;DYN_ARGS=TRUE&amp;DOC_NAME=FAT:FQL_AUDITING_CLIENT_TEMPLATE.FAT&amp;display_string=Audit&amp;VAR:KEY=XWXWREZUPM&amp;VAR:QUERY=RkZfRUJJVERBX0lCKCdMVE1TJywzODQwNik=&amp;WINDOW=FIRST_POPUP&amp;HEIGHT=450&amp;WIDTH=450&amp;START_MA","XIMIZED=FALSE&amp;VAR:CALENDAR=US&amp;VAR:SYMBOL=37183T10&amp;VAR:INDEX=0"}</definedName>
    <definedName name="_5479__FDSAUDITLINK__" hidden="1">{"fdsup://directions/FAT Viewer?action=UPDATE&amp;creator=factset&amp;DYN_ARGS=TRUE&amp;DOC_NAME=FAT:FQL_AUDITING_CLIENT_TEMPLATE.FAT&amp;display_string=Audit&amp;VAR:KEY=XWXWREZUPM&amp;VAR:QUERY=RkZfRUJJVERBX0lCKCdMVE1TJywzODQwNik=&amp;WINDOW=FIRST_POPUP&amp;HEIGHT=450&amp;WIDTH=450&amp;START_MA","XIMIZED=FALSE&amp;VAR:CALENDAR=US&amp;VAR:SYMBOL=37183T10&amp;VAR:INDEX=0"}</definedName>
    <definedName name="_548__FDSAUDITLINK__" localSheetId="6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8__FDSAUDITLINK__" hidden="1">{"fdsup://directions/FAT%20Viewer?VAR:PED=LTM&amp;VAR:AUDIT_MODE=SUMMARY&amp;VAR:PERIOD=FIXED&amp;VAR:AUDIT_ID=00000117&amp;VAR:DATE=20080822&amp;action=UPDATE&amp;creator=factset&amp;DOC_NAME=FAT:FMA_audit_SUMMARY.fat&amp;DISPLAY_STRING=Display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80__FDSAUDITLINK__" localSheetId="6" hidden="1">{"fdsup://directions/FAT Viewer?action=UPDATE&amp;creator=factset&amp;DYN_ARGS=TRUE&amp;DOC_NAME=FAT:FQL_AUDITING_CLIENT_TEMPLATE.FAT&amp;display_string=Audit&amp;VAR:KEY=PGHWXGLCJQ&amp;VAR:QUERY=RkZfRUJJVERBX0lCKCdMVE1TJywzODQwNSk=&amp;WINDOW=FIRST_POPUP&amp;HEIGHT=450&amp;WIDTH=450&amp;START_MA","XIMIZED=FALSE&amp;VAR:CALENDAR=US&amp;VAR:SYMBOL=37183T10&amp;VAR:INDEX=0"}</definedName>
    <definedName name="_5480__FDSAUDITLINK__" hidden="1">{"fdsup://directions/FAT Viewer?action=UPDATE&amp;creator=factset&amp;DYN_ARGS=TRUE&amp;DOC_NAME=FAT:FQL_AUDITING_CLIENT_TEMPLATE.FAT&amp;display_string=Audit&amp;VAR:KEY=PGHWXGLCJQ&amp;VAR:QUERY=RkZfRUJJVERBX0lCKCdMVE1TJywzODQwNSk=&amp;WINDOW=FIRST_POPUP&amp;HEIGHT=450&amp;WIDTH=450&amp;START_MA","XIMIZED=FALSE&amp;VAR:CALENDAR=US&amp;VAR:SYMBOL=37183T10&amp;VAR:INDEX=0"}</definedName>
    <definedName name="_5481__FDSAUDITLINK__" localSheetId="6" hidden="1">{"fdsup://directions/FAT Viewer?action=UPDATE&amp;creator=factset&amp;DYN_ARGS=TRUE&amp;DOC_NAME=FAT:FQL_AUDITING_CLIENT_TEMPLATE.FAT&amp;display_string=Audit&amp;VAR:KEY=DQDOVAPOZC&amp;VAR:QUERY=RkZfRUJJVERBX0lCKCdMVE1TJywzODQwNCk=&amp;WINDOW=FIRST_POPUP&amp;HEIGHT=450&amp;WIDTH=450&amp;START_MA","XIMIZED=FALSE&amp;VAR:CALENDAR=US&amp;VAR:SYMBOL=37183T10&amp;VAR:INDEX=0"}</definedName>
    <definedName name="_5481__FDSAUDITLINK__" hidden="1">{"fdsup://directions/FAT Viewer?action=UPDATE&amp;creator=factset&amp;DYN_ARGS=TRUE&amp;DOC_NAME=FAT:FQL_AUDITING_CLIENT_TEMPLATE.FAT&amp;display_string=Audit&amp;VAR:KEY=DQDOVAPOZC&amp;VAR:QUERY=RkZfRUJJVERBX0lCKCdMVE1TJywzODQwNCk=&amp;WINDOW=FIRST_POPUP&amp;HEIGHT=450&amp;WIDTH=450&amp;START_MA","XIMIZED=FALSE&amp;VAR:CALENDAR=US&amp;VAR:SYMBOL=37183T10&amp;VAR:INDEX=0"}</definedName>
    <definedName name="_5482__FDSAUDITLINK__" localSheetId="6" hidden="1">{"fdsup://directions/FAT Viewer?action=UPDATE&amp;creator=factset&amp;DYN_ARGS=TRUE&amp;DOC_NAME=FAT:FQL_AUDITING_CLIENT_TEMPLATE.FAT&amp;display_string=Audit&amp;VAR:KEY=RGJATKTODO&amp;VAR:QUERY=RkZfRUJJVERBX0lCKCdMVE1TJywzODQwMyk=&amp;WINDOW=FIRST_POPUP&amp;HEIGHT=450&amp;WIDTH=450&amp;START_MA","XIMIZED=FALSE&amp;VAR:CALENDAR=US&amp;VAR:SYMBOL=37183T10&amp;VAR:INDEX=0"}</definedName>
    <definedName name="_5482__FDSAUDITLINK__" hidden="1">{"fdsup://directions/FAT Viewer?action=UPDATE&amp;creator=factset&amp;DYN_ARGS=TRUE&amp;DOC_NAME=FAT:FQL_AUDITING_CLIENT_TEMPLATE.FAT&amp;display_string=Audit&amp;VAR:KEY=RGJATKTODO&amp;VAR:QUERY=RkZfRUJJVERBX0lCKCdMVE1TJywzODQwMyk=&amp;WINDOW=FIRST_POPUP&amp;HEIGHT=450&amp;WIDTH=450&amp;START_MA","XIMIZED=FALSE&amp;VAR:CALENDAR=US&amp;VAR:SYMBOL=37183T10&amp;VAR:INDEX=0"}</definedName>
    <definedName name="_5483__FDSAUDITLINK__" localSheetId="6" hidden="1">{"fdsup://directions/FAT Viewer?action=UPDATE&amp;creator=factset&amp;DYN_ARGS=TRUE&amp;DOC_NAME=FAT:FQL_AUDITING_CLIENT_TEMPLATE.FAT&amp;display_string=Audit&amp;VAR:KEY=NCNQTQNODM&amp;VAR:QUERY=RkZfRUJJVERBX0lCKCdMVE1TJywzODQwMik=&amp;WINDOW=FIRST_POPUP&amp;HEIGHT=450&amp;WIDTH=450&amp;START_MA","XIMIZED=FALSE&amp;VAR:CALENDAR=US&amp;VAR:SYMBOL=37183T10&amp;VAR:INDEX=0"}</definedName>
    <definedName name="_5483__FDSAUDITLINK__" hidden="1">{"fdsup://directions/FAT Viewer?action=UPDATE&amp;creator=factset&amp;DYN_ARGS=TRUE&amp;DOC_NAME=FAT:FQL_AUDITING_CLIENT_TEMPLATE.FAT&amp;display_string=Audit&amp;VAR:KEY=NCNQTQNODM&amp;VAR:QUERY=RkZfRUJJVERBX0lCKCdMVE1TJywzODQwMik=&amp;WINDOW=FIRST_POPUP&amp;HEIGHT=450&amp;WIDTH=450&amp;START_MA","XIMIZED=FALSE&amp;VAR:CALENDAR=US&amp;VAR:SYMBOL=37183T10&amp;VAR:INDEX=0"}</definedName>
    <definedName name="_5484__FDSAUDITLINK__" localSheetId="6" hidden="1">{"fdsup://directions/FAT Viewer?action=UPDATE&amp;creator=factset&amp;DYN_ARGS=TRUE&amp;DOC_NAME=FAT:FQL_AUDITING_CLIENT_TEMPLATE.FAT&amp;display_string=Audit&amp;VAR:KEY=JQFSRYNQBQ&amp;VAR:QUERY=RkZfRUJJVERBX0lCKCdMVE1TJyw0MDIyOSk=&amp;WINDOW=FIRST_POPUP&amp;HEIGHT=450&amp;WIDTH=450&amp;START_MA","XIMIZED=FALSE&amp;VAR:CALENDAR=US&amp;VAR:SYMBOL=N0098510&amp;VAR:INDEX=0"}</definedName>
    <definedName name="_5484__FDSAUDITLINK__" hidden="1">{"fdsup://directions/FAT Viewer?action=UPDATE&amp;creator=factset&amp;DYN_ARGS=TRUE&amp;DOC_NAME=FAT:FQL_AUDITING_CLIENT_TEMPLATE.FAT&amp;display_string=Audit&amp;VAR:KEY=JQFSRYNQBQ&amp;VAR:QUERY=RkZfRUJJVERBX0lCKCdMVE1TJyw0MDIyOSk=&amp;WINDOW=FIRST_POPUP&amp;HEIGHT=450&amp;WIDTH=450&amp;START_MA","XIMIZED=FALSE&amp;VAR:CALENDAR=US&amp;VAR:SYMBOL=N0098510&amp;VAR:INDEX=0"}</definedName>
    <definedName name="_5485__FDSAUDITLINK__" localSheetId="6" hidden="1">{"fdsup://directions/FAT Viewer?action=UPDATE&amp;creator=factset&amp;DYN_ARGS=TRUE&amp;DOC_NAME=FAT:FQL_AUDITING_CLIENT_TEMPLATE.FAT&amp;display_string=Audit&amp;VAR:KEY=ZCZGXUZYNM&amp;VAR:QUERY=RkZfRUJJVERBX0lCKCdMVE1TJyw0MDIyOCk=&amp;WINDOW=FIRST_POPUP&amp;HEIGHT=450&amp;WIDTH=450&amp;START_MA","XIMIZED=FALSE&amp;VAR:CALENDAR=US&amp;VAR:SYMBOL=N0098510&amp;VAR:INDEX=0"}</definedName>
    <definedName name="_5485__FDSAUDITLINK__" hidden="1">{"fdsup://directions/FAT Viewer?action=UPDATE&amp;creator=factset&amp;DYN_ARGS=TRUE&amp;DOC_NAME=FAT:FQL_AUDITING_CLIENT_TEMPLATE.FAT&amp;display_string=Audit&amp;VAR:KEY=ZCZGXUZYNM&amp;VAR:QUERY=RkZfRUJJVERBX0lCKCdMVE1TJyw0MDIyOCk=&amp;WINDOW=FIRST_POPUP&amp;HEIGHT=450&amp;WIDTH=450&amp;START_MA","XIMIZED=FALSE&amp;VAR:CALENDAR=US&amp;VAR:SYMBOL=N0098510&amp;VAR:INDEX=0"}</definedName>
    <definedName name="_5486__FDSAUDITLINK__" localSheetId="6" hidden="1">{"fdsup://directions/FAT Viewer?action=UPDATE&amp;creator=factset&amp;DYN_ARGS=TRUE&amp;DOC_NAME=FAT:FQL_AUDITING_CLIENT_TEMPLATE.FAT&amp;display_string=Audit&amp;VAR:KEY=HMRGTMRKZQ&amp;VAR:QUERY=RkZfRUJJVERBX0lCKCdMVE1TJyw0MDIyNyk=&amp;WINDOW=FIRST_POPUP&amp;HEIGHT=450&amp;WIDTH=450&amp;START_MA","XIMIZED=FALSE&amp;VAR:CALENDAR=US&amp;VAR:SYMBOL=N0098510&amp;VAR:INDEX=0"}</definedName>
    <definedName name="_5486__FDSAUDITLINK__" hidden="1">{"fdsup://directions/FAT Viewer?action=UPDATE&amp;creator=factset&amp;DYN_ARGS=TRUE&amp;DOC_NAME=FAT:FQL_AUDITING_CLIENT_TEMPLATE.FAT&amp;display_string=Audit&amp;VAR:KEY=HMRGTMRKZQ&amp;VAR:QUERY=RkZfRUJJVERBX0lCKCdMVE1TJyw0MDIyNyk=&amp;WINDOW=FIRST_POPUP&amp;HEIGHT=450&amp;WIDTH=450&amp;START_MA","XIMIZED=FALSE&amp;VAR:CALENDAR=US&amp;VAR:SYMBOL=N0098510&amp;VAR:INDEX=0"}</definedName>
    <definedName name="_5487__FDSAUDITLINK__" localSheetId="6" hidden="1">{"fdsup://directions/FAT Viewer?action=UPDATE&amp;creator=factset&amp;DYN_ARGS=TRUE&amp;DOC_NAME=FAT:FQL_AUDITING_CLIENT_TEMPLATE.FAT&amp;display_string=Audit&amp;VAR:KEY=HGRKTUPMHG&amp;VAR:QUERY=RkZfRUJJVERBX0lCKCdMVE1TJyw0MDIyNik=&amp;WINDOW=FIRST_POPUP&amp;HEIGHT=450&amp;WIDTH=450&amp;START_MA","XIMIZED=FALSE&amp;VAR:CALENDAR=US&amp;VAR:SYMBOL=N0098510&amp;VAR:INDEX=0"}</definedName>
    <definedName name="_5487__FDSAUDITLINK__" hidden="1">{"fdsup://directions/FAT Viewer?action=UPDATE&amp;creator=factset&amp;DYN_ARGS=TRUE&amp;DOC_NAME=FAT:FQL_AUDITING_CLIENT_TEMPLATE.FAT&amp;display_string=Audit&amp;VAR:KEY=HGRKTUPMHG&amp;VAR:QUERY=RkZfRUJJVERBX0lCKCdMVE1TJyw0MDIyNik=&amp;WINDOW=FIRST_POPUP&amp;HEIGHT=450&amp;WIDTH=450&amp;START_MA","XIMIZED=FALSE&amp;VAR:CALENDAR=US&amp;VAR:SYMBOL=N0098510&amp;VAR:INDEX=0"}</definedName>
    <definedName name="_5488__FDSAUDITLINK__" localSheetId="6" hidden="1">{"fdsup://directions/FAT Viewer?action=UPDATE&amp;creator=factset&amp;DYN_ARGS=TRUE&amp;DOC_NAME=FAT:FQL_AUDITING_CLIENT_TEMPLATE.FAT&amp;display_string=Audit&amp;VAR:KEY=RWNQFIFGPY&amp;VAR:QUERY=RkZfRUJJVERBX0lCKCdMVE1TJyw0MDIyNSk=&amp;WINDOW=FIRST_POPUP&amp;HEIGHT=450&amp;WIDTH=450&amp;START_MA","XIMIZED=FALSE&amp;VAR:CALENDAR=US&amp;VAR:SYMBOL=N0098510&amp;VAR:INDEX=0"}</definedName>
    <definedName name="_5488__FDSAUDITLINK__" hidden="1">{"fdsup://directions/FAT Viewer?action=UPDATE&amp;creator=factset&amp;DYN_ARGS=TRUE&amp;DOC_NAME=FAT:FQL_AUDITING_CLIENT_TEMPLATE.FAT&amp;display_string=Audit&amp;VAR:KEY=RWNQFIFGPY&amp;VAR:QUERY=RkZfRUJJVERBX0lCKCdMVE1TJyw0MDIyNSk=&amp;WINDOW=FIRST_POPUP&amp;HEIGHT=450&amp;WIDTH=450&amp;START_MA","XIMIZED=FALSE&amp;VAR:CALENDAR=US&amp;VAR:SYMBOL=N0098510&amp;VAR:INDEX=0"}</definedName>
    <definedName name="_5489__FDSAUDITLINK__" localSheetId="6" hidden="1">{"fdsup://directions/FAT Viewer?action=UPDATE&amp;creator=factset&amp;DYN_ARGS=TRUE&amp;DOC_NAME=FAT:FQL_AUDITING_CLIENT_TEMPLATE.FAT&amp;display_string=Audit&amp;VAR:KEY=NSLOHWXOTC&amp;VAR:QUERY=RkZfRUJJVERBX0lCKCdMVE1TJyw0MDIyNCk=&amp;WINDOW=FIRST_POPUP&amp;HEIGHT=450&amp;WIDTH=450&amp;START_MA","XIMIZED=FALSE&amp;VAR:CALENDAR=US&amp;VAR:SYMBOL=N0098510&amp;VAR:INDEX=0"}</definedName>
    <definedName name="_5489__FDSAUDITLINK__" hidden="1">{"fdsup://directions/FAT Viewer?action=UPDATE&amp;creator=factset&amp;DYN_ARGS=TRUE&amp;DOC_NAME=FAT:FQL_AUDITING_CLIENT_TEMPLATE.FAT&amp;display_string=Audit&amp;VAR:KEY=NSLOHWXOTC&amp;VAR:QUERY=RkZfRUJJVERBX0lCKCdMVE1TJyw0MDIyNCk=&amp;WINDOW=FIRST_POPUP&amp;HEIGHT=450&amp;WIDTH=450&amp;START_MA","XIMIZED=FALSE&amp;VAR:CALENDAR=US&amp;VAR:SYMBOL=N0098510&amp;VAR:INDEX=0"}</definedName>
    <definedName name="_549__FDSAUDITLINK__" localSheetId="6" hidden="1">{"fdsup://directions/FAT%20Viewer?VAR:PED=LTM&amp;VAR:AUDIT_MODE=SUMMARY&amp;VAR:PERIOD=FIXED&amp;VAR:AUDIT_ID=00000117&amp;VAR:DATE=20080821&amp;action=UPDATE&amp;creator=factset&amp;DOC_NAME=FAT:FMA_audit_SUMMARY.fat&amp;DISPLAY_STRING=Display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9__FDSAUDITLINK__" hidden="1">{"fdsup://directions/FAT%20Viewer?VAR:PED=LTM&amp;VAR:AUDIT_MODE=SUMMARY&amp;VAR:PERIOD=FIXED&amp;VAR:AUDIT_ID=00000117&amp;VAR:DATE=20080821&amp;action=UPDATE&amp;creator=factset&amp;DOC_NAME=FAT:FMA_audit_SUMMARY.fat&amp;DISPLAY_STRING=Display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490__FDSAUDITLINK__" localSheetId="6" hidden="1">{"fdsup://directions/FAT Viewer?action=UPDATE&amp;creator=factset&amp;DYN_ARGS=TRUE&amp;DOC_NAME=FAT:FQL_AUDITING_CLIENT_TEMPLATE.FAT&amp;display_string=Audit&amp;VAR:KEY=HAFCVKHAJU&amp;VAR:QUERY=RkZfRUJJVERBX0lCKCdMVE1TJyw0MDIyMyk=&amp;WINDOW=FIRST_POPUP&amp;HEIGHT=450&amp;WIDTH=450&amp;START_MA","XIMIZED=FALSE&amp;VAR:CALENDAR=US&amp;VAR:SYMBOL=N0098510&amp;VAR:INDEX=0"}</definedName>
    <definedName name="_5490__FDSAUDITLINK__" hidden="1">{"fdsup://directions/FAT Viewer?action=UPDATE&amp;creator=factset&amp;DYN_ARGS=TRUE&amp;DOC_NAME=FAT:FQL_AUDITING_CLIENT_TEMPLATE.FAT&amp;display_string=Audit&amp;VAR:KEY=HAFCVKHAJU&amp;VAR:QUERY=RkZfRUJJVERBX0lCKCdMVE1TJyw0MDIyMyk=&amp;WINDOW=FIRST_POPUP&amp;HEIGHT=450&amp;WIDTH=450&amp;START_MA","XIMIZED=FALSE&amp;VAR:CALENDAR=US&amp;VAR:SYMBOL=N0098510&amp;VAR:INDEX=0"}</definedName>
    <definedName name="_5491__FDSAUDITLINK__" localSheetId="6" hidden="1">{"fdsup://directions/FAT Viewer?action=UPDATE&amp;creator=factset&amp;DYN_ARGS=TRUE&amp;DOC_NAME=FAT:FQL_AUDITING_CLIENT_TEMPLATE.FAT&amp;display_string=Audit&amp;VAR:KEY=RAHQLKDOTG&amp;VAR:QUERY=RkZfRUJJVERBX0lCKCdMVE1TJyw0MDIyMik=&amp;WINDOW=FIRST_POPUP&amp;HEIGHT=450&amp;WIDTH=450&amp;START_MA","XIMIZED=FALSE&amp;VAR:CALENDAR=US&amp;VAR:SYMBOL=N0098510&amp;VAR:INDEX=0"}</definedName>
    <definedName name="_5491__FDSAUDITLINK__" hidden="1">{"fdsup://directions/FAT Viewer?action=UPDATE&amp;creator=factset&amp;DYN_ARGS=TRUE&amp;DOC_NAME=FAT:FQL_AUDITING_CLIENT_TEMPLATE.FAT&amp;display_string=Audit&amp;VAR:KEY=RAHQLKDOTG&amp;VAR:QUERY=RkZfRUJJVERBX0lCKCdMVE1TJyw0MDIyMik=&amp;WINDOW=FIRST_POPUP&amp;HEIGHT=450&amp;WIDTH=450&amp;START_MA","XIMIZED=FALSE&amp;VAR:CALENDAR=US&amp;VAR:SYMBOL=N0098510&amp;VAR:INDEX=0"}</definedName>
    <definedName name="_5492__FDSAUDITLINK__" localSheetId="6" hidden="1">{"fdsup://directions/FAT Viewer?action=UPDATE&amp;creator=factset&amp;DYN_ARGS=TRUE&amp;DOC_NAME=FAT:FQL_AUDITING_CLIENT_TEMPLATE.FAT&amp;display_string=Audit&amp;VAR:KEY=BKVCRONGPA&amp;VAR:QUERY=RkZfRUJJVERBX0lCKCdMVE1TJyw0MDIyMSk=&amp;WINDOW=FIRST_POPUP&amp;HEIGHT=450&amp;WIDTH=450&amp;START_MA","XIMIZED=FALSE&amp;VAR:CALENDAR=US&amp;VAR:SYMBOL=N0098510&amp;VAR:INDEX=0"}</definedName>
    <definedName name="_5492__FDSAUDITLINK__" hidden="1">{"fdsup://directions/FAT Viewer?action=UPDATE&amp;creator=factset&amp;DYN_ARGS=TRUE&amp;DOC_NAME=FAT:FQL_AUDITING_CLIENT_TEMPLATE.FAT&amp;display_string=Audit&amp;VAR:KEY=BKVCRONGPA&amp;VAR:QUERY=RkZfRUJJVERBX0lCKCdMVE1TJyw0MDIyMSk=&amp;WINDOW=FIRST_POPUP&amp;HEIGHT=450&amp;WIDTH=450&amp;START_MA","XIMIZED=FALSE&amp;VAR:CALENDAR=US&amp;VAR:SYMBOL=N0098510&amp;VAR:INDEX=0"}</definedName>
    <definedName name="_5493__FDSAUDITLINK__" localSheetId="6" hidden="1">{"fdsup://directions/FAT Viewer?action=UPDATE&amp;creator=factset&amp;DYN_ARGS=TRUE&amp;DOC_NAME=FAT:FQL_AUDITING_CLIENT_TEMPLATE.FAT&amp;display_string=Audit&amp;VAR:KEY=VSFIJOTCZU&amp;VAR:QUERY=RkZfRUJJVERBX0lCKCdMVE1TJyw0MDIyMCk=&amp;WINDOW=FIRST_POPUP&amp;HEIGHT=450&amp;WIDTH=450&amp;START_MA","XIMIZED=FALSE&amp;VAR:CALENDAR=US&amp;VAR:SYMBOL=N0098510&amp;VAR:INDEX=0"}</definedName>
    <definedName name="_5493__FDSAUDITLINK__" hidden="1">{"fdsup://directions/FAT Viewer?action=UPDATE&amp;creator=factset&amp;DYN_ARGS=TRUE&amp;DOC_NAME=FAT:FQL_AUDITING_CLIENT_TEMPLATE.FAT&amp;display_string=Audit&amp;VAR:KEY=VSFIJOTCZU&amp;VAR:QUERY=RkZfRUJJVERBX0lCKCdMVE1TJyw0MDIyMCk=&amp;WINDOW=FIRST_POPUP&amp;HEIGHT=450&amp;WIDTH=450&amp;START_MA","XIMIZED=FALSE&amp;VAR:CALENDAR=US&amp;VAR:SYMBOL=N0098510&amp;VAR:INDEX=0"}</definedName>
    <definedName name="_5494__FDSAUDITLINK__" localSheetId="6" hidden="1">{"fdsup://directions/FAT Viewer?action=UPDATE&amp;creator=factset&amp;DYN_ARGS=TRUE&amp;DOC_NAME=FAT:FQL_AUDITING_CLIENT_TEMPLATE.FAT&amp;display_string=Audit&amp;VAR:KEY=DWFABMHKLM&amp;VAR:QUERY=RkZfRUJJVERBX0lCKCdMVE1TJyw0MDIxOSk=&amp;WINDOW=FIRST_POPUP&amp;HEIGHT=450&amp;WIDTH=450&amp;START_MA","XIMIZED=FALSE&amp;VAR:CALENDAR=US&amp;VAR:SYMBOL=N0098510&amp;VAR:INDEX=0"}</definedName>
    <definedName name="_5494__FDSAUDITLINK__" hidden="1">{"fdsup://directions/FAT Viewer?action=UPDATE&amp;creator=factset&amp;DYN_ARGS=TRUE&amp;DOC_NAME=FAT:FQL_AUDITING_CLIENT_TEMPLATE.FAT&amp;display_string=Audit&amp;VAR:KEY=DWFABMHKLM&amp;VAR:QUERY=RkZfRUJJVERBX0lCKCdMVE1TJyw0MDIxOSk=&amp;WINDOW=FIRST_POPUP&amp;HEIGHT=450&amp;WIDTH=450&amp;START_MA","XIMIZED=FALSE&amp;VAR:CALENDAR=US&amp;VAR:SYMBOL=N0098510&amp;VAR:INDEX=0"}</definedName>
    <definedName name="_5495__FDSAUDITLINK__" localSheetId="6" hidden="1">{"fdsup://directions/FAT Viewer?action=UPDATE&amp;creator=factset&amp;DYN_ARGS=TRUE&amp;DOC_NAME=FAT:FQL_AUDITING_CLIENT_TEMPLATE.FAT&amp;display_string=Audit&amp;VAR:KEY=LURQNSJYBW&amp;VAR:QUERY=RkZfRUJJVERBX0lCKCdMVE1TJyw0MDIxOCk=&amp;WINDOW=FIRST_POPUP&amp;HEIGHT=450&amp;WIDTH=450&amp;START_MA","XIMIZED=FALSE&amp;VAR:CALENDAR=US&amp;VAR:SYMBOL=N0098510&amp;VAR:INDEX=0"}</definedName>
    <definedName name="_5495__FDSAUDITLINK__" hidden="1">{"fdsup://directions/FAT Viewer?action=UPDATE&amp;creator=factset&amp;DYN_ARGS=TRUE&amp;DOC_NAME=FAT:FQL_AUDITING_CLIENT_TEMPLATE.FAT&amp;display_string=Audit&amp;VAR:KEY=LURQNSJYBW&amp;VAR:QUERY=RkZfRUJJVERBX0lCKCdMVE1TJyw0MDIxOCk=&amp;WINDOW=FIRST_POPUP&amp;HEIGHT=450&amp;WIDTH=450&amp;START_MA","XIMIZED=FALSE&amp;VAR:CALENDAR=US&amp;VAR:SYMBOL=N0098510&amp;VAR:INDEX=0"}</definedName>
    <definedName name="_5496__FDSAUDITLINK__" localSheetId="6" hidden="1">{"fdsup://directions/FAT Viewer?action=UPDATE&amp;creator=factset&amp;DYN_ARGS=TRUE&amp;DOC_NAME=FAT:FQL_AUDITING_CLIENT_TEMPLATE.FAT&amp;display_string=Audit&amp;VAR:KEY=HYJOTYVSNY&amp;VAR:QUERY=RkZfRUJJVERBX0lCKCdMVE1TJyw0MDIxNyk=&amp;WINDOW=FIRST_POPUP&amp;HEIGHT=450&amp;WIDTH=450&amp;START_MA","XIMIZED=FALSE&amp;VAR:CALENDAR=US&amp;VAR:SYMBOL=N0098510&amp;VAR:INDEX=0"}</definedName>
    <definedName name="_5496__FDSAUDITLINK__" hidden="1">{"fdsup://directions/FAT Viewer?action=UPDATE&amp;creator=factset&amp;DYN_ARGS=TRUE&amp;DOC_NAME=FAT:FQL_AUDITING_CLIENT_TEMPLATE.FAT&amp;display_string=Audit&amp;VAR:KEY=HYJOTYVSNY&amp;VAR:QUERY=RkZfRUJJVERBX0lCKCdMVE1TJyw0MDIxNyk=&amp;WINDOW=FIRST_POPUP&amp;HEIGHT=450&amp;WIDTH=450&amp;START_MA","XIMIZED=FALSE&amp;VAR:CALENDAR=US&amp;VAR:SYMBOL=N0098510&amp;VAR:INDEX=0"}</definedName>
    <definedName name="_5497__FDSAUDITLINK__" localSheetId="6" hidden="1">{"fdsup://directions/FAT Viewer?action=UPDATE&amp;creator=factset&amp;DYN_ARGS=TRUE&amp;DOC_NAME=FAT:FQL_AUDITING_CLIENT_TEMPLATE.FAT&amp;display_string=Audit&amp;VAR:KEY=JSJKPMZYLW&amp;VAR:QUERY=RkZfRUJJVERBX0lCKCdMVE1TJyw0MDIxNik=&amp;WINDOW=FIRST_POPUP&amp;HEIGHT=450&amp;WIDTH=450&amp;START_MA","XIMIZED=FALSE&amp;VAR:CALENDAR=US&amp;VAR:SYMBOL=N0098510&amp;VAR:INDEX=0"}</definedName>
    <definedName name="_5497__FDSAUDITLINK__" hidden="1">{"fdsup://directions/FAT Viewer?action=UPDATE&amp;creator=factset&amp;DYN_ARGS=TRUE&amp;DOC_NAME=FAT:FQL_AUDITING_CLIENT_TEMPLATE.FAT&amp;display_string=Audit&amp;VAR:KEY=JSJKPMZYLW&amp;VAR:QUERY=RkZfRUJJVERBX0lCKCdMVE1TJyw0MDIxNik=&amp;WINDOW=FIRST_POPUP&amp;HEIGHT=450&amp;WIDTH=450&amp;START_MA","XIMIZED=FALSE&amp;VAR:CALENDAR=US&amp;VAR:SYMBOL=N0098510&amp;VAR:INDEX=0"}</definedName>
    <definedName name="_5498__FDSAUDITLINK__" localSheetId="6" hidden="1">{"fdsup://directions/FAT Viewer?action=UPDATE&amp;creator=factset&amp;DYN_ARGS=TRUE&amp;DOC_NAME=FAT:FQL_AUDITING_CLIENT_TEMPLATE.FAT&amp;display_string=Audit&amp;VAR:KEY=JUFCJWJYNQ&amp;VAR:QUERY=RkZfRUJJVERBX0lCKCdMVE1TJyw0MDIxNSk=&amp;WINDOW=FIRST_POPUP&amp;HEIGHT=450&amp;WIDTH=450&amp;START_MA","XIMIZED=FALSE&amp;VAR:CALENDAR=US&amp;VAR:SYMBOL=N0098510&amp;VAR:INDEX=0"}</definedName>
    <definedName name="_5498__FDSAUDITLINK__" hidden="1">{"fdsup://directions/FAT Viewer?action=UPDATE&amp;creator=factset&amp;DYN_ARGS=TRUE&amp;DOC_NAME=FAT:FQL_AUDITING_CLIENT_TEMPLATE.FAT&amp;display_string=Audit&amp;VAR:KEY=JUFCJWJYNQ&amp;VAR:QUERY=RkZfRUJJVERBX0lCKCdMVE1TJyw0MDIxNSk=&amp;WINDOW=FIRST_POPUP&amp;HEIGHT=450&amp;WIDTH=450&amp;START_MA","XIMIZED=FALSE&amp;VAR:CALENDAR=US&amp;VAR:SYMBOL=N0098510&amp;VAR:INDEX=0"}</definedName>
    <definedName name="_5499__FDSAUDITLINK__" localSheetId="6" hidden="1">{"fdsup://directions/FAT Viewer?action=UPDATE&amp;creator=factset&amp;DYN_ARGS=TRUE&amp;DOC_NAME=FAT:FQL_AUDITING_CLIENT_TEMPLATE.FAT&amp;display_string=Audit&amp;VAR:KEY=RYBSVADONS&amp;VAR:QUERY=RkZfRUJJVERBX0lCKCdMVE1TJyw0MDIxNCk=&amp;WINDOW=FIRST_POPUP&amp;HEIGHT=450&amp;WIDTH=450&amp;START_MA","XIMIZED=FALSE&amp;VAR:CALENDAR=US&amp;VAR:SYMBOL=N0098510&amp;VAR:INDEX=0"}</definedName>
    <definedName name="_5499__FDSAUDITLINK__" hidden="1">{"fdsup://directions/FAT Viewer?action=UPDATE&amp;creator=factset&amp;DYN_ARGS=TRUE&amp;DOC_NAME=FAT:FQL_AUDITING_CLIENT_TEMPLATE.FAT&amp;display_string=Audit&amp;VAR:KEY=RYBSVADONS&amp;VAR:QUERY=RkZfRUJJVERBX0lCKCdMVE1TJyw0MDIxNCk=&amp;WINDOW=FIRST_POPUP&amp;HEIGHT=450&amp;WIDTH=450&amp;START_MA","XIMIZED=FALSE&amp;VAR:CALENDAR=US&amp;VAR:SYMBOL=N0098510&amp;VAR:INDEX=0"}</definedName>
    <definedName name="_55__FDSAUDITLINK__" localSheetId="6" hidden="1">{"fdsup://directions/FAT Viewer?action=UPDATE&amp;creator=factset&amp;DYN_ARGS=TRUE&amp;DOC_NAME=FAT:FQL_AUDITING_CLIENT_TEMPLATE.FAT&amp;display_string=Audit&amp;VAR:KEY=YFCHWXARIV&amp;VAR:QUERY=QVZHKENTRl9ORVRfSU5DKEFOTiwwRlksLTZGWSxZKSkgLyAoQVZHKENTRl9BU1NFVFMoQU5OLDBGWSwtNkZZL","EZZKSkgLSBBVkcoQ1NGX0lOVEFORyhBTk4sMCwtNkZZLEZZKSkp&amp;WINDOW=FIRST_POPUP&amp;HEIGHT=450&amp;WIDTH=450&amp;START_MAXIMIZED=FALSE&amp;VAR:CALENDAR=US&amp;VAR:SYMBOL=509233"}</definedName>
    <definedName name="_55__FDSAUDITLINK__" hidden="1">{"fdsup://directions/FAT Viewer?action=UPDATE&amp;creator=factset&amp;DYN_ARGS=TRUE&amp;DOC_NAME=FAT:FQL_AUDITING_CLIENT_TEMPLATE.FAT&amp;display_string=Audit&amp;VAR:KEY=YFCHWXARIV&amp;VAR:QUERY=QVZHKENTRl9ORVRfSU5DKEFOTiwwRlksLTZGWSxZKSkgLyAoQVZHKENTRl9BU1NFVFMoQU5OLDBGWSwtNkZZL","EZZKSkgLSBBVkcoQ1NGX0lOVEFORyhBTk4sMCwtNkZZLEZZKSkp&amp;WINDOW=FIRST_POPUP&amp;HEIGHT=450&amp;WIDTH=450&amp;START_MAXIMIZED=FALSE&amp;VAR:CALENDAR=US&amp;VAR:SYMBOL=509233"}</definedName>
    <definedName name="_550__FDSAUDITLINK__" localSheetId="6" hidden="1">{"fdsup://directions/FAT%20Viewer?VAR:PED=LTM&amp;VAR:AUDIT_MODE=SUMMARY&amp;VAR:PERIOD=FIXED&amp;VAR:AUDIT_ID=00000117&amp;VAR:DATE=20080820&amp;action=UPDATE&amp;creator=factset&amp;DOC_NAME=FAT:FMA_audit_SUMMARY.fat&amp;DISPLAY_STRING=Display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0__FDSAUDITLINK__" hidden="1">{"fdsup://directions/FAT%20Viewer?VAR:PED=LTM&amp;VAR:AUDIT_MODE=SUMMARY&amp;VAR:PERIOD=FIXED&amp;VAR:AUDIT_ID=00000117&amp;VAR:DATE=20080820&amp;action=UPDATE&amp;creator=factset&amp;DOC_NAME=FAT:FMA_audit_SUMMARY.fat&amp;DISPLAY_STRING=Display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00__FDSAUDITLINK__" localSheetId="6" hidden="1">{"fdsup://directions/FAT Viewer?action=UPDATE&amp;creator=factset&amp;DYN_ARGS=TRUE&amp;DOC_NAME=FAT:FQL_AUDITING_CLIENT_TEMPLATE.FAT&amp;display_string=Audit&amp;VAR:KEY=ZKZIVYLADU&amp;VAR:QUERY=RkZfRUJJVERBX0lCKCdMVE1TJyw0MDIxMyk=&amp;WINDOW=FIRST_POPUP&amp;HEIGHT=450&amp;WIDTH=450&amp;START_MA","XIMIZED=FALSE&amp;VAR:CALENDAR=US&amp;VAR:SYMBOL=N0098510&amp;VAR:INDEX=0"}</definedName>
    <definedName name="_5500__FDSAUDITLINK__" hidden="1">{"fdsup://directions/FAT Viewer?action=UPDATE&amp;creator=factset&amp;DYN_ARGS=TRUE&amp;DOC_NAME=FAT:FQL_AUDITING_CLIENT_TEMPLATE.FAT&amp;display_string=Audit&amp;VAR:KEY=ZKZIVYLADU&amp;VAR:QUERY=RkZfRUJJVERBX0lCKCdMVE1TJyw0MDIxMyk=&amp;WINDOW=FIRST_POPUP&amp;HEIGHT=450&amp;WIDTH=450&amp;START_MA","XIMIZED=FALSE&amp;VAR:CALENDAR=US&amp;VAR:SYMBOL=N0098510&amp;VAR:INDEX=0"}</definedName>
    <definedName name="_5501__FDSAUDITLINK__" localSheetId="6" hidden="1">{"fdsup://directions/FAT Viewer?action=UPDATE&amp;creator=factset&amp;DYN_ARGS=TRUE&amp;DOC_NAME=FAT:FQL_AUDITING_CLIENT_TEMPLATE.FAT&amp;display_string=Audit&amp;VAR:KEY=RWHEHMZAFS&amp;VAR:QUERY=RkZfRUJJVERBX0lCKCdMVE1TJyw0MDIxMik=&amp;WINDOW=FIRST_POPUP&amp;HEIGHT=450&amp;WIDTH=450&amp;START_MA","XIMIZED=FALSE&amp;VAR:CALENDAR=US&amp;VAR:SYMBOL=N0098510&amp;VAR:INDEX=0"}</definedName>
    <definedName name="_5501__FDSAUDITLINK__" hidden="1">{"fdsup://directions/FAT Viewer?action=UPDATE&amp;creator=factset&amp;DYN_ARGS=TRUE&amp;DOC_NAME=FAT:FQL_AUDITING_CLIENT_TEMPLATE.FAT&amp;display_string=Audit&amp;VAR:KEY=RWHEHMZAFS&amp;VAR:QUERY=RkZfRUJJVERBX0lCKCdMVE1TJyw0MDIxMik=&amp;WINDOW=FIRST_POPUP&amp;HEIGHT=450&amp;WIDTH=450&amp;START_MA","XIMIZED=FALSE&amp;VAR:CALENDAR=US&amp;VAR:SYMBOL=N0098510&amp;VAR:INDEX=0"}</definedName>
    <definedName name="_5502__FDSAUDITLINK__" localSheetId="6" hidden="1">{"fdsup://directions/FAT Viewer?action=UPDATE&amp;creator=factset&amp;DYN_ARGS=TRUE&amp;DOC_NAME=FAT:FQL_AUDITING_CLIENT_TEMPLATE.FAT&amp;display_string=Audit&amp;VAR:KEY=NMZSXWZIBE&amp;VAR:QUERY=RkZfRUJJVERBX0lCKCdMVE1TJyw0MDIxMSk=&amp;WINDOW=FIRST_POPUP&amp;HEIGHT=450&amp;WIDTH=450&amp;START_MA","XIMIZED=FALSE&amp;VAR:CALENDAR=US&amp;VAR:SYMBOL=N0098510&amp;VAR:INDEX=0"}</definedName>
    <definedName name="_5502__FDSAUDITLINK__" hidden="1">{"fdsup://directions/FAT Viewer?action=UPDATE&amp;creator=factset&amp;DYN_ARGS=TRUE&amp;DOC_NAME=FAT:FQL_AUDITING_CLIENT_TEMPLATE.FAT&amp;display_string=Audit&amp;VAR:KEY=NMZSXWZIBE&amp;VAR:QUERY=RkZfRUJJVERBX0lCKCdMVE1TJyw0MDIxMSk=&amp;WINDOW=FIRST_POPUP&amp;HEIGHT=450&amp;WIDTH=450&amp;START_MA","XIMIZED=FALSE&amp;VAR:CALENDAR=US&amp;VAR:SYMBOL=N0098510&amp;VAR:INDEX=0"}</definedName>
    <definedName name="_5503__FDSAUDITLINK__" localSheetId="6" hidden="1">{"fdsup://directions/FAT Viewer?action=UPDATE&amp;creator=factset&amp;DYN_ARGS=TRUE&amp;DOC_NAME=FAT:FQL_AUDITING_CLIENT_TEMPLATE.FAT&amp;display_string=Audit&amp;VAR:KEY=JINCZILIXG&amp;VAR:QUERY=RkZfRUJJVERBX0lCKCdMVE1TJyw0MDIxMCk=&amp;WINDOW=FIRST_POPUP&amp;HEIGHT=450&amp;WIDTH=450&amp;START_MA","XIMIZED=FALSE&amp;VAR:CALENDAR=US&amp;VAR:SYMBOL=N0098510&amp;VAR:INDEX=0"}</definedName>
    <definedName name="_5503__FDSAUDITLINK__" hidden="1">{"fdsup://directions/FAT Viewer?action=UPDATE&amp;creator=factset&amp;DYN_ARGS=TRUE&amp;DOC_NAME=FAT:FQL_AUDITING_CLIENT_TEMPLATE.FAT&amp;display_string=Audit&amp;VAR:KEY=JINCZILIXG&amp;VAR:QUERY=RkZfRUJJVERBX0lCKCdMVE1TJyw0MDIxMCk=&amp;WINDOW=FIRST_POPUP&amp;HEIGHT=450&amp;WIDTH=450&amp;START_MA","XIMIZED=FALSE&amp;VAR:CALENDAR=US&amp;VAR:SYMBOL=N0098510&amp;VAR:INDEX=0"}</definedName>
    <definedName name="_5504__FDSAUDITLINK__" localSheetId="6" hidden="1">{"fdsup://directions/FAT Viewer?action=UPDATE&amp;creator=factset&amp;DYN_ARGS=TRUE&amp;DOC_NAME=FAT:FQL_AUDITING_CLIENT_TEMPLATE.FAT&amp;display_string=Audit&amp;VAR:KEY=RIZMPUHQFY&amp;VAR:QUERY=RkZfRUJJVERBX0lCKCdMVE1TJyw0MDIwOSk=&amp;WINDOW=FIRST_POPUP&amp;HEIGHT=450&amp;WIDTH=450&amp;START_MA","XIMIZED=FALSE&amp;VAR:CALENDAR=US&amp;VAR:SYMBOL=N0098510&amp;VAR:INDEX=0"}</definedName>
    <definedName name="_5504__FDSAUDITLINK__" hidden="1">{"fdsup://directions/FAT Viewer?action=UPDATE&amp;creator=factset&amp;DYN_ARGS=TRUE&amp;DOC_NAME=FAT:FQL_AUDITING_CLIENT_TEMPLATE.FAT&amp;display_string=Audit&amp;VAR:KEY=RIZMPUHQFY&amp;VAR:QUERY=RkZfRUJJVERBX0lCKCdMVE1TJyw0MDIwOSk=&amp;WINDOW=FIRST_POPUP&amp;HEIGHT=450&amp;WIDTH=450&amp;START_MA","XIMIZED=FALSE&amp;VAR:CALENDAR=US&amp;VAR:SYMBOL=N0098510&amp;VAR:INDEX=0"}</definedName>
    <definedName name="_5505__FDSAUDITLINK__" localSheetId="6" hidden="1">{"fdsup://directions/FAT Viewer?action=UPDATE&amp;creator=factset&amp;DYN_ARGS=TRUE&amp;DOC_NAME=FAT:FQL_AUDITING_CLIENT_TEMPLATE.FAT&amp;display_string=Audit&amp;VAR:KEY=LKNUFGPYXM&amp;VAR:QUERY=RkZfRUJJVERBX0lCKCdMVE1TJyw0MDIwOCk=&amp;WINDOW=FIRST_POPUP&amp;HEIGHT=450&amp;WIDTH=450&amp;START_MA","XIMIZED=FALSE&amp;VAR:CALENDAR=US&amp;VAR:SYMBOL=N0098510&amp;VAR:INDEX=0"}</definedName>
    <definedName name="_5505__FDSAUDITLINK__" hidden="1">{"fdsup://directions/FAT Viewer?action=UPDATE&amp;creator=factset&amp;DYN_ARGS=TRUE&amp;DOC_NAME=FAT:FQL_AUDITING_CLIENT_TEMPLATE.FAT&amp;display_string=Audit&amp;VAR:KEY=LKNUFGPYXM&amp;VAR:QUERY=RkZfRUJJVERBX0lCKCdMVE1TJyw0MDIwOCk=&amp;WINDOW=FIRST_POPUP&amp;HEIGHT=450&amp;WIDTH=450&amp;START_MA","XIMIZED=FALSE&amp;VAR:CALENDAR=US&amp;VAR:SYMBOL=N0098510&amp;VAR:INDEX=0"}</definedName>
    <definedName name="_5506__FDSAUDITLINK__" localSheetId="6" hidden="1">{"fdsup://directions/FAT Viewer?action=UPDATE&amp;creator=factset&amp;DYN_ARGS=TRUE&amp;DOC_NAME=FAT:FQL_AUDITING_CLIENT_TEMPLATE.FAT&amp;display_string=Audit&amp;VAR:KEY=FKXKLSJWNE&amp;VAR:QUERY=RkZfRUJJVERBX0lCKCdMVE1TJyw0MDIwNyk=&amp;WINDOW=FIRST_POPUP&amp;HEIGHT=450&amp;WIDTH=450&amp;START_MA","XIMIZED=FALSE&amp;VAR:CALENDAR=US&amp;VAR:SYMBOL=N0098510&amp;VAR:INDEX=0"}</definedName>
    <definedName name="_5506__FDSAUDITLINK__" hidden="1">{"fdsup://directions/FAT Viewer?action=UPDATE&amp;creator=factset&amp;DYN_ARGS=TRUE&amp;DOC_NAME=FAT:FQL_AUDITING_CLIENT_TEMPLATE.FAT&amp;display_string=Audit&amp;VAR:KEY=FKXKLSJWNE&amp;VAR:QUERY=RkZfRUJJVERBX0lCKCdMVE1TJyw0MDIwNyk=&amp;WINDOW=FIRST_POPUP&amp;HEIGHT=450&amp;WIDTH=450&amp;START_MA","XIMIZED=FALSE&amp;VAR:CALENDAR=US&amp;VAR:SYMBOL=N0098510&amp;VAR:INDEX=0"}</definedName>
    <definedName name="_5507__FDSAUDITLINK__" localSheetId="6" hidden="1">{"fdsup://directions/FAT Viewer?action=UPDATE&amp;creator=factset&amp;DYN_ARGS=TRUE&amp;DOC_NAME=FAT:FQL_AUDITING_CLIENT_TEMPLATE.FAT&amp;display_string=Audit&amp;VAR:KEY=HMLWPANQHS&amp;VAR:QUERY=RkZfRUJJVERBX0lCKCdMVE1TJyw0MDIwNik=&amp;WINDOW=FIRST_POPUP&amp;HEIGHT=450&amp;WIDTH=450&amp;START_MA","XIMIZED=FALSE&amp;VAR:CALENDAR=US&amp;VAR:SYMBOL=N0098510&amp;VAR:INDEX=0"}</definedName>
    <definedName name="_5507__FDSAUDITLINK__" hidden="1">{"fdsup://directions/FAT Viewer?action=UPDATE&amp;creator=factset&amp;DYN_ARGS=TRUE&amp;DOC_NAME=FAT:FQL_AUDITING_CLIENT_TEMPLATE.FAT&amp;display_string=Audit&amp;VAR:KEY=HMLWPANQHS&amp;VAR:QUERY=RkZfRUJJVERBX0lCKCdMVE1TJyw0MDIwNik=&amp;WINDOW=FIRST_POPUP&amp;HEIGHT=450&amp;WIDTH=450&amp;START_MA","XIMIZED=FALSE&amp;VAR:CALENDAR=US&amp;VAR:SYMBOL=N0098510&amp;VAR:INDEX=0"}</definedName>
    <definedName name="_5508__FDSAUDITLINK__" localSheetId="6" hidden="1">{"fdsup://directions/FAT Viewer?action=UPDATE&amp;creator=factset&amp;DYN_ARGS=TRUE&amp;DOC_NAME=FAT:FQL_AUDITING_CLIENT_TEMPLATE.FAT&amp;display_string=Audit&amp;VAR:KEY=XEDKNQJWVK&amp;VAR:QUERY=RkZfRUJJVERBX0lCKCdMVE1TJyw0MDIwNSk=&amp;WINDOW=FIRST_POPUP&amp;HEIGHT=450&amp;WIDTH=450&amp;START_MA","XIMIZED=FALSE&amp;VAR:CALENDAR=US&amp;VAR:SYMBOL=N0098510&amp;VAR:INDEX=0"}</definedName>
    <definedName name="_5508__FDSAUDITLINK__" hidden="1">{"fdsup://directions/FAT Viewer?action=UPDATE&amp;creator=factset&amp;DYN_ARGS=TRUE&amp;DOC_NAME=FAT:FQL_AUDITING_CLIENT_TEMPLATE.FAT&amp;display_string=Audit&amp;VAR:KEY=XEDKNQJWVK&amp;VAR:QUERY=RkZfRUJJVERBX0lCKCdMVE1TJyw0MDIwNSk=&amp;WINDOW=FIRST_POPUP&amp;HEIGHT=450&amp;WIDTH=450&amp;START_MA","XIMIZED=FALSE&amp;VAR:CALENDAR=US&amp;VAR:SYMBOL=N0098510&amp;VAR:INDEX=0"}</definedName>
    <definedName name="_5509__FDSAUDITLINK__" localSheetId="6" hidden="1">{"fdsup://directions/FAT Viewer?action=UPDATE&amp;creator=factset&amp;DYN_ARGS=TRUE&amp;DOC_NAME=FAT:FQL_AUDITING_CLIENT_TEMPLATE.FAT&amp;display_string=Audit&amp;VAR:KEY=FORQBEHKLW&amp;VAR:QUERY=RkZfRUJJVERBX0lCKCdMVE1TJyw0MDIwNCk=&amp;WINDOW=FIRST_POPUP&amp;HEIGHT=450&amp;WIDTH=450&amp;START_MA","XIMIZED=FALSE&amp;VAR:CALENDAR=US&amp;VAR:SYMBOL=N0098510&amp;VAR:INDEX=0"}</definedName>
    <definedName name="_5509__FDSAUDITLINK__" hidden="1">{"fdsup://directions/FAT Viewer?action=UPDATE&amp;creator=factset&amp;DYN_ARGS=TRUE&amp;DOC_NAME=FAT:FQL_AUDITING_CLIENT_TEMPLATE.FAT&amp;display_string=Audit&amp;VAR:KEY=FORQBEHKLW&amp;VAR:QUERY=RkZfRUJJVERBX0lCKCdMVE1TJyw0MDIwNCk=&amp;WINDOW=FIRST_POPUP&amp;HEIGHT=450&amp;WIDTH=450&amp;START_MA","XIMIZED=FALSE&amp;VAR:CALENDAR=US&amp;VAR:SYMBOL=N0098510&amp;VAR:INDEX=0"}</definedName>
    <definedName name="_551__FDSAUDITLINK__" localSheetId="6" hidden="1">{"fdsup://directions/FAT%20Viewer?VAR:PED=LTM&amp;VAR:AUDIT_MODE=SUMMARY&amp;VAR:PERIOD=FIXED&amp;VAR:AUDIT_ID=00000117&amp;VAR:DATE=20080819&amp;action=UPDATE&amp;creator=factset&amp;DOC_NAME=FAT:FMA_audit_SUMMARY.fat&amp;DISPLAY_STRING=Display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1__FDSAUDITLINK__" hidden="1">{"fdsup://directions/FAT%20Viewer?VAR:PED=LTM&amp;VAR:AUDIT_MODE=SUMMARY&amp;VAR:PERIOD=FIXED&amp;VAR:AUDIT_ID=00000117&amp;VAR:DATE=20080819&amp;action=UPDATE&amp;creator=factset&amp;DOC_NAME=FAT:FMA_audit_SUMMARY.fat&amp;DISPLAY_STRING=Display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10__FDSAUDITLINK__" localSheetId="6" hidden="1">{"fdsup://directions/FAT Viewer?action=UPDATE&amp;creator=factset&amp;DYN_ARGS=TRUE&amp;DOC_NAME=FAT:FQL_AUDITING_CLIENT_TEMPLATE.FAT&amp;display_string=Audit&amp;VAR:KEY=PQRSLCFOTC&amp;VAR:QUERY=RkZfRUJJVERBX0lCKCdMVE1TJyw0MDIwMyk=&amp;WINDOW=FIRST_POPUP&amp;HEIGHT=450&amp;WIDTH=450&amp;START_MA","XIMIZED=FALSE&amp;VAR:CALENDAR=US&amp;VAR:SYMBOL=N0098510&amp;VAR:INDEX=0"}</definedName>
    <definedName name="_5510__FDSAUDITLINK__" hidden="1">{"fdsup://directions/FAT Viewer?action=UPDATE&amp;creator=factset&amp;DYN_ARGS=TRUE&amp;DOC_NAME=FAT:FQL_AUDITING_CLIENT_TEMPLATE.FAT&amp;display_string=Audit&amp;VAR:KEY=PQRSLCFOTC&amp;VAR:QUERY=RkZfRUJJVERBX0lCKCdMVE1TJyw0MDIwMyk=&amp;WINDOW=FIRST_POPUP&amp;HEIGHT=450&amp;WIDTH=450&amp;START_MA","XIMIZED=FALSE&amp;VAR:CALENDAR=US&amp;VAR:SYMBOL=N0098510&amp;VAR:INDEX=0"}</definedName>
    <definedName name="_5511__FDSAUDITLINK__" localSheetId="6" hidden="1">{"fdsup://directions/FAT Viewer?action=UPDATE&amp;creator=factset&amp;DYN_ARGS=TRUE&amp;DOC_NAME=FAT:FQL_AUDITING_CLIENT_TEMPLATE.FAT&amp;display_string=Audit&amp;VAR:KEY=BYZMNEHIJW&amp;VAR:QUERY=RkZfRUJJVERBX0lCKCdMVE1TJyw0MDIwMik=&amp;WINDOW=FIRST_POPUP&amp;HEIGHT=450&amp;WIDTH=450&amp;START_MA","XIMIZED=FALSE&amp;VAR:CALENDAR=US&amp;VAR:SYMBOL=N0098510&amp;VAR:INDEX=0"}</definedName>
    <definedName name="_5511__FDSAUDITLINK__" hidden="1">{"fdsup://directions/FAT Viewer?action=UPDATE&amp;creator=factset&amp;DYN_ARGS=TRUE&amp;DOC_NAME=FAT:FQL_AUDITING_CLIENT_TEMPLATE.FAT&amp;display_string=Audit&amp;VAR:KEY=BYZMNEHIJW&amp;VAR:QUERY=RkZfRUJJVERBX0lCKCdMVE1TJyw0MDIwMik=&amp;WINDOW=FIRST_POPUP&amp;HEIGHT=450&amp;WIDTH=450&amp;START_MA","XIMIZED=FALSE&amp;VAR:CALENDAR=US&amp;VAR:SYMBOL=N0098510&amp;VAR:INDEX=0"}</definedName>
    <definedName name="_5512__FDSAUDITLINK__" localSheetId="6" hidden="1">{"fdsup://directions/FAT Viewer?action=UPDATE&amp;creator=factset&amp;DYN_ARGS=TRUE&amp;DOC_NAME=FAT:FQL_AUDITING_CLIENT_TEMPLATE.FAT&amp;display_string=Audit&amp;VAR:KEY=HKDMLCHIZY&amp;VAR:QUERY=RkZfRUJJVERBX0lCKCdMVE1TJyw0MDIwMSk=&amp;WINDOW=FIRST_POPUP&amp;HEIGHT=450&amp;WIDTH=450&amp;START_MA","XIMIZED=FALSE&amp;VAR:CALENDAR=US&amp;VAR:SYMBOL=N0098510&amp;VAR:INDEX=0"}</definedName>
    <definedName name="_5512__FDSAUDITLINK__" hidden="1">{"fdsup://directions/FAT Viewer?action=UPDATE&amp;creator=factset&amp;DYN_ARGS=TRUE&amp;DOC_NAME=FAT:FQL_AUDITING_CLIENT_TEMPLATE.FAT&amp;display_string=Audit&amp;VAR:KEY=HKDMLCHIZY&amp;VAR:QUERY=RkZfRUJJVERBX0lCKCdMVE1TJyw0MDIwMSk=&amp;WINDOW=FIRST_POPUP&amp;HEIGHT=450&amp;WIDTH=450&amp;START_MA","XIMIZED=FALSE&amp;VAR:CALENDAR=US&amp;VAR:SYMBOL=N0098510&amp;VAR:INDEX=0"}</definedName>
    <definedName name="_5513__FDSAUDITLINK__" localSheetId="6" hidden="1">{"fdsup://directions/FAT Viewer?action=UPDATE&amp;creator=factset&amp;DYN_ARGS=TRUE&amp;DOC_NAME=FAT:FQL_AUDITING_CLIENT_TEMPLATE.FAT&amp;display_string=Audit&amp;VAR:KEY=HYZGRIZALK&amp;VAR:QUERY=RkZfRUJJVERBX0lCKCdMVE1TJyw0MDIwMCk=&amp;WINDOW=FIRST_POPUP&amp;HEIGHT=450&amp;WIDTH=450&amp;START_MA","XIMIZED=FALSE&amp;VAR:CALENDAR=US&amp;VAR:SYMBOL=N0098510&amp;VAR:INDEX=0"}</definedName>
    <definedName name="_5513__FDSAUDITLINK__" hidden="1">{"fdsup://directions/FAT Viewer?action=UPDATE&amp;creator=factset&amp;DYN_ARGS=TRUE&amp;DOC_NAME=FAT:FQL_AUDITING_CLIENT_TEMPLATE.FAT&amp;display_string=Audit&amp;VAR:KEY=HYZGRIZALK&amp;VAR:QUERY=RkZfRUJJVERBX0lCKCdMVE1TJyw0MDIwMCk=&amp;WINDOW=FIRST_POPUP&amp;HEIGHT=450&amp;WIDTH=450&amp;START_MA","XIMIZED=FALSE&amp;VAR:CALENDAR=US&amp;VAR:SYMBOL=N0098510&amp;VAR:INDEX=0"}</definedName>
    <definedName name="_5514__FDSAUDITLINK__" localSheetId="6" hidden="1">{"fdsup://directions/FAT Viewer?action=UPDATE&amp;creator=factset&amp;DYN_ARGS=TRUE&amp;DOC_NAME=FAT:FQL_AUDITING_CLIENT_TEMPLATE.FAT&amp;display_string=Audit&amp;VAR:KEY=FKTITCVYPU&amp;VAR:QUERY=RkZfRUJJVERBX0lCKCdMVE1TJyw0MDE5OSk=&amp;WINDOW=FIRST_POPUP&amp;HEIGHT=450&amp;WIDTH=450&amp;START_MA","XIMIZED=FALSE&amp;VAR:CALENDAR=US&amp;VAR:SYMBOL=N0098510&amp;VAR:INDEX=0"}</definedName>
    <definedName name="_5514__FDSAUDITLINK__" hidden="1">{"fdsup://directions/FAT Viewer?action=UPDATE&amp;creator=factset&amp;DYN_ARGS=TRUE&amp;DOC_NAME=FAT:FQL_AUDITING_CLIENT_TEMPLATE.FAT&amp;display_string=Audit&amp;VAR:KEY=FKTITCVYPU&amp;VAR:QUERY=RkZfRUJJVERBX0lCKCdMVE1TJyw0MDE5OSk=&amp;WINDOW=FIRST_POPUP&amp;HEIGHT=450&amp;WIDTH=450&amp;START_MA","XIMIZED=FALSE&amp;VAR:CALENDAR=US&amp;VAR:SYMBOL=N0098510&amp;VAR:INDEX=0"}</definedName>
    <definedName name="_5515__FDSAUDITLINK__" localSheetId="6" hidden="1">{"fdsup://directions/FAT Viewer?action=UPDATE&amp;creator=factset&amp;DYN_ARGS=TRUE&amp;DOC_NAME=FAT:FQL_AUDITING_CLIENT_TEMPLATE.FAT&amp;display_string=Audit&amp;VAR:KEY=XSFQTQXUXG&amp;VAR:QUERY=RkZfRUJJVERBX0lCKCdMVE1TJyw0MDE5OCk=&amp;WINDOW=FIRST_POPUP&amp;HEIGHT=450&amp;WIDTH=450&amp;START_MA","XIMIZED=FALSE&amp;VAR:CALENDAR=US&amp;VAR:SYMBOL=N0098510&amp;VAR:INDEX=0"}</definedName>
    <definedName name="_5515__FDSAUDITLINK__" hidden="1">{"fdsup://directions/FAT Viewer?action=UPDATE&amp;creator=factset&amp;DYN_ARGS=TRUE&amp;DOC_NAME=FAT:FQL_AUDITING_CLIENT_TEMPLATE.FAT&amp;display_string=Audit&amp;VAR:KEY=XSFQTQXUXG&amp;VAR:QUERY=RkZfRUJJVERBX0lCKCdMVE1TJyw0MDE5OCk=&amp;WINDOW=FIRST_POPUP&amp;HEIGHT=450&amp;WIDTH=450&amp;START_MA","XIMIZED=FALSE&amp;VAR:CALENDAR=US&amp;VAR:SYMBOL=N0098510&amp;VAR:INDEX=0"}</definedName>
    <definedName name="_5516__FDSAUDITLINK__" localSheetId="6" hidden="1">{"fdsup://directions/FAT Viewer?action=UPDATE&amp;creator=factset&amp;DYN_ARGS=TRUE&amp;DOC_NAME=FAT:FQL_AUDITING_CLIENT_TEMPLATE.FAT&amp;display_string=Audit&amp;VAR:KEY=DADKBODELU&amp;VAR:QUERY=RkZfRUJJVERBX0lCKCdMVE1TJyw0MDE5Nyk=&amp;WINDOW=FIRST_POPUP&amp;HEIGHT=450&amp;WIDTH=450&amp;START_MA","XIMIZED=FALSE&amp;VAR:CALENDAR=US&amp;VAR:SYMBOL=N0098510&amp;VAR:INDEX=0"}</definedName>
    <definedName name="_5516__FDSAUDITLINK__" hidden="1">{"fdsup://directions/FAT Viewer?action=UPDATE&amp;creator=factset&amp;DYN_ARGS=TRUE&amp;DOC_NAME=FAT:FQL_AUDITING_CLIENT_TEMPLATE.FAT&amp;display_string=Audit&amp;VAR:KEY=DADKBODELU&amp;VAR:QUERY=RkZfRUJJVERBX0lCKCdMVE1TJyw0MDE5Nyk=&amp;WINDOW=FIRST_POPUP&amp;HEIGHT=450&amp;WIDTH=450&amp;START_MA","XIMIZED=FALSE&amp;VAR:CALENDAR=US&amp;VAR:SYMBOL=N0098510&amp;VAR:INDEX=0"}</definedName>
    <definedName name="_5517__FDSAUDITLINK__" localSheetId="6" hidden="1">{"fdsup://directions/FAT Viewer?action=UPDATE&amp;creator=factset&amp;DYN_ARGS=TRUE&amp;DOC_NAME=FAT:FQL_AUDITING_CLIENT_TEMPLATE.FAT&amp;display_string=Audit&amp;VAR:KEY=VCXUNQVQZM&amp;VAR:QUERY=RkZfRUJJVERBX0lCKCdMVE1TJyw0MDE5Nik=&amp;WINDOW=FIRST_POPUP&amp;HEIGHT=450&amp;WIDTH=450&amp;START_MA","XIMIZED=FALSE&amp;VAR:CALENDAR=US&amp;VAR:SYMBOL=N0098510&amp;VAR:INDEX=0"}</definedName>
    <definedName name="_5517__FDSAUDITLINK__" hidden="1">{"fdsup://directions/FAT Viewer?action=UPDATE&amp;creator=factset&amp;DYN_ARGS=TRUE&amp;DOC_NAME=FAT:FQL_AUDITING_CLIENT_TEMPLATE.FAT&amp;display_string=Audit&amp;VAR:KEY=VCXUNQVQZM&amp;VAR:QUERY=RkZfRUJJVERBX0lCKCdMVE1TJyw0MDE5Nik=&amp;WINDOW=FIRST_POPUP&amp;HEIGHT=450&amp;WIDTH=450&amp;START_MA","XIMIZED=FALSE&amp;VAR:CALENDAR=US&amp;VAR:SYMBOL=N0098510&amp;VAR:INDEX=0"}</definedName>
    <definedName name="_5518__FDSAUDITLINK__" localSheetId="6" hidden="1">{"fdsup://directions/FAT Viewer?action=UPDATE&amp;creator=factset&amp;DYN_ARGS=TRUE&amp;DOC_NAME=FAT:FQL_AUDITING_CLIENT_TEMPLATE.FAT&amp;display_string=Audit&amp;VAR:KEY=PODOFKBYNS&amp;VAR:QUERY=RkZfRUJJVERBX0lCKCdMVE1TJyw0MDE5NSk=&amp;WINDOW=FIRST_POPUP&amp;HEIGHT=450&amp;WIDTH=450&amp;START_MA","XIMIZED=FALSE&amp;VAR:CALENDAR=US&amp;VAR:SYMBOL=N0098510&amp;VAR:INDEX=0"}</definedName>
    <definedName name="_5518__FDSAUDITLINK__" hidden="1">{"fdsup://directions/FAT Viewer?action=UPDATE&amp;creator=factset&amp;DYN_ARGS=TRUE&amp;DOC_NAME=FAT:FQL_AUDITING_CLIENT_TEMPLATE.FAT&amp;display_string=Audit&amp;VAR:KEY=PODOFKBYNS&amp;VAR:QUERY=RkZfRUJJVERBX0lCKCdMVE1TJyw0MDE5NSk=&amp;WINDOW=FIRST_POPUP&amp;HEIGHT=450&amp;WIDTH=450&amp;START_MA","XIMIZED=FALSE&amp;VAR:CALENDAR=US&amp;VAR:SYMBOL=N0098510&amp;VAR:INDEX=0"}</definedName>
    <definedName name="_5519__FDSAUDITLINK__" localSheetId="6" hidden="1">{"fdsup://directions/FAT Viewer?action=UPDATE&amp;creator=factset&amp;DYN_ARGS=TRUE&amp;DOC_NAME=FAT:FQL_AUDITING_CLIENT_TEMPLATE.FAT&amp;display_string=Audit&amp;VAR:KEY=NUVKJMBWBW&amp;VAR:QUERY=RkZfRUJJVERBX0lCKCdMVE1TJyw0MDE5NCk=&amp;WINDOW=FIRST_POPUP&amp;HEIGHT=450&amp;WIDTH=450&amp;START_MA","XIMIZED=FALSE&amp;VAR:CALENDAR=US&amp;VAR:SYMBOL=N0098510&amp;VAR:INDEX=0"}</definedName>
    <definedName name="_5519__FDSAUDITLINK__" hidden="1">{"fdsup://directions/FAT Viewer?action=UPDATE&amp;creator=factset&amp;DYN_ARGS=TRUE&amp;DOC_NAME=FAT:FQL_AUDITING_CLIENT_TEMPLATE.FAT&amp;display_string=Audit&amp;VAR:KEY=NUVKJMBWBW&amp;VAR:QUERY=RkZfRUJJVERBX0lCKCdMVE1TJyw0MDE5NCk=&amp;WINDOW=FIRST_POPUP&amp;HEIGHT=450&amp;WIDTH=450&amp;START_MA","XIMIZED=FALSE&amp;VAR:CALENDAR=US&amp;VAR:SYMBOL=N0098510&amp;VAR:INDEX=0"}</definedName>
    <definedName name="_552__FDSAUDITLINK__" localSheetId="6" hidden="1">{"fdsup://directions/FAT%20Viewer?VAR:PED=LTM&amp;VAR:AUDIT_MODE=SUMMARY&amp;VAR:PERIOD=FIXED&amp;VAR:AUDIT_ID=00000117&amp;VAR:DATE=20080818&amp;action=UPDATE&amp;creator=factset&amp;DOC_NAME=FAT:FMA_audit_SUMMARY.fat&amp;DISPLAY_STRING=Display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2__FDSAUDITLINK__" hidden="1">{"fdsup://directions/FAT%20Viewer?VAR:PED=LTM&amp;VAR:AUDIT_MODE=SUMMARY&amp;VAR:PERIOD=FIXED&amp;VAR:AUDIT_ID=00000117&amp;VAR:DATE=20080818&amp;action=UPDATE&amp;creator=factset&amp;DOC_NAME=FAT:FMA_audit_SUMMARY.fat&amp;DISPLAY_STRING=Display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20__FDSAUDITLINK__" localSheetId="6" hidden="1">{"fdsup://directions/FAT Viewer?action=UPDATE&amp;creator=factset&amp;DYN_ARGS=TRUE&amp;DOC_NAME=FAT:FQL_AUDITING_CLIENT_TEMPLATE.FAT&amp;display_string=Audit&amp;VAR:KEY=DWNORYVMBU&amp;VAR:QUERY=RkZfRUJJVERBX0lCKCdMVE1TJyw0MDE5Myk=&amp;WINDOW=FIRST_POPUP&amp;HEIGHT=450&amp;WIDTH=450&amp;START_MA","XIMIZED=FALSE&amp;VAR:CALENDAR=US&amp;VAR:SYMBOL=N0098510&amp;VAR:INDEX=0"}</definedName>
    <definedName name="_5520__FDSAUDITLINK__" hidden="1">{"fdsup://directions/FAT Viewer?action=UPDATE&amp;creator=factset&amp;DYN_ARGS=TRUE&amp;DOC_NAME=FAT:FQL_AUDITING_CLIENT_TEMPLATE.FAT&amp;display_string=Audit&amp;VAR:KEY=DWNORYVMBU&amp;VAR:QUERY=RkZfRUJJVERBX0lCKCdMVE1TJyw0MDE5Myk=&amp;WINDOW=FIRST_POPUP&amp;HEIGHT=450&amp;WIDTH=450&amp;START_MA","XIMIZED=FALSE&amp;VAR:CALENDAR=US&amp;VAR:SYMBOL=N0098510&amp;VAR:INDEX=0"}</definedName>
    <definedName name="_5521__FDSAUDITLINK__" localSheetId="6" hidden="1">{"fdsup://directions/FAT Viewer?action=UPDATE&amp;creator=factset&amp;DYN_ARGS=TRUE&amp;DOC_NAME=FAT:FQL_AUDITING_CLIENT_TEMPLATE.FAT&amp;display_string=Audit&amp;VAR:KEY=VQHMRIPONE&amp;VAR:QUERY=RkZfRUJJVERBX0lCKCdMVE1TJyw0MDE5Mik=&amp;WINDOW=FIRST_POPUP&amp;HEIGHT=450&amp;WIDTH=450&amp;START_MA","XIMIZED=FALSE&amp;VAR:CALENDAR=US&amp;VAR:SYMBOL=N0098510&amp;VAR:INDEX=0"}</definedName>
    <definedName name="_5521__FDSAUDITLINK__" hidden="1">{"fdsup://directions/FAT Viewer?action=UPDATE&amp;creator=factset&amp;DYN_ARGS=TRUE&amp;DOC_NAME=FAT:FQL_AUDITING_CLIENT_TEMPLATE.FAT&amp;display_string=Audit&amp;VAR:KEY=VQHMRIPONE&amp;VAR:QUERY=RkZfRUJJVERBX0lCKCdMVE1TJyw0MDE5Mik=&amp;WINDOW=FIRST_POPUP&amp;HEIGHT=450&amp;WIDTH=450&amp;START_MA","XIMIZED=FALSE&amp;VAR:CALENDAR=US&amp;VAR:SYMBOL=N0098510&amp;VAR:INDEX=0"}</definedName>
    <definedName name="_5522__FDSAUDITLINK__" localSheetId="6" hidden="1">{"fdsup://directions/FAT Viewer?action=UPDATE&amp;creator=factset&amp;DYN_ARGS=TRUE&amp;DOC_NAME=FAT:FQL_AUDITING_CLIENT_TEMPLATE.FAT&amp;display_string=Audit&amp;VAR:KEY=FGBSJOHSPY&amp;VAR:QUERY=RkZfRUJJVERBX0lCKCdMVE1TJyw0MDE5MSk=&amp;WINDOW=FIRST_POPUP&amp;HEIGHT=450&amp;WIDTH=450&amp;START_MA","XIMIZED=FALSE&amp;VAR:CALENDAR=US&amp;VAR:SYMBOL=N0098510&amp;VAR:INDEX=0"}</definedName>
    <definedName name="_5522__FDSAUDITLINK__" hidden="1">{"fdsup://directions/FAT Viewer?action=UPDATE&amp;creator=factset&amp;DYN_ARGS=TRUE&amp;DOC_NAME=FAT:FQL_AUDITING_CLIENT_TEMPLATE.FAT&amp;display_string=Audit&amp;VAR:KEY=FGBSJOHSPY&amp;VAR:QUERY=RkZfRUJJVERBX0lCKCdMVE1TJyw0MDE5MSk=&amp;WINDOW=FIRST_POPUP&amp;HEIGHT=450&amp;WIDTH=450&amp;START_MA","XIMIZED=FALSE&amp;VAR:CALENDAR=US&amp;VAR:SYMBOL=N0098510&amp;VAR:INDEX=0"}</definedName>
    <definedName name="_5523__FDSAUDITLINK__" localSheetId="6" hidden="1">{"fdsup://directions/FAT Viewer?action=UPDATE&amp;creator=factset&amp;DYN_ARGS=TRUE&amp;DOC_NAME=FAT:FQL_AUDITING_CLIENT_TEMPLATE.FAT&amp;display_string=Audit&amp;VAR:KEY=PMPYLANURM&amp;VAR:QUERY=RkZfRUJJVERBX0lCKCdMVE1TJyw0MDE5MCk=&amp;WINDOW=FIRST_POPUP&amp;HEIGHT=450&amp;WIDTH=450&amp;START_MA","XIMIZED=FALSE&amp;VAR:CALENDAR=US&amp;VAR:SYMBOL=N0098510&amp;VAR:INDEX=0"}</definedName>
    <definedName name="_5523__FDSAUDITLINK__" hidden="1">{"fdsup://directions/FAT Viewer?action=UPDATE&amp;creator=factset&amp;DYN_ARGS=TRUE&amp;DOC_NAME=FAT:FQL_AUDITING_CLIENT_TEMPLATE.FAT&amp;display_string=Audit&amp;VAR:KEY=PMPYLANURM&amp;VAR:QUERY=RkZfRUJJVERBX0lCKCdMVE1TJyw0MDE5MCk=&amp;WINDOW=FIRST_POPUP&amp;HEIGHT=450&amp;WIDTH=450&amp;START_MA","XIMIZED=FALSE&amp;VAR:CALENDAR=US&amp;VAR:SYMBOL=N0098510&amp;VAR:INDEX=0"}</definedName>
    <definedName name="_5524__FDSAUDITLINK__" localSheetId="6" hidden="1">{"fdsup://directions/FAT Viewer?action=UPDATE&amp;creator=factset&amp;DYN_ARGS=TRUE&amp;DOC_NAME=FAT:FQL_AUDITING_CLIENT_TEMPLATE.FAT&amp;display_string=Audit&amp;VAR:KEY=LAPIVUDKLW&amp;VAR:QUERY=RkZfRUJJVERBX0lCKCdMVE1TJyw0MDE4OSk=&amp;WINDOW=FIRST_POPUP&amp;HEIGHT=450&amp;WIDTH=450&amp;START_MA","XIMIZED=FALSE&amp;VAR:CALENDAR=US&amp;VAR:SYMBOL=N0098510&amp;VAR:INDEX=0"}</definedName>
    <definedName name="_5524__FDSAUDITLINK__" hidden="1">{"fdsup://directions/FAT Viewer?action=UPDATE&amp;creator=factset&amp;DYN_ARGS=TRUE&amp;DOC_NAME=FAT:FQL_AUDITING_CLIENT_TEMPLATE.FAT&amp;display_string=Audit&amp;VAR:KEY=LAPIVUDKLW&amp;VAR:QUERY=RkZfRUJJVERBX0lCKCdMVE1TJyw0MDE4OSk=&amp;WINDOW=FIRST_POPUP&amp;HEIGHT=450&amp;WIDTH=450&amp;START_MA","XIMIZED=FALSE&amp;VAR:CALENDAR=US&amp;VAR:SYMBOL=N0098510&amp;VAR:INDEX=0"}</definedName>
    <definedName name="_5525__FDSAUDITLINK__" localSheetId="6" hidden="1">{"fdsup://directions/FAT Viewer?action=UPDATE&amp;creator=factset&amp;DYN_ARGS=TRUE&amp;DOC_NAME=FAT:FQL_AUDITING_CLIENT_TEMPLATE.FAT&amp;display_string=Audit&amp;VAR:KEY=VWVMTODEDQ&amp;VAR:QUERY=RkZfRUJJVERBX0lCKCdMVE1TJyw0MDE4OCk=&amp;WINDOW=FIRST_POPUP&amp;HEIGHT=450&amp;WIDTH=450&amp;START_MA","XIMIZED=FALSE&amp;VAR:CALENDAR=US&amp;VAR:SYMBOL=N0098510&amp;VAR:INDEX=0"}</definedName>
    <definedName name="_5525__FDSAUDITLINK__" hidden="1">{"fdsup://directions/FAT Viewer?action=UPDATE&amp;creator=factset&amp;DYN_ARGS=TRUE&amp;DOC_NAME=FAT:FQL_AUDITING_CLIENT_TEMPLATE.FAT&amp;display_string=Audit&amp;VAR:KEY=VWVMTODEDQ&amp;VAR:QUERY=RkZfRUJJVERBX0lCKCdMVE1TJyw0MDE4OCk=&amp;WINDOW=FIRST_POPUP&amp;HEIGHT=450&amp;WIDTH=450&amp;START_MA","XIMIZED=FALSE&amp;VAR:CALENDAR=US&amp;VAR:SYMBOL=N0098510&amp;VAR:INDEX=0"}</definedName>
    <definedName name="_5526__FDSAUDITLINK__" localSheetId="6" hidden="1">{"fdsup://directions/FAT Viewer?action=UPDATE&amp;creator=factset&amp;DYN_ARGS=TRUE&amp;DOC_NAME=FAT:FQL_AUDITING_CLIENT_TEMPLATE.FAT&amp;display_string=Audit&amp;VAR:KEY=JALGVONWPS&amp;VAR:QUERY=RkZfRUJJVERBX0lCKCdMVE1TJyw0MDE4Nyk=&amp;WINDOW=FIRST_POPUP&amp;HEIGHT=450&amp;WIDTH=450&amp;START_MA","XIMIZED=FALSE&amp;VAR:CALENDAR=US&amp;VAR:SYMBOL=N0098510&amp;VAR:INDEX=0"}</definedName>
    <definedName name="_5526__FDSAUDITLINK__" hidden="1">{"fdsup://directions/FAT Viewer?action=UPDATE&amp;creator=factset&amp;DYN_ARGS=TRUE&amp;DOC_NAME=FAT:FQL_AUDITING_CLIENT_TEMPLATE.FAT&amp;display_string=Audit&amp;VAR:KEY=JALGVONWPS&amp;VAR:QUERY=RkZfRUJJVERBX0lCKCdMVE1TJyw0MDE4Nyk=&amp;WINDOW=FIRST_POPUP&amp;HEIGHT=450&amp;WIDTH=450&amp;START_MA","XIMIZED=FALSE&amp;VAR:CALENDAR=US&amp;VAR:SYMBOL=N0098510&amp;VAR:INDEX=0"}</definedName>
    <definedName name="_5527__FDSAUDITLINK__" localSheetId="6" hidden="1">{"fdsup://directions/FAT Viewer?action=UPDATE&amp;creator=factset&amp;DYN_ARGS=TRUE&amp;DOC_NAME=FAT:FQL_AUDITING_CLIENT_TEMPLATE.FAT&amp;display_string=Audit&amp;VAR:KEY=JCVKTCVMRK&amp;VAR:QUERY=RkZfRUJJVERBX0lCKCdMVE1TJyw0MDE4Nik=&amp;WINDOW=FIRST_POPUP&amp;HEIGHT=450&amp;WIDTH=450&amp;START_MA","XIMIZED=FALSE&amp;VAR:CALENDAR=US&amp;VAR:SYMBOL=N0098510&amp;VAR:INDEX=0"}</definedName>
    <definedName name="_5527__FDSAUDITLINK__" hidden="1">{"fdsup://directions/FAT Viewer?action=UPDATE&amp;creator=factset&amp;DYN_ARGS=TRUE&amp;DOC_NAME=FAT:FQL_AUDITING_CLIENT_TEMPLATE.FAT&amp;display_string=Audit&amp;VAR:KEY=JCVKTCVMRK&amp;VAR:QUERY=RkZfRUJJVERBX0lCKCdMVE1TJyw0MDE4Nik=&amp;WINDOW=FIRST_POPUP&amp;HEIGHT=450&amp;WIDTH=450&amp;START_MA","XIMIZED=FALSE&amp;VAR:CALENDAR=US&amp;VAR:SYMBOL=N0098510&amp;VAR:INDEX=0"}</definedName>
    <definedName name="_5528__FDSAUDITLINK__" localSheetId="6" hidden="1">{"fdsup://directions/FAT Viewer?action=UPDATE&amp;creator=factset&amp;DYN_ARGS=TRUE&amp;DOC_NAME=FAT:FQL_AUDITING_CLIENT_TEMPLATE.FAT&amp;display_string=Audit&amp;VAR:KEY=HIJUBEFALS&amp;VAR:QUERY=RkZfRUJJVERBX0lCKCdMVE1TJyw0MDE4NSk=&amp;WINDOW=FIRST_POPUP&amp;HEIGHT=450&amp;WIDTH=450&amp;START_MA","XIMIZED=FALSE&amp;VAR:CALENDAR=US&amp;VAR:SYMBOL=N0098510&amp;VAR:INDEX=0"}</definedName>
    <definedName name="_5528__FDSAUDITLINK__" hidden="1">{"fdsup://directions/FAT Viewer?action=UPDATE&amp;creator=factset&amp;DYN_ARGS=TRUE&amp;DOC_NAME=FAT:FQL_AUDITING_CLIENT_TEMPLATE.FAT&amp;display_string=Audit&amp;VAR:KEY=HIJUBEFALS&amp;VAR:QUERY=RkZfRUJJVERBX0lCKCdMVE1TJyw0MDE4NSk=&amp;WINDOW=FIRST_POPUP&amp;HEIGHT=450&amp;WIDTH=450&amp;START_MA","XIMIZED=FALSE&amp;VAR:CALENDAR=US&amp;VAR:SYMBOL=N0098510&amp;VAR:INDEX=0"}</definedName>
    <definedName name="_5529__FDSAUDITLINK__" localSheetId="6" hidden="1">{"fdsup://directions/FAT Viewer?action=UPDATE&amp;creator=factset&amp;DYN_ARGS=TRUE&amp;DOC_NAME=FAT:FQL_AUDITING_CLIENT_TEMPLATE.FAT&amp;display_string=Audit&amp;VAR:KEY=REFUVCZQRO&amp;VAR:QUERY=RkZfRUJJVERBX0lCKCdMVE1TJyw0MDE4NCk=&amp;WINDOW=FIRST_POPUP&amp;HEIGHT=450&amp;WIDTH=450&amp;START_MA","XIMIZED=FALSE&amp;VAR:CALENDAR=US&amp;VAR:SYMBOL=N0098510&amp;VAR:INDEX=0"}</definedName>
    <definedName name="_5529__FDSAUDITLINK__" hidden="1">{"fdsup://directions/FAT Viewer?action=UPDATE&amp;creator=factset&amp;DYN_ARGS=TRUE&amp;DOC_NAME=FAT:FQL_AUDITING_CLIENT_TEMPLATE.FAT&amp;display_string=Audit&amp;VAR:KEY=REFUVCZQRO&amp;VAR:QUERY=RkZfRUJJVERBX0lCKCdMVE1TJyw0MDE4NCk=&amp;WINDOW=FIRST_POPUP&amp;HEIGHT=450&amp;WIDTH=450&amp;START_MA","XIMIZED=FALSE&amp;VAR:CALENDAR=US&amp;VAR:SYMBOL=N0098510&amp;VAR:INDEX=0"}</definedName>
    <definedName name="_553__FDSAUDITLINK__" localSheetId="6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3__FDSAUDITLINK__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30__FDSAUDITLINK__" localSheetId="6" hidden="1">{"fdsup://directions/FAT Viewer?action=UPDATE&amp;creator=factset&amp;DYN_ARGS=TRUE&amp;DOC_NAME=FAT:FQL_AUDITING_CLIENT_TEMPLATE.FAT&amp;display_string=Audit&amp;VAR:KEY=TUDKVKVGFI&amp;VAR:QUERY=RkZfRUJJVERBX0lCKCdMVE1TJyw0MDE4Myk=&amp;WINDOW=FIRST_POPUP&amp;HEIGHT=450&amp;WIDTH=450&amp;START_MA","XIMIZED=FALSE&amp;VAR:CALENDAR=US&amp;VAR:SYMBOL=N0098510&amp;VAR:INDEX=0"}</definedName>
    <definedName name="_5530__FDSAUDITLINK__" hidden="1">{"fdsup://directions/FAT Viewer?action=UPDATE&amp;creator=factset&amp;DYN_ARGS=TRUE&amp;DOC_NAME=FAT:FQL_AUDITING_CLIENT_TEMPLATE.FAT&amp;display_string=Audit&amp;VAR:KEY=TUDKVKVGFI&amp;VAR:QUERY=RkZfRUJJVERBX0lCKCdMVE1TJyw0MDE4Myk=&amp;WINDOW=FIRST_POPUP&amp;HEIGHT=450&amp;WIDTH=450&amp;START_MA","XIMIZED=FALSE&amp;VAR:CALENDAR=US&amp;VAR:SYMBOL=N0098510&amp;VAR:INDEX=0"}</definedName>
    <definedName name="_5531__FDSAUDITLINK__" localSheetId="6" hidden="1">{"fdsup://directions/FAT Viewer?action=UPDATE&amp;creator=factset&amp;DYN_ARGS=TRUE&amp;DOC_NAME=FAT:FQL_AUDITING_CLIENT_TEMPLATE.FAT&amp;display_string=Audit&amp;VAR:KEY=VQREZUVKBA&amp;VAR:QUERY=RkZfRUJJVERBX0lCKCdMVE1TJyw0MDE4Mik=&amp;WINDOW=FIRST_POPUP&amp;HEIGHT=450&amp;WIDTH=450&amp;START_MA","XIMIZED=FALSE&amp;VAR:CALENDAR=US&amp;VAR:SYMBOL=N0098510&amp;VAR:INDEX=0"}</definedName>
    <definedName name="_5531__FDSAUDITLINK__" hidden="1">{"fdsup://directions/FAT Viewer?action=UPDATE&amp;creator=factset&amp;DYN_ARGS=TRUE&amp;DOC_NAME=FAT:FQL_AUDITING_CLIENT_TEMPLATE.FAT&amp;display_string=Audit&amp;VAR:KEY=VQREZUVKBA&amp;VAR:QUERY=RkZfRUJJVERBX0lCKCdMVE1TJyw0MDE4Mik=&amp;WINDOW=FIRST_POPUP&amp;HEIGHT=450&amp;WIDTH=450&amp;START_MA","XIMIZED=FALSE&amp;VAR:CALENDAR=US&amp;VAR:SYMBOL=N0098510&amp;VAR:INDEX=0"}</definedName>
    <definedName name="_5532__FDSAUDITLINK__" localSheetId="6" hidden="1">{"fdsup://directions/FAT Viewer?action=UPDATE&amp;creator=factset&amp;DYN_ARGS=TRUE&amp;DOC_NAME=FAT:FQL_AUDITING_CLIENT_TEMPLATE.FAT&amp;display_string=Audit&amp;VAR:KEY=ZUDCNGZGXM&amp;VAR:QUERY=RkZfRUJJVERBX0lCKCdMVE1TJyw0MDE4MSk=&amp;WINDOW=FIRST_POPUP&amp;HEIGHT=450&amp;WIDTH=450&amp;START_MA","XIMIZED=FALSE&amp;VAR:CALENDAR=US&amp;VAR:SYMBOL=N0098510&amp;VAR:INDEX=0"}</definedName>
    <definedName name="_5532__FDSAUDITLINK__" hidden="1">{"fdsup://directions/FAT Viewer?action=UPDATE&amp;creator=factset&amp;DYN_ARGS=TRUE&amp;DOC_NAME=FAT:FQL_AUDITING_CLIENT_TEMPLATE.FAT&amp;display_string=Audit&amp;VAR:KEY=ZUDCNGZGXM&amp;VAR:QUERY=RkZfRUJJVERBX0lCKCdMVE1TJyw0MDE4MSk=&amp;WINDOW=FIRST_POPUP&amp;HEIGHT=450&amp;WIDTH=450&amp;START_MA","XIMIZED=FALSE&amp;VAR:CALENDAR=US&amp;VAR:SYMBOL=N0098510&amp;VAR:INDEX=0"}</definedName>
    <definedName name="_5533__FDSAUDITLINK__" localSheetId="6" hidden="1">{"fdsup://directions/FAT Viewer?action=UPDATE&amp;creator=factset&amp;DYN_ARGS=TRUE&amp;DOC_NAME=FAT:FQL_AUDITING_CLIENT_TEMPLATE.FAT&amp;display_string=Audit&amp;VAR:KEY=XQBOFSDAVQ&amp;VAR:QUERY=RkZfRUJJVERBX0lCKCdMVE1TJyw0MDE4MCk=&amp;WINDOW=FIRST_POPUP&amp;HEIGHT=450&amp;WIDTH=450&amp;START_MA","XIMIZED=FALSE&amp;VAR:CALENDAR=US&amp;VAR:SYMBOL=N0098510&amp;VAR:INDEX=0"}</definedName>
    <definedName name="_5533__FDSAUDITLINK__" hidden="1">{"fdsup://directions/FAT Viewer?action=UPDATE&amp;creator=factset&amp;DYN_ARGS=TRUE&amp;DOC_NAME=FAT:FQL_AUDITING_CLIENT_TEMPLATE.FAT&amp;display_string=Audit&amp;VAR:KEY=XQBOFSDAVQ&amp;VAR:QUERY=RkZfRUJJVERBX0lCKCdMVE1TJyw0MDE4MCk=&amp;WINDOW=FIRST_POPUP&amp;HEIGHT=450&amp;WIDTH=450&amp;START_MA","XIMIZED=FALSE&amp;VAR:CALENDAR=US&amp;VAR:SYMBOL=N0098510&amp;VAR:INDEX=0"}</definedName>
    <definedName name="_5534__FDSAUDITLINK__" localSheetId="6" hidden="1">{"fdsup://directions/FAT Viewer?action=UPDATE&amp;creator=factset&amp;DYN_ARGS=TRUE&amp;DOC_NAME=FAT:FQL_AUDITING_CLIENT_TEMPLATE.FAT&amp;display_string=Audit&amp;VAR:KEY=VGJKZWVWXW&amp;VAR:QUERY=RkZfRUJJVERBX0lCKCdMVE1TJyw0MDE3OSk=&amp;WINDOW=FIRST_POPUP&amp;HEIGHT=450&amp;WIDTH=450&amp;START_MA","XIMIZED=FALSE&amp;VAR:CALENDAR=US&amp;VAR:SYMBOL=N0098510&amp;VAR:INDEX=0"}</definedName>
    <definedName name="_5534__FDSAUDITLINK__" hidden="1">{"fdsup://directions/FAT Viewer?action=UPDATE&amp;creator=factset&amp;DYN_ARGS=TRUE&amp;DOC_NAME=FAT:FQL_AUDITING_CLIENT_TEMPLATE.FAT&amp;display_string=Audit&amp;VAR:KEY=VGJKZWVWXW&amp;VAR:QUERY=RkZfRUJJVERBX0lCKCdMVE1TJyw0MDE3OSk=&amp;WINDOW=FIRST_POPUP&amp;HEIGHT=450&amp;WIDTH=450&amp;START_MA","XIMIZED=FALSE&amp;VAR:CALENDAR=US&amp;VAR:SYMBOL=N0098510&amp;VAR:INDEX=0"}</definedName>
    <definedName name="_5535__FDSAUDITLINK__" localSheetId="6" hidden="1">{"fdsup://directions/FAT Viewer?action=UPDATE&amp;creator=factset&amp;DYN_ARGS=TRUE&amp;DOC_NAME=FAT:FQL_AUDITING_CLIENT_TEMPLATE.FAT&amp;display_string=Audit&amp;VAR:KEY=DUPSPMDUNO&amp;VAR:QUERY=RkZfRUJJVERBX0lCKCdMVE1TJyw0MDE3OCk=&amp;WINDOW=FIRST_POPUP&amp;HEIGHT=450&amp;WIDTH=450&amp;START_MA","XIMIZED=FALSE&amp;VAR:CALENDAR=US&amp;VAR:SYMBOL=N0098510&amp;VAR:INDEX=0"}</definedName>
    <definedName name="_5535__FDSAUDITLINK__" hidden="1">{"fdsup://directions/FAT Viewer?action=UPDATE&amp;creator=factset&amp;DYN_ARGS=TRUE&amp;DOC_NAME=FAT:FQL_AUDITING_CLIENT_TEMPLATE.FAT&amp;display_string=Audit&amp;VAR:KEY=DUPSPMDUNO&amp;VAR:QUERY=RkZfRUJJVERBX0lCKCdMVE1TJyw0MDE3OCk=&amp;WINDOW=FIRST_POPUP&amp;HEIGHT=450&amp;WIDTH=450&amp;START_MA","XIMIZED=FALSE&amp;VAR:CALENDAR=US&amp;VAR:SYMBOL=N0098510&amp;VAR:INDEX=0"}</definedName>
    <definedName name="_5536__FDSAUDITLINK__" localSheetId="6" hidden="1">{"fdsup://directions/FAT Viewer?action=UPDATE&amp;creator=factset&amp;DYN_ARGS=TRUE&amp;DOC_NAME=FAT:FQL_AUDITING_CLIENT_TEMPLATE.FAT&amp;display_string=Audit&amp;VAR:KEY=VMRYBUXQBQ&amp;VAR:QUERY=RkZfRUJJVERBX0lCKCdMVE1TJyw0MDE3Nyk=&amp;WINDOW=FIRST_POPUP&amp;HEIGHT=450&amp;WIDTH=450&amp;START_MA","XIMIZED=FALSE&amp;VAR:CALENDAR=US&amp;VAR:SYMBOL=N0098510&amp;VAR:INDEX=0"}</definedName>
    <definedName name="_5536__FDSAUDITLINK__" hidden="1">{"fdsup://directions/FAT Viewer?action=UPDATE&amp;creator=factset&amp;DYN_ARGS=TRUE&amp;DOC_NAME=FAT:FQL_AUDITING_CLIENT_TEMPLATE.FAT&amp;display_string=Audit&amp;VAR:KEY=VMRYBUXQBQ&amp;VAR:QUERY=RkZfRUJJVERBX0lCKCdMVE1TJyw0MDE3Nyk=&amp;WINDOW=FIRST_POPUP&amp;HEIGHT=450&amp;WIDTH=450&amp;START_MA","XIMIZED=FALSE&amp;VAR:CALENDAR=US&amp;VAR:SYMBOL=N0098510&amp;VAR:INDEX=0"}</definedName>
    <definedName name="_5537__FDSAUDITLINK__" localSheetId="6" hidden="1">{"fdsup://directions/FAT Viewer?action=UPDATE&amp;creator=factset&amp;DYN_ARGS=TRUE&amp;DOC_NAME=FAT:FQL_AUDITING_CLIENT_TEMPLATE.FAT&amp;display_string=Audit&amp;VAR:KEY=HGRKXAPCNI&amp;VAR:QUERY=RkZfRUJJVERBX0lCKCdMVE1TJyw0MDE3Nik=&amp;WINDOW=FIRST_POPUP&amp;HEIGHT=450&amp;WIDTH=450&amp;START_MA","XIMIZED=FALSE&amp;VAR:CALENDAR=US&amp;VAR:SYMBOL=N0098510&amp;VAR:INDEX=0"}</definedName>
    <definedName name="_5537__FDSAUDITLINK__" hidden="1">{"fdsup://directions/FAT Viewer?action=UPDATE&amp;creator=factset&amp;DYN_ARGS=TRUE&amp;DOC_NAME=FAT:FQL_AUDITING_CLIENT_TEMPLATE.FAT&amp;display_string=Audit&amp;VAR:KEY=HGRKXAPCNI&amp;VAR:QUERY=RkZfRUJJVERBX0lCKCdMVE1TJyw0MDE3Nik=&amp;WINDOW=FIRST_POPUP&amp;HEIGHT=450&amp;WIDTH=450&amp;START_MA","XIMIZED=FALSE&amp;VAR:CALENDAR=US&amp;VAR:SYMBOL=N0098510&amp;VAR:INDEX=0"}</definedName>
    <definedName name="_5538__FDSAUDITLINK__" localSheetId="6" hidden="1">{"fdsup://directions/FAT Viewer?action=UPDATE&amp;creator=factset&amp;DYN_ARGS=TRUE&amp;DOC_NAME=FAT:FQL_AUDITING_CLIENT_TEMPLATE.FAT&amp;display_string=Audit&amp;VAR:KEY=NONIVETONE&amp;VAR:QUERY=RkZfRUJJVERBX0lCKCdMVE1TJyw0MDE3NSk=&amp;WINDOW=FIRST_POPUP&amp;HEIGHT=450&amp;WIDTH=450&amp;START_MA","XIMIZED=FALSE&amp;VAR:CALENDAR=US&amp;VAR:SYMBOL=N0098510&amp;VAR:INDEX=0"}</definedName>
    <definedName name="_5538__FDSAUDITLINK__" hidden="1">{"fdsup://directions/FAT Viewer?action=UPDATE&amp;creator=factset&amp;DYN_ARGS=TRUE&amp;DOC_NAME=FAT:FQL_AUDITING_CLIENT_TEMPLATE.FAT&amp;display_string=Audit&amp;VAR:KEY=NONIVETONE&amp;VAR:QUERY=RkZfRUJJVERBX0lCKCdMVE1TJyw0MDE3NSk=&amp;WINDOW=FIRST_POPUP&amp;HEIGHT=450&amp;WIDTH=450&amp;START_MA","XIMIZED=FALSE&amp;VAR:CALENDAR=US&amp;VAR:SYMBOL=N0098510&amp;VAR:INDEX=0"}</definedName>
    <definedName name="_5539__FDSAUDITLINK__" localSheetId="6" hidden="1">{"fdsup://directions/FAT Viewer?action=UPDATE&amp;creator=factset&amp;DYN_ARGS=TRUE&amp;DOC_NAME=FAT:FQL_AUDITING_CLIENT_TEMPLATE.FAT&amp;display_string=Audit&amp;VAR:KEY=RQVSTEBYTM&amp;VAR:QUERY=RkZfRUJJVERBX0lCKCdMVE1TJyw0MDE3NCk=&amp;WINDOW=FIRST_POPUP&amp;HEIGHT=450&amp;WIDTH=450&amp;START_MA","XIMIZED=FALSE&amp;VAR:CALENDAR=US&amp;VAR:SYMBOL=N0098510&amp;VAR:INDEX=0"}</definedName>
    <definedName name="_5539__FDSAUDITLINK__" hidden="1">{"fdsup://directions/FAT Viewer?action=UPDATE&amp;creator=factset&amp;DYN_ARGS=TRUE&amp;DOC_NAME=FAT:FQL_AUDITING_CLIENT_TEMPLATE.FAT&amp;display_string=Audit&amp;VAR:KEY=RQVSTEBYTM&amp;VAR:QUERY=RkZfRUJJVERBX0lCKCdMVE1TJyw0MDE3NCk=&amp;WINDOW=FIRST_POPUP&amp;HEIGHT=450&amp;WIDTH=450&amp;START_MA","XIMIZED=FALSE&amp;VAR:CALENDAR=US&amp;VAR:SYMBOL=N0098510&amp;VAR:INDEX=0"}</definedName>
    <definedName name="_554__FDSAUDITLINK__" localSheetId="6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4__FDSAUDITLINK__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40__FDSAUDITLINK__" localSheetId="6" hidden="1">{"fdsup://directions/FAT Viewer?action=UPDATE&amp;creator=factset&amp;DYN_ARGS=TRUE&amp;DOC_NAME=FAT:FQL_AUDITING_CLIENT_TEMPLATE.FAT&amp;display_string=Audit&amp;VAR:KEY=HKXKTABEJQ&amp;VAR:QUERY=RkZfRUJJVERBX0lCKCdMVE1TJyw0MDE3Myk=&amp;WINDOW=FIRST_POPUP&amp;HEIGHT=450&amp;WIDTH=450&amp;START_MA","XIMIZED=FALSE&amp;VAR:CALENDAR=US&amp;VAR:SYMBOL=N0098510&amp;VAR:INDEX=0"}</definedName>
    <definedName name="_5540__FDSAUDITLINK__" hidden="1">{"fdsup://directions/FAT Viewer?action=UPDATE&amp;creator=factset&amp;DYN_ARGS=TRUE&amp;DOC_NAME=FAT:FQL_AUDITING_CLIENT_TEMPLATE.FAT&amp;display_string=Audit&amp;VAR:KEY=HKXKTABEJQ&amp;VAR:QUERY=RkZfRUJJVERBX0lCKCdMVE1TJyw0MDE3Myk=&amp;WINDOW=FIRST_POPUP&amp;HEIGHT=450&amp;WIDTH=450&amp;START_MA","XIMIZED=FALSE&amp;VAR:CALENDAR=US&amp;VAR:SYMBOL=N0098510&amp;VAR:INDEX=0"}</definedName>
    <definedName name="_5541__FDSAUDITLINK__" localSheetId="6" hidden="1">{"fdsup://directions/FAT Viewer?action=UPDATE&amp;creator=factset&amp;DYN_ARGS=TRUE&amp;DOC_NAME=FAT:FQL_AUDITING_CLIENT_TEMPLATE.FAT&amp;display_string=Audit&amp;VAR:KEY=HADCFEVEVO&amp;VAR:QUERY=RkZfRUJJVERBX0lCKCdMVE1TJyw0MDE3Mik=&amp;WINDOW=FIRST_POPUP&amp;HEIGHT=450&amp;WIDTH=450&amp;START_MA","XIMIZED=FALSE&amp;VAR:CALENDAR=US&amp;VAR:SYMBOL=N0098510&amp;VAR:INDEX=0"}</definedName>
    <definedName name="_5541__FDSAUDITLINK__" hidden="1">{"fdsup://directions/FAT Viewer?action=UPDATE&amp;creator=factset&amp;DYN_ARGS=TRUE&amp;DOC_NAME=FAT:FQL_AUDITING_CLIENT_TEMPLATE.FAT&amp;display_string=Audit&amp;VAR:KEY=HADCFEVEVO&amp;VAR:QUERY=RkZfRUJJVERBX0lCKCdMVE1TJyw0MDE3Mik=&amp;WINDOW=FIRST_POPUP&amp;HEIGHT=450&amp;WIDTH=450&amp;START_MA","XIMIZED=FALSE&amp;VAR:CALENDAR=US&amp;VAR:SYMBOL=N0098510&amp;VAR:INDEX=0"}</definedName>
    <definedName name="_5542__FDSAUDITLINK__" localSheetId="6" hidden="1">{"fdsup://directions/FAT Viewer?action=UPDATE&amp;creator=factset&amp;DYN_ARGS=TRUE&amp;DOC_NAME=FAT:FQL_AUDITING_CLIENT_TEMPLATE.FAT&amp;display_string=Audit&amp;VAR:KEY=BCRILAXSDO&amp;VAR:QUERY=RkZfRUJJVERBX0lCKCdMVE1TJyw0MDE3MSk=&amp;WINDOW=FIRST_POPUP&amp;HEIGHT=450&amp;WIDTH=450&amp;START_MA","XIMIZED=FALSE&amp;VAR:CALENDAR=US&amp;VAR:SYMBOL=N0098510&amp;VAR:INDEX=0"}</definedName>
    <definedName name="_5542__FDSAUDITLINK__" hidden="1">{"fdsup://directions/FAT Viewer?action=UPDATE&amp;creator=factset&amp;DYN_ARGS=TRUE&amp;DOC_NAME=FAT:FQL_AUDITING_CLIENT_TEMPLATE.FAT&amp;display_string=Audit&amp;VAR:KEY=BCRILAXSDO&amp;VAR:QUERY=RkZfRUJJVERBX0lCKCdMVE1TJyw0MDE3MSk=&amp;WINDOW=FIRST_POPUP&amp;HEIGHT=450&amp;WIDTH=450&amp;START_MA","XIMIZED=FALSE&amp;VAR:CALENDAR=US&amp;VAR:SYMBOL=N0098510&amp;VAR:INDEX=0"}</definedName>
    <definedName name="_5543__FDSAUDITLINK__" localSheetId="6" hidden="1">{"fdsup://directions/FAT Viewer?action=UPDATE&amp;creator=factset&amp;DYN_ARGS=TRUE&amp;DOC_NAME=FAT:FQL_AUDITING_CLIENT_TEMPLATE.FAT&amp;display_string=Audit&amp;VAR:KEY=VKDIPOHOBS&amp;VAR:QUERY=RkZfRUJJVERBX0lCKCdMVE1TJyw0MDE3MCk=&amp;WINDOW=FIRST_POPUP&amp;HEIGHT=450&amp;WIDTH=450&amp;START_MA","XIMIZED=FALSE&amp;VAR:CALENDAR=US&amp;VAR:SYMBOL=N0098510&amp;VAR:INDEX=0"}</definedName>
    <definedName name="_5543__FDSAUDITLINK__" hidden="1">{"fdsup://directions/FAT Viewer?action=UPDATE&amp;creator=factset&amp;DYN_ARGS=TRUE&amp;DOC_NAME=FAT:FQL_AUDITING_CLIENT_TEMPLATE.FAT&amp;display_string=Audit&amp;VAR:KEY=VKDIPOHOBS&amp;VAR:QUERY=RkZfRUJJVERBX0lCKCdMVE1TJyw0MDE3MCk=&amp;WINDOW=FIRST_POPUP&amp;HEIGHT=450&amp;WIDTH=450&amp;START_MA","XIMIZED=FALSE&amp;VAR:CALENDAR=US&amp;VAR:SYMBOL=N0098510&amp;VAR:INDEX=0"}</definedName>
    <definedName name="_5544__FDSAUDITLINK__" localSheetId="6" hidden="1">{"fdsup://directions/FAT Viewer?action=UPDATE&amp;creator=factset&amp;DYN_ARGS=TRUE&amp;DOC_NAME=FAT:FQL_AUDITING_CLIENT_TEMPLATE.FAT&amp;display_string=Audit&amp;VAR:KEY=VYNKBKFGLO&amp;VAR:QUERY=RkZfRUJJVERBX0lCKCdMVE1TJyw0MDE2OSk=&amp;WINDOW=FIRST_POPUP&amp;HEIGHT=450&amp;WIDTH=450&amp;START_MA","XIMIZED=FALSE&amp;VAR:CALENDAR=US&amp;VAR:SYMBOL=N0098510&amp;VAR:INDEX=0"}</definedName>
    <definedName name="_5544__FDSAUDITLINK__" hidden="1">{"fdsup://directions/FAT Viewer?action=UPDATE&amp;creator=factset&amp;DYN_ARGS=TRUE&amp;DOC_NAME=FAT:FQL_AUDITING_CLIENT_TEMPLATE.FAT&amp;display_string=Audit&amp;VAR:KEY=VYNKBKFGLO&amp;VAR:QUERY=RkZfRUJJVERBX0lCKCdMVE1TJyw0MDE2OSk=&amp;WINDOW=FIRST_POPUP&amp;HEIGHT=450&amp;WIDTH=450&amp;START_MA","XIMIZED=FALSE&amp;VAR:CALENDAR=US&amp;VAR:SYMBOL=N0098510&amp;VAR:INDEX=0"}</definedName>
    <definedName name="_5545__FDSAUDITLINK__" localSheetId="6" hidden="1">{"fdsup://directions/FAT Viewer?action=UPDATE&amp;creator=factset&amp;DYN_ARGS=TRUE&amp;DOC_NAME=FAT:FQL_AUDITING_CLIENT_TEMPLATE.FAT&amp;display_string=Audit&amp;VAR:KEY=VGRCDKZKLA&amp;VAR:QUERY=RkZfRUJJVERBX0lCKCdMVE1TJyw0MDE2OCk=&amp;WINDOW=FIRST_POPUP&amp;HEIGHT=450&amp;WIDTH=450&amp;START_MA","XIMIZED=FALSE&amp;VAR:CALENDAR=US&amp;VAR:SYMBOL=N0098510&amp;VAR:INDEX=0"}</definedName>
    <definedName name="_5545__FDSAUDITLINK__" hidden="1">{"fdsup://directions/FAT Viewer?action=UPDATE&amp;creator=factset&amp;DYN_ARGS=TRUE&amp;DOC_NAME=FAT:FQL_AUDITING_CLIENT_TEMPLATE.FAT&amp;display_string=Audit&amp;VAR:KEY=VGRCDKZKLA&amp;VAR:QUERY=RkZfRUJJVERBX0lCKCdMVE1TJyw0MDE2OCk=&amp;WINDOW=FIRST_POPUP&amp;HEIGHT=450&amp;WIDTH=450&amp;START_MA","XIMIZED=FALSE&amp;VAR:CALENDAR=US&amp;VAR:SYMBOL=N0098510&amp;VAR:INDEX=0"}</definedName>
    <definedName name="_5546__FDSAUDITLINK__" localSheetId="6" hidden="1">{"fdsup://directions/FAT Viewer?action=UPDATE&amp;creator=factset&amp;DYN_ARGS=TRUE&amp;DOC_NAME=FAT:FQL_AUDITING_CLIENT_TEMPLATE.FAT&amp;display_string=Audit&amp;VAR:KEY=TETGLCLEJA&amp;VAR:QUERY=RkZfRUJJVERBX0lCKCdMVE1TJyw0MDE2Nyk=&amp;WINDOW=FIRST_POPUP&amp;HEIGHT=450&amp;WIDTH=450&amp;START_MA","XIMIZED=FALSE&amp;VAR:CALENDAR=US&amp;VAR:SYMBOL=N0098510&amp;VAR:INDEX=0"}</definedName>
    <definedName name="_5546__FDSAUDITLINK__" hidden="1">{"fdsup://directions/FAT Viewer?action=UPDATE&amp;creator=factset&amp;DYN_ARGS=TRUE&amp;DOC_NAME=FAT:FQL_AUDITING_CLIENT_TEMPLATE.FAT&amp;display_string=Audit&amp;VAR:KEY=TETGLCLEJA&amp;VAR:QUERY=RkZfRUJJVERBX0lCKCdMVE1TJyw0MDE2Nyk=&amp;WINDOW=FIRST_POPUP&amp;HEIGHT=450&amp;WIDTH=450&amp;START_MA","XIMIZED=FALSE&amp;VAR:CALENDAR=US&amp;VAR:SYMBOL=N0098510&amp;VAR:INDEX=0"}</definedName>
    <definedName name="_5547__FDSAUDITLINK__" localSheetId="6" hidden="1">{"fdsup://directions/FAT Viewer?action=UPDATE&amp;creator=factset&amp;DYN_ARGS=TRUE&amp;DOC_NAME=FAT:FQL_AUDITING_CLIENT_TEMPLATE.FAT&amp;display_string=Audit&amp;VAR:KEY=FUZCPSFIDA&amp;VAR:QUERY=RkZfRUJJVERBX0lCKCdMVE1TJyw0MDE2Nik=&amp;WINDOW=FIRST_POPUP&amp;HEIGHT=450&amp;WIDTH=450&amp;START_MA","XIMIZED=FALSE&amp;VAR:CALENDAR=US&amp;VAR:SYMBOL=N0098510&amp;VAR:INDEX=0"}</definedName>
    <definedName name="_5547__FDSAUDITLINK__" hidden="1">{"fdsup://directions/FAT Viewer?action=UPDATE&amp;creator=factset&amp;DYN_ARGS=TRUE&amp;DOC_NAME=FAT:FQL_AUDITING_CLIENT_TEMPLATE.FAT&amp;display_string=Audit&amp;VAR:KEY=FUZCPSFIDA&amp;VAR:QUERY=RkZfRUJJVERBX0lCKCdMVE1TJyw0MDE2Nik=&amp;WINDOW=FIRST_POPUP&amp;HEIGHT=450&amp;WIDTH=450&amp;START_MA","XIMIZED=FALSE&amp;VAR:CALENDAR=US&amp;VAR:SYMBOL=N0098510&amp;VAR:INDEX=0"}</definedName>
    <definedName name="_5548__FDSAUDITLINK__" localSheetId="6" hidden="1">{"fdsup://directions/FAT Viewer?action=UPDATE&amp;creator=factset&amp;DYN_ARGS=TRUE&amp;DOC_NAME=FAT:FQL_AUDITING_CLIENT_TEMPLATE.FAT&amp;display_string=Audit&amp;VAR:KEY=TCVKNWLONS&amp;VAR:QUERY=RkZfRUJJVERBX0lCKCdMVE1TJyw0MDE2NSk=&amp;WINDOW=FIRST_POPUP&amp;HEIGHT=450&amp;WIDTH=450&amp;START_MA","XIMIZED=FALSE&amp;VAR:CALENDAR=US&amp;VAR:SYMBOL=N0098510&amp;VAR:INDEX=0"}</definedName>
    <definedName name="_5548__FDSAUDITLINK__" hidden="1">{"fdsup://directions/FAT Viewer?action=UPDATE&amp;creator=factset&amp;DYN_ARGS=TRUE&amp;DOC_NAME=FAT:FQL_AUDITING_CLIENT_TEMPLATE.FAT&amp;display_string=Audit&amp;VAR:KEY=TCVKNWLONS&amp;VAR:QUERY=RkZfRUJJVERBX0lCKCdMVE1TJyw0MDE2NSk=&amp;WINDOW=FIRST_POPUP&amp;HEIGHT=450&amp;WIDTH=450&amp;START_MA","XIMIZED=FALSE&amp;VAR:CALENDAR=US&amp;VAR:SYMBOL=N0098510&amp;VAR:INDEX=0"}</definedName>
    <definedName name="_5549__FDSAUDITLINK__" localSheetId="6" hidden="1">{"fdsup://directions/FAT Viewer?action=UPDATE&amp;creator=factset&amp;DYN_ARGS=TRUE&amp;DOC_NAME=FAT:FQL_AUDITING_CLIENT_TEMPLATE.FAT&amp;display_string=Audit&amp;VAR:KEY=PKHEHELQHK&amp;VAR:QUERY=RkZfRUJJVERBX0lCKCdMVE1TJyw0MDE2NCk=&amp;WINDOW=FIRST_POPUP&amp;HEIGHT=450&amp;WIDTH=450&amp;START_MA","XIMIZED=FALSE&amp;VAR:CALENDAR=US&amp;VAR:SYMBOL=N0098510&amp;VAR:INDEX=0"}</definedName>
    <definedName name="_5549__FDSAUDITLINK__" hidden="1">{"fdsup://directions/FAT Viewer?action=UPDATE&amp;creator=factset&amp;DYN_ARGS=TRUE&amp;DOC_NAME=FAT:FQL_AUDITING_CLIENT_TEMPLATE.FAT&amp;display_string=Audit&amp;VAR:KEY=PKHEHELQHK&amp;VAR:QUERY=RkZfRUJJVERBX0lCKCdMVE1TJyw0MDE2NCk=&amp;WINDOW=FIRST_POPUP&amp;HEIGHT=450&amp;WIDTH=450&amp;START_MA","XIMIZED=FALSE&amp;VAR:CALENDAR=US&amp;VAR:SYMBOL=N0098510&amp;VAR:INDEX=0"}</definedName>
    <definedName name="_555__FDSAUDITLINK__" localSheetId="6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5__FDSAUDITLINK__" hidden="1">{"fdsup://directions/FAT%20Viewer?VAR:PED=LTM&amp;VAR:AUDIT_MODE=SUMMARY&amp;VAR:PERIOD=FIXED&amp;VAR:AUDIT_ID=00000117&amp;VAR:DATE=20080815&amp;action=UPDATE&amp;creator=factset&amp;DOC_NAME=FAT:FMA_audit_SUMMARY.fat&amp;DISPLAY_STRING=Display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50__FDSAUDITLINK__" localSheetId="6" hidden="1">{"fdsup://directions/FAT Viewer?action=UPDATE&amp;creator=factset&amp;DYN_ARGS=TRUE&amp;DOC_NAME=FAT:FQL_AUDITING_CLIENT_TEMPLATE.FAT&amp;display_string=Audit&amp;VAR:KEY=BMTGNCREXY&amp;VAR:QUERY=RkZfRUJJVERBX0lCKCdMVE1TJyw0MDE2Myk=&amp;WINDOW=FIRST_POPUP&amp;HEIGHT=450&amp;WIDTH=450&amp;START_MA","XIMIZED=FALSE&amp;VAR:CALENDAR=US&amp;VAR:SYMBOL=N0098510&amp;VAR:INDEX=0"}</definedName>
    <definedName name="_5550__FDSAUDITLINK__" hidden="1">{"fdsup://directions/FAT Viewer?action=UPDATE&amp;creator=factset&amp;DYN_ARGS=TRUE&amp;DOC_NAME=FAT:FQL_AUDITING_CLIENT_TEMPLATE.FAT&amp;display_string=Audit&amp;VAR:KEY=BMTGNCREXY&amp;VAR:QUERY=RkZfRUJJVERBX0lCKCdMVE1TJyw0MDE2Myk=&amp;WINDOW=FIRST_POPUP&amp;HEIGHT=450&amp;WIDTH=450&amp;START_MA","XIMIZED=FALSE&amp;VAR:CALENDAR=US&amp;VAR:SYMBOL=N0098510&amp;VAR:INDEX=0"}</definedName>
    <definedName name="_5551__FDSAUDITLINK__" localSheetId="6" hidden="1">{"fdsup://directions/FAT Viewer?action=UPDATE&amp;creator=factset&amp;DYN_ARGS=TRUE&amp;DOC_NAME=FAT:FQL_AUDITING_CLIENT_TEMPLATE.FAT&amp;display_string=Audit&amp;VAR:KEY=BINMZKPKXA&amp;VAR:QUERY=RkZfRUJJVERBX0lCKCdMVE1TJyw0MDE2Mik=&amp;WINDOW=FIRST_POPUP&amp;HEIGHT=450&amp;WIDTH=450&amp;START_MA","XIMIZED=FALSE&amp;VAR:CALENDAR=US&amp;VAR:SYMBOL=N0098510&amp;VAR:INDEX=0"}</definedName>
    <definedName name="_5551__FDSAUDITLINK__" hidden="1">{"fdsup://directions/FAT Viewer?action=UPDATE&amp;creator=factset&amp;DYN_ARGS=TRUE&amp;DOC_NAME=FAT:FQL_AUDITING_CLIENT_TEMPLATE.FAT&amp;display_string=Audit&amp;VAR:KEY=BINMZKPKXA&amp;VAR:QUERY=RkZfRUJJVERBX0lCKCdMVE1TJyw0MDE2Mik=&amp;WINDOW=FIRST_POPUP&amp;HEIGHT=450&amp;WIDTH=450&amp;START_MA","XIMIZED=FALSE&amp;VAR:CALENDAR=US&amp;VAR:SYMBOL=N0098510&amp;VAR:INDEX=0"}</definedName>
    <definedName name="_5552__FDSAUDITLINK__" localSheetId="6" hidden="1">{"fdsup://directions/FAT Viewer?action=UPDATE&amp;creator=factset&amp;DYN_ARGS=TRUE&amp;DOC_NAME=FAT:FQL_AUDITING_CLIENT_TEMPLATE.FAT&amp;display_string=Audit&amp;VAR:KEY=DCRGXQNCJU&amp;VAR:QUERY=RkZfRUJJVERBX0lCKCdMVE1TJyw0MDE2MSk=&amp;WINDOW=FIRST_POPUP&amp;HEIGHT=450&amp;WIDTH=450&amp;START_MA","XIMIZED=FALSE&amp;VAR:CALENDAR=US&amp;VAR:SYMBOL=N0098510&amp;VAR:INDEX=0"}</definedName>
    <definedName name="_5552__FDSAUDITLINK__" hidden="1">{"fdsup://directions/FAT Viewer?action=UPDATE&amp;creator=factset&amp;DYN_ARGS=TRUE&amp;DOC_NAME=FAT:FQL_AUDITING_CLIENT_TEMPLATE.FAT&amp;display_string=Audit&amp;VAR:KEY=DCRGXQNCJU&amp;VAR:QUERY=RkZfRUJJVERBX0lCKCdMVE1TJyw0MDE2MSk=&amp;WINDOW=FIRST_POPUP&amp;HEIGHT=450&amp;WIDTH=450&amp;START_MA","XIMIZED=FALSE&amp;VAR:CALENDAR=US&amp;VAR:SYMBOL=N0098510&amp;VAR:INDEX=0"}</definedName>
    <definedName name="_5553__FDSAUDITLINK__" localSheetId="6" hidden="1">{"fdsup://directions/FAT Viewer?action=UPDATE&amp;creator=factset&amp;DYN_ARGS=TRUE&amp;DOC_NAME=FAT:FQL_AUDITING_CLIENT_TEMPLATE.FAT&amp;display_string=Audit&amp;VAR:KEY=ZSZANSFILY&amp;VAR:QUERY=RkZfRUJJVERBX0lCKCdMVE1TJyw0MDE2MCk=&amp;WINDOW=FIRST_POPUP&amp;HEIGHT=450&amp;WIDTH=450&amp;START_MA","XIMIZED=FALSE&amp;VAR:CALENDAR=US&amp;VAR:SYMBOL=N0098510&amp;VAR:INDEX=0"}</definedName>
    <definedName name="_5553__FDSAUDITLINK__" hidden="1">{"fdsup://directions/FAT Viewer?action=UPDATE&amp;creator=factset&amp;DYN_ARGS=TRUE&amp;DOC_NAME=FAT:FQL_AUDITING_CLIENT_TEMPLATE.FAT&amp;display_string=Audit&amp;VAR:KEY=ZSZANSFILY&amp;VAR:QUERY=RkZfRUJJVERBX0lCKCdMVE1TJyw0MDE2MCk=&amp;WINDOW=FIRST_POPUP&amp;HEIGHT=450&amp;WIDTH=450&amp;START_MA","XIMIZED=FALSE&amp;VAR:CALENDAR=US&amp;VAR:SYMBOL=N0098510&amp;VAR:INDEX=0"}</definedName>
    <definedName name="_5554__FDSAUDITLINK__" localSheetId="6" hidden="1">{"fdsup://directions/FAT Viewer?action=UPDATE&amp;creator=factset&amp;DYN_ARGS=TRUE&amp;DOC_NAME=FAT:FQL_AUDITING_CLIENT_TEMPLATE.FAT&amp;display_string=Audit&amp;VAR:KEY=NSFWHYFEPK&amp;VAR:QUERY=RkZfRUJJVERBX0lCKCdMVE1TJyw0MDE1OSk=&amp;WINDOW=FIRST_POPUP&amp;HEIGHT=450&amp;WIDTH=450&amp;START_MA","XIMIZED=FALSE&amp;VAR:CALENDAR=US&amp;VAR:SYMBOL=N0098510&amp;VAR:INDEX=0"}</definedName>
    <definedName name="_5554__FDSAUDITLINK__" hidden="1">{"fdsup://directions/FAT Viewer?action=UPDATE&amp;creator=factset&amp;DYN_ARGS=TRUE&amp;DOC_NAME=FAT:FQL_AUDITING_CLIENT_TEMPLATE.FAT&amp;display_string=Audit&amp;VAR:KEY=NSFWHYFEPK&amp;VAR:QUERY=RkZfRUJJVERBX0lCKCdMVE1TJyw0MDE1OSk=&amp;WINDOW=FIRST_POPUP&amp;HEIGHT=450&amp;WIDTH=450&amp;START_MA","XIMIZED=FALSE&amp;VAR:CALENDAR=US&amp;VAR:SYMBOL=N0098510&amp;VAR:INDEX=0"}</definedName>
    <definedName name="_5555__FDSAUDITLINK__" localSheetId="6" hidden="1">{"fdsup://directions/FAT Viewer?action=UPDATE&amp;creator=factset&amp;DYN_ARGS=TRUE&amp;DOC_NAME=FAT:FQL_AUDITING_CLIENT_TEMPLATE.FAT&amp;display_string=Audit&amp;VAR:KEY=XUBWTERURA&amp;VAR:QUERY=RkZfRUJJVERBX0lCKCdMVE1TJyw0MDE1OCk=&amp;WINDOW=FIRST_POPUP&amp;HEIGHT=450&amp;WIDTH=450&amp;START_MA","XIMIZED=FALSE&amp;VAR:CALENDAR=US&amp;VAR:SYMBOL=N0098510&amp;VAR:INDEX=0"}</definedName>
    <definedName name="_5555__FDSAUDITLINK__" hidden="1">{"fdsup://directions/FAT Viewer?action=UPDATE&amp;creator=factset&amp;DYN_ARGS=TRUE&amp;DOC_NAME=FAT:FQL_AUDITING_CLIENT_TEMPLATE.FAT&amp;display_string=Audit&amp;VAR:KEY=XUBWTERURA&amp;VAR:QUERY=RkZfRUJJVERBX0lCKCdMVE1TJyw0MDE1OCk=&amp;WINDOW=FIRST_POPUP&amp;HEIGHT=450&amp;WIDTH=450&amp;START_MA","XIMIZED=FALSE&amp;VAR:CALENDAR=US&amp;VAR:SYMBOL=N0098510&amp;VAR:INDEX=0"}</definedName>
    <definedName name="_5556__FDSAUDITLINK__" localSheetId="6" hidden="1">{"fdsup://directions/FAT Viewer?action=UPDATE&amp;creator=factset&amp;DYN_ARGS=TRUE&amp;DOC_NAME=FAT:FQL_AUDITING_CLIENT_TEMPLATE.FAT&amp;display_string=Audit&amp;VAR:KEY=BMFWBCRMLA&amp;VAR:QUERY=RkZfRUJJVERBX0lCKCdMVE1TJyw0MDE1Nyk=&amp;WINDOW=FIRST_POPUP&amp;HEIGHT=450&amp;WIDTH=450&amp;START_MA","XIMIZED=FALSE&amp;VAR:CALENDAR=US&amp;VAR:SYMBOL=N0098510&amp;VAR:INDEX=0"}</definedName>
    <definedName name="_5556__FDSAUDITLINK__" hidden="1">{"fdsup://directions/FAT Viewer?action=UPDATE&amp;creator=factset&amp;DYN_ARGS=TRUE&amp;DOC_NAME=FAT:FQL_AUDITING_CLIENT_TEMPLATE.FAT&amp;display_string=Audit&amp;VAR:KEY=BMFWBCRMLA&amp;VAR:QUERY=RkZfRUJJVERBX0lCKCdMVE1TJyw0MDE1Nyk=&amp;WINDOW=FIRST_POPUP&amp;HEIGHT=450&amp;WIDTH=450&amp;START_MA","XIMIZED=FALSE&amp;VAR:CALENDAR=US&amp;VAR:SYMBOL=N0098510&amp;VAR:INDEX=0"}</definedName>
    <definedName name="_5557__FDSAUDITLINK__" localSheetId="6" hidden="1">{"fdsup://directions/FAT Viewer?action=UPDATE&amp;creator=factset&amp;DYN_ARGS=TRUE&amp;DOC_NAME=FAT:FQL_AUDITING_CLIENT_TEMPLATE.FAT&amp;display_string=Audit&amp;VAR:KEY=RAJYLUVGTY&amp;VAR:QUERY=RkZfRUJJVERBX0lCKCdMVE1TJyw0MDE1Nik=&amp;WINDOW=FIRST_POPUP&amp;HEIGHT=450&amp;WIDTH=450&amp;START_MA","XIMIZED=FALSE&amp;VAR:CALENDAR=US&amp;VAR:SYMBOL=N0098510&amp;VAR:INDEX=0"}</definedName>
    <definedName name="_5557__FDSAUDITLINK__" hidden="1">{"fdsup://directions/FAT Viewer?action=UPDATE&amp;creator=factset&amp;DYN_ARGS=TRUE&amp;DOC_NAME=FAT:FQL_AUDITING_CLIENT_TEMPLATE.FAT&amp;display_string=Audit&amp;VAR:KEY=RAJYLUVGTY&amp;VAR:QUERY=RkZfRUJJVERBX0lCKCdMVE1TJyw0MDE1Nik=&amp;WINDOW=FIRST_POPUP&amp;HEIGHT=450&amp;WIDTH=450&amp;START_MA","XIMIZED=FALSE&amp;VAR:CALENDAR=US&amp;VAR:SYMBOL=N0098510&amp;VAR:INDEX=0"}</definedName>
    <definedName name="_5558__FDSAUDITLINK__" localSheetId="6" hidden="1">{"fdsup://directions/FAT Viewer?action=UPDATE&amp;creator=factset&amp;DYN_ARGS=TRUE&amp;DOC_NAME=FAT:FQL_AUDITING_CLIENT_TEMPLATE.FAT&amp;display_string=Audit&amp;VAR:KEY=PORYLCNAXY&amp;VAR:QUERY=RkZfRUJJVERBX0lCKCdMVE1TJyw0MDE1NSk=&amp;WINDOW=FIRST_POPUP&amp;HEIGHT=450&amp;WIDTH=450&amp;START_MA","XIMIZED=FALSE&amp;VAR:CALENDAR=US&amp;VAR:SYMBOL=N0098510&amp;VAR:INDEX=0"}</definedName>
    <definedName name="_5558__FDSAUDITLINK__" hidden="1">{"fdsup://directions/FAT Viewer?action=UPDATE&amp;creator=factset&amp;DYN_ARGS=TRUE&amp;DOC_NAME=FAT:FQL_AUDITING_CLIENT_TEMPLATE.FAT&amp;display_string=Audit&amp;VAR:KEY=PORYLCNAXY&amp;VAR:QUERY=RkZfRUJJVERBX0lCKCdMVE1TJyw0MDE1NSk=&amp;WINDOW=FIRST_POPUP&amp;HEIGHT=450&amp;WIDTH=450&amp;START_MA","XIMIZED=FALSE&amp;VAR:CALENDAR=US&amp;VAR:SYMBOL=N0098510&amp;VAR:INDEX=0"}</definedName>
    <definedName name="_5559__FDSAUDITLINK__" localSheetId="6" hidden="1">{"fdsup://directions/FAT Viewer?action=UPDATE&amp;creator=factset&amp;DYN_ARGS=TRUE&amp;DOC_NAME=FAT:FQL_AUDITING_CLIENT_TEMPLATE.FAT&amp;display_string=Audit&amp;VAR:KEY=HETCHIFARA&amp;VAR:QUERY=RkZfRUJJVERBX0lCKCdMVE1TJyw0MDE1NCk=&amp;WINDOW=FIRST_POPUP&amp;HEIGHT=450&amp;WIDTH=450&amp;START_MA","XIMIZED=FALSE&amp;VAR:CALENDAR=US&amp;VAR:SYMBOL=N0098510&amp;VAR:INDEX=0"}</definedName>
    <definedName name="_5559__FDSAUDITLINK__" hidden="1">{"fdsup://directions/FAT Viewer?action=UPDATE&amp;creator=factset&amp;DYN_ARGS=TRUE&amp;DOC_NAME=FAT:FQL_AUDITING_CLIENT_TEMPLATE.FAT&amp;display_string=Audit&amp;VAR:KEY=HETCHIFARA&amp;VAR:QUERY=RkZfRUJJVERBX0lCKCdMVE1TJyw0MDE1NCk=&amp;WINDOW=FIRST_POPUP&amp;HEIGHT=450&amp;WIDTH=450&amp;START_MA","XIMIZED=FALSE&amp;VAR:CALENDAR=US&amp;VAR:SYMBOL=N0098510&amp;VAR:INDEX=0"}</definedName>
    <definedName name="_556__FDSAUDITLINK__" localSheetId="6" hidden="1">{"fdsup://directions/FAT%20Viewer?VAR:PED=LTM&amp;VAR:AUDIT_MODE=SUMMARY&amp;VAR:PERIOD=FIXED&amp;VAR:AUDIT_ID=00000117&amp;VAR:DATE=20080814&amp;action=UPDATE&amp;creator=factset&amp;DOC_NAME=FAT:FMA_audit_SUMMARY.fat&amp;DISPLAY_STRING=Display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6__FDSAUDITLINK__" hidden="1">{"fdsup://directions/FAT%20Viewer?VAR:PED=LTM&amp;VAR:AUDIT_MODE=SUMMARY&amp;VAR:PERIOD=FIXED&amp;VAR:AUDIT_ID=00000117&amp;VAR:DATE=20080814&amp;action=UPDATE&amp;creator=factset&amp;DOC_NAME=FAT:FMA_audit_SUMMARY.fat&amp;DISPLAY_STRING=Display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60__FDSAUDITLINK__" localSheetId="6" hidden="1">{"fdsup://directions/FAT Viewer?action=UPDATE&amp;creator=factset&amp;DYN_ARGS=TRUE&amp;DOC_NAME=FAT:FQL_AUDITING_CLIENT_TEMPLATE.FAT&amp;display_string=Audit&amp;VAR:KEY=HURYFGXOJQ&amp;VAR:QUERY=RkZfRUJJVERBX0lCKCdMVE1TJyw0MDE1Myk=&amp;WINDOW=FIRST_POPUP&amp;HEIGHT=450&amp;WIDTH=450&amp;START_MA","XIMIZED=FALSE&amp;VAR:CALENDAR=US&amp;VAR:SYMBOL=N0098510&amp;VAR:INDEX=0"}</definedName>
    <definedName name="_5560__FDSAUDITLINK__" hidden="1">{"fdsup://directions/FAT Viewer?action=UPDATE&amp;creator=factset&amp;DYN_ARGS=TRUE&amp;DOC_NAME=FAT:FQL_AUDITING_CLIENT_TEMPLATE.FAT&amp;display_string=Audit&amp;VAR:KEY=HURYFGXOJQ&amp;VAR:QUERY=RkZfRUJJVERBX0lCKCdMVE1TJyw0MDE1Myk=&amp;WINDOW=FIRST_POPUP&amp;HEIGHT=450&amp;WIDTH=450&amp;START_MA","XIMIZED=FALSE&amp;VAR:CALENDAR=US&amp;VAR:SYMBOL=N0098510&amp;VAR:INDEX=0"}</definedName>
    <definedName name="_5561__FDSAUDITLINK__" localSheetId="6" hidden="1">{"fdsup://directions/FAT Viewer?action=UPDATE&amp;creator=factset&amp;DYN_ARGS=TRUE&amp;DOC_NAME=FAT:FQL_AUDITING_CLIENT_TEMPLATE.FAT&amp;display_string=Audit&amp;VAR:KEY=RMHUNEFCLC&amp;VAR:QUERY=RkZfRUJJVERBX0lCKCdMVE1TJyw0MDE1Mik=&amp;WINDOW=FIRST_POPUP&amp;HEIGHT=450&amp;WIDTH=450&amp;START_MA","XIMIZED=FALSE&amp;VAR:CALENDAR=US&amp;VAR:SYMBOL=N0098510&amp;VAR:INDEX=0"}</definedName>
    <definedName name="_5561__FDSAUDITLINK__" hidden="1">{"fdsup://directions/FAT Viewer?action=UPDATE&amp;creator=factset&amp;DYN_ARGS=TRUE&amp;DOC_NAME=FAT:FQL_AUDITING_CLIENT_TEMPLATE.FAT&amp;display_string=Audit&amp;VAR:KEY=RMHUNEFCLC&amp;VAR:QUERY=RkZfRUJJVERBX0lCKCdMVE1TJyw0MDE1Mik=&amp;WINDOW=FIRST_POPUP&amp;HEIGHT=450&amp;WIDTH=450&amp;START_MA","XIMIZED=FALSE&amp;VAR:CALENDAR=US&amp;VAR:SYMBOL=N0098510&amp;VAR:INDEX=0"}</definedName>
    <definedName name="_5562__FDSAUDITLINK__" localSheetId="6" hidden="1">{"fdsup://directions/FAT Viewer?action=UPDATE&amp;creator=factset&amp;DYN_ARGS=TRUE&amp;DOC_NAME=FAT:FQL_AUDITING_CLIENT_TEMPLATE.FAT&amp;display_string=Audit&amp;VAR:KEY=FCZCHGLWNC&amp;VAR:QUERY=RkZfRUJJVERBX0lCKCdMVE1TJyw0MDE1MSk=&amp;WINDOW=FIRST_POPUP&amp;HEIGHT=450&amp;WIDTH=450&amp;START_MA","XIMIZED=FALSE&amp;VAR:CALENDAR=US&amp;VAR:SYMBOL=N0098510&amp;VAR:INDEX=0"}</definedName>
    <definedName name="_5562__FDSAUDITLINK__" hidden="1">{"fdsup://directions/FAT Viewer?action=UPDATE&amp;creator=factset&amp;DYN_ARGS=TRUE&amp;DOC_NAME=FAT:FQL_AUDITING_CLIENT_TEMPLATE.FAT&amp;display_string=Audit&amp;VAR:KEY=FCZCHGLWNC&amp;VAR:QUERY=RkZfRUJJVERBX0lCKCdMVE1TJyw0MDE1MSk=&amp;WINDOW=FIRST_POPUP&amp;HEIGHT=450&amp;WIDTH=450&amp;START_MA","XIMIZED=FALSE&amp;VAR:CALENDAR=US&amp;VAR:SYMBOL=N0098510&amp;VAR:INDEX=0"}</definedName>
    <definedName name="_5563__FDSAUDITLINK__" localSheetId="6" hidden="1">{"fdsup://directions/FAT Viewer?action=UPDATE&amp;creator=factset&amp;DYN_ARGS=TRUE&amp;DOC_NAME=FAT:FQL_AUDITING_CLIENT_TEMPLATE.FAT&amp;display_string=Audit&amp;VAR:KEY=XSLGHIPWHK&amp;VAR:QUERY=RkZfRUJJVERBX0lCKCdMVE1TJyw0MDE1MCk=&amp;WINDOW=FIRST_POPUP&amp;HEIGHT=450&amp;WIDTH=450&amp;START_MA","XIMIZED=FALSE&amp;VAR:CALENDAR=US&amp;VAR:SYMBOL=N0098510&amp;VAR:INDEX=0"}</definedName>
    <definedName name="_5563__FDSAUDITLINK__" hidden="1">{"fdsup://directions/FAT Viewer?action=UPDATE&amp;creator=factset&amp;DYN_ARGS=TRUE&amp;DOC_NAME=FAT:FQL_AUDITING_CLIENT_TEMPLATE.FAT&amp;display_string=Audit&amp;VAR:KEY=XSLGHIPWHK&amp;VAR:QUERY=RkZfRUJJVERBX0lCKCdMVE1TJyw0MDE1MCk=&amp;WINDOW=FIRST_POPUP&amp;HEIGHT=450&amp;WIDTH=450&amp;START_MA","XIMIZED=FALSE&amp;VAR:CALENDAR=US&amp;VAR:SYMBOL=N0098510&amp;VAR:INDEX=0"}</definedName>
    <definedName name="_5564__FDSAUDITLINK__" localSheetId="6" hidden="1">{"fdsup://directions/FAT Viewer?action=UPDATE&amp;creator=factset&amp;DYN_ARGS=TRUE&amp;DOC_NAME=FAT:FQL_AUDITING_CLIENT_TEMPLATE.FAT&amp;display_string=Audit&amp;VAR:KEY=NCVYVQZQZE&amp;VAR:QUERY=RkZfRUJJVERBX0lCKCdMVE1TJyw0MDE0OSk=&amp;WINDOW=FIRST_POPUP&amp;HEIGHT=450&amp;WIDTH=450&amp;START_MA","XIMIZED=FALSE&amp;VAR:CALENDAR=US&amp;VAR:SYMBOL=N0098510&amp;VAR:INDEX=0"}</definedName>
    <definedName name="_5564__FDSAUDITLINK__" hidden="1">{"fdsup://directions/FAT Viewer?action=UPDATE&amp;creator=factset&amp;DYN_ARGS=TRUE&amp;DOC_NAME=FAT:FQL_AUDITING_CLIENT_TEMPLATE.FAT&amp;display_string=Audit&amp;VAR:KEY=NCVYVQZQZE&amp;VAR:QUERY=RkZfRUJJVERBX0lCKCdMVE1TJyw0MDE0OSk=&amp;WINDOW=FIRST_POPUP&amp;HEIGHT=450&amp;WIDTH=450&amp;START_MA","XIMIZED=FALSE&amp;VAR:CALENDAR=US&amp;VAR:SYMBOL=N0098510&amp;VAR:INDEX=0"}</definedName>
    <definedName name="_5565__FDSAUDITLINK__" localSheetId="6" hidden="1">{"fdsup://directions/FAT Viewer?action=UPDATE&amp;creator=factset&amp;DYN_ARGS=TRUE&amp;DOC_NAME=FAT:FQL_AUDITING_CLIENT_TEMPLATE.FAT&amp;display_string=Audit&amp;VAR:KEY=LSNERABSHC&amp;VAR:QUERY=RkZfRUJJVERBX0lCKCdMVE1TJyw0MDE0OCk=&amp;WINDOW=FIRST_POPUP&amp;HEIGHT=450&amp;WIDTH=450&amp;START_MA","XIMIZED=FALSE&amp;VAR:CALENDAR=US&amp;VAR:SYMBOL=N0098510&amp;VAR:INDEX=0"}</definedName>
    <definedName name="_5565__FDSAUDITLINK__" hidden="1">{"fdsup://directions/FAT Viewer?action=UPDATE&amp;creator=factset&amp;DYN_ARGS=TRUE&amp;DOC_NAME=FAT:FQL_AUDITING_CLIENT_TEMPLATE.FAT&amp;display_string=Audit&amp;VAR:KEY=LSNERABSHC&amp;VAR:QUERY=RkZfRUJJVERBX0lCKCdMVE1TJyw0MDE0OCk=&amp;WINDOW=FIRST_POPUP&amp;HEIGHT=450&amp;WIDTH=450&amp;START_MA","XIMIZED=FALSE&amp;VAR:CALENDAR=US&amp;VAR:SYMBOL=N0098510&amp;VAR:INDEX=0"}</definedName>
    <definedName name="_5566__FDSAUDITLINK__" localSheetId="6" hidden="1">{"fdsup://directions/FAT Viewer?action=UPDATE&amp;creator=factset&amp;DYN_ARGS=TRUE&amp;DOC_NAME=FAT:FQL_AUDITING_CLIENT_TEMPLATE.FAT&amp;display_string=Audit&amp;VAR:KEY=FOTCTANURU&amp;VAR:QUERY=RkZfRUJJVERBX0lCKCdMVE1TJyw0MDE0Nyk=&amp;WINDOW=FIRST_POPUP&amp;HEIGHT=450&amp;WIDTH=450&amp;START_MA","XIMIZED=FALSE&amp;VAR:CALENDAR=US&amp;VAR:SYMBOL=N0098510&amp;VAR:INDEX=0"}</definedName>
    <definedName name="_5566__FDSAUDITLINK__" hidden="1">{"fdsup://directions/FAT Viewer?action=UPDATE&amp;creator=factset&amp;DYN_ARGS=TRUE&amp;DOC_NAME=FAT:FQL_AUDITING_CLIENT_TEMPLATE.FAT&amp;display_string=Audit&amp;VAR:KEY=FOTCTANURU&amp;VAR:QUERY=RkZfRUJJVERBX0lCKCdMVE1TJyw0MDE0Nyk=&amp;WINDOW=FIRST_POPUP&amp;HEIGHT=450&amp;WIDTH=450&amp;START_MA","XIMIZED=FALSE&amp;VAR:CALENDAR=US&amp;VAR:SYMBOL=N0098510&amp;VAR:INDEX=0"}</definedName>
    <definedName name="_5567__FDSAUDITLINK__" localSheetId="6" hidden="1">{"fdsup://directions/FAT Viewer?action=UPDATE&amp;creator=factset&amp;DYN_ARGS=TRUE&amp;DOC_NAME=FAT:FQL_AUDITING_CLIENT_TEMPLATE.FAT&amp;display_string=Audit&amp;VAR:KEY=VWLALWVOZI&amp;VAR:QUERY=RkZfRUJJVERBX0lCKCdMVE1TJyw0MDE0Nik=&amp;WINDOW=FIRST_POPUP&amp;HEIGHT=450&amp;WIDTH=450&amp;START_MA","XIMIZED=FALSE&amp;VAR:CALENDAR=US&amp;VAR:SYMBOL=N0098510&amp;VAR:INDEX=0"}</definedName>
    <definedName name="_5567__FDSAUDITLINK__" hidden="1">{"fdsup://directions/FAT Viewer?action=UPDATE&amp;creator=factset&amp;DYN_ARGS=TRUE&amp;DOC_NAME=FAT:FQL_AUDITING_CLIENT_TEMPLATE.FAT&amp;display_string=Audit&amp;VAR:KEY=VWLALWVOZI&amp;VAR:QUERY=RkZfRUJJVERBX0lCKCdMVE1TJyw0MDE0Nik=&amp;WINDOW=FIRST_POPUP&amp;HEIGHT=450&amp;WIDTH=450&amp;START_MA","XIMIZED=FALSE&amp;VAR:CALENDAR=US&amp;VAR:SYMBOL=N0098510&amp;VAR:INDEX=0"}</definedName>
    <definedName name="_5568__FDSAUDITLINK__" localSheetId="6" hidden="1">{"fdsup://directions/FAT Viewer?action=UPDATE&amp;creator=factset&amp;DYN_ARGS=TRUE&amp;DOC_NAME=FAT:FQL_AUDITING_CLIENT_TEMPLATE.FAT&amp;display_string=Audit&amp;VAR:KEY=LOLCTEXCTI&amp;VAR:QUERY=RkZfRUJJVERBX0lCKCdMVE1TJyw0MDE0NSk=&amp;WINDOW=FIRST_POPUP&amp;HEIGHT=450&amp;WIDTH=450&amp;START_MA","XIMIZED=FALSE&amp;VAR:CALENDAR=US&amp;VAR:SYMBOL=N0098510&amp;VAR:INDEX=0"}</definedName>
    <definedName name="_5568__FDSAUDITLINK__" hidden="1">{"fdsup://directions/FAT Viewer?action=UPDATE&amp;creator=factset&amp;DYN_ARGS=TRUE&amp;DOC_NAME=FAT:FQL_AUDITING_CLIENT_TEMPLATE.FAT&amp;display_string=Audit&amp;VAR:KEY=LOLCTEXCTI&amp;VAR:QUERY=RkZfRUJJVERBX0lCKCdMVE1TJyw0MDE0NSk=&amp;WINDOW=FIRST_POPUP&amp;HEIGHT=450&amp;WIDTH=450&amp;START_MA","XIMIZED=FALSE&amp;VAR:CALENDAR=US&amp;VAR:SYMBOL=N0098510&amp;VAR:INDEX=0"}</definedName>
    <definedName name="_5569__FDSAUDITLINK__" localSheetId="6" hidden="1">{"fdsup://directions/FAT Viewer?action=UPDATE&amp;creator=factset&amp;DYN_ARGS=TRUE&amp;DOC_NAME=FAT:FQL_AUDITING_CLIENT_TEMPLATE.FAT&amp;display_string=Audit&amp;VAR:KEY=NGVEBWZWLU&amp;VAR:QUERY=RkZfRUJJVERBX0lCKCdMVE1TJyw0MDE0NCk=&amp;WINDOW=FIRST_POPUP&amp;HEIGHT=450&amp;WIDTH=450&amp;START_MA","XIMIZED=FALSE&amp;VAR:CALENDAR=US&amp;VAR:SYMBOL=N0098510&amp;VAR:INDEX=0"}</definedName>
    <definedName name="_5569__FDSAUDITLINK__" hidden="1">{"fdsup://directions/FAT Viewer?action=UPDATE&amp;creator=factset&amp;DYN_ARGS=TRUE&amp;DOC_NAME=FAT:FQL_AUDITING_CLIENT_TEMPLATE.FAT&amp;display_string=Audit&amp;VAR:KEY=NGVEBWZWLU&amp;VAR:QUERY=RkZfRUJJVERBX0lCKCdMVE1TJyw0MDE0NCk=&amp;WINDOW=FIRST_POPUP&amp;HEIGHT=450&amp;WIDTH=450&amp;START_MA","XIMIZED=FALSE&amp;VAR:CALENDAR=US&amp;VAR:SYMBOL=N0098510&amp;VAR:INDEX=0"}</definedName>
    <definedName name="_557__FDSAUDITLINK__" localSheetId="6" hidden="1">{"fdsup://directions/FAT%20Viewer?VAR:PED=LTM&amp;VAR:AUDIT_MODE=SUMMARY&amp;VAR:PERIOD=FIXED&amp;VAR:AUDIT_ID=00000117&amp;VAR:DATE=20080813&amp;action=UPDATE&amp;creator=factset&amp;DOC_NAME=FAT:FMA_audit_SUMMARY.fat&amp;DISPLAY_STRING=Display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7__FDSAUDITLINK__" hidden="1">{"fdsup://directions/FAT%20Viewer?VAR:PED=LTM&amp;VAR:AUDIT_MODE=SUMMARY&amp;VAR:PERIOD=FIXED&amp;VAR:AUDIT_ID=00000117&amp;VAR:DATE=20080813&amp;action=UPDATE&amp;creator=factset&amp;DOC_NAME=FAT:FMA_audit_SUMMARY.fat&amp;DISPLAY_STRING=Display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70__FDSAUDITLINK__" localSheetId="6" hidden="1">{"fdsup://directions/FAT Viewer?action=UPDATE&amp;creator=factset&amp;DYN_ARGS=TRUE&amp;DOC_NAME=FAT:FQL_AUDITING_CLIENT_TEMPLATE.FAT&amp;display_string=Audit&amp;VAR:KEY=XOBATYVALO&amp;VAR:QUERY=RkZfRUJJVERBX0lCKCdMVE1TJyw0MDE0Myk=&amp;WINDOW=FIRST_POPUP&amp;HEIGHT=450&amp;WIDTH=450&amp;START_MA","XIMIZED=FALSE&amp;VAR:CALENDAR=US&amp;VAR:SYMBOL=N0098510&amp;VAR:INDEX=0"}</definedName>
    <definedName name="_5570__FDSAUDITLINK__" hidden="1">{"fdsup://directions/FAT Viewer?action=UPDATE&amp;creator=factset&amp;DYN_ARGS=TRUE&amp;DOC_NAME=FAT:FQL_AUDITING_CLIENT_TEMPLATE.FAT&amp;display_string=Audit&amp;VAR:KEY=XOBATYVALO&amp;VAR:QUERY=RkZfRUJJVERBX0lCKCdMVE1TJyw0MDE0Myk=&amp;WINDOW=FIRST_POPUP&amp;HEIGHT=450&amp;WIDTH=450&amp;START_MA","XIMIZED=FALSE&amp;VAR:CALENDAR=US&amp;VAR:SYMBOL=N0098510&amp;VAR:INDEX=0"}</definedName>
    <definedName name="_5571__FDSAUDITLINK__" localSheetId="6" hidden="1">{"fdsup://directions/FAT Viewer?action=UPDATE&amp;creator=factset&amp;DYN_ARGS=TRUE&amp;DOC_NAME=FAT:FQL_AUDITING_CLIENT_TEMPLATE.FAT&amp;display_string=Audit&amp;VAR:KEY=RYDGLCDGPI&amp;VAR:QUERY=RkZfRUJJVERBX0lCKCdMVE1TJyw0MDE0Mik=&amp;WINDOW=FIRST_POPUP&amp;HEIGHT=450&amp;WIDTH=450&amp;START_MA","XIMIZED=FALSE&amp;VAR:CALENDAR=US&amp;VAR:SYMBOL=N0098510&amp;VAR:INDEX=0"}</definedName>
    <definedName name="_5571__FDSAUDITLINK__" hidden="1">{"fdsup://directions/FAT Viewer?action=UPDATE&amp;creator=factset&amp;DYN_ARGS=TRUE&amp;DOC_NAME=FAT:FQL_AUDITING_CLIENT_TEMPLATE.FAT&amp;display_string=Audit&amp;VAR:KEY=RYDGLCDGPI&amp;VAR:QUERY=RkZfRUJJVERBX0lCKCdMVE1TJyw0MDE0Mik=&amp;WINDOW=FIRST_POPUP&amp;HEIGHT=450&amp;WIDTH=450&amp;START_MA","XIMIZED=FALSE&amp;VAR:CALENDAR=US&amp;VAR:SYMBOL=N0098510&amp;VAR:INDEX=0"}</definedName>
    <definedName name="_5572__FDSAUDITLINK__" localSheetId="6" hidden="1">{"fdsup://directions/FAT Viewer?action=UPDATE&amp;creator=factset&amp;DYN_ARGS=TRUE&amp;DOC_NAME=FAT:FQL_AUDITING_CLIENT_TEMPLATE.FAT&amp;display_string=Audit&amp;VAR:KEY=HOLWNWPCFI&amp;VAR:QUERY=RkZfRUJJVERBX0lCKCdMVE1TJyw0MDE0MSk=&amp;WINDOW=FIRST_POPUP&amp;HEIGHT=450&amp;WIDTH=450&amp;START_MA","XIMIZED=FALSE&amp;VAR:CALENDAR=US&amp;VAR:SYMBOL=N0098510&amp;VAR:INDEX=0"}</definedName>
    <definedName name="_5572__FDSAUDITLINK__" hidden="1">{"fdsup://directions/FAT Viewer?action=UPDATE&amp;creator=factset&amp;DYN_ARGS=TRUE&amp;DOC_NAME=FAT:FQL_AUDITING_CLIENT_TEMPLATE.FAT&amp;display_string=Audit&amp;VAR:KEY=HOLWNWPCFI&amp;VAR:QUERY=RkZfRUJJVERBX0lCKCdMVE1TJyw0MDE0MSk=&amp;WINDOW=FIRST_POPUP&amp;HEIGHT=450&amp;WIDTH=450&amp;START_MA","XIMIZED=FALSE&amp;VAR:CALENDAR=US&amp;VAR:SYMBOL=N0098510&amp;VAR:INDEX=0"}</definedName>
    <definedName name="_5573__FDSAUDITLINK__" localSheetId="6" hidden="1">{"fdsup://directions/FAT Viewer?action=UPDATE&amp;creator=factset&amp;DYN_ARGS=TRUE&amp;DOC_NAME=FAT:FQL_AUDITING_CLIENT_TEMPLATE.FAT&amp;display_string=Audit&amp;VAR:KEY=VUNGHILEVS&amp;VAR:QUERY=RkZfRUJJVERBX0lCKCdMVE1TJyw0MDE0MCk=&amp;WINDOW=FIRST_POPUP&amp;HEIGHT=450&amp;WIDTH=450&amp;START_MA","XIMIZED=FALSE&amp;VAR:CALENDAR=US&amp;VAR:SYMBOL=N0098510&amp;VAR:INDEX=0"}</definedName>
    <definedName name="_5573__FDSAUDITLINK__" hidden="1">{"fdsup://directions/FAT Viewer?action=UPDATE&amp;creator=factset&amp;DYN_ARGS=TRUE&amp;DOC_NAME=FAT:FQL_AUDITING_CLIENT_TEMPLATE.FAT&amp;display_string=Audit&amp;VAR:KEY=VUNGHILEVS&amp;VAR:QUERY=RkZfRUJJVERBX0lCKCdMVE1TJyw0MDE0MCk=&amp;WINDOW=FIRST_POPUP&amp;HEIGHT=450&amp;WIDTH=450&amp;START_MA","XIMIZED=FALSE&amp;VAR:CALENDAR=US&amp;VAR:SYMBOL=N0098510&amp;VAR:INDEX=0"}</definedName>
    <definedName name="_5574__FDSAUDITLINK__" localSheetId="6" hidden="1">{"fdsup://directions/FAT Viewer?action=UPDATE&amp;creator=factset&amp;DYN_ARGS=TRUE&amp;DOC_NAME=FAT:FQL_AUDITING_CLIENT_TEMPLATE.FAT&amp;display_string=Audit&amp;VAR:KEY=FOVKRWDSRA&amp;VAR:QUERY=RkZfRUJJVERBX0lCKCdMVE1TJyw0MDEzOSk=&amp;WINDOW=FIRST_POPUP&amp;HEIGHT=450&amp;WIDTH=450&amp;START_MA","XIMIZED=FALSE&amp;VAR:CALENDAR=US&amp;VAR:SYMBOL=N0098510&amp;VAR:INDEX=0"}</definedName>
    <definedName name="_5574__FDSAUDITLINK__" hidden="1">{"fdsup://directions/FAT Viewer?action=UPDATE&amp;creator=factset&amp;DYN_ARGS=TRUE&amp;DOC_NAME=FAT:FQL_AUDITING_CLIENT_TEMPLATE.FAT&amp;display_string=Audit&amp;VAR:KEY=FOVKRWDSRA&amp;VAR:QUERY=RkZfRUJJVERBX0lCKCdMVE1TJyw0MDEzOSk=&amp;WINDOW=FIRST_POPUP&amp;HEIGHT=450&amp;WIDTH=450&amp;START_MA","XIMIZED=FALSE&amp;VAR:CALENDAR=US&amp;VAR:SYMBOL=N0098510&amp;VAR:INDEX=0"}</definedName>
    <definedName name="_5575__FDSAUDITLINK__" localSheetId="6" hidden="1">{"fdsup://directions/FAT Viewer?action=UPDATE&amp;creator=factset&amp;DYN_ARGS=TRUE&amp;DOC_NAME=FAT:FQL_AUDITING_CLIENT_TEMPLATE.FAT&amp;display_string=Audit&amp;VAR:KEY=NUFONCPYZW&amp;VAR:QUERY=RkZfRUJJVERBX0lCKCdMVE1TJyw0MDEzOCk=&amp;WINDOW=FIRST_POPUP&amp;HEIGHT=450&amp;WIDTH=450&amp;START_MA","XIMIZED=FALSE&amp;VAR:CALENDAR=US&amp;VAR:SYMBOL=N0098510&amp;VAR:INDEX=0"}</definedName>
    <definedName name="_5575__FDSAUDITLINK__" hidden="1">{"fdsup://directions/FAT Viewer?action=UPDATE&amp;creator=factset&amp;DYN_ARGS=TRUE&amp;DOC_NAME=FAT:FQL_AUDITING_CLIENT_TEMPLATE.FAT&amp;display_string=Audit&amp;VAR:KEY=NUFONCPYZW&amp;VAR:QUERY=RkZfRUJJVERBX0lCKCdMVE1TJyw0MDEzOCk=&amp;WINDOW=FIRST_POPUP&amp;HEIGHT=450&amp;WIDTH=450&amp;START_MA","XIMIZED=FALSE&amp;VAR:CALENDAR=US&amp;VAR:SYMBOL=N0098510&amp;VAR:INDEX=0"}</definedName>
    <definedName name="_5576__FDSAUDITLINK__" localSheetId="6" hidden="1">{"fdsup://directions/FAT Viewer?action=UPDATE&amp;creator=factset&amp;DYN_ARGS=TRUE&amp;DOC_NAME=FAT:FQL_AUDITING_CLIENT_TEMPLATE.FAT&amp;display_string=Audit&amp;VAR:KEY=BGLSRWXWJY&amp;VAR:QUERY=RkZfRUJJVERBX0lCKCdMVE1TJyw0MDEzNyk=&amp;WINDOW=FIRST_POPUP&amp;HEIGHT=450&amp;WIDTH=450&amp;START_MA","XIMIZED=FALSE&amp;VAR:CALENDAR=US&amp;VAR:SYMBOL=N0098510&amp;VAR:INDEX=0"}</definedName>
    <definedName name="_5576__FDSAUDITLINK__" hidden="1">{"fdsup://directions/FAT Viewer?action=UPDATE&amp;creator=factset&amp;DYN_ARGS=TRUE&amp;DOC_NAME=FAT:FQL_AUDITING_CLIENT_TEMPLATE.FAT&amp;display_string=Audit&amp;VAR:KEY=BGLSRWXWJY&amp;VAR:QUERY=RkZfRUJJVERBX0lCKCdMVE1TJyw0MDEzNyk=&amp;WINDOW=FIRST_POPUP&amp;HEIGHT=450&amp;WIDTH=450&amp;START_MA","XIMIZED=FALSE&amp;VAR:CALENDAR=US&amp;VAR:SYMBOL=N0098510&amp;VAR:INDEX=0"}</definedName>
    <definedName name="_5577__FDSAUDITLINK__" localSheetId="6" hidden="1">{"fdsup://directions/FAT Viewer?action=UPDATE&amp;creator=factset&amp;DYN_ARGS=TRUE&amp;DOC_NAME=FAT:FQL_AUDITING_CLIENT_TEMPLATE.FAT&amp;display_string=Audit&amp;VAR:KEY=TALYDOLGDU&amp;VAR:QUERY=RkZfRUJJVERBX0lCKCdMVE1TJyw0MDEzNik=&amp;WINDOW=FIRST_POPUP&amp;HEIGHT=450&amp;WIDTH=450&amp;START_MA","XIMIZED=FALSE&amp;VAR:CALENDAR=US&amp;VAR:SYMBOL=N0098510&amp;VAR:INDEX=0"}</definedName>
    <definedName name="_5577__FDSAUDITLINK__" hidden="1">{"fdsup://directions/FAT Viewer?action=UPDATE&amp;creator=factset&amp;DYN_ARGS=TRUE&amp;DOC_NAME=FAT:FQL_AUDITING_CLIENT_TEMPLATE.FAT&amp;display_string=Audit&amp;VAR:KEY=TALYDOLGDU&amp;VAR:QUERY=RkZfRUJJVERBX0lCKCdMVE1TJyw0MDEzNik=&amp;WINDOW=FIRST_POPUP&amp;HEIGHT=450&amp;WIDTH=450&amp;START_MA","XIMIZED=FALSE&amp;VAR:CALENDAR=US&amp;VAR:SYMBOL=N0098510&amp;VAR:INDEX=0"}</definedName>
    <definedName name="_5578__FDSAUDITLINK__" localSheetId="6" hidden="1">{"fdsup://directions/FAT Viewer?action=UPDATE&amp;creator=factset&amp;DYN_ARGS=TRUE&amp;DOC_NAME=FAT:FQL_AUDITING_CLIENT_TEMPLATE.FAT&amp;display_string=Audit&amp;VAR:KEY=RSLKVEBEPG&amp;VAR:QUERY=RkZfRUJJVERBX0lCKCdMVE1TJyw0MDEzNSk=&amp;WINDOW=FIRST_POPUP&amp;HEIGHT=450&amp;WIDTH=450&amp;START_MA","XIMIZED=FALSE&amp;VAR:CALENDAR=US&amp;VAR:SYMBOL=N0098510&amp;VAR:INDEX=0"}</definedName>
    <definedName name="_5578__FDSAUDITLINK__" hidden="1">{"fdsup://directions/FAT Viewer?action=UPDATE&amp;creator=factset&amp;DYN_ARGS=TRUE&amp;DOC_NAME=FAT:FQL_AUDITING_CLIENT_TEMPLATE.FAT&amp;display_string=Audit&amp;VAR:KEY=RSLKVEBEPG&amp;VAR:QUERY=RkZfRUJJVERBX0lCKCdMVE1TJyw0MDEzNSk=&amp;WINDOW=FIRST_POPUP&amp;HEIGHT=450&amp;WIDTH=450&amp;START_MA","XIMIZED=FALSE&amp;VAR:CALENDAR=US&amp;VAR:SYMBOL=N0098510&amp;VAR:INDEX=0"}</definedName>
    <definedName name="_5579__FDSAUDITLINK__" localSheetId="6" hidden="1">{"fdsup://directions/FAT Viewer?action=UPDATE&amp;creator=factset&amp;DYN_ARGS=TRUE&amp;DOC_NAME=FAT:FQL_AUDITING_CLIENT_TEMPLATE.FAT&amp;display_string=Audit&amp;VAR:KEY=XAFGFGXQPW&amp;VAR:QUERY=RkZfRUJJVERBX0lCKCdMVE1TJyw0MDEzNCk=&amp;WINDOW=FIRST_POPUP&amp;HEIGHT=450&amp;WIDTH=450&amp;START_MA","XIMIZED=FALSE&amp;VAR:CALENDAR=US&amp;VAR:SYMBOL=N0098510&amp;VAR:INDEX=0"}</definedName>
    <definedName name="_5579__FDSAUDITLINK__" hidden="1">{"fdsup://directions/FAT Viewer?action=UPDATE&amp;creator=factset&amp;DYN_ARGS=TRUE&amp;DOC_NAME=FAT:FQL_AUDITING_CLIENT_TEMPLATE.FAT&amp;display_string=Audit&amp;VAR:KEY=XAFGFGXQPW&amp;VAR:QUERY=RkZfRUJJVERBX0lCKCdMVE1TJyw0MDEzNCk=&amp;WINDOW=FIRST_POPUP&amp;HEIGHT=450&amp;WIDTH=450&amp;START_MA","XIMIZED=FALSE&amp;VAR:CALENDAR=US&amp;VAR:SYMBOL=N0098510&amp;VAR:INDEX=0"}</definedName>
    <definedName name="_558__FDSAUDITLINK__" localSheetId="6" hidden="1">{"fdsup://directions/FAT%20Viewer?VAR:PED=LTM&amp;VAR:AUDIT_MODE=SUMMARY&amp;VAR:PERIOD=FIXED&amp;VAR:AUDIT_ID=00000117&amp;VAR:DATE=20080812&amp;action=UPDATE&amp;creator=factset&amp;DOC_NAME=FAT:FMA_audit_SUMMARY.fat&amp;DISPLAY_STRING=Display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8__FDSAUDITLINK__" hidden="1">{"fdsup://directions/FAT%20Viewer?VAR:PED=LTM&amp;VAR:AUDIT_MODE=SUMMARY&amp;VAR:PERIOD=FIXED&amp;VAR:AUDIT_ID=00000117&amp;VAR:DATE=20080812&amp;action=UPDATE&amp;creator=factset&amp;DOC_NAME=FAT:FMA_audit_SUMMARY.fat&amp;DISPLAY_STRING=Display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80__FDSAUDITLINK__" localSheetId="6" hidden="1">{"fdsup://directions/FAT Viewer?action=UPDATE&amp;creator=factset&amp;DYN_ARGS=TRUE&amp;DOC_NAME=FAT:FQL_AUDITING_CLIENT_TEMPLATE.FAT&amp;display_string=Audit&amp;VAR:KEY=ZEFEPKHGTS&amp;VAR:QUERY=RkZfRUJJVERBX0lCKCdMVE1TJyw0MDEzMyk=&amp;WINDOW=FIRST_POPUP&amp;HEIGHT=450&amp;WIDTH=450&amp;START_MA","XIMIZED=FALSE&amp;VAR:CALENDAR=US&amp;VAR:SYMBOL=N0098510&amp;VAR:INDEX=0"}</definedName>
    <definedName name="_5580__FDSAUDITLINK__" hidden="1">{"fdsup://directions/FAT Viewer?action=UPDATE&amp;creator=factset&amp;DYN_ARGS=TRUE&amp;DOC_NAME=FAT:FQL_AUDITING_CLIENT_TEMPLATE.FAT&amp;display_string=Audit&amp;VAR:KEY=ZEFEPKHGTS&amp;VAR:QUERY=RkZfRUJJVERBX0lCKCdMVE1TJyw0MDEzMyk=&amp;WINDOW=FIRST_POPUP&amp;HEIGHT=450&amp;WIDTH=450&amp;START_MA","XIMIZED=FALSE&amp;VAR:CALENDAR=US&amp;VAR:SYMBOL=N0098510&amp;VAR:INDEX=0"}</definedName>
    <definedName name="_5581__FDSAUDITLINK__" localSheetId="6" hidden="1">{"fdsup://directions/FAT Viewer?action=UPDATE&amp;creator=factset&amp;DYN_ARGS=TRUE&amp;DOC_NAME=FAT:FQL_AUDITING_CLIENT_TEMPLATE.FAT&amp;display_string=Audit&amp;VAR:KEY=LWZGJEFMRO&amp;VAR:QUERY=RkZfRUJJVERBX0lCKCdMVE1TJyw0MDEzMik=&amp;WINDOW=FIRST_POPUP&amp;HEIGHT=450&amp;WIDTH=450&amp;START_MA","XIMIZED=FALSE&amp;VAR:CALENDAR=US&amp;VAR:SYMBOL=N0098510&amp;VAR:INDEX=0"}</definedName>
    <definedName name="_5581__FDSAUDITLINK__" hidden="1">{"fdsup://directions/FAT Viewer?action=UPDATE&amp;creator=factset&amp;DYN_ARGS=TRUE&amp;DOC_NAME=FAT:FQL_AUDITING_CLIENT_TEMPLATE.FAT&amp;display_string=Audit&amp;VAR:KEY=LWZGJEFMRO&amp;VAR:QUERY=RkZfRUJJVERBX0lCKCdMVE1TJyw0MDEzMik=&amp;WINDOW=FIRST_POPUP&amp;HEIGHT=450&amp;WIDTH=450&amp;START_MA","XIMIZED=FALSE&amp;VAR:CALENDAR=US&amp;VAR:SYMBOL=N0098510&amp;VAR:INDEX=0"}</definedName>
    <definedName name="_5582__FDSAUDITLINK__" localSheetId="6" hidden="1">{"fdsup://directions/FAT Viewer?action=UPDATE&amp;creator=factset&amp;DYN_ARGS=TRUE&amp;DOC_NAME=FAT:FQL_AUDITING_CLIENT_TEMPLATE.FAT&amp;display_string=Audit&amp;VAR:KEY=XITKNIBMVM&amp;VAR:QUERY=RkZfRUJJVERBX0lCKCdMVE1TJyw0MDEzMSk=&amp;WINDOW=FIRST_POPUP&amp;HEIGHT=450&amp;WIDTH=450&amp;START_MA","XIMIZED=FALSE&amp;VAR:CALENDAR=US&amp;VAR:SYMBOL=N0098510&amp;VAR:INDEX=0"}</definedName>
    <definedName name="_5582__FDSAUDITLINK__" hidden="1">{"fdsup://directions/FAT Viewer?action=UPDATE&amp;creator=factset&amp;DYN_ARGS=TRUE&amp;DOC_NAME=FAT:FQL_AUDITING_CLIENT_TEMPLATE.FAT&amp;display_string=Audit&amp;VAR:KEY=XITKNIBMVM&amp;VAR:QUERY=RkZfRUJJVERBX0lCKCdMVE1TJyw0MDEzMSk=&amp;WINDOW=FIRST_POPUP&amp;HEIGHT=450&amp;WIDTH=450&amp;START_MA","XIMIZED=FALSE&amp;VAR:CALENDAR=US&amp;VAR:SYMBOL=N0098510&amp;VAR:INDEX=0"}</definedName>
    <definedName name="_5583__FDSAUDITLINK__" localSheetId="6" hidden="1">{"fdsup://directions/FAT Viewer?action=UPDATE&amp;creator=factset&amp;DYN_ARGS=TRUE&amp;DOC_NAME=FAT:FQL_AUDITING_CLIENT_TEMPLATE.FAT&amp;display_string=Audit&amp;VAR:KEY=LCVSNGJKPO&amp;VAR:QUERY=RkZfRUJJVERBX0lCKCdMVE1TJyw0MDEzMCk=&amp;WINDOW=FIRST_POPUP&amp;HEIGHT=450&amp;WIDTH=450&amp;START_MA","XIMIZED=FALSE&amp;VAR:CALENDAR=US&amp;VAR:SYMBOL=N0098510&amp;VAR:INDEX=0"}</definedName>
    <definedName name="_5583__FDSAUDITLINK__" hidden="1">{"fdsup://directions/FAT Viewer?action=UPDATE&amp;creator=factset&amp;DYN_ARGS=TRUE&amp;DOC_NAME=FAT:FQL_AUDITING_CLIENT_TEMPLATE.FAT&amp;display_string=Audit&amp;VAR:KEY=LCVSNGJKPO&amp;VAR:QUERY=RkZfRUJJVERBX0lCKCdMVE1TJyw0MDEzMCk=&amp;WINDOW=FIRST_POPUP&amp;HEIGHT=450&amp;WIDTH=450&amp;START_MA","XIMIZED=FALSE&amp;VAR:CALENDAR=US&amp;VAR:SYMBOL=N0098510&amp;VAR:INDEX=0"}</definedName>
    <definedName name="_5584__FDSAUDITLINK__" localSheetId="6" hidden="1">{"fdsup://directions/FAT Viewer?action=UPDATE&amp;creator=factset&amp;DYN_ARGS=TRUE&amp;DOC_NAME=FAT:FQL_AUDITING_CLIENT_TEMPLATE.FAT&amp;display_string=Audit&amp;VAR:KEY=ZUHQHSJATG&amp;VAR:QUERY=RkZfRUJJVERBX0lCKCdMVE1TJyw0MDEyOSk=&amp;WINDOW=FIRST_POPUP&amp;HEIGHT=450&amp;WIDTH=450&amp;START_MA","XIMIZED=FALSE&amp;VAR:CALENDAR=US&amp;VAR:SYMBOL=N0098510&amp;VAR:INDEX=0"}</definedName>
    <definedName name="_5584__FDSAUDITLINK__" hidden="1">{"fdsup://directions/FAT Viewer?action=UPDATE&amp;creator=factset&amp;DYN_ARGS=TRUE&amp;DOC_NAME=FAT:FQL_AUDITING_CLIENT_TEMPLATE.FAT&amp;display_string=Audit&amp;VAR:KEY=ZUHQHSJATG&amp;VAR:QUERY=RkZfRUJJVERBX0lCKCdMVE1TJyw0MDEyOSk=&amp;WINDOW=FIRST_POPUP&amp;HEIGHT=450&amp;WIDTH=450&amp;START_MA","XIMIZED=FALSE&amp;VAR:CALENDAR=US&amp;VAR:SYMBOL=N0098510&amp;VAR:INDEX=0"}</definedName>
    <definedName name="_5585__FDSAUDITLINK__" localSheetId="6" hidden="1">{"fdsup://directions/FAT Viewer?action=UPDATE&amp;creator=factset&amp;DYN_ARGS=TRUE&amp;DOC_NAME=FAT:FQL_AUDITING_CLIENT_TEMPLATE.FAT&amp;display_string=Audit&amp;VAR:KEY=FADADGDKDC&amp;VAR:QUERY=RkZfRUJJVERBX0lCKCdMVE1TJyw0MDEyOCk=&amp;WINDOW=FIRST_POPUP&amp;HEIGHT=450&amp;WIDTH=450&amp;START_MA","XIMIZED=FALSE&amp;VAR:CALENDAR=US&amp;VAR:SYMBOL=N0098510&amp;VAR:INDEX=0"}</definedName>
    <definedName name="_5585__FDSAUDITLINK__" hidden="1">{"fdsup://directions/FAT Viewer?action=UPDATE&amp;creator=factset&amp;DYN_ARGS=TRUE&amp;DOC_NAME=FAT:FQL_AUDITING_CLIENT_TEMPLATE.FAT&amp;display_string=Audit&amp;VAR:KEY=FADADGDKDC&amp;VAR:QUERY=RkZfRUJJVERBX0lCKCdMVE1TJyw0MDEyOCk=&amp;WINDOW=FIRST_POPUP&amp;HEIGHT=450&amp;WIDTH=450&amp;START_MA","XIMIZED=FALSE&amp;VAR:CALENDAR=US&amp;VAR:SYMBOL=N0098510&amp;VAR:INDEX=0"}</definedName>
    <definedName name="_5586__FDSAUDITLINK__" localSheetId="6" hidden="1">{"fdsup://directions/FAT Viewer?action=UPDATE&amp;creator=factset&amp;DYN_ARGS=TRUE&amp;DOC_NAME=FAT:FQL_AUDITING_CLIENT_TEMPLATE.FAT&amp;display_string=Audit&amp;VAR:KEY=XKDWDIBGZC&amp;VAR:QUERY=RkZfRUJJVERBX0lCKCdMVE1TJyw0MDEyNyk=&amp;WINDOW=FIRST_POPUP&amp;HEIGHT=450&amp;WIDTH=450&amp;START_MA","XIMIZED=FALSE&amp;VAR:CALENDAR=US&amp;VAR:SYMBOL=N0098510&amp;VAR:INDEX=0"}</definedName>
    <definedName name="_5586__FDSAUDITLINK__" hidden="1">{"fdsup://directions/FAT Viewer?action=UPDATE&amp;creator=factset&amp;DYN_ARGS=TRUE&amp;DOC_NAME=FAT:FQL_AUDITING_CLIENT_TEMPLATE.FAT&amp;display_string=Audit&amp;VAR:KEY=XKDWDIBGZC&amp;VAR:QUERY=RkZfRUJJVERBX0lCKCdMVE1TJyw0MDEyNyk=&amp;WINDOW=FIRST_POPUP&amp;HEIGHT=450&amp;WIDTH=450&amp;START_MA","XIMIZED=FALSE&amp;VAR:CALENDAR=US&amp;VAR:SYMBOL=N0098510&amp;VAR:INDEX=0"}</definedName>
    <definedName name="_5587__FDSAUDITLINK__" localSheetId="6" hidden="1">{"fdsup://directions/FAT Viewer?action=UPDATE&amp;creator=factset&amp;DYN_ARGS=TRUE&amp;DOC_NAME=FAT:FQL_AUDITING_CLIENT_TEMPLATE.FAT&amp;display_string=Audit&amp;VAR:KEY=JMNKHCNUTC&amp;VAR:QUERY=RkZfRUJJVERBX0lCKCdMVE1TJyw0MDEyNik=&amp;WINDOW=FIRST_POPUP&amp;HEIGHT=450&amp;WIDTH=450&amp;START_MA","XIMIZED=FALSE&amp;VAR:CALENDAR=US&amp;VAR:SYMBOL=N0098510&amp;VAR:INDEX=0"}</definedName>
    <definedName name="_5587__FDSAUDITLINK__" hidden="1">{"fdsup://directions/FAT Viewer?action=UPDATE&amp;creator=factset&amp;DYN_ARGS=TRUE&amp;DOC_NAME=FAT:FQL_AUDITING_CLIENT_TEMPLATE.FAT&amp;display_string=Audit&amp;VAR:KEY=JMNKHCNUTC&amp;VAR:QUERY=RkZfRUJJVERBX0lCKCdMVE1TJyw0MDEyNik=&amp;WINDOW=FIRST_POPUP&amp;HEIGHT=450&amp;WIDTH=450&amp;START_MA","XIMIZED=FALSE&amp;VAR:CALENDAR=US&amp;VAR:SYMBOL=N0098510&amp;VAR:INDEX=0"}</definedName>
    <definedName name="_5588__FDSAUDITLINK__" localSheetId="6" hidden="1">{"fdsup://directions/FAT Viewer?action=UPDATE&amp;creator=factset&amp;DYN_ARGS=TRUE&amp;DOC_NAME=FAT:FQL_AUDITING_CLIENT_TEMPLATE.FAT&amp;display_string=Audit&amp;VAR:KEY=BYBENALUFU&amp;VAR:QUERY=RkZfRUJJVERBX0lCKCdMVE1TJyw0MDEyNSk=&amp;WINDOW=FIRST_POPUP&amp;HEIGHT=450&amp;WIDTH=450&amp;START_MA","XIMIZED=FALSE&amp;VAR:CALENDAR=US&amp;VAR:SYMBOL=N0098510&amp;VAR:INDEX=0"}</definedName>
    <definedName name="_5588__FDSAUDITLINK__" hidden="1">{"fdsup://directions/FAT Viewer?action=UPDATE&amp;creator=factset&amp;DYN_ARGS=TRUE&amp;DOC_NAME=FAT:FQL_AUDITING_CLIENT_TEMPLATE.FAT&amp;display_string=Audit&amp;VAR:KEY=BYBENALUFU&amp;VAR:QUERY=RkZfRUJJVERBX0lCKCdMVE1TJyw0MDEyNSk=&amp;WINDOW=FIRST_POPUP&amp;HEIGHT=450&amp;WIDTH=450&amp;START_MA","XIMIZED=FALSE&amp;VAR:CALENDAR=US&amp;VAR:SYMBOL=N0098510&amp;VAR:INDEX=0"}</definedName>
    <definedName name="_5589__FDSAUDITLINK__" localSheetId="6" hidden="1">{"fdsup://directions/FAT Viewer?action=UPDATE&amp;creator=factset&amp;DYN_ARGS=TRUE&amp;DOC_NAME=FAT:FQL_AUDITING_CLIENT_TEMPLATE.FAT&amp;display_string=Audit&amp;VAR:KEY=ZUBOXATSPQ&amp;VAR:QUERY=RkZfRUJJVERBX0lCKCdMVE1TJyw0MDEyNCk=&amp;WINDOW=FIRST_POPUP&amp;HEIGHT=450&amp;WIDTH=450&amp;START_MA","XIMIZED=FALSE&amp;VAR:CALENDAR=US&amp;VAR:SYMBOL=N0098510&amp;VAR:INDEX=0"}</definedName>
    <definedName name="_5589__FDSAUDITLINK__" hidden="1">{"fdsup://directions/FAT Viewer?action=UPDATE&amp;creator=factset&amp;DYN_ARGS=TRUE&amp;DOC_NAME=FAT:FQL_AUDITING_CLIENT_TEMPLATE.FAT&amp;display_string=Audit&amp;VAR:KEY=ZUBOXATSPQ&amp;VAR:QUERY=RkZfRUJJVERBX0lCKCdMVE1TJyw0MDEyNCk=&amp;WINDOW=FIRST_POPUP&amp;HEIGHT=450&amp;WIDTH=450&amp;START_MA","XIMIZED=FALSE&amp;VAR:CALENDAR=US&amp;VAR:SYMBOL=N0098510&amp;VAR:INDEX=0"}</definedName>
    <definedName name="_559__FDSAUDITLINK__" localSheetId="6" hidden="1">{"fdsup://directions/FAT%20Viewer?VAR:PED=LTM&amp;VAR:AUDIT_MODE=SUMMARY&amp;VAR:PERIOD=FIXED&amp;VAR:AUDIT_ID=00000117&amp;VAR:DATE=20080811&amp;action=UPDATE&amp;creator=factset&amp;DOC_NAME=FAT:FMA_audit_SUMMARY.fat&amp;DISPLAY_STRING=Display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9__FDSAUDITLINK__" hidden="1">{"fdsup://directions/FAT%20Viewer?VAR:PED=LTM&amp;VAR:AUDIT_MODE=SUMMARY&amp;VAR:PERIOD=FIXED&amp;VAR:AUDIT_ID=00000117&amp;VAR:DATE=20080811&amp;action=UPDATE&amp;creator=factset&amp;DOC_NAME=FAT:FMA_audit_SUMMARY.fat&amp;DISPLAY_STRING=Display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590__FDSAUDITLINK__" localSheetId="6" hidden="1">{"fdsup://directions/FAT Viewer?action=UPDATE&amp;creator=factset&amp;DYN_ARGS=TRUE&amp;DOC_NAME=FAT:FQL_AUDITING_CLIENT_TEMPLATE.FAT&amp;display_string=Audit&amp;VAR:KEY=JOPEBUFGRC&amp;VAR:QUERY=RkZfRUJJVERBX0lCKCdMVE1TJyw0MDEyMyk=&amp;WINDOW=FIRST_POPUP&amp;HEIGHT=450&amp;WIDTH=450&amp;START_MA","XIMIZED=FALSE&amp;VAR:CALENDAR=US&amp;VAR:SYMBOL=N0098510&amp;VAR:INDEX=0"}</definedName>
    <definedName name="_5590__FDSAUDITLINK__" hidden="1">{"fdsup://directions/FAT Viewer?action=UPDATE&amp;creator=factset&amp;DYN_ARGS=TRUE&amp;DOC_NAME=FAT:FQL_AUDITING_CLIENT_TEMPLATE.FAT&amp;display_string=Audit&amp;VAR:KEY=JOPEBUFGRC&amp;VAR:QUERY=RkZfRUJJVERBX0lCKCdMVE1TJyw0MDEyMyk=&amp;WINDOW=FIRST_POPUP&amp;HEIGHT=450&amp;WIDTH=450&amp;START_MA","XIMIZED=FALSE&amp;VAR:CALENDAR=US&amp;VAR:SYMBOL=N0098510&amp;VAR:INDEX=0"}</definedName>
    <definedName name="_5591__FDSAUDITLINK__" localSheetId="6" hidden="1">{"fdsup://directions/FAT Viewer?action=UPDATE&amp;creator=factset&amp;DYN_ARGS=TRUE&amp;DOC_NAME=FAT:FQL_AUDITING_CLIENT_TEMPLATE.FAT&amp;display_string=Audit&amp;VAR:KEY=HAXONAXSFC&amp;VAR:QUERY=RkZfRUJJVERBX0lCKCdMVE1TJyw0MDEyMik=&amp;WINDOW=FIRST_POPUP&amp;HEIGHT=450&amp;WIDTH=450&amp;START_MA","XIMIZED=FALSE&amp;VAR:CALENDAR=US&amp;VAR:SYMBOL=N0098510&amp;VAR:INDEX=0"}</definedName>
    <definedName name="_5591__FDSAUDITLINK__" hidden="1">{"fdsup://directions/FAT Viewer?action=UPDATE&amp;creator=factset&amp;DYN_ARGS=TRUE&amp;DOC_NAME=FAT:FQL_AUDITING_CLIENT_TEMPLATE.FAT&amp;display_string=Audit&amp;VAR:KEY=HAXONAXSFC&amp;VAR:QUERY=RkZfRUJJVERBX0lCKCdMVE1TJyw0MDEyMik=&amp;WINDOW=FIRST_POPUP&amp;HEIGHT=450&amp;WIDTH=450&amp;START_MA","XIMIZED=FALSE&amp;VAR:CALENDAR=US&amp;VAR:SYMBOL=N0098510&amp;VAR:INDEX=0"}</definedName>
    <definedName name="_5592__FDSAUDITLINK__" localSheetId="6" hidden="1">{"fdsup://directions/FAT Viewer?action=UPDATE&amp;creator=factset&amp;DYN_ARGS=TRUE&amp;DOC_NAME=FAT:FQL_AUDITING_CLIENT_TEMPLATE.FAT&amp;display_string=Audit&amp;VAR:KEY=DOZUZQDENQ&amp;VAR:QUERY=RkZfRUJJVERBX0lCKCdMVE1TJyw0MDEyMSk=&amp;WINDOW=FIRST_POPUP&amp;HEIGHT=450&amp;WIDTH=450&amp;START_MA","XIMIZED=FALSE&amp;VAR:CALENDAR=US&amp;VAR:SYMBOL=N0098510&amp;VAR:INDEX=0"}</definedName>
    <definedName name="_5592__FDSAUDITLINK__" hidden="1">{"fdsup://directions/FAT Viewer?action=UPDATE&amp;creator=factset&amp;DYN_ARGS=TRUE&amp;DOC_NAME=FAT:FQL_AUDITING_CLIENT_TEMPLATE.FAT&amp;display_string=Audit&amp;VAR:KEY=DOZUZQDENQ&amp;VAR:QUERY=RkZfRUJJVERBX0lCKCdMVE1TJyw0MDEyMSk=&amp;WINDOW=FIRST_POPUP&amp;HEIGHT=450&amp;WIDTH=450&amp;START_MA","XIMIZED=FALSE&amp;VAR:CALENDAR=US&amp;VAR:SYMBOL=N0098510&amp;VAR:INDEX=0"}</definedName>
    <definedName name="_5593__FDSAUDITLINK__" localSheetId="6" hidden="1">{"fdsup://directions/FAT Viewer?action=UPDATE&amp;creator=factset&amp;DYN_ARGS=TRUE&amp;DOC_NAME=FAT:FQL_AUDITING_CLIENT_TEMPLATE.FAT&amp;display_string=Audit&amp;VAR:KEY=FQRCFUJONW&amp;VAR:QUERY=RkZfRUJJVERBX0lCKCdMVE1TJyw0MDEyMCk=&amp;WINDOW=FIRST_POPUP&amp;HEIGHT=450&amp;WIDTH=450&amp;START_MA","XIMIZED=FALSE&amp;VAR:CALENDAR=US&amp;VAR:SYMBOL=N0098510&amp;VAR:INDEX=0"}</definedName>
    <definedName name="_5593__FDSAUDITLINK__" hidden="1">{"fdsup://directions/FAT Viewer?action=UPDATE&amp;creator=factset&amp;DYN_ARGS=TRUE&amp;DOC_NAME=FAT:FQL_AUDITING_CLIENT_TEMPLATE.FAT&amp;display_string=Audit&amp;VAR:KEY=FQRCFUJONW&amp;VAR:QUERY=RkZfRUJJVERBX0lCKCdMVE1TJyw0MDEyMCk=&amp;WINDOW=FIRST_POPUP&amp;HEIGHT=450&amp;WIDTH=450&amp;START_MA","XIMIZED=FALSE&amp;VAR:CALENDAR=US&amp;VAR:SYMBOL=N0098510&amp;VAR:INDEX=0"}</definedName>
    <definedName name="_5594__FDSAUDITLINK__" localSheetId="6" hidden="1">{"fdsup://directions/FAT Viewer?action=UPDATE&amp;creator=factset&amp;DYN_ARGS=TRUE&amp;DOC_NAME=FAT:FQL_AUDITING_CLIENT_TEMPLATE.FAT&amp;display_string=Audit&amp;VAR:KEY=XOTQPYHONS&amp;VAR:QUERY=RkZfRUJJVERBX0lCKCdMVE1TJyw0MDExOSk=&amp;WINDOW=FIRST_POPUP&amp;HEIGHT=450&amp;WIDTH=450&amp;START_MA","XIMIZED=FALSE&amp;VAR:CALENDAR=US&amp;VAR:SYMBOL=N0098510&amp;VAR:INDEX=0"}</definedName>
    <definedName name="_5594__FDSAUDITLINK__" hidden="1">{"fdsup://directions/FAT Viewer?action=UPDATE&amp;creator=factset&amp;DYN_ARGS=TRUE&amp;DOC_NAME=FAT:FQL_AUDITING_CLIENT_TEMPLATE.FAT&amp;display_string=Audit&amp;VAR:KEY=XOTQPYHONS&amp;VAR:QUERY=RkZfRUJJVERBX0lCKCdMVE1TJyw0MDExOSk=&amp;WINDOW=FIRST_POPUP&amp;HEIGHT=450&amp;WIDTH=450&amp;START_MA","XIMIZED=FALSE&amp;VAR:CALENDAR=US&amp;VAR:SYMBOL=N0098510&amp;VAR:INDEX=0"}</definedName>
    <definedName name="_5595__FDSAUDITLINK__" localSheetId="6" hidden="1">{"fdsup://directions/FAT Viewer?action=UPDATE&amp;creator=factset&amp;DYN_ARGS=TRUE&amp;DOC_NAME=FAT:FQL_AUDITING_CLIENT_TEMPLATE.FAT&amp;display_string=Audit&amp;VAR:KEY=DULWFSNYNY&amp;VAR:QUERY=RkZfRUJJVERBX0lCKCdMVE1TJyw0MDExOCk=&amp;WINDOW=FIRST_POPUP&amp;HEIGHT=450&amp;WIDTH=450&amp;START_MA","XIMIZED=FALSE&amp;VAR:CALENDAR=US&amp;VAR:SYMBOL=N0098510&amp;VAR:INDEX=0"}</definedName>
    <definedName name="_5595__FDSAUDITLINK__" hidden="1">{"fdsup://directions/FAT Viewer?action=UPDATE&amp;creator=factset&amp;DYN_ARGS=TRUE&amp;DOC_NAME=FAT:FQL_AUDITING_CLIENT_TEMPLATE.FAT&amp;display_string=Audit&amp;VAR:KEY=DULWFSNYNY&amp;VAR:QUERY=RkZfRUJJVERBX0lCKCdMVE1TJyw0MDExOCk=&amp;WINDOW=FIRST_POPUP&amp;HEIGHT=450&amp;WIDTH=450&amp;START_MA","XIMIZED=FALSE&amp;VAR:CALENDAR=US&amp;VAR:SYMBOL=N0098510&amp;VAR:INDEX=0"}</definedName>
    <definedName name="_5596__FDSAUDITLINK__" localSheetId="6" hidden="1">{"fdsup://directions/FAT Viewer?action=UPDATE&amp;creator=factset&amp;DYN_ARGS=TRUE&amp;DOC_NAME=FAT:FQL_AUDITING_CLIENT_TEMPLATE.FAT&amp;display_string=Audit&amp;VAR:KEY=ZMTEFKZMJY&amp;VAR:QUERY=RkZfRUJJVERBX0lCKCdMVE1TJyw0MDExNyk=&amp;WINDOW=FIRST_POPUP&amp;HEIGHT=450&amp;WIDTH=450&amp;START_MA","XIMIZED=FALSE&amp;VAR:CALENDAR=US&amp;VAR:SYMBOL=N0098510&amp;VAR:INDEX=0"}</definedName>
    <definedName name="_5596__FDSAUDITLINK__" hidden="1">{"fdsup://directions/FAT Viewer?action=UPDATE&amp;creator=factset&amp;DYN_ARGS=TRUE&amp;DOC_NAME=FAT:FQL_AUDITING_CLIENT_TEMPLATE.FAT&amp;display_string=Audit&amp;VAR:KEY=ZMTEFKZMJY&amp;VAR:QUERY=RkZfRUJJVERBX0lCKCdMVE1TJyw0MDExNyk=&amp;WINDOW=FIRST_POPUP&amp;HEIGHT=450&amp;WIDTH=450&amp;START_MA","XIMIZED=FALSE&amp;VAR:CALENDAR=US&amp;VAR:SYMBOL=N0098510&amp;VAR:INDEX=0"}</definedName>
    <definedName name="_5597__FDSAUDITLINK__" localSheetId="6" hidden="1">{"fdsup://directions/FAT Viewer?action=UPDATE&amp;creator=factset&amp;DYN_ARGS=TRUE&amp;DOC_NAME=FAT:FQL_AUDITING_CLIENT_TEMPLATE.FAT&amp;display_string=Audit&amp;VAR:KEY=HQJSLYZIRG&amp;VAR:QUERY=RkZfRUJJVERBX0lCKCdMVE1TJyw0MDExNik=&amp;WINDOW=FIRST_POPUP&amp;HEIGHT=450&amp;WIDTH=450&amp;START_MA","XIMIZED=FALSE&amp;VAR:CALENDAR=US&amp;VAR:SYMBOL=N0098510&amp;VAR:INDEX=0"}</definedName>
    <definedName name="_5597__FDSAUDITLINK__" hidden="1">{"fdsup://directions/FAT Viewer?action=UPDATE&amp;creator=factset&amp;DYN_ARGS=TRUE&amp;DOC_NAME=FAT:FQL_AUDITING_CLIENT_TEMPLATE.FAT&amp;display_string=Audit&amp;VAR:KEY=HQJSLYZIRG&amp;VAR:QUERY=RkZfRUJJVERBX0lCKCdMVE1TJyw0MDExNik=&amp;WINDOW=FIRST_POPUP&amp;HEIGHT=450&amp;WIDTH=450&amp;START_MA","XIMIZED=FALSE&amp;VAR:CALENDAR=US&amp;VAR:SYMBOL=N0098510&amp;VAR:INDEX=0"}</definedName>
    <definedName name="_5598__FDSAUDITLINK__" localSheetId="6" hidden="1">{"fdsup://directions/FAT Viewer?action=UPDATE&amp;creator=factset&amp;DYN_ARGS=TRUE&amp;DOC_NAME=FAT:FQL_AUDITING_CLIENT_TEMPLATE.FAT&amp;display_string=Audit&amp;VAR:KEY=TEHORYNMDS&amp;VAR:QUERY=RkZfRUJJVERBX0lCKCdMVE1TJyw0MDExNSk=&amp;WINDOW=FIRST_POPUP&amp;HEIGHT=450&amp;WIDTH=450&amp;START_MA","XIMIZED=FALSE&amp;VAR:CALENDAR=US&amp;VAR:SYMBOL=N0098510&amp;VAR:INDEX=0"}</definedName>
    <definedName name="_5598__FDSAUDITLINK__" hidden="1">{"fdsup://directions/FAT Viewer?action=UPDATE&amp;creator=factset&amp;DYN_ARGS=TRUE&amp;DOC_NAME=FAT:FQL_AUDITING_CLIENT_TEMPLATE.FAT&amp;display_string=Audit&amp;VAR:KEY=TEHORYNMDS&amp;VAR:QUERY=RkZfRUJJVERBX0lCKCdMVE1TJyw0MDExNSk=&amp;WINDOW=FIRST_POPUP&amp;HEIGHT=450&amp;WIDTH=450&amp;START_MA","XIMIZED=FALSE&amp;VAR:CALENDAR=US&amp;VAR:SYMBOL=N0098510&amp;VAR:INDEX=0"}</definedName>
    <definedName name="_5599__FDSAUDITLINK__" localSheetId="6" hidden="1">{"fdsup://directions/FAT Viewer?action=UPDATE&amp;creator=factset&amp;DYN_ARGS=TRUE&amp;DOC_NAME=FAT:FQL_AUDITING_CLIENT_TEMPLATE.FAT&amp;display_string=Audit&amp;VAR:KEY=TSZUHUHQRC&amp;VAR:QUERY=RkZfRUJJVERBX0lCKCdMVE1TJyw0MDExNCk=&amp;WINDOW=FIRST_POPUP&amp;HEIGHT=450&amp;WIDTH=450&amp;START_MA","XIMIZED=FALSE&amp;VAR:CALENDAR=US&amp;VAR:SYMBOL=N0098510&amp;VAR:INDEX=0"}</definedName>
    <definedName name="_5599__FDSAUDITLINK__" hidden="1">{"fdsup://directions/FAT Viewer?action=UPDATE&amp;creator=factset&amp;DYN_ARGS=TRUE&amp;DOC_NAME=FAT:FQL_AUDITING_CLIENT_TEMPLATE.FAT&amp;display_string=Audit&amp;VAR:KEY=TSZUHUHQRC&amp;VAR:QUERY=RkZfRUJJVERBX0lCKCdMVE1TJyw0MDExNCk=&amp;WINDOW=FIRST_POPUP&amp;HEIGHT=450&amp;WIDTH=450&amp;START_MA","XIMIZED=FALSE&amp;VAR:CALENDAR=US&amp;VAR:SYMBOL=N0098510&amp;VAR:INDEX=0"}</definedName>
    <definedName name="_56__FDSAUDITLINK__" localSheetId="6" hidden="1">{"fdsup://directions/FAT Viewer?action=UPDATE&amp;creator=factset&amp;DYN_ARGS=TRUE&amp;DOC_NAME=FAT:FQL_AUDITING_CLIENT_TEMPLATE.FAT&amp;display_string=Audit&amp;VAR:KEY=NGTSXQPINE&amp;VAR:QUERY=QVZHKENTRl9ORVRfSU5DKEFOTiwwRlksLTZGWSxZKSkgLyAoQVZHKENTRl9BU1NFVFMoQU5OLDBGWSwtNkZZL","EZZKSkgLSBBVkcoQ1NGX0lOVEFORyhBTk4sMCwtNkZZLEZZKSkp&amp;WINDOW=FIRST_POPUP&amp;HEIGHT=450&amp;WIDTH=450&amp;START_MAXIMIZED=FALSE&amp;VAR:CALENDAR=US&amp;VAR:SYMBOL=SWFT"}</definedName>
    <definedName name="_56__FDSAUDITLINK__" hidden="1">{"fdsup://directions/FAT Viewer?action=UPDATE&amp;creator=factset&amp;DYN_ARGS=TRUE&amp;DOC_NAME=FAT:FQL_AUDITING_CLIENT_TEMPLATE.FAT&amp;display_string=Audit&amp;VAR:KEY=NGTSXQPINE&amp;VAR:QUERY=QVZHKENTRl9ORVRfSU5DKEFOTiwwRlksLTZGWSxZKSkgLyAoQVZHKENTRl9BU1NFVFMoQU5OLDBGWSwtNkZZL","EZZKSkgLSBBVkcoQ1NGX0lOVEFORyhBTk4sMCwtNkZZLEZZKSkp&amp;WINDOW=FIRST_POPUP&amp;HEIGHT=450&amp;WIDTH=450&amp;START_MAXIMIZED=FALSE&amp;VAR:CALENDAR=US&amp;VAR:SYMBOL=SWFT"}</definedName>
    <definedName name="_560__FDSAUDITLINK__" localSheetId="6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0__FDSAUDITLINK__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00__FDSAUDITLINK__" localSheetId="6" hidden="1">{"fdsup://directions/FAT Viewer?action=UPDATE&amp;creator=factset&amp;DYN_ARGS=TRUE&amp;DOC_NAME=FAT:FQL_AUDITING_CLIENT_TEMPLATE.FAT&amp;display_string=Audit&amp;VAR:KEY=RSFSVADQXU&amp;VAR:QUERY=RkZfRUJJVERBX0lCKCdMVE1TJyw0MDExMyk=&amp;WINDOW=FIRST_POPUP&amp;HEIGHT=450&amp;WIDTH=450&amp;START_MA","XIMIZED=FALSE&amp;VAR:CALENDAR=US&amp;VAR:SYMBOL=N0098510&amp;VAR:INDEX=0"}</definedName>
    <definedName name="_5600__FDSAUDITLINK__" hidden="1">{"fdsup://directions/FAT Viewer?action=UPDATE&amp;creator=factset&amp;DYN_ARGS=TRUE&amp;DOC_NAME=FAT:FQL_AUDITING_CLIENT_TEMPLATE.FAT&amp;display_string=Audit&amp;VAR:KEY=RSFSVADQXU&amp;VAR:QUERY=RkZfRUJJVERBX0lCKCdMVE1TJyw0MDExMyk=&amp;WINDOW=FIRST_POPUP&amp;HEIGHT=450&amp;WIDTH=450&amp;START_MA","XIMIZED=FALSE&amp;VAR:CALENDAR=US&amp;VAR:SYMBOL=N0098510&amp;VAR:INDEX=0"}</definedName>
    <definedName name="_5601__FDSAUDITLINK__" localSheetId="6" hidden="1">{"fdsup://directions/FAT Viewer?action=UPDATE&amp;creator=factset&amp;DYN_ARGS=TRUE&amp;DOC_NAME=FAT:FQL_AUDITING_CLIENT_TEMPLATE.FAT&amp;display_string=Audit&amp;VAR:KEY=DMJMPWVMXE&amp;VAR:QUERY=RkZfRUJJVERBX0lCKCdMVE1TJyw0MDExMik=&amp;WINDOW=FIRST_POPUP&amp;HEIGHT=450&amp;WIDTH=450&amp;START_MA","XIMIZED=FALSE&amp;VAR:CALENDAR=US&amp;VAR:SYMBOL=N0098510&amp;VAR:INDEX=0"}</definedName>
    <definedName name="_5601__FDSAUDITLINK__" hidden="1">{"fdsup://directions/FAT Viewer?action=UPDATE&amp;creator=factset&amp;DYN_ARGS=TRUE&amp;DOC_NAME=FAT:FQL_AUDITING_CLIENT_TEMPLATE.FAT&amp;display_string=Audit&amp;VAR:KEY=DMJMPWVMXE&amp;VAR:QUERY=RkZfRUJJVERBX0lCKCdMVE1TJyw0MDExMik=&amp;WINDOW=FIRST_POPUP&amp;HEIGHT=450&amp;WIDTH=450&amp;START_MA","XIMIZED=FALSE&amp;VAR:CALENDAR=US&amp;VAR:SYMBOL=N0098510&amp;VAR:INDEX=0"}</definedName>
    <definedName name="_5602__FDSAUDITLINK__" localSheetId="6" hidden="1">{"fdsup://directions/FAT Viewer?action=UPDATE&amp;creator=factset&amp;DYN_ARGS=TRUE&amp;DOC_NAME=FAT:FQL_AUDITING_CLIENT_TEMPLATE.FAT&amp;display_string=Audit&amp;VAR:KEY=ZCPOHIFUNY&amp;VAR:QUERY=RkZfRUJJVERBX0lCKCdMVE1TJyw0MDExMSk=&amp;WINDOW=FIRST_POPUP&amp;HEIGHT=450&amp;WIDTH=450&amp;START_MA","XIMIZED=FALSE&amp;VAR:CALENDAR=US&amp;VAR:SYMBOL=N0098510&amp;VAR:INDEX=0"}</definedName>
    <definedName name="_5602__FDSAUDITLINK__" hidden="1">{"fdsup://directions/FAT Viewer?action=UPDATE&amp;creator=factset&amp;DYN_ARGS=TRUE&amp;DOC_NAME=FAT:FQL_AUDITING_CLIENT_TEMPLATE.FAT&amp;display_string=Audit&amp;VAR:KEY=ZCPOHIFUNY&amp;VAR:QUERY=RkZfRUJJVERBX0lCKCdMVE1TJyw0MDExMSk=&amp;WINDOW=FIRST_POPUP&amp;HEIGHT=450&amp;WIDTH=450&amp;START_MA","XIMIZED=FALSE&amp;VAR:CALENDAR=US&amp;VAR:SYMBOL=N0098510&amp;VAR:INDEX=0"}</definedName>
    <definedName name="_5603__FDSAUDITLINK__" localSheetId="6" hidden="1">{"fdsup://directions/FAT Viewer?action=UPDATE&amp;creator=factset&amp;DYN_ARGS=TRUE&amp;DOC_NAME=FAT:FQL_AUDITING_CLIENT_TEMPLATE.FAT&amp;display_string=Audit&amp;VAR:KEY=TYTCNQHINA&amp;VAR:QUERY=RkZfRUJJVERBX0lCKCdMVE1TJyw0MDExMCk=&amp;WINDOW=FIRST_POPUP&amp;HEIGHT=450&amp;WIDTH=450&amp;START_MA","XIMIZED=FALSE&amp;VAR:CALENDAR=US&amp;VAR:SYMBOL=N0098510&amp;VAR:INDEX=0"}</definedName>
    <definedName name="_5603__FDSAUDITLINK__" hidden="1">{"fdsup://directions/FAT Viewer?action=UPDATE&amp;creator=factset&amp;DYN_ARGS=TRUE&amp;DOC_NAME=FAT:FQL_AUDITING_CLIENT_TEMPLATE.FAT&amp;display_string=Audit&amp;VAR:KEY=TYTCNQHINA&amp;VAR:QUERY=RkZfRUJJVERBX0lCKCdMVE1TJyw0MDExMCk=&amp;WINDOW=FIRST_POPUP&amp;HEIGHT=450&amp;WIDTH=450&amp;START_MA","XIMIZED=FALSE&amp;VAR:CALENDAR=US&amp;VAR:SYMBOL=N0098510&amp;VAR:INDEX=0"}</definedName>
    <definedName name="_5604__FDSAUDITLINK__" localSheetId="6" hidden="1">{"fdsup://directions/FAT Viewer?action=UPDATE&amp;creator=factset&amp;DYN_ARGS=TRUE&amp;DOC_NAME=FAT:FQL_AUDITING_CLIENT_TEMPLATE.FAT&amp;display_string=Audit&amp;VAR:KEY=PUXEPIBURO&amp;VAR:QUERY=RkZfRUJJVERBX0lCKCdMVE1TJyw0MDEwOSk=&amp;WINDOW=FIRST_POPUP&amp;HEIGHT=450&amp;WIDTH=450&amp;START_MA","XIMIZED=FALSE&amp;VAR:CALENDAR=US&amp;VAR:SYMBOL=N0098510&amp;VAR:INDEX=0"}</definedName>
    <definedName name="_5604__FDSAUDITLINK__" hidden="1">{"fdsup://directions/FAT Viewer?action=UPDATE&amp;creator=factset&amp;DYN_ARGS=TRUE&amp;DOC_NAME=FAT:FQL_AUDITING_CLIENT_TEMPLATE.FAT&amp;display_string=Audit&amp;VAR:KEY=PUXEPIBURO&amp;VAR:QUERY=RkZfRUJJVERBX0lCKCdMVE1TJyw0MDEwOSk=&amp;WINDOW=FIRST_POPUP&amp;HEIGHT=450&amp;WIDTH=450&amp;START_MA","XIMIZED=FALSE&amp;VAR:CALENDAR=US&amp;VAR:SYMBOL=N0098510&amp;VAR:INDEX=0"}</definedName>
    <definedName name="_5605__FDSAUDITLINK__" localSheetId="6" hidden="1">{"fdsup://directions/FAT Viewer?action=UPDATE&amp;creator=factset&amp;DYN_ARGS=TRUE&amp;DOC_NAME=FAT:FQL_AUDITING_CLIENT_TEMPLATE.FAT&amp;display_string=Audit&amp;VAR:KEY=BITSJCVQDG&amp;VAR:QUERY=RkZfRUJJVERBX0lCKCdMVE1TJyw0MDEwOCk=&amp;WINDOW=FIRST_POPUP&amp;HEIGHT=450&amp;WIDTH=450&amp;START_MA","XIMIZED=FALSE&amp;VAR:CALENDAR=US&amp;VAR:SYMBOL=N0098510&amp;VAR:INDEX=0"}</definedName>
    <definedName name="_5605__FDSAUDITLINK__" hidden="1">{"fdsup://directions/FAT Viewer?action=UPDATE&amp;creator=factset&amp;DYN_ARGS=TRUE&amp;DOC_NAME=FAT:FQL_AUDITING_CLIENT_TEMPLATE.FAT&amp;display_string=Audit&amp;VAR:KEY=BITSJCVQDG&amp;VAR:QUERY=RkZfRUJJVERBX0lCKCdMVE1TJyw0MDEwOCk=&amp;WINDOW=FIRST_POPUP&amp;HEIGHT=450&amp;WIDTH=450&amp;START_MA","XIMIZED=FALSE&amp;VAR:CALENDAR=US&amp;VAR:SYMBOL=N0098510&amp;VAR:INDEX=0"}</definedName>
    <definedName name="_5606__FDSAUDITLINK__" localSheetId="6" hidden="1">{"fdsup://directions/FAT Viewer?action=UPDATE&amp;creator=factset&amp;DYN_ARGS=TRUE&amp;DOC_NAME=FAT:FQL_AUDITING_CLIENT_TEMPLATE.FAT&amp;display_string=Audit&amp;VAR:KEY=FSPUBARULC&amp;VAR:QUERY=RkZfRUJJVERBX0lCKCdMVE1TJyw0MDEwNyk=&amp;WINDOW=FIRST_POPUP&amp;HEIGHT=450&amp;WIDTH=450&amp;START_MA","XIMIZED=FALSE&amp;VAR:CALENDAR=US&amp;VAR:SYMBOL=N0098510&amp;VAR:INDEX=0"}</definedName>
    <definedName name="_5606__FDSAUDITLINK__" hidden="1">{"fdsup://directions/FAT Viewer?action=UPDATE&amp;creator=factset&amp;DYN_ARGS=TRUE&amp;DOC_NAME=FAT:FQL_AUDITING_CLIENT_TEMPLATE.FAT&amp;display_string=Audit&amp;VAR:KEY=FSPUBARULC&amp;VAR:QUERY=RkZfRUJJVERBX0lCKCdMVE1TJyw0MDEwNyk=&amp;WINDOW=FIRST_POPUP&amp;HEIGHT=450&amp;WIDTH=450&amp;START_MA","XIMIZED=FALSE&amp;VAR:CALENDAR=US&amp;VAR:SYMBOL=N0098510&amp;VAR:INDEX=0"}</definedName>
    <definedName name="_5607__FDSAUDITLINK__" localSheetId="6" hidden="1">{"fdsup://directions/FAT Viewer?action=UPDATE&amp;creator=factset&amp;DYN_ARGS=TRUE&amp;DOC_NAME=FAT:FQL_AUDITING_CLIENT_TEMPLATE.FAT&amp;display_string=Audit&amp;VAR:KEY=RWDWHERIZQ&amp;VAR:QUERY=RkZfRUJJVERBX0lCKCdMVE1TJyw0MDEwNik=&amp;WINDOW=FIRST_POPUP&amp;HEIGHT=450&amp;WIDTH=450&amp;START_MA","XIMIZED=FALSE&amp;VAR:CALENDAR=US&amp;VAR:SYMBOL=N0098510&amp;VAR:INDEX=0"}</definedName>
    <definedName name="_5607__FDSAUDITLINK__" hidden="1">{"fdsup://directions/FAT Viewer?action=UPDATE&amp;creator=factset&amp;DYN_ARGS=TRUE&amp;DOC_NAME=FAT:FQL_AUDITING_CLIENT_TEMPLATE.FAT&amp;display_string=Audit&amp;VAR:KEY=RWDWHERIZQ&amp;VAR:QUERY=RkZfRUJJVERBX0lCKCdMVE1TJyw0MDEwNik=&amp;WINDOW=FIRST_POPUP&amp;HEIGHT=450&amp;WIDTH=450&amp;START_MA","XIMIZED=FALSE&amp;VAR:CALENDAR=US&amp;VAR:SYMBOL=N0098510&amp;VAR:INDEX=0"}</definedName>
    <definedName name="_5608__FDSAUDITLINK__" localSheetId="6" hidden="1">{"fdsup://directions/FAT Viewer?action=UPDATE&amp;creator=factset&amp;DYN_ARGS=TRUE&amp;DOC_NAME=FAT:FQL_AUDITING_CLIENT_TEMPLATE.FAT&amp;display_string=Audit&amp;VAR:KEY=LEBYXQLUTU&amp;VAR:QUERY=RkZfRUJJVERBX0lCKCdMVE1TJyw0MDEwNSk=&amp;WINDOW=FIRST_POPUP&amp;HEIGHT=450&amp;WIDTH=450&amp;START_MA","XIMIZED=FALSE&amp;VAR:CALENDAR=US&amp;VAR:SYMBOL=N0098510&amp;VAR:INDEX=0"}</definedName>
    <definedName name="_5608__FDSAUDITLINK__" hidden="1">{"fdsup://directions/FAT Viewer?action=UPDATE&amp;creator=factset&amp;DYN_ARGS=TRUE&amp;DOC_NAME=FAT:FQL_AUDITING_CLIENT_TEMPLATE.FAT&amp;display_string=Audit&amp;VAR:KEY=LEBYXQLUTU&amp;VAR:QUERY=RkZfRUJJVERBX0lCKCdMVE1TJyw0MDEwNSk=&amp;WINDOW=FIRST_POPUP&amp;HEIGHT=450&amp;WIDTH=450&amp;START_MA","XIMIZED=FALSE&amp;VAR:CALENDAR=US&amp;VAR:SYMBOL=N0098510&amp;VAR:INDEX=0"}</definedName>
    <definedName name="_5609__FDSAUDITLINK__" localSheetId="6" hidden="1">{"fdsup://directions/FAT Viewer?action=UPDATE&amp;creator=factset&amp;DYN_ARGS=TRUE&amp;DOC_NAME=FAT:FQL_AUDITING_CLIENT_TEMPLATE.FAT&amp;display_string=Audit&amp;VAR:KEY=TAZGBMPQFW&amp;VAR:QUERY=RkZfRUJJVERBX0lCKCdMVE1TJyw0MDEwNCk=&amp;WINDOW=FIRST_POPUP&amp;HEIGHT=450&amp;WIDTH=450&amp;START_MA","XIMIZED=FALSE&amp;VAR:CALENDAR=US&amp;VAR:SYMBOL=N0098510&amp;VAR:INDEX=0"}</definedName>
    <definedName name="_5609__FDSAUDITLINK__" hidden="1">{"fdsup://directions/FAT Viewer?action=UPDATE&amp;creator=factset&amp;DYN_ARGS=TRUE&amp;DOC_NAME=FAT:FQL_AUDITING_CLIENT_TEMPLATE.FAT&amp;display_string=Audit&amp;VAR:KEY=TAZGBMPQFW&amp;VAR:QUERY=RkZfRUJJVERBX0lCKCdMVE1TJyw0MDEwNCk=&amp;WINDOW=FIRST_POPUP&amp;HEIGHT=450&amp;WIDTH=450&amp;START_MA","XIMIZED=FALSE&amp;VAR:CALENDAR=US&amp;VAR:SYMBOL=N0098510&amp;VAR:INDEX=0"}</definedName>
    <definedName name="_561__FDSAUDITLINK__" localSheetId="6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1__FDSAUDITLINK__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10__FDSAUDITLINK__" localSheetId="6" hidden="1">{"fdsup://directions/FAT Viewer?action=UPDATE&amp;creator=factset&amp;DYN_ARGS=TRUE&amp;DOC_NAME=FAT:FQL_AUDITING_CLIENT_TEMPLATE.FAT&amp;display_string=Audit&amp;VAR:KEY=BSPUPSRMZC&amp;VAR:QUERY=RkZfRUJJVERBX0lCKCdMVE1TJyw0MDEwMyk=&amp;WINDOW=FIRST_POPUP&amp;HEIGHT=450&amp;WIDTH=450&amp;START_MA","XIMIZED=FALSE&amp;VAR:CALENDAR=US&amp;VAR:SYMBOL=N0098510&amp;VAR:INDEX=0"}</definedName>
    <definedName name="_5610__FDSAUDITLINK__" hidden="1">{"fdsup://directions/FAT Viewer?action=UPDATE&amp;creator=factset&amp;DYN_ARGS=TRUE&amp;DOC_NAME=FAT:FQL_AUDITING_CLIENT_TEMPLATE.FAT&amp;display_string=Audit&amp;VAR:KEY=BSPUPSRMZC&amp;VAR:QUERY=RkZfRUJJVERBX0lCKCdMVE1TJyw0MDEwMyk=&amp;WINDOW=FIRST_POPUP&amp;HEIGHT=450&amp;WIDTH=450&amp;START_MA","XIMIZED=FALSE&amp;VAR:CALENDAR=US&amp;VAR:SYMBOL=N0098510&amp;VAR:INDEX=0"}</definedName>
    <definedName name="_5611__FDSAUDITLINK__" localSheetId="6" hidden="1">{"fdsup://directions/FAT Viewer?action=UPDATE&amp;creator=factset&amp;DYN_ARGS=TRUE&amp;DOC_NAME=FAT:FQL_AUDITING_CLIENT_TEMPLATE.FAT&amp;display_string=Audit&amp;VAR:KEY=TWVQRWZMHQ&amp;VAR:QUERY=RkZfRUJJVERBX0lCKCdMVE1TJyw0MDEwMik=&amp;WINDOW=FIRST_POPUP&amp;HEIGHT=450&amp;WIDTH=450&amp;START_MA","XIMIZED=FALSE&amp;VAR:CALENDAR=US&amp;VAR:SYMBOL=N0098510&amp;VAR:INDEX=0"}</definedName>
    <definedName name="_5611__FDSAUDITLINK__" hidden="1">{"fdsup://directions/FAT Viewer?action=UPDATE&amp;creator=factset&amp;DYN_ARGS=TRUE&amp;DOC_NAME=FAT:FQL_AUDITING_CLIENT_TEMPLATE.FAT&amp;display_string=Audit&amp;VAR:KEY=TWVQRWZMHQ&amp;VAR:QUERY=RkZfRUJJVERBX0lCKCdMVE1TJyw0MDEwMik=&amp;WINDOW=FIRST_POPUP&amp;HEIGHT=450&amp;WIDTH=450&amp;START_MA","XIMIZED=FALSE&amp;VAR:CALENDAR=US&amp;VAR:SYMBOL=N0098510&amp;VAR:INDEX=0"}</definedName>
    <definedName name="_5612__FDSAUDITLINK__" localSheetId="6" hidden="1">{"fdsup://directions/FAT Viewer?action=UPDATE&amp;creator=factset&amp;DYN_ARGS=TRUE&amp;DOC_NAME=FAT:FQL_AUDITING_CLIENT_TEMPLATE.FAT&amp;display_string=Audit&amp;VAR:KEY=XETUPIXIXO&amp;VAR:QUERY=RkZfRUJJVERBX0lCKCdMVE1TJyw0MDEwMSk=&amp;WINDOW=FIRST_POPUP&amp;HEIGHT=450&amp;WIDTH=450&amp;START_MA","XIMIZED=FALSE&amp;VAR:CALENDAR=US&amp;VAR:SYMBOL=N0098510&amp;VAR:INDEX=0"}</definedName>
    <definedName name="_5612__FDSAUDITLINK__" hidden="1">{"fdsup://directions/FAT Viewer?action=UPDATE&amp;creator=factset&amp;DYN_ARGS=TRUE&amp;DOC_NAME=FAT:FQL_AUDITING_CLIENT_TEMPLATE.FAT&amp;display_string=Audit&amp;VAR:KEY=XETUPIXIXO&amp;VAR:QUERY=RkZfRUJJVERBX0lCKCdMVE1TJyw0MDEwMSk=&amp;WINDOW=FIRST_POPUP&amp;HEIGHT=450&amp;WIDTH=450&amp;START_MA","XIMIZED=FALSE&amp;VAR:CALENDAR=US&amp;VAR:SYMBOL=N0098510&amp;VAR:INDEX=0"}</definedName>
    <definedName name="_5613__FDSAUDITLINK__" localSheetId="6" hidden="1">{"fdsup://directions/FAT Viewer?action=UPDATE&amp;creator=factset&amp;DYN_ARGS=TRUE&amp;DOC_NAME=FAT:FQL_AUDITING_CLIENT_TEMPLATE.FAT&amp;display_string=Audit&amp;VAR:KEY=DQNIFUHIDM&amp;VAR:QUERY=RkZfRUJJVERBX0lCKCdMVE1TJyw0MDEwMCk=&amp;WINDOW=FIRST_POPUP&amp;HEIGHT=450&amp;WIDTH=450&amp;START_MA","XIMIZED=FALSE&amp;VAR:CALENDAR=US&amp;VAR:SYMBOL=N0098510&amp;VAR:INDEX=0"}</definedName>
    <definedName name="_5613__FDSAUDITLINK__" hidden="1">{"fdsup://directions/FAT Viewer?action=UPDATE&amp;creator=factset&amp;DYN_ARGS=TRUE&amp;DOC_NAME=FAT:FQL_AUDITING_CLIENT_TEMPLATE.FAT&amp;display_string=Audit&amp;VAR:KEY=DQNIFUHIDM&amp;VAR:QUERY=RkZfRUJJVERBX0lCKCdMVE1TJyw0MDEwMCk=&amp;WINDOW=FIRST_POPUP&amp;HEIGHT=450&amp;WIDTH=450&amp;START_MA","XIMIZED=FALSE&amp;VAR:CALENDAR=US&amp;VAR:SYMBOL=N0098510&amp;VAR:INDEX=0"}</definedName>
    <definedName name="_5614__FDSAUDITLINK__" localSheetId="6" hidden="1">{"fdsup://directions/FAT Viewer?action=UPDATE&amp;creator=factset&amp;DYN_ARGS=TRUE&amp;DOC_NAME=FAT:FQL_AUDITING_CLIENT_TEMPLATE.FAT&amp;display_string=Audit&amp;VAR:KEY=VUXKPMNWTS&amp;VAR:QUERY=RkZfRUJJVERBX0lCKCdMVE1TJyw0MDA5OSk=&amp;WINDOW=FIRST_POPUP&amp;HEIGHT=450&amp;WIDTH=450&amp;START_MA","XIMIZED=FALSE&amp;VAR:CALENDAR=US&amp;VAR:SYMBOL=N0098510&amp;VAR:INDEX=0"}</definedName>
    <definedName name="_5614__FDSAUDITLINK__" hidden="1">{"fdsup://directions/FAT Viewer?action=UPDATE&amp;creator=factset&amp;DYN_ARGS=TRUE&amp;DOC_NAME=FAT:FQL_AUDITING_CLIENT_TEMPLATE.FAT&amp;display_string=Audit&amp;VAR:KEY=VUXKPMNWTS&amp;VAR:QUERY=RkZfRUJJVERBX0lCKCdMVE1TJyw0MDA5OSk=&amp;WINDOW=FIRST_POPUP&amp;HEIGHT=450&amp;WIDTH=450&amp;START_MA","XIMIZED=FALSE&amp;VAR:CALENDAR=US&amp;VAR:SYMBOL=N0098510&amp;VAR:INDEX=0"}</definedName>
    <definedName name="_5615__FDSAUDITLINK__" localSheetId="6" hidden="1">{"fdsup://directions/FAT Viewer?action=UPDATE&amp;creator=factset&amp;DYN_ARGS=TRUE&amp;DOC_NAME=FAT:FQL_AUDITING_CLIENT_TEMPLATE.FAT&amp;display_string=Audit&amp;VAR:KEY=TUFOLIZOJM&amp;VAR:QUERY=RkZfRUJJVERBX0lCKCdMVE1TJyw0MDA5OCk=&amp;WINDOW=FIRST_POPUP&amp;HEIGHT=450&amp;WIDTH=450&amp;START_MA","XIMIZED=FALSE&amp;VAR:CALENDAR=US&amp;VAR:SYMBOL=N0098510&amp;VAR:INDEX=0"}</definedName>
    <definedName name="_5615__FDSAUDITLINK__" hidden="1">{"fdsup://directions/FAT Viewer?action=UPDATE&amp;creator=factset&amp;DYN_ARGS=TRUE&amp;DOC_NAME=FAT:FQL_AUDITING_CLIENT_TEMPLATE.FAT&amp;display_string=Audit&amp;VAR:KEY=TUFOLIZOJM&amp;VAR:QUERY=RkZfRUJJVERBX0lCKCdMVE1TJyw0MDA5OCk=&amp;WINDOW=FIRST_POPUP&amp;HEIGHT=450&amp;WIDTH=450&amp;START_MA","XIMIZED=FALSE&amp;VAR:CALENDAR=US&amp;VAR:SYMBOL=N0098510&amp;VAR:INDEX=0"}</definedName>
    <definedName name="_5616__FDSAUDITLINK__" localSheetId="6" hidden="1">{"fdsup://directions/FAT Viewer?action=UPDATE&amp;creator=factset&amp;DYN_ARGS=TRUE&amp;DOC_NAME=FAT:FQL_AUDITING_CLIENT_TEMPLATE.FAT&amp;display_string=Audit&amp;VAR:KEY=JYVCTITSNY&amp;VAR:QUERY=RkZfRUJJVERBX0lCKCdMVE1TJyw0MDA5Nyk=&amp;WINDOW=FIRST_POPUP&amp;HEIGHT=450&amp;WIDTH=450&amp;START_MA","XIMIZED=FALSE&amp;VAR:CALENDAR=US&amp;VAR:SYMBOL=N0098510&amp;VAR:INDEX=0"}</definedName>
    <definedName name="_5616__FDSAUDITLINK__" hidden="1">{"fdsup://directions/FAT Viewer?action=UPDATE&amp;creator=factset&amp;DYN_ARGS=TRUE&amp;DOC_NAME=FAT:FQL_AUDITING_CLIENT_TEMPLATE.FAT&amp;display_string=Audit&amp;VAR:KEY=JYVCTITSNY&amp;VAR:QUERY=RkZfRUJJVERBX0lCKCdMVE1TJyw0MDA5Nyk=&amp;WINDOW=FIRST_POPUP&amp;HEIGHT=450&amp;WIDTH=450&amp;START_MA","XIMIZED=FALSE&amp;VAR:CALENDAR=US&amp;VAR:SYMBOL=N0098510&amp;VAR:INDEX=0"}</definedName>
    <definedName name="_5617__FDSAUDITLINK__" localSheetId="6" hidden="1">{"fdsup://directions/FAT Viewer?action=UPDATE&amp;creator=factset&amp;DYN_ARGS=TRUE&amp;DOC_NAME=FAT:FQL_AUDITING_CLIENT_TEMPLATE.FAT&amp;display_string=Audit&amp;VAR:KEY=PGZSHSZSRU&amp;VAR:QUERY=RkZfRUJJVERBX0lCKCdMVE1TJyw0MDA5Nik=&amp;WINDOW=FIRST_POPUP&amp;HEIGHT=450&amp;WIDTH=450&amp;START_MA","XIMIZED=FALSE&amp;VAR:CALENDAR=US&amp;VAR:SYMBOL=N0098510&amp;VAR:INDEX=0"}</definedName>
    <definedName name="_5617__FDSAUDITLINK__" hidden="1">{"fdsup://directions/FAT Viewer?action=UPDATE&amp;creator=factset&amp;DYN_ARGS=TRUE&amp;DOC_NAME=FAT:FQL_AUDITING_CLIENT_TEMPLATE.FAT&amp;display_string=Audit&amp;VAR:KEY=PGZSHSZSRU&amp;VAR:QUERY=RkZfRUJJVERBX0lCKCdMVE1TJyw0MDA5Nik=&amp;WINDOW=FIRST_POPUP&amp;HEIGHT=450&amp;WIDTH=450&amp;START_MA","XIMIZED=FALSE&amp;VAR:CALENDAR=US&amp;VAR:SYMBOL=N0098510&amp;VAR:INDEX=0"}</definedName>
    <definedName name="_5618__FDSAUDITLINK__" localSheetId="6" hidden="1">{"fdsup://directions/FAT Viewer?action=UPDATE&amp;creator=factset&amp;DYN_ARGS=TRUE&amp;DOC_NAME=FAT:FQL_AUDITING_CLIENT_TEMPLATE.FAT&amp;display_string=Audit&amp;VAR:KEY=XWTQVYBGVM&amp;VAR:QUERY=RkZfRUJJVERBX0lCKCdMVE1TJyw0MDA5NSk=&amp;WINDOW=FIRST_POPUP&amp;HEIGHT=450&amp;WIDTH=450&amp;START_MA","XIMIZED=FALSE&amp;VAR:CALENDAR=US&amp;VAR:SYMBOL=N0098510&amp;VAR:INDEX=0"}</definedName>
    <definedName name="_5618__FDSAUDITLINK__" hidden="1">{"fdsup://directions/FAT Viewer?action=UPDATE&amp;creator=factset&amp;DYN_ARGS=TRUE&amp;DOC_NAME=FAT:FQL_AUDITING_CLIENT_TEMPLATE.FAT&amp;display_string=Audit&amp;VAR:KEY=XWTQVYBGVM&amp;VAR:QUERY=RkZfRUJJVERBX0lCKCdMVE1TJyw0MDA5NSk=&amp;WINDOW=FIRST_POPUP&amp;HEIGHT=450&amp;WIDTH=450&amp;START_MA","XIMIZED=FALSE&amp;VAR:CALENDAR=US&amp;VAR:SYMBOL=N0098510&amp;VAR:INDEX=0"}</definedName>
    <definedName name="_5619__FDSAUDITLINK__" localSheetId="6" hidden="1">{"fdsup://directions/FAT Viewer?action=UPDATE&amp;creator=factset&amp;DYN_ARGS=TRUE&amp;DOC_NAME=FAT:FQL_AUDITING_CLIENT_TEMPLATE.FAT&amp;display_string=Audit&amp;VAR:KEY=HYBYVIFKHG&amp;VAR:QUERY=RkZfRUJJVERBX0lCKCdMVE1TJyw0MDA5NCk=&amp;WINDOW=FIRST_POPUP&amp;HEIGHT=450&amp;WIDTH=450&amp;START_MA","XIMIZED=FALSE&amp;VAR:CALENDAR=US&amp;VAR:SYMBOL=N0098510&amp;VAR:INDEX=0"}</definedName>
    <definedName name="_5619__FDSAUDITLINK__" hidden="1">{"fdsup://directions/FAT Viewer?action=UPDATE&amp;creator=factset&amp;DYN_ARGS=TRUE&amp;DOC_NAME=FAT:FQL_AUDITING_CLIENT_TEMPLATE.FAT&amp;display_string=Audit&amp;VAR:KEY=HYBYVIFKHG&amp;VAR:QUERY=RkZfRUJJVERBX0lCKCdMVE1TJyw0MDA5NCk=&amp;WINDOW=FIRST_POPUP&amp;HEIGHT=450&amp;WIDTH=450&amp;START_MA","XIMIZED=FALSE&amp;VAR:CALENDAR=US&amp;VAR:SYMBOL=N0098510&amp;VAR:INDEX=0"}</definedName>
    <definedName name="_562__FDSAUDITLINK__" localSheetId="6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2__FDSAUDITLINK__" hidden="1">{"fdsup://directions/FAT%20Viewer?VAR:PED=LTM&amp;VAR:AUDIT_MODE=SUMMARY&amp;VAR:PERIOD=FIXED&amp;VAR:AUDIT_ID=00000117&amp;VAR:DATE=20080808&amp;action=UPDATE&amp;creator=factset&amp;DOC_NAME=FAT:FMA_audit_SUMMARY.fat&amp;DISPLAY_STRING=Display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20__FDSAUDITLINK__" localSheetId="6" hidden="1">{"fdsup://directions/FAT Viewer?action=UPDATE&amp;creator=factset&amp;DYN_ARGS=TRUE&amp;DOC_NAME=FAT:FQL_AUDITING_CLIENT_TEMPLATE.FAT&amp;display_string=Audit&amp;VAR:KEY=VGVCTKDIXU&amp;VAR:QUERY=RkZfRUJJVERBX0lCKCdMVE1TJyw0MDA5Myk=&amp;WINDOW=FIRST_POPUP&amp;HEIGHT=450&amp;WIDTH=450&amp;START_MA","XIMIZED=FALSE&amp;VAR:CALENDAR=US&amp;VAR:SYMBOL=N0098510&amp;VAR:INDEX=0"}</definedName>
    <definedName name="_5620__FDSAUDITLINK__" hidden="1">{"fdsup://directions/FAT Viewer?action=UPDATE&amp;creator=factset&amp;DYN_ARGS=TRUE&amp;DOC_NAME=FAT:FQL_AUDITING_CLIENT_TEMPLATE.FAT&amp;display_string=Audit&amp;VAR:KEY=VGVCTKDIXU&amp;VAR:QUERY=RkZfRUJJVERBX0lCKCdMVE1TJyw0MDA5Myk=&amp;WINDOW=FIRST_POPUP&amp;HEIGHT=450&amp;WIDTH=450&amp;START_MA","XIMIZED=FALSE&amp;VAR:CALENDAR=US&amp;VAR:SYMBOL=N0098510&amp;VAR:INDEX=0"}</definedName>
    <definedName name="_5621__FDSAUDITLINK__" localSheetId="6" hidden="1">{"fdsup://directions/FAT Viewer?action=UPDATE&amp;creator=factset&amp;DYN_ARGS=TRUE&amp;DOC_NAME=FAT:FQL_AUDITING_CLIENT_TEMPLATE.FAT&amp;display_string=Audit&amp;VAR:KEY=RITIBGHOBO&amp;VAR:QUERY=RkZfRUJJVERBX0lCKCdMVE1TJyw0MDA5Mik=&amp;WINDOW=FIRST_POPUP&amp;HEIGHT=450&amp;WIDTH=450&amp;START_MA","XIMIZED=FALSE&amp;VAR:CALENDAR=US&amp;VAR:SYMBOL=N0098510&amp;VAR:INDEX=0"}</definedName>
    <definedName name="_5621__FDSAUDITLINK__" hidden="1">{"fdsup://directions/FAT Viewer?action=UPDATE&amp;creator=factset&amp;DYN_ARGS=TRUE&amp;DOC_NAME=FAT:FQL_AUDITING_CLIENT_TEMPLATE.FAT&amp;display_string=Audit&amp;VAR:KEY=RITIBGHOBO&amp;VAR:QUERY=RkZfRUJJVERBX0lCKCdMVE1TJyw0MDA5Mik=&amp;WINDOW=FIRST_POPUP&amp;HEIGHT=450&amp;WIDTH=450&amp;START_MA","XIMIZED=FALSE&amp;VAR:CALENDAR=US&amp;VAR:SYMBOL=N0098510&amp;VAR:INDEX=0"}</definedName>
    <definedName name="_5622__FDSAUDITLINK__" localSheetId="6" hidden="1">{"fdsup://directions/FAT Viewer?action=UPDATE&amp;creator=factset&amp;DYN_ARGS=TRUE&amp;DOC_NAME=FAT:FQL_AUDITING_CLIENT_TEMPLATE.FAT&amp;display_string=Audit&amp;VAR:KEY=VKLEHWFIRM&amp;VAR:QUERY=RkZfRUJJVERBX0lCKCdMVE1TJyw0MDA5MSk=&amp;WINDOW=FIRST_POPUP&amp;HEIGHT=450&amp;WIDTH=450&amp;START_MA","XIMIZED=FALSE&amp;VAR:CALENDAR=US&amp;VAR:SYMBOL=N0098510&amp;VAR:INDEX=0"}</definedName>
    <definedName name="_5622__FDSAUDITLINK__" hidden="1">{"fdsup://directions/FAT Viewer?action=UPDATE&amp;creator=factset&amp;DYN_ARGS=TRUE&amp;DOC_NAME=FAT:FQL_AUDITING_CLIENT_TEMPLATE.FAT&amp;display_string=Audit&amp;VAR:KEY=VKLEHWFIRM&amp;VAR:QUERY=RkZfRUJJVERBX0lCKCdMVE1TJyw0MDA5MSk=&amp;WINDOW=FIRST_POPUP&amp;HEIGHT=450&amp;WIDTH=450&amp;START_MA","XIMIZED=FALSE&amp;VAR:CALENDAR=US&amp;VAR:SYMBOL=N0098510&amp;VAR:INDEX=0"}</definedName>
    <definedName name="_5623__FDSAUDITLINK__" localSheetId="6" hidden="1">{"fdsup://directions/FAT Viewer?action=UPDATE&amp;creator=factset&amp;DYN_ARGS=TRUE&amp;DOC_NAME=FAT:FQL_AUDITING_CLIENT_TEMPLATE.FAT&amp;display_string=Audit&amp;VAR:KEY=RIDEFGXEVU&amp;VAR:QUERY=RkZfRUJJVERBX0lCKCdMVE1TJyw0MDA5MCk=&amp;WINDOW=FIRST_POPUP&amp;HEIGHT=450&amp;WIDTH=450&amp;START_MA","XIMIZED=FALSE&amp;VAR:CALENDAR=US&amp;VAR:SYMBOL=N0098510&amp;VAR:INDEX=0"}</definedName>
    <definedName name="_5623__FDSAUDITLINK__" hidden="1">{"fdsup://directions/FAT Viewer?action=UPDATE&amp;creator=factset&amp;DYN_ARGS=TRUE&amp;DOC_NAME=FAT:FQL_AUDITING_CLIENT_TEMPLATE.FAT&amp;display_string=Audit&amp;VAR:KEY=RIDEFGXEVU&amp;VAR:QUERY=RkZfRUJJVERBX0lCKCdMVE1TJyw0MDA5MCk=&amp;WINDOW=FIRST_POPUP&amp;HEIGHT=450&amp;WIDTH=450&amp;START_MA","XIMIZED=FALSE&amp;VAR:CALENDAR=US&amp;VAR:SYMBOL=N0098510&amp;VAR:INDEX=0"}</definedName>
    <definedName name="_5624__FDSAUDITLINK__" localSheetId="6" hidden="1">{"fdsup://directions/FAT Viewer?action=UPDATE&amp;creator=factset&amp;DYN_ARGS=TRUE&amp;DOC_NAME=FAT:FQL_AUDITING_CLIENT_TEMPLATE.FAT&amp;display_string=Audit&amp;VAR:KEY=VIBQPEVEVM&amp;VAR:QUERY=RkZfRUJJVERBX0lCKCdMVE1TJyw0MDA4OSk=&amp;WINDOW=FIRST_POPUP&amp;HEIGHT=450&amp;WIDTH=450&amp;START_MA","XIMIZED=FALSE&amp;VAR:CALENDAR=US&amp;VAR:SYMBOL=N0098510&amp;VAR:INDEX=0"}</definedName>
    <definedName name="_5624__FDSAUDITLINK__" hidden="1">{"fdsup://directions/FAT Viewer?action=UPDATE&amp;creator=factset&amp;DYN_ARGS=TRUE&amp;DOC_NAME=FAT:FQL_AUDITING_CLIENT_TEMPLATE.FAT&amp;display_string=Audit&amp;VAR:KEY=VIBQPEVEVM&amp;VAR:QUERY=RkZfRUJJVERBX0lCKCdMVE1TJyw0MDA4OSk=&amp;WINDOW=FIRST_POPUP&amp;HEIGHT=450&amp;WIDTH=450&amp;START_MA","XIMIZED=FALSE&amp;VAR:CALENDAR=US&amp;VAR:SYMBOL=N0098510&amp;VAR:INDEX=0"}</definedName>
    <definedName name="_5625__FDSAUDITLINK__" localSheetId="6" hidden="1">{"fdsup://directions/FAT Viewer?action=UPDATE&amp;creator=factset&amp;DYN_ARGS=TRUE&amp;DOC_NAME=FAT:FQL_AUDITING_CLIENT_TEMPLATE.FAT&amp;display_string=Audit&amp;VAR:KEY=NGTUBKLALA&amp;VAR:QUERY=RkZfRUJJVERBX0lCKCdMVE1TJyw0MDA4OCk=&amp;WINDOW=FIRST_POPUP&amp;HEIGHT=450&amp;WIDTH=450&amp;START_MA","XIMIZED=FALSE&amp;VAR:CALENDAR=US&amp;VAR:SYMBOL=N0098510&amp;VAR:INDEX=0"}</definedName>
    <definedName name="_5625__FDSAUDITLINK__" hidden="1">{"fdsup://directions/FAT Viewer?action=UPDATE&amp;creator=factset&amp;DYN_ARGS=TRUE&amp;DOC_NAME=FAT:FQL_AUDITING_CLIENT_TEMPLATE.FAT&amp;display_string=Audit&amp;VAR:KEY=NGTUBKLALA&amp;VAR:QUERY=RkZfRUJJVERBX0lCKCdMVE1TJyw0MDA4OCk=&amp;WINDOW=FIRST_POPUP&amp;HEIGHT=450&amp;WIDTH=450&amp;START_MA","XIMIZED=FALSE&amp;VAR:CALENDAR=US&amp;VAR:SYMBOL=N0098510&amp;VAR:INDEX=0"}</definedName>
    <definedName name="_5626__FDSAUDITLINK__" localSheetId="6" hidden="1">{"fdsup://directions/FAT Viewer?action=UPDATE&amp;creator=factset&amp;DYN_ARGS=TRUE&amp;DOC_NAME=FAT:FQL_AUDITING_CLIENT_TEMPLATE.FAT&amp;display_string=Audit&amp;VAR:KEY=PQTUBOFSPO&amp;VAR:QUERY=RkZfRUJJVERBX0lCKCdMVE1TJyw0MDA4Nyk=&amp;WINDOW=FIRST_POPUP&amp;HEIGHT=450&amp;WIDTH=450&amp;START_MA","XIMIZED=FALSE&amp;VAR:CALENDAR=US&amp;VAR:SYMBOL=N0098510&amp;VAR:INDEX=0"}</definedName>
    <definedName name="_5626__FDSAUDITLINK__" hidden="1">{"fdsup://directions/FAT Viewer?action=UPDATE&amp;creator=factset&amp;DYN_ARGS=TRUE&amp;DOC_NAME=FAT:FQL_AUDITING_CLIENT_TEMPLATE.FAT&amp;display_string=Audit&amp;VAR:KEY=PQTUBOFSPO&amp;VAR:QUERY=RkZfRUJJVERBX0lCKCdMVE1TJyw0MDA4Nyk=&amp;WINDOW=FIRST_POPUP&amp;HEIGHT=450&amp;WIDTH=450&amp;START_MA","XIMIZED=FALSE&amp;VAR:CALENDAR=US&amp;VAR:SYMBOL=N0098510&amp;VAR:INDEX=0"}</definedName>
    <definedName name="_5627__FDSAUDITLINK__" localSheetId="6" hidden="1">{"fdsup://directions/FAT Viewer?action=UPDATE&amp;creator=factset&amp;DYN_ARGS=TRUE&amp;DOC_NAME=FAT:FQL_AUDITING_CLIENT_TEMPLATE.FAT&amp;display_string=Audit&amp;VAR:KEY=BWFIPKHKNA&amp;VAR:QUERY=RkZfRUJJVERBX0lCKCdMVE1TJyw0MDA4Nik=&amp;WINDOW=FIRST_POPUP&amp;HEIGHT=450&amp;WIDTH=450&amp;START_MA","XIMIZED=FALSE&amp;VAR:CALENDAR=US&amp;VAR:SYMBOL=N0098510&amp;VAR:INDEX=0"}</definedName>
    <definedName name="_5627__FDSAUDITLINK__" hidden="1">{"fdsup://directions/FAT Viewer?action=UPDATE&amp;creator=factset&amp;DYN_ARGS=TRUE&amp;DOC_NAME=FAT:FQL_AUDITING_CLIENT_TEMPLATE.FAT&amp;display_string=Audit&amp;VAR:KEY=BWFIPKHKNA&amp;VAR:QUERY=RkZfRUJJVERBX0lCKCdMVE1TJyw0MDA4Nik=&amp;WINDOW=FIRST_POPUP&amp;HEIGHT=450&amp;WIDTH=450&amp;START_MA","XIMIZED=FALSE&amp;VAR:CALENDAR=US&amp;VAR:SYMBOL=N0098510&amp;VAR:INDEX=0"}</definedName>
    <definedName name="_5628__FDSAUDITLINK__" localSheetId="6" hidden="1">{"fdsup://directions/FAT Viewer?action=UPDATE&amp;creator=factset&amp;DYN_ARGS=TRUE&amp;DOC_NAME=FAT:FQL_AUDITING_CLIENT_TEMPLATE.FAT&amp;display_string=Audit&amp;VAR:KEY=DMFORIZKNG&amp;VAR:QUERY=RkZfRUJJVERBX0lCKCdMVE1TJyw0MDA4NSk=&amp;WINDOW=FIRST_POPUP&amp;HEIGHT=450&amp;WIDTH=450&amp;START_MA","XIMIZED=FALSE&amp;VAR:CALENDAR=US&amp;VAR:SYMBOL=N0098510&amp;VAR:INDEX=0"}</definedName>
    <definedName name="_5628__FDSAUDITLINK__" hidden="1">{"fdsup://directions/FAT Viewer?action=UPDATE&amp;creator=factset&amp;DYN_ARGS=TRUE&amp;DOC_NAME=FAT:FQL_AUDITING_CLIENT_TEMPLATE.FAT&amp;display_string=Audit&amp;VAR:KEY=DMFORIZKNG&amp;VAR:QUERY=RkZfRUJJVERBX0lCKCdMVE1TJyw0MDA4NSk=&amp;WINDOW=FIRST_POPUP&amp;HEIGHT=450&amp;WIDTH=450&amp;START_MA","XIMIZED=FALSE&amp;VAR:CALENDAR=US&amp;VAR:SYMBOL=N0098510&amp;VAR:INDEX=0"}</definedName>
    <definedName name="_5629__FDSAUDITLINK__" localSheetId="6" hidden="1">{"fdsup://directions/FAT Viewer?action=UPDATE&amp;creator=factset&amp;DYN_ARGS=TRUE&amp;DOC_NAME=FAT:FQL_AUDITING_CLIENT_TEMPLATE.FAT&amp;display_string=Audit&amp;VAR:KEY=VITGXMVQPI&amp;VAR:QUERY=RkZfRUJJVERBX0lCKCdMVE1TJyw0MDA4NCk=&amp;WINDOW=FIRST_POPUP&amp;HEIGHT=450&amp;WIDTH=450&amp;START_MA","XIMIZED=FALSE&amp;VAR:CALENDAR=US&amp;VAR:SYMBOL=N0098510&amp;VAR:INDEX=0"}</definedName>
    <definedName name="_5629__FDSAUDITLINK__" hidden="1">{"fdsup://directions/FAT Viewer?action=UPDATE&amp;creator=factset&amp;DYN_ARGS=TRUE&amp;DOC_NAME=FAT:FQL_AUDITING_CLIENT_TEMPLATE.FAT&amp;display_string=Audit&amp;VAR:KEY=VITGXMVQPI&amp;VAR:QUERY=RkZfRUJJVERBX0lCKCdMVE1TJyw0MDA4NCk=&amp;WINDOW=FIRST_POPUP&amp;HEIGHT=450&amp;WIDTH=450&amp;START_MA","XIMIZED=FALSE&amp;VAR:CALENDAR=US&amp;VAR:SYMBOL=N0098510&amp;VAR:INDEX=0"}</definedName>
    <definedName name="_563__FDSAUDITLINK__" localSheetId="6" hidden="1">{"fdsup://directions/FAT%20Viewer?VAR:PED=LTM&amp;VAR:AUDIT_MODE=SUMMARY&amp;VAR:PERIOD=FIXED&amp;VAR:AUDIT_ID=00000117&amp;VAR:DATE=20080807&amp;action=UPDATE&amp;creator=factset&amp;DOC_NAME=FAT:FMA_audit_SUMMARY.fat&amp;DISPLAY_STRING=Display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3__FDSAUDITLINK__" hidden="1">{"fdsup://directions/FAT%20Viewer?VAR:PED=LTM&amp;VAR:AUDIT_MODE=SUMMARY&amp;VAR:PERIOD=FIXED&amp;VAR:AUDIT_ID=00000117&amp;VAR:DATE=20080807&amp;action=UPDATE&amp;creator=factset&amp;DOC_NAME=FAT:FMA_audit_SUMMARY.fat&amp;DISPLAY_STRING=Display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30__FDSAUDITLINK__" localSheetId="6" hidden="1">{"fdsup://directions/FAT Viewer?action=UPDATE&amp;creator=factset&amp;DYN_ARGS=TRUE&amp;DOC_NAME=FAT:FQL_AUDITING_CLIENT_TEMPLATE.FAT&amp;display_string=Audit&amp;VAR:KEY=RKLWTSPMJY&amp;VAR:QUERY=RkZfRUJJVERBX0lCKCdMVE1TJyw0MDA4Myk=&amp;WINDOW=FIRST_POPUP&amp;HEIGHT=450&amp;WIDTH=450&amp;START_MA","XIMIZED=FALSE&amp;VAR:CALENDAR=US&amp;VAR:SYMBOL=N0098510&amp;VAR:INDEX=0"}</definedName>
    <definedName name="_5630__FDSAUDITLINK__" hidden="1">{"fdsup://directions/FAT Viewer?action=UPDATE&amp;creator=factset&amp;DYN_ARGS=TRUE&amp;DOC_NAME=FAT:FQL_AUDITING_CLIENT_TEMPLATE.FAT&amp;display_string=Audit&amp;VAR:KEY=RKLWTSPMJY&amp;VAR:QUERY=RkZfRUJJVERBX0lCKCdMVE1TJyw0MDA4Myk=&amp;WINDOW=FIRST_POPUP&amp;HEIGHT=450&amp;WIDTH=450&amp;START_MA","XIMIZED=FALSE&amp;VAR:CALENDAR=US&amp;VAR:SYMBOL=N0098510&amp;VAR:INDEX=0"}</definedName>
    <definedName name="_5631__FDSAUDITLINK__" localSheetId="6" hidden="1">{"fdsup://directions/FAT Viewer?action=UPDATE&amp;creator=factset&amp;DYN_ARGS=TRUE&amp;DOC_NAME=FAT:FQL_AUDITING_CLIENT_TEMPLATE.FAT&amp;display_string=Audit&amp;VAR:KEY=PQNGFIBQRS&amp;VAR:QUERY=RkZfRUJJVERBX0lCKCdMVE1TJyw0MDA4Mik=&amp;WINDOW=FIRST_POPUP&amp;HEIGHT=450&amp;WIDTH=450&amp;START_MA","XIMIZED=FALSE&amp;VAR:CALENDAR=US&amp;VAR:SYMBOL=N0098510&amp;VAR:INDEX=0"}</definedName>
    <definedName name="_5631__FDSAUDITLINK__" hidden="1">{"fdsup://directions/FAT Viewer?action=UPDATE&amp;creator=factset&amp;DYN_ARGS=TRUE&amp;DOC_NAME=FAT:FQL_AUDITING_CLIENT_TEMPLATE.FAT&amp;display_string=Audit&amp;VAR:KEY=PQNGFIBQRS&amp;VAR:QUERY=RkZfRUJJVERBX0lCKCdMVE1TJyw0MDA4Mik=&amp;WINDOW=FIRST_POPUP&amp;HEIGHT=450&amp;WIDTH=450&amp;START_MA","XIMIZED=FALSE&amp;VAR:CALENDAR=US&amp;VAR:SYMBOL=N0098510&amp;VAR:INDEX=0"}</definedName>
    <definedName name="_5632__FDSAUDITLINK__" localSheetId="6" hidden="1">{"fdsup://directions/FAT Viewer?action=UPDATE&amp;creator=factset&amp;DYN_ARGS=TRUE&amp;DOC_NAME=FAT:FQL_AUDITING_CLIENT_TEMPLATE.FAT&amp;display_string=Audit&amp;VAR:KEY=XIJCZGTKTQ&amp;VAR:QUERY=RkZfRUJJVERBX0lCKCdMVE1TJyw0MDA4MSk=&amp;WINDOW=FIRST_POPUP&amp;HEIGHT=450&amp;WIDTH=450&amp;START_MA","XIMIZED=FALSE&amp;VAR:CALENDAR=US&amp;VAR:SYMBOL=N0098510&amp;VAR:INDEX=0"}</definedName>
    <definedName name="_5632__FDSAUDITLINK__" hidden="1">{"fdsup://directions/FAT Viewer?action=UPDATE&amp;creator=factset&amp;DYN_ARGS=TRUE&amp;DOC_NAME=FAT:FQL_AUDITING_CLIENT_TEMPLATE.FAT&amp;display_string=Audit&amp;VAR:KEY=XIJCZGTKTQ&amp;VAR:QUERY=RkZfRUJJVERBX0lCKCdMVE1TJyw0MDA4MSk=&amp;WINDOW=FIRST_POPUP&amp;HEIGHT=450&amp;WIDTH=450&amp;START_MA","XIMIZED=FALSE&amp;VAR:CALENDAR=US&amp;VAR:SYMBOL=N0098510&amp;VAR:INDEX=0"}</definedName>
    <definedName name="_5633__FDSAUDITLINK__" localSheetId="6" hidden="1">{"fdsup://directions/FAT Viewer?action=UPDATE&amp;creator=factset&amp;DYN_ARGS=TRUE&amp;DOC_NAME=FAT:FQL_AUDITING_CLIENT_TEMPLATE.FAT&amp;display_string=Audit&amp;VAR:KEY=VKBMBGNSXM&amp;VAR:QUERY=RkZfRUJJVERBX0lCKCdMVE1TJyw0MDA4MCk=&amp;WINDOW=FIRST_POPUP&amp;HEIGHT=450&amp;WIDTH=450&amp;START_MA","XIMIZED=FALSE&amp;VAR:CALENDAR=US&amp;VAR:SYMBOL=N0098510&amp;VAR:INDEX=0"}</definedName>
    <definedName name="_5633__FDSAUDITLINK__" hidden="1">{"fdsup://directions/FAT Viewer?action=UPDATE&amp;creator=factset&amp;DYN_ARGS=TRUE&amp;DOC_NAME=FAT:FQL_AUDITING_CLIENT_TEMPLATE.FAT&amp;display_string=Audit&amp;VAR:KEY=VKBMBGNSXM&amp;VAR:QUERY=RkZfRUJJVERBX0lCKCdMVE1TJyw0MDA4MCk=&amp;WINDOW=FIRST_POPUP&amp;HEIGHT=450&amp;WIDTH=450&amp;START_MA","XIMIZED=FALSE&amp;VAR:CALENDAR=US&amp;VAR:SYMBOL=N0098510&amp;VAR:INDEX=0"}</definedName>
    <definedName name="_5634__FDSAUDITLINK__" localSheetId="6" hidden="1">{"fdsup://directions/FAT Viewer?action=UPDATE&amp;creator=factset&amp;DYN_ARGS=TRUE&amp;DOC_NAME=FAT:FQL_AUDITING_CLIENT_TEMPLATE.FAT&amp;display_string=Audit&amp;VAR:KEY=VMZSFIBCTQ&amp;VAR:QUERY=RkZfRUJJVERBX0lCKCdMVE1TJyw0MDA3OSk=&amp;WINDOW=FIRST_POPUP&amp;HEIGHT=450&amp;WIDTH=450&amp;START_MA","XIMIZED=FALSE&amp;VAR:CALENDAR=US&amp;VAR:SYMBOL=N0098510&amp;VAR:INDEX=0"}</definedName>
    <definedName name="_5634__FDSAUDITLINK__" hidden="1">{"fdsup://directions/FAT Viewer?action=UPDATE&amp;creator=factset&amp;DYN_ARGS=TRUE&amp;DOC_NAME=FAT:FQL_AUDITING_CLIENT_TEMPLATE.FAT&amp;display_string=Audit&amp;VAR:KEY=VMZSFIBCTQ&amp;VAR:QUERY=RkZfRUJJVERBX0lCKCdMVE1TJyw0MDA3OSk=&amp;WINDOW=FIRST_POPUP&amp;HEIGHT=450&amp;WIDTH=450&amp;START_MA","XIMIZED=FALSE&amp;VAR:CALENDAR=US&amp;VAR:SYMBOL=N0098510&amp;VAR:INDEX=0"}</definedName>
    <definedName name="_5635__FDSAUDITLINK__" localSheetId="6" hidden="1">{"fdsup://directions/FAT Viewer?action=UPDATE&amp;creator=factset&amp;DYN_ARGS=TRUE&amp;DOC_NAME=FAT:FQL_AUDITING_CLIENT_TEMPLATE.FAT&amp;display_string=Audit&amp;VAR:KEY=XMRQLGNURA&amp;VAR:QUERY=RkZfRUJJVERBX0lCKCdMVE1TJyw0MDA3OCk=&amp;WINDOW=FIRST_POPUP&amp;HEIGHT=450&amp;WIDTH=450&amp;START_MA","XIMIZED=FALSE&amp;VAR:CALENDAR=US&amp;VAR:SYMBOL=N0098510&amp;VAR:INDEX=0"}</definedName>
    <definedName name="_5635__FDSAUDITLINK__" hidden="1">{"fdsup://directions/FAT Viewer?action=UPDATE&amp;creator=factset&amp;DYN_ARGS=TRUE&amp;DOC_NAME=FAT:FQL_AUDITING_CLIENT_TEMPLATE.FAT&amp;display_string=Audit&amp;VAR:KEY=XMRQLGNURA&amp;VAR:QUERY=RkZfRUJJVERBX0lCKCdMVE1TJyw0MDA3OCk=&amp;WINDOW=FIRST_POPUP&amp;HEIGHT=450&amp;WIDTH=450&amp;START_MA","XIMIZED=FALSE&amp;VAR:CALENDAR=US&amp;VAR:SYMBOL=N0098510&amp;VAR:INDEX=0"}</definedName>
    <definedName name="_5636__FDSAUDITLINK__" localSheetId="6" hidden="1">{"fdsup://directions/FAT Viewer?action=UPDATE&amp;creator=factset&amp;DYN_ARGS=TRUE&amp;DOC_NAME=FAT:FQL_AUDITING_CLIENT_TEMPLATE.FAT&amp;display_string=Audit&amp;VAR:KEY=NKXWHCTYTO&amp;VAR:QUERY=RkZfRUJJVERBX0lCKCdMVE1TJyw0MDA3Nyk=&amp;WINDOW=FIRST_POPUP&amp;HEIGHT=450&amp;WIDTH=450&amp;START_MA","XIMIZED=FALSE&amp;VAR:CALENDAR=US&amp;VAR:SYMBOL=N0098510&amp;VAR:INDEX=0"}</definedName>
    <definedName name="_5636__FDSAUDITLINK__" hidden="1">{"fdsup://directions/FAT Viewer?action=UPDATE&amp;creator=factset&amp;DYN_ARGS=TRUE&amp;DOC_NAME=FAT:FQL_AUDITING_CLIENT_TEMPLATE.FAT&amp;display_string=Audit&amp;VAR:KEY=NKXWHCTYTO&amp;VAR:QUERY=RkZfRUJJVERBX0lCKCdMVE1TJyw0MDA3Nyk=&amp;WINDOW=FIRST_POPUP&amp;HEIGHT=450&amp;WIDTH=450&amp;START_MA","XIMIZED=FALSE&amp;VAR:CALENDAR=US&amp;VAR:SYMBOL=N0098510&amp;VAR:INDEX=0"}</definedName>
    <definedName name="_5637__FDSAUDITLINK__" localSheetId="6" hidden="1">{"fdsup://directions/FAT Viewer?action=UPDATE&amp;creator=factset&amp;DYN_ARGS=TRUE&amp;DOC_NAME=FAT:FQL_AUDITING_CLIENT_TEMPLATE.FAT&amp;display_string=Audit&amp;VAR:KEY=XMLIFGZGPK&amp;VAR:QUERY=RkZfRUJJVERBX0lCKCdMVE1TJyw0MDA3Nik=&amp;WINDOW=FIRST_POPUP&amp;HEIGHT=450&amp;WIDTH=450&amp;START_MA","XIMIZED=FALSE&amp;VAR:CALENDAR=US&amp;VAR:SYMBOL=N0098510&amp;VAR:INDEX=0"}</definedName>
    <definedName name="_5637__FDSAUDITLINK__" hidden="1">{"fdsup://directions/FAT Viewer?action=UPDATE&amp;creator=factset&amp;DYN_ARGS=TRUE&amp;DOC_NAME=FAT:FQL_AUDITING_CLIENT_TEMPLATE.FAT&amp;display_string=Audit&amp;VAR:KEY=XMLIFGZGPK&amp;VAR:QUERY=RkZfRUJJVERBX0lCKCdMVE1TJyw0MDA3Nik=&amp;WINDOW=FIRST_POPUP&amp;HEIGHT=450&amp;WIDTH=450&amp;START_MA","XIMIZED=FALSE&amp;VAR:CALENDAR=US&amp;VAR:SYMBOL=N0098510&amp;VAR:INDEX=0"}</definedName>
    <definedName name="_5638__FDSAUDITLINK__" localSheetId="6" hidden="1">{"fdsup://directions/FAT Viewer?action=UPDATE&amp;creator=factset&amp;DYN_ARGS=TRUE&amp;DOC_NAME=FAT:FQL_AUDITING_CLIENT_TEMPLATE.FAT&amp;display_string=Audit&amp;VAR:KEY=XSVKBKVKTA&amp;VAR:QUERY=RkZfRUJJVERBX0lCKCdMVE1TJyw0MDA3NSk=&amp;WINDOW=FIRST_POPUP&amp;HEIGHT=450&amp;WIDTH=450&amp;START_MA","XIMIZED=FALSE&amp;VAR:CALENDAR=US&amp;VAR:SYMBOL=N0098510&amp;VAR:INDEX=0"}</definedName>
    <definedName name="_5638__FDSAUDITLINK__" hidden="1">{"fdsup://directions/FAT Viewer?action=UPDATE&amp;creator=factset&amp;DYN_ARGS=TRUE&amp;DOC_NAME=FAT:FQL_AUDITING_CLIENT_TEMPLATE.FAT&amp;display_string=Audit&amp;VAR:KEY=XSVKBKVKTA&amp;VAR:QUERY=RkZfRUJJVERBX0lCKCdMVE1TJyw0MDA3NSk=&amp;WINDOW=FIRST_POPUP&amp;HEIGHT=450&amp;WIDTH=450&amp;START_MA","XIMIZED=FALSE&amp;VAR:CALENDAR=US&amp;VAR:SYMBOL=N0098510&amp;VAR:INDEX=0"}</definedName>
    <definedName name="_5639__FDSAUDITLINK__" localSheetId="6" hidden="1">{"fdsup://directions/FAT Viewer?action=UPDATE&amp;creator=factset&amp;DYN_ARGS=TRUE&amp;DOC_NAME=FAT:FQL_AUDITING_CLIENT_TEMPLATE.FAT&amp;display_string=Audit&amp;VAR:KEY=NYTIJSDCNW&amp;VAR:QUERY=RkZfRUJJVERBX0lCKCdMVE1TJyw0MDA3NCk=&amp;WINDOW=FIRST_POPUP&amp;HEIGHT=450&amp;WIDTH=450&amp;START_MA","XIMIZED=FALSE&amp;VAR:CALENDAR=US&amp;VAR:SYMBOL=N0098510&amp;VAR:INDEX=0"}</definedName>
    <definedName name="_5639__FDSAUDITLINK__" hidden="1">{"fdsup://directions/FAT Viewer?action=UPDATE&amp;creator=factset&amp;DYN_ARGS=TRUE&amp;DOC_NAME=FAT:FQL_AUDITING_CLIENT_TEMPLATE.FAT&amp;display_string=Audit&amp;VAR:KEY=NYTIJSDCNW&amp;VAR:QUERY=RkZfRUJJVERBX0lCKCdMVE1TJyw0MDA3NCk=&amp;WINDOW=FIRST_POPUP&amp;HEIGHT=450&amp;WIDTH=450&amp;START_MA","XIMIZED=FALSE&amp;VAR:CALENDAR=US&amp;VAR:SYMBOL=N0098510&amp;VAR:INDEX=0"}</definedName>
    <definedName name="_564__FDSAUDITLINK__" localSheetId="6" hidden="1">{"fdsup://directions/FAT%20Viewer?VAR:PED=LTM&amp;VAR:AUDIT_MODE=SUMMARY&amp;VAR:PERIOD=FIXED&amp;VAR:AUDIT_ID=00000117&amp;VAR:DATE=20080806&amp;action=UPDATE&amp;creator=factset&amp;DOC_NAME=FAT:FMA_audit_SUMMARY.fat&amp;DISPLAY_STRING=Display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4__FDSAUDITLINK__" hidden="1">{"fdsup://directions/FAT%20Viewer?VAR:PED=LTM&amp;VAR:AUDIT_MODE=SUMMARY&amp;VAR:PERIOD=FIXED&amp;VAR:AUDIT_ID=00000117&amp;VAR:DATE=20080806&amp;action=UPDATE&amp;creator=factset&amp;DOC_NAME=FAT:FMA_audit_SUMMARY.fat&amp;DISPLAY_STRING=Display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40__FDSAUDITLINK__" localSheetId="6" hidden="1">{"fdsup://directions/FAT Viewer?action=UPDATE&amp;creator=factset&amp;DYN_ARGS=TRUE&amp;DOC_NAME=FAT:FQL_AUDITING_CLIENT_TEMPLATE.FAT&amp;display_string=Audit&amp;VAR:KEY=XGDERIJAJO&amp;VAR:QUERY=RkZfRUJJVERBX0lCKCdMVE1TJyw0MDA3Myk=&amp;WINDOW=FIRST_POPUP&amp;HEIGHT=450&amp;WIDTH=450&amp;START_MA","XIMIZED=FALSE&amp;VAR:CALENDAR=US&amp;VAR:SYMBOL=N0098510&amp;VAR:INDEX=0"}</definedName>
    <definedName name="_5640__FDSAUDITLINK__" hidden="1">{"fdsup://directions/FAT Viewer?action=UPDATE&amp;creator=factset&amp;DYN_ARGS=TRUE&amp;DOC_NAME=FAT:FQL_AUDITING_CLIENT_TEMPLATE.FAT&amp;display_string=Audit&amp;VAR:KEY=XGDERIJAJO&amp;VAR:QUERY=RkZfRUJJVERBX0lCKCdMVE1TJyw0MDA3Myk=&amp;WINDOW=FIRST_POPUP&amp;HEIGHT=450&amp;WIDTH=450&amp;START_MA","XIMIZED=FALSE&amp;VAR:CALENDAR=US&amp;VAR:SYMBOL=N0098510&amp;VAR:INDEX=0"}</definedName>
    <definedName name="_5641__FDSAUDITLINK__" localSheetId="6" hidden="1">{"fdsup://directions/FAT Viewer?action=UPDATE&amp;creator=factset&amp;DYN_ARGS=TRUE&amp;DOC_NAME=FAT:FQL_AUDITING_CLIENT_TEMPLATE.FAT&amp;display_string=Audit&amp;VAR:KEY=ROPUTOHEZE&amp;VAR:QUERY=RkZfRUJJVERBX0lCKCdMVE1TJyw0MDA3Mik=&amp;WINDOW=FIRST_POPUP&amp;HEIGHT=450&amp;WIDTH=450&amp;START_MA","XIMIZED=FALSE&amp;VAR:CALENDAR=US&amp;VAR:SYMBOL=N0098510&amp;VAR:INDEX=0"}</definedName>
    <definedName name="_5641__FDSAUDITLINK__" hidden="1">{"fdsup://directions/FAT Viewer?action=UPDATE&amp;creator=factset&amp;DYN_ARGS=TRUE&amp;DOC_NAME=FAT:FQL_AUDITING_CLIENT_TEMPLATE.FAT&amp;display_string=Audit&amp;VAR:KEY=ROPUTOHEZE&amp;VAR:QUERY=RkZfRUJJVERBX0lCKCdMVE1TJyw0MDA3Mik=&amp;WINDOW=FIRST_POPUP&amp;HEIGHT=450&amp;WIDTH=450&amp;START_MA","XIMIZED=FALSE&amp;VAR:CALENDAR=US&amp;VAR:SYMBOL=N0098510&amp;VAR:INDEX=0"}</definedName>
    <definedName name="_5642__FDSAUDITLINK__" localSheetId="6" hidden="1">{"fdsup://directions/FAT Viewer?action=UPDATE&amp;creator=factset&amp;DYN_ARGS=TRUE&amp;DOC_NAME=FAT:FQL_AUDITING_CLIENT_TEMPLATE.FAT&amp;display_string=Audit&amp;VAR:KEY=JGFAVORERS&amp;VAR:QUERY=RkZfRUJJVERBX0lCKCdMVE1TJyw0MDA3MSk=&amp;WINDOW=FIRST_POPUP&amp;HEIGHT=450&amp;WIDTH=450&amp;START_MA","XIMIZED=FALSE&amp;VAR:CALENDAR=US&amp;VAR:SYMBOL=N0098510&amp;VAR:INDEX=0"}</definedName>
    <definedName name="_5642__FDSAUDITLINK__" hidden="1">{"fdsup://directions/FAT Viewer?action=UPDATE&amp;creator=factset&amp;DYN_ARGS=TRUE&amp;DOC_NAME=FAT:FQL_AUDITING_CLIENT_TEMPLATE.FAT&amp;display_string=Audit&amp;VAR:KEY=JGFAVORERS&amp;VAR:QUERY=RkZfRUJJVERBX0lCKCdMVE1TJyw0MDA3MSk=&amp;WINDOW=FIRST_POPUP&amp;HEIGHT=450&amp;WIDTH=450&amp;START_MA","XIMIZED=FALSE&amp;VAR:CALENDAR=US&amp;VAR:SYMBOL=N0098510&amp;VAR:INDEX=0"}</definedName>
    <definedName name="_5643__FDSAUDITLINK__" localSheetId="6" hidden="1">{"fdsup://directions/FAT Viewer?action=UPDATE&amp;creator=factset&amp;DYN_ARGS=TRUE&amp;DOC_NAME=FAT:FQL_AUDITING_CLIENT_TEMPLATE.FAT&amp;display_string=Audit&amp;VAR:KEY=FCBKRWVETO&amp;VAR:QUERY=RkZfRUJJVERBX0lCKCdMVE1TJyw0MDA3MCk=&amp;WINDOW=FIRST_POPUP&amp;HEIGHT=450&amp;WIDTH=450&amp;START_MA","XIMIZED=FALSE&amp;VAR:CALENDAR=US&amp;VAR:SYMBOL=N0098510&amp;VAR:INDEX=0"}</definedName>
    <definedName name="_5643__FDSAUDITLINK__" hidden="1">{"fdsup://directions/FAT Viewer?action=UPDATE&amp;creator=factset&amp;DYN_ARGS=TRUE&amp;DOC_NAME=FAT:FQL_AUDITING_CLIENT_TEMPLATE.FAT&amp;display_string=Audit&amp;VAR:KEY=FCBKRWVETO&amp;VAR:QUERY=RkZfRUJJVERBX0lCKCdMVE1TJyw0MDA3MCk=&amp;WINDOW=FIRST_POPUP&amp;HEIGHT=450&amp;WIDTH=450&amp;START_MA","XIMIZED=FALSE&amp;VAR:CALENDAR=US&amp;VAR:SYMBOL=N0098510&amp;VAR:INDEX=0"}</definedName>
    <definedName name="_5644__FDSAUDITLINK__" localSheetId="6" hidden="1">{"fdsup://directions/FAT Viewer?action=UPDATE&amp;creator=factset&amp;DYN_ARGS=TRUE&amp;DOC_NAME=FAT:FQL_AUDITING_CLIENT_TEMPLATE.FAT&amp;display_string=Audit&amp;VAR:KEY=BKLSDCFIDO&amp;VAR:QUERY=RkZfRUJJVERBX0lCKCdMVE1TJyw0MDA2OSk=&amp;WINDOW=FIRST_POPUP&amp;HEIGHT=450&amp;WIDTH=450&amp;START_MA","XIMIZED=FALSE&amp;VAR:CALENDAR=US&amp;VAR:SYMBOL=N0098510&amp;VAR:INDEX=0"}</definedName>
    <definedName name="_5644__FDSAUDITLINK__" hidden="1">{"fdsup://directions/FAT Viewer?action=UPDATE&amp;creator=factset&amp;DYN_ARGS=TRUE&amp;DOC_NAME=FAT:FQL_AUDITING_CLIENT_TEMPLATE.FAT&amp;display_string=Audit&amp;VAR:KEY=BKLSDCFIDO&amp;VAR:QUERY=RkZfRUJJVERBX0lCKCdMVE1TJyw0MDA2OSk=&amp;WINDOW=FIRST_POPUP&amp;HEIGHT=450&amp;WIDTH=450&amp;START_MA","XIMIZED=FALSE&amp;VAR:CALENDAR=US&amp;VAR:SYMBOL=N0098510&amp;VAR:INDEX=0"}</definedName>
    <definedName name="_5645__FDSAUDITLINK__" localSheetId="6" hidden="1">{"fdsup://directions/FAT Viewer?action=UPDATE&amp;creator=factset&amp;DYN_ARGS=TRUE&amp;DOC_NAME=FAT:FQL_AUDITING_CLIENT_TEMPLATE.FAT&amp;display_string=Audit&amp;VAR:KEY=VSTEZWDOBO&amp;VAR:QUERY=RkZfRUJJVERBX0lCKCdMVE1TJyw0MDA2OCk=&amp;WINDOW=FIRST_POPUP&amp;HEIGHT=450&amp;WIDTH=450&amp;START_MA","XIMIZED=FALSE&amp;VAR:CALENDAR=US&amp;VAR:SYMBOL=N0098510&amp;VAR:INDEX=0"}</definedName>
    <definedName name="_5645__FDSAUDITLINK__" hidden="1">{"fdsup://directions/FAT Viewer?action=UPDATE&amp;creator=factset&amp;DYN_ARGS=TRUE&amp;DOC_NAME=FAT:FQL_AUDITING_CLIENT_TEMPLATE.FAT&amp;display_string=Audit&amp;VAR:KEY=VSTEZWDOBO&amp;VAR:QUERY=RkZfRUJJVERBX0lCKCdMVE1TJyw0MDA2OCk=&amp;WINDOW=FIRST_POPUP&amp;HEIGHT=450&amp;WIDTH=450&amp;START_MA","XIMIZED=FALSE&amp;VAR:CALENDAR=US&amp;VAR:SYMBOL=N0098510&amp;VAR:INDEX=0"}</definedName>
    <definedName name="_5646__FDSAUDITLINK__" localSheetId="6" hidden="1">{"fdsup://directions/FAT Viewer?action=UPDATE&amp;creator=factset&amp;DYN_ARGS=TRUE&amp;DOC_NAME=FAT:FQL_AUDITING_CLIENT_TEMPLATE.FAT&amp;display_string=Audit&amp;VAR:KEY=BUPGJGRURQ&amp;VAR:QUERY=RkZfRUJJVERBX0lCKCdMVE1TJyw0MDA2Nyk=&amp;WINDOW=FIRST_POPUP&amp;HEIGHT=450&amp;WIDTH=450&amp;START_MA","XIMIZED=FALSE&amp;VAR:CALENDAR=US&amp;VAR:SYMBOL=N0098510&amp;VAR:INDEX=0"}</definedName>
    <definedName name="_5646__FDSAUDITLINK__" hidden="1">{"fdsup://directions/FAT Viewer?action=UPDATE&amp;creator=factset&amp;DYN_ARGS=TRUE&amp;DOC_NAME=FAT:FQL_AUDITING_CLIENT_TEMPLATE.FAT&amp;display_string=Audit&amp;VAR:KEY=BUPGJGRURQ&amp;VAR:QUERY=RkZfRUJJVERBX0lCKCdMVE1TJyw0MDA2Nyk=&amp;WINDOW=FIRST_POPUP&amp;HEIGHT=450&amp;WIDTH=450&amp;START_MA","XIMIZED=FALSE&amp;VAR:CALENDAR=US&amp;VAR:SYMBOL=N0098510&amp;VAR:INDEX=0"}</definedName>
    <definedName name="_5647__FDSAUDITLINK__" localSheetId="6" hidden="1">{"fdsup://directions/FAT Viewer?action=UPDATE&amp;creator=factset&amp;DYN_ARGS=TRUE&amp;DOC_NAME=FAT:FQL_AUDITING_CLIENT_TEMPLATE.FAT&amp;display_string=Audit&amp;VAR:KEY=NSTCNGNCXS&amp;VAR:QUERY=RkZfRUJJVERBX0lCKCdMVE1TJyw0MDA2Nik=&amp;WINDOW=FIRST_POPUP&amp;HEIGHT=450&amp;WIDTH=450&amp;START_MA","XIMIZED=FALSE&amp;VAR:CALENDAR=US&amp;VAR:SYMBOL=N0098510&amp;VAR:INDEX=0"}</definedName>
    <definedName name="_5647__FDSAUDITLINK__" hidden="1">{"fdsup://directions/FAT Viewer?action=UPDATE&amp;creator=factset&amp;DYN_ARGS=TRUE&amp;DOC_NAME=FAT:FQL_AUDITING_CLIENT_TEMPLATE.FAT&amp;display_string=Audit&amp;VAR:KEY=NSTCNGNCXS&amp;VAR:QUERY=RkZfRUJJVERBX0lCKCdMVE1TJyw0MDA2Nik=&amp;WINDOW=FIRST_POPUP&amp;HEIGHT=450&amp;WIDTH=450&amp;START_MA","XIMIZED=FALSE&amp;VAR:CALENDAR=US&amp;VAR:SYMBOL=N0098510&amp;VAR:INDEX=0"}</definedName>
    <definedName name="_5648__FDSAUDITLINK__" localSheetId="6" hidden="1">{"fdsup://directions/FAT Viewer?action=UPDATE&amp;creator=factset&amp;DYN_ARGS=TRUE&amp;DOC_NAME=FAT:FQL_AUDITING_CLIENT_TEMPLATE.FAT&amp;display_string=Audit&amp;VAR:KEY=TQPSPYTARY&amp;VAR:QUERY=RkZfRUJJVERBX0lCKCdMVE1TJyw0MDA2NSk=&amp;WINDOW=FIRST_POPUP&amp;HEIGHT=450&amp;WIDTH=450&amp;START_MA","XIMIZED=FALSE&amp;VAR:CALENDAR=US&amp;VAR:SYMBOL=N0098510&amp;VAR:INDEX=0"}</definedName>
    <definedName name="_5648__FDSAUDITLINK__" hidden="1">{"fdsup://directions/FAT Viewer?action=UPDATE&amp;creator=factset&amp;DYN_ARGS=TRUE&amp;DOC_NAME=FAT:FQL_AUDITING_CLIENT_TEMPLATE.FAT&amp;display_string=Audit&amp;VAR:KEY=TQPSPYTARY&amp;VAR:QUERY=RkZfRUJJVERBX0lCKCdMVE1TJyw0MDA2NSk=&amp;WINDOW=FIRST_POPUP&amp;HEIGHT=450&amp;WIDTH=450&amp;START_MA","XIMIZED=FALSE&amp;VAR:CALENDAR=US&amp;VAR:SYMBOL=N0098510&amp;VAR:INDEX=0"}</definedName>
    <definedName name="_5649__FDSAUDITLINK__" localSheetId="6" hidden="1">{"fdsup://directions/FAT Viewer?action=UPDATE&amp;creator=factset&amp;DYN_ARGS=TRUE&amp;DOC_NAME=FAT:FQL_AUDITING_CLIENT_TEMPLATE.FAT&amp;display_string=Audit&amp;VAR:KEY=LUZWDCBURO&amp;VAR:QUERY=RkZfRUJJVERBX0lCKCdMVE1TJyw0MDA2NCk=&amp;WINDOW=FIRST_POPUP&amp;HEIGHT=450&amp;WIDTH=450&amp;START_MA","XIMIZED=FALSE&amp;VAR:CALENDAR=US&amp;VAR:SYMBOL=N0098510&amp;VAR:INDEX=0"}</definedName>
    <definedName name="_5649__FDSAUDITLINK__" hidden="1">{"fdsup://directions/FAT Viewer?action=UPDATE&amp;creator=factset&amp;DYN_ARGS=TRUE&amp;DOC_NAME=FAT:FQL_AUDITING_CLIENT_TEMPLATE.FAT&amp;display_string=Audit&amp;VAR:KEY=LUZWDCBURO&amp;VAR:QUERY=RkZfRUJJVERBX0lCKCdMVE1TJyw0MDA2NCk=&amp;WINDOW=FIRST_POPUP&amp;HEIGHT=450&amp;WIDTH=450&amp;START_MA","XIMIZED=FALSE&amp;VAR:CALENDAR=US&amp;VAR:SYMBOL=N0098510&amp;VAR:INDEX=0"}</definedName>
    <definedName name="_565__FDSAUDITLINK__" localSheetId="6" hidden="1">{"fdsup://directions/FAT%20Viewer?VAR:PED=LTM&amp;VAR:AUDIT_MODE=SUMMARY&amp;VAR:PERIOD=FIXED&amp;VAR:AUDIT_ID=00000117&amp;VAR:DATE=20080805&amp;action=UPDATE&amp;creator=factset&amp;DOC_NAME=FAT:FMA_audit_SUMMARY.fat&amp;DISPLAY_STRING=Display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5__FDSAUDITLINK__" hidden="1">{"fdsup://directions/FAT%20Viewer?VAR:PED=LTM&amp;VAR:AUDIT_MODE=SUMMARY&amp;VAR:PERIOD=FIXED&amp;VAR:AUDIT_ID=00000117&amp;VAR:DATE=20080805&amp;action=UPDATE&amp;creator=factset&amp;DOC_NAME=FAT:FMA_audit_SUMMARY.fat&amp;DISPLAY_STRING=Display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50__FDSAUDITLINK__" localSheetId="6" hidden="1">{"fdsup://directions/FAT Viewer?action=UPDATE&amp;creator=factset&amp;DYN_ARGS=TRUE&amp;DOC_NAME=FAT:FQL_AUDITING_CLIENT_TEMPLATE.FAT&amp;display_string=Audit&amp;VAR:KEY=JCRSVODGRO&amp;VAR:QUERY=RkZfRUJJVERBX0lCKCdMVE1TJyw0MDA2Myk=&amp;WINDOW=FIRST_POPUP&amp;HEIGHT=450&amp;WIDTH=450&amp;START_MA","XIMIZED=FALSE&amp;VAR:CALENDAR=US&amp;VAR:SYMBOL=N0098510&amp;VAR:INDEX=0"}</definedName>
    <definedName name="_5650__FDSAUDITLINK__" hidden="1">{"fdsup://directions/FAT Viewer?action=UPDATE&amp;creator=factset&amp;DYN_ARGS=TRUE&amp;DOC_NAME=FAT:FQL_AUDITING_CLIENT_TEMPLATE.FAT&amp;display_string=Audit&amp;VAR:KEY=JCRSVODGRO&amp;VAR:QUERY=RkZfRUJJVERBX0lCKCdMVE1TJyw0MDA2Myk=&amp;WINDOW=FIRST_POPUP&amp;HEIGHT=450&amp;WIDTH=450&amp;START_MA","XIMIZED=FALSE&amp;VAR:CALENDAR=US&amp;VAR:SYMBOL=N0098510&amp;VAR:INDEX=0"}</definedName>
    <definedName name="_5651__FDSAUDITLINK__" localSheetId="6" hidden="1">{"fdsup://directions/FAT Viewer?action=UPDATE&amp;creator=factset&amp;DYN_ARGS=TRUE&amp;DOC_NAME=FAT:FQL_AUDITING_CLIENT_TEMPLATE.FAT&amp;display_string=Audit&amp;VAR:KEY=JULQHERYFU&amp;VAR:QUERY=RkZfRUJJVERBX0lCKCdMVE1TJyw0MDA2Mik=&amp;WINDOW=FIRST_POPUP&amp;HEIGHT=450&amp;WIDTH=450&amp;START_MA","XIMIZED=FALSE&amp;VAR:CALENDAR=US&amp;VAR:SYMBOL=N0098510&amp;VAR:INDEX=0"}</definedName>
    <definedName name="_5651__FDSAUDITLINK__" hidden="1">{"fdsup://directions/FAT Viewer?action=UPDATE&amp;creator=factset&amp;DYN_ARGS=TRUE&amp;DOC_NAME=FAT:FQL_AUDITING_CLIENT_TEMPLATE.FAT&amp;display_string=Audit&amp;VAR:KEY=JULQHERYFU&amp;VAR:QUERY=RkZfRUJJVERBX0lCKCdMVE1TJyw0MDA2Mik=&amp;WINDOW=FIRST_POPUP&amp;HEIGHT=450&amp;WIDTH=450&amp;START_MA","XIMIZED=FALSE&amp;VAR:CALENDAR=US&amp;VAR:SYMBOL=N0098510&amp;VAR:INDEX=0"}</definedName>
    <definedName name="_5652__FDSAUDITLINK__" localSheetId="6" hidden="1">{"fdsup://directions/FAT Viewer?action=UPDATE&amp;creator=factset&amp;DYN_ARGS=TRUE&amp;DOC_NAME=FAT:FQL_AUDITING_CLIENT_TEMPLATE.FAT&amp;display_string=Audit&amp;VAR:KEY=JMZAVUXIFE&amp;VAR:QUERY=RkZfRUJJVERBX0lCKCdMVE1TJyw0MDA2MSk=&amp;WINDOW=FIRST_POPUP&amp;HEIGHT=450&amp;WIDTH=450&amp;START_MA","XIMIZED=FALSE&amp;VAR:CALENDAR=US&amp;VAR:SYMBOL=N0098510&amp;VAR:INDEX=0"}</definedName>
    <definedName name="_5652__FDSAUDITLINK__" hidden="1">{"fdsup://directions/FAT Viewer?action=UPDATE&amp;creator=factset&amp;DYN_ARGS=TRUE&amp;DOC_NAME=FAT:FQL_AUDITING_CLIENT_TEMPLATE.FAT&amp;display_string=Audit&amp;VAR:KEY=JMZAVUXIFE&amp;VAR:QUERY=RkZfRUJJVERBX0lCKCdMVE1TJyw0MDA2MSk=&amp;WINDOW=FIRST_POPUP&amp;HEIGHT=450&amp;WIDTH=450&amp;START_MA","XIMIZED=FALSE&amp;VAR:CALENDAR=US&amp;VAR:SYMBOL=N0098510&amp;VAR:INDEX=0"}</definedName>
    <definedName name="_5653__FDSAUDITLINK__" localSheetId="6" hidden="1">{"fdsup://directions/FAT Viewer?action=UPDATE&amp;creator=factset&amp;DYN_ARGS=TRUE&amp;DOC_NAME=FAT:FQL_AUDITING_CLIENT_TEMPLATE.FAT&amp;display_string=Audit&amp;VAR:KEY=NGTCHEJGRO&amp;VAR:QUERY=RkZfRUJJVERBX0lCKCdMVE1TJyw0MDA2MCk=&amp;WINDOW=FIRST_POPUP&amp;HEIGHT=450&amp;WIDTH=450&amp;START_MA","XIMIZED=FALSE&amp;VAR:CALENDAR=US&amp;VAR:SYMBOL=N0098510&amp;VAR:INDEX=0"}</definedName>
    <definedName name="_5653__FDSAUDITLINK__" hidden="1">{"fdsup://directions/FAT Viewer?action=UPDATE&amp;creator=factset&amp;DYN_ARGS=TRUE&amp;DOC_NAME=FAT:FQL_AUDITING_CLIENT_TEMPLATE.FAT&amp;display_string=Audit&amp;VAR:KEY=NGTCHEJGRO&amp;VAR:QUERY=RkZfRUJJVERBX0lCKCdMVE1TJyw0MDA2MCk=&amp;WINDOW=FIRST_POPUP&amp;HEIGHT=450&amp;WIDTH=450&amp;START_MA","XIMIZED=FALSE&amp;VAR:CALENDAR=US&amp;VAR:SYMBOL=N0098510&amp;VAR:INDEX=0"}</definedName>
    <definedName name="_5654__FDSAUDITLINK__" localSheetId="6" hidden="1">{"fdsup://directions/FAT Viewer?action=UPDATE&amp;creator=factset&amp;DYN_ARGS=TRUE&amp;DOC_NAME=FAT:FQL_AUDITING_CLIENT_TEMPLATE.FAT&amp;display_string=Audit&amp;VAR:KEY=LATULYNOFA&amp;VAR:QUERY=RkZfRUJJVERBX0lCKCdMVE1TJyw0MDA1OSk=&amp;WINDOW=FIRST_POPUP&amp;HEIGHT=450&amp;WIDTH=450&amp;START_MA","XIMIZED=FALSE&amp;VAR:CALENDAR=US&amp;VAR:SYMBOL=N0098510&amp;VAR:INDEX=0"}</definedName>
    <definedName name="_5654__FDSAUDITLINK__" hidden="1">{"fdsup://directions/FAT Viewer?action=UPDATE&amp;creator=factset&amp;DYN_ARGS=TRUE&amp;DOC_NAME=FAT:FQL_AUDITING_CLIENT_TEMPLATE.FAT&amp;display_string=Audit&amp;VAR:KEY=LATULYNOFA&amp;VAR:QUERY=RkZfRUJJVERBX0lCKCdMVE1TJyw0MDA1OSk=&amp;WINDOW=FIRST_POPUP&amp;HEIGHT=450&amp;WIDTH=450&amp;START_MA","XIMIZED=FALSE&amp;VAR:CALENDAR=US&amp;VAR:SYMBOL=N0098510&amp;VAR:INDEX=0"}</definedName>
    <definedName name="_5655__FDSAUDITLINK__" localSheetId="6" hidden="1">{"fdsup://directions/FAT Viewer?action=UPDATE&amp;creator=factset&amp;DYN_ARGS=TRUE&amp;DOC_NAME=FAT:FQL_AUDITING_CLIENT_TEMPLATE.FAT&amp;display_string=Audit&amp;VAR:KEY=LGXANQVOTO&amp;VAR:QUERY=RkZfRUJJVERBX0lCKCdMVE1TJyw0MDA1OCk=&amp;WINDOW=FIRST_POPUP&amp;HEIGHT=450&amp;WIDTH=450&amp;START_MA","XIMIZED=FALSE&amp;VAR:CALENDAR=US&amp;VAR:SYMBOL=N0098510&amp;VAR:INDEX=0"}</definedName>
    <definedName name="_5655__FDSAUDITLINK__" hidden="1">{"fdsup://directions/FAT Viewer?action=UPDATE&amp;creator=factset&amp;DYN_ARGS=TRUE&amp;DOC_NAME=FAT:FQL_AUDITING_CLIENT_TEMPLATE.FAT&amp;display_string=Audit&amp;VAR:KEY=LGXANQVOTO&amp;VAR:QUERY=RkZfRUJJVERBX0lCKCdMVE1TJyw0MDA1OCk=&amp;WINDOW=FIRST_POPUP&amp;HEIGHT=450&amp;WIDTH=450&amp;START_MA","XIMIZED=FALSE&amp;VAR:CALENDAR=US&amp;VAR:SYMBOL=N0098510&amp;VAR:INDEX=0"}</definedName>
    <definedName name="_5656__FDSAUDITLINK__" localSheetId="6" hidden="1">{"fdsup://directions/FAT Viewer?action=UPDATE&amp;creator=factset&amp;DYN_ARGS=TRUE&amp;DOC_NAME=FAT:FQL_AUDITING_CLIENT_TEMPLATE.FAT&amp;display_string=Audit&amp;VAR:KEY=DERKXIHIRE&amp;VAR:QUERY=RkZfRUJJVERBX0lCKCdMVE1TJyw0MDA1Nyk=&amp;WINDOW=FIRST_POPUP&amp;HEIGHT=450&amp;WIDTH=450&amp;START_MA","XIMIZED=FALSE&amp;VAR:CALENDAR=US&amp;VAR:SYMBOL=N0098510&amp;VAR:INDEX=0"}</definedName>
    <definedName name="_5656__FDSAUDITLINK__" hidden="1">{"fdsup://directions/FAT Viewer?action=UPDATE&amp;creator=factset&amp;DYN_ARGS=TRUE&amp;DOC_NAME=FAT:FQL_AUDITING_CLIENT_TEMPLATE.FAT&amp;display_string=Audit&amp;VAR:KEY=DERKXIHIRE&amp;VAR:QUERY=RkZfRUJJVERBX0lCKCdMVE1TJyw0MDA1Nyk=&amp;WINDOW=FIRST_POPUP&amp;HEIGHT=450&amp;WIDTH=450&amp;START_MA","XIMIZED=FALSE&amp;VAR:CALENDAR=US&amp;VAR:SYMBOL=N0098510&amp;VAR:INDEX=0"}</definedName>
    <definedName name="_5657__FDSAUDITLINK__" localSheetId="6" hidden="1">{"fdsup://directions/FAT Viewer?action=UPDATE&amp;creator=factset&amp;DYN_ARGS=TRUE&amp;DOC_NAME=FAT:FQL_AUDITING_CLIENT_TEMPLATE.FAT&amp;display_string=Audit&amp;VAR:KEY=LMPQTEFSFC&amp;VAR:QUERY=RkZfRUJJVERBX0lCKCdMVE1TJyw0MDA1Nik=&amp;WINDOW=FIRST_POPUP&amp;HEIGHT=450&amp;WIDTH=450&amp;START_MA","XIMIZED=FALSE&amp;VAR:CALENDAR=US&amp;VAR:SYMBOL=N0098510&amp;VAR:INDEX=0"}</definedName>
    <definedName name="_5657__FDSAUDITLINK__" hidden="1">{"fdsup://directions/FAT Viewer?action=UPDATE&amp;creator=factset&amp;DYN_ARGS=TRUE&amp;DOC_NAME=FAT:FQL_AUDITING_CLIENT_TEMPLATE.FAT&amp;display_string=Audit&amp;VAR:KEY=LMPQTEFSFC&amp;VAR:QUERY=RkZfRUJJVERBX0lCKCdMVE1TJyw0MDA1Nik=&amp;WINDOW=FIRST_POPUP&amp;HEIGHT=450&amp;WIDTH=450&amp;START_MA","XIMIZED=FALSE&amp;VAR:CALENDAR=US&amp;VAR:SYMBOL=N0098510&amp;VAR:INDEX=0"}</definedName>
    <definedName name="_5658__FDSAUDITLINK__" localSheetId="6" hidden="1">{"fdsup://directions/FAT Viewer?action=UPDATE&amp;creator=factset&amp;DYN_ARGS=TRUE&amp;DOC_NAME=FAT:FQL_AUDITING_CLIENT_TEMPLATE.FAT&amp;display_string=Audit&amp;VAR:KEY=PCXWPSHCTM&amp;VAR:QUERY=RkZfRUJJVERBX0lCKCdMVE1TJyw0MDA1NSk=&amp;WINDOW=FIRST_POPUP&amp;HEIGHT=450&amp;WIDTH=450&amp;START_MA","XIMIZED=FALSE&amp;VAR:CALENDAR=US&amp;VAR:SYMBOL=N0098510&amp;VAR:INDEX=0"}</definedName>
    <definedName name="_5658__FDSAUDITLINK__" hidden="1">{"fdsup://directions/FAT Viewer?action=UPDATE&amp;creator=factset&amp;DYN_ARGS=TRUE&amp;DOC_NAME=FAT:FQL_AUDITING_CLIENT_TEMPLATE.FAT&amp;display_string=Audit&amp;VAR:KEY=PCXWPSHCTM&amp;VAR:QUERY=RkZfRUJJVERBX0lCKCdMVE1TJyw0MDA1NSk=&amp;WINDOW=FIRST_POPUP&amp;HEIGHT=450&amp;WIDTH=450&amp;START_MA","XIMIZED=FALSE&amp;VAR:CALENDAR=US&amp;VAR:SYMBOL=N0098510&amp;VAR:INDEX=0"}</definedName>
    <definedName name="_5659__FDSAUDITLINK__" localSheetId="6" hidden="1">{"fdsup://directions/FAT Viewer?action=UPDATE&amp;creator=factset&amp;DYN_ARGS=TRUE&amp;DOC_NAME=FAT:FQL_AUDITING_CLIENT_TEMPLATE.FAT&amp;display_string=Audit&amp;VAR:KEY=TMVMBMDCRS&amp;VAR:QUERY=RkZfRUJJVERBX0lCKCdMVE1TJyw0MDA1NCk=&amp;WINDOW=FIRST_POPUP&amp;HEIGHT=450&amp;WIDTH=450&amp;START_MA","XIMIZED=FALSE&amp;VAR:CALENDAR=US&amp;VAR:SYMBOL=N0098510&amp;VAR:INDEX=0"}</definedName>
    <definedName name="_5659__FDSAUDITLINK__" hidden="1">{"fdsup://directions/FAT Viewer?action=UPDATE&amp;creator=factset&amp;DYN_ARGS=TRUE&amp;DOC_NAME=FAT:FQL_AUDITING_CLIENT_TEMPLATE.FAT&amp;display_string=Audit&amp;VAR:KEY=TMVMBMDCRS&amp;VAR:QUERY=RkZfRUJJVERBX0lCKCdMVE1TJyw0MDA1NCk=&amp;WINDOW=FIRST_POPUP&amp;HEIGHT=450&amp;WIDTH=450&amp;START_MA","XIMIZED=FALSE&amp;VAR:CALENDAR=US&amp;VAR:SYMBOL=N0098510&amp;VAR:INDEX=0"}</definedName>
    <definedName name="_566__FDSAUDITLINK__" localSheetId="6" hidden="1">{"fdsup://directions/FAT%20Viewer?VAR:PED=LTM&amp;VAR:AUDIT_MODE=SUMMARY&amp;VAR:PERIOD=FIXED&amp;VAR:AUDIT_ID=00000117&amp;VAR:DATE=20080804&amp;action=UPDATE&amp;creator=factset&amp;DOC_NAME=FAT:FMA_audit_SUMMARY.fat&amp;DISPLAY_STRING=Display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6__FDSAUDITLINK__" hidden="1">{"fdsup://directions/FAT%20Viewer?VAR:PED=LTM&amp;VAR:AUDIT_MODE=SUMMARY&amp;VAR:PERIOD=FIXED&amp;VAR:AUDIT_ID=00000117&amp;VAR:DATE=20080804&amp;action=UPDATE&amp;creator=factset&amp;DOC_NAME=FAT:FMA_audit_SUMMARY.fat&amp;DISPLAY_STRING=Display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60__FDSAUDITLINK__" localSheetId="6" hidden="1">{"fdsup://directions/FAT Viewer?action=UPDATE&amp;creator=factset&amp;DYN_ARGS=TRUE&amp;DOC_NAME=FAT:FQL_AUDITING_CLIENT_TEMPLATE.FAT&amp;display_string=Audit&amp;VAR:KEY=NETIRUPWPE&amp;VAR:QUERY=RkZfRUJJVERBX0lCKCdMVE1TJyw0MDA1Myk=&amp;WINDOW=FIRST_POPUP&amp;HEIGHT=450&amp;WIDTH=450&amp;START_MA","XIMIZED=FALSE&amp;VAR:CALENDAR=US&amp;VAR:SYMBOL=N0098510&amp;VAR:INDEX=0"}</definedName>
    <definedName name="_5660__FDSAUDITLINK__" hidden="1">{"fdsup://directions/FAT Viewer?action=UPDATE&amp;creator=factset&amp;DYN_ARGS=TRUE&amp;DOC_NAME=FAT:FQL_AUDITING_CLIENT_TEMPLATE.FAT&amp;display_string=Audit&amp;VAR:KEY=NETIRUPWPE&amp;VAR:QUERY=RkZfRUJJVERBX0lCKCdMVE1TJyw0MDA1Myk=&amp;WINDOW=FIRST_POPUP&amp;HEIGHT=450&amp;WIDTH=450&amp;START_MA","XIMIZED=FALSE&amp;VAR:CALENDAR=US&amp;VAR:SYMBOL=N0098510&amp;VAR:INDEX=0"}</definedName>
    <definedName name="_5661__FDSAUDITLINK__" localSheetId="6" hidden="1">{"fdsup://directions/FAT Viewer?action=UPDATE&amp;creator=factset&amp;DYN_ARGS=TRUE&amp;DOC_NAME=FAT:FQL_AUDITING_CLIENT_TEMPLATE.FAT&amp;display_string=Audit&amp;VAR:KEY=DMLIVERCFM&amp;VAR:QUERY=RkZfRUJJVERBX0lCKCdMVE1TJyw0MDA1Mik=&amp;WINDOW=FIRST_POPUP&amp;HEIGHT=450&amp;WIDTH=450&amp;START_MA","XIMIZED=FALSE&amp;VAR:CALENDAR=US&amp;VAR:SYMBOL=N0098510&amp;VAR:INDEX=0"}</definedName>
    <definedName name="_5661__FDSAUDITLINK__" hidden="1">{"fdsup://directions/FAT Viewer?action=UPDATE&amp;creator=factset&amp;DYN_ARGS=TRUE&amp;DOC_NAME=FAT:FQL_AUDITING_CLIENT_TEMPLATE.FAT&amp;display_string=Audit&amp;VAR:KEY=DMLIVERCFM&amp;VAR:QUERY=RkZfRUJJVERBX0lCKCdMVE1TJyw0MDA1Mik=&amp;WINDOW=FIRST_POPUP&amp;HEIGHT=450&amp;WIDTH=450&amp;START_MA","XIMIZED=FALSE&amp;VAR:CALENDAR=US&amp;VAR:SYMBOL=N0098510&amp;VAR:INDEX=0"}</definedName>
    <definedName name="_5662__FDSAUDITLINK__" localSheetId="6" hidden="1">{"fdsup://directions/FAT Viewer?action=UPDATE&amp;creator=factset&amp;DYN_ARGS=TRUE&amp;DOC_NAME=FAT:FQL_AUDITING_CLIENT_TEMPLATE.FAT&amp;display_string=Audit&amp;VAR:KEY=DCHYPUFCXG&amp;VAR:QUERY=RkZfRUJJVERBX0lCKCdMVE1TJyw0MDA1MSk=&amp;WINDOW=FIRST_POPUP&amp;HEIGHT=450&amp;WIDTH=450&amp;START_MA","XIMIZED=FALSE&amp;VAR:CALENDAR=US&amp;VAR:SYMBOL=N0098510&amp;VAR:INDEX=0"}</definedName>
    <definedName name="_5662__FDSAUDITLINK__" hidden="1">{"fdsup://directions/FAT Viewer?action=UPDATE&amp;creator=factset&amp;DYN_ARGS=TRUE&amp;DOC_NAME=FAT:FQL_AUDITING_CLIENT_TEMPLATE.FAT&amp;display_string=Audit&amp;VAR:KEY=DCHYPUFCXG&amp;VAR:QUERY=RkZfRUJJVERBX0lCKCdMVE1TJyw0MDA1MSk=&amp;WINDOW=FIRST_POPUP&amp;HEIGHT=450&amp;WIDTH=450&amp;START_MA","XIMIZED=FALSE&amp;VAR:CALENDAR=US&amp;VAR:SYMBOL=N0098510&amp;VAR:INDEX=0"}</definedName>
    <definedName name="_5663__FDSAUDITLINK__" localSheetId="6" hidden="1">{"fdsup://directions/FAT Viewer?action=UPDATE&amp;creator=factset&amp;DYN_ARGS=TRUE&amp;DOC_NAME=FAT:FQL_AUDITING_CLIENT_TEMPLATE.FAT&amp;display_string=Audit&amp;VAR:KEY=VSRGVAXMJS&amp;VAR:QUERY=RkZfRUJJVERBX0lCKCdMVE1TJyw0MDA1MCk=&amp;WINDOW=FIRST_POPUP&amp;HEIGHT=450&amp;WIDTH=450&amp;START_MA","XIMIZED=FALSE&amp;VAR:CALENDAR=US&amp;VAR:SYMBOL=N0098510&amp;VAR:INDEX=0"}</definedName>
    <definedName name="_5663__FDSAUDITLINK__" hidden="1">{"fdsup://directions/FAT Viewer?action=UPDATE&amp;creator=factset&amp;DYN_ARGS=TRUE&amp;DOC_NAME=FAT:FQL_AUDITING_CLIENT_TEMPLATE.FAT&amp;display_string=Audit&amp;VAR:KEY=VSRGVAXMJS&amp;VAR:QUERY=RkZfRUJJVERBX0lCKCdMVE1TJyw0MDA1MCk=&amp;WINDOW=FIRST_POPUP&amp;HEIGHT=450&amp;WIDTH=450&amp;START_MA","XIMIZED=FALSE&amp;VAR:CALENDAR=US&amp;VAR:SYMBOL=N0098510&amp;VAR:INDEX=0"}</definedName>
    <definedName name="_5664__FDSAUDITLINK__" localSheetId="6" hidden="1">{"fdsup://directions/FAT Viewer?action=UPDATE&amp;creator=factset&amp;DYN_ARGS=TRUE&amp;DOC_NAME=FAT:FQL_AUDITING_CLIENT_TEMPLATE.FAT&amp;display_string=Audit&amp;VAR:KEY=FOXWHANCBW&amp;VAR:QUERY=RkZfRUJJVERBX0lCKCdMVE1TJyw0MDA0OSk=&amp;WINDOW=FIRST_POPUP&amp;HEIGHT=450&amp;WIDTH=450&amp;START_MA","XIMIZED=FALSE&amp;VAR:CALENDAR=US&amp;VAR:SYMBOL=N0098510&amp;VAR:INDEX=0"}</definedName>
    <definedName name="_5664__FDSAUDITLINK__" hidden="1">{"fdsup://directions/FAT Viewer?action=UPDATE&amp;creator=factset&amp;DYN_ARGS=TRUE&amp;DOC_NAME=FAT:FQL_AUDITING_CLIENT_TEMPLATE.FAT&amp;display_string=Audit&amp;VAR:KEY=FOXWHANCBW&amp;VAR:QUERY=RkZfRUJJVERBX0lCKCdMVE1TJyw0MDA0OSk=&amp;WINDOW=FIRST_POPUP&amp;HEIGHT=450&amp;WIDTH=450&amp;START_MA","XIMIZED=FALSE&amp;VAR:CALENDAR=US&amp;VAR:SYMBOL=N0098510&amp;VAR:INDEX=0"}</definedName>
    <definedName name="_5665__FDSAUDITLINK__" localSheetId="6" hidden="1">{"fdsup://directions/FAT Viewer?action=UPDATE&amp;creator=factset&amp;DYN_ARGS=TRUE&amp;DOC_NAME=FAT:FQL_AUDITING_CLIENT_TEMPLATE.FAT&amp;display_string=Audit&amp;VAR:KEY=VYLQLCBQRC&amp;VAR:QUERY=RkZfRUJJVERBX0lCKCdMVE1TJyw0MDA0OCk=&amp;WINDOW=FIRST_POPUP&amp;HEIGHT=450&amp;WIDTH=450&amp;START_MA","XIMIZED=FALSE&amp;VAR:CALENDAR=US&amp;VAR:SYMBOL=N0098510&amp;VAR:INDEX=0"}</definedName>
    <definedName name="_5665__FDSAUDITLINK__" hidden="1">{"fdsup://directions/FAT Viewer?action=UPDATE&amp;creator=factset&amp;DYN_ARGS=TRUE&amp;DOC_NAME=FAT:FQL_AUDITING_CLIENT_TEMPLATE.FAT&amp;display_string=Audit&amp;VAR:KEY=VYLQLCBQRC&amp;VAR:QUERY=RkZfRUJJVERBX0lCKCdMVE1TJyw0MDA0OCk=&amp;WINDOW=FIRST_POPUP&amp;HEIGHT=450&amp;WIDTH=450&amp;START_MA","XIMIZED=FALSE&amp;VAR:CALENDAR=US&amp;VAR:SYMBOL=N0098510&amp;VAR:INDEX=0"}</definedName>
    <definedName name="_5666__FDSAUDITLINK__" localSheetId="6" hidden="1">{"fdsup://directions/FAT Viewer?action=UPDATE&amp;creator=factset&amp;DYN_ARGS=TRUE&amp;DOC_NAME=FAT:FQL_AUDITING_CLIENT_TEMPLATE.FAT&amp;display_string=Audit&amp;VAR:KEY=FKLSTOXOHE&amp;VAR:QUERY=RkZfRUJJVERBX0lCKCdMVE1TJyw0MDA0Nyk=&amp;WINDOW=FIRST_POPUP&amp;HEIGHT=450&amp;WIDTH=450&amp;START_MA","XIMIZED=FALSE&amp;VAR:CALENDAR=US&amp;VAR:SYMBOL=N0098510&amp;VAR:INDEX=0"}</definedName>
    <definedName name="_5666__FDSAUDITLINK__" hidden="1">{"fdsup://directions/FAT Viewer?action=UPDATE&amp;creator=factset&amp;DYN_ARGS=TRUE&amp;DOC_NAME=FAT:FQL_AUDITING_CLIENT_TEMPLATE.FAT&amp;display_string=Audit&amp;VAR:KEY=FKLSTOXOHE&amp;VAR:QUERY=RkZfRUJJVERBX0lCKCdMVE1TJyw0MDA0Nyk=&amp;WINDOW=FIRST_POPUP&amp;HEIGHT=450&amp;WIDTH=450&amp;START_MA","XIMIZED=FALSE&amp;VAR:CALENDAR=US&amp;VAR:SYMBOL=N0098510&amp;VAR:INDEX=0"}</definedName>
    <definedName name="_5667__FDSAUDITLINK__" localSheetId="6" hidden="1">{"fdsup://directions/FAT Viewer?action=UPDATE&amp;creator=factset&amp;DYN_ARGS=TRUE&amp;DOC_NAME=FAT:FQL_AUDITING_CLIENT_TEMPLATE.FAT&amp;display_string=Audit&amp;VAR:KEY=PCJMZSNOTE&amp;VAR:QUERY=RkZfRUJJVERBX0lCKCdMVE1TJyw0MDA0Nik=&amp;WINDOW=FIRST_POPUP&amp;HEIGHT=450&amp;WIDTH=450&amp;START_MA","XIMIZED=FALSE&amp;VAR:CALENDAR=US&amp;VAR:SYMBOL=N0098510&amp;VAR:INDEX=0"}</definedName>
    <definedName name="_5667__FDSAUDITLINK__" hidden="1">{"fdsup://directions/FAT Viewer?action=UPDATE&amp;creator=factset&amp;DYN_ARGS=TRUE&amp;DOC_NAME=FAT:FQL_AUDITING_CLIENT_TEMPLATE.FAT&amp;display_string=Audit&amp;VAR:KEY=PCJMZSNOTE&amp;VAR:QUERY=RkZfRUJJVERBX0lCKCdMVE1TJyw0MDA0Nik=&amp;WINDOW=FIRST_POPUP&amp;HEIGHT=450&amp;WIDTH=450&amp;START_MA","XIMIZED=FALSE&amp;VAR:CALENDAR=US&amp;VAR:SYMBOL=N0098510&amp;VAR:INDEX=0"}</definedName>
    <definedName name="_5668__FDSAUDITLINK__" localSheetId="6" hidden="1">{"fdsup://directions/FAT Viewer?action=UPDATE&amp;creator=factset&amp;DYN_ARGS=TRUE&amp;DOC_NAME=FAT:FQL_AUDITING_CLIENT_TEMPLATE.FAT&amp;display_string=Audit&amp;VAR:KEY=VMLCLKROVM&amp;VAR:QUERY=RkZfRUJJVERBX0lCKCdMVE1TJyw0MDA0NSk=&amp;WINDOW=FIRST_POPUP&amp;HEIGHT=450&amp;WIDTH=450&amp;START_MA","XIMIZED=FALSE&amp;VAR:CALENDAR=US&amp;VAR:SYMBOL=N0098510&amp;VAR:INDEX=0"}</definedName>
    <definedName name="_5668__FDSAUDITLINK__" hidden="1">{"fdsup://directions/FAT Viewer?action=UPDATE&amp;creator=factset&amp;DYN_ARGS=TRUE&amp;DOC_NAME=FAT:FQL_AUDITING_CLIENT_TEMPLATE.FAT&amp;display_string=Audit&amp;VAR:KEY=VMLCLKROVM&amp;VAR:QUERY=RkZfRUJJVERBX0lCKCdMVE1TJyw0MDA0NSk=&amp;WINDOW=FIRST_POPUP&amp;HEIGHT=450&amp;WIDTH=450&amp;START_MA","XIMIZED=FALSE&amp;VAR:CALENDAR=US&amp;VAR:SYMBOL=N0098510&amp;VAR:INDEX=0"}</definedName>
    <definedName name="_5669__FDSAUDITLINK__" localSheetId="6" hidden="1">{"fdsup://directions/FAT Viewer?action=UPDATE&amp;creator=factset&amp;DYN_ARGS=TRUE&amp;DOC_NAME=FAT:FQL_AUDITING_CLIENT_TEMPLATE.FAT&amp;display_string=Audit&amp;VAR:KEY=RSTMXETCVE&amp;VAR:QUERY=RkZfRUJJVERBX0lCKCdMVE1TJyw0MDA0NCk=&amp;WINDOW=FIRST_POPUP&amp;HEIGHT=450&amp;WIDTH=450&amp;START_MA","XIMIZED=FALSE&amp;VAR:CALENDAR=US&amp;VAR:SYMBOL=N0098510&amp;VAR:INDEX=0"}</definedName>
    <definedName name="_5669__FDSAUDITLINK__" hidden="1">{"fdsup://directions/FAT Viewer?action=UPDATE&amp;creator=factset&amp;DYN_ARGS=TRUE&amp;DOC_NAME=FAT:FQL_AUDITING_CLIENT_TEMPLATE.FAT&amp;display_string=Audit&amp;VAR:KEY=RSTMXETCVE&amp;VAR:QUERY=RkZfRUJJVERBX0lCKCdMVE1TJyw0MDA0NCk=&amp;WINDOW=FIRST_POPUP&amp;HEIGHT=450&amp;WIDTH=450&amp;START_MA","XIMIZED=FALSE&amp;VAR:CALENDAR=US&amp;VAR:SYMBOL=N0098510&amp;VAR:INDEX=0"}</definedName>
    <definedName name="_567__FDSAUDITLINK__" localSheetId="6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7__FDSAUDITLINK__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70__FDSAUDITLINK__" localSheetId="6" hidden="1">{"fdsup://directions/FAT Viewer?action=UPDATE&amp;creator=factset&amp;DYN_ARGS=TRUE&amp;DOC_NAME=FAT:FQL_AUDITING_CLIENT_TEMPLATE.FAT&amp;display_string=Audit&amp;VAR:KEY=RIBYNMJUVI&amp;VAR:QUERY=RkZfRUJJVERBX0lCKCdMVE1TJyw0MDA0Myk=&amp;WINDOW=FIRST_POPUP&amp;HEIGHT=450&amp;WIDTH=450&amp;START_MA","XIMIZED=FALSE&amp;VAR:CALENDAR=US&amp;VAR:SYMBOL=N0098510&amp;VAR:INDEX=0"}</definedName>
    <definedName name="_5670__FDSAUDITLINK__" hidden="1">{"fdsup://directions/FAT Viewer?action=UPDATE&amp;creator=factset&amp;DYN_ARGS=TRUE&amp;DOC_NAME=FAT:FQL_AUDITING_CLIENT_TEMPLATE.FAT&amp;display_string=Audit&amp;VAR:KEY=RIBYNMJUVI&amp;VAR:QUERY=RkZfRUJJVERBX0lCKCdMVE1TJyw0MDA0Myk=&amp;WINDOW=FIRST_POPUP&amp;HEIGHT=450&amp;WIDTH=450&amp;START_MA","XIMIZED=FALSE&amp;VAR:CALENDAR=US&amp;VAR:SYMBOL=N0098510&amp;VAR:INDEX=0"}</definedName>
    <definedName name="_5671__FDSAUDITLINK__" localSheetId="6" hidden="1">{"fdsup://directions/FAT Viewer?action=UPDATE&amp;creator=factset&amp;DYN_ARGS=TRUE&amp;DOC_NAME=FAT:FQL_AUDITING_CLIENT_TEMPLATE.FAT&amp;display_string=Audit&amp;VAR:KEY=TADUVYFGJU&amp;VAR:QUERY=RkZfRUJJVERBX0lCKCdMVE1TJyw0MDA0Mik=&amp;WINDOW=FIRST_POPUP&amp;HEIGHT=450&amp;WIDTH=450&amp;START_MA","XIMIZED=FALSE&amp;VAR:CALENDAR=US&amp;VAR:SYMBOL=N0098510&amp;VAR:INDEX=0"}</definedName>
    <definedName name="_5671__FDSAUDITLINK__" hidden="1">{"fdsup://directions/FAT Viewer?action=UPDATE&amp;creator=factset&amp;DYN_ARGS=TRUE&amp;DOC_NAME=FAT:FQL_AUDITING_CLIENT_TEMPLATE.FAT&amp;display_string=Audit&amp;VAR:KEY=TADUVYFGJU&amp;VAR:QUERY=RkZfRUJJVERBX0lCKCdMVE1TJyw0MDA0Mik=&amp;WINDOW=FIRST_POPUP&amp;HEIGHT=450&amp;WIDTH=450&amp;START_MA","XIMIZED=FALSE&amp;VAR:CALENDAR=US&amp;VAR:SYMBOL=N0098510&amp;VAR:INDEX=0"}</definedName>
    <definedName name="_5672__FDSAUDITLINK__" localSheetId="6" hidden="1">{"fdsup://directions/FAT Viewer?action=UPDATE&amp;creator=factset&amp;DYN_ARGS=TRUE&amp;DOC_NAME=FAT:FQL_AUDITING_CLIENT_TEMPLATE.FAT&amp;display_string=Audit&amp;VAR:KEY=VIZCNCXGDC&amp;VAR:QUERY=RkZfRUJJVERBX0lCKCdMVE1TJyw0MDA0MSk=&amp;WINDOW=FIRST_POPUP&amp;HEIGHT=450&amp;WIDTH=450&amp;START_MA","XIMIZED=FALSE&amp;VAR:CALENDAR=US&amp;VAR:SYMBOL=N0098510&amp;VAR:INDEX=0"}</definedName>
    <definedName name="_5672__FDSAUDITLINK__" hidden="1">{"fdsup://directions/FAT Viewer?action=UPDATE&amp;creator=factset&amp;DYN_ARGS=TRUE&amp;DOC_NAME=FAT:FQL_AUDITING_CLIENT_TEMPLATE.FAT&amp;display_string=Audit&amp;VAR:KEY=VIZCNCXGDC&amp;VAR:QUERY=RkZfRUJJVERBX0lCKCdMVE1TJyw0MDA0MSk=&amp;WINDOW=FIRST_POPUP&amp;HEIGHT=450&amp;WIDTH=450&amp;START_MA","XIMIZED=FALSE&amp;VAR:CALENDAR=US&amp;VAR:SYMBOL=N0098510&amp;VAR:INDEX=0"}</definedName>
    <definedName name="_5673__FDSAUDITLINK__" localSheetId="6" hidden="1">{"fdsup://directions/FAT Viewer?action=UPDATE&amp;creator=factset&amp;DYN_ARGS=TRUE&amp;DOC_NAME=FAT:FQL_AUDITING_CLIENT_TEMPLATE.FAT&amp;display_string=Audit&amp;VAR:KEY=BMBCPQBABY&amp;VAR:QUERY=RkZfRUJJVERBX0lCKCdMVE1TJyw0MDA0MCk=&amp;WINDOW=FIRST_POPUP&amp;HEIGHT=450&amp;WIDTH=450&amp;START_MA","XIMIZED=FALSE&amp;VAR:CALENDAR=US&amp;VAR:SYMBOL=N0098510&amp;VAR:INDEX=0"}</definedName>
    <definedName name="_5673__FDSAUDITLINK__" hidden="1">{"fdsup://directions/FAT Viewer?action=UPDATE&amp;creator=factset&amp;DYN_ARGS=TRUE&amp;DOC_NAME=FAT:FQL_AUDITING_CLIENT_TEMPLATE.FAT&amp;display_string=Audit&amp;VAR:KEY=BMBCPQBABY&amp;VAR:QUERY=RkZfRUJJVERBX0lCKCdMVE1TJyw0MDA0MCk=&amp;WINDOW=FIRST_POPUP&amp;HEIGHT=450&amp;WIDTH=450&amp;START_MA","XIMIZED=FALSE&amp;VAR:CALENDAR=US&amp;VAR:SYMBOL=N0098510&amp;VAR:INDEX=0"}</definedName>
    <definedName name="_5674__FDSAUDITLINK__" localSheetId="6" hidden="1">{"fdsup://directions/FAT Viewer?action=UPDATE&amp;creator=factset&amp;DYN_ARGS=TRUE&amp;DOC_NAME=FAT:FQL_AUDITING_CLIENT_TEMPLATE.FAT&amp;display_string=Audit&amp;VAR:KEY=TAXCBCBSNO&amp;VAR:QUERY=RkZfRUJJVERBX0lCKCdMVE1TJyw0MDAzOSk=&amp;WINDOW=FIRST_POPUP&amp;HEIGHT=450&amp;WIDTH=450&amp;START_MA","XIMIZED=FALSE&amp;VAR:CALENDAR=US&amp;VAR:SYMBOL=N0098510&amp;VAR:INDEX=0"}</definedName>
    <definedName name="_5674__FDSAUDITLINK__" hidden="1">{"fdsup://directions/FAT Viewer?action=UPDATE&amp;creator=factset&amp;DYN_ARGS=TRUE&amp;DOC_NAME=FAT:FQL_AUDITING_CLIENT_TEMPLATE.FAT&amp;display_string=Audit&amp;VAR:KEY=TAXCBCBSNO&amp;VAR:QUERY=RkZfRUJJVERBX0lCKCdMVE1TJyw0MDAzOSk=&amp;WINDOW=FIRST_POPUP&amp;HEIGHT=450&amp;WIDTH=450&amp;START_MA","XIMIZED=FALSE&amp;VAR:CALENDAR=US&amp;VAR:SYMBOL=N0098510&amp;VAR:INDEX=0"}</definedName>
    <definedName name="_5675__FDSAUDITLINK__" localSheetId="6" hidden="1">{"fdsup://directions/FAT Viewer?action=UPDATE&amp;creator=factset&amp;DYN_ARGS=TRUE&amp;DOC_NAME=FAT:FQL_AUDITING_CLIENT_TEMPLATE.FAT&amp;display_string=Audit&amp;VAR:KEY=DATCNEJQZI&amp;VAR:QUERY=RkZfRUJJVERBX0lCKCdMVE1TJyw0MDAzOCk=&amp;WINDOW=FIRST_POPUP&amp;HEIGHT=450&amp;WIDTH=450&amp;START_MA","XIMIZED=FALSE&amp;VAR:CALENDAR=US&amp;VAR:SYMBOL=N0098510&amp;VAR:INDEX=0"}</definedName>
    <definedName name="_5675__FDSAUDITLINK__" hidden="1">{"fdsup://directions/FAT Viewer?action=UPDATE&amp;creator=factset&amp;DYN_ARGS=TRUE&amp;DOC_NAME=FAT:FQL_AUDITING_CLIENT_TEMPLATE.FAT&amp;display_string=Audit&amp;VAR:KEY=DATCNEJQZI&amp;VAR:QUERY=RkZfRUJJVERBX0lCKCdMVE1TJyw0MDAzOCk=&amp;WINDOW=FIRST_POPUP&amp;HEIGHT=450&amp;WIDTH=450&amp;START_MA","XIMIZED=FALSE&amp;VAR:CALENDAR=US&amp;VAR:SYMBOL=N0098510&amp;VAR:INDEX=0"}</definedName>
    <definedName name="_5676__FDSAUDITLINK__" localSheetId="6" hidden="1">{"fdsup://directions/FAT Viewer?action=UPDATE&amp;creator=factset&amp;DYN_ARGS=TRUE&amp;DOC_NAME=FAT:FQL_AUDITING_CLIENT_TEMPLATE.FAT&amp;display_string=Audit&amp;VAR:KEY=NURCLWJCJO&amp;VAR:QUERY=RkZfRUJJVERBX0lCKCdMVE1TJyw0MDAzNyk=&amp;WINDOW=FIRST_POPUP&amp;HEIGHT=450&amp;WIDTH=450&amp;START_MA","XIMIZED=FALSE&amp;VAR:CALENDAR=US&amp;VAR:SYMBOL=N0098510&amp;VAR:INDEX=0"}</definedName>
    <definedName name="_5676__FDSAUDITLINK__" hidden="1">{"fdsup://directions/FAT Viewer?action=UPDATE&amp;creator=factset&amp;DYN_ARGS=TRUE&amp;DOC_NAME=FAT:FQL_AUDITING_CLIENT_TEMPLATE.FAT&amp;display_string=Audit&amp;VAR:KEY=NURCLWJCJO&amp;VAR:QUERY=RkZfRUJJVERBX0lCKCdMVE1TJyw0MDAzNyk=&amp;WINDOW=FIRST_POPUP&amp;HEIGHT=450&amp;WIDTH=450&amp;START_MA","XIMIZED=FALSE&amp;VAR:CALENDAR=US&amp;VAR:SYMBOL=N0098510&amp;VAR:INDEX=0"}</definedName>
    <definedName name="_5677__FDSAUDITLINK__" localSheetId="6" hidden="1">{"fdsup://directions/FAT Viewer?action=UPDATE&amp;creator=factset&amp;DYN_ARGS=TRUE&amp;DOC_NAME=FAT:FQL_AUDITING_CLIENT_TEMPLATE.FAT&amp;display_string=Audit&amp;VAR:KEY=HEFGDQTIJI&amp;VAR:QUERY=RkZfRUJJVERBX0lCKCdMVE1TJyw0MDAzNik=&amp;WINDOW=FIRST_POPUP&amp;HEIGHT=450&amp;WIDTH=450&amp;START_MA","XIMIZED=FALSE&amp;VAR:CALENDAR=US&amp;VAR:SYMBOL=N0098510&amp;VAR:INDEX=0"}</definedName>
    <definedName name="_5677__FDSAUDITLINK__" hidden="1">{"fdsup://directions/FAT Viewer?action=UPDATE&amp;creator=factset&amp;DYN_ARGS=TRUE&amp;DOC_NAME=FAT:FQL_AUDITING_CLIENT_TEMPLATE.FAT&amp;display_string=Audit&amp;VAR:KEY=HEFGDQTIJI&amp;VAR:QUERY=RkZfRUJJVERBX0lCKCdMVE1TJyw0MDAzNik=&amp;WINDOW=FIRST_POPUP&amp;HEIGHT=450&amp;WIDTH=450&amp;START_MA","XIMIZED=FALSE&amp;VAR:CALENDAR=US&amp;VAR:SYMBOL=N0098510&amp;VAR:INDEX=0"}</definedName>
    <definedName name="_5678__FDSAUDITLINK__" localSheetId="6" hidden="1">{"fdsup://directions/FAT Viewer?action=UPDATE&amp;creator=factset&amp;DYN_ARGS=TRUE&amp;DOC_NAME=FAT:FQL_AUDITING_CLIENT_TEMPLATE.FAT&amp;display_string=Audit&amp;VAR:KEY=HANOHYNGTW&amp;VAR:QUERY=RkZfRUJJVERBX0lCKCdMVE1TJyw0MDAzNSk=&amp;WINDOW=FIRST_POPUP&amp;HEIGHT=450&amp;WIDTH=450&amp;START_MA","XIMIZED=FALSE&amp;VAR:CALENDAR=US&amp;VAR:SYMBOL=N0098510&amp;VAR:INDEX=0"}</definedName>
    <definedName name="_5678__FDSAUDITLINK__" hidden="1">{"fdsup://directions/FAT Viewer?action=UPDATE&amp;creator=factset&amp;DYN_ARGS=TRUE&amp;DOC_NAME=FAT:FQL_AUDITING_CLIENT_TEMPLATE.FAT&amp;display_string=Audit&amp;VAR:KEY=HANOHYNGTW&amp;VAR:QUERY=RkZfRUJJVERBX0lCKCdMVE1TJyw0MDAzNSk=&amp;WINDOW=FIRST_POPUP&amp;HEIGHT=450&amp;WIDTH=450&amp;START_MA","XIMIZED=FALSE&amp;VAR:CALENDAR=US&amp;VAR:SYMBOL=N0098510&amp;VAR:INDEX=0"}</definedName>
    <definedName name="_5679__FDSAUDITLINK__" localSheetId="6" hidden="1">{"fdsup://directions/FAT Viewer?action=UPDATE&amp;creator=factset&amp;DYN_ARGS=TRUE&amp;DOC_NAME=FAT:FQL_AUDITING_CLIENT_TEMPLATE.FAT&amp;display_string=Audit&amp;VAR:KEY=VQZWFITWNG&amp;VAR:QUERY=RkZfRUJJVERBX0lCKCdMVE1TJyw0MDAzNCk=&amp;WINDOW=FIRST_POPUP&amp;HEIGHT=450&amp;WIDTH=450&amp;START_MA","XIMIZED=FALSE&amp;VAR:CALENDAR=US&amp;VAR:SYMBOL=N0098510&amp;VAR:INDEX=0"}</definedName>
    <definedName name="_5679__FDSAUDITLINK__" hidden="1">{"fdsup://directions/FAT Viewer?action=UPDATE&amp;creator=factset&amp;DYN_ARGS=TRUE&amp;DOC_NAME=FAT:FQL_AUDITING_CLIENT_TEMPLATE.FAT&amp;display_string=Audit&amp;VAR:KEY=VQZWFITWNG&amp;VAR:QUERY=RkZfRUJJVERBX0lCKCdMVE1TJyw0MDAzNCk=&amp;WINDOW=FIRST_POPUP&amp;HEIGHT=450&amp;WIDTH=450&amp;START_MA","XIMIZED=FALSE&amp;VAR:CALENDAR=US&amp;VAR:SYMBOL=N0098510&amp;VAR:INDEX=0"}</definedName>
    <definedName name="_568__FDSAUDITLINK__" localSheetId="6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8__FDSAUDITLINK__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80__FDSAUDITLINK__" localSheetId="6" hidden="1">{"fdsup://directions/FAT Viewer?action=UPDATE&amp;creator=factset&amp;DYN_ARGS=TRUE&amp;DOC_NAME=FAT:FQL_AUDITING_CLIENT_TEMPLATE.FAT&amp;display_string=Audit&amp;VAR:KEY=TUDYTOVKRE&amp;VAR:QUERY=RkZfRUJJVERBX0lCKCdMVE1TJyw0MDAzMyk=&amp;WINDOW=FIRST_POPUP&amp;HEIGHT=450&amp;WIDTH=450&amp;START_MA","XIMIZED=FALSE&amp;VAR:CALENDAR=US&amp;VAR:SYMBOL=N0098510&amp;VAR:INDEX=0"}</definedName>
    <definedName name="_5680__FDSAUDITLINK__" hidden="1">{"fdsup://directions/FAT Viewer?action=UPDATE&amp;creator=factset&amp;DYN_ARGS=TRUE&amp;DOC_NAME=FAT:FQL_AUDITING_CLIENT_TEMPLATE.FAT&amp;display_string=Audit&amp;VAR:KEY=TUDYTOVKRE&amp;VAR:QUERY=RkZfRUJJVERBX0lCKCdMVE1TJyw0MDAzMyk=&amp;WINDOW=FIRST_POPUP&amp;HEIGHT=450&amp;WIDTH=450&amp;START_MA","XIMIZED=FALSE&amp;VAR:CALENDAR=US&amp;VAR:SYMBOL=N0098510&amp;VAR:INDEX=0"}</definedName>
    <definedName name="_5681__FDSAUDITLINK__" localSheetId="6" hidden="1">{"fdsup://directions/FAT Viewer?action=UPDATE&amp;creator=factset&amp;DYN_ARGS=TRUE&amp;DOC_NAME=FAT:FQL_AUDITING_CLIENT_TEMPLATE.FAT&amp;display_string=Audit&amp;VAR:KEY=RELSLGZQDS&amp;VAR:QUERY=RkZfRUJJVERBX0lCKCdMVE1TJyw0MDAzMik=&amp;WINDOW=FIRST_POPUP&amp;HEIGHT=450&amp;WIDTH=450&amp;START_MA","XIMIZED=FALSE&amp;VAR:CALENDAR=US&amp;VAR:SYMBOL=N0098510&amp;VAR:INDEX=0"}</definedName>
    <definedName name="_5681__FDSAUDITLINK__" hidden="1">{"fdsup://directions/FAT Viewer?action=UPDATE&amp;creator=factset&amp;DYN_ARGS=TRUE&amp;DOC_NAME=FAT:FQL_AUDITING_CLIENT_TEMPLATE.FAT&amp;display_string=Audit&amp;VAR:KEY=RELSLGZQDS&amp;VAR:QUERY=RkZfRUJJVERBX0lCKCdMVE1TJyw0MDAzMik=&amp;WINDOW=FIRST_POPUP&amp;HEIGHT=450&amp;WIDTH=450&amp;START_MA","XIMIZED=FALSE&amp;VAR:CALENDAR=US&amp;VAR:SYMBOL=N0098510&amp;VAR:INDEX=0"}</definedName>
    <definedName name="_5682__FDSAUDITLINK__" localSheetId="6" hidden="1">{"fdsup://directions/FAT Viewer?action=UPDATE&amp;creator=factset&amp;DYN_ARGS=TRUE&amp;DOC_NAME=FAT:FQL_AUDITING_CLIENT_TEMPLATE.FAT&amp;display_string=Audit&amp;VAR:KEY=POVADINOPS&amp;VAR:QUERY=RkZfRUJJVERBX0lCKCdMVE1TJyw0MDAzMSk=&amp;WINDOW=FIRST_POPUP&amp;HEIGHT=450&amp;WIDTH=450&amp;START_MA","XIMIZED=FALSE&amp;VAR:CALENDAR=US&amp;VAR:SYMBOL=N0098510&amp;VAR:INDEX=0"}</definedName>
    <definedName name="_5682__FDSAUDITLINK__" hidden="1">{"fdsup://directions/FAT Viewer?action=UPDATE&amp;creator=factset&amp;DYN_ARGS=TRUE&amp;DOC_NAME=FAT:FQL_AUDITING_CLIENT_TEMPLATE.FAT&amp;display_string=Audit&amp;VAR:KEY=POVADINOPS&amp;VAR:QUERY=RkZfRUJJVERBX0lCKCdMVE1TJyw0MDAzMSk=&amp;WINDOW=FIRST_POPUP&amp;HEIGHT=450&amp;WIDTH=450&amp;START_MA","XIMIZED=FALSE&amp;VAR:CALENDAR=US&amp;VAR:SYMBOL=N0098510&amp;VAR:INDEX=0"}</definedName>
    <definedName name="_5683__FDSAUDITLINK__" localSheetId="6" hidden="1">{"fdsup://directions/FAT Viewer?action=UPDATE&amp;creator=factset&amp;DYN_ARGS=TRUE&amp;DOC_NAME=FAT:FQL_AUDITING_CLIENT_TEMPLATE.FAT&amp;display_string=Audit&amp;VAR:KEY=TEZULEFAZC&amp;VAR:QUERY=RkZfRUJJVERBX0lCKCdMVE1TJyw0MDAzMCk=&amp;WINDOW=FIRST_POPUP&amp;HEIGHT=450&amp;WIDTH=450&amp;START_MA","XIMIZED=FALSE&amp;VAR:CALENDAR=US&amp;VAR:SYMBOL=N0098510&amp;VAR:INDEX=0"}</definedName>
    <definedName name="_5683__FDSAUDITLINK__" hidden="1">{"fdsup://directions/FAT Viewer?action=UPDATE&amp;creator=factset&amp;DYN_ARGS=TRUE&amp;DOC_NAME=FAT:FQL_AUDITING_CLIENT_TEMPLATE.FAT&amp;display_string=Audit&amp;VAR:KEY=TEZULEFAZC&amp;VAR:QUERY=RkZfRUJJVERBX0lCKCdMVE1TJyw0MDAzMCk=&amp;WINDOW=FIRST_POPUP&amp;HEIGHT=450&amp;WIDTH=450&amp;START_MA","XIMIZED=FALSE&amp;VAR:CALENDAR=US&amp;VAR:SYMBOL=N0098510&amp;VAR:INDEX=0"}</definedName>
    <definedName name="_5684__FDSAUDITLINK__" localSheetId="6" hidden="1">{"fdsup://directions/FAT Viewer?action=UPDATE&amp;creator=factset&amp;DYN_ARGS=TRUE&amp;DOC_NAME=FAT:FQL_AUDITING_CLIENT_TEMPLATE.FAT&amp;display_string=Audit&amp;VAR:KEY=DMHYJCJUFQ&amp;VAR:QUERY=RkZfRUJJVERBX0lCKCdMVE1TJyw0MDAyOSk=&amp;WINDOW=FIRST_POPUP&amp;HEIGHT=450&amp;WIDTH=450&amp;START_MA","XIMIZED=FALSE&amp;VAR:CALENDAR=US&amp;VAR:SYMBOL=N0098510&amp;VAR:INDEX=0"}</definedName>
    <definedName name="_5684__FDSAUDITLINK__" hidden="1">{"fdsup://directions/FAT Viewer?action=UPDATE&amp;creator=factset&amp;DYN_ARGS=TRUE&amp;DOC_NAME=FAT:FQL_AUDITING_CLIENT_TEMPLATE.FAT&amp;display_string=Audit&amp;VAR:KEY=DMHYJCJUFQ&amp;VAR:QUERY=RkZfRUJJVERBX0lCKCdMVE1TJyw0MDAyOSk=&amp;WINDOW=FIRST_POPUP&amp;HEIGHT=450&amp;WIDTH=450&amp;START_MA","XIMIZED=FALSE&amp;VAR:CALENDAR=US&amp;VAR:SYMBOL=N0098510&amp;VAR:INDEX=0"}</definedName>
    <definedName name="_5685__FDSAUDITLINK__" localSheetId="6" hidden="1">{"fdsup://directions/FAT Viewer?action=UPDATE&amp;creator=factset&amp;DYN_ARGS=TRUE&amp;DOC_NAME=FAT:FQL_AUDITING_CLIENT_TEMPLATE.FAT&amp;display_string=Audit&amp;VAR:KEY=LSZYPWJOZI&amp;VAR:QUERY=RkZfRUJJVERBX0lCKCdMVE1TJyw0MDAyOCk=&amp;WINDOW=FIRST_POPUP&amp;HEIGHT=450&amp;WIDTH=450&amp;START_MA","XIMIZED=FALSE&amp;VAR:CALENDAR=US&amp;VAR:SYMBOL=N0098510&amp;VAR:INDEX=0"}</definedName>
    <definedName name="_5685__FDSAUDITLINK__" hidden="1">{"fdsup://directions/FAT Viewer?action=UPDATE&amp;creator=factset&amp;DYN_ARGS=TRUE&amp;DOC_NAME=FAT:FQL_AUDITING_CLIENT_TEMPLATE.FAT&amp;display_string=Audit&amp;VAR:KEY=LSZYPWJOZI&amp;VAR:QUERY=RkZfRUJJVERBX0lCKCdMVE1TJyw0MDAyOCk=&amp;WINDOW=FIRST_POPUP&amp;HEIGHT=450&amp;WIDTH=450&amp;START_MA","XIMIZED=FALSE&amp;VAR:CALENDAR=US&amp;VAR:SYMBOL=N0098510&amp;VAR:INDEX=0"}</definedName>
    <definedName name="_5686__FDSAUDITLINK__" localSheetId="6" hidden="1">{"fdsup://directions/FAT Viewer?action=UPDATE&amp;creator=factset&amp;DYN_ARGS=TRUE&amp;DOC_NAME=FAT:FQL_AUDITING_CLIENT_TEMPLATE.FAT&amp;display_string=Audit&amp;VAR:KEY=HYVOBEPYXC&amp;VAR:QUERY=RkZfRUJJVERBX0lCKCdMVE1TJyw0MDAyNyk=&amp;WINDOW=FIRST_POPUP&amp;HEIGHT=450&amp;WIDTH=450&amp;START_MA","XIMIZED=FALSE&amp;VAR:CALENDAR=US&amp;VAR:SYMBOL=N0098510&amp;VAR:INDEX=0"}</definedName>
    <definedName name="_5686__FDSAUDITLINK__" hidden="1">{"fdsup://directions/FAT Viewer?action=UPDATE&amp;creator=factset&amp;DYN_ARGS=TRUE&amp;DOC_NAME=FAT:FQL_AUDITING_CLIENT_TEMPLATE.FAT&amp;display_string=Audit&amp;VAR:KEY=HYVOBEPYXC&amp;VAR:QUERY=RkZfRUJJVERBX0lCKCdMVE1TJyw0MDAyNyk=&amp;WINDOW=FIRST_POPUP&amp;HEIGHT=450&amp;WIDTH=450&amp;START_MA","XIMIZED=FALSE&amp;VAR:CALENDAR=US&amp;VAR:SYMBOL=N0098510&amp;VAR:INDEX=0"}</definedName>
    <definedName name="_5687__FDSAUDITLINK__" localSheetId="6" hidden="1">{"fdsup://directions/FAT Viewer?action=UPDATE&amp;creator=factset&amp;DYN_ARGS=TRUE&amp;DOC_NAME=FAT:FQL_AUDITING_CLIENT_TEMPLATE.FAT&amp;display_string=Audit&amp;VAR:KEY=XIBIHEPMLQ&amp;VAR:QUERY=RkZfRUJJVERBX0lCKCdMVE1TJyw0MDAyNik=&amp;WINDOW=FIRST_POPUP&amp;HEIGHT=450&amp;WIDTH=450&amp;START_MA","XIMIZED=FALSE&amp;VAR:CALENDAR=US&amp;VAR:SYMBOL=N0098510&amp;VAR:INDEX=0"}</definedName>
    <definedName name="_5687__FDSAUDITLINK__" hidden="1">{"fdsup://directions/FAT Viewer?action=UPDATE&amp;creator=factset&amp;DYN_ARGS=TRUE&amp;DOC_NAME=FAT:FQL_AUDITING_CLIENT_TEMPLATE.FAT&amp;display_string=Audit&amp;VAR:KEY=XIBIHEPMLQ&amp;VAR:QUERY=RkZfRUJJVERBX0lCKCdMVE1TJyw0MDAyNik=&amp;WINDOW=FIRST_POPUP&amp;HEIGHT=450&amp;WIDTH=450&amp;START_MA","XIMIZED=FALSE&amp;VAR:CALENDAR=US&amp;VAR:SYMBOL=N0098510&amp;VAR:INDEX=0"}</definedName>
    <definedName name="_5688__FDSAUDITLINK__" localSheetId="6" hidden="1">{"fdsup://directions/FAT Viewer?action=UPDATE&amp;creator=factset&amp;DYN_ARGS=TRUE&amp;DOC_NAME=FAT:FQL_AUDITING_CLIENT_TEMPLATE.FAT&amp;display_string=Audit&amp;VAR:KEY=FWRMBWNAXI&amp;VAR:QUERY=RkZfRUJJVERBX0lCKCdMVE1TJyw0MDAyNSk=&amp;WINDOW=FIRST_POPUP&amp;HEIGHT=450&amp;WIDTH=450&amp;START_MA","XIMIZED=FALSE&amp;VAR:CALENDAR=US&amp;VAR:SYMBOL=N0098510&amp;VAR:INDEX=0"}</definedName>
    <definedName name="_5688__FDSAUDITLINK__" hidden="1">{"fdsup://directions/FAT Viewer?action=UPDATE&amp;creator=factset&amp;DYN_ARGS=TRUE&amp;DOC_NAME=FAT:FQL_AUDITING_CLIENT_TEMPLATE.FAT&amp;display_string=Audit&amp;VAR:KEY=FWRMBWNAXI&amp;VAR:QUERY=RkZfRUJJVERBX0lCKCdMVE1TJyw0MDAyNSk=&amp;WINDOW=FIRST_POPUP&amp;HEIGHT=450&amp;WIDTH=450&amp;START_MA","XIMIZED=FALSE&amp;VAR:CALENDAR=US&amp;VAR:SYMBOL=N0098510&amp;VAR:INDEX=0"}</definedName>
    <definedName name="_5689__FDSAUDITLINK__" localSheetId="6" hidden="1">{"fdsup://directions/FAT Viewer?action=UPDATE&amp;creator=factset&amp;DYN_ARGS=TRUE&amp;DOC_NAME=FAT:FQL_AUDITING_CLIENT_TEMPLATE.FAT&amp;display_string=Audit&amp;VAR:KEY=FUROHOPOFA&amp;VAR:QUERY=RkZfRUJJVERBX0lCKCdMVE1TJyw0MDAyNCk=&amp;WINDOW=FIRST_POPUP&amp;HEIGHT=450&amp;WIDTH=450&amp;START_MA","XIMIZED=FALSE&amp;VAR:CALENDAR=US&amp;VAR:SYMBOL=N0098510&amp;VAR:INDEX=0"}</definedName>
    <definedName name="_5689__FDSAUDITLINK__" hidden="1">{"fdsup://directions/FAT Viewer?action=UPDATE&amp;creator=factset&amp;DYN_ARGS=TRUE&amp;DOC_NAME=FAT:FQL_AUDITING_CLIENT_TEMPLATE.FAT&amp;display_string=Audit&amp;VAR:KEY=FUROHOPOFA&amp;VAR:QUERY=RkZfRUJJVERBX0lCKCdMVE1TJyw0MDAyNCk=&amp;WINDOW=FIRST_POPUP&amp;HEIGHT=450&amp;WIDTH=450&amp;START_MA","XIMIZED=FALSE&amp;VAR:CALENDAR=US&amp;VAR:SYMBOL=N0098510&amp;VAR:INDEX=0"}</definedName>
    <definedName name="_569__FDSAUDITLINK__" localSheetId="6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9__FDSAUDITLINK__" hidden="1">{"fdsup://directions/FAT%20Viewer?VAR:PED=LTM&amp;VAR:AUDIT_MODE=SUMMARY&amp;VAR:PERIOD=FIXED&amp;VAR:AUDIT_ID=00000117&amp;VAR:DATE=20080801&amp;action=UPDATE&amp;creator=factset&amp;DOC_NAME=FAT:FMA_audit_SUMMARY.fat&amp;DISPLAY_STRING=Display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690__FDSAUDITLINK__" localSheetId="6" hidden="1">{"fdsup://directions/FAT Viewer?action=UPDATE&amp;creator=factset&amp;DYN_ARGS=TRUE&amp;DOC_NAME=FAT:FQL_AUDITING_CLIENT_TEMPLATE.FAT&amp;display_string=Audit&amp;VAR:KEY=PKLQPOJWHU&amp;VAR:QUERY=RkZfRUJJVERBX0lCKCdMVE1TJyw0MDAyMyk=&amp;WINDOW=FIRST_POPUP&amp;HEIGHT=450&amp;WIDTH=450&amp;START_MA","XIMIZED=FALSE&amp;VAR:CALENDAR=US&amp;VAR:SYMBOL=N0098510&amp;VAR:INDEX=0"}</definedName>
    <definedName name="_5690__FDSAUDITLINK__" hidden="1">{"fdsup://directions/FAT Viewer?action=UPDATE&amp;creator=factset&amp;DYN_ARGS=TRUE&amp;DOC_NAME=FAT:FQL_AUDITING_CLIENT_TEMPLATE.FAT&amp;display_string=Audit&amp;VAR:KEY=PKLQPOJWHU&amp;VAR:QUERY=RkZfRUJJVERBX0lCKCdMVE1TJyw0MDAyMyk=&amp;WINDOW=FIRST_POPUP&amp;HEIGHT=450&amp;WIDTH=450&amp;START_MA","XIMIZED=FALSE&amp;VAR:CALENDAR=US&amp;VAR:SYMBOL=N0098510&amp;VAR:INDEX=0"}</definedName>
    <definedName name="_5691__FDSAUDITLINK__" localSheetId="6" hidden="1">{"fdsup://directions/FAT Viewer?action=UPDATE&amp;creator=factset&amp;DYN_ARGS=TRUE&amp;DOC_NAME=FAT:FQL_AUDITING_CLIENT_TEMPLATE.FAT&amp;display_string=Audit&amp;VAR:KEY=XWZSLMTURM&amp;VAR:QUERY=RkZfRUJJVERBX0lCKCdMVE1TJyw0MDAyMik=&amp;WINDOW=FIRST_POPUP&amp;HEIGHT=450&amp;WIDTH=450&amp;START_MA","XIMIZED=FALSE&amp;VAR:CALENDAR=US&amp;VAR:SYMBOL=N0098510&amp;VAR:INDEX=0"}</definedName>
    <definedName name="_5691__FDSAUDITLINK__" hidden="1">{"fdsup://directions/FAT Viewer?action=UPDATE&amp;creator=factset&amp;DYN_ARGS=TRUE&amp;DOC_NAME=FAT:FQL_AUDITING_CLIENT_TEMPLATE.FAT&amp;display_string=Audit&amp;VAR:KEY=XWZSLMTURM&amp;VAR:QUERY=RkZfRUJJVERBX0lCKCdMVE1TJyw0MDAyMik=&amp;WINDOW=FIRST_POPUP&amp;HEIGHT=450&amp;WIDTH=450&amp;START_MA","XIMIZED=FALSE&amp;VAR:CALENDAR=US&amp;VAR:SYMBOL=N0098510&amp;VAR:INDEX=0"}</definedName>
    <definedName name="_5692__FDSAUDITLINK__" localSheetId="6" hidden="1">{"fdsup://directions/FAT Viewer?action=UPDATE&amp;creator=factset&amp;DYN_ARGS=TRUE&amp;DOC_NAME=FAT:FQL_AUDITING_CLIENT_TEMPLATE.FAT&amp;display_string=Audit&amp;VAR:KEY=VGRKZOVKBG&amp;VAR:QUERY=RkZfRUJJVERBX0lCKCdMVE1TJyw0MDAyMSk=&amp;WINDOW=FIRST_POPUP&amp;HEIGHT=450&amp;WIDTH=450&amp;START_MA","XIMIZED=FALSE&amp;VAR:CALENDAR=US&amp;VAR:SYMBOL=N0098510&amp;VAR:INDEX=0"}</definedName>
    <definedName name="_5692__FDSAUDITLINK__" hidden="1">{"fdsup://directions/FAT Viewer?action=UPDATE&amp;creator=factset&amp;DYN_ARGS=TRUE&amp;DOC_NAME=FAT:FQL_AUDITING_CLIENT_TEMPLATE.FAT&amp;display_string=Audit&amp;VAR:KEY=VGRKZOVKBG&amp;VAR:QUERY=RkZfRUJJVERBX0lCKCdMVE1TJyw0MDAyMSk=&amp;WINDOW=FIRST_POPUP&amp;HEIGHT=450&amp;WIDTH=450&amp;START_MA","XIMIZED=FALSE&amp;VAR:CALENDAR=US&amp;VAR:SYMBOL=N0098510&amp;VAR:INDEX=0"}</definedName>
    <definedName name="_5693__FDSAUDITLINK__" localSheetId="6" hidden="1">{"fdsup://directions/FAT Viewer?action=UPDATE&amp;creator=factset&amp;DYN_ARGS=TRUE&amp;DOC_NAME=FAT:FQL_AUDITING_CLIENT_TEMPLATE.FAT&amp;display_string=Audit&amp;VAR:KEY=PYPANYLIHC&amp;VAR:QUERY=RkZfRUJJVERBX0lCKCdMVE1TJyw0MDAyMCk=&amp;WINDOW=FIRST_POPUP&amp;HEIGHT=450&amp;WIDTH=450&amp;START_MA","XIMIZED=FALSE&amp;VAR:CALENDAR=US&amp;VAR:SYMBOL=N0098510&amp;VAR:INDEX=0"}</definedName>
    <definedName name="_5693__FDSAUDITLINK__" hidden="1">{"fdsup://directions/FAT Viewer?action=UPDATE&amp;creator=factset&amp;DYN_ARGS=TRUE&amp;DOC_NAME=FAT:FQL_AUDITING_CLIENT_TEMPLATE.FAT&amp;display_string=Audit&amp;VAR:KEY=PYPANYLIHC&amp;VAR:QUERY=RkZfRUJJVERBX0lCKCdMVE1TJyw0MDAyMCk=&amp;WINDOW=FIRST_POPUP&amp;HEIGHT=450&amp;WIDTH=450&amp;START_MA","XIMIZED=FALSE&amp;VAR:CALENDAR=US&amp;VAR:SYMBOL=N0098510&amp;VAR:INDEX=0"}</definedName>
    <definedName name="_5694__FDSAUDITLINK__" localSheetId="6" hidden="1">{"fdsup://directions/FAT Viewer?action=UPDATE&amp;creator=factset&amp;DYN_ARGS=TRUE&amp;DOC_NAME=FAT:FQL_AUDITING_CLIENT_TEMPLATE.FAT&amp;display_string=Audit&amp;VAR:KEY=LQJYFGHABW&amp;VAR:QUERY=RkZfRUJJVERBX0lCKCdMVE1TJyw0MDAxOSk=&amp;WINDOW=FIRST_POPUP&amp;HEIGHT=450&amp;WIDTH=450&amp;START_MA","XIMIZED=FALSE&amp;VAR:CALENDAR=US&amp;VAR:SYMBOL=N0098510&amp;VAR:INDEX=0"}</definedName>
    <definedName name="_5694__FDSAUDITLINK__" hidden="1">{"fdsup://directions/FAT Viewer?action=UPDATE&amp;creator=factset&amp;DYN_ARGS=TRUE&amp;DOC_NAME=FAT:FQL_AUDITING_CLIENT_TEMPLATE.FAT&amp;display_string=Audit&amp;VAR:KEY=LQJYFGHABW&amp;VAR:QUERY=RkZfRUJJVERBX0lCKCdMVE1TJyw0MDAxOSk=&amp;WINDOW=FIRST_POPUP&amp;HEIGHT=450&amp;WIDTH=450&amp;START_MA","XIMIZED=FALSE&amp;VAR:CALENDAR=US&amp;VAR:SYMBOL=N0098510&amp;VAR:INDEX=0"}</definedName>
    <definedName name="_5695__FDSAUDITLINK__" localSheetId="6" hidden="1">{"fdsup://directions/FAT Viewer?action=UPDATE&amp;creator=factset&amp;DYN_ARGS=TRUE&amp;DOC_NAME=FAT:FQL_AUDITING_CLIENT_TEMPLATE.FAT&amp;display_string=Audit&amp;VAR:KEY=DMZCJQDUVY&amp;VAR:QUERY=RkZfRUJJVERBX0lCKCdMVE1TJyw0MDAxOCk=&amp;WINDOW=FIRST_POPUP&amp;HEIGHT=450&amp;WIDTH=450&amp;START_MA","XIMIZED=FALSE&amp;VAR:CALENDAR=US&amp;VAR:SYMBOL=N0098510&amp;VAR:INDEX=0"}</definedName>
    <definedName name="_5695__FDSAUDITLINK__" hidden="1">{"fdsup://directions/FAT Viewer?action=UPDATE&amp;creator=factset&amp;DYN_ARGS=TRUE&amp;DOC_NAME=FAT:FQL_AUDITING_CLIENT_TEMPLATE.FAT&amp;display_string=Audit&amp;VAR:KEY=DMZCJQDUVY&amp;VAR:QUERY=RkZfRUJJVERBX0lCKCdMVE1TJyw0MDAxOCk=&amp;WINDOW=FIRST_POPUP&amp;HEIGHT=450&amp;WIDTH=450&amp;START_MA","XIMIZED=FALSE&amp;VAR:CALENDAR=US&amp;VAR:SYMBOL=N0098510&amp;VAR:INDEX=0"}</definedName>
    <definedName name="_5696__FDSAUDITLINK__" localSheetId="6" hidden="1">{"fdsup://directions/FAT Viewer?action=UPDATE&amp;creator=factset&amp;DYN_ARGS=TRUE&amp;DOC_NAME=FAT:FQL_AUDITING_CLIENT_TEMPLATE.FAT&amp;display_string=Audit&amp;VAR:KEY=FYBEJEPYBW&amp;VAR:QUERY=RkZfRUJJVERBX0lCKCdMVE1TJyw0MDAxNyk=&amp;WINDOW=FIRST_POPUP&amp;HEIGHT=450&amp;WIDTH=450&amp;START_MA","XIMIZED=FALSE&amp;VAR:CALENDAR=US&amp;VAR:SYMBOL=N0098510&amp;VAR:INDEX=0"}</definedName>
    <definedName name="_5696__FDSAUDITLINK__" hidden="1">{"fdsup://directions/FAT Viewer?action=UPDATE&amp;creator=factset&amp;DYN_ARGS=TRUE&amp;DOC_NAME=FAT:FQL_AUDITING_CLIENT_TEMPLATE.FAT&amp;display_string=Audit&amp;VAR:KEY=FYBEJEPYBW&amp;VAR:QUERY=RkZfRUJJVERBX0lCKCdMVE1TJyw0MDAxNyk=&amp;WINDOW=FIRST_POPUP&amp;HEIGHT=450&amp;WIDTH=450&amp;START_MA","XIMIZED=FALSE&amp;VAR:CALENDAR=US&amp;VAR:SYMBOL=N0098510&amp;VAR:INDEX=0"}</definedName>
    <definedName name="_5697__FDSAUDITLINK__" localSheetId="6" hidden="1">{"fdsup://directions/FAT Viewer?action=UPDATE&amp;creator=factset&amp;DYN_ARGS=TRUE&amp;DOC_NAME=FAT:FQL_AUDITING_CLIENT_TEMPLATE.FAT&amp;display_string=Audit&amp;VAR:KEY=POJWHWXEZY&amp;VAR:QUERY=RkZfRUJJVERBX0lCKCdMVE1TJyw0MDAxNik=&amp;WINDOW=FIRST_POPUP&amp;HEIGHT=450&amp;WIDTH=450&amp;START_MA","XIMIZED=FALSE&amp;VAR:CALENDAR=US&amp;VAR:SYMBOL=N0098510&amp;VAR:INDEX=0"}</definedName>
    <definedName name="_5697__FDSAUDITLINK__" hidden="1">{"fdsup://directions/FAT Viewer?action=UPDATE&amp;creator=factset&amp;DYN_ARGS=TRUE&amp;DOC_NAME=FAT:FQL_AUDITING_CLIENT_TEMPLATE.FAT&amp;display_string=Audit&amp;VAR:KEY=POJWHWXEZY&amp;VAR:QUERY=RkZfRUJJVERBX0lCKCdMVE1TJyw0MDAxNik=&amp;WINDOW=FIRST_POPUP&amp;HEIGHT=450&amp;WIDTH=450&amp;START_MA","XIMIZED=FALSE&amp;VAR:CALENDAR=US&amp;VAR:SYMBOL=N0098510&amp;VAR:INDEX=0"}</definedName>
    <definedName name="_5698__FDSAUDITLINK__" localSheetId="6" hidden="1">{"fdsup://directions/FAT Viewer?action=UPDATE&amp;creator=factset&amp;DYN_ARGS=TRUE&amp;DOC_NAME=FAT:FQL_AUDITING_CLIENT_TEMPLATE.FAT&amp;display_string=Audit&amp;VAR:KEY=DGRERUVKZW&amp;VAR:QUERY=RkZfRUJJVERBX0lCKCdMVE1TJyw0MDAxNSk=&amp;WINDOW=FIRST_POPUP&amp;HEIGHT=450&amp;WIDTH=450&amp;START_MA","XIMIZED=FALSE&amp;VAR:CALENDAR=US&amp;VAR:SYMBOL=N0098510&amp;VAR:INDEX=0"}</definedName>
    <definedName name="_5698__FDSAUDITLINK__" hidden="1">{"fdsup://directions/FAT Viewer?action=UPDATE&amp;creator=factset&amp;DYN_ARGS=TRUE&amp;DOC_NAME=FAT:FQL_AUDITING_CLIENT_TEMPLATE.FAT&amp;display_string=Audit&amp;VAR:KEY=DGRERUVKZW&amp;VAR:QUERY=RkZfRUJJVERBX0lCKCdMVE1TJyw0MDAxNSk=&amp;WINDOW=FIRST_POPUP&amp;HEIGHT=450&amp;WIDTH=450&amp;START_MA","XIMIZED=FALSE&amp;VAR:CALENDAR=US&amp;VAR:SYMBOL=N0098510&amp;VAR:INDEX=0"}</definedName>
    <definedName name="_5699__FDSAUDITLINK__" localSheetId="6" hidden="1">{"fdsup://directions/FAT Viewer?action=UPDATE&amp;creator=factset&amp;DYN_ARGS=TRUE&amp;DOC_NAME=FAT:FQL_AUDITING_CLIENT_TEMPLATE.FAT&amp;display_string=Audit&amp;VAR:KEY=XSVYJOJAXU&amp;VAR:QUERY=RkZfRUJJVERBX0lCKCdMVE1TJyw0MDAxNCk=&amp;WINDOW=FIRST_POPUP&amp;HEIGHT=450&amp;WIDTH=450&amp;START_MA","XIMIZED=FALSE&amp;VAR:CALENDAR=US&amp;VAR:SYMBOL=N0098510&amp;VAR:INDEX=0"}</definedName>
    <definedName name="_5699__FDSAUDITLINK__" hidden="1">{"fdsup://directions/FAT Viewer?action=UPDATE&amp;creator=factset&amp;DYN_ARGS=TRUE&amp;DOC_NAME=FAT:FQL_AUDITING_CLIENT_TEMPLATE.FAT&amp;display_string=Audit&amp;VAR:KEY=XSVYJOJAXU&amp;VAR:QUERY=RkZfRUJJVERBX0lCKCdMVE1TJyw0MDAxNCk=&amp;WINDOW=FIRST_POPUP&amp;HEIGHT=450&amp;WIDTH=450&amp;START_MA","XIMIZED=FALSE&amp;VAR:CALENDAR=US&amp;VAR:SYMBOL=N0098510&amp;VAR:INDEX=0"}</definedName>
    <definedName name="_57__FDSAUDITLINK__" localSheetId="6" hidden="1">{"fdsup://directions/FAT Viewer?action=UPDATE&amp;creator=factset&amp;DYN_ARGS=TRUE&amp;DOC_NAME=FAT:FQL_AUDITING_CLIENT_TEMPLATE.FAT&amp;display_string=Audit&amp;VAR:KEY=TQLIZYDGDQ&amp;VAR:QUERY=QVZHKENTRl9ORVRfSU5DKEFOTiwwRlksLTZGWSxZKSkgLyAoQVZHKENTRl9BU1NFVFMoQU5OLDBGWSwtNkZZL","EZZKSkgLSBBVkcoQ1NGX0lOVEFORyhBTk4sMCwtNkZZLEZZKSkp&amp;WINDOW=FIRST_POPUP&amp;HEIGHT=450&amp;WIDTH=450&amp;START_MAXIMIZED=FALSE&amp;VAR:CALENDAR=US&amp;VAR:SYMBOL=NNA"}</definedName>
    <definedName name="_57__FDSAUDITLINK__" hidden="1">{"fdsup://directions/FAT Viewer?action=UPDATE&amp;creator=factset&amp;DYN_ARGS=TRUE&amp;DOC_NAME=FAT:FQL_AUDITING_CLIENT_TEMPLATE.FAT&amp;display_string=Audit&amp;VAR:KEY=TQLIZYDGDQ&amp;VAR:QUERY=QVZHKENTRl9ORVRfSU5DKEFOTiwwRlksLTZGWSxZKSkgLyAoQVZHKENTRl9BU1NFVFMoQU5OLDBGWSwtNkZZL","EZZKSkgLSBBVkcoQ1NGX0lOVEFORyhBTk4sMCwtNkZZLEZZKSkp&amp;WINDOW=FIRST_POPUP&amp;HEIGHT=450&amp;WIDTH=450&amp;START_MAXIMIZED=FALSE&amp;VAR:CALENDAR=US&amp;VAR:SYMBOL=NNA"}</definedName>
    <definedName name="_570__FDSAUDITLINK__" localSheetId="6" hidden="1">{"fdsup://directions/FAT%20Viewer?VAR:PED=LTM&amp;VAR:AUDIT_MODE=SUMMARY&amp;VAR:PERIOD=FIXED&amp;VAR:AUDIT_ID=00000117&amp;VAR:DATE=20080731&amp;action=UPDATE&amp;creator=factset&amp;DOC_NAME=FAT:FMA_audit_SUMMARY.fat&amp;DISPLAY_STRING=Display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70__FDSAUDITLINK__" hidden="1">{"fdsup://directions/FAT%20Viewer?VAR:PED=LTM&amp;VAR:AUDIT_MODE=SUMMARY&amp;VAR:PERIOD=FIXED&amp;VAR:AUDIT_ID=00000117&amp;VAR:DATE=20080731&amp;action=UPDATE&amp;creator=factset&amp;DOC_NAME=FAT:FMA_audit_SUMMARY.fat&amp;DISPLAY_STRING=Display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EBITDA&amp;VAR:CHGPERIOD=NA&amp;VAR:FQLFORMULA=FMA_EVAL_EBITDA&amp;VAR:CURRENCY=NA&amp;VAR:P=NA&amp;VAR:V=10.2","48145&amp;VAR:null=.html"}</definedName>
    <definedName name="_5700__FDSAUDITLINK__" localSheetId="6" hidden="1">{"fdsup://directions/FAT Viewer?action=UPDATE&amp;creator=factset&amp;DYN_ARGS=TRUE&amp;DOC_NAME=FAT:FQL_AUDITING_CLIENT_TEMPLATE.FAT&amp;display_string=Audit&amp;VAR:KEY=PMDMJWFITO&amp;VAR:QUERY=RkZfRUJJVERBX0lCKCdMVE1TJyw0MDAxMyk=&amp;WINDOW=FIRST_POPUP&amp;HEIGHT=450&amp;WIDTH=450&amp;START_MA","XIMIZED=FALSE&amp;VAR:CALENDAR=US&amp;VAR:SYMBOL=N0098510&amp;VAR:INDEX=0"}</definedName>
    <definedName name="_5700__FDSAUDITLINK__" hidden="1">{"fdsup://directions/FAT Viewer?action=UPDATE&amp;creator=factset&amp;DYN_ARGS=TRUE&amp;DOC_NAME=FAT:FQL_AUDITING_CLIENT_TEMPLATE.FAT&amp;display_string=Audit&amp;VAR:KEY=PMDMJWFITO&amp;VAR:QUERY=RkZfRUJJVERBX0lCKCdMVE1TJyw0MDAxMyk=&amp;WINDOW=FIRST_POPUP&amp;HEIGHT=450&amp;WIDTH=450&amp;START_MA","XIMIZED=FALSE&amp;VAR:CALENDAR=US&amp;VAR:SYMBOL=N0098510&amp;VAR:INDEX=0"}</definedName>
    <definedName name="_5701__FDSAUDITLINK__" localSheetId="6" hidden="1">{"fdsup://directions/FAT Viewer?action=UPDATE&amp;creator=factset&amp;DYN_ARGS=TRUE&amp;DOC_NAME=FAT:FQL_AUDITING_CLIENT_TEMPLATE.FAT&amp;display_string=Audit&amp;VAR:KEY=FWFGFUHYVU&amp;VAR:QUERY=RkZfRUJJVERBX0lCKCdMVE1TJyw0MDAxMik=&amp;WINDOW=FIRST_POPUP&amp;HEIGHT=450&amp;WIDTH=450&amp;START_MA","XIMIZED=FALSE&amp;VAR:CALENDAR=US&amp;VAR:SYMBOL=N0098510&amp;VAR:INDEX=0"}</definedName>
    <definedName name="_5701__FDSAUDITLINK__" hidden="1">{"fdsup://directions/FAT Viewer?action=UPDATE&amp;creator=factset&amp;DYN_ARGS=TRUE&amp;DOC_NAME=FAT:FQL_AUDITING_CLIENT_TEMPLATE.FAT&amp;display_string=Audit&amp;VAR:KEY=FWFGFUHYVU&amp;VAR:QUERY=RkZfRUJJVERBX0lCKCdMVE1TJyw0MDAxMik=&amp;WINDOW=FIRST_POPUP&amp;HEIGHT=450&amp;WIDTH=450&amp;START_MA","XIMIZED=FALSE&amp;VAR:CALENDAR=US&amp;VAR:SYMBOL=N0098510&amp;VAR:INDEX=0"}</definedName>
    <definedName name="_5702__FDSAUDITLINK__" localSheetId="6" hidden="1">{"fdsup://directions/FAT Viewer?action=UPDATE&amp;creator=factset&amp;DYN_ARGS=TRUE&amp;DOC_NAME=FAT:FQL_AUDITING_CLIENT_TEMPLATE.FAT&amp;display_string=Audit&amp;VAR:KEY=HSDOVCPKBE&amp;VAR:QUERY=RkZfRUJJVERBX0lCKCdMVE1TJyw0MDAxMSk=&amp;WINDOW=FIRST_POPUP&amp;HEIGHT=450&amp;WIDTH=450&amp;START_MA","XIMIZED=FALSE&amp;VAR:CALENDAR=US&amp;VAR:SYMBOL=N0098510&amp;VAR:INDEX=0"}</definedName>
    <definedName name="_5702__FDSAUDITLINK__" hidden="1">{"fdsup://directions/FAT Viewer?action=UPDATE&amp;creator=factset&amp;DYN_ARGS=TRUE&amp;DOC_NAME=FAT:FQL_AUDITING_CLIENT_TEMPLATE.FAT&amp;display_string=Audit&amp;VAR:KEY=HSDOVCPKBE&amp;VAR:QUERY=RkZfRUJJVERBX0lCKCdMVE1TJyw0MDAxMSk=&amp;WINDOW=FIRST_POPUP&amp;HEIGHT=450&amp;WIDTH=450&amp;START_MA","XIMIZED=FALSE&amp;VAR:CALENDAR=US&amp;VAR:SYMBOL=N0098510&amp;VAR:INDEX=0"}</definedName>
    <definedName name="_5703__FDSAUDITLINK__" localSheetId="6" hidden="1">{"fdsup://directions/FAT Viewer?action=UPDATE&amp;creator=factset&amp;DYN_ARGS=TRUE&amp;DOC_NAME=FAT:FQL_AUDITING_CLIENT_TEMPLATE.FAT&amp;display_string=Audit&amp;VAR:KEY=NKZIFSVAZI&amp;VAR:QUERY=RkZfRUJJVERBX0lCKCdMVE1TJyw0MDAxMCk=&amp;WINDOW=FIRST_POPUP&amp;HEIGHT=450&amp;WIDTH=450&amp;START_MA","XIMIZED=FALSE&amp;VAR:CALENDAR=US&amp;VAR:SYMBOL=N0098510&amp;VAR:INDEX=0"}</definedName>
    <definedName name="_5703__FDSAUDITLINK__" hidden="1">{"fdsup://directions/FAT Viewer?action=UPDATE&amp;creator=factset&amp;DYN_ARGS=TRUE&amp;DOC_NAME=FAT:FQL_AUDITING_CLIENT_TEMPLATE.FAT&amp;display_string=Audit&amp;VAR:KEY=NKZIFSVAZI&amp;VAR:QUERY=RkZfRUJJVERBX0lCKCdMVE1TJyw0MDAxMCk=&amp;WINDOW=FIRST_POPUP&amp;HEIGHT=450&amp;WIDTH=450&amp;START_MA","XIMIZED=FALSE&amp;VAR:CALENDAR=US&amp;VAR:SYMBOL=N0098510&amp;VAR:INDEX=0"}</definedName>
    <definedName name="_5704__FDSAUDITLINK__" localSheetId="6" hidden="1">{"fdsup://directions/FAT Viewer?action=UPDATE&amp;creator=factset&amp;DYN_ARGS=TRUE&amp;DOC_NAME=FAT:FQL_AUDITING_CLIENT_TEMPLATE.FAT&amp;display_string=Audit&amp;VAR:KEY=DWHSJMPKVU&amp;VAR:QUERY=RkZfRUJJVERBX0lCKCdMVE1TJyw0MDAwOSk=&amp;WINDOW=FIRST_POPUP&amp;HEIGHT=450&amp;WIDTH=450&amp;START_MA","XIMIZED=FALSE&amp;VAR:CALENDAR=US&amp;VAR:SYMBOL=N0098510&amp;VAR:INDEX=0"}</definedName>
    <definedName name="_5704__FDSAUDITLINK__" hidden="1">{"fdsup://directions/FAT Viewer?action=UPDATE&amp;creator=factset&amp;DYN_ARGS=TRUE&amp;DOC_NAME=FAT:FQL_AUDITING_CLIENT_TEMPLATE.FAT&amp;display_string=Audit&amp;VAR:KEY=DWHSJMPKVU&amp;VAR:QUERY=RkZfRUJJVERBX0lCKCdMVE1TJyw0MDAwOSk=&amp;WINDOW=FIRST_POPUP&amp;HEIGHT=450&amp;WIDTH=450&amp;START_MA","XIMIZED=FALSE&amp;VAR:CALENDAR=US&amp;VAR:SYMBOL=N0098510&amp;VAR:INDEX=0"}</definedName>
    <definedName name="_5705__FDSAUDITLINK__" localSheetId="6" hidden="1">{"fdsup://directions/FAT Viewer?action=UPDATE&amp;creator=factset&amp;DYN_ARGS=TRUE&amp;DOC_NAME=FAT:FQL_AUDITING_CLIENT_TEMPLATE.FAT&amp;display_string=Audit&amp;VAR:KEY=BGPYNYNUTY&amp;VAR:QUERY=RkZfRUJJVERBX0lCKCdMVE1TJyw0MDAwOCk=&amp;WINDOW=FIRST_POPUP&amp;HEIGHT=450&amp;WIDTH=450&amp;START_MA","XIMIZED=FALSE&amp;VAR:CALENDAR=US&amp;VAR:SYMBOL=N0098510&amp;VAR:INDEX=0"}</definedName>
    <definedName name="_5705__FDSAUDITLINK__" hidden="1">{"fdsup://directions/FAT Viewer?action=UPDATE&amp;creator=factset&amp;DYN_ARGS=TRUE&amp;DOC_NAME=FAT:FQL_AUDITING_CLIENT_TEMPLATE.FAT&amp;display_string=Audit&amp;VAR:KEY=BGPYNYNUTY&amp;VAR:QUERY=RkZfRUJJVERBX0lCKCdMVE1TJyw0MDAwOCk=&amp;WINDOW=FIRST_POPUP&amp;HEIGHT=450&amp;WIDTH=450&amp;START_MA","XIMIZED=FALSE&amp;VAR:CALENDAR=US&amp;VAR:SYMBOL=N0098510&amp;VAR:INDEX=0"}</definedName>
    <definedName name="_5706__FDSAUDITLINK__" localSheetId="6" hidden="1">{"fdsup://directions/FAT Viewer?action=UPDATE&amp;creator=factset&amp;DYN_ARGS=TRUE&amp;DOC_NAME=FAT:FQL_AUDITING_CLIENT_TEMPLATE.FAT&amp;display_string=Audit&amp;VAR:KEY=NCVQLEHENS&amp;VAR:QUERY=RkZfRUJJVERBX0lCKCdMVE1TJyw0MDAwNyk=&amp;WINDOW=FIRST_POPUP&amp;HEIGHT=450&amp;WIDTH=450&amp;START_MA","XIMIZED=FALSE&amp;VAR:CALENDAR=US&amp;VAR:SYMBOL=N0098510&amp;VAR:INDEX=0"}</definedName>
    <definedName name="_5706__FDSAUDITLINK__" hidden="1">{"fdsup://directions/FAT Viewer?action=UPDATE&amp;creator=factset&amp;DYN_ARGS=TRUE&amp;DOC_NAME=FAT:FQL_AUDITING_CLIENT_TEMPLATE.FAT&amp;display_string=Audit&amp;VAR:KEY=NCVQLEHENS&amp;VAR:QUERY=RkZfRUJJVERBX0lCKCdMVE1TJyw0MDAwNyk=&amp;WINDOW=FIRST_POPUP&amp;HEIGHT=450&amp;WIDTH=450&amp;START_MA","XIMIZED=FALSE&amp;VAR:CALENDAR=US&amp;VAR:SYMBOL=N0098510&amp;VAR:INDEX=0"}</definedName>
    <definedName name="_5707__FDSAUDITLINK__" localSheetId="6" hidden="1">{"fdsup://directions/FAT Viewer?action=UPDATE&amp;creator=factset&amp;DYN_ARGS=TRUE&amp;DOC_NAME=FAT:FQL_AUDITING_CLIENT_TEMPLATE.FAT&amp;display_string=Audit&amp;VAR:KEY=TKJWXWBAPI&amp;VAR:QUERY=RkZfRUJJVERBX0lCKCdMVE1TJyw0MDAwNik=&amp;WINDOW=FIRST_POPUP&amp;HEIGHT=450&amp;WIDTH=450&amp;START_MA","XIMIZED=FALSE&amp;VAR:CALENDAR=US&amp;VAR:SYMBOL=N0098510&amp;VAR:INDEX=0"}</definedName>
    <definedName name="_5707__FDSAUDITLINK__" hidden="1">{"fdsup://directions/FAT Viewer?action=UPDATE&amp;creator=factset&amp;DYN_ARGS=TRUE&amp;DOC_NAME=FAT:FQL_AUDITING_CLIENT_TEMPLATE.FAT&amp;display_string=Audit&amp;VAR:KEY=TKJWXWBAPI&amp;VAR:QUERY=RkZfRUJJVERBX0lCKCdMVE1TJyw0MDAwNik=&amp;WINDOW=FIRST_POPUP&amp;HEIGHT=450&amp;WIDTH=450&amp;START_MA","XIMIZED=FALSE&amp;VAR:CALENDAR=US&amp;VAR:SYMBOL=N0098510&amp;VAR:INDEX=0"}</definedName>
    <definedName name="_5708__FDSAUDITLINK__" localSheetId="6" hidden="1">{"fdsup://directions/FAT Viewer?action=UPDATE&amp;creator=factset&amp;DYN_ARGS=TRUE&amp;DOC_NAME=FAT:FQL_AUDITING_CLIENT_TEMPLATE.FAT&amp;display_string=Audit&amp;VAR:KEY=XONKFGJGVU&amp;VAR:QUERY=RkZfRUJJVERBX0lCKCdMVE1TJyw0MDAwNSk=&amp;WINDOW=FIRST_POPUP&amp;HEIGHT=450&amp;WIDTH=450&amp;START_MA","XIMIZED=FALSE&amp;VAR:CALENDAR=US&amp;VAR:SYMBOL=N0098510&amp;VAR:INDEX=0"}</definedName>
    <definedName name="_5708__FDSAUDITLINK__" hidden="1">{"fdsup://directions/FAT Viewer?action=UPDATE&amp;creator=factset&amp;DYN_ARGS=TRUE&amp;DOC_NAME=FAT:FQL_AUDITING_CLIENT_TEMPLATE.FAT&amp;display_string=Audit&amp;VAR:KEY=XONKFGJGVU&amp;VAR:QUERY=RkZfRUJJVERBX0lCKCdMVE1TJyw0MDAwNSk=&amp;WINDOW=FIRST_POPUP&amp;HEIGHT=450&amp;WIDTH=450&amp;START_MA","XIMIZED=FALSE&amp;VAR:CALENDAR=US&amp;VAR:SYMBOL=N0098510&amp;VAR:INDEX=0"}</definedName>
    <definedName name="_5709__FDSAUDITLINK__" localSheetId="6" hidden="1">{"fdsup://directions/FAT Viewer?action=UPDATE&amp;creator=factset&amp;DYN_ARGS=TRUE&amp;DOC_NAME=FAT:FQL_AUDITING_CLIENT_TEMPLATE.FAT&amp;display_string=Audit&amp;VAR:KEY=TWTGTWTEJE&amp;VAR:QUERY=RkZfRUJJVERBX0lCKCdMVE1TJyw0MDAwNCk=&amp;WINDOW=FIRST_POPUP&amp;HEIGHT=450&amp;WIDTH=450&amp;START_MA","XIMIZED=FALSE&amp;VAR:CALENDAR=US&amp;VAR:SYMBOL=N0098510&amp;VAR:INDEX=0"}</definedName>
    <definedName name="_5709__FDSAUDITLINK__" hidden="1">{"fdsup://directions/FAT Viewer?action=UPDATE&amp;creator=factset&amp;DYN_ARGS=TRUE&amp;DOC_NAME=FAT:FQL_AUDITING_CLIENT_TEMPLATE.FAT&amp;display_string=Audit&amp;VAR:KEY=TWTGTWTEJE&amp;VAR:QUERY=RkZfRUJJVERBX0lCKCdMVE1TJyw0MDAwNCk=&amp;WINDOW=FIRST_POPUP&amp;HEIGHT=450&amp;WIDTH=450&amp;START_MA","XIMIZED=FALSE&amp;VAR:CALENDAR=US&amp;VAR:SYMBOL=N0098510&amp;VAR:INDEX=0"}</definedName>
    <definedName name="_571__FDSAUDITLINK__" localSheetId="6" hidden="1">{"fdsup://directions/FAT%20Viewer?VAR:PED=LTM&amp;VAR:AUDIT_MODE=SUMMARY&amp;VAR:PERIOD=FIXED&amp;VAR:AUDIT_ID=00000117&amp;VAR:DATE=20080730&amp;action=UPDATE&amp;creator=factset&amp;DOC_NAME=FAT:FMA_audit_SUMMARY.fat&amp;DISPLAY_STRING=Display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1__FDSAUDITLINK__" hidden="1">{"fdsup://directions/FAT%20Viewer?VAR:PED=LTM&amp;VAR:AUDIT_MODE=SUMMARY&amp;VAR:PERIOD=FIXED&amp;VAR:AUDIT_ID=00000117&amp;VAR:DATE=20080730&amp;action=UPDATE&amp;creator=factset&amp;DOC_NAME=FAT:FMA_audit_SUMMARY.fat&amp;DISPLAY_STRING=Display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10__FDSAUDITLINK__" localSheetId="6" hidden="1">{"fdsup://directions/FAT Viewer?action=UPDATE&amp;creator=factset&amp;DYN_ARGS=TRUE&amp;DOC_NAME=FAT:FQL_AUDITING_CLIENT_TEMPLATE.FAT&amp;display_string=Audit&amp;VAR:KEY=RMZEZIXSBI&amp;VAR:QUERY=RkZfRUJJVERBX0lCKCdMVE1TJyw0MDAwMyk=&amp;WINDOW=FIRST_POPUP&amp;HEIGHT=450&amp;WIDTH=450&amp;START_MA","XIMIZED=FALSE&amp;VAR:CALENDAR=US&amp;VAR:SYMBOL=N0098510&amp;VAR:INDEX=0"}</definedName>
    <definedName name="_5710__FDSAUDITLINK__" hidden="1">{"fdsup://directions/FAT Viewer?action=UPDATE&amp;creator=factset&amp;DYN_ARGS=TRUE&amp;DOC_NAME=FAT:FQL_AUDITING_CLIENT_TEMPLATE.FAT&amp;display_string=Audit&amp;VAR:KEY=RMZEZIXSBI&amp;VAR:QUERY=RkZfRUJJVERBX0lCKCdMVE1TJyw0MDAwMyk=&amp;WINDOW=FIRST_POPUP&amp;HEIGHT=450&amp;WIDTH=450&amp;START_MA","XIMIZED=FALSE&amp;VAR:CALENDAR=US&amp;VAR:SYMBOL=N0098510&amp;VAR:INDEX=0"}</definedName>
    <definedName name="_5711__FDSAUDITLINK__" localSheetId="6" hidden="1">{"fdsup://directions/FAT Viewer?action=UPDATE&amp;creator=factset&amp;DYN_ARGS=TRUE&amp;DOC_NAME=FAT:FQL_AUDITING_CLIENT_TEMPLATE.FAT&amp;display_string=Audit&amp;VAR:KEY=FSXALEPCZU&amp;VAR:QUERY=RkZfRUJJVERBX0lCKCdMVE1TJyw0MDAwMik=&amp;WINDOW=FIRST_POPUP&amp;HEIGHT=450&amp;WIDTH=450&amp;START_MA","XIMIZED=FALSE&amp;VAR:CALENDAR=US&amp;VAR:SYMBOL=N0098510&amp;VAR:INDEX=0"}</definedName>
    <definedName name="_5711__FDSAUDITLINK__" hidden="1">{"fdsup://directions/FAT Viewer?action=UPDATE&amp;creator=factset&amp;DYN_ARGS=TRUE&amp;DOC_NAME=FAT:FQL_AUDITING_CLIENT_TEMPLATE.FAT&amp;display_string=Audit&amp;VAR:KEY=FSXALEPCZU&amp;VAR:QUERY=RkZfRUJJVERBX0lCKCdMVE1TJyw0MDAwMik=&amp;WINDOW=FIRST_POPUP&amp;HEIGHT=450&amp;WIDTH=450&amp;START_MA","XIMIZED=FALSE&amp;VAR:CALENDAR=US&amp;VAR:SYMBOL=N0098510&amp;VAR:INDEX=0"}</definedName>
    <definedName name="_5712__FDSAUDITLINK__" localSheetId="6" hidden="1">{"fdsup://directions/FAT Viewer?action=UPDATE&amp;creator=factset&amp;DYN_ARGS=TRUE&amp;DOC_NAME=FAT:FQL_AUDITING_CLIENT_TEMPLATE.FAT&amp;display_string=Audit&amp;VAR:KEY=TQRQPUXWNU&amp;VAR:QUERY=RkZfRUJJVERBX0lCKCdMVE1TJyw0MDAwMSk=&amp;WINDOW=FIRST_POPUP&amp;HEIGHT=450&amp;WIDTH=450&amp;START_MA","XIMIZED=FALSE&amp;VAR:CALENDAR=US&amp;VAR:SYMBOL=N0098510&amp;VAR:INDEX=0"}</definedName>
    <definedName name="_5712__FDSAUDITLINK__" hidden="1">{"fdsup://directions/FAT Viewer?action=UPDATE&amp;creator=factset&amp;DYN_ARGS=TRUE&amp;DOC_NAME=FAT:FQL_AUDITING_CLIENT_TEMPLATE.FAT&amp;display_string=Audit&amp;VAR:KEY=TQRQPUXWNU&amp;VAR:QUERY=RkZfRUJJVERBX0lCKCdMVE1TJyw0MDAwMSk=&amp;WINDOW=FIRST_POPUP&amp;HEIGHT=450&amp;WIDTH=450&amp;START_MA","XIMIZED=FALSE&amp;VAR:CALENDAR=US&amp;VAR:SYMBOL=N0098510&amp;VAR:INDEX=0"}</definedName>
    <definedName name="_5713__FDSAUDITLINK__" localSheetId="6" hidden="1">{"fdsup://directions/FAT Viewer?action=UPDATE&amp;creator=factset&amp;DYN_ARGS=TRUE&amp;DOC_NAME=FAT:FQL_AUDITING_CLIENT_TEMPLATE.FAT&amp;display_string=Audit&amp;VAR:KEY=RUXCLIBQRW&amp;VAR:QUERY=RkZfRUJJVERBX0lCKCdMVE1TJyw0MDAwMCk=&amp;WINDOW=FIRST_POPUP&amp;HEIGHT=450&amp;WIDTH=450&amp;START_MA","XIMIZED=FALSE&amp;VAR:CALENDAR=US&amp;VAR:SYMBOL=N0098510&amp;VAR:INDEX=0"}</definedName>
    <definedName name="_5713__FDSAUDITLINK__" hidden="1">{"fdsup://directions/FAT Viewer?action=UPDATE&amp;creator=factset&amp;DYN_ARGS=TRUE&amp;DOC_NAME=FAT:FQL_AUDITING_CLIENT_TEMPLATE.FAT&amp;display_string=Audit&amp;VAR:KEY=RUXCLIBQRW&amp;VAR:QUERY=RkZfRUJJVERBX0lCKCdMVE1TJyw0MDAwMCk=&amp;WINDOW=FIRST_POPUP&amp;HEIGHT=450&amp;WIDTH=450&amp;START_MA","XIMIZED=FALSE&amp;VAR:CALENDAR=US&amp;VAR:SYMBOL=N0098510&amp;VAR:INDEX=0"}</definedName>
    <definedName name="_5714__FDSAUDITLINK__" localSheetId="6" hidden="1">{"fdsup://directions/FAT Viewer?action=UPDATE&amp;creator=factset&amp;DYN_ARGS=TRUE&amp;DOC_NAME=FAT:FQL_AUDITING_CLIENT_TEMPLATE.FAT&amp;display_string=Audit&amp;VAR:KEY=PKTWFADAFW&amp;VAR:QUERY=RkZfRUJJVERBX0lCKCdMVE1TJywzOTk5OSk=&amp;WINDOW=FIRST_POPUP&amp;HEIGHT=450&amp;WIDTH=450&amp;START_MA","XIMIZED=FALSE&amp;VAR:CALENDAR=US&amp;VAR:SYMBOL=N0098510&amp;VAR:INDEX=0"}</definedName>
    <definedName name="_5714__FDSAUDITLINK__" hidden="1">{"fdsup://directions/FAT Viewer?action=UPDATE&amp;creator=factset&amp;DYN_ARGS=TRUE&amp;DOC_NAME=FAT:FQL_AUDITING_CLIENT_TEMPLATE.FAT&amp;display_string=Audit&amp;VAR:KEY=PKTWFADAFW&amp;VAR:QUERY=RkZfRUJJVERBX0lCKCdMVE1TJywzOTk5OSk=&amp;WINDOW=FIRST_POPUP&amp;HEIGHT=450&amp;WIDTH=450&amp;START_MA","XIMIZED=FALSE&amp;VAR:CALENDAR=US&amp;VAR:SYMBOL=N0098510&amp;VAR:INDEX=0"}</definedName>
    <definedName name="_5715__FDSAUDITLINK__" localSheetId="6" hidden="1">{"fdsup://directions/FAT Viewer?action=UPDATE&amp;creator=factset&amp;DYN_ARGS=TRUE&amp;DOC_NAME=FAT:FQL_AUDITING_CLIENT_TEMPLATE.FAT&amp;display_string=Audit&amp;VAR:KEY=HUFKDORWLM&amp;VAR:QUERY=RkZfRUJJVERBX0lCKCdMVE1TJywzOTk5OCk=&amp;WINDOW=FIRST_POPUP&amp;HEIGHT=450&amp;WIDTH=450&amp;START_MA","XIMIZED=FALSE&amp;VAR:CALENDAR=US&amp;VAR:SYMBOL=N0098510&amp;VAR:INDEX=0"}</definedName>
    <definedName name="_5715__FDSAUDITLINK__" hidden="1">{"fdsup://directions/FAT Viewer?action=UPDATE&amp;creator=factset&amp;DYN_ARGS=TRUE&amp;DOC_NAME=FAT:FQL_AUDITING_CLIENT_TEMPLATE.FAT&amp;display_string=Audit&amp;VAR:KEY=HUFKDORWLM&amp;VAR:QUERY=RkZfRUJJVERBX0lCKCdMVE1TJywzOTk5OCk=&amp;WINDOW=FIRST_POPUP&amp;HEIGHT=450&amp;WIDTH=450&amp;START_MA","XIMIZED=FALSE&amp;VAR:CALENDAR=US&amp;VAR:SYMBOL=N0098510&amp;VAR:INDEX=0"}</definedName>
    <definedName name="_5716__FDSAUDITLINK__" localSheetId="6" hidden="1">{"fdsup://directions/FAT Viewer?action=UPDATE&amp;creator=factset&amp;DYN_ARGS=TRUE&amp;DOC_NAME=FAT:FQL_AUDITING_CLIENT_TEMPLATE.FAT&amp;display_string=Audit&amp;VAR:KEY=DMDGLWTYRI&amp;VAR:QUERY=RkZfRUJJVERBX0lCKCdMVE1TJywzOTk5Nyk=&amp;WINDOW=FIRST_POPUP&amp;HEIGHT=450&amp;WIDTH=450&amp;START_MA","XIMIZED=FALSE&amp;VAR:CALENDAR=US&amp;VAR:SYMBOL=N0098510&amp;VAR:INDEX=0"}</definedName>
    <definedName name="_5716__FDSAUDITLINK__" hidden="1">{"fdsup://directions/FAT Viewer?action=UPDATE&amp;creator=factset&amp;DYN_ARGS=TRUE&amp;DOC_NAME=FAT:FQL_AUDITING_CLIENT_TEMPLATE.FAT&amp;display_string=Audit&amp;VAR:KEY=DMDGLWTYRI&amp;VAR:QUERY=RkZfRUJJVERBX0lCKCdMVE1TJywzOTk5Nyk=&amp;WINDOW=FIRST_POPUP&amp;HEIGHT=450&amp;WIDTH=450&amp;START_MA","XIMIZED=FALSE&amp;VAR:CALENDAR=US&amp;VAR:SYMBOL=N0098510&amp;VAR:INDEX=0"}</definedName>
    <definedName name="_5717__FDSAUDITLINK__" localSheetId="6" hidden="1">{"fdsup://directions/FAT Viewer?action=UPDATE&amp;creator=factset&amp;DYN_ARGS=TRUE&amp;DOC_NAME=FAT:FQL_AUDITING_CLIENT_TEMPLATE.FAT&amp;display_string=Audit&amp;VAR:KEY=DMRSLYFYNA&amp;VAR:QUERY=RkZfRUJJVERBX0lCKCdMVE1TJywzOTk5Nik=&amp;WINDOW=FIRST_POPUP&amp;HEIGHT=450&amp;WIDTH=450&amp;START_MA","XIMIZED=FALSE&amp;VAR:CALENDAR=US&amp;VAR:SYMBOL=N0098510&amp;VAR:INDEX=0"}</definedName>
    <definedName name="_5717__FDSAUDITLINK__" hidden="1">{"fdsup://directions/FAT Viewer?action=UPDATE&amp;creator=factset&amp;DYN_ARGS=TRUE&amp;DOC_NAME=FAT:FQL_AUDITING_CLIENT_TEMPLATE.FAT&amp;display_string=Audit&amp;VAR:KEY=DMRSLYFYNA&amp;VAR:QUERY=RkZfRUJJVERBX0lCKCdMVE1TJywzOTk5Nik=&amp;WINDOW=FIRST_POPUP&amp;HEIGHT=450&amp;WIDTH=450&amp;START_MA","XIMIZED=FALSE&amp;VAR:CALENDAR=US&amp;VAR:SYMBOL=N0098510&amp;VAR:INDEX=0"}</definedName>
    <definedName name="_5718__FDSAUDITLINK__" localSheetId="6" hidden="1">{"fdsup://directions/FAT Viewer?action=UPDATE&amp;creator=factset&amp;DYN_ARGS=TRUE&amp;DOC_NAME=FAT:FQL_AUDITING_CLIENT_TEMPLATE.FAT&amp;display_string=Audit&amp;VAR:KEY=ZAFEJGNQDS&amp;VAR:QUERY=RkZfRUJJVERBX0lCKCdMVE1TJywzOTk5NSk=&amp;WINDOW=FIRST_POPUP&amp;HEIGHT=450&amp;WIDTH=450&amp;START_MA","XIMIZED=FALSE&amp;VAR:CALENDAR=US&amp;VAR:SYMBOL=N0098510&amp;VAR:INDEX=0"}</definedName>
    <definedName name="_5718__FDSAUDITLINK__" hidden="1">{"fdsup://directions/FAT Viewer?action=UPDATE&amp;creator=factset&amp;DYN_ARGS=TRUE&amp;DOC_NAME=FAT:FQL_AUDITING_CLIENT_TEMPLATE.FAT&amp;display_string=Audit&amp;VAR:KEY=ZAFEJGNQDS&amp;VAR:QUERY=RkZfRUJJVERBX0lCKCdMVE1TJywzOTk5NSk=&amp;WINDOW=FIRST_POPUP&amp;HEIGHT=450&amp;WIDTH=450&amp;START_MA","XIMIZED=FALSE&amp;VAR:CALENDAR=US&amp;VAR:SYMBOL=N0098510&amp;VAR:INDEX=0"}</definedName>
    <definedName name="_5719__FDSAUDITLINK__" localSheetId="6" hidden="1">{"fdsup://directions/FAT Viewer?action=UPDATE&amp;creator=factset&amp;DYN_ARGS=TRUE&amp;DOC_NAME=FAT:FQL_AUDITING_CLIENT_TEMPLATE.FAT&amp;display_string=Audit&amp;VAR:KEY=DUDETOVCDK&amp;VAR:QUERY=RkZfRUJJVERBX0lCKCdMVE1TJywzOTk5NCk=&amp;WINDOW=FIRST_POPUP&amp;HEIGHT=450&amp;WIDTH=450&amp;START_MA","XIMIZED=FALSE&amp;VAR:CALENDAR=US&amp;VAR:SYMBOL=N0098510&amp;VAR:INDEX=0"}</definedName>
    <definedName name="_5719__FDSAUDITLINK__" hidden="1">{"fdsup://directions/FAT Viewer?action=UPDATE&amp;creator=factset&amp;DYN_ARGS=TRUE&amp;DOC_NAME=FAT:FQL_AUDITING_CLIENT_TEMPLATE.FAT&amp;display_string=Audit&amp;VAR:KEY=DUDETOVCDK&amp;VAR:QUERY=RkZfRUJJVERBX0lCKCdMVE1TJywzOTk5NCk=&amp;WINDOW=FIRST_POPUP&amp;HEIGHT=450&amp;WIDTH=450&amp;START_MA","XIMIZED=FALSE&amp;VAR:CALENDAR=US&amp;VAR:SYMBOL=N0098510&amp;VAR:INDEX=0"}</definedName>
    <definedName name="_572__FDSAUDITLINK__" localSheetId="6" hidden="1">{"fdsup://directions/FAT%20Viewer?VAR:PED=LTM&amp;VAR:AUDIT_MODE=SUMMARY&amp;VAR:PERIOD=FIXED&amp;VAR:AUDIT_ID=00000117&amp;VAR:DATE=20080729&amp;action=UPDATE&amp;creator=factset&amp;DOC_NAME=FAT:FMA_audit_SUMMARY.fat&amp;DISPLAY_STRING=Display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2__FDSAUDITLINK__" hidden="1">{"fdsup://directions/FAT%20Viewer?VAR:PED=LTM&amp;VAR:AUDIT_MODE=SUMMARY&amp;VAR:PERIOD=FIXED&amp;VAR:AUDIT_ID=00000117&amp;VAR:DATE=20080729&amp;action=UPDATE&amp;creator=factset&amp;DOC_NAME=FAT:FMA_audit_SUMMARY.fat&amp;DISPLAY_STRING=Display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20__FDSAUDITLINK__" localSheetId="6" hidden="1">{"fdsup://directions/FAT Viewer?action=UPDATE&amp;creator=factset&amp;DYN_ARGS=TRUE&amp;DOC_NAME=FAT:FQL_AUDITING_CLIENT_TEMPLATE.FAT&amp;display_string=Audit&amp;VAR:KEY=RMROVGTATE&amp;VAR:QUERY=RkZfRUJJVERBX0lCKCdMVE1TJywzOTk5Myk=&amp;WINDOW=FIRST_POPUP&amp;HEIGHT=450&amp;WIDTH=450&amp;START_MA","XIMIZED=FALSE&amp;VAR:CALENDAR=US&amp;VAR:SYMBOL=N0098510&amp;VAR:INDEX=0"}</definedName>
    <definedName name="_5720__FDSAUDITLINK__" hidden="1">{"fdsup://directions/FAT Viewer?action=UPDATE&amp;creator=factset&amp;DYN_ARGS=TRUE&amp;DOC_NAME=FAT:FQL_AUDITING_CLIENT_TEMPLATE.FAT&amp;display_string=Audit&amp;VAR:KEY=RMROVGTATE&amp;VAR:QUERY=RkZfRUJJVERBX0lCKCdMVE1TJywzOTk5Myk=&amp;WINDOW=FIRST_POPUP&amp;HEIGHT=450&amp;WIDTH=450&amp;START_MA","XIMIZED=FALSE&amp;VAR:CALENDAR=US&amp;VAR:SYMBOL=N0098510&amp;VAR:INDEX=0"}</definedName>
    <definedName name="_5721__FDSAUDITLINK__" localSheetId="6" hidden="1">{"fdsup://directions/FAT Viewer?action=UPDATE&amp;creator=factset&amp;DYN_ARGS=TRUE&amp;DOC_NAME=FAT:FQL_AUDITING_CLIENT_TEMPLATE.FAT&amp;display_string=Audit&amp;VAR:KEY=NKDKHSHYLI&amp;VAR:QUERY=RkZfRUJJVERBX0lCKCdMVE1TJywzOTk5Mik=&amp;WINDOW=FIRST_POPUP&amp;HEIGHT=450&amp;WIDTH=450&amp;START_MA","XIMIZED=FALSE&amp;VAR:CALENDAR=US&amp;VAR:SYMBOL=N0098510&amp;VAR:INDEX=0"}</definedName>
    <definedName name="_5721__FDSAUDITLINK__" hidden="1">{"fdsup://directions/FAT Viewer?action=UPDATE&amp;creator=factset&amp;DYN_ARGS=TRUE&amp;DOC_NAME=FAT:FQL_AUDITING_CLIENT_TEMPLATE.FAT&amp;display_string=Audit&amp;VAR:KEY=NKDKHSHYLI&amp;VAR:QUERY=RkZfRUJJVERBX0lCKCdMVE1TJywzOTk5Mik=&amp;WINDOW=FIRST_POPUP&amp;HEIGHT=450&amp;WIDTH=450&amp;START_MA","XIMIZED=FALSE&amp;VAR:CALENDAR=US&amp;VAR:SYMBOL=N0098510&amp;VAR:INDEX=0"}</definedName>
    <definedName name="_5722__FDSAUDITLINK__" localSheetId="6" hidden="1">{"fdsup://directions/FAT Viewer?action=UPDATE&amp;creator=factset&amp;DYN_ARGS=TRUE&amp;DOC_NAME=FAT:FQL_AUDITING_CLIENT_TEMPLATE.FAT&amp;display_string=Audit&amp;VAR:KEY=XMJKVSNYFI&amp;VAR:QUERY=RkZfRUJJVERBX0lCKCdMVE1TJywzOTk5MSk=&amp;WINDOW=FIRST_POPUP&amp;HEIGHT=450&amp;WIDTH=450&amp;START_MA","XIMIZED=FALSE&amp;VAR:CALENDAR=US&amp;VAR:SYMBOL=N0098510&amp;VAR:INDEX=0"}</definedName>
    <definedName name="_5722__FDSAUDITLINK__" hidden="1">{"fdsup://directions/FAT Viewer?action=UPDATE&amp;creator=factset&amp;DYN_ARGS=TRUE&amp;DOC_NAME=FAT:FQL_AUDITING_CLIENT_TEMPLATE.FAT&amp;display_string=Audit&amp;VAR:KEY=XMJKVSNYFI&amp;VAR:QUERY=RkZfRUJJVERBX0lCKCdMVE1TJywzOTk5MSk=&amp;WINDOW=FIRST_POPUP&amp;HEIGHT=450&amp;WIDTH=450&amp;START_MA","XIMIZED=FALSE&amp;VAR:CALENDAR=US&amp;VAR:SYMBOL=N0098510&amp;VAR:INDEX=0"}</definedName>
    <definedName name="_5723__FDSAUDITLINK__" localSheetId="6" hidden="1">{"fdsup://directions/FAT Viewer?action=UPDATE&amp;creator=factset&amp;DYN_ARGS=TRUE&amp;DOC_NAME=FAT:FQL_AUDITING_CLIENT_TEMPLATE.FAT&amp;display_string=Audit&amp;VAR:KEY=PKTWHKHKXI&amp;VAR:QUERY=RkZfRUJJVERBX0lCKCdMVE1TJywzOTk5MCk=&amp;WINDOW=FIRST_POPUP&amp;HEIGHT=450&amp;WIDTH=450&amp;START_MA","XIMIZED=FALSE&amp;VAR:CALENDAR=US&amp;VAR:SYMBOL=N0098510&amp;VAR:INDEX=0"}</definedName>
    <definedName name="_5723__FDSAUDITLINK__" hidden="1">{"fdsup://directions/FAT Viewer?action=UPDATE&amp;creator=factset&amp;DYN_ARGS=TRUE&amp;DOC_NAME=FAT:FQL_AUDITING_CLIENT_TEMPLATE.FAT&amp;display_string=Audit&amp;VAR:KEY=PKTWHKHKXI&amp;VAR:QUERY=RkZfRUJJVERBX0lCKCdMVE1TJywzOTk5MCk=&amp;WINDOW=FIRST_POPUP&amp;HEIGHT=450&amp;WIDTH=450&amp;START_MA","XIMIZED=FALSE&amp;VAR:CALENDAR=US&amp;VAR:SYMBOL=N0098510&amp;VAR:INDEX=0"}</definedName>
    <definedName name="_5724__FDSAUDITLINK__" localSheetId="6" hidden="1">{"fdsup://directions/FAT Viewer?action=UPDATE&amp;creator=factset&amp;DYN_ARGS=TRUE&amp;DOC_NAME=FAT:FQL_AUDITING_CLIENT_TEMPLATE.FAT&amp;display_string=Audit&amp;VAR:KEY=JURYFYHKZO&amp;VAR:QUERY=RkZfRUJJVERBX0lCKCdMVE1TJywzOTk4OSk=&amp;WINDOW=FIRST_POPUP&amp;HEIGHT=450&amp;WIDTH=450&amp;START_MA","XIMIZED=FALSE&amp;VAR:CALENDAR=US&amp;VAR:SYMBOL=N0098510&amp;VAR:INDEX=0"}</definedName>
    <definedName name="_5724__FDSAUDITLINK__" hidden="1">{"fdsup://directions/FAT Viewer?action=UPDATE&amp;creator=factset&amp;DYN_ARGS=TRUE&amp;DOC_NAME=FAT:FQL_AUDITING_CLIENT_TEMPLATE.FAT&amp;display_string=Audit&amp;VAR:KEY=JURYFYHKZO&amp;VAR:QUERY=RkZfRUJJVERBX0lCKCdMVE1TJywzOTk4OSk=&amp;WINDOW=FIRST_POPUP&amp;HEIGHT=450&amp;WIDTH=450&amp;START_MA","XIMIZED=FALSE&amp;VAR:CALENDAR=US&amp;VAR:SYMBOL=N0098510&amp;VAR:INDEX=0"}</definedName>
    <definedName name="_5725__FDSAUDITLINK__" localSheetId="6" hidden="1">{"fdsup://directions/FAT Viewer?action=UPDATE&amp;creator=factset&amp;DYN_ARGS=TRUE&amp;DOC_NAME=FAT:FQL_AUDITING_CLIENT_TEMPLATE.FAT&amp;display_string=Audit&amp;VAR:KEY=DKXYTILSTC&amp;VAR:QUERY=RkZfRUJJVERBX0lCKCdMVE1TJywzOTk4OCk=&amp;WINDOW=FIRST_POPUP&amp;HEIGHT=450&amp;WIDTH=450&amp;START_MA","XIMIZED=FALSE&amp;VAR:CALENDAR=US&amp;VAR:SYMBOL=N0098510&amp;VAR:INDEX=0"}</definedName>
    <definedName name="_5725__FDSAUDITLINK__" hidden="1">{"fdsup://directions/FAT Viewer?action=UPDATE&amp;creator=factset&amp;DYN_ARGS=TRUE&amp;DOC_NAME=FAT:FQL_AUDITING_CLIENT_TEMPLATE.FAT&amp;display_string=Audit&amp;VAR:KEY=DKXYTILSTC&amp;VAR:QUERY=RkZfRUJJVERBX0lCKCdMVE1TJywzOTk4OCk=&amp;WINDOW=FIRST_POPUP&amp;HEIGHT=450&amp;WIDTH=450&amp;START_MA","XIMIZED=FALSE&amp;VAR:CALENDAR=US&amp;VAR:SYMBOL=N0098510&amp;VAR:INDEX=0"}</definedName>
    <definedName name="_5726__FDSAUDITLINK__" localSheetId="6" hidden="1">{"fdsup://directions/FAT Viewer?action=UPDATE&amp;creator=factset&amp;DYN_ARGS=TRUE&amp;DOC_NAME=FAT:FQL_AUDITING_CLIENT_TEMPLATE.FAT&amp;display_string=Audit&amp;VAR:KEY=NSTQDSFMJO&amp;VAR:QUERY=RkZfRUJJVERBX0lCKCdMVE1TJywzOTk4Nyk=&amp;WINDOW=FIRST_POPUP&amp;HEIGHT=450&amp;WIDTH=450&amp;START_MA","XIMIZED=FALSE&amp;VAR:CALENDAR=US&amp;VAR:SYMBOL=N0098510&amp;VAR:INDEX=0"}</definedName>
    <definedName name="_5726__FDSAUDITLINK__" hidden="1">{"fdsup://directions/FAT Viewer?action=UPDATE&amp;creator=factset&amp;DYN_ARGS=TRUE&amp;DOC_NAME=FAT:FQL_AUDITING_CLIENT_TEMPLATE.FAT&amp;display_string=Audit&amp;VAR:KEY=NSTQDSFMJO&amp;VAR:QUERY=RkZfRUJJVERBX0lCKCdMVE1TJywzOTk4Nyk=&amp;WINDOW=FIRST_POPUP&amp;HEIGHT=450&amp;WIDTH=450&amp;START_MA","XIMIZED=FALSE&amp;VAR:CALENDAR=US&amp;VAR:SYMBOL=N0098510&amp;VAR:INDEX=0"}</definedName>
    <definedName name="_5727__FDSAUDITLINK__" localSheetId="6" hidden="1">{"fdsup://directions/FAT Viewer?action=UPDATE&amp;creator=factset&amp;DYN_ARGS=TRUE&amp;DOC_NAME=FAT:FQL_AUDITING_CLIENT_TEMPLATE.FAT&amp;display_string=Audit&amp;VAR:KEY=VWZOJUVKNW&amp;VAR:QUERY=RkZfRUJJVERBX0lCKCdMVE1TJywzOTk4Nik=&amp;WINDOW=FIRST_POPUP&amp;HEIGHT=450&amp;WIDTH=450&amp;START_MA","XIMIZED=FALSE&amp;VAR:CALENDAR=US&amp;VAR:SYMBOL=N0098510&amp;VAR:INDEX=0"}</definedName>
    <definedName name="_5727__FDSAUDITLINK__" hidden="1">{"fdsup://directions/FAT Viewer?action=UPDATE&amp;creator=factset&amp;DYN_ARGS=TRUE&amp;DOC_NAME=FAT:FQL_AUDITING_CLIENT_TEMPLATE.FAT&amp;display_string=Audit&amp;VAR:KEY=VWZOJUVKNW&amp;VAR:QUERY=RkZfRUJJVERBX0lCKCdMVE1TJywzOTk4Nik=&amp;WINDOW=FIRST_POPUP&amp;HEIGHT=450&amp;WIDTH=450&amp;START_MA","XIMIZED=FALSE&amp;VAR:CALENDAR=US&amp;VAR:SYMBOL=N0098510&amp;VAR:INDEX=0"}</definedName>
    <definedName name="_5728__FDSAUDITLINK__" localSheetId="6" hidden="1">{"fdsup://directions/FAT Viewer?action=UPDATE&amp;creator=factset&amp;DYN_ARGS=TRUE&amp;DOC_NAME=FAT:FQL_AUDITING_CLIENT_TEMPLATE.FAT&amp;display_string=Audit&amp;VAR:KEY=XMVYLWXQLS&amp;VAR:QUERY=RkZfRUJJVERBX0lCKCdMVE1TJywzOTk4NSk=&amp;WINDOW=FIRST_POPUP&amp;HEIGHT=450&amp;WIDTH=450&amp;START_MA","XIMIZED=FALSE&amp;VAR:CALENDAR=US&amp;VAR:SYMBOL=N0098510&amp;VAR:INDEX=0"}</definedName>
    <definedName name="_5728__FDSAUDITLINK__" hidden="1">{"fdsup://directions/FAT Viewer?action=UPDATE&amp;creator=factset&amp;DYN_ARGS=TRUE&amp;DOC_NAME=FAT:FQL_AUDITING_CLIENT_TEMPLATE.FAT&amp;display_string=Audit&amp;VAR:KEY=XMVYLWXQLS&amp;VAR:QUERY=RkZfRUJJVERBX0lCKCdMVE1TJywzOTk4NSk=&amp;WINDOW=FIRST_POPUP&amp;HEIGHT=450&amp;WIDTH=450&amp;START_MA","XIMIZED=FALSE&amp;VAR:CALENDAR=US&amp;VAR:SYMBOL=N0098510&amp;VAR:INDEX=0"}</definedName>
    <definedName name="_5729__FDSAUDITLINK__" localSheetId="6" hidden="1">{"fdsup://directions/FAT Viewer?action=UPDATE&amp;creator=factset&amp;DYN_ARGS=TRUE&amp;DOC_NAME=FAT:FQL_AUDITING_CLIENT_TEMPLATE.FAT&amp;display_string=Audit&amp;VAR:KEY=NGDWLIDMHI&amp;VAR:QUERY=RkZfRUJJVERBX0lCKCdMVE1TJywzOTk4NCk=&amp;WINDOW=FIRST_POPUP&amp;HEIGHT=450&amp;WIDTH=450&amp;START_MA","XIMIZED=FALSE&amp;VAR:CALENDAR=US&amp;VAR:SYMBOL=N0098510&amp;VAR:INDEX=0"}</definedName>
    <definedName name="_5729__FDSAUDITLINK__" hidden="1">{"fdsup://directions/FAT Viewer?action=UPDATE&amp;creator=factset&amp;DYN_ARGS=TRUE&amp;DOC_NAME=FAT:FQL_AUDITING_CLIENT_TEMPLATE.FAT&amp;display_string=Audit&amp;VAR:KEY=NGDWLIDMHI&amp;VAR:QUERY=RkZfRUJJVERBX0lCKCdMVE1TJywzOTk4NCk=&amp;WINDOW=FIRST_POPUP&amp;HEIGHT=450&amp;WIDTH=450&amp;START_MA","XIMIZED=FALSE&amp;VAR:CALENDAR=US&amp;VAR:SYMBOL=N0098510&amp;VAR:INDEX=0"}</definedName>
    <definedName name="_573__FDSAUDITLINK__" localSheetId="6" hidden="1">{"fdsup://directions/FAT%20Viewer?VAR:PED=LTM&amp;VAR:AUDIT_MODE=SUMMARY&amp;VAR:PERIOD=FIXED&amp;VAR:AUDIT_ID=00000117&amp;VAR:DATE=20080728&amp;action=UPDATE&amp;creator=factset&amp;DOC_NAME=FAT:FMA_audit_SUMMARY.fat&amp;DISPLAY_STRING=Display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3__FDSAUDITLINK__" hidden="1">{"fdsup://directions/FAT%20Viewer?VAR:PED=LTM&amp;VAR:AUDIT_MODE=SUMMARY&amp;VAR:PERIOD=FIXED&amp;VAR:AUDIT_ID=00000117&amp;VAR:DATE=20080728&amp;action=UPDATE&amp;creator=factset&amp;DOC_NAME=FAT:FMA_audit_SUMMARY.fat&amp;DISPLAY_STRING=Display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30__FDSAUDITLINK__" localSheetId="6" hidden="1">{"fdsup://directions/FAT Viewer?action=UPDATE&amp;creator=factset&amp;DYN_ARGS=TRUE&amp;DOC_NAME=FAT:FQL_AUDITING_CLIENT_TEMPLATE.FAT&amp;display_string=Audit&amp;VAR:KEY=FQZGFSLEFK&amp;VAR:QUERY=RkZfRUJJVERBX0lCKCdMVE1TJywzOTk4Myk=&amp;WINDOW=FIRST_POPUP&amp;HEIGHT=450&amp;WIDTH=450&amp;START_MA","XIMIZED=FALSE&amp;VAR:CALENDAR=US&amp;VAR:SYMBOL=N0098510&amp;VAR:INDEX=0"}</definedName>
    <definedName name="_5730__FDSAUDITLINK__" hidden="1">{"fdsup://directions/FAT Viewer?action=UPDATE&amp;creator=factset&amp;DYN_ARGS=TRUE&amp;DOC_NAME=FAT:FQL_AUDITING_CLIENT_TEMPLATE.FAT&amp;display_string=Audit&amp;VAR:KEY=FQZGFSLEFK&amp;VAR:QUERY=RkZfRUJJVERBX0lCKCdMVE1TJywzOTk4Myk=&amp;WINDOW=FIRST_POPUP&amp;HEIGHT=450&amp;WIDTH=450&amp;START_MA","XIMIZED=FALSE&amp;VAR:CALENDAR=US&amp;VAR:SYMBOL=N0098510&amp;VAR:INDEX=0"}</definedName>
    <definedName name="_5731__FDSAUDITLINK__" localSheetId="6" hidden="1">{"fdsup://directions/FAT Viewer?action=UPDATE&amp;creator=factset&amp;DYN_ARGS=TRUE&amp;DOC_NAME=FAT:FQL_AUDITING_CLIENT_TEMPLATE.FAT&amp;display_string=Audit&amp;VAR:KEY=HQNQPQNEVU&amp;VAR:QUERY=RkZfRUJJVERBX0lCKCdMVE1TJywzOTk4Mik=&amp;WINDOW=FIRST_POPUP&amp;HEIGHT=450&amp;WIDTH=450&amp;START_MA","XIMIZED=FALSE&amp;VAR:CALENDAR=US&amp;VAR:SYMBOL=N0098510&amp;VAR:INDEX=0"}</definedName>
    <definedName name="_5731__FDSAUDITLINK__" hidden="1">{"fdsup://directions/FAT Viewer?action=UPDATE&amp;creator=factset&amp;DYN_ARGS=TRUE&amp;DOC_NAME=FAT:FQL_AUDITING_CLIENT_TEMPLATE.FAT&amp;display_string=Audit&amp;VAR:KEY=HQNQPQNEVU&amp;VAR:QUERY=RkZfRUJJVERBX0lCKCdMVE1TJywzOTk4Mik=&amp;WINDOW=FIRST_POPUP&amp;HEIGHT=450&amp;WIDTH=450&amp;START_MA","XIMIZED=FALSE&amp;VAR:CALENDAR=US&amp;VAR:SYMBOL=N0098510&amp;VAR:INDEX=0"}</definedName>
    <definedName name="_5732__FDSAUDITLINK__" localSheetId="6" hidden="1">{"fdsup://directions/FAT Viewer?action=UPDATE&amp;creator=factset&amp;DYN_ARGS=TRUE&amp;DOC_NAME=FAT:FQL_AUDITING_CLIENT_TEMPLATE.FAT&amp;display_string=Audit&amp;VAR:KEY=PKDIXUJKBU&amp;VAR:QUERY=RkZfRUJJVERBX0lCKCdMVE1TJywzOTk4MSk=&amp;WINDOW=FIRST_POPUP&amp;HEIGHT=450&amp;WIDTH=450&amp;START_MA","XIMIZED=FALSE&amp;VAR:CALENDAR=US&amp;VAR:SYMBOL=N0098510&amp;VAR:INDEX=0"}</definedName>
    <definedName name="_5732__FDSAUDITLINK__" hidden="1">{"fdsup://directions/FAT Viewer?action=UPDATE&amp;creator=factset&amp;DYN_ARGS=TRUE&amp;DOC_NAME=FAT:FQL_AUDITING_CLIENT_TEMPLATE.FAT&amp;display_string=Audit&amp;VAR:KEY=PKDIXUJKBU&amp;VAR:QUERY=RkZfRUJJVERBX0lCKCdMVE1TJywzOTk4MSk=&amp;WINDOW=FIRST_POPUP&amp;HEIGHT=450&amp;WIDTH=450&amp;START_MA","XIMIZED=FALSE&amp;VAR:CALENDAR=US&amp;VAR:SYMBOL=N0098510&amp;VAR:INDEX=0"}</definedName>
    <definedName name="_5733__FDSAUDITLINK__" localSheetId="6" hidden="1">{"fdsup://directions/FAT Viewer?action=UPDATE&amp;creator=factset&amp;DYN_ARGS=TRUE&amp;DOC_NAME=FAT:FQL_AUDITING_CLIENT_TEMPLATE.FAT&amp;display_string=Audit&amp;VAR:KEY=XMVCFKDYBE&amp;VAR:QUERY=RkZfRUJJVERBX0lCKCdMVE1TJywzOTk4MCk=&amp;WINDOW=FIRST_POPUP&amp;HEIGHT=450&amp;WIDTH=450&amp;START_MA","XIMIZED=FALSE&amp;VAR:CALENDAR=US&amp;VAR:SYMBOL=N0098510&amp;VAR:INDEX=0"}</definedName>
    <definedName name="_5733__FDSAUDITLINK__" hidden="1">{"fdsup://directions/FAT Viewer?action=UPDATE&amp;creator=factset&amp;DYN_ARGS=TRUE&amp;DOC_NAME=FAT:FQL_AUDITING_CLIENT_TEMPLATE.FAT&amp;display_string=Audit&amp;VAR:KEY=XMVCFKDYBE&amp;VAR:QUERY=RkZfRUJJVERBX0lCKCdMVE1TJywzOTk4MCk=&amp;WINDOW=FIRST_POPUP&amp;HEIGHT=450&amp;WIDTH=450&amp;START_MA","XIMIZED=FALSE&amp;VAR:CALENDAR=US&amp;VAR:SYMBOL=N0098510&amp;VAR:INDEX=0"}</definedName>
    <definedName name="_5734__FDSAUDITLINK__" localSheetId="6" hidden="1">{"fdsup://directions/FAT Viewer?action=UPDATE&amp;creator=factset&amp;DYN_ARGS=TRUE&amp;DOC_NAME=FAT:FQL_AUDITING_CLIENT_TEMPLATE.FAT&amp;display_string=Audit&amp;VAR:KEY=BQNWZSDMLG&amp;VAR:QUERY=RkZfRUJJVERBX0lCKCdMVE1TJywzOTk3OSk=&amp;WINDOW=FIRST_POPUP&amp;HEIGHT=450&amp;WIDTH=450&amp;START_MA","XIMIZED=FALSE&amp;VAR:CALENDAR=US&amp;VAR:SYMBOL=N0098510&amp;VAR:INDEX=0"}</definedName>
    <definedName name="_5734__FDSAUDITLINK__" hidden="1">{"fdsup://directions/FAT Viewer?action=UPDATE&amp;creator=factset&amp;DYN_ARGS=TRUE&amp;DOC_NAME=FAT:FQL_AUDITING_CLIENT_TEMPLATE.FAT&amp;display_string=Audit&amp;VAR:KEY=BQNWZSDMLG&amp;VAR:QUERY=RkZfRUJJVERBX0lCKCdMVE1TJywzOTk3OSk=&amp;WINDOW=FIRST_POPUP&amp;HEIGHT=450&amp;WIDTH=450&amp;START_MA","XIMIZED=FALSE&amp;VAR:CALENDAR=US&amp;VAR:SYMBOL=N0098510&amp;VAR:INDEX=0"}</definedName>
    <definedName name="_5735__FDSAUDITLINK__" localSheetId="6" hidden="1">{"fdsup://directions/FAT Viewer?action=UPDATE&amp;creator=factset&amp;DYN_ARGS=TRUE&amp;DOC_NAME=FAT:FQL_AUDITING_CLIENT_TEMPLATE.FAT&amp;display_string=Audit&amp;VAR:KEY=NALONKBKDQ&amp;VAR:QUERY=RkZfRUJJVERBX0lCKCdMVE1TJywzOTk3OCk=&amp;WINDOW=FIRST_POPUP&amp;HEIGHT=450&amp;WIDTH=450&amp;START_MA","XIMIZED=FALSE&amp;VAR:CALENDAR=US&amp;VAR:SYMBOL=N0098510&amp;VAR:INDEX=0"}</definedName>
    <definedName name="_5735__FDSAUDITLINK__" hidden="1">{"fdsup://directions/FAT Viewer?action=UPDATE&amp;creator=factset&amp;DYN_ARGS=TRUE&amp;DOC_NAME=FAT:FQL_AUDITING_CLIENT_TEMPLATE.FAT&amp;display_string=Audit&amp;VAR:KEY=NALONKBKDQ&amp;VAR:QUERY=RkZfRUJJVERBX0lCKCdMVE1TJywzOTk3OCk=&amp;WINDOW=FIRST_POPUP&amp;HEIGHT=450&amp;WIDTH=450&amp;START_MA","XIMIZED=FALSE&amp;VAR:CALENDAR=US&amp;VAR:SYMBOL=N0098510&amp;VAR:INDEX=0"}</definedName>
    <definedName name="_5736__FDSAUDITLINK__" localSheetId="6" hidden="1">{"fdsup://directions/FAT Viewer?action=UPDATE&amp;creator=factset&amp;DYN_ARGS=TRUE&amp;DOC_NAME=FAT:FQL_AUDITING_CLIENT_TEMPLATE.FAT&amp;display_string=Audit&amp;VAR:KEY=HULQXUPCJK&amp;VAR:QUERY=RkZfRUJJVERBX0lCKCdMVE1TJywzOTk3Nyk=&amp;WINDOW=FIRST_POPUP&amp;HEIGHT=450&amp;WIDTH=450&amp;START_MA","XIMIZED=FALSE&amp;VAR:CALENDAR=US&amp;VAR:SYMBOL=N0098510&amp;VAR:INDEX=0"}</definedName>
    <definedName name="_5736__FDSAUDITLINK__" hidden="1">{"fdsup://directions/FAT Viewer?action=UPDATE&amp;creator=factset&amp;DYN_ARGS=TRUE&amp;DOC_NAME=FAT:FQL_AUDITING_CLIENT_TEMPLATE.FAT&amp;display_string=Audit&amp;VAR:KEY=HULQXUPCJK&amp;VAR:QUERY=RkZfRUJJVERBX0lCKCdMVE1TJywzOTk3Nyk=&amp;WINDOW=FIRST_POPUP&amp;HEIGHT=450&amp;WIDTH=450&amp;START_MA","XIMIZED=FALSE&amp;VAR:CALENDAR=US&amp;VAR:SYMBOL=N0098510&amp;VAR:INDEX=0"}</definedName>
    <definedName name="_5737__FDSAUDITLINK__" localSheetId="6" hidden="1">{"fdsup://directions/FAT Viewer?action=UPDATE&amp;creator=factset&amp;DYN_ARGS=TRUE&amp;DOC_NAME=FAT:FQL_AUDITING_CLIENT_TEMPLATE.FAT&amp;display_string=Audit&amp;VAR:KEY=BOZUTIFMRM&amp;VAR:QUERY=RkZfRUJJVERBX0lCKCdMVE1TJywzOTk3Nik=&amp;WINDOW=FIRST_POPUP&amp;HEIGHT=450&amp;WIDTH=450&amp;START_MA","XIMIZED=FALSE&amp;VAR:CALENDAR=US&amp;VAR:SYMBOL=N0098510&amp;VAR:INDEX=0"}</definedName>
    <definedName name="_5737__FDSAUDITLINK__" hidden="1">{"fdsup://directions/FAT Viewer?action=UPDATE&amp;creator=factset&amp;DYN_ARGS=TRUE&amp;DOC_NAME=FAT:FQL_AUDITING_CLIENT_TEMPLATE.FAT&amp;display_string=Audit&amp;VAR:KEY=BOZUTIFMRM&amp;VAR:QUERY=RkZfRUJJVERBX0lCKCdMVE1TJywzOTk3Nik=&amp;WINDOW=FIRST_POPUP&amp;HEIGHT=450&amp;WIDTH=450&amp;START_MA","XIMIZED=FALSE&amp;VAR:CALENDAR=US&amp;VAR:SYMBOL=N0098510&amp;VAR:INDEX=0"}</definedName>
    <definedName name="_5738__FDSAUDITLINK__" localSheetId="6" hidden="1">{"fdsup://directions/FAT Viewer?action=UPDATE&amp;creator=factset&amp;DYN_ARGS=TRUE&amp;DOC_NAME=FAT:FQL_AUDITING_CLIENT_TEMPLATE.FAT&amp;display_string=Audit&amp;VAR:KEY=TGPQPEHENW&amp;VAR:QUERY=RkZfRUJJVERBX0lCKCdMVE1TJywzOTk3NSk=&amp;WINDOW=FIRST_POPUP&amp;HEIGHT=450&amp;WIDTH=450&amp;START_MA","XIMIZED=FALSE&amp;VAR:CALENDAR=US&amp;VAR:SYMBOL=N0098510&amp;VAR:INDEX=0"}</definedName>
    <definedName name="_5738__FDSAUDITLINK__" hidden="1">{"fdsup://directions/FAT Viewer?action=UPDATE&amp;creator=factset&amp;DYN_ARGS=TRUE&amp;DOC_NAME=FAT:FQL_AUDITING_CLIENT_TEMPLATE.FAT&amp;display_string=Audit&amp;VAR:KEY=TGPQPEHENW&amp;VAR:QUERY=RkZfRUJJVERBX0lCKCdMVE1TJywzOTk3NSk=&amp;WINDOW=FIRST_POPUP&amp;HEIGHT=450&amp;WIDTH=450&amp;START_MA","XIMIZED=FALSE&amp;VAR:CALENDAR=US&amp;VAR:SYMBOL=N0098510&amp;VAR:INDEX=0"}</definedName>
    <definedName name="_5739__FDSAUDITLINK__" localSheetId="6" hidden="1">{"fdsup://directions/FAT Viewer?action=UPDATE&amp;creator=factset&amp;DYN_ARGS=TRUE&amp;DOC_NAME=FAT:FQL_AUDITING_CLIENT_TEMPLATE.FAT&amp;display_string=Audit&amp;VAR:KEY=DORGXWVIRE&amp;VAR:QUERY=RkZfRUJJVERBX0lCKCdMVE1TJywzOTk3NCk=&amp;WINDOW=FIRST_POPUP&amp;HEIGHT=450&amp;WIDTH=450&amp;START_MA","XIMIZED=FALSE&amp;VAR:CALENDAR=US&amp;VAR:SYMBOL=N0098510&amp;VAR:INDEX=0"}</definedName>
    <definedName name="_5739__FDSAUDITLINK__" hidden="1">{"fdsup://directions/FAT Viewer?action=UPDATE&amp;creator=factset&amp;DYN_ARGS=TRUE&amp;DOC_NAME=FAT:FQL_AUDITING_CLIENT_TEMPLATE.FAT&amp;display_string=Audit&amp;VAR:KEY=DORGXWVIRE&amp;VAR:QUERY=RkZfRUJJVERBX0lCKCdMVE1TJywzOTk3NCk=&amp;WINDOW=FIRST_POPUP&amp;HEIGHT=450&amp;WIDTH=450&amp;START_MA","XIMIZED=FALSE&amp;VAR:CALENDAR=US&amp;VAR:SYMBOL=N0098510&amp;VAR:INDEX=0"}</definedName>
    <definedName name="_574__FDSAUDITLINK__" localSheetId="6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4__FDSAUDITLINK__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40__FDSAUDITLINK__" localSheetId="6" hidden="1">{"fdsup://directions/FAT Viewer?action=UPDATE&amp;creator=factset&amp;DYN_ARGS=TRUE&amp;DOC_NAME=FAT:FQL_AUDITING_CLIENT_TEMPLATE.FAT&amp;display_string=Audit&amp;VAR:KEY=LSHQREHUJA&amp;VAR:QUERY=RkZfRUJJVERBX0lCKCdMVE1TJywzOTk3Myk=&amp;WINDOW=FIRST_POPUP&amp;HEIGHT=450&amp;WIDTH=450&amp;START_MA","XIMIZED=FALSE&amp;VAR:CALENDAR=US&amp;VAR:SYMBOL=N0098510&amp;VAR:INDEX=0"}</definedName>
    <definedName name="_5740__FDSAUDITLINK__" hidden="1">{"fdsup://directions/FAT Viewer?action=UPDATE&amp;creator=factset&amp;DYN_ARGS=TRUE&amp;DOC_NAME=FAT:FQL_AUDITING_CLIENT_TEMPLATE.FAT&amp;display_string=Audit&amp;VAR:KEY=LSHQREHUJA&amp;VAR:QUERY=RkZfRUJJVERBX0lCKCdMVE1TJywzOTk3Myk=&amp;WINDOW=FIRST_POPUP&amp;HEIGHT=450&amp;WIDTH=450&amp;START_MA","XIMIZED=FALSE&amp;VAR:CALENDAR=US&amp;VAR:SYMBOL=N0098510&amp;VAR:INDEX=0"}</definedName>
    <definedName name="_5741__FDSAUDITLINK__" localSheetId="6" hidden="1">{"fdsup://directions/FAT Viewer?action=UPDATE&amp;creator=factset&amp;DYN_ARGS=TRUE&amp;DOC_NAME=FAT:FQL_AUDITING_CLIENT_TEMPLATE.FAT&amp;display_string=Audit&amp;VAR:KEY=TCXOLSFCBU&amp;VAR:QUERY=RkZfRUJJVERBX0lCKCdMVE1TJywzOTk3Mik=&amp;WINDOW=FIRST_POPUP&amp;HEIGHT=450&amp;WIDTH=450&amp;START_MA","XIMIZED=FALSE&amp;VAR:CALENDAR=US&amp;VAR:SYMBOL=N0098510&amp;VAR:INDEX=0"}</definedName>
    <definedName name="_5741__FDSAUDITLINK__" hidden="1">{"fdsup://directions/FAT Viewer?action=UPDATE&amp;creator=factset&amp;DYN_ARGS=TRUE&amp;DOC_NAME=FAT:FQL_AUDITING_CLIENT_TEMPLATE.FAT&amp;display_string=Audit&amp;VAR:KEY=TCXOLSFCBU&amp;VAR:QUERY=RkZfRUJJVERBX0lCKCdMVE1TJywzOTk3Mik=&amp;WINDOW=FIRST_POPUP&amp;HEIGHT=450&amp;WIDTH=450&amp;START_MA","XIMIZED=FALSE&amp;VAR:CALENDAR=US&amp;VAR:SYMBOL=N0098510&amp;VAR:INDEX=0"}</definedName>
    <definedName name="_5742__FDSAUDITLINK__" localSheetId="6" hidden="1">{"fdsup://directions/FAT Viewer?action=UPDATE&amp;creator=factset&amp;DYN_ARGS=TRUE&amp;DOC_NAME=FAT:FQL_AUDITING_CLIENT_TEMPLATE.FAT&amp;display_string=Audit&amp;VAR:KEY=XWXSXUVCXO&amp;VAR:QUERY=RkZfRUJJVERBX0lCKCdMVE1TJywzOTk3MSk=&amp;WINDOW=FIRST_POPUP&amp;HEIGHT=450&amp;WIDTH=450&amp;START_MA","XIMIZED=FALSE&amp;VAR:CALENDAR=US&amp;VAR:SYMBOL=N0098510&amp;VAR:INDEX=0"}</definedName>
    <definedName name="_5742__FDSAUDITLINK__" hidden="1">{"fdsup://directions/FAT Viewer?action=UPDATE&amp;creator=factset&amp;DYN_ARGS=TRUE&amp;DOC_NAME=FAT:FQL_AUDITING_CLIENT_TEMPLATE.FAT&amp;display_string=Audit&amp;VAR:KEY=XWXSXUVCXO&amp;VAR:QUERY=RkZfRUJJVERBX0lCKCdMVE1TJywzOTk3MSk=&amp;WINDOW=FIRST_POPUP&amp;HEIGHT=450&amp;WIDTH=450&amp;START_MA","XIMIZED=FALSE&amp;VAR:CALENDAR=US&amp;VAR:SYMBOL=N0098510&amp;VAR:INDEX=0"}</definedName>
    <definedName name="_5743__FDSAUDITLINK__" localSheetId="6" hidden="1">{"fdsup://directions/FAT Viewer?action=UPDATE&amp;creator=factset&amp;DYN_ARGS=TRUE&amp;DOC_NAME=FAT:FQL_AUDITING_CLIENT_TEMPLATE.FAT&amp;display_string=Audit&amp;VAR:KEY=TUDYPCXOJQ&amp;VAR:QUERY=RkZfRUJJVERBX0lCKCdMVE1TJywzOTk3MCk=&amp;WINDOW=FIRST_POPUP&amp;HEIGHT=450&amp;WIDTH=450&amp;START_MA","XIMIZED=FALSE&amp;VAR:CALENDAR=US&amp;VAR:SYMBOL=N0098510&amp;VAR:INDEX=0"}</definedName>
    <definedName name="_5743__FDSAUDITLINK__" hidden="1">{"fdsup://directions/FAT Viewer?action=UPDATE&amp;creator=factset&amp;DYN_ARGS=TRUE&amp;DOC_NAME=FAT:FQL_AUDITING_CLIENT_TEMPLATE.FAT&amp;display_string=Audit&amp;VAR:KEY=TUDYPCXOJQ&amp;VAR:QUERY=RkZfRUJJVERBX0lCKCdMVE1TJywzOTk3MCk=&amp;WINDOW=FIRST_POPUP&amp;HEIGHT=450&amp;WIDTH=450&amp;START_MA","XIMIZED=FALSE&amp;VAR:CALENDAR=US&amp;VAR:SYMBOL=N0098510&amp;VAR:INDEX=0"}</definedName>
    <definedName name="_5744__FDSAUDITLINK__" localSheetId="6" hidden="1">{"fdsup://directions/FAT Viewer?action=UPDATE&amp;creator=factset&amp;DYN_ARGS=TRUE&amp;DOC_NAME=FAT:FQL_AUDITING_CLIENT_TEMPLATE.FAT&amp;display_string=Audit&amp;VAR:KEY=LATKBMPUTK&amp;VAR:QUERY=RkZfRUJJVERBX0lCKCdMVE1TJywzOTk2OSk=&amp;WINDOW=FIRST_POPUP&amp;HEIGHT=450&amp;WIDTH=450&amp;START_MA","XIMIZED=FALSE&amp;VAR:CALENDAR=US&amp;VAR:SYMBOL=N0098510&amp;VAR:INDEX=0"}</definedName>
    <definedName name="_5744__FDSAUDITLINK__" hidden="1">{"fdsup://directions/FAT Viewer?action=UPDATE&amp;creator=factset&amp;DYN_ARGS=TRUE&amp;DOC_NAME=FAT:FQL_AUDITING_CLIENT_TEMPLATE.FAT&amp;display_string=Audit&amp;VAR:KEY=LATKBMPUTK&amp;VAR:QUERY=RkZfRUJJVERBX0lCKCdMVE1TJywzOTk2OSk=&amp;WINDOW=FIRST_POPUP&amp;HEIGHT=450&amp;WIDTH=450&amp;START_MA","XIMIZED=FALSE&amp;VAR:CALENDAR=US&amp;VAR:SYMBOL=N0098510&amp;VAR:INDEX=0"}</definedName>
    <definedName name="_5745__FDSAUDITLINK__" localSheetId="6" hidden="1">{"fdsup://directions/FAT Viewer?action=UPDATE&amp;creator=factset&amp;DYN_ARGS=TRUE&amp;DOC_NAME=FAT:FQL_AUDITING_CLIENT_TEMPLATE.FAT&amp;display_string=Audit&amp;VAR:KEY=JELEXWXWLC&amp;VAR:QUERY=RkZfRUJJVERBX0lCKCdMVE1TJywzOTk2OCk=&amp;WINDOW=FIRST_POPUP&amp;HEIGHT=450&amp;WIDTH=450&amp;START_MA","XIMIZED=FALSE&amp;VAR:CALENDAR=US&amp;VAR:SYMBOL=N0098510&amp;VAR:INDEX=0"}</definedName>
    <definedName name="_5745__FDSAUDITLINK__" hidden="1">{"fdsup://directions/FAT Viewer?action=UPDATE&amp;creator=factset&amp;DYN_ARGS=TRUE&amp;DOC_NAME=FAT:FQL_AUDITING_CLIENT_TEMPLATE.FAT&amp;display_string=Audit&amp;VAR:KEY=JELEXWXWLC&amp;VAR:QUERY=RkZfRUJJVERBX0lCKCdMVE1TJywzOTk2OCk=&amp;WINDOW=FIRST_POPUP&amp;HEIGHT=450&amp;WIDTH=450&amp;START_MA","XIMIZED=FALSE&amp;VAR:CALENDAR=US&amp;VAR:SYMBOL=N0098510&amp;VAR:INDEX=0"}</definedName>
    <definedName name="_5746__FDSAUDITLINK__" localSheetId="6" hidden="1">{"fdsup://directions/FAT Viewer?action=UPDATE&amp;creator=factset&amp;DYN_ARGS=TRUE&amp;DOC_NAME=FAT:FQL_AUDITING_CLIENT_TEMPLATE.FAT&amp;display_string=Audit&amp;VAR:KEY=RAJIBWHENO&amp;VAR:QUERY=RkZfRUJJVERBX0lCKCdMVE1TJywzOTk2Nyk=&amp;WINDOW=FIRST_POPUP&amp;HEIGHT=450&amp;WIDTH=450&amp;START_MA","XIMIZED=FALSE&amp;VAR:CALENDAR=US&amp;VAR:SYMBOL=N0098510&amp;VAR:INDEX=0"}</definedName>
    <definedName name="_5746__FDSAUDITLINK__" hidden="1">{"fdsup://directions/FAT Viewer?action=UPDATE&amp;creator=factset&amp;DYN_ARGS=TRUE&amp;DOC_NAME=FAT:FQL_AUDITING_CLIENT_TEMPLATE.FAT&amp;display_string=Audit&amp;VAR:KEY=RAJIBWHENO&amp;VAR:QUERY=RkZfRUJJVERBX0lCKCdMVE1TJywzOTk2Nyk=&amp;WINDOW=FIRST_POPUP&amp;HEIGHT=450&amp;WIDTH=450&amp;START_MA","XIMIZED=FALSE&amp;VAR:CALENDAR=US&amp;VAR:SYMBOL=N0098510&amp;VAR:INDEX=0"}</definedName>
    <definedName name="_5747__FDSAUDITLINK__" localSheetId="6" hidden="1">{"fdsup://directions/FAT Viewer?action=UPDATE&amp;creator=factset&amp;DYN_ARGS=TRUE&amp;DOC_NAME=FAT:FQL_AUDITING_CLIENT_TEMPLATE.FAT&amp;display_string=Audit&amp;VAR:KEY=FUPCDYHEDM&amp;VAR:QUERY=RkZfRUJJVERBX0lCKCdMVE1TJywzOTk2Nik=&amp;WINDOW=FIRST_POPUP&amp;HEIGHT=450&amp;WIDTH=450&amp;START_MA","XIMIZED=FALSE&amp;VAR:CALENDAR=US&amp;VAR:SYMBOL=N0098510&amp;VAR:INDEX=0"}</definedName>
    <definedName name="_5747__FDSAUDITLINK__" hidden="1">{"fdsup://directions/FAT Viewer?action=UPDATE&amp;creator=factset&amp;DYN_ARGS=TRUE&amp;DOC_NAME=FAT:FQL_AUDITING_CLIENT_TEMPLATE.FAT&amp;display_string=Audit&amp;VAR:KEY=FUPCDYHEDM&amp;VAR:QUERY=RkZfRUJJVERBX0lCKCdMVE1TJywzOTk2Nik=&amp;WINDOW=FIRST_POPUP&amp;HEIGHT=450&amp;WIDTH=450&amp;START_MA","XIMIZED=FALSE&amp;VAR:CALENDAR=US&amp;VAR:SYMBOL=N0098510&amp;VAR:INDEX=0"}</definedName>
    <definedName name="_5748__FDSAUDITLINK__" localSheetId="6" hidden="1">{"fdsup://directions/FAT Viewer?action=UPDATE&amp;creator=factset&amp;DYN_ARGS=TRUE&amp;DOC_NAME=FAT:FQL_AUDITING_CLIENT_TEMPLATE.FAT&amp;display_string=Audit&amp;VAR:KEY=TEJSLWTUTY&amp;VAR:QUERY=RkZfRUJJVERBX0lCKCdMVE1TJywzOTk2NSk=&amp;WINDOW=FIRST_POPUP&amp;HEIGHT=450&amp;WIDTH=450&amp;START_MA","XIMIZED=FALSE&amp;VAR:CALENDAR=US&amp;VAR:SYMBOL=N0098510&amp;VAR:INDEX=0"}</definedName>
    <definedName name="_5748__FDSAUDITLINK__" hidden="1">{"fdsup://directions/FAT Viewer?action=UPDATE&amp;creator=factset&amp;DYN_ARGS=TRUE&amp;DOC_NAME=FAT:FQL_AUDITING_CLIENT_TEMPLATE.FAT&amp;display_string=Audit&amp;VAR:KEY=TEJSLWTUTY&amp;VAR:QUERY=RkZfRUJJVERBX0lCKCdMVE1TJywzOTk2NSk=&amp;WINDOW=FIRST_POPUP&amp;HEIGHT=450&amp;WIDTH=450&amp;START_MA","XIMIZED=FALSE&amp;VAR:CALENDAR=US&amp;VAR:SYMBOL=N0098510&amp;VAR:INDEX=0"}</definedName>
    <definedName name="_5749__FDSAUDITLINK__" localSheetId="6" hidden="1">{"fdsup://directions/FAT Viewer?action=UPDATE&amp;creator=factset&amp;DYN_ARGS=TRUE&amp;DOC_NAME=FAT:FQL_AUDITING_CLIENT_TEMPLATE.FAT&amp;display_string=Audit&amp;VAR:KEY=ROPOPOJKTE&amp;VAR:QUERY=RkZfRUJJVERBX0lCKCdMVE1TJywzOTk2NCk=&amp;WINDOW=FIRST_POPUP&amp;HEIGHT=450&amp;WIDTH=450&amp;START_MA","XIMIZED=FALSE&amp;VAR:CALENDAR=US&amp;VAR:SYMBOL=N0098510&amp;VAR:INDEX=0"}</definedName>
    <definedName name="_5749__FDSAUDITLINK__" hidden="1">{"fdsup://directions/FAT Viewer?action=UPDATE&amp;creator=factset&amp;DYN_ARGS=TRUE&amp;DOC_NAME=FAT:FQL_AUDITING_CLIENT_TEMPLATE.FAT&amp;display_string=Audit&amp;VAR:KEY=ROPOPOJKTE&amp;VAR:QUERY=RkZfRUJJVERBX0lCKCdMVE1TJywzOTk2NCk=&amp;WINDOW=FIRST_POPUP&amp;HEIGHT=450&amp;WIDTH=450&amp;START_MA","XIMIZED=FALSE&amp;VAR:CALENDAR=US&amp;VAR:SYMBOL=N0098510&amp;VAR:INDEX=0"}</definedName>
    <definedName name="_575__FDSAUDITLINK__" localSheetId="6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5__FDSAUDITLINK__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50__FDSAUDITLINK__" localSheetId="6" hidden="1">{"fdsup://directions/FAT Viewer?action=UPDATE&amp;creator=factset&amp;DYN_ARGS=TRUE&amp;DOC_NAME=FAT:FQL_AUDITING_CLIENT_TEMPLATE.FAT&amp;display_string=Audit&amp;VAR:KEY=PUHEZKVQPA&amp;VAR:QUERY=RkZfRUJJVERBX0lCKCdMVE1TJywzOTk2Myk=&amp;WINDOW=FIRST_POPUP&amp;HEIGHT=450&amp;WIDTH=450&amp;START_MA","XIMIZED=FALSE&amp;VAR:CALENDAR=US&amp;VAR:SYMBOL=N0098510&amp;VAR:INDEX=0"}</definedName>
    <definedName name="_5750__FDSAUDITLINK__" hidden="1">{"fdsup://directions/FAT Viewer?action=UPDATE&amp;creator=factset&amp;DYN_ARGS=TRUE&amp;DOC_NAME=FAT:FQL_AUDITING_CLIENT_TEMPLATE.FAT&amp;display_string=Audit&amp;VAR:KEY=PUHEZKVQPA&amp;VAR:QUERY=RkZfRUJJVERBX0lCKCdMVE1TJywzOTk2Myk=&amp;WINDOW=FIRST_POPUP&amp;HEIGHT=450&amp;WIDTH=450&amp;START_MA","XIMIZED=FALSE&amp;VAR:CALENDAR=US&amp;VAR:SYMBOL=N0098510&amp;VAR:INDEX=0"}</definedName>
    <definedName name="_5751__FDSAUDITLINK__" localSheetId="6" hidden="1">{"fdsup://directions/FAT Viewer?action=UPDATE&amp;creator=factset&amp;DYN_ARGS=TRUE&amp;DOC_NAME=FAT:FQL_AUDITING_CLIENT_TEMPLATE.FAT&amp;display_string=Audit&amp;VAR:KEY=LEXWTUHCJA&amp;VAR:QUERY=RkZfRUJJVERBX0lCKCdMVE1TJywzOTk2Mik=&amp;WINDOW=FIRST_POPUP&amp;HEIGHT=450&amp;WIDTH=450&amp;START_MA","XIMIZED=FALSE&amp;VAR:CALENDAR=US&amp;VAR:SYMBOL=N0098510&amp;VAR:INDEX=0"}</definedName>
    <definedName name="_5751__FDSAUDITLINK__" hidden="1">{"fdsup://directions/FAT Viewer?action=UPDATE&amp;creator=factset&amp;DYN_ARGS=TRUE&amp;DOC_NAME=FAT:FQL_AUDITING_CLIENT_TEMPLATE.FAT&amp;display_string=Audit&amp;VAR:KEY=LEXWTUHCJA&amp;VAR:QUERY=RkZfRUJJVERBX0lCKCdMVE1TJywzOTk2Mik=&amp;WINDOW=FIRST_POPUP&amp;HEIGHT=450&amp;WIDTH=450&amp;START_MA","XIMIZED=FALSE&amp;VAR:CALENDAR=US&amp;VAR:SYMBOL=N0098510&amp;VAR:INDEX=0"}</definedName>
    <definedName name="_5752__FDSAUDITLINK__" localSheetId="6" hidden="1">{"fdsup://directions/FAT Viewer?action=UPDATE&amp;creator=factset&amp;DYN_ARGS=TRUE&amp;DOC_NAME=FAT:FQL_AUDITING_CLIENT_TEMPLATE.FAT&amp;display_string=Audit&amp;VAR:KEY=RSRENIVSFE&amp;VAR:QUERY=RkZfRUJJVERBX0lCKCdMVE1TJywzOTk2MSk=&amp;WINDOW=FIRST_POPUP&amp;HEIGHT=450&amp;WIDTH=450&amp;START_MA","XIMIZED=FALSE&amp;VAR:CALENDAR=US&amp;VAR:SYMBOL=N0098510&amp;VAR:INDEX=0"}</definedName>
    <definedName name="_5752__FDSAUDITLINK__" hidden="1">{"fdsup://directions/FAT Viewer?action=UPDATE&amp;creator=factset&amp;DYN_ARGS=TRUE&amp;DOC_NAME=FAT:FQL_AUDITING_CLIENT_TEMPLATE.FAT&amp;display_string=Audit&amp;VAR:KEY=RSRENIVSFE&amp;VAR:QUERY=RkZfRUJJVERBX0lCKCdMVE1TJywzOTk2MSk=&amp;WINDOW=FIRST_POPUP&amp;HEIGHT=450&amp;WIDTH=450&amp;START_MA","XIMIZED=FALSE&amp;VAR:CALENDAR=US&amp;VAR:SYMBOL=N0098510&amp;VAR:INDEX=0"}</definedName>
    <definedName name="_5753__FDSAUDITLINK__" localSheetId="6" hidden="1">{"fdsup://directions/FAT Viewer?action=UPDATE&amp;creator=factset&amp;DYN_ARGS=TRUE&amp;DOC_NAME=FAT:FQL_AUDITING_CLIENT_TEMPLATE.FAT&amp;display_string=Audit&amp;VAR:KEY=TUHGZELSJE&amp;VAR:QUERY=RkZfRUJJVERBX0lCKCdMVE1TJywzOTk2MCk=&amp;WINDOW=FIRST_POPUP&amp;HEIGHT=450&amp;WIDTH=450&amp;START_MA","XIMIZED=FALSE&amp;VAR:CALENDAR=US&amp;VAR:SYMBOL=N0098510&amp;VAR:INDEX=0"}</definedName>
    <definedName name="_5753__FDSAUDITLINK__" hidden="1">{"fdsup://directions/FAT Viewer?action=UPDATE&amp;creator=factset&amp;DYN_ARGS=TRUE&amp;DOC_NAME=FAT:FQL_AUDITING_CLIENT_TEMPLATE.FAT&amp;display_string=Audit&amp;VAR:KEY=TUHGZELSJE&amp;VAR:QUERY=RkZfRUJJVERBX0lCKCdMVE1TJywzOTk2MCk=&amp;WINDOW=FIRST_POPUP&amp;HEIGHT=450&amp;WIDTH=450&amp;START_MA","XIMIZED=FALSE&amp;VAR:CALENDAR=US&amp;VAR:SYMBOL=N0098510&amp;VAR:INDEX=0"}</definedName>
    <definedName name="_5754__FDSAUDITLINK__" localSheetId="6" hidden="1">{"fdsup://directions/FAT Viewer?action=UPDATE&amp;creator=factset&amp;DYN_ARGS=TRUE&amp;DOC_NAME=FAT:FQL_AUDITING_CLIENT_TEMPLATE.FAT&amp;display_string=Audit&amp;VAR:KEY=HQZCRGNOBI&amp;VAR:QUERY=RkZfRUJJVERBX0lCKCdMVE1TJywzOTk1OSk=&amp;WINDOW=FIRST_POPUP&amp;HEIGHT=450&amp;WIDTH=450&amp;START_MA","XIMIZED=FALSE&amp;VAR:CALENDAR=US&amp;VAR:SYMBOL=N0098510&amp;VAR:INDEX=0"}</definedName>
    <definedName name="_5754__FDSAUDITLINK__" hidden="1">{"fdsup://directions/FAT Viewer?action=UPDATE&amp;creator=factset&amp;DYN_ARGS=TRUE&amp;DOC_NAME=FAT:FQL_AUDITING_CLIENT_TEMPLATE.FAT&amp;display_string=Audit&amp;VAR:KEY=HQZCRGNOBI&amp;VAR:QUERY=RkZfRUJJVERBX0lCKCdMVE1TJywzOTk1OSk=&amp;WINDOW=FIRST_POPUP&amp;HEIGHT=450&amp;WIDTH=450&amp;START_MA","XIMIZED=FALSE&amp;VAR:CALENDAR=US&amp;VAR:SYMBOL=N0098510&amp;VAR:INDEX=0"}</definedName>
    <definedName name="_5755__FDSAUDITLINK__" localSheetId="6" hidden="1">{"fdsup://directions/FAT Viewer?action=UPDATE&amp;creator=factset&amp;DYN_ARGS=TRUE&amp;DOC_NAME=FAT:FQL_AUDITING_CLIENT_TEMPLATE.FAT&amp;display_string=Audit&amp;VAR:KEY=LERINULQDU&amp;VAR:QUERY=RkZfRUJJVERBX0lCKCdMVE1TJywzOTk1OCk=&amp;WINDOW=FIRST_POPUP&amp;HEIGHT=450&amp;WIDTH=450&amp;START_MA","XIMIZED=FALSE&amp;VAR:CALENDAR=US&amp;VAR:SYMBOL=N0098510&amp;VAR:INDEX=0"}</definedName>
    <definedName name="_5755__FDSAUDITLINK__" hidden="1">{"fdsup://directions/FAT Viewer?action=UPDATE&amp;creator=factset&amp;DYN_ARGS=TRUE&amp;DOC_NAME=FAT:FQL_AUDITING_CLIENT_TEMPLATE.FAT&amp;display_string=Audit&amp;VAR:KEY=LERINULQDU&amp;VAR:QUERY=RkZfRUJJVERBX0lCKCdMVE1TJywzOTk1OCk=&amp;WINDOW=FIRST_POPUP&amp;HEIGHT=450&amp;WIDTH=450&amp;START_MA","XIMIZED=FALSE&amp;VAR:CALENDAR=US&amp;VAR:SYMBOL=N0098510&amp;VAR:INDEX=0"}</definedName>
    <definedName name="_5756__FDSAUDITLINK__" localSheetId="6" hidden="1">{"fdsup://directions/FAT Viewer?action=UPDATE&amp;creator=factset&amp;DYN_ARGS=TRUE&amp;DOC_NAME=FAT:FQL_AUDITING_CLIENT_TEMPLATE.FAT&amp;display_string=Audit&amp;VAR:KEY=DIZUHWZOVQ&amp;VAR:QUERY=RkZfRUJJVERBX0lCKCdMVE1TJywzOTk1Nyk=&amp;WINDOW=FIRST_POPUP&amp;HEIGHT=450&amp;WIDTH=450&amp;START_MA","XIMIZED=FALSE&amp;VAR:CALENDAR=US&amp;VAR:SYMBOL=N0098510&amp;VAR:INDEX=0"}</definedName>
    <definedName name="_5756__FDSAUDITLINK__" hidden="1">{"fdsup://directions/FAT Viewer?action=UPDATE&amp;creator=factset&amp;DYN_ARGS=TRUE&amp;DOC_NAME=FAT:FQL_AUDITING_CLIENT_TEMPLATE.FAT&amp;display_string=Audit&amp;VAR:KEY=DIZUHWZOVQ&amp;VAR:QUERY=RkZfRUJJVERBX0lCKCdMVE1TJywzOTk1Nyk=&amp;WINDOW=FIRST_POPUP&amp;HEIGHT=450&amp;WIDTH=450&amp;START_MA","XIMIZED=FALSE&amp;VAR:CALENDAR=US&amp;VAR:SYMBOL=N0098510&amp;VAR:INDEX=0"}</definedName>
    <definedName name="_5757__FDSAUDITLINK__" localSheetId="6" hidden="1">{"fdsup://directions/FAT Viewer?action=UPDATE&amp;creator=factset&amp;DYN_ARGS=TRUE&amp;DOC_NAME=FAT:FQL_AUDITING_CLIENT_TEMPLATE.FAT&amp;display_string=Audit&amp;VAR:KEY=HWPCVILCLA&amp;VAR:QUERY=RkZfRUJJVERBX0lCKCdMVE1TJywzOTk1Nik=&amp;WINDOW=FIRST_POPUP&amp;HEIGHT=450&amp;WIDTH=450&amp;START_MA","XIMIZED=FALSE&amp;VAR:CALENDAR=US&amp;VAR:SYMBOL=N0098510&amp;VAR:INDEX=0"}</definedName>
    <definedName name="_5757__FDSAUDITLINK__" hidden="1">{"fdsup://directions/FAT Viewer?action=UPDATE&amp;creator=factset&amp;DYN_ARGS=TRUE&amp;DOC_NAME=FAT:FQL_AUDITING_CLIENT_TEMPLATE.FAT&amp;display_string=Audit&amp;VAR:KEY=HWPCVILCLA&amp;VAR:QUERY=RkZfRUJJVERBX0lCKCdMVE1TJywzOTk1Nik=&amp;WINDOW=FIRST_POPUP&amp;HEIGHT=450&amp;WIDTH=450&amp;START_MA","XIMIZED=FALSE&amp;VAR:CALENDAR=US&amp;VAR:SYMBOL=N0098510&amp;VAR:INDEX=0"}</definedName>
    <definedName name="_5758__FDSAUDITLINK__" localSheetId="6" hidden="1">{"fdsup://directions/FAT Viewer?action=UPDATE&amp;creator=factset&amp;DYN_ARGS=TRUE&amp;DOC_NAME=FAT:FQL_AUDITING_CLIENT_TEMPLATE.FAT&amp;display_string=Audit&amp;VAR:KEY=ZUZGLCVEXQ&amp;VAR:QUERY=RkZfRUJJVERBX0lCKCdMVE1TJywzOTk1NSk=&amp;WINDOW=FIRST_POPUP&amp;HEIGHT=450&amp;WIDTH=450&amp;START_MA","XIMIZED=FALSE&amp;VAR:CALENDAR=US&amp;VAR:SYMBOL=N0098510&amp;VAR:INDEX=0"}</definedName>
    <definedName name="_5758__FDSAUDITLINK__" hidden="1">{"fdsup://directions/FAT Viewer?action=UPDATE&amp;creator=factset&amp;DYN_ARGS=TRUE&amp;DOC_NAME=FAT:FQL_AUDITING_CLIENT_TEMPLATE.FAT&amp;display_string=Audit&amp;VAR:KEY=ZUZGLCVEXQ&amp;VAR:QUERY=RkZfRUJJVERBX0lCKCdMVE1TJywzOTk1NSk=&amp;WINDOW=FIRST_POPUP&amp;HEIGHT=450&amp;WIDTH=450&amp;START_MA","XIMIZED=FALSE&amp;VAR:CALENDAR=US&amp;VAR:SYMBOL=N0098510&amp;VAR:INDEX=0"}</definedName>
    <definedName name="_5759__FDSAUDITLINK__" localSheetId="6" hidden="1">{"fdsup://directions/FAT Viewer?action=UPDATE&amp;creator=factset&amp;DYN_ARGS=TRUE&amp;DOC_NAME=FAT:FQL_AUDITING_CLIENT_TEMPLATE.FAT&amp;display_string=Audit&amp;VAR:KEY=VKFYBKFALM&amp;VAR:QUERY=RkZfRUJJVERBX0lCKCdMVE1TJywzOTk1NCk=&amp;WINDOW=FIRST_POPUP&amp;HEIGHT=450&amp;WIDTH=450&amp;START_MA","XIMIZED=FALSE&amp;VAR:CALENDAR=US&amp;VAR:SYMBOL=N0098510&amp;VAR:INDEX=0"}</definedName>
    <definedName name="_5759__FDSAUDITLINK__" hidden="1">{"fdsup://directions/FAT Viewer?action=UPDATE&amp;creator=factset&amp;DYN_ARGS=TRUE&amp;DOC_NAME=FAT:FQL_AUDITING_CLIENT_TEMPLATE.FAT&amp;display_string=Audit&amp;VAR:KEY=VKFYBKFALM&amp;VAR:QUERY=RkZfRUJJVERBX0lCKCdMVE1TJywzOTk1NCk=&amp;WINDOW=FIRST_POPUP&amp;HEIGHT=450&amp;WIDTH=450&amp;START_MA","XIMIZED=FALSE&amp;VAR:CALENDAR=US&amp;VAR:SYMBOL=N0098510&amp;VAR:INDEX=0"}</definedName>
    <definedName name="_576__FDSAUDITLINK__" localSheetId="6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6__FDSAUDITLINK__" hidden="1">{"fdsup://directions/FAT%20Viewer?VAR:PED=LTM&amp;VAR:AUDIT_MODE=SUMMARY&amp;VAR:PERIOD=FIXED&amp;VAR:AUDIT_ID=00000117&amp;VAR:DATE=20080725&amp;action=UPDATE&amp;creator=factset&amp;DOC_NAME=FAT:FMA_audit_SUMMARY.fat&amp;DISPLAY_STRING=Display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60__FDSAUDITLINK__" localSheetId="6" hidden="1">{"fdsup://directions/FAT Viewer?action=UPDATE&amp;creator=factset&amp;DYN_ARGS=TRUE&amp;DOC_NAME=FAT:FQL_AUDITING_CLIENT_TEMPLATE.FAT&amp;display_string=Audit&amp;VAR:KEY=VUNEBYNGLU&amp;VAR:QUERY=RkZfRUJJVERBX0lCKCdMVE1TJywzOTk1Myk=&amp;WINDOW=FIRST_POPUP&amp;HEIGHT=450&amp;WIDTH=450&amp;START_MA","XIMIZED=FALSE&amp;VAR:CALENDAR=US&amp;VAR:SYMBOL=N0098510&amp;VAR:INDEX=0"}</definedName>
    <definedName name="_5760__FDSAUDITLINK__" hidden="1">{"fdsup://directions/FAT Viewer?action=UPDATE&amp;creator=factset&amp;DYN_ARGS=TRUE&amp;DOC_NAME=FAT:FQL_AUDITING_CLIENT_TEMPLATE.FAT&amp;display_string=Audit&amp;VAR:KEY=VUNEBYNGLU&amp;VAR:QUERY=RkZfRUJJVERBX0lCKCdMVE1TJywzOTk1Myk=&amp;WINDOW=FIRST_POPUP&amp;HEIGHT=450&amp;WIDTH=450&amp;START_MA","XIMIZED=FALSE&amp;VAR:CALENDAR=US&amp;VAR:SYMBOL=N0098510&amp;VAR:INDEX=0"}</definedName>
    <definedName name="_5761__FDSAUDITLINK__" localSheetId="6" hidden="1">{"fdsup://directions/FAT Viewer?action=UPDATE&amp;creator=factset&amp;DYN_ARGS=TRUE&amp;DOC_NAME=FAT:FQL_AUDITING_CLIENT_TEMPLATE.FAT&amp;display_string=Audit&amp;VAR:KEY=BMPMNCBGJI&amp;VAR:QUERY=RkZfRUJJVERBX0lCKCdMVE1TJywzOTk1Mik=&amp;WINDOW=FIRST_POPUP&amp;HEIGHT=450&amp;WIDTH=450&amp;START_MA","XIMIZED=FALSE&amp;VAR:CALENDAR=US&amp;VAR:SYMBOL=N0098510&amp;VAR:INDEX=0"}</definedName>
    <definedName name="_5761__FDSAUDITLINK__" hidden="1">{"fdsup://directions/FAT Viewer?action=UPDATE&amp;creator=factset&amp;DYN_ARGS=TRUE&amp;DOC_NAME=FAT:FQL_AUDITING_CLIENT_TEMPLATE.FAT&amp;display_string=Audit&amp;VAR:KEY=BMPMNCBGJI&amp;VAR:QUERY=RkZfRUJJVERBX0lCKCdMVE1TJywzOTk1Mik=&amp;WINDOW=FIRST_POPUP&amp;HEIGHT=450&amp;WIDTH=450&amp;START_MA","XIMIZED=FALSE&amp;VAR:CALENDAR=US&amp;VAR:SYMBOL=N0098510&amp;VAR:INDEX=0"}</definedName>
    <definedName name="_5762__FDSAUDITLINK__" localSheetId="6" hidden="1">{"fdsup://directions/FAT Viewer?action=UPDATE&amp;creator=factset&amp;DYN_ARGS=TRUE&amp;DOC_NAME=FAT:FQL_AUDITING_CLIENT_TEMPLATE.FAT&amp;display_string=Audit&amp;VAR:KEY=RABSZETETY&amp;VAR:QUERY=RkZfRUJJVERBX0lCKCdMVE1TJywzOTk1MSk=&amp;WINDOW=FIRST_POPUP&amp;HEIGHT=450&amp;WIDTH=450&amp;START_MA","XIMIZED=FALSE&amp;VAR:CALENDAR=US&amp;VAR:SYMBOL=N0098510&amp;VAR:INDEX=0"}</definedName>
    <definedName name="_5762__FDSAUDITLINK__" hidden="1">{"fdsup://directions/FAT Viewer?action=UPDATE&amp;creator=factset&amp;DYN_ARGS=TRUE&amp;DOC_NAME=FAT:FQL_AUDITING_CLIENT_TEMPLATE.FAT&amp;display_string=Audit&amp;VAR:KEY=RABSZETETY&amp;VAR:QUERY=RkZfRUJJVERBX0lCKCdMVE1TJywzOTk1MSk=&amp;WINDOW=FIRST_POPUP&amp;HEIGHT=450&amp;WIDTH=450&amp;START_MA","XIMIZED=FALSE&amp;VAR:CALENDAR=US&amp;VAR:SYMBOL=N0098510&amp;VAR:INDEX=0"}</definedName>
    <definedName name="_5763__FDSAUDITLINK__" localSheetId="6" hidden="1">{"fdsup://directions/FAT Viewer?action=UPDATE&amp;creator=factset&amp;DYN_ARGS=TRUE&amp;DOC_NAME=FAT:FQL_AUDITING_CLIENT_TEMPLATE.FAT&amp;display_string=Audit&amp;VAR:KEY=RYJYXKBMRM&amp;VAR:QUERY=RkZfRUJJVERBX0lCKCdMVE1TJywzOTk1MCk=&amp;WINDOW=FIRST_POPUP&amp;HEIGHT=450&amp;WIDTH=450&amp;START_MA","XIMIZED=FALSE&amp;VAR:CALENDAR=US&amp;VAR:SYMBOL=N0098510&amp;VAR:INDEX=0"}</definedName>
    <definedName name="_5763__FDSAUDITLINK__" hidden="1">{"fdsup://directions/FAT Viewer?action=UPDATE&amp;creator=factset&amp;DYN_ARGS=TRUE&amp;DOC_NAME=FAT:FQL_AUDITING_CLIENT_TEMPLATE.FAT&amp;display_string=Audit&amp;VAR:KEY=RYJYXKBMRM&amp;VAR:QUERY=RkZfRUJJVERBX0lCKCdMVE1TJywzOTk1MCk=&amp;WINDOW=FIRST_POPUP&amp;HEIGHT=450&amp;WIDTH=450&amp;START_MA","XIMIZED=FALSE&amp;VAR:CALENDAR=US&amp;VAR:SYMBOL=N0098510&amp;VAR:INDEX=0"}</definedName>
    <definedName name="_5764__FDSAUDITLINK__" localSheetId="6" hidden="1">{"fdsup://directions/FAT Viewer?action=UPDATE&amp;creator=factset&amp;DYN_ARGS=TRUE&amp;DOC_NAME=FAT:FQL_AUDITING_CLIENT_TEMPLATE.FAT&amp;display_string=Audit&amp;VAR:KEY=DSXEHUNKNO&amp;VAR:QUERY=RkZfRUJJVERBX0lCKCdMVE1TJywzOTk0OSk=&amp;WINDOW=FIRST_POPUP&amp;HEIGHT=450&amp;WIDTH=450&amp;START_MA","XIMIZED=FALSE&amp;VAR:CALENDAR=US&amp;VAR:SYMBOL=N0098510&amp;VAR:INDEX=0"}</definedName>
    <definedName name="_5764__FDSAUDITLINK__" hidden="1">{"fdsup://directions/FAT Viewer?action=UPDATE&amp;creator=factset&amp;DYN_ARGS=TRUE&amp;DOC_NAME=FAT:FQL_AUDITING_CLIENT_TEMPLATE.FAT&amp;display_string=Audit&amp;VAR:KEY=DSXEHUNKNO&amp;VAR:QUERY=RkZfRUJJVERBX0lCKCdMVE1TJywzOTk0OSk=&amp;WINDOW=FIRST_POPUP&amp;HEIGHT=450&amp;WIDTH=450&amp;START_MA","XIMIZED=FALSE&amp;VAR:CALENDAR=US&amp;VAR:SYMBOL=N0098510&amp;VAR:INDEX=0"}</definedName>
    <definedName name="_5765__FDSAUDITLINK__" localSheetId="6" hidden="1">{"fdsup://directions/FAT Viewer?action=UPDATE&amp;creator=factset&amp;DYN_ARGS=TRUE&amp;DOC_NAME=FAT:FQL_AUDITING_CLIENT_TEMPLATE.FAT&amp;display_string=Audit&amp;VAR:KEY=LGFURALSPO&amp;VAR:QUERY=RkZfRUJJVERBX0lCKCdMVE1TJywzOTk0OCk=&amp;WINDOW=FIRST_POPUP&amp;HEIGHT=450&amp;WIDTH=450&amp;START_MA","XIMIZED=FALSE&amp;VAR:CALENDAR=US&amp;VAR:SYMBOL=N0098510&amp;VAR:INDEX=0"}</definedName>
    <definedName name="_5765__FDSAUDITLINK__" hidden="1">{"fdsup://directions/FAT Viewer?action=UPDATE&amp;creator=factset&amp;DYN_ARGS=TRUE&amp;DOC_NAME=FAT:FQL_AUDITING_CLIENT_TEMPLATE.FAT&amp;display_string=Audit&amp;VAR:KEY=LGFURALSPO&amp;VAR:QUERY=RkZfRUJJVERBX0lCKCdMVE1TJywzOTk0OCk=&amp;WINDOW=FIRST_POPUP&amp;HEIGHT=450&amp;WIDTH=450&amp;START_MA","XIMIZED=FALSE&amp;VAR:CALENDAR=US&amp;VAR:SYMBOL=N0098510&amp;VAR:INDEX=0"}</definedName>
    <definedName name="_5766__FDSAUDITLINK__" localSheetId="6" hidden="1">{"fdsup://directions/FAT Viewer?action=UPDATE&amp;creator=factset&amp;DYN_ARGS=TRUE&amp;DOC_NAME=FAT:FQL_AUDITING_CLIENT_TEMPLATE.FAT&amp;display_string=Audit&amp;VAR:KEY=VEBYJILMNQ&amp;VAR:QUERY=RkZfRUJJVERBX0lCKCdMVE1TJywzOTk0Nyk=&amp;WINDOW=FIRST_POPUP&amp;HEIGHT=450&amp;WIDTH=450&amp;START_MA","XIMIZED=FALSE&amp;VAR:CALENDAR=US&amp;VAR:SYMBOL=N0098510&amp;VAR:INDEX=0"}</definedName>
    <definedName name="_5766__FDSAUDITLINK__" hidden="1">{"fdsup://directions/FAT Viewer?action=UPDATE&amp;creator=factset&amp;DYN_ARGS=TRUE&amp;DOC_NAME=FAT:FQL_AUDITING_CLIENT_TEMPLATE.FAT&amp;display_string=Audit&amp;VAR:KEY=VEBYJILMNQ&amp;VAR:QUERY=RkZfRUJJVERBX0lCKCdMVE1TJywzOTk0Nyk=&amp;WINDOW=FIRST_POPUP&amp;HEIGHT=450&amp;WIDTH=450&amp;START_MA","XIMIZED=FALSE&amp;VAR:CALENDAR=US&amp;VAR:SYMBOL=N0098510&amp;VAR:INDEX=0"}</definedName>
    <definedName name="_5767__FDSAUDITLINK__" localSheetId="6" hidden="1">{"fdsup://directions/FAT Viewer?action=UPDATE&amp;creator=factset&amp;DYN_ARGS=TRUE&amp;DOC_NAME=FAT:FQL_AUDITING_CLIENT_TEMPLATE.FAT&amp;display_string=Audit&amp;VAR:KEY=XEFSFWTUHS&amp;VAR:QUERY=RkZfRUJJVERBX0lCKCdMVE1TJywzOTk0Nik=&amp;WINDOW=FIRST_POPUP&amp;HEIGHT=450&amp;WIDTH=450&amp;START_MA","XIMIZED=FALSE&amp;VAR:CALENDAR=US&amp;VAR:SYMBOL=N0098510&amp;VAR:INDEX=0"}</definedName>
    <definedName name="_5767__FDSAUDITLINK__" hidden="1">{"fdsup://directions/FAT Viewer?action=UPDATE&amp;creator=factset&amp;DYN_ARGS=TRUE&amp;DOC_NAME=FAT:FQL_AUDITING_CLIENT_TEMPLATE.FAT&amp;display_string=Audit&amp;VAR:KEY=XEFSFWTUHS&amp;VAR:QUERY=RkZfRUJJVERBX0lCKCdMVE1TJywzOTk0Nik=&amp;WINDOW=FIRST_POPUP&amp;HEIGHT=450&amp;WIDTH=450&amp;START_MA","XIMIZED=FALSE&amp;VAR:CALENDAR=US&amp;VAR:SYMBOL=N0098510&amp;VAR:INDEX=0"}</definedName>
    <definedName name="_5768__FDSAUDITLINK__" localSheetId="6" hidden="1">{"fdsup://directions/FAT Viewer?action=UPDATE&amp;creator=factset&amp;DYN_ARGS=TRUE&amp;DOC_NAME=FAT:FQL_AUDITING_CLIENT_TEMPLATE.FAT&amp;display_string=Audit&amp;VAR:KEY=DKFAXOLINI&amp;VAR:QUERY=RkZfRUJJVERBX0lCKCdMVE1TJywzOTk0NSk=&amp;WINDOW=FIRST_POPUP&amp;HEIGHT=450&amp;WIDTH=450&amp;START_MA","XIMIZED=FALSE&amp;VAR:CALENDAR=US&amp;VAR:SYMBOL=N0098510&amp;VAR:INDEX=0"}</definedName>
    <definedName name="_5768__FDSAUDITLINK__" hidden="1">{"fdsup://directions/FAT Viewer?action=UPDATE&amp;creator=factset&amp;DYN_ARGS=TRUE&amp;DOC_NAME=FAT:FQL_AUDITING_CLIENT_TEMPLATE.FAT&amp;display_string=Audit&amp;VAR:KEY=DKFAXOLINI&amp;VAR:QUERY=RkZfRUJJVERBX0lCKCdMVE1TJywzOTk0NSk=&amp;WINDOW=FIRST_POPUP&amp;HEIGHT=450&amp;WIDTH=450&amp;START_MA","XIMIZED=FALSE&amp;VAR:CALENDAR=US&amp;VAR:SYMBOL=N0098510&amp;VAR:INDEX=0"}</definedName>
    <definedName name="_5769__FDSAUDITLINK__" localSheetId="6" hidden="1">{"fdsup://directions/FAT Viewer?action=UPDATE&amp;creator=factset&amp;DYN_ARGS=TRUE&amp;DOC_NAME=FAT:FQL_AUDITING_CLIENT_TEMPLATE.FAT&amp;display_string=Audit&amp;VAR:KEY=DWLMFCXUBG&amp;VAR:QUERY=RkZfRUJJVERBX0lCKCdMVE1TJywzOTk0NCk=&amp;WINDOW=FIRST_POPUP&amp;HEIGHT=450&amp;WIDTH=450&amp;START_MA","XIMIZED=FALSE&amp;VAR:CALENDAR=US&amp;VAR:SYMBOL=N0098510&amp;VAR:INDEX=0"}</definedName>
    <definedName name="_5769__FDSAUDITLINK__" hidden="1">{"fdsup://directions/FAT Viewer?action=UPDATE&amp;creator=factset&amp;DYN_ARGS=TRUE&amp;DOC_NAME=FAT:FQL_AUDITING_CLIENT_TEMPLATE.FAT&amp;display_string=Audit&amp;VAR:KEY=DWLMFCXUBG&amp;VAR:QUERY=RkZfRUJJVERBX0lCKCdMVE1TJywzOTk0NCk=&amp;WINDOW=FIRST_POPUP&amp;HEIGHT=450&amp;WIDTH=450&amp;START_MA","XIMIZED=FALSE&amp;VAR:CALENDAR=US&amp;VAR:SYMBOL=N0098510&amp;VAR:INDEX=0"}</definedName>
    <definedName name="_577__FDSAUDITLINK__" localSheetId="6" hidden="1">{"fdsup://directions/FAT%20Viewer?VAR:PED=LTM&amp;VAR:AUDIT_MODE=SUMMARY&amp;VAR:PERIOD=FIXED&amp;VAR:AUDIT_ID=00000117&amp;VAR:DATE=20080724&amp;action=UPDATE&amp;creator=factset&amp;DOC_NAME=FAT:FMA_audit_SUMMARY.fat&amp;DISPLAY_STRING=Display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7__FDSAUDITLINK__" hidden="1">{"fdsup://directions/FAT%20Viewer?VAR:PED=LTM&amp;VAR:AUDIT_MODE=SUMMARY&amp;VAR:PERIOD=FIXED&amp;VAR:AUDIT_ID=00000117&amp;VAR:DATE=20080724&amp;action=UPDATE&amp;creator=factset&amp;DOC_NAME=FAT:FMA_audit_SUMMARY.fat&amp;DISPLAY_STRING=Display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70__FDSAUDITLINK__" localSheetId="6" hidden="1">{"fdsup://directions/FAT Viewer?action=UPDATE&amp;creator=factset&amp;DYN_ARGS=TRUE&amp;DOC_NAME=FAT:FQL_AUDITING_CLIENT_TEMPLATE.FAT&amp;display_string=Audit&amp;VAR:KEY=ZKHUPWPORA&amp;VAR:QUERY=RkZfRUJJVERBX0lCKCdMVE1TJywzOTk0Myk=&amp;WINDOW=FIRST_POPUP&amp;HEIGHT=450&amp;WIDTH=450&amp;START_MA","XIMIZED=FALSE&amp;VAR:CALENDAR=US&amp;VAR:SYMBOL=N0098510&amp;VAR:INDEX=0"}</definedName>
    <definedName name="_5770__FDSAUDITLINK__" hidden="1">{"fdsup://directions/FAT Viewer?action=UPDATE&amp;creator=factset&amp;DYN_ARGS=TRUE&amp;DOC_NAME=FAT:FQL_AUDITING_CLIENT_TEMPLATE.FAT&amp;display_string=Audit&amp;VAR:KEY=ZKHUPWPORA&amp;VAR:QUERY=RkZfRUJJVERBX0lCKCdMVE1TJywzOTk0Myk=&amp;WINDOW=FIRST_POPUP&amp;HEIGHT=450&amp;WIDTH=450&amp;START_MA","XIMIZED=FALSE&amp;VAR:CALENDAR=US&amp;VAR:SYMBOL=N0098510&amp;VAR:INDEX=0"}</definedName>
    <definedName name="_5771__FDSAUDITLINK__" localSheetId="6" hidden="1">{"fdsup://directions/FAT Viewer?action=UPDATE&amp;creator=factset&amp;DYN_ARGS=TRUE&amp;DOC_NAME=FAT:FQL_AUDITING_CLIENT_TEMPLATE.FAT&amp;display_string=Audit&amp;VAR:KEY=NKBMJKFSRE&amp;VAR:QUERY=RkZfRUJJVERBX0lCKCdMVE1TJywzOTk0Mik=&amp;WINDOW=FIRST_POPUP&amp;HEIGHT=450&amp;WIDTH=450&amp;START_MA","XIMIZED=FALSE&amp;VAR:CALENDAR=US&amp;VAR:SYMBOL=N0098510&amp;VAR:INDEX=0"}</definedName>
    <definedName name="_5771__FDSAUDITLINK__" hidden="1">{"fdsup://directions/FAT Viewer?action=UPDATE&amp;creator=factset&amp;DYN_ARGS=TRUE&amp;DOC_NAME=FAT:FQL_AUDITING_CLIENT_TEMPLATE.FAT&amp;display_string=Audit&amp;VAR:KEY=NKBMJKFSRE&amp;VAR:QUERY=RkZfRUJJVERBX0lCKCdMVE1TJywzOTk0Mik=&amp;WINDOW=FIRST_POPUP&amp;HEIGHT=450&amp;WIDTH=450&amp;START_MA","XIMIZED=FALSE&amp;VAR:CALENDAR=US&amp;VAR:SYMBOL=N0098510&amp;VAR:INDEX=0"}</definedName>
    <definedName name="_5772__FDSAUDITLINK__" localSheetId="6" hidden="1">{"fdsup://directions/FAT Viewer?action=UPDATE&amp;creator=factset&amp;DYN_ARGS=TRUE&amp;DOC_NAME=FAT:FQL_AUDITING_CLIENT_TEMPLATE.FAT&amp;display_string=Audit&amp;VAR:KEY=PMBILKDCDQ&amp;VAR:QUERY=RkZfRUJJVERBX0lCKCdMVE1TJywzOTk0MSk=&amp;WINDOW=FIRST_POPUP&amp;HEIGHT=450&amp;WIDTH=450&amp;START_MA","XIMIZED=FALSE&amp;VAR:CALENDAR=US&amp;VAR:SYMBOL=N0098510&amp;VAR:INDEX=0"}</definedName>
    <definedName name="_5772__FDSAUDITLINK__" hidden="1">{"fdsup://directions/FAT Viewer?action=UPDATE&amp;creator=factset&amp;DYN_ARGS=TRUE&amp;DOC_NAME=FAT:FQL_AUDITING_CLIENT_TEMPLATE.FAT&amp;display_string=Audit&amp;VAR:KEY=PMBILKDCDQ&amp;VAR:QUERY=RkZfRUJJVERBX0lCKCdMVE1TJywzOTk0MSk=&amp;WINDOW=FIRST_POPUP&amp;HEIGHT=450&amp;WIDTH=450&amp;START_MA","XIMIZED=FALSE&amp;VAR:CALENDAR=US&amp;VAR:SYMBOL=N0098510&amp;VAR:INDEX=0"}</definedName>
    <definedName name="_5773__FDSAUDITLINK__" localSheetId="6" hidden="1">{"fdsup://directions/FAT Viewer?action=UPDATE&amp;creator=factset&amp;DYN_ARGS=TRUE&amp;DOC_NAME=FAT:FQL_AUDITING_CLIENT_TEMPLATE.FAT&amp;display_string=Audit&amp;VAR:KEY=TONYDANQVI&amp;VAR:QUERY=RkZfRUJJVERBX0lCKCdMVE1TJywzOTk0MCk=&amp;WINDOW=FIRST_POPUP&amp;HEIGHT=450&amp;WIDTH=450&amp;START_MA","XIMIZED=FALSE&amp;VAR:CALENDAR=US&amp;VAR:SYMBOL=N0098510&amp;VAR:INDEX=0"}</definedName>
    <definedName name="_5773__FDSAUDITLINK__" hidden="1">{"fdsup://directions/FAT Viewer?action=UPDATE&amp;creator=factset&amp;DYN_ARGS=TRUE&amp;DOC_NAME=FAT:FQL_AUDITING_CLIENT_TEMPLATE.FAT&amp;display_string=Audit&amp;VAR:KEY=TONYDANQVI&amp;VAR:QUERY=RkZfRUJJVERBX0lCKCdMVE1TJywzOTk0MCk=&amp;WINDOW=FIRST_POPUP&amp;HEIGHT=450&amp;WIDTH=450&amp;START_MA","XIMIZED=FALSE&amp;VAR:CALENDAR=US&amp;VAR:SYMBOL=N0098510&amp;VAR:INDEX=0"}</definedName>
    <definedName name="_5774__FDSAUDITLINK__" localSheetId="6" hidden="1">{"fdsup://directions/FAT Viewer?action=UPDATE&amp;creator=factset&amp;DYN_ARGS=TRUE&amp;DOC_NAME=FAT:FQL_AUDITING_CLIENT_TEMPLATE.FAT&amp;display_string=Audit&amp;VAR:KEY=FCNERCZWDQ&amp;VAR:QUERY=RkZfRUJJVERBX0lCKCdMVE1TJywzOTkzOSk=&amp;WINDOW=FIRST_POPUP&amp;HEIGHT=450&amp;WIDTH=450&amp;START_MA","XIMIZED=FALSE&amp;VAR:CALENDAR=US&amp;VAR:SYMBOL=N0098510&amp;VAR:INDEX=0"}</definedName>
    <definedName name="_5774__FDSAUDITLINK__" hidden="1">{"fdsup://directions/FAT Viewer?action=UPDATE&amp;creator=factset&amp;DYN_ARGS=TRUE&amp;DOC_NAME=FAT:FQL_AUDITING_CLIENT_TEMPLATE.FAT&amp;display_string=Audit&amp;VAR:KEY=FCNERCZWDQ&amp;VAR:QUERY=RkZfRUJJVERBX0lCKCdMVE1TJywzOTkzOSk=&amp;WINDOW=FIRST_POPUP&amp;HEIGHT=450&amp;WIDTH=450&amp;START_MA","XIMIZED=FALSE&amp;VAR:CALENDAR=US&amp;VAR:SYMBOL=N0098510&amp;VAR:INDEX=0"}</definedName>
    <definedName name="_5775__FDSAUDITLINK__" localSheetId="6" hidden="1">{"fdsup://directions/FAT Viewer?action=UPDATE&amp;creator=factset&amp;DYN_ARGS=TRUE&amp;DOC_NAME=FAT:FQL_AUDITING_CLIENT_TEMPLATE.FAT&amp;display_string=Audit&amp;VAR:KEY=ZARSNURMPI&amp;VAR:QUERY=RkZfRUJJVERBX0lCKCdMVE1TJywzOTkzOCk=&amp;WINDOW=FIRST_POPUP&amp;HEIGHT=450&amp;WIDTH=450&amp;START_MA","XIMIZED=FALSE&amp;VAR:CALENDAR=US&amp;VAR:SYMBOL=N0098510&amp;VAR:INDEX=0"}</definedName>
    <definedName name="_5775__FDSAUDITLINK__" hidden="1">{"fdsup://directions/FAT Viewer?action=UPDATE&amp;creator=factset&amp;DYN_ARGS=TRUE&amp;DOC_NAME=FAT:FQL_AUDITING_CLIENT_TEMPLATE.FAT&amp;display_string=Audit&amp;VAR:KEY=ZARSNURMPI&amp;VAR:QUERY=RkZfRUJJVERBX0lCKCdMVE1TJywzOTkzOCk=&amp;WINDOW=FIRST_POPUP&amp;HEIGHT=450&amp;WIDTH=450&amp;START_MA","XIMIZED=FALSE&amp;VAR:CALENDAR=US&amp;VAR:SYMBOL=N0098510&amp;VAR:INDEX=0"}</definedName>
    <definedName name="_5776__FDSAUDITLINK__" localSheetId="6" hidden="1">{"fdsup://directions/FAT Viewer?action=UPDATE&amp;creator=factset&amp;DYN_ARGS=TRUE&amp;DOC_NAME=FAT:FQL_AUDITING_CLIENT_TEMPLATE.FAT&amp;display_string=Audit&amp;VAR:KEY=HGPCJGVCFM&amp;VAR:QUERY=RkZfRUJJVERBX0lCKCdMVE1TJywzOTkzNyk=&amp;WINDOW=FIRST_POPUP&amp;HEIGHT=450&amp;WIDTH=450&amp;START_MA","XIMIZED=FALSE&amp;VAR:CALENDAR=US&amp;VAR:SYMBOL=N0098510&amp;VAR:INDEX=0"}</definedName>
    <definedName name="_5776__FDSAUDITLINK__" hidden="1">{"fdsup://directions/FAT Viewer?action=UPDATE&amp;creator=factset&amp;DYN_ARGS=TRUE&amp;DOC_NAME=FAT:FQL_AUDITING_CLIENT_TEMPLATE.FAT&amp;display_string=Audit&amp;VAR:KEY=HGPCJGVCFM&amp;VAR:QUERY=RkZfRUJJVERBX0lCKCdMVE1TJywzOTkzNyk=&amp;WINDOW=FIRST_POPUP&amp;HEIGHT=450&amp;WIDTH=450&amp;START_MA","XIMIZED=FALSE&amp;VAR:CALENDAR=US&amp;VAR:SYMBOL=N0098510&amp;VAR:INDEX=0"}</definedName>
    <definedName name="_5777__FDSAUDITLINK__" localSheetId="6" hidden="1">{"fdsup://directions/FAT Viewer?action=UPDATE&amp;creator=factset&amp;DYN_ARGS=TRUE&amp;DOC_NAME=FAT:FQL_AUDITING_CLIENT_TEMPLATE.FAT&amp;display_string=Audit&amp;VAR:KEY=BSTUBGXUZC&amp;VAR:QUERY=RkZfRUJJVERBX0lCKCdMVE1TJywzOTkzNik=&amp;WINDOW=FIRST_POPUP&amp;HEIGHT=450&amp;WIDTH=450&amp;START_MA","XIMIZED=FALSE&amp;VAR:CALENDAR=US&amp;VAR:SYMBOL=N0098510&amp;VAR:INDEX=0"}</definedName>
    <definedName name="_5777__FDSAUDITLINK__" hidden="1">{"fdsup://directions/FAT Viewer?action=UPDATE&amp;creator=factset&amp;DYN_ARGS=TRUE&amp;DOC_NAME=FAT:FQL_AUDITING_CLIENT_TEMPLATE.FAT&amp;display_string=Audit&amp;VAR:KEY=BSTUBGXUZC&amp;VAR:QUERY=RkZfRUJJVERBX0lCKCdMVE1TJywzOTkzNik=&amp;WINDOW=FIRST_POPUP&amp;HEIGHT=450&amp;WIDTH=450&amp;START_MA","XIMIZED=FALSE&amp;VAR:CALENDAR=US&amp;VAR:SYMBOL=N0098510&amp;VAR:INDEX=0"}</definedName>
    <definedName name="_5778__FDSAUDITLINK__" localSheetId="6" hidden="1">{"fdsup://directions/FAT Viewer?action=UPDATE&amp;creator=factset&amp;DYN_ARGS=TRUE&amp;DOC_NAME=FAT:FQL_AUDITING_CLIENT_TEMPLATE.FAT&amp;display_string=Audit&amp;VAR:KEY=RMFUDOTWDS&amp;VAR:QUERY=RkZfRUJJVERBX0lCKCdMVE1TJywzOTkzNSk=&amp;WINDOW=FIRST_POPUP&amp;HEIGHT=450&amp;WIDTH=450&amp;START_MA","XIMIZED=FALSE&amp;VAR:CALENDAR=US&amp;VAR:SYMBOL=N0098510&amp;VAR:INDEX=0"}</definedName>
    <definedName name="_5778__FDSAUDITLINK__" hidden="1">{"fdsup://directions/FAT Viewer?action=UPDATE&amp;creator=factset&amp;DYN_ARGS=TRUE&amp;DOC_NAME=FAT:FQL_AUDITING_CLIENT_TEMPLATE.FAT&amp;display_string=Audit&amp;VAR:KEY=RMFUDOTWDS&amp;VAR:QUERY=RkZfRUJJVERBX0lCKCdMVE1TJywzOTkzNSk=&amp;WINDOW=FIRST_POPUP&amp;HEIGHT=450&amp;WIDTH=450&amp;START_MA","XIMIZED=FALSE&amp;VAR:CALENDAR=US&amp;VAR:SYMBOL=N0098510&amp;VAR:INDEX=0"}</definedName>
    <definedName name="_5779__FDSAUDITLINK__" localSheetId="6" hidden="1">{"fdsup://directions/FAT Viewer?action=UPDATE&amp;creator=factset&amp;DYN_ARGS=TRUE&amp;DOC_NAME=FAT:FQL_AUDITING_CLIENT_TEMPLATE.FAT&amp;display_string=Audit&amp;VAR:KEY=HYRSNMZEVE&amp;VAR:QUERY=RkZfRUJJVERBX0lCKCdMVE1TJywzOTkzNCk=&amp;WINDOW=FIRST_POPUP&amp;HEIGHT=450&amp;WIDTH=450&amp;START_MA","XIMIZED=FALSE&amp;VAR:CALENDAR=US&amp;VAR:SYMBOL=N0098510&amp;VAR:INDEX=0"}</definedName>
    <definedName name="_5779__FDSAUDITLINK__" hidden="1">{"fdsup://directions/FAT Viewer?action=UPDATE&amp;creator=factset&amp;DYN_ARGS=TRUE&amp;DOC_NAME=FAT:FQL_AUDITING_CLIENT_TEMPLATE.FAT&amp;display_string=Audit&amp;VAR:KEY=HYRSNMZEVE&amp;VAR:QUERY=RkZfRUJJVERBX0lCKCdMVE1TJywzOTkzNCk=&amp;WINDOW=FIRST_POPUP&amp;HEIGHT=450&amp;WIDTH=450&amp;START_MA","XIMIZED=FALSE&amp;VAR:CALENDAR=US&amp;VAR:SYMBOL=N0098510&amp;VAR:INDEX=0"}</definedName>
    <definedName name="_578__FDSAUDITLINK__" localSheetId="6" hidden="1">{"fdsup://directions/FAT%20Viewer?VAR:PED=LTM&amp;VAR:AUDIT_MODE=SUMMARY&amp;VAR:PERIOD=FIXED&amp;VAR:AUDIT_ID=00000117&amp;VAR:DATE=20080723&amp;action=UPDATE&amp;creator=factset&amp;DOC_NAME=FAT:FMA_audit_SUMMARY.fat&amp;DISPLAY_STRING=Display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8__FDSAUDITLINK__" hidden="1">{"fdsup://directions/FAT%20Viewer?VAR:PED=LTM&amp;VAR:AUDIT_MODE=SUMMARY&amp;VAR:PERIOD=FIXED&amp;VAR:AUDIT_ID=00000117&amp;VAR:DATE=20080723&amp;action=UPDATE&amp;creator=factset&amp;DOC_NAME=FAT:FMA_audit_SUMMARY.fat&amp;DISPLAY_STRING=Display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80__FDSAUDITLINK__" localSheetId="6" hidden="1">{"fdsup://directions/FAT Viewer?action=UPDATE&amp;creator=factset&amp;DYN_ARGS=TRUE&amp;DOC_NAME=FAT:FQL_AUDITING_CLIENT_TEMPLATE.FAT&amp;display_string=Audit&amp;VAR:KEY=BUFYRQNQZQ&amp;VAR:QUERY=RkZfRUJJVERBX0lCKCdMVE1TJywzOTkzMyk=&amp;WINDOW=FIRST_POPUP&amp;HEIGHT=450&amp;WIDTH=450&amp;START_MA","XIMIZED=FALSE&amp;VAR:CALENDAR=US&amp;VAR:SYMBOL=N0098510&amp;VAR:INDEX=0"}</definedName>
    <definedName name="_5780__FDSAUDITLINK__" hidden="1">{"fdsup://directions/FAT Viewer?action=UPDATE&amp;creator=factset&amp;DYN_ARGS=TRUE&amp;DOC_NAME=FAT:FQL_AUDITING_CLIENT_TEMPLATE.FAT&amp;display_string=Audit&amp;VAR:KEY=BUFYRQNQZQ&amp;VAR:QUERY=RkZfRUJJVERBX0lCKCdMVE1TJywzOTkzMyk=&amp;WINDOW=FIRST_POPUP&amp;HEIGHT=450&amp;WIDTH=450&amp;START_MA","XIMIZED=FALSE&amp;VAR:CALENDAR=US&amp;VAR:SYMBOL=N0098510&amp;VAR:INDEX=0"}</definedName>
    <definedName name="_5781__FDSAUDITLINK__" localSheetId="6" hidden="1">{"fdsup://directions/FAT Viewer?action=UPDATE&amp;creator=factset&amp;DYN_ARGS=TRUE&amp;DOC_NAME=FAT:FQL_AUDITING_CLIENT_TEMPLATE.FAT&amp;display_string=Audit&amp;VAR:KEY=PSDCPKRIHU&amp;VAR:QUERY=RkZfRUJJVERBX0lCKCdMVE1TJywzOTkzMik=&amp;WINDOW=FIRST_POPUP&amp;HEIGHT=450&amp;WIDTH=450&amp;START_MA","XIMIZED=FALSE&amp;VAR:CALENDAR=US&amp;VAR:SYMBOL=N0098510&amp;VAR:INDEX=0"}</definedName>
    <definedName name="_5781__FDSAUDITLINK__" hidden="1">{"fdsup://directions/FAT Viewer?action=UPDATE&amp;creator=factset&amp;DYN_ARGS=TRUE&amp;DOC_NAME=FAT:FQL_AUDITING_CLIENT_TEMPLATE.FAT&amp;display_string=Audit&amp;VAR:KEY=PSDCPKRIHU&amp;VAR:QUERY=RkZfRUJJVERBX0lCKCdMVE1TJywzOTkzMik=&amp;WINDOW=FIRST_POPUP&amp;HEIGHT=450&amp;WIDTH=450&amp;START_MA","XIMIZED=FALSE&amp;VAR:CALENDAR=US&amp;VAR:SYMBOL=N0098510&amp;VAR:INDEX=0"}</definedName>
    <definedName name="_5782__FDSAUDITLINK__" localSheetId="6" hidden="1">{"fdsup://directions/FAT Viewer?action=UPDATE&amp;creator=factset&amp;DYN_ARGS=TRUE&amp;DOC_NAME=FAT:FQL_AUDITING_CLIENT_TEMPLATE.FAT&amp;display_string=Audit&amp;VAR:KEY=PCNIBGNENE&amp;VAR:QUERY=RkZfRUJJVERBX0lCKCdMVE1TJywzOTkzMSk=&amp;WINDOW=FIRST_POPUP&amp;HEIGHT=450&amp;WIDTH=450&amp;START_MA","XIMIZED=FALSE&amp;VAR:CALENDAR=US&amp;VAR:SYMBOL=N0098510&amp;VAR:INDEX=0"}</definedName>
    <definedName name="_5782__FDSAUDITLINK__" hidden="1">{"fdsup://directions/FAT Viewer?action=UPDATE&amp;creator=factset&amp;DYN_ARGS=TRUE&amp;DOC_NAME=FAT:FQL_AUDITING_CLIENT_TEMPLATE.FAT&amp;display_string=Audit&amp;VAR:KEY=PCNIBGNENE&amp;VAR:QUERY=RkZfRUJJVERBX0lCKCdMVE1TJywzOTkzMSk=&amp;WINDOW=FIRST_POPUP&amp;HEIGHT=450&amp;WIDTH=450&amp;START_MA","XIMIZED=FALSE&amp;VAR:CALENDAR=US&amp;VAR:SYMBOL=N0098510&amp;VAR:INDEX=0"}</definedName>
    <definedName name="_5783__FDSAUDITLINK__" localSheetId="6" hidden="1">{"fdsup://directions/FAT Viewer?action=UPDATE&amp;creator=factset&amp;DYN_ARGS=TRUE&amp;DOC_NAME=FAT:FQL_AUDITING_CLIENT_TEMPLATE.FAT&amp;display_string=Audit&amp;VAR:KEY=VOXKLOTOJA&amp;VAR:QUERY=RkZfRUJJVERBX0lCKCdMVE1TJywzOTkzMCk=&amp;WINDOW=FIRST_POPUP&amp;HEIGHT=450&amp;WIDTH=450&amp;START_MA","XIMIZED=FALSE&amp;VAR:CALENDAR=US&amp;VAR:SYMBOL=N0098510&amp;VAR:INDEX=0"}</definedName>
    <definedName name="_5783__FDSAUDITLINK__" hidden="1">{"fdsup://directions/FAT Viewer?action=UPDATE&amp;creator=factset&amp;DYN_ARGS=TRUE&amp;DOC_NAME=FAT:FQL_AUDITING_CLIENT_TEMPLATE.FAT&amp;display_string=Audit&amp;VAR:KEY=VOXKLOTOJA&amp;VAR:QUERY=RkZfRUJJVERBX0lCKCdMVE1TJywzOTkzMCk=&amp;WINDOW=FIRST_POPUP&amp;HEIGHT=450&amp;WIDTH=450&amp;START_MA","XIMIZED=FALSE&amp;VAR:CALENDAR=US&amp;VAR:SYMBOL=N0098510&amp;VAR:INDEX=0"}</definedName>
    <definedName name="_5784__FDSAUDITLINK__" localSheetId="6" hidden="1">{"fdsup://directions/FAT Viewer?action=UPDATE&amp;creator=factset&amp;DYN_ARGS=TRUE&amp;DOC_NAME=FAT:FQL_AUDITING_CLIENT_TEMPLATE.FAT&amp;display_string=Audit&amp;VAR:KEY=XUFYVOHUNM&amp;VAR:QUERY=RkZfRUJJVERBX0lCKCdMVE1TJywzOTkyOSk=&amp;WINDOW=FIRST_POPUP&amp;HEIGHT=450&amp;WIDTH=450&amp;START_MA","XIMIZED=FALSE&amp;VAR:CALENDAR=US&amp;VAR:SYMBOL=N0098510&amp;VAR:INDEX=0"}</definedName>
    <definedName name="_5784__FDSAUDITLINK__" hidden="1">{"fdsup://directions/FAT Viewer?action=UPDATE&amp;creator=factset&amp;DYN_ARGS=TRUE&amp;DOC_NAME=FAT:FQL_AUDITING_CLIENT_TEMPLATE.FAT&amp;display_string=Audit&amp;VAR:KEY=XUFYVOHUNM&amp;VAR:QUERY=RkZfRUJJVERBX0lCKCdMVE1TJywzOTkyOSk=&amp;WINDOW=FIRST_POPUP&amp;HEIGHT=450&amp;WIDTH=450&amp;START_MA","XIMIZED=FALSE&amp;VAR:CALENDAR=US&amp;VAR:SYMBOL=N0098510&amp;VAR:INDEX=0"}</definedName>
    <definedName name="_5785__FDSAUDITLINK__" localSheetId="6" hidden="1">{"fdsup://directions/FAT Viewer?action=UPDATE&amp;creator=factset&amp;DYN_ARGS=TRUE&amp;DOC_NAME=FAT:FQL_AUDITING_CLIENT_TEMPLATE.FAT&amp;display_string=Audit&amp;VAR:KEY=PEFQVANEXA&amp;VAR:QUERY=RkZfRUJJVERBX0lCKCdMVE1TJywzOTkyOCk=&amp;WINDOW=FIRST_POPUP&amp;HEIGHT=450&amp;WIDTH=450&amp;START_MA","XIMIZED=FALSE&amp;VAR:CALENDAR=US&amp;VAR:SYMBOL=N0098510&amp;VAR:INDEX=0"}</definedName>
    <definedName name="_5785__FDSAUDITLINK__" hidden="1">{"fdsup://directions/FAT Viewer?action=UPDATE&amp;creator=factset&amp;DYN_ARGS=TRUE&amp;DOC_NAME=FAT:FQL_AUDITING_CLIENT_TEMPLATE.FAT&amp;display_string=Audit&amp;VAR:KEY=PEFQVANEXA&amp;VAR:QUERY=RkZfRUJJVERBX0lCKCdMVE1TJywzOTkyOCk=&amp;WINDOW=FIRST_POPUP&amp;HEIGHT=450&amp;WIDTH=450&amp;START_MA","XIMIZED=FALSE&amp;VAR:CALENDAR=US&amp;VAR:SYMBOL=N0098510&amp;VAR:INDEX=0"}</definedName>
    <definedName name="_5786__FDSAUDITLINK__" localSheetId="6" hidden="1">{"fdsup://directions/FAT Viewer?action=UPDATE&amp;creator=factset&amp;DYN_ARGS=TRUE&amp;DOC_NAME=FAT:FQL_AUDITING_CLIENT_TEMPLATE.FAT&amp;display_string=Audit&amp;VAR:KEY=XUFYXUPKPS&amp;VAR:QUERY=RkZfRUJJVERBX0lCKCdMVE1TJywzOTkyNyk=&amp;WINDOW=FIRST_POPUP&amp;HEIGHT=450&amp;WIDTH=450&amp;START_MA","XIMIZED=FALSE&amp;VAR:CALENDAR=US&amp;VAR:SYMBOL=N0098510&amp;VAR:INDEX=0"}</definedName>
    <definedName name="_5786__FDSAUDITLINK__" hidden="1">{"fdsup://directions/FAT Viewer?action=UPDATE&amp;creator=factset&amp;DYN_ARGS=TRUE&amp;DOC_NAME=FAT:FQL_AUDITING_CLIENT_TEMPLATE.FAT&amp;display_string=Audit&amp;VAR:KEY=XUFYXUPKPS&amp;VAR:QUERY=RkZfRUJJVERBX0lCKCdMVE1TJywzOTkyNyk=&amp;WINDOW=FIRST_POPUP&amp;HEIGHT=450&amp;WIDTH=450&amp;START_MA","XIMIZED=FALSE&amp;VAR:CALENDAR=US&amp;VAR:SYMBOL=N0098510&amp;VAR:INDEX=0"}</definedName>
    <definedName name="_5787__FDSAUDITLINK__" localSheetId="6" hidden="1">{"fdsup://directions/FAT Viewer?action=UPDATE&amp;creator=factset&amp;DYN_ARGS=TRUE&amp;DOC_NAME=FAT:FQL_AUDITING_CLIENT_TEMPLATE.FAT&amp;display_string=Audit&amp;VAR:KEY=NUXYNSNMRU&amp;VAR:QUERY=RkZfRUJJVERBX0lCKCdMVE1TJywzOTkyNik=&amp;WINDOW=FIRST_POPUP&amp;HEIGHT=450&amp;WIDTH=450&amp;START_MA","XIMIZED=FALSE&amp;VAR:CALENDAR=US&amp;VAR:SYMBOL=N0098510&amp;VAR:INDEX=0"}</definedName>
    <definedName name="_5787__FDSAUDITLINK__" hidden="1">{"fdsup://directions/FAT Viewer?action=UPDATE&amp;creator=factset&amp;DYN_ARGS=TRUE&amp;DOC_NAME=FAT:FQL_AUDITING_CLIENT_TEMPLATE.FAT&amp;display_string=Audit&amp;VAR:KEY=NUXYNSNMRU&amp;VAR:QUERY=RkZfRUJJVERBX0lCKCdMVE1TJywzOTkyNik=&amp;WINDOW=FIRST_POPUP&amp;HEIGHT=450&amp;WIDTH=450&amp;START_MA","XIMIZED=FALSE&amp;VAR:CALENDAR=US&amp;VAR:SYMBOL=N0098510&amp;VAR:INDEX=0"}</definedName>
    <definedName name="_5788__FDSAUDITLINK__" localSheetId="6" hidden="1">{"fdsup://directions/FAT Viewer?action=UPDATE&amp;creator=factset&amp;DYN_ARGS=TRUE&amp;DOC_NAME=FAT:FQL_AUDITING_CLIENT_TEMPLATE.FAT&amp;display_string=Audit&amp;VAR:KEY=LCHEPONCTM&amp;VAR:QUERY=RkZfRUJJVERBX0lCKCdMVE1TJywzOTkyNSk=&amp;WINDOW=FIRST_POPUP&amp;HEIGHT=450&amp;WIDTH=450&amp;START_MA","XIMIZED=FALSE&amp;VAR:CALENDAR=US&amp;VAR:SYMBOL=N0098510&amp;VAR:INDEX=0"}</definedName>
    <definedName name="_5788__FDSAUDITLINK__" hidden="1">{"fdsup://directions/FAT Viewer?action=UPDATE&amp;creator=factset&amp;DYN_ARGS=TRUE&amp;DOC_NAME=FAT:FQL_AUDITING_CLIENT_TEMPLATE.FAT&amp;display_string=Audit&amp;VAR:KEY=LCHEPONCTM&amp;VAR:QUERY=RkZfRUJJVERBX0lCKCdMVE1TJywzOTkyNSk=&amp;WINDOW=FIRST_POPUP&amp;HEIGHT=450&amp;WIDTH=450&amp;START_MA","XIMIZED=FALSE&amp;VAR:CALENDAR=US&amp;VAR:SYMBOL=N0098510&amp;VAR:INDEX=0"}</definedName>
    <definedName name="_5789__FDSAUDITLINK__" localSheetId="6" hidden="1">{"fdsup://directions/FAT Viewer?action=UPDATE&amp;creator=factset&amp;DYN_ARGS=TRUE&amp;DOC_NAME=FAT:FQL_AUDITING_CLIENT_TEMPLATE.FAT&amp;display_string=Audit&amp;VAR:KEY=XUJCPMRQLU&amp;VAR:QUERY=RkZfRUJJVERBX0lCKCdMVE1TJywzOTkyNCk=&amp;WINDOW=FIRST_POPUP&amp;HEIGHT=450&amp;WIDTH=450&amp;START_MA","XIMIZED=FALSE&amp;VAR:CALENDAR=US&amp;VAR:SYMBOL=N0098510&amp;VAR:INDEX=0"}</definedName>
    <definedName name="_5789__FDSAUDITLINK__" hidden="1">{"fdsup://directions/FAT Viewer?action=UPDATE&amp;creator=factset&amp;DYN_ARGS=TRUE&amp;DOC_NAME=FAT:FQL_AUDITING_CLIENT_TEMPLATE.FAT&amp;display_string=Audit&amp;VAR:KEY=XUJCPMRQLU&amp;VAR:QUERY=RkZfRUJJVERBX0lCKCdMVE1TJywzOTkyNCk=&amp;WINDOW=FIRST_POPUP&amp;HEIGHT=450&amp;WIDTH=450&amp;START_MA","XIMIZED=FALSE&amp;VAR:CALENDAR=US&amp;VAR:SYMBOL=N0098510&amp;VAR:INDEX=0"}</definedName>
    <definedName name="_579__FDSAUDITLINK__" localSheetId="6" hidden="1">{"fdsup://directions/FAT%20Viewer?VAR:PED=LTM&amp;VAR:AUDIT_MODE=SUMMARY&amp;VAR:PERIOD=FIXED&amp;VAR:AUDIT_ID=00000117&amp;VAR:DATE=20080722&amp;action=UPDATE&amp;creator=factset&amp;DOC_NAME=FAT:FMA_audit_SUMMARY.fat&amp;DISPLAY_STRING=Display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9__FDSAUDITLINK__" hidden="1">{"fdsup://directions/FAT%20Viewer?VAR:PED=LTM&amp;VAR:AUDIT_MODE=SUMMARY&amp;VAR:PERIOD=FIXED&amp;VAR:AUDIT_ID=00000117&amp;VAR:DATE=20080722&amp;action=UPDATE&amp;creator=factset&amp;DOC_NAME=FAT:FMA_audit_SUMMARY.fat&amp;DISPLAY_STRING=Display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790__FDSAUDITLINK__" localSheetId="6" hidden="1">{"fdsup://directions/FAT Viewer?action=UPDATE&amp;creator=factset&amp;DYN_ARGS=TRUE&amp;DOC_NAME=FAT:FQL_AUDITING_CLIENT_TEMPLATE.FAT&amp;display_string=Audit&amp;VAR:KEY=PQDOPCNILU&amp;VAR:QUERY=RkZfRUJJVERBX0lCKCdMVE1TJywzOTkyMyk=&amp;WINDOW=FIRST_POPUP&amp;HEIGHT=450&amp;WIDTH=450&amp;START_MA","XIMIZED=FALSE&amp;VAR:CALENDAR=US&amp;VAR:SYMBOL=N0098510&amp;VAR:INDEX=0"}</definedName>
    <definedName name="_5790__FDSAUDITLINK__" hidden="1">{"fdsup://directions/FAT Viewer?action=UPDATE&amp;creator=factset&amp;DYN_ARGS=TRUE&amp;DOC_NAME=FAT:FQL_AUDITING_CLIENT_TEMPLATE.FAT&amp;display_string=Audit&amp;VAR:KEY=PQDOPCNILU&amp;VAR:QUERY=RkZfRUJJVERBX0lCKCdMVE1TJywzOTkyMyk=&amp;WINDOW=FIRST_POPUP&amp;HEIGHT=450&amp;WIDTH=450&amp;START_MA","XIMIZED=FALSE&amp;VAR:CALENDAR=US&amp;VAR:SYMBOL=N0098510&amp;VAR:INDEX=0"}</definedName>
    <definedName name="_5791__FDSAUDITLINK__" localSheetId="6" hidden="1">{"fdsup://directions/FAT Viewer?action=UPDATE&amp;creator=factset&amp;DYN_ARGS=TRUE&amp;DOC_NAME=FAT:FQL_AUDITING_CLIENT_TEMPLATE.FAT&amp;display_string=Audit&amp;VAR:KEY=HCFCBYHMBE&amp;VAR:QUERY=RkZfRUJJVERBX0lCKCdMVE1TJywzOTkyMik=&amp;WINDOW=FIRST_POPUP&amp;HEIGHT=450&amp;WIDTH=450&amp;START_MA","XIMIZED=FALSE&amp;VAR:CALENDAR=US&amp;VAR:SYMBOL=N0098510&amp;VAR:INDEX=0"}</definedName>
    <definedName name="_5791__FDSAUDITLINK__" hidden="1">{"fdsup://directions/FAT Viewer?action=UPDATE&amp;creator=factset&amp;DYN_ARGS=TRUE&amp;DOC_NAME=FAT:FQL_AUDITING_CLIENT_TEMPLATE.FAT&amp;display_string=Audit&amp;VAR:KEY=HCFCBYHMBE&amp;VAR:QUERY=RkZfRUJJVERBX0lCKCdMVE1TJywzOTkyMik=&amp;WINDOW=FIRST_POPUP&amp;HEIGHT=450&amp;WIDTH=450&amp;START_MA","XIMIZED=FALSE&amp;VAR:CALENDAR=US&amp;VAR:SYMBOL=N0098510&amp;VAR:INDEX=0"}</definedName>
    <definedName name="_5792__FDSAUDITLINK__" localSheetId="6" hidden="1">{"fdsup://directions/FAT Viewer?action=UPDATE&amp;creator=factset&amp;DYN_ARGS=TRUE&amp;DOC_NAME=FAT:FQL_AUDITING_CLIENT_TEMPLATE.FAT&amp;display_string=Audit&amp;VAR:KEY=ZWDSJSFQTE&amp;VAR:QUERY=RkZfRUJJVERBX0lCKCdMVE1TJywzOTkyMSk=&amp;WINDOW=FIRST_POPUP&amp;HEIGHT=450&amp;WIDTH=450&amp;START_MA","XIMIZED=FALSE&amp;VAR:CALENDAR=US&amp;VAR:SYMBOL=N0098510&amp;VAR:INDEX=0"}</definedName>
    <definedName name="_5792__FDSAUDITLINK__" hidden="1">{"fdsup://directions/FAT Viewer?action=UPDATE&amp;creator=factset&amp;DYN_ARGS=TRUE&amp;DOC_NAME=FAT:FQL_AUDITING_CLIENT_TEMPLATE.FAT&amp;display_string=Audit&amp;VAR:KEY=ZWDSJSFQTE&amp;VAR:QUERY=RkZfRUJJVERBX0lCKCdMVE1TJywzOTkyMSk=&amp;WINDOW=FIRST_POPUP&amp;HEIGHT=450&amp;WIDTH=450&amp;START_MA","XIMIZED=FALSE&amp;VAR:CALENDAR=US&amp;VAR:SYMBOL=N0098510&amp;VAR:INDEX=0"}</definedName>
    <definedName name="_5793__FDSAUDITLINK__" localSheetId="6" hidden="1">{"fdsup://directions/FAT Viewer?action=UPDATE&amp;creator=factset&amp;DYN_ARGS=TRUE&amp;DOC_NAME=FAT:FQL_AUDITING_CLIENT_TEMPLATE.FAT&amp;display_string=Audit&amp;VAR:KEY=LEHILATSPE&amp;VAR:QUERY=RkZfRUJJVERBX0lCKCdMVE1TJywzOTkyMCk=&amp;WINDOW=FIRST_POPUP&amp;HEIGHT=450&amp;WIDTH=450&amp;START_MA","XIMIZED=FALSE&amp;VAR:CALENDAR=US&amp;VAR:SYMBOL=N0098510&amp;VAR:INDEX=0"}</definedName>
    <definedName name="_5793__FDSAUDITLINK__" hidden="1">{"fdsup://directions/FAT Viewer?action=UPDATE&amp;creator=factset&amp;DYN_ARGS=TRUE&amp;DOC_NAME=FAT:FQL_AUDITING_CLIENT_TEMPLATE.FAT&amp;display_string=Audit&amp;VAR:KEY=LEHILATSPE&amp;VAR:QUERY=RkZfRUJJVERBX0lCKCdMVE1TJywzOTkyMCk=&amp;WINDOW=FIRST_POPUP&amp;HEIGHT=450&amp;WIDTH=450&amp;START_MA","XIMIZED=FALSE&amp;VAR:CALENDAR=US&amp;VAR:SYMBOL=N0098510&amp;VAR:INDEX=0"}</definedName>
    <definedName name="_5794__FDSAUDITLINK__" localSheetId="6" hidden="1">{"fdsup://directions/FAT Viewer?action=UPDATE&amp;creator=factset&amp;DYN_ARGS=TRUE&amp;DOC_NAME=FAT:FQL_AUDITING_CLIENT_TEMPLATE.FAT&amp;display_string=Audit&amp;VAR:KEY=DYDQJULWZG&amp;VAR:QUERY=RkZfRUJJVERBX0lCKCdMVE1TJywzOTkxOSk=&amp;WINDOW=FIRST_POPUP&amp;HEIGHT=450&amp;WIDTH=450&amp;START_MA","XIMIZED=FALSE&amp;VAR:CALENDAR=US&amp;VAR:SYMBOL=N0098510&amp;VAR:INDEX=0"}</definedName>
    <definedName name="_5794__FDSAUDITLINK__" hidden="1">{"fdsup://directions/FAT Viewer?action=UPDATE&amp;creator=factset&amp;DYN_ARGS=TRUE&amp;DOC_NAME=FAT:FQL_AUDITING_CLIENT_TEMPLATE.FAT&amp;display_string=Audit&amp;VAR:KEY=DYDQJULWZG&amp;VAR:QUERY=RkZfRUJJVERBX0lCKCdMVE1TJywzOTkxOSk=&amp;WINDOW=FIRST_POPUP&amp;HEIGHT=450&amp;WIDTH=450&amp;START_MA","XIMIZED=FALSE&amp;VAR:CALENDAR=US&amp;VAR:SYMBOL=N0098510&amp;VAR:INDEX=0"}</definedName>
    <definedName name="_5795__FDSAUDITLINK__" localSheetId="6" hidden="1">{"fdsup://directions/FAT Viewer?action=UPDATE&amp;creator=factset&amp;DYN_ARGS=TRUE&amp;DOC_NAME=FAT:FQL_AUDITING_CLIENT_TEMPLATE.FAT&amp;display_string=Audit&amp;VAR:KEY=RYZODQPWDW&amp;VAR:QUERY=RkZfRUJJVERBX0lCKCdMVE1TJywzOTkxOCk=&amp;WINDOW=FIRST_POPUP&amp;HEIGHT=450&amp;WIDTH=450&amp;START_MA","XIMIZED=FALSE&amp;VAR:CALENDAR=US&amp;VAR:SYMBOL=N0098510&amp;VAR:INDEX=0"}</definedName>
    <definedName name="_5795__FDSAUDITLINK__" hidden="1">{"fdsup://directions/FAT Viewer?action=UPDATE&amp;creator=factset&amp;DYN_ARGS=TRUE&amp;DOC_NAME=FAT:FQL_AUDITING_CLIENT_TEMPLATE.FAT&amp;display_string=Audit&amp;VAR:KEY=RYZODQPWDW&amp;VAR:QUERY=RkZfRUJJVERBX0lCKCdMVE1TJywzOTkxOCk=&amp;WINDOW=FIRST_POPUP&amp;HEIGHT=450&amp;WIDTH=450&amp;START_MA","XIMIZED=FALSE&amp;VAR:CALENDAR=US&amp;VAR:SYMBOL=N0098510&amp;VAR:INDEX=0"}</definedName>
    <definedName name="_5796__FDSAUDITLINK__" localSheetId="6" hidden="1">{"fdsup://directions/FAT Viewer?action=UPDATE&amp;creator=factset&amp;DYN_ARGS=TRUE&amp;DOC_NAME=FAT:FQL_AUDITING_CLIENT_TEMPLATE.FAT&amp;display_string=Audit&amp;VAR:KEY=VIPELCPIPW&amp;VAR:QUERY=RkZfRUJJVERBX0lCKCdMVE1TJywzOTkxNyk=&amp;WINDOW=FIRST_POPUP&amp;HEIGHT=450&amp;WIDTH=450&amp;START_MA","XIMIZED=FALSE&amp;VAR:CALENDAR=US&amp;VAR:SYMBOL=N0098510&amp;VAR:INDEX=0"}</definedName>
    <definedName name="_5796__FDSAUDITLINK__" hidden="1">{"fdsup://directions/FAT Viewer?action=UPDATE&amp;creator=factset&amp;DYN_ARGS=TRUE&amp;DOC_NAME=FAT:FQL_AUDITING_CLIENT_TEMPLATE.FAT&amp;display_string=Audit&amp;VAR:KEY=VIPELCPIPW&amp;VAR:QUERY=RkZfRUJJVERBX0lCKCdMVE1TJywzOTkxNyk=&amp;WINDOW=FIRST_POPUP&amp;HEIGHT=450&amp;WIDTH=450&amp;START_MA","XIMIZED=FALSE&amp;VAR:CALENDAR=US&amp;VAR:SYMBOL=N0098510&amp;VAR:INDEX=0"}</definedName>
    <definedName name="_5797__FDSAUDITLINK__" localSheetId="6" hidden="1">{"fdsup://directions/FAT Viewer?action=UPDATE&amp;creator=factset&amp;DYN_ARGS=TRUE&amp;DOC_NAME=FAT:FQL_AUDITING_CLIENT_TEMPLATE.FAT&amp;display_string=Audit&amp;VAR:KEY=HULARUBMZY&amp;VAR:QUERY=RkZfRUJJVERBX0lCKCdMVE1TJywzOTkxNik=&amp;WINDOW=FIRST_POPUP&amp;HEIGHT=450&amp;WIDTH=450&amp;START_MA","XIMIZED=FALSE&amp;VAR:CALENDAR=US&amp;VAR:SYMBOL=N0098510&amp;VAR:INDEX=0"}</definedName>
    <definedName name="_5797__FDSAUDITLINK__" hidden="1">{"fdsup://directions/FAT Viewer?action=UPDATE&amp;creator=factset&amp;DYN_ARGS=TRUE&amp;DOC_NAME=FAT:FQL_AUDITING_CLIENT_TEMPLATE.FAT&amp;display_string=Audit&amp;VAR:KEY=HULARUBMZY&amp;VAR:QUERY=RkZfRUJJVERBX0lCKCdMVE1TJywzOTkxNik=&amp;WINDOW=FIRST_POPUP&amp;HEIGHT=450&amp;WIDTH=450&amp;START_MA","XIMIZED=FALSE&amp;VAR:CALENDAR=US&amp;VAR:SYMBOL=N0098510&amp;VAR:INDEX=0"}</definedName>
    <definedName name="_5798__FDSAUDITLINK__" localSheetId="6" hidden="1">{"fdsup://directions/FAT Viewer?action=UPDATE&amp;creator=factset&amp;DYN_ARGS=TRUE&amp;DOC_NAME=FAT:FQL_AUDITING_CLIENT_TEMPLATE.FAT&amp;display_string=Audit&amp;VAR:KEY=ZEHMVEDMFA&amp;VAR:QUERY=RkZfRUJJVERBX0lCKCdMVE1TJywzOTkxNSk=&amp;WINDOW=FIRST_POPUP&amp;HEIGHT=450&amp;WIDTH=450&amp;START_MA","XIMIZED=FALSE&amp;VAR:CALENDAR=US&amp;VAR:SYMBOL=N0098510&amp;VAR:INDEX=0"}</definedName>
    <definedName name="_5798__FDSAUDITLINK__" hidden="1">{"fdsup://directions/FAT Viewer?action=UPDATE&amp;creator=factset&amp;DYN_ARGS=TRUE&amp;DOC_NAME=FAT:FQL_AUDITING_CLIENT_TEMPLATE.FAT&amp;display_string=Audit&amp;VAR:KEY=ZEHMVEDMFA&amp;VAR:QUERY=RkZfRUJJVERBX0lCKCdMVE1TJywzOTkxNSk=&amp;WINDOW=FIRST_POPUP&amp;HEIGHT=450&amp;WIDTH=450&amp;START_MA","XIMIZED=FALSE&amp;VAR:CALENDAR=US&amp;VAR:SYMBOL=N0098510&amp;VAR:INDEX=0"}</definedName>
    <definedName name="_5799__FDSAUDITLINK__" localSheetId="6" hidden="1">{"fdsup://directions/FAT Viewer?action=UPDATE&amp;creator=factset&amp;DYN_ARGS=TRUE&amp;DOC_NAME=FAT:FQL_AUDITING_CLIENT_TEMPLATE.FAT&amp;display_string=Audit&amp;VAR:KEY=JUJMLKDAFS&amp;VAR:QUERY=RkZfRUJJVERBX0lCKCdMVE1TJywzOTkxNCk=&amp;WINDOW=FIRST_POPUP&amp;HEIGHT=450&amp;WIDTH=450&amp;START_MA","XIMIZED=FALSE&amp;VAR:CALENDAR=US&amp;VAR:SYMBOL=N0098510&amp;VAR:INDEX=0"}</definedName>
    <definedName name="_5799__FDSAUDITLINK__" hidden="1">{"fdsup://directions/FAT Viewer?action=UPDATE&amp;creator=factset&amp;DYN_ARGS=TRUE&amp;DOC_NAME=FAT:FQL_AUDITING_CLIENT_TEMPLATE.FAT&amp;display_string=Audit&amp;VAR:KEY=JUJMLKDAFS&amp;VAR:QUERY=RkZfRUJJVERBX0lCKCdMVE1TJywzOTkxNCk=&amp;WINDOW=FIRST_POPUP&amp;HEIGHT=450&amp;WIDTH=450&amp;START_MA","XIMIZED=FALSE&amp;VAR:CALENDAR=US&amp;VAR:SYMBOL=N0098510&amp;VAR:INDEX=0"}</definedName>
    <definedName name="_580__FDSAUDITLINK__" localSheetId="6" hidden="1">{"fdsup://directions/FAT%20Viewer?VAR:PED=LTM&amp;VAR:AUDIT_MODE=SUMMARY&amp;VAR:PERIOD=FIXED&amp;VAR:AUDIT_ID=00000117&amp;VAR:DATE=20080721&amp;action=UPDATE&amp;creator=factset&amp;DOC_NAME=FAT:FMA_audit_SUMMARY.fat&amp;DISPLAY_STRING=Display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0__FDSAUDITLINK__" hidden="1">{"fdsup://directions/FAT%20Viewer?VAR:PED=LTM&amp;VAR:AUDIT_MODE=SUMMARY&amp;VAR:PERIOD=FIXED&amp;VAR:AUDIT_ID=00000117&amp;VAR:DATE=20080721&amp;action=UPDATE&amp;creator=factset&amp;DOC_NAME=FAT:FMA_audit_SUMMARY.fat&amp;DISPLAY_STRING=Display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00__FDSAUDITLINK__" localSheetId="6" hidden="1">{"fdsup://directions/FAT Viewer?action=UPDATE&amp;creator=factset&amp;DYN_ARGS=TRUE&amp;DOC_NAME=FAT:FQL_AUDITING_CLIENT_TEMPLATE.FAT&amp;display_string=Audit&amp;VAR:KEY=BUTKBYJUHM&amp;VAR:QUERY=RkZfRUJJVERBX0lCKCdMVE1TJywzOTkxMyk=&amp;WINDOW=FIRST_POPUP&amp;HEIGHT=450&amp;WIDTH=450&amp;START_MA","XIMIZED=FALSE&amp;VAR:CALENDAR=US&amp;VAR:SYMBOL=N0098510&amp;VAR:INDEX=0"}</definedName>
    <definedName name="_5800__FDSAUDITLINK__" hidden="1">{"fdsup://directions/FAT Viewer?action=UPDATE&amp;creator=factset&amp;DYN_ARGS=TRUE&amp;DOC_NAME=FAT:FQL_AUDITING_CLIENT_TEMPLATE.FAT&amp;display_string=Audit&amp;VAR:KEY=BUTKBYJUHM&amp;VAR:QUERY=RkZfRUJJVERBX0lCKCdMVE1TJywzOTkxMyk=&amp;WINDOW=FIRST_POPUP&amp;HEIGHT=450&amp;WIDTH=450&amp;START_MA","XIMIZED=FALSE&amp;VAR:CALENDAR=US&amp;VAR:SYMBOL=N0098510&amp;VAR:INDEX=0"}</definedName>
    <definedName name="_5801__FDSAUDITLINK__" localSheetId="6" hidden="1">{"fdsup://directions/FAT Viewer?action=UPDATE&amp;creator=factset&amp;DYN_ARGS=TRUE&amp;DOC_NAME=FAT:FQL_AUDITING_CLIENT_TEMPLATE.FAT&amp;display_string=Audit&amp;VAR:KEY=VWTKHCXWRQ&amp;VAR:QUERY=RkZfRUJJVERBX0lCKCdMVE1TJywzOTkxMik=&amp;WINDOW=FIRST_POPUP&amp;HEIGHT=450&amp;WIDTH=450&amp;START_MA","XIMIZED=FALSE&amp;VAR:CALENDAR=US&amp;VAR:SYMBOL=N0098510&amp;VAR:INDEX=0"}</definedName>
    <definedName name="_5801__FDSAUDITLINK__" hidden="1">{"fdsup://directions/FAT Viewer?action=UPDATE&amp;creator=factset&amp;DYN_ARGS=TRUE&amp;DOC_NAME=FAT:FQL_AUDITING_CLIENT_TEMPLATE.FAT&amp;display_string=Audit&amp;VAR:KEY=VWTKHCXWRQ&amp;VAR:QUERY=RkZfRUJJVERBX0lCKCdMVE1TJywzOTkxMik=&amp;WINDOW=FIRST_POPUP&amp;HEIGHT=450&amp;WIDTH=450&amp;START_MA","XIMIZED=FALSE&amp;VAR:CALENDAR=US&amp;VAR:SYMBOL=N0098510&amp;VAR:INDEX=0"}</definedName>
    <definedName name="_5802__FDSAUDITLINK__" localSheetId="6" hidden="1">{"fdsup://directions/FAT Viewer?action=UPDATE&amp;creator=factset&amp;DYN_ARGS=TRUE&amp;DOC_NAME=FAT:FQL_AUDITING_CLIENT_TEMPLATE.FAT&amp;display_string=Audit&amp;VAR:KEY=FKNABSDAPS&amp;VAR:QUERY=RkZfRUJJVERBX0lCKCdMVE1TJywzOTkxMSk=&amp;WINDOW=FIRST_POPUP&amp;HEIGHT=450&amp;WIDTH=450&amp;START_MA","XIMIZED=FALSE&amp;VAR:CALENDAR=US&amp;VAR:SYMBOL=N0098510&amp;VAR:INDEX=0"}</definedName>
    <definedName name="_5802__FDSAUDITLINK__" hidden="1">{"fdsup://directions/FAT Viewer?action=UPDATE&amp;creator=factset&amp;DYN_ARGS=TRUE&amp;DOC_NAME=FAT:FQL_AUDITING_CLIENT_TEMPLATE.FAT&amp;display_string=Audit&amp;VAR:KEY=FKNABSDAPS&amp;VAR:QUERY=RkZfRUJJVERBX0lCKCdMVE1TJywzOTkxMSk=&amp;WINDOW=FIRST_POPUP&amp;HEIGHT=450&amp;WIDTH=450&amp;START_MA","XIMIZED=FALSE&amp;VAR:CALENDAR=US&amp;VAR:SYMBOL=N0098510&amp;VAR:INDEX=0"}</definedName>
    <definedName name="_5803__FDSAUDITLINK__" localSheetId="6" hidden="1">{"fdsup://directions/FAT Viewer?action=UPDATE&amp;creator=factset&amp;DYN_ARGS=TRUE&amp;DOC_NAME=FAT:FQL_AUDITING_CLIENT_TEMPLATE.FAT&amp;display_string=Audit&amp;VAR:KEY=VCJANIBETC&amp;VAR:QUERY=RkZfRUJJVERBX0lCKCdMVE1TJywzOTkxMCk=&amp;WINDOW=FIRST_POPUP&amp;HEIGHT=450&amp;WIDTH=450&amp;START_MA","XIMIZED=FALSE&amp;VAR:CALENDAR=US&amp;VAR:SYMBOL=N0098510&amp;VAR:INDEX=0"}</definedName>
    <definedName name="_5803__FDSAUDITLINK__" hidden="1">{"fdsup://directions/FAT Viewer?action=UPDATE&amp;creator=factset&amp;DYN_ARGS=TRUE&amp;DOC_NAME=FAT:FQL_AUDITING_CLIENT_TEMPLATE.FAT&amp;display_string=Audit&amp;VAR:KEY=VCJANIBETC&amp;VAR:QUERY=RkZfRUJJVERBX0lCKCdMVE1TJywzOTkxMCk=&amp;WINDOW=FIRST_POPUP&amp;HEIGHT=450&amp;WIDTH=450&amp;START_MA","XIMIZED=FALSE&amp;VAR:CALENDAR=US&amp;VAR:SYMBOL=N0098510&amp;VAR:INDEX=0"}</definedName>
    <definedName name="_5804__FDSAUDITLINK__" localSheetId="6" hidden="1">{"fdsup://directions/FAT Viewer?action=UPDATE&amp;creator=factset&amp;DYN_ARGS=TRUE&amp;DOC_NAME=FAT:FQL_AUDITING_CLIENT_TEMPLATE.FAT&amp;display_string=Audit&amp;VAR:KEY=LWFOTWDIZK&amp;VAR:QUERY=RkZfRUJJVERBX0lCKCdMVE1TJywzOTkwOSk=&amp;WINDOW=FIRST_POPUP&amp;HEIGHT=450&amp;WIDTH=450&amp;START_MA","XIMIZED=FALSE&amp;VAR:CALENDAR=US&amp;VAR:SYMBOL=N0098510&amp;VAR:INDEX=0"}</definedName>
    <definedName name="_5804__FDSAUDITLINK__" hidden="1">{"fdsup://directions/FAT Viewer?action=UPDATE&amp;creator=factset&amp;DYN_ARGS=TRUE&amp;DOC_NAME=FAT:FQL_AUDITING_CLIENT_TEMPLATE.FAT&amp;display_string=Audit&amp;VAR:KEY=LWFOTWDIZK&amp;VAR:QUERY=RkZfRUJJVERBX0lCKCdMVE1TJywzOTkwOSk=&amp;WINDOW=FIRST_POPUP&amp;HEIGHT=450&amp;WIDTH=450&amp;START_MA","XIMIZED=FALSE&amp;VAR:CALENDAR=US&amp;VAR:SYMBOL=N0098510&amp;VAR:INDEX=0"}</definedName>
    <definedName name="_5805__FDSAUDITLINK__" localSheetId="6" hidden="1">{"fdsup://directions/FAT Viewer?action=UPDATE&amp;creator=factset&amp;DYN_ARGS=TRUE&amp;DOC_NAME=FAT:FQL_AUDITING_CLIENT_TEMPLATE.FAT&amp;display_string=Audit&amp;VAR:KEY=FSDWNYVWLM&amp;VAR:QUERY=RkZfRUJJVERBX0lCKCdMVE1TJywzOTkwOCk=&amp;WINDOW=FIRST_POPUP&amp;HEIGHT=450&amp;WIDTH=450&amp;START_MA","XIMIZED=FALSE&amp;VAR:CALENDAR=US&amp;VAR:SYMBOL=N0098510&amp;VAR:INDEX=0"}</definedName>
    <definedName name="_5805__FDSAUDITLINK__" hidden="1">{"fdsup://directions/FAT Viewer?action=UPDATE&amp;creator=factset&amp;DYN_ARGS=TRUE&amp;DOC_NAME=FAT:FQL_AUDITING_CLIENT_TEMPLATE.FAT&amp;display_string=Audit&amp;VAR:KEY=FSDWNYVWLM&amp;VAR:QUERY=RkZfRUJJVERBX0lCKCdMVE1TJywzOTkwOCk=&amp;WINDOW=FIRST_POPUP&amp;HEIGHT=450&amp;WIDTH=450&amp;START_MA","XIMIZED=FALSE&amp;VAR:CALENDAR=US&amp;VAR:SYMBOL=N0098510&amp;VAR:INDEX=0"}</definedName>
    <definedName name="_5806__FDSAUDITLINK__" localSheetId="6" hidden="1">{"fdsup://directions/FAT Viewer?action=UPDATE&amp;creator=factset&amp;DYN_ARGS=TRUE&amp;DOC_NAME=FAT:FQL_AUDITING_CLIENT_TEMPLATE.FAT&amp;display_string=Audit&amp;VAR:KEY=HUPYTMNCDY&amp;VAR:QUERY=RkZfRUJJVERBX0lCKCdMVE1TJywzOTkwNyk=&amp;WINDOW=FIRST_POPUP&amp;HEIGHT=450&amp;WIDTH=450&amp;START_MA","XIMIZED=FALSE&amp;VAR:CALENDAR=US&amp;VAR:SYMBOL=N0098510&amp;VAR:INDEX=0"}</definedName>
    <definedName name="_5806__FDSAUDITLINK__" hidden="1">{"fdsup://directions/FAT Viewer?action=UPDATE&amp;creator=factset&amp;DYN_ARGS=TRUE&amp;DOC_NAME=FAT:FQL_AUDITING_CLIENT_TEMPLATE.FAT&amp;display_string=Audit&amp;VAR:KEY=HUPYTMNCDY&amp;VAR:QUERY=RkZfRUJJVERBX0lCKCdMVE1TJywzOTkwNyk=&amp;WINDOW=FIRST_POPUP&amp;HEIGHT=450&amp;WIDTH=450&amp;START_MA","XIMIZED=FALSE&amp;VAR:CALENDAR=US&amp;VAR:SYMBOL=N0098510&amp;VAR:INDEX=0"}</definedName>
    <definedName name="_5807__FDSAUDITLINK__" localSheetId="6" hidden="1">{"fdsup://directions/FAT Viewer?action=UPDATE&amp;creator=factset&amp;DYN_ARGS=TRUE&amp;DOC_NAME=FAT:FQL_AUDITING_CLIENT_TEMPLATE.FAT&amp;display_string=Audit&amp;VAR:KEY=XIBYRMNSVE&amp;VAR:QUERY=RkZfRUJJVERBX0lCKCdMVE1TJywzOTkwNik=&amp;WINDOW=FIRST_POPUP&amp;HEIGHT=450&amp;WIDTH=450&amp;START_MA","XIMIZED=FALSE&amp;VAR:CALENDAR=US&amp;VAR:SYMBOL=N0098510&amp;VAR:INDEX=0"}</definedName>
    <definedName name="_5807__FDSAUDITLINK__" hidden="1">{"fdsup://directions/FAT Viewer?action=UPDATE&amp;creator=factset&amp;DYN_ARGS=TRUE&amp;DOC_NAME=FAT:FQL_AUDITING_CLIENT_TEMPLATE.FAT&amp;display_string=Audit&amp;VAR:KEY=XIBYRMNSVE&amp;VAR:QUERY=RkZfRUJJVERBX0lCKCdMVE1TJywzOTkwNik=&amp;WINDOW=FIRST_POPUP&amp;HEIGHT=450&amp;WIDTH=450&amp;START_MA","XIMIZED=FALSE&amp;VAR:CALENDAR=US&amp;VAR:SYMBOL=N0098510&amp;VAR:INDEX=0"}</definedName>
    <definedName name="_5808__FDSAUDITLINK__" localSheetId="6" hidden="1">{"fdsup://directions/FAT Viewer?action=UPDATE&amp;creator=factset&amp;DYN_ARGS=TRUE&amp;DOC_NAME=FAT:FQL_AUDITING_CLIENT_TEMPLATE.FAT&amp;display_string=Audit&amp;VAR:KEY=XAVINCDGNO&amp;VAR:QUERY=RkZfRUJJVERBX0lCKCdMVE1TJywzOTkwNSk=&amp;WINDOW=FIRST_POPUP&amp;HEIGHT=450&amp;WIDTH=450&amp;START_MA","XIMIZED=FALSE&amp;VAR:CALENDAR=US&amp;VAR:SYMBOL=N0098510&amp;VAR:INDEX=0"}</definedName>
    <definedName name="_5808__FDSAUDITLINK__" hidden="1">{"fdsup://directions/FAT Viewer?action=UPDATE&amp;creator=factset&amp;DYN_ARGS=TRUE&amp;DOC_NAME=FAT:FQL_AUDITING_CLIENT_TEMPLATE.FAT&amp;display_string=Audit&amp;VAR:KEY=XAVINCDGNO&amp;VAR:QUERY=RkZfRUJJVERBX0lCKCdMVE1TJywzOTkwNSk=&amp;WINDOW=FIRST_POPUP&amp;HEIGHT=450&amp;WIDTH=450&amp;START_MA","XIMIZED=FALSE&amp;VAR:CALENDAR=US&amp;VAR:SYMBOL=N0098510&amp;VAR:INDEX=0"}</definedName>
    <definedName name="_5809__FDSAUDITLINK__" localSheetId="6" hidden="1">{"fdsup://directions/FAT Viewer?action=UPDATE&amp;creator=factset&amp;DYN_ARGS=TRUE&amp;DOC_NAME=FAT:FQL_AUDITING_CLIENT_TEMPLATE.FAT&amp;display_string=Audit&amp;VAR:KEY=TAZCRCRIHA&amp;VAR:QUERY=RkZfRUJJVERBX0lCKCdMVE1TJywzOTkwNCk=&amp;WINDOW=FIRST_POPUP&amp;HEIGHT=450&amp;WIDTH=450&amp;START_MA","XIMIZED=FALSE&amp;VAR:CALENDAR=US&amp;VAR:SYMBOL=N0098510&amp;VAR:INDEX=0"}</definedName>
    <definedName name="_5809__FDSAUDITLINK__" hidden="1">{"fdsup://directions/FAT Viewer?action=UPDATE&amp;creator=factset&amp;DYN_ARGS=TRUE&amp;DOC_NAME=FAT:FQL_AUDITING_CLIENT_TEMPLATE.FAT&amp;display_string=Audit&amp;VAR:KEY=TAZCRCRIHA&amp;VAR:QUERY=RkZfRUJJVERBX0lCKCdMVE1TJywzOTkwNCk=&amp;WINDOW=FIRST_POPUP&amp;HEIGHT=450&amp;WIDTH=450&amp;START_MA","XIMIZED=FALSE&amp;VAR:CALENDAR=US&amp;VAR:SYMBOL=N0098510&amp;VAR:INDEX=0"}</definedName>
    <definedName name="_581__FDSAUDITLINK__" localSheetId="6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1__FDSAUDITLINK__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10__FDSAUDITLINK__" localSheetId="6" hidden="1">{"fdsup://directions/FAT Viewer?action=UPDATE&amp;creator=factset&amp;DYN_ARGS=TRUE&amp;DOC_NAME=FAT:FQL_AUDITING_CLIENT_TEMPLATE.FAT&amp;display_string=Audit&amp;VAR:KEY=BGFGJMXMBS&amp;VAR:QUERY=RkZfRUJJVERBX0lCKCdMVE1TJywzOTkwMyk=&amp;WINDOW=FIRST_POPUP&amp;HEIGHT=450&amp;WIDTH=450&amp;START_MA","XIMIZED=FALSE&amp;VAR:CALENDAR=US&amp;VAR:SYMBOL=N0098510&amp;VAR:INDEX=0"}</definedName>
    <definedName name="_5810__FDSAUDITLINK__" hidden="1">{"fdsup://directions/FAT Viewer?action=UPDATE&amp;creator=factset&amp;DYN_ARGS=TRUE&amp;DOC_NAME=FAT:FQL_AUDITING_CLIENT_TEMPLATE.FAT&amp;display_string=Audit&amp;VAR:KEY=BGFGJMXMBS&amp;VAR:QUERY=RkZfRUJJVERBX0lCKCdMVE1TJywzOTkwMyk=&amp;WINDOW=FIRST_POPUP&amp;HEIGHT=450&amp;WIDTH=450&amp;START_MA","XIMIZED=FALSE&amp;VAR:CALENDAR=US&amp;VAR:SYMBOL=N0098510&amp;VAR:INDEX=0"}</definedName>
    <definedName name="_5811__FDSAUDITLINK__" localSheetId="6" hidden="1">{"fdsup://directions/FAT Viewer?action=UPDATE&amp;creator=factset&amp;DYN_ARGS=TRUE&amp;DOC_NAME=FAT:FQL_AUDITING_CLIENT_TEMPLATE.FAT&amp;display_string=Audit&amp;VAR:KEY=RKTUTWZODI&amp;VAR:QUERY=RkZfRUJJVERBX0lCKCdMVE1TJywzOTkwMik=&amp;WINDOW=FIRST_POPUP&amp;HEIGHT=450&amp;WIDTH=450&amp;START_MA","XIMIZED=FALSE&amp;VAR:CALENDAR=US&amp;VAR:SYMBOL=N0098510&amp;VAR:INDEX=0"}</definedName>
    <definedName name="_5811__FDSAUDITLINK__" hidden="1">{"fdsup://directions/FAT Viewer?action=UPDATE&amp;creator=factset&amp;DYN_ARGS=TRUE&amp;DOC_NAME=FAT:FQL_AUDITING_CLIENT_TEMPLATE.FAT&amp;display_string=Audit&amp;VAR:KEY=RKTUTWZODI&amp;VAR:QUERY=RkZfRUJJVERBX0lCKCdMVE1TJywzOTkwMik=&amp;WINDOW=FIRST_POPUP&amp;HEIGHT=450&amp;WIDTH=450&amp;START_MA","XIMIZED=FALSE&amp;VAR:CALENDAR=US&amp;VAR:SYMBOL=N0098510&amp;VAR:INDEX=0"}</definedName>
    <definedName name="_5812__FDSAUDITLINK__" localSheetId="6" hidden="1">{"fdsup://directions/FAT Viewer?action=UPDATE&amp;creator=factset&amp;DYN_ARGS=TRUE&amp;DOC_NAME=FAT:FQL_AUDITING_CLIENT_TEMPLATE.FAT&amp;display_string=Audit&amp;VAR:KEY=NCPQPETKRC&amp;VAR:QUERY=RkZfRUJJVERBX0lCKCdMVE1TJywzOTkwMSk=&amp;WINDOW=FIRST_POPUP&amp;HEIGHT=450&amp;WIDTH=450&amp;START_MA","XIMIZED=FALSE&amp;VAR:CALENDAR=US&amp;VAR:SYMBOL=N0098510&amp;VAR:INDEX=0"}</definedName>
    <definedName name="_5812__FDSAUDITLINK__" hidden="1">{"fdsup://directions/FAT Viewer?action=UPDATE&amp;creator=factset&amp;DYN_ARGS=TRUE&amp;DOC_NAME=FAT:FQL_AUDITING_CLIENT_TEMPLATE.FAT&amp;display_string=Audit&amp;VAR:KEY=NCPQPETKRC&amp;VAR:QUERY=RkZfRUJJVERBX0lCKCdMVE1TJywzOTkwMSk=&amp;WINDOW=FIRST_POPUP&amp;HEIGHT=450&amp;WIDTH=450&amp;START_MA","XIMIZED=FALSE&amp;VAR:CALENDAR=US&amp;VAR:SYMBOL=N0098510&amp;VAR:INDEX=0"}</definedName>
    <definedName name="_5813__FDSAUDITLINK__" localSheetId="6" hidden="1">{"fdsup://directions/FAT Viewer?action=UPDATE&amp;creator=factset&amp;DYN_ARGS=TRUE&amp;DOC_NAME=FAT:FQL_AUDITING_CLIENT_TEMPLATE.FAT&amp;display_string=Audit&amp;VAR:KEY=BCDQJMNQNQ&amp;VAR:QUERY=RkZfRUJJVERBX0lCKCdMVE1TJywzOTkwMCk=&amp;WINDOW=FIRST_POPUP&amp;HEIGHT=450&amp;WIDTH=450&amp;START_MA","XIMIZED=FALSE&amp;VAR:CALENDAR=US&amp;VAR:SYMBOL=N0098510&amp;VAR:INDEX=0"}</definedName>
    <definedName name="_5813__FDSAUDITLINK__" hidden="1">{"fdsup://directions/FAT Viewer?action=UPDATE&amp;creator=factset&amp;DYN_ARGS=TRUE&amp;DOC_NAME=FAT:FQL_AUDITING_CLIENT_TEMPLATE.FAT&amp;display_string=Audit&amp;VAR:KEY=BCDQJMNQNQ&amp;VAR:QUERY=RkZfRUJJVERBX0lCKCdMVE1TJywzOTkwMCk=&amp;WINDOW=FIRST_POPUP&amp;HEIGHT=450&amp;WIDTH=450&amp;START_MA","XIMIZED=FALSE&amp;VAR:CALENDAR=US&amp;VAR:SYMBOL=N0098510&amp;VAR:INDEX=0"}</definedName>
    <definedName name="_5814__FDSAUDITLINK__" localSheetId="6" hidden="1">{"fdsup://directions/FAT Viewer?action=UPDATE&amp;creator=factset&amp;DYN_ARGS=TRUE&amp;DOC_NAME=FAT:FQL_AUDITING_CLIENT_TEMPLATE.FAT&amp;display_string=Audit&amp;VAR:KEY=FOFAHYDCRI&amp;VAR:QUERY=RkZfRUJJVERBX0lCKCdMVE1TJywzOTg5OSk=&amp;WINDOW=FIRST_POPUP&amp;HEIGHT=450&amp;WIDTH=450&amp;START_MA","XIMIZED=FALSE&amp;VAR:CALENDAR=US&amp;VAR:SYMBOL=N0098510&amp;VAR:INDEX=0"}</definedName>
    <definedName name="_5814__FDSAUDITLINK__" hidden="1">{"fdsup://directions/FAT Viewer?action=UPDATE&amp;creator=factset&amp;DYN_ARGS=TRUE&amp;DOC_NAME=FAT:FQL_AUDITING_CLIENT_TEMPLATE.FAT&amp;display_string=Audit&amp;VAR:KEY=FOFAHYDCRI&amp;VAR:QUERY=RkZfRUJJVERBX0lCKCdMVE1TJywzOTg5OSk=&amp;WINDOW=FIRST_POPUP&amp;HEIGHT=450&amp;WIDTH=450&amp;START_MA","XIMIZED=FALSE&amp;VAR:CALENDAR=US&amp;VAR:SYMBOL=N0098510&amp;VAR:INDEX=0"}</definedName>
    <definedName name="_5815__FDSAUDITLINK__" localSheetId="6" hidden="1">{"fdsup://directions/FAT Viewer?action=UPDATE&amp;creator=factset&amp;DYN_ARGS=TRUE&amp;DOC_NAME=FAT:FQL_AUDITING_CLIENT_TEMPLATE.FAT&amp;display_string=Audit&amp;VAR:KEY=RSZETWBCPM&amp;VAR:QUERY=RkZfRUJJVERBX0lCKCdMVE1TJywzOTg5OCk=&amp;WINDOW=FIRST_POPUP&amp;HEIGHT=450&amp;WIDTH=450&amp;START_MA","XIMIZED=FALSE&amp;VAR:CALENDAR=US&amp;VAR:SYMBOL=N0098510&amp;VAR:INDEX=0"}</definedName>
    <definedName name="_5815__FDSAUDITLINK__" hidden="1">{"fdsup://directions/FAT Viewer?action=UPDATE&amp;creator=factset&amp;DYN_ARGS=TRUE&amp;DOC_NAME=FAT:FQL_AUDITING_CLIENT_TEMPLATE.FAT&amp;display_string=Audit&amp;VAR:KEY=RSZETWBCPM&amp;VAR:QUERY=RkZfRUJJVERBX0lCKCdMVE1TJywzOTg5OCk=&amp;WINDOW=FIRST_POPUP&amp;HEIGHT=450&amp;WIDTH=450&amp;START_MA","XIMIZED=FALSE&amp;VAR:CALENDAR=US&amp;VAR:SYMBOL=N0098510&amp;VAR:INDEX=0"}</definedName>
    <definedName name="_5816__FDSAUDITLINK__" localSheetId="6" hidden="1">{"fdsup://directions/FAT Viewer?action=UPDATE&amp;creator=factset&amp;DYN_ARGS=TRUE&amp;DOC_NAME=FAT:FQL_AUDITING_CLIENT_TEMPLATE.FAT&amp;display_string=Audit&amp;VAR:KEY=PKHKBUVOPU&amp;VAR:QUERY=RkZfRUJJVERBX0lCKCdMVE1TJywzOTg5Nyk=&amp;WINDOW=FIRST_POPUP&amp;HEIGHT=450&amp;WIDTH=450&amp;START_MA","XIMIZED=FALSE&amp;VAR:CALENDAR=US&amp;VAR:SYMBOL=N0098510&amp;VAR:INDEX=0"}</definedName>
    <definedName name="_5816__FDSAUDITLINK__" hidden="1">{"fdsup://directions/FAT Viewer?action=UPDATE&amp;creator=factset&amp;DYN_ARGS=TRUE&amp;DOC_NAME=FAT:FQL_AUDITING_CLIENT_TEMPLATE.FAT&amp;display_string=Audit&amp;VAR:KEY=PKHKBUVOPU&amp;VAR:QUERY=RkZfRUJJVERBX0lCKCdMVE1TJywzOTg5Nyk=&amp;WINDOW=FIRST_POPUP&amp;HEIGHT=450&amp;WIDTH=450&amp;START_MA","XIMIZED=FALSE&amp;VAR:CALENDAR=US&amp;VAR:SYMBOL=N0098510&amp;VAR:INDEX=0"}</definedName>
    <definedName name="_5817__FDSAUDITLINK__" localSheetId="6" hidden="1">{"fdsup://directions/FAT Viewer?action=UPDATE&amp;creator=factset&amp;DYN_ARGS=TRUE&amp;DOC_NAME=FAT:FQL_AUDITING_CLIENT_TEMPLATE.FAT&amp;display_string=Audit&amp;VAR:KEY=JANWBUREPW&amp;VAR:QUERY=RkZfRUJJVERBX0lCKCdMVE1TJywzOTg5Nik=&amp;WINDOW=FIRST_POPUP&amp;HEIGHT=450&amp;WIDTH=450&amp;START_MA","XIMIZED=FALSE&amp;VAR:CALENDAR=US&amp;VAR:SYMBOL=N0098510&amp;VAR:INDEX=0"}</definedName>
    <definedName name="_5817__FDSAUDITLINK__" hidden="1">{"fdsup://directions/FAT Viewer?action=UPDATE&amp;creator=factset&amp;DYN_ARGS=TRUE&amp;DOC_NAME=FAT:FQL_AUDITING_CLIENT_TEMPLATE.FAT&amp;display_string=Audit&amp;VAR:KEY=JANWBUREPW&amp;VAR:QUERY=RkZfRUJJVERBX0lCKCdMVE1TJywzOTg5Nik=&amp;WINDOW=FIRST_POPUP&amp;HEIGHT=450&amp;WIDTH=450&amp;START_MA","XIMIZED=FALSE&amp;VAR:CALENDAR=US&amp;VAR:SYMBOL=N0098510&amp;VAR:INDEX=0"}</definedName>
    <definedName name="_5818__FDSAUDITLINK__" localSheetId="6" hidden="1">{"fdsup://directions/FAT Viewer?action=UPDATE&amp;creator=factset&amp;DYN_ARGS=TRUE&amp;DOC_NAME=FAT:FQL_AUDITING_CLIENT_TEMPLATE.FAT&amp;display_string=Audit&amp;VAR:KEY=PIHSBKLWLU&amp;VAR:QUERY=RkZfRUJJVERBX0lCKCdMVE1TJywzOTg5NSk=&amp;WINDOW=FIRST_POPUP&amp;HEIGHT=450&amp;WIDTH=450&amp;START_MA","XIMIZED=FALSE&amp;VAR:CALENDAR=US&amp;VAR:SYMBOL=N0098510&amp;VAR:INDEX=0"}</definedName>
    <definedName name="_5818__FDSAUDITLINK__" hidden="1">{"fdsup://directions/FAT Viewer?action=UPDATE&amp;creator=factset&amp;DYN_ARGS=TRUE&amp;DOC_NAME=FAT:FQL_AUDITING_CLIENT_TEMPLATE.FAT&amp;display_string=Audit&amp;VAR:KEY=PIHSBKLWLU&amp;VAR:QUERY=RkZfRUJJVERBX0lCKCdMVE1TJywzOTg5NSk=&amp;WINDOW=FIRST_POPUP&amp;HEIGHT=450&amp;WIDTH=450&amp;START_MA","XIMIZED=FALSE&amp;VAR:CALENDAR=US&amp;VAR:SYMBOL=N0098510&amp;VAR:INDEX=0"}</definedName>
    <definedName name="_5819__FDSAUDITLINK__" localSheetId="6" hidden="1">{"fdsup://directions/FAT Viewer?action=UPDATE&amp;creator=factset&amp;DYN_ARGS=TRUE&amp;DOC_NAME=FAT:FQL_AUDITING_CLIENT_TEMPLATE.FAT&amp;display_string=Audit&amp;VAR:KEY=PIBAJQBOJW&amp;VAR:QUERY=RkZfRUJJVERBX0lCKCdMVE1TJywzOTg5NCk=&amp;WINDOW=FIRST_POPUP&amp;HEIGHT=450&amp;WIDTH=450&amp;START_MA","XIMIZED=FALSE&amp;VAR:CALENDAR=US&amp;VAR:SYMBOL=N0098510&amp;VAR:INDEX=0"}</definedName>
    <definedName name="_5819__FDSAUDITLINK__" hidden="1">{"fdsup://directions/FAT Viewer?action=UPDATE&amp;creator=factset&amp;DYN_ARGS=TRUE&amp;DOC_NAME=FAT:FQL_AUDITING_CLIENT_TEMPLATE.FAT&amp;display_string=Audit&amp;VAR:KEY=PIBAJQBOJW&amp;VAR:QUERY=RkZfRUJJVERBX0lCKCdMVE1TJywzOTg5NCk=&amp;WINDOW=FIRST_POPUP&amp;HEIGHT=450&amp;WIDTH=450&amp;START_MA","XIMIZED=FALSE&amp;VAR:CALENDAR=US&amp;VAR:SYMBOL=N0098510&amp;VAR:INDEX=0"}</definedName>
    <definedName name="_582__FDSAUDITLINK__" localSheetId="6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2__FDSAUDITLINK__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20__FDSAUDITLINK__" localSheetId="6" hidden="1">{"fdsup://directions/FAT Viewer?action=UPDATE&amp;creator=factset&amp;DYN_ARGS=TRUE&amp;DOC_NAME=FAT:FQL_AUDITING_CLIENT_TEMPLATE.FAT&amp;display_string=Audit&amp;VAR:KEY=BOVWBYXUFQ&amp;VAR:QUERY=RkZfRUJJVERBX0lCKCdMVE1TJywzOTg5Myk=&amp;WINDOW=FIRST_POPUP&amp;HEIGHT=450&amp;WIDTH=450&amp;START_MA","XIMIZED=FALSE&amp;VAR:CALENDAR=US&amp;VAR:SYMBOL=N0098510&amp;VAR:INDEX=0"}</definedName>
    <definedName name="_5820__FDSAUDITLINK__" hidden="1">{"fdsup://directions/FAT Viewer?action=UPDATE&amp;creator=factset&amp;DYN_ARGS=TRUE&amp;DOC_NAME=FAT:FQL_AUDITING_CLIENT_TEMPLATE.FAT&amp;display_string=Audit&amp;VAR:KEY=BOVWBYXUFQ&amp;VAR:QUERY=RkZfRUJJVERBX0lCKCdMVE1TJywzOTg5Myk=&amp;WINDOW=FIRST_POPUP&amp;HEIGHT=450&amp;WIDTH=450&amp;START_MA","XIMIZED=FALSE&amp;VAR:CALENDAR=US&amp;VAR:SYMBOL=N0098510&amp;VAR:INDEX=0"}</definedName>
    <definedName name="_5821__FDSAUDITLINK__" localSheetId="6" hidden="1">{"fdsup://directions/FAT Viewer?action=UPDATE&amp;creator=factset&amp;DYN_ARGS=TRUE&amp;DOC_NAME=FAT:FQL_AUDITING_CLIENT_TEMPLATE.FAT&amp;display_string=Audit&amp;VAR:KEY=PGHAJSXGJY&amp;VAR:QUERY=RkZfRUJJVERBX0lCKCdMVE1TJywzOTg5Mik=&amp;WINDOW=FIRST_POPUP&amp;HEIGHT=450&amp;WIDTH=450&amp;START_MA","XIMIZED=FALSE&amp;VAR:CALENDAR=US&amp;VAR:SYMBOL=N0098510&amp;VAR:INDEX=0"}</definedName>
    <definedName name="_5821__FDSAUDITLINK__" hidden="1">{"fdsup://directions/FAT Viewer?action=UPDATE&amp;creator=factset&amp;DYN_ARGS=TRUE&amp;DOC_NAME=FAT:FQL_AUDITING_CLIENT_TEMPLATE.FAT&amp;display_string=Audit&amp;VAR:KEY=PGHAJSXGJY&amp;VAR:QUERY=RkZfRUJJVERBX0lCKCdMVE1TJywzOTg5Mik=&amp;WINDOW=FIRST_POPUP&amp;HEIGHT=450&amp;WIDTH=450&amp;START_MA","XIMIZED=FALSE&amp;VAR:CALENDAR=US&amp;VAR:SYMBOL=N0098510&amp;VAR:INDEX=0"}</definedName>
    <definedName name="_5822__FDSAUDITLINK__" localSheetId="6" hidden="1">{"fdsup://directions/FAT Viewer?action=UPDATE&amp;creator=factset&amp;DYN_ARGS=TRUE&amp;DOC_NAME=FAT:FQL_AUDITING_CLIENT_TEMPLATE.FAT&amp;display_string=Audit&amp;VAR:KEY=XOTWRQHQZI&amp;VAR:QUERY=RkZfRUJJVERBX0lCKCdMVE1TJywzOTg5MSk=&amp;WINDOW=FIRST_POPUP&amp;HEIGHT=450&amp;WIDTH=450&amp;START_MA","XIMIZED=FALSE&amp;VAR:CALENDAR=US&amp;VAR:SYMBOL=N0098510&amp;VAR:INDEX=0"}</definedName>
    <definedName name="_5822__FDSAUDITLINK__" hidden="1">{"fdsup://directions/FAT Viewer?action=UPDATE&amp;creator=factset&amp;DYN_ARGS=TRUE&amp;DOC_NAME=FAT:FQL_AUDITING_CLIENT_TEMPLATE.FAT&amp;display_string=Audit&amp;VAR:KEY=XOTWRQHQZI&amp;VAR:QUERY=RkZfRUJJVERBX0lCKCdMVE1TJywzOTg5MSk=&amp;WINDOW=FIRST_POPUP&amp;HEIGHT=450&amp;WIDTH=450&amp;START_MA","XIMIZED=FALSE&amp;VAR:CALENDAR=US&amp;VAR:SYMBOL=N0098510&amp;VAR:INDEX=0"}</definedName>
    <definedName name="_5823__FDSAUDITLINK__" localSheetId="6" hidden="1">{"fdsup://directions/FAT Viewer?action=UPDATE&amp;creator=factset&amp;DYN_ARGS=TRUE&amp;DOC_NAME=FAT:FQL_AUDITING_CLIENT_TEMPLATE.FAT&amp;display_string=Audit&amp;VAR:KEY=BMLEPKHMJW&amp;VAR:QUERY=RkZfRUJJVERBX0lCKCdMVE1TJywzOTg5MCk=&amp;WINDOW=FIRST_POPUP&amp;HEIGHT=450&amp;WIDTH=450&amp;START_MA","XIMIZED=FALSE&amp;VAR:CALENDAR=US&amp;VAR:SYMBOL=N0098510&amp;VAR:INDEX=0"}</definedName>
    <definedName name="_5823__FDSAUDITLINK__" hidden="1">{"fdsup://directions/FAT Viewer?action=UPDATE&amp;creator=factset&amp;DYN_ARGS=TRUE&amp;DOC_NAME=FAT:FQL_AUDITING_CLIENT_TEMPLATE.FAT&amp;display_string=Audit&amp;VAR:KEY=BMLEPKHMJW&amp;VAR:QUERY=RkZfRUJJVERBX0lCKCdMVE1TJywzOTg5MCk=&amp;WINDOW=FIRST_POPUP&amp;HEIGHT=450&amp;WIDTH=450&amp;START_MA","XIMIZED=FALSE&amp;VAR:CALENDAR=US&amp;VAR:SYMBOL=N0098510&amp;VAR:INDEX=0"}</definedName>
    <definedName name="_5824__FDSAUDITLINK__" localSheetId="6" hidden="1">{"fdsup://directions/FAT Viewer?action=UPDATE&amp;creator=factset&amp;DYN_ARGS=TRUE&amp;DOC_NAME=FAT:FQL_AUDITING_CLIENT_TEMPLATE.FAT&amp;display_string=Audit&amp;VAR:KEY=XGBUZUHURG&amp;VAR:QUERY=RkZfRUJJVERBX0lCKCdMVE1TJywzOTg4OSk=&amp;WINDOW=FIRST_POPUP&amp;HEIGHT=450&amp;WIDTH=450&amp;START_MA","XIMIZED=FALSE&amp;VAR:CALENDAR=US&amp;VAR:SYMBOL=N0098510&amp;VAR:INDEX=0"}</definedName>
    <definedName name="_5824__FDSAUDITLINK__" hidden="1">{"fdsup://directions/FAT Viewer?action=UPDATE&amp;creator=factset&amp;DYN_ARGS=TRUE&amp;DOC_NAME=FAT:FQL_AUDITING_CLIENT_TEMPLATE.FAT&amp;display_string=Audit&amp;VAR:KEY=XGBUZUHURG&amp;VAR:QUERY=RkZfRUJJVERBX0lCKCdMVE1TJywzOTg4OSk=&amp;WINDOW=FIRST_POPUP&amp;HEIGHT=450&amp;WIDTH=450&amp;START_MA","XIMIZED=FALSE&amp;VAR:CALENDAR=US&amp;VAR:SYMBOL=N0098510&amp;VAR:INDEX=0"}</definedName>
    <definedName name="_5825__FDSAUDITLINK__" localSheetId="6" hidden="1">{"fdsup://directions/FAT Viewer?action=UPDATE&amp;creator=factset&amp;DYN_ARGS=TRUE&amp;DOC_NAME=FAT:FQL_AUDITING_CLIENT_TEMPLATE.FAT&amp;display_string=Audit&amp;VAR:KEY=HWZKTORSTW&amp;VAR:QUERY=RkZfRUJJVERBX0lCKCdMVE1TJywzOTg4OCk=&amp;WINDOW=FIRST_POPUP&amp;HEIGHT=450&amp;WIDTH=450&amp;START_MA","XIMIZED=FALSE&amp;VAR:CALENDAR=US&amp;VAR:SYMBOL=N0098510&amp;VAR:INDEX=0"}</definedName>
    <definedName name="_5825__FDSAUDITLINK__" hidden="1">{"fdsup://directions/FAT Viewer?action=UPDATE&amp;creator=factset&amp;DYN_ARGS=TRUE&amp;DOC_NAME=FAT:FQL_AUDITING_CLIENT_TEMPLATE.FAT&amp;display_string=Audit&amp;VAR:KEY=HWZKTORSTW&amp;VAR:QUERY=RkZfRUJJVERBX0lCKCdMVE1TJywzOTg4OCk=&amp;WINDOW=FIRST_POPUP&amp;HEIGHT=450&amp;WIDTH=450&amp;START_MA","XIMIZED=FALSE&amp;VAR:CALENDAR=US&amp;VAR:SYMBOL=N0098510&amp;VAR:INDEX=0"}</definedName>
    <definedName name="_5826__FDSAUDITLINK__" localSheetId="6" hidden="1">{"fdsup://directions/FAT Viewer?action=UPDATE&amp;creator=factset&amp;DYN_ARGS=TRUE&amp;DOC_NAME=FAT:FQL_AUDITING_CLIENT_TEMPLATE.FAT&amp;display_string=Audit&amp;VAR:KEY=RWZWXIPOPM&amp;VAR:QUERY=RkZfRUJJVERBX0lCKCdMVE1TJywzOTg4Nyk=&amp;WINDOW=FIRST_POPUP&amp;HEIGHT=450&amp;WIDTH=450&amp;START_MA","XIMIZED=FALSE&amp;VAR:CALENDAR=US&amp;VAR:SYMBOL=N0098510&amp;VAR:INDEX=0"}</definedName>
    <definedName name="_5826__FDSAUDITLINK__" hidden="1">{"fdsup://directions/FAT Viewer?action=UPDATE&amp;creator=factset&amp;DYN_ARGS=TRUE&amp;DOC_NAME=FAT:FQL_AUDITING_CLIENT_TEMPLATE.FAT&amp;display_string=Audit&amp;VAR:KEY=RWZWXIPOPM&amp;VAR:QUERY=RkZfRUJJVERBX0lCKCdMVE1TJywzOTg4Nyk=&amp;WINDOW=FIRST_POPUP&amp;HEIGHT=450&amp;WIDTH=450&amp;START_MA","XIMIZED=FALSE&amp;VAR:CALENDAR=US&amp;VAR:SYMBOL=N0098510&amp;VAR:INDEX=0"}</definedName>
    <definedName name="_5827__FDSAUDITLINK__" localSheetId="6" hidden="1">{"fdsup://directions/FAT Viewer?action=UPDATE&amp;creator=factset&amp;DYN_ARGS=TRUE&amp;DOC_NAME=FAT:FQL_AUDITING_CLIENT_TEMPLATE.FAT&amp;display_string=Audit&amp;VAR:KEY=DSFQRWFULG&amp;VAR:QUERY=RkZfRUJJVERBX0lCKCdMVE1TJywzOTg4Nik=&amp;WINDOW=FIRST_POPUP&amp;HEIGHT=450&amp;WIDTH=450&amp;START_MA","XIMIZED=FALSE&amp;VAR:CALENDAR=US&amp;VAR:SYMBOL=N0098510&amp;VAR:INDEX=0"}</definedName>
    <definedName name="_5827__FDSAUDITLINK__" hidden="1">{"fdsup://directions/FAT Viewer?action=UPDATE&amp;creator=factset&amp;DYN_ARGS=TRUE&amp;DOC_NAME=FAT:FQL_AUDITING_CLIENT_TEMPLATE.FAT&amp;display_string=Audit&amp;VAR:KEY=DSFQRWFULG&amp;VAR:QUERY=RkZfRUJJVERBX0lCKCdMVE1TJywzOTg4Nik=&amp;WINDOW=FIRST_POPUP&amp;HEIGHT=450&amp;WIDTH=450&amp;START_MA","XIMIZED=FALSE&amp;VAR:CALENDAR=US&amp;VAR:SYMBOL=N0098510&amp;VAR:INDEX=0"}</definedName>
    <definedName name="_5828__FDSAUDITLINK__" localSheetId="6" hidden="1">{"fdsup://directions/FAT Viewer?action=UPDATE&amp;creator=factset&amp;DYN_ARGS=TRUE&amp;DOC_NAME=FAT:FQL_AUDITING_CLIENT_TEMPLATE.FAT&amp;display_string=Audit&amp;VAR:KEY=BUTYPKZYHA&amp;VAR:QUERY=RkZfRUJJVERBX0lCKCdMVE1TJywzOTg4NSk=&amp;WINDOW=FIRST_POPUP&amp;HEIGHT=450&amp;WIDTH=450&amp;START_MA","XIMIZED=FALSE&amp;VAR:CALENDAR=US&amp;VAR:SYMBOL=N0098510&amp;VAR:INDEX=0"}</definedName>
    <definedName name="_5828__FDSAUDITLINK__" hidden="1">{"fdsup://directions/FAT Viewer?action=UPDATE&amp;creator=factset&amp;DYN_ARGS=TRUE&amp;DOC_NAME=FAT:FQL_AUDITING_CLIENT_TEMPLATE.FAT&amp;display_string=Audit&amp;VAR:KEY=BUTYPKZYHA&amp;VAR:QUERY=RkZfRUJJVERBX0lCKCdMVE1TJywzOTg4NSk=&amp;WINDOW=FIRST_POPUP&amp;HEIGHT=450&amp;WIDTH=450&amp;START_MA","XIMIZED=FALSE&amp;VAR:CALENDAR=US&amp;VAR:SYMBOL=N0098510&amp;VAR:INDEX=0"}</definedName>
    <definedName name="_5829__FDSAUDITLINK__" localSheetId="6" hidden="1">{"fdsup://directions/FAT Viewer?action=UPDATE&amp;creator=factset&amp;DYN_ARGS=TRUE&amp;DOC_NAME=FAT:FQL_AUDITING_CLIENT_TEMPLATE.FAT&amp;display_string=Audit&amp;VAR:KEY=DWZOBUZYFM&amp;VAR:QUERY=RkZfRUJJVERBX0lCKCdMVE1TJywzOTg4NCk=&amp;WINDOW=FIRST_POPUP&amp;HEIGHT=450&amp;WIDTH=450&amp;START_MA","XIMIZED=FALSE&amp;VAR:CALENDAR=US&amp;VAR:SYMBOL=N0098510&amp;VAR:INDEX=0"}</definedName>
    <definedName name="_5829__FDSAUDITLINK__" hidden="1">{"fdsup://directions/FAT Viewer?action=UPDATE&amp;creator=factset&amp;DYN_ARGS=TRUE&amp;DOC_NAME=FAT:FQL_AUDITING_CLIENT_TEMPLATE.FAT&amp;display_string=Audit&amp;VAR:KEY=DWZOBUZYFM&amp;VAR:QUERY=RkZfRUJJVERBX0lCKCdMVE1TJywzOTg4NCk=&amp;WINDOW=FIRST_POPUP&amp;HEIGHT=450&amp;WIDTH=450&amp;START_MA","XIMIZED=FALSE&amp;VAR:CALENDAR=US&amp;VAR:SYMBOL=N0098510&amp;VAR:INDEX=0"}</definedName>
    <definedName name="_583__FDSAUDITLINK__" localSheetId="6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3__FDSAUDITLINK__" hidden="1">{"fdsup://directions/FAT%20Viewer?VAR:PED=LTM&amp;VAR:AUDIT_MODE=SUMMARY&amp;VAR:PERIOD=FIXED&amp;VAR:AUDIT_ID=00000117&amp;VAR:DATE=20080718&amp;action=UPDATE&amp;creator=factset&amp;DOC_NAME=FAT:FMA_audit_SUMMARY.fat&amp;DISPLAY_STRING=Display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30__FDSAUDITLINK__" localSheetId="6" hidden="1">{"fdsup://directions/FAT Viewer?action=UPDATE&amp;creator=factset&amp;DYN_ARGS=TRUE&amp;DOC_NAME=FAT:FQL_AUDITING_CLIENT_TEMPLATE.FAT&amp;display_string=Audit&amp;VAR:KEY=FUDOVIPGFO&amp;VAR:QUERY=RkZfRUJJVERBX0lCKCdMVE1TJywzOTg4Myk=&amp;WINDOW=FIRST_POPUP&amp;HEIGHT=450&amp;WIDTH=450&amp;START_MA","XIMIZED=FALSE&amp;VAR:CALENDAR=US&amp;VAR:SYMBOL=N0098510&amp;VAR:INDEX=0"}</definedName>
    <definedName name="_5830__FDSAUDITLINK__" hidden="1">{"fdsup://directions/FAT Viewer?action=UPDATE&amp;creator=factset&amp;DYN_ARGS=TRUE&amp;DOC_NAME=FAT:FQL_AUDITING_CLIENT_TEMPLATE.FAT&amp;display_string=Audit&amp;VAR:KEY=FUDOVIPGFO&amp;VAR:QUERY=RkZfRUJJVERBX0lCKCdMVE1TJywzOTg4Myk=&amp;WINDOW=FIRST_POPUP&amp;HEIGHT=450&amp;WIDTH=450&amp;START_MA","XIMIZED=FALSE&amp;VAR:CALENDAR=US&amp;VAR:SYMBOL=N0098510&amp;VAR:INDEX=0"}</definedName>
    <definedName name="_5831__FDSAUDITLINK__" localSheetId="6" hidden="1">{"fdsup://directions/FAT Viewer?action=UPDATE&amp;creator=factset&amp;DYN_ARGS=TRUE&amp;DOC_NAME=FAT:FQL_AUDITING_CLIENT_TEMPLATE.FAT&amp;display_string=Audit&amp;VAR:KEY=DGRYPYZMJM&amp;VAR:QUERY=RkZfRUJJVERBX0lCKCdMVE1TJywzOTg4Mik=&amp;WINDOW=FIRST_POPUP&amp;HEIGHT=450&amp;WIDTH=450&amp;START_MA","XIMIZED=FALSE&amp;VAR:CALENDAR=US&amp;VAR:SYMBOL=N0098510&amp;VAR:INDEX=0"}</definedName>
    <definedName name="_5831__FDSAUDITLINK__" hidden="1">{"fdsup://directions/FAT Viewer?action=UPDATE&amp;creator=factset&amp;DYN_ARGS=TRUE&amp;DOC_NAME=FAT:FQL_AUDITING_CLIENT_TEMPLATE.FAT&amp;display_string=Audit&amp;VAR:KEY=DGRYPYZMJM&amp;VAR:QUERY=RkZfRUJJVERBX0lCKCdMVE1TJywzOTg4Mik=&amp;WINDOW=FIRST_POPUP&amp;HEIGHT=450&amp;WIDTH=450&amp;START_MA","XIMIZED=FALSE&amp;VAR:CALENDAR=US&amp;VAR:SYMBOL=N0098510&amp;VAR:INDEX=0"}</definedName>
    <definedName name="_5832__FDSAUDITLINK__" localSheetId="6" hidden="1">{"fdsup://directions/FAT Viewer?action=UPDATE&amp;creator=factset&amp;DYN_ARGS=TRUE&amp;DOC_NAME=FAT:FQL_AUDITING_CLIENT_TEMPLATE.FAT&amp;display_string=Audit&amp;VAR:KEY=BIXWHQXMFC&amp;VAR:QUERY=RkZfRUJJVERBX0lCKCdMVE1TJywzOTg4MSk=&amp;WINDOW=FIRST_POPUP&amp;HEIGHT=450&amp;WIDTH=450&amp;START_MA","XIMIZED=FALSE&amp;VAR:CALENDAR=US&amp;VAR:SYMBOL=N0098510&amp;VAR:INDEX=0"}</definedName>
    <definedName name="_5832__FDSAUDITLINK__" hidden="1">{"fdsup://directions/FAT Viewer?action=UPDATE&amp;creator=factset&amp;DYN_ARGS=TRUE&amp;DOC_NAME=FAT:FQL_AUDITING_CLIENT_TEMPLATE.FAT&amp;display_string=Audit&amp;VAR:KEY=BIXWHQXMFC&amp;VAR:QUERY=RkZfRUJJVERBX0lCKCdMVE1TJywzOTg4MSk=&amp;WINDOW=FIRST_POPUP&amp;HEIGHT=450&amp;WIDTH=450&amp;START_MA","XIMIZED=FALSE&amp;VAR:CALENDAR=US&amp;VAR:SYMBOL=N0098510&amp;VAR:INDEX=0"}</definedName>
    <definedName name="_5833__FDSAUDITLINK__" localSheetId="6" hidden="1">{"fdsup://directions/FAT Viewer?action=UPDATE&amp;creator=factset&amp;DYN_ARGS=TRUE&amp;DOC_NAME=FAT:FQL_AUDITING_CLIENT_TEMPLATE.FAT&amp;display_string=Audit&amp;VAR:KEY=DCFOVQDGRI&amp;VAR:QUERY=RkZfRUJJVERBX0lCKCdMVE1TJywzOTg4MCk=&amp;WINDOW=FIRST_POPUP&amp;HEIGHT=450&amp;WIDTH=450&amp;START_MA","XIMIZED=FALSE&amp;VAR:CALENDAR=US&amp;VAR:SYMBOL=N0098510&amp;VAR:INDEX=0"}</definedName>
    <definedName name="_5833__FDSAUDITLINK__" hidden="1">{"fdsup://directions/FAT Viewer?action=UPDATE&amp;creator=factset&amp;DYN_ARGS=TRUE&amp;DOC_NAME=FAT:FQL_AUDITING_CLIENT_TEMPLATE.FAT&amp;display_string=Audit&amp;VAR:KEY=DCFOVQDGRI&amp;VAR:QUERY=RkZfRUJJVERBX0lCKCdMVE1TJywzOTg4MCk=&amp;WINDOW=FIRST_POPUP&amp;HEIGHT=450&amp;WIDTH=450&amp;START_MA","XIMIZED=FALSE&amp;VAR:CALENDAR=US&amp;VAR:SYMBOL=N0098510&amp;VAR:INDEX=0"}</definedName>
    <definedName name="_5834__FDSAUDITLINK__" localSheetId="6" hidden="1">{"fdsup://directions/FAT Viewer?action=UPDATE&amp;creator=factset&amp;DYN_ARGS=TRUE&amp;DOC_NAME=FAT:FQL_AUDITING_CLIENT_TEMPLATE.FAT&amp;display_string=Audit&amp;VAR:KEY=ZGNYZMHMNC&amp;VAR:QUERY=RkZfRUJJVERBX0lCKCdMVE1TJywzOTg3OSk=&amp;WINDOW=FIRST_POPUP&amp;HEIGHT=450&amp;WIDTH=450&amp;START_MA","XIMIZED=FALSE&amp;VAR:CALENDAR=US&amp;VAR:SYMBOL=N0098510&amp;VAR:INDEX=0"}</definedName>
    <definedName name="_5834__FDSAUDITLINK__" hidden="1">{"fdsup://directions/FAT Viewer?action=UPDATE&amp;creator=factset&amp;DYN_ARGS=TRUE&amp;DOC_NAME=FAT:FQL_AUDITING_CLIENT_TEMPLATE.FAT&amp;display_string=Audit&amp;VAR:KEY=ZGNYZMHMNC&amp;VAR:QUERY=RkZfRUJJVERBX0lCKCdMVE1TJywzOTg3OSk=&amp;WINDOW=FIRST_POPUP&amp;HEIGHT=450&amp;WIDTH=450&amp;START_MA","XIMIZED=FALSE&amp;VAR:CALENDAR=US&amp;VAR:SYMBOL=N0098510&amp;VAR:INDEX=0"}</definedName>
    <definedName name="_5835__FDSAUDITLINK__" localSheetId="6" hidden="1">{"fdsup://directions/FAT Viewer?action=UPDATE&amp;creator=factset&amp;DYN_ARGS=TRUE&amp;DOC_NAME=FAT:FQL_AUDITING_CLIENT_TEMPLATE.FAT&amp;display_string=Audit&amp;VAR:KEY=JOXCXUXYJC&amp;VAR:QUERY=RkZfRUJJVERBX0lCKCdMVE1TJywzOTg3OCk=&amp;WINDOW=FIRST_POPUP&amp;HEIGHT=450&amp;WIDTH=450&amp;START_MA","XIMIZED=FALSE&amp;VAR:CALENDAR=US&amp;VAR:SYMBOL=N0098510&amp;VAR:INDEX=0"}</definedName>
    <definedName name="_5835__FDSAUDITLINK__" hidden="1">{"fdsup://directions/FAT Viewer?action=UPDATE&amp;creator=factset&amp;DYN_ARGS=TRUE&amp;DOC_NAME=FAT:FQL_AUDITING_CLIENT_TEMPLATE.FAT&amp;display_string=Audit&amp;VAR:KEY=JOXCXUXYJC&amp;VAR:QUERY=RkZfRUJJVERBX0lCKCdMVE1TJywzOTg3OCk=&amp;WINDOW=FIRST_POPUP&amp;HEIGHT=450&amp;WIDTH=450&amp;START_MA","XIMIZED=FALSE&amp;VAR:CALENDAR=US&amp;VAR:SYMBOL=N0098510&amp;VAR:INDEX=0"}</definedName>
    <definedName name="_5836__FDSAUDITLINK__" localSheetId="6" hidden="1">{"fdsup://directions/FAT Viewer?action=UPDATE&amp;creator=factset&amp;DYN_ARGS=TRUE&amp;DOC_NAME=FAT:FQL_AUDITING_CLIENT_TEMPLATE.FAT&amp;display_string=Audit&amp;VAR:KEY=RCTWHEZUHO&amp;VAR:QUERY=RkZfRUJJVERBX0lCKCdMVE1TJywzOTg3Nyk=&amp;WINDOW=FIRST_POPUP&amp;HEIGHT=450&amp;WIDTH=450&amp;START_MA","XIMIZED=FALSE&amp;VAR:CALENDAR=US&amp;VAR:SYMBOL=N0098510&amp;VAR:INDEX=0"}</definedName>
    <definedName name="_5836__FDSAUDITLINK__" hidden="1">{"fdsup://directions/FAT Viewer?action=UPDATE&amp;creator=factset&amp;DYN_ARGS=TRUE&amp;DOC_NAME=FAT:FQL_AUDITING_CLIENT_TEMPLATE.FAT&amp;display_string=Audit&amp;VAR:KEY=RCTWHEZUHO&amp;VAR:QUERY=RkZfRUJJVERBX0lCKCdMVE1TJywzOTg3Nyk=&amp;WINDOW=FIRST_POPUP&amp;HEIGHT=450&amp;WIDTH=450&amp;START_MA","XIMIZED=FALSE&amp;VAR:CALENDAR=US&amp;VAR:SYMBOL=N0098510&amp;VAR:INDEX=0"}</definedName>
    <definedName name="_5837__FDSAUDITLINK__" localSheetId="6" hidden="1">{"fdsup://directions/FAT Viewer?action=UPDATE&amp;creator=factset&amp;DYN_ARGS=TRUE&amp;DOC_NAME=FAT:FQL_AUDITING_CLIENT_TEMPLATE.FAT&amp;display_string=Audit&amp;VAR:KEY=NCRAPIPKLO&amp;VAR:QUERY=RkZfRUJJVERBX0lCKCdMVE1TJywzOTg3Nik=&amp;WINDOW=FIRST_POPUP&amp;HEIGHT=450&amp;WIDTH=450&amp;START_MA","XIMIZED=FALSE&amp;VAR:CALENDAR=US&amp;VAR:SYMBOL=N0098510&amp;VAR:INDEX=0"}</definedName>
    <definedName name="_5837__FDSAUDITLINK__" hidden="1">{"fdsup://directions/FAT Viewer?action=UPDATE&amp;creator=factset&amp;DYN_ARGS=TRUE&amp;DOC_NAME=FAT:FQL_AUDITING_CLIENT_TEMPLATE.FAT&amp;display_string=Audit&amp;VAR:KEY=NCRAPIPKLO&amp;VAR:QUERY=RkZfRUJJVERBX0lCKCdMVE1TJywzOTg3Nik=&amp;WINDOW=FIRST_POPUP&amp;HEIGHT=450&amp;WIDTH=450&amp;START_MA","XIMIZED=FALSE&amp;VAR:CALENDAR=US&amp;VAR:SYMBOL=N0098510&amp;VAR:INDEX=0"}</definedName>
    <definedName name="_5838__FDSAUDITLINK__" localSheetId="6" hidden="1">{"fdsup://directions/FAT Viewer?action=UPDATE&amp;creator=factset&amp;DYN_ARGS=TRUE&amp;DOC_NAME=FAT:FQL_AUDITING_CLIENT_TEMPLATE.FAT&amp;display_string=Audit&amp;VAR:KEY=HCNCTUBCXQ&amp;VAR:QUERY=RkZfRUJJVERBX0lCKCdMVE1TJywzOTg3NSk=&amp;WINDOW=FIRST_POPUP&amp;HEIGHT=450&amp;WIDTH=450&amp;START_MA","XIMIZED=FALSE&amp;VAR:CALENDAR=US&amp;VAR:SYMBOL=N0098510&amp;VAR:INDEX=0"}</definedName>
    <definedName name="_5838__FDSAUDITLINK__" hidden="1">{"fdsup://directions/FAT Viewer?action=UPDATE&amp;creator=factset&amp;DYN_ARGS=TRUE&amp;DOC_NAME=FAT:FQL_AUDITING_CLIENT_TEMPLATE.FAT&amp;display_string=Audit&amp;VAR:KEY=HCNCTUBCXQ&amp;VAR:QUERY=RkZfRUJJVERBX0lCKCdMVE1TJywzOTg3NSk=&amp;WINDOW=FIRST_POPUP&amp;HEIGHT=450&amp;WIDTH=450&amp;START_MA","XIMIZED=FALSE&amp;VAR:CALENDAR=US&amp;VAR:SYMBOL=N0098510&amp;VAR:INDEX=0"}</definedName>
    <definedName name="_5839__FDSAUDITLINK__" localSheetId="6" hidden="1">{"fdsup://directions/FAT Viewer?action=UPDATE&amp;creator=factset&amp;DYN_ARGS=TRUE&amp;DOC_NAME=FAT:FQL_AUDITING_CLIENT_TEMPLATE.FAT&amp;display_string=Audit&amp;VAR:KEY=DSHQXURKVU&amp;VAR:QUERY=RkZfRUJJVERBX0lCKCdMVE1TJywzOTg3NCk=&amp;WINDOW=FIRST_POPUP&amp;HEIGHT=450&amp;WIDTH=450&amp;START_MA","XIMIZED=FALSE&amp;VAR:CALENDAR=US&amp;VAR:SYMBOL=N0098510&amp;VAR:INDEX=0"}</definedName>
    <definedName name="_5839__FDSAUDITLINK__" hidden="1">{"fdsup://directions/FAT Viewer?action=UPDATE&amp;creator=factset&amp;DYN_ARGS=TRUE&amp;DOC_NAME=FAT:FQL_AUDITING_CLIENT_TEMPLATE.FAT&amp;display_string=Audit&amp;VAR:KEY=DSHQXURKVU&amp;VAR:QUERY=RkZfRUJJVERBX0lCKCdMVE1TJywzOTg3NCk=&amp;WINDOW=FIRST_POPUP&amp;HEIGHT=450&amp;WIDTH=450&amp;START_MA","XIMIZED=FALSE&amp;VAR:CALENDAR=US&amp;VAR:SYMBOL=N0098510&amp;VAR:INDEX=0"}</definedName>
    <definedName name="_584__FDSAUDITLINK__" localSheetId="6" hidden="1">{"fdsup://directions/FAT%20Viewer?VAR:PED=LTM&amp;VAR:AUDIT_MODE=SUMMARY&amp;VAR:PERIOD=FIXED&amp;VAR:AUDIT_ID=00000117&amp;VAR:DATE=20080717&amp;action=UPDATE&amp;creator=factset&amp;DOC_NAME=FAT:FMA_audit_SUMMARY.fat&amp;DISPLAY_STRING=Display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4__FDSAUDITLINK__" hidden="1">{"fdsup://directions/FAT%20Viewer?VAR:PED=LTM&amp;VAR:AUDIT_MODE=SUMMARY&amp;VAR:PERIOD=FIXED&amp;VAR:AUDIT_ID=00000117&amp;VAR:DATE=20080717&amp;action=UPDATE&amp;creator=factset&amp;DOC_NAME=FAT:FMA_audit_SUMMARY.fat&amp;DISPLAY_STRING=Display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40__FDSAUDITLINK__" localSheetId="6" hidden="1">{"fdsup://directions/FAT Viewer?action=UPDATE&amp;creator=factset&amp;DYN_ARGS=TRUE&amp;DOC_NAME=FAT:FQL_AUDITING_CLIENT_TEMPLATE.FAT&amp;display_string=Audit&amp;VAR:KEY=RSRWXOLENY&amp;VAR:QUERY=RkZfRUJJVERBX0lCKCdMVE1TJywzOTg3Myk=&amp;WINDOW=FIRST_POPUP&amp;HEIGHT=450&amp;WIDTH=450&amp;START_MA","XIMIZED=FALSE&amp;VAR:CALENDAR=US&amp;VAR:SYMBOL=N0098510&amp;VAR:INDEX=0"}</definedName>
    <definedName name="_5840__FDSAUDITLINK__" hidden="1">{"fdsup://directions/FAT Viewer?action=UPDATE&amp;creator=factset&amp;DYN_ARGS=TRUE&amp;DOC_NAME=FAT:FQL_AUDITING_CLIENT_TEMPLATE.FAT&amp;display_string=Audit&amp;VAR:KEY=RSRWXOLENY&amp;VAR:QUERY=RkZfRUJJVERBX0lCKCdMVE1TJywzOTg3Myk=&amp;WINDOW=FIRST_POPUP&amp;HEIGHT=450&amp;WIDTH=450&amp;START_MA","XIMIZED=FALSE&amp;VAR:CALENDAR=US&amp;VAR:SYMBOL=N0098510&amp;VAR:INDEX=0"}</definedName>
    <definedName name="_5841__FDSAUDITLINK__" localSheetId="6" hidden="1">{"fdsup://directions/FAT Viewer?action=UPDATE&amp;creator=factset&amp;DYN_ARGS=TRUE&amp;DOC_NAME=FAT:FQL_AUDITING_CLIENT_TEMPLATE.FAT&amp;display_string=Audit&amp;VAR:KEY=VITAXONADO&amp;VAR:QUERY=RkZfRUJJVERBX0lCKCdMVE1TJywzOTg3Mik=&amp;WINDOW=FIRST_POPUP&amp;HEIGHT=450&amp;WIDTH=450&amp;START_MA","XIMIZED=FALSE&amp;VAR:CALENDAR=US&amp;VAR:SYMBOL=N0098510&amp;VAR:INDEX=0"}</definedName>
    <definedName name="_5841__FDSAUDITLINK__" hidden="1">{"fdsup://directions/FAT Viewer?action=UPDATE&amp;creator=factset&amp;DYN_ARGS=TRUE&amp;DOC_NAME=FAT:FQL_AUDITING_CLIENT_TEMPLATE.FAT&amp;display_string=Audit&amp;VAR:KEY=VITAXONADO&amp;VAR:QUERY=RkZfRUJJVERBX0lCKCdMVE1TJywzOTg3Mik=&amp;WINDOW=FIRST_POPUP&amp;HEIGHT=450&amp;WIDTH=450&amp;START_MA","XIMIZED=FALSE&amp;VAR:CALENDAR=US&amp;VAR:SYMBOL=N0098510&amp;VAR:INDEX=0"}</definedName>
    <definedName name="_5842__FDSAUDITLINK__" localSheetId="6" hidden="1">{"fdsup://directions/FAT Viewer?action=UPDATE&amp;creator=factset&amp;DYN_ARGS=TRUE&amp;DOC_NAME=FAT:FQL_AUDITING_CLIENT_TEMPLATE.FAT&amp;display_string=Audit&amp;VAR:KEY=RKXAJEPYZO&amp;VAR:QUERY=RkZfRUJJVERBX0lCKCdMVE1TJywzOTg3MSk=&amp;WINDOW=FIRST_POPUP&amp;HEIGHT=450&amp;WIDTH=450&amp;START_MA","XIMIZED=FALSE&amp;VAR:CALENDAR=US&amp;VAR:SYMBOL=N0098510&amp;VAR:INDEX=0"}</definedName>
    <definedName name="_5842__FDSAUDITLINK__" hidden="1">{"fdsup://directions/FAT Viewer?action=UPDATE&amp;creator=factset&amp;DYN_ARGS=TRUE&amp;DOC_NAME=FAT:FQL_AUDITING_CLIENT_TEMPLATE.FAT&amp;display_string=Audit&amp;VAR:KEY=RKXAJEPYZO&amp;VAR:QUERY=RkZfRUJJVERBX0lCKCdMVE1TJywzOTg3MSk=&amp;WINDOW=FIRST_POPUP&amp;HEIGHT=450&amp;WIDTH=450&amp;START_MA","XIMIZED=FALSE&amp;VAR:CALENDAR=US&amp;VAR:SYMBOL=N0098510&amp;VAR:INDEX=0"}</definedName>
    <definedName name="_5843__FDSAUDITLINK__" localSheetId="6" hidden="1">{"fdsup://directions/FAT Viewer?action=UPDATE&amp;creator=factset&amp;DYN_ARGS=TRUE&amp;DOC_NAME=FAT:FQL_AUDITING_CLIENT_TEMPLATE.FAT&amp;display_string=Audit&amp;VAR:KEY=DUNIZEDOVY&amp;VAR:QUERY=RkZfRUJJVERBX0lCKCdMVE1TJywzOTg3MCk=&amp;WINDOW=FIRST_POPUP&amp;HEIGHT=450&amp;WIDTH=450&amp;START_MA","XIMIZED=FALSE&amp;VAR:CALENDAR=US&amp;VAR:SYMBOL=N0098510&amp;VAR:INDEX=0"}</definedName>
    <definedName name="_5843__FDSAUDITLINK__" hidden="1">{"fdsup://directions/FAT Viewer?action=UPDATE&amp;creator=factset&amp;DYN_ARGS=TRUE&amp;DOC_NAME=FAT:FQL_AUDITING_CLIENT_TEMPLATE.FAT&amp;display_string=Audit&amp;VAR:KEY=DUNIZEDOVY&amp;VAR:QUERY=RkZfRUJJVERBX0lCKCdMVE1TJywzOTg3MCk=&amp;WINDOW=FIRST_POPUP&amp;HEIGHT=450&amp;WIDTH=450&amp;START_MA","XIMIZED=FALSE&amp;VAR:CALENDAR=US&amp;VAR:SYMBOL=N0098510&amp;VAR:INDEX=0"}</definedName>
    <definedName name="_5844__FDSAUDITLINK__" localSheetId="6" hidden="1">{"fdsup://directions/FAT Viewer?action=UPDATE&amp;creator=factset&amp;DYN_ARGS=TRUE&amp;DOC_NAME=FAT:FQL_AUDITING_CLIENT_TEMPLATE.FAT&amp;display_string=Audit&amp;VAR:KEY=DGVKFWPKLM&amp;VAR:QUERY=RkZfRUJJVERBX0lCKCdMVE1TJywzOTg2OSk=&amp;WINDOW=FIRST_POPUP&amp;HEIGHT=450&amp;WIDTH=450&amp;START_MA","XIMIZED=FALSE&amp;VAR:CALENDAR=US&amp;VAR:SYMBOL=N0098510&amp;VAR:INDEX=0"}</definedName>
    <definedName name="_5844__FDSAUDITLINK__" hidden="1">{"fdsup://directions/FAT Viewer?action=UPDATE&amp;creator=factset&amp;DYN_ARGS=TRUE&amp;DOC_NAME=FAT:FQL_AUDITING_CLIENT_TEMPLATE.FAT&amp;display_string=Audit&amp;VAR:KEY=DGVKFWPKLM&amp;VAR:QUERY=RkZfRUJJVERBX0lCKCdMVE1TJywzOTg2OSk=&amp;WINDOW=FIRST_POPUP&amp;HEIGHT=450&amp;WIDTH=450&amp;START_MA","XIMIZED=FALSE&amp;VAR:CALENDAR=US&amp;VAR:SYMBOL=N0098510&amp;VAR:INDEX=0"}</definedName>
    <definedName name="_5845__FDSAUDITLINK__" localSheetId="6" hidden="1">{"fdsup://directions/FAT Viewer?action=UPDATE&amp;creator=factset&amp;DYN_ARGS=TRUE&amp;DOC_NAME=FAT:FQL_AUDITING_CLIENT_TEMPLATE.FAT&amp;display_string=Audit&amp;VAR:KEY=NGXUHMZSDQ&amp;VAR:QUERY=RkZfRUJJVERBX0lCKCdMVE1TJywzOTg2OCk=&amp;WINDOW=FIRST_POPUP&amp;HEIGHT=450&amp;WIDTH=450&amp;START_MA","XIMIZED=FALSE&amp;VAR:CALENDAR=US&amp;VAR:SYMBOL=N0098510&amp;VAR:INDEX=0"}</definedName>
    <definedName name="_5845__FDSAUDITLINK__" hidden="1">{"fdsup://directions/FAT Viewer?action=UPDATE&amp;creator=factset&amp;DYN_ARGS=TRUE&amp;DOC_NAME=FAT:FQL_AUDITING_CLIENT_TEMPLATE.FAT&amp;display_string=Audit&amp;VAR:KEY=NGXUHMZSDQ&amp;VAR:QUERY=RkZfRUJJVERBX0lCKCdMVE1TJywzOTg2OCk=&amp;WINDOW=FIRST_POPUP&amp;HEIGHT=450&amp;WIDTH=450&amp;START_MA","XIMIZED=FALSE&amp;VAR:CALENDAR=US&amp;VAR:SYMBOL=N0098510&amp;VAR:INDEX=0"}</definedName>
    <definedName name="_5846__FDSAUDITLINK__" localSheetId="6" hidden="1">{"fdsup://directions/FAT Viewer?action=UPDATE&amp;creator=factset&amp;DYN_ARGS=TRUE&amp;DOC_NAME=FAT:FQL_AUDITING_CLIENT_TEMPLATE.FAT&amp;display_string=Audit&amp;VAR:KEY=XYBCVEPWJO&amp;VAR:QUERY=RkZfRUJJVERBX0lCKCdMVE1TJywzOTg2Nyk=&amp;WINDOW=FIRST_POPUP&amp;HEIGHT=450&amp;WIDTH=450&amp;START_MA","XIMIZED=FALSE&amp;VAR:CALENDAR=US&amp;VAR:SYMBOL=N0098510&amp;VAR:INDEX=0"}</definedName>
    <definedName name="_5846__FDSAUDITLINK__" hidden="1">{"fdsup://directions/FAT Viewer?action=UPDATE&amp;creator=factset&amp;DYN_ARGS=TRUE&amp;DOC_NAME=FAT:FQL_AUDITING_CLIENT_TEMPLATE.FAT&amp;display_string=Audit&amp;VAR:KEY=XYBCVEPWJO&amp;VAR:QUERY=RkZfRUJJVERBX0lCKCdMVE1TJywzOTg2Nyk=&amp;WINDOW=FIRST_POPUP&amp;HEIGHT=450&amp;WIDTH=450&amp;START_MA","XIMIZED=FALSE&amp;VAR:CALENDAR=US&amp;VAR:SYMBOL=N0098510&amp;VAR:INDEX=0"}</definedName>
    <definedName name="_5847__FDSAUDITLINK__" localSheetId="6" hidden="1">{"fdsup://directions/FAT Viewer?action=UPDATE&amp;creator=factset&amp;DYN_ARGS=TRUE&amp;DOC_NAME=FAT:FQL_AUDITING_CLIENT_TEMPLATE.FAT&amp;display_string=Audit&amp;VAR:KEY=ZQNCTITYHY&amp;VAR:QUERY=RkZfRUJJVERBX0lCKCdMVE1TJywzOTg2Nik=&amp;WINDOW=FIRST_POPUP&amp;HEIGHT=450&amp;WIDTH=450&amp;START_MA","XIMIZED=FALSE&amp;VAR:CALENDAR=US&amp;VAR:SYMBOL=N0098510&amp;VAR:INDEX=0"}</definedName>
    <definedName name="_5847__FDSAUDITLINK__" hidden="1">{"fdsup://directions/FAT Viewer?action=UPDATE&amp;creator=factset&amp;DYN_ARGS=TRUE&amp;DOC_NAME=FAT:FQL_AUDITING_CLIENT_TEMPLATE.FAT&amp;display_string=Audit&amp;VAR:KEY=ZQNCTITYHY&amp;VAR:QUERY=RkZfRUJJVERBX0lCKCdMVE1TJywzOTg2Nik=&amp;WINDOW=FIRST_POPUP&amp;HEIGHT=450&amp;WIDTH=450&amp;START_MA","XIMIZED=FALSE&amp;VAR:CALENDAR=US&amp;VAR:SYMBOL=N0098510&amp;VAR:INDEX=0"}</definedName>
    <definedName name="_5848__FDSAUDITLINK__" localSheetId="6" hidden="1">{"fdsup://directions/FAT Viewer?action=UPDATE&amp;creator=factset&amp;DYN_ARGS=TRUE&amp;DOC_NAME=FAT:FQL_AUDITING_CLIENT_TEMPLATE.FAT&amp;display_string=Audit&amp;VAR:KEY=HOJGXKXYTC&amp;VAR:QUERY=RkZfRUJJVERBX0lCKCdMVE1TJywzOTg2NSk=&amp;WINDOW=FIRST_POPUP&amp;HEIGHT=450&amp;WIDTH=450&amp;START_MA","XIMIZED=FALSE&amp;VAR:CALENDAR=US&amp;VAR:SYMBOL=N0098510&amp;VAR:INDEX=0"}</definedName>
    <definedName name="_5848__FDSAUDITLINK__" hidden="1">{"fdsup://directions/FAT Viewer?action=UPDATE&amp;creator=factset&amp;DYN_ARGS=TRUE&amp;DOC_NAME=FAT:FQL_AUDITING_CLIENT_TEMPLATE.FAT&amp;display_string=Audit&amp;VAR:KEY=HOJGXKXYTC&amp;VAR:QUERY=RkZfRUJJVERBX0lCKCdMVE1TJywzOTg2NSk=&amp;WINDOW=FIRST_POPUP&amp;HEIGHT=450&amp;WIDTH=450&amp;START_MA","XIMIZED=FALSE&amp;VAR:CALENDAR=US&amp;VAR:SYMBOL=N0098510&amp;VAR:INDEX=0"}</definedName>
    <definedName name="_5849__FDSAUDITLINK__" localSheetId="6" hidden="1">{"fdsup://directions/FAT Viewer?action=UPDATE&amp;creator=factset&amp;DYN_ARGS=TRUE&amp;DOC_NAME=FAT:FQL_AUDITING_CLIENT_TEMPLATE.FAT&amp;display_string=Audit&amp;VAR:KEY=VMBMHMNCHG&amp;VAR:QUERY=RkZfRUJJVERBX0lCKCdMVE1TJywzOTg2NCk=&amp;WINDOW=FIRST_POPUP&amp;HEIGHT=450&amp;WIDTH=450&amp;START_MA","XIMIZED=FALSE&amp;VAR:CALENDAR=US&amp;VAR:SYMBOL=N0098510&amp;VAR:INDEX=0"}</definedName>
    <definedName name="_5849__FDSAUDITLINK__" hidden="1">{"fdsup://directions/FAT Viewer?action=UPDATE&amp;creator=factset&amp;DYN_ARGS=TRUE&amp;DOC_NAME=FAT:FQL_AUDITING_CLIENT_TEMPLATE.FAT&amp;display_string=Audit&amp;VAR:KEY=VMBMHMNCHG&amp;VAR:QUERY=RkZfRUJJVERBX0lCKCdMVE1TJywzOTg2NCk=&amp;WINDOW=FIRST_POPUP&amp;HEIGHT=450&amp;WIDTH=450&amp;START_MA","XIMIZED=FALSE&amp;VAR:CALENDAR=US&amp;VAR:SYMBOL=N0098510&amp;VAR:INDEX=0"}</definedName>
    <definedName name="_585__FDSAUDITLINK__" localSheetId="6" hidden="1">{"fdsup://directions/FAT%20Viewer?VAR:PED=LTM&amp;VAR:AUDIT_MODE=SUMMARY&amp;VAR:PERIOD=FIXED&amp;VAR:AUDIT_ID=00000117&amp;VAR:DATE=20080716&amp;action=UPDATE&amp;creator=factset&amp;DOC_NAME=FAT:FMA_audit_SUMMARY.fat&amp;DISPLAY_STRING=Display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5__FDSAUDITLINK__" hidden="1">{"fdsup://directions/FAT%20Viewer?VAR:PED=LTM&amp;VAR:AUDIT_MODE=SUMMARY&amp;VAR:PERIOD=FIXED&amp;VAR:AUDIT_ID=00000117&amp;VAR:DATE=20080716&amp;action=UPDATE&amp;creator=factset&amp;DOC_NAME=FAT:FMA_audit_SUMMARY.fat&amp;DISPLAY_STRING=Display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50__FDSAUDITLINK__" localSheetId="6" hidden="1">{"fdsup://directions/FAT Viewer?action=UPDATE&amp;creator=factset&amp;DYN_ARGS=TRUE&amp;DOC_NAME=FAT:FQL_AUDITING_CLIENT_TEMPLATE.FAT&amp;display_string=Audit&amp;VAR:KEY=PEFUTSFSLK&amp;VAR:QUERY=RkZfRUJJVERBX0lCKCdMVE1TJywzOTg2Myk=&amp;WINDOW=FIRST_POPUP&amp;HEIGHT=450&amp;WIDTH=450&amp;START_MA","XIMIZED=FALSE&amp;VAR:CALENDAR=US&amp;VAR:SYMBOL=N0098510&amp;VAR:INDEX=0"}</definedName>
    <definedName name="_5850__FDSAUDITLINK__" hidden="1">{"fdsup://directions/FAT Viewer?action=UPDATE&amp;creator=factset&amp;DYN_ARGS=TRUE&amp;DOC_NAME=FAT:FQL_AUDITING_CLIENT_TEMPLATE.FAT&amp;display_string=Audit&amp;VAR:KEY=PEFUTSFSLK&amp;VAR:QUERY=RkZfRUJJVERBX0lCKCdMVE1TJywzOTg2Myk=&amp;WINDOW=FIRST_POPUP&amp;HEIGHT=450&amp;WIDTH=450&amp;START_MA","XIMIZED=FALSE&amp;VAR:CALENDAR=US&amp;VAR:SYMBOL=N0098510&amp;VAR:INDEX=0"}</definedName>
    <definedName name="_5851__FDSAUDITLINK__" localSheetId="6" hidden="1">{"fdsup://directions/FAT Viewer?action=UPDATE&amp;creator=factset&amp;DYN_ARGS=TRUE&amp;DOC_NAME=FAT:FQL_AUDITING_CLIENT_TEMPLATE.FAT&amp;display_string=Audit&amp;VAR:KEY=PGFMLOHYLA&amp;VAR:QUERY=RkZfRUJJVERBX0lCKCdMVE1TJywzOTg2Mik=&amp;WINDOW=FIRST_POPUP&amp;HEIGHT=450&amp;WIDTH=450&amp;START_MA","XIMIZED=FALSE&amp;VAR:CALENDAR=US&amp;VAR:SYMBOL=N0098510&amp;VAR:INDEX=0"}</definedName>
    <definedName name="_5851__FDSAUDITLINK__" hidden="1">{"fdsup://directions/FAT Viewer?action=UPDATE&amp;creator=factset&amp;DYN_ARGS=TRUE&amp;DOC_NAME=FAT:FQL_AUDITING_CLIENT_TEMPLATE.FAT&amp;display_string=Audit&amp;VAR:KEY=PGFMLOHYLA&amp;VAR:QUERY=RkZfRUJJVERBX0lCKCdMVE1TJywzOTg2Mik=&amp;WINDOW=FIRST_POPUP&amp;HEIGHT=450&amp;WIDTH=450&amp;START_MA","XIMIZED=FALSE&amp;VAR:CALENDAR=US&amp;VAR:SYMBOL=N0098510&amp;VAR:INDEX=0"}</definedName>
    <definedName name="_5852__FDSAUDITLINK__" localSheetId="6" hidden="1">{"fdsup://directions/FAT Viewer?action=UPDATE&amp;creator=factset&amp;DYN_ARGS=TRUE&amp;DOC_NAME=FAT:FQL_AUDITING_CLIENT_TEMPLATE.FAT&amp;display_string=Audit&amp;VAR:KEY=LAFEFGRWFG&amp;VAR:QUERY=RkZfRUJJVERBX0lCKCdMVE1TJywzOTg2MSk=&amp;WINDOW=FIRST_POPUP&amp;HEIGHT=450&amp;WIDTH=450&amp;START_MA","XIMIZED=FALSE&amp;VAR:CALENDAR=US&amp;VAR:SYMBOL=N0098510&amp;VAR:INDEX=0"}</definedName>
    <definedName name="_5852__FDSAUDITLINK__" hidden="1">{"fdsup://directions/FAT Viewer?action=UPDATE&amp;creator=factset&amp;DYN_ARGS=TRUE&amp;DOC_NAME=FAT:FQL_AUDITING_CLIENT_TEMPLATE.FAT&amp;display_string=Audit&amp;VAR:KEY=LAFEFGRWFG&amp;VAR:QUERY=RkZfRUJJVERBX0lCKCdMVE1TJywzOTg2MSk=&amp;WINDOW=FIRST_POPUP&amp;HEIGHT=450&amp;WIDTH=450&amp;START_MA","XIMIZED=FALSE&amp;VAR:CALENDAR=US&amp;VAR:SYMBOL=N0098510&amp;VAR:INDEX=0"}</definedName>
    <definedName name="_5853__FDSAUDITLINK__" localSheetId="6" hidden="1">{"fdsup://directions/FAT Viewer?action=UPDATE&amp;creator=factset&amp;DYN_ARGS=TRUE&amp;DOC_NAME=FAT:FQL_AUDITING_CLIENT_TEMPLATE.FAT&amp;display_string=Audit&amp;VAR:KEY=FSFMXONCLK&amp;VAR:QUERY=RkZfRUJJVERBX0lCKCdMVE1TJywzOTg2MCk=&amp;WINDOW=FIRST_POPUP&amp;HEIGHT=450&amp;WIDTH=450&amp;START_MA","XIMIZED=FALSE&amp;VAR:CALENDAR=US&amp;VAR:SYMBOL=N0098510&amp;VAR:INDEX=0"}</definedName>
    <definedName name="_5853__FDSAUDITLINK__" hidden="1">{"fdsup://directions/FAT Viewer?action=UPDATE&amp;creator=factset&amp;DYN_ARGS=TRUE&amp;DOC_NAME=FAT:FQL_AUDITING_CLIENT_TEMPLATE.FAT&amp;display_string=Audit&amp;VAR:KEY=FSFMXONCLK&amp;VAR:QUERY=RkZfRUJJVERBX0lCKCdMVE1TJywzOTg2MCk=&amp;WINDOW=FIRST_POPUP&amp;HEIGHT=450&amp;WIDTH=450&amp;START_MA","XIMIZED=FALSE&amp;VAR:CALENDAR=US&amp;VAR:SYMBOL=N0098510&amp;VAR:INDEX=0"}</definedName>
    <definedName name="_5854__FDSAUDITLINK__" localSheetId="6" hidden="1">{"fdsup://directions/FAT Viewer?action=UPDATE&amp;creator=factset&amp;DYN_ARGS=TRUE&amp;DOC_NAME=FAT:FQL_AUDITING_CLIENT_TEMPLATE.FAT&amp;display_string=Audit&amp;VAR:KEY=TIVUFGNIFA&amp;VAR:QUERY=RkZfRUJJVERBX0lCKCdMVE1TJywzOTg1OSk=&amp;WINDOW=FIRST_POPUP&amp;HEIGHT=450&amp;WIDTH=450&amp;START_MA","XIMIZED=FALSE&amp;VAR:CALENDAR=US&amp;VAR:SYMBOL=N0098510&amp;VAR:INDEX=0"}</definedName>
    <definedName name="_5854__FDSAUDITLINK__" hidden="1">{"fdsup://directions/FAT Viewer?action=UPDATE&amp;creator=factset&amp;DYN_ARGS=TRUE&amp;DOC_NAME=FAT:FQL_AUDITING_CLIENT_TEMPLATE.FAT&amp;display_string=Audit&amp;VAR:KEY=TIVUFGNIFA&amp;VAR:QUERY=RkZfRUJJVERBX0lCKCdMVE1TJywzOTg1OSk=&amp;WINDOW=FIRST_POPUP&amp;HEIGHT=450&amp;WIDTH=450&amp;START_MA","XIMIZED=FALSE&amp;VAR:CALENDAR=US&amp;VAR:SYMBOL=N0098510&amp;VAR:INDEX=0"}</definedName>
    <definedName name="_5855__FDSAUDITLINK__" localSheetId="6" hidden="1">{"fdsup://directions/FAT Viewer?action=UPDATE&amp;creator=factset&amp;DYN_ARGS=TRUE&amp;DOC_NAME=FAT:FQL_AUDITING_CLIENT_TEMPLATE.FAT&amp;display_string=Audit&amp;VAR:KEY=NKPCDGFWVY&amp;VAR:QUERY=RkZfRUJJVERBX0lCKCdMVE1TJywzOTg1OCk=&amp;WINDOW=FIRST_POPUP&amp;HEIGHT=450&amp;WIDTH=450&amp;START_MA","XIMIZED=FALSE&amp;VAR:CALENDAR=US&amp;VAR:SYMBOL=N0098510&amp;VAR:INDEX=0"}</definedName>
    <definedName name="_5855__FDSAUDITLINK__" hidden="1">{"fdsup://directions/FAT Viewer?action=UPDATE&amp;creator=factset&amp;DYN_ARGS=TRUE&amp;DOC_NAME=FAT:FQL_AUDITING_CLIENT_TEMPLATE.FAT&amp;display_string=Audit&amp;VAR:KEY=NKPCDGFWVY&amp;VAR:QUERY=RkZfRUJJVERBX0lCKCdMVE1TJywzOTg1OCk=&amp;WINDOW=FIRST_POPUP&amp;HEIGHT=450&amp;WIDTH=450&amp;START_MA","XIMIZED=FALSE&amp;VAR:CALENDAR=US&amp;VAR:SYMBOL=N0098510&amp;VAR:INDEX=0"}</definedName>
    <definedName name="_5856__FDSAUDITLINK__" localSheetId="6" hidden="1">{"fdsup://directions/FAT Viewer?action=UPDATE&amp;creator=factset&amp;DYN_ARGS=TRUE&amp;DOC_NAME=FAT:FQL_AUDITING_CLIENT_TEMPLATE.FAT&amp;display_string=Audit&amp;VAR:KEY=RYDABOLOXE&amp;VAR:QUERY=RkZfRUJJVERBX0lCKCdMVE1TJywzOTg1Nyk=&amp;WINDOW=FIRST_POPUP&amp;HEIGHT=450&amp;WIDTH=450&amp;START_MA","XIMIZED=FALSE&amp;VAR:CALENDAR=US&amp;VAR:SYMBOL=N0098510&amp;VAR:INDEX=0"}</definedName>
    <definedName name="_5856__FDSAUDITLINK__" hidden="1">{"fdsup://directions/FAT Viewer?action=UPDATE&amp;creator=factset&amp;DYN_ARGS=TRUE&amp;DOC_NAME=FAT:FQL_AUDITING_CLIENT_TEMPLATE.FAT&amp;display_string=Audit&amp;VAR:KEY=RYDABOLOXE&amp;VAR:QUERY=RkZfRUJJVERBX0lCKCdMVE1TJywzOTg1Nyk=&amp;WINDOW=FIRST_POPUP&amp;HEIGHT=450&amp;WIDTH=450&amp;START_MA","XIMIZED=FALSE&amp;VAR:CALENDAR=US&amp;VAR:SYMBOL=N0098510&amp;VAR:INDEX=0"}</definedName>
    <definedName name="_5857__FDSAUDITLINK__" localSheetId="6" hidden="1">{"fdsup://directions/FAT Viewer?action=UPDATE&amp;creator=factset&amp;DYN_ARGS=TRUE&amp;DOC_NAME=FAT:FQL_AUDITING_CLIENT_TEMPLATE.FAT&amp;display_string=Audit&amp;VAR:KEY=TMDELQTIFU&amp;VAR:QUERY=RkZfRUJJVERBX0lCKCdMVE1TJywzOTg1Nik=&amp;WINDOW=FIRST_POPUP&amp;HEIGHT=450&amp;WIDTH=450&amp;START_MA","XIMIZED=FALSE&amp;VAR:CALENDAR=US&amp;VAR:SYMBOL=N0098510&amp;VAR:INDEX=0"}</definedName>
    <definedName name="_5857__FDSAUDITLINK__" hidden="1">{"fdsup://directions/FAT Viewer?action=UPDATE&amp;creator=factset&amp;DYN_ARGS=TRUE&amp;DOC_NAME=FAT:FQL_AUDITING_CLIENT_TEMPLATE.FAT&amp;display_string=Audit&amp;VAR:KEY=TMDELQTIFU&amp;VAR:QUERY=RkZfRUJJVERBX0lCKCdMVE1TJywzOTg1Nik=&amp;WINDOW=FIRST_POPUP&amp;HEIGHT=450&amp;WIDTH=450&amp;START_MA","XIMIZED=FALSE&amp;VAR:CALENDAR=US&amp;VAR:SYMBOL=N0098510&amp;VAR:INDEX=0"}</definedName>
    <definedName name="_5858__FDSAUDITLINK__" localSheetId="6" hidden="1">{"fdsup://directions/FAT Viewer?action=UPDATE&amp;creator=factset&amp;DYN_ARGS=TRUE&amp;DOC_NAME=FAT:FQL_AUDITING_CLIENT_TEMPLATE.FAT&amp;display_string=Audit&amp;VAR:KEY=XKTKZMRWZK&amp;VAR:QUERY=RkZfRUJJVERBX0lCKCdMVE1TJywzOTg1NSk=&amp;WINDOW=FIRST_POPUP&amp;HEIGHT=450&amp;WIDTH=450&amp;START_MA","XIMIZED=FALSE&amp;VAR:CALENDAR=US&amp;VAR:SYMBOL=N0098510&amp;VAR:INDEX=0"}</definedName>
    <definedName name="_5858__FDSAUDITLINK__" hidden="1">{"fdsup://directions/FAT Viewer?action=UPDATE&amp;creator=factset&amp;DYN_ARGS=TRUE&amp;DOC_NAME=FAT:FQL_AUDITING_CLIENT_TEMPLATE.FAT&amp;display_string=Audit&amp;VAR:KEY=XKTKZMRWZK&amp;VAR:QUERY=RkZfRUJJVERBX0lCKCdMVE1TJywzOTg1NSk=&amp;WINDOW=FIRST_POPUP&amp;HEIGHT=450&amp;WIDTH=450&amp;START_MA","XIMIZED=FALSE&amp;VAR:CALENDAR=US&amp;VAR:SYMBOL=N0098510&amp;VAR:INDEX=0"}</definedName>
    <definedName name="_5859__FDSAUDITLINK__" localSheetId="6" hidden="1">{"fdsup://directions/FAT Viewer?action=UPDATE&amp;creator=factset&amp;DYN_ARGS=TRUE&amp;DOC_NAME=FAT:FQL_AUDITING_CLIENT_TEMPLATE.FAT&amp;display_string=Audit&amp;VAR:KEY=PQNYHYNGFO&amp;VAR:QUERY=RkZfRUJJVERBX0lCKCdMVE1TJywzOTg1NCk=&amp;WINDOW=FIRST_POPUP&amp;HEIGHT=450&amp;WIDTH=450&amp;START_MA","XIMIZED=FALSE&amp;VAR:CALENDAR=US&amp;VAR:SYMBOL=N0098510&amp;VAR:INDEX=0"}</definedName>
    <definedName name="_5859__FDSAUDITLINK__" hidden="1">{"fdsup://directions/FAT Viewer?action=UPDATE&amp;creator=factset&amp;DYN_ARGS=TRUE&amp;DOC_NAME=FAT:FQL_AUDITING_CLIENT_TEMPLATE.FAT&amp;display_string=Audit&amp;VAR:KEY=PQNYHYNGFO&amp;VAR:QUERY=RkZfRUJJVERBX0lCKCdMVE1TJywzOTg1NCk=&amp;WINDOW=FIRST_POPUP&amp;HEIGHT=450&amp;WIDTH=450&amp;START_MA","XIMIZED=FALSE&amp;VAR:CALENDAR=US&amp;VAR:SYMBOL=N0098510&amp;VAR:INDEX=0"}</definedName>
    <definedName name="_586__FDSAUDITLINK__" localSheetId="6" hidden="1">{"fdsup://directions/FAT%20Viewer?VAR:PED=LTM&amp;VAR:AUDIT_MODE=SUMMARY&amp;VAR:PERIOD=FIXED&amp;VAR:AUDIT_ID=00000117&amp;VAR:DATE=20080715&amp;action=UPDATE&amp;creator=factset&amp;DOC_NAME=FAT:FMA_audit_SUMMARY.fat&amp;DISPLAY_STRING=Display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6__FDSAUDITLINK__" hidden="1">{"fdsup://directions/FAT%20Viewer?VAR:PED=LTM&amp;VAR:AUDIT_MODE=SUMMARY&amp;VAR:PERIOD=FIXED&amp;VAR:AUDIT_ID=00000117&amp;VAR:DATE=20080715&amp;action=UPDATE&amp;creator=factset&amp;DOC_NAME=FAT:FMA_audit_SUMMARY.fat&amp;DISPLAY_STRING=Display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60__FDSAUDITLINK__" localSheetId="6" hidden="1">{"fdsup://directions/FAT Viewer?action=UPDATE&amp;creator=factset&amp;DYN_ARGS=TRUE&amp;DOC_NAME=FAT:FQL_AUDITING_CLIENT_TEMPLATE.FAT&amp;display_string=Audit&amp;VAR:KEY=JENURARIXA&amp;VAR:QUERY=RkZfRUJJVERBX0lCKCdMVE1TJywzOTg1Myk=&amp;WINDOW=FIRST_POPUP&amp;HEIGHT=450&amp;WIDTH=450&amp;START_MA","XIMIZED=FALSE&amp;VAR:CALENDAR=US&amp;VAR:SYMBOL=N0098510&amp;VAR:INDEX=0"}</definedName>
    <definedName name="_5860__FDSAUDITLINK__" hidden="1">{"fdsup://directions/FAT Viewer?action=UPDATE&amp;creator=factset&amp;DYN_ARGS=TRUE&amp;DOC_NAME=FAT:FQL_AUDITING_CLIENT_TEMPLATE.FAT&amp;display_string=Audit&amp;VAR:KEY=JENURARIXA&amp;VAR:QUERY=RkZfRUJJVERBX0lCKCdMVE1TJywzOTg1Myk=&amp;WINDOW=FIRST_POPUP&amp;HEIGHT=450&amp;WIDTH=450&amp;START_MA","XIMIZED=FALSE&amp;VAR:CALENDAR=US&amp;VAR:SYMBOL=N0098510&amp;VAR:INDEX=0"}</definedName>
    <definedName name="_5861__FDSAUDITLINK__" localSheetId="6" hidden="1">{"fdsup://directions/FAT Viewer?action=UPDATE&amp;creator=factset&amp;DYN_ARGS=TRUE&amp;DOC_NAME=FAT:FQL_AUDITING_CLIENT_TEMPLATE.FAT&amp;display_string=Audit&amp;VAR:KEY=NYBWVIXEVC&amp;VAR:QUERY=RkZfRUJJVERBX0lCKCdMVE1TJywzOTg1Mik=&amp;WINDOW=FIRST_POPUP&amp;HEIGHT=450&amp;WIDTH=450&amp;START_MA","XIMIZED=FALSE&amp;VAR:CALENDAR=US&amp;VAR:SYMBOL=N0098510&amp;VAR:INDEX=0"}</definedName>
    <definedName name="_5861__FDSAUDITLINK__" hidden="1">{"fdsup://directions/FAT Viewer?action=UPDATE&amp;creator=factset&amp;DYN_ARGS=TRUE&amp;DOC_NAME=FAT:FQL_AUDITING_CLIENT_TEMPLATE.FAT&amp;display_string=Audit&amp;VAR:KEY=NYBWVIXEVC&amp;VAR:QUERY=RkZfRUJJVERBX0lCKCdMVE1TJywzOTg1Mik=&amp;WINDOW=FIRST_POPUP&amp;HEIGHT=450&amp;WIDTH=450&amp;START_MA","XIMIZED=FALSE&amp;VAR:CALENDAR=US&amp;VAR:SYMBOL=N0098510&amp;VAR:INDEX=0"}</definedName>
    <definedName name="_5862__FDSAUDITLINK__" localSheetId="6" hidden="1">{"fdsup://directions/FAT Viewer?action=UPDATE&amp;creator=factset&amp;DYN_ARGS=TRUE&amp;DOC_NAME=FAT:FQL_AUDITING_CLIENT_TEMPLATE.FAT&amp;display_string=Audit&amp;VAR:KEY=VQZUJEPSJU&amp;VAR:QUERY=RkZfRUJJVERBX0lCKCdMVE1TJywzOTg1MSk=&amp;WINDOW=FIRST_POPUP&amp;HEIGHT=450&amp;WIDTH=450&amp;START_MA","XIMIZED=FALSE&amp;VAR:CALENDAR=US&amp;VAR:SYMBOL=N0098510&amp;VAR:INDEX=0"}</definedName>
    <definedName name="_5862__FDSAUDITLINK__" hidden="1">{"fdsup://directions/FAT Viewer?action=UPDATE&amp;creator=factset&amp;DYN_ARGS=TRUE&amp;DOC_NAME=FAT:FQL_AUDITING_CLIENT_TEMPLATE.FAT&amp;display_string=Audit&amp;VAR:KEY=VQZUJEPSJU&amp;VAR:QUERY=RkZfRUJJVERBX0lCKCdMVE1TJywzOTg1MSk=&amp;WINDOW=FIRST_POPUP&amp;HEIGHT=450&amp;WIDTH=450&amp;START_MA","XIMIZED=FALSE&amp;VAR:CALENDAR=US&amp;VAR:SYMBOL=N0098510&amp;VAR:INDEX=0"}</definedName>
    <definedName name="_5863__FDSAUDITLINK__" localSheetId="6" hidden="1">{"fdsup://directions/FAT Viewer?action=UPDATE&amp;creator=factset&amp;DYN_ARGS=TRUE&amp;DOC_NAME=FAT:FQL_AUDITING_CLIENT_TEMPLATE.FAT&amp;display_string=Audit&amp;VAR:KEY=TIFYTQNCNK&amp;VAR:QUERY=RkZfRUJJVERBX0lCKCdMVE1TJywzOTg1MCk=&amp;WINDOW=FIRST_POPUP&amp;HEIGHT=450&amp;WIDTH=450&amp;START_MA","XIMIZED=FALSE&amp;VAR:CALENDAR=US&amp;VAR:SYMBOL=N0098510&amp;VAR:INDEX=0"}</definedName>
    <definedName name="_5863__FDSAUDITLINK__" hidden="1">{"fdsup://directions/FAT Viewer?action=UPDATE&amp;creator=factset&amp;DYN_ARGS=TRUE&amp;DOC_NAME=FAT:FQL_AUDITING_CLIENT_TEMPLATE.FAT&amp;display_string=Audit&amp;VAR:KEY=TIFYTQNCNK&amp;VAR:QUERY=RkZfRUJJVERBX0lCKCdMVE1TJywzOTg1MCk=&amp;WINDOW=FIRST_POPUP&amp;HEIGHT=450&amp;WIDTH=450&amp;START_MA","XIMIZED=FALSE&amp;VAR:CALENDAR=US&amp;VAR:SYMBOL=N0098510&amp;VAR:INDEX=0"}</definedName>
    <definedName name="_5864__FDSAUDITLINK__" localSheetId="6" hidden="1">{"fdsup://directions/FAT Viewer?action=UPDATE&amp;creator=factset&amp;DYN_ARGS=TRUE&amp;DOC_NAME=FAT:FQL_AUDITING_CLIENT_TEMPLATE.FAT&amp;display_string=Audit&amp;VAR:KEY=NWZADQFWPE&amp;VAR:QUERY=RkZfRUJJVERBX0lCKCdMVE1TJywzOTg0OSk=&amp;WINDOW=FIRST_POPUP&amp;HEIGHT=450&amp;WIDTH=450&amp;START_MA","XIMIZED=FALSE&amp;VAR:CALENDAR=US&amp;VAR:SYMBOL=N0098510&amp;VAR:INDEX=0"}</definedName>
    <definedName name="_5864__FDSAUDITLINK__" hidden="1">{"fdsup://directions/FAT Viewer?action=UPDATE&amp;creator=factset&amp;DYN_ARGS=TRUE&amp;DOC_NAME=FAT:FQL_AUDITING_CLIENT_TEMPLATE.FAT&amp;display_string=Audit&amp;VAR:KEY=NWZADQFWPE&amp;VAR:QUERY=RkZfRUJJVERBX0lCKCdMVE1TJywzOTg0OSk=&amp;WINDOW=FIRST_POPUP&amp;HEIGHT=450&amp;WIDTH=450&amp;START_MA","XIMIZED=FALSE&amp;VAR:CALENDAR=US&amp;VAR:SYMBOL=N0098510&amp;VAR:INDEX=0"}</definedName>
    <definedName name="_5865__FDSAUDITLINK__" localSheetId="6" hidden="1">{"fdsup://directions/FAT Viewer?action=UPDATE&amp;creator=factset&amp;DYN_ARGS=TRUE&amp;DOC_NAME=FAT:FQL_AUDITING_CLIENT_TEMPLATE.FAT&amp;display_string=Audit&amp;VAR:KEY=PGNEFKXATQ&amp;VAR:QUERY=RkZfRUJJVERBX0lCKCdMVE1TJywzOTg0OCk=&amp;WINDOW=FIRST_POPUP&amp;HEIGHT=450&amp;WIDTH=450&amp;START_MA","XIMIZED=FALSE&amp;VAR:CALENDAR=US&amp;VAR:SYMBOL=N0098510&amp;VAR:INDEX=0"}</definedName>
    <definedName name="_5865__FDSAUDITLINK__" hidden="1">{"fdsup://directions/FAT Viewer?action=UPDATE&amp;creator=factset&amp;DYN_ARGS=TRUE&amp;DOC_NAME=FAT:FQL_AUDITING_CLIENT_TEMPLATE.FAT&amp;display_string=Audit&amp;VAR:KEY=PGNEFKXATQ&amp;VAR:QUERY=RkZfRUJJVERBX0lCKCdMVE1TJywzOTg0OCk=&amp;WINDOW=FIRST_POPUP&amp;HEIGHT=450&amp;WIDTH=450&amp;START_MA","XIMIZED=FALSE&amp;VAR:CALENDAR=US&amp;VAR:SYMBOL=N0098510&amp;VAR:INDEX=0"}</definedName>
    <definedName name="_5866__FDSAUDITLINK__" localSheetId="6" hidden="1">{"fdsup://directions/FAT Viewer?action=UPDATE&amp;creator=factset&amp;DYN_ARGS=TRUE&amp;DOC_NAME=FAT:FQL_AUDITING_CLIENT_TEMPLATE.FAT&amp;display_string=Audit&amp;VAR:KEY=FQTODQDMFS&amp;VAR:QUERY=RkZfRUJJVERBX0lCKCdMVE1TJywzOTg0Nyk=&amp;WINDOW=FIRST_POPUP&amp;HEIGHT=450&amp;WIDTH=450&amp;START_MA","XIMIZED=FALSE&amp;VAR:CALENDAR=US&amp;VAR:SYMBOL=N0098510&amp;VAR:INDEX=0"}</definedName>
    <definedName name="_5866__FDSAUDITLINK__" hidden="1">{"fdsup://directions/FAT Viewer?action=UPDATE&amp;creator=factset&amp;DYN_ARGS=TRUE&amp;DOC_NAME=FAT:FQL_AUDITING_CLIENT_TEMPLATE.FAT&amp;display_string=Audit&amp;VAR:KEY=FQTODQDMFS&amp;VAR:QUERY=RkZfRUJJVERBX0lCKCdMVE1TJywzOTg0Nyk=&amp;WINDOW=FIRST_POPUP&amp;HEIGHT=450&amp;WIDTH=450&amp;START_MA","XIMIZED=FALSE&amp;VAR:CALENDAR=US&amp;VAR:SYMBOL=N0098510&amp;VAR:INDEX=0"}</definedName>
    <definedName name="_5867__FDSAUDITLINK__" localSheetId="6" hidden="1">{"fdsup://directions/FAT Viewer?action=UPDATE&amp;creator=factset&amp;DYN_ARGS=TRUE&amp;DOC_NAME=FAT:FQL_AUDITING_CLIENT_TEMPLATE.FAT&amp;display_string=Audit&amp;VAR:KEY=ZCNGXQNWPA&amp;VAR:QUERY=RkZfRUJJVERBX0lCKCdMVE1TJywzOTg0Nik=&amp;WINDOW=FIRST_POPUP&amp;HEIGHT=450&amp;WIDTH=450&amp;START_MA","XIMIZED=FALSE&amp;VAR:CALENDAR=US&amp;VAR:SYMBOL=N0098510&amp;VAR:INDEX=0"}</definedName>
    <definedName name="_5867__FDSAUDITLINK__" hidden="1">{"fdsup://directions/FAT Viewer?action=UPDATE&amp;creator=factset&amp;DYN_ARGS=TRUE&amp;DOC_NAME=FAT:FQL_AUDITING_CLIENT_TEMPLATE.FAT&amp;display_string=Audit&amp;VAR:KEY=ZCNGXQNWPA&amp;VAR:QUERY=RkZfRUJJVERBX0lCKCdMVE1TJywzOTg0Nik=&amp;WINDOW=FIRST_POPUP&amp;HEIGHT=450&amp;WIDTH=450&amp;START_MA","XIMIZED=FALSE&amp;VAR:CALENDAR=US&amp;VAR:SYMBOL=N0098510&amp;VAR:INDEX=0"}</definedName>
    <definedName name="_5868__FDSAUDITLINK__" localSheetId="6" hidden="1">{"fdsup://directions/FAT Viewer?action=UPDATE&amp;creator=factset&amp;DYN_ARGS=TRUE&amp;DOC_NAME=FAT:FQL_AUDITING_CLIENT_TEMPLATE.FAT&amp;display_string=Audit&amp;VAR:KEY=JADEFKDSTY&amp;VAR:QUERY=RkZfRUJJVERBX0lCKCdMVE1TJywzOTg0NSk=&amp;WINDOW=FIRST_POPUP&amp;HEIGHT=450&amp;WIDTH=450&amp;START_MA","XIMIZED=FALSE&amp;VAR:CALENDAR=US&amp;VAR:SYMBOL=N0098510&amp;VAR:INDEX=0"}</definedName>
    <definedName name="_5868__FDSAUDITLINK__" hidden="1">{"fdsup://directions/FAT Viewer?action=UPDATE&amp;creator=factset&amp;DYN_ARGS=TRUE&amp;DOC_NAME=FAT:FQL_AUDITING_CLIENT_TEMPLATE.FAT&amp;display_string=Audit&amp;VAR:KEY=JADEFKDSTY&amp;VAR:QUERY=RkZfRUJJVERBX0lCKCdMVE1TJywzOTg0NSk=&amp;WINDOW=FIRST_POPUP&amp;HEIGHT=450&amp;WIDTH=450&amp;START_MA","XIMIZED=FALSE&amp;VAR:CALENDAR=US&amp;VAR:SYMBOL=N0098510&amp;VAR:INDEX=0"}</definedName>
    <definedName name="_5869__FDSAUDITLINK__" localSheetId="6" hidden="1">{"fdsup://directions/FAT Viewer?action=UPDATE&amp;creator=factset&amp;DYN_ARGS=TRUE&amp;DOC_NAME=FAT:FQL_AUDITING_CLIENT_TEMPLATE.FAT&amp;display_string=Audit&amp;VAR:KEY=JENUXKZERE&amp;VAR:QUERY=RkZfRUJJVERBX0lCKCdMVE1TJywzOTg0NCk=&amp;WINDOW=FIRST_POPUP&amp;HEIGHT=450&amp;WIDTH=450&amp;START_MA","XIMIZED=FALSE&amp;VAR:CALENDAR=US&amp;VAR:SYMBOL=N0098510&amp;VAR:INDEX=0"}</definedName>
    <definedName name="_5869__FDSAUDITLINK__" hidden="1">{"fdsup://directions/FAT Viewer?action=UPDATE&amp;creator=factset&amp;DYN_ARGS=TRUE&amp;DOC_NAME=FAT:FQL_AUDITING_CLIENT_TEMPLATE.FAT&amp;display_string=Audit&amp;VAR:KEY=JENUXKZERE&amp;VAR:QUERY=RkZfRUJJVERBX0lCKCdMVE1TJywzOTg0NCk=&amp;WINDOW=FIRST_POPUP&amp;HEIGHT=450&amp;WIDTH=450&amp;START_MA","XIMIZED=FALSE&amp;VAR:CALENDAR=US&amp;VAR:SYMBOL=N0098510&amp;VAR:INDEX=0"}</definedName>
    <definedName name="_587__FDSAUDITLINK__" localSheetId="6" hidden="1">{"fdsup://directions/FAT%20Viewer?VAR:PED=LTM&amp;VAR:AUDIT_MODE=SUMMARY&amp;VAR:PERIOD=FIXED&amp;VAR:AUDIT_ID=00000117&amp;VAR:DATE=20080714&amp;action=UPDATE&amp;creator=factset&amp;DOC_NAME=FAT:FMA_audit_SUMMARY.fat&amp;DISPLAY_STRING=Display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7__FDSAUDITLINK__" hidden="1">{"fdsup://directions/FAT%20Viewer?VAR:PED=LTM&amp;VAR:AUDIT_MODE=SUMMARY&amp;VAR:PERIOD=FIXED&amp;VAR:AUDIT_ID=00000117&amp;VAR:DATE=20080714&amp;action=UPDATE&amp;creator=factset&amp;DOC_NAME=FAT:FMA_audit_SUMMARY.fat&amp;DISPLAY_STRING=Display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70__FDSAUDITLINK__" localSheetId="6" hidden="1">{"fdsup://directions/FAT Viewer?action=UPDATE&amp;creator=factset&amp;DYN_ARGS=TRUE&amp;DOC_NAME=FAT:FQL_AUDITING_CLIENT_TEMPLATE.FAT&amp;display_string=Audit&amp;VAR:KEY=XOZEDIVYRE&amp;VAR:QUERY=RkZfRUJJVERBX0lCKCdMVE1TJywzOTg0Myk=&amp;WINDOW=FIRST_POPUP&amp;HEIGHT=450&amp;WIDTH=450&amp;START_MA","XIMIZED=FALSE&amp;VAR:CALENDAR=US&amp;VAR:SYMBOL=N0098510&amp;VAR:INDEX=0"}</definedName>
    <definedName name="_5870__FDSAUDITLINK__" hidden="1">{"fdsup://directions/FAT Viewer?action=UPDATE&amp;creator=factset&amp;DYN_ARGS=TRUE&amp;DOC_NAME=FAT:FQL_AUDITING_CLIENT_TEMPLATE.FAT&amp;display_string=Audit&amp;VAR:KEY=XOZEDIVYRE&amp;VAR:QUERY=RkZfRUJJVERBX0lCKCdMVE1TJywzOTg0Myk=&amp;WINDOW=FIRST_POPUP&amp;HEIGHT=450&amp;WIDTH=450&amp;START_MA","XIMIZED=FALSE&amp;VAR:CALENDAR=US&amp;VAR:SYMBOL=N0098510&amp;VAR:INDEX=0"}</definedName>
    <definedName name="_5871__FDSAUDITLINK__" localSheetId="6" hidden="1">{"fdsup://directions/FAT Viewer?action=UPDATE&amp;creator=factset&amp;DYN_ARGS=TRUE&amp;DOC_NAME=FAT:FQL_AUDITING_CLIENT_TEMPLATE.FAT&amp;display_string=Audit&amp;VAR:KEY=RCZIPCRKVK&amp;VAR:QUERY=RkZfRUJJVERBX0lCKCdMVE1TJywzOTg0Mik=&amp;WINDOW=FIRST_POPUP&amp;HEIGHT=450&amp;WIDTH=450&amp;START_MA","XIMIZED=FALSE&amp;VAR:CALENDAR=US&amp;VAR:SYMBOL=N0098510&amp;VAR:INDEX=0"}</definedName>
    <definedName name="_5871__FDSAUDITLINK__" hidden="1">{"fdsup://directions/FAT Viewer?action=UPDATE&amp;creator=factset&amp;DYN_ARGS=TRUE&amp;DOC_NAME=FAT:FQL_AUDITING_CLIENT_TEMPLATE.FAT&amp;display_string=Audit&amp;VAR:KEY=RCZIPCRKVK&amp;VAR:QUERY=RkZfRUJJVERBX0lCKCdMVE1TJywzOTg0Mik=&amp;WINDOW=FIRST_POPUP&amp;HEIGHT=450&amp;WIDTH=450&amp;START_MA","XIMIZED=FALSE&amp;VAR:CALENDAR=US&amp;VAR:SYMBOL=N0098510&amp;VAR:INDEX=0"}</definedName>
    <definedName name="_5872__FDSAUDITLINK__" localSheetId="6" hidden="1">{"fdsup://directions/FAT Viewer?action=UPDATE&amp;creator=factset&amp;DYN_ARGS=TRUE&amp;DOC_NAME=FAT:FQL_AUDITING_CLIENT_TEMPLATE.FAT&amp;display_string=Audit&amp;VAR:KEY=JCPKJOFITK&amp;VAR:QUERY=RkZfRUJJVERBX0lCKCdMVE1TJywzOTg0MSk=&amp;WINDOW=FIRST_POPUP&amp;HEIGHT=450&amp;WIDTH=450&amp;START_MA","XIMIZED=FALSE&amp;VAR:CALENDAR=US&amp;VAR:SYMBOL=N0098510&amp;VAR:INDEX=0"}</definedName>
    <definedName name="_5872__FDSAUDITLINK__" hidden="1">{"fdsup://directions/FAT Viewer?action=UPDATE&amp;creator=factset&amp;DYN_ARGS=TRUE&amp;DOC_NAME=FAT:FQL_AUDITING_CLIENT_TEMPLATE.FAT&amp;display_string=Audit&amp;VAR:KEY=JCPKJOFITK&amp;VAR:QUERY=RkZfRUJJVERBX0lCKCdMVE1TJywzOTg0MSk=&amp;WINDOW=FIRST_POPUP&amp;HEIGHT=450&amp;WIDTH=450&amp;START_MA","XIMIZED=FALSE&amp;VAR:CALENDAR=US&amp;VAR:SYMBOL=N0098510&amp;VAR:INDEX=0"}</definedName>
    <definedName name="_5873__FDSAUDITLINK__" localSheetId="6" hidden="1">{"fdsup://directions/FAT Viewer?action=UPDATE&amp;creator=factset&amp;DYN_ARGS=TRUE&amp;DOC_NAME=FAT:FQL_AUDITING_CLIENT_TEMPLATE.FAT&amp;display_string=Audit&amp;VAR:KEY=BIFSPIBUJW&amp;VAR:QUERY=RkZfRUJJVERBX0lCKCdMVE1TJywzOTg0MCk=&amp;WINDOW=FIRST_POPUP&amp;HEIGHT=450&amp;WIDTH=450&amp;START_MA","XIMIZED=FALSE&amp;VAR:CALENDAR=US&amp;VAR:SYMBOL=N0098510&amp;VAR:INDEX=0"}</definedName>
    <definedName name="_5873__FDSAUDITLINK__" hidden="1">{"fdsup://directions/FAT Viewer?action=UPDATE&amp;creator=factset&amp;DYN_ARGS=TRUE&amp;DOC_NAME=FAT:FQL_AUDITING_CLIENT_TEMPLATE.FAT&amp;display_string=Audit&amp;VAR:KEY=BIFSPIBUJW&amp;VAR:QUERY=RkZfRUJJVERBX0lCKCdMVE1TJywzOTg0MCk=&amp;WINDOW=FIRST_POPUP&amp;HEIGHT=450&amp;WIDTH=450&amp;START_MA","XIMIZED=FALSE&amp;VAR:CALENDAR=US&amp;VAR:SYMBOL=N0098510&amp;VAR:INDEX=0"}</definedName>
    <definedName name="_5874__FDSAUDITLINK__" localSheetId="6" hidden="1">{"fdsup://directions/FAT Viewer?action=UPDATE&amp;creator=factset&amp;DYN_ARGS=TRUE&amp;DOC_NAME=FAT:FQL_AUDITING_CLIENT_TEMPLATE.FAT&amp;display_string=Audit&amp;VAR:KEY=XMHCZYFQVS&amp;VAR:QUERY=RkZfRUJJVERBX0lCKCdMVE1TJywzOTgzOSk=&amp;WINDOW=FIRST_POPUP&amp;HEIGHT=450&amp;WIDTH=450&amp;START_MA","XIMIZED=FALSE&amp;VAR:CALENDAR=US&amp;VAR:SYMBOL=N0098510&amp;VAR:INDEX=0"}</definedName>
    <definedName name="_5874__FDSAUDITLINK__" hidden="1">{"fdsup://directions/FAT Viewer?action=UPDATE&amp;creator=factset&amp;DYN_ARGS=TRUE&amp;DOC_NAME=FAT:FQL_AUDITING_CLIENT_TEMPLATE.FAT&amp;display_string=Audit&amp;VAR:KEY=XMHCZYFQVS&amp;VAR:QUERY=RkZfRUJJVERBX0lCKCdMVE1TJywzOTgzOSk=&amp;WINDOW=FIRST_POPUP&amp;HEIGHT=450&amp;WIDTH=450&amp;START_MA","XIMIZED=FALSE&amp;VAR:CALENDAR=US&amp;VAR:SYMBOL=N0098510&amp;VAR:INDEX=0"}</definedName>
    <definedName name="_5875__FDSAUDITLINK__" localSheetId="6" hidden="1">{"fdsup://directions/FAT Viewer?action=UPDATE&amp;creator=factset&amp;DYN_ARGS=TRUE&amp;DOC_NAME=FAT:FQL_AUDITING_CLIENT_TEMPLATE.FAT&amp;display_string=Audit&amp;VAR:KEY=XKFUVCTULQ&amp;VAR:QUERY=RkZfRUJJVERBX0lCKCdMVE1TJywzOTgzOCk=&amp;WINDOW=FIRST_POPUP&amp;HEIGHT=450&amp;WIDTH=450&amp;START_MA","XIMIZED=FALSE&amp;VAR:CALENDAR=US&amp;VAR:SYMBOL=N0098510&amp;VAR:INDEX=0"}</definedName>
    <definedName name="_5875__FDSAUDITLINK__" hidden="1">{"fdsup://directions/FAT Viewer?action=UPDATE&amp;creator=factset&amp;DYN_ARGS=TRUE&amp;DOC_NAME=FAT:FQL_AUDITING_CLIENT_TEMPLATE.FAT&amp;display_string=Audit&amp;VAR:KEY=XKFUVCTULQ&amp;VAR:QUERY=RkZfRUJJVERBX0lCKCdMVE1TJywzOTgzOCk=&amp;WINDOW=FIRST_POPUP&amp;HEIGHT=450&amp;WIDTH=450&amp;START_MA","XIMIZED=FALSE&amp;VAR:CALENDAR=US&amp;VAR:SYMBOL=N0098510&amp;VAR:INDEX=0"}</definedName>
    <definedName name="_5876__FDSAUDITLINK__" localSheetId="6" hidden="1">{"fdsup://directions/FAT Viewer?action=UPDATE&amp;creator=factset&amp;DYN_ARGS=TRUE&amp;DOC_NAME=FAT:FQL_AUDITING_CLIENT_TEMPLATE.FAT&amp;display_string=Audit&amp;VAR:KEY=FCVYFSTOLK&amp;VAR:QUERY=RkZfRUJJVERBX0lCKCdMVE1TJywzOTgzNyk=&amp;WINDOW=FIRST_POPUP&amp;HEIGHT=450&amp;WIDTH=450&amp;START_MA","XIMIZED=FALSE&amp;VAR:CALENDAR=US&amp;VAR:SYMBOL=N0098510&amp;VAR:INDEX=0"}</definedName>
    <definedName name="_5876__FDSAUDITLINK__" hidden="1">{"fdsup://directions/FAT Viewer?action=UPDATE&amp;creator=factset&amp;DYN_ARGS=TRUE&amp;DOC_NAME=FAT:FQL_AUDITING_CLIENT_TEMPLATE.FAT&amp;display_string=Audit&amp;VAR:KEY=FCVYFSTOLK&amp;VAR:QUERY=RkZfRUJJVERBX0lCKCdMVE1TJywzOTgzNyk=&amp;WINDOW=FIRST_POPUP&amp;HEIGHT=450&amp;WIDTH=450&amp;START_MA","XIMIZED=FALSE&amp;VAR:CALENDAR=US&amp;VAR:SYMBOL=N0098510&amp;VAR:INDEX=0"}</definedName>
    <definedName name="_5877__FDSAUDITLINK__" localSheetId="6" hidden="1">{"fdsup://directions/FAT Viewer?action=UPDATE&amp;creator=factset&amp;DYN_ARGS=TRUE&amp;DOC_NAME=FAT:FQL_AUDITING_CLIENT_TEMPLATE.FAT&amp;display_string=Audit&amp;VAR:KEY=DMFUJMFMNO&amp;VAR:QUERY=RkZfRUJJVERBX0lCKCdMVE1TJywzOTgzNik=&amp;WINDOW=FIRST_POPUP&amp;HEIGHT=450&amp;WIDTH=450&amp;START_MA","XIMIZED=FALSE&amp;VAR:CALENDAR=US&amp;VAR:SYMBOL=N0098510&amp;VAR:INDEX=0"}</definedName>
    <definedName name="_5877__FDSAUDITLINK__" hidden="1">{"fdsup://directions/FAT Viewer?action=UPDATE&amp;creator=factset&amp;DYN_ARGS=TRUE&amp;DOC_NAME=FAT:FQL_AUDITING_CLIENT_TEMPLATE.FAT&amp;display_string=Audit&amp;VAR:KEY=DMFUJMFMNO&amp;VAR:QUERY=RkZfRUJJVERBX0lCKCdMVE1TJywzOTgzNik=&amp;WINDOW=FIRST_POPUP&amp;HEIGHT=450&amp;WIDTH=450&amp;START_MA","XIMIZED=FALSE&amp;VAR:CALENDAR=US&amp;VAR:SYMBOL=N0098510&amp;VAR:INDEX=0"}</definedName>
    <definedName name="_5878__FDSAUDITLINK__" localSheetId="6" hidden="1">{"fdsup://directions/FAT Viewer?action=UPDATE&amp;creator=factset&amp;DYN_ARGS=TRUE&amp;DOC_NAME=FAT:FQL_AUDITING_CLIENT_TEMPLATE.FAT&amp;display_string=Audit&amp;VAR:KEY=TWDAJCPEJC&amp;VAR:QUERY=RkZfRUJJVERBX0lCKCdMVE1TJywzOTgzNSk=&amp;WINDOW=FIRST_POPUP&amp;HEIGHT=450&amp;WIDTH=450&amp;START_MA","XIMIZED=FALSE&amp;VAR:CALENDAR=US&amp;VAR:SYMBOL=N0098510&amp;VAR:INDEX=0"}</definedName>
    <definedName name="_5878__FDSAUDITLINK__" hidden="1">{"fdsup://directions/FAT Viewer?action=UPDATE&amp;creator=factset&amp;DYN_ARGS=TRUE&amp;DOC_NAME=FAT:FQL_AUDITING_CLIENT_TEMPLATE.FAT&amp;display_string=Audit&amp;VAR:KEY=TWDAJCPEJC&amp;VAR:QUERY=RkZfRUJJVERBX0lCKCdMVE1TJywzOTgzNSk=&amp;WINDOW=FIRST_POPUP&amp;HEIGHT=450&amp;WIDTH=450&amp;START_MA","XIMIZED=FALSE&amp;VAR:CALENDAR=US&amp;VAR:SYMBOL=N0098510&amp;VAR:INDEX=0"}</definedName>
    <definedName name="_5879__FDSAUDITLINK__" localSheetId="6" hidden="1">{"fdsup://directions/FAT Viewer?action=UPDATE&amp;creator=factset&amp;DYN_ARGS=TRUE&amp;DOC_NAME=FAT:FQL_AUDITING_CLIENT_TEMPLATE.FAT&amp;display_string=Audit&amp;VAR:KEY=BALQLCXSBM&amp;VAR:QUERY=RkZfRUJJVERBX0lCKCdMVE1TJywzOTgzNCk=&amp;WINDOW=FIRST_POPUP&amp;HEIGHT=450&amp;WIDTH=450&amp;START_MA","XIMIZED=FALSE&amp;VAR:CALENDAR=US&amp;VAR:SYMBOL=N0098510&amp;VAR:INDEX=0"}</definedName>
    <definedName name="_5879__FDSAUDITLINK__" hidden="1">{"fdsup://directions/FAT Viewer?action=UPDATE&amp;creator=factset&amp;DYN_ARGS=TRUE&amp;DOC_NAME=FAT:FQL_AUDITING_CLIENT_TEMPLATE.FAT&amp;display_string=Audit&amp;VAR:KEY=BALQLCXSBM&amp;VAR:QUERY=RkZfRUJJVERBX0lCKCdMVE1TJywzOTgzNCk=&amp;WINDOW=FIRST_POPUP&amp;HEIGHT=450&amp;WIDTH=450&amp;START_MA","XIMIZED=FALSE&amp;VAR:CALENDAR=US&amp;VAR:SYMBOL=N0098510&amp;VAR:INDEX=0"}</definedName>
    <definedName name="_588__FDSAUDITLINK__" localSheetId="6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8__FDSAUDITLINK__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80__FDSAUDITLINK__" localSheetId="6" hidden="1">{"fdsup://directions/FAT Viewer?action=UPDATE&amp;creator=factset&amp;DYN_ARGS=TRUE&amp;DOC_NAME=FAT:FQL_AUDITING_CLIENT_TEMPLATE.FAT&amp;display_string=Audit&amp;VAR:KEY=FCPYTGJEXA&amp;VAR:QUERY=RkZfRUJJVERBX0lCKCdMVE1TJywzOTgzMyk=&amp;WINDOW=FIRST_POPUP&amp;HEIGHT=450&amp;WIDTH=450&amp;START_MA","XIMIZED=FALSE&amp;VAR:CALENDAR=US&amp;VAR:SYMBOL=N0098510&amp;VAR:INDEX=0"}</definedName>
    <definedName name="_5880__FDSAUDITLINK__" hidden="1">{"fdsup://directions/FAT Viewer?action=UPDATE&amp;creator=factset&amp;DYN_ARGS=TRUE&amp;DOC_NAME=FAT:FQL_AUDITING_CLIENT_TEMPLATE.FAT&amp;display_string=Audit&amp;VAR:KEY=FCPYTGJEXA&amp;VAR:QUERY=RkZfRUJJVERBX0lCKCdMVE1TJywzOTgzMyk=&amp;WINDOW=FIRST_POPUP&amp;HEIGHT=450&amp;WIDTH=450&amp;START_MA","XIMIZED=FALSE&amp;VAR:CALENDAR=US&amp;VAR:SYMBOL=N0098510&amp;VAR:INDEX=0"}</definedName>
    <definedName name="_5881__FDSAUDITLINK__" localSheetId="6" hidden="1">{"fdsup://directions/FAT Viewer?action=UPDATE&amp;creator=factset&amp;DYN_ARGS=TRUE&amp;DOC_NAME=FAT:FQL_AUDITING_CLIENT_TEMPLATE.FAT&amp;display_string=Audit&amp;VAR:KEY=FEJOPSFWNG&amp;VAR:QUERY=RkZfRUJJVERBX0lCKCdMVE1TJywzOTgzMik=&amp;WINDOW=FIRST_POPUP&amp;HEIGHT=450&amp;WIDTH=450&amp;START_MA","XIMIZED=FALSE&amp;VAR:CALENDAR=US&amp;VAR:SYMBOL=N0098510&amp;VAR:INDEX=0"}</definedName>
    <definedName name="_5881__FDSAUDITLINK__" hidden="1">{"fdsup://directions/FAT Viewer?action=UPDATE&amp;creator=factset&amp;DYN_ARGS=TRUE&amp;DOC_NAME=FAT:FQL_AUDITING_CLIENT_TEMPLATE.FAT&amp;display_string=Audit&amp;VAR:KEY=FEJOPSFWNG&amp;VAR:QUERY=RkZfRUJJVERBX0lCKCdMVE1TJywzOTgzMik=&amp;WINDOW=FIRST_POPUP&amp;HEIGHT=450&amp;WIDTH=450&amp;START_MA","XIMIZED=FALSE&amp;VAR:CALENDAR=US&amp;VAR:SYMBOL=N0098510&amp;VAR:INDEX=0"}</definedName>
    <definedName name="_5882__FDSAUDITLINK__" localSheetId="6" hidden="1">{"fdsup://directions/FAT Viewer?action=UPDATE&amp;creator=factset&amp;DYN_ARGS=TRUE&amp;DOC_NAME=FAT:FQL_AUDITING_CLIENT_TEMPLATE.FAT&amp;display_string=Audit&amp;VAR:KEY=RSHYNWRGDU&amp;VAR:QUERY=RkZfRUJJVERBX0lCKCdMVE1TJywzOTgzMSk=&amp;WINDOW=FIRST_POPUP&amp;HEIGHT=450&amp;WIDTH=450&amp;START_MA","XIMIZED=FALSE&amp;VAR:CALENDAR=US&amp;VAR:SYMBOL=N0098510&amp;VAR:INDEX=0"}</definedName>
    <definedName name="_5882__FDSAUDITLINK__" hidden="1">{"fdsup://directions/FAT Viewer?action=UPDATE&amp;creator=factset&amp;DYN_ARGS=TRUE&amp;DOC_NAME=FAT:FQL_AUDITING_CLIENT_TEMPLATE.FAT&amp;display_string=Audit&amp;VAR:KEY=RSHYNWRGDU&amp;VAR:QUERY=RkZfRUJJVERBX0lCKCdMVE1TJywzOTgzMSk=&amp;WINDOW=FIRST_POPUP&amp;HEIGHT=450&amp;WIDTH=450&amp;START_MA","XIMIZED=FALSE&amp;VAR:CALENDAR=US&amp;VAR:SYMBOL=N0098510&amp;VAR:INDEX=0"}</definedName>
    <definedName name="_5883__FDSAUDITLINK__" localSheetId="6" hidden="1">{"fdsup://directions/FAT Viewer?action=UPDATE&amp;creator=factset&amp;DYN_ARGS=TRUE&amp;DOC_NAME=FAT:FQL_AUDITING_CLIENT_TEMPLATE.FAT&amp;display_string=Audit&amp;VAR:KEY=FUZQTCZGVU&amp;VAR:QUERY=RkZfRUJJVERBX0lCKCdMVE1TJywzOTgzMCk=&amp;WINDOW=FIRST_POPUP&amp;HEIGHT=450&amp;WIDTH=450&amp;START_MA","XIMIZED=FALSE&amp;VAR:CALENDAR=US&amp;VAR:SYMBOL=N0098510&amp;VAR:INDEX=0"}</definedName>
    <definedName name="_5883__FDSAUDITLINK__" hidden="1">{"fdsup://directions/FAT Viewer?action=UPDATE&amp;creator=factset&amp;DYN_ARGS=TRUE&amp;DOC_NAME=FAT:FQL_AUDITING_CLIENT_TEMPLATE.FAT&amp;display_string=Audit&amp;VAR:KEY=FUZQTCZGVU&amp;VAR:QUERY=RkZfRUJJVERBX0lCKCdMVE1TJywzOTgzMCk=&amp;WINDOW=FIRST_POPUP&amp;HEIGHT=450&amp;WIDTH=450&amp;START_MA","XIMIZED=FALSE&amp;VAR:CALENDAR=US&amp;VAR:SYMBOL=N0098510&amp;VAR:INDEX=0"}</definedName>
    <definedName name="_5884__FDSAUDITLINK__" localSheetId="6" hidden="1">{"fdsup://directions/FAT Viewer?action=UPDATE&amp;creator=factset&amp;DYN_ARGS=TRUE&amp;DOC_NAME=FAT:FQL_AUDITING_CLIENT_TEMPLATE.FAT&amp;display_string=Audit&amp;VAR:KEY=JWVYXKXELS&amp;VAR:QUERY=RkZfRUJJVERBX0lCKCdMVE1TJywzOTgyOSk=&amp;WINDOW=FIRST_POPUP&amp;HEIGHT=450&amp;WIDTH=450&amp;START_MA","XIMIZED=FALSE&amp;VAR:CALENDAR=US&amp;VAR:SYMBOL=N0098510&amp;VAR:INDEX=0"}</definedName>
    <definedName name="_5884__FDSAUDITLINK__" hidden="1">{"fdsup://directions/FAT Viewer?action=UPDATE&amp;creator=factset&amp;DYN_ARGS=TRUE&amp;DOC_NAME=FAT:FQL_AUDITING_CLIENT_TEMPLATE.FAT&amp;display_string=Audit&amp;VAR:KEY=JWVYXKXELS&amp;VAR:QUERY=RkZfRUJJVERBX0lCKCdMVE1TJywzOTgyOSk=&amp;WINDOW=FIRST_POPUP&amp;HEIGHT=450&amp;WIDTH=450&amp;START_MA","XIMIZED=FALSE&amp;VAR:CALENDAR=US&amp;VAR:SYMBOL=N0098510&amp;VAR:INDEX=0"}</definedName>
    <definedName name="_5885__FDSAUDITLINK__" localSheetId="6" hidden="1">{"fdsup://directions/FAT Viewer?action=UPDATE&amp;creator=factset&amp;DYN_ARGS=TRUE&amp;DOC_NAME=FAT:FQL_AUDITING_CLIENT_TEMPLATE.FAT&amp;display_string=Audit&amp;VAR:KEY=FIFOLAHEFO&amp;VAR:QUERY=RkZfRUJJVERBX0lCKCdMVE1TJywzOTgyOCk=&amp;WINDOW=FIRST_POPUP&amp;HEIGHT=450&amp;WIDTH=450&amp;START_MA","XIMIZED=FALSE&amp;VAR:CALENDAR=US&amp;VAR:SYMBOL=N0098510&amp;VAR:INDEX=0"}</definedName>
    <definedName name="_5885__FDSAUDITLINK__" hidden="1">{"fdsup://directions/FAT Viewer?action=UPDATE&amp;creator=factset&amp;DYN_ARGS=TRUE&amp;DOC_NAME=FAT:FQL_AUDITING_CLIENT_TEMPLATE.FAT&amp;display_string=Audit&amp;VAR:KEY=FIFOLAHEFO&amp;VAR:QUERY=RkZfRUJJVERBX0lCKCdMVE1TJywzOTgyOCk=&amp;WINDOW=FIRST_POPUP&amp;HEIGHT=450&amp;WIDTH=450&amp;START_MA","XIMIZED=FALSE&amp;VAR:CALENDAR=US&amp;VAR:SYMBOL=N0098510&amp;VAR:INDEX=0"}</definedName>
    <definedName name="_5886__FDSAUDITLINK__" localSheetId="6" hidden="1">{"fdsup://directions/FAT Viewer?action=UPDATE&amp;creator=factset&amp;DYN_ARGS=TRUE&amp;DOC_NAME=FAT:FQL_AUDITING_CLIENT_TEMPLATE.FAT&amp;display_string=Audit&amp;VAR:KEY=RKBSHCZEHC&amp;VAR:QUERY=RkZfRUJJVERBX0lCKCdMVE1TJywzOTgyNyk=&amp;WINDOW=FIRST_POPUP&amp;HEIGHT=450&amp;WIDTH=450&amp;START_MA","XIMIZED=FALSE&amp;VAR:CALENDAR=US&amp;VAR:SYMBOL=N0098510&amp;VAR:INDEX=0"}</definedName>
    <definedName name="_5886__FDSAUDITLINK__" hidden="1">{"fdsup://directions/FAT Viewer?action=UPDATE&amp;creator=factset&amp;DYN_ARGS=TRUE&amp;DOC_NAME=FAT:FQL_AUDITING_CLIENT_TEMPLATE.FAT&amp;display_string=Audit&amp;VAR:KEY=RKBSHCZEHC&amp;VAR:QUERY=RkZfRUJJVERBX0lCKCdMVE1TJywzOTgyNyk=&amp;WINDOW=FIRST_POPUP&amp;HEIGHT=450&amp;WIDTH=450&amp;START_MA","XIMIZED=FALSE&amp;VAR:CALENDAR=US&amp;VAR:SYMBOL=N0098510&amp;VAR:INDEX=0"}</definedName>
    <definedName name="_5887__FDSAUDITLINK__" localSheetId="6" hidden="1">{"fdsup://directions/FAT Viewer?action=UPDATE&amp;creator=factset&amp;DYN_ARGS=TRUE&amp;DOC_NAME=FAT:FQL_AUDITING_CLIENT_TEMPLATE.FAT&amp;display_string=Audit&amp;VAR:KEY=JOZCZKJGNM&amp;VAR:QUERY=RkZfRUJJVERBX0lCKCdMVE1TJywzOTgyNik=&amp;WINDOW=FIRST_POPUP&amp;HEIGHT=450&amp;WIDTH=450&amp;START_MA","XIMIZED=FALSE&amp;VAR:CALENDAR=US&amp;VAR:SYMBOL=N0098510&amp;VAR:INDEX=0"}</definedName>
    <definedName name="_5887__FDSAUDITLINK__" hidden="1">{"fdsup://directions/FAT Viewer?action=UPDATE&amp;creator=factset&amp;DYN_ARGS=TRUE&amp;DOC_NAME=FAT:FQL_AUDITING_CLIENT_TEMPLATE.FAT&amp;display_string=Audit&amp;VAR:KEY=JOZCZKJGNM&amp;VAR:QUERY=RkZfRUJJVERBX0lCKCdMVE1TJywzOTgyNik=&amp;WINDOW=FIRST_POPUP&amp;HEIGHT=450&amp;WIDTH=450&amp;START_MA","XIMIZED=FALSE&amp;VAR:CALENDAR=US&amp;VAR:SYMBOL=N0098510&amp;VAR:INDEX=0"}</definedName>
    <definedName name="_5888__FDSAUDITLINK__" localSheetId="6" hidden="1">{"fdsup://directions/FAT Viewer?action=UPDATE&amp;creator=factset&amp;DYN_ARGS=TRUE&amp;DOC_NAME=FAT:FQL_AUDITING_CLIENT_TEMPLATE.FAT&amp;display_string=Audit&amp;VAR:KEY=VOTSHSXCPG&amp;VAR:QUERY=RkZfRUJJVERBX0lCKCdMVE1TJywzOTgyNSk=&amp;WINDOW=FIRST_POPUP&amp;HEIGHT=450&amp;WIDTH=450&amp;START_MA","XIMIZED=FALSE&amp;VAR:CALENDAR=US&amp;VAR:SYMBOL=N0098510&amp;VAR:INDEX=0"}</definedName>
    <definedName name="_5888__FDSAUDITLINK__" hidden="1">{"fdsup://directions/FAT Viewer?action=UPDATE&amp;creator=factset&amp;DYN_ARGS=TRUE&amp;DOC_NAME=FAT:FQL_AUDITING_CLIENT_TEMPLATE.FAT&amp;display_string=Audit&amp;VAR:KEY=VOTSHSXCPG&amp;VAR:QUERY=RkZfRUJJVERBX0lCKCdMVE1TJywzOTgyNSk=&amp;WINDOW=FIRST_POPUP&amp;HEIGHT=450&amp;WIDTH=450&amp;START_MA","XIMIZED=FALSE&amp;VAR:CALENDAR=US&amp;VAR:SYMBOL=N0098510&amp;VAR:INDEX=0"}</definedName>
    <definedName name="_5889__FDSAUDITLINK__" localSheetId="6" hidden="1">{"fdsup://directions/FAT Viewer?action=UPDATE&amp;creator=factset&amp;DYN_ARGS=TRUE&amp;DOC_NAME=FAT:FQL_AUDITING_CLIENT_TEMPLATE.FAT&amp;display_string=Audit&amp;VAR:KEY=LMNSXSPMTW&amp;VAR:QUERY=RkZfRUJJVERBX0lCKCdMVE1TJywzOTgyNCk=&amp;WINDOW=FIRST_POPUP&amp;HEIGHT=450&amp;WIDTH=450&amp;START_MA","XIMIZED=FALSE&amp;VAR:CALENDAR=US&amp;VAR:SYMBOL=N0098510&amp;VAR:INDEX=0"}</definedName>
    <definedName name="_5889__FDSAUDITLINK__" hidden="1">{"fdsup://directions/FAT Viewer?action=UPDATE&amp;creator=factset&amp;DYN_ARGS=TRUE&amp;DOC_NAME=FAT:FQL_AUDITING_CLIENT_TEMPLATE.FAT&amp;display_string=Audit&amp;VAR:KEY=LMNSXSPMTW&amp;VAR:QUERY=RkZfRUJJVERBX0lCKCdMVE1TJywzOTgyNCk=&amp;WINDOW=FIRST_POPUP&amp;HEIGHT=450&amp;WIDTH=450&amp;START_MA","XIMIZED=FALSE&amp;VAR:CALENDAR=US&amp;VAR:SYMBOL=N0098510&amp;VAR:INDEX=0"}</definedName>
    <definedName name="_589__FDSAUDITLINK__" localSheetId="6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9__FDSAUDITLINK__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890__FDSAUDITLINK__" localSheetId="6" hidden="1">{"fdsup://directions/FAT Viewer?action=UPDATE&amp;creator=factset&amp;DYN_ARGS=TRUE&amp;DOC_NAME=FAT:FQL_AUDITING_CLIENT_TEMPLATE.FAT&amp;display_string=Audit&amp;VAR:KEY=BWJCHEXYZC&amp;VAR:QUERY=RkZfRUJJVERBX0lCKCdMVE1TJywzOTgyMyk=&amp;WINDOW=FIRST_POPUP&amp;HEIGHT=450&amp;WIDTH=450&amp;START_MA","XIMIZED=FALSE&amp;VAR:CALENDAR=US&amp;VAR:SYMBOL=N0098510&amp;VAR:INDEX=0"}</definedName>
    <definedName name="_5890__FDSAUDITLINK__" hidden="1">{"fdsup://directions/FAT Viewer?action=UPDATE&amp;creator=factset&amp;DYN_ARGS=TRUE&amp;DOC_NAME=FAT:FQL_AUDITING_CLIENT_TEMPLATE.FAT&amp;display_string=Audit&amp;VAR:KEY=BWJCHEXYZC&amp;VAR:QUERY=RkZfRUJJVERBX0lCKCdMVE1TJywzOTgyMyk=&amp;WINDOW=FIRST_POPUP&amp;HEIGHT=450&amp;WIDTH=450&amp;START_MA","XIMIZED=FALSE&amp;VAR:CALENDAR=US&amp;VAR:SYMBOL=N0098510&amp;VAR:INDEX=0"}</definedName>
    <definedName name="_5891__FDSAUDITLINK__" localSheetId="6" hidden="1">{"fdsup://directions/FAT Viewer?action=UPDATE&amp;creator=factset&amp;DYN_ARGS=TRUE&amp;DOC_NAME=FAT:FQL_AUDITING_CLIENT_TEMPLATE.FAT&amp;display_string=Audit&amp;VAR:KEY=DOZUJILOPA&amp;VAR:QUERY=RkZfRUJJVERBX0lCKCdMVE1TJywzOTgyMik=&amp;WINDOW=FIRST_POPUP&amp;HEIGHT=450&amp;WIDTH=450&amp;START_MA","XIMIZED=FALSE&amp;VAR:CALENDAR=US&amp;VAR:SYMBOL=N0098510&amp;VAR:INDEX=0"}</definedName>
    <definedName name="_5891__FDSAUDITLINK__" hidden="1">{"fdsup://directions/FAT Viewer?action=UPDATE&amp;creator=factset&amp;DYN_ARGS=TRUE&amp;DOC_NAME=FAT:FQL_AUDITING_CLIENT_TEMPLATE.FAT&amp;display_string=Audit&amp;VAR:KEY=DOZUJILOPA&amp;VAR:QUERY=RkZfRUJJVERBX0lCKCdMVE1TJywzOTgyMik=&amp;WINDOW=FIRST_POPUP&amp;HEIGHT=450&amp;WIDTH=450&amp;START_MA","XIMIZED=FALSE&amp;VAR:CALENDAR=US&amp;VAR:SYMBOL=N0098510&amp;VAR:INDEX=0"}</definedName>
    <definedName name="_5892__FDSAUDITLINK__" localSheetId="6" hidden="1">{"fdsup://directions/FAT Viewer?action=UPDATE&amp;creator=factset&amp;DYN_ARGS=TRUE&amp;DOC_NAME=FAT:FQL_AUDITING_CLIENT_TEMPLATE.FAT&amp;display_string=Audit&amp;VAR:KEY=BULGVMDCLG&amp;VAR:QUERY=RkZfRUJJVERBX0lCKCdMVE1TJywzOTgyMSk=&amp;WINDOW=FIRST_POPUP&amp;HEIGHT=450&amp;WIDTH=450&amp;START_MA","XIMIZED=FALSE&amp;VAR:CALENDAR=US&amp;VAR:SYMBOL=N0098510&amp;VAR:INDEX=0"}</definedName>
    <definedName name="_5892__FDSAUDITLINK__" hidden="1">{"fdsup://directions/FAT Viewer?action=UPDATE&amp;creator=factset&amp;DYN_ARGS=TRUE&amp;DOC_NAME=FAT:FQL_AUDITING_CLIENT_TEMPLATE.FAT&amp;display_string=Audit&amp;VAR:KEY=BULGVMDCLG&amp;VAR:QUERY=RkZfRUJJVERBX0lCKCdMVE1TJywzOTgyMSk=&amp;WINDOW=FIRST_POPUP&amp;HEIGHT=450&amp;WIDTH=450&amp;START_MA","XIMIZED=FALSE&amp;VAR:CALENDAR=US&amp;VAR:SYMBOL=N0098510&amp;VAR:INDEX=0"}</definedName>
    <definedName name="_5893__FDSAUDITLINK__" localSheetId="6" hidden="1">{"fdsup://directions/FAT Viewer?action=UPDATE&amp;creator=factset&amp;DYN_ARGS=TRUE&amp;DOC_NAME=FAT:FQL_AUDITING_CLIENT_TEMPLATE.FAT&amp;display_string=Audit&amp;VAR:KEY=DYFATGBWVG&amp;VAR:QUERY=RkZfRUJJVERBX0lCKCdMVE1TJywzOTgyMCk=&amp;WINDOW=FIRST_POPUP&amp;HEIGHT=450&amp;WIDTH=450&amp;START_MA","XIMIZED=FALSE&amp;VAR:CALENDAR=US&amp;VAR:SYMBOL=N0098510&amp;VAR:INDEX=0"}</definedName>
    <definedName name="_5893__FDSAUDITLINK__" hidden="1">{"fdsup://directions/FAT Viewer?action=UPDATE&amp;creator=factset&amp;DYN_ARGS=TRUE&amp;DOC_NAME=FAT:FQL_AUDITING_CLIENT_TEMPLATE.FAT&amp;display_string=Audit&amp;VAR:KEY=DYFATGBWVG&amp;VAR:QUERY=RkZfRUJJVERBX0lCKCdMVE1TJywzOTgyMCk=&amp;WINDOW=FIRST_POPUP&amp;HEIGHT=450&amp;WIDTH=450&amp;START_MA","XIMIZED=FALSE&amp;VAR:CALENDAR=US&amp;VAR:SYMBOL=N0098510&amp;VAR:INDEX=0"}</definedName>
    <definedName name="_5894__FDSAUDITLINK__" localSheetId="6" hidden="1">{"fdsup://directions/FAT Viewer?action=UPDATE&amp;creator=factset&amp;DYN_ARGS=TRUE&amp;DOC_NAME=FAT:FQL_AUDITING_CLIENT_TEMPLATE.FAT&amp;display_string=Audit&amp;VAR:KEY=VATIRQHMFY&amp;VAR:QUERY=RkZfRUJJVERBX0lCKCdMVE1TJywzOTgxOSk=&amp;WINDOW=FIRST_POPUP&amp;HEIGHT=450&amp;WIDTH=450&amp;START_MA","XIMIZED=FALSE&amp;VAR:CALENDAR=US&amp;VAR:SYMBOL=N0098510&amp;VAR:INDEX=0"}</definedName>
    <definedName name="_5894__FDSAUDITLINK__" hidden="1">{"fdsup://directions/FAT Viewer?action=UPDATE&amp;creator=factset&amp;DYN_ARGS=TRUE&amp;DOC_NAME=FAT:FQL_AUDITING_CLIENT_TEMPLATE.FAT&amp;display_string=Audit&amp;VAR:KEY=VATIRQHMFY&amp;VAR:QUERY=RkZfRUJJVERBX0lCKCdMVE1TJywzOTgxOSk=&amp;WINDOW=FIRST_POPUP&amp;HEIGHT=450&amp;WIDTH=450&amp;START_MA","XIMIZED=FALSE&amp;VAR:CALENDAR=US&amp;VAR:SYMBOL=N0098510&amp;VAR:INDEX=0"}</definedName>
    <definedName name="_5895__FDSAUDITLINK__" localSheetId="6" hidden="1">{"fdsup://directions/FAT Viewer?action=UPDATE&amp;creator=factset&amp;DYN_ARGS=TRUE&amp;DOC_NAME=FAT:FQL_AUDITING_CLIENT_TEMPLATE.FAT&amp;display_string=Audit&amp;VAR:KEY=PMRKLOPEBE&amp;VAR:QUERY=RkZfRUJJVERBX0lCKCdMVE1TJywzOTgxOCk=&amp;WINDOW=FIRST_POPUP&amp;HEIGHT=450&amp;WIDTH=450&amp;START_MA","XIMIZED=FALSE&amp;VAR:CALENDAR=US&amp;VAR:SYMBOL=N0098510&amp;VAR:INDEX=0"}</definedName>
    <definedName name="_5895__FDSAUDITLINK__" hidden="1">{"fdsup://directions/FAT Viewer?action=UPDATE&amp;creator=factset&amp;DYN_ARGS=TRUE&amp;DOC_NAME=FAT:FQL_AUDITING_CLIENT_TEMPLATE.FAT&amp;display_string=Audit&amp;VAR:KEY=PMRKLOPEBE&amp;VAR:QUERY=RkZfRUJJVERBX0lCKCdMVE1TJywzOTgxOCk=&amp;WINDOW=FIRST_POPUP&amp;HEIGHT=450&amp;WIDTH=450&amp;START_MA","XIMIZED=FALSE&amp;VAR:CALENDAR=US&amp;VAR:SYMBOL=N0098510&amp;VAR:INDEX=0"}</definedName>
    <definedName name="_5896__FDSAUDITLINK__" localSheetId="6" hidden="1">{"fdsup://directions/FAT Viewer?action=UPDATE&amp;creator=factset&amp;DYN_ARGS=TRUE&amp;DOC_NAME=FAT:FQL_AUDITING_CLIENT_TEMPLATE.FAT&amp;display_string=Audit&amp;VAR:KEY=JWRWPSXEVA&amp;VAR:QUERY=RkZfRUJJVERBX0lCKCdMVE1TJywzOTgxNyk=&amp;WINDOW=FIRST_POPUP&amp;HEIGHT=450&amp;WIDTH=450&amp;START_MA","XIMIZED=FALSE&amp;VAR:CALENDAR=US&amp;VAR:SYMBOL=N0098510&amp;VAR:INDEX=0"}</definedName>
    <definedName name="_5896__FDSAUDITLINK__" hidden="1">{"fdsup://directions/FAT Viewer?action=UPDATE&amp;creator=factset&amp;DYN_ARGS=TRUE&amp;DOC_NAME=FAT:FQL_AUDITING_CLIENT_TEMPLATE.FAT&amp;display_string=Audit&amp;VAR:KEY=JWRWPSXEVA&amp;VAR:QUERY=RkZfRUJJVERBX0lCKCdMVE1TJywzOTgxNyk=&amp;WINDOW=FIRST_POPUP&amp;HEIGHT=450&amp;WIDTH=450&amp;START_MA","XIMIZED=FALSE&amp;VAR:CALENDAR=US&amp;VAR:SYMBOL=N0098510&amp;VAR:INDEX=0"}</definedName>
    <definedName name="_5897__FDSAUDITLINK__" localSheetId="6" hidden="1">{"fdsup://directions/FAT Viewer?action=UPDATE&amp;creator=factset&amp;DYN_ARGS=TRUE&amp;DOC_NAME=FAT:FQL_AUDITING_CLIENT_TEMPLATE.FAT&amp;display_string=Audit&amp;VAR:KEY=FSXEHWBUDK&amp;VAR:QUERY=RkZfRUJJVERBX0lCKCdMVE1TJywzOTgxNik=&amp;WINDOW=FIRST_POPUP&amp;HEIGHT=450&amp;WIDTH=450&amp;START_MA","XIMIZED=FALSE&amp;VAR:CALENDAR=US&amp;VAR:SYMBOL=N0098510&amp;VAR:INDEX=0"}</definedName>
    <definedName name="_5897__FDSAUDITLINK__" hidden="1">{"fdsup://directions/FAT Viewer?action=UPDATE&amp;creator=factset&amp;DYN_ARGS=TRUE&amp;DOC_NAME=FAT:FQL_AUDITING_CLIENT_TEMPLATE.FAT&amp;display_string=Audit&amp;VAR:KEY=FSXEHWBUDK&amp;VAR:QUERY=RkZfRUJJVERBX0lCKCdMVE1TJywzOTgxNik=&amp;WINDOW=FIRST_POPUP&amp;HEIGHT=450&amp;WIDTH=450&amp;START_MA","XIMIZED=FALSE&amp;VAR:CALENDAR=US&amp;VAR:SYMBOL=N0098510&amp;VAR:INDEX=0"}</definedName>
    <definedName name="_5898__FDSAUDITLINK__" localSheetId="6" hidden="1">{"fdsup://directions/FAT Viewer?action=UPDATE&amp;creator=factset&amp;DYN_ARGS=TRUE&amp;DOC_NAME=FAT:FQL_AUDITING_CLIENT_TEMPLATE.FAT&amp;display_string=Audit&amp;VAR:KEY=LUJOLYBCVQ&amp;VAR:QUERY=RkZfRUJJVERBX0lCKCdMVE1TJywzOTgxNSk=&amp;WINDOW=FIRST_POPUP&amp;HEIGHT=450&amp;WIDTH=450&amp;START_MA","XIMIZED=FALSE&amp;VAR:CALENDAR=US&amp;VAR:SYMBOL=N0098510&amp;VAR:INDEX=0"}</definedName>
    <definedName name="_5898__FDSAUDITLINK__" hidden="1">{"fdsup://directions/FAT Viewer?action=UPDATE&amp;creator=factset&amp;DYN_ARGS=TRUE&amp;DOC_NAME=FAT:FQL_AUDITING_CLIENT_TEMPLATE.FAT&amp;display_string=Audit&amp;VAR:KEY=LUJOLYBCVQ&amp;VAR:QUERY=RkZfRUJJVERBX0lCKCdMVE1TJywzOTgxNSk=&amp;WINDOW=FIRST_POPUP&amp;HEIGHT=450&amp;WIDTH=450&amp;START_MA","XIMIZED=FALSE&amp;VAR:CALENDAR=US&amp;VAR:SYMBOL=N0098510&amp;VAR:INDEX=0"}</definedName>
    <definedName name="_5899__FDSAUDITLINK__" localSheetId="6" hidden="1">{"fdsup://directions/FAT Viewer?action=UPDATE&amp;creator=factset&amp;DYN_ARGS=TRUE&amp;DOC_NAME=FAT:FQL_AUDITING_CLIENT_TEMPLATE.FAT&amp;display_string=Audit&amp;VAR:KEY=DKPQDCNGBC&amp;VAR:QUERY=RkZfRUJJVERBX0lCKCdMVE1TJywzOTgxNCk=&amp;WINDOW=FIRST_POPUP&amp;HEIGHT=450&amp;WIDTH=450&amp;START_MA","XIMIZED=FALSE&amp;VAR:CALENDAR=US&amp;VAR:SYMBOL=N0098510&amp;VAR:INDEX=0"}</definedName>
    <definedName name="_5899__FDSAUDITLINK__" hidden="1">{"fdsup://directions/FAT Viewer?action=UPDATE&amp;creator=factset&amp;DYN_ARGS=TRUE&amp;DOC_NAME=FAT:FQL_AUDITING_CLIENT_TEMPLATE.FAT&amp;display_string=Audit&amp;VAR:KEY=DKPQDCNGBC&amp;VAR:QUERY=RkZfRUJJVERBX0lCKCdMVE1TJywzOTgxNCk=&amp;WINDOW=FIRST_POPUP&amp;HEIGHT=450&amp;WIDTH=450&amp;START_MA","XIMIZED=FALSE&amp;VAR:CALENDAR=US&amp;VAR:SYMBOL=N0098510&amp;VAR:INDEX=0"}</definedName>
    <definedName name="_590__FDSAUDITLINK__" localSheetId="6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0__FDSAUDITLINK__" hidden="1">{"fdsup://directions/FAT%20Viewer?VAR:PED=LTM&amp;VAR:AUDIT_MODE=SUMMARY&amp;VAR:PERIOD=FIXED&amp;VAR:AUDIT_ID=00000117&amp;VAR:DATE=20080711&amp;action=UPDATE&amp;creator=factset&amp;DOC_NAME=FAT:FMA_audit_SUMMARY.fat&amp;DISPLAY_STRING=Display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00__FDSAUDITLINK__" localSheetId="6" hidden="1">{"fdsup://directions/FAT Viewer?action=UPDATE&amp;creator=factset&amp;DYN_ARGS=TRUE&amp;DOC_NAME=FAT:FQL_AUDITING_CLIENT_TEMPLATE.FAT&amp;display_string=Audit&amp;VAR:KEY=DCHEHGJKRU&amp;VAR:QUERY=RkZfRUJJVERBX0lCKCdMVE1TJywzOTgxMyk=&amp;WINDOW=FIRST_POPUP&amp;HEIGHT=450&amp;WIDTH=450&amp;START_MA","XIMIZED=FALSE&amp;VAR:CALENDAR=US&amp;VAR:SYMBOL=N0098510&amp;VAR:INDEX=0"}</definedName>
    <definedName name="_5900__FDSAUDITLINK__" hidden="1">{"fdsup://directions/FAT Viewer?action=UPDATE&amp;creator=factset&amp;DYN_ARGS=TRUE&amp;DOC_NAME=FAT:FQL_AUDITING_CLIENT_TEMPLATE.FAT&amp;display_string=Audit&amp;VAR:KEY=DCHEHGJKRU&amp;VAR:QUERY=RkZfRUJJVERBX0lCKCdMVE1TJywzOTgxMyk=&amp;WINDOW=FIRST_POPUP&amp;HEIGHT=450&amp;WIDTH=450&amp;START_MA","XIMIZED=FALSE&amp;VAR:CALENDAR=US&amp;VAR:SYMBOL=N0098510&amp;VAR:INDEX=0"}</definedName>
    <definedName name="_5901__FDSAUDITLINK__" localSheetId="6" hidden="1">{"fdsup://directions/FAT Viewer?action=UPDATE&amp;creator=factset&amp;DYN_ARGS=TRUE&amp;DOC_NAME=FAT:FQL_AUDITING_CLIENT_TEMPLATE.FAT&amp;display_string=Audit&amp;VAR:KEY=VSPYLWLSPS&amp;VAR:QUERY=RkZfRUJJVERBX0lCKCdMVE1TJywzOTgxMik=&amp;WINDOW=FIRST_POPUP&amp;HEIGHT=450&amp;WIDTH=450&amp;START_MA","XIMIZED=FALSE&amp;VAR:CALENDAR=US&amp;VAR:SYMBOL=N0098510&amp;VAR:INDEX=0"}</definedName>
    <definedName name="_5901__FDSAUDITLINK__" hidden="1">{"fdsup://directions/FAT Viewer?action=UPDATE&amp;creator=factset&amp;DYN_ARGS=TRUE&amp;DOC_NAME=FAT:FQL_AUDITING_CLIENT_TEMPLATE.FAT&amp;display_string=Audit&amp;VAR:KEY=VSPYLWLSPS&amp;VAR:QUERY=RkZfRUJJVERBX0lCKCdMVE1TJywzOTgxMik=&amp;WINDOW=FIRST_POPUP&amp;HEIGHT=450&amp;WIDTH=450&amp;START_MA","XIMIZED=FALSE&amp;VAR:CALENDAR=US&amp;VAR:SYMBOL=N0098510&amp;VAR:INDEX=0"}</definedName>
    <definedName name="_5902__FDSAUDITLINK__" localSheetId="6" hidden="1">{"fdsup://directions/FAT Viewer?action=UPDATE&amp;creator=factset&amp;DYN_ARGS=TRUE&amp;DOC_NAME=FAT:FQL_AUDITING_CLIENT_TEMPLATE.FAT&amp;display_string=Audit&amp;VAR:KEY=JEJCNWJCJM&amp;VAR:QUERY=RkZfRUJJVERBX0lCKCdMVE1TJywzOTgxMSk=&amp;WINDOW=FIRST_POPUP&amp;HEIGHT=450&amp;WIDTH=450&amp;START_MA","XIMIZED=FALSE&amp;VAR:CALENDAR=US&amp;VAR:SYMBOL=N0098510&amp;VAR:INDEX=0"}</definedName>
    <definedName name="_5902__FDSAUDITLINK__" hidden="1">{"fdsup://directions/FAT Viewer?action=UPDATE&amp;creator=factset&amp;DYN_ARGS=TRUE&amp;DOC_NAME=FAT:FQL_AUDITING_CLIENT_TEMPLATE.FAT&amp;display_string=Audit&amp;VAR:KEY=JEJCNWJCJM&amp;VAR:QUERY=RkZfRUJJVERBX0lCKCdMVE1TJywzOTgxMSk=&amp;WINDOW=FIRST_POPUP&amp;HEIGHT=450&amp;WIDTH=450&amp;START_MA","XIMIZED=FALSE&amp;VAR:CALENDAR=US&amp;VAR:SYMBOL=N0098510&amp;VAR:INDEX=0"}</definedName>
    <definedName name="_5903__FDSAUDITLINK__" localSheetId="6" hidden="1">{"fdsup://directions/FAT Viewer?action=UPDATE&amp;creator=factset&amp;DYN_ARGS=TRUE&amp;DOC_NAME=FAT:FQL_AUDITING_CLIENT_TEMPLATE.FAT&amp;display_string=Audit&amp;VAR:KEY=DSBCRYTYNQ&amp;VAR:QUERY=RkZfRUJJVERBX0lCKCdMVE1TJywzOTgxMCk=&amp;WINDOW=FIRST_POPUP&amp;HEIGHT=450&amp;WIDTH=450&amp;START_MA","XIMIZED=FALSE&amp;VAR:CALENDAR=US&amp;VAR:SYMBOL=N0098510&amp;VAR:INDEX=0"}</definedName>
    <definedName name="_5903__FDSAUDITLINK__" hidden="1">{"fdsup://directions/FAT Viewer?action=UPDATE&amp;creator=factset&amp;DYN_ARGS=TRUE&amp;DOC_NAME=FAT:FQL_AUDITING_CLIENT_TEMPLATE.FAT&amp;display_string=Audit&amp;VAR:KEY=DSBCRYTYNQ&amp;VAR:QUERY=RkZfRUJJVERBX0lCKCdMVE1TJywzOTgxMCk=&amp;WINDOW=FIRST_POPUP&amp;HEIGHT=450&amp;WIDTH=450&amp;START_MA","XIMIZED=FALSE&amp;VAR:CALENDAR=US&amp;VAR:SYMBOL=N0098510&amp;VAR:INDEX=0"}</definedName>
    <definedName name="_5904__FDSAUDITLINK__" localSheetId="6" hidden="1">{"fdsup://directions/FAT Viewer?action=UPDATE&amp;creator=factset&amp;DYN_ARGS=TRUE&amp;DOC_NAME=FAT:FQL_AUDITING_CLIENT_TEMPLATE.FAT&amp;display_string=Audit&amp;VAR:KEY=FMXSHSNQDC&amp;VAR:QUERY=RkZfRUJJVERBX0lCKCdMVE1TJywzOTgwOSk=&amp;WINDOW=FIRST_POPUP&amp;HEIGHT=450&amp;WIDTH=450&amp;START_MA","XIMIZED=FALSE&amp;VAR:CALENDAR=US&amp;VAR:SYMBOL=N0098510&amp;VAR:INDEX=0"}</definedName>
    <definedName name="_5904__FDSAUDITLINK__" hidden="1">{"fdsup://directions/FAT Viewer?action=UPDATE&amp;creator=factset&amp;DYN_ARGS=TRUE&amp;DOC_NAME=FAT:FQL_AUDITING_CLIENT_TEMPLATE.FAT&amp;display_string=Audit&amp;VAR:KEY=FMXSHSNQDC&amp;VAR:QUERY=RkZfRUJJVERBX0lCKCdMVE1TJywzOTgwOSk=&amp;WINDOW=FIRST_POPUP&amp;HEIGHT=450&amp;WIDTH=450&amp;START_MA","XIMIZED=FALSE&amp;VAR:CALENDAR=US&amp;VAR:SYMBOL=N0098510&amp;VAR:INDEX=0"}</definedName>
    <definedName name="_5905__FDSAUDITLINK__" localSheetId="6" hidden="1">{"fdsup://directions/FAT Viewer?action=UPDATE&amp;creator=factset&amp;DYN_ARGS=TRUE&amp;DOC_NAME=FAT:FQL_AUDITING_CLIENT_TEMPLATE.FAT&amp;display_string=Audit&amp;VAR:KEY=BIXYXQPGVO&amp;VAR:QUERY=RkZfRUJJVERBX0lCKCdMVE1TJywzOTgwOCk=&amp;WINDOW=FIRST_POPUP&amp;HEIGHT=450&amp;WIDTH=450&amp;START_MA","XIMIZED=FALSE&amp;VAR:CALENDAR=US&amp;VAR:SYMBOL=N0098510&amp;VAR:INDEX=0"}</definedName>
    <definedName name="_5905__FDSAUDITLINK__" hidden="1">{"fdsup://directions/FAT Viewer?action=UPDATE&amp;creator=factset&amp;DYN_ARGS=TRUE&amp;DOC_NAME=FAT:FQL_AUDITING_CLIENT_TEMPLATE.FAT&amp;display_string=Audit&amp;VAR:KEY=BIXYXQPGVO&amp;VAR:QUERY=RkZfRUJJVERBX0lCKCdMVE1TJywzOTgwOCk=&amp;WINDOW=FIRST_POPUP&amp;HEIGHT=450&amp;WIDTH=450&amp;START_MA","XIMIZED=FALSE&amp;VAR:CALENDAR=US&amp;VAR:SYMBOL=N0098510&amp;VAR:INDEX=0"}</definedName>
    <definedName name="_5906__FDSAUDITLINK__" localSheetId="6" hidden="1">{"fdsup://directions/FAT Viewer?action=UPDATE&amp;creator=factset&amp;DYN_ARGS=TRUE&amp;DOC_NAME=FAT:FQL_AUDITING_CLIENT_TEMPLATE.FAT&amp;display_string=Audit&amp;VAR:KEY=PIXYROLMHE&amp;VAR:QUERY=RkZfRUJJVERBX0lCKCdMVE1TJywzOTgwNyk=&amp;WINDOW=FIRST_POPUP&amp;HEIGHT=450&amp;WIDTH=450&amp;START_MA","XIMIZED=FALSE&amp;VAR:CALENDAR=US&amp;VAR:SYMBOL=N0098510&amp;VAR:INDEX=0"}</definedName>
    <definedName name="_5906__FDSAUDITLINK__" hidden="1">{"fdsup://directions/FAT Viewer?action=UPDATE&amp;creator=factset&amp;DYN_ARGS=TRUE&amp;DOC_NAME=FAT:FQL_AUDITING_CLIENT_TEMPLATE.FAT&amp;display_string=Audit&amp;VAR:KEY=PIXYROLMHE&amp;VAR:QUERY=RkZfRUJJVERBX0lCKCdMVE1TJywzOTgwNyk=&amp;WINDOW=FIRST_POPUP&amp;HEIGHT=450&amp;WIDTH=450&amp;START_MA","XIMIZED=FALSE&amp;VAR:CALENDAR=US&amp;VAR:SYMBOL=N0098510&amp;VAR:INDEX=0"}</definedName>
    <definedName name="_5907__FDSAUDITLINK__" localSheetId="6" hidden="1">{"fdsup://directions/FAT Viewer?action=UPDATE&amp;creator=factset&amp;DYN_ARGS=TRUE&amp;DOC_NAME=FAT:FQL_AUDITING_CLIENT_TEMPLATE.FAT&amp;display_string=Audit&amp;VAR:KEY=TWNCHWRMVQ&amp;VAR:QUERY=RkZfRUJJVERBX0lCKCdMVE1TJywzOTgwNik=&amp;WINDOW=FIRST_POPUP&amp;HEIGHT=450&amp;WIDTH=450&amp;START_MA","XIMIZED=FALSE&amp;VAR:CALENDAR=US&amp;VAR:SYMBOL=N0098510&amp;VAR:INDEX=0"}</definedName>
    <definedName name="_5907__FDSAUDITLINK__" hidden="1">{"fdsup://directions/FAT Viewer?action=UPDATE&amp;creator=factset&amp;DYN_ARGS=TRUE&amp;DOC_NAME=FAT:FQL_AUDITING_CLIENT_TEMPLATE.FAT&amp;display_string=Audit&amp;VAR:KEY=TWNCHWRMVQ&amp;VAR:QUERY=RkZfRUJJVERBX0lCKCdMVE1TJywzOTgwNik=&amp;WINDOW=FIRST_POPUP&amp;HEIGHT=450&amp;WIDTH=450&amp;START_MA","XIMIZED=FALSE&amp;VAR:CALENDAR=US&amp;VAR:SYMBOL=N0098510&amp;VAR:INDEX=0"}</definedName>
    <definedName name="_5908__FDSAUDITLINK__" localSheetId="6" hidden="1">{"fdsup://directions/FAT Viewer?action=UPDATE&amp;creator=factset&amp;DYN_ARGS=TRUE&amp;DOC_NAME=FAT:FQL_AUDITING_CLIENT_TEMPLATE.FAT&amp;display_string=Audit&amp;VAR:KEY=ZUTURCJGHE&amp;VAR:QUERY=RkZfRUJJVERBX0lCKCdMVE1TJywzOTgwNSk=&amp;WINDOW=FIRST_POPUP&amp;HEIGHT=450&amp;WIDTH=450&amp;START_MA","XIMIZED=FALSE&amp;VAR:CALENDAR=US&amp;VAR:SYMBOL=N0098510&amp;VAR:INDEX=0"}</definedName>
    <definedName name="_5908__FDSAUDITLINK__" hidden="1">{"fdsup://directions/FAT Viewer?action=UPDATE&amp;creator=factset&amp;DYN_ARGS=TRUE&amp;DOC_NAME=FAT:FQL_AUDITING_CLIENT_TEMPLATE.FAT&amp;display_string=Audit&amp;VAR:KEY=ZUTURCJGHE&amp;VAR:QUERY=RkZfRUJJVERBX0lCKCdMVE1TJywzOTgwNSk=&amp;WINDOW=FIRST_POPUP&amp;HEIGHT=450&amp;WIDTH=450&amp;START_MA","XIMIZED=FALSE&amp;VAR:CALENDAR=US&amp;VAR:SYMBOL=N0098510&amp;VAR:INDEX=0"}</definedName>
    <definedName name="_5909__FDSAUDITLINK__" localSheetId="6" hidden="1">{"fdsup://directions/FAT Viewer?action=UPDATE&amp;creator=factset&amp;DYN_ARGS=TRUE&amp;DOC_NAME=FAT:FQL_AUDITING_CLIENT_TEMPLATE.FAT&amp;display_string=Audit&amp;VAR:KEY=NGJKXEJKHI&amp;VAR:QUERY=RkZfRUJJVERBX0lCKCdMVE1TJywzOTgwNCk=&amp;WINDOW=FIRST_POPUP&amp;HEIGHT=450&amp;WIDTH=450&amp;START_MA","XIMIZED=FALSE&amp;VAR:CALENDAR=US&amp;VAR:SYMBOL=N0098510&amp;VAR:INDEX=0"}</definedName>
    <definedName name="_5909__FDSAUDITLINK__" hidden="1">{"fdsup://directions/FAT Viewer?action=UPDATE&amp;creator=factset&amp;DYN_ARGS=TRUE&amp;DOC_NAME=FAT:FQL_AUDITING_CLIENT_TEMPLATE.FAT&amp;display_string=Audit&amp;VAR:KEY=NGJKXEJKHI&amp;VAR:QUERY=RkZfRUJJVERBX0lCKCdMVE1TJywzOTgwNCk=&amp;WINDOW=FIRST_POPUP&amp;HEIGHT=450&amp;WIDTH=450&amp;START_MA","XIMIZED=FALSE&amp;VAR:CALENDAR=US&amp;VAR:SYMBOL=N0098510&amp;VAR:INDEX=0"}</definedName>
    <definedName name="_591__FDSAUDITLINK__" localSheetId="6" hidden="1">{"fdsup://directions/FAT%20Viewer?VAR:PED=LTM&amp;VAR:AUDIT_MODE=SUMMARY&amp;VAR:PERIOD=FIXED&amp;VAR:AUDIT_ID=00000117&amp;VAR:DATE=20080710&amp;action=UPDATE&amp;creator=factset&amp;DOC_NAME=FAT:FMA_audit_SUMMARY.fat&amp;DISPLAY_STRING=Display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1__FDSAUDITLINK__" hidden="1">{"fdsup://directions/FAT%20Viewer?VAR:PED=LTM&amp;VAR:AUDIT_MODE=SUMMARY&amp;VAR:PERIOD=FIXED&amp;VAR:AUDIT_ID=00000117&amp;VAR:DATE=20080710&amp;action=UPDATE&amp;creator=factset&amp;DOC_NAME=FAT:FMA_audit_SUMMARY.fat&amp;DISPLAY_STRING=Display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10__FDSAUDITLINK__" localSheetId="6" hidden="1">{"fdsup://directions/FAT Viewer?action=UPDATE&amp;creator=factset&amp;DYN_ARGS=TRUE&amp;DOC_NAME=FAT:FQL_AUDITING_CLIENT_TEMPLATE.FAT&amp;display_string=Audit&amp;VAR:KEY=JEFQZKZMVY&amp;VAR:QUERY=RkZfRUJJVERBX0lCKCdMVE1TJywzOTgwMyk=&amp;WINDOW=FIRST_POPUP&amp;HEIGHT=450&amp;WIDTH=450&amp;START_MA","XIMIZED=FALSE&amp;VAR:CALENDAR=US&amp;VAR:SYMBOL=N0098510&amp;VAR:INDEX=0"}</definedName>
    <definedName name="_5910__FDSAUDITLINK__" hidden="1">{"fdsup://directions/FAT Viewer?action=UPDATE&amp;creator=factset&amp;DYN_ARGS=TRUE&amp;DOC_NAME=FAT:FQL_AUDITING_CLIENT_TEMPLATE.FAT&amp;display_string=Audit&amp;VAR:KEY=JEFQZKZMVY&amp;VAR:QUERY=RkZfRUJJVERBX0lCKCdMVE1TJywzOTgwMyk=&amp;WINDOW=FIRST_POPUP&amp;HEIGHT=450&amp;WIDTH=450&amp;START_MA","XIMIZED=FALSE&amp;VAR:CALENDAR=US&amp;VAR:SYMBOL=N0098510&amp;VAR:INDEX=0"}</definedName>
    <definedName name="_5911__FDSAUDITLINK__" localSheetId="6" hidden="1">{"fdsup://directions/FAT Viewer?action=UPDATE&amp;creator=factset&amp;DYN_ARGS=TRUE&amp;DOC_NAME=FAT:FQL_AUDITING_CLIENT_TEMPLATE.FAT&amp;display_string=Audit&amp;VAR:KEY=ZYHOXSXKXQ&amp;VAR:QUERY=RkZfRUJJVERBX0lCKCdMVE1TJywzOTgwMik=&amp;WINDOW=FIRST_POPUP&amp;HEIGHT=450&amp;WIDTH=450&amp;START_MA","XIMIZED=FALSE&amp;VAR:CALENDAR=US&amp;VAR:SYMBOL=N0098510&amp;VAR:INDEX=0"}</definedName>
    <definedName name="_5911__FDSAUDITLINK__" hidden="1">{"fdsup://directions/FAT Viewer?action=UPDATE&amp;creator=factset&amp;DYN_ARGS=TRUE&amp;DOC_NAME=FAT:FQL_AUDITING_CLIENT_TEMPLATE.FAT&amp;display_string=Audit&amp;VAR:KEY=ZYHOXSXKXQ&amp;VAR:QUERY=RkZfRUJJVERBX0lCKCdMVE1TJywzOTgwMik=&amp;WINDOW=FIRST_POPUP&amp;HEIGHT=450&amp;WIDTH=450&amp;START_MA","XIMIZED=FALSE&amp;VAR:CALENDAR=US&amp;VAR:SYMBOL=N0098510&amp;VAR:INDEX=0"}</definedName>
    <definedName name="_5912__FDSAUDITLINK__" localSheetId="6" hidden="1">{"fdsup://directions/FAT Viewer?action=UPDATE&amp;creator=factset&amp;DYN_ARGS=TRUE&amp;DOC_NAME=FAT:FQL_AUDITING_CLIENT_TEMPLATE.FAT&amp;display_string=Audit&amp;VAR:KEY=ZCJGFUNCHS&amp;VAR:QUERY=RkZfRUJJVERBX0lCKCdMVE1TJywzOTgwMSk=&amp;WINDOW=FIRST_POPUP&amp;HEIGHT=450&amp;WIDTH=450&amp;START_MA","XIMIZED=FALSE&amp;VAR:CALENDAR=US&amp;VAR:SYMBOL=N0098510&amp;VAR:INDEX=0"}</definedName>
    <definedName name="_5912__FDSAUDITLINK__" hidden="1">{"fdsup://directions/FAT Viewer?action=UPDATE&amp;creator=factset&amp;DYN_ARGS=TRUE&amp;DOC_NAME=FAT:FQL_AUDITING_CLIENT_TEMPLATE.FAT&amp;display_string=Audit&amp;VAR:KEY=ZCJGFUNCHS&amp;VAR:QUERY=RkZfRUJJVERBX0lCKCdMVE1TJywzOTgwMSk=&amp;WINDOW=FIRST_POPUP&amp;HEIGHT=450&amp;WIDTH=450&amp;START_MA","XIMIZED=FALSE&amp;VAR:CALENDAR=US&amp;VAR:SYMBOL=N0098510&amp;VAR:INDEX=0"}</definedName>
    <definedName name="_5913__FDSAUDITLINK__" localSheetId="6" hidden="1">{"fdsup://directions/FAT Viewer?action=UPDATE&amp;creator=factset&amp;DYN_ARGS=TRUE&amp;DOC_NAME=FAT:FQL_AUDITING_CLIENT_TEMPLATE.FAT&amp;display_string=Audit&amp;VAR:KEY=JCNWNQFUHI&amp;VAR:QUERY=RkZfRUJJVERBX0lCKCdMVE1TJywzOTgwMCk=&amp;WINDOW=FIRST_POPUP&amp;HEIGHT=450&amp;WIDTH=450&amp;START_MA","XIMIZED=FALSE&amp;VAR:CALENDAR=US&amp;VAR:SYMBOL=N0098510&amp;VAR:INDEX=0"}</definedName>
    <definedName name="_5913__FDSAUDITLINK__" hidden="1">{"fdsup://directions/FAT Viewer?action=UPDATE&amp;creator=factset&amp;DYN_ARGS=TRUE&amp;DOC_NAME=FAT:FQL_AUDITING_CLIENT_TEMPLATE.FAT&amp;display_string=Audit&amp;VAR:KEY=JCNWNQFUHI&amp;VAR:QUERY=RkZfRUJJVERBX0lCKCdMVE1TJywzOTgwMCk=&amp;WINDOW=FIRST_POPUP&amp;HEIGHT=450&amp;WIDTH=450&amp;START_MA","XIMIZED=FALSE&amp;VAR:CALENDAR=US&amp;VAR:SYMBOL=N0098510&amp;VAR:INDEX=0"}</definedName>
    <definedName name="_5914__FDSAUDITLINK__" localSheetId="6" hidden="1">{"fdsup://directions/FAT Viewer?action=UPDATE&amp;creator=factset&amp;DYN_ARGS=TRUE&amp;DOC_NAME=FAT:FQL_AUDITING_CLIENT_TEMPLATE.FAT&amp;display_string=Audit&amp;VAR:KEY=BULMDKBEHW&amp;VAR:QUERY=RkZfRUJJVERBX0lCKCdMVE1TJywzOTc5OSk=&amp;WINDOW=FIRST_POPUP&amp;HEIGHT=450&amp;WIDTH=450&amp;START_MA","XIMIZED=FALSE&amp;VAR:CALENDAR=US&amp;VAR:SYMBOL=N0098510&amp;VAR:INDEX=0"}</definedName>
    <definedName name="_5914__FDSAUDITLINK__" hidden="1">{"fdsup://directions/FAT Viewer?action=UPDATE&amp;creator=factset&amp;DYN_ARGS=TRUE&amp;DOC_NAME=FAT:FQL_AUDITING_CLIENT_TEMPLATE.FAT&amp;display_string=Audit&amp;VAR:KEY=BULMDKBEHW&amp;VAR:QUERY=RkZfRUJJVERBX0lCKCdMVE1TJywzOTc5OSk=&amp;WINDOW=FIRST_POPUP&amp;HEIGHT=450&amp;WIDTH=450&amp;START_MA","XIMIZED=FALSE&amp;VAR:CALENDAR=US&amp;VAR:SYMBOL=N0098510&amp;VAR:INDEX=0"}</definedName>
    <definedName name="_5915__FDSAUDITLINK__" localSheetId="6" hidden="1">{"fdsup://directions/FAT Viewer?action=UPDATE&amp;creator=factset&amp;DYN_ARGS=TRUE&amp;DOC_NAME=FAT:FQL_AUDITING_CLIENT_TEMPLATE.FAT&amp;display_string=Audit&amp;VAR:KEY=PIJKTIHMPC&amp;VAR:QUERY=RkZfRUJJVERBX0lCKCdMVE1TJywzOTc5OCk=&amp;WINDOW=FIRST_POPUP&amp;HEIGHT=450&amp;WIDTH=450&amp;START_MA","XIMIZED=FALSE&amp;VAR:CALENDAR=US&amp;VAR:SYMBOL=N0098510&amp;VAR:INDEX=0"}</definedName>
    <definedName name="_5915__FDSAUDITLINK__" hidden="1">{"fdsup://directions/FAT Viewer?action=UPDATE&amp;creator=factset&amp;DYN_ARGS=TRUE&amp;DOC_NAME=FAT:FQL_AUDITING_CLIENT_TEMPLATE.FAT&amp;display_string=Audit&amp;VAR:KEY=PIJKTIHMPC&amp;VAR:QUERY=RkZfRUJJVERBX0lCKCdMVE1TJywzOTc5OCk=&amp;WINDOW=FIRST_POPUP&amp;HEIGHT=450&amp;WIDTH=450&amp;START_MA","XIMIZED=FALSE&amp;VAR:CALENDAR=US&amp;VAR:SYMBOL=N0098510&amp;VAR:INDEX=0"}</definedName>
    <definedName name="_5916__FDSAUDITLINK__" localSheetId="6" hidden="1">{"fdsup://directions/FAT Viewer?action=UPDATE&amp;creator=factset&amp;DYN_ARGS=TRUE&amp;DOC_NAME=FAT:FQL_AUDITING_CLIENT_TEMPLATE.FAT&amp;display_string=Audit&amp;VAR:KEY=FIFIRQDUTG&amp;VAR:QUERY=RkZfRUJJVERBX0lCKCdMVE1TJywzOTc5Nyk=&amp;WINDOW=FIRST_POPUP&amp;HEIGHT=450&amp;WIDTH=450&amp;START_MA","XIMIZED=FALSE&amp;VAR:CALENDAR=US&amp;VAR:SYMBOL=N0098510&amp;VAR:INDEX=0"}</definedName>
    <definedName name="_5916__FDSAUDITLINK__" hidden="1">{"fdsup://directions/FAT Viewer?action=UPDATE&amp;creator=factset&amp;DYN_ARGS=TRUE&amp;DOC_NAME=FAT:FQL_AUDITING_CLIENT_TEMPLATE.FAT&amp;display_string=Audit&amp;VAR:KEY=FIFIRQDUTG&amp;VAR:QUERY=RkZfRUJJVERBX0lCKCdMVE1TJywzOTc5Nyk=&amp;WINDOW=FIRST_POPUP&amp;HEIGHT=450&amp;WIDTH=450&amp;START_MA","XIMIZED=FALSE&amp;VAR:CALENDAR=US&amp;VAR:SYMBOL=N0098510&amp;VAR:INDEX=0"}</definedName>
    <definedName name="_5917__FDSAUDITLINK__" localSheetId="6" hidden="1">{"fdsup://directions/FAT Viewer?action=UPDATE&amp;creator=factset&amp;DYN_ARGS=TRUE&amp;DOC_NAME=FAT:FQL_AUDITING_CLIENT_TEMPLATE.FAT&amp;display_string=Audit&amp;VAR:KEY=RODSXQLOXM&amp;VAR:QUERY=RkZfRUJJVERBX0lCKCdMVE1TJywzOTc5Nik=&amp;WINDOW=FIRST_POPUP&amp;HEIGHT=450&amp;WIDTH=450&amp;START_MA","XIMIZED=FALSE&amp;VAR:CALENDAR=US&amp;VAR:SYMBOL=N0098510&amp;VAR:INDEX=0"}</definedName>
    <definedName name="_5917__FDSAUDITLINK__" hidden="1">{"fdsup://directions/FAT Viewer?action=UPDATE&amp;creator=factset&amp;DYN_ARGS=TRUE&amp;DOC_NAME=FAT:FQL_AUDITING_CLIENT_TEMPLATE.FAT&amp;display_string=Audit&amp;VAR:KEY=RODSXQLOXM&amp;VAR:QUERY=RkZfRUJJVERBX0lCKCdMVE1TJywzOTc5Nik=&amp;WINDOW=FIRST_POPUP&amp;HEIGHT=450&amp;WIDTH=450&amp;START_MA","XIMIZED=FALSE&amp;VAR:CALENDAR=US&amp;VAR:SYMBOL=N0098510&amp;VAR:INDEX=0"}</definedName>
    <definedName name="_5918__FDSAUDITLINK__" localSheetId="6" hidden="1">{"fdsup://directions/FAT Viewer?action=UPDATE&amp;creator=factset&amp;DYN_ARGS=TRUE&amp;DOC_NAME=FAT:FQL_AUDITING_CLIENT_TEMPLATE.FAT&amp;display_string=Audit&amp;VAR:KEY=POJGJQDITI&amp;VAR:QUERY=RkZfRUJJVERBX0lCKCdMVE1TJywzOTc5NSk=&amp;WINDOW=FIRST_POPUP&amp;HEIGHT=450&amp;WIDTH=450&amp;START_MA","XIMIZED=FALSE&amp;VAR:CALENDAR=US&amp;VAR:SYMBOL=N0098510&amp;VAR:INDEX=0"}</definedName>
    <definedName name="_5918__FDSAUDITLINK__" hidden="1">{"fdsup://directions/FAT Viewer?action=UPDATE&amp;creator=factset&amp;DYN_ARGS=TRUE&amp;DOC_NAME=FAT:FQL_AUDITING_CLIENT_TEMPLATE.FAT&amp;display_string=Audit&amp;VAR:KEY=POJGJQDITI&amp;VAR:QUERY=RkZfRUJJVERBX0lCKCdMVE1TJywzOTc5NSk=&amp;WINDOW=FIRST_POPUP&amp;HEIGHT=450&amp;WIDTH=450&amp;START_MA","XIMIZED=FALSE&amp;VAR:CALENDAR=US&amp;VAR:SYMBOL=N0098510&amp;VAR:INDEX=0"}</definedName>
    <definedName name="_5919__FDSAUDITLINK__" localSheetId="6" hidden="1">{"fdsup://directions/FAT Viewer?action=UPDATE&amp;creator=factset&amp;DYN_ARGS=TRUE&amp;DOC_NAME=FAT:FQL_AUDITING_CLIENT_TEMPLATE.FAT&amp;display_string=Audit&amp;VAR:KEY=XULATIRQVU&amp;VAR:QUERY=RkZfRUJJVERBX0lCKCdMVE1TJywzOTc5NCk=&amp;WINDOW=FIRST_POPUP&amp;HEIGHT=450&amp;WIDTH=450&amp;START_MA","XIMIZED=FALSE&amp;VAR:CALENDAR=US&amp;VAR:SYMBOL=N0098510&amp;VAR:INDEX=0"}</definedName>
    <definedName name="_5919__FDSAUDITLINK__" hidden="1">{"fdsup://directions/FAT Viewer?action=UPDATE&amp;creator=factset&amp;DYN_ARGS=TRUE&amp;DOC_NAME=FAT:FQL_AUDITING_CLIENT_TEMPLATE.FAT&amp;display_string=Audit&amp;VAR:KEY=XULATIRQVU&amp;VAR:QUERY=RkZfRUJJVERBX0lCKCdMVE1TJywzOTc5NCk=&amp;WINDOW=FIRST_POPUP&amp;HEIGHT=450&amp;WIDTH=450&amp;START_MA","XIMIZED=FALSE&amp;VAR:CALENDAR=US&amp;VAR:SYMBOL=N0098510&amp;VAR:INDEX=0"}</definedName>
    <definedName name="_592__FDSAUDITLINK__" localSheetId="6" hidden="1">{"fdsup://directions/FAT%20Viewer?VAR:PED=LTM&amp;VAR:AUDIT_MODE=SUMMARY&amp;VAR:PERIOD=FIXED&amp;VAR:AUDIT_ID=00000117&amp;VAR:DATE=20080709&amp;action=UPDATE&amp;creator=factset&amp;DOC_NAME=FAT:FMA_audit_SUMMARY.fat&amp;DISPLAY_STRING=Display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2__FDSAUDITLINK__" hidden="1">{"fdsup://directions/FAT%20Viewer?VAR:PED=LTM&amp;VAR:AUDIT_MODE=SUMMARY&amp;VAR:PERIOD=FIXED&amp;VAR:AUDIT_ID=00000117&amp;VAR:DATE=20080709&amp;action=UPDATE&amp;creator=factset&amp;DOC_NAME=FAT:FMA_audit_SUMMARY.fat&amp;DISPLAY_STRING=Display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20__FDSAUDITLINK__" localSheetId="6" hidden="1">{"fdsup://directions/FAT Viewer?action=UPDATE&amp;creator=factset&amp;DYN_ARGS=TRUE&amp;DOC_NAME=FAT:FQL_AUDITING_CLIENT_TEMPLATE.FAT&amp;display_string=Audit&amp;VAR:KEY=JEXORQLAPM&amp;VAR:QUERY=RkZfRUJJVERBX0lCKCdMVE1TJywzOTc5Myk=&amp;WINDOW=FIRST_POPUP&amp;HEIGHT=450&amp;WIDTH=450&amp;START_MA","XIMIZED=FALSE&amp;VAR:CALENDAR=US&amp;VAR:SYMBOL=N0098510&amp;VAR:INDEX=0"}</definedName>
    <definedName name="_5920__FDSAUDITLINK__" hidden="1">{"fdsup://directions/FAT Viewer?action=UPDATE&amp;creator=factset&amp;DYN_ARGS=TRUE&amp;DOC_NAME=FAT:FQL_AUDITING_CLIENT_TEMPLATE.FAT&amp;display_string=Audit&amp;VAR:KEY=JEXORQLAPM&amp;VAR:QUERY=RkZfRUJJVERBX0lCKCdMVE1TJywzOTc5Myk=&amp;WINDOW=FIRST_POPUP&amp;HEIGHT=450&amp;WIDTH=450&amp;START_MA","XIMIZED=FALSE&amp;VAR:CALENDAR=US&amp;VAR:SYMBOL=N0098510&amp;VAR:INDEX=0"}</definedName>
    <definedName name="_5921__FDSAUDITLINK__" localSheetId="6" hidden="1">{"fdsup://directions/FAT Viewer?action=UPDATE&amp;creator=factset&amp;DYN_ARGS=TRUE&amp;DOC_NAME=FAT:FQL_AUDITING_CLIENT_TEMPLATE.FAT&amp;display_string=Audit&amp;VAR:KEY=PWPMFQZETM&amp;VAR:QUERY=RkZfRUJJVERBX0lCKCdMVE1TJywzOTc5Mik=&amp;WINDOW=FIRST_POPUP&amp;HEIGHT=450&amp;WIDTH=450&amp;START_MA","XIMIZED=FALSE&amp;VAR:CALENDAR=US&amp;VAR:SYMBOL=N0098510&amp;VAR:INDEX=0"}</definedName>
    <definedName name="_5921__FDSAUDITLINK__" hidden="1">{"fdsup://directions/FAT Viewer?action=UPDATE&amp;creator=factset&amp;DYN_ARGS=TRUE&amp;DOC_NAME=FAT:FQL_AUDITING_CLIENT_TEMPLATE.FAT&amp;display_string=Audit&amp;VAR:KEY=PWPMFQZETM&amp;VAR:QUERY=RkZfRUJJVERBX0lCKCdMVE1TJywzOTc5Mik=&amp;WINDOW=FIRST_POPUP&amp;HEIGHT=450&amp;WIDTH=450&amp;START_MA","XIMIZED=FALSE&amp;VAR:CALENDAR=US&amp;VAR:SYMBOL=N0098510&amp;VAR:INDEX=0"}</definedName>
    <definedName name="_5922__FDSAUDITLINK__" localSheetId="6" hidden="1">{"fdsup://directions/FAT Viewer?action=UPDATE&amp;creator=factset&amp;DYN_ARGS=TRUE&amp;DOC_NAME=FAT:FQL_AUDITING_CLIENT_TEMPLATE.FAT&amp;display_string=Audit&amp;VAR:KEY=RCXCZUVMXI&amp;VAR:QUERY=RkZfRUJJVERBX0lCKCdMVE1TJywzOTc5MSk=&amp;WINDOW=FIRST_POPUP&amp;HEIGHT=450&amp;WIDTH=450&amp;START_MA","XIMIZED=FALSE&amp;VAR:CALENDAR=US&amp;VAR:SYMBOL=N0098510&amp;VAR:INDEX=0"}</definedName>
    <definedName name="_5922__FDSAUDITLINK__" hidden="1">{"fdsup://directions/FAT Viewer?action=UPDATE&amp;creator=factset&amp;DYN_ARGS=TRUE&amp;DOC_NAME=FAT:FQL_AUDITING_CLIENT_TEMPLATE.FAT&amp;display_string=Audit&amp;VAR:KEY=RCXCZUVMXI&amp;VAR:QUERY=RkZfRUJJVERBX0lCKCdMVE1TJywzOTc5MSk=&amp;WINDOW=FIRST_POPUP&amp;HEIGHT=450&amp;WIDTH=450&amp;START_MA","XIMIZED=FALSE&amp;VAR:CALENDAR=US&amp;VAR:SYMBOL=N0098510&amp;VAR:INDEX=0"}</definedName>
    <definedName name="_5923__FDSAUDITLINK__" localSheetId="6" hidden="1">{"fdsup://directions/FAT Viewer?action=UPDATE&amp;creator=factset&amp;DYN_ARGS=TRUE&amp;DOC_NAME=FAT:FQL_AUDITING_CLIENT_TEMPLATE.FAT&amp;display_string=Audit&amp;VAR:KEY=DCBURURWJQ&amp;VAR:QUERY=RkZfRUJJVERBX0lCKCdMVE1TJywzOTc5MCk=&amp;WINDOW=FIRST_POPUP&amp;HEIGHT=450&amp;WIDTH=450&amp;START_MA","XIMIZED=FALSE&amp;VAR:CALENDAR=US&amp;VAR:SYMBOL=N0098510&amp;VAR:INDEX=0"}</definedName>
    <definedName name="_5923__FDSAUDITLINK__" hidden="1">{"fdsup://directions/FAT Viewer?action=UPDATE&amp;creator=factset&amp;DYN_ARGS=TRUE&amp;DOC_NAME=FAT:FQL_AUDITING_CLIENT_TEMPLATE.FAT&amp;display_string=Audit&amp;VAR:KEY=DCBURURWJQ&amp;VAR:QUERY=RkZfRUJJVERBX0lCKCdMVE1TJywzOTc5MCk=&amp;WINDOW=FIRST_POPUP&amp;HEIGHT=450&amp;WIDTH=450&amp;START_MA","XIMIZED=FALSE&amp;VAR:CALENDAR=US&amp;VAR:SYMBOL=N0098510&amp;VAR:INDEX=0"}</definedName>
    <definedName name="_5924__FDSAUDITLINK__" localSheetId="6" hidden="1">{"fdsup://directions/FAT Viewer?action=UPDATE&amp;creator=factset&amp;DYN_ARGS=TRUE&amp;DOC_NAME=FAT:FQL_AUDITING_CLIENT_TEMPLATE.FAT&amp;display_string=Audit&amp;VAR:KEY=XSPMBADKFS&amp;VAR:QUERY=RkZfRUJJVERBX0lCKCdMVE1TJywzOTc4OSk=&amp;WINDOW=FIRST_POPUP&amp;HEIGHT=450&amp;WIDTH=450&amp;START_MA","XIMIZED=FALSE&amp;VAR:CALENDAR=US&amp;VAR:SYMBOL=N0098510&amp;VAR:INDEX=0"}</definedName>
    <definedName name="_5924__FDSAUDITLINK__" hidden="1">{"fdsup://directions/FAT Viewer?action=UPDATE&amp;creator=factset&amp;DYN_ARGS=TRUE&amp;DOC_NAME=FAT:FQL_AUDITING_CLIENT_TEMPLATE.FAT&amp;display_string=Audit&amp;VAR:KEY=XSPMBADKFS&amp;VAR:QUERY=RkZfRUJJVERBX0lCKCdMVE1TJywzOTc4OSk=&amp;WINDOW=FIRST_POPUP&amp;HEIGHT=450&amp;WIDTH=450&amp;START_MA","XIMIZED=FALSE&amp;VAR:CALENDAR=US&amp;VAR:SYMBOL=N0098510&amp;VAR:INDEX=0"}</definedName>
    <definedName name="_5925__FDSAUDITLINK__" localSheetId="6" hidden="1">{"fdsup://directions/FAT Viewer?action=UPDATE&amp;creator=factset&amp;DYN_ARGS=TRUE&amp;DOC_NAME=FAT:FQL_AUDITING_CLIENT_TEMPLATE.FAT&amp;display_string=Audit&amp;VAR:KEY=HELIZYBETO&amp;VAR:QUERY=RkZfRUJJVERBX0lCKCdMVE1TJywzOTc4OCk=&amp;WINDOW=FIRST_POPUP&amp;HEIGHT=450&amp;WIDTH=450&amp;START_MA","XIMIZED=FALSE&amp;VAR:CALENDAR=US&amp;VAR:SYMBOL=N0098510&amp;VAR:INDEX=0"}</definedName>
    <definedName name="_5925__FDSAUDITLINK__" hidden="1">{"fdsup://directions/FAT Viewer?action=UPDATE&amp;creator=factset&amp;DYN_ARGS=TRUE&amp;DOC_NAME=FAT:FQL_AUDITING_CLIENT_TEMPLATE.FAT&amp;display_string=Audit&amp;VAR:KEY=HELIZYBETO&amp;VAR:QUERY=RkZfRUJJVERBX0lCKCdMVE1TJywzOTc4OCk=&amp;WINDOW=FIRST_POPUP&amp;HEIGHT=450&amp;WIDTH=450&amp;START_MA","XIMIZED=FALSE&amp;VAR:CALENDAR=US&amp;VAR:SYMBOL=N0098510&amp;VAR:INDEX=0"}</definedName>
    <definedName name="_5926__FDSAUDITLINK__" localSheetId="6" hidden="1">{"fdsup://directions/FAT Viewer?action=UPDATE&amp;creator=factset&amp;DYN_ARGS=TRUE&amp;DOC_NAME=FAT:FQL_AUDITING_CLIENT_TEMPLATE.FAT&amp;display_string=Audit&amp;VAR:KEY=JQXUVCPSTO&amp;VAR:QUERY=RkZfRUJJVERBX0lCKCdMVE1TJywzOTc4Nyk=&amp;WINDOW=FIRST_POPUP&amp;HEIGHT=450&amp;WIDTH=450&amp;START_MA","XIMIZED=FALSE&amp;VAR:CALENDAR=US&amp;VAR:SYMBOL=N0098510&amp;VAR:INDEX=0"}</definedName>
    <definedName name="_5926__FDSAUDITLINK__" hidden="1">{"fdsup://directions/FAT Viewer?action=UPDATE&amp;creator=factset&amp;DYN_ARGS=TRUE&amp;DOC_NAME=FAT:FQL_AUDITING_CLIENT_TEMPLATE.FAT&amp;display_string=Audit&amp;VAR:KEY=JQXUVCPSTO&amp;VAR:QUERY=RkZfRUJJVERBX0lCKCdMVE1TJywzOTc4Nyk=&amp;WINDOW=FIRST_POPUP&amp;HEIGHT=450&amp;WIDTH=450&amp;START_MA","XIMIZED=FALSE&amp;VAR:CALENDAR=US&amp;VAR:SYMBOL=N0098510&amp;VAR:INDEX=0"}</definedName>
    <definedName name="_5927__FDSAUDITLINK__" localSheetId="6" hidden="1">{"fdsup://directions/FAT Viewer?action=UPDATE&amp;creator=factset&amp;DYN_ARGS=TRUE&amp;DOC_NAME=FAT:FQL_AUDITING_CLIENT_TEMPLATE.FAT&amp;display_string=Audit&amp;VAR:KEY=DQHGRYJSXG&amp;VAR:QUERY=RkZfRUJJVERBX0lCKCdMVE1TJywzOTc4Nik=&amp;WINDOW=FIRST_POPUP&amp;HEIGHT=450&amp;WIDTH=450&amp;START_MA","XIMIZED=FALSE&amp;VAR:CALENDAR=US&amp;VAR:SYMBOL=N0098510&amp;VAR:INDEX=0"}</definedName>
    <definedName name="_5927__FDSAUDITLINK__" hidden="1">{"fdsup://directions/FAT Viewer?action=UPDATE&amp;creator=factset&amp;DYN_ARGS=TRUE&amp;DOC_NAME=FAT:FQL_AUDITING_CLIENT_TEMPLATE.FAT&amp;display_string=Audit&amp;VAR:KEY=DQHGRYJSXG&amp;VAR:QUERY=RkZfRUJJVERBX0lCKCdMVE1TJywzOTc4Nik=&amp;WINDOW=FIRST_POPUP&amp;HEIGHT=450&amp;WIDTH=450&amp;START_MA","XIMIZED=FALSE&amp;VAR:CALENDAR=US&amp;VAR:SYMBOL=N0098510&amp;VAR:INDEX=0"}</definedName>
    <definedName name="_5928__FDSAUDITLINK__" localSheetId="6" hidden="1">{"fdsup://directions/FAT Viewer?action=UPDATE&amp;creator=factset&amp;DYN_ARGS=TRUE&amp;DOC_NAME=FAT:FQL_AUDITING_CLIENT_TEMPLATE.FAT&amp;display_string=Audit&amp;VAR:KEY=XIJEDYBUDM&amp;VAR:QUERY=RkZfRUJJVERBX0lCKCdMVE1TJywzOTc4NSk=&amp;WINDOW=FIRST_POPUP&amp;HEIGHT=450&amp;WIDTH=450&amp;START_MA","XIMIZED=FALSE&amp;VAR:CALENDAR=US&amp;VAR:SYMBOL=N0098510&amp;VAR:INDEX=0"}</definedName>
    <definedName name="_5928__FDSAUDITLINK__" hidden="1">{"fdsup://directions/FAT Viewer?action=UPDATE&amp;creator=factset&amp;DYN_ARGS=TRUE&amp;DOC_NAME=FAT:FQL_AUDITING_CLIENT_TEMPLATE.FAT&amp;display_string=Audit&amp;VAR:KEY=XIJEDYBUDM&amp;VAR:QUERY=RkZfRUJJVERBX0lCKCdMVE1TJywzOTc4NSk=&amp;WINDOW=FIRST_POPUP&amp;HEIGHT=450&amp;WIDTH=450&amp;START_MA","XIMIZED=FALSE&amp;VAR:CALENDAR=US&amp;VAR:SYMBOL=N0098510&amp;VAR:INDEX=0"}</definedName>
    <definedName name="_5929__FDSAUDITLINK__" localSheetId="6" hidden="1">{"fdsup://directions/FAT Viewer?action=UPDATE&amp;creator=factset&amp;DYN_ARGS=TRUE&amp;DOC_NAME=FAT:FQL_AUDITING_CLIENT_TEMPLATE.FAT&amp;display_string=Audit&amp;VAR:KEY=LIFALUBUNU&amp;VAR:QUERY=RkZfRUJJVERBX0lCKCdMVE1TJywzOTc4NCk=&amp;WINDOW=FIRST_POPUP&amp;HEIGHT=450&amp;WIDTH=450&amp;START_MA","XIMIZED=FALSE&amp;VAR:CALENDAR=US&amp;VAR:SYMBOL=N0098510&amp;VAR:INDEX=0"}</definedName>
    <definedName name="_5929__FDSAUDITLINK__" hidden="1">{"fdsup://directions/FAT Viewer?action=UPDATE&amp;creator=factset&amp;DYN_ARGS=TRUE&amp;DOC_NAME=FAT:FQL_AUDITING_CLIENT_TEMPLATE.FAT&amp;display_string=Audit&amp;VAR:KEY=LIFALUBUNU&amp;VAR:QUERY=RkZfRUJJVERBX0lCKCdMVE1TJywzOTc4NCk=&amp;WINDOW=FIRST_POPUP&amp;HEIGHT=450&amp;WIDTH=450&amp;START_MA","XIMIZED=FALSE&amp;VAR:CALENDAR=US&amp;VAR:SYMBOL=N0098510&amp;VAR:INDEX=0"}</definedName>
    <definedName name="_593__FDSAUDITLINK__" localSheetId="6" hidden="1">{"fdsup://directions/FAT%20Viewer?VAR:PED=LTM&amp;VAR:AUDIT_MODE=SUMMARY&amp;VAR:PERIOD=FIXED&amp;VAR:AUDIT_ID=00000117&amp;VAR:DATE=20080708&amp;action=UPDATE&amp;creator=factset&amp;DOC_NAME=FAT:FMA_audit_SUMMARY.fat&amp;DISPLAY_STRING=Display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3__FDSAUDITLINK__" hidden="1">{"fdsup://directions/FAT%20Viewer?VAR:PED=LTM&amp;VAR:AUDIT_MODE=SUMMARY&amp;VAR:PERIOD=FIXED&amp;VAR:AUDIT_ID=00000117&amp;VAR:DATE=20080708&amp;action=UPDATE&amp;creator=factset&amp;DOC_NAME=FAT:FMA_audit_SUMMARY.fat&amp;DISPLAY_STRING=Display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30__FDSAUDITLINK__" localSheetId="6" hidden="1">{"fdsup://directions/FAT Viewer?action=UPDATE&amp;creator=factset&amp;DYN_ARGS=TRUE&amp;DOC_NAME=FAT:FQL_AUDITING_CLIENT_TEMPLATE.FAT&amp;display_string=Audit&amp;VAR:KEY=REBWRUBWZM&amp;VAR:QUERY=RkZfRUJJVERBX0lCKCdMVE1TJywzOTc4Myk=&amp;WINDOW=FIRST_POPUP&amp;HEIGHT=450&amp;WIDTH=450&amp;START_MA","XIMIZED=FALSE&amp;VAR:CALENDAR=US&amp;VAR:SYMBOL=N0098510&amp;VAR:INDEX=0"}</definedName>
    <definedName name="_5930__FDSAUDITLINK__" hidden="1">{"fdsup://directions/FAT Viewer?action=UPDATE&amp;creator=factset&amp;DYN_ARGS=TRUE&amp;DOC_NAME=FAT:FQL_AUDITING_CLIENT_TEMPLATE.FAT&amp;display_string=Audit&amp;VAR:KEY=REBWRUBWZM&amp;VAR:QUERY=RkZfRUJJVERBX0lCKCdMVE1TJywzOTc4Myk=&amp;WINDOW=FIRST_POPUP&amp;HEIGHT=450&amp;WIDTH=450&amp;START_MA","XIMIZED=FALSE&amp;VAR:CALENDAR=US&amp;VAR:SYMBOL=N0098510&amp;VAR:INDEX=0"}</definedName>
    <definedName name="_5931__FDSAUDITLINK__" localSheetId="6" hidden="1">{"fdsup://directions/FAT Viewer?action=UPDATE&amp;creator=factset&amp;DYN_ARGS=TRUE&amp;DOC_NAME=FAT:FQL_AUDITING_CLIENT_TEMPLATE.FAT&amp;display_string=Audit&amp;VAR:KEY=RYBWXCVYTA&amp;VAR:QUERY=RkZfRUJJVERBX0lCKCdMVE1TJywzOTc4Mik=&amp;WINDOW=FIRST_POPUP&amp;HEIGHT=450&amp;WIDTH=450&amp;START_MA","XIMIZED=FALSE&amp;VAR:CALENDAR=US&amp;VAR:SYMBOL=N0098510&amp;VAR:INDEX=0"}</definedName>
    <definedName name="_5931__FDSAUDITLINK__" hidden="1">{"fdsup://directions/FAT Viewer?action=UPDATE&amp;creator=factset&amp;DYN_ARGS=TRUE&amp;DOC_NAME=FAT:FQL_AUDITING_CLIENT_TEMPLATE.FAT&amp;display_string=Audit&amp;VAR:KEY=RYBWXCVYTA&amp;VAR:QUERY=RkZfRUJJVERBX0lCKCdMVE1TJywzOTc4Mik=&amp;WINDOW=FIRST_POPUP&amp;HEIGHT=450&amp;WIDTH=450&amp;START_MA","XIMIZED=FALSE&amp;VAR:CALENDAR=US&amp;VAR:SYMBOL=N0098510&amp;VAR:INDEX=0"}</definedName>
    <definedName name="_5932__FDSAUDITLINK__" localSheetId="6" hidden="1">{"fdsup://directions/FAT Viewer?action=UPDATE&amp;creator=factset&amp;DYN_ARGS=TRUE&amp;DOC_NAME=FAT:FQL_AUDITING_CLIENT_TEMPLATE.FAT&amp;display_string=Audit&amp;VAR:KEY=ZETSRQXYVA&amp;VAR:QUERY=RkZfRUJJVERBX0lCKCdMVE1TJywzOTc4MSk=&amp;WINDOW=FIRST_POPUP&amp;HEIGHT=450&amp;WIDTH=450&amp;START_MA","XIMIZED=FALSE&amp;VAR:CALENDAR=US&amp;VAR:SYMBOL=N0098510&amp;VAR:INDEX=0"}</definedName>
    <definedName name="_5932__FDSAUDITLINK__" hidden="1">{"fdsup://directions/FAT Viewer?action=UPDATE&amp;creator=factset&amp;DYN_ARGS=TRUE&amp;DOC_NAME=FAT:FQL_AUDITING_CLIENT_TEMPLATE.FAT&amp;display_string=Audit&amp;VAR:KEY=ZETSRQXYVA&amp;VAR:QUERY=RkZfRUJJVERBX0lCKCdMVE1TJywzOTc4MSk=&amp;WINDOW=FIRST_POPUP&amp;HEIGHT=450&amp;WIDTH=450&amp;START_MA","XIMIZED=FALSE&amp;VAR:CALENDAR=US&amp;VAR:SYMBOL=N0098510&amp;VAR:INDEX=0"}</definedName>
    <definedName name="_5933__FDSAUDITLINK__" localSheetId="6" hidden="1">{"fdsup://directions/FAT Viewer?action=UPDATE&amp;creator=factset&amp;DYN_ARGS=TRUE&amp;DOC_NAME=FAT:FQL_AUDITING_CLIENT_TEMPLATE.FAT&amp;display_string=Audit&amp;VAR:KEY=TWNWXAZEZS&amp;VAR:QUERY=RkZfRUJJVERBX0lCKCdMVE1TJywzOTc4MCk=&amp;WINDOW=FIRST_POPUP&amp;HEIGHT=450&amp;WIDTH=450&amp;START_MA","XIMIZED=FALSE&amp;VAR:CALENDAR=US&amp;VAR:SYMBOL=N0098510&amp;VAR:INDEX=0"}</definedName>
    <definedName name="_5933__FDSAUDITLINK__" hidden="1">{"fdsup://directions/FAT Viewer?action=UPDATE&amp;creator=factset&amp;DYN_ARGS=TRUE&amp;DOC_NAME=FAT:FQL_AUDITING_CLIENT_TEMPLATE.FAT&amp;display_string=Audit&amp;VAR:KEY=TWNWXAZEZS&amp;VAR:QUERY=RkZfRUJJVERBX0lCKCdMVE1TJywzOTc4MCk=&amp;WINDOW=FIRST_POPUP&amp;HEIGHT=450&amp;WIDTH=450&amp;START_MA","XIMIZED=FALSE&amp;VAR:CALENDAR=US&amp;VAR:SYMBOL=N0098510&amp;VAR:INDEX=0"}</definedName>
    <definedName name="_5934__FDSAUDITLINK__" localSheetId="6" hidden="1">{"fdsup://directions/FAT Viewer?action=UPDATE&amp;creator=factset&amp;DYN_ARGS=TRUE&amp;DOC_NAME=FAT:FQL_AUDITING_CLIENT_TEMPLATE.FAT&amp;display_string=Audit&amp;VAR:KEY=JQLKHQXMLG&amp;VAR:QUERY=RkZfRUJJVERBX0lCKCdMVE1TJywzOTc3OSk=&amp;WINDOW=FIRST_POPUP&amp;HEIGHT=450&amp;WIDTH=450&amp;START_MA","XIMIZED=FALSE&amp;VAR:CALENDAR=US&amp;VAR:SYMBOL=N0098510&amp;VAR:INDEX=0"}</definedName>
    <definedName name="_5934__FDSAUDITLINK__" hidden="1">{"fdsup://directions/FAT Viewer?action=UPDATE&amp;creator=factset&amp;DYN_ARGS=TRUE&amp;DOC_NAME=FAT:FQL_AUDITING_CLIENT_TEMPLATE.FAT&amp;display_string=Audit&amp;VAR:KEY=JQLKHQXMLG&amp;VAR:QUERY=RkZfRUJJVERBX0lCKCdMVE1TJywzOTc3OSk=&amp;WINDOW=FIRST_POPUP&amp;HEIGHT=450&amp;WIDTH=450&amp;START_MA","XIMIZED=FALSE&amp;VAR:CALENDAR=US&amp;VAR:SYMBOL=N0098510&amp;VAR:INDEX=0"}</definedName>
    <definedName name="_5935__FDSAUDITLINK__" localSheetId="6" hidden="1">{"fdsup://directions/FAT Viewer?action=UPDATE&amp;creator=factset&amp;DYN_ARGS=TRUE&amp;DOC_NAME=FAT:FQL_AUDITING_CLIENT_TEMPLATE.FAT&amp;display_string=Audit&amp;VAR:KEY=NGFMPSLUFU&amp;VAR:QUERY=RkZfRUJJVERBX0lCKCdMVE1TJywzOTc3OCk=&amp;WINDOW=FIRST_POPUP&amp;HEIGHT=450&amp;WIDTH=450&amp;START_MA","XIMIZED=FALSE&amp;VAR:CALENDAR=US&amp;VAR:SYMBOL=N0098510&amp;VAR:INDEX=0"}</definedName>
    <definedName name="_5935__FDSAUDITLINK__" hidden="1">{"fdsup://directions/FAT Viewer?action=UPDATE&amp;creator=factset&amp;DYN_ARGS=TRUE&amp;DOC_NAME=FAT:FQL_AUDITING_CLIENT_TEMPLATE.FAT&amp;display_string=Audit&amp;VAR:KEY=NGFMPSLUFU&amp;VAR:QUERY=RkZfRUJJVERBX0lCKCdMVE1TJywzOTc3OCk=&amp;WINDOW=FIRST_POPUP&amp;HEIGHT=450&amp;WIDTH=450&amp;START_MA","XIMIZED=FALSE&amp;VAR:CALENDAR=US&amp;VAR:SYMBOL=N0098510&amp;VAR:INDEX=0"}</definedName>
    <definedName name="_5936__FDSAUDITLINK__" localSheetId="6" hidden="1">{"fdsup://directions/FAT Viewer?action=UPDATE&amp;creator=factset&amp;DYN_ARGS=TRUE&amp;DOC_NAME=FAT:FQL_AUDITING_CLIENT_TEMPLATE.FAT&amp;display_string=Audit&amp;VAR:KEY=BSFIPAVOFU&amp;VAR:QUERY=RkZfRUJJVERBX0lCKCdMVE1TJywzOTc3Nyk=&amp;WINDOW=FIRST_POPUP&amp;HEIGHT=450&amp;WIDTH=450&amp;START_MA","XIMIZED=FALSE&amp;VAR:CALENDAR=US&amp;VAR:SYMBOL=N0098510&amp;VAR:INDEX=0"}</definedName>
    <definedName name="_5936__FDSAUDITLINK__" hidden="1">{"fdsup://directions/FAT Viewer?action=UPDATE&amp;creator=factset&amp;DYN_ARGS=TRUE&amp;DOC_NAME=FAT:FQL_AUDITING_CLIENT_TEMPLATE.FAT&amp;display_string=Audit&amp;VAR:KEY=BSFIPAVOFU&amp;VAR:QUERY=RkZfRUJJVERBX0lCKCdMVE1TJywzOTc3Nyk=&amp;WINDOW=FIRST_POPUP&amp;HEIGHT=450&amp;WIDTH=450&amp;START_MA","XIMIZED=FALSE&amp;VAR:CALENDAR=US&amp;VAR:SYMBOL=N0098510&amp;VAR:INDEX=0"}</definedName>
    <definedName name="_5937__FDSAUDITLINK__" localSheetId="6" hidden="1">{"fdsup://directions/FAT Viewer?action=UPDATE&amp;creator=factset&amp;DYN_ARGS=TRUE&amp;DOC_NAME=FAT:FQL_AUDITING_CLIENT_TEMPLATE.FAT&amp;display_string=Audit&amp;VAR:KEY=NYBAPEVGJU&amp;VAR:QUERY=RkZfRUJJVERBX0lCKCdMVE1TJywzOTc3Nik=&amp;WINDOW=FIRST_POPUP&amp;HEIGHT=450&amp;WIDTH=450&amp;START_MA","XIMIZED=FALSE&amp;VAR:CALENDAR=US&amp;VAR:SYMBOL=N0098510&amp;VAR:INDEX=0"}</definedName>
    <definedName name="_5937__FDSAUDITLINK__" hidden="1">{"fdsup://directions/FAT Viewer?action=UPDATE&amp;creator=factset&amp;DYN_ARGS=TRUE&amp;DOC_NAME=FAT:FQL_AUDITING_CLIENT_TEMPLATE.FAT&amp;display_string=Audit&amp;VAR:KEY=NYBAPEVGJU&amp;VAR:QUERY=RkZfRUJJVERBX0lCKCdMVE1TJywzOTc3Nik=&amp;WINDOW=FIRST_POPUP&amp;HEIGHT=450&amp;WIDTH=450&amp;START_MA","XIMIZED=FALSE&amp;VAR:CALENDAR=US&amp;VAR:SYMBOL=N0098510&amp;VAR:INDEX=0"}</definedName>
    <definedName name="_5938__FDSAUDITLINK__" localSheetId="6" hidden="1">{"fdsup://directions/FAT Viewer?action=UPDATE&amp;creator=factset&amp;DYN_ARGS=TRUE&amp;DOC_NAME=FAT:FQL_AUDITING_CLIENT_TEMPLATE.FAT&amp;display_string=Audit&amp;VAR:KEY=DQPKNGTWJI&amp;VAR:QUERY=RkZfRUJJVERBX0lCKCdMVE1TJywzOTc3NSk=&amp;WINDOW=FIRST_POPUP&amp;HEIGHT=450&amp;WIDTH=450&amp;START_MA","XIMIZED=FALSE&amp;VAR:CALENDAR=US&amp;VAR:SYMBOL=N0098510&amp;VAR:INDEX=0"}</definedName>
    <definedName name="_5938__FDSAUDITLINK__" hidden="1">{"fdsup://directions/FAT Viewer?action=UPDATE&amp;creator=factset&amp;DYN_ARGS=TRUE&amp;DOC_NAME=FAT:FQL_AUDITING_CLIENT_TEMPLATE.FAT&amp;display_string=Audit&amp;VAR:KEY=DQPKNGTWJI&amp;VAR:QUERY=RkZfRUJJVERBX0lCKCdMVE1TJywzOTc3NSk=&amp;WINDOW=FIRST_POPUP&amp;HEIGHT=450&amp;WIDTH=450&amp;START_MA","XIMIZED=FALSE&amp;VAR:CALENDAR=US&amp;VAR:SYMBOL=N0098510&amp;VAR:INDEX=0"}</definedName>
    <definedName name="_5939__FDSAUDITLINK__" localSheetId="6" hidden="1">{"fdsup://directions/FAT Viewer?action=UPDATE&amp;creator=factset&amp;DYN_ARGS=TRUE&amp;DOC_NAME=FAT:FQL_AUDITING_CLIENT_TEMPLATE.FAT&amp;display_string=Audit&amp;VAR:KEY=XITWBAFKNM&amp;VAR:QUERY=RkZfRUJJVERBX0lCKCdMVE1TJywzOTc3NCk=&amp;WINDOW=FIRST_POPUP&amp;HEIGHT=450&amp;WIDTH=450&amp;START_MA","XIMIZED=FALSE&amp;VAR:CALENDAR=US&amp;VAR:SYMBOL=N0098510&amp;VAR:INDEX=0"}</definedName>
    <definedName name="_5939__FDSAUDITLINK__" hidden="1">{"fdsup://directions/FAT Viewer?action=UPDATE&amp;creator=factset&amp;DYN_ARGS=TRUE&amp;DOC_NAME=FAT:FQL_AUDITING_CLIENT_TEMPLATE.FAT&amp;display_string=Audit&amp;VAR:KEY=XITWBAFKNM&amp;VAR:QUERY=RkZfRUJJVERBX0lCKCdMVE1TJywzOTc3NCk=&amp;WINDOW=FIRST_POPUP&amp;HEIGHT=450&amp;WIDTH=450&amp;START_MA","XIMIZED=FALSE&amp;VAR:CALENDAR=US&amp;VAR:SYMBOL=N0098510&amp;VAR:INDEX=0"}</definedName>
    <definedName name="_594__FDSAUDITLINK__" localSheetId="6" hidden="1">{"fdsup://directions/FAT%20Viewer?VAR:PED=LTM&amp;VAR:AUDIT_MODE=SUMMARY&amp;VAR:PERIOD=FIXED&amp;VAR:AUDIT_ID=00000117&amp;VAR:DATE=20080707&amp;action=UPDATE&amp;creator=factset&amp;DOC_NAME=FAT:FMA_audit_SUMMARY.fat&amp;DISPLAY_STRING=Display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4__FDSAUDITLINK__" hidden="1">{"fdsup://directions/FAT%20Viewer?VAR:PED=LTM&amp;VAR:AUDIT_MODE=SUMMARY&amp;VAR:PERIOD=FIXED&amp;VAR:AUDIT_ID=00000117&amp;VAR:DATE=20080707&amp;action=UPDATE&amp;creator=factset&amp;DOC_NAME=FAT:FMA_audit_SUMMARY.fat&amp;DISPLAY_STRING=Display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40__FDSAUDITLINK__" localSheetId="6" hidden="1">{"fdsup://directions/FAT Viewer?action=UPDATE&amp;creator=factset&amp;DYN_ARGS=TRUE&amp;DOC_NAME=FAT:FQL_AUDITING_CLIENT_TEMPLATE.FAT&amp;display_string=Audit&amp;VAR:KEY=RCNWZCFGFI&amp;VAR:QUERY=RkZfRUJJVERBX0lCKCdMVE1TJywzOTc3Myk=&amp;WINDOW=FIRST_POPUP&amp;HEIGHT=450&amp;WIDTH=450&amp;START_MA","XIMIZED=FALSE&amp;VAR:CALENDAR=US&amp;VAR:SYMBOL=N0098510&amp;VAR:INDEX=0"}</definedName>
    <definedName name="_5940__FDSAUDITLINK__" hidden="1">{"fdsup://directions/FAT Viewer?action=UPDATE&amp;creator=factset&amp;DYN_ARGS=TRUE&amp;DOC_NAME=FAT:FQL_AUDITING_CLIENT_TEMPLATE.FAT&amp;display_string=Audit&amp;VAR:KEY=RCNWZCFGFI&amp;VAR:QUERY=RkZfRUJJVERBX0lCKCdMVE1TJywzOTc3Myk=&amp;WINDOW=FIRST_POPUP&amp;HEIGHT=450&amp;WIDTH=450&amp;START_MA","XIMIZED=FALSE&amp;VAR:CALENDAR=US&amp;VAR:SYMBOL=N0098510&amp;VAR:INDEX=0"}</definedName>
    <definedName name="_5941__FDSAUDITLINK__" localSheetId="6" hidden="1">{"fdsup://directions/FAT Viewer?action=UPDATE&amp;creator=factset&amp;DYN_ARGS=TRUE&amp;DOC_NAME=FAT:FQL_AUDITING_CLIENT_TEMPLATE.FAT&amp;display_string=Audit&amp;VAR:KEY=TYHUZQTIVO&amp;VAR:QUERY=RkZfRUJJVERBX0lCKCdMVE1TJywzOTc3Mik=&amp;WINDOW=FIRST_POPUP&amp;HEIGHT=450&amp;WIDTH=450&amp;START_MA","XIMIZED=FALSE&amp;VAR:CALENDAR=US&amp;VAR:SYMBOL=N0098510&amp;VAR:INDEX=0"}</definedName>
    <definedName name="_5941__FDSAUDITLINK__" hidden="1">{"fdsup://directions/FAT Viewer?action=UPDATE&amp;creator=factset&amp;DYN_ARGS=TRUE&amp;DOC_NAME=FAT:FQL_AUDITING_CLIENT_TEMPLATE.FAT&amp;display_string=Audit&amp;VAR:KEY=TYHUZQTIVO&amp;VAR:QUERY=RkZfRUJJVERBX0lCKCdMVE1TJywzOTc3Mik=&amp;WINDOW=FIRST_POPUP&amp;HEIGHT=450&amp;WIDTH=450&amp;START_MA","XIMIZED=FALSE&amp;VAR:CALENDAR=US&amp;VAR:SYMBOL=N0098510&amp;VAR:INDEX=0"}</definedName>
    <definedName name="_5942__FDSAUDITLINK__" localSheetId="6" hidden="1">{"fdsup://directions/FAT Viewer?action=UPDATE&amp;creator=factset&amp;DYN_ARGS=TRUE&amp;DOC_NAME=FAT:FQL_AUDITING_CLIENT_TEMPLATE.FAT&amp;display_string=Audit&amp;VAR:KEY=VILGLILOPM&amp;VAR:QUERY=RkZfRUJJVERBX0lCKCdMVE1TJywzOTc3MSk=&amp;WINDOW=FIRST_POPUP&amp;HEIGHT=450&amp;WIDTH=450&amp;START_MA","XIMIZED=FALSE&amp;VAR:CALENDAR=US&amp;VAR:SYMBOL=N0098510&amp;VAR:INDEX=0"}</definedName>
    <definedName name="_5942__FDSAUDITLINK__" hidden="1">{"fdsup://directions/FAT Viewer?action=UPDATE&amp;creator=factset&amp;DYN_ARGS=TRUE&amp;DOC_NAME=FAT:FQL_AUDITING_CLIENT_TEMPLATE.FAT&amp;display_string=Audit&amp;VAR:KEY=VILGLILOPM&amp;VAR:QUERY=RkZfRUJJVERBX0lCKCdMVE1TJywzOTc3MSk=&amp;WINDOW=FIRST_POPUP&amp;HEIGHT=450&amp;WIDTH=450&amp;START_MA","XIMIZED=FALSE&amp;VAR:CALENDAR=US&amp;VAR:SYMBOL=N0098510&amp;VAR:INDEX=0"}</definedName>
    <definedName name="_5943__FDSAUDITLINK__" localSheetId="6" hidden="1">{"fdsup://directions/FAT Viewer?action=UPDATE&amp;creator=factset&amp;DYN_ARGS=TRUE&amp;DOC_NAME=FAT:FQL_AUDITING_CLIENT_TEMPLATE.FAT&amp;display_string=Audit&amp;VAR:KEY=BCTMBGVWPO&amp;VAR:QUERY=RkZfRUJJVERBX0lCKCdMVE1TJywzOTc3MCk=&amp;WINDOW=FIRST_POPUP&amp;HEIGHT=450&amp;WIDTH=450&amp;START_MA","XIMIZED=FALSE&amp;VAR:CALENDAR=US&amp;VAR:SYMBOL=N0098510&amp;VAR:INDEX=0"}</definedName>
    <definedName name="_5943__FDSAUDITLINK__" hidden="1">{"fdsup://directions/FAT Viewer?action=UPDATE&amp;creator=factset&amp;DYN_ARGS=TRUE&amp;DOC_NAME=FAT:FQL_AUDITING_CLIENT_TEMPLATE.FAT&amp;display_string=Audit&amp;VAR:KEY=BCTMBGVWPO&amp;VAR:QUERY=RkZfRUJJVERBX0lCKCdMVE1TJywzOTc3MCk=&amp;WINDOW=FIRST_POPUP&amp;HEIGHT=450&amp;WIDTH=450&amp;START_MA","XIMIZED=FALSE&amp;VAR:CALENDAR=US&amp;VAR:SYMBOL=N0098510&amp;VAR:INDEX=0"}</definedName>
    <definedName name="_5944__FDSAUDITLINK__" localSheetId="6" hidden="1">{"fdsup://directions/FAT Viewer?action=UPDATE&amp;creator=factset&amp;DYN_ARGS=TRUE&amp;DOC_NAME=FAT:FQL_AUDITING_CLIENT_TEMPLATE.FAT&amp;display_string=Audit&amp;VAR:KEY=VGVOPYHAXS&amp;VAR:QUERY=RkZfRUJJVERBX0lCKCdMVE1TJywzOTc2OSk=&amp;WINDOW=FIRST_POPUP&amp;HEIGHT=450&amp;WIDTH=450&amp;START_MA","XIMIZED=FALSE&amp;VAR:CALENDAR=US&amp;VAR:SYMBOL=N0098510&amp;VAR:INDEX=0"}</definedName>
    <definedName name="_5944__FDSAUDITLINK__" hidden="1">{"fdsup://directions/FAT Viewer?action=UPDATE&amp;creator=factset&amp;DYN_ARGS=TRUE&amp;DOC_NAME=FAT:FQL_AUDITING_CLIENT_TEMPLATE.FAT&amp;display_string=Audit&amp;VAR:KEY=VGVOPYHAXS&amp;VAR:QUERY=RkZfRUJJVERBX0lCKCdMVE1TJywzOTc2OSk=&amp;WINDOW=FIRST_POPUP&amp;HEIGHT=450&amp;WIDTH=450&amp;START_MA","XIMIZED=FALSE&amp;VAR:CALENDAR=US&amp;VAR:SYMBOL=N0098510&amp;VAR:INDEX=0"}</definedName>
    <definedName name="_5945__FDSAUDITLINK__" localSheetId="6" hidden="1">{"fdsup://directions/FAT Viewer?action=UPDATE&amp;creator=factset&amp;DYN_ARGS=TRUE&amp;DOC_NAME=FAT:FQL_AUDITING_CLIENT_TEMPLATE.FAT&amp;display_string=Audit&amp;VAR:KEY=NYBMJQTSXO&amp;VAR:QUERY=RkZfRUJJVERBX0lCKCdMVE1TJywzOTc2OCk=&amp;WINDOW=FIRST_POPUP&amp;HEIGHT=450&amp;WIDTH=450&amp;START_MA","XIMIZED=FALSE&amp;VAR:CALENDAR=US&amp;VAR:SYMBOL=N0098510&amp;VAR:INDEX=0"}</definedName>
    <definedName name="_5945__FDSAUDITLINK__" hidden="1">{"fdsup://directions/FAT Viewer?action=UPDATE&amp;creator=factset&amp;DYN_ARGS=TRUE&amp;DOC_NAME=FAT:FQL_AUDITING_CLIENT_TEMPLATE.FAT&amp;display_string=Audit&amp;VAR:KEY=NYBMJQTSXO&amp;VAR:QUERY=RkZfRUJJVERBX0lCKCdMVE1TJywzOTc2OCk=&amp;WINDOW=FIRST_POPUP&amp;HEIGHT=450&amp;WIDTH=450&amp;START_MA","XIMIZED=FALSE&amp;VAR:CALENDAR=US&amp;VAR:SYMBOL=N0098510&amp;VAR:INDEX=0"}</definedName>
    <definedName name="_5946__FDSAUDITLINK__" localSheetId="6" hidden="1">{"fdsup://directions/FAT Viewer?action=UPDATE&amp;creator=factset&amp;DYN_ARGS=TRUE&amp;DOC_NAME=FAT:FQL_AUDITING_CLIENT_TEMPLATE.FAT&amp;display_string=Audit&amp;VAR:KEY=PUXGZMZSNY&amp;VAR:QUERY=RkZfRUJJVERBX0lCKCdMVE1TJywzOTc2Nyk=&amp;WINDOW=FIRST_POPUP&amp;HEIGHT=450&amp;WIDTH=450&amp;START_MA","XIMIZED=FALSE&amp;VAR:CALENDAR=US&amp;VAR:SYMBOL=N0098510&amp;VAR:INDEX=0"}</definedName>
    <definedName name="_5946__FDSAUDITLINK__" hidden="1">{"fdsup://directions/FAT Viewer?action=UPDATE&amp;creator=factset&amp;DYN_ARGS=TRUE&amp;DOC_NAME=FAT:FQL_AUDITING_CLIENT_TEMPLATE.FAT&amp;display_string=Audit&amp;VAR:KEY=PUXGZMZSNY&amp;VAR:QUERY=RkZfRUJJVERBX0lCKCdMVE1TJywzOTc2Nyk=&amp;WINDOW=FIRST_POPUP&amp;HEIGHT=450&amp;WIDTH=450&amp;START_MA","XIMIZED=FALSE&amp;VAR:CALENDAR=US&amp;VAR:SYMBOL=N0098510&amp;VAR:INDEX=0"}</definedName>
    <definedName name="_5947__FDSAUDITLINK__" localSheetId="6" hidden="1">{"fdsup://directions/FAT Viewer?action=UPDATE&amp;creator=factset&amp;DYN_ARGS=TRUE&amp;DOC_NAME=FAT:FQL_AUDITING_CLIENT_TEMPLATE.FAT&amp;display_string=Audit&amp;VAR:KEY=JADAJOXEVM&amp;VAR:QUERY=RkZfRUJJVERBX0lCKCdMVE1TJywzOTc2Nik=&amp;WINDOW=FIRST_POPUP&amp;HEIGHT=450&amp;WIDTH=450&amp;START_MA","XIMIZED=FALSE&amp;VAR:CALENDAR=US&amp;VAR:SYMBOL=N0098510&amp;VAR:INDEX=0"}</definedName>
    <definedName name="_5947__FDSAUDITLINK__" hidden="1">{"fdsup://directions/FAT Viewer?action=UPDATE&amp;creator=factset&amp;DYN_ARGS=TRUE&amp;DOC_NAME=FAT:FQL_AUDITING_CLIENT_TEMPLATE.FAT&amp;display_string=Audit&amp;VAR:KEY=JADAJOXEVM&amp;VAR:QUERY=RkZfRUJJVERBX0lCKCdMVE1TJywzOTc2Nik=&amp;WINDOW=FIRST_POPUP&amp;HEIGHT=450&amp;WIDTH=450&amp;START_MA","XIMIZED=FALSE&amp;VAR:CALENDAR=US&amp;VAR:SYMBOL=N0098510&amp;VAR:INDEX=0"}</definedName>
    <definedName name="_5948__FDSAUDITLINK__" localSheetId="6" hidden="1">{"fdsup://directions/FAT Viewer?action=UPDATE&amp;creator=factset&amp;DYN_ARGS=TRUE&amp;DOC_NAME=FAT:FQL_AUDITING_CLIENT_TEMPLATE.FAT&amp;display_string=Audit&amp;VAR:KEY=TAREJULQVG&amp;VAR:QUERY=RkZfRUJJVERBX0lCKCdMVE1TJywzOTc2NSk=&amp;WINDOW=FIRST_POPUP&amp;HEIGHT=450&amp;WIDTH=450&amp;START_MA","XIMIZED=FALSE&amp;VAR:CALENDAR=US&amp;VAR:SYMBOL=N0098510&amp;VAR:INDEX=0"}</definedName>
    <definedName name="_5948__FDSAUDITLINK__" hidden="1">{"fdsup://directions/FAT Viewer?action=UPDATE&amp;creator=factset&amp;DYN_ARGS=TRUE&amp;DOC_NAME=FAT:FQL_AUDITING_CLIENT_TEMPLATE.FAT&amp;display_string=Audit&amp;VAR:KEY=TAREJULQVG&amp;VAR:QUERY=RkZfRUJJVERBX0lCKCdMVE1TJywzOTc2NSk=&amp;WINDOW=FIRST_POPUP&amp;HEIGHT=450&amp;WIDTH=450&amp;START_MA","XIMIZED=FALSE&amp;VAR:CALENDAR=US&amp;VAR:SYMBOL=N0098510&amp;VAR:INDEX=0"}</definedName>
    <definedName name="_5949__FDSAUDITLINK__" localSheetId="6" hidden="1">{"fdsup://directions/FAT Viewer?action=UPDATE&amp;creator=factset&amp;DYN_ARGS=TRUE&amp;DOC_NAME=FAT:FQL_AUDITING_CLIENT_TEMPLATE.FAT&amp;display_string=Audit&amp;VAR:KEY=XKZCPGTEDQ&amp;VAR:QUERY=RkZfRUJJVERBX0lCKCdMVE1TJywzOTc2NCk=&amp;WINDOW=FIRST_POPUP&amp;HEIGHT=450&amp;WIDTH=450&amp;START_MA","XIMIZED=FALSE&amp;VAR:CALENDAR=US&amp;VAR:SYMBOL=N0098510&amp;VAR:INDEX=0"}</definedName>
    <definedName name="_5949__FDSAUDITLINK__" hidden="1">{"fdsup://directions/FAT Viewer?action=UPDATE&amp;creator=factset&amp;DYN_ARGS=TRUE&amp;DOC_NAME=FAT:FQL_AUDITING_CLIENT_TEMPLATE.FAT&amp;display_string=Audit&amp;VAR:KEY=XKZCPGTEDQ&amp;VAR:QUERY=RkZfRUJJVERBX0lCKCdMVE1TJywzOTc2NCk=&amp;WINDOW=FIRST_POPUP&amp;HEIGHT=450&amp;WIDTH=450&amp;START_MA","XIMIZED=FALSE&amp;VAR:CALENDAR=US&amp;VAR:SYMBOL=N0098510&amp;VAR:INDEX=0"}</definedName>
    <definedName name="_595__FDSAUDITLINK__" localSheetId="6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5__FDSAUDITLINK__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50__FDSAUDITLINK__" localSheetId="6" hidden="1">{"fdsup://directions/FAT Viewer?action=UPDATE&amp;creator=factset&amp;DYN_ARGS=TRUE&amp;DOC_NAME=FAT:FQL_AUDITING_CLIENT_TEMPLATE.FAT&amp;display_string=Audit&amp;VAR:KEY=ZCHUNYZOVA&amp;VAR:QUERY=RkZfRUJJVERBX0lCKCdMVE1TJywzOTc2Myk=&amp;WINDOW=FIRST_POPUP&amp;HEIGHT=450&amp;WIDTH=450&amp;START_MA","XIMIZED=FALSE&amp;VAR:CALENDAR=US&amp;VAR:SYMBOL=N0098510&amp;VAR:INDEX=0"}</definedName>
    <definedName name="_5950__FDSAUDITLINK__" hidden="1">{"fdsup://directions/FAT Viewer?action=UPDATE&amp;creator=factset&amp;DYN_ARGS=TRUE&amp;DOC_NAME=FAT:FQL_AUDITING_CLIENT_TEMPLATE.FAT&amp;display_string=Audit&amp;VAR:KEY=ZCHUNYZOVA&amp;VAR:QUERY=RkZfRUJJVERBX0lCKCdMVE1TJywzOTc2Myk=&amp;WINDOW=FIRST_POPUP&amp;HEIGHT=450&amp;WIDTH=450&amp;START_MA","XIMIZED=FALSE&amp;VAR:CALENDAR=US&amp;VAR:SYMBOL=N0098510&amp;VAR:INDEX=0"}</definedName>
    <definedName name="_5951__FDSAUDITLINK__" localSheetId="6" hidden="1">{"fdsup://directions/FAT Viewer?action=UPDATE&amp;creator=factset&amp;DYN_ARGS=TRUE&amp;DOC_NAME=FAT:FQL_AUDITING_CLIENT_TEMPLATE.FAT&amp;display_string=Audit&amp;VAR:KEY=ZSFCNANMVW&amp;VAR:QUERY=RkZfRUJJVERBX0lCKCdMVE1TJywzOTc2Mik=&amp;WINDOW=FIRST_POPUP&amp;HEIGHT=450&amp;WIDTH=450&amp;START_MA","XIMIZED=FALSE&amp;VAR:CALENDAR=US&amp;VAR:SYMBOL=N0098510&amp;VAR:INDEX=0"}</definedName>
    <definedName name="_5951__FDSAUDITLINK__" hidden="1">{"fdsup://directions/FAT Viewer?action=UPDATE&amp;creator=factset&amp;DYN_ARGS=TRUE&amp;DOC_NAME=FAT:FQL_AUDITING_CLIENT_TEMPLATE.FAT&amp;display_string=Audit&amp;VAR:KEY=ZSFCNANMVW&amp;VAR:QUERY=RkZfRUJJVERBX0lCKCdMVE1TJywzOTc2Mik=&amp;WINDOW=FIRST_POPUP&amp;HEIGHT=450&amp;WIDTH=450&amp;START_MA","XIMIZED=FALSE&amp;VAR:CALENDAR=US&amp;VAR:SYMBOL=N0098510&amp;VAR:INDEX=0"}</definedName>
    <definedName name="_5952__FDSAUDITLINK__" localSheetId="6" hidden="1">{"fdsup://directions/FAT Viewer?action=UPDATE&amp;creator=factset&amp;DYN_ARGS=TRUE&amp;DOC_NAME=FAT:FQL_AUDITING_CLIENT_TEMPLATE.FAT&amp;display_string=Audit&amp;VAR:KEY=XGVSXYFQBK&amp;VAR:QUERY=RkZfRUJJVERBX0lCKCdMVE1TJywzOTc2MSk=&amp;WINDOW=FIRST_POPUP&amp;HEIGHT=450&amp;WIDTH=450&amp;START_MA","XIMIZED=FALSE&amp;VAR:CALENDAR=US&amp;VAR:SYMBOL=N0098510&amp;VAR:INDEX=0"}</definedName>
    <definedName name="_5952__FDSAUDITLINK__" hidden="1">{"fdsup://directions/FAT Viewer?action=UPDATE&amp;creator=factset&amp;DYN_ARGS=TRUE&amp;DOC_NAME=FAT:FQL_AUDITING_CLIENT_TEMPLATE.FAT&amp;display_string=Audit&amp;VAR:KEY=XGVSXYFQBK&amp;VAR:QUERY=RkZfRUJJVERBX0lCKCdMVE1TJywzOTc2MSk=&amp;WINDOW=FIRST_POPUP&amp;HEIGHT=450&amp;WIDTH=450&amp;START_MA","XIMIZED=FALSE&amp;VAR:CALENDAR=US&amp;VAR:SYMBOL=N0098510&amp;VAR:INDEX=0"}</definedName>
    <definedName name="_5953__FDSAUDITLINK__" localSheetId="6" hidden="1">{"fdsup://directions/FAT Viewer?action=UPDATE&amp;creator=factset&amp;DYN_ARGS=TRUE&amp;DOC_NAME=FAT:FQL_AUDITING_CLIENT_TEMPLATE.FAT&amp;display_string=Audit&amp;VAR:KEY=VCFOXYPIBO&amp;VAR:QUERY=RkZfRUJJVERBX0lCKCdMVE1TJywzOTc2MCk=&amp;WINDOW=FIRST_POPUP&amp;HEIGHT=450&amp;WIDTH=450&amp;START_MA","XIMIZED=FALSE&amp;VAR:CALENDAR=US&amp;VAR:SYMBOL=N0098510&amp;VAR:INDEX=0"}</definedName>
    <definedName name="_5953__FDSAUDITLINK__" hidden="1">{"fdsup://directions/FAT Viewer?action=UPDATE&amp;creator=factset&amp;DYN_ARGS=TRUE&amp;DOC_NAME=FAT:FQL_AUDITING_CLIENT_TEMPLATE.FAT&amp;display_string=Audit&amp;VAR:KEY=VCFOXYPIBO&amp;VAR:QUERY=RkZfRUJJVERBX0lCKCdMVE1TJywzOTc2MCk=&amp;WINDOW=FIRST_POPUP&amp;HEIGHT=450&amp;WIDTH=450&amp;START_MA","XIMIZED=FALSE&amp;VAR:CALENDAR=US&amp;VAR:SYMBOL=N0098510&amp;VAR:INDEX=0"}</definedName>
    <definedName name="_5954__FDSAUDITLINK__" localSheetId="6" hidden="1">{"fdsup://directions/FAT Viewer?action=UPDATE&amp;creator=factset&amp;DYN_ARGS=TRUE&amp;DOC_NAME=FAT:FQL_AUDITING_CLIENT_TEMPLATE.FAT&amp;display_string=Audit&amp;VAR:KEY=ZGFYTKLMNI&amp;VAR:QUERY=RkZfRUJJVERBX0lCKCdMVE1TJywzOTc1OSk=&amp;WINDOW=FIRST_POPUP&amp;HEIGHT=450&amp;WIDTH=450&amp;START_MA","XIMIZED=FALSE&amp;VAR:CALENDAR=US&amp;VAR:SYMBOL=N0098510&amp;VAR:INDEX=0"}</definedName>
    <definedName name="_5954__FDSAUDITLINK__" hidden="1">{"fdsup://directions/FAT Viewer?action=UPDATE&amp;creator=factset&amp;DYN_ARGS=TRUE&amp;DOC_NAME=FAT:FQL_AUDITING_CLIENT_TEMPLATE.FAT&amp;display_string=Audit&amp;VAR:KEY=ZGFYTKLMNI&amp;VAR:QUERY=RkZfRUJJVERBX0lCKCdMVE1TJywzOTc1OSk=&amp;WINDOW=FIRST_POPUP&amp;HEIGHT=450&amp;WIDTH=450&amp;START_MA","XIMIZED=FALSE&amp;VAR:CALENDAR=US&amp;VAR:SYMBOL=N0098510&amp;VAR:INDEX=0"}</definedName>
    <definedName name="_5955__FDSAUDITLINK__" localSheetId="6" hidden="1">{"fdsup://directions/FAT Viewer?action=UPDATE&amp;creator=factset&amp;DYN_ARGS=TRUE&amp;DOC_NAME=FAT:FQL_AUDITING_CLIENT_TEMPLATE.FAT&amp;display_string=Audit&amp;VAR:KEY=RYRGRWFKRS&amp;VAR:QUERY=RkZfRUJJVERBX0lCKCdMVE1TJywzOTc1OCk=&amp;WINDOW=FIRST_POPUP&amp;HEIGHT=450&amp;WIDTH=450&amp;START_MA","XIMIZED=FALSE&amp;VAR:CALENDAR=US&amp;VAR:SYMBOL=N0098510&amp;VAR:INDEX=0"}</definedName>
    <definedName name="_5955__FDSAUDITLINK__" hidden="1">{"fdsup://directions/FAT Viewer?action=UPDATE&amp;creator=factset&amp;DYN_ARGS=TRUE&amp;DOC_NAME=FAT:FQL_AUDITING_CLIENT_TEMPLATE.FAT&amp;display_string=Audit&amp;VAR:KEY=RYRGRWFKRS&amp;VAR:QUERY=RkZfRUJJVERBX0lCKCdMVE1TJywzOTc1OCk=&amp;WINDOW=FIRST_POPUP&amp;HEIGHT=450&amp;WIDTH=450&amp;START_MA","XIMIZED=FALSE&amp;VAR:CALENDAR=US&amp;VAR:SYMBOL=N0098510&amp;VAR:INDEX=0"}</definedName>
    <definedName name="_5956__FDSAUDITLINK__" localSheetId="6" hidden="1">{"fdsup://directions/FAT Viewer?action=UPDATE&amp;creator=factset&amp;DYN_ARGS=TRUE&amp;DOC_NAME=FAT:FQL_AUDITING_CLIENT_TEMPLATE.FAT&amp;display_string=Audit&amp;VAR:KEY=BKPEPMHUFQ&amp;VAR:QUERY=RkZfRUJJVERBX0lCKCdMVE1TJywzOTc1Nyk=&amp;WINDOW=FIRST_POPUP&amp;HEIGHT=450&amp;WIDTH=450&amp;START_MA","XIMIZED=FALSE&amp;VAR:CALENDAR=US&amp;VAR:SYMBOL=N0098510&amp;VAR:INDEX=0"}</definedName>
    <definedName name="_5956__FDSAUDITLINK__" hidden="1">{"fdsup://directions/FAT Viewer?action=UPDATE&amp;creator=factset&amp;DYN_ARGS=TRUE&amp;DOC_NAME=FAT:FQL_AUDITING_CLIENT_TEMPLATE.FAT&amp;display_string=Audit&amp;VAR:KEY=BKPEPMHUFQ&amp;VAR:QUERY=RkZfRUJJVERBX0lCKCdMVE1TJywzOTc1Nyk=&amp;WINDOW=FIRST_POPUP&amp;HEIGHT=450&amp;WIDTH=450&amp;START_MA","XIMIZED=FALSE&amp;VAR:CALENDAR=US&amp;VAR:SYMBOL=N0098510&amp;VAR:INDEX=0"}</definedName>
    <definedName name="_5957__FDSAUDITLINK__" localSheetId="6" hidden="1">{"fdsup://directions/FAT Viewer?action=UPDATE&amp;creator=factset&amp;DYN_ARGS=TRUE&amp;DOC_NAME=FAT:FQL_AUDITING_CLIENT_TEMPLATE.FAT&amp;display_string=Audit&amp;VAR:KEY=XQHWFIZWPO&amp;VAR:QUERY=RkZfRUJJVERBX0lCKCdMVE1TJywzOTc1Nik=&amp;WINDOW=FIRST_POPUP&amp;HEIGHT=450&amp;WIDTH=450&amp;START_MA","XIMIZED=FALSE&amp;VAR:CALENDAR=US&amp;VAR:SYMBOL=N0098510&amp;VAR:INDEX=0"}</definedName>
    <definedName name="_5957__FDSAUDITLINK__" hidden="1">{"fdsup://directions/FAT Viewer?action=UPDATE&amp;creator=factset&amp;DYN_ARGS=TRUE&amp;DOC_NAME=FAT:FQL_AUDITING_CLIENT_TEMPLATE.FAT&amp;display_string=Audit&amp;VAR:KEY=XQHWFIZWPO&amp;VAR:QUERY=RkZfRUJJVERBX0lCKCdMVE1TJywzOTc1Nik=&amp;WINDOW=FIRST_POPUP&amp;HEIGHT=450&amp;WIDTH=450&amp;START_MA","XIMIZED=FALSE&amp;VAR:CALENDAR=US&amp;VAR:SYMBOL=N0098510&amp;VAR:INDEX=0"}</definedName>
    <definedName name="_5958__FDSAUDITLINK__" localSheetId="6" hidden="1">{"fdsup://directions/FAT Viewer?action=UPDATE&amp;creator=factset&amp;DYN_ARGS=TRUE&amp;DOC_NAME=FAT:FQL_AUDITING_CLIENT_TEMPLATE.FAT&amp;display_string=Audit&amp;VAR:KEY=HOJIDORYNY&amp;VAR:QUERY=RkZfRUJJVERBX0lCKCdMVE1TJywzOTc1NSk=&amp;WINDOW=FIRST_POPUP&amp;HEIGHT=450&amp;WIDTH=450&amp;START_MA","XIMIZED=FALSE&amp;VAR:CALENDAR=US&amp;VAR:SYMBOL=N0098510&amp;VAR:INDEX=0"}</definedName>
    <definedName name="_5958__FDSAUDITLINK__" hidden="1">{"fdsup://directions/FAT Viewer?action=UPDATE&amp;creator=factset&amp;DYN_ARGS=TRUE&amp;DOC_NAME=FAT:FQL_AUDITING_CLIENT_TEMPLATE.FAT&amp;display_string=Audit&amp;VAR:KEY=HOJIDORYNY&amp;VAR:QUERY=RkZfRUJJVERBX0lCKCdMVE1TJywzOTc1NSk=&amp;WINDOW=FIRST_POPUP&amp;HEIGHT=450&amp;WIDTH=450&amp;START_MA","XIMIZED=FALSE&amp;VAR:CALENDAR=US&amp;VAR:SYMBOL=N0098510&amp;VAR:INDEX=0"}</definedName>
    <definedName name="_5959__FDSAUDITLINK__" localSheetId="6" hidden="1">{"fdsup://directions/FAT Viewer?action=UPDATE&amp;creator=factset&amp;DYN_ARGS=TRUE&amp;DOC_NAME=FAT:FQL_AUDITING_CLIENT_TEMPLATE.FAT&amp;display_string=Audit&amp;VAR:KEY=RAPMZOPCJI&amp;VAR:QUERY=RkZfRUJJVERBX0lCKCdMVE1TJywzOTc1NCk=&amp;WINDOW=FIRST_POPUP&amp;HEIGHT=450&amp;WIDTH=450&amp;START_MA","XIMIZED=FALSE&amp;VAR:CALENDAR=US&amp;VAR:SYMBOL=N0098510&amp;VAR:INDEX=0"}</definedName>
    <definedName name="_5959__FDSAUDITLINK__" hidden="1">{"fdsup://directions/FAT Viewer?action=UPDATE&amp;creator=factset&amp;DYN_ARGS=TRUE&amp;DOC_NAME=FAT:FQL_AUDITING_CLIENT_TEMPLATE.FAT&amp;display_string=Audit&amp;VAR:KEY=RAPMZOPCJI&amp;VAR:QUERY=RkZfRUJJVERBX0lCKCdMVE1TJywzOTc1NCk=&amp;WINDOW=FIRST_POPUP&amp;HEIGHT=450&amp;WIDTH=450&amp;START_MA","XIMIZED=FALSE&amp;VAR:CALENDAR=US&amp;VAR:SYMBOL=N0098510&amp;VAR:INDEX=0"}</definedName>
    <definedName name="_596__FDSAUDITLINK__" localSheetId="6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6__FDSAUDITLINK__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60__FDSAUDITLINK__" localSheetId="6" hidden="1">{"fdsup://directions/FAT Viewer?action=UPDATE&amp;creator=factset&amp;DYN_ARGS=TRUE&amp;DOC_NAME=FAT:FQL_AUDITING_CLIENT_TEMPLATE.FAT&amp;display_string=Audit&amp;VAR:KEY=FMRYVAHYBW&amp;VAR:QUERY=RkZfRUJJVERBX0lCKCdMVE1TJywzOTc1Myk=&amp;WINDOW=FIRST_POPUP&amp;HEIGHT=450&amp;WIDTH=450&amp;START_MA","XIMIZED=FALSE&amp;VAR:CALENDAR=US&amp;VAR:SYMBOL=N0098510&amp;VAR:INDEX=0"}</definedName>
    <definedName name="_5960__FDSAUDITLINK__" hidden="1">{"fdsup://directions/FAT Viewer?action=UPDATE&amp;creator=factset&amp;DYN_ARGS=TRUE&amp;DOC_NAME=FAT:FQL_AUDITING_CLIENT_TEMPLATE.FAT&amp;display_string=Audit&amp;VAR:KEY=FMRYVAHYBW&amp;VAR:QUERY=RkZfRUJJVERBX0lCKCdMVE1TJywzOTc1Myk=&amp;WINDOW=FIRST_POPUP&amp;HEIGHT=450&amp;WIDTH=450&amp;START_MA","XIMIZED=FALSE&amp;VAR:CALENDAR=US&amp;VAR:SYMBOL=N0098510&amp;VAR:INDEX=0"}</definedName>
    <definedName name="_5961__FDSAUDITLINK__" localSheetId="6" hidden="1">{"fdsup://directions/FAT Viewer?action=UPDATE&amp;creator=factset&amp;DYN_ARGS=TRUE&amp;DOC_NAME=FAT:FQL_AUDITING_CLIENT_TEMPLATE.FAT&amp;display_string=Audit&amp;VAR:KEY=LKPONMNMDS&amp;VAR:QUERY=RkZfRUJJVERBX0lCKCdMVE1TJywzOTc1Mik=&amp;WINDOW=FIRST_POPUP&amp;HEIGHT=450&amp;WIDTH=450&amp;START_MA","XIMIZED=FALSE&amp;VAR:CALENDAR=US&amp;VAR:SYMBOL=N0098510&amp;VAR:INDEX=0"}</definedName>
    <definedName name="_5961__FDSAUDITLINK__" hidden="1">{"fdsup://directions/FAT Viewer?action=UPDATE&amp;creator=factset&amp;DYN_ARGS=TRUE&amp;DOC_NAME=FAT:FQL_AUDITING_CLIENT_TEMPLATE.FAT&amp;display_string=Audit&amp;VAR:KEY=LKPONMNMDS&amp;VAR:QUERY=RkZfRUJJVERBX0lCKCdMVE1TJywzOTc1Mik=&amp;WINDOW=FIRST_POPUP&amp;HEIGHT=450&amp;WIDTH=450&amp;START_MA","XIMIZED=FALSE&amp;VAR:CALENDAR=US&amp;VAR:SYMBOL=N0098510&amp;VAR:INDEX=0"}</definedName>
    <definedName name="_5962__FDSAUDITLINK__" localSheetId="6" hidden="1">{"fdsup://directions/FAT Viewer?action=UPDATE&amp;creator=factset&amp;DYN_ARGS=TRUE&amp;DOC_NAME=FAT:FQL_AUDITING_CLIENT_TEMPLATE.FAT&amp;display_string=Audit&amp;VAR:KEY=LAVEVANUXG&amp;VAR:QUERY=RkZfRUJJVERBX0lCKCdMVE1TJywzOTc1MSk=&amp;WINDOW=FIRST_POPUP&amp;HEIGHT=450&amp;WIDTH=450&amp;START_MA","XIMIZED=FALSE&amp;VAR:CALENDAR=US&amp;VAR:SYMBOL=N0098510&amp;VAR:INDEX=0"}</definedName>
    <definedName name="_5962__FDSAUDITLINK__" hidden="1">{"fdsup://directions/FAT Viewer?action=UPDATE&amp;creator=factset&amp;DYN_ARGS=TRUE&amp;DOC_NAME=FAT:FQL_AUDITING_CLIENT_TEMPLATE.FAT&amp;display_string=Audit&amp;VAR:KEY=LAVEVANUXG&amp;VAR:QUERY=RkZfRUJJVERBX0lCKCdMVE1TJywzOTc1MSk=&amp;WINDOW=FIRST_POPUP&amp;HEIGHT=450&amp;WIDTH=450&amp;START_MA","XIMIZED=FALSE&amp;VAR:CALENDAR=US&amp;VAR:SYMBOL=N0098510&amp;VAR:INDEX=0"}</definedName>
    <definedName name="_5963__FDSAUDITLINK__" localSheetId="6" hidden="1">{"fdsup://directions/FAT Viewer?action=UPDATE&amp;creator=factset&amp;DYN_ARGS=TRUE&amp;DOC_NAME=FAT:FQL_AUDITING_CLIENT_TEMPLATE.FAT&amp;display_string=Audit&amp;VAR:KEY=XKBYTSVGFC&amp;VAR:QUERY=RkZfRUJJVERBX0lCKCdMVE1TJywzOTc1MCk=&amp;WINDOW=FIRST_POPUP&amp;HEIGHT=450&amp;WIDTH=450&amp;START_MA","XIMIZED=FALSE&amp;VAR:CALENDAR=US&amp;VAR:SYMBOL=N0098510&amp;VAR:INDEX=0"}</definedName>
    <definedName name="_5963__FDSAUDITLINK__" hidden="1">{"fdsup://directions/FAT Viewer?action=UPDATE&amp;creator=factset&amp;DYN_ARGS=TRUE&amp;DOC_NAME=FAT:FQL_AUDITING_CLIENT_TEMPLATE.FAT&amp;display_string=Audit&amp;VAR:KEY=XKBYTSVGFC&amp;VAR:QUERY=RkZfRUJJVERBX0lCKCdMVE1TJywzOTc1MCk=&amp;WINDOW=FIRST_POPUP&amp;HEIGHT=450&amp;WIDTH=450&amp;START_MA","XIMIZED=FALSE&amp;VAR:CALENDAR=US&amp;VAR:SYMBOL=N0098510&amp;VAR:INDEX=0"}</definedName>
    <definedName name="_5964__FDSAUDITLINK__" localSheetId="6" hidden="1">{"fdsup://directions/FAT Viewer?action=UPDATE&amp;creator=factset&amp;DYN_ARGS=TRUE&amp;DOC_NAME=FAT:FQL_AUDITING_CLIENT_TEMPLATE.FAT&amp;display_string=Audit&amp;VAR:KEY=POJKDEPWNW&amp;VAR:QUERY=RkZfRUJJVERBX0lCKCdMVE1TJywzOTc0OSk=&amp;WINDOW=FIRST_POPUP&amp;HEIGHT=450&amp;WIDTH=450&amp;START_MA","XIMIZED=FALSE&amp;VAR:CALENDAR=US&amp;VAR:SYMBOL=N0098510&amp;VAR:INDEX=0"}</definedName>
    <definedName name="_5964__FDSAUDITLINK__" hidden="1">{"fdsup://directions/FAT Viewer?action=UPDATE&amp;creator=factset&amp;DYN_ARGS=TRUE&amp;DOC_NAME=FAT:FQL_AUDITING_CLIENT_TEMPLATE.FAT&amp;display_string=Audit&amp;VAR:KEY=POJKDEPWNW&amp;VAR:QUERY=RkZfRUJJVERBX0lCKCdMVE1TJywzOTc0OSk=&amp;WINDOW=FIRST_POPUP&amp;HEIGHT=450&amp;WIDTH=450&amp;START_MA","XIMIZED=FALSE&amp;VAR:CALENDAR=US&amp;VAR:SYMBOL=N0098510&amp;VAR:INDEX=0"}</definedName>
    <definedName name="_5965__FDSAUDITLINK__" localSheetId="6" hidden="1">{"fdsup://directions/FAT Viewer?action=UPDATE&amp;creator=factset&amp;DYN_ARGS=TRUE&amp;DOC_NAME=FAT:FQL_AUDITING_CLIENT_TEMPLATE.FAT&amp;display_string=Audit&amp;VAR:KEY=HMBKFQFCHK&amp;VAR:QUERY=RkZfRUJJVERBX0lCKCdMVE1TJywzOTc0OCk=&amp;WINDOW=FIRST_POPUP&amp;HEIGHT=450&amp;WIDTH=450&amp;START_MA","XIMIZED=FALSE&amp;VAR:CALENDAR=US&amp;VAR:SYMBOL=N0098510&amp;VAR:INDEX=0"}</definedName>
    <definedName name="_5965__FDSAUDITLINK__" hidden="1">{"fdsup://directions/FAT Viewer?action=UPDATE&amp;creator=factset&amp;DYN_ARGS=TRUE&amp;DOC_NAME=FAT:FQL_AUDITING_CLIENT_TEMPLATE.FAT&amp;display_string=Audit&amp;VAR:KEY=HMBKFQFCHK&amp;VAR:QUERY=RkZfRUJJVERBX0lCKCdMVE1TJywzOTc0OCk=&amp;WINDOW=FIRST_POPUP&amp;HEIGHT=450&amp;WIDTH=450&amp;START_MA","XIMIZED=FALSE&amp;VAR:CALENDAR=US&amp;VAR:SYMBOL=N0098510&amp;VAR:INDEX=0"}</definedName>
    <definedName name="_5966__FDSAUDITLINK__" localSheetId="6" hidden="1">{"fdsup://directions/FAT Viewer?action=UPDATE&amp;creator=factset&amp;DYN_ARGS=TRUE&amp;DOC_NAME=FAT:FQL_AUDITING_CLIENT_TEMPLATE.FAT&amp;display_string=Audit&amp;VAR:KEY=DAPAFOBORI&amp;VAR:QUERY=RkZfRUJJVERBX0lCKCdMVE1TJywzOTc0Nyk=&amp;WINDOW=FIRST_POPUP&amp;HEIGHT=450&amp;WIDTH=450&amp;START_MA","XIMIZED=FALSE&amp;VAR:CALENDAR=US&amp;VAR:SYMBOL=N0098510&amp;VAR:INDEX=0"}</definedName>
    <definedName name="_5966__FDSAUDITLINK__" hidden="1">{"fdsup://directions/FAT Viewer?action=UPDATE&amp;creator=factset&amp;DYN_ARGS=TRUE&amp;DOC_NAME=FAT:FQL_AUDITING_CLIENT_TEMPLATE.FAT&amp;display_string=Audit&amp;VAR:KEY=DAPAFOBORI&amp;VAR:QUERY=RkZfRUJJVERBX0lCKCdMVE1TJywzOTc0Nyk=&amp;WINDOW=FIRST_POPUP&amp;HEIGHT=450&amp;WIDTH=450&amp;START_MA","XIMIZED=FALSE&amp;VAR:CALENDAR=US&amp;VAR:SYMBOL=N0098510&amp;VAR:INDEX=0"}</definedName>
    <definedName name="_5967__FDSAUDITLINK__" localSheetId="6" hidden="1">{"fdsup://directions/FAT Viewer?action=UPDATE&amp;creator=factset&amp;DYN_ARGS=TRUE&amp;DOC_NAME=FAT:FQL_AUDITING_CLIENT_TEMPLATE.FAT&amp;display_string=Audit&amp;VAR:KEY=LAHMFAXGRK&amp;VAR:QUERY=RkZfRUJJVERBX0lCKCdMVE1TJywzOTc0Nik=&amp;WINDOW=FIRST_POPUP&amp;HEIGHT=450&amp;WIDTH=450&amp;START_MA","XIMIZED=FALSE&amp;VAR:CALENDAR=US&amp;VAR:SYMBOL=N0098510&amp;VAR:INDEX=0"}</definedName>
    <definedName name="_5967__FDSAUDITLINK__" hidden="1">{"fdsup://directions/FAT Viewer?action=UPDATE&amp;creator=factset&amp;DYN_ARGS=TRUE&amp;DOC_NAME=FAT:FQL_AUDITING_CLIENT_TEMPLATE.FAT&amp;display_string=Audit&amp;VAR:KEY=LAHMFAXGRK&amp;VAR:QUERY=RkZfRUJJVERBX0lCKCdMVE1TJywzOTc0Nik=&amp;WINDOW=FIRST_POPUP&amp;HEIGHT=450&amp;WIDTH=450&amp;START_MA","XIMIZED=FALSE&amp;VAR:CALENDAR=US&amp;VAR:SYMBOL=N0098510&amp;VAR:INDEX=0"}</definedName>
    <definedName name="_5968__FDSAUDITLINK__" localSheetId="6" hidden="1">{"fdsup://directions/FAT Viewer?action=UPDATE&amp;creator=factset&amp;DYN_ARGS=TRUE&amp;DOC_NAME=FAT:FQL_AUDITING_CLIENT_TEMPLATE.FAT&amp;display_string=Audit&amp;VAR:KEY=FYPGPYDYZS&amp;VAR:QUERY=RkZfRUJJVERBX0lCKCdMVE1TJywzOTc0NSk=&amp;WINDOW=FIRST_POPUP&amp;HEIGHT=450&amp;WIDTH=450&amp;START_MA","XIMIZED=FALSE&amp;VAR:CALENDAR=US&amp;VAR:SYMBOL=N0098510&amp;VAR:INDEX=0"}</definedName>
    <definedName name="_5968__FDSAUDITLINK__" hidden="1">{"fdsup://directions/FAT Viewer?action=UPDATE&amp;creator=factset&amp;DYN_ARGS=TRUE&amp;DOC_NAME=FAT:FQL_AUDITING_CLIENT_TEMPLATE.FAT&amp;display_string=Audit&amp;VAR:KEY=FYPGPYDYZS&amp;VAR:QUERY=RkZfRUJJVERBX0lCKCdMVE1TJywzOTc0NSk=&amp;WINDOW=FIRST_POPUP&amp;HEIGHT=450&amp;WIDTH=450&amp;START_MA","XIMIZED=FALSE&amp;VAR:CALENDAR=US&amp;VAR:SYMBOL=N0098510&amp;VAR:INDEX=0"}</definedName>
    <definedName name="_5969__FDSAUDITLINK__" localSheetId="6" hidden="1">{"fdsup://directions/FAT Viewer?action=UPDATE&amp;creator=factset&amp;DYN_ARGS=TRUE&amp;DOC_NAME=FAT:FQL_AUDITING_CLIENT_TEMPLATE.FAT&amp;display_string=Audit&amp;VAR:KEY=ZMHSZAXIRG&amp;VAR:QUERY=RkZfRUJJVERBX0lCKCdMVE1TJywzOTc0NCk=&amp;WINDOW=FIRST_POPUP&amp;HEIGHT=450&amp;WIDTH=450&amp;START_MA","XIMIZED=FALSE&amp;VAR:CALENDAR=US&amp;VAR:SYMBOL=N0098510&amp;VAR:INDEX=0"}</definedName>
    <definedName name="_5969__FDSAUDITLINK__" hidden="1">{"fdsup://directions/FAT Viewer?action=UPDATE&amp;creator=factset&amp;DYN_ARGS=TRUE&amp;DOC_NAME=FAT:FQL_AUDITING_CLIENT_TEMPLATE.FAT&amp;display_string=Audit&amp;VAR:KEY=ZMHSZAXIRG&amp;VAR:QUERY=RkZfRUJJVERBX0lCKCdMVE1TJywzOTc0NCk=&amp;WINDOW=FIRST_POPUP&amp;HEIGHT=450&amp;WIDTH=450&amp;START_MA","XIMIZED=FALSE&amp;VAR:CALENDAR=US&amp;VAR:SYMBOL=N0098510&amp;VAR:INDEX=0"}</definedName>
    <definedName name="_597__FDSAUDITLINK__" localSheetId="6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7__FDSAUDITLINK__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70__FDSAUDITLINK__" localSheetId="6" hidden="1">{"fdsup://directions/FAT Viewer?action=UPDATE&amp;creator=factset&amp;DYN_ARGS=TRUE&amp;DOC_NAME=FAT:FQL_AUDITING_CLIENT_TEMPLATE.FAT&amp;display_string=Audit&amp;VAR:KEY=NIZAXSXSRC&amp;VAR:QUERY=RkZfRUJJVERBX0lCKCdMVE1TJywzOTc0Myk=&amp;WINDOW=FIRST_POPUP&amp;HEIGHT=450&amp;WIDTH=450&amp;START_MA","XIMIZED=FALSE&amp;VAR:CALENDAR=US&amp;VAR:SYMBOL=N0098510&amp;VAR:INDEX=0"}</definedName>
    <definedName name="_5970__FDSAUDITLINK__" hidden="1">{"fdsup://directions/FAT Viewer?action=UPDATE&amp;creator=factset&amp;DYN_ARGS=TRUE&amp;DOC_NAME=FAT:FQL_AUDITING_CLIENT_TEMPLATE.FAT&amp;display_string=Audit&amp;VAR:KEY=NIZAXSXSRC&amp;VAR:QUERY=RkZfRUJJVERBX0lCKCdMVE1TJywzOTc0Myk=&amp;WINDOW=FIRST_POPUP&amp;HEIGHT=450&amp;WIDTH=450&amp;START_MA","XIMIZED=FALSE&amp;VAR:CALENDAR=US&amp;VAR:SYMBOL=N0098510&amp;VAR:INDEX=0"}</definedName>
    <definedName name="_5971__FDSAUDITLINK__" localSheetId="6" hidden="1">{"fdsup://directions/FAT Viewer?action=UPDATE&amp;creator=factset&amp;DYN_ARGS=TRUE&amp;DOC_NAME=FAT:FQL_AUDITING_CLIENT_TEMPLATE.FAT&amp;display_string=Audit&amp;VAR:KEY=DOPYFSDQHG&amp;VAR:QUERY=RkZfRUJJVERBX0lCKCdMVE1TJywzOTc0Mik=&amp;WINDOW=FIRST_POPUP&amp;HEIGHT=450&amp;WIDTH=450&amp;START_MA","XIMIZED=FALSE&amp;VAR:CALENDAR=US&amp;VAR:SYMBOL=N0098510&amp;VAR:INDEX=0"}</definedName>
    <definedName name="_5971__FDSAUDITLINK__" hidden="1">{"fdsup://directions/FAT Viewer?action=UPDATE&amp;creator=factset&amp;DYN_ARGS=TRUE&amp;DOC_NAME=FAT:FQL_AUDITING_CLIENT_TEMPLATE.FAT&amp;display_string=Audit&amp;VAR:KEY=DOPYFSDQHG&amp;VAR:QUERY=RkZfRUJJVERBX0lCKCdMVE1TJywzOTc0Mik=&amp;WINDOW=FIRST_POPUP&amp;HEIGHT=450&amp;WIDTH=450&amp;START_MA","XIMIZED=FALSE&amp;VAR:CALENDAR=US&amp;VAR:SYMBOL=N0098510&amp;VAR:INDEX=0"}</definedName>
    <definedName name="_5972__FDSAUDITLINK__" localSheetId="6" hidden="1">{"fdsup://directions/FAT Viewer?action=UPDATE&amp;creator=factset&amp;DYN_ARGS=TRUE&amp;DOC_NAME=FAT:FQL_AUDITING_CLIENT_TEMPLATE.FAT&amp;display_string=Audit&amp;VAR:KEY=LGNMLAHCVC&amp;VAR:QUERY=RkZfRUJJVERBX0lCKCdMVE1TJywzOTc0MSk=&amp;WINDOW=FIRST_POPUP&amp;HEIGHT=450&amp;WIDTH=450&amp;START_MA","XIMIZED=FALSE&amp;VAR:CALENDAR=US&amp;VAR:SYMBOL=N0098510&amp;VAR:INDEX=0"}</definedName>
    <definedName name="_5972__FDSAUDITLINK__" hidden="1">{"fdsup://directions/FAT Viewer?action=UPDATE&amp;creator=factset&amp;DYN_ARGS=TRUE&amp;DOC_NAME=FAT:FQL_AUDITING_CLIENT_TEMPLATE.FAT&amp;display_string=Audit&amp;VAR:KEY=LGNMLAHCVC&amp;VAR:QUERY=RkZfRUJJVERBX0lCKCdMVE1TJywzOTc0MSk=&amp;WINDOW=FIRST_POPUP&amp;HEIGHT=450&amp;WIDTH=450&amp;START_MA","XIMIZED=FALSE&amp;VAR:CALENDAR=US&amp;VAR:SYMBOL=N0098510&amp;VAR:INDEX=0"}</definedName>
    <definedName name="_5973__FDSAUDITLINK__" localSheetId="6" hidden="1">{"fdsup://directions/FAT Viewer?action=UPDATE&amp;creator=factset&amp;DYN_ARGS=TRUE&amp;DOC_NAME=FAT:FQL_AUDITING_CLIENT_TEMPLATE.FAT&amp;display_string=Audit&amp;VAR:KEY=JAFOXMHUVM&amp;VAR:QUERY=RkZfRUJJVERBX0lCKCdMVE1TJywzOTc0MCk=&amp;WINDOW=FIRST_POPUP&amp;HEIGHT=450&amp;WIDTH=450&amp;START_MA","XIMIZED=FALSE&amp;VAR:CALENDAR=US&amp;VAR:SYMBOL=N0098510&amp;VAR:INDEX=0"}</definedName>
    <definedName name="_5973__FDSAUDITLINK__" hidden="1">{"fdsup://directions/FAT Viewer?action=UPDATE&amp;creator=factset&amp;DYN_ARGS=TRUE&amp;DOC_NAME=FAT:FQL_AUDITING_CLIENT_TEMPLATE.FAT&amp;display_string=Audit&amp;VAR:KEY=JAFOXMHUVM&amp;VAR:QUERY=RkZfRUJJVERBX0lCKCdMVE1TJywzOTc0MCk=&amp;WINDOW=FIRST_POPUP&amp;HEIGHT=450&amp;WIDTH=450&amp;START_MA","XIMIZED=FALSE&amp;VAR:CALENDAR=US&amp;VAR:SYMBOL=N0098510&amp;VAR:INDEX=0"}</definedName>
    <definedName name="_5974__FDSAUDITLINK__" localSheetId="6" hidden="1">{"fdsup://directions/FAT Viewer?action=UPDATE&amp;creator=factset&amp;DYN_ARGS=TRUE&amp;DOC_NAME=FAT:FQL_AUDITING_CLIENT_TEMPLATE.FAT&amp;display_string=Audit&amp;VAR:KEY=PGLUXIVSXO&amp;VAR:QUERY=RkZfRUJJVERBX0lCKCdMVE1TJywzOTczOSk=&amp;WINDOW=FIRST_POPUP&amp;HEIGHT=450&amp;WIDTH=450&amp;START_MA","XIMIZED=FALSE&amp;VAR:CALENDAR=US&amp;VAR:SYMBOL=N0098510&amp;VAR:INDEX=0"}</definedName>
    <definedName name="_5974__FDSAUDITLINK__" hidden="1">{"fdsup://directions/FAT Viewer?action=UPDATE&amp;creator=factset&amp;DYN_ARGS=TRUE&amp;DOC_NAME=FAT:FQL_AUDITING_CLIENT_TEMPLATE.FAT&amp;display_string=Audit&amp;VAR:KEY=PGLUXIVSXO&amp;VAR:QUERY=RkZfRUJJVERBX0lCKCdMVE1TJywzOTczOSk=&amp;WINDOW=FIRST_POPUP&amp;HEIGHT=450&amp;WIDTH=450&amp;START_MA","XIMIZED=FALSE&amp;VAR:CALENDAR=US&amp;VAR:SYMBOL=N0098510&amp;VAR:INDEX=0"}</definedName>
    <definedName name="_5975__FDSAUDITLINK__" localSheetId="6" hidden="1">{"fdsup://directions/FAT Viewer?action=UPDATE&amp;creator=factset&amp;DYN_ARGS=TRUE&amp;DOC_NAME=FAT:FQL_AUDITING_CLIENT_TEMPLATE.FAT&amp;display_string=Audit&amp;VAR:KEY=FMLGBIFCDQ&amp;VAR:QUERY=RkZfRUJJVERBX0lCKCdMVE1TJywzOTczOCk=&amp;WINDOW=FIRST_POPUP&amp;HEIGHT=450&amp;WIDTH=450&amp;START_MA","XIMIZED=FALSE&amp;VAR:CALENDAR=US&amp;VAR:SYMBOL=N0098510&amp;VAR:INDEX=0"}</definedName>
    <definedName name="_5975__FDSAUDITLINK__" hidden="1">{"fdsup://directions/FAT Viewer?action=UPDATE&amp;creator=factset&amp;DYN_ARGS=TRUE&amp;DOC_NAME=FAT:FQL_AUDITING_CLIENT_TEMPLATE.FAT&amp;display_string=Audit&amp;VAR:KEY=FMLGBIFCDQ&amp;VAR:QUERY=RkZfRUJJVERBX0lCKCdMVE1TJywzOTczOCk=&amp;WINDOW=FIRST_POPUP&amp;HEIGHT=450&amp;WIDTH=450&amp;START_MA","XIMIZED=FALSE&amp;VAR:CALENDAR=US&amp;VAR:SYMBOL=N0098510&amp;VAR:INDEX=0"}</definedName>
    <definedName name="_5976__FDSAUDITLINK__" localSheetId="6" hidden="1">{"fdsup://directions/FAT Viewer?action=UPDATE&amp;creator=factset&amp;DYN_ARGS=TRUE&amp;DOC_NAME=FAT:FQL_AUDITING_CLIENT_TEMPLATE.FAT&amp;display_string=Audit&amp;VAR:KEY=JSJQRYBSZG&amp;VAR:QUERY=RkZfRUJJVERBX0lCKCdMVE1TJywzOTczNyk=&amp;WINDOW=FIRST_POPUP&amp;HEIGHT=450&amp;WIDTH=450&amp;START_MA","XIMIZED=FALSE&amp;VAR:CALENDAR=US&amp;VAR:SYMBOL=N0098510&amp;VAR:INDEX=0"}</definedName>
    <definedName name="_5976__FDSAUDITLINK__" hidden="1">{"fdsup://directions/FAT Viewer?action=UPDATE&amp;creator=factset&amp;DYN_ARGS=TRUE&amp;DOC_NAME=FAT:FQL_AUDITING_CLIENT_TEMPLATE.FAT&amp;display_string=Audit&amp;VAR:KEY=JSJQRYBSZG&amp;VAR:QUERY=RkZfRUJJVERBX0lCKCdMVE1TJywzOTczNyk=&amp;WINDOW=FIRST_POPUP&amp;HEIGHT=450&amp;WIDTH=450&amp;START_MA","XIMIZED=FALSE&amp;VAR:CALENDAR=US&amp;VAR:SYMBOL=N0098510&amp;VAR:INDEX=0"}</definedName>
    <definedName name="_5977__FDSAUDITLINK__" localSheetId="6" hidden="1">{"fdsup://directions/FAT Viewer?action=UPDATE&amp;creator=factset&amp;DYN_ARGS=TRUE&amp;DOC_NAME=FAT:FQL_AUDITING_CLIENT_TEMPLATE.FAT&amp;display_string=Audit&amp;VAR:KEY=LUVAPWJYLK&amp;VAR:QUERY=RkZfRUJJVERBX0lCKCdMVE1TJywzOTczNik=&amp;WINDOW=FIRST_POPUP&amp;HEIGHT=450&amp;WIDTH=450&amp;START_MA","XIMIZED=FALSE&amp;VAR:CALENDAR=US&amp;VAR:SYMBOL=N0098510&amp;VAR:INDEX=0"}</definedName>
    <definedName name="_5977__FDSAUDITLINK__" hidden="1">{"fdsup://directions/FAT Viewer?action=UPDATE&amp;creator=factset&amp;DYN_ARGS=TRUE&amp;DOC_NAME=FAT:FQL_AUDITING_CLIENT_TEMPLATE.FAT&amp;display_string=Audit&amp;VAR:KEY=LUVAPWJYLK&amp;VAR:QUERY=RkZfRUJJVERBX0lCKCdMVE1TJywzOTczNik=&amp;WINDOW=FIRST_POPUP&amp;HEIGHT=450&amp;WIDTH=450&amp;START_MA","XIMIZED=FALSE&amp;VAR:CALENDAR=US&amp;VAR:SYMBOL=N0098510&amp;VAR:INDEX=0"}</definedName>
    <definedName name="_5978__FDSAUDITLINK__" localSheetId="6" hidden="1">{"fdsup://directions/FAT Viewer?action=UPDATE&amp;creator=factset&amp;DYN_ARGS=TRUE&amp;DOC_NAME=FAT:FQL_AUDITING_CLIENT_TEMPLATE.FAT&amp;display_string=Audit&amp;VAR:KEY=JQRMVSTWRU&amp;VAR:QUERY=RkZfRUJJVERBX0lCKCdMVE1TJywzOTczNSk=&amp;WINDOW=FIRST_POPUP&amp;HEIGHT=450&amp;WIDTH=450&amp;START_MA","XIMIZED=FALSE&amp;VAR:CALENDAR=US&amp;VAR:SYMBOL=N0098510&amp;VAR:INDEX=0"}</definedName>
    <definedName name="_5978__FDSAUDITLINK__" hidden="1">{"fdsup://directions/FAT Viewer?action=UPDATE&amp;creator=factset&amp;DYN_ARGS=TRUE&amp;DOC_NAME=FAT:FQL_AUDITING_CLIENT_TEMPLATE.FAT&amp;display_string=Audit&amp;VAR:KEY=JQRMVSTWRU&amp;VAR:QUERY=RkZfRUJJVERBX0lCKCdMVE1TJywzOTczNSk=&amp;WINDOW=FIRST_POPUP&amp;HEIGHT=450&amp;WIDTH=450&amp;START_MA","XIMIZED=FALSE&amp;VAR:CALENDAR=US&amp;VAR:SYMBOL=N0098510&amp;VAR:INDEX=0"}</definedName>
    <definedName name="_5979__FDSAUDITLINK__" localSheetId="6" hidden="1">{"fdsup://directions/FAT Viewer?action=UPDATE&amp;creator=factset&amp;DYN_ARGS=TRUE&amp;DOC_NAME=FAT:FQL_AUDITING_CLIENT_TEMPLATE.FAT&amp;display_string=Audit&amp;VAR:KEY=PKFMDCZOPW&amp;VAR:QUERY=RkZfRUJJVERBX0lCKCdMVE1TJywzOTczNCk=&amp;WINDOW=FIRST_POPUP&amp;HEIGHT=450&amp;WIDTH=450&amp;START_MA","XIMIZED=FALSE&amp;VAR:CALENDAR=US&amp;VAR:SYMBOL=N0098510&amp;VAR:INDEX=0"}</definedName>
    <definedName name="_5979__FDSAUDITLINK__" hidden="1">{"fdsup://directions/FAT Viewer?action=UPDATE&amp;creator=factset&amp;DYN_ARGS=TRUE&amp;DOC_NAME=FAT:FQL_AUDITING_CLIENT_TEMPLATE.FAT&amp;display_string=Audit&amp;VAR:KEY=PKFMDCZOPW&amp;VAR:QUERY=RkZfRUJJVERBX0lCKCdMVE1TJywzOTczNCk=&amp;WINDOW=FIRST_POPUP&amp;HEIGHT=450&amp;WIDTH=450&amp;START_MA","XIMIZED=FALSE&amp;VAR:CALENDAR=US&amp;VAR:SYMBOL=N0098510&amp;VAR:INDEX=0"}</definedName>
    <definedName name="_598__FDSAUDITLINK__" localSheetId="6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8__FDSAUDITLINK__" hidden="1">{"fdsup://directions/FAT%20Viewer?VAR:PED=LTM&amp;VAR:AUDIT_MODE=SUMMARY&amp;VAR:PERIOD=FIXED&amp;VAR:AUDIT_ID=00000117&amp;VAR:DATE=20080703&amp;action=UPDATE&amp;creator=factset&amp;DOC_NAME=FAT:FMA_audit_SUMMARY.fat&amp;DISPLAY_STRING=Display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80__FDSAUDITLINK__" localSheetId="6" hidden="1">{"fdsup://directions/FAT Viewer?action=UPDATE&amp;creator=factset&amp;DYN_ARGS=TRUE&amp;DOC_NAME=FAT:FQL_AUDITING_CLIENT_TEMPLATE.FAT&amp;display_string=Audit&amp;VAR:KEY=LAVUNGJWPU&amp;VAR:QUERY=RkZfRUJJVERBX0lCKCdMVE1TJywzOTczMyk=&amp;WINDOW=FIRST_POPUP&amp;HEIGHT=450&amp;WIDTH=450&amp;START_MA","XIMIZED=FALSE&amp;VAR:CALENDAR=US&amp;VAR:SYMBOL=N0098510&amp;VAR:INDEX=0"}</definedName>
    <definedName name="_5980__FDSAUDITLINK__" hidden="1">{"fdsup://directions/FAT Viewer?action=UPDATE&amp;creator=factset&amp;DYN_ARGS=TRUE&amp;DOC_NAME=FAT:FQL_AUDITING_CLIENT_TEMPLATE.FAT&amp;display_string=Audit&amp;VAR:KEY=LAVUNGJWPU&amp;VAR:QUERY=RkZfRUJJVERBX0lCKCdMVE1TJywzOTczMyk=&amp;WINDOW=FIRST_POPUP&amp;HEIGHT=450&amp;WIDTH=450&amp;START_MA","XIMIZED=FALSE&amp;VAR:CALENDAR=US&amp;VAR:SYMBOL=N0098510&amp;VAR:INDEX=0"}</definedName>
    <definedName name="_5981__FDSAUDITLINK__" localSheetId="6" hidden="1">{"fdsup://directions/FAT Viewer?action=UPDATE&amp;creator=factset&amp;DYN_ARGS=TRUE&amp;DOC_NAME=FAT:FQL_AUDITING_CLIENT_TEMPLATE.FAT&amp;display_string=Audit&amp;VAR:KEY=XKNIFOPIZY&amp;VAR:QUERY=RkZfRUJJVERBX0lCKCdMVE1TJywzOTczMik=&amp;WINDOW=FIRST_POPUP&amp;HEIGHT=450&amp;WIDTH=450&amp;START_MA","XIMIZED=FALSE&amp;VAR:CALENDAR=US&amp;VAR:SYMBOL=N0098510&amp;VAR:INDEX=0"}</definedName>
    <definedName name="_5981__FDSAUDITLINK__" hidden="1">{"fdsup://directions/FAT Viewer?action=UPDATE&amp;creator=factset&amp;DYN_ARGS=TRUE&amp;DOC_NAME=FAT:FQL_AUDITING_CLIENT_TEMPLATE.FAT&amp;display_string=Audit&amp;VAR:KEY=XKNIFOPIZY&amp;VAR:QUERY=RkZfRUJJVERBX0lCKCdMVE1TJywzOTczMik=&amp;WINDOW=FIRST_POPUP&amp;HEIGHT=450&amp;WIDTH=450&amp;START_MA","XIMIZED=FALSE&amp;VAR:CALENDAR=US&amp;VAR:SYMBOL=N0098510&amp;VAR:INDEX=0"}</definedName>
    <definedName name="_5982__FDSAUDITLINK__" localSheetId="6" hidden="1">{"fdsup://directions/FAT Viewer?action=UPDATE&amp;creator=factset&amp;DYN_ARGS=TRUE&amp;DOC_NAME=FAT:FQL_AUDITING_CLIENT_TEMPLATE.FAT&amp;display_string=Audit&amp;VAR:KEY=TWZYHOTADY&amp;VAR:QUERY=RkZfRUJJVERBX0lCKCdMVE1TJywzOTczMSk=&amp;WINDOW=FIRST_POPUP&amp;HEIGHT=450&amp;WIDTH=450&amp;START_MA","XIMIZED=FALSE&amp;VAR:CALENDAR=US&amp;VAR:SYMBOL=N0098510&amp;VAR:INDEX=0"}</definedName>
    <definedName name="_5982__FDSAUDITLINK__" hidden="1">{"fdsup://directions/FAT Viewer?action=UPDATE&amp;creator=factset&amp;DYN_ARGS=TRUE&amp;DOC_NAME=FAT:FQL_AUDITING_CLIENT_TEMPLATE.FAT&amp;display_string=Audit&amp;VAR:KEY=TWZYHOTADY&amp;VAR:QUERY=RkZfRUJJVERBX0lCKCdMVE1TJywzOTczMSk=&amp;WINDOW=FIRST_POPUP&amp;HEIGHT=450&amp;WIDTH=450&amp;START_MA","XIMIZED=FALSE&amp;VAR:CALENDAR=US&amp;VAR:SYMBOL=N0098510&amp;VAR:INDEX=0"}</definedName>
    <definedName name="_5983__FDSAUDITLINK__" localSheetId="6" hidden="1">{"fdsup://directions/FAT Viewer?action=UPDATE&amp;creator=factset&amp;DYN_ARGS=TRUE&amp;DOC_NAME=FAT:FQL_AUDITING_CLIENT_TEMPLATE.FAT&amp;display_string=Audit&amp;VAR:KEY=ZGBGZATYZC&amp;VAR:QUERY=RkZfRUJJVERBX0lCKCdMVE1TJywzOTczMCk=&amp;WINDOW=FIRST_POPUP&amp;HEIGHT=450&amp;WIDTH=450&amp;START_MA","XIMIZED=FALSE&amp;VAR:CALENDAR=US&amp;VAR:SYMBOL=N0098510&amp;VAR:INDEX=0"}</definedName>
    <definedName name="_5983__FDSAUDITLINK__" hidden="1">{"fdsup://directions/FAT Viewer?action=UPDATE&amp;creator=factset&amp;DYN_ARGS=TRUE&amp;DOC_NAME=FAT:FQL_AUDITING_CLIENT_TEMPLATE.FAT&amp;display_string=Audit&amp;VAR:KEY=ZGBGZATYZC&amp;VAR:QUERY=RkZfRUJJVERBX0lCKCdMVE1TJywzOTczMCk=&amp;WINDOW=FIRST_POPUP&amp;HEIGHT=450&amp;WIDTH=450&amp;START_MA","XIMIZED=FALSE&amp;VAR:CALENDAR=US&amp;VAR:SYMBOL=N0098510&amp;VAR:INDEX=0"}</definedName>
    <definedName name="_5984__FDSAUDITLINK__" localSheetId="6" hidden="1">{"fdsup://directions/FAT Viewer?action=UPDATE&amp;creator=factset&amp;DYN_ARGS=TRUE&amp;DOC_NAME=FAT:FQL_AUDITING_CLIENT_TEMPLATE.FAT&amp;display_string=Audit&amp;VAR:KEY=JWPADYDMRA&amp;VAR:QUERY=RkZfRUJJVERBX0lCKCdMVE1TJywzOTcyOSk=&amp;WINDOW=FIRST_POPUP&amp;HEIGHT=450&amp;WIDTH=450&amp;START_MA","XIMIZED=FALSE&amp;VAR:CALENDAR=US&amp;VAR:SYMBOL=N0098510&amp;VAR:INDEX=0"}</definedName>
    <definedName name="_5984__FDSAUDITLINK__" hidden="1">{"fdsup://directions/FAT Viewer?action=UPDATE&amp;creator=factset&amp;DYN_ARGS=TRUE&amp;DOC_NAME=FAT:FQL_AUDITING_CLIENT_TEMPLATE.FAT&amp;display_string=Audit&amp;VAR:KEY=JWPADYDMRA&amp;VAR:QUERY=RkZfRUJJVERBX0lCKCdMVE1TJywzOTcyOSk=&amp;WINDOW=FIRST_POPUP&amp;HEIGHT=450&amp;WIDTH=450&amp;START_MA","XIMIZED=FALSE&amp;VAR:CALENDAR=US&amp;VAR:SYMBOL=N0098510&amp;VAR:INDEX=0"}</definedName>
    <definedName name="_5985__FDSAUDITLINK__" localSheetId="6" hidden="1">{"fdsup://directions/FAT Viewer?action=UPDATE&amp;creator=factset&amp;DYN_ARGS=TRUE&amp;DOC_NAME=FAT:FQL_AUDITING_CLIENT_TEMPLATE.FAT&amp;display_string=Audit&amp;VAR:KEY=FCTKXOFCXK&amp;VAR:QUERY=RkZfRUJJVERBX0lCKCdMVE1TJywzOTcyOCk=&amp;WINDOW=FIRST_POPUP&amp;HEIGHT=450&amp;WIDTH=450&amp;START_MA","XIMIZED=FALSE&amp;VAR:CALENDAR=US&amp;VAR:SYMBOL=N0098510&amp;VAR:INDEX=0"}</definedName>
    <definedName name="_5985__FDSAUDITLINK__" hidden="1">{"fdsup://directions/FAT Viewer?action=UPDATE&amp;creator=factset&amp;DYN_ARGS=TRUE&amp;DOC_NAME=FAT:FQL_AUDITING_CLIENT_TEMPLATE.FAT&amp;display_string=Audit&amp;VAR:KEY=FCTKXOFCXK&amp;VAR:QUERY=RkZfRUJJVERBX0lCKCdMVE1TJywzOTcyOCk=&amp;WINDOW=FIRST_POPUP&amp;HEIGHT=450&amp;WIDTH=450&amp;START_MA","XIMIZED=FALSE&amp;VAR:CALENDAR=US&amp;VAR:SYMBOL=N0098510&amp;VAR:INDEX=0"}</definedName>
    <definedName name="_5986__FDSAUDITLINK__" localSheetId="6" hidden="1">{"fdsup://directions/FAT Viewer?action=UPDATE&amp;creator=factset&amp;DYN_ARGS=TRUE&amp;DOC_NAME=FAT:FQL_AUDITING_CLIENT_TEMPLATE.FAT&amp;display_string=Audit&amp;VAR:KEY=LCLAZMLUFS&amp;VAR:QUERY=RkZfRUJJVERBX0lCKCdMVE1TJywzOTcyNyk=&amp;WINDOW=FIRST_POPUP&amp;HEIGHT=450&amp;WIDTH=450&amp;START_MA","XIMIZED=FALSE&amp;VAR:CALENDAR=US&amp;VAR:SYMBOL=N0098510&amp;VAR:INDEX=0"}</definedName>
    <definedName name="_5986__FDSAUDITLINK__" hidden="1">{"fdsup://directions/FAT Viewer?action=UPDATE&amp;creator=factset&amp;DYN_ARGS=TRUE&amp;DOC_NAME=FAT:FQL_AUDITING_CLIENT_TEMPLATE.FAT&amp;display_string=Audit&amp;VAR:KEY=LCLAZMLUFS&amp;VAR:QUERY=RkZfRUJJVERBX0lCKCdMVE1TJywzOTcyNyk=&amp;WINDOW=FIRST_POPUP&amp;HEIGHT=450&amp;WIDTH=450&amp;START_MA","XIMIZED=FALSE&amp;VAR:CALENDAR=US&amp;VAR:SYMBOL=N0098510&amp;VAR:INDEX=0"}</definedName>
    <definedName name="_5987__FDSAUDITLINK__" localSheetId="6" hidden="1">{"fdsup://directions/FAT Viewer?action=UPDATE&amp;creator=factset&amp;DYN_ARGS=TRUE&amp;DOC_NAME=FAT:FQL_AUDITING_CLIENT_TEMPLATE.FAT&amp;display_string=Audit&amp;VAR:KEY=DUHWBKRIDE&amp;VAR:QUERY=RkZfRUJJVERBX0lCKCdMVE1TJywzOTcyNik=&amp;WINDOW=FIRST_POPUP&amp;HEIGHT=450&amp;WIDTH=450&amp;START_MA","XIMIZED=FALSE&amp;VAR:CALENDAR=US&amp;VAR:SYMBOL=N0098510&amp;VAR:INDEX=0"}</definedName>
    <definedName name="_5987__FDSAUDITLINK__" hidden="1">{"fdsup://directions/FAT Viewer?action=UPDATE&amp;creator=factset&amp;DYN_ARGS=TRUE&amp;DOC_NAME=FAT:FQL_AUDITING_CLIENT_TEMPLATE.FAT&amp;display_string=Audit&amp;VAR:KEY=DUHWBKRIDE&amp;VAR:QUERY=RkZfRUJJVERBX0lCKCdMVE1TJywzOTcyNik=&amp;WINDOW=FIRST_POPUP&amp;HEIGHT=450&amp;WIDTH=450&amp;START_MA","XIMIZED=FALSE&amp;VAR:CALENDAR=US&amp;VAR:SYMBOL=N0098510&amp;VAR:INDEX=0"}</definedName>
    <definedName name="_5988__FDSAUDITLINK__" localSheetId="6" hidden="1">{"fdsup://directions/FAT Viewer?action=UPDATE&amp;creator=factset&amp;DYN_ARGS=TRUE&amp;DOC_NAME=FAT:FQL_AUDITING_CLIENT_TEMPLATE.FAT&amp;display_string=Audit&amp;VAR:KEY=FYNMHYJMTE&amp;VAR:QUERY=RkZfRUJJVERBX0lCKCdMVE1TJywzOTcyNSk=&amp;WINDOW=FIRST_POPUP&amp;HEIGHT=450&amp;WIDTH=450&amp;START_MA","XIMIZED=FALSE&amp;VAR:CALENDAR=US&amp;VAR:SYMBOL=N0098510&amp;VAR:INDEX=0"}</definedName>
    <definedName name="_5988__FDSAUDITLINK__" hidden="1">{"fdsup://directions/FAT Viewer?action=UPDATE&amp;creator=factset&amp;DYN_ARGS=TRUE&amp;DOC_NAME=FAT:FQL_AUDITING_CLIENT_TEMPLATE.FAT&amp;display_string=Audit&amp;VAR:KEY=FYNMHYJMTE&amp;VAR:QUERY=RkZfRUJJVERBX0lCKCdMVE1TJywzOTcyNSk=&amp;WINDOW=FIRST_POPUP&amp;HEIGHT=450&amp;WIDTH=450&amp;START_MA","XIMIZED=FALSE&amp;VAR:CALENDAR=US&amp;VAR:SYMBOL=N0098510&amp;VAR:INDEX=0"}</definedName>
    <definedName name="_5989__FDSAUDITLINK__" localSheetId="6" hidden="1">{"fdsup://directions/FAT Viewer?action=UPDATE&amp;creator=factset&amp;DYN_ARGS=TRUE&amp;DOC_NAME=FAT:FQL_AUDITING_CLIENT_TEMPLATE.FAT&amp;display_string=Audit&amp;VAR:KEY=HSXAPSRAXA&amp;VAR:QUERY=RkZfRUJJVERBX0lCKCdMVE1TJywzOTcyNCk=&amp;WINDOW=FIRST_POPUP&amp;HEIGHT=450&amp;WIDTH=450&amp;START_MA","XIMIZED=FALSE&amp;VAR:CALENDAR=US&amp;VAR:SYMBOL=N0098510&amp;VAR:INDEX=0"}</definedName>
    <definedName name="_5989__FDSAUDITLINK__" hidden="1">{"fdsup://directions/FAT Viewer?action=UPDATE&amp;creator=factset&amp;DYN_ARGS=TRUE&amp;DOC_NAME=FAT:FQL_AUDITING_CLIENT_TEMPLATE.FAT&amp;display_string=Audit&amp;VAR:KEY=HSXAPSRAXA&amp;VAR:QUERY=RkZfRUJJVERBX0lCKCdMVE1TJywzOTcyNCk=&amp;WINDOW=FIRST_POPUP&amp;HEIGHT=450&amp;WIDTH=450&amp;START_MA","XIMIZED=FALSE&amp;VAR:CALENDAR=US&amp;VAR:SYMBOL=N0098510&amp;VAR:INDEX=0"}</definedName>
    <definedName name="_599__FDSAUDITLINK__" localSheetId="6" hidden="1">{"fdsup://directions/FAT%20Viewer?VAR:PED=LTM&amp;VAR:AUDIT_MODE=SUMMARY&amp;VAR:PERIOD=FIXED&amp;VAR:AUDIT_ID=00000117&amp;VAR:DATE=20080702&amp;action=UPDATE&amp;creator=factset&amp;DOC_NAME=FAT:FMA_audit_SUMMARY.fat&amp;DISPLAY_STRING=Display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9__FDSAUDITLINK__" hidden="1">{"fdsup://directions/FAT%20Viewer?VAR:PED=LTM&amp;VAR:AUDIT_MODE=SUMMARY&amp;VAR:PERIOD=FIXED&amp;VAR:AUDIT_ID=00000117&amp;VAR:DATE=20080702&amp;action=UPDATE&amp;creator=factset&amp;DOC_NAME=FAT:FMA_audit_SUMMARY.fat&amp;DISPLAY_STRING=Display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5990__FDSAUDITLINK__" localSheetId="6" hidden="1">{"fdsup://directions/FAT Viewer?action=UPDATE&amp;creator=factset&amp;DYN_ARGS=TRUE&amp;DOC_NAME=FAT:FQL_AUDITING_CLIENT_TEMPLATE.FAT&amp;display_string=Audit&amp;VAR:KEY=XSNMPIHINO&amp;VAR:QUERY=RkZfRUJJVERBX0lCKCdMVE1TJywzOTcyMyk=&amp;WINDOW=FIRST_POPUP&amp;HEIGHT=450&amp;WIDTH=450&amp;START_MA","XIMIZED=FALSE&amp;VAR:CALENDAR=US&amp;VAR:SYMBOL=N0098510&amp;VAR:INDEX=0"}</definedName>
    <definedName name="_5990__FDSAUDITLINK__" hidden="1">{"fdsup://directions/FAT Viewer?action=UPDATE&amp;creator=factset&amp;DYN_ARGS=TRUE&amp;DOC_NAME=FAT:FQL_AUDITING_CLIENT_TEMPLATE.FAT&amp;display_string=Audit&amp;VAR:KEY=XSNMPIHINO&amp;VAR:QUERY=RkZfRUJJVERBX0lCKCdMVE1TJywzOTcyMyk=&amp;WINDOW=FIRST_POPUP&amp;HEIGHT=450&amp;WIDTH=450&amp;START_MA","XIMIZED=FALSE&amp;VAR:CALENDAR=US&amp;VAR:SYMBOL=N0098510&amp;VAR:INDEX=0"}</definedName>
    <definedName name="_5991__FDSAUDITLINK__" localSheetId="6" hidden="1">{"fdsup://directions/FAT Viewer?action=UPDATE&amp;creator=factset&amp;DYN_ARGS=TRUE&amp;DOC_NAME=FAT:FQL_AUDITING_CLIENT_TEMPLATE.FAT&amp;display_string=Audit&amp;VAR:KEY=XQVUJWNCJS&amp;VAR:QUERY=RkZfRUJJVERBX0lCKCdMVE1TJywzOTcyMik=&amp;WINDOW=FIRST_POPUP&amp;HEIGHT=450&amp;WIDTH=450&amp;START_MA","XIMIZED=FALSE&amp;VAR:CALENDAR=US&amp;VAR:SYMBOL=N0098510&amp;VAR:INDEX=0"}</definedName>
    <definedName name="_5991__FDSAUDITLINK__" hidden="1">{"fdsup://directions/FAT Viewer?action=UPDATE&amp;creator=factset&amp;DYN_ARGS=TRUE&amp;DOC_NAME=FAT:FQL_AUDITING_CLIENT_TEMPLATE.FAT&amp;display_string=Audit&amp;VAR:KEY=XQVUJWNCJS&amp;VAR:QUERY=RkZfRUJJVERBX0lCKCdMVE1TJywzOTcyMik=&amp;WINDOW=FIRST_POPUP&amp;HEIGHT=450&amp;WIDTH=450&amp;START_MA","XIMIZED=FALSE&amp;VAR:CALENDAR=US&amp;VAR:SYMBOL=N0098510&amp;VAR:INDEX=0"}</definedName>
    <definedName name="_5992__FDSAUDITLINK__" localSheetId="6" hidden="1">{"fdsup://directions/FAT Viewer?action=UPDATE&amp;creator=factset&amp;DYN_ARGS=TRUE&amp;DOC_NAME=FAT:FQL_AUDITING_CLIENT_TEMPLATE.FAT&amp;display_string=Audit&amp;VAR:KEY=NKZUDATATE&amp;VAR:QUERY=RkZfRUJJVERBX0lCKCdMVE1TJywzOTcyMSk=&amp;WINDOW=FIRST_POPUP&amp;HEIGHT=450&amp;WIDTH=450&amp;START_MA","XIMIZED=FALSE&amp;VAR:CALENDAR=US&amp;VAR:SYMBOL=N0098510&amp;VAR:INDEX=0"}</definedName>
    <definedName name="_5992__FDSAUDITLINK__" hidden="1">{"fdsup://directions/FAT Viewer?action=UPDATE&amp;creator=factset&amp;DYN_ARGS=TRUE&amp;DOC_NAME=FAT:FQL_AUDITING_CLIENT_TEMPLATE.FAT&amp;display_string=Audit&amp;VAR:KEY=NKZUDATATE&amp;VAR:QUERY=RkZfRUJJVERBX0lCKCdMVE1TJywzOTcyMSk=&amp;WINDOW=FIRST_POPUP&amp;HEIGHT=450&amp;WIDTH=450&amp;START_MA","XIMIZED=FALSE&amp;VAR:CALENDAR=US&amp;VAR:SYMBOL=N0098510&amp;VAR:INDEX=0"}</definedName>
    <definedName name="_5993__FDSAUDITLINK__" localSheetId="6" hidden="1">{"fdsup://directions/FAT Viewer?action=UPDATE&amp;creator=factset&amp;DYN_ARGS=TRUE&amp;DOC_NAME=FAT:FQL_AUDITING_CLIENT_TEMPLATE.FAT&amp;display_string=Audit&amp;VAR:KEY=RWXEXSBATK&amp;VAR:QUERY=RkZfRUJJVERBX0lCKCdMVE1TJywzOTcyMCk=&amp;WINDOW=FIRST_POPUP&amp;HEIGHT=450&amp;WIDTH=450&amp;START_MA","XIMIZED=FALSE&amp;VAR:CALENDAR=US&amp;VAR:SYMBOL=N0098510&amp;VAR:INDEX=0"}</definedName>
    <definedName name="_5993__FDSAUDITLINK__" hidden="1">{"fdsup://directions/FAT Viewer?action=UPDATE&amp;creator=factset&amp;DYN_ARGS=TRUE&amp;DOC_NAME=FAT:FQL_AUDITING_CLIENT_TEMPLATE.FAT&amp;display_string=Audit&amp;VAR:KEY=RWXEXSBATK&amp;VAR:QUERY=RkZfRUJJVERBX0lCKCdMVE1TJywzOTcyMCk=&amp;WINDOW=FIRST_POPUP&amp;HEIGHT=450&amp;WIDTH=450&amp;START_MA","XIMIZED=FALSE&amp;VAR:CALENDAR=US&amp;VAR:SYMBOL=N0098510&amp;VAR:INDEX=0"}</definedName>
    <definedName name="_5994__FDSAUDITLINK__" localSheetId="6" hidden="1">{"fdsup://directions/FAT Viewer?action=UPDATE&amp;creator=factset&amp;DYN_ARGS=TRUE&amp;DOC_NAME=FAT:FQL_AUDITING_CLIENT_TEMPLATE.FAT&amp;display_string=Audit&amp;VAR:KEY=TYLKLANKJO&amp;VAR:QUERY=RkZfRUJJVERBX0lCKCdMVE1TJywzOTcxOSk=&amp;WINDOW=FIRST_POPUP&amp;HEIGHT=450&amp;WIDTH=450&amp;START_MA","XIMIZED=FALSE&amp;VAR:CALENDAR=US&amp;VAR:SYMBOL=N0098510&amp;VAR:INDEX=0"}</definedName>
    <definedName name="_5994__FDSAUDITLINK__" hidden="1">{"fdsup://directions/FAT Viewer?action=UPDATE&amp;creator=factset&amp;DYN_ARGS=TRUE&amp;DOC_NAME=FAT:FQL_AUDITING_CLIENT_TEMPLATE.FAT&amp;display_string=Audit&amp;VAR:KEY=TYLKLANKJO&amp;VAR:QUERY=RkZfRUJJVERBX0lCKCdMVE1TJywzOTcxOSk=&amp;WINDOW=FIRST_POPUP&amp;HEIGHT=450&amp;WIDTH=450&amp;START_MA","XIMIZED=FALSE&amp;VAR:CALENDAR=US&amp;VAR:SYMBOL=N0098510&amp;VAR:INDEX=0"}</definedName>
    <definedName name="_5995__FDSAUDITLINK__" localSheetId="6" hidden="1">{"fdsup://directions/FAT Viewer?action=UPDATE&amp;creator=factset&amp;DYN_ARGS=TRUE&amp;DOC_NAME=FAT:FQL_AUDITING_CLIENT_TEMPLATE.FAT&amp;display_string=Audit&amp;VAR:KEY=TEROBWLANA&amp;VAR:QUERY=RkZfRUJJVERBX0lCKCdMVE1TJywzOTcxOCk=&amp;WINDOW=FIRST_POPUP&amp;HEIGHT=450&amp;WIDTH=450&amp;START_MA","XIMIZED=FALSE&amp;VAR:CALENDAR=US&amp;VAR:SYMBOL=N0098510&amp;VAR:INDEX=0"}</definedName>
    <definedName name="_5995__FDSAUDITLINK__" hidden="1">{"fdsup://directions/FAT Viewer?action=UPDATE&amp;creator=factset&amp;DYN_ARGS=TRUE&amp;DOC_NAME=FAT:FQL_AUDITING_CLIENT_TEMPLATE.FAT&amp;display_string=Audit&amp;VAR:KEY=TEROBWLANA&amp;VAR:QUERY=RkZfRUJJVERBX0lCKCdMVE1TJywzOTcxOCk=&amp;WINDOW=FIRST_POPUP&amp;HEIGHT=450&amp;WIDTH=450&amp;START_MA","XIMIZED=FALSE&amp;VAR:CALENDAR=US&amp;VAR:SYMBOL=N0098510&amp;VAR:INDEX=0"}</definedName>
    <definedName name="_5996__FDSAUDITLINK__" localSheetId="6" hidden="1">{"fdsup://directions/FAT Viewer?action=UPDATE&amp;creator=factset&amp;DYN_ARGS=TRUE&amp;DOC_NAME=FAT:FQL_AUDITING_CLIENT_TEMPLATE.FAT&amp;display_string=Audit&amp;VAR:KEY=DCRIRYVCNC&amp;VAR:QUERY=RkZfRUJJVERBX0lCKCdMVE1TJywzOTcxNyk=&amp;WINDOW=FIRST_POPUP&amp;HEIGHT=450&amp;WIDTH=450&amp;START_MA","XIMIZED=FALSE&amp;VAR:CALENDAR=US&amp;VAR:SYMBOL=N0098510&amp;VAR:INDEX=0"}</definedName>
    <definedName name="_5996__FDSAUDITLINK__" hidden="1">{"fdsup://directions/FAT Viewer?action=UPDATE&amp;creator=factset&amp;DYN_ARGS=TRUE&amp;DOC_NAME=FAT:FQL_AUDITING_CLIENT_TEMPLATE.FAT&amp;display_string=Audit&amp;VAR:KEY=DCRIRYVCNC&amp;VAR:QUERY=RkZfRUJJVERBX0lCKCdMVE1TJywzOTcxNyk=&amp;WINDOW=FIRST_POPUP&amp;HEIGHT=450&amp;WIDTH=450&amp;START_MA","XIMIZED=FALSE&amp;VAR:CALENDAR=US&amp;VAR:SYMBOL=N0098510&amp;VAR:INDEX=0"}</definedName>
    <definedName name="_5997__FDSAUDITLINK__" localSheetId="6" hidden="1">{"fdsup://directions/FAT Viewer?action=UPDATE&amp;creator=factset&amp;DYN_ARGS=TRUE&amp;DOC_NAME=FAT:FQL_AUDITING_CLIENT_TEMPLATE.FAT&amp;display_string=Audit&amp;VAR:KEY=DWRWZWDKJQ&amp;VAR:QUERY=RkZfRUJJVERBX0lCKCdMVE1TJywzOTcxNik=&amp;WINDOW=FIRST_POPUP&amp;HEIGHT=450&amp;WIDTH=450&amp;START_MA","XIMIZED=FALSE&amp;VAR:CALENDAR=US&amp;VAR:SYMBOL=N0098510&amp;VAR:INDEX=0"}</definedName>
    <definedName name="_5997__FDSAUDITLINK__" hidden="1">{"fdsup://directions/FAT Viewer?action=UPDATE&amp;creator=factset&amp;DYN_ARGS=TRUE&amp;DOC_NAME=FAT:FQL_AUDITING_CLIENT_TEMPLATE.FAT&amp;display_string=Audit&amp;VAR:KEY=DWRWZWDKJQ&amp;VAR:QUERY=RkZfRUJJVERBX0lCKCdMVE1TJywzOTcxNik=&amp;WINDOW=FIRST_POPUP&amp;HEIGHT=450&amp;WIDTH=450&amp;START_MA","XIMIZED=FALSE&amp;VAR:CALENDAR=US&amp;VAR:SYMBOL=N0098510&amp;VAR:INDEX=0"}</definedName>
    <definedName name="_5998__FDSAUDITLINK__" localSheetId="6" hidden="1">{"fdsup://directions/FAT Viewer?action=UPDATE&amp;creator=factset&amp;DYN_ARGS=TRUE&amp;DOC_NAME=FAT:FQL_AUDITING_CLIENT_TEMPLATE.FAT&amp;display_string=Audit&amp;VAR:KEY=FUNONWZING&amp;VAR:QUERY=RkZfRUJJVERBX0lCKCdMVE1TJywzOTcxNSk=&amp;WINDOW=FIRST_POPUP&amp;HEIGHT=450&amp;WIDTH=450&amp;START_MA","XIMIZED=FALSE&amp;VAR:CALENDAR=US&amp;VAR:SYMBOL=N0098510&amp;VAR:INDEX=0"}</definedName>
    <definedName name="_5998__FDSAUDITLINK__" hidden="1">{"fdsup://directions/FAT Viewer?action=UPDATE&amp;creator=factset&amp;DYN_ARGS=TRUE&amp;DOC_NAME=FAT:FQL_AUDITING_CLIENT_TEMPLATE.FAT&amp;display_string=Audit&amp;VAR:KEY=FUNONWZING&amp;VAR:QUERY=RkZfRUJJVERBX0lCKCdMVE1TJywzOTcxNSk=&amp;WINDOW=FIRST_POPUP&amp;HEIGHT=450&amp;WIDTH=450&amp;START_MA","XIMIZED=FALSE&amp;VAR:CALENDAR=US&amp;VAR:SYMBOL=N0098510&amp;VAR:INDEX=0"}</definedName>
    <definedName name="_5999__FDSAUDITLINK__" localSheetId="6" hidden="1">{"fdsup://directions/FAT Viewer?action=UPDATE&amp;creator=factset&amp;DYN_ARGS=TRUE&amp;DOC_NAME=FAT:FQL_AUDITING_CLIENT_TEMPLATE.FAT&amp;display_string=Audit&amp;VAR:KEY=XSZSVCTAZU&amp;VAR:QUERY=RkZfRUJJVERBX0lCKCdMVE1TJywzOTcxNCk=&amp;WINDOW=FIRST_POPUP&amp;HEIGHT=450&amp;WIDTH=450&amp;START_MA","XIMIZED=FALSE&amp;VAR:CALENDAR=US&amp;VAR:SYMBOL=N0098510&amp;VAR:INDEX=0"}</definedName>
    <definedName name="_5999__FDSAUDITLINK__" hidden="1">{"fdsup://directions/FAT Viewer?action=UPDATE&amp;creator=factset&amp;DYN_ARGS=TRUE&amp;DOC_NAME=FAT:FQL_AUDITING_CLIENT_TEMPLATE.FAT&amp;display_string=Audit&amp;VAR:KEY=XSZSVCTAZU&amp;VAR:QUERY=RkZfRUJJVERBX0lCKCdMVE1TJywzOTcxNCk=&amp;WINDOW=FIRST_POPUP&amp;HEIGHT=450&amp;WIDTH=450&amp;START_MA","XIMIZED=FALSE&amp;VAR:CALENDAR=US&amp;VAR:SYMBOL=N0098510&amp;VAR:INDEX=0"}</definedName>
    <definedName name="_600__FDSAUDITLINK__" localSheetId="6" hidden="1">{"fdsup://directions/FAT%20Viewer?VAR:PED=LTM&amp;VAR:AUDIT_MODE=SUMMARY&amp;VAR:PERIOD=FIXED&amp;VAR:AUDIT_ID=00000117&amp;VAR:DATE=20080701&amp;action=UPDATE&amp;creator=factset&amp;DOC_NAME=FAT:FMA_audit_SUMMARY.fat&amp;DISPLAY_STRING=Display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600__FDSAUDITLINK__" hidden="1">{"fdsup://directions/FAT%20Viewer?VAR:PED=LTM&amp;VAR:AUDIT_MODE=SUMMARY&amp;VAR:PERIOD=FIXED&amp;VAR:AUDIT_ID=00000117&amp;VAR:DATE=20080701&amp;action=UPDATE&amp;creator=factset&amp;DOC_NAME=FAT:FMA_audit_SUMMARY.fat&amp;DISPLAY_STRING=Display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6000__FDSAUDITLINK__" localSheetId="6" hidden="1">{"fdsup://directions/FAT Viewer?action=UPDATE&amp;creator=factset&amp;DYN_ARGS=TRUE&amp;DOC_NAME=FAT:FQL_AUDITING_CLIENT_TEMPLATE.FAT&amp;display_string=Audit&amp;VAR:KEY=LCTYFMXGVQ&amp;VAR:QUERY=RkZfRUJJVERBX0lCKCdMVE1TJywzOTcxMyk=&amp;WINDOW=FIRST_POPUP&amp;HEIGHT=450&amp;WIDTH=450&amp;START_MA","XIMIZED=FALSE&amp;VAR:CALENDAR=US&amp;VAR:SYMBOL=N0098510&amp;VAR:INDEX=0"}</definedName>
    <definedName name="_6000__FDSAUDITLINK__" hidden="1">{"fdsup://directions/FAT Viewer?action=UPDATE&amp;creator=factset&amp;DYN_ARGS=TRUE&amp;DOC_NAME=FAT:FQL_AUDITING_CLIENT_TEMPLATE.FAT&amp;display_string=Audit&amp;VAR:KEY=LCTYFMXGVQ&amp;VAR:QUERY=RkZfRUJJVERBX0lCKCdMVE1TJywzOTcxMyk=&amp;WINDOW=FIRST_POPUP&amp;HEIGHT=450&amp;WIDTH=450&amp;START_MA","XIMIZED=FALSE&amp;VAR:CALENDAR=US&amp;VAR:SYMBOL=N0098510&amp;VAR:INDEX=0"}</definedName>
    <definedName name="_6001__FDSAUDITLINK__" localSheetId="6" hidden="1">{"fdsup://directions/FAT Viewer?action=UPDATE&amp;creator=factset&amp;DYN_ARGS=TRUE&amp;DOC_NAME=FAT:FQL_AUDITING_CLIENT_TEMPLATE.FAT&amp;display_string=Audit&amp;VAR:KEY=FORERYTMXC&amp;VAR:QUERY=RkZfRUJJVERBX0lCKCdMVE1TJywzOTcxMik=&amp;WINDOW=FIRST_POPUP&amp;HEIGHT=450&amp;WIDTH=450&amp;START_MA","XIMIZED=FALSE&amp;VAR:CALENDAR=US&amp;VAR:SYMBOL=N0098510&amp;VAR:INDEX=0"}</definedName>
    <definedName name="_6001__FDSAUDITLINK__" hidden="1">{"fdsup://directions/FAT Viewer?action=UPDATE&amp;creator=factset&amp;DYN_ARGS=TRUE&amp;DOC_NAME=FAT:FQL_AUDITING_CLIENT_TEMPLATE.FAT&amp;display_string=Audit&amp;VAR:KEY=FORERYTMXC&amp;VAR:QUERY=RkZfRUJJVERBX0lCKCdMVE1TJywzOTcxMik=&amp;WINDOW=FIRST_POPUP&amp;HEIGHT=450&amp;WIDTH=450&amp;START_MA","XIMIZED=FALSE&amp;VAR:CALENDAR=US&amp;VAR:SYMBOL=N0098510&amp;VAR:INDEX=0"}</definedName>
    <definedName name="_6002__FDSAUDITLINK__" localSheetId="6" hidden="1">{"fdsup://directions/FAT Viewer?action=UPDATE&amp;creator=factset&amp;DYN_ARGS=TRUE&amp;DOC_NAME=FAT:FQL_AUDITING_CLIENT_TEMPLATE.FAT&amp;display_string=Audit&amp;VAR:KEY=ZAZSXEFMFY&amp;VAR:QUERY=RkZfRUJJVERBX0lCKCdMVE1TJywzOTcxMSk=&amp;WINDOW=FIRST_POPUP&amp;HEIGHT=450&amp;WIDTH=450&amp;START_MA","XIMIZED=FALSE&amp;VAR:CALENDAR=US&amp;VAR:SYMBOL=N0098510&amp;VAR:INDEX=0"}</definedName>
    <definedName name="_6002__FDSAUDITLINK__" hidden="1">{"fdsup://directions/FAT Viewer?action=UPDATE&amp;creator=factset&amp;DYN_ARGS=TRUE&amp;DOC_NAME=FAT:FQL_AUDITING_CLIENT_TEMPLATE.FAT&amp;display_string=Audit&amp;VAR:KEY=ZAZSXEFMFY&amp;VAR:QUERY=RkZfRUJJVERBX0lCKCdMVE1TJywzOTcxMSk=&amp;WINDOW=FIRST_POPUP&amp;HEIGHT=450&amp;WIDTH=450&amp;START_MA","XIMIZED=FALSE&amp;VAR:CALENDAR=US&amp;VAR:SYMBOL=N0098510&amp;VAR:INDEX=0"}</definedName>
    <definedName name="_6003__FDSAUDITLINK__" localSheetId="6" hidden="1">{"fdsup://directions/FAT Viewer?action=UPDATE&amp;creator=factset&amp;DYN_ARGS=TRUE&amp;DOC_NAME=FAT:FQL_AUDITING_CLIENT_TEMPLATE.FAT&amp;display_string=Audit&amp;VAR:KEY=PQHYFSVARS&amp;VAR:QUERY=RkZfRUJJVERBX0lCKCdMVE1TJywzOTcxMCk=&amp;WINDOW=FIRST_POPUP&amp;HEIGHT=450&amp;WIDTH=450&amp;START_MA","XIMIZED=FALSE&amp;VAR:CALENDAR=US&amp;VAR:SYMBOL=N0098510&amp;VAR:INDEX=0"}</definedName>
    <definedName name="_6003__FDSAUDITLINK__" hidden="1">{"fdsup://directions/FAT Viewer?action=UPDATE&amp;creator=factset&amp;DYN_ARGS=TRUE&amp;DOC_NAME=FAT:FQL_AUDITING_CLIENT_TEMPLATE.FAT&amp;display_string=Audit&amp;VAR:KEY=PQHYFSVARS&amp;VAR:QUERY=RkZfRUJJVERBX0lCKCdMVE1TJywzOTcxMCk=&amp;WINDOW=FIRST_POPUP&amp;HEIGHT=450&amp;WIDTH=450&amp;START_MA","XIMIZED=FALSE&amp;VAR:CALENDAR=US&amp;VAR:SYMBOL=N0098510&amp;VAR:INDEX=0"}</definedName>
    <definedName name="_6004__FDSAUDITLINK__" localSheetId="6" hidden="1">{"fdsup://directions/FAT Viewer?action=UPDATE&amp;creator=factset&amp;DYN_ARGS=TRUE&amp;DOC_NAME=FAT:FQL_AUDITING_CLIENT_TEMPLATE.FAT&amp;display_string=Audit&amp;VAR:KEY=RYNQLWNMJE&amp;VAR:QUERY=RkZfRUJJVERBX0lCKCdMVE1TJywzOTcwOSk=&amp;WINDOW=FIRST_POPUP&amp;HEIGHT=450&amp;WIDTH=450&amp;START_MA","XIMIZED=FALSE&amp;VAR:CALENDAR=US&amp;VAR:SYMBOL=N0098510&amp;VAR:INDEX=0"}</definedName>
    <definedName name="_6004__FDSAUDITLINK__" hidden="1">{"fdsup://directions/FAT Viewer?action=UPDATE&amp;creator=factset&amp;DYN_ARGS=TRUE&amp;DOC_NAME=FAT:FQL_AUDITING_CLIENT_TEMPLATE.FAT&amp;display_string=Audit&amp;VAR:KEY=RYNQLWNMJE&amp;VAR:QUERY=RkZfRUJJVERBX0lCKCdMVE1TJywzOTcwOSk=&amp;WINDOW=FIRST_POPUP&amp;HEIGHT=450&amp;WIDTH=450&amp;START_MA","XIMIZED=FALSE&amp;VAR:CALENDAR=US&amp;VAR:SYMBOL=N0098510&amp;VAR:INDEX=0"}</definedName>
    <definedName name="_6005__FDSAUDITLINK__" localSheetId="6" hidden="1">{"fdsup://directions/FAT Viewer?action=UPDATE&amp;creator=factset&amp;DYN_ARGS=TRUE&amp;DOC_NAME=FAT:FQL_AUDITING_CLIENT_TEMPLATE.FAT&amp;display_string=Audit&amp;VAR:KEY=NUXARWJQRO&amp;VAR:QUERY=RkZfRUJJVERBX0lCKCdMVE1TJywzOTcwOCk=&amp;WINDOW=FIRST_POPUP&amp;HEIGHT=450&amp;WIDTH=450&amp;START_MA","XIMIZED=FALSE&amp;VAR:CALENDAR=US&amp;VAR:SYMBOL=N0098510&amp;VAR:INDEX=0"}</definedName>
    <definedName name="_6005__FDSAUDITLINK__" hidden="1">{"fdsup://directions/FAT Viewer?action=UPDATE&amp;creator=factset&amp;DYN_ARGS=TRUE&amp;DOC_NAME=FAT:FQL_AUDITING_CLIENT_TEMPLATE.FAT&amp;display_string=Audit&amp;VAR:KEY=NUXARWJQRO&amp;VAR:QUERY=RkZfRUJJVERBX0lCKCdMVE1TJywzOTcwOCk=&amp;WINDOW=FIRST_POPUP&amp;HEIGHT=450&amp;WIDTH=450&amp;START_MA","XIMIZED=FALSE&amp;VAR:CALENDAR=US&amp;VAR:SYMBOL=N0098510&amp;VAR:INDEX=0"}</definedName>
    <definedName name="_6006__FDSAUDITLINK__" localSheetId="6" hidden="1">{"fdsup://directions/FAT Viewer?action=UPDATE&amp;creator=factset&amp;DYN_ARGS=TRUE&amp;DOC_NAME=FAT:FQL_AUDITING_CLIENT_TEMPLATE.FAT&amp;display_string=Audit&amp;VAR:KEY=VOLOXUVYNO&amp;VAR:QUERY=RkZfRUJJVERBX0lCKCdMVE1TJywzOTcwNyk=&amp;WINDOW=FIRST_POPUP&amp;HEIGHT=450&amp;WIDTH=450&amp;START_MA","XIMIZED=FALSE&amp;VAR:CALENDAR=US&amp;VAR:SYMBOL=N0098510&amp;VAR:INDEX=0"}</definedName>
    <definedName name="_6006__FDSAUDITLINK__" hidden="1">{"fdsup://directions/FAT Viewer?action=UPDATE&amp;creator=factset&amp;DYN_ARGS=TRUE&amp;DOC_NAME=FAT:FQL_AUDITING_CLIENT_TEMPLATE.FAT&amp;display_string=Audit&amp;VAR:KEY=VOLOXUVYNO&amp;VAR:QUERY=RkZfRUJJVERBX0lCKCdMVE1TJywzOTcwNyk=&amp;WINDOW=FIRST_POPUP&amp;HEIGHT=450&amp;WIDTH=450&amp;START_MA","XIMIZED=FALSE&amp;VAR:CALENDAR=US&amp;VAR:SYMBOL=N0098510&amp;VAR:INDEX=0"}</definedName>
    <definedName name="_6007__FDSAUDITLINK__" localSheetId="6" hidden="1">{"fdsup://directions/FAT Viewer?action=UPDATE&amp;creator=factset&amp;DYN_ARGS=TRUE&amp;DOC_NAME=FAT:FQL_AUDITING_CLIENT_TEMPLATE.FAT&amp;display_string=Audit&amp;VAR:KEY=ZWDERCZUDC&amp;VAR:QUERY=RkZfRUJJVERBX0lCKCdMVE1TJywzOTcwNik=&amp;WINDOW=FIRST_POPUP&amp;HEIGHT=450&amp;WIDTH=450&amp;START_MA","XIMIZED=FALSE&amp;VAR:CALENDAR=US&amp;VAR:SYMBOL=N0098510&amp;VAR:INDEX=0"}</definedName>
    <definedName name="_6007__FDSAUDITLINK__" hidden="1">{"fdsup://directions/FAT Viewer?action=UPDATE&amp;creator=factset&amp;DYN_ARGS=TRUE&amp;DOC_NAME=FAT:FQL_AUDITING_CLIENT_TEMPLATE.FAT&amp;display_string=Audit&amp;VAR:KEY=ZWDERCZUDC&amp;VAR:QUERY=RkZfRUJJVERBX0lCKCdMVE1TJywzOTcwNik=&amp;WINDOW=FIRST_POPUP&amp;HEIGHT=450&amp;WIDTH=450&amp;START_MA","XIMIZED=FALSE&amp;VAR:CALENDAR=US&amp;VAR:SYMBOL=N0098510&amp;VAR:INDEX=0"}</definedName>
    <definedName name="_6008__FDSAUDITLINK__" localSheetId="6" hidden="1">{"fdsup://directions/FAT Viewer?action=UPDATE&amp;creator=factset&amp;DYN_ARGS=TRUE&amp;DOC_NAME=FAT:FQL_AUDITING_CLIENT_TEMPLATE.FAT&amp;display_string=Audit&amp;VAR:KEY=TEDYRWPOJW&amp;VAR:QUERY=RkZfRUJJVERBX0lCKCdMVE1TJywzOTcwNSk=&amp;WINDOW=FIRST_POPUP&amp;HEIGHT=450&amp;WIDTH=450&amp;START_MA","XIMIZED=FALSE&amp;VAR:CALENDAR=US&amp;VAR:SYMBOL=N0098510&amp;VAR:INDEX=0"}</definedName>
    <definedName name="_6008__FDSAUDITLINK__" hidden="1">{"fdsup://directions/FAT Viewer?action=UPDATE&amp;creator=factset&amp;DYN_ARGS=TRUE&amp;DOC_NAME=FAT:FQL_AUDITING_CLIENT_TEMPLATE.FAT&amp;display_string=Audit&amp;VAR:KEY=TEDYRWPOJW&amp;VAR:QUERY=RkZfRUJJVERBX0lCKCdMVE1TJywzOTcwNSk=&amp;WINDOW=FIRST_POPUP&amp;HEIGHT=450&amp;WIDTH=450&amp;START_MA","XIMIZED=FALSE&amp;VAR:CALENDAR=US&amp;VAR:SYMBOL=N0098510&amp;VAR:INDEX=0"}</definedName>
    <definedName name="_6009__FDSAUDITLINK__" localSheetId="6" hidden="1">{"fdsup://directions/FAT Viewer?action=UPDATE&amp;creator=factset&amp;DYN_ARGS=TRUE&amp;DOC_NAME=FAT:FQL_AUDITING_CLIENT_TEMPLATE.FAT&amp;display_string=Audit&amp;VAR:KEY=LELSHWFMJA&amp;VAR:QUERY=RkZfRUJJVERBX0lCKCdMVE1TJywzOTcwNCk=&amp;WINDOW=FIRST_POPUP&amp;HEIGHT=450&amp;WIDTH=450&amp;START_MA","XIMIZED=FALSE&amp;VAR:CALENDAR=US&amp;VAR:SYMBOL=N0098510&amp;VAR:INDEX=0"}</definedName>
    <definedName name="_6009__FDSAUDITLINK__" hidden="1">{"fdsup://directions/FAT Viewer?action=UPDATE&amp;creator=factset&amp;DYN_ARGS=TRUE&amp;DOC_NAME=FAT:FQL_AUDITING_CLIENT_TEMPLATE.FAT&amp;display_string=Audit&amp;VAR:KEY=LELSHWFMJA&amp;VAR:QUERY=RkZfRUJJVERBX0lCKCdMVE1TJywzOTcwNCk=&amp;WINDOW=FIRST_POPUP&amp;HEIGHT=450&amp;WIDTH=450&amp;START_MA","XIMIZED=FALSE&amp;VAR:CALENDAR=US&amp;VAR:SYMBOL=N0098510&amp;VAR:INDEX=0"}</definedName>
    <definedName name="_601__FDSAUDITLINK__" localSheetId="6" hidden="1">{"fdsup://directions/FAT%20Viewer?VAR:PED=LTM&amp;VAR:AUDIT_MODE=SUMMARY&amp;VAR:PERIOD=FIXED&amp;VAR:AUDIT_ID=00000117&amp;VAR:DATE=20080630&amp;action=UPDATE&amp;creator=factset&amp;DOC_NAME=FAT:FMA_audit_SUMMARY.fat&amp;DISPLAY_STRING=Display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601__FDSAUDITLINK__" hidden="1">{"fdsup://directions/FAT%20Viewer?VAR:PED=LTM&amp;VAR:AUDIT_MODE=SUMMARY&amp;VAR:PERIOD=FIXED&amp;VAR:AUDIT_ID=00000117&amp;VAR:DATE=20080630&amp;action=UPDATE&amp;creator=factset&amp;DOC_NAME=FAT:FMA_audit_SUMMARY.fat&amp;DISPLAY_STRING=Display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EBITDA&amp;VAR:CHGPERIOD=NA&amp;VAR:FQLFORMULA=FMA_EVAL_EBITDA&amp;VAR:CURRENCY=NA&amp;VAR:P=NA&amp;VAR:V=10.5","40347&amp;VAR:null=.html"}</definedName>
    <definedName name="_6010__FDSAUDITLINK__" localSheetId="6" hidden="1">{"fdsup://directions/FAT Viewer?action=UPDATE&amp;creator=factset&amp;DYN_ARGS=TRUE&amp;DOC_NAME=FAT:FQL_AUDITING_CLIENT_TEMPLATE.FAT&amp;display_string=Audit&amp;VAR:KEY=HSBCBGBSFU&amp;VAR:QUERY=RkZfRUJJVERBX0lCKCdMVE1TJywzOTcwMyk=&amp;WINDOW=FIRST_POPUP&amp;HEIGHT=450&amp;WIDTH=450&amp;START_MA","XIMIZED=FALSE&amp;VAR:CALENDAR=US&amp;VAR:SYMBOL=N0098510&amp;VAR:INDEX=0"}</definedName>
    <definedName name="_6010__FDSAUDITLINK__" hidden="1">{"fdsup://directions/FAT Viewer?action=UPDATE&amp;creator=factset&amp;DYN_ARGS=TRUE&amp;DOC_NAME=FAT:FQL_AUDITING_CLIENT_TEMPLATE.FAT&amp;display_string=Audit&amp;VAR:KEY=HSBCBGBSFU&amp;VAR:QUERY=RkZfRUJJVERBX0lCKCdMVE1TJywzOTcwMyk=&amp;WINDOW=FIRST_POPUP&amp;HEIGHT=450&amp;WIDTH=450&amp;START_MA","XIMIZED=FALSE&amp;VAR:CALENDAR=US&amp;VAR:SYMBOL=N0098510&amp;VAR:INDEX=0"}</definedName>
    <definedName name="_6011__FDSAUDITLINK__" localSheetId="6" hidden="1">{"fdsup://directions/FAT Viewer?action=UPDATE&amp;creator=factset&amp;DYN_ARGS=TRUE&amp;DOC_NAME=FAT:FQL_AUDITING_CLIENT_TEMPLATE.FAT&amp;display_string=Audit&amp;VAR:KEY=VMJCXGHAVY&amp;VAR:QUERY=RkZfRUJJVERBX0lCKCdMVE1TJywzOTcwMik=&amp;WINDOW=FIRST_POPUP&amp;HEIGHT=450&amp;WIDTH=450&amp;START_MA","XIMIZED=FALSE&amp;VAR:CALENDAR=US&amp;VAR:SYMBOL=N0098510&amp;VAR:INDEX=0"}</definedName>
    <definedName name="_6011__FDSAUDITLINK__" hidden="1">{"fdsup://directions/FAT Viewer?action=UPDATE&amp;creator=factset&amp;DYN_ARGS=TRUE&amp;DOC_NAME=FAT:FQL_AUDITING_CLIENT_TEMPLATE.FAT&amp;display_string=Audit&amp;VAR:KEY=VMJCXGHAVY&amp;VAR:QUERY=RkZfRUJJVERBX0lCKCdMVE1TJywzOTcwMik=&amp;WINDOW=FIRST_POPUP&amp;HEIGHT=450&amp;WIDTH=450&amp;START_MA","XIMIZED=FALSE&amp;VAR:CALENDAR=US&amp;VAR:SYMBOL=N0098510&amp;VAR:INDEX=0"}</definedName>
    <definedName name="_6012__FDSAUDITLINK__" localSheetId="6" hidden="1">{"fdsup://directions/FAT Viewer?action=UPDATE&amp;creator=factset&amp;DYN_ARGS=TRUE&amp;DOC_NAME=FAT:FQL_AUDITING_CLIENT_TEMPLATE.FAT&amp;display_string=Audit&amp;VAR:KEY=DYZWZUZERM&amp;VAR:QUERY=RkZfRUJJVERBX0lCKCdMVE1TJywzOTcwMSk=&amp;WINDOW=FIRST_POPUP&amp;HEIGHT=450&amp;WIDTH=450&amp;START_MA","XIMIZED=FALSE&amp;VAR:CALENDAR=US&amp;VAR:SYMBOL=N0098510&amp;VAR:INDEX=0"}</definedName>
    <definedName name="_6012__FDSAUDITLINK__" hidden="1">{"fdsup://directions/FAT Viewer?action=UPDATE&amp;creator=factset&amp;DYN_ARGS=TRUE&amp;DOC_NAME=FAT:FQL_AUDITING_CLIENT_TEMPLATE.FAT&amp;display_string=Audit&amp;VAR:KEY=DYZWZUZERM&amp;VAR:QUERY=RkZfRUJJVERBX0lCKCdMVE1TJywzOTcwMSk=&amp;WINDOW=FIRST_POPUP&amp;HEIGHT=450&amp;WIDTH=450&amp;START_MA","XIMIZED=FALSE&amp;VAR:CALENDAR=US&amp;VAR:SYMBOL=N0098510&amp;VAR:INDEX=0"}</definedName>
    <definedName name="_6013__FDSAUDITLINK__" localSheetId="6" hidden="1">{"fdsup://directions/FAT Viewer?action=UPDATE&amp;creator=factset&amp;DYN_ARGS=TRUE&amp;DOC_NAME=FAT:FQL_AUDITING_CLIENT_TEMPLATE.FAT&amp;display_string=Audit&amp;VAR:KEY=DQZMDKTSFW&amp;VAR:QUERY=RkZfRUJJVERBX0lCKCdMVE1TJywzOTcwMCk=&amp;WINDOW=FIRST_POPUP&amp;HEIGHT=450&amp;WIDTH=450&amp;START_MA","XIMIZED=FALSE&amp;VAR:CALENDAR=US&amp;VAR:SYMBOL=N0098510&amp;VAR:INDEX=0"}</definedName>
    <definedName name="_6013__FDSAUDITLINK__" hidden="1">{"fdsup://directions/FAT Viewer?action=UPDATE&amp;creator=factset&amp;DYN_ARGS=TRUE&amp;DOC_NAME=FAT:FQL_AUDITING_CLIENT_TEMPLATE.FAT&amp;display_string=Audit&amp;VAR:KEY=DQZMDKTSFW&amp;VAR:QUERY=RkZfRUJJVERBX0lCKCdMVE1TJywzOTcwMCk=&amp;WINDOW=FIRST_POPUP&amp;HEIGHT=450&amp;WIDTH=450&amp;START_MA","XIMIZED=FALSE&amp;VAR:CALENDAR=US&amp;VAR:SYMBOL=N0098510&amp;VAR:INDEX=0"}</definedName>
    <definedName name="_6014__FDSAUDITLINK__" localSheetId="6" hidden="1">{"fdsup://directions/FAT Viewer?action=UPDATE&amp;creator=factset&amp;DYN_ARGS=TRUE&amp;DOC_NAME=FAT:FQL_AUDITING_CLIENT_TEMPLATE.FAT&amp;display_string=Audit&amp;VAR:KEY=HEZCROLMTG&amp;VAR:QUERY=RkZfRUJJVERBX0lCKCdMVE1TJywzOTY5OSk=&amp;WINDOW=FIRST_POPUP&amp;HEIGHT=450&amp;WIDTH=450&amp;START_MA","XIMIZED=FALSE&amp;VAR:CALENDAR=US&amp;VAR:SYMBOL=N0098510&amp;VAR:INDEX=0"}</definedName>
    <definedName name="_6014__FDSAUDITLINK__" hidden="1">{"fdsup://directions/FAT Viewer?action=UPDATE&amp;creator=factset&amp;DYN_ARGS=TRUE&amp;DOC_NAME=FAT:FQL_AUDITING_CLIENT_TEMPLATE.FAT&amp;display_string=Audit&amp;VAR:KEY=HEZCROLMTG&amp;VAR:QUERY=RkZfRUJJVERBX0lCKCdMVE1TJywzOTY5OSk=&amp;WINDOW=FIRST_POPUP&amp;HEIGHT=450&amp;WIDTH=450&amp;START_MA","XIMIZED=FALSE&amp;VAR:CALENDAR=US&amp;VAR:SYMBOL=N0098510&amp;VAR:INDEX=0"}</definedName>
    <definedName name="_6015__FDSAUDITLINK__" localSheetId="6" hidden="1">{"fdsup://directions/FAT Viewer?action=UPDATE&amp;creator=factset&amp;DYN_ARGS=TRUE&amp;DOC_NAME=FAT:FQL_AUDITING_CLIENT_TEMPLATE.FAT&amp;display_string=Audit&amp;VAR:KEY=NWJOHETIFM&amp;VAR:QUERY=RkZfRUJJVERBX0lCKCdMVE1TJywzOTY5OCk=&amp;WINDOW=FIRST_POPUP&amp;HEIGHT=450&amp;WIDTH=450&amp;START_MA","XIMIZED=FALSE&amp;VAR:CALENDAR=US&amp;VAR:SYMBOL=N0098510&amp;VAR:INDEX=0"}</definedName>
    <definedName name="_6015__FDSAUDITLINK__" hidden="1">{"fdsup://directions/FAT Viewer?action=UPDATE&amp;creator=factset&amp;DYN_ARGS=TRUE&amp;DOC_NAME=FAT:FQL_AUDITING_CLIENT_TEMPLATE.FAT&amp;display_string=Audit&amp;VAR:KEY=NWJOHETIFM&amp;VAR:QUERY=RkZfRUJJVERBX0lCKCdMVE1TJywzOTY5OCk=&amp;WINDOW=FIRST_POPUP&amp;HEIGHT=450&amp;WIDTH=450&amp;START_MA","XIMIZED=FALSE&amp;VAR:CALENDAR=US&amp;VAR:SYMBOL=N0098510&amp;VAR:INDEX=0"}</definedName>
    <definedName name="_6016__FDSAUDITLINK__" localSheetId="6" hidden="1">{"fdsup://directions/FAT Viewer?action=UPDATE&amp;creator=factset&amp;DYN_ARGS=TRUE&amp;DOC_NAME=FAT:FQL_AUDITING_CLIENT_TEMPLATE.FAT&amp;display_string=Audit&amp;VAR:KEY=JONOZMHUTU&amp;VAR:QUERY=RkZfRUJJVERBX0lCKCdMVE1TJywzOTY5Nyk=&amp;WINDOW=FIRST_POPUP&amp;HEIGHT=450&amp;WIDTH=450&amp;START_MA","XIMIZED=FALSE&amp;VAR:CALENDAR=US&amp;VAR:SYMBOL=N0098510&amp;VAR:INDEX=0"}</definedName>
    <definedName name="_6016__FDSAUDITLINK__" hidden="1">{"fdsup://directions/FAT Viewer?action=UPDATE&amp;creator=factset&amp;DYN_ARGS=TRUE&amp;DOC_NAME=FAT:FQL_AUDITING_CLIENT_TEMPLATE.FAT&amp;display_string=Audit&amp;VAR:KEY=JONOZMHUTU&amp;VAR:QUERY=RkZfRUJJVERBX0lCKCdMVE1TJywzOTY5Nyk=&amp;WINDOW=FIRST_POPUP&amp;HEIGHT=450&amp;WIDTH=450&amp;START_MA","XIMIZED=FALSE&amp;VAR:CALENDAR=US&amp;VAR:SYMBOL=N0098510&amp;VAR:INDEX=0"}</definedName>
    <definedName name="_6017__FDSAUDITLINK__" localSheetId="6" hidden="1">{"fdsup://directions/FAT Viewer?action=UPDATE&amp;creator=factset&amp;DYN_ARGS=TRUE&amp;DOC_NAME=FAT:FQL_AUDITING_CLIENT_TEMPLATE.FAT&amp;display_string=Audit&amp;VAR:KEY=LIDARWLGHC&amp;VAR:QUERY=RkZfRUJJVERBX0lCKCdMVE1TJywzOTY5Nik=&amp;WINDOW=FIRST_POPUP&amp;HEIGHT=450&amp;WIDTH=450&amp;START_MA","XIMIZED=FALSE&amp;VAR:CALENDAR=US&amp;VAR:SYMBOL=N0098510&amp;VAR:INDEX=0"}</definedName>
    <definedName name="_6017__FDSAUDITLINK__" hidden="1">{"fdsup://directions/FAT Viewer?action=UPDATE&amp;creator=factset&amp;DYN_ARGS=TRUE&amp;DOC_NAME=FAT:FQL_AUDITING_CLIENT_TEMPLATE.FAT&amp;display_string=Audit&amp;VAR:KEY=LIDARWLGHC&amp;VAR:QUERY=RkZfRUJJVERBX0lCKCdMVE1TJywzOTY5Nik=&amp;WINDOW=FIRST_POPUP&amp;HEIGHT=450&amp;WIDTH=450&amp;START_MA","XIMIZED=FALSE&amp;VAR:CALENDAR=US&amp;VAR:SYMBOL=N0098510&amp;VAR:INDEX=0"}</definedName>
    <definedName name="_6018__FDSAUDITLINK__" localSheetId="6" hidden="1">{"fdsup://directions/FAT Viewer?action=UPDATE&amp;creator=factset&amp;DYN_ARGS=TRUE&amp;DOC_NAME=FAT:FQL_AUDITING_CLIENT_TEMPLATE.FAT&amp;display_string=Audit&amp;VAR:KEY=JAJYHAVKTU&amp;VAR:QUERY=RkZfRUJJVERBX0lCKCdMVE1TJywzOTY5NSk=&amp;WINDOW=FIRST_POPUP&amp;HEIGHT=450&amp;WIDTH=450&amp;START_MA","XIMIZED=FALSE&amp;VAR:CALENDAR=US&amp;VAR:SYMBOL=N0098510&amp;VAR:INDEX=0"}</definedName>
    <definedName name="_6018__FDSAUDITLINK__" hidden="1">{"fdsup://directions/FAT Viewer?action=UPDATE&amp;creator=factset&amp;DYN_ARGS=TRUE&amp;DOC_NAME=FAT:FQL_AUDITING_CLIENT_TEMPLATE.FAT&amp;display_string=Audit&amp;VAR:KEY=JAJYHAVKTU&amp;VAR:QUERY=RkZfRUJJVERBX0lCKCdMVE1TJywzOTY5NSk=&amp;WINDOW=FIRST_POPUP&amp;HEIGHT=450&amp;WIDTH=450&amp;START_MA","XIMIZED=FALSE&amp;VAR:CALENDAR=US&amp;VAR:SYMBOL=N0098510&amp;VAR:INDEX=0"}</definedName>
    <definedName name="_6019__FDSAUDITLINK__" localSheetId="6" hidden="1">{"fdsup://directions/FAT Viewer?action=UPDATE&amp;creator=factset&amp;DYN_ARGS=TRUE&amp;DOC_NAME=FAT:FQL_AUDITING_CLIENT_TEMPLATE.FAT&amp;display_string=Audit&amp;VAR:KEY=PKXYFWDYXK&amp;VAR:QUERY=RkZfRUJJVERBX0lCKCdMVE1TJywzOTY5NCk=&amp;WINDOW=FIRST_POPUP&amp;HEIGHT=450&amp;WIDTH=450&amp;START_MA","XIMIZED=FALSE&amp;VAR:CALENDAR=US&amp;VAR:SYMBOL=N0098510&amp;VAR:INDEX=0"}</definedName>
    <definedName name="_6019__FDSAUDITLINK__" hidden="1">{"fdsup://directions/FAT Viewer?action=UPDATE&amp;creator=factset&amp;DYN_ARGS=TRUE&amp;DOC_NAME=FAT:FQL_AUDITING_CLIENT_TEMPLATE.FAT&amp;display_string=Audit&amp;VAR:KEY=PKXYFWDYXK&amp;VAR:QUERY=RkZfRUJJVERBX0lCKCdMVE1TJywzOTY5NCk=&amp;WINDOW=FIRST_POPUP&amp;HEIGHT=450&amp;WIDTH=450&amp;START_MA","XIMIZED=FALSE&amp;VAR:CALENDAR=US&amp;VAR:SYMBOL=N0098510&amp;VAR:INDEX=0"}</definedName>
    <definedName name="_602__FDSAUDITLINK__" localSheetId="6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2__FDSAUDITLINK__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20__FDSAUDITLINK__" localSheetId="6" hidden="1">{"fdsup://directions/FAT Viewer?action=UPDATE&amp;creator=factset&amp;DYN_ARGS=TRUE&amp;DOC_NAME=FAT:FQL_AUDITING_CLIENT_TEMPLATE.FAT&amp;display_string=Audit&amp;VAR:KEY=TQXAJCXAXO&amp;VAR:QUERY=RkZfRUJJVERBX0lCKCdMVE1TJywzOTY5Myk=&amp;WINDOW=FIRST_POPUP&amp;HEIGHT=450&amp;WIDTH=450&amp;START_MA","XIMIZED=FALSE&amp;VAR:CALENDAR=US&amp;VAR:SYMBOL=N0098510&amp;VAR:INDEX=0"}</definedName>
    <definedName name="_6020__FDSAUDITLINK__" hidden="1">{"fdsup://directions/FAT Viewer?action=UPDATE&amp;creator=factset&amp;DYN_ARGS=TRUE&amp;DOC_NAME=FAT:FQL_AUDITING_CLIENT_TEMPLATE.FAT&amp;display_string=Audit&amp;VAR:KEY=TQXAJCXAXO&amp;VAR:QUERY=RkZfRUJJVERBX0lCKCdMVE1TJywzOTY5Myk=&amp;WINDOW=FIRST_POPUP&amp;HEIGHT=450&amp;WIDTH=450&amp;START_MA","XIMIZED=FALSE&amp;VAR:CALENDAR=US&amp;VAR:SYMBOL=N0098510&amp;VAR:INDEX=0"}</definedName>
    <definedName name="_6021__FDSAUDITLINK__" localSheetId="6" hidden="1">{"fdsup://directions/FAT Viewer?action=UPDATE&amp;creator=factset&amp;DYN_ARGS=TRUE&amp;DOC_NAME=FAT:FQL_AUDITING_CLIENT_TEMPLATE.FAT&amp;display_string=Audit&amp;VAR:KEY=HGXUVYDKRG&amp;VAR:QUERY=RkZfRUJJVERBX0lCKCdMVE1TJywzOTY5Mik=&amp;WINDOW=FIRST_POPUP&amp;HEIGHT=450&amp;WIDTH=450&amp;START_MA","XIMIZED=FALSE&amp;VAR:CALENDAR=US&amp;VAR:SYMBOL=N0098510&amp;VAR:INDEX=0"}</definedName>
    <definedName name="_6021__FDSAUDITLINK__" hidden="1">{"fdsup://directions/FAT Viewer?action=UPDATE&amp;creator=factset&amp;DYN_ARGS=TRUE&amp;DOC_NAME=FAT:FQL_AUDITING_CLIENT_TEMPLATE.FAT&amp;display_string=Audit&amp;VAR:KEY=HGXUVYDKRG&amp;VAR:QUERY=RkZfRUJJVERBX0lCKCdMVE1TJywzOTY5Mik=&amp;WINDOW=FIRST_POPUP&amp;HEIGHT=450&amp;WIDTH=450&amp;START_MA","XIMIZED=FALSE&amp;VAR:CALENDAR=US&amp;VAR:SYMBOL=N0098510&amp;VAR:INDEX=0"}</definedName>
    <definedName name="_6022__FDSAUDITLINK__" localSheetId="6" hidden="1">{"fdsup://directions/FAT Viewer?action=UPDATE&amp;creator=factset&amp;DYN_ARGS=TRUE&amp;DOC_NAME=FAT:FQL_AUDITING_CLIENT_TEMPLATE.FAT&amp;display_string=Audit&amp;VAR:KEY=DCHKNIVKHQ&amp;VAR:QUERY=RkZfRUJJVERBX0lCKCdMVE1TJywzOTY5MSk=&amp;WINDOW=FIRST_POPUP&amp;HEIGHT=450&amp;WIDTH=450&amp;START_MA","XIMIZED=FALSE&amp;VAR:CALENDAR=US&amp;VAR:SYMBOL=N0098510&amp;VAR:INDEX=0"}</definedName>
    <definedName name="_6022__FDSAUDITLINK__" hidden="1">{"fdsup://directions/FAT Viewer?action=UPDATE&amp;creator=factset&amp;DYN_ARGS=TRUE&amp;DOC_NAME=FAT:FQL_AUDITING_CLIENT_TEMPLATE.FAT&amp;display_string=Audit&amp;VAR:KEY=DCHKNIVKHQ&amp;VAR:QUERY=RkZfRUJJVERBX0lCKCdMVE1TJywzOTY5MSk=&amp;WINDOW=FIRST_POPUP&amp;HEIGHT=450&amp;WIDTH=450&amp;START_MA","XIMIZED=FALSE&amp;VAR:CALENDAR=US&amp;VAR:SYMBOL=N0098510&amp;VAR:INDEX=0"}</definedName>
    <definedName name="_6023__FDSAUDITLINK__" localSheetId="6" hidden="1">{"fdsup://directions/FAT Viewer?action=UPDATE&amp;creator=factset&amp;DYN_ARGS=TRUE&amp;DOC_NAME=FAT:FQL_AUDITING_CLIENT_TEMPLATE.FAT&amp;display_string=Audit&amp;VAR:KEY=XUPKJQBEHI&amp;VAR:QUERY=RkZfRUJJVERBX0lCKCdMVE1TJywzOTY5MCk=&amp;WINDOW=FIRST_POPUP&amp;HEIGHT=450&amp;WIDTH=450&amp;START_MA","XIMIZED=FALSE&amp;VAR:CALENDAR=US&amp;VAR:SYMBOL=N0098510&amp;VAR:INDEX=0"}</definedName>
    <definedName name="_6023__FDSAUDITLINK__" hidden="1">{"fdsup://directions/FAT Viewer?action=UPDATE&amp;creator=factset&amp;DYN_ARGS=TRUE&amp;DOC_NAME=FAT:FQL_AUDITING_CLIENT_TEMPLATE.FAT&amp;display_string=Audit&amp;VAR:KEY=XUPKJQBEHI&amp;VAR:QUERY=RkZfRUJJVERBX0lCKCdMVE1TJywzOTY5MCk=&amp;WINDOW=FIRST_POPUP&amp;HEIGHT=450&amp;WIDTH=450&amp;START_MA","XIMIZED=FALSE&amp;VAR:CALENDAR=US&amp;VAR:SYMBOL=N0098510&amp;VAR:INDEX=0"}</definedName>
    <definedName name="_6024__FDSAUDITLINK__" localSheetId="6" hidden="1">{"fdsup://directions/FAT Viewer?action=UPDATE&amp;creator=factset&amp;DYN_ARGS=TRUE&amp;DOC_NAME=FAT:FQL_AUDITING_CLIENT_TEMPLATE.FAT&amp;display_string=Audit&amp;VAR:KEY=XMZSBQBGTO&amp;VAR:QUERY=RkZfRUJJVERBX0lCKCdMVE1TJywzOTY4OSk=&amp;WINDOW=FIRST_POPUP&amp;HEIGHT=450&amp;WIDTH=450&amp;START_MA","XIMIZED=FALSE&amp;VAR:CALENDAR=US&amp;VAR:SYMBOL=N0098510&amp;VAR:INDEX=0"}</definedName>
    <definedName name="_6024__FDSAUDITLINK__" hidden="1">{"fdsup://directions/FAT Viewer?action=UPDATE&amp;creator=factset&amp;DYN_ARGS=TRUE&amp;DOC_NAME=FAT:FQL_AUDITING_CLIENT_TEMPLATE.FAT&amp;display_string=Audit&amp;VAR:KEY=XMZSBQBGTO&amp;VAR:QUERY=RkZfRUJJVERBX0lCKCdMVE1TJywzOTY4OSk=&amp;WINDOW=FIRST_POPUP&amp;HEIGHT=450&amp;WIDTH=450&amp;START_MA","XIMIZED=FALSE&amp;VAR:CALENDAR=US&amp;VAR:SYMBOL=N0098510&amp;VAR:INDEX=0"}</definedName>
    <definedName name="_6025__FDSAUDITLINK__" localSheetId="6" hidden="1">{"fdsup://directions/FAT Viewer?action=UPDATE&amp;creator=factset&amp;DYN_ARGS=TRUE&amp;DOC_NAME=FAT:FQL_AUDITING_CLIENT_TEMPLATE.FAT&amp;display_string=Audit&amp;VAR:KEY=BYJULUHALO&amp;VAR:QUERY=RkZfRUJJVERBX0lCKCdMVE1TJywzOTY4OCk=&amp;WINDOW=FIRST_POPUP&amp;HEIGHT=450&amp;WIDTH=450&amp;START_MA","XIMIZED=FALSE&amp;VAR:CALENDAR=US&amp;VAR:SYMBOL=N0098510&amp;VAR:INDEX=0"}</definedName>
    <definedName name="_6025__FDSAUDITLINK__" hidden="1">{"fdsup://directions/FAT Viewer?action=UPDATE&amp;creator=factset&amp;DYN_ARGS=TRUE&amp;DOC_NAME=FAT:FQL_AUDITING_CLIENT_TEMPLATE.FAT&amp;display_string=Audit&amp;VAR:KEY=BYJULUHALO&amp;VAR:QUERY=RkZfRUJJVERBX0lCKCdMVE1TJywzOTY4OCk=&amp;WINDOW=FIRST_POPUP&amp;HEIGHT=450&amp;WIDTH=450&amp;START_MA","XIMIZED=FALSE&amp;VAR:CALENDAR=US&amp;VAR:SYMBOL=N0098510&amp;VAR:INDEX=0"}</definedName>
    <definedName name="_6026__FDSAUDITLINK__" localSheetId="6" hidden="1">{"fdsup://directions/FAT Viewer?action=UPDATE&amp;creator=factset&amp;DYN_ARGS=TRUE&amp;DOC_NAME=FAT:FQL_AUDITING_CLIENT_TEMPLATE.FAT&amp;display_string=Audit&amp;VAR:KEY=BCVETQJSNM&amp;VAR:QUERY=RkZfRUJJVERBX0lCKCdMVE1TJywzOTY4Nyk=&amp;WINDOW=FIRST_POPUP&amp;HEIGHT=450&amp;WIDTH=450&amp;START_MA","XIMIZED=FALSE&amp;VAR:CALENDAR=US&amp;VAR:SYMBOL=N0098510&amp;VAR:INDEX=0"}</definedName>
    <definedName name="_6026__FDSAUDITLINK__" hidden="1">{"fdsup://directions/FAT Viewer?action=UPDATE&amp;creator=factset&amp;DYN_ARGS=TRUE&amp;DOC_NAME=FAT:FQL_AUDITING_CLIENT_TEMPLATE.FAT&amp;display_string=Audit&amp;VAR:KEY=BCVETQJSNM&amp;VAR:QUERY=RkZfRUJJVERBX0lCKCdMVE1TJywzOTY4Nyk=&amp;WINDOW=FIRST_POPUP&amp;HEIGHT=450&amp;WIDTH=450&amp;START_MA","XIMIZED=FALSE&amp;VAR:CALENDAR=US&amp;VAR:SYMBOL=N0098510&amp;VAR:INDEX=0"}</definedName>
    <definedName name="_6027__FDSAUDITLINK__" localSheetId="6" hidden="1">{"fdsup://directions/FAT Viewer?action=UPDATE&amp;creator=factset&amp;DYN_ARGS=TRUE&amp;DOC_NAME=FAT:FQL_AUDITING_CLIENT_TEMPLATE.FAT&amp;display_string=Audit&amp;VAR:KEY=NCDWLWDOHC&amp;VAR:QUERY=RkZfRUJJVERBX0lCKCdMVE1TJywzOTY4Nik=&amp;WINDOW=FIRST_POPUP&amp;HEIGHT=450&amp;WIDTH=450&amp;START_MA","XIMIZED=FALSE&amp;VAR:CALENDAR=US&amp;VAR:SYMBOL=N0098510&amp;VAR:INDEX=0"}</definedName>
    <definedName name="_6027__FDSAUDITLINK__" hidden="1">{"fdsup://directions/FAT Viewer?action=UPDATE&amp;creator=factset&amp;DYN_ARGS=TRUE&amp;DOC_NAME=FAT:FQL_AUDITING_CLIENT_TEMPLATE.FAT&amp;display_string=Audit&amp;VAR:KEY=NCDWLWDOHC&amp;VAR:QUERY=RkZfRUJJVERBX0lCKCdMVE1TJywzOTY4Nik=&amp;WINDOW=FIRST_POPUP&amp;HEIGHT=450&amp;WIDTH=450&amp;START_MA","XIMIZED=FALSE&amp;VAR:CALENDAR=US&amp;VAR:SYMBOL=N0098510&amp;VAR:INDEX=0"}</definedName>
    <definedName name="_6028__FDSAUDITLINK__" localSheetId="6" hidden="1">{"fdsup://directions/FAT Viewer?action=UPDATE&amp;creator=factset&amp;DYN_ARGS=TRUE&amp;DOC_NAME=FAT:FQL_AUDITING_CLIENT_TEMPLATE.FAT&amp;display_string=Audit&amp;VAR:KEY=BEPYFOFCDY&amp;VAR:QUERY=RkZfRUJJVERBX0lCKCdMVE1TJywzOTY4NSk=&amp;WINDOW=FIRST_POPUP&amp;HEIGHT=450&amp;WIDTH=450&amp;START_MA","XIMIZED=FALSE&amp;VAR:CALENDAR=US&amp;VAR:SYMBOL=N0098510&amp;VAR:INDEX=0"}</definedName>
    <definedName name="_6028__FDSAUDITLINK__" hidden="1">{"fdsup://directions/FAT Viewer?action=UPDATE&amp;creator=factset&amp;DYN_ARGS=TRUE&amp;DOC_NAME=FAT:FQL_AUDITING_CLIENT_TEMPLATE.FAT&amp;display_string=Audit&amp;VAR:KEY=BEPYFOFCDY&amp;VAR:QUERY=RkZfRUJJVERBX0lCKCdMVE1TJywzOTY4NSk=&amp;WINDOW=FIRST_POPUP&amp;HEIGHT=450&amp;WIDTH=450&amp;START_MA","XIMIZED=FALSE&amp;VAR:CALENDAR=US&amp;VAR:SYMBOL=N0098510&amp;VAR:INDEX=0"}</definedName>
    <definedName name="_6029__FDSAUDITLINK__" localSheetId="6" hidden="1">{"fdsup://directions/FAT Viewer?action=UPDATE&amp;creator=factset&amp;DYN_ARGS=TRUE&amp;DOC_NAME=FAT:FQL_AUDITING_CLIENT_TEMPLATE.FAT&amp;display_string=Audit&amp;VAR:KEY=PULAFMHSTO&amp;VAR:QUERY=RkZfRUJJVERBX0lCKCdMVE1TJywzOTY4NCk=&amp;WINDOW=FIRST_POPUP&amp;HEIGHT=450&amp;WIDTH=450&amp;START_MA","XIMIZED=FALSE&amp;VAR:CALENDAR=US&amp;VAR:SYMBOL=N0098510&amp;VAR:INDEX=0"}</definedName>
    <definedName name="_6029__FDSAUDITLINK__" hidden="1">{"fdsup://directions/FAT Viewer?action=UPDATE&amp;creator=factset&amp;DYN_ARGS=TRUE&amp;DOC_NAME=FAT:FQL_AUDITING_CLIENT_TEMPLATE.FAT&amp;display_string=Audit&amp;VAR:KEY=PULAFMHSTO&amp;VAR:QUERY=RkZfRUJJVERBX0lCKCdMVE1TJywzOTY4NCk=&amp;WINDOW=FIRST_POPUP&amp;HEIGHT=450&amp;WIDTH=450&amp;START_MA","XIMIZED=FALSE&amp;VAR:CALENDAR=US&amp;VAR:SYMBOL=N0098510&amp;VAR:INDEX=0"}</definedName>
    <definedName name="_603__FDSAUDITLINK__" localSheetId="6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3__FDSAUDITLINK__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30__FDSAUDITLINK__" localSheetId="6" hidden="1">{"fdsup://directions/FAT Viewer?action=UPDATE&amp;creator=factset&amp;DYN_ARGS=TRUE&amp;DOC_NAME=FAT:FQL_AUDITING_CLIENT_TEMPLATE.FAT&amp;display_string=Audit&amp;VAR:KEY=ZCNYDKJIVE&amp;VAR:QUERY=RkZfRUJJVERBX0lCKCdMVE1TJywzOTY4Myk=&amp;WINDOW=FIRST_POPUP&amp;HEIGHT=450&amp;WIDTH=450&amp;START_MA","XIMIZED=FALSE&amp;VAR:CALENDAR=US&amp;VAR:SYMBOL=N0098510&amp;VAR:INDEX=0"}</definedName>
    <definedName name="_6030__FDSAUDITLINK__" hidden="1">{"fdsup://directions/FAT Viewer?action=UPDATE&amp;creator=factset&amp;DYN_ARGS=TRUE&amp;DOC_NAME=FAT:FQL_AUDITING_CLIENT_TEMPLATE.FAT&amp;display_string=Audit&amp;VAR:KEY=ZCNYDKJIVE&amp;VAR:QUERY=RkZfRUJJVERBX0lCKCdMVE1TJywzOTY4Myk=&amp;WINDOW=FIRST_POPUP&amp;HEIGHT=450&amp;WIDTH=450&amp;START_MA","XIMIZED=FALSE&amp;VAR:CALENDAR=US&amp;VAR:SYMBOL=N0098510&amp;VAR:INDEX=0"}</definedName>
    <definedName name="_6031__FDSAUDITLINK__" localSheetId="6" hidden="1">{"fdsup://directions/FAT Viewer?action=UPDATE&amp;creator=factset&amp;DYN_ARGS=TRUE&amp;DOC_NAME=FAT:FQL_AUDITING_CLIENT_TEMPLATE.FAT&amp;display_string=Audit&amp;VAR:KEY=LOHELSDIBO&amp;VAR:QUERY=RkZfRUJJVERBX0lCKCdMVE1TJywzOTY4Mik=&amp;WINDOW=FIRST_POPUP&amp;HEIGHT=450&amp;WIDTH=450&amp;START_MA","XIMIZED=FALSE&amp;VAR:CALENDAR=US&amp;VAR:SYMBOL=N0098510&amp;VAR:INDEX=0"}</definedName>
    <definedName name="_6031__FDSAUDITLINK__" hidden="1">{"fdsup://directions/FAT Viewer?action=UPDATE&amp;creator=factset&amp;DYN_ARGS=TRUE&amp;DOC_NAME=FAT:FQL_AUDITING_CLIENT_TEMPLATE.FAT&amp;display_string=Audit&amp;VAR:KEY=LOHELSDIBO&amp;VAR:QUERY=RkZfRUJJVERBX0lCKCdMVE1TJywzOTY4Mik=&amp;WINDOW=FIRST_POPUP&amp;HEIGHT=450&amp;WIDTH=450&amp;START_MA","XIMIZED=FALSE&amp;VAR:CALENDAR=US&amp;VAR:SYMBOL=N0098510&amp;VAR:INDEX=0"}</definedName>
    <definedName name="_6032__FDSAUDITLINK__" localSheetId="6" hidden="1">{"fdsup://directions/FAT Viewer?action=UPDATE&amp;creator=factset&amp;DYN_ARGS=TRUE&amp;DOC_NAME=FAT:FQL_AUDITING_CLIENT_TEMPLATE.FAT&amp;display_string=Audit&amp;VAR:KEY=ZIVIVGDOTU&amp;VAR:QUERY=RkZfRUJJVERBX0lCKCdMVE1TJywzOTY4MSk=&amp;WINDOW=FIRST_POPUP&amp;HEIGHT=450&amp;WIDTH=450&amp;START_MA","XIMIZED=FALSE&amp;VAR:CALENDAR=US&amp;VAR:SYMBOL=N0098510&amp;VAR:INDEX=0"}</definedName>
    <definedName name="_6032__FDSAUDITLINK__" hidden="1">{"fdsup://directions/FAT Viewer?action=UPDATE&amp;creator=factset&amp;DYN_ARGS=TRUE&amp;DOC_NAME=FAT:FQL_AUDITING_CLIENT_TEMPLATE.FAT&amp;display_string=Audit&amp;VAR:KEY=ZIVIVGDOTU&amp;VAR:QUERY=RkZfRUJJVERBX0lCKCdMVE1TJywzOTY4MSk=&amp;WINDOW=FIRST_POPUP&amp;HEIGHT=450&amp;WIDTH=450&amp;START_MA","XIMIZED=FALSE&amp;VAR:CALENDAR=US&amp;VAR:SYMBOL=N0098510&amp;VAR:INDEX=0"}</definedName>
    <definedName name="_6033__FDSAUDITLINK__" localSheetId="6" hidden="1">{"fdsup://directions/FAT Viewer?action=UPDATE&amp;creator=factset&amp;DYN_ARGS=TRUE&amp;DOC_NAME=FAT:FQL_AUDITING_CLIENT_TEMPLATE.FAT&amp;display_string=Audit&amp;VAR:KEY=TMVIBCJCNY&amp;VAR:QUERY=RkZfRUJJVERBX0lCKCdMVE1TJywzOTY4MCk=&amp;WINDOW=FIRST_POPUP&amp;HEIGHT=450&amp;WIDTH=450&amp;START_MA","XIMIZED=FALSE&amp;VAR:CALENDAR=US&amp;VAR:SYMBOL=N0098510&amp;VAR:INDEX=0"}</definedName>
    <definedName name="_6033__FDSAUDITLINK__" hidden="1">{"fdsup://directions/FAT Viewer?action=UPDATE&amp;creator=factset&amp;DYN_ARGS=TRUE&amp;DOC_NAME=FAT:FQL_AUDITING_CLIENT_TEMPLATE.FAT&amp;display_string=Audit&amp;VAR:KEY=TMVIBCJCNY&amp;VAR:QUERY=RkZfRUJJVERBX0lCKCdMVE1TJywzOTY4MCk=&amp;WINDOW=FIRST_POPUP&amp;HEIGHT=450&amp;WIDTH=450&amp;START_MA","XIMIZED=FALSE&amp;VAR:CALENDAR=US&amp;VAR:SYMBOL=N0098510&amp;VAR:INDEX=0"}</definedName>
    <definedName name="_6034__FDSAUDITLINK__" localSheetId="6" hidden="1">{"fdsup://directions/FAT Viewer?action=UPDATE&amp;creator=factset&amp;DYN_ARGS=TRUE&amp;DOC_NAME=FAT:FQL_AUDITING_CLIENT_TEMPLATE.FAT&amp;display_string=Audit&amp;VAR:KEY=LOFWXKPYPW&amp;VAR:QUERY=RkZfRUJJVERBX0lCKCdMVE1TJywzOTY3OSk=&amp;WINDOW=FIRST_POPUP&amp;HEIGHT=450&amp;WIDTH=450&amp;START_MA","XIMIZED=FALSE&amp;VAR:CALENDAR=US&amp;VAR:SYMBOL=N0098510&amp;VAR:INDEX=0"}</definedName>
    <definedName name="_6034__FDSAUDITLINK__" hidden="1">{"fdsup://directions/FAT Viewer?action=UPDATE&amp;creator=factset&amp;DYN_ARGS=TRUE&amp;DOC_NAME=FAT:FQL_AUDITING_CLIENT_TEMPLATE.FAT&amp;display_string=Audit&amp;VAR:KEY=LOFWXKPYPW&amp;VAR:QUERY=RkZfRUJJVERBX0lCKCdMVE1TJywzOTY3OSk=&amp;WINDOW=FIRST_POPUP&amp;HEIGHT=450&amp;WIDTH=450&amp;START_MA","XIMIZED=FALSE&amp;VAR:CALENDAR=US&amp;VAR:SYMBOL=N0098510&amp;VAR:INDEX=0"}</definedName>
    <definedName name="_6035__FDSAUDITLINK__" localSheetId="6" hidden="1">{"fdsup://directions/FAT Viewer?action=UPDATE&amp;creator=factset&amp;DYN_ARGS=TRUE&amp;DOC_NAME=FAT:FQL_AUDITING_CLIENT_TEMPLATE.FAT&amp;display_string=Audit&amp;VAR:KEY=DKNSFCDQPY&amp;VAR:QUERY=RkZfRUJJVERBX0lCKCdMVE1TJywzOTY3OCk=&amp;WINDOW=FIRST_POPUP&amp;HEIGHT=450&amp;WIDTH=450&amp;START_MA","XIMIZED=FALSE&amp;VAR:CALENDAR=US&amp;VAR:SYMBOL=N0098510&amp;VAR:INDEX=0"}</definedName>
    <definedName name="_6035__FDSAUDITLINK__" hidden="1">{"fdsup://directions/FAT Viewer?action=UPDATE&amp;creator=factset&amp;DYN_ARGS=TRUE&amp;DOC_NAME=FAT:FQL_AUDITING_CLIENT_TEMPLATE.FAT&amp;display_string=Audit&amp;VAR:KEY=DKNSFCDQPY&amp;VAR:QUERY=RkZfRUJJVERBX0lCKCdMVE1TJywzOTY3OCk=&amp;WINDOW=FIRST_POPUP&amp;HEIGHT=450&amp;WIDTH=450&amp;START_MA","XIMIZED=FALSE&amp;VAR:CALENDAR=US&amp;VAR:SYMBOL=N0098510&amp;VAR:INDEX=0"}</definedName>
    <definedName name="_6036__FDSAUDITLINK__" localSheetId="6" hidden="1">{"fdsup://directions/FAT Viewer?action=UPDATE&amp;creator=factset&amp;DYN_ARGS=TRUE&amp;DOC_NAME=FAT:FQL_AUDITING_CLIENT_TEMPLATE.FAT&amp;display_string=Audit&amp;VAR:KEY=JKXQDCVYLQ&amp;VAR:QUERY=RkZfRUJJVERBX0lCKCdMVE1TJywzOTY3Nyk=&amp;WINDOW=FIRST_POPUP&amp;HEIGHT=450&amp;WIDTH=450&amp;START_MA","XIMIZED=FALSE&amp;VAR:CALENDAR=US&amp;VAR:SYMBOL=N0098510&amp;VAR:INDEX=0"}</definedName>
    <definedName name="_6036__FDSAUDITLINK__" hidden="1">{"fdsup://directions/FAT Viewer?action=UPDATE&amp;creator=factset&amp;DYN_ARGS=TRUE&amp;DOC_NAME=FAT:FQL_AUDITING_CLIENT_TEMPLATE.FAT&amp;display_string=Audit&amp;VAR:KEY=JKXQDCVYLQ&amp;VAR:QUERY=RkZfRUJJVERBX0lCKCdMVE1TJywzOTY3Nyk=&amp;WINDOW=FIRST_POPUP&amp;HEIGHT=450&amp;WIDTH=450&amp;START_MA","XIMIZED=FALSE&amp;VAR:CALENDAR=US&amp;VAR:SYMBOL=N0098510&amp;VAR:INDEX=0"}</definedName>
    <definedName name="_6037__FDSAUDITLINK__" localSheetId="6" hidden="1">{"fdsup://directions/FAT Viewer?action=UPDATE&amp;creator=factset&amp;DYN_ARGS=TRUE&amp;DOC_NAME=FAT:FQL_AUDITING_CLIENT_TEMPLATE.FAT&amp;display_string=Audit&amp;VAR:KEY=RUVWRIXGZW&amp;VAR:QUERY=RkZfRUJJVERBX0lCKCdMVE1TJywzOTY3Nik=&amp;WINDOW=FIRST_POPUP&amp;HEIGHT=450&amp;WIDTH=450&amp;START_MA","XIMIZED=FALSE&amp;VAR:CALENDAR=US&amp;VAR:SYMBOL=N0098510&amp;VAR:INDEX=0"}</definedName>
    <definedName name="_6037__FDSAUDITLINK__" hidden="1">{"fdsup://directions/FAT Viewer?action=UPDATE&amp;creator=factset&amp;DYN_ARGS=TRUE&amp;DOC_NAME=FAT:FQL_AUDITING_CLIENT_TEMPLATE.FAT&amp;display_string=Audit&amp;VAR:KEY=RUVWRIXGZW&amp;VAR:QUERY=RkZfRUJJVERBX0lCKCdMVE1TJywzOTY3Nik=&amp;WINDOW=FIRST_POPUP&amp;HEIGHT=450&amp;WIDTH=450&amp;START_MA","XIMIZED=FALSE&amp;VAR:CALENDAR=US&amp;VAR:SYMBOL=N0098510&amp;VAR:INDEX=0"}</definedName>
    <definedName name="_6038__FDSAUDITLINK__" localSheetId="6" hidden="1">{"fdsup://directions/FAT Viewer?action=UPDATE&amp;creator=factset&amp;DYN_ARGS=TRUE&amp;DOC_NAME=FAT:FQL_AUDITING_CLIENT_TEMPLATE.FAT&amp;display_string=Audit&amp;VAR:KEY=BYDOTIJKRK&amp;VAR:QUERY=RkZfRUJJVERBX0lCKCdMVE1TJywzOTY3NSk=&amp;WINDOW=FIRST_POPUP&amp;HEIGHT=450&amp;WIDTH=450&amp;START_MA","XIMIZED=FALSE&amp;VAR:CALENDAR=US&amp;VAR:SYMBOL=N0098510&amp;VAR:INDEX=0"}</definedName>
    <definedName name="_6038__FDSAUDITLINK__" hidden="1">{"fdsup://directions/FAT Viewer?action=UPDATE&amp;creator=factset&amp;DYN_ARGS=TRUE&amp;DOC_NAME=FAT:FQL_AUDITING_CLIENT_TEMPLATE.FAT&amp;display_string=Audit&amp;VAR:KEY=BYDOTIJKRK&amp;VAR:QUERY=RkZfRUJJVERBX0lCKCdMVE1TJywzOTY3NSk=&amp;WINDOW=FIRST_POPUP&amp;HEIGHT=450&amp;WIDTH=450&amp;START_MA","XIMIZED=FALSE&amp;VAR:CALENDAR=US&amp;VAR:SYMBOL=N0098510&amp;VAR:INDEX=0"}</definedName>
    <definedName name="_6039__FDSAUDITLINK__" localSheetId="6" hidden="1">{"fdsup://directions/FAT Viewer?action=UPDATE&amp;creator=factset&amp;DYN_ARGS=TRUE&amp;DOC_NAME=FAT:FQL_AUDITING_CLIENT_TEMPLATE.FAT&amp;display_string=Audit&amp;VAR:KEY=FGHIHARATI&amp;VAR:QUERY=RkZfRUJJVERBX0lCKCdMVE1TJywzOTY3NCk=&amp;WINDOW=FIRST_POPUP&amp;HEIGHT=450&amp;WIDTH=450&amp;START_MA","XIMIZED=FALSE&amp;VAR:CALENDAR=US&amp;VAR:SYMBOL=N0098510&amp;VAR:INDEX=0"}</definedName>
    <definedName name="_6039__FDSAUDITLINK__" hidden="1">{"fdsup://directions/FAT Viewer?action=UPDATE&amp;creator=factset&amp;DYN_ARGS=TRUE&amp;DOC_NAME=FAT:FQL_AUDITING_CLIENT_TEMPLATE.FAT&amp;display_string=Audit&amp;VAR:KEY=FGHIHARATI&amp;VAR:QUERY=RkZfRUJJVERBX0lCKCdMVE1TJywzOTY3NCk=&amp;WINDOW=FIRST_POPUP&amp;HEIGHT=450&amp;WIDTH=450&amp;START_MA","XIMIZED=FALSE&amp;VAR:CALENDAR=US&amp;VAR:SYMBOL=N0098510&amp;VAR:INDEX=0"}</definedName>
    <definedName name="_604__FDSAUDITLINK__" localSheetId="6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4__FDSAUDITLINK__" hidden="1">{"fdsup://directions/FAT%20Viewer?VAR:PED=LTM&amp;VAR:AUDIT_MODE=SUMMARY&amp;VAR:PERIOD=FIXED&amp;VAR:AUDIT_ID=00000117&amp;VAR:DATE=20080627&amp;action=UPDATE&amp;creator=factset&amp;DOC_NAME=FAT:FMA_audit_SUMMARY.fat&amp;DISPLAY_STRING=Display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40__FDSAUDITLINK__" localSheetId="6" hidden="1">{"fdsup://directions/FAT Viewer?action=UPDATE&amp;creator=factset&amp;DYN_ARGS=TRUE&amp;DOC_NAME=FAT:FQL_AUDITING_CLIENT_TEMPLATE.FAT&amp;display_string=Audit&amp;VAR:KEY=TUNGLYJILO&amp;VAR:QUERY=RkZfRUJJVERBX0lCKCdMVE1TJywzOTY3Myk=&amp;WINDOW=FIRST_POPUP&amp;HEIGHT=450&amp;WIDTH=450&amp;START_MA","XIMIZED=FALSE&amp;VAR:CALENDAR=US&amp;VAR:SYMBOL=N0098510&amp;VAR:INDEX=0"}</definedName>
    <definedName name="_6040__FDSAUDITLINK__" hidden="1">{"fdsup://directions/FAT Viewer?action=UPDATE&amp;creator=factset&amp;DYN_ARGS=TRUE&amp;DOC_NAME=FAT:FQL_AUDITING_CLIENT_TEMPLATE.FAT&amp;display_string=Audit&amp;VAR:KEY=TUNGLYJILO&amp;VAR:QUERY=RkZfRUJJVERBX0lCKCdMVE1TJywzOTY3Myk=&amp;WINDOW=FIRST_POPUP&amp;HEIGHT=450&amp;WIDTH=450&amp;START_MA","XIMIZED=FALSE&amp;VAR:CALENDAR=US&amp;VAR:SYMBOL=N0098510&amp;VAR:INDEX=0"}</definedName>
    <definedName name="_6041__FDSAUDITLINK__" localSheetId="6" hidden="1">{"fdsup://directions/FAT Viewer?action=UPDATE&amp;creator=factset&amp;DYN_ARGS=TRUE&amp;DOC_NAME=FAT:FQL_AUDITING_CLIENT_TEMPLATE.FAT&amp;display_string=Audit&amp;VAR:KEY=HGXCFUTOPW&amp;VAR:QUERY=RkZfRUJJVERBX0lCKCdMVE1TJywzOTY3Mik=&amp;WINDOW=FIRST_POPUP&amp;HEIGHT=450&amp;WIDTH=450&amp;START_MA","XIMIZED=FALSE&amp;VAR:CALENDAR=US&amp;VAR:SYMBOL=N0098510&amp;VAR:INDEX=0"}</definedName>
    <definedName name="_6041__FDSAUDITLINK__" hidden="1">{"fdsup://directions/FAT Viewer?action=UPDATE&amp;creator=factset&amp;DYN_ARGS=TRUE&amp;DOC_NAME=FAT:FQL_AUDITING_CLIENT_TEMPLATE.FAT&amp;display_string=Audit&amp;VAR:KEY=HGXCFUTOPW&amp;VAR:QUERY=RkZfRUJJVERBX0lCKCdMVE1TJywzOTY3Mik=&amp;WINDOW=FIRST_POPUP&amp;HEIGHT=450&amp;WIDTH=450&amp;START_MA","XIMIZED=FALSE&amp;VAR:CALENDAR=US&amp;VAR:SYMBOL=N0098510&amp;VAR:INDEX=0"}</definedName>
    <definedName name="_6042__FDSAUDITLINK__" localSheetId="6" hidden="1">{"fdsup://directions/FAT Viewer?action=UPDATE&amp;creator=factset&amp;DYN_ARGS=TRUE&amp;DOC_NAME=FAT:FQL_AUDITING_CLIENT_TEMPLATE.FAT&amp;display_string=Audit&amp;VAR:KEY=NWZKPOBCBU&amp;VAR:QUERY=RkZfRUJJVERBX0lCKCdMVE1TJywzOTY3MSk=&amp;WINDOW=FIRST_POPUP&amp;HEIGHT=450&amp;WIDTH=450&amp;START_MA","XIMIZED=FALSE&amp;VAR:CALENDAR=US&amp;VAR:SYMBOL=N0098510&amp;VAR:INDEX=0"}</definedName>
    <definedName name="_6042__FDSAUDITLINK__" hidden="1">{"fdsup://directions/FAT Viewer?action=UPDATE&amp;creator=factset&amp;DYN_ARGS=TRUE&amp;DOC_NAME=FAT:FQL_AUDITING_CLIENT_TEMPLATE.FAT&amp;display_string=Audit&amp;VAR:KEY=NWZKPOBCBU&amp;VAR:QUERY=RkZfRUJJVERBX0lCKCdMVE1TJywzOTY3MSk=&amp;WINDOW=FIRST_POPUP&amp;HEIGHT=450&amp;WIDTH=450&amp;START_MA","XIMIZED=FALSE&amp;VAR:CALENDAR=US&amp;VAR:SYMBOL=N0098510&amp;VAR:INDEX=0"}</definedName>
    <definedName name="_6043__FDSAUDITLINK__" localSheetId="6" hidden="1">{"fdsup://directions/FAT Viewer?action=UPDATE&amp;creator=factset&amp;DYN_ARGS=TRUE&amp;DOC_NAME=FAT:FQL_AUDITING_CLIENT_TEMPLATE.FAT&amp;display_string=Audit&amp;VAR:KEY=JYPSDCZWVM&amp;VAR:QUERY=RkZfRUJJVERBX0lCKCdMVE1TJywzOTY3MCk=&amp;WINDOW=FIRST_POPUP&amp;HEIGHT=450&amp;WIDTH=450&amp;START_MA","XIMIZED=FALSE&amp;VAR:CALENDAR=US&amp;VAR:SYMBOL=N0098510&amp;VAR:INDEX=0"}</definedName>
    <definedName name="_6043__FDSAUDITLINK__" hidden="1">{"fdsup://directions/FAT Viewer?action=UPDATE&amp;creator=factset&amp;DYN_ARGS=TRUE&amp;DOC_NAME=FAT:FQL_AUDITING_CLIENT_TEMPLATE.FAT&amp;display_string=Audit&amp;VAR:KEY=JYPSDCZWVM&amp;VAR:QUERY=RkZfRUJJVERBX0lCKCdMVE1TJywzOTY3MCk=&amp;WINDOW=FIRST_POPUP&amp;HEIGHT=450&amp;WIDTH=450&amp;START_MA","XIMIZED=FALSE&amp;VAR:CALENDAR=US&amp;VAR:SYMBOL=N0098510&amp;VAR:INDEX=0"}</definedName>
    <definedName name="_6044__FDSAUDITLINK__" localSheetId="6" hidden="1">{"fdsup://directions/FAT Viewer?action=UPDATE&amp;creator=factset&amp;DYN_ARGS=TRUE&amp;DOC_NAME=FAT:FQL_AUDITING_CLIENT_TEMPLATE.FAT&amp;display_string=Audit&amp;VAR:KEY=BYVUHSVYZI&amp;VAR:QUERY=RkZfRUJJVERBX0lCKCdMVE1TJywzOTY2OSk=&amp;WINDOW=FIRST_POPUP&amp;HEIGHT=450&amp;WIDTH=450&amp;START_MA","XIMIZED=FALSE&amp;VAR:CALENDAR=US&amp;VAR:SYMBOL=N0098510&amp;VAR:INDEX=0"}</definedName>
    <definedName name="_6044__FDSAUDITLINK__" hidden="1">{"fdsup://directions/FAT Viewer?action=UPDATE&amp;creator=factset&amp;DYN_ARGS=TRUE&amp;DOC_NAME=FAT:FQL_AUDITING_CLIENT_TEMPLATE.FAT&amp;display_string=Audit&amp;VAR:KEY=BYVUHSVYZI&amp;VAR:QUERY=RkZfRUJJVERBX0lCKCdMVE1TJywzOTY2OSk=&amp;WINDOW=FIRST_POPUP&amp;HEIGHT=450&amp;WIDTH=450&amp;START_MA","XIMIZED=FALSE&amp;VAR:CALENDAR=US&amp;VAR:SYMBOL=N0098510&amp;VAR:INDEX=0"}</definedName>
    <definedName name="_6045__FDSAUDITLINK__" localSheetId="6" hidden="1">{"fdsup://directions/FAT Viewer?action=UPDATE&amp;creator=factset&amp;DYN_ARGS=TRUE&amp;DOC_NAME=FAT:FQL_AUDITING_CLIENT_TEMPLATE.FAT&amp;display_string=Audit&amp;VAR:KEY=ROBADKJSXK&amp;VAR:QUERY=RkZfRUJJVERBX0lCKCdMVE1TJywzOTY2OCk=&amp;WINDOW=FIRST_POPUP&amp;HEIGHT=450&amp;WIDTH=450&amp;START_MA","XIMIZED=FALSE&amp;VAR:CALENDAR=US&amp;VAR:SYMBOL=N0098510&amp;VAR:INDEX=0"}</definedName>
    <definedName name="_6045__FDSAUDITLINK__" hidden="1">{"fdsup://directions/FAT Viewer?action=UPDATE&amp;creator=factset&amp;DYN_ARGS=TRUE&amp;DOC_NAME=FAT:FQL_AUDITING_CLIENT_TEMPLATE.FAT&amp;display_string=Audit&amp;VAR:KEY=ROBADKJSXK&amp;VAR:QUERY=RkZfRUJJVERBX0lCKCdMVE1TJywzOTY2OCk=&amp;WINDOW=FIRST_POPUP&amp;HEIGHT=450&amp;WIDTH=450&amp;START_MA","XIMIZED=FALSE&amp;VAR:CALENDAR=US&amp;VAR:SYMBOL=N0098510&amp;VAR:INDEX=0"}</definedName>
    <definedName name="_6046__FDSAUDITLINK__" localSheetId="6" hidden="1">{"fdsup://directions/FAT Viewer?action=UPDATE&amp;creator=factset&amp;DYN_ARGS=TRUE&amp;DOC_NAME=FAT:FQL_AUDITING_CLIENT_TEMPLATE.FAT&amp;display_string=Audit&amp;VAR:KEY=PWHWHKLEHU&amp;VAR:QUERY=RkZfRUJJVERBX0lCKCdMVE1TJywzOTY2Nyk=&amp;WINDOW=FIRST_POPUP&amp;HEIGHT=450&amp;WIDTH=450&amp;START_MA","XIMIZED=FALSE&amp;VAR:CALENDAR=US&amp;VAR:SYMBOL=N0098510&amp;VAR:INDEX=0"}</definedName>
    <definedName name="_6046__FDSAUDITLINK__" hidden="1">{"fdsup://directions/FAT Viewer?action=UPDATE&amp;creator=factset&amp;DYN_ARGS=TRUE&amp;DOC_NAME=FAT:FQL_AUDITING_CLIENT_TEMPLATE.FAT&amp;display_string=Audit&amp;VAR:KEY=PWHWHKLEHU&amp;VAR:QUERY=RkZfRUJJVERBX0lCKCdMVE1TJywzOTY2Nyk=&amp;WINDOW=FIRST_POPUP&amp;HEIGHT=450&amp;WIDTH=450&amp;START_MA","XIMIZED=FALSE&amp;VAR:CALENDAR=US&amp;VAR:SYMBOL=N0098510&amp;VAR:INDEX=0"}</definedName>
    <definedName name="_6047__FDSAUDITLINK__" localSheetId="6" hidden="1">{"fdsup://directions/FAT Viewer?action=UPDATE&amp;creator=factset&amp;DYN_ARGS=TRUE&amp;DOC_NAME=FAT:FQL_AUDITING_CLIENT_TEMPLATE.FAT&amp;display_string=Audit&amp;VAR:KEY=BQTABYNUDM&amp;VAR:QUERY=RkZfRUJJVERBX0lCKCdMVE1TJywzOTY2Nik=&amp;WINDOW=FIRST_POPUP&amp;HEIGHT=450&amp;WIDTH=450&amp;START_MA","XIMIZED=FALSE&amp;VAR:CALENDAR=US&amp;VAR:SYMBOL=N0098510&amp;VAR:INDEX=0"}</definedName>
    <definedName name="_6047__FDSAUDITLINK__" hidden="1">{"fdsup://directions/FAT Viewer?action=UPDATE&amp;creator=factset&amp;DYN_ARGS=TRUE&amp;DOC_NAME=FAT:FQL_AUDITING_CLIENT_TEMPLATE.FAT&amp;display_string=Audit&amp;VAR:KEY=BQTABYNUDM&amp;VAR:QUERY=RkZfRUJJVERBX0lCKCdMVE1TJywzOTY2Nik=&amp;WINDOW=FIRST_POPUP&amp;HEIGHT=450&amp;WIDTH=450&amp;START_MA","XIMIZED=FALSE&amp;VAR:CALENDAR=US&amp;VAR:SYMBOL=N0098510&amp;VAR:INDEX=0"}</definedName>
    <definedName name="_6048__FDSAUDITLINK__" localSheetId="6" hidden="1">{"fdsup://directions/FAT Viewer?action=UPDATE&amp;creator=factset&amp;DYN_ARGS=TRUE&amp;DOC_NAME=FAT:FQL_AUDITING_CLIENT_TEMPLATE.FAT&amp;display_string=Audit&amp;VAR:KEY=XKLEPSLIZS&amp;VAR:QUERY=RkZfRUJJVERBX0lCKCdMVE1TJywzOTY2NSk=&amp;WINDOW=FIRST_POPUP&amp;HEIGHT=450&amp;WIDTH=450&amp;START_MA","XIMIZED=FALSE&amp;VAR:CALENDAR=US&amp;VAR:SYMBOL=N0098510&amp;VAR:INDEX=0"}</definedName>
    <definedName name="_6048__FDSAUDITLINK__" hidden="1">{"fdsup://directions/FAT Viewer?action=UPDATE&amp;creator=factset&amp;DYN_ARGS=TRUE&amp;DOC_NAME=FAT:FQL_AUDITING_CLIENT_TEMPLATE.FAT&amp;display_string=Audit&amp;VAR:KEY=XKLEPSLIZS&amp;VAR:QUERY=RkZfRUJJVERBX0lCKCdMVE1TJywzOTY2NSk=&amp;WINDOW=FIRST_POPUP&amp;HEIGHT=450&amp;WIDTH=450&amp;START_MA","XIMIZED=FALSE&amp;VAR:CALENDAR=US&amp;VAR:SYMBOL=N0098510&amp;VAR:INDEX=0"}</definedName>
    <definedName name="_6049__FDSAUDITLINK__" localSheetId="6" hidden="1">{"fdsup://directions/FAT Viewer?action=UPDATE&amp;creator=factset&amp;DYN_ARGS=TRUE&amp;DOC_NAME=FAT:FQL_AUDITING_CLIENT_TEMPLATE.FAT&amp;display_string=Audit&amp;VAR:KEY=RURAFUFYLW&amp;VAR:QUERY=RkZfRUJJVERBX0lCKCdMVE1TJywzOTY2NCk=&amp;WINDOW=FIRST_POPUP&amp;HEIGHT=450&amp;WIDTH=450&amp;START_MA","XIMIZED=FALSE&amp;VAR:CALENDAR=US&amp;VAR:SYMBOL=N0098510&amp;VAR:INDEX=0"}</definedName>
    <definedName name="_6049__FDSAUDITLINK__" hidden="1">{"fdsup://directions/FAT Viewer?action=UPDATE&amp;creator=factset&amp;DYN_ARGS=TRUE&amp;DOC_NAME=FAT:FQL_AUDITING_CLIENT_TEMPLATE.FAT&amp;display_string=Audit&amp;VAR:KEY=RURAFUFYLW&amp;VAR:QUERY=RkZfRUJJVERBX0lCKCdMVE1TJywzOTY2NCk=&amp;WINDOW=FIRST_POPUP&amp;HEIGHT=450&amp;WIDTH=450&amp;START_MA","XIMIZED=FALSE&amp;VAR:CALENDAR=US&amp;VAR:SYMBOL=N0098510&amp;VAR:INDEX=0"}</definedName>
    <definedName name="_605__FDSAUDITLINK__" localSheetId="6" hidden="1">{"fdsup://directions/FAT%20Viewer?VAR:PED=LTM&amp;VAR:AUDIT_MODE=SUMMARY&amp;VAR:PERIOD=FIXED&amp;VAR:AUDIT_ID=00000117&amp;VAR:DATE=20080626&amp;action=UPDATE&amp;creator=factset&amp;DOC_NAME=FAT:FMA_audit_SUMMARY.fat&amp;DISPLAY_STRING=Display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5__FDSAUDITLINK__" hidden="1">{"fdsup://directions/FAT%20Viewer?VAR:PED=LTM&amp;VAR:AUDIT_MODE=SUMMARY&amp;VAR:PERIOD=FIXED&amp;VAR:AUDIT_ID=00000117&amp;VAR:DATE=20080626&amp;action=UPDATE&amp;creator=factset&amp;DOC_NAME=FAT:FMA_audit_SUMMARY.fat&amp;DISPLAY_STRING=Display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50__FDSAUDITLINK__" localSheetId="6" hidden="1">{"fdsup://directions/FAT Viewer?action=UPDATE&amp;creator=factset&amp;DYN_ARGS=TRUE&amp;DOC_NAME=FAT:FQL_AUDITING_CLIENT_TEMPLATE.FAT&amp;display_string=Audit&amp;VAR:KEY=HQFUZMHCNG&amp;VAR:QUERY=RkZfRUJJVERBX0lCKCdMVE1TJywzOTY2Myk=&amp;WINDOW=FIRST_POPUP&amp;HEIGHT=450&amp;WIDTH=450&amp;START_MA","XIMIZED=FALSE&amp;VAR:CALENDAR=US&amp;VAR:SYMBOL=N0098510&amp;VAR:INDEX=0"}</definedName>
    <definedName name="_6050__FDSAUDITLINK__" hidden="1">{"fdsup://directions/FAT Viewer?action=UPDATE&amp;creator=factset&amp;DYN_ARGS=TRUE&amp;DOC_NAME=FAT:FQL_AUDITING_CLIENT_TEMPLATE.FAT&amp;display_string=Audit&amp;VAR:KEY=HQFUZMHCNG&amp;VAR:QUERY=RkZfRUJJVERBX0lCKCdMVE1TJywzOTY2Myk=&amp;WINDOW=FIRST_POPUP&amp;HEIGHT=450&amp;WIDTH=450&amp;START_MA","XIMIZED=FALSE&amp;VAR:CALENDAR=US&amp;VAR:SYMBOL=N0098510&amp;VAR:INDEX=0"}</definedName>
    <definedName name="_6051__FDSAUDITLINK__" localSheetId="6" hidden="1">{"fdsup://directions/FAT Viewer?action=UPDATE&amp;creator=factset&amp;DYN_ARGS=TRUE&amp;DOC_NAME=FAT:FQL_AUDITING_CLIENT_TEMPLATE.FAT&amp;display_string=Audit&amp;VAR:KEY=NGBCZCBGVE&amp;VAR:QUERY=RkZfRUJJVERBX0lCKCdMVE1TJywzOTY2Mik=&amp;WINDOW=FIRST_POPUP&amp;HEIGHT=450&amp;WIDTH=450&amp;START_MA","XIMIZED=FALSE&amp;VAR:CALENDAR=US&amp;VAR:SYMBOL=N0098510&amp;VAR:INDEX=0"}</definedName>
    <definedName name="_6051__FDSAUDITLINK__" hidden="1">{"fdsup://directions/FAT Viewer?action=UPDATE&amp;creator=factset&amp;DYN_ARGS=TRUE&amp;DOC_NAME=FAT:FQL_AUDITING_CLIENT_TEMPLATE.FAT&amp;display_string=Audit&amp;VAR:KEY=NGBCZCBGVE&amp;VAR:QUERY=RkZfRUJJVERBX0lCKCdMVE1TJywzOTY2Mik=&amp;WINDOW=FIRST_POPUP&amp;HEIGHT=450&amp;WIDTH=450&amp;START_MA","XIMIZED=FALSE&amp;VAR:CALENDAR=US&amp;VAR:SYMBOL=N0098510&amp;VAR:INDEX=0"}</definedName>
    <definedName name="_6052__FDSAUDITLINK__" localSheetId="6" hidden="1">{"fdsup://directions/FAT Viewer?action=UPDATE&amp;creator=factset&amp;DYN_ARGS=TRUE&amp;DOC_NAME=FAT:FQL_AUDITING_CLIENT_TEMPLATE.FAT&amp;display_string=Audit&amp;VAR:KEY=FOXYVETOXU&amp;VAR:QUERY=RkZfRUJJVERBX0lCKCdMVE1TJywzOTY2MSk=&amp;WINDOW=FIRST_POPUP&amp;HEIGHT=450&amp;WIDTH=450&amp;START_MA","XIMIZED=FALSE&amp;VAR:CALENDAR=US&amp;VAR:SYMBOL=N0098510&amp;VAR:INDEX=0"}</definedName>
    <definedName name="_6052__FDSAUDITLINK__" hidden="1">{"fdsup://directions/FAT Viewer?action=UPDATE&amp;creator=factset&amp;DYN_ARGS=TRUE&amp;DOC_NAME=FAT:FQL_AUDITING_CLIENT_TEMPLATE.FAT&amp;display_string=Audit&amp;VAR:KEY=FOXYVETOXU&amp;VAR:QUERY=RkZfRUJJVERBX0lCKCdMVE1TJywzOTY2MSk=&amp;WINDOW=FIRST_POPUP&amp;HEIGHT=450&amp;WIDTH=450&amp;START_MA","XIMIZED=FALSE&amp;VAR:CALENDAR=US&amp;VAR:SYMBOL=N0098510&amp;VAR:INDEX=0"}</definedName>
    <definedName name="_6053__FDSAUDITLINK__" localSheetId="6" hidden="1">{"fdsup://directions/FAT Viewer?action=UPDATE&amp;creator=factset&amp;DYN_ARGS=TRUE&amp;DOC_NAME=FAT:FQL_AUDITING_CLIENT_TEMPLATE.FAT&amp;display_string=Audit&amp;VAR:KEY=FSFMDMDCLC&amp;VAR:QUERY=RkZfRUJJVERBX0lCKCdMVE1TJywzOTY2MCk=&amp;WINDOW=FIRST_POPUP&amp;HEIGHT=450&amp;WIDTH=450&amp;START_MA","XIMIZED=FALSE&amp;VAR:CALENDAR=US&amp;VAR:SYMBOL=N0098510&amp;VAR:INDEX=0"}</definedName>
    <definedName name="_6053__FDSAUDITLINK__" hidden="1">{"fdsup://directions/FAT Viewer?action=UPDATE&amp;creator=factset&amp;DYN_ARGS=TRUE&amp;DOC_NAME=FAT:FQL_AUDITING_CLIENT_TEMPLATE.FAT&amp;display_string=Audit&amp;VAR:KEY=FSFMDMDCLC&amp;VAR:QUERY=RkZfRUJJVERBX0lCKCdMVE1TJywzOTY2MCk=&amp;WINDOW=FIRST_POPUP&amp;HEIGHT=450&amp;WIDTH=450&amp;START_MA","XIMIZED=FALSE&amp;VAR:CALENDAR=US&amp;VAR:SYMBOL=N0098510&amp;VAR:INDEX=0"}</definedName>
    <definedName name="_6054__FDSAUDITLINK__" localSheetId="6" hidden="1">{"fdsup://directions/FAT Viewer?action=UPDATE&amp;creator=factset&amp;DYN_ARGS=TRUE&amp;DOC_NAME=FAT:FQL_AUDITING_CLIENT_TEMPLATE.FAT&amp;display_string=Audit&amp;VAR:KEY=FMFUXCZGTU&amp;VAR:QUERY=RkZfRUJJVERBX0lCKCdMVE1TJywzOTY1OSk=&amp;WINDOW=FIRST_POPUP&amp;HEIGHT=450&amp;WIDTH=450&amp;START_MA","XIMIZED=FALSE&amp;VAR:CALENDAR=US&amp;VAR:SYMBOL=N0098510&amp;VAR:INDEX=0"}</definedName>
    <definedName name="_6054__FDSAUDITLINK__" hidden="1">{"fdsup://directions/FAT Viewer?action=UPDATE&amp;creator=factset&amp;DYN_ARGS=TRUE&amp;DOC_NAME=FAT:FQL_AUDITING_CLIENT_TEMPLATE.FAT&amp;display_string=Audit&amp;VAR:KEY=FMFUXCZGTU&amp;VAR:QUERY=RkZfRUJJVERBX0lCKCdMVE1TJywzOTY1OSk=&amp;WINDOW=FIRST_POPUP&amp;HEIGHT=450&amp;WIDTH=450&amp;START_MA","XIMIZED=FALSE&amp;VAR:CALENDAR=US&amp;VAR:SYMBOL=N0098510&amp;VAR:INDEX=0"}</definedName>
    <definedName name="_6055__FDSAUDITLINK__" localSheetId="6" hidden="1">{"fdsup://directions/FAT Viewer?action=UPDATE&amp;creator=factset&amp;DYN_ARGS=TRUE&amp;DOC_NAME=FAT:FQL_AUDITING_CLIENT_TEMPLATE.FAT&amp;display_string=Audit&amp;VAR:KEY=LIDYZGFGVI&amp;VAR:QUERY=RkZfRUJJVERBX0lCKCdMVE1TJywzOTY1OCk=&amp;WINDOW=FIRST_POPUP&amp;HEIGHT=450&amp;WIDTH=450&amp;START_MA","XIMIZED=FALSE&amp;VAR:CALENDAR=US&amp;VAR:SYMBOL=N0098510&amp;VAR:INDEX=0"}</definedName>
    <definedName name="_6055__FDSAUDITLINK__" hidden="1">{"fdsup://directions/FAT Viewer?action=UPDATE&amp;creator=factset&amp;DYN_ARGS=TRUE&amp;DOC_NAME=FAT:FQL_AUDITING_CLIENT_TEMPLATE.FAT&amp;display_string=Audit&amp;VAR:KEY=LIDYZGFGVI&amp;VAR:QUERY=RkZfRUJJVERBX0lCKCdMVE1TJywzOTY1OCk=&amp;WINDOW=FIRST_POPUP&amp;HEIGHT=450&amp;WIDTH=450&amp;START_MA","XIMIZED=FALSE&amp;VAR:CALENDAR=US&amp;VAR:SYMBOL=N0098510&amp;VAR:INDEX=0"}</definedName>
    <definedName name="_6056__FDSAUDITLINK__" localSheetId="6" hidden="1">{"fdsup://directions/FAT Viewer?action=UPDATE&amp;creator=factset&amp;DYN_ARGS=TRUE&amp;DOC_NAME=FAT:FQL_AUDITING_CLIENT_TEMPLATE.FAT&amp;display_string=Audit&amp;VAR:KEY=TQBKDYHCDA&amp;VAR:QUERY=RkZfRUJJVERBX0lCKCdMVE1TJywzOTY1Nyk=&amp;WINDOW=FIRST_POPUP&amp;HEIGHT=450&amp;WIDTH=450&amp;START_MA","XIMIZED=FALSE&amp;VAR:CALENDAR=US&amp;VAR:SYMBOL=N0098510&amp;VAR:INDEX=0"}</definedName>
    <definedName name="_6056__FDSAUDITLINK__" hidden="1">{"fdsup://directions/FAT Viewer?action=UPDATE&amp;creator=factset&amp;DYN_ARGS=TRUE&amp;DOC_NAME=FAT:FQL_AUDITING_CLIENT_TEMPLATE.FAT&amp;display_string=Audit&amp;VAR:KEY=TQBKDYHCDA&amp;VAR:QUERY=RkZfRUJJVERBX0lCKCdMVE1TJywzOTY1Nyk=&amp;WINDOW=FIRST_POPUP&amp;HEIGHT=450&amp;WIDTH=450&amp;START_MA","XIMIZED=FALSE&amp;VAR:CALENDAR=US&amp;VAR:SYMBOL=N0098510&amp;VAR:INDEX=0"}</definedName>
    <definedName name="_6057__FDSAUDITLINK__" localSheetId="6" hidden="1">{"fdsup://directions/FAT Viewer?action=UPDATE&amp;creator=factset&amp;DYN_ARGS=TRUE&amp;DOC_NAME=FAT:FQL_AUDITING_CLIENT_TEMPLATE.FAT&amp;display_string=Audit&amp;VAR:KEY=HQRSNOTQZM&amp;VAR:QUERY=RkZfRUJJVERBX0lCKCdMVE1TJywzOTY1Nik=&amp;WINDOW=FIRST_POPUP&amp;HEIGHT=450&amp;WIDTH=450&amp;START_MA","XIMIZED=FALSE&amp;VAR:CALENDAR=US&amp;VAR:SYMBOL=N0098510&amp;VAR:INDEX=0"}</definedName>
    <definedName name="_6057__FDSAUDITLINK__" hidden="1">{"fdsup://directions/FAT Viewer?action=UPDATE&amp;creator=factset&amp;DYN_ARGS=TRUE&amp;DOC_NAME=FAT:FQL_AUDITING_CLIENT_TEMPLATE.FAT&amp;display_string=Audit&amp;VAR:KEY=HQRSNOTQZM&amp;VAR:QUERY=RkZfRUJJVERBX0lCKCdMVE1TJywzOTY1Nik=&amp;WINDOW=FIRST_POPUP&amp;HEIGHT=450&amp;WIDTH=450&amp;START_MA","XIMIZED=FALSE&amp;VAR:CALENDAR=US&amp;VAR:SYMBOL=N0098510&amp;VAR:INDEX=0"}</definedName>
    <definedName name="_6058__FDSAUDITLINK__" localSheetId="6" hidden="1">{"fdsup://directions/FAT Viewer?action=UPDATE&amp;creator=factset&amp;DYN_ARGS=TRUE&amp;DOC_NAME=FAT:FQL_AUDITING_CLIENT_TEMPLATE.FAT&amp;display_string=Audit&amp;VAR:KEY=LETQJGFGBO&amp;VAR:QUERY=RkZfRUJJVERBX0lCKCdMVE1TJywzOTY1NSk=&amp;WINDOW=FIRST_POPUP&amp;HEIGHT=450&amp;WIDTH=450&amp;START_MA","XIMIZED=FALSE&amp;VAR:CALENDAR=US&amp;VAR:SYMBOL=N0098510&amp;VAR:INDEX=0"}</definedName>
    <definedName name="_6058__FDSAUDITLINK__" hidden="1">{"fdsup://directions/FAT Viewer?action=UPDATE&amp;creator=factset&amp;DYN_ARGS=TRUE&amp;DOC_NAME=FAT:FQL_AUDITING_CLIENT_TEMPLATE.FAT&amp;display_string=Audit&amp;VAR:KEY=LETQJGFGBO&amp;VAR:QUERY=RkZfRUJJVERBX0lCKCdMVE1TJywzOTY1NSk=&amp;WINDOW=FIRST_POPUP&amp;HEIGHT=450&amp;WIDTH=450&amp;START_MA","XIMIZED=FALSE&amp;VAR:CALENDAR=US&amp;VAR:SYMBOL=N0098510&amp;VAR:INDEX=0"}</definedName>
    <definedName name="_6059__FDSAUDITLINK__" localSheetId="6" hidden="1">{"fdsup://directions/FAT Viewer?action=UPDATE&amp;creator=factset&amp;DYN_ARGS=TRUE&amp;DOC_NAME=FAT:FQL_AUDITING_CLIENT_TEMPLATE.FAT&amp;display_string=Audit&amp;VAR:KEY=BIFKBIXSLC&amp;VAR:QUERY=RkZfRUJJVERBX0lCKCdMVE1TJywzOTY1NCk=&amp;WINDOW=FIRST_POPUP&amp;HEIGHT=450&amp;WIDTH=450&amp;START_MA","XIMIZED=FALSE&amp;VAR:CALENDAR=US&amp;VAR:SYMBOL=N0098510&amp;VAR:INDEX=0"}</definedName>
    <definedName name="_6059__FDSAUDITLINK__" hidden="1">{"fdsup://directions/FAT Viewer?action=UPDATE&amp;creator=factset&amp;DYN_ARGS=TRUE&amp;DOC_NAME=FAT:FQL_AUDITING_CLIENT_TEMPLATE.FAT&amp;display_string=Audit&amp;VAR:KEY=BIFKBIXSLC&amp;VAR:QUERY=RkZfRUJJVERBX0lCKCdMVE1TJywzOTY1NCk=&amp;WINDOW=FIRST_POPUP&amp;HEIGHT=450&amp;WIDTH=450&amp;START_MA","XIMIZED=FALSE&amp;VAR:CALENDAR=US&amp;VAR:SYMBOL=N0098510&amp;VAR:INDEX=0"}</definedName>
    <definedName name="_606__FDSAUDITLINK__" localSheetId="6" hidden="1">{"fdsup://directions/FAT%20Viewer?VAR:PED=LTM&amp;VAR:AUDIT_MODE=SUMMARY&amp;VAR:PERIOD=FIXED&amp;VAR:AUDIT_ID=00000117&amp;VAR:DATE=20080625&amp;action=UPDATE&amp;creator=factset&amp;DOC_NAME=FAT:FMA_audit_SUMMARY.fat&amp;DISPLAY_STRING=Display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6__FDSAUDITLINK__" hidden="1">{"fdsup://directions/FAT%20Viewer?VAR:PED=LTM&amp;VAR:AUDIT_MODE=SUMMARY&amp;VAR:PERIOD=FIXED&amp;VAR:AUDIT_ID=00000117&amp;VAR:DATE=20080625&amp;action=UPDATE&amp;creator=factset&amp;DOC_NAME=FAT:FMA_audit_SUMMARY.fat&amp;DISPLAY_STRING=Display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60__FDSAUDITLINK__" localSheetId="6" hidden="1">{"fdsup://directions/FAT Viewer?action=UPDATE&amp;creator=factset&amp;DYN_ARGS=TRUE&amp;DOC_NAME=FAT:FQL_AUDITING_CLIENT_TEMPLATE.FAT&amp;display_string=Audit&amp;VAR:KEY=NQPITCFADK&amp;VAR:QUERY=RkZfRUJJVERBX0lCKCdMVE1TJywzOTY1Myk=&amp;WINDOW=FIRST_POPUP&amp;HEIGHT=450&amp;WIDTH=450&amp;START_MA","XIMIZED=FALSE&amp;VAR:CALENDAR=US&amp;VAR:SYMBOL=N0098510&amp;VAR:INDEX=0"}</definedName>
    <definedName name="_6060__FDSAUDITLINK__" hidden="1">{"fdsup://directions/FAT Viewer?action=UPDATE&amp;creator=factset&amp;DYN_ARGS=TRUE&amp;DOC_NAME=FAT:FQL_AUDITING_CLIENT_TEMPLATE.FAT&amp;display_string=Audit&amp;VAR:KEY=NQPITCFADK&amp;VAR:QUERY=RkZfRUJJVERBX0lCKCdMVE1TJywzOTY1Myk=&amp;WINDOW=FIRST_POPUP&amp;HEIGHT=450&amp;WIDTH=450&amp;START_MA","XIMIZED=FALSE&amp;VAR:CALENDAR=US&amp;VAR:SYMBOL=N0098510&amp;VAR:INDEX=0"}</definedName>
    <definedName name="_6061__FDSAUDITLINK__" localSheetId="6" hidden="1">{"fdsup://directions/FAT Viewer?action=UPDATE&amp;creator=factset&amp;DYN_ARGS=TRUE&amp;DOC_NAME=FAT:FQL_AUDITING_CLIENT_TEMPLATE.FAT&amp;display_string=Audit&amp;VAR:KEY=FOPINURCFW&amp;VAR:QUERY=RkZfRUJJVERBX0lCKCdMVE1TJywzOTY1Mik=&amp;WINDOW=FIRST_POPUP&amp;HEIGHT=450&amp;WIDTH=450&amp;START_MA","XIMIZED=FALSE&amp;VAR:CALENDAR=US&amp;VAR:SYMBOL=N0098510&amp;VAR:INDEX=0"}</definedName>
    <definedName name="_6061__FDSAUDITLINK__" hidden="1">{"fdsup://directions/FAT Viewer?action=UPDATE&amp;creator=factset&amp;DYN_ARGS=TRUE&amp;DOC_NAME=FAT:FQL_AUDITING_CLIENT_TEMPLATE.FAT&amp;display_string=Audit&amp;VAR:KEY=FOPINURCFW&amp;VAR:QUERY=RkZfRUJJVERBX0lCKCdMVE1TJywzOTY1Mik=&amp;WINDOW=FIRST_POPUP&amp;HEIGHT=450&amp;WIDTH=450&amp;START_MA","XIMIZED=FALSE&amp;VAR:CALENDAR=US&amp;VAR:SYMBOL=N0098510&amp;VAR:INDEX=0"}</definedName>
    <definedName name="_6062__FDSAUDITLINK__" localSheetId="6" hidden="1">{"fdsup://directions/FAT Viewer?action=UPDATE&amp;creator=factset&amp;DYN_ARGS=TRUE&amp;DOC_NAME=FAT:FQL_AUDITING_CLIENT_TEMPLATE.FAT&amp;display_string=Audit&amp;VAR:KEY=ZMNSFIFIZM&amp;VAR:QUERY=RkZfRUJJVERBX0lCKCdMVE1TJywzOTY1MSk=&amp;WINDOW=FIRST_POPUP&amp;HEIGHT=450&amp;WIDTH=450&amp;START_MA","XIMIZED=FALSE&amp;VAR:CALENDAR=US&amp;VAR:SYMBOL=N0098510&amp;VAR:INDEX=0"}</definedName>
    <definedName name="_6062__FDSAUDITLINK__" hidden="1">{"fdsup://directions/FAT Viewer?action=UPDATE&amp;creator=factset&amp;DYN_ARGS=TRUE&amp;DOC_NAME=FAT:FQL_AUDITING_CLIENT_TEMPLATE.FAT&amp;display_string=Audit&amp;VAR:KEY=ZMNSFIFIZM&amp;VAR:QUERY=RkZfRUJJVERBX0lCKCdMVE1TJywzOTY1MSk=&amp;WINDOW=FIRST_POPUP&amp;HEIGHT=450&amp;WIDTH=450&amp;START_MA","XIMIZED=FALSE&amp;VAR:CALENDAR=US&amp;VAR:SYMBOL=N0098510&amp;VAR:INDEX=0"}</definedName>
    <definedName name="_6063__FDSAUDITLINK__" localSheetId="6" hidden="1">{"fdsup://directions/FAT Viewer?action=UPDATE&amp;creator=factset&amp;DYN_ARGS=TRUE&amp;DOC_NAME=FAT:FQL_AUDITING_CLIENT_TEMPLATE.FAT&amp;display_string=Audit&amp;VAR:KEY=DKRKLYTABY&amp;VAR:QUERY=RkZfRUJJVERBX0lCKCdMVE1TJywzOTY1MCk=&amp;WINDOW=FIRST_POPUP&amp;HEIGHT=450&amp;WIDTH=450&amp;START_MA","XIMIZED=FALSE&amp;VAR:CALENDAR=US&amp;VAR:SYMBOL=N0098510&amp;VAR:INDEX=0"}</definedName>
    <definedName name="_6063__FDSAUDITLINK__" hidden="1">{"fdsup://directions/FAT Viewer?action=UPDATE&amp;creator=factset&amp;DYN_ARGS=TRUE&amp;DOC_NAME=FAT:FQL_AUDITING_CLIENT_TEMPLATE.FAT&amp;display_string=Audit&amp;VAR:KEY=DKRKLYTABY&amp;VAR:QUERY=RkZfRUJJVERBX0lCKCdMVE1TJywzOTY1MCk=&amp;WINDOW=FIRST_POPUP&amp;HEIGHT=450&amp;WIDTH=450&amp;START_MA","XIMIZED=FALSE&amp;VAR:CALENDAR=US&amp;VAR:SYMBOL=N0098510&amp;VAR:INDEX=0"}</definedName>
    <definedName name="_6064__FDSAUDITLINK__" localSheetId="6" hidden="1">{"fdsup://directions/FAT Viewer?action=UPDATE&amp;creator=factset&amp;DYN_ARGS=TRUE&amp;DOC_NAME=FAT:FQL_AUDITING_CLIENT_TEMPLATE.FAT&amp;display_string=Audit&amp;VAR:KEY=PQNWHEJCHU&amp;VAR:QUERY=RkZfRUJJVERBX0lCKCdMVE1TJywzOTY0OSk=&amp;WINDOW=FIRST_POPUP&amp;HEIGHT=450&amp;WIDTH=450&amp;START_MA","XIMIZED=FALSE&amp;VAR:CALENDAR=US&amp;VAR:SYMBOL=N0098510&amp;VAR:INDEX=0"}</definedName>
    <definedName name="_6064__FDSAUDITLINK__" hidden="1">{"fdsup://directions/FAT Viewer?action=UPDATE&amp;creator=factset&amp;DYN_ARGS=TRUE&amp;DOC_NAME=FAT:FQL_AUDITING_CLIENT_TEMPLATE.FAT&amp;display_string=Audit&amp;VAR:KEY=PQNWHEJCHU&amp;VAR:QUERY=RkZfRUJJVERBX0lCKCdMVE1TJywzOTY0OSk=&amp;WINDOW=FIRST_POPUP&amp;HEIGHT=450&amp;WIDTH=450&amp;START_MA","XIMIZED=FALSE&amp;VAR:CALENDAR=US&amp;VAR:SYMBOL=N0098510&amp;VAR:INDEX=0"}</definedName>
    <definedName name="_6065__FDSAUDITLINK__" localSheetId="6" hidden="1">{"fdsup://directions/FAT Viewer?action=UPDATE&amp;creator=factset&amp;DYN_ARGS=TRUE&amp;DOC_NAME=FAT:FQL_AUDITING_CLIENT_TEMPLATE.FAT&amp;display_string=Audit&amp;VAR:KEY=JWZIRGRIRY&amp;VAR:QUERY=RkZfRUJJVERBX0lCKCdMVE1TJywzOTY0OCk=&amp;WINDOW=FIRST_POPUP&amp;HEIGHT=450&amp;WIDTH=450&amp;START_MA","XIMIZED=FALSE&amp;VAR:CALENDAR=US&amp;VAR:SYMBOL=N0098510&amp;VAR:INDEX=0"}</definedName>
    <definedName name="_6065__FDSAUDITLINK__" hidden="1">{"fdsup://directions/FAT Viewer?action=UPDATE&amp;creator=factset&amp;DYN_ARGS=TRUE&amp;DOC_NAME=FAT:FQL_AUDITING_CLIENT_TEMPLATE.FAT&amp;display_string=Audit&amp;VAR:KEY=JWZIRGRIRY&amp;VAR:QUERY=RkZfRUJJVERBX0lCKCdMVE1TJywzOTY0OCk=&amp;WINDOW=FIRST_POPUP&amp;HEIGHT=450&amp;WIDTH=450&amp;START_MA","XIMIZED=FALSE&amp;VAR:CALENDAR=US&amp;VAR:SYMBOL=N0098510&amp;VAR:INDEX=0"}</definedName>
    <definedName name="_6066__FDSAUDITLINK__" localSheetId="6" hidden="1">{"fdsup://directions/FAT Viewer?action=UPDATE&amp;creator=factset&amp;DYN_ARGS=TRUE&amp;DOC_NAME=FAT:FQL_AUDITING_CLIENT_TEMPLATE.FAT&amp;display_string=Audit&amp;VAR:KEY=JOLKVOJQXI&amp;VAR:QUERY=RkZfRUJJVERBX0lCKCdMVE1TJywzOTY0Nyk=&amp;WINDOW=FIRST_POPUP&amp;HEIGHT=450&amp;WIDTH=450&amp;START_MA","XIMIZED=FALSE&amp;VAR:CALENDAR=US&amp;VAR:SYMBOL=N0098510&amp;VAR:INDEX=0"}</definedName>
    <definedName name="_6066__FDSAUDITLINK__" hidden="1">{"fdsup://directions/FAT Viewer?action=UPDATE&amp;creator=factset&amp;DYN_ARGS=TRUE&amp;DOC_NAME=FAT:FQL_AUDITING_CLIENT_TEMPLATE.FAT&amp;display_string=Audit&amp;VAR:KEY=JOLKVOJQXI&amp;VAR:QUERY=RkZfRUJJVERBX0lCKCdMVE1TJywzOTY0Nyk=&amp;WINDOW=FIRST_POPUP&amp;HEIGHT=450&amp;WIDTH=450&amp;START_MA","XIMIZED=FALSE&amp;VAR:CALENDAR=US&amp;VAR:SYMBOL=N0098510&amp;VAR:INDEX=0"}</definedName>
    <definedName name="_6067__FDSAUDITLINK__" localSheetId="6" hidden="1">{"fdsup://directions/FAT Viewer?action=UPDATE&amp;creator=factset&amp;DYN_ARGS=TRUE&amp;DOC_NAME=FAT:FQL_AUDITING_CLIENT_TEMPLATE.FAT&amp;display_string=Audit&amp;VAR:KEY=XWNWVMHINM&amp;VAR:QUERY=RkZfRUJJVERBX0lCKCdMVE1TJywzOTY0Nik=&amp;WINDOW=FIRST_POPUP&amp;HEIGHT=450&amp;WIDTH=450&amp;START_MA","XIMIZED=FALSE&amp;VAR:CALENDAR=US&amp;VAR:SYMBOL=N0098510&amp;VAR:INDEX=0"}</definedName>
    <definedName name="_6067__FDSAUDITLINK__" hidden="1">{"fdsup://directions/FAT Viewer?action=UPDATE&amp;creator=factset&amp;DYN_ARGS=TRUE&amp;DOC_NAME=FAT:FQL_AUDITING_CLIENT_TEMPLATE.FAT&amp;display_string=Audit&amp;VAR:KEY=XWNWVMHINM&amp;VAR:QUERY=RkZfRUJJVERBX0lCKCdMVE1TJywzOTY0Nik=&amp;WINDOW=FIRST_POPUP&amp;HEIGHT=450&amp;WIDTH=450&amp;START_MA","XIMIZED=FALSE&amp;VAR:CALENDAR=US&amp;VAR:SYMBOL=N0098510&amp;VAR:INDEX=0"}</definedName>
    <definedName name="_6068__FDSAUDITLINK__" localSheetId="6" hidden="1">{"fdsup://directions/FAT Viewer?action=UPDATE&amp;creator=factset&amp;DYN_ARGS=TRUE&amp;DOC_NAME=FAT:FQL_AUDITING_CLIENT_TEMPLATE.FAT&amp;display_string=Audit&amp;VAR:KEY=ZKLKBSBGDG&amp;VAR:QUERY=RkZfRUJJVERBX0lCKCdMVE1TJywzOTY0NSk=&amp;WINDOW=FIRST_POPUP&amp;HEIGHT=450&amp;WIDTH=450&amp;START_MA","XIMIZED=FALSE&amp;VAR:CALENDAR=US&amp;VAR:SYMBOL=N0098510&amp;VAR:INDEX=0"}</definedName>
    <definedName name="_6068__FDSAUDITLINK__" hidden="1">{"fdsup://directions/FAT Viewer?action=UPDATE&amp;creator=factset&amp;DYN_ARGS=TRUE&amp;DOC_NAME=FAT:FQL_AUDITING_CLIENT_TEMPLATE.FAT&amp;display_string=Audit&amp;VAR:KEY=ZKLKBSBGDG&amp;VAR:QUERY=RkZfRUJJVERBX0lCKCdMVE1TJywzOTY0NSk=&amp;WINDOW=FIRST_POPUP&amp;HEIGHT=450&amp;WIDTH=450&amp;START_MA","XIMIZED=FALSE&amp;VAR:CALENDAR=US&amp;VAR:SYMBOL=N0098510&amp;VAR:INDEX=0"}</definedName>
    <definedName name="_6069__FDSAUDITLINK__" localSheetId="6" hidden="1">{"fdsup://directions/FAT Viewer?action=UPDATE&amp;creator=factset&amp;DYN_ARGS=TRUE&amp;DOC_NAME=FAT:FQL_AUDITING_CLIENT_TEMPLATE.FAT&amp;display_string=Audit&amp;VAR:KEY=BERGXEHQFC&amp;VAR:QUERY=RkZfRUJJVERBX0lCKCdMVE1TJywzOTY0NCk=&amp;WINDOW=FIRST_POPUP&amp;HEIGHT=450&amp;WIDTH=450&amp;START_MA","XIMIZED=FALSE&amp;VAR:CALENDAR=US&amp;VAR:SYMBOL=N0098510&amp;VAR:INDEX=0"}</definedName>
    <definedName name="_6069__FDSAUDITLINK__" hidden="1">{"fdsup://directions/FAT Viewer?action=UPDATE&amp;creator=factset&amp;DYN_ARGS=TRUE&amp;DOC_NAME=FAT:FQL_AUDITING_CLIENT_TEMPLATE.FAT&amp;display_string=Audit&amp;VAR:KEY=BERGXEHQFC&amp;VAR:QUERY=RkZfRUJJVERBX0lCKCdMVE1TJywzOTY0NCk=&amp;WINDOW=FIRST_POPUP&amp;HEIGHT=450&amp;WIDTH=450&amp;START_MA","XIMIZED=FALSE&amp;VAR:CALENDAR=US&amp;VAR:SYMBOL=N0098510&amp;VAR:INDEX=0"}</definedName>
    <definedName name="_607__FDSAUDITLINK__" localSheetId="6" hidden="1">{"fdsup://directions/FAT%20Viewer?VAR:PED=LTM&amp;VAR:AUDIT_MODE=SUMMARY&amp;VAR:PERIOD=FIXED&amp;VAR:AUDIT_ID=00000117&amp;VAR:DATE=20080624&amp;action=UPDATE&amp;creator=factset&amp;DOC_NAME=FAT:FMA_audit_SUMMARY.fat&amp;DISPLAY_STRING=Display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7__FDSAUDITLINK__" hidden="1">{"fdsup://directions/FAT%20Viewer?VAR:PED=LTM&amp;VAR:AUDIT_MODE=SUMMARY&amp;VAR:PERIOD=FIXED&amp;VAR:AUDIT_ID=00000117&amp;VAR:DATE=20080624&amp;action=UPDATE&amp;creator=factset&amp;DOC_NAME=FAT:FMA_audit_SUMMARY.fat&amp;DISPLAY_STRING=Display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70__FDSAUDITLINK__" localSheetId="6" hidden="1">{"fdsup://directions/FAT Viewer?action=UPDATE&amp;creator=factset&amp;DYN_ARGS=TRUE&amp;DOC_NAME=FAT:FQL_AUDITING_CLIENT_TEMPLATE.FAT&amp;display_string=Audit&amp;VAR:KEY=JCRCZCXABK&amp;VAR:QUERY=RkZfRUJJVERBX0lCKCdMVE1TJywzOTY0Myk=&amp;WINDOW=FIRST_POPUP&amp;HEIGHT=450&amp;WIDTH=450&amp;START_MA","XIMIZED=FALSE&amp;VAR:CALENDAR=US&amp;VAR:SYMBOL=N0098510&amp;VAR:INDEX=0"}</definedName>
    <definedName name="_6070__FDSAUDITLINK__" hidden="1">{"fdsup://directions/FAT Viewer?action=UPDATE&amp;creator=factset&amp;DYN_ARGS=TRUE&amp;DOC_NAME=FAT:FQL_AUDITING_CLIENT_TEMPLATE.FAT&amp;display_string=Audit&amp;VAR:KEY=JCRCZCXABK&amp;VAR:QUERY=RkZfRUJJVERBX0lCKCdMVE1TJywzOTY0Myk=&amp;WINDOW=FIRST_POPUP&amp;HEIGHT=450&amp;WIDTH=450&amp;START_MA","XIMIZED=FALSE&amp;VAR:CALENDAR=US&amp;VAR:SYMBOL=N0098510&amp;VAR:INDEX=0"}</definedName>
    <definedName name="_6071__FDSAUDITLINK__" localSheetId="6" hidden="1">{"fdsup://directions/FAT Viewer?action=UPDATE&amp;creator=factset&amp;DYN_ARGS=TRUE&amp;DOC_NAME=FAT:FQL_AUDITING_CLIENT_TEMPLATE.FAT&amp;display_string=Audit&amp;VAR:KEY=HIXCPGJMRO&amp;VAR:QUERY=RkZfRUJJVERBX0lCKCdMVE1TJywzOTY0Mik=&amp;WINDOW=FIRST_POPUP&amp;HEIGHT=450&amp;WIDTH=450&amp;START_MA","XIMIZED=FALSE&amp;VAR:CALENDAR=US&amp;VAR:SYMBOL=N0098510&amp;VAR:INDEX=0"}</definedName>
    <definedName name="_6071__FDSAUDITLINK__" hidden="1">{"fdsup://directions/FAT Viewer?action=UPDATE&amp;creator=factset&amp;DYN_ARGS=TRUE&amp;DOC_NAME=FAT:FQL_AUDITING_CLIENT_TEMPLATE.FAT&amp;display_string=Audit&amp;VAR:KEY=HIXCPGJMRO&amp;VAR:QUERY=RkZfRUJJVERBX0lCKCdMVE1TJywzOTY0Mik=&amp;WINDOW=FIRST_POPUP&amp;HEIGHT=450&amp;WIDTH=450&amp;START_MA","XIMIZED=FALSE&amp;VAR:CALENDAR=US&amp;VAR:SYMBOL=N0098510&amp;VAR:INDEX=0"}</definedName>
    <definedName name="_6072__FDSAUDITLINK__" localSheetId="6" hidden="1">{"fdsup://directions/FAT Viewer?action=UPDATE&amp;creator=factset&amp;DYN_ARGS=TRUE&amp;DOC_NAME=FAT:FQL_AUDITING_CLIENT_TEMPLATE.FAT&amp;display_string=Audit&amp;VAR:KEY=JGRWBEFGDC&amp;VAR:QUERY=RkZfRUJJVERBX0lCKCdMVE1TJywzOTY0MSk=&amp;WINDOW=FIRST_POPUP&amp;HEIGHT=450&amp;WIDTH=450&amp;START_MA","XIMIZED=FALSE&amp;VAR:CALENDAR=US&amp;VAR:SYMBOL=N0098510&amp;VAR:INDEX=0"}</definedName>
    <definedName name="_6072__FDSAUDITLINK__" hidden="1">{"fdsup://directions/FAT Viewer?action=UPDATE&amp;creator=factset&amp;DYN_ARGS=TRUE&amp;DOC_NAME=FAT:FQL_AUDITING_CLIENT_TEMPLATE.FAT&amp;display_string=Audit&amp;VAR:KEY=JGRWBEFGDC&amp;VAR:QUERY=RkZfRUJJVERBX0lCKCdMVE1TJywzOTY0MSk=&amp;WINDOW=FIRST_POPUP&amp;HEIGHT=450&amp;WIDTH=450&amp;START_MA","XIMIZED=FALSE&amp;VAR:CALENDAR=US&amp;VAR:SYMBOL=N0098510&amp;VAR:INDEX=0"}</definedName>
    <definedName name="_6073__FDSAUDITLINK__" localSheetId="6" hidden="1">{"fdsup://directions/FAT Viewer?action=UPDATE&amp;creator=factset&amp;DYN_ARGS=TRUE&amp;DOC_NAME=FAT:FQL_AUDITING_CLIENT_TEMPLATE.FAT&amp;display_string=Audit&amp;VAR:KEY=DORILAFAPW&amp;VAR:QUERY=RkZfRUJJVERBX0lCKCdMVE1TJywzOTY0MCk=&amp;WINDOW=FIRST_POPUP&amp;HEIGHT=450&amp;WIDTH=450&amp;START_MA","XIMIZED=FALSE&amp;VAR:CALENDAR=US&amp;VAR:SYMBOL=N0098510&amp;VAR:INDEX=0"}</definedName>
    <definedName name="_6073__FDSAUDITLINK__" hidden="1">{"fdsup://directions/FAT Viewer?action=UPDATE&amp;creator=factset&amp;DYN_ARGS=TRUE&amp;DOC_NAME=FAT:FQL_AUDITING_CLIENT_TEMPLATE.FAT&amp;display_string=Audit&amp;VAR:KEY=DORILAFAPW&amp;VAR:QUERY=RkZfRUJJVERBX0lCKCdMVE1TJywzOTY0MCk=&amp;WINDOW=FIRST_POPUP&amp;HEIGHT=450&amp;WIDTH=450&amp;START_MA","XIMIZED=FALSE&amp;VAR:CALENDAR=US&amp;VAR:SYMBOL=N0098510&amp;VAR:INDEX=0"}</definedName>
    <definedName name="_6074__FDSAUDITLINK__" localSheetId="6" hidden="1">{"fdsup://directions/FAT Viewer?action=UPDATE&amp;creator=factset&amp;DYN_ARGS=TRUE&amp;DOC_NAME=FAT:FQL_AUDITING_CLIENT_TEMPLATE.FAT&amp;display_string=Audit&amp;VAR:KEY=VORCTWNITC&amp;VAR:QUERY=RkZfRUJJVERBX0lCKCdMVE1TJywzOTYzOSk=&amp;WINDOW=FIRST_POPUP&amp;HEIGHT=450&amp;WIDTH=450&amp;START_MA","XIMIZED=FALSE&amp;VAR:CALENDAR=US&amp;VAR:SYMBOL=N0098510&amp;VAR:INDEX=0"}</definedName>
    <definedName name="_6074__FDSAUDITLINK__" hidden="1">{"fdsup://directions/FAT Viewer?action=UPDATE&amp;creator=factset&amp;DYN_ARGS=TRUE&amp;DOC_NAME=FAT:FQL_AUDITING_CLIENT_TEMPLATE.FAT&amp;display_string=Audit&amp;VAR:KEY=VORCTWNITC&amp;VAR:QUERY=RkZfRUJJVERBX0lCKCdMVE1TJywzOTYzOSk=&amp;WINDOW=FIRST_POPUP&amp;HEIGHT=450&amp;WIDTH=450&amp;START_MA","XIMIZED=FALSE&amp;VAR:CALENDAR=US&amp;VAR:SYMBOL=N0098510&amp;VAR:INDEX=0"}</definedName>
    <definedName name="_6075__FDSAUDITLINK__" localSheetId="6" hidden="1">{"fdsup://directions/FAT Viewer?action=UPDATE&amp;creator=factset&amp;DYN_ARGS=TRUE&amp;DOC_NAME=FAT:FQL_AUDITING_CLIENT_TEMPLATE.FAT&amp;display_string=Audit&amp;VAR:KEY=PULQXIRMHC&amp;VAR:QUERY=RkZfRUJJVERBX0lCKCdMVE1TJywzOTYzOCk=&amp;WINDOW=FIRST_POPUP&amp;HEIGHT=450&amp;WIDTH=450&amp;START_MA","XIMIZED=FALSE&amp;VAR:CALENDAR=US&amp;VAR:SYMBOL=N0098510&amp;VAR:INDEX=0"}</definedName>
    <definedName name="_6075__FDSAUDITLINK__" hidden="1">{"fdsup://directions/FAT Viewer?action=UPDATE&amp;creator=factset&amp;DYN_ARGS=TRUE&amp;DOC_NAME=FAT:FQL_AUDITING_CLIENT_TEMPLATE.FAT&amp;display_string=Audit&amp;VAR:KEY=PULQXIRMHC&amp;VAR:QUERY=RkZfRUJJVERBX0lCKCdMVE1TJywzOTYzOCk=&amp;WINDOW=FIRST_POPUP&amp;HEIGHT=450&amp;WIDTH=450&amp;START_MA","XIMIZED=FALSE&amp;VAR:CALENDAR=US&amp;VAR:SYMBOL=N0098510&amp;VAR:INDEX=0"}</definedName>
    <definedName name="_6076__FDSAUDITLINK__" localSheetId="6" hidden="1">{"fdsup://directions/FAT Viewer?action=UPDATE&amp;creator=factset&amp;DYN_ARGS=TRUE&amp;DOC_NAME=FAT:FQL_AUDITING_CLIENT_TEMPLATE.FAT&amp;display_string=Audit&amp;VAR:KEY=FMNGJYXUFW&amp;VAR:QUERY=RkZfRUJJVERBX0lCKCdMVE1TJywzOTYzNyk=&amp;WINDOW=FIRST_POPUP&amp;HEIGHT=450&amp;WIDTH=450&amp;START_MA","XIMIZED=FALSE&amp;VAR:CALENDAR=US&amp;VAR:SYMBOL=N0098510&amp;VAR:INDEX=0"}</definedName>
    <definedName name="_6076__FDSAUDITLINK__" hidden="1">{"fdsup://directions/FAT Viewer?action=UPDATE&amp;creator=factset&amp;DYN_ARGS=TRUE&amp;DOC_NAME=FAT:FQL_AUDITING_CLIENT_TEMPLATE.FAT&amp;display_string=Audit&amp;VAR:KEY=FMNGJYXUFW&amp;VAR:QUERY=RkZfRUJJVERBX0lCKCdMVE1TJywzOTYzNyk=&amp;WINDOW=FIRST_POPUP&amp;HEIGHT=450&amp;WIDTH=450&amp;START_MA","XIMIZED=FALSE&amp;VAR:CALENDAR=US&amp;VAR:SYMBOL=N0098510&amp;VAR:INDEX=0"}</definedName>
    <definedName name="_6077__FDSAUDITLINK__" localSheetId="6" hidden="1">{"fdsup://directions/FAT Viewer?action=UPDATE&amp;creator=factset&amp;DYN_ARGS=TRUE&amp;DOC_NAME=FAT:FQL_AUDITING_CLIENT_TEMPLATE.FAT&amp;display_string=Audit&amp;VAR:KEY=VGZENKLCTA&amp;VAR:QUERY=RkZfRUJJVERBX0lCKCdMVE1TJywzOTYzNik=&amp;WINDOW=FIRST_POPUP&amp;HEIGHT=450&amp;WIDTH=450&amp;START_MA","XIMIZED=FALSE&amp;VAR:CALENDAR=US&amp;VAR:SYMBOL=N0098510&amp;VAR:INDEX=0"}</definedName>
    <definedName name="_6077__FDSAUDITLINK__" hidden="1">{"fdsup://directions/FAT Viewer?action=UPDATE&amp;creator=factset&amp;DYN_ARGS=TRUE&amp;DOC_NAME=FAT:FQL_AUDITING_CLIENT_TEMPLATE.FAT&amp;display_string=Audit&amp;VAR:KEY=VGZENKLCTA&amp;VAR:QUERY=RkZfRUJJVERBX0lCKCdMVE1TJywzOTYzNik=&amp;WINDOW=FIRST_POPUP&amp;HEIGHT=450&amp;WIDTH=450&amp;START_MA","XIMIZED=FALSE&amp;VAR:CALENDAR=US&amp;VAR:SYMBOL=N0098510&amp;VAR:INDEX=0"}</definedName>
    <definedName name="_6078__FDSAUDITLINK__" localSheetId="6" hidden="1">{"fdsup://directions/FAT Viewer?action=UPDATE&amp;creator=factset&amp;DYN_ARGS=TRUE&amp;DOC_NAME=FAT:FQL_AUDITING_CLIENT_TEMPLATE.FAT&amp;display_string=Audit&amp;VAR:KEY=DILOBEPSZW&amp;VAR:QUERY=RkZfRUJJVERBX0lCKCdMVE1TJywzOTYzNSk=&amp;WINDOW=FIRST_POPUP&amp;HEIGHT=450&amp;WIDTH=450&amp;START_MA","XIMIZED=FALSE&amp;VAR:CALENDAR=US&amp;VAR:SYMBOL=N0098510&amp;VAR:INDEX=0"}</definedName>
    <definedName name="_6078__FDSAUDITLINK__" hidden="1">{"fdsup://directions/FAT Viewer?action=UPDATE&amp;creator=factset&amp;DYN_ARGS=TRUE&amp;DOC_NAME=FAT:FQL_AUDITING_CLIENT_TEMPLATE.FAT&amp;display_string=Audit&amp;VAR:KEY=DILOBEPSZW&amp;VAR:QUERY=RkZfRUJJVERBX0lCKCdMVE1TJywzOTYzNSk=&amp;WINDOW=FIRST_POPUP&amp;HEIGHT=450&amp;WIDTH=450&amp;START_MA","XIMIZED=FALSE&amp;VAR:CALENDAR=US&amp;VAR:SYMBOL=N0098510&amp;VAR:INDEX=0"}</definedName>
    <definedName name="_6079__FDSAUDITLINK__" localSheetId="6" hidden="1">{"fdsup://directions/FAT Viewer?action=UPDATE&amp;creator=factset&amp;DYN_ARGS=TRUE&amp;DOC_NAME=FAT:FQL_AUDITING_CLIENT_TEMPLATE.FAT&amp;display_string=Audit&amp;VAR:KEY=JCRUNKFWRY&amp;VAR:QUERY=RkZfRUJJVERBX0lCKCdMVE1TJywzOTYzNCk=&amp;WINDOW=FIRST_POPUP&amp;HEIGHT=450&amp;WIDTH=450&amp;START_MA","XIMIZED=FALSE&amp;VAR:CALENDAR=US&amp;VAR:SYMBOL=N0098510&amp;VAR:INDEX=0"}</definedName>
    <definedName name="_6079__FDSAUDITLINK__" hidden="1">{"fdsup://directions/FAT Viewer?action=UPDATE&amp;creator=factset&amp;DYN_ARGS=TRUE&amp;DOC_NAME=FAT:FQL_AUDITING_CLIENT_TEMPLATE.FAT&amp;display_string=Audit&amp;VAR:KEY=JCRUNKFWRY&amp;VAR:QUERY=RkZfRUJJVERBX0lCKCdMVE1TJywzOTYzNCk=&amp;WINDOW=FIRST_POPUP&amp;HEIGHT=450&amp;WIDTH=450&amp;START_MA","XIMIZED=FALSE&amp;VAR:CALENDAR=US&amp;VAR:SYMBOL=N0098510&amp;VAR:INDEX=0"}</definedName>
    <definedName name="_608__FDSAUDITLINK__" localSheetId="6" hidden="1">{"fdsup://directions/FAT%20Viewer?VAR:PED=LTM&amp;VAR:AUDIT_MODE=SUMMARY&amp;VAR:PERIOD=FIXED&amp;VAR:AUDIT_ID=00000117&amp;VAR:DATE=20080623&amp;action=UPDATE&amp;creator=factset&amp;DOC_NAME=FAT:FMA_audit_SUMMARY.fat&amp;DISPLAY_STRING=Display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8__FDSAUDITLINK__" hidden="1">{"fdsup://directions/FAT%20Viewer?VAR:PED=LTM&amp;VAR:AUDIT_MODE=SUMMARY&amp;VAR:PERIOD=FIXED&amp;VAR:AUDIT_ID=00000117&amp;VAR:DATE=20080623&amp;action=UPDATE&amp;creator=factset&amp;DOC_NAME=FAT:FMA_audit_SUMMARY.fat&amp;DISPLAY_STRING=Display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80__FDSAUDITLINK__" localSheetId="6" hidden="1">{"fdsup://directions/FAT Viewer?action=UPDATE&amp;creator=factset&amp;DYN_ARGS=TRUE&amp;DOC_NAME=FAT:FQL_AUDITING_CLIENT_TEMPLATE.FAT&amp;display_string=Audit&amp;VAR:KEY=NYVYNMXENE&amp;VAR:QUERY=RkZfRUJJVERBX0lCKCdMVE1TJywzOTYzMyk=&amp;WINDOW=FIRST_POPUP&amp;HEIGHT=450&amp;WIDTH=450&amp;START_MA","XIMIZED=FALSE&amp;VAR:CALENDAR=US&amp;VAR:SYMBOL=N0098510&amp;VAR:INDEX=0"}</definedName>
    <definedName name="_6080__FDSAUDITLINK__" hidden="1">{"fdsup://directions/FAT Viewer?action=UPDATE&amp;creator=factset&amp;DYN_ARGS=TRUE&amp;DOC_NAME=FAT:FQL_AUDITING_CLIENT_TEMPLATE.FAT&amp;display_string=Audit&amp;VAR:KEY=NYVYNMXENE&amp;VAR:QUERY=RkZfRUJJVERBX0lCKCdMVE1TJywzOTYzMyk=&amp;WINDOW=FIRST_POPUP&amp;HEIGHT=450&amp;WIDTH=450&amp;START_MA","XIMIZED=FALSE&amp;VAR:CALENDAR=US&amp;VAR:SYMBOL=N0098510&amp;VAR:INDEX=0"}</definedName>
    <definedName name="_6081__FDSAUDITLINK__" localSheetId="6" hidden="1">{"fdsup://directions/FAT Viewer?action=UPDATE&amp;creator=factset&amp;DYN_ARGS=TRUE&amp;DOC_NAME=FAT:FQL_AUDITING_CLIENT_TEMPLATE.FAT&amp;display_string=Audit&amp;VAR:KEY=NAJGBWBYFS&amp;VAR:QUERY=RkZfRUJJVERBX0lCKCdMVE1TJywzOTYzMik=&amp;WINDOW=FIRST_POPUP&amp;HEIGHT=450&amp;WIDTH=450&amp;START_MA","XIMIZED=FALSE&amp;VAR:CALENDAR=US&amp;VAR:SYMBOL=N0098510&amp;VAR:INDEX=0"}</definedName>
    <definedName name="_6081__FDSAUDITLINK__" hidden="1">{"fdsup://directions/FAT Viewer?action=UPDATE&amp;creator=factset&amp;DYN_ARGS=TRUE&amp;DOC_NAME=FAT:FQL_AUDITING_CLIENT_TEMPLATE.FAT&amp;display_string=Audit&amp;VAR:KEY=NAJGBWBYFS&amp;VAR:QUERY=RkZfRUJJVERBX0lCKCdMVE1TJywzOTYzMik=&amp;WINDOW=FIRST_POPUP&amp;HEIGHT=450&amp;WIDTH=450&amp;START_MA","XIMIZED=FALSE&amp;VAR:CALENDAR=US&amp;VAR:SYMBOL=N0098510&amp;VAR:INDEX=0"}</definedName>
    <definedName name="_6082__FDSAUDITLINK__" localSheetId="6" hidden="1">{"fdsup://directions/FAT Viewer?action=UPDATE&amp;creator=factset&amp;DYN_ARGS=TRUE&amp;DOC_NAME=FAT:FQL_AUDITING_CLIENT_TEMPLATE.FAT&amp;display_string=Audit&amp;VAR:KEY=JGVKRWVAFE&amp;VAR:QUERY=RkZfRUJJVERBX0lCKCdMVE1TJywzOTYzMSk=&amp;WINDOW=FIRST_POPUP&amp;HEIGHT=450&amp;WIDTH=450&amp;START_MA","XIMIZED=FALSE&amp;VAR:CALENDAR=US&amp;VAR:SYMBOL=N0098510&amp;VAR:INDEX=0"}</definedName>
    <definedName name="_6082__FDSAUDITLINK__" hidden="1">{"fdsup://directions/FAT Viewer?action=UPDATE&amp;creator=factset&amp;DYN_ARGS=TRUE&amp;DOC_NAME=FAT:FQL_AUDITING_CLIENT_TEMPLATE.FAT&amp;display_string=Audit&amp;VAR:KEY=JGVKRWVAFE&amp;VAR:QUERY=RkZfRUJJVERBX0lCKCdMVE1TJywzOTYzMSk=&amp;WINDOW=FIRST_POPUP&amp;HEIGHT=450&amp;WIDTH=450&amp;START_MA","XIMIZED=FALSE&amp;VAR:CALENDAR=US&amp;VAR:SYMBOL=N0098510&amp;VAR:INDEX=0"}</definedName>
    <definedName name="_6083__FDSAUDITLINK__" localSheetId="6" hidden="1">{"fdsup://directions/FAT Viewer?action=UPDATE&amp;creator=factset&amp;DYN_ARGS=TRUE&amp;DOC_NAME=FAT:FQL_AUDITING_CLIENT_TEMPLATE.FAT&amp;display_string=Audit&amp;VAR:KEY=VIPQRMRSXA&amp;VAR:QUERY=RkZfRUJJVERBX0lCKCdMVE1TJywzOTYzMCk=&amp;WINDOW=FIRST_POPUP&amp;HEIGHT=450&amp;WIDTH=450&amp;START_MA","XIMIZED=FALSE&amp;VAR:CALENDAR=US&amp;VAR:SYMBOL=N0098510&amp;VAR:INDEX=0"}</definedName>
    <definedName name="_6083__FDSAUDITLINK__" hidden="1">{"fdsup://directions/FAT Viewer?action=UPDATE&amp;creator=factset&amp;DYN_ARGS=TRUE&amp;DOC_NAME=FAT:FQL_AUDITING_CLIENT_TEMPLATE.FAT&amp;display_string=Audit&amp;VAR:KEY=VIPQRMRSXA&amp;VAR:QUERY=RkZfRUJJVERBX0lCKCdMVE1TJywzOTYzMCk=&amp;WINDOW=FIRST_POPUP&amp;HEIGHT=450&amp;WIDTH=450&amp;START_MA","XIMIZED=FALSE&amp;VAR:CALENDAR=US&amp;VAR:SYMBOL=N0098510&amp;VAR:INDEX=0"}</definedName>
    <definedName name="_6084__FDSAUDITLINK__" localSheetId="6" hidden="1">{"fdsup://directions/FAT Viewer?action=UPDATE&amp;creator=factset&amp;DYN_ARGS=TRUE&amp;DOC_NAME=FAT:FQL_AUDITING_CLIENT_TEMPLATE.FAT&amp;display_string=Audit&amp;VAR:KEY=XGDATWJSVG&amp;VAR:QUERY=RkZfRUJJVERBX0lCKCdMVE1TJywzOTYyOSk=&amp;WINDOW=FIRST_POPUP&amp;HEIGHT=450&amp;WIDTH=450&amp;START_MA","XIMIZED=FALSE&amp;VAR:CALENDAR=US&amp;VAR:SYMBOL=N0098510&amp;VAR:INDEX=0"}</definedName>
    <definedName name="_6084__FDSAUDITLINK__" hidden="1">{"fdsup://directions/FAT Viewer?action=UPDATE&amp;creator=factset&amp;DYN_ARGS=TRUE&amp;DOC_NAME=FAT:FQL_AUDITING_CLIENT_TEMPLATE.FAT&amp;display_string=Audit&amp;VAR:KEY=XGDATWJSVG&amp;VAR:QUERY=RkZfRUJJVERBX0lCKCdMVE1TJywzOTYyOSk=&amp;WINDOW=FIRST_POPUP&amp;HEIGHT=450&amp;WIDTH=450&amp;START_MA","XIMIZED=FALSE&amp;VAR:CALENDAR=US&amp;VAR:SYMBOL=N0098510&amp;VAR:INDEX=0"}</definedName>
    <definedName name="_6085__FDSAUDITLINK__" localSheetId="6" hidden="1">{"fdsup://directions/FAT Viewer?action=UPDATE&amp;creator=factset&amp;DYN_ARGS=TRUE&amp;DOC_NAME=FAT:FQL_AUDITING_CLIENT_TEMPLATE.FAT&amp;display_string=Audit&amp;VAR:KEY=XALGBETSFY&amp;VAR:QUERY=RkZfRUJJVERBX0lCKCdMVE1TJywzOTYyOCk=&amp;WINDOW=FIRST_POPUP&amp;HEIGHT=450&amp;WIDTH=450&amp;START_MA","XIMIZED=FALSE&amp;VAR:CALENDAR=US&amp;VAR:SYMBOL=N0098510&amp;VAR:INDEX=0"}</definedName>
    <definedName name="_6085__FDSAUDITLINK__" hidden="1">{"fdsup://directions/FAT Viewer?action=UPDATE&amp;creator=factset&amp;DYN_ARGS=TRUE&amp;DOC_NAME=FAT:FQL_AUDITING_CLIENT_TEMPLATE.FAT&amp;display_string=Audit&amp;VAR:KEY=XALGBETSFY&amp;VAR:QUERY=RkZfRUJJVERBX0lCKCdMVE1TJywzOTYyOCk=&amp;WINDOW=FIRST_POPUP&amp;HEIGHT=450&amp;WIDTH=450&amp;START_MA","XIMIZED=FALSE&amp;VAR:CALENDAR=US&amp;VAR:SYMBOL=N0098510&amp;VAR:INDEX=0"}</definedName>
    <definedName name="_6086__FDSAUDITLINK__" localSheetId="6" hidden="1">{"fdsup://directions/FAT Viewer?action=UPDATE&amp;creator=factset&amp;DYN_ARGS=TRUE&amp;DOC_NAME=FAT:FQL_AUDITING_CLIENT_TEMPLATE.FAT&amp;display_string=Audit&amp;VAR:KEY=XABSBMZMLE&amp;VAR:QUERY=RkZfRUJJVERBX0lCKCdMVE1TJywzOTYyNyk=&amp;WINDOW=FIRST_POPUP&amp;HEIGHT=450&amp;WIDTH=450&amp;START_MA","XIMIZED=FALSE&amp;VAR:CALENDAR=US&amp;VAR:SYMBOL=N0098510&amp;VAR:INDEX=0"}</definedName>
    <definedName name="_6086__FDSAUDITLINK__" hidden="1">{"fdsup://directions/FAT Viewer?action=UPDATE&amp;creator=factset&amp;DYN_ARGS=TRUE&amp;DOC_NAME=FAT:FQL_AUDITING_CLIENT_TEMPLATE.FAT&amp;display_string=Audit&amp;VAR:KEY=XABSBMZMLE&amp;VAR:QUERY=RkZfRUJJVERBX0lCKCdMVE1TJywzOTYyNyk=&amp;WINDOW=FIRST_POPUP&amp;HEIGHT=450&amp;WIDTH=450&amp;START_MA","XIMIZED=FALSE&amp;VAR:CALENDAR=US&amp;VAR:SYMBOL=N0098510&amp;VAR:INDEX=0"}</definedName>
    <definedName name="_6087__FDSAUDITLINK__" localSheetId="6" hidden="1">{"fdsup://directions/FAT Viewer?action=UPDATE&amp;creator=factset&amp;DYN_ARGS=TRUE&amp;DOC_NAME=FAT:FQL_AUDITING_CLIENT_TEMPLATE.FAT&amp;display_string=Audit&amp;VAR:KEY=PSBQVOZSNQ&amp;VAR:QUERY=RkZfRUJJVERBX0lCKCdMVE1TJywzOTYyNik=&amp;WINDOW=FIRST_POPUP&amp;HEIGHT=450&amp;WIDTH=450&amp;START_MA","XIMIZED=FALSE&amp;VAR:CALENDAR=US&amp;VAR:SYMBOL=N0098510&amp;VAR:INDEX=0"}</definedName>
    <definedName name="_6087__FDSAUDITLINK__" hidden="1">{"fdsup://directions/FAT Viewer?action=UPDATE&amp;creator=factset&amp;DYN_ARGS=TRUE&amp;DOC_NAME=FAT:FQL_AUDITING_CLIENT_TEMPLATE.FAT&amp;display_string=Audit&amp;VAR:KEY=PSBQVOZSNQ&amp;VAR:QUERY=RkZfRUJJVERBX0lCKCdMVE1TJywzOTYyNik=&amp;WINDOW=FIRST_POPUP&amp;HEIGHT=450&amp;WIDTH=450&amp;START_MA","XIMIZED=FALSE&amp;VAR:CALENDAR=US&amp;VAR:SYMBOL=N0098510&amp;VAR:INDEX=0"}</definedName>
    <definedName name="_6088__FDSAUDITLINK__" localSheetId="6" hidden="1">{"fdsup://directions/FAT Viewer?action=UPDATE&amp;creator=factset&amp;DYN_ARGS=TRUE&amp;DOC_NAME=FAT:FQL_AUDITING_CLIENT_TEMPLATE.FAT&amp;display_string=Audit&amp;VAR:KEY=VGXYJQBQPY&amp;VAR:QUERY=RkZfRUJJVERBX0lCKCdMVE1TJywzOTYyNSk=&amp;WINDOW=FIRST_POPUP&amp;HEIGHT=450&amp;WIDTH=450&amp;START_MA","XIMIZED=FALSE&amp;VAR:CALENDAR=US&amp;VAR:SYMBOL=N0098510&amp;VAR:INDEX=0"}</definedName>
    <definedName name="_6088__FDSAUDITLINK__" hidden="1">{"fdsup://directions/FAT Viewer?action=UPDATE&amp;creator=factset&amp;DYN_ARGS=TRUE&amp;DOC_NAME=FAT:FQL_AUDITING_CLIENT_TEMPLATE.FAT&amp;display_string=Audit&amp;VAR:KEY=VGXYJQBQPY&amp;VAR:QUERY=RkZfRUJJVERBX0lCKCdMVE1TJywzOTYyNSk=&amp;WINDOW=FIRST_POPUP&amp;HEIGHT=450&amp;WIDTH=450&amp;START_MA","XIMIZED=FALSE&amp;VAR:CALENDAR=US&amp;VAR:SYMBOL=N0098510&amp;VAR:INDEX=0"}</definedName>
    <definedName name="_6089__FDSAUDITLINK__" localSheetId="6" hidden="1">{"fdsup://directions/FAT Viewer?action=UPDATE&amp;creator=factset&amp;DYN_ARGS=TRUE&amp;DOC_NAME=FAT:FQL_AUDITING_CLIENT_TEMPLATE.FAT&amp;display_string=Audit&amp;VAR:KEY=HCFYZIDKRC&amp;VAR:QUERY=RkZfRUJJVERBX0lCKCdMVE1TJywzOTYyNCk=&amp;WINDOW=FIRST_POPUP&amp;HEIGHT=450&amp;WIDTH=450&amp;START_MA","XIMIZED=FALSE&amp;VAR:CALENDAR=US&amp;VAR:SYMBOL=N0098510&amp;VAR:INDEX=0"}</definedName>
    <definedName name="_6089__FDSAUDITLINK__" hidden="1">{"fdsup://directions/FAT Viewer?action=UPDATE&amp;creator=factset&amp;DYN_ARGS=TRUE&amp;DOC_NAME=FAT:FQL_AUDITING_CLIENT_TEMPLATE.FAT&amp;display_string=Audit&amp;VAR:KEY=HCFYZIDKRC&amp;VAR:QUERY=RkZfRUJJVERBX0lCKCdMVE1TJywzOTYyNCk=&amp;WINDOW=FIRST_POPUP&amp;HEIGHT=450&amp;WIDTH=450&amp;START_MA","XIMIZED=FALSE&amp;VAR:CALENDAR=US&amp;VAR:SYMBOL=N0098510&amp;VAR:INDEX=0"}</definedName>
    <definedName name="_609__FDSAUDITLINK__" localSheetId="6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9__FDSAUDITLINK__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090__FDSAUDITLINK__" localSheetId="6" hidden="1">{"fdsup://directions/FAT Viewer?action=UPDATE&amp;creator=factset&amp;DYN_ARGS=TRUE&amp;DOC_NAME=FAT:FQL_AUDITING_CLIENT_TEMPLATE.FAT&amp;display_string=Audit&amp;VAR:KEY=HEHEFQJCBY&amp;VAR:QUERY=RkZfRUJJVERBX0lCKCdMVE1TJywzOTYyMyk=&amp;WINDOW=FIRST_POPUP&amp;HEIGHT=450&amp;WIDTH=450&amp;START_MA","XIMIZED=FALSE&amp;VAR:CALENDAR=US&amp;VAR:SYMBOL=N0098510&amp;VAR:INDEX=0"}</definedName>
    <definedName name="_6090__FDSAUDITLINK__" hidden="1">{"fdsup://directions/FAT Viewer?action=UPDATE&amp;creator=factset&amp;DYN_ARGS=TRUE&amp;DOC_NAME=FAT:FQL_AUDITING_CLIENT_TEMPLATE.FAT&amp;display_string=Audit&amp;VAR:KEY=HEHEFQJCBY&amp;VAR:QUERY=RkZfRUJJVERBX0lCKCdMVE1TJywzOTYyMyk=&amp;WINDOW=FIRST_POPUP&amp;HEIGHT=450&amp;WIDTH=450&amp;START_MA","XIMIZED=FALSE&amp;VAR:CALENDAR=US&amp;VAR:SYMBOL=N0098510&amp;VAR:INDEX=0"}</definedName>
    <definedName name="_6091__FDSAUDITLINK__" localSheetId="6" hidden="1">{"fdsup://directions/FAT Viewer?action=UPDATE&amp;creator=factset&amp;DYN_ARGS=TRUE&amp;DOC_NAME=FAT:FQL_AUDITING_CLIENT_TEMPLATE.FAT&amp;display_string=Audit&amp;VAR:KEY=XWLGTQFUPC&amp;VAR:QUERY=RkZfRUJJVERBX0lCKCdMVE1TJywzOTYyMik=&amp;WINDOW=FIRST_POPUP&amp;HEIGHT=450&amp;WIDTH=450&amp;START_MA","XIMIZED=FALSE&amp;VAR:CALENDAR=US&amp;VAR:SYMBOL=N0098510&amp;VAR:INDEX=0"}</definedName>
    <definedName name="_6091__FDSAUDITLINK__" hidden="1">{"fdsup://directions/FAT Viewer?action=UPDATE&amp;creator=factset&amp;DYN_ARGS=TRUE&amp;DOC_NAME=FAT:FQL_AUDITING_CLIENT_TEMPLATE.FAT&amp;display_string=Audit&amp;VAR:KEY=XWLGTQFUPC&amp;VAR:QUERY=RkZfRUJJVERBX0lCKCdMVE1TJywzOTYyMik=&amp;WINDOW=FIRST_POPUP&amp;HEIGHT=450&amp;WIDTH=450&amp;START_MA","XIMIZED=FALSE&amp;VAR:CALENDAR=US&amp;VAR:SYMBOL=N0098510&amp;VAR:INDEX=0"}</definedName>
    <definedName name="_6092__FDSAUDITLINK__" localSheetId="6" hidden="1">{"fdsup://directions/FAT Viewer?action=UPDATE&amp;creator=factset&amp;DYN_ARGS=TRUE&amp;DOC_NAME=FAT:FQL_AUDITING_CLIENT_TEMPLATE.FAT&amp;display_string=Audit&amp;VAR:KEY=DWRYDAPEVO&amp;VAR:QUERY=RkZfRUJJVERBX0lCKCdMVE1TJywzOTYyMSk=&amp;WINDOW=FIRST_POPUP&amp;HEIGHT=450&amp;WIDTH=450&amp;START_MA","XIMIZED=FALSE&amp;VAR:CALENDAR=US&amp;VAR:SYMBOL=N0098510&amp;VAR:INDEX=0"}</definedName>
    <definedName name="_6092__FDSAUDITLINK__" hidden="1">{"fdsup://directions/FAT Viewer?action=UPDATE&amp;creator=factset&amp;DYN_ARGS=TRUE&amp;DOC_NAME=FAT:FQL_AUDITING_CLIENT_TEMPLATE.FAT&amp;display_string=Audit&amp;VAR:KEY=DWRYDAPEVO&amp;VAR:QUERY=RkZfRUJJVERBX0lCKCdMVE1TJywzOTYyMSk=&amp;WINDOW=FIRST_POPUP&amp;HEIGHT=450&amp;WIDTH=450&amp;START_MA","XIMIZED=FALSE&amp;VAR:CALENDAR=US&amp;VAR:SYMBOL=N0098510&amp;VAR:INDEX=0"}</definedName>
    <definedName name="_6093__FDSAUDITLINK__" localSheetId="6" hidden="1">{"fdsup://directions/FAT Viewer?action=UPDATE&amp;creator=factset&amp;DYN_ARGS=TRUE&amp;DOC_NAME=FAT:FQL_AUDITING_CLIENT_TEMPLATE.FAT&amp;display_string=Audit&amp;VAR:KEY=JWHKZMXCDU&amp;VAR:QUERY=RkZfRUJJVERBX0lCKCdMVE1TJywzOTYyMCk=&amp;WINDOW=FIRST_POPUP&amp;HEIGHT=450&amp;WIDTH=450&amp;START_MA","XIMIZED=FALSE&amp;VAR:CALENDAR=US&amp;VAR:SYMBOL=N0098510&amp;VAR:INDEX=0"}</definedName>
    <definedName name="_6093__FDSAUDITLINK__" hidden="1">{"fdsup://directions/FAT Viewer?action=UPDATE&amp;creator=factset&amp;DYN_ARGS=TRUE&amp;DOC_NAME=FAT:FQL_AUDITING_CLIENT_TEMPLATE.FAT&amp;display_string=Audit&amp;VAR:KEY=JWHKZMXCDU&amp;VAR:QUERY=RkZfRUJJVERBX0lCKCdMVE1TJywzOTYyMCk=&amp;WINDOW=FIRST_POPUP&amp;HEIGHT=450&amp;WIDTH=450&amp;START_MA","XIMIZED=FALSE&amp;VAR:CALENDAR=US&amp;VAR:SYMBOL=N0098510&amp;VAR:INDEX=0"}</definedName>
    <definedName name="_6094__FDSAUDITLINK__" localSheetId="6" hidden="1">{"fdsup://directions/FAT Viewer?action=UPDATE&amp;creator=factset&amp;DYN_ARGS=TRUE&amp;DOC_NAME=FAT:FQL_AUDITING_CLIENT_TEMPLATE.FAT&amp;display_string=Audit&amp;VAR:KEY=NCRURQHAVE&amp;VAR:QUERY=RkZfRUJJVERBX0lCKCdMVE1TJywzOTYxOSk=&amp;WINDOW=FIRST_POPUP&amp;HEIGHT=450&amp;WIDTH=450&amp;START_MA","XIMIZED=FALSE&amp;VAR:CALENDAR=US&amp;VAR:SYMBOL=N0098510&amp;VAR:INDEX=0"}</definedName>
    <definedName name="_6094__FDSAUDITLINK__" hidden="1">{"fdsup://directions/FAT Viewer?action=UPDATE&amp;creator=factset&amp;DYN_ARGS=TRUE&amp;DOC_NAME=FAT:FQL_AUDITING_CLIENT_TEMPLATE.FAT&amp;display_string=Audit&amp;VAR:KEY=NCRURQHAVE&amp;VAR:QUERY=RkZfRUJJVERBX0lCKCdMVE1TJywzOTYxOSk=&amp;WINDOW=FIRST_POPUP&amp;HEIGHT=450&amp;WIDTH=450&amp;START_MA","XIMIZED=FALSE&amp;VAR:CALENDAR=US&amp;VAR:SYMBOL=N0098510&amp;VAR:INDEX=0"}</definedName>
    <definedName name="_6095__FDSAUDITLINK__" localSheetId="6" hidden="1">{"fdsup://directions/FAT Viewer?action=UPDATE&amp;creator=factset&amp;DYN_ARGS=TRUE&amp;DOC_NAME=FAT:FQL_AUDITING_CLIENT_TEMPLATE.FAT&amp;display_string=Audit&amp;VAR:KEY=PKHMTSPKTO&amp;VAR:QUERY=RkZfRUJJVERBX0lCKCdMVE1TJywzOTYxOCk=&amp;WINDOW=FIRST_POPUP&amp;HEIGHT=450&amp;WIDTH=450&amp;START_MA","XIMIZED=FALSE&amp;VAR:CALENDAR=US&amp;VAR:SYMBOL=N0098510&amp;VAR:INDEX=0"}</definedName>
    <definedName name="_6095__FDSAUDITLINK__" hidden="1">{"fdsup://directions/FAT Viewer?action=UPDATE&amp;creator=factset&amp;DYN_ARGS=TRUE&amp;DOC_NAME=FAT:FQL_AUDITING_CLIENT_TEMPLATE.FAT&amp;display_string=Audit&amp;VAR:KEY=PKHMTSPKTO&amp;VAR:QUERY=RkZfRUJJVERBX0lCKCdMVE1TJywzOTYxOCk=&amp;WINDOW=FIRST_POPUP&amp;HEIGHT=450&amp;WIDTH=450&amp;START_MA","XIMIZED=FALSE&amp;VAR:CALENDAR=US&amp;VAR:SYMBOL=N0098510&amp;VAR:INDEX=0"}</definedName>
    <definedName name="_6096__FDSAUDITLINK__" localSheetId="6" hidden="1">{"fdsup://directions/FAT Viewer?action=UPDATE&amp;creator=factset&amp;DYN_ARGS=TRUE&amp;DOC_NAME=FAT:FQL_AUDITING_CLIENT_TEMPLATE.FAT&amp;display_string=Audit&amp;VAR:KEY=REVOBULYJA&amp;VAR:QUERY=RkZfRUJJVERBX0lCKCdMVE1TJywzOTYxNyk=&amp;WINDOW=FIRST_POPUP&amp;HEIGHT=450&amp;WIDTH=450&amp;START_MA","XIMIZED=FALSE&amp;VAR:CALENDAR=US&amp;VAR:SYMBOL=N0098510&amp;VAR:INDEX=0"}</definedName>
    <definedName name="_6096__FDSAUDITLINK__" hidden="1">{"fdsup://directions/FAT Viewer?action=UPDATE&amp;creator=factset&amp;DYN_ARGS=TRUE&amp;DOC_NAME=FAT:FQL_AUDITING_CLIENT_TEMPLATE.FAT&amp;display_string=Audit&amp;VAR:KEY=REVOBULYJA&amp;VAR:QUERY=RkZfRUJJVERBX0lCKCdMVE1TJywzOTYxNyk=&amp;WINDOW=FIRST_POPUP&amp;HEIGHT=450&amp;WIDTH=450&amp;START_MA","XIMIZED=FALSE&amp;VAR:CALENDAR=US&amp;VAR:SYMBOL=N0098510&amp;VAR:INDEX=0"}</definedName>
    <definedName name="_6097__FDSAUDITLINK__" localSheetId="6" hidden="1">{"fdsup://directions/FAT Viewer?action=UPDATE&amp;creator=factset&amp;DYN_ARGS=TRUE&amp;DOC_NAME=FAT:FQL_AUDITING_CLIENT_TEMPLATE.FAT&amp;display_string=Audit&amp;VAR:KEY=NCRAZMTMXS&amp;VAR:QUERY=RkZfRUJJVERBX0lCKCdMVE1TJywzOTYxNik=&amp;WINDOW=FIRST_POPUP&amp;HEIGHT=450&amp;WIDTH=450&amp;START_MA","XIMIZED=FALSE&amp;VAR:CALENDAR=US&amp;VAR:SYMBOL=N0098510&amp;VAR:INDEX=0"}</definedName>
    <definedName name="_6097__FDSAUDITLINK__" hidden="1">{"fdsup://directions/FAT Viewer?action=UPDATE&amp;creator=factset&amp;DYN_ARGS=TRUE&amp;DOC_NAME=FAT:FQL_AUDITING_CLIENT_TEMPLATE.FAT&amp;display_string=Audit&amp;VAR:KEY=NCRAZMTMXS&amp;VAR:QUERY=RkZfRUJJVERBX0lCKCdMVE1TJywzOTYxNik=&amp;WINDOW=FIRST_POPUP&amp;HEIGHT=450&amp;WIDTH=450&amp;START_MA","XIMIZED=FALSE&amp;VAR:CALENDAR=US&amp;VAR:SYMBOL=N0098510&amp;VAR:INDEX=0"}</definedName>
    <definedName name="_6098__FDSAUDITLINK__" localSheetId="6" hidden="1">{"fdsup://directions/FAT Viewer?action=UPDATE&amp;creator=factset&amp;DYN_ARGS=TRUE&amp;DOC_NAME=FAT:FQL_AUDITING_CLIENT_TEMPLATE.FAT&amp;display_string=Audit&amp;VAR:KEY=NCJWHMHKPG&amp;VAR:QUERY=RkZfRUJJVERBX0lCKCdMVE1TJywzOTYxNSk=&amp;WINDOW=FIRST_POPUP&amp;HEIGHT=450&amp;WIDTH=450&amp;START_MA","XIMIZED=FALSE&amp;VAR:CALENDAR=US&amp;VAR:SYMBOL=N0098510&amp;VAR:INDEX=0"}</definedName>
    <definedName name="_6098__FDSAUDITLINK__" hidden="1">{"fdsup://directions/FAT Viewer?action=UPDATE&amp;creator=factset&amp;DYN_ARGS=TRUE&amp;DOC_NAME=FAT:FQL_AUDITING_CLIENT_TEMPLATE.FAT&amp;display_string=Audit&amp;VAR:KEY=NCJWHMHKPG&amp;VAR:QUERY=RkZfRUJJVERBX0lCKCdMVE1TJywzOTYxNSk=&amp;WINDOW=FIRST_POPUP&amp;HEIGHT=450&amp;WIDTH=450&amp;START_MA","XIMIZED=FALSE&amp;VAR:CALENDAR=US&amp;VAR:SYMBOL=N0098510&amp;VAR:INDEX=0"}</definedName>
    <definedName name="_6099__FDSAUDITLINK__" localSheetId="6" hidden="1">{"fdsup://directions/FAT Viewer?action=UPDATE&amp;creator=factset&amp;DYN_ARGS=TRUE&amp;DOC_NAME=FAT:FQL_AUDITING_CLIENT_TEMPLATE.FAT&amp;display_string=Audit&amp;VAR:KEY=TWZGDCFCFM&amp;VAR:QUERY=RkZfRUJJVERBX0lCKCdMVE1TJywzOTYxNCk=&amp;WINDOW=FIRST_POPUP&amp;HEIGHT=450&amp;WIDTH=450&amp;START_MA","XIMIZED=FALSE&amp;VAR:CALENDAR=US&amp;VAR:SYMBOL=N0098510&amp;VAR:INDEX=0"}</definedName>
    <definedName name="_6099__FDSAUDITLINK__" hidden="1">{"fdsup://directions/FAT Viewer?action=UPDATE&amp;creator=factset&amp;DYN_ARGS=TRUE&amp;DOC_NAME=FAT:FQL_AUDITING_CLIENT_TEMPLATE.FAT&amp;display_string=Audit&amp;VAR:KEY=TWZGDCFCFM&amp;VAR:QUERY=RkZfRUJJVERBX0lCKCdMVE1TJywzOTYxNCk=&amp;WINDOW=FIRST_POPUP&amp;HEIGHT=450&amp;WIDTH=450&amp;START_MA","XIMIZED=FALSE&amp;VAR:CALENDAR=US&amp;VAR:SYMBOL=N0098510&amp;VAR:INDEX=0"}</definedName>
    <definedName name="_61__FDSAUDITLINK__" localSheetId="6" hidden="1">{"fdsup://directions/FAT Viewer?action=UPDATE&amp;creator=factset&amp;DYN_ARGS=TRUE&amp;DOC_NAME=FAT:FQL_AUDITING_CLIENT_TEMPLATE.FAT&amp;display_string=Audit&amp;VAR:KEY=ARKTILCLCX&amp;VAR:QUERY=QVZHKENTRl9ORVRfSU5DKEFOTiwwRlksLTZGWSxZKSkgLyAoQVZHKENTRl9BU1NFVFMoQU5OLDBGWSwtNkZZL","EZZKSkgLSBBVkcoQ1NGX0lOVEFORyhBTk4sMCwtNkZZLEZZKSkp&amp;WINDOW=FIRST_POPUP&amp;HEIGHT=450&amp;WIDTH=450&amp;START_MAXIMIZED=FALSE&amp;VAR:CALENDAR=US&amp;VAR:SYMBOL=LKQ"}</definedName>
    <definedName name="_61__FDSAUDITLINK__" hidden="1">{"fdsup://directions/FAT Viewer?action=UPDATE&amp;creator=factset&amp;DYN_ARGS=TRUE&amp;DOC_NAME=FAT:FQL_AUDITING_CLIENT_TEMPLATE.FAT&amp;display_string=Audit&amp;VAR:KEY=ARKTILCLCX&amp;VAR:QUERY=QVZHKENTRl9ORVRfSU5DKEFOTiwwRlksLTZGWSxZKSkgLyAoQVZHKENTRl9BU1NFVFMoQU5OLDBGWSwtNkZZL","EZZKSkgLSBBVkcoQ1NGX0lOVEFORyhBTk4sMCwtNkZZLEZZKSkp&amp;WINDOW=FIRST_POPUP&amp;HEIGHT=450&amp;WIDTH=450&amp;START_MAXIMIZED=FALSE&amp;VAR:CALENDAR=US&amp;VAR:SYMBOL=LKQ"}</definedName>
    <definedName name="_610__FDSAUDITLINK__" localSheetId="6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0__FDSAUDITLINK__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00__FDSAUDITLINK__" localSheetId="6" hidden="1">{"fdsup://directions/FAT Viewer?action=UPDATE&amp;creator=factset&amp;DYN_ARGS=TRUE&amp;DOC_NAME=FAT:FQL_AUDITING_CLIENT_TEMPLATE.FAT&amp;display_string=Audit&amp;VAR:KEY=LELKHCJUHC&amp;VAR:QUERY=RkZfRUJJVERBX0lCKCdMVE1TJywzOTYxMyk=&amp;WINDOW=FIRST_POPUP&amp;HEIGHT=450&amp;WIDTH=450&amp;START_MA","XIMIZED=FALSE&amp;VAR:CALENDAR=US&amp;VAR:SYMBOL=N0098510&amp;VAR:INDEX=0"}</definedName>
    <definedName name="_6100__FDSAUDITLINK__" hidden="1">{"fdsup://directions/FAT Viewer?action=UPDATE&amp;creator=factset&amp;DYN_ARGS=TRUE&amp;DOC_NAME=FAT:FQL_AUDITING_CLIENT_TEMPLATE.FAT&amp;display_string=Audit&amp;VAR:KEY=LELKHCJUHC&amp;VAR:QUERY=RkZfRUJJVERBX0lCKCdMVE1TJywzOTYxMyk=&amp;WINDOW=FIRST_POPUP&amp;HEIGHT=450&amp;WIDTH=450&amp;START_MA","XIMIZED=FALSE&amp;VAR:CALENDAR=US&amp;VAR:SYMBOL=N0098510&amp;VAR:INDEX=0"}</definedName>
    <definedName name="_6101__FDSAUDITLINK__" localSheetId="6" hidden="1">{"fdsup://directions/FAT Viewer?action=UPDATE&amp;creator=factset&amp;DYN_ARGS=TRUE&amp;DOC_NAME=FAT:FQL_AUDITING_CLIENT_TEMPLATE.FAT&amp;display_string=Audit&amp;VAR:KEY=DQXYRUNEZI&amp;VAR:QUERY=RkZfRUJJVERBX0lCKCdMVE1TJywzOTYxMik=&amp;WINDOW=FIRST_POPUP&amp;HEIGHT=450&amp;WIDTH=450&amp;START_MA","XIMIZED=FALSE&amp;VAR:CALENDAR=US&amp;VAR:SYMBOL=N0098510&amp;VAR:INDEX=0"}</definedName>
    <definedName name="_6101__FDSAUDITLINK__" hidden="1">{"fdsup://directions/FAT Viewer?action=UPDATE&amp;creator=factset&amp;DYN_ARGS=TRUE&amp;DOC_NAME=FAT:FQL_AUDITING_CLIENT_TEMPLATE.FAT&amp;display_string=Audit&amp;VAR:KEY=DQXYRUNEZI&amp;VAR:QUERY=RkZfRUJJVERBX0lCKCdMVE1TJywzOTYxMik=&amp;WINDOW=FIRST_POPUP&amp;HEIGHT=450&amp;WIDTH=450&amp;START_MA","XIMIZED=FALSE&amp;VAR:CALENDAR=US&amp;VAR:SYMBOL=N0098510&amp;VAR:INDEX=0"}</definedName>
    <definedName name="_6102__FDSAUDITLINK__" localSheetId="6" hidden="1">{"fdsup://directions/FAT Viewer?action=UPDATE&amp;creator=factset&amp;DYN_ARGS=TRUE&amp;DOC_NAME=FAT:FQL_AUDITING_CLIENT_TEMPLATE.FAT&amp;display_string=Audit&amp;VAR:KEY=JWTAXSPEBO&amp;VAR:QUERY=RkZfRUJJVERBX0lCKCdMVE1TJywzOTYxMSk=&amp;WINDOW=FIRST_POPUP&amp;HEIGHT=450&amp;WIDTH=450&amp;START_MA","XIMIZED=FALSE&amp;VAR:CALENDAR=US&amp;VAR:SYMBOL=N0098510&amp;VAR:INDEX=0"}</definedName>
    <definedName name="_6102__FDSAUDITLINK__" hidden="1">{"fdsup://directions/FAT Viewer?action=UPDATE&amp;creator=factset&amp;DYN_ARGS=TRUE&amp;DOC_NAME=FAT:FQL_AUDITING_CLIENT_TEMPLATE.FAT&amp;display_string=Audit&amp;VAR:KEY=JWTAXSPEBO&amp;VAR:QUERY=RkZfRUJJVERBX0lCKCdMVE1TJywzOTYxMSk=&amp;WINDOW=FIRST_POPUP&amp;HEIGHT=450&amp;WIDTH=450&amp;START_MA","XIMIZED=FALSE&amp;VAR:CALENDAR=US&amp;VAR:SYMBOL=N0098510&amp;VAR:INDEX=0"}</definedName>
    <definedName name="_6103__FDSAUDITLINK__" localSheetId="6" hidden="1">{"fdsup://directions/FAT Viewer?action=UPDATE&amp;creator=factset&amp;DYN_ARGS=TRUE&amp;DOC_NAME=FAT:FQL_AUDITING_CLIENT_TEMPLATE.FAT&amp;display_string=Audit&amp;VAR:KEY=HGFIXKLKXI&amp;VAR:QUERY=RkZfRUJJVERBX0lCKCdMVE1TJywzOTYxMCk=&amp;WINDOW=FIRST_POPUP&amp;HEIGHT=450&amp;WIDTH=450&amp;START_MA","XIMIZED=FALSE&amp;VAR:CALENDAR=US&amp;VAR:SYMBOL=N0098510&amp;VAR:INDEX=0"}</definedName>
    <definedName name="_6103__FDSAUDITLINK__" hidden="1">{"fdsup://directions/FAT Viewer?action=UPDATE&amp;creator=factset&amp;DYN_ARGS=TRUE&amp;DOC_NAME=FAT:FQL_AUDITING_CLIENT_TEMPLATE.FAT&amp;display_string=Audit&amp;VAR:KEY=HGFIXKLKXI&amp;VAR:QUERY=RkZfRUJJVERBX0lCKCdMVE1TJywzOTYxMCk=&amp;WINDOW=FIRST_POPUP&amp;HEIGHT=450&amp;WIDTH=450&amp;START_MA","XIMIZED=FALSE&amp;VAR:CALENDAR=US&amp;VAR:SYMBOL=N0098510&amp;VAR:INDEX=0"}</definedName>
    <definedName name="_6104__FDSAUDITLINK__" localSheetId="6" hidden="1">{"fdsup://directions/FAT Viewer?action=UPDATE&amp;creator=factset&amp;DYN_ARGS=TRUE&amp;DOC_NAME=FAT:FQL_AUDITING_CLIENT_TEMPLATE.FAT&amp;display_string=Audit&amp;VAR:KEY=HUBQLWNGRO&amp;VAR:QUERY=RkZfRUJJVERBX0lCKCdMVE1TJywzOTYwOSk=&amp;WINDOW=FIRST_POPUP&amp;HEIGHT=450&amp;WIDTH=450&amp;START_MA","XIMIZED=FALSE&amp;VAR:CALENDAR=US&amp;VAR:SYMBOL=N0098510&amp;VAR:INDEX=0"}</definedName>
    <definedName name="_6104__FDSAUDITLINK__" hidden="1">{"fdsup://directions/FAT Viewer?action=UPDATE&amp;creator=factset&amp;DYN_ARGS=TRUE&amp;DOC_NAME=FAT:FQL_AUDITING_CLIENT_TEMPLATE.FAT&amp;display_string=Audit&amp;VAR:KEY=HUBQLWNGRO&amp;VAR:QUERY=RkZfRUJJVERBX0lCKCdMVE1TJywzOTYwOSk=&amp;WINDOW=FIRST_POPUP&amp;HEIGHT=450&amp;WIDTH=450&amp;START_MA","XIMIZED=FALSE&amp;VAR:CALENDAR=US&amp;VAR:SYMBOL=N0098510&amp;VAR:INDEX=0"}</definedName>
    <definedName name="_6105__FDSAUDITLINK__" localSheetId="6" hidden="1">{"fdsup://directions/FAT Viewer?action=UPDATE&amp;creator=factset&amp;DYN_ARGS=TRUE&amp;DOC_NAME=FAT:FQL_AUDITING_CLIENT_TEMPLATE.FAT&amp;display_string=Audit&amp;VAR:KEY=XEVCNUFIHU&amp;VAR:QUERY=RkZfRUJJVERBX0lCKCdMVE1TJywzOTYwOCk=&amp;WINDOW=FIRST_POPUP&amp;HEIGHT=450&amp;WIDTH=450&amp;START_MA","XIMIZED=FALSE&amp;VAR:CALENDAR=US&amp;VAR:SYMBOL=N0098510&amp;VAR:INDEX=0"}</definedName>
    <definedName name="_6105__FDSAUDITLINK__" hidden="1">{"fdsup://directions/FAT Viewer?action=UPDATE&amp;creator=factset&amp;DYN_ARGS=TRUE&amp;DOC_NAME=FAT:FQL_AUDITING_CLIENT_TEMPLATE.FAT&amp;display_string=Audit&amp;VAR:KEY=XEVCNUFIHU&amp;VAR:QUERY=RkZfRUJJVERBX0lCKCdMVE1TJywzOTYwOCk=&amp;WINDOW=FIRST_POPUP&amp;HEIGHT=450&amp;WIDTH=450&amp;START_MA","XIMIZED=FALSE&amp;VAR:CALENDAR=US&amp;VAR:SYMBOL=N0098510&amp;VAR:INDEX=0"}</definedName>
    <definedName name="_6106__FDSAUDITLINK__" localSheetId="6" hidden="1">{"fdsup://directions/FAT Viewer?action=UPDATE&amp;creator=factset&amp;DYN_ARGS=TRUE&amp;DOC_NAME=FAT:FQL_AUDITING_CLIENT_TEMPLATE.FAT&amp;display_string=Audit&amp;VAR:KEY=PQDOHSPCDM&amp;VAR:QUERY=RkZfRUJJVERBX0lCKCdMVE1TJywzOTYwNyk=&amp;WINDOW=FIRST_POPUP&amp;HEIGHT=450&amp;WIDTH=450&amp;START_MA","XIMIZED=FALSE&amp;VAR:CALENDAR=US&amp;VAR:SYMBOL=N0098510&amp;VAR:INDEX=0"}</definedName>
    <definedName name="_6106__FDSAUDITLINK__" hidden="1">{"fdsup://directions/FAT Viewer?action=UPDATE&amp;creator=factset&amp;DYN_ARGS=TRUE&amp;DOC_NAME=FAT:FQL_AUDITING_CLIENT_TEMPLATE.FAT&amp;display_string=Audit&amp;VAR:KEY=PQDOHSPCDM&amp;VAR:QUERY=RkZfRUJJVERBX0lCKCdMVE1TJywzOTYwNyk=&amp;WINDOW=FIRST_POPUP&amp;HEIGHT=450&amp;WIDTH=450&amp;START_MA","XIMIZED=FALSE&amp;VAR:CALENDAR=US&amp;VAR:SYMBOL=N0098510&amp;VAR:INDEX=0"}</definedName>
    <definedName name="_6107__FDSAUDITLINK__" localSheetId="6" hidden="1">{"fdsup://directions/FAT Viewer?action=UPDATE&amp;creator=factset&amp;DYN_ARGS=TRUE&amp;DOC_NAME=FAT:FQL_AUDITING_CLIENT_TEMPLATE.FAT&amp;display_string=Audit&amp;VAR:KEY=VODWPSRYRU&amp;VAR:QUERY=RkZfRUJJVERBX0lCKCdMVE1TJywzOTYwNik=&amp;WINDOW=FIRST_POPUP&amp;HEIGHT=450&amp;WIDTH=450&amp;START_MA","XIMIZED=FALSE&amp;VAR:CALENDAR=US&amp;VAR:SYMBOL=N0098510&amp;VAR:INDEX=0"}</definedName>
    <definedName name="_6107__FDSAUDITLINK__" hidden="1">{"fdsup://directions/FAT Viewer?action=UPDATE&amp;creator=factset&amp;DYN_ARGS=TRUE&amp;DOC_NAME=FAT:FQL_AUDITING_CLIENT_TEMPLATE.FAT&amp;display_string=Audit&amp;VAR:KEY=VODWPSRYRU&amp;VAR:QUERY=RkZfRUJJVERBX0lCKCdMVE1TJywzOTYwNik=&amp;WINDOW=FIRST_POPUP&amp;HEIGHT=450&amp;WIDTH=450&amp;START_MA","XIMIZED=FALSE&amp;VAR:CALENDAR=US&amp;VAR:SYMBOL=N0098510&amp;VAR:INDEX=0"}</definedName>
    <definedName name="_6108__FDSAUDITLINK__" localSheetId="6" hidden="1">{"fdsup://directions/FAT Viewer?action=UPDATE&amp;creator=factset&amp;DYN_ARGS=TRUE&amp;DOC_NAME=FAT:FQL_AUDITING_CLIENT_TEMPLATE.FAT&amp;display_string=Audit&amp;VAR:KEY=VUVOPSVCJE&amp;VAR:QUERY=RkZfRUJJVERBX0lCKCdMVE1TJywzOTYwNSk=&amp;WINDOW=FIRST_POPUP&amp;HEIGHT=450&amp;WIDTH=450&amp;START_MA","XIMIZED=FALSE&amp;VAR:CALENDAR=US&amp;VAR:SYMBOL=N0098510&amp;VAR:INDEX=0"}</definedName>
    <definedName name="_6108__FDSAUDITLINK__" hidden="1">{"fdsup://directions/FAT Viewer?action=UPDATE&amp;creator=factset&amp;DYN_ARGS=TRUE&amp;DOC_NAME=FAT:FQL_AUDITING_CLIENT_TEMPLATE.FAT&amp;display_string=Audit&amp;VAR:KEY=VUVOPSVCJE&amp;VAR:QUERY=RkZfRUJJVERBX0lCKCdMVE1TJywzOTYwNSk=&amp;WINDOW=FIRST_POPUP&amp;HEIGHT=450&amp;WIDTH=450&amp;START_MA","XIMIZED=FALSE&amp;VAR:CALENDAR=US&amp;VAR:SYMBOL=N0098510&amp;VAR:INDEX=0"}</definedName>
    <definedName name="_6109__FDSAUDITLINK__" localSheetId="6" hidden="1">{"fdsup://directions/FAT Viewer?action=UPDATE&amp;creator=factset&amp;DYN_ARGS=TRUE&amp;DOC_NAME=FAT:FQL_AUDITING_CLIENT_TEMPLATE.FAT&amp;display_string=Audit&amp;VAR:KEY=PGHKBCBEVQ&amp;VAR:QUERY=RkZfRUJJVERBX0lCKCdMVE1TJywzOTYwNCk=&amp;WINDOW=FIRST_POPUP&amp;HEIGHT=450&amp;WIDTH=450&amp;START_MA","XIMIZED=FALSE&amp;VAR:CALENDAR=US&amp;VAR:SYMBOL=N0098510&amp;VAR:INDEX=0"}</definedName>
    <definedName name="_6109__FDSAUDITLINK__" hidden="1">{"fdsup://directions/FAT Viewer?action=UPDATE&amp;creator=factset&amp;DYN_ARGS=TRUE&amp;DOC_NAME=FAT:FQL_AUDITING_CLIENT_TEMPLATE.FAT&amp;display_string=Audit&amp;VAR:KEY=PGHKBCBEVQ&amp;VAR:QUERY=RkZfRUJJVERBX0lCKCdMVE1TJywzOTYwNCk=&amp;WINDOW=FIRST_POPUP&amp;HEIGHT=450&amp;WIDTH=450&amp;START_MA","XIMIZED=FALSE&amp;VAR:CALENDAR=US&amp;VAR:SYMBOL=N0098510&amp;VAR:INDEX=0"}</definedName>
    <definedName name="_611__FDSAUDITLINK__" localSheetId="6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1__FDSAUDITLINK__" hidden="1">{"fdsup://directions/FAT%20Viewer?VAR:PED=LTM&amp;VAR:AUDIT_MODE=SUMMARY&amp;VAR:PERIOD=FIXED&amp;VAR:AUDIT_ID=00000117&amp;VAR:DATE=20080620&amp;action=UPDATE&amp;creator=factset&amp;DOC_NAME=FAT:FMA_audit_SUMMARY.fat&amp;DISPLAY_STRING=Display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10__FDSAUDITLINK__" localSheetId="6" hidden="1">{"fdsup://directions/FAT Viewer?action=UPDATE&amp;creator=factset&amp;DYN_ARGS=TRUE&amp;DOC_NAME=FAT:FQL_AUDITING_CLIENT_TEMPLATE.FAT&amp;display_string=Audit&amp;VAR:KEY=VGPYRKJKJC&amp;VAR:QUERY=RkZfRUJJVERBX0lCKCdMVE1TJywzOTYwMyk=&amp;WINDOW=FIRST_POPUP&amp;HEIGHT=450&amp;WIDTH=450&amp;START_MA","XIMIZED=FALSE&amp;VAR:CALENDAR=US&amp;VAR:SYMBOL=N0098510&amp;VAR:INDEX=0"}</definedName>
    <definedName name="_6110__FDSAUDITLINK__" hidden="1">{"fdsup://directions/FAT Viewer?action=UPDATE&amp;creator=factset&amp;DYN_ARGS=TRUE&amp;DOC_NAME=FAT:FQL_AUDITING_CLIENT_TEMPLATE.FAT&amp;display_string=Audit&amp;VAR:KEY=VGPYRKJKJC&amp;VAR:QUERY=RkZfRUJJVERBX0lCKCdMVE1TJywzOTYwMyk=&amp;WINDOW=FIRST_POPUP&amp;HEIGHT=450&amp;WIDTH=450&amp;START_MA","XIMIZED=FALSE&amp;VAR:CALENDAR=US&amp;VAR:SYMBOL=N0098510&amp;VAR:INDEX=0"}</definedName>
    <definedName name="_6111__FDSAUDITLINK__" localSheetId="6" hidden="1">{"fdsup://directions/FAT Viewer?action=UPDATE&amp;creator=factset&amp;DYN_ARGS=TRUE&amp;DOC_NAME=FAT:FQL_AUDITING_CLIENT_TEMPLATE.FAT&amp;display_string=Audit&amp;VAR:KEY=RCVUFYXKHG&amp;VAR:QUERY=RkZfRUJJVERBX0lCKCdMVE1TJywzOTYwMik=&amp;WINDOW=FIRST_POPUP&amp;HEIGHT=450&amp;WIDTH=450&amp;START_MA","XIMIZED=FALSE&amp;VAR:CALENDAR=US&amp;VAR:SYMBOL=N0098510&amp;VAR:INDEX=0"}</definedName>
    <definedName name="_6111__FDSAUDITLINK__" hidden="1">{"fdsup://directions/FAT Viewer?action=UPDATE&amp;creator=factset&amp;DYN_ARGS=TRUE&amp;DOC_NAME=FAT:FQL_AUDITING_CLIENT_TEMPLATE.FAT&amp;display_string=Audit&amp;VAR:KEY=RCVUFYXKHG&amp;VAR:QUERY=RkZfRUJJVERBX0lCKCdMVE1TJywzOTYwMik=&amp;WINDOW=FIRST_POPUP&amp;HEIGHT=450&amp;WIDTH=450&amp;START_MA","XIMIZED=FALSE&amp;VAR:CALENDAR=US&amp;VAR:SYMBOL=N0098510&amp;VAR:INDEX=0"}</definedName>
    <definedName name="_6112__FDSAUDITLINK__" localSheetId="6" hidden="1">{"fdsup://directions/FAT Viewer?action=UPDATE&amp;creator=factset&amp;DYN_ARGS=TRUE&amp;DOC_NAME=FAT:FQL_AUDITING_CLIENT_TEMPLATE.FAT&amp;display_string=Audit&amp;VAR:KEY=FEPSZYJAFG&amp;VAR:QUERY=RkZfRUJJVERBX0lCKCdMVE1TJywzOTYwMSk=&amp;WINDOW=FIRST_POPUP&amp;HEIGHT=450&amp;WIDTH=450&amp;START_MA","XIMIZED=FALSE&amp;VAR:CALENDAR=US&amp;VAR:SYMBOL=N0098510&amp;VAR:INDEX=0"}</definedName>
    <definedName name="_6112__FDSAUDITLINK__" hidden="1">{"fdsup://directions/FAT Viewer?action=UPDATE&amp;creator=factset&amp;DYN_ARGS=TRUE&amp;DOC_NAME=FAT:FQL_AUDITING_CLIENT_TEMPLATE.FAT&amp;display_string=Audit&amp;VAR:KEY=FEPSZYJAFG&amp;VAR:QUERY=RkZfRUJJVERBX0lCKCdMVE1TJywzOTYwMSk=&amp;WINDOW=FIRST_POPUP&amp;HEIGHT=450&amp;WIDTH=450&amp;START_MA","XIMIZED=FALSE&amp;VAR:CALENDAR=US&amp;VAR:SYMBOL=N0098510&amp;VAR:INDEX=0"}</definedName>
    <definedName name="_6113__FDSAUDITLINK__" localSheetId="6" hidden="1">{"fdsup://directions/FAT Viewer?action=UPDATE&amp;creator=factset&amp;DYN_ARGS=TRUE&amp;DOC_NAME=FAT:FQL_AUDITING_CLIENT_TEMPLATE.FAT&amp;display_string=Audit&amp;VAR:KEY=FWLKFYVOZC&amp;VAR:QUERY=RkZfRUJJVERBX0lCKCdMVE1TJywzOTYwMCk=&amp;WINDOW=FIRST_POPUP&amp;HEIGHT=450&amp;WIDTH=450&amp;START_MA","XIMIZED=FALSE&amp;VAR:CALENDAR=US&amp;VAR:SYMBOL=N0098510&amp;VAR:INDEX=0"}</definedName>
    <definedName name="_6113__FDSAUDITLINK__" hidden="1">{"fdsup://directions/FAT Viewer?action=UPDATE&amp;creator=factset&amp;DYN_ARGS=TRUE&amp;DOC_NAME=FAT:FQL_AUDITING_CLIENT_TEMPLATE.FAT&amp;display_string=Audit&amp;VAR:KEY=FWLKFYVOZC&amp;VAR:QUERY=RkZfRUJJVERBX0lCKCdMVE1TJywzOTYwMCk=&amp;WINDOW=FIRST_POPUP&amp;HEIGHT=450&amp;WIDTH=450&amp;START_MA","XIMIZED=FALSE&amp;VAR:CALENDAR=US&amp;VAR:SYMBOL=N0098510&amp;VAR:INDEX=0"}</definedName>
    <definedName name="_6114__FDSAUDITLINK__" localSheetId="6" hidden="1">{"fdsup://directions/FAT Viewer?action=UPDATE&amp;creator=factset&amp;DYN_ARGS=TRUE&amp;DOC_NAME=FAT:FQL_AUDITING_CLIENT_TEMPLATE.FAT&amp;display_string=Audit&amp;VAR:KEY=FSHYPOZSHK&amp;VAR:QUERY=RkZfRUJJVERBX0lCKCdMVE1TJywzOTU5OSk=&amp;WINDOW=FIRST_POPUP&amp;HEIGHT=450&amp;WIDTH=450&amp;START_MA","XIMIZED=FALSE&amp;VAR:CALENDAR=US&amp;VAR:SYMBOL=N0098510&amp;VAR:INDEX=0"}</definedName>
    <definedName name="_6114__FDSAUDITLINK__" hidden="1">{"fdsup://directions/FAT Viewer?action=UPDATE&amp;creator=factset&amp;DYN_ARGS=TRUE&amp;DOC_NAME=FAT:FQL_AUDITING_CLIENT_TEMPLATE.FAT&amp;display_string=Audit&amp;VAR:KEY=FSHYPOZSHK&amp;VAR:QUERY=RkZfRUJJVERBX0lCKCdMVE1TJywzOTU5OSk=&amp;WINDOW=FIRST_POPUP&amp;HEIGHT=450&amp;WIDTH=450&amp;START_MA","XIMIZED=FALSE&amp;VAR:CALENDAR=US&amp;VAR:SYMBOL=N0098510&amp;VAR:INDEX=0"}</definedName>
    <definedName name="_6115__FDSAUDITLINK__" localSheetId="6" hidden="1">{"fdsup://directions/FAT Viewer?action=UPDATE&amp;creator=factset&amp;DYN_ARGS=TRUE&amp;DOC_NAME=FAT:FQL_AUDITING_CLIENT_TEMPLATE.FAT&amp;display_string=Audit&amp;VAR:KEY=DYBIFYJIXQ&amp;VAR:QUERY=RkZfRUJJVERBX0lCKCdMVE1TJywzOTU5OCk=&amp;WINDOW=FIRST_POPUP&amp;HEIGHT=450&amp;WIDTH=450&amp;START_MA","XIMIZED=FALSE&amp;VAR:CALENDAR=US&amp;VAR:SYMBOL=N0098510&amp;VAR:INDEX=0"}</definedName>
    <definedName name="_6115__FDSAUDITLINK__" hidden="1">{"fdsup://directions/FAT Viewer?action=UPDATE&amp;creator=factset&amp;DYN_ARGS=TRUE&amp;DOC_NAME=FAT:FQL_AUDITING_CLIENT_TEMPLATE.FAT&amp;display_string=Audit&amp;VAR:KEY=DYBIFYJIXQ&amp;VAR:QUERY=RkZfRUJJVERBX0lCKCdMVE1TJywzOTU5OCk=&amp;WINDOW=FIRST_POPUP&amp;HEIGHT=450&amp;WIDTH=450&amp;START_MA","XIMIZED=FALSE&amp;VAR:CALENDAR=US&amp;VAR:SYMBOL=N0098510&amp;VAR:INDEX=0"}</definedName>
    <definedName name="_6116__FDSAUDITLINK__" localSheetId="6" hidden="1">{"fdsup://directions/FAT Viewer?action=UPDATE&amp;creator=factset&amp;DYN_ARGS=TRUE&amp;DOC_NAME=FAT:FQL_AUDITING_CLIENT_TEMPLATE.FAT&amp;display_string=Audit&amp;VAR:KEY=PONGDKTQXY&amp;VAR:QUERY=RkZfRUJJVERBX0lCKCdMVE1TJywzOTU5Nyk=&amp;WINDOW=FIRST_POPUP&amp;HEIGHT=450&amp;WIDTH=450&amp;START_MA","XIMIZED=FALSE&amp;VAR:CALENDAR=US&amp;VAR:SYMBOL=N0098510&amp;VAR:INDEX=0"}</definedName>
    <definedName name="_6116__FDSAUDITLINK__" hidden="1">{"fdsup://directions/FAT Viewer?action=UPDATE&amp;creator=factset&amp;DYN_ARGS=TRUE&amp;DOC_NAME=FAT:FQL_AUDITING_CLIENT_TEMPLATE.FAT&amp;display_string=Audit&amp;VAR:KEY=PONGDKTQXY&amp;VAR:QUERY=RkZfRUJJVERBX0lCKCdMVE1TJywzOTU5Nyk=&amp;WINDOW=FIRST_POPUP&amp;HEIGHT=450&amp;WIDTH=450&amp;START_MA","XIMIZED=FALSE&amp;VAR:CALENDAR=US&amp;VAR:SYMBOL=N0098510&amp;VAR:INDEX=0"}</definedName>
    <definedName name="_6117__FDSAUDITLINK__" localSheetId="6" hidden="1">{"fdsup://directions/FAT Viewer?action=UPDATE&amp;creator=factset&amp;DYN_ARGS=TRUE&amp;DOC_NAME=FAT:FQL_AUDITING_CLIENT_TEMPLATE.FAT&amp;display_string=Audit&amp;VAR:KEY=RMTKXKRONQ&amp;VAR:QUERY=RkZfRUJJVERBX0lCKCdMVE1TJywzOTU5Nik=&amp;WINDOW=FIRST_POPUP&amp;HEIGHT=450&amp;WIDTH=450&amp;START_MA","XIMIZED=FALSE&amp;VAR:CALENDAR=US&amp;VAR:SYMBOL=N0098510&amp;VAR:INDEX=0"}</definedName>
    <definedName name="_6117__FDSAUDITLINK__" hidden="1">{"fdsup://directions/FAT Viewer?action=UPDATE&amp;creator=factset&amp;DYN_ARGS=TRUE&amp;DOC_NAME=FAT:FQL_AUDITING_CLIENT_TEMPLATE.FAT&amp;display_string=Audit&amp;VAR:KEY=RMTKXKRONQ&amp;VAR:QUERY=RkZfRUJJVERBX0lCKCdMVE1TJywzOTU5Nik=&amp;WINDOW=FIRST_POPUP&amp;HEIGHT=450&amp;WIDTH=450&amp;START_MA","XIMIZED=FALSE&amp;VAR:CALENDAR=US&amp;VAR:SYMBOL=N0098510&amp;VAR:INDEX=0"}</definedName>
    <definedName name="_6118__FDSAUDITLINK__" localSheetId="6" hidden="1">{"fdsup://directions/FAT Viewer?action=UPDATE&amp;creator=factset&amp;DYN_ARGS=TRUE&amp;DOC_NAME=FAT:FQL_AUDITING_CLIENT_TEMPLATE.FAT&amp;display_string=Audit&amp;VAR:KEY=ROJSBYTGLM&amp;VAR:QUERY=RkZfRUJJVERBX0lCKCdMVE1TJywzOTU5NSk=&amp;WINDOW=FIRST_POPUP&amp;HEIGHT=450&amp;WIDTH=450&amp;START_MA","XIMIZED=FALSE&amp;VAR:CALENDAR=US&amp;VAR:SYMBOL=N0098510&amp;VAR:INDEX=0"}</definedName>
    <definedName name="_6118__FDSAUDITLINK__" hidden="1">{"fdsup://directions/FAT Viewer?action=UPDATE&amp;creator=factset&amp;DYN_ARGS=TRUE&amp;DOC_NAME=FAT:FQL_AUDITING_CLIENT_TEMPLATE.FAT&amp;display_string=Audit&amp;VAR:KEY=ROJSBYTGLM&amp;VAR:QUERY=RkZfRUJJVERBX0lCKCdMVE1TJywzOTU5NSk=&amp;WINDOW=FIRST_POPUP&amp;HEIGHT=450&amp;WIDTH=450&amp;START_MA","XIMIZED=FALSE&amp;VAR:CALENDAR=US&amp;VAR:SYMBOL=N0098510&amp;VAR:INDEX=0"}</definedName>
    <definedName name="_6119__FDSAUDITLINK__" localSheetId="6" hidden="1">{"fdsup://directions/FAT Viewer?action=UPDATE&amp;creator=factset&amp;DYN_ARGS=TRUE&amp;DOC_NAME=FAT:FQL_AUDITING_CLIENT_TEMPLATE.FAT&amp;display_string=Audit&amp;VAR:KEY=FUPCTWLKFO&amp;VAR:QUERY=RkZfRUJJVERBX0lCKCdMVE1TJywzOTU5NCk=&amp;WINDOW=FIRST_POPUP&amp;HEIGHT=450&amp;WIDTH=450&amp;START_MA","XIMIZED=FALSE&amp;VAR:CALENDAR=US&amp;VAR:SYMBOL=N0098510&amp;VAR:INDEX=0"}</definedName>
    <definedName name="_6119__FDSAUDITLINK__" hidden="1">{"fdsup://directions/FAT Viewer?action=UPDATE&amp;creator=factset&amp;DYN_ARGS=TRUE&amp;DOC_NAME=FAT:FQL_AUDITING_CLIENT_TEMPLATE.FAT&amp;display_string=Audit&amp;VAR:KEY=FUPCTWLKFO&amp;VAR:QUERY=RkZfRUJJVERBX0lCKCdMVE1TJywzOTU5NCk=&amp;WINDOW=FIRST_POPUP&amp;HEIGHT=450&amp;WIDTH=450&amp;START_MA","XIMIZED=FALSE&amp;VAR:CALENDAR=US&amp;VAR:SYMBOL=N0098510&amp;VAR:INDEX=0"}</definedName>
    <definedName name="_612__FDSAUDITLINK__" localSheetId="6" hidden="1">{"fdsup://directions/FAT%20Viewer?VAR:PED=LTM&amp;VAR:AUDIT_MODE=SUMMARY&amp;VAR:PERIOD=FIXED&amp;VAR:AUDIT_ID=00000117&amp;VAR:DATE=20080619&amp;action=UPDATE&amp;creator=factset&amp;DOC_NAME=FAT:FMA_audit_SUMMARY.fat&amp;DISPLAY_STRING=Display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2__FDSAUDITLINK__" hidden="1">{"fdsup://directions/FAT%20Viewer?VAR:PED=LTM&amp;VAR:AUDIT_MODE=SUMMARY&amp;VAR:PERIOD=FIXED&amp;VAR:AUDIT_ID=00000117&amp;VAR:DATE=20080619&amp;action=UPDATE&amp;creator=factset&amp;DOC_NAME=FAT:FMA_audit_SUMMARY.fat&amp;DISPLAY_STRING=Display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20__FDSAUDITLINK__" localSheetId="6" hidden="1">{"fdsup://directions/FAT Viewer?action=UPDATE&amp;creator=factset&amp;DYN_ARGS=TRUE&amp;DOC_NAME=FAT:FQL_AUDITING_CLIENT_TEMPLATE.FAT&amp;display_string=Audit&amp;VAR:KEY=TGVWFUNMFC&amp;VAR:QUERY=RkZfRUJJVERBX0lCKCdMVE1TJywzOTU5Myk=&amp;WINDOW=FIRST_POPUP&amp;HEIGHT=450&amp;WIDTH=450&amp;START_MA","XIMIZED=FALSE&amp;VAR:CALENDAR=US&amp;VAR:SYMBOL=N0098510&amp;VAR:INDEX=0"}</definedName>
    <definedName name="_6120__FDSAUDITLINK__" hidden="1">{"fdsup://directions/FAT Viewer?action=UPDATE&amp;creator=factset&amp;DYN_ARGS=TRUE&amp;DOC_NAME=FAT:FQL_AUDITING_CLIENT_TEMPLATE.FAT&amp;display_string=Audit&amp;VAR:KEY=TGVWFUNMFC&amp;VAR:QUERY=RkZfRUJJVERBX0lCKCdMVE1TJywzOTU5Myk=&amp;WINDOW=FIRST_POPUP&amp;HEIGHT=450&amp;WIDTH=450&amp;START_MA","XIMIZED=FALSE&amp;VAR:CALENDAR=US&amp;VAR:SYMBOL=N0098510&amp;VAR:INDEX=0"}</definedName>
    <definedName name="_6121__FDSAUDITLINK__" localSheetId="6" hidden="1">{"fdsup://directions/FAT Viewer?action=UPDATE&amp;creator=factset&amp;DYN_ARGS=TRUE&amp;DOC_NAME=FAT:FQL_AUDITING_CLIENT_TEMPLATE.FAT&amp;display_string=Audit&amp;VAR:KEY=PIPUFYXKBM&amp;VAR:QUERY=RkZfRUJJVERBX0lCKCdMVE1TJywzOTU5Mik=&amp;WINDOW=FIRST_POPUP&amp;HEIGHT=450&amp;WIDTH=450&amp;START_MA","XIMIZED=FALSE&amp;VAR:CALENDAR=US&amp;VAR:SYMBOL=N0098510&amp;VAR:INDEX=0"}</definedName>
    <definedName name="_6121__FDSAUDITLINK__" hidden="1">{"fdsup://directions/FAT Viewer?action=UPDATE&amp;creator=factset&amp;DYN_ARGS=TRUE&amp;DOC_NAME=FAT:FQL_AUDITING_CLIENT_TEMPLATE.FAT&amp;display_string=Audit&amp;VAR:KEY=PIPUFYXKBM&amp;VAR:QUERY=RkZfRUJJVERBX0lCKCdMVE1TJywzOTU5Mik=&amp;WINDOW=FIRST_POPUP&amp;HEIGHT=450&amp;WIDTH=450&amp;START_MA","XIMIZED=FALSE&amp;VAR:CALENDAR=US&amp;VAR:SYMBOL=N0098510&amp;VAR:INDEX=0"}</definedName>
    <definedName name="_6122__FDSAUDITLINK__" localSheetId="6" hidden="1">{"fdsup://directions/FAT Viewer?action=UPDATE&amp;creator=factset&amp;DYN_ARGS=TRUE&amp;DOC_NAME=FAT:FQL_AUDITING_CLIENT_TEMPLATE.FAT&amp;display_string=Audit&amp;VAR:KEY=TYBABETSLE&amp;VAR:QUERY=RkZfRUJJVERBX0lCKCdMVE1TJywzOTU5MSk=&amp;WINDOW=FIRST_POPUP&amp;HEIGHT=450&amp;WIDTH=450&amp;START_MA","XIMIZED=FALSE&amp;VAR:CALENDAR=US&amp;VAR:SYMBOL=N0098510&amp;VAR:INDEX=0"}</definedName>
    <definedName name="_6122__FDSAUDITLINK__" hidden="1">{"fdsup://directions/FAT Viewer?action=UPDATE&amp;creator=factset&amp;DYN_ARGS=TRUE&amp;DOC_NAME=FAT:FQL_AUDITING_CLIENT_TEMPLATE.FAT&amp;display_string=Audit&amp;VAR:KEY=TYBABETSLE&amp;VAR:QUERY=RkZfRUJJVERBX0lCKCdMVE1TJywzOTU5MSk=&amp;WINDOW=FIRST_POPUP&amp;HEIGHT=450&amp;WIDTH=450&amp;START_MA","XIMIZED=FALSE&amp;VAR:CALENDAR=US&amp;VAR:SYMBOL=N0098510&amp;VAR:INDEX=0"}</definedName>
    <definedName name="_6123__FDSAUDITLINK__" localSheetId="6" hidden="1">{"fdsup://directions/FAT Viewer?action=UPDATE&amp;creator=factset&amp;DYN_ARGS=TRUE&amp;DOC_NAME=FAT:FQL_AUDITING_CLIENT_TEMPLATE.FAT&amp;display_string=Audit&amp;VAR:KEY=RWNCROXQVC&amp;VAR:QUERY=RkZfRUJJVERBX0lCKCdMVE1TJywzOTU5MCk=&amp;WINDOW=FIRST_POPUP&amp;HEIGHT=450&amp;WIDTH=450&amp;START_MA","XIMIZED=FALSE&amp;VAR:CALENDAR=US&amp;VAR:SYMBOL=N0098510&amp;VAR:INDEX=0"}</definedName>
    <definedName name="_6123__FDSAUDITLINK__" hidden="1">{"fdsup://directions/FAT Viewer?action=UPDATE&amp;creator=factset&amp;DYN_ARGS=TRUE&amp;DOC_NAME=FAT:FQL_AUDITING_CLIENT_TEMPLATE.FAT&amp;display_string=Audit&amp;VAR:KEY=RWNCROXQVC&amp;VAR:QUERY=RkZfRUJJVERBX0lCKCdMVE1TJywzOTU5MCk=&amp;WINDOW=FIRST_POPUP&amp;HEIGHT=450&amp;WIDTH=450&amp;START_MA","XIMIZED=FALSE&amp;VAR:CALENDAR=US&amp;VAR:SYMBOL=N0098510&amp;VAR:INDEX=0"}</definedName>
    <definedName name="_6124__FDSAUDITLINK__" localSheetId="6" hidden="1">{"fdsup://directions/FAT Viewer?action=UPDATE&amp;creator=factset&amp;DYN_ARGS=TRUE&amp;DOC_NAME=FAT:FQL_AUDITING_CLIENT_TEMPLATE.FAT&amp;display_string=Audit&amp;VAR:KEY=ZQHYLOPSZI&amp;VAR:QUERY=RkZfRUJJVERBX0lCKCdMVE1TJywzOTU4OSk=&amp;WINDOW=FIRST_POPUP&amp;HEIGHT=450&amp;WIDTH=450&amp;START_MA","XIMIZED=FALSE&amp;VAR:CALENDAR=US&amp;VAR:SYMBOL=N0098510&amp;VAR:INDEX=0"}</definedName>
    <definedName name="_6124__FDSAUDITLINK__" hidden="1">{"fdsup://directions/FAT Viewer?action=UPDATE&amp;creator=factset&amp;DYN_ARGS=TRUE&amp;DOC_NAME=FAT:FQL_AUDITING_CLIENT_TEMPLATE.FAT&amp;display_string=Audit&amp;VAR:KEY=ZQHYLOPSZI&amp;VAR:QUERY=RkZfRUJJVERBX0lCKCdMVE1TJywzOTU4OSk=&amp;WINDOW=FIRST_POPUP&amp;HEIGHT=450&amp;WIDTH=450&amp;START_MA","XIMIZED=FALSE&amp;VAR:CALENDAR=US&amp;VAR:SYMBOL=N0098510&amp;VAR:INDEX=0"}</definedName>
    <definedName name="_6125__FDSAUDITLINK__" localSheetId="6" hidden="1">{"fdsup://directions/FAT Viewer?action=UPDATE&amp;creator=factset&amp;DYN_ARGS=TRUE&amp;DOC_NAME=FAT:FQL_AUDITING_CLIENT_TEMPLATE.FAT&amp;display_string=Audit&amp;VAR:KEY=RAVUBUXSNA&amp;VAR:QUERY=RkZfRUJJVERBX0lCKCdMVE1TJywzOTU4OCk=&amp;WINDOW=FIRST_POPUP&amp;HEIGHT=450&amp;WIDTH=450&amp;START_MA","XIMIZED=FALSE&amp;VAR:CALENDAR=US&amp;VAR:SYMBOL=N0098510&amp;VAR:INDEX=0"}</definedName>
    <definedName name="_6125__FDSAUDITLINK__" hidden="1">{"fdsup://directions/FAT Viewer?action=UPDATE&amp;creator=factset&amp;DYN_ARGS=TRUE&amp;DOC_NAME=FAT:FQL_AUDITING_CLIENT_TEMPLATE.FAT&amp;display_string=Audit&amp;VAR:KEY=RAVUBUXSNA&amp;VAR:QUERY=RkZfRUJJVERBX0lCKCdMVE1TJywzOTU4OCk=&amp;WINDOW=FIRST_POPUP&amp;HEIGHT=450&amp;WIDTH=450&amp;START_MA","XIMIZED=FALSE&amp;VAR:CALENDAR=US&amp;VAR:SYMBOL=N0098510&amp;VAR:INDEX=0"}</definedName>
    <definedName name="_6126__FDSAUDITLINK__" localSheetId="6" hidden="1">{"fdsup://directions/FAT Viewer?action=UPDATE&amp;creator=factset&amp;DYN_ARGS=TRUE&amp;DOC_NAME=FAT:FQL_AUDITING_CLIENT_TEMPLATE.FAT&amp;display_string=Audit&amp;VAR:KEY=FKVURKTEVW&amp;VAR:QUERY=RkZfRUJJVERBX0lCKCdMVE1TJywzOTU4Nyk=&amp;WINDOW=FIRST_POPUP&amp;HEIGHT=450&amp;WIDTH=450&amp;START_MA","XIMIZED=FALSE&amp;VAR:CALENDAR=US&amp;VAR:SYMBOL=N0098510&amp;VAR:INDEX=0"}</definedName>
    <definedName name="_6126__FDSAUDITLINK__" hidden="1">{"fdsup://directions/FAT Viewer?action=UPDATE&amp;creator=factset&amp;DYN_ARGS=TRUE&amp;DOC_NAME=FAT:FQL_AUDITING_CLIENT_TEMPLATE.FAT&amp;display_string=Audit&amp;VAR:KEY=FKVURKTEVW&amp;VAR:QUERY=RkZfRUJJVERBX0lCKCdMVE1TJywzOTU4Nyk=&amp;WINDOW=FIRST_POPUP&amp;HEIGHT=450&amp;WIDTH=450&amp;START_MA","XIMIZED=FALSE&amp;VAR:CALENDAR=US&amp;VAR:SYMBOL=N0098510&amp;VAR:INDEX=0"}</definedName>
    <definedName name="_6127__FDSAUDITLINK__" localSheetId="6" hidden="1">{"fdsup://directions/FAT Viewer?action=UPDATE&amp;creator=factset&amp;DYN_ARGS=TRUE&amp;DOC_NAME=FAT:FQL_AUDITING_CLIENT_TEMPLATE.FAT&amp;display_string=Audit&amp;VAR:KEY=TIPYRALCJQ&amp;VAR:QUERY=RkZfRUJJVERBX0lCKCdMVE1TJywzOTU4Nik=&amp;WINDOW=FIRST_POPUP&amp;HEIGHT=450&amp;WIDTH=450&amp;START_MA","XIMIZED=FALSE&amp;VAR:CALENDAR=US&amp;VAR:SYMBOL=N0098510&amp;VAR:INDEX=0"}</definedName>
    <definedName name="_6127__FDSAUDITLINK__" hidden="1">{"fdsup://directions/FAT Viewer?action=UPDATE&amp;creator=factset&amp;DYN_ARGS=TRUE&amp;DOC_NAME=FAT:FQL_AUDITING_CLIENT_TEMPLATE.FAT&amp;display_string=Audit&amp;VAR:KEY=TIPYRALCJQ&amp;VAR:QUERY=RkZfRUJJVERBX0lCKCdMVE1TJywzOTU4Nik=&amp;WINDOW=FIRST_POPUP&amp;HEIGHT=450&amp;WIDTH=450&amp;START_MA","XIMIZED=FALSE&amp;VAR:CALENDAR=US&amp;VAR:SYMBOL=N0098510&amp;VAR:INDEX=0"}</definedName>
    <definedName name="_6128__FDSAUDITLINK__" localSheetId="6" hidden="1">{"fdsup://directions/FAT Viewer?action=UPDATE&amp;creator=factset&amp;DYN_ARGS=TRUE&amp;DOC_NAME=FAT:FQL_AUDITING_CLIENT_TEMPLATE.FAT&amp;display_string=Audit&amp;VAR:KEY=ZSPWXEBMLC&amp;VAR:QUERY=RkZfRUJJVERBX0lCKCdMVE1TJywzOTU4NSk=&amp;WINDOW=FIRST_POPUP&amp;HEIGHT=450&amp;WIDTH=450&amp;START_MA","XIMIZED=FALSE&amp;VAR:CALENDAR=US&amp;VAR:SYMBOL=N0098510&amp;VAR:INDEX=0"}</definedName>
    <definedName name="_6128__FDSAUDITLINK__" hidden="1">{"fdsup://directions/FAT Viewer?action=UPDATE&amp;creator=factset&amp;DYN_ARGS=TRUE&amp;DOC_NAME=FAT:FQL_AUDITING_CLIENT_TEMPLATE.FAT&amp;display_string=Audit&amp;VAR:KEY=ZSPWXEBMLC&amp;VAR:QUERY=RkZfRUJJVERBX0lCKCdMVE1TJywzOTU4NSk=&amp;WINDOW=FIRST_POPUP&amp;HEIGHT=450&amp;WIDTH=450&amp;START_MA","XIMIZED=FALSE&amp;VAR:CALENDAR=US&amp;VAR:SYMBOL=N0098510&amp;VAR:INDEX=0"}</definedName>
    <definedName name="_6129__FDSAUDITLINK__" localSheetId="6" hidden="1">{"fdsup://directions/FAT Viewer?action=UPDATE&amp;creator=factset&amp;DYN_ARGS=TRUE&amp;DOC_NAME=FAT:FQL_AUDITING_CLIENT_TEMPLATE.FAT&amp;display_string=Audit&amp;VAR:KEY=DSDOPOJSHO&amp;VAR:QUERY=RkZfRUJJVERBX0lCKCdMVE1TJywzOTU4NCk=&amp;WINDOW=FIRST_POPUP&amp;HEIGHT=450&amp;WIDTH=450&amp;START_MA","XIMIZED=FALSE&amp;VAR:CALENDAR=US&amp;VAR:SYMBOL=N0098510&amp;VAR:INDEX=0"}</definedName>
    <definedName name="_6129__FDSAUDITLINK__" hidden="1">{"fdsup://directions/FAT Viewer?action=UPDATE&amp;creator=factset&amp;DYN_ARGS=TRUE&amp;DOC_NAME=FAT:FQL_AUDITING_CLIENT_TEMPLATE.FAT&amp;display_string=Audit&amp;VAR:KEY=DSDOPOJSHO&amp;VAR:QUERY=RkZfRUJJVERBX0lCKCdMVE1TJywzOTU4NCk=&amp;WINDOW=FIRST_POPUP&amp;HEIGHT=450&amp;WIDTH=450&amp;START_MA","XIMIZED=FALSE&amp;VAR:CALENDAR=US&amp;VAR:SYMBOL=N0098510&amp;VAR:INDEX=0"}</definedName>
    <definedName name="_613__FDSAUDITLINK__" localSheetId="6" hidden="1">{"fdsup://directions/FAT%20Viewer?VAR:PED=LTM&amp;VAR:AUDIT_MODE=SUMMARY&amp;VAR:PERIOD=FIXED&amp;VAR:AUDIT_ID=00000117&amp;VAR:DATE=20080618&amp;action=UPDATE&amp;creator=factset&amp;DOC_NAME=FAT:FMA_audit_SUMMARY.fat&amp;DISPLAY_STRING=Display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3__FDSAUDITLINK__" hidden="1">{"fdsup://directions/FAT%20Viewer?VAR:PED=LTM&amp;VAR:AUDIT_MODE=SUMMARY&amp;VAR:PERIOD=FIXED&amp;VAR:AUDIT_ID=00000117&amp;VAR:DATE=20080618&amp;action=UPDATE&amp;creator=factset&amp;DOC_NAME=FAT:FMA_audit_SUMMARY.fat&amp;DISPLAY_STRING=Display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30__FDSAUDITLINK__" localSheetId="6" hidden="1">{"fdsup://directions/FAT Viewer?action=UPDATE&amp;creator=factset&amp;DYN_ARGS=TRUE&amp;DOC_NAME=FAT:FQL_AUDITING_CLIENT_TEMPLATE.FAT&amp;display_string=Audit&amp;VAR:KEY=HOVCFITOXC&amp;VAR:QUERY=RkZfRUJJVERBX0lCKCdMVE1TJywzOTU4Myk=&amp;WINDOW=FIRST_POPUP&amp;HEIGHT=450&amp;WIDTH=450&amp;START_MA","XIMIZED=FALSE&amp;VAR:CALENDAR=US&amp;VAR:SYMBOL=N0098510&amp;VAR:INDEX=0"}</definedName>
    <definedName name="_6130__FDSAUDITLINK__" hidden="1">{"fdsup://directions/FAT Viewer?action=UPDATE&amp;creator=factset&amp;DYN_ARGS=TRUE&amp;DOC_NAME=FAT:FQL_AUDITING_CLIENT_TEMPLATE.FAT&amp;display_string=Audit&amp;VAR:KEY=HOVCFITOXC&amp;VAR:QUERY=RkZfRUJJVERBX0lCKCdMVE1TJywzOTU4Myk=&amp;WINDOW=FIRST_POPUP&amp;HEIGHT=450&amp;WIDTH=450&amp;START_MA","XIMIZED=FALSE&amp;VAR:CALENDAR=US&amp;VAR:SYMBOL=N0098510&amp;VAR:INDEX=0"}</definedName>
    <definedName name="_6131__FDSAUDITLINK__" localSheetId="6" hidden="1">{"fdsup://directions/FAT Viewer?action=UPDATE&amp;creator=factset&amp;DYN_ARGS=TRUE&amp;DOC_NAME=FAT:FQL_AUDITING_CLIENT_TEMPLATE.FAT&amp;display_string=Audit&amp;VAR:KEY=VMFMROBUHQ&amp;VAR:QUERY=RkZfRUJJVERBX0lCKCdMVE1TJywzOTU4Mik=&amp;WINDOW=FIRST_POPUP&amp;HEIGHT=450&amp;WIDTH=450&amp;START_MA","XIMIZED=FALSE&amp;VAR:CALENDAR=US&amp;VAR:SYMBOL=N0098510&amp;VAR:INDEX=0"}</definedName>
    <definedName name="_6131__FDSAUDITLINK__" hidden="1">{"fdsup://directions/FAT Viewer?action=UPDATE&amp;creator=factset&amp;DYN_ARGS=TRUE&amp;DOC_NAME=FAT:FQL_AUDITING_CLIENT_TEMPLATE.FAT&amp;display_string=Audit&amp;VAR:KEY=VMFMROBUHQ&amp;VAR:QUERY=RkZfRUJJVERBX0lCKCdMVE1TJywzOTU4Mik=&amp;WINDOW=FIRST_POPUP&amp;HEIGHT=450&amp;WIDTH=450&amp;START_MA","XIMIZED=FALSE&amp;VAR:CALENDAR=US&amp;VAR:SYMBOL=N0098510&amp;VAR:INDEX=0"}</definedName>
    <definedName name="_6132__FDSAUDITLINK__" localSheetId="6" hidden="1">{"fdsup://directions/FAT Viewer?action=UPDATE&amp;creator=factset&amp;DYN_ARGS=TRUE&amp;DOC_NAME=FAT:FQL_AUDITING_CLIENT_TEMPLATE.FAT&amp;display_string=Audit&amp;VAR:KEY=JMXOJGJMXY&amp;VAR:QUERY=RkZfRUJJVERBX0lCKCdMVE1TJywzOTU4MSk=&amp;WINDOW=FIRST_POPUP&amp;HEIGHT=450&amp;WIDTH=450&amp;START_MA","XIMIZED=FALSE&amp;VAR:CALENDAR=US&amp;VAR:SYMBOL=N0098510&amp;VAR:INDEX=0"}</definedName>
    <definedName name="_6132__FDSAUDITLINK__" hidden="1">{"fdsup://directions/FAT Viewer?action=UPDATE&amp;creator=factset&amp;DYN_ARGS=TRUE&amp;DOC_NAME=FAT:FQL_AUDITING_CLIENT_TEMPLATE.FAT&amp;display_string=Audit&amp;VAR:KEY=JMXOJGJMXY&amp;VAR:QUERY=RkZfRUJJVERBX0lCKCdMVE1TJywzOTU4MSk=&amp;WINDOW=FIRST_POPUP&amp;HEIGHT=450&amp;WIDTH=450&amp;START_MA","XIMIZED=FALSE&amp;VAR:CALENDAR=US&amp;VAR:SYMBOL=N0098510&amp;VAR:INDEX=0"}</definedName>
    <definedName name="_6133__FDSAUDITLINK__" localSheetId="6" hidden="1">{"fdsup://directions/FAT Viewer?action=UPDATE&amp;creator=factset&amp;DYN_ARGS=TRUE&amp;DOC_NAME=FAT:FQL_AUDITING_CLIENT_TEMPLATE.FAT&amp;display_string=Audit&amp;VAR:KEY=BKDCZMZSPC&amp;VAR:QUERY=RkZfRUJJVERBX0lCKCdMVE1TJywzOTU4MCk=&amp;WINDOW=FIRST_POPUP&amp;HEIGHT=450&amp;WIDTH=450&amp;START_MA","XIMIZED=FALSE&amp;VAR:CALENDAR=US&amp;VAR:SYMBOL=N0098510&amp;VAR:INDEX=0"}</definedName>
    <definedName name="_6133__FDSAUDITLINK__" hidden="1">{"fdsup://directions/FAT Viewer?action=UPDATE&amp;creator=factset&amp;DYN_ARGS=TRUE&amp;DOC_NAME=FAT:FQL_AUDITING_CLIENT_TEMPLATE.FAT&amp;display_string=Audit&amp;VAR:KEY=BKDCZMZSPC&amp;VAR:QUERY=RkZfRUJJVERBX0lCKCdMVE1TJywzOTU4MCk=&amp;WINDOW=FIRST_POPUP&amp;HEIGHT=450&amp;WIDTH=450&amp;START_MA","XIMIZED=FALSE&amp;VAR:CALENDAR=US&amp;VAR:SYMBOL=N0098510&amp;VAR:INDEX=0"}</definedName>
    <definedName name="_6134__FDSAUDITLINK__" localSheetId="6" hidden="1">{"fdsup://directions/FAT Viewer?action=UPDATE&amp;creator=factset&amp;DYN_ARGS=TRUE&amp;DOC_NAME=FAT:FQL_AUDITING_CLIENT_TEMPLATE.FAT&amp;display_string=Audit&amp;VAR:KEY=BQNSBKXQJG&amp;VAR:QUERY=RkZfRUJJVERBX0lCKCdMVE1TJywzOTU3OSk=&amp;WINDOW=FIRST_POPUP&amp;HEIGHT=450&amp;WIDTH=450&amp;START_MA","XIMIZED=FALSE&amp;VAR:CALENDAR=US&amp;VAR:SYMBOL=N0098510&amp;VAR:INDEX=0"}</definedName>
    <definedName name="_6134__FDSAUDITLINK__" hidden="1">{"fdsup://directions/FAT Viewer?action=UPDATE&amp;creator=factset&amp;DYN_ARGS=TRUE&amp;DOC_NAME=FAT:FQL_AUDITING_CLIENT_TEMPLATE.FAT&amp;display_string=Audit&amp;VAR:KEY=BQNSBKXQJG&amp;VAR:QUERY=RkZfRUJJVERBX0lCKCdMVE1TJywzOTU3OSk=&amp;WINDOW=FIRST_POPUP&amp;HEIGHT=450&amp;WIDTH=450&amp;START_MA","XIMIZED=FALSE&amp;VAR:CALENDAR=US&amp;VAR:SYMBOL=N0098510&amp;VAR:INDEX=0"}</definedName>
    <definedName name="_6135__FDSAUDITLINK__" localSheetId="6" hidden="1">{"fdsup://directions/FAT Viewer?action=UPDATE&amp;creator=factset&amp;DYN_ARGS=TRUE&amp;DOC_NAME=FAT:FQL_AUDITING_CLIENT_TEMPLATE.FAT&amp;display_string=Audit&amp;VAR:KEY=LMHOXOZGBO&amp;VAR:QUERY=RkZfRUJJVERBX0lCKCdMVE1TJywzOTU3OCk=&amp;WINDOW=FIRST_POPUP&amp;HEIGHT=450&amp;WIDTH=450&amp;START_MA","XIMIZED=FALSE&amp;VAR:CALENDAR=US&amp;VAR:SYMBOL=N0098510&amp;VAR:INDEX=0"}</definedName>
    <definedName name="_6135__FDSAUDITLINK__" hidden="1">{"fdsup://directions/FAT Viewer?action=UPDATE&amp;creator=factset&amp;DYN_ARGS=TRUE&amp;DOC_NAME=FAT:FQL_AUDITING_CLIENT_TEMPLATE.FAT&amp;display_string=Audit&amp;VAR:KEY=LMHOXOZGBO&amp;VAR:QUERY=RkZfRUJJVERBX0lCKCdMVE1TJywzOTU3OCk=&amp;WINDOW=FIRST_POPUP&amp;HEIGHT=450&amp;WIDTH=450&amp;START_MA","XIMIZED=FALSE&amp;VAR:CALENDAR=US&amp;VAR:SYMBOL=N0098510&amp;VAR:INDEX=0"}</definedName>
    <definedName name="_6136__FDSAUDITLINK__" localSheetId="6" hidden="1">{"fdsup://directions/FAT Viewer?action=UPDATE&amp;creator=factset&amp;DYN_ARGS=TRUE&amp;DOC_NAME=FAT:FQL_AUDITING_CLIENT_TEMPLATE.FAT&amp;display_string=Audit&amp;VAR:KEY=VYRATYBQZM&amp;VAR:QUERY=RkZfRUJJVERBX0lCKCdMVE1TJywzOTU3Nyk=&amp;WINDOW=FIRST_POPUP&amp;HEIGHT=450&amp;WIDTH=450&amp;START_MA","XIMIZED=FALSE&amp;VAR:CALENDAR=US&amp;VAR:SYMBOL=N0098510&amp;VAR:INDEX=0"}</definedName>
    <definedName name="_6136__FDSAUDITLINK__" hidden="1">{"fdsup://directions/FAT Viewer?action=UPDATE&amp;creator=factset&amp;DYN_ARGS=TRUE&amp;DOC_NAME=FAT:FQL_AUDITING_CLIENT_TEMPLATE.FAT&amp;display_string=Audit&amp;VAR:KEY=VYRATYBQZM&amp;VAR:QUERY=RkZfRUJJVERBX0lCKCdMVE1TJywzOTU3Nyk=&amp;WINDOW=FIRST_POPUP&amp;HEIGHT=450&amp;WIDTH=450&amp;START_MA","XIMIZED=FALSE&amp;VAR:CALENDAR=US&amp;VAR:SYMBOL=N0098510&amp;VAR:INDEX=0"}</definedName>
    <definedName name="_6137__FDSAUDITLINK__" localSheetId="6" hidden="1">{"fdsup://directions/FAT Viewer?action=UPDATE&amp;creator=factset&amp;DYN_ARGS=TRUE&amp;DOC_NAME=FAT:FQL_AUDITING_CLIENT_TEMPLATE.FAT&amp;display_string=Audit&amp;VAR:KEY=TUVMPOTGFK&amp;VAR:QUERY=RkZfRUJJVERBX0lCKCdMVE1TJywzOTU3Nik=&amp;WINDOW=FIRST_POPUP&amp;HEIGHT=450&amp;WIDTH=450&amp;START_MA","XIMIZED=FALSE&amp;VAR:CALENDAR=US&amp;VAR:SYMBOL=N0098510&amp;VAR:INDEX=0"}</definedName>
    <definedName name="_6137__FDSAUDITLINK__" hidden="1">{"fdsup://directions/FAT Viewer?action=UPDATE&amp;creator=factset&amp;DYN_ARGS=TRUE&amp;DOC_NAME=FAT:FQL_AUDITING_CLIENT_TEMPLATE.FAT&amp;display_string=Audit&amp;VAR:KEY=TUVMPOTGFK&amp;VAR:QUERY=RkZfRUJJVERBX0lCKCdMVE1TJywzOTU3Nik=&amp;WINDOW=FIRST_POPUP&amp;HEIGHT=450&amp;WIDTH=450&amp;START_MA","XIMIZED=FALSE&amp;VAR:CALENDAR=US&amp;VAR:SYMBOL=N0098510&amp;VAR:INDEX=0"}</definedName>
    <definedName name="_6138__FDSAUDITLINK__" localSheetId="6" hidden="1">{"fdsup://directions/FAT Viewer?action=UPDATE&amp;creator=factset&amp;DYN_ARGS=TRUE&amp;DOC_NAME=FAT:FQL_AUDITING_CLIENT_TEMPLATE.FAT&amp;display_string=Audit&amp;VAR:KEY=JMRORGZUTI&amp;VAR:QUERY=RkZfRUJJVERBX0lCKCdMVE1TJywzOTU3NSk=&amp;WINDOW=FIRST_POPUP&amp;HEIGHT=450&amp;WIDTH=450&amp;START_MA","XIMIZED=FALSE&amp;VAR:CALENDAR=US&amp;VAR:SYMBOL=N0098510&amp;VAR:INDEX=0"}</definedName>
    <definedName name="_6138__FDSAUDITLINK__" hidden="1">{"fdsup://directions/FAT Viewer?action=UPDATE&amp;creator=factset&amp;DYN_ARGS=TRUE&amp;DOC_NAME=FAT:FQL_AUDITING_CLIENT_TEMPLATE.FAT&amp;display_string=Audit&amp;VAR:KEY=JMRORGZUTI&amp;VAR:QUERY=RkZfRUJJVERBX0lCKCdMVE1TJywzOTU3NSk=&amp;WINDOW=FIRST_POPUP&amp;HEIGHT=450&amp;WIDTH=450&amp;START_MA","XIMIZED=FALSE&amp;VAR:CALENDAR=US&amp;VAR:SYMBOL=N0098510&amp;VAR:INDEX=0"}</definedName>
    <definedName name="_6139__FDSAUDITLINK__" localSheetId="6" hidden="1">{"fdsup://directions/FAT Viewer?action=UPDATE&amp;creator=factset&amp;DYN_ARGS=TRUE&amp;DOC_NAME=FAT:FQL_AUDITING_CLIENT_TEMPLATE.FAT&amp;display_string=Audit&amp;VAR:KEY=PGFODARYPC&amp;VAR:QUERY=RkZfRUJJVERBX0lCKCdMVE1TJywzOTU3NCk=&amp;WINDOW=FIRST_POPUP&amp;HEIGHT=450&amp;WIDTH=450&amp;START_MA","XIMIZED=FALSE&amp;VAR:CALENDAR=US&amp;VAR:SYMBOL=N0098510&amp;VAR:INDEX=0"}</definedName>
    <definedName name="_6139__FDSAUDITLINK__" hidden="1">{"fdsup://directions/FAT Viewer?action=UPDATE&amp;creator=factset&amp;DYN_ARGS=TRUE&amp;DOC_NAME=FAT:FQL_AUDITING_CLIENT_TEMPLATE.FAT&amp;display_string=Audit&amp;VAR:KEY=PGFODARYPC&amp;VAR:QUERY=RkZfRUJJVERBX0lCKCdMVE1TJywzOTU3NCk=&amp;WINDOW=FIRST_POPUP&amp;HEIGHT=450&amp;WIDTH=450&amp;START_MA","XIMIZED=FALSE&amp;VAR:CALENDAR=US&amp;VAR:SYMBOL=N0098510&amp;VAR:INDEX=0"}</definedName>
    <definedName name="_614__FDSAUDITLINK__" localSheetId="6" hidden="1">{"fdsup://directions/FAT%20Viewer?VAR:PED=LTM&amp;VAR:AUDIT_MODE=SUMMARY&amp;VAR:PERIOD=FIXED&amp;VAR:AUDIT_ID=00000117&amp;VAR:DATE=20080617&amp;action=UPDATE&amp;creator=factset&amp;DOC_NAME=FAT:FMA_audit_SUMMARY.fat&amp;DISPLAY_STRING=Display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4__FDSAUDITLINK__" hidden="1">{"fdsup://directions/FAT%20Viewer?VAR:PED=LTM&amp;VAR:AUDIT_MODE=SUMMARY&amp;VAR:PERIOD=FIXED&amp;VAR:AUDIT_ID=00000117&amp;VAR:DATE=20080617&amp;action=UPDATE&amp;creator=factset&amp;DOC_NAME=FAT:FMA_audit_SUMMARY.fat&amp;DISPLAY_STRING=Display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40__FDSAUDITLINK__" localSheetId="6" hidden="1">{"fdsup://directions/FAT Viewer?action=UPDATE&amp;creator=factset&amp;DYN_ARGS=TRUE&amp;DOC_NAME=FAT:FQL_AUDITING_CLIENT_TEMPLATE.FAT&amp;display_string=Audit&amp;VAR:KEY=VMXMXWRMXU&amp;VAR:QUERY=RkZfRUJJVERBX0lCKCdMVE1TJywzOTU3Myk=&amp;WINDOW=FIRST_POPUP&amp;HEIGHT=450&amp;WIDTH=450&amp;START_MA","XIMIZED=FALSE&amp;VAR:CALENDAR=US&amp;VAR:SYMBOL=N0098510&amp;VAR:INDEX=0"}</definedName>
    <definedName name="_6140__FDSAUDITLINK__" hidden="1">{"fdsup://directions/FAT Viewer?action=UPDATE&amp;creator=factset&amp;DYN_ARGS=TRUE&amp;DOC_NAME=FAT:FQL_AUDITING_CLIENT_TEMPLATE.FAT&amp;display_string=Audit&amp;VAR:KEY=VMXMXWRMXU&amp;VAR:QUERY=RkZfRUJJVERBX0lCKCdMVE1TJywzOTU3Myk=&amp;WINDOW=FIRST_POPUP&amp;HEIGHT=450&amp;WIDTH=450&amp;START_MA","XIMIZED=FALSE&amp;VAR:CALENDAR=US&amp;VAR:SYMBOL=N0098510&amp;VAR:INDEX=0"}</definedName>
    <definedName name="_6141__FDSAUDITLINK__" localSheetId="6" hidden="1">{"fdsup://directions/FAT Viewer?action=UPDATE&amp;creator=factset&amp;DYN_ARGS=TRUE&amp;DOC_NAME=FAT:FQL_AUDITING_CLIENT_TEMPLATE.FAT&amp;display_string=Audit&amp;VAR:KEY=LOHUFIDSVU&amp;VAR:QUERY=RkZfRUJJVERBX0lCKCdMVE1TJywzOTU3Mik=&amp;WINDOW=FIRST_POPUP&amp;HEIGHT=450&amp;WIDTH=450&amp;START_MA","XIMIZED=FALSE&amp;VAR:CALENDAR=US&amp;VAR:SYMBOL=N0098510&amp;VAR:INDEX=0"}</definedName>
    <definedName name="_6141__FDSAUDITLINK__" hidden="1">{"fdsup://directions/FAT Viewer?action=UPDATE&amp;creator=factset&amp;DYN_ARGS=TRUE&amp;DOC_NAME=FAT:FQL_AUDITING_CLIENT_TEMPLATE.FAT&amp;display_string=Audit&amp;VAR:KEY=LOHUFIDSVU&amp;VAR:QUERY=RkZfRUJJVERBX0lCKCdMVE1TJywzOTU3Mik=&amp;WINDOW=FIRST_POPUP&amp;HEIGHT=450&amp;WIDTH=450&amp;START_MA","XIMIZED=FALSE&amp;VAR:CALENDAR=US&amp;VAR:SYMBOL=N0098510&amp;VAR:INDEX=0"}</definedName>
    <definedName name="_6142__FDSAUDITLINK__" localSheetId="6" hidden="1">{"fdsup://directions/FAT Viewer?action=UPDATE&amp;creator=factset&amp;DYN_ARGS=TRUE&amp;DOC_NAME=FAT:FQL_AUDITING_CLIENT_TEMPLATE.FAT&amp;display_string=Audit&amp;VAR:KEY=DAFGBGRYRY&amp;VAR:QUERY=RkZfRUJJVERBX0lCKCdMVE1TJywzOTU3MSk=&amp;WINDOW=FIRST_POPUP&amp;HEIGHT=450&amp;WIDTH=450&amp;START_MA","XIMIZED=FALSE&amp;VAR:CALENDAR=US&amp;VAR:SYMBOL=N0098510&amp;VAR:INDEX=0"}</definedName>
    <definedName name="_6142__FDSAUDITLINK__" hidden="1">{"fdsup://directions/FAT Viewer?action=UPDATE&amp;creator=factset&amp;DYN_ARGS=TRUE&amp;DOC_NAME=FAT:FQL_AUDITING_CLIENT_TEMPLATE.FAT&amp;display_string=Audit&amp;VAR:KEY=DAFGBGRYRY&amp;VAR:QUERY=RkZfRUJJVERBX0lCKCdMVE1TJywzOTU3MSk=&amp;WINDOW=FIRST_POPUP&amp;HEIGHT=450&amp;WIDTH=450&amp;START_MA","XIMIZED=FALSE&amp;VAR:CALENDAR=US&amp;VAR:SYMBOL=N0098510&amp;VAR:INDEX=0"}</definedName>
    <definedName name="_6143__FDSAUDITLINK__" localSheetId="6" hidden="1">{"fdsup://directions/FAT Viewer?action=UPDATE&amp;creator=factset&amp;DYN_ARGS=TRUE&amp;DOC_NAME=FAT:FQL_AUDITING_CLIENT_TEMPLATE.FAT&amp;display_string=Audit&amp;VAR:KEY=VINGJOXCBO&amp;VAR:QUERY=RkZfRUJJVERBX0lCKCdMVE1TJywzOTU3MCk=&amp;WINDOW=FIRST_POPUP&amp;HEIGHT=450&amp;WIDTH=450&amp;START_MA","XIMIZED=FALSE&amp;VAR:CALENDAR=US&amp;VAR:SYMBOL=N0098510&amp;VAR:INDEX=0"}</definedName>
    <definedName name="_6143__FDSAUDITLINK__" hidden="1">{"fdsup://directions/FAT Viewer?action=UPDATE&amp;creator=factset&amp;DYN_ARGS=TRUE&amp;DOC_NAME=FAT:FQL_AUDITING_CLIENT_TEMPLATE.FAT&amp;display_string=Audit&amp;VAR:KEY=VINGJOXCBO&amp;VAR:QUERY=RkZfRUJJVERBX0lCKCdMVE1TJywzOTU3MCk=&amp;WINDOW=FIRST_POPUP&amp;HEIGHT=450&amp;WIDTH=450&amp;START_MA","XIMIZED=FALSE&amp;VAR:CALENDAR=US&amp;VAR:SYMBOL=N0098510&amp;VAR:INDEX=0"}</definedName>
    <definedName name="_6144__FDSAUDITLINK__" localSheetId="6" hidden="1">{"fdsup://directions/FAT Viewer?action=UPDATE&amp;creator=factset&amp;DYN_ARGS=TRUE&amp;DOC_NAME=FAT:FQL_AUDITING_CLIENT_TEMPLATE.FAT&amp;display_string=Audit&amp;VAR:KEY=RQBOPABEDM&amp;VAR:QUERY=RkZfRUJJVERBX0lCKCdMVE1TJywzOTU2OSk=&amp;WINDOW=FIRST_POPUP&amp;HEIGHT=450&amp;WIDTH=450&amp;START_MA","XIMIZED=FALSE&amp;VAR:CALENDAR=US&amp;VAR:SYMBOL=N0098510&amp;VAR:INDEX=0"}</definedName>
    <definedName name="_6144__FDSAUDITLINK__" hidden="1">{"fdsup://directions/FAT Viewer?action=UPDATE&amp;creator=factset&amp;DYN_ARGS=TRUE&amp;DOC_NAME=FAT:FQL_AUDITING_CLIENT_TEMPLATE.FAT&amp;display_string=Audit&amp;VAR:KEY=RQBOPABEDM&amp;VAR:QUERY=RkZfRUJJVERBX0lCKCdMVE1TJywzOTU2OSk=&amp;WINDOW=FIRST_POPUP&amp;HEIGHT=450&amp;WIDTH=450&amp;START_MA","XIMIZED=FALSE&amp;VAR:CALENDAR=US&amp;VAR:SYMBOL=N0098510&amp;VAR:INDEX=0"}</definedName>
    <definedName name="_6145__FDSAUDITLINK__" localSheetId="6" hidden="1">{"fdsup://directions/FAT Viewer?action=UPDATE&amp;creator=factset&amp;DYN_ARGS=TRUE&amp;DOC_NAME=FAT:FQL_AUDITING_CLIENT_TEMPLATE.FAT&amp;display_string=Audit&amp;VAR:KEY=HWVIDODKLU&amp;VAR:QUERY=RkZfRUJJVERBX0lCKCdMVE1TJywzOTU2OCk=&amp;WINDOW=FIRST_POPUP&amp;HEIGHT=450&amp;WIDTH=450&amp;START_MA","XIMIZED=FALSE&amp;VAR:CALENDAR=US&amp;VAR:SYMBOL=N0098510&amp;VAR:INDEX=0"}</definedName>
    <definedName name="_6145__FDSAUDITLINK__" hidden="1">{"fdsup://directions/FAT Viewer?action=UPDATE&amp;creator=factset&amp;DYN_ARGS=TRUE&amp;DOC_NAME=FAT:FQL_AUDITING_CLIENT_TEMPLATE.FAT&amp;display_string=Audit&amp;VAR:KEY=HWVIDODKLU&amp;VAR:QUERY=RkZfRUJJVERBX0lCKCdMVE1TJywzOTU2OCk=&amp;WINDOW=FIRST_POPUP&amp;HEIGHT=450&amp;WIDTH=450&amp;START_MA","XIMIZED=FALSE&amp;VAR:CALENDAR=US&amp;VAR:SYMBOL=N0098510&amp;VAR:INDEX=0"}</definedName>
    <definedName name="_6146__FDSAUDITLINK__" localSheetId="6" hidden="1">{"fdsup://directions/FAT Viewer?action=UPDATE&amp;creator=factset&amp;DYN_ARGS=TRUE&amp;DOC_NAME=FAT:FQL_AUDITING_CLIENT_TEMPLATE.FAT&amp;display_string=Audit&amp;VAR:KEY=ZELYPSZKNC&amp;VAR:QUERY=RkZfRUJJVERBX0lCKCdMVE1TJywzOTU2Nyk=&amp;WINDOW=FIRST_POPUP&amp;HEIGHT=450&amp;WIDTH=450&amp;START_MA","XIMIZED=FALSE&amp;VAR:CALENDAR=US&amp;VAR:SYMBOL=N0098510&amp;VAR:INDEX=0"}</definedName>
    <definedName name="_6146__FDSAUDITLINK__" hidden="1">{"fdsup://directions/FAT Viewer?action=UPDATE&amp;creator=factset&amp;DYN_ARGS=TRUE&amp;DOC_NAME=FAT:FQL_AUDITING_CLIENT_TEMPLATE.FAT&amp;display_string=Audit&amp;VAR:KEY=ZELYPSZKNC&amp;VAR:QUERY=RkZfRUJJVERBX0lCKCdMVE1TJywzOTU2Nyk=&amp;WINDOW=FIRST_POPUP&amp;HEIGHT=450&amp;WIDTH=450&amp;START_MA","XIMIZED=FALSE&amp;VAR:CALENDAR=US&amp;VAR:SYMBOL=N0098510&amp;VAR:INDEX=0"}</definedName>
    <definedName name="_6147__FDSAUDITLINK__" localSheetId="6" hidden="1">{"fdsup://directions/FAT Viewer?action=UPDATE&amp;creator=factset&amp;DYN_ARGS=TRUE&amp;DOC_NAME=FAT:FQL_AUDITING_CLIENT_TEMPLATE.FAT&amp;display_string=Audit&amp;VAR:KEY=LELIVYJMZO&amp;VAR:QUERY=RkZfRUJJVERBX0lCKCdMVE1TJywzOTU2Nik=&amp;WINDOW=FIRST_POPUP&amp;HEIGHT=450&amp;WIDTH=450&amp;START_MA","XIMIZED=FALSE&amp;VAR:CALENDAR=US&amp;VAR:SYMBOL=N0098510&amp;VAR:INDEX=0"}</definedName>
    <definedName name="_6147__FDSAUDITLINK__" hidden="1">{"fdsup://directions/FAT Viewer?action=UPDATE&amp;creator=factset&amp;DYN_ARGS=TRUE&amp;DOC_NAME=FAT:FQL_AUDITING_CLIENT_TEMPLATE.FAT&amp;display_string=Audit&amp;VAR:KEY=LELIVYJMZO&amp;VAR:QUERY=RkZfRUJJVERBX0lCKCdMVE1TJywzOTU2Nik=&amp;WINDOW=FIRST_POPUP&amp;HEIGHT=450&amp;WIDTH=450&amp;START_MA","XIMIZED=FALSE&amp;VAR:CALENDAR=US&amp;VAR:SYMBOL=N0098510&amp;VAR:INDEX=0"}</definedName>
    <definedName name="_6148__FDSAUDITLINK__" localSheetId="6" hidden="1">{"fdsup://directions/FAT Viewer?action=UPDATE&amp;creator=factset&amp;DYN_ARGS=TRUE&amp;DOC_NAME=FAT:FQL_AUDITING_CLIENT_TEMPLATE.FAT&amp;display_string=Audit&amp;VAR:KEY=NCTIHMFYHG&amp;VAR:QUERY=RkZfRUJJVERBX0lCKCdMVE1TJywzOTU2NSk=&amp;WINDOW=FIRST_POPUP&amp;HEIGHT=450&amp;WIDTH=450&amp;START_MA","XIMIZED=FALSE&amp;VAR:CALENDAR=US&amp;VAR:SYMBOL=N0098510&amp;VAR:INDEX=0"}</definedName>
    <definedName name="_6148__FDSAUDITLINK__" hidden="1">{"fdsup://directions/FAT Viewer?action=UPDATE&amp;creator=factset&amp;DYN_ARGS=TRUE&amp;DOC_NAME=FAT:FQL_AUDITING_CLIENT_TEMPLATE.FAT&amp;display_string=Audit&amp;VAR:KEY=NCTIHMFYHG&amp;VAR:QUERY=RkZfRUJJVERBX0lCKCdMVE1TJywzOTU2NSk=&amp;WINDOW=FIRST_POPUP&amp;HEIGHT=450&amp;WIDTH=450&amp;START_MA","XIMIZED=FALSE&amp;VAR:CALENDAR=US&amp;VAR:SYMBOL=N0098510&amp;VAR:INDEX=0"}</definedName>
    <definedName name="_6149__FDSAUDITLINK__" localSheetId="6" hidden="1">{"fdsup://directions/FAT Viewer?action=UPDATE&amp;creator=factset&amp;DYN_ARGS=TRUE&amp;DOC_NAME=FAT:FQL_AUDITING_CLIENT_TEMPLATE.FAT&amp;display_string=Audit&amp;VAR:KEY=LCPYHYDGJM&amp;VAR:QUERY=RkZfRUJJVERBX0lCKCdMVE1TJywzOTU2NCk=&amp;WINDOW=FIRST_POPUP&amp;HEIGHT=450&amp;WIDTH=450&amp;START_MA","XIMIZED=FALSE&amp;VAR:CALENDAR=US&amp;VAR:SYMBOL=N0098510&amp;VAR:INDEX=0"}</definedName>
    <definedName name="_6149__FDSAUDITLINK__" hidden="1">{"fdsup://directions/FAT Viewer?action=UPDATE&amp;creator=factset&amp;DYN_ARGS=TRUE&amp;DOC_NAME=FAT:FQL_AUDITING_CLIENT_TEMPLATE.FAT&amp;display_string=Audit&amp;VAR:KEY=LCPYHYDGJM&amp;VAR:QUERY=RkZfRUJJVERBX0lCKCdMVE1TJywzOTU2NCk=&amp;WINDOW=FIRST_POPUP&amp;HEIGHT=450&amp;WIDTH=450&amp;START_MA","XIMIZED=FALSE&amp;VAR:CALENDAR=US&amp;VAR:SYMBOL=N0098510&amp;VAR:INDEX=0"}</definedName>
    <definedName name="_615__FDSAUDITLINK__" localSheetId="6" hidden="1">{"fdsup://directions/FAT%20Viewer?VAR:PED=LTM&amp;VAR:AUDIT_MODE=SUMMARY&amp;VAR:PERIOD=FIXED&amp;VAR:AUDIT_ID=00000117&amp;VAR:DATE=20080616&amp;action=UPDATE&amp;creator=factset&amp;DOC_NAME=FAT:FMA_audit_SUMMARY.fat&amp;DISPLAY_STRING=Display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5__FDSAUDITLINK__" hidden="1">{"fdsup://directions/FAT%20Viewer?VAR:PED=LTM&amp;VAR:AUDIT_MODE=SUMMARY&amp;VAR:PERIOD=FIXED&amp;VAR:AUDIT_ID=00000117&amp;VAR:DATE=20080616&amp;action=UPDATE&amp;creator=factset&amp;DOC_NAME=FAT:FMA_audit_SUMMARY.fat&amp;DISPLAY_STRING=Display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50__FDSAUDITLINK__" localSheetId="6" hidden="1">{"fdsup://directions/FAT Viewer?action=UPDATE&amp;creator=factset&amp;DYN_ARGS=TRUE&amp;DOC_NAME=FAT:FQL_AUDITING_CLIENT_TEMPLATE.FAT&amp;display_string=Audit&amp;VAR:KEY=FEBCDGJCDS&amp;VAR:QUERY=RkZfRUJJVERBX0lCKCdMVE1TJywzOTU2Myk=&amp;WINDOW=FIRST_POPUP&amp;HEIGHT=450&amp;WIDTH=450&amp;START_MA","XIMIZED=FALSE&amp;VAR:CALENDAR=US&amp;VAR:SYMBOL=N0098510&amp;VAR:INDEX=0"}</definedName>
    <definedName name="_6150__FDSAUDITLINK__" hidden="1">{"fdsup://directions/FAT Viewer?action=UPDATE&amp;creator=factset&amp;DYN_ARGS=TRUE&amp;DOC_NAME=FAT:FQL_AUDITING_CLIENT_TEMPLATE.FAT&amp;display_string=Audit&amp;VAR:KEY=FEBCDGJCDS&amp;VAR:QUERY=RkZfRUJJVERBX0lCKCdMVE1TJywzOTU2Myk=&amp;WINDOW=FIRST_POPUP&amp;HEIGHT=450&amp;WIDTH=450&amp;START_MA","XIMIZED=FALSE&amp;VAR:CALENDAR=US&amp;VAR:SYMBOL=N0098510&amp;VAR:INDEX=0"}</definedName>
    <definedName name="_6151__FDSAUDITLINK__" localSheetId="6" hidden="1">{"fdsup://directions/FAT Viewer?action=UPDATE&amp;creator=factset&amp;DYN_ARGS=TRUE&amp;DOC_NAME=FAT:FQL_AUDITING_CLIENT_TEMPLATE.FAT&amp;display_string=Audit&amp;VAR:KEY=HWHMLALSFW&amp;VAR:QUERY=RkZfRUJJVERBX0lCKCdMVE1TJywzOTU2Mik=&amp;WINDOW=FIRST_POPUP&amp;HEIGHT=450&amp;WIDTH=450&amp;START_MA","XIMIZED=FALSE&amp;VAR:CALENDAR=US&amp;VAR:SYMBOL=N0098510&amp;VAR:INDEX=0"}</definedName>
    <definedName name="_6151__FDSAUDITLINK__" hidden="1">{"fdsup://directions/FAT Viewer?action=UPDATE&amp;creator=factset&amp;DYN_ARGS=TRUE&amp;DOC_NAME=FAT:FQL_AUDITING_CLIENT_TEMPLATE.FAT&amp;display_string=Audit&amp;VAR:KEY=HWHMLALSFW&amp;VAR:QUERY=RkZfRUJJVERBX0lCKCdMVE1TJywzOTU2Mik=&amp;WINDOW=FIRST_POPUP&amp;HEIGHT=450&amp;WIDTH=450&amp;START_MA","XIMIZED=FALSE&amp;VAR:CALENDAR=US&amp;VAR:SYMBOL=N0098510&amp;VAR:INDEX=0"}</definedName>
    <definedName name="_6152__FDSAUDITLINK__" localSheetId="6" hidden="1">{"fdsup://directions/FAT Viewer?action=UPDATE&amp;creator=factset&amp;DYN_ARGS=TRUE&amp;DOC_NAME=FAT:FQL_AUDITING_CLIENT_TEMPLATE.FAT&amp;display_string=Audit&amp;VAR:KEY=FCNITCHONW&amp;VAR:QUERY=RkZfRUJJVERBX0lCKCdMVE1TJywzOTU2MSk=&amp;WINDOW=FIRST_POPUP&amp;HEIGHT=450&amp;WIDTH=450&amp;START_MA","XIMIZED=FALSE&amp;VAR:CALENDAR=US&amp;VAR:SYMBOL=N0098510&amp;VAR:INDEX=0"}</definedName>
    <definedName name="_6152__FDSAUDITLINK__" hidden="1">{"fdsup://directions/FAT Viewer?action=UPDATE&amp;creator=factset&amp;DYN_ARGS=TRUE&amp;DOC_NAME=FAT:FQL_AUDITING_CLIENT_TEMPLATE.FAT&amp;display_string=Audit&amp;VAR:KEY=FCNITCHONW&amp;VAR:QUERY=RkZfRUJJVERBX0lCKCdMVE1TJywzOTU2MSk=&amp;WINDOW=FIRST_POPUP&amp;HEIGHT=450&amp;WIDTH=450&amp;START_MA","XIMIZED=FALSE&amp;VAR:CALENDAR=US&amp;VAR:SYMBOL=N0098510&amp;VAR:INDEX=0"}</definedName>
    <definedName name="_6153__FDSAUDITLINK__" localSheetId="6" hidden="1">{"fdsup://directions/FAT Viewer?action=UPDATE&amp;creator=factset&amp;DYN_ARGS=TRUE&amp;DOC_NAME=FAT:FQL_AUDITING_CLIENT_TEMPLATE.FAT&amp;display_string=Audit&amp;VAR:KEY=HODCBQXKLO&amp;VAR:QUERY=RkZfRUJJVERBX0lCKCdMVE1TJywzOTU2MCk=&amp;WINDOW=FIRST_POPUP&amp;HEIGHT=450&amp;WIDTH=450&amp;START_MA","XIMIZED=FALSE&amp;VAR:CALENDAR=US&amp;VAR:SYMBOL=N0098510&amp;VAR:INDEX=0"}</definedName>
    <definedName name="_6153__FDSAUDITLINK__" hidden="1">{"fdsup://directions/FAT Viewer?action=UPDATE&amp;creator=factset&amp;DYN_ARGS=TRUE&amp;DOC_NAME=FAT:FQL_AUDITING_CLIENT_TEMPLATE.FAT&amp;display_string=Audit&amp;VAR:KEY=HODCBQXKLO&amp;VAR:QUERY=RkZfRUJJVERBX0lCKCdMVE1TJywzOTU2MCk=&amp;WINDOW=FIRST_POPUP&amp;HEIGHT=450&amp;WIDTH=450&amp;START_MA","XIMIZED=FALSE&amp;VAR:CALENDAR=US&amp;VAR:SYMBOL=N0098510&amp;VAR:INDEX=0"}</definedName>
    <definedName name="_6154__FDSAUDITLINK__" localSheetId="6" hidden="1">{"fdsup://directions/FAT Viewer?action=UPDATE&amp;creator=factset&amp;DYN_ARGS=TRUE&amp;DOC_NAME=FAT:FQL_AUDITING_CLIENT_TEMPLATE.FAT&amp;display_string=Audit&amp;VAR:KEY=FKBOZWZEFI&amp;VAR:QUERY=RkZfRUJJVERBX0lCKCdMVE1TJywzOTU1OSk=&amp;WINDOW=FIRST_POPUP&amp;HEIGHT=450&amp;WIDTH=450&amp;START_MA","XIMIZED=FALSE&amp;VAR:CALENDAR=US&amp;VAR:SYMBOL=N0098510&amp;VAR:INDEX=0"}</definedName>
    <definedName name="_6154__FDSAUDITLINK__" hidden="1">{"fdsup://directions/FAT Viewer?action=UPDATE&amp;creator=factset&amp;DYN_ARGS=TRUE&amp;DOC_NAME=FAT:FQL_AUDITING_CLIENT_TEMPLATE.FAT&amp;display_string=Audit&amp;VAR:KEY=FKBOZWZEFI&amp;VAR:QUERY=RkZfRUJJVERBX0lCKCdMVE1TJywzOTU1OSk=&amp;WINDOW=FIRST_POPUP&amp;HEIGHT=450&amp;WIDTH=450&amp;START_MA","XIMIZED=FALSE&amp;VAR:CALENDAR=US&amp;VAR:SYMBOL=N0098510&amp;VAR:INDEX=0"}</definedName>
    <definedName name="_6155__FDSAUDITLINK__" localSheetId="6" hidden="1">{"fdsup://directions/FAT Viewer?action=UPDATE&amp;creator=factset&amp;DYN_ARGS=TRUE&amp;DOC_NAME=FAT:FQL_AUDITING_CLIENT_TEMPLATE.FAT&amp;display_string=Audit&amp;VAR:KEY=XGXYNKLORE&amp;VAR:QUERY=RkZfRUJJVERBX0lCKCdMVE1TJywzOTU1OCk=&amp;WINDOW=FIRST_POPUP&amp;HEIGHT=450&amp;WIDTH=450&amp;START_MA","XIMIZED=FALSE&amp;VAR:CALENDAR=US&amp;VAR:SYMBOL=N0098510&amp;VAR:INDEX=0"}</definedName>
    <definedName name="_6155__FDSAUDITLINK__" hidden="1">{"fdsup://directions/FAT Viewer?action=UPDATE&amp;creator=factset&amp;DYN_ARGS=TRUE&amp;DOC_NAME=FAT:FQL_AUDITING_CLIENT_TEMPLATE.FAT&amp;display_string=Audit&amp;VAR:KEY=XGXYNKLORE&amp;VAR:QUERY=RkZfRUJJVERBX0lCKCdMVE1TJywzOTU1OCk=&amp;WINDOW=FIRST_POPUP&amp;HEIGHT=450&amp;WIDTH=450&amp;START_MA","XIMIZED=FALSE&amp;VAR:CALENDAR=US&amp;VAR:SYMBOL=N0098510&amp;VAR:INDEX=0"}</definedName>
    <definedName name="_6156__FDSAUDITLINK__" localSheetId="6" hidden="1">{"fdsup://directions/FAT Viewer?action=UPDATE&amp;creator=factset&amp;DYN_ARGS=TRUE&amp;DOC_NAME=FAT:FQL_AUDITING_CLIENT_TEMPLATE.FAT&amp;display_string=Audit&amp;VAR:KEY=RMHSLGDCXA&amp;VAR:QUERY=RkZfRUJJVERBX0lCKCdMVE1TJywzOTU1Nyk=&amp;WINDOW=FIRST_POPUP&amp;HEIGHT=450&amp;WIDTH=450&amp;START_MA","XIMIZED=FALSE&amp;VAR:CALENDAR=US&amp;VAR:SYMBOL=N0098510&amp;VAR:INDEX=0"}</definedName>
    <definedName name="_6156__FDSAUDITLINK__" hidden="1">{"fdsup://directions/FAT Viewer?action=UPDATE&amp;creator=factset&amp;DYN_ARGS=TRUE&amp;DOC_NAME=FAT:FQL_AUDITING_CLIENT_TEMPLATE.FAT&amp;display_string=Audit&amp;VAR:KEY=RMHSLGDCXA&amp;VAR:QUERY=RkZfRUJJVERBX0lCKCdMVE1TJywzOTU1Nyk=&amp;WINDOW=FIRST_POPUP&amp;HEIGHT=450&amp;WIDTH=450&amp;START_MA","XIMIZED=FALSE&amp;VAR:CALENDAR=US&amp;VAR:SYMBOL=N0098510&amp;VAR:INDEX=0"}</definedName>
    <definedName name="_6157__FDSAUDITLINK__" localSheetId="6" hidden="1">{"fdsup://directions/FAT Viewer?action=UPDATE&amp;creator=factset&amp;DYN_ARGS=TRUE&amp;DOC_NAME=FAT:FQL_AUDITING_CLIENT_TEMPLATE.FAT&amp;display_string=Audit&amp;VAR:KEY=HWHEVOJMTU&amp;VAR:QUERY=RkZfRUJJVERBX0lCKCdMVE1TJywzOTU1Nik=&amp;WINDOW=FIRST_POPUP&amp;HEIGHT=450&amp;WIDTH=450&amp;START_MA","XIMIZED=FALSE&amp;VAR:CALENDAR=US&amp;VAR:SYMBOL=N0098510&amp;VAR:INDEX=0"}</definedName>
    <definedName name="_6157__FDSAUDITLINK__" hidden="1">{"fdsup://directions/FAT Viewer?action=UPDATE&amp;creator=factset&amp;DYN_ARGS=TRUE&amp;DOC_NAME=FAT:FQL_AUDITING_CLIENT_TEMPLATE.FAT&amp;display_string=Audit&amp;VAR:KEY=HWHEVOJMTU&amp;VAR:QUERY=RkZfRUJJVERBX0lCKCdMVE1TJywzOTU1Nik=&amp;WINDOW=FIRST_POPUP&amp;HEIGHT=450&amp;WIDTH=450&amp;START_MA","XIMIZED=FALSE&amp;VAR:CALENDAR=US&amp;VAR:SYMBOL=N0098510&amp;VAR:INDEX=0"}</definedName>
    <definedName name="_6158__FDSAUDITLINK__" localSheetId="6" hidden="1">{"fdsup://directions/FAT Viewer?action=UPDATE&amp;creator=factset&amp;DYN_ARGS=TRUE&amp;DOC_NAME=FAT:FQL_AUDITING_CLIENT_TEMPLATE.FAT&amp;display_string=Audit&amp;VAR:KEY=HQJQZODKTM&amp;VAR:QUERY=RkZfRUJJVERBX0lCKCdMVE1TJywzOTU1NSk=&amp;WINDOW=FIRST_POPUP&amp;HEIGHT=450&amp;WIDTH=450&amp;START_MA","XIMIZED=FALSE&amp;VAR:CALENDAR=US&amp;VAR:SYMBOL=N0098510&amp;VAR:INDEX=0"}</definedName>
    <definedName name="_6158__FDSAUDITLINK__" hidden="1">{"fdsup://directions/FAT Viewer?action=UPDATE&amp;creator=factset&amp;DYN_ARGS=TRUE&amp;DOC_NAME=FAT:FQL_AUDITING_CLIENT_TEMPLATE.FAT&amp;display_string=Audit&amp;VAR:KEY=HQJQZODKTM&amp;VAR:QUERY=RkZfRUJJVERBX0lCKCdMVE1TJywzOTU1NSk=&amp;WINDOW=FIRST_POPUP&amp;HEIGHT=450&amp;WIDTH=450&amp;START_MA","XIMIZED=FALSE&amp;VAR:CALENDAR=US&amp;VAR:SYMBOL=N0098510&amp;VAR:INDEX=0"}</definedName>
    <definedName name="_6159__FDSAUDITLINK__" localSheetId="6" hidden="1">{"fdsup://directions/FAT Viewer?action=UPDATE&amp;creator=factset&amp;DYN_ARGS=TRUE&amp;DOC_NAME=FAT:FQL_AUDITING_CLIENT_TEMPLATE.FAT&amp;display_string=Audit&amp;VAR:KEY=FMRUFUHMPY&amp;VAR:QUERY=RkZfRUJJVERBX0lCKCdMVE1TJywzOTU1NCk=&amp;WINDOW=FIRST_POPUP&amp;HEIGHT=450&amp;WIDTH=450&amp;START_MA","XIMIZED=FALSE&amp;VAR:CALENDAR=US&amp;VAR:SYMBOL=N0098510&amp;VAR:INDEX=0"}</definedName>
    <definedName name="_6159__FDSAUDITLINK__" hidden="1">{"fdsup://directions/FAT Viewer?action=UPDATE&amp;creator=factset&amp;DYN_ARGS=TRUE&amp;DOC_NAME=FAT:FQL_AUDITING_CLIENT_TEMPLATE.FAT&amp;display_string=Audit&amp;VAR:KEY=FMRUFUHMPY&amp;VAR:QUERY=RkZfRUJJVERBX0lCKCdMVE1TJywzOTU1NCk=&amp;WINDOW=FIRST_POPUP&amp;HEIGHT=450&amp;WIDTH=450&amp;START_MA","XIMIZED=FALSE&amp;VAR:CALENDAR=US&amp;VAR:SYMBOL=N0098510&amp;VAR:INDEX=0"}</definedName>
    <definedName name="_616__FDSAUDITLINK__" localSheetId="6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6__FDSAUDITLINK__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60__FDSAUDITLINK__" localSheetId="6" hidden="1">{"fdsup://directions/FAT Viewer?action=UPDATE&amp;creator=factset&amp;DYN_ARGS=TRUE&amp;DOC_NAME=FAT:FQL_AUDITING_CLIENT_TEMPLATE.FAT&amp;display_string=Audit&amp;VAR:KEY=VQVUHSBQLI&amp;VAR:QUERY=RkZfRUJJVERBX0lCKCdMVE1TJywzOTU1Myk=&amp;WINDOW=FIRST_POPUP&amp;HEIGHT=450&amp;WIDTH=450&amp;START_MA","XIMIZED=FALSE&amp;VAR:CALENDAR=US&amp;VAR:SYMBOL=N0098510&amp;VAR:INDEX=0"}</definedName>
    <definedName name="_6160__FDSAUDITLINK__" hidden="1">{"fdsup://directions/FAT Viewer?action=UPDATE&amp;creator=factset&amp;DYN_ARGS=TRUE&amp;DOC_NAME=FAT:FQL_AUDITING_CLIENT_TEMPLATE.FAT&amp;display_string=Audit&amp;VAR:KEY=VQVUHSBQLI&amp;VAR:QUERY=RkZfRUJJVERBX0lCKCdMVE1TJywzOTU1Myk=&amp;WINDOW=FIRST_POPUP&amp;HEIGHT=450&amp;WIDTH=450&amp;START_MA","XIMIZED=FALSE&amp;VAR:CALENDAR=US&amp;VAR:SYMBOL=N0098510&amp;VAR:INDEX=0"}</definedName>
    <definedName name="_6161__FDSAUDITLINK__" localSheetId="6" hidden="1">{"fdsup://directions/FAT Viewer?action=UPDATE&amp;creator=factset&amp;DYN_ARGS=TRUE&amp;DOC_NAME=FAT:FQL_AUDITING_CLIENT_TEMPLATE.FAT&amp;display_string=Audit&amp;VAR:KEY=NAXUTOTINA&amp;VAR:QUERY=RkZfRUJJVERBX0lCKCdMVE1TJywzOTU1Mik=&amp;WINDOW=FIRST_POPUP&amp;HEIGHT=450&amp;WIDTH=450&amp;START_MA","XIMIZED=FALSE&amp;VAR:CALENDAR=US&amp;VAR:SYMBOL=N0098510&amp;VAR:INDEX=0"}</definedName>
    <definedName name="_6161__FDSAUDITLINK__" hidden="1">{"fdsup://directions/FAT Viewer?action=UPDATE&amp;creator=factset&amp;DYN_ARGS=TRUE&amp;DOC_NAME=FAT:FQL_AUDITING_CLIENT_TEMPLATE.FAT&amp;display_string=Audit&amp;VAR:KEY=NAXUTOTINA&amp;VAR:QUERY=RkZfRUJJVERBX0lCKCdMVE1TJywzOTU1Mik=&amp;WINDOW=FIRST_POPUP&amp;HEIGHT=450&amp;WIDTH=450&amp;START_MA","XIMIZED=FALSE&amp;VAR:CALENDAR=US&amp;VAR:SYMBOL=N0098510&amp;VAR:INDEX=0"}</definedName>
    <definedName name="_6162__FDSAUDITLINK__" localSheetId="6" hidden="1">{"fdsup://directions/FAT Viewer?action=UPDATE&amp;creator=factset&amp;DYN_ARGS=TRUE&amp;DOC_NAME=FAT:FQL_AUDITING_CLIENT_TEMPLATE.FAT&amp;display_string=Audit&amp;VAR:KEY=RALOBWPEJS&amp;VAR:QUERY=RkZfRUJJVERBX0lCKCdMVE1TJywzOTU1MSk=&amp;WINDOW=FIRST_POPUP&amp;HEIGHT=450&amp;WIDTH=450&amp;START_MA","XIMIZED=FALSE&amp;VAR:CALENDAR=US&amp;VAR:SYMBOL=N0098510&amp;VAR:INDEX=0"}</definedName>
    <definedName name="_6162__FDSAUDITLINK__" hidden="1">{"fdsup://directions/FAT Viewer?action=UPDATE&amp;creator=factset&amp;DYN_ARGS=TRUE&amp;DOC_NAME=FAT:FQL_AUDITING_CLIENT_TEMPLATE.FAT&amp;display_string=Audit&amp;VAR:KEY=RALOBWPEJS&amp;VAR:QUERY=RkZfRUJJVERBX0lCKCdMVE1TJywzOTU1MSk=&amp;WINDOW=FIRST_POPUP&amp;HEIGHT=450&amp;WIDTH=450&amp;START_MA","XIMIZED=FALSE&amp;VAR:CALENDAR=US&amp;VAR:SYMBOL=N0098510&amp;VAR:INDEX=0"}</definedName>
    <definedName name="_6163__FDSAUDITLINK__" localSheetId="6" hidden="1">{"fdsup://directions/FAT Viewer?action=UPDATE&amp;creator=factset&amp;DYN_ARGS=TRUE&amp;DOC_NAME=FAT:FQL_AUDITING_CLIENT_TEMPLATE.FAT&amp;display_string=Audit&amp;VAR:KEY=VKXKNAVOPY&amp;VAR:QUERY=RkZfRUJJVERBX0lCKCdMVE1TJywzOTU1MCk=&amp;WINDOW=FIRST_POPUP&amp;HEIGHT=450&amp;WIDTH=450&amp;START_MA","XIMIZED=FALSE&amp;VAR:CALENDAR=US&amp;VAR:SYMBOL=N0098510&amp;VAR:INDEX=0"}</definedName>
    <definedName name="_6163__FDSAUDITLINK__" hidden="1">{"fdsup://directions/FAT Viewer?action=UPDATE&amp;creator=factset&amp;DYN_ARGS=TRUE&amp;DOC_NAME=FAT:FQL_AUDITING_CLIENT_TEMPLATE.FAT&amp;display_string=Audit&amp;VAR:KEY=VKXKNAVOPY&amp;VAR:QUERY=RkZfRUJJVERBX0lCKCdMVE1TJywzOTU1MCk=&amp;WINDOW=FIRST_POPUP&amp;HEIGHT=450&amp;WIDTH=450&amp;START_MA","XIMIZED=FALSE&amp;VAR:CALENDAR=US&amp;VAR:SYMBOL=N0098510&amp;VAR:INDEX=0"}</definedName>
    <definedName name="_6164__FDSAUDITLINK__" localSheetId="6" hidden="1">{"fdsup://directions/FAT Viewer?action=UPDATE&amp;creator=factset&amp;DYN_ARGS=TRUE&amp;DOC_NAME=FAT:FQL_AUDITING_CLIENT_TEMPLATE.FAT&amp;display_string=Audit&amp;VAR:KEY=PMZELOHQTY&amp;VAR:QUERY=RkZfRUJJVERBX0lCKCdMVE1TJywzOTU0OSk=&amp;WINDOW=FIRST_POPUP&amp;HEIGHT=450&amp;WIDTH=450&amp;START_MA","XIMIZED=FALSE&amp;VAR:CALENDAR=US&amp;VAR:SYMBOL=N0098510&amp;VAR:INDEX=0"}</definedName>
    <definedName name="_6164__FDSAUDITLINK__" hidden="1">{"fdsup://directions/FAT Viewer?action=UPDATE&amp;creator=factset&amp;DYN_ARGS=TRUE&amp;DOC_NAME=FAT:FQL_AUDITING_CLIENT_TEMPLATE.FAT&amp;display_string=Audit&amp;VAR:KEY=PMZELOHQTY&amp;VAR:QUERY=RkZfRUJJVERBX0lCKCdMVE1TJywzOTU0OSk=&amp;WINDOW=FIRST_POPUP&amp;HEIGHT=450&amp;WIDTH=450&amp;START_MA","XIMIZED=FALSE&amp;VAR:CALENDAR=US&amp;VAR:SYMBOL=N0098510&amp;VAR:INDEX=0"}</definedName>
    <definedName name="_6165__FDSAUDITLINK__" localSheetId="6" hidden="1">{"fdsup://directions/FAT Viewer?action=UPDATE&amp;creator=factset&amp;DYN_ARGS=TRUE&amp;DOC_NAME=FAT:FQL_AUDITING_CLIENT_TEMPLATE.FAT&amp;display_string=Audit&amp;VAR:KEY=LAXKHUNUVM&amp;VAR:QUERY=RkZfRUJJVERBX0lCKCdMVE1TJywzOTU0OCk=&amp;WINDOW=FIRST_POPUP&amp;HEIGHT=450&amp;WIDTH=450&amp;START_MA","XIMIZED=FALSE&amp;VAR:CALENDAR=US&amp;VAR:SYMBOL=N0098510&amp;VAR:INDEX=0"}</definedName>
    <definedName name="_6165__FDSAUDITLINK__" hidden="1">{"fdsup://directions/FAT Viewer?action=UPDATE&amp;creator=factset&amp;DYN_ARGS=TRUE&amp;DOC_NAME=FAT:FQL_AUDITING_CLIENT_TEMPLATE.FAT&amp;display_string=Audit&amp;VAR:KEY=LAXKHUNUVM&amp;VAR:QUERY=RkZfRUJJVERBX0lCKCdMVE1TJywzOTU0OCk=&amp;WINDOW=FIRST_POPUP&amp;HEIGHT=450&amp;WIDTH=450&amp;START_MA","XIMIZED=FALSE&amp;VAR:CALENDAR=US&amp;VAR:SYMBOL=N0098510&amp;VAR:INDEX=0"}</definedName>
    <definedName name="_6166__FDSAUDITLINK__" localSheetId="6" hidden="1">{"fdsup://directions/FAT Viewer?action=UPDATE&amp;creator=factset&amp;DYN_ARGS=TRUE&amp;DOC_NAME=FAT:FQL_AUDITING_CLIENT_TEMPLATE.FAT&amp;display_string=Audit&amp;VAR:KEY=BMTCPUVUFG&amp;VAR:QUERY=RkZfRUJJVERBX0lCKCdMVE1TJywzOTU0Nyk=&amp;WINDOW=FIRST_POPUP&amp;HEIGHT=450&amp;WIDTH=450&amp;START_MA","XIMIZED=FALSE&amp;VAR:CALENDAR=US&amp;VAR:SYMBOL=N0098510&amp;VAR:INDEX=0"}</definedName>
    <definedName name="_6166__FDSAUDITLINK__" hidden="1">{"fdsup://directions/FAT Viewer?action=UPDATE&amp;creator=factset&amp;DYN_ARGS=TRUE&amp;DOC_NAME=FAT:FQL_AUDITING_CLIENT_TEMPLATE.FAT&amp;display_string=Audit&amp;VAR:KEY=BMTCPUVUFG&amp;VAR:QUERY=RkZfRUJJVERBX0lCKCdMVE1TJywzOTU0Nyk=&amp;WINDOW=FIRST_POPUP&amp;HEIGHT=450&amp;WIDTH=450&amp;START_MA","XIMIZED=FALSE&amp;VAR:CALENDAR=US&amp;VAR:SYMBOL=N0098510&amp;VAR:INDEX=0"}</definedName>
    <definedName name="_6167__FDSAUDITLINK__" localSheetId="6" hidden="1">{"fdsup://directions/FAT Viewer?action=UPDATE&amp;creator=factset&amp;DYN_ARGS=TRUE&amp;DOC_NAME=FAT:FQL_AUDITING_CLIENT_TEMPLATE.FAT&amp;display_string=Audit&amp;VAR:KEY=VKLOZILGJY&amp;VAR:QUERY=RkZfRUJJVERBX0lCKCdMVE1TJywzOTU0Nik=&amp;WINDOW=FIRST_POPUP&amp;HEIGHT=450&amp;WIDTH=450&amp;START_MA","XIMIZED=FALSE&amp;VAR:CALENDAR=US&amp;VAR:SYMBOL=N0098510&amp;VAR:INDEX=0"}</definedName>
    <definedName name="_6167__FDSAUDITLINK__" hidden="1">{"fdsup://directions/FAT Viewer?action=UPDATE&amp;creator=factset&amp;DYN_ARGS=TRUE&amp;DOC_NAME=FAT:FQL_AUDITING_CLIENT_TEMPLATE.FAT&amp;display_string=Audit&amp;VAR:KEY=VKLOZILGJY&amp;VAR:QUERY=RkZfRUJJVERBX0lCKCdMVE1TJywzOTU0Nik=&amp;WINDOW=FIRST_POPUP&amp;HEIGHT=450&amp;WIDTH=450&amp;START_MA","XIMIZED=FALSE&amp;VAR:CALENDAR=US&amp;VAR:SYMBOL=N0098510&amp;VAR:INDEX=0"}</definedName>
    <definedName name="_6168__FDSAUDITLINK__" localSheetId="6" hidden="1">{"fdsup://directions/FAT Viewer?action=UPDATE&amp;creator=factset&amp;DYN_ARGS=TRUE&amp;DOC_NAME=FAT:FQL_AUDITING_CLIENT_TEMPLATE.FAT&amp;display_string=Audit&amp;VAR:KEY=LYBSVUHEJC&amp;VAR:QUERY=RkZfRUJJVERBX0lCKCdMVE1TJywzOTU0NSk=&amp;WINDOW=FIRST_POPUP&amp;HEIGHT=450&amp;WIDTH=450&amp;START_MA","XIMIZED=FALSE&amp;VAR:CALENDAR=US&amp;VAR:SYMBOL=N0098510&amp;VAR:INDEX=0"}</definedName>
    <definedName name="_6168__FDSAUDITLINK__" hidden="1">{"fdsup://directions/FAT Viewer?action=UPDATE&amp;creator=factset&amp;DYN_ARGS=TRUE&amp;DOC_NAME=FAT:FQL_AUDITING_CLIENT_TEMPLATE.FAT&amp;display_string=Audit&amp;VAR:KEY=LYBSVUHEJC&amp;VAR:QUERY=RkZfRUJJVERBX0lCKCdMVE1TJywzOTU0NSk=&amp;WINDOW=FIRST_POPUP&amp;HEIGHT=450&amp;WIDTH=450&amp;START_MA","XIMIZED=FALSE&amp;VAR:CALENDAR=US&amp;VAR:SYMBOL=N0098510&amp;VAR:INDEX=0"}</definedName>
    <definedName name="_6169__FDSAUDITLINK__" localSheetId="6" hidden="1">{"fdsup://directions/FAT Viewer?action=UPDATE&amp;creator=factset&amp;DYN_ARGS=TRUE&amp;DOC_NAME=FAT:FQL_AUDITING_CLIENT_TEMPLATE.FAT&amp;display_string=Audit&amp;VAR:KEY=PKREHKNGHM&amp;VAR:QUERY=RkZfRUJJVERBX0lCKCdMVE1TJywzOTU0NCk=&amp;WINDOW=FIRST_POPUP&amp;HEIGHT=450&amp;WIDTH=450&amp;START_MA","XIMIZED=FALSE&amp;VAR:CALENDAR=US&amp;VAR:SYMBOL=N0098510&amp;VAR:INDEX=0"}</definedName>
    <definedName name="_6169__FDSAUDITLINK__" hidden="1">{"fdsup://directions/FAT Viewer?action=UPDATE&amp;creator=factset&amp;DYN_ARGS=TRUE&amp;DOC_NAME=FAT:FQL_AUDITING_CLIENT_TEMPLATE.FAT&amp;display_string=Audit&amp;VAR:KEY=PKREHKNGHM&amp;VAR:QUERY=RkZfRUJJVERBX0lCKCdMVE1TJywzOTU0NCk=&amp;WINDOW=FIRST_POPUP&amp;HEIGHT=450&amp;WIDTH=450&amp;START_MA","XIMIZED=FALSE&amp;VAR:CALENDAR=US&amp;VAR:SYMBOL=N0098510&amp;VAR:INDEX=0"}</definedName>
    <definedName name="_617__FDSAUDITLINK__" localSheetId="6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7__FDSAUDITLINK__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70__FDSAUDITLINK__" localSheetId="6" hidden="1">{"fdsup://directions/FAT Viewer?action=UPDATE&amp;creator=factset&amp;DYN_ARGS=TRUE&amp;DOC_NAME=FAT:FQL_AUDITING_CLIENT_TEMPLATE.FAT&amp;display_string=Audit&amp;VAR:KEY=NAFMRAZEJK&amp;VAR:QUERY=RkZfRUJJVERBX0lCKCdMVE1TJywzOTU0Myk=&amp;WINDOW=FIRST_POPUP&amp;HEIGHT=450&amp;WIDTH=450&amp;START_MA","XIMIZED=FALSE&amp;VAR:CALENDAR=US&amp;VAR:SYMBOL=N0098510&amp;VAR:INDEX=0"}</definedName>
    <definedName name="_6170__FDSAUDITLINK__" hidden="1">{"fdsup://directions/FAT Viewer?action=UPDATE&amp;creator=factset&amp;DYN_ARGS=TRUE&amp;DOC_NAME=FAT:FQL_AUDITING_CLIENT_TEMPLATE.FAT&amp;display_string=Audit&amp;VAR:KEY=NAFMRAZEJK&amp;VAR:QUERY=RkZfRUJJVERBX0lCKCdMVE1TJywzOTU0Myk=&amp;WINDOW=FIRST_POPUP&amp;HEIGHT=450&amp;WIDTH=450&amp;START_MA","XIMIZED=FALSE&amp;VAR:CALENDAR=US&amp;VAR:SYMBOL=N0098510&amp;VAR:INDEX=0"}</definedName>
    <definedName name="_6171__FDSAUDITLINK__" localSheetId="6" hidden="1">{"fdsup://directions/FAT Viewer?action=UPDATE&amp;creator=factset&amp;DYN_ARGS=TRUE&amp;DOC_NAME=FAT:FQL_AUDITING_CLIENT_TEMPLATE.FAT&amp;display_string=Audit&amp;VAR:KEY=BOVUBCVOPW&amp;VAR:QUERY=RkZfRUJJVERBX0lCKCdMVE1TJywzOTU0Mik=&amp;WINDOW=FIRST_POPUP&amp;HEIGHT=450&amp;WIDTH=450&amp;START_MA","XIMIZED=FALSE&amp;VAR:CALENDAR=US&amp;VAR:SYMBOL=N0098510&amp;VAR:INDEX=0"}</definedName>
    <definedName name="_6171__FDSAUDITLINK__" hidden="1">{"fdsup://directions/FAT Viewer?action=UPDATE&amp;creator=factset&amp;DYN_ARGS=TRUE&amp;DOC_NAME=FAT:FQL_AUDITING_CLIENT_TEMPLATE.FAT&amp;display_string=Audit&amp;VAR:KEY=BOVUBCVOPW&amp;VAR:QUERY=RkZfRUJJVERBX0lCKCdMVE1TJywzOTU0Mik=&amp;WINDOW=FIRST_POPUP&amp;HEIGHT=450&amp;WIDTH=450&amp;START_MA","XIMIZED=FALSE&amp;VAR:CALENDAR=US&amp;VAR:SYMBOL=N0098510&amp;VAR:INDEX=0"}</definedName>
    <definedName name="_6172__FDSAUDITLINK__" localSheetId="6" hidden="1">{"fdsup://directions/FAT Viewer?action=UPDATE&amp;creator=factset&amp;DYN_ARGS=TRUE&amp;DOC_NAME=FAT:FQL_AUDITING_CLIENT_TEMPLATE.FAT&amp;display_string=Audit&amp;VAR:KEY=NQNKVUXIXS&amp;VAR:QUERY=RkZfRUJJVERBX0lCKCdMVE1TJywzOTU0MSk=&amp;WINDOW=FIRST_POPUP&amp;HEIGHT=450&amp;WIDTH=450&amp;START_MA","XIMIZED=FALSE&amp;VAR:CALENDAR=US&amp;VAR:SYMBOL=N0098510&amp;VAR:INDEX=0"}</definedName>
    <definedName name="_6172__FDSAUDITLINK__" hidden="1">{"fdsup://directions/FAT Viewer?action=UPDATE&amp;creator=factset&amp;DYN_ARGS=TRUE&amp;DOC_NAME=FAT:FQL_AUDITING_CLIENT_TEMPLATE.FAT&amp;display_string=Audit&amp;VAR:KEY=NQNKVUXIXS&amp;VAR:QUERY=RkZfRUJJVERBX0lCKCdMVE1TJywzOTU0MSk=&amp;WINDOW=FIRST_POPUP&amp;HEIGHT=450&amp;WIDTH=450&amp;START_MA","XIMIZED=FALSE&amp;VAR:CALENDAR=US&amp;VAR:SYMBOL=N0098510&amp;VAR:INDEX=0"}</definedName>
    <definedName name="_6173__FDSAUDITLINK__" localSheetId="6" hidden="1">{"fdsup://directions/FAT Viewer?action=UPDATE&amp;creator=factset&amp;DYN_ARGS=TRUE&amp;DOC_NAME=FAT:FQL_AUDITING_CLIENT_TEMPLATE.FAT&amp;display_string=Audit&amp;VAR:KEY=JSRYPQZAXK&amp;VAR:QUERY=RkZfRUJJVERBX0lCKCdMVE1TJywzOTU0MCk=&amp;WINDOW=FIRST_POPUP&amp;HEIGHT=450&amp;WIDTH=450&amp;START_MA","XIMIZED=FALSE&amp;VAR:CALENDAR=US&amp;VAR:SYMBOL=N0098510&amp;VAR:INDEX=0"}</definedName>
    <definedName name="_6173__FDSAUDITLINK__" hidden="1">{"fdsup://directions/FAT Viewer?action=UPDATE&amp;creator=factset&amp;DYN_ARGS=TRUE&amp;DOC_NAME=FAT:FQL_AUDITING_CLIENT_TEMPLATE.FAT&amp;display_string=Audit&amp;VAR:KEY=JSRYPQZAXK&amp;VAR:QUERY=RkZfRUJJVERBX0lCKCdMVE1TJywzOTU0MCk=&amp;WINDOW=FIRST_POPUP&amp;HEIGHT=450&amp;WIDTH=450&amp;START_MA","XIMIZED=FALSE&amp;VAR:CALENDAR=US&amp;VAR:SYMBOL=N0098510&amp;VAR:INDEX=0"}</definedName>
    <definedName name="_6174__FDSAUDITLINK__" localSheetId="6" hidden="1">{"fdsup://directions/FAT Viewer?action=UPDATE&amp;creator=factset&amp;DYN_ARGS=TRUE&amp;DOC_NAME=FAT:FQL_AUDITING_CLIENT_TEMPLATE.FAT&amp;display_string=Audit&amp;VAR:KEY=XMHGTCTOJA&amp;VAR:QUERY=RkZfRUJJVERBX0lCKCdMVE1TJywzOTUzOSk=&amp;WINDOW=FIRST_POPUP&amp;HEIGHT=450&amp;WIDTH=450&amp;START_MA","XIMIZED=FALSE&amp;VAR:CALENDAR=US&amp;VAR:SYMBOL=N0098510&amp;VAR:INDEX=0"}</definedName>
    <definedName name="_6174__FDSAUDITLINK__" hidden="1">{"fdsup://directions/FAT Viewer?action=UPDATE&amp;creator=factset&amp;DYN_ARGS=TRUE&amp;DOC_NAME=FAT:FQL_AUDITING_CLIENT_TEMPLATE.FAT&amp;display_string=Audit&amp;VAR:KEY=XMHGTCTOJA&amp;VAR:QUERY=RkZfRUJJVERBX0lCKCdMVE1TJywzOTUzOSk=&amp;WINDOW=FIRST_POPUP&amp;HEIGHT=450&amp;WIDTH=450&amp;START_MA","XIMIZED=FALSE&amp;VAR:CALENDAR=US&amp;VAR:SYMBOL=N0098510&amp;VAR:INDEX=0"}</definedName>
    <definedName name="_6175__FDSAUDITLINK__" localSheetId="6" hidden="1">{"fdsup://directions/FAT Viewer?action=UPDATE&amp;creator=factset&amp;DYN_ARGS=TRUE&amp;DOC_NAME=FAT:FQL_AUDITING_CLIENT_TEMPLATE.FAT&amp;display_string=Audit&amp;VAR:KEY=FOPYPSBWJC&amp;VAR:QUERY=RkZfRUJJVERBX0lCKCdMVE1TJywzOTUzOCk=&amp;WINDOW=FIRST_POPUP&amp;HEIGHT=450&amp;WIDTH=450&amp;START_MA","XIMIZED=FALSE&amp;VAR:CALENDAR=US&amp;VAR:SYMBOL=N0098510&amp;VAR:INDEX=0"}</definedName>
    <definedName name="_6175__FDSAUDITLINK__" hidden="1">{"fdsup://directions/FAT Viewer?action=UPDATE&amp;creator=factset&amp;DYN_ARGS=TRUE&amp;DOC_NAME=FAT:FQL_AUDITING_CLIENT_TEMPLATE.FAT&amp;display_string=Audit&amp;VAR:KEY=FOPYPSBWJC&amp;VAR:QUERY=RkZfRUJJVERBX0lCKCdMVE1TJywzOTUzOCk=&amp;WINDOW=FIRST_POPUP&amp;HEIGHT=450&amp;WIDTH=450&amp;START_MA","XIMIZED=FALSE&amp;VAR:CALENDAR=US&amp;VAR:SYMBOL=N0098510&amp;VAR:INDEX=0"}</definedName>
    <definedName name="_6176__FDSAUDITLINK__" localSheetId="6" hidden="1">{"fdsup://directions/FAT Viewer?action=UPDATE&amp;creator=factset&amp;DYN_ARGS=TRUE&amp;DOC_NAME=FAT:FQL_AUDITING_CLIENT_TEMPLATE.FAT&amp;display_string=Audit&amp;VAR:KEY=TKFINWTGFQ&amp;VAR:QUERY=RkZfRUJJVERBX0lCKCdMVE1TJywzOTUzNyk=&amp;WINDOW=FIRST_POPUP&amp;HEIGHT=450&amp;WIDTH=450&amp;START_MA","XIMIZED=FALSE&amp;VAR:CALENDAR=US&amp;VAR:SYMBOL=N0098510&amp;VAR:INDEX=0"}</definedName>
    <definedName name="_6176__FDSAUDITLINK__" hidden="1">{"fdsup://directions/FAT Viewer?action=UPDATE&amp;creator=factset&amp;DYN_ARGS=TRUE&amp;DOC_NAME=FAT:FQL_AUDITING_CLIENT_TEMPLATE.FAT&amp;display_string=Audit&amp;VAR:KEY=TKFINWTGFQ&amp;VAR:QUERY=RkZfRUJJVERBX0lCKCdMVE1TJywzOTUzNyk=&amp;WINDOW=FIRST_POPUP&amp;HEIGHT=450&amp;WIDTH=450&amp;START_MA","XIMIZED=FALSE&amp;VAR:CALENDAR=US&amp;VAR:SYMBOL=N0098510&amp;VAR:INDEX=0"}</definedName>
    <definedName name="_6177__FDSAUDITLINK__" localSheetId="6" hidden="1">{"fdsup://directions/FAT Viewer?action=UPDATE&amp;creator=factset&amp;DYN_ARGS=TRUE&amp;DOC_NAME=FAT:FQL_AUDITING_CLIENT_TEMPLATE.FAT&amp;display_string=Audit&amp;VAR:KEY=ZYZQTMVUDG&amp;VAR:QUERY=RkZfRUJJVERBX0lCKCdMVE1TJywzOTUzNik=&amp;WINDOW=FIRST_POPUP&amp;HEIGHT=450&amp;WIDTH=450&amp;START_MA","XIMIZED=FALSE&amp;VAR:CALENDAR=US&amp;VAR:SYMBOL=N0098510&amp;VAR:INDEX=0"}</definedName>
    <definedName name="_6177__FDSAUDITLINK__" hidden="1">{"fdsup://directions/FAT Viewer?action=UPDATE&amp;creator=factset&amp;DYN_ARGS=TRUE&amp;DOC_NAME=FAT:FQL_AUDITING_CLIENT_TEMPLATE.FAT&amp;display_string=Audit&amp;VAR:KEY=ZYZQTMVUDG&amp;VAR:QUERY=RkZfRUJJVERBX0lCKCdMVE1TJywzOTUzNik=&amp;WINDOW=FIRST_POPUP&amp;HEIGHT=450&amp;WIDTH=450&amp;START_MA","XIMIZED=FALSE&amp;VAR:CALENDAR=US&amp;VAR:SYMBOL=N0098510&amp;VAR:INDEX=0"}</definedName>
    <definedName name="_6178__FDSAUDITLINK__" localSheetId="6" hidden="1">{"fdsup://directions/FAT Viewer?action=UPDATE&amp;creator=factset&amp;DYN_ARGS=TRUE&amp;DOC_NAME=FAT:FQL_AUDITING_CLIENT_TEMPLATE.FAT&amp;display_string=Audit&amp;VAR:KEY=HMLUTSHUDW&amp;VAR:QUERY=RkZfRUJJVERBX0lCKCdMVE1TJywzOTUzNSk=&amp;WINDOW=FIRST_POPUP&amp;HEIGHT=450&amp;WIDTH=450&amp;START_MA","XIMIZED=FALSE&amp;VAR:CALENDAR=US&amp;VAR:SYMBOL=N0098510&amp;VAR:INDEX=0"}</definedName>
    <definedName name="_6178__FDSAUDITLINK__" hidden="1">{"fdsup://directions/FAT Viewer?action=UPDATE&amp;creator=factset&amp;DYN_ARGS=TRUE&amp;DOC_NAME=FAT:FQL_AUDITING_CLIENT_TEMPLATE.FAT&amp;display_string=Audit&amp;VAR:KEY=HMLUTSHUDW&amp;VAR:QUERY=RkZfRUJJVERBX0lCKCdMVE1TJywzOTUzNSk=&amp;WINDOW=FIRST_POPUP&amp;HEIGHT=450&amp;WIDTH=450&amp;START_MA","XIMIZED=FALSE&amp;VAR:CALENDAR=US&amp;VAR:SYMBOL=N0098510&amp;VAR:INDEX=0"}</definedName>
    <definedName name="_6179__FDSAUDITLINK__" localSheetId="6" hidden="1">{"fdsup://directions/FAT Viewer?action=UPDATE&amp;creator=factset&amp;DYN_ARGS=TRUE&amp;DOC_NAME=FAT:FQL_AUDITING_CLIENT_TEMPLATE.FAT&amp;display_string=Audit&amp;VAR:KEY=BKFIJIFCVO&amp;VAR:QUERY=RkZfRUJJVERBX0lCKCdMVE1TJywzOTUzNCk=&amp;WINDOW=FIRST_POPUP&amp;HEIGHT=450&amp;WIDTH=450&amp;START_MA","XIMIZED=FALSE&amp;VAR:CALENDAR=US&amp;VAR:SYMBOL=N0098510&amp;VAR:INDEX=0"}</definedName>
    <definedName name="_6179__FDSAUDITLINK__" hidden="1">{"fdsup://directions/FAT Viewer?action=UPDATE&amp;creator=factset&amp;DYN_ARGS=TRUE&amp;DOC_NAME=FAT:FQL_AUDITING_CLIENT_TEMPLATE.FAT&amp;display_string=Audit&amp;VAR:KEY=BKFIJIFCVO&amp;VAR:QUERY=RkZfRUJJVERBX0lCKCdMVE1TJywzOTUzNCk=&amp;WINDOW=FIRST_POPUP&amp;HEIGHT=450&amp;WIDTH=450&amp;START_MA","XIMIZED=FALSE&amp;VAR:CALENDAR=US&amp;VAR:SYMBOL=N0098510&amp;VAR:INDEX=0"}</definedName>
    <definedName name="_618__FDSAUDITLINK__" localSheetId="6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8__FDSAUDITLINK__" hidden="1">{"fdsup://directions/FAT%20Viewer?VAR:PED=LTM&amp;VAR:AUDIT_MODE=SUMMARY&amp;VAR:PERIOD=FIXED&amp;VAR:AUDIT_ID=00000117&amp;VAR:DATE=20080613&amp;action=UPDATE&amp;creator=factset&amp;DOC_NAME=FAT:FMA_audit_SUMMARY.fat&amp;DISPLAY_STRING=Display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80__FDSAUDITLINK__" localSheetId="6" hidden="1">{"fdsup://directions/FAT Viewer?action=UPDATE&amp;creator=factset&amp;DYN_ARGS=TRUE&amp;DOC_NAME=FAT:FQL_AUDITING_CLIENT_TEMPLATE.FAT&amp;display_string=Audit&amp;VAR:KEY=FSZMXGTSDA&amp;VAR:QUERY=RkZfRUJJVERBX0lCKCdMVE1TJywzOTUzMyk=&amp;WINDOW=FIRST_POPUP&amp;HEIGHT=450&amp;WIDTH=450&amp;START_MA","XIMIZED=FALSE&amp;VAR:CALENDAR=US&amp;VAR:SYMBOL=N0098510&amp;VAR:INDEX=0"}</definedName>
    <definedName name="_6180__FDSAUDITLINK__" hidden="1">{"fdsup://directions/FAT Viewer?action=UPDATE&amp;creator=factset&amp;DYN_ARGS=TRUE&amp;DOC_NAME=FAT:FQL_AUDITING_CLIENT_TEMPLATE.FAT&amp;display_string=Audit&amp;VAR:KEY=FSZMXGTSDA&amp;VAR:QUERY=RkZfRUJJVERBX0lCKCdMVE1TJywzOTUzMyk=&amp;WINDOW=FIRST_POPUP&amp;HEIGHT=450&amp;WIDTH=450&amp;START_MA","XIMIZED=FALSE&amp;VAR:CALENDAR=US&amp;VAR:SYMBOL=N0098510&amp;VAR:INDEX=0"}</definedName>
    <definedName name="_6181__FDSAUDITLINK__" localSheetId="6" hidden="1">{"fdsup://directions/FAT Viewer?action=UPDATE&amp;creator=factset&amp;DYN_ARGS=TRUE&amp;DOC_NAME=FAT:FQL_AUDITING_CLIENT_TEMPLATE.FAT&amp;display_string=Audit&amp;VAR:KEY=JGDILIRAJI&amp;VAR:QUERY=RkZfRUJJVERBX0lCKCdMVE1TJywzOTUzMik=&amp;WINDOW=FIRST_POPUP&amp;HEIGHT=450&amp;WIDTH=450&amp;START_MA","XIMIZED=FALSE&amp;VAR:CALENDAR=US&amp;VAR:SYMBOL=N0098510&amp;VAR:INDEX=0"}</definedName>
    <definedName name="_6181__FDSAUDITLINK__" hidden="1">{"fdsup://directions/FAT Viewer?action=UPDATE&amp;creator=factset&amp;DYN_ARGS=TRUE&amp;DOC_NAME=FAT:FQL_AUDITING_CLIENT_TEMPLATE.FAT&amp;display_string=Audit&amp;VAR:KEY=JGDILIRAJI&amp;VAR:QUERY=RkZfRUJJVERBX0lCKCdMVE1TJywzOTUzMik=&amp;WINDOW=FIRST_POPUP&amp;HEIGHT=450&amp;WIDTH=450&amp;START_MA","XIMIZED=FALSE&amp;VAR:CALENDAR=US&amp;VAR:SYMBOL=N0098510&amp;VAR:INDEX=0"}</definedName>
    <definedName name="_6182__FDSAUDITLINK__" localSheetId="6" hidden="1">{"fdsup://directions/FAT Viewer?action=UPDATE&amp;creator=factset&amp;DYN_ARGS=TRUE&amp;DOC_NAME=FAT:FQL_AUDITING_CLIENT_TEMPLATE.FAT&amp;display_string=Audit&amp;VAR:KEY=VONIJATAPQ&amp;VAR:QUERY=RkZfRUJJVERBX0lCKCdMVE1TJywzOTUzMSk=&amp;WINDOW=FIRST_POPUP&amp;HEIGHT=450&amp;WIDTH=450&amp;START_MA","XIMIZED=FALSE&amp;VAR:CALENDAR=US&amp;VAR:SYMBOL=N0098510&amp;VAR:INDEX=0"}</definedName>
    <definedName name="_6182__FDSAUDITLINK__" hidden="1">{"fdsup://directions/FAT Viewer?action=UPDATE&amp;creator=factset&amp;DYN_ARGS=TRUE&amp;DOC_NAME=FAT:FQL_AUDITING_CLIENT_TEMPLATE.FAT&amp;display_string=Audit&amp;VAR:KEY=VONIJATAPQ&amp;VAR:QUERY=RkZfRUJJVERBX0lCKCdMVE1TJywzOTUzMSk=&amp;WINDOW=FIRST_POPUP&amp;HEIGHT=450&amp;WIDTH=450&amp;START_MA","XIMIZED=FALSE&amp;VAR:CALENDAR=US&amp;VAR:SYMBOL=N0098510&amp;VAR:INDEX=0"}</definedName>
    <definedName name="_6183__FDSAUDITLINK__" localSheetId="6" hidden="1">{"fdsup://directions/FAT Viewer?action=UPDATE&amp;creator=factset&amp;DYN_ARGS=TRUE&amp;DOC_NAME=FAT:FQL_AUDITING_CLIENT_TEMPLATE.FAT&amp;display_string=Audit&amp;VAR:KEY=PWJMVIFOLW&amp;VAR:QUERY=RkZfRUJJVERBX0lCKCdMVE1TJywzOTUzMCk=&amp;WINDOW=FIRST_POPUP&amp;HEIGHT=450&amp;WIDTH=450&amp;START_MA","XIMIZED=FALSE&amp;VAR:CALENDAR=US&amp;VAR:SYMBOL=N0098510&amp;VAR:INDEX=0"}</definedName>
    <definedName name="_6183__FDSAUDITLINK__" hidden="1">{"fdsup://directions/FAT Viewer?action=UPDATE&amp;creator=factset&amp;DYN_ARGS=TRUE&amp;DOC_NAME=FAT:FQL_AUDITING_CLIENT_TEMPLATE.FAT&amp;display_string=Audit&amp;VAR:KEY=PWJMVIFOLW&amp;VAR:QUERY=RkZfRUJJVERBX0lCKCdMVE1TJywzOTUzMCk=&amp;WINDOW=FIRST_POPUP&amp;HEIGHT=450&amp;WIDTH=450&amp;START_MA","XIMIZED=FALSE&amp;VAR:CALENDAR=US&amp;VAR:SYMBOL=N0098510&amp;VAR:INDEX=0"}</definedName>
    <definedName name="_6184__FDSAUDITLINK__" localSheetId="6" hidden="1">{"fdsup://directions/FAT Viewer?action=UPDATE&amp;creator=factset&amp;DYN_ARGS=TRUE&amp;DOC_NAME=FAT:FQL_AUDITING_CLIENT_TEMPLATE.FAT&amp;display_string=Audit&amp;VAR:KEY=VQJWJSLOTC&amp;VAR:QUERY=RkZfRUJJVERBX0lCKCdMVE1TJywzOTUyOSk=&amp;WINDOW=FIRST_POPUP&amp;HEIGHT=450&amp;WIDTH=450&amp;START_MA","XIMIZED=FALSE&amp;VAR:CALENDAR=US&amp;VAR:SYMBOL=N0098510&amp;VAR:INDEX=0"}</definedName>
    <definedName name="_6184__FDSAUDITLINK__" hidden="1">{"fdsup://directions/FAT Viewer?action=UPDATE&amp;creator=factset&amp;DYN_ARGS=TRUE&amp;DOC_NAME=FAT:FQL_AUDITING_CLIENT_TEMPLATE.FAT&amp;display_string=Audit&amp;VAR:KEY=VQJWJSLOTC&amp;VAR:QUERY=RkZfRUJJVERBX0lCKCdMVE1TJywzOTUyOSk=&amp;WINDOW=FIRST_POPUP&amp;HEIGHT=450&amp;WIDTH=450&amp;START_MA","XIMIZED=FALSE&amp;VAR:CALENDAR=US&amp;VAR:SYMBOL=N0098510&amp;VAR:INDEX=0"}</definedName>
    <definedName name="_6185__FDSAUDITLINK__" localSheetId="6" hidden="1">{"fdsup://directions/FAT Viewer?action=UPDATE&amp;creator=factset&amp;DYN_ARGS=TRUE&amp;DOC_NAME=FAT:FQL_AUDITING_CLIENT_TEMPLATE.FAT&amp;display_string=Audit&amp;VAR:KEY=TSRKXGLINO&amp;VAR:QUERY=RkZfRUJJVERBX0lCKCdMVE1TJywzOTUyOCk=&amp;WINDOW=FIRST_POPUP&amp;HEIGHT=450&amp;WIDTH=450&amp;START_MA","XIMIZED=FALSE&amp;VAR:CALENDAR=US&amp;VAR:SYMBOL=N0098510&amp;VAR:INDEX=0"}</definedName>
    <definedName name="_6185__FDSAUDITLINK__" hidden="1">{"fdsup://directions/FAT Viewer?action=UPDATE&amp;creator=factset&amp;DYN_ARGS=TRUE&amp;DOC_NAME=FAT:FQL_AUDITING_CLIENT_TEMPLATE.FAT&amp;display_string=Audit&amp;VAR:KEY=TSRKXGLINO&amp;VAR:QUERY=RkZfRUJJVERBX0lCKCdMVE1TJywzOTUyOCk=&amp;WINDOW=FIRST_POPUP&amp;HEIGHT=450&amp;WIDTH=450&amp;START_MA","XIMIZED=FALSE&amp;VAR:CALENDAR=US&amp;VAR:SYMBOL=N0098510&amp;VAR:INDEX=0"}</definedName>
    <definedName name="_6186__FDSAUDITLINK__" localSheetId="6" hidden="1">{"fdsup://directions/FAT Viewer?action=UPDATE&amp;creator=factset&amp;DYN_ARGS=TRUE&amp;DOC_NAME=FAT:FQL_AUDITING_CLIENT_TEMPLATE.FAT&amp;display_string=Audit&amp;VAR:KEY=VIDALWZYDA&amp;VAR:QUERY=RkZfRUJJVERBX0lCKCdMVE1TJywzOTUyNyk=&amp;WINDOW=FIRST_POPUP&amp;HEIGHT=450&amp;WIDTH=450&amp;START_MA","XIMIZED=FALSE&amp;VAR:CALENDAR=US&amp;VAR:SYMBOL=N0098510&amp;VAR:INDEX=0"}</definedName>
    <definedName name="_6186__FDSAUDITLINK__" hidden="1">{"fdsup://directions/FAT Viewer?action=UPDATE&amp;creator=factset&amp;DYN_ARGS=TRUE&amp;DOC_NAME=FAT:FQL_AUDITING_CLIENT_TEMPLATE.FAT&amp;display_string=Audit&amp;VAR:KEY=VIDALWZYDA&amp;VAR:QUERY=RkZfRUJJVERBX0lCKCdMVE1TJywzOTUyNyk=&amp;WINDOW=FIRST_POPUP&amp;HEIGHT=450&amp;WIDTH=450&amp;START_MA","XIMIZED=FALSE&amp;VAR:CALENDAR=US&amp;VAR:SYMBOL=N0098510&amp;VAR:INDEX=0"}</definedName>
    <definedName name="_6187__FDSAUDITLINK__" localSheetId="6" hidden="1">{"fdsup://directions/FAT Viewer?action=UPDATE&amp;creator=factset&amp;DYN_ARGS=TRUE&amp;DOC_NAME=FAT:FQL_AUDITING_CLIENT_TEMPLATE.FAT&amp;display_string=Audit&amp;VAR:KEY=LGHOLYVKDC&amp;VAR:QUERY=RkZfRUJJVERBX0lCKCdMVE1TJywzOTUyNik=&amp;WINDOW=FIRST_POPUP&amp;HEIGHT=450&amp;WIDTH=450&amp;START_MA","XIMIZED=FALSE&amp;VAR:CALENDAR=US&amp;VAR:SYMBOL=N0098510&amp;VAR:INDEX=0"}</definedName>
    <definedName name="_6187__FDSAUDITLINK__" hidden="1">{"fdsup://directions/FAT Viewer?action=UPDATE&amp;creator=factset&amp;DYN_ARGS=TRUE&amp;DOC_NAME=FAT:FQL_AUDITING_CLIENT_TEMPLATE.FAT&amp;display_string=Audit&amp;VAR:KEY=LGHOLYVKDC&amp;VAR:QUERY=RkZfRUJJVERBX0lCKCdMVE1TJywzOTUyNik=&amp;WINDOW=FIRST_POPUP&amp;HEIGHT=450&amp;WIDTH=450&amp;START_MA","XIMIZED=FALSE&amp;VAR:CALENDAR=US&amp;VAR:SYMBOL=N0098510&amp;VAR:INDEX=0"}</definedName>
    <definedName name="_6188__FDSAUDITLINK__" localSheetId="6" hidden="1">{"fdsup://directions/FAT Viewer?action=UPDATE&amp;creator=factset&amp;DYN_ARGS=TRUE&amp;DOC_NAME=FAT:FQL_AUDITING_CLIENT_TEMPLATE.FAT&amp;display_string=Audit&amp;VAR:KEY=JCHIHCJGJI&amp;VAR:QUERY=RkZfRUJJVERBX0lCKCdMVE1TJywzOTUyNSk=&amp;WINDOW=FIRST_POPUP&amp;HEIGHT=450&amp;WIDTH=450&amp;START_MA","XIMIZED=FALSE&amp;VAR:CALENDAR=US&amp;VAR:SYMBOL=N0098510&amp;VAR:INDEX=0"}</definedName>
    <definedName name="_6188__FDSAUDITLINK__" hidden="1">{"fdsup://directions/FAT Viewer?action=UPDATE&amp;creator=factset&amp;DYN_ARGS=TRUE&amp;DOC_NAME=FAT:FQL_AUDITING_CLIENT_TEMPLATE.FAT&amp;display_string=Audit&amp;VAR:KEY=JCHIHCJGJI&amp;VAR:QUERY=RkZfRUJJVERBX0lCKCdMVE1TJywzOTUyNSk=&amp;WINDOW=FIRST_POPUP&amp;HEIGHT=450&amp;WIDTH=450&amp;START_MA","XIMIZED=FALSE&amp;VAR:CALENDAR=US&amp;VAR:SYMBOL=N0098510&amp;VAR:INDEX=0"}</definedName>
    <definedName name="_6189__FDSAUDITLINK__" localSheetId="6" hidden="1">{"fdsup://directions/FAT Viewer?action=UPDATE&amp;creator=factset&amp;DYN_ARGS=TRUE&amp;DOC_NAME=FAT:FQL_AUDITING_CLIENT_TEMPLATE.FAT&amp;display_string=Audit&amp;VAR:KEY=BQXWXYFMPW&amp;VAR:QUERY=RkZfRUJJVERBX0lCKCdMVE1TJywzOTUyNCk=&amp;WINDOW=FIRST_POPUP&amp;HEIGHT=450&amp;WIDTH=450&amp;START_MA","XIMIZED=FALSE&amp;VAR:CALENDAR=US&amp;VAR:SYMBOL=N0098510&amp;VAR:INDEX=0"}</definedName>
    <definedName name="_6189__FDSAUDITLINK__" hidden="1">{"fdsup://directions/FAT Viewer?action=UPDATE&amp;creator=factset&amp;DYN_ARGS=TRUE&amp;DOC_NAME=FAT:FQL_AUDITING_CLIENT_TEMPLATE.FAT&amp;display_string=Audit&amp;VAR:KEY=BQXWXYFMPW&amp;VAR:QUERY=RkZfRUJJVERBX0lCKCdMVE1TJywzOTUyNCk=&amp;WINDOW=FIRST_POPUP&amp;HEIGHT=450&amp;WIDTH=450&amp;START_MA","XIMIZED=FALSE&amp;VAR:CALENDAR=US&amp;VAR:SYMBOL=N0098510&amp;VAR:INDEX=0"}</definedName>
    <definedName name="_619__FDSAUDITLINK__" localSheetId="6" hidden="1">{"fdsup://directions/FAT%20Viewer?VAR:PED=LTM&amp;VAR:AUDIT_MODE=SUMMARY&amp;VAR:PERIOD=FIXED&amp;VAR:AUDIT_ID=00000117&amp;VAR:DATE=20080612&amp;action=UPDATE&amp;creator=factset&amp;DOC_NAME=FAT:FMA_audit_SUMMARY.fat&amp;DISPLAY_STRING=Display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9__FDSAUDITLINK__" hidden="1">{"fdsup://directions/FAT%20Viewer?VAR:PED=LTM&amp;VAR:AUDIT_MODE=SUMMARY&amp;VAR:PERIOD=FIXED&amp;VAR:AUDIT_ID=00000117&amp;VAR:DATE=20080612&amp;action=UPDATE&amp;creator=factset&amp;DOC_NAME=FAT:FMA_audit_SUMMARY.fat&amp;DISPLAY_STRING=Display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190__FDSAUDITLINK__" localSheetId="6" hidden="1">{"fdsup://directions/FAT Viewer?action=UPDATE&amp;creator=factset&amp;DYN_ARGS=TRUE&amp;DOC_NAME=FAT:FQL_AUDITING_CLIENT_TEMPLATE.FAT&amp;display_string=Audit&amp;VAR:KEY=LEBUBKRODO&amp;VAR:QUERY=RkZfRUJJVERBX0lCKCdMVE1TJywzOTUyMyk=&amp;WINDOW=FIRST_POPUP&amp;HEIGHT=450&amp;WIDTH=450&amp;START_MA","XIMIZED=FALSE&amp;VAR:CALENDAR=US&amp;VAR:SYMBOL=N0098510&amp;VAR:INDEX=0"}</definedName>
    <definedName name="_6190__FDSAUDITLINK__" hidden="1">{"fdsup://directions/FAT Viewer?action=UPDATE&amp;creator=factset&amp;DYN_ARGS=TRUE&amp;DOC_NAME=FAT:FQL_AUDITING_CLIENT_TEMPLATE.FAT&amp;display_string=Audit&amp;VAR:KEY=LEBUBKRODO&amp;VAR:QUERY=RkZfRUJJVERBX0lCKCdMVE1TJywzOTUyMyk=&amp;WINDOW=FIRST_POPUP&amp;HEIGHT=450&amp;WIDTH=450&amp;START_MA","XIMIZED=FALSE&amp;VAR:CALENDAR=US&amp;VAR:SYMBOL=N0098510&amp;VAR:INDEX=0"}</definedName>
    <definedName name="_6191__FDSAUDITLINK__" localSheetId="6" hidden="1">{"fdsup://directions/FAT Viewer?action=UPDATE&amp;creator=factset&amp;DYN_ARGS=TRUE&amp;DOC_NAME=FAT:FQL_AUDITING_CLIENT_TEMPLATE.FAT&amp;display_string=Audit&amp;VAR:KEY=DOZQRCXITM&amp;VAR:QUERY=RkZfRUJJVERBX0lCKCdMVE1TJywzOTUyMik=&amp;WINDOW=FIRST_POPUP&amp;HEIGHT=450&amp;WIDTH=450&amp;START_MA","XIMIZED=FALSE&amp;VAR:CALENDAR=US&amp;VAR:SYMBOL=N0098510&amp;VAR:INDEX=0"}</definedName>
    <definedName name="_6191__FDSAUDITLINK__" hidden="1">{"fdsup://directions/FAT Viewer?action=UPDATE&amp;creator=factset&amp;DYN_ARGS=TRUE&amp;DOC_NAME=FAT:FQL_AUDITING_CLIENT_TEMPLATE.FAT&amp;display_string=Audit&amp;VAR:KEY=DOZQRCXITM&amp;VAR:QUERY=RkZfRUJJVERBX0lCKCdMVE1TJywzOTUyMik=&amp;WINDOW=FIRST_POPUP&amp;HEIGHT=450&amp;WIDTH=450&amp;START_MA","XIMIZED=FALSE&amp;VAR:CALENDAR=US&amp;VAR:SYMBOL=N0098510&amp;VAR:INDEX=0"}</definedName>
    <definedName name="_6192__FDSAUDITLINK__" localSheetId="6" hidden="1">{"fdsup://directions/FAT Viewer?action=UPDATE&amp;creator=factset&amp;DYN_ARGS=TRUE&amp;DOC_NAME=FAT:FQL_AUDITING_CLIENT_TEMPLATE.FAT&amp;display_string=Audit&amp;VAR:KEY=VSFUBMZUZK&amp;VAR:QUERY=RkZfRUJJVERBX0lCKCdMVE1TJywzOTUyMSk=&amp;WINDOW=FIRST_POPUP&amp;HEIGHT=450&amp;WIDTH=450&amp;START_MA","XIMIZED=FALSE&amp;VAR:CALENDAR=US&amp;VAR:SYMBOL=N0098510&amp;VAR:INDEX=0"}</definedName>
    <definedName name="_6192__FDSAUDITLINK__" hidden="1">{"fdsup://directions/FAT Viewer?action=UPDATE&amp;creator=factset&amp;DYN_ARGS=TRUE&amp;DOC_NAME=FAT:FQL_AUDITING_CLIENT_TEMPLATE.FAT&amp;display_string=Audit&amp;VAR:KEY=VSFUBMZUZK&amp;VAR:QUERY=RkZfRUJJVERBX0lCKCdMVE1TJywzOTUyMSk=&amp;WINDOW=FIRST_POPUP&amp;HEIGHT=450&amp;WIDTH=450&amp;START_MA","XIMIZED=FALSE&amp;VAR:CALENDAR=US&amp;VAR:SYMBOL=N0098510&amp;VAR:INDEX=0"}</definedName>
    <definedName name="_6193__FDSAUDITLINK__" localSheetId="6" hidden="1">{"fdsup://directions/FAT Viewer?action=UPDATE&amp;creator=factset&amp;DYN_ARGS=TRUE&amp;DOC_NAME=FAT:FQL_AUDITING_CLIENT_TEMPLATE.FAT&amp;display_string=Audit&amp;VAR:KEY=RSDYHGPKNG&amp;VAR:QUERY=RkZfRUJJVERBX0lCKCdMVE1TJywzOTUyMCk=&amp;WINDOW=FIRST_POPUP&amp;HEIGHT=450&amp;WIDTH=450&amp;START_MA","XIMIZED=FALSE&amp;VAR:CALENDAR=US&amp;VAR:SYMBOL=N0098510&amp;VAR:INDEX=0"}</definedName>
    <definedName name="_6193__FDSAUDITLINK__" hidden="1">{"fdsup://directions/FAT Viewer?action=UPDATE&amp;creator=factset&amp;DYN_ARGS=TRUE&amp;DOC_NAME=FAT:FQL_AUDITING_CLIENT_TEMPLATE.FAT&amp;display_string=Audit&amp;VAR:KEY=RSDYHGPKNG&amp;VAR:QUERY=RkZfRUJJVERBX0lCKCdMVE1TJywzOTUyMCk=&amp;WINDOW=FIRST_POPUP&amp;HEIGHT=450&amp;WIDTH=450&amp;START_MA","XIMIZED=FALSE&amp;VAR:CALENDAR=US&amp;VAR:SYMBOL=N0098510&amp;VAR:INDEX=0"}</definedName>
    <definedName name="_6194__FDSAUDITLINK__" localSheetId="6" hidden="1">{"fdsup://directions/FAT Viewer?action=UPDATE&amp;creator=factset&amp;DYN_ARGS=TRUE&amp;DOC_NAME=FAT:FQL_AUDITING_CLIENT_TEMPLATE.FAT&amp;display_string=Audit&amp;VAR:KEY=ZYDCTGDQXS&amp;VAR:QUERY=RkZfRUJJVERBX0lCKCdMVE1TJywzOTUxOSk=&amp;WINDOW=FIRST_POPUP&amp;HEIGHT=450&amp;WIDTH=450&amp;START_MA","XIMIZED=FALSE&amp;VAR:CALENDAR=US&amp;VAR:SYMBOL=N0098510&amp;VAR:INDEX=0"}</definedName>
    <definedName name="_6194__FDSAUDITLINK__" hidden="1">{"fdsup://directions/FAT Viewer?action=UPDATE&amp;creator=factset&amp;DYN_ARGS=TRUE&amp;DOC_NAME=FAT:FQL_AUDITING_CLIENT_TEMPLATE.FAT&amp;display_string=Audit&amp;VAR:KEY=ZYDCTGDQXS&amp;VAR:QUERY=RkZfRUJJVERBX0lCKCdMVE1TJywzOTUxOSk=&amp;WINDOW=FIRST_POPUP&amp;HEIGHT=450&amp;WIDTH=450&amp;START_MA","XIMIZED=FALSE&amp;VAR:CALENDAR=US&amp;VAR:SYMBOL=N0098510&amp;VAR:INDEX=0"}</definedName>
    <definedName name="_6195__FDSAUDITLINK__" localSheetId="6" hidden="1">{"fdsup://directions/FAT Viewer?action=UPDATE&amp;creator=factset&amp;DYN_ARGS=TRUE&amp;DOC_NAME=FAT:FQL_AUDITING_CLIENT_TEMPLATE.FAT&amp;display_string=Audit&amp;VAR:KEY=DWFQJETENE&amp;VAR:QUERY=RkZfRUJJVERBX0lCKCdMVE1TJywzOTUxOCk=&amp;WINDOW=FIRST_POPUP&amp;HEIGHT=450&amp;WIDTH=450&amp;START_MA","XIMIZED=FALSE&amp;VAR:CALENDAR=US&amp;VAR:SYMBOL=N0098510&amp;VAR:INDEX=0"}</definedName>
    <definedName name="_6195__FDSAUDITLINK__" hidden="1">{"fdsup://directions/FAT Viewer?action=UPDATE&amp;creator=factset&amp;DYN_ARGS=TRUE&amp;DOC_NAME=FAT:FQL_AUDITING_CLIENT_TEMPLATE.FAT&amp;display_string=Audit&amp;VAR:KEY=DWFQJETENE&amp;VAR:QUERY=RkZfRUJJVERBX0lCKCdMVE1TJywzOTUxOCk=&amp;WINDOW=FIRST_POPUP&amp;HEIGHT=450&amp;WIDTH=450&amp;START_MA","XIMIZED=FALSE&amp;VAR:CALENDAR=US&amp;VAR:SYMBOL=N0098510&amp;VAR:INDEX=0"}</definedName>
    <definedName name="_6196__FDSAUDITLINK__" localSheetId="6" hidden="1">{"fdsup://directions/FAT Viewer?action=UPDATE&amp;creator=factset&amp;DYN_ARGS=TRUE&amp;DOC_NAME=FAT:FQL_AUDITING_CLIENT_TEMPLATE.FAT&amp;display_string=Audit&amp;VAR:KEY=RYRGBYVEXQ&amp;VAR:QUERY=RkZfRUJJVERBX0lCKCdMVE1TJywzOTUxNyk=&amp;WINDOW=FIRST_POPUP&amp;HEIGHT=450&amp;WIDTH=450&amp;START_MA","XIMIZED=FALSE&amp;VAR:CALENDAR=US&amp;VAR:SYMBOL=N0098510&amp;VAR:INDEX=0"}</definedName>
    <definedName name="_6196__FDSAUDITLINK__" hidden="1">{"fdsup://directions/FAT Viewer?action=UPDATE&amp;creator=factset&amp;DYN_ARGS=TRUE&amp;DOC_NAME=FAT:FQL_AUDITING_CLIENT_TEMPLATE.FAT&amp;display_string=Audit&amp;VAR:KEY=RYRGBYVEXQ&amp;VAR:QUERY=RkZfRUJJVERBX0lCKCdMVE1TJywzOTUxNyk=&amp;WINDOW=FIRST_POPUP&amp;HEIGHT=450&amp;WIDTH=450&amp;START_MA","XIMIZED=FALSE&amp;VAR:CALENDAR=US&amp;VAR:SYMBOL=N0098510&amp;VAR:INDEX=0"}</definedName>
    <definedName name="_6197__FDSAUDITLINK__" localSheetId="6" hidden="1">{"fdsup://directions/FAT Viewer?action=UPDATE&amp;creator=factset&amp;DYN_ARGS=TRUE&amp;DOC_NAME=FAT:FQL_AUDITING_CLIENT_TEMPLATE.FAT&amp;display_string=Audit&amp;VAR:KEY=HSVALWRIZC&amp;VAR:QUERY=RkZfRUJJVERBX0lCKCdMVE1TJywzOTUxNik=&amp;WINDOW=FIRST_POPUP&amp;HEIGHT=450&amp;WIDTH=450&amp;START_MA","XIMIZED=FALSE&amp;VAR:CALENDAR=US&amp;VAR:SYMBOL=N0098510&amp;VAR:INDEX=0"}</definedName>
    <definedName name="_6197__FDSAUDITLINK__" hidden="1">{"fdsup://directions/FAT Viewer?action=UPDATE&amp;creator=factset&amp;DYN_ARGS=TRUE&amp;DOC_NAME=FAT:FQL_AUDITING_CLIENT_TEMPLATE.FAT&amp;display_string=Audit&amp;VAR:KEY=HSVALWRIZC&amp;VAR:QUERY=RkZfRUJJVERBX0lCKCdMVE1TJywzOTUxNik=&amp;WINDOW=FIRST_POPUP&amp;HEIGHT=450&amp;WIDTH=450&amp;START_MA","XIMIZED=FALSE&amp;VAR:CALENDAR=US&amp;VAR:SYMBOL=N0098510&amp;VAR:INDEX=0"}</definedName>
    <definedName name="_6198__FDSAUDITLINK__" localSheetId="6" hidden="1">{"fdsup://directions/FAT Viewer?action=UPDATE&amp;creator=factset&amp;DYN_ARGS=TRUE&amp;DOC_NAME=FAT:FQL_AUDITING_CLIENT_TEMPLATE.FAT&amp;display_string=Audit&amp;VAR:KEY=JULMHCZMLA&amp;VAR:QUERY=RkZfRUJJVERBX0lCKCdMVE1TJywzOTUxNSk=&amp;WINDOW=FIRST_POPUP&amp;HEIGHT=450&amp;WIDTH=450&amp;START_MA","XIMIZED=FALSE&amp;VAR:CALENDAR=US&amp;VAR:SYMBOL=N0098510&amp;VAR:INDEX=0"}</definedName>
    <definedName name="_6198__FDSAUDITLINK__" hidden="1">{"fdsup://directions/FAT Viewer?action=UPDATE&amp;creator=factset&amp;DYN_ARGS=TRUE&amp;DOC_NAME=FAT:FQL_AUDITING_CLIENT_TEMPLATE.FAT&amp;display_string=Audit&amp;VAR:KEY=JULMHCZMLA&amp;VAR:QUERY=RkZfRUJJVERBX0lCKCdMVE1TJywzOTUxNSk=&amp;WINDOW=FIRST_POPUP&amp;HEIGHT=450&amp;WIDTH=450&amp;START_MA","XIMIZED=FALSE&amp;VAR:CALENDAR=US&amp;VAR:SYMBOL=N0098510&amp;VAR:INDEX=0"}</definedName>
    <definedName name="_6199__FDSAUDITLINK__" localSheetId="6" hidden="1">{"fdsup://directions/FAT Viewer?action=UPDATE&amp;creator=factset&amp;DYN_ARGS=TRUE&amp;DOC_NAME=FAT:FQL_AUDITING_CLIENT_TEMPLATE.FAT&amp;display_string=Audit&amp;VAR:KEY=XKRWVSXAHO&amp;VAR:QUERY=RkZfRUJJVERBX0lCKCdMVE1TJywzOTUxNCk=&amp;WINDOW=FIRST_POPUP&amp;HEIGHT=450&amp;WIDTH=450&amp;START_MA","XIMIZED=FALSE&amp;VAR:CALENDAR=US&amp;VAR:SYMBOL=N0098510&amp;VAR:INDEX=0"}</definedName>
    <definedName name="_6199__FDSAUDITLINK__" hidden="1">{"fdsup://directions/FAT Viewer?action=UPDATE&amp;creator=factset&amp;DYN_ARGS=TRUE&amp;DOC_NAME=FAT:FQL_AUDITING_CLIENT_TEMPLATE.FAT&amp;display_string=Audit&amp;VAR:KEY=XKRWVSXAHO&amp;VAR:QUERY=RkZfRUJJVERBX0lCKCdMVE1TJywzOTUxNCk=&amp;WINDOW=FIRST_POPUP&amp;HEIGHT=450&amp;WIDTH=450&amp;START_MA","XIMIZED=FALSE&amp;VAR:CALENDAR=US&amp;VAR:SYMBOL=N0098510&amp;VAR:INDEX=0"}</definedName>
    <definedName name="_620__FDSAUDITLINK__" localSheetId="6" hidden="1">{"fdsup://directions/FAT%20Viewer?VAR:PED=LTM&amp;VAR:AUDIT_MODE=SUMMARY&amp;VAR:PERIOD=FIXED&amp;VAR:AUDIT_ID=00000117&amp;VAR:DATE=20080611&amp;action=UPDATE&amp;creator=factset&amp;DOC_NAME=FAT:FMA_audit_SUMMARY.fat&amp;DISPLAY_STRING=Display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0__FDSAUDITLINK__" hidden="1">{"fdsup://directions/FAT%20Viewer?VAR:PED=LTM&amp;VAR:AUDIT_MODE=SUMMARY&amp;VAR:PERIOD=FIXED&amp;VAR:AUDIT_ID=00000117&amp;VAR:DATE=20080611&amp;action=UPDATE&amp;creator=factset&amp;DOC_NAME=FAT:FMA_audit_SUMMARY.fat&amp;DISPLAY_STRING=Display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00__FDSAUDITLINK__" localSheetId="6" hidden="1">{"fdsup://directions/FAT Viewer?action=UPDATE&amp;creator=factset&amp;DYN_ARGS=TRUE&amp;DOC_NAME=FAT:FQL_AUDITING_CLIENT_TEMPLATE.FAT&amp;display_string=Audit&amp;VAR:KEY=NKFCXIBERU&amp;VAR:QUERY=RkZfRUJJVERBX0lCKCdMVE1TJywzOTUxMyk=&amp;WINDOW=FIRST_POPUP&amp;HEIGHT=450&amp;WIDTH=450&amp;START_MA","XIMIZED=FALSE&amp;VAR:CALENDAR=US&amp;VAR:SYMBOL=N0098510&amp;VAR:INDEX=0"}</definedName>
    <definedName name="_6200__FDSAUDITLINK__" hidden="1">{"fdsup://directions/FAT Viewer?action=UPDATE&amp;creator=factset&amp;DYN_ARGS=TRUE&amp;DOC_NAME=FAT:FQL_AUDITING_CLIENT_TEMPLATE.FAT&amp;display_string=Audit&amp;VAR:KEY=NKFCXIBERU&amp;VAR:QUERY=RkZfRUJJVERBX0lCKCdMVE1TJywzOTUxMyk=&amp;WINDOW=FIRST_POPUP&amp;HEIGHT=450&amp;WIDTH=450&amp;START_MA","XIMIZED=FALSE&amp;VAR:CALENDAR=US&amp;VAR:SYMBOL=N0098510&amp;VAR:INDEX=0"}</definedName>
    <definedName name="_6201__FDSAUDITLINK__" localSheetId="6" hidden="1">{"fdsup://directions/FAT Viewer?action=UPDATE&amp;creator=factset&amp;DYN_ARGS=TRUE&amp;DOC_NAME=FAT:FQL_AUDITING_CLIENT_TEMPLATE.FAT&amp;display_string=Audit&amp;VAR:KEY=NQVGRWNCXW&amp;VAR:QUERY=RkZfRUJJVERBX0lCKCdMVE1TJywzOTUxMik=&amp;WINDOW=FIRST_POPUP&amp;HEIGHT=450&amp;WIDTH=450&amp;START_MA","XIMIZED=FALSE&amp;VAR:CALENDAR=US&amp;VAR:SYMBOL=N0098510&amp;VAR:INDEX=0"}</definedName>
    <definedName name="_6201__FDSAUDITLINK__" hidden="1">{"fdsup://directions/FAT Viewer?action=UPDATE&amp;creator=factset&amp;DYN_ARGS=TRUE&amp;DOC_NAME=FAT:FQL_AUDITING_CLIENT_TEMPLATE.FAT&amp;display_string=Audit&amp;VAR:KEY=NQVGRWNCXW&amp;VAR:QUERY=RkZfRUJJVERBX0lCKCdMVE1TJywzOTUxMik=&amp;WINDOW=FIRST_POPUP&amp;HEIGHT=450&amp;WIDTH=450&amp;START_MA","XIMIZED=FALSE&amp;VAR:CALENDAR=US&amp;VAR:SYMBOL=N0098510&amp;VAR:INDEX=0"}</definedName>
    <definedName name="_6202__FDSAUDITLINK__" localSheetId="6" hidden="1">{"fdsup://directions/FAT Viewer?action=UPDATE&amp;creator=factset&amp;DYN_ARGS=TRUE&amp;DOC_NAME=FAT:FQL_AUDITING_CLIENT_TEMPLATE.FAT&amp;display_string=Audit&amp;VAR:KEY=VQZCTGHKPC&amp;VAR:QUERY=RkZfRUJJVERBX0lCKCdMVE1TJywzOTUxMSk=&amp;WINDOW=FIRST_POPUP&amp;HEIGHT=450&amp;WIDTH=450&amp;START_MA","XIMIZED=FALSE&amp;VAR:CALENDAR=US&amp;VAR:SYMBOL=N0098510&amp;VAR:INDEX=0"}</definedName>
    <definedName name="_6202__FDSAUDITLINK__" hidden="1">{"fdsup://directions/FAT Viewer?action=UPDATE&amp;creator=factset&amp;DYN_ARGS=TRUE&amp;DOC_NAME=FAT:FQL_AUDITING_CLIENT_TEMPLATE.FAT&amp;display_string=Audit&amp;VAR:KEY=VQZCTGHKPC&amp;VAR:QUERY=RkZfRUJJVERBX0lCKCdMVE1TJywzOTUxMSk=&amp;WINDOW=FIRST_POPUP&amp;HEIGHT=450&amp;WIDTH=450&amp;START_MA","XIMIZED=FALSE&amp;VAR:CALENDAR=US&amp;VAR:SYMBOL=N0098510&amp;VAR:INDEX=0"}</definedName>
    <definedName name="_6203__FDSAUDITLINK__" localSheetId="6" hidden="1">{"fdsup://directions/FAT Viewer?action=UPDATE&amp;creator=factset&amp;DYN_ARGS=TRUE&amp;DOC_NAME=FAT:FQL_AUDITING_CLIENT_TEMPLATE.FAT&amp;display_string=Audit&amp;VAR:KEY=TMNSFOTGFS&amp;VAR:QUERY=RkZfRUJJVERBX0lCKCdMVE1TJywzOTUxMCk=&amp;WINDOW=FIRST_POPUP&amp;HEIGHT=450&amp;WIDTH=450&amp;START_MA","XIMIZED=FALSE&amp;VAR:CALENDAR=US&amp;VAR:SYMBOL=N0098510&amp;VAR:INDEX=0"}</definedName>
    <definedName name="_6203__FDSAUDITLINK__" hidden="1">{"fdsup://directions/FAT Viewer?action=UPDATE&amp;creator=factset&amp;DYN_ARGS=TRUE&amp;DOC_NAME=FAT:FQL_AUDITING_CLIENT_TEMPLATE.FAT&amp;display_string=Audit&amp;VAR:KEY=TMNSFOTGFS&amp;VAR:QUERY=RkZfRUJJVERBX0lCKCdMVE1TJywzOTUxMCk=&amp;WINDOW=FIRST_POPUP&amp;HEIGHT=450&amp;WIDTH=450&amp;START_MA","XIMIZED=FALSE&amp;VAR:CALENDAR=US&amp;VAR:SYMBOL=N0098510&amp;VAR:INDEX=0"}</definedName>
    <definedName name="_6204__FDSAUDITLINK__" localSheetId="6" hidden="1">{"fdsup://directions/FAT Viewer?action=UPDATE&amp;creator=factset&amp;DYN_ARGS=TRUE&amp;DOC_NAME=FAT:FQL_AUDITING_CLIENT_TEMPLATE.FAT&amp;display_string=Audit&amp;VAR:KEY=VUVYHGRGXM&amp;VAR:QUERY=RkZfRUJJVERBX0lCKCdMVE1TJywzOTUwOSk=&amp;WINDOW=FIRST_POPUP&amp;HEIGHT=450&amp;WIDTH=450&amp;START_MA","XIMIZED=FALSE&amp;VAR:CALENDAR=US&amp;VAR:SYMBOL=N0098510&amp;VAR:INDEX=0"}</definedName>
    <definedName name="_6204__FDSAUDITLINK__" hidden="1">{"fdsup://directions/FAT Viewer?action=UPDATE&amp;creator=factset&amp;DYN_ARGS=TRUE&amp;DOC_NAME=FAT:FQL_AUDITING_CLIENT_TEMPLATE.FAT&amp;display_string=Audit&amp;VAR:KEY=VUVYHGRGXM&amp;VAR:QUERY=RkZfRUJJVERBX0lCKCdMVE1TJywzOTUwOSk=&amp;WINDOW=FIRST_POPUP&amp;HEIGHT=450&amp;WIDTH=450&amp;START_MA","XIMIZED=FALSE&amp;VAR:CALENDAR=US&amp;VAR:SYMBOL=N0098510&amp;VAR:INDEX=0"}</definedName>
    <definedName name="_6205__FDSAUDITLINK__" localSheetId="6" hidden="1">{"fdsup://directions/FAT Viewer?action=UPDATE&amp;creator=factset&amp;DYN_ARGS=TRUE&amp;DOC_NAME=FAT:FQL_AUDITING_CLIENT_TEMPLATE.FAT&amp;display_string=Audit&amp;VAR:KEY=TURANCFYRY&amp;VAR:QUERY=RkZfRUJJVERBX0lCKCdMVE1TJywzOTUwOCk=&amp;WINDOW=FIRST_POPUP&amp;HEIGHT=450&amp;WIDTH=450&amp;START_MA","XIMIZED=FALSE&amp;VAR:CALENDAR=US&amp;VAR:SYMBOL=N0098510&amp;VAR:INDEX=0"}</definedName>
    <definedName name="_6205__FDSAUDITLINK__" hidden="1">{"fdsup://directions/FAT Viewer?action=UPDATE&amp;creator=factset&amp;DYN_ARGS=TRUE&amp;DOC_NAME=FAT:FQL_AUDITING_CLIENT_TEMPLATE.FAT&amp;display_string=Audit&amp;VAR:KEY=TURANCFYRY&amp;VAR:QUERY=RkZfRUJJVERBX0lCKCdMVE1TJywzOTUwOCk=&amp;WINDOW=FIRST_POPUP&amp;HEIGHT=450&amp;WIDTH=450&amp;START_MA","XIMIZED=FALSE&amp;VAR:CALENDAR=US&amp;VAR:SYMBOL=N0098510&amp;VAR:INDEX=0"}</definedName>
    <definedName name="_6206__FDSAUDITLINK__" localSheetId="6" hidden="1">{"fdsup://directions/FAT Viewer?action=UPDATE&amp;creator=factset&amp;DYN_ARGS=TRUE&amp;DOC_NAME=FAT:FQL_AUDITING_CLIENT_TEMPLATE.FAT&amp;display_string=Audit&amp;VAR:KEY=RYNCTCRYTQ&amp;VAR:QUERY=RkZfRUJJVERBX0lCKCdMVE1TJywzOTUwNyk=&amp;WINDOW=FIRST_POPUP&amp;HEIGHT=450&amp;WIDTH=450&amp;START_MA","XIMIZED=FALSE&amp;VAR:CALENDAR=US&amp;VAR:SYMBOL=N0098510&amp;VAR:INDEX=0"}</definedName>
    <definedName name="_6206__FDSAUDITLINK__" hidden="1">{"fdsup://directions/FAT Viewer?action=UPDATE&amp;creator=factset&amp;DYN_ARGS=TRUE&amp;DOC_NAME=FAT:FQL_AUDITING_CLIENT_TEMPLATE.FAT&amp;display_string=Audit&amp;VAR:KEY=RYNCTCRYTQ&amp;VAR:QUERY=RkZfRUJJVERBX0lCKCdMVE1TJywzOTUwNyk=&amp;WINDOW=FIRST_POPUP&amp;HEIGHT=450&amp;WIDTH=450&amp;START_MA","XIMIZED=FALSE&amp;VAR:CALENDAR=US&amp;VAR:SYMBOL=N0098510&amp;VAR:INDEX=0"}</definedName>
    <definedName name="_6207__FDSAUDITLINK__" localSheetId="6" hidden="1">{"fdsup://directions/FAT Viewer?action=UPDATE&amp;creator=factset&amp;DYN_ARGS=TRUE&amp;DOC_NAME=FAT:FQL_AUDITING_CLIENT_TEMPLATE.FAT&amp;display_string=Audit&amp;VAR:KEY=LMFEZIVGHW&amp;VAR:QUERY=RkZfRUJJVERBX0lCKCdMVE1TJywzOTUwNik=&amp;WINDOW=FIRST_POPUP&amp;HEIGHT=450&amp;WIDTH=450&amp;START_MA","XIMIZED=FALSE&amp;VAR:CALENDAR=US&amp;VAR:SYMBOL=N0098510&amp;VAR:INDEX=0"}</definedName>
    <definedName name="_6207__FDSAUDITLINK__" hidden="1">{"fdsup://directions/FAT Viewer?action=UPDATE&amp;creator=factset&amp;DYN_ARGS=TRUE&amp;DOC_NAME=FAT:FQL_AUDITING_CLIENT_TEMPLATE.FAT&amp;display_string=Audit&amp;VAR:KEY=LMFEZIVGHW&amp;VAR:QUERY=RkZfRUJJVERBX0lCKCdMVE1TJywzOTUwNik=&amp;WINDOW=FIRST_POPUP&amp;HEIGHT=450&amp;WIDTH=450&amp;START_MA","XIMIZED=FALSE&amp;VAR:CALENDAR=US&amp;VAR:SYMBOL=N0098510&amp;VAR:INDEX=0"}</definedName>
    <definedName name="_6208__FDSAUDITLINK__" localSheetId="6" hidden="1">{"fdsup://directions/FAT Viewer?action=UPDATE&amp;creator=factset&amp;DYN_ARGS=TRUE&amp;DOC_NAME=FAT:FQL_AUDITING_CLIENT_TEMPLATE.FAT&amp;display_string=Audit&amp;VAR:KEY=DCJGHGRILK&amp;VAR:QUERY=RkZfRUJJVERBX0lCKCdMVE1TJywzOTUwNSk=&amp;WINDOW=FIRST_POPUP&amp;HEIGHT=450&amp;WIDTH=450&amp;START_MA","XIMIZED=FALSE&amp;VAR:CALENDAR=US&amp;VAR:SYMBOL=N0098510&amp;VAR:INDEX=0"}</definedName>
    <definedName name="_6208__FDSAUDITLINK__" hidden="1">{"fdsup://directions/FAT Viewer?action=UPDATE&amp;creator=factset&amp;DYN_ARGS=TRUE&amp;DOC_NAME=FAT:FQL_AUDITING_CLIENT_TEMPLATE.FAT&amp;display_string=Audit&amp;VAR:KEY=DCJGHGRILK&amp;VAR:QUERY=RkZfRUJJVERBX0lCKCdMVE1TJywzOTUwNSk=&amp;WINDOW=FIRST_POPUP&amp;HEIGHT=450&amp;WIDTH=450&amp;START_MA","XIMIZED=FALSE&amp;VAR:CALENDAR=US&amp;VAR:SYMBOL=N0098510&amp;VAR:INDEX=0"}</definedName>
    <definedName name="_6209__FDSAUDITLINK__" localSheetId="6" hidden="1">{"fdsup://directions/FAT Viewer?action=UPDATE&amp;creator=factset&amp;DYN_ARGS=TRUE&amp;DOC_NAME=FAT:FQL_AUDITING_CLIENT_TEMPLATE.FAT&amp;display_string=Audit&amp;VAR:KEY=XOTIRGLMRK&amp;VAR:QUERY=RkZfRUJJVERBX0lCKCdMVE1TJywzOTUwNCk=&amp;WINDOW=FIRST_POPUP&amp;HEIGHT=450&amp;WIDTH=450&amp;START_MA","XIMIZED=FALSE&amp;VAR:CALENDAR=US&amp;VAR:SYMBOL=N0098510&amp;VAR:INDEX=0"}</definedName>
    <definedName name="_6209__FDSAUDITLINK__" hidden="1">{"fdsup://directions/FAT Viewer?action=UPDATE&amp;creator=factset&amp;DYN_ARGS=TRUE&amp;DOC_NAME=FAT:FQL_AUDITING_CLIENT_TEMPLATE.FAT&amp;display_string=Audit&amp;VAR:KEY=XOTIRGLMRK&amp;VAR:QUERY=RkZfRUJJVERBX0lCKCdMVE1TJywzOTUwNCk=&amp;WINDOW=FIRST_POPUP&amp;HEIGHT=450&amp;WIDTH=450&amp;START_MA","XIMIZED=FALSE&amp;VAR:CALENDAR=US&amp;VAR:SYMBOL=N0098510&amp;VAR:INDEX=0"}</definedName>
    <definedName name="_621__FDSAUDITLINK__" localSheetId="6" hidden="1">{"fdsup://directions/FAT%20Viewer?VAR:PED=LTM&amp;VAR:AUDIT_MODE=SUMMARY&amp;VAR:PERIOD=FIXED&amp;VAR:AUDIT_ID=00000117&amp;VAR:DATE=20080610&amp;action=UPDATE&amp;creator=factset&amp;DOC_NAME=FAT:FMA_audit_SUMMARY.fat&amp;DISPLAY_STRING=Display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1__FDSAUDITLINK__" hidden="1">{"fdsup://directions/FAT%20Viewer?VAR:PED=LTM&amp;VAR:AUDIT_MODE=SUMMARY&amp;VAR:PERIOD=FIXED&amp;VAR:AUDIT_ID=00000117&amp;VAR:DATE=20080610&amp;action=UPDATE&amp;creator=factset&amp;DOC_NAME=FAT:FMA_audit_SUMMARY.fat&amp;DISPLAY_STRING=Display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10__FDSAUDITLINK__" localSheetId="6" hidden="1">{"fdsup://directions/FAT Viewer?action=UPDATE&amp;creator=factset&amp;DYN_ARGS=TRUE&amp;DOC_NAME=FAT:FQL_AUDITING_CLIENT_TEMPLATE.FAT&amp;display_string=Audit&amp;VAR:KEY=HWDCXOBYBA&amp;VAR:QUERY=RkZfRUJJVERBX0lCKCdMVE1TJywzOTUwMyk=&amp;WINDOW=FIRST_POPUP&amp;HEIGHT=450&amp;WIDTH=450&amp;START_MA","XIMIZED=FALSE&amp;VAR:CALENDAR=US&amp;VAR:SYMBOL=N0098510&amp;VAR:INDEX=0"}</definedName>
    <definedName name="_6210__FDSAUDITLINK__" hidden="1">{"fdsup://directions/FAT Viewer?action=UPDATE&amp;creator=factset&amp;DYN_ARGS=TRUE&amp;DOC_NAME=FAT:FQL_AUDITING_CLIENT_TEMPLATE.FAT&amp;display_string=Audit&amp;VAR:KEY=HWDCXOBYBA&amp;VAR:QUERY=RkZfRUJJVERBX0lCKCdMVE1TJywzOTUwMyk=&amp;WINDOW=FIRST_POPUP&amp;HEIGHT=450&amp;WIDTH=450&amp;START_MA","XIMIZED=FALSE&amp;VAR:CALENDAR=US&amp;VAR:SYMBOL=N0098510&amp;VAR:INDEX=0"}</definedName>
    <definedName name="_6211__FDSAUDITLINK__" localSheetId="6" hidden="1">{"fdsup://directions/FAT Viewer?action=UPDATE&amp;creator=factset&amp;DYN_ARGS=TRUE&amp;DOC_NAME=FAT:FQL_AUDITING_CLIENT_TEMPLATE.FAT&amp;display_string=Audit&amp;VAR:KEY=DOJSFOXQPA&amp;VAR:QUERY=RkZfRUJJVERBX0lCKCdMVE1TJywzOTUwMik=&amp;WINDOW=FIRST_POPUP&amp;HEIGHT=450&amp;WIDTH=450&amp;START_MA","XIMIZED=FALSE&amp;VAR:CALENDAR=US&amp;VAR:SYMBOL=N0098510&amp;VAR:INDEX=0"}</definedName>
    <definedName name="_6211__FDSAUDITLINK__" hidden="1">{"fdsup://directions/FAT Viewer?action=UPDATE&amp;creator=factset&amp;DYN_ARGS=TRUE&amp;DOC_NAME=FAT:FQL_AUDITING_CLIENT_TEMPLATE.FAT&amp;display_string=Audit&amp;VAR:KEY=DOJSFOXQPA&amp;VAR:QUERY=RkZfRUJJVERBX0lCKCdMVE1TJywzOTUwMik=&amp;WINDOW=FIRST_POPUP&amp;HEIGHT=450&amp;WIDTH=450&amp;START_MA","XIMIZED=FALSE&amp;VAR:CALENDAR=US&amp;VAR:SYMBOL=N0098510&amp;VAR:INDEX=0"}</definedName>
    <definedName name="_6212__FDSAUDITLINK__" localSheetId="6" hidden="1">{"fdsup://directions/FAT Viewer?action=UPDATE&amp;creator=factset&amp;DYN_ARGS=TRUE&amp;DOC_NAME=FAT:FQL_AUDITING_CLIENT_TEMPLATE.FAT&amp;display_string=Audit&amp;VAR:KEY=DAPGLMTONU&amp;VAR:QUERY=RkZfRUJJVERBX0lCKCdMVE1TJywzOTUwMSk=&amp;WINDOW=FIRST_POPUP&amp;HEIGHT=450&amp;WIDTH=450&amp;START_MA","XIMIZED=FALSE&amp;VAR:CALENDAR=US&amp;VAR:SYMBOL=N0098510&amp;VAR:INDEX=0"}</definedName>
    <definedName name="_6212__FDSAUDITLINK__" hidden="1">{"fdsup://directions/FAT Viewer?action=UPDATE&amp;creator=factset&amp;DYN_ARGS=TRUE&amp;DOC_NAME=FAT:FQL_AUDITING_CLIENT_TEMPLATE.FAT&amp;display_string=Audit&amp;VAR:KEY=DAPGLMTONU&amp;VAR:QUERY=RkZfRUJJVERBX0lCKCdMVE1TJywzOTUwMSk=&amp;WINDOW=FIRST_POPUP&amp;HEIGHT=450&amp;WIDTH=450&amp;START_MA","XIMIZED=FALSE&amp;VAR:CALENDAR=US&amp;VAR:SYMBOL=N0098510&amp;VAR:INDEX=0"}</definedName>
    <definedName name="_6213__FDSAUDITLINK__" localSheetId="6" hidden="1">{"fdsup://directions/FAT Viewer?action=UPDATE&amp;creator=factset&amp;DYN_ARGS=TRUE&amp;DOC_NAME=FAT:FQL_AUDITING_CLIENT_TEMPLATE.FAT&amp;display_string=Audit&amp;VAR:KEY=NWVMZGNKLO&amp;VAR:QUERY=RkZfRUJJVERBX0lCKCdMVE1TJywzOTUwMCk=&amp;WINDOW=FIRST_POPUP&amp;HEIGHT=450&amp;WIDTH=450&amp;START_MA","XIMIZED=FALSE&amp;VAR:CALENDAR=US&amp;VAR:SYMBOL=N0098510&amp;VAR:INDEX=0"}</definedName>
    <definedName name="_6213__FDSAUDITLINK__" hidden="1">{"fdsup://directions/FAT Viewer?action=UPDATE&amp;creator=factset&amp;DYN_ARGS=TRUE&amp;DOC_NAME=FAT:FQL_AUDITING_CLIENT_TEMPLATE.FAT&amp;display_string=Audit&amp;VAR:KEY=NWVMZGNKLO&amp;VAR:QUERY=RkZfRUJJVERBX0lCKCdMVE1TJywzOTUwMCk=&amp;WINDOW=FIRST_POPUP&amp;HEIGHT=450&amp;WIDTH=450&amp;START_MA","XIMIZED=FALSE&amp;VAR:CALENDAR=US&amp;VAR:SYMBOL=N0098510&amp;VAR:INDEX=0"}</definedName>
    <definedName name="_6214__FDSAUDITLINK__" localSheetId="6" hidden="1">{"fdsup://directions/FAT Viewer?action=UPDATE&amp;creator=factset&amp;DYN_ARGS=TRUE&amp;DOC_NAME=FAT:FQL_AUDITING_CLIENT_TEMPLATE.FAT&amp;display_string=Audit&amp;VAR:KEY=NAROBCBUJG&amp;VAR:QUERY=RkZfRUJJVERBX0lCKCdMVE1TJywzOTQ5OSk=&amp;WINDOW=FIRST_POPUP&amp;HEIGHT=450&amp;WIDTH=450&amp;START_MA","XIMIZED=FALSE&amp;VAR:CALENDAR=US&amp;VAR:SYMBOL=N0098510&amp;VAR:INDEX=0"}</definedName>
    <definedName name="_6214__FDSAUDITLINK__" hidden="1">{"fdsup://directions/FAT Viewer?action=UPDATE&amp;creator=factset&amp;DYN_ARGS=TRUE&amp;DOC_NAME=FAT:FQL_AUDITING_CLIENT_TEMPLATE.FAT&amp;display_string=Audit&amp;VAR:KEY=NAROBCBUJG&amp;VAR:QUERY=RkZfRUJJVERBX0lCKCdMVE1TJywzOTQ5OSk=&amp;WINDOW=FIRST_POPUP&amp;HEIGHT=450&amp;WIDTH=450&amp;START_MA","XIMIZED=FALSE&amp;VAR:CALENDAR=US&amp;VAR:SYMBOL=N0098510&amp;VAR:INDEX=0"}</definedName>
    <definedName name="_6215__FDSAUDITLINK__" localSheetId="6" hidden="1">{"fdsup://directions/FAT Viewer?action=UPDATE&amp;creator=factset&amp;DYN_ARGS=TRUE&amp;DOC_NAME=FAT:FQL_AUDITING_CLIENT_TEMPLATE.FAT&amp;display_string=Audit&amp;VAR:KEY=HENILULIDI&amp;VAR:QUERY=RkZfRUJJVERBX0lCKCdMVE1TJywzOTQ5OCk=&amp;WINDOW=FIRST_POPUP&amp;HEIGHT=450&amp;WIDTH=450&amp;START_MA","XIMIZED=FALSE&amp;VAR:CALENDAR=US&amp;VAR:SYMBOL=N0098510&amp;VAR:INDEX=0"}</definedName>
    <definedName name="_6215__FDSAUDITLINK__" hidden="1">{"fdsup://directions/FAT Viewer?action=UPDATE&amp;creator=factset&amp;DYN_ARGS=TRUE&amp;DOC_NAME=FAT:FQL_AUDITING_CLIENT_TEMPLATE.FAT&amp;display_string=Audit&amp;VAR:KEY=HENILULIDI&amp;VAR:QUERY=RkZfRUJJVERBX0lCKCdMVE1TJywzOTQ5OCk=&amp;WINDOW=FIRST_POPUP&amp;HEIGHT=450&amp;WIDTH=450&amp;START_MA","XIMIZED=FALSE&amp;VAR:CALENDAR=US&amp;VAR:SYMBOL=N0098510&amp;VAR:INDEX=0"}</definedName>
    <definedName name="_6216__FDSAUDITLINK__" localSheetId="6" hidden="1">{"fdsup://directions/FAT Viewer?action=UPDATE&amp;creator=factset&amp;DYN_ARGS=TRUE&amp;DOC_NAME=FAT:FQL_AUDITING_CLIENT_TEMPLATE.FAT&amp;display_string=Audit&amp;VAR:KEY=LKBOFGPOHE&amp;VAR:QUERY=RkZfRUJJVERBX0lCKCdMVE1TJywzOTQ5Nyk=&amp;WINDOW=FIRST_POPUP&amp;HEIGHT=450&amp;WIDTH=450&amp;START_MA","XIMIZED=FALSE&amp;VAR:CALENDAR=US&amp;VAR:SYMBOL=N0098510&amp;VAR:INDEX=0"}</definedName>
    <definedName name="_6216__FDSAUDITLINK__" hidden="1">{"fdsup://directions/FAT Viewer?action=UPDATE&amp;creator=factset&amp;DYN_ARGS=TRUE&amp;DOC_NAME=FAT:FQL_AUDITING_CLIENT_TEMPLATE.FAT&amp;display_string=Audit&amp;VAR:KEY=LKBOFGPOHE&amp;VAR:QUERY=RkZfRUJJVERBX0lCKCdMVE1TJywzOTQ5Nyk=&amp;WINDOW=FIRST_POPUP&amp;HEIGHT=450&amp;WIDTH=450&amp;START_MA","XIMIZED=FALSE&amp;VAR:CALENDAR=US&amp;VAR:SYMBOL=N0098510&amp;VAR:INDEX=0"}</definedName>
    <definedName name="_6217__FDSAUDITLINK__" localSheetId="6" hidden="1">{"fdsup://directions/FAT Viewer?action=UPDATE&amp;creator=factset&amp;DYN_ARGS=TRUE&amp;DOC_NAME=FAT:FQL_AUDITING_CLIENT_TEMPLATE.FAT&amp;display_string=Audit&amp;VAR:KEY=DCJMPEJWNE&amp;VAR:QUERY=RkZfRUJJVERBX0lCKCdMVE1TJywzOTQ5Nik=&amp;WINDOW=FIRST_POPUP&amp;HEIGHT=450&amp;WIDTH=450&amp;START_MA","XIMIZED=FALSE&amp;VAR:CALENDAR=US&amp;VAR:SYMBOL=N0098510&amp;VAR:INDEX=0"}</definedName>
    <definedName name="_6217__FDSAUDITLINK__" hidden="1">{"fdsup://directions/FAT Viewer?action=UPDATE&amp;creator=factset&amp;DYN_ARGS=TRUE&amp;DOC_NAME=FAT:FQL_AUDITING_CLIENT_TEMPLATE.FAT&amp;display_string=Audit&amp;VAR:KEY=DCJMPEJWNE&amp;VAR:QUERY=RkZfRUJJVERBX0lCKCdMVE1TJywzOTQ5Nik=&amp;WINDOW=FIRST_POPUP&amp;HEIGHT=450&amp;WIDTH=450&amp;START_MA","XIMIZED=FALSE&amp;VAR:CALENDAR=US&amp;VAR:SYMBOL=N0098510&amp;VAR:INDEX=0"}</definedName>
    <definedName name="_6218__FDSAUDITLINK__" localSheetId="6" hidden="1">{"fdsup://directions/FAT Viewer?action=UPDATE&amp;creator=factset&amp;DYN_ARGS=TRUE&amp;DOC_NAME=FAT:FQL_AUDITING_CLIENT_TEMPLATE.FAT&amp;display_string=Audit&amp;VAR:KEY=XUDWTEBEJG&amp;VAR:QUERY=RkZfRUJJVERBX0lCKCdMVE1TJywzOTQ5NSk=&amp;WINDOW=FIRST_POPUP&amp;HEIGHT=450&amp;WIDTH=450&amp;START_MA","XIMIZED=FALSE&amp;VAR:CALENDAR=US&amp;VAR:SYMBOL=N0098510&amp;VAR:INDEX=0"}</definedName>
    <definedName name="_6218__FDSAUDITLINK__" hidden="1">{"fdsup://directions/FAT Viewer?action=UPDATE&amp;creator=factset&amp;DYN_ARGS=TRUE&amp;DOC_NAME=FAT:FQL_AUDITING_CLIENT_TEMPLATE.FAT&amp;display_string=Audit&amp;VAR:KEY=XUDWTEBEJG&amp;VAR:QUERY=RkZfRUJJVERBX0lCKCdMVE1TJywzOTQ5NSk=&amp;WINDOW=FIRST_POPUP&amp;HEIGHT=450&amp;WIDTH=450&amp;START_MA","XIMIZED=FALSE&amp;VAR:CALENDAR=US&amp;VAR:SYMBOL=N0098510&amp;VAR:INDEX=0"}</definedName>
    <definedName name="_6219__FDSAUDITLINK__" localSheetId="6" hidden="1">{"fdsup://directions/FAT Viewer?action=UPDATE&amp;creator=factset&amp;DYN_ARGS=TRUE&amp;DOC_NAME=FAT:FQL_AUDITING_CLIENT_TEMPLATE.FAT&amp;display_string=Audit&amp;VAR:KEY=PSFWHKLMVC&amp;VAR:QUERY=RkZfRUJJVERBX0lCKCdMVE1TJywzOTQ5NCk=&amp;WINDOW=FIRST_POPUP&amp;HEIGHT=450&amp;WIDTH=450&amp;START_MA","XIMIZED=FALSE&amp;VAR:CALENDAR=US&amp;VAR:SYMBOL=N0098510&amp;VAR:INDEX=0"}</definedName>
    <definedName name="_6219__FDSAUDITLINK__" hidden="1">{"fdsup://directions/FAT Viewer?action=UPDATE&amp;creator=factset&amp;DYN_ARGS=TRUE&amp;DOC_NAME=FAT:FQL_AUDITING_CLIENT_TEMPLATE.FAT&amp;display_string=Audit&amp;VAR:KEY=PSFWHKLMVC&amp;VAR:QUERY=RkZfRUJJVERBX0lCKCdMVE1TJywzOTQ5NCk=&amp;WINDOW=FIRST_POPUP&amp;HEIGHT=450&amp;WIDTH=450&amp;START_MA","XIMIZED=FALSE&amp;VAR:CALENDAR=US&amp;VAR:SYMBOL=N0098510&amp;VAR:INDEX=0"}</definedName>
    <definedName name="_622__FDSAUDITLINK__" localSheetId="6" hidden="1">{"fdsup://directions/FAT%20Viewer?VAR:PED=LTM&amp;VAR:AUDIT_MODE=SUMMARY&amp;VAR:PERIOD=FIXED&amp;VAR:AUDIT_ID=00000117&amp;VAR:DATE=20080609&amp;action=UPDATE&amp;creator=factset&amp;DOC_NAME=FAT:FMA_audit_SUMMARY.fat&amp;DISPLAY_STRING=Display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2__FDSAUDITLINK__" hidden="1">{"fdsup://directions/FAT%20Viewer?VAR:PED=LTM&amp;VAR:AUDIT_MODE=SUMMARY&amp;VAR:PERIOD=FIXED&amp;VAR:AUDIT_ID=00000117&amp;VAR:DATE=20080609&amp;action=UPDATE&amp;creator=factset&amp;DOC_NAME=FAT:FMA_audit_SUMMARY.fat&amp;DISPLAY_STRING=Display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20__FDSAUDITLINK__" localSheetId="6" hidden="1">{"fdsup://directions/FAT Viewer?action=UPDATE&amp;creator=factset&amp;DYN_ARGS=TRUE&amp;DOC_NAME=FAT:FQL_AUDITING_CLIENT_TEMPLATE.FAT&amp;display_string=Audit&amp;VAR:KEY=NWDIRSFURQ&amp;VAR:QUERY=RkZfRUJJVERBX0lCKCdMVE1TJywzOTQ5Myk=&amp;WINDOW=FIRST_POPUP&amp;HEIGHT=450&amp;WIDTH=450&amp;START_MA","XIMIZED=FALSE&amp;VAR:CALENDAR=US&amp;VAR:SYMBOL=N0098510&amp;VAR:INDEX=0"}</definedName>
    <definedName name="_6220__FDSAUDITLINK__" hidden="1">{"fdsup://directions/FAT Viewer?action=UPDATE&amp;creator=factset&amp;DYN_ARGS=TRUE&amp;DOC_NAME=FAT:FQL_AUDITING_CLIENT_TEMPLATE.FAT&amp;display_string=Audit&amp;VAR:KEY=NWDIRSFURQ&amp;VAR:QUERY=RkZfRUJJVERBX0lCKCdMVE1TJywzOTQ5Myk=&amp;WINDOW=FIRST_POPUP&amp;HEIGHT=450&amp;WIDTH=450&amp;START_MA","XIMIZED=FALSE&amp;VAR:CALENDAR=US&amp;VAR:SYMBOL=N0098510&amp;VAR:INDEX=0"}</definedName>
    <definedName name="_6221__FDSAUDITLINK__" localSheetId="6" hidden="1">{"fdsup://directions/FAT Viewer?action=UPDATE&amp;creator=factset&amp;DYN_ARGS=TRUE&amp;DOC_NAME=FAT:FQL_AUDITING_CLIENT_TEMPLATE.FAT&amp;display_string=Audit&amp;VAR:KEY=DCVUHUZINI&amp;VAR:QUERY=RkZfRUJJVERBX0lCKCdMVE1TJywzOTQ5Mik=&amp;WINDOW=FIRST_POPUP&amp;HEIGHT=450&amp;WIDTH=450&amp;START_MA","XIMIZED=FALSE&amp;VAR:CALENDAR=US&amp;VAR:SYMBOL=N0098510&amp;VAR:INDEX=0"}</definedName>
    <definedName name="_6221__FDSAUDITLINK__" hidden="1">{"fdsup://directions/FAT Viewer?action=UPDATE&amp;creator=factset&amp;DYN_ARGS=TRUE&amp;DOC_NAME=FAT:FQL_AUDITING_CLIENT_TEMPLATE.FAT&amp;display_string=Audit&amp;VAR:KEY=DCVUHUZINI&amp;VAR:QUERY=RkZfRUJJVERBX0lCKCdMVE1TJywzOTQ5Mik=&amp;WINDOW=FIRST_POPUP&amp;HEIGHT=450&amp;WIDTH=450&amp;START_MA","XIMIZED=FALSE&amp;VAR:CALENDAR=US&amp;VAR:SYMBOL=N0098510&amp;VAR:INDEX=0"}</definedName>
    <definedName name="_6222__FDSAUDITLINK__" localSheetId="6" hidden="1">{"fdsup://directions/FAT Viewer?action=UPDATE&amp;creator=factset&amp;DYN_ARGS=TRUE&amp;DOC_NAME=FAT:FQL_AUDITING_CLIENT_TEMPLATE.FAT&amp;display_string=Audit&amp;VAR:KEY=XGDINSBERE&amp;VAR:QUERY=RkZfRUJJVERBX0lCKCdMVE1TJywzOTQ5MSk=&amp;WINDOW=FIRST_POPUP&amp;HEIGHT=450&amp;WIDTH=450&amp;START_MA","XIMIZED=FALSE&amp;VAR:CALENDAR=US&amp;VAR:SYMBOL=N0098510&amp;VAR:INDEX=0"}</definedName>
    <definedName name="_6222__FDSAUDITLINK__" hidden="1">{"fdsup://directions/FAT Viewer?action=UPDATE&amp;creator=factset&amp;DYN_ARGS=TRUE&amp;DOC_NAME=FAT:FQL_AUDITING_CLIENT_TEMPLATE.FAT&amp;display_string=Audit&amp;VAR:KEY=XGDINSBERE&amp;VAR:QUERY=RkZfRUJJVERBX0lCKCdMVE1TJywzOTQ5MSk=&amp;WINDOW=FIRST_POPUP&amp;HEIGHT=450&amp;WIDTH=450&amp;START_MA","XIMIZED=FALSE&amp;VAR:CALENDAR=US&amp;VAR:SYMBOL=N0098510&amp;VAR:INDEX=0"}</definedName>
    <definedName name="_6223__FDSAUDITLINK__" localSheetId="6" hidden="1">{"fdsup://directions/FAT Viewer?action=UPDATE&amp;creator=factset&amp;DYN_ARGS=TRUE&amp;DOC_NAME=FAT:FQL_AUDITING_CLIENT_TEMPLATE.FAT&amp;display_string=Audit&amp;VAR:KEY=XURMZQHUNC&amp;VAR:QUERY=RkZfRUJJVERBX0lCKCdMVE1TJywzOTQ5MCk=&amp;WINDOW=FIRST_POPUP&amp;HEIGHT=450&amp;WIDTH=450&amp;START_MA","XIMIZED=FALSE&amp;VAR:CALENDAR=US&amp;VAR:SYMBOL=N0098510&amp;VAR:INDEX=0"}</definedName>
    <definedName name="_6223__FDSAUDITLINK__" hidden="1">{"fdsup://directions/FAT Viewer?action=UPDATE&amp;creator=factset&amp;DYN_ARGS=TRUE&amp;DOC_NAME=FAT:FQL_AUDITING_CLIENT_TEMPLATE.FAT&amp;display_string=Audit&amp;VAR:KEY=XURMZQHUNC&amp;VAR:QUERY=RkZfRUJJVERBX0lCKCdMVE1TJywzOTQ5MCk=&amp;WINDOW=FIRST_POPUP&amp;HEIGHT=450&amp;WIDTH=450&amp;START_MA","XIMIZED=FALSE&amp;VAR:CALENDAR=US&amp;VAR:SYMBOL=N0098510&amp;VAR:INDEX=0"}</definedName>
    <definedName name="_6224__FDSAUDITLINK__" localSheetId="6" hidden="1">{"fdsup://directions/FAT Viewer?action=UPDATE&amp;creator=factset&amp;DYN_ARGS=TRUE&amp;DOC_NAME=FAT:FQL_AUDITING_CLIENT_TEMPLATE.FAT&amp;display_string=Audit&amp;VAR:KEY=NGVSPCVAZO&amp;VAR:QUERY=RkZfRUJJVERBX0lCKCdMVE1TJywzOTQ4OSk=&amp;WINDOW=FIRST_POPUP&amp;HEIGHT=450&amp;WIDTH=450&amp;START_MA","XIMIZED=FALSE&amp;VAR:CALENDAR=US&amp;VAR:SYMBOL=N0098510&amp;VAR:INDEX=0"}</definedName>
    <definedName name="_6224__FDSAUDITLINK__" hidden="1">{"fdsup://directions/FAT Viewer?action=UPDATE&amp;creator=factset&amp;DYN_ARGS=TRUE&amp;DOC_NAME=FAT:FQL_AUDITING_CLIENT_TEMPLATE.FAT&amp;display_string=Audit&amp;VAR:KEY=NGVSPCVAZO&amp;VAR:QUERY=RkZfRUJJVERBX0lCKCdMVE1TJywzOTQ4OSk=&amp;WINDOW=FIRST_POPUP&amp;HEIGHT=450&amp;WIDTH=450&amp;START_MA","XIMIZED=FALSE&amp;VAR:CALENDAR=US&amp;VAR:SYMBOL=N0098510&amp;VAR:INDEX=0"}</definedName>
    <definedName name="_6225__FDSAUDITLINK__" localSheetId="6" hidden="1">{"fdsup://directions/FAT Viewer?action=UPDATE&amp;creator=factset&amp;DYN_ARGS=TRUE&amp;DOC_NAME=FAT:FQL_AUDITING_CLIENT_TEMPLATE.FAT&amp;display_string=Audit&amp;VAR:KEY=XCLWHWFKBW&amp;VAR:QUERY=RkZfRUJJVERBX0lCKCdMVE1TJywzOTQ4OCk=&amp;WINDOW=FIRST_POPUP&amp;HEIGHT=450&amp;WIDTH=450&amp;START_MA","XIMIZED=FALSE&amp;VAR:CALENDAR=US&amp;VAR:SYMBOL=N0098510&amp;VAR:INDEX=0"}</definedName>
    <definedName name="_6225__FDSAUDITLINK__" hidden="1">{"fdsup://directions/FAT Viewer?action=UPDATE&amp;creator=factset&amp;DYN_ARGS=TRUE&amp;DOC_NAME=FAT:FQL_AUDITING_CLIENT_TEMPLATE.FAT&amp;display_string=Audit&amp;VAR:KEY=XCLWHWFKBW&amp;VAR:QUERY=RkZfRUJJVERBX0lCKCdMVE1TJywzOTQ4OCk=&amp;WINDOW=FIRST_POPUP&amp;HEIGHT=450&amp;WIDTH=450&amp;START_MA","XIMIZED=FALSE&amp;VAR:CALENDAR=US&amp;VAR:SYMBOL=N0098510&amp;VAR:INDEX=0"}</definedName>
    <definedName name="_6226__FDSAUDITLINK__" localSheetId="6" hidden="1">{"fdsup://directions/FAT Viewer?action=UPDATE&amp;creator=factset&amp;DYN_ARGS=TRUE&amp;DOC_NAME=FAT:FQL_AUDITING_CLIENT_TEMPLATE.FAT&amp;display_string=Audit&amp;VAR:KEY=BKJIVIHSHA&amp;VAR:QUERY=RkZfRUJJVERBX0lCKCdMVE1TJywzOTQ4Nyk=&amp;WINDOW=FIRST_POPUP&amp;HEIGHT=450&amp;WIDTH=450&amp;START_MA","XIMIZED=FALSE&amp;VAR:CALENDAR=US&amp;VAR:SYMBOL=N0098510&amp;VAR:INDEX=0"}</definedName>
    <definedName name="_6226__FDSAUDITLINK__" hidden="1">{"fdsup://directions/FAT Viewer?action=UPDATE&amp;creator=factset&amp;DYN_ARGS=TRUE&amp;DOC_NAME=FAT:FQL_AUDITING_CLIENT_TEMPLATE.FAT&amp;display_string=Audit&amp;VAR:KEY=BKJIVIHSHA&amp;VAR:QUERY=RkZfRUJJVERBX0lCKCdMVE1TJywzOTQ4Nyk=&amp;WINDOW=FIRST_POPUP&amp;HEIGHT=450&amp;WIDTH=450&amp;START_MA","XIMIZED=FALSE&amp;VAR:CALENDAR=US&amp;VAR:SYMBOL=N0098510&amp;VAR:INDEX=0"}</definedName>
    <definedName name="_6227__FDSAUDITLINK__" localSheetId="6" hidden="1">{"fdsup://directions/FAT Viewer?action=UPDATE&amp;creator=factset&amp;DYN_ARGS=TRUE&amp;DOC_NAME=FAT:FQL_AUDITING_CLIENT_TEMPLATE.FAT&amp;display_string=Audit&amp;VAR:KEY=JOZADEPSZI&amp;VAR:QUERY=RkZfRUJJVERBX0lCKCdMVE1TJywzOTQ4Nik=&amp;WINDOW=FIRST_POPUP&amp;HEIGHT=450&amp;WIDTH=450&amp;START_MA","XIMIZED=FALSE&amp;VAR:CALENDAR=US&amp;VAR:SYMBOL=N0098510&amp;VAR:INDEX=0"}</definedName>
    <definedName name="_6227__FDSAUDITLINK__" hidden="1">{"fdsup://directions/FAT Viewer?action=UPDATE&amp;creator=factset&amp;DYN_ARGS=TRUE&amp;DOC_NAME=FAT:FQL_AUDITING_CLIENT_TEMPLATE.FAT&amp;display_string=Audit&amp;VAR:KEY=JOZADEPSZI&amp;VAR:QUERY=RkZfRUJJVERBX0lCKCdMVE1TJywzOTQ4Nik=&amp;WINDOW=FIRST_POPUP&amp;HEIGHT=450&amp;WIDTH=450&amp;START_MA","XIMIZED=FALSE&amp;VAR:CALENDAR=US&amp;VAR:SYMBOL=N0098510&amp;VAR:INDEX=0"}</definedName>
    <definedName name="_6228__FDSAUDITLINK__" localSheetId="6" hidden="1">{"fdsup://directions/FAT Viewer?action=UPDATE&amp;creator=factset&amp;DYN_ARGS=TRUE&amp;DOC_NAME=FAT:FQL_AUDITING_CLIENT_TEMPLATE.FAT&amp;display_string=Audit&amp;VAR:KEY=PCDCFABMDK&amp;VAR:QUERY=RkZfRUJJVERBX0lCKCdMVE1TJywzOTQ4NSk=&amp;WINDOW=FIRST_POPUP&amp;HEIGHT=450&amp;WIDTH=450&amp;START_MA","XIMIZED=FALSE&amp;VAR:CALENDAR=US&amp;VAR:SYMBOL=N0098510&amp;VAR:INDEX=0"}</definedName>
    <definedName name="_6228__FDSAUDITLINK__" hidden="1">{"fdsup://directions/FAT Viewer?action=UPDATE&amp;creator=factset&amp;DYN_ARGS=TRUE&amp;DOC_NAME=FAT:FQL_AUDITING_CLIENT_TEMPLATE.FAT&amp;display_string=Audit&amp;VAR:KEY=PCDCFABMDK&amp;VAR:QUERY=RkZfRUJJVERBX0lCKCdMVE1TJywzOTQ4NSk=&amp;WINDOW=FIRST_POPUP&amp;HEIGHT=450&amp;WIDTH=450&amp;START_MA","XIMIZED=FALSE&amp;VAR:CALENDAR=US&amp;VAR:SYMBOL=N0098510&amp;VAR:INDEX=0"}</definedName>
    <definedName name="_6229__FDSAUDITLINK__" localSheetId="6" hidden="1">{"fdsup://directions/FAT Viewer?action=UPDATE&amp;creator=factset&amp;DYN_ARGS=TRUE&amp;DOC_NAME=FAT:FQL_AUDITING_CLIENT_TEMPLATE.FAT&amp;display_string=Audit&amp;VAR:KEY=FAJUXIFQXC&amp;VAR:QUERY=RkZfRUJJVERBX0lCKCdMVE1TJywzOTQ4NCk=&amp;WINDOW=FIRST_POPUP&amp;HEIGHT=450&amp;WIDTH=450&amp;START_MA","XIMIZED=FALSE&amp;VAR:CALENDAR=US&amp;VAR:SYMBOL=N0098510&amp;VAR:INDEX=0"}</definedName>
    <definedName name="_6229__FDSAUDITLINK__" hidden="1">{"fdsup://directions/FAT Viewer?action=UPDATE&amp;creator=factset&amp;DYN_ARGS=TRUE&amp;DOC_NAME=FAT:FQL_AUDITING_CLIENT_TEMPLATE.FAT&amp;display_string=Audit&amp;VAR:KEY=FAJUXIFQXC&amp;VAR:QUERY=RkZfRUJJVERBX0lCKCdMVE1TJywzOTQ4NCk=&amp;WINDOW=FIRST_POPUP&amp;HEIGHT=450&amp;WIDTH=450&amp;START_MA","XIMIZED=FALSE&amp;VAR:CALENDAR=US&amp;VAR:SYMBOL=N0098510&amp;VAR:INDEX=0"}</definedName>
    <definedName name="_623__FDSAUDITLINK__" localSheetId="6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3__FDSAUDITLINK__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30__FDSAUDITLINK__" localSheetId="6" hidden="1">{"fdsup://directions/FAT Viewer?action=UPDATE&amp;creator=factset&amp;DYN_ARGS=TRUE&amp;DOC_NAME=FAT:FQL_AUDITING_CLIENT_TEMPLATE.FAT&amp;display_string=Audit&amp;VAR:KEY=PMLUFAFAFM&amp;VAR:QUERY=RkZfRUJJVERBX0lCKCdMVE1TJywzOTQ4Myk=&amp;WINDOW=FIRST_POPUP&amp;HEIGHT=450&amp;WIDTH=450&amp;START_MA","XIMIZED=FALSE&amp;VAR:CALENDAR=US&amp;VAR:SYMBOL=N0098510&amp;VAR:INDEX=0"}</definedName>
    <definedName name="_6230__FDSAUDITLINK__" hidden="1">{"fdsup://directions/FAT Viewer?action=UPDATE&amp;creator=factset&amp;DYN_ARGS=TRUE&amp;DOC_NAME=FAT:FQL_AUDITING_CLIENT_TEMPLATE.FAT&amp;display_string=Audit&amp;VAR:KEY=PMLUFAFAFM&amp;VAR:QUERY=RkZfRUJJVERBX0lCKCdMVE1TJywzOTQ4Myk=&amp;WINDOW=FIRST_POPUP&amp;HEIGHT=450&amp;WIDTH=450&amp;START_MA","XIMIZED=FALSE&amp;VAR:CALENDAR=US&amp;VAR:SYMBOL=N0098510&amp;VAR:INDEX=0"}</definedName>
    <definedName name="_6231__FDSAUDITLINK__" localSheetId="6" hidden="1">{"fdsup://directions/FAT Viewer?action=UPDATE&amp;creator=factset&amp;DYN_ARGS=TRUE&amp;DOC_NAME=FAT:FQL_AUDITING_CLIENT_TEMPLATE.FAT&amp;display_string=Audit&amp;VAR:KEY=LSHKRKVSBW&amp;VAR:QUERY=RkZfRUJJVERBX0lCKCdMVE1TJywzOTQ4Mik=&amp;WINDOW=FIRST_POPUP&amp;HEIGHT=450&amp;WIDTH=450&amp;START_MA","XIMIZED=FALSE&amp;VAR:CALENDAR=US&amp;VAR:SYMBOL=N0098510&amp;VAR:INDEX=0"}</definedName>
    <definedName name="_6231__FDSAUDITLINK__" hidden="1">{"fdsup://directions/FAT Viewer?action=UPDATE&amp;creator=factset&amp;DYN_ARGS=TRUE&amp;DOC_NAME=FAT:FQL_AUDITING_CLIENT_TEMPLATE.FAT&amp;display_string=Audit&amp;VAR:KEY=LSHKRKVSBW&amp;VAR:QUERY=RkZfRUJJVERBX0lCKCdMVE1TJywzOTQ4Mik=&amp;WINDOW=FIRST_POPUP&amp;HEIGHT=450&amp;WIDTH=450&amp;START_MA","XIMIZED=FALSE&amp;VAR:CALENDAR=US&amp;VAR:SYMBOL=N0098510&amp;VAR:INDEX=0"}</definedName>
    <definedName name="_6232__FDSAUDITLINK__" localSheetId="6" hidden="1">{"fdsup://directions/FAT Viewer?action=UPDATE&amp;creator=factset&amp;DYN_ARGS=TRUE&amp;DOC_NAME=FAT:FQL_AUDITING_CLIENT_TEMPLATE.FAT&amp;display_string=Audit&amp;VAR:KEY=NQTCPWRMJY&amp;VAR:QUERY=RkZfRUJJVERBX0lCKCdMVE1TJywzOTQ4MSk=&amp;WINDOW=FIRST_POPUP&amp;HEIGHT=450&amp;WIDTH=450&amp;START_MA","XIMIZED=FALSE&amp;VAR:CALENDAR=US&amp;VAR:SYMBOL=N0098510&amp;VAR:INDEX=0"}</definedName>
    <definedName name="_6232__FDSAUDITLINK__" hidden="1">{"fdsup://directions/FAT Viewer?action=UPDATE&amp;creator=factset&amp;DYN_ARGS=TRUE&amp;DOC_NAME=FAT:FQL_AUDITING_CLIENT_TEMPLATE.FAT&amp;display_string=Audit&amp;VAR:KEY=NQTCPWRMJY&amp;VAR:QUERY=RkZfRUJJVERBX0lCKCdMVE1TJywzOTQ4MSk=&amp;WINDOW=FIRST_POPUP&amp;HEIGHT=450&amp;WIDTH=450&amp;START_MA","XIMIZED=FALSE&amp;VAR:CALENDAR=US&amp;VAR:SYMBOL=N0098510&amp;VAR:INDEX=0"}</definedName>
    <definedName name="_6233__FDSAUDITLINK__" localSheetId="6" hidden="1">{"fdsup://directions/FAT Viewer?action=UPDATE&amp;creator=factset&amp;DYN_ARGS=TRUE&amp;DOC_NAME=FAT:FQL_AUDITING_CLIENT_TEMPLATE.FAT&amp;display_string=Audit&amp;VAR:KEY=LOLKLCLCDC&amp;VAR:QUERY=RkZfRUJJVERBX0lCKCdMVE1TJywzOTQ4MCk=&amp;WINDOW=FIRST_POPUP&amp;HEIGHT=450&amp;WIDTH=450&amp;START_MA","XIMIZED=FALSE&amp;VAR:CALENDAR=US&amp;VAR:SYMBOL=N0098510&amp;VAR:INDEX=0"}</definedName>
    <definedName name="_6233__FDSAUDITLINK__" hidden="1">{"fdsup://directions/FAT Viewer?action=UPDATE&amp;creator=factset&amp;DYN_ARGS=TRUE&amp;DOC_NAME=FAT:FQL_AUDITING_CLIENT_TEMPLATE.FAT&amp;display_string=Audit&amp;VAR:KEY=LOLKLCLCDC&amp;VAR:QUERY=RkZfRUJJVERBX0lCKCdMVE1TJywzOTQ4MCk=&amp;WINDOW=FIRST_POPUP&amp;HEIGHT=450&amp;WIDTH=450&amp;START_MA","XIMIZED=FALSE&amp;VAR:CALENDAR=US&amp;VAR:SYMBOL=N0098510&amp;VAR:INDEX=0"}</definedName>
    <definedName name="_6234__FDSAUDITLINK__" localSheetId="6" hidden="1">{"fdsup://directions/FAT Viewer?action=UPDATE&amp;creator=factset&amp;DYN_ARGS=TRUE&amp;DOC_NAME=FAT:FQL_AUDITING_CLIENT_TEMPLATE.FAT&amp;display_string=Audit&amp;VAR:KEY=NCZSPMZKJG&amp;VAR:QUERY=RkZfRUJJVERBX0lCKCdMVE1TJywzOTQ3OSk=&amp;WINDOW=FIRST_POPUP&amp;HEIGHT=450&amp;WIDTH=450&amp;START_MA","XIMIZED=FALSE&amp;VAR:CALENDAR=US&amp;VAR:SYMBOL=N0098510&amp;VAR:INDEX=0"}</definedName>
    <definedName name="_6234__FDSAUDITLINK__" hidden="1">{"fdsup://directions/FAT Viewer?action=UPDATE&amp;creator=factset&amp;DYN_ARGS=TRUE&amp;DOC_NAME=FAT:FQL_AUDITING_CLIENT_TEMPLATE.FAT&amp;display_string=Audit&amp;VAR:KEY=NCZSPMZKJG&amp;VAR:QUERY=RkZfRUJJVERBX0lCKCdMVE1TJywzOTQ3OSk=&amp;WINDOW=FIRST_POPUP&amp;HEIGHT=450&amp;WIDTH=450&amp;START_MA","XIMIZED=FALSE&amp;VAR:CALENDAR=US&amp;VAR:SYMBOL=N0098510&amp;VAR:INDEX=0"}</definedName>
    <definedName name="_6235__FDSAUDITLINK__" localSheetId="6" hidden="1">{"fdsup://directions/FAT Viewer?action=UPDATE&amp;creator=factset&amp;DYN_ARGS=TRUE&amp;DOC_NAME=FAT:FQL_AUDITING_CLIENT_TEMPLATE.FAT&amp;display_string=Audit&amp;VAR:KEY=VQJIFMVEZQ&amp;VAR:QUERY=RkZfRUJJVERBX0lCKCdMVE1TJywzOTQ3OCk=&amp;WINDOW=FIRST_POPUP&amp;HEIGHT=450&amp;WIDTH=450&amp;START_MA","XIMIZED=FALSE&amp;VAR:CALENDAR=US&amp;VAR:SYMBOL=N0098510&amp;VAR:INDEX=0"}</definedName>
    <definedName name="_6235__FDSAUDITLINK__" hidden="1">{"fdsup://directions/FAT Viewer?action=UPDATE&amp;creator=factset&amp;DYN_ARGS=TRUE&amp;DOC_NAME=FAT:FQL_AUDITING_CLIENT_TEMPLATE.FAT&amp;display_string=Audit&amp;VAR:KEY=VQJIFMVEZQ&amp;VAR:QUERY=RkZfRUJJVERBX0lCKCdMVE1TJywzOTQ3OCk=&amp;WINDOW=FIRST_POPUP&amp;HEIGHT=450&amp;WIDTH=450&amp;START_MA","XIMIZED=FALSE&amp;VAR:CALENDAR=US&amp;VAR:SYMBOL=N0098510&amp;VAR:INDEX=0"}</definedName>
    <definedName name="_6236__FDSAUDITLINK__" localSheetId="6" hidden="1">{"fdsup://directions/FAT Viewer?action=UPDATE&amp;creator=factset&amp;DYN_ARGS=TRUE&amp;DOC_NAME=FAT:FQL_AUDITING_CLIENT_TEMPLATE.FAT&amp;display_string=Audit&amp;VAR:KEY=ZEPKROLOXG&amp;VAR:QUERY=RkZfRUJJVERBX0lCKCdMVE1TJywzOTQ3Nyk=&amp;WINDOW=FIRST_POPUP&amp;HEIGHT=450&amp;WIDTH=450&amp;START_MA","XIMIZED=FALSE&amp;VAR:CALENDAR=US&amp;VAR:SYMBOL=N0098510&amp;VAR:INDEX=0"}</definedName>
    <definedName name="_6236__FDSAUDITLINK__" hidden="1">{"fdsup://directions/FAT Viewer?action=UPDATE&amp;creator=factset&amp;DYN_ARGS=TRUE&amp;DOC_NAME=FAT:FQL_AUDITING_CLIENT_TEMPLATE.FAT&amp;display_string=Audit&amp;VAR:KEY=ZEPKROLOXG&amp;VAR:QUERY=RkZfRUJJVERBX0lCKCdMVE1TJywzOTQ3Nyk=&amp;WINDOW=FIRST_POPUP&amp;HEIGHT=450&amp;WIDTH=450&amp;START_MA","XIMIZED=FALSE&amp;VAR:CALENDAR=US&amp;VAR:SYMBOL=N0098510&amp;VAR:INDEX=0"}</definedName>
    <definedName name="_6237__FDSAUDITLINK__" localSheetId="6" hidden="1">{"fdsup://directions/FAT Viewer?action=UPDATE&amp;creator=factset&amp;DYN_ARGS=TRUE&amp;DOC_NAME=FAT:FQL_AUDITING_CLIENT_TEMPLATE.FAT&amp;display_string=Audit&amp;VAR:KEY=PGVKZCHQHK&amp;VAR:QUERY=RkZfRUJJVERBX0lCKCdMVE1TJywzOTQ3Nik=&amp;WINDOW=FIRST_POPUP&amp;HEIGHT=450&amp;WIDTH=450&amp;START_MA","XIMIZED=FALSE&amp;VAR:CALENDAR=US&amp;VAR:SYMBOL=N0098510&amp;VAR:INDEX=0"}</definedName>
    <definedName name="_6237__FDSAUDITLINK__" hidden="1">{"fdsup://directions/FAT Viewer?action=UPDATE&amp;creator=factset&amp;DYN_ARGS=TRUE&amp;DOC_NAME=FAT:FQL_AUDITING_CLIENT_TEMPLATE.FAT&amp;display_string=Audit&amp;VAR:KEY=PGVKZCHQHK&amp;VAR:QUERY=RkZfRUJJVERBX0lCKCdMVE1TJywzOTQ3Nik=&amp;WINDOW=FIRST_POPUP&amp;HEIGHT=450&amp;WIDTH=450&amp;START_MA","XIMIZED=FALSE&amp;VAR:CALENDAR=US&amp;VAR:SYMBOL=N0098510&amp;VAR:INDEX=0"}</definedName>
    <definedName name="_6238__FDSAUDITLINK__" localSheetId="6" hidden="1">{"fdsup://directions/FAT Viewer?action=UPDATE&amp;creator=factset&amp;DYN_ARGS=TRUE&amp;DOC_NAME=FAT:FQL_AUDITING_CLIENT_TEMPLATE.FAT&amp;display_string=Audit&amp;VAR:KEY=LGXSTSTILO&amp;VAR:QUERY=RkZfRUJJVERBX0lCKCdMVE1TJywzOTQ3NSk=&amp;WINDOW=FIRST_POPUP&amp;HEIGHT=450&amp;WIDTH=450&amp;START_MA","XIMIZED=FALSE&amp;VAR:CALENDAR=US&amp;VAR:SYMBOL=N0098510&amp;VAR:INDEX=0"}</definedName>
    <definedName name="_6238__FDSAUDITLINK__" hidden="1">{"fdsup://directions/FAT Viewer?action=UPDATE&amp;creator=factset&amp;DYN_ARGS=TRUE&amp;DOC_NAME=FAT:FQL_AUDITING_CLIENT_TEMPLATE.FAT&amp;display_string=Audit&amp;VAR:KEY=LGXSTSTILO&amp;VAR:QUERY=RkZfRUJJVERBX0lCKCdMVE1TJywzOTQ3NSk=&amp;WINDOW=FIRST_POPUP&amp;HEIGHT=450&amp;WIDTH=450&amp;START_MA","XIMIZED=FALSE&amp;VAR:CALENDAR=US&amp;VAR:SYMBOL=N0098510&amp;VAR:INDEX=0"}</definedName>
    <definedName name="_6239__FDSAUDITLINK__" localSheetId="6" hidden="1">{"fdsup://directions/FAT Viewer?action=UPDATE&amp;creator=factset&amp;DYN_ARGS=TRUE&amp;DOC_NAME=FAT:FQL_AUDITING_CLIENT_TEMPLATE.FAT&amp;display_string=Audit&amp;VAR:KEY=ZAHSHYBGFI&amp;VAR:QUERY=RkZfRUJJVERBX0lCKCdMVE1TJywzOTQ3NCk=&amp;WINDOW=FIRST_POPUP&amp;HEIGHT=450&amp;WIDTH=450&amp;START_MA","XIMIZED=FALSE&amp;VAR:CALENDAR=US&amp;VAR:SYMBOL=N0098510&amp;VAR:INDEX=0"}</definedName>
    <definedName name="_6239__FDSAUDITLINK__" hidden="1">{"fdsup://directions/FAT Viewer?action=UPDATE&amp;creator=factset&amp;DYN_ARGS=TRUE&amp;DOC_NAME=FAT:FQL_AUDITING_CLIENT_TEMPLATE.FAT&amp;display_string=Audit&amp;VAR:KEY=ZAHSHYBGFI&amp;VAR:QUERY=RkZfRUJJVERBX0lCKCdMVE1TJywzOTQ3NCk=&amp;WINDOW=FIRST_POPUP&amp;HEIGHT=450&amp;WIDTH=450&amp;START_MA","XIMIZED=FALSE&amp;VAR:CALENDAR=US&amp;VAR:SYMBOL=N0098510&amp;VAR:INDEX=0"}</definedName>
    <definedName name="_624__FDSAUDITLINK__" localSheetId="6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4__FDSAUDITLINK__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40__FDSAUDITLINK__" localSheetId="6" hidden="1">{"fdsup://directions/FAT Viewer?action=UPDATE&amp;creator=factset&amp;DYN_ARGS=TRUE&amp;DOC_NAME=FAT:FQL_AUDITING_CLIENT_TEMPLATE.FAT&amp;display_string=Audit&amp;VAR:KEY=TQLYBMNGTS&amp;VAR:QUERY=RkZfRUJJVERBX0lCKCdMVE1TJywzOTQ3Myk=&amp;WINDOW=FIRST_POPUP&amp;HEIGHT=450&amp;WIDTH=450&amp;START_MA","XIMIZED=FALSE&amp;VAR:CALENDAR=US&amp;VAR:SYMBOL=N0098510&amp;VAR:INDEX=0"}</definedName>
    <definedName name="_6240__FDSAUDITLINK__" hidden="1">{"fdsup://directions/FAT Viewer?action=UPDATE&amp;creator=factset&amp;DYN_ARGS=TRUE&amp;DOC_NAME=FAT:FQL_AUDITING_CLIENT_TEMPLATE.FAT&amp;display_string=Audit&amp;VAR:KEY=TQLYBMNGTS&amp;VAR:QUERY=RkZfRUJJVERBX0lCKCdMVE1TJywzOTQ3Myk=&amp;WINDOW=FIRST_POPUP&amp;HEIGHT=450&amp;WIDTH=450&amp;START_MA","XIMIZED=FALSE&amp;VAR:CALENDAR=US&amp;VAR:SYMBOL=N0098510&amp;VAR:INDEX=0"}</definedName>
    <definedName name="_6241__FDSAUDITLINK__" localSheetId="6" hidden="1">{"fdsup://directions/FAT Viewer?action=UPDATE&amp;creator=factset&amp;DYN_ARGS=TRUE&amp;DOC_NAME=FAT:FQL_AUDITING_CLIENT_TEMPLATE.FAT&amp;display_string=Audit&amp;VAR:KEY=FSLYTUZQPQ&amp;VAR:QUERY=RkZfRUJJVERBX0lCKCdMVE1TJywzOTQ3Mik=&amp;WINDOW=FIRST_POPUP&amp;HEIGHT=450&amp;WIDTH=450&amp;START_MA","XIMIZED=FALSE&amp;VAR:CALENDAR=US&amp;VAR:SYMBOL=N0098510&amp;VAR:INDEX=0"}</definedName>
    <definedName name="_6241__FDSAUDITLINK__" hidden="1">{"fdsup://directions/FAT Viewer?action=UPDATE&amp;creator=factset&amp;DYN_ARGS=TRUE&amp;DOC_NAME=FAT:FQL_AUDITING_CLIENT_TEMPLATE.FAT&amp;display_string=Audit&amp;VAR:KEY=FSLYTUZQPQ&amp;VAR:QUERY=RkZfRUJJVERBX0lCKCdMVE1TJywzOTQ3Mik=&amp;WINDOW=FIRST_POPUP&amp;HEIGHT=450&amp;WIDTH=450&amp;START_MA","XIMIZED=FALSE&amp;VAR:CALENDAR=US&amp;VAR:SYMBOL=N0098510&amp;VAR:INDEX=0"}</definedName>
    <definedName name="_6242__FDSAUDITLINK__" localSheetId="6" hidden="1">{"fdsup://directions/FAT Viewer?action=UPDATE&amp;creator=factset&amp;DYN_ARGS=TRUE&amp;DOC_NAME=FAT:FQL_AUDITING_CLIENT_TEMPLATE.FAT&amp;display_string=Audit&amp;VAR:KEY=NCRYFQVOPG&amp;VAR:QUERY=RkZfRUJJVERBX0lCKCdMVE1TJywzOTQ3MSk=&amp;WINDOW=FIRST_POPUP&amp;HEIGHT=450&amp;WIDTH=450&amp;START_MA","XIMIZED=FALSE&amp;VAR:CALENDAR=US&amp;VAR:SYMBOL=N0098510&amp;VAR:INDEX=0"}</definedName>
    <definedName name="_6242__FDSAUDITLINK__" hidden="1">{"fdsup://directions/FAT Viewer?action=UPDATE&amp;creator=factset&amp;DYN_ARGS=TRUE&amp;DOC_NAME=FAT:FQL_AUDITING_CLIENT_TEMPLATE.FAT&amp;display_string=Audit&amp;VAR:KEY=NCRYFQVOPG&amp;VAR:QUERY=RkZfRUJJVERBX0lCKCdMVE1TJywzOTQ3MSk=&amp;WINDOW=FIRST_POPUP&amp;HEIGHT=450&amp;WIDTH=450&amp;START_MA","XIMIZED=FALSE&amp;VAR:CALENDAR=US&amp;VAR:SYMBOL=N0098510&amp;VAR:INDEX=0"}</definedName>
    <definedName name="_6243__FDSAUDITLINK__" localSheetId="6" hidden="1">{"fdsup://directions/FAT Viewer?action=UPDATE&amp;creator=factset&amp;DYN_ARGS=TRUE&amp;DOC_NAME=FAT:FQL_AUDITING_CLIENT_TEMPLATE.FAT&amp;display_string=Audit&amp;VAR:KEY=DCHCDMBEZU&amp;VAR:QUERY=RkZfRUJJVERBX0lCKCdMVE1TJywzOTQ3MCk=&amp;WINDOW=FIRST_POPUP&amp;HEIGHT=450&amp;WIDTH=450&amp;START_MA","XIMIZED=FALSE&amp;VAR:CALENDAR=US&amp;VAR:SYMBOL=N0098510&amp;VAR:INDEX=0"}</definedName>
    <definedName name="_6243__FDSAUDITLINK__" hidden="1">{"fdsup://directions/FAT Viewer?action=UPDATE&amp;creator=factset&amp;DYN_ARGS=TRUE&amp;DOC_NAME=FAT:FQL_AUDITING_CLIENT_TEMPLATE.FAT&amp;display_string=Audit&amp;VAR:KEY=DCHCDMBEZU&amp;VAR:QUERY=RkZfRUJJVERBX0lCKCdMVE1TJywzOTQ3MCk=&amp;WINDOW=FIRST_POPUP&amp;HEIGHT=450&amp;WIDTH=450&amp;START_MA","XIMIZED=FALSE&amp;VAR:CALENDAR=US&amp;VAR:SYMBOL=N0098510&amp;VAR:INDEX=0"}</definedName>
    <definedName name="_6244__FDSAUDITLINK__" localSheetId="6" hidden="1">{"fdsup://directions/FAT Viewer?action=UPDATE&amp;creator=factset&amp;DYN_ARGS=TRUE&amp;DOC_NAME=FAT:FQL_AUDITING_CLIENT_TEMPLATE.FAT&amp;display_string=Audit&amp;VAR:KEY=XYXYRIFSVK&amp;VAR:QUERY=RkZfRUJJVERBX0lCKCdMVE1TJywzOTQ2OSk=&amp;WINDOW=FIRST_POPUP&amp;HEIGHT=450&amp;WIDTH=450&amp;START_MA","XIMIZED=FALSE&amp;VAR:CALENDAR=US&amp;VAR:SYMBOL=N0098510&amp;VAR:INDEX=0"}</definedName>
    <definedName name="_6244__FDSAUDITLINK__" hidden="1">{"fdsup://directions/FAT Viewer?action=UPDATE&amp;creator=factset&amp;DYN_ARGS=TRUE&amp;DOC_NAME=FAT:FQL_AUDITING_CLIENT_TEMPLATE.FAT&amp;display_string=Audit&amp;VAR:KEY=XYXYRIFSVK&amp;VAR:QUERY=RkZfRUJJVERBX0lCKCdMVE1TJywzOTQ2OSk=&amp;WINDOW=FIRST_POPUP&amp;HEIGHT=450&amp;WIDTH=450&amp;START_MA","XIMIZED=FALSE&amp;VAR:CALENDAR=US&amp;VAR:SYMBOL=N0098510&amp;VAR:INDEX=0"}</definedName>
    <definedName name="_6245__FDSAUDITLINK__" localSheetId="6" hidden="1">{"fdsup://directions/FAT Viewer?action=UPDATE&amp;creator=factset&amp;DYN_ARGS=TRUE&amp;DOC_NAME=FAT:FQL_AUDITING_CLIENT_TEMPLATE.FAT&amp;display_string=Audit&amp;VAR:KEY=ZGVWDGJQDY&amp;VAR:QUERY=RkZfRUJJVERBX0lCKCdMVE1TJywzOTQ2OCk=&amp;WINDOW=FIRST_POPUP&amp;HEIGHT=450&amp;WIDTH=450&amp;START_MA","XIMIZED=FALSE&amp;VAR:CALENDAR=US&amp;VAR:SYMBOL=N0098510&amp;VAR:INDEX=0"}</definedName>
    <definedName name="_6245__FDSAUDITLINK__" hidden="1">{"fdsup://directions/FAT Viewer?action=UPDATE&amp;creator=factset&amp;DYN_ARGS=TRUE&amp;DOC_NAME=FAT:FQL_AUDITING_CLIENT_TEMPLATE.FAT&amp;display_string=Audit&amp;VAR:KEY=ZGVWDGJQDY&amp;VAR:QUERY=RkZfRUJJVERBX0lCKCdMVE1TJywzOTQ2OCk=&amp;WINDOW=FIRST_POPUP&amp;HEIGHT=450&amp;WIDTH=450&amp;START_MA","XIMIZED=FALSE&amp;VAR:CALENDAR=US&amp;VAR:SYMBOL=N0098510&amp;VAR:INDEX=0"}</definedName>
    <definedName name="_6246__FDSAUDITLINK__" localSheetId="6" hidden="1">{"fdsup://directions/FAT Viewer?action=UPDATE&amp;creator=factset&amp;DYN_ARGS=TRUE&amp;DOC_NAME=FAT:FQL_AUDITING_CLIENT_TEMPLATE.FAT&amp;display_string=Audit&amp;VAR:KEY=JEZMDWFIJI&amp;VAR:QUERY=RkZfRUJJVERBX0lCKCdMVE1TJywzOTQ2Nyk=&amp;WINDOW=FIRST_POPUP&amp;HEIGHT=450&amp;WIDTH=450&amp;START_MA","XIMIZED=FALSE&amp;VAR:CALENDAR=US&amp;VAR:SYMBOL=N0098510&amp;VAR:INDEX=0"}</definedName>
    <definedName name="_6246__FDSAUDITLINK__" hidden="1">{"fdsup://directions/FAT Viewer?action=UPDATE&amp;creator=factset&amp;DYN_ARGS=TRUE&amp;DOC_NAME=FAT:FQL_AUDITING_CLIENT_TEMPLATE.FAT&amp;display_string=Audit&amp;VAR:KEY=JEZMDWFIJI&amp;VAR:QUERY=RkZfRUJJVERBX0lCKCdMVE1TJywzOTQ2Nyk=&amp;WINDOW=FIRST_POPUP&amp;HEIGHT=450&amp;WIDTH=450&amp;START_MA","XIMIZED=FALSE&amp;VAR:CALENDAR=US&amp;VAR:SYMBOL=N0098510&amp;VAR:INDEX=0"}</definedName>
    <definedName name="_6247__FDSAUDITLINK__" localSheetId="6" hidden="1">{"fdsup://directions/FAT Viewer?action=UPDATE&amp;creator=factset&amp;DYN_ARGS=TRUE&amp;DOC_NAME=FAT:FQL_AUDITING_CLIENT_TEMPLATE.FAT&amp;display_string=Audit&amp;VAR:KEY=BQXQHONWJS&amp;VAR:QUERY=RkZfRUJJVERBX0lCKCdMVE1TJywzOTQ2Nik=&amp;WINDOW=FIRST_POPUP&amp;HEIGHT=450&amp;WIDTH=450&amp;START_MA","XIMIZED=FALSE&amp;VAR:CALENDAR=US&amp;VAR:SYMBOL=N0098510&amp;VAR:INDEX=0"}</definedName>
    <definedName name="_6247__FDSAUDITLINK__" hidden="1">{"fdsup://directions/FAT Viewer?action=UPDATE&amp;creator=factset&amp;DYN_ARGS=TRUE&amp;DOC_NAME=FAT:FQL_AUDITING_CLIENT_TEMPLATE.FAT&amp;display_string=Audit&amp;VAR:KEY=BQXQHONWJS&amp;VAR:QUERY=RkZfRUJJVERBX0lCKCdMVE1TJywzOTQ2Nik=&amp;WINDOW=FIRST_POPUP&amp;HEIGHT=450&amp;WIDTH=450&amp;START_MA","XIMIZED=FALSE&amp;VAR:CALENDAR=US&amp;VAR:SYMBOL=N0098510&amp;VAR:INDEX=0"}</definedName>
    <definedName name="_6248__FDSAUDITLINK__" localSheetId="6" hidden="1">{"fdsup://directions/FAT Viewer?action=UPDATE&amp;creator=factset&amp;DYN_ARGS=TRUE&amp;DOC_NAME=FAT:FQL_AUDITING_CLIENT_TEMPLATE.FAT&amp;display_string=Audit&amp;VAR:KEY=JEVCRWXYLY&amp;VAR:QUERY=RkZfRUJJVERBX0lCKCdMVE1TJywzOTQ2NSk=&amp;WINDOW=FIRST_POPUP&amp;HEIGHT=450&amp;WIDTH=450&amp;START_MA","XIMIZED=FALSE&amp;VAR:CALENDAR=US&amp;VAR:SYMBOL=N0098510&amp;VAR:INDEX=0"}</definedName>
    <definedName name="_6248__FDSAUDITLINK__" hidden="1">{"fdsup://directions/FAT Viewer?action=UPDATE&amp;creator=factset&amp;DYN_ARGS=TRUE&amp;DOC_NAME=FAT:FQL_AUDITING_CLIENT_TEMPLATE.FAT&amp;display_string=Audit&amp;VAR:KEY=JEVCRWXYLY&amp;VAR:QUERY=RkZfRUJJVERBX0lCKCdMVE1TJywzOTQ2NSk=&amp;WINDOW=FIRST_POPUP&amp;HEIGHT=450&amp;WIDTH=450&amp;START_MA","XIMIZED=FALSE&amp;VAR:CALENDAR=US&amp;VAR:SYMBOL=N0098510&amp;VAR:INDEX=0"}</definedName>
    <definedName name="_6249__FDSAUDITLINK__" localSheetId="6" hidden="1">{"fdsup://directions/FAT Viewer?action=UPDATE&amp;creator=factset&amp;DYN_ARGS=TRUE&amp;DOC_NAME=FAT:FQL_AUDITING_CLIENT_TEMPLATE.FAT&amp;display_string=Audit&amp;VAR:KEY=XMXULCBCDW&amp;VAR:QUERY=RkZfRUJJVERBX0lCKCdMVE1TJywzOTQ2NCk=&amp;WINDOW=FIRST_POPUP&amp;HEIGHT=450&amp;WIDTH=450&amp;START_MA","XIMIZED=FALSE&amp;VAR:CALENDAR=US&amp;VAR:SYMBOL=N0098510&amp;VAR:INDEX=0"}</definedName>
    <definedName name="_6249__FDSAUDITLINK__" hidden="1">{"fdsup://directions/FAT Viewer?action=UPDATE&amp;creator=factset&amp;DYN_ARGS=TRUE&amp;DOC_NAME=FAT:FQL_AUDITING_CLIENT_TEMPLATE.FAT&amp;display_string=Audit&amp;VAR:KEY=XMXULCBCDW&amp;VAR:QUERY=RkZfRUJJVERBX0lCKCdMVE1TJywzOTQ2NCk=&amp;WINDOW=FIRST_POPUP&amp;HEIGHT=450&amp;WIDTH=450&amp;START_MA","XIMIZED=FALSE&amp;VAR:CALENDAR=US&amp;VAR:SYMBOL=N0098510&amp;VAR:INDEX=0"}</definedName>
    <definedName name="_625__FDSAUDITLINK__" localSheetId="6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5__FDSAUDITLINK__" hidden="1">{"fdsup://directions/FAT%20Viewer?VAR:PED=LTM&amp;VAR:AUDIT_MODE=SUMMARY&amp;VAR:PERIOD=FIXED&amp;VAR:AUDIT_ID=00000117&amp;VAR:DATE=20080606&amp;action=UPDATE&amp;creator=factset&amp;DOC_NAME=FAT:FMA_audit_SUMMARY.fat&amp;DISPLAY_STRING=Display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50__FDSAUDITLINK__" localSheetId="6" hidden="1">{"fdsup://directions/FAT Viewer?action=UPDATE&amp;creator=factset&amp;DYN_ARGS=TRUE&amp;DOC_NAME=FAT:FQL_AUDITING_CLIENT_TEMPLATE.FAT&amp;display_string=Audit&amp;VAR:KEY=PKXGHAJGRO&amp;VAR:QUERY=RkZfRUJJVERBX0lCKCdMVE1TJywzOTQ2Myk=&amp;WINDOW=FIRST_POPUP&amp;HEIGHT=450&amp;WIDTH=450&amp;START_MA","XIMIZED=FALSE&amp;VAR:CALENDAR=US&amp;VAR:SYMBOL=N0098510&amp;VAR:INDEX=0"}</definedName>
    <definedName name="_6250__FDSAUDITLINK__" hidden="1">{"fdsup://directions/FAT Viewer?action=UPDATE&amp;creator=factset&amp;DYN_ARGS=TRUE&amp;DOC_NAME=FAT:FQL_AUDITING_CLIENT_TEMPLATE.FAT&amp;display_string=Audit&amp;VAR:KEY=PKXGHAJGRO&amp;VAR:QUERY=RkZfRUJJVERBX0lCKCdMVE1TJywzOTQ2Myk=&amp;WINDOW=FIRST_POPUP&amp;HEIGHT=450&amp;WIDTH=450&amp;START_MA","XIMIZED=FALSE&amp;VAR:CALENDAR=US&amp;VAR:SYMBOL=N0098510&amp;VAR:INDEX=0"}</definedName>
    <definedName name="_6251__FDSAUDITLINK__" localSheetId="6" hidden="1">{"fdsup://directions/FAT Viewer?action=UPDATE&amp;creator=factset&amp;DYN_ARGS=TRUE&amp;DOC_NAME=FAT:FQL_AUDITING_CLIENT_TEMPLATE.FAT&amp;display_string=Audit&amp;VAR:KEY=HYLQDQHQVA&amp;VAR:QUERY=RkZfRUJJVERBX0lCKCdMVE1TJywzOTQ2Mik=&amp;WINDOW=FIRST_POPUP&amp;HEIGHT=450&amp;WIDTH=450&amp;START_MA","XIMIZED=FALSE&amp;VAR:CALENDAR=US&amp;VAR:SYMBOL=N0098510&amp;VAR:INDEX=0"}</definedName>
    <definedName name="_6251__FDSAUDITLINK__" hidden="1">{"fdsup://directions/FAT Viewer?action=UPDATE&amp;creator=factset&amp;DYN_ARGS=TRUE&amp;DOC_NAME=FAT:FQL_AUDITING_CLIENT_TEMPLATE.FAT&amp;display_string=Audit&amp;VAR:KEY=HYLQDQHQVA&amp;VAR:QUERY=RkZfRUJJVERBX0lCKCdMVE1TJywzOTQ2Mik=&amp;WINDOW=FIRST_POPUP&amp;HEIGHT=450&amp;WIDTH=450&amp;START_MA","XIMIZED=FALSE&amp;VAR:CALENDAR=US&amp;VAR:SYMBOL=N0098510&amp;VAR:INDEX=0"}</definedName>
    <definedName name="_6252__FDSAUDITLINK__" localSheetId="6" hidden="1">{"fdsup://directions/FAT Viewer?action=UPDATE&amp;creator=factset&amp;DYN_ARGS=TRUE&amp;DOC_NAME=FAT:FQL_AUDITING_CLIENT_TEMPLATE.FAT&amp;display_string=Audit&amp;VAR:KEY=JSHUVEZOPS&amp;VAR:QUERY=RkZfRUJJVERBX0lCKCdMVE1TJywzOTQ2MSk=&amp;WINDOW=FIRST_POPUP&amp;HEIGHT=450&amp;WIDTH=450&amp;START_MA","XIMIZED=FALSE&amp;VAR:CALENDAR=US&amp;VAR:SYMBOL=N0098510&amp;VAR:INDEX=0"}</definedName>
    <definedName name="_6252__FDSAUDITLINK__" hidden="1">{"fdsup://directions/FAT Viewer?action=UPDATE&amp;creator=factset&amp;DYN_ARGS=TRUE&amp;DOC_NAME=FAT:FQL_AUDITING_CLIENT_TEMPLATE.FAT&amp;display_string=Audit&amp;VAR:KEY=JSHUVEZOPS&amp;VAR:QUERY=RkZfRUJJVERBX0lCKCdMVE1TJywzOTQ2MSk=&amp;WINDOW=FIRST_POPUP&amp;HEIGHT=450&amp;WIDTH=450&amp;START_MA","XIMIZED=FALSE&amp;VAR:CALENDAR=US&amp;VAR:SYMBOL=N0098510&amp;VAR:INDEX=0"}</definedName>
    <definedName name="_6253__FDSAUDITLINK__" localSheetId="6" hidden="1">{"fdsup://directions/FAT Viewer?action=UPDATE&amp;creator=factset&amp;DYN_ARGS=TRUE&amp;DOC_NAME=FAT:FQL_AUDITING_CLIENT_TEMPLATE.FAT&amp;display_string=Audit&amp;VAR:KEY=DOJGNGTWNC&amp;VAR:QUERY=RkZfRUJJVERBX0lCKCdMVE1TJywzOTQ2MCk=&amp;WINDOW=FIRST_POPUP&amp;HEIGHT=450&amp;WIDTH=450&amp;START_MA","XIMIZED=FALSE&amp;VAR:CALENDAR=US&amp;VAR:SYMBOL=N0098510&amp;VAR:INDEX=0"}</definedName>
    <definedName name="_6253__FDSAUDITLINK__" hidden="1">{"fdsup://directions/FAT Viewer?action=UPDATE&amp;creator=factset&amp;DYN_ARGS=TRUE&amp;DOC_NAME=FAT:FQL_AUDITING_CLIENT_TEMPLATE.FAT&amp;display_string=Audit&amp;VAR:KEY=DOJGNGTWNC&amp;VAR:QUERY=RkZfRUJJVERBX0lCKCdMVE1TJywzOTQ2MCk=&amp;WINDOW=FIRST_POPUP&amp;HEIGHT=450&amp;WIDTH=450&amp;START_MA","XIMIZED=FALSE&amp;VAR:CALENDAR=US&amp;VAR:SYMBOL=N0098510&amp;VAR:INDEX=0"}</definedName>
    <definedName name="_6254__FDSAUDITLINK__" localSheetId="6" hidden="1">{"fdsup://directions/FAT Viewer?action=UPDATE&amp;creator=factset&amp;DYN_ARGS=TRUE&amp;DOC_NAME=FAT:FQL_AUDITING_CLIENT_TEMPLATE.FAT&amp;display_string=Audit&amp;VAR:KEY=FILSTSHGXS&amp;VAR:QUERY=RkZfRUJJVERBX0lCKCdMVE1TJywzOTQ1OSk=&amp;WINDOW=FIRST_POPUP&amp;HEIGHT=450&amp;WIDTH=450&amp;START_MA","XIMIZED=FALSE&amp;VAR:CALENDAR=US&amp;VAR:SYMBOL=N0098510&amp;VAR:INDEX=0"}</definedName>
    <definedName name="_6254__FDSAUDITLINK__" hidden="1">{"fdsup://directions/FAT Viewer?action=UPDATE&amp;creator=factset&amp;DYN_ARGS=TRUE&amp;DOC_NAME=FAT:FQL_AUDITING_CLIENT_TEMPLATE.FAT&amp;display_string=Audit&amp;VAR:KEY=FILSTSHGXS&amp;VAR:QUERY=RkZfRUJJVERBX0lCKCdMVE1TJywzOTQ1OSk=&amp;WINDOW=FIRST_POPUP&amp;HEIGHT=450&amp;WIDTH=450&amp;START_MA","XIMIZED=FALSE&amp;VAR:CALENDAR=US&amp;VAR:SYMBOL=N0098510&amp;VAR:INDEX=0"}</definedName>
    <definedName name="_6255__FDSAUDITLINK__" localSheetId="6" hidden="1">{"fdsup://directions/FAT Viewer?action=UPDATE&amp;creator=factset&amp;DYN_ARGS=TRUE&amp;DOC_NAME=FAT:FQL_AUDITING_CLIENT_TEMPLATE.FAT&amp;display_string=Audit&amp;VAR:KEY=RYDWNUDSFW&amp;VAR:QUERY=RkZfRUJJVERBX0lCKCdMVE1TJywzOTQ1OCk=&amp;WINDOW=FIRST_POPUP&amp;HEIGHT=450&amp;WIDTH=450&amp;START_MA","XIMIZED=FALSE&amp;VAR:CALENDAR=US&amp;VAR:SYMBOL=N0098510&amp;VAR:INDEX=0"}</definedName>
    <definedName name="_6255__FDSAUDITLINK__" hidden="1">{"fdsup://directions/FAT Viewer?action=UPDATE&amp;creator=factset&amp;DYN_ARGS=TRUE&amp;DOC_NAME=FAT:FQL_AUDITING_CLIENT_TEMPLATE.FAT&amp;display_string=Audit&amp;VAR:KEY=RYDWNUDSFW&amp;VAR:QUERY=RkZfRUJJVERBX0lCKCdMVE1TJywzOTQ1OCk=&amp;WINDOW=FIRST_POPUP&amp;HEIGHT=450&amp;WIDTH=450&amp;START_MA","XIMIZED=FALSE&amp;VAR:CALENDAR=US&amp;VAR:SYMBOL=N0098510&amp;VAR:INDEX=0"}</definedName>
    <definedName name="_6256__FDSAUDITLINK__" localSheetId="6" hidden="1">{"fdsup://directions/FAT Viewer?action=UPDATE&amp;creator=factset&amp;DYN_ARGS=TRUE&amp;DOC_NAME=FAT:FQL_AUDITING_CLIENT_TEMPLATE.FAT&amp;display_string=Audit&amp;VAR:KEY=NYLEVKBSVQ&amp;VAR:QUERY=RkZfRUJJVERBX0lCKCdMVE1TJywzOTQ1Nyk=&amp;WINDOW=FIRST_POPUP&amp;HEIGHT=450&amp;WIDTH=450&amp;START_MA","XIMIZED=FALSE&amp;VAR:CALENDAR=US&amp;VAR:SYMBOL=N0098510&amp;VAR:INDEX=0"}</definedName>
    <definedName name="_6256__FDSAUDITLINK__" hidden="1">{"fdsup://directions/FAT Viewer?action=UPDATE&amp;creator=factset&amp;DYN_ARGS=TRUE&amp;DOC_NAME=FAT:FQL_AUDITING_CLIENT_TEMPLATE.FAT&amp;display_string=Audit&amp;VAR:KEY=NYLEVKBSVQ&amp;VAR:QUERY=RkZfRUJJVERBX0lCKCdMVE1TJywzOTQ1Nyk=&amp;WINDOW=FIRST_POPUP&amp;HEIGHT=450&amp;WIDTH=450&amp;START_MA","XIMIZED=FALSE&amp;VAR:CALENDAR=US&amp;VAR:SYMBOL=N0098510&amp;VAR:INDEX=0"}</definedName>
    <definedName name="_6257__FDSAUDITLINK__" localSheetId="6" hidden="1">{"fdsup://directions/FAT Viewer?action=UPDATE&amp;creator=factset&amp;DYN_ARGS=TRUE&amp;DOC_NAME=FAT:FQL_AUDITING_CLIENT_TEMPLATE.FAT&amp;display_string=Audit&amp;VAR:KEY=DSBQRAHIBE&amp;VAR:QUERY=RkZfRUJJVERBX0lCKCdMVE1TJywzOTQ1Nik=&amp;WINDOW=FIRST_POPUP&amp;HEIGHT=450&amp;WIDTH=450&amp;START_MA","XIMIZED=FALSE&amp;VAR:CALENDAR=US&amp;VAR:SYMBOL=N0098510&amp;VAR:INDEX=0"}</definedName>
    <definedName name="_6257__FDSAUDITLINK__" hidden="1">{"fdsup://directions/FAT Viewer?action=UPDATE&amp;creator=factset&amp;DYN_ARGS=TRUE&amp;DOC_NAME=FAT:FQL_AUDITING_CLIENT_TEMPLATE.FAT&amp;display_string=Audit&amp;VAR:KEY=DSBQRAHIBE&amp;VAR:QUERY=RkZfRUJJVERBX0lCKCdMVE1TJywzOTQ1Nik=&amp;WINDOW=FIRST_POPUP&amp;HEIGHT=450&amp;WIDTH=450&amp;START_MA","XIMIZED=FALSE&amp;VAR:CALENDAR=US&amp;VAR:SYMBOL=N0098510&amp;VAR:INDEX=0"}</definedName>
    <definedName name="_6258__FDSAUDITLINK__" localSheetId="6" hidden="1">{"fdsup://directions/FAT Viewer?action=UPDATE&amp;creator=factset&amp;DYN_ARGS=TRUE&amp;DOC_NAME=FAT:FQL_AUDITING_CLIENT_TEMPLATE.FAT&amp;display_string=Audit&amp;VAR:KEY=HYDCHIFWLY&amp;VAR:QUERY=RkZfRUJJVERBX0lCKCdMVE1TJywzOTQ1NSk=&amp;WINDOW=FIRST_POPUP&amp;HEIGHT=450&amp;WIDTH=450&amp;START_MA","XIMIZED=FALSE&amp;VAR:CALENDAR=US&amp;VAR:SYMBOL=N0098510&amp;VAR:INDEX=0"}</definedName>
    <definedName name="_6258__FDSAUDITLINK__" hidden="1">{"fdsup://directions/FAT Viewer?action=UPDATE&amp;creator=factset&amp;DYN_ARGS=TRUE&amp;DOC_NAME=FAT:FQL_AUDITING_CLIENT_TEMPLATE.FAT&amp;display_string=Audit&amp;VAR:KEY=HYDCHIFWLY&amp;VAR:QUERY=RkZfRUJJVERBX0lCKCdMVE1TJywzOTQ1NSk=&amp;WINDOW=FIRST_POPUP&amp;HEIGHT=450&amp;WIDTH=450&amp;START_MA","XIMIZED=FALSE&amp;VAR:CALENDAR=US&amp;VAR:SYMBOL=N0098510&amp;VAR:INDEX=0"}</definedName>
    <definedName name="_6259__FDSAUDITLINK__" localSheetId="6" hidden="1">{"fdsup://directions/FAT Viewer?action=UPDATE&amp;creator=factset&amp;DYN_ARGS=TRUE&amp;DOC_NAME=FAT:FQL_AUDITING_CLIENT_TEMPLATE.FAT&amp;display_string=Audit&amp;VAR:KEY=VQJEPQTANC&amp;VAR:QUERY=RkZfRUJJVERBX0lCKCdMVE1TJywzOTQ1NCk=&amp;WINDOW=FIRST_POPUP&amp;HEIGHT=450&amp;WIDTH=450&amp;START_MA","XIMIZED=FALSE&amp;VAR:CALENDAR=US&amp;VAR:SYMBOL=N0098510&amp;VAR:INDEX=0"}</definedName>
    <definedName name="_6259__FDSAUDITLINK__" hidden="1">{"fdsup://directions/FAT Viewer?action=UPDATE&amp;creator=factset&amp;DYN_ARGS=TRUE&amp;DOC_NAME=FAT:FQL_AUDITING_CLIENT_TEMPLATE.FAT&amp;display_string=Audit&amp;VAR:KEY=VQJEPQTANC&amp;VAR:QUERY=RkZfRUJJVERBX0lCKCdMVE1TJywzOTQ1NCk=&amp;WINDOW=FIRST_POPUP&amp;HEIGHT=450&amp;WIDTH=450&amp;START_MA","XIMIZED=FALSE&amp;VAR:CALENDAR=US&amp;VAR:SYMBOL=N0098510&amp;VAR:INDEX=0"}</definedName>
    <definedName name="_626__FDSAUDITLINK__" localSheetId="6" hidden="1">{"fdsup://directions/FAT%20Viewer?VAR:PED=LTM&amp;VAR:AUDIT_MODE=SUMMARY&amp;VAR:PERIOD=FIXED&amp;VAR:AUDIT_ID=00000117&amp;VAR:DATE=20080605&amp;action=UPDATE&amp;creator=factset&amp;DOC_NAME=FAT:FMA_audit_SUMMARY.fat&amp;DISPLAY_STRING=Display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6__FDSAUDITLINK__" hidden="1">{"fdsup://directions/FAT%20Viewer?VAR:PED=LTM&amp;VAR:AUDIT_MODE=SUMMARY&amp;VAR:PERIOD=FIXED&amp;VAR:AUDIT_ID=00000117&amp;VAR:DATE=20080605&amp;action=UPDATE&amp;creator=factset&amp;DOC_NAME=FAT:FMA_audit_SUMMARY.fat&amp;DISPLAY_STRING=Display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60__FDSAUDITLINK__" localSheetId="6" hidden="1">{"fdsup://directions/FAT Viewer?action=UPDATE&amp;creator=factset&amp;DYN_ARGS=TRUE&amp;DOC_NAME=FAT:FQL_AUDITING_CLIENT_TEMPLATE.FAT&amp;display_string=Audit&amp;VAR:KEY=TQHSNQTKNS&amp;VAR:QUERY=RkZfRUJJVERBX0lCKCdMVE1TJywzOTQ1Myk=&amp;WINDOW=FIRST_POPUP&amp;HEIGHT=450&amp;WIDTH=450&amp;START_MA","XIMIZED=FALSE&amp;VAR:CALENDAR=US&amp;VAR:SYMBOL=N0098510&amp;VAR:INDEX=0"}</definedName>
    <definedName name="_6260__FDSAUDITLINK__" hidden="1">{"fdsup://directions/FAT Viewer?action=UPDATE&amp;creator=factset&amp;DYN_ARGS=TRUE&amp;DOC_NAME=FAT:FQL_AUDITING_CLIENT_TEMPLATE.FAT&amp;display_string=Audit&amp;VAR:KEY=TQHSNQTKNS&amp;VAR:QUERY=RkZfRUJJVERBX0lCKCdMVE1TJywzOTQ1Myk=&amp;WINDOW=FIRST_POPUP&amp;HEIGHT=450&amp;WIDTH=450&amp;START_MA","XIMIZED=FALSE&amp;VAR:CALENDAR=US&amp;VAR:SYMBOL=N0098510&amp;VAR:INDEX=0"}</definedName>
    <definedName name="_6261__FDSAUDITLINK__" localSheetId="6" hidden="1">{"fdsup://directions/FAT Viewer?action=UPDATE&amp;creator=factset&amp;DYN_ARGS=TRUE&amp;DOC_NAME=FAT:FQL_AUDITING_CLIENT_TEMPLATE.FAT&amp;display_string=Audit&amp;VAR:KEY=HGHURIPSRA&amp;VAR:QUERY=RkZfRUJJVERBX0lCKCdMVE1TJywzOTQ1Mik=&amp;WINDOW=FIRST_POPUP&amp;HEIGHT=450&amp;WIDTH=450&amp;START_MA","XIMIZED=FALSE&amp;VAR:CALENDAR=US&amp;VAR:SYMBOL=N0098510&amp;VAR:INDEX=0"}</definedName>
    <definedName name="_6261__FDSAUDITLINK__" hidden="1">{"fdsup://directions/FAT Viewer?action=UPDATE&amp;creator=factset&amp;DYN_ARGS=TRUE&amp;DOC_NAME=FAT:FQL_AUDITING_CLIENT_TEMPLATE.FAT&amp;display_string=Audit&amp;VAR:KEY=HGHURIPSRA&amp;VAR:QUERY=RkZfRUJJVERBX0lCKCdMVE1TJywzOTQ1Mik=&amp;WINDOW=FIRST_POPUP&amp;HEIGHT=450&amp;WIDTH=450&amp;START_MA","XIMIZED=FALSE&amp;VAR:CALENDAR=US&amp;VAR:SYMBOL=N0098510&amp;VAR:INDEX=0"}</definedName>
    <definedName name="_6262__FDSAUDITLINK__" localSheetId="6" hidden="1">{"fdsup://directions/FAT Viewer?action=UPDATE&amp;creator=factset&amp;DYN_ARGS=TRUE&amp;DOC_NAME=FAT:FQL_AUDITING_CLIENT_TEMPLATE.FAT&amp;display_string=Audit&amp;VAR:KEY=VCVIBQFIHA&amp;VAR:QUERY=RkZfRUJJVERBX0lCKCdMVE1TJywzOTQ1MSk=&amp;WINDOW=FIRST_POPUP&amp;HEIGHT=450&amp;WIDTH=450&amp;START_MA","XIMIZED=FALSE&amp;VAR:CALENDAR=US&amp;VAR:SYMBOL=N0098510&amp;VAR:INDEX=0"}</definedName>
    <definedName name="_6262__FDSAUDITLINK__" hidden="1">{"fdsup://directions/FAT Viewer?action=UPDATE&amp;creator=factset&amp;DYN_ARGS=TRUE&amp;DOC_NAME=FAT:FQL_AUDITING_CLIENT_TEMPLATE.FAT&amp;display_string=Audit&amp;VAR:KEY=VCVIBQFIHA&amp;VAR:QUERY=RkZfRUJJVERBX0lCKCdMVE1TJywzOTQ1MSk=&amp;WINDOW=FIRST_POPUP&amp;HEIGHT=450&amp;WIDTH=450&amp;START_MA","XIMIZED=FALSE&amp;VAR:CALENDAR=US&amp;VAR:SYMBOL=N0098510&amp;VAR:INDEX=0"}</definedName>
    <definedName name="_6263__FDSAUDITLINK__" localSheetId="6" hidden="1">{"fdsup://directions/FAT Viewer?action=UPDATE&amp;creator=factset&amp;DYN_ARGS=TRUE&amp;DOC_NAME=FAT:FQL_AUDITING_CLIENT_TEMPLATE.FAT&amp;display_string=Audit&amp;VAR:KEY=ZYHOLMHYHY&amp;VAR:QUERY=RkZfRUJJVERBX0lCKCdMVE1TJywzOTQ1MCk=&amp;WINDOW=FIRST_POPUP&amp;HEIGHT=450&amp;WIDTH=450&amp;START_MA","XIMIZED=FALSE&amp;VAR:CALENDAR=US&amp;VAR:SYMBOL=N0098510&amp;VAR:INDEX=0"}</definedName>
    <definedName name="_6263__FDSAUDITLINK__" hidden="1">{"fdsup://directions/FAT Viewer?action=UPDATE&amp;creator=factset&amp;DYN_ARGS=TRUE&amp;DOC_NAME=FAT:FQL_AUDITING_CLIENT_TEMPLATE.FAT&amp;display_string=Audit&amp;VAR:KEY=ZYHOLMHYHY&amp;VAR:QUERY=RkZfRUJJVERBX0lCKCdMVE1TJywzOTQ1MCk=&amp;WINDOW=FIRST_POPUP&amp;HEIGHT=450&amp;WIDTH=450&amp;START_MA","XIMIZED=FALSE&amp;VAR:CALENDAR=US&amp;VAR:SYMBOL=N0098510&amp;VAR:INDEX=0"}</definedName>
    <definedName name="_6264__FDSAUDITLINK__" localSheetId="6" hidden="1">{"fdsup://directions/FAT Viewer?action=UPDATE&amp;creator=factset&amp;DYN_ARGS=TRUE&amp;DOC_NAME=FAT:FQL_AUDITING_CLIENT_TEMPLATE.FAT&amp;display_string=Audit&amp;VAR:KEY=REPYJKBIDY&amp;VAR:QUERY=RkZfRUJJVERBX0lCKCdMVE1TJywzOTQ0OSk=&amp;WINDOW=FIRST_POPUP&amp;HEIGHT=450&amp;WIDTH=450&amp;START_MA","XIMIZED=FALSE&amp;VAR:CALENDAR=US&amp;VAR:SYMBOL=N0098510&amp;VAR:INDEX=0"}</definedName>
    <definedName name="_6264__FDSAUDITLINK__" hidden="1">{"fdsup://directions/FAT Viewer?action=UPDATE&amp;creator=factset&amp;DYN_ARGS=TRUE&amp;DOC_NAME=FAT:FQL_AUDITING_CLIENT_TEMPLATE.FAT&amp;display_string=Audit&amp;VAR:KEY=REPYJKBIDY&amp;VAR:QUERY=RkZfRUJJVERBX0lCKCdMVE1TJywzOTQ0OSk=&amp;WINDOW=FIRST_POPUP&amp;HEIGHT=450&amp;WIDTH=450&amp;START_MA","XIMIZED=FALSE&amp;VAR:CALENDAR=US&amp;VAR:SYMBOL=N0098510&amp;VAR:INDEX=0"}</definedName>
    <definedName name="_6265__FDSAUDITLINK__" localSheetId="6" hidden="1">{"fdsup://directions/FAT Viewer?action=UPDATE&amp;creator=factset&amp;DYN_ARGS=TRUE&amp;DOC_NAME=FAT:FQL_AUDITING_CLIENT_TEMPLATE.FAT&amp;display_string=Audit&amp;VAR:KEY=PWXUTOHGLI&amp;VAR:QUERY=RkZfRUJJVERBX0lCKCdMVE1TJywzOTQ0OCk=&amp;WINDOW=FIRST_POPUP&amp;HEIGHT=450&amp;WIDTH=450&amp;START_MA","XIMIZED=FALSE&amp;VAR:CALENDAR=US&amp;VAR:SYMBOL=N0098510&amp;VAR:INDEX=0"}</definedName>
    <definedName name="_6265__FDSAUDITLINK__" hidden="1">{"fdsup://directions/FAT Viewer?action=UPDATE&amp;creator=factset&amp;DYN_ARGS=TRUE&amp;DOC_NAME=FAT:FQL_AUDITING_CLIENT_TEMPLATE.FAT&amp;display_string=Audit&amp;VAR:KEY=PWXUTOHGLI&amp;VAR:QUERY=RkZfRUJJVERBX0lCKCdMVE1TJywzOTQ0OCk=&amp;WINDOW=FIRST_POPUP&amp;HEIGHT=450&amp;WIDTH=450&amp;START_MA","XIMIZED=FALSE&amp;VAR:CALENDAR=US&amp;VAR:SYMBOL=N0098510&amp;VAR:INDEX=0"}</definedName>
    <definedName name="_6266__FDSAUDITLINK__" localSheetId="6" hidden="1">{"fdsup://directions/FAT Viewer?action=UPDATE&amp;creator=factset&amp;DYN_ARGS=TRUE&amp;DOC_NAME=FAT:FQL_AUDITING_CLIENT_TEMPLATE.FAT&amp;display_string=Audit&amp;VAR:KEY=JYNERUZKZC&amp;VAR:QUERY=RkZfRUJJVERBX0lCKCdMVE1TJywzOTQ0Nyk=&amp;WINDOW=FIRST_POPUP&amp;HEIGHT=450&amp;WIDTH=450&amp;START_MA","XIMIZED=FALSE&amp;VAR:CALENDAR=US&amp;VAR:SYMBOL=N0098510&amp;VAR:INDEX=0"}</definedName>
    <definedName name="_6266__FDSAUDITLINK__" hidden="1">{"fdsup://directions/FAT Viewer?action=UPDATE&amp;creator=factset&amp;DYN_ARGS=TRUE&amp;DOC_NAME=FAT:FQL_AUDITING_CLIENT_TEMPLATE.FAT&amp;display_string=Audit&amp;VAR:KEY=JYNERUZKZC&amp;VAR:QUERY=RkZfRUJJVERBX0lCKCdMVE1TJywzOTQ0Nyk=&amp;WINDOW=FIRST_POPUP&amp;HEIGHT=450&amp;WIDTH=450&amp;START_MA","XIMIZED=FALSE&amp;VAR:CALENDAR=US&amp;VAR:SYMBOL=N0098510&amp;VAR:INDEX=0"}</definedName>
    <definedName name="_6267__FDSAUDITLINK__" localSheetId="6" hidden="1">{"fdsup://directions/FAT Viewer?action=UPDATE&amp;creator=factset&amp;DYN_ARGS=TRUE&amp;DOC_NAME=FAT:FQL_AUDITING_CLIENT_TEMPLATE.FAT&amp;display_string=Audit&amp;VAR:KEY=XYZAXIPWPC&amp;VAR:QUERY=RkZfRUJJVERBX0lCKCdMVE1TJywzOTQ0Nik=&amp;WINDOW=FIRST_POPUP&amp;HEIGHT=450&amp;WIDTH=450&amp;START_MA","XIMIZED=FALSE&amp;VAR:CALENDAR=US&amp;VAR:SYMBOL=N0098510&amp;VAR:INDEX=0"}</definedName>
    <definedName name="_6267__FDSAUDITLINK__" hidden="1">{"fdsup://directions/FAT Viewer?action=UPDATE&amp;creator=factset&amp;DYN_ARGS=TRUE&amp;DOC_NAME=FAT:FQL_AUDITING_CLIENT_TEMPLATE.FAT&amp;display_string=Audit&amp;VAR:KEY=XYZAXIPWPC&amp;VAR:QUERY=RkZfRUJJVERBX0lCKCdMVE1TJywzOTQ0Nik=&amp;WINDOW=FIRST_POPUP&amp;HEIGHT=450&amp;WIDTH=450&amp;START_MA","XIMIZED=FALSE&amp;VAR:CALENDAR=US&amp;VAR:SYMBOL=N0098510&amp;VAR:INDEX=0"}</definedName>
    <definedName name="_6268__FDSAUDITLINK__" localSheetId="6" hidden="1">{"fdsup://directions/FAT Viewer?action=UPDATE&amp;creator=factset&amp;DYN_ARGS=TRUE&amp;DOC_NAME=FAT:FQL_AUDITING_CLIENT_TEMPLATE.FAT&amp;display_string=Audit&amp;VAR:KEY=XIZSZOJANK&amp;VAR:QUERY=RkZfRUJJVERBX0lCKCdMVE1TJywzOTQ0NSk=&amp;WINDOW=FIRST_POPUP&amp;HEIGHT=450&amp;WIDTH=450&amp;START_MA","XIMIZED=FALSE&amp;VAR:CALENDAR=US&amp;VAR:SYMBOL=N0098510&amp;VAR:INDEX=0"}</definedName>
    <definedName name="_6268__FDSAUDITLINK__" hidden="1">{"fdsup://directions/FAT Viewer?action=UPDATE&amp;creator=factset&amp;DYN_ARGS=TRUE&amp;DOC_NAME=FAT:FQL_AUDITING_CLIENT_TEMPLATE.FAT&amp;display_string=Audit&amp;VAR:KEY=XIZSZOJANK&amp;VAR:QUERY=RkZfRUJJVERBX0lCKCdMVE1TJywzOTQ0NSk=&amp;WINDOW=FIRST_POPUP&amp;HEIGHT=450&amp;WIDTH=450&amp;START_MA","XIMIZED=FALSE&amp;VAR:CALENDAR=US&amp;VAR:SYMBOL=N0098510&amp;VAR:INDEX=0"}</definedName>
    <definedName name="_6269__FDSAUDITLINK__" localSheetId="6" hidden="1">{"fdsup://directions/FAT Viewer?action=UPDATE&amp;creator=factset&amp;DYN_ARGS=TRUE&amp;DOC_NAME=FAT:FQL_AUDITING_CLIENT_TEMPLATE.FAT&amp;display_string=Audit&amp;VAR:KEY=JCNIBQZALG&amp;VAR:QUERY=RkZfRUJJVERBX0lCKCdMVE1TJywzOTQ0NCk=&amp;WINDOW=FIRST_POPUP&amp;HEIGHT=450&amp;WIDTH=450&amp;START_MA","XIMIZED=FALSE&amp;VAR:CALENDAR=US&amp;VAR:SYMBOL=N0098510&amp;VAR:INDEX=0"}</definedName>
    <definedName name="_6269__FDSAUDITLINK__" hidden="1">{"fdsup://directions/FAT Viewer?action=UPDATE&amp;creator=factset&amp;DYN_ARGS=TRUE&amp;DOC_NAME=FAT:FQL_AUDITING_CLIENT_TEMPLATE.FAT&amp;display_string=Audit&amp;VAR:KEY=JCNIBQZALG&amp;VAR:QUERY=RkZfRUJJVERBX0lCKCdMVE1TJywzOTQ0NCk=&amp;WINDOW=FIRST_POPUP&amp;HEIGHT=450&amp;WIDTH=450&amp;START_MA","XIMIZED=FALSE&amp;VAR:CALENDAR=US&amp;VAR:SYMBOL=N0098510&amp;VAR:INDEX=0"}</definedName>
    <definedName name="_627__FDSAUDITLINK__" localSheetId="6" hidden="1">{"fdsup://directions/FAT%20Viewer?VAR:PED=LTM&amp;VAR:AUDIT_MODE=SUMMARY&amp;VAR:PERIOD=FIXED&amp;VAR:AUDIT_ID=00000117&amp;VAR:DATE=20080604&amp;action=UPDATE&amp;creator=factset&amp;DOC_NAME=FAT:FMA_audit_SUMMARY.fat&amp;DISPLAY_STRING=Display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7__FDSAUDITLINK__" hidden="1">{"fdsup://directions/FAT%20Viewer?VAR:PED=LTM&amp;VAR:AUDIT_MODE=SUMMARY&amp;VAR:PERIOD=FIXED&amp;VAR:AUDIT_ID=00000117&amp;VAR:DATE=20080604&amp;action=UPDATE&amp;creator=factset&amp;DOC_NAME=FAT:FMA_audit_SUMMARY.fat&amp;DISPLAY_STRING=Display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70__FDSAUDITLINK__" localSheetId="6" hidden="1">{"fdsup://directions/FAT Viewer?action=UPDATE&amp;creator=factset&amp;DYN_ARGS=TRUE&amp;DOC_NAME=FAT:FQL_AUDITING_CLIENT_TEMPLATE.FAT&amp;display_string=Audit&amp;VAR:KEY=NSZERCXMLA&amp;VAR:QUERY=RkZfRUJJVERBX0lCKCdMVE1TJywzOTQ0Myk=&amp;WINDOW=FIRST_POPUP&amp;HEIGHT=450&amp;WIDTH=450&amp;START_MA","XIMIZED=FALSE&amp;VAR:CALENDAR=US&amp;VAR:SYMBOL=N0098510&amp;VAR:INDEX=0"}</definedName>
    <definedName name="_6270__FDSAUDITLINK__" hidden="1">{"fdsup://directions/FAT Viewer?action=UPDATE&amp;creator=factset&amp;DYN_ARGS=TRUE&amp;DOC_NAME=FAT:FQL_AUDITING_CLIENT_TEMPLATE.FAT&amp;display_string=Audit&amp;VAR:KEY=NSZERCXMLA&amp;VAR:QUERY=RkZfRUJJVERBX0lCKCdMVE1TJywzOTQ0Myk=&amp;WINDOW=FIRST_POPUP&amp;HEIGHT=450&amp;WIDTH=450&amp;START_MA","XIMIZED=FALSE&amp;VAR:CALENDAR=US&amp;VAR:SYMBOL=N0098510&amp;VAR:INDEX=0"}</definedName>
    <definedName name="_6271__FDSAUDITLINK__" localSheetId="6" hidden="1">{"fdsup://directions/FAT Viewer?action=UPDATE&amp;creator=factset&amp;DYN_ARGS=TRUE&amp;DOC_NAME=FAT:FQL_AUDITING_CLIENT_TEMPLATE.FAT&amp;display_string=Audit&amp;VAR:KEY=PQBYPMBKHI&amp;VAR:QUERY=RkZfRUJJVERBX0lCKCdMVE1TJywzOTQ0Mik=&amp;WINDOW=FIRST_POPUP&amp;HEIGHT=450&amp;WIDTH=450&amp;START_MA","XIMIZED=FALSE&amp;VAR:CALENDAR=US&amp;VAR:SYMBOL=N0098510&amp;VAR:INDEX=0"}</definedName>
    <definedName name="_6271__FDSAUDITLINK__" hidden="1">{"fdsup://directions/FAT Viewer?action=UPDATE&amp;creator=factset&amp;DYN_ARGS=TRUE&amp;DOC_NAME=FAT:FQL_AUDITING_CLIENT_TEMPLATE.FAT&amp;display_string=Audit&amp;VAR:KEY=PQBYPMBKHI&amp;VAR:QUERY=RkZfRUJJVERBX0lCKCdMVE1TJywzOTQ0Mik=&amp;WINDOW=FIRST_POPUP&amp;HEIGHT=450&amp;WIDTH=450&amp;START_MA","XIMIZED=FALSE&amp;VAR:CALENDAR=US&amp;VAR:SYMBOL=N0098510&amp;VAR:INDEX=0"}</definedName>
    <definedName name="_6272__FDSAUDITLINK__" localSheetId="6" hidden="1">{"fdsup://directions/FAT Viewer?action=UPDATE&amp;creator=factset&amp;DYN_ARGS=TRUE&amp;DOC_NAME=FAT:FQL_AUDITING_CLIENT_TEMPLATE.FAT&amp;display_string=Audit&amp;VAR:KEY=FQVQNGPEFA&amp;VAR:QUERY=RkZfRUJJVERBX0lCKCdMVE1TJywzOTQ0MSk=&amp;WINDOW=FIRST_POPUP&amp;HEIGHT=450&amp;WIDTH=450&amp;START_MA","XIMIZED=FALSE&amp;VAR:CALENDAR=US&amp;VAR:SYMBOL=N0098510&amp;VAR:INDEX=0"}</definedName>
    <definedName name="_6272__FDSAUDITLINK__" hidden="1">{"fdsup://directions/FAT Viewer?action=UPDATE&amp;creator=factset&amp;DYN_ARGS=TRUE&amp;DOC_NAME=FAT:FQL_AUDITING_CLIENT_TEMPLATE.FAT&amp;display_string=Audit&amp;VAR:KEY=FQVQNGPEFA&amp;VAR:QUERY=RkZfRUJJVERBX0lCKCdMVE1TJywzOTQ0MSk=&amp;WINDOW=FIRST_POPUP&amp;HEIGHT=450&amp;WIDTH=450&amp;START_MA","XIMIZED=FALSE&amp;VAR:CALENDAR=US&amp;VAR:SYMBOL=N0098510&amp;VAR:INDEX=0"}</definedName>
    <definedName name="_6273__FDSAUDITLINK__" localSheetId="6" hidden="1">{"fdsup://directions/FAT Viewer?action=UPDATE&amp;creator=factset&amp;DYN_ARGS=TRUE&amp;DOC_NAME=FAT:FQL_AUDITING_CLIENT_TEMPLATE.FAT&amp;display_string=Audit&amp;VAR:KEY=NYZMROVYPW&amp;VAR:QUERY=RkZfRUJJVERBX0lCKCdMVE1TJywzOTQ0MCk=&amp;WINDOW=FIRST_POPUP&amp;HEIGHT=450&amp;WIDTH=450&amp;START_MA","XIMIZED=FALSE&amp;VAR:CALENDAR=US&amp;VAR:SYMBOL=N0098510&amp;VAR:INDEX=0"}</definedName>
    <definedName name="_6273__FDSAUDITLINK__" hidden="1">{"fdsup://directions/FAT Viewer?action=UPDATE&amp;creator=factset&amp;DYN_ARGS=TRUE&amp;DOC_NAME=FAT:FQL_AUDITING_CLIENT_TEMPLATE.FAT&amp;display_string=Audit&amp;VAR:KEY=NYZMROVYPW&amp;VAR:QUERY=RkZfRUJJVERBX0lCKCdMVE1TJywzOTQ0MCk=&amp;WINDOW=FIRST_POPUP&amp;HEIGHT=450&amp;WIDTH=450&amp;START_MA","XIMIZED=FALSE&amp;VAR:CALENDAR=US&amp;VAR:SYMBOL=N0098510&amp;VAR:INDEX=0"}</definedName>
    <definedName name="_6274__FDSAUDITLINK__" localSheetId="6" hidden="1">{"fdsup://directions/FAT Viewer?action=UPDATE&amp;creator=factset&amp;DYN_ARGS=TRUE&amp;DOC_NAME=FAT:FQL_AUDITING_CLIENT_TEMPLATE.FAT&amp;display_string=Audit&amp;VAR:KEY=FKXELCRUNS&amp;VAR:QUERY=RkZfRUJJVERBX0lCKCdMVE1TJywzOTQzOSk=&amp;WINDOW=FIRST_POPUP&amp;HEIGHT=450&amp;WIDTH=450&amp;START_MA","XIMIZED=FALSE&amp;VAR:CALENDAR=US&amp;VAR:SYMBOL=N0098510&amp;VAR:INDEX=0"}</definedName>
    <definedName name="_6274__FDSAUDITLINK__" hidden="1">{"fdsup://directions/FAT Viewer?action=UPDATE&amp;creator=factset&amp;DYN_ARGS=TRUE&amp;DOC_NAME=FAT:FQL_AUDITING_CLIENT_TEMPLATE.FAT&amp;display_string=Audit&amp;VAR:KEY=FKXELCRUNS&amp;VAR:QUERY=RkZfRUJJVERBX0lCKCdMVE1TJywzOTQzOSk=&amp;WINDOW=FIRST_POPUP&amp;HEIGHT=450&amp;WIDTH=450&amp;START_MA","XIMIZED=FALSE&amp;VAR:CALENDAR=US&amp;VAR:SYMBOL=N0098510&amp;VAR:INDEX=0"}</definedName>
    <definedName name="_6275__FDSAUDITLINK__" localSheetId="6" hidden="1">{"fdsup://directions/FAT Viewer?action=UPDATE&amp;creator=factset&amp;DYN_ARGS=TRUE&amp;DOC_NAME=FAT:FQL_AUDITING_CLIENT_TEMPLATE.FAT&amp;display_string=Audit&amp;VAR:KEY=ZYBSNMRYDI&amp;VAR:QUERY=RkZfRUJJVERBX0lCKCdMVE1TJywzOTQzOCk=&amp;WINDOW=FIRST_POPUP&amp;HEIGHT=450&amp;WIDTH=450&amp;START_MA","XIMIZED=FALSE&amp;VAR:CALENDAR=US&amp;VAR:SYMBOL=N0098510&amp;VAR:INDEX=0"}</definedName>
    <definedName name="_6275__FDSAUDITLINK__" hidden="1">{"fdsup://directions/FAT Viewer?action=UPDATE&amp;creator=factset&amp;DYN_ARGS=TRUE&amp;DOC_NAME=FAT:FQL_AUDITING_CLIENT_TEMPLATE.FAT&amp;display_string=Audit&amp;VAR:KEY=ZYBSNMRYDI&amp;VAR:QUERY=RkZfRUJJVERBX0lCKCdMVE1TJywzOTQzOCk=&amp;WINDOW=FIRST_POPUP&amp;HEIGHT=450&amp;WIDTH=450&amp;START_MA","XIMIZED=FALSE&amp;VAR:CALENDAR=US&amp;VAR:SYMBOL=N0098510&amp;VAR:INDEX=0"}</definedName>
    <definedName name="_6276__FDSAUDITLINK__" localSheetId="6" hidden="1">{"fdsup://directions/FAT Viewer?action=UPDATE&amp;creator=factset&amp;DYN_ARGS=TRUE&amp;DOC_NAME=FAT:FQL_AUDITING_CLIENT_TEMPLATE.FAT&amp;display_string=Audit&amp;VAR:KEY=TAJCXOLSXG&amp;VAR:QUERY=RkZfRUJJVERBX0lCKCdMVE1TJywzOTQzNyk=&amp;WINDOW=FIRST_POPUP&amp;HEIGHT=450&amp;WIDTH=450&amp;START_MA","XIMIZED=FALSE&amp;VAR:CALENDAR=US&amp;VAR:SYMBOL=N0098510&amp;VAR:INDEX=0"}</definedName>
    <definedName name="_6276__FDSAUDITLINK__" hidden="1">{"fdsup://directions/FAT Viewer?action=UPDATE&amp;creator=factset&amp;DYN_ARGS=TRUE&amp;DOC_NAME=FAT:FQL_AUDITING_CLIENT_TEMPLATE.FAT&amp;display_string=Audit&amp;VAR:KEY=TAJCXOLSXG&amp;VAR:QUERY=RkZfRUJJVERBX0lCKCdMVE1TJywzOTQzNyk=&amp;WINDOW=FIRST_POPUP&amp;HEIGHT=450&amp;WIDTH=450&amp;START_MA","XIMIZED=FALSE&amp;VAR:CALENDAR=US&amp;VAR:SYMBOL=N0098510&amp;VAR:INDEX=0"}</definedName>
    <definedName name="_6277__FDSAUDITLINK__" localSheetId="6" hidden="1">{"fdsup://directions/FAT Viewer?action=UPDATE&amp;creator=factset&amp;DYN_ARGS=TRUE&amp;DOC_NAME=FAT:FQL_AUDITING_CLIENT_TEMPLATE.FAT&amp;display_string=Audit&amp;VAR:KEY=VKTKNCJKNW&amp;VAR:QUERY=RkZfRUJJVERBX0lCKCdMVE1TJywzOTQzNik=&amp;WINDOW=FIRST_POPUP&amp;HEIGHT=450&amp;WIDTH=450&amp;START_MA","XIMIZED=FALSE&amp;VAR:CALENDAR=US&amp;VAR:SYMBOL=N0098510&amp;VAR:INDEX=0"}</definedName>
    <definedName name="_6277__FDSAUDITLINK__" hidden="1">{"fdsup://directions/FAT Viewer?action=UPDATE&amp;creator=factset&amp;DYN_ARGS=TRUE&amp;DOC_NAME=FAT:FQL_AUDITING_CLIENT_TEMPLATE.FAT&amp;display_string=Audit&amp;VAR:KEY=VKTKNCJKNW&amp;VAR:QUERY=RkZfRUJJVERBX0lCKCdMVE1TJywzOTQzNik=&amp;WINDOW=FIRST_POPUP&amp;HEIGHT=450&amp;WIDTH=450&amp;START_MA","XIMIZED=FALSE&amp;VAR:CALENDAR=US&amp;VAR:SYMBOL=N0098510&amp;VAR:INDEX=0"}</definedName>
    <definedName name="_6278__FDSAUDITLINK__" localSheetId="6" hidden="1">{"fdsup://directions/FAT Viewer?action=UPDATE&amp;creator=factset&amp;DYN_ARGS=TRUE&amp;DOC_NAME=FAT:FQL_AUDITING_CLIENT_TEMPLATE.FAT&amp;display_string=Audit&amp;VAR:KEY=JEJEZIHIDA&amp;VAR:QUERY=RkZfRUJJVERBX0lCKCdMVE1TJywzOTQzNSk=&amp;WINDOW=FIRST_POPUP&amp;HEIGHT=450&amp;WIDTH=450&amp;START_MA","XIMIZED=FALSE&amp;VAR:CALENDAR=US&amp;VAR:SYMBOL=N0098510&amp;VAR:INDEX=0"}</definedName>
    <definedName name="_6278__FDSAUDITLINK__" hidden="1">{"fdsup://directions/FAT Viewer?action=UPDATE&amp;creator=factset&amp;DYN_ARGS=TRUE&amp;DOC_NAME=FAT:FQL_AUDITING_CLIENT_TEMPLATE.FAT&amp;display_string=Audit&amp;VAR:KEY=JEJEZIHIDA&amp;VAR:QUERY=RkZfRUJJVERBX0lCKCdMVE1TJywzOTQzNSk=&amp;WINDOW=FIRST_POPUP&amp;HEIGHT=450&amp;WIDTH=450&amp;START_MA","XIMIZED=FALSE&amp;VAR:CALENDAR=US&amp;VAR:SYMBOL=N0098510&amp;VAR:INDEX=0"}</definedName>
    <definedName name="_6279__FDSAUDITLINK__" localSheetId="6" hidden="1">{"fdsup://directions/FAT Viewer?action=UPDATE&amp;creator=factset&amp;DYN_ARGS=TRUE&amp;DOC_NAME=FAT:FQL_AUDITING_CLIENT_TEMPLATE.FAT&amp;display_string=Audit&amp;VAR:KEY=BQDOZODOHS&amp;VAR:QUERY=RkZfRUJJVERBX0lCKCdMVE1TJywzOTQzNCk=&amp;WINDOW=FIRST_POPUP&amp;HEIGHT=450&amp;WIDTH=450&amp;START_MA","XIMIZED=FALSE&amp;VAR:CALENDAR=US&amp;VAR:SYMBOL=N0098510&amp;VAR:INDEX=0"}</definedName>
    <definedName name="_6279__FDSAUDITLINK__" hidden="1">{"fdsup://directions/FAT Viewer?action=UPDATE&amp;creator=factset&amp;DYN_ARGS=TRUE&amp;DOC_NAME=FAT:FQL_AUDITING_CLIENT_TEMPLATE.FAT&amp;display_string=Audit&amp;VAR:KEY=BQDOZODOHS&amp;VAR:QUERY=RkZfRUJJVERBX0lCKCdMVE1TJywzOTQzNCk=&amp;WINDOW=FIRST_POPUP&amp;HEIGHT=450&amp;WIDTH=450&amp;START_MA","XIMIZED=FALSE&amp;VAR:CALENDAR=US&amp;VAR:SYMBOL=N0098510&amp;VAR:INDEX=0"}</definedName>
    <definedName name="_628__FDSAUDITLINK__" localSheetId="6" hidden="1">{"fdsup://directions/FAT%20Viewer?VAR:PED=LTM&amp;VAR:AUDIT_MODE=SUMMARY&amp;VAR:PERIOD=FIXED&amp;VAR:AUDIT_ID=00000117&amp;VAR:DATE=20080603&amp;action=UPDATE&amp;creator=factset&amp;DOC_NAME=FAT:FMA_audit_SUMMARY.fat&amp;DISPLAY_STRING=Display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8__FDSAUDITLINK__" hidden="1">{"fdsup://directions/FAT%20Viewer?VAR:PED=LTM&amp;VAR:AUDIT_MODE=SUMMARY&amp;VAR:PERIOD=FIXED&amp;VAR:AUDIT_ID=00000117&amp;VAR:DATE=20080603&amp;action=UPDATE&amp;creator=factset&amp;DOC_NAME=FAT:FMA_audit_SUMMARY.fat&amp;DISPLAY_STRING=Display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80__FDSAUDITLINK__" localSheetId="6" hidden="1">{"fdsup://directions/FAT Viewer?action=UPDATE&amp;creator=factset&amp;DYN_ARGS=TRUE&amp;DOC_NAME=FAT:FQL_AUDITING_CLIENT_TEMPLATE.FAT&amp;display_string=Audit&amp;VAR:KEY=ROPOXEZARS&amp;VAR:QUERY=RkZfRUJJVERBX0lCKCdMVE1TJywzOTQzMyk=&amp;WINDOW=FIRST_POPUP&amp;HEIGHT=450&amp;WIDTH=450&amp;START_MA","XIMIZED=FALSE&amp;VAR:CALENDAR=US&amp;VAR:SYMBOL=N0098510&amp;VAR:INDEX=0"}</definedName>
    <definedName name="_6280__FDSAUDITLINK__" hidden="1">{"fdsup://directions/FAT Viewer?action=UPDATE&amp;creator=factset&amp;DYN_ARGS=TRUE&amp;DOC_NAME=FAT:FQL_AUDITING_CLIENT_TEMPLATE.FAT&amp;display_string=Audit&amp;VAR:KEY=ROPOXEZARS&amp;VAR:QUERY=RkZfRUJJVERBX0lCKCdMVE1TJywzOTQzMyk=&amp;WINDOW=FIRST_POPUP&amp;HEIGHT=450&amp;WIDTH=450&amp;START_MA","XIMIZED=FALSE&amp;VAR:CALENDAR=US&amp;VAR:SYMBOL=N0098510&amp;VAR:INDEX=0"}</definedName>
    <definedName name="_6281__FDSAUDITLINK__" localSheetId="6" hidden="1">{"fdsup://directions/FAT Viewer?action=UPDATE&amp;creator=factset&amp;DYN_ARGS=TRUE&amp;DOC_NAME=FAT:FQL_AUDITING_CLIENT_TEMPLATE.FAT&amp;display_string=Audit&amp;VAR:KEY=BITCLIHSNG&amp;VAR:QUERY=RkZfRUJJVERBX0lCKCdMVE1TJywzOTQzMik=&amp;WINDOW=FIRST_POPUP&amp;HEIGHT=450&amp;WIDTH=450&amp;START_MA","XIMIZED=FALSE&amp;VAR:CALENDAR=US&amp;VAR:SYMBOL=N0098510&amp;VAR:INDEX=0"}</definedName>
    <definedName name="_6281__FDSAUDITLINK__" hidden="1">{"fdsup://directions/FAT Viewer?action=UPDATE&amp;creator=factset&amp;DYN_ARGS=TRUE&amp;DOC_NAME=FAT:FQL_AUDITING_CLIENT_TEMPLATE.FAT&amp;display_string=Audit&amp;VAR:KEY=BITCLIHSNG&amp;VAR:QUERY=RkZfRUJJVERBX0lCKCdMVE1TJywzOTQzMik=&amp;WINDOW=FIRST_POPUP&amp;HEIGHT=450&amp;WIDTH=450&amp;START_MA","XIMIZED=FALSE&amp;VAR:CALENDAR=US&amp;VAR:SYMBOL=N0098510&amp;VAR:INDEX=0"}</definedName>
    <definedName name="_6282__FDSAUDITLINK__" localSheetId="6" hidden="1">{"fdsup://directions/FAT Viewer?action=UPDATE&amp;creator=factset&amp;DYN_ARGS=TRUE&amp;DOC_NAME=FAT:FQL_AUDITING_CLIENT_TEMPLATE.FAT&amp;display_string=Audit&amp;VAR:KEY=JMLOJKFIFE&amp;VAR:QUERY=RkZfRUJJVERBX0lCKCdMVE1TJywzOTQzMSk=&amp;WINDOW=FIRST_POPUP&amp;HEIGHT=450&amp;WIDTH=450&amp;START_MA","XIMIZED=FALSE&amp;VAR:CALENDAR=US&amp;VAR:SYMBOL=N0098510&amp;VAR:INDEX=0"}</definedName>
    <definedName name="_6282__FDSAUDITLINK__" hidden="1">{"fdsup://directions/FAT Viewer?action=UPDATE&amp;creator=factset&amp;DYN_ARGS=TRUE&amp;DOC_NAME=FAT:FQL_AUDITING_CLIENT_TEMPLATE.FAT&amp;display_string=Audit&amp;VAR:KEY=JMLOJKFIFE&amp;VAR:QUERY=RkZfRUJJVERBX0lCKCdMVE1TJywzOTQzMSk=&amp;WINDOW=FIRST_POPUP&amp;HEIGHT=450&amp;WIDTH=450&amp;START_MA","XIMIZED=FALSE&amp;VAR:CALENDAR=US&amp;VAR:SYMBOL=N0098510&amp;VAR:INDEX=0"}</definedName>
    <definedName name="_6283__FDSAUDITLINK__" localSheetId="6" hidden="1">{"fdsup://directions/FAT Viewer?action=UPDATE&amp;creator=factset&amp;DYN_ARGS=TRUE&amp;DOC_NAME=FAT:FQL_AUDITING_CLIENT_TEMPLATE.FAT&amp;display_string=Audit&amp;VAR:KEY=VUHWVUTEPA&amp;VAR:QUERY=RkZfRUJJVERBX0lCKCdMVE1TJywzOTQzMCk=&amp;WINDOW=FIRST_POPUP&amp;HEIGHT=450&amp;WIDTH=450&amp;START_MA","XIMIZED=FALSE&amp;VAR:CALENDAR=US&amp;VAR:SYMBOL=N0098510&amp;VAR:INDEX=0"}</definedName>
    <definedName name="_6283__FDSAUDITLINK__" hidden="1">{"fdsup://directions/FAT Viewer?action=UPDATE&amp;creator=factset&amp;DYN_ARGS=TRUE&amp;DOC_NAME=FAT:FQL_AUDITING_CLIENT_TEMPLATE.FAT&amp;display_string=Audit&amp;VAR:KEY=VUHWVUTEPA&amp;VAR:QUERY=RkZfRUJJVERBX0lCKCdMVE1TJywzOTQzMCk=&amp;WINDOW=FIRST_POPUP&amp;HEIGHT=450&amp;WIDTH=450&amp;START_MA","XIMIZED=FALSE&amp;VAR:CALENDAR=US&amp;VAR:SYMBOL=N0098510&amp;VAR:INDEX=0"}</definedName>
    <definedName name="_6284__FDSAUDITLINK__" localSheetId="6" hidden="1">{"fdsup://directions/FAT Viewer?action=UPDATE&amp;creator=factset&amp;DYN_ARGS=TRUE&amp;DOC_NAME=FAT:FQL_AUDITING_CLIENT_TEMPLATE.FAT&amp;display_string=Audit&amp;VAR:KEY=LYVELCJELU&amp;VAR:QUERY=RkZfRUJJVERBX0lCKCdMVE1TJywzOTQyOSk=&amp;WINDOW=FIRST_POPUP&amp;HEIGHT=450&amp;WIDTH=450&amp;START_MA","XIMIZED=FALSE&amp;VAR:CALENDAR=US&amp;VAR:SYMBOL=N0098510&amp;VAR:INDEX=0"}</definedName>
    <definedName name="_6284__FDSAUDITLINK__" hidden="1">{"fdsup://directions/FAT Viewer?action=UPDATE&amp;creator=factset&amp;DYN_ARGS=TRUE&amp;DOC_NAME=FAT:FQL_AUDITING_CLIENT_TEMPLATE.FAT&amp;display_string=Audit&amp;VAR:KEY=LYVELCJELU&amp;VAR:QUERY=RkZfRUJJVERBX0lCKCdMVE1TJywzOTQyOSk=&amp;WINDOW=FIRST_POPUP&amp;HEIGHT=450&amp;WIDTH=450&amp;START_MA","XIMIZED=FALSE&amp;VAR:CALENDAR=US&amp;VAR:SYMBOL=N0098510&amp;VAR:INDEX=0"}</definedName>
    <definedName name="_6285__FDSAUDITLINK__" localSheetId="6" hidden="1">{"fdsup://directions/FAT Viewer?action=UPDATE&amp;creator=factset&amp;DYN_ARGS=TRUE&amp;DOC_NAME=FAT:FQL_AUDITING_CLIENT_TEMPLATE.FAT&amp;display_string=Audit&amp;VAR:KEY=LUNCRCDWVG&amp;VAR:QUERY=RkZfRUJJVERBX0lCKCdMVE1TJywzOTQyOCk=&amp;WINDOW=FIRST_POPUP&amp;HEIGHT=450&amp;WIDTH=450&amp;START_MA","XIMIZED=FALSE&amp;VAR:CALENDAR=US&amp;VAR:SYMBOL=N0098510&amp;VAR:INDEX=0"}</definedName>
    <definedName name="_6285__FDSAUDITLINK__" hidden="1">{"fdsup://directions/FAT Viewer?action=UPDATE&amp;creator=factset&amp;DYN_ARGS=TRUE&amp;DOC_NAME=FAT:FQL_AUDITING_CLIENT_TEMPLATE.FAT&amp;display_string=Audit&amp;VAR:KEY=LUNCRCDWVG&amp;VAR:QUERY=RkZfRUJJVERBX0lCKCdMVE1TJywzOTQyOCk=&amp;WINDOW=FIRST_POPUP&amp;HEIGHT=450&amp;WIDTH=450&amp;START_MA","XIMIZED=FALSE&amp;VAR:CALENDAR=US&amp;VAR:SYMBOL=N0098510&amp;VAR:INDEX=0"}</definedName>
    <definedName name="_6286__FDSAUDITLINK__" localSheetId="6" hidden="1">{"fdsup://directions/FAT Viewer?action=UPDATE&amp;creator=factset&amp;DYN_ARGS=TRUE&amp;DOC_NAME=FAT:FQL_AUDITING_CLIENT_TEMPLATE.FAT&amp;display_string=Audit&amp;VAR:KEY=TQHYNIDEPI&amp;VAR:QUERY=RkZfRUJJVERBX0lCKCdMVE1TJywzOTQyNyk=&amp;WINDOW=FIRST_POPUP&amp;HEIGHT=450&amp;WIDTH=450&amp;START_MA","XIMIZED=FALSE&amp;VAR:CALENDAR=US&amp;VAR:SYMBOL=N0098510&amp;VAR:INDEX=0"}</definedName>
    <definedName name="_6286__FDSAUDITLINK__" hidden="1">{"fdsup://directions/FAT Viewer?action=UPDATE&amp;creator=factset&amp;DYN_ARGS=TRUE&amp;DOC_NAME=FAT:FQL_AUDITING_CLIENT_TEMPLATE.FAT&amp;display_string=Audit&amp;VAR:KEY=TQHYNIDEPI&amp;VAR:QUERY=RkZfRUJJVERBX0lCKCdMVE1TJywzOTQyNyk=&amp;WINDOW=FIRST_POPUP&amp;HEIGHT=450&amp;WIDTH=450&amp;START_MA","XIMIZED=FALSE&amp;VAR:CALENDAR=US&amp;VAR:SYMBOL=N0098510&amp;VAR:INDEX=0"}</definedName>
    <definedName name="_6287__FDSAUDITLINK__" localSheetId="6" hidden="1">{"fdsup://directions/FAT Viewer?action=UPDATE&amp;creator=factset&amp;DYN_ARGS=TRUE&amp;DOC_NAME=FAT:FQL_AUDITING_CLIENT_TEMPLATE.FAT&amp;display_string=Audit&amp;VAR:KEY=XIPWFCPILO&amp;VAR:QUERY=RkZfRUJJVERBX0lCKCdMVE1TJywzOTQyNik=&amp;WINDOW=FIRST_POPUP&amp;HEIGHT=450&amp;WIDTH=450&amp;START_MA","XIMIZED=FALSE&amp;VAR:CALENDAR=US&amp;VAR:SYMBOL=N0098510&amp;VAR:INDEX=0"}</definedName>
    <definedName name="_6287__FDSAUDITLINK__" hidden="1">{"fdsup://directions/FAT Viewer?action=UPDATE&amp;creator=factset&amp;DYN_ARGS=TRUE&amp;DOC_NAME=FAT:FQL_AUDITING_CLIENT_TEMPLATE.FAT&amp;display_string=Audit&amp;VAR:KEY=XIPWFCPILO&amp;VAR:QUERY=RkZfRUJJVERBX0lCKCdMVE1TJywzOTQyNik=&amp;WINDOW=FIRST_POPUP&amp;HEIGHT=450&amp;WIDTH=450&amp;START_MA","XIMIZED=FALSE&amp;VAR:CALENDAR=US&amp;VAR:SYMBOL=N0098510&amp;VAR:INDEX=0"}</definedName>
    <definedName name="_6288__FDSAUDITLINK__" localSheetId="6" hidden="1">{"fdsup://directions/FAT Viewer?action=UPDATE&amp;creator=factset&amp;DYN_ARGS=TRUE&amp;DOC_NAME=FAT:FQL_AUDITING_CLIENT_TEMPLATE.FAT&amp;display_string=Audit&amp;VAR:KEY=DGDCBYRURQ&amp;VAR:QUERY=RkZfRUJJVERBX0lCKCdMVE1TJywzOTQyNSk=&amp;WINDOW=FIRST_POPUP&amp;HEIGHT=450&amp;WIDTH=450&amp;START_MA","XIMIZED=FALSE&amp;VAR:CALENDAR=US&amp;VAR:SYMBOL=N0098510&amp;VAR:INDEX=0"}</definedName>
    <definedName name="_6288__FDSAUDITLINK__" hidden="1">{"fdsup://directions/FAT Viewer?action=UPDATE&amp;creator=factset&amp;DYN_ARGS=TRUE&amp;DOC_NAME=FAT:FQL_AUDITING_CLIENT_TEMPLATE.FAT&amp;display_string=Audit&amp;VAR:KEY=DGDCBYRURQ&amp;VAR:QUERY=RkZfRUJJVERBX0lCKCdMVE1TJywzOTQyNSk=&amp;WINDOW=FIRST_POPUP&amp;HEIGHT=450&amp;WIDTH=450&amp;START_MA","XIMIZED=FALSE&amp;VAR:CALENDAR=US&amp;VAR:SYMBOL=N0098510&amp;VAR:INDEX=0"}</definedName>
    <definedName name="_6289__FDSAUDITLINK__" localSheetId="6" hidden="1">{"fdsup://directions/FAT Viewer?action=UPDATE&amp;creator=factset&amp;DYN_ARGS=TRUE&amp;DOC_NAME=FAT:FQL_AUDITING_CLIENT_TEMPLATE.FAT&amp;display_string=Audit&amp;VAR:KEY=TYLGNWZQDQ&amp;VAR:QUERY=RkZfRUJJVERBX0lCKCdMVE1TJywzOTQyNCk=&amp;WINDOW=FIRST_POPUP&amp;HEIGHT=450&amp;WIDTH=450&amp;START_MA","XIMIZED=FALSE&amp;VAR:CALENDAR=US&amp;VAR:SYMBOL=N0098510&amp;VAR:INDEX=0"}</definedName>
    <definedName name="_6289__FDSAUDITLINK__" hidden="1">{"fdsup://directions/FAT Viewer?action=UPDATE&amp;creator=factset&amp;DYN_ARGS=TRUE&amp;DOC_NAME=FAT:FQL_AUDITING_CLIENT_TEMPLATE.FAT&amp;display_string=Audit&amp;VAR:KEY=TYLGNWZQDQ&amp;VAR:QUERY=RkZfRUJJVERBX0lCKCdMVE1TJywzOTQyNCk=&amp;WINDOW=FIRST_POPUP&amp;HEIGHT=450&amp;WIDTH=450&amp;START_MA","XIMIZED=FALSE&amp;VAR:CALENDAR=US&amp;VAR:SYMBOL=N0098510&amp;VAR:INDEX=0"}</definedName>
    <definedName name="_629__FDSAUDITLINK__" localSheetId="6" hidden="1">{"fdsup://directions/FAT%20Viewer?VAR:PED=LTM&amp;VAR:AUDIT_MODE=SUMMARY&amp;VAR:PERIOD=FIXED&amp;VAR:AUDIT_ID=00000117&amp;VAR:DATE=20080602&amp;action=UPDATE&amp;creator=factset&amp;DOC_NAME=FAT:FMA_audit_SUMMARY.fat&amp;DISPLAY_STRING=Display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9__FDSAUDITLINK__" hidden="1">{"fdsup://directions/FAT%20Viewer?VAR:PED=LTM&amp;VAR:AUDIT_MODE=SUMMARY&amp;VAR:PERIOD=FIXED&amp;VAR:AUDIT_ID=00000117&amp;VAR:DATE=20080602&amp;action=UPDATE&amp;creator=factset&amp;DOC_NAME=FAT:FMA_audit_SUMMARY.fat&amp;DISPLAY_STRING=Display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EBITDA&amp;VAR:CHGPERIOD=NA&amp;VAR:FQLFORMULA=FMA_EVAL_EBITDA&amp;VAR:CURRENCY=NA&amp;VAR:P=NA&amp;VAR:V=11.0","80176&amp;VAR:null=.html"}</definedName>
    <definedName name="_6290__FDSAUDITLINK__" localSheetId="6" hidden="1">{"fdsup://directions/FAT Viewer?action=UPDATE&amp;creator=factset&amp;DYN_ARGS=TRUE&amp;DOC_NAME=FAT:FQL_AUDITING_CLIENT_TEMPLATE.FAT&amp;display_string=Audit&amp;VAR:KEY=PMBUPWVAZO&amp;VAR:QUERY=RkZfRUJJVERBX0lCKCdMVE1TJywzOTQyMyk=&amp;WINDOW=FIRST_POPUP&amp;HEIGHT=450&amp;WIDTH=450&amp;START_MA","XIMIZED=FALSE&amp;VAR:CALENDAR=US&amp;VAR:SYMBOL=N0098510&amp;VAR:INDEX=0"}</definedName>
    <definedName name="_6290__FDSAUDITLINK__" hidden="1">{"fdsup://directions/FAT Viewer?action=UPDATE&amp;creator=factset&amp;DYN_ARGS=TRUE&amp;DOC_NAME=FAT:FQL_AUDITING_CLIENT_TEMPLATE.FAT&amp;display_string=Audit&amp;VAR:KEY=PMBUPWVAZO&amp;VAR:QUERY=RkZfRUJJVERBX0lCKCdMVE1TJywzOTQyMyk=&amp;WINDOW=FIRST_POPUP&amp;HEIGHT=450&amp;WIDTH=450&amp;START_MA","XIMIZED=FALSE&amp;VAR:CALENDAR=US&amp;VAR:SYMBOL=N0098510&amp;VAR:INDEX=0"}</definedName>
    <definedName name="_6291__FDSAUDITLINK__" localSheetId="6" hidden="1">{"fdsup://directions/FAT Viewer?action=UPDATE&amp;creator=factset&amp;DYN_ARGS=TRUE&amp;DOC_NAME=FAT:FQL_AUDITING_CLIENT_TEMPLATE.FAT&amp;display_string=Audit&amp;VAR:KEY=FUBARQBEBQ&amp;VAR:QUERY=RkZfRUJJVERBX0lCKCdMVE1TJywzOTQyMik=&amp;WINDOW=FIRST_POPUP&amp;HEIGHT=450&amp;WIDTH=450&amp;START_MA","XIMIZED=FALSE&amp;VAR:CALENDAR=US&amp;VAR:SYMBOL=N0098510&amp;VAR:INDEX=0"}</definedName>
    <definedName name="_6291__FDSAUDITLINK__" hidden="1">{"fdsup://directions/FAT Viewer?action=UPDATE&amp;creator=factset&amp;DYN_ARGS=TRUE&amp;DOC_NAME=FAT:FQL_AUDITING_CLIENT_TEMPLATE.FAT&amp;display_string=Audit&amp;VAR:KEY=FUBARQBEBQ&amp;VAR:QUERY=RkZfRUJJVERBX0lCKCdMVE1TJywzOTQyMik=&amp;WINDOW=FIRST_POPUP&amp;HEIGHT=450&amp;WIDTH=450&amp;START_MA","XIMIZED=FALSE&amp;VAR:CALENDAR=US&amp;VAR:SYMBOL=N0098510&amp;VAR:INDEX=0"}</definedName>
    <definedName name="_6292__FDSAUDITLINK__" localSheetId="6" hidden="1">{"fdsup://directions/FAT Viewer?action=UPDATE&amp;creator=factset&amp;DYN_ARGS=TRUE&amp;DOC_NAME=FAT:FQL_AUDITING_CLIENT_TEMPLATE.FAT&amp;display_string=Audit&amp;VAR:KEY=DWNKBEBGRW&amp;VAR:QUERY=RkZfRUJJVERBX0lCKCdMVE1TJywzOTQyMSk=&amp;WINDOW=FIRST_POPUP&amp;HEIGHT=450&amp;WIDTH=450&amp;START_MA","XIMIZED=FALSE&amp;VAR:CALENDAR=US&amp;VAR:SYMBOL=N0098510&amp;VAR:INDEX=0"}</definedName>
    <definedName name="_6292__FDSAUDITLINK__" hidden="1">{"fdsup://directions/FAT Viewer?action=UPDATE&amp;creator=factset&amp;DYN_ARGS=TRUE&amp;DOC_NAME=FAT:FQL_AUDITING_CLIENT_TEMPLATE.FAT&amp;display_string=Audit&amp;VAR:KEY=DWNKBEBGRW&amp;VAR:QUERY=RkZfRUJJVERBX0lCKCdMVE1TJywzOTQyMSk=&amp;WINDOW=FIRST_POPUP&amp;HEIGHT=450&amp;WIDTH=450&amp;START_MA","XIMIZED=FALSE&amp;VAR:CALENDAR=US&amp;VAR:SYMBOL=N0098510&amp;VAR:INDEX=0"}</definedName>
    <definedName name="_6293__FDSAUDITLINK__" localSheetId="6" hidden="1">{"fdsup://directions/FAT Viewer?action=UPDATE&amp;creator=factset&amp;DYN_ARGS=TRUE&amp;DOC_NAME=FAT:FQL_AUDITING_CLIENT_TEMPLATE.FAT&amp;display_string=Audit&amp;VAR:KEY=DYVUBKTYFW&amp;VAR:QUERY=RkZfRUJJVERBX0lCKCdMVE1TJywzOTQyMCk=&amp;WINDOW=FIRST_POPUP&amp;HEIGHT=450&amp;WIDTH=450&amp;START_MA","XIMIZED=FALSE&amp;VAR:CALENDAR=US&amp;VAR:SYMBOL=N0098510&amp;VAR:INDEX=0"}</definedName>
    <definedName name="_6293__FDSAUDITLINK__" hidden="1">{"fdsup://directions/FAT Viewer?action=UPDATE&amp;creator=factset&amp;DYN_ARGS=TRUE&amp;DOC_NAME=FAT:FQL_AUDITING_CLIENT_TEMPLATE.FAT&amp;display_string=Audit&amp;VAR:KEY=DYVUBKTYFW&amp;VAR:QUERY=RkZfRUJJVERBX0lCKCdMVE1TJywzOTQyMCk=&amp;WINDOW=FIRST_POPUP&amp;HEIGHT=450&amp;WIDTH=450&amp;START_MA","XIMIZED=FALSE&amp;VAR:CALENDAR=US&amp;VAR:SYMBOL=N0098510&amp;VAR:INDEX=0"}</definedName>
    <definedName name="_6294__FDSAUDITLINK__" localSheetId="6" hidden="1">{"fdsup://directions/FAT Viewer?action=UPDATE&amp;creator=factset&amp;DYN_ARGS=TRUE&amp;DOC_NAME=FAT:FQL_AUDITING_CLIENT_TEMPLATE.FAT&amp;display_string=Audit&amp;VAR:KEY=ROHAZSZQZK&amp;VAR:QUERY=RkZfRUJJVERBX0lCKCdMVE1TJywzOTQxOSk=&amp;WINDOW=FIRST_POPUP&amp;HEIGHT=450&amp;WIDTH=450&amp;START_MA","XIMIZED=FALSE&amp;VAR:CALENDAR=US&amp;VAR:SYMBOL=N0098510&amp;VAR:INDEX=0"}</definedName>
    <definedName name="_6294__FDSAUDITLINK__" hidden="1">{"fdsup://directions/FAT Viewer?action=UPDATE&amp;creator=factset&amp;DYN_ARGS=TRUE&amp;DOC_NAME=FAT:FQL_AUDITING_CLIENT_TEMPLATE.FAT&amp;display_string=Audit&amp;VAR:KEY=ROHAZSZQZK&amp;VAR:QUERY=RkZfRUJJVERBX0lCKCdMVE1TJywzOTQxOSk=&amp;WINDOW=FIRST_POPUP&amp;HEIGHT=450&amp;WIDTH=450&amp;START_MA","XIMIZED=FALSE&amp;VAR:CALENDAR=US&amp;VAR:SYMBOL=N0098510&amp;VAR:INDEX=0"}</definedName>
    <definedName name="_6295__FDSAUDITLINK__" localSheetId="6" hidden="1">{"fdsup://directions/FAT Viewer?action=UPDATE&amp;creator=factset&amp;DYN_ARGS=TRUE&amp;DOC_NAME=FAT:FQL_AUDITING_CLIENT_TEMPLATE.FAT&amp;display_string=Audit&amp;VAR:KEY=JEBEHMRWZK&amp;VAR:QUERY=RkZfRUJJVERBX0lCKCdMVE1TJywzOTQxOCk=&amp;WINDOW=FIRST_POPUP&amp;HEIGHT=450&amp;WIDTH=450&amp;START_MA","XIMIZED=FALSE&amp;VAR:CALENDAR=US&amp;VAR:SYMBOL=N0098510&amp;VAR:INDEX=0"}</definedName>
    <definedName name="_6295__FDSAUDITLINK__" hidden="1">{"fdsup://directions/FAT Viewer?action=UPDATE&amp;creator=factset&amp;DYN_ARGS=TRUE&amp;DOC_NAME=FAT:FQL_AUDITING_CLIENT_TEMPLATE.FAT&amp;display_string=Audit&amp;VAR:KEY=JEBEHMRWZK&amp;VAR:QUERY=RkZfRUJJVERBX0lCKCdMVE1TJywzOTQxOCk=&amp;WINDOW=FIRST_POPUP&amp;HEIGHT=450&amp;WIDTH=450&amp;START_MA","XIMIZED=FALSE&amp;VAR:CALENDAR=US&amp;VAR:SYMBOL=N0098510&amp;VAR:INDEX=0"}</definedName>
    <definedName name="_6296__FDSAUDITLINK__" localSheetId="6" hidden="1">{"fdsup://directions/FAT Viewer?action=UPDATE&amp;creator=factset&amp;DYN_ARGS=TRUE&amp;DOC_NAME=FAT:FQL_AUDITING_CLIENT_TEMPLATE.FAT&amp;display_string=Audit&amp;VAR:KEY=RGHOVGPQJA&amp;VAR:QUERY=RkZfRUJJVERBX0lCKCdMVE1TJywzOTQxNyk=&amp;WINDOW=FIRST_POPUP&amp;HEIGHT=450&amp;WIDTH=450&amp;START_MA","XIMIZED=FALSE&amp;VAR:CALENDAR=US&amp;VAR:SYMBOL=N0098510&amp;VAR:INDEX=0"}</definedName>
    <definedName name="_6296__FDSAUDITLINK__" hidden="1">{"fdsup://directions/FAT Viewer?action=UPDATE&amp;creator=factset&amp;DYN_ARGS=TRUE&amp;DOC_NAME=FAT:FQL_AUDITING_CLIENT_TEMPLATE.FAT&amp;display_string=Audit&amp;VAR:KEY=RGHOVGPQJA&amp;VAR:QUERY=RkZfRUJJVERBX0lCKCdMVE1TJywzOTQxNyk=&amp;WINDOW=FIRST_POPUP&amp;HEIGHT=450&amp;WIDTH=450&amp;START_MA","XIMIZED=FALSE&amp;VAR:CALENDAR=US&amp;VAR:SYMBOL=N0098510&amp;VAR:INDEX=0"}</definedName>
    <definedName name="_6297__FDSAUDITLINK__" localSheetId="6" hidden="1">{"fdsup://directions/FAT Viewer?action=UPDATE&amp;creator=factset&amp;DYN_ARGS=TRUE&amp;DOC_NAME=FAT:FQL_AUDITING_CLIENT_TEMPLATE.FAT&amp;display_string=Audit&amp;VAR:KEY=RMFABITURA&amp;VAR:QUERY=RkZfRUJJVERBX0lCKCdMVE1TJywzOTQxNik=&amp;WINDOW=FIRST_POPUP&amp;HEIGHT=450&amp;WIDTH=450&amp;START_MA","XIMIZED=FALSE&amp;VAR:CALENDAR=US&amp;VAR:SYMBOL=N0098510&amp;VAR:INDEX=0"}</definedName>
    <definedName name="_6297__FDSAUDITLINK__" hidden="1">{"fdsup://directions/FAT Viewer?action=UPDATE&amp;creator=factset&amp;DYN_ARGS=TRUE&amp;DOC_NAME=FAT:FQL_AUDITING_CLIENT_TEMPLATE.FAT&amp;display_string=Audit&amp;VAR:KEY=RMFABITURA&amp;VAR:QUERY=RkZfRUJJVERBX0lCKCdMVE1TJywzOTQxNik=&amp;WINDOW=FIRST_POPUP&amp;HEIGHT=450&amp;WIDTH=450&amp;START_MA","XIMIZED=FALSE&amp;VAR:CALENDAR=US&amp;VAR:SYMBOL=N0098510&amp;VAR:INDEX=0"}</definedName>
    <definedName name="_6298__FDSAUDITLINK__" localSheetId="6" hidden="1">{"fdsup://directions/FAT Viewer?action=UPDATE&amp;creator=factset&amp;DYN_ARGS=TRUE&amp;DOC_NAME=FAT:FQL_AUDITING_CLIENT_TEMPLATE.FAT&amp;display_string=Audit&amp;VAR:KEY=PALSVUHEPO&amp;VAR:QUERY=RkZfRUJJVERBX0lCKCdMVE1TJywzOTQxNSk=&amp;WINDOW=FIRST_POPUP&amp;HEIGHT=450&amp;WIDTH=450&amp;START_MA","XIMIZED=FALSE&amp;VAR:CALENDAR=US&amp;VAR:SYMBOL=N0098510&amp;VAR:INDEX=0"}</definedName>
    <definedName name="_6298__FDSAUDITLINK__" hidden="1">{"fdsup://directions/FAT Viewer?action=UPDATE&amp;creator=factset&amp;DYN_ARGS=TRUE&amp;DOC_NAME=FAT:FQL_AUDITING_CLIENT_TEMPLATE.FAT&amp;display_string=Audit&amp;VAR:KEY=PALSVUHEPO&amp;VAR:QUERY=RkZfRUJJVERBX0lCKCdMVE1TJywzOTQxNSk=&amp;WINDOW=FIRST_POPUP&amp;HEIGHT=450&amp;WIDTH=450&amp;START_MA","XIMIZED=FALSE&amp;VAR:CALENDAR=US&amp;VAR:SYMBOL=N0098510&amp;VAR:INDEX=0"}</definedName>
    <definedName name="_6299__FDSAUDITLINK__" localSheetId="6" hidden="1">{"fdsup://directions/FAT Viewer?action=UPDATE&amp;creator=factset&amp;DYN_ARGS=TRUE&amp;DOC_NAME=FAT:FQL_AUDITING_CLIENT_TEMPLATE.FAT&amp;display_string=Audit&amp;VAR:KEY=DCNMVCFKHE&amp;VAR:QUERY=RkZfRUJJVERBX0lCKCdMVE1TJywzOTQxNCk=&amp;WINDOW=FIRST_POPUP&amp;HEIGHT=450&amp;WIDTH=450&amp;START_MA","XIMIZED=FALSE&amp;VAR:CALENDAR=US&amp;VAR:SYMBOL=N0098510&amp;VAR:INDEX=0"}</definedName>
    <definedName name="_6299__FDSAUDITLINK__" hidden="1">{"fdsup://directions/FAT Viewer?action=UPDATE&amp;creator=factset&amp;DYN_ARGS=TRUE&amp;DOC_NAME=FAT:FQL_AUDITING_CLIENT_TEMPLATE.FAT&amp;display_string=Audit&amp;VAR:KEY=DCNMVCFKHE&amp;VAR:QUERY=RkZfRUJJVERBX0lCKCdMVE1TJywzOTQxNCk=&amp;WINDOW=FIRST_POPUP&amp;HEIGHT=450&amp;WIDTH=450&amp;START_MA","XIMIZED=FALSE&amp;VAR:CALENDAR=US&amp;VAR:SYMBOL=N0098510&amp;VAR:INDEX=0"}</definedName>
    <definedName name="_63__FDSAUDITLINK__" localSheetId="6" hidden="1">{"fdsup://directions/FAT Viewer?action=UPDATE&amp;creator=factset&amp;DYN_ARGS=TRUE&amp;DOC_NAME=FAT:FQL_AUDITING_CLIENT_TEMPLATE.FAT&amp;display_string=Audit&amp;VAR:KEY=PCRGJOXSDU&amp;VAR:QUERY=QVZHKENTRl9ORVRfSU5DKEFOTiwwRlksLTZGWSxZKSkgLyAoQVZHKENTRl9BU1NFVFMoQU5OLDBGWSwtNkZZL","EZZKSkgLSBBVkcoQ1NGX0lOVEFORyhBTk4sMCwtNkZZLEZZKSkp&amp;WINDOW=FIRST_POPUP&amp;HEIGHT=450&amp;WIDTH=450&amp;START_MAXIMIZED=FALSE&amp;VAR:CALENDAR=US&amp;VAR:SYMBOL=GPC"}</definedName>
    <definedName name="_63__FDSAUDITLINK__" hidden="1">{"fdsup://directions/FAT Viewer?action=UPDATE&amp;creator=factset&amp;DYN_ARGS=TRUE&amp;DOC_NAME=FAT:FQL_AUDITING_CLIENT_TEMPLATE.FAT&amp;display_string=Audit&amp;VAR:KEY=PCRGJOXSDU&amp;VAR:QUERY=QVZHKENTRl9ORVRfSU5DKEFOTiwwRlksLTZGWSxZKSkgLyAoQVZHKENTRl9BU1NFVFMoQU5OLDBGWSwtNkZZL","EZZKSkgLSBBVkcoQ1NGX0lOVEFORyhBTk4sMCwtNkZZLEZZKSkp&amp;WINDOW=FIRST_POPUP&amp;HEIGHT=450&amp;WIDTH=450&amp;START_MAXIMIZED=FALSE&amp;VAR:CALENDAR=US&amp;VAR:SYMBOL=GPC"}</definedName>
    <definedName name="_630__FDSAUDITLINK__" localSheetId="6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0__FDSAUDITLINK__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00__FDSAUDITLINK__" localSheetId="6" hidden="1">{"fdsup://directions/FAT Viewer?action=UPDATE&amp;creator=factset&amp;DYN_ARGS=TRUE&amp;DOC_NAME=FAT:FQL_AUDITING_CLIENT_TEMPLATE.FAT&amp;display_string=Audit&amp;VAR:KEY=XIRARQXUTE&amp;VAR:QUERY=RkZfRUJJVERBX0lCKCdMVE1TJywzOTQxMyk=&amp;WINDOW=FIRST_POPUP&amp;HEIGHT=450&amp;WIDTH=450&amp;START_MA","XIMIZED=FALSE&amp;VAR:CALENDAR=US&amp;VAR:SYMBOL=N0098510&amp;VAR:INDEX=0"}</definedName>
    <definedName name="_6300__FDSAUDITLINK__" hidden="1">{"fdsup://directions/FAT Viewer?action=UPDATE&amp;creator=factset&amp;DYN_ARGS=TRUE&amp;DOC_NAME=FAT:FQL_AUDITING_CLIENT_TEMPLATE.FAT&amp;display_string=Audit&amp;VAR:KEY=XIRARQXUTE&amp;VAR:QUERY=RkZfRUJJVERBX0lCKCdMVE1TJywzOTQxMyk=&amp;WINDOW=FIRST_POPUP&amp;HEIGHT=450&amp;WIDTH=450&amp;START_MA","XIMIZED=FALSE&amp;VAR:CALENDAR=US&amp;VAR:SYMBOL=N0098510&amp;VAR:INDEX=0"}</definedName>
    <definedName name="_6301__FDSAUDITLINK__" localSheetId="6" hidden="1">{"fdsup://directions/FAT Viewer?action=UPDATE&amp;creator=factset&amp;DYN_ARGS=TRUE&amp;DOC_NAME=FAT:FQL_AUDITING_CLIENT_TEMPLATE.FAT&amp;display_string=Audit&amp;VAR:KEY=BYHIRILIFK&amp;VAR:QUERY=RkZfRUJJVERBX0lCKCdMVE1TJywzOTQxMik=&amp;WINDOW=FIRST_POPUP&amp;HEIGHT=450&amp;WIDTH=450&amp;START_MA","XIMIZED=FALSE&amp;VAR:CALENDAR=US&amp;VAR:SYMBOL=N0098510&amp;VAR:INDEX=0"}</definedName>
    <definedName name="_6301__FDSAUDITLINK__" hidden="1">{"fdsup://directions/FAT Viewer?action=UPDATE&amp;creator=factset&amp;DYN_ARGS=TRUE&amp;DOC_NAME=FAT:FQL_AUDITING_CLIENT_TEMPLATE.FAT&amp;display_string=Audit&amp;VAR:KEY=BYHIRILIFK&amp;VAR:QUERY=RkZfRUJJVERBX0lCKCdMVE1TJywzOTQxMik=&amp;WINDOW=FIRST_POPUP&amp;HEIGHT=450&amp;WIDTH=450&amp;START_MA","XIMIZED=FALSE&amp;VAR:CALENDAR=US&amp;VAR:SYMBOL=N0098510&amp;VAR:INDEX=0"}</definedName>
    <definedName name="_6302__FDSAUDITLINK__" localSheetId="6" hidden="1">{"fdsup://directions/FAT Viewer?action=UPDATE&amp;creator=factset&amp;DYN_ARGS=TRUE&amp;DOC_NAME=FAT:FQL_AUDITING_CLIENT_TEMPLATE.FAT&amp;display_string=Audit&amp;VAR:KEY=XCVGBSNMLW&amp;VAR:QUERY=RkZfRUJJVERBX0lCKCdMVE1TJywzOTQxMSk=&amp;WINDOW=FIRST_POPUP&amp;HEIGHT=450&amp;WIDTH=450&amp;START_MA","XIMIZED=FALSE&amp;VAR:CALENDAR=US&amp;VAR:SYMBOL=N0098510&amp;VAR:INDEX=0"}</definedName>
    <definedName name="_6302__FDSAUDITLINK__" hidden="1">{"fdsup://directions/FAT Viewer?action=UPDATE&amp;creator=factset&amp;DYN_ARGS=TRUE&amp;DOC_NAME=FAT:FQL_AUDITING_CLIENT_TEMPLATE.FAT&amp;display_string=Audit&amp;VAR:KEY=XCVGBSNMLW&amp;VAR:QUERY=RkZfRUJJVERBX0lCKCdMVE1TJywzOTQxMSk=&amp;WINDOW=FIRST_POPUP&amp;HEIGHT=450&amp;WIDTH=450&amp;START_MA","XIMIZED=FALSE&amp;VAR:CALENDAR=US&amp;VAR:SYMBOL=N0098510&amp;VAR:INDEX=0"}</definedName>
    <definedName name="_6303__FDSAUDITLINK__" localSheetId="6" hidden="1">{"fdsup://directions/FAT Viewer?action=UPDATE&amp;creator=factset&amp;DYN_ARGS=TRUE&amp;DOC_NAME=FAT:FQL_AUDITING_CLIENT_TEMPLATE.FAT&amp;display_string=Audit&amp;VAR:KEY=PKFOPKVSVM&amp;VAR:QUERY=RkZfRUJJVERBX0lCKCdMVE1TJywzOTQxMCk=&amp;WINDOW=FIRST_POPUP&amp;HEIGHT=450&amp;WIDTH=450&amp;START_MA","XIMIZED=FALSE&amp;VAR:CALENDAR=US&amp;VAR:SYMBOL=N0098510&amp;VAR:INDEX=0"}</definedName>
    <definedName name="_6303__FDSAUDITLINK__" hidden="1">{"fdsup://directions/FAT Viewer?action=UPDATE&amp;creator=factset&amp;DYN_ARGS=TRUE&amp;DOC_NAME=FAT:FQL_AUDITING_CLIENT_TEMPLATE.FAT&amp;display_string=Audit&amp;VAR:KEY=PKFOPKVSVM&amp;VAR:QUERY=RkZfRUJJVERBX0lCKCdMVE1TJywzOTQxMCk=&amp;WINDOW=FIRST_POPUP&amp;HEIGHT=450&amp;WIDTH=450&amp;START_MA","XIMIZED=FALSE&amp;VAR:CALENDAR=US&amp;VAR:SYMBOL=N0098510&amp;VAR:INDEX=0"}</definedName>
    <definedName name="_6304__FDSAUDITLINK__" localSheetId="6" hidden="1">{"fdsup://directions/FAT Viewer?action=UPDATE&amp;creator=factset&amp;DYN_ARGS=TRUE&amp;DOC_NAME=FAT:FQL_AUDITING_CLIENT_TEMPLATE.FAT&amp;display_string=Audit&amp;VAR:KEY=NENCTYRSRG&amp;VAR:QUERY=RkZfRUJJVERBX0lCKCdMVE1TJywzOTQwOSk=&amp;WINDOW=FIRST_POPUP&amp;HEIGHT=450&amp;WIDTH=450&amp;START_MA","XIMIZED=FALSE&amp;VAR:CALENDAR=US&amp;VAR:SYMBOL=N0098510&amp;VAR:INDEX=0"}</definedName>
    <definedName name="_6304__FDSAUDITLINK__" hidden="1">{"fdsup://directions/FAT Viewer?action=UPDATE&amp;creator=factset&amp;DYN_ARGS=TRUE&amp;DOC_NAME=FAT:FQL_AUDITING_CLIENT_TEMPLATE.FAT&amp;display_string=Audit&amp;VAR:KEY=NENCTYRSRG&amp;VAR:QUERY=RkZfRUJJVERBX0lCKCdMVE1TJywzOTQwOSk=&amp;WINDOW=FIRST_POPUP&amp;HEIGHT=450&amp;WIDTH=450&amp;START_MA","XIMIZED=FALSE&amp;VAR:CALENDAR=US&amp;VAR:SYMBOL=N0098510&amp;VAR:INDEX=0"}</definedName>
    <definedName name="_6305__FDSAUDITLINK__" localSheetId="6" hidden="1">{"fdsup://directions/FAT Viewer?action=UPDATE&amp;creator=factset&amp;DYN_ARGS=TRUE&amp;DOC_NAME=FAT:FQL_AUDITING_CLIENT_TEMPLATE.FAT&amp;display_string=Audit&amp;VAR:KEY=ZAVKFKBSBK&amp;VAR:QUERY=RkZfRUJJVERBX0lCKCdMVE1TJywzOTQwOCk=&amp;WINDOW=FIRST_POPUP&amp;HEIGHT=450&amp;WIDTH=450&amp;START_MA","XIMIZED=FALSE&amp;VAR:CALENDAR=US&amp;VAR:SYMBOL=N0098510&amp;VAR:INDEX=0"}</definedName>
    <definedName name="_6305__FDSAUDITLINK__" hidden="1">{"fdsup://directions/FAT Viewer?action=UPDATE&amp;creator=factset&amp;DYN_ARGS=TRUE&amp;DOC_NAME=FAT:FQL_AUDITING_CLIENT_TEMPLATE.FAT&amp;display_string=Audit&amp;VAR:KEY=ZAVKFKBSBK&amp;VAR:QUERY=RkZfRUJJVERBX0lCKCdMVE1TJywzOTQwOCk=&amp;WINDOW=FIRST_POPUP&amp;HEIGHT=450&amp;WIDTH=450&amp;START_MA","XIMIZED=FALSE&amp;VAR:CALENDAR=US&amp;VAR:SYMBOL=N0098510&amp;VAR:INDEX=0"}</definedName>
    <definedName name="_6306__FDSAUDITLINK__" localSheetId="6" hidden="1">{"fdsup://directions/FAT Viewer?action=UPDATE&amp;creator=factset&amp;DYN_ARGS=TRUE&amp;DOC_NAME=FAT:FQL_AUDITING_CLIENT_TEMPLATE.FAT&amp;display_string=Audit&amp;VAR:KEY=BQXWTIFGFC&amp;VAR:QUERY=RkZfRUJJVERBX0lCKCdMVE1TJywzOTQwNyk=&amp;WINDOW=FIRST_POPUP&amp;HEIGHT=450&amp;WIDTH=450&amp;START_MA","XIMIZED=FALSE&amp;VAR:CALENDAR=US&amp;VAR:SYMBOL=N0098510&amp;VAR:INDEX=0"}</definedName>
    <definedName name="_6306__FDSAUDITLINK__" hidden="1">{"fdsup://directions/FAT Viewer?action=UPDATE&amp;creator=factset&amp;DYN_ARGS=TRUE&amp;DOC_NAME=FAT:FQL_AUDITING_CLIENT_TEMPLATE.FAT&amp;display_string=Audit&amp;VAR:KEY=BQXWTIFGFC&amp;VAR:QUERY=RkZfRUJJVERBX0lCKCdMVE1TJywzOTQwNyk=&amp;WINDOW=FIRST_POPUP&amp;HEIGHT=450&amp;WIDTH=450&amp;START_MA","XIMIZED=FALSE&amp;VAR:CALENDAR=US&amp;VAR:SYMBOL=N0098510&amp;VAR:INDEX=0"}</definedName>
    <definedName name="_6307__FDSAUDITLINK__" localSheetId="6" hidden="1">{"fdsup://directions/FAT Viewer?action=UPDATE&amp;creator=factset&amp;DYN_ARGS=TRUE&amp;DOC_NAME=FAT:FQL_AUDITING_CLIENT_TEMPLATE.FAT&amp;display_string=Audit&amp;VAR:KEY=FMBKFMLCTK&amp;VAR:QUERY=RkZfRUJJVERBX0lCKCdMVE1TJywzOTQwNik=&amp;WINDOW=FIRST_POPUP&amp;HEIGHT=450&amp;WIDTH=450&amp;START_MA","XIMIZED=FALSE&amp;VAR:CALENDAR=US&amp;VAR:SYMBOL=N0098510&amp;VAR:INDEX=0"}</definedName>
    <definedName name="_6307__FDSAUDITLINK__" hidden="1">{"fdsup://directions/FAT Viewer?action=UPDATE&amp;creator=factset&amp;DYN_ARGS=TRUE&amp;DOC_NAME=FAT:FQL_AUDITING_CLIENT_TEMPLATE.FAT&amp;display_string=Audit&amp;VAR:KEY=FMBKFMLCTK&amp;VAR:QUERY=RkZfRUJJVERBX0lCKCdMVE1TJywzOTQwNik=&amp;WINDOW=FIRST_POPUP&amp;HEIGHT=450&amp;WIDTH=450&amp;START_MA","XIMIZED=FALSE&amp;VAR:CALENDAR=US&amp;VAR:SYMBOL=N0098510&amp;VAR:INDEX=0"}</definedName>
    <definedName name="_6308__FDSAUDITLINK__" localSheetId="6" hidden="1">{"fdsup://directions/FAT Viewer?action=UPDATE&amp;creator=factset&amp;DYN_ARGS=TRUE&amp;DOC_NAME=FAT:FQL_AUDITING_CLIENT_TEMPLATE.FAT&amp;display_string=Audit&amp;VAR:KEY=JCBWXGNSHI&amp;VAR:QUERY=RkZfRUJJVERBX0lCKCdMVE1TJywzOTQwNSk=&amp;WINDOW=FIRST_POPUP&amp;HEIGHT=450&amp;WIDTH=450&amp;START_MA","XIMIZED=FALSE&amp;VAR:CALENDAR=US&amp;VAR:SYMBOL=N0098510&amp;VAR:INDEX=0"}</definedName>
    <definedName name="_6308__FDSAUDITLINK__" hidden="1">{"fdsup://directions/FAT Viewer?action=UPDATE&amp;creator=factset&amp;DYN_ARGS=TRUE&amp;DOC_NAME=FAT:FQL_AUDITING_CLIENT_TEMPLATE.FAT&amp;display_string=Audit&amp;VAR:KEY=JCBWXGNSHI&amp;VAR:QUERY=RkZfRUJJVERBX0lCKCdMVE1TJywzOTQwNSk=&amp;WINDOW=FIRST_POPUP&amp;HEIGHT=450&amp;WIDTH=450&amp;START_MA","XIMIZED=FALSE&amp;VAR:CALENDAR=US&amp;VAR:SYMBOL=N0098510&amp;VAR:INDEX=0"}</definedName>
    <definedName name="_6309__FDSAUDITLINK__" localSheetId="6" hidden="1">{"fdsup://directions/FAT Viewer?action=UPDATE&amp;creator=factset&amp;DYN_ARGS=TRUE&amp;DOC_NAME=FAT:FQL_AUDITING_CLIENT_TEMPLATE.FAT&amp;display_string=Audit&amp;VAR:KEY=FSNQLGBUZE&amp;VAR:QUERY=RkZfRUJJVERBX0lCKCdMVE1TJywzOTQwNCk=&amp;WINDOW=FIRST_POPUP&amp;HEIGHT=450&amp;WIDTH=450&amp;START_MA","XIMIZED=FALSE&amp;VAR:CALENDAR=US&amp;VAR:SYMBOL=N0098510&amp;VAR:INDEX=0"}</definedName>
    <definedName name="_6309__FDSAUDITLINK__" hidden="1">{"fdsup://directions/FAT Viewer?action=UPDATE&amp;creator=factset&amp;DYN_ARGS=TRUE&amp;DOC_NAME=FAT:FQL_AUDITING_CLIENT_TEMPLATE.FAT&amp;display_string=Audit&amp;VAR:KEY=FSNQLGBUZE&amp;VAR:QUERY=RkZfRUJJVERBX0lCKCdMVE1TJywzOTQwNCk=&amp;WINDOW=FIRST_POPUP&amp;HEIGHT=450&amp;WIDTH=450&amp;START_MA","XIMIZED=FALSE&amp;VAR:CALENDAR=US&amp;VAR:SYMBOL=N0098510&amp;VAR:INDEX=0"}</definedName>
    <definedName name="_631__FDSAUDITLINK__" localSheetId="6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1__FDSAUDITLINK__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10__FDSAUDITLINK__" localSheetId="6" hidden="1">{"fdsup://directions/FAT Viewer?action=UPDATE&amp;creator=factset&amp;DYN_ARGS=TRUE&amp;DOC_NAME=FAT:FQL_AUDITING_CLIENT_TEMPLATE.FAT&amp;display_string=Audit&amp;VAR:KEY=TWHEPUHYRW&amp;VAR:QUERY=RkZfRUJJVERBX0lCKCdMVE1TJywzOTQwMyk=&amp;WINDOW=FIRST_POPUP&amp;HEIGHT=450&amp;WIDTH=450&amp;START_MA","XIMIZED=FALSE&amp;VAR:CALENDAR=US&amp;VAR:SYMBOL=N0098510&amp;VAR:INDEX=0"}</definedName>
    <definedName name="_6310__FDSAUDITLINK__" hidden="1">{"fdsup://directions/FAT Viewer?action=UPDATE&amp;creator=factset&amp;DYN_ARGS=TRUE&amp;DOC_NAME=FAT:FQL_AUDITING_CLIENT_TEMPLATE.FAT&amp;display_string=Audit&amp;VAR:KEY=TWHEPUHYRW&amp;VAR:QUERY=RkZfRUJJVERBX0lCKCdMVE1TJywzOTQwMyk=&amp;WINDOW=FIRST_POPUP&amp;HEIGHT=450&amp;WIDTH=450&amp;START_MA","XIMIZED=FALSE&amp;VAR:CALENDAR=US&amp;VAR:SYMBOL=N0098510&amp;VAR:INDEX=0"}</definedName>
    <definedName name="_6311__FDSAUDITLINK__" localSheetId="6" hidden="1">{"fdsup://directions/FAT Viewer?action=UPDATE&amp;creator=factset&amp;DYN_ARGS=TRUE&amp;DOC_NAME=FAT:FQL_AUDITING_CLIENT_TEMPLATE.FAT&amp;display_string=Audit&amp;VAR:KEY=ZAJULCNKZQ&amp;VAR:QUERY=RkZfRUJJVERBX0lCKCdMVE1TJywzOTQwMik=&amp;WINDOW=FIRST_POPUP&amp;HEIGHT=450&amp;WIDTH=450&amp;START_MA","XIMIZED=FALSE&amp;VAR:CALENDAR=US&amp;VAR:SYMBOL=N0098510&amp;VAR:INDEX=0"}</definedName>
    <definedName name="_6311__FDSAUDITLINK__" hidden="1">{"fdsup://directions/FAT Viewer?action=UPDATE&amp;creator=factset&amp;DYN_ARGS=TRUE&amp;DOC_NAME=FAT:FQL_AUDITING_CLIENT_TEMPLATE.FAT&amp;display_string=Audit&amp;VAR:KEY=ZAJULCNKZQ&amp;VAR:QUERY=RkZfRUJJVERBX0lCKCdMVE1TJywzOTQwMik=&amp;WINDOW=FIRST_POPUP&amp;HEIGHT=450&amp;WIDTH=450&amp;START_MA","XIMIZED=FALSE&amp;VAR:CALENDAR=US&amp;VAR:SYMBOL=N0098510&amp;VAR:INDEX=0"}</definedName>
    <definedName name="_6312__FDSAUDITLINK__" localSheetId="6" hidden="1">{"fdsup://directions/FAT Viewer?action=UPDATE&amp;creator=factset&amp;DYN_ARGS=TRUE&amp;DOC_NAME=FAT:FQL_AUDITING_CLIENT_TEMPLATE.FAT&amp;display_string=Audit&amp;VAR:KEY=RGNKFGXCFK&amp;VAR:QUERY=RkZfRUJJVERBX0lCKCdMVE1TJywzOTQwMSk=&amp;WINDOW=FIRST_POPUP&amp;HEIGHT=450&amp;WIDTH=450&amp;START_MA","XIMIZED=FALSE&amp;VAR:CALENDAR=US&amp;VAR:SYMBOL=N0098510&amp;VAR:INDEX=0"}</definedName>
    <definedName name="_6312__FDSAUDITLINK__" hidden="1">{"fdsup://directions/FAT Viewer?action=UPDATE&amp;creator=factset&amp;DYN_ARGS=TRUE&amp;DOC_NAME=FAT:FQL_AUDITING_CLIENT_TEMPLATE.FAT&amp;display_string=Audit&amp;VAR:KEY=RGNKFGXCFK&amp;VAR:QUERY=RkZfRUJJVERBX0lCKCdMVE1TJywzOTQwMSk=&amp;WINDOW=FIRST_POPUP&amp;HEIGHT=450&amp;WIDTH=450&amp;START_MA","XIMIZED=FALSE&amp;VAR:CALENDAR=US&amp;VAR:SYMBOL=N0098510&amp;VAR:INDEX=0"}</definedName>
    <definedName name="_6313__FDSAUDITLINK__" localSheetId="6" hidden="1">{"fdsup://directions/FAT Viewer?action=UPDATE&amp;creator=factset&amp;DYN_ARGS=TRUE&amp;DOC_NAME=FAT:FQL_AUDITING_CLIENT_TEMPLATE.FAT&amp;display_string=Audit&amp;VAR:KEY=FMLYXUNSLS&amp;VAR:QUERY=RkZfRUJJVERBX0lCKCdMVE1TJywzOTQwMCk=&amp;WINDOW=FIRST_POPUP&amp;HEIGHT=450&amp;WIDTH=450&amp;START_MA","XIMIZED=FALSE&amp;VAR:CALENDAR=US&amp;VAR:SYMBOL=N0098510&amp;VAR:INDEX=0"}</definedName>
    <definedName name="_6313__FDSAUDITLINK__" hidden="1">{"fdsup://directions/FAT Viewer?action=UPDATE&amp;creator=factset&amp;DYN_ARGS=TRUE&amp;DOC_NAME=FAT:FQL_AUDITING_CLIENT_TEMPLATE.FAT&amp;display_string=Audit&amp;VAR:KEY=FMLYXUNSLS&amp;VAR:QUERY=RkZfRUJJVERBX0lCKCdMVE1TJywzOTQwMCk=&amp;WINDOW=FIRST_POPUP&amp;HEIGHT=450&amp;WIDTH=450&amp;START_MA","XIMIZED=FALSE&amp;VAR:CALENDAR=US&amp;VAR:SYMBOL=N0098510&amp;VAR:INDEX=0"}</definedName>
    <definedName name="_6314__FDSAUDITLINK__" localSheetId="6" hidden="1">{"fdsup://directions/FAT Viewer?action=UPDATE&amp;creator=factset&amp;DYN_ARGS=TRUE&amp;DOC_NAME=FAT:FQL_AUDITING_CLIENT_TEMPLATE.FAT&amp;display_string=Audit&amp;VAR:KEY=FKJALQRWRO&amp;VAR:QUERY=RkZfRUJJVERBX0lCKCdMVE1TJywzOTM5OSk=&amp;WINDOW=FIRST_POPUP&amp;HEIGHT=450&amp;WIDTH=450&amp;START_MA","XIMIZED=FALSE&amp;VAR:CALENDAR=US&amp;VAR:SYMBOL=N0098510&amp;VAR:INDEX=0"}</definedName>
    <definedName name="_6314__FDSAUDITLINK__" hidden="1">{"fdsup://directions/FAT Viewer?action=UPDATE&amp;creator=factset&amp;DYN_ARGS=TRUE&amp;DOC_NAME=FAT:FQL_AUDITING_CLIENT_TEMPLATE.FAT&amp;display_string=Audit&amp;VAR:KEY=FKJALQRWRO&amp;VAR:QUERY=RkZfRUJJVERBX0lCKCdMVE1TJywzOTM5OSk=&amp;WINDOW=FIRST_POPUP&amp;HEIGHT=450&amp;WIDTH=450&amp;START_MA","XIMIZED=FALSE&amp;VAR:CALENDAR=US&amp;VAR:SYMBOL=N0098510&amp;VAR:INDEX=0"}</definedName>
    <definedName name="_6315__FDSAUDITLINK__" localSheetId="6" hidden="1">{"fdsup://directions/FAT Viewer?action=UPDATE&amp;creator=factset&amp;DYN_ARGS=TRUE&amp;DOC_NAME=FAT:FQL_AUDITING_CLIENT_TEMPLATE.FAT&amp;display_string=Audit&amp;VAR:KEY=DMRELUVYHY&amp;VAR:QUERY=RkZfRUJJVERBX0lCKCdMVE1TJywzOTM5OCk=&amp;WINDOW=FIRST_POPUP&amp;HEIGHT=450&amp;WIDTH=450&amp;START_MA","XIMIZED=FALSE&amp;VAR:CALENDAR=US&amp;VAR:SYMBOL=N0098510&amp;VAR:INDEX=0"}</definedName>
    <definedName name="_6315__FDSAUDITLINK__" hidden="1">{"fdsup://directions/FAT Viewer?action=UPDATE&amp;creator=factset&amp;DYN_ARGS=TRUE&amp;DOC_NAME=FAT:FQL_AUDITING_CLIENT_TEMPLATE.FAT&amp;display_string=Audit&amp;VAR:KEY=DMRELUVYHY&amp;VAR:QUERY=RkZfRUJJVERBX0lCKCdMVE1TJywzOTM5OCk=&amp;WINDOW=FIRST_POPUP&amp;HEIGHT=450&amp;WIDTH=450&amp;START_MA","XIMIZED=FALSE&amp;VAR:CALENDAR=US&amp;VAR:SYMBOL=N0098510&amp;VAR:INDEX=0"}</definedName>
    <definedName name="_6316__FDSAUDITLINK__" localSheetId="6" hidden="1">{"fdsup://directions/FAT Viewer?action=UPDATE&amp;creator=factset&amp;DYN_ARGS=TRUE&amp;DOC_NAME=FAT:FQL_AUDITING_CLIENT_TEMPLATE.FAT&amp;display_string=Audit&amp;VAR:KEY=XKBOROTQXU&amp;VAR:QUERY=RkZfRUJJVERBX0lCKCdMVE1TJywzOTM5Nyk=&amp;WINDOW=FIRST_POPUP&amp;HEIGHT=450&amp;WIDTH=450&amp;START_MA","XIMIZED=FALSE&amp;VAR:CALENDAR=US&amp;VAR:SYMBOL=N0098510&amp;VAR:INDEX=0"}</definedName>
    <definedName name="_6316__FDSAUDITLINK__" hidden="1">{"fdsup://directions/FAT Viewer?action=UPDATE&amp;creator=factset&amp;DYN_ARGS=TRUE&amp;DOC_NAME=FAT:FQL_AUDITING_CLIENT_TEMPLATE.FAT&amp;display_string=Audit&amp;VAR:KEY=XKBOROTQXU&amp;VAR:QUERY=RkZfRUJJVERBX0lCKCdMVE1TJywzOTM5Nyk=&amp;WINDOW=FIRST_POPUP&amp;HEIGHT=450&amp;WIDTH=450&amp;START_MA","XIMIZED=FALSE&amp;VAR:CALENDAR=US&amp;VAR:SYMBOL=N0098510&amp;VAR:INDEX=0"}</definedName>
    <definedName name="_6317__FDSAUDITLINK__" localSheetId="6" hidden="1">{"fdsup://directions/FAT Viewer?action=UPDATE&amp;creator=factset&amp;DYN_ARGS=TRUE&amp;DOC_NAME=FAT:FQL_AUDITING_CLIENT_TEMPLATE.FAT&amp;display_string=Audit&amp;VAR:KEY=PATOHOZGLO&amp;VAR:QUERY=RkZfRUJJVERBX0lCKCdMVE1TJywzOTM5Nik=&amp;WINDOW=FIRST_POPUP&amp;HEIGHT=450&amp;WIDTH=450&amp;START_MA","XIMIZED=FALSE&amp;VAR:CALENDAR=US&amp;VAR:SYMBOL=N0098510&amp;VAR:INDEX=0"}</definedName>
    <definedName name="_6317__FDSAUDITLINK__" hidden="1">{"fdsup://directions/FAT Viewer?action=UPDATE&amp;creator=factset&amp;DYN_ARGS=TRUE&amp;DOC_NAME=FAT:FQL_AUDITING_CLIENT_TEMPLATE.FAT&amp;display_string=Audit&amp;VAR:KEY=PATOHOZGLO&amp;VAR:QUERY=RkZfRUJJVERBX0lCKCdMVE1TJywzOTM5Nik=&amp;WINDOW=FIRST_POPUP&amp;HEIGHT=450&amp;WIDTH=450&amp;START_MA","XIMIZED=FALSE&amp;VAR:CALENDAR=US&amp;VAR:SYMBOL=N0098510&amp;VAR:INDEX=0"}</definedName>
    <definedName name="_6318__FDSAUDITLINK__" localSheetId="6" hidden="1">{"fdsup://directions/FAT Viewer?action=UPDATE&amp;creator=factset&amp;DYN_ARGS=TRUE&amp;DOC_NAME=FAT:FQL_AUDITING_CLIENT_TEMPLATE.FAT&amp;display_string=Audit&amp;VAR:KEY=DOLOBSTAFK&amp;VAR:QUERY=RkZfRUJJVERBX0lCKCdMVE1TJywzOTM5NSk=&amp;WINDOW=FIRST_POPUP&amp;HEIGHT=450&amp;WIDTH=450&amp;START_MA","XIMIZED=FALSE&amp;VAR:CALENDAR=US&amp;VAR:SYMBOL=N0098510&amp;VAR:INDEX=0"}</definedName>
    <definedName name="_6318__FDSAUDITLINK__" hidden="1">{"fdsup://directions/FAT Viewer?action=UPDATE&amp;creator=factset&amp;DYN_ARGS=TRUE&amp;DOC_NAME=FAT:FQL_AUDITING_CLIENT_TEMPLATE.FAT&amp;display_string=Audit&amp;VAR:KEY=DOLOBSTAFK&amp;VAR:QUERY=RkZfRUJJVERBX0lCKCdMVE1TJywzOTM5NSk=&amp;WINDOW=FIRST_POPUP&amp;HEIGHT=450&amp;WIDTH=450&amp;START_MA","XIMIZED=FALSE&amp;VAR:CALENDAR=US&amp;VAR:SYMBOL=N0098510&amp;VAR:INDEX=0"}</definedName>
    <definedName name="_6319__FDSAUDITLINK__" localSheetId="6" hidden="1">{"fdsup://directions/FAT Viewer?action=UPDATE&amp;creator=factset&amp;DYN_ARGS=TRUE&amp;DOC_NAME=FAT:FQL_AUDITING_CLIENT_TEMPLATE.FAT&amp;display_string=Audit&amp;VAR:KEY=TQLALYHKPI&amp;VAR:QUERY=RkZfRUJJVERBX0lCKCdMVE1TJywzOTM5NCk=&amp;WINDOW=FIRST_POPUP&amp;HEIGHT=450&amp;WIDTH=450&amp;START_MA","XIMIZED=FALSE&amp;VAR:CALENDAR=US&amp;VAR:SYMBOL=N0098510&amp;VAR:INDEX=0"}</definedName>
    <definedName name="_6319__FDSAUDITLINK__" hidden="1">{"fdsup://directions/FAT Viewer?action=UPDATE&amp;creator=factset&amp;DYN_ARGS=TRUE&amp;DOC_NAME=FAT:FQL_AUDITING_CLIENT_TEMPLATE.FAT&amp;display_string=Audit&amp;VAR:KEY=TQLALYHKPI&amp;VAR:QUERY=RkZfRUJJVERBX0lCKCdMVE1TJywzOTM5NCk=&amp;WINDOW=FIRST_POPUP&amp;HEIGHT=450&amp;WIDTH=450&amp;START_MA","XIMIZED=FALSE&amp;VAR:CALENDAR=US&amp;VAR:SYMBOL=N0098510&amp;VAR:INDEX=0"}</definedName>
    <definedName name="_632__FDSAUDITLINK__" localSheetId="6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2__FDSAUDITLINK__" hidden="1">{"fdsup://directions/FAT%20Viewer?VAR:PED=LTM&amp;VAR:AUDIT_MODE=SUMMARY&amp;VAR:PERIOD=FIXED&amp;VAR:AUDIT_ID=00000117&amp;VAR:DATE=20080530&amp;action=UPDATE&amp;creator=factset&amp;DOC_NAME=FAT:FMA_audit_SUMMARY.fat&amp;DISPLAY_STRING=Display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20__FDSAUDITLINK__" localSheetId="6" hidden="1">{"fdsup://directions/FAT Viewer?action=UPDATE&amp;creator=factset&amp;DYN_ARGS=TRUE&amp;DOC_NAME=FAT:FQL_AUDITING_CLIENT_TEMPLATE.FAT&amp;display_string=Audit&amp;VAR:KEY=FUPYFWDQTM&amp;VAR:QUERY=RkZfRUJJVERBX0lCKCdMVE1TJywzOTM5Myk=&amp;WINDOW=FIRST_POPUP&amp;HEIGHT=450&amp;WIDTH=450&amp;START_MA","XIMIZED=FALSE&amp;VAR:CALENDAR=US&amp;VAR:SYMBOL=N0098510&amp;VAR:INDEX=0"}</definedName>
    <definedName name="_6320__FDSAUDITLINK__" hidden="1">{"fdsup://directions/FAT Viewer?action=UPDATE&amp;creator=factset&amp;DYN_ARGS=TRUE&amp;DOC_NAME=FAT:FQL_AUDITING_CLIENT_TEMPLATE.FAT&amp;display_string=Audit&amp;VAR:KEY=FUPYFWDQTM&amp;VAR:QUERY=RkZfRUJJVERBX0lCKCdMVE1TJywzOTM5Myk=&amp;WINDOW=FIRST_POPUP&amp;HEIGHT=450&amp;WIDTH=450&amp;START_MA","XIMIZED=FALSE&amp;VAR:CALENDAR=US&amp;VAR:SYMBOL=N0098510&amp;VAR:INDEX=0"}</definedName>
    <definedName name="_6321__FDSAUDITLINK__" localSheetId="6" hidden="1">{"fdsup://directions/FAT Viewer?action=UPDATE&amp;creator=factset&amp;DYN_ARGS=TRUE&amp;DOC_NAME=FAT:FQL_AUDITING_CLIENT_TEMPLATE.FAT&amp;display_string=Audit&amp;VAR:KEY=TIXURCDILO&amp;VAR:QUERY=RkZfRUJJVERBX0lCKCdMVE1TJywzOTM5Mik=&amp;WINDOW=FIRST_POPUP&amp;HEIGHT=450&amp;WIDTH=450&amp;START_MA","XIMIZED=FALSE&amp;VAR:CALENDAR=US&amp;VAR:SYMBOL=N0098510&amp;VAR:INDEX=0"}</definedName>
    <definedName name="_6321__FDSAUDITLINK__" hidden="1">{"fdsup://directions/FAT Viewer?action=UPDATE&amp;creator=factset&amp;DYN_ARGS=TRUE&amp;DOC_NAME=FAT:FQL_AUDITING_CLIENT_TEMPLATE.FAT&amp;display_string=Audit&amp;VAR:KEY=TIXURCDILO&amp;VAR:QUERY=RkZfRUJJVERBX0lCKCdMVE1TJywzOTM5Mik=&amp;WINDOW=FIRST_POPUP&amp;HEIGHT=450&amp;WIDTH=450&amp;START_MA","XIMIZED=FALSE&amp;VAR:CALENDAR=US&amp;VAR:SYMBOL=N0098510&amp;VAR:INDEX=0"}</definedName>
    <definedName name="_6322__FDSAUDITLINK__" localSheetId="6" hidden="1">{"fdsup://directions/FAT Viewer?action=UPDATE&amp;creator=factset&amp;DYN_ARGS=TRUE&amp;DOC_NAME=FAT:FQL_AUDITING_CLIENT_TEMPLATE.FAT&amp;display_string=Audit&amp;VAR:KEY=JQZKRGPQZI&amp;VAR:QUERY=RkZfRUJJVERBX0lCKCdMVE1TJywzOTM5MSk=&amp;WINDOW=FIRST_POPUP&amp;HEIGHT=450&amp;WIDTH=450&amp;START_MA","XIMIZED=FALSE&amp;VAR:CALENDAR=US&amp;VAR:SYMBOL=N0098510&amp;VAR:INDEX=0"}</definedName>
    <definedName name="_6322__FDSAUDITLINK__" hidden="1">{"fdsup://directions/FAT Viewer?action=UPDATE&amp;creator=factset&amp;DYN_ARGS=TRUE&amp;DOC_NAME=FAT:FQL_AUDITING_CLIENT_TEMPLATE.FAT&amp;display_string=Audit&amp;VAR:KEY=JQZKRGPQZI&amp;VAR:QUERY=RkZfRUJJVERBX0lCKCdMVE1TJywzOTM5MSk=&amp;WINDOW=FIRST_POPUP&amp;HEIGHT=450&amp;WIDTH=450&amp;START_MA","XIMIZED=FALSE&amp;VAR:CALENDAR=US&amp;VAR:SYMBOL=N0098510&amp;VAR:INDEX=0"}</definedName>
    <definedName name="_6323__FDSAUDITLINK__" localSheetId="6" hidden="1">{"fdsup://directions/FAT Viewer?action=UPDATE&amp;creator=factset&amp;DYN_ARGS=TRUE&amp;DOC_NAME=FAT:FQL_AUDITING_CLIENT_TEMPLATE.FAT&amp;display_string=Audit&amp;VAR:KEY=VGJCZATYVM&amp;VAR:QUERY=RkZfRUJJVERBX0lCKCdMVE1TJywzOTM5MCk=&amp;WINDOW=FIRST_POPUP&amp;HEIGHT=450&amp;WIDTH=450&amp;START_MA","XIMIZED=FALSE&amp;VAR:CALENDAR=US&amp;VAR:SYMBOL=N0098510&amp;VAR:INDEX=0"}</definedName>
    <definedName name="_6323__FDSAUDITLINK__" hidden="1">{"fdsup://directions/FAT Viewer?action=UPDATE&amp;creator=factset&amp;DYN_ARGS=TRUE&amp;DOC_NAME=FAT:FQL_AUDITING_CLIENT_TEMPLATE.FAT&amp;display_string=Audit&amp;VAR:KEY=VGJCZATYVM&amp;VAR:QUERY=RkZfRUJJVERBX0lCKCdMVE1TJywzOTM5MCk=&amp;WINDOW=FIRST_POPUP&amp;HEIGHT=450&amp;WIDTH=450&amp;START_MA","XIMIZED=FALSE&amp;VAR:CALENDAR=US&amp;VAR:SYMBOL=N0098510&amp;VAR:INDEX=0"}</definedName>
    <definedName name="_6324__FDSAUDITLINK__" localSheetId="6" hidden="1">{"fdsup://directions/FAT Viewer?action=UPDATE&amp;creator=factset&amp;DYN_ARGS=TRUE&amp;DOC_NAME=FAT:FQL_AUDITING_CLIENT_TEMPLATE.FAT&amp;display_string=Audit&amp;VAR:KEY=HMPELSRAXM&amp;VAR:QUERY=RkZfRUJJVERBX0lCKCdMVE1TJywzOTM4OSk=&amp;WINDOW=FIRST_POPUP&amp;HEIGHT=450&amp;WIDTH=450&amp;START_MA","XIMIZED=FALSE&amp;VAR:CALENDAR=US&amp;VAR:SYMBOL=N0098510&amp;VAR:INDEX=0"}</definedName>
    <definedName name="_6324__FDSAUDITLINK__" hidden="1">{"fdsup://directions/FAT Viewer?action=UPDATE&amp;creator=factset&amp;DYN_ARGS=TRUE&amp;DOC_NAME=FAT:FQL_AUDITING_CLIENT_TEMPLATE.FAT&amp;display_string=Audit&amp;VAR:KEY=HMPELSRAXM&amp;VAR:QUERY=RkZfRUJJVERBX0lCKCdMVE1TJywzOTM4OSk=&amp;WINDOW=FIRST_POPUP&amp;HEIGHT=450&amp;WIDTH=450&amp;START_MA","XIMIZED=FALSE&amp;VAR:CALENDAR=US&amp;VAR:SYMBOL=N0098510&amp;VAR:INDEX=0"}</definedName>
    <definedName name="_6325__FDSAUDITLINK__" localSheetId="6" hidden="1">{"fdsup://directions/FAT Viewer?action=UPDATE&amp;creator=factset&amp;DYN_ARGS=TRUE&amp;DOC_NAME=FAT:FQL_AUDITING_CLIENT_TEMPLATE.FAT&amp;display_string=Audit&amp;VAR:KEY=TIZYBUDIRK&amp;VAR:QUERY=RkZfRUJJVERBX0lCKCdMVE1TJywzOTM4OCk=&amp;WINDOW=FIRST_POPUP&amp;HEIGHT=450&amp;WIDTH=450&amp;START_MA","XIMIZED=FALSE&amp;VAR:CALENDAR=US&amp;VAR:SYMBOL=N0098510&amp;VAR:INDEX=0"}</definedName>
    <definedName name="_6325__FDSAUDITLINK__" hidden="1">{"fdsup://directions/FAT Viewer?action=UPDATE&amp;creator=factset&amp;DYN_ARGS=TRUE&amp;DOC_NAME=FAT:FQL_AUDITING_CLIENT_TEMPLATE.FAT&amp;display_string=Audit&amp;VAR:KEY=TIZYBUDIRK&amp;VAR:QUERY=RkZfRUJJVERBX0lCKCdMVE1TJywzOTM4OCk=&amp;WINDOW=FIRST_POPUP&amp;HEIGHT=450&amp;WIDTH=450&amp;START_MA","XIMIZED=FALSE&amp;VAR:CALENDAR=US&amp;VAR:SYMBOL=N0098510&amp;VAR:INDEX=0"}</definedName>
    <definedName name="_6326__FDSAUDITLINK__" localSheetId="6" hidden="1">{"fdsup://directions/FAT Viewer?action=UPDATE&amp;creator=factset&amp;DYN_ARGS=TRUE&amp;DOC_NAME=FAT:FQL_AUDITING_CLIENT_TEMPLATE.FAT&amp;display_string=Audit&amp;VAR:KEY=BGBGPKXUBE&amp;VAR:QUERY=RkZfRUJJVERBX0lCKCdMVE1TJywzOTM4Nyk=&amp;WINDOW=FIRST_POPUP&amp;HEIGHT=450&amp;WIDTH=450&amp;START_MA","XIMIZED=FALSE&amp;VAR:CALENDAR=US&amp;VAR:SYMBOL=N0098510&amp;VAR:INDEX=0"}</definedName>
    <definedName name="_6326__FDSAUDITLINK__" hidden="1">{"fdsup://directions/FAT Viewer?action=UPDATE&amp;creator=factset&amp;DYN_ARGS=TRUE&amp;DOC_NAME=FAT:FQL_AUDITING_CLIENT_TEMPLATE.FAT&amp;display_string=Audit&amp;VAR:KEY=BGBGPKXUBE&amp;VAR:QUERY=RkZfRUJJVERBX0lCKCdMVE1TJywzOTM4Nyk=&amp;WINDOW=FIRST_POPUP&amp;HEIGHT=450&amp;WIDTH=450&amp;START_MA","XIMIZED=FALSE&amp;VAR:CALENDAR=US&amp;VAR:SYMBOL=N0098510&amp;VAR:INDEX=0"}</definedName>
    <definedName name="_6327__FDSAUDITLINK__" localSheetId="6" hidden="1">{"fdsup://directions/FAT Viewer?action=UPDATE&amp;creator=factset&amp;DYN_ARGS=TRUE&amp;DOC_NAME=FAT:FQL_AUDITING_CLIENT_TEMPLATE.FAT&amp;display_string=Audit&amp;VAR:KEY=DCLUZOZEXG&amp;VAR:QUERY=RkZfRUJJVERBX0lCKCdMVE1TJywzOTM4Nik=&amp;WINDOW=FIRST_POPUP&amp;HEIGHT=450&amp;WIDTH=450&amp;START_MA","XIMIZED=FALSE&amp;VAR:CALENDAR=US&amp;VAR:SYMBOL=N0098510&amp;VAR:INDEX=0"}</definedName>
    <definedName name="_6327__FDSAUDITLINK__" hidden="1">{"fdsup://directions/FAT Viewer?action=UPDATE&amp;creator=factset&amp;DYN_ARGS=TRUE&amp;DOC_NAME=FAT:FQL_AUDITING_CLIENT_TEMPLATE.FAT&amp;display_string=Audit&amp;VAR:KEY=DCLUZOZEXG&amp;VAR:QUERY=RkZfRUJJVERBX0lCKCdMVE1TJywzOTM4Nik=&amp;WINDOW=FIRST_POPUP&amp;HEIGHT=450&amp;WIDTH=450&amp;START_MA","XIMIZED=FALSE&amp;VAR:CALENDAR=US&amp;VAR:SYMBOL=N0098510&amp;VAR:INDEX=0"}</definedName>
    <definedName name="_6328__FDSAUDITLINK__" localSheetId="6" hidden="1">{"fdsup://directions/FAT Viewer?action=UPDATE&amp;creator=factset&amp;DYN_ARGS=TRUE&amp;DOC_NAME=FAT:FQL_AUDITING_CLIENT_TEMPLATE.FAT&amp;display_string=Audit&amp;VAR:KEY=POXGJIDQZS&amp;VAR:QUERY=RkZfRUJJVERBX0lCKCdMVE1TJywzOTM4NSk=&amp;WINDOW=FIRST_POPUP&amp;HEIGHT=450&amp;WIDTH=450&amp;START_MA","XIMIZED=FALSE&amp;VAR:CALENDAR=US&amp;VAR:SYMBOL=N0098510&amp;VAR:INDEX=0"}</definedName>
    <definedName name="_6328__FDSAUDITLINK__" hidden="1">{"fdsup://directions/FAT Viewer?action=UPDATE&amp;creator=factset&amp;DYN_ARGS=TRUE&amp;DOC_NAME=FAT:FQL_AUDITING_CLIENT_TEMPLATE.FAT&amp;display_string=Audit&amp;VAR:KEY=POXGJIDQZS&amp;VAR:QUERY=RkZfRUJJVERBX0lCKCdMVE1TJywzOTM4NSk=&amp;WINDOW=FIRST_POPUP&amp;HEIGHT=450&amp;WIDTH=450&amp;START_MA","XIMIZED=FALSE&amp;VAR:CALENDAR=US&amp;VAR:SYMBOL=N0098510&amp;VAR:INDEX=0"}</definedName>
    <definedName name="_6329__FDSAUDITLINK__" localSheetId="6" hidden="1">{"fdsup://directions/FAT Viewer?action=UPDATE&amp;creator=factset&amp;DYN_ARGS=TRUE&amp;DOC_NAME=FAT:FQL_AUDITING_CLIENT_TEMPLATE.FAT&amp;display_string=Audit&amp;VAR:KEY=BCXENAXQJG&amp;VAR:QUERY=RkZfRUJJVERBX0lCKCdMVE1TJywzOTM4NCk=&amp;WINDOW=FIRST_POPUP&amp;HEIGHT=450&amp;WIDTH=450&amp;START_MA","XIMIZED=FALSE&amp;VAR:CALENDAR=US&amp;VAR:SYMBOL=N0098510&amp;VAR:INDEX=0"}</definedName>
    <definedName name="_6329__FDSAUDITLINK__" hidden="1">{"fdsup://directions/FAT Viewer?action=UPDATE&amp;creator=factset&amp;DYN_ARGS=TRUE&amp;DOC_NAME=FAT:FQL_AUDITING_CLIENT_TEMPLATE.FAT&amp;display_string=Audit&amp;VAR:KEY=BCXENAXQJG&amp;VAR:QUERY=RkZfRUJJVERBX0lCKCdMVE1TJywzOTM4NCk=&amp;WINDOW=FIRST_POPUP&amp;HEIGHT=450&amp;WIDTH=450&amp;START_MA","XIMIZED=FALSE&amp;VAR:CALENDAR=US&amp;VAR:SYMBOL=N0098510&amp;VAR:INDEX=0"}</definedName>
    <definedName name="_633__FDSAUDITLINK__" localSheetId="6" hidden="1">{"fdsup://directions/FAT%20Viewer?VAR:PED=LTM&amp;VAR:AUDIT_MODE=SUMMARY&amp;VAR:PERIOD=FIXED&amp;VAR:AUDIT_ID=00000117&amp;VAR:DATE=20080529&amp;action=UPDATE&amp;creator=factset&amp;DOC_NAME=FAT:FMA_audit_SUMMARY.fat&amp;DISPLAY_STRING=Display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3__FDSAUDITLINK__" hidden="1">{"fdsup://directions/FAT%20Viewer?VAR:PED=LTM&amp;VAR:AUDIT_MODE=SUMMARY&amp;VAR:PERIOD=FIXED&amp;VAR:AUDIT_ID=00000117&amp;VAR:DATE=20080529&amp;action=UPDATE&amp;creator=factset&amp;DOC_NAME=FAT:FMA_audit_SUMMARY.fat&amp;DISPLAY_STRING=Display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30__FDSAUDITLINK__" localSheetId="6" hidden="1">{"fdsup://directions/FAT Viewer?action=UPDATE&amp;creator=factset&amp;DYN_ARGS=TRUE&amp;DOC_NAME=FAT:FQL_AUDITING_CLIENT_TEMPLATE.FAT&amp;display_string=Audit&amp;VAR:KEY=ZSFGJQRALY&amp;VAR:QUERY=RkZfRUJJVERBX0lCKCdMVE1TJywzOTM4Myk=&amp;WINDOW=FIRST_POPUP&amp;HEIGHT=450&amp;WIDTH=450&amp;START_MA","XIMIZED=FALSE&amp;VAR:CALENDAR=US&amp;VAR:SYMBOL=N0098510&amp;VAR:INDEX=0"}</definedName>
    <definedName name="_6330__FDSAUDITLINK__" hidden="1">{"fdsup://directions/FAT Viewer?action=UPDATE&amp;creator=factset&amp;DYN_ARGS=TRUE&amp;DOC_NAME=FAT:FQL_AUDITING_CLIENT_TEMPLATE.FAT&amp;display_string=Audit&amp;VAR:KEY=ZSFGJQRALY&amp;VAR:QUERY=RkZfRUJJVERBX0lCKCdMVE1TJywzOTM4Myk=&amp;WINDOW=FIRST_POPUP&amp;HEIGHT=450&amp;WIDTH=450&amp;START_MA","XIMIZED=FALSE&amp;VAR:CALENDAR=US&amp;VAR:SYMBOL=N0098510&amp;VAR:INDEX=0"}</definedName>
    <definedName name="_6331__FDSAUDITLINK__" localSheetId="6" hidden="1">{"fdsup://directions/FAT Viewer?action=UPDATE&amp;creator=factset&amp;DYN_ARGS=TRUE&amp;DOC_NAME=FAT:FQL_AUDITING_CLIENT_TEMPLATE.FAT&amp;display_string=Audit&amp;VAR:KEY=BCPEVINKBE&amp;VAR:QUERY=RkZfRUJJVERBX0lCKCdMVE1TJywzOTM4Mik=&amp;WINDOW=FIRST_POPUP&amp;HEIGHT=450&amp;WIDTH=450&amp;START_MA","XIMIZED=FALSE&amp;VAR:CALENDAR=US&amp;VAR:SYMBOL=N0098510&amp;VAR:INDEX=0"}</definedName>
    <definedName name="_6331__FDSAUDITLINK__" hidden="1">{"fdsup://directions/FAT Viewer?action=UPDATE&amp;creator=factset&amp;DYN_ARGS=TRUE&amp;DOC_NAME=FAT:FQL_AUDITING_CLIENT_TEMPLATE.FAT&amp;display_string=Audit&amp;VAR:KEY=BCPEVINKBE&amp;VAR:QUERY=RkZfRUJJVERBX0lCKCdMVE1TJywzOTM4Mik=&amp;WINDOW=FIRST_POPUP&amp;HEIGHT=450&amp;WIDTH=450&amp;START_MA","XIMIZED=FALSE&amp;VAR:CALENDAR=US&amp;VAR:SYMBOL=N0098510&amp;VAR:INDEX=0"}</definedName>
    <definedName name="_6332__FDSAUDITLINK__" localSheetId="6" hidden="1">{"fdsup://directions/FAT Viewer?action=UPDATE&amp;creator=factset&amp;DYN_ARGS=TRUE&amp;DOC_NAME=FAT:FQL_AUDITING_CLIENT_TEMPLATE.FAT&amp;display_string=Audit&amp;VAR:KEY=XWZCPOBUDY&amp;VAR:QUERY=RkZfRUJJVERBX0lCKCdMVE1TJywzOTM4MSk=&amp;WINDOW=FIRST_POPUP&amp;HEIGHT=450&amp;WIDTH=450&amp;START_MA","XIMIZED=FALSE&amp;VAR:CALENDAR=US&amp;VAR:SYMBOL=N0098510&amp;VAR:INDEX=0"}</definedName>
    <definedName name="_6332__FDSAUDITLINK__" hidden="1">{"fdsup://directions/FAT Viewer?action=UPDATE&amp;creator=factset&amp;DYN_ARGS=TRUE&amp;DOC_NAME=FAT:FQL_AUDITING_CLIENT_TEMPLATE.FAT&amp;display_string=Audit&amp;VAR:KEY=XWZCPOBUDY&amp;VAR:QUERY=RkZfRUJJVERBX0lCKCdMVE1TJywzOTM4MSk=&amp;WINDOW=FIRST_POPUP&amp;HEIGHT=450&amp;WIDTH=450&amp;START_MA","XIMIZED=FALSE&amp;VAR:CALENDAR=US&amp;VAR:SYMBOL=N0098510&amp;VAR:INDEX=0"}</definedName>
    <definedName name="_6333__FDSAUDITLINK__" localSheetId="6" hidden="1">{"fdsup://directions/FAT Viewer?action=UPDATE&amp;creator=factset&amp;DYN_ARGS=TRUE&amp;DOC_NAME=FAT:FQL_AUDITING_CLIENT_TEMPLATE.FAT&amp;display_string=Audit&amp;VAR:KEY=BULMBCPKHI&amp;VAR:QUERY=RkZfRUJJVERBX0lCKCdMVE1TJywzOTM4MCk=&amp;WINDOW=FIRST_POPUP&amp;HEIGHT=450&amp;WIDTH=450&amp;START_MA","XIMIZED=FALSE&amp;VAR:CALENDAR=US&amp;VAR:SYMBOL=N0098510&amp;VAR:INDEX=0"}</definedName>
    <definedName name="_6333__FDSAUDITLINK__" hidden="1">{"fdsup://directions/FAT Viewer?action=UPDATE&amp;creator=factset&amp;DYN_ARGS=TRUE&amp;DOC_NAME=FAT:FQL_AUDITING_CLIENT_TEMPLATE.FAT&amp;display_string=Audit&amp;VAR:KEY=BULMBCPKHI&amp;VAR:QUERY=RkZfRUJJVERBX0lCKCdMVE1TJywzOTM4MCk=&amp;WINDOW=FIRST_POPUP&amp;HEIGHT=450&amp;WIDTH=450&amp;START_MA","XIMIZED=FALSE&amp;VAR:CALENDAR=US&amp;VAR:SYMBOL=N0098510&amp;VAR:INDEX=0"}</definedName>
    <definedName name="_6334__FDSAUDITLINK__" localSheetId="6" hidden="1">{"fdsup://directions/FAT Viewer?action=UPDATE&amp;creator=factset&amp;DYN_ARGS=TRUE&amp;DOC_NAME=FAT:FQL_AUDITING_CLIENT_TEMPLATE.FAT&amp;display_string=Audit&amp;VAR:KEY=BWZIZQLERG&amp;VAR:QUERY=RkZfRUJJVERBX0lCKCdMVE1TJywzOTM3OSk=&amp;WINDOW=FIRST_POPUP&amp;HEIGHT=450&amp;WIDTH=450&amp;START_MA","XIMIZED=FALSE&amp;VAR:CALENDAR=US&amp;VAR:SYMBOL=N0098510&amp;VAR:INDEX=0"}</definedName>
    <definedName name="_6334__FDSAUDITLINK__" hidden="1">{"fdsup://directions/FAT Viewer?action=UPDATE&amp;creator=factset&amp;DYN_ARGS=TRUE&amp;DOC_NAME=FAT:FQL_AUDITING_CLIENT_TEMPLATE.FAT&amp;display_string=Audit&amp;VAR:KEY=BWZIZQLERG&amp;VAR:QUERY=RkZfRUJJVERBX0lCKCdMVE1TJywzOTM3OSk=&amp;WINDOW=FIRST_POPUP&amp;HEIGHT=450&amp;WIDTH=450&amp;START_MA","XIMIZED=FALSE&amp;VAR:CALENDAR=US&amp;VAR:SYMBOL=N0098510&amp;VAR:INDEX=0"}</definedName>
    <definedName name="_6335__FDSAUDITLINK__" localSheetId="6" hidden="1">{"fdsup://directions/FAT Viewer?action=UPDATE&amp;creator=factset&amp;DYN_ARGS=TRUE&amp;DOC_NAME=FAT:FQL_AUDITING_CLIENT_TEMPLATE.FAT&amp;display_string=Audit&amp;VAR:KEY=TUFYJURSZO&amp;VAR:QUERY=RkZfRUJJVERBX0lCKCdMVE1TJywzOTM3OCk=&amp;WINDOW=FIRST_POPUP&amp;HEIGHT=450&amp;WIDTH=450&amp;START_MA","XIMIZED=FALSE&amp;VAR:CALENDAR=US&amp;VAR:SYMBOL=N0098510&amp;VAR:INDEX=0"}</definedName>
    <definedName name="_6335__FDSAUDITLINK__" hidden="1">{"fdsup://directions/FAT Viewer?action=UPDATE&amp;creator=factset&amp;DYN_ARGS=TRUE&amp;DOC_NAME=FAT:FQL_AUDITING_CLIENT_TEMPLATE.FAT&amp;display_string=Audit&amp;VAR:KEY=TUFYJURSZO&amp;VAR:QUERY=RkZfRUJJVERBX0lCKCdMVE1TJywzOTM3OCk=&amp;WINDOW=FIRST_POPUP&amp;HEIGHT=450&amp;WIDTH=450&amp;START_MA","XIMIZED=FALSE&amp;VAR:CALENDAR=US&amp;VAR:SYMBOL=N0098510&amp;VAR:INDEX=0"}</definedName>
    <definedName name="_6336__FDSAUDITLINK__" localSheetId="6" hidden="1">{"fdsup://directions/FAT Viewer?action=UPDATE&amp;creator=factset&amp;DYN_ARGS=TRUE&amp;DOC_NAME=FAT:FQL_AUDITING_CLIENT_TEMPLATE.FAT&amp;display_string=Audit&amp;VAR:KEY=DQTMLEXCHA&amp;VAR:QUERY=RkZfRUJJVERBX0lCKCdMVE1TJywzOTM3Nyk=&amp;WINDOW=FIRST_POPUP&amp;HEIGHT=450&amp;WIDTH=450&amp;START_MA","XIMIZED=FALSE&amp;VAR:CALENDAR=US&amp;VAR:SYMBOL=N0098510&amp;VAR:INDEX=0"}</definedName>
    <definedName name="_6336__FDSAUDITLINK__" hidden="1">{"fdsup://directions/FAT Viewer?action=UPDATE&amp;creator=factset&amp;DYN_ARGS=TRUE&amp;DOC_NAME=FAT:FQL_AUDITING_CLIENT_TEMPLATE.FAT&amp;display_string=Audit&amp;VAR:KEY=DQTMLEXCHA&amp;VAR:QUERY=RkZfRUJJVERBX0lCKCdMVE1TJywzOTM3Nyk=&amp;WINDOW=FIRST_POPUP&amp;HEIGHT=450&amp;WIDTH=450&amp;START_MA","XIMIZED=FALSE&amp;VAR:CALENDAR=US&amp;VAR:SYMBOL=N0098510&amp;VAR:INDEX=0"}</definedName>
    <definedName name="_6337__FDSAUDITLINK__" localSheetId="6" hidden="1">{"fdsup://directions/FAT Viewer?action=UPDATE&amp;creator=factset&amp;DYN_ARGS=TRUE&amp;DOC_NAME=FAT:FQL_AUDITING_CLIENT_TEMPLATE.FAT&amp;display_string=Audit&amp;VAR:KEY=HQTSZYDSVI&amp;VAR:QUERY=RkZfRUJJVERBX0lCKCdMVE1TJywzOTM3Nik=&amp;WINDOW=FIRST_POPUP&amp;HEIGHT=450&amp;WIDTH=450&amp;START_MA","XIMIZED=FALSE&amp;VAR:CALENDAR=US&amp;VAR:SYMBOL=N0098510&amp;VAR:INDEX=0"}</definedName>
    <definedName name="_6337__FDSAUDITLINK__" hidden="1">{"fdsup://directions/FAT Viewer?action=UPDATE&amp;creator=factset&amp;DYN_ARGS=TRUE&amp;DOC_NAME=FAT:FQL_AUDITING_CLIENT_TEMPLATE.FAT&amp;display_string=Audit&amp;VAR:KEY=HQTSZYDSVI&amp;VAR:QUERY=RkZfRUJJVERBX0lCKCdMVE1TJywzOTM3Nik=&amp;WINDOW=FIRST_POPUP&amp;HEIGHT=450&amp;WIDTH=450&amp;START_MA","XIMIZED=FALSE&amp;VAR:CALENDAR=US&amp;VAR:SYMBOL=N0098510&amp;VAR:INDEX=0"}</definedName>
    <definedName name="_6338__FDSAUDITLINK__" localSheetId="6" hidden="1">{"fdsup://directions/FAT Viewer?action=UPDATE&amp;creator=factset&amp;DYN_ARGS=TRUE&amp;DOC_NAME=FAT:FQL_AUDITING_CLIENT_TEMPLATE.FAT&amp;display_string=Audit&amp;VAR:KEY=ZYPUXINEJS&amp;VAR:QUERY=RkZfRUJJVERBX0lCKCdMVE1TJywzOTM3NSk=&amp;WINDOW=FIRST_POPUP&amp;HEIGHT=450&amp;WIDTH=450&amp;START_MA","XIMIZED=FALSE&amp;VAR:CALENDAR=US&amp;VAR:SYMBOL=N0098510&amp;VAR:INDEX=0"}</definedName>
    <definedName name="_6338__FDSAUDITLINK__" hidden="1">{"fdsup://directions/FAT Viewer?action=UPDATE&amp;creator=factset&amp;DYN_ARGS=TRUE&amp;DOC_NAME=FAT:FQL_AUDITING_CLIENT_TEMPLATE.FAT&amp;display_string=Audit&amp;VAR:KEY=ZYPUXINEJS&amp;VAR:QUERY=RkZfRUJJVERBX0lCKCdMVE1TJywzOTM3NSk=&amp;WINDOW=FIRST_POPUP&amp;HEIGHT=450&amp;WIDTH=450&amp;START_MA","XIMIZED=FALSE&amp;VAR:CALENDAR=US&amp;VAR:SYMBOL=N0098510&amp;VAR:INDEX=0"}</definedName>
    <definedName name="_6339__FDSAUDITLINK__" localSheetId="6" hidden="1">{"fdsup://directions/FAT Viewer?action=UPDATE&amp;creator=factset&amp;DYN_ARGS=TRUE&amp;DOC_NAME=FAT:FQL_AUDITING_CLIENT_TEMPLATE.FAT&amp;display_string=Audit&amp;VAR:KEY=VSJGNYJABO&amp;VAR:QUERY=RkZfRUJJVERBX0lCKCdMVE1TJywzOTM3NCk=&amp;WINDOW=FIRST_POPUP&amp;HEIGHT=450&amp;WIDTH=450&amp;START_MA","XIMIZED=FALSE&amp;VAR:CALENDAR=US&amp;VAR:SYMBOL=N0098510&amp;VAR:INDEX=0"}</definedName>
    <definedName name="_6339__FDSAUDITLINK__" hidden="1">{"fdsup://directions/FAT Viewer?action=UPDATE&amp;creator=factset&amp;DYN_ARGS=TRUE&amp;DOC_NAME=FAT:FQL_AUDITING_CLIENT_TEMPLATE.FAT&amp;display_string=Audit&amp;VAR:KEY=VSJGNYJABO&amp;VAR:QUERY=RkZfRUJJVERBX0lCKCdMVE1TJywzOTM3NCk=&amp;WINDOW=FIRST_POPUP&amp;HEIGHT=450&amp;WIDTH=450&amp;START_MA","XIMIZED=FALSE&amp;VAR:CALENDAR=US&amp;VAR:SYMBOL=N0098510&amp;VAR:INDEX=0"}</definedName>
    <definedName name="_634__FDSAUDITLINK__" localSheetId="6" hidden="1">{"fdsup://directions/FAT%20Viewer?VAR:PED=LTM&amp;VAR:AUDIT_MODE=SUMMARY&amp;VAR:PERIOD=FIXED&amp;VAR:AUDIT_ID=00000117&amp;VAR:DATE=20080528&amp;action=UPDATE&amp;creator=factset&amp;DOC_NAME=FAT:FMA_audit_SUMMARY.fat&amp;DISPLAY_STRING=Display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4__FDSAUDITLINK__" hidden="1">{"fdsup://directions/FAT%20Viewer?VAR:PED=LTM&amp;VAR:AUDIT_MODE=SUMMARY&amp;VAR:PERIOD=FIXED&amp;VAR:AUDIT_ID=00000117&amp;VAR:DATE=20080528&amp;action=UPDATE&amp;creator=factset&amp;DOC_NAME=FAT:FMA_audit_SUMMARY.fat&amp;DISPLAY_STRING=Display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40__FDSAUDITLINK__" localSheetId="6" hidden="1">{"fdsup://directions/FAT Viewer?action=UPDATE&amp;creator=factset&amp;DYN_ARGS=TRUE&amp;DOC_NAME=FAT:FQL_AUDITING_CLIENT_TEMPLATE.FAT&amp;display_string=Audit&amp;VAR:KEY=ZUNYBETITA&amp;VAR:QUERY=RkZfRUJJVERBX0lCKCdMVE1TJywzOTM3Myk=&amp;WINDOW=FIRST_POPUP&amp;HEIGHT=450&amp;WIDTH=450&amp;START_MA","XIMIZED=FALSE&amp;VAR:CALENDAR=US&amp;VAR:SYMBOL=N0098510&amp;VAR:INDEX=0"}</definedName>
    <definedName name="_6340__FDSAUDITLINK__" hidden="1">{"fdsup://directions/FAT Viewer?action=UPDATE&amp;creator=factset&amp;DYN_ARGS=TRUE&amp;DOC_NAME=FAT:FQL_AUDITING_CLIENT_TEMPLATE.FAT&amp;display_string=Audit&amp;VAR:KEY=ZUNYBETITA&amp;VAR:QUERY=RkZfRUJJVERBX0lCKCdMVE1TJywzOTM3Myk=&amp;WINDOW=FIRST_POPUP&amp;HEIGHT=450&amp;WIDTH=450&amp;START_MA","XIMIZED=FALSE&amp;VAR:CALENDAR=US&amp;VAR:SYMBOL=N0098510&amp;VAR:INDEX=0"}</definedName>
    <definedName name="_6341__FDSAUDITLINK__" localSheetId="6" hidden="1">{"fdsup://directions/FAT Viewer?action=UPDATE&amp;creator=factset&amp;DYN_ARGS=TRUE&amp;DOC_NAME=FAT:FQL_AUDITING_CLIENT_TEMPLATE.FAT&amp;display_string=Audit&amp;VAR:KEY=BCVKJMTQRE&amp;VAR:QUERY=RkZfRUJJVERBX0lCKCdMVE1TJywzOTM3Mik=&amp;WINDOW=FIRST_POPUP&amp;HEIGHT=450&amp;WIDTH=450&amp;START_MA","XIMIZED=FALSE&amp;VAR:CALENDAR=US&amp;VAR:SYMBOL=N0098510&amp;VAR:INDEX=0"}</definedName>
    <definedName name="_6341__FDSAUDITLINK__" hidden="1">{"fdsup://directions/FAT Viewer?action=UPDATE&amp;creator=factset&amp;DYN_ARGS=TRUE&amp;DOC_NAME=FAT:FQL_AUDITING_CLIENT_TEMPLATE.FAT&amp;display_string=Audit&amp;VAR:KEY=BCVKJMTQRE&amp;VAR:QUERY=RkZfRUJJVERBX0lCKCdMVE1TJywzOTM3Mik=&amp;WINDOW=FIRST_POPUP&amp;HEIGHT=450&amp;WIDTH=450&amp;START_MA","XIMIZED=FALSE&amp;VAR:CALENDAR=US&amp;VAR:SYMBOL=N0098510&amp;VAR:INDEX=0"}</definedName>
    <definedName name="_6342__FDSAUDITLINK__" localSheetId="6" hidden="1">{"fdsup://directions/FAT Viewer?action=UPDATE&amp;creator=factset&amp;DYN_ARGS=TRUE&amp;DOC_NAME=FAT:FQL_AUDITING_CLIENT_TEMPLATE.FAT&amp;display_string=Audit&amp;VAR:KEY=JIPUJGHONA&amp;VAR:QUERY=RkZfRUJJVERBX0lCKCdMVE1TJywzOTM3MSk=&amp;WINDOW=FIRST_POPUP&amp;HEIGHT=450&amp;WIDTH=450&amp;START_MA","XIMIZED=FALSE&amp;VAR:CALENDAR=US&amp;VAR:SYMBOL=N0098510&amp;VAR:INDEX=0"}</definedName>
    <definedName name="_6342__FDSAUDITLINK__" hidden="1">{"fdsup://directions/FAT Viewer?action=UPDATE&amp;creator=factset&amp;DYN_ARGS=TRUE&amp;DOC_NAME=FAT:FQL_AUDITING_CLIENT_TEMPLATE.FAT&amp;display_string=Audit&amp;VAR:KEY=JIPUJGHONA&amp;VAR:QUERY=RkZfRUJJVERBX0lCKCdMVE1TJywzOTM3MSk=&amp;WINDOW=FIRST_POPUP&amp;HEIGHT=450&amp;WIDTH=450&amp;START_MA","XIMIZED=FALSE&amp;VAR:CALENDAR=US&amp;VAR:SYMBOL=N0098510&amp;VAR:INDEX=0"}</definedName>
    <definedName name="_6343__FDSAUDITLINK__" localSheetId="6" hidden="1">{"fdsup://directions/FAT Viewer?action=UPDATE&amp;creator=factset&amp;DYN_ARGS=TRUE&amp;DOC_NAME=FAT:FQL_AUDITING_CLIENT_TEMPLATE.FAT&amp;display_string=Audit&amp;VAR:KEY=BGJMFANSPI&amp;VAR:QUERY=RkZfRUJJVERBX0lCKCdMVE1TJywzOTM3MCk=&amp;WINDOW=FIRST_POPUP&amp;HEIGHT=450&amp;WIDTH=450&amp;START_MA","XIMIZED=FALSE&amp;VAR:CALENDAR=US&amp;VAR:SYMBOL=N0098510&amp;VAR:INDEX=0"}</definedName>
    <definedName name="_6343__FDSAUDITLINK__" hidden="1">{"fdsup://directions/FAT Viewer?action=UPDATE&amp;creator=factset&amp;DYN_ARGS=TRUE&amp;DOC_NAME=FAT:FQL_AUDITING_CLIENT_TEMPLATE.FAT&amp;display_string=Audit&amp;VAR:KEY=BGJMFANSPI&amp;VAR:QUERY=RkZfRUJJVERBX0lCKCdMVE1TJywzOTM3MCk=&amp;WINDOW=FIRST_POPUP&amp;HEIGHT=450&amp;WIDTH=450&amp;START_MA","XIMIZED=FALSE&amp;VAR:CALENDAR=US&amp;VAR:SYMBOL=N0098510&amp;VAR:INDEX=0"}</definedName>
    <definedName name="_6344__FDSAUDITLINK__" localSheetId="6" hidden="1">{"fdsup://directions/FAT Viewer?action=UPDATE&amp;creator=factset&amp;DYN_ARGS=TRUE&amp;DOC_NAME=FAT:FQL_AUDITING_CLIENT_TEMPLATE.FAT&amp;display_string=Audit&amp;VAR:KEY=HWLWVWJKNK&amp;VAR:QUERY=RkZfRUJJVERBX0lCKCdMVE1TJywzOTM2OSk=&amp;WINDOW=FIRST_POPUP&amp;HEIGHT=450&amp;WIDTH=450&amp;START_MA","XIMIZED=FALSE&amp;VAR:CALENDAR=US&amp;VAR:SYMBOL=N0098510&amp;VAR:INDEX=0"}</definedName>
    <definedName name="_6344__FDSAUDITLINK__" hidden="1">{"fdsup://directions/FAT Viewer?action=UPDATE&amp;creator=factset&amp;DYN_ARGS=TRUE&amp;DOC_NAME=FAT:FQL_AUDITING_CLIENT_TEMPLATE.FAT&amp;display_string=Audit&amp;VAR:KEY=HWLWVWJKNK&amp;VAR:QUERY=RkZfRUJJVERBX0lCKCdMVE1TJywzOTM2OSk=&amp;WINDOW=FIRST_POPUP&amp;HEIGHT=450&amp;WIDTH=450&amp;START_MA","XIMIZED=FALSE&amp;VAR:CALENDAR=US&amp;VAR:SYMBOL=N0098510&amp;VAR:INDEX=0"}</definedName>
    <definedName name="_6345__FDSAUDITLINK__" localSheetId="6" hidden="1">{"fdsup://directions/FAT Viewer?action=UPDATE&amp;creator=factset&amp;DYN_ARGS=TRUE&amp;DOC_NAME=FAT:FQL_AUDITING_CLIENT_TEMPLATE.FAT&amp;display_string=Audit&amp;VAR:KEY=HEJERSNUDA&amp;VAR:QUERY=RkZfRUJJVERBX0lCKCdMVE1TJywzOTM2OCk=&amp;WINDOW=FIRST_POPUP&amp;HEIGHT=450&amp;WIDTH=450&amp;START_MA","XIMIZED=FALSE&amp;VAR:CALENDAR=US&amp;VAR:SYMBOL=N0098510&amp;VAR:INDEX=0"}</definedName>
    <definedName name="_6345__FDSAUDITLINK__" hidden="1">{"fdsup://directions/FAT Viewer?action=UPDATE&amp;creator=factset&amp;DYN_ARGS=TRUE&amp;DOC_NAME=FAT:FQL_AUDITING_CLIENT_TEMPLATE.FAT&amp;display_string=Audit&amp;VAR:KEY=HEJERSNUDA&amp;VAR:QUERY=RkZfRUJJVERBX0lCKCdMVE1TJywzOTM2OCk=&amp;WINDOW=FIRST_POPUP&amp;HEIGHT=450&amp;WIDTH=450&amp;START_MA","XIMIZED=FALSE&amp;VAR:CALENDAR=US&amp;VAR:SYMBOL=N0098510&amp;VAR:INDEX=0"}</definedName>
    <definedName name="_6346__FDSAUDITLINK__" localSheetId="6" hidden="1">{"fdsup://directions/FAT Viewer?action=UPDATE&amp;creator=factset&amp;DYN_ARGS=TRUE&amp;DOC_NAME=FAT:FQL_AUDITING_CLIENT_TEMPLATE.FAT&amp;display_string=Audit&amp;VAR:KEY=ROVEPMDYFW&amp;VAR:QUERY=RkZfRUJJVERBX0lCKCdMVE1TJywzOTM2Nyk=&amp;WINDOW=FIRST_POPUP&amp;HEIGHT=450&amp;WIDTH=450&amp;START_MA","XIMIZED=FALSE&amp;VAR:CALENDAR=US&amp;VAR:SYMBOL=N0098510&amp;VAR:INDEX=0"}</definedName>
    <definedName name="_6346__FDSAUDITLINK__" hidden="1">{"fdsup://directions/FAT Viewer?action=UPDATE&amp;creator=factset&amp;DYN_ARGS=TRUE&amp;DOC_NAME=FAT:FQL_AUDITING_CLIENT_TEMPLATE.FAT&amp;display_string=Audit&amp;VAR:KEY=ROVEPMDYFW&amp;VAR:QUERY=RkZfRUJJVERBX0lCKCdMVE1TJywzOTM2Nyk=&amp;WINDOW=FIRST_POPUP&amp;HEIGHT=450&amp;WIDTH=450&amp;START_MA","XIMIZED=FALSE&amp;VAR:CALENDAR=US&amp;VAR:SYMBOL=N0098510&amp;VAR:INDEX=0"}</definedName>
    <definedName name="_6347__FDSAUDITLINK__" localSheetId="6" hidden="1">{"fdsup://directions/FAT Viewer?action=UPDATE&amp;creator=factset&amp;DYN_ARGS=TRUE&amp;DOC_NAME=FAT:FQL_AUDITING_CLIENT_TEMPLATE.FAT&amp;display_string=Audit&amp;VAR:KEY=NYXSTWXEJY&amp;VAR:QUERY=RkZfRUJJVERBX0lCKCdMVE1TJywzOTM2Nik=&amp;WINDOW=FIRST_POPUP&amp;HEIGHT=450&amp;WIDTH=450&amp;START_MA","XIMIZED=FALSE&amp;VAR:CALENDAR=US&amp;VAR:SYMBOL=N0098510&amp;VAR:INDEX=0"}</definedName>
    <definedName name="_6347__FDSAUDITLINK__" hidden="1">{"fdsup://directions/FAT Viewer?action=UPDATE&amp;creator=factset&amp;DYN_ARGS=TRUE&amp;DOC_NAME=FAT:FQL_AUDITING_CLIENT_TEMPLATE.FAT&amp;display_string=Audit&amp;VAR:KEY=NYXSTWXEJY&amp;VAR:QUERY=RkZfRUJJVERBX0lCKCdMVE1TJywzOTM2Nik=&amp;WINDOW=FIRST_POPUP&amp;HEIGHT=450&amp;WIDTH=450&amp;START_MA","XIMIZED=FALSE&amp;VAR:CALENDAR=US&amp;VAR:SYMBOL=N0098510&amp;VAR:INDEX=0"}</definedName>
    <definedName name="_6348__FDSAUDITLINK__" localSheetId="6" hidden="1">{"fdsup://directions/FAT Viewer?action=UPDATE&amp;creator=factset&amp;DYN_ARGS=TRUE&amp;DOC_NAME=FAT:FQL_AUDITING_CLIENT_TEMPLATE.FAT&amp;display_string=Audit&amp;VAR:KEY=HMBMFAZKLW&amp;VAR:QUERY=RkZfRUJJVERBX0lCKCdMVE1TJywzOTM2NSk=&amp;WINDOW=FIRST_POPUP&amp;HEIGHT=450&amp;WIDTH=450&amp;START_MA","XIMIZED=FALSE&amp;VAR:CALENDAR=US&amp;VAR:SYMBOL=N0098510&amp;VAR:INDEX=0"}</definedName>
    <definedName name="_6348__FDSAUDITLINK__" hidden="1">{"fdsup://directions/FAT Viewer?action=UPDATE&amp;creator=factset&amp;DYN_ARGS=TRUE&amp;DOC_NAME=FAT:FQL_AUDITING_CLIENT_TEMPLATE.FAT&amp;display_string=Audit&amp;VAR:KEY=HMBMFAZKLW&amp;VAR:QUERY=RkZfRUJJVERBX0lCKCdMVE1TJywzOTM2NSk=&amp;WINDOW=FIRST_POPUP&amp;HEIGHT=450&amp;WIDTH=450&amp;START_MA","XIMIZED=FALSE&amp;VAR:CALENDAR=US&amp;VAR:SYMBOL=N0098510&amp;VAR:INDEX=0"}</definedName>
    <definedName name="_6349__FDSAUDITLINK__" localSheetId="6" hidden="1">{"fdsup://directions/FAT Viewer?action=UPDATE&amp;creator=factset&amp;DYN_ARGS=TRUE&amp;DOC_NAME=FAT:FQL_AUDITING_CLIENT_TEMPLATE.FAT&amp;display_string=Audit&amp;VAR:KEY=XCZONMZOTE&amp;VAR:QUERY=RkZfRUJJVERBX0lCKCdMVE1TJywzOTM2NCk=&amp;WINDOW=FIRST_POPUP&amp;HEIGHT=450&amp;WIDTH=450&amp;START_MA","XIMIZED=FALSE&amp;VAR:CALENDAR=US&amp;VAR:SYMBOL=N0098510&amp;VAR:INDEX=0"}</definedName>
    <definedName name="_6349__FDSAUDITLINK__" hidden="1">{"fdsup://directions/FAT Viewer?action=UPDATE&amp;creator=factset&amp;DYN_ARGS=TRUE&amp;DOC_NAME=FAT:FQL_AUDITING_CLIENT_TEMPLATE.FAT&amp;display_string=Audit&amp;VAR:KEY=XCZONMZOTE&amp;VAR:QUERY=RkZfRUJJVERBX0lCKCdMVE1TJywzOTM2NCk=&amp;WINDOW=FIRST_POPUP&amp;HEIGHT=450&amp;WIDTH=450&amp;START_MA","XIMIZED=FALSE&amp;VAR:CALENDAR=US&amp;VAR:SYMBOL=N0098510&amp;VAR:INDEX=0"}</definedName>
    <definedName name="_635__FDSAUDITLINK__" localSheetId="6" hidden="1">{"fdsup://directions/FAT%20Viewer?VAR:PED=LTM&amp;VAR:AUDIT_MODE=SUMMARY&amp;VAR:PERIOD=FIXED&amp;VAR:AUDIT_ID=00000117&amp;VAR:DATE=20080527&amp;action=UPDATE&amp;creator=factset&amp;DOC_NAME=FAT:FMA_audit_SUMMARY.fat&amp;DISPLAY_STRING=Display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5__FDSAUDITLINK__" hidden="1">{"fdsup://directions/FAT%20Viewer?VAR:PED=LTM&amp;VAR:AUDIT_MODE=SUMMARY&amp;VAR:PERIOD=FIXED&amp;VAR:AUDIT_ID=00000117&amp;VAR:DATE=20080527&amp;action=UPDATE&amp;creator=factset&amp;DOC_NAME=FAT:FMA_audit_SUMMARY.fat&amp;DISPLAY_STRING=Display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50__FDSAUDITLINK__" localSheetId="6" hidden="1">{"fdsup://directions/FAT Viewer?action=UPDATE&amp;creator=factset&amp;DYN_ARGS=TRUE&amp;DOC_NAME=FAT:FQL_AUDITING_CLIENT_TEMPLATE.FAT&amp;display_string=Audit&amp;VAR:KEY=PIHMFUTCRC&amp;VAR:QUERY=RkZfRUJJVERBX0lCKCdMVE1TJywzOTM2Myk=&amp;WINDOW=FIRST_POPUP&amp;HEIGHT=450&amp;WIDTH=450&amp;START_MA","XIMIZED=FALSE&amp;VAR:CALENDAR=US&amp;VAR:SYMBOL=N0098510&amp;VAR:INDEX=0"}</definedName>
    <definedName name="_6350__FDSAUDITLINK__" hidden="1">{"fdsup://directions/FAT Viewer?action=UPDATE&amp;creator=factset&amp;DYN_ARGS=TRUE&amp;DOC_NAME=FAT:FQL_AUDITING_CLIENT_TEMPLATE.FAT&amp;display_string=Audit&amp;VAR:KEY=PIHMFUTCRC&amp;VAR:QUERY=RkZfRUJJVERBX0lCKCdMVE1TJywzOTM2Myk=&amp;WINDOW=FIRST_POPUP&amp;HEIGHT=450&amp;WIDTH=450&amp;START_MA","XIMIZED=FALSE&amp;VAR:CALENDAR=US&amp;VAR:SYMBOL=N0098510&amp;VAR:INDEX=0"}</definedName>
    <definedName name="_6351__FDSAUDITLINK__" localSheetId="6" hidden="1">{"fdsup://directions/FAT Viewer?action=UPDATE&amp;creator=factset&amp;DYN_ARGS=TRUE&amp;DOC_NAME=FAT:FQL_AUDITING_CLIENT_TEMPLATE.FAT&amp;display_string=Audit&amp;VAR:KEY=TCTIDWHGJU&amp;VAR:QUERY=RkZfRUJJVERBX0lCKCdMVE1TJywzOTM2Mik=&amp;WINDOW=FIRST_POPUP&amp;HEIGHT=450&amp;WIDTH=450&amp;START_MA","XIMIZED=FALSE&amp;VAR:CALENDAR=US&amp;VAR:SYMBOL=N0098510&amp;VAR:INDEX=0"}</definedName>
    <definedName name="_6351__FDSAUDITLINK__" hidden="1">{"fdsup://directions/FAT Viewer?action=UPDATE&amp;creator=factset&amp;DYN_ARGS=TRUE&amp;DOC_NAME=FAT:FQL_AUDITING_CLIENT_TEMPLATE.FAT&amp;display_string=Audit&amp;VAR:KEY=TCTIDWHGJU&amp;VAR:QUERY=RkZfRUJJVERBX0lCKCdMVE1TJywzOTM2Mik=&amp;WINDOW=FIRST_POPUP&amp;HEIGHT=450&amp;WIDTH=450&amp;START_MA","XIMIZED=FALSE&amp;VAR:CALENDAR=US&amp;VAR:SYMBOL=N0098510&amp;VAR:INDEX=0"}</definedName>
    <definedName name="_6352__FDSAUDITLINK__" localSheetId="6" hidden="1">{"fdsup://directions/FAT Viewer?action=UPDATE&amp;creator=factset&amp;DYN_ARGS=TRUE&amp;DOC_NAME=FAT:FQL_AUDITING_CLIENT_TEMPLATE.FAT&amp;display_string=Audit&amp;VAR:KEY=ZAXQRONEHK&amp;VAR:QUERY=RkZfRUJJVERBX0lCKCdMVE1TJywzOTM2MSk=&amp;WINDOW=FIRST_POPUP&amp;HEIGHT=450&amp;WIDTH=450&amp;START_MA","XIMIZED=FALSE&amp;VAR:CALENDAR=US&amp;VAR:SYMBOL=N0098510&amp;VAR:INDEX=0"}</definedName>
    <definedName name="_6352__FDSAUDITLINK__" hidden="1">{"fdsup://directions/FAT Viewer?action=UPDATE&amp;creator=factset&amp;DYN_ARGS=TRUE&amp;DOC_NAME=FAT:FQL_AUDITING_CLIENT_TEMPLATE.FAT&amp;display_string=Audit&amp;VAR:KEY=ZAXQRONEHK&amp;VAR:QUERY=RkZfRUJJVERBX0lCKCdMVE1TJywzOTM2MSk=&amp;WINDOW=FIRST_POPUP&amp;HEIGHT=450&amp;WIDTH=450&amp;START_MA","XIMIZED=FALSE&amp;VAR:CALENDAR=US&amp;VAR:SYMBOL=N0098510&amp;VAR:INDEX=0"}</definedName>
    <definedName name="_6353__FDSAUDITLINK__" localSheetId="6" hidden="1">{"fdsup://directions/FAT Viewer?action=UPDATE&amp;creator=factset&amp;DYN_ARGS=TRUE&amp;DOC_NAME=FAT:FQL_AUDITING_CLIENT_TEMPLATE.FAT&amp;display_string=Audit&amp;VAR:KEY=JIXCJAVYNO&amp;VAR:QUERY=RkZfRUJJVERBX0lCKCdMVE1TJywzOTM2MCk=&amp;WINDOW=FIRST_POPUP&amp;HEIGHT=450&amp;WIDTH=450&amp;START_MA","XIMIZED=FALSE&amp;VAR:CALENDAR=US&amp;VAR:SYMBOL=N0098510&amp;VAR:INDEX=0"}</definedName>
    <definedName name="_6353__FDSAUDITLINK__" hidden="1">{"fdsup://directions/FAT Viewer?action=UPDATE&amp;creator=factset&amp;DYN_ARGS=TRUE&amp;DOC_NAME=FAT:FQL_AUDITING_CLIENT_TEMPLATE.FAT&amp;display_string=Audit&amp;VAR:KEY=JIXCJAVYNO&amp;VAR:QUERY=RkZfRUJJVERBX0lCKCdMVE1TJywzOTM2MCk=&amp;WINDOW=FIRST_POPUP&amp;HEIGHT=450&amp;WIDTH=450&amp;START_MA","XIMIZED=FALSE&amp;VAR:CALENDAR=US&amp;VAR:SYMBOL=N0098510&amp;VAR:INDEX=0"}</definedName>
    <definedName name="_6354__FDSAUDITLINK__" localSheetId="6" hidden="1">{"fdsup://directions/FAT Viewer?action=UPDATE&amp;creator=factset&amp;DYN_ARGS=TRUE&amp;DOC_NAME=FAT:FQL_AUDITING_CLIENT_TEMPLATE.FAT&amp;display_string=Audit&amp;VAR:KEY=NIJKZGDOZE&amp;VAR:QUERY=RkZfRUJJVERBX0lCKCdMVE1TJywzOTM1OSk=&amp;WINDOW=FIRST_POPUP&amp;HEIGHT=450&amp;WIDTH=450&amp;START_MA","XIMIZED=FALSE&amp;VAR:CALENDAR=US&amp;VAR:SYMBOL=N0098510&amp;VAR:INDEX=0"}</definedName>
    <definedName name="_6354__FDSAUDITLINK__" hidden="1">{"fdsup://directions/FAT Viewer?action=UPDATE&amp;creator=factset&amp;DYN_ARGS=TRUE&amp;DOC_NAME=FAT:FQL_AUDITING_CLIENT_TEMPLATE.FAT&amp;display_string=Audit&amp;VAR:KEY=NIJKZGDOZE&amp;VAR:QUERY=RkZfRUJJVERBX0lCKCdMVE1TJywzOTM1OSk=&amp;WINDOW=FIRST_POPUP&amp;HEIGHT=450&amp;WIDTH=450&amp;START_MA","XIMIZED=FALSE&amp;VAR:CALENDAR=US&amp;VAR:SYMBOL=N0098510&amp;VAR:INDEX=0"}</definedName>
    <definedName name="_6355__FDSAUDITLINK__" localSheetId="6" hidden="1">{"fdsup://directions/FAT Viewer?action=UPDATE&amp;creator=factset&amp;DYN_ARGS=TRUE&amp;DOC_NAME=FAT:FQL_AUDITING_CLIENT_TEMPLATE.FAT&amp;display_string=Audit&amp;VAR:KEY=HQZGRUTMZU&amp;VAR:QUERY=RkZfRUJJVERBX0lCKCdMVE1TJywzOTM1OCk=&amp;WINDOW=FIRST_POPUP&amp;HEIGHT=450&amp;WIDTH=450&amp;START_MA","XIMIZED=FALSE&amp;VAR:CALENDAR=US&amp;VAR:SYMBOL=N0098510&amp;VAR:INDEX=0"}</definedName>
    <definedName name="_6355__FDSAUDITLINK__" hidden="1">{"fdsup://directions/FAT Viewer?action=UPDATE&amp;creator=factset&amp;DYN_ARGS=TRUE&amp;DOC_NAME=FAT:FQL_AUDITING_CLIENT_TEMPLATE.FAT&amp;display_string=Audit&amp;VAR:KEY=HQZGRUTMZU&amp;VAR:QUERY=RkZfRUJJVERBX0lCKCdMVE1TJywzOTM1OCk=&amp;WINDOW=FIRST_POPUP&amp;HEIGHT=450&amp;WIDTH=450&amp;START_MA","XIMIZED=FALSE&amp;VAR:CALENDAR=US&amp;VAR:SYMBOL=N0098510&amp;VAR:INDEX=0"}</definedName>
    <definedName name="_6356__FDSAUDITLINK__" localSheetId="6" hidden="1">{"fdsup://directions/FAT Viewer?action=UPDATE&amp;creator=factset&amp;DYN_ARGS=TRUE&amp;DOC_NAME=FAT:FQL_AUDITING_CLIENT_TEMPLATE.FAT&amp;display_string=Audit&amp;VAR:KEY=DSVKPQVATS&amp;VAR:QUERY=RkZfRUJJVERBX0lCKCdMVE1TJywzOTM1Nyk=&amp;WINDOW=FIRST_POPUP&amp;HEIGHT=450&amp;WIDTH=450&amp;START_MA","XIMIZED=FALSE&amp;VAR:CALENDAR=US&amp;VAR:SYMBOL=N0098510&amp;VAR:INDEX=0"}</definedName>
    <definedName name="_6356__FDSAUDITLINK__" hidden="1">{"fdsup://directions/FAT Viewer?action=UPDATE&amp;creator=factset&amp;DYN_ARGS=TRUE&amp;DOC_NAME=FAT:FQL_AUDITING_CLIENT_TEMPLATE.FAT&amp;display_string=Audit&amp;VAR:KEY=DSVKPQVATS&amp;VAR:QUERY=RkZfRUJJVERBX0lCKCdMVE1TJywzOTM1Nyk=&amp;WINDOW=FIRST_POPUP&amp;HEIGHT=450&amp;WIDTH=450&amp;START_MA","XIMIZED=FALSE&amp;VAR:CALENDAR=US&amp;VAR:SYMBOL=N0098510&amp;VAR:INDEX=0"}</definedName>
    <definedName name="_6357__FDSAUDITLINK__" localSheetId="6" hidden="1">{"fdsup://directions/FAT Viewer?action=UPDATE&amp;creator=factset&amp;DYN_ARGS=TRUE&amp;DOC_NAME=FAT:FQL_AUDITING_CLIENT_TEMPLATE.FAT&amp;display_string=Audit&amp;VAR:KEY=VAZABAPEZQ&amp;VAR:QUERY=RkZfRUJJVERBX0lCKCdMVE1TJywzOTM1Nik=&amp;WINDOW=FIRST_POPUP&amp;HEIGHT=450&amp;WIDTH=450&amp;START_MA","XIMIZED=FALSE&amp;VAR:CALENDAR=US&amp;VAR:SYMBOL=N0098510&amp;VAR:INDEX=0"}</definedName>
    <definedName name="_6357__FDSAUDITLINK__" hidden="1">{"fdsup://directions/FAT Viewer?action=UPDATE&amp;creator=factset&amp;DYN_ARGS=TRUE&amp;DOC_NAME=FAT:FQL_AUDITING_CLIENT_TEMPLATE.FAT&amp;display_string=Audit&amp;VAR:KEY=VAZABAPEZQ&amp;VAR:QUERY=RkZfRUJJVERBX0lCKCdMVE1TJywzOTM1Nik=&amp;WINDOW=FIRST_POPUP&amp;HEIGHT=450&amp;WIDTH=450&amp;START_MA","XIMIZED=FALSE&amp;VAR:CALENDAR=US&amp;VAR:SYMBOL=N0098510&amp;VAR:INDEX=0"}</definedName>
    <definedName name="_6358__FDSAUDITLINK__" localSheetId="6" hidden="1">{"fdsup://directions/FAT Viewer?action=UPDATE&amp;creator=factset&amp;DYN_ARGS=TRUE&amp;DOC_NAME=FAT:FQL_AUDITING_CLIENT_TEMPLATE.FAT&amp;display_string=Audit&amp;VAR:KEY=TETWFGDGTE&amp;VAR:QUERY=RkZfRUJJVERBX0lCKCdMVE1TJywzOTM1NSk=&amp;WINDOW=FIRST_POPUP&amp;HEIGHT=450&amp;WIDTH=450&amp;START_MA","XIMIZED=FALSE&amp;VAR:CALENDAR=US&amp;VAR:SYMBOL=N0098510&amp;VAR:INDEX=0"}</definedName>
    <definedName name="_6358__FDSAUDITLINK__" hidden="1">{"fdsup://directions/FAT Viewer?action=UPDATE&amp;creator=factset&amp;DYN_ARGS=TRUE&amp;DOC_NAME=FAT:FQL_AUDITING_CLIENT_TEMPLATE.FAT&amp;display_string=Audit&amp;VAR:KEY=TETWFGDGTE&amp;VAR:QUERY=RkZfRUJJVERBX0lCKCdMVE1TJywzOTM1NSk=&amp;WINDOW=FIRST_POPUP&amp;HEIGHT=450&amp;WIDTH=450&amp;START_MA","XIMIZED=FALSE&amp;VAR:CALENDAR=US&amp;VAR:SYMBOL=N0098510&amp;VAR:INDEX=0"}</definedName>
    <definedName name="_6359__FDSAUDITLINK__" localSheetId="6" hidden="1">{"fdsup://directions/FAT Viewer?action=UPDATE&amp;creator=factset&amp;DYN_ARGS=TRUE&amp;DOC_NAME=FAT:FQL_AUDITING_CLIENT_TEMPLATE.FAT&amp;display_string=Audit&amp;VAR:KEY=DUZGVGVYBC&amp;VAR:QUERY=RkZfRUJJVERBX0lCKCdMVE1TJywzOTM1NCk=&amp;WINDOW=FIRST_POPUP&amp;HEIGHT=450&amp;WIDTH=450&amp;START_MA","XIMIZED=FALSE&amp;VAR:CALENDAR=US&amp;VAR:SYMBOL=N0098510&amp;VAR:INDEX=0"}</definedName>
    <definedName name="_6359__FDSAUDITLINK__" hidden="1">{"fdsup://directions/FAT Viewer?action=UPDATE&amp;creator=factset&amp;DYN_ARGS=TRUE&amp;DOC_NAME=FAT:FQL_AUDITING_CLIENT_TEMPLATE.FAT&amp;display_string=Audit&amp;VAR:KEY=DUZGVGVYBC&amp;VAR:QUERY=RkZfRUJJVERBX0lCKCdMVE1TJywzOTM1NCk=&amp;WINDOW=FIRST_POPUP&amp;HEIGHT=450&amp;WIDTH=450&amp;START_MA","XIMIZED=FALSE&amp;VAR:CALENDAR=US&amp;VAR:SYMBOL=N0098510&amp;VAR:INDEX=0"}</definedName>
    <definedName name="_636__FDSAUDITLINK__" localSheetId="6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6__FDSAUDITLINK__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60__FDSAUDITLINK__" localSheetId="6" hidden="1">{"fdsup://directions/FAT Viewer?action=UPDATE&amp;creator=factset&amp;DYN_ARGS=TRUE&amp;DOC_NAME=FAT:FQL_AUDITING_CLIENT_TEMPLATE.FAT&amp;display_string=Audit&amp;VAR:KEY=HEVWPYZCHE&amp;VAR:QUERY=RkZfRUJJVERBX0lCKCdMVE1TJywzOTM1Myk=&amp;WINDOW=FIRST_POPUP&amp;HEIGHT=450&amp;WIDTH=450&amp;START_MA","XIMIZED=FALSE&amp;VAR:CALENDAR=US&amp;VAR:SYMBOL=N0098510&amp;VAR:INDEX=0"}</definedName>
    <definedName name="_6360__FDSAUDITLINK__" hidden="1">{"fdsup://directions/FAT Viewer?action=UPDATE&amp;creator=factset&amp;DYN_ARGS=TRUE&amp;DOC_NAME=FAT:FQL_AUDITING_CLIENT_TEMPLATE.FAT&amp;display_string=Audit&amp;VAR:KEY=HEVWPYZCHE&amp;VAR:QUERY=RkZfRUJJVERBX0lCKCdMVE1TJywzOTM1Myk=&amp;WINDOW=FIRST_POPUP&amp;HEIGHT=450&amp;WIDTH=450&amp;START_MA","XIMIZED=FALSE&amp;VAR:CALENDAR=US&amp;VAR:SYMBOL=N0098510&amp;VAR:INDEX=0"}</definedName>
    <definedName name="_6361__FDSAUDITLINK__" localSheetId="6" hidden="1">{"fdsup://directions/FAT Viewer?action=UPDATE&amp;creator=factset&amp;DYN_ARGS=TRUE&amp;DOC_NAME=FAT:FQL_AUDITING_CLIENT_TEMPLATE.FAT&amp;display_string=Audit&amp;VAR:KEY=NWBYXSJELK&amp;VAR:QUERY=RkZfRUJJVERBX0lCKCdMVE1TJywzOTM1Mik=&amp;WINDOW=FIRST_POPUP&amp;HEIGHT=450&amp;WIDTH=450&amp;START_MA","XIMIZED=FALSE&amp;VAR:CALENDAR=US&amp;VAR:SYMBOL=N0098510&amp;VAR:INDEX=0"}</definedName>
    <definedName name="_6361__FDSAUDITLINK__" hidden="1">{"fdsup://directions/FAT Viewer?action=UPDATE&amp;creator=factset&amp;DYN_ARGS=TRUE&amp;DOC_NAME=FAT:FQL_AUDITING_CLIENT_TEMPLATE.FAT&amp;display_string=Audit&amp;VAR:KEY=NWBYXSJELK&amp;VAR:QUERY=RkZfRUJJVERBX0lCKCdMVE1TJywzOTM1Mik=&amp;WINDOW=FIRST_POPUP&amp;HEIGHT=450&amp;WIDTH=450&amp;START_MA","XIMIZED=FALSE&amp;VAR:CALENDAR=US&amp;VAR:SYMBOL=N0098510&amp;VAR:INDEX=0"}</definedName>
    <definedName name="_6362__FDSAUDITLINK__" localSheetId="6" hidden="1">{"fdsup://directions/FAT Viewer?action=UPDATE&amp;creator=factset&amp;DYN_ARGS=TRUE&amp;DOC_NAME=FAT:FQL_AUDITING_CLIENT_TEMPLATE.FAT&amp;display_string=Audit&amp;VAR:KEY=TYNYDWLSPA&amp;VAR:QUERY=RkZfRUJJVERBX0lCKCdMVE1TJywzOTM1MSk=&amp;WINDOW=FIRST_POPUP&amp;HEIGHT=450&amp;WIDTH=450&amp;START_MA","XIMIZED=FALSE&amp;VAR:CALENDAR=US&amp;VAR:SYMBOL=N0098510&amp;VAR:INDEX=0"}</definedName>
    <definedName name="_6362__FDSAUDITLINK__" hidden="1">{"fdsup://directions/FAT Viewer?action=UPDATE&amp;creator=factset&amp;DYN_ARGS=TRUE&amp;DOC_NAME=FAT:FQL_AUDITING_CLIENT_TEMPLATE.FAT&amp;display_string=Audit&amp;VAR:KEY=TYNYDWLSPA&amp;VAR:QUERY=RkZfRUJJVERBX0lCKCdMVE1TJywzOTM1MSk=&amp;WINDOW=FIRST_POPUP&amp;HEIGHT=450&amp;WIDTH=450&amp;START_MA","XIMIZED=FALSE&amp;VAR:CALENDAR=US&amp;VAR:SYMBOL=N0098510&amp;VAR:INDEX=0"}</definedName>
    <definedName name="_6363__FDSAUDITLINK__" localSheetId="6" hidden="1">{"fdsup://directions/FAT Viewer?action=UPDATE&amp;creator=factset&amp;DYN_ARGS=TRUE&amp;DOC_NAME=FAT:FQL_AUDITING_CLIENT_TEMPLATE.FAT&amp;display_string=Audit&amp;VAR:KEY=XMFYLERYZI&amp;VAR:QUERY=RkZfRUJJVERBX0lCKCdMVE1TJywzOTM1MCk=&amp;WINDOW=FIRST_POPUP&amp;HEIGHT=450&amp;WIDTH=450&amp;START_MA","XIMIZED=FALSE&amp;VAR:CALENDAR=US&amp;VAR:SYMBOL=N0098510&amp;VAR:INDEX=0"}</definedName>
    <definedName name="_6363__FDSAUDITLINK__" hidden="1">{"fdsup://directions/FAT Viewer?action=UPDATE&amp;creator=factset&amp;DYN_ARGS=TRUE&amp;DOC_NAME=FAT:FQL_AUDITING_CLIENT_TEMPLATE.FAT&amp;display_string=Audit&amp;VAR:KEY=XMFYLERYZI&amp;VAR:QUERY=RkZfRUJJVERBX0lCKCdMVE1TJywzOTM1MCk=&amp;WINDOW=FIRST_POPUP&amp;HEIGHT=450&amp;WIDTH=450&amp;START_MA","XIMIZED=FALSE&amp;VAR:CALENDAR=US&amp;VAR:SYMBOL=N0098510&amp;VAR:INDEX=0"}</definedName>
    <definedName name="_6364__FDSAUDITLINK__" localSheetId="6" hidden="1">{"fdsup://directions/FAT Viewer?action=UPDATE&amp;creator=factset&amp;DYN_ARGS=TRUE&amp;DOC_NAME=FAT:FQL_AUDITING_CLIENT_TEMPLATE.FAT&amp;display_string=Audit&amp;VAR:KEY=FYNGHSPCRU&amp;VAR:QUERY=RkZfRUJJVERBX0lCKCdMVE1TJywzOTM0OSk=&amp;WINDOW=FIRST_POPUP&amp;HEIGHT=450&amp;WIDTH=450&amp;START_MA","XIMIZED=FALSE&amp;VAR:CALENDAR=US&amp;VAR:SYMBOL=N0098510&amp;VAR:INDEX=0"}</definedName>
    <definedName name="_6364__FDSAUDITLINK__" hidden="1">{"fdsup://directions/FAT Viewer?action=UPDATE&amp;creator=factset&amp;DYN_ARGS=TRUE&amp;DOC_NAME=FAT:FQL_AUDITING_CLIENT_TEMPLATE.FAT&amp;display_string=Audit&amp;VAR:KEY=FYNGHSPCRU&amp;VAR:QUERY=RkZfRUJJVERBX0lCKCdMVE1TJywzOTM0OSk=&amp;WINDOW=FIRST_POPUP&amp;HEIGHT=450&amp;WIDTH=450&amp;START_MA","XIMIZED=FALSE&amp;VAR:CALENDAR=US&amp;VAR:SYMBOL=N0098510&amp;VAR:INDEX=0"}</definedName>
    <definedName name="_6365__FDSAUDITLINK__" localSheetId="6" hidden="1">{"fdsup://directions/FAT Viewer?action=UPDATE&amp;creator=factset&amp;DYN_ARGS=TRUE&amp;DOC_NAME=FAT:FQL_AUDITING_CLIENT_TEMPLATE.FAT&amp;display_string=Audit&amp;VAR:KEY=JEPKDKRMTA&amp;VAR:QUERY=RkZfRUJJVERBX0lCKCdMVE1TJywzOTM0OCk=&amp;WINDOW=FIRST_POPUP&amp;HEIGHT=450&amp;WIDTH=450&amp;START_MA","XIMIZED=FALSE&amp;VAR:CALENDAR=US&amp;VAR:SYMBOL=N0098510&amp;VAR:INDEX=0"}</definedName>
    <definedName name="_6365__FDSAUDITLINK__" hidden="1">{"fdsup://directions/FAT Viewer?action=UPDATE&amp;creator=factset&amp;DYN_ARGS=TRUE&amp;DOC_NAME=FAT:FQL_AUDITING_CLIENT_TEMPLATE.FAT&amp;display_string=Audit&amp;VAR:KEY=JEPKDKRMTA&amp;VAR:QUERY=RkZfRUJJVERBX0lCKCdMVE1TJywzOTM0OCk=&amp;WINDOW=FIRST_POPUP&amp;HEIGHT=450&amp;WIDTH=450&amp;START_MA","XIMIZED=FALSE&amp;VAR:CALENDAR=US&amp;VAR:SYMBOL=N0098510&amp;VAR:INDEX=0"}</definedName>
    <definedName name="_6366__FDSAUDITLINK__" localSheetId="6" hidden="1">{"fdsup://directions/FAT Viewer?action=UPDATE&amp;creator=factset&amp;DYN_ARGS=TRUE&amp;DOC_NAME=FAT:FQL_AUDITING_CLIENT_TEMPLATE.FAT&amp;display_string=Audit&amp;VAR:KEY=XULAXKFSPA&amp;VAR:QUERY=RkZfRUJJVERBX0lCKCdMVE1TJywzOTM0Nyk=&amp;WINDOW=FIRST_POPUP&amp;HEIGHT=450&amp;WIDTH=450&amp;START_MA","XIMIZED=FALSE&amp;VAR:CALENDAR=US&amp;VAR:SYMBOL=N0098510&amp;VAR:INDEX=0"}</definedName>
    <definedName name="_6366__FDSAUDITLINK__" hidden="1">{"fdsup://directions/FAT Viewer?action=UPDATE&amp;creator=factset&amp;DYN_ARGS=TRUE&amp;DOC_NAME=FAT:FQL_AUDITING_CLIENT_TEMPLATE.FAT&amp;display_string=Audit&amp;VAR:KEY=XULAXKFSPA&amp;VAR:QUERY=RkZfRUJJVERBX0lCKCdMVE1TJywzOTM0Nyk=&amp;WINDOW=FIRST_POPUP&amp;HEIGHT=450&amp;WIDTH=450&amp;START_MA","XIMIZED=FALSE&amp;VAR:CALENDAR=US&amp;VAR:SYMBOL=N0098510&amp;VAR:INDEX=0"}</definedName>
    <definedName name="_6367__FDSAUDITLINK__" localSheetId="6" hidden="1">{"fdsup://directions/FAT Viewer?action=UPDATE&amp;creator=factset&amp;DYN_ARGS=TRUE&amp;DOC_NAME=FAT:FQL_AUDITING_CLIENT_TEMPLATE.FAT&amp;display_string=Audit&amp;VAR:KEY=JUTWNWNIDA&amp;VAR:QUERY=RkZfRUJJVERBX0lCKCdMVE1TJywzOTM0Nik=&amp;WINDOW=FIRST_POPUP&amp;HEIGHT=450&amp;WIDTH=450&amp;START_MA","XIMIZED=FALSE&amp;VAR:CALENDAR=US&amp;VAR:SYMBOL=N0098510&amp;VAR:INDEX=0"}</definedName>
    <definedName name="_6367__FDSAUDITLINK__" hidden="1">{"fdsup://directions/FAT Viewer?action=UPDATE&amp;creator=factset&amp;DYN_ARGS=TRUE&amp;DOC_NAME=FAT:FQL_AUDITING_CLIENT_TEMPLATE.FAT&amp;display_string=Audit&amp;VAR:KEY=JUTWNWNIDA&amp;VAR:QUERY=RkZfRUJJVERBX0lCKCdMVE1TJywzOTM0Nik=&amp;WINDOW=FIRST_POPUP&amp;HEIGHT=450&amp;WIDTH=450&amp;START_MA","XIMIZED=FALSE&amp;VAR:CALENDAR=US&amp;VAR:SYMBOL=N0098510&amp;VAR:INDEX=0"}</definedName>
    <definedName name="_6368__FDSAUDITLINK__" localSheetId="6" hidden="1">{"fdsup://directions/FAT Viewer?action=UPDATE&amp;creator=factset&amp;DYN_ARGS=TRUE&amp;DOC_NAME=FAT:FQL_AUDITING_CLIENT_TEMPLATE.FAT&amp;display_string=Audit&amp;VAR:KEY=HGNQRIZATG&amp;VAR:QUERY=RkZfRUJJVERBX0lCKCdMVE1TJywzOTM0NSk=&amp;WINDOW=FIRST_POPUP&amp;HEIGHT=450&amp;WIDTH=450&amp;START_MA","XIMIZED=FALSE&amp;VAR:CALENDAR=US&amp;VAR:SYMBOL=N0098510&amp;VAR:INDEX=0"}</definedName>
    <definedName name="_6368__FDSAUDITLINK__" hidden="1">{"fdsup://directions/FAT Viewer?action=UPDATE&amp;creator=factset&amp;DYN_ARGS=TRUE&amp;DOC_NAME=FAT:FQL_AUDITING_CLIENT_TEMPLATE.FAT&amp;display_string=Audit&amp;VAR:KEY=HGNQRIZATG&amp;VAR:QUERY=RkZfRUJJVERBX0lCKCdMVE1TJywzOTM0NSk=&amp;WINDOW=FIRST_POPUP&amp;HEIGHT=450&amp;WIDTH=450&amp;START_MA","XIMIZED=FALSE&amp;VAR:CALENDAR=US&amp;VAR:SYMBOL=N0098510&amp;VAR:INDEX=0"}</definedName>
    <definedName name="_6369__FDSAUDITLINK__" localSheetId="6" hidden="1">{"fdsup://directions/FAT Viewer?action=UPDATE&amp;creator=factset&amp;DYN_ARGS=TRUE&amp;DOC_NAME=FAT:FQL_AUDITING_CLIENT_TEMPLATE.FAT&amp;display_string=Audit&amp;VAR:KEY=NOFAZWZCFY&amp;VAR:QUERY=RkZfRUJJVERBX0lCKCdMVE1TJywzOTM0NCk=&amp;WINDOW=FIRST_POPUP&amp;HEIGHT=450&amp;WIDTH=450&amp;START_MA","XIMIZED=FALSE&amp;VAR:CALENDAR=US&amp;VAR:SYMBOL=N0098510&amp;VAR:INDEX=0"}</definedName>
    <definedName name="_6369__FDSAUDITLINK__" hidden="1">{"fdsup://directions/FAT Viewer?action=UPDATE&amp;creator=factset&amp;DYN_ARGS=TRUE&amp;DOC_NAME=FAT:FQL_AUDITING_CLIENT_TEMPLATE.FAT&amp;display_string=Audit&amp;VAR:KEY=NOFAZWZCFY&amp;VAR:QUERY=RkZfRUJJVERBX0lCKCdMVE1TJywzOTM0NCk=&amp;WINDOW=FIRST_POPUP&amp;HEIGHT=450&amp;WIDTH=450&amp;START_MA","XIMIZED=FALSE&amp;VAR:CALENDAR=US&amp;VAR:SYMBOL=N0098510&amp;VAR:INDEX=0"}</definedName>
    <definedName name="_637__FDSAUDITLINK__" localSheetId="6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7__FDSAUDITLINK__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70__FDSAUDITLINK__" localSheetId="6" hidden="1">{"fdsup://directions/FAT Viewer?action=UPDATE&amp;creator=factset&amp;DYN_ARGS=TRUE&amp;DOC_NAME=FAT:FQL_AUDITING_CLIENT_TEMPLATE.FAT&amp;display_string=Audit&amp;VAR:KEY=VCBADQDELC&amp;VAR:QUERY=RkZfRUJJVERBX0lCKCdMVE1TJywzOTM0Myk=&amp;WINDOW=FIRST_POPUP&amp;HEIGHT=450&amp;WIDTH=450&amp;START_MA","XIMIZED=FALSE&amp;VAR:CALENDAR=US&amp;VAR:SYMBOL=N0098510&amp;VAR:INDEX=0"}</definedName>
    <definedName name="_6370__FDSAUDITLINK__" hidden="1">{"fdsup://directions/FAT Viewer?action=UPDATE&amp;creator=factset&amp;DYN_ARGS=TRUE&amp;DOC_NAME=FAT:FQL_AUDITING_CLIENT_TEMPLATE.FAT&amp;display_string=Audit&amp;VAR:KEY=VCBADQDELC&amp;VAR:QUERY=RkZfRUJJVERBX0lCKCdMVE1TJywzOTM0Myk=&amp;WINDOW=FIRST_POPUP&amp;HEIGHT=450&amp;WIDTH=450&amp;START_MA","XIMIZED=FALSE&amp;VAR:CALENDAR=US&amp;VAR:SYMBOL=N0098510&amp;VAR:INDEX=0"}</definedName>
    <definedName name="_6371__FDSAUDITLINK__" localSheetId="6" hidden="1">{"fdsup://directions/FAT Viewer?action=UPDATE&amp;creator=factset&amp;DYN_ARGS=TRUE&amp;DOC_NAME=FAT:FQL_AUDITING_CLIENT_TEMPLATE.FAT&amp;display_string=Audit&amp;VAR:KEY=HAHCFSZQPM&amp;VAR:QUERY=RkZfRUJJVERBX0lCKCdMVE1TJywzOTM0Mik=&amp;WINDOW=FIRST_POPUP&amp;HEIGHT=450&amp;WIDTH=450&amp;START_MA","XIMIZED=FALSE&amp;VAR:CALENDAR=US&amp;VAR:SYMBOL=N0098510&amp;VAR:INDEX=0"}</definedName>
    <definedName name="_6371__FDSAUDITLINK__" hidden="1">{"fdsup://directions/FAT Viewer?action=UPDATE&amp;creator=factset&amp;DYN_ARGS=TRUE&amp;DOC_NAME=FAT:FQL_AUDITING_CLIENT_TEMPLATE.FAT&amp;display_string=Audit&amp;VAR:KEY=HAHCFSZQPM&amp;VAR:QUERY=RkZfRUJJVERBX0lCKCdMVE1TJywzOTM0Mik=&amp;WINDOW=FIRST_POPUP&amp;HEIGHT=450&amp;WIDTH=450&amp;START_MA","XIMIZED=FALSE&amp;VAR:CALENDAR=US&amp;VAR:SYMBOL=N0098510&amp;VAR:INDEX=0"}</definedName>
    <definedName name="_6372__FDSAUDITLINK__" localSheetId="6" hidden="1">{"fdsup://directions/FAT Viewer?action=UPDATE&amp;creator=factset&amp;DYN_ARGS=TRUE&amp;DOC_NAME=FAT:FQL_AUDITING_CLIENT_TEMPLATE.FAT&amp;display_string=Audit&amp;VAR:KEY=LAZMDODQTG&amp;VAR:QUERY=RkZfRUJJVERBX0lCKCdMVE1TJywzOTM0MSk=&amp;WINDOW=FIRST_POPUP&amp;HEIGHT=450&amp;WIDTH=450&amp;START_MA","XIMIZED=FALSE&amp;VAR:CALENDAR=US&amp;VAR:SYMBOL=N0098510&amp;VAR:INDEX=0"}</definedName>
    <definedName name="_6372__FDSAUDITLINK__" hidden="1">{"fdsup://directions/FAT Viewer?action=UPDATE&amp;creator=factset&amp;DYN_ARGS=TRUE&amp;DOC_NAME=FAT:FQL_AUDITING_CLIENT_TEMPLATE.FAT&amp;display_string=Audit&amp;VAR:KEY=LAZMDODQTG&amp;VAR:QUERY=RkZfRUJJVERBX0lCKCdMVE1TJywzOTM0MSk=&amp;WINDOW=FIRST_POPUP&amp;HEIGHT=450&amp;WIDTH=450&amp;START_MA","XIMIZED=FALSE&amp;VAR:CALENDAR=US&amp;VAR:SYMBOL=N0098510&amp;VAR:INDEX=0"}</definedName>
    <definedName name="_6373__FDSAUDITLINK__" localSheetId="6" hidden="1">{"fdsup://directions/FAT Viewer?action=UPDATE&amp;creator=factset&amp;DYN_ARGS=TRUE&amp;DOC_NAME=FAT:FQL_AUDITING_CLIENT_TEMPLATE.FAT&amp;display_string=Audit&amp;VAR:KEY=RWRGREBADS&amp;VAR:QUERY=RkZfRUJJVERBX0lCKCdMVE1TJywzOTM0MCk=&amp;WINDOW=FIRST_POPUP&amp;HEIGHT=450&amp;WIDTH=450&amp;START_MA","XIMIZED=FALSE&amp;VAR:CALENDAR=US&amp;VAR:SYMBOL=N0098510&amp;VAR:INDEX=0"}</definedName>
    <definedName name="_6373__FDSAUDITLINK__" hidden="1">{"fdsup://directions/FAT Viewer?action=UPDATE&amp;creator=factset&amp;DYN_ARGS=TRUE&amp;DOC_NAME=FAT:FQL_AUDITING_CLIENT_TEMPLATE.FAT&amp;display_string=Audit&amp;VAR:KEY=RWRGREBADS&amp;VAR:QUERY=RkZfRUJJVERBX0lCKCdMVE1TJywzOTM0MCk=&amp;WINDOW=FIRST_POPUP&amp;HEIGHT=450&amp;WIDTH=450&amp;START_MA","XIMIZED=FALSE&amp;VAR:CALENDAR=US&amp;VAR:SYMBOL=N0098510&amp;VAR:INDEX=0"}</definedName>
    <definedName name="_6374__FDSAUDITLINK__" localSheetId="6" hidden="1">{"fdsup://directions/FAT Viewer?action=UPDATE&amp;creator=factset&amp;DYN_ARGS=TRUE&amp;DOC_NAME=FAT:FQL_AUDITING_CLIENT_TEMPLATE.FAT&amp;display_string=Audit&amp;VAR:KEY=NITOFCDMRE&amp;VAR:QUERY=RkZfRUJJVERBX0lCKCdMVE1TJywzOTMzOSk=&amp;WINDOW=FIRST_POPUP&amp;HEIGHT=450&amp;WIDTH=450&amp;START_MA","XIMIZED=FALSE&amp;VAR:CALENDAR=US&amp;VAR:SYMBOL=N0098510&amp;VAR:INDEX=0"}</definedName>
    <definedName name="_6374__FDSAUDITLINK__" hidden="1">{"fdsup://directions/FAT Viewer?action=UPDATE&amp;creator=factset&amp;DYN_ARGS=TRUE&amp;DOC_NAME=FAT:FQL_AUDITING_CLIENT_TEMPLATE.FAT&amp;display_string=Audit&amp;VAR:KEY=NITOFCDMRE&amp;VAR:QUERY=RkZfRUJJVERBX0lCKCdMVE1TJywzOTMzOSk=&amp;WINDOW=FIRST_POPUP&amp;HEIGHT=450&amp;WIDTH=450&amp;START_MA","XIMIZED=FALSE&amp;VAR:CALENDAR=US&amp;VAR:SYMBOL=N0098510&amp;VAR:INDEX=0"}</definedName>
    <definedName name="_6375__FDSAUDITLINK__" localSheetId="6" hidden="1">{"fdsup://directions/FAT Viewer?action=UPDATE&amp;creator=factset&amp;DYN_ARGS=TRUE&amp;DOC_NAME=FAT:FQL_AUDITING_CLIENT_TEMPLATE.FAT&amp;display_string=Audit&amp;VAR:KEY=XCDIJUHIDC&amp;VAR:QUERY=RkZfRUJJVERBX0lCKCdMVE1TJywzOTMzOCk=&amp;WINDOW=FIRST_POPUP&amp;HEIGHT=450&amp;WIDTH=450&amp;START_MA","XIMIZED=FALSE&amp;VAR:CALENDAR=US&amp;VAR:SYMBOL=N0098510&amp;VAR:INDEX=0"}</definedName>
    <definedName name="_6375__FDSAUDITLINK__" hidden="1">{"fdsup://directions/FAT Viewer?action=UPDATE&amp;creator=factset&amp;DYN_ARGS=TRUE&amp;DOC_NAME=FAT:FQL_AUDITING_CLIENT_TEMPLATE.FAT&amp;display_string=Audit&amp;VAR:KEY=XCDIJUHIDC&amp;VAR:QUERY=RkZfRUJJVERBX0lCKCdMVE1TJywzOTMzOCk=&amp;WINDOW=FIRST_POPUP&amp;HEIGHT=450&amp;WIDTH=450&amp;START_MA","XIMIZED=FALSE&amp;VAR:CALENDAR=US&amp;VAR:SYMBOL=N0098510&amp;VAR:INDEX=0"}</definedName>
    <definedName name="_6376__FDSAUDITLINK__" localSheetId="6" hidden="1">{"fdsup://directions/FAT Viewer?action=UPDATE&amp;creator=factset&amp;DYN_ARGS=TRUE&amp;DOC_NAME=FAT:FQL_AUDITING_CLIENT_TEMPLATE.FAT&amp;display_string=Audit&amp;VAR:KEY=ZGNMBCJMTM&amp;VAR:QUERY=RkZfRUJJVERBX0lCKCdMVE1TJywzOTMzNyk=&amp;WINDOW=FIRST_POPUP&amp;HEIGHT=450&amp;WIDTH=450&amp;START_MA","XIMIZED=FALSE&amp;VAR:CALENDAR=US&amp;VAR:SYMBOL=N0098510&amp;VAR:INDEX=0"}</definedName>
    <definedName name="_6376__FDSAUDITLINK__" hidden="1">{"fdsup://directions/FAT Viewer?action=UPDATE&amp;creator=factset&amp;DYN_ARGS=TRUE&amp;DOC_NAME=FAT:FQL_AUDITING_CLIENT_TEMPLATE.FAT&amp;display_string=Audit&amp;VAR:KEY=ZGNMBCJMTM&amp;VAR:QUERY=RkZfRUJJVERBX0lCKCdMVE1TJywzOTMzNyk=&amp;WINDOW=FIRST_POPUP&amp;HEIGHT=450&amp;WIDTH=450&amp;START_MA","XIMIZED=FALSE&amp;VAR:CALENDAR=US&amp;VAR:SYMBOL=N0098510&amp;VAR:INDEX=0"}</definedName>
    <definedName name="_6377__FDSAUDITLINK__" localSheetId="6" hidden="1">{"fdsup://directions/FAT Viewer?action=UPDATE&amp;creator=factset&amp;DYN_ARGS=TRUE&amp;DOC_NAME=FAT:FQL_AUDITING_CLIENT_TEMPLATE.FAT&amp;display_string=Audit&amp;VAR:KEY=VGHCBYRYHK&amp;VAR:QUERY=RkZfRUJJVERBX0lCKCdMVE1TJywzOTMzNik=&amp;WINDOW=FIRST_POPUP&amp;HEIGHT=450&amp;WIDTH=450&amp;START_MA","XIMIZED=FALSE&amp;VAR:CALENDAR=US&amp;VAR:SYMBOL=N0098510&amp;VAR:INDEX=0"}</definedName>
    <definedName name="_6377__FDSAUDITLINK__" hidden="1">{"fdsup://directions/FAT Viewer?action=UPDATE&amp;creator=factset&amp;DYN_ARGS=TRUE&amp;DOC_NAME=FAT:FQL_AUDITING_CLIENT_TEMPLATE.FAT&amp;display_string=Audit&amp;VAR:KEY=VGHCBYRYHK&amp;VAR:QUERY=RkZfRUJJVERBX0lCKCdMVE1TJywzOTMzNik=&amp;WINDOW=FIRST_POPUP&amp;HEIGHT=450&amp;WIDTH=450&amp;START_MA","XIMIZED=FALSE&amp;VAR:CALENDAR=US&amp;VAR:SYMBOL=N0098510&amp;VAR:INDEX=0"}</definedName>
    <definedName name="_6378__FDSAUDITLINK__" localSheetId="6" hidden="1">{"fdsup://directions/FAT Viewer?action=UPDATE&amp;creator=factset&amp;DYN_ARGS=TRUE&amp;DOC_NAME=FAT:FQL_AUDITING_CLIENT_TEMPLATE.FAT&amp;display_string=Audit&amp;VAR:KEY=RKLANKPAPO&amp;VAR:QUERY=RkZfRUJJVERBX0lCKCdMVE1TJywzOTMzNSk=&amp;WINDOW=FIRST_POPUP&amp;HEIGHT=450&amp;WIDTH=450&amp;START_MA","XIMIZED=FALSE&amp;VAR:CALENDAR=US&amp;VAR:SYMBOL=N0098510&amp;VAR:INDEX=0"}</definedName>
    <definedName name="_6378__FDSAUDITLINK__" hidden="1">{"fdsup://directions/FAT Viewer?action=UPDATE&amp;creator=factset&amp;DYN_ARGS=TRUE&amp;DOC_NAME=FAT:FQL_AUDITING_CLIENT_TEMPLATE.FAT&amp;display_string=Audit&amp;VAR:KEY=RKLANKPAPO&amp;VAR:QUERY=RkZfRUJJVERBX0lCKCdMVE1TJywzOTMzNSk=&amp;WINDOW=FIRST_POPUP&amp;HEIGHT=450&amp;WIDTH=450&amp;START_MA","XIMIZED=FALSE&amp;VAR:CALENDAR=US&amp;VAR:SYMBOL=N0098510&amp;VAR:INDEX=0"}</definedName>
    <definedName name="_6379__FDSAUDITLINK__" localSheetId="6" hidden="1">{"fdsup://directions/FAT Viewer?action=UPDATE&amp;creator=factset&amp;DYN_ARGS=TRUE&amp;DOC_NAME=FAT:FQL_AUDITING_CLIENT_TEMPLATE.FAT&amp;display_string=Audit&amp;VAR:KEY=VIVCXUZWXU&amp;VAR:QUERY=RkZfRUJJVERBX0lCKCdMVE1TJywzOTMzNCk=&amp;WINDOW=FIRST_POPUP&amp;HEIGHT=450&amp;WIDTH=450&amp;START_MA","XIMIZED=FALSE&amp;VAR:CALENDAR=US&amp;VAR:SYMBOL=N0098510&amp;VAR:INDEX=0"}</definedName>
    <definedName name="_6379__FDSAUDITLINK__" hidden="1">{"fdsup://directions/FAT Viewer?action=UPDATE&amp;creator=factset&amp;DYN_ARGS=TRUE&amp;DOC_NAME=FAT:FQL_AUDITING_CLIENT_TEMPLATE.FAT&amp;display_string=Audit&amp;VAR:KEY=VIVCXUZWXU&amp;VAR:QUERY=RkZfRUJJVERBX0lCKCdMVE1TJywzOTMzNCk=&amp;WINDOW=FIRST_POPUP&amp;HEIGHT=450&amp;WIDTH=450&amp;START_MA","XIMIZED=FALSE&amp;VAR:CALENDAR=US&amp;VAR:SYMBOL=N0098510&amp;VAR:INDEX=0"}</definedName>
    <definedName name="_638__FDSAUDITLINK__" localSheetId="6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8__FDSAUDITLINK__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80__FDSAUDITLINK__" localSheetId="6" hidden="1">{"fdsup://directions/FAT Viewer?action=UPDATE&amp;creator=factset&amp;DYN_ARGS=TRUE&amp;DOC_NAME=FAT:FQL_AUDITING_CLIENT_TEMPLATE.FAT&amp;display_string=Audit&amp;VAR:KEY=RAFWFSFMRY&amp;VAR:QUERY=RkZfRUJJVERBX0lCKCdMVE1TJywzOTMzMyk=&amp;WINDOW=FIRST_POPUP&amp;HEIGHT=450&amp;WIDTH=450&amp;START_MA","XIMIZED=FALSE&amp;VAR:CALENDAR=US&amp;VAR:SYMBOL=N0098510&amp;VAR:INDEX=0"}</definedName>
    <definedName name="_6380__FDSAUDITLINK__" hidden="1">{"fdsup://directions/FAT Viewer?action=UPDATE&amp;creator=factset&amp;DYN_ARGS=TRUE&amp;DOC_NAME=FAT:FQL_AUDITING_CLIENT_TEMPLATE.FAT&amp;display_string=Audit&amp;VAR:KEY=RAFWFSFMRY&amp;VAR:QUERY=RkZfRUJJVERBX0lCKCdMVE1TJywzOTMzMyk=&amp;WINDOW=FIRST_POPUP&amp;HEIGHT=450&amp;WIDTH=450&amp;START_MA","XIMIZED=FALSE&amp;VAR:CALENDAR=US&amp;VAR:SYMBOL=N0098510&amp;VAR:INDEX=0"}</definedName>
    <definedName name="_6381__FDSAUDITLINK__" localSheetId="6" hidden="1">{"fdsup://directions/FAT Viewer?action=UPDATE&amp;creator=factset&amp;DYN_ARGS=TRUE&amp;DOC_NAME=FAT:FQL_AUDITING_CLIENT_TEMPLATE.FAT&amp;display_string=Audit&amp;VAR:KEY=BGPITYBYRW&amp;VAR:QUERY=RkZfRUJJVERBX0lCKCdMVE1TJywzOTMzMik=&amp;WINDOW=FIRST_POPUP&amp;HEIGHT=450&amp;WIDTH=450&amp;START_MA","XIMIZED=FALSE&amp;VAR:CALENDAR=US&amp;VAR:SYMBOL=N0098510&amp;VAR:INDEX=0"}</definedName>
    <definedName name="_6381__FDSAUDITLINK__" hidden="1">{"fdsup://directions/FAT Viewer?action=UPDATE&amp;creator=factset&amp;DYN_ARGS=TRUE&amp;DOC_NAME=FAT:FQL_AUDITING_CLIENT_TEMPLATE.FAT&amp;display_string=Audit&amp;VAR:KEY=BGPITYBYRW&amp;VAR:QUERY=RkZfRUJJVERBX0lCKCdMVE1TJywzOTMzMik=&amp;WINDOW=FIRST_POPUP&amp;HEIGHT=450&amp;WIDTH=450&amp;START_MA","XIMIZED=FALSE&amp;VAR:CALENDAR=US&amp;VAR:SYMBOL=N0098510&amp;VAR:INDEX=0"}</definedName>
    <definedName name="_6382__FDSAUDITLINK__" localSheetId="6" hidden="1">{"fdsup://directions/FAT Viewer?action=UPDATE&amp;creator=factset&amp;DYN_ARGS=TRUE&amp;DOC_NAME=FAT:FQL_AUDITING_CLIENT_TEMPLATE.FAT&amp;display_string=Audit&amp;VAR:KEY=RMNGFSFMFU&amp;VAR:QUERY=RkZfRUJJVERBX0lCKCdMVE1TJywzOTMzMSk=&amp;WINDOW=FIRST_POPUP&amp;HEIGHT=450&amp;WIDTH=450&amp;START_MA","XIMIZED=FALSE&amp;VAR:CALENDAR=US&amp;VAR:SYMBOL=N0098510&amp;VAR:INDEX=0"}</definedName>
    <definedName name="_6382__FDSAUDITLINK__" hidden="1">{"fdsup://directions/FAT Viewer?action=UPDATE&amp;creator=factset&amp;DYN_ARGS=TRUE&amp;DOC_NAME=FAT:FQL_AUDITING_CLIENT_TEMPLATE.FAT&amp;display_string=Audit&amp;VAR:KEY=RMNGFSFMFU&amp;VAR:QUERY=RkZfRUJJVERBX0lCKCdMVE1TJywzOTMzMSk=&amp;WINDOW=FIRST_POPUP&amp;HEIGHT=450&amp;WIDTH=450&amp;START_MA","XIMIZED=FALSE&amp;VAR:CALENDAR=US&amp;VAR:SYMBOL=N0098510&amp;VAR:INDEX=0"}</definedName>
    <definedName name="_6383__FDSAUDITLINK__" localSheetId="6" hidden="1">{"fdsup://directions/FAT Viewer?action=UPDATE&amp;creator=factset&amp;DYN_ARGS=TRUE&amp;DOC_NAME=FAT:FQL_AUDITING_CLIENT_TEMPLATE.FAT&amp;display_string=Audit&amp;VAR:KEY=ZMBIREHQXI&amp;VAR:QUERY=RkZfRUJJVERBX0lCKCdMVE1TJywzOTMzMCk=&amp;WINDOW=FIRST_POPUP&amp;HEIGHT=450&amp;WIDTH=450&amp;START_MA","XIMIZED=FALSE&amp;VAR:CALENDAR=US&amp;VAR:SYMBOL=N0098510&amp;VAR:INDEX=0"}</definedName>
    <definedName name="_6383__FDSAUDITLINK__" hidden="1">{"fdsup://directions/FAT Viewer?action=UPDATE&amp;creator=factset&amp;DYN_ARGS=TRUE&amp;DOC_NAME=FAT:FQL_AUDITING_CLIENT_TEMPLATE.FAT&amp;display_string=Audit&amp;VAR:KEY=ZMBIREHQXI&amp;VAR:QUERY=RkZfRUJJVERBX0lCKCdMVE1TJywzOTMzMCk=&amp;WINDOW=FIRST_POPUP&amp;HEIGHT=450&amp;WIDTH=450&amp;START_MA","XIMIZED=FALSE&amp;VAR:CALENDAR=US&amp;VAR:SYMBOL=N0098510&amp;VAR:INDEX=0"}</definedName>
    <definedName name="_6384__FDSAUDITLINK__" localSheetId="6" hidden="1">{"fdsup://directions/FAT Viewer?action=UPDATE&amp;creator=factset&amp;DYN_ARGS=TRUE&amp;DOC_NAME=FAT:FQL_AUDITING_CLIENT_TEMPLATE.FAT&amp;display_string=Audit&amp;VAR:KEY=HQTQHCHYNA&amp;VAR:QUERY=RkZfRUJJVERBX0lCKCdMVE1TJywzOTMyOSk=&amp;WINDOW=FIRST_POPUP&amp;HEIGHT=450&amp;WIDTH=450&amp;START_MA","XIMIZED=FALSE&amp;VAR:CALENDAR=US&amp;VAR:SYMBOL=N0098510&amp;VAR:INDEX=0"}</definedName>
    <definedName name="_6384__FDSAUDITLINK__" hidden="1">{"fdsup://directions/FAT Viewer?action=UPDATE&amp;creator=factset&amp;DYN_ARGS=TRUE&amp;DOC_NAME=FAT:FQL_AUDITING_CLIENT_TEMPLATE.FAT&amp;display_string=Audit&amp;VAR:KEY=HQTQHCHYNA&amp;VAR:QUERY=RkZfRUJJVERBX0lCKCdMVE1TJywzOTMyOSk=&amp;WINDOW=FIRST_POPUP&amp;HEIGHT=450&amp;WIDTH=450&amp;START_MA","XIMIZED=FALSE&amp;VAR:CALENDAR=US&amp;VAR:SYMBOL=N0098510&amp;VAR:INDEX=0"}</definedName>
    <definedName name="_6385__FDSAUDITLINK__" localSheetId="6" hidden="1">{"fdsup://directions/FAT Viewer?action=UPDATE&amp;creator=factset&amp;DYN_ARGS=TRUE&amp;DOC_NAME=FAT:FQL_AUDITING_CLIENT_TEMPLATE.FAT&amp;display_string=Audit&amp;VAR:KEY=RKTKHEXILU&amp;VAR:QUERY=RkZfRUJJVERBX0lCKCdMVE1TJywzOTMyOCk=&amp;WINDOW=FIRST_POPUP&amp;HEIGHT=450&amp;WIDTH=450&amp;START_MA","XIMIZED=FALSE&amp;VAR:CALENDAR=US&amp;VAR:SYMBOL=N0098510&amp;VAR:INDEX=0"}</definedName>
    <definedName name="_6385__FDSAUDITLINK__" hidden="1">{"fdsup://directions/FAT Viewer?action=UPDATE&amp;creator=factset&amp;DYN_ARGS=TRUE&amp;DOC_NAME=FAT:FQL_AUDITING_CLIENT_TEMPLATE.FAT&amp;display_string=Audit&amp;VAR:KEY=RKTKHEXILU&amp;VAR:QUERY=RkZfRUJJVERBX0lCKCdMVE1TJywzOTMyOCk=&amp;WINDOW=FIRST_POPUP&amp;HEIGHT=450&amp;WIDTH=450&amp;START_MA","XIMIZED=FALSE&amp;VAR:CALENDAR=US&amp;VAR:SYMBOL=N0098510&amp;VAR:INDEX=0"}</definedName>
    <definedName name="_6386__FDSAUDITLINK__" localSheetId="6" hidden="1">{"fdsup://directions/FAT Viewer?action=UPDATE&amp;creator=factset&amp;DYN_ARGS=TRUE&amp;DOC_NAME=FAT:FQL_AUDITING_CLIENT_TEMPLATE.FAT&amp;display_string=Audit&amp;VAR:KEY=HCJQNAXEBM&amp;VAR:QUERY=RkZfRUJJVERBX0lCKCdMVE1TJywzOTMyNyk=&amp;WINDOW=FIRST_POPUP&amp;HEIGHT=450&amp;WIDTH=450&amp;START_MA","XIMIZED=FALSE&amp;VAR:CALENDAR=US&amp;VAR:SYMBOL=N0098510&amp;VAR:INDEX=0"}</definedName>
    <definedName name="_6386__FDSAUDITLINK__" hidden="1">{"fdsup://directions/FAT Viewer?action=UPDATE&amp;creator=factset&amp;DYN_ARGS=TRUE&amp;DOC_NAME=FAT:FQL_AUDITING_CLIENT_TEMPLATE.FAT&amp;display_string=Audit&amp;VAR:KEY=HCJQNAXEBM&amp;VAR:QUERY=RkZfRUJJVERBX0lCKCdMVE1TJywzOTMyNyk=&amp;WINDOW=FIRST_POPUP&amp;HEIGHT=450&amp;WIDTH=450&amp;START_MA","XIMIZED=FALSE&amp;VAR:CALENDAR=US&amp;VAR:SYMBOL=N0098510&amp;VAR:INDEX=0"}</definedName>
    <definedName name="_6387__FDSAUDITLINK__" localSheetId="6" hidden="1">{"fdsup://directions/FAT Viewer?action=UPDATE&amp;creator=factset&amp;DYN_ARGS=TRUE&amp;DOC_NAME=FAT:FQL_AUDITING_CLIENT_TEMPLATE.FAT&amp;display_string=Audit&amp;VAR:KEY=ZCDAHSHMVE&amp;VAR:QUERY=RkZfRUJJVERBX0lCKCdMVE1TJywzOTMyNik=&amp;WINDOW=FIRST_POPUP&amp;HEIGHT=450&amp;WIDTH=450&amp;START_MA","XIMIZED=FALSE&amp;VAR:CALENDAR=US&amp;VAR:SYMBOL=N0098510&amp;VAR:INDEX=0"}</definedName>
    <definedName name="_6387__FDSAUDITLINK__" hidden="1">{"fdsup://directions/FAT Viewer?action=UPDATE&amp;creator=factset&amp;DYN_ARGS=TRUE&amp;DOC_NAME=FAT:FQL_AUDITING_CLIENT_TEMPLATE.FAT&amp;display_string=Audit&amp;VAR:KEY=ZCDAHSHMVE&amp;VAR:QUERY=RkZfRUJJVERBX0lCKCdMVE1TJywzOTMyNik=&amp;WINDOW=FIRST_POPUP&amp;HEIGHT=450&amp;WIDTH=450&amp;START_MA","XIMIZED=FALSE&amp;VAR:CALENDAR=US&amp;VAR:SYMBOL=N0098510&amp;VAR:INDEX=0"}</definedName>
    <definedName name="_6388__FDSAUDITLINK__" localSheetId="6" hidden="1">{"fdsup://directions/FAT Viewer?action=UPDATE&amp;creator=factset&amp;DYN_ARGS=TRUE&amp;DOC_NAME=FAT:FQL_AUDITING_CLIENT_TEMPLATE.FAT&amp;display_string=Audit&amp;VAR:KEY=FIDYFYBCLI&amp;VAR:QUERY=RkZfRUJJVERBX0lCKCdMVE1TJywzOTMyNSk=&amp;WINDOW=FIRST_POPUP&amp;HEIGHT=450&amp;WIDTH=450&amp;START_MA","XIMIZED=FALSE&amp;VAR:CALENDAR=US&amp;VAR:SYMBOL=N0098510&amp;VAR:INDEX=0"}</definedName>
    <definedName name="_6388__FDSAUDITLINK__" hidden="1">{"fdsup://directions/FAT Viewer?action=UPDATE&amp;creator=factset&amp;DYN_ARGS=TRUE&amp;DOC_NAME=FAT:FQL_AUDITING_CLIENT_TEMPLATE.FAT&amp;display_string=Audit&amp;VAR:KEY=FIDYFYBCLI&amp;VAR:QUERY=RkZfRUJJVERBX0lCKCdMVE1TJywzOTMyNSk=&amp;WINDOW=FIRST_POPUP&amp;HEIGHT=450&amp;WIDTH=450&amp;START_MA","XIMIZED=FALSE&amp;VAR:CALENDAR=US&amp;VAR:SYMBOL=N0098510&amp;VAR:INDEX=0"}</definedName>
    <definedName name="_6389__FDSAUDITLINK__" localSheetId="6" hidden="1">{"fdsup://directions/FAT Viewer?action=UPDATE&amp;creator=factset&amp;DYN_ARGS=TRUE&amp;DOC_NAME=FAT:FQL_AUDITING_CLIENT_TEMPLATE.FAT&amp;display_string=Audit&amp;VAR:KEY=LEPCZGNKHE&amp;VAR:QUERY=RkZfRUJJVERBX0lCKCdMVE1TJywzOTMyNCk=&amp;WINDOW=FIRST_POPUP&amp;HEIGHT=450&amp;WIDTH=450&amp;START_MA","XIMIZED=FALSE&amp;VAR:CALENDAR=US&amp;VAR:SYMBOL=N0098510&amp;VAR:INDEX=0"}</definedName>
    <definedName name="_6389__FDSAUDITLINK__" hidden="1">{"fdsup://directions/FAT Viewer?action=UPDATE&amp;creator=factset&amp;DYN_ARGS=TRUE&amp;DOC_NAME=FAT:FQL_AUDITING_CLIENT_TEMPLATE.FAT&amp;display_string=Audit&amp;VAR:KEY=LEPCZGNKHE&amp;VAR:QUERY=RkZfRUJJVERBX0lCKCdMVE1TJywzOTMyNCk=&amp;WINDOW=FIRST_POPUP&amp;HEIGHT=450&amp;WIDTH=450&amp;START_MA","XIMIZED=FALSE&amp;VAR:CALENDAR=US&amp;VAR:SYMBOL=N0098510&amp;VAR:INDEX=0"}</definedName>
    <definedName name="_639__FDSAUDITLINK__" localSheetId="6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9__FDSAUDITLINK__" hidden="1">{"fdsup://directions/FAT%20Viewer?VAR:PED=LTM&amp;VAR:AUDIT_MODE=SUMMARY&amp;VAR:PERIOD=FIXED&amp;VAR:AUDIT_ID=00000117&amp;VAR:DATE=20080523&amp;action=UPDATE&amp;creator=factset&amp;DOC_NAME=FAT:FMA_audit_SUMMARY.fat&amp;DISPLAY_STRING=Display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390__FDSAUDITLINK__" localSheetId="6" hidden="1">{"fdsup://directions/FAT Viewer?action=UPDATE&amp;creator=factset&amp;DYN_ARGS=TRUE&amp;DOC_NAME=FAT:FQL_AUDITING_CLIENT_TEMPLATE.FAT&amp;display_string=Audit&amp;VAR:KEY=PUPGJOFSTU&amp;VAR:QUERY=RkZfRUJJVERBX0lCKCdMVE1TJywzOTMyMyk=&amp;WINDOW=FIRST_POPUP&amp;HEIGHT=450&amp;WIDTH=450&amp;START_MA","XIMIZED=FALSE&amp;VAR:CALENDAR=US&amp;VAR:SYMBOL=N0098510&amp;VAR:INDEX=0"}</definedName>
    <definedName name="_6390__FDSAUDITLINK__" hidden="1">{"fdsup://directions/FAT Viewer?action=UPDATE&amp;creator=factset&amp;DYN_ARGS=TRUE&amp;DOC_NAME=FAT:FQL_AUDITING_CLIENT_TEMPLATE.FAT&amp;display_string=Audit&amp;VAR:KEY=PUPGJOFSTU&amp;VAR:QUERY=RkZfRUJJVERBX0lCKCdMVE1TJywzOTMyMyk=&amp;WINDOW=FIRST_POPUP&amp;HEIGHT=450&amp;WIDTH=450&amp;START_MA","XIMIZED=FALSE&amp;VAR:CALENDAR=US&amp;VAR:SYMBOL=N0098510&amp;VAR:INDEX=0"}</definedName>
    <definedName name="_6391__FDSAUDITLINK__" localSheetId="6" hidden="1">{"fdsup://directions/FAT Viewer?action=UPDATE&amp;creator=factset&amp;DYN_ARGS=TRUE&amp;DOC_NAME=FAT:FQL_AUDITING_CLIENT_TEMPLATE.FAT&amp;display_string=Audit&amp;VAR:KEY=VWNARSFUBA&amp;VAR:QUERY=RkZfRUJJVERBX0lCKCdMVE1TJywzOTMyMik=&amp;WINDOW=FIRST_POPUP&amp;HEIGHT=450&amp;WIDTH=450&amp;START_MA","XIMIZED=FALSE&amp;VAR:CALENDAR=US&amp;VAR:SYMBOL=N0098510&amp;VAR:INDEX=0"}</definedName>
    <definedName name="_6391__FDSAUDITLINK__" hidden="1">{"fdsup://directions/FAT Viewer?action=UPDATE&amp;creator=factset&amp;DYN_ARGS=TRUE&amp;DOC_NAME=FAT:FQL_AUDITING_CLIENT_TEMPLATE.FAT&amp;display_string=Audit&amp;VAR:KEY=VWNARSFUBA&amp;VAR:QUERY=RkZfRUJJVERBX0lCKCdMVE1TJywzOTMyMik=&amp;WINDOW=FIRST_POPUP&amp;HEIGHT=450&amp;WIDTH=450&amp;START_MA","XIMIZED=FALSE&amp;VAR:CALENDAR=US&amp;VAR:SYMBOL=N0098510&amp;VAR:INDEX=0"}</definedName>
    <definedName name="_6392__FDSAUDITLINK__" localSheetId="6" hidden="1">{"fdsup://directions/FAT Viewer?action=UPDATE&amp;creator=factset&amp;DYN_ARGS=TRUE&amp;DOC_NAME=FAT:FQL_AUDITING_CLIENT_TEMPLATE.FAT&amp;display_string=Audit&amp;VAR:KEY=RWHSVEBMDY&amp;VAR:QUERY=RkZfRUJJVERBX0lCKCdMVE1TJywzOTMyMSk=&amp;WINDOW=FIRST_POPUP&amp;HEIGHT=450&amp;WIDTH=450&amp;START_MA","XIMIZED=FALSE&amp;VAR:CALENDAR=US&amp;VAR:SYMBOL=N0098510&amp;VAR:INDEX=0"}</definedName>
    <definedName name="_6392__FDSAUDITLINK__" hidden="1">{"fdsup://directions/FAT Viewer?action=UPDATE&amp;creator=factset&amp;DYN_ARGS=TRUE&amp;DOC_NAME=FAT:FQL_AUDITING_CLIENT_TEMPLATE.FAT&amp;display_string=Audit&amp;VAR:KEY=RWHSVEBMDY&amp;VAR:QUERY=RkZfRUJJVERBX0lCKCdMVE1TJywzOTMyMSk=&amp;WINDOW=FIRST_POPUP&amp;HEIGHT=450&amp;WIDTH=450&amp;START_MA","XIMIZED=FALSE&amp;VAR:CALENDAR=US&amp;VAR:SYMBOL=N0098510&amp;VAR:INDEX=0"}</definedName>
    <definedName name="_6393__FDSAUDITLINK__" localSheetId="6" hidden="1">{"fdsup://directions/FAT Viewer?action=UPDATE&amp;creator=factset&amp;DYN_ARGS=TRUE&amp;DOC_NAME=FAT:FQL_AUDITING_CLIENT_TEMPLATE.FAT&amp;display_string=Audit&amp;VAR:KEY=FGBMDUFEJQ&amp;VAR:QUERY=RkZfRUJJVERBX0lCKCdMVE1TJywzOTMyMCk=&amp;WINDOW=FIRST_POPUP&amp;HEIGHT=450&amp;WIDTH=450&amp;START_MA","XIMIZED=FALSE&amp;VAR:CALENDAR=US&amp;VAR:SYMBOL=N0098510&amp;VAR:INDEX=0"}</definedName>
    <definedName name="_6393__FDSAUDITLINK__" hidden="1">{"fdsup://directions/FAT Viewer?action=UPDATE&amp;creator=factset&amp;DYN_ARGS=TRUE&amp;DOC_NAME=FAT:FQL_AUDITING_CLIENT_TEMPLATE.FAT&amp;display_string=Audit&amp;VAR:KEY=FGBMDUFEJQ&amp;VAR:QUERY=RkZfRUJJVERBX0lCKCdMVE1TJywzOTMyMCk=&amp;WINDOW=FIRST_POPUP&amp;HEIGHT=450&amp;WIDTH=450&amp;START_MA","XIMIZED=FALSE&amp;VAR:CALENDAR=US&amp;VAR:SYMBOL=N0098510&amp;VAR:INDEX=0"}</definedName>
    <definedName name="_6394__FDSAUDITLINK__" localSheetId="6" hidden="1">{"fdsup://directions/FAT Viewer?action=UPDATE&amp;creator=factset&amp;DYN_ARGS=TRUE&amp;DOC_NAME=FAT:FQL_AUDITING_CLIENT_TEMPLATE.FAT&amp;display_string=Audit&amp;VAR:KEY=RAXUNSFMLC&amp;VAR:QUERY=RkZfRUJJVERBX0lCKCdMVE1TJywzOTMxOSk=&amp;WINDOW=FIRST_POPUP&amp;HEIGHT=450&amp;WIDTH=450&amp;START_MA","XIMIZED=FALSE&amp;VAR:CALENDAR=US&amp;VAR:SYMBOL=N0098510&amp;VAR:INDEX=0"}</definedName>
    <definedName name="_6394__FDSAUDITLINK__" hidden="1">{"fdsup://directions/FAT Viewer?action=UPDATE&amp;creator=factset&amp;DYN_ARGS=TRUE&amp;DOC_NAME=FAT:FQL_AUDITING_CLIENT_TEMPLATE.FAT&amp;display_string=Audit&amp;VAR:KEY=RAXUNSFMLC&amp;VAR:QUERY=RkZfRUJJVERBX0lCKCdMVE1TJywzOTMxOSk=&amp;WINDOW=FIRST_POPUP&amp;HEIGHT=450&amp;WIDTH=450&amp;START_MA","XIMIZED=FALSE&amp;VAR:CALENDAR=US&amp;VAR:SYMBOL=N0098510&amp;VAR:INDEX=0"}</definedName>
    <definedName name="_6395__FDSAUDITLINK__" localSheetId="6" hidden="1">{"fdsup://directions/FAT Viewer?action=UPDATE&amp;creator=factset&amp;DYN_ARGS=TRUE&amp;DOC_NAME=FAT:FQL_AUDITING_CLIENT_TEMPLATE.FAT&amp;display_string=Audit&amp;VAR:KEY=DKZEPAHOBY&amp;VAR:QUERY=RkZfRUJJVERBX0lCKCdMVE1TJywzOTMxOCk=&amp;WINDOW=FIRST_POPUP&amp;HEIGHT=450&amp;WIDTH=450&amp;START_MA","XIMIZED=FALSE&amp;VAR:CALENDAR=US&amp;VAR:SYMBOL=N0098510&amp;VAR:INDEX=0"}</definedName>
    <definedName name="_6395__FDSAUDITLINK__" hidden="1">{"fdsup://directions/FAT Viewer?action=UPDATE&amp;creator=factset&amp;DYN_ARGS=TRUE&amp;DOC_NAME=FAT:FQL_AUDITING_CLIENT_TEMPLATE.FAT&amp;display_string=Audit&amp;VAR:KEY=DKZEPAHOBY&amp;VAR:QUERY=RkZfRUJJVERBX0lCKCdMVE1TJywzOTMxOCk=&amp;WINDOW=FIRST_POPUP&amp;HEIGHT=450&amp;WIDTH=450&amp;START_MA","XIMIZED=FALSE&amp;VAR:CALENDAR=US&amp;VAR:SYMBOL=N0098510&amp;VAR:INDEX=0"}</definedName>
    <definedName name="_6396__FDSAUDITLINK__" localSheetId="6" hidden="1">{"fdsup://directions/FAT Viewer?action=UPDATE&amp;creator=factset&amp;DYN_ARGS=TRUE&amp;DOC_NAME=FAT:FQL_AUDITING_CLIENT_TEMPLATE.FAT&amp;display_string=Audit&amp;VAR:KEY=RINIRUJMZI&amp;VAR:QUERY=RkZfRUJJVERBX0lCKCdMVE1TJywzOTMxNyk=&amp;WINDOW=FIRST_POPUP&amp;HEIGHT=450&amp;WIDTH=450&amp;START_MA","XIMIZED=FALSE&amp;VAR:CALENDAR=US&amp;VAR:SYMBOL=N0098510&amp;VAR:INDEX=0"}</definedName>
    <definedName name="_6396__FDSAUDITLINK__" hidden="1">{"fdsup://directions/FAT Viewer?action=UPDATE&amp;creator=factset&amp;DYN_ARGS=TRUE&amp;DOC_NAME=FAT:FQL_AUDITING_CLIENT_TEMPLATE.FAT&amp;display_string=Audit&amp;VAR:KEY=RINIRUJMZI&amp;VAR:QUERY=RkZfRUJJVERBX0lCKCdMVE1TJywzOTMxNyk=&amp;WINDOW=FIRST_POPUP&amp;HEIGHT=450&amp;WIDTH=450&amp;START_MA","XIMIZED=FALSE&amp;VAR:CALENDAR=US&amp;VAR:SYMBOL=N0098510&amp;VAR:INDEX=0"}</definedName>
    <definedName name="_6397__FDSAUDITLINK__" localSheetId="6" hidden="1">{"fdsup://directions/FAT Viewer?action=UPDATE&amp;creator=factset&amp;DYN_ARGS=TRUE&amp;DOC_NAME=FAT:FQL_AUDITING_CLIENT_TEMPLATE.FAT&amp;display_string=Audit&amp;VAR:KEY=LCZADILMJA&amp;VAR:QUERY=RkZfRUJJVERBX0lCKCdMVE1TJywzOTMxNik=&amp;WINDOW=FIRST_POPUP&amp;HEIGHT=450&amp;WIDTH=450&amp;START_MA","XIMIZED=FALSE&amp;VAR:CALENDAR=US&amp;VAR:SYMBOL=N0098510&amp;VAR:INDEX=0"}</definedName>
    <definedName name="_6397__FDSAUDITLINK__" hidden="1">{"fdsup://directions/FAT Viewer?action=UPDATE&amp;creator=factset&amp;DYN_ARGS=TRUE&amp;DOC_NAME=FAT:FQL_AUDITING_CLIENT_TEMPLATE.FAT&amp;display_string=Audit&amp;VAR:KEY=LCZADILMJA&amp;VAR:QUERY=RkZfRUJJVERBX0lCKCdMVE1TJywzOTMxNik=&amp;WINDOW=FIRST_POPUP&amp;HEIGHT=450&amp;WIDTH=450&amp;START_MA","XIMIZED=FALSE&amp;VAR:CALENDAR=US&amp;VAR:SYMBOL=N0098510&amp;VAR:INDEX=0"}</definedName>
    <definedName name="_6398__FDSAUDITLINK__" localSheetId="6" hidden="1">{"fdsup://directions/FAT Viewer?action=UPDATE&amp;creator=factset&amp;DYN_ARGS=TRUE&amp;DOC_NAME=FAT:FQL_AUDITING_CLIENT_TEMPLATE.FAT&amp;display_string=Audit&amp;VAR:KEY=XCVQZAPWLK&amp;VAR:QUERY=RkZfRUJJVERBX0lCKCdMVE1TJywzOTMxNSk=&amp;WINDOW=FIRST_POPUP&amp;HEIGHT=450&amp;WIDTH=450&amp;START_MA","XIMIZED=FALSE&amp;VAR:CALENDAR=US&amp;VAR:SYMBOL=N0098510&amp;VAR:INDEX=0"}</definedName>
    <definedName name="_6398__FDSAUDITLINK__" hidden="1">{"fdsup://directions/FAT Viewer?action=UPDATE&amp;creator=factset&amp;DYN_ARGS=TRUE&amp;DOC_NAME=FAT:FQL_AUDITING_CLIENT_TEMPLATE.FAT&amp;display_string=Audit&amp;VAR:KEY=XCVQZAPWLK&amp;VAR:QUERY=RkZfRUJJVERBX0lCKCdMVE1TJywzOTMxNSk=&amp;WINDOW=FIRST_POPUP&amp;HEIGHT=450&amp;WIDTH=450&amp;START_MA","XIMIZED=FALSE&amp;VAR:CALENDAR=US&amp;VAR:SYMBOL=N0098510&amp;VAR:INDEX=0"}</definedName>
    <definedName name="_6399__FDSAUDITLINK__" localSheetId="6" hidden="1">{"fdsup://directions/FAT Viewer?action=UPDATE&amp;creator=factset&amp;DYN_ARGS=TRUE&amp;DOC_NAME=FAT:FQL_AUDITING_CLIENT_TEMPLATE.FAT&amp;display_string=Audit&amp;VAR:KEY=FWDOJWREHW&amp;VAR:QUERY=RkZfRUJJVERBX0lCKCdMVE1TJywzOTMxNCk=&amp;WINDOW=FIRST_POPUP&amp;HEIGHT=450&amp;WIDTH=450&amp;START_MA","XIMIZED=FALSE&amp;VAR:CALENDAR=US&amp;VAR:SYMBOL=N0098510&amp;VAR:INDEX=0"}</definedName>
    <definedName name="_6399__FDSAUDITLINK__" hidden="1">{"fdsup://directions/FAT Viewer?action=UPDATE&amp;creator=factset&amp;DYN_ARGS=TRUE&amp;DOC_NAME=FAT:FQL_AUDITING_CLIENT_TEMPLATE.FAT&amp;display_string=Audit&amp;VAR:KEY=FWDOJWREHW&amp;VAR:QUERY=RkZfRUJJVERBX0lCKCdMVE1TJywzOTMxNCk=&amp;WINDOW=FIRST_POPUP&amp;HEIGHT=450&amp;WIDTH=450&amp;START_MA","XIMIZED=FALSE&amp;VAR:CALENDAR=US&amp;VAR:SYMBOL=N0098510&amp;VAR:INDEX=0"}</definedName>
    <definedName name="_64__FDSAUDITLINK__" localSheetId="6" hidden="1">{"fdsup://directions/FAT Viewer?action=UPDATE&amp;creator=factset&amp;DYN_ARGS=TRUE&amp;DOC_NAME=FAT:FQL_AUDITING_CLIENT_TEMPLATE.FAT&amp;display_string=Audit&amp;VAR:KEY=ZAZOHSNGHC&amp;VAR:QUERY=RkZfSU5WRU5fREFZUyhBTk4sNDA5OTUp&amp;WINDOW=FIRST_POPUP&amp;HEIGHT=450&amp;WIDTH=450&amp;START_MAXIMI","ZED=FALSE&amp;VAR:CALENDAR=US&amp;VAR:SYMBOL=LKQX&amp;VAR:INDEX=0"}</definedName>
    <definedName name="_64__FDSAUDITLINK__" hidden="1">{"fdsup://directions/FAT Viewer?action=UPDATE&amp;creator=factset&amp;DYN_ARGS=TRUE&amp;DOC_NAME=FAT:FQL_AUDITING_CLIENT_TEMPLATE.FAT&amp;display_string=Audit&amp;VAR:KEY=ZAZOHSNGHC&amp;VAR:QUERY=RkZfSU5WRU5fREFZUyhBTk4sNDA5OTUp&amp;WINDOW=FIRST_POPUP&amp;HEIGHT=450&amp;WIDTH=450&amp;START_MAXIMI","ZED=FALSE&amp;VAR:CALENDAR=US&amp;VAR:SYMBOL=LKQX&amp;VAR:INDEX=0"}</definedName>
    <definedName name="_640__FDSAUDITLINK__" localSheetId="6" hidden="1">{"fdsup://directions/FAT%20Viewer?VAR:PED=LTM&amp;VAR:AUDIT_MODE=SUMMARY&amp;VAR:PERIOD=FIXED&amp;VAR:AUDIT_ID=00000117&amp;VAR:DATE=20080522&amp;action=UPDATE&amp;creator=factset&amp;DOC_NAME=FAT:FMA_audit_SUMMARY.fat&amp;DISPLAY_STRING=Display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0__FDSAUDITLINK__" hidden="1">{"fdsup://directions/FAT%20Viewer?VAR:PED=LTM&amp;VAR:AUDIT_MODE=SUMMARY&amp;VAR:PERIOD=FIXED&amp;VAR:AUDIT_ID=00000117&amp;VAR:DATE=20080522&amp;action=UPDATE&amp;creator=factset&amp;DOC_NAME=FAT:FMA_audit_SUMMARY.fat&amp;DISPLAY_STRING=Display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00__FDSAUDITLINK__" localSheetId="6" hidden="1">{"fdsup://directions/FAT Viewer?action=UPDATE&amp;creator=factset&amp;DYN_ARGS=TRUE&amp;DOC_NAME=FAT:FQL_AUDITING_CLIENT_TEMPLATE.FAT&amp;display_string=Audit&amp;VAR:KEY=HMHQBCHQJI&amp;VAR:QUERY=RkZfRUJJVERBX0lCKCdMVE1TJywzOTMxMyk=&amp;WINDOW=FIRST_POPUP&amp;HEIGHT=450&amp;WIDTH=450&amp;START_MA","XIMIZED=FALSE&amp;VAR:CALENDAR=US&amp;VAR:SYMBOL=N0098510&amp;VAR:INDEX=0"}</definedName>
    <definedName name="_6400__FDSAUDITLINK__" hidden="1">{"fdsup://directions/FAT Viewer?action=UPDATE&amp;creator=factset&amp;DYN_ARGS=TRUE&amp;DOC_NAME=FAT:FQL_AUDITING_CLIENT_TEMPLATE.FAT&amp;display_string=Audit&amp;VAR:KEY=HMHQBCHQJI&amp;VAR:QUERY=RkZfRUJJVERBX0lCKCdMVE1TJywzOTMxMyk=&amp;WINDOW=FIRST_POPUP&amp;HEIGHT=450&amp;WIDTH=450&amp;START_MA","XIMIZED=FALSE&amp;VAR:CALENDAR=US&amp;VAR:SYMBOL=N0098510&amp;VAR:INDEX=0"}</definedName>
    <definedName name="_6401__FDSAUDITLINK__" localSheetId="6" hidden="1">{"fdsup://directions/FAT Viewer?action=UPDATE&amp;creator=factset&amp;DYN_ARGS=TRUE&amp;DOC_NAME=FAT:FQL_AUDITING_CLIENT_TEMPLATE.FAT&amp;display_string=Audit&amp;VAR:KEY=JKBIRUBQBE&amp;VAR:QUERY=RkZfRUJJVERBX0lCKCdMVE1TJywzOTMxMik=&amp;WINDOW=FIRST_POPUP&amp;HEIGHT=450&amp;WIDTH=450&amp;START_MA","XIMIZED=FALSE&amp;VAR:CALENDAR=US&amp;VAR:SYMBOL=N0098510&amp;VAR:INDEX=0"}</definedName>
    <definedName name="_6401__FDSAUDITLINK__" hidden="1">{"fdsup://directions/FAT Viewer?action=UPDATE&amp;creator=factset&amp;DYN_ARGS=TRUE&amp;DOC_NAME=FAT:FQL_AUDITING_CLIENT_TEMPLATE.FAT&amp;display_string=Audit&amp;VAR:KEY=JKBIRUBQBE&amp;VAR:QUERY=RkZfRUJJVERBX0lCKCdMVE1TJywzOTMxMik=&amp;WINDOW=FIRST_POPUP&amp;HEIGHT=450&amp;WIDTH=450&amp;START_MA","XIMIZED=FALSE&amp;VAR:CALENDAR=US&amp;VAR:SYMBOL=N0098510&amp;VAR:INDEX=0"}</definedName>
    <definedName name="_6402__FDSAUDITLINK__" localSheetId="6" hidden="1">{"fdsup://directions/FAT Viewer?action=UPDATE&amp;creator=factset&amp;DYN_ARGS=TRUE&amp;DOC_NAME=FAT:FQL_AUDITING_CLIENT_TEMPLATE.FAT&amp;display_string=Audit&amp;VAR:KEY=PMDIFCFKFQ&amp;VAR:QUERY=RkZfRUJJVERBX0lCKCdMVE1TJywzOTMxMSk=&amp;WINDOW=FIRST_POPUP&amp;HEIGHT=450&amp;WIDTH=450&amp;START_MA","XIMIZED=FALSE&amp;VAR:CALENDAR=US&amp;VAR:SYMBOL=N0098510&amp;VAR:INDEX=0"}</definedName>
    <definedName name="_6402__FDSAUDITLINK__" hidden="1">{"fdsup://directions/FAT Viewer?action=UPDATE&amp;creator=factset&amp;DYN_ARGS=TRUE&amp;DOC_NAME=FAT:FQL_AUDITING_CLIENT_TEMPLATE.FAT&amp;display_string=Audit&amp;VAR:KEY=PMDIFCFKFQ&amp;VAR:QUERY=RkZfRUJJVERBX0lCKCdMVE1TJywzOTMxMSk=&amp;WINDOW=FIRST_POPUP&amp;HEIGHT=450&amp;WIDTH=450&amp;START_MA","XIMIZED=FALSE&amp;VAR:CALENDAR=US&amp;VAR:SYMBOL=N0098510&amp;VAR:INDEX=0"}</definedName>
    <definedName name="_6403__FDSAUDITLINK__" localSheetId="6" hidden="1">{"fdsup://directions/FAT Viewer?action=UPDATE&amp;creator=factset&amp;DYN_ARGS=TRUE&amp;DOC_NAME=FAT:FQL_AUDITING_CLIENT_TEMPLATE.FAT&amp;display_string=Audit&amp;VAR:KEY=RKZETGJKTQ&amp;VAR:QUERY=RkZfRUJJVERBX0lCKCdMVE1TJywzOTMxMCk=&amp;WINDOW=FIRST_POPUP&amp;HEIGHT=450&amp;WIDTH=450&amp;START_MA","XIMIZED=FALSE&amp;VAR:CALENDAR=US&amp;VAR:SYMBOL=N0098510&amp;VAR:INDEX=0"}</definedName>
    <definedName name="_6403__FDSAUDITLINK__" hidden="1">{"fdsup://directions/FAT Viewer?action=UPDATE&amp;creator=factset&amp;DYN_ARGS=TRUE&amp;DOC_NAME=FAT:FQL_AUDITING_CLIENT_TEMPLATE.FAT&amp;display_string=Audit&amp;VAR:KEY=RKZETGJKTQ&amp;VAR:QUERY=RkZfRUJJVERBX0lCKCdMVE1TJywzOTMxMCk=&amp;WINDOW=FIRST_POPUP&amp;HEIGHT=450&amp;WIDTH=450&amp;START_MA","XIMIZED=FALSE&amp;VAR:CALENDAR=US&amp;VAR:SYMBOL=N0098510&amp;VAR:INDEX=0"}</definedName>
    <definedName name="_6404__FDSAUDITLINK__" localSheetId="6" hidden="1">{"fdsup://directions/FAT Viewer?action=UPDATE&amp;creator=factset&amp;DYN_ARGS=TRUE&amp;DOC_NAME=FAT:FQL_AUDITING_CLIENT_TEMPLATE.FAT&amp;display_string=Audit&amp;VAR:KEY=VGZCNCBIHM&amp;VAR:QUERY=RkZfRUJJVERBX0lCKCdMVE1TJywzOTMwOSk=&amp;WINDOW=FIRST_POPUP&amp;HEIGHT=450&amp;WIDTH=450&amp;START_MA","XIMIZED=FALSE&amp;VAR:CALENDAR=US&amp;VAR:SYMBOL=N0098510&amp;VAR:INDEX=0"}</definedName>
    <definedName name="_6404__FDSAUDITLINK__" hidden="1">{"fdsup://directions/FAT Viewer?action=UPDATE&amp;creator=factset&amp;DYN_ARGS=TRUE&amp;DOC_NAME=FAT:FQL_AUDITING_CLIENT_TEMPLATE.FAT&amp;display_string=Audit&amp;VAR:KEY=VGZCNCBIHM&amp;VAR:QUERY=RkZfRUJJVERBX0lCKCdMVE1TJywzOTMwOSk=&amp;WINDOW=FIRST_POPUP&amp;HEIGHT=450&amp;WIDTH=450&amp;START_MA","XIMIZED=FALSE&amp;VAR:CALENDAR=US&amp;VAR:SYMBOL=N0098510&amp;VAR:INDEX=0"}</definedName>
    <definedName name="_6405__FDSAUDITLINK__" localSheetId="6" hidden="1">{"fdsup://directions/FAT Viewer?action=UPDATE&amp;creator=factset&amp;DYN_ARGS=TRUE&amp;DOC_NAME=FAT:FQL_AUDITING_CLIENT_TEMPLATE.FAT&amp;display_string=Audit&amp;VAR:KEY=XARCXIDOHG&amp;VAR:QUERY=RkZfRUJJVERBX0lCKCdMVE1TJywzOTMwOCk=&amp;WINDOW=FIRST_POPUP&amp;HEIGHT=450&amp;WIDTH=450&amp;START_MA","XIMIZED=FALSE&amp;VAR:CALENDAR=US&amp;VAR:SYMBOL=N0098510&amp;VAR:INDEX=0"}</definedName>
    <definedName name="_6405__FDSAUDITLINK__" hidden="1">{"fdsup://directions/FAT Viewer?action=UPDATE&amp;creator=factset&amp;DYN_ARGS=TRUE&amp;DOC_NAME=FAT:FQL_AUDITING_CLIENT_TEMPLATE.FAT&amp;display_string=Audit&amp;VAR:KEY=XARCXIDOHG&amp;VAR:QUERY=RkZfRUJJVERBX0lCKCdMVE1TJywzOTMwOCk=&amp;WINDOW=FIRST_POPUP&amp;HEIGHT=450&amp;WIDTH=450&amp;START_MA","XIMIZED=FALSE&amp;VAR:CALENDAR=US&amp;VAR:SYMBOL=N0098510&amp;VAR:INDEX=0"}</definedName>
    <definedName name="_6406__FDSAUDITLINK__" localSheetId="6" hidden="1">{"fdsup://directions/FAT Viewer?action=UPDATE&amp;creator=factset&amp;DYN_ARGS=TRUE&amp;DOC_NAME=FAT:FQL_AUDITING_CLIENT_TEMPLATE.FAT&amp;display_string=Audit&amp;VAR:KEY=BARMLIBEPK&amp;VAR:QUERY=RkZfRUJJVERBX0lCKCdMVE1TJywzOTMwNyk=&amp;WINDOW=FIRST_POPUP&amp;HEIGHT=450&amp;WIDTH=450&amp;START_MA","XIMIZED=FALSE&amp;VAR:CALENDAR=US&amp;VAR:SYMBOL=N0098510&amp;VAR:INDEX=0"}</definedName>
    <definedName name="_6406__FDSAUDITLINK__" hidden="1">{"fdsup://directions/FAT Viewer?action=UPDATE&amp;creator=factset&amp;DYN_ARGS=TRUE&amp;DOC_NAME=FAT:FQL_AUDITING_CLIENT_TEMPLATE.FAT&amp;display_string=Audit&amp;VAR:KEY=BARMLIBEPK&amp;VAR:QUERY=RkZfRUJJVERBX0lCKCdMVE1TJywzOTMwNyk=&amp;WINDOW=FIRST_POPUP&amp;HEIGHT=450&amp;WIDTH=450&amp;START_MA","XIMIZED=FALSE&amp;VAR:CALENDAR=US&amp;VAR:SYMBOL=N0098510&amp;VAR:INDEX=0"}</definedName>
    <definedName name="_6407__FDSAUDITLINK__" localSheetId="6" hidden="1">{"fdsup://directions/FAT Viewer?action=UPDATE&amp;creator=factset&amp;DYN_ARGS=TRUE&amp;DOC_NAME=FAT:FQL_AUDITING_CLIENT_TEMPLATE.FAT&amp;display_string=Audit&amp;VAR:KEY=RANMJCPSZS&amp;VAR:QUERY=RkZfRUJJVERBX0lCKCdMVE1TJywzOTMwNik=&amp;WINDOW=FIRST_POPUP&amp;HEIGHT=450&amp;WIDTH=450&amp;START_MA","XIMIZED=FALSE&amp;VAR:CALENDAR=US&amp;VAR:SYMBOL=N0098510&amp;VAR:INDEX=0"}</definedName>
    <definedName name="_6407__FDSAUDITLINK__" hidden="1">{"fdsup://directions/FAT Viewer?action=UPDATE&amp;creator=factset&amp;DYN_ARGS=TRUE&amp;DOC_NAME=FAT:FQL_AUDITING_CLIENT_TEMPLATE.FAT&amp;display_string=Audit&amp;VAR:KEY=RANMJCPSZS&amp;VAR:QUERY=RkZfRUJJVERBX0lCKCdMVE1TJywzOTMwNik=&amp;WINDOW=FIRST_POPUP&amp;HEIGHT=450&amp;WIDTH=450&amp;START_MA","XIMIZED=FALSE&amp;VAR:CALENDAR=US&amp;VAR:SYMBOL=N0098510&amp;VAR:INDEX=0"}</definedName>
    <definedName name="_6408__FDSAUDITLINK__" localSheetId="6" hidden="1">{"fdsup://directions/FAT Viewer?action=UPDATE&amp;creator=factset&amp;DYN_ARGS=TRUE&amp;DOC_NAME=FAT:FQL_AUDITING_CLIENT_TEMPLATE.FAT&amp;display_string=Audit&amp;VAR:KEY=PUPIZOPINA&amp;VAR:QUERY=RkZfRUJJVERBX0lCKCdMVE1TJywzOTMwNSk=&amp;WINDOW=FIRST_POPUP&amp;HEIGHT=450&amp;WIDTH=450&amp;START_MA","XIMIZED=FALSE&amp;VAR:CALENDAR=US&amp;VAR:SYMBOL=N0098510&amp;VAR:INDEX=0"}</definedName>
    <definedName name="_6408__FDSAUDITLINK__" hidden="1">{"fdsup://directions/FAT Viewer?action=UPDATE&amp;creator=factset&amp;DYN_ARGS=TRUE&amp;DOC_NAME=FAT:FQL_AUDITING_CLIENT_TEMPLATE.FAT&amp;display_string=Audit&amp;VAR:KEY=PUPIZOPINA&amp;VAR:QUERY=RkZfRUJJVERBX0lCKCdMVE1TJywzOTMwNSk=&amp;WINDOW=FIRST_POPUP&amp;HEIGHT=450&amp;WIDTH=450&amp;START_MA","XIMIZED=FALSE&amp;VAR:CALENDAR=US&amp;VAR:SYMBOL=N0098510&amp;VAR:INDEX=0"}</definedName>
    <definedName name="_6409__FDSAUDITLINK__" localSheetId="6" hidden="1">{"fdsup://directions/FAT Viewer?action=UPDATE&amp;creator=factset&amp;DYN_ARGS=TRUE&amp;DOC_NAME=FAT:FQL_AUDITING_CLIENT_TEMPLATE.FAT&amp;display_string=Audit&amp;VAR:KEY=XEJQBUVWBQ&amp;VAR:QUERY=RkZfRUJJVERBX0lCKCdMVE1TJywzOTMwNCk=&amp;WINDOW=FIRST_POPUP&amp;HEIGHT=450&amp;WIDTH=450&amp;START_MA","XIMIZED=FALSE&amp;VAR:CALENDAR=US&amp;VAR:SYMBOL=N0098510&amp;VAR:INDEX=0"}</definedName>
    <definedName name="_6409__FDSAUDITLINK__" hidden="1">{"fdsup://directions/FAT Viewer?action=UPDATE&amp;creator=factset&amp;DYN_ARGS=TRUE&amp;DOC_NAME=FAT:FQL_AUDITING_CLIENT_TEMPLATE.FAT&amp;display_string=Audit&amp;VAR:KEY=XEJQBUVWBQ&amp;VAR:QUERY=RkZfRUJJVERBX0lCKCdMVE1TJywzOTMwNCk=&amp;WINDOW=FIRST_POPUP&amp;HEIGHT=450&amp;WIDTH=450&amp;START_MA","XIMIZED=FALSE&amp;VAR:CALENDAR=US&amp;VAR:SYMBOL=N0098510&amp;VAR:INDEX=0"}</definedName>
    <definedName name="_641__FDSAUDITLINK__" localSheetId="6" hidden="1">{"fdsup://directions/FAT%20Viewer?VAR:PED=LTM&amp;VAR:AUDIT_MODE=SUMMARY&amp;VAR:PERIOD=FIXED&amp;VAR:AUDIT_ID=00000117&amp;VAR:DATE=20080521&amp;action=UPDATE&amp;creator=factset&amp;DOC_NAME=FAT:FMA_audit_SUMMARY.fat&amp;DISPLAY_STRING=Display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1__FDSAUDITLINK__" hidden="1">{"fdsup://directions/FAT%20Viewer?VAR:PED=LTM&amp;VAR:AUDIT_MODE=SUMMARY&amp;VAR:PERIOD=FIXED&amp;VAR:AUDIT_ID=00000117&amp;VAR:DATE=20080521&amp;action=UPDATE&amp;creator=factset&amp;DOC_NAME=FAT:FMA_audit_SUMMARY.fat&amp;DISPLAY_STRING=Display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10__FDSAUDITLINK__" localSheetId="6" hidden="1">{"fdsup://directions/FAT Viewer?action=UPDATE&amp;creator=factset&amp;DYN_ARGS=TRUE&amp;DOC_NAME=FAT:FQL_AUDITING_CLIENT_TEMPLATE.FAT&amp;display_string=Audit&amp;VAR:KEY=VEHCHGNEXU&amp;VAR:QUERY=RkZfRUJJVERBX0lCKCdMVE1TJywzOTMwMyk=&amp;WINDOW=FIRST_POPUP&amp;HEIGHT=450&amp;WIDTH=450&amp;START_MA","XIMIZED=FALSE&amp;VAR:CALENDAR=US&amp;VAR:SYMBOL=N0098510&amp;VAR:INDEX=0"}</definedName>
    <definedName name="_6410__FDSAUDITLINK__" hidden="1">{"fdsup://directions/FAT Viewer?action=UPDATE&amp;creator=factset&amp;DYN_ARGS=TRUE&amp;DOC_NAME=FAT:FQL_AUDITING_CLIENT_TEMPLATE.FAT&amp;display_string=Audit&amp;VAR:KEY=VEHCHGNEXU&amp;VAR:QUERY=RkZfRUJJVERBX0lCKCdMVE1TJywzOTMwMyk=&amp;WINDOW=FIRST_POPUP&amp;HEIGHT=450&amp;WIDTH=450&amp;START_MA","XIMIZED=FALSE&amp;VAR:CALENDAR=US&amp;VAR:SYMBOL=N0098510&amp;VAR:INDEX=0"}</definedName>
    <definedName name="_6411__FDSAUDITLINK__" localSheetId="6" hidden="1">{"fdsup://directions/FAT Viewer?action=UPDATE&amp;creator=factset&amp;DYN_ARGS=TRUE&amp;DOC_NAME=FAT:FQL_AUDITING_CLIENT_TEMPLATE.FAT&amp;display_string=Audit&amp;VAR:KEY=NQVIRULGNS&amp;VAR:QUERY=RkZfRUJJVERBX0lCKCdMVE1TJywzOTMwMik=&amp;WINDOW=FIRST_POPUP&amp;HEIGHT=450&amp;WIDTH=450&amp;START_MA","XIMIZED=FALSE&amp;VAR:CALENDAR=US&amp;VAR:SYMBOL=N0098510&amp;VAR:INDEX=0"}</definedName>
    <definedName name="_6411__FDSAUDITLINK__" hidden="1">{"fdsup://directions/FAT Viewer?action=UPDATE&amp;creator=factset&amp;DYN_ARGS=TRUE&amp;DOC_NAME=FAT:FQL_AUDITING_CLIENT_TEMPLATE.FAT&amp;display_string=Audit&amp;VAR:KEY=NQVIRULGNS&amp;VAR:QUERY=RkZfRUJJVERBX0lCKCdMVE1TJywzOTMwMik=&amp;WINDOW=FIRST_POPUP&amp;HEIGHT=450&amp;WIDTH=450&amp;START_MA","XIMIZED=FALSE&amp;VAR:CALENDAR=US&amp;VAR:SYMBOL=N0098510&amp;VAR:INDEX=0"}</definedName>
    <definedName name="_6412__FDSAUDITLINK__" localSheetId="6" hidden="1">{"fdsup://directions/FAT Viewer?action=UPDATE&amp;creator=factset&amp;DYN_ARGS=TRUE&amp;DOC_NAME=FAT:FQL_AUDITING_CLIENT_TEMPLATE.FAT&amp;display_string=Audit&amp;VAR:KEY=TKNINCLIZG&amp;VAR:QUERY=RkZfRUJJVERBX0lCKCdMVE1TJywzOTMwMSk=&amp;WINDOW=FIRST_POPUP&amp;HEIGHT=450&amp;WIDTH=450&amp;START_MA","XIMIZED=FALSE&amp;VAR:CALENDAR=US&amp;VAR:SYMBOL=N0098510&amp;VAR:INDEX=0"}</definedName>
    <definedName name="_6412__FDSAUDITLINK__" hidden="1">{"fdsup://directions/FAT Viewer?action=UPDATE&amp;creator=factset&amp;DYN_ARGS=TRUE&amp;DOC_NAME=FAT:FQL_AUDITING_CLIENT_TEMPLATE.FAT&amp;display_string=Audit&amp;VAR:KEY=TKNINCLIZG&amp;VAR:QUERY=RkZfRUJJVERBX0lCKCdMVE1TJywzOTMwMSk=&amp;WINDOW=FIRST_POPUP&amp;HEIGHT=450&amp;WIDTH=450&amp;START_MA","XIMIZED=FALSE&amp;VAR:CALENDAR=US&amp;VAR:SYMBOL=N0098510&amp;VAR:INDEX=0"}</definedName>
    <definedName name="_6413__FDSAUDITLINK__" localSheetId="6" hidden="1">{"fdsup://directions/FAT Viewer?action=UPDATE&amp;creator=factset&amp;DYN_ARGS=TRUE&amp;DOC_NAME=FAT:FQL_AUDITING_CLIENT_TEMPLATE.FAT&amp;display_string=Audit&amp;VAR:KEY=HIRUDWXUNU&amp;VAR:QUERY=RkZfRUJJVERBX0lCKCdMVE1TJywzOTMwMCk=&amp;WINDOW=FIRST_POPUP&amp;HEIGHT=450&amp;WIDTH=450&amp;START_MA","XIMIZED=FALSE&amp;VAR:CALENDAR=US&amp;VAR:SYMBOL=N0098510&amp;VAR:INDEX=0"}</definedName>
    <definedName name="_6413__FDSAUDITLINK__" hidden="1">{"fdsup://directions/FAT Viewer?action=UPDATE&amp;creator=factset&amp;DYN_ARGS=TRUE&amp;DOC_NAME=FAT:FQL_AUDITING_CLIENT_TEMPLATE.FAT&amp;display_string=Audit&amp;VAR:KEY=HIRUDWXUNU&amp;VAR:QUERY=RkZfRUJJVERBX0lCKCdMVE1TJywzOTMwMCk=&amp;WINDOW=FIRST_POPUP&amp;HEIGHT=450&amp;WIDTH=450&amp;START_MA","XIMIZED=FALSE&amp;VAR:CALENDAR=US&amp;VAR:SYMBOL=N0098510&amp;VAR:INDEX=0"}</definedName>
    <definedName name="_6414__FDSAUDITLINK__" localSheetId="6" hidden="1">{"fdsup://directions/FAT Viewer?action=UPDATE&amp;creator=factset&amp;DYN_ARGS=TRUE&amp;DOC_NAME=FAT:FQL_AUDITING_CLIENT_TEMPLATE.FAT&amp;display_string=Audit&amp;VAR:KEY=TAPWZKVQTO&amp;VAR:QUERY=RkZfRUJJVERBX0lCKCdMVE1TJywzOTI5OSk=&amp;WINDOW=FIRST_POPUP&amp;HEIGHT=450&amp;WIDTH=450&amp;START_MA","XIMIZED=FALSE&amp;VAR:CALENDAR=US&amp;VAR:SYMBOL=N0098510&amp;VAR:INDEX=0"}</definedName>
    <definedName name="_6414__FDSAUDITLINK__" hidden="1">{"fdsup://directions/FAT Viewer?action=UPDATE&amp;creator=factset&amp;DYN_ARGS=TRUE&amp;DOC_NAME=FAT:FQL_AUDITING_CLIENT_TEMPLATE.FAT&amp;display_string=Audit&amp;VAR:KEY=TAPWZKVQTO&amp;VAR:QUERY=RkZfRUJJVERBX0lCKCdMVE1TJywzOTI5OSk=&amp;WINDOW=FIRST_POPUP&amp;HEIGHT=450&amp;WIDTH=450&amp;START_MA","XIMIZED=FALSE&amp;VAR:CALENDAR=US&amp;VAR:SYMBOL=N0098510&amp;VAR:INDEX=0"}</definedName>
    <definedName name="_6415__FDSAUDITLINK__" localSheetId="6" hidden="1">{"fdsup://directions/FAT Viewer?action=UPDATE&amp;creator=factset&amp;DYN_ARGS=TRUE&amp;DOC_NAME=FAT:FQL_AUDITING_CLIENT_TEMPLATE.FAT&amp;display_string=Audit&amp;VAR:KEY=VALEZQJSBK&amp;VAR:QUERY=RkZfRUJJVERBX0lCKCdMVE1TJywzOTI5OCk=&amp;WINDOW=FIRST_POPUP&amp;HEIGHT=450&amp;WIDTH=450&amp;START_MA","XIMIZED=FALSE&amp;VAR:CALENDAR=US&amp;VAR:SYMBOL=N0098510&amp;VAR:INDEX=0"}</definedName>
    <definedName name="_6415__FDSAUDITLINK__" hidden="1">{"fdsup://directions/FAT Viewer?action=UPDATE&amp;creator=factset&amp;DYN_ARGS=TRUE&amp;DOC_NAME=FAT:FQL_AUDITING_CLIENT_TEMPLATE.FAT&amp;display_string=Audit&amp;VAR:KEY=VALEZQJSBK&amp;VAR:QUERY=RkZfRUJJVERBX0lCKCdMVE1TJywzOTI5OCk=&amp;WINDOW=FIRST_POPUP&amp;HEIGHT=450&amp;WIDTH=450&amp;START_MA","XIMIZED=FALSE&amp;VAR:CALENDAR=US&amp;VAR:SYMBOL=N0098510&amp;VAR:INDEX=0"}</definedName>
    <definedName name="_6416__FDSAUDITLINK__" localSheetId="6" hidden="1">{"fdsup://directions/FAT Viewer?action=UPDATE&amp;creator=factset&amp;DYN_ARGS=TRUE&amp;DOC_NAME=FAT:FQL_AUDITING_CLIENT_TEMPLATE.FAT&amp;display_string=Audit&amp;VAR:KEY=JAHANYJWRQ&amp;VAR:QUERY=RkZfRUJJVERBX0lCKCdMVE1TJywzOTI5Nyk=&amp;WINDOW=FIRST_POPUP&amp;HEIGHT=450&amp;WIDTH=450&amp;START_MA","XIMIZED=FALSE&amp;VAR:CALENDAR=US&amp;VAR:SYMBOL=N0098510&amp;VAR:INDEX=0"}</definedName>
    <definedName name="_6416__FDSAUDITLINK__" hidden="1">{"fdsup://directions/FAT Viewer?action=UPDATE&amp;creator=factset&amp;DYN_ARGS=TRUE&amp;DOC_NAME=FAT:FQL_AUDITING_CLIENT_TEMPLATE.FAT&amp;display_string=Audit&amp;VAR:KEY=JAHANYJWRQ&amp;VAR:QUERY=RkZfRUJJVERBX0lCKCdMVE1TJywzOTI5Nyk=&amp;WINDOW=FIRST_POPUP&amp;HEIGHT=450&amp;WIDTH=450&amp;START_MA","XIMIZED=FALSE&amp;VAR:CALENDAR=US&amp;VAR:SYMBOL=N0098510&amp;VAR:INDEX=0"}</definedName>
    <definedName name="_6417__FDSAUDITLINK__" localSheetId="6" hidden="1">{"fdsup://directions/FAT Viewer?action=UPDATE&amp;creator=factset&amp;DYN_ARGS=TRUE&amp;DOC_NAME=FAT:FQL_AUDITING_CLIENT_TEMPLATE.FAT&amp;display_string=Audit&amp;VAR:KEY=XYXMRWPAVW&amp;VAR:QUERY=RkZfRUJJVERBX0lCKCdMVE1TJywzOTI5Nik=&amp;WINDOW=FIRST_POPUP&amp;HEIGHT=450&amp;WIDTH=450&amp;START_MA","XIMIZED=FALSE&amp;VAR:CALENDAR=US&amp;VAR:SYMBOL=N0098510&amp;VAR:INDEX=0"}</definedName>
    <definedName name="_6417__FDSAUDITLINK__" hidden="1">{"fdsup://directions/FAT Viewer?action=UPDATE&amp;creator=factset&amp;DYN_ARGS=TRUE&amp;DOC_NAME=FAT:FQL_AUDITING_CLIENT_TEMPLATE.FAT&amp;display_string=Audit&amp;VAR:KEY=XYXMRWPAVW&amp;VAR:QUERY=RkZfRUJJVERBX0lCKCdMVE1TJywzOTI5Nik=&amp;WINDOW=FIRST_POPUP&amp;HEIGHT=450&amp;WIDTH=450&amp;START_MA","XIMIZED=FALSE&amp;VAR:CALENDAR=US&amp;VAR:SYMBOL=N0098510&amp;VAR:INDEX=0"}</definedName>
    <definedName name="_6418__FDSAUDITLINK__" localSheetId="6" hidden="1">{"fdsup://directions/FAT Viewer?action=UPDATE&amp;creator=factset&amp;DYN_ARGS=TRUE&amp;DOC_NAME=FAT:FQL_AUDITING_CLIENT_TEMPLATE.FAT&amp;display_string=Audit&amp;VAR:KEY=RYJOVIRKVI&amp;VAR:QUERY=RkZfRUJJVERBX0lCKCdMVE1TJywzOTI5NSk=&amp;WINDOW=FIRST_POPUP&amp;HEIGHT=450&amp;WIDTH=450&amp;START_MA","XIMIZED=FALSE&amp;VAR:CALENDAR=US&amp;VAR:SYMBOL=N0098510&amp;VAR:INDEX=0"}</definedName>
    <definedName name="_6418__FDSAUDITLINK__" hidden="1">{"fdsup://directions/FAT Viewer?action=UPDATE&amp;creator=factset&amp;DYN_ARGS=TRUE&amp;DOC_NAME=FAT:FQL_AUDITING_CLIENT_TEMPLATE.FAT&amp;display_string=Audit&amp;VAR:KEY=RYJOVIRKVI&amp;VAR:QUERY=RkZfRUJJVERBX0lCKCdMVE1TJywzOTI5NSk=&amp;WINDOW=FIRST_POPUP&amp;HEIGHT=450&amp;WIDTH=450&amp;START_MA","XIMIZED=FALSE&amp;VAR:CALENDAR=US&amp;VAR:SYMBOL=N0098510&amp;VAR:INDEX=0"}</definedName>
    <definedName name="_6419__FDSAUDITLINK__" localSheetId="6" hidden="1">{"fdsup://directions/FAT Viewer?action=UPDATE&amp;creator=factset&amp;DYN_ARGS=TRUE&amp;DOC_NAME=FAT:FQL_AUDITING_CLIENT_TEMPLATE.FAT&amp;display_string=Audit&amp;VAR:KEY=PMNMZUFGJU&amp;VAR:QUERY=RkZfRUJJVERBX0lCKCdMVE1TJywzOTI5NCk=&amp;WINDOW=FIRST_POPUP&amp;HEIGHT=450&amp;WIDTH=450&amp;START_MA","XIMIZED=FALSE&amp;VAR:CALENDAR=US&amp;VAR:SYMBOL=N0098510&amp;VAR:INDEX=0"}</definedName>
    <definedName name="_6419__FDSAUDITLINK__" hidden="1">{"fdsup://directions/FAT Viewer?action=UPDATE&amp;creator=factset&amp;DYN_ARGS=TRUE&amp;DOC_NAME=FAT:FQL_AUDITING_CLIENT_TEMPLATE.FAT&amp;display_string=Audit&amp;VAR:KEY=PMNMZUFGJU&amp;VAR:QUERY=RkZfRUJJVERBX0lCKCdMVE1TJywzOTI5NCk=&amp;WINDOW=FIRST_POPUP&amp;HEIGHT=450&amp;WIDTH=450&amp;START_MA","XIMIZED=FALSE&amp;VAR:CALENDAR=US&amp;VAR:SYMBOL=N0098510&amp;VAR:INDEX=0"}</definedName>
    <definedName name="_642__FDSAUDITLINK__" localSheetId="6" hidden="1">{"fdsup://directions/FAT%20Viewer?VAR:PED=LTM&amp;VAR:AUDIT_MODE=SUMMARY&amp;VAR:PERIOD=FIXED&amp;VAR:AUDIT_ID=00000117&amp;VAR:DATE=20080520&amp;action=UPDATE&amp;creator=factset&amp;DOC_NAME=FAT:FMA_audit_SUMMARY.fat&amp;DISPLAY_STRING=Display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2__FDSAUDITLINK__" hidden="1">{"fdsup://directions/FAT%20Viewer?VAR:PED=LTM&amp;VAR:AUDIT_MODE=SUMMARY&amp;VAR:PERIOD=FIXED&amp;VAR:AUDIT_ID=00000117&amp;VAR:DATE=20080520&amp;action=UPDATE&amp;creator=factset&amp;DOC_NAME=FAT:FMA_audit_SUMMARY.fat&amp;DISPLAY_STRING=Display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20__FDSAUDITLINK__" localSheetId="6" hidden="1">{"fdsup://directions/FAT Viewer?action=UPDATE&amp;creator=factset&amp;DYN_ARGS=TRUE&amp;DOC_NAME=FAT:FQL_AUDITING_CLIENT_TEMPLATE.FAT&amp;display_string=Audit&amp;VAR:KEY=JMVEHAPQPI&amp;VAR:QUERY=RkZfRUJJVERBX0lCKCdMVE1TJywzOTI5Myk=&amp;WINDOW=FIRST_POPUP&amp;HEIGHT=450&amp;WIDTH=450&amp;START_MA","XIMIZED=FALSE&amp;VAR:CALENDAR=US&amp;VAR:SYMBOL=N0098510&amp;VAR:INDEX=0"}</definedName>
    <definedName name="_6420__FDSAUDITLINK__" hidden="1">{"fdsup://directions/FAT Viewer?action=UPDATE&amp;creator=factset&amp;DYN_ARGS=TRUE&amp;DOC_NAME=FAT:FQL_AUDITING_CLIENT_TEMPLATE.FAT&amp;display_string=Audit&amp;VAR:KEY=JMVEHAPQPI&amp;VAR:QUERY=RkZfRUJJVERBX0lCKCdMVE1TJywzOTI5Myk=&amp;WINDOW=FIRST_POPUP&amp;HEIGHT=450&amp;WIDTH=450&amp;START_MA","XIMIZED=FALSE&amp;VAR:CALENDAR=US&amp;VAR:SYMBOL=N0098510&amp;VAR:INDEX=0"}</definedName>
    <definedName name="_6421__FDSAUDITLINK__" localSheetId="6" hidden="1">{"fdsup://directions/FAT Viewer?action=UPDATE&amp;creator=factset&amp;DYN_ARGS=TRUE&amp;DOC_NAME=FAT:FQL_AUDITING_CLIENT_TEMPLATE.FAT&amp;display_string=Audit&amp;VAR:KEY=DKFAJAXOLA&amp;VAR:QUERY=RkZfRUJJVERBX0lCKCdMVE1TJywzOTI5Mik=&amp;WINDOW=FIRST_POPUP&amp;HEIGHT=450&amp;WIDTH=450&amp;START_MA","XIMIZED=FALSE&amp;VAR:CALENDAR=US&amp;VAR:SYMBOL=N0098510&amp;VAR:INDEX=0"}</definedName>
    <definedName name="_6421__FDSAUDITLINK__" hidden="1">{"fdsup://directions/FAT Viewer?action=UPDATE&amp;creator=factset&amp;DYN_ARGS=TRUE&amp;DOC_NAME=FAT:FQL_AUDITING_CLIENT_TEMPLATE.FAT&amp;display_string=Audit&amp;VAR:KEY=DKFAJAXOLA&amp;VAR:QUERY=RkZfRUJJVERBX0lCKCdMVE1TJywzOTI5Mik=&amp;WINDOW=FIRST_POPUP&amp;HEIGHT=450&amp;WIDTH=450&amp;START_MA","XIMIZED=FALSE&amp;VAR:CALENDAR=US&amp;VAR:SYMBOL=N0098510&amp;VAR:INDEX=0"}</definedName>
    <definedName name="_6422__FDSAUDITLINK__" localSheetId="6" hidden="1">{"fdsup://directions/FAT Viewer?action=UPDATE&amp;creator=factset&amp;DYN_ARGS=TRUE&amp;DOC_NAME=FAT:FQL_AUDITING_CLIENT_TEMPLATE.FAT&amp;display_string=Audit&amp;VAR:KEY=JAHGFAZQJW&amp;VAR:QUERY=RkZfRUJJVERBX0lCKCdMVE1TJywzOTI5MSk=&amp;WINDOW=FIRST_POPUP&amp;HEIGHT=450&amp;WIDTH=450&amp;START_MA","XIMIZED=FALSE&amp;VAR:CALENDAR=US&amp;VAR:SYMBOL=N0098510&amp;VAR:INDEX=0"}</definedName>
    <definedName name="_6422__FDSAUDITLINK__" hidden="1">{"fdsup://directions/FAT Viewer?action=UPDATE&amp;creator=factset&amp;DYN_ARGS=TRUE&amp;DOC_NAME=FAT:FQL_AUDITING_CLIENT_TEMPLATE.FAT&amp;display_string=Audit&amp;VAR:KEY=JAHGFAZQJW&amp;VAR:QUERY=RkZfRUJJVERBX0lCKCdMVE1TJywzOTI5MSk=&amp;WINDOW=FIRST_POPUP&amp;HEIGHT=450&amp;WIDTH=450&amp;START_MA","XIMIZED=FALSE&amp;VAR:CALENDAR=US&amp;VAR:SYMBOL=N0098510&amp;VAR:INDEX=0"}</definedName>
    <definedName name="_6423__FDSAUDITLINK__" localSheetId="6" hidden="1">{"fdsup://directions/FAT Viewer?action=UPDATE&amp;creator=factset&amp;DYN_ARGS=TRUE&amp;DOC_NAME=FAT:FQL_AUDITING_CLIENT_TEMPLATE.FAT&amp;display_string=Audit&amp;VAR:KEY=DOLYPMPWBM&amp;VAR:QUERY=RkZfRUJJVERBX0lCKCdMVE1TJywzOTI5MCk=&amp;WINDOW=FIRST_POPUP&amp;HEIGHT=450&amp;WIDTH=450&amp;START_MA","XIMIZED=FALSE&amp;VAR:CALENDAR=US&amp;VAR:SYMBOL=N0098510&amp;VAR:INDEX=0"}</definedName>
    <definedName name="_6423__FDSAUDITLINK__" hidden="1">{"fdsup://directions/FAT Viewer?action=UPDATE&amp;creator=factset&amp;DYN_ARGS=TRUE&amp;DOC_NAME=FAT:FQL_AUDITING_CLIENT_TEMPLATE.FAT&amp;display_string=Audit&amp;VAR:KEY=DOLYPMPWBM&amp;VAR:QUERY=RkZfRUJJVERBX0lCKCdMVE1TJywzOTI5MCk=&amp;WINDOW=FIRST_POPUP&amp;HEIGHT=450&amp;WIDTH=450&amp;START_MA","XIMIZED=FALSE&amp;VAR:CALENDAR=US&amp;VAR:SYMBOL=N0098510&amp;VAR:INDEX=0"}</definedName>
    <definedName name="_6424__FDSAUDITLINK__" localSheetId="6" hidden="1">{"fdsup://directions/FAT Viewer?action=UPDATE&amp;creator=factset&amp;DYN_ARGS=TRUE&amp;DOC_NAME=FAT:FQL_AUDITING_CLIENT_TEMPLATE.FAT&amp;display_string=Audit&amp;VAR:KEY=PSPSVERMVG&amp;VAR:QUERY=RkZfRUJJVERBX0lCKCdMVE1TJywzOTI4OSk=&amp;WINDOW=FIRST_POPUP&amp;HEIGHT=450&amp;WIDTH=450&amp;START_MA","XIMIZED=FALSE&amp;VAR:CALENDAR=US&amp;VAR:SYMBOL=N0098510&amp;VAR:INDEX=0"}</definedName>
    <definedName name="_6424__FDSAUDITLINK__" hidden="1">{"fdsup://directions/FAT Viewer?action=UPDATE&amp;creator=factset&amp;DYN_ARGS=TRUE&amp;DOC_NAME=FAT:FQL_AUDITING_CLIENT_TEMPLATE.FAT&amp;display_string=Audit&amp;VAR:KEY=PSPSVERMVG&amp;VAR:QUERY=RkZfRUJJVERBX0lCKCdMVE1TJywzOTI4OSk=&amp;WINDOW=FIRST_POPUP&amp;HEIGHT=450&amp;WIDTH=450&amp;START_MA","XIMIZED=FALSE&amp;VAR:CALENDAR=US&amp;VAR:SYMBOL=N0098510&amp;VAR:INDEX=0"}</definedName>
    <definedName name="_6425__FDSAUDITLINK__" localSheetId="6" hidden="1">{"fdsup://directions/FAT Viewer?action=UPDATE&amp;creator=factset&amp;DYN_ARGS=TRUE&amp;DOC_NAME=FAT:FQL_AUDITING_CLIENT_TEMPLATE.FAT&amp;display_string=Audit&amp;VAR:KEY=ZIXMXOZCDM&amp;VAR:QUERY=RkZfRUJJVERBX0lCKCdMVE1TJywzOTI4OCk=&amp;WINDOW=FIRST_POPUP&amp;HEIGHT=450&amp;WIDTH=450&amp;START_MA","XIMIZED=FALSE&amp;VAR:CALENDAR=US&amp;VAR:SYMBOL=N0098510&amp;VAR:INDEX=0"}</definedName>
    <definedName name="_6425__FDSAUDITLINK__" hidden="1">{"fdsup://directions/FAT Viewer?action=UPDATE&amp;creator=factset&amp;DYN_ARGS=TRUE&amp;DOC_NAME=FAT:FQL_AUDITING_CLIENT_TEMPLATE.FAT&amp;display_string=Audit&amp;VAR:KEY=ZIXMXOZCDM&amp;VAR:QUERY=RkZfRUJJVERBX0lCKCdMVE1TJywzOTI4OCk=&amp;WINDOW=FIRST_POPUP&amp;HEIGHT=450&amp;WIDTH=450&amp;START_MA","XIMIZED=FALSE&amp;VAR:CALENDAR=US&amp;VAR:SYMBOL=N0098510&amp;VAR:INDEX=0"}</definedName>
    <definedName name="_6426__FDSAUDITLINK__" localSheetId="6" hidden="1">{"fdsup://directions/FAT Viewer?action=UPDATE&amp;creator=factset&amp;DYN_ARGS=TRUE&amp;DOC_NAME=FAT:FQL_AUDITING_CLIENT_TEMPLATE.FAT&amp;display_string=Audit&amp;VAR:KEY=ZWDYHQFCZE&amp;VAR:QUERY=RkZfRUJJVERBX0lCKCdMVE1TJywzOTI4Nyk=&amp;WINDOW=FIRST_POPUP&amp;HEIGHT=450&amp;WIDTH=450&amp;START_MA","XIMIZED=FALSE&amp;VAR:CALENDAR=US&amp;VAR:SYMBOL=N0098510&amp;VAR:INDEX=0"}</definedName>
    <definedName name="_6426__FDSAUDITLINK__" hidden="1">{"fdsup://directions/FAT Viewer?action=UPDATE&amp;creator=factset&amp;DYN_ARGS=TRUE&amp;DOC_NAME=FAT:FQL_AUDITING_CLIENT_TEMPLATE.FAT&amp;display_string=Audit&amp;VAR:KEY=ZWDYHQFCZE&amp;VAR:QUERY=RkZfRUJJVERBX0lCKCdMVE1TJywzOTI4Nyk=&amp;WINDOW=FIRST_POPUP&amp;HEIGHT=450&amp;WIDTH=450&amp;START_MA","XIMIZED=FALSE&amp;VAR:CALENDAR=US&amp;VAR:SYMBOL=N0098510&amp;VAR:INDEX=0"}</definedName>
    <definedName name="_6427__FDSAUDITLINK__" localSheetId="6" hidden="1">{"fdsup://directions/FAT Viewer?action=UPDATE&amp;creator=factset&amp;DYN_ARGS=TRUE&amp;DOC_NAME=FAT:FQL_AUDITING_CLIENT_TEMPLATE.FAT&amp;display_string=Audit&amp;VAR:KEY=ZIDQVYPKLC&amp;VAR:QUERY=RkZfRUJJVERBX0lCKCdMVE1TJywzOTI4Nik=&amp;WINDOW=FIRST_POPUP&amp;HEIGHT=450&amp;WIDTH=450&amp;START_MA","XIMIZED=FALSE&amp;VAR:CALENDAR=US&amp;VAR:SYMBOL=N0098510&amp;VAR:INDEX=0"}</definedName>
    <definedName name="_6427__FDSAUDITLINK__" hidden="1">{"fdsup://directions/FAT Viewer?action=UPDATE&amp;creator=factset&amp;DYN_ARGS=TRUE&amp;DOC_NAME=FAT:FQL_AUDITING_CLIENT_TEMPLATE.FAT&amp;display_string=Audit&amp;VAR:KEY=ZIDQVYPKLC&amp;VAR:QUERY=RkZfRUJJVERBX0lCKCdMVE1TJywzOTI4Nik=&amp;WINDOW=FIRST_POPUP&amp;HEIGHT=450&amp;WIDTH=450&amp;START_MA","XIMIZED=FALSE&amp;VAR:CALENDAR=US&amp;VAR:SYMBOL=N0098510&amp;VAR:INDEX=0"}</definedName>
    <definedName name="_6428__FDSAUDITLINK__" localSheetId="6" hidden="1">{"fdsup://directions/FAT Viewer?action=UPDATE&amp;creator=factset&amp;DYN_ARGS=TRUE&amp;DOC_NAME=FAT:FQL_AUDITING_CLIENT_TEMPLATE.FAT&amp;display_string=Audit&amp;VAR:KEY=PYRMDGZIZO&amp;VAR:QUERY=RkZfRUJJVERBX0lCKCdMVE1TJywzOTI4NSk=&amp;WINDOW=FIRST_POPUP&amp;HEIGHT=450&amp;WIDTH=450&amp;START_MA","XIMIZED=FALSE&amp;VAR:CALENDAR=US&amp;VAR:SYMBOL=N0098510&amp;VAR:INDEX=0"}</definedName>
    <definedName name="_6428__FDSAUDITLINK__" hidden="1">{"fdsup://directions/FAT Viewer?action=UPDATE&amp;creator=factset&amp;DYN_ARGS=TRUE&amp;DOC_NAME=FAT:FQL_AUDITING_CLIENT_TEMPLATE.FAT&amp;display_string=Audit&amp;VAR:KEY=PYRMDGZIZO&amp;VAR:QUERY=RkZfRUJJVERBX0lCKCdMVE1TJywzOTI4NSk=&amp;WINDOW=FIRST_POPUP&amp;HEIGHT=450&amp;WIDTH=450&amp;START_MA","XIMIZED=FALSE&amp;VAR:CALENDAR=US&amp;VAR:SYMBOL=N0098510&amp;VAR:INDEX=0"}</definedName>
    <definedName name="_6429__FDSAUDITLINK__" localSheetId="6" hidden="1">{"fdsup://directions/FAT Viewer?action=UPDATE&amp;creator=factset&amp;DYN_ARGS=TRUE&amp;DOC_NAME=FAT:FQL_AUDITING_CLIENT_TEMPLATE.FAT&amp;display_string=Audit&amp;VAR:KEY=FCFCTGHMFE&amp;VAR:QUERY=RkZfRUJJVERBX0lCKCdMVE1TJywzOTI4NCk=&amp;WINDOW=FIRST_POPUP&amp;HEIGHT=450&amp;WIDTH=450&amp;START_MA","XIMIZED=FALSE&amp;VAR:CALENDAR=US&amp;VAR:SYMBOL=N0098510&amp;VAR:INDEX=0"}</definedName>
    <definedName name="_6429__FDSAUDITLINK__" hidden="1">{"fdsup://directions/FAT Viewer?action=UPDATE&amp;creator=factset&amp;DYN_ARGS=TRUE&amp;DOC_NAME=FAT:FQL_AUDITING_CLIENT_TEMPLATE.FAT&amp;display_string=Audit&amp;VAR:KEY=FCFCTGHMFE&amp;VAR:QUERY=RkZfRUJJVERBX0lCKCdMVE1TJywzOTI4NCk=&amp;WINDOW=FIRST_POPUP&amp;HEIGHT=450&amp;WIDTH=450&amp;START_MA","XIMIZED=FALSE&amp;VAR:CALENDAR=US&amp;VAR:SYMBOL=N0098510&amp;VAR:INDEX=0"}</definedName>
    <definedName name="_643__FDSAUDITLINK__" localSheetId="6" hidden="1">{"fdsup://directions/FAT%20Viewer?VAR:PED=LTM&amp;VAR:AUDIT_MODE=SUMMARY&amp;VAR:PERIOD=FIXED&amp;VAR:AUDIT_ID=00000117&amp;VAR:DATE=20080519&amp;action=UPDATE&amp;creator=factset&amp;DOC_NAME=FAT:FMA_audit_SUMMARY.fat&amp;DISPLAY_STRING=Display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3__FDSAUDITLINK__" hidden="1">{"fdsup://directions/FAT%20Viewer?VAR:PED=LTM&amp;VAR:AUDIT_MODE=SUMMARY&amp;VAR:PERIOD=FIXED&amp;VAR:AUDIT_ID=00000117&amp;VAR:DATE=20080519&amp;action=UPDATE&amp;creator=factset&amp;DOC_NAME=FAT:FMA_audit_SUMMARY.fat&amp;DISPLAY_STRING=Display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30__FDSAUDITLINK__" localSheetId="6" hidden="1">{"fdsup://directions/FAT Viewer?action=UPDATE&amp;creator=factset&amp;DYN_ARGS=TRUE&amp;DOC_NAME=FAT:FQL_AUDITING_CLIENT_TEMPLATE.FAT&amp;display_string=Audit&amp;VAR:KEY=ZUFWRCZUVE&amp;VAR:QUERY=RkZfRUJJVERBX0lCKCdMVE1TJywzOTI4Myk=&amp;WINDOW=FIRST_POPUP&amp;HEIGHT=450&amp;WIDTH=450&amp;START_MA","XIMIZED=FALSE&amp;VAR:CALENDAR=US&amp;VAR:SYMBOL=N0098510&amp;VAR:INDEX=0"}</definedName>
    <definedName name="_6430__FDSAUDITLINK__" hidden="1">{"fdsup://directions/FAT Viewer?action=UPDATE&amp;creator=factset&amp;DYN_ARGS=TRUE&amp;DOC_NAME=FAT:FQL_AUDITING_CLIENT_TEMPLATE.FAT&amp;display_string=Audit&amp;VAR:KEY=ZUFWRCZUVE&amp;VAR:QUERY=RkZfRUJJVERBX0lCKCdMVE1TJywzOTI4Myk=&amp;WINDOW=FIRST_POPUP&amp;HEIGHT=450&amp;WIDTH=450&amp;START_MA","XIMIZED=FALSE&amp;VAR:CALENDAR=US&amp;VAR:SYMBOL=N0098510&amp;VAR:INDEX=0"}</definedName>
    <definedName name="_6431__FDSAUDITLINK__" localSheetId="6" hidden="1">{"fdsup://directions/FAT Viewer?action=UPDATE&amp;creator=factset&amp;DYN_ARGS=TRUE&amp;DOC_NAME=FAT:FQL_AUDITING_CLIENT_TEMPLATE.FAT&amp;display_string=Audit&amp;VAR:KEY=RADWLCDGZO&amp;VAR:QUERY=RkZfRUJJVERBX0lCKCdMVE1TJywzOTI4Mik=&amp;WINDOW=FIRST_POPUP&amp;HEIGHT=450&amp;WIDTH=450&amp;START_MA","XIMIZED=FALSE&amp;VAR:CALENDAR=US&amp;VAR:SYMBOL=N0098510&amp;VAR:INDEX=0"}</definedName>
    <definedName name="_6431__FDSAUDITLINK__" hidden="1">{"fdsup://directions/FAT Viewer?action=UPDATE&amp;creator=factset&amp;DYN_ARGS=TRUE&amp;DOC_NAME=FAT:FQL_AUDITING_CLIENT_TEMPLATE.FAT&amp;display_string=Audit&amp;VAR:KEY=RADWLCDGZO&amp;VAR:QUERY=RkZfRUJJVERBX0lCKCdMVE1TJywzOTI4Mik=&amp;WINDOW=FIRST_POPUP&amp;HEIGHT=450&amp;WIDTH=450&amp;START_MA","XIMIZED=FALSE&amp;VAR:CALENDAR=US&amp;VAR:SYMBOL=N0098510&amp;VAR:INDEX=0"}</definedName>
    <definedName name="_6432__FDSAUDITLINK__" localSheetId="6" hidden="1">{"fdsup://directions/FAT Viewer?action=UPDATE&amp;creator=factset&amp;DYN_ARGS=TRUE&amp;DOC_NAME=FAT:FQL_AUDITING_CLIENT_TEMPLATE.FAT&amp;display_string=Audit&amp;VAR:KEY=JKTGTUNQTK&amp;VAR:QUERY=RkZfRUJJVERBX0lCKCdMVE1TJywzOTI4MSk=&amp;WINDOW=FIRST_POPUP&amp;HEIGHT=450&amp;WIDTH=450&amp;START_MA","XIMIZED=FALSE&amp;VAR:CALENDAR=US&amp;VAR:SYMBOL=N0098510&amp;VAR:INDEX=0"}</definedName>
    <definedName name="_6432__FDSAUDITLINK__" hidden="1">{"fdsup://directions/FAT Viewer?action=UPDATE&amp;creator=factset&amp;DYN_ARGS=TRUE&amp;DOC_NAME=FAT:FQL_AUDITING_CLIENT_TEMPLATE.FAT&amp;display_string=Audit&amp;VAR:KEY=JKTGTUNQTK&amp;VAR:QUERY=RkZfRUJJVERBX0lCKCdMVE1TJywzOTI4MSk=&amp;WINDOW=FIRST_POPUP&amp;HEIGHT=450&amp;WIDTH=450&amp;START_MA","XIMIZED=FALSE&amp;VAR:CALENDAR=US&amp;VAR:SYMBOL=N0098510&amp;VAR:INDEX=0"}</definedName>
    <definedName name="_6433__FDSAUDITLINK__" localSheetId="6" hidden="1">{"fdsup://directions/FAT Viewer?action=UPDATE&amp;creator=factset&amp;DYN_ARGS=TRUE&amp;DOC_NAME=FAT:FQL_AUDITING_CLIENT_TEMPLATE.FAT&amp;display_string=Audit&amp;VAR:KEY=ZCPAZQLOTI&amp;VAR:QUERY=RkZfRUJJVERBX0lCKCdMVE1TJywzOTI4MCk=&amp;WINDOW=FIRST_POPUP&amp;HEIGHT=450&amp;WIDTH=450&amp;START_MA","XIMIZED=FALSE&amp;VAR:CALENDAR=US&amp;VAR:SYMBOL=N0098510&amp;VAR:INDEX=0"}</definedName>
    <definedName name="_6433__FDSAUDITLINK__" hidden="1">{"fdsup://directions/FAT Viewer?action=UPDATE&amp;creator=factset&amp;DYN_ARGS=TRUE&amp;DOC_NAME=FAT:FQL_AUDITING_CLIENT_TEMPLATE.FAT&amp;display_string=Audit&amp;VAR:KEY=ZCPAZQLOTI&amp;VAR:QUERY=RkZfRUJJVERBX0lCKCdMVE1TJywzOTI4MCk=&amp;WINDOW=FIRST_POPUP&amp;HEIGHT=450&amp;WIDTH=450&amp;START_MA","XIMIZED=FALSE&amp;VAR:CALENDAR=US&amp;VAR:SYMBOL=N0098510&amp;VAR:INDEX=0"}</definedName>
    <definedName name="_6434__FDSAUDITLINK__" localSheetId="6" hidden="1">{"fdsup://directions/FAT Viewer?action=UPDATE&amp;creator=factset&amp;DYN_ARGS=TRUE&amp;DOC_NAME=FAT:FQL_AUDITING_CLIENT_TEMPLATE.FAT&amp;display_string=Audit&amp;VAR:KEY=XUBWFGJMZW&amp;VAR:QUERY=RkZfRUJJVERBX0lCKCdMVE1TJywzOTI3OSk=&amp;WINDOW=FIRST_POPUP&amp;HEIGHT=450&amp;WIDTH=450&amp;START_MA","XIMIZED=FALSE&amp;VAR:CALENDAR=US&amp;VAR:SYMBOL=N0098510&amp;VAR:INDEX=0"}</definedName>
    <definedName name="_6434__FDSAUDITLINK__" hidden="1">{"fdsup://directions/FAT Viewer?action=UPDATE&amp;creator=factset&amp;DYN_ARGS=TRUE&amp;DOC_NAME=FAT:FQL_AUDITING_CLIENT_TEMPLATE.FAT&amp;display_string=Audit&amp;VAR:KEY=XUBWFGJMZW&amp;VAR:QUERY=RkZfRUJJVERBX0lCKCdMVE1TJywzOTI3OSk=&amp;WINDOW=FIRST_POPUP&amp;HEIGHT=450&amp;WIDTH=450&amp;START_MA","XIMIZED=FALSE&amp;VAR:CALENDAR=US&amp;VAR:SYMBOL=N0098510&amp;VAR:INDEX=0"}</definedName>
    <definedName name="_6435__FDSAUDITLINK__" localSheetId="6" hidden="1">{"fdsup://directions/FAT Viewer?action=UPDATE&amp;creator=factset&amp;DYN_ARGS=TRUE&amp;DOC_NAME=FAT:FQL_AUDITING_CLIENT_TEMPLATE.FAT&amp;display_string=Audit&amp;VAR:KEY=JGXCXKDGBW&amp;VAR:QUERY=RkZfRUJJVERBX0lCKCdMVE1TJywzOTI3OCk=&amp;WINDOW=FIRST_POPUP&amp;HEIGHT=450&amp;WIDTH=450&amp;START_MA","XIMIZED=FALSE&amp;VAR:CALENDAR=US&amp;VAR:SYMBOL=N0098510&amp;VAR:INDEX=0"}</definedName>
    <definedName name="_6435__FDSAUDITLINK__" hidden="1">{"fdsup://directions/FAT Viewer?action=UPDATE&amp;creator=factset&amp;DYN_ARGS=TRUE&amp;DOC_NAME=FAT:FQL_AUDITING_CLIENT_TEMPLATE.FAT&amp;display_string=Audit&amp;VAR:KEY=JGXCXKDGBW&amp;VAR:QUERY=RkZfRUJJVERBX0lCKCdMVE1TJywzOTI3OCk=&amp;WINDOW=FIRST_POPUP&amp;HEIGHT=450&amp;WIDTH=450&amp;START_MA","XIMIZED=FALSE&amp;VAR:CALENDAR=US&amp;VAR:SYMBOL=N0098510&amp;VAR:INDEX=0"}</definedName>
    <definedName name="_6436__FDSAUDITLINK__" localSheetId="6" hidden="1">{"fdsup://directions/FAT Viewer?action=UPDATE&amp;creator=factset&amp;DYN_ARGS=TRUE&amp;DOC_NAME=FAT:FQL_AUDITING_CLIENT_TEMPLATE.FAT&amp;display_string=Audit&amp;VAR:KEY=XONABALMRO&amp;VAR:QUERY=RkZfRUJJVERBX0lCKCdMVE1TJywzOTI3Nyk=&amp;WINDOW=FIRST_POPUP&amp;HEIGHT=450&amp;WIDTH=450&amp;START_MA","XIMIZED=FALSE&amp;VAR:CALENDAR=US&amp;VAR:SYMBOL=N0098510&amp;VAR:INDEX=0"}</definedName>
    <definedName name="_6436__FDSAUDITLINK__" hidden="1">{"fdsup://directions/FAT Viewer?action=UPDATE&amp;creator=factset&amp;DYN_ARGS=TRUE&amp;DOC_NAME=FAT:FQL_AUDITING_CLIENT_TEMPLATE.FAT&amp;display_string=Audit&amp;VAR:KEY=XONABALMRO&amp;VAR:QUERY=RkZfRUJJVERBX0lCKCdMVE1TJywzOTI3Nyk=&amp;WINDOW=FIRST_POPUP&amp;HEIGHT=450&amp;WIDTH=450&amp;START_MA","XIMIZED=FALSE&amp;VAR:CALENDAR=US&amp;VAR:SYMBOL=N0098510&amp;VAR:INDEX=0"}</definedName>
    <definedName name="_6437__FDSAUDITLINK__" localSheetId="6" hidden="1">{"fdsup://directions/FAT Viewer?action=UPDATE&amp;creator=factset&amp;DYN_ARGS=TRUE&amp;DOC_NAME=FAT:FQL_AUDITING_CLIENT_TEMPLATE.FAT&amp;display_string=Audit&amp;VAR:KEY=BYVIJERMRK&amp;VAR:QUERY=RkZfRUJJVERBX0lCKCdMVE1TJywzOTI3Nik=&amp;WINDOW=FIRST_POPUP&amp;HEIGHT=450&amp;WIDTH=450&amp;START_MA","XIMIZED=FALSE&amp;VAR:CALENDAR=US&amp;VAR:SYMBOL=N0098510&amp;VAR:INDEX=0"}</definedName>
    <definedName name="_6437__FDSAUDITLINK__" hidden="1">{"fdsup://directions/FAT Viewer?action=UPDATE&amp;creator=factset&amp;DYN_ARGS=TRUE&amp;DOC_NAME=FAT:FQL_AUDITING_CLIENT_TEMPLATE.FAT&amp;display_string=Audit&amp;VAR:KEY=BYVIJERMRK&amp;VAR:QUERY=RkZfRUJJVERBX0lCKCdMVE1TJywzOTI3Nik=&amp;WINDOW=FIRST_POPUP&amp;HEIGHT=450&amp;WIDTH=450&amp;START_MA","XIMIZED=FALSE&amp;VAR:CALENDAR=US&amp;VAR:SYMBOL=N0098510&amp;VAR:INDEX=0"}</definedName>
    <definedName name="_6438__FDSAUDITLINK__" localSheetId="6" hidden="1">{"fdsup://directions/FAT Viewer?action=UPDATE&amp;creator=factset&amp;DYN_ARGS=TRUE&amp;DOC_NAME=FAT:FQL_AUDITING_CLIENT_TEMPLATE.FAT&amp;display_string=Audit&amp;VAR:KEY=FEVKBGXUJK&amp;VAR:QUERY=RkZfRUJJVERBX0lCKCdMVE1TJywzOTI3NSk=&amp;WINDOW=FIRST_POPUP&amp;HEIGHT=450&amp;WIDTH=450&amp;START_MA","XIMIZED=FALSE&amp;VAR:CALENDAR=US&amp;VAR:SYMBOL=N0098510&amp;VAR:INDEX=0"}</definedName>
    <definedName name="_6438__FDSAUDITLINK__" hidden="1">{"fdsup://directions/FAT Viewer?action=UPDATE&amp;creator=factset&amp;DYN_ARGS=TRUE&amp;DOC_NAME=FAT:FQL_AUDITING_CLIENT_TEMPLATE.FAT&amp;display_string=Audit&amp;VAR:KEY=FEVKBGXUJK&amp;VAR:QUERY=RkZfRUJJVERBX0lCKCdMVE1TJywzOTI3NSk=&amp;WINDOW=FIRST_POPUP&amp;HEIGHT=450&amp;WIDTH=450&amp;START_MA","XIMIZED=FALSE&amp;VAR:CALENDAR=US&amp;VAR:SYMBOL=N0098510&amp;VAR:INDEX=0"}</definedName>
    <definedName name="_6439__FDSAUDITLINK__" localSheetId="6" hidden="1">{"fdsup://directions/FAT Viewer?action=UPDATE&amp;creator=factset&amp;DYN_ARGS=TRUE&amp;DOC_NAME=FAT:FQL_AUDITING_CLIENT_TEMPLATE.FAT&amp;display_string=Audit&amp;VAR:KEY=BUNQFITSXO&amp;VAR:QUERY=RkZfRUJJVERBX0lCKCdMVE1TJywzOTI3NCk=&amp;WINDOW=FIRST_POPUP&amp;HEIGHT=450&amp;WIDTH=450&amp;START_MA","XIMIZED=FALSE&amp;VAR:CALENDAR=US&amp;VAR:SYMBOL=N0098510&amp;VAR:INDEX=0"}</definedName>
    <definedName name="_6439__FDSAUDITLINK__" hidden="1">{"fdsup://directions/FAT Viewer?action=UPDATE&amp;creator=factset&amp;DYN_ARGS=TRUE&amp;DOC_NAME=FAT:FQL_AUDITING_CLIENT_TEMPLATE.FAT&amp;display_string=Audit&amp;VAR:KEY=BUNQFITSXO&amp;VAR:QUERY=RkZfRUJJVERBX0lCKCdMVE1TJywzOTI3NCk=&amp;WINDOW=FIRST_POPUP&amp;HEIGHT=450&amp;WIDTH=450&amp;START_MA","XIMIZED=FALSE&amp;VAR:CALENDAR=US&amp;VAR:SYMBOL=N0098510&amp;VAR:INDEX=0"}</definedName>
    <definedName name="_644__FDSAUDITLINK__" localSheetId="6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4__FDSAUDITLINK__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40__FDSAUDITLINK__" localSheetId="6" hidden="1">{"fdsup://directions/FAT Viewer?action=UPDATE&amp;creator=factset&amp;DYN_ARGS=TRUE&amp;DOC_NAME=FAT:FQL_AUDITING_CLIENT_TEMPLATE.FAT&amp;display_string=Audit&amp;VAR:KEY=PKZADKDOXY&amp;VAR:QUERY=RkZfRUJJVERBX0lCKCdMVE1TJywzOTI3Myk=&amp;WINDOW=FIRST_POPUP&amp;HEIGHT=450&amp;WIDTH=450&amp;START_MA","XIMIZED=FALSE&amp;VAR:CALENDAR=US&amp;VAR:SYMBOL=N0098510&amp;VAR:INDEX=0"}</definedName>
    <definedName name="_6440__FDSAUDITLINK__" hidden="1">{"fdsup://directions/FAT Viewer?action=UPDATE&amp;creator=factset&amp;DYN_ARGS=TRUE&amp;DOC_NAME=FAT:FQL_AUDITING_CLIENT_TEMPLATE.FAT&amp;display_string=Audit&amp;VAR:KEY=PKZADKDOXY&amp;VAR:QUERY=RkZfRUJJVERBX0lCKCdMVE1TJywzOTI3Myk=&amp;WINDOW=FIRST_POPUP&amp;HEIGHT=450&amp;WIDTH=450&amp;START_MA","XIMIZED=FALSE&amp;VAR:CALENDAR=US&amp;VAR:SYMBOL=N0098510&amp;VAR:INDEX=0"}</definedName>
    <definedName name="_6441__FDSAUDITLINK__" localSheetId="6" hidden="1">{"fdsup://directions/FAT Viewer?action=UPDATE&amp;creator=factset&amp;DYN_ARGS=TRUE&amp;DOC_NAME=FAT:FQL_AUDITING_CLIENT_TEMPLATE.FAT&amp;display_string=Audit&amp;VAR:KEY=BSLGXAHSFA&amp;VAR:QUERY=RkZfRUJJVERBX0lCKCdMVE1TJywzOTI3Mik=&amp;WINDOW=FIRST_POPUP&amp;HEIGHT=450&amp;WIDTH=450&amp;START_MA","XIMIZED=FALSE&amp;VAR:CALENDAR=US&amp;VAR:SYMBOL=N0098510&amp;VAR:INDEX=0"}</definedName>
    <definedName name="_6441__FDSAUDITLINK__" hidden="1">{"fdsup://directions/FAT Viewer?action=UPDATE&amp;creator=factset&amp;DYN_ARGS=TRUE&amp;DOC_NAME=FAT:FQL_AUDITING_CLIENT_TEMPLATE.FAT&amp;display_string=Audit&amp;VAR:KEY=BSLGXAHSFA&amp;VAR:QUERY=RkZfRUJJVERBX0lCKCdMVE1TJywzOTI3Mik=&amp;WINDOW=FIRST_POPUP&amp;HEIGHT=450&amp;WIDTH=450&amp;START_MA","XIMIZED=FALSE&amp;VAR:CALENDAR=US&amp;VAR:SYMBOL=N0098510&amp;VAR:INDEX=0"}</definedName>
    <definedName name="_6442__FDSAUDITLINK__" localSheetId="6" hidden="1">{"fdsup://directions/FAT Viewer?action=UPDATE&amp;creator=factset&amp;DYN_ARGS=TRUE&amp;DOC_NAME=FAT:FQL_AUDITING_CLIENT_TEMPLATE.FAT&amp;display_string=Audit&amp;VAR:KEY=BMBONITYZE&amp;VAR:QUERY=RkZfRUJJVERBX0lCKCdMVE1TJywzOTI3MSk=&amp;WINDOW=FIRST_POPUP&amp;HEIGHT=450&amp;WIDTH=450&amp;START_MA","XIMIZED=FALSE&amp;VAR:CALENDAR=US&amp;VAR:SYMBOL=N0098510&amp;VAR:INDEX=0"}</definedName>
    <definedName name="_6442__FDSAUDITLINK__" hidden="1">{"fdsup://directions/FAT Viewer?action=UPDATE&amp;creator=factset&amp;DYN_ARGS=TRUE&amp;DOC_NAME=FAT:FQL_AUDITING_CLIENT_TEMPLATE.FAT&amp;display_string=Audit&amp;VAR:KEY=BMBONITYZE&amp;VAR:QUERY=RkZfRUJJVERBX0lCKCdMVE1TJywzOTI3MSk=&amp;WINDOW=FIRST_POPUP&amp;HEIGHT=450&amp;WIDTH=450&amp;START_MA","XIMIZED=FALSE&amp;VAR:CALENDAR=US&amp;VAR:SYMBOL=N0098510&amp;VAR:INDEX=0"}</definedName>
    <definedName name="_6443__FDSAUDITLINK__" localSheetId="6" hidden="1">{"fdsup://directions/FAT Viewer?action=UPDATE&amp;creator=factset&amp;DYN_ARGS=TRUE&amp;DOC_NAME=FAT:FQL_AUDITING_CLIENT_TEMPLATE.FAT&amp;display_string=Audit&amp;VAR:KEY=LAREHUHCDM&amp;VAR:QUERY=RkZfRUJJVERBX0lCKCdMVE1TJywzOTI3MCk=&amp;WINDOW=FIRST_POPUP&amp;HEIGHT=450&amp;WIDTH=450&amp;START_MA","XIMIZED=FALSE&amp;VAR:CALENDAR=US&amp;VAR:SYMBOL=N0098510&amp;VAR:INDEX=0"}</definedName>
    <definedName name="_6443__FDSAUDITLINK__" hidden="1">{"fdsup://directions/FAT Viewer?action=UPDATE&amp;creator=factset&amp;DYN_ARGS=TRUE&amp;DOC_NAME=FAT:FQL_AUDITING_CLIENT_TEMPLATE.FAT&amp;display_string=Audit&amp;VAR:KEY=LAREHUHCDM&amp;VAR:QUERY=RkZfRUJJVERBX0lCKCdMVE1TJywzOTI3MCk=&amp;WINDOW=FIRST_POPUP&amp;HEIGHT=450&amp;WIDTH=450&amp;START_MA","XIMIZED=FALSE&amp;VAR:CALENDAR=US&amp;VAR:SYMBOL=N0098510&amp;VAR:INDEX=0"}</definedName>
    <definedName name="_6444__FDSAUDITLINK__" localSheetId="6" hidden="1">{"fdsup://directions/FAT Viewer?action=UPDATE&amp;creator=factset&amp;DYN_ARGS=TRUE&amp;DOC_NAME=FAT:FQL_AUDITING_CLIENT_TEMPLATE.FAT&amp;display_string=Audit&amp;VAR:KEY=NMJYFITADO&amp;VAR:QUERY=RkZfRUJJVERBX0lCKCdMVE1TJywzOTI2OSk=&amp;WINDOW=FIRST_POPUP&amp;HEIGHT=450&amp;WIDTH=450&amp;START_MA","XIMIZED=FALSE&amp;VAR:CALENDAR=US&amp;VAR:SYMBOL=N0098510&amp;VAR:INDEX=0"}</definedName>
    <definedName name="_6444__FDSAUDITLINK__" hidden="1">{"fdsup://directions/FAT Viewer?action=UPDATE&amp;creator=factset&amp;DYN_ARGS=TRUE&amp;DOC_NAME=FAT:FQL_AUDITING_CLIENT_TEMPLATE.FAT&amp;display_string=Audit&amp;VAR:KEY=NMJYFITADO&amp;VAR:QUERY=RkZfRUJJVERBX0lCKCdMVE1TJywzOTI2OSk=&amp;WINDOW=FIRST_POPUP&amp;HEIGHT=450&amp;WIDTH=450&amp;START_MA","XIMIZED=FALSE&amp;VAR:CALENDAR=US&amp;VAR:SYMBOL=N0098510&amp;VAR:INDEX=0"}</definedName>
    <definedName name="_6445__FDSAUDITLINK__" localSheetId="6" hidden="1">{"fdsup://directions/FAT Viewer?action=UPDATE&amp;creator=factset&amp;DYN_ARGS=TRUE&amp;DOC_NAME=FAT:FQL_AUDITING_CLIENT_TEMPLATE.FAT&amp;display_string=Audit&amp;VAR:KEY=FMNEFKJGFU&amp;VAR:QUERY=RkZfRUJJVERBX0lCKCdMVE1TJywzOTI2OCk=&amp;WINDOW=FIRST_POPUP&amp;HEIGHT=450&amp;WIDTH=450&amp;START_MA","XIMIZED=FALSE&amp;VAR:CALENDAR=US&amp;VAR:SYMBOL=N0098510&amp;VAR:INDEX=0"}</definedName>
    <definedName name="_6445__FDSAUDITLINK__" hidden="1">{"fdsup://directions/FAT Viewer?action=UPDATE&amp;creator=factset&amp;DYN_ARGS=TRUE&amp;DOC_NAME=FAT:FQL_AUDITING_CLIENT_TEMPLATE.FAT&amp;display_string=Audit&amp;VAR:KEY=FMNEFKJGFU&amp;VAR:QUERY=RkZfRUJJVERBX0lCKCdMVE1TJywzOTI2OCk=&amp;WINDOW=FIRST_POPUP&amp;HEIGHT=450&amp;WIDTH=450&amp;START_MA","XIMIZED=FALSE&amp;VAR:CALENDAR=US&amp;VAR:SYMBOL=N0098510&amp;VAR:INDEX=0"}</definedName>
    <definedName name="_6446__FDSAUDITLINK__" localSheetId="6" hidden="1">{"fdsup://directions/FAT Viewer?action=UPDATE&amp;creator=factset&amp;DYN_ARGS=TRUE&amp;DOC_NAME=FAT:FQL_AUDITING_CLIENT_TEMPLATE.FAT&amp;display_string=Audit&amp;VAR:KEY=LODUPETOTW&amp;VAR:QUERY=RkZfRUJJVERBX0lCKCdMVE1TJywzOTI2Nyk=&amp;WINDOW=FIRST_POPUP&amp;HEIGHT=450&amp;WIDTH=450&amp;START_MA","XIMIZED=FALSE&amp;VAR:CALENDAR=US&amp;VAR:SYMBOL=N0098510&amp;VAR:INDEX=0"}</definedName>
    <definedName name="_6446__FDSAUDITLINK__" hidden="1">{"fdsup://directions/FAT Viewer?action=UPDATE&amp;creator=factset&amp;DYN_ARGS=TRUE&amp;DOC_NAME=FAT:FQL_AUDITING_CLIENT_TEMPLATE.FAT&amp;display_string=Audit&amp;VAR:KEY=LODUPETOTW&amp;VAR:QUERY=RkZfRUJJVERBX0lCKCdMVE1TJywzOTI2Nyk=&amp;WINDOW=FIRST_POPUP&amp;HEIGHT=450&amp;WIDTH=450&amp;START_MA","XIMIZED=FALSE&amp;VAR:CALENDAR=US&amp;VAR:SYMBOL=N0098510&amp;VAR:INDEX=0"}</definedName>
    <definedName name="_6447__FDSAUDITLINK__" localSheetId="6" hidden="1">{"fdsup://directions/FAT Viewer?action=UPDATE&amp;creator=factset&amp;DYN_ARGS=TRUE&amp;DOC_NAME=FAT:FQL_AUDITING_CLIENT_TEMPLATE.FAT&amp;display_string=Audit&amp;VAR:KEY=NMJIJKFIBI&amp;VAR:QUERY=RkZfRUJJVERBX0lCKCdMVE1TJywzOTI2Nik=&amp;WINDOW=FIRST_POPUP&amp;HEIGHT=450&amp;WIDTH=450&amp;START_MA","XIMIZED=FALSE&amp;VAR:CALENDAR=US&amp;VAR:SYMBOL=N0098510&amp;VAR:INDEX=0"}</definedName>
    <definedName name="_6447__FDSAUDITLINK__" hidden="1">{"fdsup://directions/FAT Viewer?action=UPDATE&amp;creator=factset&amp;DYN_ARGS=TRUE&amp;DOC_NAME=FAT:FQL_AUDITING_CLIENT_TEMPLATE.FAT&amp;display_string=Audit&amp;VAR:KEY=NMJIJKFIBI&amp;VAR:QUERY=RkZfRUJJVERBX0lCKCdMVE1TJywzOTI2Nik=&amp;WINDOW=FIRST_POPUP&amp;HEIGHT=450&amp;WIDTH=450&amp;START_MA","XIMIZED=FALSE&amp;VAR:CALENDAR=US&amp;VAR:SYMBOL=N0098510&amp;VAR:INDEX=0"}</definedName>
    <definedName name="_6448__FDSAUDITLINK__" localSheetId="6" hidden="1">{"fdsup://directions/FAT Viewer?action=UPDATE&amp;creator=factset&amp;DYN_ARGS=TRUE&amp;DOC_NAME=FAT:FQL_AUDITING_CLIENT_TEMPLATE.FAT&amp;display_string=Audit&amp;VAR:KEY=BWDEDEFIZA&amp;VAR:QUERY=RkZfRUJJVERBX0lCKCdMVE1TJywzOTI2NSk=&amp;WINDOW=FIRST_POPUP&amp;HEIGHT=450&amp;WIDTH=450&amp;START_MA","XIMIZED=FALSE&amp;VAR:CALENDAR=US&amp;VAR:SYMBOL=N0098510&amp;VAR:INDEX=0"}</definedName>
    <definedName name="_6448__FDSAUDITLINK__" hidden="1">{"fdsup://directions/FAT Viewer?action=UPDATE&amp;creator=factset&amp;DYN_ARGS=TRUE&amp;DOC_NAME=FAT:FQL_AUDITING_CLIENT_TEMPLATE.FAT&amp;display_string=Audit&amp;VAR:KEY=BWDEDEFIZA&amp;VAR:QUERY=RkZfRUJJVERBX0lCKCdMVE1TJywzOTI2NSk=&amp;WINDOW=FIRST_POPUP&amp;HEIGHT=450&amp;WIDTH=450&amp;START_MA","XIMIZED=FALSE&amp;VAR:CALENDAR=US&amp;VAR:SYMBOL=N0098510&amp;VAR:INDEX=0"}</definedName>
    <definedName name="_6449__FDSAUDITLINK__" localSheetId="6" hidden="1">{"fdsup://directions/FAT Viewer?action=UPDATE&amp;creator=factset&amp;DYN_ARGS=TRUE&amp;DOC_NAME=FAT:FQL_AUDITING_CLIENT_TEMPLATE.FAT&amp;display_string=Audit&amp;VAR:KEY=BQPQJQNCRY&amp;VAR:QUERY=RkZfRUJJVERBX0lCKCdMVE1TJywzOTI2NCk=&amp;WINDOW=FIRST_POPUP&amp;HEIGHT=450&amp;WIDTH=450&amp;START_MA","XIMIZED=FALSE&amp;VAR:CALENDAR=US&amp;VAR:SYMBOL=N0098510&amp;VAR:INDEX=0"}</definedName>
    <definedName name="_6449__FDSAUDITLINK__" hidden="1">{"fdsup://directions/FAT Viewer?action=UPDATE&amp;creator=factset&amp;DYN_ARGS=TRUE&amp;DOC_NAME=FAT:FQL_AUDITING_CLIENT_TEMPLATE.FAT&amp;display_string=Audit&amp;VAR:KEY=BQPQJQNCRY&amp;VAR:QUERY=RkZfRUJJVERBX0lCKCdMVE1TJywzOTI2NCk=&amp;WINDOW=FIRST_POPUP&amp;HEIGHT=450&amp;WIDTH=450&amp;START_MA","XIMIZED=FALSE&amp;VAR:CALENDAR=US&amp;VAR:SYMBOL=N0098510&amp;VAR:INDEX=0"}</definedName>
    <definedName name="_645__FDSAUDITLINK__" localSheetId="6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5__FDSAUDITLINK__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50__FDSAUDITLINK__" localSheetId="6" hidden="1">{"fdsup://directions/FAT Viewer?action=UPDATE&amp;creator=factset&amp;DYN_ARGS=TRUE&amp;DOC_NAME=FAT:FQL_AUDITING_CLIENT_TEMPLATE.FAT&amp;display_string=Audit&amp;VAR:KEY=ZMJEVKXQHA&amp;VAR:QUERY=RkZfRUJJVERBX0lCKCdMVE1TJywzOTI2Myk=&amp;WINDOW=FIRST_POPUP&amp;HEIGHT=450&amp;WIDTH=450&amp;START_MA","XIMIZED=FALSE&amp;VAR:CALENDAR=US&amp;VAR:SYMBOL=N0098510&amp;VAR:INDEX=0"}</definedName>
    <definedName name="_6450__FDSAUDITLINK__" hidden="1">{"fdsup://directions/FAT Viewer?action=UPDATE&amp;creator=factset&amp;DYN_ARGS=TRUE&amp;DOC_NAME=FAT:FQL_AUDITING_CLIENT_TEMPLATE.FAT&amp;display_string=Audit&amp;VAR:KEY=ZMJEVKXQHA&amp;VAR:QUERY=RkZfRUJJVERBX0lCKCdMVE1TJywzOTI2Myk=&amp;WINDOW=FIRST_POPUP&amp;HEIGHT=450&amp;WIDTH=450&amp;START_MA","XIMIZED=FALSE&amp;VAR:CALENDAR=US&amp;VAR:SYMBOL=N0098510&amp;VAR:INDEX=0"}</definedName>
    <definedName name="_6451__FDSAUDITLINK__" localSheetId="6" hidden="1">{"fdsup://directions/FAT Viewer?action=UPDATE&amp;creator=factset&amp;DYN_ARGS=TRUE&amp;DOC_NAME=FAT:FQL_AUDITING_CLIENT_TEMPLATE.FAT&amp;display_string=Audit&amp;VAR:KEY=JUJAFWXIZG&amp;VAR:QUERY=RkZfRUJJVERBX0lCKCdMVE1TJywzOTI2Mik=&amp;WINDOW=FIRST_POPUP&amp;HEIGHT=450&amp;WIDTH=450&amp;START_MA","XIMIZED=FALSE&amp;VAR:CALENDAR=US&amp;VAR:SYMBOL=N0098510&amp;VAR:INDEX=0"}</definedName>
    <definedName name="_6451__FDSAUDITLINK__" hidden="1">{"fdsup://directions/FAT Viewer?action=UPDATE&amp;creator=factset&amp;DYN_ARGS=TRUE&amp;DOC_NAME=FAT:FQL_AUDITING_CLIENT_TEMPLATE.FAT&amp;display_string=Audit&amp;VAR:KEY=JUJAFWXIZG&amp;VAR:QUERY=RkZfRUJJVERBX0lCKCdMVE1TJywzOTI2Mik=&amp;WINDOW=FIRST_POPUP&amp;HEIGHT=450&amp;WIDTH=450&amp;START_MA","XIMIZED=FALSE&amp;VAR:CALENDAR=US&amp;VAR:SYMBOL=N0098510&amp;VAR:INDEX=0"}</definedName>
    <definedName name="_6452__FDSAUDITLINK__" localSheetId="6" hidden="1">{"fdsup://directions/FAT Viewer?action=UPDATE&amp;creator=factset&amp;DYN_ARGS=TRUE&amp;DOC_NAME=FAT:FQL_AUDITING_CLIENT_TEMPLATE.FAT&amp;display_string=Audit&amp;VAR:KEY=DARCNWFOLO&amp;VAR:QUERY=RkZfRUJJVERBX0lCKCdMVE1TJywzOTI2MSk=&amp;WINDOW=FIRST_POPUP&amp;HEIGHT=450&amp;WIDTH=450&amp;START_MA","XIMIZED=FALSE&amp;VAR:CALENDAR=US&amp;VAR:SYMBOL=N0098510&amp;VAR:INDEX=0"}</definedName>
    <definedName name="_6452__FDSAUDITLINK__" hidden="1">{"fdsup://directions/FAT Viewer?action=UPDATE&amp;creator=factset&amp;DYN_ARGS=TRUE&amp;DOC_NAME=FAT:FQL_AUDITING_CLIENT_TEMPLATE.FAT&amp;display_string=Audit&amp;VAR:KEY=DARCNWFOLO&amp;VAR:QUERY=RkZfRUJJVERBX0lCKCdMVE1TJywzOTI2MSk=&amp;WINDOW=FIRST_POPUP&amp;HEIGHT=450&amp;WIDTH=450&amp;START_MA","XIMIZED=FALSE&amp;VAR:CALENDAR=US&amp;VAR:SYMBOL=N0098510&amp;VAR:INDEX=0"}</definedName>
    <definedName name="_6453__FDSAUDITLINK__" localSheetId="6" hidden="1">{"fdsup://directions/FAT Viewer?action=UPDATE&amp;creator=factset&amp;DYN_ARGS=TRUE&amp;DOC_NAME=FAT:FQL_AUDITING_CLIENT_TEMPLATE.FAT&amp;display_string=Audit&amp;VAR:KEY=ZYPWZQDKPY&amp;VAR:QUERY=RkZfRUJJVERBX0lCKCdMVE1TJywzOTI2MCk=&amp;WINDOW=FIRST_POPUP&amp;HEIGHT=450&amp;WIDTH=450&amp;START_MA","XIMIZED=FALSE&amp;VAR:CALENDAR=US&amp;VAR:SYMBOL=N0098510&amp;VAR:INDEX=0"}</definedName>
    <definedName name="_6453__FDSAUDITLINK__" hidden="1">{"fdsup://directions/FAT Viewer?action=UPDATE&amp;creator=factset&amp;DYN_ARGS=TRUE&amp;DOC_NAME=FAT:FQL_AUDITING_CLIENT_TEMPLATE.FAT&amp;display_string=Audit&amp;VAR:KEY=ZYPWZQDKPY&amp;VAR:QUERY=RkZfRUJJVERBX0lCKCdMVE1TJywzOTI2MCk=&amp;WINDOW=FIRST_POPUP&amp;HEIGHT=450&amp;WIDTH=450&amp;START_MA","XIMIZED=FALSE&amp;VAR:CALENDAR=US&amp;VAR:SYMBOL=N0098510&amp;VAR:INDEX=0"}</definedName>
    <definedName name="_6454__FDSAUDITLINK__" localSheetId="6" hidden="1">{"fdsup://directions/FAT Viewer?action=UPDATE&amp;creator=factset&amp;DYN_ARGS=TRUE&amp;DOC_NAME=FAT:FQL_AUDITING_CLIENT_TEMPLATE.FAT&amp;display_string=Audit&amp;VAR:KEY=ZIXGLQFWJU&amp;VAR:QUERY=RkZfRUJJVERBX0lCKCdMVE1TJywzOTI1OSk=&amp;WINDOW=FIRST_POPUP&amp;HEIGHT=450&amp;WIDTH=450&amp;START_MA","XIMIZED=FALSE&amp;VAR:CALENDAR=US&amp;VAR:SYMBOL=N0098510&amp;VAR:INDEX=0"}</definedName>
    <definedName name="_6454__FDSAUDITLINK__" hidden="1">{"fdsup://directions/FAT Viewer?action=UPDATE&amp;creator=factset&amp;DYN_ARGS=TRUE&amp;DOC_NAME=FAT:FQL_AUDITING_CLIENT_TEMPLATE.FAT&amp;display_string=Audit&amp;VAR:KEY=ZIXGLQFWJU&amp;VAR:QUERY=RkZfRUJJVERBX0lCKCdMVE1TJywzOTI1OSk=&amp;WINDOW=FIRST_POPUP&amp;HEIGHT=450&amp;WIDTH=450&amp;START_MA","XIMIZED=FALSE&amp;VAR:CALENDAR=US&amp;VAR:SYMBOL=N0098510&amp;VAR:INDEX=0"}</definedName>
    <definedName name="_6455__FDSAUDITLINK__" localSheetId="6" hidden="1">{"fdsup://directions/FAT Viewer?action=UPDATE&amp;creator=factset&amp;DYN_ARGS=TRUE&amp;DOC_NAME=FAT:FQL_AUDITING_CLIENT_TEMPLATE.FAT&amp;display_string=Audit&amp;VAR:KEY=LIROPQXYTQ&amp;VAR:QUERY=RkZfRUJJVERBX0lCKCdMVE1TJywzOTI1OCk=&amp;WINDOW=FIRST_POPUP&amp;HEIGHT=450&amp;WIDTH=450&amp;START_MA","XIMIZED=FALSE&amp;VAR:CALENDAR=US&amp;VAR:SYMBOL=N0098510&amp;VAR:INDEX=0"}</definedName>
    <definedName name="_6455__FDSAUDITLINK__" hidden="1">{"fdsup://directions/FAT Viewer?action=UPDATE&amp;creator=factset&amp;DYN_ARGS=TRUE&amp;DOC_NAME=FAT:FQL_AUDITING_CLIENT_TEMPLATE.FAT&amp;display_string=Audit&amp;VAR:KEY=LIROPQXYTQ&amp;VAR:QUERY=RkZfRUJJVERBX0lCKCdMVE1TJywzOTI1OCk=&amp;WINDOW=FIRST_POPUP&amp;HEIGHT=450&amp;WIDTH=450&amp;START_MA","XIMIZED=FALSE&amp;VAR:CALENDAR=US&amp;VAR:SYMBOL=N0098510&amp;VAR:INDEX=0"}</definedName>
    <definedName name="_6456__FDSAUDITLINK__" localSheetId="6" hidden="1">{"fdsup://directions/FAT Viewer?action=UPDATE&amp;creator=factset&amp;DYN_ARGS=TRUE&amp;DOC_NAME=FAT:FQL_AUDITING_CLIENT_TEMPLATE.FAT&amp;display_string=Audit&amp;VAR:KEY=DMZEVATMJQ&amp;VAR:QUERY=RkZfRUJJVERBX0lCKCdMVE1TJywzOTI1Nyk=&amp;WINDOW=FIRST_POPUP&amp;HEIGHT=450&amp;WIDTH=450&amp;START_MA","XIMIZED=FALSE&amp;VAR:CALENDAR=US&amp;VAR:SYMBOL=N0098510&amp;VAR:INDEX=0"}</definedName>
    <definedName name="_6456__FDSAUDITLINK__" hidden="1">{"fdsup://directions/FAT Viewer?action=UPDATE&amp;creator=factset&amp;DYN_ARGS=TRUE&amp;DOC_NAME=FAT:FQL_AUDITING_CLIENT_TEMPLATE.FAT&amp;display_string=Audit&amp;VAR:KEY=DMZEVATMJQ&amp;VAR:QUERY=RkZfRUJJVERBX0lCKCdMVE1TJywzOTI1Nyk=&amp;WINDOW=FIRST_POPUP&amp;HEIGHT=450&amp;WIDTH=450&amp;START_MA","XIMIZED=FALSE&amp;VAR:CALENDAR=US&amp;VAR:SYMBOL=N0098510&amp;VAR:INDEX=0"}</definedName>
    <definedName name="_6457__FDSAUDITLINK__" localSheetId="6" hidden="1">{"fdsup://directions/FAT Viewer?action=UPDATE&amp;creator=factset&amp;DYN_ARGS=TRUE&amp;DOC_NAME=FAT:FQL_AUDITING_CLIENT_TEMPLATE.FAT&amp;display_string=Audit&amp;VAR:KEY=DWFYJKXSFY&amp;VAR:QUERY=RkZfRUJJVERBX0lCKCdMVE1TJywzOTI1Nik=&amp;WINDOW=FIRST_POPUP&amp;HEIGHT=450&amp;WIDTH=450&amp;START_MA","XIMIZED=FALSE&amp;VAR:CALENDAR=US&amp;VAR:SYMBOL=N0098510&amp;VAR:INDEX=0"}</definedName>
    <definedName name="_6457__FDSAUDITLINK__" hidden="1">{"fdsup://directions/FAT Viewer?action=UPDATE&amp;creator=factset&amp;DYN_ARGS=TRUE&amp;DOC_NAME=FAT:FQL_AUDITING_CLIENT_TEMPLATE.FAT&amp;display_string=Audit&amp;VAR:KEY=DWFYJKXSFY&amp;VAR:QUERY=RkZfRUJJVERBX0lCKCdMVE1TJywzOTI1Nik=&amp;WINDOW=FIRST_POPUP&amp;HEIGHT=450&amp;WIDTH=450&amp;START_MA","XIMIZED=FALSE&amp;VAR:CALENDAR=US&amp;VAR:SYMBOL=N0098510&amp;VAR:INDEX=0"}</definedName>
    <definedName name="_6458__FDSAUDITLINK__" localSheetId="6" hidden="1">{"fdsup://directions/FAT Viewer?action=UPDATE&amp;creator=factset&amp;DYN_ARGS=TRUE&amp;DOC_NAME=FAT:FQL_AUDITING_CLIENT_TEMPLATE.FAT&amp;display_string=Audit&amp;VAR:KEY=NWRGXUDYPI&amp;VAR:QUERY=RkZfRUJJVERBX0lCKCdMVE1TJywzOTI1NSk=&amp;WINDOW=FIRST_POPUP&amp;HEIGHT=450&amp;WIDTH=450&amp;START_MA","XIMIZED=FALSE&amp;VAR:CALENDAR=US&amp;VAR:SYMBOL=N0098510&amp;VAR:INDEX=0"}</definedName>
    <definedName name="_6458__FDSAUDITLINK__" hidden="1">{"fdsup://directions/FAT Viewer?action=UPDATE&amp;creator=factset&amp;DYN_ARGS=TRUE&amp;DOC_NAME=FAT:FQL_AUDITING_CLIENT_TEMPLATE.FAT&amp;display_string=Audit&amp;VAR:KEY=NWRGXUDYPI&amp;VAR:QUERY=RkZfRUJJVERBX0lCKCdMVE1TJywzOTI1NSk=&amp;WINDOW=FIRST_POPUP&amp;HEIGHT=450&amp;WIDTH=450&amp;START_MA","XIMIZED=FALSE&amp;VAR:CALENDAR=US&amp;VAR:SYMBOL=N0098510&amp;VAR:INDEX=0"}</definedName>
    <definedName name="_6459__FDSAUDITLINK__" localSheetId="6" hidden="1">{"fdsup://directions/FAT Viewer?action=UPDATE&amp;creator=factset&amp;DYN_ARGS=TRUE&amp;DOC_NAME=FAT:FQL_AUDITING_CLIENT_TEMPLATE.FAT&amp;display_string=Audit&amp;VAR:KEY=ZIBUZMJYZI&amp;VAR:QUERY=RkZfRUJJVERBX0lCKCdMVE1TJywzOTI1NCk=&amp;WINDOW=FIRST_POPUP&amp;HEIGHT=450&amp;WIDTH=450&amp;START_MA","XIMIZED=FALSE&amp;VAR:CALENDAR=US&amp;VAR:SYMBOL=N0098510&amp;VAR:INDEX=0"}</definedName>
    <definedName name="_6459__FDSAUDITLINK__" hidden="1">{"fdsup://directions/FAT Viewer?action=UPDATE&amp;creator=factset&amp;DYN_ARGS=TRUE&amp;DOC_NAME=FAT:FQL_AUDITING_CLIENT_TEMPLATE.FAT&amp;display_string=Audit&amp;VAR:KEY=ZIBUZMJYZI&amp;VAR:QUERY=RkZfRUJJVERBX0lCKCdMVE1TJywzOTI1NCk=&amp;WINDOW=FIRST_POPUP&amp;HEIGHT=450&amp;WIDTH=450&amp;START_MA","XIMIZED=FALSE&amp;VAR:CALENDAR=US&amp;VAR:SYMBOL=N0098510&amp;VAR:INDEX=0"}</definedName>
    <definedName name="_646__FDSAUDITLINK__" localSheetId="6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6__FDSAUDITLINK__" hidden="1">{"fdsup://directions/FAT%20Viewer?VAR:PED=LTM&amp;VAR:AUDIT_MODE=SUMMARY&amp;VAR:PERIOD=FIXED&amp;VAR:AUDIT_ID=00000117&amp;VAR:DATE=20080516&amp;action=UPDATE&amp;creator=factset&amp;DOC_NAME=FAT:FMA_audit_SUMMARY.fat&amp;DISPLAY_STRING=Display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60__FDSAUDITLINK__" localSheetId="6" hidden="1">{"fdsup://directions/FAT Viewer?action=UPDATE&amp;creator=factset&amp;DYN_ARGS=TRUE&amp;DOC_NAME=FAT:FQL_AUDITING_CLIENT_TEMPLATE.FAT&amp;display_string=Audit&amp;VAR:KEY=XMHQRWNGJC&amp;VAR:QUERY=RkZfRUJJVERBX0lCKCdMVE1TJywzOTI1Myk=&amp;WINDOW=FIRST_POPUP&amp;HEIGHT=450&amp;WIDTH=450&amp;START_MA","XIMIZED=FALSE&amp;VAR:CALENDAR=US&amp;VAR:SYMBOL=N0098510&amp;VAR:INDEX=0"}</definedName>
    <definedName name="_6460__FDSAUDITLINK__" hidden="1">{"fdsup://directions/FAT Viewer?action=UPDATE&amp;creator=factset&amp;DYN_ARGS=TRUE&amp;DOC_NAME=FAT:FQL_AUDITING_CLIENT_TEMPLATE.FAT&amp;display_string=Audit&amp;VAR:KEY=XMHQRWNGJC&amp;VAR:QUERY=RkZfRUJJVERBX0lCKCdMVE1TJywzOTI1Myk=&amp;WINDOW=FIRST_POPUP&amp;HEIGHT=450&amp;WIDTH=450&amp;START_MA","XIMIZED=FALSE&amp;VAR:CALENDAR=US&amp;VAR:SYMBOL=N0098510&amp;VAR:INDEX=0"}</definedName>
    <definedName name="_6461__FDSAUDITLINK__" localSheetId="6" hidden="1">{"fdsup://directions/FAT Viewer?action=UPDATE&amp;creator=factset&amp;DYN_ARGS=TRUE&amp;DOC_NAME=FAT:FQL_AUDITING_CLIENT_TEMPLATE.FAT&amp;display_string=Audit&amp;VAR:KEY=DGRONIVMXA&amp;VAR:QUERY=RkZfRUJJVERBX0lCKCdMVE1TJywzOTI1Mik=&amp;WINDOW=FIRST_POPUP&amp;HEIGHT=450&amp;WIDTH=450&amp;START_MA","XIMIZED=FALSE&amp;VAR:CALENDAR=US&amp;VAR:SYMBOL=N0098510&amp;VAR:INDEX=0"}</definedName>
    <definedName name="_6461__FDSAUDITLINK__" hidden="1">{"fdsup://directions/FAT Viewer?action=UPDATE&amp;creator=factset&amp;DYN_ARGS=TRUE&amp;DOC_NAME=FAT:FQL_AUDITING_CLIENT_TEMPLATE.FAT&amp;display_string=Audit&amp;VAR:KEY=DGRONIVMXA&amp;VAR:QUERY=RkZfRUJJVERBX0lCKCdMVE1TJywzOTI1Mik=&amp;WINDOW=FIRST_POPUP&amp;HEIGHT=450&amp;WIDTH=450&amp;START_MA","XIMIZED=FALSE&amp;VAR:CALENDAR=US&amp;VAR:SYMBOL=N0098510&amp;VAR:INDEX=0"}</definedName>
    <definedName name="_6462__FDSAUDITLINK__" localSheetId="6" hidden="1">{"fdsup://directions/FAT Viewer?action=UPDATE&amp;creator=factset&amp;DYN_ARGS=TRUE&amp;DOC_NAME=FAT:FQL_AUDITING_CLIENT_TEMPLATE.FAT&amp;display_string=Audit&amp;VAR:KEY=PABABQJEXQ&amp;VAR:QUERY=RkZfRUJJVERBX0lCKCdMVE1TJywzOTI1MSk=&amp;WINDOW=FIRST_POPUP&amp;HEIGHT=450&amp;WIDTH=450&amp;START_MA","XIMIZED=FALSE&amp;VAR:CALENDAR=US&amp;VAR:SYMBOL=N0098510&amp;VAR:INDEX=0"}</definedName>
    <definedName name="_6462__FDSAUDITLINK__" hidden="1">{"fdsup://directions/FAT Viewer?action=UPDATE&amp;creator=factset&amp;DYN_ARGS=TRUE&amp;DOC_NAME=FAT:FQL_AUDITING_CLIENT_TEMPLATE.FAT&amp;display_string=Audit&amp;VAR:KEY=PABABQJEXQ&amp;VAR:QUERY=RkZfRUJJVERBX0lCKCdMVE1TJywzOTI1MSk=&amp;WINDOW=FIRST_POPUP&amp;HEIGHT=450&amp;WIDTH=450&amp;START_MA","XIMIZED=FALSE&amp;VAR:CALENDAR=US&amp;VAR:SYMBOL=N0098510&amp;VAR:INDEX=0"}</definedName>
    <definedName name="_6463__FDSAUDITLINK__" localSheetId="6" hidden="1">{"fdsup://directions/FAT Viewer?action=UPDATE&amp;creator=factset&amp;DYN_ARGS=TRUE&amp;DOC_NAME=FAT:FQL_AUDITING_CLIENT_TEMPLATE.FAT&amp;display_string=Audit&amp;VAR:KEY=NWBEVMDAFW&amp;VAR:QUERY=RkZfRUJJVERBX0lCKCdMVE1TJywzOTI1MCk=&amp;WINDOW=FIRST_POPUP&amp;HEIGHT=450&amp;WIDTH=450&amp;START_MA","XIMIZED=FALSE&amp;VAR:CALENDAR=US&amp;VAR:SYMBOL=N0098510&amp;VAR:INDEX=0"}</definedName>
    <definedName name="_6463__FDSAUDITLINK__" hidden="1">{"fdsup://directions/FAT Viewer?action=UPDATE&amp;creator=factset&amp;DYN_ARGS=TRUE&amp;DOC_NAME=FAT:FQL_AUDITING_CLIENT_TEMPLATE.FAT&amp;display_string=Audit&amp;VAR:KEY=NWBEVMDAFW&amp;VAR:QUERY=RkZfRUJJVERBX0lCKCdMVE1TJywzOTI1MCk=&amp;WINDOW=FIRST_POPUP&amp;HEIGHT=450&amp;WIDTH=450&amp;START_MA","XIMIZED=FALSE&amp;VAR:CALENDAR=US&amp;VAR:SYMBOL=N0098510&amp;VAR:INDEX=0"}</definedName>
    <definedName name="_6464__FDSAUDITLINK__" localSheetId="6" hidden="1">{"fdsup://directions/FAT Viewer?action=UPDATE&amp;creator=factset&amp;DYN_ARGS=TRUE&amp;DOC_NAME=FAT:FQL_AUDITING_CLIENT_TEMPLATE.FAT&amp;display_string=Audit&amp;VAR:KEY=ZMNQLCXGHW&amp;VAR:QUERY=RkZfRUJJVERBX0lCKCdMVE1TJywzOTI0OSk=&amp;WINDOW=FIRST_POPUP&amp;HEIGHT=450&amp;WIDTH=450&amp;START_MA","XIMIZED=FALSE&amp;VAR:CALENDAR=US&amp;VAR:SYMBOL=N0098510&amp;VAR:INDEX=0"}</definedName>
    <definedName name="_6464__FDSAUDITLINK__" hidden="1">{"fdsup://directions/FAT Viewer?action=UPDATE&amp;creator=factset&amp;DYN_ARGS=TRUE&amp;DOC_NAME=FAT:FQL_AUDITING_CLIENT_TEMPLATE.FAT&amp;display_string=Audit&amp;VAR:KEY=ZMNQLCXGHW&amp;VAR:QUERY=RkZfRUJJVERBX0lCKCdMVE1TJywzOTI0OSk=&amp;WINDOW=FIRST_POPUP&amp;HEIGHT=450&amp;WIDTH=450&amp;START_MA","XIMIZED=FALSE&amp;VAR:CALENDAR=US&amp;VAR:SYMBOL=N0098510&amp;VAR:INDEX=0"}</definedName>
    <definedName name="_6465__FDSAUDITLINK__" localSheetId="6" hidden="1">{"fdsup://directions/FAT Viewer?action=UPDATE&amp;creator=factset&amp;DYN_ARGS=TRUE&amp;DOC_NAME=FAT:FQL_AUDITING_CLIENT_TEMPLATE.FAT&amp;display_string=Audit&amp;VAR:KEY=ZAVGNSNOZM&amp;VAR:QUERY=RkZfRUJJVERBX0lCKCdMVE1TJywzOTI0OCk=&amp;WINDOW=FIRST_POPUP&amp;HEIGHT=450&amp;WIDTH=450&amp;START_MA","XIMIZED=FALSE&amp;VAR:CALENDAR=US&amp;VAR:SYMBOL=N0098510&amp;VAR:INDEX=0"}</definedName>
    <definedName name="_6465__FDSAUDITLINK__" hidden="1">{"fdsup://directions/FAT Viewer?action=UPDATE&amp;creator=factset&amp;DYN_ARGS=TRUE&amp;DOC_NAME=FAT:FQL_AUDITING_CLIENT_TEMPLATE.FAT&amp;display_string=Audit&amp;VAR:KEY=ZAVGNSNOZM&amp;VAR:QUERY=RkZfRUJJVERBX0lCKCdMVE1TJywzOTI0OCk=&amp;WINDOW=FIRST_POPUP&amp;HEIGHT=450&amp;WIDTH=450&amp;START_MA","XIMIZED=FALSE&amp;VAR:CALENDAR=US&amp;VAR:SYMBOL=N0098510&amp;VAR:INDEX=0"}</definedName>
    <definedName name="_6466__FDSAUDITLINK__" localSheetId="6" hidden="1">{"fdsup://directions/FAT Viewer?action=UPDATE&amp;creator=factset&amp;DYN_ARGS=TRUE&amp;DOC_NAME=FAT:FQL_AUDITING_CLIENT_TEMPLATE.FAT&amp;display_string=Audit&amp;VAR:KEY=ZGNKBEPQPA&amp;VAR:QUERY=RkZfRUJJVERBX0lCKCdMVE1TJywzOTI0Nyk=&amp;WINDOW=FIRST_POPUP&amp;HEIGHT=450&amp;WIDTH=450&amp;START_MA","XIMIZED=FALSE&amp;VAR:CALENDAR=US&amp;VAR:SYMBOL=N0098510&amp;VAR:INDEX=0"}</definedName>
    <definedName name="_6466__FDSAUDITLINK__" hidden="1">{"fdsup://directions/FAT Viewer?action=UPDATE&amp;creator=factset&amp;DYN_ARGS=TRUE&amp;DOC_NAME=FAT:FQL_AUDITING_CLIENT_TEMPLATE.FAT&amp;display_string=Audit&amp;VAR:KEY=ZGNKBEPQPA&amp;VAR:QUERY=RkZfRUJJVERBX0lCKCdMVE1TJywzOTI0Nyk=&amp;WINDOW=FIRST_POPUP&amp;HEIGHT=450&amp;WIDTH=450&amp;START_MA","XIMIZED=FALSE&amp;VAR:CALENDAR=US&amp;VAR:SYMBOL=N0098510&amp;VAR:INDEX=0"}</definedName>
    <definedName name="_6467__FDSAUDITLINK__" localSheetId="6" hidden="1">{"fdsup://directions/FAT Viewer?action=UPDATE&amp;creator=factset&amp;DYN_ARGS=TRUE&amp;DOC_NAME=FAT:FQL_AUDITING_CLIENT_TEMPLATE.FAT&amp;display_string=Audit&amp;VAR:KEY=JMXGZOJSRO&amp;VAR:QUERY=RkZfRUJJVERBX0lCKCdMVE1TJywzOTI0Nik=&amp;WINDOW=FIRST_POPUP&amp;HEIGHT=450&amp;WIDTH=450&amp;START_MA","XIMIZED=FALSE&amp;VAR:CALENDAR=US&amp;VAR:SYMBOL=N0098510&amp;VAR:INDEX=0"}</definedName>
    <definedName name="_6467__FDSAUDITLINK__" hidden="1">{"fdsup://directions/FAT Viewer?action=UPDATE&amp;creator=factset&amp;DYN_ARGS=TRUE&amp;DOC_NAME=FAT:FQL_AUDITING_CLIENT_TEMPLATE.FAT&amp;display_string=Audit&amp;VAR:KEY=JMXGZOJSRO&amp;VAR:QUERY=RkZfRUJJVERBX0lCKCdMVE1TJywzOTI0Nik=&amp;WINDOW=FIRST_POPUP&amp;HEIGHT=450&amp;WIDTH=450&amp;START_MA","XIMIZED=FALSE&amp;VAR:CALENDAR=US&amp;VAR:SYMBOL=N0098510&amp;VAR:INDEX=0"}</definedName>
    <definedName name="_6468__FDSAUDITLINK__" localSheetId="6" hidden="1">{"fdsup://directions/FAT Viewer?action=UPDATE&amp;creator=factset&amp;DYN_ARGS=TRUE&amp;DOC_NAME=FAT:FQL_AUDITING_CLIENT_TEMPLATE.FAT&amp;display_string=Audit&amp;VAR:KEY=XIFUXWTSVY&amp;VAR:QUERY=RkZfRUJJVERBX0lCKCdMVE1TJywzOTI0NSk=&amp;WINDOW=FIRST_POPUP&amp;HEIGHT=450&amp;WIDTH=450&amp;START_MA","XIMIZED=FALSE&amp;VAR:CALENDAR=US&amp;VAR:SYMBOL=N0098510&amp;VAR:INDEX=0"}</definedName>
    <definedName name="_6468__FDSAUDITLINK__" hidden="1">{"fdsup://directions/FAT Viewer?action=UPDATE&amp;creator=factset&amp;DYN_ARGS=TRUE&amp;DOC_NAME=FAT:FQL_AUDITING_CLIENT_TEMPLATE.FAT&amp;display_string=Audit&amp;VAR:KEY=XIFUXWTSVY&amp;VAR:QUERY=RkZfRUJJVERBX0lCKCdMVE1TJywzOTI0NSk=&amp;WINDOW=FIRST_POPUP&amp;HEIGHT=450&amp;WIDTH=450&amp;START_MA","XIMIZED=FALSE&amp;VAR:CALENDAR=US&amp;VAR:SYMBOL=N0098510&amp;VAR:INDEX=0"}</definedName>
    <definedName name="_6469__FDSAUDITLINK__" localSheetId="6" hidden="1">{"fdsup://directions/FAT Viewer?action=UPDATE&amp;creator=factset&amp;DYN_ARGS=TRUE&amp;DOC_NAME=FAT:FQL_AUDITING_CLIENT_TEMPLATE.FAT&amp;display_string=Audit&amp;VAR:KEY=ZOVAPQVMJS&amp;VAR:QUERY=RkZfRUJJVERBX0lCKCdMVE1TJywzOTI0NCk=&amp;WINDOW=FIRST_POPUP&amp;HEIGHT=450&amp;WIDTH=450&amp;START_MA","XIMIZED=FALSE&amp;VAR:CALENDAR=US&amp;VAR:SYMBOL=N0098510&amp;VAR:INDEX=0"}</definedName>
    <definedName name="_6469__FDSAUDITLINK__" hidden="1">{"fdsup://directions/FAT Viewer?action=UPDATE&amp;creator=factset&amp;DYN_ARGS=TRUE&amp;DOC_NAME=FAT:FQL_AUDITING_CLIENT_TEMPLATE.FAT&amp;display_string=Audit&amp;VAR:KEY=ZOVAPQVMJS&amp;VAR:QUERY=RkZfRUJJVERBX0lCKCdMVE1TJywzOTI0NCk=&amp;WINDOW=FIRST_POPUP&amp;HEIGHT=450&amp;WIDTH=450&amp;START_MA","XIMIZED=FALSE&amp;VAR:CALENDAR=US&amp;VAR:SYMBOL=N0098510&amp;VAR:INDEX=0"}</definedName>
    <definedName name="_647__FDSAUDITLINK__" localSheetId="6" hidden="1">{"fdsup://directions/FAT%20Viewer?VAR:PED=LTM&amp;VAR:AUDIT_MODE=SUMMARY&amp;VAR:PERIOD=FIXED&amp;VAR:AUDIT_ID=00000117&amp;VAR:DATE=20080515&amp;action=UPDATE&amp;creator=factset&amp;DOC_NAME=FAT:FMA_audit_SUMMARY.fat&amp;DISPLAY_STRING=Display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7__FDSAUDITLINK__" hidden="1">{"fdsup://directions/FAT%20Viewer?VAR:PED=LTM&amp;VAR:AUDIT_MODE=SUMMARY&amp;VAR:PERIOD=FIXED&amp;VAR:AUDIT_ID=00000117&amp;VAR:DATE=20080515&amp;action=UPDATE&amp;creator=factset&amp;DOC_NAME=FAT:FMA_audit_SUMMARY.fat&amp;DISPLAY_STRING=Display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70__FDSAUDITLINK__" localSheetId="6" hidden="1">{"fdsup://directions/FAT Viewer?action=UPDATE&amp;creator=factset&amp;DYN_ARGS=TRUE&amp;DOC_NAME=FAT:FQL_AUDITING_CLIENT_TEMPLATE.FAT&amp;display_string=Audit&amp;VAR:KEY=ZYDGNWXWJG&amp;VAR:QUERY=RkZfRUJJVERBX0lCKCdMVE1TJywzOTI0Myk=&amp;WINDOW=FIRST_POPUP&amp;HEIGHT=450&amp;WIDTH=450&amp;START_MA","XIMIZED=FALSE&amp;VAR:CALENDAR=US&amp;VAR:SYMBOL=N0098510&amp;VAR:INDEX=0"}</definedName>
    <definedName name="_6470__FDSAUDITLINK__" hidden="1">{"fdsup://directions/FAT Viewer?action=UPDATE&amp;creator=factset&amp;DYN_ARGS=TRUE&amp;DOC_NAME=FAT:FQL_AUDITING_CLIENT_TEMPLATE.FAT&amp;display_string=Audit&amp;VAR:KEY=ZYDGNWXWJG&amp;VAR:QUERY=RkZfRUJJVERBX0lCKCdMVE1TJywzOTI0Myk=&amp;WINDOW=FIRST_POPUP&amp;HEIGHT=450&amp;WIDTH=450&amp;START_MA","XIMIZED=FALSE&amp;VAR:CALENDAR=US&amp;VAR:SYMBOL=N0098510&amp;VAR:INDEX=0"}</definedName>
    <definedName name="_6471__FDSAUDITLINK__" localSheetId="6" hidden="1">{"fdsup://directions/FAT Viewer?action=UPDATE&amp;creator=factset&amp;DYN_ARGS=TRUE&amp;DOC_NAME=FAT:FQL_AUDITING_CLIENT_TEMPLATE.FAT&amp;display_string=Audit&amp;VAR:KEY=HWXYNILSHK&amp;VAR:QUERY=RkZfRUJJVERBX0lCKCdMVE1TJywzOTI0Mik=&amp;WINDOW=FIRST_POPUP&amp;HEIGHT=450&amp;WIDTH=450&amp;START_MA","XIMIZED=FALSE&amp;VAR:CALENDAR=US&amp;VAR:SYMBOL=N0098510&amp;VAR:INDEX=0"}</definedName>
    <definedName name="_6471__FDSAUDITLINK__" hidden="1">{"fdsup://directions/FAT Viewer?action=UPDATE&amp;creator=factset&amp;DYN_ARGS=TRUE&amp;DOC_NAME=FAT:FQL_AUDITING_CLIENT_TEMPLATE.FAT&amp;display_string=Audit&amp;VAR:KEY=HWXYNILSHK&amp;VAR:QUERY=RkZfRUJJVERBX0lCKCdMVE1TJywzOTI0Mik=&amp;WINDOW=FIRST_POPUP&amp;HEIGHT=450&amp;WIDTH=450&amp;START_MA","XIMIZED=FALSE&amp;VAR:CALENDAR=US&amp;VAR:SYMBOL=N0098510&amp;VAR:INDEX=0"}</definedName>
    <definedName name="_6472__FDSAUDITLINK__" localSheetId="6" hidden="1">{"fdsup://directions/FAT Viewer?action=UPDATE&amp;creator=factset&amp;DYN_ARGS=TRUE&amp;DOC_NAME=FAT:FQL_AUDITING_CLIENT_TEMPLATE.FAT&amp;display_string=Audit&amp;VAR:KEY=VOLQLIPGNO&amp;VAR:QUERY=RkZfRUJJVERBX0lCKCdMVE1TJywzOTI0MSk=&amp;WINDOW=FIRST_POPUP&amp;HEIGHT=450&amp;WIDTH=450&amp;START_MA","XIMIZED=FALSE&amp;VAR:CALENDAR=US&amp;VAR:SYMBOL=N0098510&amp;VAR:INDEX=0"}</definedName>
    <definedName name="_6472__FDSAUDITLINK__" hidden="1">{"fdsup://directions/FAT Viewer?action=UPDATE&amp;creator=factset&amp;DYN_ARGS=TRUE&amp;DOC_NAME=FAT:FQL_AUDITING_CLIENT_TEMPLATE.FAT&amp;display_string=Audit&amp;VAR:KEY=VOLQLIPGNO&amp;VAR:QUERY=RkZfRUJJVERBX0lCKCdMVE1TJywzOTI0MSk=&amp;WINDOW=FIRST_POPUP&amp;HEIGHT=450&amp;WIDTH=450&amp;START_MA","XIMIZED=FALSE&amp;VAR:CALENDAR=US&amp;VAR:SYMBOL=N0098510&amp;VAR:INDEX=0"}</definedName>
    <definedName name="_6473__FDSAUDITLINK__" localSheetId="6" hidden="1">{"fdsup://directions/FAT Viewer?action=UPDATE&amp;creator=factset&amp;DYN_ARGS=TRUE&amp;DOC_NAME=FAT:FQL_AUDITING_CLIENT_TEMPLATE.FAT&amp;display_string=Audit&amp;VAR:KEY=DETUPYZYXK&amp;VAR:QUERY=RkZfRUJJVERBX0lCKCdMVE1TJywzOTI0MCk=&amp;WINDOW=FIRST_POPUP&amp;HEIGHT=450&amp;WIDTH=450&amp;START_MA","XIMIZED=FALSE&amp;VAR:CALENDAR=US&amp;VAR:SYMBOL=N0098510&amp;VAR:INDEX=0"}</definedName>
    <definedName name="_6473__FDSAUDITLINK__" hidden="1">{"fdsup://directions/FAT Viewer?action=UPDATE&amp;creator=factset&amp;DYN_ARGS=TRUE&amp;DOC_NAME=FAT:FQL_AUDITING_CLIENT_TEMPLATE.FAT&amp;display_string=Audit&amp;VAR:KEY=DETUPYZYXK&amp;VAR:QUERY=RkZfRUJJVERBX0lCKCdMVE1TJywzOTI0MCk=&amp;WINDOW=FIRST_POPUP&amp;HEIGHT=450&amp;WIDTH=450&amp;START_MA","XIMIZED=FALSE&amp;VAR:CALENDAR=US&amp;VAR:SYMBOL=N0098510&amp;VAR:INDEX=0"}</definedName>
    <definedName name="_6474__FDSAUDITLINK__" localSheetId="6" hidden="1">{"fdsup://directions/FAT Viewer?action=UPDATE&amp;creator=factset&amp;DYN_ARGS=TRUE&amp;DOC_NAME=FAT:FQL_AUDITING_CLIENT_TEMPLATE.FAT&amp;display_string=Audit&amp;VAR:KEY=XKTWHOXGXS&amp;VAR:QUERY=RkZfRUJJVERBX0lCKCdMVE1TJywzOTIzOSk=&amp;WINDOW=FIRST_POPUP&amp;HEIGHT=450&amp;WIDTH=450&amp;START_MA","XIMIZED=FALSE&amp;VAR:CALENDAR=US&amp;VAR:SYMBOL=N0098510&amp;VAR:INDEX=0"}</definedName>
    <definedName name="_6474__FDSAUDITLINK__" hidden="1">{"fdsup://directions/FAT Viewer?action=UPDATE&amp;creator=factset&amp;DYN_ARGS=TRUE&amp;DOC_NAME=FAT:FQL_AUDITING_CLIENT_TEMPLATE.FAT&amp;display_string=Audit&amp;VAR:KEY=XKTWHOXGXS&amp;VAR:QUERY=RkZfRUJJVERBX0lCKCdMVE1TJywzOTIzOSk=&amp;WINDOW=FIRST_POPUP&amp;HEIGHT=450&amp;WIDTH=450&amp;START_MA","XIMIZED=FALSE&amp;VAR:CALENDAR=US&amp;VAR:SYMBOL=N0098510&amp;VAR:INDEX=0"}</definedName>
    <definedName name="_6475__FDSAUDITLINK__" localSheetId="6" hidden="1">{"fdsup://directions/FAT Viewer?action=UPDATE&amp;creator=factset&amp;DYN_ARGS=TRUE&amp;DOC_NAME=FAT:FQL_AUDITING_CLIENT_TEMPLATE.FAT&amp;display_string=Audit&amp;VAR:KEY=XIVQLYZULK&amp;VAR:QUERY=RkZfRUJJVERBX0lCKCdMVE1TJywzOTIzOCk=&amp;WINDOW=FIRST_POPUP&amp;HEIGHT=450&amp;WIDTH=450&amp;START_MA","XIMIZED=FALSE&amp;VAR:CALENDAR=US&amp;VAR:SYMBOL=N0098510&amp;VAR:INDEX=0"}</definedName>
    <definedName name="_6475__FDSAUDITLINK__" hidden="1">{"fdsup://directions/FAT Viewer?action=UPDATE&amp;creator=factset&amp;DYN_ARGS=TRUE&amp;DOC_NAME=FAT:FQL_AUDITING_CLIENT_TEMPLATE.FAT&amp;display_string=Audit&amp;VAR:KEY=XIVQLYZULK&amp;VAR:QUERY=RkZfRUJJVERBX0lCKCdMVE1TJywzOTIzOCk=&amp;WINDOW=FIRST_POPUP&amp;HEIGHT=450&amp;WIDTH=450&amp;START_MA","XIMIZED=FALSE&amp;VAR:CALENDAR=US&amp;VAR:SYMBOL=N0098510&amp;VAR:INDEX=0"}</definedName>
    <definedName name="_6476__FDSAUDITLINK__" localSheetId="6" hidden="1">{"fdsup://directions/FAT Viewer?action=UPDATE&amp;creator=factset&amp;DYN_ARGS=TRUE&amp;DOC_NAME=FAT:FQL_AUDITING_CLIENT_TEMPLATE.FAT&amp;display_string=Audit&amp;VAR:KEY=ROVEZWDALE&amp;VAR:QUERY=RkZfRUJJVERBX0lCKCdMVE1TJywzOTIzNyk=&amp;WINDOW=FIRST_POPUP&amp;HEIGHT=450&amp;WIDTH=450&amp;START_MA","XIMIZED=FALSE&amp;VAR:CALENDAR=US&amp;VAR:SYMBOL=N0098510&amp;VAR:INDEX=0"}</definedName>
    <definedName name="_6476__FDSAUDITLINK__" hidden="1">{"fdsup://directions/FAT Viewer?action=UPDATE&amp;creator=factset&amp;DYN_ARGS=TRUE&amp;DOC_NAME=FAT:FQL_AUDITING_CLIENT_TEMPLATE.FAT&amp;display_string=Audit&amp;VAR:KEY=ROVEZWDALE&amp;VAR:QUERY=RkZfRUJJVERBX0lCKCdMVE1TJywzOTIzNyk=&amp;WINDOW=FIRST_POPUP&amp;HEIGHT=450&amp;WIDTH=450&amp;START_MA","XIMIZED=FALSE&amp;VAR:CALENDAR=US&amp;VAR:SYMBOL=N0098510&amp;VAR:INDEX=0"}</definedName>
    <definedName name="_6477__FDSAUDITLINK__" localSheetId="6" hidden="1">{"fdsup://directions/FAT Viewer?action=UPDATE&amp;creator=factset&amp;DYN_ARGS=TRUE&amp;DOC_NAME=FAT:FQL_AUDITING_CLIENT_TEMPLATE.FAT&amp;display_string=Audit&amp;VAR:KEY=DQDKZIDUFA&amp;VAR:QUERY=RkZfRUJJVERBX0lCKCdMVE1TJywzOTIzNik=&amp;WINDOW=FIRST_POPUP&amp;HEIGHT=450&amp;WIDTH=450&amp;START_MA","XIMIZED=FALSE&amp;VAR:CALENDAR=US&amp;VAR:SYMBOL=N0098510&amp;VAR:INDEX=0"}</definedName>
    <definedName name="_6477__FDSAUDITLINK__" hidden="1">{"fdsup://directions/FAT Viewer?action=UPDATE&amp;creator=factset&amp;DYN_ARGS=TRUE&amp;DOC_NAME=FAT:FQL_AUDITING_CLIENT_TEMPLATE.FAT&amp;display_string=Audit&amp;VAR:KEY=DQDKZIDUFA&amp;VAR:QUERY=RkZfRUJJVERBX0lCKCdMVE1TJywzOTIzNik=&amp;WINDOW=FIRST_POPUP&amp;HEIGHT=450&amp;WIDTH=450&amp;START_MA","XIMIZED=FALSE&amp;VAR:CALENDAR=US&amp;VAR:SYMBOL=N0098510&amp;VAR:INDEX=0"}</definedName>
    <definedName name="_6478__FDSAUDITLINK__" localSheetId="6" hidden="1">{"fdsup://directions/FAT Viewer?action=UPDATE&amp;creator=factset&amp;DYN_ARGS=TRUE&amp;DOC_NAME=FAT:FQL_AUDITING_CLIENT_TEMPLATE.FAT&amp;display_string=Audit&amp;VAR:KEY=ZGPCBQROBW&amp;VAR:QUERY=RkZfRUJJVERBX0lCKCdMVE1TJywzOTIzNSk=&amp;WINDOW=FIRST_POPUP&amp;HEIGHT=450&amp;WIDTH=450&amp;START_MA","XIMIZED=FALSE&amp;VAR:CALENDAR=US&amp;VAR:SYMBOL=N0098510&amp;VAR:INDEX=0"}</definedName>
    <definedName name="_6478__FDSAUDITLINK__" hidden="1">{"fdsup://directions/FAT Viewer?action=UPDATE&amp;creator=factset&amp;DYN_ARGS=TRUE&amp;DOC_NAME=FAT:FQL_AUDITING_CLIENT_TEMPLATE.FAT&amp;display_string=Audit&amp;VAR:KEY=ZGPCBQROBW&amp;VAR:QUERY=RkZfRUJJVERBX0lCKCdMVE1TJywzOTIzNSk=&amp;WINDOW=FIRST_POPUP&amp;HEIGHT=450&amp;WIDTH=450&amp;START_MA","XIMIZED=FALSE&amp;VAR:CALENDAR=US&amp;VAR:SYMBOL=N0098510&amp;VAR:INDEX=0"}</definedName>
    <definedName name="_6479__FDSAUDITLINK__" localSheetId="6" hidden="1">{"fdsup://directions/FAT Viewer?action=UPDATE&amp;creator=factset&amp;DYN_ARGS=TRUE&amp;DOC_NAME=FAT:FQL_AUDITING_CLIENT_TEMPLATE.FAT&amp;display_string=Audit&amp;VAR:KEY=PCZWTEXSPS&amp;VAR:QUERY=RkZfRUJJVERBX0lCKCdMVE1TJywzOTIzNCk=&amp;WINDOW=FIRST_POPUP&amp;HEIGHT=450&amp;WIDTH=450&amp;START_MA","XIMIZED=FALSE&amp;VAR:CALENDAR=US&amp;VAR:SYMBOL=N0098510&amp;VAR:INDEX=0"}</definedName>
    <definedName name="_6479__FDSAUDITLINK__" hidden="1">{"fdsup://directions/FAT Viewer?action=UPDATE&amp;creator=factset&amp;DYN_ARGS=TRUE&amp;DOC_NAME=FAT:FQL_AUDITING_CLIENT_TEMPLATE.FAT&amp;display_string=Audit&amp;VAR:KEY=PCZWTEXSPS&amp;VAR:QUERY=RkZfRUJJVERBX0lCKCdMVE1TJywzOTIzNCk=&amp;WINDOW=FIRST_POPUP&amp;HEIGHT=450&amp;WIDTH=450&amp;START_MA","XIMIZED=FALSE&amp;VAR:CALENDAR=US&amp;VAR:SYMBOL=N0098510&amp;VAR:INDEX=0"}</definedName>
    <definedName name="_648__FDSAUDITLINK__" localSheetId="6" hidden="1">{"fdsup://directions/FAT%20Viewer?VAR:PED=LTM&amp;VAR:AUDIT_MODE=SUMMARY&amp;VAR:PERIOD=FIXED&amp;VAR:AUDIT_ID=00000117&amp;VAR:DATE=20080514&amp;action=UPDATE&amp;creator=factset&amp;DOC_NAME=FAT:FMA_audit_SUMMARY.fat&amp;DISPLAY_STRING=Display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8__FDSAUDITLINK__" hidden="1">{"fdsup://directions/FAT%20Viewer?VAR:PED=LTM&amp;VAR:AUDIT_MODE=SUMMARY&amp;VAR:PERIOD=FIXED&amp;VAR:AUDIT_ID=00000117&amp;VAR:DATE=20080514&amp;action=UPDATE&amp;creator=factset&amp;DOC_NAME=FAT:FMA_audit_SUMMARY.fat&amp;DISPLAY_STRING=Display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80__FDSAUDITLINK__" localSheetId="6" hidden="1">{"fdsup://directions/FAT Viewer?action=UPDATE&amp;creator=factset&amp;DYN_ARGS=TRUE&amp;DOC_NAME=FAT:FQL_AUDITING_CLIENT_TEMPLATE.FAT&amp;display_string=Audit&amp;VAR:KEY=PMLCPEZGPG&amp;VAR:QUERY=RkZfRUJJVERBX0lCKCdMVE1TJywzOTIzMyk=&amp;WINDOW=FIRST_POPUP&amp;HEIGHT=450&amp;WIDTH=450&amp;START_MA","XIMIZED=FALSE&amp;VAR:CALENDAR=US&amp;VAR:SYMBOL=N0098510&amp;VAR:INDEX=0"}</definedName>
    <definedName name="_6480__FDSAUDITLINK__" hidden="1">{"fdsup://directions/FAT Viewer?action=UPDATE&amp;creator=factset&amp;DYN_ARGS=TRUE&amp;DOC_NAME=FAT:FQL_AUDITING_CLIENT_TEMPLATE.FAT&amp;display_string=Audit&amp;VAR:KEY=PMLCPEZGPG&amp;VAR:QUERY=RkZfRUJJVERBX0lCKCdMVE1TJywzOTIzMyk=&amp;WINDOW=FIRST_POPUP&amp;HEIGHT=450&amp;WIDTH=450&amp;START_MA","XIMIZED=FALSE&amp;VAR:CALENDAR=US&amp;VAR:SYMBOL=N0098510&amp;VAR:INDEX=0"}</definedName>
    <definedName name="_6481__FDSAUDITLINK__" localSheetId="6" hidden="1">{"fdsup://directions/FAT Viewer?action=UPDATE&amp;creator=factset&amp;DYN_ARGS=TRUE&amp;DOC_NAME=FAT:FQL_AUDITING_CLIENT_TEMPLATE.FAT&amp;display_string=Audit&amp;VAR:KEY=LQLOLUZYRS&amp;VAR:QUERY=RkZfRUJJVERBX0lCKCdMVE1TJywzOTIzMik=&amp;WINDOW=FIRST_POPUP&amp;HEIGHT=450&amp;WIDTH=450&amp;START_MA","XIMIZED=FALSE&amp;VAR:CALENDAR=US&amp;VAR:SYMBOL=N0098510&amp;VAR:INDEX=0"}</definedName>
    <definedName name="_6481__FDSAUDITLINK__" hidden="1">{"fdsup://directions/FAT Viewer?action=UPDATE&amp;creator=factset&amp;DYN_ARGS=TRUE&amp;DOC_NAME=FAT:FQL_AUDITING_CLIENT_TEMPLATE.FAT&amp;display_string=Audit&amp;VAR:KEY=LQLOLUZYRS&amp;VAR:QUERY=RkZfRUJJVERBX0lCKCdMVE1TJywzOTIzMik=&amp;WINDOW=FIRST_POPUP&amp;HEIGHT=450&amp;WIDTH=450&amp;START_MA","XIMIZED=FALSE&amp;VAR:CALENDAR=US&amp;VAR:SYMBOL=N0098510&amp;VAR:INDEX=0"}</definedName>
    <definedName name="_6482__FDSAUDITLINK__" localSheetId="6" hidden="1">{"fdsup://directions/FAT Viewer?action=UPDATE&amp;creator=factset&amp;DYN_ARGS=TRUE&amp;DOC_NAME=FAT:FQL_AUDITING_CLIENT_TEMPLATE.FAT&amp;display_string=Audit&amp;VAR:KEY=FOVWZAHWBQ&amp;VAR:QUERY=RkZfRUJJVERBX0lCKCdMVE1TJywzOTIzMSk=&amp;WINDOW=FIRST_POPUP&amp;HEIGHT=450&amp;WIDTH=450&amp;START_MA","XIMIZED=FALSE&amp;VAR:CALENDAR=US&amp;VAR:SYMBOL=N0098510&amp;VAR:INDEX=0"}</definedName>
    <definedName name="_6482__FDSAUDITLINK__" hidden="1">{"fdsup://directions/FAT Viewer?action=UPDATE&amp;creator=factset&amp;DYN_ARGS=TRUE&amp;DOC_NAME=FAT:FQL_AUDITING_CLIENT_TEMPLATE.FAT&amp;display_string=Audit&amp;VAR:KEY=FOVWZAHWBQ&amp;VAR:QUERY=RkZfRUJJVERBX0lCKCdMVE1TJywzOTIzMSk=&amp;WINDOW=FIRST_POPUP&amp;HEIGHT=450&amp;WIDTH=450&amp;START_MA","XIMIZED=FALSE&amp;VAR:CALENDAR=US&amp;VAR:SYMBOL=N0098510&amp;VAR:INDEX=0"}</definedName>
    <definedName name="_6483__FDSAUDITLINK__" localSheetId="6" hidden="1">{"fdsup://directions/FAT Viewer?action=UPDATE&amp;creator=factset&amp;DYN_ARGS=TRUE&amp;DOC_NAME=FAT:FQL_AUDITING_CLIENT_TEMPLATE.FAT&amp;display_string=Audit&amp;VAR:KEY=BWJSBWBCPQ&amp;VAR:QUERY=RkZfRUJJVERBX0lCKCdMVE1TJywzOTIzMCk=&amp;WINDOW=FIRST_POPUP&amp;HEIGHT=450&amp;WIDTH=450&amp;START_MA","XIMIZED=FALSE&amp;VAR:CALENDAR=US&amp;VAR:SYMBOL=N0098510&amp;VAR:INDEX=0"}</definedName>
    <definedName name="_6483__FDSAUDITLINK__" hidden="1">{"fdsup://directions/FAT Viewer?action=UPDATE&amp;creator=factset&amp;DYN_ARGS=TRUE&amp;DOC_NAME=FAT:FQL_AUDITING_CLIENT_TEMPLATE.FAT&amp;display_string=Audit&amp;VAR:KEY=BWJSBWBCPQ&amp;VAR:QUERY=RkZfRUJJVERBX0lCKCdMVE1TJywzOTIzMCk=&amp;WINDOW=FIRST_POPUP&amp;HEIGHT=450&amp;WIDTH=450&amp;START_MA","XIMIZED=FALSE&amp;VAR:CALENDAR=US&amp;VAR:SYMBOL=N0098510&amp;VAR:INDEX=0"}</definedName>
    <definedName name="_6484__FDSAUDITLINK__" localSheetId="6" hidden="1">{"fdsup://directions/FAT Viewer?action=UPDATE&amp;creator=factset&amp;DYN_ARGS=TRUE&amp;DOC_NAME=FAT:FQL_AUDITING_CLIENT_TEMPLATE.FAT&amp;display_string=Audit&amp;VAR:KEY=PAZCVWZENC&amp;VAR:QUERY=RkZfRUJJVERBX0lCKCdMVE1TJywzOTIyOSk=&amp;WINDOW=FIRST_POPUP&amp;HEIGHT=450&amp;WIDTH=450&amp;START_MA","XIMIZED=FALSE&amp;VAR:CALENDAR=US&amp;VAR:SYMBOL=N0098510&amp;VAR:INDEX=0"}</definedName>
    <definedName name="_6484__FDSAUDITLINK__" hidden="1">{"fdsup://directions/FAT Viewer?action=UPDATE&amp;creator=factset&amp;DYN_ARGS=TRUE&amp;DOC_NAME=FAT:FQL_AUDITING_CLIENT_TEMPLATE.FAT&amp;display_string=Audit&amp;VAR:KEY=PAZCVWZENC&amp;VAR:QUERY=RkZfRUJJVERBX0lCKCdMVE1TJywzOTIyOSk=&amp;WINDOW=FIRST_POPUP&amp;HEIGHT=450&amp;WIDTH=450&amp;START_MA","XIMIZED=FALSE&amp;VAR:CALENDAR=US&amp;VAR:SYMBOL=N0098510&amp;VAR:INDEX=0"}</definedName>
    <definedName name="_6485__FDSAUDITLINK__" localSheetId="6" hidden="1">{"fdsup://directions/FAT Viewer?action=UPDATE&amp;creator=factset&amp;DYN_ARGS=TRUE&amp;DOC_NAME=FAT:FQL_AUDITING_CLIENT_TEMPLATE.FAT&amp;display_string=Audit&amp;VAR:KEY=PMDMJOBMRW&amp;VAR:QUERY=RkZfRUJJVERBX0lCKCdMVE1TJywzOTIyOCk=&amp;WINDOW=FIRST_POPUP&amp;HEIGHT=450&amp;WIDTH=450&amp;START_MA","XIMIZED=FALSE&amp;VAR:CALENDAR=US&amp;VAR:SYMBOL=N0098510&amp;VAR:INDEX=0"}</definedName>
    <definedName name="_6485__FDSAUDITLINK__" hidden="1">{"fdsup://directions/FAT Viewer?action=UPDATE&amp;creator=factset&amp;DYN_ARGS=TRUE&amp;DOC_NAME=FAT:FQL_AUDITING_CLIENT_TEMPLATE.FAT&amp;display_string=Audit&amp;VAR:KEY=PMDMJOBMRW&amp;VAR:QUERY=RkZfRUJJVERBX0lCKCdMVE1TJywzOTIyOCk=&amp;WINDOW=FIRST_POPUP&amp;HEIGHT=450&amp;WIDTH=450&amp;START_MA","XIMIZED=FALSE&amp;VAR:CALENDAR=US&amp;VAR:SYMBOL=N0098510&amp;VAR:INDEX=0"}</definedName>
    <definedName name="_6486__FDSAUDITLINK__" localSheetId="6" hidden="1">{"fdsup://directions/FAT Viewer?action=UPDATE&amp;creator=factset&amp;DYN_ARGS=TRUE&amp;DOC_NAME=FAT:FQL_AUDITING_CLIENT_TEMPLATE.FAT&amp;display_string=Audit&amp;VAR:KEY=BSFEHGRQZM&amp;VAR:QUERY=RkZfRUJJVERBX0lCKCdMVE1TJywzOTIyNyk=&amp;WINDOW=FIRST_POPUP&amp;HEIGHT=450&amp;WIDTH=450&amp;START_MA","XIMIZED=FALSE&amp;VAR:CALENDAR=US&amp;VAR:SYMBOL=N0098510&amp;VAR:INDEX=0"}</definedName>
    <definedName name="_6486__FDSAUDITLINK__" hidden="1">{"fdsup://directions/FAT Viewer?action=UPDATE&amp;creator=factset&amp;DYN_ARGS=TRUE&amp;DOC_NAME=FAT:FQL_AUDITING_CLIENT_TEMPLATE.FAT&amp;display_string=Audit&amp;VAR:KEY=BSFEHGRQZM&amp;VAR:QUERY=RkZfRUJJVERBX0lCKCdMVE1TJywzOTIyNyk=&amp;WINDOW=FIRST_POPUP&amp;HEIGHT=450&amp;WIDTH=450&amp;START_MA","XIMIZED=FALSE&amp;VAR:CALENDAR=US&amp;VAR:SYMBOL=N0098510&amp;VAR:INDEX=0"}</definedName>
    <definedName name="_6487__FDSAUDITLINK__" localSheetId="6" hidden="1">{"fdsup://directions/FAT Viewer?action=UPDATE&amp;creator=factset&amp;DYN_ARGS=TRUE&amp;DOC_NAME=FAT:FQL_AUDITING_CLIENT_TEMPLATE.FAT&amp;display_string=Audit&amp;VAR:KEY=TKRSTUVYDA&amp;VAR:QUERY=RkZfRUJJVERBX0lCKCdMVE1TJywzOTIyNik=&amp;WINDOW=FIRST_POPUP&amp;HEIGHT=450&amp;WIDTH=450&amp;START_MA","XIMIZED=FALSE&amp;VAR:CALENDAR=US&amp;VAR:SYMBOL=N0098510&amp;VAR:INDEX=0"}</definedName>
    <definedName name="_6487__FDSAUDITLINK__" hidden="1">{"fdsup://directions/FAT Viewer?action=UPDATE&amp;creator=factset&amp;DYN_ARGS=TRUE&amp;DOC_NAME=FAT:FQL_AUDITING_CLIENT_TEMPLATE.FAT&amp;display_string=Audit&amp;VAR:KEY=TKRSTUVYDA&amp;VAR:QUERY=RkZfRUJJVERBX0lCKCdMVE1TJywzOTIyNik=&amp;WINDOW=FIRST_POPUP&amp;HEIGHT=450&amp;WIDTH=450&amp;START_MA","XIMIZED=FALSE&amp;VAR:CALENDAR=US&amp;VAR:SYMBOL=N0098510&amp;VAR:INDEX=0"}</definedName>
    <definedName name="_6488__FDSAUDITLINK__" localSheetId="6" hidden="1">{"fdsup://directions/FAT Viewer?action=UPDATE&amp;creator=factset&amp;DYN_ARGS=TRUE&amp;DOC_NAME=FAT:FQL_AUDITING_CLIENT_TEMPLATE.FAT&amp;display_string=Audit&amp;VAR:KEY=ZGTWRAREXE&amp;VAR:QUERY=RkZfRUJJVERBX0lCKCdMVE1TJywzOTIyNSk=&amp;WINDOW=FIRST_POPUP&amp;HEIGHT=450&amp;WIDTH=450&amp;START_MA","XIMIZED=FALSE&amp;VAR:CALENDAR=US&amp;VAR:SYMBOL=N0098510&amp;VAR:INDEX=0"}</definedName>
    <definedName name="_6488__FDSAUDITLINK__" hidden="1">{"fdsup://directions/FAT Viewer?action=UPDATE&amp;creator=factset&amp;DYN_ARGS=TRUE&amp;DOC_NAME=FAT:FQL_AUDITING_CLIENT_TEMPLATE.FAT&amp;display_string=Audit&amp;VAR:KEY=ZGTWRAREXE&amp;VAR:QUERY=RkZfRUJJVERBX0lCKCdMVE1TJywzOTIyNSk=&amp;WINDOW=FIRST_POPUP&amp;HEIGHT=450&amp;WIDTH=450&amp;START_MA","XIMIZED=FALSE&amp;VAR:CALENDAR=US&amp;VAR:SYMBOL=N0098510&amp;VAR:INDEX=0"}</definedName>
    <definedName name="_6489__FDSAUDITLINK__" localSheetId="6" hidden="1">{"fdsup://directions/FAT Viewer?action=UPDATE&amp;creator=factset&amp;DYN_ARGS=TRUE&amp;DOC_NAME=FAT:FQL_AUDITING_CLIENT_TEMPLATE.FAT&amp;display_string=Audit&amp;VAR:KEY=LUZOBKLKNM&amp;VAR:QUERY=RkZfRUJJVERBX0lCKCdMVE1TJywzOTIyNCk=&amp;WINDOW=FIRST_POPUP&amp;HEIGHT=450&amp;WIDTH=450&amp;START_MA","XIMIZED=FALSE&amp;VAR:CALENDAR=US&amp;VAR:SYMBOL=N0098510&amp;VAR:INDEX=0"}</definedName>
    <definedName name="_6489__FDSAUDITLINK__" hidden="1">{"fdsup://directions/FAT Viewer?action=UPDATE&amp;creator=factset&amp;DYN_ARGS=TRUE&amp;DOC_NAME=FAT:FQL_AUDITING_CLIENT_TEMPLATE.FAT&amp;display_string=Audit&amp;VAR:KEY=LUZOBKLKNM&amp;VAR:QUERY=RkZfRUJJVERBX0lCKCdMVE1TJywzOTIyNCk=&amp;WINDOW=FIRST_POPUP&amp;HEIGHT=450&amp;WIDTH=450&amp;START_MA","XIMIZED=FALSE&amp;VAR:CALENDAR=US&amp;VAR:SYMBOL=N0098510&amp;VAR:INDEX=0"}</definedName>
    <definedName name="_649__FDSAUDITLINK__" localSheetId="6" hidden="1">{"fdsup://directions/FAT%20Viewer?VAR:PED=LTM&amp;VAR:AUDIT_MODE=SUMMARY&amp;VAR:PERIOD=FIXED&amp;VAR:AUDIT_ID=00000117&amp;VAR:DATE=20080513&amp;action=UPDATE&amp;creator=factset&amp;DOC_NAME=FAT:FMA_audit_SUMMARY.fat&amp;DISPLAY_STRING=Display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9__FDSAUDITLINK__" hidden="1">{"fdsup://directions/FAT%20Viewer?VAR:PED=LTM&amp;VAR:AUDIT_MODE=SUMMARY&amp;VAR:PERIOD=FIXED&amp;VAR:AUDIT_ID=00000117&amp;VAR:DATE=20080513&amp;action=UPDATE&amp;creator=factset&amp;DOC_NAME=FAT:FMA_audit_SUMMARY.fat&amp;DISPLAY_STRING=Display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490__FDSAUDITLINK__" localSheetId="6" hidden="1">{"fdsup://directions/FAT Viewer?action=UPDATE&amp;creator=factset&amp;DYN_ARGS=TRUE&amp;DOC_NAME=FAT:FQL_AUDITING_CLIENT_TEMPLATE.FAT&amp;display_string=Audit&amp;VAR:KEY=LYFCFWHSHQ&amp;VAR:QUERY=RkZfRUJJVERBX0lCKCdMVE1TJywzOTIyMyk=&amp;WINDOW=FIRST_POPUP&amp;HEIGHT=450&amp;WIDTH=450&amp;START_MA","XIMIZED=FALSE&amp;VAR:CALENDAR=US&amp;VAR:SYMBOL=N0098510&amp;VAR:INDEX=0"}</definedName>
    <definedName name="_6490__FDSAUDITLINK__" hidden="1">{"fdsup://directions/FAT Viewer?action=UPDATE&amp;creator=factset&amp;DYN_ARGS=TRUE&amp;DOC_NAME=FAT:FQL_AUDITING_CLIENT_TEMPLATE.FAT&amp;display_string=Audit&amp;VAR:KEY=LYFCFWHSHQ&amp;VAR:QUERY=RkZfRUJJVERBX0lCKCdMVE1TJywzOTIyMyk=&amp;WINDOW=FIRST_POPUP&amp;HEIGHT=450&amp;WIDTH=450&amp;START_MA","XIMIZED=FALSE&amp;VAR:CALENDAR=US&amp;VAR:SYMBOL=N0098510&amp;VAR:INDEX=0"}</definedName>
    <definedName name="_6491__FDSAUDITLINK__" localSheetId="6" hidden="1">{"fdsup://directions/FAT Viewer?action=UPDATE&amp;creator=factset&amp;DYN_ARGS=TRUE&amp;DOC_NAME=FAT:FQL_AUDITING_CLIENT_TEMPLATE.FAT&amp;display_string=Audit&amp;VAR:KEY=JABMPQRGBQ&amp;VAR:QUERY=RkZfRUJJVERBX0lCKCdMVE1TJywzOTIyMik=&amp;WINDOW=FIRST_POPUP&amp;HEIGHT=450&amp;WIDTH=450&amp;START_MA","XIMIZED=FALSE&amp;VAR:CALENDAR=US&amp;VAR:SYMBOL=N0098510&amp;VAR:INDEX=0"}</definedName>
    <definedName name="_6491__FDSAUDITLINK__" hidden="1">{"fdsup://directions/FAT Viewer?action=UPDATE&amp;creator=factset&amp;DYN_ARGS=TRUE&amp;DOC_NAME=FAT:FQL_AUDITING_CLIENT_TEMPLATE.FAT&amp;display_string=Audit&amp;VAR:KEY=JABMPQRGBQ&amp;VAR:QUERY=RkZfRUJJVERBX0lCKCdMVE1TJywzOTIyMik=&amp;WINDOW=FIRST_POPUP&amp;HEIGHT=450&amp;WIDTH=450&amp;START_MA","XIMIZED=FALSE&amp;VAR:CALENDAR=US&amp;VAR:SYMBOL=N0098510&amp;VAR:INDEX=0"}</definedName>
    <definedName name="_6492__FDSAUDITLINK__" localSheetId="6" hidden="1">{"fdsup://directions/FAT Viewer?action=UPDATE&amp;creator=factset&amp;DYN_ARGS=TRUE&amp;DOC_NAME=FAT:FQL_AUDITING_CLIENT_TEMPLATE.FAT&amp;display_string=Audit&amp;VAR:KEY=XCZYTYNOZW&amp;VAR:QUERY=RkZfRUJJVERBX0lCKCdMVE1TJywzOTIyMSk=&amp;WINDOW=FIRST_POPUP&amp;HEIGHT=450&amp;WIDTH=450&amp;START_MA","XIMIZED=FALSE&amp;VAR:CALENDAR=US&amp;VAR:SYMBOL=N0098510&amp;VAR:INDEX=0"}</definedName>
    <definedName name="_6492__FDSAUDITLINK__" hidden="1">{"fdsup://directions/FAT Viewer?action=UPDATE&amp;creator=factset&amp;DYN_ARGS=TRUE&amp;DOC_NAME=FAT:FQL_AUDITING_CLIENT_TEMPLATE.FAT&amp;display_string=Audit&amp;VAR:KEY=XCZYTYNOZW&amp;VAR:QUERY=RkZfRUJJVERBX0lCKCdMVE1TJywzOTIyMSk=&amp;WINDOW=FIRST_POPUP&amp;HEIGHT=450&amp;WIDTH=450&amp;START_MA","XIMIZED=FALSE&amp;VAR:CALENDAR=US&amp;VAR:SYMBOL=N0098510&amp;VAR:INDEX=0"}</definedName>
    <definedName name="_6493__FDSAUDITLINK__" localSheetId="6" hidden="1">{"fdsup://directions/FAT Viewer?action=UPDATE&amp;creator=factset&amp;DYN_ARGS=TRUE&amp;DOC_NAME=FAT:FQL_AUDITING_CLIENT_TEMPLATE.FAT&amp;display_string=Audit&amp;VAR:KEY=FYVCBYNSRM&amp;VAR:QUERY=RkZfRUJJVERBX0lCKCdMVE1TJywzOTIyMCk=&amp;WINDOW=FIRST_POPUP&amp;HEIGHT=450&amp;WIDTH=450&amp;START_MA","XIMIZED=FALSE&amp;VAR:CALENDAR=US&amp;VAR:SYMBOL=N0098510&amp;VAR:INDEX=0"}</definedName>
    <definedName name="_6493__FDSAUDITLINK__" hidden="1">{"fdsup://directions/FAT Viewer?action=UPDATE&amp;creator=factset&amp;DYN_ARGS=TRUE&amp;DOC_NAME=FAT:FQL_AUDITING_CLIENT_TEMPLATE.FAT&amp;display_string=Audit&amp;VAR:KEY=FYVCBYNSRM&amp;VAR:QUERY=RkZfRUJJVERBX0lCKCdMVE1TJywzOTIyMCk=&amp;WINDOW=FIRST_POPUP&amp;HEIGHT=450&amp;WIDTH=450&amp;START_MA","XIMIZED=FALSE&amp;VAR:CALENDAR=US&amp;VAR:SYMBOL=N0098510&amp;VAR:INDEX=0"}</definedName>
    <definedName name="_6494__FDSAUDITLINK__" localSheetId="6" hidden="1">{"fdsup://directions/FAT Viewer?action=UPDATE&amp;creator=factset&amp;DYN_ARGS=TRUE&amp;DOC_NAME=FAT:FQL_AUDITING_CLIENT_TEMPLATE.FAT&amp;display_string=Audit&amp;VAR:KEY=RSNUPGDIHM&amp;VAR:QUERY=RkZfRUJJVERBX0lCKCdMVE1TJywzOTIxOSk=&amp;WINDOW=FIRST_POPUP&amp;HEIGHT=450&amp;WIDTH=450&amp;START_MA","XIMIZED=FALSE&amp;VAR:CALENDAR=US&amp;VAR:SYMBOL=N0098510&amp;VAR:INDEX=0"}</definedName>
    <definedName name="_6494__FDSAUDITLINK__" hidden="1">{"fdsup://directions/FAT Viewer?action=UPDATE&amp;creator=factset&amp;DYN_ARGS=TRUE&amp;DOC_NAME=FAT:FQL_AUDITING_CLIENT_TEMPLATE.FAT&amp;display_string=Audit&amp;VAR:KEY=RSNUPGDIHM&amp;VAR:QUERY=RkZfRUJJVERBX0lCKCdMVE1TJywzOTIxOSk=&amp;WINDOW=FIRST_POPUP&amp;HEIGHT=450&amp;WIDTH=450&amp;START_MA","XIMIZED=FALSE&amp;VAR:CALENDAR=US&amp;VAR:SYMBOL=N0098510&amp;VAR:INDEX=0"}</definedName>
    <definedName name="_6495__FDSAUDITLINK__" localSheetId="6" hidden="1">{"fdsup://directions/FAT Viewer?action=UPDATE&amp;creator=factset&amp;DYN_ARGS=TRUE&amp;DOC_NAME=FAT:FQL_AUDITING_CLIENT_TEMPLATE.FAT&amp;display_string=Audit&amp;VAR:KEY=ZGRCJQRMJK&amp;VAR:QUERY=RkZfRUJJVERBX0lCKCdMVE1TJywzOTIxOCk=&amp;WINDOW=FIRST_POPUP&amp;HEIGHT=450&amp;WIDTH=450&amp;START_MA","XIMIZED=FALSE&amp;VAR:CALENDAR=US&amp;VAR:SYMBOL=N0098510&amp;VAR:INDEX=0"}</definedName>
    <definedName name="_6495__FDSAUDITLINK__" hidden="1">{"fdsup://directions/FAT Viewer?action=UPDATE&amp;creator=factset&amp;DYN_ARGS=TRUE&amp;DOC_NAME=FAT:FQL_AUDITING_CLIENT_TEMPLATE.FAT&amp;display_string=Audit&amp;VAR:KEY=ZGRCJQRMJK&amp;VAR:QUERY=RkZfRUJJVERBX0lCKCdMVE1TJywzOTIxOCk=&amp;WINDOW=FIRST_POPUP&amp;HEIGHT=450&amp;WIDTH=450&amp;START_MA","XIMIZED=FALSE&amp;VAR:CALENDAR=US&amp;VAR:SYMBOL=N0098510&amp;VAR:INDEX=0"}</definedName>
    <definedName name="_6496__FDSAUDITLINK__" localSheetId="6" hidden="1">{"fdsup://directions/FAT Viewer?action=UPDATE&amp;creator=factset&amp;DYN_ARGS=TRUE&amp;DOC_NAME=FAT:FQL_AUDITING_CLIENT_TEMPLATE.FAT&amp;display_string=Audit&amp;VAR:KEY=DWHQDKDCPQ&amp;VAR:QUERY=RkZfRUJJVERBX0lCKCdMVE1TJywzOTIxNyk=&amp;WINDOW=FIRST_POPUP&amp;HEIGHT=450&amp;WIDTH=450&amp;START_MA","XIMIZED=FALSE&amp;VAR:CALENDAR=US&amp;VAR:SYMBOL=N0098510&amp;VAR:INDEX=0"}</definedName>
    <definedName name="_6496__FDSAUDITLINK__" hidden="1">{"fdsup://directions/FAT Viewer?action=UPDATE&amp;creator=factset&amp;DYN_ARGS=TRUE&amp;DOC_NAME=FAT:FQL_AUDITING_CLIENT_TEMPLATE.FAT&amp;display_string=Audit&amp;VAR:KEY=DWHQDKDCPQ&amp;VAR:QUERY=RkZfRUJJVERBX0lCKCdMVE1TJywzOTIxNyk=&amp;WINDOW=FIRST_POPUP&amp;HEIGHT=450&amp;WIDTH=450&amp;START_MA","XIMIZED=FALSE&amp;VAR:CALENDAR=US&amp;VAR:SYMBOL=N0098510&amp;VAR:INDEX=0"}</definedName>
    <definedName name="_6497__FDSAUDITLINK__" localSheetId="6" hidden="1">{"fdsup://directions/FAT Viewer?action=UPDATE&amp;creator=factset&amp;DYN_ARGS=TRUE&amp;DOC_NAME=FAT:FQL_AUDITING_CLIENT_TEMPLATE.FAT&amp;display_string=Audit&amp;VAR:KEY=PGDMFCHYHY&amp;VAR:QUERY=RkZfRUJJVERBX0lCKCdMVE1TJywzOTIxNik=&amp;WINDOW=FIRST_POPUP&amp;HEIGHT=450&amp;WIDTH=450&amp;START_MA","XIMIZED=FALSE&amp;VAR:CALENDAR=US&amp;VAR:SYMBOL=N0098510&amp;VAR:INDEX=0"}</definedName>
    <definedName name="_6497__FDSAUDITLINK__" hidden="1">{"fdsup://directions/FAT Viewer?action=UPDATE&amp;creator=factset&amp;DYN_ARGS=TRUE&amp;DOC_NAME=FAT:FQL_AUDITING_CLIENT_TEMPLATE.FAT&amp;display_string=Audit&amp;VAR:KEY=PGDMFCHYHY&amp;VAR:QUERY=RkZfRUJJVERBX0lCKCdMVE1TJywzOTIxNik=&amp;WINDOW=FIRST_POPUP&amp;HEIGHT=450&amp;WIDTH=450&amp;START_MA","XIMIZED=FALSE&amp;VAR:CALENDAR=US&amp;VAR:SYMBOL=N0098510&amp;VAR:INDEX=0"}</definedName>
    <definedName name="_6498__FDSAUDITLINK__" localSheetId="6" hidden="1">{"fdsup://directions/FAT Viewer?action=UPDATE&amp;creator=factset&amp;DYN_ARGS=TRUE&amp;DOC_NAME=FAT:FQL_AUDITING_CLIENT_TEMPLATE.FAT&amp;display_string=Audit&amp;VAR:KEY=JQTAVGLMHY&amp;VAR:QUERY=RkZfRUJJVERBX0lCKCdMVE1TJywzOTIxNSk=&amp;WINDOW=FIRST_POPUP&amp;HEIGHT=450&amp;WIDTH=450&amp;START_MA","XIMIZED=FALSE&amp;VAR:CALENDAR=US&amp;VAR:SYMBOL=N0098510&amp;VAR:INDEX=0"}</definedName>
    <definedName name="_6498__FDSAUDITLINK__" hidden="1">{"fdsup://directions/FAT Viewer?action=UPDATE&amp;creator=factset&amp;DYN_ARGS=TRUE&amp;DOC_NAME=FAT:FQL_AUDITING_CLIENT_TEMPLATE.FAT&amp;display_string=Audit&amp;VAR:KEY=JQTAVGLMHY&amp;VAR:QUERY=RkZfRUJJVERBX0lCKCdMVE1TJywzOTIxNSk=&amp;WINDOW=FIRST_POPUP&amp;HEIGHT=450&amp;WIDTH=450&amp;START_MA","XIMIZED=FALSE&amp;VAR:CALENDAR=US&amp;VAR:SYMBOL=N0098510&amp;VAR:INDEX=0"}</definedName>
    <definedName name="_6499__FDSAUDITLINK__" localSheetId="6" hidden="1">{"fdsup://directions/FAT Viewer?action=UPDATE&amp;creator=factset&amp;DYN_ARGS=TRUE&amp;DOC_NAME=FAT:FQL_AUDITING_CLIENT_TEMPLATE.FAT&amp;display_string=Audit&amp;VAR:KEY=FQNGVSPSJO&amp;VAR:QUERY=RkZfRUJJVERBX0lCKCdMVE1TJywzOTIxNCk=&amp;WINDOW=FIRST_POPUP&amp;HEIGHT=450&amp;WIDTH=450&amp;START_MA","XIMIZED=FALSE&amp;VAR:CALENDAR=US&amp;VAR:SYMBOL=N0098510&amp;VAR:INDEX=0"}</definedName>
    <definedName name="_6499__FDSAUDITLINK__" hidden="1">{"fdsup://directions/FAT Viewer?action=UPDATE&amp;creator=factset&amp;DYN_ARGS=TRUE&amp;DOC_NAME=FAT:FQL_AUDITING_CLIENT_TEMPLATE.FAT&amp;display_string=Audit&amp;VAR:KEY=FQNGVSPSJO&amp;VAR:QUERY=RkZfRUJJVERBX0lCKCdMVE1TJywzOTIxNCk=&amp;WINDOW=FIRST_POPUP&amp;HEIGHT=450&amp;WIDTH=450&amp;START_MA","XIMIZED=FALSE&amp;VAR:CALENDAR=US&amp;VAR:SYMBOL=N0098510&amp;VAR:INDEX=0"}</definedName>
    <definedName name="_65__FDSAUDITLINK__" localSheetId="6" hidden="1">{"fdsup://directions/FAT Viewer?action=UPDATE&amp;creator=factset&amp;DYN_ARGS=TRUE&amp;DOC_NAME=FAT:FQL_AUDITING_CLIENT_TEMPLATE.FAT&amp;display_string=Audit&amp;VAR:KEY=ZQNKLITKZO&amp;VAR:QUERY=QVZHKENTRl9ORVRfSU5DKEFOTiwwRlksLTZGWSxZKSkgLyAoQVZHKENTRl9BU1NFVFMoQU5OLDBGWSwtNkZZL","EZZKSkgLSBBVkcoQ1NGX0lOVEFORyhBTk4sMCwtNkZZLEZZKSkp&amp;WINDOW=FIRST_POPUP&amp;HEIGHT=450&amp;WIDTH=450&amp;START_MAXIMIZED=FALSE&amp;VAR:CALENDAR=US&amp;VAR:SYMBOL=OSG"}</definedName>
    <definedName name="_65__FDSAUDITLINK__" hidden="1">{"fdsup://directions/FAT Viewer?action=UPDATE&amp;creator=factset&amp;DYN_ARGS=TRUE&amp;DOC_NAME=FAT:FQL_AUDITING_CLIENT_TEMPLATE.FAT&amp;display_string=Audit&amp;VAR:KEY=ZQNKLITKZO&amp;VAR:QUERY=QVZHKENTRl9ORVRfSU5DKEFOTiwwRlksLTZGWSxZKSkgLyAoQVZHKENTRl9BU1NFVFMoQU5OLDBGWSwtNkZZL","EZZKSkgLSBBVkcoQ1NGX0lOVEFORyhBTk4sMCwtNkZZLEZZKSkp&amp;WINDOW=FIRST_POPUP&amp;HEIGHT=450&amp;WIDTH=450&amp;START_MAXIMIZED=FALSE&amp;VAR:CALENDAR=US&amp;VAR:SYMBOL=OSG"}</definedName>
    <definedName name="_650__FDSAUDITLINK__" localSheetId="6" hidden="1">{"fdsup://directions/FAT%20Viewer?VAR:PED=LTM&amp;VAR:AUDIT_MODE=SUMMARY&amp;VAR:PERIOD=FIXED&amp;VAR:AUDIT_ID=00000117&amp;VAR:DATE=20080512&amp;action=UPDATE&amp;creator=factset&amp;DOC_NAME=FAT:FMA_audit_SUMMARY.fat&amp;DISPLAY_STRING=Display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0__FDSAUDITLINK__" hidden="1">{"fdsup://directions/FAT%20Viewer?VAR:PED=LTM&amp;VAR:AUDIT_MODE=SUMMARY&amp;VAR:PERIOD=FIXED&amp;VAR:AUDIT_ID=00000117&amp;VAR:DATE=20080512&amp;action=UPDATE&amp;creator=factset&amp;DOC_NAME=FAT:FMA_audit_SUMMARY.fat&amp;DISPLAY_STRING=Display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00__FDSAUDITLINK__" localSheetId="6" hidden="1">{"fdsup://directions/FAT Viewer?action=UPDATE&amp;creator=factset&amp;DYN_ARGS=TRUE&amp;DOC_NAME=FAT:FQL_AUDITING_CLIENT_TEMPLATE.FAT&amp;display_string=Audit&amp;VAR:KEY=NOFSBAXGFM&amp;VAR:QUERY=RkZfRUJJVERBX0lCKCdMVE1TJywzOTIxMyk=&amp;WINDOW=FIRST_POPUP&amp;HEIGHT=450&amp;WIDTH=450&amp;START_MA","XIMIZED=FALSE&amp;VAR:CALENDAR=US&amp;VAR:SYMBOL=N0098510&amp;VAR:INDEX=0"}</definedName>
    <definedName name="_6500__FDSAUDITLINK__" hidden="1">{"fdsup://directions/FAT Viewer?action=UPDATE&amp;creator=factset&amp;DYN_ARGS=TRUE&amp;DOC_NAME=FAT:FQL_AUDITING_CLIENT_TEMPLATE.FAT&amp;display_string=Audit&amp;VAR:KEY=NOFSBAXGFM&amp;VAR:QUERY=RkZfRUJJVERBX0lCKCdMVE1TJywzOTIxMyk=&amp;WINDOW=FIRST_POPUP&amp;HEIGHT=450&amp;WIDTH=450&amp;START_MA","XIMIZED=FALSE&amp;VAR:CALENDAR=US&amp;VAR:SYMBOL=N0098510&amp;VAR:INDEX=0"}</definedName>
    <definedName name="_6501__FDSAUDITLINK__" localSheetId="6" hidden="1">{"fdsup://directions/FAT Viewer?action=UPDATE&amp;creator=factset&amp;DYN_ARGS=TRUE&amp;DOC_NAME=FAT:FQL_AUDITING_CLIENT_TEMPLATE.FAT&amp;display_string=Audit&amp;VAR:KEY=ZEPMVCFQVY&amp;VAR:QUERY=RkZfRUJJVERBX0lCKCdMVE1TJywzOTIxMik=&amp;WINDOW=FIRST_POPUP&amp;HEIGHT=450&amp;WIDTH=450&amp;START_MA","XIMIZED=FALSE&amp;VAR:CALENDAR=US&amp;VAR:SYMBOL=N0098510&amp;VAR:INDEX=0"}</definedName>
    <definedName name="_6501__FDSAUDITLINK__" hidden="1">{"fdsup://directions/FAT Viewer?action=UPDATE&amp;creator=factset&amp;DYN_ARGS=TRUE&amp;DOC_NAME=FAT:FQL_AUDITING_CLIENT_TEMPLATE.FAT&amp;display_string=Audit&amp;VAR:KEY=ZEPMVCFQVY&amp;VAR:QUERY=RkZfRUJJVERBX0lCKCdMVE1TJywzOTIxMik=&amp;WINDOW=FIRST_POPUP&amp;HEIGHT=450&amp;WIDTH=450&amp;START_MA","XIMIZED=FALSE&amp;VAR:CALENDAR=US&amp;VAR:SYMBOL=N0098510&amp;VAR:INDEX=0"}</definedName>
    <definedName name="_6502__FDSAUDITLINK__" localSheetId="6" hidden="1">{"fdsup://directions/FAT Viewer?action=UPDATE&amp;creator=factset&amp;DYN_ARGS=TRUE&amp;DOC_NAME=FAT:FQL_AUDITING_CLIENT_TEMPLATE.FAT&amp;display_string=Audit&amp;VAR:KEY=LAZUPMVOTS&amp;VAR:QUERY=RkZfRUJJVERBX0lCKCdMVE1TJywzOTIxMSk=&amp;WINDOW=FIRST_POPUP&amp;HEIGHT=450&amp;WIDTH=450&amp;START_MA","XIMIZED=FALSE&amp;VAR:CALENDAR=US&amp;VAR:SYMBOL=N0098510&amp;VAR:INDEX=0"}</definedName>
    <definedName name="_6502__FDSAUDITLINK__" hidden="1">{"fdsup://directions/FAT Viewer?action=UPDATE&amp;creator=factset&amp;DYN_ARGS=TRUE&amp;DOC_NAME=FAT:FQL_AUDITING_CLIENT_TEMPLATE.FAT&amp;display_string=Audit&amp;VAR:KEY=LAZUPMVOTS&amp;VAR:QUERY=RkZfRUJJVERBX0lCKCdMVE1TJywzOTIxMSk=&amp;WINDOW=FIRST_POPUP&amp;HEIGHT=450&amp;WIDTH=450&amp;START_MA","XIMIZED=FALSE&amp;VAR:CALENDAR=US&amp;VAR:SYMBOL=N0098510&amp;VAR:INDEX=0"}</definedName>
    <definedName name="_6503__FDSAUDITLINK__" localSheetId="6" hidden="1">{"fdsup://directions/FAT Viewer?action=UPDATE&amp;creator=factset&amp;DYN_ARGS=TRUE&amp;DOC_NAME=FAT:FQL_AUDITING_CLIENT_TEMPLATE.FAT&amp;display_string=Audit&amp;VAR:KEY=ZCTAHKZSZO&amp;VAR:QUERY=RkZfRUJJVERBX0lCKCdMVE1TJywzOTIxMCk=&amp;WINDOW=FIRST_POPUP&amp;HEIGHT=450&amp;WIDTH=450&amp;START_MA","XIMIZED=FALSE&amp;VAR:CALENDAR=US&amp;VAR:SYMBOL=N0098510&amp;VAR:INDEX=0"}</definedName>
    <definedName name="_6503__FDSAUDITLINK__" hidden="1">{"fdsup://directions/FAT Viewer?action=UPDATE&amp;creator=factset&amp;DYN_ARGS=TRUE&amp;DOC_NAME=FAT:FQL_AUDITING_CLIENT_TEMPLATE.FAT&amp;display_string=Audit&amp;VAR:KEY=ZCTAHKZSZO&amp;VAR:QUERY=RkZfRUJJVERBX0lCKCdMVE1TJywzOTIxMCk=&amp;WINDOW=FIRST_POPUP&amp;HEIGHT=450&amp;WIDTH=450&amp;START_MA","XIMIZED=FALSE&amp;VAR:CALENDAR=US&amp;VAR:SYMBOL=N0098510&amp;VAR:INDEX=0"}</definedName>
    <definedName name="_6504__FDSAUDITLINK__" localSheetId="6" hidden="1">{"fdsup://directions/FAT Viewer?action=UPDATE&amp;creator=factset&amp;DYN_ARGS=TRUE&amp;DOC_NAME=FAT:FQL_AUDITING_CLIENT_TEMPLATE.FAT&amp;display_string=Audit&amp;VAR:KEY=TEDUNIDWNS&amp;VAR:QUERY=RkZfRUJJVERBX0lCKCdMVE1TJywzOTIwOSk=&amp;WINDOW=FIRST_POPUP&amp;HEIGHT=450&amp;WIDTH=450&amp;START_MA","XIMIZED=FALSE&amp;VAR:CALENDAR=US&amp;VAR:SYMBOL=N0098510&amp;VAR:INDEX=0"}</definedName>
    <definedName name="_6504__FDSAUDITLINK__" hidden="1">{"fdsup://directions/FAT Viewer?action=UPDATE&amp;creator=factset&amp;DYN_ARGS=TRUE&amp;DOC_NAME=FAT:FQL_AUDITING_CLIENT_TEMPLATE.FAT&amp;display_string=Audit&amp;VAR:KEY=TEDUNIDWNS&amp;VAR:QUERY=RkZfRUJJVERBX0lCKCdMVE1TJywzOTIwOSk=&amp;WINDOW=FIRST_POPUP&amp;HEIGHT=450&amp;WIDTH=450&amp;START_MA","XIMIZED=FALSE&amp;VAR:CALENDAR=US&amp;VAR:SYMBOL=N0098510&amp;VAR:INDEX=0"}</definedName>
    <definedName name="_6505__FDSAUDITLINK__" localSheetId="6" hidden="1">{"fdsup://directions/FAT Viewer?action=UPDATE&amp;creator=factset&amp;DYN_ARGS=TRUE&amp;DOC_NAME=FAT:FQL_AUDITING_CLIENT_TEMPLATE.FAT&amp;display_string=Audit&amp;VAR:KEY=XMBOJMFUXY&amp;VAR:QUERY=RkZfRUJJVERBX0lCKCdMVE1TJywzOTIwOCk=&amp;WINDOW=FIRST_POPUP&amp;HEIGHT=450&amp;WIDTH=450&amp;START_MA","XIMIZED=FALSE&amp;VAR:CALENDAR=US&amp;VAR:SYMBOL=N0098510&amp;VAR:INDEX=0"}</definedName>
    <definedName name="_6505__FDSAUDITLINK__" hidden="1">{"fdsup://directions/FAT Viewer?action=UPDATE&amp;creator=factset&amp;DYN_ARGS=TRUE&amp;DOC_NAME=FAT:FQL_AUDITING_CLIENT_TEMPLATE.FAT&amp;display_string=Audit&amp;VAR:KEY=XMBOJMFUXY&amp;VAR:QUERY=RkZfRUJJVERBX0lCKCdMVE1TJywzOTIwOCk=&amp;WINDOW=FIRST_POPUP&amp;HEIGHT=450&amp;WIDTH=450&amp;START_MA","XIMIZED=FALSE&amp;VAR:CALENDAR=US&amp;VAR:SYMBOL=N0098510&amp;VAR:INDEX=0"}</definedName>
    <definedName name="_6506__FDSAUDITLINK__" localSheetId="6" hidden="1">{"fdsup://directions/FAT Viewer?action=UPDATE&amp;creator=factset&amp;DYN_ARGS=TRUE&amp;DOC_NAME=FAT:FQL_AUDITING_CLIENT_TEMPLATE.FAT&amp;display_string=Audit&amp;VAR:KEY=JSBEDEXULA&amp;VAR:QUERY=RkZfRUJJVERBX0lCKCdMVE1TJywzOTIwNyk=&amp;WINDOW=FIRST_POPUP&amp;HEIGHT=450&amp;WIDTH=450&amp;START_MA","XIMIZED=FALSE&amp;VAR:CALENDAR=US&amp;VAR:SYMBOL=N0098510&amp;VAR:INDEX=0"}</definedName>
    <definedName name="_6506__FDSAUDITLINK__" hidden="1">{"fdsup://directions/FAT Viewer?action=UPDATE&amp;creator=factset&amp;DYN_ARGS=TRUE&amp;DOC_NAME=FAT:FQL_AUDITING_CLIENT_TEMPLATE.FAT&amp;display_string=Audit&amp;VAR:KEY=JSBEDEXULA&amp;VAR:QUERY=RkZfRUJJVERBX0lCKCdMVE1TJywzOTIwNyk=&amp;WINDOW=FIRST_POPUP&amp;HEIGHT=450&amp;WIDTH=450&amp;START_MA","XIMIZED=FALSE&amp;VAR:CALENDAR=US&amp;VAR:SYMBOL=N0098510&amp;VAR:INDEX=0"}</definedName>
    <definedName name="_6507__FDSAUDITLINK__" localSheetId="6" hidden="1">{"fdsup://directions/FAT Viewer?action=UPDATE&amp;creator=factset&amp;DYN_ARGS=TRUE&amp;DOC_NAME=FAT:FQL_AUDITING_CLIENT_TEMPLATE.FAT&amp;display_string=Audit&amp;VAR:KEY=VWBIHAJELE&amp;VAR:QUERY=RkZfRUJJVERBX0lCKCdMVE1TJywzOTIwNik=&amp;WINDOW=FIRST_POPUP&amp;HEIGHT=450&amp;WIDTH=450&amp;START_MA","XIMIZED=FALSE&amp;VAR:CALENDAR=US&amp;VAR:SYMBOL=N0098510&amp;VAR:INDEX=0"}</definedName>
    <definedName name="_6507__FDSAUDITLINK__" hidden="1">{"fdsup://directions/FAT Viewer?action=UPDATE&amp;creator=factset&amp;DYN_ARGS=TRUE&amp;DOC_NAME=FAT:FQL_AUDITING_CLIENT_TEMPLATE.FAT&amp;display_string=Audit&amp;VAR:KEY=VWBIHAJELE&amp;VAR:QUERY=RkZfRUJJVERBX0lCKCdMVE1TJywzOTIwNik=&amp;WINDOW=FIRST_POPUP&amp;HEIGHT=450&amp;WIDTH=450&amp;START_MA","XIMIZED=FALSE&amp;VAR:CALENDAR=US&amp;VAR:SYMBOL=N0098510&amp;VAR:INDEX=0"}</definedName>
    <definedName name="_6508__FDSAUDITLINK__" localSheetId="6" hidden="1">{"fdsup://directions/FAT Viewer?action=UPDATE&amp;creator=factset&amp;DYN_ARGS=TRUE&amp;DOC_NAME=FAT:FQL_AUDITING_CLIENT_TEMPLATE.FAT&amp;display_string=Audit&amp;VAR:KEY=HOHABYVGPY&amp;VAR:QUERY=RkZfRUJJVERBX0lCKCdMVE1TJywzOTIwNSk=&amp;WINDOW=FIRST_POPUP&amp;HEIGHT=450&amp;WIDTH=450&amp;START_MA","XIMIZED=FALSE&amp;VAR:CALENDAR=US&amp;VAR:SYMBOL=N0098510&amp;VAR:INDEX=0"}</definedName>
    <definedName name="_6508__FDSAUDITLINK__" hidden="1">{"fdsup://directions/FAT Viewer?action=UPDATE&amp;creator=factset&amp;DYN_ARGS=TRUE&amp;DOC_NAME=FAT:FQL_AUDITING_CLIENT_TEMPLATE.FAT&amp;display_string=Audit&amp;VAR:KEY=HOHABYVGPY&amp;VAR:QUERY=RkZfRUJJVERBX0lCKCdMVE1TJywzOTIwNSk=&amp;WINDOW=FIRST_POPUP&amp;HEIGHT=450&amp;WIDTH=450&amp;START_MA","XIMIZED=FALSE&amp;VAR:CALENDAR=US&amp;VAR:SYMBOL=N0098510&amp;VAR:INDEX=0"}</definedName>
    <definedName name="_6509__FDSAUDITLINK__" localSheetId="6" hidden="1">{"fdsup://directions/FAT Viewer?action=UPDATE&amp;creator=factset&amp;DYN_ARGS=TRUE&amp;DOC_NAME=FAT:FQL_AUDITING_CLIENT_TEMPLATE.FAT&amp;display_string=Audit&amp;VAR:KEY=TAZSBWFOJC&amp;VAR:QUERY=RkZfRUJJVERBX0lCKCdMVE1TJywzOTIwNCk=&amp;WINDOW=FIRST_POPUP&amp;HEIGHT=450&amp;WIDTH=450&amp;START_MA","XIMIZED=FALSE&amp;VAR:CALENDAR=US&amp;VAR:SYMBOL=N0098510&amp;VAR:INDEX=0"}</definedName>
    <definedName name="_6509__FDSAUDITLINK__" hidden="1">{"fdsup://directions/FAT Viewer?action=UPDATE&amp;creator=factset&amp;DYN_ARGS=TRUE&amp;DOC_NAME=FAT:FQL_AUDITING_CLIENT_TEMPLATE.FAT&amp;display_string=Audit&amp;VAR:KEY=TAZSBWFOJC&amp;VAR:QUERY=RkZfRUJJVERBX0lCKCdMVE1TJywzOTIwNCk=&amp;WINDOW=FIRST_POPUP&amp;HEIGHT=450&amp;WIDTH=450&amp;START_MA","XIMIZED=FALSE&amp;VAR:CALENDAR=US&amp;VAR:SYMBOL=N0098510&amp;VAR:INDEX=0"}</definedName>
    <definedName name="_651__FDSAUDITLINK__" localSheetId="6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1__FDSAUDITLINK__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10__FDSAUDITLINK__" localSheetId="6" hidden="1">{"fdsup://directions/FAT Viewer?action=UPDATE&amp;creator=factset&amp;DYN_ARGS=TRUE&amp;DOC_NAME=FAT:FQL_AUDITING_CLIENT_TEMPLATE.FAT&amp;display_string=Audit&amp;VAR:KEY=ZORELITUBW&amp;VAR:QUERY=RkZfRUJJVERBX0lCKCdMVE1TJywzOTIwMyk=&amp;WINDOW=FIRST_POPUP&amp;HEIGHT=450&amp;WIDTH=450&amp;START_MA","XIMIZED=FALSE&amp;VAR:CALENDAR=US&amp;VAR:SYMBOL=N0098510&amp;VAR:INDEX=0"}</definedName>
    <definedName name="_6510__FDSAUDITLINK__" hidden="1">{"fdsup://directions/FAT Viewer?action=UPDATE&amp;creator=factset&amp;DYN_ARGS=TRUE&amp;DOC_NAME=FAT:FQL_AUDITING_CLIENT_TEMPLATE.FAT&amp;display_string=Audit&amp;VAR:KEY=ZORELITUBW&amp;VAR:QUERY=RkZfRUJJVERBX0lCKCdMVE1TJywzOTIwMyk=&amp;WINDOW=FIRST_POPUP&amp;HEIGHT=450&amp;WIDTH=450&amp;START_MA","XIMIZED=FALSE&amp;VAR:CALENDAR=US&amp;VAR:SYMBOL=N0098510&amp;VAR:INDEX=0"}</definedName>
    <definedName name="_6511__FDSAUDITLINK__" localSheetId="6" hidden="1">{"fdsup://directions/FAT Viewer?action=UPDATE&amp;creator=factset&amp;DYN_ARGS=TRUE&amp;DOC_NAME=FAT:FQL_AUDITING_CLIENT_TEMPLATE.FAT&amp;display_string=Audit&amp;VAR:KEY=BQRIPEDSXU&amp;VAR:QUERY=RkZfRUJJVERBX0lCKCdMVE1TJywzOTIwMik=&amp;WINDOW=FIRST_POPUP&amp;HEIGHT=450&amp;WIDTH=450&amp;START_MA","XIMIZED=FALSE&amp;VAR:CALENDAR=US&amp;VAR:SYMBOL=N0098510&amp;VAR:INDEX=0"}</definedName>
    <definedName name="_6511__FDSAUDITLINK__" hidden="1">{"fdsup://directions/FAT Viewer?action=UPDATE&amp;creator=factset&amp;DYN_ARGS=TRUE&amp;DOC_NAME=FAT:FQL_AUDITING_CLIENT_TEMPLATE.FAT&amp;display_string=Audit&amp;VAR:KEY=BQRIPEDSXU&amp;VAR:QUERY=RkZfRUJJVERBX0lCKCdMVE1TJywzOTIwMik=&amp;WINDOW=FIRST_POPUP&amp;HEIGHT=450&amp;WIDTH=450&amp;START_MA","XIMIZED=FALSE&amp;VAR:CALENDAR=US&amp;VAR:SYMBOL=N0098510&amp;VAR:INDEX=0"}</definedName>
    <definedName name="_6512__FDSAUDITLINK__" localSheetId="6" hidden="1">{"fdsup://directions/FAT Viewer?action=UPDATE&amp;creator=factset&amp;DYN_ARGS=TRUE&amp;DOC_NAME=FAT:FQL_AUDITING_CLIENT_TEMPLATE.FAT&amp;display_string=Audit&amp;VAR:KEY=TSXETCBCVG&amp;VAR:QUERY=RkZfRUJJVERBX0lCKCdMVE1TJywzOTIwMSk=&amp;WINDOW=FIRST_POPUP&amp;HEIGHT=450&amp;WIDTH=450&amp;START_MA","XIMIZED=FALSE&amp;VAR:CALENDAR=US&amp;VAR:SYMBOL=N0098510&amp;VAR:INDEX=0"}</definedName>
    <definedName name="_6512__FDSAUDITLINK__" hidden="1">{"fdsup://directions/FAT Viewer?action=UPDATE&amp;creator=factset&amp;DYN_ARGS=TRUE&amp;DOC_NAME=FAT:FQL_AUDITING_CLIENT_TEMPLATE.FAT&amp;display_string=Audit&amp;VAR:KEY=TSXETCBCVG&amp;VAR:QUERY=RkZfRUJJVERBX0lCKCdMVE1TJywzOTIwMSk=&amp;WINDOW=FIRST_POPUP&amp;HEIGHT=450&amp;WIDTH=450&amp;START_MA","XIMIZED=FALSE&amp;VAR:CALENDAR=US&amp;VAR:SYMBOL=N0098510&amp;VAR:INDEX=0"}</definedName>
    <definedName name="_6513__FDSAUDITLINK__" localSheetId="6" hidden="1">{"fdsup://directions/FAT Viewer?action=UPDATE&amp;creator=factset&amp;DYN_ARGS=TRUE&amp;DOC_NAME=FAT:FQL_AUDITING_CLIENT_TEMPLATE.FAT&amp;display_string=Audit&amp;VAR:KEY=BSPOVAPMXG&amp;VAR:QUERY=RkZfRUJJVERBX0lCKCdMVE1TJywzOTIwMCk=&amp;WINDOW=FIRST_POPUP&amp;HEIGHT=450&amp;WIDTH=450&amp;START_MA","XIMIZED=FALSE&amp;VAR:CALENDAR=US&amp;VAR:SYMBOL=N0098510&amp;VAR:INDEX=0"}</definedName>
    <definedName name="_6513__FDSAUDITLINK__" hidden="1">{"fdsup://directions/FAT Viewer?action=UPDATE&amp;creator=factset&amp;DYN_ARGS=TRUE&amp;DOC_NAME=FAT:FQL_AUDITING_CLIENT_TEMPLATE.FAT&amp;display_string=Audit&amp;VAR:KEY=BSPOVAPMXG&amp;VAR:QUERY=RkZfRUJJVERBX0lCKCdMVE1TJywzOTIwMCk=&amp;WINDOW=FIRST_POPUP&amp;HEIGHT=450&amp;WIDTH=450&amp;START_MA","XIMIZED=FALSE&amp;VAR:CALENDAR=US&amp;VAR:SYMBOL=N0098510&amp;VAR:INDEX=0"}</definedName>
    <definedName name="_6514__FDSAUDITLINK__" localSheetId="6" hidden="1">{"fdsup://directions/FAT Viewer?action=UPDATE&amp;creator=factset&amp;DYN_ARGS=TRUE&amp;DOC_NAME=FAT:FQL_AUDITING_CLIENT_TEMPLATE.FAT&amp;display_string=Audit&amp;VAR:KEY=PWVOHIFKFO&amp;VAR:QUERY=RkZfRUJJVERBX0lCKCdMVE1TJywzOTE5OSk=&amp;WINDOW=FIRST_POPUP&amp;HEIGHT=450&amp;WIDTH=450&amp;START_MA","XIMIZED=FALSE&amp;VAR:CALENDAR=US&amp;VAR:SYMBOL=N0098510&amp;VAR:INDEX=0"}</definedName>
    <definedName name="_6514__FDSAUDITLINK__" hidden="1">{"fdsup://directions/FAT Viewer?action=UPDATE&amp;creator=factset&amp;DYN_ARGS=TRUE&amp;DOC_NAME=FAT:FQL_AUDITING_CLIENT_TEMPLATE.FAT&amp;display_string=Audit&amp;VAR:KEY=PWVOHIFKFO&amp;VAR:QUERY=RkZfRUJJVERBX0lCKCdMVE1TJywzOTE5OSk=&amp;WINDOW=FIRST_POPUP&amp;HEIGHT=450&amp;WIDTH=450&amp;START_MA","XIMIZED=FALSE&amp;VAR:CALENDAR=US&amp;VAR:SYMBOL=N0098510&amp;VAR:INDEX=0"}</definedName>
    <definedName name="_6515__FDSAUDITLINK__" localSheetId="6" hidden="1">{"fdsup://directions/FAT Viewer?action=UPDATE&amp;creator=factset&amp;DYN_ARGS=TRUE&amp;DOC_NAME=FAT:FQL_AUDITING_CLIENT_TEMPLATE.FAT&amp;display_string=Audit&amp;VAR:KEY=VUVWHSBEPQ&amp;VAR:QUERY=RkZfRUJJVERBX0lCKCdMVE1TJywzOTE5OCk=&amp;WINDOW=FIRST_POPUP&amp;HEIGHT=450&amp;WIDTH=450&amp;START_MA","XIMIZED=FALSE&amp;VAR:CALENDAR=US&amp;VAR:SYMBOL=N0098510&amp;VAR:INDEX=0"}</definedName>
    <definedName name="_6515__FDSAUDITLINK__" hidden="1">{"fdsup://directions/FAT Viewer?action=UPDATE&amp;creator=factset&amp;DYN_ARGS=TRUE&amp;DOC_NAME=FAT:FQL_AUDITING_CLIENT_TEMPLATE.FAT&amp;display_string=Audit&amp;VAR:KEY=VUVWHSBEPQ&amp;VAR:QUERY=RkZfRUJJVERBX0lCKCdMVE1TJywzOTE5OCk=&amp;WINDOW=FIRST_POPUP&amp;HEIGHT=450&amp;WIDTH=450&amp;START_MA","XIMIZED=FALSE&amp;VAR:CALENDAR=US&amp;VAR:SYMBOL=N0098510&amp;VAR:INDEX=0"}</definedName>
    <definedName name="_6516__FDSAUDITLINK__" localSheetId="6" hidden="1">{"fdsup://directions/FAT Viewer?action=UPDATE&amp;creator=factset&amp;DYN_ARGS=TRUE&amp;DOC_NAME=FAT:FQL_AUDITING_CLIENT_TEMPLATE.FAT&amp;display_string=Audit&amp;VAR:KEY=BITAVCPKDQ&amp;VAR:QUERY=RkZfRUJJVERBX0lCKCdMVE1TJywzOTE5Nyk=&amp;WINDOW=FIRST_POPUP&amp;HEIGHT=450&amp;WIDTH=450&amp;START_MA","XIMIZED=FALSE&amp;VAR:CALENDAR=US&amp;VAR:SYMBOL=N0098510&amp;VAR:INDEX=0"}</definedName>
    <definedName name="_6516__FDSAUDITLINK__" hidden="1">{"fdsup://directions/FAT Viewer?action=UPDATE&amp;creator=factset&amp;DYN_ARGS=TRUE&amp;DOC_NAME=FAT:FQL_AUDITING_CLIENT_TEMPLATE.FAT&amp;display_string=Audit&amp;VAR:KEY=BITAVCPKDQ&amp;VAR:QUERY=RkZfRUJJVERBX0lCKCdMVE1TJywzOTE5Nyk=&amp;WINDOW=FIRST_POPUP&amp;HEIGHT=450&amp;WIDTH=450&amp;START_MA","XIMIZED=FALSE&amp;VAR:CALENDAR=US&amp;VAR:SYMBOL=N0098510&amp;VAR:INDEX=0"}</definedName>
    <definedName name="_6517__FDSAUDITLINK__" localSheetId="6" hidden="1">{"fdsup://directions/FAT Viewer?action=UPDATE&amp;creator=factset&amp;DYN_ARGS=TRUE&amp;DOC_NAME=FAT:FQL_AUDITING_CLIENT_TEMPLATE.FAT&amp;display_string=Audit&amp;VAR:KEY=ZANWLAFSVM&amp;VAR:QUERY=RkZfRUJJVERBX0lCKCdMVE1TJywzOTE5Nik=&amp;WINDOW=FIRST_POPUP&amp;HEIGHT=450&amp;WIDTH=450&amp;START_MA","XIMIZED=FALSE&amp;VAR:CALENDAR=US&amp;VAR:SYMBOL=N0098510&amp;VAR:INDEX=0"}</definedName>
    <definedName name="_6517__FDSAUDITLINK__" hidden="1">{"fdsup://directions/FAT Viewer?action=UPDATE&amp;creator=factset&amp;DYN_ARGS=TRUE&amp;DOC_NAME=FAT:FQL_AUDITING_CLIENT_TEMPLATE.FAT&amp;display_string=Audit&amp;VAR:KEY=ZANWLAFSVM&amp;VAR:QUERY=RkZfRUJJVERBX0lCKCdMVE1TJywzOTE5Nik=&amp;WINDOW=FIRST_POPUP&amp;HEIGHT=450&amp;WIDTH=450&amp;START_MA","XIMIZED=FALSE&amp;VAR:CALENDAR=US&amp;VAR:SYMBOL=N0098510&amp;VAR:INDEX=0"}</definedName>
    <definedName name="_6518__FDSAUDITLINK__" localSheetId="6" hidden="1">{"fdsup://directions/FAT Viewer?action=UPDATE&amp;creator=factset&amp;DYN_ARGS=TRUE&amp;DOC_NAME=FAT:FQL_AUDITING_CLIENT_TEMPLATE.FAT&amp;display_string=Audit&amp;VAR:KEY=ROJIHADUZK&amp;VAR:QUERY=RkZfRUJJVERBX0lCKCdMVE1TJywzOTE5NSk=&amp;WINDOW=FIRST_POPUP&amp;HEIGHT=450&amp;WIDTH=450&amp;START_MA","XIMIZED=FALSE&amp;VAR:CALENDAR=US&amp;VAR:SYMBOL=N0098510&amp;VAR:INDEX=0"}</definedName>
    <definedName name="_6518__FDSAUDITLINK__" hidden="1">{"fdsup://directions/FAT Viewer?action=UPDATE&amp;creator=factset&amp;DYN_ARGS=TRUE&amp;DOC_NAME=FAT:FQL_AUDITING_CLIENT_TEMPLATE.FAT&amp;display_string=Audit&amp;VAR:KEY=ROJIHADUZK&amp;VAR:QUERY=RkZfRUJJVERBX0lCKCdMVE1TJywzOTE5NSk=&amp;WINDOW=FIRST_POPUP&amp;HEIGHT=450&amp;WIDTH=450&amp;START_MA","XIMIZED=FALSE&amp;VAR:CALENDAR=US&amp;VAR:SYMBOL=N0098510&amp;VAR:INDEX=0"}</definedName>
    <definedName name="_6519__FDSAUDITLINK__" localSheetId="6" hidden="1">{"fdsup://directions/FAT Viewer?action=UPDATE&amp;creator=factset&amp;DYN_ARGS=TRUE&amp;DOC_NAME=FAT:FQL_AUDITING_CLIENT_TEMPLATE.FAT&amp;display_string=Audit&amp;VAR:KEY=LIJWXCFQVQ&amp;VAR:QUERY=RkZfRUJJVERBX0lCKCdMVE1TJywzOTE5NCk=&amp;WINDOW=FIRST_POPUP&amp;HEIGHT=450&amp;WIDTH=450&amp;START_MA","XIMIZED=FALSE&amp;VAR:CALENDAR=US&amp;VAR:SYMBOL=N0098510&amp;VAR:INDEX=0"}</definedName>
    <definedName name="_6519__FDSAUDITLINK__" hidden="1">{"fdsup://directions/FAT Viewer?action=UPDATE&amp;creator=factset&amp;DYN_ARGS=TRUE&amp;DOC_NAME=FAT:FQL_AUDITING_CLIENT_TEMPLATE.FAT&amp;display_string=Audit&amp;VAR:KEY=LIJWXCFQVQ&amp;VAR:QUERY=RkZfRUJJVERBX0lCKCdMVE1TJywzOTE5NCk=&amp;WINDOW=FIRST_POPUP&amp;HEIGHT=450&amp;WIDTH=450&amp;START_MA","XIMIZED=FALSE&amp;VAR:CALENDAR=US&amp;VAR:SYMBOL=N0098510&amp;VAR:INDEX=0"}</definedName>
    <definedName name="_652__FDSAUDITLINK__" localSheetId="6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2__FDSAUDITLINK__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20__FDSAUDITLINK__" localSheetId="6" hidden="1">{"fdsup://directions/FAT Viewer?action=UPDATE&amp;creator=factset&amp;DYN_ARGS=TRUE&amp;DOC_NAME=FAT:FQL_AUDITING_CLIENT_TEMPLATE.FAT&amp;display_string=Audit&amp;VAR:KEY=HUDENAHAJM&amp;VAR:QUERY=RkZfRUJJVERBX0lCKCdMVE1TJywzOTE5Myk=&amp;WINDOW=FIRST_POPUP&amp;HEIGHT=450&amp;WIDTH=450&amp;START_MA","XIMIZED=FALSE&amp;VAR:CALENDAR=US&amp;VAR:SYMBOL=N0098510&amp;VAR:INDEX=0"}</definedName>
    <definedName name="_6520__FDSAUDITLINK__" hidden="1">{"fdsup://directions/FAT Viewer?action=UPDATE&amp;creator=factset&amp;DYN_ARGS=TRUE&amp;DOC_NAME=FAT:FQL_AUDITING_CLIENT_TEMPLATE.FAT&amp;display_string=Audit&amp;VAR:KEY=HUDENAHAJM&amp;VAR:QUERY=RkZfRUJJVERBX0lCKCdMVE1TJywzOTE5Myk=&amp;WINDOW=FIRST_POPUP&amp;HEIGHT=450&amp;WIDTH=450&amp;START_MA","XIMIZED=FALSE&amp;VAR:CALENDAR=US&amp;VAR:SYMBOL=N0098510&amp;VAR:INDEX=0"}</definedName>
    <definedName name="_6521__FDSAUDITLINK__" localSheetId="6" hidden="1">{"fdsup://directions/FAT Viewer?action=UPDATE&amp;creator=factset&amp;DYN_ARGS=TRUE&amp;DOC_NAME=FAT:FQL_AUDITING_CLIENT_TEMPLATE.FAT&amp;display_string=Audit&amp;VAR:KEY=BUPMDEVANG&amp;VAR:QUERY=RkZfRUJJVERBX0lCKCdMVE1TJywzOTE5Mik=&amp;WINDOW=FIRST_POPUP&amp;HEIGHT=450&amp;WIDTH=450&amp;START_MA","XIMIZED=FALSE&amp;VAR:CALENDAR=US&amp;VAR:SYMBOL=N0098510&amp;VAR:INDEX=0"}</definedName>
    <definedName name="_6521__FDSAUDITLINK__" hidden="1">{"fdsup://directions/FAT Viewer?action=UPDATE&amp;creator=factset&amp;DYN_ARGS=TRUE&amp;DOC_NAME=FAT:FQL_AUDITING_CLIENT_TEMPLATE.FAT&amp;display_string=Audit&amp;VAR:KEY=BUPMDEVANG&amp;VAR:QUERY=RkZfRUJJVERBX0lCKCdMVE1TJywzOTE5Mik=&amp;WINDOW=FIRST_POPUP&amp;HEIGHT=450&amp;WIDTH=450&amp;START_MA","XIMIZED=FALSE&amp;VAR:CALENDAR=US&amp;VAR:SYMBOL=N0098510&amp;VAR:INDEX=0"}</definedName>
    <definedName name="_6522__FDSAUDITLINK__" localSheetId="6" hidden="1">{"fdsup://directions/FAT Viewer?action=UPDATE&amp;creator=factset&amp;DYN_ARGS=TRUE&amp;DOC_NAME=FAT:FQL_AUDITING_CLIENT_TEMPLATE.FAT&amp;display_string=Audit&amp;VAR:KEY=PMHGLWFSLG&amp;VAR:QUERY=RkZfRUJJVERBX0lCKCdMVE1TJywzOTE5MSk=&amp;WINDOW=FIRST_POPUP&amp;HEIGHT=450&amp;WIDTH=450&amp;START_MA","XIMIZED=FALSE&amp;VAR:CALENDAR=US&amp;VAR:SYMBOL=N0098510&amp;VAR:INDEX=0"}</definedName>
    <definedName name="_6522__FDSAUDITLINK__" hidden="1">{"fdsup://directions/FAT Viewer?action=UPDATE&amp;creator=factset&amp;DYN_ARGS=TRUE&amp;DOC_NAME=FAT:FQL_AUDITING_CLIENT_TEMPLATE.FAT&amp;display_string=Audit&amp;VAR:KEY=PMHGLWFSLG&amp;VAR:QUERY=RkZfRUJJVERBX0lCKCdMVE1TJywzOTE5MSk=&amp;WINDOW=FIRST_POPUP&amp;HEIGHT=450&amp;WIDTH=450&amp;START_MA","XIMIZED=FALSE&amp;VAR:CALENDAR=US&amp;VAR:SYMBOL=N0098510&amp;VAR:INDEX=0"}</definedName>
    <definedName name="_6523__FDSAUDITLINK__" localSheetId="6" hidden="1">{"fdsup://directions/FAT Viewer?action=UPDATE&amp;creator=factset&amp;DYN_ARGS=TRUE&amp;DOC_NAME=FAT:FQL_AUDITING_CLIENT_TEMPLATE.FAT&amp;display_string=Audit&amp;VAR:KEY=RMRAPAHAJK&amp;VAR:QUERY=RkZfRUJJVERBX0lCKCdMVE1TJywzOTE5MCk=&amp;WINDOW=FIRST_POPUP&amp;HEIGHT=450&amp;WIDTH=450&amp;START_MA","XIMIZED=FALSE&amp;VAR:CALENDAR=US&amp;VAR:SYMBOL=N0098510&amp;VAR:INDEX=0"}</definedName>
    <definedName name="_6523__FDSAUDITLINK__" hidden="1">{"fdsup://directions/FAT Viewer?action=UPDATE&amp;creator=factset&amp;DYN_ARGS=TRUE&amp;DOC_NAME=FAT:FQL_AUDITING_CLIENT_TEMPLATE.FAT&amp;display_string=Audit&amp;VAR:KEY=RMRAPAHAJK&amp;VAR:QUERY=RkZfRUJJVERBX0lCKCdMVE1TJywzOTE5MCk=&amp;WINDOW=FIRST_POPUP&amp;HEIGHT=450&amp;WIDTH=450&amp;START_MA","XIMIZED=FALSE&amp;VAR:CALENDAR=US&amp;VAR:SYMBOL=N0098510&amp;VAR:INDEX=0"}</definedName>
    <definedName name="_6524__FDSAUDITLINK__" localSheetId="6" hidden="1">{"fdsup://directions/FAT Viewer?action=UPDATE&amp;creator=factset&amp;DYN_ARGS=TRUE&amp;DOC_NAME=FAT:FQL_AUDITING_CLIENT_TEMPLATE.FAT&amp;display_string=Audit&amp;VAR:KEY=LIXGHIBYNK&amp;VAR:QUERY=RkZfRUJJVERBX0lCKCdMVE1TJywzOTE4OSk=&amp;WINDOW=FIRST_POPUP&amp;HEIGHT=450&amp;WIDTH=450&amp;START_MA","XIMIZED=FALSE&amp;VAR:CALENDAR=US&amp;VAR:SYMBOL=N0098510&amp;VAR:INDEX=0"}</definedName>
    <definedName name="_6524__FDSAUDITLINK__" hidden="1">{"fdsup://directions/FAT Viewer?action=UPDATE&amp;creator=factset&amp;DYN_ARGS=TRUE&amp;DOC_NAME=FAT:FQL_AUDITING_CLIENT_TEMPLATE.FAT&amp;display_string=Audit&amp;VAR:KEY=LIXGHIBYNK&amp;VAR:QUERY=RkZfRUJJVERBX0lCKCdMVE1TJywzOTE4OSk=&amp;WINDOW=FIRST_POPUP&amp;HEIGHT=450&amp;WIDTH=450&amp;START_MA","XIMIZED=FALSE&amp;VAR:CALENDAR=US&amp;VAR:SYMBOL=N0098510&amp;VAR:INDEX=0"}</definedName>
    <definedName name="_6525__FDSAUDITLINK__" localSheetId="6" hidden="1">{"fdsup://directions/FAT Viewer?action=UPDATE&amp;creator=factset&amp;DYN_ARGS=TRUE&amp;DOC_NAME=FAT:FQL_AUDITING_CLIENT_TEMPLATE.FAT&amp;display_string=Audit&amp;VAR:KEY=XKBSRCBYDC&amp;VAR:QUERY=RkZfRUJJVERBX0lCKCdMVE1TJywzOTE4OCk=&amp;WINDOW=FIRST_POPUP&amp;HEIGHT=450&amp;WIDTH=450&amp;START_MA","XIMIZED=FALSE&amp;VAR:CALENDAR=US&amp;VAR:SYMBOL=N0098510&amp;VAR:INDEX=0"}</definedName>
    <definedName name="_6525__FDSAUDITLINK__" hidden="1">{"fdsup://directions/FAT Viewer?action=UPDATE&amp;creator=factset&amp;DYN_ARGS=TRUE&amp;DOC_NAME=FAT:FQL_AUDITING_CLIENT_TEMPLATE.FAT&amp;display_string=Audit&amp;VAR:KEY=XKBSRCBYDC&amp;VAR:QUERY=RkZfRUJJVERBX0lCKCdMVE1TJywzOTE4OCk=&amp;WINDOW=FIRST_POPUP&amp;HEIGHT=450&amp;WIDTH=450&amp;START_MA","XIMIZED=FALSE&amp;VAR:CALENDAR=US&amp;VAR:SYMBOL=N0098510&amp;VAR:INDEX=0"}</definedName>
    <definedName name="_6526__FDSAUDITLINK__" localSheetId="6" hidden="1">{"fdsup://directions/FAT Viewer?action=UPDATE&amp;creator=factset&amp;DYN_ARGS=TRUE&amp;DOC_NAME=FAT:FQL_AUDITING_CLIENT_TEMPLATE.FAT&amp;display_string=Audit&amp;VAR:KEY=PEBMJWBYBA&amp;VAR:QUERY=RkZfRUJJVERBX0lCKCdMVE1TJywzOTE4Nyk=&amp;WINDOW=FIRST_POPUP&amp;HEIGHT=450&amp;WIDTH=450&amp;START_MA","XIMIZED=FALSE&amp;VAR:CALENDAR=US&amp;VAR:SYMBOL=N0098510&amp;VAR:INDEX=0"}</definedName>
    <definedName name="_6526__FDSAUDITLINK__" hidden="1">{"fdsup://directions/FAT Viewer?action=UPDATE&amp;creator=factset&amp;DYN_ARGS=TRUE&amp;DOC_NAME=FAT:FQL_AUDITING_CLIENT_TEMPLATE.FAT&amp;display_string=Audit&amp;VAR:KEY=PEBMJWBYBA&amp;VAR:QUERY=RkZfRUJJVERBX0lCKCdMVE1TJywzOTE4Nyk=&amp;WINDOW=FIRST_POPUP&amp;HEIGHT=450&amp;WIDTH=450&amp;START_MA","XIMIZED=FALSE&amp;VAR:CALENDAR=US&amp;VAR:SYMBOL=N0098510&amp;VAR:INDEX=0"}</definedName>
    <definedName name="_6527__FDSAUDITLINK__" localSheetId="6" hidden="1">{"fdsup://directions/FAT Viewer?action=UPDATE&amp;creator=factset&amp;DYN_ARGS=TRUE&amp;DOC_NAME=FAT:FQL_AUDITING_CLIENT_TEMPLATE.FAT&amp;display_string=Audit&amp;VAR:KEY=ZUHAZMDGPA&amp;VAR:QUERY=RkZfRUJJVERBX0lCKCdMVE1TJywzOTE4Nik=&amp;WINDOW=FIRST_POPUP&amp;HEIGHT=450&amp;WIDTH=450&amp;START_MA","XIMIZED=FALSE&amp;VAR:CALENDAR=US&amp;VAR:SYMBOL=N0098510&amp;VAR:INDEX=0"}</definedName>
    <definedName name="_6527__FDSAUDITLINK__" hidden="1">{"fdsup://directions/FAT Viewer?action=UPDATE&amp;creator=factset&amp;DYN_ARGS=TRUE&amp;DOC_NAME=FAT:FQL_AUDITING_CLIENT_TEMPLATE.FAT&amp;display_string=Audit&amp;VAR:KEY=ZUHAZMDGPA&amp;VAR:QUERY=RkZfRUJJVERBX0lCKCdMVE1TJywzOTE4Nik=&amp;WINDOW=FIRST_POPUP&amp;HEIGHT=450&amp;WIDTH=450&amp;START_MA","XIMIZED=FALSE&amp;VAR:CALENDAR=US&amp;VAR:SYMBOL=N0098510&amp;VAR:INDEX=0"}</definedName>
    <definedName name="_6528__FDSAUDITLINK__" localSheetId="6" hidden="1">{"fdsup://directions/FAT Viewer?action=UPDATE&amp;creator=factset&amp;DYN_ARGS=TRUE&amp;DOC_NAME=FAT:FQL_AUDITING_CLIENT_TEMPLATE.FAT&amp;display_string=Audit&amp;VAR:KEY=LAPKPINKXI&amp;VAR:QUERY=RkZfRUJJVERBX0lCKCdMVE1TJywzOTE4NSk=&amp;WINDOW=FIRST_POPUP&amp;HEIGHT=450&amp;WIDTH=450&amp;START_MA","XIMIZED=FALSE&amp;VAR:CALENDAR=US&amp;VAR:SYMBOL=N0098510&amp;VAR:INDEX=0"}</definedName>
    <definedName name="_6528__FDSAUDITLINK__" hidden="1">{"fdsup://directions/FAT Viewer?action=UPDATE&amp;creator=factset&amp;DYN_ARGS=TRUE&amp;DOC_NAME=FAT:FQL_AUDITING_CLIENT_TEMPLATE.FAT&amp;display_string=Audit&amp;VAR:KEY=LAPKPINKXI&amp;VAR:QUERY=RkZfRUJJVERBX0lCKCdMVE1TJywzOTE4NSk=&amp;WINDOW=FIRST_POPUP&amp;HEIGHT=450&amp;WIDTH=450&amp;START_MA","XIMIZED=FALSE&amp;VAR:CALENDAR=US&amp;VAR:SYMBOL=N0098510&amp;VAR:INDEX=0"}</definedName>
    <definedName name="_6529__FDSAUDITLINK__" localSheetId="6" hidden="1">{"fdsup://directions/FAT Viewer?action=UPDATE&amp;creator=factset&amp;DYN_ARGS=TRUE&amp;DOC_NAME=FAT:FQL_AUDITING_CLIENT_TEMPLATE.FAT&amp;display_string=Audit&amp;VAR:KEY=HGHSNEFKHO&amp;VAR:QUERY=RkZfRUJJVERBX0lCKCdMVE1TJywzOTE4NCk=&amp;WINDOW=FIRST_POPUP&amp;HEIGHT=450&amp;WIDTH=450&amp;START_MA","XIMIZED=FALSE&amp;VAR:CALENDAR=US&amp;VAR:SYMBOL=N0098510&amp;VAR:INDEX=0"}</definedName>
    <definedName name="_6529__FDSAUDITLINK__" hidden="1">{"fdsup://directions/FAT Viewer?action=UPDATE&amp;creator=factset&amp;DYN_ARGS=TRUE&amp;DOC_NAME=FAT:FQL_AUDITING_CLIENT_TEMPLATE.FAT&amp;display_string=Audit&amp;VAR:KEY=HGHSNEFKHO&amp;VAR:QUERY=RkZfRUJJVERBX0lCKCdMVE1TJywzOTE4NCk=&amp;WINDOW=FIRST_POPUP&amp;HEIGHT=450&amp;WIDTH=450&amp;START_MA","XIMIZED=FALSE&amp;VAR:CALENDAR=US&amp;VAR:SYMBOL=N0098510&amp;VAR:INDEX=0"}</definedName>
    <definedName name="_653__FDSAUDITLINK__" localSheetId="6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3__FDSAUDITLINK__" hidden="1">{"fdsup://directions/FAT%20Viewer?VAR:PED=LTM&amp;VAR:AUDIT_MODE=SUMMARY&amp;VAR:PERIOD=FIXED&amp;VAR:AUDIT_ID=00000117&amp;VAR:DATE=20080509&amp;action=UPDATE&amp;creator=factset&amp;DOC_NAME=FAT:FMA_audit_SUMMARY.fat&amp;DISPLAY_STRING=Display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30__FDSAUDITLINK__" localSheetId="6" hidden="1">{"fdsup://directions/FAT Viewer?action=UPDATE&amp;creator=factset&amp;DYN_ARGS=TRUE&amp;DOC_NAME=FAT:FQL_AUDITING_CLIENT_TEMPLATE.FAT&amp;display_string=Audit&amp;VAR:KEY=HGPKHMDEZQ&amp;VAR:QUERY=RkZfRUJJVERBX0lCKCdMVE1TJywzOTE4Myk=&amp;WINDOW=FIRST_POPUP&amp;HEIGHT=450&amp;WIDTH=450&amp;START_MA","XIMIZED=FALSE&amp;VAR:CALENDAR=US&amp;VAR:SYMBOL=N0098510&amp;VAR:INDEX=0"}</definedName>
    <definedName name="_6530__FDSAUDITLINK__" hidden="1">{"fdsup://directions/FAT Viewer?action=UPDATE&amp;creator=factset&amp;DYN_ARGS=TRUE&amp;DOC_NAME=FAT:FQL_AUDITING_CLIENT_TEMPLATE.FAT&amp;display_string=Audit&amp;VAR:KEY=HGPKHMDEZQ&amp;VAR:QUERY=RkZfRUJJVERBX0lCKCdMVE1TJywzOTE4Myk=&amp;WINDOW=FIRST_POPUP&amp;HEIGHT=450&amp;WIDTH=450&amp;START_MA","XIMIZED=FALSE&amp;VAR:CALENDAR=US&amp;VAR:SYMBOL=N0098510&amp;VAR:INDEX=0"}</definedName>
    <definedName name="_6531__FDSAUDITLINK__" localSheetId="6" hidden="1">{"fdsup://directions/FAT Viewer?action=UPDATE&amp;creator=factset&amp;DYN_ARGS=TRUE&amp;DOC_NAME=FAT:FQL_AUDITING_CLIENT_TEMPLATE.FAT&amp;display_string=Audit&amp;VAR:KEY=VMTKVEVQFG&amp;VAR:QUERY=RkZfRUJJVERBX0lCKCdMVE1TJywzOTE4Mik=&amp;WINDOW=FIRST_POPUP&amp;HEIGHT=450&amp;WIDTH=450&amp;START_MA","XIMIZED=FALSE&amp;VAR:CALENDAR=US&amp;VAR:SYMBOL=N0098510&amp;VAR:INDEX=0"}</definedName>
    <definedName name="_6531__FDSAUDITLINK__" hidden="1">{"fdsup://directions/FAT Viewer?action=UPDATE&amp;creator=factset&amp;DYN_ARGS=TRUE&amp;DOC_NAME=FAT:FQL_AUDITING_CLIENT_TEMPLATE.FAT&amp;display_string=Audit&amp;VAR:KEY=VMTKVEVQFG&amp;VAR:QUERY=RkZfRUJJVERBX0lCKCdMVE1TJywzOTE4Mik=&amp;WINDOW=FIRST_POPUP&amp;HEIGHT=450&amp;WIDTH=450&amp;START_MA","XIMIZED=FALSE&amp;VAR:CALENDAR=US&amp;VAR:SYMBOL=N0098510&amp;VAR:INDEX=0"}</definedName>
    <definedName name="_6532__FDSAUDITLINK__" localSheetId="6" hidden="1">{"fdsup://directions/FAT Viewer?action=UPDATE&amp;creator=factset&amp;DYN_ARGS=TRUE&amp;DOC_NAME=FAT:FQL_AUDITING_CLIENT_TEMPLATE.FAT&amp;display_string=Audit&amp;VAR:KEY=BUBIREHORS&amp;VAR:QUERY=RkZfRUJJVERBX0lCKCdMVE1TJywzOTE4MSk=&amp;WINDOW=FIRST_POPUP&amp;HEIGHT=450&amp;WIDTH=450&amp;START_MA","XIMIZED=FALSE&amp;VAR:CALENDAR=US&amp;VAR:SYMBOL=N0098510&amp;VAR:INDEX=0"}</definedName>
    <definedName name="_6532__FDSAUDITLINK__" hidden="1">{"fdsup://directions/FAT Viewer?action=UPDATE&amp;creator=factset&amp;DYN_ARGS=TRUE&amp;DOC_NAME=FAT:FQL_AUDITING_CLIENT_TEMPLATE.FAT&amp;display_string=Audit&amp;VAR:KEY=BUBIREHORS&amp;VAR:QUERY=RkZfRUJJVERBX0lCKCdMVE1TJywzOTE4MSk=&amp;WINDOW=FIRST_POPUP&amp;HEIGHT=450&amp;WIDTH=450&amp;START_MA","XIMIZED=FALSE&amp;VAR:CALENDAR=US&amp;VAR:SYMBOL=N0098510&amp;VAR:INDEX=0"}</definedName>
    <definedName name="_6533__FDSAUDITLINK__" localSheetId="6" hidden="1">{"fdsup://directions/FAT Viewer?action=UPDATE&amp;creator=factset&amp;DYN_ARGS=TRUE&amp;DOC_NAME=FAT:FQL_AUDITING_CLIENT_TEMPLATE.FAT&amp;display_string=Audit&amp;VAR:KEY=ZWTUVKZSDM&amp;VAR:QUERY=RkZfRUJJVERBX0lCKCdMVE1TJywzOTE4MCk=&amp;WINDOW=FIRST_POPUP&amp;HEIGHT=450&amp;WIDTH=450&amp;START_MA","XIMIZED=FALSE&amp;VAR:CALENDAR=US&amp;VAR:SYMBOL=N0098510&amp;VAR:INDEX=0"}</definedName>
    <definedName name="_6533__FDSAUDITLINK__" hidden="1">{"fdsup://directions/FAT Viewer?action=UPDATE&amp;creator=factset&amp;DYN_ARGS=TRUE&amp;DOC_NAME=FAT:FQL_AUDITING_CLIENT_TEMPLATE.FAT&amp;display_string=Audit&amp;VAR:KEY=ZWTUVKZSDM&amp;VAR:QUERY=RkZfRUJJVERBX0lCKCdMVE1TJywzOTE4MCk=&amp;WINDOW=FIRST_POPUP&amp;HEIGHT=450&amp;WIDTH=450&amp;START_MA","XIMIZED=FALSE&amp;VAR:CALENDAR=US&amp;VAR:SYMBOL=N0098510&amp;VAR:INDEX=0"}</definedName>
    <definedName name="_6534__FDSAUDITLINK__" localSheetId="6" hidden="1">{"fdsup://directions/FAT Viewer?action=UPDATE&amp;creator=factset&amp;DYN_ARGS=TRUE&amp;DOC_NAME=FAT:FQL_AUDITING_CLIENT_TEMPLATE.FAT&amp;display_string=Audit&amp;VAR:KEY=PQHCVEZKZU&amp;VAR:QUERY=RkZfRUJJVERBX0lCKCdMVE1TJywzOTE3OSk=&amp;WINDOW=FIRST_POPUP&amp;HEIGHT=450&amp;WIDTH=450&amp;START_MA","XIMIZED=FALSE&amp;VAR:CALENDAR=US&amp;VAR:SYMBOL=N0098510&amp;VAR:INDEX=0"}</definedName>
    <definedName name="_6534__FDSAUDITLINK__" hidden="1">{"fdsup://directions/FAT Viewer?action=UPDATE&amp;creator=factset&amp;DYN_ARGS=TRUE&amp;DOC_NAME=FAT:FQL_AUDITING_CLIENT_TEMPLATE.FAT&amp;display_string=Audit&amp;VAR:KEY=PQHCVEZKZU&amp;VAR:QUERY=RkZfRUJJVERBX0lCKCdMVE1TJywzOTE3OSk=&amp;WINDOW=FIRST_POPUP&amp;HEIGHT=450&amp;WIDTH=450&amp;START_MA","XIMIZED=FALSE&amp;VAR:CALENDAR=US&amp;VAR:SYMBOL=N0098510&amp;VAR:INDEX=0"}</definedName>
    <definedName name="_6535__FDSAUDITLINK__" localSheetId="6" hidden="1">{"fdsup://directions/FAT Viewer?action=UPDATE&amp;creator=factset&amp;DYN_ARGS=TRUE&amp;DOC_NAME=FAT:FQL_AUDITING_CLIENT_TEMPLATE.FAT&amp;display_string=Audit&amp;VAR:KEY=JUTEZMDYLW&amp;VAR:QUERY=RkZfRUJJVERBX0lCKCdMVE1TJywzOTE3OCk=&amp;WINDOW=FIRST_POPUP&amp;HEIGHT=450&amp;WIDTH=450&amp;START_MA","XIMIZED=FALSE&amp;VAR:CALENDAR=US&amp;VAR:SYMBOL=N0098510&amp;VAR:INDEX=0"}</definedName>
    <definedName name="_6535__FDSAUDITLINK__" hidden="1">{"fdsup://directions/FAT Viewer?action=UPDATE&amp;creator=factset&amp;DYN_ARGS=TRUE&amp;DOC_NAME=FAT:FQL_AUDITING_CLIENT_TEMPLATE.FAT&amp;display_string=Audit&amp;VAR:KEY=JUTEZMDYLW&amp;VAR:QUERY=RkZfRUJJVERBX0lCKCdMVE1TJywzOTE3OCk=&amp;WINDOW=FIRST_POPUP&amp;HEIGHT=450&amp;WIDTH=450&amp;START_MA","XIMIZED=FALSE&amp;VAR:CALENDAR=US&amp;VAR:SYMBOL=N0098510&amp;VAR:INDEX=0"}</definedName>
    <definedName name="_6536__FDSAUDITLINK__" localSheetId="6" hidden="1">{"fdsup://directions/FAT Viewer?action=UPDATE&amp;creator=factset&amp;DYN_ARGS=TRUE&amp;DOC_NAME=FAT:FQL_AUDITING_CLIENT_TEMPLATE.FAT&amp;display_string=Audit&amp;VAR:KEY=JQXOJGJOJS&amp;VAR:QUERY=RkZfRUJJVERBX0lCKCdMVE1TJywzOTE3Nyk=&amp;WINDOW=FIRST_POPUP&amp;HEIGHT=450&amp;WIDTH=450&amp;START_MA","XIMIZED=FALSE&amp;VAR:CALENDAR=US&amp;VAR:SYMBOL=N0098510&amp;VAR:INDEX=0"}</definedName>
    <definedName name="_6536__FDSAUDITLINK__" hidden="1">{"fdsup://directions/FAT Viewer?action=UPDATE&amp;creator=factset&amp;DYN_ARGS=TRUE&amp;DOC_NAME=FAT:FQL_AUDITING_CLIENT_TEMPLATE.FAT&amp;display_string=Audit&amp;VAR:KEY=JQXOJGJOJS&amp;VAR:QUERY=RkZfRUJJVERBX0lCKCdMVE1TJywzOTE3Nyk=&amp;WINDOW=FIRST_POPUP&amp;HEIGHT=450&amp;WIDTH=450&amp;START_MA","XIMIZED=FALSE&amp;VAR:CALENDAR=US&amp;VAR:SYMBOL=N0098510&amp;VAR:INDEX=0"}</definedName>
    <definedName name="_6537__FDSAUDITLINK__" localSheetId="6" hidden="1">{"fdsup://directions/FAT Viewer?action=UPDATE&amp;creator=factset&amp;DYN_ARGS=TRUE&amp;DOC_NAME=FAT:FQL_AUDITING_CLIENT_TEMPLATE.FAT&amp;display_string=Audit&amp;VAR:KEY=DYPODUVUJM&amp;VAR:QUERY=RkZfRUJJVERBX0lCKCdMVE1TJywzOTE3Nik=&amp;WINDOW=FIRST_POPUP&amp;HEIGHT=450&amp;WIDTH=450&amp;START_MA","XIMIZED=FALSE&amp;VAR:CALENDAR=US&amp;VAR:SYMBOL=N0098510&amp;VAR:INDEX=0"}</definedName>
    <definedName name="_6537__FDSAUDITLINK__" hidden="1">{"fdsup://directions/FAT Viewer?action=UPDATE&amp;creator=factset&amp;DYN_ARGS=TRUE&amp;DOC_NAME=FAT:FQL_AUDITING_CLIENT_TEMPLATE.FAT&amp;display_string=Audit&amp;VAR:KEY=DYPODUVUJM&amp;VAR:QUERY=RkZfRUJJVERBX0lCKCdMVE1TJywzOTE3Nik=&amp;WINDOW=FIRST_POPUP&amp;HEIGHT=450&amp;WIDTH=450&amp;START_MA","XIMIZED=FALSE&amp;VAR:CALENDAR=US&amp;VAR:SYMBOL=N0098510&amp;VAR:INDEX=0"}</definedName>
    <definedName name="_6538__FDSAUDITLINK__" localSheetId="6" hidden="1">{"fdsup://directions/FAT Viewer?action=UPDATE&amp;creator=factset&amp;DYN_ARGS=TRUE&amp;DOC_NAME=FAT:FQL_AUDITING_CLIENT_TEMPLATE.FAT&amp;display_string=Audit&amp;VAR:KEY=ZKBYHEDMTC&amp;VAR:QUERY=RkZfRUJJVERBX0lCKCdMVE1TJywzOTE3NSk=&amp;WINDOW=FIRST_POPUP&amp;HEIGHT=450&amp;WIDTH=450&amp;START_MA","XIMIZED=FALSE&amp;VAR:CALENDAR=US&amp;VAR:SYMBOL=N0098510&amp;VAR:INDEX=0"}</definedName>
    <definedName name="_6538__FDSAUDITLINK__" hidden="1">{"fdsup://directions/FAT Viewer?action=UPDATE&amp;creator=factset&amp;DYN_ARGS=TRUE&amp;DOC_NAME=FAT:FQL_AUDITING_CLIENT_TEMPLATE.FAT&amp;display_string=Audit&amp;VAR:KEY=ZKBYHEDMTC&amp;VAR:QUERY=RkZfRUJJVERBX0lCKCdMVE1TJywzOTE3NSk=&amp;WINDOW=FIRST_POPUP&amp;HEIGHT=450&amp;WIDTH=450&amp;START_MA","XIMIZED=FALSE&amp;VAR:CALENDAR=US&amp;VAR:SYMBOL=N0098510&amp;VAR:INDEX=0"}</definedName>
    <definedName name="_6539__FDSAUDITLINK__" localSheetId="6" hidden="1">{"fdsup://directions/FAT Viewer?action=UPDATE&amp;creator=factset&amp;DYN_ARGS=TRUE&amp;DOC_NAME=FAT:FQL_AUDITING_CLIENT_TEMPLATE.FAT&amp;display_string=Audit&amp;VAR:KEY=LORKNIZQRA&amp;VAR:QUERY=RkZfRUJJVERBX0lCKCdMVE1TJywzOTE3NCk=&amp;WINDOW=FIRST_POPUP&amp;HEIGHT=450&amp;WIDTH=450&amp;START_MA","XIMIZED=FALSE&amp;VAR:CALENDAR=US&amp;VAR:SYMBOL=N0098510&amp;VAR:INDEX=0"}</definedName>
    <definedName name="_6539__FDSAUDITLINK__" hidden="1">{"fdsup://directions/FAT Viewer?action=UPDATE&amp;creator=factset&amp;DYN_ARGS=TRUE&amp;DOC_NAME=FAT:FQL_AUDITING_CLIENT_TEMPLATE.FAT&amp;display_string=Audit&amp;VAR:KEY=LORKNIZQRA&amp;VAR:QUERY=RkZfRUJJVERBX0lCKCdMVE1TJywzOTE3NCk=&amp;WINDOW=FIRST_POPUP&amp;HEIGHT=450&amp;WIDTH=450&amp;START_MA","XIMIZED=FALSE&amp;VAR:CALENDAR=US&amp;VAR:SYMBOL=N0098510&amp;VAR:INDEX=0"}</definedName>
    <definedName name="_654__FDSAUDITLINK__" localSheetId="6" hidden="1">{"fdsup://directions/FAT%20Viewer?VAR:PED=LTM&amp;VAR:AUDIT_MODE=SUMMARY&amp;VAR:PERIOD=FIXED&amp;VAR:AUDIT_ID=00000117&amp;VAR:DATE=20080508&amp;action=UPDATE&amp;creator=factset&amp;DOC_NAME=FAT:FMA_audit_SUMMARY.fat&amp;DISPLAY_STRING=Display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4__FDSAUDITLINK__" hidden="1">{"fdsup://directions/FAT%20Viewer?VAR:PED=LTM&amp;VAR:AUDIT_MODE=SUMMARY&amp;VAR:PERIOD=FIXED&amp;VAR:AUDIT_ID=00000117&amp;VAR:DATE=20080508&amp;action=UPDATE&amp;creator=factset&amp;DOC_NAME=FAT:FMA_audit_SUMMARY.fat&amp;DISPLAY_STRING=Display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40__FDSAUDITLINK__" localSheetId="6" hidden="1">{"fdsup://directions/FAT Viewer?action=UPDATE&amp;creator=factset&amp;DYN_ARGS=TRUE&amp;DOC_NAME=FAT:FQL_AUDITING_CLIENT_TEMPLATE.FAT&amp;display_string=Audit&amp;VAR:KEY=XURCDAPIZC&amp;VAR:QUERY=RkZfRUJJVERBX0lCKCdMVE1TJywzOTE3Myk=&amp;WINDOW=FIRST_POPUP&amp;HEIGHT=450&amp;WIDTH=450&amp;START_MA","XIMIZED=FALSE&amp;VAR:CALENDAR=US&amp;VAR:SYMBOL=N0098510&amp;VAR:INDEX=0"}</definedName>
    <definedName name="_6540__FDSAUDITLINK__" hidden="1">{"fdsup://directions/FAT Viewer?action=UPDATE&amp;creator=factset&amp;DYN_ARGS=TRUE&amp;DOC_NAME=FAT:FQL_AUDITING_CLIENT_TEMPLATE.FAT&amp;display_string=Audit&amp;VAR:KEY=XURCDAPIZC&amp;VAR:QUERY=RkZfRUJJVERBX0lCKCdMVE1TJywzOTE3Myk=&amp;WINDOW=FIRST_POPUP&amp;HEIGHT=450&amp;WIDTH=450&amp;START_MA","XIMIZED=FALSE&amp;VAR:CALENDAR=US&amp;VAR:SYMBOL=N0098510&amp;VAR:INDEX=0"}</definedName>
    <definedName name="_6541__FDSAUDITLINK__" localSheetId="6" hidden="1">{"fdsup://directions/FAT Viewer?action=UPDATE&amp;creator=factset&amp;DYN_ARGS=TRUE&amp;DOC_NAME=FAT:FQL_AUDITING_CLIENT_TEMPLATE.FAT&amp;display_string=Audit&amp;VAR:KEY=HKZANUBCDK&amp;VAR:QUERY=RkZfRUJJVERBX0lCKCdMVE1TJywzOTE3Mik=&amp;WINDOW=FIRST_POPUP&amp;HEIGHT=450&amp;WIDTH=450&amp;START_MA","XIMIZED=FALSE&amp;VAR:CALENDAR=US&amp;VAR:SYMBOL=N0098510&amp;VAR:INDEX=0"}</definedName>
    <definedName name="_6541__FDSAUDITLINK__" hidden="1">{"fdsup://directions/FAT Viewer?action=UPDATE&amp;creator=factset&amp;DYN_ARGS=TRUE&amp;DOC_NAME=FAT:FQL_AUDITING_CLIENT_TEMPLATE.FAT&amp;display_string=Audit&amp;VAR:KEY=HKZANUBCDK&amp;VAR:QUERY=RkZfRUJJVERBX0lCKCdMVE1TJywzOTE3Mik=&amp;WINDOW=FIRST_POPUP&amp;HEIGHT=450&amp;WIDTH=450&amp;START_MA","XIMIZED=FALSE&amp;VAR:CALENDAR=US&amp;VAR:SYMBOL=N0098510&amp;VAR:INDEX=0"}</definedName>
    <definedName name="_6542__FDSAUDITLINK__" localSheetId="6" hidden="1">{"fdsup://directions/FAT Viewer?action=UPDATE&amp;creator=factset&amp;DYN_ARGS=TRUE&amp;DOC_NAME=FAT:FQL_AUDITING_CLIENT_TEMPLATE.FAT&amp;display_string=Audit&amp;VAR:KEY=RQRETWNQPC&amp;VAR:QUERY=RkZfRUJJVERBX0lCKCdMVE1TJywzOTE3MSk=&amp;WINDOW=FIRST_POPUP&amp;HEIGHT=450&amp;WIDTH=450&amp;START_MA","XIMIZED=FALSE&amp;VAR:CALENDAR=US&amp;VAR:SYMBOL=N0098510&amp;VAR:INDEX=0"}</definedName>
    <definedName name="_6542__FDSAUDITLINK__" hidden="1">{"fdsup://directions/FAT Viewer?action=UPDATE&amp;creator=factset&amp;DYN_ARGS=TRUE&amp;DOC_NAME=FAT:FQL_AUDITING_CLIENT_TEMPLATE.FAT&amp;display_string=Audit&amp;VAR:KEY=RQRETWNQPC&amp;VAR:QUERY=RkZfRUJJVERBX0lCKCdMVE1TJywzOTE3MSk=&amp;WINDOW=FIRST_POPUP&amp;HEIGHT=450&amp;WIDTH=450&amp;START_MA","XIMIZED=FALSE&amp;VAR:CALENDAR=US&amp;VAR:SYMBOL=N0098510&amp;VAR:INDEX=0"}</definedName>
    <definedName name="_6543__FDSAUDITLINK__" localSheetId="6" hidden="1">{"fdsup://directions/FAT Viewer?action=UPDATE&amp;creator=factset&amp;DYN_ARGS=TRUE&amp;DOC_NAME=FAT:FQL_AUDITING_CLIENT_TEMPLATE.FAT&amp;display_string=Audit&amp;VAR:KEY=LIPSTEZMVG&amp;VAR:QUERY=RkZfRUJJVERBX0lCKCdMVE1TJywzOTE3MCk=&amp;WINDOW=FIRST_POPUP&amp;HEIGHT=450&amp;WIDTH=450&amp;START_MA","XIMIZED=FALSE&amp;VAR:CALENDAR=US&amp;VAR:SYMBOL=N0098510&amp;VAR:INDEX=0"}</definedName>
    <definedName name="_6543__FDSAUDITLINK__" hidden="1">{"fdsup://directions/FAT Viewer?action=UPDATE&amp;creator=factset&amp;DYN_ARGS=TRUE&amp;DOC_NAME=FAT:FQL_AUDITING_CLIENT_TEMPLATE.FAT&amp;display_string=Audit&amp;VAR:KEY=LIPSTEZMVG&amp;VAR:QUERY=RkZfRUJJVERBX0lCKCdMVE1TJywzOTE3MCk=&amp;WINDOW=FIRST_POPUP&amp;HEIGHT=450&amp;WIDTH=450&amp;START_MA","XIMIZED=FALSE&amp;VAR:CALENDAR=US&amp;VAR:SYMBOL=N0098510&amp;VAR:INDEX=0"}</definedName>
    <definedName name="_6544__FDSAUDITLINK__" localSheetId="6" hidden="1">{"fdsup://directions/FAT Viewer?action=UPDATE&amp;creator=factset&amp;DYN_ARGS=TRUE&amp;DOC_NAME=FAT:FQL_AUDITING_CLIENT_TEMPLATE.FAT&amp;display_string=Audit&amp;VAR:KEY=XWPMBMLUVE&amp;VAR:QUERY=RkZfRUJJVERBX0lCKCdMVE1TJywzOTE2OSk=&amp;WINDOW=FIRST_POPUP&amp;HEIGHT=450&amp;WIDTH=450&amp;START_MA","XIMIZED=FALSE&amp;VAR:CALENDAR=US&amp;VAR:SYMBOL=N0098510&amp;VAR:INDEX=0"}</definedName>
    <definedName name="_6544__FDSAUDITLINK__" hidden="1">{"fdsup://directions/FAT Viewer?action=UPDATE&amp;creator=factset&amp;DYN_ARGS=TRUE&amp;DOC_NAME=FAT:FQL_AUDITING_CLIENT_TEMPLATE.FAT&amp;display_string=Audit&amp;VAR:KEY=XWPMBMLUVE&amp;VAR:QUERY=RkZfRUJJVERBX0lCKCdMVE1TJywzOTE2OSk=&amp;WINDOW=FIRST_POPUP&amp;HEIGHT=450&amp;WIDTH=450&amp;START_MA","XIMIZED=FALSE&amp;VAR:CALENDAR=US&amp;VAR:SYMBOL=N0098510&amp;VAR:INDEX=0"}</definedName>
    <definedName name="_6545__FDSAUDITLINK__" localSheetId="6" hidden="1">{"fdsup://directions/FAT Viewer?action=UPDATE&amp;creator=factset&amp;DYN_ARGS=TRUE&amp;DOC_NAME=FAT:FQL_AUDITING_CLIENT_TEMPLATE.FAT&amp;display_string=Audit&amp;VAR:KEY=HARKPKTIVI&amp;VAR:QUERY=RkZfRUJJVERBX0lCKCdMVE1TJywzOTE2OCk=&amp;WINDOW=FIRST_POPUP&amp;HEIGHT=450&amp;WIDTH=450&amp;START_MA","XIMIZED=FALSE&amp;VAR:CALENDAR=US&amp;VAR:SYMBOL=N0098510&amp;VAR:INDEX=0"}</definedName>
    <definedName name="_6545__FDSAUDITLINK__" hidden="1">{"fdsup://directions/FAT Viewer?action=UPDATE&amp;creator=factset&amp;DYN_ARGS=TRUE&amp;DOC_NAME=FAT:FQL_AUDITING_CLIENT_TEMPLATE.FAT&amp;display_string=Audit&amp;VAR:KEY=HARKPKTIVI&amp;VAR:QUERY=RkZfRUJJVERBX0lCKCdMVE1TJywzOTE2OCk=&amp;WINDOW=FIRST_POPUP&amp;HEIGHT=450&amp;WIDTH=450&amp;START_MA","XIMIZED=FALSE&amp;VAR:CALENDAR=US&amp;VAR:SYMBOL=N0098510&amp;VAR:INDEX=0"}</definedName>
    <definedName name="_6546__FDSAUDITLINK__" localSheetId="6" hidden="1">{"fdsup://directions/FAT Viewer?action=UPDATE&amp;creator=factset&amp;DYN_ARGS=TRUE&amp;DOC_NAME=FAT:FQL_AUDITING_CLIENT_TEMPLATE.FAT&amp;display_string=Audit&amp;VAR:KEY=DITSFCNEHS&amp;VAR:QUERY=RkZfRUJJVERBX0lCKCdMVE1TJywzOTE2Nyk=&amp;WINDOW=FIRST_POPUP&amp;HEIGHT=450&amp;WIDTH=450&amp;START_MA","XIMIZED=FALSE&amp;VAR:CALENDAR=US&amp;VAR:SYMBOL=N0098510&amp;VAR:INDEX=0"}</definedName>
    <definedName name="_6546__FDSAUDITLINK__" hidden="1">{"fdsup://directions/FAT Viewer?action=UPDATE&amp;creator=factset&amp;DYN_ARGS=TRUE&amp;DOC_NAME=FAT:FQL_AUDITING_CLIENT_TEMPLATE.FAT&amp;display_string=Audit&amp;VAR:KEY=DITSFCNEHS&amp;VAR:QUERY=RkZfRUJJVERBX0lCKCdMVE1TJywzOTE2Nyk=&amp;WINDOW=FIRST_POPUP&amp;HEIGHT=450&amp;WIDTH=450&amp;START_MA","XIMIZED=FALSE&amp;VAR:CALENDAR=US&amp;VAR:SYMBOL=N0098510&amp;VAR:INDEX=0"}</definedName>
    <definedName name="_6547__FDSAUDITLINK__" localSheetId="6" hidden="1">{"fdsup://directions/FAT Viewer?action=UPDATE&amp;creator=factset&amp;DYN_ARGS=TRUE&amp;DOC_NAME=FAT:FQL_AUDITING_CLIENT_TEMPLATE.FAT&amp;display_string=Audit&amp;VAR:KEY=LGLQTITSZI&amp;VAR:QUERY=RkZfRUJJVERBX0lCKCdMVE1TJywzOTE2Nik=&amp;WINDOW=FIRST_POPUP&amp;HEIGHT=450&amp;WIDTH=450&amp;START_MA","XIMIZED=FALSE&amp;VAR:CALENDAR=US&amp;VAR:SYMBOL=N0098510&amp;VAR:INDEX=0"}</definedName>
    <definedName name="_6547__FDSAUDITLINK__" hidden="1">{"fdsup://directions/FAT Viewer?action=UPDATE&amp;creator=factset&amp;DYN_ARGS=TRUE&amp;DOC_NAME=FAT:FQL_AUDITING_CLIENT_TEMPLATE.FAT&amp;display_string=Audit&amp;VAR:KEY=LGLQTITSZI&amp;VAR:QUERY=RkZfRUJJVERBX0lCKCdMVE1TJywzOTE2Nik=&amp;WINDOW=FIRST_POPUP&amp;HEIGHT=450&amp;WIDTH=450&amp;START_MA","XIMIZED=FALSE&amp;VAR:CALENDAR=US&amp;VAR:SYMBOL=N0098510&amp;VAR:INDEX=0"}</definedName>
    <definedName name="_6548__FDSAUDITLINK__" localSheetId="6" hidden="1">{"fdsup://directions/FAT Viewer?action=UPDATE&amp;creator=factset&amp;DYN_ARGS=TRUE&amp;DOC_NAME=FAT:FQL_AUDITING_CLIENT_TEMPLATE.FAT&amp;display_string=Audit&amp;VAR:KEY=PEFIPWHQXG&amp;VAR:QUERY=RkZfRUJJVERBX0lCKCdMVE1TJywzOTE2NSk=&amp;WINDOW=FIRST_POPUP&amp;HEIGHT=450&amp;WIDTH=450&amp;START_MA","XIMIZED=FALSE&amp;VAR:CALENDAR=US&amp;VAR:SYMBOL=N0098510&amp;VAR:INDEX=0"}</definedName>
    <definedName name="_6548__FDSAUDITLINK__" hidden="1">{"fdsup://directions/FAT Viewer?action=UPDATE&amp;creator=factset&amp;DYN_ARGS=TRUE&amp;DOC_NAME=FAT:FQL_AUDITING_CLIENT_TEMPLATE.FAT&amp;display_string=Audit&amp;VAR:KEY=PEFIPWHQXG&amp;VAR:QUERY=RkZfRUJJVERBX0lCKCdMVE1TJywzOTE2NSk=&amp;WINDOW=FIRST_POPUP&amp;HEIGHT=450&amp;WIDTH=450&amp;START_MA","XIMIZED=FALSE&amp;VAR:CALENDAR=US&amp;VAR:SYMBOL=N0098510&amp;VAR:INDEX=0"}</definedName>
    <definedName name="_6549__FDSAUDITLINK__" localSheetId="6" hidden="1">{"fdsup://directions/FAT Viewer?action=UPDATE&amp;creator=factset&amp;DYN_ARGS=TRUE&amp;DOC_NAME=FAT:FQL_AUDITING_CLIENT_TEMPLATE.FAT&amp;display_string=Audit&amp;VAR:KEY=VIFWPOJKXU&amp;VAR:QUERY=RkZfRUJJVERBX0lCKCdMVE1TJywzOTE2NCk=&amp;WINDOW=FIRST_POPUP&amp;HEIGHT=450&amp;WIDTH=450&amp;START_MA","XIMIZED=FALSE&amp;VAR:CALENDAR=US&amp;VAR:SYMBOL=N0098510&amp;VAR:INDEX=0"}</definedName>
    <definedName name="_6549__FDSAUDITLINK__" hidden="1">{"fdsup://directions/FAT Viewer?action=UPDATE&amp;creator=factset&amp;DYN_ARGS=TRUE&amp;DOC_NAME=FAT:FQL_AUDITING_CLIENT_TEMPLATE.FAT&amp;display_string=Audit&amp;VAR:KEY=VIFWPOJKXU&amp;VAR:QUERY=RkZfRUJJVERBX0lCKCdMVE1TJywzOTE2NCk=&amp;WINDOW=FIRST_POPUP&amp;HEIGHT=450&amp;WIDTH=450&amp;START_MA","XIMIZED=FALSE&amp;VAR:CALENDAR=US&amp;VAR:SYMBOL=N0098510&amp;VAR:INDEX=0"}</definedName>
    <definedName name="_655__FDSAUDITLINK__" localSheetId="6" hidden="1">{"fdsup://directions/FAT%20Viewer?VAR:PED=LTM&amp;VAR:AUDIT_MODE=SUMMARY&amp;VAR:PERIOD=FIXED&amp;VAR:AUDIT_ID=00000117&amp;VAR:DATE=20080507&amp;action=UPDATE&amp;creator=factset&amp;DOC_NAME=FAT:FMA_audit_SUMMARY.fat&amp;DISPLAY_STRING=Display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5__FDSAUDITLINK__" hidden="1">{"fdsup://directions/FAT%20Viewer?VAR:PED=LTM&amp;VAR:AUDIT_MODE=SUMMARY&amp;VAR:PERIOD=FIXED&amp;VAR:AUDIT_ID=00000117&amp;VAR:DATE=20080507&amp;action=UPDATE&amp;creator=factset&amp;DOC_NAME=FAT:FMA_audit_SUMMARY.fat&amp;DISPLAY_STRING=Display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50__FDSAUDITLINK__" localSheetId="6" hidden="1">{"fdsup://directions/FAT Viewer?action=UPDATE&amp;creator=factset&amp;DYN_ARGS=TRUE&amp;DOC_NAME=FAT:FQL_AUDITING_CLIENT_TEMPLATE.FAT&amp;display_string=Audit&amp;VAR:KEY=LWZQRMJUPI&amp;VAR:QUERY=RkZfRUJJVERBX0lCKCdMVE1TJywzOTE2Myk=&amp;WINDOW=FIRST_POPUP&amp;HEIGHT=450&amp;WIDTH=450&amp;START_MA","XIMIZED=FALSE&amp;VAR:CALENDAR=US&amp;VAR:SYMBOL=N0098510&amp;VAR:INDEX=0"}</definedName>
    <definedName name="_6550__FDSAUDITLINK__" hidden="1">{"fdsup://directions/FAT Viewer?action=UPDATE&amp;creator=factset&amp;DYN_ARGS=TRUE&amp;DOC_NAME=FAT:FQL_AUDITING_CLIENT_TEMPLATE.FAT&amp;display_string=Audit&amp;VAR:KEY=LWZQRMJUPI&amp;VAR:QUERY=RkZfRUJJVERBX0lCKCdMVE1TJywzOTE2Myk=&amp;WINDOW=FIRST_POPUP&amp;HEIGHT=450&amp;WIDTH=450&amp;START_MA","XIMIZED=FALSE&amp;VAR:CALENDAR=US&amp;VAR:SYMBOL=N0098510&amp;VAR:INDEX=0"}</definedName>
    <definedName name="_6551__FDSAUDITLINK__" localSheetId="6" hidden="1">{"fdsup://directions/FAT Viewer?action=UPDATE&amp;creator=factset&amp;DYN_ARGS=TRUE&amp;DOC_NAME=FAT:FQL_AUDITING_CLIENT_TEMPLATE.FAT&amp;display_string=Audit&amp;VAR:KEY=LIBWJAPEZE&amp;VAR:QUERY=RkZfRUJJVERBX0lCKCdMVE1TJywzOTE2Mik=&amp;WINDOW=FIRST_POPUP&amp;HEIGHT=450&amp;WIDTH=450&amp;START_MA","XIMIZED=FALSE&amp;VAR:CALENDAR=US&amp;VAR:SYMBOL=N0098510&amp;VAR:INDEX=0"}</definedName>
    <definedName name="_6551__FDSAUDITLINK__" hidden="1">{"fdsup://directions/FAT Viewer?action=UPDATE&amp;creator=factset&amp;DYN_ARGS=TRUE&amp;DOC_NAME=FAT:FQL_AUDITING_CLIENT_TEMPLATE.FAT&amp;display_string=Audit&amp;VAR:KEY=LIBWJAPEZE&amp;VAR:QUERY=RkZfRUJJVERBX0lCKCdMVE1TJywzOTE2Mik=&amp;WINDOW=FIRST_POPUP&amp;HEIGHT=450&amp;WIDTH=450&amp;START_MA","XIMIZED=FALSE&amp;VAR:CALENDAR=US&amp;VAR:SYMBOL=N0098510&amp;VAR:INDEX=0"}</definedName>
    <definedName name="_6552__FDSAUDITLINK__" localSheetId="6" hidden="1">{"fdsup://directions/FAT Viewer?action=UPDATE&amp;creator=factset&amp;DYN_ARGS=TRUE&amp;DOC_NAME=FAT:FQL_AUDITING_CLIENT_TEMPLATE.FAT&amp;display_string=Audit&amp;VAR:KEY=RELADMXSFS&amp;VAR:QUERY=RkZfRUJJVERBX0lCKCdMVE1TJywzOTE2MSk=&amp;WINDOW=FIRST_POPUP&amp;HEIGHT=450&amp;WIDTH=450&amp;START_MA","XIMIZED=FALSE&amp;VAR:CALENDAR=US&amp;VAR:SYMBOL=N0098510&amp;VAR:INDEX=0"}</definedName>
    <definedName name="_6552__FDSAUDITLINK__" hidden="1">{"fdsup://directions/FAT Viewer?action=UPDATE&amp;creator=factset&amp;DYN_ARGS=TRUE&amp;DOC_NAME=FAT:FQL_AUDITING_CLIENT_TEMPLATE.FAT&amp;display_string=Audit&amp;VAR:KEY=RELADMXSFS&amp;VAR:QUERY=RkZfRUJJVERBX0lCKCdMVE1TJywzOTE2MSk=&amp;WINDOW=FIRST_POPUP&amp;HEIGHT=450&amp;WIDTH=450&amp;START_MA","XIMIZED=FALSE&amp;VAR:CALENDAR=US&amp;VAR:SYMBOL=N0098510&amp;VAR:INDEX=0"}</definedName>
    <definedName name="_6553__FDSAUDITLINK__" localSheetId="6" hidden="1">{"fdsup://directions/FAT Viewer?action=UPDATE&amp;creator=factset&amp;DYN_ARGS=TRUE&amp;DOC_NAME=FAT:FQL_AUDITING_CLIENT_TEMPLATE.FAT&amp;display_string=Audit&amp;VAR:KEY=XWFKFUNYDQ&amp;VAR:QUERY=RkZfRUJJVERBX0lCKCdMVE1TJywzOTE2MCk=&amp;WINDOW=FIRST_POPUP&amp;HEIGHT=450&amp;WIDTH=450&amp;START_MA","XIMIZED=FALSE&amp;VAR:CALENDAR=US&amp;VAR:SYMBOL=N0098510&amp;VAR:INDEX=0"}</definedName>
    <definedName name="_6553__FDSAUDITLINK__" hidden="1">{"fdsup://directions/FAT Viewer?action=UPDATE&amp;creator=factset&amp;DYN_ARGS=TRUE&amp;DOC_NAME=FAT:FQL_AUDITING_CLIENT_TEMPLATE.FAT&amp;display_string=Audit&amp;VAR:KEY=XWFKFUNYDQ&amp;VAR:QUERY=RkZfRUJJVERBX0lCKCdMVE1TJywzOTE2MCk=&amp;WINDOW=FIRST_POPUP&amp;HEIGHT=450&amp;WIDTH=450&amp;START_MA","XIMIZED=FALSE&amp;VAR:CALENDAR=US&amp;VAR:SYMBOL=N0098510&amp;VAR:INDEX=0"}</definedName>
    <definedName name="_6554__FDSAUDITLINK__" localSheetId="6" hidden="1">{"fdsup://directions/FAT Viewer?action=UPDATE&amp;creator=factset&amp;DYN_ARGS=TRUE&amp;DOC_NAME=FAT:FQL_AUDITING_CLIENT_TEMPLATE.FAT&amp;display_string=Audit&amp;VAR:KEY=DIRAPMFUBA&amp;VAR:QUERY=RkZfRUJJVERBX0lCKCdMVE1TJywzOTE1OSk=&amp;WINDOW=FIRST_POPUP&amp;HEIGHT=450&amp;WIDTH=450&amp;START_MA","XIMIZED=FALSE&amp;VAR:CALENDAR=US&amp;VAR:SYMBOL=N0098510&amp;VAR:INDEX=0"}</definedName>
    <definedName name="_6554__FDSAUDITLINK__" hidden="1">{"fdsup://directions/FAT Viewer?action=UPDATE&amp;creator=factset&amp;DYN_ARGS=TRUE&amp;DOC_NAME=FAT:FQL_AUDITING_CLIENT_TEMPLATE.FAT&amp;display_string=Audit&amp;VAR:KEY=DIRAPMFUBA&amp;VAR:QUERY=RkZfRUJJVERBX0lCKCdMVE1TJywzOTE1OSk=&amp;WINDOW=FIRST_POPUP&amp;HEIGHT=450&amp;WIDTH=450&amp;START_MA","XIMIZED=FALSE&amp;VAR:CALENDAR=US&amp;VAR:SYMBOL=N0098510&amp;VAR:INDEX=0"}</definedName>
    <definedName name="_6555__FDSAUDITLINK__" localSheetId="6" hidden="1">{"fdsup://directions/FAT Viewer?action=UPDATE&amp;creator=factset&amp;DYN_ARGS=TRUE&amp;DOC_NAME=FAT:FQL_AUDITING_CLIENT_TEMPLATE.FAT&amp;display_string=Audit&amp;VAR:KEY=ZEXGNOJGHS&amp;VAR:QUERY=RkZfRUJJVERBX0lCKCdMVE1TJywzOTE1OCk=&amp;WINDOW=FIRST_POPUP&amp;HEIGHT=450&amp;WIDTH=450&amp;START_MA","XIMIZED=FALSE&amp;VAR:CALENDAR=US&amp;VAR:SYMBOL=N0098510&amp;VAR:INDEX=0"}</definedName>
    <definedName name="_6555__FDSAUDITLINK__" hidden="1">{"fdsup://directions/FAT Viewer?action=UPDATE&amp;creator=factset&amp;DYN_ARGS=TRUE&amp;DOC_NAME=FAT:FQL_AUDITING_CLIENT_TEMPLATE.FAT&amp;display_string=Audit&amp;VAR:KEY=ZEXGNOJGHS&amp;VAR:QUERY=RkZfRUJJVERBX0lCKCdMVE1TJywzOTE1OCk=&amp;WINDOW=FIRST_POPUP&amp;HEIGHT=450&amp;WIDTH=450&amp;START_MA","XIMIZED=FALSE&amp;VAR:CALENDAR=US&amp;VAR:SYMBOL=N0098510&amp;VAR:INDEX=0"}</definedName>
    <definedName name="_6556__FDSAUDITLINK__" localSheetId="6" hidden="1">{"fdsup://directions/FAT Viewer?action=UPDATE&amp;creator=factset&amp;DYN_ARGS=TRUE&amp;DOC_NAME=FAT:FQL_AUDITING_CLIENT_TEMPLATE.FAT&amp;display_string=Audit&amp;VAR:KEY=XIXURKRSZW&amp;VAR:QUERY=RkZfRUJJVERBX0lCKCdMVE1TJywzOTE1Nyk=&amp;WINDOW=FIRST_POPUP&amp;HEIGHT=450&amp;WIDTH=450&amp;START_MA","XIMIZED=FALSE&amp;VAR:CALENDAR=US&amp;VAR:SYMBOL=N0098510&amp;VAR:INDEX=0"}</definedName>
    <definedName name="_6556__FDSAUDITLINK__" hidden="1">{"fdsup://directions/FAT Viewer?action=UPDATE&amp;creator=factset&amp;DYN_ARGS=TRUE&amp;DOC_NAME=FAT:FQL_AUDITING_CLIENT_TEMPLATE.FAT&amp;display_string=Audit&amp;VAR:KEY=XIXURKRSZW&amp;VAR:QUERY=RkZfRUJJVERBX0lCKCdMVE1TJywzOTE1Nyk=&amp;WINDOW=FIRST_POPUP&amp;HEIGHT=450&amp;WIDTH=450&amp;START_MA","XIMIZED=FALSE&amp;VAR:CALENDAR=US&amp;VAR:SYMBOL=N0098510&amp;VAR:INDEX=0"}</definedName>
    <definedName name="_6557__FDSAUDITLINK__" localSheetId="6" hidden="1">{"fdsup://directions/FAT Viewer?action=UPDATE&amp;creator=factset&amp;DYN_ARGS=TRUE&amp;DOC_NAME=FAT:FQL_AUDITING_CLIENT_TEMPLATE.FAT&amp;display_string=Audit&amp;VAR:KEY=DAXAHKTKJS&amp;VAR:QUERY=RkZfRUJJVERBX0lCKCdMVE1TJywzOTE1Nik=&amp;WINDOW=FIRST_POPUP&amp;HEIGHT=450&amp;WIDTH=450&amp;START_MA","XIMIZED=FALSE&amp;VAR:CALENDAR=US&amp;VAR:SYMBOL=N0098510&amp;VAR:INDEX=0"}</definedName>
    <definedName name="_6557__FDSAUDITLINK__" hidden="1">{"fdsup://directions/FAT Viewer?action=UPDATE&amp;creator=factset&amp;DYN_ARGS=TRUE&amp;DOC_NAME=FAT:FQL_AUDITING_CLIENT_TEMPLATE.FAT&amp;display_string=Audit&amp;VAR:KEY=DAXAHKTKJS&amp;VAR:QUERY=RkZfRUJJVERBX0lCKCdMVE1TJywzOTE1Nik=&amp;WINDOW=FIRST_POPUP&amp;HEIGHT=450&amp;WIDTH=450&amp;START_MA","XIMIZED=FALSE&amp;VAR:CALENDAR=US&amp;VAR:SYMBOL=N0098510&amp;VAR:INDEX=0"}</definedName>
    <definedName name="_6558__FDSAUDITLINK__" localSheetId="6" hidden="1">{"fdsup://directions/FAT Viewer?action=UPDATE&amp;creator=factset&amp;DYN_ARGS=TRUE&amp;DOC_NAME=FAT:FQL_AUDITING_CLIENT_TEMPLATE.FAT&amp;display_string=Audit&amp;VAR:KEY=LGTWZCRGZY&amp;VAR:QUERY=RkZfRUJJVERBX0lCKCdMVE1TJywzOTE1NSk=&amp;WINDOW=FIRST_POPUP&amp;HEIGHT=450&amp;WIDTH=450&amp;START_MA","XIMIZED=FALSE&amp;VAR:CALENDAR=US&amp;VAR:SYMBOL=N0098510&amp;VAR:INDEX=0"}</definedName>
    <definedName name="_6558__FDSAUDITLINK__" hidden="1">{"fdsup://directions/FAT Viewer?action=UPDATE&amp;creator=factset&amp;DYN_ARGS=TRUE&amp;DOC_NAME=FAT:FQL_AUDITING_CLIENT_TEMPLATE.FAT&amp;display_string=Audit&amp;VAR:KEY=LGTWZCRGZY&amp;VAR:QUERY=RkZfRUJJVERBX0lCKCdMVE1TJywzOTE1NSk=&amp;WINDOW=FIRST_POPUP&amp;HEIGHT=450&amp;WIDTH=450&amp;START_MA","XIMIZED=FALSE&amp;VAR:CALENDAR=US&amp;VAR:SYMBOL=N0098510&amp;VAR:INDEX=0"}</definedName>
    <definedName name="_6559__FDSAUDITLINK__" localSheetId="6" hidden="1">{"fdsup://directions/FAT Viewer?action=UPDATE&amp;creator=factset&amp;DYN_ARGS=TRUE&amp;DOC_NAME=FAT:FQL_AUDITING_CLIENT_TEMPLATE.FAT&amp;display_string=Audit&amp;VAR:KEY=VIRUNKHGFE&amp;VAR:QUERY=RkZfRUJJVERBX0lCKCdMVE1TJywzOTE1NCk=&amp;WINDOW=FIRST_POPUP&amp;HEIGHT=450&amp;WIDTH=450&amp;START_MA","XIMIZED=FALSE&amp;VAR:CALENDAR=US&amp;VAR:SYMBOL=N0098510&amp;VAR:INDEX=0"}</definedName>
    <definedName name="_6559__FDSAUDITLINK__" hidden="1">{"fdsup://directions/FAT Viewer?action=UPDATE&amp;creator=factset&amp;DYN_ARGS=TRUE&amp;DOC_NAME=FAT:FQL_AUDITING_CLIENT_TEMPLATE.FAT&amp;display_string=Audit&amp;VAR:KEY=VIRUNKHGFE&amp;VAR:QUERY=RkZfRUJJVERBX0lCKCdMVE1TJywzOTE1NCk=&amp;WINDOW=FIRST_POPUP&amp;HEIGHT=450&amp;WIDTH=450&amp;START_MA","XIMIZED=FALSE&amp;VAR:CALENDAR=US&amp;VAR:SYMBOL=N0098510&amp;VAR:INDEX=0"}</definedName>
    <definedName name="_656__FDSAUDITLINK__" localSheetId="6" hidden="1">{"fdsup://directions/FAT%20Viewer?VAR:PED=LTM&amp;VAR:AUDIT_MODE=SUMMARY&amp;VAR:PERIOD=FIXED&amp;VAR:AUDIT_ID=00000117&amp;VAR:DATE=20080506&amp;action=UPDATE&amp;creator=factset&amp;DOC_NAME=FAT:FMA_audit_SUMMARY.fat&amp;DISPLAY_STRING=Display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6__FDSAUDITLINK__" hidden="1">{"fdsup://directions/FAT%20Viewer?VAR:PED=LTM&amp;VAR:AUDIT_MODE=SUMMARY&amp;VAR:PERIOD=FIXED&amp;VAR:AUDIT_ID=00000117&amp;VAR:DATE=20080506&amp;action=UPDATE&amp;creator=factset&amp;DOC_NAME=FAT:FMA_audit_SUMMARY.fat&amp;DISPLAY_STRING=Display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60__FDSAUDITLINK__" localSheetId="6" hidden="1">{"fdsup://directions/FAT Viewer?action=UPDATE&amp;creator=factset&amp;DYN_ARGS=TRUE&amp;DOC_NAME=FAT:FQL_AUDITING_CLIENT_TEMPLATE.FAT&amp;display_string=Audit&amp;VAR:KEY=VCJQVGTWXW&amp;VAR:QUERY=RkZfRUJJVERBX0lCKCdMVE1TJywzOTE1Myk=&amp;WINDOW=FIRST_POPUP&amp;HEIGHT=450&amp;WIDTH=450&amp;START_MA","XIMIZED=FALSE&amp;VAR:CALENDAR=US&amp;VAR:SYMBOL=N0098510&amp;VAR:INDEX=0"}</definedName>
    <definedName name="_6560__FDSAUDITLINK__" hidden="1">{"fdsup://directions/FAT Viewer?action=UPDATE&amp;creator=factset&amp;DYN_ARGS=TRUE&amp;DOC_NAME=FAT:FQL_AUDITING_CLIENT_TEMPLATE.FAT&amp;display_string=Audit&amp;VAR:KEY=VCJQVGTWXW&amp;VAR:QUERY=RkZfRUJJVERBX0lCKCdMVE1TJywzOTE1Myk=&amp;WINDOW=FIRST_POPUP&amp;HEIGHT=450&amp;WIDTH=450&amp;START_MA","XIMIZED=FALSE&amp;VAR:CALENDAR=US&amp;VAR:SYMBOL=N0098510&amp;VAR:INDEX=0"}</definedName>
    <definedName name="_6561__FDSAUDITLINK__" localSheetId="6" hidden="1">{"fdsup://directions/FAT Viewer?action=UPDATE&amp;creator=factset&amp;DYN_ARGS=TRUE&amp;DOC_NAME=FAT:FQL_AUDITING_CLIENT_TEMPLATE.FAT&amp;display_string=Audit&amp;VAR:KEY=LYRMLWFELW&amp;VAR:QUERY=RkZfRUJJVERBX0lCKCdMVE1TJywzOTE1Mik=&amp;WINDOW=FIRST_POPUP&amp;HEIGHT=450&amp;WIDTH=450&amp;START_MA","XIMIZED=FALSE&amp;VAR:CALENDAR=US&amp;VAR:SYMBOL=N0098510&amp;VAR:INDEX=0"}</definedName>
    <definedName name="_6561__FDSAUDITLINK__" hidden="1">{"fdsup://directions/FAT Viewer?action=UPDATE&amp;creator=factset&amp;DYN_ARGS=TRUE&amp;DOC_NAME=FAT:FQL_AUDITING_CLIENT_TEMPLATE.FAT&amp;display_string=Audit&amp;VAR:KEY=LYRMLWFELW&amp;VAR:QUERY=RkZfRUJJVERBX0lCKCdMVE1TJywzOTE1Mik=&amp;WINDOW=FIRST_POPUP&amp;HEIGHT=450&amp;WIDTH=450&amp;START_MA","XIMIZED=FALSE&amp;VAR:CALENDAR=US&amp;VAR:SYMBOL=N0098510&amp;VAR:INDEX=0"}</definedName>
    <definedName name="_6562__FDSAUDITLINK__" localSheetId="6" hidden="1">{"fdsup://directions/FAT Viewer?action=UPDATE&amp;creator=factset&amp;DYN_ARGS=TRUE&amp;DOC_NAME=FAT:FQL_AUDITING_CLIENT_TEMPLATE.FAT&amp;display_string=Audit&amp;VAR:KEY=HWFURKDIZY&amp;VAR:QUERY=RkZfRUJJVERBX0lCKCdMVE1TJywzOTE1MSk=&amp;WINDOW=FIRST_POPUP&amp;HEIGHT=450&amp;WIDTH=450&amp;START_MA","XIMIZED=FALSE&amp;VAR:CALENDAR=US&amp;VAR:SYMBOL=N0098510&amp;VAR:INDEX=0"}</definedName>
    <definedName name="_6562__FDSAUDITLINK__" hidden="1">{"fdsup://directions/FAT Viewer?action=UPDATE&amp;creator=factset&amp;DYN_ARGS=TRUE&amp;DOC_NAME=FAT:FQL_AUDITING_CLIENT_TEMPLATE.FAT&amp;display_string=Audit&amp;VAR:KEY=HWFURKDIZY&amp;VAR:QUERY=RkZfRUJJVERBX0lCKCdMVE1TJywzOTE1MSk=&amp;WINDOW=FIRST_POPUP&amp;HEIGHT=450&amp;WIDTH=450&amp;START_MA","XIMIZED=FALSE&amp;VAR:CALENDAR=US&amp;VAR:SYMBOL=N0098510&amp;VAR:INDEX=0"}</definedName>
    <definedName name="_6563__FDSAUDITLINK__" localSheetId="6" hidden="1">{"fdsup://directions/FAT Viewer?action=UPDATE&amp;creator=factset&amp;DYN_ARGS=TRUE&amp;DOC_NAME=FAT:FQL_AUDITING_CLIENT_TEMPLATE.FAT&amp;display_string=Audit&amp;VAR:KEY=VQBKVYTKZO&amp;VAR:QUERY=RkZfRUJJVERBX0lCKCdMVE1TJywzOTE1MCk=&amp;WINDOW=FIRST_POPUP&amp;HEIGHT=450&amp;WIDTH=450&amp;START_MA","XIMIZED=FALSE&amp;VAR:CALENDAR=US&amp;VAR:SYMBOL=N0098510&amp;VAR:INDEX=0"}</definedName>
    <definedName name="_6563__FDSAUDITLINK__" hidden="1">{"fdsup://directions/FAT Viewer?action=UPDATE&amp;creator=factset&amp;DYN_ARGS=TRUE&amp;DOC_NAME=FAT:FQL_AUDITING_CLIENT_TEMPLATE.FAT&amp;display_string=Audit&amp;VAR:KEY=VQBKVYTKZO&amp;VAR:QUERY=RkZfRUJJVERBX0lCKCdMVE1TJywzOTE1MCk=&amp;WINDOW=FIRST_POPUP&amp;HEIGHT=450&amp;WIDTH=450&amp;START_MA","XIMIZED=FALSE&amp;VAR:CALENDAR=US&amp;VAR:SYMBOL=N0098510&amp;VAR:INDEX=0"}</definedName>
    <definedName name="_6564__FDSAUDITLINK__" localSheetId="6" hidden="1">{"fdsup://directions/FAT Viewer?action=UPDATE&amp;creator=factset&amp;DYN_ARGS=TRUE&amp;DOC_NAME=FAT:FQL_AUDITING_CLIENT_TEMPLATE.FAT&amp;display_string=Audit&amp;VAR:KEY=FYVUTKXWRO&amp;VAR:QUERY=RkZfRUJJVERBX0lCKCdMVE1TJywzOTE0OSk=&amp;WINDOW=FIRST_POPUP&amp;HEIGHT=450&amp;WIDTH=450&amp;START_MA","XIMIZED=FALSE&amp;VAR:CALENDAR=US&amp;VAR:SYMBOL=N0098510&amp;VAR:INDEX=0"}</definedName>
    <definedName name="_6564__FDSAUDITLINK__" hidden="1">{"fdsup://directions/FAT Viewer?action=UPDATE&amp;creator=factset&amp;DYN_ARGS=TRUE&amp;DOC_NAME=FAT:FQL_AUDITING_CLIENT_TEMPLATE.FAT&amp;display_string=Audit&amp;VAR:KEY=FYVUTKXWRO&amp;VAR:QUERY=RkZfRUJJVERBX0lCKCdMVE1TJywzOTE0OSk=&amp;WINDOW=FIRST_POPUP&amp;HEIGHT=450&amp;WIDTH=450&amp;START_MA","XIMIZED=FALSE&amp;VAR:CALENDAR=US&amp;VAR:SYMBOL=N0098510&amp;VAR:INDEX=0"}</definedName>
    <definedName name="_6565__FDSAUDITLINK__" localSheetId="6" hidden="1">{"fdsup://directions/FAT Viewer?action=UPDATE&amp;creator=factset&amp;DYN_ARGS=TRUE&amp;DOC_NAME=FAT:FQL_AUDITING_CLIENT_TEMPLATE.FAT&amp;display_string=Audit&amp;VAR:KEY=FWLIPAXUTA&amp;VAR:QUERY=RkZfRUJJVERBX0lCKCdMVE1TJywzOTE0OCk=&amp;WINDOW=FIRST_POPUP&amp;HEIGHT=450&amp;WIDTH=450&amp;START_MA","XIMIZED=FALSE&amp;VAR:CALENDAR=US&amp;VAR:SYMBOL=N0098510&amp;VAR:INDEX=0"}</definedName>
    <definedName name="_6565__FDSAUDITLINK__" hidden="1">{"fdsup://directions/FAT Viewer?action=UPDATE&amp;creator=factset&amp;DYN_ARGS=TRUE&amp;DOC_NAME=FAT:FQL_AUDITING_CLIENT_TEMPLATE.FAT&amp;display_string=Audit&amp;VAR:KEY=FWLIPAXUTA&amp;VAR:QUERY=RkZfRUJJVERBX0lCKCdMVE1TJywzOTE0OCk=&amp;WINDOW=FIRST_POPUP&amp;HEIGHT=450&amp;WIDTH=450&amp;START_MA","XIMIZED=FALSE&amp;VAR:CALENDAR=US&amp;VAR:SYMBOL=N0098510&amp;VAR:INDEX=0"}</definedName>
    <definedName name="_6566__FDSAUDITLINK__" localSheetId="6" hidden="1">{"fdsup://directions/FAT Viewer?action=UPDATE&amp;creator=factset&amp;DYN_ARGS=TRUE&amp;DOC_NAME=FAT:FQL_AUDITING_CLIENT_TEMPLATE.FAT&amp;display_string=Audit&amp;VAR:KEY=RKPSBGBMZE&amp;VAR:QUERY=RkZfRUJJVERBX0lCKCdMVE1TJywzOTE0Nyk=&amp;WINDOW=FIRST_POPUP&amp;HEIGHT=450&amp;WIDTH=450&amp;START_MA","XIMIZED=FALSE&amp;VAR:CALENDAR=US&amp;VAR:SYMBOL=N0098510&amp;VAR:INDEX=0"}</definedName>
    <definedName name="_6566__FDSAUDITLINK__" hidden="1">{"fdsup://directions/FAT Viewer?action=UPDATE&amp;creator=factset&amp;DYN_ARGS=TRUE&amp;DOC_NAME=FAT:FQL_AUDITING_CLIENT_TEMPLATE.FAT&amp;display_string=Audit&amp;VAR:KEY=RKPSBGBMZE&amp;VAR:QUERY=RkZfRUJJVERBX0lCKCdMVE1TJywzOTE0Nyk=&amp;WINDOW=FIRST_POPUP&amp;HEIGHT=450&amp;WIDTH=450&amp;START_MA","XIMIZED=FALSE&amp;VAR:CALENDAR=US&amp;VAR:SYMBOL=N0098510&amp;VAR:INDEX=0"}</definedName>
    <definedName name="_6567__FDSAUDITLINK__" localSheetId="6" hidden="1">{"fdsup://directions/FAT Viewer?action=UPDATE&amp;creator=factset&amp;DYN_ARGS=TRUE&amp;DOC_NAME=FAT:FQL_AUDITING_CLIENT_TEMPLATE.FAT&amp;display_string=Audit&amp;VAR:KEY=DYDYRWBINO&amp;VAR:QUERY=RkZfRUJJVERBX0lCKCdMVE1TJywzOTE0Nik=&amp;WINDOW=FIRST_POPUP&amp;HEIGHT=450&amp;WIDTH=450&amp;START_MA","XIMIZED=FALSE&amp;VAR:CALENDAR=US&amp;VAR:SYMBOL=N0098510&amp;VAR:INDEX=0"}</definedName>
    <definedName name="_6567__FDSAUDITLINK__" hidden="1">{"fdsup://directions/FAT Viewer?action=UPDATE&amp;creator=factset&amp;DYN_ARGS=TRUE&amp;DOC_NAME=FAT:FQL_AUDITING_CLIENT_TEMPLATE.FAT&amp;display_string=Audit&amp;VAR:KEY=DYDYRWBINO&amp;VAR:QUERY=RkZfRUJJVERBX0lCKCdMVE1TJywzOTE0Nik=&amp;WINDOW=FIRST_POPUP&amp;HEIGHT=450&amp;WIDTH=450&amp;START_MA","XIMIZED=FALSE&amp;VAR:CALENDAR=US&amp;VAR:SYMBOL=N0098510&amp;VAR:INDEX=0"}</definedName>
    <definedName name="_6568__FDSAUDITLINK__" localSheetId="6" hidden="1">{"fdsup://directions/FAT Viewer?action=UPDATE&amp;creator=factset&amp;DYN_ARGS=TRUE&amp;DOC_NAME=FAT:FQL_AUDITING_CLIENT_TEMPLATE.FAT&amp;display_string=Audit&amp;VAR:KEY=XWDMJAJWHO&amp;VAR:QUERY=RkZfRUJJVERBX0lCKCdMVE1TJywzOTE0NSk=&amp;WINDOW=FIRST_POPUP&amp;HEIGHT=450&amp;WIDTH=450&amp;START_MA","XIMIZED=FALSE&amp;VAR:CALENDAR=US&amp;VAR:SYMBOL=N0098510&amp;VAR:INDEX=0"}</definedName>
    <definedName name="_6568__FDSAUDITLINK__" hidden="1">{"fdsup://directions/FAT Viewer?action=UPDATE&amp;creator=factset&amp;DYN_ARGS=TRUE&amp;DOC_NAME=FAT:FQL_AUDITING_CLIENT_TEMPLATE.FAT&amp;display_string=Audit&amp;VAR:KEY=XWDMJAJWHO&amp;VAR:QUERY=RkZfRUJJVERBX0lCKCdMVE1TJywzOTE0NSk=&amp;WINDOW=FIRST_POPUP&amp;HEIGHT=450&amp;WIDTH=450&amp;START_MA","XIMIZED=FALSE&amp;VAR:CALENDAR=US&amp;VAR:SYMBOL=N0098510&amp;VAR:INDEX=0"}</definedName>
    <definedName name="_6569__FDSAUDITLINK__" localSheetId="6" hidden="1">{"fdsup://directions/FAT Viewer?action=UPDATE&amp;creator=factset&amp;DYN_ARGS=TRUE&amp;DOC_NAME=FAT:FQL_AUDITING_CLIENT_TEMPLATE.FAT&amp;display_string=Audit&amp;VAR:KEY=PKBEHUFCBI&amp;VAR:QUERY=RkZfRUJJVERBX0lCKCdMVE1TJywzOTE0NCk=&amp;WINDOW=FIRST_POPUP&amp;HEIGHT=450&amp;WIDTH=450&amp;START_MA","XIMIZED=FALSE&amp;VAR:CALENDAR=US&amp;VAR:SYMBOL=N0098510&amp;VAR:INDEX=0"}</definedName>
    <definedName name="_6569__FDSAUDITLINK__" hidden="1">{"fdsup://directions/FAT Viewer?action=UPDATE&amp;creator=factset&amp;DYN_ARGS=TRUE&amp;DOC_NAME=FAT:FQL_AUDITING_CLIENT_TEMPLATE.FAT&amp;display_string=Audit&amp;VAR:KEY=PKBEHUFCBI&amp;VAR:QUERY=RkZfRUJJVERBX0lCKCdMVE1TJywzOTE0NCk=&amp;WINDOW=FIRST_POPUP&amp;HEIGHT=450&amp;WIDTH=450&amp;START_MA","XIMIZED=FALSE&amp;VAR:CALENDAR=US&amp;VAR:SYMBOL=N0098510&amp;VAR:INDEX=0"}</definedName>
    <definedName name="_657__FDSAUDITLINK__" localSheetId="6" hidden="1">{"fdsup://directions/FAT%20Viewer?VAR:PED=LTM&amp;VAR:AUDIT_MODE=SUMMARY&amp;VAR:PERIOD=FIXED&amp;VAR:AUDIT_ID=00000117&amp;VAR:DATE=20080505&amp;action=UPDATE&amp;creator=factset&amp;DOC_NAME=FAT:FMA_audit_SUMMARY.fat&amp;DISPLAY_STRING=Display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7__FDSAUDITLINK__" hidden="1">{"fdsup://directions/FAT%20Viewer?VAR:PED=LTM&amp;VAR:AUDIT_MODE=SUMMARY&amp;VAR:PERIOD=FIXED&amp;VAR:AUDIT_ID=00000117&amp;VAR:DATE=20080505&amp;action=UPDATE&amp;creator=factset&amp;DOC_NAME=FAT:FMA_audit_SUMMARY.fat&amp;DISPLAY_STRING=Display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70__FDSAUDITLINK__" localSheetId="6" hidden="1">{"fdsup://directions/FAT Viewer?action=UPDATE&amp;creator=factset&amp;DYN_ARGS=TRUE&amp;DOC_NAME=FAT:FQL_AUDITING_CLIENT_TEMPLATE.FAT&amp;display_string=Audit&amp;VAR:KEY=TGLIFWPYNQ&amp;VAR:QUERY=RkZfRUJJVERBX0lCKCdMVE1TJywzOTE0Myk=&amp;WINDOW=FIRST_POPUP&amp;HEIGHT=450&amp;WIDTH=450&amp;START_MA","XIMIZED=FALSE&amp;VAR:CALENDAR=US&amp;VAR:SYMBOL=N0098510&amp;VAR:INDEX=0"}</definedName>
    <definedName name="_6570__FDSAUDITLINK__" hidden="1">{"fdsup://directions/FAT Viewer?action=UPDATE&amp;creator=factset&amp;DYN_ARGS=TRUE&amp;DOC_NAME=FAT:FQL_AUDITING_CLIENT_TEMPLATE.FAT&amp;display_string=Audit&amp;VAR:KEY=TGLIFWPYNQ&amp;VAR:QUERY=RkZfRUJJVERBX0lCKCdMVE1TJywzOTE0Myk=&amp;WINDOW=FIRST_POPUP&amp;HEIGHT=450&amp;WIDTH=450&amp;START_MA","XIMIZED=FALSE&amp;VAR:CALENDAR=US&amp;VAR:SYMBOL=N0098510&amp;VAR:INDEX=0"}</definedName>
    <definedName name="_6571__FDSAUDITLINK__" localSheetId="6" hidden="1">{"fdsup://directions/FAT Viewer?action=UPDATE&amp;creator=factset&amp;DYN_ARGS=TRUE&amp;DOC_NAME=FAT:FQL_AUDITING_CLIENT_TEMPLATE.FAT&amp;display_string=Audit&amp;VAR:KEY=VORKNSRUFS&amp;VAR:QUERY=RkZfRUJJVERBX0lCKCdMVE1TJywzOTE0Mik=&amp;WINDOW=FIRST_POPUP&amp;HEIGHT=450&amp;WIDTH=450&amp;START_MA","XIMIZED=FALSE&amp;VAR:CALENDAR=US&amp;VAR:SYMBOL=N0098510&amp;VAR:INDEX=0"}</definedName>
    <definedName name="_6571__FDSAUDITLINK__" hidden="1">{"fdsup://directions/FAT Viewer?action=UPDATE&amp;creator=factset&amp;DYN_ARGS=TRUE&amp;DOC_NAME=FAT:FQL_AUDITING_CLIENT_TEMPLATE.FAT&amp;display_string=Audit&amp;VAR:KEY=VORKNSRUFS&amp;VAR:QUERY=RkZfRUJJVERBX0lCKCdMVE1TJywzOTE0Mik=&amp;WINDOW=FIRST_POPUP&amp;HEIGHT=450&amp;WIDTH=450&amp;START_MA","XIMIZED=FALSE&amp;VAR:CALENDAR=US&amp;VAR:SYMBOL=N0098510&amp;VAR:INDEX=0"}</definedName>
    <definedName name="_6572__FDSAUDITLINK__" localSheetId="6" hidden="1">{"fdsup://directions/FAT Viewer?action=UPDATE&amp;creator=factset&amp;DYN_ARGS=TRUE&amp;DOC_NAME=FAT:FQL_AUDITING_CLIENT_TEMPLATE.FAT&amp;display_string=Audit&amp;VAR:KEY=REPIJGTGJO&amp;VAR:QUERY=RkZfRUJJVERBX0lCKCdMVE1TJywzOTE0MSk=&amp;WINDOW=FIRST_POPUP&amp;HEIGHT=450&amp;WIDTH=450&amp;START_MA","XIMIZED=FALSE&amp;VAR:CALENDAR=US&amp;VAR:SYMBOL=N0098510&amp;VAR:INDEX=0"}</definedName>
    <definedName name="_6572__FDSAUDITLINK__" hidden="1">{"fdsup://directions/FAT Viewer?action=UPDATE&amp;creator=factset&amp;DYN_ARGS=TRUE&amp;DOC_NAME=FAT:FQL_AUDITING_CLIENT_TEMPLATE.FAT&amp;display_string=Audit&amp;VAR:KEY=REPIJGTGJO&amp;VAR:QUERY=RkZfRUJJVERBX0lCKCdMVE1TJywzOTE0MSk=&amp;WINDOW=FIRST_POPUP&amp;HEIGHT=450&amp;WIDTH=450&amp;START_MA","XIMIZED=FALSE&amp;VAR:CALENDAR=US&amp;VAR:SYMBOL=N0098510&amp;VAR:INDEX=0"}</definedName>
    <definedName name="_6573__FDSAUDITLINK__" localSheetId="6" hidden="1">{"fdsup://directions/FAT Viewer?action=UPDATE&amp;creator=factset&amp;DYN_ARGS=TRUE&amp;DOC_NAME=FAT:FQL_AUDITING_CLIENT_TEMPLATE.FAT&amp;display_string=Audit&amp;VAR:KEY=JANQVKTIHM&amp;VAR:QUERY=RkZfRUJJVERBX0lCKCdMVE1TJywzOTE0MCk=&amp;WINDOW=FIRST_POPUP&amp;HEIGHT=450&amp;WIDTH=450&amp;START_MA","XIMIZED=FALSE&amp;VAR:CALENDAR=US&amp;VAR:SYMBOL=N0098510&amp;VAR:INDEX=0"}</definedName>
    <definedName name="_6573__FDSAUDITLINK__" hidden="1">{"fdsup://directions/FAT Viewer?action=UPDATE&amp;creator=factset&amp;DYN_ARGS=TRUE&amp;DOC_NAME=FAT:FQL_AUDITING_CLIENT_TEMPLATE.FAT&amp;display_string=Audit&amp;VAR:KEY=JANQVKTIHM&amp;VAR:QUERY=RkZfRUJJVERBX0lCKCdMVE1TJywzOTE0MCk=&amp;WINDOW=FIRST_POPUP&amp;HEIGHT=450&amp;WIDTH=450&amp;START_MA","XIMIZED=FALSE&amp;VAR:CALENDAR=US&amp;VAR:SYMBOL=N0098510&amp;VAR:INDEX=0"}</definedName>
    <definedName name="_6574__FDSAUDITLINK__" localSheetId="6" hidden="1">{"fdsup://directions/FAT Viewer?action=UPDATE&amp;creator=factset&amp;DYN_ARGS=TRUE&amp;DOC_NAME=FAT:FQL_AUDITING_CLIENT_TEMPLATE.FAT&amp;display_string=Audit&amp;VAR:KEY=TANKDODABW&amp;VAR:QUERY=RkZfRUJJVERBX0lCKCdMVE1TJywzOTEzOSk=&amp;WINDOW=FIRST_POPUP&amp;HEIGHT=450&amp;WIDTH=450&amp;START_MA","XIMIZED=FALSE&amp;VAR:CALENDAR=US&amp;VAR:SYMBOL=N0098510&amp;VAR:INDEX=0"}</definedName>
    <definedName name="_6574__FDSAUDITLINK__" hidden="1">{"fdsup://directions/FAT Viewer?action=UPDATE&amp;creator=factset&amp;DYN_ARGS=TRUE&amp;DOC_NAME=FAT:FQL_AUDITING_CLIENT_TEMPLATE.FAT&amp;display_string=Audit&amp;VAR:KEY=TANKDODABW&amp;VAR:QUERY=RkZfRUJJVERBX0lCKCdMVE1TJywzOTEzOSk=&amp;WINDOW=FIRST_POPUP&amp;HEIGHT=450&amp;WIDTH=450&amp;START_MA","XIMIZED=FALSE&amp;VAR:CALENDAR=US&amp;VAR:SYMBOL=N0098510&amp;VAR:INDEX=0"}</definedName>
    <definedName name="_6575__FDSAUDITLINK__" localSheetId="6" hidden="1">{"fdsup://directions/FAT Viewer?action=UPDATE&amp;creator=factset&amp;DYN_ARGS=TRUE&amp;DOC_NAME=FAT:FQL_AUDITING_CLIENT_TEMPLATE.FAT&amp;display_string=Audit&amp;VAR:KEY=VYFOPIDWLI&amp;VAR:QUERY=RkZfRUJJVERBX0lCKCdMVE1TJywzOTEzOCk=&amp;WINDOW=FIRST_POPUP&amp;HEIGHT=450&amp;WIDTH=450&amp;START_MA","XIMIZED=FALSE&amp;VAR:CALENDAR=US&amp;VAR:SYMBOL=N0098510&amp;VAR:INDEX=0"}</definedName>
    <definedName name="_6575__FDSAUDITLINK__" hidden="1">{"fdsup://directions/FAT Viewer?action=UPDATE&amp;creator=factset&amp;DYN_ARGS=TRUE&amp;DOC_NAME=FAT:FQL_AUDITING_CLIENT_TEMPLATE.FAT&amp;display_string=Audit&amp;VAR:KEY=VYFOPIDWLI&amp;VAR:QUERY=RkZfRUJJVERBX0lCKCdMVE1TJywzOTEzOCk=&amp;WINDOW=FIRST_POPUP&amp;HEIGHT=450&amp;WIDTH=450&amp;START_MA","XIMIZED=FALSE&amp;VAR:CALENDAR=US&amp;VAR:SYMBOL=N0098510&amp;VAR:INDEX=0"}</definedName>
    <definedName name="_6576__FDSAUDITLINK__" localSheetId="6" hidden="1">{"fdsup://directions/FAT Viewer?action=UPDATE&amp;creator=factset&amp;DYN_ARGS=TRUE&amp;DOC_NAME=FAT:FQL_AUDITING_CLIENT_TEMPLATE.FAT&amp;display_string=Audit&amp;VAR:KEY=TQFMFEPUZS&amp;VAR:QUERY=RkZfRUJJVERBX0lCKCdMVE1TJywzOTEzNyk=&amp;WINDOW=FIRST_POPUP&amp;HEIGHT=450&amp;WIDTH=450&amp;START_MA","XIMIZED=FALSE&amp;VAR:CALENDAR=US&amp;VAR:SYMBOL=N0098510&amp;VAR:INDEX=0"}</definedName>
    <definedName name="_6576__FDSAUDITLINK__" hidden="1">{"fdsup://directions/FAT Viewer?action=UPDATE&amp;creator=factset&amp;DYN_ARGS=TRUE&amp;DOC_NAME=FAT:FQL_AUDITING_CLIENT_TEMPLATE.FAT&amp;display_string=Audit&amp;VAR:KEY=TQFMFEPUZS&amp;VAR:QUERY=RkZfRUJJVERBX0lCKCdMVE1TJywzOTEzNyk=&amp;WINDOW=FIRST_POPUP&amp;HEIGHT=450&amp;WIDTH=450&amp;START_MA","XIMIZED=FALSE&amp;VAR:CALENDAR=US&amp;VAR:SYMBOL=N0098510&amp;VAR:INDEX=0"}</definedName>
    <definedName name="_6577__FDSAUDITLINK__" localSheetId="6" hidden="1">{"fdsup://directions/FAT Viewer?action=UPDATE&amp;creator=factset&amp;DYN_ARGS=TRUE&amp;DOC_NAME=FAT:FQL_AUDITING_CLIENT_TEMPLATE.FAT&amp;display_string=Audit&amp;VAR:KEY=XKTIPSDMRC&amp;VAR:QUERY=RkZfRUJJVERBX0lCKCdMVE1TJywzOTEzNik=&amp;WINDOW=FIRST_POPUP&amp;HEIGHT=450&amp;WIDTH=450&amp;START_MA","XIMIZED=FALSE&amp;VAR:CALENDAR=US&amp;VAR:SYMBOL=N0098510&amp;VAR:INDEX=0"}</definedName>
    <definedName name="_6577__FDSAUDITLINK__" hidden="1">{"fdsup://directions/FAT Viewer?action=UPDATE&amp;creator=factset&amp;DYN_ARGS=TRUE&amp;DOC_NAME=FAT:FQL_AUDITING_CLIENT_TEMPLATE.FAT&amp;display_string=Audit&amp;VAR:KEY=XKTIPSDMRC&amp;VAR:QUERY=RkZfRUJJVERBX0lCKCdMVE1TJywzOTEzNik=&amp;WINDOW=FIRST_POPUP&amp;HEIGHT=450&amp;WIDTH=450&amp;START_MA","XIMIZED=FALSE&amp;VAR:CALENDAR=US&amp;VAR:SYMBOL=N0098510&amp;VAR:INDEX=0"}</definedName>
    <definedName name="_6578__FDSAUDITLINK__" localSheetId="6" hidden="1">{"fdsup://directions/FAT Viewer?action=UPDATE&amp;creator=factset&amp;DYN_ARGS=TRUE&amp;DOC_NAME=FAT:FQL_AUDITING_CLIENT_TEMPLATE.FAT&amp;display_string=Audit&amp;VAR:KEY=FKRGTONOHQ&amp;VAR:QUERY=RkZfRUJJVERBX0lCKCdMVE1TJywzOTEzNSk=&amp;WINDOW=FIRST_POPUP&amp;HEIGHT=450&amp;WIDTH=450&amp;START_MA","XIMIZED=FALSE&amp;VAR:CALENDAR=US&amp;VAR:SYMBOL=N0098510&amp;VAR:INDEX=0"}</definedName>
    <definedName name="_6578__FDSAUDITLINK__" hidden="1">{"fdsup://directions/FAT Viewer?action=UPDATE&amp;creator=factset&amp;DYN_ARGS=TRUE&amp;DOC_NAME=FAT:FQL_AUDITING_CLIENT_TEMPLATE.FAT&amp;display_string=Audit&amp;VAR:KEY=FKRGTONOHQ&amp;VAR:QUERY=RkZfRUJJVERBX0lCKCdMVE1TJywzOTEzNSk=&amp;WINDOW=FIRST_POPUP&amp;HEIGHT=450&amp;WIDTH=450&amp;START_MA","XIMIZED=FALSE&amp;VAR:CALENDAR=US&amp;VAR:SYMBOL=N0098510&amp;VAR:INDEX=0"}</definedName>
    <definedName name="_6579__FDSAUDITLINK__" localSheetId="6" hidden="1">{"fdsup://directions/FAT Viewer?action=UPDATE&amp;creator=factset&amp;DYN_ARGS=TRUE&amp;DOC_NAME=FAT:FQL_AUDITING_CLIENT_TEMPLATE.FAT&amp;display_string=Audit&amp;VAR:KEY=FMLMFMJKFI&amp;VAR:QUERY=RkZfRUJJVERBX0lCKCdMVE1TJywzOTEzNCk=&amp;WINDOW=FIRST_POPUP&amp;HEIGHT=450&amp;WIDTH=450&amp;START_MA","XIMIZED=FALSE&amp;VAR:CALENDAR=US&amp;VAR:SYMBOL=N0098510&amp;VAR:INDEX=0"}</definedName>
    <definedName name="_6579__FDSAUDITLINK__" hidden="1">{"fdsup://directions/FAT Viewer?action=UPDATE&amp;creator=factset&amp;DYN_ARGS=TRUE&amp;DOC_NAME=FAT:FQL_AUDITING_CLIENT_TEMPLATE.FAT&amp;display_string=Audit&amp;VAR:KEY=FMLMFMJKFI&amp;VAR:QUERY=RkZfRUJJVERBX0lCKCdMVE1TJywzOTEzNCk=&amp;WINDOW=FIRST_POPUP&amp;HEIGHT=450&amp;WIDTH=450&amp;START_MA","XIMIZED=FALSE&amp;VAR:CALENDAR=US&amp;VAR:SYMBOL=N0098510&amp;VAR:INDEX=0"}</definedName>
    <definedName name="_658__FDSAUDITLINK__" localSheetId="6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8__FDSAUDITLINK__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80__FDSAUDITLINK__" localSheetId="6" hidden="1">{"fdsup://directions/FAT Viewer?action=UPDATE&amp;creator=factset&amp;DYN_ARGS=TRUE&amp;DOC_NAME=FAT:FQL_AUDITING_CLIENT_TEMPLATE.FAT&amp;display_string=Audit&amp;VAR:KEY=RIDYRGRSXU&amp;VAR:QUERY=RkZfRUJJVERBX0lCKCdMVE1TJywzOTEzMyk=&amp;WINDOW=FIRST_POPUP&amp;HEIGHT=450&amp;WIDTH=450&amp;START_MA","XIMIZED=FALSE&amp;VAR:CALENDAR=US&amp;VAR:SYMBOL=N0098510&amp;VAR:INDEX=0"}</definedName>
    <definedName name="_6580__FDSAUDITLINK__" hidden="1">{"fdsup://directions/FAT Viewer?action=UPDATE&amp;creator=factset&amp;DYN_ARGS=TRUE&amp;DOC_NAME=FAT:FQL_AUDITING_CLIENT_TEMPLATE.FAT&amp;display_string=Audit&amp;VAR:KEY=RIDYRGRSXU&amp;VAR:QUERY=RkZfRUJJVERBX0lCKCdMVE1TJywzOTEzMyk=&amp;WINDOW=FIRST_POPUP&amp;HEIGHT=450&amp;WIDTH=450&amp;START_MA","XIMIZED=FALSE&amp;VAR:CALENDAR=US&amp;VAR:SYMBOL=N0098510&amp;VAR:INDEX=0"}</definedName>
    <definedName name="_6581__FDSAUDITLINK__" localSheetId="6" hidden="1">{"fdsup://directions/FAT Viewer?action=UPDATE&amp;creator=factset&amp;DYN_ARGS=TRUE&amp;DOC_NAME=FAT:FQL_AUDITING_CLIENT_TEMPLATE.FAT&amp;display_string=Audit&amp;VAR:KEY=FOZSTKBQDM&amp;VAR:QUERY=RkZfRUJJVERBX0lCKCdMVE1TJywzOTEzMik=&amp;WINDOW=FIRST_POPUP&amp;HEIGHT=450&amp;WIDTH=450&amp;START_MA","XIMIZED=FALSE&amp;VAR:CALENDAR=US&amp;VAR:SYMBOL=N0098510&amp;VAR:INDEX=0"}</definedName>
    <definedName name="_6581__FDSAUDITLINK__" hidden="1">{"fdsup://directions/FAT Viewer?action=UPDATE&amp;creator=factset&amp;DYN_ARGS=TRUE&amp;DOC_NAME=FAT:FQL_AUDITING_CLIENT_TEMPLATE.FAT&amp;display_string=Audit&amp;VAR:KEY=FOZSTKBQDM&amp;VAR:QUERY=RkZfRUJJVERBX0lCKCdMVE1TJywzOTEzMik=&amp;WINDOW=FIRST_POPUP&amp;HEIGHT=450&amp;WIDTH=450&amp;START_MA","XIMIZED=FALSE&amp;VAR:CALENDAR=US&amp;VAR:SYMBOL=N0098510&amp;VAR:INDEX=0"}</definedName>
    <definedName name="_6582__FDSAUDITLINK__" localSheetId="6" hidden="1">{"fdsup://directions/FAT Viewer?action=UPDATE&amp;creator=factset&amp;DYN_ARGS=TRUE&amp;DOC_NAME=FAT:FQL_AUDITING_CLIENT_TEMPLATE.FAT&amp;display_string=Audit&amp;VAR:KEY=JAJKDWDKPS&amp;VAR:QUERY=RkZfRUJJVERBX0lCKCdMVE1TJywzOTEzMSk=&amp;WINDOW=FIRST_POPUP&amp;HEIGHT=450&amp;WIDTH=450&amp;START_MA","XIMIZED=FALSE&amp;VAR:CALENDAR=US&amp;VAR:SYMBOL=N0098510&amp;VAR:INDEX=0"}</definedName>
    <definedName name="_6582__FDSAUDITLINK__" hidden="1">{"fdsup://directions/FAT Viewer?action=UPDATE&amp;creator=factset&amp;DYN_ARGS=TRUE&amp;DOC_NAME=FAT:FQL_AUDITING_CLIENT_TEMPLATE.FAT&amp;display_string=Audit&amp;VAR:KEY=JAJKDWDKPS&amp;VAR:QUERY=RkZfRUJJVERBX0lCKCdMVE1TJywzOTEzMSk=&amp;WINDOW=FIRST_POPUP&amp;HEIGHT=450&amp;WIDTH=450&amp;START_MA","XIMIZED=FALSE&amp;VAR:CALENDAR=US&amp;VAR:SYMBOL=N0098510&amp;VAR:INDEX=0"}</definedName>
    <definedName name="_6583__FDSAUDITLINK__" localSheetId="6" hidden="1">{"fdsup://directions/FAT Viewer?action=UPDATE&amp;creator=factset&amp;DYN_ARGS=TRUE&amp;DOC_NAME=FAT:FQL_AUDITING_CLIENT_TEMPLATE.FAT&amp;display_string=Audit&amp;VAR:KEY=FYTGXUBCFO&amp;VAR:QUERY=RkZfRUJJVERBX0lCKCdMVE1TJywzOTEzMCk=&amp;WINDOW=FIRST_POPUP&amp;HEIGHT=450&amp;WIDTH=450&amp;START_MA","XIMIZED=FALSE&amp;VAR:CALENDAR=US&amp;VAR:SYMBOL=N0098510&amp;VAR:INDEX=0"}</definedName>
    <definedName name="_6583__FDSAUDITLINK__" hidden="1">{"fdsup://directions/FAT Viewer?action=UPDATE&amp;creator=factset&amp;DYN_ARGS=TRUE&amp;DOC_NAME=FAT:FQL_AUDITING_CLIENT_TEMPLATE.FAT&amp;display_string=Audit&amp;VAR:KEY=FYTGXUBCFO&amp;VAR:QUERY=RkZfRUJJVERBX0lCKCdMVE1TJywzOTEzMCk=&amp;WINDOW=FIRST_POPUP&amp;HEIGHT=450&amp;WIDTH=450&amp;START_MA","XIMIZED=FALSE&amp;VAR:CALENDAR=US&amp;VAR:SYMBOL=N0098510&amp;VAR:INDEX=0"}</definedName>
    <definedName name="_6584__FDSAUDITLINK__" localSheetId="6" hidden="1">{"fdsup://directions/FAT Viewer?action=UPDATE&amp;creator=factset&amp;DYN_ARGS=TRUE&amp;DOC_NAME=FAT:FQL_AUDITING_CLIENT_TEMPLATE.FAT&amp;display_string=Audit&amp;VAR:KEY=LCXQVILQDK&amp;VAR:QUERY=RkZfRUJJVERBX0lCKCdMVE1TJywzOTEyOSk=&amp;WINDOW=FIRST_POPUP&amp;HEIGHT=450&amp;WIDTH=450&amp;START_MA","XIMIZED=FALSE&amp;VAR:CALENDAR=US&amp;VAR:SYMBOL=N0098510&amp;VAR:INDEX=0"}</definedName>
    <definedName name="_6584__FDSAUDITLINK__" hidden="1">{"fdsup://directions/FAT Viewer?action=UPDATE&amp;creator=factset&amp;DYN_ARGS=TRUE&amp;DOC_NAME=FAT:FQL_AUDITING_CLIENT_TEMPLATE.FAT&amp;display_string=Audit&amp;VAR:KEY=LCXQVILQDK&amp;VAR:QUERY=RkZfRUJJVERBX0lCKCdMVE1TJywzOTEyOSk=&amp;WINDOW=FIRST_POPUP&amp;HEIGHT=450&amp;WIDTH=450&amp;START_MA","XIMIZED=FALSE&amp;VAR:CALENDAR=US&amp;VAR:SYMBOL=N0098510&amp;VAR:INDEX=0"}</definedName>
    <definedName name="_6585__FDSAUDITLINK__" localSheetId="6" hidden="1">{"fdsup://directions/FAT Viewer?action=UPDATE&amp;creator=factset&amp;DYN_ARGS=TRUE&amp;DOC_NAME=FAT:FQL_AUDITING_CLIENT_TEMPLATE.FAT&amp;display_string=Audit&amp;VAR:KEY=DSFKLUTAXU&amp;VAR:QUERY=RkZfRUJJVERBX0lCKCdMVE1TJywzOTEyOCk=&amp;WINDOW=FIRST_POPUP&amp;HEIGHT=450&amp;WIDTH=450&amp;START_MA","XIMIZED=FALSE&amp;VAR:CALENDAR=US&amp;VAR:SYMBOL=N0098510&amp;VAR:INDEX=0"}</definedName>
    <definedName name="_6585__FDSAUDITLINK__" hidden="1">{"fdsup://directions/FAT Viewer?action=UPDATE&amp;creator=factset&amp;DYN_ARGS=TRUE&amp;DOC_NAME=FAT:FQL_AUDITING_CLIENT_TEMPLATE.FAT&amp;display_string=Audit&amp;VAR:KEY=DSFKLUTAXU&amp;VAR:QUERY=RkZfRUJJVERBX0lCKCdMVE1TJywzOTEyOCk=&amp;WINDOW=FIRST_POPUP&amp;HEIGHT=450&amp;WIDTH=450&amp;START_MA","XIMIZED=FALSE&amp;VAR:CALENDAR=US&amp;VAR:SYMBOL=N0098510&amp;VAR:INDEX=0"}</definedName>
    <definedName name="_6586__FDSAUDITLINK__" localSheetId="6" hidden="1">{"fdsup://directions/FAT Viewer?action=UPDATE&amp;creator=factset&amp;DYN_ARGS=TRUE&amp;DOC_NAME=FAT:FQL_AUDITING_CLIENT_TEMPLATE.FAT&amp;display_string=Audit&amp;VAR:KEY=XWTEXSBCNI&amp;VAR:QUERY=RkZfRUJJVERBX0lCKCdMVE1TJywzOTEyNyk=&amp;WINDOW=FIRST_POPUP&amp;HEIGHT=450&amp;WIDTH=450&amp;START_MA","XIMIZED=FALSE&amp;VAR:CALENDAR=US&amp;VAR:SYMBOL=N0098510&amp;VAR:INDEX=0"}</definedName>
    <definedName name="_6586__FDSAUDITLINK__" hidden="1">{"fdsup://directions/FAT Viewer?action=UPDATE&amp;creator=factset&amp;DYN_ARGS=TRUE&amp;DOC_NAME=FAT:FQL_AUDITING_CLIENT_TEMPLATE.FAT&amp;display_string=Audit&amp;VAR:KEY=XWTEXSBCNI&amp;VAR:QUERY=RkZfRUJJVERBX0lCKCdMVE1TJywzOTEyNyk=&amp;WINDOW=FIRST_POPUP&amp;HEIGHT=450&amp;WIDTH=450&amp;START_MA","XIMIZED=FALSE&amp;VAR:CALENDAR=US&amp;VAR:SYMBOL=N0098510&amp;VAR:INDEX=0"}</definedName>
    <definedName name="_6587__FDSAUDITLINK__" localSheetId="6" hidden="1">{"fdsup://directions/FAT Viewer?action=UPDATE&amp;creator=factset&amp;DYN_ARGS=TRUE&amp;DOC_NAME=FAT:FQL_AUDITING_CLIENT_TEMPLATE.FAT&amp;display_string=Audit&amp;VAR:KEY=XELODUPOPC&amp;VAR:QUERY=RkZfRUJJVERBX0lCKCdMVE1TJywzOTEyNik=&amp;WINDOW=FIRST_POPUP&amp;HEIGHT=450&amp;WIDTH=450&amp;START_MA","XIMIZED=FALSE&amp;VAR:CALENDAR=US&amp;VAR:SYMBOL=N0098510&amp;VAR:INDEX=0"}</definedName>
    <definedName name="_6587__FDSAUDITLINK__" hidden="1">{"fdsup://directions/FAT Viewer?action=UPDATE&amp;creator=factset&amp;DYN_ARGS=TRUE&amp;DOC_NAME=FAT:FQL_AUDITING_CLIENT_TEMPLATE.FAT&amp;display_string=Audit&amp;VAR:KEY=XELODUPOPC&amp;VAR:QUERY=RkZfRUJJVERBX0lCKCdMVE1TJywzOTEyNik=&amp;WINDOW=FIRST_POPUP&amp;HEIGHT=450&amp;WIDTH=450&amp;START_MA","XIMIZED=FALSE&amp;VAR:CALENDAR=US&amp;VAR:SYMBOL=N0098510&amp;VAR:INDEX=0"}</definedName>
    <definedName name="_6588__FDSAUDITLINK__" localSheetId="6" hidden="1">{"fdsup://directions/FAT Viewer?action=UPDATE&amp;creator=factset&amp;DYN_ARGS=TRUE&amp;DOC_NAME=FAT:FQL_AUDITING_CLIENT_TEMPLATE.FAT&amp;display_string=Audit&amp;VAR:KEY=DQDKXYJOXU&amp;VAR:QUERY=RkZfRUJJVERBX0lCKCdMVE1TJywzOTEyNSk=&amp;WINDOW=FIRST_POPUP&amp;HEIGHT=450&amp;WIDTH=450&amp;START_MA","XIMIZED=FALSE&amp;VAR:CALENDAR=US&amp;VAR:SYMBOL=N0098510&amp;VAR:INDEX=0"}</definedName>
    <definedName name="_6588__FDSAUDITLINK__" hidden="1">{"fdsup://directions/FAT Viewer?action=UPDATE&amp;creator=factset&amp;DYN_ARGS=TRUE&amp;DOC_NAME=FAT:FQL_AUDITING_CLIENT_TEMPLATE.FAT&amp;display_string=Audit&amp;VAR:KEY=DQDKXYJOXU&amp;VAR:QUERY=RkZfRUJJVERBX0lCKCdMVE1TJywzOTEyNSk=&amp;WINDOW=FIRST_POPUP&amp;HEIGHT=450&amp;WIDTH=450&amp;START_MA","XIMIZED=FALSE&amp;VAR:CALENDAR=US&amp;VAR:SYMBOL=N0098510&amp;VAR:INDEX=0"}</definedName>
    <definedName name="_6589__FDSAUDITLINK__" localSheetId="6" hidden="1">{"fdsup://directions/FAT Viewer?action=UPDATE&amp;creator=factset&amp;DYN_ARGS=TRUE&amp;DOC_NAME=FAT:FQL_AUDITING_CLIENT_TEMPLATE.FAT&amp;display_string=Audit&amp;VAR:KEY=JWRCDSLABW&amp;VAR:QUERY=RkZfRUJJVERBX0lCKCdMVE1TJywzOTEyNCk=&amp;WINDOW=FIRST_POPUP&amp;HEIGHT=450&amp;WIDTH=450&amp;START_MA","XIMIZED=FALSE&amp;VAR:CALENDAR=US&amp;VAR:SYMBOL=N0098510&amp;VAR:INDEX=0"}</definedName>
    <definedName name="_6589__FDSAUDITLINK__" hidden="1">{"fdsup://directions/FAT Viewer?action=UPDATE&amp;creator=factset&amp;DYN_ARGS=TRUE&amp;DOC_NAME=FAT:FQL_AUDITING_CLIENT_TEMPLATE.FAT&amp;display_string=Audit&amp;VAR:KEY=JWRCDSLABW&amp;VAR:QUERY=RkZfRUJJVERBX0lCKCdMVE1TJywzOTEyNCk=&amp;WINDOW=FIRST_POPUP&amp;HEIGHT=450&amp;WIDTH=450&amp;START_MA","XIMIZED=FALSE&amp;VAR:CALENDAR=US&amp;VAR:SYMBOL=N0098510&amp;VAR:INDEX=0"}</definedName>
    <definedName name="_659__FDSAUDITLINK__" localSheetId="6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9__FDSAUDITLINK__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590__FDSAUDITLINK__" localSheetId="6" hidden="1">{"fdsup://directions/FAT Viewer?action=UPDATE&amp;creator=factset&amp;DYN_ARGS=TRUE&amp;DOC_NAME=FAT:FQL_AUDITING_CLIENT_TEMPLATE.FAT&amp;display_string=Audit&amp;VAR:KEY=PGFCJAVYZQ&amp;VAR:QUERY=RkZfRUJJVERBX0lCKCdMVE1TJywzOTEyMyk=&amp;WINDOW=FIRST_POPUP&amp;HEIGHT=450&amp;WIDTH=450&amp;START_MA","XIMIZED=FALSE&amp;VAR:CALENDAR=US&amp;VAR:SYMBOL=N0098510&amp;VAR:INDEX=0"}</definedName>
    <definedName name="_6590__FDSAUDITLINK__" hidden="1">{"fdsup://directions/FAT Viewer?action=UPDATE&amp;creator=factset&amp;DYN_ARGS=TRUE&amp;DOC_NAME=FAT:FQL_AUDITING_CLIENT_TEMPLATE.FAT&amp;display_string=Audit&amp;VAR:KEY=PGFCJAVYZQ&amp;VAR:QUERY=RkZfRUJJVERBX0lCKCdMVE1TJywzOTEyMyk=&amp;WINDOW=FIRST_POPUP&amp;HEIGHT=450&amp;WIDTH=450&amp;START_MA","XIMIZED=FALSE&amp;VAR:CALENDAR=US&amp;VAR:SYMBOL=N0098510&amp;VAR:INDEX=0"}</definedName>
    <definedName name="_6591__FDSAUDITLINK__" localSheetId="6" hidden="1">{"fdsup://directions/FAT Viewer?action=UPDATE&amp;creator=factset&amp;DYN_ARGS=TRUE&amp;DOC_NAME=FAT:FQL_AUDITING_CLIENT_TEMPLATE.FAT&amp;display_string=Audit&amp;VAR:KEY=DOBOZMRAHS&amp;VAR:QUERY=RkZfRUJJVERBX0lCKCdMVE1TJywzOTEyMik=&amp;WINDOW=FIRST_POPUP&amp;HEIGHT=450&amp;WIDTH=450&amp;START_MA","XIMIZED=FALSE&amp;VAR:CALENDAR=US&amp;VAR:SYMBOL=N0098510&amp;VAR:INDEX=0"}</definedName>
    <definedName name="_6591__FDSAUDITLINK__" hidden="1">{"fdsup://directions/FAT Viewer?action=UPDATE&amp;creator=factset&amp;DYN_ARGS=TRUE&amp;DOC_NAME=FAT:FQL_AUDITING_CLIENT_TEMPLATE.FAT&amp;display_string=Audit&amp;VAR:KEY=DOBOZMRAHS&amp;VAR:QUERY=RkZfRUJJVERBX0lCKCdMVE1TJywzOTEyMik=&amp;WINDOW=FIRST_POPUP&amp;HEIGHT=450&amp;WIDTH=450&amp;START_MA","XIMIZED=FALSE&amp;VAR:CALENDAR=US&amp;VAR:SYMBOL=N0098510&amp;VAR:INDEX=0"}</definedName>
    <definedName name="_6592__FDSAUDITLINK__" localSheetId="6" hidden="1">{"fdsup://directions/FAT Viewer?action=UPDATE&amp;creator=factset&amp;DYN_ARGS=TRUE&amp;DOC_NAME=FAT:FQL_AUDITING_CLIENT_TEMPLATE.FAT&amp;display_string=Audit&amp;VAR:KEY=XMVOPYDSXU&amp;VAR:QUERY=RkZfRUJJVERBX0lCKCdMVE1TJywzOTEyMSk=&amp;WINDOW=FIRST_POPUP&amp;HEIGHT=450&amp;WIDTH=450&amp;START_MA","XIMIZED=FALSE&amp;VAR:CALENDAR=US&amp;VAR:SYMBOL=N0098510&amp;VAR:INDEX=0"}</definedName>
    <definedName name="_6592__FDSAUDITLINK__" hidden="1">{"fdsup://directions/FAT Viewer?action=UPDATE&amp;creator=factset&amp;DYN_ARGS=TRUE&amp;DOC_NAME=FAT:FQL_AUDITING_CLIENT_TEMPLATE.FAT&amp;display_string=Audit&amp;VAR:KEY=XMVOPYDSXU&amp;VAR:QUERY=RkZfRUJJVERBX0lCKCdMVE1TJywzOTEyMSk=&amp;WINDOW=FIRST_POPUP&amp;HEIGHT=450&amp;WIDTH=450&amp;START_MA","XIMIZED=FALSE&amp;VAR:CALENDAR=US&amp;VAR:SYMBOL=N0098510&amp;VAR:INDEX=0"}</definedName>
    <definedName name="_6593__FDSAUDITLINK__" localSheetId="6" hidden="1">{"fdsup://directions/FAT Viewer?action=UPDATE&amp;creator=factset&amp;DYN_ARGS=TRUE&amp;DOC_NAME=FAT:FQL_AUDITING_CLIENT_TEMPLATE.FAT&amp;display_string=Audit&amp;VAR:KEY=NSHUPQXYPS&amp;VAR:QUERY=RkZfRUJJVERBX0lCKCdMVE1TJywzOTEyMCk=&amp;WINDOW=FIRST_POPUP&amp;HEIGHT=450&amp;WIDTH=450&amp;START_MA","XIMIZED=FALSE&amp;VAR:CALENDAR=US&amp;VAR:SYMBOL=N0098510&amp;VAR:INDEX=0"}</definedName>
    <definedName name="_6593__FDSAUDITLINK__" hidden="1">{"fdsup://directions/FAT Viewer?action=UPDATE&amp;creator=factset&amp;DYN_ARGS=TRUE&amp;DOC_NAME=FAT:FQL_AUDITING_CLIENT_TEMPLATE.FAT&amp;display_string=Audit&amp;VAR:KEY=NSHUPQXYPS&amp;VAR:QUERY=RkZfRUJJVERBX0lCKCdMVE1TJywzOTEyMCk=&amp;WINDOW=FIRST_POPUP&amp;HEIGHT=450&amp;WIDTH=450&amp;START_MA","XIMIZED=FALSE&amp;VAR:CALENDAR=US&amp;VAR:SYMBOL=N0098510&amp;VAR:INDEX=0"}</definedName>
    <definedName name="_6594__FDSAUDITLINK__" localSheetId="6" hidden="1">{"fdsup://directions/FAT Viewer?action=UPDATE&amp;creator=factset&amp;DYN_ARGS=TRUE&amp;DOC_NAME=FAT:FQL_AUDITING_CLIENT_TEMPLATE.FAT&amp;display_string=Audit&amp;VAR:KEY=PSHWRYPEZY&amp;VAR:QUERY=RkZfRUJJVERBX0lCKCdMVE1TJywzOTExOSk=&amp;WINDOW=FIRST_POPUP&amp;HEIGHT=450&amp;WIDTH=450&amp;START_MA","XIMIZED=FALSE&amp;VAR:CALENDAR=US&amp;VAR:SYMBOL=N0098510&amp;VAR:INDEX=0"}</definedName>
    <definedName name="_6594__FDSAUDITLINK__" hidden="1">{"fdsup://directions/FAT Viewer?action=UPDATE&amp;creator=factset&amp;DYN_ARGS=TRUE&amp;DOC_NAME=FAT:FQL_AUDITING_CLIENT_TEMPLATE.FAT&amp;display_string=Audit&amp;VAR:KEY=PSHWRYPEZY&amp;VAR:QUERY=RkZfRUJJVERBX0lCKCdMVE1TJywzOTExOSk=&amp;WINDOW=FIRST_POPUP&amp;HEIGHT=450&amp;WIDTH=450&amp;START_MA","XIMIZED=FALSE&amp;VAR:CALENDAR=US&amp;VAR:SYMBOL=N0098510&amp;VAR:INDEX=0"}</definedName>
    <definedName name="_6595__FDSAUDITLINK__" localSheetId="6" hidden="1">{"fdsup://directions/FAT Viewer?action=UPDATE&amp;creator=factset&amp;DYN_ARGS=TRUE&amp;DOC_NAME=FAT:FQL_AUDITING_CLIENT_TEMPLATE.FAT&amp;display_string=Audit&amp;VAR:KEY=BWLMBIJQVW&amp;VAR:QUERY=RkZfRUJJVERBX0lCKCdMVE1TJywzOTExOCk=&amp;WINDOW=FIRST_POPUP&amp;HEIGHT=450&amp;WIDTH=450&amp;START_MA","XIMIZED=FALSE&amp;VAR:CALENDAR=US&amp;VAR:SYMBOL=N0098510&amp;VAR:INDEX=0"}</definedName>
    <definedName name="_6595__FDSAUDITLINK__" hidden="1">{"fdsup://directions/FAT Viewer?action=UPDATE&amp;creator=factset&amp;DYN_ARGS=TRUE&amp;DOC_NAME=FAT:FQL_AUDITING_CLIENT_TEMPLATE.FAT&amp;display_string=Audit&amp;VAR:KEY=BWLMBIJQVW&amp;VAR:QUERY=RkZfRUJJVERBX0lCKCdMVE1TJywzOTExOCk=&amp;WINDOW=FIRST_POPUP&amp;HEIGHT=450&amp;WIDTH=450&amp;START_MA","XIMIZED=FALSE&amp;VAR:CALENDAR=US&amp;VAR:SYMBOL=N0098510&amp;VAR:INDEX=0"}</definedName>
    <definedName name="_6596__FDSAUDITLINK__" localSheetId="6" hidden="1">{"fdsup://directions/FAT Viewer?action=UPDATE&amp;creator=factset&amp;DYN_ARGS=TRUE&amp;DOC_NAME=FAT:FQL_AUDITING_CLIENT_TEMPLATE.FAT&amp;display_string=Audit&amp;VAR:KEY=FOBULMBUDI&amp;VAR:QUERY=RkZfRUJJVERBX0lCKCdMVE1TJywzOTExNyk=&amp;WINDOW=FIRST_POPUP&amp;HEIGHT=450&amp;WIDTH=450&amp;START_MA","XIMIZED=FALSE&amp;VAR:CALENDAR=US&amp;VAR:SYMBOL=N0098510&amp;VAR:INDEX=0"}</definedName>
    <definedName name="_6596__FDSAUDITLINK__" hidden="1">{"fdsup://directions/FAT Viewer?action=UPDATE&amp;creator=factset&amp;DYN_ARGS=TRUE&amp;DOC_NAME=FAT:FQL_AUDITING_CLIENT_TEMPLATE.FAT&amp;display_string=Audit&amp;VAR:KEY=FOBULMBUDI&amp;VAR:QUERY=RkZfRUJJVERBX0lCKCdMVE1TJywzOTExNyk=&amp;WINDOW=FIRST_POPUP&amp;HEIGHT=450&amp;WIDTH=450&amp;START_MA","XIMIZED=FALSE&amp;VAR:CALENDAR=US&amp;VAR:SYMBOL=N0098510&amp;VAR:INDEX=0"}</definedName>
    <definedName name="_6597__FDSAUDITLINK__" localSheetId="6" hidden="1">{"fdsup://directions/FAT Viewer?action=UPDATE&amp;creator=factset&amp;DYN_ARGS=TRUE&amp;DOC_NAME=FAT:FQL_AUDITING_CLIENT_TEMPLATE.FAT&amp;display_string=Audit&amp;VAR:KEY=PEDCZSBQTC&amp;VAR:QUERY=RkZfRUJJVERBX0lCKCdMVE1TJywzOTExNik=&amp;WINDOW=FIRST_POPUP&amp;HEIGHT=450&amp;WIDTH=450&amp;START_MA","XIMIZED=FALSE&amp;VAR:CALENDAR=US&amp;VAR:SYMBOL=N0098510&amp;VAR:INDEX=0"}</definedName>
    <definedName name="_6597__FDSAUDITLINK__" hidden="1">{"fdsup://directions/FAT Viewer?action=UPDATE&amp;creator=factset&amp;DYN_ARGS=TRUE&amp;DOC_NAME=FAT:FQL_AUDITING_CLIENT_TEMPLATE.FAT&amp;display_string=Audit&amp;VAR:KEY=PEDCZSBQTC&amp;VAR:QUERY=RkZfRUJJVERBX0lCKCdMVE1TJywzOTExNik=&amp;WINDOW=FIRST_POPUP&amp;HEIGHT=450&amp;WIDTH=450&amp;START_MA","XIMIZED=FALSE&amp;VAR:CALENDAR=US&amp;VAR:SYMBOL=N0098510&amp;VAR:INDEX=0"}</definedName>
    <definedName name="_6598__FDSAUDITLINK__" localSheetId="6" hidden="1">{"fdsup://directions/FAT Viewer?action=UPDATE&amp;creator=factset&amp;DYN_ARGS=TRUE&amp;DOC_NAME=FAT:FQL_AUDITING_CLIENT_TEMPLATE.FAT&amp;display_string=Audit&amp;VAR:KEY=PQRWTSJMJY&amp;VAR:QUERY=RkZfRUJJVERBX0lCKCdMVE1TJywzOTExNSk=&amp;WINDOW=FIRST_POPUP&amp;HEIGHT=450&amp;WIDTH=450&amp;START_MA","XIMIZED=FALSE&amp;VAR:CALENDAR=US&amp;VAR:SYMBOL=N0098510&amp;VAR:INDEX=0"}</definedName>
    <definedName name="_6598__FDSAUDITLINK__" hidden="1">{"fdsup://directions/FAT Viewer?action=UPDATE&amp;creator=factset&amp;DYN_ARGS=TRUE&amp;DOC_NAME=FAT:FQL_AUDITING_CLIENT_TEMPLATE.FAT&amp;display_string=Audit&amp;VAR:KEY=PQRWTSJMJY&amp;VAR:QUERY=RkZfRUJJVERBX0lCKCdMVE1TJywzOTExNSk=&amp;WINDOW=FIRST_POPUP&amp;HEIGHT=450&amp;WIDTH=450&amp;START_MA","XIMIZED=FALSE&amp;VAR:CALENDAR=US&amp;VAR:SYMBOL=N0098510&amp;VAR:INDEX=0"}</definedName>
    <definedName name="_6599__FDSAUDITLINK__" localSheetId="6" hidden="1">{"fdsup://directions/FAT Viewer?action=UPDATE&amp;creator=factset&amp;DYN_ARGS=TRUE&amp;DOC_NAME=FAT:FQL_AUDITING_CLIENT_TEMPLATE.FAT&amp;display_string=Audit&amp;VAR:KEY=JUNOVKRINO&amp;VAR:QUERY=RkZfRUJJVERBX0lCKCdMVE1TJywzOTExNCk=&amp;WINDOW=FIRST_POPUP&amp;HEIGHT=450&amp;WIDTH=450&amp;START_MA","XIMIZED=FALSE&amp;VAR:CALENDAR=US&amp;VAR:SYMBOL=N0098510&amp;VAR:INDEX=0"}</definedName>
    <definedName name="_6599__FDSAUDITLINK__" hidden="1">{"fdsup://directions/FAT Viewer?action=UPDATE&amp;creator=factset&amp;DYN_ARGS=TRUE&amp;DOC_NAME=FAT:FQL_AUDITING_CLIENT_TEMPLATE.FAT&amp;display_string=Audit&amp;VAR:KEY=JUNOVKRINO&amp;VAR:QUERY=RkZfRUJJVERBX0lCKCdMVE1TJywzOTExNCk=&amp;WINDOW=FIRST_POPUP&amp;HEIGHT=450&amp;WIDTH=450&amp;START_MA","XIMIZED=FALSE&amp;VAR:CALENDAR=US&amp;VAR:SYMBOL=N0098510&amp;VAR:INDEX=0"}</definedName>
    <definedName name="_66__FDSAUDITLINK__" localSheetId="6" hidden="1">{"fdsup://directions/FAT Viewer?action=UPDATE&amp;creator=factset&amp;DYN_ARGS=TRUE&amp;DOC_NAME=FAT:FQL_AUDITING_CLIENT_TEMPLATE.FAT&amp;display_string=Audit&amp;VAR:KEY=RUNWHILQLA&amp;VAR:QUERY=QVZHKENTRl9ORVRfSU5DKEFOTiwwRlksLTZGWSxZKSkgLyAoQVZHKENTRl9BU1NFVFMoQU5OLDBGWSwtNkZZL","EZZKSkgLSBBVkcoQ1NGX0lOVEFORyhBTk4sMCwtNkZZLEZZKSkp&amp;WINDOW=FIRST_POPUP&amp;HEIGHT=450&amp;WIDTH=450&amp;START_MAXIMIZED=FALSE&amp;VAR:CALENDAR=US&amp;VAR:SYMBOL=B1WHG1"}</definedName>
    <definedName name="_66__FDSAUDITLINK__" hidden="1">{"fdsup://directions/FAT Viewer?action=UPDATE&amp;creator=factset&amp;DYN_ARGS=TRUE&amp;DOC_NAME=FAT:FQL_AUDITING_CLIENT_TEMPLATE.FAT&amp;display_string=Audit&amp;VAR:KEY=RUNWHILQLA&amp;VAR:QUERY=QVZHKENTRl9ORVRfSU5DKEFOTiwwRlksLTZGWSxZKSkgLyAoQVZHKENTRl9BU1NFVFMoQU5OLDBGWSwtNkZZL","EZZKSkgLSBBVkcoQ1NGX0lOVEFORyhBTk4sMCwtNkZZLEZZKSkp&amp;WINDOW=FIRST_POPUP&amp;HEIGHT=450&amp;WIDTH=450&amp;START_MAXIMIZED=FALSE&amp;VAR:CALENDAR=US&amp;VAR:SYMBOL=B1WHG1"}</definedName>
    <definedName name="_660__FDSAUDITLINK__" localSheetId="6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0__FDSAUDITLINK__" hidden="1">{"fdsup://directions/FAT%20Viewer?VAR:PED=LTM&amp;VAR:AUDIT_MODE=SUMMARY&amp;VAR:PERIOD=FIXED&amp;VAR:AUDIT_ID=00000117&amp;VAR:DATE=20080502&amp;action=UPDATE&amp;creator=factset&amp;DOC_NAME=FAT:FMA_audit_SUMMARY.fat&amp;DISPLAY_STRING=Display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00__FDSAUDITLINK__" localSheetId="6" hidden="1">{"fdsup://directions/FAT Viewer?action=UPDATE&amp;creator=factset&amp;DYN_ARGS=TRUE&amp;DOC_NAME=FAT:FQL_AUDITING_CLIENT_TEMPLATE.FAT&amp;display_string=Audit&amp;VAR:KEY=LIJUPKTUVM&amp;VAR:QUERY=RkZfRUJJVERBX0lCKCdMVE1TJywzOTExMyk=&amp;WINDOW=FIRST_POPUP&amp;HEIGHT=450&amp;WIDTH=450&amp;START_MA","XIMIZED=FALSE&amp;VAR:CALENDAR=US&amp;VAR:SYMBOL=N0098510&amp;VAR:INDEX=0"}</definedName>
    <definedName name="_6600__FDSAUDITLINK__" hidden="1">{"fdsup://directions/FAT Viewer?action=UPDATE&amp;creator=factset&amp;DYN_ARGS=TRUE&amp;DOC_NAME=FAT:FQL_AUDITING_CLIENT_TEMPLATE.FAT&amp;display_string=Audit&amp;VAR:KEY=LIJUPKTUVM&amp;VAR:QUERY=RkZfRUJJVERBX0lCKCdMVE1TJywzOTExMyk=&amp;WINDOW=FIRST_POPUP&amp;HEIGHT=450&amp;WIDTH=450&amp;START_MA","XIMIZED=FALSE&amp;VAR:CALENDAR=US&amp;VAR:SYMBOL=N0098510&amp;VAR:INDEX=0"}</definedName>
    <definedName name="_6601__FDSAUDITLINK__" localSheetId="6" hidden="1">{"fdsup://directions/FAT Viewer?action=UPDATE&amp;creator=factset&amp;DYN_ARGS=TRUE&amp;DOC_NAME=FAT:FQL_AUDITING_CLIENT_TEMPLATE.FAT&amp;display_string=Audit&amp;VAR:KEY=DCVETUDIDE&amp;VAR:QUERY=RkZfRUJJVERBX0lCKCdMVE1TJywzOTExMik=&amp;WINDOW=FIRST_POPUP&amp;HEIGHT=450&amp;WIDTH=450&amp;START_MA","XIMIZED=FALSE&amp;VAR:CALENDAR=US&amp;VAR:SYMBOL=N0098510&amp;VAR:INDEX=0"}</definedName>
    <definedName name="_6601__FDSAUDITLINK__" hidden="1">{"fdsup://directions/FAT Viewer?action=UPDATE&amp;creator=factset&amp;DYN_ARGS=TRUE&amp;DOC_NAME=FAT:FQL_AUDITING_CLIENT_TEMPLATE.FAT&amp;display_string=Audit&amp;VAR:KEY=DCVETUDIDE&amp;VAR:QUERY=RkZfRUJJVERBX0lCKCdMVE1TJywzOTExMik=&amp;WINDOW=FIRST_POPUP&amp;HEIGHT=450&amp;WIDTH=450&amp;START_MA","XIMIZED=FALSE&amp;VAR:CALENDAR=US&amp;VAR:SYMBOL=N0098510&amp;VAR:INDEX=0"}</definedName>
    <definedName name="_6602__FDSAUDITLINK__" localSheetId="6" hidden="1">{"fdsup://directions/FAT Viewer?action=UPDATE&amp;creator=factset&amp;DYN_ARGS=TRUE&amp;DOC_NAME=FAT:FQL_AUDITING_CLIENT_TEMPLATE.FAT&amp;display_string=Audit&amp;VAR:KEY=BGFWBCTCXS&amp;VAR:QUERY=RkZfRUJJVERBX0lCKCdMVE1TJywzOTExMSk=&amp;WINDOW=FIRST_POPUP&amp;HEIGHT=450&amp;WIDTH=450&amp;START_MA","XIMIZED=FALSE&amp;VAR:CALENDAR=US&amp;VAR:SYMBOL=N0098510&amp;VAR:INDEX=0"}</definedName>
    <definedName name="_6602__FDSAUDITLINK__" hidden="1">{"fdsup://directions/FAT Viewer?action=UPDATE&amp;creator=factset&amp;DYN_ARGS=TRUE&amp;DOC_NAME=FAT:FQL_AUDITING_CLIENT_TEMPLATE.FAT&amp;display_string=Audit&amp;VAR:KEY=BGFWBCTCXS&amp;VAR:QUERY=RkZfRUJJVERBX0lCKCdMVE1TJywzOTExMSk=&amp;WINDOW=FIRST_POPUP&amp;HEIGHT=450&amp;WIDTH=450&amp;START_MA","XIMIZED=FALSE&amp;VAR:CALENDAR=US&amp;VAR:SYMBOL=N0098510&amp;VAR:INDEX=0"}</definedName>
    <definedName name="_6603__FDSAUDITLINK__" localSheetId="6" hidden="1">{"fdsup://directions/FAT Viewer?action=UPDATE&amp;creator=factset&amp;DYN_ARGS=TRUE&amp;DOC_NAME=FAT:FQL_AUDITING_CLIENT_TEMPLATE.FAT&amp;display_string=Audit&amp;VAR:KEY=FUHMTKZEPM&amp;VAR:QUERY=RkZfRUJJVERBX0lCKCdMVE1TJywzOTExMCk=&amp;WINDOW=FIRST_POPUP&amp;HEIGHT=450&amp;WIDTH=450&amp;START_MA","XIMIZED=FALSE&amp;VAR:CALENDAR=US&amp;VAR:SYMBOL=N0098510&amp;VAR:INDEX=0"}</definedName>
    <definedName name="_6603__FDSAUDITLINK__" hidden="1">{"fdsup://directions/FAT Viewer?action=UPDATE&amp;creator=factset&amp;DYN_ARGS=TRUE&amp;DOC_NAME=FAT:FQL_AUDITING_CLIENT_TEMPLATE.FAT&amp;display_string=Audit&amp;VAR:KEY=FUHMTKZEPM&amp;VAR:QUERY=RkZfRUJJVERBX0lCKCdMVE1TJywzOTExMCk=&amp;WINDOW=FIRST_POPUP&amp;HEIGHT=450&amp;WIDTH=450&amp;START_MA","XIMIZED=FALSE&amp;VAR:CALENDAR=US&amp;VAR:SYMBOL=N0098510&amp;VAR:INDEX=0"}</definedName>
    <definedName name="_6604__FDSAUDITLINK__" localSheetId="6" hidden="1">{"fdsup://directions/FAT Viewer?action=UPDATE&amp;creator=factset&amp;DYN_ARGS=TRUE&amp;DOC_NAME=FAT:FQL_AUDITING_CLIENT_TEMPLATE.FAT&amp;display_string=Audit&amp;VAR:KEY=FAVILEDKBK&amp;VAR:QUERY=RkZfRUJJVERBX0lCKCdMVE1TJywzOTEwOSk=&amp;WINDOW=FIRST_POPUP&amp;HEIGHT=450&amp;WIDTH=450&amp;START_MA","XIMIZED=FALSE&amp;VAR:CALENDAR=US&amp;VAR:SYMBOL=N0098510&amp;VAR:INDEX=0"}</definedName>
    <definedName name="_6604__FDSAUDITLINK__" hidden="1">{"fdsup://directions/FAT Viewer?action=UPDATE&amp;creator=factset&amp;DYN_ARGS=TRUE&amp;DOC_NAME=FAT:FQL_AUDITING_CLIENT_TEMPLATE.FAT&amp;display_string=Audit&amp;VAR:KEY=FAVILEDKBK&amp;VAR:QUERY=RkZfRUJJVERBX0lCKCdMVE1TJywzOTEwOSk=&amp;WINDOW=FIRST_POPUP&amp;HEIGHT=450&amp;WIDTH=450&amp;START_MA","XIMIZED=FALSE&amp;VAR:CALENDAR=US&amp;VAR:SYMBOL=N0098510&amp;VAR:INDEX=0"}</definedName>
    <definedName name="_6605__FDSAUDITLINK__" localSheetId="6" hidden="1">{"fdsup://directions/FAT Viewer?action=UPDATE&amp;creator=factset&amp;DYN_ARGS=TRUE&amp;DOC_NAME=FAT:FQL_AUDITING_CLIENT_TEMPLATE.FAT&amp;display_string=Audit&amp;VAR:KEY=FSRIDIXWHS&amp;VAR:QUERY=RkZfRUJJVERBX0lCKCdMVE1TJywzOTEwOCk=&amp;WINDOW=FIRST_POPUP&amp;HEIGHT=450&amp;WIDTH=450&amp;START_MA","XIMIZED=FALSE&amp;VAR:CALENDAR=US&amp;VAR:SYMBOL=N0098510&amp;VAR:INDEX=0"}</definedName>
    <definedName name="_6605__FDSAUDITLINK__" hidden="1">{"fdsup://directions/FAT Viewer?action=UPDATE&amp;creator=factset&amp;DYN_ARGS=TRUE&amp;DOC_NAME=FAT:FQL_AUDITING_CLIENT_TEMPLATE.FAT&amp;display_string=Audit&amp;VAR:KEY=FSRIDIXWHS&amp;VAR:QUERY=RkZfRUJJVERBX0lCKCdMVE1TJywzOTEwOCk=&amp;WINDOW=FIRST_POPUP&amp;HEIGHT=450&amp;WIDTH=450&amp;START_MA","XIMIZED=FALSE&amp;VAR:CALENDAR=US&amp;VAR:SYMBOL=N0098510&amp;VAR:INDEX=0"}</definedName>
    <definedName name="_6606__FDSAUDITLINK__" localSheetId="6" hidden="1">{"fdsup://directions/FAT Viewer?action=UPDATE&amp;creator=factset&amp;DYN_ARGS=TRUE&amp;DOC_NAME=FAT:FQL_AUDITING_CLIENT_TEMPLATE.FAT&amp;display_string=Audit&amp;VAR:KEY=LUJAJIJMHI&amp;VAR:QUERY=RkZfRUJJVERBX0lCKCdMVE1TJywzOTEwNyk=&amp;WINDOW=FIRST_POPUP&amp;HEIGHT=450&amp;WIDTH=450&amp;START_MA","XIMIZED=FALSE&amp;VAR:CALENDAR=US&amp;VAR:SYMBOL=N0098510&amp;VAR:INDEX=0"}</definedName>
    <definedName name="_6606__FDSAUDITLINK__" hidden="1">{"fdsup://directions/FAT Viewer?action=UPDATE&amp;creator=factset&amp;DYN_ARGS=TRUE&amp;DOC_NAME=FAT:FQL_AUDITING_CLIENT_TEMPLATE.FAT&amp;display_string=Audit&amp;VAR:KEY=LUJAJIJMHI&amp;VAR:QUERY=RkZfRUJJVERBX0lCKCdMVE1TJywzOTEwNyk=&amp;WINDOW=FIRST_POPUP&amp;HEIGHT=450&amp;WIDTH=450&amp;START_MA","XIMIZED=FALSE&amp;VAR:CALENDAR=US&amp;VAR:SYMBOL=N0098510&amp;VAR:INDEX=0"}</definedName>
    <definedName name="_6607__FDSAUDITLINK__" localSheetId="6" hidden="1">{"fdsup://directions/FAT Viewer?action=UPDATE&amp;creator=factset&amp;DYN_ARGS=TRUE&amp;DOC_NAME=FAT:FQL_AUDITING_CLIENT_TEMPLATE.FAT&amp;display_string=Audit&amp;VAR:KEY=TURADKPCPO&amp;VAR:QUERY=RkZfRUJJVERBX0lCKCdMVE1TJywzOTEwNik=&amp;WINDOW=FIRST_POPUP&amp;HEIGHT=450&amp;WIDTH=450&amp;START_MA","XIMIZED=FALSE&amp;VAR:CALENDAR=US&amp;VAR:SYMBOL=N0098510&amp;VAR:INDEX=0"}</definedName>
    <definedName name="_6607__FDSAUDITLINK__" hidden="1">{"fdsup://directions/FAT Viewer?action=UPDATE&amp;creator=factset&amp;DYN_ARGS=TRUE&amp;DOC_NAME=FAT:FQL_AUDITING_CLIENT_TEMPLATE.FAT&amp;display_string=Audit&amp;VAR:KEY=TURADKPCPO&amp;VAR:QUERY=RkZfRUJJVERBX0lCKCdMVE1TJywzOTEwNik=&amp;WINDOW=FIRST_POPUP&amp;HEIGHT=450&amp;WIDTH=450&amp;START_MA","XIMIZED=FALSE&amp;VAR:CALENDAR=US&amp;VAR:SYMBOL=N0098510&amp;VAR:INDEX=0"}</definedName>
    <definedName name="_6608__FDSAUDITLINK__" localSheetId="6" hidden="1">{"fdsup://directions/FAT Viewer?action=UPDATE&amp;creator=factset&amp;DYN_ARGS=TRUE&amp;DOC_NAME=FAT:FQL_AUDITING_CLIENT_TEMPLATE.FAT&amp;display_string=Audit&amp;VAR:KEY=PKVAVUPAHE&amp;VAR:QUERY=RkZfRUJJVERBX0lCKCdMVE1TJywzOTEwNSk=&amp;WINDOW=FIRST_POPUP&amp;HEIGHT=450&amp;WIDTH=450&amp;START_MA","XIMIZED=FALSE&amp;VAR:CALENDAR=US&amp;VAR:SYMBOL=N0098510&amp;VAR:INDEX=0"}</definedName>
    <definedName name="_6608__FDSAUDITLINK__" hidden="1">{"fdsup://directions/FAT Viewer?action=UPDATE&amp;creator=factset&amp;DYN_ARGS=TRUE&amp;DOC_NAME=FAT:FQL_AUDITING_CLIENT_TEMPLATE.FAT&amp;display_string=Audit&amp;VAR:KEY=PKVAVUPAHE&amp;VAR:QUERY=RkZfRUJJVERBX0lCKCdMVE1TJywzOTEwNSk=&amp;WINDOW=FIRST_POPUP&amp;HEIGHT=450&amp;WIDTH=450&amp;START_MA","XIMIZED=FALSE&amp;VAR:CALENDAR=US&amp;VAR:SYMBOL=N0098510&amp;VAR:INDEX=0"}</definedName>
    <definedName name="_6609__FDSAUDITLINK__" localSheetId="6" hidden="1">{"fdsup://directions/FAT Viewer?action=UPDATE&amp;creator=factset&amp;DYN_ARGS=TRUE&amp;DOC_NAME=FAT:FQL_AUDITING_CLIENT_TEMPLATE.FAT&amp;display_string=Audit&amp;VAR:KEY=LYLEBEXGZC&amp;VAR:QUERY=RkZfRUJJVERBX0lCKCdMVE1TJywzOTEwNCk=&amp;WINDOW=FIRST_POPUP&amp;HEIGHT=450&amp;WIDTH=450&amp;START_MA","XIMIZED=FALSE&amp;VAR:CALENDAR=US&amp;VAR:SYMBOL=N0098510&amp;VAR:INDEX=0"}</definedName>
    <definedName name="_6609__FDSAUDITLINK__" hidden="1">{"fdsup://directions/FAT Viewer?action=UPDATE&amp;creator=factset&amp;DYN_ARGS=TRUE&amp;DOC_NAME=FAT:FQL_AUDITING_CLIENT_TEMPLATE.FAT&amp;display_string=Audit&amp;VAR:KEY=LYLEBEXGZC&amp;VAR:QUERY=RkZfRUJJVERBX0lCKCdMVE1TJywzOTEwNCk=&amp;WINDOW=FIRST_POPUP&amp;HEIGHT=450&amp;WIDTH=450&amp;START_MA","XIMIZED=FALSE&amp;VAR:CALENDAR=US&amp;VAR:SYMBOL=N0098510&amp;VAR:INDEX=0"}</definedName>
    <definedName name="_661__FDSAUDITLINK__" localSheetId="6" hidden="1">{"fdsup://directions/FAT%20Viewer?VAR:PED=LTM&amp;VAR:AUDIT_MODE=SUMMARY&amp;VAR:PERIOD=FIXED&amp;VAR:AUDIT_ID=00000117&amp;VAR:DATE=20080501&amp;action=UPDATE&amp;creator=factset&amp;DOC_NAME=FAT:FMA_audit_SUMMARY.fat&amp;DISPLAY_STRING=Display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1__FDSAUDITLINK__" hidden="1">{"fdsup://directions/FAT%20Viewer?VAR:PED=LTM&amp;VAR:AUDIT_MODE=SUMMARY&amp;VAR:PERIOD=FIXED&amp;VAR:AUDIT_ID=00000117&amp;VAR:DATE=20080501&amp;action=UPDATE&amp;creator=factset&amp;DOC_NAME=FAT:FMA_audit_SUMMARY.fat&amp;DISPLAY_STRING=Display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10__FDSAUDITLINK__" localSheetId="6" hidden="1">{"fdsup://directions/FAT Viewer?action=UPDATE&amp;creator=factset&amp;DYN_ARGS=TRUE&amp;DOC_NAME=FAT:FQL_AUDITING_CLIENT_TEMPLATE.FAT&amp;display_string=Audit&amp;VAR:KEY=PEBOJMBMZG&amp;VAR:QUERY=RkZfRUJJVERBX0lCKCdMVE1TJywzOTEwMyk=&amp;WINDOW=FIRST_POPUP&amp;HEIGHT=450&amp;WIDTH=450&amp;START_MA","XIMIZED=FALSE&amp;VAR:CALENDAR=US&amp;VAR:SYMBOL=N0098510&amp;VAR:INDEX=0"}</definedName>
    <definedName name="_6610__FDSAUDITLINK__" hidden="1">{"fdsup://directions/FAT Viewer?action=UPDATE&amp;creator=factset&amp;DYN_ARGS=TRUE&amp;DOC_NAME=FAT:FQL_AUDITING_CLIENT_TEMPLATE.FAT&amp;display_string=Audit&amp;VAR:KEY=PEBOJMBMZG&amp;VAR:QUERY=RkZfRUJJVERBX0lCKCdMVE1TJywzOTEwMyk=&amp;WINDOW=FIRST_POPUP&amp;HEIGHT=450&amp;WIDTH=450&amp;START_MA","XIMIZED=FALSE&amp;VAR:CALENDAR=US&amp;VAR:SYMBOL=N0098510&amp;VAR:INDEX=0"}</definedName>
    <definedName name="_6611__FDSAUDITLINK__" localSheetId="6" hidden="1">{"fdsup://directions/FAT Viewer?action=UPDATE&amp;creator=factset&amp;DYN_ARGS=TRUE&amp;DOC_NAME=FAT:FQL_AUDITING_CLIENT_TEMPLATE.FAT&amp;display_string=Audit&amp;VAR:KEY=VENGTIVODU&amp;VAR:QUERY=RkZfRUJJVERBX0lCKCdMVE1TJywzOTEwMik=&amp;WINDOW=FIRST_POPUP&amp;HEIGHT=450&amp;WIDTH=450&amp;START_MA","XIMIZED=FALSE&amp;VAR:CALENDAR=US&amp;VAR:SYMBOL=N0098510&amp;VAR:INDEX=0"}</definedName>
    <definedName name="_6611__FDSAUDITLINK__" hidden="1">{"fdsup://directions/FAT Viewer?action=UPDATE&amp;creator=factset&amp;DYN_ARGS=TRUE&amp;DOC_NAME=FAT:FQL_AUDITING_CLIENT_TEMPLATE.FAT&amp;display_string=Audit&amp;VAR:KEY=VENGTIVODU&amp;VAR:QUERY=RkZfRUJJVERBX0lCKCdMVE1TJywzOTEwMik=&amp;WINDOW=FIRST_POPUP&amp;HEIGHT=450&amp;WIDTH=450&amp;START_MA","XIMIZED=FALSE&amp;VAR:CALENDAR=US&amp;VAR:SYMBOL=N0098510&amp;VAR:INDEX=0"}</definedName>
    <definedName name="_6612__FDSAUDITLINK__" localSheetId="6" hidden="1">{"fdsup://directions/FAT Viewer?action=UPDATE&amp;creator=factset&amp;DYN_ARGS=TRUE&amp;DOC_NAME=FAT:FQL_AUDITING_CLIENT_TEMPLATE.FAT&amp;display_string=Audit&amp;VAR:KEY=FWZEFOXYXI&amp;VAR:QUERY=RkZfRUJJVERBX0lCKCdMVE1TJywzOTEwMSk=&amp;WINDOW=FIRST_POPUP&amp;HEIGHT=450&amp;WIDTH=450&amp;START_MA","XIMIZED=FALSE&amp;VAR:CALENDAR=US&amp;VAR:SYMBOL=N0098510&amp;VAR:INDEX=0"}</definedName>
    <definedName name="_6612__FDSAUDITLINK__" hidden="1">{"fdsup://directions/FAT Viewer?action=UPDATE&amp;creator=factset&amp;DYN_ARGS=TRUE&amp;DOC_NAME=FAT:FQL_AUDITING_CLIENT_TEMPLATE.FAT&amp;display_string=Audit&amp;VAR:KEY=FWZEFOXYXI&amp;VAR:QUERY=RkZfRUJJVERBX0lCKCdMVE1TJywzOTEwMSk=&amp;WINDOW=FIRST_POPUP&amp;HEIGHT=450&amp;WIDTH=450&amp;START_MA","XIMIZED=FALSE&amp;VAR:CALENDAR=US&amp;VAR:SYMBOL=N0098510&amp;VAR:INDEX=0"}</definedName>
    <definedName name="_6613__FDSAUDITLINK__" localSheetId="6" hidden="1">{"fdsup://directions/FAT Viewer?action=UPDATE&amp;creator=factset&amp;DYN_ARGS=TRUE&amp;DOC_NAME=FAT:FQL_AUDITING_CLIENT_TEMPLATE.FAT&amp;display_string=Audit&amp;VAR:KEY=RGDAJABQHQ&amp;VAR:QUERY=RkZfRUJJVERBX0lCKCdMVE1TJywzOTEwMCk=&amp;WINDOW=FIRST_POPUP&amp;HEIGHT=450&amp;WIDTH=450&amp;START_MA","XIMIZED=FALSE&amp;VAR:CALENDAR=US&amp;VAR:SYMBOL=N0098510&amp;VAR:INDEX=0"}</definedName>
    <definedName name="_6613__FDSAUDITLINK__" hidden="1">{"fdsup://directions/FAT Viewer?action=UPDATE&amp;creator=factset&amp;DYN_ARGS=TRUE&amp;DOC_NAME=FAT:FQL_AUDITING_CLIENT_TEMPLATE.FAT&amp;display_string=Audit&amp;VAR:KEY=RGDAJABQHQ&amp;VAR:QUERY=RkZfRUJJVERBX0lCKCdMVE1TJywzOTEwMCk=&amp;WINDOW=FIRST_POPUP&amp;HEIGHT=450&amp;WIDTH=450&amp;START_MA","XIMIZED=FALSE&amp;VAR:CALENDAR=US&amp;VAR:SYMBOL=N0098510&amp;VAR:INDEX=0"}</definedName>
    <definedName name="_6614__FDSAUDITLINK__" localSheetId="6" hidden="1">{"fdsup://directions/FAT Viewer?action=UPDATE&amp;creator=factset&amp;DYN_ARGS=TRUE&amp;DOC_NAME=FAT:FQL_AUDITING_CLIENT_TEMPLATE.FAT&amp;display_string=Audit&amp;VAR:KEY=ZABOTYHAHK&amp;VAR:QUERY=RkZfRUJJVERBX0lCKCdMVE1TJywzOTA5OSk=&amp;WINDOW=FIRST_POPUP&amp;HEIGHT=450&amp;WIDTH=450&amp;START_MA","XIMIZED=FALSE&amp;VAR:CALENDAR=US&amp;VAR:SYMBOL=N0098510&amp;VAR:INDEX=0"}</definedName>
    <definedName name="_6614__FDSAUDITLINK__" hidden="1">{"fdsup://directions/FAT Viewer?action=UPDATE&amp;creator=factset&amp;DYN_ARGS=TRUE&amp;DOC_NAME=FAT:FQL_AUDITING_CLIENT_TEMPLATE.FAT&amp;display_string=Audit&amp;VAR:KEY=ZABOTYHAHK&amp;VAR:QUERY=RkZfRUJJVERBX0lCKCdMVE1TJywzOTA5OSk=&amp;WINDOW=FIRST_POPUP&amp;HEIGHT=450&amp;WIDTH=450&amp;START_MA","XIMIZED=FALSE&amp;VAR:CALENDAR=US&amp;VAR:SYMBOL=N0098510&amp;VAR:INDEX=0"}</definedName>
    <definedName name="_6615__FDSAUDITLINK__" localSheetId="6" hidden="1">{"fdsup://directions/FAT Viewer?action=UPDATE&amp;creator=factset&amp;DYN_ARGS=TRUE&amp;DOC_NAME=FAT:FQL_AUDITING_CLIENT_TEMPLATE.FAT&amp;display_string=Audit&amp;VAR:KEY=PIVUTYBQRK&amp;VAR:QUERY=RkZfRUJJVERBX0lCKCdMVE1TJywzOTA5OCk=&amp;WINDOW=FIRST_POPUP&amp;HEIGHT=450&amp;WIDTH=450&amp;START_MA","XIMIZED=FALSE&amp;VAR:CALENDAR=US&amp;VAR:SYMBOL=N0098510&amp;VAR:INDEX=0"}</definedName>
    <definedName name="_6615__FDSAUDITLINK__" hidden="1">{"fdsup://directions/FAT Viewer?action=UPDATE&amp;creator=factset&amp;DYN_ARGS=TRUE&amp;DOC_NAME=FAT:FQL_AUDITING_CLIENT_TEMPLATE.FAT&amp;display_string=Audit&amp;VAR:KEY=PIVUTYBQRK&amp;VAR:QUERY=RkZfRUJJVERBX0lCKCdMVE1TJywzOTA5OCk=&amp;WINDOW=FIRST_POPUP&amp;HEIGHT=450&amp;WIDTH=450&amp;START_MA","XIMIZED=FALSE&amp;VAR:CALENDAR=US&amp;VAR:SYMBOL=N0098510&amp;VAR:INDEX=0"}</definedName>
    <definedName name="_6616__FDSAUDITLINK__" localSheetId="6" hidden="1">{"fdsup://directions/FAT Viewer?action=UPDATE&amp;creator=factset&amp;DYN_ARGS=TRUE&amp;DOC_NAME=FAT:FQL_AUDITING_CLIENT_TEMPLATE.FAT&amp;display_string=Audit&amp;VAR:KEY=BUXYHUFMNU&amp;VAR:QUERY=RkZfRUJJVERBX0lCKCdMVE1TJywzOTA5Nyk=&amp;WINDOW=FIRST_POPUP&amp;HEIGHT=450&amp;WIDTH=450&amp;START_MA","XIMIZED=FALSE&amp;VAR:CALENDAR=US&amp;VAR:SYMBOL=N0098510&amp;VAR:INDEX=0"}</definedName>
    <definedName name="_6616__FDSAUDITLINK__" hidden="1">{"fdsup://directions/FAT Viewer?action=UPDATE&amp;creator=factset&amp;DYN_ARGS=TRUE&amp;DOC_NAME=FAT:FQL_AUDITING_CLIENT_TEMPLATE.FAT&amp;display_string=Audit&amp;VAR:KEY=BUXYHUFMNU&amp;VAR:QUERY=RkZfRUJJVERBX0lCKCdMVE1TJywzOTA5Nyk=&amp;WINDOW=FIRST_POPUP&amp;HEIGHT=450&amp;WIDTH=450&amp;START_MA","XIMIZED=FALSE&amp;VAR:CALENDAR=US&amp;VAR:SYMBOL=N0098510&amp;VAR:INDEX=0"}</definedName>
    <definedName name="_6617__FDSAUDITLINK__" localSheetId="6" hidden="1">{"fdsup://directions/FAT Viewer?action=UPDATE&amp;creator=factset&amp;DYN_ARGS=TRUE&amp;DOC_NAME=FAT:FQL_AUDITING_CLIENT_TEMPLATE.FAT&amp;display_string=Audit&amp;VAR:KEY=PKPCJEBQTG&amp;VAR:QUERY=RkZfRUJJVERBX0lCKCdMVE1TJywzOTA5Nik=&amp;WINDOW=FIRST_POPUP&amp;HEIGHT=450&amp;WIDTH=450&amp;START_MA","XIMIZED=FALSE&amp;VAR:CALENDAR=US&amp;VAR:SYMBOL=N0098510&amp;VAR:INDEX=0"}</definedName>
    <definedName name="_6617__FDSAUDITLINK__" hidden="1">{"fdsup://directions/FAT Viewer?action=UPDATE&amp;creator=factset&amp;DYN_ARGS=TRUE&amp;DOC_NAME=FAT:FQL_AUDITING_CLIENT_TEMPLATE.FAT&amp;display_string=Audit&amp;VAR:KEY=PKPCJEBQTG&amp;VAR:QUERY=RkZfRUJJVERBX0lCKCdMVE1TJywzOTA5Nik=&amp;WINDOW=FIRST_POPUP&amp;HEIGHT=450&amp;WIDTH=450&amp;START_MA","XIMIZED=FALSE&amp;VAR:CALENDAR=US&amp;VAR:SYMBOL=N0098510&amp;VAR:INDEX=0"}</definedName>
    <definedName name="_6618__FDSAUDITLINK__" localSheetId="6" hidden="1">{"fdsup://directions/FAT Viewer?action=UPDATE&amp;creator=factset&amp;DYN_ARGS=TRUE&amp;DOC_NAME=FAT:FQL_AUDITING_CLIENT_TEMPLATE.FAT&amp;display_string=Audit&amp;VAR:KEY=BALAFGVMVY&amp;VAR:QUERY=RkZfRUJJVERBX0lCKCdMVE1TJywzOTA5NSk=&amp;WINDOW=FIRST_POPUP&amp;HEIGHT=450&amp;WIDTH=450&amp;START_MA","XIMIZED=FALSE&amp;VAR:CALENDAR=US&amp;VAR:SYMBOL=N0098510&amp;VAR:INDEX=0"}</definedName>
    <definedName name="_6618__FDSAUDITLINK__" hidden="1">{"fdsup://directions/FAT Viewer?action=UPDATE&amp;creator=factset&amp;DYN_ARGS=TRUE&amp;DOC_NAME=FAT:FQL_AUDITING_CLIENT_TEMPLATE.FAT&amp;display_string=Audit&amp;VAR:KEY=BALAFGVMVY&amp;VAR:QUERY=RkZfRUJJVERBX0lCKCdMVE1TJywzOTA5NSk=&amp;WINDOW=FIRST_POPUP&amp;HEIGHT=450&amp;WIDTH=450&amp;START_MA","XIMIZED=FALSE&amp;VAR:CALENDAR=US&amp;VAR:SYMBOL=N0098510&amp;VAR:INDEX=0"}</definedName>
    <definedName name="_6619__FDSAUDITLINK__" localSheetId="6" hidden="1">{"fdsup://directions/FAT Viewer?action=UPDATE&amp;creator=factset&amp;DYN_ARGS=TRUE&amp;DOC_NAME=FAT:FQL_AUDITING_CLIENT_TEMPLATE.FAT&amp;display_string=Audit&amp;VAR:KEY=REJWDWFYNM&amp;VAR:QUERY=RkZfRUJJVERBX0lCKCdMVE1TJywzOTA5NCk=&amp;WINDOW=FIRST_POPUP&amp;HEIGHT=450&amp;WIDTH=450&amp;START_MA","XIMIZED=FALSE&amp;VAR:CALENDAR=US&amp;VAR:SYMBOL=N0098510&amp;VAR:INDEX=0"}</definedName>
    <definedName name="_6619__FDSAUDITLINK__" hidden="1">{"fdsup://directions/FAT Viewer?action=UPDATE&amp;creator=factset&amp;DYN_ARGS=TRUE&amp;DOC_NAME=FAT:FQL_AUDITING_CLIENT_TEMPLATE.FAT&amp;display_string=Audit&amp;VAR:KEY=REJWDWFYNM&amp;VAR:QUERY=RkZfRUJJVERBX0lCKCdMVE1TJywzOTA5NCk=&amp;WINDOW=FIRST_POPUP&amp;HEIGHT=450&amp;WIDTH=450&amp;START_MA","XIMIZED=FALSE&amp;VAR:CALENDAR=US&amp;VAR:SYMBOL=N0098510&amp;VAR:INDEX=0"}</definedName>
    <definedName name="_662__FDSAUDITLINK__" localSheetId="6" hidden="1">{"fdsup://directions/FAT%20Viewer?VAR:PED=LTM&amp;VAR:AUDIT_MODE=SUMMARY&amp;VAR:PERIOD=FIXED&amp;VAR:AUDIT_ID=00000117&amp;VAR:DATE=20080430&amp;action=UPDATE&amp;creator=factset&amp;DOC_NAME=FAT:FMA_audit_SUMMARY.fat&amp;DISPLAY_STRING=Display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2__FDSAUDITLINK__" hidden="1">{"fdsup://directions/FAT%20Viewer?VAR:PED=LTM&amp;VAR:AUDIT_MODE=SUMMARY&amp;VAR:PERIOD=FIXED&amp;VAR:AUDIT_ID=00000117&amp;VAR:DATE=20080430&amp;action=UPDATE&amp;creator=factset&amp;DOC_NAME=FAT:FMA_audit_SUMMARY.fat&amp;DISPLAY_STRING=Display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EBITDA&amp;VAR:CHGPERIOD=NA&amp;VAR:FQLFORMULA=FMA_EVAL_EBITDA&amp;VAR:CURRENCY=NA&amp;VAR:P=NA&amp;VAR:V=10.7","31368&amp;VAR:null=.html"}</definedName>
    <definedName name="_6620__FDSAUDITLINK__" localSheetId="6" hidden="1">{"fdsup://directions/FAT Viewer?action=UPDATE&amp;creator=factset&amp;DYN_ARGS=TRUE&amp;DOC_NAME=FAT:FQL_AUDITING_CLIENT_TEMPLATE.FAT&amp;display_string=Audit&amp;VAR:KEY=LKHILGVUHE&amp;VAR:QUERY=RkZfRUJJVERBX0lCKCdMVE1TJywzOTA5Myk=&amp;WINDOW=FIRST_POPUP&amp;HEIGHT=450&amp;WIDTH=450&amp;START_MA","XIMIZED=FALSE&amp;VAR:CALENDAR=US&amp;VAR:SYMBOL=N0098510&amp;VAR:INDEX=0"}</definedName>
    <definedName name="_6620__FDSAUDITLINK__" hidden="1">{"fdsup://directions/FAT Viewer?action=UPDATE&amp;creator=factset&amp;DYN_ARGS=TRUE&amp;DOC_NAME=FAT:FQL_AUDITING_CLIENT_TEMPLATE.FAT&amp;display_string=Audit&amp;VAR:KEY=LKHILGVUHE&amp;VAR:QUERY=RkZfRUJJVERBX0lCKCdMVE1TJywzOTA5Myk=&amp;WINDOW=FIRST_POPUP&amp;HEIGHT=450&amp;WIDTH=450&amp;START_MA","XIMIZED=FALSE&amp;VAR:CALENDAR=US&amp;VAR:SYMBOL=N0098510&amp;VAR:INDEX=0"}</definedName>
    <definedName name="_6621__FDSAUDITLINK__" localSheetId="6" hidden="1">{"fdsup://directions/FAT Viewer?action=UPDATE&amp;creator=factset&amp;DYN_ARGS=TRUE&amp;DOC_NAME=FAT:FQL_AUDITING_CLIENT_TEMPLATE.FAT&amp;display_string=Audit&amp;VAR:KEY=PMBMZOHCJO&amp;VAR:QUERY=RkZfRUJJVERBX0lCKCdMVE1TJywzOTA5Mik=&amp;WINDOW=FIRST_POPUP&amp;HEIGHT=450&amp;WIDTH=450&amp;START_MA","XIMIZED=FALSE&amp;VAR:CALENDAR=US&amp;VAR:SYMBOL=N0098510&amp;VAR:INDEX=0"}</definedName>
    <definedName name="_6621__FDSAUDITLINK__" hidden="1">{"fdsup://directions/FAT Viewer?action=UPDATE&amp;creator=factset&amp;DYN_ARGS=TRUE&amp;DOC_NAME=FAT:FQL_AUDITING_CLIENT_TEMPLATE.FAT&amp;display_string=Audit&amp;VAR:KEY=PMBMZOHCJO&amp;VAR:QUERY=RkZfRUJJVERBX0lCKCdMVE1TJywzOTA5Mik=&amp;WINDOW=FIRST_POPUP&amp;HEIGHT=450&amp;WIDTH=450&amp;START_MA","XIMIZED=FALSE&amp;VAR:CALENDAR=US&amp;VAR:SYMBOL=N0098510&amp;VAR:INDEX=0"}</definedName>
    <definedName name="_6622__FDSAUDITLINK__" localSheetId="6" hidden="1">{"fdsup://directions/FAT Viewer?action=UPDATE&amp;creator=factset&amp;DYN_ARGS=TRUE&amp;DOC_NAME=FAT:FQL_AUDITING_CLIENT_TEMPLATE.FAT&amp;display_string=Audit&amp;VAR:KEY=ZALYBEXEXS&amp;VAR:QUERY=RkZfRUJJVERBX0lCKCdMVE1TJywzOTA5MSk=&amp;WINDOW=FIRST_POPUP&amp;HEIGHT=450&amp;WIDTH=450&amp;START_MA","XIMIZED=FALSE&amp;VAR:CALENDAR=US&amp;VAR:SYMBOL=N0098510&amp;VAR:INDEX=0"}</definedName>
    <definedName name="_6622__FDSAUDITLINK__" hidden="1">{"fdsup://directions/FAT Viewer?action=UPDATE&amp;creator=factset&amp;DYN_ARGS=TRUE&amp;DOC_NAME=FAT:FQL_AUDITING_CLIENT_TEMPLATE.FAT&amp;display_string=Audit&amp;VAR:KEY=ZALYBEXEXS&amp;VAR:QUERY=RkZfRUJJVERBX0lCKCdMVE1TJywzOTA5MSk=&amp;WINDOW=FIRST_POPUP&amp;HEIGHT=450&amp;WIDTH=450&amp;START_MA","XIMIZED=FALSE&amp;VAR:CALENDAR=US&amp;VAR:SYMBOL=N0098510&amp;VAR:INDEX=0"}</definedName>
    <definedName name="_6623__FDSAUDITLINK__" localSheetId="6" hidden="1">{"fdsup://directions/FAT Viewer?action=UPDATE&amp;creator=factset&amp;DYN_ARGS=TRUE&amp;DOC_NAME=FAT:FQL_AUDITING_CLIENT_TEMPLATE.FAT&amp;display_string=Audit&amp;VAR:KEY=LIJGBCZQJG&amp;VAR:QUERY=RkZfRUJJVERBX0lCKCdMVE1TJywzOTA5MCk=&amp;WINDOW=FIRST_POPUP&amp;HEIGHT=450&amp;WIDTH=450&amp;START_MA","XIMIZED=FALSE&amp;VAR:CALENDAR=US&amp;VAR:SYMBOL=N0098510&amp;VAR:INDEX=0"}</definedName>
    <definedName name="_6623__FDSAUDITLINK__" hidden="1">{"fdsup://directions/FAT Viewer?action=UPDATE&amp;creator=factset&amp;DYN_ARGS=TRUE&amp;DOC_NAME=FAT:FQL_AUDITING_CLIENT_TEMPLATE.FAT&amp;display_string=Audit&amp;VAR:KEY=LIJGBCZQJG&amp;VAR:QUERY=RkZfRUJJVERBX0lCKCdMVE1TJywzOTA5MCk=&amp;WINDOW=FIRST_POPUP&amp;HEIGHT=450&amp;WIDTH=450&amp;START_MA","XIMIZED=FALSE&amp;VAR:CALENDAR=US&amp;VAR:SYMBOL=N0098510&amp;VAR:INDEX=0"}</definedName>
    <definedName name="_6624__FDSAUDITLINK__" localSheetId="6" hidden="1">{"fdsup://directions/FAT Viewer?action=UPDATE&amp;creator=factset&amp;DYN_ARGS=TRUE&amp;DOC_NAME=FAT:FQL_AUDITING_CLIENT_TEMPLATE.FAT&amp;display_string=Audit&amp;VAR:KEY=TIBWZOJMPY&amp;VAR:QUERY=RkZfRUJJVERBX0lCKCdMVE1TJywzOTA4OSk=&amp;WINDOW=FIRST_POPUP&amp;HEIGHT=450&amp;WIDTH=450&amp;START_MA","XIMIZED=FALSE&amp;VAR:CALENDAR=US&amp;VAR:SYMBOL=N0098510&amp;VAR:INDEX=0"}</definedName>
    <definedName name="_6624__FDSAUDITLINK__" hidden="1">{"fdsup://directions/FAT Viewer?action=UPDATE&amp;creator=factset&amp;DYN_ARGS=TRUE&amp;DOC_NAME=FAT:FQL_AUDITING_CLIENT_TEMPLATE.FAT&amp;display_string=Audit&amp;VAR:KEY=TIBWZOJMPY&amp;VAR:QUERY=RkZfRUJJVERBX0lCKCdMVE1TJywzOTA4OSk=&amp;WINDOW=FIRST_POPUP&amp;HEIGHT=450&amp;WIDTH=450&amp;START_MA","XIMIZED=FALSE&amp;VAR:CALENDAR=US&amp;VAR:SYMBOL=N0098510&amp;VAR:INDEX=0"}</definedName>
    <definedName name="_6625__FDSAUDITLINK__" localSheetId="6" hidden="1">{"fdsup://directions/FAT Viewer?action=UPDATE&amp;creator=factset&amp;DYN_ARGS=TRUE&amp;DOC_NAME=FAT:FQL_AUDITING_CLIENT_TEMPLATE.FAT&amp;display_string=Audit&amp;VAR:KEY=RSNETIFABK&amp;VAR:QUERY=RkZfRUJJVERBX0lCKCdMVE1TJywzOTA4OCk=&amp;WINDOW=FIRST_POPUP&amp;HEIGHT=450&amp;WIDTH=450&amp;START_MA","XIMIZED=FALSE&amp;VAR:CALENDAR=US&amp;VAR:SYMBOL=N0098510&amp;VAR:INDEX=0"}</definedName>
    <definedName name="_6625__FDSAUDITLINK__" hidden="1">{"fdsup://directions/FAT Viewer?action=UPDATE&amp;creator=factset&amp;DYN_ARGS=TRUE&amp;DOC_NAME=FAT:FQL_AUDITING_CLIENT_TEMPLATE.FAT&amp;display_string=Audit&amp;VAR:KEY=RSNETIFABK&amp;VAR:QUERY=RkZfRUJJVERBX0lCKCdMVE1TJywzOTA4OCk=&amp;WINDOW=FIRST_POPUP&amp;HEIGHT=450&amp;WIDTH=450&amp;START_MA","XIMIZED=FALSE&amp;VAR:CALENDAR=US&amp;VAR:SYMBOL=N0098510&amp;VAR:INDEX=0"}</definedName>
    <definedName name="_6626__FDSAUDITLINK__" localSheetId="6" hidden="1">{"fdsup://directions/FAT Viewer?action=UPDATE&amp;creator=factset&amp;DYN_ARGS=TRUE&amp;DOC_NAME=FAT:FQL_AUDITING_CLIENT_TEMPLATE.FAT&amp;display_string=Audit&amp;VAR:KEY=ROFSPODILM&amp;VAR:QUERY=RkZfRUJJVERBX0lCKCdMVE1TJywzOTA4Nyk=&amp;WINDOW=FIRST_POPUP&amp;HEIGHT=450&amp;WIDTH=450&amp;START_MA","XIMIZED=FALSE&amp;VAR:CALENDAR=US&amp;VAR:SYMBOL=N0098510&amp;VAR:INDEX=0"}</definedName>
    <definedName name="_6626__FDSAUDITLINK__" hidden="1">{"fdsup://directions/FAT Viewer?action=UPDATE&amp;creator=factset&amp;DYN_ARGS=TRUE&amp;DOC_NAME=FAT:FQL_AUDITING_CLIENT_TEMPLATE.FAT&amp;display_string=Audit&amp;VAR:KEY=ROFSPODILM&amp;VAR:QUERY=RkZfRUJJVERBX0lCKCdMVE1TJywzOTA4Nyk=&amp;WINDOW=FIRST_POPUP&amp;HEIGHT=450&amp;WIDTH=450&amp;START_MA","XIMIZED=FALSE&amp;VAR:CALENDAR=US&amp;VAR:SYMBOL=N0098510&amp;VAR:INDEX=0"}</definedName>
    <definedName name="_6627__FDSAUDITLINK__" localSheetId="6" hidden="1">{"fdsup://directions/FAT Viewer?action=UPDATE&amp;creator=factset&amp;DYN_ARGS=TRUE&amp;DOC_NAME=FAT:FQL_AUDITING_CLIENT_TEMPLATE.FAT&amp;display_string=Audit&amp;VAR:KEY=DSHKJGFELY&amp;VAR:QUERY=RkZfRUJJVERBX0lCKCdMVE1TJywzOTA4Nik=&amp;WINDOW=FIRST_POPUP&amp;HEIGHT=450&amp;WIDTH=450&amp;START_MA","XIMIZED=FALSE&amp;VAR:CALENDAR=US&amp;VAR:SYMBOL=N0098510&amp;VAR:INDEX=0"}</definedName>
    <definedName name="_6627__FDSAUDITLINK__" hidden="1">{"fdsup://directions/FAT Viewer?action=UPDATE&amp;creator=factset&amp;DYN_ARGS=TRUE&amp;DOC_NAME=FAT:FQL_AUDITING_CLIENT_TEMPLATE.FAT&amp;display_string=Audit&amp;VAR:KEY=DSHKJGFELY&amp;VAR:QUERY=RkZfRUJJVERBX0lCKCdMVE1TJywzOTA4Nik=&amp;WINDOW=FIRST_POPUP&amp;HEIGHT=450&amp;WIDTH=450&amp;START_MA","XIMIZED=FALSE&amp;VAR:CALENDAR=US&amp;VAR:SYMBOL=N0098510&amp;VAR:INDEX=0"}</definedName>
    <definedName name="_6628__FDSAUDITLINK__" localSheetId="6" hidden="1">{"fdsup://directions/FAT Viewer?action=UPDATE&amp;creator=factset&amp;DYN_ARGS=TRUE&amp;DOC_NAME=FAT:FQL_AUDITING_CLIENT_TEMPLATE.FAT&amp;display_string=Audit&amp;VAR:KEY=TMXMROVKLY&amp;VAR:QUERY=RkZfRUJJVERBX0lCKCdMVE1TJywzOTA4NSk=&amp;WINDOW=FIRST_POPUP&amp;HEIGHT=450&amp;WIDTH=450&amp;START_MA","XIMIZED=FALSE&amp;VAR:CALENDAR=US&amp;VAR:SYMBOL=N0098510&amp;VAR:INDEX=0"}</definedName>
    <definedName name="_6628__FDSAUDITLINK__" hidden="1">{"fdsup://directions/FAT Viewer?action=UPDATE&amp;creator=factset&amp;DYN_ARGS=TRUE&amp;DOC_NAME=FAT:FQL_AUDITING_CLIENT_TEMPLATE.FAT&amp;display_string=Audit&amp;VAR:KEY=TMXMROVKLY&amp;VAR:QUERY=RkZfRUJJVERBX0lCKCdMVE1TJywzOTA4NSk=&amp;WINDOW=FIRST_POPUP&amp;HEIGHT=450&amp;WIDTH=450&amp;START_MA","XIMIZED=FALSE&amp;VAR:CALENDAR=US&amp;VAR:SYMBOL=N0098510&amp;VAR:INDEX=0"}</definedName>
    <definedName name="_6629__FDSAUDITLINK__" localSheetId="6" hidden="1">{"fdsup://directions/FAT Viewer?action=UPDATE&amp;creator=factset&amp;DYN_ARGS=TRUE&amp;DOC_NAME=FAT:FQL_AUDITING_CLIENT_TEMPLATE.FAT&amp;display_string=Audit&amp;VAR:KEY=JCXMBWDKRM&amp;VAR:QUERY=RkZfRUJJVERBX0lCKCdMVE1TJywzOTA4NCk=&amp;WINDOW=FIRST_POPUP&amp;HEIGHT=450&amp;WIDTH=450&amp;START_MA","XIMIZED=FALSE&amp;VAR:CALENDAR=US&amp;VAR:SYMBOL=N0098510&amp;VAR:INDEX=0"}</definedName>
    <definedName name="_6629__FDSAUDITLINK__" hidden="1">{"fdsup://directions/FAT Viewer?action=UPDATE&amp;creator=factset&amp;DYN_ARGS=TRUE&amp;DOC_NAME=FAT:FQL_AUDITING_CLIENT_TEMPLATE.FAT&amp;display_string=Audit&amp;VAR:KEY=JCXMBWDKRM&amp;VAR:QUERY=RkZfRUJJVERBX0lCKCdMVE1TJywzOTA4NCk=&amp;WINDOW=FIRST_POPUP&amp;HEIGHT=450&amp;WIDTH=450&amp;START_MA","XIMIZED=FALSE&amp;VAR:CALENDAR=US&amp;VAR:SYMBOL=N0098510&amp;VAR:INDEX=0"}</definedName>
    <definedName name="_663__FDSAUDITLINK__" localSheetId="6" hidden="1">{"fdsup://directions/FAT%20Viewer?VAR:PED=LTM&amp;VAR:AUDIT_MODE=SUMMARY&amp;VAR:PERIOD=FIXED&amp;VAR:AUDIT_ID=00000117&amp;VAR:DATE=20080429&amp;action=UPDATE&amp;creator=factset&amp;DOC_NAME=FAT:FMA_audit_SUMMARY.fat&amp;DISPLAY_STRING=Display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3__FDSAUDITLINK__" hidden="1">{"fdsup://directions/FAT%20Viewer?VAR:PED=LTM&amp;VAR:AUDIT_MODE=SUMMARY&amp;VAR:PERIOD=FIXED&amp;VAR:AUDIT_ID=00000117&amp;VAR:DATE=20080429&amp;action=UPDATE&amp;creator=factset&amp;DOC_NAME=FAT:FMA_audit_SUMMARY.fat&amp;DISPLAY_STRING=Display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30__FDSAUDITLINK__" localSheetId="6" hidden="1">{"fdsup://directions/FAT Viewer?action=UPDATE&amp;creator=factset&amp;DYN_ARGS=TRUE&amp;DOC_NAME=FAT:FQL_AUDITING_CLIENT_TEMPLATE.FAT&amp;display_string=Audit&amp;VAR:KEY=NABETWTIBW&amp;VAR:QUERY=RkZfRUJJVERBX0lCKCdMVE1TJywzOTA4Myk=&amp;WINDOW=FIRST_POPUP&amp;HEIGHT=450&amp;WIDTH=450&amp;START_MA","XIMIZED=FALSE&amp;VAR:CALENDAR=US&amp;VAR:SYMBOL=N0098510&amp;VAR:INDEX=0"}</definedName>
    <definedName name="_6630__FDSAUDITLINK__" hidden="1">{"fdsup://directions/FAT Viewer?action=UPDATE&amp;creator=factset&amp;DYN_ARGS=TRUE&amp;DOC_NAME=FAT:FQL_AUDITING_CLIENT_TEMPLATE.FAT&amp;display_string=Audit&amp;VAR:KEY=NABETWTIBW&amp;VAR:QUERY=RkZfRUJJVERBX0lCKCdMVE1TJywzOTA4Myk=&amp;WINDOW=FIRST_POPUP&amp;HEIGHT=450&amp;WIDTH=450&amp;START_MA","XIMIZED=FALSE&amp;VAR:CALENDAR=US&amp;VAR:SYMBOL=N0098510&amp;VAR:INDEX=0"}</definedName>
    <definedName name="_6631__FDSAUDITLINK__" localSheetId="6" hidden="1">{"fdsup://directions/FAT Viewer?action=UPDATE&amp;creator=factset&amp;DYN_ARGS=TRUE&amp;DOC_NAME=FAT:FQL_AUDITING_CLIENT_TEMPLATE.FAT&amp;display_string=Audit&amp;VAR:KEY=VKZQNKBUHA&amp;VAR:QUERY=RkZfRUJJVERBX0lCKCdMVE1TJywzOTA4Mik=&amp;WINDOW=FIRST_POPUP&amp;HEIGHT=450&amp;WIDTH=450&amp;START_MA","XIMIZED=FALSE&amp;VAR:CALENDAR=US&amp;VAR:SYMBOL=N0098510&amp;VAR:INDEX=0"}</definedName>
    <definedName name="_6631__FDSAUDITLINK__" hidden="1">{"fdsup://directions/FAT Viewer?action=UPDATE&amp;creator=factset&amp;DYN_ARGS=TRUE&amp;DOC_NAME=FAT:FQL_AUDITING_CLIENT_TEMPLATE.FAT&amp;display_string=Audit&amp;VAR:KEY=VKZQNKBUHA&amp;VAR:QUERY=RkZfRUJJVERBX0lCKCdMVE1TJywzOTA4Mik=&amp;WINDOW=FIRST_POPUP&amp;HEIGHT=450&amp;WIDTH=450&amp;START_MA","XIMIZED=FALSE&amp;VAR:CALENDAR=US&amp;VAR:SYMBOL=N0098510&amp;VAR:INDEX=0"}</definedName>
    <definedName name="_6632__FDSAUDITLINK__" localSheetId="6" hidden="1">{"fdsup://directions/FAT Viewer?action=UPDATE&amp;creator=factset&amp;DYN_ARGS=TRUE&amp;DOC_NAME=FAT:FQL_AUDITING_CLIENT_TEMPLATE.FAT&amp;display_string=Audit&amp;VAR:KEY=HWBYPORADK&amp;VAR:QUERY=RkZfRUJJVERBX0lCKCdMVE1TJywzOTA4MSk=&amp;WINDOW=FIRST_POPUP&amp;HEIGHT=450&amp;WIDTH=450&amp;START_MA","XIMIZED=FALSE&amp;VAR:CALENDAR=US&amp;VAR:SYMBOL=N0098510&amp;VAR:INDEX=0"}</definedName>
    <definedName name="_6632__FDSAUDITLINK__" hidden="1">{"fdsup://directions/FAT Viewer?action=UPDATE&amp;creator=factset&amp;DYN_ARGS=TRUE&amp;DOC_NAME=FAT:FQL_AUDITING_CLIENT_TEMPLATE.FAT&amp;display_string=Audit&amp;VAR:KEY=HWBYPORADK&amp;VAR:QUERY=RkZfRUJJVERBX0lCKCdMVE1TJywzOTA4MSk=&amp;WINDOW=FIRST_POPUP&amp;HEIGHT=450&amp;WIDTH=450&amp;START_MA","XIMIZED=FALSE&amp;VAR:CALENDAR=US&amp;VAR:SYMBOL=N0098510&amp;VAR:INDEX=0"}</definedName>
    <definedName name="_6633__FDSAUDITLINK__" localSheetId="6" hidden="1">{"fdsup://directions/FAT Viewer?action=UPDATE&amp;creator=factset&amp;DYN_ARGS=TRUE&amp;DOC_NAME=FAT:FQL_AUDITING_CLIENT_TEMPLATE.FAT&amp;display_string=Audit&amp;VAR:KEY=HAPCTMBOJK&amp;VAR:QUERY=RkZfRUJJVERBX0lCKCdMVE1TJywzOTA4MCk=&amp;WINDOW=FIRST_POPUP&amp;HEIGHT=450&amp;WIDTH=450&amp;START_MA","XIMIZED=FALSE&amp;VAR:CALENDAR=US&amp;VAR:SYMBOL=N0098510&amp;VAR:INDEX=0"}</definedName>
    <definedName name="_6633__FDSAUDITLINK__" hidden="1">{"fdsup://directions/FAT Viewer?action=UPDATE&amp;creator=factset&amp;DYN_ARGS=TRUE&amp;DOC_NAME=FAT:FQL_AUDITING_CLIENT_TEMPLATE.FAT&amp;display_string=Audit&amp;VAR:KEY=HAPCTMBOJK&amp;VAR:QUERY=RkZfRUJJVERBX0lCKCdMVE1TJywzOTA4MCk=&amp;WINDOW=FIRST_POPUP&amp;HEIGHT=450&amp;WIDTH=450&amp;START_MA","XIMIZED=FALSE&amp;VAR:CALENDAR=US&amp;VAR:SYMBOL=N0098510&amp;VAR:INDEX=0"}</definedName>
    <definedName name="_6634__FDSAUDITLINK__" localSheetId="6" hidden="1">{"fdsup://directions/FAT Viewer?action=UPDATE&amp;creator=factset&amp;DYN_ARGS=TRUE&amp;DOC_NAME=FAT:FQL_AUDITING_CLIENT_TEMPLATE.FAT&amp;display_string=Audit&amp;VAR:KEY=BEBONGPMRU&amp;VAR:QUERY=RkZfRUJJVERBX0lCKCdMVE1TJywzOTA3OSk=&amp;WINDOW=FIRST_POPUP&amp;HEIGHT=450&amp;WIDTH=450&amp;START_MA","XIMIZED=FALSE&amp;VAR:CALENDAR=US&amp;VAR:SYMBOL=N0098510&amp;VAR:INDEX=0"}</definedName>
    <definedName name="_6634__FDSAUDITLINK__" hidden="1">{"fdsup://directions/FAT Viewer?action=UPDATE&amp;creator=factset&amp;DYN_ARGS=TRUE&amp;DOC_NAME=FAT:FQL_AUDITING_CLIENT_TEMPLATE.FAT&amp;display_string=Audit&amp;VAR:KEY=BEBONGPMRU&amp;VAR:QUERY=RkZfRUJJVERBX0lCKCdMVE1TJywzOTA3OSk=&amp;WINDOW=FIRST_POPUP&amp;HEIGHT=450&amp;WIDTH=450&amp;START_MA","XIMIZED=FALSE&amp;VAR:CALENDAR=US&amp;VAR:SYMBOL=N0098510&amp;VAR:INDEX=0"}</definedName>
    <definedName name="_6635__FDSAUDITLINK__" localSheetId="6" hidden="1">{"fdsup://directions/FAT Viewer?action=UPDATE&amp;creator=factset&amp;DYN_ARGS=TRUE&amp;DOC_NAME=FAT:FQL_AUDITING_CLIENT_TEMPLATE.FAT&amp;display_string=Audit&amp;VAR:KEY=LMLGPEVOXC&amp;VAR:QUERY=RkZfRUJJVERBX0lCKCdMVE1TJywzOTA3OCk=&amp;WINDOW=FIRST_POPUP&amp;HEIGHT=450&amp;WIDTH=450&amp;START_MA","XIMIZED=FALSE&amp;VAR:CALENDAR=US&amp;VAR:SYMBOL=N0098510&amp;VAR:INDEX=0"}</definedName>
    <definedName name="_6635__FDSAUDITLINK__" hidden="1">{"fdsup://directions/FAT Viewer?action=UPDATE&amp;creator=factset&amp;DYN_ARGS=TRUE&amp;DOC_NAME=FAT:FQL_AUDITING_CLIENT_TEMPLATE.FAT&amp;display_string=Audit&amp;VAR:KEY=LMLGPEVOXC&amp;VAR:QUERY=RkZfRUJJVERBX0lCKCdMVE1TJywzOTA3OCk=&amp;WINDOW=FIRST_POPUP&amp;HEIGHT=450&amp;WIDTH=450&amp;START_MA","XIMIZED=FALSE&amp;VAR:CALENDAR=US&amp;VAR:SYMBOL=N0098510&amp;VAR:INDEX=0"}</definedName>
    <definedName name="_6636__FDSAUDITLINK__" localSheetId="6" hidden="1">{"fdsup://directions/FAT Viewer?action=UPDATE&amp;creator=factset&amp;DYN_ARGS=TRUE&amp;DOC_NAME=FAT:FQL_AUDITING_CLIENT_TEMPLATE.FAT&amp;display_string=Audit&amp;VAR:KEY=NEXCPWBWTQ&amp;VAR:QUERY=RkZfRUJJVERBX0lCKCdMVE1TJywzOTA3Nyk=&amp;WINDOW=FIRST_POPUP&amp;HEIGHT=450&amp;WIDTH=450&amp;START_MA","XIMIZED=FALSE&amp;VAR:CALENDAR=US&amp;VAR:SYMBOL=N0098510&amp;VAR:INDEX=0"}</definedName>
    <definedName name="_6636__FDSAUDITLINK__" hidden="1">{"fdsup://directions/FAT Viewer?action=UPDATE&amp;creator=factset&amp;DYN_ARGS=TRUE&amp;DOC_NAME=FAT:FQL_AUDITING_CLIENT_TEMPLATE.FAT&amp;display_string=Audit&amp;VAR:KEY=NEXCPWBWTQ&amp;VAR:QUERY=RkZfRUJJVERBX0lCKCdMVE1TJywzOTA3Nyk=&amp;WINDOW=FIRST_POPUP&amp;HEIGHT=450&amp;WIDTH=450&amp;START_MA","XIMIZED=FALSE&amp;VAR:CALENDAR=US&amp;VAR:SYMBOL=N0098510&amp;VAR:INDEX=0"}</definedName>
    <definedName name="_6637__FDSAUDITLINK__" localSheetId="6" hidden="1">{"fdsup://directions/FAT Viewer?action=UPDATE&amp;creator=factset&amp;DYN_ARGS=TRUE&amp;DOC_NAME=FAT:FQL_AUDITING_CLIENT_TEMPLATE.FAT&amp;display_string=Audit&amp;VAR:KEY=PUTKXWLUBU&amp;VAR:QUERY=RkZfRUJJVERBX0lCKCdMVE1TJywzOTA3Nik=&amp;WINDOW=FIRST_POPUP&amp;HEIGHT=450&amp;WIDTH=450&amp;START_MA","XIMIZED=FALSE&amp;VAR:CALENDAR=US&amp;VAR:SYMBOL=N0098510&amp;VAR:INDEX=0"}</definedName>
    <definedName name="_6637__FDSAUDITLINK__" hidden="1">{"fdsup://directions/FAT Viewer?action=UPDATE&amp;creator=factset&amp;DYN_ARGS=TRUE&amp;DOC_NAME=FAT:FQL_AUDITING_CLIENT_TEMPLATE.FAT&amp;display_string=Audit&amp;VAR:KEY=PUTKXWLUBU&amp;VAR:QUERY=RkZfRUJJVERBX0lCKCdMVE1TJywzOTA3Nik=&amp;WINDOW=FIRST_POPUP&amp;HEIGHT=450&amp;WIDTH=450&amp;START_MA","XIMIZED=FALSE&amp;VAR:CALENDAR=US&amp;VAR:SYMBOL=N0098510&amp;VAR:INDEX=0"}</definedName>
    <definedName name="_6638__FDSAUDITLINK__" localSheetId="6" hidden="1">{"fdsup://directions/FAT Viewer?action=UPDATE&amp;creator=factset&amp;DYN_ARGS=TRUE&amp;DOC_NAME=FAT:FQL_AUDITING_CLIENT_TEMPLATE.FAT&amp;display_string=Audit&amp;VAR:KEY=JOBMVIHAVY&amp;VAR:QUERY=RkZfRUJJVERBX0lCKCdMVE1TJywzOTA3NSk=&amp;WINDOW=FIRST_POPUP&amp;HEIGHT=450&amp;WIDTH=450&amp;START_MA","XIMIZED=FALSE&amp;VAR:CALENDAR=US&amp;VAR:SYMBOL=N0098510&amp;VAR:INDEX=0"}</definedName>
    <definedName name="_6638__FDSAUDITLINK__" hidden="1">{"fdsup://directions/FAT Viewer?action=UPDATE&amp;creator=factset&amp;DYN_ARGS=TRUE&amp;DOC_NAME=FAT:FQL_AUDITING_CLIENT_TEMPLATE.FAT&amp;display_string=Audit&amp;VAR:KEY=JOBMVIHAVY&amp;VAR:QUERY=RkZfRUJJVERBX0lCKCdMVE1TJywzOTA3NSk=&amp;WINDOW=FIRST_POPUP&amp;HEIGHT=450&amp;WIDTH=450&amp;START_MA","XIMIZED=FALSE&amp;VAR:CALENDAR=US&amp;VAR:SYMBOL=N0098510&amp;VAR:INDEX=0"}</definedName>
    <definedName name="_6639__FDSAUDITLINK__" localSheetId="6" hidden="1">{"fdsup://directions/FAT Viewer?action=UPDATE&amp;creator=factset&amp;DYN_ARGS=TRUE&amp;DOC_NAME=FAT:FQL_AUDITING_CLIENT_TEMPLATE.FAT&amp;display_string=Audit&amp;VAR:KEY=HKJOPODWPG&amp;VAR:QUERY=RkZfRUJJVERBX0lCKCdMVE1TJywzOTA3NCk=&amp;WINDOW=FIRST_POPUP&amp;HEIGHT=450&amp;WIDTH=450&amp;START_MA","XIMIZED=FALSE&amp;VAR:CALENDAR=US&amp;VAR:SYMBOL=N0098510&amp;VAR:INDEX=0"}</definedName>
    <definedName name="_6639__FDSAUDITLINK__" hidden="1">{"fdsup://directions/FAT Viewer?action=UPDATE&amp;creator=factset&amp;DYN_ARGS=TRUE&amp;DOC_NAME=FAT:FQL_AUDITING_CLIENT_TEMPLATE.FAT&amp;display_string=Audit&amp;VAR:KEY=HKJOPODWPG&amp;VAR:QUERY=RkZfRUJJVERBX0lCKCdMVE1TJywzOTA3NCk=&amp;WINDOW=FIRST_POPUP&amp;HEIGHT=450&amp;WIDTH=450&amp;START_MA","XIMIZED=FALSE&amp;VAR:CALENDAR=US&amp;VAR:SYMBOL=N0098510&amp;VAR:INDEX=0"}</definedName>
    <definedName name="_664__FDSAUDITLINK__" localSheetId="6" hidden="1">{"fdsup://directions/FAT%20Viewer?VAR:PED=LTM&amp;VAR:AUDIT_MODE=SUMMARY&amp;VAR:PERIOD=FIXED&amp;VAR:AUDIT_ID=00000117&amp;VAR:DATE=20080428&amp;action=UPDATE&amp;creator=factset&amp;DOC_NAME=FAT:FMA_audit_SUMMARY.fat&amp;DISPLAY_STRING=Display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4__FDSAUDITLINK__" hidden="1">{"fdsup://directions/FAT%20Viewer?VAR:PED=LTM&amp;VAR:AUDIT_MODE=SUMMARY&amp;VAR:PERIOD=FIXED&amp;VAR:AUDIT_ID=00000117&amp;VAR:DATE=20080428&amp;action=UPDATE&amp;creator=factset&amp;DOC_NAME=FAT:FMA_audit_SUMMARY.fat&amp;DISPLAY_STRING=Display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40__FDSAUDITLINK__" localSheetId="6" hidden="1">{"fdsup://directions/FAT Viewer?action=UPDATE&amp;creator=factset&amp;DYN_ARGS=TRUE&amp;DOC_NAME=FAT:FQL_AUDITING_CLIENT_TEMPLATE.FAT&amp;display_string=Audit&amp;VAR:KEY=HYFSPKVYDE&amp;VAR:QUERY=RkZfRUJJVERBX0lCKCdMVE1TJywzOTA3Myk=&amp;WINDOW=FIRST_POPUP&amp;HEIGHT=450&amp;WIDTH=450&amp;START_MA","XIMIZED=FALSE&amp;VAR:CALENDAR=US&amp;VAR:SYMBOL=N0098510&amp;VAR:INDEX=0"}</definedName>
    <definedName name="_6640__FDSAUDITLINK__" hidden="1">{"fdsup://directions/FAT Viewer?action=UPDATE&amp;creator=factset&amp;DYN_ARGS=TRUE&amp;DOC_NAME=FAT:FQL_AUDITING_CLIENT_TEMPLATE.FAT&amp;display_string=Audit&amp;VAR:KEY=HYFSPKVYDE&amp;VAR:QUERY=RkZfRUJJVERBX0lCKCdMVE1TJywzOTA3Myk=&amp;WINDOW=FIRST_POPUP&amp;HEIGHT=450&amp;WIDTH=450&amp;START_MA","XIMIZED=FALSE&amp;VAR:CALENDAR=US&amp;VAR:SYMBOL=N0098510&amp;VAR:INDEX=0"}</definedName>
    <definedName name="_6641__FDSAUDITLINK__" localSheetId="6" hidden="1">{"fdsup://directions/FAT Viewer?action=UPDATE&amp;creator=factset&amp;DYN_ARGS=TRUE&amp;DOC_NAME=FAT:FQL_AUDITING_CLIENT_TEMPLATE.FAT&amp;display_string=Audit&amp;VAR:KEY=TKBCRITUTO&amp;VAR:QUERY=RkZfRUJJVERBX0lCKCdMVE1TJywzOTA3Mik=&amp;WINDOW=FIRST_POPUP&amp;HEIGHT=450&amp;WIDTH=450&amp;START_MA","XIMIZED=FALSE&amp;VAR:CALENDAR=US&amp;VAR:SYMBOL=N0098510&amp;VAR:INDEX=0"}</definedName>
    <definedName name="_6641__FDSAUDITLINK__" hidden="1">{"fdsup://directions/FAT Viewer?action=UPDATE&amp;creator=factset&amp;DYN_ARGS=TRUE&amp;DOC_NAME=FAT:FQL_AUDITING_CLIENT_TEMPLATE.FAT&amp;display_string=Audit&amp;VAR:KEY=TKBCRITUTO&amp;VAR:QUERY=RkZfRUJJVERBX0lCKCdMVE1TJywzOTA3Mik=&amp;WINDOW=FIRST_POPUP&amp;HEIGHT=450&amp;WIDTH=450&amp;START_MA","XIMIZED=FALSE&amp;VAR:CALENDAR=US&amp;VAR:SYMBOL=N0098510&amp;VAR:INDEX=0"}</definedName>
    <definedName name="_6642__FDSAUDITLINK__" localSheetId="6" hidden="1">{"fdsup://directions/FAT Viewer?action=UPDATE&amp;creator=factset&amp;DYN_ARGS=TRUE&amp;DOC_NAME=FAT:FQL_AUDITING_CLIENT_TEMPLATE.FAT&amp;display_string=Audit&amp;VAR:KEY=TEXSZCNIFA&amp;VAR:QUERY=RkZfRUJJVERBX0lCKCdMVE1TJywzOTA3MSk=&amp;WINDOW=FIRST_POPUP&amp;HEIGHT=450&amp;WIDTH=450&amp;START_MA","XIMIZED=FALSE&amp;VAR:CALENDAR=US&amp;VAR:SYMBOL=N0098510&amp;VAR:INDEX=0"}</definedName>
    <definedName name="_6642__FDSAUDITLINK__" hidden="1">{"fdsup://directions/FAT Viewer?action=UPDATE&amp;creator=factset&amp;DYN_ARGS=TRUE&amp;DOC_NAME=FAT:FQL_AUDITING_CLIENT_TEMPLATE.FAT&amp;display_string=Audit&amp;VAR:KEY=TEXSZCNIFA&amp;VAR:QUERY=RkZfRUJJVERBX0lCKCdMVE1TJywzOTA3MSk=&amp;WINDOW=FIRST_POPUP&amp;HEIGHT=450&amp;WIDTH=450&amp;START_MA","XIMIZED=FALSE&amp;VAR:CALENDAR=US&amp;VAR:SYMBOL=N0098510&amp;VAR:INDEX=0"}</definedName>
    <definedName name="_6643__FDSAUDITLINK__" localSheetId="6" hidden="1">{"fdsup://directions/FAT Viewer?action=UPDATE&amp;creator=factset&amp;DYN_ARGS=TRUE&amp;DOC_NAME=FAT:FQL_AUDITING_CLIENT_TEMPLATE.FAT&amp;display_string=Audit&amp;VAR:KEY=NKXOVMJUDI&amp;VAR:QUERY=RkZfRUJJVERBX0lCKCdMVE1TJywzOTA3MCk=&amp;WINDOW=FIRST_POPUP&amp;HEIGHT=450&amp;WIDTH=450&amp;START_MA","XIMIZED=FALSE&amp;VAR:CALENDAR=US&amp;VAR:SYMBOL=N0098510&amp;VAR:INDEX=0"}</definedName>
    <definedName name="_6643__FDSAUDITLINK__" hidden="1">{"fdsup://directions/FAT Viewer?action=UPDATE&amp;creator=factset&amp;DYN_ARGS=TRUE&amp;DOC_NAME=FAT:FQL_AUDITING_CLIENT_TEMPLATE.FAT&amp;display_string=Audit&amp;VAR:KEY=NKXOVMJUDI&amp;VAR:QUERY=RkZfRUJJVERBX0lCKCdMVE1TJywzOTA3MCk=&amp;WINDOW=FIRST_POPUP&amp;HEIGHT=450&amp;WIDTH=450&amp;START_MA","XIMIZED=FALSE&amp;VAR:CALENDAR=US&amp;VAR:SYMBOL=N0098510&amp;VAR:INDEX=0"}</definedName>
    <definedName name="_6644__FDSAUDITLINK__" localSheetId="6" hidden="1">{"fdsup://directions/FAT Viewer?action=UPDATE&amp;creator=factset&amp;DYN_ARGS=TRUE&amp;DOC_NAME=FAT:FQL_AUDITING_CLIENT_TEMPLATE.FAT&amp;display_string=Audit&amp;VAR:KEY=TQNARWTIZM&amp;VAR:QUERY=RkZfRUJJVERBX0lCKCdMVE1TJywzOTA2OSk=&amp;WINDOW=FIRST_POPUP&amp;HEIGHT=450&amp;WIDTH=450&amp;START_MA","XIMIZED=FALSE&amp;VAR:CALENDAR=US&amp;VAR:SYMBOL=N0098510&amp;VAR:INDEX=0"}</definedName>
    <definedName name="_6644__FDSAUDITLINK__" hidden="1">{"fdsup://directions/FAT Viewer?action=UPDATE&amp;creator=factset&amp;DYN_ARGS=TRUE&amp;DOC_NAME=FAT:FQL_AUDITING_CLIENT_TEMPLATE.FAT&amp;display_string=Audit&amp;VAR:KEY=TQNARWTIZM&amp;VAR:QUERY=RkZfRUJJVERBX0lCKCdMVE1TJywzOTA2OSk=&amp;WINDOW=FIRST_POPUP&amp;HEIGHT=450&amp;WIDTH=450&amp;START_MA","XIMIZED=FALSE&amp;VAR:CALENDAR=US&amp;VAR:SYMBOL=N0098510&amp;VAR:INDEX=0"}</definedName>
    <definedName name="_6645__FDSAUDITLINK__" localSheetId="6" hidden="1">{"fdsup://directions/FAT Viewer?action=UPDATE&amp;creator=factset&amp;DYN_ARGS=TRUE&amp;DOC_NAME=FAT:FQL_AUDITING_CLIENT_TEMPLATE.FAT&amp;display_string=Audit&amp;VAR:KEY=HSNYJQXMPU&amp;VAR:QUERY=RkZfRUJJVERBX0lCKCdMVE1TJywzOTA2OCk=&amp;WINDOW=FIRST_POPUP&amp;HEIGHT=450&amp;WIDTH=450&amp;START_MA","XIMIZED=FALSE&amp;VAR:CALENDAR=US&amp;VAR:SYMBOL=N0098510&amp;VAR:INDEX=0"}</definedName>
    <definedName name="_6645__FDSAUDITLINK__" hidden="1">{"fdsup://directions/FAT Viewer?action=UPDATE&amp;creator=factset&amp;DYN_ARGS=TRUE&amp;DOC_NAME=FAT:FQL_AUDITING_CLIENT_TEMPLATE.FAT&amp;display_string=Audit&amp;VAR:KEY=HSNYJQXMPU&amp;VAR:QUERY=RkZfRUJJVERBX0lCKCdMVE1TJywzOTA2OCk=&amp;WINDOW=FIRST_POPUP&amp;HEIGHT=450&amp;WIDTH=450&amp;START_MA","XIMIZED=FALSE&amp;VAR:CALENDAR=US&amp;VAR:SYMBOL=N0098510&amp;VAR:INDEX=0"}</definedName>
    <definedName name="_6646__FDSAUDITLINK__" localSheetId="6" hidden="1">{"fdsup://directions/FAT Viewer?action=UPDATE&amp;creator=factset&amp;DYN_ARGS=TRUE&amp;DOC_NAME=FAT:FQL_AUDITING_CLIENT_TEMPLATE.FAT&amp;display_string=Audit&amp;VAR:KEY=LGJMHUJKLU&amp;VAR:QUERY=RkZfRUJJVERBX0lCKCdMVE1TJywzOTA2Nyk=&amp;WINDOW=FIRST_POPUP&amp;HEIGHT=450&amp;WIDTH=450&amp;START_MA","XIMIZED=FALSE&amp;VAR:CALENDAR=US&amp;VAR:SYMBOL=N0098510&amp;VAR:INDEX=0"}</definedName>
    <definedName name="_6646__FDSAUDITLINK__" hidden="1">{"fdsup://directions/FAT Viewer?action=UPDATE&amp;creator=factset&amp;DYN_ARGS=TRUE&amp;DOC_NAME=FAT:FQL_AUDITING_CLIENT_TEMPLATE.FAT&amp;display_string=Audit&amp;VAR:KEY=LGJMHUJKLU&amp;VAR:QUERY=RkZfRUJJVERBX0lCKCdMVE1TJywzOTA2Nyk=&amp;WINDOW=FIRST_POPUP&amp;HEIGHT=450&amp;WIDTH=450&amp;START_MA","XIMIZED=FALSE&amp;VAR:CALENDAR=US&amp;VAR:SYMBOL=N0098510&amp;VAR:INDEX=0"}</definedName>
    <definedName name="_6647__FDSAUDITLINK__" localSheetId="6" hidden="1">{"fdsup://directions/FAT Viewer?action=UPDATE&amp;creator=factset&amp;DYN_ARGS=TRUE&amp;DOC_NAME=FAT:FQL_AUDITING_CLIENT_TEMPLATE.FAT&amp;display_string=Audit&amp;VAR:KEY=DCFARMPIXU&amp;VAR:QUERY=RkZfRUJJVERBX0lCKCdMVE1TJywzOTA2Nik=&amp;WINDOW=FIRST_POPUP&amp;HEIGHT=450&amp;WIDTH=450&amp;START_MA","XIMIZED=FALSE&amp;VAR:CALENDAR=US&amp;VAR:SYMBOL=N0098510&amp;VAR:INDEX=0"}</definedName>
    <definedName name="_6647__FDSAUDITLINK__" hidden="1">{"fdsup://directions/FAT Viewer?action=UPDATE&amp;creator=factset&amp;DYN_ARGS=TRUE&amp;DOC_NAME=FAT:FQL_AUDITING_CLIENT_TEMPLATE.FAT&amp;display_string=Audit&amp;VAR:KEY=DCFARMPIXU&amp;VAR:QUERY=RkZfRUJJVERBX0lCKCdMVE1TJywzOTA2Nik=&amp;WINDOW=FIRST_POPUP&amp;HEIGHT=450&amp;WIDTH=450&amp;START_MA","XIMIZED=FALSE&amp;VAR:CALENDAR=US&amp;VAR:SYMBOL=N0098510&amp;VAR:INDEX=0"}</definedName>
    <definedName name="_6648__FDSAUDITLINK__" localSheetId="6" hidden="1">{"fdsup://directions/FAT Viewer?action=UPDATE&amp;creator=factset&amp;DYN_ARGS=TRUE&amp;DOC_NAME=FAT:FQL_AUDITING_CLIENT_TEMPLATE.FAT&amp;display_string=Audit&amp;VAR:KEY=VWLGVYFSHI&amp;VAR:QUERY=RkZfRUJJVERBX0lCKCdMVE1TJywzOTA2NSk=&amp;WINDOW=FIRST_POPUP&amp;HEIGHT=450&amp;WIDTH=450&amp;START_MA","XIMIZED=FALSE&amp;VAR:CALENDAR=US&amp;VAR:SYMBOL=N0098510&amp;VAR:INDEX=0"}</definedName>
    <definedName name="_6648__FDSAUDITLINK__" hidden="1">{"fdsup://directions/FAT Viewer?action=UPDATE&amp;creator=factset&amp;DYN_ARGS=TRUE&amp;DOC_NAME=FAT:FQL_AUDITING_CLIENT_TEMPLATE.FAT&amp;display_string=Audit&amp;VAR:KEY=VWLGVYFSHI&amp;VAR:QUERY=RkZfRUJJVERBX0lCKCdMVE1TJywzOTA2NSk=&amp;WINDOW=FIRST_POPUP&amp;HEIGHT=450&amp;WIDTH=450&amp;START_MA","XIMIZED=FALSE&amp;VAR:CALENDAR=US&amp;VAR:SYMBOL=N0098510&amp;VAR:INDEX=0"}</definedName>
    <definedName name="_6649__FDSAUDITLINK__" localSheetId="6" hidden="1">{"fdsup://directions/FAT Viewer?action=UPDATE&amp;creator=factset&amp;DYN_ARGS=TRUE&amp;DOC_NAME=FAT:FQL_AUDITING_CLIENT_TEMPLATE.FAT&amp;display_string=Audit&amp;VAR:KEY=NKZSDONODY&amp;VAR:QUERY=RkZfRUJJVERBX0lCKCdMVE1TJywzOTA2NCk=&amp;WINDOW=FIRST_POPUP&amp;HEIGHT=450&amp;WIDTH=450&amp;START_MA","XIMIZED=FALSE&amp;VAR:CALENDAR=US&amp;VAR:SYMBOL=N0098510&amp;VAR:INDEX=0"}</definedName>
    <definedName name="_6649__FDSAUDITLINK__" hidden="1">{"fdsup://directions/FAT Viewer?action=UPDATE&amp;creator=factset&amp;DYN_ARGS=TRUE&amp;DOC_NAME=FAT:FQL_AUDITING_CLIENT_TEMPLATE.FAT&amp;display_string=Audit&amp;VAR:KEY=NKZSDONODY&amp;VAR:QUERY=RkZfRUJJVERBX0lCKCdMVE1TJywzOTA2NCk=&amp;WINDOW=FIRST_POPUP&amp;HEIGHT=450&amp;WIDTH=450&amp;START_MA","XIMIZED=FALSE&amp;VAR:CALENDAR=US&amp;VAR:SYMBOL=N0098510&amp;VAR:INDEX=0"}</definedName>
    <definedName name="_665__FDSAUDITLINK__" localSheetId="6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5__FDSAUDITLINK__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50__FDSAUDITLINK__" localSheetId="6" hidden="1">{"fdsup://directions/FAT Viewer?action=UPDATE&amp;creator=factset&amp;DYN_ARGS=TRUE&amp;DOC_NAME=FAT:FQL_AUDITING_CLIENT_TEMPLATE.FAT&amp;display_string=Audit&amp;VAR:KEY=NEZMZEHEJG&amp;VAR:QUERY=RkZfRUJJVERBX0lCKCdMVE1TJywzOTA2Myk=&amp;WINDOW=FIRST_POPUP&amp;HEIGHT=450&amp;WIDTH=450&amp;START_MA","XIMIZED=FALSE&amp;VAR:CALENDAR=US&amp;VAR:SYMBOL=N0098510&amp;VAR:INDEX=0"}</definedName>
    <definedName name="_6650__FDSAUDITLINK__" hidden="1">{"fdsup://directions/FAT Viewer?action=UPDATE&amp;creator=factset&amp;DYN_ARGS=TRUE&amp;DOC_NAME=FAT:FQL_AUDITING_CLIENT_TEMPLATE.FAT&amp;display_string=Audit&amp;VAR:KEY=NEZMZEHEJG&amp;VAR:QUERY=RkZfRUJJVERBX0lCKCdMVE1TJywzOTA2Myk=&amp;WINDOW=FIRST_POPUP&amp;HEIGHT=450&amp;WIDTH=450&amp;START_MA","XIMIZED=FALSE&amp;VAR:CALENDAR=US&amp;VAR:SYMBOL=N0098510&amp;VAR:INDEX=0"}</definedName>
    <definedName name="_6651__FDSAUDITLINK__" localSheetId="6" hidden="1">{"fdsup://directions/FAT Viewer?action=UPDATE&amp;creator=factset&amp;DYN_ARGS=TRUE&amp;DOC_NAME=FAT:FQL_AUDITING_CLIENT_TEMPLATE.FAT&amp;display_string=Audit&amp;VAR:KEY=VCHKHEXCZK&amp;VAR:QUERY=RkZfRUJJVERBX0lCKCdMVE1TJywzOTA2Mik=&amp;WINDOW=FIRST_POPUP&amp;HEIGHT=450&amp;WIDTH=450&amp;START_MA","XIMIZED=FALSE&amp;VAR:CALENDAR=US&amp;VAR:SYMBOL=N0098510&amp;VAR:INDEX=0"}</definedName>
    <definedName name="_6651__FDSAUDITLINK__" hidden="1">{"fdsup://directions/FAT Viewer?action=UPDATE&amp;creator=factset&amp;DYN_ARGS=TRUE&amp;DOC_NAME=FAT:FQL_AUDITING_CLIENT_TEMPLATE.FAT&amp;display_string=Audit&amp;VAR:KEY=VCHKHEXCZK&amp;VAR:QUERY=RkZfRUJJVERBX0lCKCdMVE1TJywzOTA2Mik=&amp;WINDOW=FIRST_POPUP&amp;HEIGHT=450&amp;WIDTH=450&amp;START_MA","XIMIZED=FALSE&amp;VAR:CALENDAR=US&amp;VAR:SYMBOL=N0098510&amp;VAR:INDEX=0"}</definedName>
    <definedName name="_6652__FDSAUDITLINK__" localSheetId="6" hidden="1">{"fdsup://directions/FAT Viewer?action=UPDATE&amp;creator=factset&amp;DYN_ARGS=TRUE&amp;DOC_NAME=FAT:FQL_AUDITING_CLIENT_TEMPLATE.FAT&amp;display_string=Audit&amp;VAR:KEY=TIPIFEXERM&amp;VAR:QUERY=RkZfRUJJVERBX0lCKCdMVE1TJywzOTA2MSk=&amp;WINDOW=FIRST_POPUP&amp;HEIGHT=450&amp;WIDTH=450&amp;START_MA","XIMIZED=FALSE&amp;VAR:CALENDAR=US&amp;VAR:SYMBOL=N0098510&amp;VAR:INDEX=0"}</definedName>
    <definedName name="_6652__FDSAUDITLINK__" hidden="1">{"fdsup://directions/FAT Viewer?action=UPDATE&amp;creator=factset&amp;DYN_ARGS=TRUE&amp;DOC_NAME=FAT:FQL_AUDITING_CLIENT_TEMPLATE.FAT&amp;display_string=Audit&amp;VAR:KEY=TIPIFEXERM&amp;VAR:QUERY=RkZfRUJJVERBX0lCKCdMVE1TJywzOTA2MSk=&amp;WINDOW=FIRST_POPUP&amp;HEIGHT=450&amp;WIDTH=450&amp;START_MA","XIMIZED=FALSE&amp;VAR:CALENDAR=US&amp;VAR:SYMBOL=N0098510&amp;VAR:INDEX=0"}</definedName>
    <definedName name="_6653__FDSAUDITLINK__" localSheetId="6" hidden="1">{"fdsup://directions/FAT Viewer?action=UPDATE&amp;creator=factset&amp;DYN_ARGS=TRUE&amp;DOC_NAME=FAT:FQL_AUDITING_CLIENT_TEMPLATE.FAT&amp;display_string=Audit&amp;VAR:KEY=FWDIFADGXG&amp;VAR:QUERY=RkZfRUJJVERBX0lCKCdMVE1TJywzOTA2MCk=&amp;WINDOW=FIRST_POPUP&amp;HEIGHT=450&amp;WIDTH=450&amp;START_MA","XIMIZED=FALSE&amp;VAR:CALENDAR=US&amp;VAR:SYMBOL=N0098510&amp;VAR:INDEX=0"}</definedName>
    <definedName name="_6653__FDSAUDITLINK__" hidden="1">{"fdsup://directions/FAT Viewer?action=UPDATE&amp;creator=factset&amp;DYN_ARGS=TRUE&amp;DOC_NAME=FAT:FQL_AUDITING_CLIENT_TEMPLATE.FAT&amp;display_string=Audit&amp;VAR:KEY=FWDIFADGXG&amp;VAR:QUERY=RkZfRUJJVERBX0lCKCdMVE1TJywzOTA2MCk=&amp;WINDOW=FIRST_POPUP&amp;HEIGHT=450&amp;WIDTH=450&amp;START_MA","XIMIZED=FALSE&amp;VAR:CALENDAR=US&amp;VAR:SYMBOL=N0098510&amp;VAR:INDEX=0"}</definedName>
    <definedName name="_6654__FDSAUDITLINK__" localSheetId="6" hidden="1">{"fdsup://directions/FAT Viewer?action=UPDATE&amp;creator=factset&amp;DYN_ARGS=TRUE&amp;DOC_NAME=FAT:FQL_AUDITING_CLIENT_TEMPLATE.FAT&amp;display_string=Audit&amp;VAR:KEY=BUZSFMVURO&amp;VAR:QUERY=RkZfRUJJVERBX0lCKCdMVE1TJywzOTA1OSk=&amp;WINDOW=FIRST_POPUP&amp;HEIGHT=450&amp;WIDTH=450&amp;START_MA","XIMIZED=FALSE&amp;VAR:CALENDAR=US&amp;VAR:SYMBOL=N0098510&amp;VAR:INDEX=0"}</definedName>
    <definedName name="_6654__FDSAUDITLINK__" hidden="1">{"fdsup://directions/FAT Viewer?action=UPDATE&amp;creator=factset&amp;DYN_ARGS=TRUE&amp;DOC_NAME=FAT:FQL_AUDITING_CLIENT_TEMPLATE.FAT&amp;display_string=Audit&amp;VAR:KEY=BUZSFMVURO&amp;VAR:QUERY=RkZfRUJJVERBX0lCKCdMVE1TJywzOTA1OSk=&amp;WINDOW=FIRST_POPUP&amp;HEIGHT=450&amp;WIDTH=450&amp;START_MA","XIMIZED=FALSE&amp;VAR:CALENDAR=US&amp;VAR:SYMBOL=N0098510&amp;VAR:INDEX=0"}</definedName>
    <definedName name="_6655__FDSAUDITLINK__" localSheetId="6" hidden="1">{"fdsup://directions/FAT Viewer?action=UPDATE&amp;creator=factset&amp;DYN_ARGS=TRUE&amp;DOC_NAME=FAT:FQL_AUDITING_CLIENT_TEMPLATE.FAT&amp;display_string=Audit&amp;VAR:KEY=JGTEXGTMJO&amp;VAR:QUERY=RkZfRUJJVERBX0lCKCdMVE1TJywzOTA1OCk=&amp;WINDOW=FIRST_POPUP&amp;HEIGHT=450&amp;WIDTH=450&amp;START_MA","XIMIZED=FALSE&amp;VAR:CALENDAR=US&amp;VAR:SYMBOL=N0098510&amp;VAR:INDEX=0"}</definedName>
    <definedName name="_6655__FDSAUDITLINK__" hidden="1">{"fdsup://directions/FAT Viewer?action=UPDATE&amp;creator=factset&amp;DYN_ARGS=TRUE&amp;DOC_NAME=FAT:FQL_AUDITING_CLIENT_TEMPLATE.FAT&amp;display_string=Audit&amp;VAR:KEY=JGTEXGTMJO&amp;VAR:QUERY=RkZfRUJJVERBX0lCKCdMVE1TJywzOTA1OCk=&amp;WINDOW=FIRST_POPUP&amp;HEIGHT=450&amp;WIDTH=450&amp;START_MA","XIMIZED=FALSE&amp;VAR:CALENDAR=US&amp;VAR:SYMBOL=N0098510&amp;VAR:INDEX=0"}</definedName>
    <definedName name="_6656__FDSAUDITLINK__" localSheetId="6" hidden="1">{"fdsup://directions/FAT Viewer?action=UPDATE&amp;creator=factset&amp;DYN_ARGS=TRUE&amp;DOC_NAME=FAT:FQL_AUDITING_CLIENT_TEMPLATE.FAT&amp;display_string=Audit&amp;VAR:KEY=VEJWNYPMFW&amp;VAR:QUERY=RkZfRUJJVERBX0lCKCdMVE1TJywzOTA1Nyk=&amp;WINDOW=FIRST_POPUP&amp;HEIGHT=450&amp;WIDTH=450&amp;START_MA","XIMIZED=FALSE&amp;VAR:CALENDAR=US&amp;VAR:SYMBOL=N0098510&amp;VAR:INDEX=0"}</definedName>
    <definedName name="_6656__FDSAUDITLINK__" hidden="1">{"fdsup://directions/FAT Viewer?action=UPDATE&amp;creator=factset&amp;DYN_ARGS=TRUE&amp;DOC_NAME=FAT:FQL_AUDITING_CLIENT_TEMPLATE.FAT&amp;display_string=Audit&amp;VAR:KEY=VEJWNYPMFW&amp;VAR:QUERY=RkZfRUJJVERBX0lCKCdMVE1TJywzOTA1Nyk=&amp;WINDOW=FIRST_POPUP&amp;HEIGHT=450&amp;WIDTH=450&amp;START_MA","XIMIZED=FALSE&amp;VAR:CALENDAR=US&amp;VAR:SYMBOL=N0098510&amp;VAR:INDEX=0"}</definedName>
    <definedName name="_6657__FDSAUDITLINK__" localSheetId="6" hidden="1">{"fdsup://directions/FAT Viewer?action=UPDATE&amp;creator=factset&amp;DYN_ARGS=TRUE&amp;DOC_NAME=FAT:FQL_AUDITING_CLIENT_TEMPLATE.FAT&amp;display_string=Audit&amp;VAR:KEY=RGBQPONCPA&amp;VAR:QUERY=RkZfRUJJVERBX0lCKCdMVE1TJywzOTA1Nik=&amp;WINDOW=FIRST_POPUP&amp;HEIGHT=450&amp;WIDTH=450&amp;START_MA","XIMIZED=FALSE&amp;VAR:CALENDAR=US&amp;VAR:SYMBOL=N0098510&amp;VAR:INDEX=0"}</definedName>
    <definedName name="_6657__FDSAUDITLINK__" hidden="1">{"fdsup://directions/FAT Viewer?action=UPDATE&amp;creator=factset&amp;DYN_ARGS=TRUE&amp;DOC_NAME=FAT:FQL_AUDITING_CLIENT_TEMPLATE.FAT&amp;display_string=Audit&amp;VAR:KEY=RGBQPONCPA&amp;VAR:QUERY=RkZfRUJJVERBX0lCKCdMVE1TJywzOTA1Nik=&amp;WINDOW=FIRST_POPUP&amp;HEIGHT=450&amp;WIDTH=450&amp;START_MA","XIMIZED=FALSE&amp;VAR:CALENDAR=US&amp;VAR:SYMBOL=N0098510&amp;VAR:INDEX=0"}</definedName>
    <definedName name="_6658__FDSAUDITLINK__" localSheetId="6" hidden="1">{"fdsup://directions/FAT Viewer?action=UPDATE&amp;creator=factset&amp;DYN_ARGS=TRUE&amp;DOC_NAME=FAT:FQL_AUDITING_CLIENT_TEMPLATE.FAT&amp;display_string=Audit&amp;VAR:KEY=VQPEBGTYFQ&amp;VAR:QUERY=RkZfRUJJVERBX0lCKCdMVE1TJywzOTA1NSk=&amp;WINDOW=FIRST_POPUP&amp;HEIGHT=450&amp;WIDTH=450&amp;START_MA","XIMIZED=FALSE&amp;VAR:CALENDAR=US&amp;VAR:SYMBOL=N0098510&amp;VAR:INDEX=0"}</definedName>
    <definedName name="_6658__FDSAUDITLINK__" hidden="1">{"fdsup://directions/FAT Viewer?action=UPDATE&amp;creator=factset&amp;DYN_ARGS=TRUE&amp;DOC_NAME=FAT:FQL_AUDITING_CLIENT_TEMPLATE.FAT&amp;display_string=Audit&amp;VAR:KEY=VQPEBGTYFQ&amp;VAR:QUERY=RkZfRUJJVERBX0lCKCdMVE1TJywzOTA1NSk=&amp;WINDOW=FIRST_POPUP&amp;HEIGHT=450&amp;WIDTH=450&amp;START_MA","XIMIZED=FALSE&amp;VAR:CALENDAR=US&amp;VAR:SYMBOL=N0098510&amp;VAR:INDEX=0"}</definedName>
    <definedName name="_6659__FDSAUDITLINK__" localSheetId="6" hidden="1">{"fdsup://directions/FAT Viewer?action=UPDATE&amp;creator=factset&amp;DYN_ARGS=TRUE&amp;DOC_NAME=FAT:FQL_AUDITING_CLIENT_TEMPLATE.FAT&amp;display_string=Audit&amp;VAR:KEY=XCRKFELMXG&amp;VAR:QUERY=RkZfRUJJVERBX0lCKCdMVE1TJywzOTA1NCk=&amp;WINDOW=FIRST_POPUP&amp;HEIGHT=450&amp;WIDTH=450&amp;START_MA","XIMIZED=FALSE&amp;VAR:CALENDAR=US&amp;VAR:SYMBOL=N0098510&amp;VAR:INDEX=0"}</definedName>
    <definedName name="_6659__FDSAUDITLINK__" hidden="1">{"fdsup://directions/FAT Viewer?action=UPDATE&amp;creator=factset&amp;DYN_ARGS=TRUE&amp;DOC_NAME=FAT:FQL_AUDITING_CLIENT_TEMPLATE.FAT&amp;display_string=Audit&amp;VAR:KEY=XCRKFELMXG&amp;VAR:QUERY=RkZfRUJJVERBX0lCKCdMVE1TJywzOTA1NCk=&amp;WINDOW=FIRST_POPUP&amp;HEIGHT=450&amp;WIDTH=450&amp;START_MA","XIMIZED=FALSE&amp;VAR:CALENDAR=US&amp;VAR:SYMBOL=N0098510&amp;VAR:INDEX=0"}</definedName>
    <definedName name="_666__FDSAUDITLINK__" localSheetId="6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6__FDSAUDITLINK__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60__FDSAUDITLINK__" localSheetId="6" hidden="1">{"fdsup://directions/FAT Viewer?action=UPDATE&amp;creator=factset&amp;DYN_ARGS=TRUE&amp;DOC_NAME=FAT:FQL_AUDITING_CLIENT_TEMPLATE.FAT&amp;display_string=Audit&amp;VAR:KEY=ZKZORKPINY&amp;VAR:QUERY=RkZfRUJJVERBX0lCKCdMVE1TJywzOTA1Myk=&amp;WINDOW=FIRST_POPUP&amp;HEIGHT=450&amp;WIDTH=450&amp;START_MA","XIMIZED=FALSE&amp;VAR:CALENDAR=US&amp;VAR:SYMBOL=N0098510&amp;VAR:INDEX=0"}</definedName>
    <definedName name="_6660__FDSAUDITLINK__" hidden="1">{"fdsup://directions/FAT Viewer?action=UPDATE&amp;creator=factset&amp;DYN_ARGS=TRUE&amp;DOC_NAME=FAT:FQL_AUDITING_CLIENT_TEMPLATE.FAT&amp;display_string=Audit&amp;VAR:KEY=ZKZORKPINY&amp;VAR:QUERY=RkZfRUJJVERBX0lCKCdMVE1TJywzOTA1Myk=&amp;WINDOW=FIRST_POPUP&amp;HEIGHT=450&amp;WIDTH=450&amp;START_MA","XIMIZED=FALSE&amp;VAR:CALENDAR=US&amp;VAR:SYMBOL=N0098510&amp;VAR:INDEX=0"}</definedName>
    <definedName name="_6661__FDSAUDITLINK__" localSheetId="6" hidden="1">{"fdsup://directions/FAT Viewer?action=UPDATE&amp;creator=factset&amp;DYN_ARGS=TRUE&amp;DOC_NAME=FAT:FQL_AUDITING_CLIENT_TEMPLATE.FAT&amp;display_string=Audit&amp;VAR:KEY=LSJKPIFQLK&amp;VAR:QUERY=RkZfRUJJVERBX0lCKCdMVE1TJywzOTA1Mik=&amp;WINDOW=FIRST_POPUP&amp;HEIGHT=450&amp;WIDTH=450&amp;START_MA","XIMIZED=FALSE&amp;VAR:CALENDAR=US&amp;VAR:SYMBOL=N0098510&amp;VAR:INDEX=0"}</definedName>
    <definedName name="_6661__FDSAUDITLINK__" hidden="1">{"fdsup://directions/FAT Viewer?action=UPDATE&amp;creator=factset&amp;DYN_ARGS=TRUE&amp;DOC_NAME=FAT:FQL_AUDITING_CLIENT_TEMPLATE.FAT&amp;display_string=Audit&amp;VAR:KEY=LSJKPIFQLK&amp;VAR:QUERY=RkZfRUJJVERBX0lCKCdMVE1TJywzOTA1Mik=&amp;WINDOW=FIRST_POPUP&amp;HEIGHT=450&amp;WIDTH=450&amp;START_MA","XIMIZED=FALSE&amp;VAR:CALENDAR=US&amp;VAR:SYMBOL=N0098510&amp;VAR:INDEX=0"}</definedName>
    <definedName name="_6662__FDSAUDITLINK__" localSheetId="6" hidden="1">{"fdsup://directions/FAT Viewer?action=UPDATE&amp;creator=factset&amp;DYN_ARGS=TRUE&amp;DOC_NAME=FAT:FQL_AUDITING_CLIENT_TEMPLATE.FAT&amp;display_string=Audit&amp;VAR:KEY=JSRSNSJUPY&amp;VAR:QUERY=RkZfRUJJVERBX0lCKCdMVE1TJywzOTA1MSk=&amp;WINDOW=FIRST_POPUP&amp;HEIGHT=450&amp;WIDTH=450&amp;START_MA","XIMIZED=FALSE&amp;VAR:CALENDAR=US&amp;VAR:SYMBOL=N0098510&amp;VAR:INDEX=0"}</definedName>
    <definedName name="_6662__FDSAUDITLINK__" hidden="1">{"fdsup://directions/FAT Viewer?action=UPDATE&amp;creator=factset&amp;DYN_ARGS=TRUE&amp;DOC_NAME=FAT:FQL_AUDITING_CLIENT_TEMPLATE.FAT&amp;display_string=Audit&amp;VAR:KEY=JSRSNSJUPY&amp;VAR:QUERY=RkZfRUJJVERBX0lCKCdMVE1TJywzOTA1MSk=&amp;WINDOW=FIRST_POPUP&amp;HEIGHT=450&amp;WIDTH=450&amp;START_MA","XIMIZED=FALSE&amp;VAR:CALENDAR=US&amp;VAR:SYMBOL=N0098510&amp;VAR:INDEX=0"}</definedName>
    <definedName name="_6663__FDSAUDITLINK__" localSheetId="6" hidden="1">{"fdsup://directions/FAT Viewer?action=UPDATE&amp;creator=factset&amp;DYN_ARGS=TRUE&amp;DOC_NAME=FAT:FQL_AUDITING_CLIENT_TEMPLATE.FAT&amp;display_string=Audit&amp;VAR:KEY=RYJMFSBCHY&amp;VAR:QUERY=RkZfRUJJVERBX0lCKCdMVE1TJywzOTA1MCk=&amp;WINDOW=FIRST_POPUP&amp;HEIGHT=450&amp;WIDTH=450&amp;START_MA","XIMIZED=FALSE&amp;VAR:CALENDAR=US&amp;VAR:SYMBOL=N0098510&amp;VAR:INDEX=0"}</definedName>
    <definedName name="_6663__FDSAUDITLINK__" hidden="1">{"fdsup://directions/FAT Viewer?action=UPDATE&amp;creator=factset&amp;DYN_ARGS=TRUE&amp;DOC_NAME=FAT:FQL_AUDITING_CLIENT_TEMPLATE.FAT&amp;display_string=Audit&amp;VAR:KEY=RYJMFSBCHY&amp;VAR:QUERY=RkZfRUJJVERBX0lCKCdMVE1TJywzOTA1MCk=&amp;WINDOW=FIRST_POPUP&amp;HEIGHT=450&amp;WIDTH=450&amp;START_MA","XIMIZED=FALSE&amp;VAR:CALENDAR=US&amp;VAR:SYMBOL=N0098510&amp;VAR:INDEX=0"}</definedName>
    <definedName name="_6664__FDSAUDITLINK__" localSheetId="6" hidden="1">{"fdsup://directions/FAT Viewer?action=UPDATE&amp;creator=factset&amp;DYN_ARGS=TRUE&amp;DOC_NAME=FAT:FQL_AUDITING_CLIENT_TEMPLATE.FAT&amp;display_string=Audit&amp;VAR:KEY=JYZAJATMTQ&amp;VAR:QUERY=RkZfRUJJVERBX0lCKCdMVE1TJywzOTA0OSk=&amp;WINDOW=FIRST_POPUP&amp;HEIGHT=450&amp;WIDTH=450&amp;START_MA","XIMIZED=FALSE&amp;VAR:CALENDAR=US&amp;VAR:SYMBOL=N0098510&amp;VAR:INDEX=0"}</definedName>
    <definedName name="_6664__FDSAUDITLINK__" hidden="1">{"fdsup://directions/FAT Viewer?action=UPDATE&amp;creator=factset&amp;DYN_ARGS=TRUE&amp;DOC_NAME=FAT:FQL_AUDITING_CLIENT_TEMPLATE.FAT&amp;display_string=Audit&amp;VAR:KEY=JYZAJATMTQ&amp;VAR:QUERY=RkZfRUJJVERBX0lCKCdMVE1TJywzOTA0OSk=&amp;WINDOW=FIRST_POPUP&amp;HEIGHT=450&amp;WIDTH=450&amp;START_MA","XIMIZED=FALSE&amp;VAR:CALENDAR=US&amp;VAR:SYMBOL=N0098510&amp;VAR:INDEX=0"}</definedName>
    <definedName name="_6665__FDSAUDITLINK__" localSheetId="6" hidden="1">{"fdsup://directions/FAT Viewer?action=UPDATE&amp;creator=factset&amp;DYN_ARGS=TRUE&amp;DOC_NAME=FAT:FQL_AUDITING_CLIENT_TEMPLATE.FAT&amp;display_string=Audit&amp;VAR:KEY=DMPUFITIXS&amp;VAR:QUERY=RkZfRUJJVERBX0lCKCdMVE1TJywzOTA0OCk=&amp;WINDOW=FIRST_POPUP&amp;HEIGHT=450&amp;WIDTH=450&amp;START_MA","XIMIZED=FALSE&amp;VAR:CALENDAR=US&amp;VAR:SYMBOL=N0098510&amp;VAR:INDEX=0"}</definedName>
    <definedName name="_6665__FDSAUDITLINK__" hidden="1">{"fdsup://directions/FAT Viewer?action=UPDATE&amp;creator=factset&amp;DYN_ARGS=TRUE&amp;DOC_NAME=FAT:FQL_AUDITING_CLIENT_TEMPLATE.FAT&amp;display_string=Audit&amp;VAR:KEY=DMPUFITIXS&amp;VAR:QUERY=RkZfRUJJVERBX0lCKCdMVE1TJywzOTA0OCk=&amp;WINDOW=FIRST_POPUP&amp;HEIGHT=450&amp;WIDTH=450&amp;START_MA","XIMIZED=FALSE&amp;VAR:CALENDAR=US&amp;VAR:SYMBOL=N0098510&amp;VAR:INDEX=0"}</definedName>
    <definedName name="_6666__FDSAUDITLINK__" localSheetId="6" hidden="1">{"fdsup://directions/FAT Viewer?action=UPDATE&amp;creator=factset&amp;DYN_ARGS=TRUE&amp;DOC_NAME=FAT:FQL_AUDITING_CLIENT_TEMPLATE.FAT&amp;display_string=Audit&amp;VAR:KEY=FCBANENGZA&amp;VAR:QUERY=RkZfRUJJVERBX0lCKCdMVE1TJywzOTA0Nyk=&amp;WINDOW=FIRST_POPUP&amp;HEIGHT=450&amp;WIDTH=450&amp;START_MA","XIMIZED=FALSE&amp;VAR:CALENDAR=US&amp;VAR:SYMBOL=N0098510&amp;VAR:INDEX=0"}</definedName>
    <definedName name="_6666__FDSAUDITLINK__" hidden="1">{"fdsup://directions/FAT Viewer?action=UPDATE&amp;creator=factset&amp;DYN_ARGS=TRUE&amp;DOC_NAME=FAT:FQL_AUDITING_CLIENT_TEMPLATE.FAT&amp;display_string=Audit&amp;VAR:KEY=FCBANENGZA&amp;VAR:QUERY=RkZfRUJJVERBX0lCKCdMVE1TJywzOTA0Nyk=&amp;WINDOW=FIRST_POPUP&amp;HEIGHT=450&amp;WIDTH=450&amp;START_MA","XIMIZED=FALSE&amp;VAR:CALENDAR=US&amp;VAR:SYMBOL=N0098510&amp;VAR:INDEX=0"}</definedName>
    <definedName name="_6667__FDSAUDITLINK__" localSheetId="6" hidden="1">{"fdsup://directions/FAT Viewer?action=UPDATE&amp;creator=factset&amp;DYN_ARGS=TRUE&amp;DOC_NAME=FAT:FQL_AUDITING_CLIENT_TEMPLATE.FAT&amp;display_string=Audit&amp;VAR:KEY=ZMLUTIPEPU&amp;VAR:QUERY=RkZfRUJJVERBX0lCKCdMVE1TJywzOTA0Nik=&amp;WINDOW=FIRST_POPUP&amp;HEIGHT=450&amp;WIDTH=450&amp;START_MA","XIMIZED=FALSE&amp;VAR:CALENDAR=US&amp;VAR:SYMBOL=N0098510&amp;VAR:INDEX=0"}</definedName>
    <definedName name="_6667__FDSAUDITLINK__" hidden="1">{"fdsup://directions/FAT Viewer?action=UPDATE&amp;creator=factset&amp;DYN_ARGS=TRUE&amp;DOC_NAME=FAT:FQL_AUDITING_CLIENT_TEMPLATE.FAT&amp;display_string=Audit&amp;VAR:KEY=ZMLUTIPEPU&amp;VAR:QUERY=RkZfRUJJVERBX0lCKCdMVE1TJywzOTA0Nik=&amp;WINDOW=FIRST_POPUP&amp;HEIGHT=450&amp;WIDTH=450&amp;START_MA","XIMIZED=FALSE&amp;VAR:CALENDAR=US&amp;VAR:SYMBOL=N0098510&amp;VAR:INDEX=0"}</definedName>
    <definedName name="_6668__FDSAUDITLINK__" localSheetId="6" hidden="1">{"fdsup://directions/FAT Viewer?action=UPDATE&amp;creator=factset&amp;DYN_ARGS=TRUE&amp;DOC_NAME=FAT:FQL_AUDITING_CLIENT_TEMPLATE.FAT&amp;display_string=Audit&amp;VAR:KEY=HAVENWHEVK&amp;VAR:QUERY=RkZfRUJJVERBX0lCKCdMVE1TJywzOTA0NSk=&amp;WINDOW=FIRST_POPUP&amp;HEIGHT=450&amp;WIDTH=450&amp;START_MA","XIMIZED=FALSE&amp;VAR:CALENDAR=US&amp;VAR:SYMBOL=N0098510&amp;VAR:INDEX=0"}</definedName>
    <definedName name="_6668__FDSAUDITLINK__" hidden="1">{"fdsup://directions/FAT Viewer?action=UPDATE&amp;creator=factset&amp;DYN_ARGS=TRUE&amp;DOC_NAME=FAT:FQL_AUDITING_CLIENT_TEMPLATE.FAT&amp;display_string=Audit&amp;VAR:KEY=HAVENWHEVK&amp;VAR:QUERY=RkZfRUJJVERBX0lCKCdMVE1TJywzOTA0NSk=&amp;WINDOW=FIRST_POPUP&amp;HEIGHT=450&amp;WIDTH=450&amp;START_MA","XIMIZED=FALSE&amp;VAR:CALENDAR=US&amp;VAR:SYMBOL=N0098510&amp;VAR:INDEX=0"}</definedName>
    <definedName name="_6669__FDSAUDITLINK__" localSheetId="6" hidden="1">{"fdsup://directions/FAT Viewer?action=UPDATE&amp;creator=factset&amp;DYN_ARGS=TRUE&amp;DOC_NAME=FAT:FQL_AUDITING_CLIENT_TEMPLATE.FAT&amp;display_string=Audit&amp;VAR:KEY=TYVUHUZQZU&amp;VAR:QUERY=RkZfRUJJVERBX0lCKCdMVE1TJywzOTA0NCk=&amp;WINDOW=FIRST_POPUP&amp;HEIGHT=450&amp;WIDTH=450&amp;START_MA","XIMIZED=FALSE&amp;VAR:CALENDAR=US&amp;VAR:SYMBOL=N0098510&amp;VAR:INDEX=0"}</definedName>
    <definedName name="_6669__FDSAUDITLINK__" hidden="1">{"fdsup://directions/FAT Viewer?action=UPDATE&amp;creator=factset&amp;DYN_ARGS=TRUE&amp;DOC_NAME=FAT:FQL_AUDITING_CLIENT_TEMPLATE.FAT&amp;display_string=Audit&amp;VAR:KEY=TYVUHUZQZU&amp;VAR:QUERY=RkZfRUJJVERBX0lCKCdMVE1TJywzOTA0NCk=&amp;WINDOW=FIRST_POPUP&amp;HEIGHT=450&amp;WIDTH=450&amp;START_MA","XIMIZED=FALSE&amp;VAR:CALENDAR=US&amp;VAR:SYMBOL=N0098510&amp;VAR:INDEX=0"}</definedName>
    <definedName name="_667__FDSAUDITLINK__" localSheetId="6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7__FDSAUDITLINK__" hidden="1">{"fdsup://directions/FAT%20Viewer?VAR:PED=LTM&amp;VAR:AUDIT_MODE=SUMMARY&amp;VAR:PERIOD=FIXED&amp;VAR:AUDIT_ID=00000117&amp;VAR:DATE=20080425&amp;action=UPDATE&amp;creator=factset&amp;DOC_NAME=FAT:FMA_audit_SUMMARY.fat&amp;DISPLAY_STRING=Display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70__FDSAUDITLINK__" localSheetId="6" hidden="1">{"fdsup://directions/FAT Viewer?action=UPDATE&amp;creator=factset&amp;DYN_ARGS=TRUE&amp;DOC_NAME=FAT:FQL_AUDITING_CLIENT_TEMPLATE.FAT&amp;display_string=Audit&amp;VAR:KEY=VKZUHKNYJS&amp;VAR:QUERY=RkZfRUJJVERBX0lCKCdMVE1TJywzOTA0Myk=&amp;WINDOW=FIRST_POPUP&amp;HEIGHT=450&amp;WIDTH=450&amp;START_MA","XIMIZED=FALSE&amp;VAR:CALENDAR=US&amp;VAR:SYMBOL=N0098510&amp;VAR:INDEX=0"}</definedName>
    <definedName name="_6670__FDSAUDITLINK__" hidden="1">{"fdsup://directions/FAT Viewer?action=UPDATE&amp;creator=factset&amp;DYN_ARGS=TRUE&amp;DOC_NAME=FAT:FQL_AUDITING_CLIENT_TEMPLATE.FAT&amp;display_string=Audit&amp;VAR:KEY=VKZUHKNYJS&amp;VAR:QUERY=RkZfRUJJVERBX0lCKCdMVE1TJywzOTA0Myk=&amp;WINDOW=FIRST_POPUP&amp;HEIGHT=450&amp;WIDTH=450&amp;START_MA","XIMIZED=FALSE&amp;VAR:CALENDAR=US&amp;VAR:SYMBOL=N0098510&amp;VAR:INDEX=0"}</definedName>
    <definedName name="_6671__FDSAUDITLINK__" localSheetId="6" hidden="1">{"fdsup://directions/FAT Viewer?action=UPDATE&amp;creator=factset&amp;DYN_ARGS=TRUE&amp;DOC_NAME=FAT:FQL_AUDITING_CLIENT_TEMPLATE.FAT&amp;display_string=Audit&amp;VAR:KEY=ZGLGZOVOZC&amp;VAR:QUERY=RkZfRUJJVERBX0lCKCdMVE1TJywzOTA0Mik=&amp;WINDOW=FIRST_POPUP&amp;HEIGHT=450&amp;WIDTH=450&amp;START_MA","XIMIZED=FALSE&amp;VAR:CALENDAR=US&amp;VAR:SYMBOL=N0098510&amp;VAR:INDEX=0"}</definedName>
    <definedName name="_6671__FDSAUDITLINK__" hidden="1">{"fdsup://directions/FAT Viewer?action=UPDATE&amp;creator=factset&amp;DYN_ARGS=TRUE&amp;DOC_NAME=FAT:FQL_AUDITING_CLIENT_TEMPLATE.FAT&amp;display_string=Audit&amp;VAR:KEY=ZGLGZOVOZC&amp;VAR:QUERY=RkZfRUJJVERBX0lCKCdMVE1TJywzOTA0Mik=&amp;WINDOW=FIRST_POPUP&amp;HEIGHT=450&amp;WIDTH=450&amp;START_MA","XIMIZED=FALSE&amp;VAR:CALENDAR=US&amp;VAR:SYMBOL=N0098510&amp;VAR:INDEX=0"}</definedName>
    <definedName name="_6672__FDSAUDITLINK__" localSheetId="6" hidden="1">{"fdsup://directions/FAT Viewer?action=UPDATE&amp;creator=factset&amp;DYN_ARGS=TRUE&amp;DOC_NAME=FAT:FQL_AUDITING_CLIENT_TEMPLATE.FAT&amp;display_string=Audit&amp;VAR:KEY=ZQJKZKJKRC&amp;VAR:QUERY=RkZfRUJJVERBX0lCKCdMVE1TJywzOTA0MSk=&amp;WINDOW=FIRST_POPUP&amp;HEIGHT=450&amp;WIDTH=450&amp;START_MA","XIMIZED=FALSE&amp;VAR:CALENDAR=US&amp;VAR:SYMBOL=N0098510&amp;VAR:INDEX=0"}</definedName>
    <definedName name="_6672__FDSAUDITLINK__" hidden="1">{"fdsup://directions/FAT Viewer?action=UPDATE&amp;creator=factset&amp;DYN_ARGS=TRUE&amp;DOC_NAME=FAT:FQL_AUDITING_CLIENT_TEMPLATE.FAT&amp;display_string=Audit&amp;VAR:KEY=ZQJKZKJKRC&amp;VAR:QUERY=RkZfRUJJVERBX0lCKCdMVE1TJywzOTA0MSk=&amp;WINDOW=FIRST_POPUP&amp;HEIGHT=450&amp;WIDTH=450&amp;START_MA","XIMIZED=FALSE&amp;VAR:CALENDAR=US&amp;VAR:SYMBOL=N0098510&amp;VAR:INDEX=0"}</definedName>
    <definedName name="_6673__FDSAUDITLINK__" localSheetId="6" hidden="1">{"fdsup://directions/FAT Viewer?action=UPDATE&amp;creator=factset&amp;DYN_ARGS=TRUE&amp;DOC_NAME=FAT:FQL_AUDITING_CLIENT_TEMPLATE.FAT&amp;display_string=Audit&amp;VAR:KEY=FAZYRMBMRC&amp;VAR:QUERY=RkZfRUJJVERBX0lCKCdMVE1TJywzOTA0MCk=&amp;WINDOW=FIRST_POPUP&amp;HEIGHT=450&amp;WIDTH=450&amp;START_MA","XIMIZED=FALSE&amp;VAR:CALENDAR=US&amp;VAR:SYMBOL=N0098510&amp;VAR:INDEX=0"}</definedName>
    <definedName name="_6673__FDSAUDITLINK__" hidden="1">{"fdsup://directions/FAT Viewer?action=UPDATE&amp;creator=factset&amp;DYN_ARGS=TRUE&amp;DOC_NAME=FAT:FQL_AUDITING_CLIENT_TEMPLATE.FAT&amp;display_string=Audit&amp;VAR:KEY=FAZYRMBMRC&amp;VAR:QUERY=RkZfRUJJVERBX0lCKCdMVE1TJywzOTA0MCk=&amp;WINDOW=FIRST_POPUP&amp;HEIGHT=450&amp;WIDTH=450&amp;START_MA","XIMIZED=FALSE&amp;VAR:CALENDAR=US&amp;VAR:SYMBOL=N0098510&amp;VAR:INDEX=0"}</definedName>
    <definedName name="_6674__FDSAUDITLINK__" localSheetId="6" hidden="1">{"fdsup://directions/FAT Viewer?action=UPDATE&amp;creator=factset&amp;DYN_ARGS=TRUE&amp;DOC_NAME=FAT:FQL_AUDITING_CLIENT_TEMPLATE.FAT&amp;display_string=Audit&amp;VAR:KEY=NIRADARCRU&amp;VAR:QUERY=RkZfRUJJVERBX0lCKCdMVE1TJywzOTAzOSk=&amp;WINDOW=FIRST_POPUP&amp;HEIGHT=450&amp;WIDTH=450&amp;START_MA","XIMIZED=FALSE&amp;VAR:CALENDAR=US&amp;VAR:SYMBOL=N0098510&amp;VAR:INDEX=0"}</definedName>
    <definedName name="_6674__FDSAUDITLINK__" hidden="1">{"fdsup://directions/FAT Viewer?action=UPDATE&amp;creator=factset&amp;DYN_ARGS=TRUE&amp;DOC_NAME=FAT:FQL_AUDITING_CLIENT_TEMPLATE.FAT&amp;display_string=Audit&amp;VAR:KEY=NIRADARCRU&amp;VAR:QUERY=RkZfRUJJVERBX0lCKCdMVE1TJywzOTAzOSk=&amp;WINDOW=FIRST_POPUP&amp;HEIGHT=450&amp;WIDTH=450&amp;START_MA","XIMIZED=FALSE&amp;VAR:CALENDAR=US&amp;VAR:SYMBOL=N0098510&amp;VAR:INDEX=0"}</definedName>
    <definedName name="_6675__FDSAUDITLINK__" localSheetId="6" hidden="1">{"fdsup://directions/FAT Viewer?action=UPDATE&amp;creator=factset&amp;DYN_ARGS=TRUE&amp;DOC_NAME=FAT:FQL_AUDITING_CLIENT_TEMPLATE.FAT&amp;display_string=Audit&amp;VAR:KEY=BAJKPCXKHC&amp;VAR:QUERY=RkZfRUJJVERBX0lCKCdMVE1TJywzOTAzOCk=&amp;WINDOW=FIRST_POPUP&amp;HEIGHT=450&amp;WIDTH=450&amp;START_MA","XIMIZED=FALSE&amp;VAR:CALENDAR=US&amp;VAR:SYMBOL=N0098510&amp;VAR:INDEX=0"}</definedName>
    <definedName name="_6675__FDSAUDITLINK__" hidden="1">{"fdsup://directions/FAT Viewer?action=UPDATE&amp;creator=factset&amp;DYN_ARGS=TRUE&amp;DOC_NAME=FAT:FQL_AUDITING_CLIENT_TEMPLATE.FAT&amp;display_string=Audit&amp;VAR:KEY=BAJKPCXKHC&amp;VAR:QUERY=RkZfRUJJVERBX0lCKCdMVE1TJywzOTAzOCk=&amp;WINDOW=FIRST_POPUP&amp;HEIGHT=450&amp;WIDTH=450&amp;START_MA","XIMIZED=FALSE&amp;VAR:CALENDAR=US&amp;VAR:SYMBOL=N0098510&amp;VAR:INDEX=0"}</definedName>
    <definedName name="_6676__FDSAUDITLINK__" localSheetId="6" hidden="1">{"fdsup://directions/FAT Viewer?action=UPDATE&amp;creator=factset&amp;DYN_ARGS=TRUE&amp;DOC_NAME=FAT:FQL_AUDITING_CLIENT_TEMPLATE.FAT&amp;display_string=Audit&amp;VAR:KEY=FWBUFQJEVM&amp;VAR:QUERY=RkZfRUJJVERBX0lCKCdMVE1TJywzOTAzNyk=&amp;WINDOW=FIRST_POPUP&amp;HEIGHT=450&amp;WIDTH=450&amp;START_MA","XIMIZED=FALSE&amp;VAR:CALENDAR=US&amp;VAR:SYMBOL=N0098510&amp;VAR:INDEX=0"}</definedName>
    <definedName name="_6676__FDSAUDITLINK__" hidden="1">{"fdsup://directions/FAT Viewer?action=UPDATE&amp;creator=factset&amp;DYN_ARGS=TRUE&amp;DOC_NAME=FAT:FQL_AUDITING_CLIENT_TEMPLATE.FAT&amp;display_string=Audit&amp;VAR:KEY=FWBUFQJEVM&amp;VAR:QUERY=RkZfRUJJVERBX0lCKCdMVE1TJywzOTAzNyk=&amp;WINDOW=FIRST_POPUP&amp;HEIGHT=450&amp;WIDTH=450&amp;START_MA","XIMIZED=FALSE&amp;VAR:CALENDAR=US&amp;VAR:SYMBOL=N0098510&amp;VAR:INDEX=0"}</definedName>
    <definedName name="_6677__FDSAUDITLINK__" localSheetId="6" hidden="1">{"fdsup://directions/FAT Viewer?action=UPDATE&amp;creator=factset&amp;DYN_ARGS=TRUE&amp;DOC_NAME=FAT:FQL_AUDITING_CLIENT_TEMPLATE.FAT&amp;display_string=Audit&amp;VAR:KEY=RMJIDWNOZA&amp;VAR:QUERY=RkZfRUJJVERBX0lCKCdMVE1TJywzOTAzNik=&amp;WINDOW=FIRST_POPUP&amp;HEIGHT=450&amp;WIDTH=450&amp;START_MA","XIMIZED=FALSE&amp;VAR:CALENDAR=US&amp;VAR:SYMBOL=N0098510&amp;VAR:INDEX=0"}</definedName>
    <definedName name="_6677__FDSAUDITLINK__" hidden="1">{"fdsup://directions/FAT Viewer?action=UPDATE&amp;creator=factset&amp;DYN_ARGS=TRUE&amp;DOC_NAME=FAT:FQL_AUDITING_CLIENT_TEMPLATE.FAT&amp;display_string=Audit&amp;VAR:KEY=RMJIDWNOZA&amp;VAR:QUERY=RkZfRUJJVERBX0lCKCdMVE1TJywzOTAzNik=&amp;WINDOW=FIRST_POPUP&amp;HEIGHT=450&amp;WIDTH=450&amp;START_MA","XIMIZED=FALSE&amp;VAR:CALENDAR=US&amp;VAR:SYMBOL=N0098510&amp;VAR:INDEX=0"}</definedName>
    <definedName name="_6678__FDSAUDITLINK__" localSheetId="6" hidden="1">{"fdsup://directions/FAT Viewer?action=UPDATE&amp;creator=factset&amp;DYN_ARGS=TRUE&amp;DOC_NAME=FAT:FQL_AUDITING_CLIENT_TEMPLATE.FAT&amp;display_string=Audit&amp;VAR:KEY=HUVATANYDU&amp;VAR:QUERY=RkZfRUJJVERBX0lCKCdMVE1TJywzOTAzNSk=&amp;WINDOW=FIRST_POPUP&amp;HEIGHT=450&amp;WIDTH=450&amp;START_MA","XIMIZED=FALSE&amp;VAR:CALENDAR=US&amp;VAR:SYMBOL=N0098510&amp;VAR:INDEX=0"}</definedName>
    <definedName name="_6678__FDSAUDITLINK__" hidden="1">{"fdsup://directions/FAT Viewer?action=UPDATE&amp;creator=factset&amp;DYN_ARGS=TRUE&amp;DOC_NAME=FAT:FQL_AUDITING_CLIENT_TEMPLATE.FAT&amp;display_string=Audit&amp;VAR:KEY=HUVATANYDU&amp;VAR:QUERY=RkZfRUJJVERBX0lCKCdMVE1TJywzOTAzNSk=&amp;WINDOW=FIRST_POPUP&amp;HEIGHT=450&amp;WIDTH=450&amp;START_MA","XIMIZED=FALSE&amp;VAR:CALENDAR=US&amp;VAR:SYMBOL=N0098510&amp;VAR:INDEX=0"}</definedName>
    <definedName name="_6679__FDSAUDITLINK__" localSheetId="6" hidden="1">{"fdsup://directions/FAT Viewer?action=UPDATE&amp;creator=factset&amp;DYN_ARGS=TRUE&amp;DOC_NAME=FAT:FQL_AUDITING_CLIENT_TEMPLATE.FAT&amp;display_string=Audit&amp;VAR:KEY=TKHUXEFMDG&amp;VAR:QUERY=RkZfRUJJVERBX0lCKCdMVE1TJywzOTAzNCk=&amp;WINDOW=FIRST_POPUP&amp;HEIGHT=450&amp;WIDTH=450&amp;START_MA","XIMIZED=FALSE&amp;VAR:CALENDAR=US&amp;VAR:SYMBOL=N0098510&amp;VAR:INDEX=0"}</definedName>
    <definedName name="_6679__FDSAUDITLINK__" hidden="1">{"fdsup://directions/FAT Viewer?action=UPDATE&amp;creator=factset&amp;DYN_ARGS=TRUE&amp;DOC_NAME=FAT:FQL_AUDITING_CLIENT_TEMPLATE.FAT&amp;display_string=Audit&amp;VAR:KEY=TKHUXEFMDG&amp;VAR:QUERY=RkZfRUJJVERBX0lCKCdMVE1TJywzOTAzNCk=&amp;WINDOW=FIRST_POPUP&amp;HEIGHT=450&amp;WIDTH=450&amp;START_MA","XIMIZED=FALSE&amp;VAR:CALENDAR=US&amp;VAR:SYMBOL=N0098510&amp;VAR:INDEX=0"}</definedName>
    <definedName name="_668__FDSAUDITLINK__" localSheetId="6" hidden="1">{"fdsup://directions/FAT%20Viewer?VAR:PED=LTM&amp;VAR:AUDIT_MODE=SUMMARY&amp;VAR:PERIOD=FIXED&amp;VAR:AUDIT_ID=00000117&amp;VAR:DATE=20080424&amp;action=UPDATE&amp;creator=factset&amp;DOC_NAME=FAT:FMA_audit_SUMMARY.fat&amp;DISPLAY_STRING=Display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8__FDSAUDITLINK__" hidden="1">{"fdsup://directions/FAT%20Viewer?VAR:PED=LTM&amp;VAR:AUDIT_MODE=SUMMARY&amp;VAR:PERIOD=FIXED&amp;VAR:AUDIT_ID=00000117&amp;VAR:DATE=20080424&amp;action=UPDATE&amp;creator=factset&amp;DOC_NAME=FAT:FMA_audit_SUMMARY.fat&amp;DISPLAY_STRING=Display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80__FDSAUDITLINK__" localSheetId="6" hidden="1">{"fdsup://directions/FAT Viewer?action=UPDATE&amp;creator=factset&amp;DYN_ARGS=TRUE&amp;DOC_NAME=FAT:FQL_AUDITING_CLIENT_TEMPLATE.FAT&amp;display_string=Audit&amp;VAR:KEY=JMDIDCRCTG&amp;VAR:QUERY=RkZfRUJJVERBX0lCKCdMVE1TJywzOTAzMyk=&amp;WINDOW=FIRST_POPUP&amp;HEIGHT=450&amp;WIDTH=450&amp;START_MA","XIMIZED=FALSE&amp;VAR:CALENDAR=US&amp;VAR:SYMBOL=N0098510&amp;VAR:INDEX=0"}</definedName>
    <definedName name="_6680__FDSAUDITLINK__" hidden="1">{"fdsup://directions/FAT Viewer?action=UPDATE&amp;creator=factset&amp;DYN_ARGS=TRUE&amp;DOC_NAME=FAT:FQL_AUDITING_CLIENT_TEMPLATE.FAT&amp;display_string=Audit&amp;VAR:KEY=JMDIDCRCTG&amp;VAR:QUERY=RkZfRUJJVERBX0lCKCdMVE1TJywzOTAzMyk=&amp;WINDOW=FIRST_POPUP&amp;HEIGHT=450&amp;WIDTH=450&amp;START_MA","XIMIZED=FALSE&amp;VAR:CALENDAR=US&amp;VAR:SYMBOL=N0098510&amp;VAR:INDEX=0"}</definedName>
    <definedName name="_6681__FDSAUDITLINK__" localSheetId="6" hidden="1">{"fdsup://directions/FAT Viewer?action=UPDATE&amp;creator=factset&amp;DYN_ARGS=TRUE&amp;DOC_NAME=FAT:FQL_AUDITING_CLIENT_TEMPLATE.FAT&amp;display_string=Audit&amp;VAR:KEY=RYJULATGZK&amp;VAR:QUERY=RkZfRUJJVERBX0lCKCdMVE1TJywzOTAzMik=&amp;WINDOW=FIRST_POPUP&amp;HEIGHT=450&amp;WIDTH=450&amp;START_MA","XIMIZED=FALSE&amp;VAR:CALENDAR=US&amp;VAR:SYMBOL=N0098510&amp;VAR:INDEX=0"}</definedName>
    <definedName name="_6681__FDSAUDITLINK__" hidden="1">{"fdsup://directions/FAT Viewer?action=UPDATE&amp;creator=factset&amp;DYN_ARGS=TRUE&amp;DOC_NAME=FAT:FQL_AUDITING_CLIENT_TEMPLATE.FAT&amp;display_string=Audit&amp;VAR:KEY=RYJULATGZK&amp;VAR:QUERY=RkZfRUJJVERBX0lCKCdMVE1TJywzOTAzMik=&amp;WINDOW=FIRST_POPUP&amp;HEIGHT=450&amp;WIDTH=450&amp;START_MA","XIMIZED=FALSE&amp;VAR:CALENDAR=US&amp;VAR:SYMBOL=N0098510&amp;VAR:INDEX=0"}</definedName>
    <definedName name="_6682__FDSAUDITLINK__" localSheetId="6" hidden="1">{"fdsup://directions/FAT Viewer?action=UPDATE&amp;creator=factset&amp;DYN_ARGS=TRUE&amp;DOC_NAME=FAT:FQL_AUDITING_CLIENT_TEMPLATE.FAT&amp;display_string=Audit&amp;VAR:KEY=JGJUZERADC&amp;VAR:QUERY=RkZfRUJJVERBX0lCKCdMVE1TJywzOTAzMSk=&amp;WINDOW=FIRST_POPUP&amp;HEIGHT=450&amp;WIDTH=450&amp;START_MA","XIMIZED=FALSE&amp;VAR:CALENDAR=US&amp;VAR:SYMBOL=N0098510&amp;VAR:INDEX=0"}</definedName>
    <definedName name="_6682__FDSAUDITLINK__" hidden="1">{"fdsup://directions/FAT Viewer?action=UPDATE&amp;creator=factset&amp;DYN_ARGS=TRUE&amp;DOC_NAME=FAT:FQL_AUDITING_CLIENT_TEMPLATE.FAT&amp;display_string=Audit&amp;VAR:KEY=JGJUZERADC&amp;VAR:QUERY=RkZfRUJJVERBX0lCKCdMVE1TJywzOTAzMSk=&amp;WINDOW=FIRST_POPUP&amp;HEIGHT=450&amp;WIDTH=450&amp;START_MA","XIMIZED=FALSE&amp;VAR:CALENDAR=US&amp;VAR:SYMBOL=N0098510&amp;VAR:INDEX=0"}</definedName>
    <definedName name="_6683__FDSAUDITLINK__" localSheetId="6" hidden="1">{"fdsup://directions/FAT Viewer?action=UPDATE&amp;creator=factset&amp;DYN_ARGS=TRUE&amp;DOC_NAME=FAT:FQL_AUDITING_CLIENT_TEMPLATE.FAT&amp;display_string=Audit&amp;VAR:KEY=LMHCDUTYHW&amp;VAR:QUERY=RkZfRUJJVERBX0lCKCdMVE1TJywzOTAzMCk=&amp;WINDOW=FIRST_POPUP&amp;HEIGHT=450&amp;WIDTH=450&amp;START_MA","XIMIZED=FALSE&amp;VAR:CALENDAR=US&amp;VAR:SYMBOL=N0098510&amp;VAR:INDEX=0"}</definedName>
    <definedName name="_6683__FDSAUDITLINK__" hidden="1">{"fdsup://directions/FAT Viewer?action=UPDATE&amp;creator=factset&amp;DYN_ARGS=TRUE&amp;DOC_NAME=FAT:FQL_AUDITING_CLIENT_TEMPLATE.FAT&amp;display_string=Audit&amp;VAR:KEY=LMHCDUTYHW&amp;VAR:QUERY=RkZfRUJJVERBX0lCKCdMVE1TJywzOTAzMCk=&amp;WINDOW=FIRST_POPUP&amp;HEIGHT=450&amp;WIDTH=450&amp;START_MA","XIMIZED=FALSE&amp;VAR:CALENDAR=US&amp;VAR:SYMBOL=N0098510&amp;VAR:INDEX=0"}</definedName>
    <definedName name="_6684__FDSAUDITLINK__" localSheetId="6" hidden="1">{"fdsup://directions/FAT Viewer?action=UPDATE&amp;creator=factset&amp;DYN_ARGS=TRUE&amp;DOC_NAME=FAT:FQL_AUDITING_CLIENT_TEMPLATE.FAT&amp;display_string=Audit&amp;VAR:KEY=HITSPAHUBY&amp;VAR:QUERY=RkZfRUJJVERBX0lCKCdMVE1TJywzOTAyOSk=&amp;WINDOW=FIRST_POPUP&amp;HEIGHT=450&amp;WIDTH=450&amp;START_MA","XIMIZED=FALSE&amp;VAR:CALENDAR=US&amp;VAR:SYMBOL=N0098510&amp;VAR:INDEX=0"}</definedName>
    <definedName name="_6684__FDSAUDITLINK__" hidden="1">{"fdsup://directions/FAT Viewer?action=UPDATE&amp;creator=factset&amp;DYN_ARGS=TRUE&amp;DOC_NAME=FAT:FQL_AUDITING_CLIENT_TEMPLATE.FAT&amp;display_string=Audit&amp;VAR:KEY=HITSPAHUBY&amp;VAR:QUERY=RkZfRUJJVERBX0lCKCdMVE1TJywzOTAyOSk=&amp;WINDOW=FIRST_POPUP&amp;HEIGHT=450&amp;WIDTH=450&amp;START_MA","XIMIZED=FALSE&amp;VAR:CALENDAR=US&amp;VAR:SYMBOL=N0098510&amp;VAR:INDEX=0"}</definedName>
    <definedName name="_6685__FDSAUDITLINK__" localSheetId="6" hidden="1">{"fdsup://directions/FAT Viewer?action=UPDATE&amp;creator=factset&amp;DYN_ARGS=TRUE&amp;DOC_NAME=FAT:FQL_AUDITING_CLIENT_TEMPLATE.FAT&amp;display_string=Audit&amp;VAR:KEY=FQTCPMJYXW&amp;VAR:QUERY=RkZfRUJJVERBX0lCKCdMVE1TJywzOTAyOCk=&amp;WINDOW=FIRST_POPUP&amp;HEIGHT=450&amp;WIDTH=450&amp;START_MA","XIMIZED=FALSE&amp;VAR:CALENDAR=US&amp;VAR:SYMBOL=N0098510&amp;VAR:INDEX=0"}</definedName>
    <definedName name="_6685__FDSAUDITLINK__" hidden="1">{"fdsup://directions/FAT Viewer?action=UPDATE&amp;creator=factset&amp;DYN_ARGS=TRUE&amp;DOC_NAME=FAT:FQL_AUDITING_CLIENT_TEMPLATE.FAT&amp;display_string=Audit&amp;VAR:KEY=FQTCPMJYXW&amp;VAR:QUERY=RkZfRUJJVERBX0lCKCdMVE1TJywzOTAyOCk=&amp;WINDOW=FIRST_POPUP&amp;HEIGHT=450&amp;WIDTH=450&amp;START_MA","XIMIZED=FALSE&amp;VAR:CALENDAR=US&amp;VAR:SYMBOL=N0098510&amp;VAR:INDEX=0"}</definedName>
    <definedName name="_6686__FDSAUDITLINK__" localSheetId="6" hidden="1">{"fdsup://directions/FAT Viewer?action=UPDATE&amp;creator=factset&amp;DYN_ARGS=TRUE&amp;DOC_NAME=FAT:FQL_AUDITING_CLIENT_TEMPLATE.FAT&amp;display_string=Audit&amp;VAR:KEY=TOXCFQXWDY&amp;VAR:QUERY=RkZfRUJJVERBX0lCKCdMVE1TJywzOTAyNyk=&amp;WINDOW=FIRST_POPUP&amp;HEIGHT=450&amp;WIDTH=450&amp;START_MA","XIMIZED=FALSE&amp;VAR:CALENDAR=US&amp;VAR:SYMBOL=N0098510&amp;VAR:INDEX=0"}</definedName>
    <definedName name="_6686__FDSAUDITLINK__" hidden="1">{"fdsup://directions/FAT Viewer?action=UPDATE&amp;creator=factset&amp;DYN_ARGS=TRUE&amp;DOC_NAME=FAT:FQL_AUDITING_CLIENT_TEMPLATE.FAT&amp;display_string=Audit&amp;VAR:KEY=TOXCFQXWDY&amp;VAR:QUERY=RkZfRUJJVERBX0lCKCdMVE1TJywzOTAyNyk=&amp;WINDOW=FIRST_POPUP&amp;HEIGHT=450&amp;WIDTH=450&amp;START_MA","XIMIZED=FALSE&amp;VAR:CALENDAR=US&amp;VAR:SYMBOL=N0098510&amp;VAR:INDEX=0"}</definedName>
    <definedName name="_6687__FDSAUDITLINK__" localSheetId="6" hidden="1">{"fdsup://directions/FAT Viewer?action=UPDATE&amp;creator=factset&amp;DYN_ARGS=TRUE&amp;DOC_NAME=FAT:FQL_AUDITING_CLIENT_TEMPLATE.FAT&amp;display_string=Audit&amp;VAR:KEY=JGDAFKTSVE&amp;VAR:QUERY=RkZfRUJJVERBX0lCKCdMVE1TJywzOTAyNik=&amp;WINDOW=FIRST_POPUP&amp;HEIGHT=450&amp;WIDTH=450&amp;START_MA","XIMIZED=FALSE&amp;VAR:CALENDAR=US&amp;VAR:SYMBOL=N0098510&amp;VAR:INDEX=0"}</definedName>
    <definedName name="_6687__FDSAUDITLINK__" hidden="1">{"fdsup://directions/FAT Viewer?action=UPDATE&amp;creator=factset&amp;DYN_ARGS=TRUE&amp;DOC_NAME=FAT:FQL_AUDITING_CLIENT_TEMPLATE.FAT&amp;display_string=Audit&amp;VAR:KEY=JGDAFKTSVE&amp;VAR:QUERY=RkZfRUJJVERBX0lCKCdMVE1TJywzOTAyNik=&amp;WINDOW=FIRST_POPUP&amp;HEIGHT=450&amp;WIDTH=450&amp;START_MA","XIMIZED=FALSE&amp;VAR:CALENDAR=US&amp;VAR:SYMBOL=N0098510&amp;VAR:INDEX=0"}</definedName>
    <definedName name="_6688__FDSAUDITLINK__" localSheetId="6" hidden="1">{"fdsup://directions/FAT Viewer?action=UPDATE&amp;creator=factset&amp;DYN_ARGS=TRUE&amp;DOC_NAME=FAT:FQL_AUDITING_CLIENT_TEMPLATE.FAT&amp;display_string=Audit&amp;VAR:KEY=FAPELITIJQ&amp;VAR:QUERY=RkZfRUJJVERBX0lCKCdMVE1TJywzOTAyNSk=&amp;WINDOW=FIRST_POPUP&amp;HEIGHT=450&amp;WIDTH=450&amp;START_MA","XIMIZED=FALSE&amp;VAR:CALENDAR=US&amp;VAR:SYMBOL=N0098510&amp;VAR:INDEX=0"}</definedName>
    <definedName name="_6688__FDSAUDITLINK__" hidden="1">{"fdsup://directions/FAT Viewer?action=UPDATE&amp;creator=factset&amp;DYN_ARGS=TRUE&amp;DOC_NAME=FAT:FQL_AUDITING_CLIENT_TEMPLATE.FAT&amp;display_string=Audit&amp;VAR:KEY=FAPELITIJQ&amp;VAR:QUERY=RkZfRUJJVERBX0lCKCdMVE1TJywzOTAyNSk=&amp;WINDOW=FIRST_POPUP&amp;HEIGHT=450&amp;WIDTH=450&amp;START_MA","XIMIZED=FALSE&amp;VAR:CALENDAR=US&amp;VAR:SYMBOL=N0098510&amp;VAR:INDEX=0"}</definedName>
    <definedName name="_6689__FDSAUDITLINK__" localSheetId="6" hidden="1">{"fdsup://directions/FAT Viewer?action=UPDATE&amp;creator=factset&amp;DYN_ARGS=TRUE&amp;DOC_NAME=FAT:FQL_AUDITING_CLIENT_TEMPLATE.FAT&amp;display_string=Audit&amp;VAR:KEY=PKNQZCXKPW&amp;VAR:QUERY=RkZfRUJJVERBX0lCKCdMVE1TJywzOTAyNCk=&amp;WINDOW=FIRST_POPUP&amp;HEIGHT=450&amp;WIDTH=450&amp;START_MA","XIMIZED=FALSE&amp;VAR:CALENDAR=US&amp;VAR:SYMBOL=N0098510&amp;VAR:INDEX=0"}</definedName>
    <definedName name="_6689__FDSAUDITLINK__" hidden="1">{"fdsup://directions/FAT Viewer?action=UPDATE&amp;creator=factset&amp;DYN_ARGS=TRUE&amp;DOC_NAME=FAT:FQL_AUDITING_CLIENT_TEMPLATE.FAT&amp;display_string=Audit&amp;VAR:KEY=PKNQZCXKPW&amp;VAR:QUERY=RkZfRUJJVERBX0lCKCdMVE1TJywzOTAyNCk=&amp;WINDOW=FIRST_POPUP&amp;HEIGHT=450&amp;WIDTH=450&amp;START_MA","XIMIZED=FALSE&amp;VAR:CALENDAR=US&amp;VAR:SYMBOL=N0098510&amp;VAR:INDEX=0"}</definedName>
    <definedName name="_669__FDSAUDITLINK__" localSheetId="6" hidden="1">{"fdsup://directions/FAT%20Viewer?VAR:PED=LTM&amp;VAR:AUDIT_MODE=SUMMARY&amp;VAR:PERIOD=FIXED&amp;VAR:AUDIT_ID=00000117&amp;VAR:DATE=20080423&amp;action=UPDATE&amp;creator=factset&amp;DOC_NAME=FAT:FMA_audit_SUMMARY.fat&amp;DISPLAY_STRING=Display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9__FDSAUDITLINK__" hidden="1">{"fdsup://directions/FAT%20Viewer?VAR:PED=LTM&amp;VAR:AUDIT_MODE=SUMMARY&amp;VAR:PERIOD=FIXED&amp;VAR:AUDIT_ID=00000117&amp;VAR:DATE=20080423&amp;action=UPDATE&amp;creator=factset&amp;DOC_NAME=FAT:FMA_audit_SUMMARY.fat&amp;DISPLAY_STRING=Display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690__FDSAUDITLINK__" localSheetId="6" hidden="1">{"fdsup://directions/FAT Viewer?action=UPDATE&amp;creator=factset&amp;DYN_ARGS=TRUE&amp;DOC_NAME=FAT:FQL_AUDITING_CLIENT_TEMPLATE.FAT&amp;display_string=Audit&amp;VAR:KEY=PURKJOZQLG&amp;VAR:QUERY=RkZfRUJJVERBX0lCKCdMVE1TJywzOTAyMyk=&amp;WINDOW=FIRST_POPUP&amp;HEIGHT=450&amp;WIDTH=450&amp;START_MA","XIMIZED=FALSE&amp;VAR:CALENDAR=US&amp;VAR:SYMBOL=N0098510&amp;VAR:INDEX=0"}</definedName>
    <definedName name="_6690__FDSAUDITLINK__" hidden="1">{"fdsup://directions/FAT Viewer?action=UPDATE&amp;creator=factset&amp;DYN_ARGS=TRUE&amp;DOC_NAME=FAT:FQL_AUDITING_CLIENT_TEMPLATE.FAT&amp;display_string=Audit&amp;VAR:KEY=PURKJOZQLG&amp;VAR:QUERY=RkZfRUJJVERBX0lCKCdMVE1TJywzOTAyMyk=&amp;WINDOW=FIRST_POPUP&amp;HEIGHT=450&amp;WIDTH=450&amp;START_MA","XIMIZED=FALSE&amp;VAR:CALENDAR=US&amp;VAR:SYMBOL=N0098510&amp;VAR:INDEX=0"}</definedName>
    <definedName name="_6691__FDSAUDITLINK__" localSheetId="6" hidden="1">{"fdsup://directions/FAT Viewer?action=UPDATE&amp;creator=factset&amp;DYN_ARGS=TRUE&amp;DOC_NAME=FAT:FQL_AUDITING_CLIENT_TEMPLATE.FAT&amp;display_string=Audit&amp;VAR:KEY=ZMZCHYNMBO&amp;VAR:QUERY=RkZfRUJJVERBX0lCKCdMVE1TJywzOTAyMik=&amp;WINDOW=FIRST_POPUP&amp;HEIGHT=450&amp;WIDTH=450&amp;START_MA","XIMIZED=FALSE&amp;VAR:CALENDAR=US&amp;VAR:SYMBOL=N0098510&amp;VAR:INDEX=0"}</definedName>
    <definedName name="_6691__FDSAUDITLINK__" hidden="1">{"fdsup://directions/FAT Viewer?action=UPDATE&amp;creator=factset&amp;DYN_ARGS=TRUE&amp;DOC_NAME=FAT:FQL_AUDITING_CLIENT_TEMPLATE.FAT&amp;display_string=Audit&amp;VAR:KEY=ZMZCHYNMBO&amp;VAR:QUERY=RkZfRUJJVERBX0lCKCdMVE1TJywzOTAyMik=&amp;WINDOW=FIRST_POPUP&amp;HEIGHT=450&amp;WIDTH=450&amp;START_MA","XIMIZED=FALSE&amp;VAR:CALENDAR=US&amp;VAR:SYMBOL=N0098510&amp;VAR:INDEX=0"}</definedName>
    <definedName name="_6692__FDSAUDITLINK__" localSheetId="6" hidden="1">{"fdsup://directions/FAT Viewer?action=UPDATE&amp;creator=factset&amp;DYN_ARGS=TRUE&amp;DOC_NAME=FAT:FQL_AUDITING_CLIENT_TEMPLATE.FAT&amp;display_string=Audit&amp;VAR:KEY=TEHCJGFSTE&amp;VAR:QUERY=RkZfRUJJVERBX0lCKCdMVE1TJywzOTAyMSk=&amp;WINDOW=FIRST_POPUP&amp;HEIGHT=450&amp;WIDTH=450&amp;START_MA","XIMIZED=FALSE&amp;VAR:CALENDAR=US&amp;VAR:SYMBOL=N0098510&amp;VAR:INDEX=0"}</definedName>
    <definedName name="_6692__FDSAUDITLINK__" hidden="1">{"fdsup://directions/FAT Viewer?action=UPDATE&amp;creator=factset&amp;DYN_ARGS=TRUE&amp;DOC_NAME=FAT:FQL_AUDITING_CLIENT_TEMPLATE.FAT&amp;display_string=Audit&amp;VAR:KEY=TEHCJGFSTE&amp;VAR:QUERY=RkZfRUJJVERBX0lCKCdMVE1TJywzOTAyMSk=&amp;WINDOW=FIRST_POPUP&amp;HEIGHT=450&amp;WIDTH=450&amp;START_MA","XIMIZED=FALSE&amp;VAR:CALENDAR=US&amp;VAR:SYMBOL=N0098510&amp;VAR:INDEX=0"}</definedName>
    <definedName name="_6693__FDSAUDITLINK__" localSheetId="6" hidden="1">{"fdsup://directions/FAT Viewer?action=UPDATE&amp;creator=factset&amp;DYN_ARGS=TRUE&amp;DOC_NAME=FAT:FQL_AUDITING_CLIENT_TEMPLATE.FAT&amp;display_string=Audit&amp;VAR:KEY=DGPMROBSRW&amp;VAR:QUERY=RkZfRUJJVERBX0lCKCdMVE1TJywzOTAyMCk=&amp;WINDOW=FIRST_POPUP&amp;HEIGHT=450&amp;WIDTH=450&amp;START_MA","XIMIZED=FALSE&amp;VAR:CALENDAR=US&amp;VAR:SYMBOL=N0098510&amp;VAR:INDEX=0"}</definedName>
    <definedName name="_6693__FDSAUDITLINK__" hidden="1">{"fdsup://directions/FAT Viewer?action=UPDATE&amp;creator=factset&amp;DYN_ARGS=TRUE&amp;DOC_NAME=FAT:FQL_AUDITING_CLIENT_TEMPLATE.FAT&amp;display_string=Audit&amp;VAR:KEY=DGPMROBSRW&amp;VAR:QUERY=RkZfRUJJVERBX0lCKCdMVE1TJywzOTAyMCk=&amp;WINDOW=FIRST_POPUP&amp;HEIGHT=450&amp;WIDTH=450&amp;START_MA","XIMIZED=FALSE&amp;VAR:CALENDAR=US&amp;VAR:SYMBOL=N0098510&amp;VAR:INDEX=0"}</definedName>
    <definedName name="_6694__FDSAUDITLINK__" localSheetId="6" hidden="1">{"fdsup://directions/FAT Viewer?action=UPDATE&amp;creator=factset&amp;DYN_ARGS=TRUE&amp;DOC_NAME=FAT:FQL_AUDITING_CLIENT_TEMPLATE.FAT&amp;display_string=Audit&amp;VAR:KEY=NMXCZSBYZY&amp;VAR:QUERY=RkZfRUJJVERBX0lCKCdMVE1TJywzOTAxOSk=&amp;WINDOW=FIRST_POPUP&amp;HEIGHT=450&amp;WIDTH=450&amp;START_MA","XIMIZED=FALSE&amp;VAR:CALENDAR=US&amp;VAR:SYMBOL=N0098510&amp;VAR:INDEX=0"}</definedName>
    <definedName name="_6694__FDSAUDITLINK__" hidden="1">{"fdsup://directions/FAT Viewer?action=UPDATE&amp;creator=factset&amp;DYN_ARGS=TRUE&amp;DOC_NAME=FAT:FQL_AUDITING_CLIENT_TEMPLATE.FAT&amp;display_string=Audit&amp;VAR:KEY=NMXCZSBYZY&amp;VAR:QUERY=RkZfRUJJVERBX0lCKCdMVE1TJywzOTAxOSk=&amp;WINDOW=FIRST_POPUP&amp;HEIGHT=450&amp;WIDTH=450&amp;START_MA","XIMIZED=FALSE&amp;VAR:CALENDAR=US&amp;VAR:SYMBOL=N0098510&amp;VAR:INDEX=0"}</definedName>
    <definedName name="_6695__FDSAUDITLINK__" localSheetId="6" hidden="1">{"fdsup://directions/FAT Viewer?action=UPDATE&amp;creator=factset&amp;DYN_ARGS=TRUE&amp;DOC_NAME=FAT:FQL_AUDITING_CLIENT_TEMPLATE.FAT&amp;display_string=Audit&amp;VAR:KEY=PIROZSZEHM&amp;VAR:QUERY=RkZfRUJJVERBX0lCKCdMVE1TJywzOTAxOCk=&amp;WINDOW=FIRST_POPUP&amp;HEIGHT=450&amp;WIDTH=450&amp;START_MA","XIMIZED=FALSE&amp;VAR:CALENDAR=US&amp;VAR:SYMBOL=N0098510&amp;VAR:INDEX=0"}</definedName>
    <definedName name="_6695__FDSAUDITLINK__" hidden="1">{"fdsup://directions/FAT Viewer?action=UPDATE&amp;creator=factset&amp;DYN_ARGS=TRUE&amp;DOC_NAME=FAT:FQL_AUDITING_CLIENT_TEMPLATE.FAT&amp;display_string=Audit&amp;VAR:KEY=PIROZSZEHM&amp;VAR:QUERY=RkZfRUJJVERBX0lCKCdMVE1TJywzOTAxOCk=&amp;WINDOW=FIRST_POPUP&amp;HEIGHT=450&amp;WIDTH=450&amp;START_MA","XIMIZED=FALSE&amp;VAR:CALENDAR=US&amp;VAR:SYMBOL=N0098510&amp;VAR:INDEX=0"}</definedName>
    <definedName name="_6696__FDSAUDITLINK__" localSheetId="6" hidden="1">{"fdsup://directions/FAT Viewer?action=UPDATE&amp;creator=factset&amp;DYN_ARGS=TRUE&amp;DOC_NAME=FAT:FQL_AUDITING_CLIENT_TEMPLATE.FAT&amp;display_string=Audit&amp;VAR:KEY=DOHSJYBUTC&amp;VAR:QUERY=RkZfRUJJVERBX0lCKCdMVE1TJywzOTAxNyk=&amp;WINDOW=FIRST_POPUP&amp;HEIGHT=450&amp;WIDTH=450&amp;START_MA","XIMIZED=FALSE&amp;VAR:CALENDAR=US&amp;VAR:SYMBOL=N0098510&amp;VAR:INDEX=0"}</definedName>
    <definedName name="_6696__FDSAUDITLINK__" hidden="1">{"fdsup://directions/FAT Viewer?action=UPDATE&amp;creator=factset&amp;DYN_ARGS=TRUE&amp;DOC_NAME=FAT:FQL_AUDITING_CLIENT_TEMPLATE.FAT&amp;display_string=Audit&amp;VAR:KEY=DOHSJYBUTC&amp;VAR:QUERY=RkZfRUJJVERBX0lCKCdMVE1TJywzOTAxNyk=&amp;WINDOW=FIRST_POPUP&amp;HEIGHT=450&amp;WIDTH=450&amp;START_MA","XIMIZED=FALSE&amp;VAR:CALENDAR=US&amp;VAR:SYMBOL=N0098510&amp;VAR:INDEX=0"}</definedName>
    <definedName name="_6697__FDSAUDITLINK__" localSheetId="6" hidden="1">{"fdsup://directions/FAT Viewer?action=UPDATE&amp;creator=factset&amp;DYN_ARGS=TRUE&amp;DOC_NAME=FAT:FQL_AUDITING_CLIENT_TEMPLATE.FAT&amp;display_string=Audit&amp;VAR:KEY=FIPONANWLK&amp;VAR:QUERY=RkZfRUJJVERBX0lCKCdMVE1TJywzOTAxNik=&amp;WINDOW=FIRST_POPUP&amp;HEIGHT=450&amp;WIDTH=450&amp;START_MA","XIMIZED=FALSE&amp;VAR:CALENDAR=US&amp;VAR:SYMBOL=N0098510&amp;VAR:INDEX=0"}</definedName>
    <definedName name="_6697__FDSAUDITLINK__" hidden="1">{"fdsup://directions/FAT Viewer?action=UPDATE&amp;creator=factset&amp;DYN_ARGS=TRUE&amp;DOC_NAME=FAT:FQL_AUDITING_CLIENT_TEMPLATE.FAT&amp;display_string=Audit&amp;VAR:KEY=FIPONANWLK&amp;VAR:QUERY=RkZfRUJJVERBX0lCKCdMVE1TJywzOTAxNik=&amp;WINDOW=FIRST_POPUP&amp;HEIGHT=450&amp;WIDTH=450&amp;START_MA","XIMIZED=FALSE&amp;VAR:CALENDAR=US&amp;VAR:SYMBOL=N0098510&amp;VAR:INDEX=0"}</definedName>
    <definedName name="_6698__FDSAUDITLINK__" localSheetId="6" hidden="1">{"fdsup://directions/FAT Viewer?action=UPDATE&amp;creator=factset&amp;DYN_ARGS=TRUE&amp;DOC_NAME=FAT:FQL_AUDITING_CLIENT_TEMPLATE.FAT&amp;display_string=Audit&amp;VAR:KEY=NQXIVENUNY&amp;VAR:QUERY=RkZfRUJJVERBX0lCKCdMVE1TJywzOTAxNSk=&amp;WINDOW=FIRST_POPUP&amp;HEIGHT=450&amp;WIDTH=450&amp;START_MA","XIMIZED=FALSE&amp;VAR:CALENDAR=US&amp;VAR:SYMBOL=N0098510&amp;VAR:INDEX=0"}</definedName>
    <definedName name="_6698__FDSAUDITLINK__" hidden="1">{"fdsup://directions/FAT Viewer?action=UPDATE&amp;creator=factset&amp;DYN_ARGS=TRUE&amp;DOC_NAME=FAT:FQL_AUDITING_CLIENT_TEMPLATE.FAT&amp;display_string=Audit&amp;VAR:KEY=NQXIVENUNY&amp;VAR:QUERY=RkZfRUJJVERBX0lCKCdMVE1TJywzOTAxNSk=&amp;WINDOW=FIRST_POPUP&amp;HEIGHT=450&amp;WIDTH=450&amp;START_MA","XIMIZED=FALSE&amp;VAR:CALENDAR=US&amp;VAR:SYMBOL=N0098510&amp;VAR:INDEX=0"}</definedName>
    <definedName name="_6699__FDSAUDITLINK__" localSheetId="6" hidden="1">{"fdsup://directions/FAT Viewer?action=UPDATE&amp;creator=factset&amp;DYN_ARGS=TRUE&amp;DOC_NAME=FAT:FQL_AUDITING_CLIENT_TEMPLATE.FAT&amp;display_string=Audit&amp;VAR:KEY=RCBSJOJYVI&amp;VAR:QUERY=RkZfRUJJVERBX0lCKCdMVE1TJywzOTAxNCk=&amp;WINDOW=FIRST_POPUP&amp;HEIGHT=450&amp;WIDTH=450&amp;START_MA","XIMIZED=FALSE&amp;VAR:CALENDAR=US&amp;VAR:SYMBOL=N0098510&amp;VAR:INDEX=0"}</definedName>
    <definedName name="_6699__FDSAUDITLINK__" hidden="1">{"fdsup://directions/FAT Viewer?action=UPDATE&amp;creator=factset&amp;DYN_ARGS=TRUE&amp;DOC_NAME=FAT:FQL_AUDITING_CLIENT_TEMPLATE.FAT&amp;display_string=Audit&amp;VAR:KEY=RCBSJOJYVI&amp;VAR:QUERY=RkZfRUJJVERBX0lCKCdMVE1TJywzOTAxNCk=&amp;WINDOW=FIRST_POPUP&amp;HEIGHT=450&amp;WIDTH=450&amp;START_MA","XIMIZED=FALSE&amp;VAR:CALENDAR=US&amp;VAR:SYMBOL=N0098510&amp;VAR:INDEX=0"}</definedName>
    <definedName name="_67__FDSAUDITLINK__" localSheetId="6" hidden="1">{"fdsup://directions/FAT Viewer?action=UPDATE&amp;creator=factset&amp;DYN_ARGS=TRUE&amp;DOC_NAME=FAT:FQL_AUDITING_CLIENT_TEMPLATE.FAT&amp;display_string=Audit&amp;VAR:KEY=LIHQZUJEFW&amp;VAR:QUERY=QVZHKENTRl9ORVRfSU5DKEFOTiwwRlksLTZGWSxZKSkgLyAoQVZHKENTRl9BU1NFVFMoQU5OLDBGWSwtNkZZL","EZZKSkgLSBBVkcoQ1NGX0lOVEFORyhBTk4sMCwtNkZZLEZZKSkp&amp;WINDOW=FIRST_POPUP&amp;HEIGHT=450&amp;WIDTH=450&amp;START_MAXIMIZED=FALSE&amp;VAR:CALENDAR=US&amp;VAR:SYMBOL=CMRE"}</definedName>
    <definedName name="_67__FDSAUDITLINK__" hidden="1">{"fdsup://directions/FAT Viewer?action=UPDATE&amp;creator=factset&amp;DYN_ARGS=TRUE&amp;DOC_NAME=FAT:FQL_AUDITING_CLIENT_TEMPLATE.FAT&amp;display_string=Audit&amp;VAR:KEY=LIHQZUJEFW&amp;VAR:QUERY=QVZHKENTRl9ORVRfSU5DKEFOTiwwRlksLTZGWSxZKSkgLyAoQVZHKENTRl9BU1NFVFMoQU5OLDBGWSwtNkZZL","EZZKSkgLSBBVkcoQ1NGX0lOVEFORyhBTk4sMCwtNkZZLEZZKSkp&amp;WINDOW=FIRST_POPUP&amp;HEIGHT=450&amp;WIDTH=450&amp;START_MAXIMIZED=FALSE&amp;VAR:CALENDAR=US&amp;VAR:SYMBOL=CMRE"}</definedName>
    <definedName name="_670__FDSAUDITLINK__" localSheetId="6" hidden="1">{"fdsup://directions/FAT%20Viewer?VAR:PED=LTM&amp;VAR:AUDIT_MODE=SUMMARY&amp;VAR:PERIOD=FIXED&amp;VAR:AUDIT_ID=00000117&amp;VAR:DATE=20080422&amp;action=UPDATE&amp;creator=factset&amp;DOC_NAME=FAT:FMA_audit_SUMMARY.fat&amp;DISPLAY_STRING=Display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0__FDSAUDITLINK__" hidden="1">{"fdsup://directions/FAT%20Viewer?VAR:PED=LTM&amp;VAR:AUDIT_MODE=SUMMARY&amp;VAR:PERIOD=FIXED&amp;VAR:AUDIT_ID=00000117&amp;VAR:DATE=20080422&amp;action=UPDATE&amp;creator=factset&amp;DOC_NAME=FAT:FMA_audit_SUMMARY.fat&amp;DISPLAY_STRING=Display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00__FDSAUDITLINK__" localSheetId="6" hidden="1">{"fdsup://directions/FAT Viewer?action=UPDATE&amp;creator=factset&amp;DYN_ARGS=TRUE&amp;DOC_NAME=FAT:FQL_AUDITING_CLIENT_TEMPLATE.FAT&amp;display_string=Audit&amp;VAR:KEY=PKBQLGDGBQ&amp;VAR:QUERY=RkZfRUJJVERBX0lCKCdMVE1TJywzOTAxMyk=&amp;WINDOW=FIRST_POPUP&amp;HEIGHT=450&amp;WIDTH=450&amp;START_MA","XIMIZED=FALSE&amp;VAR:CALENDAR=US&amp;VAR:SYMBOL=N0098510&amp;VAR:INDEX=0"}</definedName>
    <definedName name="_6700__FDSAUDITLINK__" hidden="1">{"fdsup://directions/FAT Viewer?action=UPDATE&amp;creator=factset&amp;DYN_ARGS=TRUE&amp;DOC_NAME=FAT:FQL_AUDITING_CLIENT_TEMPLATE.FAT&amp;display_string=Audit&amp;VAR:KEY=PKBQLGDGBQ&amp;VAR:QUERY=RkZfRUJJVERBX0lCKCdMVE1TJywzOTAxMyk=&amp;WINDOW=FIRST_POPUP&amp;HEIGHT=450&amp;WIDTH=450&amp;START_MA","XIMIZED=FALSE&amp;VAR:CALENDAR=US&amp;VAR:SYMBOL=N0098510&amp;VAR:INDEX=0"}</definedName>
    <definedName name="_6701__FDSAUDITLINK__" localSheetId="6" hidden="1">{"fdsup://directions/FAT Viewer?action=UPDATE&amp;creator=factset&amp;DYN_ARGS=TRUE&amp;DOC_NAME=FAT:FQL_AUDITING_CLIENT_TEMPLATE.FAT&amp;display_string=Audit&amp;VAR:KEY=HMFUTINKZO&amp;VAR:QUERY=RkZfRUJJVERBX0lCKCdMVE1TJywzOTAxMik=&amp;WINDOW=FIRST_POPUP&amp;HEIGHT=450&amp;WIDTH=450&amp;START_MA","XIMIZED=FALSE&amp;VAR:CALENDAR=US&amp;VAR:SYMBOL=N0098510&amp;VAR:INDEX=0"}</definedName>
    <definedName name="_6701__FDSAUDITLINK__" hidden="1">{"fdsup://directions/FAT Viewer?action=UPDATE&amp;creator=factset&amp;DYN_ARGS=TRUE&amp;DOC_NAME=FAT:FQL_AUDITING_CLIENT_TEMPLATE.FAT&amp;display_string=Audit&amp;VAR:KEY=HMFUTINKZO&amp;VAR:QUERY=RkZfRUJJVERBX0lCKCdMVE1TJywzOTAxMik=&amp;WINDOW=FIRST_POPUP&amp;HEIGHT=450&amp;WIDTH=450&amp;START_MA","XIMIZED=FALSE&amp;VAR:CALENDAR=US&amp;VAR:SYMBOL=N0098510&amp;VAR:INDEX=0"}</definedName>
    <definedName name="_6702__FDSAUDITLINK__" localSheetId="6" hidden="1">{"fdsup://directions/FAT Viewer?action=UPDATE&amp;creator=factset&amp;DYN_ARGS=TRUE&amp;DOC_NAME=FAT:FQL_AUDITING_CLIENT_TEMPLATE.FAT&amp;display_string=Audit&amp;VAR:KEY=LWVIZWFKLG&amp;VAR:QUERY=RkZfRUJJVERBX0lCKCdMVE1TJywzOTAxMSk=&amp;WINDOW=FIRST_POPUP&amp;HEIGHT=450&amp;WIDTH=450&amp;START_MA","XIMIZED=FALSE&amp;VAR:CALENDAR=US&amp;VAR:SYMBOL=N0098510&amp;VAR:INDEX=0"}</definedName>
    <definedName name="_6702__FDSAUDITLINK__" hidden="1">{"fdsup://directions/FAT Viewer?action=UPDATE&amp;creator=factset&amp;DYN_ARGS=TRUE&amp;DOC_NAME=FAT:FQL_AUDITING_CLIENT_TEMPLATE.FAT&amp;display_string=Audit&amp;VAR:KEY=LWVIZWFKLG&amp;VAR:QUERY=RkZfRUJJVERBX0lCKCdMVE1TJywzOTAxMSk=&amp;WINDOW=FIRST_POPUP&amp;HEIGHT=450&amp;WIDTH=450&amp;START_MA","XIMIZED=FALSE&amp;VAR:CALENDAR=US&amp;VAR:SYMBOL=N0098510&amp;VAR:INDEX=0"}</definedName>
    <definedName name="_6703__FDSAUDITLINK__" localSheetId="6" hidden="1">{"fdsup://directions/FAT Viewer?action=UPDATE&amp;creator=factset&amp;DYN_ARGS=TRUE&amp;DOC_NAME=FAT:FQL_AUDITING_CLIENT_TEMPLATE.FAT&amp;display_string=Audit&amp;VAR:KEY=XAJQRQHWDG&amp;VAR:QUERY=RkZfRUJJVERBX0lCKCdMVE1TJywzOTAxMCk=&amp;WINDOW=FIRST_POPUP&amp;HEIGHT=450&amp;WIDTH=450&amp;START_MA","XIMIZED=FALSE&amp;VAR:CALENDAR=US&amp;VAR:SYMBOL=N0098510&amp;VAR:INDEX=0"}</definedName>
    <definedName name="_6703__FDSAUDITLINK__" hidden="1">{"fdsup://directions/FAT Viewer?action=UPDATE&amp;creator=factset&amp;DYN_ARGS=TRUE&amp;DOC_NAME=FAT:FQL_AUDITING_CLIENT_TEMPLATE.FAT&amp;display_string=Audit&amp;VAR:KEY=XAJQRQHWDG&amp;VAR:QUERY=RkZfRUJJVERBX0lCKCdMVE1TJywzOTAxMCk=&amp;WINDOW=FIRST_POPUP&amp;HEIGHT=450&amp;WIDTH=450&amp;START_MA","XIMIZED=FALSE&amp;VAR:CALENDAR=US&amp;VAR:SYMBOL=N0098510&amp;VAR:INDEX=0"}</definedName>
    <definedName name="_6704__FDSAUDITLINK__" localSheetId="6" hidden="1">{"fdsup://directions/FAT Viewer?action=UPDATE&amp;creator=factset&amp;DYN_ARGS=TRUE&amp;DOC_NAME=FAT:FQL_AUDITING_CLIENT_TEMPLATE.FAT&amp;display_string=Audit&amp;VAR:KEY=RCBQVWRYFO&amp;VAR:QUERY=RkZfRUJJVERBX0lCKCdMVE1TJywzOTAwOSk=&amp;WINDOW=FIRST_POPUP&amp;HEIGHT=450&amp;WIDTH=450&amp;START_MA","XIMIZED=FALSE&amp;VAR:CALENDAR=US&amp;VAR:SYMBOL=N0098510&amp;VAR:INDEX=0"}</definedName>
    <definedName name="_6704__FDSAUDITLINK__" hidden="1">{"fdsup://directions/FAT Viewer?action=UPDATE&amp;creator=factset&amp;DYN_ARGS=TRUE&amp;DOC_NAME=FAT:FQL_AUDITING_CLIENT_TEMPLATE.FAT&amp;display_string=Audit&amp;VAR:KEY=RCBQVWRYFO&amp;VAR:QUERY=RkZfRUJJVERBX0lCKCdMVE1TJywzOTAwOSk=&amp;WINDOW=FIRST_POPUP&amp;HEIGHT=450&amp;WIDTH=450&amp;START_MA","XIMIZED=FALSE&amp;VAR:CALENDAR=US&amp;VAR:SYMBOL=N0098510&amp;VAR:INDEX=0"}</definedName>
    <definedName name="_6705__FDSAUDITLINK__" localSheetId="6" hidden="1">{"fdsup://directions/FAT Viewer?action=UPDATE&amp;creator=factset&amp;DYN_ARGS=TRUE&amp;DOC_NAME=FAT:FQL_AUDITING_CLIENT_TEMPLATE.FAT&amp;display_string=Audit&amp;VAR:KEY=TOPWVGJITY&amp;VAR:QUERY=RkZfRUJJVERBX0lCKCdMVE1TJywzOTAwOCk=&amp;WINDOW=FIRST_POPUP&amp;HEIGHT=450&amp;WIDTH=450&amp;START_MA","XIMIZED=FALSE&amp;VAR:CALENDAR=US&amp;VAR:SYMBOL=N0098510&amp;VAR:INDEX=0"}</definedName>
    <definedName name="_6705__FDSAUDITLINK__" hidden="1">{"fdsup://directions/FAT Viewer?action=UPDATE&amp;creator=factset&amp;DYN_ARGS=TRUE&amp;DOC_NAME=FAT:FQL_AUDITING_CLIENT_TEMPLATE.FAT&amp;display_string=Audit&amp;VAR:KEY=TOPWVGJITY&amp;VAR:QUERY=RkZfRUJJVERBX0lCKCdMVE1TJywzOTAwOCk=&amp;WINDOW=FIRST_POPUP&amp;HEIGHT=450&amp;WIDTH=450&amp;START_MA","XIMIZED=FALSE&amp;VAR:CALENDAR=US&amp;VAR:SYMBOL=N0098510&amp;VAR:INDEX=0"}</definedName>
    <definedName name="_6706__FDSAUDITLINK__" localSheetId="6" hidden="1">{"fdsup://directions/FAT Viewer?action=UPDATE&amp;creator=factset&amp;DYN_ARGS=TRUE&amp;DOC_NAME=FAT:FQL_AUDITING_CLIENT_TEMPLATE.FAT&amp;display_string=Audit&amp;VAR:KEY=HGJMTQXCLE&amp;VAR:QUERY=RkZfRUJJVERBX0lCKCdMVE1TJywzOTAwNyk=&amp;WINDOW=FIRST_POPUP&amp;HEIGHT=450&amp;WIDTH=450&amp;START_MA","XIMIZED=FALSE&amp;VAR:CALENDAR=US&amp;VAR:SYMBOL=N0098510&amp;VAR:INDEX=0"}</definedName>
    <definedName name="_6706__FDSAUDITLINK__" hidden="1">{"fdsup://directions/FAT Viewer?action=UPDATE&amp;creator=factset&amp;DYN_ARGS=TRUE&amp;DOC_NAME=FAT:FQL_AUDITING_CLIENT_TEMPLATE.FAT&amp;display_string=Audit&amp;VAR:KEY=HGJMTQXCLE&amp;VAR:QUERY=RkZfRUJJVERBX0lCKCdMVE1TJywzOTAwNyk=&amp;WINDOW=FIRST_POPUP&amp;HEIGHT=450&amp;WIDTH=450&amp;START_MA","XIMIZED=FALSE&amp;VAR:CALENDAR=US&amp;VAR:SYMBOL=N0098510&amp;VAR:INDEX=0"}</definedName>
    <definedName name="_6707__FDSAUDITLINK__" localSheetId="6" hidden="1">{"fdsup://directions/FAT Viewer?action=UPDATE&amp;creator=factset&amp;DYN_ARGS=TRUE&amp;DOC_NAME=FAT:FQL_AUDITING_CLIENT_TEMPLATE.FAT&amp;display_string=Audit&amp;VAR:KEY=RCDEPWPYXQ&amp;VAR:QUERY=RkZfRUJJVERBX0lCKCdMVE1TJywzOTAwNik=&amp;WINDOW=FIRST_POPUP&amp;HEIGHT=450&amp;WIDTH=450&amp;START_MA","XIMIZED=FALSE&amp;VAR:CALENDAR=US&amp;VAR:SYMBOL=N0098510&amp;VAR:INDEX=0"}</definedName>
    <definedName name="_6707__FDSAUDITLINK__" hidden="1">{"fdsup://directions/FAT Viewer?action=UPDATE&amp;creator=factset&amp;DYN_ARGS=TRUE&amp;DOC_NAME=FAT:FQL_AUDITING_CLIENT_TEMPLATE.FAT&amp;display_string=Audit&amp;VAR:KEY=RCDEPWPYXQ&amp;VAR:QUERY=RkZfRUJJVERBX0lCKCdMVE1TJywzOTAwNik=&amp;WINDOW=FIRST_POPUP&amp;HEIGHT=450&amp;WIDTH=450&amp;START_MA","XIMIZED=FALSE&amp;VAR:CALENDAR=US&amp;VAR:SYMBOL=N0098510&amp;VAR:INDEX=0"}</definedName>
    <definedName name="_6708__FDSAUDITLINK__" localSheetId="6" hidden="1">{"fdsup://directions/FAT Viewer?action=UPDATE&amp;creator=factset&amp;DYN_ARGS=TRUE&amp;DOC_NAME=FAT:FQL_AUDITING_CLIENT_TEMPLATE.FAT&amp;display_string=Audit&amp;VAR:KEY=BGNMJSJIRA&amp;VAR:QUERY=RkZfRUJJVERBX0lCKCdMVE1TJywzOTAwNSk=&amp;WINDOW=FIRST_POPUP&amp;HEIGHT=450&amp;WIDTH=450&amp;START_MA","XIMIZED=FALSE&amp;VAR:CALENDAR=US&amp;VAR:SYMBOL=N0098510&amp;VAR:INDEX=0"}</definedName>
    <definedName name="_6708__FDSAUDITLINK__" hidden="1">{"fdsup://directions/FAT Viewer?action=UPDATE&amp;creator=factset&amp;DYN_ARGS=TRUE&amp;DOC_NAME=FAT:FQL_AUDITING_CLIENT_TEMPLATE.FAT&amp;display_string=Audit&amp;VAR:KEY=BGNMJSJIRA&amp;VAR:QUERY=RkZfRUJJVERBX0lCKCdMVE1TJywzOTAwNSk=&amp;WINDOW=FIRST_POPUP&amp;HEIGHT=450&amp;WIDTH=450&amp;START_MA","XIMIZED=FALSE&amp;VAR:CALENDAR=US&amp;VAR:SYMBOL=N0098510&amp;VAR:INDEX=0"}</definedName>
    <definedName name="_6709__FDSAUDITLINK__" localSheetId="6" hidden="1">{"fdsup://directions/FAT Viewer?action=UPDATE&amp;creator=factset&amp;DYN_ARGS=TRUE&amp;DOC_NAME=FAT:FQL_AUDITING_CLIENT_TEMPLATE.FAT&amp;display_string=Audit&amp;VAR:KEY=XWPGRWFSPA&amp;VAR:QUERY=RkZfRUJJVERBX0lCKCdMVE1TJywzOTAwNCk=&amp;WINDOW=FIRST_POPUP&amp;HEIGHT=450&amp;WIDTH=450&amp;START_MA","XIMIZED=FALSE&amp;VAR:CALENDAR=US&amp;VAR:SYMBOL=N0098510&amp;VAR:INDEX=0"}</definedName>
    <definedName name="_6709__FDSAUDITLINK__" hidden="1">{"fdsup://directions/FAT Viewer?action=UPDATE&amp;creator=factset&amp;DYN_ARGS=TRUE&amp;DOC_NAME=FAT:FQL_AUDITING_CLIENT_TEMPLATE.FAT&amp;display_string=Audit&amp;VAR:KEY=XWPGRWFSPA&amp;VAR:QUERY=RkZfRUJJVERBX0lCKCdMVE1TJywzOTAwNCk=&amp;WINDOW=FIRST_POPUP&amp;HEIGHT=450&amp;WIDTH=450&amp;START_MA","XIMIZED=FALSE&amp;VAR:CALENDAR=US&amp;VAR:SYMBOL=N0098510&amp;VAR:INDEX=0"}</definedName>
    <definedName name="_671__FDSAUDITLINK__" localSheetId="6" hidden="1">{"fdsup://directions/FAT%20Viewer?VAR:PED=LTM&amp;VAR:AUDIT_MODE=SUMMARY&amp;VAR:PERIOD=FIXED&amp;VAR:AUDIT_ID=00000117&amp;VAR:DATE=20080421&amp;action=UPDATE&amp;creator=factset&amp;DOC_NAME=FAT:FMA_audit_SUMMARY.fat&amp;DISPLAY_STRING=Display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1__FDSAUDITLINK__" hidden="1">{"fdsup://directions/FAT%20Viewer?VAR:PED=LTM&amp;VAR:AUDIT_MODE=SUMMARY&amp;VAR:PERIOD=FIXED&amp;VAR:AUDIT_ID=00000117&amp;VAR:DATE=20080421&amp;action=UPDATE&amp;creator=factset&amp;DOC_NAME=FAT:FMA_audit_SUMMARY.fat&amp;DISPLAY_STRING=Display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10__FDSAUDITLINK__" localSheetId="6" hidden="1">{"fdsup://directions/FAT Viewer?action=UPDATE&amp;creator=factset&amp;DYN_ARGS=TRUE&amp;DOC_NAME=FAT:FQL_AUDITING_CLIENT_TEMPLATE.FAT&amp;display_string=Audit&amp;VAR:KEY=PATOZYBMHU&amp;VAR:QUERY=RkZfRUJJVERBX0lCKCdMVE1TJywzOTAwMyk=&amp;WINDOW=FIRST_POPUP&amp;HEIGHT=450&amp;WIDTH=450&amp;START_MA","XIMIZED=FALSE&amp;VAR:CALENDAR=US&amp;VAR:SYMBOL=N0098510&amp;VAR:INDEX=0"}</definedName>
    <definedName name="_6710__FDSAUDITLINK__" hidden="1">{"fdsup://directions/FAT Viewer?action=UPDATE&amp;creator=factset&amp;DYN_ARGS=TRUE&amp;DOC_NAME=FAT:FQL_AUDITING_CLIENT_TEMPLATE.FAT&amp;display_string=Audit&amp;VAR:KEY=PATOZYBMHU&amp;VAR:QUERY=RkZfRUJJVERBX0lCKCdMVE1TJywzOTAwMyk=&amp;WINDOW=FIRST_POPUP&amp;HEIGHT=450&amp;WIDTH=450&amp;START_MA","XIMIZED=FALSE&amp;VAR:CALENDAR=US&amp;VAR:SYMBOL=N0098510&amp;VAR:INDEX=0"}</definedName>
    <definedName name="_6711__FDSAUDITLINK__" localSheetId="6" hidden="1">{"fdsup://directions/FAT Viewer?action=UPDATE&amp;creator=factset&amp;DYN_ARGS=TRUE&amp;DOC_NAME=FAT:FQL_AUDITING_CLIENT_TEMPLATE.FAT&amp;display_string=Audit&amp;VAR:KEY=TWZOJYVOVU&amp;VAR:QUERY=RkZfRUJJVERBX0lCKCdMVE1TJywzOTAwMik=&amp;WINDOW=FIRST_POPUP&amp;HEIGHT=450&amp;WIDTH=450&amp;START_MA","XIMIZED=FALSE&amp;VAR:CALENDAR=US&amp;VAR:SYMBOL=N0098510&amp;VAR:INDEX=0"}</definedName>
    <definedName name="_6711__FDSAUDITLINK__" hidden="1">{"fdsup://directions/FAT Viewer?action=UPDATE&amp;creator=factset&amp;DYN_ARGS=TRUE&amp;DOC_NAME=FAT:FQL_AUDITING_CLIENT_TEMPLATE.FAT&amp;display_string=Audit&amp;VAR:KEY=TWZOJYVOVU&amp;VAR:QUERY=RkZfRUJJVERBX0lCKCdMVE1TJywzOTAwMik=&amp;WINDOW=FIRST_POPUP&amp;HEIGHT=450&amp;WIDTH=450&amp;START_MA","XIMIZED=FALSE&amp;VAR:CALENDAR=US&amp;VAR:SYMBOL=N0098510&amp;VAR:INDEX=0"}</definedName>
    <definedName name="_6712__FDSAUDITLINK__" localSheetId="6" hidden="1">{"fdsup://directions/FAT Viewer?action=UPDATE&amp;creator=factset&amp;DYN_ARGS=TRUE&amp;DOC_NAME=FAT:FQL_AUDITING_CLIENT_TEMPLATE.FAT&amp;display_string=Audit&amp;VAR:KEY=VIZQPALYTC&amp;VAR:QUERY=RkZfRUJJVERBX0lCKCdMVE1TJywzOTAwMSk=&amp;WINDOW=FIRST_POPUP&amp;HEIGHT=450&amp;WIDTH=450&amp;START_MA","XIMIZED=FALSE&amp;VAR:CALENDAR=US&amp;VAR:SYMBOL=N0098510&amp;VAR:INDEX=0"}</definedName>
    <definedName name="_6712__FDSAUDITLINK__" hidden="1">{"fdsup://directions/FAT Viewer?action=UPDATE&amp;creator=factset&amp;DYN_ARGS=TRUE&amp;DOC_NAME=FAT:FQL_AUDITING_CLIENT_TEMPLATE.FAT&amp;display_string=Audit&amp;VAR:KEY=VIZQPALYTC&amp;VAR:QUERY=RkZfRUJJVERBX0lCKCdMVE1TJywzOTAwMSk=&amp;WINDOW=FIRST_POPUP&amp;HEIGHT=450&amp;WIDTH=450&amp;START_MA","XIMIZED=FALSE&amp;VAR:CALENDAR=US&amp;VAR:SYMBOL=N0098510&amp;VAR:INDEX=0"}</definedName>
    <definedName name="_6713__FDSAUDITLINK__" localSheetId="6" hidden="1">{"fdsup://directions/FAT Viewer?action=UPDATE&amp;creator=factset&amp;DYN_ARGS=TRUE&amp;DOC_NAME=FAT:FQL_AUDITING_CLIENT_TEMPLATE.FAT&amp;display_string=Audit&amp;VAR:KEY=JQDMFCXOVU&amp;VAR:QUERY=RkZfRUJJVERBX0lCKCdMVE1TJywzOTAwMCk=&amp;WINDOW=FIRST_POPUP&amp;HEIGHT=450&amp;WIDTH=450&amp;START_MA","XIMIZED=FALSE&amp;VAR:CALENDAR=US&amp;VAR:SYMBOL=N0098510&amp;VAR:INDEX=0"}</definedName>
    <definedName name="_6713__FDSAUDITLINK__" hidden="1">{"fdsup://directions/FAT Viewer?action=UPDATE&amp;creator=factset&amp;DYN_ARGS=TRUE&amp;DOC_NAME=FAT:FQL_AUDITING_CLIENT_TEMPLATE.FAT&amp;display_string=Audit&amp;VAR:KEY=JQDMFCXOVU&amp;VAR:QUERY=RkZfRUJJVERBX0lCKCdMVE1TJywzOTAwMCk=&amp;WINDOW=FIRST_POPUP&amp;HEIGHT=450&amp;WIDTH=450&amp;START_MA","XIMIZED=FALSE&amp;VAR:CALENDAR=US&amp;VAR:SYMBOL=N0098510&amp;VAR:INDEX=0"}</definedName>
    <definedName name="_6714__FDSAUDITLINK__" localSheetId="6" hidden="1">{"fdsup://directions/FAT Viewer?action=UPDATE&amp;creator=factset&amp;DYN_ARGS=TRUE&amp;DOC_NAME=FAT:FQL_AUDITING_CLIENT_TEMPLATE.FAT&amp;display_string=Audit&amp;VAR:KEY=LOXSPERINS&amp;VAR:QUERY=RkZfRUJJVERBX0lCKCdMVE1TJywzODk5OSk=&amp;WINDOW=FIRST_POPUP&amp;HEIGHT=450&amp;WIDTH=450&amp;START_MA","XIMIZED=FALSE&amp;VAR:CALENDAR=US&amp;VAR:SYMBOL=N0098510&amp;VAR:INDEX=0"}</definedName>
    <definedName name="_6714__FDSAUDITLINK__" hidden="1">{"fdsup://directions/FAT Viewer?action=UPDATE&amp;creator=factset&amp;DYN_ARGS=TRUE&amp;DOC_NAME=FAT:FQL_AUDITING_CLIENT_TEMPLATE.FAT&amp;display_string=Audit&amp;VAR:KEY=LOXSPERINS&amp;VAR:QUERY=RkZfRUJJVERBX0lCKCdMVE1TJywzODk5OSk=&amp;WINDOW=FIRST_POPUP&amp;HEIGHT=450&amp;WIDTH=450&amp;START_MA","XIMIZED=FALSE&amp;VAR:CALENDAR=US&amp;VAR:SYMBOL=N0098510&amp;VAR:INDEX=0"}</definedName>
    <definedName name="_6715__FDSAUDITLINK__" localSheetId="6" hidden="1">{"fdsup://directions/FAT Viewer?action=UPDATE&amp;creator=factset&amp;DYN_ARGS=TRUE&amp;DOC_NAME=FAT:FQL_AUDITING_CLIENT_TEMPLATE.FAT&amp;display_string=Audit&amp;VAR:KEY=FOZIRGRGDI&amp;VAR:QUERY=RkZfRUJJVERBX0lCKCdMVE1TJywzODk5OCk=&amp;WINDOW=FIRST_POPUP&amp;HEIGHT=450&amp;WIDTH=450&amp;START_MA","XIMIZED=FALSE&amp;VAR:CALENDAR=US&amp;VAR:SYMBOL=N0098510&amp;VAR:INDEX=0"}</definedName>
    <definedName name="_6715__FDSAUDITLINK__" hidden="1">{"fdsup://directions/FAT Viewer?action=UPDATE&amp;creator=factset&amp;DYN_ARGS=TRUE&amp;DOC_NAME=FAT:FQL_AUDITING_CLIENT_TEMPLATE.FAT&amp;display_string=Audit&amp;VAR:KEY=FOZIRGRGDI&amp;VAR:QUERY=RkZfRUJJVERBX0lCKCdMVE1TJywzODk5OCk=&amp;WINDOW=FIRST_POPUP&amp;HEIGHT=450&amp;WIDTH=450&amp;START_MA","XIMIZED=FALSE&amp;VAR:CALENDAR=US&amp;VAR:SYMBOL=N0098510&amp;VAR:INDEX=0"}</definedName>
    <definedName name="_6716__FDSAUDITLINK__" localSheetId="6" hidden="1">{"fdsup://directions/FAT Viewer?action=UPDATE&amp;creator=factset&amp;DYN_ARGS=TRUE&amp;DOC_NAME=FAT:FQL_AUDITING_CLIENT_TEMPLATE.FAT&amp;display_string=Audit&amp;VAR:KEY=BEZGPQBQDY&amp;VAR:QUERY=RkZfRUJJVERBX0lCKCdMVE1TJywzODk5Nyk=&amp;WINDOW=FIRST_POPUP&amp;HEIGHT=450&amp;WIDTH=450&amp;START_MA","XIMIZED=FALSE&amp;VAR:CALENDAR=US&amp;VAR:SYMBOL=N0098510&amp;VAR:INDEX=0"}</definedName>
    <definedName name="_6716__FDSAUDITLINK__" hidden="1">{"fdsup://directions/FAT Viewer?action=UPDATE&amp;creator=factset&amp;DYN_ARGS=TRUE&amp;DOC_NAME=FAT:FQL_AUDITING_CLIENT_TEMPLATE.FAT&amp;display_string=Audit&amp;VAR:KEY=BEZGPQBQDY&amp;VAR:QUERY=RkZfRUJJVERBX0lCKCdMVE1TJywzODk5Nyk=&amp;WINDOW=FIRST_POPUP&amp;HEIGHT=450&amp;WIDTH=450&amp;START_MA","XIMIZED=FALSE&amp;VAR:CALENDAR=US&amp;VAR:SYMBOL=N0098510&amp;VAR:INDEX=0"}</definedName>
    <definedName name="_6717__FDSAUDITLINK__" localSheetId="6" hidden="1">{"fdsup://directions/FAT Viewer?action=UPDATE&amp;creator=factset&amp;DYN_ARGS=TRUE&amp;DOC_NAME=FAT:FQL_AUDITING_CLIENT_TEMPLATE.FAT&amp;display_string=Audit&amp;VAR:KEY=BQZYJARYZW&amp;VAR:QUERY=RkZfRUJJVERBX0lCKCdMVE1TJywzODk5Nik=&amp;WINDOW=FIRST_POPUP&amp;HEIGHT=450&amp;WIDTH=450&amp;START_MA","XIMIZED=FALSE&amp;VAR:CALENDAR=US&amp;VAR:SYMBOL=N0098510&amp;VAR:INDEX=0"}</definedName>
    <definedName name="_6717__FDSAUDITLINK__" hidden="1">{"fdsup://directions/FAT Viewer?action=UPDATE&amp;creator=factset&amp;DYN_ARGS=TRUE&amp;DOC_NAME=FAT:FQL_AUDITING_CLIENT_TEMPLATE.FAT&amp;display_string=Audit&amp;VAR:KEY=BQZYJARYZW&amp;VAR:QUERY=RkZfRUJJVERBX0lCKCdMVE1TJywzODk5Nik=&amp;WINDOW=FIRST_POPUP&amp;HEIGHT=450&amp;WIDTH=450&amp;START_MA","XIMIZED=FALSE&amp;VAR:CALENDAR=US&amp;VAR:SYMBOL=N0098510&amp;VAR:INDEX=0"}</definedName>
    <definedName name="_6718__FDSAUDITLINK__" localSheetId="6" hidden="1">{"fdsup://directions/FAT Viewer?action=UPDATE&amp;creator=factset&amp;DYN_ARGS=TRUE&amp;DOC_NAME=FAT:FQL_AUDITING_CLIENT_TEMPLATE.FAT&amp;display_string=Audit&amp;VAR:KEY=PMVKFQDGFA&amp;VAR:QUERY=RkZfRUJJVERBX0lCKCdMVE1TJywzODk5NSk=&amp;WINDOW=FIRST_POPUP&amp;HEIGHT=450&amp;WIDTH=450&amp;START_MA","XIMIZED=FALSE&amp;VAR:CALENDAR=US&amp;VAR:SYMBOL=N0098510&amp;VAR:INDEX=0"}</definedName>
    <definedName name="_6718__FDSAUDITLINK__" hidden="1">{"fdsup://directions/FAT Viewer?action=UPDATE&amp;creator=factset&amp;DYN_ARGS=TRUE&amp;DOC_NAME=FAT:FQL_AUDITING_CLIENT_TEMPLATE.FAT&amp;display_string=Audit&amp;VAR:KEY=PMVKFQDGFA&amp;VAR:QUERY=RkZfRUJJVERBX0lCKCdMVE1TJywzODk5NSk=&amp;WINDOW=FIRST_POPUP&amp;HEIGHT=450&amp;WIDTH=450&amp;START_MA","XIMIZED=FALSE&amp;VAR:CALENDAR=US&amp;VAR:SYMBOL=N0098510&amp;VAR:INDEX=0"}</definedName>
    <definedName name="_6719__FDSAUDITLINK__" localSheetId="6" hidden="1">{"fdsup://directions/FAT Viewer?action=UPDATE&amp;creator=factset&amp;DYN_ARGS=TRUE&amp;DOC_NAME=FAT:FQL_AUDITING_CLIENT_TEMPLATE.FAT&amp;display_string=Audit&amp;VAR:KEY=DURCBONSRY&amp;VAR:QUERY=RkZfRUJJVERBX0lCKCdMVE1TJywzODk5NCk=&amp;WINDOW=FIRST_POPUP&amp;HEIGHT=450&amp;WIDTH=450&amp;START_MA","XIMIZED=FALSE&amp;VAR:CALENDAR=US&amp;VAR:SYMBOL=N0098510&amp;VAR:INDEX=0"}</definedName>
    <definedName name="_6719__FDSAUDITLINK__" hidden="1">{"fdsup://directions/FAT Viewer?action=UPDATE&amp;creator=factset&amp;DYN_ARGS=TRUE&amp;DOC_NAME=FAT:FQL_AUDITING_CLIENT_TEMPLATE.FAT&amp;display_string=Audit&amp;VAR:KEY=DURCBONSRY&amp;VAR:QUERY=RkZfRUJJVERBX0lCKCdMVE1TJywzODk5NCk=&amp;WINDOW=FIRST_POPUP&amp;HEIGHT=450&amp;WIDTH=450&amp;START_MA","XIMIZED=FALSE&amp;VAR:CALENDAR=US&amp;VAR:SYMBOL=N0098510&amp;VAR:INDEX=0"}</definedName>
    <definedName name="_672__FDSAUDITLINK__" localSheetId="6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2__FDSAUDITLINK__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20__FDSAUDITLINK__" localSheetId="6" hidden="1">{"fdsup://directions/FAT Viewer?action=UPDATE&amp;creator=factset&amp;DYN_ARGS=TRUE&amp;DOC_NAME=FAT:FQL_AUDITING_CLIENT_TEMPLATE.FAT&amp;display_string=Audit&amp;VAR:KEY=LMHAJMXGNQ&amp;VAR:QUERY=RkZfRUJJVERBX0lCKCdMVE1TJywzODk5Myk=&amp;WINDOW=FIRST_POPUP&amp;HEIGHT=450&amp;WIDTH=450&amp;START_MA","XIMIZED=FALSE&amp;VAR:CALENDAR=US&amp;VAR:SYMBOL=N0098510&amp;VAR:INDEX=0"}</definedName>
    <definedName name="_6720__FDSAUDITLINK__" hidden="1">{"fdsup://directions/FAT Viewer?action=UPDATE&amp;creator=factset&amp;DYN_ARGS=TRUE&amp;DOC_NAME=FAT:FQL_AUDITING_CLIENT_TEMPLATE.FAT&amp;display_string=Audit&amp;VAR:KEY=LMHAJMXGNQ&amp;VAR:QUERY=RkZfRUJJVERBX0lCKCdMVE1TJywzODk5Myk=&amp;WINDOW=FIRST_POPUP&amp;HEIGHT=450&amp;WIDTH=450&amp;START_MA","XIMIZED=FALSE&amp;VAR:CALENDAR=US&amp;VAR:SYMBOL=N0098510&amp;VAR:INDEX=0"}</definedName>
    <definedName name="_6721__FDSAUDITLINK__" localSheetId="6" hidden="1">{"fdsup://directions/FAT Viewer?action=UPDATE&amp;creator=factset&amp;DYN_ARGS=TRUE&amp;DOC_NAME=FAT:FQL_AUDITING_CLIENT_TEMPLATE.FAT&amp;display_string=Audit&amp;VAR:KEY=BOPGNKTQZU&amp;VAR:QUERY=RkZfRUJJVERBX0lCKCdMVE1TJywzODk5Mik=&amp;WINDOW=FIRST_POPUP&amp;HEIGHT=450&amp;WIDTH=450&amp;START_MA","XIMIZED=FALSE&amp;VAR:CALENDAR=US&amp;VAR:SYMBOL=N0098510&amp;VAR:INDEX=0"}</definedName>
    <definedName name="_6721__FDSAUDITLINK__" hidden="1">{"fdsup://directions/FAT Viewer?action=UPDATE&amp;creator=factset&amp;DYN_ARGS=TRUE&amp;DOC_NAME=FAT:FQL_AUDITING_CLIENT_TEMPLATE.FAT&amp;display_string=Audit&amp;VAR:KEY=BOPGNKTQZU&amp;VAR:QUERY=RkZfRUJJVERBX0lCKCdMVE1TJywzODk5Mik=&amp;WINDOW=FIRST_POPUP&amp;HEIGHT=450&amp;WIDTH=450&amp;START_MA","XIMIZED=FALSE&amp;VAR:CALENDAR=US&amp;VAR:SYMBOL=N0098510&amp;VAR:INDEX=0"}</definedName>
    <definedName name="_6722__FDSAUDITLINK__" localSheetId="6" hidden="1">{"fdsup://directions/FAT Viewer?action=UPDATE&amp;creator=factset&amp;DYN_ARGS=TRUE&amp;DOC_NAME=FAT:FQL_AUDITING_CLIENT_TEMPLATE.FAT&amp;display_string=Audit&amp;VAR:KEY=DGHYFKBQBI&amp;VAR:QUERY=RkZfRUJJVERBX0lCKCdMVE1TJywzODk5MSk=&amp;WINDOW=FIRST_POPUP&amp;HEIGHT=450&amp;WIDTH=450&amp;START_MA","XIMIZED=FALSE&amp;VAR:CALENDAR=US&amp;VAR:SYMBOL=N0098510&amp;VAR:INDEX=0"}</definedName>
    <definedName name="_6722__FDSAUDITLINK__" hidden="1">{"fdsup://directions/FAT Viewer?action=UPDATE&amp;creator=factset&amp;DYN_ARGS=TRUE&amp;DOC_NAME=FAT:FQL_AUDITING_CLIENT_TEMPLATE.FAT&amp;display_string=Audit&amp;VAR:KEY=DGHYFKBQBI&amp;VAR:QUERY=RkZfRUJJVERBX0lCKCdMVE1TJywzODk5MSk=&amp;WINDOW=FIRST_POPUP&amp;HEIGHT=450&amp;WIDTH=450&amp;START_MA","XIMIZED=FALSE&amp;VAR:CALENDAR=US&amp;VAR:SYMBOL=N0098510&amp;VAR:INDEX=0"}</definedName>
    <definedName name="_6723__FDSAUDITLINK__" localSheetId="6" hidden="1">{"fdsup://directions/FAT Viewer?action=UPDATE&amp;creator=factset&amp;DYN_ARGS=TRUE&amp;DOC_NAME=FAT:FQL_AUDITING_CLIENT_TEMPLATE.FAT&amp;display_string=Audit&amp;VAR:KEY=HSHWBARQXK&amp;VAR:QUERY=RkZfRUJJVERBX0lCKCdMVE1TJywzODk5MCk=&amp;WINDOW=FIRST_POPUP&amp;HEIGHT=450&amp;WIDTH=450&amp;START_MA","XIMIZED=FALSE&amp;VAR:CALENDAR=US&amp;VAR:SYMBOL=N0098510&amp;VAR:INDEX=0"}</definedName>
    <definedName name="_6723__FDSAUDITLINK__" hidden="1">{"fdsup://directions/FAT Viewer?action=UPDATE&amp;creator=factset&amp;DYN_ARGS=TRUE&amp;DOC_NAME=FAT:FQL_AUDITING_CLIENT_TEMPLATE.FAT&amp;display_string=Audit&amp;VAR:KEY=HSHWBARQXK&amp;VAR:QUERY=RkZfRUJJVERBX0lCKCdMVE1TJywzODk5MCk=&amp;WINDOW=FIRST_POPUP&amp;HEIGHT=450&amp;WIDTH=450&amp;START_MA","XIMIZED=FALSE&amp;VAR:CALENDAR=US&amp;VAR:SYMBOL=N0098510&amp;VAR:INDEX=0"}</definedName>
    <definedName name="_6724__FDSAUDITLINK__" localSheetId="6" hidden="1">{"fdsup://directions/FAT Viewer?action=UPDATE&amp;creator=factset&amp;DYN_ARGS=TRUE&amp;DOC_NAME=FAT:FQL_AUDITING_CLIENT_TEMPLATE.FAT&amp;display_string=Audit&amp;VAR:KEY=HGLUZSFGBC&amp;VAR:QUERY=RkZfRUJJVERBX0lCKCdMVE1TJywzODk4OSk=&amp;WINDOW=FIRST_POPUP&amp;HEIGHT=450&amp;WIDTH=450&amp;START_MA","XIMIZED=FALSE&amp;VAR:CALENDAR=US&amp;VAR:SYMBOL=N0098510&amp;VAR:INDEX=0"}</definedName>
    <definedName name="_6724__FDSAUDITLINK__" hidden="1">{"fdsup://directions/FAT Viewer?action=UPDATE&amp;creator=factset&amp;DYN_ARGS=TRUE&amp;DOC_NAME=FAT:FQL_AUDITING_CLIENT_TEMPLATE.FAT&amp;display_string=Audit&amp;VAR:KEY=HGLUZSFGBC&amp;VAR:QUERY=RkZfRUJJVERBX0lCKCdMVE1TJywzODk4OSk=&amp;WINDOW=FIRST_POPUP&amp;HEIGHT=450&amp;WIDTH=450&amp;START_MA","XIMIZED=FALSE&amp;VAR:CALENDAR=US&amp;VAR:SYMBOL=N0098510&amp;VAR:INDEX=0"}</definedName>
    <definedName name="_6725__FDSAUDITLINK__" localSheetId="6" hidden="1">{"fdsup://directions/FAT Viewer?action=UPDATE&amp;creator=factset&amp;DYN_ARGS=TRUE&amp;DOC_NAME=FAT:FQL_AUDITING_CLIENT_TEMPLATE.FAT&amp;display_string=Audit&amp;VAR:KEY=HSDMZKVCJE&amp;VAR:QUERY=RkZfRUJJVERBX0lCKCdMVE1TJywzODk4OCk=&amp;WINDOW=FIRST_POPUP&amp;HEIGHT=450&amp;WIDTH=450&amp;START_MA","XIMIZED=FALSE&amp;VAR:CALENDAR=US&amp;VAR:SYMBOL=N0098510&amp;VAR:INDEX=0"}</definedName>
    <definedName name="_6725__FDSAUDITLINK__" hidden="1">{"fdsup://directions/FAT Viewer?action=UPDATE&amp;creator=factset&amp;DYN_ARGS=TRUE&amp;DOC_NAME=FAT:FQL_AUDITING_CLIENT_TEMPLATE.FAT&amp;display_string=Audit&amp;VAR:KEY=HSDMZKVCJE&amp;VAR:QUERY=RkZfRUJJVERBX0lCKCdMVE1TJywzODk4OCk=&amp;WINDOW=FIRST_POPUP&amp;HEIGHT=450&amp;WIDTH=450&amp;START_MA","XIMIZED=FALSE&amp;VAR:CALENDAR=US&amp;VAR:SYMBOL=N0098510&amp;VAR:INDEX=0"}</definedName>
    <definedName name="_6726__FDSAUDITLINK__" localSheetId="6" hidden="1">{"fdsup://directions/FAT Viewer?action=UPDATE&amp;creator=factset&amp;DYN_ARGS=TRUE&amp;DOC_NAME=FAT:FQL_AUDITING_CLIENT_TEMPLATE.FAT&amp;display_string=Audit&amp;VAR:KEY=PKRMNSBGTY&amp;VAR:QUERY=RkZfRUJJVERBX0lCKCdMVE1TJywzODk4Nyk=&amp;WINDOW=FIRST_POPUP&amp;HEIGHT=450&amp;WIDTH=450&amp;START_MA","XIMIZED=FALSE&amp;VAR:CALENDAR=US&amp;VAR:SYMBOL=N0098510&amp;VAR:INDEX=0"}</definedName>
    <definedName name="_6726__FDSAUDITLINK__" hidden="1">{"fdsup://directions/FAT Viewer?action=UPDATE&amp;creator=factset&amp;DYN_ARGS=TRUE&amp;DOC_NAME=FAT:FQL_AUDITING_CLIENT_TEMPLATE.FAT&amp;display_string=Audit&amp;VAR:KEY=PKRMNSBGTY&amp;VAR:QUERY=RkZfRUJJVERBX0lCKCdMVE1TJywzODk4Nyk=&amp;WINDOW=FIRST_POPUP&amp;HEIGHT=450&amp;WIDTH=450&amp;START_MA","XIMIZED=FALSE&amp;VAR:CALENDAR=US&amp;VAR:SYMBOL=N0098510&amp;VAR:INDEX=0"}</definedName>
    <definedName name="_6727__FDSAUDITLINK__" localSheetId="6" hidden="1">{"fdsup://directions/FAT Viewer?action=UPDATE&amp;creator=factset&amp;DYN_ARGS=TRUE&amp;DOC_NAME=FAT:FQL_AUDITING_CLIENT_TEMPLATE.FAT&amp;display_string=Audit&amp;VAR:KEY=TCPGJENKRO&amp;VAR:QUERY=RkZfRUJJVERBX0lCKCdMVE1TJywzODk4Nik=&amp;WINDOW=FIRST_POPUP&amp;HEIGHT=450&amp;WIDTH=450&amp;START_MA","XIMIZED=FALSE&amp;VAR:CALENDAR=US&amp;VAR:SYMBOL=N0098510&amp;VAR:INDEX=0"}</definedName>
    <definedName name="_6727__FDSAUDITLINK__" hidden="1">{"fdsup://directions/FAT Viewer?action=UPDATE&amp;creator=factset&amp;DYN_ARGS=TRUE&amp;DOC_NAME=FAT:FQL_AUDITING_CLIENT_TEMPLATE.FAT&amp;display_string=Audit&amp;VAR:KEY=TCPGJENKRO&amp;VAR:QUERY=RkZfRUJJVERBX0lCKCdMVE1TJywzODk4Nik=&amp;WINDOW=FIRST_POPUP&amp;HEIGHT=450&amp;WIDTH=450&amp;START_MA","XIMIZED=FALSE&amp;VAR:CALENDAR=US&amp;VAR:SYMBOL=N0098510&amp;VAR:INDEX=0"}</definedName>
    <definedName name="_6728__FDSAUDITLINK__" localSheetId="6" hidden="1">{"fdsup://directions/FAT Viewer?action=UPDATE&amp;creator=factset&amp;DYN_ARGS=TRUE&amp;DOC_NAME=FAT:FQL_AUDITING_CLIENT_TEMPLATE.FAT&amp;display_string=Audit&amp;VAR:KEY=LATCRCFATC&amp;VAR:QUERY=RkZfRUJJVERBX0lCKCdMVE1TJywzODk4NSk=&amp;WINDOW=FIRST_POPUP&amp;HEIGHT=450&amp;WIDTH=450&amp;START_MA","XIMIZED=FALSE&amp;VAR:CALENDAR=US&amp;VAR:SYMBOL=N0098510&amp;VAR:INDEX=0"}</definedName>
    <definedName name="_6728__FDSAUDITLINK__" hidden="1">{"fdsup://directions/FAT Viewer?action=UPDATE&amp;creator=factset&amp;DYN_ARGS=TRUE&amp;DOC_NAME=FAT:FQL_AUDITING_CLIENT_TEMPLATE.FAT&amp;display_string=Audit&amp;VAR:KEY=LATCRCFATC&amp;VAR:QUERY=RkZfRUJJVERBX0lCKCdMVE1TJywzODk4NSk=&amp;WINDOW=FIRST_POPUP&amp;HEIGHT=450&amp;WIDTH=450&amp;START_MA","XIMIZED=FALSE&amp;VAR:CALENDAR=US&amp;VAR:SYMBOL=N0098510&amp;VAR:INDEX=0"}</definedName>
    <definedName name="_6729__FDSAUDITLINK__" localSheetId="6" hidden="1">{"fdsup://directions/FAT Viewer?action=UPDATE&amp;creator=factset&amp;DYN_ARGS=TRUE&amp;DOC_NAME=FAT:FQL_AUDITING_CLIENT_TEMPLATE.FAT&amp;display_string=Audit&amp;VAR:KEY=NUXINYJSHG&amp;VAR:QUERY=RkZfRUJJVERBX0lCKCdMVE1TJywzODk4NCk=&amp;WINDOW=FIRST_POPUP&amp;HEIGHT=450&amp;WIDTH=450&amp;START_MA","XIMIZED=FALSE&amp;VAR:CALENDAR=US&amp;VAR:SYMBOL=N0098510&amp;VAR:INDEX=0"}</definedName>
    <definedName name="_6729__FDSAUDITLINK__" hidden="1">{"fdsup://directions/FAT Viewer?action=UPDATE&amp;creator=factset&amp;DYN_ARGS=TRUE&amp;DOC_NAME=FAT:FQL_AUDITING_CLIENT_TEMPLATE.FAT&amp;display_string=Audit&amp;VAR:KEY=NUXINYJSHG&amp;VAR:QUERY=RkZfRUJJVERBX0lCKCdMVE1TJywzODk4NCk=&amp;WINDOW=FIRST_POPUP&amp;HEIGHT=450&amp;WIDTH=450&amp;START_MA","XIMIZED=FALSE&amp;VAR:CALENDAR=US&amp;VAR:SYMBOL=N0098510&amp;VAR:INDEX=0"}</definedName>
    <definedName name="_673__FDSAUDITLINK__" localSheetId="6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3__FDSAUDITLINK__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30__FDSAUDITLINK__" localSheetId="6" hidden="1">{"fdsup://directions/FAT Viewer?action=UPDATE&amp;creator=factset&amp;DYN_ARGS=TRUE&amp;DOC_NAME=FAT:FQL_AUDITING_CLIENT_TEMPLATE.FAT&amp;display_string=Audit&amp;VAR:KEY=LYPALEBENS&amp;VAR:QUERY=RkZfRUJJVERBX0lCKCdMVE1TJywzODk4Myk=&amp;WINDOW=FIRST_POPUP&amp;HEIGHT=450&amp;WIDTH=450&amp;START_MA","XIMIZED=FALSE&amp;VAR:CALENDAR=US&amp;VAR:SYMBOL=N0098510&amp;VAR:INDEX=0"}</definedName>
    <definedName name="_6730__FDSAUDITLINK__" hidden="1">{"fdsup://directions/FAT Viewer?action=UPDATE&amp;creator=factset&amp;DYN_ARGS=TRUE&amp;DOC_NAME=FAT:FQL_AUDITING_CLIENT_TEMPLATE.FAT&amp;display_string=Audit&amp;VAR:KEY=LYPALEBENS&amp;VAR:QUERY=RkZfRUJJVERBX0lCKCdMVE1TJywzODk4Myk=&amp;WINDOW=FIRST_POPUP&amp;HEIGHT=450&amp;WIDTH=450&amp;START_MA","XIMIZED=FALSE&amp;VAR:CALENDAR=US&amp;VAR:SYMBOL=N0098510&amp;VAR:INDEX=0"}</definedName>
    <definedName name="_6731__FDSAUDITLINK__" localSheetId="6" hidden="1">{"fdsup://directions/FAT Viewer?action=UPDATE&amp;creator=factset&amp;DYN_ARGS=TRUE&amp;DOC_NAME=FAT:FQL_AUDITING_CLIENT_TEMPLATE.FAT&amp;display_string=Audit&amp;VAR:KEY=TEVEDGJEDY&amp;VAR:QUERY=RkZfRUJJVERBX0lCKCdMVE1TJywzODk4Mik=&amp;WINDOW=FIRST_POPUP&amp;HEIGHT=450&amp;WIDTH=450&amp;START_MA","XIMIZED=FALSE&amp;VAR:CALENDAR=US&amp;VAR:SYMBOL=N0098510&amp;VAR:INDEX=0"}</definedName>
    <definedName name="_6731__FDSAUDITLINK__" hidden="1">{"fdsup://directions/FAT Viewer?action=UPDATE&amp;creator=factset&amp;DYN_ARGS=TRUE&amp;DOC_NAME=FAT:FQL_AUDITING_CLIENT_TEMPLATE.FAT&amp;display_string=Audit&amp;VAR:KEY=TEVEDGJEDY&amp;VAR:QUERY=RkZfRUJJVERBX0lCKCdMVE1TJywzODk4Mik=&amp;WINDOW=FIRST_POPUP&amp;HEIGHT=450&amp;WIDTH=450&amp;START_MA","XIMIZED=FALSE&amp;VAR:CALENDAR=US&amp;VAR:SYMBOL=N0098510&amp;VAR:INDEX=0"}</definedName>
    <definedName name="_6732__FDSAUDITLINK__" localSheetId="6" hidden="1">{"fdsup://directions/FAT Viewer?action=UPDATE&amp;creator=factset&amp;DYN_ARGS=TRUE&amp;DOC_NAME=FAT:FQL_AUDITING_CLIENT_TEMPLATE.FAT&amp;display_string=Audit&amp;VAR:KEY=BQLWZSJORM&amp;VAR:QUERY=RkZfRUJJVERBX0lCKCdMVE1TJywzODk4MSk=&amp;WINDOW=FIRST_POPUP&amp;HEIGHT=450&amp;WIDTH=450&amp;START_MA","XIMIZED=FALSE&amp;VAR:CALENDAR=US&amp;VAR:SYMBOL=N0098510&amp;VAR:INDEX=0"}</definedName>
    <definedName name="_6732__FDSAUDITLINK__" hidden="1">{"fdsup://directions/FAT Viewer?action=UPDATE&amp;creator=factset&amp;DYN_ARGS=TRUE&amp;DOC_NAME=FAT:FQL_AUDITING_CLIENT_TEMPLATE.FAT&amp;display_string=Audit&amp;VAR:KEY=BQLWZSJORM&amp;VAR:QUERY=RkZfRUJJVERBX0lCKCdMVE1TJywzODk4MSk=&amp;WINDOW=FIRST_POPUP&amp;HEIGHT=450&amp;WIDTH=450&amp;START_MA","XIMIZED=FALSE&amp;VAR:CALENDAR=US&amp;VAR:SYMBOL=N0098510&amp;VAR:INDEX=0"}</definedName>
    <definedName name="_6733__FDSAUDITLINK__" localSheetId="6" hidden="1">{"fdsup://directions/FAT Viewer?action=UPDATE&amp;creator=factset&amp;DYN_ARGS=TRUE&amp;DOC_NAME=FAT:FQL_AUDITING_CLIENT_TEMPLATE.FAT&amp;display_string=Audit&amp;VAR:KEY=LEZEHGPQJI&amp;VAR:QUERY=RkZfRUJJVERBX0lCKCdMVE1TJywzODk4MCk=&amp;WINDOW=FIRST_POPUP&amp;HEIGHT=450&amp;WIDTH=450&amp;START_MA","XIMIZED=FALSE&amp;VAR:CALENDAR=US&amp;VAR:SYMBOL=N0098510&amp;VAR:INDEX=0"}</definedName>
    <definedName name="_6733__FDSAUDITLINK__" hidden="1">{"fdsup://directions/FAT Viewer?action=UPDATE&amp;creator=factset&amp;DYN_ARGS=TRUE&amp;DOC_NAME=FAT:FQL_AUDITING_CLIENT_TEMPLATE.FAT&amp;display_string=Audit&amp;VAR:KEY=LEZEHGPQJI&amp;VAR:QUERY=RkZfRUJJVERBX0lCKCdMVE1TJywzODk4MCk=&amp;WINDOW=FIRST_POPUP&amp;HEIGHT=450&amp;WIDTH=450&amp;START_MA","XIMIZED=FALSE&amp;VAR:CALENDAR=US&amp;VAR:SYMBOL=N0098510&amp;VAR:INDEX=0"}</definedName>
    <definedName name="_6734__FDSAUDITLINK__" localSheetId="6" hidden="1">{"fdsup://directions/FAT Viewer?action=UPDATE&amp;creator=factset&amp;DYN_ARGS=TRUE&amp;DOC_NAME=FAT:FQL_AUDITING_CLIENT_TEMPLATE.FAT&amp;display_string=Audit&amp;VAR:KEY=JYZGRMBSVK&amp;VAR:QUERY=RkZfRUJJVERBX0lCKCdMVE1TJywzODk3OSk=&amp;WINDOW=FIRST_POPUP&amp;HEIGHT=450&amp;WIDTH=450&amp;START_MA","XIMIZED=FALSE&amp;VAR:CALENDAR=US&amp;VAR:SYMBOL=N0098510&amp;VAR:INDEX=0"}</definedName>
    <definedName name="_6734__FDSAUDITLINK__" hidden="1">{"fdsup://directions/FAT Viewer?action=UPDATE&amp;creator=factset&amp;DYN_ARGS=TRUE&amp;DOC_NAME=FAT:FQL_AUDITING_CLIENT_TEMPLATE.FAT&amp;display_string=Audit&amp;VAR:KEY=JYZGRMBSVK&amp;VAR:QUERY=RkZfRUJJVERBX0lCKCdMVE1TJywzODk3OSk=&amp;WINDOW=FIRST_POPUP&amp;HEIGHT=450&amp;WIDTH=450&amp;START_MA","XIMIZED=FALSE&amp;VAR:CALENDAR=US&amp;VAR:SYMBOL=N0098510&amp;VAR:INDEX=0"}</definedName>
    <definedName name="_6735__FDSAUDITLINK__" localSheetId="6" hidden="1">{"fdsup://directions/FAT Viewer?action=UPDATE&amp;creator=factset&amp;DYN_ARGS=TRUE&amp;DOC_NAME=FAT:FQL_AUDITING_CLIENT_TEMPLATE.FAT&amp;display_string=Audit&amp;VAR:KEY=PYFSPKTCVI&amp;VAR:QUERY=RkZfRUJJVERBX0lCKCdMVE1TJywzODk3OCk=&amp;WINDOW=FIRST_POPUP&amp;HEIGHT=450&amp;WIDTH=450&amp;START_MA","XIMIZED=FALSE&amp;VAR:CALENDAR=US&amp;VAR:SYMBOL=N0098510&amp;VAR:INDEX=0"}</definedName>
    <definedName name="_6735__FDSAUDITLINK__" hidden="1">{"fdsup://directions/FAT Viewer?action=UPDATE&amp;creator=factset&amp;DYN_ARGS=TRUE&amp;DOC_NAME=FAT:FQL_AUDITING_CLIENT_TEMPLATE.FAT&amp;display_string=Audit&amp;VAR:KEY=PYFSPKTCVI&amp;VAR:QUERY=RkZfRUJJVERBX0lCKCdMVE1TJywzODk3OCk=&amp;WINDOW=FIRST_POPUP&amp;HEIGHT=450&amp;WIDTH=450&amp;START_MA","XIMIZED=FALSE&amp;VAR:CALENDAR=US&amp;VAR:SYMBOL=N0098510&amp;VAR:INDEX=0"}</definedName>
    <definedName name="_6736__FDSAUDITLINK__" localSheetId="6" hidden="1">{"fdsup://directions/FAT Viewer?action=UPDATE&amp;creator=factset&amp;DYN_ARGS=TRUE&amp;DOC_NAME=FAT:FQL_AUDITING_CLIENT_TEMPLATE.FAT&amp;display_string=Audit&amp;VAR:KEY=LSLIPIRMTW&amp;VAR:QUERY=RkZfRUJJVERBX0lCKCdMVE1TJywzODk3Nyk=&amp;WINDOW=FIRST_POPUP&amp;HEIGHT=450&amp;WIDTH=450&amp;START_MA","XIMIZED=FALSE&amp;VAR:CALENDAR=US&amp;VAR:SYMBOL=N0098510&amp;VAR:INDEX=0"}</definedName>
    <definedName name="_6736__FDSAUDITLINK__" hidden="1">{"fdsup://directions/FAT Viewer?action=UPDATE&amp;creator=factset&amp;DYN_ARGS=TRUE&amp;DOC_NAME=FAT:FQL_AUDITING_CLIENT_TEMPLATE.FAT&amp;display_string=Audit&amp;VAR:KEY=LSLIPIRMTW&amp;VAR:QUERY=RkZfRUJJVERBX0lCKCdMVE1TJywzODk3Nyk=&amp;WINDOW=FIRST_POPUP&amp;HEIGHT=450&amp;WIDTH=450&amp;START_MA","XIMIZED=FALSE&amp;VAR:CALENDAR=US&amp;VAR:SYMBOL=N0098510&amp;VAR:INDEX=0"}</definedName>
    <definedName name="_6737__FDSAUDITLINK__" localSheetId="6" hidden="1">{"fdsup://directions/FAT Viewer?action=UPDATE&amp;creator=factset&amp;DYN_ARGS=TRUE&amp;DOC_NAME=FAT:FQL_AUDITING_CLIENT_TEMPLATE.FAT&amp;display_string=Audit&amp;VAR:KEY=RCHULWBURQ&amp;VAR:QUERY=RkZfRUJJVERBX0lCKCdMVE1TJywzODk3Nik=&amp;WINDOW=FIRST_POPUP&amp;HEIGHT=450&amp;WIDTH=450&amp;START_MA","XIMIZED=FALSE&amp;VAR:CALENDAR=US&amp;VAR:SYMBOL=N0098510&amp;VAR:INDEX=0"}</definedName>
    <definedName name="_6737__FDSAUDITLINK__" hidden="1">{"fdsup://directions/FAT Viewer?action=UPDATE&amp;creator=factset&amp;DYN_ARGS=TRUE&amp;DOC_NAME=FAT:FQL_AUDITING_CLIENT_TEMPLATE.FAT&amp;display_string=Audit&amp;VAR:KEY=RCHULWBURQ&amp;VAR:QUERY=RkZfRUJJVERBX0lCKCdMVE1TJywzODk3Nik=&amp;WINDOW=FIRST_POPUP&amp;HEIGHT=450&amp;WIDTH=450&amp;START_MA","XIMIZED=FALSE&amp;VAR:CALENDAR=US&amp;VAR:SYMBOL=N0098510&amp;VAR:INDEX=0"}</definedName>
    <definedName name="_6738__FDSAUDITLINK__" localSheetId="6" hidden="1">{"fdsup://directions/FAT Viewer?action=UPDATE&amp;creator=factset&amp;DYN_ARGS=TRUE&amp;DOC_NAME=FAT:FQL_AUDITING_CLIENT_TEMPLATE.FAT&amp;display_string=Audit&amp;VAR:KEY=ZWLOJQXGBY&amp;VAR:QUERY=RkZfRUJJVERBX0lCKCdMVE1TJywzODk3NSk=&amp;WINDOW=FIRST_POPUP&amp;HEIGHT=450&amp;WIDTH=450&amp;START_MA","XIMIZED=FALSE&amp;VAR:CALENDAR=US&amp;VAR:SYMBOL=N0098510&amp;VAR:INDEX=0"}</definedName>
    <definedName name="_6738__FDSAUDITLINK__" hidden="1">{"fdsup://directions/FAT Viewer?action=UPDATE&amp;creator=factset&amp;DYN_ARGS=TRUE&amp;DOC_NAME=FAT:FQL_AUDITING_CLIENT_TEMPLATE.FAT&amp;display_string=Audit&amp;VAR:KEY=ZWLOJQXGBY&amp;VAR:QUERY=RkZfRUJJVERBX0lCKCdMVE1TJywzODk3NSk=&amp;WINDOW=FIRST_POPUP&amp;HEIGHT=450&amp;WIDTH=450&amp;START_MA","XIMIZED=FALSE&amp;VAR:CALENDAR=US&amp;VAR:SYMBOL=N0098510&amp;VAR:INDEX=0"}</definedName>
    <definedName name="_6739__FDSAUDITLINK__" localSheetId="6" hidden="1">{"fdsup://directions/FAT Viewer?action=UPDATE&amp;creator=factset&amp;DYN_ARGS=TRUE&amp;DOC_NAME=FAT:FQL_AUDITING_CLIENT_TEMPLATE.FAT&amp;display_string=Audit&amp;VAR:KEY=DKVWZYLSZC&amp;VAR:QUERY=RkZfRUJJVERBX0lCKCdMVE1TJywzODk3NCk=&amp;WINDOW=FIRST_POPUP&amp;HEIGHT=450&amp;WIDTH=450&amp;START_MA","XIMIZED=FALSE&amp;VAR:CALENDAR=US&amp;VAR:SYMBOL=N0098510&amp;VAR:INDEX=0"}</definedName>
    <definedName name="_6739__FDSAUDITLINK__" hidden="1">{"fdsup://directions/FAT Viewer?action=UPDATE&amp;creator=factset&amp;DYN_ARGS=TRUE&amp;DOC_NAME=FAT:FQL_AUDITING_CLIENT_TEMPLATE.FAT&amp;display_string=Audit&amp;VAR:KEY=DKVWZYLSZC&amp;VAR:QUERY=RkZfRUJJVERBX0lCKCdMVE1TJywzODk3NCk=&amp;WINDOW=FIRST_POPUP&amp;HEIGHT=450&amp;WIDTH=450&amp;START_MA","XIMIZED=FALSE&amp;VAR:CALENDAR=US&amp;VAR:SYMBOL=N0098510&amp;VAR:INDEX=0"}</definedName>
    <definedName name="_674__FDSAUDITLINK__" localSheetId="6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4__FDSAUDITLINK__" hidden="1">{"fdsup://directions/FAT%20Viewer?VAR:PED=LTM&amp;VAR:AUDIT_MODE=SUMMARY&amp;VAR:PERIOD=FIXED&amp;VAR:AUDIT_ID=00000117&amp;VAR:DATE=20080418&amp;action=UPDATE&amp;creator=factset&amp;DOC_NAME=FAT:FMA_audit_SUMMARY.fat&amp;DISPLAY_STRING=Display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40__FDSAUDITLINK__" localSheetId="6" hidden="1">{"fdsup://directions/FAT Viewer?action=UPDATE&amp;creator=factset&amp;DYN_ARGS=TRUE&amp;DOC_NAME=FAT:FQL_AUDITING_CLIENT_TEMPLATE.FAT&amp;display_string=Audit&amp;VAR:KEY=JCDMFOBEDG&amp;VAR:QUERY=RkZfRUJJVERBX0lCKCdMVE1TJywzODk3Myk=&amp;WINDOW=FIRST_POPUP&amp;HEIGHT=450&amp;WIDTH=450&amp;START_MA","XIMIZED=FALSE&amp;VAR:CALENDAR=US&amp;VAR:SYMBOL=N0098510&amp;VAR:INDEX=0"}</definedName>
    <definedName name="_6740__FDSAUDITLINK__" hidden="1">{"fdsup://directions/FAT Viewer?action=UPDATE&amp;creator=factset&amp;DYN_ARGS=TRUE&amp;DOC_NAME=FAT:FQL_AUDITING_CLIENT_TEMPLATE.FAT&amp;display_string=Audit&amp;VAR:KEY=JCDMFOBEDG&amp;VAR:QUERY=RkZfRUJJVERBX0lCKCdMVE1TJywzODk3Myk=&amp;WINDOW=FIRST_POPUP&amp;HEIGHT=450&amp;WIDTH=450&amp;START_MA","XIMIZED=FALSE&amp;VAR:CALENDAR=US&amp;VAR:SYMBOL=N0098510&amp;VAR:INDEX=0"}</definedName>
    <definedName name="_6741__FDSAUDITLINK__" localSheetId="6" hidden="1">{"fdsup://directions/FAT Viewer?action=UPDATE&amp;creator=factset&amp;DYN_ARGS=TRUE&amp;DOC_NAME=FAT:FQL_AUDITING_CLIENT_TEMPLATE.FAT&amp;display_string=Audit&amp;VAR:KEY=NILMJEXKFU&amp;VAR:QUERY=RkZfRUJJVERBX0lCKCdMVE1TJywzODk3Mik=&amp;WINDOW=FIRST_POPUP&amp;HEIGHT=450&amp;WIDTH=450&amp;START_MA","XIMIZED=FALSE&amp;VAR:CALENDAR=US&amp;VAR:SYMBOL=N0098510&amp;VAR:INDEX=0"}</definedName>
    <definedName name="_6741__FDSAUDITLINK__" hidden="1">{"fdsup://directions/FAT Viewer?action=UPDATE&amp;creator=factset&amp;DYN_ARGS=TRUE&amp;DOC_NAME=FAT:FQL_AUDITING_CLIENT_TEMPLATE.FAT&amp;display_string=Audit&amp;VAR:KEY=NILMJEXKFU&amp;VAR:QUERY=RkZfRUJJVERBX0lCKCdMVE1TJywzODk3Mik=&amp;WINDOW=FIRST_POPUP&amp;HEIGHT=450&amp;WIDTH=450&amp;START_MA","XIMIZED=FALSE&amp;VAR:CALENDAR=US&amp;VAR:SYMBOL=N0098510&amp;VAR:INDEX=0"}</definedName>
    <definedName name="_6742__FDSAUDITLINK__" localSheetId="6" hidden="1">{"fdsup://directions/FAT Viewer?action=UPDATE&amp;creator=factset&amp;DYN_ARGS=TRUE&amp;DOC_NAME=FAT:FQL_AUDITING_CLIENT_TEMPLATE.FAT&amp;display_string=Audit&amp;VAR:KEY=XWTYBCFKDQ&amp;VAR:QUERY=RkZfRUJJVERBX0lCKCdMVE1TJywzODk3MSk=&amp;WINDOW=FIRST_POPUP&amp;HEIGHT=450&amp;WIDTH=450&amp;START_MA","XIMIZED=FALSE&amp;VAR:CALENDAR=US&amp;VAR:SYMBOL=N0098510&amp;VAR:INDEX=0"}</definedName>
    <definedName name="_6742__FDSAUDITLINK__" hidden="1">{"fdsup://directions/FAT Viewer?action=UPDATE&amp;creator=factset&amp;DYN_ARGS=TRUE&amp;DOC_NAME=FAT:FQL_AUDITING_CLIENT_TEMPLATE.FAT&amp;display_string=Audit&amp;VAR:KEY=XWTYBCFKDQ&amp;VAR:QUERY=RkZfRUJJVERBX0lCKCdMVE1TJywzODk3MSk=&amp;WINDOW=FIRST_POPUP&amp;HEIGHT=450&amp;WIDTH=450&amp;START_MA","XIMIZED=FALSE&amp;VAR:CALENDAR=US&amp;VAR:SYMBOL=N0098510&amp;VAR:INDEX=0"}</definedName>
    <definedName name="_6743__FDSAUDITLINK__" localSheetId="6" hidden="1">{"fdsup://directions/FAT Viewer?action=UPDATE&amp;creator=factset&amp;DYN_ARGS=TRUE&amp;DOC_NAME=FAT:FQL_AUDITING_CLIENT_TEMPLATE.FAT&amp;display_string=Audit&amp;VAR:KEY=DORGDMBUDC&amp;VAR:QUERY=RkZfRUJJVERBX0lCKCdMVE1TJywzODk3MCk=&amp;WINDOW=FIRST_POPUP&amp;HEIGHT=450&amp;WIDTH=450&amp;START_MA","XIMIZED=FALSE&amp;VAR:CALENDAR=US&amp;VAR:SYMBOL=N0098510&amp;VAR:INDEX=0"}</definedName>
    <definedName name="_6743__FDSAUDITLINK__" hidden="1">{"fdsup://directions/FAT Viewer?action=UPDATE&amp;creator=factset&amp;DYN_ARGS=TRUE&amp;DOC_NAME=FAT:FQL_AUDITING_CLIENT_TEMPLATE.FAT&amp;display_string=Audit&amp;VAR:KEY=DORGDMBUDC&amp;VAR:QUERY=RkZfRUJJVERBX0lCKCdMVE1TJywzODk3MCk=&amp;WINDOW=FIRST_POPUP&amp;HEIGHT=450&amp;WIDTH=450&amp;START_MA","XIMIZED=FALSE&amp;VAR:CALENDAR=US&amp;VAR:SYMBOL=N0098510&amp;VAR:INDEX=0"}</definedName>
    <definedName name="_6744__FDSAUDITLINK__" localSheetId="6" hidden="1">{"fdsup://directions/FAT Viewer?action=UPDATE&amp;creator=factset&amp;DYN_ARGS=TRUE&amp;DOC_NAME=FAT:FQL_AUDITING_CLIENT_TEMPLATE.FAT&amp;display_string=Audit&amp;VAR:KEY=VQNYVIZYPY&amp;VAR:QUERY=RkZfRUJJVERBX0lCKCdMVE1TJywzODk2OSk=&amp;WINDOW=FIRST_POPUP&amp;HEIGHT=450&amp;WIDTH=450&amp;START_MA","XIMIZED=FALSE&amp;VAR:CALENDAR=US&amp;VAR:SYMBOL=N0098510&amp;VAR:INDEX=0"}</definedName>
    <definedName name="_6744__FDSAUDITLINK__" hidden="1">{"fdsup://directions/FAT Viewer?action=UPDATE&amp;creator=factset&amp;DYN_ARGS=TRUE&amp;DOC_NAME=FAT:FQL_AUDITING_CLIENT_TEMPLATE.FAT&amp;display_string=Audit&amp;VAR:KEY=VQNYVIZYPY&amp;VAR:QUERY=RkZfRUJJVERBX0lCKCdMVE1TJywzODk2OSk=&amp;WINDOW=FIRST_POPUP&amp;HEIGHT=450&amp;WIDTH=450&amp;START_MA","XIMIZED=FALSE&amp;VAR:CALENDAR=US&amp;VAR:SYMBOL=N0098510&amp;VAR:INDEX=0"}</definedName>
    <definedName name="_6745__FDSAUDITLINK__" localSheetId="6" hidden="1">{"fdsup://directions/FAT Viewer?action=UPDATE&amp;creator=factset&amp;DYN_ARGS=TRUE&amp;DOC_NAME=FAT:FQL_AUDITING_CLIENT_TEMPLATE.FAT&amp;display_string=Audit&amp;VAR:KEY=JKJMHUNUNM&amp;VAR:QUERY=RkZfRUJJVERBX0lCKCdMVE1TJywzODk2OCk=&amp;WINDOW=FIRST_POPUP&amp;HEIGHT=450&amp;WIDTH=450&amp;START_MA","XIMIZED=FALSE&amp;VAR:CALENDAR=US&amp;VAR:SYMBOL=N0098510&amp;VAR:INDEX=0"}</definedName>
    <definedName name="_6745__FDSAUDITLINK__" hidden="1">{"fdsup://directions/FAT Viewer?action=UPDATE&amp;creator=factset&amp;DYN_ARGS=TRUE&amp;DOC_NAME=FAT:FQL_AUDITING_CLIENT_TEMPLATE.FAT&amp;display_string=Audit&amp;VAR:KEY=JKJMHUNUNM&amp;VAR:QUERY=RkZfRUJJVERBX0lCKCdMVE1TJywzODk2OCk=&amp;WINDOW=FIRST_POPUP&amp;HEIGHT=450&amp;WIDTH=450&amp;START_MA","XIMIZED=FALSE&amp;VAR:CALENDAR=US&amp;VAR:SYMBOL=N0098510&amp;VAR:INDEX=0"}</definedName>
    <definedName name="_6746__FDSAUDITLINK__" localSheetId="6" hidden="1">{"fdsup://directions/FAT Viewer?action=UPDATE&amp;creator=factset&amp;DYN_ARGS=TRUE&amp;DOC_NAME=FAT:FQL_AUDITING_CLIENT_TEMPLATE.FAT&amp;display_string=Audit&amp;VAR:KEY=BCLQPYLSNY&amp;VAR:QUERY=RkZfRUJJVERBX0lCKCdMVE1TJywzODk2Nyk=&amp;WINDOW=FIRST_POPUP&amp;HEIGHT=450&amp;WIDTH=450&amp;START_MA","XIMIZED=FALSE&amp;VAR:CALENDAR=US&amp;VAR:SYMBOL=N0098510&amp;VAR:INDEX=0"}</definedName>
    <definedName name="_6746__FDSAUDITLINK__" hidden="1">{"fdsup://directions/FAT Viewer?action=UPDATE&amp;creator=factset&amp;DYN_ARGS=TRUE&amp;DOC_NAME=FAT:FQL_AUDITING_CLIENT_TEMPLATE.FAT&amp;display_string=Audit&amp;VAR:KEY=BCLQPYLSNY&amp;VAR:QUERY=RkZfRUJJVERBX0lCKCdMVE1TJywzODk2Nyk=&amp;WINDOW=FIRST_POPUP&amp;HEIGHT=450&amp;WIDTH=450&amp;START_MA","XIMIZED=FALSE&amp;VAR:CALENDAR=US&amp;VAR:SYMBOL=N0098510&amp;VAR:INDEX=0"}</definedName>
    <definedName name="_6747__FDSAUDITLINK__" localSheetId="6" hidden="1">{"fdsup://directions/FAT Viewer?action=UPDATE&amp;creator=factset&amp;DYN_ARGS=TRUE&amp;DOC_NAME=FAT:FQL_AUDITING_CLIENT_TEMPLATE.FAT&amp;display_string=Audit&amp;VAR:KEY=FSLWHQPWVU&amp;VAR:QUERY=RkZfRUJJVERBX0lCKCdMVE1TJywzODk2Nik=&amp;WINDOW=FIRST_POPUP&amp;HEIGHT=450&amp;WIDTH=450&amp;START_MA","XIMIZED=FALSE&amp;VAR:CALENDAR=US&amp;VAR:SYMBOL=N0098510&amp;VAR:INDEX=0"}</definedName>
    <definedName name="_6747__FDSAUDITLINK__" hidden="1">{"fdsup://directions/FAT Viewer?action=UPDATE&amp;creator=factset&amp;DYN_ARGS=TRUE&amp;DOC_NAME=FAT:FQL_AUDITING_CLIENT_TEMPLATE.FAT&amp;display_string=Audit&amp;VAR:KEY=FSLWHQPWVU&amp;VAR:QUERY=RkZfRUJJVERBX0lCKCdMVE1TJywzODk2Nik=&amp;WINDOW=FIRST_POPUP&amp;HEIGHT=450&amp;WIDTH=450&amp;START_MA","XIMIZED=FALSE&amp;VAR:CALENDAR=US&amp;VAR:SYMBOL=N0098510&amp;VAR:INDEX=0"}</definedName>
    <definedName name="_6748__FDSAUDITLINK__" localSheetId="6" hidden="1">{"fdsup://directions/FAT Viewer?action=UPDATE&amp;creator=factset&amp;DYN_ARGS=TRUE&amp;DOC_NAME=FAT:FQL_AUDITING_CLIENT_TEMPLATE.FAT&amp;display_string=Audit&amp;VAR:KEY=HWXGRKRUVQ&amp;VAR:QUERY=RkZfRUJJVERBX0lCKCdMVE1TJywzODk2NSk=&amp;WINDOW=FIRST_POPUP&amp;HEIGHT=450&amp;WIDTH=450&amp;START_MA","XIMIZED=FALSE&amp;VAR:CALENDAR=US&amp;VAR:SYMBOL=N0098510&amp;VAR:INDEX=0"}</definedName>
    <definedName name="_6748__FDSAUDITLINK__" hidden="1">{"fdsup://directions/FAT Viewer?action=UPDATE&amp;creator=factset&amp;DYN_ARGS=TRUE&amp;DOC_NAME=FAT:FQL_AUDITING_CLIENT_TEMPLATE.FAT&amp;display_string=Audit&amp;VAR:KEY=HWXGRKRUVQ&amp;VAR:QUERY=RkZfRUJJVERBX0lCKCdMVE1TJywzODk2NSk=&amp;WINDOW=FIRST_POPUP&amp;HEIGHT=450&amp;WIDTH=450&amp;START_MA","XIMIZED=FALSE&amp;VAR:CALENDAR=US&amp;VAR:SYMBOL=N0098510&amp;VAR:INDEX=0"}</definedName>
    <definedName name="_6749__FDSAUDITLINK__" localSheetId="6" hidden="1">{"fdsup://directions/FAT Viewer?action=UPDATE&amp;creator=factset&amp;DYN_ARGS=TRUE&amp;DOC_NAME=FAT:FQL_AUDITING_CLIENT_TEMPLATE.FAT&amp;display_string=Audit&amp;VAR:KEY=TQNKLCHMFG&amp;VAR:QUERY=RkZfRUJJVERBX0lCKCdMVE1TJywzODk2NCk=&amp;WINDOW=FIRST_POPUP&amp;HEIGHT=450&amp;WIDTH=450&amp;START_MA","XIMIZED=FALSE&amp;VAR:CALENDAR=US&amp;VAR:SYMBOL=N0098510&amp;VAR:INDEX=0"}</definedName>
    <definedName name="_6749__FDSAUDITLINK__" hidden="1">{"fdsup://directions/FAT Viewer?action=UPDATE&amp;creator=factset&amp;DYN_ARGS=TRUE&amp;DOC_NAME=FAT:FQL_AUDITING_CLIENT_TEMPLATE.FAT&amp;display_string=Audit&amp;VAR:KEY=TQNKLCHMFG&amp;VAR:QUERY=RkZfRUJJVERBX0lCKCdMVE1TJywzODk2NCk=&amp;WINDOW=FIRST_POPUP&amp;HEIGHT=450&amp;WIDTH=450&amp;START_MA","XIMIZED=FALSE&amp;VAR:CALENDAR=US&amp;VAR:SYMBOL=N0098510&amp;VAR:INDEX=0"}</definedName>
    <definedName name="_675__FDSAUDITLINK__" localSheetId="6" hidden="1">{"fdsup://directions/FAT%20Viewer?VAR:PED=LTM&amp;VAR:AUDIT_MODE=SUMMARY&amp;VAR:PERIOD=FIXED&amp;VAR:AUDIT_ID=00000117&amp;VAR:DATE=20080417&amp;action=UPDATE&amp;creator=factset&amp;DOC_NAME=FAT:FMA_audit_SUMMARY.fat&amp;DISPLAY_STRING=Display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5__FDSAUDITLINK__" hidden="1">{"fdsup://directions/FAT%20Viewer?VAR:PED=LTM&amp;VAR:AUDIT_MODE=SUMMARY&amp;VAR:PERIOD=FIXED&amp;VAR:AUDIT_ID=00000117&amp;VAR:DATE=20080417&amp;action=UPDATE&amp;creator=factset&amp;DOC_NAME=FAT:FMA_audit_SUMMARY.fat&amp;DISPLAY_STRING=Display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50__FDSAUDITLINK__" localSheetId="6" hidden="1">{"fdsup://directions/FAT Viewer?action=UPDATE&amp;creator=factset&amp;DYN_ARGS=TRUE&amp;DOC_NAME=FAT:FQL_AUDITING_CLIENT_TEMPLATE.FAT&amp;display_string=Audit&amp;VAR:KEY=JKRITAXATS&amp;VAR:QUERY=RkZfRUJJVERBX0lCKCdMVE1TJywzODk2Myk=&amp;WINDOW=FIRST_POPUP&amp;HEIGHT=450&amp;WIDTH=450&amp;START_MA","XIMIZED=FALSE&amp;VAR:CALENDAR=US&amp;VAR:SYMBOL=N0098510&amp;VAR:INDEX=0"}</definedName>
    <definedName name="_6750__FDSAUDITLINK__" hidden="1">{"fdsup://directions/FAT Viewer?action=UPDATE&amp;creator=factset&amp;DYN_ARGS=TRUE&amp;DOC_NAME=FAT:FQL_AUDITING_CLIENT_TEMPLATE.FAT&amp;display_string=Audit&amp;VAR:KEY=JKRITAXATS&amp;VAR:QUERY=RkZfRUJJVERBX0lCKCdMVE1TJywzODk2Myk=&amp;WINDOW=FIRST_POPUP&amp;HEIGHT=450&amp;WIDTH=450&amp;START_MA","XIMIZED=FALSE&amp;VAR:CALENDAR=US&amp;VAR:SYMBOL=N0098510&amp;VAR:INDEX=0"}</definedName>
    <definedName name="_6751__FDSAUDITLINK__" localSheetId="6" hidden="1">{"fdsup://directions/FAT Viewer?action=UPDATE&amp;creator=factset&amp;DYN_ARGS=TRUE&amp;DOC_NAME=FAT:FQL_AUDITING_CLIENT_TEMPLATE.FAT&amp;display_string=Audit&amp;VAR:KEY=ZYFIDCTOLK&amp;VAR:QUERY=RkZfRUJJVERBX0lCKCdMVE1TJywzODk2Mik=&amp;WINDOW=FIRST_POPUP&amp;HEIGHT=450&amp;WIDTH=450&amp;START_MA","XIMIZED=FALSE&amp;VAR:CALENDAR=US&amp;VAR:SYMBOL=N0098510&amp;VAR:INDEX=0"}</definedName>
    <definedName name="_6751__FDSAUDITLINK__" hidden="1">{"fdsup://directions/FAT Viewer?action=UPDATE&amp;creator=factset&amp;DYN_ARGS=TRUE&amp;DOC_NAME=FAT:FQL_AUDITING_CLIENT_TEMPLATE.FAT&amp;display_string=Audit&amp;VAR:KEY=ZYFIDCTOLK&amp;VAR:QUERY=RkZfRUJJVERBX0lCKCdMVE1TJywzODk2Mik=&amp;WINDOW=FIRST_POPUP&amp;HEIGHT=450&amp;WIDTH=450&amp;START_MA","XIMIZED=FALSE&amp;VAR:CALENDAR=US&amp;VAR:SYMBOL=N0098510&amp;VAR:INDEX=0"}</definedName>
    <definedName name="_6752__FDSAUDITLINK__" localSheetId="6" hidden="1">{"fdsup://directions/FAT Viewer?action=UPDATE&amp;creator=factset&amp;DYN_ARGS=TRUE&amp;DOC_NAME=FAT:FQL_AUDITING_CLIENT_TEMPLATE.FAT&amp;display_string=Audit&amp;VAR:KEY=NMFELSXYDW&amp;VAR:QUERY=RkZfRUJJVERBX0lCKCdMVE1TJywzODk2MSk=&amp;WINDOW=FIRST_POPUP&amp;HEIGHT=450&amp;WIDTH=450&amp;START_MA","XIMIZED=FALSE&amp;VAR:CALENDAR=US&amp;VAR:SYMBOL=N0098510&amp;VAR:INDEX=0"}</definedName>
    <definedName name="_6752__FDSAUDITLINK__" hidden="1">{"fdsup://directions/FAT Viewer?action=UPDATE&amp;creator=factset&amp;DYN_ARGS=TRUE&amp;DOC_NAME=FAT:FQL_AUDITING_CLIENT_TEMPLATE.FAT&amp;display_string=Audit&amp;VAR:KEY=NMFELSXYDW&amp;VAR:QUERY=RkZfRUJJVERBX0lCKCdMVE1TJywzODk2MSk=&amp;WINDOW=FIRST_POPUP&amp;HEIGHT=450&amp;WIDTH=450&amp;START_MA","XIMIZED=FALSE&amp;VAR:CALENDAR=US&amp;VAR:SYMBOL=N0098510&amp;VAR:INDEX=0"}</definedName>
    <definedName name="_6753__FDSAUDITLINK__" localSheetId="6" hidden="1">{"fdsup://directions/FAT Viewer?action=UPDATE&amp;creator=factset&amp;DYN_ARGS=TRUE&amp;DOC_NAME=FAT:FQL_AUDITING_CLIENT_TEMPLATE.FAT&amp;display_string=Audit&amp;VAR:KEY=HSTADMDEXI&amp;VAR:QUERY=RkZfRUJJVERBX0lCKCdMVE1TJywzODk2MCk=&amp;WINDOW=FIRST_POPUP&amp;HEIGHT=450&amp;WIDTH=450&amp;START_MA","XIMIZED=FALSE&amp;VAR:CALENDAR=US&amp;VAR:SYMBOL=N0098510&amp;VAR:INDEX=0"}</definedName>
    <definedName name="_6753__FDSAUDITLINK__" hidden="1">{"fdsup://directions/FAT Viewer?action=UPDATE&amp;creator=factset&amp;DYN_ARGS=TRUE&amp;DOC_NAME=FAT:FQL_AUDITING_CLIENT_TEMPLATE.FAT&amp;display_string=Audit&amp;VAR:KEY=HSTADMDEXI&amp;VAR:QUERY=RkZfRUJJVERBX0lCKCdMVE1TJywzODk2MCk=&amp;WINDOW=FIRST_POPUP&amp;HEIGHT=450&amp;WIDTH=450&amp;START_MA","XIMIZED=FALSE&amp;VAR:CALENDAR=US&amp;VAR:SYMBOL=N0098510&amp;VAR:INDEX=0"}</definedName>
    <definedName name="_6754__FDSAUDITLINK__" localSheetId="6" hidden="1">{"fdsup://directions/FAT Viewer?action=UPDATE&amp;creator=factset&amp;DYN_ARGS=TRUE&amp;DOC_NAME=FAT:FQL_AUDITING_CLIENT_TEMPLATE.FAT&amp;display_string=Audit&amp;VAR:KEY=BSREVGLOJS&amp;VAR:QUERY=RkZfRUJJVERBX0lCKCdMVE1TJywzODk1OSk=&amp;WINDOW=FIRST_POPUP&amp;HEIGHT=450&amp;WIDTH=450&amp;START_MA","XIMIZED=FALSE&amp;VAR:CALENDAR=US&amp;VAR:SYMBOL=N0098510&amp;VAR:INDEX=0"}</definedName>
    <definedName name="_6754__FDSAUDITLINK__" hidden="1">{"fdsup://directions/FAT Viewer?action=UPDATE&amp;creator=factset&amp;DYN_ARGS=TRUE&amp;DOC_NAME=FAT:FQL_AUDITING_CLIENT_TEMPLATE.FAT&amp;display_string=Audit&amp;VAR:KEY=BSREVGLOJS&amp;VAR:QUERY=RkZfRUJJVERBX0lCKCdMVE1TJywzODk1OSk=&amp;WINDOW=FIRST_POPUP&amp;HEIGHT=450&amp;WIDTH=450&amp;START_MA","XIMIZED=FALSE&amp;VAR:CALENDAR=US&amp;VAR:SYMBOL=N0098510&amp;VAR:INDEX=0"}</definedName>
    <definedName name="_6755__FDSAUDITLINK__" localSheetId="6" hidden="1">{"fdsup://directions/FAT Viewer?action=UPDATE&amp;creator=factset&amp;DYN_ARGS=TRUE&amp;DOC_NAME=FAT:FQL_AUDITING_CLIENT_TEMPLATE.FAT&amp;display_string=Audit&amp;VAR:KEY=LIZKFEHYHM&amp;VAR:QUERY=RkZfRUJJVERBX0lCKCdMVE1TJywzODk1OCk=&amp;WINDOW=FIRST_POPUP&amp;HEIGHT=450&amp;WIDTH=450&amp;START_MA","XIMIZED=FALSE&amp;VAR:CALENDAR=US&amp;VAR:SYMBOL=N0098510&amp;VAR:INDEX=0"}</definedName>
    <definedName name="_6755__FDSAUDITLINK__" hidden="1">{"fdsup://directions/FAT Viewer?action=UPDATE&amp;creator=factset&amp;DYN_ARGS=TRUE&amp;DOC_NAME=FAT:FQL_AUDITING_CLIENT_TEMPLATE.FAT&amp;display_string=Audit&amp;VAR:KEY=LIZKFEHYHM&amp;VAR:QUERY=RkZfRUJJVERBX0lCKCdMVE1TJywzODk1OCk=&amp;WINDOW=FIRST_POPUP&amp;HEIGHT=450&amp;WIDTH=450&amp;START_MA","XIMIZED=FALSE&amp;VAR:CALENDAR=US&amp;VAR:SYMBOL=N0098510&amp;VAR:INDEX=0"}</definedName>
    <definedName name="_6756__FDSAUDITLINK__" localSheetId="6" hidden="1">{"fdsup://directions/FAT Viewer?action=UPDATE&amp;creator=factset&amp;DYN_ARGS=TRUE&amp;DOC_NAME=FAT:FQL_AUDITING_CLIENT_TEMPLATE.FAT&amp;display_string=Audit&amp;VAR:KEY=FSNUJALYXO&amp;VAR:QUERY=RkZfRUJJVERBX0lCKCdMVE1TJywzODk1Nyk=&amp;WINDOW=FIRST_POPUP&amp;HEIGHT=450&amp;WIDTH=450&amp;START_MA","XIMIZED=FALSE&amp;VAR:CALENDAR=US&amp;VAR:SYMBOL=N0098510&amp;VAR:INDEX=0"}</definedName>
    <definedName name="_6756__FDSAUDITLINK__" hidden="1">{"fdsup://directions/FAT Viewer?action=UPDATE&amp;creator=factset&amp;DYN_ARGS=TRUE&amp;DOC_NAME=FAT:FQL_AUDITING_CLIENT_TEMPLATE.FAT&amp;display_string=Audit&amp;VAR:KEY=FSNUJALYXO&amp;VAR:QUERY=RkZfRUJJVERBX0lCKCdMVE1TJywzODk1Nyk=&amp;WINDOW=FIRST_POPUP&amp;HEIGHT=450&amp;WIDTH=450&amp;START_MA","XIMIZED=FALSE&amp;VAR:CALENDAR=US&amp;VAR:SYMBOL=N0098510&amp;VAR:INDEX=0"}</definedName>
    <definedName name="_6757__FDSAUDITLINK__" localSheetId="6" hidden="1">{"fdsup://directions/FAT Viewer?action=UPDATE&amp;creator=factset&amp;DYN_ARGS=TRUE&amp;DOC_NAME=FAT:FQL_AUDITING_CLIENT_TEMPLATE.FAT&amp;display_string=Audit&amp;VAR:KEY=FOBATGDCZC&amp;VAR:QUERY=RkZfRUJJVERBX0lCKCdMVE1TJywzODk1Nik=&amp;WINDOW=FIRST_POPUP&amp;HEIGHT=450&amp;WIDTH=450&amp;START_MA","XIMIZED=FALSE&amp;VAR:CALENDAR=US&amp;VAR:SYMBOL=N0098510&amp;VAR:INDEX=0"}</definedName>
    <definedName name="_6757__FDSAUDITLINK__" hidden="1">{"fdsup://directions/FAT Viewer?action=UPDATE&amp;creator=factset&amp;DYN_ARGS=TRUE&amp;DOC_NAME=FAT:FQL_AUDITING_CLIENT_TEMPLATE.FAT&amp;display_string=Audit&amp;VAR:KEY=FOBATGDCZC&amp;VAR:QUERY=RkZfRUJJVERBX0lCKCdMVE1TJywzODk1Nik=&amp;WINDOW=FIRST_POPUP&amp;HEIGHT=450&amp;WIDTH=450&amp;START_MA","XIMIZED=FALSE&amp;VAR:CALENDAR=US&amp;VAR:SYMBOL=N0098510&amp;VAR:INDEX=0"}</definedName>
    <definedName name="_6758__FDSAUDITLINK__" localSheetId="6" hidden="1">{"fdsup://directions/FAT Viewer?action=UPDATE&amp;creator=factset&amp;DYN_ARGS=TRUE&amp;DOC_NAME=FAT:FQL_AUDITING_CLIENT_TEMPLATE.FAT&amp;display_string=Audit&amp;VAR:KEY=DGLMBCFWVO&amp;VAR:QUERY=RkZfRUJJVERBX0lCKCdMVE1TJywzODk1NSk=&amp;WINDOW=FIRST_POPUP&amp;HEIGHT=450&amp;WIDTH=450&amp;START_MA","XIMIZED=FALSE&amp;VAR:CALENDAR=US&amp;VAR:SYMBOL=N0098510&amp;VAR:INDEX=0"}</definedName>
    <definedName name="_6758__FDSAUDITLINK__" hidden="1">{"fdsup://directions/FAT Viewer?action=UPDATE&amp;creator=factset&amp;DYN_ARGS=TRUE&amp;DOC_NAME=FAT:FQL_AUDITING_CLIENT_TEMPLATE.FAT&amp;display_string=Audit&amp;VAR:KEY=DGLMBCFWVO&amp;VAR:QUERY=RkZfRUJJVERBX0lCKCdMVE1TJywzODk1NSk=&amp;WINDOW=FIRST_POPUP&amp;HEIGHT=450&amp;WIDTH=450&amp;START_MA","XIMIZED=FALSE&amp;VAR:CALENDAR=US&amp;VAR:SYMBOL=N0098510&amp;VAR:INDEX=0"}</definedName>
    <definedName name="_6759__FDSAUDITLINK__" localSheetId="6" hidden="1">{"fdsup://directions/FAT Viewer?action=UPDATE&amp;creator=factset&amp;DYN_ARGS=TRUE&amp;DOC_NAME=FAT:FQL_AUDITING_CLIENT_TEMPLATE.FAT&amp;display_string=Audit&amp;VAR:KEY=TWJAJOXOJK&amp;VAR:QUERY=RkZfRUJJVERBX0lCKCdMVE1TJywzODk1NCk=&amp;WINDOW=FIRST_POPUP&amp;HEIGHT=450&amp;WIDTH=450&amp;START_MA","XIMIZED=FALSE&amp;VAR:CALENDAR=US&amp;VAR:SYMBOL=N0098510&amp;VAR:INDEX=0"}</definedName>
    <definedName name="_6759__FDSAUDITLINK__" hidden="1">{"fdsup://directions/FAT Viewer?action=UPDATE&amp;creator=factset&amp;DYN_ARGS=TRUE&amp;DOC_NAME=FAT:FQL_AUDITING_CLIENT_TEMPLATE.FAT&amp;display_string=Audit&amp;VAR:KEY=TWJAJOXOJK&amp;VAR:QUERY=RkZfRUJJVERBX0lCKCdMVE1TJywzODk1NCk=&amp;WINDOW=FIRST_POPUP&amp;HEIGHT=450&amp;WIDTH=450&amp;START_MA","XIMIZED=FALSE&amp;VAR:CALENDAR=US&amp;VAR:SYMBOL=N0098510&amp;VAR:INDEX=0"}</definedName>
    <definedName name="_676__FDSAUDITLINK__" localSheetId="6" hidden="1">{"fdsup://directions/FAT%20Viewer?VAR:PED=LTM&amp;VAR:AUDIT_MODE=SUMMARY&amp;VAR:PERIOD=FIXED&amp;VAR:AUDIT_ID=00000117&amp;VAR:DATE=20080416&amp;action=UPDATE&amp;creator=factset&amp;DOC_NAME=FAT:FMA_audit_SUMMARY.fat&amp;DISPLAY_STRING=Display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6__FDSAUDITLINK__" hidden="1">{"fdsup://directions/FAT%20Viewer?VAR:PED=LTM&amp;VAR:AUDIT_MODE=SUMMARY&amp;VAR:PERIOD=FIXED&amp;VAR:AUDIT_ID=00000117&amp;VAR:DATE=20080416&amp;action=UPDATE&amp;creator=factset&amp;DOC_NAME=FAT:FMA_audit_SUMMARY.fat&amp;DISPLAY_STRING=Display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60__FDSAUDITLINK__" localSheetId="6" hidden="1">{"fdsup://directions/FAT Viewer?action=UPDATE&amp;creator=factset&amp;DYN_ARGS=TRUE&amp;DOC_NAME=FAT:FQL_AUDITING_CLIENT_TEMPLATE.FAT&amp;display_string=Audit&amp;VAR:KEY=TGTSRMJSZM&amp;VAR:QUERY=RkZfRUJJVERBX0lCKCdMVE1TJywzODk1Myk=&amp;WINDOW=FIRST_POPUP&amp;HEIGHT=450&amp;WIDTH=450&amp;START_MA","XIMIZED=FALSE&amp;VAR:CALENDAR=US&amp;VAR:SYMBOL=N0098510&amp;VAR:INDEX=0"}</definedName>
    <definedName name="_6760__FDSAUDITLINK__" hidden="1">{"fdsup://directions/FAT Viewer?action=UPDATE&amp;creator=factset&amp;DYN_ARGS=TRUE&amp;DOC_NAME=FAT:FQL_AUDITING_CLIENT_TEMPLATE.FAT&amp;display_string=Audit&amp;VAR:KEY=TGTSRMJSZM&amp;VAR:QUERY=RkZfRUJJVERBX0lCKCdMVE1TJywzODk1Myk=&amp;WINDOW=FIRST_POPUP&amp;HEIGHT=450&amp;WIDTH=450&amp;START_MA","XIMIZED=FALSE&amp;VAR:CALENDAR=US&amp;VAR:SYMBOL=N0098510&amp;VAR:INDEX=0"}</definedName>
    <definedName name="_6761__FDSAUDITLINK__" localSheetId="6" hidden="1">{"fdsup://directions/FAT Viewer?action=UPDATE&amp;creator=factset&amp;DYN_ARGS=TRUE&amp;DOC_NAME=FAT:FQL_AUDITING_CLIENT_TEMPLATE.FAT&amp;display_string=Audit&amp;VAR:KEY=NWHOPWNAZQ&amp;VAR:QUERY=RkZfRUJJVERBX0lCKCdMVE1TJywzODk1Mik=&amp;WINDOW=FIRST_POPUP&amp;HEIGHT=450&amp;WIDTH=450&amp;START_MA","XIMIZED=FALSE&amp;VAR:CALENDAR=US&amp;VAR:SYMBOL=N0098510&amp;VAR:INDEX=0"}</definedName>
    <definedName name="_6761__FDSAUDITLINK__" hidden="1">{"fdsup://directions/FAT Viewer?action=UPDATE&amp;creator=factset&amp;DYN_ARGS=TRUE&amp;DOC_NAME=FAT:FQL_AUDITING_CLIENT_TEMPLATE.FAT&amp;display_string=Audit&amp;VAR:KEY=NWHOPWNAZQ&amp;VAR:QUERY=RkZfRUJJVERBX0lCKCdMVE1TJywzODk1Mik=&amp;WINDOW=FIRST_POPUP&amp;HEIGHT=450&amp;WIDTH=450&amp;START_MA","XIMIZED=FALSE&amp;VAR:CALENDAR=US&amp;VAR:SYMBOL=N0098510&amp;VAR:INDEX=0"}</definedName>
    <definedName name="_6762__FDSAUDITLINK__" localSheetId="6" hidden="1">{"fdsup://directions/FAT Viewer?action=UPDATE&amp;creator=factset&amp;DYN_ARGS=TRUE&amp;DOC_NAME=FAT:FQL_AUDITING_CLIENT_TEMPLATE.FAT&amp;display_string=Audit&amp;VAR:KEY=BSVEZMDYRU&amp;VAR:QUERY=RkZfRUJJVERBX0lCKCdMVE1TJywzODk1MSk=&amp;WINDOW=FIRST_POPUP&amp;HEIGHT=450&amp;WIDTH=450&amp;START_MA","XIMIZED=FALSE&amp;VAR:CALENDAR=US&amp;VAR:SYMBOL=N0098510&amp;VAR:INDEX=0"}</definedName>
    <definedName name="_6762__FDSAUDITLINK__" hidden="1">{"fdsup://directions/FAT Viewer?action=UPDATE&amp;creator=factset&amp;DYN_ARGS=TRUE&amp;DOC_NAME=FAT:FQL_AUDITING_CLIENT_TEMPLATE.FAT&amp;display_string=Audit&amp;VAR:KEY=BSVEZMDYRU&amp;VAR:QUERY=RkZfRUJJVERBX0lCKCdMVE1TJywzODk1MSk=&amp;WINDOW=FIRST_POPUP&amp;HEIGHT=450&amp;WIDTH=450&amp;START_MA","XIMIZED=FALSE&amp;VAR:CALENDAR=US&amp;VAR:SYMBOL=N0098510&amp;VAR:INDEX=0"}</definedName>
    <definedName name="_6763__FDSAUDITLINK__" localSheetId="6" hidden="1">{"fdsup://directions/FAT Viewer?action=UPDATE&amp;creator=factset&amp;DYN_ARGS=TRUE&amp;DOC_NAME=FAT:FQL_AUDITING_CLIENT_TEMPLATE.FAT&amp;display_string=Audit&amp;VAR:KEY=HYLSJCTSNK&amp;VAR:QUERY=RkZfRUJJVERBX0lCKCdMVE1TJywzODk1MCk=&amp;WINDOW=FIRST_POPUP&amp;HEIGHT=450&amp;WIDTH=450&amp;START_MA","XIMIZED=FALSE&amp;VAR:CALENDAR=US&amp;VAR:SYMBOL=N0098510&amp;VAR:INDEX=0"}</definedName>
    <definedName name="_6763__FDSAUDITLINK__" hidden="1">{"fdsup://directions/FAT Viewer?action=UPDATE&amp;creator=factset&amp;DYN_ARGS=TRUE&amp;DOC_NAME=FAT:FQL_AUDITING_CLIENT_TEMPLATE.FAT&amp;display_string=Audit&amp;VAR:KEY=HYLSJCTSNK&amp;VAR:QUERY=RkZfRUJJVERBX0lCKCdMVE1TJywzODk1MCk=&amp;WINDOW=FIRST_POPUP&amp;HEIGHT=450&amp;WIDTH=450&amp;START_MA","XIMIZED=FALSE&amp;VAR:CALENDAR=US&amp;VAR:SYMBOL=N0098510&amp;VAR:INDEX=0"}</definedName>
    <definedName name="_6764__FDSAUDITLINK__" localSheetId="6" hidden="1">{"fdsup://directions/FAT Viewer?action=UPDATE&amp;creator=factset&amp;DYN_ARGS=TRUE&amp;DOC_NAME=FAT:FQL_AUDITING_CLIENT_TEMPLATE.FAT&amp;display_string=Audit&amp;VAR:KEY=VSNAJEJENU&amp;VAR:QUERY=RkZfRUJJVERBX0lCKCdMVE1TJywzODk0OSk=&amp;WINDOW=FIRST_POPUP&amp;HEIGHT=450&amp;WIDTH=450&amp;START_MA","XIMIZED=FALSE&amp;VAR:CALENDAR=US&amp;VAR:SYMBOL=N0098510&amp;VAR:INDEX=0"}</definedName>
    <definedName name="_6764__FDSAUDITLINK__" hidden="1">{"fdsup://directions/FAT Viewer?action=UPDATE&amp;creator=factset&amp;DYN_ARGS=TRUE&amp;DOC_NAME=FAT:FQL_AUDITING_CLIENT_TEMPLATE.FAT&amp;display_string=Audit&amp;VAR:KEY=VSNAJEJENU&amp;VAR:QUERY=RkZfRUJJVERBX0lCKCdMVE1TJywzODk0OSk=&amp;WINDOW=FIRST_POPUP&amp;HEIGHT=450&amp;WIDTH=450&amp;START_MA","XIMIZED=FALSE&amp;VAR:CALENDAR=US&amp;VAR:SYMBOL=N0098510&amp;VAR:INDEX=0"}</definedName>
    <definedName name="_6765__FDSAUDITLINK__" localSheetId="6" hidden="1">{"fdsup://directions/FAT Viewer?action=UPDATE&amp;creator=factset&amp;DYN_ARGS=TRUE&amp;DOC_NAME=FAT:FQL_AUDITING_CLIENT_TEMPLATE.FAT&amp;display_string=Audit&amp;VAR:KEY=ZILGRUHKBS&amp;VAR:QUERY=RkZfRUJJVERBX0lCKCdMVE1TJywzODk0OCk=&amp;WINDOW=FIRST_POPUP&amp;HEIGHT=450&amp;WIDTH=450&amp;START_MA","XIMIZED=FALSE&amp;VAR:CALENDAR=US&amp;VAR:SYMBOL=N0098510&amp;VAR:INDEX=0"}</definedName>
    <definedName name="_6765__FDSAUDITLINK__" hidden="1">{"fdsup://directions/FAT Viewer?action=UPDATE&amp;creator=factset&amp;DYN_ARGS=TRUE&amp;DOC_NAME=FAT:FQL_AUDITING_CLIENT_TEMPLATE.FAT&amp;display_string=Audit&amp;VAR:KEY=ZILGRUHKBS&amp;VAR:QUERY=RkZfRUJJVERBX0lCKCdMVE1TJywzODk0OCk=&amp;WINDOW=FIRST_POPUP&amp;HEIGHT=450&amp;WIDTH=450&amp;START_MA","XIMIZED=FALSE&amp;VAR:CALENDAR=US&amp;VAR:SYMBOL=N0098510&amp;VAR:INDEX=0"}</definedName>
    <definedName name="_6766__FDSAUDITLINK__" localSheetId="6" hidden="1">{"fdsup://directions/FAT Viewer?action=UPDATE&amp;creator=factset&amp;DYN_ARGS=TRUE&amp;DOC_NAME=FAT:FQL_AUDITING_CLIENT_TEMPLATE.FAT&amp;display_string=Audit&amp;VAR:KEY=JKFATQFYXU&amp;VAR:QUERY=RkZfRUJJVERBX0lCKCdMVE1TJywzODk0Nyk=&amp;WINDOW=FIRST_POPUP&amp;HEIGHT=450&amp;WIDTH=450&amp;START_MA","XIMIZED=FALSE&amp;VAR:CALENDAR=US&amp;VAR:SYMBOL=N0098510&amp;VAR:INDEX=0"}</definedName>
    <definedName name="_6766__FDSAUDITLINK__" hidden="1">{"fdsup://directions/FAT Viewer?action=UPDATE&amp;creator=factset&amp;DYN_ARGS=TRUE&amp;DOC_NAME=FAT:FQL_AUDITING_CLIENT_TEMPLATE.FAT&amp;display_string=Audit&amp;VAR:KEY=JKFATQFYXU&amp;VAR:QUERY=RkZfRUJJVERBX0lCKCdMVE1TJywzODk0Nyk=&amp;WINDOW=FIRST_POPUP&amp;HEIGHT=450&amp;WIDTH=450&amp;START_MA","XIMIZED=FALSE&amp;VAR:CALENDAR=US&amp;VAR:SYMBOL=N0098510&amp;VAR:INDEX=0"}</definedName>
    <definedName name="_6767__FDSAUDITLINK__" localSheetId="6" hidden="1">{"fdsup://directions/FAT Viewer?action=UPDATE&amp;creator=factset&amp;DYN_ARGS=TRUE&amp;DOC_NAME=FAT:FQL_AUDITING_CLIENT_TEMPLATE.FAT&amp;display_string=Audit&amp;VAR:KEY=BSNABGRAFQ&amp;VAR:QUERY=RkZfRUJJVERBX0lCKCdMVE1TJywzODk0Nik=&amp;WINDOW=FIRST_POPUP&amp;HEIGHT=450&amp;WIDTH=450&amp;START_MA","XIMIZED=FALSE&amp;VAR:CALENDAR=US&amp;VAR:SYMBOL=N0098510&amp;VAR:INDEX=0"}</definedName>
    <definedName name="_6767__FDSAUDITLINK__" hidden="1">{"fdsup://directions/FAT Viewer?action=UPDATE&amp;creator=factset&amp;DYN_ARGS=TRUE&amp;DOC_NAME=FAT:FQL_AUDITING_CLIENT_TEMPLATE.FAT&amp;display_string=Audit&amp;VAR:KEY=BSNABGRAFQ&amp;VAR:QUERY=RkZfRUJJVERBX0lCKCdMVE1TJywzODk0Nik=&amp;WINDOW=FIRST_POPUP&amp;HEIGHT=450&amp;WIDTH=450&amp;START_MA","XIMIZED=FALSE&amp;VAR:CALENDAR=US&amp;VAR:SYMBOL=N0098510&amp;VAR:INDEX=0"}</definedName>
    <definedName name="_6768__FDSAUDITLINK__" localSheetId="6" hidden="1">{"fdsup://directions/FAT Viewer?action=UPDATE&amp;creator=factset&amp;DYN_ARGS=TRUE&amp;DOC_NAME=FAT:FQL_AUDITING_CLIENT_TEMPLATE.FAT&amp;display_string=Audit&amp;VAR:KEY=FIBADSZKVQ&amp;VAR:QUERY=RkZfRUJJVERBX0lCKCdMVE1TJywzODk0NSk=&amp;WINDOW=FIRST_POPUP&amp;HEIGHT=450&amp;WIDTH=450&amp;START_MA","XIMIZED=FALSE&amp;VAR:CALENDAR=US&amp;VAR:SYMBOL=N0098510&amp;VAR:INDEX=0"}</definedName>
    <definedName name="_6768__FDSAUDITLINK__" hidden="1">{"fdsup://directions/FAT Viewer?action=UPDATE&amp;creator=factset&amp;DYN_ARGS=TRUE&amp;DOC_NAME=FAT:FQL_AUDITING_CLIENT_TEMPLATE.FAT&amp;display_string=Audit&amp;VAR:KEY=FIBADSZKVQ&amp;VAR:QUERY=RkZfRUJJVERBX0lCKCdMVE1TJywzODk0NSk=&amp;WINDOW=FIRST_POPUP&amp;HEIGHT=450&amp;WIDTH=450&amp;START_MA","XIMIZED=FALSE&amp;VAR:CALENDAR=US&amp;VAR:SYMBOL=N0098510&amp;VAR:INDEX=0"}</definedName>
    <definedName name="_6769__FDSAUDITLINK__" localSheetId="6" hidden="1">{"fdsup://directions/FAT Viewer?action=UPDATE&amp;creator=factset&amp;DYN_ARGS=TRUE&amp;DOC_NAME=FAT:FQL_AUDITING_CLIENT_TEMPLATE.FAT&amp;display_string=Audit&amp;VAR:KEY=BMJWDATYLM&amp;VAR:QUERY=RkZfRUJJVERBX0lCKCdMVE1TJywzODk0NCk=&amp;WINDOW=FIRST_POPUP&amp;HEIGHT=450&amp;WIDTH=450&amp;START_MA","XIMIZED=FALSE&amp;VAR:CALENDAR=US&amp;VAR:SYMBOL=N0098510&amp;VAR:INDEX=0"}</definedName>
    <definedName name="_6769__FDSAUDITLINK__" hidden="1">{"fdsup://directions/FAT Viewer?action=UPDATE&amp;creator=factset&amp;DYN_ARGS=TRUE&amp;DOC_NAME=FAT:FQL_AUDITING_CLIENT_TEMPLATE.FAT&amp;display_string=Audit&amp;VAR:KEY=BMJWDATYLM&amp;VAR:QUERY=RkZfRUJJVERBX0lCKCdMVE1TJywzODk0NCk=&amp;WINDOW=FIRST_POPUP&amp;HEIGHT=450&amp;WIDTH=450&amp;START_MA","XIMIZED=FALSE&amp;VAR:CALENDAR=US&amp;VAR:SYMBOL=N0098510&amp;VAR:INDEX=0"}</definedName>
    <definedName name="_677__FDSAUDITLINK__" localSheetId="6" hidden="1">{"fdsup://directions/FAT%20Viewer?VAR:PED=LTM&amp;VAR:AUDIT_MODE=SUMMARY&amp;VAR:PERIOD=FIXED&amp;VAR:AUDIT_ID=00000117&amp;VAR:DATE=20080415&amp;action=UPDATE&amp;creator=factset&amp;DOC_NAME=FAT:FMA_audit_SUMMARY.fat&amp;DISPLAY_STRING=Display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7__FDSAUDITLINK__" hidden="1">{"fdsup://directions/FAT%20Viewer?VAR:PED=LTM&amp;VAR:AUDIT_MODE=SUMMARY&amp;VAR:PERIOD=FIXED&amp;VAR:AUDIT_ID=00000117&amp;VAR:DATE=20080415&amp;action=UPDATE&amp;creator=factset&amp;DOC_NAME=FAT:FMA_audit_SUMMARY.fat&amp;DISPLAY_STRING=Display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70__FDSAUDITLINK__" localSheetId="6" hidden="1">{"fdsup://directions/FAT Viewer?action=UPDATE&amp;creator=factset&amp;DYN_ARGS=TRUE&amp;DOC_NAME=FAT:FQL_AUDITING_CLIENT_TEMPLATE.FAT&amp;display_string=Audit&amp;VAR:KEY=ZUZAXEFANS&amp;VAR:QUERY=RkZfRUJJVERBX0lCKCdMVE1TJywzODk0Myk=&amp;WINDOW=FIRST_POPUP&amp;HEIGHT=450&amp;WIDTH=450&amp;START_MA","XIMIZED=FALSE&amp;VAR:CALENDAR=US&amp;VAR:SYMBOL=N0098510&amp;VAR:INDEX=0"}</definedName>
    <definedName name="_6770__FDSAUDITLINK__" hidden="1">{"fdsup://directions/FAT Viewer?action=UPDATE&amp;creator=factset&amp;DYN_ARGS=TRUE&amp;DOC_NAME=FAT:FQL_AUDITING_CLIENT_TEMPLATE.FAT&amp;display_string=Audit&amp;VAR:KEY=ZUZAXEFANS&amp;VAR:QUERY=RkZfRUJJVERBX0lCKCdMVE1TJywzODk0Myk=&amp;WINDOW=FIRST_POPUP&amp;HEIGHT=450&amp;WIDTH=450&amp;START_MA","XIMIZED=FALSE&amp;VAR:CALENDAR=US&amp;VAR:SYMBOL=N0098510&amp;VAR:INDEX=0"}</definedName>
    <definedName name="_6771__FDSAUDITLINK__" localSheetId="6" hidden="1">{"fdsup://directions/FAT Viewer?action=UPDATE&amp;creator=factset&amp;DYN_ARGS=TRUE&amp;DOC_NAME=FAT:FQL_AUDITING_CLIENT_TEMPLATE.FAT&amp;display_string=Audit&amp;VAR:KEY=PATAHYRKXE&amp;VAR:QUERY=RkZfRUJJVERBX0lCKCdMVE1TJywzODk0Mik=&amp;WINDOW=FIRST_POPUP&amp;HEIGHT=450&amp;WIDTH=450&amp;START_MA","XIMIZED=FALSE&amp;VAR:CALENDAR=US&amp;VAR:SYMBOL=N0098510&amp;VAR:INDEX=0"}</definedName>
    <definedName name="_6771__FDSAUDITLINK__" hidden="1">{"fdsup://directions/FAT Viewer?action=UPDATE&amp;creator=factset&amp;DYN_ARGS=TRUE&amp;DOC_NAME=FAT:FQL_AUDITING_CLIENT_TEMPLATE.FAT&amp;display_string=Audit&amp;VAR:KEY=PATAHYRKXE&amp;VAR:QUERY=RkZfRUJJVERBX0lCKCdMVE1TJywzODk0Mik=&amp;WINDOW=FIRST_POPUP&amp;HEIGHT=450&amp;WIDTH=450&amp;START_MA","XIMIZED=FALSE&amp;VAR:CALENDAR=US&amp;VAR:SYMBOL=N0098510&amp;VAR:INDEX=0"}</definedName>
    <definedName name="_6772__FDSAUDITLINK__" localSheetId="6" hidden="1">{"fdsup://directions/FAT Viewer?action=UPDATE&amp;creator=factset&amp;DYN_ARGS=TRUE&amp;DOC_NAME=FAT:FQL_AUDITING_CLIENT_TEMPLATE.FAT&amp;display_string=Audit&amp;VAR:KEY=PAVQHGZQHW&amp;VAR:QUERY=RkZfRUJJVERBX0lCKCdMVE1TJywzODk0MSk=&amp;WINDOW=FIRST_POPUP&amp;HEIGHT=450&amp;WIDTH=450&amp;START_MA","XIMIZED=FALSE&amp;VAR:CALENDAR=US&amp;VAR:SYMBOL=N0098510&amp;VAR:INDEX=0"}</definedName>
    <definedName name="_6772__FDSAUDITLINK__" hidden="1">{"fdsup://directions/FAT Viewer?action=UPDATE&amp;creator=factset&amp;DYN_ARGS=TRUE&amp;DOC_NAME=FAT:FQL_AUDITING_CLIENT_TEMPLATE.FAT&amp;display_string=Audit&amp;VAR:KEY=PAVQHGZQHW&amp;VAR:QUERY=RkZfRUJJVERBX0lCKCdMVE1TJywzODk0MSk=&amp;WINDOW=FIRST_POPUP&amp;HEIGHT=450&amp;WIDTH=450&amp;START_MA","XIMIZED=FALSE&amp;VAR:CALENDAR=US&amp;VAR:SYMBOL=N0098510&amp;VAR:INDEX=0"}</definedName>
    <definedName name="_6773__FDSAUDITLINK__" localSheetId="6" hidden="1">{"fdsup://directions/FAT Viewer?action=UPDATE&amp;creator=factset&amp;DYN_ARGS=TRUE&amp;DOC_NAME=FAT:FQL_AUDITING_CLIENT_TEMPLATE.FAT&amp;display_string=Audit&amp;VAR:KEY=RCVGDYDQDY&amp;VAR:QUERY=RkZfRUJJVERBX0lCKCdMVE1TJywzODk0MCk=&amp;WINDOW=FIRST_POPUP&amp;HEIGHT=450&amp;WIDTH=450&amp;START_MA","XIMIZED=FALSE&amp;VAR:CALENDAR=US&amp;VAR:SYMBOL=N0098510&amp;VAR:INDEX=0"}</definedName>
    <definedName name="_6773__FDSAUDITLINK__" hidden="1">{"fdsup://directions/FAT Viewer?action=UPDATE&amp;creator=factset&amp;DYN_ARGS=TRUE&amp;DOC_NAME=FAT:FQL_AUDITING_CLIENT_TEMPLATE.FAT&amp;display_string=Audit&amp;VAR:KEY=RCVGDYDQDY&amp;VAR:QUERY=RkZfRUJJVERBX0lCKCdMVE1TJywzODk0MCk=&amp;WINDOW=FIRST_POPUP&amp;HEIGHT=450&amp;WIDTH=450&amp;START_MA","XIMIZED=FALSE&amp;VAR:CALENDAR=US&amp;VAR:SYMBOL=N0098510&amp;VAR:INDEX=0"}</definedName>
    <definedName name="_6774__FDSAUDITLINK__" localSheetId="6" hidden="1">{"fdsup://directions/FAT Viewer?action=UPDATE&amp;creator=factset&amp;DYN_ARGS=TRUE&amp;DOC_NAME=FAT:FQL_AUDITING_CLIENT_TEMPLATE.FAT&amp;display_string=Audit&amp;VAR:KEY=HWBQRUJKLU&amp;VAR:QUERY=RkZfRUJJVERBX0lCKCdMVE1TJywzODkzOSk=&amp;WINDOW=FIRST_POPUP&amp;HEIGHT=450&amp;WIDTH=450&amp;START_MA","XIMIZED=FALSE&amp;VAR:CALENDAR=US&amp;VAR:SYMBOL=N0098510&amp;VAR:INDEX=0"}</definedName>
    <definedName name="_6774__FDSAUDITLINK__" hidden="1">{"fdsup://directions/FAT Viewer?action=UPDATE&amp;creator=factset&amp;DYN_ARGS=TRUE&amp;DOC_NAME=FAT:FQL_AUDITING_CLIENT_TEMPLATE.FAT&amp;display_string=Audit&amp;VAR:KEY=HWBQRUJKLU&amp;VAR:QUERY=RkZfRUJJVERBX0lCKCdMVE1TJywzODkzOSk=&amp;WINDOW=FIRST_POPUP&amp;HEIGHT=450&amp;WIDTH=450&amp;START_MA","XIMIZED=FALSE&amp;VAR:CALENDAR=US&amp;VAR:SYMBOL=N0098510&amp;VAR:INDEX=0"}</definedName>
    <definedName name="_6775__FDSAUDITLINK__" localSheetId="6" hidden="1">{"fdsup://directions/FAT Viewer?action=UPDATE&amp;creator=factset&amp;DYN_ARGS=TRUE&amp;DOC_NAME=FAT:FQL_AUDITING_CLIENT_TEMPLATE.FAT&amp;display_string=Audit&amp;VAR:KEY=JCJGDWVWTE&amp;VAR:QUERY=RkZfRUJJVERBX0lCKCdMVE1TJywzODkzOCk=&amp;WINDOW=FIRST_POPUP&amp;HEIGHT=450&amp;WIDTH=450&amp;START_MA","XIMIZED=FALSE&amp;VAR:CALENDAR=US&amp;VAR:SYMBOL=N0098510&amp;VAR:INDEX=0"}</definedName>
    <definedName name="_6775__FDSAUDITLINK__" hidden="1">{"fdsup://directions/FAT Viewer?action=UPDATE&amp;creator=factset&amp;DYN_ARGS=TRUE&amp;DOC_NAME=FAT:FQL_AUDITING_CLIENT_TEMPLATE.FAT&amp;display_string=Audit&amp;VAR:KEY=JCJGDWVWTE&amp;VAR:QUERY=RkZfRUJJVERBX0lCKCdMVE1TJywzODkzOCk=&amp;WINDOW=FIRST_POPUP&amp;HEIGHT=450&amp;WIDTH=450&amp;START_MA","XIMIZED=FALSE&amp;VAR:CALENDAR=US&amp;VAR:SYMBOL=N0098510&amp;VAR:INDEX=0"}</definedName>
    <definedName name="_6776__FDSAUDITLINK__" localSheetId="6" hidden="1">{"fdsup://directions/FAT Viewer?action=UPDATE&amp;creator=factset&amp;DYN_ARGS=TRUE&amp;DOC_NAME=FAT:FQL_AUDITING_CLIENT_TEMPLATE.FAT&amp;display_string=Audit&amp;VAR:KEY=RYRQDSDOFM&amp;VAR:QUERY=RkZfRUJJVERBX0lCKCdMVE1TJywzODkzNyk=&amp;WINDOW=FIRST_POPUP&amp;HEIGHT=450&amp;WIDTH=450&amp;START_MA","XIMIZED=FALSE&amp;VAR:CALENDAR=US&amp;VAR:SYMBOL=N0098510&amp;VAR:INDEX=0"}</definedName>
    <definedName name="_6776__FDSAUDITLINK__" hidden="1">{"fdsup://directions/FAT Viewer?action=UPDATE&amp;creator=factset&amp;DYN_ARGS=TRUE&amp;DOC_NAME=FAT:FQL_AUDITING_CLIENT_TEMPLATE.FAT&amp;display_string=Audit&amp;VAR:KEY=RYRQDSDOFM&amp;VAR:QUERY=RkZfRUJJVERBX0lCKCdMVE1TJywzODkzNyk=&amp;WINDOW=FIRST_POPUP&amp;HEIGHT=450&amp;WIDTH=450&amp;START_MA","XIMIZED=FALSE&amp;VAR:CALENDAR=US&amp;VAR:SYMBOL=N0098510&amp;VAR:INDEX=0"}</definedName>
    <definedName name="_6777__FDSAUDITLINK__" localSheetId="6" hidden="1">{"fdsup://directions/FAT Viewer?action=UPDATE&amp;creator=factset&amp;DYN_ARGS=TRUE&amp;DOC_NAME=FAT:FQL_AUDITING_CLIENT_TEMPLATE.FAT&amp;display_string=Audit&amp;VAR:KEY=XAPWPURURQ&amp;VAR:QUERY=RkZfRUJJVERBX0lCKCdMVE1TJywzODkzNik=&amp;WINDOW=FIRST_POPUP&amp;HEIGHT=450&amp;WIDTH=450&amp;START_MA","XIMIZED=FALSE&amp;VAR:CALENDAR=US&amp;VAR:SYMBOL=N0098510&amp;VAR:INDEX=0"}</definedName>
    <definedName name="_6777__FDSAUDITLINK__" hidden="1">{"fdsup://directions/FAT Viewer?action=UPDATE&amp;creator=factset&amp;DYN_ARGS=TRUE&amp;DOC_NAME=FAT:FQL_AUDITING_CLIENT_TEMPLATE.FAT&amp;display_string=Audit&amp;VAR:KEY=XAPWPURURQ&amp;VAR:QUERY=RkZfRUJJVERBX0lCKCdMVE1TJywzODkzNik=&amp;WINDOW=FIRST_POPUP&amp;HEIGHT=450&amp;WIDTH=450&amp;START_MA","XIMIZED=FALSE&amp;VAR:CALENDAR=US&amp;VAR:SYMBOL=N0098510&amp;VAR:INDEX=0"}</definedName>
    <definedName name="_6778__FDSAUDITLINK__" localSheetId="6" hidden="1">{"fdsup://directions/FAT Viewer?action=UPDATE&amp;creator=factset&amp;DYN_ARGS=TRUE&amp;DOC_NAME=FAT:FQL_AUDITING_CLIENT_TEMPLATE.FAT&amp;display_string=Audit&amp;VAR:KEY=VEJILOVQNE&amp;VAR:QUERY=RkZfRUJJVERBX0lCKCdMVE1TJywzODkzNSk=&amp;WINDOW=FIRST_POPUP&amp;HEIGHT=450&amp;WIDTH=450&amp;START_MA","XIMIZED=FALSE&amp;VAR:CALENDAR=US&amp;VAR:SYMBOL=N0098510&amp;VAR:INDEX=0"}</definedName>
    <definedName name="_6778__FDSAUDITLINK__" hidden="1">{"fdsup://directions/FAT Viewer?action=UPDATE&amp;creator=factset&amp;DYN_ARGS=TRUE&amp;DOC_NAME=FAT:FQL_AUDITING_CLIENT_TEMPLATE.FAT&amp;display_string=Audit&amp;VAR:KEY=VEJILOVQNE&amp;VAR:QUERY=RkZfRUJJVERBX0lCKCdMVE1TJywzODkzNSk=&amp;WINDOW=FIRST_POPUP&amp;HEIGHT=450&amp;WIDTH=450&amp;START_MA","XIMIZED=FALSE&amp;VAR:CALENDAR=US&amp;VAR:SYMBOL=N0098510&amp;VAR:INDEX=0"}</definedName>
    <definedName name="_6779__FDSAUDITLINK__" localSheetId="6" hidden="1">{"fdsup://directions/FAT Viewer?action=UPDATE&amp;creator=factset&amp;DYN_ARGS=TRUE&amp;DOC_NAME=FAT:FQL_AUDITING_CLIENT_TEMPLATE.FAT&amp;display_string=Audit&amp;VAR:KEY=ZCHEZILOHU&amp;VAR:QUERY=RkZfRUJJVERBX0lCKCdMVE1TJywzODkzNCk=&amp;WINDOW=FIRST_POPUP&amp;HEIGHT=450&amp;WIDTH=450&amp;START_MA","XIMIZED=FALSE&amp;VAR:CALENDAR=US&amp;VAR:SYMBOL=N0098510&amp;VAR:INDEX=0"}</definedName>
    <definedName name="_6779__FDSAUDITLINK__" hidden="1">{"fdsup://directions/FAT Viewer?action=UPDATE&amp;creator=factset&amp;DYN_ARGS=TRUE&amp;DOC_NAME=FAT:FQL_AUDITING_CLIENT_TEMPLATE.FAT&amp;display_string=Audit&amp;VAR:KEY=ZCHEZILOHU&amp;VAR:QUERY=RkZfRUJJVERBX0lCKCdMVE1TJywzODkzNCk=&amp;WINDOW=FIRST_POPUP&amp;HEIGHT=450&amp;WIDTH=450&amp;START_MA","XIMIZED=FALSE&amp;VAR:CALENDAR=US&amp;VAR:SYMBOL=N0098510&amp;VAR:INDEX=0"}</definedName>
    <definedName name="_678__FDSAUDITLINK__" localSheetId="6" hidden="1">{"fdsup://directions/FAT%20Viewer?VAR:PED=LTM&amp;VAR:AUDIT_MODE=SUMMARY&amp;VAR:PERIOD=FIXED&amp;VAR:AUDIT_ID=00000117&amp;VAR:DATE=20080414&amp;action=UPDATE&amp;creator=factset&amp;DOC_NAME=FAT:FMA_audit_SUMMARY.fat&amp;DISPLAY_STRING=Display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8__FDSAUDITLINK__" hidden="1">{"fdsup://directions/FAT%20Viewer?VAR:PED=LTM&amp;VAR:AUDIT_MODE=SUMMARY&amp;VAR:PERIOD=FIXED&amp;VAR:AUDIT_ID=00000117&amp;VAR:DATE=20080414&amp;action=UPDATE&amp;creator=factset&amp;DOC_NAME=FAT:FMA_audit_SUMMARY.fat&amp;DISPLAY_STRING=Display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80__FDSAUDITLINK__" localSheetId="6" hidden="1">{"fdsup://directions/FAT Viewer?action=UPDATE&amp;creator=factset&amp;DYN_ARGS=TRUE&amp;DOC_NAME=FAT:FQL_AUDITING_CLIENT_TEMPLATE.FAT&amp;display_string=Audit&amp;VAR:KEY=VCXMTAFARM&amp;VAR:QUERY=RkZfRUJJVERBX0lCKCdMVE1TJywzODkzMyk=&amp;WINDOW=FIRST_POPUP&amp;HEIGHT=450&amp;WIDTH=450&amp;START_MA","XIMIZED=FALSE&amp;VAR:CALENDAR=US&amp;VAR:SYMBOL=N0098510&amp;VAR:INDEX=0"}</definedName>
    <definedName name="_6780__FDSAUDITLINK__" hidden="1">{"fdsup://directions/FAT Viewer?action=UPDATE&amp;creator=factset&amp;DYN_ARGS=TRUE&amp;DOC_NAME=FAT:FQL_AUDITING_CLIENT_TEMPLATE.FAT&amp;display_string=Audit&amp;VAR:KEY=VCXMTAFARM&amp;VAR:QUERY=RkZfRUJJVERBX0lCKCdMVE1TJywzODkzMyk=&amp;WINDOW=FIRST_POPUP&amp;HEIGHT=450&amp;WIDTH=450&amp;START_MA","XIMIZED=FALSE&amp;VAR:CALENDAR=US&amp;VAR:SYMBOL=N0098510&amp;VAR:INDEX=0"}</definedName>
    <definedName name="_6781__FDSAUDITLINK__" localSheetId="6" hidden="1">{"fdsup://directions/FAT Viewer?action=UPDATE&amp;creator=factset&amp;DYN_ARGS=TRUE&amp;DOC_NAME=FAT:FQL_AUDITING_CLIENT_TEMPLATE.FAT&amp;display_string=Audit&amp;VAR:KEY=RMRQBUDKHK&amp;VAR:QUERY=RkZfRUJJVERBX0lCKCdMVE1TJywzODkzMik=&amp;WINDOW=FIRST_POPUP&amp;HEIGHT=450&amp;WIDTH=450&amp;START_MA","XIMIZED=FALSE&amp;VAR:CALENDAR=US&amp;VAR:SYMBOL=N0098510&amp;VAR:INDEX=0"}</definedName>
    <definedName name="_6781__FDSAUDITLINK__" hidden="1">{"fdsup://directions/FAT Viewer?action=UPDATE&amp;creator=factset&amp;DYN_ARGS=TRUE&amp;DOC_NAME=FAT:FQL_AUDITING_CLIENT_TEMPLATE.FAT&amp;display_string=Audit&amp;VAR:KEY=RMRQBUDKHK&amp;VAR:QUERY=RkZfRUJJVERBX0lCKCdMVE1TJywzODkzMik=&amp;WINDOW=FIRST_POPUP&amp;HEIGHT=450&amp;WIDTH=450&amp;START_MA","XIMIZED=FALSE&amp;VAR:CALENDAR=US&amp;VAR:SYMBOL=N0098510&amp;VAR:INDEX=0"}</definedName>
    <definedName name="_6782__FDSAUDITLINK__" localSheetId="6" hidden="1">{"fdsup://directions/FAT Viewer?action=UPDATE&amp;creator=factset&amp;DYN_ARGS=TRUE&amp;DOC_NAME=FAT:FQL_AUDITING_CLIENT_TEMPLATE.FAT&amp;display_string=Audit&amp;VAR:KEY=PUBCVUBARC&amp;VAR:QUERY=RkZfRUJJVERBX0lCKCdMVE1TJywzODkzMSk=&amp;WINDOW=FIRST_POPUP&amp;HEIGHT=450&amp;WIDTH=450&amp;START_MA","XIMIZED=FALSE&amp;VAR:CALENDAR=US&amp;VAR:SYMBOL=N0098510&amp;VAR:INDEX=0"}</definedName>
    <definedName name="_6782__FDSAUDITLINK__" hidden="1">{"fdsup://directions/FAT Viewer?action=UPDATE&amp;creator=factset&amp;DYN_ARGS=TRUE&amp;DOC_NAME=FAT:FQL_AUDITING_CLIENT_TEMPLATE.FAT&amp;display_string=Audit&amp;VAR:KEY=PUBCVUBARC&amp;VAR:QUERY=RkZfRUJJVERBX0lCKCdMVE1TJywzODkzMSk=&amp;WINDOW=FIRST_POPUP&amp;HEIGHT=450&amp;WIDTH=450&amp;START_MA","XIMIZED=FALSE&amp;VAR:CALENDAR=US&amp;VAR:SYMBOL=N0098510&amp;VAR:INDEX=0"}</definedName>
    <definedName name="_6783__FDSAUDITLINK__" localSheetId="6" hidden="1">{"fdsup://directions/FAT Viewer?action=UPDATE&amp;creator=factset&amp;DYN_ARGS=TRUE&amp;DOC_NAME=FAT:FQL_AUDITING_CLIENT_TEMPLATE.FAT&amp;display_string=Audit&amp;VAR:KEY=TEBWNCXUBM&amp;VAR:QUERY=RkZfRUJJVERBX0lCKCdMVE1TJywzODkzMCk=&amp;WINDOW=FIRST_POPUP&amp;HEIGHT=450&amp;WIDTH=450&amp;START_MA","XIMIZED=FALSE&amp;VAR:CALENDAR=US&amp;VAR:SYMBOL=N0098510&amp;VAR:INDEX=0"}</definedName>
    <definedName name="_6783__FDSAUDITLINK__" hidden="1">{"fdsup://directions/FAT Viewer?action=UPDATE&amp;creator=factset&amp;DYN_ARGS=TRUE&amp;DOC_NAME=FAT:FQL_AUDITING_CLIENT_TEMPLATE.FAT&amp;display_string=Audit&amp;VAR:KEY=TEBWNCXUBM&amp;VAR:QUERY=RkZfRUJJVERBX0lCKCdMVE1TJywzODkzMCk=&amp;WINDOW=FIRST_POPUP&amp;HEIGHT=450&amp;WIDTH=450&amp;START_MA","XIMIZED=FALSE&amp;VAR:CALENDAR=US&amp;VAR:SYMBOL=N0098510&amp;VAR:INDEX=0"}</definedName>
    <definedName name="_6784__FDSAUDITLINK__" localSheetId="6" hidden="1">{"fdsup://directions/FAT Viewer?action=UPDATE&amp;creator=factset&amp;DYN_ARGS=TRUE&amp;DOC_NAME=FAT:FQL_AUDITING_CLIENT_TEMPLATE.FAT&amp;display_string=Audit&amp;VAR:KEY=ZSVWFSZORW&amp;VAR:QUERY=RkZfRUJJVERBX0lCKCdMVE1TJywzODkyOSk=&amp;WINDOW=FIRST_POPUP&amp;HEIGHT=450&amp;WIDTH=450&amp;START_MA","XIMIZED=FALSE&amp;VAR:CALENDAR=US&amp;VAR:SYMBOL=N0098510&amp;VAR:INDEX=0"}</definedName>
    <definedName name="_6784__FDSAUDITLINK__" hidden="1">{"fdsup://directions/FAT Viewer?action=UPDATE&amp;creator=factset&amp;DYN_ARGS=TRUE&amp;DOC_NAME=FAT:FQL_AUDITING_CLIENT_TEMPLATE.FAT&amp;display_string=Audit&amp;VAR:KEY=ZSVWFSZORW&amp;VAR:QUERY=RkZfRUJJVERBX0lCKCdMVE1TJywzODkyOSk=&amp;WINDOW=FIRST_POPUP&amp;HEIGHT=450&amp;WIDTH=450&amp;START_MA","XIMIZED=FALSE&amp;VAR:CALENDAR=US&amp;VAR:SYMBOL=N0098510&amp;VAR:INDEX=0"}</definedName>
    <definedName name="_6785__FDSAUDITLINK__" localSheetId="6" hidden="1">{"fdsup://directions/FAT Viewer?action=UPDATE&amp;creator=factset&amp;DYN_ARGS=TRUE&amp;DOC_NAME=FAT:FQL_AUDITING_CLIENT_TEMPLATE.FAT&amp;display_string=Audit&amp;VAR:KEY=VIXWHSLOJI&amp;VAR:QUERY=RkZfRUJJVERBX0lCKCdMVE1TJywzODkyOCk=&amp;WINDOW=FIRST_POPUP&amp;HEIGHT=450&amp;WIDTH=450&amp;START_MA","XIMIZED=FALSE&amp;VAR:CALENDAR=US&amp;VAR:SYMBOL=N0098510&amp;VAR:INDEX=0"}</definedName>
    <definedName name="_6785__FDSAUDITLINK__" hidden="1">{"fdsup://directions/FAT Viewer?action=UPDATE&amp;creator=factset&amp;DYN_ARGS=TRUE&amp;DOC_NAME=FAT:FQL_AUDITING_CLIENT_TEMPLATE.FAT&amp;display_string=Audit&amp;VAR:KEY=VIXWHSLOJI&amp;VAR:QUERY=RkZfRUJJVERBX0lCKCdMVE1TJywzODkyOCk=&amp;WINDOW=FIRST_POPUP&amp;HEIGHT=450&amp;WIDTH=450&amp;START_MA","XIMIZED=FALSE&amp;VAR:CALENDAR=US&amp;VAR:SYMBOL=N0098510&amp;VAR:INDEX=0"}</definedName>
    <definedName name="_6786__FDSAUDITLINK__" localSheetId="6" hidden="1">{"fdsup://directions/FAT Viewer?action=UPDATE&amp;creator=factset&amp;DYN_ARGS=TRUE&amp;DOC_NAME=FAT:FQL_AUDITING_CLIENT_TEMPLATE.FAT&amp;display_string=Audit&amp;VAR:KEY=NOLQXEJQFO&amp;VAR:QUERY=RkZfRUJJVERBX0lCKCdMVE1TJywzODkyNyk=&amp;WINDOW=FIRST_POPUP&amp;HEIGHT=450&amp;WIDTH=450&amp;START_MA","XIMIZED=FALSE&amp;VAR:CALENDAR=US&amp;VAR:SYMBOL=N0098510&amp;VAR:INDEX=0"}</definedName>
    <definedName name="_6786__FDSAUDITLINK__" hidden="1">{"fdsup://directions/FAT Viewer?action=UPDATE&amp;creator=factset&amp;DYN_ARGS=TRUE&amp;DOC_NAME=FAT:FQL_AUDITING_CLIENT_TEMPLATE.FAT&amp;display_string=Audit&amp;VAR:KEY=NOLQXEJQFO&amp;VAR:QUERY=RkZfRUJJVERBX0lCKCdMVE1TJywzODkyNyk=&amp;WINDOW=FIRST_POPUP&amp;HEIGHT=450&amp;WIDTH=450&amp;START_MA","XIMIZED=FALSE&amp;VAR:CALENDAR=US&amp;VAR:SYMBOL=N0098510&amp;VAR:INDEX=0"}</definedName>
    <definedName name="_6787__FDSAUDITLINK__" localSheetId="6" hidden="1">{"fdsup://directions/FAT Viewer?action=UPDATE&amp;creator=factset&amp;DYN_ARGS=TRUE&amp;DOC_NAME=FAT:FQL_AUDITING_CLIENT_TEMPLATE.FAT&amp;display_string=Audit&amp;VAR:KEY=FEBYFANUFG&amp;VAR:QUERY=RkZfRUJJVERBX0lCKCdMVE1TJywzODkyNik=&amp;WINDOW=FIRST_POPUP&amp;HEIGHT=450&amp;WIDTH=450&amp;START_MA","XIMIZED=FALSE&amp;VAR:CALENDAR=US&amp;VAR:SYMBOL=N0098510&amp;VAR:INDEX=0"}</definedName>
    <definedName name="_6787__FDSAUDITLINK__" hidden="1">{"fdsup://directions/FAT Viewer?action=UPDATE&amp;creator=factset&amp;DYN_ARGS=TRUE&amp;DOC_NAME=FAT:FQL_AUDITING_CLIENT_TEMPLATE.FAT&amp;display_string=Audit&amp;VAR:KEY=FEBYFANUFG&amp;VAR:QUERY=RkZfRUJJVERBX0lCKCdMVE1TJywzODkyNik=&amp;WINDOW=FIRST_POPUP&amp;HEIGHT=450&amp;WIDTH=450&amp;START_MA","XIMIZED=FALSE&amp;VAR:CALENDAR=US&amp;VAR:SYMBOL=N0098510&amp;VAR:INDEX=0"}</definedName>
    <definedName name="_6788__FDSAUDITLINK__" localSheetId="6" hidden="1">{"fdsup://directions/FAT Viewer?action=UPDATE&amp;creator=factset&amp;DYN_ARGS=TRUE&amp;DOC_NAME=FAT:FQL_AUDITING_CLIENT_TEMPLATE.FAT&amp;display_string=Audit&amp;VAR:KEY=XYDSXWHMDA&amp;VAR:QUERY=RkZfRUJJVERBX0lCKCdMVE1TJywzODkyNSk=&amp;WINDOW=FIRST_POPUP&amp;HEIGHT=450&amp;WIDTH=450&amp;START_MA","XIMIZED=FALSE&amp;VAR:CALENDAR=US&amp;VAR:SYMBOL=N0098510&amp;VAR:INDEX=0"}</definedName>
    <definedName name="_6788__FDSAUDITLINK__" hidden="1">{"fdsup://directions/FAT Viewer?action=UPDATE&amp;creator=factset&amp;DYN_ARGS=TRUE&amp;DOC_NAME=FAT:FQL_AUDITING_CLIENT_TEMPLATE.FAT&amp;display_string=Audit&amp;VAR:KEY=XYDSXWHMDA&amp;VAR:QUERY=RkZfRUJJVERBX0lCKCdMVE1TJywzODkyNSk=&amp;WINDOW=FIRST_POPUP&amp;HEIGHT=450&amp;WIDTH=450&amp;START_MA","XIMIZED=FALSE&amp;VAR:CALENDAR=US&amp;VAR:SYMBOL=N0098510&amp;VAR:INDEX=0"}</definedName>
    <definedName name="_6789__FDSAUDITLINK__" localSheetId="6" hidden="1">{"fdsup://directions/FAT Viewer?action=UPDATE&amp;creator=factset&amp;DYN_ARGS=TRUE&amp;DOC_NAME=FAT:FQL_AUDITING_CLIENT_TEMPLATE.FAT&amp;display_string=Audit&amp;VAR:KEY=TMZWPYFIPA&amp;VAR:QUERY=RkZfRUJJVERBX0lCKCdMVE1TJywzODkyNCk=&amp;WINDOW=FIRST_POPUP&amp;HEIGHT=450&amp;WIDTH=450&amp;START_MA","XIMIZED=FALSE&amp;VAR:CALENDAR=US&amp;VAR:SYMBOL=N0098510&amp;VAR:INDEX=0"}</definedName>
    <definedName name="_6789__FDSAUDITLINK__" hidden="1">{"fdsup://directions/FAT Viewer?action=UPDATE&amp;creator=factset&amp;DYN_ARGS=TRUE&amp;DOC_NAME=FAT:FQL_AUDITING_CLIENT_TEMPLATE.FAT&amp;display_string=Audit&amp;VAR:KEY=TMZWPYFIPA&amp;VAR:QUERY=RkZfRUJJVERBX0lCKCdMVE1TJywzODkyNCk=&amp;WINDOW=FIRST_POPUP&amp;HEIGHT=450&amp;WIDTH=450&amp;START_MA","XIMIZED=FALSE&amp;VAR:CALENDAR=US&amp;VAR:SYMBOL=N0098510&amp;VAR:INDEX=0"}</definedName>
    <definedName name="_679__FDSAUDITLINK__" localSheetId="6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9__FDSAUDITLINK__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790__FDSAUDITLINK__" localSheetId="6" hidden="1">{"fdsup://directions/FAT Viewer?action=UPDATE&amp;creator=factset&amp;DYN_ARGS=TRUE&amp;DOC_NAME=FAT:FQL_AUDITING_CLIENT_TEMPLATE.FAT&amp;display_string=Audit&amp;VAR:KEY=VIBGZYRKVY&amp;VAR:QUERY=RkZfRUJJVERBX0lCKCdMVE1TJywzODkyMyk=&amp;WINDOW=FIRST_POPUP&amp;HEIGHT=450&amp;WIDTH=450&amp;START_MA","XIMIZED=FALSE&amp;VAR:CALENDAR=US&amp;VAR:SYMBOL=N0098510&amp;VAR:INDEX=0"}</definedName>
    <definedName name="_6790__FDSAUDITLINK__" hidden="1">{"fdsup://directions/FAT Viewer?action=UPDATE&amp;creator=factset&amp;DYN_ARGS=TRUE&amp;DOC_NAME=FAT:FQL_AUDITING_CLIENT_TEMPLATE.FAT&amp;display_string=Audit&amp;VAR:KEY=VIBGZYRKVY&amp;VAR:QUERY=RkZfRUJJVERBX0lCKCdMVE1TJywzODkyMyk=&amp;WINDOW=FIRST_POPUP&amp;HEIGHT=450&amp;WIDTH=450&amp;START_MA","XIMIZED=FALSE&amp;VAR:CALENDAR=US&amp;VAR:SYMBOL=N0098510&amp;VAR:INDEX=0"}</definedName>
    <definedName name="_6791__FDSAUDITLINK__" localSheetId="6" hidden="1">{"fdsup://directions/FAT Viewer?action=UPDATE&amp;creator=factset&amp;DYN_ARGS=TRUE&amp;DOC_NAME=FAT:FQL_AUDITING_CLIENT_TEMPLATE.FAT&amp;display_string=Audit&amp;VAR:KEY=XGNGLOXETU&amp;VAR:QUERY=RkZfRUJJVERBX0lCKCdMVE1TJywzODkyMik=&amp;WINDOW=FIRST_POPUP&amp;HEIGHT=450&amp;WIDTH=450&amp;START_MA","XIMIZED=FALSE&amp;VAR:CALENDAR=US&amp;VAR:SYMBOL=N0098510&amp;VAR:INDEX=0"}</definedName>
    <definedName name="_6791__FDSAUDITLINK__" hidden="1">{"fdsup://directions/FAT Viewer?action=UPDATE&amp;creator=factset&amp;DYN_ARGS=TRUE&amp;DOC_NAME=FAT:FQL_AUDITING_CLIENT_TEMPLATE.FAT&amp;display_string=Audit&amp;VAR:KEY=XGNGLOXETU&amp;VAR:QUERY=RkZfRUJJVERBX0lCKCdMVE1TJywzODkyMik=&amp;WINDOW=FIRST_POPUP&amp;HEIGHT=450&amp;WIDTH=450&amp;START_MA","XIMIZED=FALSE&amp;VAR:CALENDAR=US&amp;VAR:SYMBOL=N0098510&amp;VAR:INDEX=0"}</definedName>
    <definedName name="_6792__FDSAUDITLINK__" localSheetId="6" hidden="1">{"fdsup://directions/FAT Viewer?action=UPDATE&amp;creator=factset&amp;DYN_ARGS=TRUE&amp;DOC_NAME=FAT:FQL_AUDITING_CLIENT_TEMPLATE.FAT&amp;display_string=Audit&amp;VAR:KEY=ZSBSLUDYVQ&amp;VAR:QUERY=RkZfRUJJVERBX0lCKCdMVE1TJywzODkyMSk=&amp;WINDOW=FIRST_POPUP&amp;HEIGHT=450&amp;WIDTH=450&amp;START_MA","XIMIZED=FALSE&amp;VAR:CALENDAR=US&amp;VAR:SYMBOL=N0098510&amp;VAR:INDEX=0"}</definedName>
    <definedName name="_6792__FDSAUDITLINK__" hidden="1">{"fdsup://directions/FAT Viewer?action=UPDATE&amp;creator=factset&amp;DYN_ARGS=TRUE&amp;DOC_NAME=FAT:FQL_AUDITING_CLIENT_TEMPLATE.FAT&amp;display_string=Audit&amp;VAR:KEY=ZSBSLUDYVQ&amp;VAR:QUERY=RkZfRUJJVERBX0lCKCdMVE1TJywzODkyMSk=&amp;WINDOW=FIRST_POPUP&amp;HEIGHT=450&amp;WIDTH=450&amp;START_MA","XIMIZED=FALSE&amp;VAR:CALENDAR=US&amp;VAR:SYMBOL=N0098510&amp;VAR:INDEX=0"}</definedName>
    <definedName name="_6793__FDSAUDITLINK__" localSheetId="6" hidden="1">{"fdsup://directions/FAT Viewer?action=UPDATE&amp;creator=factset&amp;DYN_ARGS=TRUE&amp;DOC_NAME=FAT:FQL_AUDITING_CLIENT_TEMPLATE.FAT&amp;display_string=Audit&amp;VAR:KEY=HSXCPEXIZE&amp;VAR:QUERY=RkZfRUJJVERBX0lCKCdMVE1TJywzODkyMCk=&amp;WINDOW=FIRST_POPUP&amp;HEIGHT=450&amp;WIDTH=450&amp;START_MA","XIMIZED=FALSE&amp;VAR:CALENDAR=US&amp;VAR:SYMBOL=N0098510&amp;VAR:INDEX=0"}</definedName>
    <definedName name="_6793__FDSAUDITLINK__" hidden="1">{"fdsup://directions/FAT Viewer?action=UPDATE&amp;creator=factset&amp;DYN_ARGS=TRUE&amp;DOC_NAME=FAT:FQL_AUDITING_CLIENT_TEMPLATE.FAT&amp;display_string=Audit&amp;VAR:KEY=HSXCPEXIZE&amp;VAR:QUERY=RkZfRUJJVERBX0lCKCdMVE1TJywzODkyMCk=&amp;WINDOW=FIRST_POPUP&amp;HEIGHT=450&amp;WIDTH=450&amp;START_MA","XIMIZED=FALSE&amp;VAR:CALENDAR=US&amp;VAR:SYMBOL=N0098510&amp;VAR:INDEX=0"}</definedName>
    <definedName name="_6794__FDSAUDITLINK__" localSheetId="6" hidden="1">{"fdsup://directions/FAT Viewer?action=UPDATE&amp;creator=factset&amp;DYN_ARGS=TRUE&amp;DOC_NAME=FAT:FQL_AUDITING_CLIENT_TEMPLATE.FAT&amp;display_string=Audit&amp;VAR:KEY=XATGNABEBI&amp;VAR:QUERY=RkZfRUJJVERBX0lCKCdMVE1TJywzODkxOSk=&amp;WINDOW=FIRST_POPUP&amp;HEIGHT=450&amp;WIDTH=450&amp;START_MA","XIMIZED=FALSE&amp;VAR:CALENDAR=US&amp;VAR:SYMBOL=N0098510&amp;VAR:INDEX=0"}</definedName>
    <definedName name="_6794__FDSAUDITLINK__" hidden="1">{"fdsup://directions/FAT Viewer?action=UPDATE&amp;creator=factset&amp;DYN_ARGS=TRUE&amp;DOC_NAME=FAT:FQL_AUDITING_CLIENT_TEMPLATE.FAT&amp;display_string=Audit&amp;VAR:KEY=XATGNABEBI&amp;VAR:QUERY=RkZfRUJJVERBX0lCKCdMVE1TJywzODkxOSk=&amp;WINDOW=FIRST_POPUP&amp;HEIGHT=450&amp;WIDTH=450&amp;START_MA","XIMIZED=FALSE&amp;VAR:CALENDAR=US&amp;VAR:SYMBOL=N0098510&amp;VAR:INDEX=0"}</definedName>
    <definedName name="_6795__FDSAUDITLINK__" localSheetId="6" hidden="1">{"fdsup://directions/FAT Viewer?action=UPDATE&amp;creator=factset&amp;DYN_ARGS=TRUE&amp;DOC_NAME=FAT:FQL_AUDITING_CLIENT_TEMPLATE.FAT&amp;display_string=Audit&amp;VAR:KEY=LIHMRMVWNY&amp;VAR:QUERY=RkZfRUJJVERBX0lCKCdMVE1TJywzODkxOCk=&amp;WINDOW=FIRST_POPUP&amp;HEIGHT=450&amp;WIDTH=450&amp;START_MA","XIMIZED=FALSE&amp;VAR:CALENDAR=US&amp;VAR:SYMBOL=N0098510&amp;VAR:INDEX=0"}</definedName>
    <definedName name="_6795__FDSAUDITLINK__" hidden="1">{"fdsup://directions/FAT Viewer?action=UPDATE&amp;creator=factset&amp;DYN_ARGS=TRUE&amp;DOC_NAME=FAT:FQL_AUDITING_CLIENT_TEMPLATE.FAT&amp;display_string=Audit&amp;VAR:KEY=LIHMRMVWNY&amp;VAR:QUERY=RkZfRUJJVERBX0lCKCdMVE1TJywzODkxOCk=&amp;WINDOW=FIRST_POPUP&amp;HEIGHT=450&amp;WIDTH=450&amp;START_MA","XIMIZED=FALSE&amp;VAR:CALENDAR=US&amp;VAR:SYMBOL=N0098510&amp;VAR:INDEX=0"}</definedName>
    <definedName name="_6796__FDSAUDITLINK__" localSheetId="6" hidden="1">{"fdsup://directions/FAT Viewer?action=UPDATE&amp;creator=factset&amp;DYN_ARGS=TRUE&amp;DOC_NAME=FAT:FQL_AUDITING_CLIENT_TEMPLATE.FAT&amp;display_string=Audit&amp;VAR:KEY=JWHQFIXQVY&amp;VAR:QUERY=RkZfRUJJVERBX0lCKCdMVE1TJywzODkxNyk=&amp;WINDOW=FIRST_POPUP&amp;HEIGHT=450&amp;WIDTH=450&amp;START_MA","XIMIZED=FALSE&amp;VAR:CALENDAR=US&amp;VAR:SYMBOL=N0098510&amp;VAR:INDEX=0"}</definedName>
    <definedName name="_6796__FDSAUDITLINK__" hidden="1">{"fdsup://directions/FAT Viewer?action=UPDATE&amp;creator=factset&amp;DYN_ARGS=TRUE&amp;DOC_NAME=FAT:FQL_AUDITING_CLIENT_TEMPLATE.FAT&amp;display_string=Audit&amp;VAR:KEY=JWHQFIXQVY&amp;VAR:QUERY=RkZfRUJJVERBX0lCKCdMVE1TJywzODkxNyk=&amp;WINDOW=FIRST_POPUP&amp;HEIGHT=450&amp;WIDTH=450&amp;START_MA","XIMIZED=FALSE&amp;VAR:CALENDAR=US&amp;VAR:SYMBOL=N0098510&amp;VAR:INDEX=0"}</definedName>
    <definedName name="_6797__FDSAUDITLINK__" localSheetId="6" hidden="1">{"fdsup://directions/FAT Viewer?action=UPDATE&amp;creator=factset&amp;DYN_ARGS=TRUE&amp;DOC_NAME=FAT:FQL_AUDITING_CLIENT_TEMPLATE.FAT&amp;display_string=Audit&amp;VAR:KEY=BSPYTSBINY&amp;VAR:QUERY=RkZfRUJJVERBX0lCKCdMVE1TJywzODkxNik=&amp;WINDOW=FIRST_POPUP&amp;HEIGHT=450&amp;WIDTH=450&amp;START_MA","XIMIZED=FALSE&amp;VAR:CALENDAR=US&amp;VAR:SYMBOL=N0098510&amp;VAR:INDEX=0"}</definedName>
    <definedName name="_6797__FDSAUDITLINK__" hidden="1">{"fdsup://directions/FAT Viewer?action=UPDATE&amp;creator=factset&amp;DYN_ARGS=TRUE&amp;DOC_NAME=FAT:FQL_AUDITING_CLIENT_TEMPLATE.FAT&amp;display_string=Audit&amp;VAR:KEY=BSPYTSBINY&amp;VAR:QUERY=RkZfRUJJVERBX0lCKCdMVE1TJywzODkxNik=&amp;WINDOW=FIRST_POPUP&amp;HEIGHT=450&amp;WIDTH=450&amp;START_MA","XIMIZED=FALSE&amp;VAR:CALENDAR=US&amp;VAR:SYMBOL=N0098510&amp;VAR:INDEX=0"}</definedName>
    <definedName name="_6798__FDSAUDITLINK__" localSheetId="6" hidden="1">{"fdsup://directions/FAT Viewer?action=UPDATE&amp;creator=factset&amp;DYN_ARGS=TRUE&amp;DOC_NAME=FAT:FQL_AUDITING_CLIENT_TEMPLATE.FAT&amp;display_string=Audit&amp;VAR:KEY=PEVOXAHOPK&amp;VAR:QUERY=RkZfRUJJVERBX0lCKCdMVE1TJywzODkxNSk=&amp;WINDOW=FIRST_POPUP&amp;HEIGHT=450&amp;WIDTH=450&amp;START_MA","XIMIZED=FALSE&amp;VAR:CALENDAR=US&amp;VAR:SYMBOL=N0098510&amp;VAR:INDEX=0"}</definedName>
    <definedName name="_6798__FDSAUDITLINK__" hidden="1">{"fdsup://directions/FAT Viewer?action=UPDATE&amp;creator=factset&amp;DYN_ARGS=TRUE&amp;DOC_NAME=FAT:FQL_AUDITING_CLIENT_TEMPLATE.FAT&amp;display_string=Audit&amp;VAR:KEY=PEVOXAHOPK&amp;VAR:QUERY=RkZfRUJJVERBX0lCKCdMVE1TJywzODkxNSk=&amp;WINDOW=FIRST_POPUP&amp;HEIGHT=450&amp;WIDTH=450&amp;START_MA","XIMIZED=FALSE&amp;VAR:CALENDAR=US&amp;VAR:SYMBOL=N0098510&amp;VAR:INDEX=0"}</definedName>
    <definedName name="_6799__FDSAUDITLINK__" localSheetId="6" hidden="1">{"fdsup://directions/FAT Viewer?action=UPDATE&amp;creator=factset&amp;DYN_ARGS=TRUE&amp;DOC_NAME=FAT:FQL_AUDITING_CLIENT_TEMPLATE.FAT&amp;display_string=Audit&amp;VAR:KEY=XQJSBSHUBS&amp;VAR:QUERY=RkZfRUJJVERBX0lCKCdMVE1TJywzODkxNCk=&amp;WINDOW=FIRST_POPUP&amp;HEIGHT=450&amp;WIDTH=450&amp;START_MA","XIMIZED=FALSE&amp;VAR:CALENDAR=US&amp;VAR:SYMBOL=N0098510&amp;VAR:INDEX=0"}</definedName>
    <definedName name="_6799__FDSAUDITLINK__" hidden="1">{"fdsup://directions/FAT Viewer?action=UPDATE&amp;creator=factset&amp;DYN_ARGS=TRUE&amp;DOC_NAME=FAT:FQL_AUDITING_CLIENT_TEMPLATE.FAT&amp;display_string=Audit&amp;VAR:KEY=XQJSBSHUBS&amp;VAR:QUERY=RkZfRUJJVERBX0lCKCdMVE1TJywzODkxNCk=&amp;WINDOW=FIRST_POPUP&amp;HEIGHT=450&amp;WIDTH=450&amp;START_MA","XIMIZED=FALSE&amp;VAR:CALENDAR=US&amp;VAR:SYMBOL=N0098510&amp;VAR:INDEX=0"}</definedName>
    <definedName name="_68__FDSAUDITLINK__" localSheetId="6" hidden="1">{"fdsup://directions/FAT Viewer?action=UPDATE&amp;creator=factset&amp;DYN_ARGS=TRUE&amp;DOC_NAME=FAT:FQL_AUDITING_CLIENT_TEMPLATE.FAT&amp;display_string=Audit&amp;VAR:KEY=GZCNOFQDEP&amp;VAR:QUERY=QVZHKENTRl9ORVRfSU5DKEFOTiwwRlksLTZGWSxZKSkgLyAoQVZHKENTRl9BU1NFVFMoQU5OLDBGWSwtNkZZL","EZZKSkgLSBBVkcoQ1NGX0lOVEFORyhBTk4sMCwtNkZZLEZZKSkp&amp;WINDOW=FIRST_POPUP&amp;HEIGHT=450&amp;WIDTH=450&amp;START_MAXIMIZED=FALSE&amp;VAR:CALENDAR=US&amp;VAR:SYMBOL=EXM"}</definedName>
    <definedName name="_68__FDSAUDITLINK__" hidden="1">{"fdsup://directions/FAT Viewer?action=UPDATE&amp;creator=factset&amp;DYN_ARGS=TRUE&amp;DOC_NAME=FAT:FQL_AUDITING_CLIENT_TEMPLATE.FAT&amp;display_string=Audit&amp;VAR:KEY=GZCNOFQDEP&amp;VAR:QUERY=QVZHKENTRl9ORVRfSU5DKEFOTiwwRlksLTZGWSxZKSkgLyAoQVZHKENTRl9BU1NFVFMoQU5OLDBGWSwtNkZZL","EZZKSkgLSBBVkcoQ1NGX0lOVEFORyhBTk4sMCwtNkZZLEZZKSkp&amp;WINDOW=FIRST_POPUP&amp;HEIGHT=450&amp;WIDTH=450&amp;START_MAXIMIZED=FALSE&amp;VAR:CALENDAR=US&amp;VAR:SYMBOL=EXM"}</definedName>
    <definedName name="_680__FDSAUDITLINK__" localSheetId="6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0__FDSAUDITLINK__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00__FDSAUDITLINK__" localSheetId="6" hidden="1">{"fdsup://directions/FAT Viewer?action=UPDATE&amp;creator=factset&amp;DYN_ARGS=TRUE&amp;DOC_NAME=FAT:FQL_AUDITING_CLIENT_TEMPLATE.FAT&amp;display_string=Audit&amp;VAR:KEY=DEBOTQLQJG&amp;VAR:QUERY=RkZfRUJJVERBX0lCKCdMVE1TJywzODkxMyk=&amp;WINDOW=FIRST_POPUP&amp;HEIGHT=450&amp;WIDTH=450&amp;START_MA","XIMIZED=FALSE&amp;VAR:CALENDAR=US&amp;VAR:SYMBOL=N0098510&amp;VAR:INDEX=0"}</definedName>
    <definedName name="_6800__FDSAUDITLINK__" hidden="1">{"fdsup://directions/FAT Viewer?action=UPDATE&amp;creator=factset&amp;DYN_ARGS=TRUE&amp;DOC_NAME=FAT:FQL_AUDITING_CLIENT_TEMPLATE.FAT&amp;display_string=Audit&amp;VAR:KEY=DEBOTQLQJG&amp;VAR:QUERY=RkZfRUJJVERBX0lCKCdMVE1TJywzODkxMyk=&amp;WINDOW=FIRST_POPUP&amp;HEIGHT=450&amp;WIDTH=450&amp;START_MA","XIMIZED=FALSE&amp;VAR:CALENDAR=US&amp;VAR:SYMBOL=N0098510&amp;VAR:INDEX=0"}</definedName>
    <definedName name="_6801__FDSAUDITLINK__" localSheetId="6" hidden="1">{"fdsup://directions/FAT Viewer?action=UPDATE&amp;creator=factset&amp;DYN_ARGS=TRUE&amp;DOC_NAME=FAT:FQL_AUDITING_CLIENT_TEMPLATE.FAT&amp;display_string=Audit&amp;VAR:KEY=DWJWFWRGPY&amp;VAR:QUERY=RkZfRUJJVERBX0lCKCdMVE1TJywzODkxMik=&amp;WINDOW=FIRST_POPUP&amp;HEIGHT=450&amp;WIDTH=450&amp;START_MA","XIMIZED=FALSE&amp;VAR:CALENDAR=US&amp;VAR:SYMBOL=N0098510&amp;VAR:INDEX=0"}</definedName>
    <definedName name="_6801__FDSAUDITLINK__" hidden="1">{"fdsup://directions/FAT Viewer?action=UPDATE&amp;creator=factset&amp;DYN_ARGS=TRUE&amp;DOC_NAME=FAT:FQL_AUDITING_CLIENT_TEMPLATE.FAT&amp;display_string=Audit&amp;VAR:KEY=DWJWFWRGPY&amp;VAR:QUERY=RkZfRUJJVERBX0lCKCdMVE1TJywzODkxMik=&amp;WINDOW=FIRST_POPUP&amp;HEIGHT=450&amp;WIDTH=450&amp;START_MA","XIMIZED=FALSE&amp;VAR:CALENDAR=US&amp;VAR:SYMBOL=N0098510&amp;VAR:INDEX=0"}</definedName>
    <definedName name="_6802__FDSAUDITLINK__" localSheetId="6" hidden="1">{"fdsup://directions/FAT Viewer?action=UPDATE&amp;creator=factset&amp;DYN_ARGS=TRUE&amp;DOC_NAME=FAT:FQL_AUDITING_CLIENT_TEMPLATE.FAT&amp;display_string=Audit&amp;VAR:KEY=BYJMVCPENI&amp;VAR:QUERY=RkZfRUJJVERBX0lCKCdMVE1TJywzODkxMSk=&amp;WINDOW=FIRST_POPUP&amp;HEIGHT=450&amp;WIDTH=450&amp;START_MA","XIMIZED=FALSE&amp;VAR:CALENDAR=US&amp;VAR:SYMBOL=N0098510&amp;VAR:INDEX=0"}</definedName>
    <definedName name="_6802__FDSAUDITLINK__" hidden="1">{"fdsup://directions/FAT Viewer?action=UPDATE&amp;creator=factset&amp;DYN_ARGS=TRUE&amp;DOC_NAME=FAT:FQL_AUDITING_CLIENT_TEMPLATE.FAT&amp;display_string=Audit&amp;VAR:KEY=BYJMVCPENI&amp;VAR:QUERY=RkZfRUJJVERBX0lCKCdMVE1TJywzODkxMSk=&amp;WINDOW=FIRST_POPUP&amp;HEIGHT=450&amp;WIDTH=450&amp;START_MA","XIMIZED=FALSE&amp;VAR:CALENDAR=US&amp;VAR:SYMBOL=N0098510&amp;VAR:INDEX=0"}</definedName>
    <definedName name="_6803__FDSAUDITLINK__" localSheetId="6" hidden="1">{"fdsup://directions/FAT Viewer?action=UPDATE&amp;creator=factset&amp;DYN_ARGS=TRUE&amp;DOC_NAME=FAT:FQL_AUDITING_CLIENT_TEMPLATE.FAT&amp;display_string=Audit&amp;VAR:KEY=XSPOPADGPY&amp;VAR:QUERY=RkZfRUJJVERBX0lCKCdMVE1TJywzODkxMCk=&amp;WINDOW=FIRST_POPUP&amp;HEIGHT=450&amp;WIDTH=450&amp;START_MA","XIMIZED=FALSE&amp;VAR:CALENDAR=US&amp;VAR:SYMBOL=N0098510&amp;VAR:INDEX=0"}</definedName>
    <definedName name="_6803__FDSAUDITLINK__" hidden="1">{"fdsup://directions/FAT Viewer?action=UPDATE&amp;creator=factset&amp;DYN_ARGS=TRUE&amp;DOC_NAME=FAT:FQL_AUDITING_CLIENT_TEMPLATE.FAT&amp;display_string=Audit&amp;VAR:KEY=XSPOPADGPY&amp;VAR:QUERY=RkZfRUJJVERBX0lCKCdMVE1TJywzODkxMCk=&amp;WINDOW=FIRST_POPUP&amp;HEIGHT=450&amp;WIDTH=450&amp;START_MA","XIMIZED=FALSE&amp;VAR:CALENDAR=US&amp;VAR:SYMBOL=N0098510&amp;VAR:INDEX=0"}</definedName>
    <definedName name="_6804__FDSAUDITLINK__" localSheetId="6" hidden="1">{"fdsup://directions/FAT Viewer?action=UPDATE&amp;creator=factset&amp;DYN_ARGS=TRUE&amp;DOC_NAME=FAT:FQL_AUDITING_CLIENT_TEMPLATE.FAT&amp;display_string=Audit&amp;VAR:KEY=PKXKRCJAXY&amp;VAR:QUERY=RkZfRUJJVERBX0lCKCdMVE1TJywzODkwOSk=&amp;WINDOW=FIRST_POPUP&amp;HEIGHT=450&amp;WIDTH=450&amp;START_MA","XIMIZED=FALSE&amp;VAR:CALENDAR=US&amp;VAR:SYMBOL=N0098510&amp;VAR:INDEX=0"}</definedName>
    <definedName name="_6804__FDSAUDITLINK__" hidden="1">{"fdsup://directions/FAT Viewer?action=UPDATE&amp;creator=factset&amp;DYN_ARGS=TRUE&amp;DOC_NAME=FAT:FQL_AUDITING_CLIENT_TEMPLATE.FAT&amp;display_string=Audit&amp;VAR:KEY=PKXKRCJAXY&amp;VAR:QUERY=RkZfRUJJVERBX0lCKCdMVE1TJywzODkwOSk=&amp;WINDOW=FIRST_POPUP&amp;HEIGHT=450&amp;WIDTH=450&amp;START_MA","XIMIZED=FALSE&amp;VAR:CALENDAR=US&amp;VAR:SYMBOL=N0098510&amp;VAR:INDEX=0"}</definedName>
    <definedName name="_6805__FDSAUDITLINK__" localSheetId="6" hidden="1">{"fdsup://directions/FAT Viewer?action=UPDATE&amp;creator=factset&amp;DYN_ARGS=TRUE&amp;DOC_NAME=FAT:FQL_AUDITING_CLIENT_TEMPLATE.FAT&amp;display_string=Audit&amp;VAR:KEY=XWZEJWRSBQ&amp;VAR:QUERY=RkZfRUJJVERBX0lCKCdMVE1TJywzODkwOCk=&amp;WINDOW=FIRST_POPUP&amp;HEIGHT=450&amp;WIDTH=450&amp;START_MA","XIMIZED=FALSE&amp;VAR:CALENDAR=US&amp;VAR:SYMBOL=N0098510&amp;VAR:INDEX=0"}</definedName>
    <definedName name="_6805__FDSAUDITLINK__" hidden="1">{"fdsup://directions/FAT Viewer?action=UPDATE&amp;creator=factset&amp;DYN_ARGS=TRUE&amp;DOC_NAME=FAT:FQL_AUDITING_CLIENT_TEMPLATE.FAT&amp;display_string=Audit&amp;VAR:KEY=XWZEJWRSBQ&amp;VAR:QUERY=RkZfRUJJVERBX0lCKCdMVE1TJywzODkwOCk=&amp;WINDOW=FIRST_POPUP&amp;HEIGHT=450&amp;WIDTH=450&amp;START_MA","XIMIZED=FALSE&amp;VAR:CALENDAR=US&amp;VAR:SYMBOL=N0098510&amp;VAR:INDEX=0"}</definedName>
    <definedName name="_6806__FDSAUDITLINK__" localSheetId="6" hidden="1">{"fdsup://directions/FAT Viewer?action=UPDATE&amp;creator=factset&amp;DYN_ARGS=TRUE&amp;DOC_NAME=FAT:FQL_AUDITING_CLIENT_TEMPLATE.FAT&amp;display_string=Audit&amp;VAR:KEY=JWFKXORYJA&amp;VAR:QUERY=RkZfRUJJVERBX0lCKCdMVE1TJywzODkwNyk=&amp;WINDOW=FIRST_POPUP&amp;HEIGHT=450&amp;WIDTH=450&amp;START_MA","XIMIZED=FALSE&amp;VAR:CALENDAR=US&amp;VAR:SYMBOL=N0098510&amp;VAR:INDEX=0"}</definedName>
    <definedName name="_6806__FDSAUDITLINK__" hidden="1">{"fdsup://directions/FAT Viewer?action=UPDATE&amp;creator=factset&amp;DYN_ARGS=TRUE&amp;DOC_NAME=FAT:FQL_AUDITING_CLIENT_TEMPLATE.FAT&amp;display_string=Audit&amp;VAR:KEY=JWFKXORYJA&amp;VAR:QUERY=RkZfRUJJVERBX0lCKCdMVE1TJywzODkwNyk=&amp;WINDOW=FIRST_POPUP&amp;HEIGHT=450&amp;WIDTH=450&amp;START_MA","XIMIZED=FALSE&amp;VAR:CALENDAR=US&amp;VAR:SYMBOL=N0098510&amp;VAR:INDEX=0"}</definedName>
    <definedName name="_6807__FDSAUDITLINK__" localSheetId="6" hidden="1">{"fdsup://directions/FAT Viewer?action=UPDATE&amp;creator=factset&amp;DYN_ARGS=TRUE&amp;DOC_NAME=FAT:FQL_AUDITING_CLIENT_TEMPLATE.FAT&amp;display_string=Audit&amp;VAR:KEY=JSLMPQRUTQ&amp;VAR:QUERY=RkZfRUJJVERBX0lCKCdMVE1TJywzODkwNik=&amp;WINDOW=FIRST_POPUP&amp;HEIGHT=450&amp;WIDTH=450&amp;START_MA","XIMIZED=FALSE&amp;VAR:CALENDAR=US&amp;VAR:SYMBOL=N0098510&amp;VAR:INDEX=0"}</definedName>
    <definedName name="_6807__FDSAUDITLINK__" hidden="1">{"fdsup://directions/FAT Viewer?action=UPDATE&amp;creator=factset&amp;DYN_ARGS=TRUE&amp;DOC_NAME=FAT:FQL_AUDITING_CLIENT_TEMPLATE.FAT&amp;display_string=Audit&amp;VAR:KEY=JSLMPQRUTQ&amp;VAR:QUERY=RkZfRUJJVERBX0lCKCdMVE1TJywzODkwNik=&amp;WINDOW=FIRST_POPUP&amp;HEIGHT=450&amp;WIDTH=450&amp;START_MA","XIMIZED=FALSE&amp;VAR:CALENDAR=US&amp;VAR:SYMBOL=N0098510&amp;VAR:INDEX=0"}</definedName>
    <definedName name="_6808__FDSAUDITLINK__" localSheetId="6" hidden="1">{"fdsup://directions/FAT Viewer?action=UPDATE&amp;creator=factset&amp;DYN_ARGS=TRUE&amp;DOC_NAME=FAT:FQL_AUDITING_CLIENT_TEMPLATE.FAT&amp;display_string=Audit&amp;VAR:KEY=XOBOHSHOXS&amp;VAR:QUERY=RkZfRUJJVERBX0lCKCdMVE1TJywzODkwNSk=&amp;WINDOW=FIRST_POPUP&amp;HEIGHT=450&amp;WIDTH=450&amp;START_MA","XIMIZED=FALSE&amp;VAR:CALENDAR=US&amp;VAR:SYMBOL=N0098510&amp;VAR:INDEX=0"}</definedName>
    <definedName name="_6808__FDSAUDITLINK__" hidden="1">{"fdsup://directions/FAT Viewer?action=UPDATE&amp;creator=factset&amp;DYN_ARGS=TRUE&amp;DOC_NAME=FAT:FQL_AUDITING_CLIENT_TEMPLATE.FAT&amp;display_string=Audit&amp;VAR:KEY=XOBOHSHOXS&amp;VAR:QUERY=RkZfRUJJVERBX0lCKCdMVE1TJywzODkwNSk=&amp;WINDOW=FIRST_POPUP&amp;HEIGHT=450&amp;WIDTH=450&amp;START_MA","XIMIZED=FALSE&amp;VAR:CALENDAR=US&amp;VAR:SYMBOL=N0098510&amp;VAR:INDEX=0"}</definedName>
    <definedName name="_6809__FDSAUDITLINK__" localSheetId="6" hidden="1">{"fdsup://directions/FAT Viewer?action=UPDATE&amp;creator=factset&amp;DYN_ARGS=TRUE&amp;DOC_NAME=FAT:FQL_AUDITING_CLIENT_TEMPLATE.FAT&amp;display_string=Audit&amp;VAR:KEY=VMVIVABYBQ&amp;VAR:QUERY=RkZfRUJJVERBX0lCKCdMVE1TJywzODkwNCk=&amp;WINDOW=FIRST_POPUP&amp;HEIGHT=450&amp;WIDTH=450&amp;START_MA","XIMIZED=FALSE&amp;VAR:CALENDAR=US&amp;VAR:SYMBOL=N0098510&amp;VAR:INDEX=0"}</definedName>
    <definedName name="_6809__FDSAUDITLINK__" hidden="1">{"fdsup://directions/FAT Viewer?action=UPDATE&amp;creator=factset&amp;DYN_ARGS=TRUE&amp;DOC_NAME=FAT:FQL_AUDITING_CLIENT_TEMPLATE.FAT&amp;display_string=Audit&amp;VAR:KEY=VMVIVABYBQ&amp;VAR:QUERY=RkZfRUJJVERBX0lCKCdMVE1TJywzODkwNCk=&amp;WINDOW=FIRST_POPUP&amp;HEIGHT=450&amp;WIDTH=450&amp;START_MA","XIMIZED=FALSE&amp;VAR:CALENDAR=US&amp;VAR:SYMBOL=N0098510&amp;VAR:INDEX=0"}</definedName>
    <definedName name="_681__FDSAUDITLINK__" localSheetId="6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1__FDSAUDITLINK__" hidden="1">{"fdsup://directions/FAT%20Viewer?VAR:PED=LTM&amp;VAR:AUDIT_MODE=SUMMARY&amp;VAR:PERIOD=FIXED&amp;VAR:AUDIT_ID=00000117&amp;VAR:DATE=20080411&amp;action=UPDATE&amp;creator=factset&amp;DOC_NAME=FAT:FMA_audit_SUMMARY.fat&amp;DISPLAY_STRING=Display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10__FDSAUDITLINK__" localSheetId="6" hidden="1">{"fdsup://directions/FAT Viewer?action=UPDATE&amp;creator=factset&amp;DYN_ARGS=TRUE&amp;DOC_NAME=FAT:FQL_AUDITING_CLIENT_TEMPLATE.FAT&amp;display_string=Audit&amp;VAR:KEY=DQPEXOXUNE&amp;VAR:QUERY=RkZfRUJJVERBX0lCKCdMVE1TJywzODkwMyk=&amp;WINDOW=FIRST_POPUP&amp;HEIGHT=450&amp;WIDTH=450&amp;START_MA","XIMIZED=FALSE&amp;VAR:CALENDAR=US&amp;VAR:SYMBOL=N0098510&amp;VAR:INDEX=0"}</definedName>
    <definedName name="_6810__FDSAUDITLINK__" hidden="1">{"fdsup://directions/FAT Viewer?action=UPDATE&amp;creator=factset&amp;DYN_ARGS=TRUE&amp;DOC_NAME=FAT:FQL_AUDITING_CLIENT_TEMPLATE.FAT&amp;display_string=Audit&amp;VAR:KEY=DQPEXOXUNE&amp;VAR:QUERY=RkZfRUJJVERBX0lCKCdMVE1TJywzODkwMyk=&amp;WINDOW=FIRST_POPUP&amp;HEIGHT=450&amp;WIDTH=450&amp;START_MA","XIMIZED=FALSE&amp;VAR:CALENDAR=US&amp;VAR:SYMBOL=N0098510&amp;VAR:INDEX=0"}</definedName>
    <definedName name="_6811__FDSAUDITLINK__" localSheetId="6" hidden="1">{"fdsup://directions/FAT Viewer?action=UPDATE&amp;creator=factset&amp;DYN_ARGS=TRUE&amp;DOC_NAME=FAT:FQL_AUDITING_CLIENT_TEMPLATE.FAT&amp;display_string=Audit&amp;VAR:KEY=VGPAFOHITI&amp;VAR:QUERY=RkZfRUJJVERBX0lCKCdMVE1TJywzODkwMik=&amp;WINDOW=FIRST_POPUP&amp;HEIGHT=450&amp;WIDTH=450&amp;START_MA","XIMIZED=FALSE&amp;VAR:CALENDAR=US&amp;VAR:SYMBOL=N0098510&amp;VAR:INDEX=0"}</definedName>
    <definedName name="_6811__FDSAUDITLINK__" hidden="1">{"fdsup://directions/FAT Viewer?action=UPDATE&amp;creator=factset&amp;DYN_ARGS=TRUE&amp;DOC_NAME=FAT:FQL_AUDITING_CLIENT_TEMPLATE.FAT&amp;display_string=Audit&amp;VAR:KEY=VGPAFOHITI&amp;VAR:QUERY=RkZfRUJJVERBX0lCKCdMVE1TJywzODkwMik=&amp;WINDOW=FIRST_POPUP&amp;HEIGHT=450&amp;WIDTH=450&amp;START_MA","XIMIZED=FALSE&amp;VAR:CALENDAR=US&amp;VAR:SYMBOL=N0098510&amp;VAR:INDEX=0"}</definedName>
    <definedName name="_6812__FDSAUDITLINK__" localSheetId="6" hidden="1">{"fdsup://directions/FAT Viewer?action=UPDATE&amp;creator=factset&amp;DYN_ARGS=TRUE&amp;DOC_NAME=FAT:FQL_AUDITING_CLIENT_TEMPLATE.FAT&amp;display_string=Audit&amp;VAR:KEY=DWNEHYHORO&amp;VAR:QUERY=RkZfRUJJVERBX0lCKCdMVE1TJywzODkwMSk=&amp;WINDOW=FIRST_POPUP&amp;HEIGHT=450&amp;WIDTH=450&amp;START_MA","XIMIZED=FALSE&amp;VAR:CALENDAR=US&amp;VAR:SYMBOL=N0098510&amp;VAR:INDEX=0"}</definedName>
    <definedName name="_6812__FDSAUDITLINK__" hidden="1">{"fdsup://directions/FAT Viewer?action=UPDATE&amp;creator=factset&amp;DYN_ARGS=TRUE&amp;DOC_NAME=FAT:FQL_AUDITING_CLIENT_TEMPLATE.FAT&amp;display_string=Audit&amp;VAR:KEY=DWNEHYHORO&amp;VAR:QUERY=RkZfRUJJVERBX0lCKCdMVE1TJywzODkwMSk=&amp;WINDOW=FIRST_POPUP&amp;HEIGHT=450&amp;WIDTH=450&amp;START_MA","XIMIZED=FALSE&amp;VAR:CALENDAR=US&amp;VAR:SYMBOL=N0098510&amp;VAR:INDEX=0"}</definedName>
    <definedName name="_6813__FDSAUDITLINK__" localSheetId="6" hidden="1">{"fdsup://directions/FAT Viewer?action=UPDATE&amp;creator=factset&amp;DYN_ARGS=TRUE&amp;DOC_NAME=FAT:FQL_AUDITING_CLIENT_TEMPLATE.FAT&amp;display_string=Audit&amp;VAR:KEY=XSBCZMJAHM&amp;VAR:QUERY=RkZfRUJJVERBX0lCKCdMVE1TJywzODkwMCk=&amp;WINDOW=FIRST_POPUP&amp;HEIGHT=450&amp;WIDTH=450&amp;START_MA","XIMIZED=FALSE&amp;VAR:CALENDAR=US&amp;VAR:SYMBOL=N0098510&amp;VAR:INDEX=0"}</definedName>
    <definedName name="_6813__FDSAUDITLINK__" hidden="1">{"fdsup://directions/FAT Viewer?action=UPDATE&amp;creator=factset&amp;DYN_ARGS=TRUE&amp;DOC_NAME=FAT:FQL_AUDITING_CLIENT_TEMPLATE.FAT&amp;display_string=Audit&amp;VAR:KEY=XSBCZMJAHM&amp;VAR:QUERY=RkZfRUJJVERBX0lCKCdMVE1TJywzODkwMCk=&amp;WINDOW=FIRST_POPUP&amp;HEIGHT=450&amp;WIDTH=450&amp;START_MA","XIMIZED=FALSE&amp;VAR:CALENDAR=US&amp;VAR:SYMBOL=N0098510&amp;VAR:INDEX=0"}</definedName>
    <definedName name="_6814__FDSAUDITLINK__" localSheetId="6" hidden="1">{"fdsup://directions/FAT Viewer?action=UPDATE&amp;creator=factset&amp;DYN_ARGS=TRUE&amp;DOC_NAME=FAT:FQL_AUDITING_CLIENT_TEMPLATE.FAT&amp;display_string=Audit&amp;VAR:KEY=HKBOXOBMTC&amp;VAR:QUERY=RkZfRUJJVERBX0lCKCdMVE1TJywzODg5OSk=&amp;WINDOW=FIRST_POPUP&amp;HEIGHT=450&amp;WIDTH=450&amp;START_MA","XIMIZED=FALSE&amp;VAR:CALENDAR=US&amp;VAR:SYMBOL=N0098510&amp;VAR:INDEX=0"}</definedName>
    <definedName name="_6814__FDSAUDITLINK__" hidden="1">{"fdsup://directions/FAT Viewer?action=UPDATE&amp;creator=factset&amp;DYN_ARGS=TRUE&amp;DOC_NAME=FAT:FQL_AUDITING_CLIENT_TEMPLATE.FAT&amp;display_string=Audit&amp;VAR:KEY=HKBOXOBMTC&amp;VAR:QUERY=RkZfRUJJVERBX0lCKCdMVE1TJywzODg5OSk=&amp;WINDOW=FIRST_POPUP&amp;HEIGHT=450&amp;WIDTH=450&amp;START_MA","XIMIZED=FALSE&amp;VAR:CALENDAR=US&amp;VAR:SYMBOL=N0098510&amp;VAR:INDEX=0"}</definedName>
    <definedName name="_6815__FDSAUDITLINK__" localSheetId="6" hidden="1">{"fdsup://directions/FAT Viewer?action=UPDATE&amp;creator=factset&amp;DYN_ARGS=TRUE&amp;DOC_NAME=FAT:FQL_AUDITING_CLIENT_TEMPLATE.FAT&amp;display_string=Audit&amp;VAR:KEY=RMXOXYXKDM&amp;VAR:QUERY=RkZfRUJJVERBX0lCKCdMVE1TJywzODg5OCk=&amp;WINDOW=FIRST_POPUP&amp;HEIGHT=450&amp;WIDTH=450&amp;START_MA","XIMIZED=FALSE&amp;VAR:CALENDAR=US&amp;VAR:SYMBOL=N0098510&amp;VAR:INDEX=0"}</definedName>
    <definedName name="_6815__FDSAUDITLINK__" hidden="1">{"fdsup://directions/FAT Viewer?action=UPDATE&amp;creator=factset&amp;DYN_ARGS=TRUE&amp;DOC_NAME=FAT:FQL_AUDITING_CLIENT_TEMPLATE.FAT&amp;display_string=Audit&amp;VAR:KEY=RMXOXYXKDM&amp;VAR:QUERY=RkZfRUJJVERBX0lCKCdMVE1TJywzODg5OCk=&amp;WINDOW=FIRST_POPUP&amp;HEIGHT=450&amp;WIDTH=450&amp;START_MA","XIMIZED=FALSE&amp;VAR:CALENDAR=US&amp;VAR:SYMBOL=N0098510&amp;VAR:INDEX=0"}</definedName>
    <definedName name="_6816__FDSAUDITLINK__" localSheetId="6" hidden="1">{"fdsup://directions/FAT Viewer?action=UPDATE&amp;creator=factset&amp;DYN_ARGS=TRUE&amp;DOC_NAME=FAT:FQL_AUDITING_CLIENT_TEMPLATE.FAT&amp;display_string=Audit&amp;VAR:KEY=XEZSXWVURO&amp;VAR:QUERY=RkZfRUJJVERBX0lCKCdMVE1TJywzODg5Nyk=&amp;WINDOW=FIRST_POPUP&amp;HEIGHT=450&amp;WIDTH=450&amp;START_MA","XIMIZED=FALSE&amp;VAR:CALENDAR=US&amp;VAR:SYMBOL=N0098510&amp;VAR:INDEX=0"}</definedName>
    <definedName name="_6816__FDSAUDITLINK__" hidden="1">{"fdsup://directions/FAT Viewer?action=UPDATE&amp;creator=factset&amp;DYN_ARGS=TRUE&amp;DOC_NAME=FAT:FQL_AUDITING_CLIENT_TEMPLATE.FAT&amp;display_string=Audit&amp;VAR:KEY=XEZSXWVURO&amp;VAR:QUERY=RkZfRUJJVERBX0lCKCdMVE1TJywzODg5Nyk=&amp;WINDOW=FIRST_POPUP&amp;HEIGHT=450&amp;WIDTH=450&amp;START_MA","XIMIZED=FALSE&amp;VAR:CALENDAR=US&amp;VAR:SYMBOL=N0098510&amp;VAR:INDEX=0"}</definedName>
    <definedName name="_6817__FDSAUDITLINK__" localSheetId="6" hidden="1">{"fdsup://directions/FAT Viewer?action=UPDATE&amp;creator=factset&amp;DYN_ARGS=TRUE&amp;DOC_NAME=FAT:FQL_AUDITING_CLIENT_TEMPLATE.FAT&amp;display_string=Audit&amp;VAR:KEY=XKJIZCTEPE&amp;VAR:QUERY=RkZfRUJJVERBX0lCKCdMVE1TJywzODg5Nik=&amp;WINDOW=FIRST_POPUP&amp;HEIGHT=450&amp;WIDTH=450&amp;START_MA","XIMIZED=FALSE&amp;VAR:CALENDAR=US&amp;VAR:SYMBOL=N0098510&amp;VAR:INDEX=0"}</definedName>
    <definedName name="_6817__FDSAUDITLINK__" hidden="1">{"fdsup://directions/FAT Viewer?action=UPDATE&amp;creator=factset&amp;DYN_ARGS=TRUE&amp;DOC_NAME=FAT:FQL_AUDITING_CLIENT_TEMPLATE.FAT&amp;display_string=Audit&amp;VAR:KEY=XKJIZCTEPE&amp;VAR:QUERY=RkZfRUJJVERBX0lCKCdMVE1TJywzODg5Nik=&amp;WINDOW=FIRST_POPUP&amp;HEIGHT=450&amp;WIDTH=450&amp;START_MA","XIMIZED=FALSE&amp;VAR:CALENDAR=US&amp;VAR:SYMBOL=N0098510&amp;VAR:INDEX=0"}</definedName>
    <definedName name="_6818__FDSAUDITLINK__" localSheetId="6" hidden="1">{"fdsup://directions/FAT Viewer?action=UPDATE&amp;creator=factset&amp;DYN_ARGS=TRUE&amp;DOC_NAME=FAT:FQL_AUDITING_CLIENT_TEMPLATE.FAT&amp;display_string=Audit&amp;VAR:KEY=DKZOROFIVQ&amp;VAR:QUERY=RkZfRUJJVERBX0lCKCdMVE1TJywzODg5NSk=&amp;WINDOW=FIRST_POPUP&amp;HEIGHT=450&amp;WIDTH=450&amp;START_MA","XIMIZED=FALSE&amp;VAR:CALENDAR=US&amp;VAR:SYMBOL=N0098510&amp;VAR:INDEX=0"}</definedName>
    <definedName name="_6818__FDSAUDITLINK__" hidden="1">{"fdsup://directions/FAT Viewer?action=UPDATE&amp;creator=factset&amp;DYN_ARGS=TRUE&amp;DOC_NAME=FAT:FQL_AUDITING_CLIENT_TEMPLATE.FAT&amp;display_string=Audit&amp;VAR:KEY=DKZOROFIVQ&amp;VAR:QUERY=RkZfRUJJVERBX0lCKCdMVE1TJywzODg5NSk=&amp;WINDOW=FIRST_POPUP&amp;HEIGHT=450&amp;WIDTH=450&amp;START_MA","XIMIZED=FALSE&amp;VAR:CALENDAR=US&amp;VAR:SYMBOL=N0098510&amp;VAR:INDEX=0"}</definedName>
    <definedName name="_6819__FDSAUDITLINK__" localSheetId="6" hidden="1">{"fdsup://directions/FAT Viewer?action=UPDATE&amp;creator=factset&amp;DYN_ARGS=TRUE&amp;DOC_NAME=FAT:FQL_AUDITING_CLIENT_TEMPLATE.FAT&amp;display_string=Audit&amp;VAR:KEY=HSZEVIZGNQ&amp;VAR:QUERY=RkZfRUJJVERBX0lCKCdMVE1TJywzODg5NCk=&amp;WINDOW=FIRST_POPUP&amp;HEIGHT=450&amp;WIDTH=450&amp;START_MA","XIMIZED=FALSE&amp;VAR:CALENDAR=US&amp;VAR:SYMBOL=N0098510&amp;VAR:INDEX=0"}</definedName>
    <definedName name="_6819__FDSAUDITLINK__" hidden="1">{"fdsup://directions/FAT Viewer?action=UPDATE&amp;creator=factset&amp;DYN_ARGS=TRUE&amp;DOC_NAME=FAT:FQL_AUDITING_CLIENT_TEMPLATE.FAT&amp;display_string=Audit&amp;VAR:KEY=HSZEVIZGNQ&amp;VAR:QUERY=RkZfRUJJVERBX0lCKCdMVE1TJywzODg5NCk=&amp;WINDOW=FIRST_POPUP&amp;HEIGHT=450&amp;WIDTH=450&amp;START_MA","XIMIZED=FALSE&amp;VAR:CALENDAR=US&amp;VAR:SYMBOL=N0098510&amp;VAR:INDEX=0"}</definedName>
    <definedName name="_682__FDSAUDITLINK__" localSheetId="6" hidden="1">{"fdsup://directions/FAT%20Viewer?VAR:PED=LTM&amp;VAR:AUDIT_MODE=SUMMARY&amp;VAR:PERIOD=FIXED&amp;VAR:AUDIT_ID=00000117&amp;VAR:DATE=20080410&amp;action=UPDATE&amp;creator=factset&amp;DOC_NAME=FAT:FMA_audit_SUMMARY.fat&amp;DISPLAY_STRING=Display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2__FDSAUDITLINK__" hidden="1">{"fdsup://directions/FAT%20Viewer?VAR:PED=LTM&amp;VAR:AUDIT_MODE=SUMMARY&amp;VAR:PERIOD=FIXED&amp;VAR:AUDIT_ID=00000117&amp;VAR:DATE=20080410&amp;action=UPDATE&amp;creator=factset&amp;DOC_NAME=FAT:FMA_audit_SUMMARY.fat&amp;DISPLAY_STRING=Display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20__FDSAUDITLINK__" localSheetId="6" hidden="1">{"fdsup://directions/FAT Viewer?action=UPDATE&amp;creator=factset&amp;DYN_ARGS=TRUE&amp;DOC_NAME=FAT:FQL_AUDITING_CLIENT_TEMPLATE.FAT&amp;display_string=Audit&amp;VAR:KEY=XAHUHOVAFK&amp;VAR:QUERY=RkZfRUJJVERBX0lCKCdMVE1TJywzODg5Myk=&amp;WINDOW=FIRST_POPUP&amp;HEIGHT=450&amp;WIDTH=450&amp;START_MA","XIMIZED=FALSE&amp;VAR:CALENDAR=US&amp;VAR:SYMBOL=N0098510&amp;VAR:INDEX=0"}</definedName>
    <definedName name="_6820__FDSAUDITLINK__" hidden="1">{"fdsup://directions/FAT Viewer?action=UPDATE&amp;creator=factset&amp;DYN_ARGS=TRUE&amp;DOC_NAME=FAT:FQL_AUDITING_CLIENT_TEMPLATE.FAT&amp;display_string=Audit&amp;VAR:KEY=XAHUHOVAFK&amp;VAR:QUERY=RkZfRUJJVERBX0lCKCdMVE1TJywzODg5Myk=&amp;WINDOW=FIRST_POPUP&amp;HEIGHT=450&amp;WIDTH=450&amp;START_MA","XIMIZED=FALSE&amp;VAR:CALENDAR=US&amp;VAR:SYMBOL=N0098510&amp;VAR:INDEX=0"}</definedName>
    <definedName name="_6821__FDSAUDITLINK__" localSheetId="6" hidden="1">{"fdsup://directions/FAT Viewer?action=UPDATE&amp;creator=factset&amp;DYN_ARGS=TRUE&amp;DOC_NAME=FAT:FQL_AUDITING_CLIENT_TEMPLATE.FAT&amp;display_string=Audit&amp;VAR:KEY=FCVQTUPATU&amp;VAR:QUERY=RkZfRUJJVERBX0lCKCdMVE1TJywzODg5Mik=&amp;WINDOW=FIRST_POPUP&amp;HEIGHT=450&amp;WIDTH=450&amp;START_MA","XIMIZED=FALSE&amp;VAR:CALENDAR=US&amp;VAR:SYMBOL=N0098510&amp;VAR:INDEX=0"}</definedName>
    <definedName name="_6821__FDSAUDITLINK__" hidden="1">{"fdsup://directions/FAT Viewer?action=UPDATE&amp;creator=factset&amp;DYN_ARGS=TRUE&amp;DOC_NAME=FAT:FQL_AUDITING_CLIENT_TEMPLATE.FAT&amp;display_string=Audit&amp;VAR:KEY=FCVQTUPATU&amp;VAR:QUERY=RkZfRUJJVERBX0lCKCdMVE1TJywzODg5Mik=&amp;WINDOW=FIRST_POPUP&amp;HEIGHT=450&amp;WIDTH=450&amp;START_MA","XIMIZED=FALSE&amp;VAR:CALENDAR=US&amp;VAR:SYMBOL=N0098510&amp;VAR:INDEX=0"}</definedName>
    <definedName name="_6822__FDSAUDITLINK__" localSheetId="6" hidden="1">{"fdsup://directions/FAT Viewer?action=UPDATE&amp;creator=factset&amp;DYN_ARGS=TRUE&amp;DOC_NAME=FAT:FQL_AUDITING_CLIENT_TEMPLATE.FAT&amp;display_string=Audit&amp;VAR:KEY=ZEDIFMJYTS&amp;VAR:QUERY=RkZfRUJJVERBX0lCKCdMVE1TJywzODg5MSk=&amp;WINDOW=FIRST_POPUP&amp;HEIGHT=450&amp;WIDTH=450&amp;START_MA","XIMIZED=FALSE&amp;VAR:CALENDAR=US&amp;VAR:SYMBOL=N0098510&amp;VAR:INDEX=0"}</definedName>
    <definedName name="_6822__FDSAUDITLINK__" hidden="1">{"fdsup://directions/FAT Viewer?action=UPDATE&amp;creator=factset&amp;DYN_ARGS=TRUE&amp;DOC_NAME=FAT:FQL_AUDITING_CLIENT_TEMPLATE.FAT&amp;display_string=Audit&amp;VAR:KEY=ZEDIFMJYTS&amp;VAR:QUERY=RkZfRUJJVERBX0lCKCdMVE1TJywzODg5MSk=&amp;WINDOW=FIRST_POPUP&amp;HEIGHT=450&amp;WIDTH=450&amp;START_MA","XIMIZED=FALSE&amp;VAR:CALENDAR=US&amp;VAR:SYMBOL=N0098510&amp;VAR:INDEX=0"}</definedName>
    <definedName name="_6823__FDSAUDITLINK__" localSheetId="6" hidden="1">{"fdsup://directions/FAT Viewer?action=UPDATE&amp;creator=factset&amp;DYN_ARGS=TRUE&amp;DOC_NAME=FAT:FQL_AUDITING_CLIENT_TEMPLATE.FAT&amp;display_string=Audit&amp;VAR:KEY=VYJKRQVCNE&amp;VAR:QUERY=RkZfRUJJVERBX0lCKCdMVE1TJywzODg5MCk=&amp;WINDOW=FIRST_POPUP&amp;HEIGHT=450&amp;WIDTH=450&amp;START_MA","XIMIZED=FALSE&amp;VAR:CALENDAR=US&amp;VAR:SYMBOL=N0098510&amp;VAR:INDEX=0"}</definedName>
    <definedName name="_6823__FDSAUDITLINK__" hidden="1">{"fdsup://directions/FAT Viewer?action=UPDATE&amp;creator=factset&amp;DYN_ARGS=TRUE&amp;DOC_NAME=FAT:FQL_AUDITING_CLIENT_TEMPLATE.FAT&amp;display_string=Audit&amp;VAR:KEY=VYJKRQVCNE&amp;VAR:QUERY=RkZfRUJJVERBX0lCKCdMVE1TJywzODg5MCk=&amp;WINDOW=FIRST_POPUP&amp;HEIGHT=450&amp;WIDTH=450&amp;START_MA","XIMIZED=FALSE&amp;VAR:CALENDAR=US&amp;VAR:SYMBOL=N0098510&amp;VAR:INDEX=0"}</definedName>
    <definedName name="_6824__FDSAUDITLINK__" localSheetId="6" hidden="1">{"fdsup://directions/FAT Viewer?action=UPDATE&amp;creator=factset&amp;DYN_ARGS=TRUE&amp;DOC_NAME=FAT:FQL_AUDITING_CLIENT_TEMPLATE.FAT&amp;display_string=Audit&amp;VAR:KEY=NIVQNEPIPK&amp;VAR:QUERY=RkZfRUJJVERBX0lCKCdMVE1TJywzODg4OSk=&amp;WINDOW=FIRST_POPUP&amp;HEIGHT=450&amp;WIDTH=450&amp;START_MA","XIMIZED=FALSE&amp;VAR:CALENDAR=US&amp;VAR:SYMBOL=N0098510&amp;VAR:INDEX=0"}</definedName>
    <definedName name="_6824__FDSAUDITLINK__" hidden="1">{"fdsup://directions/FAT Viewer?action=UPDATE&amp;creator=factset&amp;DYN_ARGS=TRUE&amp;DOC_NAME=FAT:FQL_AUDITING_CLIENT_TEMPLATE.FAT&amp;display_string=Audit&amp;VAR:KEY=NIVQNEPIPK&amp;VAR:QUERY=RkZfRUJJVERBX0lCKCdMVE1TJywzODg4OSk=&amp;WINDOW=FIRST_POPUP&amp;HEIGHT=450&amp;WIDTH=450&amp;START_MA","XIMIZED=FALSE&amp;VAR:CALENDAR=US&amp;VAR:SYMBOL=N0098510&amp;VAR:INDEX=0"}</definedName>
    <definedName name="_6825__FDSAUDITLINK__" localSheetId="6" hidden="1">{"fdsup://directions/FAT Viewer?action=UPDATE&amp;creator=factset&amp;DYN_ARGS=TRUE&amp;DOC_NAME=FAT:FQL_AUDITING_CLIENT_TEMPLATE.FAT&amp;display_string=Audit&amp;VAR:KEY=JKNIVOTWTG&amp;VAR:QUERY=RkZfRUJJVERBX0lCKCdMVE1TJywzODg4OCk=&amp;WINDOW=FIRST_POPUP&amp;HEIGHT=450&amp;WIDTH=450&amp;START_MA","XIMIZED=FALSE&amp;VAR:CALENDAR=US&amp;VAR:SYMBOL=N0098510&amp;VAR:INDEX=0"}</definedName>
    <definedName name="_6825__FDSAUDITLINK__" hidden="1">{"fdsup://directions/FAT Viewer?action=UPDATE&amp;creator=factset&amp;DYN_ARGS=TRUE&amp;DOC_NAME=FAT:FQL_AUDITING_CLIENT_TEMPLATE.FAT&amp;display_string=Audit&amp;VAR:KEY=JKNIVOTWTG&amp;VAR:QUERY=RkZfRUJJVERBX0lCKCdMVE1TJywzODg4OCk=&amp;WINDOW=FIRST_POPUP&amp;HEIGHT=450&amp;WIDTH=450&amp;START_MA","XIMIZED=FALSE&amp;VAR:CALENDAR=US&amp;VAR:SYMBOL=N0098510&amp;VAR:INDEX=0"}</definedName>
    <definedName name="_6826__FDSAUDITLINK__" localSheetId="6" hidden="1">{"fdsup://directions/FAT Viewer?action=UPDATE&amp;creator=factset&amp;DYN_ARGS=TRUE&amp;DOC_NAME=FAT:FQL_AUDITING_CLIENT_TEMPLATE.FAT&amp;display_string=Audit&amp;VAR:KEY=VOVMTAZINW&amp;VAR:QUERY=RkZfRUJJVERBX0lCKCdMVE1TJywzODg4Nyk=&amp;WINDOW=FIRST_POPUP&amp;HEIGHT=450&amp;WIDTH=450&amp;START_MA","XIMIZED=FALSE&amp;VAR:CALENDAR=US&amp;VAR:SYMBOL=N0098510&amp;VAR:INDEX=0"}</definedName>
    <definedName name="_6826__FDSAUDITLINK__" hidden="1">{"fdsup://directions/FAT Viewer?action=UPDATE&amp;creator=factset&amp;DYN_ARGS=TRUE&amp;DOC_NAME=FAT:FQL_AUDITING_CLIENT_TEMPLATE.FAT&amp;display_string=Audit&amp;VAR:KEY=VOVMTAZINW&amp;VAR:QUERY=RkZfRUJJVERBX0lCKCdMVE1TJywzODg4Nyk=&amp;WINDOW=FIRST_POPUP&amp;HEIGHT=450&amp;WIDTH=450&amp;START_MA","XIMIZED=FALSE&amp;VAR:CALENDAR=US&amp;VAR:SYMBOL=N0098510&amp;VAR:INDEX=0"}</definedName>
    <definedName name="_6827__FDSAUDITLINK__" localSheetId="6" hidden="1">{"fdsup://directions/FAT Viewer?action=UPDATE&amp;creator=factset&amp;DYN_ARGS=TRUE&amp;DOC_NAME=FAT:FQL_AUDITING_CLIENT_TEMPLATE.FAT&amp;display_string=Audit&amp;VAR:KEY=HOFCHCPKHI&amp;VAR:QUERY=RkZfRUJJVERBX0lCKCdMVE1TJywzODg4Nik=&amp;WINDOW=FIRST_POPUP&amp;HEIGHT=450&amp;WIDTH=450&amp;START_MA","XIMIZED=FALSE&amp;VAR:CALENDAR=US&amp;VAR:SYMBOL=N0098510&amp;VAR:INDEX=0"}</definedName>
    <definedName name="_6827__FDSAUDITLINK__" hidden="1">{"fdsup://directions/FAT Viewer?action=UPDATE&amp;creator=factset&amp;DYN_ARGS=TRUE&amp;DOC_NAME=FAT:FQL_AUDITING_CLIENT_TEMPLATE.FAT&amp;display_string=Audit&amp;VAR:KEY=HOFCHCPKHI&amp;VAR:QUERY=RkZfRUJJVERBX0lCKCdMVE1TJywzODg4Nik=&amp;WINDOW=FIRST_POPUP&amp;HEIGHT=450&amp;WIDTH=450&amp;START_MA","XIMIZED=FALSE&amp;VAR:CALENDAR=US&amp;VAR:SYMBOL=N0098510&amp;VAR:INDEX=0"}</definedName>
    <definedName name="_6828__FDSAUDITLINK__" localSheetId="6" hidden="1">{"fdsup://directions/FAT Viewer?action=UPDATE&amp;creator=factset&amp;DYN_ARGS=TRUE&amp;DOC_NAME=FAT:FQL_AUDITING_CLIENT_TEMPLATE.FAT&amp;display_string=Audit&amp;VAR:KEY=VYDQXGFUNQ&amp;VAR:QUERY=RkZfRUJJVERBX0lCKCdMVE1TJywzODg4NSk=&amp;WINDOW=FIRST_POPUP&amp;HEIGHT=450&amp;WIDTH=450&amp;START_MA","XIMIZED=FALSE&amp;VAR:CALENDAR=US&amp;VAR:SYMBOL=N0098510&amp;VAR:INDEX=0"}</definedName>
    <definedName name="_6828__FDSAUDITLINK__" hidden="1">{"fdsup://directions/FAT Viewer?action=UPDATE&amp;creator=factset&amp;DYN_ARGS=TRUE&amp;DOC_NAME=FAT:FQL_AUDITING_CLIENT_TEMPLATE.FAT&amp;display_string=Audit&amp;VAR:KEY=VYDQXGFUNQ&amp;VAR:QUERY=RkZfRUJJVERBX0lCKCdMVE1TJywzODg4NSk=&amp;WINDOW=FIRST_POPUP&amp;HEIGHT=450&amp;WIDTH=450&amp;START_MA","XIMIZED=FALSE&amp;VAR:CALENDAR=US&amp;VAR:SYMBOL=N0098510&amp;VAR:INDEX=0"}</definedName>
    <definedName name="_6829__FDSAUDITLINK__" localSheetId="6" hidden="1">{"fdsup://directions/FAT Viewer?action=UPDATE&amp;creator=factset&amp;DYN_ARGS=TRUE&amp;DOC_NAME=FAT:FQL_AUDITING_CLIENT_TEMPLATE.FAT&amp;display_string=Audit&amp;VAR:KEY=LQZMDGBIPU&amp;VAR:QUERY=RkZfRUJJVERBX0lCKCdMVE1TJywzODg4NCk=&amp;WINDOW=FIRST_POPUP&amp;HEIGHT=450&amp;WIDTH=450&amp;START_MA","XIMIZED=FALSE&amp;VAR:CALENDAR=US&amp;VAR:SYMBOL=N0098510&amp;VAR:INDEX=0"}</definedName>
    <definedName name="_6829__FDSAUDITLINK__" hidden="1">{"fdsup://directions/FAT Viewer?action=UPDATE&amp;creator=factset&amp;DYN_ARGS=TRUE&amp;DOC_NAME=FAT:FQL_AUDITING_CLIENT_TEMPLATE.FAT&amp;display_string=Audit&amp;VAR:KEY=LQZMDGBIPU&amp;VAR:QUERY=RkZfRUJJVERBX0lCKCdMVE1TJywzODg4NCk=&amp;WINDOW=FIRST_POPUP&amp;HEIGHT=450&amp;WIDTH=450&amp;START_MA","XIMIZED=FALSE&amp;VAR:CALENDAR=US&amp;VAR:SYMBOL=N0098510&amp;VAR:INDEX=0"}</definedName>
    <definedName name="_683__FDSAUDITLINK__" localSheetId="6" hidden="1">{"fdsup://directions/FAT%20Viewer?VAR:PED=LTM&amp;VAR:AUDIT_MODE=SUMMARY&amp;VAR:PERIOD=FIXED&amp;VAR:AUDIT_ID=00000117&amp;VAR:DATE=20080409&amp;action=UPDATE&amp;creator=factset&amp;DOC_NAME=FAT:FMA_audit_SUMMARY.fat&amp;DISPLAY_STRING=Display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3__FDSAUDITLINK__" hidden="1">{"fdsup://directions/FAT%20Viewer?VAR:PED=LTM&amp;VAR:AUDIT_MODE=SUMMARY&amp;VAR:PERIOD=FIXED&amp;VAR:AUDIT_ID=00000117&amp;VAR:DATE=20080409&amp;action=UPDATE&amp;creator=factset&amp;DOC_NAME=FAT:FMA_audit_SUMMARY.fat&amp;DISPLAY_STRING=Display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30__FDSAUDITLINK__" localSheetId="6" hidden="1">{"fdsup://directions/FAT Viewer?action=UPDATE&amp;creator=factset&amp;DYN_ARGS=TRUE&amp;DOC_NAME=FAT:FQL_AUDITING_CLIENT_TEMPLATE.FAT&amp;display_string=Audit&amp;VAR:KEY=VWPKNYJMHU&amp;VAR:QUERY=RkZfRUJJVERBX0lCKCdMVE1TJywzODg4Myk=&amp;WINDOW=FIRST_POPUP&amp;HEIGHT=450&amp;WIDTH=450&amp;START_MA","XIMIZED=FALSE&amp;VAR:CALENDAR=US&amp;VAR:SYMBOL=N0098510&amp;VAR:INDEX=0"}</definedName>
    <definedName name="_6830__FDSAUDITLINK__" hidden="1">{"fdsup://directions/FAT Viewer?action=UPDATE&amp;creator=factset&amp;DYN_ARGS=TRUE&amp;DOC_NAME=FAT:FQL_AUDITING_CLIENT_TEMPLATE.FAT&amp;display_string=Audit&amp;VAR:KEY=VWPKNYJMHU&amp;VAR:QUERY=RkZfRUJJVERBX0lCKCdMVE1TJywzODg4Myk=&amp;WINDOW=FIRST_POPUP&amp;HEIGHT=450&amp;WIDTH=450&amp;START_MA","XIMIZED=FALSE&amp;VAR:CALENDAR=US&amp;VAR:SYMBOL=N0098510&amp;VAR:INDEX=0"}</definedName>
    <definedName name="_6831__FDSAUDITLINK__" localSheetId="6" hidden="1">{"fdsup://directions/FAT Viewer?action=UPDATE&amp;creator=factset&amp;DYN_ARGS=TRUE&amp;DOC_NAME=FAT:FQL_AUDITING_CLIENT_TEMPLATE.FAT&amp;display_string=Audit&amp;VAR:KEY=FMDGXEFIPY&amp;VAR:QUERY=RkZfRUJJVERBX0lCKCdMVE1TJywzODg4Mik=&amp;WINDOW=FIRST_POPUP&amp;HEIGHT=450&amp;WIDTH=450&amp;START_MA","XIMIZED=FALSE&amp;VAR:CALENDAR=US&amp;VAR:SYMBOL=N0098510&amp;VAR:INDEX=0"}</definedName>
    <definedName name="_6831__FDSAUDITLINK__" hidden="1">{"fdsup://directions/FAT Viewer?action=UPDATE&amp;creator=factset&amp;DYN_ARGS=TRUE&amp;DOC_NAME=FAT:FQL_AUDITING_CLIENT_TEMPLATE.FAT&amp;display_string=Audit&amp;VAR:KEY=FMDGXEFIPY&amp;VAR:QUERY=RkZfRUJJVERBX0lCKCdMVE1TJywzODg4Mik=&amp;WINDOW=FIRST_POPUP&amp;HEIGHT=450&amp;WIDTH=450&amp;START_MA","XIMIZED=FALSE&amp;VAR:CALENDAR=US&amp;VAR:SYMBOL=N0098510&amp;VAR:INDEX=0"}</definedName>
    <definedName name="_6832__FDSAUDITLINK__" localSheetId="6" hidden="1">{"fdsup://directions/FAT Viewer?action=UPDATE&amp;creator=factset&amp;DYN_ARGS=TRUE&amp;DOC_NAME=FAT:FQL_AUDITING_CLIENT_TEMPLATE.FAT&amp;display_string=Audit&amp;VAR:KEY=DCFOJCRQXK&amp;VAR:QUERY=RkZfRUJJVERBX0lCKCdMVE1TJywzODg4MSk=&amp;WINDOW=FIRST_POPUP&amp;HEIGHT=450&amp;WIDTH=450&amp;START_MA","XIMIZED=FALSE&amp;VAR:CALENDAR=US&amp;VAR:SYMBOL=N0098510&amp;VAR:INDEX=0"}</definedName>
    <definedName name="_6832__FDSAUDITLINK__" hidden="1">{"fdsup://directions/FAT Viewer?action=UPDATE&amp;creator=factset&amp;DYN_ARGS=TRUE&amp;DOC_NAME=FAT:FQL_AUDITING_CLIENT_TEMPLATE.FAT&amp;display_string=Audit&amp;VAR:KEY=DCFOJCRQXK&amp;VAR:QUERY=RkZfRUJJVERBX0lCKCdMVE1TJywzODg4MSk=&amp;WINDOW=FIRST_POPUP&amp;HEIGHT=450&amp;WIDTH=450&amp;START_MA","XIMIZED=FALSE&amp;VAR:CALENDAR=US&amp;VAR:SYMBOL=N0098510&amp;VAR:INDEX=0"}</definedName>
    <definedName name="_6833__FDSAUDITLINK__" localSheetId="6" hidden="1">{"fdsup://directions/FAT Viewer?action=UPDATE&amp;creator=factset&amp;DYN_ARGS=TRUE&amp;DOC_NAME=FAT:FQL_AUDITING_CLIENT_TEMPLATE.FAT&amp;display_string=Audit&amp;VAR:KEY=VYNCLCROJI&amp;VAR:QUERY=RkZfRUJJVERBX0lCKCdMVE1TJywzODg4MCk=&amp;WINDOW=FIRST_POPUP&amp;HEIGHT=450&amp;WIDTH=450&amp;START_MA","XIMIZED=FALSE&amp;VAR:CALENDAR=US&amp;VAR:SYMBOL=N0098510&amp;VAR:INDEX=0"}</definedName>
    <definedName name="_6833__FDSAUDITLINK__" hidden="1">{"fdsup://directions/FAT Viewer?action=UPDATE&amp;creator=factset&amp;DYN_ARGS=TRUE&amp;DOC_NAME=FAT:FQL_AUDITING_CLIENT_TEMPLATE.FAT&amp;display_string=Audit&amp;VAR:KEY=VYNCLCROJI&amp;VAR:QUERY=RkZfRUJJVERBX0lCKCdMVE1TJywzODg4MCk=&amp;WINDOW=FIRST_POPUP&amp;HEIGHT=450&amp;WIDTH=450&amp;START_MA","XIMIZED=FALSE&amp;VAR:CALENDAR=US&amp;VAR:SYMBOL=N0098510&amp;VAR:INDEX=0"}</definedName>
    <definedName name="_6834__FDSAUDITLINK__" localSheetId="6" hidden="1">{"fdsup://directions/FAT Viewer?action=UPDATE&amp;creator=factset&amp;DYN_ARGS=TRUE&amp;DOC_NAME=FAT:FQL_AUDITING_CLIENT_TEMPLATE.FAT&amp;display_string=Audit&amp;VAR:KEY=TWRWFMHGZI&amp;VAR:QUERY=RkZfRUJJVERBX0lCKCdMVE1TJywzODg3OSk=&amp;WINDOW=FIRST_POPUP&amp;HEIGHT=450&amp;WIDTH=450&amp;START_MA","XIMIZED=FALSE&amp;VAR:CALENDAR=US&amp;VAR:SYMBOL=N0098510&amp;VAR:INDEX=0"}</definedName>
    <definedName name="_6834__FDSAUDITLINK__" hidden="1">{"fdsup://directions/FAT Viewer?action=UPDATE&amp;creator=factset&amp;DYN_ARGS=TRUE&amp;DOC_NAME=FAT:FQL_AUDITING_CLIENT_TEMPLATE.FAT&amp;display_string=Audit&amp;VAR:KEY=TWRWFMHGZI&amp;VAR:QUERY=RkZfRUJJVERBX0lCKCdMVE1TJywzODg3OSk=&amp;WINDOW=FIRST_POPUP&amp;HEIGHT=450&amp;WIDTH=450&amp;START_MA","XIMIZED=FALSE&amp;VAR:CALENDAR=US&amp;VAR:SYMBOL=N0098510&amp;VAR:INDEX=0"}</definedName>
    <definedName name="_6835__FDSAUDITLINK__" localSheetId="6" hidden="1">{"fdsup://directions/FAT Viewer?action=UPDATE&amp;creator=factset&amp;DYN_ARGS=TRUE&amp;DOC_NAME=FAT:FQL_AUDITING_CLIENT_TEMPLATE.FAT&amp;display_string=Audit&amp;VAR:KEY=FORAPWBWNA&amp;VAR:QUERY=RkZfRUJJVERBX0lCKCdMVE1TJywzODg3OCk=&amp;WINDOW=FIRST_POPUP&amp;HEIGHT=450&amp;WIDTH=450&amp;START_MA","XIMIZED=FALSE&amp;VAR:CALENDAR=US&amp;VAR:SYMBOL=N0098510&amp;VAR:INDEX=0"}</definedName>
    <definedName name="_6835__FDSAUDITLINK__" hidden="1">{"fdsup://directions/FAT Viewer?action=UPDATE&amp;creator=factset&amp;DYN_ARGS=TRUE&amp;DOC_NAME=FAT:FQL_AUDITING_CLIENT_TEMPLATE.FAT&amp;display_string=Audit&amp;VAR:KEY=FORAPWBWNA&amp;VAR:QUERY=RkZfRUJJVERBX0lCKCdMVE1TJywzODg3OCk=&amp;WINDOW=FIRST_POPUP&amp;HEIGHT=450&amp;WIDTH=450&amp;START_MA","XIMIZED=FALSE&amp;VAR:CALENDAR=US&amp;VAR:SYMBOL=N0098510&amp;VAR:INDEX=0"}</definedName>
    <definedName name="_6836__FDSAUDITLINK__" localSheetId="6" hidden="1">{"fdsup://directions/FAT Viewer?action=UPDATE&amp;creator=factset&amp;DYN_ARGS=TRUE&amp;DOC_NAME=FAT:FQL_AUDITING_CLIENT_TEMPLATE.FAT&amp;display_string=Audit&amp;VAR:KEY=XUDQXEVGDE&amp;VAR:QUERY=RkZfRUJJVERBX0lCKCdMVE1TJywzODg3Nyk=&amp;WINDOW=FIRST_POPUP&amp;HEIGHT=450&amp;WIDTH=450&amp;START_MA","XIMIZED=FALSE&amp;VAR:CALENDAR=US&amp;VAR:SYMBOL=N0098510&amp;VAR:INDEX=0"}</definedName>
    <definedName name="_6836__FDSAUDITLINK__" hidden="1">{"fdsup://directions/FAT Viewer?action=UPDATE&amp;creator=factset&amp;DYN_ARGS=TRUE&amp;DOC_NAME=FAT:FQL_AUDITING_CLIENT_TEMPLATE.FAT&amp;display_string=Audit&amp;VAR:KEY=XUDQXEVGDE&amp;VAR:QUERY=RkZfRUJJVERBX0lCKCdMVE1TJywzODg3Nyk=&amp;WINDOW=FIRST_POPUP&amp;HEIGHT=450&amp;WIDTH=450&amp;START_MA","XIMIZED=FALSE&amp;VAR:CALENDAR=US&amp;VAR:SYMBOL=N0098510&amp;VAR:INDEX=0"}</definedName>
    <definedName name="_6837__FDSAUDITLINK__" localSheetId="6" hidden="1">{"fdsup://directions/FAT Viewer?action=UPDATE&amp;creator=factset&amp;DYN_ARGS=TRUE&amp;DOC_NAME=FAT:FQL_AUDITING_CLIENT_TEMPLATE.FAT&amp;display_string=Audit&amp;VAR:KEY=JUTMDYZOJI&amp;VAR:QUERY=RkZfRUJJVERBX0lCKCdMVE1TJywzODg3Nik=&amp;WINDOW=FIRST_POPUP&amp;HEIGHT=450&amp;WIDTH=450&amp;START_MA","XIMIZED=FALSE&amp;VAR:CALENDAR=US&amp;VAR:SYMBOL=N0098510&amp;VAR:INDEX=0"}</definedName>
    <definedName name="_6837__FDSAUDITLINK__" hidden="1">{"fdsup://directions/FAT Viewer?action=UPDATE&amp;creator=factset&amp;DYN_ARGS=TRUE&amp;DOC_NAME=FAT:FQL_AUDITING_CLIENT_TEMPLATE.FAT&amp;display_string=Audit&amp;VAR:KEY=JUTMDYZOJI&amp;VAR:QUERY=RkZfRUJJVERBX0lCKCdMVE1TJywzODg3Nik=&amp;WINDOW=FIRST_POPUP&amp;HEIGHT=450&amp;WIDTH=450&amp;START_MA","XIMIZED=FALSE&amp;VAR:CALENDAR=US&amp;VAR:SYMBOL=N0098510&amp;VAR:INDEX=0"}</definedName>
    <definedName name="_6838__FDSAUDITLINK__" localSheetId="6" hidden="1">{"fdsup://directions/FAT Viewer?action=UPDATE&amp;creator=factset&amp;DYN_ARGS=TRUE&amp;DOC_NAME=FAT:FQL_AUDITING_CLIENT_TEMPLATE.FAT&amp;display_string=Audit&amp;VAR:KEY=DINQNQNWVW&amp;VAR:QUERY=RkZfRUJJVERBX0lCKCdMVE1TJywzODg3NSk=&amp;WINDOW=FIRST_POPUP&amp;HEIGHT=450&amp;WIDTH=450&amp;START_MA","XIMIZED=FALSE&amp;VAR:CALENDAR=US&amp;VAR:SYMBOL=N0098510&amp;VAR:INDEX=0"}</definedName>
    <definedName name="_6838__FDSAUDITLINK__" hidden="1">{"fdsup://directions/FAT Viewer?action=UPDATE&amp;creator=factset&amp;DYN_ARGS=TRUE&amp;DOC_NAME=FAT:FQL_AUDITING_CLIENT_TEMPLATE.FAT&amp;display_string=Audit&amp;VAR:KEY=DINQNQNWVW&amp;VAR:QUERY=RkZfRUJJVERBX0lCKCdMVE1TJywzODg3NSk=&amp;WINDOW=FIRST_POPUP&amp;HEIGHT=450&amp;WIDTH=450&amp;START_MA","XIMIZED=FALSE&amp;VAR:CALENDAR=US&amp;VAR:SYMBOL=N0098510&amp;VAR:INDEX=0"}</definedName>
    <definedName name="_6839__FDSAUDITLINK__" localSheetId="6" hidden="1">{"fdsup://directions/FAT Viewer?action=UPDATE&amp;creator=factset&amp;DYN_ARGS=TRUE&amp;DOC_NAME=FAT:FQL_AUDITING_CLIENT_TEMPLATE.FAT&amp;display_string=Audit&amp;VAR:KEY=NWTKHYPGTK&amp;VAR:QUERY=RkZfRUJJVERBX0lCKCdMVE1TJywzODg3NCk=&amp;WINDOW=FIRST_POPUP&amp;HEIGHT=450&amp;WIDTH=450&amp;START_MA","XIMIZED=FALSE&amp;VAR:CALENDAR=US&amp;VAR:SYMBOL=N0098510&amp;VAR:INDEX=0"}</definedName>
    <definedName name="_6839__FDSAUDITLINK__" hidden="1">{"fdsup://directions/FAT Viewer?action=UPDATE&amp;creator=factset&amp;DYN_ARGS=TRUE&amp;DOC_NAME=FAT:FQL_AUDITING_CLIENT_TEMPLATE.FAT&amp;display_string=Audit&amp;VAR:KEY=NWTKHYPGTK&amp;VAR:QUERY=RkZfRUJJVERBX0lCKCdMVE1TJywzODg3NCk=&amp;WINDOW=FIRST_POPUP&amp;HEIGHT=450&amp;WIDTH=450&amp;START_MA","XIMIZED=FALSE&amp;VAR:CALENDAR=US&amp;VAR:SYMBOL=N0098510&amp;VAR:INDEX=0"}</definedName>
    <definedName name="_684__FDSAUDITLINK__" localSheetId="6" hidden="1">{"fdsup://directions/FAT%20Viewer?VAR:PED=LTM&amp;VAR:AUDIT_MODE=SUMMARY&amp;VAR:PERIOD=FIXED&amp;VAR:AUDIT_ID=00000117&amp;VAR:DATE=20080408&amp;action=UPDATE&amp;creator=factset&amp;DOC_NAME=FAT:FMA_audit_SUMMARY.fat&amp;DISPLAY_STRING=Display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4__FDSAUDITLINK__" hidden="1">{"fdsup://directions/FAT%20Viewer?VAR:PED=LTM&amp;VAR:AUDIT_MODE=SUMMARY&amp;VAR:PERIOD=FIXED&amp;VAR:AUDIT_ID=00000117&amp;VAR:DATE=20080408&amp;action=UPDATE&amp;creator=factset&amp;DOC_NAME=FAT:FMA_audit_SUMMARY.fat&amp;DISPLAY_STRING=Display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40__FDSAUDITLINK__" localSheetId="6" hidden="1">{"fdsup://directions/FAT Viewer?action=UPDATE&amp;creator=factset&amp;DYN_ARGS=TRUE&amp;DOC_NAME=FAT:FQL_AUDITING_CLIENT_TEMPLATE.FAT&amp;display_string=Audit&amp;VAR:KEY=RATANCFGPK&amp;VAR:QUERY=RkZfRUJJVERBX0lCKCdMVE1TJywzODg3Myk=&amp;WINDOW=FIRST_POPUP&amp;HEIGHT=450&amp;WIDTH=450&amp;START_MA","XIMIZED=FALSE&amp;VAR:CALENDAR=US&amp;VAR:SYMBOL=N0098510&amp;VAR:INDEX=0"}</definedName>
    <definedName name="_6840__FDSAUDITLINK__" hidden="1">{"fdsup://directions/FAT Viewer?action=UPDATE&amp;creator=factset&amp;DYN_ARGS=TRUE&amp;DOC_NAME=FAT:FQL_AUDITING_CLIENT_TEMPLATE.FAT&amp;display_string=Audit&amp;VAR:KEY=RATANCFGPK&amp;VAR:QUERY=RkZfRUJJVERBX0lCKCdMVE1TJywzODg3Myk=&amp;WINDOW=FIRST_POPUP&amp;HEIGHT=450&amp;WIDTH=450&amp;START_MA","XIMIZED=FALSE&amp;VAR:CALENDAR=US&amp;VAR:SYMBOL=N0098510&amp;VAR:INDEX=0"}</definedName>
    <definedName name="_6841__FDSAUDITLINK__" localSheetId="6" hidden="1">{"fdsup://directions/FAT Viewer?action=UPDATE&amp;creator=factset&amp;DYN_ARGS=TRUE&amp;DOC_NAME=FAT:FQL_AUDITING_CLIENT_TEMPLATE.FAT&amp;display_string=Audit&amp;VAR:KEY=HKLADEREHQ&amp;VAR:QUERY=RkZfRUJJVERBX0lCKCdMVE1TJywzODg3Mik=&amp;WINDOW=FIRST_POPUP&amp;HEIGHT=450&amp;WIDTH=450&amp;START_MA","XIMIZED=FALSE&amp;VAR:CALENDAR=US&amp;VAR:SYMBOL=N0098510&amp;VAR:INDEX=0"}</definedName>
    <definedName name="_6841__FDSAUDITLINK__" hidden="1">{"fdsup://directions/FAT Viewer?action=UPDATE&amp;creator=factset&amp;DYN_ARGS=TRUE&amp;DOC_NAME=FAT:FQL_AUDITING_CLIENT_TEMPLATE.FAT&amp;display_string=Audit&amp;VAR:KEY=HKLADEREHQ&amp;VAR:QUERY=RkZfRUJJVERBX0lCKCdMVE1TJywzODg3Mik=&amp;WINDOW=FIRST_POPUP&amp;HEIGHT=450&amp;WIDTH=450&amp;START_MA","XIMIZED=FALSE&amp;VAR:CALENDAR=US&amp;VAR:SYMBOL=N0098510&amp;VAR:INDEX=0"}</definedName>
    <definedName name="_6842__FDSAUDITLINK__" localSheetId="6" hidden="1">{"fdsup://directions/FAT Viewer?action=UPDATE&amp;creator=factset&amp;DYN_ARGS=TRUE&amp;DOC_NAME=FAT:FQL_AUDITING_CLIENT_TEMPLATE.FAT&amp;display_string=Audit&amp;VAR:KEY=RYLWJCLMZI&amp;VAR:QUERY=RkZfRUJJVERBX0lCKCdMVE1TJywzODg3MSk=&amp;WINDOW=FIRST_POPUP&amp;HEIGHT=450&amp;WIDTH=450&amp;START_MA","XIMIZED=FALSE&amp;VAR:CALENDAR=US&amp;VAR:SYMBOL=N0098510&amp;VAR:INDEX=0"}</definedName>
    <definedName name="_6842__FDSAUDITLINK__" hidden="1">{"fdsup://directions/FAT Viewer?action=UPDATE&amp;creator=factset&amp;DYN_ARGS=TRUE&amp;DOC_NAME=FAT:FQL_AUDITING_CLIENT_TEMPLATE.FAT&amp;display_string=Audit&amp;VAR:KEY=RYLWJCLMZI&amp;VAR:QUERY=RkZfRUJJVERBX0lCKCdMVE1TJywzODg3MSk=&amp;WINDOW=FIRST_POPUP&amp;HEIGHT=450&amp;WIDTH=450&amp;START_MA","XIMIZED=FALSE&amp;VAR:CALENDAR=US&amp;VAR:SYMBOL=N0098510&amp;VAR:INDEX=0"}</definedName>
    <definedName name="_6843__FDSAUDITLINK__" localSheetId="6" hidden="1">{"fdsup://directions/FAT Viewer?action=UPDATE&amp;creator=factset&amp;DYN_ARGS=TRUE&amp;DOC_NAME=FAT:FQL_AUDITING_CLIENT_TEMPLATE.FAT&amp;display_string=Audit&amp;VAR:KEY=FEBWZQVUZU&amp;VAR:QUERY=RkZfRUJJVERBX0lCKCdMVE1TJywzODg3MCk=&amp;WINDOW=FIRST_POPUP&amp;HEIGHT=450&amp;WIDTH=450&amp;START_MA","XIMIZED=FALSE&amp;VAR:CALENDAR=US&amp;VAR:SYMBOL=N0098510&amp;VAR:INDEX=0"}</definedName>
    <definedName name="_6843__FDSAUDITLINK__" hidden="1">{"fdsup://directions/FAT Viewer?action=UPDATE&amp;creator=factset&amp;DYN_ARGS=TRUE&amp;DOC_NAME=FAT:FQL_AUDITING_CLIENT_TEMPLATE.FAT&amp;display_string=Audit&amp;VAR:KEY=FEBWZQVUZU&amp;VAR:QUERY=RkZfRUJJVERBX0lCKCdMVE1TJywzODg3MCk=&amp;WINDOW=FIRST_POPUP&amp;HEIGHT=450&amp;WIDTH=450&amp;START_MA","XIMIZED=FALSE&amp;VAR:CALENDAR=US&amp;VAR:SYMBOL=N0098510&amp;VAR:INDEX=0"}</definedName>
    <definedName name="_6844__FDSAUDITLINK__" localSheetId="6" hidden="1">{"fdsup://directions/FAT Viewer?action=UPDATE&amp;creator=factset&amp;DYN_ARGS=TRUE&amp;DOC_NAME=FAT:FQL_AUDITING_CLIENT_TEMPLATE.FAT&amp;display_string=Audit&amp;VAR:KEY=XWBEFYVGLK&amp;VAR:QUERY=RkZfRUJJVERBX0lCKCdMVE1TJywzODg2OSk=&amp;WINDOW=FIRST_POPUP&amp;HEIGHT=450&amp;WIDTH=450&amp;START_MA","XIMIZED=FALSE&amp;VAR:CALENDAR=US&amp;VAR:SYMBOL=N0098510&amp;VAR:INDEX=0"}</definedName>
    <definedName name="_6844__FDSAUDITLINK__" hidden="1">{"fdsup://directions/FAT Viewer?action=UPDATE&amp;creator=factset&amp;DYN_ARGS=TRUE&amp;DOC_NAME=FAT:FQL_AUDITING_CLIENT_TEMPLATE.FAT&amp;display_string=Audit&amp;VAR:KEY=XWBEFYVGLK&amp;VAR:QUERY=RkZfRUJJVERBX0lCKCdMVE1TJywzODg2OSk=&amp;WINDOW=FIRST_POPUP&amp;HEIGHT=450&amp;WIDTH=450&amp;START_MA","XIMIZED=FALSE&amp;VAR:CALENDAR=US&amp;VAR:SYMBOL=N0098510&amp;VAR:INDEX=0"}</definedName>
    <definedName name="_6845__FDSAUDITLINK__" localSheetId="6" hidden="1">{"fdsup://directions/FAT Viewer?action=UPDATE&amp;creator=factset&amp;DYN_ARGS=TRUE&amp;DOC_NAME=FAT:FQL_AUDITING_CLIENT_TEMPLATE.FAT&amp;display_string=Audit&amp;VAR:KEY=TMVYPGXABS&amp;VAR:QUERY=RkZfRUJJVERBX0lCKCdMVE1TJywzODg2OCk=&amp;WINDOW=FIRST_POPUP&amp;HEIGHT=450&amp;WIDTH=450&amp;START_MA","XIMIZED=FALSE&amp;VAR:CALENDAR=US&amp;VAR:SYMBOL=N0098510&amp;VAR:INDEX=0"}</definedName>
    <definedName name="_6845__FDSAUDITLINK__" hidden="1">{"fdsup://directions/FAT Viewer?action=UPDATE&amp;creator=factset&amp;DYN_ARGS=TRUE&amp;DOC_NAME=FAT:FQL_AUDITING_CLIENT_TEMPLATE.FAT&amp;display_string=Audit&amp;VAR:KEY=TMVYPGXABS&amp;VAR:QUERY=RkZfRUJJVERBX0lCKCdMVE1TJywzODg2OCk=&amp;WINDOW=FIRST_POPUP&amp;HEIGHT=450&amp;WIDTH=450&amp;START_MA","XIMIZED=FALSE&amp;VAR:CALENDAR=US&amp;VAR:SYMBOL=N0098510&amp;VAR:INDEX=0"}</definedName>
    <definedName name="_6846__FDSAUDITLINK__" localSheetId="6" hidden="1">{"fdsup://directions/FAT Viewer?action=UPDATE&amp;creator=factset&amp;DYN_ARGS=TRUE&amp;DOC_NAME=FAT:FQL_AUDITING_CLIENT_TEMPLATE.FAT&amp;display_string=Audit&amp;VAR:KEY=VMFWDITYBW&amp;VAR:QUERY=RkZfRUJJVERBX0lCKCdMVE1TJywzODg2Nyk=&amp;WINDOW=FIRST_POPUP&amp;HEIGHT=450&amp;WIDTH=450&amp;START_MA","XIMIZED=FALSE&amp;VAR:CALENDAR=US&amp;VAR:SYMBOL=N0098510&amp;VAR:INDEX=0"}</definedName>
    <definedName name="_6846__FDSAUDITLINK__" hidden="1">{"fdsup://directions/FAT Viewer?action=UPDATE&amp;creator=factset&amp;DYN_ARGS=TRUE&amp;DOC_NAME=FAT:FQL_AUDITING_CLIENT_TEMPLATE.FAT&amp;display_string=Audit&amp;VAR:KEY=VMFWDITYBW&amp;VAR:QUERY=RkZfRUJJVERBX0lCKCdMVE1TJywzODg2Nyk=&amp;WINDOW=FIRST_POPUP&amp;HEIGHT=450&amp;WIDTH=450&amp;START_MA","XIMIZED=FALSE&amp;VAR:CALENDAR=US&amp;VAR:SYMBOL=N0098510&amp;VAR:INDEX=0"}</definedName>
    <definedName name="_6847__FDSAUDITLINK__" localSheetId="6" hidden="1">{"fdsup://directions/FAT Viewer?action=UPDATE&amp;creator=factset&amp;DYN_ARGS=TRUE&amp;DOC_NAME=FAT:FQL_AUDITING_CLIENT_TEMPLATE.FAT&amp;display_string=Audit&amp;VAR:KEY=RKFSLOBWPM&amp;VAR:QUERY=RkZfRUJJVERBX0lCKCdMVE1TJywzODg2Nik=&amp;WINDOW=FIRST_POPUP&amp;HEIGHT=450&amp;WIDTH=450&amp;START_MA","XIMIZED=FALSE&amp;VAR:CALENDAR=US&amp;VAR:SYMBOL=N0098510&amp;VAR:INDEX=0"}</definedName>
    <definedName name="_6847__FDSAUDITLINK__" hidden="1">{"fdsup://directions/FAT Viewer?action=UPDATE&amp;creator=factset&amp;DYN_ARGS=TRUE&amp;DOC_NAME=FAT:FQL_AUDITING_CLIENT_TEMPLATE.FAT&amp;display_string=Audit&amp;VAR:KEY=RKFSLOBWPM&amp;VAR:QUERY=RkZfRUJJVERBX0lCKCdMVE1TJywzODg2Nik=&amp;WINDOW=FIRST_POPUP&amp;HEIGHT=450&amp;WIDTH=450&amp;START_MA","XIMIZED=FALSE&amp;VAR:CALENDAR=US&amp;VAR:SYMBOL=N0098510&amp;VAR:INDEX=0"}</definedName>
    <definedName name="_6848__FDSAUDITLINK__" localSheetId="6" hidden="1">{"fdsup://directions/FAT Viewer?action=UPDATE&amp;creator=factset&amp;DYN_ARGS=TRUE&amp;DOC_NAME=FAT:FQL_AUDITING_CLIENT_TEMPLATE.FAT&amp;display_string=Audit&amp;VAR:KEY=VIDADSRWLK&amp;VAR:QUERY=RkZfRUJJVERBX0lCKCdMVE1TJywzODg2NSk=&amp;WINDOW=FIRST_POPUP&amp;HEIGHT=450&amp;WIDTH=450&amp;START_MA","XIMIZED=FALSE&amp;VAR:CALENDAR=US&amp;VAR:SYMBOL=N0098510&amp;VAR:INDEX=0"}</definedName>
    <definedName name="_6848__FDSAUDITLINK__" hidden="1">{"fdsup://directions/FAT Viewer?action=UPDATE&amp;creator=factset&amp;DYN_ARGS=TRUE&amp;DOC_NAME=FAT:FQL_AUDITING_CLIENT_TEMPLATE.FAT&amp;display_string=Audit&amp;VAR:KEY=VIDADSRWLK&amp;VAR:QUERY=RkZfRUJJVERBX0lCKCdMVE1TJywzODg2NSk=&amp;WINDOW=FIRST_POPUP&amp;HEIGHT=450&amp;WIDTH=450&amp;START_MA","XIMIZED=FALSE&amp;VAR:CALENDAR=US&amp;VAR:SYMBOL=N0098510&amp;VAR:INDEX=0"}</definedName>
    <definedName name="_6849__FDSAUDITLINK__" localSheetId="6" hidden="1">{"fdsup://directions/FAT Viewer?action=UPDATE&amp;creator=factset&amp;DYN_ARGS=TRUE&amp;DOC_NAME=FAT:FQL_AUDITING_CLIENT_TEMPLATE.FAT&amp;display_string=Audit&amp;VAR:KEY=DIZMTALQNS&amp;VAR:QUERY=RkZfRUJJVERBX0lCKCdMVE1TJywzODg2NCk=&amp;WINDOW=FIRST_POPUP&amp;HEIGHT=450&amp;WIDTH=450&amp;START_MA","XIMIZED=FALSE&amp;VAR:CALENDAR=US&amp;VAR:SYMBOL=N0098510&amp;VAR:INDEX=0"}</definedName>
    <definedName name="_6849__FDSAUDITLINK__" hidden="1">{"fdsup://directions/FAT Viewer?action=UPDATE&amp;creator=factset&amp;DYN_ARGS=TRUE&amp;DOC_NAME=FAT:FQL_AUDITING_CLIENT_TEMPLATE.FAT&amp;display_string=Audit&amp;VAR:KEY=DIZMTALQNS&amp;VAR:QUERY=RkZfRUJJVERBX0lCKCdMVE1TJywzODg2NCk=&amp;WINDOW=FIRST_POPUP&amp;HEIGHT=450&amp;WIDTH=450&amp;START_MA","XIMIZED=FALSE&amp;VAR:CALENDAR=US&amp;VAR:SYMBOL=N0098510&amp;VAR:INDEX=0"}</definedName>
    <definedName name="_685__FDSAUDITLINK__" localSheetId="6" hidden="1">{"fdsup://directions/FAT%20Viewer?VAR:PED=LTM&amp;VAR:AUDIT_MODE=SUMMARY&amp;VAR:PERIOD=FIXED&amp;VAR:AUDIT_ID=00000117&amp;VAR:DATE=20080407&amp;action=UPDATE&amp;creator=factset&amp;DOC_NAME=FAT:FMA_audit_SUMMARY.fat&amp;DISPLAY_STRING=Display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5__FDSAUDITLINK__" hidden="1">{"fdsup://directions/FAT%20Viewer?VAR:PED=LTM&amp;VAR:AUDIT_MODE=SUMMARY&amp;VAR:PERIOD=FIXED&amp;VAR:AUDIT_ID=00000117&amp;VAR:DATE=20080407&amp;action=UPDATE&amp;creator=factset&amp;DOC_NAME=FAT:FMA_audit_SUMMARY.fat&amp;DISPLAY_STRING=Display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50__FDSAUDITLINK__" localSheetId="6" hidden="1">{"fdsup://directions/FAT Viewer?action=UPDATE&amp;creator=factset&amp;DYN_ARGS=TRUE&amp;DOC_NAME=FAT:FQL_AUDITING_CLIENT_TEMPLATE.FAT&amp;display_string=Audit&amp;VAR:KEY=BSXQZMFYDA&amp;VAR:QUERY=RkZfRUJJVERBX0lCKCdMVE1TJywzODg2Myk=&amp;WINDOW=FIRST_POPUP&amp;HEIGHT=450&amp;WIDTH=450&amp;START_MA","XIMIZED=FALSE&amp;VAR:CALENDAR=US&amp;VAR:SYMBOL=N0098510&amp;VAR:INDEX=0"}</definedName>
    <definedName name="_6850__FDSAUDITLINK__" hidden="1">{"fdsup://directions/FAT Viewer?action=UPDATE&amp;creator=factset&amp;DYN_ARGS=TRUE&amp;DOC_NAME=FAT:FQL_AUDITING_CLIENT_TEMPLATE.FAT&amp;display_string=Audit&amp;VAR:KEY=BSXQZMFYDA&amp;VAR:QUERY=RkZfRUJJVERBX0lCKCdMVE1TJywzODg2Myk=&amp;WINDOW=FIRST_POPUP&amp;HEIGHT=450&amp;WIDTH=450&amp;START_MA","XIMIZED=FALSE&amp;VAR:CALENDAR=US&amp;VAR:SYMBOL=N0098510&amp;VAR:INDEX=0"}</definedName>
    <definedName name="_6851__FDSAUDITLINK__" localSheetId="6" hidden="1">{"fdsup://directions/FAT Viewer?action=UPDATE&amp;creator=factset&amp;DYN_ARGS=TRUE&amp;DOC_NAME=FAT:FQL_AUDITING_CLIENT_TEMPLATE.FAT&amp;display_string=Audit&amp;VAR:KEY=NWVIJMRQHY&amp;VAR:QUERY=RkZfRUJJVERBX0lCKCdMVE1TJywzODg2Mik=&amp;WINDOW=FIRST_POPUP&amp;HEIGHT=450&amp;WIDTH=450&amp;START_MA","XIMIZED=FALSE&amp;VAR:CALENDAR=US&amp;VAR:SYMBOL=N0098510&amp;VAR:INDEX=0"}</definedName>
    <definedName name="_6851__FDSAUDITLINK__" hidden="1">{"fdsup://directions/FAT Viewer?action=UPDATE&amp;creator=factset&amp;DYN_ARGS=TRUE&amp;DOC_NAME=FAT:FQL_AUDITING_CLIENT_TEMPLATE.FAT&amp;display_string=Audit&amp;VAR:KEY=NWVIJMRQHY&amp;VAR:QUERY=RkZfRUJJVERBX0lCKCdMVE1TJywzODg2Mik=&amp;WINDOW=FIRST_POPUP&amp;HEIGHT=450&amp;WIDTH=450&amp;START_MA","XIMIZED=FALSE&amp;VAR:CALENDAR=US&amp;VAR:SYMBOL=N0098510&amp;VAR:INDEX=0"}</definedName>
    <definedName name="_6852__FDSAUDITLINK__" localSheetId="6" hidden="1">{"fdsup://directions/FAT Viewer?action=UPDATE&amp;creator=factset&amp;DYN_ARGS=TRUE&amp;DOC_NAME=FAT:FQL_AUDITING_CLIENT_TEMPLATE.FAT&amp;display_string=Audit&amp;VAR:KEY=NKROXOLCZC&amp;VAR:QUERY=RkZfRUJJVERBX0lCKCdMVE1TJywzODg2MSk=&amp;WINDOW=FIRST_POPUP&amp;HEIGHT=450&amp;WIDTH=450&amp;START_MA","XIMIZED=FALSE&amp;VAR:CALENDAR=US&amp;VAR:SYMBOL=N0098510&amp;VAR:INDEX=0"}</definedName>
    <definedName name="_6852__FDSAUDITLINK__" hidden="1">{"fdsup://directions/FAT Viewer?action=UPDATE&amp;creator=factset&amp;DYN_ARGS=TRUE&amp;DOC_NAME=FAT:FQL_AUDITING_CLIENT_TEMPLATE.FAT&amp;display_string=Audit&amp;VAR:KEY=NKROXOLCZC&amp;VAR:QUERY=RkZfRUJJVERBX0lCKCdMVE1TJywzODg2MSk=&amp;WINDOW=FIRST_POPUP&amp;HEIGHT=450&amp;WIDTH=450&amp;START_MA","XIMIZED=FALSE&amp;VAR:CALENDAR=US&amp;VAR:SYMBOL=N0098510&amp;VAR:INDEX=0"}</definedName>
    <definedName name="_6853__FDSAUDITLINK__" localSheetId="6" hidden="1">{"fdsup://directions/FAT Viewer?action=UPDATE&amp;creator=factset&amp;DYN_ARGS=TRUE&amp;DOC_NAME=FAT:FQL_AUDITING_CLIENT_TEMPLATE.FAT&amp;display_string=Audit&amp;VAR:KEY=NGHEXUPSLU&amp;VAR:QUERY=RkZfRUJJVERBX0lCKCdMVE1TJywzODg2MCk=&amp;WINDOW=FIRST_POPUP&amp;HEIGHT=450&amp;WIDTH=450&amp;START_MA","XIMIZED=FALSE&amp;VAR:CALENDAR=US&amp;VAR:SYMBOL=N0098510&amp;VAR:INDEX=0"}</definedName>
    <definedName name="_6853__FDSAUDITLINK__" hidden="1">{"fdsup://directions/FAT Viewer?action=UPDATE&amp;creator=factset&amp;DYN_ARGS=TRUE&amp;DOC_NAME=FAT:FQL_AUDITING_CLIENT_TEMPLATE.FAT&amp;display_string=Audit&amp;VAR:KEY=NGHEXUPSLU&amp;VAR:QUERY=RkZfRUJJVERBX0lCKCdMVE1TJywzODg2MCk=&amp;WINDOW=FIRST_POPUP&amp;HEIGHT=450&amp;WIDTH=450&amp;START_MA","XIMIZED=FALSE&amp;VAR:CALENDAR=US&amp;VAR:SYMBOL=N0098510&amp;VAR:INDEX=0"}</definedName>
    <definedName name="_6854__FDSAUDITLINK__" localSheetId="6" hidden="1">{"fdsup://directions/FAT Viewer?action=UPDATE&amp;creator=factset&amp;DYN_ARGS=TRUE&amp;DOC_NAME=FAT:FQL_AUDITING_CLIENT_TEMPLATE.FAT&amp;display_string=Audit&amp;VAR:KEY=NAJYFUJCZA&amp;VAR:QUERY=RkZfRUJJVERBX0lCKCdMVE1TJywzODg1OSk=&amp;WINDOW=FIRST_POPUP&amp;HEIGHT=450&amp;WIDTH=450&amp;START_MA","XIMIZED=FALSE&amp;VAR:CALENDAR=US&amp;VAR:SYMBOL=N0098510&amp;VAR:INDEX=0"}</definedName>
    <definedName name="_6854__FDSAUDITLINK__" hidden="1">{"fdsup://directions/FAT Viewer?action=UPDATE&amp;creator=factset&amp;DYN_ARGS=TRUE&amp;DOC_NAME=FAT:FQL_AUDITING_CLIENT_TEMPLATE.FAT&amp;display_string=Audit&amp;VAR:KEY=NAJYFUJCZA&amp;VAR:QUERY=RkZfRUJJVERBX0lCKCdMVE1TJywzODg1OSk=&amp;WINDOW=FIRST_POPUP&amp;HEIGHT=450&amp;WIDTH=450&amp;START_MA","XIMIZED=FALSE&amp;VAR:CALENDAR=US&amp;VAR:SYMBOL=N0098510&amp;VAR:INDEX=0"}</definedName>
    <definedName name="_6855__FDSAUDITLINK__" localSheetId="6" hidden="1">{"fdsup://directions/FAT Viewer?action=UPDATE&amp;creator=factset&amp;DYN_ARGS=TRUE&amp;DOC_NAME=FAT:FQL_AUDITING_CLIENT_TEMPLATE.FAT&amp;display_string=Audit&amp;VAR:KEY=RMNWPOJSFG&amp;VAR:QUERY=RkZfRUJJVERBX0lCKCdMVE1TJywzODg1OCk=&amp;WINDOW=FIRST_POPUP&amp;HEIGHT=450&amp;WIDTH=450&amp;START_MA","XIMIZED=FALSE&amp;VAR:CALENDAR=US&amp;VAR:SYMBOL=N0098510&amp;VAR:INDEX=0"}</definedName>
    <definedName name="_6855__FDSAUDITLINK__" hidden="1">{"fdsup://directions/FAT Viewer?action=UPDATE&amp;creator=factset&amp;DYN_ARGS=TRUE&amp;DOC_NAME=FAT:FQL_AUDITING_CLIENT_TEMPLATE.FAT&amp;display_string=Audit&amp;VAR:KEY=RMNWPOJSFG&amp;VAR:QUERY=RkZfRUJJVERBX0lCKCdMVE1TJywzODg1OCk=&amp;WINDOW=FIRST_POPUP&amp;HEIGHT=450&amp;WIDTH=450&amp;START_MA","XIMIZED=FALSE&amp;VAR:CALENDAR=US&amp;VAR:SYMBOL=N0098510&amp;VAR:INDEX=0"}</definedName>
    <definedName name="_6856__FDSAUDITLINK__" localSheetId="6" hidden="1">{"fdsup://directions/FAT Viewer?action=UPDATE&amp;creator=factset&amp;DYN_ARGS=TRUE&amp;DOC_NAME=FAT:FQL_AUDITING_CLIENT_TEMPLATE.FAT&amp;display_string=Audit&amp;VAR:KEY=HMXOXEJURE&amp;VAR:QUERY=RkZfRUJJVERBX0lCKCdMVE1TJywzODg1Nyk=&amp;WINDOW=FIRST_POPUP&amp;HEIGHT=450&amp;WIDTH=450&amp;START_MA","XIMIZED=FALSE&amp;VAR:CALENDAR=US&amp;VAR:SYMBOL=N0098510&amp;VAR:INDEX=0"}</definedName>
    <definedName name="_6856__FDSAUDITLINK__" hidden="1">{"fdsup://directions/FAT Viewer?action=UPDATE&amp;creator=factset&amp;DYN_ARGS=TRUE&amp;DOC_NAME=FAT:FQL_AUDITING_CLIENT_TEMPLATE.FAT&amp;display_string=Audit&amp;VAR:KEY=HMXOXEJURE&amp;VAR:QUERY=RkZfRUJJVERBX0lCKCdMVE1TJywzODg1Nyk=&amp;WINDOW=FIRST_POPUP&amp;HEIGHT=450&amp;WIDTH=450&amp;START_MA","XIMIZED=FALSE&amp;VAR:CALENDAR=US&amp;VAR:SYMBOL=N0098510&amp;VAR:INDEX=0"}</definedName>
    <definedName name="_6857__FDSAUDITLINK__" localSheetId="6" hidden="1">{"fdsup://directions/FAT Viewer?action=UPDATE&amp;creator=factset&amp;DYN_ARGS=TRUE&amp;DOC_NAME=FAT:FQL_AUDITING_CLIENT_TEMPLATE.FAT&amp;display_string=Audit&amp;VAR:KEY=TCLCHMBCPO&amp;VAR:QUERY=RkZfRUJJVERBX0lCKCdMVE1TJywzODg1Nik=&amp;WINDOW=FIRST_POPUP&amp;HEIGHT=450&amp;WIDTH=450&amp;START_MA","XIMIZED=FALSE&amp;VAR:CALENDAR=US&amp;VAR:SYMBOL=N0098510&amp;VAR:INDEX=0"}</definedName>
    <definedName name="_6857__FDSAUDITLINK__" hidden="1">{"fdsup://directions/FAT Viewer?action=UPDATE&amp;creator=factset&amp;DYN_ARGS=TRUE&amp;DOC_NAME=FAT:FQL_AUDITING_CLIENT_TEMPLATE.FAT&amp;display_string=Audit&amp;VAR:KEY=TCLCHMBCPO&amp;VAR:QUERY=RkZfRUJJVERBX0lCKCdMVE1TJywzODg1Nik=&amp;WINDOW=FIRST_POPUP&amp;HEIGHT=450&amp;WIDTH=450&amp;START_MA","XIMIZED=FALSE&amp;VAR:CALENDAR=US&amp;VAR:SYMBOL=N0098510&amp;VAR:INDEX=0"}</definedName>
    <definedName name="_6858__FDSAUDITLINK__" localSheetId="6" hidden="1">{"fdsup://directions/FAT Viewer?action=UPDATE&amp;creator=factset&amp;DYN_ARGS=TRUE&amp;DOC_NAME=FAT:FQL_AUDITING_CLIENT_TEMPLATE.FAT&amp;display_string=Audit&amp;VAR:KEY=NKJGRMFMFO&amp;VAR:QUERY=RkZfRUJJVERBX0lCKCdMVE1TJywzODg1NSk=&amp;WINDOW=FIRST_POPUP&amp;HEIGHT=450&amp;WIDTH=450&amp;START_MA","XIMIZED=FALSE&amp;VAR:CALENDAR=US&amp;VAR:SYMBOL=N0098510&amp;VAR:INDEX=0"}</definedName>
    <definedName name="_6858__FDSAUDITLINK__" hidden="1">{"fdsup://directions/FAT Viewer?action=UPDATE&amp;creator=factset&amp;DYN_ARGS=TRUE&amp;DOC_NAME=FAT:FQL_AUDITING_CLIENT_TEMPLATE.FAT&amp;display_string=Audit&amp;VAR:KEY=NKJGRMFMFO&amp;VAR:QUERY=RkZfRUJJVERBX0lCKCdMVE1TJywzODg1NSk=&amp;WINDOW=FIRST_POPUP&amp;HEIGHT=450&amp;WIDTH=450&amp;START_MA","XIMIZED=FALSE&amp;VAR:CALENDAR=US&amp;VAR:SYMBOL=N0098510&amp;VAR:INDEX=0"}</definedName>
    <definedName name="_6859__FDSAUDITLINK__" localSheetId="6" hidden="1">{"fdsup://directions/FAT Viewer?action=UPDATE&amp;creator=factset&amp;DYN_ARGS=TRUE&amp;DOC_NAME=FAT:FQL_AUDITING_CLIENT_TEMPLATE.FAT&amp;display_string=Audit&amp;VAR:KEY=ZKROXGNSJU&amp;VAR:QUERY=RkZfRUJJVERBX0lCKCdMVE1TJywzODg1NCk=&amp;WINDOW=FIRST_POPUP&amp;HEIGHT=450&amp;WIDTH=450&amp;START_MA","XIMIZED=FALSE&amp;VAR:CALENDAR=US&amp;VAR:SYMBOL=N0098510&amp;VAR:INDEX=0"}</definedName>
    <definedName name="_6859__FDSAUDITLINK__" hidden="1">{"fdsup://directions/FAT Viewer?action=UPDATE&amp;creator=factset&amp;DYN_ARGS=TRUE&amp;DOC_NAME=FAT:FQL_AUDITING_CLIENT_TEMPLATE.FAT&amp;display_string=Audit&amp;VAR:KEY=ZKROXGNSJU&amp;VAR:QUERY=RkZfRUJJVERBX0lCKCdMVE1TJywzODg1NCk=&amp;WINDOW=FIRST_POPUP&amp;HEIGHT=450&amp;WIDTH=450&amp;START_MA","XIMIZED=FALSE&amp;VAR:CALENDAR=US&amp;VAR:SYMBOL=N0098510&amp;VAR:INDEX=0"}</definedName>
    <definedName name="_686__FDSAUDITLINK__" localSheetId="6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6__FDSAUDITLINK__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60__FDSAUDITLINK__" localSheetId="6" hidden="1">{"fdsup://directions/FAT Viewer?action=UPDATE&amp;creator=factset&amp;DYN_ARGS=TRUE&amp;DOC_NAME=FAT:FQL_AUDITING_CLIENT_TEMPLATE.FAT&amp;display_string=Audit&amp;VAR:KEY=VKBQXKFGRE&amp;VAR:QUERY=RkZfRUJJVERBX0lCKCdMVE1TJywzODg1Myk=&amp;WINDOW=FIRST_POPUP&amp;HEIGHT=450&amp;WIDTH=450&amp;START_MA","XIMIZED=FALSE&amp;VAR:CALENDAR=US&amp;VAR:SYMBOL=N0098510&amp;VAR:INDEX=0"}</definedName>
    <definedName name="_6860__FDSAUDITLINK__" hidden="1">{"fdsup://directions/FAT Viewer?action=UPDATE&amp;creator=factset&amp;DYN_ARGS=TRUE&amp;DOC_NAME=FAT:FQL_AUDITING_CLIENT_TEMPLATE.FAT&amp;display_string=Audit&amp;VAR:KEY=VKBQXKFGRE&amp;VAR:QUERY=RkZfRUJJVERBX0lCKCdMVE1TJywzODg1Myk=&amp;WINDOW=FIRST_POPUP&amp;HEIGHT=450&amp;WIDTH=450&amp;START_MA","XIMIZED=FALSE&amp;VAR:CALENDAR=US&amp;VAR:SYMBOL=N0098510&amp;VAR:INDEX=0"}</definedName>
    <definedName name="_6861__FDSAUDITLINK__" localSheetId="6" hidden="1">{"fdsup://directions/FAT Viewer?action=UPDATE&amp;creator=factset&amp;DYN_ARGS=TRUE&amp;DOC_NAME=FAT:FQL_AUDITING_CLIENT_TEMPLATE.FAT&amp;display_string=Audit&amp;VAR:KEY=HWJUXCRATM&amp;VAR:QUERY=RkZfRUJJVERBX0lCKCdMVE1TJywzODg1Mik=&amp;WINDOW=FIRST_POPUP&amp;HEIGHT=450&amp;WIDTH=450&amp;START_MA","XIMIZED=FALSE&amp;VAR:CALENDAR=US&amp;VAR:SYMBOL=N0098510&amp;VAR:INDEX=0"}</definedName>
    <definedName name="_6861__FDSAUDITLINK__" hidden="1">{"fdsup://directions/FAT Viewer?action=UPDATE&amp;creator=factset&amp;DYN_ARGS=TRUE&amp;DOC_NAME=FAT:FQL_AUDITING_CLIENT_TEMPLATE.FAT&amp;display_string=Audit&amp;VAR:KEY=HWJUXCRATM&amp;VAR:QUERY=RkZfRUJJVERBX0lCKCdMVE1TJywzODg1Mik=&amp;WINDOW=FIRST_POPUP&amp;HEIGHT=450&amp;WIDTH=450&amp;START_MA","XIMIZED=FALSE&amp;VAR:CALENDAR=US&amp;VAR:SYMBOL=N0098510&amp;VAR:INDEX=0"}</definedName>
    <definedName name="_6862__FDSAUDITLINK__" localSheetId="6" hidden="1">{"fdsup://directions/FAT Viewer?action=UPDATE&amp;creator=factset&amp;DYN_ARGS=TRUE&amp;DOC_NAME=FAT:FQL_AUDITING_CLIENT_TEMPLATE.FAT&amp;display_string=Audit&amp;VAR:KEY=DOVQHEFEXY&amp;VAR:QUERY=RkZfRUJJVERBX0lCKCdMVE1TJywzODg1MSk=&amp;WINDOW=FIRST_POPUP&amp;HEIGHT=450&amp;WIDTH=450&amp;START_MA","XIMIZED=FALSE&amp;VAR:CALENDAR=US&amp;VAR:SYMBOL=N0098510&amp;VAR:INDEX=0"}</definedName>
    <definedName name="_6862__FDSAUDITLINK__" hidden="1">{"fdsup://directions/FAT Viewer?action=UPDATE&amp;creator=factset&amp;DYN_ARGS=TRUE&amp;DOC_NAME=FAT:FQL_AUDITING_CLIENT_TEMPLATE.FAT&amp;display_string=Audit&amp;VAR:KEY=DOVQHEFEXY&amp;VAR:QUERY=RkZfRUJJVERBX0lCKCdMVE1TJywzODg1MSk=&amp;WINDOW=FIRST_POPUP&amp;HEIGHT=450&amp;WIDTH=450&amp;START_MA","XIMIZED=FALSE&amp;VAR:CALENDAR=US&amp;VAR:SYMBOL=N0098510&amp;VAR:INDEX=0"}</definedName>
    <definedName name="_6863__FDSAUDITLINK__" localSheetId="6" hidden="1">{"fdsup://directions/FAT Viewer?action=UPDATE&amp;creator=factset&amp;DYN_ARGS=TRUE&amp;DOC_NAME=FAT:FQL_AUDITING_CLIENT_TEMPLATE.FAT&amp;display_string=Audit&amp;VAR:KEY=LMBSPEPUPW&amp;VAR:QUERY=RkZfRUJJVERBX0lCKCdMVE1TJywzODg1MCk=&amp;WINDOW=FIRST_POPUP&amp;HEIGHT=450&amp;WIDTH=450&amp;START_MA","XIMIZED=FALSE&amp;VAR:CALENDAR=US&amp;VAR:SYMBOL=N0098510&amp;VAR:INDEX=0"}</definedName>
    <definedName name="_6863__FDSAUDITLINK__" hidden="1">{"fdsup://directions/FAT Viewer?action=UPDATE&amp;creator=factset&amp;DYN_ARGS=TRUE&amp;DOC_NAME=FAT:FQL_AUDITING_CLIENT_TEMPLATE.FAT&amp;display_string=Audit&amp;VAR:KEY=LMBSPEPUPW&amp;VAR:QUERY=RkZfRUJJVERBX0lCKCdMVE1TJywzODg1MCk=&amp;WINDOW=FIRST_POPUP&amp;HEIGHT=450&amp;WIDTH=450&amp;START_MA","XIMIZED=FALSE&amp;VAR:CALENDAR=US&amp;VAR:SYMBOL=N0098510&amp;VAR:INDEX=0"}</definedName>
    <definedName name="_6864__FDSAUDITLINK__" localSheetId="6" hidden="1">{"fdsup://directions/FAT Viewer?action=UPDATE&amp;creator=factset&amp;DYN_ARGS=TRUE&amp;DOC_NAME=FAT:FQL_AUDITING_CLIENT_TEMPLATE.FAT&amp;display_string=Audit&amp;VAR:KEY=LIPWLOPKJG&amp;VAR:QUERY=RkZfRUJJVERBX0lCKCdMVE1TJywzODg0OSk=&amp;WINDOW=FIRST_POPUP&amp;HEIGHT=450&amp;WIDTH=450&amp;START_MA","XIMIZED=FALSE&amp;VAR:CALENDAR=US&amp;VAR:SYMBOL=N0098510&amp;VAR:INDEX=0"}</definedName>
    <definedName name="_6864__FDSAUDITLINK__" hidden="1">{"fdsup://directions/FAT Viewer?action=UPDATE&amp;creator=factset&amp;DYN_ARGS=TRUE&amp;DOC_NAME=FAT:FQL_AUDITING_CLIENT_TEMPLATE.FAT&amp;display_string=Audit&amp;VAR:KEY=LIPWLOPKJG&amp;VAR:QUERY=RkZfRUJJVERBX0lCKCdMVE1TJywzODg0OSk=&amp;WINDOW=FIRST_POPUP&amp;HEIGHT=450&amp;WIDTH=450&amp;START_MA","XIMIZED=FALSE&amp;VAR:CALENDAR=US&amp;VAR:SYMBOL=N0098510&amp;VAR:INDEX=0"}</definedName>
    <definedName name="_6865__FDSAUDITLINK__" localSheetId="6" hidden="1">{"fdsup://directions/FAT Viewer?action=UPDATE&amp;creator=factset&amp;DYN_ARGS=TRUE&amp;DOC_NAME=FAT:FQL_AUDITING_CLIENT_TEMPLATE.FAT&amp;display_string=Audit&amp;VAR:KEY=PAJIBYVMFG&amp;VAR:QUERY=RkZfRUJJVERBX0lCKCdMVE1TJywzODg0OCk=&amp;WINDOW=FIRST_POPUP&amp;HEIGHT=450&amp;WIDTH=450&amp;START_MA","XIMIZED=FALSE&amp;VAR:CALENDAR=US&amp;VAR:SYMBOL=N0098510&amp;VAR:INDEX=0"}</definedName>
    <definedName name="_6865__FDSAUDITLINK__" hidden="1">{"fdsup://directions/FAT Viewer?action=UPDATE&amp;creator=factset&amp;DYN_ARGS=TRUE&amp;DOC_NAME=FAT:FQL_AUDITING_CLIENT_TEMPLATE.FAT&amp;display_string=Audit&amp;VAR:KEY=PAJIBYVMFG&amp;VAR:QUERY=RkZfRUJJVERBX0lCKCdMVE1TJywzODg0OCk=&amp;WINDOW=FIRST_POPUP&amp;HEIGHT=450&amp;WIDTH=450&amp;START_MA","XIMIZED=FALSE&amp;VAR:CALENDAR=US&amp;VAR:SYMBOL=N0098510&amp;VAR:INDEX=0"}</definedName>
    <definedName name="_6866__FDSAUDITLINK__" localSheetId="6" hidden="1">{"fdsup://directions/FAT Viewer?action=UPDATE&amp;creator=factset&amp;DYN_ARGS=TRUE&amp;DOC_NAME=FAT:FQL_AUDITING_CLIENT_TEMPLATE.FAT&amp;display_string=Audit&amp;VAR:KEY=VQJMLGFCPQ&amp;VAR:QUERY=RkZfRUJJVERBX0lCKCdMVE1TJywzODg0Nyk=&amp;WINDOW=FIRST_POPUP&amp;HEIGHT=450&amp;WIDTH=450&amp;START_MA","XIMIZED=FALSE&amp;VAR:CALENDAR=US&amp;VAR:SYMBOL=N0098510&amp;VAR:INDEX=0"}</definedName>
    <definedName name="_6866__FDSAUDITLINK__" hidden="1">{"fdsup://directions/FAT Viewer?action=UPDATE&amp;creator=factset&amp;DYN_ARGS=TRUE&amp;DOC_NAME=FAT:FQL_AUDITING_CLIENT_TEMPLATE.FAT&amp;display_string=Audit&amp;VAR:KEY=VQJMLGFCPQ&amp;VAR:QUERY=RkZfRUJJVERBX0lCKCdMVE1TJywzODg0Nyk=&amp;WINDOW=FIRST_POPUP&amp;HEIGHT=450&amp;WIDTH=450&amp;START_MA","XIMIZED=FALSE&amp;VAR:CALENDAR=US&amp;VAR:SYMBOL=N0098510&amp;VAR:INDEX=0"}</definedName>
    <definedName name="_6867__FDSAUDITLINK__" localSheetId="6" hidden="1">{"fdsup://directions/FAT Viewer?action=UPDATE&amp;creator=factset&amp;DYN_ARGS=TRUE&amp;DOC_NAME=FAT:FQL_AUDITING_CLIENT_TEMPLATE.FAT&amp;display_string=Audit&amp;VAR:KEY=HKPIFQJMPO&amp;VAR:QUERY=RkZfRUJJVERBX0lCKCdMVE1TJywzODg0Nik=&amp;WINDOW=FIRST_POPUP&amp;HEIGHT=450&amp;WIDTH=450&amp;START_MA","XIMIZED=FALSE&amp;VAR:CALENDAR=US&amp;VAR:SYMBOL=N0098510&amp;VAR:INDEX=0"}</definedName>
    <definedName name="_6867__FDSAUDITLINK__" hidden="1">{"fdsup://directions/FAT Viewer?action=UPDATE&amp;creator=factset&amp;DYN_ARGS=TRUE&amp;DOC_NAME=FAT:FQL_AUDITING_CLIENT_TEMPLATE.FAT&amp;display_string=Audit&amp;VAR:KEY=HKPIFQJMPO&amp;VAR:QUERY=RkZfRUJJVERBX0lCKCdMVE1TJywzODg0Nik=&amp;WINDOW=FIRST_POPUP&amp;HEIGHT=450&amp;WIDTH=450&amp;START_MA","XIMIZED=FALSE&amp;VAR:CALENDAR=US&amp;VAR:SYMBOL=N0098510&amp;VAR:INDEX=0"}</definedName>
    <definedName name="_6868__FDSAUDITLINK__" localSheetId="6" hidden="1">{"fdsup://directions/FAT Viewer?action=UPDATE&amp;creator=factset&amp;DYN_ARGS=TRUE&amp;DOC_NAME=FAT:FQL_AUDITING_CLIENT_TEMPLATE.FAT&amp;display_string=Audit&amp;VAR:KEY=NOXWDURSPW&amp;VAR:QUERY=RkZfRUJJVERBX0lCKCdMVE1TJywzODg0NSk=&amp;WINDOW=FIRST_POPUP&amp;HEIGHT=450&amp;WIDTH=450&amp;START_MA","XIMIZED=FALSE&amp;VAR:CALENDAR=US&amp;VAR:SYMBOL=N0098510&amp;VAR:INDEX=0"}</definedName>
    <definedName name="_6868__FDSAUDITLINK__" hidden="1">{"fdsup://directions/FAT Viewer?action=UPDATE&amp;creator=factset&amp;DYN_ARGS=TRUE&amp;DOC_NAME=FAT:FQL_AUDITING_CLIENT_TEMPLATE.FAT&amp;display_string=Audit&amp;VAR:KEY=NOXWDURSPW&amp;VAR:QUERY=RkZfRUJJVERBX0lCKCdMVE1TJywzODg0NSk=&amp;WINDOW=FIRST_POPUP&amp;HEIGHT=450&amp;WIDTH=450&amp;START_MA","XIMIZED=FALSE&amp;VAR:CALENDAR=US&amp;VAR:SYMBOL=N0098510&amp;VAR:INDEX=0"}</definedName>
    <definedName name="_6869__FDSAUDITLINK__" localSheetId="6" hidden="1">{"fdsup://directions/FAT Viewer?action=UPDATE&amp;creator=factset&amp;DYN_ARGS=TRUE&amp;DOC_NAME=FAT:FQL_AUDITING_CLIENT_TEMPLATE.FAT&amp;display_string=Audit&amp;VAR:KEY=NMLWRYZSVG&amp;VAR:QUERY=RkZfRUJJVERBX0lCKCdMVE1TJywzODg0NCk=&amp;WINDOW=FIRST_POPUP&amp;HEIGHT=450&amp;WIDTH=450&amp;START_MA","XIMIZED=FALSE&amp;VAR:CALENDAR=US&amp;VAR:SYMBOL=N0098510&amp;VAR:INDEX=0"}</definedName>
    <definedName name="_6869__FDSAUDITLINK__" hidden="1">{"fdsup://directions/FAT Viewer?action=UPDATE&amp;creator=factset&amp;DYN_ARGS=TRUE&amp;DOC_NAME=FAT:FQL_AUDITING_CLIENT_TEMPLATE.FAT&amp;display_string=Audit&amp;VAR:KEY=NMLWRYZSVG&amp;VAR:QUERY=RkZfRUJJVERBX0lCKCdMVE1TJywzODg0NCk=&amp;WINDOW=FIRST_POPUP&amp;HEIGHT=450&amp;WIDTH=450&amp;START_MA","XIMIZED=FALSE&amp;VAR:CALENDAR=US&amp;VAR:SYMBOL=N0098510&amp;VAR:INDEX=0"}</definedName>
    <definedName name="_687__FDSAUDITLINK__" localSheetId="6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7__FDSAUDITLINK__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70__FDSAUDITLINK__" localSheetId="6" hidden="1">{"fdsup://directions/FAT Viewer?action=UPDATE&amp;creator=factset&amp;DYN_ARGS=TRUE&amp;DOC_NAME=FAT:FQL_AUDITING_CLIENT_TEMPLATE.FAT&amp;display_string=Audit&amp;VAR:KEY=FGRGPSZOXE&amp;VAR:QUERY=RkZfRUJJVERBX0lCKCdMVE1TJywzODg0Myk=&amp;WINDOW=FIRST_POPUP&amp;HEIGHT=450&amp;WIDTH=450&amp;START_MA","XIMIZED=FALSE&amp;VAR:CALENDAR=US&amp;VAR:SYMBOL=N0098510&amp;VAR:INDEX=0"}</definedName>
    <definedName name="_6870__FDSAUDITLINK__" hidden="1">{"fdsup://directions/FAT Viewer?action=UPDATE&amp;creator=factset&amp;DYN_ARGS=TRUE&amp;DOC_NAME=FAT:FQL_AUDITING_CLIENT_TEMPLATE.FAT&amp;display_string=Audit&amp;VAR:KEY=FGRGPSZOXE&amp;VAR:QUERY=RkZfRUJJVERBX0lCKCdMVE1TJywzODg0Myk=&amp;WINDOW=FIRST_POPUP&amp;HEIGHT=450&amp;WIDTH=450&amp;START_MA","XIMIZED=FALSE&amp;VAR:CALENDAR=US&amp;VAR:SYMBOL=N0098510&amp;VAR:INDEX=0"}</definedName>
    <definedName name="_6871__FDSAUDITLINK__" localSheetId="6" hidden="1">{"fdsup://directions/FAT Viewer?action=UPDATE&amp;creator=factset&amp;DYN_ARGS=TRUE&amp;DOC_NAME=FAT:FQL_AUDITING_CLIENT_TEMPLATE.FAT&amp;display_string=Audit&amp;VAR:KEY=TWTYLIBMXC&amp;VAR:QUERY=RkZfRUJJVERBX0lCKCdMVE1TJywzODg0Mik=&amp;WINDOW=FIRST_POPUP&amp;HEIGHT=450&amp;WIDTH=450&amp;START_MA","XIMIZED=FALSE&amp;VAR:CALENDAR=US&amp;VAR:SYMBOL=N0098510&amp;VAR:INDEX=0"}</definedName>
    <definedName name="_6871__FDSAUDITLINK__" hidden="1">{"fdsup://directions/FAT Viewer?action=UPDATE&amp;creator=factset&amp;DYN_ARGS=TRUE&amp;DOC_NAME=FAT:FQL_AUDITING_CLIENT_TEMPLATE.FAT&amp;display_string=Audit&amp;VAR:KEY=TWTYLIBMXC&amp;VAR:QUERY=RkZfRUJJVERBX0lCKCdMVE1TJywzODg0Mik=&amp;WINDOW=FIRST_POPUP&amp;HEIGHT=450&amp;WIDTH=450&amp;START_MA","XIMIZED=FALSE&amp;VAR:CALENDAR=US&amp;VAR:SYMBOL=N0098510&amp;VAR:INDEX=0"}</definedName>
    <definedName name="_6872__FDSAUDITLINK__" localSheetId="6" hidden="1">{"fdsup://directions/FAT Viewer?action=UPDATE&amp;creator=factset&amp;DYN_ARGS=TRUE&amp;DOC_NAME=FAT:FQL_AUDITING_CLIENT_TEMPLATE.FAT&amp;display_string=Audit&amp;VAR:KEY=TQBWPKJKNM&amp;VAR:QUERY=RkZfRUJJVERBX0lCKCdMVE1TJywzODg0MSk=&amp;WINDOW=FIRST_POPUP&amp;HEIGHT=450&amp;WIDTH=450&amp;START_MA","XIMIZED=FALSE&amp;VAR:CALENDAR=US&amp;VAR:SYMBOL=N0098510&amp;VAR:INDEX=0"}</definedName>
    <definedName name="_6872__FDSAUDITLINK__" hidden="1">{"fdsup://directions/FAT Viewer?action=UPDATE&amp;creator=factset&amp;DYN_ARGS=TRUE&amp;DOC_NAME=FAT:FQL_AUDITING_CLIENT_TEMPLATE.FAT&amp;display_string=Audit&amp;VAR:KEY=TQBWPKJKNM&amp;VAR:QUERY=RkZfRUJJVERBX0lCKCdMVE1TJywzODg0MSk=&amp;WINDOW=FIRST_POPUP&amp;HEIGHT=450&amp;WIDTH=450&amp;START_MA","XIMIZED=FALSE&amp;VAR:CALENDAR=US&amp;VAR:SYMBOL=N0098510&amp;VAR:INDEX=0"}</definedName>
    <definedName name="_6873__FDSAUDITLINK__" localSheetId="6" hidden="1">{"fdsup://directions/FAT Viewer?action=UPDATE&amp;creator=factset&amp;DYN_ARGS=TRUE&amp;DOC_NAME=FAT:FQL_AUDITING_CLIENT_TEMPLATE.FAT&amp;display_string=Audit&amp;VAR:KEY=FWPOBGFSFE&amp;VAR:QUERY=RkZfRUJJVERBX0lCKCdMVE1TJywzODg0MCk=&amp;WINDOW=FIRST_POPUP&amp;HEIGHT=450&amp;WIDTH=450&amp;START_MA","XIMIZED=FALSE&amp;VAR:CALENDAR=US&amp;VAR:SYMBOL=N0098510&amp;VAR:INDEX=0"}</definedName>
    <definedName name="_6873__FDSAUDITLINK__" hidden="1">{"fdsup://directions/FAT Viewer?action=UPDATE&amp;creator=factset&amp;DYN_ARGS=TRUE&amp;DOC_NAME=FAT:FQL_AUDITING_CLIENT_TEMPLATE.FAT&amp;display_string=Audit&amp;VAR:KEY=FWPOBGFSFE&amp;VAR:QUERY=RkZfRUJJVERBX0lCKCdMVE1TJywzODg0MCk=&amp;WINDOW=FIRST_POPUP&amp;HEIGHT=450&amp;WIDTH=450&amp;START_MA","XIMIZED=FALSE&amp;VAR:CALENDAR=US&amp;VAR:SYMBOL=N0098510&amp;VAR:INDEX=0"}</definedName>
    <definedName name="_6874__FDSAUDITLINK__" localSheetId="6" hidden="1">{"fdsup://directions/FAT Viewer?action=UPDATE&amp;creator=factset&amp;DYN_ARGS=TRUE&amp;DOC_NAME=FAT:FQL_AUDITING_CLIENT_TEMPLATE.FAT&amp;display_string=Audit&amp;VAR:KEY=RYTURWRKTK&amp;VAR:QUERY=RkZfRUJJVERBX0lCKCdMVE1TJywzODgzOSk=&amp;WINDOW=FIRST_POPUP&amp;HEIGHT=450&amp;WIDTH=450&amp;START_MA","XIMIZED=FALSE&amp;VAR:CALENDAR=US&amp;VAR:SYMBOL=N0098510&amp;VAR:INDEX=0"}</definedName>
    <definedName name="_6874__FDSAUDITLINK__" hidden="1">{"fdsup://directions/FAT Viewer?action=UPDATE&amp;creator=factset&amp;DYN_ARGS=TRUE&amp;DOC_NAME=FAT:FQL_AUDITING_CLIENT_TEMPLATE.FAT&amp;display_string=Audit&amp;VAR:KEY=RYTURWRKTK&amp;VAR:QUERY=RkZfRUJJVERBX0lCKCdMVE1TJywzODgzOSk=&amp;WINDOW=FIRST_POPUP&amp;HEIGHT=450&amp;WIDTH=450&amp;START_MA","XIMIZED=FALSE&amp;VAR:CALENDAR=US&amp;VAR:SYMBOL=N0098510&amp;VAR:INDEX=0"}</definedName>
    <definedName name="_6875__FDSAUDITLINK__" localSheetId="6" hidden="1">{"fdsup://directions/FAT Viewer?action=UPDATE&amp;creator=factset&amp;DYN_ARGS=TRUE&amp;DOC_NAME=FAT:FQL_AUDITING_CLIENT_TEMPLATE.FAT&amp;display_string=Audit&amp;VAR:KEY=HOPMPUHYHK&amp;VAR:QUERY=RkZfRUJJVERBX0lCKCdMVE1TJywzODgzOCk=&amp;WINDOW=FIRST_POPUP&amp;HEIGHT=450&amp;WIDTH=450&amp;START_MA","XIMIZED=FALSE&amp;VAR:CALENDAR=US&amp;VAR:SYMBOL=N0098510&amp;VAR:INDEX=0"}</definedName>
    <definedName name="_6875__FDSAUDITLINK__" hidden="1">{"fdsup://directions/FAT Viewer?action=UPDATE&amp;creator=factset&amp;DYN_ARGS=TRUE&amp;DOC_NAME=FAT:FQL_AUDITING_CLIENT_TEMPLATE.FAT&amp;display_string=Audit&amp;VAR:KEY=HOPMPUHYHK&amp;VAR:QUERY=RkZfRUJJVERBX0lCKCdMVE1TJywzODgzOCk=&amp;WINDOW=FIRST_POPUP&amp;HEIGHT=450&amp;WIDTH=450&amp;START_MA","XIMIZED=FALSE&amp;VAR:CALENDAR=US&amp;VAR:SYMBOL=N0098510&amp;VAR:INDEX=0"}</definedName>
    <definedName name="_6876__FDSAUDITLINK__" localSheetId="6" hidden="1">{"fdsup://directions/FAT Viewer?action=UPDATE&amp;creator=factset&amp;DYN_ARGS=TRUE&amp;DOC_NAME=FAT:FQL_AUDITING_CLIENT_TEMPLATE.FAT&amp;display_string=Audit&amp;VAR:KEY=RGFQZINIBE&amp;VAR:QUERY=RkZfRUJJVERBX0lCKCdMVE1TJywzODgzNyk=&amp;WINDOW=FIRST_POPUP&amp;HEIGHT=450&amp;WIDTH=450&amp;START_MA","XIMIZED=FALSE&amp;VAR:CALENDAR=US&amp;VAR:SYMBOL=N0098510&amp;VAR:INDEX=0"}</definedName>
    <definedName name="_6876__FDSAUDITLINK__" hidden="1">{"fdsup://directions/FAT Viewer?action=UPDATE&amp;creator=factset&amp;DYN_ARGS=TRUE&amp;DOC_NAME=FAT:FQL_AUDITING_CLIENT_TEMPLATE.FAT&amp;display_string=Audit&amp;VAR:KEY=RGFQZINIBE&amp;VAR:QUERY=RkZfRUJJVERBX0lCKCdMVE1TJywzODgzNyk=&amp;WINDOW=FIRST_POPUP&amp;HEIGHT=450&amp;WIDTH=450&amp;START_MA","XIMIZED=FALSE&amp;VAR:CALENDAR=US&amp;VAR:SYMBOL=N0098510&amp;VAR:INDEX=0"}</definedName>
    <definedName name="_6877__FDSAUDITLINK__" localSheetId="6" hidden="1">{"fdsup://directions/FAT Viewer?action=UPDATE&amp;creator=factset&amp;DYN_ARGS=TRUE&amp;DOC_NAME=FAT:FQL_AUDITING_CLIENT_TEMPLATE.FAT&amp;display_string=Audit&amp;VAR:KEY=FETUROXWNG&amp;VAR:QUERY=RkZfRUJJVERBX0lCKCdMVE1TJywzODgzNik=&amp;WINDOW=FIRST_POPUP&amp;HEIGHT=450&amp;WIDTH=450&amp;START_MA","XIMIZED=FALSE&amp;VAR:CALENDAR=US&amp;VAR:SYMBOL=N0098510&amp;VAR:INDEX=0"}</definedName>
    <definedName name="_6877__FDSAUDITLINK__" hidden="1">{"fdsup://directions/FAT Viewer?action=UPDATE&amp;creator=factset&amp;DYN_ARGS=TRUE&amp;DOC_NAME=FAT:FQL_AUDITING_CLIENT_TEMPLATE.FAT&amp;display_string=Audit&amp;VAR:KEY=FETUROXWNG&amp;VAR:QUERY=RkZfRUJJVERBX0lCKCdMVE1TJywzODgzNik=&amp;WINDOW=FIRST_POPUP&amp;HEIGHT=450&amp;WIDTH=450&amp;START_MA","XIMIZED=FALSE&amp;VAR:CALENDAR=US&amp;VAR:SYMBOL=N0098510&amp;VAR:INDEX=0"}</definedName>
    <definedName name="_6878__FDSAUDITLINK__" localSheetId="6" hidden="1">{"fdsup://directions/FAT Viewer?action=UPDATE&amp;creator=factset&amp;DYN_ARGS=TRUE&amp;DOC_NAME=FAT:FQL_AUDITING_CLIENT_TEMPLATE.FAT&amp;display_string=Audit&amp;VAR:KEY=DYNUBSNWFG&amp;VAR:QUERY=RkZfRUJJVERBX0lCKCdMVE1TJywzODgzNSk=&amp;WINDOW=FIRST_POPUP&amp;HEIGHT=450&amp;WIDTH=450&amp;START_MA","XIMIZED=FALSE&amp;VAR:CALENDAR=US&amp;VAR:SYMBOL=N0098510&amp;VAR:INDEX=0"}</definedName>
    <definedName name="_6878__FDSAUDITLINK__" hidden="1">{"fdsup://directions/FAT Viewer?action=UPDATE&amp;creator=factset&amp;DYN_ARGS=TRUE&amp;DOC_NAME=FAT:FQL_AUDITING_CLIENT_TEMPLATE.FAT&amp;display_string=Audit&amp;VAR:KEY=DYNUBSNWFG&amp;VAR:QUERY=RkZfRUJJVERBX0lCKCdMVE1TJywzODgzNSk=&amp;WINDOW=FIRST_POPUP&amp;HEIGHT=450&amp;WIDTH=450&amp;START_MA","XIMIZED=FALSE&amp;VAR:CALENDAR=US&amp;VAR:SYMBOL=N0098510&amp;VAR:INDEX=0"}</definedName>
    <definedName name="_6879__FDSAUDITLINK__" localSheetId="6" hidden="1">{"fdsup://directions/FAT Viewer?action=UPDATE&amp;creator=factset&amp;DYN_ARGS=TRUE&amp;DOC_NAME=FAT:FQL_AUDITING_CLIENT_TEMPLATE.FAT&amp;display_string=Audit&amp;VAR:KEY=ZWPCVOJGZW&amp;VAR:QUERY=RkZfRUJJVERBX0lCKCdMVE1TJywzODgzNCk=&amp;WINDOW=FIRST_POPUP&amp;HEIGHT=450&amp;WIDTH=450&amp;START_MA","XIMIZED=FALSE&amp;VAR:CALENDAR=US&amp;VAR:SYMBOL=N0098510&amp;VAR:INDEX=0"}</definedName>
    <definedName name="_6879__FDSAUDITLINK__" hidden="1">{"fdsup://directions/FAT Viewer?action=UPDATE&amp;creator=factset&amp;DYN_ARGS=TRUE&amp;DOC_NAME=FAT:FQL_AUDITING_CLIENT_TEMPLATE.FAT&amp;display_string=Audit&amp;VAR:KEY=ZWPCVOJGZW&amp;VAR:QUERY=RkZfRUJJVERBX0lCKCdMVE1TJywzODgzNCk=&amp;WINDOW=FIRST_POPUP&amp;HEIGHT=450&amp;WIDTH=450&amp;START_MA","XIMIZED=FALSE&amp;VAR:CALENDAR=US&amp;VAR:SYMBOL=N0098510&amp;VAR:INDEX=0"}</definedName>
    <definedName name="_688__FDSAUDITLINK__" localSheetId="6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8__FDSAUDITLINK__" hidden="1">{"fdsup://directions/FAT%20Viewer?VAR:PED=LTM&amp;VAR:AUDIT_MODE=SUMMARY&amp;VAR:PERIOD=FIXED&amp;VAR:AUDIT_ID=00000117&amp;VAR:DATE=20080404&amp;action=UPDATE&amp;creator=factset&amp;DOC_NAME=FAT:FMA_audit_SUMMARY.fat&amp;DISPLAY_STRING=Display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80__FDSAUDITLINK__" localSheetId="6" hidden="1">{"fdsup://directions/FAT Viewer?action=UPDATE&amp;creator=factset&amp;DYN_ARGS=TRUE&amp;DOC_NAME=FAT:FQL_AUDITING_CLIENT_TEMPLATE.FAT&amp;display_string=Audit&amp;VAR:KEY=RIDMZSJKRK&amp;VAR:QUERY=RkZfRUJJVERBX0lCKCdMVE1TJywzODgzMyk=&amp;WINDOW=FIRST_POPUP&amp;HEIGHT=450&amp;WIDTH=450&amp;START_MA","XIMIZED=FALSE&amp;VAR:CALENDAR=US&amp;VAR:SYMBOL=N0098510&amp;VAR:INDEX=0"}</definedName>
    <definedName name="_6880__FDSAUDITLINK__" hidden="1">{"fdsup://directions/FAT Viewer?action=UPDATE&amp;creator=factset&amp;DYN_ARGS=TRUE&amp;DOC_NAME=FAT:FQL_AUDITING_CLIENT_TEMPLATE.FAT&amp;display_string=Audit&amp;VAR:KEY=RIDMZSJKRK&amp;VAR:QUERY=RkZfRUJJVERBX0lCKCdMVE1TJywzODgzMyk=&amp;WINDOW=FIRST_POPUP&amp;HEIGHT=450&amp;WIDTH=450&amp;START_MA","XIMIZED=FALSE&amp;VAR:CALENDAR=US&amp;VAR:SYMBOL=N0098510&amp;VAR:INDEX=0"}</definedName>
    <definedName name="_6881__FDSAUDITLINK__" localSheetId="6" hidden="1">{"fdsup://directions/FAT Viewer?action=UPDATE&amp;creator=factset&amp;DYN_ARGS=TRUE&amp;DOC_NAME=FAT:FQL_AUDITING_CLIENT_TEMPLATE.FAT&amp;display_string=Audit&amp;VAR:KEY=REHUNKLGJM&amp;VAR:QUERY=RkZfRUJJVERBX0lCKCdMVE1TJywzODgzMik=&amp;WINDOW=FIRST_POPUP&amp;HEIGHT=450&amp;WIDTH=450&amp;START_MA","XIMIZED=FALSE&amp;VAR:CALENDAR=US&amp;VAR:SYMBOL=N0098510&amp;VAR:INDEX=0"}</definedName>
    <definedName name="_6881__FDSAUDITLINK__" hidden="1">{"fdsup://directions/FAT Viewer?action=UPDATE&amp;creator=factset&amp;DYN_ARGS=TRUE&amp;DOC_NAME=FAT:FQL_AUDITING_CLIENT_TEMPLATE.FAT&amp;display_string=Audit&amp;VAR:KEY=REHUNKLGJM&amp;VAR:QUERY=RkZfRUJJVERBX0lCKCdMVE1TJywzODgzMik=&amp;WINDOW=FIRST_POPUP&amp;HEIGHT=450&amp;WIDTH=450&amp;START_MA","XIMIZED=FALSE&amp;VAR:CALENDAR=US&amp;VAR:SYMBOL=N0098510&amp;VAR:INDEX=0"}</definedName>
    <definedName name="_6882__FDSAUDITLINK__" localSheetId="6" hidden="1">{"fdsup://directions/FAT Viewer?action=UPDATE&amp;creator=factset&amp;DYN_ARGS=TRUE&amp;DOC_NAME=FAT:FQL_AUDITING_CLIENT_TEMPLATE.FAT&amp;display_string=Audit&amp;VAR:KEY=XAPCXKXEJM&amp;VAR:QUERY=RkZfRUJJVERBX0lCKCdMVE1TJywzODgzMSk=&amp;WINDOW=FIRST_POPUP&amp;HEIGHT=450&amp;WIDTH=450&amp;START_MA","XIMIZED=FALSE&amp;VAR:CALENDAR=US&amp;VAR:SYMBOL=N0098510&amp;VAR:INDEX=0"}</definedName>
    <definedName name="_6882__FDSAUDITLINK__" hidden="1">{"fdsup://directions/FAT Viewer?action=UPDATE&amp;creator=factset&amp;DYN_ARGS=TRUE&amp;DOC_NAME=FAT:FQL_AUDITING_CLIENT_TEMPLATE.FAT&amp;display_string=Audit&amp;VAR:KEY=XAPCXKXEJM&amp;VAR:QUERY=RkZfRUJJVERBX0lCKCdMVE1TJywzODgzMSk=&amp;WINDOW=FIRST_POPUP&amp;HEIGHT=450&amp;WIDTH=450&amp;START_MA","XIMIZED=FALSE&amp;VAR:CALENDAR=US&amp;VAR:SYMBOL=N0098510&amp;VAR:INDEX=0"}</definedName>
    <definedName name="_6883__FDSAUDITLINK__" localSheetId="6" hidden="1">{"fdsup://directions/FAT Viewer?action=UPDATE&amp;creator=factset&amp;DYN_ARGS=TRUE&amp;DOC_NAME=FAT:FQL_AUDITING_CLIENT_TEMPLATE.FAT&amp;display_string=Audit&amp;VAR:KEY=NEXETMDYFC&amp;VAR:QUERY=RkZfRUJJVERBX0lCKCdMVE1TJywzODgzMCk=&amp;WINDOW=FIRST_POPUP&amp;HEIGHT=450&amp;WIDTH=450&amp;START_MA","XIMIZED=FALSE&amp;VAR:CALENDAR=US&amp;VAR:SYMBOL=N0098510&amp;VAR:INDEX=0"}</definedName>
    <definedName name="_6883__FDSAUDITLINK__" hidden="1">{"fdsup://directions/FAT Viewer?action=UPDATE&amp;creator=factset&amp;DYN_ARGS=TRUE&amp;DOC_NAME=FAT:FQL_AUDITING_CLIENT_TEMPLATE.FAT&amp;display_string=Audit&amp;VAR:KEY=NEXETMDYFC&amp;VAR:QUERY=RkZfRUJJVERBX0lCKCdMVE1TJywzODgzMCk=&amp;WINDOW=FIRST_POPUP&amp;HEIGHT=450&amp;WIDTH=450&amp;START_MA","XIMIZED=FALSE&amp;VAR:CALENDAR=US&amp;VAR:SYMBOL=N0098510&amp;VAR:INDEX=0"}</definedName>
    <definedName name="_6884__FDSAUDITLINK__" localSheetId="6" hidden="1">{"fdsup://directions/FAT Viewer?action=UPDATE&amp;creator=factset&amp;DYN_ARGS=TRUE&amp;DOC_NAME=FAT:FQL_AUDITING_CLIENT_TEMPLATE.FAT&amp;display_string=Audit&amp;VAR:KEY=NAHIPIZWXC&amp;VAR:QUERY=RkZfRUJJVERBX0lCKCdMVE1TJywzODgyOSk=&amp;WINDOW=FIRST_POPUP&amp;HEIGHT=450&amp;WIDTH=450&amp;START_MA","XIMIZED=FALSE&amp;VAR:CALENDAR=US&amp;VAR:SYMBOL=N0098510&amp;VAR:INDEX=0"}</definedName>
    <definedName name="_6884__FDSAUDITLINK__" hidden="1">{"fdsup://directions/FAT Viewer?action=UPDATE&amp;creator=factset&amp;DYN_ARGS=TRUE&amp;DOC_NAME=FAT:FQL_AUDITING_CLIENT_TEMPLATE.FAT&amp;display_string=Audit&amp;VAR:KEY=NAHIPIZWXC&amp;VAR:QUERY=RkZfRUJJVERBX0lCKCdMVE1TJywzODgyOSk=&amp;WINDOW=FIRST_POPUP&amp;HEIGHT=450&amp;WIDTH=450&amp;START_MA","XIMIZED=FALSE&amp;VAR:CALENDAR=US&amp;VAR:SYMBOL=N0098510&amp;VAR:INDEX=0"}</definedName>
    <definedName name="_6885__FDSAUDITLINK__" localSheetId="6" hidden="1">{"fdsup://directions/FAT Viewer?action=UPDATE&amp;creator=factset&amp;DYN_ARGS=TRUE&amp;DOC_NAME=FAT:FQL_AUDITING_CLIENT_TEMPLATE.FAT&amp;display_string=Audit&amp;VAR:KEY=XGLAFGTSDS&amp;VAR:QUERY=RkZfRUJJVERBX0lCKCdMVE1TJywzODgyOCk=&amp;WINDOW=FIRST_POPUP&amp;HEIGHT=450&amp;WIDTH=450&amp;START_MA","XIMIZED=FALSE&amp;VAR:CALENDAR=US&amp;VAR:SYMBOL=N0098510&amp;VAR:INDEX=0"}</definedName>
    <definedName name="_6885__FDSAUDITLINK__" hidden="1">{"fdsup://directions/FAT Viewer?action=UPDATE&amp;creator=factset&amp;DYN_ARGS=TRUE&amp;DOC_NAME=FAT:FQL_AUDITING_CLIENT_TEMPLATE.FAT&amp;display_string=Audit&amp;VAR:KEY=XGLAFGTSDS&amp;VAR:QUERY=RkZfRUJJVERBX0lCKCdMVE1TJywzODgyOCk=&amp;WINDOW=FIRST_POPUP&amp;HEIGHT=450&amp;WIDTH=450&amp;START_MA","XIMIZED=FALSE&amp;VAR:CALENDAR=US&amp;VAR:SYMBOL=N0098510&amp;VAR:INDEX=0"}</definedName>
    <definedName name="_6886__FDSAUDITLINK__" localSheetId="6" hidden="1">{"fdsup://directions/FAT Viewer?action=UPDATE&amp;creator=factset&amp;DYN_ARGS=TRUE&amp;DOC_NAME=FAT:FQL_AUDITING_CLIENT_TEMPLATE.FAT&amp;display_string=Audit&amp;VAR:KEY=RQJQVEPYPO&amp;VAR:QUERY=RkZfRUJJVERBX0lCKCdMVE1TJywzODgyNyk=&amp;WINDOW=FIRST_POPUP&amp;HEIGHT=450&amp;WIDTH=450&amp;START_MA","XIMIZED=FALSE&amp;VAR:CALENDAR=US&amp;VAR:SYMBOL=N0098510&amp;VAR:INDEX=0"}</definedName>
    <definedName name="_6886__FDSAUDITLINK__" hidden="1">{"fdsup://directions/FAT Viewer?action=UPDATE&amp;creator=factset&amp;DYN_ARGS=TRUE&amp;DOC_NAME=FAT:FQL_AUDITING_CLIENT_TEMPLATE.FAT&amp;display_string=Audit&amp;VAR:KEY=RQJQVEPYPO&amp;VAR:QUERY=RkZfRUJJVERBX0lCKCdMVE1TJywzODgyNyk=&amp;WINDOW=FIRST_POPUP&amp;HEIGHT=450&amp;WIDTH=450&amp;START_MA","XIMIZED=FALSE&amp;VAR:CALENDAR=US&amp;VAR:SYMBOL=N0098510&amp;VAR:INDEX=0"}</definedName>
    <definedName name="_6887__FDSAUDITLINK__" localSheetId="6" hidden="1">{"fdsup://directions/FAT Viewer?action=UPDATE&amp;creator=factset&amp;DYN_ARGS=TRUE&amp;DOC_NAME=FAT:FQL_AUDITING_CLIENT_TEMPLATE.FAT&amp;display_string=Audit&amp;VAR:KEY=DODCFSVWRK&amp;VAR:QUERY=RkZfRUJJVERBX0lCKCdMVE1TJywzODgyNik=&amp;WINDOW=FIRST_POPUP&amp;HEIGHT=450&amp;WIDTH=450&amp;START_MA","XIMIZED=FALSE&amp;VAR:CALENDAR=US&amp;VAR:SYMBOL=N0098510&amp;VAR:INDEX=0"}</definedName>
    <definedName name="_6887__FDSAUDITLINK__" hidden="1">{"fdsup://directions/FAT Viewer?action=UPDATE&amp;creator=factset&amp;DYN_ARGS=TRUE&amp;DOC_NAME=FAT:FQL_AUDITING_CLIENT_TEMPLATE.FAT&amp;display_string=Audit&amp;VAR:KEY=DODCFSVWRK&amp;VAR:QUERY=RkZfRUJJVERBX0lCKCdMVE1TJywzODgyNik=&amp;WINDOW=FIRST_POPUP&amp;HEIGHT=450&amp;WIDTH=450&amp;START_MA","XIMIZED=FALSE&amp;VAR:CALENDAR=US&amp;VAR:SYMBOL=N0098510&amp;VAR:INDEX=0"}</definedName>
    <definedName name="_6888__FDSAUDITLINK__" localSheetId="6" hidden="1">{"fdsup://directions/FAT Viewer?action=UPDATE&amp;creator=factset&amp;DYN_ARGS=TRUE&amp;DOC_NAME=FAT:FQL_AUDITING_CLIENT_TEMPLATE.FAT&amp;display_string=Audit&amp;VAR:KEY=RENCZCPYJU&amp;VAR:QUERY=RkZfRUJJVERBX0lCKCdMVE1TJywzODgyNSk=&amp;WINDOW=FIRST_POPUP&amp;HEIGHT=450&amp;WIDTH=450&amp;START_MA","XIMIZED=FALSE&amp;VAR:CALENDAR=US&amp;VAR:SYMBOL=N0098510&amp;VAR:INDEX=0"}</definedName>
    <definedName name="_6888__FDSAUDITLINK__" hidden="1">{"fdsup://directions/FAT Viewer?action=UPDATE&amp;creator=factset&amp;DYN_ARGS=TRUE&amp;DOC_NAME=FAT:FQL_AUDITING_CLIENT_TEMPLATE.FAT&amp;display_string=Audit&amp;VAR:KEY=RENCZCPYJU&amp;VAR:QUERY=RkZfRUJJVERBX0lCKCdMVE1TJywzODgyNSk=&amp;WINDOW=FIRST_POPUP&amp;HEIGHT=450&amp;WIDTH=450&amp;START_MA","XIMIZED=FALSE&amp;VAR:CALENDAR=US&amp;VAR:SYMBOL=N0098510&amp;VAR:INDEX=0"}</definedName>
    <definedName name="_6889__FDSAUDITLINK__" localSheetId="6" hidden="1">{"fdsup://directions/FAT Viewer?action=UPDATE&amp;creator=factset&amp;DYN_ARGS=TRUE&amp;DOC_NAME=FAT:FQL_AUDITING_CLIENT_TEMPLATE.FAT&amp;display_string=Audit&amp;VAR:KEY=XSLWFOBEHM&amp;VAR:QUERY=RkZfRUJJVERBX0lCKCdMVE1TJywzODgyNCk=&amp;WINDOW=FIRST_POPUP&amp;HEIGHT=450&amp;WIDTH=450&amp;START_MA","XIMIZED=FALSE&amp;VAR:CALENDAR=US&amp;VAR:SYMBOL=N0098510&amp;VAR:INDEX=0"}</definedName>
    <definedName name="_6889__FDSAUDITLINK__" hidden="1">{"fdsup://directions/FAT Viewer?action=UPDATE&amp;creator=factset&amp;DYN_ARGS=TRUE&amp;DOC_NAME=FAT:FQL_AUDITING_CLIENT_TEMPLATE.FAT&amp;display_string=Audit&amp;VAR:KEY=XSLWFOBEHM&amp;VAR:QUERY=RkZfRUJJVERBX0lCKCdMVE1TJywzODgyNCk=&amp;WINDOW=FIRST_POPUP&amp;HEIGHT=450&amp;WIDTH=450&amp;START_MA","XIMIZED=FALSE&amp;VAR:CALENDAR=US&amp;VAR:SYMBOL=N0098510&amp;VAR:INDEX=0"}</definedName>
    <definedName name="_689__FDSAUDITLINK__" localSheetId="6" hidden="1">{"fdsup://directions/FAT%20Viewer?VAR:PED=LTM&amp;VAR:AUDIT_MODE=SUMMARY&amp;VAR:PERIOD=FIXED&amp;VAR:AUDIT_ID=00000117&amp;VAR:DATE=20080403&amp;action=UPDATE&amp;creator=factset&amp;DOC_NAME=FAT:FMA_audit_SUMMARY.fat&amp;DISPLAY_STRING=Display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9__FDSAUDITLINK__" hidden="1">{"fdsup://directions/FAT%20Viewer?VAR:PED=LTM&amp;VAR:AUDIT_MODE=SUMMARY&amp;VAR:PERIOD=FIXED&amp;VAR:AUDIT_ID=00000117&amp;VAR:DATE=20080403&amp;action=UPDATE&amp;creator=factset&amp;DOC_NAME=FAT:FMA_audit_SUMMARY.fat&amp;DISPLAY_STRING=Display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890__FDSAUDITLINK__" localSheetId="6" hidden="1">{"fdsup://directions/FAT Viewer?action=UPDATE&amp;creator=factset&amp;DYN_ARGS=TRUE&amp;DOC_NAME=FAT:FQL_AUDITING_CLIENT_TEMPLATE.FAT&amp;display_string=Audit&amp;VAR:KEY=VGVUZSTCTW&amp;VAR:QUERY=RkZfRUJJVERBX0lCKCdMVE1TJywzODgyMyk=&amp;WINDOW=FIRST_POPUP&amp;HEIGHT=450&amp;WIDTH=450&amp;START_MA","XIMIZED=FALSE&amp;VAR:CALENDAR=US&amp;VAR:SYMBOL=N0098510&amp;VAR:INDEX=0"}</definedName>
    <definedName name="_6890__FDSAUDITLINK__" hidden="1">{"fdsup://directions/FAT Viewer?action=UPDATE&amp;creator=factset&amp;DYN_ARGS=TRUE&amp;DOC_NAME=FAT:FQL_AUDITING_CLIENT_TEMPLATE.FAT&amp;display_string=Audit&amp;VAR:KEY=VGVUZSTCTW&amp;VAR:QUERY=RkZfRUJJVERBX0lCKCdMVE1TJywzODgyMyk=&amp;WINDOW=FIRST_POPUP&amp;HEIGHT=450&amp;WIDTH=450&amp;START_MA","XIMIZED=FALSE&amp;VAR:CALENDAR=US&amp;VAR:SYMBOL=N0098510&amp;VAR:INDEX=0"}</definedName>
    <definedName name="_6891__FDSAUDITLINK__" localSheetId="6" hidden="1">{"fdsup://directions/FAT Viewer?action=UPDATE&amp;creator=factset&amp;DYN_ARGS=TRUE&amp;DOC_NAME=FAT:FQL_AUDITING_CLIENT_TEMPLATE.FAT&amp;display_string=Audit&amp;VAR:KEY=NGJQVULQTA&amp;VAR:QUERY=RkZfRUJJVERBX0lCKCdMVE1TJywzODgyMik=&amp;WINDOW=FIRST_POPUP&amp;HEIGHT=450&amp;WIDTH=450&amp;START_MA","XIMIZED=FALSE&amp;VAR:CALENDAR=US&amp;VAR:SYMBOL=N0098510&amp;VAR:INDEX=0"}</definedName>
    <definedName name="_6891__FDSAUDITLINK__" hidden="1">{"fdsup://directions/FAT Viewer?action=UPDATE&amp;creator=factset&amp;DYN_ARGS=TRUE&amp;DOC_NAME=FAT:FQL_AUDITING_CLIENT_TEMPLATE.FAT&amp;display_string=Audit&amp;VAR:KEY=NGJQVULQTA&amp;VAR:QUERY=RkZfRUJJVERBX0lCKCdMVE1TJywzODgyMik=&amp;WINDOW=FIRST_POPUP&amp;HEIGHT=450&amp;WIDTH=450&amp;START_MA","XIMIZED=FALSE&amp;VAR:CALENDAR=US&amp;VAR:SYMBOL=N0098510&amp;VAR:INDEX=0"}</definedName>
    <definedName name="_6892__FDSAUDITLINK__" localSheetId="6" hidden="1">{"fdsup://directions/FAT Viewer?action=UPDATE&amp;creator=factset&amp;DYN_ARGS=TRUE&amp;DOC_NAME=FAT:FQL_AUDITING_CLIENT_TEMPLATE.FAT&amp;display_string=Audit&amp;VAR:KEY=LALQPYDAHK&amp;VAR:QUERY=RkZfRUJJVERBX0lCKCdMVE1TJywzODgyMSk=&amp;WINDOW=FIRST_POPUP&amp;HEIGHT=450&amp;WIDTH=450&amp;START_MA","XIMIZED=FALSE&amp;VAR:CALENDAR=US&amp;VAR:SYMBOL=N0098510&amp;VAR:INDEX=0"}</definedName>
    <definedName name="_6892__FDSAUDITLINK__" hidden="1">{"fdsup://directions/FAT Viewer?action=UPDATE&amp;creator=factset&amp;DYN_ARGS=TRUE&amp;DOC_NAME=FAT:FQL_AUDITING_CLIENT_TEMPLATE.FAT&amp;display_string=Audit&amp;VAR:KEY=LALQPYDAHK&amp;VAR:QUERY=RkZfRUJJVERBX0lCKCdMVE1TJywzODgyMSk=&amp;WINDOW=FIRST_POPUP&amp;HEIGHT=450&amp;WIDTH=450&amp;START_MA","XIMIZED=FALSE&amp;VAR:CALENDAR=US&amp;VAR:SYMBOL=N0098510&amp;VAR:INDEX=0"}</definedName>
    <definedName name="_6893__FDSAUDITLINK__" localSheetId="6" hidden="1">{"fdsup://directions/FAT Viewer?action=UPDATE&amp;creator=factset&amp;DYN_ARGS=TRUE&amp;DOC_NAME=FAT:FQL_AUDITING_CLIENT_TEMPLATE.FAT&amp;display_string=Audit&amp;VAR:KEY=HQHCPOBKTS&amp;VAR:QUERY=RkZfRUJJVERBX0lCKCdMVE1TJywzODgyMCk=&amp;WINDOW=FIRST_POPUP&amp;HEIGHT=450&amp;WIDTH=450&amp;START_MA","XIMIZED=FALSE&amp;VAR:CALENDAR=US&amp;VAR:SYMBOL=N0098510&amp;VAR:INDEX=0"}</definedName>
    <definedName name="_6893__FDSAUDITLINK__" hidden="1">{"fdsup://directions/FAT Viewer?action=UPDATE&amp;creator=factset&amp;DYN_ARGS=TRUE&amp;DOC_NAME=FAT:FQL_AUDITING_CLIENT_TEMPLATE.FAT&amp;display_string=Audit&amp;VAR:KEY=HQHCPOBKTS&amp;VAR:QUERY=RkZfRUJJVERBX0lCKCdMVE1TJywzODgyMCk=&amp;WINDOW=FIRST_POPUP&amp;HEIGHT=450&amp;WIDTH=450&amp;START_MA","XIMIZED=FALSE&amp;VAR:CALENDAR=US&amp;VAR:SYMBOL=N0098510&amp;VAR:INDEX=0"}</definedName>
    <definedName name="_6894__FDSAUDITLINK__" localSheetId="6" hidden="1">{"fdsup://directions/FAT Viewer?action=UPDATE&amp;creator=factset&amp;DYN_ARGS=TRUE&amp;DOC_NAME=FAT:FQL_AUDITING_CLIENT_TEMPLATE.FAT&amp;display_string=Audit&amp;VAR:KEY=HWLONCXQRI&amp;VAR:QUERY=RkZfRUJJVERBX0lCKCdMVE1TJywzODgxOSk=&amp;WINDOW=FIRST_POPUP&amp;HEIGHT=450&amp;WIDTH=450&amp;START_MA","XIMIZED=FALSE&amp;VAR:CALENDAR=US&amp;VAR:SYMBOL=N0098510&amp;VAR:INDEX=0"}</definedName>
    <definedName name="_6894__FDSAUDITLINK__" hidden="1">{"fdsup://directions/FAT Viewer?action=UPDATE&amp;creator=factset&amp;DYN_ARGS=TRUE&amp;DOC_NAME=FAT:FQL_AUDITING_CLIENT_TEMPLATE.FAT&amp;display_string=Audit&amp;VAR:KEY=HWLONCXQRI&amp;VAR:QUERY=RkZfRUJJVERBX0lCKCdMVE1TJywzODgxOSk=&amp;WINDOW=FIRST_POPUP&amp;HEIGHT=450&amp;WIDTH=450&amp;START_MA","XIMIZED=FALSE&amp;VAR:CALENDAR=US&amp;VAR:SYMBOL=N0098510&amp;VAR:INDEX=0"}</definedName>
    <definedName name="_6895__FDSAUDITLINK__" localSheetId="6" hidden="1">{"fdsup://directions/FAT Viewer?action=UPDATE&amp;creator=factset&amp;DYN_ARGS=TRUE&amp;DOC_NAME=FAT:FQL_AUDITING_CLIENT_TEMPLATE.FAT&amp;display_string=Audit&amp;VAR:KEY=TINOLCBYHQ&amp;VAR:QUERY=RkZfRUJJVERBX0lCKCdMVE1TJywzODgxOCk=&amp;WINDOW=FIRST_POPUP&amp;HEIGHT=450&amp;WIDTH=450&amp;START_MA","XIMIZED=FALSE&amp;VAR:CALENDAR=US&amp;VAR:SYMBOL=N0098510&amp;VAR:INDEX=0"}</definedName>
    <definedName name="_6895__FDSAUDITLINK__" hidden="1">{"fdsup://directions/FAT Viewer?action=UPDATE&amp;creator=factset&amp;DYN_ARGS=TRUE&amp;DOC_NAME=FAT:FQL_AUDITING_CLIENT_TEMPLATE.FAT&amp;display_string=Audit&amp;VAR:KEY=TINOLCBYHQ&amp;VAR:QUERY=RkZfRUJJVERBX0lCKCdMVE1TJywzODgxOCk=&amp;WINDOW=FIRST_POPUP&amp;HEIGHT=450&amp;WIDTH=450&amp;START_MA","XIMIZED=FALSE&amp;VAR:CALENDAR=US&amp;VAR:SYMBOL=N0098510&amp;VAR:INDEX=0"}</definedName>
    <definedName name="_6896__FDSAUDITLINK__" localSheetId="6" hidden="1">{"fdsup://directions/FAT Viewer?action=UPDATE&amp;creator=factset&amp;DYN_ARGS=TRUE&amp;DOC_NAME=FAT:FQL_AUDITING_CLIENT_TEMPLATE.FAT&amp;display_string=Audit&amp;VAR:KEY=XQVYTATIFO&amp;VAR:QUERY=RkZfRUJJVERBX0lCKCdMVE1TJywzODgxNyk=&amp;WINDOW=FIRST_POPUP&amp;HEIGHT=450&amp;WIDTH=450&amp;START_MA","XIMIZED=FALSE&amp;VAR:CALENDAR=US&amp;VAR:SYMBOL=N0098510&amp;VAR:INDEX=0"}</definedName>
    <definedName name="_6896__FDSAUDITLINK__" hidden="1">{"fdsup://directions/FAT Viewer?action=UPDATE&amp;creator=factset&amp;DYN_ARGS=TRUE&amp;DOC_NAME=FAT:FQL_AUDITING_CLIENT_TEMPLATE.FAT&amp;display_string=Audit&amp;VAR:KEY=XQVYTATIFO&amp;VAR:QUERY=RkZfRUJJVERBX0lCKCdMVE1TJywzODgxNyk=&amp;WINDOW=FIRST_POPUP&amp;HEIGHT=450&amp;WIDTH=450&amp;START_MA","XIMIZED=FALSE&amp;VAR:CALENDAR=US&amp;VAR:SYMBOL=N0098510&amp;VAR:INDEX=0"}</definedName>
    <definedName name="_6897__FDSAUDITLINK__" localSheetId="6" hidden="1">{"fdsup://directions/FAT Viewer?action=UPDATE&amp;creator=factset&amp;DYN_ARGS=TRUE&amp;DOC_NAME=FAT:FQL_AUDITING_CLIENT_TEMPLATE.FAT&amp;display_string=Audit&amp;VAR:KEY=JUZSRAXAHW&amp;VAR:QUERY=RkZfRUJJVERBX0lCKCdMVE1TJywzODgxNik=&amp;WINDOW=FIRST_POPUP&amp;HEIGHT=450&amp;WIDTH=450&amp;START_MA","XIMIZED=FALSE&amp;VAR:CALENDAR=US&amp;VAR:SYMBOL=N0098510&amp;VAR:INDEX=0"}</definedName>
    <definedName name="_6897__FDSAUDITLINK__" hidden="1">{"fdsup://directions/FAT Viewer?action=UPDATE&amp;creator=factset&amp;DYN_ARGS=TRUE&amp;DOC_NAME=FAT:FQL_AUDITING_CLIENT_TEMPLATE.FAT&amp;display_string=Audit&amp;VAR:KEY=JUZSRAXAHW&amp;VAR:QUERY=RkZfRUJJVERBX0lCKCdMVE1TJywzODgxNik=&amp;WINDOW=FIRST_POPUP&amp;HEIGHT=450&amp;WIDTH=450&amp;START_MA","XIMIZED=FALSE&amp;VAR:CALENDAR=US&amp;VAR:SYMBOL=N0098510&amp;VAR:INDEX=0"}</definedName>
    <definedName name="_6898__FDSAUDITLINK__" localSheetId="6" hidden="1">{"fdsup://directions/FAT Viewer?action=UPDATE&amp;creator=factset&amp;DYN_ARGS=TRUE&amp;DOC_NAME=FAT:FQL_AUDITING_CLIENT_TEMPLATE.FAT&amp;display_string=Audit&amp;VAR:KEY=RQJKLMRELQ&amp;VAR:QUERY=RkZfRUJJVERBX0lCKCdMVE1TJywzODgxNSk=&amp;WINDOW=FIRST_POPUP&amp;HEIGHT=450&amp;WIDTH=450&amp;START_MA","XIMIZED=FALSE&amp;VAR:CALENDAR=US&amp;VAR:SYMBOL=N0098510&amp;VAR:INDEX=0"}</definedName>
    <definedName name="_6898__FDSAUDITLINK__" hidden="1">{"fdsup://directions/FAT Viewer?action=UPDATE&amp;creator=factset&amp;DYN_ARGS=TRUE&amp;DOC_NAME=FAT:FQL_AUDITING_CLIENT_TEMPLATE.FAT&amp;display_string=Audit&amp;VAR:KEY=RQJKLMRELQ&amp;VAR:QUERY=RkZfRUJJVERBX0lCKCdMVE1TJywzODgxNSk=&amp;WINDOW=FIRST_POPUP&amp;HEIGHT=450&amp;WIDTH=450&amp;START_MA","XIMIZED=FALSE&amp;VAR:CALENDAR=US&amp;VAR:SYMBOL=N0098510&amp;VAR:INDEX=0"}</definedName>
    <definedName name="_6899__FDSAUDITLINK__" localSheetId="6" hidden="1">{"fdsup://directions/FAT Viewer?action=UPDATE&amp;creator=factset&amp;DYN_ARGS=TRUE&amp;DOC_NAME=FAT:FQL_AUDITING_CLIENT_TEMPLATE.FAT&amp;display_string=Audit&amp;VAR:KEY=JIRADYHUFC&amp;VAR:QUERY=RkZfRUJJVERBX0lCKCdMVE1TJywzODgxNCk=&amp;WINDOW=FIRST_POPUP&amp;HEIGHT=450&amp;WIDTH=450&amp;START_MA","XIMIZED=FALSE&amp;VAR:CALENDAR=US&amp;VAR:SYMBOL=N0098510&amp;VAR:INDEX=0"}</definedName>
    <definedName name="_6899__FDSAUDITLINK__" hidden="1">{"fdsup://directions/FAT Viewer?action=UPDATE&amp;creator=factset&amp;DYN_ARGS=TRUE&amp;DOC_NAME=FAT:FQL_AUDITING_CLIENT_TEMPLATE.FAT&amp;display_string=Audit&amp;VAR:KEY=JIRADYHUFC&amp;VAR:QUERY=RkZfRUJJVERBX0lCKCdMVE1TJywzODgxNCk=&amp;WINDOW=FIRST_POPUP&amp;HEIGHT=450&amp;WIDTH=450&amp;START_MA","XIMIZED=FALSE&amp;VAR:CALENDAR=US&amp;VAR:SYMBOL=N0098510&amp;VAR:INDEX=0"}</definedName>
    <definedName name="_69__FDSAUDITLINK__" localSheetId="6" hidden="1">{"fdsup://directions/FAT Viewer?action=UPDATE&amp;creator=factset&amp;DYN_ARGS=TRUE&amp;DOC_NAME=FAT:FQL_AUDITING_CLIENT_TEMPLATE.FAT&amp;display_string=Audit&amp;VAR:KEY=VUJWNOHGFM&amp;VAR:QUERY=QVZHKENTRl9ORVRfSU5DKEFOTiwwRlksLTZGWSxZKSkgLyAoQVZHKENTRl9BU1NFVFMoQU5OLDBGWSwtNkZZL","EZZKSkgLSBBVkcoQ1NGX0lOVEFORyhBTk4sMCwtNkZZLEZZKSkp&amp;WINDOW=FIRST_POPUP&amp;HEIGHT=450&amp;WIDTH=450&amp;START_MAXIMIZED=FALSE&amp;VAR:CALENDAR=US&amp;VAR:SYMBOL=MINI"}</definedName>
    <definedName name="_69__FDSAUDITLINK__" hidden="1">{"fdsup://directions/FAT Viewer?action=UPDATE&amp;creator=factset&amp;DYN_ARGS=TRUE&amp;DOC_NAME=FAT:FQL_AUDITING_CLIENT_TEMPLATE.FAT&amp;display_string=Audit&amp;VAR:KEY=VUJWNOHGFM&amp;VAR:QUERY=QVZHKENTRl9ORVRfSU5DKEFOTiwwRlksLTZGWSxZKSkgLyAoQVZHKENTRl9BU1NFVFMoQU5OLDBGWSwtNkZZL","EZZKSkgLSBBVkcoQ1NGX0lOVEFORyhBTk4sMCwtNkZZLEZZKSkp&amp;WINDOW=FIRST_POPUP&amp;HEIGHT=450&amp;WIDTH=450&amp;START_MAXIMIZED=FALSE&amp;VAR:CALENDAR=US&amp;VAR:SYMBOL=MINI"}</definedName>
    <definedName name="_690__FDSAUDITLINK__" localSheetId="6" hidden="1">{"fdsup://directions/FAT%20Viewer?VAR:PED=LTM&amp;VAR:AUDIT_MODE=SUMMARY&amp;VAR:PERIOD=FIXED&amp;VAR:AUDIT_ID=00000117&amp;VAR:DATE=20080402&amp;action=UPDATE&amp;creator=factset&amp;DOC_NAME=FAT:FMA_audit_SUMMARY.fat&amp;DISPLAY_STRING=Display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0__FDSAUDITLINK__" hidden="1">{"fdsup://directions/FAT%20Viewer?VAR:PED=LTM&amp;VAR:AUDIT_MODE=SUMMARY&amp;VAR:PERIOD=FIXED&amp;VAR:AUDIT_ID=00000117&amp;VAR:DATE=20080402&amp;action=UPDATE&amp;creator=factset&amp;DOC_NAME=FAT:FMA_audit_SUMMARY.fat&amp;DISPLAY_STRING=Display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00__FDSAUDITLINK__" localSheetId="6" hidden="1">{"fdsup://directions/FAT Viewer?action=UPDATE&amp;creator=factset&amp;DYN_ARGS=TRUE&amp;DOC_NAME=FAT:FQL_AUDITING_CLIENT_TEMPLATE.FAT&amp;display_string=Audit&amp;VAR:KEY=ZKBUVANGNM&amp;VAR:QUERY=RkZfRUJJVERBX0lCKCdMVE1TJywzODgxMyk=&amp;WINDOW=FIRST_POPUP&amp;HEIGHT=450&amp;WIDTH=450&amp;START_MA","XIMIZED=FALSE&amp;VAR:CALENDAR=US&amp;VAR:SYMBOL=N0098510&amp;VAR:INDEX=0"}</definedName>
    <definedName name="_6900__FDSAUDITLINK__" hidden="1">{"fdsup://directions/FAT Viewer?action=UPDATE&amp;creator=factset&amp;DYN_ARGS=TRUE&amp;DOC_NAME=FAT:FQL_AUDITING_CLIENT_TEMPLATE.FAT&amp;display_string=Audit&amp;VAR:KEY=ZKBUVANGNM&amp;VAR:QUERY=RkZfRUJJVERBX0lCKCdMVE1TJywzODgxMyk=&amp;WINDOW=FIRST_POPUP&amp;HEIGHT=450&amp;WIDTH=450&amp;START_MA","XIMIZED=FALSE&amp;VAR:CALENDAR=US&amp;VAR:SYMBOL=N0098510&amp;VAR:INDEX=0"}</definedName>
    <definedName name="_6901__FDSAUDITLINK__" localSheetId="6" hidden="1">{"fdsup://directions/FAT Viewer?action=UPDATE&amp;creator=factset&amp;DYN_ARGS=TRUE&amp;DOC_NAME=FAT:FQL_AUDITING_CLIENT_TEMPLATE.FAT&amp;display_string=Audit&amp;VAR:KEY=PCXOBWDYPY&amp;VAR:QUERY=RkZfRUJJVERBX0lCKCdMVE1TJywzODgxMik=&amp;WINDOW=FIRST_POPUP&amp;HEIGHT=450&amp;WIDTH=450&amp;START_MA","XIMIZED=FALSE&amp;VAR:CALENDAR=US&amp;VAR:SYMBOL=N0098510&amp;VAR:INDEX=0"}</definedName>
    <definedName name="_6901__FDSAUDITLINK__" hidden="1">{"fdsup://directions/FAT Viewer?action=UPDATE&amp;creator=factset&amp;DYN_ARGS=TRUE&amp;DOC_NAME=FAT:FQL_AUDITING_CLIENT_TEMPLATE.FAT&amp;display_string=Audit&amp;VAR:KEY=PCXOBWDYPY&amp;VAR:QUERY=RkZfRUJJVERBX0lCKCdMVE1TJywzODgxMik=&amp;WINDOW=FIRST_POPUP&amp;HEIGHT=450&amp;WIDTH=450&amp;START_MA","XIMIZED=FALSE&amp;VAR:CALENDAR=US&amp;VAR:SYMBOL=N0098510&amp;VAR:INDEX=0"}</definedName>
    <definedName name="_6902__FDSAUDITLINK__" localSheetId="6" hidden="1">{"fdsup://directions/FAT Viewer?action=UPDATE&amp;creator=factset&amp;DYN_ARGS=TRUE&amp;DOC_NAME=FAT:FQL_AUDITING_CLIENT_TEMPLATE.FAT&amp;display_string=Audit&amp;VAR:KEY=PCTOVWNSLG&amp;VAR:QUERY=RkZfRUJJVERBX0lCKCdMVE1TJywzODgxMSk=&amp;WINDOW=FIRST_POPUP&amp;HEIGHT=450&amp;WIDTH=450&amp;START_MA","XIMIZED=FALSE&amp;VAR:CALENDAR=US&amp;VAR:SYMBOL=N0098510&amp;VAR:INDEX=0"}</definedName>
    <definedName name="_6902__FDSAUDITLINK__" hidden="1">{"fdsup://directions/FAT Viewer?action=UPDATE&amp;creator=factset&amp;DYN_ARGS=TRUE&amp;DOC_NAME=FAT:FQL_AUDITING_CLIENT_TEMPLATE.FAT&amp;display_string=Audit&amp;VAR:KEY=PCTOVWNSLG&amp;VAR:QUERY=RkZfRUJJVERBX0lCKCdMVE1TJywzODgxMSk=&amp;WINDOW=FIRST_POPUP&amp;HEIGHT=450&amp;WIDTH=450&amp;START_MA","XIMIZED=FALSE&amp;VAR:CALENDAR=US&amp;VAR:SYMBOL=N0098510&amp;VAR:INDEX=0"}</definedName>
    <definedName name="_6903__FDSAUDITLINK__" localSheetId="6" hidden="1">{"fdsup://directions/FAT Viewer?action=UPDATE&amp;creator=factset&amp;DYN_ARGS=TRUE&amp;DOC_NAME=FAT:FQL_AUDITING_CLIENT_TEMPLATE.FAT&amp;display_string=Audit&amp;VAR:KEY=LEHMXYDYRW&amp;VAR:QUERY=RkZfRUJJVERBX0lCKCdMVE1TJywzODgxMCk=&amp;WINDOW=FIRST_POPUP&amp;HEIGHT=450&amp;WIDTH=450&amp;START_MA","XIMIZED=FALSE&amp;VAR:CALENDAR=US&amp;VAR:SYMBOL=N0098510&amp;VAR:INDEX=0"}</definedName>
    <definedName name="_6903__FDSAUDITLINK__" hidden="1">{"fdsup://directions/FAT Viewer?action=UPDATE&amp;creator=factset&amp;DYN_ARGS=TRUE&amp;DOC_NAME=FAT:FQL_AUDITING_CLIENT_TEMPLATE.FAT&amp;display_string=Audit&amp;VAR:KEY=LEHMXYDYRW&amp;VAR:QUERY=RkZfRUJJVERBX0lCKCdMVE1TJywzODgxMCk=&amp;WINDOW=FIRST_POPUP&amp;HEIGHT=450&amp;WIDTH=450&amp;START_MA","XIMIZED=FALSE&amp;VAR:CALENDAR=US&amp;VAR:SYMBOL=N0098510&amp;VAR:INDEX=0"}</definedName>
    <definedName name="_6904__FDSAUDITLINK__" localSheetId="6" hidden="1">{"fdsup://directions/FAT Viewer?action=UPDATE&amp;creator=factset&amp;DYN_ARGS=TRUE&amp;DOC_NAME=FAT:FQL_AUDITING_CLIENT_TEMPLATE.FAT&amp;display_string=Audit&amp;VAR:KEY=FYFKTIPKNS&amp;VAR:QUERY=RkZfRUJJVERBX0lCKCdMVE1TJywzODgwOSk=&amp;WINDOW=FIRST_POPUP&amp;HEIGHT=450&amp;WIDTH=450&amp;START_MA","XIMIZED=FALSE&amp;VAR:CALENDAR=US&amp;VAR:SYMBOL=N0098510&amp;VAR:INDEX=0"}</definedName>
    <definedName name="_6904__FDSAUDITLINK__" hidden="1">{"fdsup://directions/FAT Viewer?action=UPDATE&amp;creator=factset&amp;DYN_ARGS=TRUE&amp;DOC_NAME=FAT:FQL_AUDITING_CLIENT_TEMPLATE.FAT&amp;display_string=Audit&amp;VAR:KEY=FYFKTIPKNS&amp;VAR:QUERY=RkZfRUJJVERBX0lCKCdMVE1TJywzODgwOSk=&amp;WINDOW=FIRST_POPUP&amp;HEIGHT=450&amp;WIDTH=450&amp;START_MA","XIMIZED=FALSE&amp;VAR:CALENDAR=US&amp;VAR:SYMBOL=N0098510&amp;VAR:INDEX=0"}</definedName>
    <definedName name="_6905__FDSAUDITLINK__" localSheetId="6" hidden="1">{"fdsup://directions/FAT Viewer?action=UPDATE&amp;creator=factset&amp;DYN_ARGS=TRUE&amp;DOC_NAME=FAT:FQL_AUDITING_CLIENT_TEMPLATE.FAT&amp;display_string=Audit&amp;VAR:KEY=RKTATSRMLE&amp;VAR:QUERY=RkZfRUJJVERBX0lCKCdMVE1TJywzODgwOCk=&amp;WINDOW=FIRST_POPUP&amp;HEIGHT=450&amp;WIDTH=450&amp;START_MA","XIMIZED=FALSE&amp;VAR:CALENDAR=US&amp;VAR:SYMBOL=N0098510&amp;VAR:INDEX=0"}</definedName>
    <definedName name="_6905__FDSAUDITLINK__" hidden="1">{"fdsup://directions/FAT Viewer?action=UPDATE&amp;creator=factset&amp;DYN_ARGS=TRUE&amp;DOC_NAME=FAT:FQL_AUDITING_CLIENT_TEMPLATE.FAT&amp;display_string=Audit&amp;VAR:KEY=RKTATSRMLE&amp;VAR:QUERY=RkZfRUJJVERBX0lCKCdMVE1TJywzODgwOCk=&amp;WINDOW=FIRST_POPUP&amp;HEIGHT=450&amp;WIDTH=450&amp;START_MA","XIMIZED=FALSE&amp;VAR:CALENDAR=US&amp;VAR:SYMBOL=N0098510&amp;VAR:INDEX=0"}</definedName>
    <definedName name="_6906__FDSAUDITLINK__" localSheetId="6" hidden="1">{"fdsup://directions/FAT Viewer?action=UPDATE&amp;creator=factset&amp;DYN_ARGS=TRUE&amp;DOC_NAME=FAT:FQL_AUDITING_CLIENT_TEMPLATE.FAT&amp;display_string=Audit&amp;VAR:KEY=ZCXSDUFAJS&amp;VAR:QUERY=RkZfRUJJVERBX0lCKCdMVE1TJywzODgwNyk=&amp;WINDOW=FIRST_POPUP&amp;HEIGHT=450&amp;WIDTH=450&amp;START_MA","XIMIZED=FALSE&amp;VAR:CALENDAR=US&amp;VAR:SYMBOL=N0098510&amp;VAR:INDEX=0"}</definedName>
    <definedName name="_6906__FDSAUDITLINK__" hidden="1">{"fdsup://directions/FAT Viewer?action=UPDATE&amp;creator=factset&amp;DYN_ARGS=TRUE&amp;DOC_NAME=FAT:FQL_AUDITING_CLIENT_TEMPLATE.FAT&amp;display_string=Audit&amp;VAR:KEY=ZCXSDUFAJS&amp;VAR:QUERY=RkZfRUJJVERBX0lCKCdMVE1TJywzODgwNyk=&amp;WINDOW=FIRST_POPUP&amp;HEIGHT=450&amp;WIDTH=450&amp;START_MA","XIMIZED=FALSE&amp;VAR:CALENDAR=US&amp;VAR:SYMBOL=N0098510&amp;VAR:INDEX=0"}</definedName>
    <definedName name="_6907__FDSAUDITLINK__" localSheetId="6" hidden="1">{"fdsup://directions/FAT Viewer?action=UPDATE&amp;creator=factset&amp;DYN_ARGS=TRUE&amp;DOC_NAME=FAT:FQL_AUDITING_CLIENT_TEMPLATE.FAT&amp;display_string=Audit&amp;VAR:KEY=PIZGDMJKPK&amp;VAR:QUERY=RkZfRUJJVERBX0lCKCdMVE1TJywzODgwNik=&amp;WINDOW=FIRST_POPUP&amp;HEIGHT=450&amp;WIDTH=450&amp;START_MA","XIMIZED=FALSE&amp;VAR:CALENDAR=US&amp;VAR:SYMBOL=N0098510&amp;VAR:INDEX=0"}</definedName>
    <definedName name="_6907__FDSAUDITLINK__" hidden="1">{"fdsup://directions/FAT Viewer?action=UPDATE&amp;creator=factset&amp;DYN_ARGS=TRUE&amp;DOC_NAME=FAT:FQL_AUDITING_CLIENT_TEMPLATE.FAT&amp;display_string=Audit&amp;VAR:KEY=PIZGDMJKPK&amp;VAR:QUERY=RkZfRUJJVERBX0lCKCdMVE1TJywzODgwNik=&amp;WINDOW=FIRST_POPUP&amp;HEIGHT=450&amp;WIDTH=450&amp;START_MA","XIMIZED=FALSE&amp;VAR:CALENDAR=US&amp;VAR:SYMBOL=N0098510&amp;VAR:INDEX=0"}</definedName>
    <definedName name="_6908__FDSAUDITLINK__" localSheetId="6" hidden="1">{"fdsup://directions/FAT Viewer?action=UPDATE&amp;creator=factset&amp;DYN_ARGS=TRUE&amp;DOC_NAME=FAT:FQL_AUDITING_CLIENT_TEMPLATE.FAT&amp;display_string=Audit&amp;VAR:KEY=DMDOLYJKXE&amp;VAR:QUERY=RkZfRUJJVERBX0lCKCdMVE1TJywzODgwNSk=&amp;WINDOW=FIRST_POPUP&amp;HEIGHT=450&amp;WIDTH=450&amp;START_MA","XIMIZED=FALSE&amp;VAR:CALENDAR=US&amp;VAR:SYMBOL=N0098510&amp;VAR:INDEX=0"}</definedName>
    <definedName name="_6908__FDSAUDITLINK__" hidden="1">{"fdsup://directions/FAT Viewer?action=UPDATE&amp;creator=factset&amp;DYN_ARGS=TRUE&amp;DOC_NAME=FAT:FQL_AUDITING_CLIENT_TEMPLATE.FAT&amp;display_string=Audit&amp;VAR:KEY=DMDOLYJKXE&amp;VAR:QUERY=RkZfRUJJVERBX0lCKCdMVE1TJywzODgwNSk=&amp;WINDOW=FIRST_POPUP&amp;HEIGHT=450&amp;WIDTH=450&amp;START_MA","XIMIZED=FALSE&amp;VAR:CALENDAR=US&amp;VAR:SYMBOL=N0098510&amp;VAR:INDEX=0"}</definedName>
    <definedName name="_6909__FDSAUDITLINK__" localSheetId="6" hidden="1">{"fdsup://directions/FAT Viewer?action=UPDATE&amp;creator=factset&amp;DYN_ARGS=TRUE&amp;DOC_NAME=FAT:FQL_AUDITING_CLIENT_TEMPLATE.FAT&amp;display_string=Audit&amp;VAR:KEY=TYZONKHGLM&amp;VAR:QUERY=RkZfRUJJVERBX0lCKCdMVE1TJywzODgwNCk=&amp;WINDOW=FIRST_POPUP&amp;HEIGHT=450&amp;WIDTH=450&amp;START_MA","XIMIZED=FALSE&amp;VAR:CALENDAR=US&amp;VAR:SYMBOL=N0098510&amp;VAR:INDEX=0"}</definedName>
    <definedName name="_6909__FDSAUDITLINK__" hidden="1">{"fdsup://directions/FAT Viewer?action=UPDATE&amp;creator=factset&amp;DYN_ARGS=TRUE&amp;DOC_NAME=FAT:FQL_AUDITING_CLIENT_TEMPLATE.FAT&amp;display_string=Audit&amp;VAR:KEY=TYZONKHGLM&amp;VAR:QUERY=RkZfRUJJVERBX0lCKCdMVE1TJywzODgwNCk=&amp;WINDOW=FIRST_POPUP&amp;HEIGHT=450&amp;WIDTH=450&amp;START_MA","XIMIZED=FALSE&amp;VAR:CALENDAR=US&amp;VAR:SYMBOL=N0098510&amp;VAR:INDEX=0"}</definedName>
    <definedName name="_691__FDSAUDITLINK__" localSheetId="6" hidden="1">{"fdsup://directions/FAT%20Viewer?VAR:PED=LTM&amp;VAR:AUDIT_MODE=SUMMARY&amp;VAR:PERIOD=FIXED&amp;VAR:AUDIT_ID=00000117&amp;VAR:DATE=20080401&amp;action=UPDATE&amp;creator=factset&amp;DOC_NAME=FAT:FMA_audit_SUMMARY.fat&amp;DISPLAY_STRING=Display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1__FDSAUDITLINK__" hidden="1">{"fdsup://directions/FAT%20Viewer?VAR:PED=LTM&amp;VAR:AUDIT_MODE=SUMMARY&amp;VAR:PERIOD=FIXED&amp;VAR:AUDIT_ID=00000117&amp;VAR:DATE=20080401&amp;action=UPDATE&amp;creator=factset&amp;DOC_NAME=FAT:FMA_audit_SUMMARY.fat&amp;DISPLAY_STRING=Display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10__FDSAUDITLINK__" localSheetId="6" hidden="1">{"fdsup://directions/FAT Viewer?action=UPDATE&amp;creator=factset&amp;DYN_ARGS=TRUE&amp;DOC_NAME=FAT:FQL_AUDITING_CLIENT_TEMPLATE.FAT&amp;display_string=Audit&amp;VAR:KEY=RCROPQHSJK&amp;VAR:QUERY=RkZfRUJJVERBX0lCKCdMVE1TJywzODgwMyk=&amp;WINDOW=FIRST_POPUP&amp;HEIGHT=450&amp;WIDTH=450&amp;START_MA","XIMIZED=FALSE&amp;VAR:CALENDAR=US&amp;VAR:SYMBOL=N0098510&amp;VAR:INDEX=0"}</definedName>
    <definedName name="_6910__FDSAUDITLINK__" hidden="1">{"fdsup://directions/FAT Viewer?action=UPDATE&amp;creator=factset&amp;DYN_ARGS=TRUE&amp;DOC_NAME=FAT:FQL_AUDITING_CLIENT_TEMPLATE.FAT&amp;display_string=Audit&amp;VAR:KEY=RCROPQHSJK&amp;VAR:QUERY=RkZfRUJJVERBX0lCKCdMVE1TJywzODgwMyk=&amp;WINDOW=FIRST_POPUP&amp;HEIGHT=450&amp;WIDTH=450&amp;START_MA","XIMIZED=FALSE&amp;VAR:CALENDAR=US&amp;VAR:SYMBOL=N0098510&amp;VAR:INDEX=0"}</definedName>
    <definedName name="_6911__FDSAUDITLINK__" localSheetId="6" hidden="1">{"fdsup://directions/FAT Viewer?action=UPDATE&amp;creator=factset&amp;DYN_ARGS=TRUE&amp;DOC_NAME=FAT:FQL_AUDITING_CLIENT_TEMPLATE.FAT&amp;display_string=Audit&amp;VAR:KEY=JMLADUBADO&amp;VAR:QUERY=RkZfRUJJVERBX0lCKCdMVE1TJywzODgwMik=&amp;WINDOW=FIRST_POPUP&amp;HEIGHT=450&amp;WIDTH=450&amp;START_MA","XIMIZED=FALSE&amp;VAR:CALENDAR=US&amp;VAR:SYMBOL=N0098510&amp;VAR:INDEX=0"}</definedName>
    <definedName name="_6911__FDSAUDITLINK__" hidden="1">{"fdsup://directions/FAT Viewer?action=UPDATE&amp;creator=factset&amp;DYN_ARGS=TRUE&amp;DOC_NAME=FAT:FQL_AUDITING_CLIENT_TEMPLATE.FAT&amp;display_string=Audit&amp;VAR:KEY=JMLADUBADO&amp;VAR:QUERY=RkZfRUJJVERBX0lCKCdMVE1TJywzODgwMik=&amp;WINDOW=FIRST_POPUP&amp;HEIGHT=450&amp;WIDTH=450&amp;START_MA","XIMIZED=FALSE&amp;VAR:CALENDAR=US&amp;VAR:SYMBOL=N0098510&amp;VAR:INDEX=0"}</definedName>
    <definedName name="_6912__FDSAUDITLINK__" localSheetId="6" hidden="1">{"fdsup://directions/FAT Viewer?action=UPDATE&amp;creator=factset&amp;DYN_ARGS=TRUE&amp;DOC_NAME=FAT:FQL_AUDITING_CLIENT_TEMPLATE.FAT&amp;display_string=Audit&amp;VAR:KEY=FQJGBQZQRC&amp;VAR:QUERY=RkZfRUJJVERBX0lCKCdMVE1TJywzODgwMSk=&amp;WINDOW=FIRST_POPUP&amp;HEIGHT=450&amp;WIDTH=450&amp;START_MA","XIMIZED=FALSE&amp;VAR:CALENDAR=US&amp;VAR:SYMBOL=N0098510&amp;VAR:INDEX=0"}</definedName>
    <definedName name="_6912__FDSAUDITLINK__" hidden="1">{"fdsup://directions/FAT Viewer?action=UPDATE&amp;creator=factset&amp;DYN_ARGS=TRUE&amp;DOC_NAME=FAT:FQL_AUDITING_CLIENT_TEMPLATE.FAT&amp;display_string=Audit&amp;VAR:KEY=FQJGBQZQRC&amp;VAR:QUERY=RkZfRUJJVERBX0lCKCdMVE1TJywzODgwMSk=&amp;WINDOW=FIRST_POPUP&amp;HEIGHT=450&amp;WIDTH=450&amp;START_MA","XIMIZED=FALSE&amp;VAR:CALENDAR=US&amp;VAR:SYMBOL=N0098510&amp;VAR:INDEX=0"}</definedName>
    <definedName name="_6913__FDSAUDITLINK__" localSheetId="6" hidden="1">{"fdsup://directions/FAT Viewer?action=UPDATE&amp;creator=factset&amp;DYN_ARGS=TRUE&amp;DOC_NAME=FAT:FQL_AUDITING_CLIENT_TEMPLATE.FAT&amp;display_string=Audit&amp;VAR:KEY=FIZIXQLSZI&amp;VAR:QUERY=RkZfRUJJVERBX0lCKCdMVE1TJywzODgwMCk=&amp;WINDOW=FIRST_POPUP&amp;HEIGHT=450&amp;WIDTH=450&amp;START_MA","XIMIZED=FALSE&amp;VAR:CALENDAR=US&amp;VAR:SYMBOL=N0098510&amp;VAR:INDEX=0"}</definedName>
    <definedName name="_6913__FDSAUDITLINK__" hidden="1">{"fdsup://directions/FAT Viewer?action=UPDATE&amp;creator=factset&amp;DYN_ARGS=TRUE&amp;DOC_NAME=FAT:FQL_AUDITING_CLIENT_TEMPLATE.FAT&amp;display_string=Audit&amp;VAR:KEY=FIZIXQLSZI&amp;VAR:QUERY=RkZfRUJJVERBX0lCKCdMVE1TJywzODgwMCk=&amp;WINDOW=FIRST_POPUP&amp;HEIGHT=450&amp;WIDTH=450&amp;START_MA","XIMIZED=FALSE&amp;VAR:CALENDAR=US&amp;VAR:SYMBOL=N0098510&amp;VAR:INDEX=0"}</definedName>
    <definedName name="_6914__FDSAUDITLINK__" localSheetId="6" hidden="1">{"fdsup://directions/FAT Viewer?action=UPDATE&amp;creator=factset&amp;DYN_ARGS=TRUE&amp;DOC_NAME=FAT:FQL_AUDITING_CLIENT_TEMPLATE.FAT&amp;display_string=Audit&amp;VAR:KEY=VUROFEJAJG&amp;VAR:QUERY=RkZfRUJJVERBX0lCKCdMVE1TJywzODc5OSk=&amp;WINDOW=FIRST_POPUP&amp;HEIGHT=450&amp;WIDTH=450&amp;START_MA","XIMIZED=FALSE&amp;VAR:CALENDAR=US&amp;VAR:SYMBOL=N0098510&amp;VAR:INDEX=0"}</definedName>
    <definedName name="_6914__FDSAUDITLINK__" hidden="1">{"fdsup://directions/FAT Viewer?action=UPDATE&amp;creator=factset&amp;DYN_ARGS=TRUE&amp;DOC_NAME=FAT:FQL_AUDITING_CLIENT_TEMPLATE.FAT&amp;display_string=Audit&amp;VAR:KEY=VUROFEJAJG&amp;VAR:QUERY=RkZfRUJJVERBX0lCKCdMVE1TJywzODc5OSk=&amp;WINDOW=FIRST_POPUP&amp;HEIGHT=450&amp;WIDTH=450&amp;START_MA","XIMIZED=FALSE&amp;VAR:CALENDAR=US&amp;VAR:SYMBOL=N0098510&amp;VAR:INDEX=0"}</definedName>
    <definedName name="_6915__FDSAUDITLINK__" localSheetId="6" hidden="1">{"fdsup://directions/FAT Viewer?action=UPDATE&amp;creator=factset&amp;DYN_ARGS=TRUE&amp;DOC_NAME=FAT:FQL_AUDITING_CLIENT_TEMPLATE.FAT&amp;display_string=Audit&amp;VAR:KEY=DKJYFQNONK&amp;VAR:QUERY=RkZfRUJJVERBX0lCKCdMVE1TJywzODc5OCk=&amp;WINDOW=FIRST_POPUP&amp;HEIGHT=450&amp;WIDTH=450&amp;START_MA","XIMIZED=FALSE&amp;VAR:CALENDAR=US&amp;VAR:SYMBOL=N0098510&amp;VAR:INDEX=0"}</definedName>
    <definedName name="_6915__FDSAUDITLINK__" hidden="1">{"fdsup://directions/FAT Viewer?action=UPDATE&amp;creator=factset&amp;DYN_ARGS=TRUE&amp;DOC_NAME=FAT:FQL_AUDITING_CLIENT_TEMPLATE.FAT&amp;display_string=Audit&amp;VAR:KEY=DKJYFQNONK&amp;VAR:QUERY=RkZfRUJJVERBX0lCKCdMVE1TJywzODc5OCk=&amp;WINDOW=FIRST_POPUP&amp;HEIGHT=450&amp;WIDTH=450&amp;START_MA","XIMIZED=FALSE&amp;VAR:CALENDAR=US&amp;VAR:SYMBOL=N0098510&amp;VAR:INDEX=0"}</definedName>
    <definedName name="_6916__FDSAUDITLINK__" localSheetId="6" hidden="1">{"fdsup://directions/FAT Viewer?action=UPDATE&amp;creator=factset&amp;DYN_ARGS=TRUE&amp;DOC_NAME=FAT:FQL_AUDITING_CLIENT_TEMPLATE.FAT&amp;display_string=Audit&amp;VAR:KEY=DKVQRKXYXS&amp;VAR:QUERY=RkZfRUJJVERBX0lCKCdMVE1TJywzODc5Nyk=&amp;WINDOW=FIRST_POPUP&amp;HEIGHT=450&amp;WIDTH=450&amp;START_MA","XIMIZED=FALSE&amp;VAR:CALENDAR=US&amp;VAR:SYMBOL=N0098510&amp;VAR:INDEX=0"}</definedName>
    <definedName name="_6916__FDSAUDITLINK__" hidden="1">{"fdsup://directions/FAT Viewer?action=UPDATE&amp;creator=factset&amp;DYN_ARGS=TRUE&amp;DOC_NAME=FAT:FQL_AUDITING_CLIENT_TEMPLATE.FAT&amp;display_string=Audit&amp;VAR:KEY=DKVQRKXYXS&amp;VAR:QUERY=RkZfRUJJVERBX0lCKCdMVE1TJywzODc5Nyk=&amp;WINDOW=FIRST_POPUP&amp;HEIGHT=450&amp;WIDTH=450&amp;START_MA","XIMIZED=FALSE&amp;VAR:CALENDAR=US&amp;VAR:SYMBOL=N0098510&amp;VAR:INDEX=0"}</definedName>
    <definedName name="_6917__FDSAUDITLINK__" localSheetId="6" hidden="1">{"fdsup://directions/FAT Viewer?action=UPDATE&amp;creator=factset&amp;DYN_ARGS=TRUE&amp;DOC_NAME=FAT:FQL_AUDITING_CLIENT_TEMPLATE.FAT&amp;display_string=Audit&amp;VAR:KEY=FCVAHAHQZC&amp;VAR:QUERY=RkZfRUJJVERBX0lCKCdMVE1TJywzODc5Nik=&amp;WINDOW=FIRST_POPUP&amp;HEIGHT=450&amp;WIDTH=450&amp;START_MA","XIMIZED=FALSE&amp;VAR:CALENDAR=US&amp;VAR:SYMBOL=N0098510&amp;VAR:INDEX=0"}</definedName>
    <definedName name="_6917__FDSAUDITLINK__" hidden="1">{"fdsup://directions/FAT Viewer?action=UPDATE&amp;creator=factset&amp;DYN_ARGS=TRUE&amp;DOC_NAME=FAT:FQL_AUDITING_CLIENT_TEMPLATE.FAT&amp;display_string=Audit&amp;VAR:KEY=FCVAHAHQZC&amp;VAR:QUERY=RkZfRUJJVERBX0lCKCdMVE1TJywzODc5Nik=&amp;WINDOW=FIRST_POPUP&amp;HEIGHT=450&amp;WIDTH=450&amp;START_MA","XIMIZED=FALSE&amp;VAR:CALENDAR=US&amp;VAR:SYMBOL=N0098510&amp;VAR:INDEX=0"}</definedName>
    <definedName name="_6918__FDSAUDITLINK__" localSheetId="6" hidden="1">{"fdsup://directions/FAT Viewer?action=UPDATE&amp;creator=factset&amp;DYN_ARGS=TRUE&amp;DOC_NAME=FAT:FQL_AUDITING_CLIENT_TEMPLATE.FAT&amp;display_string=Audit&amp;VAR:KEY=FEZOLOHADK&amp;VAR:QUERY=RkZfRUJJVERBX0lCKCdMVE1TJywzODc5NSk=&amp;WINDOW=FIRST_POPUP&amp;HEIGHT=450&amp;WIDTH=450&amp;START_MA","XIMIZED=FALSE&amp;VAR:CALENDAR=US&amp;VAR:SYMBOL=N0098510&amp;VAR:INDEX=0"}</definedName>
    <definedName name="_6918__FDSAUDITLINK__" hidden="1">{"fdsup://directions/FAT Viewer?action=UPDATE&amp;creator=factset&amp;DYN_ARGS=TRUE&amp;DOC_NAME=FAT:FQL_AUDITING_CLIENT_TEMPLATE.FAT&amp;display_string=Audit&amp;VAR:KEY=FEZOLOHADK&amp;VAR:QUERY=RkZfRUJJVERBX0lCKCdMVE1TJywzODc5NSk=&amp;WINDOW=FIRST_POPUP&amp;HEIGHT=450&amp;WIDTH=450&amp;START_MA","XIMIZED=FALSE&amp;VAR:CALENDAR=US&amp;VAR:SYMBOL=N0098510&amp;VAR:INDEX=0"}</definedName>
    <definedName name="_6919__FDSAUDITLINK__" localSheetId="6" hidden="1">{"fdsup://directions/FAT Viewer?action=UPDATE&amp;creator=factset&amp;DYN_ARGS=TRUE&amp;DOC_NAME=FAT:FQL_AUDITING_CLIENT_TEMPLATE.FAT&amp;display_string=Audit&amp;VAR:KEY=LQVKBYXAFK&amp;VAR:QUERY=RkZfRUJJVERBX0lCKCdMVE1TJywzODc5NCk=&amp;WINDOW=FIRST_POPUP&amp;HEIGHT=450&amp;WIDTH=450&amp;START_MA","XIMIZED=FALSE&amp;VAR:CALENDAR=US&amp;VAR:SYMBOL=N0098510&amp;VAR:INDEX=0"}</definedName>
    <definedName name="_6919__FDSAUDITLINK__" hidden="1">{"fdsup://directions/FAT Viewer?action=UPDATE&amp;creator=factset&amp;DYN_ARGS=TRUE&amp;DOC_NAME=FAT:FQL_AUDITING_CLIENT_TEMPLATE.FAT&amp;display_string=Audit&amp;VAR:KEY=LQVKBYXAFK&amp;VAR:QUERY=RkZfRUJJVERBX0lCKCdMVE1TJywzODc5NCk=&amp;WINDOW=FIRST_POPUP&amp;HEIGHT=450&amp;WIDTH=450&amp;START_MA","XIMIZED=FALSE&amp;VAR:CALENDAR=US&amp;VAR:SYMBOL=N0098510&amp;VAR:INDEX=0"}</definedName>
    <definedName name="_692__FDSAUDITLINK__" localSheetId="6" hidden="1">{"fdsup://directions/FAT%20Viewer?VAR:PED=LTM&amp;VAR:AUDIT_MODE=SUMMARY&amp;VAR:PERIOD=FIXED&amp;VAR:AUDIT_ID=00000117&amp;VAR:DATE=20080331&amp;action=UPDATE&amp;creator=factset&amp;DOC_NAME=FAT:FMA_audit_SUMMARY.fat&amp;DISPLAY_STRING=Display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2__FDSAUDITLINK__" hidden="1">{"fdsup://directions/FAT%20Viewer?VAR:PED=LTM&amp;VAR:AUDIT_MODE=SUMMARY&amp;VAR:PERIOD=FIXED&amp;VAR:AUDIT_ID=00000117&amp;VAR:DATE=20080331&amp;action=UPDATE&amp;creator=factset&amp;DOC_NAME=FAT:FMA_audit_SUMMARY.fat&amp;DISPLAY_STRING=Display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EBITDA&amp;VAR:CHGPERIOD=NA&amp;VAR:FQLFORMULA=FMA_EVAL_EBITDA&amp;VAR:CURRENCY=NA&amp;VAR:P=NA&amp;VAR:V=10.2","96655&amp;VAR:null=.html"}</definedName>
    <definedName name="_6920__FDSAUDITLINK__" localSheetId="6" hidden="1">{"fdsup://directions/FAT Viewer?action=UPDATE&amp;creator=factset&amp;DYN_ARGS=TRUE&amp;DOC_NAME=FAT:FQL_AUDITING_CLIENT_TEMPLATE.FAT&amp;display_string=Audit&amp;VAR:KEY=PSNKZMVYDQ&amp;VAR:QUERY=RkZfRUJJVERBX0lCKCdMVE1TJywzODc5Myk=&amp;WINDOW=FIRST_POPUP&amp;HEIGHT=450&amp;WIDTH=450&amp;START_MA","XIMIZED=FALSE&amp;VAR:CALENDAR=US&amp;VAR:SYMBOL=N0098510&amp;VAR:INDEX=0"}</definedName>
    <definedName name="_6920__FDSAUDITLINK__" hidden="1">{"fdsup://directions/FAT Viewer?action=UPDATE&amp;creator=factset&amp;DYN_ARGS=TRUE&amp;DOC_NAME=FAT:FQL_AUDITING_CLIENT_TEMPLATE.FAT&amp;display_string=Audit&amp;VAR:KEY=PSNKZMVYDQ&amp;VAR:QUERY=RkZfRUJJVERBX0lCKCdMVE1TJywzODc5Myk=&amp;WINDOW=FIRST_POPUP&amp;HEIGHT=450&amp;WIDTH=450&amp;START_MA","XIMIZED=FALSE&amp;VAR:CALENDAR=US&amp;VAR:SYMBOL=N0098510&amp;VAR:INDEX=0"}</definedName>
    <definedName name="_6921__FDSAUDITLINK__" localSheetId="6" hidden="1">{"fdsup://directions/FAT Viewer?action=UPDATE&amp;creator=factset&amp;DYN_ARGS=TRUE&amp;DOC_NAME=FAT:FQL_AUDITING_CLIENT_TEMPLATE.FAT&amp;display_string=Audit&amp;VAR:KEY=ZOTMPGRSZS&amp;VAR:QUERY=RkZfRUJJVERBX0lCKCdMVE1TJywzODc5Mik=&amp;WINDOW=FIRST_POPUP&amp;HEIGHT=450&amp;WIDTH=450&amp;START_MA","XIMIZED=FALSE&amp;VAR:CALENDAR=US&amp;VAR:SYMBOL=N0098510&amp;VAR:INDEX=0"}</definedName>
    <definedName name="_6921__FDSAUDITLINK__" hidden="1">{"fdsup://directions/FAT Viewer?action=UPDATE&amp;creator=factset&amp;DYN_ARGS=TRUE&amp;DOC_NAME=FAT:FQL_AUDITING_CLIENT_TEMPLATE.FAT&amp;display_string=Audit&amp;VAR:KEY=ZOTMPGRSZS&amp;VAR:QUERY=RkZfRUJJVERBX0lCKCdMVE1TJywzODc5Mik=&amp;WINDOW=FIRST_POPUP&amp;HEIGHT=450&amp;WIDTH=450&amp;START_MA","XIMIZED=FALSE&amp;VAR:CALENDAR=US&amp;VAR:SYMBOL=N0098510&amp;VAR:INDEX=0"}</definedName>
    <definedName name="_6922__FDSAUDITLINK__" localSheetId="6" hidden="1">{"fdsup://directions/FAT Viewer?action=UPDATE&amp;creator=factset&amp;DYN_ARGS=TRUE&amp;DOC_NAME=FAT:FQL_AUDITING_CLIENT_TEMPLATE.FAT&amp;display_string=Audit&amp;VAR:KEY=JEJMRODGJY&amp;VAR:QUERY=RkZfRUJJVERBX0lCKCdMVE1TJywzODc5MSk=&amp;WINDOW=FIRST_POPUP&amp;HEIGHT=450&amp;WIDTH=450&amp;START_MA","XIMIZED=FALSE&amp;VAR:CALENDAR=US&amp;VAR:SYMBOL=N0098510&amp;VAR:INDEX=0"}</definedName>
    <definedName name="_6922__FDSAUDITLINK__" hidden="1">{"fdsup://directions/FAT Viewer?action=UPDATE&amp;creator=factset&amp;DYN_ARGS=TRUE&amp;DOC_NAME=FAT:FQL_AUDITING_CLIENT_TEMPLATE.FAT&amp;display_string=Audit&amp;VAR:KEY=JEJMRODGJY&amp;VAR:QUERY=RkZfRUJJVERBX0lCKCdMVE1TJywzODc5MSk=&amp;WINDOW=FIRST_POPUP&amp;HEIGHT=450&amp;WIDTH=450&amp;START_MA","XIMIZED=FALSE&amp;VAR:CALENDAR=US&amp;VAR:SYMBOL=N0098510&amp;VAR:INDEX=0"}</definedName>
    <definedName name="_6923__FDSAUDITLINK__" localSheetId="6" hidden="1">{"fdsup://directions/FAT Viewer?action=UPDATE&amp;creator=factset&amp;DYN_ARGS=TRUE&amp;DOC_NAME=FAT:FQL_AUDITING_CLIENT_TEMPLATE.FAT&amp;display_string=Audit&amp;VAR:KEY=HWRIRWXMZK&amp;VAR:QUERY=RkZfRUJJVERBX0lCKCdMVE1TJywzODc5MCk=&amp;WINDOW=FIRST_POPUP&amp;HEIGHT=450&amp;WIDTH=450&amp;START_MA","XIMIZED=FALSE&amp;VAR:CALENDAR=US&amp;VAR:SYMBOL=N0098510&amp;VAR:INDEX=0"}</definedName>
    <definedName name="_6923__FDSAUDITLINK__" hidden="1">{"fdsup://directions/FAT Viewer?action=UPDATE&amp;creator=factset&amp;DYN_ARGS=TRUE&amp;DOC_NAME=FAT:FQL_AUDITING_CLIENT_TEMPLATE.FAT&amp;display_string=Audit&amp;VAR:KEY=HWRIRWXMZK&amp;VAR:QUERY=RkZfRUJJVERBX0lCKCdMVE1TJywzODc5MCk=&amp;WINDOW=FIRST_POPUP&amp;HEIGHT=450&amp;WIDTH=450&amp;START_MA","XIMIZED=FALSE&amp;VAR:CALENDAR=US&amp;VAR:SYMBOL=N0098510&amp;VAR:INDEX=0"}</definedName>
    <definedName name="_6924__FDSAUDITLINK__" localSheetId="6" hidden="1">{"fdsup://directions/FAT Viewer?action=UPDATE&amp;creator=factset&amp;DYN_ARGS=TRUE&amp;DOC_NAME=FAT:FQL_AUDITING_CLIENT_TEMPLATE.FAT&amp;display_string=Audit&amp;VAR:KEY=JGJENMTOLQ&amp;VAR:QUERY=RkZfRUJJVERBX0lCKCdMVE1TJywzODc4OSk=&amp;WINDOW=FIRST_POPUP&amp;HEIGHT=450&amp;WIDTH=450&amp;START_MA","XIMIZED=FALSE&amp;VAR:CALENDAR=US&amp;VAR:SYMBOL=N0098510&amp;VAR:INDEX=0"}</definedName>
    <definedName name="_6924__FDSAUDITLINK__" hidden="1">{"fdsup://directions/FAT Viewer?action=UPDATE&amp;creator=factset&amp;DYN_ARGS=TRUE&amp;DOC_NAME=FAT:FQL_AUDITING_CLIENT_TEMPLATE.FAT&amp;display_string=Audit&amp;VAR:KEY=JGJENMTOLQ&amp;VAR:QUERY=RkZfRUJJVERBX0lCKCdMVE1TJywzODc4OSk=&amp;WINDOW=FIRST_POPUP&amp;HEIGHT=450&amp;WIDTH=450&amp;START_MA","XIMIZED=FALSE&amp;VAR:CALENDAR=US&amp;VAR:SYMBOL=N0098510&amp;VAR:INDEX=0"}</definedName>
    <definedName name="_6925__FDSAUDITLINK__" localSheetId="6" hidden="1">{"fdsup://directions/FAT Viewer?action=UPDATE&amp;creator=factset&amp;DYN_ARGS=TRUE&amp;DOC_NAME=FAT:FQL_AUDITING_CLIENT_TEMPLATE.FAT&amp;display_string=Audit&amp;VAR:KEY=RSTIHKRADS&amp;VAR:QUERY=RkZfRUJJVERBX0lCKCdMVE1TJywzODc4OCk=&amp;WINDOW=FIRST_POPUP&amp;HEIGHT=450&amp;WIDTH=450&amp;START_MA","XIMIZED=FALSE&amp;VAR:CALENDAR=US&amp;VAR:SYMBOL=N0098510&amp;VAR:INDEX=0"}</definedName>
    <definedName name="_6925__FDSAUDITLINK__" hidden="1">{"fdsup://directions/FAT Viewer?action=UPDATE&amp;creator=factset&amp;DYN_ARGS=TRUE&amp;DOC_NAME=FAT:FQL_AUDITING_CLIENT_TEMPLATE.FAT&amp;display_string=Audit&amp;VAR:KEY=RSTIHKRADS&amp;VAR:QUERY=RkZfRUJJVERBX0lCKCdMVE1TJywzODc4OCk=&amp;WINDOW=FIRST_POPUP&amp;HEIGHT=450&amp;WIDTH=450&amp;START_MA","XIMIZED=FALSE&amp;VAR:CALENDAR=US&amp;VAR:SYMBOL=N0098510&amp;VAR:INDEX=0"}</definedName>
    <definedName name="_6926__FDSAUDITLINK__" localSheetId="6" hidden="1">{"fdsup://directions/FAT Viewer?action=UPDATE&amp;creator=factset&amp;DYN_ARGS=TRUE&amp;DOC_NAME=FAT:FQL_AUDITING_CLIENT_TEMPLATE.FAT&amp;display_string=Audit&amp;VAR:KEY=LUPKBMDGRA&amp;VAR:QUERY=RkZfRUJJVERBX0lCKCdMVE1TJywzODc4Nyk=&amp;WINDOW=FIRST_POPUP&amp;HEIGHT=450&amp;WIDTH=450&amp;START_MA","XIMIZED=FALSE&amp;VAR:CALENDAR=US&amp;VAR:SYMBOL=N0098510&amp;VAR:INDEX=0"}</definedName>
    <definedName name="_6926__FDSAUDITLINK__" hidden="1">{"fdsup://directions/FAT Viewer?action=UPDATE&amp;creator=factset&amp;DYN_ARGS=TRUE&amp;DOC_NAME=FAT:FQL_AUDITING_CLIENT_TEMPLATE.FAT&amp;display_string=Audit&amp;VAR:KEY=LUPKBMDGRA&amp;VAR:QUERY=RkZfRUJJVERBX0lCKCdMVE1TJywzODc4Nyk=&amp;WINDOW=FIRST_POPUP&amp;HEIGHT=450&amp;WIDTH=450&amp;START_MA","XIMIZED=FALSE&amp;VAR:CALENDAR=US&amp;VAR:SYMBOL=N0098510&amp;VAR:INDEX=0"}</definedName>
    <definedName name="_6927__FDSAUDITLINK__" localSheetId="6" hidden="1">{"fdsup://directions/FAT Viewer?action=UPDATE&amp;creator=factset&amp;DYN_ARGS=TRUE&amp;DOC_NAME=FAT:FQL_AUDITING_CLIENT_TEMPLATE.FAT&amp;display_string=Audit&amp;VAR:KEY=PIRYHOTCJC&amp;VAR:QUERY=RkZfRUJJVERBX0lCKCdMVE1TJywzODc4Nik=&amp;WINDOW=FIRST_POPUP&amp;HEIGHT=450&amp;WIDTH=450&amp;START_MA","XIMIZED=FALSE&amp;VAR:CALENDAR=US&amp;VAR:SYMBOL=N0098510&amp;VAR:INDEX=0"}</definedName>
    <definedName name="_6927__FDSAUDITLINK__" hidden="1">{"fdsup://directions/FAT Viewer?action=UPDATE&amp;creator=factset&amp;DYN_ARGS=TRUE&amp;DOC_NAME=FAT:FQL_AUDITING_CLIENT_TEMPLATE.FAT&amp;display_string=Audit&amp;VAR:KEY=PIRYHOTCJC&amp;VAR:QUERY=RkZfRUJJVERBX0lCKCdMVE1TJywzODc4Nik=&amp;WINDOW=FIRST_POPUP&amp;HEIGHT=450&amp;WIDTH=450&amp;START_MA","XIMIZED=FALSE&amp;VAR:CALENDAR=US&amp;VAR:SYMBOL=N0098510&amp;VAR:INDEX=0"}</definedName>
    <definedName name="_6928__FDSAUDITLINK__" localSheetId="6" hidden="1">{"fdsup://directions/FAT Viewer?action=UPDATE&amp;creator=factset&amp;DYN_ARGS=TRUE&amp;DOC_NAME=FAT:FQL_AUDITING_CLIENT_TEMPLATE.FAT&amp;display_string=Audit&amp;VAR:KEY=RMBWRCDGLQ&amp;VAR:QUERY=RkZfRUJJVERBX0lCKCdMVE1TJywzODc4NSk=&amp;WINDOW=FIRST_POPUP&amp;HEIGHT=450&amp;WIDTH=450&amp;START_MA","XIMIZED=FALSE&amp;VAR:CALENDAR=US&amp;VAR:SYMBOL=N0098510&amp;VAR:INDEX=0"}</definedName>
    <definedName name="_6928__FDSAUDITLINK__" hidden="1">{"fdsup://directions/FAT Viewer?action=UPDATE&amp;creator=factset&amp;DYN_ARGS=TRUE&amp;DOC_NAME=FAT:FQL_AUDITING_CLIENT_TEMPLATE.FAT&amp;display_string=Audit&amp;VAR:KEY=RMBWRCDGLQ&amp;VAR:QUERY=RkZfRUJJVERBX0lCKCdMVE1TJywzODc4NSk=&amp;WINDOW=FIRST_POPUP&amp;HEIGHT=450&amp;WIDTH=450&amp;START_MA","XIMIZED=FALSE&amp;VAR:CALENDAR=US&amp;VAR:SYMBOL=N0098510&amp;VAR:INDEX=0"}</definedName>
    <definedName name="_6929__FDSAUDITLINK__" localSheetId="6" hidden="1">{"fdsup://directions/FAT Viewer?action=UPDATE&amp;creator=factset&amp;DYN_ARGS=TRUE&amp;DOC_NAME=FAT:FQL_AUDITING_CLIENT_TEMPLATE.FAT&amp;display_string=Audit&amp;VAR:KEY=JIDERMDODU&amp;VAR:QUERY=RkZfRUJJVERBX0lCKCdMVE1TJywzODc4NCk=&amp;WINDOW=FIRST_POPUP&amp;HEIGHT=450&amp;WIDTH=450&amp;START_MA","XIMIZED=FALSE&amp;VAR:CALENDAR=US&amp;VAR:SYMBOL=N0098510&amp;VAR:INDEX=0"}</definedName>
    <definedName name="_6929__FDSAUDITLINK__" hidden="1">{"fdsup://directions/FAT Viewer?action=UPDATE&amp;creator=factset&amp;DYN_ARGS=TRUE&amp;DOC_NAME=FAT:FQL_AUDITING_CLIENT_TEMPLATE.FAT&amp;display_string=Audit&amp;VAR:KEY=JIDERMDODU&amp;VAR:QUERY=RkZfRUJJVERBX0lCKCdMVE1TJywzODc4NCk=&amp;WINDOW=FIRST_POPUP&amp;HEIGHT=450&amp;WIDTH=450&amp;START_MA","XIMIZED=FALSE&amp;VAR:CALENDAR=US&amp;VAR:SYMBOL=N0098510&amp;VAR:INDEX=0"}</definedName>
    <definedName name="_693__FDSAUDITLINK__" localSheetId="6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3__FDSAUDITLINK__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30__FDSAUDITLINK__" localSheetId="6" hidden="1">{"fdsup://directions/FAT Viewer?action=UPDATE&amp;creator=factset&amp;DYN_ARGS=TRUE&amp;DOC_NAME=FAT:FQL_AUDITING_CLIENT_TEMPLATE.FAT&amp;display_string=Audit&amp;VAR:KEY=FAHYVANIZG&amp;VAR:QUERY=RkZfRUJJVERBX0lCKCdMVE1TJywzODc4Myk=&amp;WINDOW=FIRST_POPUP&amp;HEIGHT=450&amp;WIDTH=450&amp;START_MA","XIMIZED=FALSE&amp;VAR:CALENDAR=US&amp;VAR:SYMBOL=N0098510&amp;VAR:INDEX=0"}</definedName>
    <definedName name="_6930__FDSAUDITLINK__" hidden="1">{"fdsup://directions/FAT Viewer?action=UPDATE&amp;creator=factset&amp;DYN_ARGS=TRUE&amp;DOC_NAME=FAT:FQL_AUDITING_CLIENT_TEMPLATE.FAT&amp;display_string=Audit&amp;VAR:KEY=FAHYVANIZG&amp;VAR:QUERY=RkZfRUJJVERBX0lCKCdMVE1TJywzODc4Myk=&amp;WINDOW=FIRST_POPUP&amp;HEIGHT=450&amp;WIDTH=450&amp;START_MA","XIMIZED=FALSE&amp;VAR:CALENDAR=US&amp;VAR:SYMBOL=N0098510&amp;VAR:INDEX=0"}</definedName>
    <definedName name="_6931__FDSAUDITLINK__" localSheetId="6" hidden="1">{"fdsup://directions/FAT Viewer?action=UPDATE&amp;creator=factset&amp;DYN_ARGS=TRUE&amp;DOC_NAME=FAT:FQL_AUDITING_CLIENT_TEMPLATE.FAT&amp;display_string=Audit&amp;VAR:KEY=FCNAJYTCHW&amp;VAR:QUERY=RkZfRUJJVERBX0lCKCdMVE1TJywzODc4Mik=&amp;WINDOW=FIRST_POPUP&amp;HEIGHT=450&amp;WIDTH=450&amp;START_MA","XIMIZED=FALSE&amp;VAR:CALENDAR=US&amp;VAR:SYMBOL=N0098510&amp;VAR:INDEX=0"}</definedName>
    <definedName name="_6931__FDSAUDITLINK__" hidden="1">{"fdsup://directions/FAT Viewer?action=UPDATE&amp;creator=factset&amp;DYN_ARGS=TRUE&amp;DOC_NAME=FAT:FQL_AUDITING_CLIENT_TEMPLATE.FAT&amp;display_string=Audit&amp;VAR:KEY=FCNAJYTCHW&amp;VAR:QUERY=RkZfRUJJVERBX0lCKCdMVE1TJywzODc4Mik=&amp;WINDOW=FIRST_POPUP&amp;HEIGHT=450&amp;WIDTH=450&amp;START_MA","XIMIZED=FALSE&amp;VAR:CALENDAR=US&amp;VAR:SYMBOL=N0098510&amp;VAR:INDEX=0"}</definedName>
    <definedName name="_6932__FDSAUDITLINK__" localSheetId="6" hidden="1">{"fdsup://directions/FAT Viewer?action=UPDATE&amp;creator=factset&amp;DYN_ARGS=TRUE&amp;DOC_NAME=FAT:FQL_AUDITING_CLIENT_TEMPLATE.FAT&amp;display_string=Audit&amp;VAR:KEY=DOXAFINELK&amp;VAR:QUERY=RkZfRUJJVERBX0lCKCdMVE1TJywzODc4MSk=&amp;WINDOW=FIRST_POPUP&amp;HEIGHT=450&amp;WIDTH=450&amp;START_MA","XIMIZED=FALSE&amp;VAR:CALENDAR=US&amp;VAR:SYMBOL=N0098510&amp;VAR:INDEX=0"}</definedName>
    <definedName name="_6932__FDSAUDITLINK__" hidden="1">{"fdsup://directions/FAT Viewer?action=UPDATE&amp;creator=factset&amp;DYN_ARGS=TRUE&amp;DOC_NAME=FAT:FQL_AUDITING_CLIENT_TEMPLATE.FAT&amp;display_string=Audit&amp;VAR:KEY=DOXAFINELK&amp;VAR:QUERY=RkZfRUJJVERBX0lCKCdMVE1TJywzODc4MSk=&amp;WINDOW=FIRST_POPUP&amp;HEIGHT=450&amp;WIDTH=450&amp;START_MA","XIMIZED=FALSE&amp;VAR:CALENDAR=US&amp;VAR:SYMBOL=N0098510&amp;VAR:INDEX=0"}</definedName>
    <definedName name="_6933__FDSAUDITLINK__" localSheetId="6" hidden="1">{"fdsup://directions/FAT Viewer?action=UPDATE&amp;creator=factset&amp;DYN_ARGS=TRUE&amp;DOC_NAME=FAT:FQL_AUDITING_CLIENT_TEMPLATE.FAT&amp;display_string=Audit&amp;VAR:KEY=ZGLGRIHUNK&amp;VAR:QUERY=RkZfRUJJVERBX0lCKCdMVE1TJywzODc4MCk=&amp;WINDOW=FIRST_POPUP&amp;HEIGHT=450&amp;WIDTH=450&amp;START_MA","XIMIZED=FALSE&amp;VAR:CALENDAR=US&amp;VAR:SYMBOL=N0098510&amp;VAR:INDEX=0"}</definedName>
    <definedName name="_6933__FDSAUDITLINK__" hidden="1">{"fdsup://directions/FAT Viewer?action=UPDATE&amp;creator=factset&amp;DYN_ARGS=TRUE&amp;DOC_NAME=FAT:FQL_AUDITING_CLIENT_TEMPLATE.FAT&amp;display_string=Audit&amp;VAR:KEY=ZGLGRIHUNK&amp;VAR:QUERY=RkZfRUJJVERBX0lCKCdMVE1TJywzODc4MCk=&amp;WINDOW=FIRST_POPUP&amp;HEIGHT=450&amp;WIDTH=450&amp;START_MA","XIMIZED=FALSE&amp;VAR:CALENDAR=US&amp;VAR:SYMBOL=N0098510&amp;VAR:INDEX=0"}</definedName>
    <definedName name="_6934__FDSAUDITLINK__" localSheetId="6" hidden="1">{"fdsup://directions/FAT Viewer?action=UPDATE&amp;creator=factset&amp;DYN_ARGS=TRUE&amp;DOC_NAME=FAT:FQL_AUDITING_CLIENT_TEMPLATE.FAT&amp;display_string=Audit&amp;VAR:KEY=ZUNMJWHSRA&amp;VAR:QUERY=RkZfRUJJVERBX0lCKCdMVE1TJywzODc3OSk=&amp;WINDOW=FIRST_POPUP&amp;HEIGHT=450&amp;WIDTH=450&amp;START_MA","XIMIZED=FALSE&amp;VAR:CALENDAR=US&amp;VAR:SYMBOL=N0098510&amp;VAR:INDEX=0"}</definedName>
    <definedName name="_6934__FDSAUDITLINK__" hidden="1">{"fdsup://directions/FAT Viewer?action=UPDATE&amp;creator=factset&amp;DYN_ARGS=TRUE&amp;DOC_NAME=FAT:FQL_AUDITING_CLIENT_TEMPLATE.FAT&amp;display_string=Audit&amp;VAR:KEY=ZUNMJWHSRA&amp;VAR:QUERY=RkZfRUJJVERBX0lCKCdMVE1TJywzODc3OSk=&amp;WINDOW=FIRST_POPUP&amp;HEIGHT=450&amp;WIDTH=450&amp;START_MA","XIMIZED=FALSE&amp;VAR:CALENDAR=US&amp;VAR:SYMBOL=N0098510&amp;VAR:INDEX=0"}</definedName>
    <definedName name="_6935__FDSAUDITLINK__" localSheetId="6" hidden="1">{"fdsup://directions/FAT Viewer?action=UPDATE&amp;creator=factset&amp;DYN_ARGS=TRUE&amp;DOC_NAME=FAT:FQL_AUDITING_CLIENT_TEMPLATE.FAT&amp;display_string=Audit&amp;VAR:KEY=RAXYVKJYJE&amp;VAR:QUERY=RkZfRUJJVERBX0lCKCdMVE1TJywzODc3OCk=&amp;WINDOW=FIRST_POPUP&amp;HEIGHT=450&amp;WIDTH=450&amp;START_MA","XIMIZED=FALSE&amp;VAR:CALENDAR=US&amp;VAR:SYMBOL=N0098510&amp;VAR:INDEX=0"}</definedName>
    <definedName name="_6935__FDSAUDITLINK__" hidden="1">{"fdsup://directions/FAT Viewer?action=UPDATE&amp;creator=factset&amp;DYN_ARGS=TRUE&amp;DOC_NAME=FAT:FQL_AUDITING_CLIENT_TEMPLATE.FAT&amp;display_string=Audit&amp;VAR:KEY=RAXYVKJYJE&amp;VAR:QUERY=RkZfRUJJVERBX0lCKCdMVE1TJywzODc3OCk=&amp;WINDOW=FIRST_POPUP&amp;HEIGHT=450&amp;WIDTH=450&amp;START_MA","XIMIZED=FALSE&amp;VAR:CALENDAR=US&amp;VAR:SYMBOL=N0098510&amp;VAR:INDEX=0"}</definedName>
    <definedName name="_6936__FDSAUDITLINK__" localSheetId="6" hidden="1">{"fdsup://directions/FAT Viewer?action=UPDATE&amp;creator=factset&amp;DYN_ARGS=TRUE&amp;DOC_NAME=FAT:FQL_AUDITING_CLIENT_TEMPLATE.FAT&amp;display_string=Audit&amp;VAR:KEY=TEPOVKFADC&amp;VAR:QUERY=RkZfRUJJVERBX0lCKCdMVE1TJywzODc3Nyk=&amp;WINDOW=FIRST_POPUP&amp;HEIGHT=450&amp;WIDTH=450&amp;START_MA","XIMIZED=FALSE&amp;VAR:CALENDAR=US&amp;VAR:SYMBOL=N0098510&amp;VAR:INDEX=0"}</definedName>
    <definedName name="_6936__FDSAUDITLINK__" hidden="1">{"fdsup://directions/FAT Viewer?action=UPDATE&amp;creator=factset&amp;DYN_ARGS=TRUE&amp;DOC_NAME=FAT:FQL_AUDITING_CLIENT_TEMPLATE.FAT&amp;display_string=Audit&amp;VAR:KEY=TEPOVKFADC&amp;VAR:QUERY=RkZfRUJJVERBX0lCKCdMVE1TJywzODc3Nyk=&amp;WINDOW=FIRST_POPUP&amp;HEIGHT=450&amp;WIDTH=450&amp;START_MA","XIMIZED=FALSE&amp;VAR:CALENDAR=US&amp;VAR:SYMBOL=N0098510&amp;VAR:INDEX=0"}</definedName>
    <definedName name="_6937__FDSAUDITLINK__" localSheetId="6" hidden="1">{"fdsup://directions/FAT Viewer?action=UPDATE&amp;creator=factset&amp;DYN_ARGS=TRUE&amp;DOC_NAME=FAT:FQL_AUDITING_CLIENT_TEMPLATE.FAT&amp;display_string=Audit&amp;VAR:KEY=RGXCVUTWTG&amp;VAR:QUERY=RkZfRUJJVERBX0lCKCdMVE1TJywzODc3Nik=&amp;WINDOW=FIRST_POPUP&amp;HEIGHT=450&amp;WIDTH=450&amp;START_MA","XIMIZED=FALSE&amp;VAR:CALENDAR=US&amp;VAR:SYMBOL=N0098510&amp;VAR:INDEX=0"}</definedName>
    <definedName name="_6937__FDSAUDITLINK__" hidden="1">{"fdsup://directions/FAT Viewer?action=UPDATE&amp;creator=factset&amp;DYN_ARGS=TRUE&amp;DOC_NAME=FAT:FQL_AUDITING_CLIENT_TEMPLATE.FAT&amp;display_string=Audit&amp;VAR:KEY=RGXCVUTWTG&amp;VAR:QUERY=RkZfRUJJVERBX0lCKCdMVE1TJywzODc3Nik=&amp;WINDOW=FIRST_POPUP&amp;HEIGHT=450&amp;WIDTH=450&amp;START_MA","XIMIZED=FALSE&amp;VAR:CALENDAR=US&amp;VAR:SYMBOL=N0098510&amp;VAR:INDEX=0"}</definedName>
    <definedName name="_6938__FDSAUDITLINK__" localSheetId="6" hidden="1">{"fdsup://directions/FAT Viewer?action=UPDATE&amp;creator=factset&amp;DYN_ARGS=TRUE&amp;DOC_NAME=FAT:FQL_AUDITING_CLIENT_TEMPLATE.FAT&amp;display_string=Audit&amp;VAR:KEY=TGTARQJYTE&amp;VAR:QUERY=RkZfRUJJVERBX0lCKCdMVE1TJywzODc3NSk=&amp;WINDOW=FIRST_POPUP&amp;HEIGHT=450&amp;WIDTH=450&amp;START_MA","XIMIZED=FALSE&amp;VAR:CALENDAR=US&amp;VAR:SYMBOL=N0098510&amp;VAR:INDEX=0"}</definedName>
    <definedName name="_6938__FDSAUDITLINK__" hidden="1">{"fdsup://directions/FAT Viewer?action=UPDATE&amp;creator=factset&amp;DYN_ARGS=TRUE&amp;DOC_NAME=FAT:FQL_AUDITING_CLIENT_TEMPLATE.FAT&amp;display_string=Audit&amp;VAR:KEY=TGTARQJYTE&amp;VAR:QUERY=RkZfRUJJVERBX0lCKCdMVE1TJywzODc3NSk=&amp;WINDOW=FIRST_POPUP&amp;HEIGHT=450&amp;WIDTH=450&amp;START_MA","XIMIZED=FALSE&amp;VAR:CALENDAR=US&amp;VAR:SYMBOL=N0098510&amp;VAR:INDEX=0"}</definedName>
    <definedName name="_6939__FDSAUDITLINK__" localSheetId="6" hidden="1">{"fdsup://directions/FAT Viewer?action=UPDATE&amp;creator=factset&amp;DYN_ARGS=TRUE&amp;DOC_NAME=FAT:FQL_AUDITING_CLIENT_TEMPLATE.FAT&amp;display_string=Audit&amp;VAR:KEY=LEHABQHIBA&amp;VAR:QUERY=RkZfRUJJVERBX0lCKCdMVE1TJywzODc3NCk=&amp;WINDOW=FIRST_POPUP&amp;HEIGHT=450&amp;WIDTH=450&amp;START_MA","XIMIZED=FALSE&amp;VAR:CALENDAR=US&amp;VAR:SYMBOL=N0098510&amp;VAR:INDEX=0"}</definedName>
    <definedName name="_6939__FDSAUDITLINK__" hidden="1">{"fdsup://directions/FAT Viewer?action=UPDATE&amp;creator=factset&amp;DYN_ARGS=TRUE&amp;DOC_NAME=FAT:FQL_AUDITING_CLIENT_TEMPLATE.FAT&amp;display_string=Audit&amp;VAR:KEY=LEHABQHIBA&amp;VAR:QUERY=RkZfRUJJVERBX0lCKCdMVE1TJywzODc3NCk=&amp;WINDOW=FIRST_POPUP&amp;HEIGHT=450&amp;WIDTH=450&amp;START_MA","XIMIZED=FALSE&amp;VAR:CALENDAR=US&amp;VAR:SYMBOL=N0098510&amp;VAR:INDEX=0"}</definedName>
    <definedName name="_694__FDSAUDITLINK__" localSheetId="6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4__FDSAUDITLINK__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40__FDSAUDITLINK__" localSheetId="6" hidden="1">{"fdsup://directions/FAT Viewer?action=UPDATE&amp;creator=factset&amp;DYN_ARGS=TRUE&amp;DOC_NAME=FAT:FQL_AUDITING_CLIENT_TEMPLATE.FAT&amp;display_string=Audit&amp;VAR:KEY=RURADCXWDS&amp;VAR:QUERY=RkZfRUJJVERBX0lCKCdMVE1TJywzODc3Myk=&amp;WINDOW=FIRST_POPUP&amp;HEIGHT=450&amp;WIDTH=450&amp;START_MA","XIMIZED=FALSE&amp;VAR:CALENDAR=US&amp;VAR:SYMBOL=N0098510&amp;VAR:INDEX=0"}</definedName>
    <definedName name="_6940__FDSAUDITLINK__" hidden="1">{"fdsup://directions/FAT Viewer?action=UPDATE&amp;creator=factset&amp;DYN_ARGS=TRUE&amp;DOC_NAME=FAT:FQL_AUDITING_CLIENT_TEMPLATE.FAT&amp;display_string=Audit&amp;VAR:KEY=RURADCXWDS&amp;VAR:QUERY=RkZfRUJJVERBX0lCKCdMVE1TJywzODc3Myk=&amp;WINDOW=FIRST_POPUP&amp;HEIGHT=450&amp;WIDTH=450&amp;START_MA","XIMIZED=FALSE&amp;VAR:CALENDAR=US&amp;VAR:SYMBOL=N0098510&amp;VAR:INDEX=0"}</definedName>
    <definedName name="_6941__FDSAUDITLINK__" localSheetId="6" hidden="1">{"fdsup://directions/FAT Viewer?action=UPDATE&amp;creator=factset&amp;DYN_ARGS=TRUE&amp;DOC_NAME=FAT:FQL_AUDITING_CLIENT_TEMPLATE.FAT&amp;display_string=Audit&amp;VAR:KEY=LGFYXGFKXK&amp;VAR:QUERY=RkZfRUJJVERBX0lCKCdMVE1TJywzODc3Mik=&amp;WINDOW=FIRST_POPUP&amp;HEIGHT=450&amp;WIDTH=450&amp;START_MA","XIMIZED=FALSE&amp;VAR:CALENDAR=US&amp;VAR:SYMBOL=N0098510&amp;VAR:INDEX=0"}</definedName>
    <definedName name="_6941__FDSAUDITLINK__" hidden="1">{"fdsup://directions/FAT Viewer?action=UPDATE&amp;creator=factset&amp;DYN_ARGS=TRUE&amp;DOC_NAME=FAT:FQL_AUDITING_CLIENT_TEMPLATE.FAT&amp;display_string=Audit&amp;VAR:KEY=LGFYXGFKXK&amp;VAR:QUERY=RkZfRUJJVERBX0lCKCdMVE1TJywzODc3Mik=&amp;WINDOW=FIRST_POPUP&amp;HEIGHT=450&amp;WIDTH=450&amp;START_MA","XIMIZED=FALSE&amp;VAR:CALENDAR=US&amp;VAR:SYMBOL=N0098510&amp;VAR:INDEX=0"}</definedName>
    <definedName name="_6942__FDSAUDITLINK__" localSheetId="6" hidden="1">{"fdsup://directions/FAT Viewer?action=UPDATE&amp;creator=factset&amp;DYN_ARGS=TRUE&amp;DOC_NAME=FAT:FQL_AUDITING_CLIENT_TEMPLATE.FAT&amp;display_string=Audit&amp;VAR:KEY=JSNAJUNYFG&amp;VAR:QUERY=RkZfRUJJVERBX0lCKCdMVE1TJywzODc3MSk=&amp;WINDOW=FIRST_POPUP&amp;HEIGHT=450&amp;WIDTH=450&amp;START_MA","XIMIZED=FALSE&amp;VAR:CALENDAR=US&amp;VAR:SYMBOL=N0098510&amp;VAR:INDEX=0"}</definedName>
    <definedName name="_6942__FDSAUDITLINK__" hidden="1">{"fdsup://directions/FAT Viewer?action=UPDATE&amp;creator=factset&amp;DYN_ARGS=TRUE&amp;DOC_NAME=FAT:FQL_AUDITING_CLIENT_TEMPLATE.FAT&amp;display_string=Audit&amp;VAR:KEY=JSNAJUNYFG&amp;VAR:QUERY=RkZfRUJJVERBX0lCKCdMVE1TJywzODc3MSk=&amp;WINDOW=FIRST_POPUP&amp;HEIGHT=450&amp;WIDTH=450&amp;START_MA","XIMIZED=FALSE&amp;VAR:CALENDAR=US&amp;VAR:SYMBOL=N0098510&amp;VAR:INDEX=0"}</definedName>
    <definedName name="_6943__FDSAUDITLINK__" localSheetId="6" hidden="1">{"fdsup://directions/FAT Viewer?action=UPDATE&amp;creator=factset&amp;DYN_ARGS=TRUE&amp;DOC_NAME=FAT:FQL_AUDITING_CLIENT_TEMPLATE.FAT&amp;display_string=Audit&amp;VAR:KEY=FCNGZUBGRA&amp;VAR:QUERY=RkZfRUJJVERBX0lCKCdMVE1TJywzODc3MCk=&amp;WINDOW=FIRST_POPUP&amp;HEIGHT=450&amp;WIDTH=450&amp;START_MA","XIMIZED=FALSE&amp;VAR:CALENDAR=US&amp;VAR:SYMBOL=N0098510&amp;VAR:INDEX=0"}</definedName>
    <definedName name="_6943__FDSAUDITLINK__" hidden="1">{"fdsup://directions/FAT Viewer?action=UPDATE&amp;creator=factset&amp;DYN_ARGS=TRUE&amp;DOC_NAME=FAT:FQL_AUDITING_CLIENT_TEMPLATE.FAT&amp;display_string=Audit&amp;VAR:KEY=FCNGZUBGRA&amp;VAR:QUERY=RkZfRUJJVERBX0lCKCdMVE1TJywzODc3MCk=&amp;WINDOW=FIRST_POPUP&amp;HEIGHT=450&amp;WIDTH=450&amp;START_MA","XIMIZED=FALSE&amp;VAR:CALENDAR=US&amp;VAR:SYMBOL=N0098510&amp;VAR:INDEX=0"}</definedName>
    <definedName name="_6944__FDSAUDITLINK__" localSheetId="6" hidden="1">{"fdsup://directions/FAT Viewer?action=UPDATE&amp;creator=factset&amp;DYN_ARGS=TRUE&amp;DOC_NAME=FAT:FQL_AUDITING_CLIENT_TEMPLATE.FAT&amp;display_string=Audit&amp;VAR:KEY=HITEPQJGBM&amp;VAR:QUERY=RkZfRUJJVERBX0lCKCdMVE1TJywzODc2OSk=&amp;WINDOW=FIRST_POPUP&amp;HEIGHT=450&amp;WIDTH=450&amp;START_MA","XIMIZED=FALSE&amp;VAR:CALENDAR=US&amp;VAR:SYMBOL=N0098510&amp;VAR:INDEX=0"}</definedName>
    <definedName name="_6944__FDSAUDITLINK__" hidden="1">{"fdsup://directions/FAT Viewer?action=UPDATE&amp;creator=factset&amp;DYN_ARGS=TRUE&amp;DOC_NAME=FAT:FQL_AUDITING_CLIENT_TEMPLATE.FAT&amp;display_string=Audit&amp;VAR:KEY=HITEPQJGBM&amp;VAR:QUERY=RkZfRUJJVERBX0lCKCdMVE1TJywzODc2OSk=&amp;WINDOW=FIRST_POPUP&amp;HEIGHT=450&amp;WIDTH=450&amp;START_MA","XIMIZED=FALSE&amp;VAR:CALENDAR=US&amp;VAR:SYMBOL=N0098510&amp;VAR:INDEX=0"}</definedName>
    <definedName name="_6945__FDSAUDITLINK__" localSheetId="6" hidden="1">{"fdsup://directions/FAT Viewer?action=UPDATE&amp;creator=factset&amp;DYN_ARGS=TRUE&amp;DOC_NAME=FAT:FQL_AUDITING_CLIENT_TEMPLATE.FAT&amp;display_string=Audit&amp;VAR:KEY=TUPMTUDIVS&amp;VAR:QUERY=RkZfRUJJVERBX0lCKCdMVE1TJywzODc2OCk=&amp;WINDOW=FIRST_POPUP&amp;HEIGHT=450&amp;WIDTH=450&amp;START_MA","XIMIZED=FALSE&amp;VAR:CALENDAR=US&amp;VAR:SYMBOL=N0098510&amp;VAR:INDEX=0"}</definedName>
    <definedName name="_6945__FDSAUDITLINK__" hidden="1">{"fdsup://directions/FAT Viewer?action=UPDATE&amp;creator=factset&amp;DYN_ARGS=TRUE&amp;DOC_NAME=FAT:FQL_AUDITING_CLIENT_TEMPLATE.FAT&amp;display_string=Audit&amp;VAR:KEY=TUPMTUDIVS&amp;VAR:QUERY=RkZfRUJJVERBX0lCKCdMVE1TJywzODc2OCk=&amp;WINDOW=FIRST_POPUP&amp;HEIGHT=450&amp;WIDTH=450&amp;START_MA","XIMIZED=FALSE&amp;VAR:CALENDAR=US&amp;VAR:SYMBOL=N0098510&amp;VAR:INDEX=0"}</definedName>
    <definedName name="_6946__FDSAUDITLINK__" localSheetId="6" hidden="1">{"fdsup://directions/FAT Viewer?action=UPDATE&amp;creator=factset&amp;DYN_ARGS=TRUE&amp;DOC_NAME=FAT:FQL_AUDITING_CLIENT_TEMPLATE.FAT&amp;display_string=Audit&amp;VAR:KEY=JQJGDMFGNA&amp;VAR:QUERY=RkZfRUJJVERBX0lCKCdMVE1TJywzODc2Nyk=&amp;WINDOW=FIRST_POPUP&amp;HEIGHT=450&amp;WIDTH=450&amp;START_MA","XIMIZED=FALSE&amp;VAR:CALENDAR=US&amp;VAR:SYMBOL=N0098510&amp;VAR:INDEX=0"}</definedName>
    <definedName name="_6946__FDSAUDITLINK__" hidden="1">{"fdsup://directions/FAT Viewer?action=UPDATE&amp;creator=factset&amp;DYN_ARGS=TRUE&amp;DOC_NAME=FAT:FQL_AUDITING_CLIENT_TEMPLATE.FAT&amp;display_string=Audit&amp;VAR:KEY=JQJGDMFGNA&amp;VAR:QUERY=RkZfRUJJVERBX0lCKCdMVE1TJywzODc2Nyk=&amp;WINDOW=FIRST_POPUP&amp;HEIGHT=450&amp;WIDTH=450&amp;START_MA","XIMIZED=FALSE&amp;VAR:CALENDAR=US&amp;VAR:SYMBOL=N0098510&amp;VAR:INDEX=0"}</definedName>
    <definedName name="_6947__FDSAUDITLINK__" localSheetId="6" hidden="1">{"fdsup://directions/FAT Viewer?action=UPDATE&amp;creator=factset&amp;DYN_ARGS=TRUE&amp;DOC_NAME=FAT:FQL_AUDITING_CLIENT_TEMPLATE.FAT&amp;display_string=Audit&amp;VAR:KEY=ZENIRYJQVS&amp;VAR:QUERY=RkZfRUJJVERBX0lCKCdMVE1TJywzODc2Nik=&amp;WINDOW=FIRST_POPUP&amp;HEIGHT=450&amp;WIDTH=450&amp;START_MA","XIMIZED=FALSE&amp;VAR:CALENDAR=US&amp;VAR:SYMBOL=N0098510&amp;VAR:INDEX=0"}</definedName>
    <definedName name="_6947__FDSAUDITLINK__" hidden="1">{"fdsup://directions/FAT Viewer?action=UPDATE&amp;creator=factset&amp;DYN_ARGS=TRUE&amp;DOC_NAME=FAT:FQL_AUDITING_CLIENT_TEMPLATE.FAT&amp;display_string=Audit&amp;VAR:KEY=ZENIRYJQVS&amp;VAR:QUERY=RkZfRUJJVERBX0lCKCdMVE1TJywzODc2Nik=&amp;WINDOW=FIRST_POPUP&amp;HEIGHT=450&amp;WIDTH=450&amp;START_MA","XIMIZED=FALSE&amp;VAR:CALENDAR=US&amp;VAR:SYMBOL=N0098510&amp;VAR:INDEX=0"}</definedName>
    <definedName name="_6948__FDSAUDITLINK__" localSheetId="6" hidden="1">{"fdsup://directions/FAT Viewer?action=UPDATE&amp;creator=factset&amp;DYN_ARGS=TRUE&amp;DOC_NAME=FAT:FQL_AUDITING_CLIENT_TEMPLATE.FAT&amp;display_string=Audit&amp;VAR:KEY=ZOFSXADMJA&amp;VAR:QUERY=RkZfRUJJVERBX0lCKCdMVE1TJywzODc2NSk=&amp;WINDOW=FIRST_POPUP&amp;HEIGHT=450&amp;WIDTH=450&amp;START_MA","XIMIZED=FALSE&amp;VAR:CALENDAR=US&amp;VAR:SYMBOL=N0098510&amp;VAR:INDEX=0"}</definedName>
    <definedName name="_6948__FDSAUDITLINK__" hidden="1">{"fdsup://directions/FAT Viewer?action=UPDATE&amp;creator=factset&amp;DYN_ARGS=TRUE&amp;DOC_NAME=FAT:FQL_AUDITING_CLIENT_TEMPLATE.FAT&amp;display_string=Audit&amp;VAR:KEY=ZOFSXADMJA&amp;VAR:QUERY=RkZfRUJJVERBX0lCKCdMVE1TJywzODc2NSk=&amp;WINDOW=FIRST_POPUP&amp;HEIGHT=450&amp;WIDTH=450&amp;START_MA","XIMIZED=FALSE&amp;VAR:CALENDAR=US&amp;VAR:SYMBOL=N0098510&amp;VAR:INDEX=0"}</definedName>
    <definedName name="_6949__FDSAUDITLINK__" localSheetId="6" hidden="1">{"fdsup://directions/FAT Viewer?action=UPDATE&amp;creator=factset&amp;DYN_ARGS=TRUE&amp;DOC_NAME=FAT:FQL_AUDITING_CLIENT_TEMPLATE.FAT&amp;display_string=Audit&amp;VAR:KEY=VELSJOXOJQ&amp;VAR:QUERY=RkZfRUJJVERBX0lCKCdMVE1TJywzODc2NCk=&amp;WINDOW=FIRST_POPUP&amp;HEIGHT=450&amp;WIDTH=450&amp;START_MA","XIMIZED=FALSE&amp;VAR:CALENDAR=US&amp;VAR:SYMBOL=N0098510&amp;VAR:INDEX=0"}</definedName>
    <definedName name="_6949__FDSAUDITLINK__" hidden="1">{"fdsup://directions/FAT Viewer?action=UPDATE&amp;creator=factset&amp;DYN_ARGS=TRUE&amp;DOC_NAME=FAT:FQL_AUDITING_CLIENT_TEMPLATE.FAT&amp;display_string=Audit&amp;VAR:KEY=VELSJOXOJQ&amp;VAR:QUERY=RkZfRUJJVERBX0lCKCdMVE1TJywzODc2NCk=&amp;WINDOW=FIRST_POPUP&amp;HEIGHT=450&amp;WIDTH=450&amp;START_MA","XIMIZED=FALSE&amp;VAR:CALENDAR=US&amp;VAR:SYMBOL=N0098510&amp;VAR:INDEX=0"}</definedName>
    <definedName name="_695__FDSAUDITLINK__" localSheetId="6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5__FDSAUDITLINK__" hidden="1">{"fdsup://directions/FAT%20Viewer?VAR:PED=LTM&amp;VAR:AUDIT_MODE=SUMMARY&amp;VAR:PERIOD=FIXED&amp;VAR:AUDIT_ID=00000117&amp;VAR:DATE=20080328&amp;action=UPDATE&amp;creator=factset&amp;DOC_NAME=FAT:FMA_audit_SUMMARY.fat&amp;DISPLAY_STRING=Display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50__FDSAUDITLINK__" localSheetId="6" hidden="1">{"fdsup://directions/FAT Viewer?action=UPDATE&amp;creator=factset&amp;DYN_ARGS=TRUE&amp;DOC_NAME=FAT:FQL_AUDITING_CLIENT_TEMPLATE.FAT&amp;display_string=Audit&amp;VAR:KEY=PKRKDMFMNG&amp;VAR:QUERY=RkZfRUJJVERBX0lCKCdMVE1TJywzODc2Myk=&amp;WINDOW=FIRST_POPUP&amp;HEIGHT=450&amp;WIDTH=450&amp;START_MA","XIMIZED=FALSE&amp;VAR:CALENDAR=US&amp;VAR:SYMBOL=N0098510&amp;VAR:INDEX=0"}</definedName>
    <definedName name="_6950__FDSAUDITLINK__" hidden="1">{"fdsup://directions/FAT Viewer?action=UPDATE&amp;creator=factset&amp;DYN_ARGS=TRUE&amp;DOC_NAME=FAT:FQL_AUDITING_CLIENT_TEMPLATE.FAT&amp;display_string=Audit&amp;VAR:KEY=PKRKDMFMNG&amp;VAR:QUERY=RkZfRUJJVERBX0lCKCdMVE1TJywzODc2Myk=&amp;WINDOW=FIRST_POPUP&amp;HEIGHT=450&amp;WIDTH=450&amp;START_MA","XIMIZED=FALSE&amp;VAR:CALENDAR=US&amp;VAR:SYMBOL=N0098510&amp;VAR:INDEX=0"}</definedName>
    <definedName name="_6951__FDSAUDITLINK__" localSheetId="6" hidden="1">{"fdsup://directions/FAT Viewer?action=UPDATE&amp;creator=factset&amp;DYN_ARGS=TRUE&amp;DOC_NAME=FAT:FQL_AUDITING_CLIENT_TEMPLATE.FAT&amp;display_string=Audit&amp;VAR:KEY=DQTKBOZARO&amp;VAR:QUERY=RkZfRUJJVERBX0lCKCdMVE1TJywzODc2Mik=&amp;WINDOW=FIRST_POPUP&amp;HEIGHT=450&amp;WIDTH=450&amp;START_MA","XIMIZED=FALSE&amp;VAR:CALENDAR=US&amp;VAR:SYMBOL=N0098510&amp;VAR:INDEX=0"}</definedName>
    <definedName name="_6951__FDSAUDITLINK__" hidden="1">{"fdsup://directions/FAT Viewer?action=UPDATE&amp;creator=factset&amp;DYN_ARGS=TRUE&amp;DOC_NAME=FAT:FQL_AUDITING_CLIENT_TEMPLATE.FAT&amp;display_string=Audit&amp;VAR:KEY=DQTKBOZARO&amp;VAR:QUERY=RkZfRUJJVERBX0lCKCdMVE1TJywzODc2Mik=&amp;WINDOW=FIRST_POPUP&amp;HEIGHT=450&amp;WIDTH=450&amp;START_MA","XIMIZED=FALSE&amp;VAR:CALENDAR=US&amp;VAR:SYMBOL=N0098510&amp;VAR:INDEX=0"}</definedName>
    <definedName name="_6952__FDSAUDITLINK__" localSheetId="6" hidden="1">{"fdsup://directions/FAT Viewer?action=UPDATE&amp;creator=factset&amp;DYN_ARGS=TRUE&amp;DOC_NAME=FAT:FQL_AUDITING_CLIENT_TEMPLATE.FAT&amp;display_string=Audit&amp;VAR:KEY=LCDAFKHGDM&amp;VAR:QUERY=RkZfRUJJVERBX0lCKCdMVE1TJywzODc2MSk=&amp;WINDOW=FIRST_POPUP&amp;HEIGHT=450&amp;WIDTH=450&amp;START_MA","XIMIZED=FALSE&amp;VAR:CALENDAR=US&amp;VAR:SYMBOL=N0098510&amp;VAR:INDEX=0"}</definedName>
    <definedName name="_6952__FDSAUDITLINK__" hidden="1">{"fdsup://directions/FAT Viewer?action=UPDATE&amp;creator=factset&amp;DYN_ARGS=TRUE&amp;DOC_NAME=FAT:FQL_AUDITING_CLIENT_TEMPLATE.FAT&amp;display_string=Audit&amp;VAR:KEY=LCDAFKHGDM&amp;VAR:QUERY=RkZfRUJJVERBX0lCKCdMVE1TJywzODc2MSk=&amp;WINDOW=FIRST_POPUP&amp;HEIGHT=450&amp;WIDTH=450&amp;START_MA","XIMIZED=FALSE&amp;VAR:CALENDAR=US&amp;VAR:SYMBOL=N0098510&amp;VAR:INDEX=0"}</definedName>
    <definedName name="_6953__FDSAUDITLINK__" localSheetId="6" hidden="1">{"fdsup://directions/FAT Viewer?action=UPDATE&amp;creator=factset&amp;DYN_ARGS=TRUE&amp;DOC_NAME=FAT:FQL_AUDITING_CLIENT_TEMPLATE.FAT&amp;display_string=Audit&amp;VAR:KEY=JMDIRIFWHQ&amp;VAR:QUERY=RkZfRUJJVERBX0lCKCdMVE1TJywzODc2MCk=&amp;WINDOW=FIRST_POPUP&amp;HEIGHT=450&amp;WIDTH=450&amp;START_MA","XIMIZED=FALSE&amp;VAR:CALENDAR=US&amp;VAR:SYMBOL=N0098510&amp;VAR:INDEX=0"}</definedName>
    <definedName name="_6953__FDSAUDITLINK__" hidden="1">{"fdsup://directions/FAT Viewer?action=UPDATE&amp;creator=factset&amp;DYN_ARGS=TRUE&amp;DOC_NAME=FAT:FQL_AUDITING_CLIENT_TEMPLATE.FAT&amp;display_string=Audit&amp;VAR:KEY=JMDIRIFWHQ&amp;VAR:QUERY=RkZfRUJJVERBX0lCKCdMVE1TJywzODc2MCk=&amp;WINDOW=FIRST_POPUP&amp;HEIGHT=450&amp;WIDTH=450&amp;START_MA","XIMIZED=FALSE&amp;VAR:CALENDAR=US&amp;VAR:SYMBOL=N0098510&amp;VAR:INDEX=0"}</definedName>
    <definedName name="_6954__FDSAUDITLINK__" localSheetId="6" hidden="1">{"fdsup://directions/FAT Viewer?action=UPDATE&amp;creator=factset&amp;DYN_ARGS=TRUE&amp;DOC_NAME=FAT:FQL_AUDITING_CLIENT_TEMPLATE.FAT&amp;display_string=Audit&amp;VAR:KEY=DWROJKFOVK&amp;VAR:QUERY=RkZfRUJJVERBX0lCKCdMVE1TJywzODc1OSk=&amp;WINDOW=FIRST_POPUP&amp;HEIGHT=450&amp;WIDTH=450&amp;START_MA","XIMIZED=FALSE&amp;VAR:CALENDAR=US&amp;VAR:SYMBOL=N0098510&amp;VAR:INDEX=0"}</definedName>
    <definedName name="_6954__FDSAUDITLINK__" hidden="1">{"fdsup://directions/FAT Viewer?action=UPDATE&amp;creator=factset&amp;DYN_ARGS=TRUE&amp;DOC_NAME=FAT:FQL_AUDITING_CLIENT_TEMPLATE.FAT&amp;display_string=Audit&amp;VAR:KEY=DWROJKFOVK&amp;VAR:QUERY=RkZfRUJJVERBX0lCKCdMVE1TJywzODc1OSk=&amp;WINDOW=FIRST_POPUP&amp;HEIGHT=450&amp;WIDTH=450&amp;START_MA","XIMIZED=FALSE&amp;VAR:CALENDAR=US&amp;VAR:SYMBOL=N0098510&amp;VAR:INDEX=0"}</definedName>
    <definedName name="_6955__FDSAUDITLINK__" localSheetId="6" hidden="1">{"fdsup://directions/FAT Viewer?action=UPDATE&amp;creator=factset&amp;DYN_ARGS=TRUE&amp;DOC_NAME=FAT:FQL_AUDITING_CLIENT_TEMPLATE.FAT&amp;display_string=Audit&amp;VAR:KEY=BQNGRIXADO&amp;VAR:QUERY=RkZfRUJJVERBX0lCKCdMVE1TJywzODc1OCk=&amp;WINDOW=FIRST_POPUP&amp;HEIGHT=450&amp;WIDTH=450&amp;START_MA","XIMIZED=FALSE&amp;VAR:CALENDAR=US&amp;VAR:SYMBOL=N0098510&amp;VAR:INDEX=0"}</definedName>
    <definedName name="_6955__FDSAUDITLINK__" hidden="1">{"fdsup://directions/FAT Viewer?action=UPDATE&amp;creator=factset&amp;DYN_ARGS=TRUE&amp;DOC_NAME=FAT:FQL_AUDITING_CLIENT_TEMPLATE.FAT&amp;display_string=Audit&amp;VAR:KEY=BQNGRIXADO&amp;VAR:QUERY=RkZfRUJJVERBX0lCKCdMVE1TJywzODc1OCk=&amp;WINDOW=FIRST_POPUP&amp;HEIGHT=450&amp;WIDTH=450&amp;START_MA","XIMIZED=FALSE&amp;VAR:CALENDAR=US&amp;VAR:SYMBOL=N0098510&amp;VAR:INDEX=0"}</definedName>
    <definedName name="_6956__FDSAUDITLINK__" localSheetId="6" hidden="1">{"fdsup://directions/FAT Viewer?action=UPDATE&amp;creator=factset&amp;DYN_ARGS=TRUE&amp;DOC_NAME=FAT:FQL_AUDITING_CLIENT_TEMPLATE.FAT&amp;display_string=Audit&amp;VAR:KEY=PUFGZALWDO&amp;VAR:QUERY=RkZfRUJJVERBX0lCKCdMVE1TJywzODc1Nyk=&amp;WINDOW=FIRST_POPUP&amp;HEIGHT=450&amp;WIDTH=450&amp;START_MA","XIMIZED=FALSE&amp;VAR:CALENDAR=US&amp;VAR:SYMBOL=N0098510&amp;VAR:INDEX=0"}</definedName>
    <definedName name="_6956__FDSAUDITLINK__" hidden="1">{"fdsup://directions/FAT Viewer?action=UPDATE&amp;creator=factset&amp;DYN_ARGS=TRUE&amp;DOC_NAME=FAT:FQL_AUDITING_CLIENT_TEMPLATE.FAT&amp;display_string=Audit&amp;VAR:KEY=PUFGZALWDO&amp;VAR:QUERY=RkZfRUJJVERBX0lCKCdMVE1TJywzODc1Nyk=&amp;WINDOW=FIRST_POPUP&amp;HEIGHT=450&amp;WIDTH=450&amp;START_MA","XIMIZED=FALSE&amp;VAR:CALENDAR=US&amp;VAR:SYMBOL=N0098510&amp;VAR:INDEX=0"}</definedName>
    <definedName name="_6957__FDSAUDITLINK__" localSheetId="6" hidden="1">{"fdsup://directions/FAT Viewer?action=UPDATE&amp;creator=factset&amp;DYN_ARGS=TRUE&amp;DOC_NAME=FAT:FQL_AUDITING_CLIENT_TEMPLATE.FAT&amp;display_string=Audit&amp;VAR:KEY=DMBSNURYRE&amp;VAR:QUERY=RkZfRUJJVERBX0lCKCdMVE1TJywzODc1Nik=&amp;WINDOW=FIRST_POPUP&amp;HEIGHT=450&amp;WIDTH=450&amp;START_MA","XIMIZED=FALSE&amp;VAR:CALENDAR=US&amp;VAR:SYMBOL=N0098510&amp;VAR:INDEX=0"}</definedName>
    <definedName name="_6957__FDSAUDITLINK__" hidden="1">{"fdsup://directions/FAT Viewer?action=UPDATE&amp;creator=factset&amp;DYN_ARGS=TRUE&amp;DOC_NAME=FAT:FQL_AUDITING_CLIENT_TEMPLATE.FAT&amp;display_string=Audit&amp;VAR:KEY=DMBSNURYRE&amp;VAR:QUERY=RkZfRUJJVERBX0lCKCdMVE1TJywzODc1Nik=&amp;WINDOW=FIRST_POPUP&amp;HEIGHT=450&amp;WIDTH=450&amp;START_MA","XIMIZED=FALSE&amp;VAR:CALENDAR=US&amp;VAR:SYMBOL=N0098510&amp;VAR:INDEX=0"}</definedName>
    <definedName name="_6958__FDSAUDITLINK__" localSheetId="6" hidden="1">{"fdsup://directions/FAT Viewer?action=UPDATE&amp;creator=factset&amp;DYN_ARGS=TRUE&amp;DOC_NAME=FAT:FQL_AUDITING_CLIENT_TEMPLATE.FAT&amp;display_string=Audit&amp;VAR:KEY=JYDMDOZCBM&amp;VAR:QUERY=RkZfRUJJVERBX0lCKCdMVE1TJywzODc1NSk=&amp;WINDOW=FIRST_POPUP&amp;HEIGHT=450&amp;WIDTH=450&amp;START_MA","XIMIZED=FALSE&amp;VAR:CALENDAR=US&amp;VAR:SYMBOL=N0098510&amp;VAR:INDEX=0"}</definedName>
    <definedName name="_6958__FDSAUDITLINK__" hidden="1">{"fdsup://directions/FAT Viewer?action=UPDATE&amp;creator=factset&amp;DYN_ARGS=TRUE&amp;DOC_NAME=FAT:FQL_AUDITING_CLIENT_TEMPLATE.FAT&amp;display_string=Audit&amp;VAR:KEY=JYDMDOZCBM&amp;VAR:QUERY=RkZfRUJJVERBX0lCKCdMVE1TJywzODc1NSk=&amp;WINDOW=FIRST_POPUP&amp;HEIGHT=450&amp;WIDTH=450&amp;START_MA","XIMIZED=FALSE&amp;VAR:CALENDAR=US&amp;VAR:SYMBOL=N0098510&amp;VAR:INDEX=0"}</definedName>
    <definedName name="_6959__FDSAUDITLINK__" localSheetId="6" hidden="1">{"fdsup://directions/FAT Viewer?action=UPDATE&amp;creator=factset&amp;DYN_ARGS=TRUE&amp;DOC_NAME=FAT:FQL_AUDITING_CLIENT_TEMPLATE.FAT&amp;display_string=Audit&amp;VAR:KEY=DEZKRUFADG&amp;VAR:QUERY=RkZfRUJJVERBX0lCKCdMVE1TJywzODc1NCk=&amp;WINDOW=FIRST_POPUP&amp;HEIGHT=450&amp;WIDTH=450&amp;START_MA","XIMIZED=FALSE&amp;VAR:CALENDAR=US&amp;VAR:SYMBOL=N0098510&amp;VAR:INDEX=0"}</definedName>
    <definedName name="_6959__FDSAUDITLINK__" hidden="1">{"fdsup://directions/FAT Viewer?action=UPDATE&amp;creator=factset&amp;DYN_ARGS=TRUE&amp;DOC_NAME=FAT:FQL_AUDITING_CLIENT_TEMPLATE.FAT&amp;display_string=Audit&amp;VAR:KEY=DEZKRUFADG&amp;VAR:QUERY=RkZfRUJJVERBX0lCKCdMVE1TJywzODc1NCk=&amp;WINDOW=FIRST_POPUP&amp;HEIGHT=450&amp;WIDTH=450&amp;START_MA","XIMIZED=FALSE&amp;VAR:CALENDAR=US&amp;VAR:SYMBOL=N0098510&amp;VAR:INDEX=0"}</definedName>
    <definedName name="_696__FDSAUDITLINK__" localSheetId="6" hidden="1">{"fdsup://directions/FAT%20Viewer?VAR:PED=LTM&amp;VAR:AUDIT_MODE=SUMMARY&amp;VAR:PERIOD=FIXED&amp;VAR:AUDIT_ID=00000117&amp;VAR:DATE=20080327&amp;action=UPDATE&amp;creator=factset&amp;DOC_NAME=FAT:FMA_audit_SUMMARY.fat&amp;DISPLAY_STRING=Display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6__FDSAUDITLINK__" hidden="1">{"fdsup://directions/FAT%20Viewer?VAR:PED=LTM&amp;VAR:AUDIT_MODE=SUMMARY&amp;VAR:PERIOD=FIXED&amp;VAR:AUDIT_ID=00000117&amp;VAR:DATE=20080327&amp;action=UPDATE&amp;creator=factset&amp;DOC_NAME=FAT:FMA_audit_SUMMARY.fat&amp;DISPLAY_STRING=Display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60__FDSAUDITLINK__" localSheetId="6" hidden="1">{"fdsup://directions/FAT Viewer?action=UPDATE&amp;creator=factset&amp;DYN_ARGS=TRUE&amp;DOC_NAME=FAT:FQL_AUDITING_CLIENT_TEMPLATE.FAT&amp;display_string=Audit&amp;VAR:KEY=RMZAFSDUPC&amp;VAR:QUERY=RkZfRUJJVERBX0lCKCdMVE1TJywzODc1Myk=&amp;WINDOW=FIRST_POPUP&amp;HEIGHT=450&amp;WIDTH=450&amp;START_MA","XIMIZED=FALSE&amp;VAR:CALENDAR=US&amp;VAR:SYMBOL=N0098510&amp;VAR:INDEX=0"}</definedName>
    <definedName name="_6960__FDSAUDITLINK__" hidden="1">{"fdsup://directions/FAT Viewer?action=UPDATE&amp;creator=factset&amp;DYN_ARGS=TRUE&amp;DOC_NAME=FAT:FQL_AUDITING_CLIENT_TEMPLATE.FAT&amp;display_string=Audit&amp;VAR:KEY=RMZAFSDUPC&amp;VAR:QUERY=RkZfRUJJVERBX0lCKCdMVE1TJywzODc1Myk=&amp;WINDOW=FIRST_POPUP&amp;HEIGHT=450&amp;WIDTH=450&amp;START_MA","XIMIZED=FALSE&amp;VAR:CALENDAR=US&amp;VAR:SYMBOL=N0098510&amp;VAR:INDEX=0"}</definedName>
    <definedName name="_6961__FDSAUDITLINK__" localSheetId="6" hidden="1">{"fdsup://directions/FAT Viewer?action=UPDATE&amp;creator=factset&amp;DYN_ARGS=TRUE&amp;DOC_NAME=FAT:FQL_AUDITING_CLIENT_TEMPLATE.FAT&amp;display_string=Audit&amp;VAR:KEY=ROXWVEHCVG&amp;VAR:QUERY=RkZfRUJJVERBX0lCKCdMVE1TJywzODc1Mik=&amp;WINDOW=FIRST_POPUP&amp;HEIGHT=450&amp;WIDTH=450&amp;START_MA","XIMIZED=FALSE&amp;VAR:CALENDAR=US&amp;VAR:SYMBOL=N0098510&amp;VAR:INDEX=0"}</definedName>
    <definedName name="_6961__FDSAUDITLINK__" hidden="1">{"fdsup://directions/FAT Viewer?action=UPDATE&amp;creator=factset&amp;DYN_ARGS=TRUE&amp;DOC_NAME=FAT:FQL_AUDITING_CLIENT_TEMPLATE.FAT&amp;display_string=Audit&amp;VAR:KEY=ROXWVEHCVG&amp;VAR:QUERY=RkZfRUJJVERBX0lCKCdMVE1TJywzODc1Mik=&amp;WINDOW=FIRST_POPUP&amp;HEIGHT=450&amp;WIDTH=450&amp;START_MA","XIMIZED=FALSE&amp;VAR:CALENDAR=US&amp;VAR:SYMBOL=N0098510&amp;VAR:INDEX=0"}</definedName>
    <definedName name="_6962__FDSAUDITLINK__" localSheetId="6" hidden="1">{"fdsup://directions/FAT Viewer?action=UPDATE&amp;creator=factset&amp;DYN_ARGS=TRUE&amp;DOC_NAME=FAT:FQL_AUDITING_CLIENT_TEMPLATE.FAT&amp;display_string=Audit&amp;VAR:KEY=VGBENADYJC&amp;VAR:QUERY=RkZfRUJJVERBX0lCKCdMVE1TJywzODc1MSk=&amp;WINDOW=FIRST_POPUP&amp;HEIGHT=450&amp;WIDTH=450&amp;START_MA","XIMIZED=FALSE&amp;VAR:CALENDAR=US&amp;VAR:SYMBOL=N0098510&amp;VAR:INDEX=0"}</definedName>
    <definedName name="_6962__FDSAUDITLINK__" hidden="1">{"fdsup://directions/FAT Viewer?action=UPDATE&amp;creator=factset&amp;DYN_ARGS=TRUE&amp;DOC_NAME=FAT:FQL_AUDITING_CLIENT_TEMPLATE.FAT&amp;display_string=Audit&amp;VAR:KEY=VGBENADYJC&amp;VAR:QUERY=RkZfRUJJVERBX0lCKCdMVE1TJywzODc1MSk=&amp;WINDOW=FIRST_POPUP&amp;HEIGHT=450&amp;WIDTH=450&amp;START_MA","XIMIZED=FALSE&amp;VAR:CALENDAR=US&amp;VAR:SYMBOL=N0098510&amp;VAR:INDEX=0"}</definedName>
    <definedName name="_6963__FDSAUDITLINK__" localSheetId="6" hidden="1">{"fdsup://directions/FAT Viewer?action=UPDATE&amp;creator=factset&amp;DYN_ARGS=TRUE&amp;DOC_NAME=FAT:FQL_AUDITING_CLIENT_TEMPLATE.FAT&amp;display_string=Audit&amp;VAR:KEY=BUNWPKZYJK&amp;VAR:QUERY=RkZfRUJJVERBX0lCKCdMVE1TJywzODc1MCk=&amp;WINDOW=FIRST_POPUP&amp;HEIGHT=450&amp;WIDTH=450&amp;START_MA","XIMIZED=FALSE&amp;VAR:CALENDAR=US&amp;VAR:SYMBOL=N0098510&amp;VAR:INDEX=0"}</definedName>
    <definedName name="_6963__FDSAUDITLINK__" hidden="1">{"fdsup://directions/FAT Viewer?action=UPDATE&amp;creator=factset&amp;DYN_ARGS=TRUE&amp;DOC_NAME=FAT:FQL_AUDITING_CLIENT_TEMPLATE.FAT&amp;display_string=Audit&amp;VAR:KEY=BUNWPKZYJK&amp;VAR:QUERY=RkZfRUJJVERBX0lCKCdMVE1TJywzODc1MCk=&amp;WINDOW=FIRST_POPUP&amp;HEIGHT=450&amp;WIDTH=450&amp;START_MA","XIMIZED=FALSE&amp;VAR:CALENDAR=US&amp;VAR:SYMBOL=N0098510&amp;VAR:INDEX=0"}</definedName>
    <definedName name="_6964__FDSAUDITLINK__" localSheetId="6" hidden="1">{"fdsup://directions/FAT Viewer?action=UPDATE&amp;creator=factset&amp;DYN_ARGS=TRUE&amp;DOC_NAME=FAT:FQL_AUDITING_CLIENT_TEMPLATE.FAT&amp;display_string=Audit&amp;VAR:KEY=LUHIRMJMRC&amp;VAR:QUERY=RkZfRUJJVERBX0lCKCdMVE1TJywzODc0OSk=&amp;WINDOW=FIRST_POPUP&amp;HEIGHT=450&amp;WIDTH=450&amp;START_MA","XIMIZED=FALSE&amp;VAR:CALENDAR=US&amp;VAR:SYMBOL=N0098510&amp;VAR:INDEX=0"}</definedName>
    <definedName name="_6964__FDSAUDITLINK__" hidden="1">{"fdsup://directions/FAT Viewer?action=UPDATE&amp;creator=factset&amp;DYN_ARGS=TRUE&amp;DOC_NAME=FAT:FQL_AUDITING_CLIENT_TEMPLATE.FAT&amp;display_string=Audit&amp;VAR:KEY=LUHIRMJMRC&amp;VAR:QUERY=RkZfRUJJVERBX0lCKCdMVE1TJywzODc0OSk=&amp;WINDOW=FIRST_POPUP&amp;HEIGHT=450&amp;WIDTH=450&amp;START_MA","XIMIZED=FALSE&amp;VAR:CALENDAR=US&amp;VAR:SYMBOL=N0098510&amp;VAR:INDEX=0"}</definedName>
    <definedName name="_6965__FDSAUDITLINK__" localSheetId="6" hidden="1">{"fdsup://directions/FAT Viewer?action=UPDATE&amp;creator=factset&amp;DYN_ARGS=TRUE&amp;DOC_NAME=FAT:FQL_AUDITING_CLIENT_TEMPLATE.FAT&amp;display_string=Audit&amp;VAR:KEY=ZGVELOVCXK&amp;VAR:QUERY=RkZfRUJJVERBX0lCKCdMVE1TJywzODc0OCk=&amp;WINDOW=FIRST_POPUP&amp;HEIGHT=450&amp;WIDTH=450&amp;START_MA","XIMIZED=FALSE&amp;VAR:CALENDAR=US&amp;VAR:SYMBOL=N0098510&amp;VAR:INDEX=0"}</definedName>
    <definedName name="_6965__FDSAUDITLINK__" hidden="1">{"fdsup://directions/FAT Viewer?action=UPDATE&amp;creator=factset&amp;DYN_ARGS=TRUE&amp;DOC_NAME=FAT:FQL_AUDITING_CLIENT_TEMPLATE.FAT&amp;display_string=Audit&amp;VAR:KEY=ZGVELOVCXK&amp;VAR:QUERY=RkZfRUJJVERBX0lCKCdMVE1TJywzODc0OCk=&amp;WINDOW=FIRST_POPUP&amp;HEIGHT=450&amp;WIDTH=450&amp;START_MA","XIMIZED=FALSE&amp;VAR:CALENDAR=US&amp;VAR:SYMBOL=N0098510&amp;VAR:INDEX=0"}</definedName>
    <definedName name="_6966__FDSAUDITLINK__" localSheetId="6" hidden="1">{"fdsup://directions/FAT Viewer?action=UPDATE&amp;creator=factset&amp;DYN_ARGS=TRUE&amp;DOC_NAME=FAT:FQL_AUDITING_CLIENT_TEMPLATE.FAT&amp;display_string=Audit&amp;VAR:KEY=HUBKXWRMLY&amp;VAR:QUERY=RkZfRUJJVERBX0lCKCdMVE1TJywzODc0Nyk=&amp;WINDOW=FIRST_POPUP&amp;HEIGHT=450&amp;WIDTH=450&amp;START_MA","XIMIZED=FALSE&amp;VAR:CALENDAR=US&amp;VAR:SYMBOL=N0098510&amp;VAR:INDEX=0"}</definedName>
    <definedName name="_6966__FDSAUDITLINK__" hidden="1">{"fdsup://directions/FAT Viewer?action=UPDATE&amp;creator=factset&amp;DYN_ARGS=TRUE&amp;DOC_NAME=FAT:FQL_AUDITING_CLIENT_TEMPLATE.FAT&amp;display_string=Audit&amp;VAR:KEY=HUBKXWRMLY&amp;VAR:QUERY=RkZfRUJJVERBX0lCKCdMVE1TJywzODc0Nyk=&amp;WINDOW=FIRST_POPUP&amp;HEIGHT=450&amp;WIDTH=450&amp;START_MA","XIMIZED=FALSE&amp;VAR:CALENDAR=US&amp;VAR:SYMBOL=N0098510&amp;VAR:INDEX=0"}</definedName>
    <definedName name="_6967__FDSAUDITLINK__" localSheetId="6" hidden="1">{"fdsup://directions/FAT Viewer?action=UPDATE&amp;creator=factset&amp;DYN_ARGS=TRUE&amp;DOC_NAME=FAT:FQL_AUDITING_CLIENT_TEMPLATE.FAT&amp;display_string=Audit&amp;VAR:KEY=TYLUDQRANC&amp;VAR:QUERY=RkZfRUJJVERBX0lCKCdMVE1TJywzODc0Nik=&amp;WINDOW=FIRST_POPUP&amp;HEIGHT=450&amp;WIDTH=450&amp;START_MA","XIMIZED=FALSE&amp;VAR:CALENDAR=US&amp;VAR:SYMBOL=N0098510&amp;VAR:INDEX=0"}</definedName>
    <definedName name="_6967__FDSAUDITLINK__" hidden="1">{"fdsup://directions/FAT Viewer?action=UPDATE&amp;creator=factset&amp;DYN_ARGS=TRUE&amp;DOC_NAME=FAT:FQL_AUDITING_CLIENT_TEMPLATE.FAT&amp;display_string=Audit&amp;VAR:KEY=TYLUDQRANC&amp;VAR:QUERY=RkZfRUJJVERBX0lCKCdMVE1TJywzODc0Nik=&amp;WINDOW=FIRST_POPUP&amp;HEIGHT=450&amp;WIDTH=450&amp;START_MA","XIMIZED=FALSE&amp;VAR:CALENDAR=US&amp;VAR:SYMBOL=N0098510&amp;VAR:INDEX=0"}</definedName>
    <definedName name="_6968__FDSAUDITLINK__" localSheetId="6" hidden="1">{"fdsup://directions/FAT Viewer?action=UPDATE&amp;creator=factset&amp;DYN_ARGS=TRUE&amp;DOC_NAME=FAT:FQL_AUDITING_CLIENT_TEMPLATE.FAT&amp;display_string=Audit&amp;VAR:KEY=LAJQZKDMZG&amp;VAR:QUERY=RkZfRUJJVERBX0lCKCdMVE1TJywzODc0NSk=&amp;WINDOW=FIRST_POPUP&amp;HEIGHT=450&amp;WIDTH=450&amp;START_MA","XIMIZED=FALSE&amp;VAR:CALENDAR=US&amp;VAR:SYMBOL=N0098510&amp;VAR:INDEX=0"}</definedName>
    <definedName name="_6968__FDSAUDITLINK__" hidden="1">{"fdsup://directions/FAT Viewer?action=UPDATE&amp;creator=factset&amp;DYN_ARGS=TRUE&amp;DOC_NAME=FAT:FQL_AUDITING_CLIENT_TEMPLATE.FAT&amp;display_string=Audit&amp;VAR:KEY=LAJQZKDMZG&amp;VAR:QUERY=RkZfRUJJVERBX0lCKCdMVE1TJywzODc0NSk=&amp;WINDOW=FIRST_POPUP&amp;HEIGHT=450&amp;WIDTH=450&amp;START_MA","XIMIZED=FALSE&amp;VAR:CALENDAR=US&amp;VAR:SYMBOL=N0098510&amp;VAR:INDEX=0"}</definedName>
    <definedName name="_6969__FDSAUDITLINK__" localSheetId="6" hidden="1">{"fdsup://directions/FAT Viewer?action=UPDATE&amp;creator=factset&amp;DYN_ARGS=TRUE&amp;DOC_NAME=FAT:FQL_AUDITING_CLIENT_TEMPLATE.FAT&amp;display_string=Audit&amp;VAR:KEY=HYPYLYNSRK&amp;VAR:QUERY=RkZfRUJJVERBX0lCKCdMVE1TJywzODc0NCk=&amp;WINDOW=FIRST_POPUP&amp;HEIGHT=450&amp;WIDTH=450&amp;START_MA","XIMIZED=FALSE&amp;VAR:CALENDAR=US&amp;VAR:SYMBOL=N0098510&amp;VAR:INDEX=0"}</definedName>
    <definedName name="_6969__FDSAUDITLINK__" hidden="1">{"fdsup://directions/FAT Viewer?action=UPDATE&amp;creator=factset&amp;DYN_ARGS=TRUE&amp;DOC_NAME=FAT:FQL_AUDITING_CLIENT_TEMPLATE.FAT&amp;display_string=Audit&amp;VAR:KEY=HYPYLYNSRK&amp;VAR:QUERY=RkZfRUJJVERBX0lCKCdMVE1TJywzODc0NCk=&amp;WINDOW=FIRST_POPUP&amp;HEIGHT=450&amp;WIDTH=450&amp;START_MA","XIMIZED=FALSE&amp;VAR:CALENDAR=US&amp;VAR:SYMBOL=N0098510&amp;VAR:INDEX=0"}</definedName>
    <definedName name="_697__FDSAUDITLINK__" localSheetId="6" hidden="1">{"fdsup://directions/FAT%20Viewer?VAR:PED=LTM&amp;VAR:AUDIT_MODE=SUMMARY&amp;VAR:PERIOD=FIXED&amp;VAR:AUDIT_ID=00000117&amp;VAR:DATE=20080326&amp;action=UPDATE&amp;creator=factset&amp;DOC_NAME=FAT:FMA_audit_SUMMARY.fat&amp;DISPLAY_STRING=Display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7__FDSAUDITLINK__" hidden="1">{"fdsup://directions/FAT%20Viewer?VAR:PED=LTM&amp;VAR:AUDIT_MODE=SUMMARY&amp;VAR:PERIOD=FIXED&amp;VAR:AUDIT_ID=00000117&amp;VAR:DATE=20080326&amp;action=UPDATE&amp;creator=factset&amp;DOC_NAME=FAT:FMA_audit_SUMMARY.fat&amp;DISPLAY_STRING=Display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70__FDSAUDITLINK__" localSheetId="6" hidden="1">{"fdsup://directions/FAT Viewer?action=UPDATE&amp;creator=factset&amp;DYN_ARGS=TRUE&amp;DOC_NAME=FAT:FQL_AUDITING_CLIENT_TEMPLATE.FAT&amp;display_string=Audit&amp;VAR:KEY=VUTKPKTMHA&amp;VAR:QUERY=RkZfRUJJVERBX0lCKCdMVE1TJywzODc0Myk=&amp;WINDOW=FIRST_POPUP&amp;HEIGHT=450&amp;WIDTH=450&amp;START_MA","XIMIZED=FALSE&amp;VAR:CALENDAR=US&amp;VAR:SYMBOL=N0098510&amp;VAR:INDEX=0"}</definedName>
    <definedName name="_6970__FDSAUDITLINK__" hidden="1">{"fdsup://directions/FAT Viewer?action=UPDATE&amp;creator=factset&amp;DYN_ARGS=TRUE&amp;DOC_NAME=FAT:FQL_AUDITING_CLIENT_TEMPLATE.FAT&amp;display_string=Audit&amp;VAR:KEY=VUTKPKTMHA&amp;VAR:QUERY=RkZfRUJJVERBX0lCKCdMVE1TJywzODc0Myk=&amp;WINDOW=FIRST_POPUP&amp;HEIGHT=450&amp;WIDTH=450&amp;START_MA","XIMIZED=FALSE&amp;VAR:CALENDAR=US&amp;VAR:SYMBOL=N0098510&amp;VAR:INDEX=0"}</definedName>
    <definedName name="_6971__FDSAUDITLINK__" localSheetId="6" hidden="1">{"fdsup://directions/FAT Viewer?action=UPDATE&amp;creator=factset&amp;DYN_ARGS=TRUE&amp;DOC_NAME=FAT:FQL_AUDITING_CLIENT_TEMPLATE.FAT&amp;display_string=Audit&amp;VAR:KEY=HABEHYPENO&amp;VAR:QUERY=RkZfRUJJVERBX0lCKCdMVE1TJywzODc0Mik=&amp;WINDOW=FIRST_POPUP&amp;HEIGHT=450&amp;WIDTH=450&amp;START_MA","XIMIZED=FALSE&amp;VAR:CALENDAR=US&amp;VAR:SYMBOL=N0098510&amp;VAR:INDEX=0"}</definedName>
    <definedName name="_6971__FDSAUDITLINK__" hidden="1">{"fdsup://directions/FAT Viewer?action=UPDATE&amp;creator=factset&amp;DYN_ARGS=TRUE&amp;DOC_NAME=FAT:FQL_AUDITING_CLIENT_TEMPLATE.FAT&amp;display_string=Audit&amp;VAR:KEY=HABEHYPENO&amp;VAR:QUERY=RkZfRUJJVERBX0lCKCdMVE1TJywzODc0Mik=&amp;WINDOW=FIRST_POPUP&amp;HEIGHT=450&amp;WIDTH=450&amp;START_MA","XIMIZED=FALSE&amp;VAR:CALENDAR=US&amp;VAR:SYMBOL=N0098510&amp;VAR:INDEX=0"}</definedName>
    <definedName name="_6972__FDSAUDITLINK__" localSheetId="6" hidden="1">{"fdsup://directions/FAT Viewer?action=UPDATE&amp;creator=factset&amp;DYN_ARGS=TRUE&amp;DOC_NAME=FAT:FQL_AUDITING_CLIENT_TEMPLATE.FAT&amp;display_string=Audit&amp;VAR:KEY=FSVWBQFKHC&amp;VAR:QUERY=RkZfRUJJVERBX0lCKCdMVE1TJywzODc0MSk=&amp;WINDOW=FIRST_POPUP&amp;HEIGHT=450&amp;WIDTH=450&amp;START_MA","XIMIZED=FALSE&amp;VAR:CALENDAR=US&amp;VAR:SYMBOL=N0098510&amp;VAR:INDEX=0"}</definedName>
    <definedName name="_6972__FDSAUDITLINK__" hidden="1">{"fdsup://directions/FAT Viewer?action=UPDATE&amp;creator=factset&amp;DYN_ARGS=TRUE&amp;DOC_NAME=FAT:FQL_AUDITING_CLIENT_TEMPLATE.FAT&amp;display_string=Audit&amp;VAR:KEY=FSVWBQFKHC&amp;VAR:QUERY=RkZfRUJJVERBX0lCKCdMVE1TJywzODc0MSk=&amp;WINDOW=FIRST_POPUP&amp;HEIGHT=450&amp;WIDTH=450&amp;START_MA","XIMIZED=FALSE&amp;VAR:CALENDAR=US&amp;VAR:SYMBOL=N0098510&amp;VAR:INDEX=0"}</definedName>
    <definedName name="_6973__FDSAUDITLINK__" localSheetId="6" hidden="1">{"fdsup://directions/FAT Viewer?action=UPDATE&amp;creator=factset&amp;DYN_ARGS=TRUE&amp;DOC_NAME=FAT:FQL_AUDITING_CLIENT_TEMPLATE.FAT&amp;display_string=Audit&amp;VAR:KEY=PEPAFEPGRK&amp;VAR:QUERY=RkZfRUJJVERBX0lCKCdMVE1TJywzODc0MCk=&amp;WINDOW=FIRST_POPUP&amp;HEIGHT=450&amp;WIDTH=450&amp;START_MA","XIMIZED=FALSE&amp;VAR:CALENDAR=US&amp;VAR:SYMBOL=N0098510&amp;VAR:INDEX=0"}</definedName>
    <definedName name="_6973__FDSAUDITLINK__" hidden="1">{"fdsup://directions/FAT Viewer?action=UPDATE&amp;creator=factset&amp;DYN_ARGS=TRUE&amp;DOC_NAME=FAT:FQL_AUDITING_CLIENT_TEMPLATE.FAT&amp;display_string=Audit&amp;VAR:KEY=PEPAFEPGRK&amp;VAR:QUERY=RkZfRUJJVERBX0lCKCdMVE1TJywzODc0MCk=&amp;WINDOW=FIRST_POPUP&amp;HEIGHT=450&amp;WIDTH=450&amp;START_MA","XIMIZED=FALSE&amp;VAR:CALENDAR=US&amp;VAR:SYMBOL=N0098510&amp;VAR:INDEX=0"}</definedName>
    <definedName name="_6974__FDSAUDITLINK__" localSheetId="6" hidden="1">{"fdsup://directions/FAT Viewer?action=UPDATE&amp;creator=factset&amp;DYN_ARGS=TRUE&amp;DOC_NAME=FAT:FQL_AUDITING_CLIENT_TEMPLATE.FAT&amp;display_string=Audit&amp;VAR:KEY=REVGLCZCTW&amp;VAR:QUERY=RkZfRUJJVERBX0lCKCdMVE1TJywzODczOSk=&amp;WINDOW=FIRST_POPUP&amp;HEIGHT=450&amp;WIDTH=450&amp;START_MA","XIMIZED=FALSE&amp;VAR:CALENDAR=US&amp;VAR:SYMBOL=N0098510&amp;VAR:INDEX=0"}</definedName>
    <definedName name="_6974__FDSAUDITLINK__" hidden="1">{"fdsup://directions/FAT Viewer?action=UPDATE&amp;creator=factset&amp;DYN_ARGS=TRUE&amp;DOC_NAME=FAT:FQL_AUDITING_CLIENT_TEMPLATE.FAT&amp;display_string=Audit&amp;VAR:KEY=REVGLCZCTW&amp;VAR:QUERY=RkZfRUJJVERBX0lCKCdMVE1TJywzODczOSk=&amp;WINDOW=FIRST_POPUP&amp;HEIGHT=450&amp;WIDTH=450&amp;START_MA","XIMIZED=FALSE&amp;VAR:CALENDAR=US&amp;VAR:SYMBOL=N0098510&amp;VAR:INDEX=0"}</definedName>
    <definedName name="_6975__FDSAUDITLINK__" localSheetId="6" hidden="1">{"fdsup://directions/FAT Viewer?action=UPDATE&amp;creator=factset&amp;DYN_ARGS=TRUE&amp;DOC_NAME=FAT:FQL_AUDITING_CLIENT_TEMPLATE.FAT&amp;display_string=Audit&amp;VAR:KEY=HIBCPMVKPC&amp;VAR:QUERY=RkZfRUJJVERBX0lCKCdMVE1TJywzODczOCk=&amp;WINDOW=FIRST_POPUP&amp;HEIGHT=450&amp;WIDTH=450&amp;START_MA","XIMIZED=FALSE&amp;VAR:CALENDAR=US&amp;VAR:SYMBOL=N0098510&amp;VAR:INDEX=0"}</definedName>
    <definedName name="_6975__FDSAUDITLINK__" hidden="1">{"fdsup://directions/FAT Viewer?action=UPDATE&amp;creator=factset&amp;DYN_ARGS=TRUE&amp;DOC_NAME=FAT:FQL_AUDITING_CLIENT_TEMPLATE.FAT&amp;display_string=Audit&amp;VAR:KEY=HIBCPMVKPC&amp;VAR:QUERY=RkZfRUJJVERBX0lCKCdMVE1TJywzODczOCk=&amp;WINDOW=FIRST_POPUP&amp;HEIGHT=450&amp;WIDTH=450&amp;START_MA","XIMIZED=FALSE&amp;VAR:CALENDAR=US&amp;VAR:SYMBOL=N0098510&amp;VAR:INDEX=0"}</definedName>
    <definedName name="_6976__FDSAUDITLINK__" localSheetId="6" hidden="1">{"fdsup://directions/FAT Viewer?action=UPDATE&amp;creator=factset&amp;DYN_ARGS=TRUE&amp;DOC_NAME=FAT:FQL_AUDITING_CLIENT_TEMPLATE.FAT&amp;display_string=Audit&amp;VAR:KEY=LYTIDMTKBW&amp;VAR:QUERY=RkZfRUJJVERBX0lCKCdMVE1TJywzODczNyk=&amp;WINDOW=FIRST_POPUP&amp;HEIGHT=450&amp;WIDTH=450&amp;START_MA","XIMIZED=FALSE&amp;VAR:CALENDAR=US&amp;VAR:SYMBOL=N0098510&amp;VAR:INDEX=0"}</definedName>
    <definedName name="_6976__FDSAUDITLINK__" hidden="1">{"fdsup://directions/FAT Viewer?action=UPDATE&amp;creator=factset&amp;DYN_ARGS=TRUE&amp;DOC_NAME=FAT:FQL_AUDITING_CLIENT_TEMPLATE.FAT&amp;display_string=Audit&amp;VAR:KEY=LYTIDMTKBW&amp;VAR:QUERY=RkZfRUJJVERBX0lCKCdMVE1TJywzODczNyk=&amp;WINDOW=FIRST_POPUP&amp;HEIGHT=450&amp;WIDTH=450&amp;START_MA","XIMIZED=FALSE&amp;VAR:CALENDAR=US&amp;VAR:SYMBOL=N0098510&amp;VAR:INDEX=0"}</definedName>
    <definedName name="_6977__FDSAUDITLINK__" localSheetId="6" hidden="1">{"fdsup://directions/FAT Viewer?action=UPDATE&amp;creator=factset&amp;DYN_ARGS=TRUE&amp;DOC_NAME=FAT:FQL_AUDITING_CLIENT_TEMPLATE.FAT&amp;display_string=Audit&amp;VAR:KEY=DAZKPGFSPK&amp;VAR:QUERY=RkZfRUJJVERBX0lCKCdMVE1TJywzODczNik=&amp;WINDOW=FIRST_POPUP&amp;HEIGHT=450&amp;WIDTH=450&amp;START_MA","XIMIZED=FALSE&amp;VAR:CALENDAR=US&amp;VAR:SYMBOL=N0098510&amp;VAR:INDEX=0"}</definedName>
    <definedName name="_6977__FDSAUDITLINK__" hidden="1">{"fdsup://directions/FAT Viewer?action=UPDATE&amp;creator=factset&amp;DYN_ARGS=TRUE&amp;DOC_NAME=FAT:FQL_AUDITING_CLIENT_TEMPLATE.FAT&amp;display_string=Audit&amp;VAR:KEY=DAZKPGFSPK&amp;VAR:QUERY=RkZfRUJJVERBX0lCKCdMVE1TJywzODczNik=&amp;WINDOW=FIRST_POPUP&amp;HEIGHT=450&amp;WIDTH=450&amp;START_MA","XIMIZED=FALSE&amp;VAR:CALENDAR=US&amp;VAR:SYMBOL=N0098510&amp;VAR:INDEX=0"}</definedName>
    <definedName name="_6978__FDSAUDITLINK__" localSheetId="6" hidden="1">{"fdsup://directions/FAT Viewer?action=UPDATE&amp;creator=factset&amp;DYN_ARGS=TRUE&amp;DOC_NAME=FAT:FQL_AUDITING_CLIENT_TEMPLATE.FAT&amp;display_string=Audit&amp;VAR:KEY=TYNUJCNANW&amp;VAR:QUERY=RkZfRUJJVERBX0lCKCdMVE1TJywzODczNSk=&amp;WINDOW=FIRST_POPUP&amp;HEIGHT=450&amp;WIDTH=450&amp;START_MA","XIMIZED=FALSE&amp;VAR:CALENDAR=US&amp;VAR:SYMBOL=N0098510&amp;VAR:INDEX=0"}</definedName>
    <definedName name="_6978__FDSAUDITLINK__" hidden="1">{"fdsup://directions/FAT Viewer?action=UPDATE&amp;creator=factset&amp;DYN_ARGS=TRUE&amp;DOC_NAME=FAT:FQL_AUDITING_CLIENT_TEMPLATE.FAT&amp;display_string=Audit&amp;VAR:KEY=TYNUJCNANW&amp;VAR:QUERY=RkZfRUJJVERBX0lCKCdMVE1TJywzODczNSk=&amp;WINDOW=FIRST_POPUP&amp;HEIGHT=450&amp;WIDTH=450&amp;START_MA","XIMIZED=FALSE&amp;VAR:CALENDAR=US&amp;VAR:SYMBOL=N0098510&amp;VAR:INDEX=0"}</definedName>
    <definedName name="_6979__FDSAUDITLINK__" localSheetId="6" hidden="1">{"fdsup://directions/FAT Viewer?action=UPDATE&amp;creator=factset&amp;DYN_ARGS=TRUE&amp;DOC_NAME=FAT:FQL_AUDITING_CLIENT_TEMPLATE.FAT&amp;display_string=Audit&amp;VAR:KEY=BGLQJSRKJM&amp;VAR:QUERY=RkZfRUJJVERBX0lCKCdMVE1TJywzODczNCk=&amp;WINDOW=FIRST_POPUP&amp;HEIGHT=450&amp;WIDTH=450&amp;START_MA","XIMIZED=FALSE&amp;VAR:CALENDAR=US&amp;VAR:SYMBOL=N0098510&amp;VAR:INDEX=0"}</definedName>
    <definedName name="_6979__FDSAUDITLINK__" hidden="1">{"fdsup://directions/FAT Viewer?action=UPDATE&amp;creator=factset&amp;DYN_ARGS=TRUE&amp;DOC_NAME=FAT:FQL_AUDITING_CLIENT_TEMPLATE.FAT&amp;display_string=Audit&amp;VAR:KEY=BGLQJSRKJM&amp;VAR:QUERY=RkZfRUJJVERBX0lCKCdMVE1TJywzODczNCk=&amp;WINDOW=FIRST_POPUP&amp;HEIGHT=450&amp;WIDTH=450&amp;START_MA","XIMIZED=FALSE&amp;VAR:CALENDAR=US&amp;VAR:SYMBOL=N0098510&amp;VAR:INDEX=0"}</definedName>
    <definedName name="_698__FDSAUDITLINK__" localSheetId="6" hidden="1">{"fdsup://directions/FAT%20Viewer?VAR:PED=LTM&amp;VAR:AUDIT_MODE=SUMMARY&amp;VAR:PERIOD=FIXED&amp;VAR:AUDIT_ID=00000117&amp;VAR:DATE=20080325&amp;action=UPDATE&amp;creator=factset&amp;DOC_NAME=FAT:FMA_audit_SUMMARY.fat&amp;DISPLAY_STRING=Display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8__FDSAUDITLINK__" hidden="1">{"fdsup://directions/FAT%20Viewer?VAR:PED=LTM&amp;VAR:AUDIT_MODE=SUMMARY&amp;VAR:PERIOD=FIXED&amp;VAR:AUDIT_ID=00000117&amp;VAR:DATE=20080325&amp;action=UPDATE&amp;creator=factset&amp;DOC_NAME=FAT:FMA_audit_SUMMARY.fat&amp;DISPLAY_STRING=Display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80__FDSAUDITLINK__" localSheetId="6" hidden="1">{"fdsup://directions/FAT Viewer?action=UPDATE&amp;creator=factset&amp;DYN_ARGS=TRUE&amp;DOC_NAME=FAT:FQL_AUDITING_CLIENT_TEMPLATE.FAT&amp;display_string=Audit&amp;VAR:KEY=JWFERYDCFG&amp;VAR:QUERY=RkZfRUJJVERBX0lCKCdMVE1TJywzODczMyk=&amp;WINDOW=FIRST_POPUP&amp;HEIGHT=450&amp;WIDTH=450&amp;START_MA","XIMIZED=FALSE&amp;VAR:CALENDAR=US&amp;VAR:SYMBOL=N0098510&amp;VAR:INDEX=0"}</definedName>
    <definedName name="_6980__FDSAUDITLINK__" hidden="1">{"fdsup://directions/FAT Viewer?action=UPDATE&amp;creator=factset&amp;DYN_ARGS=TRUE&amp;DOC_NAME=FAT:FQL_AUDITING_CLIENT_TEMPLATE.FAT&amp;display_string=Audit&amp;VAR:KEY=JWFERYDCFG&amp;VAR:QUERY=RkZfRUJJVERBX0lCKCdMVE1TJywzODczMyk=&amp;WINDOW=FIRST_POPUP&amp;HEIGHT=450&amp;WIDTH=450&amp;START_MA","XIMIZED=FALSE&amp;VAR:CALENDAR=US&amp;VAR:SYMBOL=N0098510&amp;VAR:INDEX=0"}</definedName>
    <definedName name="_6981__FDSAUDITLINK__" localSheetId="6" hidden="1">{"fdsup://directions/FAT Viewer?action=UPDATE&amp;creator=factset&amp;DYN_ARGS=TRUE&amp;DOC_NAME=FAT:FQL_AUDITING_CLIENT_TEMPLATE.FAT&amp;display_string=Audit&amp;VAR:KEY=NKZYDQRIJU&amp;VAR:QUERY=RkZfRUJJVERBX0lCKCdMVE1TJywzODczMik=&amp;WINDOW=FIRST_POPUP&amp;HEIGHT=450&amp;WIDTH=450&amp;START_MA","XIMIZED=FALSE&amp;VAR:CALENDAR=US&amp;VAR:SYMBOL=N0098510&amp;VAR:INDEX=0"}</definedName>
    <definedName name="_6981__FDSAUDITLINK__" hidden="1">{"fdsup://directions/FAT Viewer?action=UPDATE&amp;creator=factset&amp;DYN_ARGS=TRUE&amp;DOC_NAME=FAT:FQL_AUDITING_CLIENT_TEMPLATE.FAT&amp;display_string=Audit&amp;VAR:KEY=NKZYDQRIJU&amp;VAR:QUERY=RkZfRUJJVERBX0lCKCdMVE1TJywzODczMik=&amp;WINDOW=FIRST_POPUP&amp;HEIGHT=450&amp;WIDTH=450&amp;START_MA","XIMIZED=FALSE&amp;VAR:CALENDAR=US&amp;VAR:SYMBOL=N0098510&amp;VAR:INDEX=0"}</definedName>
    <definedName name="_6982__FDSAUDITLINK__" localSheetId="6" hidden="1">{"fdsup://directions/FAT Viewer?action=UPDATE&amp;creator=factset&amp;DYN_ARGS=TRUE&amp;DOC_NAME=FAT:FQL_AUDITING_CLIENT_TEMPLATE.FAT&amp;display_string=Audit&amp;VAR:KEY=NKHEDSRWJE&amp;VAR:QUERY=RkZfRUJJVERBX0lCKCdMVE1TJywzODczMSk=&amp;WINDOW=FIRST_POPUP&amp;HEIGHT=450&amp;WIDTH=450&amp;START_MA","XIMIZED=FALSE&amp;VAR:CALENDAR=US&amp;VAR:SYMBOL=N0098510&amp;VAR:INDEX=0"}</definedName>
    <definedName name="_6982__FDSAUDITLINK__" hidden="1">{"fdsup://directions/FAT Viewer?action=UPDATE&amp;creator=factset&amp;DYN_ARGS=TRUE&amp;DOC_NAME=FAT:FQL_AUDITING_CLIENT_TEMPLATE.FAT&amp;display_string=Audit&amp;VAR:KEY=NKHEDSRWJE&amp;VAR:QUERY=RkZfRUJJVERBX0lCKCdMVE1TJywzODczMSk=&amp;WINDOW=FIRST_POPUP&amp;HEIGHT=450&amp;WIDTH=450&amp;START_MA","XIMIZED=FALSE&amp;VAR:CALENDAR=US&amp;VAR:SYMBOL=N0098510&amp;VAR:INDEX=0"}</definedName>
    <definedName name="_6983__FDSAUDITLINK__" localSheetId="6" hidden="1">{"fdsup://directions/FAT Viewer?action=UPDATE&amp;creator=factset&amp;DYN_ARGS=TRUE&amp;DOC_NAME=FAT:FQL_AUDITING_CLIENT_TEMPLATE.FAT&amp;display_string=Audit&amp;VAR:KEY=PWRGXKRGLQ&amp;VAR:QUERY=RkZfRUJJVERBX0lCKCdMVE1TJywzODczMCk=&amp;WINDOW=FIRST_POPUP&amp;HEIGHT=450&amp;WIDTH=450&amp;START_MA","XIMIZED=FALSE&amp;VAR:CALENDAR=US&amp;VAR:SYMBOL=N0098510&amp;VAR:INDEX=0"}</definedName>
    <definedName name="_6983__FDSAUDITLINK__" hidden="1">{"fdsup://directions/FAT Viewer?action=UPDATE&amp;creator=factset&amp;DYN_ARGS=TRUE&amp;DOC_NAME=FAT:FQL_AUDITING_CLIENT_TEMPLATE.FAT&amp;display_string=Audit&amp;VAR:KEY=PWRGXKRGLQ&amp;VAR:QUERY=RkZfRUJJVERBX0lCKCdMVE1TJywzODczMCk=&amp;WINDOW=FIRST_POPUP&amp;HEIGHT=450&amp;WIDTH=450&amp;START_MA","XIMIZED=FALSE&amp;VAR:CALENDAR=US&amp;VAR:SYMBOL=N0098510&amp;VAR:INDEX=0"}</definedName>
    <definedName name="_6984__FDSAUDITLINK__" localSheetId="6" hidden="1">{"fdsup://directions/FAT Viewer?action=UPDATE&amp;creator=factset&amp;DYN_ARGS=TRUE&amp;DOC_NAME=FAT:FQL_AUDITING_CLIENT_TEMPLATE.FAT&amp;display_string=Audit&amp;VAR:KEY=FSDARQNYZS&amp;VAR:QUERY=RkZfRUJJVERBX0lCKCdMVE1TJywzODcyOSk=&amp;WINDOW=FIRST_POPUP&amp;HEIGHT=450&amp;WIDTH=450&amp;START_MA","XIMIZED=FALSE&amp;VAR:CALENDAR=US&amp;VAR:SYMBOL=N0098510&amp;VAR:INDEX=0"}</definedName>
    <definedName name="_6984__FDSAUDITLINK__" hidden="1">{"fdsup://directions/FAT Viewer?action=UPDATE&amp;creator=factset&amp;DYN_ARGS=TRUE&amp;DOC_NAME=FAT:FQL_AUDITING_CLIENT_TEMPLATE.FAT&amp;display_string=Audit&amp;VAR:KEY=FSDARQNYZS&amp;VAR:QUERY=RkZfRUJJVERBX0lCKCdMVE1TJywzODcyOSk=&amp;WINDOW=FIRST_POPUP&amp;HEIGHT=450&amp;WIDTH=450&amp;START_MA","XIMIZED=FALSE&amp;VAR:CALENDAR=US&amp;VAR:SYMBOL=N0098510&amp;VAR:INDEX=0"}</definedName>
    <definedName name="_6985__FDSAUDITLINK__" localSheetId="6" hidden="1">{"fdsup://directions/FAT Viewer?action=UPDATE&amp;creator=factset&amp;DYN_ARGS=TRUE&amp;DOC_NAME=FAT:FQL_AUDITING_CLIENT_TEMPLATE.FAT&amp;display_string=Audit&amp;VAR:KEY=DWVGLCPGPW&amp;VAR:QUERY=RkZfRUJJVERBX0lCKCdMVE1TJywzODcyOCk=&amp;WINDOW=FIRST_POPUP&amp;HEIGHT=450&amp;WIDTH=450&amp;START_MA","XIMIZED=FALSE&amp;VAR:CALENDAR=US&amp;VAR:SYMBOL=N0098510&amp;VAR:INDEX=0"}</definedName>
    <definedName name="_6985__FDSAUDITLINK__" hidden="1">{"fdsup://directions/FAT Viewer?action=UPDATE&amp;creator=factset&amp;DYN_ARGS=TRUE&amp;DOC_NAME=FAT:FQL_AUDITING_CLIENT_TEMPLATE.FAT&amp;display_string=Audit&amp;VAR:KEY=DWVGLCPGPW&amp;VAR:QUERY=RkZfRUJJVERBX0lCKCdMVE1TJywzODcyOCk=&amp;WINDOW=FIRST_POPUP&amp;HEIGHT=450&amp;WIDTH=450&amp;START_MA","XIMIZED=FALSE&amp;VAR:CALENDAR=US&amp;VAR:SYMBOL=N0098510&amp;VAR:INDEX=0"}</definedName>
    <definedName name="_6986__FDSAUDITLINK__" localSheetId="6" hidden="1">{"fdsup://directions/FAT Viewer?action=UPDATE&amp;creator=factset&amp;DYN_ARGS=TRUE&amp;DOC_NAME=FAT:FQL_AUDITING_CLIENT_TEMPLATE.FAT&amp;display_string=Audit&amp;VAR:KEY=NKTKFANWFE&amp;VAR:QUERY=RkZfRUJJVERBX0lCKCdMVE1TJywzODcyNyk=&amp;WINDOW=FIRST_POPUP&amp;HEIGHT=450&amp;WIDTH=450&amp;START_MA","XIMIZED=FALSE&amp;VAR:CALENDAR=US&amp;VAR:SYMBOL=N0098510&amp;VAR:INDEX=0"}</definedName>
    <definedName name="_6986__FDSAUDITLINK__" hidden="1">{"fdsup://directions/FAT Viewer?action=UPDATE&amp;creator=factset&amp;DYN_ARGS=TRUE&amp;DOC_NAME=FAT:FQL_AUDITING_CLIENT_TEMPLATE.FAT&amp;display_string=Audit&amp;VAR:KEY=NKTKFANWFE&amp;VAR:QUERY=RkZfRUJJVERBX0lCKCdMVE1TJywzODcyNyk=&amp;WINDOW=FIRST_POPUP&amp;HEIGHT=450&amp;WIDTH=450&amp;START_MA","XIMIZED=FALSE&amp;VAR:CALENDAR=US&amp;VAR:SYMBOL=N0098510&amp;VAR:INDEX=0"}</definedName>
    <definedName name="_6987__FDSAUDITLINK__" localSheetId="6" hidden="1">{"fdsup://directions/FAT Viewer?action=UPDATE&amp;creator=factset&amp;DYN_ARGS=TRUE&amp;DOC_NAME=FAT:FQL_AUDITING_CLIENT_TEMPLATE.FAT&amp;display_string=Audit&amp;VAR:KEY=FIFONKRQTU&amp;VAR:QUERY=RkZfRUJJVERBX0lCKCdMVE1TJywzODcyNik=&amp;WINDOW=FIRST_POPUP&amp;HEIGHT=450&amp;WIDTH=450&amp;START_MA","XIMIZED=FALSE&amp;VAR:CALENDAR=US&amp;VAR:SYMBOL=N0098510&amp;VAR:INDEX=0"}</definedName>
    <definedName name="_6987__FDSAUDITLINK__" hidden="1">{"fdsup://directions/FAT Viewer?action=UPDATE&amp;creator=factset&amp;DYN_ARGS=TRUE&amp;DOC_NAME=FAT:FQL_AUDITING_CLIENT_TEMPLATE.FAT&amp;display_string=Audit&amp;VAR:KEY=FIFONKRQTU&amp;VAR:QUERY=RkZfRUJJVERBX0lCKCdMVE1TJywzODcyNik=&amp;WINDOW=FIRST_POPUP&amp;HEIGHT=450&amp;WIDTH=450&amp;START_MA","XIMIZED=FALSE&amp;VAR:CALENDAR=US&amp;VAR:SYMBOL=N0098510&amp;VAR:INDEX=0"}</definedName>
    <definedName name="_6988__FDSAUDITLINK__" localSheetId="6" hidden="1">{"fdsup://directions/FAT Viewer?action=UPDATE&amp;creator=factset&amp;DYN_ARGS=TRUE&amp;DOC_NAME=FAT:FQL_AUDITING_CLIENT_TEMPLATE.FAT&amp;display_string=Audit&amp;VAR:KEY=TCZMREZKLM&amp;VAR:QUERY=RkZfRUJJVERBX0lCKCdMVE1TJywzODcyNSk=&amp;WINDOW=FIRST_POPUP&amp;HEIGHT=450&amp;WIDTH=450&amp;START_MA","XIMIZED=FALSE&amp;VAR:CALENDAR=US&amp;VAR:SYMBOL=N0098510&amp;VAR:INDEX=0"}</definedName>
    <definedName name="_6988__FDSAUDITLINK__" hidden="1">{"fdsup://directions/FAT Viewer?action=UPDATE&amp;creator=factset&amp;DYN_ARGS=TRUE&amp;DOC_NAME=FAT:FQL_AUDITING_CLIENT_TEMPLATE.FAT&amp;display_string=Audit&amp;VAR:KEY=TCZMREZKLM&amp;VAR:QUERY=RkZfRUJJVERBX0lCKCdMVE1TJywzODcyNSk=&amp;WINDOW=FIRST_POPUP&amp;HEIGHT=450&amp;WIDTH=450&amp;START_MA","XIMIZED=FALSE&amp;VAR:CALENDAR=US&amp;VAR:SYMBOL=N0098510&amp;VAR:INDEX=0"}</definedName>
    <definedName name="_6989__FDSAUDITLINK__" localSheetId="6" hidden="1">{"fdsup://directions/FAT Viewer?action=UPDATE&amp;creator=factset&amp;DYN_ARGS=TRUE&amp;DOC_NAME=FAT:FQL_AUDITING_CLIENT_TEMPLATE.FAT&amp;display_string=Audit&amp;VAR:KEY=ZQHCHQLUVG&amp;VAR:QUERY=RkZfRUJJVERBX0lCKCdMVE1TJywzODcyNCk=&amp;WINDOW=FIRST_POPUP&amp;HEIGHT=450&amp;WIDTH=450&amp;START_MA","XIMIZED=FALSE&amp;VAR:CALENDAR=US&amp;VAR:SYMBOL=N0098510&amp;VAR:INDEX=0"}</definedName>
    <definedName name="_6989__FDSAUDITLINK__" hidden="1">{"fdsup://directions/FAT Viewer?action=UPDATE&amp;creator=factset&amp;DYN_ARGS=TRUE&amp;DOC_NAME=FAT:FQL_AUDITING_CLIENT_TEMPLATE.FAT&amp;display_string=Audit&amp;VAR:KEY=ZQHCHQLUVG&amp;VAR:QUERY=RkZfRUJJVERBX0lCKCdMVE1TJywzODcyNCk=&amp;WINDOW=FIRST_POPUP&amp;HEIGHT=450&amp;WIDTH=450&amp;START_MA","XIMIZED=FALSE&amp;VAR:CALENDAR=US&amp;VAR:SYMBOL=N0098510&amp;VAR:INDEX=0"}</definedName>
    <definedName name="_699__FDSAUDITLINK__" localSheetId="6" hidden="1">{"fdsup://directions/FAT%20Viewer?VAR:PED=LTM&amp;VAR:AUDIT_MODE=SUMMARY&amp;VAR:PERIOD=FIXED&amp;VAR:AUDIT_ID=00000117&amp;VAR:DATE=20080324&amp;action=UPDATE&amp;creator=factset&amp;DOC_NAME=FAT:FMA_audit_SUMMARY.fat&amp;DISPLAY_STRING=Display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9__FDSAUDITLINK__" hidden="1">{"fdsup://directions/FAT%20Viewer?VAR:PED=LTM&amp;VAR:AUDIT_MODE=SUMMARY&amp;VAR:PERIOD=FIXED&amp;VAR:AUDIT_ID=00000117&amp;VAR:DATE=20080324&amp;action=UPDATE&amp;creator=factset&amp;DOC_NAME=FAT:FMA_audit_SUMMARY.fat&amp;DISPLAY_STRING=Display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6990__FDSAUDITLINK__" localSheetId="6" hidden="1">{"fdsup://directions/FAT Viewer?action=UPDATE&amp;creator=factset&amp;DYN_ARGS=TRUE&amp;DOC_NAME=FAT:FQL_AUDITING_CLIENT_TEMPLATE.FAT&amp;display_string=Audit&amp;VAR:KEY=DMJYNGFQXU&amp;VAR:QUERY=RkZfRUJJVERBX0lCKCdMVE1TJywzODcyMyk=&amp;WINDOW=FIRST_POPUP&amp;HEIGHT=450&amp;WIDTH=450&amp;START_MA","XIMIZED=FALSE&amp;VAR:CALENDAR=US&amp;VAR:SYMBOL=N0098510&amp;VAR:INDEX=0"}</definedName>
    <definedName name="_6990__FDSAUDITLINK__" hidden="1">{"fdsup://directions/FAT Viewer?action=UPDATE&amp;creator=factset&amp;DYN_ARGS=TRUE&amp;DOC_NAME=FAT:FQL_AUDITING_CLIENT_TEMPLATE.FAT&amp;display_string=Audit&amp;VAR:KEY=DMJYNGFQXU&amp;VAR:QUERY=RkZfRUJJVERBX0lCKCdMVE1TJywzODcyMyk=&amp;WINDOW=FIRST_POPUP&amp;HEIGHT=450&amp;WIDTH=450&amp;START_MA","XIMIZED=FALSE&amp;VAR:CALENDAR=US&amp;VAR:SYMBOL=N0098510&amp;VAR:INDEX=0"}</definedName>
    <definedName name="_6991__FDSAUDITLINK__" localSheetId="6" hidden="1">{"fdsup://directions/FAT Viewer?action=UPDATE&amp;creator=factset&amp;DYN_ARGS=TRUE&amp;DOC_NAME=FAT:FQL_AUDITING_CLIENT_TEMPLATE.FAT&amp;display_string=Audit&amp;VAR:KEY=VGNYLORYHY&amp;VAR:QUERY=RkZfRUJJVERBX0lCKCdMVE1TJywzODcyMik=&amp;WINDOW=FIRST_POPUP&amp;HEIGHT=450&amp;WIDTH=450&amp;START_MA","XIMIZED=FALSE&amp;VAR:CALENDAR=US&amp;VAR:SYMBOL=N0098510&amp;VAR:INDEX=0"}</definedName>
    <definedName name="_6991__FDSAUDITLINK__" hidden="1">{"fdsup://directions/FAT Viewer?action=UPDATE&amp;creator=factset&amp;DYN_ARGS=TRUE&amp;DOC_NAME=FAT:FQL_AUDITING_CLIENT_TEMPLATE.FAT&amp;display_string=Audit&amp;VAR:KEY=VGNYLORYHY&amp;VAR:QUERY=RkZfRUJJVERBX0lCKCdMVE1TJywzODcyMik=&amp;WINDOW=FIRST_POPUP&amp;HEIGHT=450&amp;WIDTH=450&amp;START_MA","XIMIZED=FALSE&amp;VAR:CALENDAR=US&amp;VAR:SYMBOL=N0098510&amp;VAR:INDEX=0"}</definedName>
    <definedName name="_6992__FDSAUDITLINK__" localSheetId="6" hidden="1">{"fdsup://directions/FAT Viewer?action=UPDATE&amp;creator=factset&amp;DYN_ARGS=TRUE&amp;DOC_NAME=FAT:FQL_AUDITING_CLIENT_TEMPLATE.FAT&amp;display_string=Audit&amp;VAR:KEY=BARKPKVSNG&amp;VAR:QUERY=RkZfRUJJVERBX0lCKCdMVE1TJywzODcyMSk=&amp;WINDOW=FIRST_POPUP&amp;HEIGHT=450&amp;WIDTH=450&amp;START_MA","XIMIZED=FALSE&amp;VAR:CALENDAR=US&amp;VAR:SYMBOL=N0098510&amp;VAR:INDEX=0"}</definedName>
    <definedName name="_6992__FDSAUDITLINK__" hidden="1">{"fdsup://directions/FAT Viewer?action=UPDATE&amp;creator=factset&amp;DYN_ARGS=TRUE&amp;DOC_NAME=FAT:FQL_AUDITING_CLIENT_TEMPLATE.FAT&amp;display_string=Audit&amp;VAR:KEY=BARKPKVSNG&amp;VAR:QUERY=RkZfRUJJVERBX0lCKCdMVE1TJywzODcyMSk=&amp;WINDOW=FIRST_POPUP&amp;HEIGHT=450&amp;WIDTH=450&amp;START_MA","XIMIZED=FALSE&amp;VAR:CALENDAR=US&amp;VAR:SYMBOL=N0098510&amp;VAR:INDEX=0"}</definedName>
    <definedName name="_6993__FDSAUDITLINK__" localSheetId="6" hidden="1">{"fdsup://directions/FAT Viewer?action=UPDATE&amp;creator=factset&amp;DYN_ARGS=TRUE&amp;DOC_NAME=FAT:FQL_AUDITING_CLIENT_TEMPLATE.FAT&amp;display_string=Audit&amp;VAR:KEY=POXOFCNEZU&amp;VAR:QUERY=RkZfRUJJVERBX0lCKCdMVE1TJywzODcyMCk=&amp;WINDOW=FIRST_POPUP&amp;HEIGHT=450&amp;WIDTH=450&amp;START_MA","XIMIZED=FALSE&amp;VAR:CALENDAR=US&amp;VAR:SYMBOL=N0098510&amp;VAR:INDEX=0"}</definedName>
    <definedName name="_6993__FDSAUDITLINK__" hidden="1">{"fdsup://directions/FAT Viewer?action=UPDATE&amp;creator=factset&amp;DYN_ARGS=TRUE&amp;DOC_NAME=FAT:FQL_AUDITING_CLIENT_TEMPLATE.FAT&amp;display_string=Audit&amp;VAR:KEY=POXOFCNEZU&amp;VAR:QUERY=RkZfRUJJVERBX0lCKCdMVE1TJywzODcyMCk=&amp;WINDOW=FIRST_POPUP&amp;HEIGHT=450&amp;WIDTH=450&amp;START_MA","XIMIZED=FALSE&amp;VAR:CALENDAR=US&amp;VAR:SYMBOL=N0098510&amp;VAR:INDEX=0"}</definedName>
    <definedName name="_6994__FDSAUDITLINK__" localSheetId="6" hidden="1">{"fdsup://directions/FAT Viewer?action=UPDATE&amp;creator=factset&amp;DYN_ARGS=TRUE&amp;DOC_NAME=FAT:FQL_AUDITING_CLIENT_TEMPLATE.FAT&amp;display_string=Audit&amp;VAR:KEY=LGDKXGFYDA&amp;VAR:QUERY=RkZfRUJJVERBX0lCKCdMVE1TJywzODcxOSk=&amp;WINDOW=FIRST_POPUP&amp;HEIGHT=450&amp;WIDTH=450&amp;START_MA","XIMIZED=FALSE&amp;VAR:CALENDAR=US&amp;VAR:SYMBOL=N0098510&amp;VAR:INDEX=0"}</definedName>
    <definedName name="_6994__FDSAUDITLINK__" hidden="1">{"fdsup://directions/FAT Viewer?action=UPDATE&amp;creator=factset&amp;DYN_ARGS=TRUE&amp;DOC_NAME=FAT:FQL_AUDITING_CLIENT_TEMPLATE.FAT&amp;display_string=Audit&amp;VAR:KEY=LGDKXGFYDA&amp;VAR:QUERY=RkZfRUJJVERBX0lCKCdMVE1TJywzODcxOSk=&amp;WINDOW=FIRST_POPUP&amp;HEIGHT=450&amp;WIDTH=450&amp;START_MA","XIMIZED=FALSE&amp;VAR:CALENDAR=US&amp;VAR:SYMBOL=N0098510&amp;VAR:INDEX=0"}</definedName>
    <definedName name="_6995__FDSAUDITLINK__" localSheetId="6" hidden="1">{"fdsup://directions/FAT Viewer?action=UPDATE&amp;creator=factset&amp;DYN_ARGS=TRUE&amp;DOC_NAME=FAT:FQL_AUDITING_CLIENT_TEMPLATE.FAT&amp;display_string=Audit&amp;VAR:KEY=REHOVGVQHW&amp;VAR:QUERY=RkZfRUJJVERBX0lCKCdMVE1TJywzODcxOCk=&amp;WINDOW=FIRST_POPUP&amp;HEIGHT=450&amp;WIDTH=450&amp;START_MA","XIMIZED=FALSE&amp;VAR:CALENDAR=US&amp;VAR:SYMBOL=N0098510&amp;VAR:INDEX=0"}</definedName>
    <definedName name="_6995__FDSAUDITLINK__" hidden="1">{"fdsup://directions/FAT Viewer?action=UPDATE&amp;creator=factset&amp;DYN_ARGS=TRUE&amp;DOC_NAME=FAT:FQL_AUDITING_CLIENT_TEMPLATE.FAT&amp;display_string=Audit&amp;VAR:KEY=REHOVGVQHW&amp;VAR:QUERY=RkZfRUJJVERBX0lCKCdMVE1TJywzODcxOCk=&amp;WINDOW=FIRST_POPUP&amp;HEIGHT=450&amp;WIDTH=450&amp;START_MA","XIMIZED=FALSE&amp;VAR:CALENDAR=US&amp;VAR:SYMBOL=N0098510&amp;VAR:INDEX=0"}</definedName>
    <definedName name="_6996__FDSAUDITLINK__" localSheetId="6" hidden="1">{"fdsup://directions/FAT Viewer?action=UPDATE&amp;creator=factset&amp;DYN_ARGS=TRUE&amp;DOC_NAME=FAT:FQL_AUDITING_CLIENT_TEMPLATE.FAT&amp;display_string=Audit&amp;VAR:KEY=BGPEJEHMVW&amp;VAR:QUERY=RkZfRUJJVERBX0lCKCdMVE1TJywzODcxNyk=&amp;WINDOW=FIRST_POPUP&amp;HEIGHT=450&amp;WIDTH=450&amp;START_MA","XIMIZED=FALSE&amp;VAR:CALENDAR=US&amp;VAR:SYMBOL=N0098510&amp;VAR:INDEX=0"}</definedName>
    <definedName name="_6996__FDSAUDITLINK__" hidden="1">{"fdsup://directions/FAT Viewer?action=UPDATE&amp;creator=factset&amp;DYN_ARGS=TRUE&amp;DOC_NAME=FAT:FQL_AUDITING_CLIENT_TEMPLATE.FAT&amp;display_string=Audit&amp;VAR:KEY=BGPEJEHMVW&amp;VAR:QUERY=RkZfRUJJVERBX0lCKCdMVE1TJywzODcxNyk=&amp;WINDOW=FIRST_POPUP&amp;HEIGHT=450&amp;WIDTH=450&amp;START_MA","XIMIZED=FALSE&amp;VAR:CALENDAR=US&amp;VAR:SYMBOL=N0098510&amp;VAR:INDEX=0"}</definedName>
    <definedName name="_6997__FDSAUDITLINK__" localSheetId="6" hidden="1">{"fdsup://directions/FAT Viewer?action=UPDATE&amp;creator=factset&amp;DYN_ARGS=TRUE&amp;DOC_NAME=FAT:FQL_AUDITING_CLIENT_TEMPLATE.FAT&amp;display_string=Audit&amp;VAR:KEY=BOLYTERINW&amp;VAR:QUERY=RkZfRUJJVERBX0lCKCdMVE1TJywzODcxNik=&amp;WINDOW=FIRST_POPUP&amp;HEIGHT=450&amp;WIDTH=450&amp;START_MA","XIMIZED=FALSE&amp;VAR:CALENDAR=US&amp;VAR:SYMBOL=N0098510&amp;VAR:INDEX=0"}</definedName>
    <definedName name="_6997__FDSAUDITLINK__" hidden="1">{"fdsup://directions/FAT Viewer?action=UPDATE&amp;creator=factset&amp;DYN_ARGS=TRUE&amp;DOC_NAME=FAT:FQL_AUDITING_CLIENT_TEMPLATE.FAT&amp;display_string=Audit&amp;VAR:KEY=BOLYTERINW&amp;VAR:QUERY=RkZfRUJJVERBX0lCKCdMVE1TJywzODcxNik=&amp;WINDOW=FIRST_POPUP&amp;HEIGHT=450&amp;WIDTH=450&amp;START_MA","XIMIZED=FALSE&amp;VAR:CALENDAR=US&amp;VAR:SYMBOL=N0098510&amp;VAR:INDEX=0"}</definedName>
    <definedName name="_6998__FDSAUDITLINK__" localSheetId="6" hidden="1">{"fdsup://directions/FAT Viewer?action=UPDATE&amp;creator=factset&amp;DYN_ARGS=TRUE&amp;DOC_NAME=FAT:FQL_AUDITING_CLIENT_TEMPLATE.FAT&amp;display_string=Audit&amp;VAR:KEY=FADEROVIVU&amp;VAR:QUERY=RkZfRUJJVERBX0lCKCdMVE1TJywzODcxNSk=&amp;WINDOW=FIRST_POPUP&amp;HEIGHT=450&amp;WIDTH=450&amp;START_MA","XIMIZED=FALSE&amp;VAR:CALENDAR=US&amp;VAR:SYMBOL=N0098510&amp;VAR:INDEX=0"}</definedName>
    <definedName name="_6998__FDSAUDITLINK__" hidden="1">{"fdsup://directions/FAT Viewer?action=UPDATE&amp;creator=factset&amp;DYN_ARGS=TRUE&amp;DOC_NAME=FAT:FQL_AUDITING_CLIENT_TEMPLATE.FAT&amp;display_string=Audit&amp;VAR:KEY=FADEROVIVU&amp;VAR:QUERY=RkZfRUJJVERBX0lCKCdMVE1TJywzODcxNSk=&amp;WINDOW=FIRST_POPUP&amp;HEIGHT=450&amp;WIDTH=450&amp;START_MA","XIMIZED=FALSE&amp;VAR:CALENDAR=US&amp;VAR:SYMBOL=N0098510&amp;VAR:INDEX=0"}</definedName>
    <definedName name="_6999__FDSAUDITLINK__" localSheetId="6" hidden="1">{"fdsup://directions/FAT Viewer?action=UPDATE&amp;creator=factset&amp;DYN_ARGS=TRUE&amp;DOC_NAME=FAT:FQL_AUDITING_CLIENT_TEMPLATE.FAT&amp;display_string=Audit&amp;VAR:KEY=REHWZKNIFG&amp;VAR:QUERY=RkZfRUJJVERBX0lCKCdMVE1TJywzODcxNCk=&amp;WINDOW=FIRST_POPUP&amp;HEIGHT=450&amp;WIDTH=450&amp;START_MA","XIMIZED=FALSE&amp;VAR:CALENDAR=US&amp;VAR:SYMBOL=N0098510&amp;VAR:INDEX=0"}</definedName>
    <definedName name="_6999__FDSAUDITLINK__" hidden="1">{"fdsup://directions/FAT Viewer?action=UPDATE&amp;creator=factset&amp;DYN_ARGS=TRUE&amp;DOC_NAME=FAT:FQL_AUDITING_CLIENT_TEMPLATE.FAT&amp;display_string=Audit&amp;VAR:KEY=REHWZKNIFG&amp;VAR:QUERY=RkZfRUJJVERBX0lCKCdMVE1TJywzODcxNCk=&amp;WINDOW=FIRST_POPUP&amp;HEIGHT=450&amp;WIDTH=450&amp;START_MA","XIMIZED=FALSE&amp;VAR:CALENDAR=US&amp;VAR:SYMBOL=N0098510&amp;VAR:INDEX=0"}</definedName>
    <definedName name="_7__FDSAUDITLINK__" localSheetId="6" hidden="1">{"fdsup://directions/FAT Viewer?action=UPDATE&amp;creator=factset&amp;DYN_ARGS=TRUE&amp;DOC_NAME=FAT:FQL_AUDITING_CLIENT_TEMPLATE.FAT&amp;display_string=Audit&amp;VAR:KEY=VIJAFYRILA&amp;VAR:QUERY=QVZHKENTRl9ORVRfSU5DKEFOTiwwRlksLTZGWSxZKSkgLyAoQVZHKENTRl9BU1NFVFMoQU5OLDBGWSwtNkZZL","EZZKSkgLSBBVkcoQ1NGX0lOVEFORyhBTk4sMCwtNkZZLEZZKSkp&amp;WINDOW=FIRST_POPUP&amp;HEIGHT=450&amp;WIDTH=450&amp;START_MAXIMIZED=FALSE&amp;VAR:CALENDAR=US&amp;VAR:SYMBOL=ABFS"}</definedName>
    <definedName name="_7__FDSAUDITLINK__" hidden="1">{"fdsup://directions/FAT Viewer?action=UPDATE&amp;creator=factset&amp;DYN_ARGS=TRUE&amp;DOC_NAME=FAT:FQL_AUDITING_CLIENT_TEMPLATE.FAT&amp;display_string=Audit&amp;VAR:KEY=VIJAFYRILA&amp;VAR:QUERY=QVZHKENTRl9ORVRfSU5DKEFOTiwwRlksLTZGWSxZKSkgLyAoQVZHKENTRl9BU1NFVFMoQU5OLDBGWSwtNkZZL","EZZKSkgLSBBVkcoQ1NGX0lOVEFORyhBTk4sMCwtNkZZLEZZKSkp&amp;WINDOW=FIRST_POPUP&amp;HEIGHT=450&amp;WIDTH=450&amp;START_MAXIMIZED=FALSE&amp;VAR:CALENDAR=US&amp;VAR:SYMBOL=ABFS"}</definedName>
    <definedName name="_70__FDSAUDITLINK__" localSheetId="6" hidden="1">{"fdsup://directions/FAT Viewer?action=UPDATE&amp;creator=factset&amp;DYN_ARGS=TRUE&amp;DOC_NAME=FAT:FQL_AUDITING_CLIENT_TEMPLATE.FAT&amp;display_string=Audit&amp;VAR:KEY=PARQXUXGFQ&amp;VAR:QUERY=QVZHKENTRl9ORVRfSU5DKEFOTiwwRlksLTZGWSxZKSkgLyAoQVZHKENTRl9BU1NFVFMoQU5OLDBGWSwtNkZZL","EZZKSkgLSBBVkcoQ1NGX0lOVEFORyhBTk4sMCwtNkZZLEZZKSkp&amp;WINDOW=FIRST_POPUP&amp;HEIGHT=450&amp;WIDTH=450&amp;START_MAXIMIZED=FALSE&amp;VAR:CALENDAR=US&amp;VAR:SYMBOL=DAC"}</definedName>
    <definedName name="_70__FDSAUDITLINK__" hidden="1">{"fdsup://directions/FAT Viewer?action=UPDATE&amp;creator=factset&amp;DYN_ARGS=TRUE&amp;DOC_NAME=FAT:FQL_AUDITING_CLIENT_TEMPLATE.FAT&amp;display_string=Audit&amp;VAR:KEY=PARQXUXGFQ&amp;VAR:QUERY=QVZHKENTRl9ORVRfSU5DKEFOTiwwRlksLTZGWSxZKSkgLyAoQVZHKENTRl9BU1NFVFMoQU5OLDBGWSwtNkZZL","EZZKSkgLSBBVkcoQ1NGX0lOVEFORyhBTk4sMCwtNkZZLEZZKSkp&amp;WINDOW=FIRST_POPUP&amp;HEIGHT=450&amp;WIDTH=450&amp;START_MAXIMIZED=FALSE&amp;VAR:CALENDAR=US&amp;VAR:SYMBOL=DAC"}</definedName>
    <definedName name="_700__FDSAUDITLINK__" localSheetId="6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0__FDSAUDITLINK__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00__FDSAUDITLINK__" localSheetId="6" hidden="1">{"fdsup://directions/FAT Viewer?action=UPDATE&amp;creator=factset&amp;DYN_ARGS=TRUE&amp;DOC_NAME=FAT:FQL_AUDITING_CLIENT_TEMPLATE.FAT&amp;display_string=Audit&amp;VAR:KEY=DQXKBWRUNI&amp;VAR:QUERY=RkZfRUJJVERBX0lCKCdMVE1TJywzODcxMyk=&amp;WINDOW=FIRST_POPUP&amp;HEIGHT=450&amp;WIDTH=450&amp;START_MA","XIMIZED=FALSE&amp;VAR:CALENDAR=US&amp;VAR:SYMBOL=N0098510&amp;VAR:INDEX=0"}</definedName>
    <definedName name="_7000__FDSAUDITLINK__" hidden="1">{"fdsup://directions/FAT Viewer?action=UPDATE&amp;creator=factset&amp;DYN_ARGS=TRUE&amp;DOC_NAME=FAT:FQL_AUDITING_CLIENT_TEMPLATE.FAT&amp;display_string=Audit&amp;VAR:KEY=DQXKBWRUNI&amp;VAR:QUERY=RkZfRUJJVERBX0lCKCdMVE1TJywzODcxMyk=&amp;WINDOW=FIRST_POPUP&amp;HEIGHT=450&amp;WIDTH=450&amp;START_MA","XIMIZED=FALSE&amp;VAR:CALENDAR=US&amp;VAR:SYMBOL=N0098510&amp;VAR:INDEX=0"}</definedName>
    <definedName name="_7001__FDSAUDITLINK__" localSheetId="6" hidden="1">{"fdsup://directions/FAT Viewer?action=UPDATE&amp;creator=factset&amp;DYN_ARGS=TRUE&amp;DOC_NAME=FAT:FQL_AUDITING_CLIENT_TEMPLATE.FAT&amp;display_string=Audit&amp;VAR:KEY=JMTEDINIFC&amp;VAR:QUERY=RkZfRUJJVERBX0lCKCdMVE1TJywzODcxMik=&amp;WINDOW=FIRST_POPUP&amp;HEIGHT=450&amp;WIDTH=450&amp;START_MA","XIMIZED=FALSE&amp;VAR:CALENDAR=US&amp;VAR:SYMBOL=N0098510&amp;VAR:INDEX=0"}</definedName>
    <definedName name="_7001__FDSAUDITLINK__" hidden="1">{"fdsup://directions/FAT Viewer?action=UPDATE&amp;creator=factset&amp;DYN_ARGS=TRUE&amp;DOC_NAME=FAT:FQL_AUDITING_CLIENT_TEMPLATE.FAT&amp;display_string=Audit&amp;VAR:KEY=JMTEDINIFC&amp;VAR:QUERY=RkZfRUJJVERBX0lCKCdMVE1TJywzODcxMik=&amp;WINDOW=FIRST_POPUP&amp;HEIGHT=450&amp;WIDTH=450&amp;START_MA","XIMIZED=FALSE&amp;VAR:CALENDAR=US&amp;VAR:SYMBOL=N0098510&amp;VAR:INDEX=0"}</definedName>
    <definedName name="_7002__FDSAUDITLINK__" localSheetId="6" hidden="1">{"fdsup://directions/FAT Viewer?action=UPDATE&amp;creator=factset&amp;DYN_ARGS=TRUE&amp;DOC_NAME=FAT:FQL_AUDITING_CLIENT_TEMPLATE.FAT&amp;display_string=Audit&amp;VAR:KEY=JOPIVURMZE&amp;VAR:QUERY=RkZfRUJJVERBX0lCKCdMVE1TJywzODcxMSk=&amp;WINDOW=FIRST_POPUP&amp;HEIGHT=450&amp;WIDTH=450&amp;START_MA","XIMIZED=FALSE&amp;VAR:CALENDAR=US&amp;VAR:SYMBOL=N0098510&amp;VAR:INDEX=0"}</definedName>
    <definedName name="_7002__FDSAUDITLINK__" hidden="1">{"fdsup://directions/FAT Viewer?action=UPDATE&amp;creator=factset&amp;DYN_ARGS=TRUE&amp;DOC_NAME=FAT:FQL_AUDITING_CLIENT_TEMPLATE.FAT&amp;display_string=Audit&amp;VAR:KEY=JOPIVURMZE&amp;VAR:QUERY=RkZfRUJJVERBX0lCKCdMVE1TJywzODcxMSk=&amp;WINDOW=FIRST_POPUP&amp;HEIGHT=450&amp;WIDTH=450&amp;START_MA","XIMIZED=FALSE&amp;VAR:CALENDAR=US&amp;VAR:SYMBOL=N0098510&amp;VAR:INDEX=0"}</definedName>
    <definedName name="_7003__FDSAUDITLINK__" localSheetId="6" hidden="1">{"fdsup://directions/FAT Viewer?action=UPDATE&amp;creator=factset&amp;DYN_ARGS=TRUE&amp;DOC_NAME=FAT:FQL_AUDITING_CLIENT_TEMPLATE.FAT&amp;display_string=Audit&amp;VAR:KEY=HOJMHIRAHE&amp;VAR:QUERY=RkZfRUJJVERBX0lCKCdMVE1TJywzODcxMCk=&amp;WINDOW=FIRST_POPUP&amp;HEIGHT=450&amp;WIDTH=450&amp;START_MA","XIMIZED=FALSE&amp;VAR:CALENDAR=US&amp;VAR:SYMBOL=N0098510&amp;VAR:INDEX=0"}</definedName>
    <definedName name="_7003__FDSAUDITLINK__" hidden="1">{"fdsup://directions/FAT Viewer?action=UPDATE&amp;creator=factset&amp;DYN_ARGS=TRUE&amp;DOC_NAME=FAT:FQL_AUDITING_CLIENT_TEMPLATE.FAT&amp;display_string=Audit&amp;VAR:KEY=HOJMHIRAHE&amp;VAR:QUERY=RkZfRUJJVERBX0lCKCdMVE1TJywzODcxMCk=&amp;WINDOW=FIRST_POPUP&amp;HEIGHT=450&amp;WIDTH=450&amp;START_MA","XIMIZED=FALSE&amp;VAR:CALENDAR=US&amp;VAR:SYMBOL=N0098510&amp;VAR:INDEX=0"}</definedName>
    <definedName name="_7004__FDSAUDITLINK__" localSheetId="6" hidden="1">{"fdsup://directions/FAT Viewer?action=UPDATE&amp;creator=factset&amp;DYN_ARGS=TRUE&amp;DOC_NAME=FAT:FQL_AUDITING_CLIENT_TEMPLATE.FAT&amp;display_string=Audit&amp;VAR:KEY=BKNKNYTGJO&amp;VAR:QUERY=RkZfRUJJVERBX0lCKCdMVE1TJywzODcwOSk=&amp;WINDOW=FIRST_POPUP&amp;HEIGHT=450&amp;WIDTH=450&amp;START_MA","XIMIZED=FALSE&amp;VAR:CALENDAR=US&amp;VAR:SYMBOL=N0098510&amp;VAR:INDEX=0"}</definedName>
    <definedName name="_7004__FDSAUDITLINK__" hidden="1">{"fdsup://directions/FAT Viewer?action=UPDATE&amp;creator=factset&amp;DYN_ARGS=TRUE&amp;DOC_NAME=FAT:FQL_AUDITING_CLIENT_TEMPLATE.FAT&amp;display_string=Audit&amp;VAR:KEY=BKNKNYTGJO&amp;VAR:QUERY=RkZfRUJJVERBX0lCKCdMVE1TJywzODcwOSk=&amp;WINDOW=FIRST_POPUP&amp;HEIGHT=450&amp;WIDTH=450&amp;START_MA","XIMIZED=FALSE&amp;VAR:CALENDAR=US&amp;VAR:SYMBOL=N0098510&amp;VAR:INDEX=0"}</definedName>
    <definedName name="_7005__FDSAUDITLINK__" localSheetId="6" hidden="1">{"fdsup://directions/FAT Viewer?action=UPDATE&amp;creator=factset&amp;DYN_ARGS=TRUE&amp;DOC_NAME=FAT:FQL_AUDITING_CLIENT_TEMPLATE.FAT&amp;display_string=Audit&amp;VAR:KEY=FEZKDQPATO&amp;VAR:QUERY=RkZfRUJJVERBX0lCKCdMVE1TJywzODcwOCk=&amp;WINDOW=FIRST_POPUP&amp;HEIGHT=450&amp;WIDTH=450&amp;START_MA","XIMIZED=FALSE&amp;VAR:CALENDAR=US&amp;VAR:SYMBOL=N0098510&amp;VAR:INDEX=0"}</definedName>
    <definedName name="_7005__FDSAUDITLINK__" hidden="1">{"fdsup://directions/FAT Viewer?action=UPDATE&amp;creator=factset&amp;DYN_ARGS=TRUE&amp;DOC_NAME=FAT:FQL_AUDITING_CLIENT_TEMPLATE.FAT&amp;display_string=Audit&amp;VAR:KEY=FEZKDQPATO&amp;VAR:QUERY=RkZfRUJJVERBX0lCKCdMVE1TJywzODcwOCk=&amp;WINDOW=FIRST_POPUP&amp;HEIGHT=450&amp;WIDTH=450&amp;START_MA","XIMIZED=FALSE&amp;VAR:CALENDAR=US&amp;VAR:SYMBOL=N0098510&amp;VAR:INDEX=0"}</definedName>
    <definedName name="_7006__FDSAUDITLINK__" localSheetId="6" hidden="1">{"fdsup://directions/FAT Viewer?action=UPDATE&amp;creator=factset&amp;DYN_ARGS=TRUE&amp;DOC_NAME=FAT:FQL_AUDITING_CLIENT_TEMPLATE.FAT&amp;display_string=Audit&amp;VAR:KEY=PINEHCDKRE&amp;VAR:QUERY=RkZfRUJJVERBX0lCKCdMVE1TJywzODcwNyk=&amp;WINDOW=FIRST_POPUP&amp;HEIGHT=450&amp;WIDTH=450&amp;START_MA","XIMIZED=FALSE&amp;VAR:CALENDAR=US&amp;VAR:SYMBOL=N0098510&amp;VAR:INDEX=0"}</definedName>
    <definedName name="_7006__FDSAUDITLINK__" hidden="1">{"fdsup://directions/FAT Viewer?action=UPDATE&amp;creator=factset&amp;DYN_ARGS=TRUE&amp;DOC_NAME=FAT:FQL_AUDITING_CLIENT_TEMPLATE.FAT&amp;display_string=Audit&amp;VAR:KEY=PINEHCDKRE&amp;VAR:QUERY=RkZfRUJJVERBX0lCKCdMVE1TJywzODcwNyk=&amp;WINDOW=FIRST_POPUP&amp;HEIGHT=450&amp;WIDTH=450&amp;START_MA","XIMIZED=FALSE&amp;VAR:CALENDAR=US&amp;VAR:SYMBOL=N0098510&amp;VAR:INDEX=0"}</definedName>
    <definedName name="_7007__FDSAUDITLINK__" localSheetId="6" hidden="1">{"fdsup://directions/FAT Viewer?action=UPDATE&amp;creator=factset&amp;DYN_ARGS=TRUE&amp;DOC_NAME=FAT:FQL_AUDITING_CLIENT_TEMPLATE.FAT&amp;display_string=Audit&amp;VAR:KEY=VCXKPIDOHK&amp;VAR:QUERY=RkZfRUJJVERBX0lCKCdMVE1TJywzODcwNik=&amp;WINDOW=FIRST_POPUP&amp;HEIGHT=450&amp;WIDTH=450&amp;START_MA","XIMIZED=FALSE&amp;VAR:CALENDAR=US&amp;VAR:SYMBOL=N0098510&amp;VAR:INDEX=0"}</definedName>
    <definedName name="_7007__FDSAUDITLINK__" hidden="1">{"fdsup://directions/FAT Viewer?action=UPDATE&amp;creator=factset&amp;DYN_ARGS=TRUE&amp;DOC_NAME=FAT:FQL_AUDITING_CLIENT_TEMPLATE.FAT&amp;display_string=Audit&amp;VAR:KEY=VCXKPIDOHK&amp;VAR:QUERY=RkZfRUJJVERBX0lCKCdMVE1TJywzODcwNik=&amp;WINDOW=FIRST_POPUP&amp;HEIGHT=450&amp;WIDTH=450&amp;START_MA","XIMIZED=FALSE&amp;VAR:CALENDAR=US&amp;VAR:SYMBOL=N0098510&amp;VAR:INDEX=0"}</definedName>
    <definedName name="_7008__FDSAUDITLINK__" localSheetId="6" hidden="1">{"fdsup://directions/FAT Viewer?action=UPDATE&amp;creator=factset&amp;DYN_ARGS=TRUE&amp;DOC_NAME=FAT:FQL_AUDITING_CLIENT_TEMPLATE.FAT&amp;display_string=Audit&amp;VAR:KEY=VODOXMXUNK&amp;VAR:QUERY=RkZfRUJJVERBX0lCKCdMVE1TJywzODcwNSk=&amp;WINDOW=FIRST_POPUP&amp;HEIGHT=450&amp;WIDTH=450&amp;START_MA","XIMIZED=FALSE&amp;VAR:CALENDAR=US&amp;VAR:SYMBOL=N0098510&amp;VAR:INDEX=0"}</definedName>
    <definedName name="_7008__FDSAUDITLINK__" hidden="1">{"fdsup://directions/FAT Viewer?action=UPDATE&amp;creator=factset&amp;DYN_ARGS=TRUE&amp;DOC_NAME=FAT:FQL_AUDITING_CLIENT_TEMPLATE.FAT&amp;display_string=Audit&amp;VAR:KEY=VODOXMXUNK&amp;VAR:QUERY=RkZfRUJJVERBX0lCKCdMVE1TJywzODcwNSk=&amp;WINDOW=FIRST_POPUP&amp;HEIGHT=450&amp;WIDTH=450&amp;START_MA","XIMIZED=FALSE&amp;VAR:CALENDAR=US&amp;VAR:SYMBOL=N0098510&amp;VAR:INDEX=0"}</definedName>
    <definedName name="_7009__FDSAUDITLINK__" localSheetId="6" hidden="1">{"fdsup://directions/FAT Viewer?action=UPDATE&amp;creator=factset&amp;DYN_ARGS=TRUE&amp;DOC_NAME=FAT:FQL_AUDITING_CLIENT_TEMPLATE.FAT&amp;display_string=Audit&amp;VAR:KEY=JALMNYPERW&amp;VAR:QUERY=RkZfRUJJVERBX0lCKCdMVE1TJywzODcwNCk=&amp;WINDOW=FIRST_POPUP&amp;HEIGHT=450&amp;WIDTH=450&amp;START_MA","XIMIZED=FALSE&amp;VAR:CALENDAR=US&amp;VAR:SYMBOL=N0098510&amp;VAR:INDEX=0"}</definedName>
    <definedName name="_7009__FDSAUDITLINK__" hidden="1">{"fdsup://directions/FAT Viewer?action=UPDATE&amp;creator=factset&amp;DYN_ARGS=TRUE&amp;DOC_NAME=FAT:FQL_AUDITING_CLIENT_TEMPLATE.FAT&amp;display_string=Audit&amp;VAR:KEY=JALMNYPERW&amp;VAR:QUERY=RkZfRUJJVERBX0lCKCdMVE1TJywzODcwNCk=&amp;WINDOW=FIRST_POPUP&amp;HEIGHT=450&amp;WIDTH=450&amp;START_MA","XIMIZED=FALSE&amp;VAR:CALENDAR=US&amp;VAR:SYMBOL=N0098510&amp;VAR:INDEX=0"}</definedName>
    <definedName name="_701__FDSAUDITLINK__" localSheetId="6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1__FDSAUDITLINK__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10__FDSAUDITLINK__" localSheetId="6" hidden="1">{"fdsup://directions/FAT Viewer?action=UPDATE&amp;creator=factset&amp;DYN_ARGS=TRUE&amp;DOC_NAME=FAT:FQL_AUDITING_CLIENT_TEMPLATE.FAT&amp;display_string=Audit&amp;VAR:KEY=PIJKFSVWVS&amp;VAR:QUERY=RkZfRUJJVERBX0lCKCdMVE1TJywzODcwMyk=&amp;WINDOW=FIRST_POPUP&amp;HEIGHT=450&amp;WIDTH=450&amp;START_MA","XIMIZED=FALSE&amp;VAR:CALENDAR=US&amp;VAR:SYMBOL=N0098510&amp;VAR:INDEX=0"}</definedName>
    <definedName name="_7010__FDSAUDITLINK__" hidden="1">{"fdsup://directions/FAT Viewer?action=UPDATE&amp;creator=factset&amp;DYN_ARGS=TRUE&amp;DOC_NAME=FAT:FQL_AUDITING_CLIENT_TEMPLATE.FAT&amp;display_string=Audit&amp;VAR:KEY=PIJKFSVWVS&amp;VAR:QUERY=RkZfRUJJVERBX0lCKCdMVE1TJywzODcwMyk=&amp;WINDOW=FIRST_POPUP&amp;HEIGHT=450&amp;WIDTH=450&amp;START_MA","XIMIZED=FALSE&amp;VAR:CALENDAR=US&amp;VAR:SYMBOL=N0098510&amp;VAR:INDEX=0"}</definedName>
    <definedName name="_7011__FDSAUDITLINK__" localSheetId="6" hidden="1">{"fdsup://directions/FAT Viewer?action=UPDATE&amp;creator=factset&amp;DYN_ARGS=TRUE&amp;DOC_NAME=FAT:FQL_AUDITING_CLIENT_TEMPLATE.FAT&amp;display_string=Audit&amp;VAR:KEY=TEPOFYDYTO&amp;VAR:QUERY=RkZfRUJJVERBX0lCKCdMVE1TJywzODcwMik=&amp;WINDOW=FIRST_POPUP&amp;HEIGHT=450&amp;WIDTH=450&amp;START_MA","XIMIZED=FALSE&amp;VAR:CALENDAR=US&amp;VAR:SYMBOL=N0098510&amp;VAR:INDEX=0"}</definedName>
    <definedName name="_7011__FDSAUDITLINK__" hidden="1">{"fdsup://directions/FAT Viewer?action=UPDATE&amp;creator=factset&amp;DYN_ARGS=TRUE&amp;DOC_NAME=FAT:FQL_AUDITING_CLIENT_TEMPLATE.FAT&amp;display_string=Audit&amp;VAR:KEY=TEPOFYDYTO&amp;VAR:QUERY=RkZfRUJJVERBX0lCKCdMVE1TJywzODcwMik=&amp;WINDOW=FIRST_POPUP&amp;HEIGHT=450&amp;WIDTH=450&amp;START_MA","XIMIZED=FALSE&amp;VAR:CALENDAR=US&amp;VAR:SYMBOL=N0098510&amp;VAR:INDEX=0"}</definedName>
    <definedName name="_7012__FDSAUDITLINK__" localSheetId="6" hidden="1">{"fdsup://directions/FAT Viewer?action=UPDATE&amp;creator=factset&amp;DYN_ARGS=TRUE&amp;DOC_NAME=FAT:FQL_AUDITING_CLIENT_TEMPLATE.FAT&amp;display_string=Audit&amp;VAR:KEY=ZKTCTIVYXM&amp;VAR:QUERY=RkZfRUJJVERBX0lCKCdMVE1TJywzODcwMSk=&amp;WINDOW=FIRST_POPUP&amp;HEIGHT=450&amp;WIDTH=450&amp;START_MA","XIMIZED=FALSE&amp;VAR:CALENDAR=US&amp;VAR:SYMBOL=N0098510&amp;VAR:INDEX=0"}</definedName>
    <definedName name="_7012__FDSAUDITLINK__" hidden="1">{"fdsup://directions/FAT Viewer?action=UPDATE&amp;creator=factset&amp;DYN_ARGS=TRUE&amp;DOC_NAME=FAT:FQL_AUDITING_CLIENT_TEMPLATE.FAT&amp;display_string=Audit&amp;VAR:KEY=ZKTCTIVYXM&amp;VAR:QUERY=RkZfRUJJVERBX0lCKCdMVE1TJywzODcwMSk=&amp;WINDOW=FIRST_POPUP&amp;HEIGHT=450&amp;WIDTH=450&amp;START_MA","XIMIZED=FALSE&amp;VAR:CALENDAR=US&amp;VAR:SYMBOL=N0098510&amp;VAR:INDEX=0"}</definedName>
    <definedName name="_7013__FDSAUDITLINK__" localSheetId="6" hidden="1">{"fdsup://directions/FAT Viewer?action=UPDATE&amp;creator=factset&amp;DYN_ARGS=TRUE&amp;DOC_NAME=FAT:FQL_AUDITING_CLIENT_TEMPLATE.FAT&amp;display_string=Audit&amp;VAR:KEY=TEJITSHANI&amp;VAR:QUERY=RkZfRUJJVERBX0lCKCdMVE1TJywzODcwMCk=&amp;WINDOW=FIRST_POPUP&amp;HEIGHT=450&amp;WIDTH=450&amp;START_MA","XIMIZED=FALSE&amp;VAR:CALENDAR=US&amp;VAR:SYMBOL=N0098510&amp;VAR:INDEX=0"}</definedName>
    <definedName name="_7013__FDSAUDITLINK__" hidden="1">{"fdsup://directions/FAT Viewer?action=UPDATE&amp;creator=factset&amp;DYN_ARGS=TRUE&amp;DOC_NAME=FAT:FQL_AUDITING_CLIENT_TEMPLATE.FAT&amp;display_string=Audit&amp;VAR:KEY=TEJITSHANI&amp;VAR:QUERY=RkZfRUJJVERBX0lCKCdMVE1TJywzODcwMCk=&amp;WINDOW=FIRST_POPUP&amp;HEIGHT=450&amp;WIDTH=450&amp;START_MA","XIMIZED=FALSE&amp;VAR:CALENDAR=US&amp;VAR:SYMBOL=N0098510&amp;VAR:INDEX=0"}</definedName>
    <definedName name="_7014__FDSAUDITLINK__" localSheetId="6" hidden="1">{"fdsup://directions/FAT Viewer?action=UPDATE&amp;creator=factset&amp;DYN_ARGS=TRUE&amp;DOC_NAME=FAT:FQL_AUDITING_CLIENT_TEMPLATE.FAT&amp;display_string=Audit&amp;VAR:KEY=LYJMLUJKPW&amp;VAR:QUERY=RkZfRUJJVERBX0lCKCdMVE1TJywzODY5OSk=&amp;WINDOW=FIRST_POPUP&amp;HEIGHT=450&amp;WIDTH=450&amp;START_MA","XIMIZED=FALSE&amp;VAR:CALENDAR=US&amp;VAR:SYMBOL=N0098510&amp;VAR:INDEX=0"}</definedName>
    <definedName name="_7014__FDSAUDITLINK__" hidden="1">{"fdsup://directions/FAT Viewer?action=UPDATE&amp;creator=factset&amp;DYN_ARGS=TRUE&amp;DOC_NAME=FAT:FQL_AUDITING_CLIENT_TEMPLATE.FAT&amp;display_string=Audit&amp;VAR:KEY=LYJMLUJKPW&amp;VAR:QUERY=RkZfRUJJVERBX0lCKCdMVE1TJywzODY5OSk=&amp;WINDOW=FIRST_POPUP&amp;HEIGHT=450&amp;WIDTH=450&amp;START_MA","XIMIZED=FALSE&amp;VAR:CALENDAR=US&amp;VAR:SYMBOL=N0098510&amp;VAR:INDEX=0"}</definedName>
    <definedName name="_7015__FDSAUDITLINK__" localSheetId="6" hidden="1">{"fdsup://directions/FAT Viewer?action=UPDATE&amp;creator=factset&amp;DYN_ARGS=TRUE&amp;DOC_NAME=FAT:FQL_AUDITING_CLIENT_TEMPLATE.FAT&amp;display_string=Audit&amp;VAR:KEY=HERQLWHONA&amp;VAR:QUERY=RkZfRUJJVERBX0lCKCdMVE1TJywzODY5OCk=&amp;WINDOW=FIRST_POPUP&amp;HEIGHT=450&amp;WIDTH=450&amp;START_MA","XIMIZED=FALSE&amp;VAR:CALENDAR=US&amp;VAR:SYMBOL=N0098510&amp;VAR:INDEX=0"}</definedName>
    <definedName name="_7015__FDSAUDITLINK__" hidden="1">{"fdsup://directions/FAT Viewer?action=UPDATE&amp;creator=factset&amp;DYN_ARGS=TRUE&amp;DOC_NAME=FAT:FQL_AUDITING_CLIENT_TEMPLATE.FAT&amp;display_string=Audit&amp;VAR:KEY=HERQLWHONA&amp;VAR:QUERY=RkZfRUJJVERBX0lCKCdMVE1TJywzODY5OCk=&amp;WINDOW=FIRST_POPUP&amp;HEIGHT=450&amp;WIDTH=450&amp;START_MA","XIMIZED=FALSE&amp;VAR:CALENDAR=US&amp;VAR:SYMBOL=N0098510&amp;VAR:INDEX=0"}</definedName>
    <definedName name="_7016__FDSAUDITLINK__" localSheetId="6" hidden="1">{"fdsup://directions/FAT Viewer?action=UPDATE&amp;creator=factset&amp;DYN_ARGS=TRUE&amp;DOC_NAME=FAT:FQL_AUDITING_CLIENT_TEMPLATE.FAT&amp;display_string=Audit&amp;VAR:KEY=HMVYBGROTG&amp;VAR:QUERY=RkZfRUJJVERBX0lCKCdMVE1TJywzODY5Nyk=&amp;WINDOW=FIRST_POPUP&amp;HEIGHT=450&amp;WIDTH=450&amp;START_MA","XIMIZED=FALSE&amp;VAR:CALENDAR=US&amp;VAR:SYMBOL=N0098510&amp;VAR:INDEX=0"}</definedName>
    <definedName name="_7016__FDSAUDITLINK__" hidden="1">{"fdsup://directions/FAT Viewer?action=UPDATE&amp;creator=factset&amp;DYN_ARGS=TRUE&amp;DOC_NAME=FAT:FQL_AUDITING_CLIENT_TEMPLATE.FAT&amp;display_string=Audit&amp;VAR:KEY=HMVYBGROTG&amp;VAR:QUERY=RkZfRUJJVERBX0lCKCdMVE1TJywzODY5Nyk=&amp;WINDOW=FIRST_POPUP&amp;HEIGHT=450&amp;WIDTH=450&amp;START_MA","XIMIZED=FALSE&amp;VAR:CALENDAR=US&amp;VAR:SYMBOL=N0098510&amp;VAR:INDEX=0"}</definedName>
    <definedName name="_7017__FDSAUDITLINK__" localSheetId="6" hidden="1">{"fdsup://directions/FAT Viewer?action=UPDATE&amp;creator=factset&amp;DYN_ARGS=TRUE&amp;DOC_NAME=FAT:FQL_AUDITING_CLIENT_TEMPLATE.FAT&amp;display_string=Audit&amp;VAR:KEY=VMNUDIBWNW&amp;VAR:QUERY=RkZfRUJJVERBX0lCKCdMVE1TJywzODY5Nik=&amp;WINDOW=FIRST_POPUP&amp;HEIGHT=450&amp;WIDTH=450&amp;START_MA","XIMIZED=FALSE&amp;VAR:CALENDAR=US&amp;VAR:SYMBOL=N0098510&amp;VAR:INDEX=0"}</definedName>
    <definedName name="_7017__FDSAUDITLINK__" hidden="1">{"fdsup://directions/FAT Viewer?action=UPDATE&amp;creator=factset&amp;DYN_ARGS=TRUE&amp;DOC_NAME=FAT:FQL_AUDITING_CLIENT_TEMPLATE.FAT&amp;display_string=Audit&amp;VAR:KEY=VMNUDIBWNW&amp;VAR:QUERY=RkZfRUJJVERBX0lCKCdMVE1TJywzODY5Nik=&amp;WINDOW=FIRST_POPUP&amp;HEIGHT=450&amp;WIDTH=450&amp;START_MA","XIMIZED=FALSE&amp;VAR:CALENDAR=US&amp;VAR:SYMBOL=N0098510&amp;VAR:INDEX=0"}</definedName>
    <definedName name="_7018__FDSAUDITLINK__" localSheetId="6" hidden="1">{"fdsup://directions/FAT Viewer?action=UPDATE&amp;creator=factset&amp;DYN_ARGS=TRUE&amp;DOC_NAME=FAT:FQL_AUDITING_CLIENT_TEMPLATE.FAT&amp;display_string=Audit&amp;VAR:KEY=RMHGVWZUHY&amp;VAR:QUERY=RkZfRUJJVERBX0lCKCdMVE1TJywzODY5NSk=&amp;WINDOW=FIRST_POPUP&amp;HEIGHT=450&amp;WIDTH=450&amp;START_MA","XIMIZED=FALSE&amp;VAR:CALENDAR=US&amp;VAR:SYMBOL=N0098510&amp;VAR:INDEX=0"}</definedName>
    <definedName name="_7018__FDSAUDITLINK__" hidden="1">{"fdsup://directions/FAT Viewer?action=UPDATE&amp;creator=factset&amp;DYN_ARGS=TRUE&amp;DOC_NAME=FAT:FQL_AUDITING_CLIENT_TEMPLATE.FAT&amp;display_string=Audit&amp;VAR:KEY=RMHGVWZUHY&amp;VAR:QUERY=RkZfRUJJVERBX0lCKCdMVE1TJywzODY5NSk=&amp;WINDOW=FIRST_POPUP&amp;HEIGHT=450&amp;WIDTH=450&amp;START_MA","XIMIZED=FALSE&amp;VAR:CALENDAR=US&amp;VAR:SYMBOL=N0098510&amp;VAR:INDEX=0"}</definedName>
    <definedName name="_7019__FDSAUDITLINK__" localSheetId="6" hidden="1">{"fdsup://directions/FAT Viewer?action=UPDATE&amp;creator=factset&amp;DYN_ARGS=TRUE&amp;DOC_NAME=FAT:FQL_AUDITING_CLIENT_TEMPLATE.FAT&amp;display_string=Audit&amp;VAR:KEY=REPWLYJEXU&amp;VAR:QUERY=RkZfRUJJVERBX0lCKCdMVE1TJywzODY5NCk=&amp;WINDOW=FIRST_POPUP&amp;HEIGHT=450&amp;WIDTH=450&amp;START_MA","XIMIZED=FALSE&amp;VAR:CALENDAR=US&amp;VAR:SYMBOL=N0098510&amp;VAR:INDEX=0"}</definedName>
    <definedName name="_7019__FDSAUDITLINK__" hidden="1">{"fdsup://directions/FAT Viewer?action=UPDATE&amp;creator=factset&amp;DYN_ARGS=TRUE&amp;DOC_NAME=FAT:FQL_AUDITING_CLIENT_TEMPLATE.FAT&amp;display_string=Audit&amp;VAR:KEY=REPWLYJEXU&amp;VAR:QUERY=RkZfRUJJVERBX0lCKCdMVE1TJywzODY5NCk=&amp;WINDOW=FIRST_POPUP&amp;HEIGHT=450&amp;WIDTH=450&amp;START_MA","XIMIZED=FALSE&amp;VAR:CALENDAR=US&amp;VAR:SYMBOL=N0098510&amp;VAR:INDEX=0"}</definedName>
    <definedName name="_702__FDSAUDITLINK__" localSheetId="6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2__FDSAUDITLINK__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20__FDSAUDITLINK__" localSheetId="6" hidden="1">{"fdsup://directions/FAT Viewer?action=UPDATE&amp;creator=factset&amp;DYN_ARGS=TRUE&amp;DOC_NAME=FAT:FQL_AUDITING_CLIENT_TEMPLATE.FAT&amp;display_string=Audit&amp;VAR:KEY=XCBURYRIJI&amp;VAR:QUERY=RkZfRUJJVERBX0lCKCdMVE1TJywzODY5Myk=&amp;WINDOW=FIRST_POPUP&amp;HEIGHT=450&amp;WIDTH=450&amp;START_MA","XIMIZED=FALSE&amp;VAR:CALENDAR=US&amp;VAR:SYMBOL=N0098510&amp;VAR:INDEX=0"}</definedName>
    <definedName name="_7020__FDSAUDITLINK__" hidden="1">{"fdsup://directions/FAT Viewer?action=UPDATE&amp;creator=factset&amp;DYN_ARGS=TRUE&amp;DOC_NAME=FAT:FQL_AUDITING_CLIENT_TEMPLATE.FAT&amp;display_string=Audit&amp;VAR:KEY=XCBURYRIJI&amp;VAR:QUERY=RkZfRUJJVERBX0lCKCdMVE1TJywzODY5Myk=&amp;WINDOW=FIRST_POPUP&amp;HEIGHT=450&amp;WIDTH=450&amp;START_MA","XIMIZED=FALSE&amp;VAR:CALENDAR=US&amp;VAR:SYMBOL=N0098510&amp;VAR:INDEX=0"}</definedName>
    <definedName name="_7021__FDSAUDITLINK__" localSheetId="6" hidden="1">{"fdsup://directions/FAT Viewer?action=UPDATE&amp;creator=factset&amp;DYN_ARGS=TRUE&amp;DOC_NAME=FAT:FQL_AUDITING_CLIENT_TEMPLATE.FAT&amp;display_string=Audit&amp;VAR:KEY=VMVWFADMNU&amp;VAR:QUERY=RkZfRUJJVERBX0lCKCdMVE1TJywzODY5Mik=&amp;WINDOW=FIRST_POPUP&amp;HEIGHT=450&amp;WIDTH=450&amp;START_MA","XIMIZED=FALSE&amp;VAR:CALENDAR=US&amp;VAR:SYMBOL=N0098510&amp;VAR:INDEX=0"}</definedName>
    <definedName name="_7021__FDSAUDITLINK__" hidden="1">{"fdsup://directions/FAT Viewer?action=UPDATE&amp;creator=factset&amp;DYN_ARGS=TRUE&amp;DOC_NAME=FAT:FQL_AUDITING_CLIENT_TEMPLATE.FAT&amp;display_string=Audit&amp;VAR:KEY=VMVWFADMNU&amp;VAR:QUERY=RkZfRUJJVERBX0lCKCdMVE1TJywzODY5Mik=&amp;WINDOW=FIRST_POPUP&amp;HEIGHT=450&amp;WIDTH=450&amp;START_MA","XIMIZED=FALSE&amp;VAR:CALENDAR=US&amp;VAR:SYMBOL=N0098510&amp;VAR:INDEX=0"}</definedName>
    <definedName name="_7022__FDSAUDITLINK__" localSheetId="6" hidden="1">{"fdsup://directions/FAT Viewer?action=UPDATE&amp;creator=factset&amp;DYN_ARGS=TRUE&amp;DOC_NAME=FAT:FQL_AUDITING_CLIENT_TEMPLATE.FAT&amp;display_string=Audit&amp;VAR:KEY=NWBCNSVUNK&amp;VAR:QUERY=RkZfRUJJVERBX0lCKCdMVE1TJywzODY5MSk=&amp;WINDOW=FIRST_POPUP&amp;HEIGHT=450&amp;WIDTH=450&amp;START_MA","XIMIZED=FALSE&amp;VAR:CALENDAR=US&amp;VAR:SYMBOL=N0098510&amp;VAR:INDEX=0"}</definedName>
    <definedName name="_7022__FDSAUDITLINK__" hidden="1">{"fdsup://directions/FAT Viewer?action=UPDATE&amp;creator=factset&amp;DYN_ARGS=TRUE&amp;DOC_NAME=FAT:FQL_AUDITING_CLIENT_TEMPLATE.FAT&amp;display_string=Audit&amp;VAR:KEY=NWBCNSVUNK&amp;VAR:QUERY=RkZfRUJJVERBX0lCKCdMVE1TJywzODY5MSk=&amp;WINDOW=FIRST_POPUP&amp;HEIGHT=450&amp;WIDTH=450&amp;START_MA","XIMIZED=FALSE&amp;VAR:CALENDAR=US&amp;VAR:SYMBOL=N0098510&amp;VAR:INDEX=0"}</definedName>
    <definedName name="_7023__FDSAUDITLINK__" localSheetId="6" hidden="1">{"fdsup://directions/FAT Viewer?action=UPDATE&amp;creator=factset&amp;DYN_ARGS=TRUE&amp;DOC_NAME=FAT:FQL_AUDITING_CLIENT_TEMPLATE.FAT&amp;display_string=Audit&amp;VAR:KEY=TETCZATQBI&amp;VAR:QUERY=RkZfRUJJVERBX0lCKCdMVE1TJywzODY5MCk=&amp;WINDOW=FIRST_POPUP&amp;HEIGHT=450&amp;WIDTH=450&amp;START_MA","XIMIZED=FALSE&amp;VAR:CALENDAR=US&amp;VAR:SYMBOL=N0098510&amp;VAR:INDEX=0"}</definedName>
    <definedName name="_7023__FDSAUDITLINK__" hidden="1">{"fdsup://directions/FAT Viewer?action=UPDATE&amp;creator=factset&amp;DYN_ARGS=TRUE&amp;DOC_NAME=FAT:FQL_AUDITING_CLIENT_TEMPLATE.FAT&amp;display_string=Audit&amp;VAR:KEY=TETCZATQBI&amp;VAR:QUERY=RkZfRUJJVERBX0lCKCdMVE1TJywzODY5MCk=&amp;WINDOW=FIRST_POPUP&amp;HEIGHT=450&amp;WIDTH=450&amp;START_MA","XIMIZED=FALSE&amp;VAR:CALENDAR=US&amp;VAR:SYMBOL=N0098510&amp;VAR:INDEX=0"}</definedName>
    <definedName name="_7024__FDSAUDITLINK__" localSheetId="6" hidden="1">{"fdsup://directions/FAT Viewer?action=UPDATE&amp;creator=factset&amp;DYN_ARGS=TRUE&amp;DOC_NAME=FAT:FQL_AUDITING_CLIENT_TEMPLATE.FAT&amp;display_string=Audit&amp;VAR:KEY=TWXMVERQTU&amp;VAR:QUERY=RkZfRUJJVERBX0lCKCdMVE1TJywzODY4OSk=&amp;WINDOW=FIRST_POPUP&amp;HEIGHT=450&amp;WIDTH=450&amp;START_MA","XIMIZED=FALSE&amp;VAR:CALENDAR=US&amp;VAR:SYMBOL=N0098510&amp;VAR:INDEX=0"}</definedName>
    <definedName name="_7024__FDSAUDITLINK__" hidden="1">{"fdsup://directions/FAT Viewer?action=UPDATE&amp;creator=factset&amp;DYN_ARGS=TRUE&amp;DOC_NAME=FAT:FQL_AUDITING_CLIENT_TEMPLATE.FAT&amp;display_string=Audit&amp;VAR:KEY=TWXMVERQTU&amp;VAR:QUERY=RkZfRUJJVERBX0lCKCdMVE1TJywzODY4OSk=&amp;WINDOW=FIRST_POPUP&amp;HEIGHT=450&amp;WIDTH=450&amp;START_MA","XIMIZED=FALSE&amp;VAR:CALENDAR=US&amp;VAR:SYMBOL=N0098510&amp;VAR:INDEX=0"}</definedName>
    <definedName name="_7025__FDSAUDITLINK__" localSheetId="6" hidden="1">{"fdsup://directions/FAT Viewer?action=UPDATE&amp;creator=factset&amp;DYN_ARGS=TRUE&amp;DOC_NAME=FAT:FQL_AUDITING_CLIENT_TEMPLATE.FAT&amp;display_string=Audit&amp;VAR:KEY=BCHORCPSRQ&amp;VAR:QUERY=RkZfRUJJVERBX0lCKCdMVE1TJywzODY4OCk=&amp;WINDOW=FIRST_POPUP&amp;HEIGHT=450&amp;WIDTH=450&amp;START_MA","XIMIZED=FALSE&amp;VAR:CALENDAR=US&amp;VAR:SYMBOL=N0098510&amp;VAR:INDEX=0"}</definedName>
    <definedName name="_7025__FDSAUDITLINK__" hidden="1">{"fdsup://directions/FAT Viewer?action=UPDATE&amp;creator=factset&amp;DYN_ARGS=TRUE&amp;DOC_NAME=FAT:FQL_AUDITING_CLIENT_TEMPLATE.FAT&amp;display_string=Audit&amp;VAR:KEY=BCHORCPSRQ&amp;VAR:QUERY=RkZfRUJJVERBX0lCKCdMVE1TJywzODY4OCk=&amp;WINDOW=FIRST_POPUP&amp;HEIGHT=450&amp;WIDTH=450&amp;START_MA","XIMIZED=FALSE&amp;VAR:CALENDAR=US&amp;VAR:SYMBOL=N0098510&amp;VAR:INDEX=0"}</definedName>
    <definedName name="_7026__FDSAUDITLINK__" localSheetId="6" hidden="1">{"fdsup://directions/FAT Viewer?action=UPDATE&amp;creator=factset&amp;DYN_ARGS=TRUE&amp;DOC_NAME=FAT:FQL_AUDITING_CLIENT_TEMPLATE.FAT&amp;display_string=Audit&amp;VAR:KEY=HSPQBWHSJM&amp;VAR:QUERY=RkZfRUJJVERBX0lCKCdMVE1TJywzODY4Nyk=&amp;WINDOW=FIRST_POPUP&amp;HEIGHT=450&amp;WIDTH=450&amp;START_MA","XIMIZED=FALSE&amp;VAR:CALENDAR=US&amp;VAR:SYMBOL=N0098510&amp;VAR:INDEX=0"}</definedName>
    <definedName name="_7026__FDSAUDITLINK__" hidden="1">{"fdsup://directions/FAT Viewer?action=UPDATE&amp;creator=factset&amp;DYN_ARGS=TRUE&amp;DOC_NAME=FAT:FQL_AUDITING_CLIENT_TEMPLATE.FAT&amp;display_string=Audit&amp;VAR:KEY=HSPQBWHSJM&amp;VAR:QUERY=RkZfRUJJVERBX0lCKCdMVE1TJywzODY4Nyk=&amp;WINDOW=FIRST_POPUP&amp;HEIGHT=450&amp;WIDTH=450&amp;START_MA","XIMIZED=FALSE&amp;VAR:CALENDAR=US&amp;VAR:SYMBOL=N0098510&amp;VAR:INDEX=0"}</definedName>
    <definedName name="_7027__FDSAUDITLINK__" localSheetId="6" hidden="1">{"fdsup://directions/FAT Viewer?action=UPDATE&amp;creator=factset&amp;DYN_ARGS=TRUE&amp;DOC_NAME=FAT:FQL_AUDITING_CLIENT_TEMPLATE.FAT&amp;display_string=Audit&amp;VAR:KEY=FIBMRKRWLW&amp;VAR:QUERY=RkZfRUJJVERBX0lCKCdMVE1TJywzODY4Nik=&amp;WINDOW=FIRST_POPUP&amp;HEIGHT=450&amp;WIDTH=450&amp;START_MA","XIMIZED=FALSE&amp;VAR:CALENDAR=US&amp;VAR:SYMBOL=N0098510&amp;VAR:INDEX=0"}</definedName>
    <definedName name="_7027__FDSAUDITLINK__" hidden="1">{"fdsup://directions/FAT Viewer?action=UPDATE&amp;creator=factset&amp;DYN_ARGS=TRUE&amp;DOC_NAME=FAT:FQL_AUDITING_CLIENT_TEMPLATE.FAT&amp;display_string=Audit&amp;VAR:KEY=FIBMRKRWLW&amp;VAR:QUERY=RkZfRUJJVERBX0lCKCdMVE1TJywzODY4Nik=&amp;WINDOW=FIRST_POPUP&amp;HEIGHT=450&amp;WIDTH=450&amp;START_MA","XIMIZED=FALSE&amp;VAR:CALENDAR=US&amp;VAR:SYMBOL=N0098510&amp;VAR:INDEX=0"}</definedName>
    <definedName name="_7028__FDSAUDITLINK__" localSheetId="6" hidden="1">{"fdsup://directions/FAT Viewer?action=UPDATE&amp;creator=factset&amp;DYN_ARGS=TRUE&amp;DOC_NAME=FAT:FQL_AUDITING_CLIENT_TEMPLATE.FAT&amp;display_string=Audit&amp;VAR:KEY=HSPKXEVAZK&amp;VAR:QUERY=RkZfRUJJVERBX0lCKCdMVE1TJywzODY4NSk=&amp;WINDOW=FIRST_POPUP&amp;HEIGHT=450&amp;WIDTH=450&amp;START_MA","XIMIZED=FALSE&amp;VAR:CALENDAR=US&amp;VAR:SYMBOL=N0098510&amp;VAR:INDEX=0"}</definedName>
    <definedName name="_7028__FDSAUDITLINK__" hidden="1">{"fdsup://directions/FAT Viewer?action=UPDATE&amp;creator=factset&amp;DYN_ARGS=TRUE&amp;DOC_NAME=FAT:FQL_AUDITING_CLIENT_TEMPLATE.FAT&amp;display_string=Audit&amp;VAR:KEY=HSPKXEVAZK&amp;VAR:QUERY=RkZfRUJJVERBX0lCKCdMVE1TJywzODY4NSk=&amp;WINDOW=FIRST_POPUP&amp;HEIGHT=450&amp;WIDTH=450&amp;START_MA","XIMIZED=FALSE&amp;VAR:CALENDAR=US&amp;VAR:SYMBOL=N0098510&amp;VAR:INDEX=0"}</definedName>
    <definedName name="_7029__FDSAUDITLINK__" localSheetId="6" hidden="1">{"fdsup://directions/FAT Viewer?action=UPDATE&amp;creator=factset&amp;DYN_ARGS=TRUE&amp;DOC_NAME=FAT:FQL_AUDITING_CLIENT_TEMPLATE.FAT&amp;display_string=Audit&amp;VAR:KEY=HMDWPEJKNM&amp;VAR:QUERY=RkZfRUJJVERBX0lCKCdMVE1TJywzODY4NCk=&amp;WINDOW=FIRST_POPUP&amp;HEIGHT=450&amp;WIDTH=450&amp;START_MA","XIMIZED=FALSE&amp;VAR:CALENDAR=US&amp;VAR:SYMBOL=N0098510&amp;VAR:INDEX=0"}</definedName>
    <definedName name="_7029__FDSAUDITLINK__" hidden="1">{"fdsup://directions/FAT Viewer?action=UPDATE&amp;creator=factset&amp;DYN_ARGS=TRUE&amp;DOC_NAME=FAT:FQL_AUDITING_CLIENT_TEMPLATE.FAT&amp;display_string=Audit&amp;VAR:KEY=HMDWPEJKNM&amp;VAR:QUERY=RkZfRUJJVERBX0lCKCdMVE1TJywzODY4NCk=&amp;WINDOW=FIRST_POPUP&amp;HEIGHT=450&amp;WIDTH=450&amp;START_MA","XIMIZED=FALSE&amp;VAR:CALENDAR=US&amp;VAR:SYMBOL=N0098510&amp;VAR:INDEX=0"}</definedName>
    <definedName name="_703__FDSAUDITLINK__" localSheetId="6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3__FDSAUDITLINK__" hidden="1">{"fdsup://directions/FAT%20Viewer?VAR:PED=LTM&amp;VAR:AUDIT_MODE=SUMMARY&amp;VAR:PERIOD=FIXED&amp;VAR:AUDIT_ID=00000117&amp;VAR:DATE=20080320&amp;action=UPDATE&amp;creator=factset&amp;DOC_NAME=FAT:FMA_audit_SUMMARY.fat&amp;DISPLAY_STRING=Display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30__FDSAUDITLINK__" localSheetId="6" hidden="1">{"fdsup://directions/FAT Viewer?action=UPDATE&amp;creator=factset&amp;DYN_ARGS=TRUE&amp;DOC_NAME=FAT:FQL_AUDITING_CLIENT_TEMPLATE.FAT&amp;display_string=Audit&amp;VAR:KEY=TYXEDADCTC&amp;VAR:QUERY=RkZfRUJJVERBX0lCKCdMVE1TJywzODY4Myk=&amp;WINDOW=FIRST_POPUP&amp;HEIGHT=450&amp;WIDTH=450&amp;START_MA","XIMIZED=FALSE&amp;VAR:CALENDAR=US&amp;VAR:SYMBOL=N0098510&amp;VAR:INDEX=0"}</definedName>
    <definedName name="_7030__FDSAUDITLINK__" hidden="1">{"fdsup://directions/FAT Viewer?action=UPDATE&amp;creator=factset&amp;DYN_ARGS=TRUE&amp;DOC_NAME=FAT:FQL_AUDITING_CLIENT_TEMPLATE.FAT&amp;display_string=Audit&amp;VAR:KEY=TYXEDADCTC&amp;VAR:QUERY=RkZfRUJJVERBX0lCKCdMVE1TJywzODY4Myk=&amp;WINDOW=FIRST_POPUP&amp;HEIGHT=450&amp;WIDTH=450&amp;START_MA","XIMIZED=FALSE&amp;VAR:CALENDAR=US&amp;VAR:SYMBOL=N0098510&amp;VAR:INDEX=0"}</definedName>
    <definedName name="_7031__FDSAUDITLINK__" localSheetId="6" hidden="1">{"fdsup://directions/FAT Viewer?action=UPDATE&amp;creator=factset&amp;DYN_ARGS=TRUE&amp;DOC_NAME=FAT:FQL_AUDITING_CLIENT_TEMPLATE.FAT&amp;display_string=Audit&amp;VAR:KEY=VGJQDUBODQ&amp;VAR:QUERY=RkZfRUJJVERBX0lCKCdMVE1TJywzODY4Mik=&amp;WINDOW=FIRST_POPUP&amp;HEIGHT=450&amp;WIDTH=450&amp;START_MA","XIMIZED=FALSE&amp;VAR:CALENDAR=US&amp;VAR:SYMBOL=N0098510&amp;VAR:INDEX=0"}</definedName>
    <definedName name="_7031__FDSAUDITLINK__" hidden="1">{"fdsup://directions/FAT Viewer?action=UPDATE&amp;creator=factset&amp;DYN_ARGS=TRUE&amp;DOC_NAME=FAT:FQL_AUDITING_CLIENT_TEMPLATE.FAT&amp;display_string=Audit&amp;VAR:KEY=VGJQDUBODQ&amp;VAR:QUERY=RkZfRUJJVERBX0lCKCdMVE1TJywzODY4Mik=&amp;WINDOW=FIRST_POPUP&amp;HEIGHT=450&amp;WIDTH=450&amp;START_MA","XIMIZED=FALSE&amp;VAR:CALENDAR=US&amp;VAR:SYMBOL=N0098510&amp;VAR:INDEX=0"}</definedName>
    <definedName name="_7032__FDSAUDITLINK__" localSheetId="6" hidden="1">{"fdsup://directions/FAT Viewer?action=UPDATE&amp;creator=factset&amp;DYN_ARGS=TRUE&amp;DOC_NAME=FAT:FQL_AUDITING_CLIENT_TEMPLATE.FAT&amp;display_string=Audit&amp;VAR:KEY=VSJIFOTARW&amp;VAR:QUERY=RkZfRUJJVERBX0lCKCdMVE1TJywzODY4MSk=&amp;WINDOW=FIRST_POPUP&amp;HEIGHT=450&amp;WIDTH=450&amp;START_MA","XIMIZED=FALSE&amp;VAR:CALENDAR=US&amp;VAR:SYMBOL=N0098510&amp;VAR:INDEX=0"}</definedName>
    <definedName name="_7032__FDSAUDITLINK__" hidden="1">{"fdsup://directions/FAT Viewer?action=UPDATE&amp;creator=factset&amp;DYN_ARGS=TRUE&amp;DOC_NAME=FAT:FQL_AUDITING_CLIENT_TEMPLATE.FAT&amp;display_string=Audit&amp;VAR:KEY=VSJIFOTARW&amp;VAR:QUERY=RkZfRUJJVERBX0lCKCdMVE1TJywzODY4MSk=&amp;WINDOW=FIRST_POPUP&amp;HEIGHT=450&amp;WIDTH=450&amp;START_MA","XIMIZED=FALSE&amp;VAR:CALENDAR=US&amp;VAR:SYMBOL=N0098510&amp;VAR:INDEX=0"}</definedName>
    <definedName name="_7033__FDSAUDITLINK__" localSheetId="6" hidden="1">{"fdsup://directions/FAT Viewer?action=UPDATE&amp;creator=factset&amp;DYN_ARGS=TRUE&amp;DOC_NAME=FAT:FQL_AUDITING_CLIENT_TEMPLATE.FAT&amp;display_string=Audit&amp;VAR:KEY=FOXWBIXQVM&amp;VAR:QUERY=RkZfRUJJVERBX0lCKCdMVE1TJywzODY4MCk=&amp;WINDOW=FIRST_POPUP&amp;HEIGHT=450&amp;WIDTH=450&amp;START_MA","XIMIZED=FALSE&amp;VAR:CALENDAR=US&amp;VAR:SYMBOL=N0098510&amp;VAR:INDEX=0"}</definedName>
    <definedName name="_7033__FDSAUDITLINK__" hidden="1">{"fdsup://directions/FAT Viewer?action=UPDATE&amp;creator=factset&amp;DYN_ARGS=TRUE&amp;DOC_NAME=FAT:FQL_AUDITING_CLIENT_TEMPLATE.FAT&amp;display_string=Audit&amp;VAR:KEY=FOXWBIXQVM&amp;VAR:QUERY=RkZfRUJJVERBX0lCKCdMVE1TJywzODY4MCk=&amp;WINDOW=FIRST_POPUP&amp;HEIGHT=450&amp;WIDTH=450&amp;START_MA","XIMIZED=FALSE&amp;VAR:CALENDAR=US&amp;VAR:SYMBOL=N0098510&amp;VAR:INDEX=0"}</definedName>
    <definedName name="_7034__FDSAUDITLINK__" localSheetId="6" hidden="1">{"fdsup://directions/FAT Viewer?action=UPDATE&amp;creator=factset&amp;DYN_ARGS=TRUE&amp;DOC_NAME=FAT:FQL_AUDITING_CLIENT_TEMPLATE.FAT&amp;display_string=Audit&amp;VAR:KEY=FAVMNUVCHW&amp;VAR:QUERY=RkZfRUJJVERBX0lCKCdMVE1TJywzODY3OSk=&amp;WINDOW=FIRST_POPUP&amp;HEIGHT=450&amp;WIDTH=450&amp;START_MA","XIMIZED=FALSE&amp;VAR:CALENDAR=US&amp;VAR:SYMBOL=N0098510&amp;VAR:INDEX=0"}</definedName>
    <definedName name="_7034__FDSAUDITLINK__" hidden="1">{"fdsup://directions/FAT Viewer?action=UPDATE&amp;creator=factset&amp;DYN_ARGS=TRUE&amp;DOC_NAME=FAT:FQL_AUDITING_CLIENT_TEMPLATE.FAT&amp;display_string=Audit&amp;VAR:KEY=FAVMNUVCHW&amp;VAR:QUERY=RkZfRUJJVERBX0lCKCdMVE1TJywzODY3OSk=&amp;WINDOW=FIRST_POPUP&amp;HEIGHT=450&amp;WIDTH=450&amp;START_MA","XIMIZED=FALSE&amp;VAR:CALENDAR=US&amp;VAR:SYMBOL=N0098510&amp;VAR:INDEX=0"}</definedName>
    <definedName name="_7035__FDSAUDITLINK__" localSheetId="6" hidden="1">{"fdsup://directions/FAT Viewer?action=UPDATE&amp;creator=factset&amp;DYN_ARGS=TRUE&amp;DOC_NAME=FAT:FQL_AUDITING_CLIENT_TEMPLATE.FAT&amp;display_string=Audit&amp;VAR:KEY=BUXMBIBMFG&amp;VAR:QUERY=RkZfRUJJVERBX0lCKCdMVE1TJywzODY3OCk=&amp;WINDOW=FIRST_POPUP&amp;HEIGHT=450&amp;WIDTH=450&amp;START_MA","XIMIZED=FALSE&amp;VAR:CALENDAR=US&amp;VAR:SYMBOL=N0098510&amp;VAR:INDEX=0"}</definedName>
    <definedName name="_7035__FDSAUDITLINK__" hidden="1">{"fdsup://directions/FAT Viewer?action=UPDATE&amp;creator=factset&amp;DYN_ARGS=TRUE&amp;DOC_NAME=FAT:FQL_AUDITING_CLIENT_TEMPLATE.FAT&amp;display_string=Audit&amp;VAR:KEY=BUXMBIBMFG&amp;VAR:QUERY=RkZfRUJJVERBX0lCKCdMVE1TJywzODY3OCk=&amp;WINDOW=FIRST_POPUP&amp;HEIGHT=450&amp;WIDTH=450&amp;START_MA","XIMIZED=FALSE&amp;VAR:CALENDAR=US&amp;VAR:SYMBOL=N0098510&amp;VAR:INDEX=0"}</definedName>
    <definedName name="_7036__FDSAUDITLINK__" localSheetId="6" hidden="1">{"fdsup://directions/FAT Viewer?action=UPDATE&amp;creator=factset&amp;DYN_ARGS=TRUE&amp;DOC_NAME=FAT:FQL_AUDITING_CLIENT_TEMPLATE.FAT&amp;display_string=Audit&amp;VAR:KEY=ZMVKPSTEVO&amp;VAR:QUERY=RkZfRUJJVERBX0lCKCdMVE1TJywzODY3Nyk=&amp;WINDOW=FIRST_POPUP&amp;HEIGHT=450&amp;WIDTH=450&amp;START_MA","XIMIZED=FALSE&amp;VAR:CALENDAR=US&amp;VAR:SYMBOL=N0098510&amp;VAR:INDEX=0"}</definedName>
    <definedName name="_7036__FDSAUDITLINK__" hidden="1">{"fdsup://directions/FAT Viewer?action=UPDATE&amp;creator=factset&amp;DYN_ARGS=TRUE&amp;DOC_NAME=FAT:FQL_AUDITING_CLIENT_TEMPLATE.FAT&amp;display_string=Audit&amp;VAR:KEY=ZMVKPSTEVO&amp;VAR:QUERY=RkZfRUJJVERBX0lCKCdMVE1TJywzODY3Nyk=&amp;WINDOW=FIRST_POPUP&amp;HEIGHT=450&amp;WIDTH=450&amp;START_MA","XIMIZED=FALSE&amp;VAR:CALENDAR=US&amp;VAR:SYMBOL=N0098510&amp;VAR:INDEX=0"}</definedName>
    <definedName name="_7037__FDSAUDITLINK__" localSheetId="6" hidden="1">{"fdsup://directions/FAT Viewer?action=UPDATE&amp;creator=factset&amp;DYN_ARGS=TRUE&amp;DOC_NAME=FAT:FQL_AUDITING_CLIENT_TEMPLATE.FAT&amp;display_string=Audit&amp;VAR:KEY=VGJABQBOXG&amp;VAR:QUERY=RkZfRUJJVERBX0lCKCdMVE1TJywzODY3Nik=&amp;WINDOW=FIRST_POPUP&amp;HEIGHT=450&amp;WIDTH=450&amp;START_MA","XIMIZED=FALSE&amp;VAR:CALENDAR=US&amp;VAR:SYMBOL=N0098510&amp;VAR:INDEX=0"}</definedName>
    <definedName name="_7037__FDSAUDITLINK__" hidden="1">{"fdsup://directions/FAT Viewer?action=UPDATE&amp;creator=factset&amp;DYN_ARGS=TRUE&amp;DOC_NAME=FAT:FQL_AUDITING_CLIENT_TEMPLATE.FAT&amp;display_string=Audit&amp;VAR:KEY=VGJABQBOXG&amp;VAR:QUERY=RkZfRUJJVERBX0lCKCdMVE1TJywzODY3Nik=&amp;WINDOW=FIRST_POPUP&amp;HEIGHT=450&amp;WIDTH=450&amp;START_MA","XIMIZED=FALSE&amp;VAR:CALENDAR=US&amp;VAR:SYMBOL=N0098510&amp;VAR:INDEX=0"}</definedName>
    <definedName name="_7038__FDSAUDITLINK__" localSheetId="6" hidden="1">{"fdsup://directions/FAT Viewer?action=UPDATE&amp;creator=factset&amp;DYN_ARGS=TRUE&amp;DOC_NAME=FAT:FQL_AUDITING_CLIENT_TEMPLATE.FAT&amp;display_string=Audit&amp;VAR:KEY=NMDYZYVSFK&amp;VAR:QUERY=RkZfRUJJVERBX0lCKCdMVE1TJywzODY3NSk=&amp;WINDOW=FIRST_POPUP&amp;HEIGHT=450&amp;WIDTH=450&amp;START_MA","XIMIZED=FALSE&amp;VAR:CALENDAR=US&amp;VAR:SYMBOL=N0098510&amp;VAR:INDEX=0"}</definedName>
    <definedName name="_7038__FDSAUDITLINK__" hidden="1">{"fdsup://directions/FAT Viewer?action=UPDATE&amp;creator=factset&amp;DYN_ARGS=TRUE&amp;DOC_NAME=FAT:FQL_AUDITING_CLIENT_TEMPLATE.FAT&amp;display_string=Audit&amp;VAR:KEY=NMDYZYVSFK&amp;VAR:QUERY=RkZfRUJJVERBX0lCKCdMVE1TJywzODY3NSk=&amp;WINDOW=FIRST_POPUP&amp;HEIGHT=450&amp;WIDTH=450&amp;START_MA","XIMIZED=FALSE&amp;VAR:CALENDAR=US&amp;VAR:SYMBOL=N0098510&amp;VAR:INDEX=0"}</definedName>
    <definedName name="_7039__FDSAUDITLINK__" localSheetId="6" hidden="1">{"fdsup://directions/FAT Viewer?action=UPDATE&amp;creator=factset&amp;DYN_ARGS=TRUE&amp;DOC_NAME=FAT:FQL_AUDITING_CLIENT_TEMPLATE.FAT&amp;display_string=Audit&amp;VAR:KEY=TYJKDILCXS&amp;VAR:QUERY=RkZfRUJJVERBX0lCKCdMVE1TJywzODY3NCk=&amp;WINDOW=FIRST_POPUP&amp;HEIGHT=450&amp;WIDTH=450&amp;START_MA","XIMIZED=FALSE&amp;VAR:CALENDAR=US&amp;VAR:SYMBOL=N0098510&amp;VAR:INDEX=0"}</definedName>
    <definedName name="_7039__FDSAUDITLINK__" hidden="1">{"fdsup://directions/FAT Viewer?action=UPDATE&amp;creator=factset&amp;DYN_ARGS=TRUE&amp;DOC_NAME=FAT:FQL_AUDITING_CLIENT_TEMPLATE.FAT&amp;display_string=Audit&amp;VAR:KEY=TYJKDILCXS&amp;VAR:QUERY=RkZfRUJJVERBX0lCKCdMVE1TJywzODY3NCk=&amp;WINDOW=FIRST_POPUP&amp;HEIGHT=450&amp;WIDTH=450&amp;START_MA","XIMIZED=FALSE&amp;VAR:CALENDAR=US&amp;VAR:SYMBOL=N0098510&amp;VAR:INDEX=0"}</definedName>
    <definedName name="_704__FDSAUDITLINK__" localSheetId="6" hidden="1">{"fdsup://directions/FAT%20Viewer?VAR:PED=LTM&amp;VAR:AUDIT_MODE=SUMMARY&amp;VAR:PERIOD=FIXED&amp;VAR:AUDIT_ID=00000117&amp;VAR:DATE=20080319&amp;action=UPDATE&amp;creator=factset&amp;DOC_NAME=FAT:FMA_audit_SUMMARY.fat&amp;DISPLAY_STRING=Display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4__FDSAUDITLINK__" hidden="1">{"fdsup://directions/FAT%20Viewer?VAR:PED=LTM&amp;VAR:AUDIT_MODE=SUMMARY&amp;VAR:PERIOD=FIXED&amp;VAR:AUDIT_ID=00000117&amp;VAR:DATE=20080319&amp;action=UPDATE&amp;creator=factset&amp;DOC_NAME=FAT:FMA_audit_SUMMARY.fat&amp;DISPLAY_STRING=Display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40__FDSAUDITLINK__" localSheetId="6" hidden="1">{"fdsup://directions/FAT Viewer?action=UPDATE&amp;creator=factset&amp;DYN_ARGS=TRUE&amp;DOC_NAME=FAT:FQL_AUDITING_CLIENT_TEMPLATE.FAT&amp;display_string=Audit&amp;VAR:KEY=XSJYLKZOPO&amp;VAR:QUERY=RkZfRUJJVERBX0lCKCdMVE1TJywzODY3Myk=&amp;WINDOW=FIRST_POPUP&amp;HEIGHT=450&amp;WIDTH=450&amp;START_MA","XIMIZED=FALSE&amp;VAR:CALENDAR=US&amp;VAR:SYMBOL=N0098510&amp;VAR:INDEX=0"}</definedName>
    <definedName name="_7040__FDSAUDITLINK__" hidden="1">{"fdsup://directions/FAT Viewer?action=UPDATE&amp;creator=factset&amp;DYN_ARGS=TRUE&amp;DOC_NAME=FAT:FQL_AUDITING_CLIENT_TEMPLATE.FAT&amp;display_string=Audit&amp;VAR:KEY=XSJYLKZOPO&amp;VAR:QUERY=RkZfRUJJVERBX0lCKCdMVE1TJywzODY3Myk=&amp;WINDOW=FIRST_POPUP&amp;HEIGHT=450&amp;WIDTH=450&amp;START_MA","XIMIZED=FALSE&amp;VAR:CALENDAR=US&amp;VAR:SYMBOL=N0098510&amp;VAR:INDEX=0"}</definedName>
    <definedName name="_7041__FDSAUDITLINK__" localSheetId="6" hidden="1">{"fdsup://directions/FAT Viewer?action=UPDATE&amp;creator=factset&amp;DYN_ARGS=TRUE&amp;DOC_NAME=FAT:FQL_AUDITING_CLIENT_TEMPLATE.FAT&amp;display_string=Audit&amp;VAR:KEY=BEXWXGTMVA&amp;VAR:QUERY=RkZfRUJJVERBX0lCKCdMVE1TJywzODY3Mik=&amp;WINDOW=FIRST_POPUP&amp;HEIGHT=450&amp;WIDTH=450&amp;START_MA","XIMIZED=FALSE&amp;VAR:CALENDAR=US&amp;VAR:SYMBOL=N0098510&amp;VAR:INDEX=0"}</definedName>
    <definedName name="_7041__FDSAUDITLINK__" hidden="1">{"fdsup://directions/FAT Viewer?action=UPDATE&amp;creator=factset&amp;DYN_ARGS=TRUE&amp;DOC_NAME=FAT:FQL_AUDITING_CLIENT_TEMPLATE.FAT&amp;display_string=Audit&amp;VAR:KEY=BEXWXGTMVA&amp;VAR:QUERY=RkZfRUJJVERBX0lCKCdMVE1TJywzODY3Mik=&amp;WINDOW=FIRST_POPUP&amp;HEIGHT=450&amp;WIDTH=450&amp;START_MA","XIMIZED=FALSE&amp;VAR:CALENDAR=US&amp;VAR:SYMBOL=N0098510&amp;VAR:INDEX=0"}</definedName>
    <definedName name="_7042__FDSAUDITLINK__" localSheetId="6" hidden="1">{"fdsup://directions/FAT Viewer?action=UPDATE&amp;creator=factset&amp;DYN_ARGS=TRUE&amp;DOC_NAME=FAT:FQL_AUDITING_CLIENT_TEMPLATE.FAT&amp;display_string=Audit&amp;VAR:KEY=ZGNWHEFCDO&amp;VAR:QUERY=RkZfRUJJVERBX0lCKCdMVE1TJywzODY3MSk=&amp;WINDOW=FIRST_POPUP&amp;HEIGHT=450&amp;WIDTH=450&amp;START_MA","XIMIZED=FALSE&amp;VAR:CALENDAR=US&amp;VAR:SYMBOL=N0098510&amp;VAR:INDEX=0"}</definedName>
    <definedName name="_7042__FDSAUDITLINK__" hidden="1">{"fdsup://directions/FAT Viewer?action=UPDATE&amp;creator=factset&amp;DYN_ARGS=TRUE&amp;DOC_NAME=FAT:FQL_AUDITING_CLIENT_TEMPLATE.FAT&amp;display_string=Audit&amp;VAR:KEY=ZGNWHEFCDO&amp;VAR:QUERY=RkZfRUJJVERBX0lCKCdMVE1TJywzODY3MSk=&amp;WINDOW=FIRST_POPUP&amp;HEIGHT=450&amp;WIDTH=450&amp;START_MA","XIMIZED=FALSE&amp;VAR:CALENDAR=US&amp;VAR:SYMBOL=N0098510&amp;VAR:INDEX=0"}</definedName>
    <definedName name="_7043__FDSAUDITLINK__" localSheetId="6" hidden="1">{"fdsup://directions/FAT Viewer?action=UPDATE&amp;creator=factset&amp;DYN_ARGS=TRUE&amp;DOC_NAME=FAT:FQL_AUDITING_CLIENT_TEMPLATE.FAT&amp;display_string=Audit&amp;VAR:KEY=BWXGPYTQDI&amp;VAR:QUERY=RkZfRUJJVERBX0lCKCdMVE1TJywzODY3MCk=&amp;WINDOW=FIRST_POPUP&amp;HEIGHT=450&amp;WIDTH=450&amp;START_MA","XIMIZED=FALSE&amp;VAR:CALENDAR=US&amp;VAR:SYMBOL=N0098510&amp;VAR:INDEX=0"}</definedName>
    <definedName name="_7043__FDSAUDITLINK__" hidden="1">{"fdsup://directions/FAT Viewer?action=UPDATE&amp;creator=factset&amp;DYN_ARGS=TRUE&amp;DOC_NAME=FAT:FQL_AUDITING_CLIENT_TEMPLATE.FAT&amp;display_string=Audit&amp;VAR:KEY=BWXGPYTQDI&amp;VAR:QUERY=RkZfRUJJVERBX0lCKCdMVE1TJywzODY3MCk=&amp;WINDOW=FIRST_POPUP&amp;HEIGHT=450&amp;WIDTH=450&amp;START_MA","XIMIZED=FALSE&amp;VAR:CALENDAR=US&amp;VAR:SYMBOL=N0098510&amp;VAR:INDEX=0"}</definedName>
    <definedName name="_7044__FDSAUDITLINK__" localSheetId="6" hidden="1">{"fdsup://directions/FAT Viewer?action=UPDATE&amp;creator=factset&amp;DYN_ARGS=TRUE&amp;DOC_NAME=FAT:FQL_AUDITING_CLIENT_TEMPLATE.FAT&amp;display_string=Audit&amp;VAR:KEY=BONGLWPOHA&amp;VAR:QUERY=RkZfRUJJVERBX0lCKCdMVE1TJywzODY2OSk=&amp;WINDOW=FIRST_POPUP&amp;HEIGHT=450&amp;WIDTH=450&amp;START_MA","XIMIZED=FALSE&amp;VAR:CALENDAR=US&amp;VAR:SYMBOL=N0098510&amp;VAR:INDEX=0"}</definedName>
    <definedName name="_7044__FDSAUDITLINK__" hidden="1">{"fdsup://directions/FAT Viewer?action=UPDATE&amp;creator=factset&amp;DYN_ARGS=TRUE&amp;DOC_NAME=FAT:FQL_AUDITING_CLIENT_TEMPLATE.FAT&amp;display_string=Audit&amp;VAR:KEY=BONGLWPOHA&amp;VAR:QUERY=RkZfRUJJVERBX0lCKCdMVE1TJywzODY2OSk=&amp;WINDOW=FIRST_POPUP&amp;HEIGHT=450&amp;WIDTH=450&amp;START_MA","XIMIZED=FALSE&amp;VAR:CALENDAR=US&amp;VAR:SYMBOL=N0098510&amp;VAR:INDEX=0"}</definedName>
    <definedName name="_7045__FDSAUDITLINK__" localSheetId="6" hidden="1">{"fdsup://directions/FAT Viewer?action=UPDATE&amp;creator=factset&amp;DYN_ARGS=TRUE&amp;DOC_NAME=FAT:FQL_AUDITING_CLIENT_TEMPLATE.FAT&amp;display_string=Audit&amp;VAR:KEY=FKHSZOXIXO&amp;VAR:QUERY=RkZfRUJJVERBX0lCKCdMVE1TJywzODY2OCk=&amp;WINDOW=FIRST_POPUP&amp;HEIGHT=450&amp;WIDTH=450&amp;START_MA","XIMIZED=FALSE&amp;VAR:CALENDAR=US&amp;VAR:SYMBOL=N0098510&amp;VAR:INDEX=0"}</definedName>
    <definedName name="_7045__FDSAUDITLINK__" hidden="1">{"fdsup://directions/FAT Viewer?action=UPDATE&amp;creator=factset&amp;DYN_ARGS=TRUE&amp;DOC_NAME=FAT:FQL_AUDITING_CLIENT_TEMPLATE.FAT&amp;display_string=Audit&amp;VAR:KEY=FKHSZOXIXO&amp;VAR:QUERY=RkZfRUJJVERBX0lCKCdMVE1TJywzODY2OCk=&amp;WINDOW=FIRST_POPUP&amp;HEIGHT=450&amp;WIDTH=450&amp;START_MA","XIMIZED=FALSE&amp;VAR:CALENDAR=US&amp;VAR:SYMBOL=N0098510&amp;VAR:INDEX=0"}</definedName>
    <definedName name="_7046__FDSAUDITLINK__" localSheetId="6" hidden="1">{"fdsup://directions/FAT Viewer?action=UPDATE&amp;creator=factset&amp;DYN_ARGS=TRUE&amp;DOC_NAME=FAT:FQL_AUDITING_CLIENT_TEMPLATE.FAT&amp;display_string=Audit&amp;VAR:KEY=ZGTQLOPMTM&amp;VAR:QUERY=RkZfRUJJVERBX0lCKCdMVE1TJywzODY2Nyk=&amp;WINDOW=FIRST_POPUP&amp;HEIGHT=450&amp;WIDTH=450&amp;START_MA","XIMIZED=FALSE&amp;VAR:CALENDAR=US&amp;VAR:SYMBOL=N0098510&amp;VAR:INDEX=0"}</definedName>
    <definedName name="_7046__FDSAUDITLINK__" hidden="1">{"fdsup://directions/FAT Viewer?action=UPDATE&amp;creator=factset&amp;DYN_ARGS=TRUE&amp;DOC_NAME=FAT:FQL_AUDITING_CLIENT_TEMPLATE.FAT&amp;display_string=Audit&amp;VAR:KEY=ZGTQLOPMTM&amp;VAR:QUERY=RkZfRUJJVERBX0lCKCdMVE1TJywzODY2Nyk=&amp;WINDOW=FIRST_POPUP&amp;HEIGHT=450&amp;WIDTH=450&amp;START_MA","XIMIZED=FALSE&amp;VAR:CALENDAR=US&amp;VAR:SYMBOL=N0098510&amp;VAR:INDEX=0"}</definedName>
    <definedName name="_7047__FDSAUDITLINK__" localSheetId="6" hidden="1">{"fdsup://directions/FAT Viewer?action=UPDATE&amp;creator=factset&amp;DYN_ARGS=TRUE&amp;DOC_NAME=FAT:FQL_AUDITING_CLIENT_TEMPLATE.FAT&amp;display_string=Audit&amp;VAR:KEY=PALUJSNMBO&amp;VAR:QUERY=RkZfRUJJVERBX0lCKCdMVE1TJywzODY2Nik=&amp;WINDOW=FIRST_POPUP&amp;HEIGHT=450&amp;WIDTH=450&amp;START_MA","XIMIZED=FALSE&amp;VAR:CALENDAR=US&amp;VAR:SYMBOL=N0098510&amp;VAR:INDEX=0"}</definedName>
    <definedName name="_7047__FDSAUDITLINK__" hidden="1">{"fdsup://directions/FAT Viewer?action=UPDATE&amp;creator=factset&amp;DYN_ARGS=TRUE&amp;DOC_NAME=FAT:FQL_AUDITING_CLIENT_TEMPLATE.FAT&amp;display_string=Audit&amp;VAR:KEY=PALUJSNMBO&amp;VAR:QUERY=RkZfRUJJVERBX0lCKCdMVE1TJywzODY2Nik=&amp;WINDOW=FIRST_POPUP&amp;HEIGHT=450&amp;WIDTH=450&amp;START_MA","XIMIZED=FALSE&amp;VAR:CALENDAR=US&amp;VAR:SYMBOL=N0098510&amp;VAR:INDEX=0"}</definedName>
    <definedName name="_7048__FDSAUDITLINK__" localSheetId="6" hidden="1">{"fdsup://directions/FAT Viewer?action=UPDATE&amp;creator=factset&amp;DYN_ARGS=TRUE&amp;DOC_NAME=FAT:FQL_AUDITING_CLIENT_TEMPLATE.FAT&amp;display_string=Audit&amp;VAR:KEY=NWXAFWHGBK&amp;VAR:QUERY=RkZfRUJJVERBX0lCKCdMVE1TJywzODY2NSk=&amp;WINDOW=FIRST_POPUP&amp;HEIGHT=450&amp;WIDTH=450&amp;START_MA","XIMIZED=FALSE&amp;VAR:CALENDAR=US&amp;VAR:SYMBOL=N0098510&amp;VAR:INDEX=0"}</definedName>
    <definedName name="_7048__FDSAUDITLINK__" hidden="1">{"fdsup://directions/FAT Viewer?action=UPDATE&amp;creator=factset&amp;DYN_ARGS=TRUE&amp;DOC_NAME=FAT:FQL_AUDITING_CLIENT_TEMPLATE.FAT&amp;display_string=Audit&amp;VAR:KEY=NWXAFWHGBK&amp;VAR:QUERY=RkZfRUJJVERBX0lCKCdMVE1TJywzODY2NSk=&amp;WINDOW=FIRST_POPUP&amp;HEIGHT=450&amp;WIDTH=450&amp;START_MA","XIMIZED=FALSE&amp;VAR:CALENDAR=US&amp;VAR:SYMBOL=N0098510&amp;VAR:INDEX=0"}</definedName>
    <definedName name="_7049__FDSAUDITLINK__" localSheetId="6" hidden="1">{"fdsup://directions/FAT Viewer?action=UPDATE&amp;creator=factset&amp;DYN_ARGS=TRUE&amp;DOC_NAME=FAT:FQL_AUDITING_CLIENT_TEMPLATE.FAT&amp;display_string=Audit&amp;VAR:KEY=NURSRMNIHG&amp;VAR:QUERY=RkZfRUJJVERBX0lCKCdMVE1TJywzODY2NCk=&amp;WINDOW=FIRST_POPUP&amp;HEIGHT=450&amp;WIDTH=450&amp;START_MA","XIMIZED=FALSE&amp;VAR:CALENDAR=US&amp;VAR:SYMBOL=N0098510&amp;VAR:INDEX=0"}</definedName>
    <definedName name="_7049__FDSAUDITLINK__" hidden="1">{"fdsup://directions/FAT Viewer?action=UPDATE&amp;creator=factset&amp;DYN_ARGS=TRUE&amp;DOC_NAME=FAT:FQL_AUDITING_CLIENT_TEMPLATE.FAT&amp;display_string=Audit&amp;VAR:KEY=NURSRMNIHG&amp;VAR:QUERY=RkZfRUJJVERBX0lCKCdMVE1TJywzODY2NCk=&amp;WINDOW=FIRST_POPUP&amp;HEIGHT=450&amp;WIDTH=450&amp;START_MA","XIMIZED=FALSE&amp;VAR:CALENDAR=US&amp;VAR:SYMBOL=N0098510&amp;VAR:INDEX=0"}</definedName>
    <definedName name="_705__FDSAUDITLINK__" localSheetId="6" hidden="1">{"fdsup://directions/FAT%20Viewer?VAR:PED=LTM&amp;VAR:AUDIT_MODE=SUMMARY&amp;VAR:PERIOD=FIXED&amp;VAR:AUDIT_ID=00000117&amp;VAR:DATE=20080318&amp;action=UPDATE&amp;creator=factset&amp;DOC_NAME=FAT:FMA_audit_SUMMARY.fat&amp;DISPLAY_STRING=Display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5__FDSAUDITLINK__" hidden="1">{"fdsup://directions/FAT%20Viewer?VAR:PED=LTM&amp;VAR:AUDIT_MODE=SUMMARY&amp;VAR:PERIOD=FIXED&amp;VAR:AUDIT_ID=00000117&amp;VAR:DATE=20080318&amp;action=UPDATE&amp;creator=factset&amp;DOC_NAME=FAT:FMA_audit_SUMMARY.fat&amp;DISPLAY_STRING=Display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50__FDSAUDITLINK__" localSheetId="6" hidden="1">{"fdsup://directions/FAT Viewer?action=UPDATE&amp;creator=factset&amp;DYN_ARGS=TRUE&amp;DOC_NAME=FAT:FQL_AUDITING_CLIENT_TEMPLATE.FAT&amp;display_string=Audit&amp;VAR:KEY=BIJOFUBKHU&amp;VAR:QUERY=RkZfRUJJVERBX0lCKCdMVE1TJywzODY2Myk=&amp;WINDOW=FIRST_POPUP&amp;HEIGHT=450&amp;WIDTH=450&amp;START_MA","XIMIZED=FALSE&amp;VAR:CALENDAR=US&amp;VAR:SYMBOL=N0098510&amp;VAR:INDEX=0"}</definedName>
    <definedName name="_7050__FDSAUDITLINK__" hidden="1">{"fdsup://directions/FAT Viewer?action=UPDATE&amp;creator=factset&amp;DYN_ARGS=TRUE&amp;DOC_NAME=FAT:FQL_AUDITING_CLIENT_TEMPLATE.FAT&amp;display_string=Audit&amp;VAR:KEY=BIJOFUBKHU&amp;VAR:QUERY=RkZfRUJJVERBX0lCKCdMVE1TJywzODY2Myk=&amp;WINDOW=FIRST_POPUP&amp;HEIGHT=450&amp;WIDTH=450&amp;START_MA","XIMIZED=FALSE&amp;VAR:CALENDAR=US&amp;VAR:SYMBOL=N0098510&amp;VAR:INDEX=0"}</definedName>
    <definedName name="_7051__FDSAUDITLINK__" localSheetId="6" hidden="1">{"fdsup://directions/FAT Viewer?action=UPDATE&amp;creator=factset&amp;DYN_ARGS=TRUE&amp;DOC_NAME=FAT:FQL_AUDITING_CLIENT_TEMPLATE.FAT&amp;display_string=Audit&amp;VAR:KEY=VCBEDGJWDY&amp;VAR:QUERY=RkZfRUJJVERBX0lCKCdMVE1TJywzODY2Mik=&amp;WINDOW=FIRST_POPUP&amp;HEIGHT=450&amp;WIDTH=450&amp;START_MA","XIMIZED=FALSE&amp;VAR:CALENDAR=US&amp;VAR:SYMBOL=N0098510&amp;VAR:INDEX=0"}</definedName>
    <definedName name="_7051__FDSAUDITLINK__" hidden="1">{"fdsup://directions/FAT Viewer?action=UPDATE&amp;creator=factset&amp;DYN_ARGS=TRUE&amp;DOC_NAME=FAT:FQL_AUDITING_CLIENT_TEMPLATE.FAT&amp;display_string=Audit&amp;VAR:KEY=VCBEDGJWDY&amp;VAR:QUERY=RkZfRUJJVERBX0lCKCdMVE1TJywzODY2Mik=&amp;WINDOW=FIRST_POPUP&amp;HEIGHT=450&amp;WIDTH=450&amp;START_MA","XIMIZED=FALSE&amp;VAR:CALENDAR=US&amp;VAR:SYMBOL=N0098510&amp;VAR:INDEX=0"}</definedName>
    <definedName name="_7052__FDSAUDITLINK__" localSheetId="6" hidden="1">{"fdsup://directions/FAT Viewer?action=UPDATE&amp;creator=factset&amp;DYN_ARGS=TRUE&amp;DOC_NAME=FAT:FQL_AUDITING_CLIENT_TEMPLATE.FAT&amp;display_string=Audit&amp;VAR:KEY=TANUVAHYZG&amp;VAR:QUERY=RkZfRUJJVERBX0lCKCdMVE1TJywzODY2MSk=&amp;WINDOW=FIRST_POPUP&amp;HEIGHT=450&amp;WIDTH=450&amp;START_MA","XIMIZED=FALSE&amp;VAR:CALENDAR=US&amp;VAR:SYMBOL=N0098510&amp;VAR:INDEX=0"}</definedName>
    <definedName name="_7052__FDSAUDITLINK__" hidden="1">{"fdsup://directions/FAT Viewer?action=UPDATE&amp;creator=factset&amp;DYN_ARGS=TRUE&amp;DOC_NAME=FAT:FQL_AUDITING_CLIENT_TEMPLATE.FAT&amp;display_string=Audit&amp;VAR:KEY=TANUVAHYZG&amp;VAR:QUERY=RkZfRUJJVERBX0lCKCdMVE1TJywzODY2MSk=&amp;WINDOW=FIRST_POPUP&amp;HEIGHT=450&amp;WIDTH=450&amp;START_MA","XIMIZED=FALSE&amp;VAR:CALENDAR=US&amp;VAR:SYMBOL=N0098510&amp;VAR:INDEX=0"}</definedName>
    <definedName name="_7053__FDSAUDITLINK__" localSheetId="6" hidden="1">{"fdsup://directions/FAT Viewer?action=UPDATE&amp;creator=factset&amp;DYN_ARGS=TRUE&amp;DOC_NAME=FAT:FQL_AUDITING_CLIENT_TEMPLATE.FAT&amp;display_string=Audit&amp;VAR:KEY=XUPUJSFQDY&amp;VAR:QUERY=RkZfRUJJVERBX0lCKCdMVE1TJywzODY2MCk=&amp;WINDOW=FIRST_POPUP&amp;HEIGHT=450&amp;WIDTH=450&amp;START_MA","XIMIZED=FALSE&amp;VAR:CALENDAR=US&amp;VAR:SYMBOL=N0098510&amp;VAR:INDEX=0"}</definedName>
    <definedName name="_7053__FDSAUDITLINK__" hidden="1">{"fdsup://directions/FAT Viewer?action=UPDATE&amp;creator=factset&amp;DYN_ARGS=TRUE&amp;DOC_NAME=FAT:FQL_AUDITING_CLIENT_TEMPLATE.FAT&amp;display_string=Audit&amp;VAR:KEY=XUPUJSFQDY&amp;VAR:QUERY=RkZfRUJJVERBX0lCKCdMVE1TJywzODY2MCk=&amp;WINDOW=FIRST_POPUP&amp;HEIGHT=450&amp;WIDTH=450&amp;START_MA","XIMIZED=FALSE&amp;VAR:CALENDAR=US&amp;VAR:SYMBOL=N0098510&amp;VAR:INDEX=0"}</definedName>
    <definedName name="_7054__FDSAUDITLINK__" localSheetId="6" hidden="1">{"fdsup://directions/FAT Viewer?action=UPDATE&amp;creator=factset&amp;DYN_ARGS=TRUE&amp;DOC_NAME=FAT:FQL_AUDITING_CLIENT_TEMPLATE.FAT&amp;display_string=Audit&amp;VAR:KEY=REPEZUNAVK&amp;VAR:QUERY=RkZfRUJJVERBX0lCKCdMVE1TJywzODY1OSk=&amp;WINDOW=FIRST_POPUP&amp;HEIGHT=450&amp;WIDTH=450&amp;START_MA","XIMIZED=FALSE&amp;VAR:CALENDAR=US&amp;VAR:SYMBOL=N0098510&amp;VAR:INDEX=0"}</definedName>
    <definedName name="_7054__FDSAUDITLINK__" hidden="1">{"fdsup://directions/FAT Viewer?action=UPDATE&amp;creator=factset&amp;DYN_ARGS=TRUE&amp;DOC_NAME=FAT:FQL_AUDITING_CLIENT_TEMPLATE.FAT&amp;display_string=Audit&amp;VAR:KEY=REPEZUNAVK&amp;VAR:QUERY=RkZfRUJJVERBX0lCKCdMVE1TJywzODY1OSk=&amp;WINDOW=FIRST_POPUP&amp;HEIGHT=450&amp;WIDTH=450&amp;START_MA","XIMIZED=FALSE&amp;VAR:CALENDAR=US&amp;VAR:SYMBOL=N0098510&amp;VAR:INDEX=0"}</definedName>
    <definedName name="_7055__FDSAUDITLINK__" localSheetId="6" hidden="1">{"fdsup://directions/FAT Viewer?action=UPDATE&amp;creator=factset&amp;DYN_ARGS=TRUE&amp;DOC_NAME=FAT:FQL_AUDITING_CLIENT_TEMPLATE.FAT&amp;display_string=Audit&amp;VAR:KEY=LEVYDWNIFY&amp;VAR:QUERY=RkZfRUJJVERBX0lCKCdMVE1TJywzODY1OCk=&amp;WINDOW=FIRST_POPUP&amp;HEIGHT=450&amp;WIDTH=450&amp;START_MA","XIMIZED=FALSE&amp;VAR:CALENDAR=US&amp;VAR:SYMBOL=N0098510&amp;VAR:INDEX=0"}</definedName>
    <definedName name="_7055__FDSAUDITLINK__" hidden="1">{"fdsup://directions/FAT Viewer?action=UPDATE&amp;creator=factset&amp;DYN_ARGS=TRUE&amp;DOC_NAME=FAT:FQL_AUDITING_CLIENT_TEMPLATE.FAT&amp;display_string=Audit&amp;VAR:KEY=LEVYDWNIFY&amp;VAR:QUERY=RkZfRUJJVERBX0lCKCdMVE1TJywzODY1OCk=&amp;WINDOW=FIRST_POPUP&amp;HEIGHT=450&amp;WIDTH=450&amp;START_MA","XIMIZED=FALSE&amp;VAR:CALENDAR=US&amp;VAR:SYMBOL=N0098510&amp;VAR:INDEX=0"}</definedName>
    <definedName name="_7056__FDSAUDITLINK__" localSheetId="6" hidden="1">{"fdsup://directions/FAT Viewer?action=UPDATE&amp;creator=factset&amp;DYN_ARGS=TRUE&amp;DOC_NAME=FAT:FQL_AUDITING_CLIENT_TEMPLATE.FAT&amp;display_string=Audit&amp;VAR:KEY=ZGRGFOTGHY&amp;VAR:QUERY=RkZfRUJJVERBX0lCKCdMVE1TJywzODY1Nyk=&amp;WINDOW=FIRST_POPUP&amp;HEIGHT=450&amp;WIDTH=450&amp;START_MA","XIMIZED=FALSE&amp;VAR:CALENDAR=US&amp;VAR:SYMBOL=N0098510&amp;VAR:INDEX=0"}</definedName>
    <definedName name="_7056__FDSAUDITLINK__" hidden="1">{"fdsup://directions/FAT Viewer?action=UPDATE&amp;creator=factset&amp;DYN_ARGS=TRUE&amp;DOC_NAME=FAT:FQL_AUDITING_CLIENT_TEMPLATE.FAT&amp;display_string=Audit&amp;VAR:KEY=ZGRGFOTGHY&amp;VAR:QUERY=RkZfRUJJVERBX0lCKCdMVE1TJywzODY1Nyk=&amp;WINDOW=FIRST_POPUP&amp;HEIGHT=450&amp;WIDTH=450&amp;START_MA","XIMIZED=FALSE&amp;VAR:CALENDAR=US&amp;VAR:SYMBOL=N0098510&amp;VAR:INDEX=0"}</definedName>
    <definedName name="_7057__FDSAUDITLINK__" localSheetId="6" hidden="1">{"fdsup://directions/FAT Viewer?action=UPDATE&amp;creator=factset&amp;DYN_ARGS=TRUE&amp;DOC_NAME=FAT:FQL_AUDITING_CLIENT_TEMPLATE.FAT&amp;display_string=Audit&amp;VAR:KEY=LKRQLGTGNM&amp;VAR:QUERY=RkZfRUJJVERBX0lCKCdMVE1TJywzODY1Nik=&amp;WINDOW=FIRST_POPUP&amp;HEIGHT=450&amp;WIDTH=450&amp;START_MA","XIMIZED=FALSE&amp;VAR:CALENDAR=US&amp;VAR:SYMBOL=N0098510&amp;VAR:INDEX=0"}</definedName>
    <definedName name="_7057__FDSAUDITLINK__" hidden="1">{"fdsup://directions/FAT Viewer?action=UPDATE&amp;creator=factset&amp;DYN_ARGS=TRUE&amp;DOC_NAME=FAT:FQL_AUDITING_CLIENT_TEMPLATE.FAT&amp;display_string=Audit&amp;VAR:KEY=LKRQLGTGNM&amp;VAR:QUERY=RkZfRUJJVERBX0lCKCdMVE1TJywzODY1Nik=&amp;WINDOW=FIRST_POPUP&amp;HEIGHT=450&amp;WIDTH=450&amp;START_MA","XIMIZED=FALSE&amp;VAR:CALENDAR=US&amp;VAR:SYMBOL=N0098510&amp;VAR:INDEX=0"}</definedName>
    <definedName name="_7058__FDSAUDITLINK__" localSheetId="6" hidden="1">{"fdsup://directions/FAT Viewer?action=UPDATE&amp;creator=factset&amp;DYN_ARGS=TRUE&amp;DOC_NAME=FAT:FQL_AUDITING_CLIENT_TEMPLATE.FAT&amp;display_string=Audit&amp;VAR:KEY=JMVGLSZGPM&amp;VAR:QUERY=RkZfRUJJVERBX0lCKCdMVE1TJywzODY1NSk=&amp;WINDOW=FIRST_POPUP&amp;HEIGHT=450&amp;WIDTH=450&amp;START_MA","XIMIZED=FALSE&amp;VAR:CALENDAR=US&amp;VAR:SYMBOL=N0098510&amp;VAR:INDEX=0"}</definedName>
    <definedName name="_7058__FDSAUDITLINK__" hidden="1">{"fdsup://directions/FAT Viewer?action=UPDATE&amp;creator=factset&amp;DYN_ARGS=TRUE&amp;DOC_NAME=FAT:FQL_AUDITING_CLIENT_TEMPLATE.FAT&amp;display_string=Audit&amp;VAR:KEY=JMVGLSZGPM&amp;VAR:QUERY=RkZfRUJJVERBX0lCKCdMVE1TJywzODY1NSk=&amp;WINDOW=FIRST_POPUP&amp;HEIGHT=450&amp;WIDTH=450&amp;START_MA","XIMIZED=FALSE&amp;VAR:CALENDAR=US&amp;VAR:SYMBOL=N0098510&amp;VAR:INDEX=0"}</definedName>
    <definedName name="_7059__FDSAUDITLINK__" localSheetId="6" hidden="1">{"fdsup://directions/FAT Viewer?action=UPDATE&amp;creator=factset&amp;DYN_ARGS=TRUE&amp;DOC_NAME=FAT:FQL_AUDITING_CLIENT_TEMPLATE.FAT&amp;display_string=Audit&amp;VAR:KEY=NCNSFUFUVQ&amp;VAR:QUERY=RkZfRUJJVERBX0lCKCdMVE1TJywzODY1NCk=&amp;WINDOW=FIRST_POPUP&amp;HEIGHT=450&amp;WIDTH=450&amp;START_MA","XIMIZED=FALSE&amp;VAR:CALENDAR=US&amp;VAR:SYMBOL=N0098510&amp;VAR:INDEX=0"}</definedName>
    <definedName name="_7059__FDSAUDITLINK__" hidden="1">{"fdsup://directions/FAT Viewer?action=UPDATE&amp;creator=factset&amp;DYN_ARGS=TRUE&amp;DOC_NAME=FAT:FQL_AUDITING_CLIENT_TEMPLATE.FAT&amp;display_string=Audit&amp;VAR:KEY=NCNSFUFUVQ&amp;VAR:QUERY=RkZfRUJJVERBX0lCKCdMVE1TJywzODY1NCk=&amp;WINDOW=FIRST_POPUP&amp;HEIGHT=450&amp;WIDTH=450&amp;START_MA","XIMIZED=FALSE&amp;VAR:CALENDAR=US&amp;VAR:SYMBOL=N0098510&amp;VAR:INDEX=0"}</definedName>
    <definedName name="_706__FDSAUDITLINK__" localSheetId="6" hidden="1">{"fdsup://directions/FAT%20Viewer?VAR:PED=LTM&amp;VAR:AUDIT_MODE=SUMMARY&amp;VAR:PERIOD=FIXED&amp;VAR:AUDIT_ID=00000117&amp;VAR:DATE=20080317&amp;action=UPDATE&amp;creator=factset&amp;DOC_NAME=FAT:FMA_audit_SUMMARY.fat&amp;DISPLAY_STRING=Display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6__FDSAUDITLINK__" hidden="1">{"fdsup://directions/FAT%20Viewer?VAR:PED=LTM&amp;VAR:AUDIT_MODE=SUMMARY&amp;VAR:PERIOD=FIXED&amp;VAR:AUDIT_ID=00000117&amp;VAR:DATE=20080317&amp;action=UPDATE&amp;creator=factset&amp;DOC_NAME=FAT:FMA_audit_SUMMARY.fat&amp;DISPLAY_STRING=Display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60__FDSAUDITLINK__" localSheetId="6" hidden="1">{"fdsup://directions/FAT Viewer?action=UPDATE&amp;creator=factset&amp;DYN_ARGS=TRUE&amp;DOC_NAME=FAT:FQL_AUDITING_CLIENT_TEMPLATE.FAT&amp;display_string=Audit&amp;VAR:KEY=DKPOFYHMXU&amp;VAR:QUERY=RkZfRUJJVERBX0lCKCdMVE1TJywzODY1Myk=&amp;WINDOW=FIRST_POPUP&amp;HEIGHT=450&amp;WIDTH=450&amp;START_MA","XIMIZED=FALSE&amp;VAR:CALENDAR=US&amp;VAR:SYMBOL=N0098510&amp;VAR:INDEX=0"}</definedName>
    <definedName name="_7060__FDSAUDITLINK__" hidden="1">{"fdsup://directions/FAT Viewer?action=UPDATE&amp;creator=factset&amp;DYN_ARGS=TRUE&amp;DOC_NAME=FAT:FQL_AUDITING_CLIENT_TEMPLATE.FAT&amp;display_string=Audit&amp;VAR:KEY=DKPOFYHMXU&amp;VAR:QUERY=RkZfRUJJVERBX0lCKCdMVE1TJywzODY1Myk=&amp;WINDOW=FIRST_POPUP&amp;HEIGHT=450&amp;WIDTH=450&amp;START_MA","XIMIZED=FALSE&amp;VAR:CALENDAR=US&amp;VAR:SYMBOL=N0098510&amp;VAR:INDEX=0"}</definedName>
    <definedName name="_7061__FDSAUDITLINK__" localSheetId="6" hidden="1">{"fdsup://directions/FAT Viewer?action=UPDATE&amp;creator=factset&amp;DYN_ARGS=TRUE&amp;DOC_NAME=FAT:FQL_AUDITING_CLIENT_TEMPLATE.FAT&amp;display_string=Audit&amp;VAR:KEY=HQBOLGRSTI&amp;VAR:QUERY=RkZfRUJJVERBX0lCKCdMVE1TJywzODY1Mik=&amp;WINDOW=FIRST_POPUP&amp;HEIGHT=450&amp;WIDTH=450&amp;START_MA","XIMIZED=FALSE&amp;VAR:CALENDAR=US&amp;VAR:SYMBOL=N0098510&amp;VAR:INDEX=0"}</definedName>
    <definedName name="_7061__FDSAUDITLINK__" hidden="1">{"fdsup://directions/FAT Viewer?action=UPDATE&amp;creator=factset&amp;DYN_ARGS=TRUE&amp;DOC_NAME=FAT:FQL_AUDITING_CLIENT_TEMPLATE.FAT&amp;display_string=Audit&amp;VAR:KEY=HQBOLGRSTI&amp;VAR:QUERY=RkZfRUJJVERBX0lCKCdMVE1TJywzODY1Mik=&amp;WINDOW=FIRST_POPUP&amp;HEIGHT=450&amp;WIDTH=450&amp;START_MA","XIMIZED=FALSE&amp;VAR:CALENDAR=US&amp;VAR:SYMBOL=N0098510&amp;VAR:INDEX=0"}</definedName>
    <definedName name="_7062__FDSAUDITLINK__" localSheetId="6" hidden="1">{"fdsup://directions/FAT Viewer?action=UPDATE&amp;creator=factset&amp;DYN_ARGS=TRUE&amp;DOC_NAME=FAT:FQL_AUDITING_CLIENT_TEMPLATE.FAT&amp;display_string=Audit&amp;VAR:KEY=LOZIPYTCLO&amp;VAR:QUERY=RkZfRUJJVERBX0lCKCdMVE1TJywzODY1MSk=&amp;WINDOW=FIRST_POPUP&amp;HEIGHT=450&amp;WIDTH=450&amp;START_MA","XIMIZED=FALSE&amp;VAR:CALENDAR=US&amp;VAR:SYMBOL=N0098510&amp;VAR:INDEX=0"}</definedName>
    <definedName name="_7062__FDSAUDITLINK__" hidden="1">{"fdsup://directions/FAT Viewer?action=UPDATE&amp;creator=factset&amp;DYN_ARGS=TRUE&amp;DOC_NAME=FAT:FQL_AUDITING_CLIENT_TEMPLATE.FAT&amp;display_string=Audit&amp;VAR:KEY=LOZIPYTCLO&amp;VAR:QUERY=RkZfRUJJVERBX0lCKCdMVE1TJywzODY1MSk=&amp;WINDOW=FIRST_POPUP&amp;HEIGHT=450&amp;WIDTH=450&amp;START_MA","XIMIZED=FALSE&amp;VAR:CALENDAR=US&amp;VAR:SYMBOL=N0098510&amp;VAR:INDEX=0"}</definedName>
    <definedName name="_7063__FDSAUDITLINK__" localSheetId="6" hidden="1">{"fdsup://directions/FAT Viewer?action=UPDATE&amp;creator=factset&amp;DYN_ARGS=TRUE&amp;DOC_NAME=FAT:FQL_AUDITING_CLIENT_TEMPLATE.FAT&amp;display_string=Audit&amp;VAR:KEY=DGDAZGRUHU&amp;VAR:QUERY=RkZfRUJJVERBX0lCKCdMVE1TJywzODY1MCk=&amp;WINDOW=FIRST_POPUP&amp;HEIGHT=450&amp;WIDTH=450&amp;START_MA","XIMIZED=FALSE&amp;VAR:CALENDAR=US&amp;VAR:SYMBOL=N0098510&amp;VAR:INDEX=0"}</definedName>
    <definedName name="_7063__FDSAUDITLINK__" hidden="1">{"fdsup://directions/FAT Viewer?action=UPDATE&amp;creator=factset&amp;DYN_ARGS=TRUE&amp;DOC_NAME=FAT:FQL_AUDITING_CLIENT_TEMPLATE.FAT&amp;display_string=Audit&amp;VAR:KEY=DGDAZGRUHU&amp;VAR:QUERY=RkZfRUJJVERBX0lCKCdMVE1TJywzODY1MCk=&amp;WINDOW=FIRST_POPUP&amp;HEIGHT=450&amp;WIDTH=450&amp;START_MA","XIMIZED=FALSE&amp;VAR:CALENDAR=US&amp;VAR:SYMBOL=N0098510&amp;VAR:INDEX=0"}</definedName>
    <definedName name="_7064__FDSAUDITLINK__" localSheetId="6" hidden="1">{"fdsup://directions/FAT Viewer?action=UPDATE&amp;creator=factset&amp;DYN_ARGS=TRUE&amp;DOC_NAME=FAT:FQL_AUDITING_CLIENT_TEMPLATE.FAT&amp;display_string=Audit&amp;VAR:KEY=FIDEFWTGPC&amp;VAR:QUERY=RkZfRUJJVERBX0lCKCdMVE1TJywzODY0OSk=&amp;WINDOW=FIRST_POPUP&amp;HEIGHT=450&amp;WIDTH=450&amp;START_MA","XIMIZED=FALSE&amp;VAR:CALENDAR=US&amp;VAR:SYMBOL=N0098510&amp;VAR:INDEX=0"}</definedName>
    <definedName name="_7064__FDSAUDITLINK__" hidden="1">{"fdsup://directions/FAT Viewer?action=UPDATE&amp;creator=factset&amp;DYN_ARGS=TRUE&amp;DOC_NAME=FAT:FQL_AUDITING_CLIENT_TEMPLATE.FAT&amp;display_string=Audit&amp;VAR:KEY=FIDEFWTGPC&amp;VAR:QUERY=RkZfRUJJVERBX0lCKCdMVE1TJywzODY0OSk=&amp;WINDOW=FIRST_POPUP&amp;HEIGHT=450&amp;WIDTH=450&amp;START_MA","XIMIZED=FALSE&amp;VAR:CALENDAR=US&amp;VAR:SYMBOL=N0098510&amp;VAR:INDEX=0"}</definedName>
    <definedName name="_7065__FDSAUDITLINK__" localSheetId="6" hidden="1">{"fdsup://directions/FAT Viewer?action=UPDATE&amp;creator=factset&amp;DYN_ARGS=TRUE&amp;DOC_NAME=FAT:FQL_AUDITING_CLIENT_TEMPLATE.FAT&amp;display_string=Audit&amp;VAR:KEY=NEBUVEHWLA&amp;VAR:QUERY=RkZfRUJJVERBX0lCKCdMVE1TJywzODY0OCk=&amp;WINDOW=FIRST_POPUP&amp;HEIGHT=450&amp;WIDTH=450&amp;START_MA","XIMIZED=FALSE&amp;VAR:CALENDAR=US&amp;VAR:SYMBOL=N0098510&amp;VAR:INDEX=0"}</definedName>
    <definedName name="_7065__FDSAUDITLINK__" hidden="1">{"fdsup://directions/FAT Viewer?action=UPDATE&amp;creator=factset&amp;DYN_ARGS=TRUE&amp;DOC_NAME=FAT:FQL_AUDITING_CLIENT_TEMPLATE.FAT&amp;display_string=Audit&amp;VAR:KEY=NEBUVEHWLA&amp;VAR:QUERY=RkZfRUJJVERBX0lCKCdMVE1TJywzODY0OCk=&amp;WINDOW=FIRST_POPUP&amp;HEIGHT=450&amp;WIDTH=450&amp;START_MA","XIMIZED=FALSE&amp;VAR:CALENDAR=US&amp;VAR:SYMBOL=N0098510&amp;VAR:INDEX=0"}</definedName>
    <definedName name="_7066__FDSAUDITLINK__" localSheetId="6" hidden="1">{"fdsup://directions/FAT Viewer?action=UPDATE&amp;creator=factset&amp;DYN_ARGS=TRUE&amp;DOC_NAME=FAT:FQL_AUDITING_CLIENT_TEMPLATE.FAT&amp;display_string=Audit&amp;VAR:KEY=PAFGTCJGBA&amp;VAR:QUERY=RkZfRUJJVERBX0lCKCdMVE1TJywzODY0Nyk=&amp;WINDOW=FIRST_POPUP&amp;HEIGHT=450&amp;WIDTH=450&amp;START_MA","XIMIZED=FALSE&amp;VAR:CALENDAR=US&amp;VAR:SYMBOL=N0098510&amp;VAR:INDEX=0"}</definedName>
    <definedName name="_7066__FDSAUDITLINK__" hidden="1">{"fdsup://directions/FAT Viewer?action=UPDATE&amp;creator=factset&amp;DYN_ARGS=TRUE&amp;DOC_NAME=FAT:FQL_AUDITING_CLIENT_TEMPLATE.FAT&amp;display_string=Audit&amp;VAR:KEY=PAFGTCJGBA&amp;VAR:QUERY=RkZfRUJJVERBX0lCKCdMVE1TJywzODY0Nyk=&amp;WINDOW=FIRST_POPUP&amp;HEIGHT=450&amp;WIDTH=450&amp;START_MA","XIMIZED=FALSE&amp;VAR:CALENDAR=US&amp;VAR:SYMBOL=N0098510&amp;VAR:INDEX=0"}</definedName>
    <definedName name="_7067__FDSAUDITLINK__" localSheetId="6" hidden="1">{"fdsup://directions/FAT Viewer?action=UPDATE&amp;creator=factset&amp;DYN_ARGS=TRUE&amp;DOC_NAME=FAT:FQL_AUDITING_CLIENT_TEMPLATE.FAT&amp;display_string=Audit&amp;VAR:KEY=RGRWBABSPU&amp;VAR:QUERY=RkZfRUJJVERBX0lCKCdMVE1TJywzODY0Nik=&amp;WINDOW=FIRST_POPUP&amp;HEIGHT=450&amp;WIDTH=450&amp;START_MA","XIMIZED=FALSE&amp;VAR:CALENDAR=US&amp;VAR:SYMBOL=N0098510&amp;VAR:INDEX=0"}</definedName>
    <definedName name="_7067__FDSAUDITLINK__" hidden="1">{"fdsup://directions/FAT Viewer?action=UPDATE&amp;creator=factset&amp;DYN_ARGS=TRUE&amp;DOC_NAME=FAT:FQL_AUDITING_CLIENT_TEMPLATE.FAT&amp;display_string=Audit&amp;VAR:KEY=RGRWBABSPU&amp;VAR:QUERY=RkZfRUJJVERBX0lCKCdMVE1TJywzODY0Nik=&amp;WINDOW=FIRST_POPUP&amp;HEIGHT=450&amp;WIDTH=450&amp;START_MA","XIMIZED=FALSE&amp;VAR:CALENDAR=US&amp;VAR:SYMBOL=N0098510&amp;VAR:INDEX=0"}</definedName>
    <definedName name="_7068__FDSAUDITLINK__" localSheetId="6" hidden="1">{"fdsup://directions/FAT Viewer?action=UPDATE&amp;creator=factset&amp;DYN_ARGS=TRUE&amp;DOC_NAME=FAT:FQL_AUDITING_CLIENT_TEMPLATE.FAT&amp;display_string=Audit&amp;VAR:KEY=LANCPIPMXE&amp;VAR:QUERY=RkZfRUJJVERBX0lCKCdMVE1TJywzODY0NSk=&amp;WINDOW=FIRST_POPUP&amp;HEIGHT=450&amp;WIDTH=450&amp;START_MA","XIMIZED=FALSE&amp;VAR:CALENDAR=US&amp;VAR:SYMBOL=N0098510&amp;VAR:INDEX=0"}</definedName>
    <definedName name="_7068__FDSAUDITLINK__" hidden="1">{"fdsup://directions/FAT Viewer?action=UPDATE&amp;creator=factset&amp;DYN_ARGS=TRUE&amp;DOC_NAME=FAT:FQL_AUDITING_CLIENT_TEMPLATE.FAT&amp;display_string=Audit&amp;VAR:KEY=LANCPIPMXE&amp;VAR:QUERY=RkZfRUJJVERBX0lCKCdMVE1TJywzODY0NSk=&amp;WINDOW=FIRST_POPUP&amp;HEIGHT=450&amp;WIDTH=450&amp;START_MA","XIMIZED=FALSE&amp;VAR:CALENDAR=US&amp;VAR:SYMBOL=N0098510&amp;VAR:INDEX=0"}</definedName>
    <definedName name="_7069__FDSAUDITLINK__" localSheetId="6" hidden="1">{"fdsup://directions/FAT Viewer?action=UPDATE&amp;creator=factset&amp;DYN_ARGS=TRUE&amp;DOC_NAME=FAT:FQL_AUDITING_CLIENT_TEMPLATE.FAT&amp;display_string=Audit&amp;VAR:KEY=HCPOTQHCDO&amp;VAR:QUERY=RkZfRUJJVERBX0lCKCdMVE1TJywzODY0NCk=&amp;WINDOW=FIRST_POPUP&amp;HEIGHT=450&amp;WIDTH=450&amp;START_MA","XIMIZED=FALSE&amp;VAR:CALENDAR=US&amp;VAR:SYMBOL=N0098510&amp;VAR:INDEX=0"}</definedName>
    <definedName name="_7069__FDSAUDITLINK__" hidden="1">{"fdsup://directions/FAT Viewer?action=UPDATE&amp;creator=factset&amp;DYN_ARGS=TRUE&amp;DOC_NAME=FAT:FQL_AUDITING_CLIENT_TEMPLATE.FAT&amp;display_string=Audit&amp;VAR:KEY=HCPOTQHCDO&amp;VAR:QUERY=RkZfRUJJVERBX0lCKCdMVE1TJywzODY0NCk=&amp;WINDOW=FIRST_POPUP&amp;HEIGHT=450&amp;WIDTH=450&amp;START_MA","XIMIZED=FALSE&amp;VAR:CALENDAR=US&amp;VAR:SYMBOL=N0098510&amp;VAR:INDEX=0"}</definedName>
    <definedName name="_707__FDSAUDITLINK__" localSheetId="6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7__FDSAUDITLINK__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70__FDSAUDITLINK__" localSheetId="6" hidden="1">{"fdsup://directions/FAT Viewer?action=UPDATE&amp;creator=factset&amp;DYN_ARGS=TRUE&amp;DOC_NAME=FAT:FQL_AUDITING_CLIENT_TEMPLATE.FAT&amp;display_string=Audit&amp;VAR:KEY=JKTIZCPCVG&amp;VAR:QUERY=RkZfRUJJVERBX0lCKCdMVE1TJywzODY0Myk=&amp;WINDOW=FIRST_POPUP&amp;HEIGHT=450&amp;WIDTH=450&amp;START_MA","XIMIZED=FALSE&amp;VAR:CALENDAR=US&amp;VAR:SYMBOL=N0098510&amp;VAR:INDEX=0"}</definedName>
    <definedName name="_7070__FDSAUDITLINK__" hidden="1">{"fdsup://directions/FAT Viewer?action=UPDATE&amp;creator=factset&amp;DYN_ARGS=TRUE&amp;DOC_NAME=FAT:FQL_AUDITING_CLIENT_TEMPLATE.FAT&amp;display_string=Audit&amp;VAR:KEY=JKTIZCPCVG&amp;VAR:QUERY=RkZfRUJJVERBX0lCKCdMVE1TJywzODY0Myk=&amp;WINDOW=FIRST_POPUP&amp;HEIGHT=450&amp;WIDTH=450&amp;START_MA","XIMIZED=FALSE&amp;VAR:CALENDAR=US&amp;VAR:SYMBOL=N0098510&amp;VAR:INDEX=0"}</definedName>
    <definedName name="_7071__FDSAUDITLINK__" localSheetId="6" hidden="1">{"fdsup://directions/FAT Viewer?action=UPDATE&amp;creator=factset&amp;DYN_ARGS=TRUE&amp;DOC_NAME=FAT:FQL_AUDITING_CLIENT_TEMPLATE.FAT&amp;display_string=Audit&amp;VAR:KEY=HWDYVYRETO&amp;VAR:QUERY=RkZfRUJJVERBX0lCKCdMVE1TJywzODY0Mik=&amp;WINDOW=FIRST_POPUP&amp;HEIGHT=450&amp;WIDTH=450&amp;START_MA","XIMIZED=FALSE&amp;VAR:CALENDAR=US&amp;VAR:SYMBOL=N0098510&amp;VAR:INDEX=0"}</definedName>
    <definedName name="_7071__FDSAUDITLINK__" hidden="1">{"fdsup://directions/FAT Viewer?action=UPDATE&amp;creator=factset&amp;DYN_ARGS=TRUE&amp;DOC_NAME=FAT:FQL_AUDITING_CLIENT_TEMPLATE.FAT&amp;display_string=Audit&amp;VAR:KEY=HWDYVYRETO&amp;VAR:QUERY=RkZfRUJJVERBX0lCKCdMVE1TJywzODY0Mik=&amp;WINDOW=FIRST_POPUP&amp;HEIGHT=450&amp;WIDTH=450&amp;START_MA","XIMIZED=FALSE&amp;VAR:CALENDAR=US&amp;VAR:SYMBOL=N0098510&amp;VAR:INDEX=0"}</definedName>
    <definedName name="_7072__FDSAUDITLINK__" localSheetId="6" hidden="1">{"fdsup://directions/FAT Viewer?action=UPDATE&amp;creator=factset&amp;DYN_ARGS=TRUE&amp;DOC_NAME=FAT:FQL_AUDITING_CLIENT_TEMPLATE.FAT&amp;display_string=Audit&amp;VAR:KEY=RKJIXOVMXG&amp;VAR:QUERY=RkZfRUJJVERBX0lCKCdMVE1TJywzODY0MSk=&amp;WINDOW=FIRST_POPUP&amp;HEIGHT=450&amp;WIDTH=450&amp;START_MA","XIMIZED=FALSE&amp;VAR:CALENDAR=US&amp;VAR:SYMBOL=N0098510&amp;VAR:INDEX=0"}</definedName>
    <definedName name="_7072__FDSAUDITLINK__" hidden="1">{"fdsup://directions/FAT Viewer?action=UPDATE&amp;creator=factset&amp;DYN_ARGS=TRUE&amp;DOC_NAME=FAT:FQL_AUDITING_CLIENT_TEMPLATE.FAT&amp;display_string=Audit&amp;VAR:KEY=RKJIXOVMXG&amp;VAR:QUERY=RkZfRUJJVERBX0lCKCdMVE1TJywzODY0MSk=&amp;WINDOW=FIRST_POPUP&amp;HEIGHT=450&amp;WIDTH=450&amp;START_MA","XIMIZED=FALSE&amp;VAR:CALENDAR=US&amp;VAR:SYMBOL=N0098510&amp;VAR:INDEX=0"}</definedName>
    <definedName name="_7073__FDSAUDITLINK__" localSheetId="6" hidden="1">{"fdsup://directions/FAT Viewer?action=UPDATE&amp;creator=factset&amp;DYN_ARGS=TRUE&amp;DOC_NAME=FAT:FQL_AUDITING_CLIENT_TEMPLATE.FAT&amp;display_string=Audit&amp;VAR:KEY=NMTYTCPUNI&amp;VAR:QUERY=RkZfRUJJVERBX0lCKCdMVE1TJywzODY0MCk=&amp;WINDOW=FIRST_POPUP&amp;HEIGHT=450&amp;WIDTH=450&amp;START_MA","XIMIZED=FALSE&amp;VAR:CALENDAR=US&amp;VAR:SYMBOL=N0098510&amp;VAR:INDEX=0"}</definedName>
    <definedName name="_7073__FDSAUDITLINK__" hidden="1">{"fdsup://directions/FAT Viewer?action=UPDATE&amp;creator=factset&amp;DYN_ARGS=TRUE&amp;DOC_NAME=FAT:FQL_AUDITING_CLIENT_TEMPLATE.FAT&amp;display_string=Audit&amp;VAR:KEY=NMTYTCPUNI&amp;VAR:QUERY=RkZfRUJJVERBX0lCKCdMVE1TJywzODY0MCk=&amp;WINDOW=FIRST_POPUP&amp;HEIGHT=450&amp;WIDTH=450&amp;START_MA","XIMIZED=FALSE&amp;VAR:CALENDAR=US&amp;VAR:SYMBOL=N0098510&amp;VAR:INDEX=0"}</definedName>
    <definedName name="_7074__FDSAUDITLINK__" localSheetId="6" hidden="1">{"fdsup://directions/FAT Viewer?action=UPDATE&amp;creator=factset&amp;DYN_ARGS=TRUE&amp;DOC_NAME=FAT:FQL_AUDITING_CLIENT_TEMPLATE.FAT&amp;display_string=Audit&amp;VAR:KEY=PIJGXYJGVG&amp;VAR:QUERY=RkZfRUJJVERBX0lCKCdMVE1TJywzODYzOSk=&amp;WINDOW=FIRST_POPUP&amp;HEIGHT=450&amp;WIDTH=450&amp;START_MA","XIMIZED=FALSE&amp;VAR:CALENDAR=US&amp;VAR:SYMBOL=N0098510&amp;VAR:INDEX=0"}</definedName>
    <definedName name="_7074__FDSAUDITLINK__" hidden="1">{"fdsup://directions/FAT Viewer?action=UPDATE&amp;creator=factset&amp;DYN_ARGS=TRUE&amp;DOC_NAME=FAT:FQL_AUDITING_CLIENT_TEMPLATE.FAT&amp;display_string=Audit&amp;VAR:KEY=PIJGXYJGVG&amp;VAR:QUERY=RkZfRUJJVERBX0lCKCdMVE1TJywzODYzOSk=&amp;WINDOW=FIRST_POPUP&amp;HEIGHT=450&amp;WIDTH=450&amp;START_MA","XIMIZED=FALSE&amp;VAR:CALENDAR=US&amp;VAR:SYMBOL=N0098510&amp;VAR:INDEX=0"}</definedName>
    <definedName name="_7075__FDSAUDITLINK__" localSheetId="6" hidden="1">{"fdsup://directions/FAT Viewer?action=UPDATE&amp;creator=factset&amp;DYN_ARGS=TRUE&amp;DOC_NAME=FAT:FQL_AUDITING_CLIENT_TEMPLATE.FAT&amp;display_string=Audit&amp;VAR:KEY=PSXQFSBMJQ&amp;VAR:QUERY=RkZfRUJJVERBX0lCKCdMVE1TJywzODYzOCk=&amp;WINDOW=FIRST_POPUP&amp;HEIGHT=450&amp;WIDTH=450&amp;START_MA","XIMIZED=FALSE&amp;VAR:CALENDAR=US&amp;VAR:SYMBOL=N0098510&amp;VAR:INDEX=0"}</definedName>
    <definedName name="_7075__FDSAUDITLINK__" hidden="1">{"fdsup://directions/FAT Viewer?action=UPDATE&amp;creator=factset&amp;DYN_ARGS=TRUE&amp;DOC_NAME=FAT:FQL_AUDITING_CLIENT_TEMPLATE.FAT&amp;display_string=Audit&amp;VAR:KEY=PSXQFSBMJQ&amp;VAR:QUERY=RkZfRUJJVERBX0lCKCdMVE1TJywzODYzOCk=&amp;WINDOW=FIRST_POPUP&amp;HEIGHT=450&amp;WIDTH=450&amp;START_MA","XIMIZED=FALSE&amp;VAR:CALENDAR=US&amp;VAR:SYMBOL=N0098510&amp;VAR:INDEX=0"}</definedName>
    <definedName name="_7076__FDSAUDITLINK__" localSheetId="6" hidden="1">{"fdsup://directions/FAT Viewer?action=UPDATE&amp;creator=factset&amp;DYN_ARGS=TRUE&amp;DOC_NAME=FAT:FQL_AUDITING_CLIENT_TEMPLATE.FAT&amp;display_string=Audit&amp;VAR:KEY=JMNUPSLCTW&amp;VAR:QUERY=RkZfRUJJVERBX0lCKCdMVE1TJywzODYzNyk=&amp;WINDOW=FIRST_POPUP&amp;HEIGHT=450&amp;WIDTH=450&amp;START_MA","XIMIZED=FALSE&amp;VAR:CALENDAR=US&amp;VAR:SYMBOL=N0098510&amp;VAR:INDEX=0"}</definedName>
    <definedName name="_7076__FDSAUDITLINK__" hidden="1">{"fdsup://directions/FAT Viewer?action=UPDATE&amp;creator=factset&amp;DYN_ARGS=TRUE&amp;DOC_NAME=FAT:FQL_AUDITING_CLIENT_TEMPLATE.FAT&amp;display_string=Audit&amp;VAR:KEY=JMNUPSLCTW&amp;VAR:QUERY=RkZfRUJJVERBX0lCKCdMVE1TJywzODYzNyk=&amp;WINDOW=FIRST_POPUP&amp;HEIGHT=450&amp;WIDTH=450&amp;START_MA","XIMIZED=FALSE&amp;VAR:CALENDAR=US&amp;VAR:SYMBOL=N0098510&amp;VAR:INDEX=0"}</definedName>
    <definedName name="_7077__FDSAUDITLINK__" localSheetId="6" hidden="1">{"fdsup://directions/FAT Viewer?action=UPDATE&amp;creator=factset&amp;DYN_ARGS=TRUE&amp;DOC_NAME=FAT:FQL_AUDITING_CLIENT_TEMPLATE.FAT&amp;display_string=Audit&amp;VAR:KEY=HMVOVQFKXK&amp;VAR:QUERY=RkZfRUJJVERBX0lCKCdMVE1TJywzODYzNik=&amp;WINDOW=FIRST_POPUP&amp;HEIGHT=450&amp;WIDTH=450&amp;START_MA","XIMIZED=FALSE&amp;VAR:CALENDAR=US&amp;VAR:SYMBOL=N0098510&amp;VAR:INDEX=0"}</definedName>
    <definedName name="_7077__FDSAUDITLINK__" hidden="1">{"fdsup://directions/FAT Viewer?action=UPDATE&amp;creator=factset&amp;DYN_ARGS=TRUE&amp;DOC_NAME=FAT:FQL_AUDITING_CLIENT_TEMPLATE.FAT&amp;display_string=Audit&amp;VAR:KEY=HMVOVQFKXK&amp;VAR:QUERY=RkZfRUJJVERBX0lCKCdMVE1TJywzODYzNik=&amp;WINDOW=FIRST_POPUP&amp;HEIGHT=450&amp;WIDTH=450&amp;START_MA","XIMIZED=FALSE&amp;VAR:CALENDAR=US&amp;VAR:SYMBOL=N0098510&amp;VAR:INDEX=0"}</definedName>
    <definedName name="_7078__FDSAUDITLINK__" localSheetId="6" hidden="1">{"fdsup://directions/FAT Viewer?action=UPDATE&amp;creator=factset&amp;DYN_ARGS=TRUE&amp;DOC_NAME=FAT:FQL_AUDITING_CLIENT_TEMPLATE.FAT&amp;display_string=Audit&amp;VAR:KEY=RAXABMDIVO&amp;VAR:QUERY=RkZfRUJJVERBX0lCKCdMVE1TJywzODYzNSk=&amp;WINDOW=FIRST_POPUP&amp;HEIGHT=450&amp;WIDTH=450&amp;START_MA","XIMIZED=FALSE&amp;VAR:CALENDAR=US&amp;VAR:SYMBOL=N0098510&amp;VAR:INDEX=0"}</definedName>
    <definedName name="_7078__FDSAUDITLINK__" hidden="1">{"fdsup://directions/FAT Viewer?action=UPDATE&amp;creator=factset&amp;DYN_ARGS=TRUE&amp;DOC_NAME=FAT:FQL_AUDITING_CLIENT_TEMPLATE.FAT&amp;display_string=Audit&amp;VAR:KEY=RAXABMDIVO&amp;VAR:QUERY=RkZfRUJJVERBX0lCKCdMVE1TJywzODYzNSk=&amp;WINDOW=FIRST_POPUP&amp;HEIGHT=450&amp;WIDTH=450&amp;START_MA","XIMIZED=FALSE&amp;VAR:CALENDAR=US&amp;VAR:SYMBOL=N0098510&amp;VAR:INDEX=0"}</definedName>
    <definedName name="_7079__FDSAUDITLINK__" localSheetId="6" hidden="1">{"fdsup://directions/FAT Viewer?action=UPDATE&amp;creator=factset&amp;DYN_ARGS=TRUE&amp;DOC_NAME=FAT:FQL_AUDITING_CLIENT_TEMPLATE.FAT&amp;display_string=Audit&amp;VAR:KEY=ZEDGNKTSBK&amp;VAR:QUERY=RkZfRUJJVERBX0lCKCdMVE1TJywzODYzNCk=&amp;WINDOW=FIRST_POPUP&amp;HEIGHT=450&amp;WIDTH=450&amp;START_MA","XIMIZED=FALSE&amp;VAR:CALENDAR=US&amp;VAR:SYMBOL=N0098510&amp;VAR:INDEX=0"}</definedName>
    <definedName name="_7079__FDSAUDITLINK__" hidden="1">{"fdsup://directions/FAT Viewer?action=UPDATE&amp;creator=factset&amp;DYN_ARGS=TRUE&amp;DOC_NAME=FAT:FQL_AUDITING_CLIENT_TEMPLATE.FAT&amp;display_string=Audit&amp;VAR:KEY=ZEDGNKTSBK&amp;VAR:QUERY=RkZfRUJJVERBX0lCKCdMVE1TJywzODYzNCk=&amp;WINDOW=FIRST_POPUP&amp;HEIGHT=450&amp;WIDTH=450&amp;START_MA","XIMIZED=FALSE&amp;VAR:CALENDAR=US&amp;VAR:SYMBOL=N0098510&amp;VAR:INDEX=0"}</definedName>
    <definedName name="_708__FDSAUDITLINK__" localSheetId="6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8__FDSAUDITLINK__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80__FDSAUDITLINK__" localSheetId="6" hidden="1">{"fdsup://directions/FAT Viewer?action=UPDATE&amp;creator=factset&amp;DYN_ARGS=TRUE&amp;DOC_NAME=FAT:FQL_AUDITING_CLIENT_TEMPLATE.FAT&amp;display_string=Audit&amp;VAR:KEY=JSRURSPMXC&amp;VAR:QUERY=RkZfRUJJVERBX0lCKCdMVE1TJywzODYzMyk=&amp;WINDOW=FIRST_POPUP&amp;HEIGHT=450&amp;WIDTH=450&amp;START_MA","XIMIZED=FALSE&amp;VAR:CALENDAR=US&amp;VAR:SYMBOL=N0098510&amp;VAR:INDEX=0"}</definedName>
    <definedName name="_7080__FDSAUDITLINK__" hidden="1">{"fdsup://directions/FAT Viewer?action=UPDATE&amp;creator=factset&amp;DYN_ARGS=TRUE&amp;DOC_NAME=FAT:FQL_AUDITING_CLIENT_TEMPLATE.FAT&amp;display_string=Audit&amp;VAR:KEY=JSRURSPMXC&amp;VAR:QUERY=RkZfRUJJVERBX0lCKCdMVE1TJywzODYzMyk=&amp;WINDOW=FIRST_POPUP&amp;HEIGHT=450&amp;WIDTH=450&amp;START_MA","XIMIZED=FALSE&amp;VAR:CALENDAR=US&amp;VAR:SYMBOL=N0098510&amp;VAR:INDEX=0"}</definedName>
    <definedName name="_7081__FDSAUDITLINK__" localSheetId="6" hidden="1">{"fdsup://directions/FAT Viewer?action=UPDATE&amp;creator=factset&amp;DYN_ARGS=TRUE&amp;DOC_NAME=FAT:FQL_AUDITING_CLIENT_TEMPLATE.FAT&amp;display_string=Audit&amp;VAR:KEY=PMVKLEHWNM&amp;VAR:QUERY=RkZfRUJJVERBX0lCKCdMVE1TJywzODYzMik=&amp;WINDOW=FIRST_POPUP&amp;HEIGHT=450&amp;WIDTH=450&amp;START_MA","XIMIZED=FALSE&amp;VAR:CALENDAR=US&amp;VAR:SYMBOL=N0098510&amp;VAR:INDEX=0"}</definedName>
    <definedName name="_7081__FDSAUDITLINK__" hidden="1">{"fdsup://directions/FAT Viewer?action=UPDATE&amp;creator=factset&amp;DYN_ARGS=TRUE&amp;DOC_NAME=FAT:FQL_AUDITING_CLIENT_TEMPLATE.FAT&amp;display_string=Audit&amp;VAR:KEY=PMVKLEHWNM&amp;VAR:QUERY=RkZfRUJJVERBX0lCKCdMVE1TJywzODYzMik=&amp;WINDOW=FIRST_POPUP&amp;HEIGHT=450&amp;WIDTH=450&amp;START_MA","XIMIZED=FALSE&amp;VAR:CALENDAR=US&amp;VAR:SYMBOL=N0098510&amp;VAR:INDEX=0"}</definedName>
    <definedName name="_7082__FDSAUDITLINK__" localSheetId="6" hidden="1">{"fdsup://directions/FAT Viewer?action=UPDATE&amp;creator=factset&amp;DYN_ARGS=TRUE&amp;DOC_NAME=FAT:FQL_AUDITING_CLIENT_TEMPLATE.FAT&amp;display_string=Audit&amp;VAR:KEY=PKRKBCTETG&amp;VAR:QUERY=RkZfRUJJVERBX0lCKCdMVE1TJywzODYzMSk=&amp;WINDOW=FIRST_POPUP&amp;HEIGHT=450&amp;WIDTH=450&amp;START_MA","XIMIZED=FALSE&amp;VAR:CALENDAR=US&amp;VAR:SYMBOL=N0098510&amp;VAR:INDEX=0"}</definedName>
    <definedName name="_7082__FDSAUDITLINK__" hidden="1">{"fdsup://directions/FAT Viewer?action=UPDATE&amp;creator=factset&amp;DYN_ARGS=TRUE&amp;DOC_NAME=FAT:FQL_AUDITING_CLIENT_TEMPLATE.FAT&amp;display_string=Audit&amp;VAR:KEY=PKRKBCTETG&amp;VAR:QUERY=RkZfRUJJVERBX0lCKCdMVE1TJywzODYzMSk=&amp;WINDOW=FIRST_POPUP&amp;HEIGHT=450&amp;WIDTH=450&amp;START_MA","XIMIZED=FALSE&amp;VAR:CALENDAR=US&amp;VAR:SYMBOL=N0098510&amp;VAR:INDEX=0"}</definedName>
    <definedName name="_7083__FDSAUDITLINK__" localSheetId="6" hidden="1">{"fdsup://directions/FAT Viewer?action=UPDATE&amp;creator=factset&amp;DYN_ARGS=TRUE&amp;DOC_NAME=FAT:FQL_AUDITING_CLIENT_TEMPLATE.FAT&amp;display_string=Audit&amp;VAR:KEY=LKJEVYNSNW&amp;VAR:QUERY=RkZfRUJJVERBX0lCKCdMVE1TJywzODYzMCk=&amp;WINDOW=FIRST_POPUP&amp;HEIGHT=450&amp;WIDTH=450&amp;START_MA","XIMIZED=FALSE&amp;VAR:CALENDAR=US&amp;VAR:SYMBOL=N0098510&amp;VAR:INDEX=0"}</definedName>
    <definedName name="_7083__FDSAUDITLINK__" hidden="1">{"fdsup://directions/FAT Viewer?action=UPDATE&amp;creator=factset&amp;DYN_ARGS=TRUE&amp;DOC_NAME=FAT:FQL_AUDITING_CLIENT_TEMPLATE.FAT&amp;display_string=Audit&amp;VAR:KEY=LKJEVYNSNW&amp;VAR:QUERY=RkZfRUJJVERBX0lCKCdMVE1TJywzODYzMCk=&amp;WINDOW=FIRST_POPUP&amp;HEIGHT=450&amp;WIDTH=450&amp;START_MA","XIMIZED=FALSE&amp;VAR:CALENDAR=US&amp;VAR:SYMBOL=N0098510&amp;VAR:INDEX=0"}</definedName>
    <definedName name="_7084__FDSAUDITLINK__" localSheetId="6" hidden="1">{"fdsup://directions/FAT Viewer?action=UPDATE&amp;creator=factset&amp;DYN_ARGS=TRUE&amp;DOC_NAME=FAT:FQL_AUDITING_CLIENT_TEMPLATE.FAT&amp;display_string=Audit&amp;VAR:KEY=HURKFMDIHC&amp;VAR:QUERY=RkZfRUJJVERBX0lCKCdMVE1TJywzODYyOSk=&amp;WINDOW=FIRST_POPUP&amp;HEIGHT=450&amp;WIDTH=450&amp;START_MA","XIMIZED=FALSE&amp;VAR:CALENDAR=US&amp;VAR:SYMBOL=N0098510&amp;VAR:INDEX=0"}</definedName>
    <definedName name="_7084__FDSAUDITLINK__" hidden="1">{"fdsup://directions/FAT Viewer?action=UPDATE&amp;creator=factset&amp;DYN_ARGS=TRUE&amp;DOC_NAME=FAT:FQL_AUDITING_CLIENT_TEMPLATE.FAT&amp;display_string=Audit&amp;VAR:KEY=HURKFMDIHC&amp;VAR:QUERY=RkZfRUJJVERBX0lCKCdMVE1TJywzODYyOSk=&amp;WINDOW=FIRST_POPUP&amp;HEIGHT=450&amp;WIDTH=450&amp;START_MA","XIMIZED=FALSE&amp;VAR:CALENDAR=US&amp;VAR:SYMBOL=N0098510&amp;VAR:INDEX=0"}</definedName>
    <definedName name="_7085__FDSAUDITLINK__" localSheetId="6" hidden="1">{"fdsup://directions/FAT Viewer?action=UPDATE&amp;creator=factset&amp;DYN_ARGS=TRUE&amp;DOC_NAME=FAT:FQL_AUDITING_CLIENT_TEMPLATE.FAT&amp;display_string=Audit&amp;VAR:KEY=XWZEFATGNM&amp;VAR:QUERY=RkZfRUJJVERBX0lCKCdMVE1TJywzODYyOCk=&amp;WINDOW=FIRST_POPUP&amp;HEIGHT=450&amp;WIDTH=450&amp;START_MA","XIMIZED=FALSE&amp;VAR:CALENDAR=US&amp;VAR:SYMBOL=N0098510&amp;VAR:INDEX=0"}</definedName>
    <definedName name="_7085__FDSAUDITLINK__" hidden="1">{"fdsup://directions/FAT Viewer?action=UPDATE&amp;creator=factset&amp;DYN_ARGS=TRUE&amp;DOC_NAME=FAT:FQL_AUDITING_CLIENT_TEMPLATE.FAT&amp;display_string=Audit&amp;VAR:KEY=XWZEFATGNM&amp;VAR:QUERY=RkZfRUJJVERBX0lCKCdMVE1TJywzODYyOCk=&amp;WINDOW=FIRST_POPUP&amp;HEIGHT=450&amp;WIDTH=450&amp;START_MA","XIMIZED=FALSE&amp;VAR:CALENDAR=US&amp;VAR:SYMBOL=N0098510&amp;VAR:INDEX=0"}</definedName>
    <definedName name="_7086__FDSAUDITLINK__" localSheetId="6" hidden="1">{"fdsup://directions/FAT Viewer?action=UPDATE&amp;creator=factset&amp;DYN_ARGS=TRUE&amp;DOC_NAME=FAT:FQL_AUDITING_CLIENT_TEMPLATE.FAT&amp;display_string=Audit&amp;VAR:KEY=JATMDULGDG&amp;VAR:QUERY=RkZfRUJJVERBX0lCKCdMVE1TJywzODYyNyk=&amp;WINDOW=FIRST_POPUP&amp;HEIGHT=450&amp;WIDTH=450&amp;START_MA","XIMIZED=FALSE&amp;VAR:CALENDAR=US&amp;VAR:SYMBOL=N0098510&amp;VAR:INDEX=0"}</definedName>
    <definedName name="_7086__FDSAUDITLINK__" hidden="1">{"fdsup://directions/FAT Viewer?action=UPDATE&amp;creator=factset&amp;DYN_ARGS=TRUE&amp;DOC_NAME=FAT:FQL_AUDITING_CLIENT_TEMPLATE.FAT&amp;display_string=Audit&amp;VAR:KEY=JATMDULGDG&amp;VAR:QUERY=RkZfRUJJVERBX0lCKCdMVE1TJywzODYyNyk=&amp;WINDOW=FIRST_POPUP&amp;HEIGHT=450&amp;WIDTH=450&amp;START_MA","XIMIZED=FALSE&amp;VAR:CALENDAR=US&amp;VAR:SYMBOL=N0098510&amp;VAR:INDEX=0"}</definedName>
    <definedName name="_7087__FDSAUDITLINK__" localSheetId="6" hidden="1">{"fdsup://directions/FAT Viewer?action=UPDATE&amp;creator=factset&amp;DYN_ARGS=TRUE&amp;DOC_NAME=FAT:FQL_AUDITING_CLIENT_TEMPLATE.FAT&amp;display_string=Audit&amp;VAR:KEY=ZCFYJKRWBE&amp;VAR:QUERY=RkZfRUJJVERBX0lCKCdMVE1TJywzODYyNik=&amp;WINDOW=FIRST_POPUP&amp;HEIGHT=450&amp;WIDTH=450&amp;START_MA","XIMIZED=FALSE&amp;VAR:CALENDAR=US&amp;VAR:SYMBOL=N0098510&amp;VAR:INDEX=0"}</definedName>
    <definedName name="_7087__FDSAUDITLINK__" hidden="1">{"fdsup://directions/FAT Viewer?action=UPDATE&amp;creator=factset&amp;DYN_ARGS=TRUE&amp;DOC_NAME=FAT:FQL_AUDITING_CLIENT_TEMPLATE.FAT&amp;display_string=Audit&amp;VAR:KEY=ZCFYJKRWBE&amp;VAR:QUERY=RkZfRUJJVERBX0lCKCdMVE1TJywzODYyNik=&amp;WINDOW=FIRST_POPUP&amp;HEIGHT=450&amp;WIDTH=450&amp;START_MA","XIMIZED=FALSE&amp;VAR:CALENDAR=US&amp;VAR:SYMBOL=N0098510&amp;VAR:INDEX=0"}</definedName>
    <definedName name="_7088__FDSAUDITLINK__" localSheetId="6" hidden="1">{"fdsup://directions/FAT Viewer?action=UPDATE&amp;creator=factset&amp;DYN_ARGS=TRUE&amp;DOC_NAME=FAT:FQL_AUDITING_CLIENT_TEMPLATE.FAT&amp;display_string=Audit&amp;VAR:KEY=NCTCRQJGNO&amp;VAR:QUERY=RkZfRUJJVERBX0lCKCdMVE1TJywzODYyNSk=&amp;WINDOW=FIRST_POPUP&amp;HEIGHT=450&amp;WIDTH=450&amp;START_MA","XIMIZED=FALSE&amp;VAR:CALENDAR=US&amp;VAR:SYMBOL=N0098510&amp;VAR:INDEX=0"}</definedName>
    <definedName name="_7088__FDSAUDITLINK__" hidden="1">{"fdsup://directions/FAT Viewer?action=UPDATE&amp;creator=factset&amp;DYN_ARGS=TRUE&amp;DOC_NAME=FAT:FQL_AUDITING_CLIENT_TEMPLATE.FAT&amp;display_string=Audit&amp;VAR:KEY=NCTCRQJGNO&amp;VAR:QUERY=RkZfRUJJVERBX0lCKCdMVE1TJywzODYyNSk=&amp;WINDOW=FIRST_POPUP&amp;HEIGHT=450&amp;WIDTH=450&amp;START_MA","XIMIZED=FALSE&amp;VAR:CALENDAR=US&amp;VAR:SYMBOL=N0098510&amp;VAR:INDEX=0"}</definedName>
    <definedName name="_7089__FDSAUDITLINK__" localSheetId="6" hidden="1">{"fdsup://directions/FAT Viewer?action=UPDATE&amp;creator=factset&amp;DYN_ARGS=TRUE&amp;DOC_NAME=FAT:FQL_AUDITING_CLIENT_TEMPLATE.FAT&amp;display_string=Audit&amp;VAR:KEY=PCFAFGRSNK&amp;VAR:QUERY=RkZfRUJJVERBX0lCKCdMVE1TJywzODYyNCk=&amp;WINDOW=FIRST_POPUP&amp;HEIGHT=450&amp;WIDTH=450&amp;START_MA","XIMIZED=FALSE&amp;VAR:CALENDAR=US&amp;VAR:SYMBOL=N0098510&amp;VAR:INDEX=0"}</definedName>
    <definedName name="_7089__FDSAUDITLINK__" hidden="1">{"fdsup://directions/FAT Viewer?action=UPDATE&amp;creator=factset&amp;DYN_ARGS=TRUE&amp;DOC_NAME=FAT:FQL_AUDITING_CLIENT_TEMPLATE.FAT&amp;display_string=Audit&amp;VAR:KEY=PCFAFGRSNK&amp;VAR:QUERY=RkZfRUJJVERBX0lCKCdMVE1TJywzODYyNCk=&amp;WINDOW=FIRST_POPUP&amp;HEIGHT=450&amp;WIDTH=450&amp;START_MA","XIMIZED=FALSE&amp;VAR:CALENDAR=US&amp;VAR:SYMBOL=N0098510&amp;VAR:INDEX=0"}</definedName>
    <definedName name="_709__FDSAUDITLINK__" localSheetId="6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9__FDSAUDITLINK__" hidden="1">{"fdsup://directions/FAT%20Viewer?VAR:PED=LTM&amp;VAR:AUDIT_MODE=SUMMARY&amp;VAR:PERIOD=FIXED&amp;VAR:AUDIT_ID=00000117&amp;VAR:DATE=20080314&amp;action=UPDATE&amp;creator=factset&amp;DOC_NAME=FAT:FMA_audit_SUMMARY.fat&amp;DISPLAY_STRING=Display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090__FDSAUDITLINK__" localSheetId="6" hidden="1">{"fdsup://directions/FAT Viewer?action=UPDATE&amp;creator=factset&amp;DYN_ARGS=TRUE&amp;DOC_NAME=FAT:FQL_AUDITING_CLIENT_TEMPLATE.FAT&amp;display_string=Audit&amp;VAR:KEY=BCXGZATWZI&amp;VAR:QUERY=RkZfRUJJVERBX0lCKCdMVE1TJywzODYyMyk=&amp;WINDOW=FIRST_POPUP&amp;HEIGHT=450&amp;WIDTH=450&amp;START_MA","XIMIZED=FALSE&amp;VAR:CALENDAR=US&amp;VAR:SYMBOL=N0098510&amp;VAR:INDEX=0"}</definedName>
    <definedName name="_7090__FDSAUDITLINK__" hidden="1">{"fdsup://directions/FAT Viewer?action=UPDATE&amp;creator=factset&amp;DYN_ARGS=TRUE&amp;DOC_NAME=FAT:FQL_AUDITING_CLIENT_TEMPLATE.FAT&amp;display_string=Audit&amp;VAR:KEY=BCXGZATWZI&amp;VAR:QUERY=RkZfRUJJVERBX0lCKCdMVE1TJywzODYyMyk=&amp;WINDOW=FIRST_POPUP&amp;HEIGHT=450&amp;WIDTH=450&amp;START_MA","XIMIZED=FALSE&amp;VAR:CALENDAR=US&amp;VAR:SYMBOL=N0098510&amp;VAR:INDEX=0"}</definedName>
    <definedName name="_7091__FDSAUDITLINK__" localSheetId="6" hidden="1">{"fdsup://directions/FAT Viewer?action=UPDATE&amp;creator=factset&amp;DYN_ARGS=TRUE&amp;DOC_NAME=FAT:FQL_AUDITING_CLIENT_TEMPLATE.FAT&amp;display_string=Audit&amp;VAR:KEY=TOZSZEVEVQ&amp;VAR:QUERY=RkZfRUJJVERBX0lCKCdMVE1TJywzODYyMik=&amp;WINDOW=FIRST_POPUP&amp;HEIGHT=450&amp;WIDTH=450&amp;START_MA","XIMIZED=FALSE&amp;VAR:CALENDAR=US&amp;VAR:SYMBOL=N0098510&amp;VAR:INDEX=0"}</definedName>
    <definedName name="_7091__FDSAUDITLINK__" hidden="1">{"fdsup://directions/FAT Viewer?action=UPDATE&amp;creator=factset&amp;DYN_ARGS=TRUE&amp;DOC_NAME=FAT:FQL_AUDITING_CLIENT_TEMPLATE.FAT&amp;display_string=Audit&amp;VAR:KEY=TOZSZEVEVQ&amp;VAR:QUERY=RkZfRUJJVERBX0lCKCdMVE1TJywzODYyMik=&amp;WINDOW=FIRST_POPUP&amp;HEIGHT=450&amp;WIDTH=450&amp;START_MA","XIMIZED=FALSE&amp;VAR:CALENDAR=US&amp;VAR:SYMBOL=N0098510&amp;VAR:INDEX=0"}</definedName>
    <definedName name="_7092__FDSAUDITLINK__" localSheetId="6" hidden="1">{"fdsup://directions/FAT Viewer?action=UPDATE&amp;creator=factset&amp;DYN_ARGS=TRUE&amp;DOC_NAME=FAT:FQL_AUDITING_CLIENT_TEMPLATE.FAT&amp;display_string=Audit&amp;VAR:KEY=DALKBOJURS&amp;VAR:QUERY=RkZfRUJJVERBX0lCKCdMVE1TJywzODYyMSk=&amp;WINDOW=FIRST_POPUP&amp;HEIGHT=450&amp;WIDTH=450&amp;START_MA","XIMIZED=FALSE&amp;VAR:CALENDAR=US&amp;VAR:SYMBOL=N0098510&amp;VAR:INDEX=0"}</definedName>
    <definedName name="_7092__FDSAUDITLINK__" hidden="1">{"fdsup://directions/FAT Viewer?action=UPDATE&amp;creator=factset&amp;DYN_ARGS=TRUE&amp;DOC_NAME=FAT:FQL_AUDITING_CLIENT_TEMPLATE.FAT&amp;display_string=Audit&amp;VAR:KEY=DALKBOJURS&amp;VAR:QUERY=RkZfRUJJVERBX0lCKCdMVE1TJywzODYyMSk=&amp;WINDOW=FIRST_POPUP&amp;HEIGHT=450&amp;WIDTH=450&amp;START_MA","XIMIZED=FALSE&amp;VAR:CALENDAR=US&amp;VAR:SYMBOL=N0098510&amp;VAR:INDEX=0"}</definedName>
    <definedName name="_7093__FDSAUDITLINK__" localSheetId="6" hidden="1">{"fdsup://directions/FAT Viewer?action=UPDATE&amp;creator=factset&amp;DYN_ARGS=TRUE&amp;DOC_NAME=FAT:FQL_AUDITING_CLIENT_TEMPLATE.FAT&amp;display_string=Audit&amp;VAR:KEY=FCFGBOBENA&amp;VAR:QUERY=RkZfRUJJVERBX0lCKCdMVE1TJywzODYyMCk=&amp;WINDOW=FIRST_POPUP&amp;HEIGHT=450&amp;WIDTH=450&amp;START_MA","XIMIZED=FALSE&amp;VAR:CALENDAR=US&amp;VAR:SYMBOL=N0098510&amp;VAR:INDEX=0"}</definedName>
    <definedName name="_7093__FDSAUDITLINK__" hidden="1">{"fdsup://directions/FAT Viewer?action=UPDATE&amp;creator=factset&amp;DYN_ARGS=TRUE&amp;DOC_NAME=FAT:FQL_AUDITING_CLIENT_TEMPLATE.FAT&amp;display_string=Audit&amp;VAR:KEY=FCFGBOBENA&amp;VAR:QUERY=RkZfRUJJVERBX0lCKCdMVE1TJywzODYyMCk=&amp;WINDOW=FIRST_POPUP&amp;HEIGHT=450&amp;WIDTH=450&amp;START_MA","XIMIZED=FALSE&amp;VAR:CALENDAR=US&amp;VAR:SYMBOL=N0098510&amp;VAR:INDEX=0"}</definedName>
    <definedName name="_7094__FDSAUDITLINK__" localSheetId="6" hidden="1">{"fdsup://directions/FAT Viewer?action=UPDATE&amp;creator=factset&amp;DYN_ARGS=TRUE&amp;DOC_NAME=FAT:FQL_AUDITING_CLIENT_TEMPLATE.FAT&amp;display_string=Audit&amp;VAR:KEY=LGRWTOBGNU&amp;VAR:QUERY=RkZfRUJJVERBX0lCKCdMVE1TJywzODYxOSk=&amp;WINDOW=FIRST_POPUP&amp;HEIGHT=450&amp;WIDTH=450&amp;START_MA","XIMIZED=FALSE&amp;VAR:CALENDAR=US&amp;VAR:SYMBOL=N0098510&amp;VAR:INDEX=0"}</definedName>
    <definedName name="_7094__FDSAUDITLINK__" hidden="1">{"fdsup://directions/FAT Viewer?action=UPDATE&amp;creator=factset&amp;DYN_ARGS=TRUE&amp;DOC_NAME=FAT:FQL_AUDITING_CLIENT_TEMPLATE.FAT&amp;display_string=Audit&amp;VAR:KEY=LGRWTOBGNU&amp;VAR:QUERY=RkZfRUJJVERBX0lCKCdMVE1TJywzODYxOSk=&amp;WINDOW=FIRST_POPUP&amp;HEIGHT=450&amp;WIDTH=450&amp;START_MA","XIMIZED=FALSE&amp;VAR:CALENDAR=US&amp;VAR:SYMBOL=N0098510&amp;VAR:INDEX=0"}</definedName>
    <definedName name="_7095__FDSAUDITLINK__" localSheetId="6" hidden="1">{"fdsup://directions/FAT Viewer?action=UPDATE&amp;creator=factset&amp;DYN_ARGS=TRUE&amp;DOC_NAME=FAT:FQL_AUDITING_CLIENT_TEMPLATE.FAT&amp;display_string=Audit&amp;VAR:KEY=ZYLKFALSLW&amp;VAR:QUERY=RkZfRUJJVERBX0lCKCdMVE1TJywzODYxOCk=&amp;WINDOW=FIRST_POPUP&amp;HEIGHT=450&amp;WIDTH=450&amp;START_MA","XIMIZED=FALSE&amp;VAR:CALENDAR=US&amp;VAR:SYMBOL=N0098510&amp;VAR:INDEX=0"}</definedName>
    <definedName name="_7095__FDSAUDITLINK__" hidden="1">{"fdsup://directions/FAT Viewer?action=UPDATE&amp;creator=factset&amp;DYN_ARGS=TRUE&amp;DOC_NAME=FAT:FQL_AUDITING_CLIENT_TEMPLATE.FAT&amp;display_string=Audit&amp;VAR:KEY=ZYLKFALSLW&amp;VAR:QUERY=RkZfRUJJVERBX0lCKCdMVE1TJywzODYxOCk=&amp;WINDOW=FIRST_POPUP&amp;HEIGHT=450&amp;WIDTH=450&amp;START_MA","XIMIZED=FALSE&amp;VAR:CALENDAR=US&amp;VAR:SYMBOL=N0098510&amp;VAR:INDEX=0"}</definedName>
    <definedName name="_7096__FDSAUDITLINK__" localSheetId="6" hidden="1">{"fdsup://directions/FAT Viewer?action=UPDATE&amp;creator=factset&amp;DYN_ARGS=TRUE&amp;DOC_NAME=FAT:FQL_AUDITING_CLIENT_TEMPLATE.FAT&amp;display_string=Audit&amp;VAR:KEY=NGJILULOJO&amp;VAR:QUERY=RkZfRUJJVERBX0lCKCdMVE1TJywzODYxNyk=&amp;WINDOW=FIRST_POPUP&amp;HEIGHT=450&amp;WIDTH=450&amp;START_MA","XIMIZED=FALSE&amp;VAR:CALENDAR=US&amp;VAR:SYMBOL=N0098510&amp;VAR:INDEX=0"}</definedName>
    <definedName name="_7096__FDSAUDITLINK__" hidden="1">{"fdsup://directions/FAT Viewer?action=UPDATE&amp;creator=factset&amp;DYN_ARGS=TRUE&amp;DOC_NAME=FAT:FQL_AUDITING_CLIENT_TEMPLATE.FAT&amp;display_string=Audit&amp;VAR:KEY=NGJILULOJO&amp;VAR:QUERY=RkZfRUJJVERBX0lCKCdMVE1TJywzODYxNyk=&amp;WINDOW=FIRST_POPUP&amp;HEIGHT=450&amp;WIDTH=450&amp;START_MA","XIMIZED=FALSE&amp;VAR:CALENDAR=US&amp;VAR:SYMBOL=N0098510&amp;VAR:INDEX=0"}</definedName>
    <definedName name="_7097__FDSAUDITLINK__" localSheetId="6" hidden="1">{"fdsup://directions/FAT Viewer?action=UPDATE&amp;creator=factset&amp;DYN_ARGS=TRUE&amp;DOC_NAME=FAT:FQL_AUDITING_CLIENT_TEMPLATE.FAT&amp;display_string=Audit&amp;VAR:KEY=PCVAPIRALU&amp;VAR:QUERY=RkZfRUJJVERBX0lCKCdMVE1TJywzODYxNik=&amp;WINDOW=FIRST_POPUP&amp;HEIGHT=450&amp;WIDTH=450&amp;START_MA","XIMIZED=FALSE&amp;VAR:CALENDAR=US&amp;VAR:SYMBOL=N0098510&amp;VAR:INDEX=0"}</definedName>
    <definedName name="_7097__FDSAUDITLINK__" hidden="1">{"fdsup://directions/FAT Viewer?action=UPDATE&amp;creator=factset&amp;DYN_ARGS=TRUE&amp;DOC_NAME=FAT:FQL_AUDITING_CLIENT_TEMPLATE.FAT&amp;display_string=Audit&amp;VAR:KEY=PCVAPIRALU&amp;VAR:QUERY=RkZfRUJJVERBX0lCKCdMVE1TJywzODYxNik=&amp;WINDOW=FIRST_POPUP&amp;HEIGHT=450&amp;WIDTH=450&amp;START_MA","XIMIZED=FALSE&amp;VAR:CALENDAR=US&amp;VAR:SYMBOL=N0098510&amp;VAR:INDEX=0"}</definedName>
    <definedName name="_7098__FDSAUDITLINK__" localSheetId="6" hidden="1">{"fdsup://directions/FAT Viewer?action=UPDATE&amp;creator=factset&amp;DYN_ARGS=TRUE&amp;DOC_NAME=FAT:FQL_AUDITING_CLIENT_TEMPLATE.FAT&amp;display_string=Audit&amp;VAR:KEY=HYDITWZEVU&amp;VAR:QUERY=RkZfRUJJVERBX0lCKCdMVE1TJywzODYxNSk=&amp;WINDOW=FIRST_POPUP&amp;HEIGHT=450&amp;WIDTH=450&amp;START_MA","XIMIZED=FALSE&amp;VAR:CALENDAR=US&amp;VAR:SYMBOL=N0098510&amp;VAR:INDEX=0"}</definedName>
    <definedName name="_7098__FDSAUDITLINK__" hidden="1">{"fdsup://directions/FAT Viewer?action=UPDATE&amp;creator=factset&amp;DYN_ARGS=TRUE&amp;DOC_NAME=FAT:FQL_AUDITING_CLIENT_TEMPLATE.FAT&amp;display_string=Audit&amp;VAR:KEY=HYDITWZEVU&amp;VAR:QUERY=RkZfRUJJVERBX0lCKCdMVE1TJywzODYxNSk=&amp;WINDOW=FIRST_POPUP&amp;HEIGHT=450&amp;WIDTH=450&amp;START_MA","XIMIZED=FALSE&amp;VAR:CALENDAR=US&amp;VAR:SYMBOL=N0098510&amp;VAR:INDEX=0"}</definedName>
    <definedName name="_7099__FDSAUDITLINK__" localSheetId="6" hidden="1">{"fdsup://directions/FAT Viewer?action=UPDATE&amp;creator=factset&amp;DYN_ARGS=TRUE&amp;DOC_NAME=FAT:FQL_AUDITING_CLIENT_TEMPLATE.FAT&amp;display_string=Audit&amp;VAR:KEY=VAJADYHEDK&amp;VAR:QUERY=RkZfRUJJVERBX0lCKCdMVE1TJywzODYxNCk=&amp;WINDOW=FIRST_POPUP&amp;HEIGHT=450&amp;WIDTH=450&amp;START_MA","XIMIZED=FALSE&amp;VAR:CALENDAR=US&amp;VAR:SYMBOL=N0098510&amp;VAR:INDEX=0"}</definedName>
    <definedName name="_7099__FDSAUDITLINK__" hidden="1">{"fdsup://directions/FAT Viewer?action=UPDATE&amp;creator=factset&amp;DYN_ARGS=TRUE&amp;DOC_NAME=FAT:FQL_AUDITING_CLIENT_TEMPLATE.FAT&amp;display_string=Audit&amp;VAR:KEY=VAJADYHEDK&amp;VAR:QUERY=RkZfRUJJVERBX0lCKCdMVE1TJywzODYxNCk=&amp;WINDOW=FIRST_POPUP&amp;HEIGHT=450&amp;WIDTH=450&amp;START_MA","XIMIZED=FALSE&amp;VAR:CALENDAR=US&amp;VAR:SYMBOL=N0098510&amp;VAR:INDEX=0"}</definedName>
    <definedName name="_71__FDSAUDITLINK__" localSheetId="6" hidden="1">{"fdsup://directions/FAT Viewer?action=UPDATE&amp;creator=factset&amp;DYN_ARGS=TRUE&amp;DOC_NAME=FAT:FQL_AUDITING_CLIENT_TEMPLATE.FAT&amp;display_string=Audit&amp;VAR:KEY=BIVMNGPEHM&amp;VAR:QUERY=QVZHKENTRl9ORVRfSU5DKEFOTiwwRlksLTZGWSxZKSkgLyAoQVZHKENTRl9BU1NFVFMoQU5OLDBGWSwtNkZZL","EZZKSkgLSBBVkcoQ1NGX0lOVEFORyhBTk4sMCwtNkZZLEZZKSkp&amp;WINDOW=FIRST_POPUP&amp;HEIGHT=450&amp;WIDTH=450&amp;START_MAXIMIZED=FALSE&amp;VAR:CALENDAR=US&amp;VAR:SYMBOL=SSW"}</definedName>
    <definedName name="_71__FDSAUDITLINK__" hidden="1">{"fdsup://directions/FAT Viewer?action=UPDATE&amp;creator=factset&amp;DYN_ARGS=TRUE&amp;DOC_NAME=FAT:FQL_AUDITING_CLIENT_TEMPLATE.FAT&amp;display_string=Audit&amp;VAR:KEY=BIVMNGPEHM&amp;VAR:QUERY=QVZHKENTRl9ORVRfSU5DKEFOTiwwRlksLTZGWSxZKSkgLyAoQVZHKENTRl9BU1NFVFMoQU5OLDBGWSwtNkZZL","EZZKSkgLSBBVkcoQ1NGX0lOVEFORyhBTk4sMCwtNkZZLEZZKSkp&amp;WINDOW=FIRST_POPUP&amp;HEIGHT=450&amp;WIDTH=450&amp;START_MAXIMIZED=FALSE&amp;VAR:CALENDAR=US&amp;VAR:SYMBOL=SSW"}</definedName>
    <definedName name="_710__FDSAUDITLINK__" localSheetId="6" hidden="1">{"fdsup://directions/FAT%20Viewer?VAR:PED=LTM&amp;VAR:AUDIT_MODE=SUMMARY&amp;VAR:PERIOD=FIXED&amp;VAR:AUDIT_ID=00000117&amp;VAR:DATE=20080313&amp;action=UPDATE&amp;creator=factset&amp;DOC_NAME=FAT:FMA_audit_SUMMARY.fat&amp;DISPLAY_STRING=Display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0__FDSAUDITLINK__" hidden="1">{"fdsup://directions/FAT%20Viewer?VAR:PED=LTM&amp;VAR:AUDIT_MODE=SUMMARY&amp;VAR:PERIOD=FIXED&amp;VAR:AUDIT_ID=00000117&amp;VAR:DATE=20080313&amp;action=UPDATE&amp;creator=factset&amp;DOC_NAME=FAT:FMA_audit_SUMMARY.fat&amp;DISPLAY_STRING=Display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00__FDSAUDITLINK__" localSheetId="6" hidden="1">{"fdsup://directions/FAT Viewer?action=UPDATE&amp;creator=factset&amp;DYN_ARGS=TRUE&amp;DOC_NAME=FAT:FQL_AUDITING_CLIENT_TEMPLATE.FAT&amp;display_string=Audit&amp;VAR:KEY=HOTINQLWXW&amp;VAR:QUERY=RkZfRUJJVERBX0lCKCdMVE1TJywzODYxMyk=&amp;WINDOW=FIRST_POPUP&amp;HEIGHT=450&amp;WIDTH=450&amp;START_MA","XIMIZED=FALSE&amp;VAR:CALENDAR=US&amp;VAR:SYMBOL=N0098510&amp;VAR:INDEX=0"}</definedName>
    <definedName name="_7100__FDSAUDITLINK__" hidden="1">{"fdsup://directions/FAT Viewer?action=UPDATE&amp;creator=factset&amp;DYN_ARGS=TRUE&amp;DOC_NAME=FAT:FQL_AUDITING_CLIENT_TEMPLATE.FAT&amp;display_string=Audit&amp;VAR:KEY=HOTINQLWXW&amp;VAR:QUERY=RkZfRUJJVERBX0lCKCdMVE1TJywzODYxMyk=&amp;WINDOW=FIRST_POPUP&amp;HEIGHT=450&amp;WIDTH=450&amp;START_MA","XIMIZED=FALSE&amp;VAR:CALENDAR=US&amp;VAR:SYMBOL=N0098510&amp;VAR:INDEX=0"}</definedName>
    <definedName name="_7101__FDSAUDITLINK__" localSheetId="6" hidden="1">{"fdsup://directions/FAT Viewer?action=UPDATE&amp;creator=factset&amp;DYN_ARGS=TRUE&amp;DOC_NAME=FAT:FQL_AUDITING_CLIENT_TEMPLATE.FAT&amp;display_string=Audit&amp;VAR:KEY=DOTCNSBKFU&amp;VAR:QUERY=RkZfRUJJVERBX0lCKCdMVE1TJywzODYxMik=&amp;WINDOW=FIRST_POPUP&amp;HEIGHT=450&amp;WIDTH=450&amp;START_MA","XIMIZED=FALSE&amp;VAR:CALENDAR=US&amp;VAR:SYMBOL=N0098510&amp;VAR:INDEX=0"}</definedName>
    <definedName name="_7101__FDSAUDITLINK__" hidden="1">{"fdsup://directions/FAT Viewer?action=UPDATE&amp;creator=factset&amp;DYN_ARGS=TRUE&amp;DOC_NAME=FAT:FQL_AUDITING_CLIENT_TEMPLATE.FAT&amp;display_string=Audit&amp;VAR:KEY=DOTCNSBKFU&amp;VAR:QUERY=RkZfRUJJVERBX0lCKCdMVE1TJywzODYxMik=&amp;WINDOW=FIRST_POPUP&amp;HEIGHT=450&amp;WIDTH=450&amp;START_MA","XIMIZED=FALSE&amp;VAR:CALENDAR=US&amp;VAR:SYMBOL=N0098510&amp;VAR:INDEX=0"}</definedName>
    <definedName name="_7102__FDSAUDITLINK__" localSheetId="6" hidden="1">{"fdsup://directions/FAT Viewer?action=UPDATE&amp;creator=factset&amp;DYN_ARGS=TRUE&amp;DOC_NAME=FAT:FQL_AUDITING_CLIENT_TEMPLATE.FAT&amp;display_string=Audit&amp;VAR:KEY=PMZQLQFITA&amp;VAR:QUERY=RkZfRUJJVERBX0lCKCdMVE1TJywzODYxMSk=&amp;WINDOW=FIRST_POPUP&amp;HEIGHT=450&amp;WIDTH=450&amp;START_MA","XIMIZED=FALSE&amp;VAR:CALENDAR=US&amp;VAR:SYMBOL=N0098510&amp;VAR:INDEX=0"}</definedName>
    <definedName name="_7102__FDSAUDITLINK__" hidden="1">{"fdsup://directions/FAT Viewer?action=UPDATE&amp;creator=factset&amp;DYN_ARGS=TRUE&amp;DOC_NAME=FAT:FQL_AUDITING_CLIENT_TEMPLATE.FAT&amp;display_string=Audit&amp;VAR:KEY=PMZQLQFITA&amp;VAR:QUERY=RkZfRUJJVERBX0lCKCdMVE1TJywzODYxMSk=&amp;WINDOW=FIRST_POPUP&amp;HEIGHT=450&amp;WIDTH=450&amp;START_MA","XIMIZED=FALSE&amp;VAR:CALENDAR=US&amp;VAR:SYMBOL=N0098510&amp;VAR:INDEX=0"}</definedName>
    <definedName name="_7103__FDSAUDITLINK__" localSheetId="6" hidden="1">{"fdsup://directions/FAT Viewer?action=UPDATE&amp;creator=factset&amp;DYN_ARGS=TRUE&amp;DOC_NAME=FAT:FQL_AUDITING_CLIENT_TEMPLATE.FAT&amp;display_string=Audit&amp;VAR:KEY=HIPIVCBEXU&amp;VAR:QUERY=RkZfRUJJVERBX0lCKCdMVE1TJywzODYxMCk=&amp;WINDOW=FIRST_POPUP&amp;HEIGHT=450&amp;WIDTH=450&amp;START_MA","XIMIZED=FALSE&amp;VAR:CALENDAR=US&amp;VAR:SYMBOL=N0098510&amp;VAR:INDEX=0"}</definedName>
    <definedName name="_7103__FDSAUDITLINK__" hidden="1">{"fdsup://directions/FAT Viewer?action=UPDATE&amp;creator=factset&amp;DYN_ARGS=TRUE&amp;DOC_NAME=FAT:FQL_AUDITING_CLIENT_TEMPLATE.FAT&amp;display_string=Audit&amp;VAR:KEY=HIPIVCBEXU&amp;VAR:QUERY=RkZfRUJJVERBX0lCKCdMVE1TJywzODYxMCk=&amp;WINDOW=FIRST_POPUP&amp;HEIGHT=450&amp;WIDTH=450&amp;START_MA","XIMIZED=FALSE&amp;VAR:CALENDAR=US&amp;VAR:SYMBOL=N0098510&amp;VAR:INDEX=0"}</definedName>
    <definedName name="_7104__FDSAUDITLINK__" localSheetId="6" hidden="1">{"fdsup://directions/FAT Viewer?action=UPDATE&amp;creator=factset&amp;DYN_ARGS=TRUE&amp;DOC_NAME=FAT:FQL_AUDITING_CLIENT_TEMPLATE.FAT&amp;display_string=Audit&amp;VAR:KEY=TGNWXQPSVY&amp;VAR:QUERY=RkZfRUJJVERBX0lCKCdMVE1TJywzODYwOSk=&amp;WINDOW=FIRST_POPUP&amp;HEIGHT=450&amp;WIDTH=450&amp;START_MA","XIMIZED=FALSE&amp;VAR:CALENDAR=US&amp;VAR:SYMBOL=N0098510&amp;VAR:INDEX=0"}</definedName>
    <definedName name="_7104__FDSAUDITLINK__" hidden="1">{"fdsup://directions/FAT Viewer?action=UPDATE&amp;creator=factset&amp;DYN_ARGS=TRUE&amp;DOC_NAME=FAT:FQL_AUDITING_CLIENT_TEMPLATE.FAT&amp;display_string=Audit&amp;VAR:KEY=TGNWXQPSVY&amp;VAR:QUERY=RkZfRUJJVERBX0lCKCdMVE1TJywzODYwOSk=&amp;WINDOW=FIRST_POPUP&amp;HEIGHT=450&amp;WIDTH=450&amp;START_MA","XIMIZED=FALSE&amp;VAR:CALENDAR=US&amp;VAR:SYMBOL=N0098510&amp;VAR:INDEX=0"}</definedName>
    <definedName name="_7105__FDSAUDITLINK__" localSheetId="6" hidden="1">{"fdsup://directions/FAT Viewer?action=UPDATE&amp;creator=factset&amp;DYN_ARGS=TRUE&amp;DOC_NAME=FAT:FQL_AUDITING_CLIENT_TEMPLATE.FAT&amp;display_string=Audit&amp;VAR:KEY=HMVUNCPUNO&amp;VAR:QUERY=RkZfRUJJVERBX0lCKCdMVE1TJywzODYwOCk=&amp;WINDOW=FIRST_POPUP&amp;HEIGHT=450&amp;WIDTH=450&amp;START_MA","XIMIZED=FALSE&amp;VAR:CALENDAR=US&amp;VAR:SYMBOL=N0098510&amp;VAR:INDEX=0"}</definedName>
    <definedName name="_7105__FDSAUDITLINK__" hidden="1">{"fdsup://directions/FAT Viewer?action=UPDATE&amp;creator=factset&amp;DYN_ARGS=TRUE&amp;DOC_NAME=FAT:FQL_AUDITING_CLIENT_TEMPLATE.FAT&amp;display_string=Audit&amp;VAR:KEY=HMVUNCPUNO&amp;VAR:QUERY=RkZfRUJJVERBX0lCKCdMVE1TJywzODYwOCk=&amp;WINDOW=FIRST_POPUP&amp;HEIGHT=450&amp;WIDTH=450&amp;START_MA","XIMIZED=FALSE&amp;VAR:CALENDAR=US&amp;VAR:SYMBOL=N0098510&amp;VAR:INDEX=0"}</definedName>
    <definedName name="_7106__FDSAUDITLINK__" localSheetId="6" hidden="1">{"fdsup://directions/FAT Viewer?action=UPDATE&amp;creator=factset&amp;DYN_ARGS=TRUE&amp;DOC_NAME=FAT:FQL_AUDITING_CLIENT_TEMPLATE.FAT&amp;display_string=Audit&amp;VAR:KEY=NUNGTCHORW&amp;VAR:QUERY=RkZfRUJJVERBX0lCKCdMVE1TJywzODYwNyk=&amp;WINDOW=FIRST_POPUP&amp;HEIGHT=450&amp;WIDTH=450&amp;START_MA","XIMIZED=FALSE&amp;VAR:CALENDAR=US&amp;VAR:SYMBOL=N0098510&amp;VAR:INDEX=0"}</definedName>
    <definedName name="_7106__FDSAUDITLINK__" hidden="1">{"fdsup://directions/FAT Viewer?action=UPDATE&amp;creator=factset&amp;DYN_ARGS=TRUE&amp;DOC_NAME=FAT:FQL_AUDITING_CLIENT_TEMPLATE.FAT&amp;display_string=Audit&amp;VAR:KEY=NUNGTCHORW&amp;VAR:QUERY=RkZfRUJJVERBX0lCKCdMVE1TJywzODYwNyk=&amp;WINDOW=FIRST_POPUP&amp;HEIGHT=450&amp;WIDTH=450&amp;START_MA","XIMIZED=FALSE&amp;VAR:CALENDAR=US&amp;VAR:SYMBOL=N0098510&amp;VAR:INDEX=0"}</definedName>
    <definedName name="_7107__FDSAUDITLINK__" localSheetId="6" hidden="1">{"fdsup://directions/FAT Viewer?action=UPDATE&amp;creator=factset&amp;DYN_ARGS=TRUE&amp;DOC_NAME=FAT:FQL_AUDITING_CLIENT_TEMPLATE.FAT&amp;display_string=Audit&amp;VAR:KEY=FSNSLOFYLW&amp;VAR:QUERY=RkZfRUJJVERBX0lCKCdMVE1TJywzODYwNik=&amp;WINDOW=FIRST_POPUP&amp;HEIGHT=450&amp;WIDTH=450&amp;START_MA","XIMIZED=FALSE&amp;VAR:CALENDAR=US&amp;VAR:SYMBOL=N0098510&amp;VAR:INDEX=0"}</definedName>
    <definedName name="_7107__FDSAUDITLINK__" hidden="1">{"fdsup://directions/FAT Viewer?action=UPDATE&amp;creator=factset&amp;DYN_ARGS=TRUE&amp;DOC_NAME=FAT:FQL_AUDITING_CLIENT_TEMPLATE.FAT&amp;display_string=Audit&amp;VAR:KEY=FSNSLOFYLW&amp;VAR:QUERY=RkZfRUJJVERBX0lCKCdMVE1TJywzODYwNik=&amp;WINDOW=FIRST_POPUP&amp;HEIGHT=450&amp;WIDTH=450&amp;START_MA","XIMIZED=FALSE&amp;VAR:CALENDAR=US&amp;VAR:SYMBOL=N0098510&amp;VAR:INDEX=0"}</definedName>
    <definedName name="_7108__FDSAUDITLINK__" localSheetId="6" hidden="1">{"fdsup://directions/FAT Viewer?action=UPDATE&amp;creator=factset&amp;DYN_ARGS=TRUE&amp;DOC_NAME=FAT:FQL_AUDITING_CLIENT_TEMPLATE.FAT&amp;display_string=Audit&amp;VAR:KEY=BMJINQRGHK&amp;VAR:QUERY=RkZfRUJJVERBX0lCKCdMVE1TJywzODYwNSk=&amp;WINDOW=FIRST_POPUP&amp;HEIGHT=450&amp;WIDTH=450&amp;START_MA","XIMIZED=FALSE&amp;VAR:CALENDAR=US&amp;VAR:SYMBOL=N0098510&amp;VAR:INDEX=0"}</definedName>
    <definedName name="_7108__FDSAUDITLINK__" hidden="1">{"fdsup://directions/FAT Viewer?action=UPDATE&amp;creator=factset&amp;DYN_ARGS=TRUE&amp;DOC_NAME=FAT:FQL_AUDITING_CLIENT_TEMPLATE.FAT&amp;display_string=Audit&amp;VAR:KEY=BMJINQRGHK&amp;VAR:QUERY=RkZfRUJJVERBX0lCKCdMVE1TJywzODYwNSk=&amp;WINDOW=FIRST_POPUP&amp;HEIGHT=450&amp;WIDTH=450&amp;START_MA","XIMIZED=FALSE&amp;VAR:CALENDAR=US&amp;VAR:SYMBOL=N0098510&amp;VAR:INDEX=0"}</definedName>
    <definedName name="_7109__FDSAUDITLINK__" localSheetId="6" hidden="1">{"fdsup://directions/FAT Viewer?action=UPDATE&amp;creator=factset&amp;DYN_ARGS=TRUE&amp;DOC_NAME=FAT:FQL_AUDITING_CLIENT_TEMPLATE.FAT&amp;display_string=Audit&amp;VAR:KEY=VGLUBWJWPC&amp;VAR:QUERY=RkZfRUJJVERBX0lCKCdMVE1TJywzODYwNCk=&amp;WINDOW=FIRST_POPUP&amp;HEIGHT=450&amp;WIDTH=450&amp;START_MA","XIMIZED=FALSE&amp;VAR:CALENDAR=US&amp;VAR:SYMBOL=N0098510&amp;VAR:INDEX=0"}</definedName>
    <definedName name="_7109__FDSAUDITLINK__" hidden="1">{"fdsup://directions/FAT Viewer?action=UPDATE&amp;creator=factset&amp;DYN_ARGS=TRUE&amp;DOC_NAME=FAT:FQL_AUDITING_CLIENT_TEMPLATE.FAT&amp;display_string=Audit&amp;VAR:KEY=VGLUBWJWPC&amp;VAR:QUERY=RkZfRUJJVERBX0lCKCdMVE1TJywzODYwNCk=&amp;WINDOW=FIRST_POPUP&amp;HEIGHT=450&amp;WIDTH=450&amp;START_MA","XIMIZED=FALSE&amp;VAR:CALENDAR=US&amp;VAR:SYMBOL=N0098510&amp;VAR:INDEX=0"}</definedName>
    <definedName name="_711__FDSAUDITLINK__" localSheetId="6" hidden="1">{"fdsup://directions/FAT%20Viewer?VAR:PED=LTM&amp;VAR:AUDIT_MODE=SUMMARY&amp;VAR:PERIOD=FIXED&amp;VAR:AUDIT_ID=00000117&amp;VAR:DATE=20080312&amp;action=UPDATE&amp;creator=factset&amp;DOC_NAME=FAT:FMA_audit_SUMMARY.fat&amp;DISPLAY_STRING=Display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1__FDSAUDITLINK__" hidden="1">{"fdsup://directions/FAT%20Viewer?VAR:PED=LTM&amp;VAR:AUDIT_MODE=SUMMARY&amp;VAR:PERIOD=FIXED&amp;VAR:AUDIT_ID=00000117&amp;VAR:DATE=20080312&amp;action=UPDATE&amp;creator=factset&amp;DOC_NAME=FAT:FMA_audit_SUMMARY.fat&amp;DISPLAY_STRING=Display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10__FDSAUDITLINK__" localSheetId="6" hidden="1">{"fdsup://directions/FAT Viewer?action=UPDATE&amp;creator=factset&amp;DYN_ARGS=TRUE&amp;DOC_NAME=FAT:FQL_AUDITING_CLIENT_TEMPLATE.FAT&amp;display_string=Audit&amp;VAR:KEY=DKTYRMHMJG&amp;VAR:QUERY=RkZfRUJJVERBX0lCKCdMVE1TJywzODYwMyk=&amp;WINDOW=FIRST_POPUP&amp;HEIGHT=450&amp;WIDTH=450&amp;START_MA","XIMIZED=FALSE&amp;VAR:CALENDAR=US&amp;VAR:SYMBOL=N0098510&amp;VAR:INDEX=0"}</definedName>
    <definedName name="_7110__FDSAUDITLINK__" hidden="1">{"fdsup://directions/FAT Viewer?action=UPDATE&amp;creator=factset&amp;DYN_ARGS=TRUE&amp;DOC_NAME=FAT:FQL_AUDITING_CLIENT_TEMPLATE.FAT&amp;display_string=Audit&amp;VAR:KEY=DKTYRMHMJG&amp;VAR:QUERY=RkZfRUJJVERBX0lCKCdMVE1TJywzODYwMyk=&amp;WINDOW=FIRST_POPUP&amp;HEIGHT=450&amp;WIDTH=450&amp;START_MA","XIMIZED=FALSE&amp;VAR:CALENDAR=US&amp;VAR:SYMBOL=N0098510&amp;VAR:INDEX=0"}</definedName>
    <definedName name="_7111__FDSAUDITLINK__" localSheetId="6" hidden="1">{"fdsup://directions/FAT Viewer?action=UPDATE&amp;creator=factset&amp;DYN_ARGS=TRUE&amp;DOC_NAME=FAT:FQL_AUDITING_CLIENT_TEMPLATE.FAT&amp;display_string=Audit&amp;VAR:KEY=VCLIPQRUVO&amp;VAR:QUERY=RkZfRUJJVERBX0lCKCdMVE1TJywzODYwMik=&amp;WINDOW=FIRST_POPUP&amp;HEIGHT=450&amp;WIDTH=450&amp;START_MA","XIMIZED=FALSE&amp;VAR:CALENDAR=US&amp;VAR:SYMBOL=N0098510&amp;VAR:INDEX=0"}</definedName>
    <definedName name="_7111__FDSAUDITLINK__" hidden="1">{"fdsup://directions/FAT Viewer?action=UPDATE&amp;creator=factset&amp;DYN_ARGS=TRUE&amp;DOC_NAME=FAT:FQL_AUDITING_CLIENT_TEMPLATE.FAT&amp;display_string=Audit&amp;VAR:KEY=VCLIPQRUVO&amp;VAR:QUERY=RkZfRUJJVERBX0lCKCdMVE1TJywzODYwMik=&amp;WINDOW=FIRST_POPUP&amp;HEIGHT=450&amp;WIDTH=450&amp;START_MA","XIMIZED=FALSE&amp;VAR:CALENDAR=US&amp;VAR:SYMBOL=N0098510&amp;VAR:INDEX=0"}</definedName>
    <definedName name="_7112__FDSAUDITLINK__" localSheetId="6" hidden="1">{"fdsup://directions/FAT Viewer?action=UPDATE&amp;creator=factset&amp;DYN_ARGS=TRUE&amp;DOC_NAME=FAT:FQL_AUDITING_CLIENT_TEMPLATE.FAT&amp;display_string=Audit&amp;VAR:KEY=TMXGNGDIBO&amp;VAR:QUERY=RkZfRUJJVERBX0lCKCdMVE1TJywzODYwMSk=&amp;WINDOW=FIRST_POPUP&amp;HEIGHT=450&amp;WIDTH=450&amp;START_MA","XIMIZED=FALSE&amp;VAR:CALENDAR=US&amp;VAR:SYMBOL=N0098510&amp;VAR:INDEX=0"}</definedName>
    <definedName name="_7112__FDSAUDITLINK__" hidden="1">{"fdsup://directions/FAT Viewer?action=UPDATE&amp;creator=factset&amp;DYN_ARGS=TRUE&amp;DOC_NAME=FAT:FQL_AUDITING_CLIENT_TEMPLATE.FAT&amp;display_string=Audit&amp;VAR:KEY=TMXGNGDIBO&amp;VAR:QUERY=RkZfRUJJVERBX0lCKCdMVE1TJywzODYwMSk=&amp;WINDOW=FIRST_POPUP&amp;HEIGHT=450&amp;WIDTH=450&amp;START_MA","XIMIZED=FALSE&amp;VAR:CALENDAR=US&amp;VAR:SYMBOL=N0098510&amp;VAR:INDEX=0"}</definedName>
    <definedName name="_7113__FDSAUDITLINK__" localSheetId="6" hidden="1">{"fdsup://directions/FAT Viewer?action=UPDATE&amp;creator=factset&amp;DYN_ARGS=TRUE&amp;DOC_NAME=FAT:FQL_AUDITING_CLIENT_TEMPLATE.FAT&amp;display_string=Audit&amp;VAR:KEY=DAHUHUHAPC&amp;VAR:QUERY=RkZfRUJJVERBX0lCKCdMVE1TJywzODYwMCk=&amp;WINDOW=FIRST_POPUP&amp;HEIGHT=450&amp;WIDTH=450&amp;START_MA","XIMIZED=FALSE&amp;VAR:CALENDAR=US&amp;VAR:SYMBOL=N0098510&amp;VAR:INDEX=0"}</definedName>
    <definedName name="_7113__FDSAUDITLINK__" hidden="1">{"fdsup://directions/FAT Viewer?action=UPDATE&amp;creator=factset&amp;DYN_ARGS=TRUE&amp;DOC_NAME=FAT:FQL_AUDITING_CLIENT_TEMPLATE.FAT&amp;display_string=Audit&amp;VAR:KEY=DAHUHUHAPC&amp;VAR:QUERY=RkZfRUJJVERBX0lCKCdMVE1TJywzODYwMCk=&amp;WINDOW=FIRST_POPUP&amp;HEIGHT=450&amp;WIDTH=450&amp;START_MA","XIMIZED=FALSE&amp;VAR:CALENDAR=US&amp;VAR:SYMBOL=N0098510&amp;VAR:INDEX=0"}</definedName>
    <definedName name="_7114__FDSAUDITLINK__" localSheetId="6" hidden="1">{"fdsup://directions/FAT Viewer?action=UPDATE&amp;creator=factset&amp;DYN_ARGS=TRUE&amp;DOC_NAME=FAT:FQL_AUDITING_CLIENT_TEMPLATE.FAT&amp;display_string=Audit&amp;VAR:KEY=ZWFKJQLEBK&amp;VAR:QUERY=RkZfRUJJVERBX0lCKCdMVE1TJywzODU5OSk=&amp;WINDOW=FIRST_POPUP&amp;HEIGHT=450&amp;WIDTH=450&amp;START_MA","XIMIZED=FALSE&amp;VAR:CALENDAR=US&amp;VAR:SYMBOL=N0098510&amp;VAR:INDEX=0"}</definedName>
    <definedName name="_7114__FDSAUDITLINK__" hidden="1">{"fdsup://directions/FAT Viewer?action=UPDATE&amp;creator=factset&amp;DYN_ARGS=TRUE&amp;DOC_NAME=FAT:FQL_AUDITING_CLIENT_TEMPLATE.FAT&amp;display_string=Audit&amp;VAR:KEY=ZWFKJQLEBK&amp;VAR:QUERY=RkZfRUJJVERBX0lCKCdMVE1TJywzODU5OSk=&amp;WINDOW=FIRST_POPUP&amp;HEIGHT=450&amp;WIDTH=450&amp;START_MA","XIMIZED=FALSE&amp;VAR:CALENDAR=US&amp;VAR:SYMBOL=N0098510&amp;VAR:INDEX=0"}</definedName>
    <definedName name="_7115__FDSAUDITLINK__" localSheetId="6" hidden="1">{"fdsup://directions/FAT Viewer?action=UPDATE&amp;creator=factset&amp;DYN_ARGS=TRUE&amp;DOC_NAME=FAT:FQL_AUDITING_CLIENT_TEMPLATE.FAT&amp;display_string=Audit&amp;VAR:KEY=XUXAFMJWPW&amp;VAR:QUERY=RkZfRUJJVERBX0lCKCdMVE1TJywzODU5OCk=&amp;WINDOW=FIRST_POPUP&amp;HEIGHT=450&amp;WIDTH=450&amp;START_MA","XIMIZED=FALSE&amp;VAR:CALENDAR=US&amp;VAR:SYMBOL=N0098510&amp;VAR:INDEX=0"}</definedName>
    <definedName name="_7115__FDSAUDITLINK__" hidden="1">{"fdsup://directions/FAT Viewer?action=UPDATE&amp;creator=factset&amp;DYN_ARGS=TRUE&amp;DOC_NAME=FAT:FQL_AUDITING_CLIENT_TEMPLATE.FAT&amp;display_string=Audit&amp;VAR:KEY=XUXAFMJWPW&amp;VAR:QUERY=RkZfRUJJVERBX0lCKCdMVE1TJywzODU5OCk=&amp;WINDOW=FIRST_POPUP&amp;HEIGHT=450&amp;WIDTH=450&amp;START_MA","XIMIZED=FALSE&amp;VAR:CALENDAR=US&amp;VAR:SYMBOL=N0098510&amp;VAR:INDEX=0"}</definedName>
    <definedName name="_7116__FDSAUDITLINK__" localSheetId="6" hidden="1">{"fdsup://directions/FAT Viewer?action=UPDATE&amp;creator=factset&amp;DYN_ARGS=TRUE&amp;DOC_NAME=FAT:FQL_AUDITING_CLIENT_TEMPLATE.FAT&amp;display_string=Audit&amp;VAR:KEY=FSRIPUBYJG&amp;VAR:QUERY=RkZfRUJJVERBX0lCKCdMVE1TJywzODU5Nyk=&amp;WINDOW=FIRST_POPUP&amp;HEIGHT=450&amp;WIDTH=450&amp;START_MA","XIMIZED=FALSE&amp;VAR:CALENDAR=US&amp;VAR:SYMBOL=N0098510&amp;VAR:INDEX=0"}</definedName>
    <definedName name="_7116__FDSAUDITLINK__" hidden="1">{"fdsup://directions/FAT Viewer?action=UPDATE&amp;creator=factset&amp;DYN_ARGS=TRUE&amp;DOC_NAME=FAT:FQL_AUDITING_CLIENT_TEMPLATE.FAT&amp;display_string=Audit&amp;VAR:KEY=FSRIPUBYJG&amp;VAR:QUERY=RkZfRUJJVERBX0lCKCdMVE1TJywzODU5Nyk=&amp;WINDOW=FIRST_POPUP&amp;HEIGHT=450&amp;WIDTH=450&amp;START_MA","XIMIZED=FALSE&amp;VAR:CALENDAR=US&amp;VAR:SYMBOL=N0098510&amp;VAR:INDEX=0"}</definedName>
    <definedName name="_7117__FDSAUDITLINK__" localSheetId="6" hidden="1">{"fdsup://directions/FAT Viewer?action=UPDATE&amp;creator=factset&amp;DYN_ARGS=TRUE&amp;DOC_NAME=FAT:FQL_AUDITING_CLIENT_TEMPLATE.FAT&amp;display_string=Audit&amp;VAR:KEY=BKBYVSHWBM&amp;VAR:QUERY=RkZfRUJJVERBX0lCKCdMVE1TJywzODU5Nik=&amp;WINDOW=FIRST_POPUP&amp;HEIGHT=450&amp;WIDTH=450&amp;START_MA","XIMIZED=FALSE&amp;VAR:CALENDAR=US&amp;VAR:SYMBOL=N0098510&amp;VAR:INDEX=0"}</definedName>
    <definedName name="_7117__FDSAUDITLINK__" hidden="1">{"fdsup://directions/FAT Viewer?action=UPDATE&amp;creator=factset&amp;DYN_ARGS=TRUE&amp;DOC_NAME=FAT:FQL_AUDITING_CLIENT_TEMPLATE.FAT&amp;display_string=Audit&amp;VAR:KEY=BKBYVSHWBM&amp;VAR:QUERY=RkZfRUJJVERBX0lCKCdMVE1TJywzODU5Nik=&amp;WINDOW=FIRST_POPUP&amp;HEIGHT=450&amp;WIDTH=450&amp;START_MA","XIMIZED=FALSE&amp;VAR:CALENDAR=US&amp;VAR:SYMBOL=N0098510&amp;VAR:INDEX=0"}</definedName>
    <definedName name="_7118__FDSAUDITLINK__" localSheetId="6" hidden="1">{"fdsup://directions/FAT Viewer?action=UPDATE&amp;creator=factset&amp;DYN_ARGS=TRUE&amp;DOC_NAME=FAT:FQL_AUDITING_CLIENT_TEMPLATE.FAT&amp;display_string=Audit&amp;VAR:KEY=ROVCVMHAHY&amp;VAR:QUERY=RkZfRUJJVERBX0lCKCdMVE1TJywzODU5NSk=&amp;WINDOW=FIRST_POPUP&amp;HEIGHT=450&amp;WIDTH=450&amp;START_MA","XIMIZED=FALSE&amp;VAR:CALENDAR=US&amp;VAR:SYMBOL=N0098510&amp;VAR:INDEX=0"}</definedName>
    <definedName name="_7118__FDSAUDITLINK__" hidden="1">{"fdsup://directions/FAT Viewer?action=UPDATE&amp;creator=factset&amp;DYN_ARGS=TRUE&amp;DOC_NAME=FAT:FQL_AUDITING_CLIENT_TEMPLATE.FAT&amp;display_string=Audit&amp;VAR:KEY=ROVCVMHAHY&amp;VAR:QUERY=RkZfRUJJVERBX0lCKCdMVE1TJywzODU5NSk=&amp;WINDOW=FIRST_POPUP&amp;HEIGHT=450&amp;WIDTH=450&amp;START_MA","XIMIZED=FALSE&amp;VAR:CALENDAR=US&amp;VAR:SYMBOL=N0098510&amp;VAR:INDEX=0"}</definedName>
    <definedName name="_7119__FDSAUDITLINK__" localSheetId="6" hidden="1">{"fdsup://directions/FAT Viewer?action=UPDATE&amp;creator=factset&amp;DYN_ARGS=TRUE&amp;DOC_NAME=FAT:FQL_AUDITING_CLIENT_TEMPLATE.FAT&amp;display_string=Audit&amp;VAR:KEY=ZEXGPIJKFO&amp;VAR:QUERY=RkZfRUJJVERBX0lCKCdMVE1TJywzODU5NCk=&amp;WINDOW=FIRST_POPUP&amp;HEIGHT=450&amp;WIDTH=450&amp;START_MA","XIMIZED=FALSE&amp;VAR:CALENDAR=US&amp;VAR:SYMBOL=N0098510&amp;VAR:INDEX=0"}</definedName>
    <definedName name="_7119__FDSAUDITLINK__" hidden="1">{"fdsup://directions/FAT Viewer?action=UPDATE&amp;creator=factset&amp;DYN_ARGS=TRUE&amp;DOC_NAME=FAT:FQL_AUDITING_CLIENT_TEMPLATE.FAT&amp;display_string=Audit&amp;VAR:KEY=ZEXGPIJKFO&amp;VAR:QUERY=RkZfRUJJVERBX0lCKCdMVE1TJywzODU5NCk=&amp;WINDOW=FIRST_POPUP&amp;HEIGHT=450&amp;WIDTH=450&amp;START_MA","XIMIZED=FALSE&amp;VAR:CALENDAR=US&amp;VAR:SYMBOL=N0098510&amp;VAR:INDEX=0"}</definedName>
    <definedName name="_712__FDSAUDITLINK__" localSheetId="6" hidden="1">{"fdsup://directions/FAT%20Viewer?VAR:PED=LTM&amp;VAR:AUDIT_MODE=SUMMARY&amp;VAR:PERIOD=FIXED&amp;VAR:AUDIT_ID=00000117&amp;VAR:DATE=20080311&amp;action=UPDATE&amp;creator=factset&amp;DOC_NAME=FAT:FMA_audit_SUMMARY.fat&amp;DISPLAY_STRING=Display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2__FDSAUDITLINK__" hidden="1">{"fdsup://directions/FAT%20Viewer?VAR:PED=LTM&amp;VAR:AUDIT_MODE=SUMMARY&amp;VAR:PERIOD=FIXED&amp;VAR:AUDIT_ID=00000117&amp;VAR:DATE=20080311&amp;action=UPDATE&amp;creator=factset&amp;DOC_NAME=FAT:FMA_audit_SUMMARY.fat&amp;DISPLAY_STRING=Display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20__FDSAUDITLINK__" localSheetId="6" hidden="1">{"fdsup://directions/FAT Viewer?action=UPDATE&amp;creator=factset&amp;DYN_ARGS=TRUE&amp;DOC_NAME=FAT:FQL_AUDITING_CLIENT_TEMPLATE.FAT&amp;display_string=Audit&amp;VAR:KEY=PQDANURINS&amp;VAR:QUERY=RkZfRUJJVERBX0lCKCdMVE1TJywzODU5Myk=&amp;WINDOW=FIRST_POPUP&amp;HEIGHT=450&amp;WIDTH=450&amp;START_MA","XIMIZED=FALSE&amp;VAR:CALENDAR=US&amp;VAR:SYMBOL=N0098510&amp;VAR:INDEX=0"}</definedName>
    <definedName name="_7120__FDSAUDITLINK__" hidden="1">{"fdsup://directions/FAT Viewer?action=UPDATE&amp;creator=factset&amp;DYN_ARGS=TRUE&amp;DOC_NAME=FAT:FQL_AUDITING_CLIENT_TEMPLATE.FAT&amp;display_string=Audit&amp;VAR:KEY=PQDANURINS&amp;VAR:QUERY=RkZfRUJJVERBX0lCKCdMVE1TJywzODU5Myk=&amp;WINDOW=FIRST_POPUP&amp;HEIGHT=450&amp;WIDTH=450&amp;START_MA","XIMIZED=FALSE&amp;VAR:CALENDAR=US&amp;VAR:SYMBOL=N0098510&amp;VAR:INDEX=0"}</definedName>
    <definedName name="_7121__FDSAUDITLINK__" localSheetId="6" hidden="1">{"fdsup://directions/FAT Viewer?action=UPDATE&amp;creator=factset&amp;DYN_ARGS=TRUE&amp;DOC_NAME=FAT:FQL_AUDITING_CLIENT_TEMPLATE.FAT&amp;display_string=Audit&amp;VAR:KEY=ZONMHIPQHC&amp;VAR:QUERY=RkZfRUJJVERBX0lCKCdMVE1TJywzODU5Mik=&amp;WINDOW=FIRST_POPUP&amp;HEIGHT=450&amp;WIDTH=450&amp;START_MA","XIMIZED=FALSE&amp;VAR:CALENDAR=US&amp;VAR:SYMBOL=N0098510&amp;VAR:INDEX=0"}</definedName>
    <definedName name="_7121__FDSAUDITLINK__" hidden="1">{"fdsup://directions/FAT Viewer?action=UPDATE&amp;creator=factset&amp;DYN_ARGS=TRUE&amp;DOC_NAME=FAT:FQL_AUDITING_CLIENT_TEMPLATE.FAT&amp;display_string=Audit&amp;VAR:KEY=ZONMHIPQHC&amp;VAR:QUERY=RkZfRUJJVERBX0lCKCdMVE1TJywzODU5Mik=&amp;WINDOW=FIRST_POPUP&amp;HEIGHT=450&amp;WIDTH=450&amp;START_MA","XIMIZED=FALSE&amp;VAR:CALENDAR=US&amp;VAR:SYMBOL=N0098510&amp;VAR:INDEX=0"}</definedName>
    <definedName name="_7122__FDSAUDITLINK__" localSheetId="6" hidden="1">{"fdsup://directions/FAT Viewer?action=UPDATE&amp;creator=factset&amp;DYN_ARGS=TRUE&amp;DOC_NAME=FAT:FQL_AUDITING_CLIENT_TEMPLATE.FAT&amp;display_string=Audit&amp;VAR:KEY=DSHCFMLOZE&amp;VAR:QUERY=RkZfRUJJVERBX0lCKCdMVE1TJywzODU5MSk=&amp;WINDOW=FIRST_POPUP&amp;HEIGHT=450&amp;WIDTH=450&amp;START_MA","XIMIZED=FALSE&amp;VAR:CALENDAR=US&amp;VAR:SYMBOL=N0098510&amp;VAR:INDEX=0"}</definedName>
    <definedName name="_7122__FDSAUDITLINK__" hidden="1">{"fdsup://directions/FAT Viewer?action=UPDATE&amp;creator=factset&amp;DYN_ARGS=TRUE&amp;DOC_NAME=FAT:FQL_AUDITING_CLIENT_TEMPLATE.FAT&amp;display_string=Audit&amp;VAR:KEY=DSHCFMLOZE&amp;VAR:QUERY=RkZfRUJJVERBX0lCKCdMVE1TJywzODU5MSk=&amp;WINDOW=FIRST_POPUP&amp;HEIGHT=450&amp;WIDTH=450&amp;START_MA","XIMIZED=FALSE&amp;VAR:CALENDAR=US&amp;VAR:SYMBOL=N0098510&amp;VAR:INDEX=0"}</definedName>
    <definedName name="_7123__FDSAUDITLINK__" localSheetId="6" hidden="1">{"fdsup://directions/FAT Viewer?action=UPDATE&amp;creator=factset&amp;DYN_ARGS=TRUE&amp;DOC_NAME=FAT:FQL_AUDITING_CLIENT_TEMPLATE.FAT&amp;display_string=Audit&amp;VAR:KEY=RKDKDUJEJA&amp;VAR:QUERY=RkZfRUJJVERBX0lCKCdMVE1TJywzODU5MCk=&amp;WINDOW=FIRST_POPUP&amp;HEIGHT=450&amp;WIDTH=450&amp;START_MA","XIMIZED=FALSE&amp;VAR:CALENDAR=US&amp;VAR:SYMBOL=N0098510&amp;VAR:INDEX=0"}</definedName>
    <definedName name="_7123__FDSAUDITLINK__" hidden="1">{"fdsup://directions/FAT Viewer?action=UPDATE&amp;creator=factset&amp;DYN_ARGS=TRUE&amp;DOC_NAME=FAT:FQL_AUDITING_CLIENT_TEMPLATE.FAT&amp;display_string=Audit&amp;VAR:KEY=RKDKDUJEJA&amp;VAR:QUERY=RkZfRUJJVERBX0lCKCdMVE1TJywzODU5MCk=&amp;WINDOW=FIRST_POPUP&amp;HEIGHT=450&amp;WIDTH=450&amp;START_MA","XIMIZED=FALSE&amp;VAR:CALENDAR=US&amp;VAR:SYMBOL=N0098510&amp;VAR:INDEX=0"}</definedName>
    <definedName name="_7124__FDSAUDITLINK__" localSheetId="6" hidden="1">{"fdsup://directions/FAT Viewer?action=UPDATE&amp;creator=factset&amp;DYN_ARGS=TRUE&amp;DOC_NAME=FAT:FQL_AUDITING_CLIENT_TEMPLATE.FAT&amp;display_string=Audit&amp;VAR:KEY=FYPIJKDGZI&amp;VAR:QUERY=RkZfRUJJVERBX0lCKCdMVE1TJywzODU4OSk=&amp;WINDOW=FIRST_POPUP&amp;HEIGHT=450&amp;WIDTH=450&amp;START_MA","XIMIZED=FALSE&amp;VAR:CALENDAR=US&amp;VAR:SYMBOL=N0098510&amp;VAR:INDEX=0"}</definedName>
    <definedName name="_7124__FDSAUDITLINK__" hidden="1">{"fdsup://directions/FAT Viewer?action=UPDATE&amp;creator=factset&amp;DYN_ARGS=TRUE&amp;DOC_NAME=FAT:FQL_AUDITING_CLIENT_TEMPLATE.FAT&amp;display_string=Audit&amp;VAR:KEY=FYPIJKDGZI&amp;VAR:QUERY=RkZfRUJJVERBX0lCKCdMVE1TJywzODU4OSk=&amp;WINDOW=FIRST_POPUP&amp;HEIGHT=450&amp;WIDTH=450&amp;START_MA","XIMIZED=FALSE&amp;VAR:CALENDAR=US&amp;VAR:SYMBOL=N0098510&amp;VAR:INDEX=0"}</definedName>
    <definedName name="_7125__FDSAUDITLINK__" localSheetId="6" hidden="1">{"fdsup://directions/FAT Viewer?action=UPDATE&amp;creator=factset&amp;DYN_ARGS=TRUE&amp;DOC_NAME=FAT:FQL_AUDITING_CLIENT_TEMPLATE.FAT&amp;display_string=Audit&amp;VAR:KEY=NOVQZSJGPO&amp;VAR:QUERY=RkZfRUJJVERBX0lCKCdMVE1TJywzODU4OCk=&amp;WINDOW=FIRST_POPUP&amp;HEIGHT=450&amp;WIDTH=450&amp;START_MA","XIMIZED=FALSE&amp;VAR:CALENDAR=US&amp;VAR:SYMBOL=N0098510&amp;VAR:INDEX=0"}</definedName>
    <definedName name="_7125__FDSAUDITLINK__" hidden="1">{"fdsup://directions/FAT Viewer?action=UPDATE&amp;creator=factset&amp;DYN_ARGS=TRUE&amp;DOC_NAME=FAT:FQL_AUDITING_CLIENT_TEMPLATE.FAT&amp;display_string=Audit&amp;VAR:KEY=NOVQZSJGPO&amp;VAR:QUERY=RkZfRUJJVERBX0lCKCdMVE1TJywzODU4OCk=&amp;WINDOW=FIRST_POPUP&amp;HEIGHT=450&amp;WIDTH=450&amp;START_MA","XIMIZED=FALSE&amp;VAR:CALENDAR=US&amp;VAR:SYMBOL=N0098510&amp;VAR:INDEX=0"}</definedName>
    <definedName name="_7126__FDSAUDITLINK__" localSheetId="6" hidden="1">{"fdsup://directions/FAT Viewer?action=UPDATE&amp;creator=factset&amp;DYN_ARGS=TRUE&amp;DOC_NAME=FAT:FQL_AUDITING_CLIENT_TEMPLATE.FAT&amp;display_string=Audit&amp;VAR:KEY=HANURMFSLM&amp;VAR:QUERY=RkZfRUJJVERBX0lCKCdMVE1TJywzODU4Nyk=&amp;WINDOW=FIRST_POPUP&amp;HEIGHT=450&amp;WIDTH=450&amp;START_MA","XIMIZED=FALSE&amp;VAR:CALENDAR=US&amp;VAR:SYMBOL=N0098510&amp;VAR:INDEX=0"}</definedName>
    <definedName name="_7126__FDSAUDITLINK__" hidden="1">{"fdsup://directions/FAT Viewer?action=UPDATE&amp;creator=factset&amp;DYN_ARGS=TRUE&amp;DOC_NAME=FAT:FQL_AUDITING_CLIENT_TEMPLATE.FAT&amp;display_string=Audit&amp;VAR:KEY=HANURMFSLM&amp;VAR:QUERY=RkZfRUJJVERBX0lCKCdMVE1TJywzODU4Nyk=&amp;WINDOW=FIRST_POPUP&amp;HEIGHT=450&amp;WIDTH=450&amp;START_MA","XIMIZED=FALSE&amp;VAR:CALENDAR=US&amp;VAR:SYMBOL=N0098510&amp;VAR:INDEX=0"}</definedName>
    <definedName name="_7127__FDSAUDITLINK__" localSheetId="6" hidden="1">{"fdsup://directions/FAT Viewer?action=UPDATE&amp;creator=factset&amp;DYN_ARGS=TRUE&amp;DOC_NAME=FAT:FQL_AUDITING_CLIENT_TEMPLATE.FAT&amp;display_string=Audit&amp;VAR:KEY=LIRUBOVKPI&amp;VAR:QUERY=RkZfRUJJVERBX0lCKCdMVE1TJywzODU4Nik=&amp;WINDOW=FIRST_POPUP&amp;HEIGHT=450&amp;WIDTH=450&amp;START_MA","XIMIZED=FALSE&amp;VAR:CALENDAR=US&amp;VAR:SYMBOL=N0098510&amp;VAR:INDEX=0"}</definedName>
    <definedName name="_7127__FDSAUDITLINK__" hidden="1">{"fdsup://directions/FAT Viewer?action=UPDATE&amp;creator=factset&amp;DYN_ARGS=TRUE&amp;DOC_NAME=FAT:FQL_AUDITING_CLIENT_TEMPLATE.FAT&amp;display_string=Audit&amp;VAR:KEY=LIRUBOVKPI&amp;VAR:QUERY=RkZfRUJJVERBX0lCKCdMVE1TJywzODU4Nik=&amp;WINDOW=FIRST_POPUP&amp;HEIGHT=450&amp;WIDTH=450&amp;START_MA","XIMIZED=FALSE&amp;VAR:CALENDAR=US&amp;VAR:SYMBOL=N0098510&amp;VAR:INDEX=0"}</definedName>
    <definedName name="_7128__FDSAUDITLINK__" localSheetId="6" hidden="1">{"fdsup://directions/FAT Viewer?action=UPDATE&amp;creator=factset&amp;DYN_ARGS=TRUE&amp;DOC_NAME=FAT:FQL_AUDITING_CLIENT_TEMPLATE.FAT&amp;display_string=Audit&amp;VAR:KEY=HQLQNQHWDG&amp;VAR:QUERY=RkZfRUJJVERBX0lCKCdMVE1TJywzODU4NSk=&amp;WINDOW=FIRST_POPUP&amp;HEIGHT=450&amp;WIDTH=450&amp;START_MA","XIMIZED=FALSE&amp;VAR:CALENDAR=US&amp;VAR:SYMBOL=N0098510&amp;VAR:INDEX=0"}</definedName>
    <definedName name="_7128__FDSAUDITLINK__" hidden="1">{"fdsup://directions/FAT Viewer?action=UPDATE&amp;creator=factset&amp;DYN_ARGS=TRUE&amp;DOC_NAME=FAT:FQL_AUDITING_CLIENT_TEMPLATE.FAT&amp;display_string=Audit&amp;VAR:KEY=HQLQNQHWDG&amp;VAR:QUERY=RkZfRUJJVERBX0lCKCdMVE1TJywzODU4NSk=&amp;WINDOW=FIRST_POPUP&amp;HEIGHT=450&amp;WIDTH=450&amp;START_MA","XIMIZED=FALSE&amp;VAR:CALENDAR=US&amp;VAR:SYMBOL=N0098510&amp;VAR:INDEX=0"}</definedName>
    <definedName name="_7129__FDSAUDITLINK__" localSheetId="6" hidden="1">{"fdsup://directions/FAT Viewer?action=UPDATE&amp;creator=factset&amp;DYN_ARGS=TRUE&amp;DOC_NAME=FAT:FQL_AUDITING_CLIENT_TEMPLATE.FAT&amp;display_string=Audit&amp;VAR:KEY=HEBEXWVMXG&amp;VAR:QUERY=RkZfRUJJVERBX0lCKCdMVE1TJywzODU4NCk=&amp;WINDOW=FIRST_POPUP&amp;HEIGHT=450&amp;WIDTH=450&amp;START_MA","XIMIZED=FALSE&amp;VAR:CALENDAR=US&amp;VAR:SYMBOL=N0098510&amp;VAR:INDEX=0"}</definedName>
    <definedName name="_7129__FDSAUDITLINK__" hidden="1">{"fdsup://directions/FAT Viewer?action=UPDATE&amp;creator=factset&amp;DYN_ARGS=TRUE&amp;DOC_NAME=FAT:FQL_AUDITING_CLIENT_TEMPLATE.FAT&amp;display_string=Audit&amp;VAR:KEY=HEBEXWVMXG&amp;VAR:QUERY=RkZfRUJJVERBX0lCKCdMVE1TJywzODU4NCk=&amp;WINDOW=FIRST_POPUP&amp;HEIGHT=450&amp;WIDTH=450&amp;START_MA","XIMIZED=FALSE&amp;VAR:CALENDAR=US&amp;VAR:SYMBOL=N0098510&amp;VAR:INDEX=0"}</definedName>
    <definedName name="_713__FDSAUDITLINK__" localSheetId="6" hidden="1">{"fdsup://directions/FAT%20Viewer?VAR:PED=LTM&amp;VAR:AUDIT_MODE=SUMMARY&amp;VAR:PERIOD=FIXED&amp;VAR:AUDIT_ID=00000117&amp;VAR:DATE=20080310&amp;action=UPDATE&amp;creator=factset&amp;DOC_NAME=FAT:FMA_audit_SUMMARY.fat&amp;DISPLAY_STRING=Display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3__FDSAUDITLINK__" hidden="1">{"fdsup://directions/FAT%20Viewer?VAR:PED=LTM&amp;VAR:AUDIT_MODE=SUMMARY&amp;VAR:PERIOD=FIXED&amp;VAR:AUDIT_ID=00000117&amp;VAR:DATE=20080310&amp;action=UPDATE&amp;creator=factset&amp;DOC_NAME=FAT:FMA_audit_SUMMARY.fat&amp;DISPLAY_STRING=Display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30__FDSAUDITLINK__" localSheetId="6" hidden="1">{"fdsup://directions/FAT Viewer?action=UPDATE&amp;creator=factset&amp;DYN_ARGS=TRUE&amp;DOC_NAME=FAT:FQL_AUDITING_CLIENT_TEMPLATE.FAT&amp;display_string=Audit&amp;VAR:KEY=NSNEJQZQNG&amp;VAR:QUERY=RkZfRUJJVERBX0lCKCdMVE1TJywzODU4Myk=&amp;WINDOW=FIRST_POPUP&amp;HEIGHT=450&amp;WIDTH=450&amp;START_MA","XIMIZED=FALSE&amp;VAR:CALENDAR=US&amp;VAR:SYMBOL=N0098510&amp;VAR:INDEX=0"}</definedName>
    <definedName name="_7130__FDSAUDITLINK__" hidden="1">{"fdsup://directions/FAT Viewer?action=UPDATE&amp;creator=factset&amp;DYN_ARGS=TRUE&amp;DOC_NAME=FAT:FQL_AUDITING_CLIENT_TEMPLATE.FAT&amp;display_string=Audit&amp;VAR:KEY=NSNEJQZQNG&amp;VAR:QUERY=RkZfRUJJVERBX0lCKCdMVE1TJywzODU4Myk=&amp;WINDOW=FIRST_POPUP&amp;HEIGHT=450&amp;WIDTH=450&amp;START_MA","XIMIZED=FALSE&amp;VAR:CALENDAR=US&amp;VAR:SYMBOL=N0098510&amp;VAR:INDEX=0"}</definedName>
    <definedName name="_7131__FDSAUDITLINK__" localSheetId="6" hidden="1">{"fdsup://directions/FAT Viewer?action=UPDATE&amp;creator=factset&amp;DYN_ARGS=TRUE&amp;DOC_NAME=FAT:FQL_AUDITING_CLIENT_TEMPLATE.FAT&amp;display_string=Audit&amp;VAR:KEY=PQZWXAZYHY&amp;VAR:QUERY=RkZfRUJJVERBX0lCKCdMVE1TJywzODU4Mik=&amp;WINDOW=FIRST_POPUP&amp;HEIGHT=450&amp;WIDTH=450&amp;START_MA","XIMIZED=FALSE&amp;VAR:CALENDAR=US&amp;VAR:SYMBOL=N0098510&amp;VAR:INDEX=0"}</definedName>
    <definedName name="_7131__FDSAUDITLINK__" hidden="1">{"fdsup://directions/FAT Viewer?action=UPDATE&amp;creator=factset&amp;DYN_ARGS=TRUE&amp;DOC_NAME=FAT:FQL_AUDITING_CLIENT_TEMPLATE.FAT&amp;display_string=Audit&amp;VAR:KEY=PQZWXAZYHY&amp;VAR:QUERY=RkZfRUJJVERBX0lCKCdMVE1TJywzODU4Mik=&amp;WINDOW=FIRST_POPUP&amp;HEIGHT=450&amp;WIDTH=450&amp;START_MA","XIMIZED=FALSE&amp;VAR:CALENDAR=US&amp;VAR:SYMBOL=N0098510&amp;VAR:INDEX=0"}</definedName>
    <definedName name="_7132__FDSAUDITLINK__" localSheetId="6" hidden="1">{"fdsup://directions/FAT Viewer?action=UPDATE&amp;creator=factset&amp;DYN_ARGS=TRUE&amp;DOC_NAME=FAT:FQL_AUDITING_CLIENT_TEMPLATE.FAT&amp;display_string=Audit&amp;VAR:KEY=TIFKVATOBU&amp;VAR:QUERY=RkZfRUJJVERBX0lCKCdMVE1TJywzODU4MSk=&amp;WINDOW=FIRST_POPUP&amp;HEIGHT=450&amp;WIDTH=450&amp;START_MA","XIMIZED=FALSE&amp;VAR:CALENDAR=US&amp;VAR:SYMBOL=N0098510&amp;VAR:INDEX=0"}</definedName>
    <definedName name="_7132__FDSAUDITLINK__" hidden="1">{"fdsup://directions/FAT Viewer?action=UPDATE&amp;creator=factset&amp;DYN_ARGS=TRUE&amp;DOC_NAME=FAT:FQL_AUDITING_CLIENT_TEMPLATE.FAT&amp;display_string=Audit&amp;VAR:KEY=TIFKVATOBU&amp;VAR:QUERY=RkZfRUJJVERBX0lCKCdMVE1TJywzODU4MSk=&amp;WINDOW=FIRST_POPUP&amp;HEIGHT=450&amp;WIDTH=450&amp;START_MA","XIMIZED=FALSE&amp;VAR:CALENDAR=US&amp;VAR:SYMBOL=N0098510&amp;VAR:INDEX=0"}</definedName>
    <definedName name="_7133__FDSAUDITLINK__" localSheetId="6" hidden="1">{"fdsup://directions/FAT Viewer?action=UPDATE&amp;creator=factset&amp;DYN_ARGS=TRUE&amp;DOC_NAME=FAT:FQL_AUDITING_CLIENT_TEMPLATE.FAT&amp;display_string=Audit&amp;VAR:KEY=HIPEFIRWHA&amp;VAR:QUERY=RkZfRUJJVERBX0lCKCdMVE1TJywzODU4MCk=&amp;WINDOW=FIRST_POPUP&amp;HEIGHT=450&amp;WIDTH=450&amp;START_MA","XIMIZED=FALSE&amp;VAR:CALENDAR=US&amp;VAR:SYMBOL=N0098510&amp;VAR:INDEX=0"}</definedName>
    <definedName name="_7133__FDSAUDITLINK__" hidden="1">{"fdsup://directions/FAT Viewer?action=UPDATE&amp;creator=factset&amp;DYN_ARGS=TRUE&amp;DOC_NAME=FAT:FQL_AUDITING_CLIENT_TEMPLATE.FAT&amp;display_string=Audit&amp;VAR:KEY=HIPEFIRWHA&amp;VAR:QUERY=RkZfRUJJVERBX0lCKCdMVE1TJywzODU4MCk=&amp;WINDOW=FIRST_POPUP&amp;HEIGHT=450&amp;WIDTH=450&amp;START_MA","XIMIZED=FALSE&amp;VAR:CALENDAR=US&amp;VAR:SYMBOL=N0098510&amp;VAR:INDEX=0"}</definedName>
    <definedName name="_7134__FDSAUDITLINK__" localSheetId="6" hidden="1">{"fdsup://directions/FAT Viewer?action=UPDATE&amp;creator=factset&amp;DYN_ARGS=TRUE&amp;DOC_NAME=FAT:FQL_AUDITING_CLIENT_TEMPLATE.FAT&amp;display_string=Audit&amp;VAR:KEY=FOVMXCBSPM&amp;VAR:QUERY=RkZfRUJJVERBX0lCKCdMVE1TJywzODU3OSk=&amp;WINDOW=FIRST_POPUP&amp;HEIGHT=450&amp;WIDTH=450&amp;START_MA","XIMIZED=FALSE&amp;VAR:CALENDAR=US&amp;VAR:SYMBOL=N0098510&amp;VAR:INDEX=0"}</definedName>
    <definedName name="_7134__FDSAUDITLINK__" hidden="1">{"fdsup://directions/FAT Viewer?action=UPDATE&amp;creator=factset&amp;DYN_ARGS=TRUE&amp;DOC_NAME=FAT:FQL_AUDITING_CLIENT_TEMPLATE.FAT&amp;display_string=Audit&amp;VAR:KEY=FOVMXCBSPM&amp;VAR:QUERY=RkZfRUJJVERBX0lCKCdMVE1TJywzODU3OSk=&amp;WINDOW=FIRST_POPUP&amp;HEIGHT=450&amp;WIDTH=450&amp;START_MA","XIMIZED=FALSE&amp;VAR:CALENDAR=US&amp;VAR:SYMBOL=N0098510&amp;VAR:INDEX=0"}</definedName>
    <definedName name="_7135__FDSAUDITLINK__" localSheetId="6" hidden="1">{"fdsup://directions/FAT Viewer?action=UPDATE&amp;creator=factset&amp;DYN_ARGS=TRUE&amp;DOC_NAME=FAT:FQL_AUDITING_CLIENT_TEMPLATE.FAT&amp;display_string=Audit&amp;VAR:KEY=ZKNGVGPGXY&amp;VAR:QUERY=RkZfRUJJVERBX0lCKCdMVE1TJywzODU3OCk=&amp;WINDOW=FIRST_POPUP&amp;HEIGHT=450&amp;WIDTH=450&amp;START_MA","XIMIZED=FALSE&amp;VAR:CALENDAR=US&amp;VAR:SYMBOL=N0098510&amp;VAR:INDEX=0"}</definedName>
    <definedName name="_7135__FDSAUDITLINK__" hidden="1">{"fdsup://directions/FAT Viewer?action=UPDATE&amp;creator=factset&amp;DYN_ARGS=TRUE&amp;DOC_NAME=FAT:FQL_AUDITING_CLIENT_TEMPLATE.FAT&amp;display_string=Audit&amp;VAR:KEY=ZKNGVGPGXY&amp;VAR:QUERY=RkZfRUJJVERBX0lCKCdMVE1TJywzODU3OCk=&amp;WINDOW=FIRST_POPUP&amp;HEIGHT=450&amp;WIDTH=450&amp;START_MA","XIMIZED=FALSE&amp;VAR:CALENDAR=US&amp;VAR:SYMBOL=N0098510&amp;VAR:INDEX=0"}</definedName>
    <definedName name="_7136__FDSAUDITLINK__" localSheetId="6" hidden="1">{"fdsup://directions/FAT Viewer?action=UPDATE&amp;creator=factset&amp;DYN_ARGS=TRUE&amp;DOC_NAME=FAT:FQL_AUDITING_CLIENT_TEMPLATE.FAT&amp;display_string=Audit&amp;VAR:KEY=DGRIPWBWBS&amp;VAR:QUERY=RkZfRUJJVERBX0lCKCdMVE1TJywzODU3Nyk=&amp;WINDOW=FIRST_POPUP&amp;HEIGHT=450&amp;WIDTH=450&amp;START_MA","XIMIZED=FALSE&amp;VAR:CALENDAR=US&amp;VAR:SYMBOL=N0098510&amp;VAR:INDEX=0"}</definedName>
    <definedName name="_7136__FDSAUDITLINK__" hidden="1">{"fdsup://directions/FAT Viewer?action=UPDATE&amp;creator=factset&amp;DYN_ARGS=TRUE&amp;DOC_NAME=FAT:FQL_AUDITING_CLIENT_TEMPLATE.FAT&amp;display_string=Audit&amp;VAR:KEY=DGRIPWBWBS&amp;VAR:QUERY=RkZfRUJJVERBX0lCKCdMVE1TJywzODU3Nyk=&amp;WINDOW=FIRST_POPUP&amp;HEIGHT=450&amp;WIDTH=450&amp;START_MA","XIMIZED=FALSE&amp;VAR:CALENDAR=US&amp;VAR:SYMBOL=N0098510&amp;VAR:INDEX=0"}</definedName>
    <definedName name="_7137__FDSAUDITLINK__" localSheetId="6" hidden="1">{"fdsup://directions/FAT Viewer?action=UPDATE&amp;creator=factset&amp;DYN_ARGS=TRUE&amp;DOC_NAME=FAT:FQL_AUDITING_CLIENT_TEMPLATE.FAT&amp;display_string=Audit&amp;VAR:KEY=NCNYJYVWFG&amp;VAR:QUERY=RkZfRUJJVERBX0lCKCdMVE1TJywzODU3Nik=&amp;WINDOW=FIRST_POPUP&amp;HEIGHT=450&amp;WIDTH=450&amp;START_MA","XIMIZED=FALSE&amp;VAR:CALENDAR=US&amp;VAR:SYMBOL=N0098510&amp;VAR:INDEX=0"}</definedName>
    <definedName name="_7137__FDSAUDITLINK__" hidden="1">{"fdsup://directions/FAT Viewer?action=UPDATE&amp;creator=factset&amp;DYN_ARGS=TRUE&amp;DOC_NAME=FAT:FQL_AUDITING_CLIENT_TEMPLATE.FAT&amp;display_string=Audit&amp;VAR:KEY=NCNYJYVWFG&amp;VAR:QUERY=RkZfRUJJVERBX0lCKCdMVE1TJywzODU3Nik=&amp;WINDOW=FIRST_POPUP&amp;HEIGHT=450&amp;WIDTH=450&amp;START_MA","XIMIZED=FALSE&amp;VAR:CALENDAR=US&amp;VAR:SYMBOL=N0098510&amp;VAR:INDEX=0"}</definedName>
    <definedName name="_7138__FDSAUDITLINK__" localSheetId="6" hidden="1">{"fdsup://directions/FAT Viewer?action=UPDATE&amp;creator=factset&amp;DYN_ARGS=TRUE&amp;DOC_NAME=FAT:FQL_AUDITING_CLIENT_TEMPLATE.FAT&amp;display_string=Audit&amp;VAR:KEY=LOHABCNQBE&amp;VAR:QUERY=RkZfRUJJVERBX0lCKCdMVE1TJywzODU3NSk=&amp;WINDOW=FIRST_POPUP&amp;HEIGHT=450&amp;WIDTH=450&amp;START_MA","XIMIZED=FALSE&amp;VAR:CALENDAR=US&amp;VAR:SYMBOL=N0098510&amp;VAR:INDEX=0"}</definedName>
    <definedName name="_7138__FDSAUDITLINK__" hidden="1">{"fdsup://directions/FAT Viewer?action=UPDATE&amp;creator=factset&amp;DYN_ARGS=TRUE&amp;DOC_NAME=FAT:FQL_AUDITING_CLIENT_TEMPLATE.FAT&amp;display_string=Audit&amp;VAR:KEY=LOHABCNQBE&amp;VAR:QUERY=RkZfRUJJVERBX0lCKCdMVE1TJywzODU3NSk=&amp;WINDOW=FIRST_POPUP&amp;HEIGHT=450&amp;WIDTH=450&amp;START_MA","XIMIZED=FALSE&amp;VAR:CALENDAR=US&amp;VAR:SYMBOL=N0098510&amp;VAR:INDEX=0"}</definedName>
    <definedName name="_7139__FDSAUDITLINK__" localSheetId="6" hidden="1">{"fdsup://directions/FAT Viewer?action=UPDATE&amp;creator=factset&amp;DYN_ARGS=TRUE&amp;DOC_NAME=FAT:FQL_AUDITING_CLIENT_TEMPLATE.FAT&amp;display_string=Audit&amp;VAR:KEY=NGHKFMTWBW&amp;VAR:QUERY=RkZfRUJJVERBX0lCKCdMVE1TJywzODU3NCk=&amp;WINDOW=FIRST_POPUP&amp;HEIGHT=450&amp;WIDTH=450&amp;START_MA","XIMIZED=FALSE&amp;VAR:CALENDAR=US&amp;VAR:SYMBOL=N0098510&amp;VAR:INDEX=0"}</definedName>
    <definedName name="_7139__FDSAUDITLINK__" hidden="1">{"fdsup://directions/FAT Viewer?action=UPDATE&amp;creator=factset&amp;DYN_ARGS=TRUE&amp;DOC_NAME=FAT:FQL_AUDITING_CLIENT_TEMPLATE.FAT&amp;display_string=Audit&amp;VAR:KEY=NGHKFMTWBW&amp;VAR:QUERY=RkZfRUJJVERBX0lCKCdMVE1TJywzODU3NCk=&amp;WINDOW=FIRST_POPUP&amp;HEIGHT=450&amp;WIDTH=450&amp;START_MA","XIMIZED=FALSE&amp;VAR:CALENDAR=US&amp;VAR:SYMBOL=N0098510&amp;VAR:INDEX=0"}</definedName>
    <definedName name="_714__FDSAUDITLINK__" localSheetId="6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4__FDSAUDITLINK__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40__FDSAUDITLINK__" localSheetId="6" hidden="1">{"fdsup://directions/FAT Viewer?action=UPDATE&amp;creator=factset&amp;DYN_ARGS=TRUE&amp;DOC_NAME=FAT:FQL_AUDITING_CLIENT_TEMPLATE.FAT&amp;display_string=Audit&amp;VAR:KEY=XQDYBWJAFO&amp;VAR:QUERY=RkZfRUJJVERBX0lCKCdMVE1TJywzODU3Myk=&amp;WINDOW=FIRST_POPUP&amp;HEIGHT=450&amp;WIDTH=450&amp;START_MA","XIMIZED=FALSE&amp;VAR:CALENDAR=US&amp;VAR:SYMBOL=N0098510&amp;VAR:INDEX=0"}</definedName>
    <definedName name="_7140__FDSAUDITLINK__" hidden="1">{"fdsup://directions/FAT Viewer?action=UPDATE&amp;creator=factset&amp;DYN_ARGS=TRUE&amp;DOC_NAME=FAT:FQL_AUDITING_CLIENT_TEMPLATE.FAT&amp;display_string=Audit&amp;VAR:KEY=XQDYBWJAFO&amp;VAR:QUERY=RkZfRUJJVERBX0lCKCdMVE1TJywzODU3Myk=&amp;WINDOW=FIRST_POPUP&amp;HEIGHT=450&amp;WIDTH=450&amp;START_MA","XIMIZED=FALSE&amp;VAR:CALENDAR=US&amp;VAR:SYMBOL=N0098510&amp;VAR:INDEX=0"}</definedName>
    <definedName name="_7141__FDSAUDITLINK__" localSheetId="6" hidden="1">{"fdsup://directions/FAT Viewer?action=UPDATE&amp;creator=factset&amp;DYN_ARGS=TRUE&amp;DOC_NAME=FAT:FQL_AUDITING_CLIENT_TEMPLATE.FAT&amp;display_string=Audit&amp;VAR:KEY=DGHWXMBAPQ&amp;VAR:QUERY=RkZfRUJJVERBX0lCKCdMVE1TJywzODU3Mik=&amp;WINDOW=FIRST_POPUP&amp;HEIGHT=450&amp;WIDTH=450&amp;START_MA","XIMIZED=FALSE&amp;VAR:CALENDAR=US&amp;VAR:SYMBOL=N0098510&amp;VAR:INDEX=0"}</definedName>
    <definedName name="_7141__FDSAUDITLINK__" hidden="1">{"fdsup://directions/FAT Viewer?action=UPDATE&amp;creator=factset&amp;DYN_ARGS=TRUE&amp;DOC_NAME=FAT:FQL_AUDITING_CLIENT_TEMPLATE.FAT&amp;display_string=Audit&amp;VAR:KEY=DGHWXMBAPQ&amp;VAR:QUERY=RkZfRUJJVERBX0lCKCdMVE1TJywzODU3Mik=&amp;WINDOW=FIRST_POPUP&amp;HEIGHT=450&amp;WIDTH=450&amp;START_MA","XIMIZED=FALSE&amp;VAR:CALENDAR=US&amp;VAR:SYMBOL=N0098510&amp;VAR:INDEX=0"}</definedName>
    <definedName name="_7142__FDSAUDITLINK__" localSheetId="6" hidden="1">{"fdsup://directions/FAT Viewer?action=UPDATE&amp;creator=factset&amp;DYN_ARGS=TRUE&amp;DOC_NAME=FAT:FQL_AUDITING_CLIENT_TEMPLATE.FAT&amp;display_string=Audit&amp;VAR:KEY=VERYHYTCHI&amp;VAR:QUERY=RkZfRUJJVERBX0lCKCdMVE1TJywzODU3MSk=&amp;WINDOW=FIRST_POPUP&amp;HEIGHT=450&amp;WIDTH=450&amp;START_MA","XIMIZED=FALSE&amp;VAR:CALENDAR=US&amp;VAR:SYMBOL=N0098510&amp;VAR:INDEX=0"}</definedName>
    <definedName name="_7142__FDSAUDITLINK__" hidden="1">{"fdsup://directions/FAT Viewer?action=UPDATE&amp;creator=factset&amp;DYN_ARGS=TRUE&amp;DOC_NAME=FAT:FQL_AUDITING_CLIENT_TEMPLATE.FAT&amp;display_string=Audit&amp;VAR:KEY=VERYHYTCHI&amp;VAR:QUERY=RkZfRUJJVERBX0lCKCdMVE1TJywzODU3MSk=&amp;WINDOW=FIRST_POPUP&amp;HEIGHT=450&amp;WIDTH=450&amp;START_MA","XIMIZED=FALSE&amp;VAR:CALENDAR=US&amp;VAR:SYMBOL=N0098510&amp;VAR:INDEX=0"}</definedName>
    <definedName name="_7143__FDSAUDITLINK__" localSheetId="6" hidden="1">{"fdsup://directions/FAT Viewer?action=UPDATE&amp;creator=factset&amp;DYN_ARGS=TRUE&amp;DOC_NAME=FAT:FQL_AUDITING_CLIENT_TEMPLATE.FAT&amp;display_string=Audit&amp;VAR:KEY=RQLQNUPOFE&amp;VAR:QUERY=RkZfRUJJVERBX0lCKCdMVE1TJywzODU3MCk=&amp;WINDOW=FIRST_POPUP&amp;HEIGHT=450&amp;WIDTH=450&amp;START_MA","XIMIZED=FALSE&amp;VAR:CALENDAR=US&amp;VAR:SYMBOL=N0098510&amp;VAR:INDEX=0"}</definedName>
    <definedName name="_7143__FDSAUDITLINK__" hidden="1">{"fdsup://directions/FAT Viewer?action=UPDATE&amp;creator=factset&amp;DYN_ARGS=TRUE&amp;DOC_NAME=FAT:FQL_AUDITING_CLIENT_TEMPLATE.FAT&amp;display_string=Audit&amp;VAR:KEY=RQLQNUPOFE&amp;VAR:QUERY=RkZfRUJJVERBX0lCKCdMVE1TJywzODU3MCk=&amp;WINDOW=FIRST_POPUP&amp;HEIGHT=450&amp;WIDTH=450&amp;START_MA","XIMIZED=FALSE&amp;VAR:CALENDAR=US&amp;VAR:SYMBOL=N0098510&amp;VAR:INDEX=0"}</definedName>
    <definedName name="_7144__FDSAUDITLINK__" localSheetId="6" hidden="1">{"fdsup://directions/FAT Viewer?action=UPDATE&amp;creator=factset&amp;DYN_ARGS=TRUE&amp;DOC_NAME=FAT:FQL_AUDITING_CLIENT_TEMPLATE.FAT&amp;display_string=Audit&amp;VAR:KEY=BCXCDUZKLS&amp;VAR:QUERY=RkZfRUJJVERBX0lCKCdMVE1TJywzODU2OSk=&amp;WINDOW=FIRST_POPUP&amp;HEIGHT=450&amp;WIDTH=450&amp;START_MA","XIMIZED=FALSE&amp;VAR:CALENDAR=US&amp;VAR:SYMBOL=N0098510&amp;VAR:INDEX=0"}</definedName>
    <definedName name="_7144__FDSAUDITLINK__" hidden="1">{"fdsup://directions/FAT Viewer?action=UPDATE&amp;creator=factset&amp;DYN_ARGS=TRUE&amp;DOC_NAME=FAT:FQL_AUDITING_CLIENT_TEMPLATE.FAT&amp;display_string=Audit&amp;VAR:KEY=BCXCDUZKLS&amp;VAR:QUERY=RkZfRUJJVERBX0lCKCdMVE1TJywzODU2OSk=&amp;WINDOW=FIRST_POPUP&amp;HEIGHT=450&amp;WIDTH=450&amp;START_MA","XIMIZED=FALSE&amp;VAR:CALENDAR=US&amp;VAR:SYMBOL=N0098510&amp;VAR:INDEX=0"}</definedName>
    <definedName name="_7145__FDSAUDITLINK__" localSheetId="6" hidden="1">{"fdsup://directions/FAT Viewer?action=UPDATE&amp;creator=factset&amp;DYN_ARGS=TRUE&amp;DOC_NAME=FAT:FQL_AUDITING_CLIENT_TEMPLATE.FAT&amp;display_string=Audit&amp;VAR:KEY=TEXGPEVWBQ&amp;VAR:QUERY=RkZfRUJJVERBX0lCKCdMVE1TJywzODU2OCk=&amp;WINDOW=FIRST_POPUP&amp;HEIGHT=450&amp;WIDTH=450&amp;START_MA","XIMIZED=FALSE&amp;VAR:CALENDAR=US&amp;VAR:SYMBOL=N0098510&amp;VAR:INDEX=0"}</definedName>
    <definedName name="_7145__FDSAUDITLINK__" hidden="1">{"fdsup://directions/FAT Viewer?action=UPDATE&amp;creator=factset&amp;DYN_ARGS=TRUE&amp;DOC_NAME=FAT:FQL_AUDITING_CLIENT_TEMPLATE.FAT&amp;display_string=Audit&amp;VAR:KEY=TEXGPEVWBQ&amp;VAR:QUERY=RkZfRUJJVERBX0lCKCdMVE1TJywzODU2OCk=&amp;WINDOW=FIRST_POPUP&amp;HEIGHT=450&amp;WIDTH=450&amp;START_MA","XIMIZED=FALSE&amp;VAR:CALENDAR=US&amp;VAR:SYMBOL=N0098510&amp;VAR:INDEX=0"}</definedName>
    <definedName name="_7146__FDSAUDITLINK__" localSheetId="6" hidden="1">{"fdsup://directions/FAT Viewer?action=UPDATE&amp;creator=factset&amp;DYN_ARGS=TRUE&amp;DOC_NAME=FAT:FQL_AUDITING_CLIENT_TEMPLATE.FAT&amp;display_string=Audit&amp;VAR:KEY=ZMRMXWDWTW&amp;VAR:QUERY=RkZfRUJJVERBX0lCKCdMVE1TJywzODU2Nyk=&amp;WINDOW=FIRST_POPUP&amp;HEIGHT=450&amp;WIDTH=450&amp;START_MA","XIMIZED=FALSE&amp;VAR:CALENDAR=US&amp;VAR:SYMBOL=N0098510&amp;VAR:INDEX=0"}</definedName>
    <definedName name="_7146__FDSAUDITLINK__" hidden="1">{"fdsup://directions/FAT Viewer?action=UPDATE&amp;creator=factset&amp;DYN_ARGS=TRUE&amp;DOC_NAME=FAT:FQL_AUDITING_CLIENT_TEMPLATE.FAT&amp;display_string=Audit&amp;VAR:KEY=ZMRMXWDWTW&amp;VAR:QUERY=RkZfRUJJVERBX0lCKCdMVE1TJywzODU2Nyk=&amp;WINDOW=FIRST_POPUP&amp;HEIGHT=450&amp;WIDTH=450&amp;START_MA","XIMIZED=FALSE&amp;VAR:CALENDAR=US&amp;VAR:SYMBOL=N0098510&amp;VAR:INDEX=0"}</definedName>
    <definedName name="_7147__FDSAUDITLINK__" localSheetId="6" hidden="1">{"fdsup://directions/FAT Viewer?action=UPDATE&amp;creator=factset&amp;DYN_ARGS=TRUE&amp;DOC_NAME=FAT:FQL_AUDITING_CLIENT_TEMPLATE.FAT&amp;display_string=Audit&amp;VAR:KEY=DSNGNOVELQ&amp;VAR:QUERY=RkZfRUJJVERBX0lCKCdMVE1TJywzODU2Nik=&amp;WINDOW=FIRST_POPUP&amp;HEIGHT=450&amp;WIDTH=450&amp;START_MA","XIMIZED=FALSE&amp;VAR:CALENDAR=US&amp;VAR:SYMBOL=N0098510&amp;VAR:INDEX=0"}</definedName>
    <definedName name="_7147__FDSAUDITLINK__" hidden="1">{"fdsup://directions/FAT Viewer?action=UPDATE&amp;creator=factset&amp;DYN_ARGS=TRUE&amp;DOC_NAME=FAT:FQL_AUDITING_CLIENT_TEMPLATE.FAT&amp;display_string=Audit&amp;VAR:KEY=DSNGNOVELQ&amp;VAR:QUERY=RkZfRUJJVERBX0lCKCdMVE1TJywzODU2Nik=&amp;WINDOW=FIRST_POPUP&amp;HEIGHT=450&amp;WIDTH=450&amp;START_MA","XIMIZED=FALSE&amp;VAR:CALENDAR=US&amp;VAR:SYMBOL=N0098510&amp;VAR:INDEX=0"}</definedName>
    <definedName name="_7148__FDSAUDITLINK__" localSheetId="6" hidden="1">{"fdsup://directions/FAT Viewer?action=UPDATE&amp;creator=factset&amp;DYN_ARGS=TRUE&amp;DOC_NAME=FAT:FQL_AUDITING_CLIENT_TEMPLATE.FAT&amp;display_string=Audit&amp;VAR:KEY=NSTKDCJWDI&amp;VAR:QUERY=RkZfRUJJVERBX0lCKCdMVE1TJywzODU2NSk=&amp;WINDOW=FIRST_POPUP&amp;HEIGHT=450&amp;WIDTH=450&amp;START_MA","XIMIZED=FALSE&amp;VAR:CALENDAR=US&amp;VAR:SYMBOL=N0098510&amp;VAR:INDEX=0"}</definedName>
    <definedName name="_7148__FDSAUDITLINK__" hidden="1">{"fdsup://directions/FAT Viewer?action=UPDATE&amp;creator=factset&amp;DYN_ARGS=TRUE&amp;DOC_NAME=FAT:FQL_AUDITING_CLIENT_TEMPLATE.FAT&amp;display_string=Audit&amp;VAR:KEY=NSTKDCJWDI&amp;VAR:QUERY=RkZfRUJJVERBX0lCKCdMVE1TJywzODU2NSk=&amp;WINDOW=FIRST_POPUP&amp;HEIGHT=450&amp;WIDTH=450&amp;START_MA","XIMIZED=FALSE&amp;VAR:CALENDAR=US&amp;VAR:SYMBOL=N0098510&amp;VAR:INDEX=0"}</definedName>
    <definedName name="_7149__FDSAUDITLINK__" localSheetId="6" hidden="1">{"fdsup://directions/FAT Viewer?action=UPDATE&amp;creator=factset&amp;DYN_ARGS=TRUE&amp;DOC_NAME=FAT:FQL_AUDITING_CLIENT_TEMPLATE.FAT&amp;display_string=Audit&amp;VAR:KEY=BUHIVAXQTU&amp;VAR:QUERY=RkZfRUJJVERBX0lCKCdMVE1TJywzODU2NCk=&amp;WINDOW=FIRST_POPUP&amp;HEIGHT=450&amp;WIDTH=450&amp;START_MA","XIMIZED=FALSE&amp;VAR:CALENDAR=US&amp;VAR:SYMBOL=N0098510&amp;VAR:INDEX=0"}</definedName>
    <definedName name="_7149__FDSAUDITLINK__" hidden="1">{"fdsup://directions/FAT Viewer?action=UPDATE&amp;creator=factset&amp;DYN_ARGS=TRUE&amp;DOC_NAME=FAT:FQL_AUDITING_CLIENT_TEMPLATE.FAT&amp;display_string=Audit&amp;VAR:KEY=BUHIVAXQTU&amp;VAR:QUERY=RkZfRUJJVERBX0lCKCdMVE1TJywzODU2NCk=&amp;WINDOW=FIRST_POPUP&amp;HEIGHT=450&amp;WIDTH=450&amp;START_MA","XIMIZED=FALSE&amp;VAR:CALENDAR=US&amp;VAR:SYMBOL=N0098510&amp;VAR:INDEX=0"}</definedName>
    <definedName name="_715__FDSAUDITLINK__" localSheetId="6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5__FDSAUDITLINK__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50__FDSAUDITLINK__" localSheetId="6" hidden="1">{"fdsup://directions/FAT Viewer?action=UPDATE&amp;creator=factset&amp;DYN_ARGS=TRUE&amp;DOC_NAME=FAT:FQL_AUDITING_CLIENT_TEMPLATE.FAT&amp;display_string=Audit&amp;VAR:KEY=JGPMFEFIVY&amp;VAR:QUERY=RkZfRUJJVERBX0lCKCdMVE1TJywzODU2Myk=&amp;WINDOW=FIRST_POPUP&amp;HEIGHT=450&amp;WIDTH=450&amp;START_MA","XIMIZED=FALSE&amp;VAR:CALENDAR=US&amp;VAR:SYMBOL=N0098510&amp;VAR:INDEX=0"}</definedName>
    <definedName name="_7150__FDSAUDITLINK__" hidden="1">{"fdsup://directions/FAT Viewer?action=UPDATE&amp;creator=factset&amp;DYN_ARGS=TRUE&amp;DOC_NAME=FAT:FQL_AUDITING_CLIENT_TEMPLATE.FAT&amp;display_string=Audit&amp;VAR:KEY=JGPMFEFIVY&amp;VAR:QUERY=RkZfRUJJVERBX0lCKCdMVE1TJywzODU2Myk=&amp;WINDOW=FIRST_POPUP&amp;HEIGHT=450&amp;WIDTH=450&amp;START_MA","XIMIZED=FALSE&amp;VAR:CALENDAR=US&amp;VAR:SYMBOL=N0098510&amp;VAR:INDEX=0"}</definedName>
    <definedName name="_7151__FDSAUDITLINK__" localSheetId="6" hidden="1">{"fdsup://directions/FAT Viewer?action=UPDATE&amp;creator=factset&amp;DYN_ARGS=TRUE&amp;DOC_NAME=FAT:FQL_AUDITING_CLIENT_TEMPLATE.FAT&amp;display_string=Audit&amp;VAR:KEY=JCNKDUBWZK&amp;VAR:QUERY=RkZfRUJJVERBX0lCKCdMVE1TJywzODU2Mik=&amp;WINDOW=FIRST_POPUP&amp;HEIGHT=450&amp;WIDTH=450&amp;START_MA","XIMIZED=FALSE&amp;VAR:CALENDAR=US&amp;VAR:SYMBOL=N0098510&amp;VAR:INDEX=0"}</definedName>
    <definedName name="_7151__FDSAUDITLINK__" hidden="1">{"fdsup://directions/FAT Viewer?action=UPDATE&amp;creator=factset&amp;DYN_ARGS=TRUE&amp;DOC_NAME=FAT:FQL_AUDITING_CLIENT_TEMPLATE.FAT&amp;display_string=Audit&amp;VAR:KEY=JCNKDUBWZK&amp;VAR:QUERY=RkZfRUJJVERBX0lCKCdMVE1TJywzODU2Mik=&amp;WINDOW=FIRST_POPUP&amp;HEIGHT=450&amp;WIDTH=450&amp;START_MA","XIMIZED=FALSE&amp;VAR:CALENDAR=US&amp;VAR:SYMBOL=N0098510&amp;VAR:INDEX=0"}</definedName>
    <definedName name="_7152__FDSAUDITLINK__" localSheetId="6" hidden="1">{"fdsup://directions/FAT Viewer?action=UPDATE&amp;creator=factset&amp;DYN_ARGS=TRUE&amp;DOC_NAME=FAT:FQL_AUDITING_CLIENT_TEMPLATE.FAT&amp;display_string=Audit&amp;VAR:KEY=DSRMTCBCTE&amp;VAR:QUERY=RkZfRUJJVERBX0lCKCdMVE1TJywzODU2MSk=&amp;WINDOW=FIRST_POPUP&amp;HEIGHT=450&amp;WIDTH=450&amp;START_MA","XIMIZED=FALSE&amp;VAR:CALENDAR=US&amp;VAR:SYMBOL=N0098510&amp;VAR:INDEX=0"}</definedName>
    <definedName name="_7152__FDSAUDITLINK__" hidden="1">{"fdsup://directions/FAT Viewer?action=UPDATE&amp;creator=factset&amp;DYN_ARGS=TRUE&amp;DOC_NAME=FAT:FQL_AUDITING_CLIENT_TEMPLATE.FAT&amp;display_string=Audit&amp;VAR:KEY=DSRMTCBCTE&amp;VAR:QUERY=RkZfRUJJVERBX0lCKCdMVE1TJywzODU2MSk=&amp;WINDOW=FIRST_POPUP&amp;HEIGHT=450&amp;WIDTH=450&amp;START_MA","XIMIZED=FALSE&amp;VAR:CALENDAR=US&amp;VAR:SYMBOL=N0098510&amp;VAR:INDEX=0"}</definedName>
    <definedName name="_7153__FDSAUDITLINK__" localSheetId="6" hidden="1">{"fdsup://directions/FAT Viewer?action=UPDATE&amp;creator=factset&amp;DYN_ARGS=TRUE&amp;DOC_NAME=FAT:FQL_AUDITING_CLIENT_TEMPLATE.FAT&amp;display_string=Audit&amp;VAR:KEY=NKRILEHAZS&amp;VAR:QUERY=RkZfRUJJVERBX0lCKCdMVE1TJywzODU2MCk=&amp;WINDOW=FIRST_POPUP&amp;HEIGHT=450&amp;WIDTH=450&amp;START_MA","XIMIZED=FALSE&amp;VAR:CALENDAR=US&amp;VAR:SYMBOL=N0098510&amp;VAR:INDEX=0"}</definedName>
    <definedName name="_7153__FDSAUDITLINK__" hidden="1">{"fdsup://directions/FAT Viewer?action=UPDATE&amp;creator=factset&amp;DYN_ARGS=TRUE&amp;DOC_NAME=FAT:FQL_AUDITING_CLIENT_TEMPLATE.FAT&amp;display_string=Audit&amp;VAR:KEY=NKRILEHAZS&amp;VAR:QUERY=RkZfRUJJVERBX0lCKCdMVE1TJywzODU2MCk=&amp;WINDOW=FIRST_POPUP&amp;HEIGHT=450&amp;WIDTH=450&amp;START_MA","XIMIZED=FALSE&amp;VAR:CALENDAR=US&amp;VAR:SYMBOL=N0098510&amp;VAR:INDEX=0"}</definedName>
    <definedName name="_7154__FDSAUDITLINK__" localSheetId="6" hidden="1">{"fdsup://directions/FAT Viewer?action=UPDATE&amp;creator=factset&amp;DYN_ARGS=TRUE&amp;DOC_NAME=FAT:FQL_AUDITING_CLIENT_TEMPLATE.FAT&amp;display_string=Audit&amp;VAR:KEY=DSXQBGJORI&amp;VAR:QUERY=RkZfRUJJVERBX0lCKCdMVE1TJywzODU1OSk=&amp;WINDOW=FIRST_POPUP&amp;HEIGHT=450&amp;WIDTH=450&amp;START_MA","XIMIZED=FALSE&amp;VAR:CALENDAR=US&amp;VAR:SYMBOL=N0098510&amp;VAR:INDEX=0"}</definedName>
    <definedName name="_7154__FDSAUDITLINK__" hidden="1">{"fdsup://directions/FAT Viewer?action=UPDATE&amp;creator=factset&amp;DYN_ARGS=TRUE&amp;DOC_NAME=FAT:FQL_AUDITING_CLIENT_TEMPLATE.FAT&amp;display_string=Audit&amp;VAR:KEY=DSXQBGJORI&amp;VAR:QUERY=RkZfRUJJVERBX0lCKCdMVE1TJywzODU1OSk=&amp;WINDOW=FIRST_POPUP&amp;HEIGHT=450&amp;WIDTH=450&amp;START_MA","XIMIZED=FALSE&amp;VAR:CALENDAR=US&amp;VAR:SYMBOL=N0098510&amp;VAR:INDEX=0"}</definedName>
    <definedName name="_7155__FDSAUDITLINK__" localSheetId="6" hidden="1">{"fdsup://directions/FAT Viewer?action=UPDATE&amp;creator=factset&amp;DYN_ARGS=TRUE&amp;DOC_NAME=FAT:FQL_AUDITING_CLIENT_TEMPLATE.FAT&amp;display_string=Audit&amp;VAR:KEY=NWFIHCBMZM&amp;VAR:QUERY=RkZfRUJJVERBX0lCKCdMVE1TJywzODU1OCk=&amp;WINDOW=FIRST_POPUP&amp;HEIGHT=450&amp;WIDTH=450&amp;START_MA","XIMIZED=FALSE&amp;VAR:CALENDAR=US&amp;VAR:SYMBOL=N0098510&amp;VAR:INDEX=0"}</definedName>
    <definedName name="_7155__FDSAUDITLINK__" hidden="1">{"fdsup://directions/FAT Viewer?action=UPDATE&amp;creator=factset&amp;DYN_ARGS=TRUE&amp;DOC_NAME=FAT:FQL_AUDITING_CLIENT_TEMPLATE.FAT&amp;display_string=Audit&amp;VAR:KEY=NWFIHCBMZM&amp;VAR:QUERY=RkZfRUJJVERBX0lCKCdMVE1TJywzODU1OCk=&amp;WINDOW=FIRST_POPUP&amp;HEIGHT=450&amp;WIDTH=450&amp;START_MA","XIMIZED=FALSE&amp;VAR:CALENDAR=US&amp;VAR:SYMBOL=N0098510&amp;VAR:INDEX=0"}</definedName>
    <definedName name="_7156__FDSAUDITLINK__" localSheetId="6" hidden="1">{"fdsup://directions/FAT Viewer?action=UPDATE&amp;creator=factset&amp;DYN_ARGS=TRUE&amp;DOC_NAME=FAT:FQL_AUDITING_CLIENT_TEMPLATE.FAT&amp;display_string=Audit&amp;VAR:KEY=XSTKRKHUBI&amp;VAR:QUERY=RkZfRUJJVERBX0lCKCdMVE1TJywzODU1Nyk=&amp;WINDOW=FIRST_POPUP&amp;HEIGHT=450&amp;WIDTH=450&amp;START_MA","XIMIZED=FALSE&amp;VAR:CALENDAR=US&amp;VAR:SYMBOL=N0098510&amp;VAR:INDEX=0"}</definedName>
    <definedName name="_7156__FDSAUDITLINK__" hidden="1">{"fdsup://directions/FAT Viewer?action=UPDATE&amp;creator=factset&amp;DYN_ARGS=TRUE&amp;DOC_NAME=FAT:FQL_AUDITING_CLIENT_TEMPLATE.FAT&amp;display_string=Audit&amp;VAR:KEY=XSTKRKHUBI&amp;VAR:QUERY=RkZfRUJJVERBX0lCKCdMVE1TJywzODU1Nyk=&amp;WINDOW=FIRST_POPUP&amp;HEIGHT=450&amp;WIDTH=450&amp;START_MA","XIMIZED=FALSE&amp;VAR:CALENDAR=US&amp;VAR:SYMBOL=N0098510&amp;VAR:INDEX=0"}</definedName>
    <definedName name="_7157__FDSAUDITLINK__" localSheetId="6" hidden="1">{"fdsup://directions/FAT Viewer?action=UPDATE&amp;creator=factset&amp;DYN_ARGS=TRUE&amp;DOC_NAME=FAT:FQL_AUDITING_CLIENT_TEMPLATE.FAT&amp;display_string=Audit&amp;VAR:KEY=HGTYDUDUFO&amp;VAR:QUERY=RkZfRUJJVERBX0lCKCdMVE1TJywzODU1Nik=&amp;WINDOW=FIRST_POPUP&amp;HEIGHT=450&amp;WIDTH=450&amp;START_MA","XIMIZED=FALSE&amp;VAR:CALENDAR=US&amp;VAR:SYMBOL=N0098510&amp;VAR:INDEX=0"}</definedName>
    <definedName name="_7157__FDSAUDITLINK__" hidden="1">{"fdsup://directions/FAT Viewer?action=UPDATE&amp;creator=factset&amp;DYN_ARGS=TRUE&amp;DOC_NAME=FAT:FQL_AUDITING_CLIENT_TEMPLATE.FAT&amp;display_string=Audit&amp;VAR:KEY=HGTYDUDUFO&amp;VAR:QUERY=RkZfRUJJVERBX0lCKCdMVE1TJywzODU1Nik=&amp;WINDOW=FIRST_POPUP&amp;HEIGHT=450&amp;WIDTH=450&amp;START_MA","XIMIZED=FALSE&amp;VAR:CALENDAR=US&amp;VAR:SYMBOL=N0098510&amp;VAR:INDEX=0"}</definedName>
    <definedName name="_7158__FDSAUDITLINK__" localSheetId="6" hidden="1">{"fdsup://directions/FAT Viewer?action=UPDATE&amp;creator=factset&amp;DYN_ARGS=TRUE&amp;DOC_NAME=FAT:FQL_AUDITING_CLIENT_TEMPLATE.FAT&amp;display_string=Audit&amp;VAR:KEY=BIVKZYPOVE&amp;VAR:QUERY=RkZfRUJJVERBX0lCKCdMVE1TJywzODU1NSk=&amp;WINDOW=FIRST_POPUP&amp;HEIGHT=450&amp;WIDTH=450&amp;START_MA","XIMIZED=FALSE&amp;VAR:CALENDAR=US&amp;VAR:SYMBOL=N0098510&amp;VAR:INDEX=0"}</definedName>
    <definedName name="_7158__FDSAUDITLINK__" hidden="1">{"fdsup://directions/FAT Viewer?action=UPDATE&amp;creator=factset&amp;DYN_ARGS=TRUE&amp;DOC_NAME=FAT:FQL_AUDITING_CLIENT_TEMPLATE.FAT&amp;display_string=Audit&amp;VAR:KEY=BIVKZYPOVE&amp;VAR:QUERY=RkZfRUJJVERBX0lCKCdMVE1TJywzODU1NSk=&amp;WINDOW=FIRST_POPUP&amp;HEIGHT=450&amp;WIDTH=450&amp;START_MA","XIMIZED=FALSE&amp;VAR:CALENDAR=US&amp;VAR:SYMBOL=N0098510&amp;VAR:INDEX=0"}</definedName>
    <definedName name="_7159__FDSAUDITLINK__" localSheetId="6" hidden="1">{"fdsup://directions/FAT Viewer?action=UPDATE&amp;creator=factset&amp;DYN_ARGS=TRUE&amp;DOC_NAME=FAT:FQL_AUDITING_CLIENT_TEMPLATE.FAT&amp;display_string=Audit&amp;VAR:KEY=TCXMJCXOJI&amp;VAR:QUERY=RkZfRUJJVERBX0lCKCdMVE1TJywzODU1NCk=&amp;WINDOW=FIRST_POPUP&amp;HEIGHT=450&amp;WIDTH=450&amp;START_MA","XIMIZED=FALSE&amp;VAR:CALENDAR=US&amp;VAR:SYMBOL=N0098510&amp;VAR:INDEX=0"}</definedName>
    <definedName name="_7159__FDSAUDITLINK__" hidden="1">{"fdsup://directions/FAT Viewer?action=UPDATE&amp;creator=factset&amp;DYN_ARGS=TRUE&amp;DOC_NAME=FAT:FQL_AUDITING_CLIENT_TEMPLATE.FAT&amp;display_string=Audit&amp;VAR:KEY=TCXMJCXOJI&amp;VAR:QUERY=RkZfRUJJVERBX0lCKCdMVE1TJywzODU1NCk=&amp;WINDOW=FIRST_POPUP&amp;HEIGHT=450&amp;WIDTH=450&amp;START_MA","XIMIZED=FALSE&amp;VAR:CALENDAR=US&amp;VAR:SYMBOL=N0098510&amp;VAR:INDEX=0"}</definedName>
    <definedName name="_716__FDSAUDITLINK__" localSheetId="6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6__FDSAUDITLINK__" hidden="1">{"fdsup://directions/FAT%20Viewer?VAR:PED=LTM&amp;VAR:AUDIT_MODE=SUMMARY&amp;VAR:PERIOD=FIXED&amp;VAR:AUDIT_ID=00000117&amp;VAR:DATE=20080307&amp;action=UPDATE&amp;creator=factset&amp;DOC_NAME=FAT:FMA_audit_SUMMARY.fat&amp;DISPLAY_STRING=Display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60__FDSAUDITLINK__" localSheetId="6" hidden="1">{"fdsup://directions/FAT Viewer?action=UPDATE&amp;creator=factset&amp;DYN_ARGS=TRUE&amp;DOC_NAME=FAT:FQL_AUDITING_CLIENT_TEMPLATE.FAT&amp;display_string=Audit&amp;VAR:KEY=VCNITGDMVY&amp;VAR:QUERY=RkZfRUJJVERBX0lCKCdMVE1TJywzODU1Myk=&amp;WINDOW=FIRST_POPUP&amp;HEIGHT=450&amp;WIDTH=450&amp;START_MA","XIMIZED=FALSE&amp;VAR:CALENDAR=US&amp;VAR:SYMBOL=N0098510&amp;VAR:INDEX=0"}</definedName>
    <definedName name="_7160__FDSAUDITLINK__" hidden="1">{"fdsup://directions/FAT Viewer?action=UPDATE&amp;creator=factset&amp;DYN_ARGS=TRUE&amp;DOC_NAME=FAT:FQL_AUDITING_CLIENT_TEMPLATE.FAT&amp;display_string=Audit&amp;VAR:KEY=VCNITGDMVY&amp;VAR:QUERY=RkZfRUJJVERBX0lCKCdMVE1TJywzODU1Myk=&amp;WINDOW=FIRST_POPUP&amp;HEIGHT=450&amp;WIDTH=450&amp;START_MA","XIMIZED=FALSE&amp;VAR:CALENDAR=US&amp;VAR:SYMBOL=N0098510&amp;VAR:INDEX=0"}</definedName>
    <definedName name="_7161__FDSAUDITLINK__" localSheetId="6" hidden="1">{"fdsup://directions/FAT Viewer?action=UPDATE&amp;creator=factset&amp;DYN_ARGS=TRUE&amp;DOC_NAME=FAT:FQL_AUDITING_CLIENT_TEMPLATE.FAT&amp;display_string=Audit&amp;VAR:KEY=TGHMVKTYHM&amp;VAR:QUERY=RkZfRUJJVERBX0lCKCdMVE1TJywzODU1Mik=&amp;WINDOW=FIRST_POPUP&amp;HEIGHT=450&amp;WIDTH=450&amp;START_MA","XIMIZED=FALSE&amp;VAR:CALENDAR=US&amp;VAR:SYMBOL=N0098510&amp;VAR:INDEX=0"}</definedName>
    <definedName name="_7161__FDSAUDITLINK__" hidden="1">{"fdsup://directions/FAT Viewer?action=UPDATE&amp;creator=factset&amp;DYN_ARGS=TRUE&amp;DOC_NAME=FAT:FQL_AUDITING_CLIENT_TEMPLATE.FAT&amp;display_string=Audit&amp;VAR:KEY=TGHMVKTYHM&amp;VAR:QUERY=RkZfRUJJVERBX0lCKCdMVE1TJywzODU1Mik=&amp;WINDOW=FIRST_POPUP&amp;HEIGHT=450&amp;WIDTH=450&amp;START_MA","XIMIZED=FALSE&amp;VAR:CALENDAR=US&amp;VAR:SYMBOL=N0098510&amp;VAR:INDEX=0"}</definedName>
    <definedName name="_7162__FDSAUDITLINK__" localSheetId="6" hidden="1">{"fdsup://directions/FAT Viewer?action=UPDATE&amp;creator=factset&amp;DYN_ARGS=TRUE&amp;DOC_NAME=FAT:FQL_AUDITING_CLIENT_TEMPLATE.FAT&amp;display_string=Audit&amp;VAR:KEY=ZSPMZMZWNM&amp;VAR:QUERY=RkZfRUJJVERBX0lCKCdMVE1TJywzODU1MSk=&amp;WINDOW=FIRST_POPUP&amp;HEIGHT=450&amp;WIDTH=450&amp;START_MA","XIMIZED=FALSE&amp;VAR:CALENDAR=US&amp;VAR:SYMBOL=N0098510&amp;VAR:INDEX=0"}</definedName>
    <definedName name="_7162__FDSAUDITLINK__" hidden="1">{"fdsup://directions/FAT Viewer?action=UPDATE&amp;creator=factset&amp;DYN_ARGS=TRUE&amp;DOC_NAME=FAT:FQL_AUDITING_CLIENT_TEMPLATE.FAT&amp;display_string=Audit&amp;VAR:KEY=ZSPMZMZWNM&amp;VAR:QUERY=RkZfRUJJVERBX0lCKCdMVE1TJywzODU1MSk=&amp;WINDOW=FIRST_POPUP&amp;HEIGHT=450&amp;WIDTH=450&amp;START_MA","XIMIZED=FALSE&amp;VAR:CALENDAR=US&amp;VAR:SYMBOL=N0098510&amp;VAR:INDEX=0"}</definedName>
    <definedName name="_7163__FDSAUDITLINK__" localSheetId="6" hidden="1">{"fdsup://directions/FAT Viewer?action=UPDATE&amp;creator=factset&amp;DYN_ARGS=TRUE&amp;DOC_NAME=FAT:FQL_AUDITING_CLIENT_TEMPLATE.FAT&amp;display_string=Audit&amp;VAR:KEY=PGFSDWVQRA&amp;VAR:QUERY=RkZfRUJJVERBX0lCKCdMVE1TJywzODU1MCk=&amp;WINDOW=FIRST_POPUP&amp;HEIGHT=450&amp;WIDTH=450&amp;START_MA","XIMIZED=FALSE&amp;VAR:CALENDAR=US&amp;VAR:SYMBOL=N0098510&amp;VAR:INDEX=0"}</definedName>
    <definedName name="_7163__FDSAUDITLINK__" hidden="1">{"fdsup://directions/FAT Viewer?action=UPDATE&amp;creator=factset&amp;DYN_ARGS=TRUE&amp;DOC_NAME=FAT:FQL_AUDITING_CLIENT_TEMPLATE.FAT&amp;display_string=Audit&amp;VAR:KEY=PGFSDWVQRA&amp;VAR:QUERY=RkZfRUJJVERBX0lCKCdMVE1TJywzODU1MCk=&amp;WINDOW=FIRST_POPUP&amp;HEIGHT=450&amp;WIDTH=450&amp;START_MA","XIMIZED=FALSE&amp;VAR:CALENDAR=US&amp;VAR:SYMBOL=N0098510&amp;VAR:INDEX=0"}</definedName>
    <definedName name="_7164__FDSAUDITLINK__" localSheetId="6" hidden="1">{"fdsup://directions/FAT Viewer?action=UPDATE&amp;creator=factset&amp;DYN_ARGS=TRUE&amp;DOC_NAME=FAT:FQL_AUDITING_CLIENT_TEMPLATE.FAT&amp;display_string=Audit&amp;VAR:KEY=VWFYNERIVM&amp;VAR:QUERY=RkZfRUJJVERBX0lCKCdMVE1TJywzODU0OSk=&amp;WINDOW=FIRST_POPUP&amp;HEIGHT=450&amp;WIDTH=450&amp;START_MA","XIMIZED=FALSE&amp;VAR:CALENDAR=US&amp;VAR:SYMBOL=N0098510&amp;VAR:INDEX=0"}</definedName>
    <definedName name="_7164__FDSAUDITLINK__" hidden="1">{"fdsup://directions/FAT Viewer?action=UPDATE&amp;creator=factset&amp;DYN_ARGS=TRUE&amp;DOC_NAME=FAT:FQL_AUDITING_CLIENT_TEMPLATE.FAT&amp;display_string=Audit&amp;VAR:KEY=VWFYNERIVM&amp;VAR:QUERY=RkZfRUJJVERBX0lCKCdMVE1TJywzODU0OSk=&amp;WINDOW=FIRST_POPUP&amp;HEIGHT=450&amp;WIDTH=450&amp;START_MA","XIMIZED=FALSE&amp;VAR:CALENDAR=US&amp;VAR:SYMBOL=N0098510&amp;VAR:INDEX=0"}</definedName>
    <definedName name="_7165__FDSAUDITLINK__" localSheetId="6" hidden="1">{"fdsup://directions/FAT Viewer?action=UPDATE&amp;creator=factset&amp;DYN_ARGS=TRUE&amp;DOC_NAME=FAT:FQL_AUDITING_CLIENT_TEMPLATE.FAT&amp;display_string=Audit&amp;VAR:KEY=DGHWBKVGXS&amp;VAR:QUERY=RkZfRUJJVERBX0lCKCdMVE1TJywzODU0OCk=&amp;WINDOW=FIRST_POPUP&amp;HEIGHT=450&amp;WIDTH=450&amp;START_MA","XIMIZED=FALSE&amp;VAR:CALENDAR=US&amp;VAR:SYMBOL=N0098510&amp;VAR:INDEX=0"}</definedName>
    <definedName name="_7165__FDSAUDITLINK__" hidden="1">{"fdsup://directions/FAT Viewer?action=UPDATE&amp;creator=factset&amp;DYN_ARGS=TRUE&amp;DOC_NAME=FAT:FQL_AUDITING_CLIENT_TEMPLATE.FAT&amp;display_string=Audit&amp;VAR:KEY=DGHWBKVGXS&amp;VAR:QUERY=RkZfRUJJVERBX0lCKCdMVE1TJywzODU0OCk=&amp;WINDOW=FIRST_POPUP&amp;HEIGHT=450&amp;WIDTH=450&amp;START_MA","XIMIZED=FALSE&amp;VAR:CALENDAR=US&amp;VAR:SYMBOL=N0098510&amp;VAR:INDEX=0"}</definedName>
    <definedName name="_7166__FDSAUDITLINK__" localSheetId="6" hidden="1">{"fdsup://directions/FAT Viewer?action=UPDATE&amp;creator=factset&amp;DYN_ARGS=TRUE&amp;DOC_NAME=FAT:FQL_AUDITING_CLIENT_TEMPLATE.FAT&amp;display_string=Audit&amp;VAR:KEY=PWVEFMDUNY&amp;VAR:QUERY=RkZfRUJJVERBX0lCKCdMVE1TJywzODU0Nyk=&amp;WINDOW=FIRST_POPUP&amp;HEIGHT=450&amp;WIDTH=450&amp;START_MA","XIMIZED=FALSE&amp;VAR:CALENDAR=US&amp;VAR:SYMBOL=N0098510&amp;VAR:INDEX=0"}</definedName>
    <definedName name="_7166__FDSAUDITLINK__" hidden="1">{"fdsup://directions/FAT Viewer?action=UPDATE&amp;creator=factset&amp;DYN_ARGS=TRUE&amp;DOC_NAME=FAT:FQL_AUDITING_CLIENT_TEMPLATE.FAT&amp;display_string=Audit&amp;VAR:KEY=PWVEFMDUNY&amp;VAR:QUERY=RkZfRUJJVERBX0lCKCdMVE1TJywzODU0Nyk=&amp;WINDOW=FIRST_POPUP&amp;HEIGHT=450&amp;WIDTH=450&amp;START_MA","XIMIZED=FALSE&amp;VAR:CALENDAR=US&amp;VAR:SYMBOL=N0098510&amp;VAR:INDEX=0"}</definedName>
    <definedName name="_7167__FDSAUDITLINK__" localSheetId="6" hidden="1">{"fdsup://directions/FAT Viewer?action=UPDATE&amp;creator=factset&amp;DYN_ARGS=TRUE&amp;DOC_NAME=FAT:FQL_AUDITING_CLIENT_TEMPLATE.FAT&amp;display_string=Audit&amp;VAR:KEY=FMDAXMPWRW&amp;VAR:QUERY=RkZfRUJJVERBX0lCKCdMVE1TJywzODU0Nik=&amp;WINDOW=FIRST_POPUP&amp;HEIGHT=450&amp;WIDTH=450&amp;START_MA","XIMIZED=FALSE&amp;VAR:CALENDAR=US&amp;VAR:SYMBOL=N0098510&amp;VAR:INDEX=0"}</definedName>
    <definedName name="_7167__FDSAUDITLINK__" hidden="1">{"fdsup://directions/FAT Viewer?action=UPDATE&amp;creator=factset&amp;DYN_ARGS=TRUE&amp;DOC_NAME=FAT:FQL_AUDITING_CLIENT_TEMPLATE.FAT&amp;display_string=Audit&amp;VAR:KEY=FMDAXMPWRW&amp;VAR:QUERY=RkZfRUJJVERBX0lCKCdMVE1TJywzODU0Nik=&amp;WINDOW=FIRST_POPUP&amp;HEIGHT=450&amp;WIDTH=450&amp;START_MA","XIMIZED=FALSE&amp;VAR:CALENDAR=US&amp;VAR:SYMBOL=N0098510&amp;VAR:INDEX=0"}</definedName>
    <definedName name="_7168__FDSAUDITLINK__" localSheetId="6" hidden="1">{"fdsup://directions/FAT Viewer?action=UPDATE&amp;creator=factset&amp;DYN_ARGS=TRUE&amp;DOC_NAME=FAT:FQL_AUDITING_CLIENT_TEMPLATE.FAT&amp;display_string=Audit&amp;VAR:KEY=JWHWRCLGTA&amp;VAR:QUERY=RkZfRUJJVERBX0lCKCdMVE1TJywzODU0NSk=&amp;WINDOW=FIRST_POPUP&amp;HEIGHT=450&amp;WIDTH=450&amp;START_MA","XIMIZED=FALSE&amp;VAR:CALENDAR=US&amp;VAR:SYMBOL=N0098510&amp;VAR:INDEX=0"}</definedName>
    <definedName name="_7168__FDSAUDITLINK__" hidden="1">{"fdsup://directions/FAT Viewer?action=UPDATE&amp;creator=factset&amp;DYN_ARGS=TRUE&amp;DOC_NAME=FAT:FQL_AUDITING_CLIENT_TEMPLATE.FAT&amp;display_string=Audit&amp;VAR:KEY=JWHWRCLGTA&amp;VAR:QUERY=RkZfRUJJVERBX0lCKCdMVE1TJywzODU0NSk=&amp;WINDOW=FIRST_POPUP&amp;HEIGHT=450&amp;WIDTH=450&amp;START_MA","XIMIZED=FALSE&amp;VAR:CALENDAR=US&amp;VAR:SYMBOL=N0098510&amp;VAR:INDEX=0"}</definedName>
    <definedName name="_7169__FDSAUDITLINK__" localSheetId="6" hidden="1">{"fdsup://directions/FAT Viewer?action=UPDATE&amp;creator=factset&amp;DYN_ARGS=TRUE&amp;DOC_NAME=FAT:FQL_AUDITING_CLIENT_TEMPLATE.FAT&amp;display_string=Audit&amp;VAR:KEY=XSVIPGTQHE&amp;VAR:QUERY=RkZfRUJJVERBX0lCKCdMVE1TJywzODU0NCk=&amp;WINDOW=FIRST_POPUP&amp;HEIGHT=450&amp;WIDTH=450&amp;START_MA","XIMIZED=FALSE&amp;VAR:CALENDAR=US&amp;VAR:SYMBOL=N0098510&amp;VAR:INDEX=0"}</definedName>
    <definedName name="_7169__FDSAUDITLINK__" hidden="1">{"fdsup://directions/FAT Viewer?action=UPDATE&amp;creator=factset&amp;DYN_ARGS=TRUE&amp;DOC_NAME=FAT:FQL_AUDITING_CLIENT_TEMPLATE.FAT&amp;display_string=Audit&amp;VAR:KEY=XSVIPGTQHE&amp;VAR:QUERY=RkZfRUJJVERBX0lCKCdMVE1TJywzODU0NCk=&amp;WINDOW=FIRST_POPUP&amp;HEIGHT=450&amp;WIDTH=450&amp;START_MA","XIMIZED=FALSE&amp;VAR:CALENDAR=US&amp;VAR:SYMBOL=N0098510&amp;VAR:INDEX=0"}</definedName>
    <definedName name="_717__FDSAUDITLINK__" localSheetId="6" hidden="1">{"fdsup://directions/FAT%20Viewer?VAR:PED=LTM&amp;VAR:AUDIT_MODE=SUMMARY&amp;VAR:PERIOD=FIXED&amp;VAR:AUDIT_ID=00000117&amp;VAR:DATE=20080306&amp;action=UPDATE&amp;creator=factset&amp;DOC_NAME=FAT:FMA_audit_SUMMARY.fat&amp;DISPLAY_STRING=Display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7__FDSAUDITLINK__" hidden="1">{"fdsup://directions/FAT%20Viewer?VAR:PED=LTM&amp;VAR:AUDIT_MODE=SUMMARY&amp;VAR:PERIOD=FIXED&amp;VAR:AUDIT_ID=00000117&amp;VAR:DATE=20080306&amp;action=UPDATE&amp;creator=factset&amp;DOC_NAME=FAT:FMA_audit_SUMMARY.fat&amp;DISPLAY_STRING=Display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70__FDSAUDITLINK__" localSheetId="6" hidden="1">{"fdsup://directions/FAT Viewer?action=UPDATE&amp;creator=factset&amp;DYN_ARGS=TRUE&amp;DOC_NAME=FAT:FQL_AUDITING_CLIENT_TEMPLATE.FAT&amp;display_string=Audit&amp;VAR:KEY=LULKPYHQVK&amp;VAR:QUERY=RkZfRUJJVERBX0lCKCdMVE1TJywzODU0Myk=&amp;WINDOW=FIRST_POPUP&amp;HEIGHT=450&amp;WIDTH=450&amp;START_MA","XIMIZED=FALSE&amp;VAR:CALENDAR=US&amp;VAR:SYMBOL=N0098510&amp;VAR:INDEX=0"}</definedName>
    <definedName name="_7170__FDSAUDITLINK__" hidden="1">{"fdsup://directions/FAT Viewer?action=UPDATE&amp;creator=factset&amp;DYN_ARGS=TRUE&amp;DOC_NAME=FAT:FQL_AUDITING_CLIENT_TEMPLATE.FAT&amp;display_string=Audit&amp;VAR:KEY=LULKPYHQVK&amp;VAR:QUERY=RkZfRUJJVERBX0lCKCdMVE1TJywzODU0Myk=&amp;WINDOW=FIRST_POPUP&amp;HEIGHT=450&amp;WIDTH=450&amp;START_MA","XIMIZED=FALSE&amp;VAR:CALENDAR=US&amp;VAR:SYMBOL=N0098510&amp;VAR:INDEX=0"}</definedName>
    <definedName name="_7171__FDSAUDITLINK__" localSheetId="6" hidden="1">{"fdsup://directions/FAT Viewer?action=UPDATE&amp;creator=factset&amp;DYN_ARGS=TRUE&amp;DOC_NAME=FAT:FQL_AUDITING_CLIENT_TEMPLATE.FAT&amp;display_string=Audit&amp;VAR:KEY=JIDWRURWNC&amp;VAR:QUERY=RkZfRUJJVERBX0lCKCdMVE1TJywzODU0Mik=&amp;WINDOW=FIRST_POPUP&amp;HEIGHT=450&amp;WIDTH=450&amp;START_MA","XIMIZED=FALSE&amp;VAR:CALENDAR=US&amp;VAR:SYMBOL=N0098510&amp;VAR:INDEX=0"}</definedName>
    <definedName name="_7171__FDSAUDITLINK__" hidden="1">{"fdsup://directions/FAT Viewer?action=UPDATE&amp;creator=factset&amp;DYN_ARGS=TRUE&amp;DOC_NAME=FAT:FQL_AUDITING_CLIENT_TEMPLATE.FAT&amp;display_string=Audit&amp;VAR:KEY=JIDWRURWNC&amp;VAR:QUERY=RkZfRUJJVERBX0lCKCdMVE1TJywzODU0Mik=&amp;WINDOW=FIRST_POPUP&amp;HEIGHT=450&amp;WIDTH=450&amp;START_MA","XIMIZED=FALSE&amp;VAR:CALENDAR=US&amp;VAR:SYMBOL=N0098510&amp;VAR:INDEX=0"}</definedName>
    <definedName name="_7172__FDSAUDITLINK__" localSheetId="6" hidden="1">{"fdsup://directions/FAT Viewer?action=UPDATE&amp;creator=factset&amp;DYN_ARGS=TRUE&amp;DOC_NAME=FAT:FQL_AUDITING_CLIENT_TEMPLATE.FAT&amp;display_string=Audit&amp;VAR:KEY=DINMNAXENU&amp;VAR:QUERY=RkZfRUJJVERBX0lCKCdMVE1TJywzODU0MSk=&amp;WINDOW=FIRST_POPUP&amp;HEIGHT=450&amp;WIDTH=450&amp;START_MA","XIMIZED=FALSE&amp;VAR:CALENDAR=US&amp;VAR:SYMBOL=N0098510&amp;VAR:INDEX=0"}</definedName>
    <definedName name="_7172__FDSAUDITLINK__" hidden="1">{"fdsup://directions/FAT Viewer?action=UPDATE&amp;creator=factset&amp;DYN_ARGS=TRUE&amp;DOC_NAME=FAT:FQL_AUDITING_CLIENT_TEMPLATE.FAT&amp;display_string=Audit&amp;VAR:KEY=DINMNAXENU&amp;VAR:QUERY=RkZfRUJJVERBX0lCKCdMVE1TJywzODU0MSk=&amp;WINDOW=FIRST_POPUP&amp;HEIGHT=450&amp;WIDTH=450&amp;START_MA","XIMIZED=FALSE&amp;VAR:CALENDAR=US&amp;VAR:SYMBOL=N0098510&amp;VAR:INDEX=0"}</definedName>
    <definedName name="_7173__FDSAUDITLINK__" localSheetId="6" hidden="1">{"fdsup://directions/FAT Viewer?action=UPDATE&amp;creator=factset&amp;DYN_ARGS=TRUE&amp;DOC_NAME=FAT:FQL_AUDITING_CLIENT_TEMPLATE.FAT&amp;display_string=Audit&amp;VAR:KEY=BGXUZKJKTG&amp;VAR:QUERY=RkZfRUJJVERBX0lCKCdMVE1TJywzODU0MCk=&amp;WINDOW=FIRST_POPUP&amp;HEIGHT=450&amp;WIDTH=450&amp;START_MA","XIMIZED=FALSE&amp;VAR:CALENDAR=US&amp;VAR:SYMBOL=N0098510&amp;VAR:INDEX=0"}</definedName>
    <definedName name="_7173__FDSAUDITLINK__" hidden="1">{"fdsup://directions/FAT Viewer?action=UPDATE&amp;creator=factset&amp;DYN_ARGS=TRUE&amp;DOC_NAME=FAT:FQL_AUDITING_CLIENT_TEMPLATE.FAT&amp;display_string=Audit&amp;VAR:KEY=BGXUZKJKTG&amp;VAR:QUERY=RkZfRUJJVERBX0lCKCdMVE1TJywzODU0MCk=&amp;WINDOW=FIRST_POPUP&amp;HEIGHT=450&amp;WIDTH=450&amp;START_MA","XIMIZED=FALSE&amp;VAR:CALENDAR=US&amp;VAR:SYMBOL=N0098510&amp;VAR:INDEX=0"}</definedName>
    <definedName name="_7174__FDSAUDITLINK__" localSheetId="6" hidden="1">{"fdsup://directions/FAT Viewer?action=UPDATE&amp;creator=factset&amp;DYN_ARGS=TRUE&amp;DOC_NAME=FAT:FQL_AUDITING_CLIENT_TEMPLATE.FAT&amp;display_string=Audit&amp;VAR:KEY=NKREFUXSDU&amp;VAR:QUERY=RkZfRUJJVERBX0lCKCdMVE1TJywzODUzOSk=&amp;WINDOW=FIRST_POPUP&amp;HEIGHT=450&amp;WIDTH=450&amp;START_MA","XIMIZED=FALSE&amp;VAR:CALENDAR=US&amp;VAR:SYMBOL=N0098510&amp;VAR:INDEX=0"}</definedName>
    <definedName name="_7174__FDSAUDITLINK__" hidden="1">{"fdsup://directions/FAT Viewer?action=UPDATE&amp;creator=factset&amp;DYN_ARGS=TRUE&amp;DOC_NAME=FAT:FQL_AUDITING_CLIENT_TEMPLATE.FAT&amp;display_string=Audit&amp;VAR:KEY=NKREFUXSDU&amp;VAR:QUERY=RkZfRUJJVERBX0lCKCdMVE1TJywzODUzOSk=&amp;WINDOW=FIRST_POPUP&amp;HEIGHT=450&amp;WIDTH=450&amp;START_MA","XIMIZED=FALSE&amp;VAR:CALENDAR=US&amp;VAR:SYMBOL=N0098510&amp;VAR:INDEX=0"}</definedName>
    <definedName name="_7175__FDSAUDITLINK__" localSheetId="6" hidden="1">{"fdsup://directions/FAT Viewer?action=UPDATE&amp;creator=factset&amp;DYN_ARGS=TRUE&amp;DOC_NAME=FAT:FQL_AUDITING_CLIENT_TEMPLATE.FAT&amp;display_string=Audit&amp;VAR:KEY=TEXGTUDIRC&amp;VAR:QUERY=RkZfRUJJVERBX0lCKCdMVE1TJywzODUzOCk=&amp;WINDOW=FIRST_POPUP&amp;HEIGHT=450&amp;WIDTH=450&amp;START_MA","XIMIZED=FALSE&amp;VAR:CALENDAR=US&amp;VAR:SYMBOL=N0098510&amp;VAR:INDEX=0"}</definedName>
    <definedName name="_7175__FDSAUDITLINK__" hidden="1">{"fdsup://directions/FAT Viewer?action=UPDATE&amp;creator=factset&amp;DYN_ARGS=TRUE&amp;DOC_NAME=FAT:FQL_AUDITING_CLIENT_TEMPLATE.FAT&amp;display_string=Audit&amp;VAR:KEY=TEXGTUDIRC&amp;VAR:QUERY=RkZfRUJJVERBX0lCKCdMVE1TJywzODUzOCk=&amp;WINDOW=FIRST_POPUP&amp;HEIGHT=450&amp;WIDTH=450&amp;START_MA","XIMIZED=FALSE&amp;VAR:CALENDAR=US&amp;VAR:SYMBOL=N0098510&amp;VAR:INDEX=0"}</definedName>
    <definedName name="_7176__FDSAUDITLINK__" localSheetId="6" hidden="1">{"fdsup://directions/FAT Viewer?action=UPDATE&amp;creator=factset&amp;DYN_ARGS=TRUE&amp;DOC_NAME=FAT:FQL_AUDITING_CLIENT_TEMPLATE.FAT&amp;display_string=Audit&amp;VAR:KEY=FYJKRYVSVY&amp;VAR:QUERY=RkZfRUJJVERBX0lCKCdMVE1TJywzODUzNyk=&amp;WINDOW=FIRST_POPUP&amp;HEIGHT=450&amp;WIDTH=450&amp;START_MA","XIMIZED=FALSE&amp;VAR:CALENDAR=US&amp;VAR:SYMBOL=N0098510&amp;VAR:INDEX=0"}</definedName>
    <definedName name="_7176__FDSAUDITLINK__" hidden="1">{"fdsup://directions/FAT Viewer?action=UPDATE&amp;creator=factset&amp;DYN_ARGS=TRUE&amp;DOC_NAME=FAT:FQL_AUDITING_CLIENT_TEMPLATE.FAT&amp;display_string=Audit&amp;VAR:KEY=FYJKRYVSVY&amp;VAR:QUERY=RkZfRUJJVERBX0lCKCdMVE1TJywzODUzNyk=&amp;WINDOW=FIRST_POPUP&amp;HEIGHT=450&amp;WIDTH=450&amp;START_MA","XIMIZED=FALSE&amp;VAR:CALENDAR=US&amp;VAR:SYMBOL=N0098510&amp;VAR:INDEX=0"}</definedName>
    <definedName name="_7177__FDSAUDITLINK__" localSheetId="6" hidden="1">{"fdsup://directions/FAT Viewer?action=UPDATE&amp;creator=factset&amp;DYN_ARGS=TRUE&amp;DOC_NAME=FAT:FQL_AUDITING_CLIENT_TEMPLATE.FAT&amp;display_string=Audit&amp;VAR:KEY=HIXSFQTCFS&amp;VAR:QUERY=RkZfRUJJVERBX0lCKCdMVE1TJywzODUzNik=&amp;WINDOW=FIRST_POPUP&amp;HEIGHT=450&amp;WIDTH=450&amp;START_MA","XIMIZED=FALSE&amp;VAR:CALENDAR=US&amp;VAR:SYMBOL=N0098510&amp;VAR:INDEX=0"}</definedName>
    <definedName name="_7177__FDSAUDITLINK__" hidden="1">{"fdsup://directions/FAT Viewer?action=UPDATE&amp;creator=factset&amp;DYN_ARGS=TRUE&amp;DOC_NAME=FAT:FQL_AUDITING_CLIENT_TEMPLATE.FAT&amp;display_string=Audit&amp;VAR:KEY=HIXSFQTCFS&amp;VAR:QUERY=RkZfRUJJVERBX0lCKCdMVE1TJywzODUzNik=&amp;WINDOW=FIRST_POPUP&amp;HEIGHT=450&amp;WIDTH=450&amp;START_MA","XIMIZED=FALSE&amp;VAR:CALENDAR=US&amp;VAR:SYMBOL=N0098510&amp;VAR:INDEX=0"}</definedName>
    <definedName name="_7178__FDSAUDITLINK__" localSheetId="6" hidden="1">{"fdsup://directions/FAT Viewer?action=UPDATE&amp;creator=factset&amp;DYN_ARGS=TRUE&amp;DOC_NAME=FAT:FQL_AUDITING_CLIENT_TEMPLATE.FAT&amp;display_string=Audit&amp;VAR:KEY=HIFKPMHKDQ&amp;VAR:QUERY=RkZfRUJJVERBX0lCKCdMVE1TJywzODUzNSk=&amp;WINDOW=FIRST_POPUP&amp;HEIGHT=450&amp;WIDTH=450&amp;START_MA","XIMIZED=FALSE&amp;VAR:CALENDAR=US&amp;VAR:SYMBOL=N0098510&amp;VAR:INDEX=0"}</definedName>
    <definedName name="_7178__FDSAUDITLINK__" hidden="1">{"fdsup://directions/FAT Viewer?action=UPDATE&amp;creator=factset&amp;DYN_ARGS=TRUE&amp;DOC_NAME=FAT:FQL_AUDITING_CLIENT_TEMPLATE.FAT&amp;display_string=Audit&amp;VAR:KEY=HIFKPMHKDQ&amp;VAR:QUERY=RkZfRUJJVERBX0lCKCdMVE1TJywzODUzNSk=&amp;WINDOW=FIRST_POPUP&amp;HEIGHT=450&amp;WIDTH=450&amp;START_MA","XIMIZED=FALSE&amp;VAR:CALENDAR=US&amp;VAR:SYMBOL=N0098510&amp;VAR:INDEX=0"}</definedName>
    <definedName name="_7179__FDSAUDITLINK__" localSheetId="6" hidden="1">{"fdsup://directions/FAT Viewer?action=UPDATE&amp;creator=factset&amp;DYN_ARGS=TRUE&amp;DOC_NAME=FAT:FQL_AUDITING_CLIENT_TEMPLATE.FAT&amp;display_string=Audit&amp;VAR:KEY=LWRYLMJAPM&amp;VAR:QUERY=RkZfRUJJVERBX0lCKCdMVE1TJywzODUzNCk=&amp;WINDOW=FIRST_POPUP&amp;HEIGHT=450&amp;WIDTH=450&amp;START_MA","XIMIZED=FALSE&amp;VAR:CALENDAR=US&amp;VAR:SYMBOL=N0098510&amp;VAR:INDEX=0"}</definedName>
    <definedName name="_7179__FDSAUDITLINK__" hidden="1">{"fdsup://directions/FAT Viewer?action=UPDATE&amp;creator=factset&amp;DYN_ARGS=TRUE&amp;DOC_NAME=FAT:FQL_AUDITING_CLIENT_TEMPLATE.FAT&amp;display_string=Audit&amp;VAR:KEY=LWRYLMJAPM&amp;VAR:QUERY=RkZfRUJJVERBX0lCKCdMVE1TJywzODUzNCk=&amp;WINDOW=FIRST_POPUP&amp;HEIGHT=450&amp;WIDTH=450&amp;START_MA","XIMIZED=FALSE&amp;VAR:CALENDAR=US&amp;VAR:SYMBOL=N0098510&amp;VAR:INDEX=0"}</definedName>
    <definedName name="_718__FDSAUDITLINK__" localSheetId="6" hidden="1">{"fdsup://directions/FAT%20Viewer?VAR:PED=LTM&amp;VAR:AUDIT_MODE=SUMMARY&amp;VAR:PERIOD=FIXED&amp;VAR:AUDIT_ID=00000117&amp;VAR:DATE=20080305&amp;action=UPDATE&amp;creator=factset&amp;DOC_NAME=FAT:FMA_audit_SUMMARY.fat&amp;DISPLAY_STRING=Display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8__FDSAUDITLINK__" hidden="1">{"fdsup://directions/FAT%20Viewer?VAR:PED=LTM&amp;VAR:AUDIT_MODE=SUMMARY&amp;VAR:PERIOD=FIXED&amp;VAR:AUDIT_ID=00000117&amp;VAR:DATE=20080305&amp;action=UPDATE&amp;creator=factset&amp;DOC_NAME=FAT:FMA_audit_SUMMARY.fat&amp;DISPLAY_STRING=Display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80__FDSAUDITLINK__" localSheetId="6" hidden="1">{"fdsup://directions/FAT Viewer?action=UPDATE&amp;creator=factset&amp;DYN_ARGS=TRUE&amp;DOC_NAME=FAT:FQL_AUDITING_CLIENT_TEMPLATE.FAT&amp;display_string=Audit&amp;VAR:KEY=XCBGLYTOXU&amp;VAR:QUERY=RkZfRUJJVERBX0lCKCdMVE1TJywzODUzMyk=&amp;WINDOW=FIRST_POPUP&amp;HEIGHT=450&amp;WIDTH=450&amp;START_MA","XIMIZED=FALSE&amp;VAR:CALENDAR=US&amp;VAR:SYMBOL=N0098510&amp;VAR:INDEX=0"}</definedName>
    <definedName name="_7180__FDSAUDITLINK__" hidden="1">{"fdsup://directions/FAT Viewer?action=UPDATE&amp;creator=factset&amp;DYN_ARGS=TRUE&amp;DOC_NAME=FAT:FQL_AUDITING_CLIENT_TEMPLATE.FAT&amp;display_string=Audit&amp;VAR:KEY=XCBGLYTOXU&amp;VAR:QUERY=RkZfRUJJVERBX0lCKCdMVE1TJywzODUzMyk=&amp;WINDOW=FIRST_POPUP&amp;HEIGHT=450&amp;WIDTH=450&amp;START_MA","XIMIZED=FALSE&amp;VAR:CALENDAR=US&amp;VAR:SYMBOL=N0098510&amp;VAR:INDEX=0"}</definedName>
    <definedName name="_7181__FDSAUDITLINK__" localSheetId="6" hidden="1">{"fdsup://directions/FAT Viewer?action=UPDATE&amp;creator=factset&amp;DYN_ARGS=TRUE&amp;DOC_NAME=FAT:FQL_AUDITING_CLIENT_TEMPLATE.FAT&amp;display_string=Audit&amp;VAR:KEY=BULGFOBAXO&amp;VAR:QUERY=RkZfRUJJVERBX0lCKCdMVE1TJywzODUzMik=&amp;WINDOW=FIRST_POPUP&amp;HEIGHT=450&amp;WIDTH=450&amp;START_MA","XIMIZED=FALSE&amp;VAR:CALENDAR=US&amp;VAR:SYMBOL=N0098510&amp;VAR:INDEX=0"}</definedName>
    <definedName name="_7181__FDSAUDITLINK__" hidden="1">{"fdsup://directions/FAT Viewer?action=UPDATE&amp;creator=factset&amp;DYN_ARGS=TRUE&amp;DOC_NAME=FAT:FQL_AUDITING_CLIENT_TEMPLATE.FAT&amp;display_string=Audit&amp;VAR:KEY=BULGFOBAXO&amp;VAR:QUERY=RkZfRUJJVERBX0lCKCdMVE1TJywzODUzMik=&amp;WINDOW=FIRST_POPUP&amp;HEIGHT=450&amp;WIDTH=450&amp;START_MA","XIMIZED=FALSE&amp;VAR:CALENDAR=US&amp;VAR:SYMBOL=N0098510&amp;VAR:INDEX=0"}</definedName>
    <definedName name="_7182__FDSAUDITLINK__" localSheetId="6" hidden="1">{"fdsup://directions/FAT Viewer?action=UPDATE&amp;creator=factset&amp;DYN_ARGS=TRUE&amp;DOC_NAME=FAT:FQL_AUDITING_CLIENT_TEMPLATE.FAT&amp;display_string=Audit&amp;VAR:KEY=REJSFSTONK&amp;VAR:QUERY=RkZfRUJJVERBX0lCKCdMVE1TJywzODUzMSk=&amp;WINDOW=FIRST_POPUP&amp;HEIGHT=450&amp;WIDTH=450&amp;START_MA","XIMIZED=FALSE&amp;VAR:CALENDAR=US&amp;VAR:SYMBOL=N0098510&amp;VAR:INDEX=0"}</definedName>
    <definedName name="_7182__FDSAUDITLINK__" hidden="1">{"fdsup://directions/FAT Viewer?action=UPDATE&amp;creator=factset&amp;DYN_ARGS=TRUE&amp;DOC_NAME=FAT:FQL_AUDITING_CLIENT_TEMPLATE.FAT&amp;display_string=Audit&amp;VAR:KEY=REJSFSTONK&amp;VAR:QUERY=RkZfRUJJVERBX0lCKCdMVE1TJywzODUzMSk=&amp;WINDOW=FIRST_POPUP&amp;HEIGHT=450&amp;WIDTH=450&amp;START_MA","XIMIZED=FALSE&amp;VAR:CALENDAR=US&amp;VAR:SYMBOL=N0098510&amp;VAR:INDEX=0"}</definedName>
    <definedName name="_7183__FDSAUDITLINK__" localSheetId="6" hidden="1">{"fdsup://directions/FAT Viewer?action=UPDATE&amp;creator=factset&amp;DYN_ARGS=TRUE&amp;DOC_NAME=FAT:FQL_AUDITING_CLIENT_TEMPLATE.FAT&amp;display_string=Audit&amp;VAR:KEY=TCDKXQBIDI&amp;VAR:QUERY=RkZfRUJJVERBX0lCKCdMVE1TJywzODUzMCk=&amp;WINDOW=FIRST_POPUP&amp;HEIGHT=450&amp;WIDTH=450&amp;START_MA","XIMIZED=FALSE&amp;VAR:CALENDAR=US&amp;VAR:SYMBOL=N0098510&amp;VAR:INDEX=0"}</definedName>
    <definedName name="_7183__FDSAUDITLINK__" hidden="1">{"fdsup://directions/FAT Viewer?action=UPDATE&amp;creator=factset&amp;DYN_ARGS=TRUE&amp;DOC_NAME=FAT:FQL_AUDITING_CLIENT_TEMPLATE.FAT&amp;display_string=Audit&amp;VAR:KEY=TCDKXQBIDI&amp;VAR:QUERY=RkZfRUJJVERBX0lCKCdMVE1TJywzODUzMCk=&amp;WINDOW=FIRST_POPUP&amp;HEIGHT=450&amp;WIDTH=450&amp;START_MA","XIMIZED=FALSE&amp;VAR:CALENDAR=US&amp;VAR:SYMBOL=N0098510&amp;VAR:INDEX=0"}</definedName>
    <definedName name="_7184__FDSAUDITLINK__" localSheetId="6" hidden="1">{"fdsup://directions/FAT Viewer?action=UPDATE&amp;creator=factset&amp;DYN_ARGS=TRUE&amp;DOC_NAME=FAT:FQL_AUDITING_CLIENT_TEMPLATE.FAT&amp;display_string=Audit&amp;VAR:KEY=JOJMRAPMDG&amp;VAR:QUERY=RkZfRUJJVERBX0lCKCdMVE1TJywzODUyOSk=&amp;WINDOW=FIRST_POPUP&amp;HEIGHT=450&amp;WIDTH=450&amp;START_MA","XIMIZED=FALSE&amp;VAR:CALENDAR=US&amp;VAR:SYMBOL=N0098510&amp;VAR:INDEX=0"}</definedName>
    <definedName name="_7184__FDSAUDITLINK__" hidden="1">{"fdsup://directions/FAT Viewer?action=UPDATE&amp;creator=factset&amp;DYN_ARGS=TRUE&amp;DOC_NAME=FAT:FQL_AUDITING_CLIENT_TEMPLATE.FAT&amp;display_string=Audit&amp;VAR:KEY=JOJMRAPMDG&amp;VAR:QUERY=RkZfRUJJVERBX0lCKCdMVE1TJywzODUyOSk=&amp;WINDOW=FIRST_POPUP&amp;HEIGHT=450&amp;WIDTH=450&amp;START_MA","XIMIZED=FALSE&amp;VAR:CALENDAR=US&amp;VAR:SYMBOL=N0098510&amp;VAR:INDEX=0"}</definedName>
    <definedName name="_7185__FDSAUDITLINK__" localSheetId="6" hidden="1">{"fdsup://directions/FAT Viewer?action=UPDATE&amp;creator=factset&amp;DYN_ARGS=TRUE&amp;DOC_NAME=FAT:FQL_AUDITING_CLIENT_TEMPLATE.FAT&amp;display_string=Audit&amp;VAR:KEY=NWJGVWXGDY&amp;VAR:QUERY=RkZfRUJJVERBX0lCKCdMVE1TJywzODUyOCk=&amp;WINDOW=FIRST_POPUP&amp;HEIGHT=450&amp;WIDTH=450&amp;START_MA","XIMIZED=FALSE&amp;VAR:CALENDAR=US&amp;VAR:SYMBOL=N0098510&amp;VAR:INDEX=0"}</definedName>
    <definedName name="_7185__FDSAUDITLINK__" hidden="1">{"fdsup://directions/FAT Viewer?action=UPDATE&amp;creator=factset&amp;DYN_ARGS=TRUE&amp;DOC_NAME=FAT:FQL_AUDITING_CLIENT_TEMPLATE.FAT&amp;display_string=Audit&amp;VAR:KEY=NWJGVWXGDY&amp;VAR:QUERY=RkZfRUJJVERBX0lCKCdMVE1TJywzODUyOCk=&amp;WINDOW=FIRST_POPUP&amp;HEIGHT=450&amp;WIDTH=450&amp;START_MA","XIMIZED=FALSE&amp;VAR:CALENDAR=US&amp;VAR:SYMBOL=N0098510&amp;VAR:INDEX=0"}</definedName>
    <definedName name="_7186__FDSAUDITLINK__" localSheetId="6" hidden="1">{"fdsup://directions/FAT Viewer?action=UPDATE&amp;creator=factset&amp;DYN_ARGS=TRUE&amp;DOC_NAME=FAT:FQL_AUDITING_CLIENT_TEMPLATE.FAT&amp;display_string=Audit&amp;VAR:KEY=VCJIBEHYTS&amp;VAR:QUERY=RkZfRUJJVERBX0lCKCdMVE1TJywzODUyNyk=&amp;WINDOW=FIRST_POPUP&amp;HEIGHT=450&amp;WIDTH=450&amp;START_MA","XIMIZED=FALSE&amp;VAR:CALENDAR=US&amp;VAR:SYMBOL=N0098510&amp;VAR:INDEX=0"}</definedName>
    <definedName name="_7186__FDSAUDITLINK__" hidden="1">{"fdsup://directions/FAT Viewer?action=UPDATE&amp;creator=factset&amp;DYN_ARGS=TRUE&amp;DOC_NAME=FAT:FQL_AUDITING_CLIENT_TEMPLATE.FAT&amp;display_string=Audit&amp;VAR:KEY=VCJIBEHYTS&amp;VAR:QUERY=RkZfRUJJVERBX0lCKCdMVE1TJywzODUyNyk=&amp;WINDOW=FIRST_POPUP&amp;HEIGHT=450&amp;WIDTH=450&amp;START_MA","XIMIZED=FALSE&amp;VAR:CALENDAR=US&amp;VAR:SYMBOL=N0098510&amp;VAR:INDEX=0"}</definedName>
    <definedName name="_7187__FDSAUDITLINK__" localSheetId="6" hidden="1">{"fdsup://directions/FAT Viewer?action=UPDATE&amp;creator=factset&amp;DYN_ARGS=TRUE&amp;DOC_NAME=FAT:FQL_AUDITING_CLIENT_TEMPLATE.FAT&amp;display_string=Audit&amp;VAR:KEY=BQZMLKVILC&amp;VAR:QUERY=RkZfRUJJVERBX0lCKCdMVE1TJywzODUyNik=&amp;WINDOW=FIRST_POPUP&amp;HEIGHT=450&amp;WIDTH=450&amp;START_MA","XIMIZED=FALSE&amp;VAR:CALENDAR=US&amp;VAR:SYMBOL=N0098510&amp;VAR:INDEX=0"}</definedName>
    <definedName name="_7187__FDSAUDITLINK__" hidden="1">{"fdsup://directions/FAT Viewer?action=UPDATE&amp;creator=factset&amp;DYN_ARGS=TRUE&amp;DOC_NAME=FAT:FQL_AUDITING_CLIENT_TEMPLATE.FAT&amp;display_string=Audit&amp;VAR:KEY=BQZMLKVILC&amp;VAR:QUERY=RkZfRUJJVERBX0lCKCdMVE1TJywzODUyNik=&amp;WINDOW=FIRST_POPUP&amp;HEIGHT=450&amp;WIDTH=450&amp;START_MA","XIMIZED=FALSE&amp;VAR:CALENDAR=US&amp;VAR:SYMBOL=N0098510&amp;VAR:INDEX=0"}</definedName>
    <definedName name="_7188__FDSAUDITLINK__" localSheetId="6" hidden="1">{"fdsup://directions/FAT Viewer?action=UPDATE&amp;creator=factset&amp;DYN_ARGS=TRUE&amp;DOC_NAME=FAT:FQL_AUDITING_CLIENT_TEMPLATE.FAT&amp;display_string=Audit&amp;VAR:KEY=DQHWFCDULY&amp;VAR:QUERY=RkZfRUJJVERBX0lCKCdMVE1TJywzODUyNSk=&amp;WINDOW=FIRST_POPUP&amp;HEIGHT=450&amp;WIDTH=450&amp;START_MA","XIMIZED=FALSE&amp;VAR:CALENDAR=US&amp;VAR:SYMBOL=N0098510&amp;VAR:INDEX=0"}</definedName>
    <definedName name="_7188__FDSAUDITLINK__" hidden="1">{"fdsup://directions/FAT Viewer?action=UPDATE&amp;creator=factset&amp;DYN_ARGS=TRUE&amp;DOC_NAME=FAT:FQL_AUDITING_CLIENT_TEMPLATE.FAT&amp;display_string=Audit&amp;VAR:KEY=DQHWFCDULY&amp;VAR:QUERY=RkZfRUJJVERBX0lCKCdMVE1TJywzODUyNSk=&amp;WINDOW=FIRST_POPUP&amp;HEIGHT=450&amp;WIDTH=450&amp;START_MA","XIMIZED=FALSE&amp;VAR:CALENDAR=US&amp;VAR:SYMBOL=N0098510&amp;VAR:INDEX=0"}</definedName>
    <definedName name="_7189__FDSAUDITLINK__" localSheetId="6" hidden="1">{"fdsup://directions/FAT Viewer?action=UPDATE&amp;creator=factset&amp;DYN_ARGS=TRUE&amp;DOC_NAME=FAT:FQL_AUDITING_CLIENT_TEMPLATE.FAT&amp;display_string=Audit&amp;VAR:KEY=FSJWZKFIDG&amp;VAR:QUERY=RkZfRUJJVERBX0lCKCdMVE1TJywzODUyNCk=&amp;WINDOW=FIRST_POPUP&amp;HEIGHT=450&amp;WIDTH=450&amp;START_MA","XIMIZED=FALSE&amp;VAR:CALENDAR=US&amp;VAR:SYMBOL=N0098510&amp;VAR:INDEX=0"}</definedName>
    <definedName name="_7189__FDSAUDITLINK__" hidden="1">{"fdsup://directions/FAT Viewer?action=UPDATE&amp;creator=factset&amp;DYN_ARGS=TRUE&amp;DOC_NAME=FAT:FQL_AUDITING_CLIENT_TEMPLATE.FAT&amp;display_string=Audit&amp;VAR:KEY=FSJWZKFIDG&amp;VAR:QUERY=RkZfRUJJVERBX0lCKCdMVE1TJywzODUyNCk=&amp;WINDOW=FIRST_POPUP&amp;HEIGHT=450&amp;WIDTH=450&amp;START_MA","XIMIZED=FALSE&amp;VAR:CALENDAR=US&amp;VAR:SYMBOL=N0098510&amp;VAR:INDEX=0"}</definedName>
    <definedName name="_719__FDSAUDITLINK__" localSheetId="6" hidden="1">{"fdsup://directions/FAT%20Viewer?VAR:PED=LTM&amp;VAR:AUDIT_MODE=SUMMARY&amp;VAR:PERIOD=FIXED&amp;VAR:AUDIT_ID=00000117&amp;VAR:DATE=20080304&amp;action=UPDATE&amp;creator=factset&amp;DOC_NAME=FAT:FMA_audit_SUMMARY.fat&amp;DISPLAY_STRING=Display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9__FDSAUDITLINK__" hidden="1">{"fdsup://directions/FAT%20Viewer?VAR:PED=LTM&amp;VAR:AUDIT_MODE=SUMMARY&amp;VAR:PERIOD=FIXED&amp;VAR:AUDIT_ID=00000117&amp;VAR:DATE=20080304&amp;action=UPDATE&amp;creator=factset&amp;DOC_NAME=FAT:FMA_audit_SUMMARY.fat&amp;DISPLAY_STRING=Display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190__FDSAUDITLINK__" localSheetId="6" hidden="1">{"fdsup://directions/FAT Viewer?action=UPDATE&amp;creator=factset&amp;DYN_ARGS=TRUE&amp;DOC_NAME=FAT:FQL_AUDITING_CLIENT_TEMPLATE.FAT&amp;display_string=Audit&amp;VAR:KEY=HADQZOJAXQ&amp;VAR:QUERY=RkZfRUJJVERBX0lCKCdMVE1TJywzODUyMyk=&amp;WINDOW=FIRST_POPUP&amp;HEIGHT=450&amp;WIDTH=450&amp;START_MA","XIMIZED=FALSE&amp;VAR:CALENDAR=US&amp;VAR:SYMBOL=N0098510&amp;VAR:INDEX=0"}</definedName>
    <definedName name="_7190__FDSAUDITLINK__" hidden="1">{"fdsup://directions/FAT Viewer?action=UPDATE&amp;creator=factset&amp;DYN_ARGS=TRUE&amp;DOC_NAME=FAT:FQL_AUDITING_CLIENT_TEMPLATE.FAT&amp;display_string=Audit&amp;VAR:KEY=HADQZOJAXQ&amp;VAR:QUERY=RkZfRUJJVERBX0lCKCdMVE1TJywzODUyMyk=&amp;WINDOW=FIRST_POPUP&amp;HEIGHT=450&amp;WIDTH=450&amp;START_MA","XIMIZED=FALSE&amp;VAR:CALENDAR=US&amp;VAR:SYMBOL=N0098510&amp;VAR:INDEX=0"}</definedName>
    <definedName name="_7191__FDSAUDITLINK__" localSheetId="6" hidden="1">{"fdsup://directions/FAT Viewer?action=UPDATE&amp;creator=factset&amp;DYN_ARGS=TRUE&amp;DOC_NAME=FAT:FQL_AUDITING_CLIENT_TEMPLATE.FAT&amp;display_string=Audit&amp;VAR:KEY=ZIJOJCBGXI&amp;VAR:QUERY=RkZfRUJJVERBX0lCKCdMVE1TJywzODUyMik=&amp;WINDOW=FIRST_POPUP&amp;HEIGHT=450&amp;WIDTH=450&amp;START_MA","XIMIZED=FALSE&amp;VAR:CALENDAR=US&amp;VAR:SYMBOL=N0098510&amp;VAR:INDEX=0"}</definedName>
    <definedName name="_7191__FDSAUDITLINK__" hidden="1">{"fdsup://directions/FAT Viewer?action=UPDATE&amp;creator=factset&amp;DYN_ARGS=TRUE&amp;DOC_NAME=FAT:FQL_AUDITING_CLIENT_TEMPLATE.FAT&amp;display_string=Audit&amp;VAR:KEY=ZIJOJCBGXI&amp;VAR:QUERY=RkZfRUJJVERBX0lCKCdMVE1TJywzODUyMik=&amp;WINDOW=FIRST_POPUP&amp;HEIGHT=450&amp;WIDTH=450&amp;START_MA","XIMIZED=FALSE&amp;VAR:CALENDAR=US&amp;VAR:SYMBOL=N0098510&amp;VAR:INDEX=0"}</definedName>
    <definedName name="_7192__FDSAUDITLINK__" localSheetId="6" hidden="1">{"fdsup://directions/FAT Viewer?action=UPDATE&amp;creator=factset&amp;DYN_ARGS=TRUE&amp;DOC_NAME=FAT:FQL_AUDITING_CLIENT_TEMPLATE.FAT&amp;display_string=Audit&amp;VAR:KEY=TWBKVEHEVS&amp;VAR:QUERY=RkZfRUJJVERBX0lCKCdMVE1TJywzODUyMSk=&amp;WINDOW=FIRST_POPUP&amp;HEIGHT=450&amp;WIDTH=450&amp;START_MA","XIMIZED=FALSE&amp;VAR:CALENDAR=US&amp;VAR:SYMBOL=N0098510&amp;VAR:INDEX=0"}</definedName>
    <definedName name="_7192__FDSAUDITLINK__" hidden="1">{"fdsup://directions/FAT Viewer?action=UPDATE&amp;creator=factset&amp;DYN_ARGS=TRUE&amp;DOC_NAME=FAT:FQL_AUDITING_CLIENT_TEMPLATE.FAT&amp;display_string=Audit&amp;VAR:KEY=TWBKVEHEVS&amp;VAR:QUERY=RkZfRUJJVERBX0lCKCdMVE1TJywzODUyMSk=&amp;WINDOW=FIRST_POPUP&amp;HEIGHT=450&amp;WIDTH=450&amp;START_MA","XIMIZED=FALSE&amp;VAR:CALENDAR=US&amp;VAR:SYMBOL=N0098510&amp;VAR:INDEX=0"}</definedName>
    <definedName name="_7193__FDSAUDITLINK__" localSheetId="6" hidden="1">{"fdsup://directions/FAT Viewer?action=UPDATE&amp;creator=factset&amp;DYN_ARGS=TRUE&amp;DOC_NAME=FAT:FQL_AUDITING_CLIENT_TEMPLATE.FAT&amp;display_string=Audit&amp;VAR:KEY=VERKDYZWLY&amp;VAR:QUERY=RkZfRUJJVERBX0lCKCdMVE1TJywzODUyMCk=&amp;WINDOW=FIRST_POPUP&amp;HEIGHT=450&amp;WIDTH=450&amp;START_MA","XIMIZED=FALSE&amp;VAR:CALENDAR=US&amp;VAR:SYMBOL=N0098510&amp;VAR:INDEX=0"}</definedName>
    <definedName name="_7193__FDSAUDITLINK__" hidden="1">{"fdsup://directions/FAT Viewer?action=UPDATE&amp;creator=factset&amp;DYN_ARGS=TRUE&amp;DOC_NAME=FAT:FQL_AUDITING_CLIENT_TEMPLATE.FAT&amp;display_string=Audit&amp;VAR:KEY=VERKDYZWLY&amp;VAR:QUERY=RkZfRUJJVERBX0lCKCdMVE1TJywzODUyMCk=&amp;WINDOW=FIRST_POPUP&amp;HEIGHT=450&amp;WIDTH=450&amp;START_MA","XIMIZED=FALSE&amp;VAR:CALENDAR=US&amp;VAR:SYMBOL=N0098510&amp;VAR:INDEX=0"}</definedName>
    <definedName name="_7194__FDSAUDITLINK__" localSheetId="6" hidden="1">{"fdsup://directions/FAT Viewer?action=UPDATE&amp;creator=factset&amp;DYN_ARGS=TRUE&amp;DOC_NAME=FAT:FQL_AUDITING_CLIENT_TEMPLATE.FAT&amp;display_string=Audit&amp;VAR:KEY=BUJQLAHUXM&amp;VAR:QUERY=RkZfRUJJVERBX0lCKCdMVE1TJywzODUxOSk=&amp;WINDOW=FIRST_POPUP&amp;HEIGHT=450&amp;WIDTH=450&amp;START_MA","XIMIZED=FALSE&amp;VAR:CALENDAR=US&amp;VAR:SYMBOL=N0098510&amp;VAR:INDEX=0"}</definedName>
    <definedName name="_7194__FDSAUDITLINK__" hidden="1">{"fdsup://directions/FAT Viewer?action=UPDATE&amp;creator=factset&amp;DYN_ARGS=TRUE&amp;DOC_NAME=FAT:FQL_AUDITING_CLIENT_TEMPLATE.FAT&amp;display_string=Audit&amp;VAR:KEY=BUJQLAHUXM&amp;VAR:QUERY=RkZfRUJJVERBX0lCKCdMVE1TJywzODUxOSk=&amp;WINDOW=FIRST_POPUP&amp;HEIGHT=450&amp;WIDTH=450&amp;START_MA","XIMIZED=FALSE&amp;VAR:CALENDAR=US&amp;VAR:SYMBOL=N0098510&amp;VAR:INDEX=0"}</definedName>
    <definedName name="_7195__FDSAUDITLINK__" localSheetId="6" hidden="1">{"fdsup://directions/FAT Viewer?action=UPDATE&amp;creator=factset&amp;DYN_ARGS=TRUE&amp;DOC_NAME=FAT:FQL_AUDITING_CLIENT_TEMPLATE.FAT&amp;display_string=Audit&amp;VAR:KEY=XIDKNOBKTO&amp;VAR:QUERY=RkZfRUJJVERBX0lCKCdMVE1TJywzODUxOCk=&amp;WINDOW=FIRST_POPUP&amp;HEIGHT=450&amp;WIDTH=450&amp;START_MA","XIMIZED=FALSE&amp;VAR:CALENDAR=US&amp;VAR:SYMBOL=N0098510&amp;VAR:INDEX=0"}</definedName>
    <definedName name="_7195__FDSAUDITLINK__" hidden="1">{"fdsup://directions/FAT Viewer?action=UPDATE&amp;creator=factset&amp;DYN_ARGS=TRUE&amp;DOC_NAME=FAT:FQL_AUDITING_CLIENT_TEMPLATE.FAT&amp;display_string=Audit&amp;VAR:KEY=XIDKNOBKTO&amp;VAR:QUERY=RkZfRUJJVERBX0lCKCdMVE1TJywzODUxOCk=&amp;WINDOW=FIRST_POPUP&amp;HEIGHT=450&amp;WIDTH=450&amp;START_MA","XIMIZED=FALSE&amp;VAR:CALENDAR=US&amp;VAR:SYMBOL=N0098510&amp;VAR:INDEX=0"}</definedName>
    <definedName name="_7196__FDSAUDITLINK__" localSheetId="6" hidden="1">{"fdsup://directions/FAT Viewer?action=UPDATE&amp;creator=factset&amp;DYN_ARGS=TRUE&amp;DOC_NAME=FAT:FQL_AUDITING_CLIENT_TEMPLATE.FAT&amp;display_string=Audit&amp;VAR:KEY=TILKXOTKFW&amp;VAR:QUERY=RkZfRUJJVERBX0lCKCdMVE1TJywzODUxNyk=&amp;WINDOW=FIRST_POPUP&amp;HEIGHT=450&amp;WIDTH=450&amp;START_MA","XIMIZED=FALSE&amp;VAR:CALENDAR=US&amp;VAR:SYMBOL=N0098510&amp;VAR:INDEX=0"}</definedName>
    <definedName name="_7196__FDSAUDITLINK__" hidden="1">{"fdsup://directions/FAT Viewer?action=UPDATE&amp;creator=factset&amp;DYN_ARGS=TRUE&amp;DOC_NAME=FAT:FQL_AUDITING_CLIENT_TEMPLATE.FAT&amp;display_string=Audit&amp;VAR:KEY=TILKXOTKFW&amp;VAR:QUERY=RkZfRUJJVERBX0lCKCdMVE1TJywzODUxNyk=&amp;WINDOW=FIRST_POPUP&amp;HEIGHT=450&amp;WIDTH=450&amp;START_MA","XIMIZED=FALSE&amp;VAR:CALENDAR=US&amp;VAR:SYMBOL=N0098510&amp;VAR:INDEX=0"}</definedName>
    <definedName name="_7197__FDSAUDITLINK__" localSheetId="6" hidden="1">{"fdsup://directions/FAT Viewer?action=UPDATE&amp;creator=factset&amp;DYN_ARGS=TRUE&amp;DOC_NAME=FAT:FQL_AUDITING_CLIENT_TEMPLATE.FAT&amp;display_string=Audit&amp;VAR:KEY=VAPSXOXWHU&amp;VAR:QUERY=RkZfRUJJVERBX0lCKCdMVE1TJywzODUxNik=&amp;WINDOW=FIRST_POPUP&amp;HEIGHT=450&amp;WIDTH=450&amp;START_MA","XIMIZED=FALSE&amp;VAR:CALENDAR=US&amp;VAR:SYMBOL=N0098510&amp;VAR:INDEX=0"}</definedName>
    <definedName name="_7197__FDSAUDITLINK__" hidden="1">{"fdsup://directions/FAT Viewer?action=UPDATE&amp;creator=factset&amp;DYN_ARGS=TRUE&amp;DOC_NAME=FAT:FQL_AUDITING_CLIENT_TEMPLATE.FAT&amp;display_string=Audit&amp;VAR:KEY=VAPSXOXWHU&amp;VAR:QUERY=RkZfRUJJVERBX0lCKCdMVE1TJywzODUxNik=&amp;WINDOW=FIRST_POPUP&amp;HEIGHT=450&amp;WIDTH=450&amp;START_MA","XIMIZED=FALSE&amp;VAR:CALENDAR=US&amp;VAR:SYMBOL=N0098510&amp;VAR:INDEX=0"}</definedName>
    <definedName name="_7198__FDSAUDITLINK__" localSheetId="6" hidden="1">{"fdsup://directions/FAT Viewer?action=UPDATE&amp;creator=factset&amp;DYN_ARGS=TRUE&amp;DOC_NAME=FAT:FQL_AUDITING_CLIENT_TEMPLATE.FAT&amp;display_string=Audit&amp;VAR:KEY=RIBMDKTWBA&amp;VAR:QUERY=RkZfRUJJVERBX0lCKCdMVE1TJywzODUxNSk=&amp;WINDOW=FIRST_POPUP&amp;HEIGHT=450&amp;WIDTH=450&amp;START_MA","XIMIZED=FALSE&amp;VAR:CALENDAR=US&amp;VAR:SYMBOL=N0098510&amp;VAR:INDEX=0"}</definedName>
    <definedName name="_7198__FDSAUDITLINK__" hidden="1">{"fdsup://directions/FAT Viewer?action=UPDATE&amp;creator=factset&amp;DYN_ARGS=TRUE&amp;DOC_NAME=FAT:FQL_AUDITING_CLIENT_TEMPLATE.FAT&amp;display_string=Audit&amp;VAR:KEY=RIBMDKTWBA&amp;VAR:QUERY=RkZfRUJJVERBX0lCKCdMVE1TJywzODUxNSk=&amp;WINDOW=FIRST_POPUP&amp;HEIGHT=450&amp;WIDTH=450&amp;START_MA","XIMIZED=FALSE&amp;VAR:CALENDAR=US&amp;VAR:SYMBOL=N0098510&amp;VAR:INDEX=0"}</definedName>
    <definedName name="_7199__FDSAUDITLINK__" localSheetId="6" hidden="1">{"fdsup://directions/FAT Viewer?action=UPDATE&amp;creator=factset&amp;DYN_ARGS=TRUE&amp;DOC_NAME=FAT:FQL_AUDITING_CLIENT_TEMPLATE.FAT&amp;display_string=Audit&amp;VAR:KEY=HQHOTEZYRA&amp;VAR:QUERY=RkZfRUJJVERBX0lCKCdMVE1TJywzODUxNCk=&amp;WINDOW=FIRST_POPUP&amp;HEIGHT=450&amp;WIDTH=450&amp;START_MA","XIMIZED=FALSE&amp;VAR:CALENDAR=US&amp;VAR:SYMBOL=N0098510&amp;VAR:INDEX=0"}</definedName>
    <definedName name="_7199__FDSAUDITLINK__" hidden="1">{"fdsup://directions/FAT Viewer?action=UPDATE&amp;creator=factset&amp;DYN_ARGS=TRUE&amp;DOC_NAME=FAT:FQL_AUDITING_CLIENT_TEMPLATE.FAT&amp;display_string=Audit&amp;VAR:KEY=HQHOTEZYRA&amp;VAR:QUERY=RkZfRUJJVERBX0lCKCdMVE1TJywzODUxNCk=&amp;WINDOW=FIRST_POPUP&amp;HEIGHT=450&amp;WIDTH=450&amp;START_MA","XIMIZED=FALSE&amp;VAR:CALENDAR=US&amp;VAR:SYMBOL=N0098510&amp;VAR:INDEX=0"}</definedName>
    <definedName name="_72__FDSAUDITLINK__" localSheetId="6" hidden="1">{"fdsup://directions/FAT Viewer?action=UPDATE&amp;creator=factset&amp;DYN_ARGS=TRUE&amp;DOC_NAME=FAT:FQL_AUDITING_CLIENT_TEMPLATE.FAT&amp;display_string=Audit&amp;VAR:KEY=VMLSVYHGNG&amp;VAR:QUERY=QVZHKENTRl9ORVRfSU5DKEFOTiwwRlksLTZGWSxZKSkgLyAoQVZHKENTRl9BU1NFVFMoQU5OLDBGWSwtNkZZL","EZZKSkgLSBBVkcoQ1NGX0lOVEFORyhBTk4sMCwtNkZZLEZZKSkp&amp;WINDOW=FIRST_POPUP&amp;HEIGHT=450&amp;WIDTH=450&amp;START_MAXIMIZED=FALSE&amp;VAR:CALENDAR=US&amp;VAR:SYMBOL=FLY"}</definedName>
    <definedName name="_72__FDSAUDITLINK__" hidden="1">{"fdsup://directions/FAT Viewer?action=UPDATE&amp;creator=factset&amp;DYN_ARGS=TRUE&amp;DOC_NAME=FAT:FQL_AUDITING_CLIENT_TEMPLATE.FAT&amp;display_string=Audit&amp;VAR:KEY=VMLSVYHGNG&amp;VAR:QUERY=QVZHKENTRl9ORVRfSU5DKEFOTiwwRlksLTZGWSxZKSkgLyAoQVZHKENTRl9BU1NFVFMoQU5OLDBGWSwtNkZZL","EZZKSkgLSBBVkcoQ1NGX0lOVEFORyhBTk4sMCwtNkZZLEZZKSkp&amp;WINDOW=FIRST_POPUP&amp;HEIGHT=450&amp;WIDTH=450&amp;START_MAXIMIZED=FALSE&amp;VAR:CALENDAR=US&amp;VAR:SYMBOL=FLY"}</definedName>
    <definedName name="_720__FDSAUDITLINK__" localSheetId="6" hidden="1">{"fdsup://directions/FAT%20Viewer?VAR:PED=LTM&amp;VAR:AUDIT_MODE=SUMMARY&amp;VAR:PERIOD=FIXED&amp;VAR:AUDIT_ID=00000117&amp;VAR:DATE=20080303&amp;action=UPDATE&amp;creator=factset&amp;DOC_NAME=FAT:FMA_audit_SUMMARY.fat&amp;DISPLAY_STRING=Display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0__FDSAUDITLINK__" hidden="1">{"fdsup://directions/FAT%20Viewer?VAR:PED=LTM&amp;VAR:AUDIT_MODE=SUMMARY&amp;VAR:PERIOD=FIXED&amp;VAR:AUDIT_ID=00000117&amp;VAR:DATE=20080303&amp;action=UPDATE&amp;creator=factset&amp;DOC_NAME=FAT:FMA_audit_SUMMARY.fat&amp;DISPLAY_STRING=Display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00__FDSAUDITLINK__" localSheetId="6" hidden="1">{"fdsup://directions/FAT Viewer?action=UPDATE&amp;creator=factset&amp;DYN_ARGS=TRUE&amp;DOC_NAME=FAT:FQL_AUDITING_CLIENT_TEMPLATE.FAT&amp;display_string=Audit&amp;VAR:KEY=NIFEDOLKRU&amp;VAR:QUERY=RkZfRUJJVERBX0lCKCdMVE1TJywzODUxMyk=&amp;WINDOW=FIRST_POPUP&amp;HEIGHT=450&amp;WIDTH=450&amp;START_MA","XIMIZED=FALSE&amp;VAR:CALENDAR=US&amp;VAR:SYMBOL=N0098510&amp;VAR:INDEX=0"}</definedName>
    <definedName name="_7200__FDSAUDITLINK__" hidden="1">{"fdsup://directions/FAT Viewer?action=UPDATE&amp;creator=factset&amp;DYN_ARGS=TRUE&amp;DOC_NAME=FAT:FQL_AUDITING_CLIENT_TEMPLATE.FAT&amp;display_string=Audit&amp;VAR:KEY=NIFEDOLKRU&amp;VAR:QUERY=RkZfRUJJVERBX0lCKCdMVE1TJywzODUxMyk=&amp;WINDOW=FIRST_POPUP&amp;HEIGHT=450&amp;WIDTH=450&amp;START_MA","XIMIZED=FALSE&amp;VAR:CALENDAR=US&amp;VAR:SYMBOL=N0098510&amp;VAR:INDEX=0"}</definedName>
    <definedName name="_7201__FDSAUDITLINK__" localSheetId="6" hidden="1">{"fdsup://directions/FAT Viewer?action=UPDATE&amp;creator=factset&amp;DYN_ARGS=TRUE&amp;DOC_NAME=FAT:FQL_AUDITING_CLIENT_TEMPLATE.FAT&amp;display_string=Audit&amp;VAR:KEY=PKZOFWHIFW&amp;VAR:QUERY=RkZfRUJJVERBX0lCKCdMVE1TJywzODUxMik=&amp;WINDOW=FIRST_POPUP&amp;HEIGHT=450&amp;WIDTH=450&amp;START_MA","XIMIZED=FALSE&amp;VAR:CALENDAR=US&amp;VAR:SYMBOL=N0098510&amp;VAR:INDEX=0"}</definedName>
    <definedName name="_7201__FDSAUDITLINK__" hidden="1">{"fdsup://directions/FAT Viewer?action=UPDATE&amp;creator=factset&amp;DYN_ARGS=TRUE&amp;DOC_NAME=FAT:FQL_AUDITING_CLIENT_TEMPLATE.FAT&amp;display_string=Audit&amp;VAR:KEY=PKZOFWHIFW&amp;VAR:QUERY=RkZfRUJJVERBX0lCKCdMVE1TJywzODUxMik=&amp;WINDOW=FIRST_POPUP&amp;HEIGHT=450&amp;WIDTH=450&amp;START_MA","XIMIZED=FALSE&amp;VAR:CALENDAR=US&amp;VAR:SYMBOL=N0098510&amp;VAR:INDEX=0"}</definedName>
    <definedName name="_7202__FDSAUDITLINK__" localSheetId="6" hidden="1">{"fdsup://directions/FAT Viewer?action=UPDATE&amp;creator=factset&amp;DYN_ARGS=TRUE&amp;DOC_NAME=FAT:FQL_AUDITING_CLIENT_TEMPLATE.FAT&amp;display_string=Audit&amp;VAR:KEY=DGDKNABGDE&amp;VAR:QUERY=RkZfRUJJVERBX0lCKCdMVE1TJywzODUxMSk=&amp;WINDOW=FIRST_POPUP&amp;HEIGHT=450&amp;WIDTH=450&amp;START_MA","XIMIZED=FALSE&amp;VAR:CALENDAR=US&amp;VAR:SYMBOL=N0098510&amp;VAR:INDEX=0"}</definedName>
    <definedName name="_7202__FDSAUDITLINK__" hidden="1">{"fdsup://directions/FAT Viewer?action=UPDATE&amp;creator=factset&amp;DYN_ARGS=TRUE&amp;DOC_NAME=FAT:FQL_AUDITING_CLIENT_TEMPLATE.FAT&amp;display_string=Audit&amp;VAR:KEY=DGDKNABGDE&amp;VAR:QUERY=RkZfRUJJVERBX0lCKCdMVE1TJywzODUxMSk=&amp;WINDOW=FIRST_POPUP&amp;HEIGHT=450&amp;WIDTH=450&amp;START_MA","XIMIZED=FALSE&amp;VAR:CALENDAR=US&amp;VAR:SYMBOL=N0098510&amp;VAR:INDEX=0"}</definedName>
    <definedName name="_7203__FDSAUDITLINK__" localSheetId="6" hidden="1">{"fdsup://directions/FAT Viewer?action=UPDATE&amp;creator=factset&amp;DYN_ARGS=TRUE&amp;DOC_NAME=FAT:FQL_AUDITING_CLIENT_TEMPLATE.FAT&amp;display_string=Audit&amp;VAR:KEY=JGNUVMPSLG&amp;VAR:QUERY=RkZfRUJJVERBX0lCKCdMVE1TJywzODUxMCk=&amp;WINDOW=FIRST_POPUP&amp;HEIGHT=450&amp;WIDTH=450&amp;START_MA","XIMIZED=FALSE&amp;VAR:CALENDAR=US&amp;VAR:SYMBOL=N0098510&amp;VAR:INDEX=0"}</definedName>
    <definedName name="_7203__FDSAUDITLINK__" hidden="1">{"fdsup://directions/FAT Viewer?action=UPDATE&amp;creator=factset&amp;DYN_ARGS=TRUE&amp;DOC_NAME=FAT:FQL_AUDITING_CLIENT_TEMPLATE.FAT&amp;display_string=Audit&amp;VAR:KEY=JGNUVMPSLG&amp;VAR:QUERY=RkZfRUJJVERBX0lCKCdMVE1TJywzODUxMCk=&amp;WINDOW=FIRST_POPUP&amp;HEIGHT=450&amp;WIDTH=450&amp;START_MA","XIMIZED=FALSE&amp;VAR:CALENDAR=US&amp;VAR:SYMBOL=N0098510&amp;VAR:INDEX=0"}</definedName>
    <definedName name="_7204__FDSAUDITLINK__" localSheetId="6" hidden="1">{"fdsup://directions/FAT Viewer?action=UPDATE&amp;creator=factset&amp;DYN_ARGS=TRUE&amp;DOC_NAME=FAT:FQL_AUDITING_CLIENT_TEMPLATE.FAT&amp;display_string=Audit&amp;VAR:KEY=LSLWRKDSPY&amp;VAR:QUERY=RkZfRUJJVERBX0lCKCdMVE1TJywzODUwOSk=&amp;WINDOW=FIRST_POPUP&amp;HEIGHT=450&amp;WIDTH=450&amp;START_MA","XIMIZED=FALSE&amp;VAR:CALENDAR=US&amp;VAR:SYMBOL=N0098510&amp;VAR:INDEX=0"}</definedName>
    <definedName name="_7204__FDSAUDITLINK__" hidden="1">{"fdsup://directions/FAT Viewer?action=UPDATE&amp;creator=factset&amp;DYN_ARGS=TRUE&amp;DOC_NAME=FAT:FQL_AUDITING_CLIENT_TEMPLATE.FAT&amp;display_string=Audit&amp;VAR:KEY=LSLWRKDSPY&amp;VAR:QUERY=RkZfRUJJVERBX0lCKCdMVE1TJywzODUwOSk=&amp;WINDOW=FIRST_POPUP&amp;HEIGHT=450&amp;WIDTH=450&amp;START_MA","XIMIZED=FALSE&amp;VAR:CALENDAR=US&amp;VAR:SYMBOL=N0098510&amp;VAR:INDEX=0"}</definedName>
    <definedName name="_7205__FDSAUDITLINK__" localSheetId="6" hidden="1">{"fdsup://directions/FAT Viewer?action=UPDATE&amp;creator=factset&amp;DYN_ARGS=TRUE&amp;DOC_NAME=FAT:FQL_AUDITING_CLIENT_TEMPLATE.FAT&amp;display_string=Audit&amp;VAR:KEY=ZSHANABGTU&amp;VAR:QUERY=RkZfRUJJVERBX0lCKCdMVE1TJywzODUwOCk=&amp;WINDOW=FIRST_POPUP&amp;HEIGHT=450&amp;WIDTH=450&amp;START_MA","XIMIZED=FALSE&amp;VAR:CALENDAR=US&amp;VAR:SYMBOL=N0098510&amp;VAR:INDEX=0"}</definedName>
    <definedName name="_7205__FDSAUDITLINK__" hidden="1">{"fdsup://directions/FAT Viewer?action=UPDATE&amp;creator=factset&amp;DYN_ARGS=TRUE&amp;DOC_NAME=FAT:FQL_AUDITING_CLIENT_TEMPLATE.FAT&amp;display_string=Audit&amp;VAR:KEY=ZSHANABGTU&amp;VAR:QUERY=RkZfRUJJVERBX0lCKCdMVE1TJywzODUwOCk=&amp;WINDOW=FIRST_POPUP&amp;HEIGHT=450&amp;WIDTH=450&amp;START_MA","XIMIZED=FALSE&amp;VAR:CALENDAR=US&amp;VAR:SYMBOL=N0098510&amp;VAR:INDEX=0"}</definedName>
    <definedName name="_7206__FDSAUDITLINK__" localSheetId="6" hidden="1">{"fdsup://directions/FAT Viewer?action=UPDATE&amp;creator=factset&amp;DYN_ARGS=TRUE&amp;DOC_NAME=FAT:FQL_AUDITING_CLIENT_TEMPLATE.FAT&amp;display_string=Audit&amp;VAR:KEY=NYDGJMLKZI&amp;VAR:QUERY=RkZfRUJJVERBX0lCKCdMVE1TJywzODUwNyk=&amp;WINDOW=FIRST_POPUP&amp;HEIGHT=450&amp;WIDTH=450&amp;START_MA","XIMIZED=FALSE&amp;VAR:CALENDAR=US&amp;VAR:SYMBOL=N0098510&amp;VAR:INDEX=0"}</definedName>
    <definedName name="_7206__FDSAUDITLINK__" hidden="1">{"fdsup://directions/FAT Viewer?action=UPDATE&amp;creator=factset&amp;DYN_ARGS=TRUE&amp;DOC_NAME=FAT:FQL_AUDITING_CLIENT_TEMPLATE.FAT&amp;display_string=Audit&amp;VAR:KEY=NYDGJMLKZI&amp;VAR:QUERY=RkZfRUJJVERBX0lCKCdMVE1TJywzODUwNyk=&amp;WINDOW=FIRST_POPUP&amp;HEIGHT=450&amp;WIDTH=450&amp;START_MA","XIMIZED=FALSE&amp;VAR:CALENDAR=US&amp;VAR:SYMBOL=N0098510&amp;VAR:INDEX=0"}</definedName>
    <definedName name="_7207__FDSAUDITLINK__" localSheetId="6" hidden="1">{"fdsup://directions/FAT Viewer?action=UPDATE&amp;creator=factset&amp;DYN_ARGS=TRUE&amp;DOC_NAME=FAT:FQL_AUDITING_CLIENT_TEMPLATE.FAT&amp;display_string=Audit&amp;VAR:KEY=TOXALYREZS&amp;VAR:QUERY=RkZfRUJJVERBX0lCKCdMVE1TJywzODUwNik=&amp;WINDOW=FIRST_POPUP&amp;HEIGHT=450&amp;WIDTH=450&amp;START_MA","XIMIZED=FALSE&amp;VAR:CALENDAR=US&amp;VAR:SYMBOL=N0098510&amp;VAR:INDEX=0"}</definedName>
    <definedName name="_7207__FDSAUDITLINK__" hidden="1">{"fdsup://directions/FAT Viewer?action=UPDATE&amp;creator=factset&amp;DYN_ARGS=TRUE&amp;DOC_NAME=FAT:FQL_AUDITING_CLIENT_TEMPLATE.FAT&amp;display_string=Audit&amp;VAR:KEY=TOXALYREZS&amp;VAR:QUERY=RkZfRUJJVERBX0lCKCdMVE1TJywzODUwNik=&amp;WINDOW=FIRST_POPUP&amp;HEIGHT=450&amp;WIDTH=450&amp;START_MA","XIMIZED=FALSE&amp;VAR:CALENDAR=US&amp;VAR:SYMBOL=N0098510&amp;VAR:INDEX=0"}</definedName>
    <definedName name="_7208__FDSAUDITLINK__" localSheetId="6" hidden="1">{"fdsup://directions/FAT Viewer?action=UPDATE&amp;creator=factset&amp;DYN_ARGS=TRUE&amp;DOC_NAME=FAT:FQL_AUDITING_CLIENT_TEMPLATE.FAT&amp;display_string=Audit&amp;VAR:KEY=RARUNUVWFC&amp;VAR:QUERY=RkZfRUJJVERBX0lCKCdMVE1TJywzODUwNSk=&amp;WINDOW=FIRST_POPUP&amp;HEIGHT=450&amp;WIDTH=450&amp;START_MA","XIMIZED=FALSE&amp;VAR:CALENDAR=US&amp;VAR:SYMBOL=N0098510&amp;VAR:INDEX=0"}</definedName>
    <definedName name="_7208__FDSAUDITLINK__" hidden="1">{"fdsup://directions/FAT Viewer?action=UPDATE&amp;creator=factset&amp;DYN_ARGS=TRUE&amp;DOC_NAME=FAT:FQL_AUDITING_CLIENT_TEMPLATE.FAT&amp;display_string=Audit&amp;VAR:KEY=RARUNUVWFC&amp;VAR:QUERY=RkZfRUJJVERBX0lCKCdMVE1TJywzODUwNSk=&amp;WINDOW=FIRST_POPUP&amp;HEIGHT=450&amp;WIDTH=450&amp;START_MA","XIMIZED=FALSE&amp;VAR:CALENDAR=US&amp;VAR:SYMBOL=N0098510&amp;VAR:INDEX=0"}</definedName>
    <definedName name="_7209__FDSAUDITLINK__" localSheetId="6" hidden="1">{"fdsup://directions/FAT Viewer?action=UPDATE&amp;creator=factset&amp;DYN_ARGS=TRUE&amp;DOC_NAME=FAT:FQL_AUDITING_CLIENT_TEMPLATE.FAT&amp;display_string=Audit&amp;VAR:KEY=LGZMLYJSVQ&amp;VAR:QUERY=RkZfRUJJVERBX0lCKCdMVE1TJywzODUwNCk=&amp;WINDOW=FIRST_POPUP&amp;HEIGHT=450&amp;WIDTH=450&amp;START_MA","XIMIZED=FALSE&amp;VAR:CALENDAR=US&amp;VAR:SYMBOL=N0098510&amp;VAR:INDEX=0"}</definedName>
    <definedName name="_7209__FDSAUDITLINK__" hidden="1">{"fdsup://directions/FAT Viewer?action=UPDATE&amp;creator=factset&amp;DYN_ARGS=TRUE&amp;DOC_NAME=FAT:FQL_AUDITING_CLIENT_TEMPLATE.FAT&amp;display_string=Audit&amp;VAR:KEY=LGZMLYJSVQ&amp;VAR:QUERY=RkZfRUJJVERBX0lCKCdMVE1TJywzODUwNCk=&amp;WINDOW=FIRST_POPUP&amp;HEIGHT=450&amp;WIDTH=450&amp;START_MA","XIMIZED=FALSE&amp;VAR:CALENDAR=US&amp;VAR:SYMBOL=N0098510&amp;VAR:INDEX=0"}</definedName>
    <definedName name="_721__FDSAUDITLINK__" localSheetId="6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1__FDSAUDITLINK__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10__FDSAUDITLINK__" localSheetId="6" hidden="1">{"fdsup://directions/FAT Viewer?action=UPDATE&amp;creator=factset&amp;DYN_ARGS=TRUE&amp;DOC_NAME=FAT:FQL_AUDITING_CLIENT_TEMPLATE.FAT&amp;display_string=Audit&amp;VAR:KEY=VAHADAVETK&amp;VAR:QUERY=RkZfRUJJVERBX0lCKCdMVE1TJywzODUwMyk=&amp;WINDOW=FIRST_POPUP&amp;HEIGHT=450&amp;WIDTH=450&amp;START_MA","XIMIZED=FALSE&amp;VAR:CALENDAR=US&amp;VAR:SYMBOL=N0098510&amp;VAR:INDEX=0"}</definedName>
    <definedName name="_7210__FDSAUDITLINK__" hidden="1">{"fdsup://directions/FAT Viewer?action=UPDATE&amp;creator=factset&amp;DYN_ARGS=TRUE&amp;DOC_NAME=FAT:FQL_AUDITING_CLIENT_TEMPLATE.FAT&amp;display_string=Audit&amp;VAR:KEY=VAHADAVETK&amp;VAR:QUERY=RkZfRUJJVERBX0lCKCdMVE1TJywzODUwMyk=&amp;WINDOW=FIRST_POPUP&amp;HEIGHT=450&amp;WIDTH=450&amp;START_MA","XIMIZED=FALSE&amp;VAR:CALENDAR=US&amp;VAR:SYMBOL=N0098510&amp;VAR:INDEX=0"}</definedName>
    <definedName name="_7211__FDSAUDITLINK__" localSheetId="6" hidden="1">{"fdsup://directions/FAT Viewer?action=UPDATE&amp;creator=factset&amp;DYN_ARGS=TRUE&amp;DOC_NAME=FAT:FQL_AUDITING_CLIENT_TEMPLATE.FAT&amp;display_string=Audit&amp;VAR:KEY=ROBSFAXGBE&amp;VAR:QUERY=RkZfRUJJVERBX0lCKCdMVE1TJywzODUwMik=&amp;WINDOW=FIRST_POPUP&amp;HEIGHT=450&amp;WIDTH=450&amp;START_MA","XIMIZED=FALSE&amp;VAR:CALENDAR=US&amp;VAR:SYMBOL=N0098510&amp;VAR:INDEX=0"}</definedName>
    <definedName name="_7211__FDSAUDITLINK__" hidden="1">{"fdsup://directions/FAT Viewer?action=UPDATE&amp;creator=factset&amp;DYN_ARGS=TRUE&amp;DOC_NAME=FAT:FQL_AUDITING_CLIENT_TEMPLATE.FAT&amp;display_string=Audit&amp;VAR:KEY=ROBSFAXGBE&amp;VAR:QUERY=RkZfRUJJVERBX0lCKCdMVE1TJywzODUwMik=&amp;WINDOW=FIRST_POPUP&amp;HEIGHT=450&amp;WIDTH=450&amp;START_MA","XIMIZED=FALSE&amp;VAR:CALENDAR=US&amp;VAR:SYMBOL=N0098510&amp;VAR:INDEX=0"}</definedName>
    <definedName name="_7212__FDSAUDITLINK__" localSheetId="6" hidden="1">{"fdsup://directions/FAT Viewer?action=UPDATE&amp;creator=factset&amp;DYN_ARGS=TRUE&amp;DOC_NAME=FAT:FQL_AUDITING_CLIENT_TEMPLATE.FAT&amp;display_string=Audit&amp;VAR:KEY=JSZYXMRYJI&amp;VAR:QUERY=RkZfRUJJVERBX0lCKCdMVE1TJywzODUwMSk=&amp;WINDOW=FIRST_POPUP&amp;HEIGHT=450&amp;WIDTH=450&amp;START_MA","XIMIZED=FALSE&amp;VAR:CALENDAR=US&amp;VAR:SYMBOL=N0098510&amp;VAR:INDEX=0"}</definedName>
    <definedName name="_7212__FDSAUDITLINK__" hidden="1">{"fdsup://directions/FAT Viewer?action=UPDATE&amp;creator=factset&amp;DYN_ARGS=TRUE&amp;DOC_NAME=FAT:FQL_AUDITING_CLIENT_TEMPLATE.FAT&amp;display_string=Audit&amp;VAR:KEY=JSZYXMRYJI&amp;VAR:QUERY=RkZfRUJJVERBX0lCKCdMVE1TJywzODUwMSk=&amp;WINDOW=FIRST_POPUP&amp;HEIGHT=450&amp;WIDTH=450&amp;START_MA","XIMIZED=FALSE&amp;VAR:CALENDAR=US&amp;VAR:SYMBOL=N0098510&amp;VAR:INDEX=0"}</definedName>
    <definedName name="_7213__FDSAUDITLINK__" localSheetId="6" hidden="1">{"fdsup://directions/FAT Viewer?action=UPDATE&amp;creator=factset&amp;DYN_ARGS=TRUE&amp;DOC_NAME=FAT:FQL_AUDITING_CLIENT_TEMPLATE.FAT&amp;display_string=Audit&amp;VAR:KEY=XQBYPUTALO&amp;VAR:QUERY=RkZfRUJJVERBX0lCKCdMVE1TJywzODUwMCk=&amp;WINDOW=FIRST_POPUP&amp;HEIGHT=450&amp;WIDTH=450&amp;START_MA","XIMIZED=FALSE&amp;VAR:CALENDAR=US&amp;VAR:SYMBOL=N0098510&amp;VAR:INDEX=0"}</definedName>
    <definedName name="_7213__FDSAUDITLINK__" hidden="1">{"fdsup://directions/FAT Viewer?action=UPDATE&amp;creator=factset&amp;DYN_ARGS=TRUE&amp;DOC_NAME=FAT:FQL_AUDITING_CLIENT_TEMPLATE.FAT&amp;display_string=Audit&amp;VAR:KEY=XQBYPUTALO&amp;VAR:QUERY=RkZfRUJJVERBX0lCKCdMVE1TJywzODUwMCk=&amp;WINDOW=FIRST_POPUP&amp;HEIGHT=450&amp;WIDTH=450&amp;START_MA","XIMIZED=FALSE&amp;VAR:CALENDAR=US&amp;VAR:SYMBOL=N0098510&amp;VAR:INDEX=0"}</definedName>
    <definedName name="_7214__FDSAUDITLINK__" localSheetId="6" hidden="1">{"fdsup://directions/FAT Viewer?action=UPDATE&amp;creator=factset&amp;DYN_ARGS=TRUE&amp;DOC_NAME=FAT:FQL_AUDITING_CLIENT_TEMPLATE.FAT&amp;display_string=Audit&amp;VAR:KEY=FYZGBIDSTU&amp;VAR:QUERY=RkZfRUJJVERBX0lCKCdMVE1TJywzODQ5OSk=&amp;WINDOW=FIRST_POPUP&amp;HEIGHT=450&amp;WIDTH=450&amp;START_MA","XIMIZED=FALSE&amp;VAR:CALENDAR=US&amp;VAR:SYMBOL=N0098510&amp;VAR:INDEX=0"}</definedName>
    <definedName name="_7214__FDSAUDITLINK__" hidden="1">{"fdsup://directions/FAT Viewer?action=UPDATE&amp;creator=factset&amp;DYN_ARGS=TRUE&amp;DOC_NAME=FAT:FQL_AUDITING_CLIENT_TEMPLATE.FAT&amp;display_string=Audit&amp;VAR:KEY=FYZGBIDSTU&amp;VAR:QUERY=RkZfRUJJVERBX0lCKCdMVE1TJywzODQ5OSk=&amp;WINDOW=FIRST_POPUP&amp;HEIGHT=450&amp;WIDTH=450&amp;START_MA","XIMIZED=FALSE&amp;VAR:CALENDAR=US&amp;VAR:SYMBOL=N0098510&amp;VAR:INDEX=0"}</definedName>
    <definedName name="_7215__FDSAUDITLINK__" localSheetId="6" hidden="1">{"fdsup://directions/FAT Viewer?action=UPDATE&amp;creator=factset&amp;DYN_ARGS=TRUE&amp;DOC_NAME=FAT:FQL_AUDITING_CLIENT_TEMPLATE.FAT&amp;display_string=Audit&amp;VAR:KEY=FADUJWZSVM&amp;VAR:QUERY=RkZfRUJJVERBX0lCKCdMVE1TJywzODQ5OCk=&amp;WINDOW=FIRST_POPUP&amp;HEIGHT=450&amp;WIDTH=450&amp;START_MA","XIMIZED=FALSE&amp;VAR:CALENDAR=US&amp;VAR:SYMBOL=N0098510&amp;VAR:INDEX=0"}</definedName>
    <definedName name="_7215__FDSAUDITLINK__" hidden="1">{"fdsup://directions/FAT Viewer?action=UPDATE&amp;creator=factset&amp;DYN_ARGS=TRUE&amp;DOC_NAME=FAT:FQL_AUDITING_CLIENT_TEMPLATE.FAT&amp;display_string=Audit&amp;VAR:KEY=FADUJWZSVM&amp;VAR:QUERY=RkZfRUJJVERBX0lCKCdMVE1TJywzODQ5OCk=&amp;WINDOW=FIRST_POPUP&amp;HEIGHT=450&amp;WIDTH=450&amp;START_MA","XIMIZED=FALSE&amp;VAR:CALENDAR=US&amp;VAR:SYMBOL=N0098510&amp;VAR:INDEX=0"}</definedName>
    <definedName name="_7216__FDSAUDITLINK__" localSheetId="6" hidden="1">{"fdsup://directions/FAT Viewer?action=UPDATE&amp;creator=factset&amp;DYN_ARGS=TRUE&amp;DOC_NAME=FAT:FQL_AUDITING_CLIENT_TEMPLATE.FAT&amp;display_string=Audit&amp;VAR:KEY=BYVMDQTUFO&amp;VAR:QUERY=RkZfRUJJVERBX0lCKCdMVE1TJywzODQ5Nyk=&amp;WINDOW=FIRST_POPUP&amp;HEIGHT=450&amp;WIDTH=450&amp;START_MA","XIMIZED=FALSE&amp;VAR:CALENDAR=US&amp;VAR:SYMBOL=N0098510&amp;VAR:INDEX=0"}</definedName>
    <definedName name="_7216__FDSAUDITLINK__" hidden="1">{"fdsup://directions/FAT Viewer?action=UPDATE&amp;creator=factset&amp;DYN_ARGS=TRUE&amp;DOC_NAME=FAT:FQL_AUDITING_CLIENT_TEMPLATE.FAT&amp;display_string=Audit&amp;VAR:KEY=BYVMDQTUFO&amp;VAR:QUERY=RkZfRUJJVERBX0lCKCdMVE1TJywzODQ5Nyk=&amp;WINDOW=FIRST_POPUP&amp;HEIGHT=450&amp;WIDTH=450&amp;START_MA","XIMIZED=FALSE&amp;VAR:CALENDAR=US&amp;VAR:SYMBOL=N0098510&amp;VAR:INDEX=0"}</definedName>
    <definedName name="_7217__FDSAUDITLINK__" localSheetId="6" hidden="1">{"fdsup://directions/FAT Viewer?action=UPDATE&amp;creator=factset&amp;DYN_ARGS=TRUE&amp;DOC_NAME=FAT:FQL_AUDITING_CLIENT_TEMPLATE.FAT&amp;display_string=Audit&amp;VAR:KEY=XQTMDGFKVU&amp;VAR:QUERY=RkZfRUJJVERBX0lCKCdMVE1TJywzODQ5Nik=&amp;WINDOW=FIRST_POPUP&amp;HEIGHT=450&amp;WIDTH=450&amp;START_MA","XIMIZED=FALSE&amp;VAR:CALENDAR=US&amp;VAR:SYMBOL=N0098510&amp;VAR:INDEX=0"}</definedName>
    <definedName name="_7217__FDSAUDITLINK__" hidden="1">{"fdsup://directions/FAT Viewer?action=UPDATE&amp;creator=factset&amp;DYN_ARGS=TRUE&amp;DOC_NAME=FAT:FQL_AUDITING_CLIENT_TEMPLATE.FAT&amp;display_string=Audit&amp;VAR:KEY=XQTMDGFKVU&amp;VAR:QUERY=RkZfRUJJVERBX0lCKCdMVE1TJywzODQ5Nik=&amp;WINDOW=FIRST_POPUP&amp;HEIGHT=450&amp;WIDTH=450&amp;START_MA","XIMIZED=FALSE&amp;VAR:CALENDAR=US&amp;VAR:SYMBOL=N0098510&amp;VAR:INDEX=0"}</definedName>
    <definedName name="_7218__FDSAUDITLINK__" localSheetId="6" hidden="1">{"fdsup://directions/FAT Viewer?action=UPDATE&amp;creator=factset&amp;DYN_ARGS=TRUE&amp;DOC_NAME=FAT:FQL_AUDITING_CLIENT_TEMPLATE.FAT&amp;display_string=Audit&amp;VAR:KEY=RMNCBMRCDY&amp;VAR:QUERY=RkZfRUJJVERBX0lCKCdMVE1TJywzODQ5NSk=&amp;WINDOW=FIRST_POPUP&amp;HEIGHT=450&amp;WIDTH=450&amp;START_MA","XIMIZED=FALSE&amp;VAR:CALENDAR=US&amp;VAR:SYMBOL=N0098510&amp;VAR:INDEX=0"}</definedName>
    <definedName name="_7218__FDSAUDITLINK__" hidden="1">{"fdsup://directions/FAT Viewer?action=UPDATE&amp;creator=factset&amp;DYN_ARGS=TRUE&amp;DOC_NAME=FAT:FQL_AUDITING_CLIENT_TEMPLATE.FAT&amp;display_string=Audit&amp;VAR:KEY=RMNCBMRCDY&amp;VAR:QUERY=RkZfRUJJVERBX0lCKCdMVE1TJywzODQ5NSk=&amp;WINDOW=FIRST_POPUP&amp;HEIGHT=450&amp;WIDTH=450&amp;START_MA","XIMIZED=FALSE&amp;VAR:CALENDAR=US&amp;VAR:SYMBOL=N0098510&amp;VAR:INDEX=0"}</definedName>
    <definedName name="_7219__FDSAUDITLINK__" localSheetId="6" hidden="1">{"fdsup://directions/FAT Viewer?action=UPDATE&amp;creator=factset&amp;DYN_ARGS=TRUE&amp;DOC_NAME=FAT:FQL_AUDITING_CLIENT_TEMPLATE.FAT&amp;display_string=Audit&amp;VAR:KEY=NUNIDGZKHO&amp;VAR:QUERY=RkZfRUJJVERBX0lCKCdMVE1TJywzODQ5NCk=&amp;WINDOW=FIRST_POPUP&amp;HEIGHT=450&amp;WIDTH=450&amp;START_MA","XIMIZED=FALSE&amp;VAR:CALENDAR=US&amp;VAR:SYMBOL=N0098510&amp;VAR:INDEX=0"}</definedName>
    <definedName name="_7219__FDSAUDITLINK__" hidden="1">{"fdsup://directions/FAT Viewer?action=UPDATE&amp;creator=factset&amp;DYN_ARGS=TRUE&amp;DOC_NAME=FAT:FQL_AUDITING_CLIENT_TEMPLATE.FAT&amp;display_string=Audit&amp;VAR:KEY=NUNIDGZKHO&amp;VAR:QUERY=RkZfRUJJVERBX0lCKCdMVE1TJywzODQ5NCk=&amp;WINDOW=FIRST_POPUP&amp;HEIGHT=450&amp;WIDTH=450&amp;START_MA","XIMIZED=FALSE&amp;VAR:CALENDAR=US&amp;VAR:SYMBOL=N0098510&amp;VAR:INDEX=0"}</definedName>
    <definedName name="_722__FDSAUDITLINK__" localSheetId="6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2__FDSAUDITLINK__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20__FDSAUDITLINK__" localSheetId="6" hidden="1">{"fdsup://directions/FAT Viewer?action=UPDATE&amp;creator=factset&amp;DYN_ARGS=TRUE&amp;DOC_NAME=FAT:FQL_AUDITING_CLIENT_TEMPLATE.FAT&amp;display_string=Audit&amp;VAR:KEY=HMZQJGDCLU&amp;VAR:QUERY=RkZfRUJJVERBX0lCKCdMVE1TJywzODQ5Myk=&amp;WINDOW=FIRST_POPUP&amp;HEIGHT=450&amp;WIDTH=450&amp;START_MA","XIMIZED=FALSE&amp;VAR:CALENDAR=US&amp;VAR:SYMBOL=N0098510&amp;VAR:INDEX=0"}</definedName>
    <definedName name="_7220__FDSAUDITLINK__" hidden="1">{"fdsup://directions/FAT Viewer?action=UPDATE&amp;creator=factset&amp;DYN_ARGS=TRUE&amp;DOC_NAME=FAT:FQL_AUDITING_CLIENT_TEMPLATE.FAT&amp;display_string=Audit&amp;VAR:KEY=HMZQJGDCLU&amp;VAR:QUERY=RkZfRUJJVERBX0lCKCdMVE1TJywzODQ5Myk=&amp;WINDOW=FIRST_POPUP&amp;HEIGHT=450&amp;WIDTH=450&amp;START_MA","XIMIZED=FALSE&amp;VAR:CALENDAR=US&amp;VAR:SYMBOL=N0098510&amp;VAR:INDEX=0"}</definedName>
    <definedName name="_7221__FDSAUDITLINK__" localSheetId="6" hidden="1">{"fdsup://directions/FAT Viewer?action=UPDATE&amp;creator=factset&amp;DYN_ARGS=TRUE&amp;DOC_NAME=FAT:FQL_AUDITING_CLIENT_TEMPLATE.FAT&amp;display_string=Audit&amp;VAR:KEY=HEHOHUZQRA&amp;VAR:QUERY=RkZfRUJJVERBX0lCKCdMVE1TJywzODQ5Mik=&amp;WINDOW=FIRST_POPUP&amp;HEIGHT=450&amp;WIDTH=450&amp;START_MA","XIMIZED=FALSE&amp;VAR:CALENDAR=US&amp;VAR:SYMBOL=N0098510&amp;VAR:INDEX=0"}</definedName>
    <definedName name="_7221__FDSAUDITLINK__" hidden="1">{"fdsup://directions/FAT Viewer?action=UPDATE&amp;creator=factset&amp;DYN_ARGS=TRUE&amp;DOC_NAME=FAT:FQL_AUDITING_CLIENT_TEMPLATE.FAT&amp;display_string=Audit&amp;VAR:KEY=HEHOHUZQRA&amp;VAR:QUERY=RkZfRUJJVERBX0lCKCdMVE1TJywzODQ5Mik=&amp;WINDOW=FIRST_POPUP&amp;HEIGHT=450&amp;WIDTH=450&amp;START_MA","XIMIZED=FALSE&amp;VAR:CALENDAR=US&amp;VAR:SYMBOL=N0098510&amp;VAR:INDEX=0"}</definedName>
    <definedName name="_7222__FDSAUDITLINK__" localSheetId="6" hidden="1">{"fdsup://directions/FAT Viewer?action=UPDATE&amp;creator=factset&amp;DYN_ARGS=TRUE&amp;DOC_NAME=FAT:FQL_AUDITING_CLIENT_TEMPLATE.FAT&amp;display_string=Audit&amp;VAR:KEY=BQTWHOZWPG&amp;VAR:QUERY=RkZfRUJJVERBX0lCKCdMVE1TJywzODQ5MSk=&amp;WINDOW=FIRST_POPUP&amp;HEIGHT=450&amp;WIDTH=450&amp;START_MA","XIMIZED=FALSE&amp;VAR:CALENDAR=US&amp;VAR:SYMBOL=N0098510&amp;VAR:INDEX=0"}</definedName>
    <definedName name="_7222__FDSAUDITLINK__" hidden="1">{"fdsup://directions/FAT Viewer?action=UPDATE&amp;creator=factset&amp;DYN_ARGS=TRUE&amp;DOC_NAME=FAT:FQL_AUDITING_CLIENT_TEMPLATE.FAT&amp;display_string=Audit&amp;VAR:KEY=BQTWHOZWPG&amp;VAR:QUERY=RkZfRUJJVERBX0lCKCdMVE1TJywzODQ5MSk=&amp;WINDOW=FIRST_POPUP&amp;HEIGHT=450&amp;WIDTH=450&amp;START_MA","XIMIZED=FALSE&amp;VAR:CALENDAR=US&amp;VAR:SYMBOL=N0098510&amp;VAR:INDEX=0"}</definedName>
    <definedName name="_7223__FDSAUDITLINK__" localSheetId="6" hidden="1">{"fdsup://directions/FAT Viewer?action=UPDATE&amp;creator=factset&amp;DYN_ARGS=TRUE&amp;DOC_NAME=FAT:FQL_AUDITING_CLIENT_TEMPLATE.FAT&amp;display_string=Audit&amp;VAR:KEY=NSBGXUJGXM&amp;VAR:QUERY=RkZfRUJJVERBX0lCKCdMVE1TJywzODQ5MCk=&amp;WINDOW=FIRST_POPUP&amp;HEIGHT=450&amp;WIDTH=450&amp;START_MA","XIMIZED=FALSE&amp;VAR:CALENDAR=US&amp;VAR:SYMBOL=N0098510&amp;VAR:INDEX=0"}</definedName>
    <definedName name="_7223__FDSAUDITLINK__" hidden="1">{"fdsup://directions/FAT Viewer?action=UPDATE&amp;creator=factset&amp;DYN_ARGS=TRUE&amp;DOC_NAME=FAT:FQL_AUDITING_CLIENT_TEMPLATE.FAT&amp;display_string=Audit&amp;VAR:KEY=NSBGXUJGXM&amp;VAR:QUERY=RkZfRUJJVERBX0lCKCdMVE1TJywzODQ5MCk=&amp;WINDOW=FIRST_POPUP&amp;HEIGHT=450&amp;WIDTH=450&amp;START_MA","XIMIZED=FALSE&amp;VAR:CALENDAR=US&amp;VAR:SYMBOL=N0098510&amp;VAR:INDEX=0"}</definedName>
    <definedName name="_7224__FDSAUDITLINK__" localSheetId="6" hidden="1">{"fdsup://directions/FAT Viewer?action=UPDATE&amp;creator=factset&amp;DYN_ARGS=TRUE&amp;DOC_NAME=FAT:FQL_AUDITING_CLIENT_TEMPLATE.FAT&amp;display_string=Audit&amp;VAR:KEY=DOBCDCRGZC&amp;VAR:QUERY=RkZfRUJJVERBX0lCKCdMVE1TJywzODQ4OSk=&amp;WINDOW=FIRST_POPUP&amp;HEIGHT=450&amp;WIDTH=450&amp;START_MA","XIMIZED=FALSE&amp;VAR:CALENDAR=US&amp;VAR:SYMBOL=N0098510&amp;VAR:INDEX=0"}</definedName>
    <definedName name="_7224__FDSAUDITLINK__" hidden="1">{"fdsup://directions/FAT Viewer?action=UPDATE&amp;creator=factset&amp;DYN_ARGS=TRUE&amp;DOC_NAME=FAT:FQL_AUDITING_CLIENT_TEMPLATE.FAT&amp;display_string=Audit&amp;VAR:KEY=DOBCDCRGZC&amp;VAR:QUERY=RkZfRUJJVERBX0lCKCdMVE1TJywzODQ4OSk=&amp;WINDOW=FIRST_POPUP&amp;HEIGHT=450&amp;WIDTH=450&amp;START_MA","XIMIZED=FALSE&amp;VAR:CALENDAR=US&amp;VAR:SYMBOL=N0098510&amp;VAR:INDEX=0"}</definedName>
    <definedName name="_7225__FDSAUDITLINK__" localSheetId="6" hidden="1">{"fdsup://directions/FAT Viewer?action=UPDATE&amp;creator=factset&amp;DYN_ARGS=TRUE&amp;DOC_NAME=FAT:FQL_AUDITING_CLIENT_TEMPLATE.FAT&amp;display_string=Audit&amp;VAR:KEY=TSNGXCRCXU&amp;VAR:QUERY=RkZfRUJJVERBX0lCKCdMVE1TJywzODQ4OCk=&amp;WINDOW=FIRST_POPUP&amp;HEIGHT=450&amp;WIDTH=450&amp;START_MA","XIMIZED=FALSE&amp;VAR:CALENDAR=US&amp;VAR:SYMBOL=N0098510&amp;VAR:INDEX=0"}</definedName>
    <definedName name="_7225__FDSAUDITLINK__" hidden="1">{"fdsup://directions/FAT Viewer?action=UPDATE&amp;creator=factset&amp;DYN_ARGS=TRUE&amp;DOC_NAME=FAT:FQL_AUDITING_CLIENT_TEMPLATE.FAT&amp;display_string=Audit&amp;VAR:KEY=TSNGXCRCXU&amp;VAR:QUERY=RkZfRUJJVERBX0lCKCdMVE1TJywzODQ4OCk=&amp;WINDOW=FIRST_POPUP&amp;HEIGHT=450&amp;WIDTH=450&amp;START_MA","XIMIZED=FALSE&amp;VAR:CALENDAR=US&amp;VAR:SYMBOL=N0098510&amp;VAR:INDEX=0"}</definedName>
    <definedName name="_7226__FDSAUDITLINK__" localSheetId="6" hidden="1">{"fdsup://directions/FAT Viewer?action=UPDATE&amp;creator=factset&amp;DYN_ARGS=TRUE&amp;DOC_NAME=FAT:FQL_AUDITING_CLIENT_TEMPLATE.FAT&amp;display_string=Audit&amp;VAR:KEY=LKDKDKNMZM&amp;VAR:QUERY=RkZfRUJJVERBX0lCKCdMVE1TJywzODQ4Nyk=&amp;WINDOW=FIRST_POPUP&amp;HEIGHT=450&amp;WIDTH=450&amp;START_MA","XIMIZED=FALSE&amp;VAR:CALENDAR=US&amp;VAR:SYMBOL=N0098510&amp;VAR:INDEX=0"}</definedName>
    <definedName name="_7226__FDSAUDITLINK__" hidden="1">{"fdsup://directions/FAT Viewer?action=UPDATE&amp;creator=factset&amp;DYN_ARGS=TRUE&amp;DOC_NAME=FAT:FQL_AUDITING_CLIENT_TEMPLATE.FAT&amp;display_string=Audit&amp;VAR:KEY=LKDKDKNMZM&amp;VAR:QUERY=RkZfRUJJVERBX0lCKCdMVE1TJywzODQ4Nyk=&amp;WINDOW=FIRST_POPUP&amp;HEIGHT=450&amp;WIDTH=450&amp;START_MA","XIMIZED=FALSE&amp;VAR:CALENDAR=US&amp;VAR:SYMBOL=N0098510&amp;VAR:INDEX=0"}</definedName>
    <definedName name="_7227__FDSAUDITLINK__" localSheetId="6" hidden="1">{"fdsup://directions/FAT Viewer?action=UPDATE&amp;creator=factset&amp;DYN_ARGS=TRUE&amp;DOC_NAME=FAT:FQL_AUDITING_CLIENT_TEMPLATE.FAT&amp;display_string=Audit&amp;VAR:KEY=FYJKVMHSHE&amp;VAR:QUERY=RkZfRUJJVERBX0lCKCdMVE1TJywzODQ4Nik=&amp;WINDOW=FIRST_POPUP&amp;HEIGHT=450&amp;WIDTH=450&amp;START_MA","XIMIZED=FALSE&amp;VAR:CALENDAR=US&amp;VAR:SYMBOL=N0098510&amp;VAR:INDEX=0"}</definedName>
    <definedName name="_7227__FDSAUDITLINK__" hidden="1">{"fdsup://directions/FAT Viewer?action=UPDATE&amp;creator=factset&amp;DYN_ARGS=TRUE&amp;DOC_NAME=FAT:FQL_AUDITING_CLIENT_TEMPLATE.FAT&amp;display_string=Audit&amp;VAR:KEY=FYJKVMHSHE&amp;VAR:QUERY=RkZfRUJJVERBX0lCKCdMVE1TJywzODQ4Nik=&amp;WINDOW=FIRST_POPUP&amp;HEIGHT=450&amp;WIDTH=450&amp;START_MA","XIMIZED=FALSE&amp;VAR:CALENDAR=US&amp;VAR:SYMBOL=N0098510&amp;VAR:INDEX=0"}</definedName>
    <definedName name="_7228__FDSAUDITLINK__" localSheetId="6" hidden="1">{"fdsup://directions/FAT Viewer?action=UPDATE&amp;creator=factset&amp;DYN_ARGS=TRUE&amp;DOC_NAME=FAT:FQL_AUDITING_CLIENT_TEMPLATE.FAT&amp;display_string=Audit&amp;VAR:KEY=LGZKZWZOTQ&amp;VAR:QUERY=RkZfRUJJVERBX0lCKCdMVE1TJywzODQ4NSk=&amp;WINDOW=FIRST_POPUP&amp;HEIGHT=450&amp;WIDTH=450&amp;START_MA","XIMIZED=FALSE&amp;VAR:CALENDAR=US&amp;VAR:SYMBOL=N0098510&amp;VAR:INDEX=0"}</definedName>
    <definedName name="_7228__FDSAUDITLINK__" hidden="1">{"fdsup://directions/FAT Viewer?action=UPDATE&amp;creator=factset&amp;DYN_ARGS=TRUE&amp;DOC_NAME=FAT:FQL_AUDITING_CLIENT_TEMPLATE.FAT&amp;display_string=Audit&amp;VAR:KEY=LGZKZWZOTQ&amp;VAR:QUERY=RkZfRUJJVERBX0lCKCdMVE1TJywzODQ4NSk=&amp;WINDOW=FIRST_POPUP&amp;HEIGHT=450&amp;WIDTH=450&amp;START_MA","XIMIZED=FALSE&amp;VAR:CALENDAR=US&amp;VAR:SYMBOL=N0098510&amp;VAR:INDEX=0"}</definedName>
    <definedName name="_7229__FDSAUDITLINK__" localSheetId="6" hidden="1">{"fdsup://directions/FAT Viewer?action=UPDATE&amp;creator=factset&amp;DYN_ARGS=TRUE&amp;DOC_NAME=FAT:FQL_AUDITING_CLIENT_TEMPLATE.FAT&amp;display_string=Audit&amp;VAR:KEY=RQPWZURMDU&amp;VAR:QUERY=RkZfRUJJVERBX0lCKCdMVE1TJywzODQ4NCk=&amp;WINDOW=FIRST_POPUP&amp;HEIGHT=450&amp;WIDTH=450&amp;START_MA","XIMIZED=FALSE&amp;VAR:CALENDAR=US&amp;VAR:SYMBOL=N0098510&amp;VAR:INDEX=0"}</definedName>
    <definedName name="_7229__FDSAUDITLINK__" hidden="1">{"fdsup://directions/FAT Viewer?action=UPDATE&amp;creator=factset&amp;DYN_ARGS=TRUE&amp;DOC_NAME=FAT:FQL_AUDITING_CLIENT_TEMPLATE.FAT&amp;display_string=Audit&amp;VAR:KEY=RQPWZURMDU&amp;VAR:QUERY=RkZfRUJJVERBX0lCKCdMVE1TJywzODQ4NCk=&amp;WINDOW=FIRST_POPUP&amp;HEIGHT=450&amp;WIDTH=450&amp;START_MA","XIMIZED=FALSE&amp;VAR:CALENDAR=US&amp;VAR:SYMBOL=N0098510&amp;VAR:INDEX=0"}</definedName>
    <definedName name="_723__FDSAUDITLINK__" localSheetId="6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3__FDSAUDITLINK__" hidden="1">{"fdsup://directions/FAT%20Viewer?VAR:PED=LTM&amp;VAR:AUDIT_MODE=SUMMARY&amp;VAR:PERIOD=FIXED&amp;VAR:AUDIT_ID=00000117&amp;VAR:DATE=20080229&amp;action=UPDATE&amp;creator=factset&amp;DOC_NAME=FAT:FMA_audit_SUMMARY.fat&amp;DISPLAY_STRING=Display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EBITDA&amp;VAR:CHGPERIOD=NA&amp;VAR:FQLFORMULA=FMA_EVAL_EBITDA&amp;VAR:CURRENCY=NA&amp;VAR:P=NA&amp;VAR:V=10.2","56888&amp;VAR:null=.html"}</definedName>
    <definedName name="_7230__FDSAUDITLINK__" localSheetId="6" hidden="1">{"fdsup://directions/FAT Viewer?action=UPDATE&amp;creator=factset&amp;DYN_ARGS=TRUE&amp;DOC_NAME=FAT:FQL_AUDITING_CLIENT_TEMPLATE.FAT&amp;display_string=Audit&amp;VAR:KEY=ZGBSPYVSLE&amp;VAR:QUERY=RkZfRUJJVERBX0lCKCdMVE1TJywzODQ4Myk=&amp;WINDOW=FIRST_POPUP&amp;HEIGHT=450&amp;WIDTH=450&amp;START_MA","XIMIZED=FALSE&amp;VAR:CALENDAR=US&amp;VAR:SYMBOL=N0098510&amp;VAR:INDEX=0"}</definedName>
    <definedName name="_7230__FDSAUDITLINK__" hidden="1">{"fdsup://directions/FAT Viewer?action=UPDATE&amp;creator=factset&amp;DYN_ARGS=TRUE&amp;DOC_NAME=FAT:FQL_AUDITING_CLIENT_TEMPLATE.FAT&amp;display_string=Audit&amp;VAR:KEY=ZGBSPYVSLE&amp;VAR:QUERY=RkZfRUJJVERBX0lCKCdMVE1TJywzODQ4Myk=&amp;WINDOW=FIRST_POPUP&amp;HEIGHT=450&amp;WIDTH=450&amp;START_MA","XIMIZED=FALSE&amp;VAR:CALENDAR=US&amp;VAR:SYMBOL=N0098510&amp;VAR:INDEX=0"}</definedName>
    <definedName name="_7231__FDSAUDITLINK__" localSheetId="6" hidden="1">{"fdsup://directions/FAT Viewer?action=UPDATE&amp;creator=factset&amp;DYN_ARGS=TRUE&amp;DOC_NAME=FAT:FQL_AUDITING_CLIENT_TEMPLATE.FAT&amp;display_string=Audit&amp;VAR:KEY=ZKFCNGDCZI&amp;VAR:QUERY=RkZfRUJJVERBX0lCKCdMVE1TJywzODQ4Mik=&amp;WINDOW=FIRST_POPUP&amp;HEIGHT=450&amp;WIDTH=450&amp;START_MA","XIMIZED=FALSE&amp;VAR:CALENDAR=US&amp;VAR:SYMBOL=N0098510&amp;VAR:INDEX=0"}</definedName>
    <definedName name="_7231__FDSAUDITLINK__" hidden="1">{"fdsup://directions/FAT Viewer?action=UPDATE&amp;creator=factset&amp;DYN_ARGS=TRUE&amp;DOC_NAME=FAT:FQL_AUDITING_CLIENT_TEMPLATE.FAT&amp;display_string=Audit&amp;VAR:KEY=ZKFCNGDCZI&amp;VAR:QUERY=RkZfRUJJVERBX0lCKCdMVE1TJywzODQ4Mik=&amp;WINDOW=FIRST_POPUP&amp;HEIGHT=450&amp;WIDTH=450&amp;START_MA","XIMIZED=FALSE&amp;VAR:CALENDAR=US&amp;VAR:SYMBOL=N0098510&amp;VAR:INDEX=0"}</definedName>
    <definedName name="_7232__FDSAUDITLINK__" localSheetId="6" hidden="1">{"fdsup://directions/FAT Viewer?action=UPDATE&amp;creator=factset&amp;DYN_ARGS=TRUE&amp;DOC_NAME=FAT:FQL_AUDITING_CLIENT_TEMPLATE.FAT&amp;display_string=Audit&amp;VAR:KEY=BAVOTYLQBO&amp;VAR:QUERY=RkZfRUJJVERBX0lCKCdMVE1TJywzODQ4MSk=&amp;WINDOW=FIRST_POPUP&amp;HEIGHT=450&amp;WIDTH=450&amp;START_MA","XIMIZED=FALSE&amp;VAR:CALENDAR=US&amp;VAR:SYMBOL=N0098510&amp;VAR:INDEX=0"}</definedName>
    <definedName name="_7232__FDSAUDITLINK__" hidden="1">{"fdsup://directions/FAT Viewer?action=UPDATE&amp;creator=factset&amp;DYN_ARGS=TRUE&amp;DOC_NAME=FAT:FQL_AUDITING_CLIENT_TEMPLATE.FAT&amp;display_string=Audit&amp;VAR:KEY=BAVOTYLQBO&amp;VAR:QUERY=RkZfRUJJVERBX0lCKCdMVE1TJywzODQ4MSk=&amp;WINDOW=FIRST_POPUP&amp;HEIGHT=450&amp;WIDTH=450&amp;START_MA","XIMIZED=FALSE&amp;VAR:CALENDAR=US&amp;VAR:SYMBOL=N0098510&amp;VAR:INDEX=0"}</definedName>
    <definedName name="_7233__FDSAUDITLINK__" localSheetId="6" hidden="1">{"fdsup://directions/FAT Viewer?action=UPDATE&amp;creator=factset&amp;DYN_ARGS=TRUE&amp;DOC_NAME=FAT:FQL_AUDITING_CLIENT_TEMPLATE.FAT&amp;display_string=Audit&amp;VAR:KEY=DOZQVGXUVE&amp;VAR:QUERY=RkZfRUJJVERBX0lCKCdMVE1TJywzODQ4MCk=&amp;WINDOW=FIRST_POPUP&amp;HEIGHT=450&amp;WIDTH=450&amp;START_MA","XIMIZED=FALSE&amp;VAR:CALENDAR=US&amp;VAR:SYMBOL=N0098510&amp;VAR:INDEX=0"}</definedName>
    <definedName name="_7233__FDSAUDITLINK__" hidden="1">{"fdsup://directions/FAT Viewer?action=UPDATE&amp;creator=factset&amp;DYN_ARGS=TRUE&amp;DOC_NAME=FAT:FQL_AUDITING_CLIENT_TEMPLATE.FAT&amp;display_string=Audit&amp;VAR:KEY=DOZQVGXUVE&amp;VAR:QUERY=RkZfRUJJVERBX0lCKCdMVE1TJywzODQ4MCk=&amp;WINDOW=FIRST_POPUP&amp;HEIGHT=450&amp;WIDTH=450&amp;START_MA","XIMIZED=FALSE&amp;VAR:CALENDAR=US&amp;VAR:SYMBOL=N0098510&amp;VAR:INDEX=0"}</definedName>
    <definedName name="_7234__FDSAUDITLINK__" localSheetId="6" hidden="1">{"fdsup://directions/FAT Viewer?action=UPDATE&amp;creator=factset&amp;DYN_ARGS=TRUE&amp;DOC_NAME=FAT:FQL_AUDITING_CLIENT_TEMPLATE.FAT&amp;display_string=Audit&amp;VAR:KEY=TGFWPKXQZS&amp;VAR:QUERY=RkZfRUJJVERBX0lCKCdMVE1TJywzODQ3OSk=&amp;WINDOW=FIRST_POPUP&amp;HEIGHT=450&amp;WIDTH=450&amp;START_MA","XIMIZED=FALSE&amp;VAR:CALENDAR=US&amp;VAR:SYMBOL=N0098510&amp;VAR:INDEX=0"}</definedName>
    <definedName name="_7234__FDSAUDITLINK__" hidden="1">{"fdsup://directions/FAT Viewer?action=UPDATE&amp;creator=factset&amp;DYN_ARGS=TRUE&amp;DOC_NAME=FAT:FQL_AUDITING_CLIENT_TEMPLATE.FAT&amp;display_string=Audit&amp;VAR:KEY=TGFWPKXQZS&amp;VAR:QUERY=RkZfRUJJVERBX0lCKCdMVE1TJywzODQ3OSk=&amp;WINDOW=FIRST_POPUP&amp;HEIGHT=450&amp;WIDTH=450&amp;START_MA","XIMIZED=FALSE&amp;VAR:CALENDAR=US&amp;VAR:SYMBOL=N0098510&amp;VAR:INDEX=0"}</definedName>
    <definedName name="_7235__FDSAUDITLINK__" localSheetId="6" hidden="1">{"fdsup://directions/FAT Viewer?action=UPDATE&amp;creator=factset&amp;DYN_ARGS=TRUE&amp;DOC_NAME=FAT:FQL_AUDITING_CLIENT_TEMPLATE.FAT&amp;display_string=Audit&amp;VAR:KEY=NCNMZWPAXY&amp;VAR:QUERY=RkZfRUJJVERBX0lCKCdMVE1TJywzODQ3OCk=&amp;WINDOW=FIRST_POPUP&amp;HEIGHT=450&amp;WIDTH=450&amp;START_MA","XIMIZED=FALSE&amp;VAR:CALENDAR=US&amp;VAR:SYMBOL=N0098510&amp;VAR:INDEX=0"}</definedName>
    <definedName name="_7235__FDSAUDITLINK__" hidden="1">{"fdsup://directions/FAT Viewer?action=UPDATE&amp;creator=factset&amp;DYN_ARGS=TRUE&amp;DOC_NAME=FAT:FQL_AUDITING_CLIENT_TEMPLATE.FAT&amp;display_string=Audit&amp;VAR:KEY=NCNMZWPAXY&amp;VAR:QUERY=RkZfRUJJVERBX0lCKCdMVE1TJywzODQ3OCk=&amp;WINDOW=FIRST_POPUP&amp;HEIGHT=450&amp;WIDTH=450&amp;START_MA","XIMIZED=FALSE&amp;VAR:CALENDAR=US&amp;VAR:SYMBOL=N0098510&amp;VAR:INDEX=0"}</definedName>
    <definedName name="_7236__FDSAUDITLINK__" localSheetId="6" hidden="1">{"fdsup://directions/FAT Viewer?action=UPDATE&amp;creator=factset&amp;DYN_ARGS=TRUE&amp;DOC_NAME=FAT:FQL_AUDITING_CLIENT_TEMPLATE.FAT&amp;display_string=Audit&amp;VAR:KEY=BCNYXONIJM&amp;VAR:QUERY=RkZfRUJJVERBX0lCKCdMVE1TJywzODQ3Nyk=&amp;WINDOW=FIRST_POPUP&amp;HEIGHT=450&amp;WIDTH=450&amp;START_MA","XIMIZED=FALSE&amp;VAR:CALENDAR=US&amp;VAR:SYMBOL=N0098510&amp;VAR:INDEX=0"}</definedName>
    <definedName name="_7236__FDSAUDITLINK__" hidden="1">{"fdsup://directions/FAT Viewer?action=UPDATE&amp;creator=factset&amp;DYN_ARGS=TRUE&amp;DOC_NAME=FAT:FQL_AUDITING_CLIENT_TEMPLATE.FAT&amp;display_string=Audit&amp;VAR:KEY=BCNYXONIJM&amp;VAR:QUERY=RkZfRUJJVERBX0lCKCdMVE1TJywzODQ3Nyk=&amp;WINDOW=FIRST_POPUP&amp;HEIGHT=450&amp;WIDTH=450&amp;START_MA","XIMIZED=FALSE&amp;VAR:CALENDAR=US&amp;VAR:SYMBOL=N0098510&amp;VAR:INDEX=0"}</definedName>
    <definedName name="_7237__FDSAUDITLINK__" localSheetId="6" hidden="1">{"fdsup://directions/FAT Viewer?action=UPDATE&amp;creator=factset&amp;DYN_ARGS=TRUE&amp;DOC_NAME=FAT:FQL_AUDITING_CLIENT_TEMPLATE.FAT&amp;display_string=Audit&amp;VAR:KEY=RQDKDGFENQ&amp;VAR:QUERY=RkZfRUJJVERBX0lCKCdMVE1TJywzODQ3Nik=&amp;WINDOW=FIRST_POPUP&amp;HEIGHT=450&amp;WIDTH=450&amp;START_MA","XIMIZED=FALSE&amp;VAR:CALENDAR=US&amp;VAR:SYMBOL=N0098510&amp;VAR:INDEX=0"}</definedName>
    <definedName name="_7237__FDSAUDITLINK__" hidden="1">{"fdsup://directions/FAT Viewer?action=UPDATE&amp;creator=factset&amp;DYN_ARGS=TRUE&amp;DOC_NAME=FAT:FQL_AUDITING_CLIENT_TEMPLATE.FAT&amp;display_string=Audit&amp;VAR:KEY=RQDKDGFENQ&amp;VAR:QUERY=RkZfRUJJVERBX0lCKCdMVE1TJywzODQ3Nik=&amp;WINDOW=FIRST_POPUP&amp;HEIGHT=450&amp;WIDTH=450&amp;START_MA","XIMIZED=FALSE&amp;VAR:CALENDAR=US&amp;VAR:SYMBOL=N0098510&amp;VAR:INDEX=0"}</definedName>
    <definedName name="_7238__FDSAUDITLINK__" localSheetId="6" hidden="1">{"fdsup://directions/FAT Viewer?action=UPDATE&amp;creator=factset&amp;DYN_ARGS=TRUE&amp;DOC_NAME=FAT:FQL_AUDITING_CLIENT_TEMPLATE.FAT&amp;display_string=Audit&amp;VAR:KEY=RYBIHWPWHC&amp;VAR:QUERY=RkZfRUJJVERBX0lCKCdMVE1TJywzODQ3NSk=&amp;WINDOW=FIRST_POPUP&amp;HEIGHT=450&amp;WIDTH=450&amp;START_MA","XIMIZED=FALSE&amp;VAR:CALENDAR=US&amp;VAR:SYMBOL=N0098510&amp;VAR:INDEX=0"}</definedName>
    <definedName name="_7238__FDSAUDITLINK__" hidden="1">{"fdsup://directions/FAT Viewer?action=UPDATE&amp;creator=factset&amp;DYN_ARGS=TRUE&amp;DOC_NAME=FAT:FQL_AUDITING_CLIENT_TEMPLATE.FAT&amp;display_string=Audit&amp;VAR:KEY=RYBIHWPWHC&amp;VAR:QUERY=RkZfRUJJVERBX0lCKCdMVE1TJywzODQ3NSk=&amp;WINDOW=FIRST_POPUP&amp;HEIGHT=450&amp;WIDTH=450&amp;START_MA","XIMIZED=FALSE&amp;VAR:CALENDAR=US&amp;VAR:SYMBOL=N0098510&amp;VAR:INDEX=0"}</definedName>
    <definedName name="_7239__FDSAUDITLINK__" localSheetId="6" hidden="1">{"fdsup://directions/FAT Viewer?action=UPDATE&amp;creator=factset&amp;DYN_ARGS=TRUE&amp;DOC_NAME=FAT:FQL_AUDITING_CLIENT_TEMPLATE.FAT&amp;display_string=Audit&amp;VAR:KEY=VEDYBAXGPU&amp;VAR:QUERY=RkZfRUJJVERBX0lCKCdMVE1TJywzODQ3NCk=&amp;WINDOW=FIRST_POPUP&amp;HEIGHT=450&amp;WIDTH=450&amp;START_MA","XIMIZED=FALSE&amp;VAR:CALENDAR=US&amp;VAR:SYMBOL=N0098510&amp;VAR:INDEX=0"}</definedName>
    <definedName name="_7239__FDSAUDITLINK__" hidden="1">{"fdsup://directions/FAT Viewer?action=UPDATE&amp;creator=factset&amp;DYN_ARGS=TRUE&amp;DOC_NAME=FAT:FQL_AUDITING_CLIENT_TEMPLATE.FAT&amp;display_string=Audit&amp;VAR:KEY=VEDYBAXGPU&amp;VAR:QUERY=RkZfRUJJVERBX0lCKCdMVE1TJywzODQ3NCk=&amp;WINDOW=FIRST_POPUP&amp;HEIGHT=450&amp;WIDTH=450&amp;START_MA","XIMIZED=FALSE&amp;VAR:CALENDAR=US&amp;VAR:SYMBOL=N0098510&amp;VAR:INDEX=0"}</definedName>
    <definedName name="_724__FDSAUDITLINK__" localSheetId="6" hidden="1">{"fdsup://directions/FAT%20Viewer?VAR:PED=LTM&amp;VAR:AUDIT_MODE=SUMMARY&amp;VAR:PERIOD=FIXED&amp;VAR:AUDIT_ID=00000117&amp;VAR:DATE=20080228&amp;action=UPDATE&amp;creator=factset&amp;DOC_NAME=FAT:FMA_audit_SUMMARY.fat&amp;DISPLAY_STRING=Display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4__FDSAUDITLINK__" hidden="1">{"fdsup://directions/FAT%20Viewer?VAR:PED=LTM&amp;VAR:AUDIT_MODE=SUMMARY&amp;VAR:PERIOD=FIXED&amp;VAR:AUDIT_ID=00000117&amp;VAR:DATE=20080228&amp;action=UPDATE&amp;creator=factset&amp;DOC_NAME=FAT:FMA_audit_SUMMARY.fat&amp;DISPLAY_STRING=Display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40__FDSAUDITLINK__" localSheetId="6" hidden="1">{"fdsup://directions/FAT Viewer?action=UPDATE&amp;creator=factset&amp;DYN_ARGS=TRUE&amp;DOC_NAME=FAT:FQL_AUDITING_CLIENT_TEMPLATE.FAT&amp;display_string=Audit&amp;VAR:KEY=FSNGRYLWFO&amp;VAR:QUERY=RkZfRUJJVERBX0lCKCdMVE1TJywzODQ3Myk=&amp;WINDOW=FIRST_POPUP&amp;HEIGHT=450&amp;WIDTH=450&amp;START_MA","XIMIZED=FALSE&amp;VAR:CALENDAR=US&amp;VAR:SYMBOL=N0098510&amp;VAR:INDEX=0"}</definedName>
    <definedName name="_7240__FDSAUDITLINK__" hidden="1">{"fdsup://directions/FAT Viewer?action=UPDATE&amp;creator=factset&amp;DYN_ARGS=TRUE&amp;DOC_NAME=FAT:FQL_AUDITING_CLIENT_TEMPLATE.FAT&amp;display_string=Audit&amp;VAR:KEY=FSNGRYLWFO&amp;VAR:QUERY=RkZfRUJJVERBX0lCKCdMVE1TJywzODQ3Myk=&amp;WINDOW=FIRST_POPUP&amp;HEIGHT=450&amp;WIDTH=450&amp;START_MA","XIMIZED=FALSE&amp;VAR:CALENDAR=US&amp;VAR:SYMBOL=N0098510&amp;VAR:INDEX=0"}</definedName>
    <definedName name="_7241__FDSAUDITLINK__" localSheetId="6" hidden="1">{"fdsup://directions/FAT Viewer?action=UPDATE&amp;creator=factset&amp;DYN_ARGS=TRUE&amp;DOC_NAME=FAT:FQL_AUDITING_CLIENT_TEMPLATE.FAT&amp;display_string=Audit&amp;VAR:KEY=DKJOHKPKXE&amp;VAR:QUERY=RkZfRUJJVERBX0lCKCdMVE1TJywzODQ3Mik=&amp;WINDOW=FIRST_POPUP&amp;HEIGHT=450&amp;WIDTH=450&amp;START_MA","XIMIZED=FALSE&amp;VAR:CALENDAR=US&amp;VAR:SYMBOL=N0098510&amp;VAR:INDEX=0"}</definedName>
    <definedName name="_7241__FDSAUDITLINK__" hidden="1">{"fdsup://directions/FAT Viewer?action=UPDATE&amp;creator=factset&amp;DYN_ARGS=TRUE&amp;DOC_NAME=FAT:FQL_AUDITING_CLIENT_TEMPLATE.FAT&amp;display_string=Audit&amp;VAR:KEY=DKJOHKPKXE&amp;VAR:QUERY=RkZfRUJJVERBX0lCKCdMVE1TJywzODQ3Mik=&amp;WINDOW=FIRST_POPUP&amp;HEIGHT=450&amp;WIDTH=450&amp;START_MA","XIMIZED=FALSE&amp;VAR:CALENDAR=US&amp;VAR:SYMBOL=N0098510&amp;VAR:INDEX=0"}</definedName>
    <definedName name="_7242__FDSAUDITLINK__" localSheetId="6" hidden="1">{"fdsup://directions/FAT Viewer?action=UPDATE&amp;creator=factset&amp;DYN_ARGS=TRUE&amp;DOC_NAME=FAT:FQL_AUDITING_CLIENT_TEMPLATE.FAT&amp;display_string=Audit&amp;VAR:KEY=DSDAPEHGZE&amp;VAR:QUERY=RkZfRUJJVERBX0lCKCdMVE1TJywzODQ3MSk=&amp;WINDOW=FIRST_POPUP&amp;HEIGHT=450&amp;WIDTH=450&amp;START_MA","XIMIZED=FALSE&amp;VAR:CALENDAR=US&amp;VAR:SYMBOL=N0098510&amp;VAR:INDEX=0"}</definedName>
    <definedName name="_7242__FDSAUDITLINK__" hidden="1">{"fdsup://directions/FAT Viewer?action=UPDATE&amp;creator=factset&amp;DYN_ARGS=TRUE&amp;DOC_NAME=FAT:FQL_AUDITING_CLIENT_TEMPLATE.FAT&amp;display_string=Audit&amp;VAR:KEY=DSDAPEHGZE&amp;VAR:QUERY=RkZfRUJJVERBX0lCKCdMVE1TJywzODQ3MSk=&amp;WINDOW=FIRST_POPUP&amp;HEIGHT=450&amp;WIDTH=450&amp;START_MA","XIMIZED=FALSE&amp;VAR:CALENDAR=US&amp;VAR:SYMBOL=N0098510&amp;VAR:INDEX=0"}</definedName>
    <definedName name="_7243__FDSAUDITLINK__" localSheetId="6" hidden="1">{"fdsup://directions/FAT Viewer?action=UPDATE&amp;creator=factset&amp;DYN_ARGS=TRUE&amp;DOC_NAME=FAT:FQL_AUDITING_CLIENT_TEMPLATE.FAT&amp;display_string=Audit&amp;VAR:KEY=HSBULKXEJW&amp;VAR:QUERY=RkZfRUJJVERBX0lCKCdMVE1TJywzODQ3MCk=&amp;WINDOW=FIRST_POPUP&amp;HEIGHT=450&amp;WIDTH=450&amp;START_MA","XIMIZED=FALSE&amp;VAR:CALENDAR=US&amp;VAR:SYMBOL=N0098510&amp;VAR:INDEX=0"}</definedName>
    <definedName name="_7243__FDSAUDITLINK__" hidden="1">{"fdsup://directions/FAT Viewer?action=UPDATE&amp;creator=factset&amp;DYN_ARGS=TRUE&amp;DOC_NAME=FAT:FQL_AUDITING_CLIENT_TEMPLATE.FAT&amp;display_string=Audit&amp;VAR:KEY=HSBULKXEJW&amp;VAR:QUERY=RkZfRUJJVERBX0lCKCdMVE1TJywzODQ3MCk=&amp;WINDOW=FIRST_POPUP&amp;HEIGHT=450&amp;WIDTH=450&amp;START_MA","XIMIZED=FALSE&amp;VAR:CALENDAR=US&amp;VAR:SYMBOL=N0098510&amp;VAR:INDEX=0"}</definedName>
    <definedName name="_7244__FDSAUDITLINK__" localSheetId="6" hidden="1">{"fdsup://directions/FAT Viewer?action=UPDATE&amp;creator=factset&amp;DYN_ARGS=TRUE&amp;DOC_NAME=FAT:FQL_AUDITING_CLIENT_TEMPLATE.FAT&amp;display_string=Audit&amp;VAR:KEY=PALYBEVQVG&amp;VAR:QUERY=RkZfRUJJVERBX0lCKCdMVE1TJywzODQ2OSk=&amp;WINDOW=FIRST_POPUP&amp;HEIGHT=450&amp;WIDTH=450&amp;START_MA","XIMIZED=FALSE&amp;VAR:CALENDAR=US&amp;VAR:SYMBOL=N0098510&amp;VAR:INDEX=0"}</definedName>
    <definedName name="_7244__FDSAUDITLINK__" hidden="1">{"fdsup://directions/FAT Viewer?action=UPDATE&amp;creator=factset&amp;DYN_ARGS=TRUE&amp;DOC_NAME=FAT:FQL_AUDITING_CLIENT_TEMPLATE.FAT&amp;display_string=Audit&amp;VAR:KEY=PALYBEVQVG&amp;VAR:QUERY=RkZfRUJJVERBX0lCKCdMVE1TJywzODQ2OSk=&amp;WINDOW=FIRST_POPUP&amp;HEIGHT=450&amp;WIDTH=450&amp;START_MA","XIMIZED=FALSE&amp;VAR:CALENDAR=US&amp;VAR:SYMBOL=N0098510&amp;VAR:INDEX=0"}</definedName>
    <definedName name="_7245__FDSAUDITLINK__" localSheetId="6" hidden="1">{"fdsup://directions/FAT Viewer?action=UPDATE&amp;creator=factset&amp;DYN_ARGS=TRUE&amp;DOC_NAME=FAT:FQL_AUDITING_CLIENT_TEMPLATE.FAT&amp;display_string=Audit&amp;VAR:KEY=TCDGXIRGTY&amp;VAR:QUERY=RkZfRUJJVERBX0lCKCdMVE1TJywzODQ2OCk=&amp;WINDOW=FIRST_POPUP&amp;HEIGHT=450&amp;WIDTH=450&amp;START_MA","XIMIZED=FALSE&amp;VAR:CALENDAR=US&amp;VAR:SYMBOL=N0098510&amp;VAR:INDEX=0"}</definedName>
    <definedName name="_7245__FDSAUDITLINK__" hidden="1">{"fdsup://directions/FAT Viewer?action=UPDATE&amp;creator=factset&amp;DYN_ARGS=TRUE&amp;DOC_NAME=FAT:FQL_AUDITING_CLIENT_TEMPLATE.FAT&amp;display_string=Audit&amp;VAR:KEY=TCDGXIRGTY&amp;VAR:QUERY=RkZfRUJJVERBX0lCKCdMVE1TJywzODQ2OCk=&amp;WINDOW=FIRST_POPUP&amp;HEIGHT=450&amp;WIDTH=450&amp;START_MA","XIMIZED=FALSE&amp;VAR:CALENDAR=US&amp;VAR:SYMBOL=N0098510&amp;VAR:INDEX=0"}</definedName>
    <definedName name="_7246__FDSAUDITLINK__" localSheetId="6" hidden="1">{"fdsup://directions/FAT Viewer?action=UPDATE&amp;creator=factset&amp;DYN_ARGS=TRUE&amp;DOC_NAME=FAT:FQL_AUDITING_CLIENT_TEMPLATE.FAT&amp;display_string=Audit&amp;VAR:KEY=FSRANUZGLC&amp;VAR:QUERY=RkZfRUJJVERBX0lCKCdMVE1TJywzODQ2Nyk=&amp;WINDOW=FIRST_POPUP&amp;HEIGHT=450&amp;WIDTH=450&amp;START_MA","XIMIZED=FALSE&amp;VAR:CALENDAR=US&amp;VAR:SYMBOL=N0098510&amp;VAR:INDEX=0"}</definedName>
    <definedName name="_7246__FDSAUDITLINK__" hidden="1">{"fdsup://directions/FAT Viewer?action=UPDATE&amp;creator=factset&amp;DYN_ARGS=TRUE&amp;DOC_NAME=FAT:FQL_AUDITING_CLIENT_TEMPLATE.FAT&amp;display_string=Audit&amp;VAR:KEY=FSRANUZGLC&amp;VAR:QUERY=RkZfRUJJVERBX0lCKCdMVE1TJywzODQ2Nyk=&amp;WINDOW=FIRST_POPUP&amp;HEIGHT=450&amp;WIDTH=450&amp;START_MA","XIMIZED=FALSE&amp;VAR:CALENDAR=US&amp;VAR:SYMBOL=N0098510&amp;VAR:INDEX=0"}</definedName>
    <definedName name="_7247__FDSAUDITLINK__" localSheetId="6" hidden="1">{"fdsup://directions/FAT Viewer?action=UPDATE&amp;creator=factset&amp;DYN_ARGS=TRUE&amp;DOC_NAME=FAT:FQL_AUDITING_CLIENT_TEMPLATE.FAT&amp;display_string=Audit&amp;VAR:KEY=HCTQJMXEVO&amp;VAR:QUERY=RkZfRUJJVERBX0lCKCdMVE1TJywzODQ2Nik=&amp;WINDOW=FIRST_POPUP&amp;HEIGHT=450&amp;WIDTH=450&amp;START_MA","XIMIZED=FALSE&amp;VAR:CALENDAR=US&amp;VAR:SYMBOL=N0098510&amp;VAR:INDEX=0"}</definedName>
    <definedName name="_7247__FDSAUDITLINK__" hidden="1">{"fdsup://directions/FAT Viewer?action=UPDATE&amp;creator=factset&amp;DYN_ARGS=TRUE&amp;DOC_NAME=FAT:FQL_AUDITING_CLIENT_TEMPLATE.FAT&amp;display_string=Audit&amp;VAR:KEY=HCTQJMXEVO&amp;VAR:QUERY=RkZfRUJJVERBX0lCKCdMVE1TJywzODQ2Nik=&amp;WINDOW=FIRST_POPUP&amp;HEIGHT=450&amp;WIDTH=450&amp;START_MA","XIMIZED=FALSE&amp;VAR:CALENDAR=US&amp;VAR:SYMBOL=N0098510&amp;VAR:INDEX=0"}</definedName>
    <definedName name="_7248__FDSAUDITLINK__" localSheetId="6" hidden="1">{"fdsup://directions/FAT Viewer?action=UPDATE&amp;creator=factset&amp;DYN_ARGS=TRUE&amp;DOC_NAME=FAT:FQL_AUDITING_CLIENT_TEMPLATE.FAT&amp;display_string=Audit&amp;VAR:KEY=NGJKPMNCVM&amp;VAR:QUERY=RkZfRUJJVERBX0lCKCdMVE1TJywzODQ2NSk=&amp;WINDOW=FIRST_POPUP&amp;HEIGHT=450&amp;WIDTH=450&amp;START_MA","XIMIZED=FALSE&amp;VAR:CALENDAR=US&amp;VAR:SYMBOL=N0098510&amp;VAR:INDEX=0"}</definedName>
    <definedName name="_7248__FDSAUDITLINK__" hidden="1">{"fdsup://directions/FAT Viewer?action=UPDATE&amp;creator=factset&amp;DYN_ARGS=TRUE&amp;DOC_NAME=FAT:FQL_AUDITING_CLIENT_TEMPLATE.FAT&amp;display_string=Audit&amp;VAR:KEY=NGJKPMNCVM&amp;VAR:QUERY=RkZfRUJJVERBX0lCKCdMVE1TJywzODQ2NSk=&amp;WINDOW=FIRST_POPUP&amp;HEIGHT=450&amp;WIDTH=450&amp;START_MA","XIMIZED=FALSE&amp;VAR:CALENDAR=US&amp;VAR:SYMBOL=N0098510&amp;VAR:INDEX=0"}</definedName>
    <definedName name="_7249__FDSAUDITLINK__" localSheetId="6" hidden="1">{"fdsup://directions/FAT Viewer?action=UPDATE&amp;creator=factset&amp;DYN_ARGS=TRUE&amp;DOC_NAME=FAT:FQL_AUDITING_CLIENT_TEMPLATE.FAT&amp;display_string=Audit&amp;VAR:KEY=DYJYTKLWPC&amp;VAR:QUERY=RkZfRUJJVERBX0lCKCdMVE1TJywzODQ2NCk=&amp;WINDOW=FIRST_POPUP&amp;HEIGHT=450&amp;WIDTH=450&amp;START_MA","XIMIZED=FALSE&amp;VAR:CALENDAR=US&amp;VAR:SYMBOL=N0098510&amp;VAR:INDEX=0"}</definedName>
    <definedName name="_7249__FDSAUDITLINK__" hidden="1">{"fdsup://directions/FAT Viewer?action=UPDATE&amp;creator=factset&amp;DYN_ARGS=TRUE&amp;DOC_NAME=FAT:FQL_AUDITING_CLIENT_TEMPLATE.FAT&amp;display_string=Audit&amp;VAR:KEY=DYJYTKLWPC&amp;VAR:QUERY=RkZfRUJJVERBX0lCKCdMVE1TJywzODQ2NCk=&amp;WINDOW=FIRST_POPUP&amp;HEIGHT=450&amp;WIDTH=450&amp;START_MA","XIMIZED=FALSE&amp;VAR:CALENDAR=US&amp;VAR:SYMBOL=N0098510&amp;VAR:INDEX=0"}</definedName>
    <definedName name="_725__FDSAUDITLINK__" localSheetId="6" hidden="1">{"fdsup://directions/FAT%20Viewer?VAR:PED=LTM&amp;VAR:AUDIT_MODE=SUMMARY&amp;VAR:PERIOD=FIXED&amp;VAR:AUDIT_ID=00000117&amp;VAR:DATE=20080227&amp;action=UPDATE&amp;creator=factset&amp;DOC_NAME=FAT:FMA_audit_SUMMARY.fat&amp;DISPLAY_STRING=Display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5__FDSAUDITLINK__" hidden="1">{"fdsup://directions/FAT%20Viewer?VAR:PED=LTM&amp;VAR:AUDIT_MODE=SUMMARY&amp;VAR:PERIOD=FIXED&amp;VAR:AUDIT_ID=00000117&amp;VAR:DATE=20080227&amp;action=UPDATE&amp;creator=factset&amp;DOC_NAME=FAT:FMA_audit_SUMMARY.fat&amp;DISPLAY_STRING=Display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50__FDSAUDITLINK__" localSheetId="6" hidden="1">{"fdsup://directions/FAT Viewer?action=UPDATE&amp;creator=factset&amp;DYN_ARGS=TRUE&amp;DOC_NAME=FAT:FQL_AUDITING_CLIENT_TEMPLATE.FAT&amp;display_string=Audit&amp;VAR:KEY=LUZKRUFULU&amp;VAR:QUERY=RkZfRUJJVERBX0lCKCdMVE1TJywzODQ2Myk=&amp;WINDOW=FIRST_POPUP&amp;HEIGHT=450&amp;WIDTH=450&amp;START_MA","XIMIZED=FALSE&amp;VAR:CALENDAR=US&amp;VAR:SYMBOL=N0098510&amp;VAR:INDEX=0"}</definedName>
    <definedName name="_7250__FDSAUDITLINK__" hidden="1">{"fdsup://directions/FAT Viewer?action=UPDATE&amp;creator=factset&amp;DYN_ARGS=TRUE&amp;DOC_NAME=FAT:FQL_AUDITING_CLIENT_TEMPLATE.FAT&amp;display_string=Audit&amp;VAR:KEY=LUZKRUFULU&amp;VAR:QUERY=RkZfRUJJVERBX0lCKCdMVE1TJywzODQ2Myk=&amp;WINDOW=FIRST_POPUP&amp;HEIGHT=450&amp;WIDTH=450&amp;START_MA","XIMIZED=FALSE&amp;VAR:CALENDAR=US&amp;VAR:SYMBOL=N0098510&amp;VAR:INDEX=0"}</definedName>
    <definedName name="_7251__FDSAUDITLINK__" localSheetId="6" hidden="1">{"fdsup://directions/FAT Viewer?action=UPDATE&amp;creator=factset&amp;DYN_ARGS=TRUE&amp;DOC_NAME=FAT:FQL_AUDITING_CLIENT_TEMPLATE.FAT&amp;display_string=Audit&amp;VAR:KEY=PETUPYFWJW&amp;VAR:QUERY=RkZfRUJJVERBX0lCKCdMVE1TJywzODQ2Mik=&amp;WINDOW=FIRST_POPUP&amp;HEIGHT=450&amp;WIDTH=450&amp;START_MA","XIMIZED=FALSE&amp;VAR:CALENDAR=US&amp;VAR:SYMBOL=N0098510&amp;VAR:INDEX=0"}</definedName>
    <definedName name="_7251__FDSAUDITLINK__" hidden="1">{"fdsup://directions/FAT Viewer?action=UPDATE&amp;creator=factset&amp;DYN_ARGS=TRUE&amp;DOC_NAME=FAT:FQL_AUDITING_CLIENT_TEMPLATE.FAT&amp;display_string=Audit&amp;VAR:KEY=PETUPYFWJW&amp;VAR:QUERY=RkZfRUJJVERBX0lCKCdMVE1TJywzODQ2Mik=&amp;WINDOW=FIRST_POPUP&amp;HEIGHT=450&amp;WIDTH=450&amp;START_MA","XIMIZED=FALSE&amp;VAR:CALENDAR=US&amp;VAR:SYMBOL=N0098510&amp;VAR:INDEX=0"}</definedName>
    <definedName name="_7252__FDSAUDITLINK__" localSheetId="6" hidden="1">{"fdsup://directions/FAT Viewer?action=UPDATE&amp;creator=factset&amp;DYN_ARGS=TRUE&amp;DOC_NAME=FAT:FQL_AUDITING_CLIENT_TEMPLATE.FAT&amp;display_string=Audit&amp;VAR:KEY=NMHGJORAPA&amp;VAR:QUERY=RkZfRUJJVERBX0lCKCdMVE1TJywzODQ2MSk=&amp;WINDOW=FIRST_POPUP&amp;HEIGHT=450&amp;WIDTH=450&amp;START_MA","XIMIZED=FALSE&amp;VAR:CALENDAR=US&amp;VAR:SYMBOL=N0098510&amp;VAR:INDEX=0"}</definedName>
    <definedName name="_7252__FDSAUDITLINK__" hidden="1">{"fdsup://directions/FAT Viewer?action=UPDATE&amp;creator=factset&amp;DYN_ARGS=TRUE&amp;DOC_NAME=FAT:FQL_AUDITING_CLIENT_TEMPLATE.FAT&amp;display_string=Audit&amp;VAR:KEY=NMHGJORAPA&amp;VAR:QUERY=RkZfRUJJVERBX0lCKCdMVE1TJywzODQ2MSk=&amp;WINDOW=FIRST_POPUP&amp;HEIGHT=450&amp;WIDTH=450&amp;START_MA","XIMIZED=FALSE&amp;VAR:CALENDAR=US&amp;VAR:SYMBOL=N0098510&amp;VAR:INDEX=0"}</definedName>
    <definedName name="_7253__FDSAUDITLINK__" localSheetId="6" hidden="1">{"fdsup://directions/FAT Viewer?action=UPDATE&amp;creator=factset&amp;DYN_ARGS=TRUE&amp;DOC_NAME=FAT:FQL_AUDITING_CLIENT_TEMPLATE.FAT&amp;display_string=Audit&amp;VAR:KEY=FGBURKLGNC&amp;VAR:QUERY=RkZfRUJJVERBX0lCKCdMVE1TJywzODQ2MCk=&amp;WINDOW=FIRST_POPUP&amp;HEIGHT=450&amp;WIDTH=450&amp;START_MA","XIMIZED=FALSE&amp;VAR:CALENDAR=US&amp;VAR:SYMBOL=N0098510&amp;VAR:INDEX=0"}</definedName>
    <definedName name="_7253__FDSAUDITLINK__" hidden="1">{"fdsup://directions/FAT Viewer?action=UPDATE&amp;creator=factset&amp;DYN_ARGS=TRUE&amp;DOC_NAME=FAT:FQL_AUDITING_CLIENT_TEMPLATE.FAT&amp;display_string=Audit&amp;VAR:KEY=FGBURKLGNC&amp;VAR:QUERY=RkZfRUJJVERBX0lCKCdMVE1TJywzODQ2MCk=&amp;WINDOW=FIRST_POPUP&amp;HEIGHT=450&amp;WIDTH=450&amp;START_MA","XIMIZED=FALSE&amp;VAR:CALENDAR=US&amp;VAR:SYMBOL=N0098510&amp;VAR:INDEX=0"}</definedName>
    <definedName name="_7254__FDSAUDITLINK__" localSheetId="6" hidden="1">{"fdsup://directions/FAT Viewer?action=UPDATE&amp;creator=factset&amp;DYN_ARGS=TRUE&amp;DOC_NAME=FAT:FQL_AUDITING_CLIENT_TEMPLATE.FAT&amp;display_string=Audit&amp;VAR:KEY=XEHWZOLOZC&amp;VAR:QUERY=RkZfRUJJVERBX0lCKCdMVE1TJywzODQ1OSk=&amp;WINDOW=FIRST_POPUP&amp;HEIGHT=450&amp;WIDTH=450&amp;START_MA","XIMIZED=FALSE&amp;VAR:CALENDAR=US&amp;VAR:SYMBOL=N0098510&amp;VAR:INDEX=0"}</definedName>
    <definedName name="_7254__FDSAUDITLINK__" hidden="1">{"fdsup://directions/FAT Viewer?action=UPDATE&amp;creator=factset&amp;DYN_ARGS=TRUE&amp;DOC_NAME=FAT:FQL_AUDITING_CLIENT_TEMPLATE.FAT&amp;display_string=Audit&amp;VAR:KEY=XEHWZOLOZC&amp;VAR:QUERY=RkZfRUJJVERBX0lCKCdMVE1TJywzODQ1OSk=&amp;WINDOW=FIRST_POPUP&amp;HEIGHT=450&amp;WIDTH=450&amp;START_MA","XIMIZED=FALSE&amp;VAR:CALENDAR=US&amp;VAR:SYMBOL=N0098510&amp;VAR:INDEX=0"}</definedName>
    <definedName name="_7255__FDSAUDITLINK__" localSheetId="6" hidden="1">{"fdsup://directions/FAT Viewer?action=UPDATE&amp;creator=factset&amp;DYN_ARGS=TRUE&amp;DOC_NAME=FAT:FQL_AUDITING_CLIENT_TEMPLATE.FAT&amp;display_string=Audit&amp;VAR:KEY=HGJQDQJMHG&amp;VAR:QUERY=RkZfRUJJVERBX0lCKCdMVE1TJywzODQ1OCk=&amp;WINDOW=FIRST_POPUP&amp;HEIGHT=450&amp;WIDTH=450&amp;START_MA","XIMIZED=FALSE&amp;VAR:CALENDAR=US&amp;VAR:SYMBOL=N0098510&amp;VAR:INDEX=0"}</definedName>
    <definedName name="_7255__FDSAUDITLINK__" hidden="1">{"fdsup://directions/FAT Viewer?action=UPDATE&amp;creator=factset&amp;DYN_ARGS=TRUE&amp;DOC_NAME=FAT:FQL_AUDITING_CLIENT_TEMPLATE.FAT&amp;display_string=Audit&amp;VAR:KEY=HGJQDQJMHG&amp;VAR:QUERY=RkZfRUJJVERBX0lCKCdMVE1TJywzODQ1OCk=&amp;WINDOW=FIRST_POPUP&amp;HEIGHT=450&amp;WIDTH=450&amp;START_MA","XIMIZED=FALSE&amp;VAR:CALENDAR=US&amp;VAR:SYMBOL=N0098510&amp;VAR:INDEX=0"}</definedName>
    <definedName name="_7256__FDSAUDITLINK__" localSheetId="6" hidden="1">{"fdsup://directions/FAT Viewer?action=UPDATE&amp;creator=factset&amp;DYN_ARGS=TRUE&amp;DOC_NAME=FAT:FQL_AUDITING_CLIENT_TEMPLATE.FAT&amp;display_string=Audit&amp;VAR:KEY=TKBGJOROPG&amp;VAR:QUERY=RkZfRUJJVERBX0lCKCdMVE1TJywzODQ1Nyk=&amp;WINDOW=FIRST_POPUP&amp;HEIGHT=450&amp;WIDTH=450&amp;START_MA","XIMIZED=FALSE&amp;VAR:CALENDAR=US&amp;VAR:SYMBOL=N0098510&amp;VAR:INDEX=0"}</definedName>
    <definedName name="_7256__FDSAUDITLINK__" hidden="1">{"fdsup://directions/FAT Viewer?action=UPDATE&amp;creator=factset&amp;DYN_ARGS=TRUE&amp;DOC_NAME=FAT:FQL_AUDITING_CLIENT_TEMPLATE.FAT&amp;display_string=Audit&amp;VAR:KEY=TKBGJOROPG&amp;VAR:QUERY=RkZfRUJJVERBX0lCKCdMVE1TJywzODQ1Nyk=&amp;WINDOW=FIRST_POPUP&amp;HEIGHT=450&amp;WIDTH=450&amp;START_MA","XIMIZED=FALSE&amp;VAR:CALENDAR=US&amp;VAR:SYMBOL=N0098510&amp;VAR:INDEX=0"}</definedName>
    <definedName name="_7257__FDSAUDITLINK__" localSheetId="6" hidden="1">{"fdsup://directions/FAT Viewer?action=UPDATE&amp;creator=factset&amp;DYN_ARGS=TRUE&amp;DOC_NAME=FAT:FQL_AUDITING_CLIENT_TEMPLATE.FAT&amp;display_string=Audit&amp;VAR:KEY=JYZORWNAPK&amp;VAR:QUERY=RkZfRUJJVERBX0lCKCdMVE1TJywzODQ1Nik=&amp;WINDOW=FIRST_POPUP&amp;HEIGHT=450&amp;WIDTH=450&amp;START_MA","XIMIZED=FALSE&amp;VAR:CALENDAR=US&amp;VAR:SYMBOL=N0098510&amp;VAR:INDEX=0"}</definedName>
    <definedName name="_7257__FDSAUDITLINK__" hidden="1">{"fdsup://directions/FAT Viewer?action=UPDATE&amp;creator=factset&amp;DYN_ARGS=TRUE&amp;DOC_NAME=FAT:FQL_AUDITING_CLIENT_TEMPLATE.FAT&amp;display_string=Audit&amp;VAR:KEY=JYZORWNAPK&amp;VAR:QUERY=RkZfRUJJVERBX0lCKCdMVE1TJywzODQ1Nik=&amp;WINDOW=FIRST_POPUP&amp;HEIGHT=450&amp;WIDTH=450&amp;START_MA","XIMIZED=FALSE&amp;VAR:CALENDAR=US&amp;VAR:SYMBOL=N0098510&amp;VAR:INDEX=0"}</definedName>
    <definedName name="_7258__FDSAUDITLINK__" localSheetId="6" hidden="1">{"fdsup://directions/FAT Viewer?action=UPDATE&amp;creator=factset&amp;DYN_ARGS=TRUE&amp;DOC_NAME=FAT:FQL_AUDITING_CLIENT_TEMPLATE.FAT&amp;display_string=Audit&amp;VAR:KEY=JKTEVGXWTI&amp;VAR:QUERY=RkZfRUJJVERBX0lCKCdMVE1TJywzODQ1NSk=&amp;WINDOW=FIRST_POPUP&amp;HEIGHT=450&amp;WIDTH=450&amp;START_MA","XIMIZED=FALSE&amp;VAR:CALENDAR=US&amp;VAR:SYMBOL=N0098510&amp;VAR:INDEX=0"}</definedName>
    <definedName name="_7258__FDSAUDITLINK__" hidden="1">{"fdsup://directions/FAT Viewer?action=UPDATE&amp;creator=factset&amp;DYN_ARGS=TRUE&amp;DOC_NAME=FAT:FQL_AUDITING_CLIENT_TEMPLATE.FAT&amp;display_string=Audit&amp;VAR:KEY=JKTEVGXWTI&amp;VAR:QUERY=RkZfRUJJVERBX0lCKCdMVE1TJywzODQ1NSk=&amp;WINDOW=FIRST_POPUP&amp;HEIGHT=450&amp;WIDTH=450&amp;START_MA","XIMIZED=FALSE&amp;VAR:CALENDAR=US&amp;VAR:SYMBOL=N0098510&amp;VAR:INDEX=0"}</definedName>
    <definedName name="_7259__FDSAUDITLINK__" localSheetId="6" hidden="1">{"fdsup://directions/FAT Viewer?action=UPDATE&amp;creator=factset&amp;DYN_ARGS=TRUE&amp;DOC_NAME=FAT:FQL_AUDITING_CLIENT_TEMPLATE.FAT&amp;display_string=Audit&amp;VAR:KEY=PQXKPUTQNS&amp;VAR:QUERY=RkZfRUJJVERBX0lCKCdMVE1TJywzODQ1NCk=&amp;WINDOW=FIRST_POPUP&amp;HEIGHT=450&amp;WIDTH=450&amp;START_MA","XIMIZED=FALSE&amp;VAR:CALENDAR=US&amp;VAR:SYMBOL=N0098510&amp;VAR:INDEX=0"}</definedName>
    <definedName name="_7259__FDSAUDITLINK__" hidden="1">{"fdsup://directions/FAT Viewer?action=UPDATE&amp;creator=factset&amp;DYN_ARGS=TRUE&amp;DOC_NAME=FAT:FQL_AUDITING_CLIENT_TEMPLATE.FAT&amp;display_string=Audit&amp;VAR:KEY=PQXKPUTQNS&amp;VAR:QUERY=RkZfRUJJVERBX0lCKCdMVE1TJywzODQ1NCk=&amp;WINDOW=FIRST_POPUP&amp;HEIGHT=450&amp;WIDTH=450&amp;START_MA","XIMIZED=FALSE&amp;VAR:CALENDAR=US&amp;VAR:SYMBOL=N0098510&amp;VAR:INDEX=0"}</definedName>
    <definedName name="_726__FDSAUDITLINK__" localSheetId="6" hidden="1">{"fdsup://directions/FAT%20Viewer?VAR:PED=LTM&amp;VAR:AUDIT_MODE=SUMMARY&amp;VAR:PERIOD=FIXED&amp;VAR:AUDIT_ID=00000117&amp;VAR:DATE=20080226&amp;action=UPDATE&amp;creator=factset&amp;DOC_NAME=FAT:FMA_audit_SUMMARY.fat&amp;DISPLAY_STRING=Display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6__FDSAUDITLINK__" hidden="1">{"fdsup://directions/FAT%20Viewer?VAR:PED=LTM&amp;VAR:AUDIT_MODE=SUMMARY&amp;VAR:PERIOD=FIXED&amp;VAR:AUDIT_ID=00000117&amp;VAR:DATE=20080226&amp;action=UPDATE&amp;creator=factset&amp;DOC_NAME=FAT:FMA_audit_SUMMARY.fat&amp;DISPLAY_STRING=Display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60__FDSAUDITLINK__" localSheetId="6" hidden="1">{"fdsup://directions/FAT Viewer?action=UPDATE&amp;creator=factset&amp;DYN_ARGS=TRUE&amp;DOC_NAME=FAT:FQL_AUDITING_CLIENT_TEMPLATE.FAT&amp;display_string=Audit&amp;VAR:KEY=FUTKHMXAPS&amp;VAR:QUERY=RkZfRUJJVERBX0lCKCdMVE1TJywzODQ1Myk=&amp;WINDOW=FIRST_POPUP&amp;HEIGHT=450&amp;WIDTH=450&amp;START_MA","XIMIZED=FALSE&amp;VAR:CALENDAR=US&amp;VAR:SYMBOL=N0098510&amp;VAR:INDEX=0"}</definedName>
    <definedName name="_7260__FDSAUDITLINK__" hidden="1">{"fdsup://directions/FAT Viewer?action=UPDATE&amp;creator=factset&amp;DYN_ARGS=TRUE&amp;DOC_NAME=FAT:FQL_AUDITING_CLIENT_TEMPLATE.FAT&amp;display_string=Audit&amp;VAR:KEY=FUTKHMXAPS&amp;VAR:QUERY=RkZfRUJJVERBX0lCKCdMVE1TJywzODQ1Myk=&amp;WINDOW=FIRST_POPUP&amp;HEIGHT=450&amp;WIDTH=450&amp;START_MA","XIMIZED=FALSE&amp;VAR:CALENDAR=US&amp;VAR:SYMBOL=N0098510&amp;VAR:INDEX=0"}</definedName>
    <definedName name="_7261__FDSAUDITLINK__" localSheetId="6" hidden="1">{"fdsup://directions/FAT Viewer?action=UPDATE&amp;creator=factset&amp;DYN_ARGS=TRUE&amp;DOC_NAME=FAT:FQL_AUDITING_CLIENT_TEMPLATE.FAT&amp;display_string=Audit&amp;VAR:KEY=POBYFMLILO&amp;VAR:QUERY=RkZfRUJJVERBX0lCKCdMVE1TJywzODQ1Mik=&amp;WINDOW=FIRST_POPUP&amp;HEIGHT=450&amp;WIDTH=450&amp;START_MA","XIMIZED=FALSE&amp;VAR:CALENDAR=US&amp;VAR:SYMBOL=N0098510&amp;VAR:INDEX=0"}</definedName>
    <definedName name="_7261__FDSAUDITLINK__" hidden="1">{"fdsup://directions/FAT Viewer?action=UPDATE&amp;creator=factset&amp;DYN_ARGS=TRUE&amp;DOC_NAME=FAT:FQL_AUDITING_CLIENT_TEMPLATE.FAT&amp;display_string=Audit&amp;VAR:KEY=POBYFMLILO&amp;VAR:QUERY=RkZfRUJJVERBX0lCKCdMVE1TJywzODQ1Mik=&amp;WINDOW=FIRST_POPUP&amp;HEIGHT=450&amp;WIDTH=450&amp;START_MA","XIMIZED=FALSE&amp;VAR:CALENDAR=US&amp;VAR:SYMBOL=N0098510&amp;VAR:INDEX=0"}</definedName>
    <definedName name="_7262__FDSAUDITLINK__" localSheetId="6" hidden="1">{"fdsup://directions/FAT Viewer?action=UPDATE&amp;creator=factset&amp;DYN_ARGS=TRUE&amp;DOC_NAME=FAT:FQL_AUDITING_CLIENT_TEMPLATE.FAT&amp;display_string=Audit&amp;VAR:KEY=JKXMDMTMHA&amp;VAR:QUERY=RkZfRUJJVERBX0lCKCdMVE1TJywzODQ1MSk=&amp;WINDOW=FIRST_POPUP&amp;HEIGHT=450&amp;WIDTH=450&amp;START_MA","XIMIZED=FALSE&amp;VAR:CALENDAR=US&amp;VAR:SYMBOL=N0098510&amp;VAR:INDEX=0"}</definedName>
    <definedName name="_7262__FDSAUDITLINK__" hidden="1">{"fdsup://directions/FAT Viewer?action=UPDATE&amp;creator=factset&amp;DYN_ARGS=TRUE&amp;DOC_NAME=FAT:FQL_AUDITING_CLIENT_TEMPLATE.FAT&amp;display_string=Audit&amp;VAR:KEY=JKXMDMTMHA&amp;VAR:QUERY=RkZfRUJJVERBX0lCKCdMVE1TJywzODQ1MSk=&amp;WINDOW=FIRST_POPUP&amp;HEIGHT=450&amp;WIDTH=450&amp;START_MA","XIMIZED=FALSE&amp;VAR:CALENDAR=US&amp;VAR:SYMBOL=N0098510&amp;VAR:INDEX=0"}</definedName>
    <definedName name="_7263__FDSAUDITLINK__" localSheetId="6" hidden="1">{"fdsup://directions/FAT Viewer?action=UPDATE&amp;creator=factset&amp;DYN_ARGS=TRUE&amp;DOC_NAME=FAT:FQL_AUDITING_CLIENT_TEMPLATE.FAT&amp;display_string=Audit&amp;VAR:KEY=RSTKVIXIBI&amp;VAR:QUERY=RkZfRUJJVERBX0lCKCdMVE1TJywzODQ1MCk=&amp;WINDOW=FIRST_POPUP&amp;HEIGHT=450&amp;WIDTH=450&amp;START_MA","XIMIZED=FALSE&amp;VAR:CALENDAR=US&amp;VAR:SYMBOL=N0098510&amp;VAR:INDEX=0"}</definedName>
    <definedName name="_7263__FDSAUDITLINK__" hidden="1">{"fdsup://directions/FAT Viewer?action=UPDATE&amp;creator=factset&amp;DYN_ARGS=TRUE&amp;DOC_NAME=FAT:FQL_AUDITING_CLIENT_TEMPLATE.FAT&amp;display_string=Audit&amp;VAR:KEY=RSTKVIXIBI&amp;VAR:QUERY=RkZfRUJJVERBX0lCKCdMVE1TJywzODQ1MCk=&amp;WINDOW=FIRST_POPUP&amp;HEIGHT=450&amp;WIDTH=450&amp;START_MA","XIMIZED=FALSE&amp;VAR:CALENDAR=US&amp;VAR:SYMBOL=N0098510&amp;VAR:INDEX=0"}</definedName>
    <definedName name="_7264__FDSAUDITLINK__" localSheetId="6" hidden="1">{"fdsup://directions/FAT Viewer?action=UPDATE&amp;creator=factset&amp;DYN_ARGS=TRUE&amp;DOC_NAME=FAT:FQL_AUDITING_CLIENT_TEMPLATE.FAT&amp;display_string=Audit&amp;VAR:KEY=DCDSNSBORG&amp;VAR:QUERY=RkZfRUJJVERBX0lCKCdMVE1TJywzODQ0OSk=&amp;WINDOW=FIRST_POPUP&amp;HEIGHT=450&amp;WIDTH=450&amp;START_MA","XIMIZED=FALSE&amp;VAR:CALENDAR=US&amp;VAR:SYMBOL=N0098510&amp;VAR:INDEX=0"}</definedName>
    <definedName name="_7264__FDSAUDITLINK__" hidden="1">{"fdsup://directions/FAT Viewer?action=UPDATE&amp;creator=factset&amp;DYN_ARGS=TRUE&amp;DOC_NAME=FAT:FQL_AUDITING_CLIENT_TEMPLATE.FAT&amp;display_string=Audit&amp;VAR:KEY=DCDSNSBORG&amp;VAR:QUERY=RkZfRUJJVERBX0lCKCdMVE1TJywzODQ0OSk=&amp;WINDOW=FIRST_POPUP&amp;HEIGHT=450&amp;WIDTH=450&amp;START_MA","XIMIZED=FALSE&amp;VAR:CALENDAR=US&amp;VAR:SYMBOL=N0098510&amp;VAR:INDEX=0"}</definedName>
    <definedName name="_7265__FDSAUDITLINK__" localSheetId="6" hidden="1">{"fdsup://directions/FAT Viewer?action=UPDATE&amp;creator=factset&amp;DYN_ARGS=TRUE&amp;DOC_NAME=FAT:FQL_AUDITING_CLIENT_TEMPLATE.FAT&amp;display_string=Audit&amp;VAR:KEY=TEBYJKRCJM&amp;VAR:QUERY=RkZfRUJJVERBX0lCKCdMVE1TJywzODQ0OCk=&amp;WINDOW=FIRST_POPUP&amp;HEIGHT=450&amp;WIDTH=450&amp;START_MA","XIMIZED=FALSE&amp;VAR:CALENDAR=US&amp;VAR:SYMBOL=N0098510&amp;VAR:INDEX=0"}</definedName>
    <definedName name="_7265__FDSAUDITLINK__" hidden="1">{"fdsup://directions/FAT Viewer?action=UPDATE&amp;creator=factset&amp;DYN_ARGS=TRUE&amp;DOC_NAME=FAT:FQL_AUDITING_CLIENT_TEMPLATE.FAT&amp;display_string=Audit&amp;VAR:KEY=TEBYJKRCJM&amp;VAR:QUERY=RkZfRUJJVERBX0lCKCdMVE1TJywzODQ0OCk=&amp;WINDOW=FIRST_POPUP&amp;HEIGHT=450&amp;WIDTH=450&amp;START_MA","XIMIZED=FALSE&amp;VAR:CALENDAR=US&amp;VAR:SYMBOL=N0098510&amp;VAR:INDEX=0"}</definedName>
    <definedName name="_7266__FDSAUDITLINK__" localSheetId="6" hidden="1">{"fdsup://directions/FAT Viewer?action=UPDATE&amp;creator=factset&amp;DYN_ARGS=TRUE&amp;DOC_NAME=FAT:FQL_AUDITING_CLIENT_TEMPLATE.FAT&amp;display_string=Audit&amp;VAR:KEY=VOVWZONIPU&amp;VAR:QUERY=RkZfRUJJVERBX0lCKCdMVE1TJywzODQ0Nyk=&amp;WINDOW=FIRST_POPUP&amp;HEIGHT=450&amp;WIDTH=450&amp;START_MA","XIMIZED=FALSE&amp;VAR:CALENDAR=US&amp;VAR:SYMBOL=N0098510&amp;VAR:INDEX=0"}</definedName>
    <definedName name="_7266__FDSAUDITLINK__" hidden="1">{"fdsup://directions/FAT Viewer?action=UPDATE&amp;creator=factset&amp;DYN_ARGS=TRUE&amp;DOC_NAME=FAT:FQL_AUDITING_CLIENT_TEMPLATE.FAT&amp;display_string=Audit&amp;VAR:KEY=VOVWZONIPU&amp;VAR:QUERY=RkZfRUJJVERBX0lCKCdMVE1TJywzODQ0Nyk=&amp;WINDOW=FIRST_POPUP&amp;HEIGHT=450&amp;WIDTH=450&amp;START_MA","XIMIZED=FALSE&amp;VAR:CALENDAR=US&amp;VAR:SYMBOL=N0098510&amp;VAR:INDEX=0"}</definedName>
    <definedName name="_7267__FDSAUDITLINK__" localSheetId="6" hidden="1">{"fdsup://directions/FAT Viewer?action=UPDATE&amp;creator=factset&amp;DYN_ARGS=TRUE&amp;DOC_NAME=FAT:FQL_AUDITING_CLIENT_TEMPLATE.FAT&amp;display_string=Audit&amp;VAR:KEY=FGLQXYFQTW&amp;VAR:QUERY=RkZfRUJJVERBX0lCKCdMVE1TJywzODQ0Nik=&amp;WINDOW=FIRST_POPUP&amp;HEIGHT=450&amp;WIDTH=450&amp;START_MA","XIMIZED=FALSE&amp;VAR:CALENDAR=US&amp;VAR:SYMBOL=N0098510&amp;VAR:INDEX=0"}</definedName>
    <definedName name="_7267__FDSAUDITLINK__" hidden="1">{"fdsup://directions/FAT Viewer?action=UPDATE&amp;creator=factset&amp;DYN_ARGS=TRUE&amp;DOC_NAME=FAT:FQL_AUDITING_CLIENT_TEMPLATE.FAT&amp;display_string=Audit&amp;VAR:KEY=FGLQXYFQTW&amp;VAR:QUERY=RkZfRUJJVERBX0lCKCdMVE1TJywzODQ0Nik=&amp;WINDOW=FIRST_POPUP&amp;HEIGHT=450&amp;WIDTH=450&amp;START_MA","XIMIZED=FALSE&amp;VAR:CALENDAR=US&amp;VAR:SYMBOL=N0098510&amp;VAR:INDEX=0"}</definedName>
    <definedName name="_7268__FDSAUDITLINK__" localSheetId="6" hidden="1">{"fdsup://directions/FAT Viewer?action=UPDATE&amp;creator=factset&amp;DYN_ARGS=TRUE&amp;DOC_NAME=FAT:FQL_AUDITING_CLIENT_TEMPLATE.FAT&amp;display_string=Audit&amp;VAR:KEY=ROXUBWBCFI&amp;VAR:QUERY=RkZfRUJJVERBX0lCKCdMVE1TJywzODQ0NSk=&amp;WINDOW=FIRST_POPUP&amp;HEIGHT=450&amp;WIDTH=450&amp;START_MA","XIMIZED=FALSE&amp;VAR:CALENDAR=US&amp;VAR:SYMBOL=N0098510&amp;VAR:INDEX=0"}</definedName>
    <definedName name="_7268__FDSAUDITLINK__" hidden="1">{"fdsup://directions/FAT Viewer?action=UPDATE&amp;creator=factset&amp;DYN_ARGS=TRUE&amp;DOC_NAME=FAT:FQL_AUDITING_CLIENT_TEMPLATE.FAT&amp;display_string=Audit&amp;VAR:KEY=ROXUBWBCFI&amp;VAR:QUERY=RkZfRUJJVERBX0lCKCdMVE1TJywzODQ0NSk=&amp;WINDOW=FIRST_POPUP&amp;HEIGHT=450&amp;WIDTH=450&amp;START_MA","XIMIZED=FALSE&amp;VAR:CALENDAR=US&amp;VAR:SYMBOL=N0098510&amp;VAR:INDEX=0"}</definedName>
    <definedName name="_7269__FDSAUDITLINK__" localSheetId="6" hidden="1">{"fdsup://directions/FAT Viewer?action=UPDATE&amp;creator=factset&amp;DYN_ARGS=TRUE&amp;DOC_NAME=FAT:FQL_AUDITING_CLIENT_TEMPLATE.FAT&amp;display_string=Audit&amp;VAR:KEY=NGNMZKNKPQ&amp;VAR:QUERY=RkZfRUJJVERBX0lCKCdMVE1TJywzODQ0NCk=&amp;WINDOW=FIRST_POPUP&amp;HEIGHT=450&amp;WIDTH=450&amp;START_MA","XIMIZED=FALSE&amp;VAR:CALENDAR=US&amp;VAR:SYMBOL=N0098510&amp;VAR:INDEX=0"}</definedName>
    <definedName name="_7269__FDSAUDITLINK__" hidden="1">{"fdsup://directions/FAT Viewer?action=UPDATE&amp;creator=factset&amp;DYN_ARGS=TRUE&amp;DOC_NAME=FAT:FQL_AUDITING_CLIENT_TEMPLATE.FAT&amp;display_string=Audit&amp;VAR:KEY=NGNMZKNKPQ&amp;VAR:QUERY=RkZfRUJJVERBX0lCKCdMVE1TJywzODQ0NCk=&amp;WINDOW=FIRST_POPUP&amp;HEIGHT=450&amp;WIDTH=450&amp;START_MA","XIMIZED=FALSE&amp;VAR:CALENDAR=US&amp;VAR:SYMBOL=N0098510&amp;VAR:INDEX=0"}</definedName>
    <definedName name="_727__FDSAUDITLINK__" localSheetId="6" hidden="1">{"fdsup://directions/FAT%20Viewer?VAR:PED=LTM&amp;VAR:AUDIT_MODE=SUMMARY&amp;VAR:PERIOD=FIXED&amp;VAR:AUDIT_ID=00000117&amp;VAR:DATE=20080225&amp;action=UPDATE&amp;creator=factset&amp;DOC_NAME=FAT:FMA_audit_SUMMARY.fat&amp;DISPLAY_STRING=Display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7__FDSAUDITLINK__" hidden="1">{"fdsup://directions/FAT%20Viewer?VAR:PED=LTM&amp;VAR:AUDIT_MODE=SUMMARY&amp;VAR:PERIOD=FIXED&amp;VAR:AUDIT_ID=00000117&amp;VAR:DATE=20080225&amp;action=UPDATE&amp;creator=factset&amp;DOC_NAME=FAT:FMA_audit_SUMMARY.fat&amp;DISPLAY_STRING=Display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70__FDSAUDITLINK__" localSheetId="6" hidden="1">{"fdsup://directions/FAT Viewer?action=UPDATE&amp;creator=factset&amp;DYN_ARGS=TRUE&amp;DOC_NAME=FAT:FQL_AUDITING_CLIENT_TEMPLATE.FAT&amp;display_string=Audit&amp;VAR:KEY=HCTYTMFAZU&amp;VAR:QUERY=RkZfRUJJVERBX0lCKCdMVE1TJywzODQ0Myk=&amp;WINDOW=FIRST_POPUP&amp;HEIGHT=450&amp;WIDTH=450&amp;START_MA","XIMIZED=FALSE&amp;VAR:CALENDAR=US&amp;VAR:SYMBOL=N0098510&amp;VAR:INDEX=0"}</definedName>
    <definedName name="_7270__FDSAUDITLINK__" hidden="1">{"fdsup://directions/FAT Viewer?action=UPDATE&amp;creator=factset&amp;DYN_ARGS=TRUE&amp;DOC_NAME=FAT:FQL_AUDITING_CLIENT_TEMPLATE.FAT&amp;display_string=Audit&amp;VAR:KEY=HCTYTMFAZU&amp;VAR:QUERY=RkZfRUJJVERBX0lCKCdMVE1TJywzODQ0Myk=&amp;WINDOW=FIRST_POPUP&amp;HEIGHT=450&amp;WIDTH=450&amp;START_MA","XIMIZED=FALSE&amp;VAR:CALENDAR=US&amp;VAR:SYMBOL=N0098510&amp;VAR:INDEX=0"}</definedName>
    <definedName name="_7271__FDSAUDITLINK__" localSheetId="6" hidden="1">{"fdsup://directions/FAT Viewer?action=UPDATE&amp;creator=factset&amp;DYN_ARGS=TRUE&amp;DOC_NAME=FAT:FQL_AUDITING_CLIENT_TEMPLATE.FAT&amp;display_string=Audit&amp;VAR:KEY=RWVURKDQHQ&amp;VAR:QUERY=RkZfRUJJVERBX0lCKCdMVE1TJywzODQ0Mik=&amp;WINDOW=FIRST_POPUP&amp;HEIGHT=450&amp;WIDTH=450&amp;START_MA","XIMIZED=FALSE&amp;VAR:CALENDAR=US&amp;VAR:SYMBOL=N0098510&amp;VAR:INDEX=0"}</definedName>
    <definedName name="_7271__FDSAUDITLINK__" hidden="1">{"fdsup://directions/FAT Viewer?action=UPDATE&amp;creator=factset&amp;DYN_ARGS=TRUE&amp;DOC_NAME=FAT:FQL_AUDITING_CLIENT_TEMPLATE.FAT&amp;display_string=Audit&amp;VAR:KEY=RWVURKDQHQ&amp;VAR:QUERY=RkZfRUJJVERBX0lCKCdMVE1TJywzODQ0Mik=&amp;WINDOW=FIRST_POPUP&amp;HEIGHT=450&amp;WIDTH=450&amp;START_MA","XIMIZED=FALSE&amp;VAR:CALENDAR=US&amp;VAR:SYMBOL=N0098510&amp;VAR:INDEX=0"}</definedName>
    <definedName name="_7272__FDSAUDITLINK__" localSheetId="6" hidden="1">{"fdsup://directions/FAT Viewer?action=UPDATE&amp;creator=factset&amp;DYN_ARGS=TRUE&amp;DOC_NAME=FAT:FQL_AUDITING_CLIENT_TEMPLATE.FAT&amp;display_string=Audit&amp;VAR:KEY=JWFMTQZIXC&amp;VAR:QUERY=RkZfRUJJVERBX0lCKCdMVE1TJywzODQ0MSk=&amp;WINDOW=FIRST_POPUP&amp;HEIGHT=450&amp;WIDTH=450&amp;START_MA","XIMIZED=FALSE&amp;VAR:CALENDAR=US&amp;VAR:SYMBOL=N0098510&amp;VAR:INDEX=0"}</definedName>
    <definedName name="_7272__FDSAUDITLINK__" hidden="1">{"fdsup://directions/FAT Viewer?action=UPDATE&amp;creator=factset&amp;DYN_ARGS=TRUE&amp;DOC_NAME=FAT:FQL_AUDITING_CLIENT_TEMPLATE.FAT&amp;display_string=Audit&amp;VAR:KEY=JWFMTQZIXC&amp;VAR:QUERY=RkZfRUJJVERBX0lCKCdMVE1TJywzODQ0MSk=&amp;WINDOW=FIRST_POPUP&amp;HEIGHT=450&amp;WIDTH=450&amp;START_MA","XIMIZED=FALSE&amp;VAR:CALENDAR=US&amp;VAR:SYMBOL=N0098510&amp;VAR:INDEX=0"}</definedName>
    <definedName name="_7273__FDSAUDITLINK__" localSheetId="6" hidden="1">{"fdsup://directions/FAT Viewer?action=UPDATE&amp;creator=factset&amp;DYN_ARGS=TRUE&amp;DOC_NAME=FAT:FQL_AUDITING_CLIENT_TEMPLATE.FAT&amp;display_string=Audit&amp;VAR:KEY=XOZEZWTGJQ&amp;VAR:QUERY=RkZfRUJJVERBX0lCKCdMVE1TJywzODQ0MCk=&amp;WINDOW=FIRST_POPUP&amp;HEIGHT=450&amp;WIDTH=450&amp;START_MA","XIMIZED=FALSE&amp;VAR:CALENDAR=US&amp;VAR:SYMBOL=N0098510&amp;VAR:INDEX=0"}</definedName>
    <definedName name="_7273__FDSAUDITLINK__" hidden="1">{"fdsup://directions/FAT Viewer?action=UPDATE&amp;creator=factset&amp;DYN_ARGS=TRUE&amp;DOC_NAME=FAT:FQL_AUDITING_CLIENT_TEMPLATE.FAT&amp;display_string=Audit&amp;VAR:KEY=XOZEZWTGJQ&amp;VAR:QUERY=RkZfRUJJVERBX0lCKCdMVE1TJywzODQ0MCk=&amp;WINDOW=FIRST_POPUP&amp;HEIGHT=450&amp;WIDTH=450&amp;START_MA","XIMIZED=FALSE&amp;VAR:CALENDAR=US&amp;VAR:SYMBOL=N0098510&amp;VAR:INDEX=0"}</definedName>
    <definedName name="_7274__FDSAUDITLINK__" localSheetId="6" hidden="1">{"fdsup://directions/FAT Viewer?action=UPDATE&amp;creator=factset&amp;DYN_ARGS=TRUE&amp;DOC_NAME=FAT:FQL_AUDITING_CLIENT_TEMPLATE.FAT&amp;display_string=Audit&amp;VAR:KEY=FCJKPKNGLM&amp;VAR:QUERY=RkZfRUJJVERBX0lCKCdMVE1TJywzODQzOSk=&amp;WINDOW=FIRST_POPUP&amp;HEIGHT=450&amp;WIDTH=450&amp;START_MA","XIMIZED=FALSE&amp;VAR:CALENDAR=US&amp;VAR:SYMBOL=N0098510&amp;VAR:INDEX=0"}</definedName>
    <definedName name="_7274__FDSAUDITLINK__" hidden="1">{"fdsup://directions/FAT Viewer?action=UPDATE&amp;creator=factset&amp;DYN_ARGS=TRUE&amp;DOC_NAME=FAT:FQL_AUDITING_CLIENT_TEMPLATE.FAT&amp;display_string=Audit&amp;VAR:KEY=FCJKPKNGLM&amp;VAR:QUERY=RkZfRUJJVERBX0lCKCdMVE1TJywzODQzOSk=&amp;WINDOW=FIRST_POPUP&amp;HEIGHT=450&amp;WIDTH=450&amp;START_MA","XIMIZED=FALSE&amp;VAR:CALENDAR=US&amp;VAR:SYMBOL=N0098510&amp;VAR:INDEX=0"}</definedName>
    <definedName name="_7275__FDSAUDITLINK__" localSheetId="6" hidden="1">{"fdsup://directions/FAT Viewer?action=UPDATE&amp;creator=factset&amp;DYN_ARGS=TRUE&amp;DOC_NAME=FAT:FQL_AUDITING_CLIENT_TEMPLATE.FAT&amp;display_string=Audit&amp;VAR:KEY=DOPQNMHOTI&amp;VAR:QUERY=RkZfRUJJVERBX0lCKCdMVE1TJywzODQzOCk=&amp;WINDOW=FIRST_POPUP&amp;HEIGHT=450&amp;WIDTH=450&amp;START_MA","XIMIZED=FALSE&amp;VAR:CALENDAR=US&amp;VAR:SYMBOL=N0098510&amp;VAR:INDEX=0"}</definedName>
    <definedName name="_7275__FDSAUDITLINK__" hidden="1">{"fdsup://directions/FAT Viewer?action=UPDATE&amp;creator=factset&amp;DYN_ARGS=TRUE&amp;DOC_NAME=FAT:FQL_AUDITING_CLIENT_TEMPLATE.FAT&amp;display_string=Audit&amp;VAR:KEY=DOPQNMHOTI&amp;VAR:QUERY=RkZfRUJJVERBX0lCKCdMVE1TJywzODQzOCk=&amp;WINDOW=FIRST_POPUP&amp;HEIGHT=450&amp;WIDTH=450&amp;START_MA","XIMIZED=FALSE&amp;VAR:CALENDAR=US&amp;VAR:SYMBOL=N0098510&amp;VAR:INDEX=0"}</definedName>
    <definedName name="_7276__FDSAUDITLINK__" localSheetId="6" hidden="1">{"fdsup://directions/FAT Viewer?action=UPDATE&amp;creator=factset&amp;DYN_ARGS=TRUE&amp;DOC_NAME=FAT:FQL_AUDITING_CLIENT_TEMPLATE.FAT&amp;display_string=Audit&amp;VAR:KEY=RSXIDEPOBK&amp;VAR:QUERY=RkZfRUJJVERBX0lCKCdMVE1TJywzODQzNyk=&amp;WINDOW=FIRST_POPUP&amp;HEIGHT=450&amp;WIDTH=450&amp;START_MA","XIMIZED=FALSE&amp;VAR:CALENDAR=US&amp;VAR:SYMBOL=N0098510&amp;VAR:INDEX=0"}</definedName>
    <definedName name="_7276__FDSAUDITLINK__" hidden="1">{"fdsup://directions/FAT Viewer?action=UPDATE&amp;creator=factset&amp;DYN_ARGS=TRUE&amp;DOC_NAME=FAT:FQL_AUDITING_CLIENT_TEMPLATE.FAT&amp;display_string=Audit&amp;VAR:KEY=RSXIDEPOBK&amp;VAR:QUERY=RkZfRUJJVERBX0lCKCdMVE1TJywzODQzNyk=&amp;WINDOW=FIRST_POPUP&amp;HEIGHT=450&amp;WIDTH=450&amp;START_MA","XIMIZED=FALSE&amp;VAR:CALENDAR=US&amp;VAR:SYMBOL=N0098510&amp;VAR:INDEX=0"}</definedName>
    <definedName name="_7277__FDSAUDITLINK__" localSheetId="6" hidden="1">{"fdsup://directions/FAT Viewer?action=UPDATE&amp;creator=factset&amp;DYN_ARGS=TRUE&amp;DOC_NAME=FAT:FQL_AUDITING_CLIENT_TEMPLATE.FAT&amp;display_string=Audit&amp;VAR:KEY=HMBMVKRSTO&amp;VAR:QUERY=RkZfRUJJVERBX0lCKCdMVE1TJywzODQzNik=&amp;WINDOW=FIRST_POPUP&amp;HEIGHT=450&amp;WIDTH=450&amp;START_MA","XIMIZED=FALSE&amp;VAR:CALENDAR=US&amp;VAR:SYMBOL=N0098510&amp;VAR:INDEX=0"}</definedName>
    <definedName name="_7277__FDSAUDITLINK__" hidden="1">{"fdsup://directions/FAT Viewer?action=UPDATE&amp;creator=factset&amp;DYN_ARGS=TRUE&amp;DOC_NAME=FAT:FQL_AUDITING_CLIENT_TEMPLATE.FAT&amp;display_string=Audit&amp;VAR:KEY=HMBMVKRSTO&amp;VAR:QUERY=RkZfRUJJVERBX0lCKCdMVE1TJywzODQzNik=&amp;WINDOW=FIRST_POPUP&amp;HEIGHT=450&amp;WIDTH=450&amp;START_MA","XIMIZED=FALSE&amp;VAR:CALENDAR=US&amp;VAR:SYMBOL=N0098510&amp;VAR:INDEX=0"}</definedName>
    <definedName name="_7278__FDSAUDITLINK__" localSheetId="6" hidden="1">{"fdsup://directions/FAT Viewer?action=UPDATE&amp;creator=factset&amp;DYN_ARGS=TRUE&amp;DOC_NAME=FAT:FQL_AUDITING_CLIENT_TEMPLATE.FAT&amp;display_string=Audit&amp;VAR:KEY=HYHOXMNEXU&amp;VAR:QUERY=RkZfRUJJVERBX0lCKCdMVE1TJywzODQzNSk=&amp;WINDOW=FIRST_POPUP&amp;HEIGHT=450&amp;WIDTH=450&amp;START_MA","XIMIZED=FALSE&amp;VAR:CALENDAR=US&amp;VAR:SYMBOL=N0098510&amp;VAR:INDEX=0"}</definedName>
    <definedName name="_7278__FDSAUDITLINK__" hidden="1">{"fdsup://directions/FAT Viewer?action=UPDATE&amp;creator=factset&amp;DYN_ARGS=TRUE&amp;DOC_NAME=FAT:FQL_AUDITING_CLIENT_TEMPLATE.FAT&amp;display_string=Audit&amp;VAR:KEY=HYHOXMNEXU&amp;VAR:QUERY=RkZfRUJJVERBX0lCKCdMVE1TJywzODQzNSk=&amp;WINDOW=FIRST_POPUP&amp;HEIGHT=450&amp;WIDTH=450&amp;START_MA","XIMIZED=FALSE&amp;VAR:CALENDAR=US&amp;VAR:SYMBOL=N0098510&amp;VAR:INDEX=0"}</definedName>
    <definedName name="_7279__FDSAUDITLINK__" localSheetId="6" hidden="1">{"fdsup://directions/FAT Viewer?action=UPDATE&amp;creator=factset&amp;DYN_ARGS=TRUE&amp;DOC_NAME=FAT:FQL_AUDITING_CLIENT_TEMPLATE.FAT&amp;display_string=Audit&amp;VAR:KEY=ZYHKHKLMLW&amp;VAR:QUERY=RkZfRUJJVERBX0lCKCdMVE1TJywzODQzNCk=&amp;WINDOW=FIRST_POPUP&amp;HEIGHT=450&amp;WIDTH=450&amp;START_MA","XIMIZED=FALSE&amp;VAR:CALENDAR=US&amp;VAR:SYMBOL=N0098510&amp;VAR:INDEX=0"}</definedName>
    <definedName name="_7279__FDSAUDITLINK__" hidden="1">{"fdsup://directions/FAT Viewer?action=UPDATE&amp;creator=factset&amp;DYN_ARGS=TRUE&amp;DOC_NAME=FAT:FQL_AUDITING_CLIENT_TEMPLATE.FAT&amp;display_string=Audit&amp;VAR:KEY=ZYHKHKLMLW&amp;VAR:QUERY=RkZfRUJJVERBX0lCKCdMVE1TJywzODQzNCk=&amp;WINDOW=FIRST_POPUP&amp;HEIGHT=450&amp;WIDTH=450&amp;START_MA","XIMIZED=FALSE&amp;VAR:CALENDAR=US&amp;VAR:SYMBOL=N0098510&amp;VAR:INDEX=0"}</definedName>
    <definedName name="_728__FDSAUDITLINK__" localSheetId="6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8__FDSAUDITLINK__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80__FDSAUDITLINK__" localSheetId="6" hidden="1">{"fdsup://directions/FAT Viewer?action=UPDATE&amp;creator=factset&amp;DYN_ARGS=TRUE&amp;DOC_NAME=FAT:FQL_AUDITING_CLIENT_TEMPLATE.FAT&amp;display_string=Audit&amp;VAR:KEY=NELUXOHUPQ&amp;VAR:QUERY=RkZfRUJJVERBX0lCKCdMVE1TJywzODQzMyk=&amp;WINDOW=FIRST_POPUP&amp;HEIGHT=450&amp;WIDTH=450&amp;START_MA","XIMIZED=FALSE&amp;VAR:CALENDAR=US&amp;VAR:SYMBOL=N0098510&amp;VAR:INDEX=0"}</definedName>
    <definedName name="_7280__FDSAUDITLINK__" hidden="1">{"fdsup://directions/FAT Viewer?action=UPDATE&amp;creator=factset&amp;DYN_ARGS=TRUE&amp;DOC_NAME=FAT:FQL_AUDITING_CLIENT_TEMPLATE.FAT&amp;display_string=Audit&amp;VAR:KEY=NELUXOHUPQ&amp;VAR:QUERY=RkZfRUJJVERBX0lCKCdMVE1TJywzODQzMyk=&amp;WINDOW=FIRST_POPUP&amp;HEIGHT=450&amp;WIDTH=450&amp;START_MA","XIMIZED=FALSE&amp;VAR:CALENDAR=US&amp;VAR:SYMBOL=N0098510&amp;VAR:INDEX=0"}</definedName>
    <definedName name="_7281__FDSAUDITLINK__" localSheetId="6" hidden="1">{"fdsup://directions/FAT Viewer?action=UPDATE&amp;creator=factset&amp;DYN_ARGS=TRUE&amp;DOC_NAME=FAT:FQL_AUDITING_CLIENT_TEMPLATE.FAT&amp;display_string=Audit&amp;VAR:KEY=BOLSJCHSRY&amp;VAR:QUERY=RkZfRUJJVERBX0lCKCdMVE1TJywzODQzMik=&amp;WINDOW=FIRST_POPUP&amp;HEIGHT=450&amp;WIDTH=450&amp;START_MA","XIMIZED=FALSE&amp;VAR:CALENDAR=US&amp;VAR:SYMBOL=N0098510&amp;VAR:INDEX=0"}</definedName>
    <definedName name="_7281__FDSAUDITLINK__" hidden="1">{"fdsup://directions/FAT Viewer?action=UPDATE&amp;creator=factset&amp;DYN_ARGS=TRUE&amp;DOC_NAME=FAT:FQL_AUDITING_CLIENT_TEMPLATE.FAT&amp;display_string=Audit&amp;VAR:KEY=BOLSJCHSRY&amp;VAR:QUERY=RkZfRUJJVERBX0lCKCdMVE1TJywzODQzMik=&amp;WINDOW=FIRST_POPUP&amp;HEIGHT=450&amp;WIDTH=450&amp;START_MA","XIMIZED=FALSE&amp;VAR:CALENDAR=US&amp;VAR:SYMBOL=N0098510&amp;VAR:INDEX=0"}</definedName>
    <definedName name="_7282__FDSAUDITLINK__" localSheetId="6" hidden="1">{"fdsup://directions/FAT Viewer?action=UPDATE&amp;creator=factset&amp;DYN_ARGS=TRUE&amp;DOC_NAME=FAT:FQL_AUDITING_CLIENT_TEMPLATE.FAT&amp;display_string=Audit&amp;VAR:KEY=POTGVMHOTW&amp;VAR:QUERY=RkZfRUJJVERBX0lCKCdMVE1TJywzODQzMSk=&amp;WINDOW=FIRST_POPUP&amp;HEIGHT=450&amp;WIDTH=450&amp;START_MA","XIMIZED=FALSE&amp;VAR:CALENDAR=US&amp;VAR:SYMBOL=N0098510&amp;VAR:INDEX=0"}</definedName>
    <definedName name="_7282__FDSAUDITLINK__" hidden="1">{"fdsup://directions/FAT Viewer?action=UPDATE&amp;creator=factset&amp;DYN_ARGS=TRUE&amp;DOC_NAME=FAT:FQL_AUDITING_CLIENT_TEMPLATE.FAT&amp;display_string=Audit&amp;VAR:KEY=POTGVMHOTW&amp;VAR:QUERY=RkZfRUJJVERBX0lCKCdMVE1TJywzODQzMSk=&amp;WINDOW=FIRST_POPUP&amp;HEIGHT=450&amp;WIDTH=450&amp;START_MA","XIMIZED=FALSE&amp;VAR:CALENDAR=US&amp;VAR:SYMBOL=N0098510&amp;VAR:INDEX=0"}</definedName>
    <definedName name="_7283__FDSAUDITLINK__" localSheetId="6" hidden="1">{"fdsup://directions/FAT Viewer?action=UPDATE&amp;creator=factset&amp;DYN_ARGS=TRUE&amp;DOC_NAME=FAT:FQL_AUDITING_CLIENT_TEMPLATE.FAT&amp;display_string=Audit&amp;VAR:KEY=PWRKJAZMFS&amp;VAR:QUERY=RkZfRUJJVERBX0lCKCdMVE1TJywzODQzMCk=&amp;WINDOW=FIRST_POPUP&amp;HEIGHT=450&amp;WIDTH=450&amp;START_MA","XIMIZED=FALSE&amp;VAR:CALENDAR=US&amp;VAR:SYMBOL=N0098510&amp;VAR:INDEX=0"}</definedName>
    <definedName name="_7283__FDSAUDITLINK__" hidden="1">{"fdsup://directions/FAT Viewer?action=UPDATE&amp;creator=factset&amp;DYN_ARGS=TRUE&amp;DOC_NAME=FAT:FQL_AUDITING_CLIENT_TEMPLATE.FAT&amp;display_string=Audit&amp;VAR:KEY=PWRKJAZMFS&amp;VAR:QUERY=RkZfRUJJVERBX0lCKCdMVE1TJywzODQzMCk=&amp;WINDOW=FIRST_POPUP&amp;HEIGHT=450&amp;WIDTH=450&amp;START_MA","XIMIZED=FALSE&amp;VAR:CALENDAR=US&amp;VAR:SYMBOL=N0098510&amp;VAR:INDEX=0"}</definedName>
    <definedName name="_7284__FDSAUDITLINK__" localSheetId="6" hidden="1">{"fdsup://directions/FAT Viewer?action=UPDATE&amp;creator=factset&amp;DYN_ARGS=TRUE&amp;DOC_NAME=FAT:FQL_AUDITING_CLIENT_TEMPLATE.FAT&amp;display_string=Audit&amp;VAR:KEY=FIXMRUHODI&amp;VAR:QUERY=RkZfRUJJVERBX0lCKCdMVE1TJywzODQyOSk=&amp;WINDOW=FIRST_POPUP&amp;HEIGHT=450&amp;WIDTH=450&amp;START_MA","XIMIZED=FALSE&amp;VAR:CALENDAR=US&amp;VAR:SYMBOL=N0098510&amp;VAR:INDEX=0"}</definedName>
    <definedName name="_7284__FDSAUDITLINK__" hidden="1">{"fdsup://directions/FAT Viewer?action=UPDATE&amp;creator=factset&amp;DYN_ARGS=TRUE&amp;DOC_NAME=FAT:FQL_AUDITING_CLIENT_TEMPLATE.FAT&amp;display_string=Audit&amp;VAR:KEY=FIXMRUHODI&amp;VAR:QUERY=RkZfRUJJVERBX0lCKCdMVE1TJywzODQyOSk=&amp;WINDOW=FIRST_POPUP&amp;HEIGHT=450&amp;WIDTH=450&amp;START_MA","XIMIZED=FALSE&amp;VAR:CALENDAR=US&amp;VAR:SYMBOL=N0098510&amp;VAR:INDEX=0"}</definedName>
    <definedName name="_7285__FDSAUDITLINK__" localSheetId="6" hidden="1">{"fdsup://directions/FAT Viewer?action=UPDATE&amp;creator=factset&amp;DYN_ARGS=TRUE&amp;DOC_NAME=FAT:FQL_AUDITING_CLIENT_TEMPLATE.FAT&amp;display_string=Audit&amp;VAR:KEY=XEJUZOXCBC&amp;VAR:QUERY=RkZfRUJJVERBX0lCKCdMVE1TJywzODQyOCk=&amp;WINDOW=FIRST_POPUP&amp;HEIGHT=450&amp;WIDTH=450&amp;START_MA","XIMIZED=FALSE&amp;VAR:CALENDAR=US&amp;VAR:SYMBOL=N0098510&amp;VAR:INDEX=0"}</definedName>
    <definedName name="_7285__FDSAUDITLINK__" hidden="1">{"fdsup://directions/FAT Viewer?action=UPDATE&amp;creator=factset&amp;DYN_ARGS=TRUE&amp;DOC_NAME=FAT:FQL_AUDITING_CLIENT_TEMPLATE.FAT&amp;display_string=Audit&amp;VAR:KEY=XEJUZOXCBC&amp;VAR:QUERY=RkZfRUJJVERBX0lCKCdMVE1TJywzODQyOCk=&amp;WINDOW=FIRST_POPUP&amp;HEIGHT=450&amp;WIDTH=450&amp;START_MA","XIMIZED=FALSE&amp;VAR:CALENDAR=US&amp;VAR:SYMBOL=N0098510&amp;VAR:INDEX=0"}</definedName>
    <definedName name="_7286__FDSAUDITLINK__" localSheetId="6" hidden="1">{"fdsup://directions/FAT Viewer?action=UPDATE&amp;creator=factset&amp;DYN_ARGS=TRUE&amp;DOC_NAME=FAT:FQL_AUDITING_CLIENT_TEMPLATE.FAT&amp;display_string=Audit&amp;VAR:KEY=ZYXCTSHWXI&amp;VAR:QUERY=RkZfRUJJVERBX0lCKCdMVE1TJywzODQyNyk=&amp;WINDOW=FIRST_POPUP&amp;HEIGHT=450&amp;WIDTH=450&amp;START_MA","XIMIZED=FALSE&amp;VAR:CALENDAR=US&amp;VAR:SYMBOL=N0098510&amp;VAR:INDEX=0"}</definedName>
    <definedName name="_7286__FDSAUDITLINK__" hidden="1">{"fdsup://directions/FAT Viewer?action=UPDATE&amp;creator=factset&amp;DYN_ARGS=TRUE&amp;DOC_NAME=FAT:FQL_AUDITING_CLIENT_TEMPLATE.FAT&amp;display_string=Audit&amp;VAR:KEY=ZYXCTSHWXI&amp;VAR:QUERY=RkZfRUJJVERBX0lCKCdMVE1TJywzODQyNyk=&amp;WINDOW=FIRST_POPUP&amp;HEIGHT=450&amp;WIDTH=450&amp;START_MA","XIMIZED=FALSE&amp;VAR:CALENDAR=US&amp;VAR:SYMBOL=N0098510&amp;VAR:INDEX=0"}</definedName>
    <definedName name="_7287__FDSAUDITLINK__" localSheetId="6" hidden="1">{"fdsup://directions/FAT Viewer?action=UPDATE&amp;creator=factset&amp;DYN_ARGS=TRUE&amp;DOC_NAME=FAT:FQL_AUDITING_CLIENT_TEMPLATE.FAT&amp;display_string=Audit&amp;VAR:KEY=TSHAXUZUVW&amp;VAR:QUERY=RkZfRUJJVERBX0lCKCdMVE1TJywzODQyNik=&amp;WINDOW=FIRST_POPUP&amp;HEIGHT=450&amp;WIDTH=450&amp;START_MA","XIMIZED=FALSE&amp;VAR:CALENDAR=US&amp;VAR:SYMBOL=N0098510&amp;VAR:INDEX=0"}</definedName>
    <definedName name="_7287__FDSAUDITLINK__" hidden="1">{"fdsup://directions/FAT Viewer?action=UPDATE&amp;creator=factset&amp;DYN_ARGS=TRUE&amp;DOC_NAME=FAT:FQL_AUDITING_CLIENT_TEMPLATE.FAT&amp;display_string=Audit&amp;VAR:KEY=TSHAXUZUVW&amp;VAR:QUERY=RkZfRUJJVERBX0lCKCdMVE1TJywzODQyNik=&amp;WINDOW=FIRST_POPUP&amp;HEIGHT=450&amp;WIDTH=450&amp;START_MA","XIMIZED=FALSE&amp;VAR:CALENDAR=US&amp;VAR:SYMBOL=N0098510&amp;VAR:INDEX=0"}</definedName>
    <definedName name="_7288__FDSAUDITLINK__" localSheetId="6" hidden="1">{"fdsup://directions/FAT Viewer?action=UPDATE&amp;creator=factset&amp;DYN_ARGS=TRUE&amp;DOC_NAME=FAT:FQL_AUDITING_CLIENT_TEMPLATE.FAT&amp;display_string=Audit&amp;VAR:KEY=RCBGTKBKPU&amp;VAR:QUERY=RkZfRUJJVERBX0lCKCdMVE1TJywzODQyNSk=&amp;WINDOW=FIRST_POPUP&amp;HEIGHT=450&amp;WIDTH=450&amp;START_MA","XIMIZED=FALSE&amp;VAR:CALENDAR=US&amp;VAR:SYMBOL=N0098510&amp;VAR:INDEX=0"}</definedName>
    <definedName name="_7288__FDSAUDITLINK__" hidden="1">{"fdsup://directions/FAT Viewer?action=UPDATE&amp;creator=factset&amp;DYN_ARGS=TRUE&amp;DOC_NAME=FAT:FQL_AUDITING_CLIENT_TEMPLATE.FAT&amp;display_string=Audit&amp;VAR:KEY=RCBGTKBKPU&amp;VAR:QUERY=RkZfRUJJVERBX0lCKCdMVE1TJywzODQyNSk=&amp;WINDOW=FIRST_POPUP&amp;HEIGHT=450&amp;WIDTH=450&amp;START_MA","XIMIZED=FALSE&amp;VAR:CALENDAR=US&amp;VAR:SYMBOL=N0098510&amp;VAR:INDEX=0"}</definedName>
    <definedName name="_7289__FDSAUDITLINK__" localSheetId="6" hidden="1">{"fdsup://directions/FAT Viewer?action=UPDATE&amp;creator=factset&amp;DYN_ARGS=TRUE&amp;DOC_NAME=FAT:FQL_AUDITING_CLIENT_TEMPLATE.FAT&amp;display_string=Audit&amp;VAR:KEY=VILONWNKBY&amp;VAR:QUERY=RkZfRUJJVERBX0lCKCdMVE1TJywzODQyNCk=&amp;WINDOW=FIRST_POPUP&amp;HEIGHT=450&amp;WIDTH=450&amp;START_MA","XIMIZED=FALSE&amp;VAR:CALENDAR=US&amp;VAR:SYMBOL=N0098510&amp;VAR:INDEX=0"}</definedName>
    <definedName name="_7289__FDSAUDITLINK__" hidden="1">{"fdsup://directions/FAT Viewer?action=UPDATE&amp;creator=factset&amp;DYN_ARGS=TRUE&amp;DOC_NAME=FAT:FQL_AUDITING_CLIENT_TEMPLATE.FAT&amp;display_string=Audit&amp;VAR:KEY=VILONWNKBY&amp;VAR:QUERY=RkZfRUJJVERBX0lCKCdMVE1TJywzODQyNCk=&amp;WINDOW=FIRST_POPUP&amp;HEIGHT=450&amp;WIDTH=450&amp;START_MA","XIMIZED=FALSE&amp;VAR:CALENDAR=US&amp;VAR:SYMBOL=N0098510&amp;VAR:INDEX=0"}</definedName>
    <definedName name="_729__FDSAUDITLINK__" localSheetId="6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9__FDSAUDITLINK__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290__FDSAUDITLINK__" localSheetId="6" hidden="1">{"fdsup://directions/FAT Viewer?action=UPDATE&amp;creator=factset&amp;DYN_ARGS=TRUE&amp;DOC_NAME=FAT:FQL_AUDITING_CLIENT_TEMPLATE.FAT&amp;display_string=Audit&amp;VAR:KEY=RCPQXQDEPK&amp;VAR:QUERY=RkZfRUJJVERBX0lCKCdMVE1TJywzODQyMyk=&amp;WINDOW=FIRST_POPUP&amp;HEIGHT=450&amp;WIDTH=450&amp;START_MA","XIMIZED=FALSE&amp;VAR:CALENDAR=US&amp;VAR:SYMBOL=N0098510&amp;VAR:INDEX=0"}</definedName>
    <definedName name="_7290__FDSAUDITLINK__" hidden="1">{"fdsup://directions/FAT Viewer?action=UPDATE&amp;creator=factset&amp;DYN_ARGS=TRUE&amp;DOC_NAME=FAT:FQL_AUDITING_CLIENT_TEMPLATE.FAT&amp;display_string=Audit&amp;VAR:KEY=RCPQXQDEPK&amp;VAR:QUERY=RkZfRUJJVERBX0lCKCdMVE1TJywzODQyMyk=&amp;WINDOW=FIRST_POPUP&amp;HEIGHT=450&amp;WIDTH=450&amp;START_MA","XIMIZED=FALSE&amp;VAR:CALENDAR=US&amp;VAR:SYMBOL=N0098510&amp;VAR:INDEX=0"}</definedName>
    <definedName name="_7291__FDSAUDITLINK__" localSheetId="6" hidden="1">{"fdsup://directions/FAT Viewer?action=UPDATE&amp;creator=factset&amp;DYN_ARGS=TRUE&amp;DOC_NAME=FAT:FQL_AUDITING_CLIENT_TEMPLATE.FAT&amp;display_string=Audit&amp;VAR:KEY=RONWVYDUHS&amp;VAR:QUERY=RkZfRUJJVERBX0lCKCdMVE1TJywzODQyMik=&amp;WINDOW=FIRST_POPUP&amp;HEIGHT=450&amp;WIDTH=450&amp;START_MA","XIMIZED=FALSE&amp;VAR:CALENDAR=US&amp;VAR:SYMBOL=N0098510&amp;VAR:INDEX=0"}</definedName>
    <definedName name="_7291__FDSAUDITLINK__" hidden="1">{"fdsup://directions/FAT Viewer?action=UPDATE&amp;creator=factset&amp;DYN_ARGS=TRUE&amp;DOC_NAME=FAT:FQL_AUDITING_CLIENT_TEMPLATE.FAT&amp;display_string=Audit&amp;VAR:KEY=RONWVYDUHS&amp;VAR:QUERY=RkZfRUJJVERBX0lCKCdMVE1TJywzODQyMik=&amp;WINDOW=FIRST_POPUP&amp;HEIGHT=450&amp;WIDTH=450&amp;START_MA","XIMIZED=FALSE&amp;VAR:CALENDAR=US&amp;VAR:SYMBOL=N0098510&amp;VAR:INDEX=0"}</definedName>
    <definedName name="_7292__FDSAUDITLINK__" localSheetId="6" hidden="1">{"fdsup://directions/FAT Viewer?action=UPDATE&amp;creator=factset&amp;DYN_ARGS=TRUE&amp;DOC_NAME=FAT:FQL_AUDITING_CLIENT_TEMPLATE.FAT&amp;display_string=Audit&amp;VAR:KEY=ZOTAPGPODS&amp;VAR:QUERY=RkZfRUJJVERBX0lCKCdMVE1TJywzODQyMSk=&amp;WINDOW=FIRST_POPUP&amp;HEIGHT=450&amp;WIDTH=450&amp;START_MA","XIMIZED=FALSE&amp;VAR:CALENDAR=US&amp;VAR:SYMBOL=N0098510&amp;VAR:INDEX=0"}</definedName>
    <definedName name="_7292__FDSAUDITLINK__" hidden="1">{"fdsup://directions/FAT Viewer?action=UPDATE&amp;creator=factset&amp;DYN_ARGS=TRUE&amp;DOC_NAME=FAT:FQL_AUDITING_CLIENT_TEMPLATE.FAT&amp;display_string=Audit&amp;VAR:KEY=ZOTAPGPODS&amp;VAR:QUERY=RkZfRUJJVERBX0lCKCdMVE1TJywzODQyMSk=&amp;WINDOW=FIRST_POPUP&amp;HEIGHT=450&amp;WIDTH=450&amp;START_MA","XIMIZED=FALSE&amp;VAR:CALENDAR=US&amp;VAR:SYMBOL=N0098510&amp;VAR:INDEX=0"}</definedName>
    <definedName name="_7293__FDSAUDITLINK__" localSheetId="6" hidden="1">{"fdsup://directions/FAT Viewer?action=UPDATE&amp;creator=factset&amp;DYN_ARGS=TRUE&amp;DOC_NAME=FAT:FQL_AUDITING_CLIENT_TEMPLATE.FAT&amp;display_string=Audit&amp;VAR:KEY=FWDWVSXIZQ&amp;VAR:QUERY=RkZfRUJJVERBX0lCKCdMVE1TJywzODQyMCk=&amp;WINDOW=FIRST_POPUP&amp;HEIGHT=450&amp;WIDTH=450&amp;START_MA","XIMIZED=FALSE&amp;VAR:CALENDAR=US&amp;VAR:SYMBOL=N0098510&amp;VAR:INDEX=0"}</definedName>
    <definedName name="_7293__FDSAUDITLINK__" hidden="1">{"fdsup://directions/FAT Viewer?action=UPDATE&amp;creator=factset&amp;DYN_ARGS=TRUE&amp;DOC_NAME=FAT:FQL_AUDITING_CLIENT_TEMPLATE.FAT&amp;display_string=Audit&amp;VAR:KEY=FWDWVSXIZQ&amp;VAR:QUERY=RkZfRUJJVERBX0lCKCdMVE1TJywzODQyMCk=&amp;WINDOW=FIRST_POPUP&amp;HEIGHT=450&amp;WIDTH=450&amp;START_MA","XIMIZED=FALSE&amp;VAR:CALENDAR=US&amp;VAR:SYMBOL=N0098510&amp;VAR:INDEX=0"}</definedName>
    <definedName name="_7294__FDSAUDITLINK__" localSheetId="6" hidden="1">{"fdsup://directions/FAT Viewer?action=UPDATE&amp;creator=factset&amp;DYN_ARGS=TRUE&amp;DOC_NAME=FAT:FQL_AUDITING_CLIENT_TEMPLATE.FAT&amp;display_string=Audit&amp;VAR:KEY=HEDCVGLYRW&amp;VAR:QUERY=RkZfRUJJVERBX0lCKCdMVE1TJywzODQxOSk=&amp;WINDOW=FIRST_POPUP&amp;HEIGHT=450&amp;WIDTH=450&amp;START_MA","XIMIZED=FALSE&amp;VAR:CALENDAR=US&amp;VAR:SYMBOL=N0098510&amp;VAR:INDEX=0"}</definedName>
    <definedName name="_7294__FDSAUDITLINK__" hidden="1">{"fdsup://directions/FAT Viewer?action=UPDATE&amp;creator=factset&amp;DYN_ARGS=TRUE&amp;DOC_NAME=FAT:FQL_AUDITING_CLIENT_TEMPLATE.FAT&amp;display_string=Audit&amp;VAR:KEY=HEDCVGLYRW&amp;VAR:QUERY=RkZfRUJJVERBX0lCKCdMVE1TJywzODQxOSk=&amp;WINDOW=FIRST_POPUP&amp;HEIGHT=450&amp;WIDTH=450&amp;START_MA","XIMIZED=FALSE&amp;VAR:CALENDAR=US&amp;VAR:SYMBOL=N0098510&amp;VAR:INDEX=0"}</definedName>
    <definedName name="_7295__FDSAUDITLINK__" localSheetId="6" hidden="1">{"fdsup://directions/FAT Viewer?action=UPDATE&amp;creator=factset&amp;DYN_ARGS=TRUE&amp;DOC_NAME=FAT:FQL_AUDITING_CLIENT_TEMPLATE.FAT&amp;display_string=Audit&amp;VAR:KEY=DAFSVETCXU&amp;VAR:QUERY=RkZfRUJJVERBX0lCKCdMVE1TJywzODQxOCk=&amp;WINDOW=FIRST_POPUP&amp;HEIGHT=450&amp;WIDTH=450&amp;START_MA","XIMIZED=FALSE&amp;VAR:CALENDAR=US&amp;VAR:SYMBOL=N0098510&amp;VAR:INDEX=0"}</definedName>
    <definedName name="_7295__FDSAUDITLINK__" hidden="1">{"fdsup://directions/FAT Viewer?action=UPDATE&amp;creator=factset&amp;DYN_ARGS=TRUE&amp;DOC_NAME=FAT:FQL_AUDITING_CLIENT_TEMPLATE.FAT&amp;display_string=Audit&amp;VAR:KEY=DAFSVETCXU&amp;VAR:QUERY=RkZfRUJJVERBX0lCKCdMVE1TJywzODQxOCk=&amp;WINDOW=FIRST_POPUP&amp;HEIGHT=450&amp;WIDTH=450&amp;START_MA","XIMIZED=FALSE&amp;VAR:CALENDAR=US&amp;VAR:SYMBOL=N0098510&amp;VAR:INDEX=0"}</definedName>
    <definedName name="_7296__FDSAUDITLINK__" localSheetId="6" hidden="1">{"fdsup://directions/FAT Viewer?action=UPDATE&amp;creator=factset&amp;DYN_ARGS=TRUE&amp;DOC_NAME=FAT:FQL_AUDITING_CLIENT_TEMPLATE.FAT&amp;display_string=Audit&amp;VAR:KEY=DAJUFKPMPK&amp;VAR:QUERY=RkZfRUJJVERBX0lCKCdMVE1TJywzODQxNyk=&amp;WINDOW=FIRST_POPUP&amp;HEIGHT=450&amp;WIDTH=450&amp;START_MA","XIMIZED=FALSE&amp;VAR:CALENDAR=US&amp;VAR:SYMBOL=N0098510&amp;VAR:INDEX=0"}</definedName>
    <definedName name="_7296__FDSAUDITLINK__" hidden="1">{"fdsup://directions/FAT Viewer?action=UPDATE&amp;creator=factset&amp;DYN_ARGS=TRUE&amp;DOC_NAME=FAT:FQL_AUDITING_CLIENT_TEMPLATE.FAT&amp;display_string=Audit&amp;VAR:KEY=DAJUFKPMPK&amp;VAR:QUERY=RkZfRUJJVERBX0lCKCdMVE1TJywzODQxNyk=&amp;WINDOW=FIRST_POPUP&amp;HEIGHT=450&amp;WIDTH=450&amp;START_MA","XIMIZED=FALSE&amp;VAR:CALENDAR=US&amp;VAR:SYMBOL=N0098510&amp;VAR:INDEX=0"}</definedName>
    <definedName name="_7297__FDSAUDITLINK__" localSheetId="6" hidden="1">{"fdsup://directions/FAT Viewer?action=UPDATE&amp;creator=factset&amp;DYN_ARGS=TRUE&amp;DOC_NAME=FAT:FQL_AUDITING_CLIENT_TEMPLATE.FAT&amp;display_string=Audit&amp;VAR:KEY=BUFSJQXCTS&amp;VAR:QUERY=RkZfRUJJVERBX0lCKCdMVE1TJywzODQxNik=&amp;WINDOW=FIRST_POPUP&amp;HEIGHT=450&amp;WIDTH=450&amp;START_MA","XIMIZED=FALSE&amp;VAR:CALENDAR=US&amp;VAR:SYMBOL=N0098510&amp;VAR:INDEX=0"}</definedName>
    <definedName name="_7297__FDSAUDITLINK__" hidden="1">{"fdsup://directions/FAT Viewer?action=UPDATE&amp;creator=factset&amp;DYN_ARGS=TRUE&amp;DOC_NAME=FAT:FQL_AUDITING_CLIENT_TEMPLATE.FAT&amp;display_string=Audit&amp;VAR:KEY=BUFSJQXCTS&amp;VAR:QUERY=RkZfRUJJVERBX0lCKCdMVE1TJywzODQxNik=&amp;WINDOW=FIRST_POPUP&amp;HEIGHT=450&amp;WIDTH=450&amp;START_MA","XIMIZED=FALSE&amp;VAR:CALENDAR=US&amp;VAR:SYMBOL=N0098510&amp;VAR:INDEX=0"}</definedName>
    <definedName name="_7298__FDSAUDITLINK__" localSheetId="6" hidden="1">{"fdsup://directions/FAT Viewer?action=UPDATE&amp;creator=factset&amp;DYN_ARGS=TRUE&amp;DOC_NAME=FAT:FQL_AUDITING_CLIENT_TEMPLATE.FAT&amp;display_string=Audit&amp;VAR:KEY=PITCLKVQTO&amp;VAR:QUERY=RkZfRUJJVERBX0lCKCdMVE1TJywzODQxNSk=&amp;WINDOW=FIRST_POPUP&amp;HEIGHT=450&amp;WIDTH=450&amp;START_MA","XIMIZED=FALSE&amp;VAR:CALENDAR=US&amp;VAR:SYMBOL=N0098510&amp;VAR:INDEX=0"}</definedName>
    <definedName name="_7298__FDSAUDITLINK__" hidden="1">{"fdsup://directions/FAT Viewer?action=UPDATE&amp;creator=factset&amp;DYN_ARGS=TRUE&amp;DOC_NAME=FAT:FQL_AUDITING_CLIENT_TEMPLATE.FAT&amp;display_string=Audit&amp;VAR:KEY=PITCLKVQTO&amp;VAR:QUERY=RkZfRUJJVERBX0lCKCdMVE1TJywzODQxNSk=&amp;WINDOW=FIRST_POPUP&amp;HEIGHT=450&amp;WIDTH=450&amp;START_MA","XIMIZED=FALSE&amp;VAR:CALENDAR=US&amp;VAR:SYMBOL=N0098510&amp;VAR:INDEX=0"}</definedName>
    <definedName name="_7299__FDSAUDITLINK__" localSheetId="6" hidden="1">{"fdsup://directions/FAT Viewer?action=UPDATE&amp;creator=factset&amp;DYN_ARGS=TRUE&amp;DOC_NAME=FAT:FQL_AUDITING_CLIENT_TEMPLATE.FAT&amp;display_string=Audit&amp;VAR:KEY=LQJMZANAZK&amp;VAR:QUERY=RkZfRUJJVERBX0lCKCdMVE1TJywzODQxNCk=&amp;WINDOW=FIRST_POPUP&amp;HEIGHT=450&amp;WIDTH=450&amp;START_MA","XIMIZED=FALSE&amp;VAR:CALENDAR=US&amp;VAR:SYMBOL=N0098510&amp;VAR:INDEX=0"}</definedName>
    <definedName name="_7299__FDSAUDITLINK__" hidden="1">{"fdsup://directions/FAT Viewer?action=UPDATE&amp;creator=factset&amp;DYN_ARGS=TRUE&amp;DOC_NAME=FAT:FQL_AUDITING_CLIENT_TEMPLATE.FAT&amp;display_string=Audit&amp;VAR:KEY=LQJMZANAZK&amp;VAR:QUERY=RkZfRUJJVERBX0lCKCdMVE1TJywzODQxNCk=&amp;WINDOW=FIRST_POPUP&amp;HEIGHT=450&amp;WIDTH=450&amp;START_MA","XIMIZED=FALSE&amp;VAR:CALENDAR=US&amp;VAR:SYMBOL=N0098510&amp;VAR:INDEX=0"}</definedName>
    <definedName name="_73__FDSAUDITLINK__" localSheetId="6" hidden="1">{"fdsup://directions/FAT Viewer?action=UPDATE&amp;creator=factset&amp;DYN_ARGS=TRUE&amp;DOC_NAME=FAT:FQL_AUDITING_CLIENT_TEMPLATE.FAT&amp;display_string=Audit&amp;VAR:KEY=NWDAHKJOVG&amp;VAR:QUERY=QVZHKENTRl9ORVRfSU5DKEFOTiwwRlksLTZGWSxZKSkgLyAoQVZHKENTRl9BU1NFVFMoQU5OLDBGWSwtNkZZL","EZZKSkgLSBBVkcoQ1NGX0lOVEFORyhBTk4sMCwtNkZZLEZZKSkp&amp;WINDOW=FIRST_POPUP&amp;HEIGHT=450&amp;WIDTH=450&amp;START_MAXIMIZED=FALSE&amp;VAR:CALENDAR=US&amp;VAR:SYMBOL=AYR"}</definedName>
    <definedName name="_73__FDSAUDITLINK__" hidden="1">{"fdsup://directions/FAT Viewer?action=UPDATE&amp;creator=factset&amp;DYN_ARGS=TRUE&amp;DOC_NAME=FAT:FQL_AUDITING_CLIENT_TEMPLATE.FAT&amp;display_string=Audit&amp;VAR:KEY=NWDAHKJOVG&amp;VAR:QUERY=QVZHKENTRl9ORVRfSU5DKEFOTiwwRlksLTZGWSxZKSkgLyAoQVZHKENTRl9BU1NFVFMoQU5OLDBGWSwtNkZZL","EZZKSkgLSBBVkcoQ1NGX0lOVEFORyhBTk4sMCwtNkZZLEZZKSkp&amp;WINDOW=FIRST_POPUP&amp;HEIGHT=450&amp;WIDTH=450&amp;START_MAXIMIZED=FALSE&amp;VAR:CALENDAR=US&amp;VAR:SYMBOL=AYR"}</definedName>
    <definedName name="_730__FDSAUDITLINK__" localSheetId="6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0__FDSAUDITLINK__" hidden="1">{"fdsup://directions/FAT%20Viewer?VAR:PED=LTM&amp;VAR:AUDIT_MODE=SUMMARY&amp;VAR:PERIOD=FIXED&amp;VAR:AUDIT_ID=00000117&amp;VAR:DATE=20080222&amp;action=UPDATE&amp;creator=factset&amp;DOC_NAME=FAT:FMA_audit_SUMMARY.fat&amp;DISPLAY_STRING=Display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00__FDSAUDITLINK__" localSheetId="6" hidden="1">{"fdsup://directions/FAT Viewer?action=UPDATE&amp;creator=factset&amp;DYN_ARGS=TRUE&amp;DOC_NAME=FAT:FQL_AUDITING_CLIENT_TEMPLATE.FAT&amp;display_string=Audit&amp;VAR:KEY=PQFAHYBSBW&amp;VAR:QUERY=RkZfRUJJVERBX0lCKCdMVE1TJywzODQxMyk=&amp;WINDOW=FIRST_POPUP&amp;HEIGHT=450&amp;WIDTH=450&amp;START_MA","XIMIZED=FALSE&amp;VAR:CALENDAR=US&amp;VAR:SYMBOL=N0098510&amp;VAR:INDEX=0"}</definedName>
    <definedName name="_7300__FDSAUDITLINK__" hidden="1">{"fdsup://directions/FAT Viewer?action=UPDATE&amp;creator=factset&amp;DYN_ARGS=TRUE&amp;DOC_NAME=FAT:FQL_AUDITING_CLIENT_TEMPLATE.FAT&amp;display_string=Audit&amp;VAR:KEY=PQFAHYBSBW&amp;VAR:QUERY=RkZfRUJJVERBX0lCKCdMVE1TJywzODQxMyk=&amp;WINDOW=FIRST_POPUP&amp;HEIGHT=450&amp;WIDTH=450&amp;START_MA","XIMIZED=FALSE&amp;VAR:CALENDAR=US&amp;VAR:SYMBOL=N0098510&amp;VAR:INDEX=0"}</definedName>
    <definedName name="_7301__FDSAUDITLINK__" localSheetId="6" hidden="1">{"fdsup://directions/FAT Viewer?action=UPDATE&amp;creator=factset&amp;DYN_ARGS=TRUE&amp;DOC_NAME=FAT:FQL_AUDITING_CLIENT_TEMPLATE.FAT&amp;display_string=Audit&amp;VAR:KEY=HOVGVKDQZC&amp;VAR:QUERY=RkZfRUJJVERBX0lCKCdMVE1TJywzODQxMik=&amp;WINDOW=FIRST_POPUP&amp;HEIGHT=450&amp;WIDTH=450&amp;START_MA","XIMIZED=FALSE&amp;VAR:CALENDAR=US&amp;VAR:SYMBOL=N0098510&amp;VAR:INDEX=0"}</definedName>
    <definedName name="_7301__FDSAUDITLINK__" hidden="1">{"fdsup://directions/FAT Viewer?action=UPDATE&amp;creator=factset&amp;DYN_ARGS=TRUE&amp;DOC_NAME=FAT:FQL_AUDITING_CLIENT_TEMPLATE.FAT&amp;display_string=Audit&amp;VAR:KEY=HOVGVKDQZC&amp;VAR:QUERY=RkZfRUJJVERBX0lCKCdMVE1TJywzODQxMik=&amp;WINDOW=FIRST_POPUP&amp;HEIGHT=450&amp;WIDTH=450&amp;START_MA","XIMIZED=FALSE&amp;VAR:CALENDAR=US&amp;VAR:SYMBOL=N0098510&amp;VAR:INDEX=0"}</definedName>
    <definedName name="_7302__FDSAUDITLINK__" localSheetId="6" hidden="1">{"fdsup://directions/FAT Viewer?action=UPDATE&amp;creator=factset&amp;DYN_ARGS=TRUE&amp;DOC_NAME=FAT:FQL_AUDITING_CLIENT_TEMPLATE.FAT&amp;display_string=Audit&amp;VAR:KEY=FOFGFCPORK&amp;VAR:QUERY=RkZfRUJJVERBX0lCKCdMVE1TJywzODQxMSk=&amp;WINDOW=FIRST_POPUP&amp;HEIGHT=450&amp;WIDTH=450&amp;START_MA","XIMIZED=FALSE&amp;VAR:CALENDAR=US&amp;VAR:SYMBOL=N0098510&amp;VAR:INDEX=0"}</definedName>
    <definedName name="_7302__FDSAUDITLINK__" hidden="1">{"fdsup://directions/FAT Viewer?action=UPDATE&amp;creator=factset&amp;DYN_ARGS=TRUE&amp;DOC_NAME=FAT:FQL_AUDITING_CLIENT_TEMPLATE.FAT&amp;display_string=Audit&amp;VAR:KEY=FOFGFCPORK&amp;VAR:QUERY=RkZfRUJJVERBX0lCKCdMVE1TJywzODQxMSk=&amp;WINDOW=FIRST_POPUP&amp;HEIGHT=450&amp;WIDTH=450&amp;START_MA","XIMIZED=FALSE&amp;VAR:CALENDAR=US&amp;VAR:SYMBOL=N0098510&amp;VAR:INDEX=0"}</definedName>
    <definedName name="_7303__FDSAUDITLINK__" localSheetId="6" hidden="1">{"fdsup://directions/FAT Viewer?action=UPDATE&amp;creator=factset&amp;DYN_ARGS=TRUE&amp;DOC_NAME=FAT:FQL_AUDITING_CLIENT_TEMPLATE.FAT&amp;display_string=Audit&amp;VAR:KEY=JANURABQLA&amp;VAR:QUERY=RkZfRUJJVERBX0lCKCdMVE1TJywzODQxMCk=&amp;WINDOW=FIRST_POPUP&amp;HEIGHT=450&amp;WIDTH=450&amp;START_MA","XIMIZED=FALSE&amp;VAR:CALENDAR=US&amp;VAR:SYMBOL=N0098510&amp;VAR:INDEX=0"}</definedName>
    <definedName name="_7303__FDSAUDITLINK__" hidden="1">{"fdsup://directions/FAT Viewer?action=UPDATE&amp;creator=factset&amp;DYN_ARGS=TRUE&amp;DOC_NAME=FAT:FQL_AUDITING_CLIENT_TEMPLATE.FAT&amp;display_string=Audit&amp;VAR:KEY=JANURABQLA&amp;VAR:QUERY=RkZfRUJJVERBX0lCKCdMVE1TJywzODQxMCk=&amp;WINDOW=FIRST_POPUP&amp;HEIGHT=450&amp;WIDTH=450&amp;START_MA","XIMIZED=FALSE&amp;VAR:CALENDAR=US&amp;VAR:SYMBOL=N0098510&amp;VAR:INDEX=0"}</definedName>
    <definedName name="_7304__FDSAUDITLINK__" localSheetId="6" hidden="1">{"fdsup://directions/FAT Viewer?action=UPDATE&amp;creator=factset&amp;DYN_ARGS=TRUE&amp;DOC_NAME=FAT:FQL_AUDITING_CLIENT_TEMPLATE.FAT&amp;display_string=Audit&amp;VAR:KEY=BALMRMXIZC&amp;VAR:QUERY=RkZfRUJJVERBX0lCKCdMVE1TJywzODQwOSk=&amp;WINDOW=FIRST_POPUP&amp;HEIGHT=450&amp;WIDTH=450&amp;START_MA","XIMIZED=FALSE&amp;VAR:CALENDAR=US&amp;VAR:SYMBOL=N0098510&amp;VAR:INDEX=0"}</definedName>
    <definedName name="_7304__FDSAUDITLINK__" hidden="1">{"fdsup://directions/FAT Viewer?action=UPDATE&amp;creator=factset&amp;DYN_ARGS=TRUE&amp;DOC_NAME=FAT:FQL_AUDITING_CLIENT_TEMPLATE.FAT&amp;display_string=Audit&amp;VAR:KEY=BALMRMXIZC&amp;VAR:QUERY=RkZfRUJJVERBX0lCKCdMVE1TJywzODQwOSk=&amp;WINDOW=FIRST_POPUP&amp;HEIGHT=450&amp;WIDTH=450&amp;START_MA","XIMIZED=FALSE&amp;VAR:CALENDAR=US&amp;VAR:SYMBOL=N0098510&amp;VAR:INDEX=0"}</definedName>
    <definedName name="_7305__FDSAUDITLINK__" localSheetId="6" hidden="1">{"fdsup://directions/FAT Viewer?action=UPDATE&amp;creator=factset&amp;DYN_ARGS=TRUE&amp;DOC_NAME=FAT:FQL_AUDITING_CLIENT_TEMPLATE.FAT&amp;display_string=Audit&amp;VAR:KEY=TAXINQRUHW&amp;VAR:QUERY=RkZfRUJJVERBX0lCKCdMVE1TJywzODQwOCk=&amp;WINDOW=FIRST_POPUP&amp;HEIGHT=450&amp;WIDTH=450&amp;START_MA","XIMIZED=FALSE&amp;VAR:CALENDAR=US&amp;VAR:SYMBOL=N0098510&amp;VAR:INDEX=0"}</definedName>
    <definedName name="_7305__FDSAUDITLINK__" hidden="1">{"fdsup://directions/FAT Viewer?action=UPDATE&amp;creator=factset&amp;DYN_ARGS=TRUE&amp;DOC_NAME=FAT:FQL_AUDITING_CLIENT_TEMPLATE.FAT&amp;display_string=Audit&amp;VAR:KEY=TAXINQRUHW&amp;VAR:QUERY=RkZfRUJJVERBX0lCKCdMVE1TJywzODQwOCk=&amp;WINDOW=FIRST_POPUP&amp;HEIGHT=450&amp;WIDTH=450&amp;START_MA","XIMIZED=FALSE&amp;VAR:CALENDAR=US&amp;VAR:SYMBOL=N0098510&amp;VAR:INDEX=0"}</definedName>
    <definedName name="_7306__FDSAUDITLINK__" localSheetId="6" hidden="1">{"fdsup://directions/FAT Viewer?action=UPDATE&amp;creator=factset&amp;DYN_ARGS=TRUE&amp;DOC_NAME=FAT:FQL_AUDITING_CLIENT_TEMPLATE.FAT&amp;display_string=Audit&amp;VAR:KEY=NEBUFODCHM&amp;VAR:QUERY=RkZfRUJJVERBX0lCKCdMVE1TJywzODQwNyk=&amp;WINDOW=FIRST_POPUP&amp;HEIGHT=450&amp;WIDTH=450&amp;START_MA","XIMIZED=FALSE&amp;VAR:CALENDAR=US&amp;VAR:SYMBOL=N0098510&amp;VAR:INDEX=0"}</definedName>
    <definedName name="_7306__FDSAUDITLINK__" hidden="1">{"fdsup://directions/FAT Viewer?action=UPDATE&amp;creator=factset&amp;DYN_ARGS=TRUE&amp;DOC_NAME=FAT:FQL_AUDITING_CLIENT_TEMPLATE.FAT&amp;display_string=Audit&amp;VAR:KEY=NEBUFODCHM&amp;VAR:QUERY=RkZfRUJJVERBX0lCKCdMVE1TJywzODQwNyk=&amp;WINDOW=FIRST_POPUP&amp;HEIGHT=450&amp;WIDTH=450&amp;START_MA","XIMIZED=FALSE&amp;VAR:CALENDAR=US&amp;VAR:SYMBOL=N0098510&amp;VAR:INDEX=0"}</definedName>
    <definedName name="_7307__FDSAUDITLINK__" localSheetId="6" hidden="1">{"fdsup://directions/FAT Viewer?action=UPDATE&amp;creator=factset&amp;DYN_ARGS=TRUE&amp;DOC_NAME=FAT:FQL_AUDITING_CLIENT_TEMPLATE.FAT&amp;display_string=Audit&amp;VAR:KEY=LYZKZMLUNY&amp;VAR:QUERY=RkZfRUJJVERBX0lCKCdMVE1TJywzODQwNik=&amp;WINDOW=FIRST_POPUP&amp;HEIGHT=450&amp;WIDTH=450&amp;START_MA","XIMIZED=FALSE&amp;VAR:CALENDAR=US&amp;VAR:SYMBOL=N0098510&amp;VAR:INDEX=0"}</definedName>
    <definedName name="_7307__FDSAUDITLINK__" hidden="1">{"fdsup://directions/FAT Viewer?action=UPDATE&amp;creator=factset&amp;DYN_ARGS=TRUE&amp;DOC_NAME=FAT:FQL_AUDITING_CLIENT_TEMPLATE.FAT&amp;display_string=Audit&amp;VAR:KEY=LYZKZMLUNY&amp;VAR:QUERY=RkZfRUJJVERBX0lCKCdMVE1TJywzODQwNik=&amp;WINDOW=FIRST_POPUP&amp;HEIGHT=450&amp;WIDTH=450&amp;START_MA","XIMIZED=FALSE&amp;VAR:CALENDAR=US&amp;VAR:SYMBOL=N0098510&amp;VAR:INDEX=0"}</definedName>
    <definedName name="_7308__FDSAUDITLINK__" localSheetId="6" hidden="1">{"fdsup://directions/FAT Viewer?action=UPDATE&amp;creator=factset&amp;DYN_ARGS=TRUE&amp;DOC_NAME=FAT:FQL_AUDITING_CLIENT_TEMPLATE.FAT&amp;display_string=Audit&amp;VAR:KEY=DILOVCRILA&amp;VAR:QUERY=RkZfRUJJVERBX0lCKCdMVE1TJywzODQwNSk=&amp;WINDOW=FIRST_POPUP&amp;HEIGHT=450&amp;WIDTH=450&amp;START_MA","XIMIZED=FALSE&amp;VAR:CALENDAR=US&amp;VAR:SYMBOL=N0098510&amp;VAR:INDEX=0"}</definedName>
    <definedName name="_7308__FDSAUDITLINK__" hidden="1">{"fdsup://directions/FAT Viewer?action=UPDATE&amp;creator=factset&amp;DYN_ARGS=TRUE&amp;DOC_NAME=FAT:FQL_AUDITING_CLIENT_TEMPLATE.FAT&amp;display_string=Audit&amp;VAR:KEY=DILOVCRILA&amp;VAR:QUERY=RkZfRUJJVERBX0lCKCdMVE1TJywzODQwNSk=&amp;WINDOW=FIRST_POPUP&amp;HEIGHT=450&amp;WIDTH=450&amp;START_MA","XIMIZED=FALSE&amp;VAR:CALENDAR=US&amp;VAR:SYMBOL=N0098510&amp;VAR:INDEX=0"}</definedName>
    <definedName name="_7309__FDSAUDITLINK__" localSheetId="6" hidden="1">{"fdsup://directions/FAT Viewer?action=UPDATE&amp;creator=factset&amp;DYN_ARGS=TRUE&amp;DOC_NAME=FAT:FQL_AUDITING_CLIENT_TEMPLATE.FAT&amp;display_string=Audit&amp;VAR:KEY=ROTOHWLYVK&amp;VAR:QUERY=RkZfRUJJVERBX0lCKCdMVE1TJywzODQwNCk=&amp;WINDOW=FIRST_POPUP&amp;HEIGHT=450&amp;WIDTH=450&amp;START_MA","XIMIZED=FALSE&amp;VAR:CALENDAR=US&amp;VAR:SYMBOL=N0098510&amp;VAR:INDEX=0"}</definedName>
    <definedName name="_7309__FDSAUDITLINK__" hidden="1">{"fdsup://directions/FAT Viewer?action=UPDATE&amp;creator=factset&amp;DYN_ARGS=TRUE&amp;DOC_NAME=FAT:FQL_AUDITING_CLIENT_TEMPLATE.FAT&amp;display_string=Audit&amp;VAR:KEY=ROTOHWLYVK&amp;VAR:QUERY=RkZfRUJJVERBX0lCKCdMVE1TJywzODQwNCk=&amp;WINDOW=FIRST_POPUP&amp;HEIGHT=450&amp;WIDTH=450&amp;START_MA","XIMIZED=FALSE&amp;VAR:CALENDAR=US&amp;VAR:SYMBOL=N0098510&amp;VAR:INDEX=0"}</definedName>
    <definedName name="_731__FDSAUDITLINK__" localSheetId="6" hidden="1">{"fdsup://directions/FAT%20Viewer?VAR:PED=LTM&amp;VAR:AUDIT_MODE=SUMMARY&amp;VAR:PERIOD=FIXED&amp;VAR:AUDIT_ID=00000117&amp;VAR:DATE=20080221&amp;action=UPDATE&amp;creator=factset&amp;DOC_NAME=FAT:FMA_audit_SUMMARY.fat&amp;DISPLAY_STRING=Display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1__FDSAUDITLINK__" hidden="1">{"fdsup://directions/FAT%20Viewer?VAR:PED=LTM&amp;VAR:AUDIT_MODE=SUMMARY&amp;VAR:PERIOD=FIXED&amp;VAR:AUDIT_ID=00000117&amp;VAR:DATE=20080221&amp;action=UPDATE&amp;creator=factset&amp;DOC_NAME=FAT:FMA_audit_SUMMARY.fat&amp;DISPLAY_STRING=Display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10__FDSAUDITLINK__" localSheetId="6" hidden="1">{"fdsup://directions/FAT Viewer?action=UPDATE&amp;creator=factset&amp;DYN_ARGS=TRUE&amp;DOC_NAME=FAT:FQL_AUDITING_CLIENT_TEMPLATE.FAT&amp;display_string=Audit&amp;VAR:KEY=TSDYZEFYDA&amp;VAR:QUERY=RkZfRUJJVERBX0lCKCdMVE1TJywzODQwMyk=&amp;WINDOW=FIRST_POPUP&amp;HEIGHT=450&amp;WIDTH=450&amp;START_MA","XIMIZED=FALSE&amp;VAR:CALENDAR=US&amp;VAR:SYMBOL=N0098510&amp;VAR:INDEX=0"}</definedName>
    <definedName name="_7310__FDSAUDITLINK__" hidden="1">{"fdsup://directions/FAT Viewer?action=UPDATE&amp;creator=factset&amp;DYN_ARGS=TRUE&amp;DOC_NAME=FAT:FQL_AUDITING_CLIENT_TEMPLATE.FAT&amp;display_string=Audit&amp;VAR:KEY=TSDYZEFYDA&amp;VAR:QUERY=RkZfRUJJVERBX0lCKCdMVE1TJywzODQwMyk=&amp;WINDOW=FIRST_POPUP&amp;HEIGHT=450&amp;WIDTH=450&amp;START_MA","XIMIZED=FALSE&amp;VAR:CALENDAR=US&amp;VAR:SYMBOL=N0098510&amp;VAR:INDEX=0"}</definedName>
    <definedName name="_7311__FDSAUDITLINK__" localSheetId="6" hidden="1">{"fdsup://directions/FAT Viewer?action=UPDATE&amp;creator=factset&amp;DYN_ARGS=TRUE&amp;DOC_NAME=FAT:FQL_AUDITING_CLIENT_TEMPLATE.FAT&amp;display_string=Audit&amp;VAR:KEY=ZAZGBOTAJY&amp;VAR:QUERY=RkZfRUJJVERBX0lCKCdMVE1TJywzODQwMik=&amp;WINDOW=FIRST_POPUP&amp;HEIGHT=450&amp;WIDTH=450&amp;START_MA","XIMIZED=FALSE&amp;VAR:CALENDAR=US&amp;VAR:SYMBOL=N0098510&amp;VAR:INDEX=0"}</definedName>
    <definedName name="_7311__FDSAUDITLINK__" hidden="1">{"fdsup://directions/FAT Viewer?action=UPDATE&amp;creator=factset&amp;DYN_ARGS=TRUE&amp;DOC_NAME=FAT:FQL_AUDITING_CLIENT_TEMPLATE.FAT&amp;display_string=Audit&amp;VAR:KEY=ZAZGBOTAJY&amp;VAR:QUERY=RkZfRUJJVERBX0lCKCdMVE1TJywzODQwMik=&amp;WINDOW=FIRST_POPUP&amp;HEIGHT=450&amp;WIDTH=450&amp;START_MA","XIMIZED=FALSE&amp;VAR:CALENDAR=US&amp;VAR:SYMBOL=N0098510&amp;VAR:INDEX=0"}</definedName>
    <definedName name="_7312__FDSAUDITLINK__" localSheetId="6" hidden="1">{"fdsup://directions/FAT Viewer?action=UPDATE&amp;creator=factset&amp;DYN_ARGS=TRUE&amp;DOC_NAME=FAT:FQL_AUDITING_CLIENT_TEMPLATE.FAT&amp;display_string=Audit&amp;VAR:KEY=HCJOJGFSLG&amp;VAR:QUERY=RkZfRUJJVERBX0lCKCdMVE1TJyw0MDIyOSk=&amp;WINDOW=FIRST_POPUP&amp;HEIGHT=450&amp;WIDTH=450&amp;START_MA","XIMIZED=FALSE&amp;VAR:CALENDAR=US&amp;VAR:SYMBOL=G0129K10&amp;VAR:INDEX=0"}</definedName>
    <definedName name="_7312__FDSAUDITLINK__" hidden="1">{"fdsup://directions/FAT Viewer?action=UPDATE&amp;creator=factset&amp;DYN_ARGS=TRUE&amp;DOC_NAME=FAT:FQL_AUDITING_CLIENT_TEMPLATE.FAT&amp;display_string=Audit&amp;VAR:KEY=HCJOJGFSLG&amp;VAR:QUERY=RkZfRUJJVERBX0lCKCdMVE1TJyw0MDIyOSk=&amp;WINDOW=FIRST_POPUP&amp;HEIGHT=450&amp;WIDTH=450&amp;START_MA","XIMIZED=FALSE&amp;VAR:CALENDAR=US&amp;VAR:SYMBOL=G0129K10&amp;VAR:INDEX=0"}</definedName>
    <definedName name="_7313__FDSAUDITLINK__" localSheetId="6" hidden="1">{"fdsup://directions/FAT Viewer?action=UPDATE&amp;creator=factset&amp;DYN_ARGS=TRUE&amp;DOC_NAME=FAT:FQL_AUDITING_CLIENT_TEMPLATE.FAT&amp;display_string=Audit&amp;VAR:KEY=BOPSDKZKLY&amp;VAR:QUERY=RkZfRUJJVERBX0lCKCdMVE1TJyw0MDIyOCk=&amp;WINDOW=FIRST_POPUP&amp;HEIGHT=450&amp;WIDTH=450&amp;START_MA","XIMIZED=FALSE&amp;VAR:CALENDAR=US&amp;VAR:SYMBOL=G0129K10&amp;VAR:INDEX=0"}</definedName>
    <definedName name="_7313__FDSAUDITLINK__" hidden="1">{"fdsup://directions/FAT Viewer?action=UPDATE&amp;creator=factset&amp;DYN_ARGS=TRUE&amp;DOC_NAME=FAT:FQL_AUDITING_CLIENT_TEMPLATE.FAT&amp;display_string=Audit&amp;VAR:KEY=BOPSDKZKLY&amp;VAR:QUERY=RkZfRUJJVERBX0lCKCdMVE1TJyw0MDIyOCk=&amp;WINDOW=FIRST_POPUP&amp;HEIGHT=450&amp;WIDTH=450&amp;START_MA","XIMIZED=FALSE&amp;VAR:CALENDAR=US&amp;VAR:SYMBOL=G0129K10&amp;VAR:INDEX=0"}</definedName>
    <definedName name="_7314__FDSAUDITLINK__" localSheetId="6" hidden="1">{"fdsup://directions/FAT Viewer?action=UPDATE&amp;creator=factset&amp;DYN_ARGS=TRUE&amp;DOC_NAME=FAT:FQL_AUDITING_CLIENT_TEMPLATE.FAT&amp;display_string=Audit&amp;VAR:KEY=BUFYZEVIRA&amp;VAR:QUERY=RkZfRUJJVERBX0lCKCdMVE1TJyw0MDIyNyk=&amp;WINDOW=FIRST_POPUP&amp;HEIGHT=450&amp;WIDTH=450&amp;START_MA","XIMIZED=FALSE&amp;VAR:CALENDAR=US&amp;VAR:SYMBOL=G0129K10&amp;VAR:INDEX=0"}</definedName>
    <definedName name="_7314__FDSAUDITLINK__" hidden="1">{"fdsup://directions/FAT Viewer?action=UPDATE&amp;creator=factset&amp;DYN_ARGS=TRUE&amp;DOC_NAME=FAT:FQL_AUDITING_CLIENT_TEMPLATE.FAT&amp;display_string=Audit&amp;VAR:KEY=BUFYZEVIRA&amp;VAR:QUERY=RkZfRUJJVERBX0lCKCdMVE1TJyw0MDIyNyk=&amp;WINDOW=FIRST_POPUP&amp;HEIGHT=450&amp;WIDTH=450&amp;START_MA","XIMIZED=FALSE&amp;VAR:CALENDAR=US&amp;VAR:SYMBOL=G0129K10&amp;VAR:INDEX=0"}</definedName>
    <definedName name="_7315__FDSAUDITLINK__" localSheetId="6" hidden="1">{"fdsup://directions/FAT Viewer?action=UPDATE&amp;creator=factset&amp;DYN_ARGS=TRUE&amp;DOC_NAME=FAT:FQL_AUDITING_CLIENT_TEMPLATE.FAT&amp;display_string=Audit&amp;VAR:KEY=HMFELQBKPG&amp;VAR:QUERY=RkZfRUJJVERBX0lCKCdMVE1TJyw0MDIyNik=&amp;WINDOW=FIRST_POPUP&amp;HEIGHT=450&amp;WIDTH=450&amp;START_MA","XIMIZED=FALSE&amp;VAR:CALENDAR=US&amp;VAR:SYMBOL=G0129K10&amp;VAR:INDEX=0"}</definedName>
    <definedName name="_7315__FDSAUDITLINK__" hidden="1">{"fdsup://directions/FAT Viewer?action=UPDATE&amp;creator=factset&amp;DYN_ARGS=TRUE&amp;DOC_NAME=FAT:FQL_AUDITING_CLIENT_TEMPLATE.FAT&amp;display_string=Audit&amp;VAR:KEY=HMFELQBKPG&amp;VAR:QUERY=RkZfRUJJVERBX0lCKCdMVE1TJyw0MDIyNik=&amp;WINDOW=FIRST_POPUP&amp;HEIGHT=450&amp;WIDTH=450&amp;START_MA","XIMIZED=FALSE&amp;VAR:CALENDAR=US&amp;VAR:SYMBOL=G0129K10&amp;VAR:INDEX=0"}</definedName>
    <definedName name="_7316__FDSAUDITLINK__" localSheetId="6" hidden="1">{"fdsup://directions/FAT Viewer?action=UPDATE&amp;creator=factset&amp;DYN_ARGS=TRUE&amp;DOC_NAME=FAT:FQL_AUDITING_CLIENT_TEMPLATE.FAT&amp;display_string=Audit&amp;VAR:KEY=HGHUJKFARU&amp;VAR:QUERY=RkZfRUJJVERBX0lCKCdMVE1TJyw0MDIyNSk=&amp;WINDOW=FIRST_POPUP&amp;HEIGHT=450&amp;WIDTH=450&amp;START_MA","XIMIZED=FALSE&amp;VAR:CALENDAR=US&amp;VAR:SYMBOL=G0129K10&amp;VAR:INDEX=0"}</definedName>
    <definedName name="_7316__FDSAUDITLINK__" hidden="1">{"fdsup://directions/FAT Viewer?action=UPDATE&amp;creator=factset&amp;DYN_ARGS=TRUE&amp;DOC_NAME=FAT:FQL_AUDITING_CLIENT_TEMPLATE.FAT&amp;display_string=Audit&amp;VAR:KEY=HGHUJKFARU&amp;VAR:QUERY=RkZfRUJJVERBX0lCKCdMVE1TJyw0MDIyNSk=&amp;WINDOW=FIRST_POPUP&amp;HEIGHT=450&amp;WIDTH=450&amp;START_MA","XIMIZED=FALSE&amp;VAR:CALENDAR=US&amp;VAR:SYMBOL=G0129K10&amp;VAR:INDEX=0"}</definedName>
    <definedName name="_7317__FDSAUDITLINK__" localSheetId="6" hidden="1">{"fdsup://directions/FAT Viewer?action=UPDATE&amp;creator=factset&amp;DYN_ARGS=TRUE&amp;DOC_NAME=FAT:FQL_AUDITING_CLIENT_TEMPLATE.FAT&amp;display_string=Audit&amp;VAR:KEY=BMNCRSJMZY&amp;VAR:QUERY=RkZfRUJJVERBX0lCKCdMVE1TJyw0MDIyNCk=&amp;WINDOW=FIRST_POPUP&amp;HEIGHT=450&amp;WIDTH=450&amp;START_MA","XIMIZED=FALSE&amp;VAR:CALENDAR=US&amp;VAR:SYMBOL=G0129K10&amp;VAR:INDEX=0"}</definedName>
    <definedName name="_7317__FDSAUDITLINK__" hidden="1">{"fdsup://directions/FAT Viewer?action=UPDATE&amp;creator=factset&amp;DYN_ARGS=TRUE&amp;DOC_NAME=FAT:FQL_AUDITING_CLIENT_TEMPLATE.FAT&amp;display_string=Audit&amp;VAR:KEY=BMNCRSJMZY&amp;VAR:QUERY=RkZfRUJJVERBX0lCKCdMVE1TJyw0MDIyNCk=&amp;WINDOW=FIRST_POPUP&amp;HEIGHT=450&amp;WIDTH=450&amp;START_MA","XIMIZED=FALSE&amp;VAR:CALENDAR=US&amp;VAR:SYMBOL=G0129K10&amp;VAR:INDEX=0"}</definedName>
    <definedName name="_7318__FDSAUDITLINK__" localSheetId="6" hidden="1">{"fdsup://directions/FAT Viewer?action=UPDATE&amp;creator=factset&amp;DYN_ARGS=TRUE&amp;DOC_NAME=FAT:FQL_AUDITING_CLIENT_TEMPLATE.FAT&amp;display_string=Audit&amp;VAR:KEY=TAHKVSPGRY&amp;VAR:QUERY=RkZfRUJJVERBX0lCKCdMVE1TJyw0MDIyMyk=&amp;WINDOW=FIRST_POPUP&amp;HEIGHT=450&amp;WIDTH=450&amp;START_MA","XIMIZED=FALSE&amp;VAR:CALENDAR=US&amp;VAR:SYMBOL=G0129K10&amp;VAR:INDEX=0"}</definedName>
    <definedName name="_7318__FDSAUDITLINK__" hidden="1">{"fdsup://directions/FAT Viewer?action=UPDATE&amp;creator=factset&amp;DYN_ARGS=TRUE&amp;DOC_NAME=FAT:FQL_AUDITING_CLIENT_TEMPLATE.FAT&amp;display_string=Audit&amp;VAR:KEY=TAHKVSPGRY&amp;VAR:QUERY=RkZfRUJJVERBX0lCKCdMVE1TJyw0MDIyMyk=&amp;WINDOW=FIRST_POPUP&amp;HEIGHT=450&amp;WIDTH=450&amp;START_MA","XIMIZED=FALSE&amp;VAR:CALENDAR=US&amp;VAR:SYMBOL=G0129K10&amp;VAR:INDEX=0"}</definedName>
    <definedName name="_7319__FDSAUDITLINK__" localSheetId="6" hidden="1">{"fdsup://directions/FAT Viewer?action=UPDATE&amp;creator=factset&amp;DYN_ARGS=TRUE&amp;DOC_NAME=FAT:FQL_AUDITING_CLIENT_TEMPLATE.FAT&amp;display_string=Audit&amp;VAR:KEY=TCBKLWTGPS&amp;VAR:QUERY=RkZfRUJJVERBX0lCKCdMVE1TJyw0MDIyMik=&amp;WINDOW=FIRST_POPUP&amp;HEIGHT=450&amp;WIDTH=450&amp;START_MA","XIMIZED=FALSE&amp;VAR:CALENDAR=US&amp;VAR:SYMBOL=G0129K10&amp;VAR:INDEX=0"}</definedName>
    <definedName name="_7319__FDSAUDITLINK__" hidden="1">{"fdsup://directions/FAT Viewer?action=UPDATE&amp;creator=factset&amp;DYN_ARGS=TRUE&amp;DOC_NAME=FAT:FQL_AUDITING_CLIENT_TEMPLATE.FAT&amp;display_string=Audit&amp;VAR:KEY=TCBKLWTGPS&amp;VAR:QUERY=RkZfRUJJVERBX0lCKCdMVE1TJyw0MDIyMik=&amp;WINDOW=FIRST_POPUP&amp;HEIGHT=450&amp;WIDTH=450&amp;START_MA","XIMIZED=FALSE&amp;VAR:CALENDAR=US&amp;VAR:SYMBOL=G0129K10&amp;VAR:INDEX=0"}</definedName>
    <definedName name="_732__FDSAUDITLINK__" localSheetId="6" hidden="1">{"fdsup://directions/FAT%20Viewer?VAR:PED=LTM&amp;VAR:AUDIT_MODE=SUMMARY&amp;VAR:PERIOD=FIXED&amp;VAR:AUDIT_ID=00000117&amp;VAR:DATE=20080220&amp;action=UPDATE&amp;creator=factset&amp;DOC_NAME=FAT:FMA_audit_SUMMARY.fat&amp;DISPLAY_STRING=Display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2__FDSAUDITLINK__" hidden="1">{"fdsup://directions/FAT%20Viewer?VAR:PED=LTM&amp;VAR:AUDIT_MODE=SUMMARY&amp;VAR:PERIOD=FIXED&amp;VAR:AUDIT_ID=00000117&amp;VAR:DATE=20080220&amp;action=UPDATE&amp;creator=factset&amp;DOC_NAME=FAT:FMA_audit_SUMMARY.fat&amp;DISPLAY_STRING=Display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20__FDSAUDITLINK__" localSheetId="6" hidden="1">{"fdsup://directions/FAT Viewer?action=UPDATE&amp;creator=factset&amp;DYN_ARGS=TRUE&amp;DOC_NAME=FAT:FQL_AUDITING_CLIENT_TEMPLATE.FAT&amp;display_string=Audit&amp;VAR:KEY=RQRYBAHQFU&amp;VAR:QUERY=RkZfRUJJVERBX0lCKCdMVE1TJyw0MDIyMSk=&amp;WINDOW=FIRST_POPUP&amp;HEIGHT=450&amp;WIDTH=450&amp;START_MA","XIMIZED=FALSE&amp;VAR:CALENDAR=US&amp;VAR:SYMBOL=G0129K10&amp;VAR:INDEX=0"}</definedName>
    <definedName name="_7320__FDSAUDITLINK__" hidden="1">{"fdsup://directions/FAT Viewer?action=UPDATE&amp;creator=factset&amp;DYN_ARGS=TRUE&amp;DOC_NAME=FAT:FQL_AUDITING_CLIENT_TEMPLATE.FAT&amp;display_string=Audit&amp;VAR:KEY=RQRYBAHQFU&amp;VAR:QUERY=RkZfRUJJVERBX0lCKCdMVE1TJyw0MDIyMSk=&amp;WINDOW=FIRST_POPUP&amp;HEIGHT=450&amp;WIDTH=450&amp;START_MA","XIMIZED=FALSE&amp;VAR:CALENDAR=US&amp;VAR:SYMBOL=G0129K10&amp;VAR:INDEX=0"}</definedName>
    <definedName name="_7321__FDSAUDITLINK__" localSheetId="6" hidden="1">{"fdsup://directions/FAT Viewer?action=UPDATE&amp;creator=factset&amp;DYN_ARGS=TRUE&amp;DOC_NAME=FAT:FQL_AUDITING_CLIENT_TEMPLATE.FAT&amp;display_string=Audit&amp;VAR:KEY=ZCZUFCFSFW&amp;VAR:QUERY=RkZfRUJJVERBX0lCKCdMVE1TJyw0MDIyMCk=&amp;WINDOW=FIRST_POPUP&amp;HEIGHT=450&amp;WIDTH=450&amp;START_MA","XIMIZED=FALSE&amp;VAR:CALENDAR=US&amp;VAR:SYMBOL=G0129K10&amp;VAR:INDEX=0"}</definedName>
    <definedName name="_7321__FDSAUDITLINK__" hidden="1">{"fdsup://directions/FAT Viewer?action=UPDATE&amp;creator=factset&amp;DYN_ARGS=TRUE&amp;DOC_NAME=FAT:FQL_AUDITING_CLIENT_TEMPLATE.FAT&amp;display_string=Audit&amp;VAR:KEY=ZCZUFCFSFW&amp;VAR:QUERY=RkZfRUJJVERBX0lCKCdMVE1TJyw0MDIyMCk=&amp;WINDOW=FIRST_POPUP&amp;HEIGHT=450&amp;WIDTH=450&amp;START_MA","XIMIZED=FALSE&amp;VAR:CALENDAR=US&amp;VAR:SYMBOL=G0129K10&amp;VAR:INDEX=0"}</definedName>
    <definedName name="_7322__FDSAUDITLINK__" localSheetId="6" hidden="1">{"fdsup://directions/FAT Viewer?action=UPDATE&amp;creator=factset&amp;DYN_ARGS=TRUE&amp;DOC_NAME=FAT:FQL_AUDITING_CLIENT_TEMPLATE.FAT&amp;display_string=Audit&amp;VAR:KEY=NMPEFENGPM&amp;VAR:QUERY=RkZfRUJJVERBX0lCKCdMVE1TJyw0MDIxOSk=&amp;WINDOW=FIRST_POPUP&amp;HEIGHT=450&amp;WIDTH=450&amp;START_MA","XIMIZED=FALSE&amp;VAR:CALENDAR=US&amp;VAR:SYMBOL=G0129K10&amp;VAR:INDEX=0"}</definedName>
    <definedName name="_7322__FDSAUDITLINK__" hidden="1">{"fdsup://directions/FAT Viewer?action=UPDATE&amp;creator=factset&amp;DYN_ARGS=TRUE&amp;DOC_NAME=FAT:FQL_AUDITING_CLIENT_TEMPLATE.FAT&amp;display_string=Audit&amp;VAR:KEY=NMPEFENGPM&amp;VAR:QUERY=RkZfRUJJVERBX0lCKCdMVE1TJyw0MDIxOSk=&amp;WINDOW=FIRST_POPUP&amp;HEIGHT=450&amp;WIDTH=450&amp;START_MA","XIMIZED=FALSE&amp;VAR:CALENDAR=US&amp;VAR:SYMBOL=G0129K10&amp;VAR:INDEX=0"}</definedName>
    <definedName name="_7323__FDSAUDITLINK__" localSheetId="6" hidden="1">{"fdsup://directions/FAT Viewer?action=UPDATE&amp;creator=factset&amp;DYN_ARGS=TRUE&amp;DOC_NAME=FAT:FQL_AUDITING_CLIENT_TEMPLATE.FAT&amp;display_string=Audit&amp;VAR:KEY=PGDQXARGXG&amp;VAR:QUERY=RkZfRUJJVERBX0lCKCdMVE1TJyw0MDIxOCk=&amp;WINDOW=FIRST_POPUP&amp;HEIGHT=450&amp;WIDTH=450&amp;START_MA","XIMIZED=FALSE&amp;VAR:CALENDAR=US&amp;VAR:SYMBOL=G0129K10&amp;VAR:INDEX=0"}</definedName>
    <definedName name="_7323__FDSAUDITLINK__" hidden="1">{"fdsup://directions/FAT Viewer?action=UPDATE&amp;creator=factset&amp;DYN_ARGS=TRUE&amp;DOC_NAME=FAT:FQL_AUDITING_CLIENT_TEMPLATE.FAT&amp;display_string=Audit&amp;VAR:KEY=PGDQXARGXG&amp;VAR:QUERY=RkZfRUJJVERBX0lCKCdMVE1TJyw0MDIxOCk=&amp;WINDOW=FIRST_POPUP&amp;HEIGHT=450&amp;WIDTH=450&amp;START_MA","XIMIZED=FALSE&amp;VAR:CALENDAR=US&amp;VAR:SYMBOL=G0129K10&amp;VAR:INDEX=0"}</definedName>
    <definedName name="_7324__FDSAUDITLINK__" localSheetId="6" hidden="1">{"fdsup://directions/FAT Viewer?action=UPDATE&amp;creator=factset&amp;DYN_ARGS=TRUE&amp;DOC_NAME=FAT:FQL_AUDITING_CLIENT_TEMPLATE.FAT&amp;display_string=Audit&amp;VAR:KEY=ZSVQNORKNS&amp;VAR:QUERY=RkZfRUJJVERBX0lCKCdMVE1TJyw0MDIxNyk=&amp;WINDOW=FIRST_POPUP&amp;HEIGHT=450&amp;WIDTH=450&amp;START_MA","XIMIZED=FALSE&amp;VAR:CALENDAR=US&amp;VAR:SYMBOL=G0129K10&amp;VAR:INDEX=0"}</definedName>
    <definedName name="_7324__FDSAUDITLINK__" hidden="1">{"fdsup://directions/FAT Viewer?action=UPDATE&amp;creator=factset&amp;DYN_ARGS=TRUE&amp;DOC_NAME=FAT:FQL_AUDITING_CLIENT_TEMPLATE.FAT&amp;display_string=Audit&amp;VAR:KEY=ZSVQNORKNS&amp;VAR:QUERY=RkZfRUJJVERBX0lCKCdMVE1TJyw0MDIxNyk=&amp;WINDOW=FIRST_POPUP&amp;HEIGHT=450&amp;WIDTH=450&amp;START_MA","XIMIZED=FALSE&amp;VAR:CALENDAR=US&amp;VAR:SYMBOL=G0129K10&amp;VAR:INDEX=0"}</definedName>
    <definedName name="_7325__FDSAUDITLINK__" localSheetId="6" hidden="1">{"fdsup://directions/FAT Viewer?action=UPDATE&amp;creator=factset&amp;DYN_ARGS=TRUE&amp;DOC_NAME=FAT:FQL_AUDITING_CLIENT_TEMPLATE.FAT&amp;display_string=Audit&amp;VAR:KEY=JCPKPYNQVA&amp;VAR:QUERY=RkZfRUJJVERBX0lCKCdMVE1TJyw0MDIxNik=&amp;WINDOW=FIRST_POPUP&amp;HEIGHT=450&amp;WIDTH=450&amp;START_MA","XIMIZED=FALSE&amp;VAR:CALENDAR=US&amp;VAR:SYMBOL=G0129K10&amp;VAR:INDEX=0"}</definedName>
    <definedName name="_7325__FDSAUDITLINK__" hidden="1">{"fdsup://directions/FAT Viewer?action=UPDATE&amp;creator=factset&amp;DYN_ARGS=TRUE&amp;DOC_NAME=FAT:FQL_AUDITING_CLIENT_TEMPLATE.FAT&amp;display_string=Audit&amp;VAR:KEY=JCPKPYNQVA&amp;VAR:QUERY=RkZfRUJJVERBX0lCKCdMVE1TJyw0MDIxNik=&amp;WINDOW=FIRST_POPUP&amp;HEIGHT=450&amp;WIDTH=450&amp;START_MA","XIMIZED=FALSE&amp;VAR:CALENDAR=US&amp;VAR:SYMBOL=G0129K10&amp;VAR:INDEX=0"}</definedName>
    <definedName name="_7326__FDSAUDITLINK__" localSheetId="6" hidden="1">{"fdsup://directions/FAT Viewer?action=UPDATE&amp;creator=factset&amp;DYN_ARGS=TRUE&amp;DOC_NAME=FAT:FQL_AUDITING_CLIENT_TEMPLATE.FAT&amp;display_string=Audit&amp;VAR:KEY=TKVIFQHEFM&amp;VAR:QUERY=RkZfRUJJVERBX0lCKCdMVE1TJyw0MDIxNSk=&amp;WINDOW=FIRST_POPUP&amp;HEIGHT=450&amp;WIDTH=450&amp;START_MA","XIMIZED=FALSE&amp;VAR:CALENDAR=US&amp;VAR:SYMBOL=G0129K10&amp;VAR:INDEX=0"}</definedName>
    <definedName name="_7326__FDSAUDITLINK__" hidden="1">{"fdsup://directions/FAT Viewer?action=UPDATE&amp;creator=factset&amp;DYN_ARGS=TRUE&amp;DOC_NAME=FAT:FQL_AUDITING_CLIENT_TEMPLATE.FAT&amp;display_string=Audit&amp;VAR:KEY=TKVIFQHEFM&amp;VAR:QUERY=RkZfRUJJVERBX0lCKCdMVE1TJyw0MDIxNSk=&amp;WINDOW=FIRST_POPUP&amp;HEIGHT=450&amp;WIDTH=450&amp;START_MA","XIMIZED=FALSE&amp;VAR:CALENDAR=US&amp;VAR:SYMBOL=G0129K10&amp;VAR:INDEX=0"}</definedName>
    <definedName name="_7327__FDSAUDITLINK__" localSheetId="6" hidden="1">{"fdsup://directions/FAT Viewer?action=UPDATE&amp;creator=factset&amp;DYN_ARGS=TRUE&amp;DOC_NAME=FAT:FQL_AUDITING_CLIENT_TEMPLATE.FAT&amp;display_string=Audit&amp;VAR:KEY=PKHADKNMZG&amp;VAR:QUERY=RkZfRUJJVERBX0lCKCdMVE1TJyw0MDIxNCk=&amp;WINDOW=FIRST_POPUP&amp;HEIGHT=450&amp;WIDTH=450&amp;START_MA","XIMIZED=FALSE&amp;VAR:CALENDAR=US&amp;VAR:SYMBOL=G0129K10&amp;VAR:INDEX=0"}</definedName>
    <definedName name="_7327__FDSAUDITLINK__" hidden="1">{"fdsup://directions/FAT Viewer?action=UPDATE&amp;creator=factset&amp;DYN_ARGS=TRUE&amp;DOC_NAME=FAT:FQL_AUDITING_CLIENT_TEMPLATE.FAT&amp;display_string=Audit&amp;VAR:KEY=PKHADKNMZG&amp;VAR:QUERY=RkZfRUJJVERBX0lCKCdMVE1TJyw0MDIxNCk=&amp;WINDOW=FIRST_POPUP&amp;HEIGHT=450&amp;WIDTH=450&amp;START_MA","XIMIZED=FALSE&amp;VAR:CALENDAR=US&amp;VAR:SYMBOL=G0129K10&amp;VAR:INDEX=0"}</definedName>
    <definedName name="_7328__FDSAUDITLINK__" localSheetId="6" hidden="1">{"fdsup://directions/FAT Viewer?action=UPDATE&amp;creator=factset&amp;DYN_ARGS=TRUE&amp;DOC_NAME=FAT:FQL_AUDITING_CLIENT_TEMPLATE.FAT&amp;display_string=Audit&amp;VAR:KEY=FWPOVKTWTY&amp;VAR:QUERY=RkZfRUJJVERBX0lCKCdMVE1TJyw0MDIxMyk=&amp;WINDOW=FIRST_POPUP&amp;HEIGHT=450&amp;WIDTH=450&amp;START_MA","XIMIZED=FALSE&amp;VAR:CALENDAR=US&amp;VAR:SYMBOL=G0129K10&amp;VAR:INDEX=0"}</definedName>
    <definedName name="_7328__FDSAUDITLINK__" hidden="1">{"fdsup://directions/FAT Viewer?action=UPDATE&amp;creator=factset&amp;DYN_ARGS=TRUE&amp;DOC_NAME=FAT:FQL_AUDITING_CLIENT_TEMPLATE.FAT&amp;display_string=Audit&amp;VAR:KEY=FWPOVKTWTY&amp;VAR:QUERY=RkZfRUJJVERBX0lCKCdMVE1TJyw0MDIxMyk=&amp;WINDOW=FIRST_POPUP&amp;HEIGHT=450&amp;WIDTH=450&amp;START_MA","XIMIZED=FALSE&amp;VAR:CALENDAR=US&amp;VAR:SYMBOL=G0129K10&amp;VAR:INDEX=0"}</definedName>
    <definedName name="_7329__FDSAUDITLINK__" localSheetId="6" hidden="1">{"fdsup://directions/FAT Viewer?action=UPDATE&amp;creator=factset&amp;DYN_ARGS=TRUE&amp;DOC_NAME=FAT:FQL_AUDITING_CLIENT_TEMPLATE.FAT&amp;display_string=Audit&amp;VAR:KEY=FGVGRYTYFI&amp;VAR:QUERY=RkZfRUJJVERBX0lCKCdMVE1TJyw0MDIxMik=&amp;WINDOW=FIRST_POPUP&amp;HEIGHT=450&amp;WIDTH=450&amp;START_MA","XIMIZED=FALSE&amp;VAR:CALENDAR=US&amp;VAR:SYMBOL=G0129K10&amp;VAR:INDEX=0"}</definedName>
    <definedName name="_7329__FDSAUDITLINK__" hidden="1">{"fdsup://directions/FAT Viewer?action=UPDATE&amp;creator=factset&amp;DYN_ARGS=TRUE&amp;DOC_NAME=FAT:FQL_AUDITING_CLIENT_TEMPLATE.FAT&amp;display_string=Audit&amp;VAR:KEY=FGVGRYTYFI&amp;VAR:QUERY=RkZfRUJJVERBX0lCKCdMVE1TJyw0MDIxMik=&amp;WINDOW=FIRST_POPUP&amp;HEIGHT=450&amp;WIDTH=450&amp;START_MA","XIMIZED=FALSE&amp;VAR:CALENDAR=US&amp;VAR:SYMBOL=G0129K10&amp;VAR:INDEX=0"}</definedName>
    <definedName name="_733__FDSAUDITLINK__" localSheetId="6" hidden="1">{"fdsup://directions/FAT%20Viewer?VAR:PED=LTM&amp;VAR:AUDIT_MODE=SUMMARY&amp;VAR:PERIOD=FIXED&amp;VAR:AUDIT_ID=00000117&amp;VAR:DATE=20080219&amp;action=UPDATE&amp;creator=factset&amp;DOC_NAME=FAT:FMA_audit_SUMMARY.fat&amp;DISPLAY_STRING=Display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3__FDSAUDITLINK__" hidden="1">{"fdsup://directions/FAT%20Viewer?VAR:PED=LTM&amp;VAR:AUDIT_MODE=SUMMARY&amp;VAR:PERIOD=FIXED&amp;VAR:AUDIT_ID=00000117&amp;VAR:DATE=20080219&amp;action=UPDATE&amp;creator=factset&amp;DOC_NAME=FAT:FMA_audit_SUMMARY.fat&amp;DISPLAY_STRING=Display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30__FDSAUDITLINK__" localSheetId="6" hidden="1">{"fdsup://directions/FAT Viewer?action=UPDATE&amp;creator=factset&amp;DYN_ARGS=TRUE&amp;DOC_NAME=FAT:FQL_AUDITING_CLIENT_TEMPLATE.FAT&amp;display_string=Audit&amp;VAR:KEY=NMFSHMPCXS&amp;VAR:QUERY=RkZfRUJJVERBX0lCKCdMVE1TJyw0MDIxMSk=&amp;WINDOW=FIRST_POPUP&amp;HEIGHT=450&amp;WIDTH=450&amp;START_MA","XIMIZED=FALSE&amp;VAR:CALENDAR=US&amp;VAR:SYMBOL=G0129K10&amp;VAR:INDEX=0"}</definedName>
    <definedName name="_7330__FDSAUDITLINK__" hidden="1">{"fdsup://directions/FAT Viewer?action=UPDATE&amp;creator=factset&amp;DYN_ARGS=TRUE&amp;DOC_NAME=FAT:FQL_AUDITING_CLIENT_TEMPLATE.FAT&amp;display_string=Audit&amp;VAR:KEY=NMFSHMPCXS&amp;VAR:QUERY=RkZfRUJJVERBX0lCKCdMVE1TJyw0MDIxMSk=&amp;WINDOW=FIRST_POPUP&amp;HEIGHT=450&amp;WIDTH=450&amp;START_MA","XIMIZED=FALSE&amp;VAR:CALENDAR=US&amp;VAR:SYMBOL=G0129K10&amp;VAR:INDEX=0"}</definedName>
    <definedName name="_7331__FDSAUDITLINK__" localSheetId="6" hidden="1">{"fdsup://directions/FAT Viewer?action=UPDATE&amp;creator=factset&amp;DYN_ARGS=TRUE&amp;DOC_NAME=FAT:FQL_AUDITING_CLIENT_TEMPLATE.FAT&amp;display_string=Audit&amp;VAR:KEY=TQTUZCDELO&amp;VAR:QUERY=RkZfRUJJVERBX0lCKCdMVE1TJyw0MDIxMCk=&amp;WINDOW=FIRST_POPUP&amp;HEIGHT=450&amp;WIDTH=450&amp;START_MA","XIMIZED=FALSE&amp;VAR:CALENDAR=US&amp;VAR:SYMBOL=G0129K10&amp;VAR:INDEX=0"}</definedName>
    <definedName name="_7331__FDSAUDITLINK__" hidden="1">{"fdsup://directions/FAT Viewer?action=UPDATE&amp;creator=factset&amp;DYN_ARGS=TRUE&amp;DOC_NAME=FAT:FQL_AUDITING_CLIENT_TEMPLATE.FAT&amp;display_string=Audit&amp;VAR:KEY=TQTUZCDELO&amp;VAR:QUERY=RkZfRUJJVERBX0lCKCdMVE1TJyw0MDIxMCk=&amp;WINDOW=FIRST_POPUP&amp;HEIGHT=450&amp;WIDTH=450&amp;START_MA","XIMIZED=FALSE&amp;VAR:CALENDAR=US&amp;VAR:SYMBOL=G0129K10&amp;VAR:INDEX=0"}</definedName>
    <definedName name="_7332__FDSAUDITLINK__" localSheetId="6" hidden="1">{"fdsup://directions/FAT Viewer?action=UPDATE&amp;creator=factset&amp;DYN_ARGS=TRUE&amp;DOC_NAME=FAT:FQL_AUDITING_CLIENT_TEMPLATE.FAT&amp;display_string=Audit&amp;VAR:KEY=NEJWPYPEJA&amp;VAR:QUERY=RkZfRUJJVERBX0lCKCdMVE1TJyw0MDIwOSk=&amp;WINDOW=FIRST_POPUP&amp;HEIGHT=450&amp;WIDTH=450&amp;START_MA","XIMIZED=FALSE&amp;VAR:CALENDAR=US&amp;VAR:SYMBOL=G0129K10&amp;VAR:INDEX=0"}</definedName>
    <definedName name="_7332__FDSAUDITLINK__" hidden="1">{"fdsup://directions/FAT Viewer?action=UPDATE&amp;creator=factset&amp;DYN_ARGS=TRUE&amp;DOC_NAME=FAT:FQL_AUDITING_CLIENT_TEMPLATE.FAT&amp;display_string=Audit&amp;VAR:KEY=NEJWPYPEJA&amp;VAR:QUERY=RkZfRUJJVERBX0lCKCdMVE1TJyw0MDIwOSk=&amp;WINDOW=FIRST_POPUP&amp;HEIGHT=450&amp;WIDTH=450&amp;START_MA","XIMIZED=FALSE&amp;VAR:CALENDAR=US&amp;VAR:SYMBOL=G0129K10&amp;VAR:INDEX=0"}</definedName>
    <definedName name="_7333__FDSAUDITLINK__" localSheetId="6" hidden="1">{"fdsup://directions/FAT Viewer?action=UPDATE&amp;creator=factset&amp;DYN_ARGS=TRUE&amp;DOC_NAME=FAT:FQL_AUDITING_CLIENT_TEMPLATE.FAT&amp;display_string=Audit&amp;VAR:KEY=JYHAVORAFU&amp;VAR:QUERY=RkZfRUJJVERBX0lCKCdMVE1TJyw0MDIwOCk=&amp;WINDOW=FIRST_POPUP&amp;HEIGHT=450&amp;WIDTH=450&amp;START_MA","XIMIZED=FALSE&amp;VAR:CALENDAR=US&amp;VAR:SYMBOL=G0129K10&amp;VAR:INDEX=0"}</definedName>
    <definedName name="_7333__FDSAUDITLINK__" hidden="1">{"fdsup://directions/FAT Viewer?action=UPDATE&amp;creator=factset&amp;DYN_ARGS=TRUE&amp;DOC_NAME=FAT:FQL_AUDITING_CLIENT_TEMPLATE.FAT&amp;display_string=Audit&amp;VAR:KEY=JYHAVORAFU&amp;VAR:QUERY=RkZfRUJJVERBX0lCKCdMVE1TJyw0MDIwOCk=&amp;WINDOW=FIRST_POPUP&amp;HEIGHT=450&amp;WIDTH=450&amp;START_MA","XIMIZED=FALSE&amp;VAR:CALENDAR=US&amp;VAR:SYMBOL=G0129K10&amp;VAR:INDEX=0"}</definedName>
    <definedName name="_7334__FDSAUDITLINK__" localSheetId="6" hidden="1">{"fdsup://directions/FAT Viewer?action=UPDATE&amp;creator=factset&amp;DYN_ARGS=TRUE&amp;DOC_NAME=FAT:FQL_AUDITING_CLIENT_TEMPLATE.FAT&amp;display_string=Audit&amp;VAR:KEY=RCXWPGLQJQ&amp;VAR:QUERY=RkZfRUJJVERBX0lCKCdMVE1TJyw0MDIwNyk=&amp;WINDOW=FIRST_POPUP&amp;HEIGHT=450&amp;WIDTH=450&amp;START_MA","XIMIZED=FALSE&amp;VAR:CALENDAR=US&amp;VAR:SYMBOL=G0129K10&amp;VAR:INDEX=0"}</definedName>
    <definedName name="_7334__FDSAUDITLINK__" hidden="1">{"fdsup://directions/FAT Viewer?action=UPDATE&amp;creator=factset&amp;DYN_ARGS=TRUE&amp;DOC_NAME=FAT:FQL_AUDITING_CLIENT_TEMPLATE.FAT&amp;display_string=Audit&amp;VAR:KEY=RCXWPGLQJQ&amp;VAR:QUERY=RkZfRUJJVERBX0lCKCdMVE1TJyw0MDIwNyk=&amp;WINDOW=FIRST_POPUP&amp;HEIGHT=450&amp;WIDTH=450&amp;START_MA","XIMIZED=FALSE&amp;VAR:CALENDAR=US&amp;VAR:SYMBOL=G0129K10&amp;VAR:INDEX=0"}</definedName>
    <definedName name="_7335__FDSAUDITLINK__" localSheetId="6" hidden="1">{"fdsup://directions/FAT Viewer?action=UPDATE&amp;creator=factset&amp;DYN_ARGS=TRUE&amp;DOC_NAME=FAT:FQL_AUDITING_CLIENT_TEMPLATE.FAT&amp;display_string=Audit&amp;VAR:KEY=TOLKFCZEZI&amp;VAR:QUERY=RkZfRUJJVERBX0lCKCdMVE1TJyw0MDIwNik=&amp;WINDOW=FIRST_POPUP&amp;HEIGHT=450&amp;WIDTH=450&amp;START_MA","XIMIZED=FALSE&amp;VAR:CALENDAR=US&amp;VAR:SYMBOL=G0129K10&amp;VAR:INDEX=0"}</definedName>
    <definedName name="_7335__FDSAUDITLINK__" hidden="1">{"fdsup://directions/FAT Viewer?action=UPDATE&amp;creator=factset&amp;DYN_ARGS=TRUE&amp;DOC_NAME=FAT:FQL_AUDITING_CLIENT_TEMPLATE.FAT&amp;display_string=Audit&amp;VAR:KEY=TOLKFCZEZI&amp;VAR:QUERY=RkZfRUJJVERBX0lCKCdMVE1TJyw0MDIwNik=&amp;WINDOW=FIRST_POPUP&amp;HEIGHT=450&amp;WIDTH=450&amp;START_MA","XIMIZED=FALSE&amp;VAR:CALENDAR=US&amp;VAR:SYMBOL=G0129K10&amp;VAR:INDEX=0"}</definedName>
    <definedName name="_7336__FDSAUDITLINK__" localSheetId="6" hidden="1">{"fdsup://directions/FAT Viewer?action=UPDATE&amp;creator=factset&amp;DYN_ARGS=TRUE&amp;DOC_NAME=FAT:FQL_AUDITING_CLIENT_TEMPLATE.FAT&amp;display_string=Audit&amp;VAR:KEY=PYPYXOJIJM&amp;VAR:QUERY=RkZfRUJJVERBX0lCKCdMVE1TJyw0MDIwNSk=&amp;WINDOW=FIRST_POPUP&amp;HEIGHT=450&amp;WIDTH=450&amp;START_MA","XIMIZED=FALSE&amp;VAR:CALENDAR=US&amp;VAR:SYMBOL=G0129K10&amp;VAR:INDEX=0"}</definedName>
    <definedName name="_7336__FDSAUDITLINK__" hidden="1">{"fdsup://directions/FAT Viewer?action=UPDATE&amp;creator=factset&amp;DYN_ARGS=TRUE&amp;DOC_NAME=FAT:FQL_AUDITING_CLIENT_TEMPLATE.FAT&amp;display_string=Audit&amp;VAR:KEY=PYPYXOJIJM&amp;VAR:QUERY=RkZfRUJJVERBX0lCKCdMVE1TJyw0MDIwNSk=&amp;WINDOW=FIRST_POPUP&amp;HEIGHT=450&amp;WIDTH=450&amp;START_MA","XIMIZED=FALSE&amp;VAR:CALENDAR=US&amp;VAR:SYMBOL=G0129K10&amp;VAR:INDEX=0"}</definedName>
    <definedName name="_7337__FDSAUDITLINK__" localSheetId="6" hidden="1">{"fdsup://directions/FAT Viewer?action=UPDATE&amp;creator=factset&amp;DYN_ARGS=TRUE&amp;DOC_NAME=FAT:FQL_AUDITING_CLIENT_TEMPLATE.FAT&amp;display_string=Audit&amp;VAR:KEY=FSXMDMTGLA&amp;VAR:QUERY=RkZfRUJJVERBX0lCKCdMVE1TJyw0MDIwNCk=&amp;WINDOW=FIRST_POPUP&amp;HEIGHT=450&amp;WIDTH=450&amp;START_MA","XIMIZED=FALSE&amp;VAR:CALENDAR=US&amp;VAR:SYMBOL=G0129K10&amp;VAR:INDEX=0"}</definedName>
    <definedName name="_7337__FDSAUDITLINK__" hidden="1">{"fdsup://directions/FAT Viewer?action=UPDATE&amp;creator=factset&amp;DYN_ARGS=TRUE&amp;DOC_NAME=FAT:FQL_AUDITING_CLIENT_TEMPLATE.FAT&amp;display_string=Audit&amp;VAR:KEY=FSXMDMTGLA&amp;VAR:QUERY=RkZfRUJJVERBX0lCKCdMVE1TJyw0MDIwNCk=&amp;WINDOW=FIRST_POPUP&amp;HEIGHT=450&amp;WIDTH=450&amp;START_MA","XIMIZED=FALSE&amp;VAR:CALENDAR=US&amp;VAR:SYMBOL=G0129K10&amp;VAR:INDEX=0"}</definedName>
    <definedName name="_7338__FDSAUDITLINK__" localSheetId="6" hidden="1">{"fdsup://directions/FAT Viewer?action=UPDATE&amp;creator=factset&amp;DYN_ARGS=TRUE&amp;DOC_NAME=FAT:FQL_AUDITING_CLIENT_TEMPLATE.FAT&amp;display_string=Audit&amp;VAR:KEY=BSXGBAXKFS&amp;VAR:QUERY=RkZfRUJJVERBX0lCKCdMVE1TJyw0MDIwMyk=&amp;WINDOW=FIRST_POPUP&amp;HEIGHT=450&amp;WIDTH=450&amp;START_MA","XIMIZED=FALSE&amp;VAR:CALENDAR=US&amp;VAR:SYMBOL=G0129K10&amp;VAR:INDEX=0"}</definedName>
    <definedName name="_7338__FDSAUDITLINK__" hidden="1">{"fdsup://directions/FAT Viewer?action=UPDATE&amp;creator=factset&amp;DYN_ARGS=TRUE&amp;DOC_NAME=FAT:FQL_AUDITING_CLIENT_TEMPLATE.FAT&amp;display_string=Audit&amp;VAR:KEY=BSXGBAXKFS&amp;VAR:QUERY=RkZfRUJJVERBX0lCKCdMVE1TJyw0MDIwMyk=&amp;WINDOW=FIRST_POPUP&amp;HEIGHT=450&amp;WIDTH=450&amp;START_MA","XIMIZED=FALSE&amp;VAR:CALENDAR=US&amp;VAR:SYMBOL=G0129K10&amp;VAR:INDEX=0"}</definedName>
    <definedName name="_7339__FDSAUDITLINK__" localSheetId="6" hidden="1">{"fdsup://directions/FAT Viewer?action=UPDATE&amp;creator=factset&amp;DYN_ARGS=TRUE&amp;DOC_NAME=FAT:FQL_AUDITING_CLIENT_TEMPLATE.FAT&amp;display_string=Audit&amp;VAR:KEY=HEZUBGLQXG&amp;VAR:QUERY=RkZfRUJJVERBX0lCKCdMVE1TJyw0MDIwMik=&amp;WINDOW=FIRST_POPUP&amp;HEIGHT=450&amp;WIDTH=450&amp;START_MA","XIMIZED=FALSE&amp;VAR:CALENDAR=US&amp;VAR:SYMBOL=G0129K10&amp;VAR:INDEX=0"}</definedName>
    <definedName name="_7339__FDSAUDITLINK__" hidden="1">{"fdsup://directions/FAT Viewer?action=UPDATE&amp;creator=factset&amp;DYN_ARGS=TRUE&amp;DOC_NAME=FAT:FQL_AUDITING_CLIENT_TEMPLATE.FAT&amp;display_string=Audit&amp;VAR:KEY=HEZUBGLQXG&amp;VAR:QUERY=RkZfRUJJVERBX0lCKCdMVE1TJyw0MDIwMik=&amp;WINDOW=FIRST_POPUP&amp;HEIGHT=450&amp;WIDTH=450&amp;START_MA","XIMIZED=FALSE&amp;VAR:CALENDAR=US&amp;VAR:SYMBOL=G0129K10&amp;VAR:INDEX=0"}</definedName>
    <definedName name="_734__FDSAUDITLINK__" localSheetId="6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4__FDSAUDITLINK__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40__FDSAUDITLINK__" localSheetId="6" hidden="1">{"fdsup://directions/FAT Viewer?action=UPDATE&amp;creator=factset&amp;DYN_ARGS=TRUE&amp;DOC_NAME=FAT:FQL_AUDITING_CLIENT_TEMPLATE.FAT&amp;display_string=Audit&amp;VAR:KEY=FOJUJYNSRY&amp;VAR:QUERY=RkZfRUJJVERBX0lCKCdMVE1TJyw0MDIwMSk=&amp;WINDOW=FIRST_POPUP&amp;HEIGHT=450&amp;WIDTH=450&amp;START_MA","XIMIZED=FALSE&amp;VAR:CALENDAR=US&amp;VAR:SYMBOL=G0129K10&amp;VAR:INDEX=0"}</definedName>
    <definedName name="_7340__FDSAUDITLINK__" hidden="1">{"fdsup://directions/FAT Viewer?action=UPDATE&amp;creator=factset&amp;DYN_ARGS=TRUE&amp;DOC_NAME=FAT:FQL_AUDITING_CLIENT_TEMPLATE.FAT&amp;display_string=Audit&amp;VAR:KEY=FOJUJYNSRY&amp;VAR:QUERY=RkZfRUJJVERBX0lCKCdMVE1TJyw0MDIwMSk=&amp;WINDOW=FIRST_POPUP&amp;HEIGHT=450&amp;WIDTH=450&amp;START_MA","XIMIZED=FALSE&amp;VAR:CALENDAR=US&amp;VAR:SYMBOL=G0129K10&amp;VAR:INDEX=0"}</definedName>
    <definedName name="_7341__FDSAUDITLINK__" localSheetId="6" hidden="1">{"fdsup://directions/FAT Viewer?action=UPDATE&amp;creator=factset&amp;DYN_ARGS=TRUE&amp;DOC_NAME=FAT:FQL_AUDITING_CLIENT_TEMPLATE.FAT&amp;display_string=Audit&amp;VAR:KEY=RQRSZWZCXK&amp;VAR:QUERY=RkZfRUJJVERBX0lCKCdMVE1TJyw0MDIwMCk=&amp;WINDOW=FIRST_POPUP&amp;HEIGHT=450&amp;WIDTH=450&amp;START_MA","XIMIZED=FALSE&amp;VAR:CALENDAR=US&amp;VAR:SYMBOL=G0129K10&amp;VAR:INDEX=0"}</definedName>
    <definedName name="_7341__FDSAUDITLINK__" hidden="1">{"fdsup://directions/FAT Viewer?action=UPDATE&amp;creator=factset&amp;DYN_ARGS=TRUE&amp;DOC_NAME=FAT:FQL_AUDITING_CLIENT_TEMPLATE.FAT&amp;display_string=Audit&amp;VAR:KEY=RQRSZWZCXK&amp;VAR:QUERY=RkZfRUJJVERBX0lCKCdMVE1TJyw0MDIwMCk=&amp;WINDOW=FIRST_POPUP&amp;HEIGHT=450&amp;WIDTH=450&amp;START_MA","XIMIZED=FALSE&amp;VAR:CALENDAR=US&amp;VAR:SYMBOL=G0129K10&amp;VAR:INDEX=0"}</definedName>
    <definedName name="_7342__FDSAUDITLINK__" localSheetId="6" hidden="1">{"fdsup://directions/FAT Viewer?action=UPDATE&amp;creator=factset&amp;DYN_ARGS=TRUE&amp;DOC_NAME=FAT:FQL_AUDITING_CLIENT_TEMPLATE.FAT&amp;display_string=Audit&amp;VAR:KEY=HQZQDCJKJC&amp;VAR:QUERY=RkZfRUJJVERBX0lCKCdMVE1TJyw0MDE5OSk=&amp;WINDOW=FIRST_POPUP&amp;HEIGHT=450&amp;WIDTH=450&amp;START_MA","XIMIZED=FALSE&amp;VAR:CALENDAR=US&amp;VAR:SYMBOL=G0129K10&amp;VAR:INDEX=0"}</definedName>
    <definedName name="_7342__FDSAUDITLINK__" hidden="1">{"fdsup://directions/FAT Viewer?action=UPDATE&amp;creator=factset&amp;DYN_ARGS=TRUE&amp;DOC_NAME=FAT:FQL_AUDITING_CLIENT_TEMPLATE.FAT&amp;display_string=Audit&amp;VAR:KEY=HQZQDCJKJC&amp;VAR:QUERY=RkZfRUJJVERBX0lCKCdMVE1TJyw0MDE5OSk=&amp;WINDOW=FIRST_POPUP&amp;HEIGHT=450&amp;WIDTH=450&amp;START_MA","XIMIZED=FALSE&amp;VAR:CALENDAR=US&amp;VAR:SYMBOL=G0129K10&amp;VAR:INDEX=0"}</definedName>
    <definedName name="_7343__FDSAUDITLINK__" localSheetId="6" hidden="1">{"fdsup://directions/FAT Viewer?action=UPDATE&amp;creator=factset&amp;DYN_ARGS=TRUE&amp;DOC_NAME=FAT:FQL_AUDITING_CLIENT_TEMPLATE.FAT&amp;display_string=Audit&amp;VAR:KEY=DWHSZCLKVA&amp;VAR:QUERY=RkZfRUJJVERBX0lCKCdMVE1TJyw0MDE5OCk=&amp;WINDOW=FIRST_POPUP&amp;HEIGHT=450&amp;WIDTH=450&amp;START_MA","XIMIZED=FALSE&amp;VAR:CALENDAR=US&amp;VAR:SYMBOL=G0129K10&amp;VAR:INDEX=0"}</definedName>
    <definedName name="_7343__FDSAUDITLINK__" hidden="1">{"fdsup://directions/FAT Viewer?action=UPDATE&amp;creator=factset&amp;DYN_ARGS=TRUE&amp;DOC_NAME=FAT:FQL_AUDITING_CLIENT_TEMPLATE.FAT&amp;display_string=Audit&amp;VAR:KEY=DWHSZCLKVA&amp;VAR:QUERY=RkZfRUJJVERBX0lCKCdMVE1TJyw0MDE5OCk=&amp;WINDOW=FIRST_POPUP&amp;HEIGHT=450&amp;WIDTH=450&amp;START_MA","XIMIZED=FALSE&amp;VAR:CALENDAR=US&amp;VAR:SYMBOL=G0129K10&amp;VAR:INDEX=0"}</definedName>
    <definedName name="_7344__FDSAUDITLINK__" localSheetId="6" hidden="1">{"fdsup://directions/FAT Viewer?action=UPDATE&amp;creator=factset&amp;DYN_ARGS=TRUE&amp;DOC_NAME=FAT:FQL_AUDITING_CLIENT_TEMPLATE.FAT&amp;display_string=Audit&amp;VAR:KEY=TUTEBSRMXE&amp;VAR:QUERY=RkZfRUJJVERBX0lCKCdMVE1TJyw0MDE5Nyk=&amp;WINDOW=FIRST_POPUP&amp;HEIGHT=450&amp;WIDTH=450&amp;START_MA","XIMIZED=FALSE&amp;VAR:CALENDAR=US&amp;VAR:SYMBOL=G0129K10&amp;VAR:INDEX=0"}</definedName>
    <definedName name="_7344__FDSAUDITLINK__" hidden="1">{"fdsup://directions/FAT Viewer?action=UPDATE&amp;creator=factset&amp;DYN_ARGS=TRUE&amp;DOC_NAME=FAT:FQL_AUDITING_CLIENT_TEMPLATE.FAT&amp;display_string=Audit&amp;VAR:KEY=TUTEBSRMXE&amp;VAR:QUERY=RkZfRUJJVERBX0lCKCdMVE1TJyw0MDE5Nyk=&amp;WINDOW=FIRST_POPUP&amp;HEIGHT=450&amp;WIDTH=450&amp;START_MA","XIMIZED=FALSE&amp;VAR:CALENDAR=US&amp;VAR:SYMBOL=G0129K10&amp;VAR:INDEX=0"}</definedName>
    <definedName name="_7345__FDSAUDITLINK__" localSheetId="6" hidden="1">{"fdsup://directions/FAT Viewer?action=UPDATE&amp;creator=factset&amp;DYN_ARGS=TRUE&amp;DOC_NAME=FAT:FQL_AUDITING_CLIENT_TEMPLATE.FAT&amp;display_string=Audit&amp;VAR:KEY=DWVEZCHYDI&amp;VAR:QUERY=RkZfRUJJVERBX0lCKCdMVE1TJyw0MDE5Nik=&amp;WINDOW=FIRST_POPUP&amp;HEIGHT=450&amp;WIDTH=450&amp;START_MA","XIMIZED=FALSE&amp;VAR:CALENDAR=US&amp;VAR:SYMBOL=G0129K10&amp;VAR:INDEX=0"}</definedName>
    <definedName name="_7345__FDSAUDITLINK__" hidden="1">{"fdsup://directions/FAT Viewer?action=UPDATE&amp;creator=factset&amp;DYN_ARGS=TRUE&amp;DOC_NAME=FAT:FQL_AUDITING_CLIENT_TEMPLATE.FAT&amp;display_string=Audit&amp;VAR:KEY=DWVEZCHYDI&amp;VAR:QUERY=RkZfRUJJVERBX0lCKCdMVE1TJyw0MDE5Nik=&amp;WINDOW=FIRST_POPUP&amp;HEIGHT=450&amp;WIDTH=450&amp;START_MA","XIMIZED=FALSE&amp;VAR:CALENDAR=US&amp;VAR:SYMBOL=G0129K10&amp;VAR:INDEX=0"}</definedName>
    <definedName name="_7346__FDSAUDITLINK__" localSheetId="6" hidden="1">{"fdsup://directions/FAT Viewer?action=UPDATE&amp;creator=factset&amp;DYN_ARGS=TRUE&amp;DOC_NAME=FAT:FQL_AUDITING_CLIENT_TEMPLATE.FAT&amp;display_string=Audit&amp;VAR:KEY=BCJMDEBIFS&amp;VAR:QUERY=RkZfRUJJVERBX0lCKCdMVE1TJyw0MDE5NSk=&amp;WINDOW=FIRST_POPUP&amp;HEIGHT=450&amp;WIDTH=450&amp;START_MA","XIMIZED=FALSE&amp;VAR:CALENDAR=US&amp;VAR:SYMBOL=G0129K10&amp;VAR:INDEX=0"}</definedName>
    <definedName name="_7346__FDSAUDITLINK__" hidden="1">{"fdsup://directions/FAT Viewer?action=UPDATE&amp;creator=factset&amp;DYN_ARGS=TRUE&amp;DOC_NAME=FAT:FQL_AUDITING_CLIENT_TEMPLATE.FAT&amp;display_string=Audit&amp;VAR:KEY=BCJMDEBIFS&amp;VAR:QUERY=RkZfRUJJVERBX0lCKCdMVE1TJyw0MDE5NSk=&amp;WINDOW=FIRST_POPUP&amp;HEIGHT=450&amp;WIDTH=450&amp;START_MA","XIMIZED=FALSE&amp;VAR:CALENDAR=US&amp;VAR:SYMBOL=G0129K10&amp;VAR:INDEX=0"}</definedName>
    <definedName name="_7347__FDSAUDITLINK__" localSheetId="6" hidden="1">{"fdsup://directions/FAT Viewer?action=UPDATE&amp;creator=factset&amp;DYN_ARGS=TRUE&amp;DOC_NAME=FAT:FQL_AUDITING_CLIENT_TEMPLATE.FAT&amp;display_string=Audit&amp;VAR:KEY=VKNOLMTKDA&amp;VAR:QUERY=RkZfRUJJVERBX0lCKCdMVE1TJyw0MDE5NCk=&amp;WINDOW=FIRST_POPUP&amp;HEIGHT=450&amp;WIDTH=450&amp;START_MA","XIMIZED=FALSE&amp;VAR:CALENDAR=US&amp;VAR:SYMBOL=G0129K10&amp;VAR:INDEX=0"}</definedName>
    <definedName name="_7347__FDSAUDITLINK__" hidden="1">{"fdsup://directions/FAT Viewer?action=UPDATE&amp;creator=factset&amp;DYN_ARGS=TRUE&amp;DOC_NAME=FAT:FQL_AUDITING_CLIENT_TEMPLATE.FAT&amp;display_string=Audit&amp;VAR:KEY=VKNOLMTKDA&amp;VAR:QUERY=RkZfRUJJVERBX0lCKCdMVE1TJyw0MDE5NCk=&amp;WINDOW=FIRST_POPUP&amp;HEIGHT=450&amp;WIDTH=450&amp;START_MA","XIMIZED=FALSE&amp;VAR:CALENDAR=US&amp;VAR:SYMBOL=G0129K10&amp;VAR:INDEX=0"}</definedName>
    <definedName name="_7348__FDSAUDITLINK__" localSheetId="6" hidden="1">{"fdsup://directions/FAT Viewer?action=UPDATE&amp;creator=factset&amp;DYN_ARGS=TRUE&amp;DOC_NAME=FAT:FQL_AUDITING_CLIENT_TEMPLATE.FAT&amp;display_string=Audit&amp;VAR:KEY=JAFCBMDGLG&amp;VAR:QUERY=RkZfRUJJVERBX0lCKCdMVE1TJyw0MDE5Myk=&amp;WINDOW=FIRST_POPUP&amp;HEIGHT=450&amp;WIDTH=450&amp;START_MA","XIMIZED=FALSE&amp;VAR:CALENDAR=US&amp;VAR:SYMBOL=G0129K10&amp;VAR:INDEX=0"}</definedName>
    <definedName name="_7348__FDSAUDITLINK__" hidden="1">{"fdsup://directions/FAT Viewer?action=UPDATE&amp;creator=factset&amp;DYN_ARGS=TRUE&amp;DOC_NAME=FAT:FQL_AUDITING_CLIENT_TEMPLATE.FAT&amp;display_string=Audit&amp;VAR:KEY=JAFCBMDGLG&amp;VAR:QUERY=RkZfRUJJVERBX0lCKCdMVE1TJyw0MDE5Myk=&amp;WINDOW=FIRST_POPUP&amp;HEIGHT=450&amp;WIDTH=450&amp;START_MA","XIMIZED=FALSE&amp;VAR:CALENDAR=US&amp;VAR:SYMBOL=G0129K10&amp;VAR:INDEX=0"}</definedName>
    <definedName name="_7349__FDSAUDITLINK__" localSheetId="6" hidden="1">{"fdsup://directions/FAT Viewer?action=UPDATE&amp;creator=factset&amp;DYN_ARGS=TRUE&amp;DOC_NAME=FAT:FQL_AUDITING_CLIENT_TEMPLATE.FAT&amp;display_string=Audit&amp;VAR:KEY=TKLCPCDKPK&amp;VAR:QUERY=RkZfRUJJVERBX0lCKCdMVE1TJyw0MDE5Mik=&amp;WINDOW=FIRST_POPUP&amp;HEIGHT=450&amp;WIDTH=450&amp;START_MA","XIMIZED=FALSE&amp;VAR:CALENDAR=US&amp;VAR:SYMBOL=G0129K10&amp;VAR:INDEX=0"}</definedName>
    <definedName name="_7349__FDSAUDITLINK__" hidden="1">{"fdsup://directions/FAT Viewer?action=UPDATE&amp;creator=factset&amp;DYN_ARGS=TRUE&amp;DOC_NAME=FAT:FQL_AUDITING_CLIENT_TEMPLATE.FAT&amp;display_string=Audit&amp;VAR:KEY=TKLCPCDKPK&amp;VAR:QUERY=RkZfRUJJVERBX0lCKCdMVE1TJyw0MDE5Mik=&amp;WINDOW=FIRST_POPUP&amp;HEIGHT=450&amp;WIDTH=450&amp;START_MA","XIMIZED=FALSE&amp;VAR:CALENDAR=US&amp;VAR:SYMBOL=G0129K10&amp;VAR:INDEX=0"}</definedName>
    <definedName name="_735__FDSAUDITLINK__" localSheetId="6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5__FDSAUDITLINK__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50__FDSAUDITLINK__" localSheetId="6" hidden="1">{"fdsup://directions/FAT Viewer?action=UPDATE&amp;creator=factset&amp;DYN_ARGS=TRUE&amp;DOC_NAME=FAT:FQL_AUDITING_CLIENT_TEMPLATE.FAT&amp;display_string=Audit&amp;VAR:KEY=JUREXSVKXI&amp;VAR:QUERY=RkZfRUJJVERBX0lCKCdMVE1TJyw0MDE5MSk=&amp;WINDOW=FIRST_POPUP&amp;HEIGHT=450&amp;WIDTH=450&amp;START_MA","XIMIZED=FALSE&amp;VAR:CALENDAR=US&amp;VAR:SYMBOL=G0129K10&amp;VAR:INDEX=0"}</definedName>
    <definedName name="_7350__FDSAUDITLINK__" hidden="1">{"fdsup://directions/FAT Viewer?action=UPDATE&amp;creator=factset&amp;DYN_ARGS=TRUE&amp;DOC_NAME=FAT:FQL_AUDITING_CLIENT_TEMPLATE.FAT&amp;display_string=Audit&amp;VAR:KEY=JUREXSVKXI&amp;VAR:QUERY=RkZfRUJJVERBX0lCKCdMVE1TJyw0MDE5MSk=&amp;WINDOW=FIRST_POPUP&amp;HEIGHT=450&amp;WIDTH=450&amp;START_MA","XIMIZED=FALSE&amp;VAR:CALENDAR=US&amp;VAR:SYMBOL=G0129K10&amp;VAR:INDEX=0"}</definedName>
    <definedName name="_7351__FDSAUDITLINK__" localSheetId="6" hidden="1">{"fdsup://directions/FAT Viewer?action=UPDATE&amp;creator=factset&amp;DYN_ARGS=TRUE&amp;DOC_NAME=FAT:FQL_AUDITING_CLIENT_TEMPLATE.FAT&amp;display_string=Audit&amp;VAR:KEY=TCTEPYTKFW&amp;VAR:QUERY=RkZfRUJJVERBX0lCKCdMVE1TJyw0MDE5MCk=&amp;WINDOW=FIRST_POPUP&amp;HEIGHT=450&amp;WIDTH=450&amp;START_MA","XIMIZED=FALSE&amp;VAR:CALENDAR=US&amp;VAR:SYMBOL=G0129K10&amp;VAR:INDEX=0"}</definedName>
    <definedName name="_7351__FDSAUDITLINK__" hidden="1">{"fdsup://directions/FAT Viewer?action=UPDATE&amp;creator=factset&amp;DYN_ARGS=TRUE&amp;DOC_NAME=FAT:FQL_AUDITING_CLIENT_TEMPLATE.FAT&amp;display_string=Audit&amp;VAR:KEY=TCTEPYTKFW&amp;VAR:QUERY=RkZfRUJJVERBX0lCKCdMVE1TJyw0MDE5MCk=&amp;WINDOW=FIRST_POPUP&amp;HEIGHT=450&amp;WIDTH=450&amp;START_MA","XIMIZED=FALSE&amp;VAR:CALENDAR=US&amp;VAR:SYMBOL=G0129K10&amp;VAR:INDEX=0"}</definedName>
    <definedName name="_7352__FDSAUDITLINK__" localSheetId="6" hidden="1">{"fdsup://directions/FAT Viewer?action=UPDATE&amp;creator=factset&amp;DYN_ARGS=TRUE&amp;DOC_NAME=FAT:FQL_AUDITING_CLIENT_TEMPLATE.FAT&amp;display_string=Audit&amp;VAR:KEY=VWVQNGFMJW&amp;VAR:QUERY=RkZfRUJJVERBX0lCKCdMVE1TJyw0MDE4OSk=&amp;WINDOW=FIRST_POPUP&amp;HEIGHT=450&amp;WIDTH=450&amp;START_MA","XIMIZED=FALSE&amp;VAR:CALENDAR=US&amp;VAR:SYMBOL=G0129K10&amp;VAR:INDEX=0"}</definedName>
    <definedName name="_7352__FDSAUDITLINK__" hidden="1">{"fdsup://directions/FAT Viewer?action=UPDATE&amp;creator=factset&amp;DYN_ARGS=TRUE&amp;DOC_NAME=FAT:FQL_AUDITING_CLIENT_TEMPLATE.FAT&amp;display_string=Audit&amp;VAR:KEY=VWVQNGFMJW&amp;VAR:QUERY=RkZfRUJJVERBX0lCKCdMVE1TJyw0MDE4OSk=&amp;WINDOW=FIRST_POPUP&amp;HEIGHT=450&amp;WIDTH=450&amp;START_MA","XIMIZED=FALSE&amp;VAR:CALENDAR=US&amp;VAR:SYMBOL=G0129K10&amp;VAR:INDEX=0"}</definedName>
    <definedName name="_7353__FDSAUDITLINK__" localSheetId="6" hidden="1">{"fdsup://directions/FAT Viewer?action=UPDATE&amp;creator=factset&amp;DYN_ARGS=TRUE&amp;DOC_NAME=FAT:FQL_AUDITING_CLIENT_TEMPLATE.FAT&amp;display_string=Audit&amp;VAR:KEY=BUDMTEVSLE&amp;VAR:QUERY=RkZfRUJJVERBX0lCKCdMVE1TJyw0MDE4OCk=&amp;WINDOW=FIRST_POPUP&amp;HEIGHT=450&amp;WIDTH=450&amp;START_MA","XIMIZED=FALSE&amp;VAR:CALENDAR=US&amp;VAR:SYMBOL=G0129K10&amp;VAR:INDEX=0"}</definedName>
    <definedName name="_7353__FDSAUDITLINK__" hidden="1">{"fdsup://directions/FAT Viewer?action=UPDATE&amp;creator=factset&amp;DYN_ARGS=TRUE&amp;DOC_NAME=FAT:FQL_AUDITING_CLIENT_TEMPLATE.FAT&amp;display_string=Audit&amp;VAR:KEY=BUDMTEVSLE&amp;VAR:QUERY=RkZfRUJJVERBX0lCKCdMVE1TJyw0MDE4OCk=&amp;WINDOW=FIRST_POPUP&amp;HEIGHT=450&amp;WIDTH=450&amp;START_MA","XIMIZED=FALSE&amp;VAR:CALENDAR=US&amp;VAR:SYMBOL=G0129K10&amp;VAR:INDEX=0"}</definedName>
    <definedName name="_7354__FDSAUDITLINK__" localSheetId="6" hidden="1">{"fdsup://directions/FAT Viewer?action=UPDATE&amp;creator=factset&amp;DYN_ARGS=TRUE&amp;DOC_NAME=FAT:FQL_AUDITING_CLIENT_TEMPLATE.FAT&amp;display_string=Audit&amp;VAR:KEY=TYZQBYPGBY&amp;VAR:QUERY=RkZfRUJJVERBX0lCKCdMVE1TJyw0MDE4Nyk=&amp;WINDOW=FIRST_POPUP&amp;HEIGHT=450&amp;WIDTH=450&amp;START_MA","XIMIZED=FALSE&amp;VAR:CALENDAR=US&amp;VAR:SYMBOL=G0129K10&amp;VAR:INDEX=0"}</definedName>
    <definedName name="_7354__FDSAUDITLINK__" hidden="1">{"fdsup://directions/FAT Viewer?action=UPDATE&amp;creator=factset&amp;DYN_ARGS=TRUE&amp;DOC_NAME=FAT:FQL_AUDITING_CLIENT_TEMPLATE.FAT&amp;display_string=Audit&amp;VAR:KEY=TYZQBYPGBY&amp;VAR:QUERY=RkZfRUJJVERBX0lCKCdMVE1TJyw0MDE4Nyk=&amp;WINDOW=FIRST_POPUP&amp;HEIGHT=450&amp;WIDTH=450&amp;START_MA","XIMIZED=FALSE&amp;VAR:CALENDAR=US&amp;VAR:SYMBOL=G0129K10&amp;VAR:INDEX=0"}</definedName>
    <definedName name="_7355__FDSAUDITLINK__" localSheetId="6" hidden="1">{"fdsup://directions/FAT Viewer?action=UPDATE&amp;creator=factset&amp;DYN_ARGS=TRUE&amp;DOC_NAME=FAT:FQL_AUDITING_CLIENT_TEMPLATE.FAT&amp;display_string=Audit&amp;VAR:KEY=XQLCTOZQFS&amp;VAR:QUERY=RkZfRUJJVERBX0lCKCdMVE1TJyw0MDE4Nik=&amp;WINDOW=FIRST_POPUP&amp;HEIGHT=450&amp;WIDTH=450&amp;START_MA","XIMIZED=FALSE&amp;VAR:CALENDAR=US&amp;VAR:SYMBOL=G0129K10&amp;VAR:INDEX=0"}</definedName>
    <definedName name="_7355__FDSAUDITLINK__" hidden="1">{"fdsup://directions/FAT Viewer?action=UPDATE&amp;creator=factset&amp;DYN_ARGS=TRUE&amp;DOC_NAME=FAT:FQL_AUDITING_CLIENT_TEMPLATE.FAT&amp;display_string=Audit&amp;VAR:KEY=XQLCTOZQFS&amp;VAR:QUERY=RkZfRUJJVERBX0lCKCdMVE1TJyw0MDE4Nik=&amp;WINDOW=FIRST_POPUP&amp;HEIGHT=450&amp;WIDTH=450&amp;START_MA","XIMIZED=FALSE&amp;VAR:CALENDAR=US&amp;VAR:SYMBOL=G0129K10&amp;VAR:INDEX=0"}</definedName>
    <definedName name="_7356__FDSAUDITLINK__" localSheetId="6" hidden="1">{"fdsup://directions/FAT Viewer?action=UPDATE&amp;creator=factset&amp;DYN_ARGS=TRUE&amp;DOC_NAME=FAT:FQL_AUDITING_CLIENT_TEMPLATE.FAT&amp;display_string=Audit&amp;VAR:KEY=DSDAVCDIFE&amp;VAR:QUERY=RkZfRUJJVERBX0lCKCdMVE1TJyw0MDE4NSk=&amp;WINDOW=FIRST_POPUP&amp;HEIGHT=450&amp;WIDTH=450&amp;START_MA","XIMIZED=FALSE&amp;VAR:CALENDAR=US&amp;VAR:SYMBOL=G0129K10&amp;VAR:INDEX=0"}</definedName>
    <definedName name="_7356__FDSAUDITLINK__" hidden="1">{"fdsup://directions/FAT Viewer?action=UPDATE&amp;creator=factset&amp;DYN_ARGS=TRUE&amp;DOC_NAME=FAT:FQL_AUDITING_CLIENT_TEMPLATE.FAT&amp;display_string=Audit&amp;VAR:KEY=DSDAVCDIFE&amp;VAR:QUERY=RkZfRUJJVERBX0lCKCdMVE1TJyw0MDE4NSk=&amp;WINDOW=FIRST_POPUP&amp;HEIGHT=450&amp;WIDTH=450&amp;START_MA","XIMIZED=FALSE&amp;VAR:CALENDAR=US&amp;VAR:SYMBOL=G0129K10&amp;VAR:INDEX=0"}</definedName>
    <definedName name="_7357__FDSAUDITLINK__" localSheetId="6" hidden="1">{"fdsup://directions/FAT Viewer?action=UPDATE&amp;creator=factset&amp;DYN_ARGS=TRUE&amp;DOC_NAME=FAT:FQL_AUDITING_CLIENT_TEMPLATE.FAT&amp;display_string=Audit&amp;VAR:KEY=PENKXEXERE&amp;VAR:QUERY=RkZfRUJJVERBX0lCKCdMVE1TJyw0MDE4NCk=&amp;WINDOW=FIRST_POPUP&amp;HEIGHT=450&amp;WIDTH=450&amp;START_MA","XIMIZED=FALSE&amp;VAR:CALENDAR=US&amp;VAR:SYMBOL=G0129K10&amp;VAR:INDEX=0"}</definedName>
    <definedName name="_7357__FDSAUDITLINK__" hidden="1">{"fdsup://directions/FAT Viewer?action=UPDATE&amp;creator=factset&amp;DYN_ARGS=TRUE&amp;DOC_NAME=FAT:FQL_AUDITING_CLIENT_TEMPLATE.FAT&amp;display_string=Audit&amp;VAR:KEY=PENKXEXERE&amp;VAR:QUERY=RkZfRUJJVERBX0lCKCdMVE1TJyw0MDE4NCk=&amp;WINDOW=FIRST_POPUP&amp;HEIGHT=450&amp;WIDTH=450&amp;START_MA","XIMIZED=FALSE&amp;VAR:CALENDAR=US&amp;VAR:SYMBOL=G0129K10&amp;VAR:INDEX=0"}</definedName>
    <definedName name="_7358__FDSAUDITLINK__" localSheetId="6" hidden="1">{"fdsup://directions/FAT Viewer?action=UPDATE&amp;creator=factset&amp;DYN_ARGS=TRUE&amp;DOC_NAME=FAT:FQL_AUDITING_CLIENT_TEMPLATE.FAT&amp;display_string=Audit&amp;VAR:KEY=BINKFUDADE&amp;VAR:QUERY=RkZfRUJJVERBX0lCKCdMVE1TJyw0MDE4Myk=&amp;WINDOW=FIRST_POPUP&amp;HEIGHT=450&amp;WIDTH=450&amp;START_MA","XIMIZED=FALSE&amp;VAR:CALENDAR=US&amp;VAR:SYMBOL=G0129K10&amp;VAR:INDEX=0"}</definedName>
    <definedName name="_7358__FDSAUDITLINK__" hidden="1">{"fdsup://directions/FAT Viewer?action=UPDATE&amp;creator=factset&amp;DYN_ARGS=TRUE&amp;DOC_NAME=FAT:FQL_AUDITING_CLIENT_TEMPLATE.FAT&amp;display_string=Audit&amp;VAR:KEY=BINKFUDADE&amp;VAR:QUERY=RkZfRUJJVERBX0lCKCdMVE1TJyw0MDE4Myk=&amp;WINDOW=FIRST_POPUP&amp;HEIGHT=450&amp;WIDTH=450&amp;START_MA","XIMIZED=FALSE&amp;VAR:CALENDAR=US&amp;VAR:SYMBOL=G0129K10&amp;VAR:INDEX=0"}</definedName>
    <definedName name="_7359__FDSAUDITLINK__" localSheetId="6" hidden="1">{"fdsup://directions/FAT Viewer?action=UPDATE&amp;creator=factset&amp;DYN_ARGS=TRUE&amp;DOC_NAME=FAT:FQL_AUDITING_CLIENT_TEMPLATE.FAT&amp;display_string=Audit&amp;VAR:KEY=XIHKZYNAFQ&amp;VAR:QUERY=RkZfRUJJVERBX0lCKCdMVE1TJyw0MDE4Mik=&amp;WINDOW=FIRST_POPUP&amp;HEIGHT=450&amp;WIDTH=450&amp;START_MA","XIMIZED=FALSE&amp;VAR:CALENDAR=US&amp;VAR:SYMBOL=G0129K10&amp;VAR:INDEX=0"}</definedName>
    <definedName name="_7359__FDSAUDITLINK__" hidden="1">{"fdsup://directions/FAT Viewer?action=UPDATE&amp;creator=factset&amp;DYN_ARGS=TRUE&amp;DOC_NAME=FAT:FQL_AUDITING_CLIENT_TEMPLATE.FAT&amp;display_string=Audit&amp;VAR:KEY=XIHKZYNAFQ&amp;VAR:QUERY=RkZfRUJJVERBX0lCKCdMVE1TJyw0MDE4Mik=&amp;WINDOW=FIRST_POPUP&amp;HEIGHT=450&amp;WIDTH=450&amp;START_MA","XIMIZED=FALSE&amp;VAR:CALENDAR=US&amp;VAR:SYMBOL=G0129K10&amp;VAR:INDEX=0"}</definedName>
    <definedName name="_736__FDSAUDITLINK__" localSheetId="6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6__FDSAUDITLINK__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60__FDSAUDITLINK__" localSheetId="6" hidden="1">{"fdsup://directions/FAT Viewer?action=UPDATE&amp;creator=factset&amp;DYN_ARGS=TRUE&amp;DOC_NAME=FAT:FQL_AUDITING_CLIENT_TEMPLATE.FAT&amp;display_string=Audit&amp;VAR:KEY=VGBGBMTCFM&amp;VAR:QUERY=RkZfRUJJVERBX0lCKCdMVE1TJyw0MDE4MSk=&amp;WINDOW=FIRST_POPUP&amp;HEIGHT=450&amp;WIDTH=450&amp;START_MA","XIMIZED=FALSE&amp;VAR:CALENDAR=US&amp;VAR:SYMBOL=G0129K10&amp;VAR:INDEX=0"}</definedName>
    <definedName name="_7360__FDSAUDITLINK__" hidden="1">{"fdsup://directions/FAT Viewer?action=UPDATE&amp;creator=factset&amp;DYN_ARGS=TRUE&amp;DOC_NAME=FAT:FQL_AUDITING_CLIENT_TEMPLATE.FAT&amp;display_string=Audit&amp;VAR:KEY=VGBGBMTCFM&amp;VAR:QUERY=RkZfRUJJVERBX0lCKCdMVE1TJyw0MDE4MSk=&amp;WINDOW=FIRST_POPUP&amp;HEIGHT=450&amp;WIDTH=450&amp;START_MA","XIMIZED=FALSE&amp;VAR:CALENDAR=US&amp;VAR:SYMBOL=G0129K10&amp;VAR:INDEX=0"}</definedName>
    <definedName name="_7361__FDSAUDITLINK__" localSheetId="6" hidden="1">{"fdsup://directions/FAT Viewer?action=UPDATE&amp;creator=factset&amp;DYN_ARGS=TRUE&amp;DOC_NAME=FAT:FQL_AUDITING_CLIENT_TEMPLATE.FAT&amp;display_string=Audit&amp;VAR:KEY=XCTSZUNMTC&amp;VAR:QUERY=RkZfRUJJVERBX0lCKCdMVE1TJyw0MDE4MCk=&amp;WINDOW=FIRST_POPUP&amp;HEIGHT=450&amp;WIDTH=450&amp;START_MA","XIMIZED=FALSE&amp;VAR:CALENDAR=US&amp;VAR:SYMBOL=G0129K10&amp;VAR:INDEX=0"}</definedName>
    <definedName name="_7361__FDSAUDITLINK__" hidden="1">{"fdsup://directions/FAT Viewer?action=UPDATE&amp;creator=factset&amp;DYN_ARGS=TRUE&amp;DOC_NAME=FAT:FQL_AUDITING_CLIENT_TEMPLATE.FAT&amp;display_string=Audit&amp;VAR:KEY=XCTSZUNMTC&amp;VAR:QUERY=RkZfRUJJVERBX0lCKCdMVE1TJyw0MDE4MCk=&amp;WINDOW=FIRST_POPUP&amp;HEIGHT=450&amp;WIDTH=450&amp;START_MA","XIMIZED=FALSE&amp;VAR:CALENDAR=US&amp;VAR:SYMBOL=G0129K10&amp;VAR:INDEX=0"}</definedName>
    <definedName name="_7362__FDSAUDITLINK__" localSheetId="6" hidden="1">{"fdsup://directions/FAT Viewer?action=UPDATE&amp;creator=factset&amp;DYN_ARGS=TRUE&amp;DOC_NAME=FAT:FQL_AUDITING_CLIENT_TEMPLATE.FAT&amp;display_string=Audit&amp;VAR:KEY=XCZODUTYTM&amp;VAR:QUERY=RkZfRUJJVERBX0lCKCdMVE1TJyw0MDE3OSk=&amp;WINDOW=FIRST_POPUP&amp;HEIGHT=450&amp;WIDTH=450&amp;START_MA","XIMIZED=FALSE&amp;VAR:CALENDAR=US&amp;VAR:SYMBOL=G0129K10&amp;VAR:INDEX=0"}</definedName>
    <definedName name="_7362__FDSAUDITLINK__" hidden="1">{"fdsup://directions/FAT Viewer?action=UPDATE&amp;creator=factset&amp;DYN_ARGS=TRUE&amp;DOC_NAME=FAT:FQL_AUDITING_CLIENT_TEMPLATE.FAT&amp;display_string=Audit&amp;VAR:KEY=XCZODUTYTM&amp;VAR:QUERY=RkZfRUJJVERBX0lCKCdMVE1TJyw0MDE3OSk=&amp;WINDOW=FIRST_POPUP&amp;HEIGHT=450&amp;WIDTH=450&amp;START_MA","XIMIZED=FALSE&amp;VAR:CALENDAR=US&amp;VAR:SYMBOL=G0129K10&amp;VAR:INDEX=0"}</definedName>
    <definedName name="_7363__FDSAUDITLINK__" localSheetId="6" hidden="1">{"fdsup://directions/FAT Viewer?action=UPDATE&amp;creator=factset&amp;DYN_ARGS=TRUE&amp;DOC_NAME=FAT:FQL_AUDITING_CLIENT_TEMPLATE.FAT&amp;display_string=Audit&amp;VAR:KEY=FIPUHMDOFO&amp;VAR:QUERY=RkZfRUJJVERBX0lCKCdMVE1TJyw0MDE3OCk=&amp;WINDOW=FIRST_POPUP&amp;HEIGHT=450&amp;WIDTH=450&amp;START_MA","XIMIZED=FALSE&amp;VAR:CALENDAR=US&amp;VAR:SYMBOL=G0129K10&amp;VAR:INDEX=0"}</definedName>
    <definedName name="_7363__FDSAUDITLINK__" hidden="1">{"fdsup://directions/FAT Viewer?action=UPDATE&amp;creator=factset&amp;DYN_ARGS=TRUE&amp;DOC_NAME=FAT:FQL_AUDITING_CLIENT_TEMPLATE.FAT&amp;display_string=Audit&amp;VAR:KEY=FIPUHMDOFO&amp;VAR:QUERY=RkZfRUJJVERBX0lCKCdMVE1TJyw0MDE3OCk=&amp;WINDOW=FIRST_POPUP&amp;HEIGHT=450&amp;WIDTH=450&amp;START_MA","XIMIZED=FALSE&amp;VAR:CALENDAR=US&amp;VAR:SYMBOL=G0129K10&amp;VAR:INDEX=0"}</definedName>
    <definedName name="_7364__FDSAUDITLINK__" localSheetId="6" hidden="1">{"fdsup://directions/FAT Viewer?action=UPDATE&amp;creator=factset&amp;DYN_ARGS=TRUE&amp;DOC_NAME=FAT:FQL_AUDITING_CLIENT_TEMPLATE.FAT&amp;display_string=Audit&amp;VAR:KEY=RSDYFQZGZG&amp;VAR:QUERY=RkZfRUJJVERBX0lCKCdMVE1TJyw0MDE3Nyk=&amp;WINDOW=FIRST_POPUP&amp;HEIGHT=450&amp;WIDTH=450&amp;START_MA","XIMIZED=FALSE&amp;VAR:CALENDAR=US&amp;VAR:SYMBOL=G0129K10&amp;VAR:INDEX=0"}</definedName>
    <definedName name="_7364__FDSAUDITLINK__" hidden="1">{"fdsup://directions/FAT Viewer?action=UPDATE&amp;creator=factset&amp;DYN_ARGS=TRUE&amp;DOC_NAME=FAT:FQL_AUDITING_CLIENT_TEMPLATE.FAT&amp;display_string=Audit&amp;VAR:KEY=RSDYFQZGZG&amp;VAR:QUERY=RkZfRUJJVERBX0lCKCdMVE1TJyw0MDE3Nyk=&amp;WINDOW=FIRST_POPUP&amp;HEIGHT=450&amp;WIDTH=450&amp;START_MA","XIMIZED=FALSE&amp;VAR:CALENDAR=US&amp;VAR:SYMBOL=G0129K10&amp;VAR:INDEX=0"}</definedName>
    <definedName name="_7365__FDSAUDITLINK__" localSheetId="6" hidden="1">{"fdsup://directions/FAT Viewer?action=UPDATE&amp;creator=factset&amp;DYN_ARGS=TRUE&amp;DOC_NAME=FAT:FQL_AUDITING_CLIENT_TEMPLATE.FAT&amp;display_string=Audit&amp;VAR:KEY=NINUPULCJG&amp;VAR:QUERY=RkZfRUJJVERBX0lCKCdMVE1TJyw0MDE3Nik=&amp;WINDOW=FIRST_POPUP&amp;HEIGHT=450&amp;WIDTH=450&amp;START_MA","XIMIZED=FALSE&amp;VAR:CALENDAR=US&amp;VAR:SYMBOL=G0129K10&amp;VAR:INDEX=0"}</definedName>
    <definedName name="_7365__FDSAUDITLINK__" hidden="1">{"fdsup://directions/FAT Viewer?action=UPDATE&amp;creator=factset&amp;DYN_ARGS=TRUE&amp;DOC_NAME=FAT:FQL_AUDITING_CLIENT_TEMPLATE.FAT&amp;display_string=Audit&amp;VAR:KEY=NINUPULCJG&amp;VAR:QUERY=RkZfRUJJVERBX0lCKCdMVE1TJyw0MDE3Nik=&amp;WINDOW=FIRST_POPUP&amp;HEIGHT=450&amp;WIDTH=450&amp;START_MA","XIMIZED=FALSE&amp;VAR:CALENDAR=US&amp;VAR:SYMBOL=G0129K10&amp;VAR:INDEX=0"}</definedName>
    <definedName name="_7366__FDSAUDITLINK__" localSheetId="6" hidden="1">{"fdsup://directions/FAT Viewer?action=UPDATE&amp;creator=factset&amp;DYN_ARGS=TRUE&amp;DOC_NAME=FAT:FQL_AUDITING_CLIENT_TEMPLATE.FAT&amp;display_string=Audit&amp;VAR:KEY=NWRAHWBSNQ&amp;VAR:QUERY=RkZfRUJJVERBX0lCKCdMVE1TJyw0MDE3NSk=&amp;WINDOW=FIRST_POPUP&amp;HEIGHT=450&amp;WIDTH=450&amp;START_MA","XIMIZED=FALSE&amp;VAR:CALENDAR=US&amp;VAR:SYMBOL=G0129K10&amp;VAR:INDEX=0"}</definedName>
    <definedName name="_7366__FDSAUDITLINK__" hidden="1">{"fdsup://directions/FAT Viewer?action=UPDATE&amp;creator=factset&amp;DYN_ARGS=TRUE&amp;DOC_NAME=FAT:FQL_AUDITING_CLIENT_TEMPLATE.FAT&amp;display_string=Audit&amp;VAR:KEY=NWRAHWBSNQ&amp;VAR:QUERY=RkZfRUJJVERBX0lCKCdMVE1TJyw0MDE3NSk=&amp;WINDOW=FIRST_POPUP&amp;HEIGHT=450&amp;WIDTH=450&amp;START_MA","XIMIZED=FALSE&amp;VAR:CALENDAR=US&amp;VAR:SYMBOL=G0129K10&amp;VAR:INDEX=0"}</definedName>
    <definedName name="_7367__FDSAUDITLINK__" localSheetId="6" hidden="1">{"fdsup://directions/FAT Viewer?action=UPDATE&amp;creator=factset&amp;DYN_ARGS=TRUE&amp;DOC_NAME=FAT:FQL_AUDITING_CLIENT_TEMPLATE.FAT&amp;display_string=Audit&amp;VAR:KEY=XUFATMPOFI&amp;VAR:QUERY=RkZfRUJJVERBX0lCKCdMVE1TJyw0MDE3NCk=&amp;WINDOW=FIRST_POPUP&amp;HEIGHT=450&amp;WIDTH=450&amp;START_MA","XIMIZED=FALSE&amp;VAR:CALENDAR=US&amp;VAR:SYMBOL=G0129K10&amp;VAR:INDEX=0"}</definedName>
    <definedName name="_7367__FDSAUDITLINK__" hidden="1">{"fdsup://directions/FAT Viewer?action=UPDATE&amp;creator=factset&amp;DYN_ARGS=TRUE&amp;DOC_NAME=FAT:FQL_AUDITING_CLIENT_TEMPLATE.FAT&amp;display_string=Audit&amp;VAR:KEY=XUFATMPOFI&amp;VAR:QUERY=RkZfRUJJVERBX0lCKCdMVE1TJyw0MDE3NCk=&amp;WINDOW=FIRST_POPUP&amp;HEIGHT=450&amp;WIDTH=450&amp;START_MA","XIMIZED=FALSE&amp;VAR:CALENDAR=US&amp;VAR:SYMBOL=G0129K10&amp;VAR:INDEX=0"}</definedName>
    <definedName name="_7368__FDSAUDITLINK__" localSheetId="6" hidden="1">{"fdsup://directions/FAT Viewer?action=UPDATE&amp;creator=factset&amp;DYN_ARGS=TRUE&amp;DOC_NAME=FAT:FQL_AUDITING_CLIENT_TEMPLATE.FAT&amp;display_string=Audit&amp;VAR:KEY=ZGJWPQZMXO&amp;VAR:QUERY=RkZfRUJJVERBX0lCKCdMVE1TJyw0MDE3Myk=&amp;WINDOW=FIRST_POPUP&amp;HEIGHT=450&amp;WIDTH=450&amp;START_MA","XIMIZED=FALSE&amp;VAR:CALENDAR=US&amp;VAR:SYMBOL=G0129K10&amp;VAR:INDEX=0"}</definedName>
    <definedName name="_7368__FDSAUDITLINK__" hidden="1">{"fdsup://directions/FAT Viewer?action=UPDATE&amp;creator=factset&amp;DYN_ARGS=TRUE&amp;DOC_NAME=FAT:FQL_AUDITING_CLIENT_TEMPLATE.FAT&amp;display_string=Audit&amp;VAR:KEY=ZGJWPQZMXO&amp;VAR:QUERY=RkZfRUJJVERBX0lCKCdMVE1TJyw0MDE3Myk=&amp;WINDOW=FIRST_POPUP&amp;HEIGHT=450&amp;WIDTH=450&amp;START_MA","XIMIZED=FALSE&amp;VAR:CALENDAR=US&amp;VAR:SYMBOL=G0129K10&amp;VAR:INDEX=0"}</definedName>
    <definedName name="_7369__FDSAUDITLINK__" localSheetId="6" hidden="1">{"fdsup://directions/FAT Viewer?action=UPDATE&amp;creator=factset&amp;DYN_ARGS=TRUE&amp;DOC_NAME=FAT:FQL_AUDITING_CLIENT_TEMPLATE.FAT&amp;display_string=Audit&amp;VAR:KEY=JYJITUVEBY&amp;VAR:QUERY=RkZfRUJJVERBX0lCKCdMVE1TJyw0MDE3Mik=&amp;WINDOW=FIRST_POPUP&amp;HEIGHT=450&amp;WIDTH=450&amp;START_MA","XIMIZED=FALSE&amp;VAR:CALENDAR=US&amp;VAR:SYMBOL=G0129K10&amp;VAR:INDEX=0"}</definedName>
    <definedName name="_7369__FDSAUDITLINK__" hidden="1">{"fdsup://directions/FAT Viewer?action=UPDATE&amp;creator=factset&amp;DYN_ARGS=TRUE&amp;DOC_NAME=FAT:FQL_AUDITING_CLIENT_TEMPLATE.FAT&amp;display_string=Audit&amp;VAR:KEY=JYJITUVEBY&amp;VAR:QUERY=RkZfRUJJVERBX0lCKCdMVE1TJyw0MDE3Mik=&amp;WINDOW=FIRST_POPUP&amp;HEIGHT=450&amp;WIDTH=450&amp;START_MA","XIMIZED=FALSE&amp;VAR:CALENDAR=US&amp;VAR:SYMBOL=G0129K10&amp;VAR:INDEX=0"}</definedName>
    <definedName name="_737__FDSAUDITLINK__" localSheetId="6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7__FDSAUDITLINK__" hidden="1">{"fdsup://directions/FAT%20Viewer?VAR:PED=LTM&amp;VAR:AUDIT_MODE=SUMMARY&amp;VAR:PERIOD=FIXED&amp;VAR:AUDIT_ID=00000117&amp;VAR:DATE=20080215&amp;action=UPDATE&amp;creator=factset&amp;DOC_NAME=FAT:FMA_audit_SUMMARY.fat&amp;DISPLAY_STRING=Display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70__FDSAUDITLINK__" localSheetId="6" hidden="1">{"fdsup://directions/FAT Viewer?action=UPDATE&amp;creator=factset&amp;DYN_ARGS=TRUE&amp;DOC_NAME=FAT:FQL_AUDITING_CLIENT_TEMPLATE.FAT&amp;display_string=Audit&amp;VAR:KEY=LUXGFOLCLG&amp;VAR:QUERY=RkZfRUJJVERBX0lCKCdMVE1TJyw0MDE3MSk=&amp;WINDOW=FIRST_POPUP&amp;HEIGHT=450&amp;WIDTH=450&amp;START_MA","XIMIZED=FALSE&amp;VAR:CALENDAR=US&amp;VAR:SYMBOL=G0129K10&amp;VAR:INDEX=0"}</definedName>
    <definedName name="_7370__FDSAUDITLINK__" hidden="1">{"fdsup://directions/FAT Viewer?action=UPDATE&amp;creator=factset&amp;DYN_ARGS=TRUE&amp;DOC_NAME=FAT:FQL_AUDITING_CLIENT_TEMPLATE.FAT&amp;display_string=Audit&amp;VAR:KEY=LUXGFOLCLG&amp;VAR:QUERY=RkZfRUJJVERBX0lCKCdMVE1TJyw0MDE3MSk=&amp;WINDOW=FIRST_POPUP&amp;HEIGHT=450&amp;WIDTH=450&amp;START_MA","XIMIZED=FALSE&amp;VAR:CALENDAR=US&amp;VAR:SYMBOL=G0129K10&amp;VAR:INDEX=0"}</definedName>
    <definedName name="_7371__FDSAUDITLINK__" localSheetId="6" hidden="1">{"fdsup://directions/FAT Viewer?action=UPDATE&amp;creator=factset&amp;DYN_ARGS=TRUE&amp;DOC_NAME=FAT:FQL_AUDITING_CLIENT_TEMPLATE.FAT&amp;display_string=Audit&amp;VAR:KEY=VYBUPARMLQ&amp;VAR:QUERY=RkZfRUJJVERBX0lCKCdMVE1TJyw0MDE3MCk=&amp;WINDOW=FIRST_POPUP&amp;HEIGHT=450&amp;WIDTH=450&amp;START_MA","XIMIZED=FALSE&amp;VAR:CALENDAR=US&amp;VAR:SYMBOL=G0129K10&amp;VAR:INDEX=0"}</definedName>
    <definedName name="_7371__FDSAUDITLINK__" hidden="1">{"fdsup://directions/FAT Viewer?action=UPDATE&amp;creator=factset&amp;DYN_ARGS=TRUE&amp;DOC_NAME=FAT:FQL_AUDITING_CLIENT_TEMPLATE.FAT&amp;display_string=Audit&amp;VAR:KEY=VYBUPARMLQ&amp;VAR:QUERY=RkZfRUJJVERBX0lCKCdMVE1TJyw0MDE3MCk=&amp;WINDOW=FIRST_POPUP&amp;HEIGHT=450&amp;WIDTH=450&amp;START_MA","XIMIZED=FALSE&amp;VAR:CALENDAR=US&amp;VAR:SYMBOL=G0129K10&amp;VAR:INDEX=0"}</definedName>
    <definedName name="_7372__FDSAUDITLINK__" localSheetId="6" hidden="1">{"fdsup://directions/FAT Viewer?action=UPDATE&amp;creator=factset&amp;DYN_ARGS=TRUE&amp;DOC_NAME=FAT:FQL_AUDITING_CLIENT_TEMPLATE.FAT&amp;display_string=Audit&amp;VAR:KEY=HWRILGTKDM&amp;VAR:QUERY=RkZfRUJJVERBX0lCKCdMVE1TJyw0MDE2OSk=&amp;WINDOW=FIRST_POPUP&amp;HEIGHT=450&amp;WIDTH=450&amp;START_MA","XIMIZED=FALSE&amp;VAR:CALENDAR=US&amp;VAR:SYMBOL=G0129K10&amp;VAR:INDEX=0"}</definedName>
    <definedName name="_7372__FDSAUDITLINK__" hidden="1">{"fdsup://directions/FAT Viewer?action=UPDATE&amp;creator=factset&amp;DYN_ARGS=TRUE&amp;DOC_NAME=FAT:FQL_AUDITING_CLIENT_TEMPLATE.FAT&amp;display_string=Audit&amp;VAR:KEY=HWRILGTKDM&amp;VAR:QUERY=RkZfRUJJVERBX0lCKCdMVE1TJyw0MDE2OSk=&amp;WINDOW=FIRST_POPUP&amp;HEIGHT=450&amp;WIDTH=450&amp;START_MA","XIMIZED=FALSE&amp;VAR:CALENDAR=US&amp;VAR:SYMBOL=G0129K10&amp;VAR:INDEX=0"}</definedName>
    <definedName name="_7373__FDSAUDITLINK__" localSheetId="6" hidden="1">{"fdsup://directions/FAT Viewer?action=UPDATE&amp;creator=factset&amp;DYN_ARGS=TRUE&amp;DOC_NAME=FAT:FQL_AUDITING_CLIENT_TEMPLATE.FAT&amp;display_string=Audit&amp;VAR:KEY=NMVUXGVQHQ&amp;VAR:QUERY=RkZfRUJJVERBX0lCKCdMVE1TJyw0MDE2OCk=&amp;WINDOW=FIRST_POPUP&amp;HEIGHT=450&amp;WIDTH=450&amp;START_MA","XIMIZED=FALSE&amp;VAR:CALENDAR=US&amp;VAR:SYMBOL=G0129K10&amp;VAR:INDEX=0"}</definedName>
    <definedName name="_7373__FDSAUDITLINK__" hidden="1">{"fdsup://directions/FAT Viewer?action=UPDATE&amp;creator=factset&amp;DYN_ARGS=TRUE&amp;DOC_NAME=FAT:FQL_AUDITING_CLIENT_TEMPLATE.FAT&amp;display_string=Audit&amp;VAR:KEY=NMVUXGVQHQ&amp;VAR:QUERY=RkZfRUJJVERBX0lCKCdMVE1TJyw0MDE2OCk=&amp;WINDOW=FIRST_POPUP&amp;HEIGHT=450&amp;WIDTH=450&amp;START_MA","XIMIZED=FALSE&amp;VAR:CALENDAR=US&amp;VAR:SYMBOL=G0129K10&amp;VAR:INDEX=0"}</definedName>
    <definedName name="_7374__FDSAUDITLINK__" localSheetId="6" hidden="1">{"fdsup://directions/FAT Viewer?action=UPDATE&amp;creator=factset&amp;DYN_ARGS=TRUE&amp;DOC_NAME=FAT:FQL_AUDITING_CLIENT_TEMPLATE.FAT&amp;display_string=Audit&amp;VAR:KEY=BUFOZCPEPG&amp;VAR:QUERY=RkZfRUJJVERBX0lCKCdMVE1TJyw0MDE2Nyk=&amp;WINDOW=FIRST_POPUP&amp;HEIGHT=450&amp;WIDTH=450&amp;START_MA","XIMIZED=FALSE&amp;VAR:CALENDAR=US&amp;VAR:SYMBOL=G0129K10&amp;VAR:INDEX=0"}</definedName>
    <definedName name="_7374__FDSAUDITLINK__" hidden="1">{"fdsup://directions/FAT Viewer?action=UPDATE&amp;creator=factset&amp;DYN_ARGS=TRUE&amp;DOC_NAME=FAT:FQL_AUDITING_CLIENT_TEMPLATE.FAT&amp;display_string=Audit&amp;VAR:KEY=BUFOZCPEPG&amp;VAR:QUERY=RkZfRUJJVERBX0lCKCdMVE1TJyw0MDE2Nyk=&amp;WINDOW=FIRST_POPUP&amp;HEIGHT=450&amp;WIDTH=450&amp;START_MA","XIMIZED=FALSE&amp;VAR:CALENDAR=US&amp;VAR:SYMBOL=G0129K10&amp;VAR:INDEX=0"}</definedName>
    <definedName name="_7375__FDSAUDITLINK__" localSheetId="6" hidden="1">{"fdsup://directions/FAT Viewer?action=UPDATE&amp;creator=factset&amp;DYN_ARGS=TRUE&amp;DOC_NAME=FAT:FQL_AUDITING_CLIENT_TEMPLATE.FAT&amp;display_string=Audit&amp;VAR:KEY=FWHUDUTANU&amp;VAR:QUERY=RkZfRUJJVERBX0lCKCdMVE1TJyw0MDE2Nik=&amp;WINDOW=FIRST_POPUP&amp;HEIGHT=450&amp;WIDTH=450&amp;START_MA","XIMIZED=FALSE&amp;VAR:CALENDAR=US&amp;VAR:SYMBOL=G0129K10&amp;VAR:INDEX=0"}</definedName>
    <definedName name="_7375__FDSAUDITLINK__" hidden="1">{"fdsup://directions/FAT Viewer?action=UPDATE&amp;creator=factset&amp;DYN_ARGS=TRUE&amp;DOC_NAME=FAT:FQL_AUDITING_CLIENT_TEMPLATE.FAT&amp;display_string=Audit&amp;VAR:KEY=FWHUDUTANU&amp;VAR:QUERY=RkZfRUJJVERBX0lCKCdMVE1TJyw0MDE2Nik=&amp;WINDOW=FIRST_POPUP&amp;HEIGHT=450&amp;WIDTH=450&amp;START_MA","XIMIZED=FALSE&amp;VAR:CALENDAR=US&amp;VAR:SYMBOL=G0129K10&amp;VAR:INDEX=0"}</definedName>
    <definedName name="_7376__FDSAUDITLINK__" localSheetId="6" hidden="1">{"fdsup://directions/FAT Viewer?action=UPDATE&amp;creator=factset&amp;DYN_ARGS=TRUE&amp;DOC_NAME=FAT:FQL_AUDITING_CLIENT_TEMPLATE.FAT&amp;display_string=Audit&amp;VAR:KEY=BOPODMRWVM&amp;VAR:QUERY=RkZfRUJJVERBX0lCKCdMVE1TJyw0MDE2NSk=&amp;WINDOW=FIRST_POPUP&amp;HEIGHT=450&amp;WIDTH=450&amp;START_MA","XIMIZED=FALSE&amp;VAR:CALENDAR=US&amp;VAR:SYMBOL=G0129K10&amp;VAR:INDEX=0"}</definedName>
    <definedName name="_7376__FDSAUDITLINK__" hidden="1">{"fdsup://directions/FAT Viewer?action=UPDATE&amp;creator=factset&amp;DYN_ARGS=TRUE&amp;DOC_NAME=FAT:FQL_AUDITING_CLIENT_TEMPLATE.FAT&amp;display_string=Audit&amp;VAR:KEY=BOPODMRWVM&amp;VAR:QUERY=RkZfRUJJVERBX0lCKCdMVE1TJyw0MDE2NSk=&amp;WINDOW=FIRST_POPUP&amp;HEIGHT=450&amp;WIDTH=450&amp;START_MA","XIMIZED=FALSE&amp;VAR:CALENDAR=US&amp;VAR:SYMBOL=G0129K10&amp;VAR:INDEX=0"}</definedName>
    <definedName name="_7377__FDSAUDITLINK__" localSheetId="6" hidden="1">{"fdsup://directions/FAT Viewer?action=UPDATE&amp;creator=factset&amp;DYN_ARGS=TRUE&amp;DOC_NAME=FAT:FQL_AUDITING_CLIENT_TEMPLATE.FAT&amp;display_string=Audit&amp;VAR:KEY=NOZSXIJSHQ&amp;VAR:QUERY=RkZfRUJJVERBX0lCKCdMVE1TJyw0MDE2NCk=&amp;WINDOW=FIRST_POPUP&amp;HEIGHT=450&amp;WIDTH=450&amp;START_MA","XIMIZED=FALSE&amp;VAR:CALENDAR=US&amp;VAR:SYMBOL=G0129K10&amp;VAR:INDEX=0"}</definedName>
    <definedName name="_7377__FDSAUDITLINK__" hidden="1">{"fdsup://directions/FAT Viewer?action=UPDATE&amp;creator=factset&amp;DYN_ARGS=TRUE&amp;DOC_NAME=FAT:FQL_AUDITING_CLIENT_TEMPLATE.FAT&amp;display_string=Audit&amp;VAR:KEY=NOZSXIJSHQ&amp;VAR:QUERY=RkZfRUJJVERBX0lCKCdMVE1TJyw0MDE2NCk=&amp;WINDOW=FIRST_POPUP&amp;HEIGHT=450&amp;WIDTH=450&amp;START_MA","XIMIZED=FALSE&amp;VAR:CALENDAR=US&amp;VAR:SYMBOL=G0129K10&amp;VAR:INDEX=0"}</definedName>
    <definedName name="_7378__FDSAUDITLINK__" localSheetId="6" hidden="1">{"fdsup://directions/FAT Viewer?action=UPDATE&amp;creator=factset&amp;DYN_ARGS=TRUE&amp;DOC_NAME=FAT:FQL_AUDITING_CLIENT_TEMPLATE.FAT&amp;display_string=Audit&amp;VAR:KEY=PKTIRCVQZY&amp;VAR:QUERY=RkZfRUJJVERBX0lCKCdMVE1TJyw0MDE2Myk=&amp;WINDOW=FIRST_POPUP&amp;HEIGHT=450&amp;WIDTH=450&amp;START_MA","XIMIZED=FALSE&amp;VAR:CALENDAR=US&amp;VAR:SYMBOL=G0129K10&amp;VAR:INDEX=0"}</definedName>
    <definedName name="_7378__FDSAUDITLINK__" hidden="1">{"fdsup://directions/FAT Viewer?action=UPDATE&amp;creator=factset&amp;DYN_ARGS=TRUE&amp;DOC_NAME=FAT:FQL_AUDITING_CLIENT_TEMPLATE.FAT&amp;display_string=Audit&amp;VAR:KEY=PKTIRCVQZY&amp;VAR:QUERY=RkZfRUJJVERBX0lCKCdMVE1TJyw0MDE2Myk=&amp;WINDOW=FIRST_POPUP&amp;HEIGHT=450&amp;WIDTH=450&amp;START_MA","XIMIZED=FALSE&amp;VAR:CALENDAR=US&amp;VAR:SYMBOL=G0129K10&amp;VAR:INDEX=0"}</definedName>
    <definedName name="_7379__FDSAUDITLINK__" localSheetId="6" hidden="1">{"fdsup://directions/FAT Viewer?action=UPDATE&amp;creator=factset&amp;DYN_ARGS=TRUE&amp;DOC_NAME=FAT:FQL_AUDITING_CLIENT_TEMPLATE.FAT&amp;display_string=Audit&amp;VAR:KEY=XEHONSVQPG&amp;VAR:QUERY=RkZfRUJJVERBX0lCKCdMVE1TJyw0MDE2Mik=&amp;WINDOW=FIRST_POPUP&amp;HEIGHT=450&amp;WIDTH=450&amp;START_MA","XIMIZED=FALSE&amp;VAR:CALENDAR=US&amp;VAR:SYMBOL=G0129K10&amp;VAR:INDEX=0"}</definedName>
    <definedName name="_7379__FDSAUDITLINK__" hidden="1">{"fdsup://directions/FAT Viewer?action=UPDATE&amp;creator=factset&amp;DYN_ARGS=TRUE&amp;DOC_NAME=FAT:FQL_AUDITING_CLIENT_TEMPLATE.FAT&amp;display_string=Audit&amp;VAR:KEY=XEHONSVQPG&amp;VAR:QUERY=RkZfRUJJVERBX0lCKCdMVE1TJyw0MDE2Mik=&amp;WINDOW=FIRST_POPUP&amp;HEIGHT=450&amp;WIDTH=450&amp;START_MA","XIMIZED=FALSE&amp;VAR:CALENDAR=US&amp;VAR:SYMBOL=G0129K10&amp;VAR:INDEX=0"}</definedName>
    <definedName name="_738__FDSAUDITLINK__" localSheetId="6" hidden="1">{"fdsup://directions/FAT%20Viewer?VAR:PED=LTM&amp;VAR:AUDIT_MODE=SUMMARY&amp;VAR:PERIOD=FIXED&amp;VAR:AUDIT_ID=00000117&amp;VAR:DATE=20080214&amp;action=UPDATE&amp;creator=factset&amp;DOC_NAME=FAT:FMA_audit_SUMMARY.fat&amp;DISPLAY_STRING=Display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8__FDSAUDITLINK__" hidden="1">{"fdsup://directions/FAT%20Viewer?VAR:PED=LTM&amp;VAR:AUDIT_MODE=SUMMARY&amp;VAR:PERIOD=FIXED&amp;VAR:AUDIT_ID=00000117&amp;VAR:DATE=20080214&amp;action=UPDATE&amp;creator=factset&amp;DOC_NAME=FAT:FMA_audit_SUMMARY.fat&amp;DISPLAY_STRING=Display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80__FDSAUDITLINK__" localSheetId="6" hidden="1">{"fdsup://directions/FAT Viewer?action=UPDATE&amp;creator=factset&amp;DYN_ARGS=TRUE&amp;DOC_NAME=FAT:FQL_AUDITING_CLIENT_TEMPLATE.FAT&amp;display_string=Audit&amp;VAR:KEY=HWBSVIFQZU&amp;VAR:QUERY=RkZfRUJJVERBX0lCKCdMVE1TJyw0MDE2MSk=&amp;WINDOW=FIRST_POPUP&amp;HEIGHT=450&amp;WIDTH=450&amp;START_MA","XIMIZED=FALSE&amp;VAR:CALENDAR=US&amp;VAR:SYMBOL=G0129K10&amp;VAR:INDEX=0"}</definedName>
    <definedName name="_7380__FDSAUDITLINK__" hidden="1">{"fdsup://directions/FAT Viewer?action=UPDATE&amp;creator=factset&amp;DYN_ARGS=TRUE&amp;DOC_NAME=FAT:FQL_AUDITING_CLIENT_TEMPLATE.FAT&amp;display_string=Audit&amp;VAR:KEY=HWBSVIFQZU&amp;VAR:QUERY=RkZfRUJJVERBX0lCKCdMVE1TJyw0MDE2MSk=&amp;WINDOW=FIRST_POPUP&amp;HEIGHT=450&amp;WIDTH=450&amp;START_MA","XIMIZED=FALSE&amp;VAR:CALENDAR=US&amp;VAR:SYMBOL=G0129K10&amp;VAR:INDEX=0"}</definedName>
    <definedName name="_7381__FDSAUDITLINK__" localSheetId="6" hidden="1">{"fdsup://directions/FAT Viewer?action=UPDATE&amp;creator=factset&amp;DYN_ARGS=TRUE&amp;DOC_NAME=FAT:FQL_AUDITING_CLIENT_TEMPLATE.FAT&amp;display_string=Audit&amp;VAR:KEY=NQJIHGFIRM&amp;VAR:QUERY=RkZfRUJJVERBX0lCKCdMVE1TJyw0MDE2MCk=&amp;WINDOW=FIRST_POPUP&amp;HEIGHT=450&amp;WIDTH=450&amp;START_MA","XIMIZED=FALSE&amp;VAR:CALENDAR=US&amp;VAR:SYMBOL=G0129K10&amp;VAR:INDEX=0"}</definedName>
    <definedName name="_7381__FDSAUDITLINK__" hidden="1">{"fdsup://directions/FAT Viewer?action=UPDATE&amp;creator=factset&amp;DYN_ARGS=TRUE&amp;DOC_NAME=FAT:FQL_AUDITING_CLIENT_TEMPLATE.FAT&amp;display_string=Audit&amp;VAR:KEY=NQJIHGFIRM&amp;VAR:QUERY=RkZfRUJJVERBX0lCKCdMVE1TJyw0MDE2MCk=&amp;WINDOW=FIRST_POPUP&amp;HEIGHT=450&amp;WIDTH=450&amp;START_MA","XIMIZED=FALSE&amp;VAR:CALENDAR=US&amp;VAR:SYMBOL=G0129K10&amp;VAR:INDEX=0"}</definedName>
    <definedName name="_7382__FDSAUDITLINK__" localSheetId="6" hidden="1">{"fdsup://directions/FAT Viewer?action=UPDATE&amp;creator=factset&amp;DYN_ARGS=TRUE&amp;DOC_NAME=FAT:FQL_AUDITING_CLIENT_TEMPLATE.FAT&amp;display_string=Audit&amp;VAR:KEY=JGRGZKZSXK&amp;VAR:QUERY=RkZfRUJJVERBX0lCKCdMVE1TJyw0MDE1OSk=&amp;WINDOW=FIRST_POPUP&amp;HEIGHT=450&amp;WIDTH=450&amp;START_MA","XIMIZED=FALSE&amp;VAR:CALENDAR=US&amp;VAR:SYMBOL=G0129K10&amp;VAR:INDEX=0"}</definedName>
    <definedName name="_7382__FDSAUDITLINK__" hidden="1">{"fdsup://directions/FAT Viewer?action=UPDATE&amp;creator=factset&amp;DYN_ARGS=TRUE&amp;DOC_NAME=FAT:FQL_AUDITING_CLIENT_TEMPLATE.FAT&amp;display_string=Audit&amp;VAR:KEY=JGRGZKZSXK&amp;VAR:QUERY=RkZfRUJJVERBX0lCKCdMVE1TJyw0MDE1OSk=&amp;WINDOW=FIRST_POPUP&amp;HEIGHT=450&amp;WIDTH=450&amp;START_MA","XIMIZED=FALSE&amp;VAR:CALENDAR=US&amp;VAR:SYMBOL=G0129K10&amp;VAR:INDEX=0"}</definedName>
    <definedName name="_7383__FDSAUDITLINK__" localSheetId="6" hidden="1">{"fdsup://directions/FAT Viewer?action=UPDATE&amp;creator=factset&amp;DYN_ARGS=TRUE&amp;DOC_NAME=FAT:FQL_AUDITING_CLIENT_TEMPLATE.FAT&amp;display_string=Audit&amp;VAR:KEY=RWTGNOJOVA&amp;VAR:QUERY=RkZfRUJJVERBX0lCKCdMVE1TJyw0MDE1OCk=&amp;WINDOW=FIRST_POPUP&amp;HEIGHT=450&amp;WIDTH=450&amp;START_MA","XIMIZED=FALSE&amp;VAR:CALENDAR=US&amp;VAR:SYMBOL=G0129K10&amp;VAR:INDEX=0"}</definedName>
    <definedName name="_7383__FDSAUDITLINK__" hidden="1">{"fdsup://directions/FAT Viewer?action=UPDATE&amp;creator=factset&amp;DYN_ARGS=TRUE&amp;DOC_NAME=FAT:FQL_AUDITING_CLIENT_TEMPLATE.FAT&amp;display_string=Audit&amp;VAR:KEY=RWTGNOJOVA&amp;VAR:QUERY=RkZfRUJJVERBX0lCKCdMVE1TJyw0MDE1OCk=&amp;WINDOW=FIRST_POPUP&amp;HEIGHT=450&amp;WIDTH=450&amp;START_MA","XIMIZED=FALSE&amp;VAR:CALENDAR=US&amp;VAR:SYMBOL=G0129K10&amp;VAR:INDEX=0"}</definedName>
    <definedName name="_7384__FDSAUDITLINK__" localSheetId="6" hidden="1">{"fdsup://directions/FAT Viewer?action=UPDATE&amp;creator=factset&amp;DYN_ARGS=TRUE&amp;DOC_NAME=FAT:FQL_AUDITING_CLIENT_TEMPLATE.FAT&amp;display_string=Audit&amp;VAR:KEY=TWBGZODULC&amp;VAR:QUERY=RkZfRUJJVERBX0lCKCdMVE1TJyw0MDE1Nyk=&amp;WINDOW=FIRST_POPUP&amp;HEIGHT=450&amp;WIDTH=450&amp;START_MA","XIMIZED=FALSE&amp;VAR:CALENDAR=US&amp;VAR:SYMBOL=G0129K10&amp;VAR:INDEX=0"}</definedName>
    <definedName name="_7384__FDSAUDITLINK__" hidden="1">{"fdsup://directions/FAT Viewer?action=UPDATE&amp;creator=factset&amp;DYN_ARGS=TRUE&amp;DOC_NAME=FAT:FQL_AUDITING_CLIENT_TEMPLATE.FAT&amp;display_string=Audit&amp;VAR:KEY=TWBGZODULC&amp;VAR:QUERY=RkZfRUJJVERBX0lCKCdMVE1TJyw0MDE1Nyk=&amp;WINDOW=FIRST_POPUP&amp;HEIGHT=450&amp;WIDTH=450&amp;START_MA","XIMIZED=FALSE&amp;VAR:CALENDAR=US&amp;VAR:SYMBOL=G0129K10&amp;VAR:INDEX=0"}</definedName>
    <definedName name="_7385__FDSAUDITLINK__" localSheetId="6" hidden="1">{"fdsup://directions/FAT Viewer?action=UPDATE&amp;creator=factset&amp;DYN_ARGS=TRUE&amp;DOC_NAME=FAT:FQL_AUDITING_CLIENT_TEMPLATE.FAT&amp;display_string=Audit&amp;VAR:KEY=XMVEVCZUTM&amp;VAR:QUERY=RkZfRUJJVERBX0lCKCdMVE1TJyw0MDE1Nik=&amp;WINDOW=FIRST_POPUP&amp;HEIGHT=450&amp;WIDTH=450&amp;START_MA","XIMIZED=FALSE&amp;VAR:CALENDAR=US&amp;VAR:SYMBOL=G0129K10&amp;VAR:INDEX=0"}</definedName>
    <definedName name="_7385__FDSAUDITLINK__" hidden="1">{"fdsup://directions/FAT Viewer?action=UPDATE&amp;creator=factset&amp;DYN_ARGS=TRUE&amp;DOC_NAME=FAT:FQL_AUDITING_CLIENT_TEMPLATE.FAT&amp;display_string=Audit&amp;VAR:KEY=XMVEVCZUTM&amp;VAR:QUERY=RkZfRUJJVERBX0lCKCdMVE1TJyw0MDE1Nik=&amp;WINDOW=FIRST_POPUP&amp;HEIGHT=450&amp;WIDTH=450&amp;START_MA","XIMIZED=FALSE&amp;VAR:CALENDAR=US&amp;VAR:SYMBOL=G0129K10&amp;VAR:INDEX=0"}</definedName>
    <definedName name="_7386__FDSAUDITLINK__" localSheetId="6" hidden="1">{"fdsup://directions/FAT Viewer?action=UPDATE&amp;creator=factset&amp;DYN_ARGS=TRUE&amp;DOC_NAME=FAT:FQL_AUDITING_CLIENT_TEMPLATE.FAT&amp;display_string=Audit&amp;VAR:KEY=NITELOTAZM&amp;VAR:QUERY=RkZfRUJJVERBX0lCKCdMVE1TJyw0MDE1NSk=&amp;WINDOW=FIRST_POPUP&amp;HEIGHT=450&amp;WIDTH=450&amp;START_MA","XIMIZED=FALSE&amp;VAR:CALENDAR=US&amp;VAR:SYMBOL=G0129K10&amp;VAR:INDEX=0"}</definedName>
    <definedName name="_7386__FDSAUDITLINK__" hidden="1">{"fdsup://directions/FAT Viewer?action=UPDATE&amp;creator=factset&amp;DYN_ARGS=TRUE&amp;DOC_NAME=FAT:FQL_AUDITING_CLIENT_TEMPLATE.FAT&amp;display_string=Audit&amp;VAR:KEY=NITELOTAZM&amp;VAR:QUERY=RkZfRUJJVERBX0lCKCdMVE1TJyw0MDE1NSk=&amp;WINDOW=FIRST_POPUP&amp;HEIGHT=450&amp;WIDTH=450&amp;START_MA","XIMIZED=FALSE&amp;VAR:CALENDAR=US&amp;VAR:SYMBOL=G0129K10&amp;VAR:INDEX=0"}</definedName>
    <definedName name="_7387__FDSAUDITLINK__" localSheetId="6" hidden="1">{"fdsup://directions/FAT Viewer?action=UPDATE&amp;creator=factset&amp;DYN_ARGS=TRUE&amp;DOC_NAME=FAT:FQL_AUDITING_CLIENT_TEMPLATE.FAT&amp;display_string=Audit&amp;VAR:KEY=TMNAZOHYLG&amp;VAR:QUERY=RkZfRUJJVERBX0lCKCdMVE1TJyw0MDE1NCk=&amp;WINDOW=FIRST_POPUP&amp;HEIGHT=450&amp;WIDTH=450&amp;START_MA","XIMIZED=FALSE&amp;VAR:CALENDAR=US&amp;VAR:SYMBOL=G0129K10&amp;VAR:INDEX=0"}</definedName>
    <definedName name="_7387__FDSAUDITLINK__" hidden="1">{"fdsup://directions/FAT Viewer?action=UPDATE&amp;creator=factset&amp;DYN_ARGS=TRUE&amp;DOC_NAME=FAT:FQL_AUDITING_CLIENT_TEMPLATE.FAT&amp;display_string=Audit&amp;VAR:KEY=TMNAZOHYLG&amp;VAR:QUERY=RkZfRUJJVERBX0lCKCdMVE1TJyw0MDE1NCk=&amp;WINDOW=FIRST_POPUP&amp;HEIGHT=450&amp;WIDTH=450&amp;START_MA","XIMIZED=FALSE&amp;VAR:CALENDAR=US&amp;VAR:SYMBOL=G0129K10&amp;VAR:INDEX=0"}</definedName>
    <definedName name="_7388__FDSAUDITLINK__" localSheetId="6" hidden="1">{"fdsup://directions/FAT Viewer?action=UPDATE&amp;creator=factset&amp;DYN_ARGS=TRUE&amp;DOC_NAME=FAT:FQL_AUDITING_CLIENT_TEMPLATE.FAT&amp;display_string=Audit&amp;VAR:KEY=VUJKDGNOHE&amp;VAR:QUERY=RkZfRUJJVERBX0lCKCdMVE1TJyw0MDE1Myk=&amp;WINDOW=FIRST_POPUP&amp;HEIGHT=450&amp;WIDTH=450&amp;START_MA","XIMIZED=FALSE&amp;VAR:CALENDAR=US&amp;VAR:SYMBOL=G0129K10&amp;VAR:INDEX=0"}</definedName>
    <definedName name="_7388__FDSAUDITLINK__" hidden="1">{"fdsup://directions/FAT Viewer?action=UPDATE&amp;creator=factset&amp;DYN_ARGS=TRUE&amp;DOC_NAME=FAT:FQL_AUDITING_CLIENT_TEMPLATE.FAT&amp;display_string=Audit&amp;VAR:KEY=VUJKDGNOHE&amp;VAR:QUERY=RkZfRUJJVERBX0lCKCdMVE1TJyw0MDE1Myk=&amp;WINDOW=FIRST_POPUP&amp;HEIGHT=450&amp;WIDTH=450&amp;START_MA","XIMIZED=FALSE&amp;VAR:CALENDAR=US&amp;VAR:SYMBOL=G0129K10&amp;VAR:INDEX=0"}</definedName>
    <definedName name="_7389__FDSAUDITLINK__" localSheetId="6" hidden="1">{"fdsup://directions/FAT Viewer?action=UPDATE&amp;creator=factset&amp;DYN_ARGS=TRUE&amp;DOC_NAME=FAT:FQL_AUDITING_CLIENT_TEMPLATE.FAT&amp;display_string=Audit&amp;VAR:KEY=TURQNYJEPY&amp;VAR:QUERY=RkZfRUJJVERBX0lCKCdMVE1TJyw0MDE1Mik=&amp;WINDOW=FIRST_POPUP&amp;HEIGHT=450&amp;WIDTH=450&amp;START_MA","XIMIZED=FALSE&amp;VAR:CALENDAR=US&amp;VAR:SYMBOL=G0129K10&amp;VAR:INDEX=0"}</definedName>
    <definedName name="_7389__FDSAUDITLINK__" hidden="1">{"fdsup://directions/FAT Viewer?action=UPDATE&amp;creator=factset&amp;DYN_ARGS=TRUE&amp;DOC_NAME=FAT:FQL_AUDITING_CLIENT_TEMPLATE.FAT&amp;display_string=Audit&amp;VAR:KEY=TURQNYJEPY&amp;VAR:QUERY=RkZfRUJJVERBX0lCKCdMVE1TJyw0MDE1Mik=&amp;WINDOW=FIRST_POPUP&amp;HEIGHT=450&amp;WIDTH=450&amp;START_MA","XIMIZED=FALSE&amp;VAR:CALENDAR=US&amp;VAR:SYMBOL=G0129K10&amp;VAR:INDEX=0"}</definedName>
    <definedName name="_739__FDSAUDITLINK__" localSheetId="6" hidden="1">{"fdsup://directions/FAT%20Viewer?VAR:PED=LTM&amp;VAR:AUDIT_MODE=SUMMARY&amp;VAR:PERIOD=FIXED&amp;VAR:AUDIT_ID=00000117&amp;VAR:DATE=20080213&amp;action=UPDATE&amp;creator=factset&amp;DOC_NAME=FAT:FMA_audit_SUMMARY.fat&amp;DISPLAY_STRING=Display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9__FDSAUDITLINK__" hidden="1">{"fdsup://directions/FAT%20Viewer?VAR:PED=LTM&amp;VAR:AUDIT_MODE=SUMMARY&amp;VAR:PERIOD=FIXED&amp;VAR:AUDIT_ID=00000117&amp;VAR:DATE=20080213&amp;action=UPDATE&amp;creator=factset&amp;DOC_NAME=FAT:FMA_audit_SUMMARY.fat&amp;DISPLAY_STRING=Display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390__FDSAUDITLINK__" localSheetId="6" hidden="1">{"fdsup://directions/FAT Viewer?action=UPDATE&amp;creator=factset&amp;DYN_ARGS=TRUE&amp;DOC_NAME=FAT:FQL_AUDITING_CLIENT_TEMPLATE.FAT&amp;display_string=Audit&amp;VAR:KEY=JWFANGNSBO&amp;VAR:QUERY=RkZfRUJJVERBX0lCKCdMVE1TJyw0MDE1MSk=&amp;WINDOW=FIRST_POPUP&amp;HEIGHT=450&amp;WIDTH=450&amp;START_MA","XIMIZED=FALSE&amp;VAR:CALENDAR=US&amp;VAR:SYMBOL=G0129K10&amp;VAR:INDEX=0"}</definedName>
    <definedName name="_7390__FDSAUDITLINK__" hidden="1">{"fdsup://directions/FAT Viewer?action=UPDATE&amp;creator=factset&amp;DYN_ARGS=TRUE&amp;DOC_NAME=FAT:FQL_AUDITING_CLIENT_TEMPLATE.FAT&amp;display_string=Audit&amp;VAR:KEY=JWFANGNSBO&amp;VAR:QUERY=RkZfRUJJVERBX0lCKCdMVE1TJyw0MDE1MSk=&amp;WINDOW=FIRST_POPUP&amp;HEIGHT=450&amp;WIDTH=450&amp;START_MA","XIMIZED=FALSE&amp;VAR:CALENDAR=US&amp;VAR:SYMBOL=G0129K10&amp;VAR:INDEX=0"}</definedName>
    <definedName name="_7391__FDSAUDITLINK__" localSheetId="6" hidden="1">{"fdsup://directions/FAT Viewer?action=UPDATE&amp;creator=factset&amp;DYN_ARGS=TRUE&amp;DOC_NAME=FAT:FQL_AUDITING_CLIENT_TEMPLATE.FAT&amp;display_string=Audit&amp;VAR:KEY=LUBSZGRQFK&amp;VAR:QUERY=RkZfRUJJVERBX0lCKCdMVE1TJyw0MDE1MCk=&amp;WINDOW=FIRST_POPUP&amp;HEIGHT=450&amp;WIDTH=450&amp;START_MA","XIMIZED=FALSE&amp;VAR:CALENDAR=US&amp;VAR:SYMBOL=G0129K10&amp;VAR:INDEX=0"}</definedName>
    <definedName name="_7391__FDSAUDITLINK__" hidden="1">{"fdsup://directions/FAT Viewer?action=UPDATE&amp;creator=factset&amp;DYN_ARGS=TRUE&amp;DOC_NAME=FAT:FQL_AUDITING_CLIENT_TEMPLATE.FAT&amp;display_string=Audit&amp;VAR:KEY=LUBSZGRQFK&amp;VAR:QUERY=RkZfRUJJVERBX0lCKCdMVE1TJyw0MDE1MCk=&amp;WINDOW=FIRST_POPUP&amp;HEIGHT=450&amp;WIDTH=450&amp;START_MA","XIMIZED=FALSE&amp;VAR:CALENDAR=US&amp;VAR:SYMBOL=G0129K10&amp;VAR:INDEX=0"}</definedName>
    <definedName name="_7392__FDSAUDITLINK__" localSheetId="6" hidden="1">{"fdsup://directions/FAT Viewer?action=UPDATE&amp;creator=factset&amp;DYN_ARGS=TRUE&amp;DOC_NAME=FAT:FQL_AUDITING_CLIENT_TEMPLATE.FAT&amp;display_string=Audit&amp;VAR:KEY=BCVOZWJURU&amp;VAR:QUERY=RkZfRUJJVERBX0lCKCdMVE1TJyw0MDE0OSk=&amp;WINDOW=FIRST_POPUP&amp;HEIGHT=450&amp;WIDTH=450&amp;START_MA","XIMIZED=FALSE&amp;VAR:CALENDAR=US&amp;VAR:SYMBOL=G0129K10&amp;VAR:INDEX=0"}</definedName>
    <definedName name="_7392__FDSAUDITLINK__" hidden="1">{"fdsup://directions/FAT Viewer?action=UPDATE&amp;creator=factset&amp;DYN_ARGS=TRUE&amp;DOC_NAME=FAT:FQL_AUDITING_CLIENT_TEMPLATE.FAT&amp;display_string=Audit&amp;VAR:KEY=BCVOZWJURU&amp;VAR:QUERY=RkZfRUJJVERBX0lCKCdMVE1TJyw0MDE0OSk=&amp;WINDOW=FIRST_POPUP&amp;HEIGHT=450&amp;WIDTH=450&amp;START_MA","XIMIZED=FALSE&amp;VAR:CALENDAR=US&amp;VAR:SYMBOL=G0129K10&amp;VAR:INDEX=0"}</definedName>
    <definedName name="_7393__FDSAUDITLINK__" localSheetId="6" hidden="1">{"fdsup://directions/FAT Viewer?action=UPDATE&amp;creator=factset&amp;DYN_ARGS=TRUE&amp;DOC_NAME=FAT:FQL_AUDITING_CLIENT_TEMPLATE.FAT&amp;display_string=Audit&amp;VAR:KEY=FIJOBCHUNO&amp;VAR:QUERY=RkZfRUJJVERBX0lCKCdMVE1TJyw0MDE0OCk=&amp;WINDOW=FIRST_POPUP&amp;HEIGHT=450&amp;WIDTH=450&amp;START_MA","XIMIZED=FALSE&amp;VAR:CALENDAR=US&amp;VAR:SYMBOL=G0129K10&amp;VAR:INDEX=0"}</definedName>
    <definedName name="_7393__FDSAUDITLINK__" hidden="1">{"fdsup://directions/FAT Viewer?action=UPDATE&amp;creator=factset&amp;DYN_ARGS=TRUE&amp;DOC_NAME=FAT:FQL_AUDITING_CLIENT_TEMPLATE.FAT&amp;display_string=Audit&amp;VAR:KEY=FIJOBCHUNO&amp;VAR:QUERY=RkZfRUJJVERBX0lCKCdMVE1TJyw0MDE0OCk=&amp;WINDOW=FIRST_POPUP&amp;HEIGHT=450&amp;WIDTH=450&amp;START_MA","XIMIZED=FALSE&amp;VAR:CALENDAR=US&amp;VAR:SYMBOL=G0129K10&amp;VAR:INDEX=0"}</definedName>
    <definedName name="_7394__FDSAUDITLINK__" localSheetId="6" hidden="1">{"fdsup://directions/FAT Viewer?action=UPDATE&amp;creator=factset&amp;DYN_ARGS=TRUE&amp;DOC_NAME=FAT:FQL_AUDITING_CLIENT_TEMPLATE.FAT&amp;display_string=Audit&amp;VAR:KEY=HCHQFUZWRM&amp;VAR:QUERY=RkZfRUJJVERBX0lCKCdMVE1TJyw0MDE0Nyk=&amp;WINDOW=FIRST_POPUP&amp;HEIGHT=450&amp;WIDTH=450&amp;START_MA","XIMIZED=FALSE&amp;VAR:CALENDAR=US&amp;VAR:SYMBOL=G0129K10&amp;VAR:INDEX=0"}</definedName>
    <definedName name="_7394__FDSAUDITLINK__" hidden="1">{"fdsup://directions/FAT Viewer?action=UPDATE&amp;creator=factset&amp;DYN_ARGS=TRUE&amp;DOC_NAME=FAT:FQL_AUDITING_CLIENT_TEMPLATE.FAT&amp;display_string=Audit&amp;VAR:KEY=HCHQFUZWRM&amp;VAR:QUERY=RkZfRUJJVERBX0lCKCdMVE1TJyw0MDE0Nyk=&amp;WINDOW=FIRST_POPUP&amp;HEIGHT=450&amp;WIDTH=450&amp;START_MA","XIMIZED=FALSE&amp;VAR:CALENDAR=US&amp;VAR:SYMBOL=G0129K10&amp;VAR:INDEX=0"}</definedName>
    <definedName name="_7395__FDSAUDITLINK__" localSheetId="6" hidden="1">{"fdsup://directions/FAT Viewer?action=UPDATE&amp;creator=factset&amp;DYN_ARGS=TRUE&amp;DOC_NAME=FAT:FQL_AUDITING_CLIENT_TEMPLATE.FAT&amp;display_string=Audit&amp;VAR:KEY=DAJCTEZCZI&amp;VAR:QUERY=RkZfRUJJVERBX0lCKCdMVE1TJyw0MDE0Nik=&amp;WINDOW=FIRST_POPUP&amp;HEIGHT=450&amp;WIDTH=450&amp;START_MA","XIMIZED=FALSE&amp;VAR:CALENDAR=US&amp;VAR:SYMBOL=G0129K10&amp;VAR:INDEX=0"}</definedName>
    <definedName name="_7395__FDSAUDITLINK__" hidden="1">{"fdsup://directions/FAT Viewer?action=UPDATE&amp;creator=factset&amp;DYN_ARGS=TRUE&amp;DOC_NAME=FAT:FQL_AUDITING_CLIENT_TEMPLATE.FAT&amp;display_string=Audit&amp;VAR:KEY=DAJCTEZCZI&amp;VAR:QUERY=RkZfRUJJVERBX0lCKCdMVE1TJyw0MDE0Nik=&amp;WINDOW=FIRST_POPUP&amp;HEIGHT=450&amp;WIDTH=450&amp;START_MA","XIMIZED=FALSE&amp;VAR:CALENDAR=US&amp;VAR:SYMBOL=G0129K10&amp;VAR:INDEX=0"}</definedName>
    <definedName name="_7396__FDSAUDITLINK__" localSheetId="6" hidden="1">{"fdsup://directions/FAT Viewer?action=UPDATE&amp;creator=factset&amp;DYN_ARGS=TRUE&amp;DOC_NAME=FAT:FQL_AUDITING_CLIENT_TEMPLATE.FAT&amp;display_string=Audit&amp;VAR:KEY=TGLKZEFYHM&amp;VAR:QUERY=RkZfRUJJVERBX0lCKCdMVE1TJyw0MDE0NSk=&amp;WINDOW=FIRST_POPUP&amp;HEIGHT=450&amp;WIDTH=450&amp;START_MA","XIMIZED=FALSE&amp;VAR:CALENDAR=US&amp;VAR:SYMBOL=G0129K10&amp;VAR:INDEX=0"}</definedName>
    <definedName name="_7396__FDSAUDITLINK__" hidden="1">{"fdsup://directions/FAT Viewer?action=UPDATE&amp;creator=factset&amp;DYN_ARGS=TRUE&amp;DOC_NAME=FAT:FQL_AUDITING_CLIENT_TEMPLATE.FAT&amp;display_string=Audit&amp;VAR:KEY=TGLKZEFYHM&amp;VAR:QUERY=RkZfRUJJVERBX0lCKCdMVE1TJyw0MDE0NSk=&amp;WINDOW=FIRST_POPUP&amp;HEIGHT=450&amp;WIDTH=450&amp;START_MA","XIMIZED=FALSE&amp;VAR:CALENDAR=US&amp;VAR:SYMBOL=G0129K10&amp;VAR:INDEX=0"}</definedName>
    <definedName name="_7397__FDSAUDITLINK__" localSheetId="6" hidden="1">{"fdsup://directions/FAT Viewer?action=UPDATE&amp;creator=factset&amp;DYN_ARGS=TRUE&amp;DOC_NAME=FAT:FQL_AUDITING_CLIENT_TEMPLATE.FAT&amp;display_string=Audit&amp;VAR:KEY=DCJCJMZGXE&amp;VAR:QUERY=RkZfRUJJVERBX0lCKCdMVE1TJyw0MDE0NCk=&amp;WINDOW=FIRST_POPUP&amp;HEIGHT=450&amp;WIDTH=450&amp;START_MA","XIMIZED=FALSE&amp;VAR:CALENDAR=US&amp;VAR:SYMBOL=G0129K10&amp;VAR:INDEX=0"}</definedName>
    <definedName name="_7397__FDSAUDITLINK__" hidden="1">{"fdsup://directions/FAT Viewer?action=UPDATE&amp;creator=factset&amp;DYN_ARGS=TRUE&amp;DOC_NAME=FAT:FQL_AUDITING_CLIENT_TEMPLATE.FAT&amp;display_string=Audit&amp;VAR:KEY=DCJCJMZGXE&amp;VAR:QUERY=RkZfRUJJVERBX0lCKCdMVE1TJyw0MDE0NCk=&amp;WINDOW=FIRST_POPUP&amp;HEIGHT=450&amp;WIDTH=450&amp;START_MA","XIMIZED=FALSE&amp;VAR:CALENDAR=US&amp;VAR:SYMBOL=G0129K10&amp;VAR:INDEX=0"}</definedName>
    <definedName name="_7398__FDSAUDITLINK__" localSheetId="6" hidden="1">{"fdsup://directions/FAT Viewer?action=UPDATE&amp;creator=factset&amp;DYN_ARGS=TRUE&amp;DOC_NAME=FAT:FQL_AUDITING_CLIENT_TEMPLATE.FAT&amp;display_string=Audit&amp;VAR:KEY=DOZEFGDYDC&amp;VAR:QUERY=RkZfRUJJVERBX0lCKCdMVE1TJyw0MDE0Myk=&amp;WINDOW=FIRST_POPUP&amp;HEIGHT=450&amp;WIDTH=450&amp;START_MA","XIMIZED=FALSE&amp;VAR:CALENDAR=US&amp;VAR:SYMBOL=G0129K10&amp;VAR:INDEX=0"}</definedName>
    <definedName name="_7398__FDSAUDITLINK__" hidden="1">{"fdsup://directions/FAT Viewer?action=UPDATE&amp;creator=factset&amp;DYN_ARGS=TRUE&amp;DOC_NAME=FAT:FQL_AUDITING_CLIENT_TEMPLATE.FAT&amp;display_string=Audit&amp;VAR:KEY=DOZEFGDYDC&amp;VAR:QUERY=RkZfRUJJVERBX0lCKCdMVE1TJyw0MDE0Myk=&amp;WINDOW=FIRST_POPUP&amp;HEIGHT=450&amp;WIDTH=450&amp;START_MA","XIMIZED=FALSE&amp;VAR:CALENDAR=US&amp;VAR:SYMBOL=G0129K10&amp;VAR:INDEX=0"}</definedName>
    <definedName name="_7399__FDSAUDITLINK__" localSheetId="6" hidden="1">{"fdsup://directions/FAT Viewer?action=UPDATE&amp;creator=factset&amp;DYN_ARGS=TRUE&amp;DOC_NAME=FAT:FQL_AUDITING_CLIENT_TEMPLATE.FAT&amp;display_string=Audit&amp;VAR:KEY=NQBEJQHUZI&amp;VAR:QUERY=RkZfRUJJVERBX0lCKCdMVE1TJyw0MDE0Mik=&amp;WINDOW=FIRST_POPUP&amp;HEIGHT=450&amp;WIDTH=450&amp;START_MA","XIMIZED=FALSE&amp;VAR:CALENDAR=US&amp;VAR:SYMBOL=G0129K10&amp;VAR:INDEX=0"}</definedName>
    <definedName name="_7399__FDSAUDITLINK__" hidden="1">{"fdsup://directions/FAT Viewer?action=UPDATE&amp;creator=factset&amp;DYN_ARGS=TRUE&amp;DOC_NAME=FAT:FQL_AUDITING_CLIENT_TEMPLATE.FAT&amp;display_string=Audit&amp;VAR:KEY=NQBEJQHUZI&amp;VAR:QUERY=RkZfRUJJVERBX0lCKCdMVE1TJyw0MDE0Mik=&amp;WINDOW=FIRST_POPUP&amp;HEIGHT=450&amp;WIDTH=450&amp;START_MA","XIMIZED=FALSE&amp;VAR:CALENDAR=US&amp;VAR:SYMBOL=G0129K10&amp;VAR:INDEX=0"}</definedName>
    <definedName name="_74__FDSAUDITLINK__" localSheetId="6" hidden="1">{"fdsup://directions/FAT Viewer?action=UPDATE&amp;creator=factset&amp;DYN_ARGS=TRUE&amp;DOC_NAME=FAT:FQL_AUDITING_CLIENT_TEMPLATE.FAT&amp;display_string=Audit&amp;VAR:KEY=DUPWHYRQRM&amp;VAR:QUERY=QVZHKENTRl9ORVRfSU5DKEFOTiwwRlksLTZGWSxZKSkgLyAoQVZHKENTRl9BU1NFVFMoQU5OLDBGWSwtNkZZL","EZZKSkgLSBBVkcoQ1NGX0lOVEFORyhBTk4sMCwtNkZZLEZZKSkp&amp;WINDOW=FIRST_POPUP&amp;HEIGHT=450&amp;WIDTH=450&amp;START_MAXIMIZED=FALSE&amp;VAR:CALENDAR=US&amp;VAR:SYMBOL=AER"}</definedName>
    <definedName name="_74__FDSAUDITLINK__" hidden="1">{"fdsup://directions/FAT Viewer?action=UPDATE&amp;creator=factset&amp;DYN_ARGS=TRUE&amp;DOC_NAME=FAT:FQL_AUDITING_CLIENT_TEMPLATE.FAT&amp;display_string=Audit&amp;VAR:KEY=DUPWHYRQRM&amp;VAR:QUERY=QVZHKENTRl9ORVRfSU5DKEFOTiwwRlksLTZGWSxZKSkgLyAoQVZHKENTRl9BU1NFVFMoQU5OLDBGWSwtNkZZL","EZZKSkgLSBBVkcoQ1NGX0lOVEFORyhBTk4sMCwtNkZZLEZZKSkp&amp;WINDOW=FIRST_POPUP&amp;HEIGHT=450&amp;WIDTH=450&amp;START_MAXIMIZED=FALSE&amp;VAR:CALENDAR=US&amp;VAR:SYMBOL=AER"}</definedName>
    <definedName name="_740__FDSAUDITLINK__" localSheetId="6" hidden="1">{"fdsup://directions/FAT%20Viewer?VAR:PED=LTM&amp;VAR:AUDIT_MODE=SUMMARY&amp;VAR:PERIOD=FIXED&amp;VAR:AUDIT_ID=00000117&amp;VAR:DATE=20080212&amp;action=UPDATE&amp;creator=factset&amp;DOC_NAME=FAT:FMA_audit_SUMMARY.fat&amp;DISPLAY_STRING=Display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0__FDSAUDITLINK__" hidden="1">{"fdsup://directions/FAT%20Viewer?VAR:PED=LTM&amp;VAR:AUDIT_MODE=SUMMARY&amp;VAR:PERIOD=FIXED&amp;VAR:AUDIT_ID=00000117&amp;VAR:DATE=20080212&amp;action=UPDATE&amp;creator=factset&amp;DOC_NAME=FAT:FMA_audit_SUMMARY.fat&amp;DISPLAY_STRING=Display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00__FDSAUDITLINK__" localSheetId="6" hidden="1">{"fdsup://directions/FAT Viewer?action=UPDATE&amp;creator=factset&amp;DYN_ARGS=TRUE&amp;DOC_NAME=FAT:FQL_AUDITING_CLIENT_TEMPLATE.FAT&amp;display_string=Audit&amp;VAR:KEY=PSBYDQXGLE&amp;VAR:QUERY=RkZfRUJJVERBX0lCKCdMVE1TJyw0MDE0MSk=&amp;WINDOW=FIRST_POPUP&amp;HEIGHT=450&amp;WIDTH=450&amp;START_MA","XIMIZED=FALSE&amp;VAR:CALENDAR=US&amp;VAR:SYMBOL=G0129K10&amp;VAR:INDEX=0"}</definedName>
    <definedName name="_7400__FDSAUDITLINK__" hidden="1">{"fdsup://directions/FAT Viewer?action=UPDATE&amp;creator=factset&amp;DYN_ARGS=TRUE&amp;DOC_NAME=FAT:FQL_AUDITING_CLIENT_TEMPLATE.FAT&amp;display_string=Audit&amp;VAR:KEY=PSBYDQXGLE&amp;VAR:QUERY=RkZfRUJJVERBX0lCKCdMVE1TJyw0MDE0MSk=&amp;WINDOW=FIRST_POPUP&amp;HEIGHT=450&amp;WIDTH=450&amp;START_MA","XIMIZED=FALSE&amp;VAR:CALENDAR=US&amp;VAR:SYMBOL=G0129K10&amp;VAR:INDEX=0"}</definedName>
    <definedName name="_7401__FDSAUDITLINK__" localSheetId="6" hidden="1">{"fdsup://directions/FAT Viewer?action=UPDATE&amp;creator=factset&amp;DYN_ARGS=TRUE&amp;DOC_NAME=FAT:FQL_AUDITING_CLIENT_TEMPLATE.FAT&amp;display_string=Audit&amp;VAR:KEY=RMZKTIFSTW&amp;VAR:QUERY=RkZfRUJJVERBX0lCKCdMVE1TJyw0MDE0MCk=&amp;WINDOW=FIRST_POPUP&amp;HEIGHT=450&amp;WIDTH=450&amp;START_MA","XIMIZED=FALSE&amp;VAR:CALENDAR=US&amp;VAR:SYMBOL=G0129K10&amp;VAR:INDEX=0"}</definedName>
    <definedName name="_7401__FDSAUDITLINK__" hidden="1">{"fdsup://directions/FAT Viewer?action=UPDATE&amp;creator=factset&amp;DYN_ARGS=TRUE&amp;DOC_NAME=FAT:FQL_AUDITING_CLIENT_TEMPLATE.FAT&amp;display_string=Audit&amp;VAR:KEY=RMZKTIFSTW&amp;VAR:QUERY=RkZfRUJJVERBX0lCKCdMVE1TJyw0MDE0MCk=&amp;WINDOW=FIRST_POPUP&amp;HEIGHT=450&amp;WIDTH=450&amp;START_MA","XIMIZED=FALSE&amp;VAR:CALENDAR=US&amp;VAR:SYMBOL=G0129K10&amp;VAR:INDEX=0"}</definedName>
    <definedName name="_7402__FDSAUDITLINK__" localSheetId="6" hidden="1">{"fdsup://directions/FAT Viewer?action=UPDATE&amp;creator=factset&amp;DYN_ARGS=TRUE&amp;DOC_NAME=FAT:FQL_AUDITING_CLIENT_TEMPLATE.FAT&amp;display_string=Audit&amp;VAR:KEY=PCTWHORURS&amp;VAR:QUERY=RkZfRUJJVERBX0lCKCdMVE1TJyw0MDEzOSk=&amp;WINDOW=FIRST_POPUP&amp;HEIGHT=450&amp;WIDTH=450&amp;START_MA","XIMIZED=FALSE&amp;VAR:CALENDAR=US&amp;VAR:SYMBOL=G0129K10&amp;VAR:INDEX=0"}</definedName>
    <definedName name="_7402__FDSAUDITLINK__" hidden="1">{"fdsup://directions/FAT Viewer?action=UPDATE&amp;creator=factset&amp;DYN_ARGS=TRUE&amp;DOC_NAME=FAT:FQL_AUDITING_CLIENT_TEMPLATE.FAT&amp;display_string=Audit&amp;VAR:KEY=PCTWHORURS&amp;VAR:QUERY=RkZfRUJJVERBX0lCKCdMVE1TJyw0MDEzOSk=&amp;WINDOW=FIRST_POPUP&amp;HEIGHT=450&amp;WIDTH=450&amp;START_MA","XIMIZED=FALSE&amp;VAR:CALENDAR=US&amp;VAR:SYMBOL=G0129K10&amp;VAR:INDEX=0"}</definedName>
    <definedName name="_7403__FDSAUDITLINK__" localSheetId="6" hidden="1">{"fdsup://directions/FAT Viewer?action=UPDATE&amp;creator=factset&amp;DYN_ARGS=TRUE&amp;DOC_NAME=FAT:FQL_AUDITING_CLIENT_TEMPLATE.FAT&amp;display_string=Audit&amp;VAR:KEY=DUBAROZEBW&amp;VAR:QUERY=RkZfRUJJVERBX0lCKCdMVE1TJyw0MDEzOCk=&amp;WINDOW=FIRST_POPUP&amp;HEIGHT=450&amp;WIDTH=450&amp;START_MA","XIMIZED=FALSE&amp;VAR:CALENDAR=US&amp;VAR:SYMBOL=G0129K10&amp;VAR:INDEX=0"}</definedName>
    <definedName name="_7403__FDSAUDITLINK__" hidden="1">{"fdsup://directions/FAT Viewer?action=UPDATE&amp;creator=factset&amp;DYN_ARGS=TRUE&amp;DOC_NAME=FAT:FQL_AUDITING_CLIENT_TEMPLATE.FAT&amp;display_string=Audit&amp;VAR:KEY=DUBAROZEBW&amp;VAR:QUERY=RkZfRUJJVERBX0lCKCdMVE1TJyw0MDEzOCk=&amp;WINDOW=FIRST_POPUP&amp;HEIGHT=450&amp;WIDTH=450&amp;START_MA","XIMIZED=FALSE&amp;VAR:CALENDAR=US&amp;VAR:SYMBOL=G0129K10&amp;VAR:INDEX=0"}</definedName>
    <definedName name="_7404__FDSAUDITLINK__" localSheetId="6" hidden="1">{"fdsup://directions/FAT Viewer?action=UPDATE&amp;creator=factset&amp;DYN_ARGS=TRUE&amp;DOC_NAME=FAT:FQL_AUDITING_CLIENT_TEMPLATE.FAT&amp;display_string=Audit&amp;VAR:KEY=RCXMFETKNK&amp;VAR:QUERY=RkZfRUJJVERBX0lCKCdMVE1TJyw0MDEzNyk=&amp;WINDOW=FIRST_POPUP&amp;HEIGHT=450&amp;WIDTH=450&amp;START_MA","XIMIZED=FALSE&amp;VAR:CALENDAR=US&amp;VAR:SYMBOL=G0129K10&amp;VAR:INDEX=0"}</definedName>
    <definedName name="_7404__FDSAUDITLINK__" hidden="1">{"fdsup://directions/FAT Viewer?action=UPDATE&amp;creator=factset&amp;DYN_ARGS=TRUE&amp;DOC_NAME=FAT:FQL_AUDITING_CLIENT_TEMPLATE.FAT&amp;display_string=Audit&amp;VAR:KEY=RCXMFETKNK&amp;VAR:QUERY=RkZfRUJJVERBX0lCKCdMVE1TJyw0MDEzNyk=&amp;WINDOW=FIRST_POPUP&amp;HEIGHT=450&amp;WIDTH=450&amp;START_MA","XIMIZED=FALSE&amp;VAR:CALENDAR=US&amp;VAR:SYMBOL=G0129K10&amp;VAR:INDEX=0"}</definedName>
    <definedName name="_7405__FDSAUDITLINK__" localSheetId="6" hidden="1">{"fdsup://directions/FAT Viewer?action=UPDATE&amp;creator=factset&amp;DYN_ARGS=TRUE&amp;DOC_NAME=FAT:FQL_AUDITING_CLIENT_TEMPLATE.FAT&amp;display_string=Audit&amp;VAR:KEY=XIPENEZOZW&amp;VAR:QUERY=RkZfRUJJVERBX0lCKCdMVE1TJyw0MDEzNik=&amp;WINDOW=FIRST_POPUP&amp;HEIGHT=450&amp;WIDTH=450&amp;START_MA","XIMIZED=FALSE&amp;VAR:CALENDAR=US&amp;VAR:SYMBOL=G0129K10&amp;VAR:INDEX=0"}</definedName>
    <definedName name="_7405__FDSAUDITLINK__" hidden="1">{"fdsup://directions/FAT Viewer?action=UPDATE&amp;creator=factset&amp;DYN_ARGS=TRUE&amp;DOC_NAME=FAT:FQL_AUDITING_CLIENT_TEMPLATE.FAT&amp;display_string=Audit&amp;VAR:KEY=XIPENEZOZW&amp;VAR:QUERY=RkZfRUJJVERBX0lCKCdMVE1TJyw0MDEzNik=&amp;WINDOW=FIRST_POPUP&amp;HEIGHT=450&amp;WIDTH=450&amp;START_MA","XIMIZED=FALSE&amp;VAR:CALENDAR=US&amp;VAR:SYMBOL=G0129K10&amp;VAR:INDEX=0"}</definedName>
    <definedName name="_7406__FDSAUDITLINK__" localSheetId="6" hidden="1">{"fdsup://directions/FAT Viewer?action=UPDATE&amp;creator=factset&amp;DYN_ARGS=TRUE&amp;DOC_NAME=FAT:FQL_AUDITING_CLIENT_TEMPLATE.FAT&amp;display_string=Audit&amp;VAR:KEY=RSPGZMBEFW&amp;VAR:QUERY=RkZfRUJJVERBX0lCKCdMVE1TJyw0MDEzNSk=&amp;WINDOW=FIRST_POPUP&amp;HEIGHT=450&amp;WIDTH=450&amp;START_MA","XIMIZED=FALSE&amp;VAR:CALENDAR=US&amp;VAR:SYMBOL=G0129K10&amp;VAR:INDEX=0"}</definedName>
    <definedName name="_7406__FDSAUDITLINK__" hidden="1">{"fdsup://directions/FAT Viewer?action=UPDATE&amp;creator=factset&amp;DYN_ARGS=TRUE&amp;DOC_NAME=FAT:FQL_AUDITING_CLIENT_TEMPLATE.FAT&amp;display_string=Audit&amp;VAR:KEY=RSPGZMBEFW&amp;VAR:QUERY=RkZfRUJJVERBX0lCKCdMVE1TJyw0MDEzNSk=&amp;WINDOW=FIRST_POPUP&amp;HEIGHT=450&amp;WIDTH=450&amp;START_MA","XIMIZED=FALSE&amp;VAR:CALENDAR=US&amp;VAR:SYMBOL=G0129K10&amp;VAR:INDEX=0"}</definedName>
    <definedName name="_7407__FDSAUDITLINK__" localSheetId="6" hidden="1">{"fdsup://directions/FAT Viewer?action=UPDATE&amp;creator=factset&amp;DYN_ARGS=TRUE&amp;DOC_NAME=FAT:FQL_AUDITING_CLIENT_TEMPLATE.FAT&amp;display_string=Audit&amp;VAR:KEY=BSLATSDMVM&amp;VAR:QUERY=RkZfRUJJVERBX0lCKCdMVE1TJyw0MDEzNCk=&amp;WINDOW=FIRST_POPUP&amp;HEIGHT=450&amp;WIDTH=450&amp;START_MA","XIMIZED=FALSE&amp;VAR:CALENDAR=US&amp;VAR:SYMBOL=G0129K10&amp;VAR:INDEX=0"}</definedName>
    <definedName name="_7407__FDSAUDITLINK__" hidden="1">{"fdsup://directions/FAT Viewer?action=UPDATE&amp;creator=factset&amp;DYN_ARGS=TRUE&amp;DOC_NAME=FAT:FQL_AUDITING_CLIENT_TEMPLATE.FAT&amp;display_string=Audit&amp;VAR:KEY=BSLATSDMVM&amp;VAR:QUERY=RkZfRUJJVERBX0lCKCdMVE1TJyw0MDEzNCk=&amp;WINDOW=FIRST_POPUP&amp;HEIGHT=450&amp;WIDTH=450&amp;START_MA","XIMIZED=FALSE&amp;VAR:CALENDAR=US&amp;VAR:SYMBOL=G0129K10&amp;VAR:INDEX=0"}</definedName>
    <definedName name="_7408__FDSAUDITLINK__" localSheetId="6" hidden="1">{"fdsup://directions/FAT Viewer?action=UPDATE&amp;creator=factset&amp;DYN_ARGS=TRUE&amp;DOC_NAME=FAT:FQL_AUDITING_CLIENT_TEMPLATE.FAT&amp;display_string=Audit&amp;VAR:KEY=DCTGPMTKTA&amp;VAR:QUERY=RkZfRUJJVERBX0lCKCdMVE1TJyw0MDEzMyk=&amp;WINDOW=FIRST_POPUP&amp;HEIGHT=450&amp;WIDTH=450&amp;START_MA","XIMIZED=FALSE&amp;VAR:CALENDAR=US&amp;VAR:SYMBOL=G0129K10&amp;VAR:INDEX=0"}</definedName>
    <definedName name="_7408__FDSAUDITLINK__" hidden="1">{"fdsup://directions/FAT Viewer?action=UPDATE&amp;creator=factset&amp;DYN_ARGS=TRUE&amp;DOC_NAME=FAT:FQL_AUDITING_CLIENT_TEMPLATE.FAT&amp;display_string=Audit&amp;VAR:KEY=DCTGPMTKTA&amp;VAR:QUERY=RkZfRUJJVERBX0lCKCdMVE1TJyw0MDEzMyk=&amp;WINDOW=FIRST_POPUP&amp;HEIGHT=450&amp;WIDTH=450&amp;START_MA","XIMIZED=FALSE&amp;VAR:CALENDAR=US&amp;VAR:SYMBOL=G0129K10&amp;VAR:INDEX=0"}</definedName>
    <definedName name="_7409__FDSAUDITLINK__" localSheetId="6" hidden="1">{"fdsup://directions/FAT Viewer?action=UPDATE&amp;creator=factset&amp;DYN_ARGS=TRUE&amp;DOC_NAME=FAT:FQL_AUDITING_CLIENT_TEMPLATE.FAT&amp;display_string=Audit&amp;VAR:KEY=DIZUVUZUZE&amp;VAR:QUERY=RkZfRUJJVERBX0lCKCdMVE1TJyw0MDEzMik=&amp;WINDOW=FIRST_POPUP&amp;HEIGHT=450&amp;WIDTH=450&amp;START_MA","XIMIZED=FALSE&amp;VAR:CALENDAR=US&amp;VAR:SYMBOL=G0129K10&amp;VAR:INDEX=0"}</definedName>
    <definedName name="_7409__FDSAUDITLINK__" hidden="1">{"fdsup://directions/FAT Viewer?action=UPDATE&amp;creator=factset&amp;DYN_ARGS=TRUE&amp;DOC_NAME=FAT:FQL_AUDITING_CLIENT_TEMPLATE.FAT&amp;display_string=Audit&amp;VAR:KEY=DIZUVUZUZE&amp;VAR:QUERY=RkZfRUJJVERBX0lCKCdMVE1TJyw0MDEzMik=&amp;WINDOW=FIRST_POPUP&amp;HEIGHT=450&amp;WIDTH=450&amp;START_MA","XIMIZED=FALSE&amp;VAR:CALENDAR=US&amp;VAR:SYMBOL=G0129K10&amp;VAR:INDEX=0"}</definedName>
    <definedName name="_741__FDSAUDITLINK__" localSheetId="6" hidden="1">{"fdsup://directions/FAT%20Viewer?VAR:PED=LTM&amp;VAR:AUDIT_MODE=SUMMARY&amp;VAR:PERIOD=FIXED&amp;VAR:AUDIT_ID=00000117&amp;VAR:DATE=20080211&amp;action=UPDATE&amp;creator=factset&amp;DOC_NAME=FAT:FMA_audit_SUMMARY.fat&amp;DISPLAY_STRING=Display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1__FDSAUDITLINK__" hidden="1">{"fdsup://directions/FAT%20Viewer?VAR:PED=LTM&amp;VAR:AUDIT_MODE=SUMMARY&amp;VAR:PERIOD=FIXED&amp;VAR:AUDIT_ID=00000117&amp;VAR:DATE=20080211&amp;action=UPDATE&amp;creator=factset&amp;DOC_NAME=FAT:FMA_audit_SUMMARY.fat&amp;DISPLAY_STRING=Display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10__FDSAUDITLINK__" localSheetId="6" hidden="1">{"fdsup://directions/FAT Viewer?action=UPDATE&amp;creator=factset&amp;DYN_ARGS=TRUE&amp;DOC_NAME=FAT:FQL_AUDITING_CLIENT_TEMPLATE.FAT&amp;display_string=Audit&amp;VAR:KEY=BEJKTINQZC&amp;VAR:QUERY=RkZfRUJJVERBX0lCKCdMVE1TJyw0MDEzMSk=&amp;WINDOW=FIRST_POPUP&amp;HEIGHT=450&amp;WIDTH=450&amp;START_MA","XIMIZED=FALSE&amp;VAR:CALENDAR=US&amp;VAR:SYMBOL=G0129K10&amp;VAR:INDEX=0"}</definedName>
    <definedName name="_7410__FDSAUDITLINK__" hidden="1">{"fdsup://directions/FAT Viewer?action=UPDATE&amp;creator=factset&amp;DYN_ARGS=TRUE&amp;DOC_NAME=FAT:FQL_AUDITING_CLIENT_TEMPLATE.FAT&amp;display_string=Audit&amp;VAR:KEY=BEJKTINQZC&amp;VAR:QUERY=RkZfRUJJVERBX0lCKCdMVE1TJyw0MDEzMSk=&amp;WINDOW=FIRST_POPUP&amp;HEIGHT=450&amp;WIDTH=450&amp;START_MA","XIMIZED=FALSE&amp;VAR:CALENDAR=US&amp;VAR:SYMBOL=G0129K10&amp;VAR:INDEX=0"}</definedName>
    <definedName name="_7411__FDSAUDITLINK__" localSheetId="6" hidden="1">{"fdsup://directions/FAT Viewer?action=UPDATE&amp;creator=factset&amp;DYN_ARGS=TRUE&amp;DOC_NAME=FAT:FQL_AUDITING_CLIENT_TEMPLATE.FAT&amp;display_string=Audit&amp;VAR:KEY=ZATQFYTULM&amp;VAR:QUERY=RkZfRUJJVERBX0lCKCdMVE1TJyw0MDEzMCk=&amp;WINDOW=FIRST_POPUP&amp;HEIGHT=450&amp;WIDTH=450&amp;START_MA","XIMIZED=FALSE&amp;VAR:CALENDAR=US&amp;VAR:SYMBOL=G0129K10&amp;VAR:INDEX=0"}</definedName>
    <definedName name="_7411__FDSAUDITLINK__" hidden="1">{"fdsup://directions/FAT Viewer?action=UPDATE&amp;creator=factset&amp;DYN_ARGS=TRUE&amp;DOC_NAME=FAT:FQL_AUDITING_CLIENT_TEMPLATE.FAT&amp;display_string=Audit&amp;VAR:KEY=ZATQFYTULM&amp;VAR:QUERY=RkZfRUJJVERBX0lCKCdMVE1TJyw0MDEzMCk=&amp;WINDOW=FIRST_POPUP&amp;HEIGHT=450&amp;WIDTH=450&amp;START_MA","XIMIZED=FALSE&amp;VAR:CALENDAR=US&amp;VAR:SYMBOL=G0129K10&amp;VAR:INDEX=0"}</definedName>
    <definedName name="_7412__FDSAUDITLINK__" localSheetId="6" hidden="1">{"fdsup://directions/FAT Viewer?action=UPDATE&amp;creator=factset&amp;DYN_ARGS=TRUE&amp;DOC_NAME=FAT:FQL_AUDITING_CLIENT_TEMPLATE.FAT&amp;display_string=Audit&amp;VAR:KEY=PMNQFADCPA&amp;VAR:QUERY=RkZfRUJJVERBX0lCKCdMVE1TJyw0MDEyOSk=&amp;WINDOW=FIRST_POPUP&amp;HEIGHT=450&amp;WIDTH=450&amp;START_MA","XIMIZED=FALSE&amp;VAR:CALENDAR=US&amp;VAR:SYMBOL=G0129K10&amp;VAR:INDEX=0"}</definedName>
    <definedName name="_7412__FDSAUDITLINK__" hidden="1">{"fdsup://directions/FAT Viewer?action=UPDATE&amp;creator=factset&amp;DYN_ARGS=TRUE&amp;DOC_NAME=FAT:FQL_AUDITING_CLIENT_TEMPLATE.FAT&amp;display_string=Audit&amp;VAR:KEY=PMNQFADCPA&amp;VAR:QUERY=RkZfRUJJVERBX0lCKCdMVE1TJyw0MDEyOSk=&amp;WINDOW=FIRST_POPUP&amp;HEIGHT=450&amp;WIDTH=450&amp;START_MA","XIMIZED=FALSE&amp;VAR:CALENDAR=US&amp;VAR:SYMBOL=G0129K10&amp;VAR:INDEX=0"}</definedName>
    <definedName name="_7413__FDSAUDITLINK__" localSheetId="6" hidden="1">{"fdsup://directions/FAT Viewer?action=UPDATE&amp;creator=factset&amp;DYN_ARGS=TRUE&amp;DOC_NAME=FAT:FQL_AUDITING_CLIENT_TEMPLATE.FAT&amp;display_string=Audit&amp;VAR:KEY=NEDCPKZCLU&amp;VAR:QUERY=RkZfRUJJVERBX0lCKCdMVE1TJyw0MDEyOCk=&amp;WINDOW=FIRST_POPUP&amp;HEIGHT=450&amp;WIDTH=450&amp;START_MA","XIMIZED=FALSE&amp;VAR:CALENDAR=US&amp;VAR:SYMBOL=G0129K10&amp;VAR:INDEX=0"}</definedName>
    <definedName name="_7413__FDSAUDITLINK__" hidden="1">{"fdsup://directions/FAT Viewer?action=UPDATE&amp;creator=factset&amp;DYN_ARGS=TRUE&amp;DOC_NAME=FAT:FQL_AUDITING_CLIENT_TEMPLATE.FAT&amp;display_string=Audit&amp;VAR:KEY=NEDCPKZCLU&amp;VAR:QUERY=RkZfRUJJVERBX0lCKCdMVE1TJyw0MDEyOCk=&amp;WINDOW=FIRST_POPUP&amp;HEIGHT=450&amp;WIDTH=450&amp;START_MA","XIMIZED=FALSE&amp;VAR:CALENDAR=US&amp;VAR:SYMBOL=G0129K10&amp;VAR:INDEX=0"}</definedName>
    <definedName name="_7414__FDSAUDITLINK__" localSheetId="6" hidden="1">{"fdsup://directions/FAT Viewer?action=UPDATE&amp;creator=factset&amp;DYN_ARGS=TRUE&amp;DOC_NAME=FAT:FQL_AUDITING_CLIENT_TEMPLATE.FAT&amp;display_string=Audit&amp;VAR:KEY=VUNCVARANM&amp;VAR:QUERY=RkZfRUJJVERBX0lCKCdMVE1TJyw0MDEyNyk=&amp;WINDOW=FIRST_POPUP&amp;HEIGHT=450&amp;WIDTH=450&amp;START_MA","XIMIZED=FALSE&amp;VAR:CALENDAR=US&amp;VAR:SYMBOL=G0129K10&amp;VAR:INDEX=0"}</definedName>
    <definedName name="_7414__FDSAUDITLINK__" hidden="1">{"fdsup://directions/FAT Viewer?action=UPDATE&amp;creator=factset&amp;DYN_ARGS=TRUE&amp;DOC_NAME=FAT:FQL_AUDITING_CLIENT_TEMPLATE.FAT&amp;display_string=Audit&amp;VAR:KEY=VUNCVARANM&amp;VAR:QUERY=RkZfRUJJVERBX0lCKCdMVE1TJyw0MDEyNyk=&amp;WINDOW=FIRST_POPUP&amp;HEIGHT=450&amp;WIDTH=450&amp;START_MA","XIMIZED=FALSE&amp;VAR:CALENDAR=US&amp;VAR:SYMBOL=G0129K10&amp;VAR:INDEX=0"}</definedName>
    <definedName name="_7415__FDSAUDITLINK__" localSheetId="6" hidden="1">{"fdsup://directions/FAT Viewer?action=UPDATE&amp;creator=factset&amp;DYN_ARGS=TRUE&amp;DOC_NAME=FAT:FQL_AUDITING_CLIENT_TEMPLATE.FAT&amp;display_string=Audit&amp;VAR:KEY=BWXCDWTEZC&amp;VAR:QUERY=RkZfRUJJVERBX0lCKCdMVE1TJyw0MDEyNik=&amp;WINDOW=FIRST_POPUP&amp;HEIGHT=450&amp;WIDTH=450&amp;START_MA","XIMIZED=FALSE&amp;VAR:CALENDAR=US&amp;VAR:SYMBOL=G0129K10&amp;VAR:INDEX=0"}</definedName>
    <definedName name="_7415__FDSAUDITLINK__" hidden="1">{"fdsup://directions/FAT Viewer?action=UPDATE&amp;creator=factset&amp;DYN_ARGS=TRUE&amp;DOC_NAME=FAT:FQL_AUDITING_CLIENT_TEMPLATE.FAT&amp;display_string=Audit&amp;VAR:KEY=BWXCDWTEZC&amp;VAR:QUERY=RkZfRUJJVERBX0lCKCdMVE1TJyw0MDEyNik=&amp;WINDOW=FIRST_POPUP&amp;HEIGHT=450&amp;WIDTH=450&amp;START_MA","XIMIZED=FALSE&amp;VAR:CALENDAR=US&amp;VAR:SYMBOL=G0129K10&amp;VAR:INDEX=0"}</definedName>
    <definedName name="_7416__FDSAUDITLINK__" localSheetId="6" hidden="1">{"fdsup://directions/FAT Viewer?action=UPDATE&amp;creator=factset&amp;DYN_ARGS=TRUE&amp;DOC_NAME=FAT:FQL_AUDITING_CLIENT_TEMPLATE.FAT&amp;display_string=Audit&amp;VAR:KEY=TKLYPUZWFE&amp;VAR:QUERY=RkZfRUJJVERBX0lCKCdMVE1TJyw0MDEyNSk=&amp;WINDOW=FIRST_POPUP&amp;HEIGHT=450&amp;WIDTH=450&amp;START_MA","XIMIZED=FALSE&amp;VAR:CALENDAR=US&amp;VAR:SYMBOL=G0129K10&amp;VAR:INDEX=0"}</definedName>
    <definedName name="_7416__FDSAUDITLINK__" hidden="1">{"fdsup://directions/FAT Viewer?action=UPDATE&amp;creator=factset&amp;DYN_ARGS=TRUE&amp;DOC_NAME=FAT:FQL_AUDITING_CLIENT_TEMPLATE.FAT&amp;display_string=Audit&amp;VAR:KEY=TKLYPUZWFE&amp;VAR:QUERY=RkZfRUJJVERBX0lCKCdMVE1TJyw0MDEyNSk=&amp;WINDOW=FIRST_POPUP&amp;HEIGHT=450&amp;WIDTH=450&amp;START_MA","XIMIZED=FALSE&amp;VAR:CALENDAR=US&amp;VAR:SYMBOL=G0129K10&amp;VAR:INDEX=0"}</definedName>
    <definedName name="_7417__FDSAUDITLINK__" localSheetId="6" hidden="1">{"fdsup://directions/FAT Viewer?action=UPDATE&amp;creator=factset&amp;DYN_ARGS=TRUE&amp;DOC_NAME=FAT:FQL_AUDITING_CLIENT_TEMPLATE.FAT&amp;display_string=Audit&amp;VAR:KEY=RURANOPWRU&amp;VAR:QUERY=RkZfRUJJVERBX0lCKCdMVE1TJyw0MDEyNCk=&amp;WINDOW=FIRST_POPUP&amp;HEIGHT=450&amp;WIDTH=450&amp;START_MA","XIMIZED=FALSE&amp;VAR:CALENDAR=US&amp;VAR:SYMBOL=G0129K10&amp;VAR:INDEX=0"}</definedName>
    <definedName name="_7417__FDSAUDITLINK__" hidden="1">{"fdsup://directions/FAT Viewer?action=UPDATE&amp;creator=factset&amp;DYN_ARGS=TRUE&amp;DOC_NAME=FAT:FQL_AUDITING_CLIENT_TEMPLATE.FAT&amp;display_string=Audit&amp;VAR:KEY=RURANOPWRU&amp;VAR:QUERY=RkZfRUJJVERBX0lCKCdMVE1TJyw0MDEyNCk=&amp;WINDOW=FIRST_POPUP&amp;HEIGHT=450&amp;WIDTH=450&amp;START_MA","XIMIZED=FALSE&amp;VAR:CALENDAR=US&amp;VAR:SYMBOL=G0129K10&amp;VAR:INDEX=0"}</definedName>
    <definedName name="_7418__FDSAUDITLINK__" localSheetId="6" hidden="1">{"fdsup://directions/FAT Viewer?action=UPDATE&amp;creator=factset&amp;DYN_ARGS=TRUE&amp;DOC_NAME=FAT:FQL_AUDITING_CLIENT_TEMPLATE.FAT&amp;display_string=Audit&amp;VAR:KEY=PAFUNEPWVO&amp;VAR:QUERY=RkZfRUJJVERBX0lCKCdMVE1TJyw0MDEyMyk=&amp;WINDOW=FIRST_POPUP&amp;HEIGHT=450&amp;WIDTH=450&amp;START_MA","XIMIZED=FALSE&amp;VAR:CALENDAR=US&amp;VAR:SYMBOL=G0129K10&amp;VAR:INDEX=0"}</definedName>
    <definedName name="_7418__FDSAUDITLINK__" hidden="1">{"fdsup://directions/FAT Viewer?action=UPDATE&amp;creator=factset&amp;DYN_ARGS=TRUE&amp;DOC_NAME=FAT:FQL_AUDITING_CLIENT_TEMPLATE.FAT&amp;display_string=Audit&amp;VAR:KEY=PAFUNEPWVO&amp;VAR:QUERY=RkZfRUJJVERBX0lCKCdMVE1TJyw0MDEyMyk=&amp;WINDOW=FIRST_POPUP&amp;HEIGHT=450&amp;WIDTH=450&amp;START_MA","XIMIZED=FALSE&amp;VAR:CALENDAR=US&amp;VAR:SYMBOL=G0129K10&amp;VAR:INDEX=0"}</definedName>
    <definedName name="_7419__FDSAUDITLINK__" localSheetId="6" hidden="1">{"fdsup://directions/FAT Viewer?action=UPDATE&amp;creator=factset&amp;DYN_ARGS=TRUE&amp;DOC_NAME=FAT:FQL_AUDITING_CLIENT_TEMPLATE.FAT&amp;display_string=Audit&amp;VAR:KEY=TSZUJMHUJE&amp;VAR:QUERY=RkZfRUJJVERBX0lCKCdMVE1TJyw0MDEyMik=&amp;WINDOW=FIRST_POPUP&amp;HEIGHT=450&amp;WIDTH=450&amp;START_MA","XIMIZED=FALSE&amp;VAR:CALENDAR=US&amp;VAR:SYMBOL=G0129K10&amp;VAR:INDEX=0"}</definedName>
    <definedName name="_7419__FDSAUDITLINK__" hidden="1">{"fdsup://directions/FAT Viewer?action=UPDATE&amp;creator=factset&amp;DYN_ARGS=TRUE&amp;DOC_NAME=FAT:FQL_AUDITING_CLIENT_TEMPLATE.FAT&amp;display_string=Audit&amp;VAR:KEY=TSZUJMHUJE&amp;VAR:QUERY=RkZfRUJJVERBX0lCKCdMVE1TJyw0MDEyMik=&amp;WINDOW=FIRST_POPUP&amp;HEIGHT=450&amp;WIDTH=450&amp;START_MA","XIMIZED=FALSE&amp;VAR:CALENDAR=US&amp;VAR:SYMBOL=G0129K10&amp;VAR:INDEX=0"}</definedName>
    <definedName name="_742__FDSAUDITLINK__" localSheetId="6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2__FDSAUDITLINK__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20__FDSAUDITLINK__" localSheetId="6" hidden="1">{"fdsup://directions/FAT Viewer?action=UPDATE&amp;creator=factset&amp;DYN_ARGS=TRUE&amp;DOC_NAME=FAT:FQL_AUDITING_CLIENT_TEMPLATE.FAT&amp;display_string=Audit&amp;VAR:KEY=VMTOHWXWHG&amp;VAR:QUERY=RkZfRUJJVERBX0lCKCdMVE1TJyw0MDEyMSk=&amp;WINDOW=FIRST_POPUP&amp;HEIGHT=450&amp;WIDTH=450&amp;START_MA","XIMIZED=FALSE&amp;VAR:CALENDAR=US&amp;VAR:SYMBOL=G0129K10&amp;VAR:INDEX=0"}</definedName>
    <definedName name="_7420__FDSAUDITLINK__" hidden="1">{"fdsup://directions/FAT Viewer?action=UPDATE&amp;creator=factset&amp;DYN_ARGS=TRUE&amp;DOC_NAME=FAT:FQL_AUDITING_CLIENT_TEMPLATE.FAT&amp;display_string=Audit&amp;VAR:KEY=VMTOHWXWHG&amp;VAR:QUERY=RkZfRUJJVERBX0lCKCdMVE1TJyw0MDEyMSk=&amp;WINDOW=FIRST_POPUP&amp;HEIGHT=450&amp;WIDTH=450&amp;START_MA","XIMIZED=FALSE&amp;VAR:CALENDAR=US&amp;VAR:SYMBOL=G0129K10&amp;VAR:INDEX=0"}</definedName>
    <definedName name="_7421__FDSAUDITLINK__" localSheetId="6" hidden="1">{"fdsup://directions/FAT Viewer?action=UPDATE&amp;creator=factset&amp;DYN_ARGS=TRUE&amp;DOC_NAME=FAT:FQL_AUDITING_CLIENT_TEMPLATE.FAT&amp;display_string=Audit&amp;VAR:KEY=JWHCTGTMJY&amp;VAR:QUERY=RkZfRUJJVERBX0lCKCdMVE1TJyw0MDEyMCk=&amp;WINDOW=FIRST_POPUP&amp;HEIGHT=450&amp;WIDTH=450&amp;START_MA","XIMIZED=FALSE&amp;VAR:CALENDAR=US&amp;VAR:SYMBOL=G0129K10&amp;VAR:INDEX=0"}</definedName>
    <definedName name="_7421__FDSAUDITLINK__" hidden="1">{"fdsup://directions/FAT Viewer?action=UPDATE&amp;creator=factset&amp;DYN_ARGS=TRUE&amp;DOC_NAME=FAT:FQL_AUDITING_CLIENT_TEMPLATE.FAT&amp;display_string=Audit&amp;VAR:KEY=JWHCTGTMJY&amp;VAR:QUERY=RkZfRUJJVERBX0lCKCdMVE1TJyw0MDEyMCk=&amp;WINDOW=FIRST_POPUP&amp;HEIGHT=450&amp;WIDTH=450&amp;START_MA","XIMIZED=FALSE&amp;VAR:CALENDAR=US&amp;VAR:SYMBOL=G0129K10&amp;VAR:INDEX=0"}</definedName>
    <definedName name="_7422__FDSAUDITLINK__" localSheetId="6" hidden="1">{"fdsup://directions/FAT Viewer?action=UPDATE&amp;creator=factset&amp;DYN_ARGS=TRUE&amp;DOC_NAME=FAT:FQL_AUDITING_CLIENT_TEMPLATE.FAT&amp;display_string=Audit&amp;VAR:KEY=XGNODAFYBC&amp;VAR:QUERY=RkZfRUJJVERBX0lCKCdMVE1TJyw0MDExOSk=&amp;WINDOW=FIRST_POPUP&amp;HEIGHT=450&amp;WIDTH=450&amp;START_MA","XIMIZED=FALSE&amp;VAR:CALENDAR=US&amp;VAR:SYMBOL=G0129K10&amp;VAR:INDEX=0"}</definedName>
    <definedName name="_7422__FDSAUDITLINK__" hidden="1">{"fdsup://directions/FAT Viewer?action=UPDATE&amp;creator=factset&amp;DYN_ARGS=TRUE&amp;DOC_NAME=FAT:FQL_AUDITING_CLIENT_TEMPLATE.FAT&amp;display_string=Audit&amp;VAR:KEY=XGNODAFYBC&amp;VAR:QUERY=RkZfRUJJVERBX0lCKCdMVE1TJyw0MDExOSk=&amp;WINDOW=FIRST_POPUP&amp;HEIGHT=450&amp;WIDTH=450&amp;START_MA","XIMIZED=FALSE&amp;VAR:CALENDAR=US&amp;VAR:SYMBOL=G0129K10&amp;VAR:INDEX=0"}</definedName>
    <definedName name="_7423__FDSAUDITLINK__" localSheetId="6" hidden="1">{"fdsup://directions/FAT Viewer?action=UPDATE&amp;creator=factset&amp;DYN_ARGS=TRUE&amp;DOC_NAME=FAT:FQL_AUDITING_CLIENT_TEMPLATE.FAT&amp;display_string=Audit&amp;VAR:KEY=VIXKFGJWXK&amp;VAR:QUERY=RkZfRUJJVERBX0lCKCdMVE1TJyw0MDExOCk=&amp;WINDOW=FIRST_POPUP&amp;HEIGHT=450&amp;WIDTH=450&amp;START_MA","XIMIZED=FALSE&amp;VAR:CALENDAR=US&amp;VAR:SYMBOL=G0129K10&amp;VAR:INDEX=0"}</definedName>
    <definedName name="_7423__FDSAUDITLINK__" hidden="1">{"fdsup://directions/FAT Viewer?action=UPDATE&amp;creator=factset&amp;DYN_ARGS=TRUE&amp;DOC_NAME=FAT:FQL_AUDITING_CLIENT_TEMPLATE.FAT&amp;display_string=Audit&amp;VAR:KEY=VIXKFGJWXK&amp;VAR:QUERY=RkZfRUJJVERBX0lCKCdMVE1TJyw0MDExOCk=&amp;WINDOW=FIRST_POPUP&amp;HEIGHT=450&amp;WIDTH=450&amp;START_MA","XIMIZED=FALSE&amp;VAR:CALENDAR=US&amp;VAR:SYMBOL=G0129K10&amp;VAR:INDEX=0"}</definedName>
    <definedName name="_7424__FDSAUDITLINK__" localSheetId="6" hidden="1">{"fdsup://directions/FAT Viewer?action=UPDATE&amp;creator=factset&amp;DYN_ARGS=TRUE&amp;DOC_NAME=FAT:FQL_AUDITING_CLIENT_TEMPLATE.FAT&amp;display_string=Audit&amp;VAR:KEY=LYDQJIXENO&amp;VAR:QUERY=RkZfRUJJVERBX0lCKCdMVE1TJyw0MDExNyk=&amp;WINDOW=FIRST_POPUP&amp;HEIGHT=450&amp;WIDTH=450&amp;START_MA","XIMIZED=FALSE&amp;VAR:CALENDAR=US&amp;VAR:SYMBOL=G0129K10&amp;VAR:INDEX=0"}</definedName>
    <definedName name="_7424__FDSAUDITLINK__" hidden="1">{"fdsup://directions/FAT Viewer?action=UPDATE&amp;creator=factset&amp;DYN_ARGS=TRUE&amp;DOC_NAME=FAT:FQL_AUDITING_CLIENT_TEMPLATE.FAT&amp;display_string=Audit&amp;VAR:KEY=LYDQJIXENO&amp;VAR:QUERY=RkZfRUJJVERBX0lCKCdMVE1TJyw0MDExNyk=&amp;WINDOW=FIRST_POPUP&amp;HEIGHT=450&amp;WIDTH=450&amp;START_MA","XIMIZED=FALSE&amp;VAR:CALENDAR=US&amp;VAR:SYMBOL=G0129K10&amp;VAR:INDEX=0"}</definedName>
    <definedName name="_7425__FDSAUDITLINK__" localSheetId="6" hidden="1">{"fdsup://directions/FAT Viewer?action=UPDATE&amp;creator=factset&amp;DYN_ARGS=TRUE&amp;DOC_NAME=FAT:FQL_AUDITING_CLIENT_TEMPLATE.FAT&amp;display_string=Audit&amp;VAR:KEY=XINSPGPSNO&amp;VAR:QUERY=RkZfRUJJVERBX0lCKCdMVE1TJyw0MDExNik=&amp;WINDOW=FIRST_POPUP&amp;HEIGHT=450&amp;WIDTH=450&amp;START_MA","XIMIZED=FALSE&amp;VAR:CALENDAR=US&amp;VAR:SYMBOL=G0129K10&amp;VAR:INDEX=0"}</definedName>
    <definedName name="_7425__FDSAUDITLINK__" hidden="1">{"fdsup://directions/FAT Viewer?action=UPDATE&amp;creator=factset&amp;DYN_ARGS=TRUE&amp;DOC_NAME=FAT:FQL_AUDITING_CLIENT_TEMPLATE.FAT&amp;display_string=Audit&amp;VAR:KEY=XINSPGPSNO&amp;VAR:QUERY=RkZfRUJJVERBX0lCKCdMVE1TJyw0MDExNik=&amp;WINDOW=FIRST_POPUP&amp;HEIGHT=450&amp;WIDTH=450&amp;START_MA","XIMIZED=FALSE&amp;VAR:CALENDAR=US&amp;VAR:SYMBOL=G0129K10&amp;VAR:INDEX=0"}</definedName>
    <definedName name="_7426__FDSAUDITLINK__" localSheetId="6" hidden="1">{"fdsup://directions/FAT Viewer?action=UPDATE&amp;creator=factset&amp;DYN_ARGS=TRUE&amp;DOC_NAME=FAT:FQL_AUDITING_CLIENT_TEMPLATE.FAT&amp;display_string=Audit&amp;VAR:KEY=TSXSHMJWLA&amp;VAR:QUERY=RkZfRUJJVERBX0lCKCdMVE1TJyw0MDExNSk=&amp;WINDOW=FIRST_POPUP&amp;HEIGHT=450&amp;WIDTH=450&amp;START_MA","XIMIZED=FALSE&amp;VAR:CALENDAR=US&amp;VAR:SYMBOL=G0129K10&amp;VAR:INDEX=0"}</definedName>
    <definedName name="_7426__FDSAUDITLINK__" hidden="1">{"fdsup://directions/FAT Viewer?action=UPDATE&amp;creator=factset&amp;DYN_ARGS=TRUE&amp;DOC_NAME=FAT:FQL_AUDITING_CLIENT_TEMPLATE.FAT&amp;display_string=Audit&amp;VAR:KEY=TSXSHMJWLA&amp;VAR:QUERY=RkZfRUJJVERBX0lCKCdMVE1TJyw0MDExNSk=&amp;WINDOW=FIRST_POPUP&amp;HEIGHT=450&amp;WIDTH=450&amp;START_MA","XIMIZED=FALSE&amp;VAR:CALENDAR=US&amp;VAR:SYMBOL=G0129K10&amp;VAR:INDEX=0"}</definedName>
    <definedName name="_7427__FDSAUDITLINK__" localSheetId="6" hidden="1">{"fdsup://directions/FAT Viewer?action=UPDATE&amp;creator=factset&amp;DYN_ARGS=TRUE&amp;DOC_NAME=FAT:FQL_AUDITING_CLIENT_TEMPLATE.FAT&amp;display_string=Audit&amp;VAR:KEY=PSBCTOVEZI&amp;VAR:QUERY=RkZfRUJJVERBX0lCKCdMVE1TJyw0MDExNCk=&amp;WINDOW=FIRST_POPUP&amp;HEIGHT=450&amp;WIDTH=450&amp;START_MA","XIMIZED=FALSE&amp;VAR:CALENDAR=US&amp;VAR:SYMBOL=G0129K10&amp;VAR:INDEX=0"}</definedName>
    <definedName name="_7427__FDSAUDITLINK__" hidden="1">{"fdsup://directions/FAT Viewer?action=UPDATE&amp;creator=factset&amp;DYN_ARGS=TRUE&amp;DOC_NAME=FAT:FQL_AUDITING_CLIENT_TEMPLATE.FAT&amp;display_string=Audit&amp;VAR:KEY=PSBCTOVEZI&amp;VAR:QUERY=RkZfRUJJVERBX0lCKCdMVE1TJyw0MDExNCk=&amp;WINDOW=FIRST_POPUP&amp;HEIGHT=450&amp;WIDTH=450&amp;START_MA","XIMIZED=FALSE&amp;VAR:CALENDAR=US&amp;VAR:SYMBOL=G0129K10&amp;VAR:INDEX=0"}</definedName>
    <definedName name="_7428__FDSAUDITLINK__" localSheetId="6" hidden="1">{"fdsup://directions/FAT Viewer?action=UPDATE&amp;creator=factset&amp;DYN_ARGS=TRUE&amp;DOC_NAME=FAT:FQL_AUDITING_CLIENT_TEMPLATE.FAT&amp;display_string=Audit&amp;VAR:KEY=ZGZYFIPYJC&amp;VAR:QUERY=RkZfRUJJVERBX0lCKCdMVE1TJyw0MDExMyk=&amp;WINDOW=FIRST_POPUP&amp;HEIGHT=450&amp;WIDTH=450&amp;START_MA","XIMIZED=FALSE&amp;VAR:CALENDAR=US&amp;VAR:SYMBOL=G0129K10&amp;VAR:INDEX=0"}</definedName>
    <definedName name="_7428__FDSAUDITLINK__" hidden="1">{"fdsup://directions/FAT Viewer?action=UPDATE&amp;creator=factset&amp;DYN_ARGS=TRUE&amp;DOC_NAME=FAT:FQL_AUDITING_CLIENT_TEMPLATE.FAT&amp;display_string=Audit&amp;VAR:KEY=ZGZYFIPYJC&amp;VAR:QUERY=RkZfRUJJVERBX0lCKCdMVE1TJyw0MDExMyk=&amp;WINDOW=FIRST_POPUP&amp;HEIGHT=450&amp;WIDTH=450&amp;START_MA","XIMIZED=FALSE&amp;VAR:CALENDAR=US&amp;VAR:SYMBOL=G0129K10&amp;VAR:INDEX=0"}</definedName>
    <definedName name="_7429__FDSAUDITLINK__" localSheetId="6" hidden="1">{"fdsup://directions/FAT Viewer?action=UPDATE&amp;creator=factset&amp;DYN_ARGS=TRUE&amp;DOC_NAME=FAT:FQL_AUDITING_CLIENT_TEMPLATE.FAT&amp;display_string=Audit&amp;VAR:KEY=DCPUTKLAXW&amp;VAR:QUERY=RkZfRUJJVERBX0lCKCdMVE1TJyw0MDExMik=&amp;WINDOW=FIRST_POPUP&amp;HEIGHT=450&amp;WIDTH=450&amp;START_MA","XIMIZED=FALSE&amp;VAR:CALENDAR=US&amp;VAR:SYMBOL=G0129K10&amp;VAR:INDEX=0"}</definedName>
    <definedName name="_7429__FDSAUDITLINK__" hidden="1">{"fdsup://directions/FAT Viewer?action=UPDATE&amp;creator=factset&amp;DYN_ARGS=TRUE&amp;DOC_NAME=FAT:FQL_AUDITING_CLIENT_TEMPLATE.FAT&amp;display_string=Audit&amp;VAR:KEY=DCPUTKLAXW&amp;VAR:QUERY=RkZfRUJJVERBX0lCKCdMVE1TJyw0MDExMik=&amp;WINDOW=FIRST_POPUP&amp;HEIGHT=450&amp;WIDTH=450&amp;START_MA","XIMIZED=FALSE&amp;VAR:CALENDAR=US&amp;VAR:SYMBOL=G0129K10&amp;VAR:INDEX=0"}</definedName>
    <definedName name="_743__FDSAUDITLINK__" localSheetId="6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3__FDSAUDITLINK__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30__FDSAUDITLINK__" localSheetId="6" hidden="1">{"fdsup://directions/FAT Viewer?action=UPDATE&amp;creator=factset&amp;DYN_ARGS=TRUE&amp;DOC_NAME=FAT:FQL_AUDITING_CLIENT_TEMPLATE.FAT&amp;display_string=Audit&amp;VAR:KEY=JMTOTKBYTA&amp;VAR:QUERY=RkZfRUJJVERBX0lCKCdMVE1TJyw0MDExMSk=&amp;WINDOW=FIRST_POPUP&amp;HEIGHT=450&amp;WIDTH=450&amp;START_MA","XIMIZED=FALSE&amp;VAR:CALENDAR=US&amp;VAR:SYMBOL=G0129K10&amp;VAR:INDEX=0"}</definedName>
    <definedName name="_7430__FDSAUDITLINK__" hidden="1">{"fdsup://directions/FAT Viewer?action=UPDATE&amp;creator=factset&amp;DYN_ARGS=TRUE&amp;DOC_NAME=FAT:FQL_AUDITING_CLIENT_TEMPLATE.FAT&amp;display_string=Audit&amp;VAR:KEY=JMTOTKBYTA&amp;VAR:QUERY=RkZfRUJJVERBX0lCKCdMVE1TJyw0MDExMSk=&amp;WINDOW=FIRST_POPUP&amp;HEIGHT=450&amp;WIDTH=450&amp;START_MA","XIMIZED=FALSE&amp;VAR:CALENDAR=US&amp;VAR:SYMBOL=G0129K10&amp;VAR:INDEX=0"}</definedName>
    <definedName name="_7431__FDSAUDITLINK__" localSheetId="6" hidden="1">{"fdsup://directions/FAT Viewer?action=UPDATE&amp;creator=factset&amp;DYN_ARGS=TRUE&amp;DOC_NAME=FAT:FQL_AUDITING_CLIENT_TEMPLATE.FAT&amp;display_string=Audit&amp;VAR:KEY=VMRCLGRETE&amp;VAR:QUERY=RkZfRUJJVERBX0lCKCdMVE1TJyw0MDExMCk=&amp;WINDOW=FIRST_POPUP&amp;HEIGHT=450&amp;WIDTH=450&amp;START_MA","XIMIZED=FALSE&amp;VAR:CALENDAR=US&amp;VAR:SYMBOL=G0129K10&amp;VAR:INDEX=0"}</definedName>
    <definedName name="_7431__FDSAUDITLINK__" hidden="1">{"fdsup://directions/FAT Viewer?action=UPDATE&amp;creator=factset&amp;DYN_ARGS=TRUE&amp;DOC_NAME=FAT:FQL_AUDITING_CLIENT_TEMPLATE.FAT&amp;display_string=Audit&amp;VAR:KEY=VMRCLGRETE&amp;VAR:QUERY=RkZfRUJJVERBX0lCKCdMVE1TJyw0MDExMCk=&amp;WINDOW=FIRST_POPUP&amp;HEIGHT=450&amp;WIDTH=450&amp;START_MA","XIMIZED=FALSE&amp;VAR:CALENDAR=US&amp;VAR:SYMBOL=G0129K10&amp;VAR:INDEX=0"}</definedName>
    <definedName name="_7432__FDSAUDITLINK__" localSheetId="6" hidden="1">{"fdsup://directions/FAT Viewer?action=UPDATE&amp;creator=factset&amp;DYN_ARGS=TRUE&amp;DOC_NAME=FAT:FQL_AUDITING_CLIENT_TEMPLATE.FAT&amp;display_string=Audit&amp;VAR:KEY=JULCNKTWTS&amp;VAR:QUERY=RkZfRUJJVERBX0lCKCdMVE1TJyw0MDEwOSk=&amp;WINDOW=FIRST_POPUP&amp;HEIGHT=450&amp;WIDTH=450&amp;START_MA","XIMIZED=FALSE&amp;VAR:CALENDAR=US&amp;VAR:SYMBOL=G0129K10&amp;VAR:INDEX=0"}</definedName>
    <definedName name="_7432__FDSAUDITLINK__" hidden="1">{"fdsup://directions/FAT Viewer?action=UPDATE&amp;creator=factset&amp;DYN_ARGS=TRUE&amp;DOC_NAME=FAT:FQL_AUDITING_CLIENT_TEMPLATE.FAT&amp;display_string=Audit&amp;VAR:KEY=JULCNKTWTS&amp;VAR:QUERY=RkZfRUJJVERBX0lCKCdMVE1TJyw0MDEwOSk=&amp;WINDOW=FIRST_POPUP&amp;HEIGHT=450&amp;WIDTH=450&amp;START_MA","XIMIZED=FALSE&amp;VAR:CALENDAR=US&amp;VAR:SYMBOL=G0129K10&amp;VAR:INDEX=0"}</definedName>
    <definedName name="_7433__FDSAUDITLINK__" localSheetId="6" hidden="1">{"fdsup://directions/FAT Viewer?action=UPDATE&amp;creator=factset&amp;DYN_ARGS=TRUE&amp;DOC_NAME=FAT:FQL_AUDITING_CLIENT_TEMPLATE.FAT&amp;display_string=Audit&amp;VAR:KEY=FUZOZIVKTQ&amp;VAR:QUERY=RkZfRUJJVERBX0lCKCdMVE1TJyw0MDEwOCk=&amp;WINDOW=FIRST_POPUP&amp;HEIGHT=450&amp;WIDTH=450&amp;START_MA","XIMIZED=FALSE&amp;VAR:CALENDAR=US&amp;VAR:SYMBOL=G0129K10&amp;VAR:INDEX=0"}</definedName>
    <definedName name="_7433__FDSAUDITLINK__" hidden="1">{"fdsup://directions/FAT Viewer?action=UPDATE&amp;creator=factset&amp;DYN_ARGS=TRUE&amp;DOC_NAME=FAT:FQL_AUDITING_CLIENT_TEMPLATE.FAT&amp;display_string=Audit&amp;VAR:KEY=FUZOZIVKTQ&amp;VAR:QUERY=RkZfRUJJVERBX0lCKCdMVE1TJyw0MDEwOCk=&amp;WINDOW=FIRST_POPUP&amp;HEIGHT=450&amp;WIDTH=450&amp;START_MA","XIMIZED=FALSE&amp;VAR:CALENDAR=US&amp;VAR:SYMBOL=G0129K10&amp;VAR:INDEX=0"}</definedName>
    <definedName name="_7434__FDSAUDITLINK__" localSheetId="6" hidden="1">{"fdsup://directions/FAT Viewer?action=UPDATE&amp;creator=factset&amp;DYN_ARGS=TRUE&amp;DOC_NAME=FAT:FQL_AUDITING_CLIENT_TEMPLATE.FAT&amp;display_string=Audit&amp;VAR:KEY=ZSNSLYZMDC&amp;VAR:QUERY=RkZfRUJJVERBX0lCKCdMVE1TJyw0MDEwNyk=&amp;WINDOW=FIRST_POPUP&amp;HEIGHT=450&amp;WIDTH=450&amp;START_MA","XIMIZED=FALSE&amp;VAR:CALENDAR=US&amp;VAR:SYMBOL=G0129K10&amp;VAR:INDEX=0"}</definedName>
    <definedName name="_7434__FDSAUDITLINK__" hidden="1">{"fdsup://directions/FAT Viewer?action=UPDATE&amp;creator=factset&amp;DYN_ARGS=TRUE&amp;DOC_NAME=FAT:FQL_AUDITING_CLIENT_TEMPLATE.FAT&amp;display_string=Audit&amp;VAR:KEY=ZSNSLYZMDC&amp;VAR:QUERY=RkZfRUJJVERBX0lCKCdMVE1TJyw0MDEwNyk=&amp;WINDOW=FIRST_POPUP&amp;HEIGHT=450&amp;WIDTH=450&amp;START_MA","XIMIZED=FALSE&amp;VAR:CALENDAR=US&amp;VAR:SYMBOL=G0129K10&amp;VAR:INDEX=0"}</definedName>
    <definedName name="_7435__FDSAUDITLINK__" localSheetId="6" hidden="1">{"fdsup://directions/FAT Viewer?action=UPDATE&amp;creator=factset&amp;DYN_ARGS=TRUE&amp;DOC_NAME=FAT:FQL_AUDITING_CLIENT_TEMPLATE.FAT&amp;display_string=Audit&amp;VAR:KEY=JIHOBEZYLC&amp;VAR:QUERY=RkZfRUJJVERBX0lCKCdMVE1TJyw0MDEwNik=&amp;WINDOW=FIRST_POPUP&amp;HEIGHT=450&amp;WIDTH=450&amp;START_MA","XIMIZED=FALSE&amp;VAR:CALENDAR=US&amp;VAR:SYMBOL=G0129K10&amp;VAR:INDEX=0"}</definedName>
    <definedName name="_7435__FDSAUDITLINK__" hidden="1">{"fdsup://directions/FAT Viewer?action=UPDATE&amp;creator=factset&amp;DYN_ARGS=TRUE&amp;DOC_NAME=FAT:FQL_AUDITING_CLIENT_TEMPLATE.FAT&amp;display_string=Audit&amp;VAR:KEY=JIHOBEZYLC&amp;VAR:QUERY=RkZfRUJJVERBX0lCKCdMVE1TJyw0MDEwNik=&amp;WINDOW=FIRST_POPUP&amp;HEIGHT=450&amp;WIDTH=450&amp;START_MA","XIMIZED=FALSE&amp;VAR:CALENDAR=US&amp;VAR:SYMBOL=G0129K10&amp;VAR:INDEX=0"}</definedName>
    <definedName name="_7436__FDSAUDITLINK__" localSheetId="6" hidden="1">{"fdsup://directions/FAT Viewer?action=UPDATE&amp;creator=factset&amp;DYN_ARGS=TRUE&amp;DOC_NAME=FAT:FQL_AUDITING_CLIENT_TEMPLATE.FAT&amp;display_string=Audit&amp;VAR:KEY=XOZOJIJCBY&amp;VAR:QUERY=RkZfRUJJVERBX0lCKCdMVE1TJyw0MDEwNSk=&amp;WINDOW=FIRST_POPUP&amp;HEIGHT=450&amp;WIDTH=450&amp;START_MA","XIMIZED=FALSE&amp;VAR:CALENDAR=US&amp;VAR:SYMBOL=G0129K10&amp;VAR:INDEX=0"}</definedName>
    <definedName name="_7436__FDSAUDITLINK__" hidden="1">{"fdsup://directions/FAT Viewer?action=UPDATE&amp;creator=factset&amp;DYN_ARGS=TRUE&amp;DOC_NAME=FAT:FQL_AUDITING_CLIENT_TEMPLATE.FAT&amp;display_string=Audit&amp;VAR:KEY=XOZOJIJCBY&amp;VAR:QUERY=RkZfRUJJVERBX0lCKCdMVE1TJyw0MDEwNSk=&amp;WINDOW=FIRST_POPUP&amp;HEIGHT=450&amp;WIDTH=450&amp;START_MA","XIMIZED=FALSE&amp;VAR:CALENDAR=US&amp;VAR:SYMBOL=G0129K10&amp;VAR:INDEX=0"}</definedName>
    <definedName name="_7437__FDSAUDITLINK__" localSheetId="6" hidden="1">{"fdsup://directions/FAT Viewer?action=UPDATE&amp;creator=factset&amp;DYN_ARGS=TRUE&amp;DOC_NAME=FAT:FQL_AUDITING_CLIENT_TEMPLATE.FAT&amp;display_string=Audit&amp;VAR:KEY=ZAXQBKZMJK&amp;VAR:QUERY=RkZfRUJJVERBX0lCKCdMVE1TJyw0MDEwNCk=&amp;WINDOW=FIRST_POPUP&amp;HEIGHT=450&amp;WIDTH=450&amp;START_MA","XIMIZED=FALSE&amp;VAR:CALENDAR=US&amp;VAR:SYMBOL=G0129K10&amp;VAR:INDEX=0"}</definedName>
    <definedName name="_7437__FDSAUDITLINK__" hidden="1">{"fdsup://directions/FAT Viewer?action=UPDATE&amp;creator=factset&amp;DYN_ARGS=TRUE&amp;DOC_NAME=FAT:FQL_AUDITING_CLIENT_TEMPLATE.FAT&amp;display_string=Audit&amp;VAR:KEY=ZAXQBKZMJK&amp;VAR:QUERY=RkZfRUJJVERBX0lCKCdMVE1TJyw0MDEwNCk=&amp;WINDOW=FIRST_POPUP&amp;HEIGHT=450&amp;WIDTH=450&amp;START_MA","XIMIZED=FALSE&amp;VAR:CALENDAR=US&amp;VAR:SYMBOL=G0129K10&amp;VAR:INDEX=0"}</definedName>
    <definedName name="_7438__FDSAUDITLINK__" localSheetId="6" hidden="1">{"fdsup://directions/FAT Viewer?action=UPDATE&amp;creator=factset&amp;DYN_ARGS=TRUE&amp;DOC_NAME=FAT:FQL_AUDITING_CLIENT_TEMPLATE.FAT&amp;display_string=Audit&amp;VAR:KEY=LOJSTAJWZY&amp;VAR:QUERY=RkZfRUJJVERBX0lCKCdMVE1TJyw0MDEwMyk=&amp;WINDOW=FIRST_POPUP&amp;HEIGHT=450&amp;WIDTH=450&amp;START_MA","XIMIZED=FALSE&amp;VAR:CALENDAR=US&amp;VAR:SYMBOL=G0129K10&amp;VAR:INDEX=0"}</definedName>
    <definedName name="_7438__FDSAUDITLINK__" hidden="1">{"fdsup://directions/FAT Viewer?action=UPDATE&amp;creator=factset&amp;DYN_ARGS=TRUE&amp;DOC_NAME=FAT:FQL_AUDITING_CLIENT_TEMPLATE.FAT&amp;display_string=Audit&amp;VAR:KEY=LOJSTAJWZY&amp;VAR:QUERY=RkZfRUJJVERBX0lCKCdMVE1TJyw0MDEwMyk=&amp;WINDOW=FIRST_POPUP&amp;HEIGHT=450&amp;WIDTH=450&amp;START_MA","XIMIZED=FALSE&amp;VAR:CALENDAR=US&amp;VAR:SYMBOL=G0129K10&amp;VAR:INDEX=0"}</definedName>
    <definedName name="_7439__FDSAUDITLINK__" localSheetId="6" hidden="1">{"fdsup://directions/FAT Viewer?action=UPDATE&amp;creator=factset&amp;DYN_ARGS=TRUE&amp;DOC_NAME=FAT:FQL_AUDITING_CLIENT_TEMPLATE.FAT&amp;display_string=Audit&amp;VAR:KEY=LSVMVSXGJU&amp;VAR:QUERY=RkZfRUJJVERBX0lCKCdMVE1TJyw0MDEwMik=&amp;WINDOW=FIRST_POPUP&amp;HEIGHT=450&amp;WIDTH=450&amp;START_MA","XIMIZED=FALSE&amp;VAR:CALENDAR=US&amp;VAR:SYMBOL=G0129K10&amp;VAR:INDEX=0"}</definedName>
    <definedName name="_7439__FDSAUDITLINK__" hidden="1">{"fdsup://directions/FAT Viewer?action=UPDATE&amp;creator=factset&amp;DYN_ARGS=TRUE&amp;DOC_NAME=FAT:FQL_AUDITING_CLIENT_TEMPLATE.FAT&amp;display_string=Audit&amp;VAR:KEY=LSVMVSXGJU&amp;VAR:QUERY=RkZfRUJJVERBX0lCKCdMVE1TJyw0MDEwMik=&amp;WINDOW=FIRST_POPUP&amp;HEIGHT=450&amp;WIDTH=450&amp;START_MA","XIMIZED=FALSE&amp;VAR:CALENDAR=US&amp;VAR:SYMBOL=G0129K10&amp;VAR:INDEX=0"}</definedName>
    <definedName name="_744__FDSAUDITLINK__" localSheetId="6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4__FDSAUDITLINK__" hidden="1">{"fdsup://directions/FAT%20Viewer?VAR:PED=LTM&amp;VAR:AUDIT_MODE=SUMMARY&amp;VAR:PERIOD=FIXED&amp;VAR:AUDIT_ID=00000117&amp;VAR:DATE=20080208&amp;action=UPDATE&amp;creator=factset&amp;DOC_NAME=FAT:FMA_audit_SUMMARY.fat&amp;DISPLAY_STRING=Display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40__FDSAUDITLINK__" localSheetId="6" hidden="1">{"fdsup://directions/FAT Viewer?action=UPDATE&amp;creator=factset&amp;DYN_ARGS=TRUE&amp;DOC_NAME=FAT:FQL_AUDITING_CLIENT_TEMPLATE.FAT&amp;display_string=Audit&amp;VAR:KEY=DWFGVEXYPY&amp;VAR:QUERY=RkZfRUJJVERBX0lCKCdMVE1TJyw0MDEwMSk=&amp;WINDOW=FIRST_POPUP&amp;HEIGHT=450&amp;WIDTH=450&amp;START_MA","XIMIZED=FALSE&amp;VAR:CALENDAR=US&amp;VAR:SYMBOL=G0129K10&amp;VAR:INDEX=0"}</definedName>
    <definedName name="_7440__FDSAUDITLINK__" hidden="1">{"fdsup://directions/FAT Viewer?action=UPDATE&amp;creator=factset&amp;DYN_ARGS=TRUE&amp;DOC_NAME=FAT:FQL_AUDITING_CLIENT_TEMPLATE.FAT&amp;display_string=Audit&amp;VAR:KEY=DWFGVEXYPY&amp;VAR:QUERY=RkZfRUJJVERBX0lCKCdMVE1TJyw0MDEwMSk=&amp;WINDOW=FIRST_POPUP&amp;HEIGHT=450&amp;WIDTH=450&amp;START_MA","XIMIZED=FALSE&amp;VAR:CALENDAR=US&amp;VAR:SYMBOL=G0129K10&amp;VAR:INDEX=0"}</definedName>
    <definedName name="_7441__FDSAUDITLINK__" localSheetId="6" hidden="1">{"fdsup://directions/FAT Viewer?action=UPDATE&amp;creator=factset&amp;DYN_ARGS=TRUE&amp;DOC_NAME=FAT:FQL_AUDITING_CLIENT_TEMPLATE.FAT&amp;display_string=Audit&amp;VAR:KEY=NMRCXQJQTM&amp;VAR:QUERY=RkZfRUJJVERBX0lCKCdMVE1TJyw0MDEwMCk=&amp;WINDOW=FIRST_POPUP&amp;HEIGHT=450&amp;WIDTH=450&amp;START_MA","XIMIZED=FALSE&amp;VAR:CALENDAR=US&amp;VAR:SYMBOL=G0129K10&amp;VAR:INDEX=0"}</definedName>
    <definedName name="_7441__FDSAUDITLINK__" hidden="1">{"fdsup://directions/FAT Viewer?action=UPDATE&amp;creator=factset&amp;DYN_ARGS=TRUE&amp;DOC_NAME=FAT:FQL_AUDITING_CLIENT_TEMPLATE.FAT&amp;display_string=Audit&amp;VAR:KEY=NMRCXQJQTM&amp;VAR:QUERY=RkZfRUJJVERBX0lCKCdMVE1TJyw0MDEwMCk=&amp;WINDOW=FIRST_POPUP&amp;HEIGHT=450&amp;WIDTH=450&amp;START_MA","XIMIZED=FALSE&amp;VAR:CALENDAR=US&amp;VAR:SYMBOL=G0129K10&amp;VAR:INDEX=0"}</definedName>
    <definedName name="_7442__FDSAUDITLINK__" localSheetId="6" hidden="1">{"fdsup://directions/FAT Viewer?action=UPDATE&amp;creator=factset&amp;DYN_ARGS=TRUE&amp;DOC_NAME=FAT:FQL_AUDITING_CLIENT_TEMPLATE.FAT&amp;display_string=Audit&amp;VAR:KEY=HOTCROZCXE&amp;VAR:QUERY=RkZfRUJJVERBX0lCKCdMVE1TJyw0MDA5OSk=&amp;WINDOW=FIRST_POPUP&amp;HEIGHT=450&amp;WIDTH=450&amp;START_MA","XIMIZED=FALSE&amp;VAR:CALENDAR=US&amp;VAR:SYMBOL=G0129K10&amp;VAR:INDEX=0"}</definedName>
    <definedName name="_7442__FDSAUDITLINK__" hidden="1">{"fdsup://directions/FAT Viewer?action=UPDATE&amp;creator=factset&amp;DYN_ARGS=TRUE&amp;DOC_NAME=FAT:FQL_AUDITING_CLIENT_TEMPLATE.FAT&amp;display_string=Audit&amp;VAR:KEY=HOTCROZCXE&amp;VAR:QUERY=RkZfRUJJVERBX0lCKCdMVE1TJyw0MDA5OSk=&amp;WINDOW=FIRST_POPUP&amp;HEIGHT=450&amp;WIDTH=450&amp;START_MA","XIMIZED=FALSE&amp;VAR:CALENDAR=US&amp;VAR:SYMBOL=G0129K10&amp;VAR:INDEX=0"}</definedName>
    <definedName name="_7443__FDSAUDITLINK__" localSheetId="6" hidden="1">{"fdsup://directions/FAT Viewer?action=UPDATE&amp;creator=factset&amp;DYN_ARGS=TRUE&amp;DOC_NAME=FAT:FQL_AUDITING_CLIENT_TEMPLATE.FAT&amp;display_string=Audit&amp;VAR:KEY=NQRSRIFCRW&amp;VAR:QUERY=RkZfRUJJVERBX0lCKCdMVE1TJyw0MDA5OCk=&amp;WINDOW=FIRST_POPUP&amp;HEIGHT=450&amp;WIDTH=450&amp;START_MA","XIMIZED=FALSE&amp;VAR:CALENDAR=US&amp;VAR:SYMBOL=G0129K10&amp;VAR:INDEX=0"}</definedName>
    <definedName name="_7443__FDSAUDITLINK__" hidden="1">{"fdsup://directions/FAT Viewer?action=UPDATE&amp;creator=factset&amp;DYN_ARGS=TRUE&amp;DOC_NAME=FAT:FQL_AUDITING_CLIENT_TEMPLATE.FAT&amp;display_string=Audit&amp;VAR:KEY=NQRSRIFCRW&amp;VAR:QUERY=RkZfRUJJVERBX0lCKCdMVE1TJyw0MDA5OCk=&amp;WINDOW=FIRST_POPUP&amp;HEIGHT=450&amp;WIDTH=450&amp;START_MA","XIMIZED=FALSE&amp;VAR:CALENDAR=US&amp;VAR:SYMBOL=G0129K10&amp;VAR:INDEX=0"}</definedName>
    <definedName name="_7444__FDSAUDITLINK__" localSheetId="6" hidden="1">{"fdsup://directions/FAT Viewer?action=UPDATE&amp;creator=factset&amp;DYN_ARGS=TRUE&amp;DOC_NAME=FAT:FQL_AUDITING_CLIENT_TEMPLATE.FAT&amp;display_string=Audit&amp;VAR:KEY=FCDGFYBYVG&amp;VAR:QUERY=RkZfRUJJVERBX0lCKCdMVE1TJyw0MDA5Nyk=&amp;WINDOW=FIRST_POPUP&amp;HEIGHT=450&amp;WIDTH=450&amp;START_MA","XIMIZED=FALSE&amp;VAR:CALENDAR=US&amp;VAR:SYMBOL=G0129K10&amp;VAR:INDEX=0"}</definedName>
    <definedName name="_7444__FDSAUDITLINK__" hidden="1">{"fdsup://directions/FAT Viewer?action=UPDATE&amp;creator=factset&amp;DYN_ARGS=TRUE&amp;DOC_NAME=FAT:FQL_AUDITING_CLIENT_TEMPLATE.FAT&amp;display_string=Audit&amp;VAR:KEY=FCDGFYBYVG&amp;VAR:QUERY=RkZfRUJJVERBX0lCKCdMVE1TJyw0MDA5Nyk=&amp;WINDOW=FIRST_POPUP&amp;HEIGHT=450&amp;WIDTH=450&amp;START_MA","XIMIZED=FALSE&amp;VAR:CALENDAR=US&amp;VAR:SYMBOL=G0129K10&amp;VAR:INDEX=0"}</definedName>
    <definedName name="_7445__FDSAUDITLINK__" localSheetId="6" hidden="1">{"fdsup://directions/FAT Viewer?action=UPDATE&amp;creator=factset&amp;DYN_ARGS=TRUE&amp;DOC_NAME=FAT:FQL_AUDITING_CLIENT_TEMPLATE.FAT&amp;display_string=Audit&amp;VAR:KEY=FWBCXCJCRK&amp;VAR:QUERY=RkZfRUJJVERBX0lCKCdMVE1TJyw0MDA5Nik=&amp;WINDOW=FIRST_POPUP&amp;HEIGHT=450&amp;WIDTH=450&amp;START_MA","XIMIZED=FALSE&amp;VAR:CALENDAR=US&amp;VAR:SYMBOL=G0129K10&amp;VAR:INDEX=0"}</definedName>
    <definedName name="_7445__FDSAUDITLINK__" hidden="1">{"fdsup://directions/FAT Viewer?action=UPDATE&amp;creator=factset&amp;DYN_ARGS=TRUE&amp;DOC_NAME=FAT:FQL_AUDITING_CLIENT_TEMPLATE.FAT&amp;display_string=Audit&amp;VAR:KEY=FWBCXCJCRK&amp;VAR:QUERY=RkZfRUJJVERBX0lCKCdMVE1TJyw0MDA5Nik=&amp;WINDOW=FIRST_POPUP&amp;HEIGHT=450&amp;WIDTH=450&amp;START_MA","XIMIZED=FALSE&amp;VAR:CALENDAR=US&amp;VAR:SYMBOL=G0129K10&amp;VAR:INDEX=0"}</definedName>
    <definedName name="_7446__FDSAUDITLINK__" localSheetId="6" hidden="1">{"fdsup://directions/FAT Viewer?action=UPDATE&amp;creator=factset&amp;DYN_ARGS=TRUE&amp;DOC_NAME=FAT:FQL_AUDITING_CLIENT_TEMPLATE.FAT&amp;display_string=Audit&amp;VAR:KEY=HMVMPCTSXM&amp;VAR:QUERY=RkZfRUJJVERBX0lCKCdMVE1TJyw0MDA5NSk=&amp;WINDOW=FIRST_POPUP&amp;HEIGHT=450&amp;WIDTH=450&amp;START_MA","XIMIZED=FALSE&amp;VAR:CALENDAR=US&amp;VAR:SYMBOL=G0129K10&amp;VAR:INDEX=0"}</definedName>
    <definedName name="_7446__FDSAUDITLINK__" hidden="1">{"fdsup://directions/FAT Viewer?action=UPDATE&amp;creator=factset&amp;DYN_ARGS=TRUE&amp;DOC_NAME=FAT:FQL_AUDITING_CLIENT_TEMPLATE.FAT&amp;display_string=Audit&amp;VAR:KEY=HMVMPCTSXM&amp;VAR:QUERY=RkZfRUJJVERBX0lCKCdMVE1TJyw0MDA5NSk=&amp;WINDOW=FIRST_POPUP&amp;HEIGHT=450&amp;WIDTH=450&amp;START_MA","XIMIZED=FALSE&amp;VAR:CALENDAR=US&amp;VAR:SYMBOL=G0129K10&amp;VAR:INDEX=0"}</definedName>
    <definedName name="_7447__FDSAUDITLINK__" localSheetId="6" hidden="1">{"fdsup://directions/FAT Viewer?action=UPDATE&amp;creator=factset&amp;DYN_ARGS=TRUE&amp;DOC_NAME=FAT:FQL_AUDITING_CLIENT_TEMPLATE.FAT&amp;display_string=Audit&amp;VAR:KEY=RKRONKHOTS&amp;VAR:QUERY=RkZfRUJJVERBX0lCKCdMVE1TJyw0MDA5NCk=&amp;WINDOW=FIRST_POPUP&amp;HEIGHT=450&amp;WIDTH=450&amp;START_MA","XIMIZED=FALSE&amp;VAR:CALENDAR=US&amp;VAR:SYMBOL=G0129K10&amp;VAR:INDEX=0"}</definedName>
    <definedName name="_7447__FDSAUDITLINK__" hidden="1">{"fdsup://directions/FAT Viewer?action=UPDATE&amp;creator=factset&amp;DYN_ARGS=TRUE&amp;DOC_NAME=FAT:FQL_AUDITING_CLIENT_TEMPLATE.FAT&amp;display_string=Audit&amp;VAR:KEY=RKRONKHOTS&amp;VAR:QUERY=RkZfRUJJVERBX0lCKCdMVE1TJyw0MDA5NCk=&amp;WINDOW=FIRST_POPUP&amp;HEIGHT=450&amp;WIDTH=450&amp;START_MA","XIMIZED=FALSE&amp;VAR:CALENDAR=US&amp;VAR:SYMBOL=G0129K10&amp;VAR:INDEX=0"}</definedName>
    <definedName name="_7448__FDSAUDITLINK__" localSheetId="6" hidden="1">{"fdsup://directions/FAT Viewer?action=UPDATE&amp;creator=factset&amp;DYN_ARGS=TRUE&amp;DOC_NAME=FAT:FQL_AUDITING_CLIENT_TEMPLATE.FAT&amp;display_string=Audit&amp;VAR:KEY=JOJUFKBOBE&amp;VAR:QUERY=RkZfRUJJVERBX0lCKCdMVE1TJyw0MDA5Myk=&amp;WINDOW=FIRST_POPUP&amp;HEIGHT=450&amp;WIDTH=450&amp;START_MA","XIMIZED=FALSE&amp;VAR:CALENDAR=US&amp;VAR:SYMBOL=G0129K10&amp;VAR:INDEX=0"}</definedName>
    <definedName name="_7448__FDSAUDITLINK__" hidden="1">{"fdsup://directions/FAT Viewer?action=UPDATE&amp;creator=factset&amp;DYN_ARGS=TRUE&amp;DOC_NAME=FAT:FQL_AUDITING_CLIENT_TEMPLATE.FAT&amp;display_string=Audit&amp;VAR:KEY=JOJUFKBOBE&amp;VAR:QUERY=RkZfRUJJVERBX0lCKCdMVE1TJyw0MDA5Myk=&amp;WINDOW=FIRST_POPUP&amp;HEIGHT=450&amp;WIDTH=450&amp;START_MA","XIMIZED=FALSE&amp;VAR:CALENDAR=US&amp;VAR:SYMBOL=G0129K10&amp;VAR:INDEX=0"}</definedName>
    <definedName name="_7449__FDSAUDITLINK__" localSheetId="6" hidden="1">{"fdsup://directions/FAT Viewer?action=UPDATE&amp;creator=factset&amp;DYN_ARGS=TRUE&amp;DOC_NAME=FAT:FQL_AUDITING_CLIENT_TEMPLATE.FAT&amp;display_string=Audit&amp;VAR:KEY=HUNUJMLGBO&amp;VAR:QUERY=RkZfRUJJVERBX0lCKCdMVE1TJyw0MDA5Mik=&amp;WINDOW=FIRST_POPUP&amp;HEIGHT=450&amp;WIDTH=450&amp;START_MA","XIMIZED=FALSE&amp;VAR:CALENDAR=US&amp;VAR:SYMBOL=G0129K10&amp;VAR:INDEX=0"}</definedName>
    <definedName name="_7449__FDSAUDITLINK__" hidden="1">{"fdsup://directions/FAT Viewer?action=UPDATE&amp;creator=factset&amp;DYN_ARGS=TRUE&amp;DOC_NAME=FAT:FQL_AUDITING_CLIENT_TEMPLATE.FAT&amp;display_string=Audit&amp;VAR:KEY=HUNUJMLGBO&amp;VAR:QUERY=RkZfRUJJVERBX0lCKCdMVE1TJyw0MDA5Mik=&amp;WINDOW=FIRST_POPUP&amp;HEIGHT=450&amp;WIDTH=450&amp;START_MA","XIMIZED=FALSE&amp;VAR:CALENDAR=US&amp;VAR:SYMBOL=G0129K10&amp;VAR:INDEX=0"}</definedName>
    <definedName name="_745__FDSAUDITLINK__" localSheetId="6" hidden="1">{"fdsup://directions/FAT%20Viewer?VAR:PED=LTM&amp;VAR:AUDIT_MODE=SUMMARY&amp;VAR:PERIOD=FIXED&amp;VAR:AUDIT_ID=00000117&amp;VAR:DATE=20080207&amp;action=UPDATE&amp;creator=factset&amp;DOC_NAME=FAT:FMA_audit_SUMMARY.fat&amp;DISPLAY_STRING=Display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5__FDSAUDITLINK__" hidden="1">{"fdsup://directions/FAT%20Viewer?VAR:PED=LTM&amp;VAR:AUDIT_MODE=SUMMARY&amp;VAR:PERIOD=FIXED&amp;VAR:AUDIT_ID=00000117&amp;VAR:DATE=20080207&amp;action=UPDATE&amp;creator=factset&amp;DOC_NAME=FAT:FMA_audit_SUMMARY.fat&amp;DISPLAY_STRING=Display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50__FDSAUDITLINK__" localSheetId="6" hidden="1">{"fdsup://directions/FAT Viewer?action=UPDATE&amp;creator=factset&amp;DYN_ARGS=TRUE&amp;DOC_NAME=FAT:FQL_AUDITING_CLIENT_TEMPLATE.FAT&amp;display_string=Audit&amp;VAR:KEY=JYFSHKLONY&amp;VAR:QUERY=RkZfRUJJVERBX0lCKCdMVE1TJyw0MDA5MSk=&amp;WINDOW=FIRST_POPUP&amp;HEIGHT=450&amp;WIDTH=450&amp;START_MA","XIMIZED=FALSE&amp;VAR:CALENDAR=US&amp;VAR:SYMBOL=G0129K10&amp;VAR:INDEX=0"}</definedName>
    <definedName name="_7450__FDSAUDITLINK__" hidden="1">{"fdsup://directions/FAT Viewer?action=UPDATE&amp;creator=factset&amp;DYN_ARGS=TRUE&amp;DOC_NAME=FAT:FQL_AUDITING_CLIENT_TEMPLATE.FAT&amp;display_string=Audit&amp;VAR:KEY=JYFSHKLONY&amp;VAR:QUERY=RkZfRUJJVERBX0lCKCdMVE1TJyw0MDA5MSk=&amp;WINDOW=FIRST_POPUP&amp;HEIGHT=450&amp;WIDTH=450&amp;START_MA","XIMIZED=FALSE&amp;VAR:CALENDAR=US&amp;VAR:SYMBOL=G0129K10&amp;VAR:INDEX=0"}</definedName>
    <definedName name="_7451__FDSAUDITLINK__" localSheetId="6" hidden="1">{"fdsup://directions/FAT Viewer?action=UPDATE&amp;creator=factset&amp;DYN_ARGS=TRUE&amp;DOC_NAME=FAT:FQL_AUDITING_CLIENT_TEMPLATE.FAT&amp;display_string=Audit&amp;VAR:KEY=ZWXINMFGLQ&amp;VAR:QUERY=RkZfRUJJVERBX0lCKCdMVE1TJyw0MDA5MCk=&amp;WINDOW=FIRST_POPUP&amp;HEIGHT=450&amp;WIDTH=450&amp;START_MA","XIMIZED=FALSE&amp;VAR:CALENDAR=US&amp;VAR:SYMBOL=G0129K10&amp;VAR:INDEX=0"}</definedName>
    <definedName name="_7451__FDSAUDITLINK__" hidden="1">{"fdsup://directions/FAT Viewer?action=UPDATE&amp;creator=factset&amp;DYN_ARGS=TRUE&amp;DOC_NAME=FAT:FQL_AUDITING_CLIENT_TEMPLATE.FAT&amp;display_string=Audit&amp;VAR:KEY=ZWXINMFGLQ&amp;VAR:QUERY=RkZfRUJJVERBX0lCKCdMVE1TJyw0MDA5MCk=&amp;WINDOW=FIRST_POPUP&amp;HEIGHT=450&amp;WIDTH=450&amp;START_MA","XIMIZED=FALSE&amp;VAR:CALENDAR=US&amp;VAR:SYMBOL=G0129K10&amp;VAR:INDEX=0"}</definedName>
    <definedName name="_7452__FDSAUDITLINK__" localSheetId="6" hidden="1">{"fdsup://directions/FAT Viewer?action=UPDATE&amp;creator=factset&amp;DYN_ARGS=TRUE&amp;DOC_NAME=FAT:FQL_AUDITING_CLIENT_TEMPLATE.FAT&amp;display_string=Audit&amp;VAR:KEY=NYBWTGVKFM&amp;VAR:QUERY=RkZfRUJJVERBX0lCKCdMVE1TJyw0MDA4OSk=&amp;WINDOW=FIRST_POPUP&amp;HEIGHT=450&amp;WIDTH=450&amp;START_MA","XIMIZED=FALSE&amp;VAR:CALENDAR=US&amp;VAR:SYMBOL=G0129K10&amp;VAR:INDEX=0"}</definedName>
    <definedName name="_7452__FDSAUDITLINK__" hidden="1">{"fdsup://directions/FAT Viewer?action=UPDATE&amp;creator=factset&amp;DYN_ARGS=TRUE&amp;DOC_NAME=FAT:FQL_AUDITING_CLIENT_TEMPLATE.FAT&amp;display_string=Audit&amp;VAR:KEY=NYBWTGVKFM&amp;VAR:QUERY=RkZfRUJJVERBX0lCKCdMVE1TJyw0MDA4OSk=&amp;WINDOW=FIRST_POPUP&amp;HEIGHT=450&amp;WIDTH=450&amp;START_MA","XIMIZED=FALSE&amp;VAR:CALENDAR=US&amp;VAR:SYMBOL=G0129K10&amp;VAR:INDEX=0"}</definedName>
    <definedName name="_7453__FDSAUDITLINK__" localSheetId="6" hidden="1">{"fdsup://directions/FAT Viewer?action=UPDATE&amp;creator=factset&amp;DYN_ARGS=TRUE&amp;DOC_NAME=FAT:FQL_AUDITING_CLIENT_TEMPLATE.FAT&amp;display_string=Audit&amp;VAR:KEY=JAXIJMJIBC&amp;VAR:QUERY=RkZfRUJJVERBX0lCKCdMVE1TJyw0MDA4OCk=&amp;WINDOW=FIRST_POPUP&amp;HEIGHT=450&amp;WIDTH=450&amp;START_MA","XIMIZED=FALSE&amp;VAR:CALENDAR=US&amp;VAR:SYMBOL=G0129K10&amp;VAR:INDEX=0"}</definedName>
    <definedName name="_7453__FDSAUDITLINK__" hidden="1">{"fdsup://directions/FAT Viewer?action=UPDATE&amp;creator=factset&amp;DYN_ARGS=TRUE&amp;DOC_NAME=FAT:FQL_AUDITING_CLIENT_TEMPLATE.FAT&amp;display_string=Audit&amp;VAR:KEY=JAXIJMJIBC&amp;VAR:QUERY=RkZfRUJJVERBX0lCKCdMVE1TJyw0MDA4OCk=&amp;WINDOW=FIRST_POPUP&amp;HEIGHT=450&amp;WIDTH=450&amp;START_MA","XIMIZED=FALSE&amp;VAR:CALENDAR=US&amp;VAR:SYMBOL=G0129K10&amp;VAR:INDEX=0"}</definedName>
    <definedName name="_7454__FDSAUDITLINK__" localSheetId="6" hidden="1">{"fdsup://directions/FAT Viewer?action=UPDATE&amp;creator=factset&amp;DYN_ARGS=TRUE&amp;DOC_NAME=FAT:FQL_AUDITING_CLIENT_TEMPLATE.FAT&amp;display_string=Audit&amp;VAR:KEY=VKLQNQPWTK&amp;VAR:QUERY=RkZfRUJJVERBX0lCKCdMVE1TJyw0MDA4Nyk=&amp;WINDOW=FIRST_POPUP&amp;HEIGHT=450&amp;WIDTH=450&amp;START_MA","XIMIZED=FALSE&amp;VAR:CALENDAR=US&amp;VAR:SYMBOL=G0129K10&amp;VAR:INDEX=0"}</definedName>
    <definedName name="_7454__FDSAUDITLINK__" hidden="1">{"fdsup://directions/FAT Viewer?action=UPDATE&amp;creator=factset&amp;DYN_ARGS=TRUE&amp;DOC_NAME=FAT:FQL_AUDITING_CLIENT_TEMPLATE.FAT&amp;display_string=Audit&amp;VAR:KEY=VKLQNQPWTK&amp;VAR:QUERY=RkZfRUJJVERBX0lCKCdMVE1TJyw0MDA4Nyk=&amp;WINDOW=FIRST_POPUP&amp;HEIGHT=450&amp;WIDTH=450&amp;START_MA","XIMIZED=FALSE&amp;VAR:CALENDAR=US&amp;VAR:SYMBOL=G0129K10&amp;VAR:INDEX=0"}</definedName>
    <definedName name="_7455__FDSAUDITLINK__" localSheetId="6" hidden="1">{"fdsup://directions/FAT Viewer?action=UPDATE&amp;creator=factset&amp;DYN_ARGS=TRUE&amp;DOC_NAME=FAT:FQL_AUDITING_CLIENT_TEMPLATE.FAT&amp;display_string=Audit&amp;VAR:KEY=PYLALONSVE&amp;VAR:QUERY=RkZfRUJJVERBX0lCKCdMVE1TJyw0MDA4Nik=&amp;WINDOW=FIRST_POPUP&amp;HEIGHT=450&amp;WIDTH=450&amp;START_MA","XIMIZED=FALSE&amp;VAR:CALENDAR=US&amp;VAR:SYMBOL=G0129K10&amp;VAR:INDEX=0"}</definedName>
    <definedName name="_7455__FDSAUDITLINK__" hidden="1">{"fdsup://directions/FAT Viewer?action=UPDATE&amp;creator=factset&amp;DYN_ARGS=TRUE&amp;DOC_NAME=FAT:FQL_AUDITING_CLIENT_TEMPLATE.FAT&amp;display_string=Audit&amp;VAR:KEY=PYLALONSVE&amp;VAR:QUERY=RkZfRUJJVERBX0lCKCdMVE1TJyw0MDA4Nik=&amp;WINDOW=FIRST_POPUP&amp;HEIGHT=450&amp;WIDTH=450&amp;START_MA","XIMIZED=FALSE&amp;VAR:CALENDAR=US&amp;VAR:SYMBOL=G0129K10&amp;VAR:INDEX=0"}</definedName>
    <definedName name="_7456__FDSAUDITLINK__" localSheetId="6" hidden="1">{"fdsup://directions/FAT Viewer?action=UPDATE&amp;creator=factset&amp;DYN_ARGS=TRUE&amp;DOC_NAME=FAT:FQL_AUDITING_CLIENT_TEMPLATE.FAT&amp;display_string=Audit&amp;VAR:KEY=BAXIFCZUJQ&amp;VAR:QUERY=RkZfRUJJVERBX0lCKCdMVE1TJyw0MDA4NSk=&amp;WINDOW=FIRST_POPUP&amp;HEIGHT=450&amp;WIDTH=450&amp;START_MA","XIMIZED=FALSE&amp;VAR:CALENDAR=US&amp;VAR:SYMBOL=G0129K10&amp;VAR:INDEX=0"}</definedName>
    <definedName name="_7456__FDSAUDITLINK__" hidden="1">{"fdsup://directions/FAT Viewer?action=UPDATE&amp;creator=factset&amp;DYN_ARGS=TRUE&amp;DOC_NAME=FAT:FQL_AUDITING_CLIENT_TEMPLATE.FAT&amp;display_string=Audit&amp;VAR:KEY=BAXIFCZUJQ&amp;VAR:QUERY=RkZfRUJJVERBX0lCKCdMVE1TJyw0MDA4NSk=&amp;WINDOW=FIRST_POPUP&amp;HEIGHT=450&amp;WIDTH=450&amp;START_MA","XIMIZED=FALSE&amp;VAR:CALENDAR=US&amp;VAR:SYMBOL=G0129K10&amp;VAR:INDEX=0"}</definedName>
    <definedName name="_7457__FDSAUDITLINK__" localSheetId="6" hidden="1">{"fdsup://directions/FAT Viewer?action=UPDATE&amp;creator=factset&amp;DYN_ARGS=TRUE&amp;DOC_NAME=FAT:FQL_AUDITING_CLIENT_TEMPLATE.FAT&amp;display_string=Audit&amp;VAR:KEY=XCPWLGFMXM&amp;VAR:QUERY=RkZfRUJJVERBX0lCKCdMVE1TJyw0MDA4NCk=&amp;WINDOW=FIRST_POPUP&amp;HEIGHT=450&amp;WIDTH=450&amp;START_MA","XIMIZED=FALSE&amp;VAR:CALENDAR=US&amp;VAR:SYMBOL=G0129K10&amp;VAR:INDEX=0"}</definedName>
    <definedName name="_7457__FDSAUDITLINK__" hidden="1">{"fdsup://directions/FAT Viewer?action=UPDATE&amp;creator=factset&amp;DYN_ARGS=TRUE&amp;DOC_NAME=FAT:FQL_AUDITING_CLIENT_TEMPLATE.FAT&amp;display_string=Audit&amp;VAR:KEY=XCPWLGFMXM&amp;VAR:QUERY=RkZfRUJJVERBX0lCKCdMVE1TJyw0MDA4NCk=&amp;WINDOW=FIRST_POPUP&amp;HEIGHT=450&amp;WIDTH=450&amp;START_MA","XIMIZED=FALSE&amp;VAR:CALENDAR=US&amp;VAR:SYMBOL=G0129K10&amp;VAR:INDEX=0"}</definedName>
    <definedName name="_7458__FDSAUDITLINK__" localSheetId="6" hidden="1">{"fdsup://directions/FAT Viewer?action=UPDATE&amp;creator=factset&amp;DYN_ARGS=TRUE&amp;DOC_NAME=FAT:FQL_AUDITING_CLIENT_TEMPLATE.FAT&amp;display_string=Audit&amp;VAR:KEY=BSZAPGLSLU&amp;VAR:QUERY=RkZfRUJJVERBX0lCKCdMVE1TJyw0MDA4Myk=&amp;WINDOW=FIRST_POPUP&amp;HEIGHT=450&amp;WIDTH=450&amp;START_MA","XIMIZED=FALSE&amp;VAR:CALENDAR=US&amp;VAR:SYMBOL=G0129K10&amp;VAR:INDEX=0"}</definedName>
    <definedName name="_7458__FDSAUDITLINK__" hidden="1">{"fdsup://directions/FAT Viewer?action=UPDATE&amp;creator=factset&amp;DYN_ARGS=TRUE&amp;DOC_NAME=FAT:FQL_AUDITING_CLIENT_TEMPLATE.FAT&amp;display_string=Audit&amp;VAR:KEY=BSZAPGLSLU&amp;VAR:QUERY=RkZfRUJJVERBX0lCKCdMVE1TJyw0MDA4Myk=&amp;WINDOW=FIRST_POPUP&amp;HEIGHT=450&amp;WIDTH=450&amp;START_MA","XIMIZED=FALSE&amp;VAR:CALENDAR=US&amp;VAR:SYMBOL=G0129K10&amp;VAR:INDEX=0"}</definedName>
    <definedName name="_7459__FDSAUDITLINK__" localSheetId="6" hidden="1">{"fdsup://directions/FAT Viewer?action=UPDATE&amp;creator=factset&amp;DYN_ARGS=TRUE&amp;DOC_NAME=FAT:FQL_AUDITING_CLIENT_TEMPLATE.FAT&amp;display_string=Audit&amp;VAR:KEY=DUZMZMFUVG&amp;VAR:QUERY=RkZfRUJJVERBX0lCKCdMVE1TJyw0MDA4Mik=&amp;WINDOW=FIRST_POPUP&amp;HEIGHT=450&amp;WIDTH=450&amp;START_MA","XIMIZED=FALSE&amp;VAR:CALENDAR=US&amp;VAR:SYMBOL=G0129K10&amp;VAR:INDEX=0"}</definedName>
    <definedName name="_7459__FDSAUDITLINK__" hidden="1">{"fdsup://directions/FAT Viewer?action=UPDATE&amp;creator=factset&amp;DYN_ARGS=TRUE&amp;DOC_NAME=FAT:FQL_AUDITING_CLIENT_TEMPLATE.FAT&amp;display_string=Audit&amp;VAR:KEY=DUZMZMFUVG&amp;VAR:QUERY=RkZfRUJJVERBX0lCKCdMVE1TJyw0MDA4Mik=&amp;WINDOW=FIRST_POPUP&amp;HEIGHT=450&amp;WIDTH=450&amp;START_MA","XIMIZED=FALSE&amp;VAR:CALENDAR=US&amp;VAR:SYMBOL=G0129K10&amp;VAR:INDEX=0"}</definedName>
    <definedName name="_746__FDSAUDITLINK__" localSheetId="6" hidden="1">{"fdsup://directions/FAT%20Viewer?VAR:PED=LTM&amp;VAR:AUDIT_MODE=SUMMARY&amp;VAR:PERIOD=FIXED&amp;VAR:AUDIT_ID=00000117&amp;VAR:DATE=20080206&amp;action=UPDATE&amp;creator=factset&amp;DOC_NAME=FAT:FMA_audit_SUMMARY.fat&amp;DISPLAY_STRING=Display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6__FDSAUDITLINK__" hidden="1">{"fdsup://directions/FAT%20Viewer?VAR:PED=LTM&amp;VAR:AUDIT_MODE=SUMMARY&amp;VAR:PERIOD=FIXED&amp;VAR:AUDIT_ID=00000117&amp;VAR:DATE=20080206&amp;action=UPDATE&amp;creator=factset&amp;DOC_NAME=FAT:FMA_audit_SUMMARY.fat&amp;DISPLAY_STRING=Display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60__FDSAUDITLINK__" localSheetId="6" hidden="1">{"fdsup://directions/FAT Viewer?action=UPDATE&amp;creator=factset&amp;DYN_ARGS=TRUE&amp;DOC_NAME=FAT:FQL_AUDITING_CLIENT_TEMPLATE.FAT&amp;display_string=Audit&amp;VAR:KEY=DQVQTGFKJA&amp;VAR:QUERY=RkZfRUJJVERBX0lCKCdMVE1TJyw0MDA4MSk=&amp;WINDOW=FIRST_POPUP&amp;HEIGHT=450&amp;WIDTH=450&amp;START_MA","XIMIZED=FALSE&amp;VAR:CALENDAR=US&amp;VAR:SYMBOL=G0129K10&amp;VAR:INDEX=0"}</definedName>
    <definedName name="_7460__FDSAUDITLINK__" hidden="1">{"fdsup://directions/FAT Viewer?action=UPDATE&amp;creator=factset&amp;DYN_ARGS=TRUE&amp;DOC_NAME=FAT:FQL_AUDITING_CLIENT_TEMPLATE.FAT&amp;display_string=Audit&amp;VAR:KEY=DQVQTGFKJA&amp;VAR:QUERY=RkZfRUJJVERBX0lCKCdMVE1TJyw0MDA4MSk=&amp;WINDOW=FIRST_POPUP&amp;HEIGHT=450&amp;WIDTH=450&amp;START_MA","XIMIZED=FALSE&amp;VAR:CALENDAR=US&amp;VAR:SYMBOL=G0129K10&amp;VAR:INDEX=0"}</definedName>
    <definedName name="_7461__FDSAUDITLINK__" localSheetId="6" hidden="1">{"fdsup://directions/FAT Viewer?action=UPDATE&amp;creator=factset&amp;DYN_ARGS=TRUE&amp;DOC_NAME=FAT:FQL_AUDITING_CLIENT_TEMPLATE.FAT&amp;display_string=Audit&amp;VAR:KEY=RWFKBCPOVI&amp;VAR:QUERY=RkZfRUJJVERBX0lCKCdMVE1TJyw0MDA4MCk=&amp;WINDOW=FIRST_POPUP&amp;HEIGHT=450&amp;WIDTH=450&amp;START_MA","XIMIZED=FALSE&amp;VAR:CALENDAR=US&amp;VAR:SYMBOL=G0129K10&amp;VAR:INDEX=0"}</definedName>
    <definedName name="_7461__FDSAUDITLINK__" hidden="1">{"fdsup://directions/FAT Viewer?action=UPDATE&amp;creator=factset&amp;DYN_ARGS=TRUE&amp;DOC_NAME=FAT:FQL_AUDITING_CLIENT_TEMPLATE.FAT&amp;display_string=Audit&amp;VAR:KEY=RWFKBCPOVI&amp;VAR:QUERY=RkZfRUJJVERBX0lCKCdMVE1TJyw0MDA4MCk=&amp;WINDOW=FIRST_POPUP&amp;HEIGHT=450&amp;WIDTH=450&amp;START_MA","XIMIZED=FALSE&amp;VAR:CALENDAR=US&amp;VAR:SYMBOL=G0129K10&amp;VAR:INDEX=0"}</definedName>
    <definedName name="_7462__FDSAUDITLINK__" localSheetId="6" hidden="1">{"fdsup://directions/FAT Viewer?action=UPDATE&amp;creator=factset&amp;DYN_ARGS=TRUE&amp;DOC_NAME=FAT:FQL_AUDITING_CLIENT_TEMPLATE.FAT&amp;display_string=Audit&amp;VAR:KEY=JEJUXUPUJE&amp;VAR:QUERY=RkZfRUJJVERBX0lCKCdMVE1TJyw0MDA3OSk=&amp;WINDOW=FIRST_POPUP&amp;HEIGHT=450&amp;WIDTH=450&amp;START_MA","XIMIZED=FALSE&amp;VAR:CALENDAR=US&amp;VAR:SYMBOL=G0129K10&amp;VAR:INDEX=0"}</definedName>
    <definedName name="_7462__FDSAUDITLINK__" hidden="1">{"fdsup://directions/FAT Viewer?action=UPDATE&amp;creator=factset&amp;DYN_ARGS=TRUE&amp;DOC_NAME=FAT:FQL_AUDITING_CLIENT_TEMPLATE.FAT&amp;display_string=Audit&amp;VAR:KEY=JEJUXUPUJE&amp;VAR:QUERY=RkZfRUJJVERBX0lCKCdMVE1TJyw0MDA3OSk=&amp;WINDOW=FIRST_POPUP&amp;HEIGHT=450&amp;WIDTH=450&amp;START_MA","XIMIZED=FALSE&amp;VAR:CALENDAR=US&amp;VAR:SYMBOL=G0129K10&amp;VAR:INDEX=0"}</definedName>
    <definedName name="_7463__FDSAUDITLINK__" localSheetId="6" hidden="1">{"fdsup://directions/FAT Viewer?action=UPDATE&amp;creator=factset&amp;DYN_ARGS=TRUE&amp;DOC_NAME=FAT:FQL_AUDITING_CLIENT_TEMPLATE.FAT&amp;display_string=Audit&amp;VAR:KEY=LCBMDSBQHC&amp;VAR:QUERY=RkZfRUJJVERBX0lCKCdMVE1TJyw0MDA3OCk=&amp;WINDOW=FIRST_POPUP&amp;HEIGHT=450&amp;WIDTH=450&amp;START_MA","XIMIZED=FALSE&amp;VAR:CALENDAR=US&amp;VAR:SYMBOL=G0129K10&amp;VAR:INDEX=0"}</definedName>
    <definedName name="_7463__FDSAUDITLINK__" hidden="1">{"fdsup://directions/FAT Viewer?action=UPDATE&amp;creator=factset&amp;DYN_ARGS=TRUE&amp;DOC_NAME=FAT:FQL_AUDITING_CLIENT_TEMPLATE.FAT&amp;display_string=Audit&amp;VAR:KEY=LCBMDSBQHC&amp;VAR:QUERY=RkZfRUJJVERBX0lCKCdMVE1TJyw0MDA3OCk=&amp;WINDOW=FIRST_POPUP&amp;HEIGHT=450&amp;WIDTH=450&amp;START_MA","XIMIZED=FALSE&amp;VAR:CALENDAR=US&amp;VAR:SYMBOL=G0129K10&amp;VAR:INDEX=0"}</definedName>
    <definedName name="_7464__FDSAUDITLINK__" localSheetId="6" hidden="1">{"fdsup://directions/FAT Viewer?action=UPDATE&amp;creator=factset&amp;DYN_ARGS=TRUE&amp;DOC_NAME=FAT:FQL_AUDITING_CLIENT_TEMPLATE.FAT&amp;display_string=Audit&amp;VAR:KEY=RKVCJAPSXA&amp;VAR:QUERY=RkZfRUJJVERBX0lCKCdMVE1TJyw0MDA3Nyk=&amp;WINDOW=FIRST_POPUP&amp;HEIGHT=450&amp;WIDTH=450&amp;START_MA","XIMIZED=FALSE&amp;VAR:CALENDAR=US&amp;VAR:SYMBOL=G0129K10&amp;VAR:INDEX=0"}</definedName>
    <definedName name="_7464__FDSAUDITLINK__" hidden="1">{"fdsup://directions/FAT Viewer?action=UPDATE&amp;creator=factset&amp;DYN_ARGS=TRUE&amp;DOC_NAME=FAT:FQL_AUDITING_CLIENT_TEMPLATE.FAT&amp;display_string=Audit&amp;VAR:KEY=RKVCJAPSXA&amp;VAR:QUERY=RkZfRUJJVERBX0lCKCdMVE1TJyw0MDA3Nyk=&amp;WINDOW=FIRST_POPUP&amp;HEIGHT=450&amp;WIDTH=450&amp;START_MA","XIMIZED=FALSE&amp;VAR:CALENDAR=US&amp;VAR:SYMBOL=G0129K10&amp;VAR:INDEX=0"}</definedName>
    <definedName name="_7465__FDSAUDITLINK__" localSheetId="6" hidden="1">{"fdsup://directions/FAT Viewer?action=UPDATE&amp;creator=factset&amp;DYN_ARGS=TRUE&amp;DOC_NAME=FAT:FQL_AUDITING_CLIENT_TEMPLATE.FAT&amp;display_string=Audit&amp;VAR:KEY=LQDEVUXKXM&amp;VAR:QUERY=RkZfRUJJVERBX0lCKCdMVE1TJyw0MDA3Nik=&amp;WINDOW=FIRST_POPUP&amp;HEIGHT=450&amp;WIDTH=450&amp;START_MA","XIMIZED=FALSE&amp;VAR:CALENDAR=US&amp;VAR:SYMBOL=G0129K10&amp;VAR:INDEX=0"}</definedName>
    <definedName name="_7465__FDSAUDITLINK__" hidden="1">{"fdsup://directions/FAT Viewer?action=UPDATE&amp;creator=factset&amp;DYN_ARGS=TRUE&amp;DOC_NAME=FAT:FQL_AUDITING_CLIENT_TEMPLATE.FAT&amp;display_string=Audit&amp;VAR:KEY=LQDEVUXKXM&amp;VAR:QUERY=RkZfRUJJVERBX0lCKCdMVE1TJyw0MDA3Nik=&amp;WINDOW=FIRST_POPUP&amp;HEIGHT=450&amp;WIDTH=450&amp;START_MA","XIMIZED=FALSE&amp;VAR:CALENDAR=US&amp;VAR:SYMBOL=G0129K10&amp;VAR:INDEX=0"}</definedName>
    <definedName name="_7466__FDSAUDITLINK__" localSheetId="6" hidden="1">{"fdsup://directions/FAT Viewer?action=UPDATE&amp;creator=factset&amp;DYN_ARGS=TRUE&amp;DOC_NAME=FAT:FQL_AUDITING_CLIENT_TEMPLATE.FAT&amp;display_string=Audit&amp;VAR:KEY=TGVWDAJSLC&amp;VAR:QUERY=RkZfRUJJVERBX0lCKCdMVE1TJyw0MDA3NSk=&amp;WINDOW=FIRST_POPUP&amp;HEIGHT=450&amp;WIDTH=450&amp;START_MA","XIMIZED=FALSE&amp;VAR:CALENDAR=US&amp;VAR:SYMBOL=G0129K10&amp;VAR:INDEX=0"}</definedName>
    <definedName name="_7466__FDSAUDITLINK__" hidden="1">{"fdsup://directions/FAT Viewer?action=UPDATE&amp;creator=factset&amp;DYN_ARGS=TRUE&amp;DOC_NAME=FAT:FQL_AUDITING_CLIENT_TEMPLATE.FAT&amp;display_string=Audit&amp;VAR:KEY=TGVWDAJSLC&amp;VAR:QUERY=RkZfRUJJVERBX0lCKCdMVE1TJyw0MDA3NSk=&amp;WINDOW=FIRST_POPUP&amp;HEIGHT=450&amp;WIDTH=450&amp;START_MA","XIMIZED=FALSE&amp;VAR:CALENDAR=US&amp;VAR:SYMBOL=G0129K10&amp;VAR:INDEX=0"}</definedName>
    <definedName name="_7467__FDSAUDITLINK__" localSheetId="6" hidden="1">{"fdsup://directions/FAT Viewer?action=UPDATE&amp;creator=factset&amp;DYN_ARGS=TRUE&amp;DOC_NAME=FAT:FQL_AUDITING_CLIENT_TEMPLATE.FAT&amp;display_string=Audit&amp;VAR:KEY=NYPEZQLSPC&amp;VAR:QUERY=RkZfRUJJVERBX0lCKCdMVE1TJyw0MDA3NCk=&amp;WINDOW=FIRST_POPUP&amp;HEIGHT=450&amp;WIDTH=450&amp;START_MA","XIMIZED=FALSE&amp;VAR:CALENDAR=US&amp;VAR:SYMBOL=G0129K10&amp;VAR:INDEX=0"}</definedName>
    <definedName name="_7467__FDSAUDITLINK__" hidden="1">{"fdsup://directions/FAT Viewer?action=UPDATE&amp;creator=factset&amp;DYN_ARGS=TRUE&amp;DOC_NAME=FAT:FQL_AUDITING_CLIENT_TEMPLATE.FAT&amp;display_string=Audit&amp;VAR:KEY=NYPEZQLSPC&amp;VAR:QUERY=RkZfRUJJVERBX0lCKCdMVE1TJyw0MDA3NCk=&amp;WINDOW=FIRST_POPUP&amp;HEIGHT=450&amp;WIDTH=450&amp;START_MA","XIMIZED=FALSE&amp;VAR:CALENDAR=US&amp;VAR:SYMBOL=G0129K10&amp;VAR:INDEX=0"}</definedName>
    <definedName name="_7468__FDSAUDITLINK__" localSheetId="6" hidden="1">{"fdsup://directions/FAT Viewer?action=UPDATE&amp;creator=factset&amp;DYN_ARGS=TRUE&amp;DOC_NAME=FAT:FQL_AUDITING_CLIENT_TEMPLATE.FAT&amp;display_string=Audit&amp;VAR:KEY=BEHQDSXMTY&amp;VAR:QUERY=RkZfRUJJVERBX0lCKCdMVE1TJyw0MDA3Myk=&amp;WINDOW=FIRST_POPUP&amp;HEIGHT=450&amp;WIDTH=450&amp;START_MA","XIMIZED=FALSE&amp;VAR:CALENDAR=US&amp;VAR:SYMBOL=G0129K10&amp;VAR:INDEX=0"}</definedName>
    <definedName name="_7468__FDSAUDITLINK__" hidden="1">{"fdsup://directions/FAT Viewer?action=UPDATE&amp;creator=factset&amp;DYN_ARGS=TRUE&amp;DOC_NAME=FAT:FQL_AUDITING_CLIENT_TEMPLATE.FAT&amp;display_string=Audit&amp;VAR:KEY=BEHQDSXMTY&amp;VAR:QUERY=RkZfRUJJVERBX0lCKCdMVE1TJyw0MDA3Myk=&amp;WINDOW=FIRST_POPUP&amp;HEIGHT=450&amp;WIDTH=450&amp;START_MA","XIMIZED=FALSE&amp;VAR:CALENDAR=US&amp;VAR:SYMBOL=G0129K10&amp;VAR:INDEX=0"}</definedName>
    <definedName name="_7469__FDSAUDITLINK__" localSheetId="6" hidden="1">{"fdsup://directions/FAT Viewer?action=UPDATE&amp;creator=factset&amp;DYN_ARGS=TRUE&amp;DOC_NAME=FAT:FQL_AUDITING_CLIENT_TEMPLATE.FAT&amp;display_string=Audit&amp;VAR:KEY=NUFMXGVMFU&amp;VAR:QUERY=RkZfRUJJVERBX0lCKCdMVE1TJyw0MDA3Mik=&amp;WINDOW=FIRST_POPUP&amp;HEIGHT=450&amp;WIDTH=450&amp;START_MA","XIMIZED=FALSE&amp;VAR:CALENDAR=US&amp;VAR:SYMBOL=G0129K10&amp;VAR:INDEX=0"}</definedName>
    <definedName name="_7469__FDSAUDITLINK__" hidden="1">{"fdsup://directions/FAT Viewer?action=UPDATE&amp;creator=factset&amp;DYN_ARGS=TRUE&amp;DOC_NAME=FAT:FQL_AUDITING_CLIENT_TEMPLATE.FAT&amp;display_string=Audit&amp;VAR:KEY=NUFMXGVMFU&amp;VAR:QUERY=RkZfRUJJVERBX0lCKCdMVE1TJyw0MDA3Mik=&amp;WINDOW=FIRST_POPUP&amp;HEIGHT=450&amp;WIDTH=450&amp;START_MA","XIMIZED=FALSE&amp;VAR:CALENDAR=US&amp;VAR:SYMBOL=G0129K10&amp;VAR:INDEX=0"}</definedName>
    <definedName name="_747__FDSAUDITLINK__" localSheetId="6" hidden="1">{"fdsup://directions/FAT%20Viewer?VAR:PED=LTM&amp;VAR:AUDIT_MODE=SUMMARY&amp;VAR:PERIOD=FIXED&amp;VAR:AUDIT_ID=00000117&amp;VAR:DATE=20080205&amp;action=UPDATE&amp;creator=factset&amp;DOC_NAME=FAT:FMA_audit_SUMMARY.fat&amp;DISPLAY_STRING=Display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7__FDSAUDITLINK__" hidden="1">{"fdsup://directions/FAT%20Viewer?VAR:PED=LTM&amp;VAR:AUDIT_MODE=SUMMARY&amp;VAR:PERIOD=FIXED&amp;VAR:AUDIT_ID=00000117&amp;VAR:DATE=20080205&amp;action=UPDATE&amp;creator=factset&amp;DOC_NAME=FAT:FMA_audit_SUMMARY.fat&amp;DISPLAY_STRING=Display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70__FDSAUDITLINK__" localSheetId="6" hidden="1">{"fdsup://directions/FAT Viewer?action=UPDATE&amp;creator=factset&amp;DYN_ARGS=TRUE&amp;DOC_NAME=FAT:FQL_AUDITING_CLIENT_TEMPLATE.FAT&amp;display_string=Audit&amp;VAR:KEY=ZWJMTAPGJC&amp;VAR:QUERY=RkZfRUJJVERBX0lCKCdMVE1TJyw0MDA3MSk=&amp;WINDOW=FIRST_POPUP&amp;HEIGHT=450&amp;WIDTH=450&amp;START_MA","XIMIZED=FALSE&amp;VAR:CALENDAR=US&amp;VAR:SYMBOL=G0129K10&amp;VAR:INDEX=0"}</definedName>
    <definedName name="_7470__FDSAUDITLINK__" hidden="1">{"fdsup://directions/FAT Viewer?action=UPDATE&amp;creator=factset&amp;DYN_ARGS=TRUE&amp;DOC_NAME=FAT:FQL_AUDITING_CLIENT_TEMPLATE.FAT&amp;display_string=Audit&amp;VAR:KEY=ZWJMTAPGJC&amp;VAR:QUERY=RkZfRUJJVERBX0lCKCdMVE1TJyw0MDA3MSk=&amp;WINDOW=FIRST_POPUP&amp;HEIGHT=450&amp;WIDTH=450&amp;START_MA","XIMIZED=FALSE&amp;VAR:CALENDAR=US&amp;VAR:SYMBOL=G0129K10&amp;VAR:INDEX=0"}</definedName>
    <definedName name="_7471__FDSAUDITLINK__" localSheetId="6" hidden="1">{"fdsup://directions/FAT Viewer?action=UPDATE&amp;creator=factset&amp;DYN_ARGS=TRUE&amp;DOC_NAME=FAT:FQL_AUDITING_CLIENT_TEMPLATE.FAT&amp;display_string=Audit&amp;VAR:KEY=FMZSRYNWJU&amp;VAR:QUERY=RkZfRUJJVERBX0lCKCdMVE1TJyw0MDA3MCk=&amp;WINDOW=FIRST_POPUP&amp;HEIGHT=450&amp;WIDTH=450&amp;START_MA","XIMIZED=FALSE&amp;VAR:CALENDAR=US&amp;VAR:SYMBOL=G0129K10&amp;VAR:INDEX=0"}</definedName>
    <definedName name="_7471__FDSAUDITLINK__" hidden="1">{"fdsup://directions/FAT Viewer?action=UPDATE&amp;creator=factset&amp;DYN_ARGS=TRUE&amp;DOC_NAME=FAT:FQL_AUDITING_CLIENT_TEMPLATE.FAT&amp;display_string=Audit&amp;VAR:KEY=FMZSRYNWJU&amp;VAR:QUERY=RkZfRUJJVERBX0lCKCdMVE1TJyw0MDA3MCk=&amp;WINDOW=FIRST_POPUP&amp;HEIGHT=450&amp;WIDTH=450&amp;START_MA","XIMIZED=FALSE&amp;VAR:CALENDAR=US&amp;VAR:SYMBOL=G0129K10&amp;VAR:INDEX=0"}</definedName>
    <definedName name="_7472__FDSAUDITLINK__" localSheetId="6" hidden="1">{"fdsup://directions/FAT Viewer?action=UPDATE&amp;creator=factset&amp;DYN_ARGS=TRUE&amp;DOC_NAME=FAT:FQL_AUDITING_CLIENT_TEMPLATE.FAT&amp;display_string=Audit&amp;VAR:KEY=XORYRSNAZC&amp;VAR:QUERY=RkZfRUJJVERBX0lCKCdMVE1TJyw0MDA2OSk=&amp;WINDOW=FIRST_POPUP&amp;HEIGHT=450&amp;WIDTH=450&amp;START_MA","XIMIZED=FALSE&amp;VAR:CALENDAR=US&amp;VAR:SYMBOL=G0129K10&amp;VAR:INDEX=0"}</definedName>
    <definedName name="_7472__FDSAUDITLINK__" hidden="1">{"fdsup://directions/FAT Viewer?action=UPDATE&amp;creator=factset&amp;DYN_ARGS=TRUE&amp;DOC_NAME=FAT:FQL_AUDITING_CLIENT_TEMPLATE.FAT&amp;display_string=Audit&amp;VAR:KEY=XORYRSNAZC&amp;VAR:QUERY=RkZfRUJJVERBX0lCKCdMVE1TJyw0MDA2OSk=&amp;WINDOW=FIRST_POPUP&amp;HEIGHT=450&amp;WIDTH=450&amp;START_MA","XIMIZED=FALSE&amp;VAR:CALENDAR=US&amp;VAR:SYMBOL=G0129K10&amp;VAR:INDEX=0"}</definedName>
    <definedName name="_7473__FDSAUDITLINK__" localSheetId="6" hidden="1">{"fdsup://directions/FAT Viewer?action=UPDATE&amp;creator=factset&amp;DYN_ARGS=TRUE&amp;DOC_NAME=FAT:FQL_AUDITING_CLIENT_TEMPLATE.FAT&amp;display_string=Audit&amp;VAR:KEY=LSZUZQFGTS&amp;VAR:QUERY=RkZfRUJJVERBX0lCKCdMVE1TJyw0MDA2OCk=&amp;WINDOW=FIRST_POPUP&amp;HEIGHT=450&amp;WIDTH=450&amp;START_MA","XIMIZED=FALSE&amp;VAR:CALENDAR=US&amp;VAR:SYMBOL=G0129K10&amp;VAR:INDEX=0"}</definedName>
    <definedName name="_7473__FDSAUDITLINK__" hidden="1">{"fdsup://directions/FAT Viewer?action=UPDATE&amp;creator=factset&amp;DYN_ARGS=TRUE&amp;DOC_NAME=FAT:FQL_AUDITING_CLIENT_TEMPLATE.FAT&amp;display_string=Audit&amp;VAR:KEY=LSZUZQFGTS&amp;VAR:QUERY=RkZfRUJJVERBX0lCKCdMVE1TJyw0MDA2OCk=&amp;WINDOW=FIRST_POPUP&amp;HEIGHT=450&amp;WIDTH=450&amp;START_MA","XIMIZED=FALSE&amp;VAR:CALENDAR=US&amp;VAR:SYMBOL=G0129K10&amp;VAR:INDEX=0"}</definedName>
    <definedName name="_7474__FDSAUDITLINK__" localSheetId="6" hidden="1">{"fdsup://directions/FAT Viewer?action=UPDATE&amp;creator=factset&amp;DYN_ARGS=TRUE&amp;DOC_NAME=FAT:FQL_AUDITING_CLIENT_TEMPLATE.FAT&amp;display_string=Audit&amp;VAR:KEY=RYTINALQRO&amp;VAR:QUERY=RkZfRUJJVERBX0lCKCdMVE1TJyw0MDA2Nyk=&amp;WINDOW=FIRST_POPUP&amp;HEIGHT=450&amp;WIDTH=450&amp;START_MA","XIMIZED=FALSE&amp;VAR:CALENDAR=US&amp;VAR:SYMBOL=G0129K10&amp;VAR:INDEX=0"}</definedName>
    <definedName name="_7474__FDSAUDITLINK__" hidden="1">{"fdsup://directions/FAT Viewer?action=UPDATE&amp;creator=factset&amp;DYN_ARGS=TRUE&amp;DOC_NAME=FAT:FQL_AUDITING_CLIENT_TEMPLATE.FAT&amp;display_string=Audit&amp;VAR:KEY=RYTINALQRO&amp;VAR:QUERY=RkZfRUJJVERBX0lCKCdMVE1TJyw0MDA2Nyk=&amp;WINDOW=FIRST_POPUP&amp;HEIGHT=450&amp;WIDTH=450&amp;START_MA","XIMIZED=FALSE&amp;VAR:CALENDAR=US&amp;VAR:SYMBOL=G0129K10&amp;VAR:INDEX=0"}</definedName>
    <definedName name="_7475__FDSAUDITLINK__" localSheetId="6" hidden="1">{"fdsup://directions/FAT Viewer?action=UPDATE&amp;creator=factset&amp;DYN_ARGS=TRUE&amp;DOC_NAME=FAT:FQL_AUDITING_CLIENT_TEMPLATE.FAT&amp;display_string=Audit&amp;VAR:KEY=ZGFKHQNERA&amp;VAR:QUERY=RkZfRUJJVERBX0lCKCdMVE1TJyw0MDA2Nik=&amp;WINDOW=FIRST_POPUP&amp;HEIGHT=450&amp;WIDTH=450&amp;START_MA","XIMIZED=FALSE&amp;VAR:CALENDAR=US&amp;VAR:SYMBOL=G0129K10&amp;VAR:INDEX=0"}</definedName>
    <definedName name="_7475__FDSAUDITLINK__" hidden="1">{"fdsup://directions/FAT Viewer?action=UPDATE&amp;creator=factset&amp;DYN_ARGS=TRUE&amp;DOC_NAME=FAT:FQL_AUDITING_CLIENT_TEMPLATE.FAT&amp;display_string=Audit&amp;VAR:KEY=ZGFKHQNERA&amp;VAR:QUERY=RkZfRUJJVERBX0lCKCdMVE1TJyw0MDA2Nik=&amp;WINDOW=FIRST_POPUP&amp;HEIGHT=450&amp;WIDTH=450&amp;START_MA","XIMIZED=FALSE&amp;VAR:CALENDAR=US&amp;VAR:SYMBOL=G0129K10&amp;VAR:INDEX=0"}</definedName>
    <definedName name="_7476__FDSAUDITLINK__" localSheetId="6" hidden="1">{"fdsup://directions/FAT Viewer?action=UPDATE&amp;creator=factset&amp;DYN_ARGS=TRUE&amp;DOC_NAME=FAT:FQL_AUDITING_CLIENT_TEMPLATE.FAT&amp;display_string=Audit&amp;VAR:KEY=PMNMNATCZA&amp;VAR:QUERY=RkZfRUJJVERBX0lCKCdMVE1TJyw0MDA2NSk=&amp;WINDOW=FIRST_POPUP&amp;HEIGHT=450&amp;WIDTH=450&amp;START_MA","XIMIZED=FALSE&amp;VAR:CALENDAR=US&amp;VAR:SYMBOL=G0129K10&amp;VAR:INDEX=0"}</definedName>
    <definedName name="_7476__FDSAUDITLINK__" hidden="1">{"fdsup://directions/FAT Viewer?action=UPDATE&amp;creator=factset&amp;DYN_ARGS=TRUE&amp;DOC_NAME=FAT:FQL_AUDITING_CLIENT_TEMPLATE.FAT&amp;display_string=Audit&amp;VAR:KEY=PMNMNATCZA&amp;VAR:QUERY=RkZfRUJJVERBX0lCKCdMVE1TJyw0MDA2NSk=&amp;WINDOW=FIRST_POPUP&amp;HEIGHT=450&amp;WIDTH=450&amp;START_MA","XIMIZED=FALSE&amp;VAR:CALENDAR=US&amp;VAR:SYMBOL=G0129K10&amp;VAR:INDEX=0"}</definedName>
    <definedName name="_7477__FDSAUDITLINK__" localSheetId="6" hidden="1">{"fdsup://directions/FAT Viewer?action=UPDATE&amp;creator=factset&amp;DYN_ARGS=TRUE&amp;DOC_NAME=FAT:FQL_AUDITING_CLIENT_TEMPLATE.FAT&amp;display_string=Audit&amp;VAR:KEY=VSZOHKTKTA&amp;VAR:QUERY=RkZfRUJJVERBX0lCKCdMVE1TJyw0MDA2NCk=&amp;WINDOW=FIRST_POPUP&amp;HEIGHT=450&amp;WIDTH=450&amp;START_MA","XIMIZED=FALSE&amp;VAR:CALENDAR=US&amp;VAR:SYMBOL=G0129K10&amp;VAR:INDEX=0"}</definedName>
    <definedName name="_7477__FDSAUDITLINK__" hidden="1">{"fdsup://directions/FAT Viewer?action=UPDATE&amp;creator=factset&amp;DYN_ARGS=TRUE&amp;DOC_NAME=FAT:FQL_AUDITING_CLIENT_TEMPLATE.FAT&amp;display_string=Audit&amp;VAR:KEY=VSZOHKTKTA&amp;VAR:QUERY=RkZfRUJJVERBX0lCKCdMVE1TJyw0MDA2NCk=&amp;WINDOW=FIRST_POPUP&amp;HEIGHT=450&amp;WIDTH=450&amp;START_MA","XIMIZED=FALSE&amp;VAR:CALENDAR=US&amp;VAR:SYMBOL=G0129K10&amp;VAR:INDEX=0"}</definedName>
    <definedName name="_7478__FDSAUDITLINK__" localSheetId="6" hidden="1">{"fdsup://directions/FAT Viewer?action=UPDATE&amp;creator=factset&amp;DYN_ARGS=TRUE&amp;DOC_NAME=FAT:FQL_AUDITING_CLIENT_TEMPLATE.FAT&amp;display_string=Audit&amp;VAR:KEY=VOVUZYZOVW&amp;VAR:QUERY=RkZfRUJJVERBX0lCKCdMVE1TJyw0MDA2Myk=&amp;WINDOW=FIRST_POPUP&amp;HEIGHT=450&amp;WIDTH=450&amp;START_MA","XIMIZED=FALSE&amp;VAR:CALENDAR=US&amp;VAR:SYMBOL=G0129K10&amp;VAR:INDEX=0"}</definedName>
    <definedName name="_7478__FDSAUDITLINK__" hidden="1">{"fdsup://directions/FAT Viewer?action=UPDATE&amp;creator=factset&amp;DYN_ARGS=TRUE&amp;DOC_NAME=FAT:FQL_AUDITING_CLIENT_TEMPLATE.FAT&amp;display_string=Audit&amp;VAR:KEY=VOVUZYZOVW&amp;VAR:QUERY=RkZfRUJJVERBX0lCKCdMVE1TJyw0MDA2Myk=&amp;WINDOW=FIRST_POPUP&amp;HEIGHT=450&amp;WIDTH=450&amp;START_MA","XIMIZED=FALSE&amp;VAR:CALENDAR=US&amp;VAR:SYMBOL=G0129K10&amp;VAR:INDEX=0"}</definedName>
    <definedName name="_7479__FDSAUDITLINK__" localSheetId="6" hidden="1">{"fdsup://directions/FAT Viewer?action=UPDATE&amp;creator=factset&amp;DYN_ARGS=TRUE&amp;DOC_NAME=FAT:FQL_AUDITING_CLIENT_TEMPLATE.FAT&amp;display_string=Audit&amp;VAR:KEY=ZAXARIZEXY&amp;VAR:QUERY=RkZfRUJJVERBX0lCKCdMVE1TJyw0MDA2Mik=&amp;WINDOW=FIRST_POPUP&amp;HEIGHT=450&amp;WIDTH=450&amp;START_MA","XIMIZED=FALSE&amp;VAR:CALENDAR=US&amp;VAR:SYMBOL=G0129K10&amp;VAR:INDEX=0"}</definedName>
    <definedName name="_7479__FDSAUDITLINK__" hidden="1">{"fdsup://directions/FAT Viewer?action=UPDATE&amp;creator=factset&amp;DYN_ARGS=TRUE&amp;DOC_NAME=FAT:FQL_AUDITING_CLIENT_TEMPLATE.FAT&amp;display_string=Audit&amp;VAR:KEY=ZAXARIZEXY&amp;VAR:QUERY=RkZfRUJJVERBX0lCKCdMVE1TJyw0MDA2Mik=&amp;WINDOW=FIRST_POPUP&amp;HEIGHT=450&amp;WIDTH=450&amp;START_MA","XIMIZED=FALSE&amp;VAR:CALENDAR=US&amp;VAR:SYMBOL=G0129K10&amp;VAR:INDEX=0"}</definedName>
    <definedName name="_748__FDSAUDITLINK__" localSheetId="6" hidden="1">{"fdsup://directions/FAT%20Viewer?VAR:PED=LTM&amp;VAR:AUDIT_MODE=SUMMARY&amp;VAR:PERIOD=FIXED&amp;VAR:AUDIT_ID=00000117&amp;VAR:DATE=20080204&amp;action=UPDATE&amp;creator=factset&amp;DOC_NAME=FAT:FMA_audit_SUMMARY.fat&amp;DISPLAY_STRING=Display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8__FDSAUDITLINK__" hidden="1">{"fdsup://directions/FAT%20Viewer?VAR:PED=LTM&amp;VAR:AUDIT_MODE=SUMMARY&amp;VAR:PERIOD=FIXED&amp;VAR:AUDIT_ID=00000117&amp;VAR:DATE=20080204&amp;action=UPDATE&amp;creator=factset&amp;DOC_NAME=FAT:FMA_audit_SUMMARY.fat&amp;DISPLAY_STRING=Display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80__FDSAUDITLINK__" localSheetId="6" hidden="1">{"fdsup://directions/FAT Viewer?action=UPDATE&amp;creator=factset&amp;DYN_ARGS=TRUE&amp;DOC_NAME=FAT:FQL_AUDITING_CLIENT_TEMPLATE.FAT&amp;display_string=Audit&amp;VAR:KEY=VYBYZEHEVQ&amp;VAR:QUERY=RkZfRUJJVERBX0lCKCdMVE1TJyw0MDA2MSk=&amp;WINDOW=FIRST_POPUP&amp;HEIGHT=450&amp;WIDTH=450&amp;START_MA","XIMIZED=FALSE&amp;VAR:CALENDAR=US&amp;VAR:SYMBOL=G0129K10&amp;VAR:INDEX=0"}</definedName>
    <definedName name="_7480__FDSAUDITLINK__" hidden="1">{"fdsup://directions/FAT Viewer?action=UPDATE&amp;creator=factset&amp;DYN_ARGS=TRUE&amp;DOC_NAME=FAT:FQL_AUDITING_CLIENT_TEMPLATE.FAT&amp;display_string=Audit&amp;VAR:KEY=VYBYZEHEVQ&amp;VAR:QUERY=RkZfRUJJVERBX0lCKCdMVE1TJyw0MDA2MSk=&amp;WINDOW=FIRST_POPUP&amp;HEIGHT=450&amp;WIDTH=450&amp;START_MA","XIMIZED=FALSE&amp;VAR:CALENDAR=US&amp;VAR:SYMBOL=G0129K10&amp;VAR:INDEX=0"}</definedName>
    <definedName name="_7481__FDSAUDITLINK__" localSheetId="6" hidden="1">{"fdsup://directions/FAT Viewer?action=UPDATE&amp;creator=factset&amp;DYN_ARGS=TRUE&amp;DOC_NAME=FAT:FQL_AUDITING_CLIENT_TEMPLATE.FAT&amp;display_string=Audit&amp;VAR:KEY=XCZMPKNUJY&amp;VAR:QUERY=RkZfRUJJVERBX0lCKCdMVE1TJyw0MDA2MCk=&amp;WINDOW=FIRST_POPUP&amp;HEIGHT=450&amp;WIDTH=450&amp;START_MA","XIMIZED=FALSE&amp;VAR:CALENDAR=US&amp;VAR:SYMBOL=G0129K10&amp;VAR:INDEX=0"}</definedName>
    <definedName name="_7481__FDSAUDITLINK__" hidden="1">{"fdsup://directions/FAT Viewer?action=UPDATE&amp;creator=factset&amp;DYN_ARGS=TRUE&amp;DOC_NAME=FAT:FQL_AUDITING_CLIENT_TEMPLATE.FAT&amp;display_string=Audit&amp;VAR:KEY=XCZMPKNUJY&amp;VAR:QUERY=RkZfRUJJVERBX0lCKCdMVE1TJyw0MDA2MCk=&amp;WINDOW=FIRST_POPUP&amp;HEIGHT=450&amp;WIDTH=450&amp;START_MA","XIMIZED=FALSE&amp;VAR:CALENDAR=US&amp;VAR:SYMBOL=G0129K10&amp;VAR:INDEX=0"}</definedName>
    <definedName name="_7482__FDSAUDITLINK__" localSheetId="6" hidden="1">{"fdsup://directions/FAT Viewer?action=UPDATE&amp;creator=factset&amp;DYN_ARGS=TRUE&amp;DOC_NAME=FAT:FQL_AUDITING_CLIENT_TEMPLATE.FAT&amp;display_string=Audit&amp;VAR:KEY=LMDSBGVINA&amp;VAR:QUERY=RkZfRUJJVERBX0lCKCdMVE1TJyw0MDA1OSk=&amp;WINDOW=FIRST_POPUP&amp;HEIGHT=450&amp;WIDTH=450&amp;START_MA","XIMIZED=FALSE&amp;VAR:CALENDAR=US&amp;VAR:SYMBOL=G0129K10&amp;VAR:INDEX=0"}</definedName>
    <definedName name="_7482__FDSAUDITLINK__" hidden="1">{"fdsup://directions/FAT Viewer?action=UPDATE&amp;creator=factset&amp;DYN_ARGS=TRUE&amp;DOC_NAME=FAT:FQL_AUDITING_CLIENT_TEMPLATE.FAT&amp;display_string=Audit&amp;VAR:KEY=LMDSBGVINA&amp;VAR:QUERY=RkZfRUJJVERBX0lCKCdMVE1TJyw0MDA1OSk=&amp;WINDOW=FIRST_POPUP&amp;HEIGHT=450&amp;WIDTH=450&amp;START_MA","XIMIZED=FALSE&amp;VAR:CALENDAR=US&amp;VAR:SYMBOL=G0129K10&amp;VAR:INDEX=0"}</definedName>
    <definedName name="_7483__FDSAUDITLINK__" localSheetId="6" hidden="1">{"fdsup://directions/FAT Viewer?action=UPDATE&amp;creator=factset&amp;DYN_ARGS=TRUE&amp;DOC_NAME=FAT:FQL_AUDITING_CLIENT_TEMPLATE.FAT&amp;display_string=Audit&amp;VAR:KEY=DCXAHYRWHA&amp;VAR:QUERY=RkZfRUJJVERBX0lCKCdMVE1TJyw0MDA1OCk=&amp;WINDOW=FIRST_POPUP&amp;HEIGHT=450&amp;WIDTH=450&amp;START_MA","XIMIZED=FALSE&amp;VAR:CALENDAR=US&amp;VAR:SYMBOL=G0129K10&amp;VAR:INDEX=0"}</definedName>
    <definedName name="_7483__FDSAUDITLINK__" hidden="1">{"fdsup://directions/FAT Viewer?action=UPDATE&amp;creator=factset&amp;DYN_ARGS=TRUE&amp;DOC_NAME=FAT:FQL_AUDITING_CLIENT_TEMPLATE.FAT&amp;display_string=Audit&amp;VAR:KEY=DCXAHYRWHA&amp;VAR:QUERY=RkZfRUJJVERBX0lCKCdMVE1TJyw0MDA1OCk=&amp;WINDOW=FIRST_POPUP&amp;HEIGHT=450&amp;WIDTH=450&amp;START_MA","XIMIZED=FALSE&amp;VAR:CALENDAR=US&amp;VAR:SYMBOL=G0129K10&amp;VAR:INDEX=0"}</definedName>
    <definedName name="_7484__FDSAUDITLINK__" localSheetId="6" hidden="1">{"fdsup://directions/FAT Viewer?action=UPDATE&amp;creator=factset&amp;DYN_ARGS=TRUE&amp;DOC_NAME=FAT:FQL_AUDITING_CLIENT_TEMPLATE.FAT&amp;display_string=Audit&amp;VAR:KEY=TUJYLGJCPK&amp;VAR:QUERY=RkZfRUJJVERBX0lCKCdMVE1TJyw0MDA1Nyk=&amp;WINDOW=FIRST_POPUP&amp;HEIGHT=450&amp;WIDTH=450&amp;START_MA","XIMIZED=FALSE&amp;VAR:CALENDAR=US&amp;VAR:SYMBOL=G0129K10&amp;VAR:INDEX=0"}</definedName>
    <definedName name="_7484__FDSAUDITLINK__" hidden="1">{"fdsup://directions/FAT Viewer?action=UPDATE&amp;creator=factset&amp;DYN_ARGS=TRUE&amp;DOC_NAME=FAT:FQL_AUDITING_CLIENT_TEMPLATE.FAT&amp;display_string=Audit&amp;VAR:KEY=TUJYLGJCPK&amp;VAR:QUERY=RkZfRUJJVERBX0lCKCdMVE1TJyw0MDA1Nyk=&amp;WINDOW=FIRST_POPUP&amp;HEIGHT=450&amp;WIDTH=450&amp;START_MA","XIMIZED=FALSE&amp;VAR:CALENDAR=US&amp;VAR:SYMBOL=G0129K10&amp;VAR:INDEX=0"}</definedName>
    <definedName name="_7485__FDSAUDITLINK__" localSheetId="6" hidden="1">{"fdsup://directions/FAT Viewer?action=UPDATE&amp;creator=factset&amp;DYN_ARGS=TRUE&amp;DOC_NAME=FAT:FQL_AUDITING_CLIENT_TEMPLATE.FAT&amp;display_string=Audit&amp;VAR:KEY=FEXMTUZMHW&amp;VAR:QUERY=RkZfRUJJVERBX0lCKCdMVE1TJyw0MDA1Nik=&amp;WINDOW=FIRST_POPUP&amp;HEIGHT=450&amp;WIDTH=450&amp;START_MA","XIMIZED=FALSE&amp;VAR:CALENDAR=US&amp;VAR:SYMBOL=G0129K10&amp;VAR:INDEX=0"}</definedName>
    <definedName name="_7485__FDSAUDITLINK__" hidden="1">{"fdsup://directions/FAT Viewer?action=UPDATE&amp;creator=factset&amp;DYN_ARGS=TRUE&amp;DOC_NAME=FAT:FQL_AUDITING_CLIENT_TEMPLATE.FAT&amp;display_string=Audit&amp;VAR:KEY=FEXMTUZMHW&amp;VAR:QUERY=RkZfRUJJVERBX0lCKCdMVE1TJyw0MDA1Nik=&amp;WINDOW=FIRST_POPUP&amp;HEIGHT=450&amp;WIDTH=450&amp;START_MA","XIMIZED=FALSE&amp;VAR:CALENDAR=US&amp;VAR:SYMBOL=G0129K10&amp;VAR:INDEX=0"}</definedName>
    <definedName name="_7486__FDSAUDITLINK__" localSheetId="6" hidden="1">{"fdsup://directions/FAT Viewer?action=UPDATE&amp;creator=factset&amp;DYN_ARGS=TRUE&amp;DOC_NAME=FAT:FQL_AUDITING_CLIENT_TEMPLATE.FAT&amp;display_string=Audit&amp;VAR:KEY=JQPQTEREHW&amp;VAR:QUERY=RkZfRUJJVERBX0lCKCdMVE1TJyw0MDA1NSk=&amp;WINDOW=FIRST_POPUP&amp;HEIGHT=450&amp;WIDTH=450&amp;START_MA","XIMIZED=FALSE&amp;VAR:CALENDAR=US&amp;VAR:SYMBOL=G0129K10&amp;VAR:INDEX=0"}</definedName>
    <definedName name="_7486__FDSAUDITLINK__" hidden="1">{"fdsup://directions/FAT Viewer?action=UPDATE&amp;creator=factset&amp;DYN_ARGS=TRUE&amp;DOC_NAME=FAT:FQL_AUDITING_CLIENT_TEMPLATE.FAT&amp;display_string=Audit&amp;VAR:KEY=JQPQTEREHW&amp;VAR:QUERY=RkZfRUJJVERBX0lCKCdMVE1TJyw0MDA1NSk=&amp;WINDOW=FIRST_POPUP&amp;HEIGHT=450&amp;WIDTH=450&amp;START_MA","XIMIZED=FALSE&amp;VAR:CALENDAR=US&amp;VAR:SYMBOL=G0129K10&amp;VAR:INDEX=0"}</definedName>
    <definedName name="_7487__FDSAUDITLINK__" localSheetId="6" hidden="1">{"fdsup://directions/FAT Viewer?action=UPDATE&amp;creator=factset&amp;DYN_ARGS=TRUE&amp;DOC_NAME=FAT:FQL_AUDITING_CLIENT_TEMPLATE.FAT&amp;display_string=Audit&amp;VAR:KEY=JAFATYLUXQ&amp;VAR:QUERY=RkZfRUJJVERBX0lCKCdMVE1TJyw0MDA1NCk=&amp;WINDOW=FIRST_POPUP&amp;HEIGHT=450&amp;WIDTH=450&amp;START_MA","XIMIZED=FALSE&amp;VAR:CALENDAR=US&amp;VAR:SYMBOL=G0129K10&amp;VAR:INDEX=0"}</definedName>
    <definedName name="_7487__FDSAUDITLINK__" hidden="1">{"fdsup://directions/FAT Viewer?action=UPDATE&amp;creator=factset&amp;DYN_ARGS=TRUE&amp;DOC_NAME=FAT:FQL_AUDITING_CLIENT_TEMPLATE.FAT&amp;display_string=Audit&amp;VAR:KEY=JAFATYLUXQ&amp;VAR:QUERY=RkZfRUJJVERBX0lCKCdMVE1TJyw0MDA1NCk=&amp;WINDOW=FIRST_POPUP&amp;HEIGHT=450&amp;WIDTH=450&amp;START_MA","XIMIZED=FALSE&amp;VAR:CALENDAR=US&amp;VAR:SYMBOL=G0129K10&amp;VAR:INDEX=0"}</definedName>
    <definedName name="_7488__FDSAUDITLINK__" localSheetId="6" hidden="1">{"fdsup://directions/FAT Viewer?action=UPDATE&amp;creator=factset&amp;DYN_ARGS=TRUE&amp;DOC_NAME=FAT:FQL_AUDITING_CLIENT_TEMPLATE.FAT&amp;display_string=Audit&amp;VAR:KEY=HQPUDAXANO&amp;VAR:QUERY=RkZfRUJJVERBX0lCKCdMVE1TJyw0MDA1Myk=&amp;WINDOW=FIRST_POPUP&amp;HEIGHT=450&amp;WIDTH=450&amp;START_MA","XIMIZED=FALSE&amp;VAR:CALENDAR=US&amp;VAR:SYMBOL=G0129K10&amp;VAR:INDEX=0"}</definedName>
    <definedName name="_7488__FDSAUDITLINK__" hidden="1">{"fdsup://directions/FAT Viewer?action=UPDATE&amp;creator=factset&amp;DYN_ARGS=TRUE&amp;DOC_NAME=FAT:FQL_AUDITING_CLIENT_TEMPLATE.FAT&amp;display_string=Audit&amp;VAR:KEY=HQPUDAXANO&amp;VAR:QUERY=RkZfRUJJVERBX0lCKCdMVE1TJyw0MDA1Myk=&amp;WINDOW=FIRST_POPUP&amp;HEIGHT=450&amp;WIDTH=450&amp;START_MA","XIMIZED=FALSE&amp;VAR:CALENDAR=US&amp;VAR:SYMBOL=G0129K10&amp;VAR:INDEX=0"}</definedName>
    <definedName name="_7489__FDSAUDITLINK__" localSheetId="6" hidden="1">{"fdsup://directions/FAT Viewer?action=UPDATE&amp;creator=factset&amp;DYN_ARGS=TRUE&amp;DOC_NAME=FAT:FQL_AUDITING_CLIENT_TEMPLATE.FAT&amp;display_string=Audit&amp;VAR:KEY=BCPYFMVURG&amp;VAR:QUERY=RkZfRUJJVERBX0lCKCdMVE1TJyw0MDA1Mik=&amp;WINDOW=FIRST_POPUP&amp;HEIGHT=450&amp;WIDTH=450&amp;START_MA","XIMIZED=FALSE&amp;VAR:CALENDAR=US&amp;VAR:SYMBOL=G0129K10&amp;VAR:INDEX=0"}</definedName>
    <definedName name="_7489__FDSAUDITLINK__" hidden="1">{"fdsup://directions/FAT Viewer?action=UPDATE&amp;creator=factset&amp;DYN_ARGS=TRUE&amp;DOC_NAME=FAT:FQL_AUDITING_CLIENT_TEMPLATE.FAT&amp;display_string=Audit&amp;VAR:KEY=BCPYFMVURG&amp;VAR:QUERY=RkZfRUJJVERBX0lCKCdMVE1TJyw0MDA1Mik=&amp;WINDOW=FIRST_POPUP&amp;HEIGHT=450&amp;WIDTH=450&amp;START_MA","XIMIZED=FALSE&amp;VAR:CALENDAR=US&amp;VAR:SYMBOL=G0129K10&amp;VAR:INDEX=0"}</definedName>
    <definedName name="_749__FDSAUDITLINK__" localSheetId="6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9__FDSAUDITLINK__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490__FDSAUDITLINK__" localSheetId="6" hidden="1">{"fdsup://directions/FAT Viewer?action=UPDATE&amp;creator=factset&amp;DYN_ARGS=TRUE&amp;DOC_NAME=FAT:FQL_AUDITING_CLIENT_TEMPLATE.FAT&amp;display_string=Audit&amp;VAR:KEY=FGHETEHOLW&amp;VAR:QUERY=RkZfRUJJVERBX0lCKCdMVE1TJyw0MDA1MSk=&amp;WINDOW=FIRST_POPUP&amp;HEIGHT=450&amp;WIDTH=450&amp;START_MA","XIMIZED=FALSE&amp;VAR:CALENDAR=US&amp;VAR:SYMBOL=G0129K10&amp;VAR:INDEX=0"}</definedName>
    <definedName name="_7490__FDSAUDITLINK__" hidden="1">{"fdsup://directions/FAT Viewer?action=UPDATE&amp;creator=factset&amp;DYN_ARGS=TRUE&amp;DOC_NAME=FAT:FQL_AUDITING_CLIENT_TEMPLATE.FAT&amp;display_string=Audit&amp;VAR:KEY=FGHETEHOLW&amp;VAR:QUERY=RkZfRUJJVERBX0lCKCdMVE1TJyw0MDA1MSk=&amp;WINDOW=FIRST_POPUP&amp;HEIGHT=450&amp;WIDTH=450&amp;START_MA","XIMIZED=FALSE&amp;VAR:CALENDAR=US&amp;VAR:SYMBOL=G0129K10&amp;VAR:INDEX=0"}</definedName>
    <definedName name="_7491__FDSAUDITLINK__" localSheetId="6" hidden="1">{"fdsup://directions/FAT Viewer?action=UPDATE&amp;creator=factset&amp;DYN_ARGS=TRUE&amp;DOC_NAME=FAT:FQL_AUDITING_CLIENT_TEMPLATE.FAT&amp;display_string=Audit&amp;VAR:KEY=RGJKVIFMRQ&amp;VAR:QUERY=RkZfRUJJVERBX0lCKCdMVE1TJyw0MDA1MCk=&amp;WINDOW=FIRST_POPUP&amp;HEIGHT=450&amp;WIDTH=450&amp;START_MA","XIMIZED=FALSE&amp;VAR:CALENDAR=US&amp;VAR:SYMBOL=G0129K10&amp;VAR:INDEX=0"}</definedName>
    <definedName name="_7491__FDSAUDITLINK__" hidden="1">{"fdsup://directions/FAT Viewer?action=UPDATE&amp;creator=factset&amp;DYN_ARGS=TRUE&amp;DOC_NAME=FAT:FQL_AUDITING_CLIENT_TEMPLATE.FAT&amp;display_string=Audit&amp;VAR:KEY=RGJKVIFMRQ&amp;VAR:QUERY=RkZfRUJJVERBX0lCKCdMVE1TJyw0MDA1MCk=&amp;WINDOW=FIRST_POPUP&amp;HEIGHT=450&amp;WIDTH=450&amp;START_MA","XIMIZED=FALSE&amp;VAR:CALENDAR=US&amp;VAR:SYMBOL=G0129K10&amp;VAR:INDEX=0"}</definedName>
    <definedName name="_7492__FDSAUDITLINK__" localSheetId="6" hidden="1">{"fdsup://directions/FAT Viewer?action=UPDATE&amp;creator=factset&amp;DYN_ARGS=TRUE&amp;DOC_NAME=FAT:FQL_AUDITING_CLIENT_TEMPLATE.FAT&amp;display_string=Audit&amp;VAR:KEY=JALEVQLWLS&amp;VAR:QUERY=RkZfRUJJVERBX0lCKCdMVE1TJyw0MDA0OSk=&amp;WINDOW=FIRST_POPUP&amp;HEIGHT=450&amp;WIDTH=450&amp;START_MA","XIMIZED=FALSE&amp;VAR:CALENDAR=US&amp;VAR:SYMBOL=G0129K10&amp;VAR:INDEX=0"}</definedName>
    <definedName name="_7492__FDSAUDITLINK__" hidden="1">{"fdsup://directions/FAT Viewer?action=UPDATE&amp;creator=factset&amp;DYN_ARGS=TRUE&amp;DOC_NAME=FAT:FQL_AUDITING_CLIENT_TEMPLATE.FAT&amp;display_string=Audit&amp;VAR:KEY=JALEVQLWLS&amp;VAR:QUERY=RkZfRUJJVERBX0lCKCdMVE1TJyw0MDA0OSk=&amp;WINDOW=FIRST_POPUP&amp;HEIGHT=450&amp;WIDTH=450&amp;START_MA","XIMIZED=FALSE&amp;VAR:CALENDAR=US&amp;VAR:SYMBOL=G0129K10&amp;VAR:INDEX=0"}</definedName>
    <definedName name="_7493__FDSAUDITLINK__" localSheetId="6" hidden="1">{"fdsup://directions/FAT Viewer?action=UPDATE&amp;creator=factset&amp;DYN_ARGS=TRUE&amp;DOC_NAME=FAT:FQL_AUDITING_CLIENT_TEMPLATE.FAT&amp;display_string=Audit&amp;VAR:KEY=RGTWVILQRS&amp;VAR:QUERY=RkZfRUJJVERBX0lCKCdMVE1TJyw0MDA0OCk=&amp;WINDOW=FIRST_POPUP&amp;HEIGHT=450&amp;WIDTH=450&amp;START_MA","XIMIZED=FALSE&amp;VAR:CALENDAR=US&amp;VAR:SYMBOL=G0129K10&amp;VAR:INDEX=0"}</definedName>
    <definedName name="_7493__FDSAUDITLINK__" hidden="1">{"fdsup://directions/FAT Viewer?action=UPDATE&amp;creator=factset&amp;DYN_ARGS=TRUE&amp;DOC_NAME=FAT:FQL_AUDITING_CLIENT_TEMPLATE.FAT&amp;display_string=Audit&amp;VAR:KEY=RGTWVILQRS&amp;VAR:QUERY=RkZfRUJJVERBX0lCKCdMVE1TJyw0MDA0OCk=&amp;WINDOW=FIRST_POPUP&amp;HEIGHT=450&amp;WIDTH=450&amp;START_MA","XIMIZED=FALSE&amp;VAR:CALENDAR=US&amp;VAR:SYMBOL=G0129K10&amp;VAR:INDEX=0"}</definedName>
    <definedName name="_7494__FDSAUDITLINK__" localSheetId="6" hidden="1">{"fdsup://directions/FAT Viewer?action=UPDATE&amp;creator=factset&amp;DYN_ARGS=TRUE&amp;DOC_NAME=FAT:FQL_AUDITING_CLIENT_TEMPLATE.FAT&amp;display_string=Audit&amp;VAR:KEY=BAXYZEXCLS&amp;VAR:QUERY=RkZfRUJJVERBX0lCKCdMVE1TJyw0MDA0Nyk=&amp;WINDOW=FIRST_POPUP&amp;HEIGHT=450&amp;WIDTH=450&amp;START_MA","XIMIZED=FALSE&amp;VAR:CALENDAR=US&amp;VAR:SYMBOL=G0129K10&amp;VAR:INDEX=0"}</definedName>
    <definedName name="_7494__FDSAUDITLINK__" hidden="1">{"fdsup://directions/FAT Viewer?action=UPDATE&amp;creator=factset&amp;DYN_ARGS=TRUE&amp;DOC_NAME=FAT:FQL_AUDITING_CLIENT_TEMPLATE.FAT&amp;display_string=Audit&amp;VAR:KEY=BAXYZEXCLS&amp;VAR:QUERY=RkZfRUJJVERBX0lCKCdMVE1TJyw0MDA0Nyk=&amp;WINDOW=FIRST_POPUP&amp;HEIGHT=450&amp;WIDTH=450&amp;START_MA","XIMIZED=FALSE&amp;VAR:CALENDAR=US&amp;VAR:SYMBOL=G0129K10&amp;VAR:INDEX=0"}</definedName>
    <definedName name="_7495__FDSAUDITLINK__" localSheetId="6" hidden="1">{"fdsup://directions/FAT Viewer?action=UPDATE&amp;creator=factset&amp;DYN_ARGS=TRUE&amp;DOC_NAME=FAT:FQL_AUDITING_CLIENT_TEMPLATE.FAT&amp;display_string=Audit&amp;VAR:KEY=NABKZYFOBA&amp;VAR:QUERY=RkZfRUJJVERBX0lCKCdMVE1TJyw0MDA0Nik=&amp;WINDOW=FIRST_POPUP&amp;HEIGHT=450&amp;WIDTH=450&amp;START_MA","XIMIZED=FALSE&amp;VAR:CALENDAR=US&amp;VAR:SYMBOL=G0129K10&amp;VAR:INDEX=0"}</definedName>
    <definedName name="_7495__FDSAUDITLINK__" hidden="1">{"fdsup://directions/FAT Viewer?action=UPDATE&amp;creator=factset&amp;DYN_ARGS=TRUE&amp;DOC_NAME=FAT:FQL_AUDITING_CLIENT_TEMPLATE.FAT&amp;display_string=Audit&amp;VAR:KEY=NABKZYFOBA&amp;VAR:QUERY=RkZfRUJJVERBX0lCKCdMVE1TJyw0MDA0Nik=&amp;WINDOW=FIRST_POPUP&amp;HEIGHT=450&amp;WIDTH=450&amp;START_MA","XIMIZED=FALSE&amp;VAR:CALENDAR=US&amp;VAR:SYMBOL=G0129K10&amp;VAR:INDEX=0"}</definedName>
    <definedName name="_7496__FDSAUDITLINK__" localSheetId="6" hidden="1">{"fdsup://directions/FAT Viewer?action=UPDATE&amp;creator=factset&amp;DYN_ARGS=TRUE&amp;DOC_NAME=FAT:FQL_AUDITING_CLIENT_TEMPLATE.FAT&amp;display_string=Audit&amp;VAR:KEY=LYXYPABYLM&amp;VAR:QUERY=RkZfRUJJVERBX0lCKCdMVE1TJyw0MDA0NSk=&amp;WINDOW=FIRST_POPUP&amp;HEIGHT=450&amp;WIDTH=450&amp;START_MA","XIMIZED=FALSE&amp;VAR:CALENDAR=US&amp;VAR:SYMBOL=G0129K10&amp;VAR:INDEX=0"}</definedName>
    <definedName name="_7496__FDSAUDITLINK__" hidden="1">{"fdsup://directions/FAT Viewer?action=UPDATE&amp;creator=factset&amp;DYN_ARGS=TRUE&amp;DOC_NAME=FAT:FQL_AUDITING_CLIENT_TEMPLATE.FAT&amp;display_string=Audit&amp;VAR:KEY=LYXYPABYLM&amp;VAR:QUERY=RkZfRUJJVERBX0lCKCdMVE1TJyw0MDA0NSk=&amp;WINDOW=FIRST_POPUP&amp;HEIGHT=450&amp;WIDTH=450&amp;START_MA","XIMIZED=FALSE&amp;VAR:CALENDAR=US&amp;VAR:SYMBOL=G0129K10&amp;VAR:INDEX=0"}</definedName>
    <definedName name="_7497__FDSAUDITLINK__" localSheetId="6" hidden="1">{"fdsup://directions/FAT Viewer?action=UPDATE&amp;creator=factset&amp;DYN_ARGS=TRUE&amp;DOC_NAME=FAT:FQL_AUDITING_CLIENT_TEMPLATE.FAT&amp;display_string=Audit&amp;VAR:KEY=JKRCDULGFE&amp;VAR:QUERY=RkZfRUJJVERBX0lCKCdMVE1TJyw0MDA0NCk=&amp;WINDOW=FIRST_POPUP&amp;HEIGHT=450&amp;WIDTH=450&amp;START_MA","XIMIZED=FALSE&amp;VAR:CALENDAR=US&amp;VAR:SYMBOL=G0129K10&amp;VAR:INDEX=0"}</definedName>
    <definedName name="_7497__FDSAUDITLINK__" hidden="1">{"fdsup://directions/FAT Viewer?action=UPDATE&amp;creator=factset&amp;DYN_ARGS=TRUE&amp;DOC_NAME=FAT:FQL_AUDITING_CLIENT_TEMPLATE.FAT&amp;display_string=Audit&amp;VAR:KEY=JKRCDULGFE&amp;VAR:QUERY=RkZfRUJJVERBX0lCKCdMVE1TJyw0MDA0NCk=&amp;WINDOW=FIRST_POPUP&amp;HEIGHT=450&amp;WIDTH=450&amp;START_MA","XIMIZED=FALSE&amp;VAR:CALENDAR=US&amp;VAR:SYMBOL=G0129K10&amp;VAR:INDEX=0"}</definedName>
    <definedName name="_7498__FDSAUDITLINK__" localSheetId="6" hidden="1">{"fdsup://directions/FAT Viewer?action=UPDATE&amp;creator=factset&amp;DYN_ARGS=TRUE&amp;DOC_NAME=FAT:FQL_AUDITING_CLIENT_TEMPLATE.FAT&amp;display_string=Audit&amp;VAR:KEY=FYVWPOHMVQ&amp;VAR:QUERY=RkZfRUJJVERBX0lCKCdMVE1TJyw0MDA0Myk=&amp;WINDOW=FIRST_POPUP&amp;HEIGHT=450&amp;WIDTH=450&amp;START_MA","XIMIZED=FALSE&amp;VAR:CALENDAR=US&amp;VAR:SYMBOL=G0129K10&amp;VAR:INDEX=0"}</definedName>
    <definedName name="_7498__FDSAUDITLINK__" hidden="1">{"fdsup://directions/FAT Viewer?action=UPDATE&amp;creator=factset&amp;DYN_ARGS=TRUE&amp;DOC_NAME=FAT:FQL_AUDITING_CLIENT_TEMPLATE.FAT&amp;display_string=Audit&amp;VAR:KEY=FYVWPOHMVQ&amp;VAR:QUERY=RkZfRUJJVERBX0lCKCdMVE1TJyw0MDA0Myk=&amp;WINDOW=FIRST_POPUP&amp;HEIGHT=450&amp;WIDTH=450&amp;START_MA","XIMIZED=FALSE&amp;VAR:CALENDAR=US&amp;VAR:SYMBOL=G0129K10&amp;VAR:INDEX=0"}</definedName>
    <definedName name="_7499__FDSAUDITLINK__" localSheetId="6" hidden="1">{"fdsup://directions/FAT Viewer?action=UPDATE&amp;creator=factset&amp;DYN_ARGS=TRUE&amp;DOC_NAME=FAT:FQL_AUDITING_CLIENT_TEMPLATE.FAT&amp;display_string=Audit&amp;VAR:KEY=XKJUBGZSBE&amp;VAR:QUERY=RkZfRUJJVERBX0lCKCdMVE1TJyw0MDA0Mik=&amp;WINDOW=FIRST_POPUP&amp;HEIGHT=450&amp;WIDTH=450&amp;START_MA","XIMIZED=FALSE&amp;VAR:CALENDAR=US&amp;VAR:SYMBOL=G0129K10&amp;VAR:INDEX=0"}</definedName>
    <definedName name="_7499__FDSAUDITLINK__" hidden="1">{"fdsup://directions/FAT Viewer?action=UPDATE&amp;creator=factset&amp;DYN_ARGS=TRUE&amp;DOC_NAME=FAT:FQL_AUDITING_CLIENT_TEMPLATE.FAT&amp;display_string=Audit&amp;VAR:KEY=XKJUBGZSBE&amp;VAR:QUERY=RkZfRUJJVERBX0lCKCdMVE1TJyw0MDA0Mik=&amp;WINDOW=FIRST_POPUP&amp;HEIGHT=450&amp;WIDTH=450&amp;START_MA","XIMIZED=FALSE&amp;VAR:CALENDAR=US&amp;VAR:SYMBOL=G0129K10&amp;VAR:INDEX=0"}</definedName>
    <definedName name="_75__FDSAUDITLINK__" localSheetId="6" hidden="1">{"fdsup://directions/FAT Viewer?action=UPDATE&amp;creator=factset&amp;DYN_ARGS=TRUE&amp;DOC_NAME=FAT:FQL_AUDITING_CLIENT_TEMPLATE.FAT&amp;display_string=Audit&amp;VAR:KEY=HQDUZKFCHI&amp;VAR:QUERY=QVZHKENTRl9ORVRfSU5DKEFOTiwwRlksLTZGWSxZKSkgLyAoQVZHKENTRl9BU1NFVFMoQU5OLDBGWSwtNkZZL","EZZKSkgLSBBVkcoQ1NGX0lOVEFORyhBTk4sMCwtNkZZLEZZKSkp&amp;WINDOW=FIRST_POPUP&amp;HEIGHT=450&amp;WIDTH=450&amp;START_MAXIMIZED=FALSE&amp;VAR:CALENDAR=US&amp;VAR:SYMBOL=BOX"}</definedName>
    <definedName name="_75__FDSAUDITLINK__" hidden="1">{"fdsup://directions/FAT Viewer?action=UPDATE&amp;creator=factset&amp;DYN_ARGS=TRUE&amp;DOC_NAME=FAT:FQL_AUDITING_CLIENT_TEMPLATE.FAT&amp;display_string=Audit&amp;VAR:KEY=HQDUZKFCHI&amp;VAR:QUERY=QVZHKENTRl9ORVRfSU5DKEFOTiwwRlksLTZGWSxZKSkgLyAoQVZHKENTRl9BU1NFVFMoQU5OLDBGWSwtNkZZL","EZZKSkgLSBBVkcoQ1NGX0lOVEFORyhBTk4sMCwtNkZZLEZZKSkp&amp;WINDOW=FIRST_POPUP&amp;HEIGHT=450&amp;WIDTH=450&amp;START_MAXIMIZED=FALSE&amp;VAR:CALENDAR=US&amp;VAR:SYMBOL=BOX"}</definedName>
    <definedName name="_750__FDSAUDITLINK__" localSheetId="6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0__FDSAUDITLINK__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00__FDSAUDITLINK__" localSheetId="6" hidden="1">{"fdsup://directions/FAT Viewer?action=UPDATE&amp;creator=factset&amp;DYN_ARGS=TRUE&amp;DOC_NAME=FAT:FQL_AUDITING_CLIENT_TEMPLATE.FAT&amp;display_string=Audit&amp;VAR:KEY=TGVIDWBERU&amp;VAR:QUERY=RkZfRUJJVERBX0lCKCdMVE1TJyw0MDA0MSk=&amp;WINDOW=FIRST_POPUP&amp;HEIGHT=450&amp;WIDTH=450&amp;START_MA","XIMIZED=FALSE&amp;VAR:CALENDAR=US&amp;VAR:SYMBOL=G0129K10&amp;VAR:INDEX=0"}</definedName>
    <definedName name="_7500__FDSAUDITLINK__" hidden="1">{"fdsup://directions/FAT Viewer?action=UPDATE&amp;creator=factset&amp;DYN_ARGS=TRUE&amp;DOC_NAME=FAT:FQL_AUDITING_CLIENT_TEMPLATE.FAT&amp;display_string=Audit&amp;VAR:KEY=TGVIDWBERU&amp;VAR:QUERY=RkZfRUJJVERBX0lCKCdMVE1TJyw0MDA0MSk=&amp;WINDOW=FIRST_POPUP&amp;HEIGHT=450&amp;WIDTH=450&amp;START_MA","XIMIZED=FALSE&amp;VAR:CALENDAR=US&amp;VAR:SYMBOL=G0129K10&amp;VAR:INDEX=0"}</definedName>
    <definedName name="_7501__FDSAUDITLINK__" localSheetId="6" hidden="1">{"fdsup://directions/FAT Viewer?action=UPDATE&amp;creator=factset&amp;DYN_ARGS=TRUE&amp;DOC_NAME=FAT:FQL_AUDITING_CLIENT_TEMPLATE.FAT&amp;display_string=Audit&amp;VAR:KEY=TMNODKFYBI&amp;VAR:QUERY=RkZfRUJJVERBX0lCKCdMVE1TJyw0MDA0MCk=&amp;WINDOW=FIRST_POPUP&amp;HEIGHT=450&amp;WIDTH=450&amp;START_MA","XIMIZED=FALSE&amp;VAR:CALENDAR=US&amp;VAR:SYMBOL=G0129K10&amp;VAR:INDEX=0"}</definedName>
    <definedName name="_7501__FDSAUDITLINK__" hidden="1">{"fdsup://directions/FAT Viewer?action=UPDATE&amp;creator=factset&amp;DYN_ARGS=TRUE&amp;DOC_NAME=FAT:FQL_AUDITING_CLIENT_TEMPLATE.FAT&amp;display_string=Audit&amp;VAR:KEY=TMNODKFYBI&amp;VAR:QUERY=RkZfRUJJVERBX0lCKCdMVE1TJyw0MDA0MCk=&amp;WINDOW=FIRST_POPUP&amp;HEIGHT=450&amp;WIDTH=450&amp;START_MA","XIMIZED=FALSE&amp;VAR:CALENDAR=US&amp;VAR:SYMBOL=G0129K10&amp;VAR:INDEX=0"}</definedName>
    <definedName name="_7502__FDSAUDITLINK__" localSheetId="6" hidden="1">{"fdsup://directions/FAT Viewer?action=UPDATE&amp;creator=factset&amp;DYN_ARGS=TRUE&amp;DOC_NAME=FAT:FQL_AUDITING_CLIENT_TEMPLATE.FAT&amp;display_string=Audit&amp;VAR:KEY=PSXORGNSHG&amp;VAR:QUERY=RkZfRUJJVERBX0lCKCdMVE1TJyw0MDAzOSk=&amp;WINDOW=FIRST_POPUP&amp;HEIGHT=450&amp;WIDTH=450&amp;START_MA","XIMIZED=FALSE&amp;VAR:CALENDAR=US&amp;VAR:SYMBOL=G0129K10&amp;VAR:INDEX=0"}</definedName>
    <definedName name="_7502__FDSAUDITLINK__" hidden="1">{"fdsup://directions/FAT Viewer?action=UPDATE&amp;creator=factset&amp;DYN_ARGS=TRUE&amp;DOC_NAME=FAT:FQL_AUDITING_CLIENT_TEMPLATE.FAT&amp;display_string=Audit&amp;VAR:KEY=PSXORGNSHG&amp;VAR:QUERY=RkZfRUJJVERBX0lCKCdMVE1TJyw0MDAzOSk=&amp;WINDOW=FIRST_POPUP&amp;HEIGHT=450&amp;WIDTH=450&amp;START_MA","XIMIZED=FALSE&amp;VAR:CALENDAR=US&amp;VAR:SYMBOL=G0129K10&amp;VAR:INDEX=0"}</definedName>
    <definedName name="_7503__FDSAUDITLINK__" localSheetId="6" hidden="1">{"fdsup://directions/FAT Viewer?action=UPDATE&amp;creator=factset&amp;DYN_ARGS=TRUE&amp;DOC_NAME=FAT:FQL_AUDITING_CLIENT_TEMPLATE.FAT&amp;display_string=Audit&amp;VAR:KEY=BKXSHEFURE&amp;VAR:QUERY=RkZfRUJJVERBX0lCKCdMVE1TJyw0MDAzOCk=&amp;WINDOW=FIRST_POPUP&amp;HEIGHT=450&amp;WIDTH=450&amp;START_MA","XIMIZED=FALSE&amp;VAR:CALENDAR=US&amp;VAR:SYMBOL=G0129K10&amp;VAR:INDEX=0"}</definedName>
    <definedName name="_7503__FDSAUDITLINK__" hidden="1">{"fdsup://directions/FAT Viewer?action=UPDATE&amp;creator=factset&amp;DYN_ARGS=TRUE&amp;DOC_NAME=FAT:FQL_AUDITING_CLIENT_TEMPLATE.FAT&amp;display_string=Audit&amp;VAR:KEY=BKXSHEFURE&amp;VAR:QUERY=RkZfRUJJVERBX0lCKCdMVE1TJyw0MDAzOCk=&amp;WINDOW=FIRST_POPUP&amp;HEIGHT=450&amp;WIDTH=450&amp;START_MA","XIMIZED=FALSE&amp;VAR:CALENDAR=US&amp;VAR:SYMBOL=G0129K10&amp;VAR:INDEX=0"}</definedName>
    <definedName name="_7504__FDSAUDITLINK__" localSheetId="6" hidden="1">{"fdsup://directions/FAT Viewer?action=UPDATE&amp;creator=factset&amp;DYN_ARGS=TRUE&amp;DOC_NAME=FAT:FQL_AUDITING_CLIENT_TEMPLATE.FAT&amp;display_string=Audit&amp;VAR:KEY=TMJIPORMTO&amp;VAR:QUERY=RkZfRUJJVERBX0lCKCdMVE1TJyw0MDAzNyk=&amp;WINDOW=FIRST_POPUP&amp;HEIGHT=450&amp;WIDTH=450&amp;START_MA","XIMIZED=FALSE&amp;VAR:CALENDAR=US&amp;VAR:SYMBOL=G0129K10&amp;VAR:INDEX=0"}</definedName>
    <definedName name="_7504__FDSAUDITLINK__" hidden="1">{"fdsup://directions/FAT Viewer?action=UPDATE&amp;creator=factset&amp;DYN_ARGS=TRUE&amp;DOC_NAME=FAT:FQL_AUDITING_CLIENT_TEMPLATE.FAT&amp;display_string=Audit&amp;VAR:KEY=TMJIPORMTO&amp;VAR:QUERY=RkZfRUJJVERBX0lCKCdMVE1TJyw0MDAzNyk=&amp;WINDOW=FIRST_POPUP&amp;HEIGHT=450&amp;WIDTH=450&amp;START_MA","XIMIZED=FALSE&amp;VAR:CALENDAR=US&amp;VAR:SYMBOL=G0129K10&amp;VAR:INDEX=0"}</definedName>
    <definedName name="_7505__FDSAUDITLINK__" localSheetId="6" hidden="1">{"fdsup://directions/FAT Viewer?action=UPDATE&amp;creator=factset&amp;DYN_ARGS=TRUE&amp;DOC_NAME=FAT:FQL_AUDITING_CLIENT_TEMPLATE.FAT&amp;display_string=Audit&amp;VAR:KEY=JGPUDWTAPQ&amp;VAR:QUERY=RkZfRUJJVERBX0lCKCdMVE1TJyw0MDAzNik=&amp;WINDOW=FIRST_POPUP&amp;HEIGHT=450&amp;WIDTH=450&amp;START_MA","XIMIZED=FALSE&amp;VAR:CALENDAR=US&amp;VAR:SYMBOL=G0129K10&amp;VAR:INDEX=0"}</definedName>
    <definedName name="_7505__FDSAUDITLINK__" hidden="1">{"fdsup://directions/FAT Viewer?action=UPDATE&amp;creator=factset&amp;DYN_ARGS=TRUE&amp;DOC_NAME=FAT:FQL_AUDITING_CLIENT_TEMPLATE.FAT&amp;display_string=Audit&amp;VAR:KEY=JGPUDWTAPQ&amp;VAR:QUERY=RkZfRUJJVERBX0lCKCdMVE1TJyw0MDAzNik=&amp;WINDOW=FIRST_POPUP&amp;HEIGHT=450&amp;WIDTH=450&amp;START_MA","XIMIZED=FALSE&amp;VAR:CALENDAR=US&amp;VAR:SYMBOL=G0129K10&amp;VAR:INDEX=0"}</definedName>
    <definedName name="_7506__FDSAUDITLINK__" localSheetId="6" hidden="1">{"fdsup://directions/FAT Viewer?action=UPDATE&amp;creator=factset&amp;DYN_ARGS=TRUE&amp;DOC_NAME=FAT:FQL_AUDITING_CLIENT_TEMPLATE.FAT&amp;display_string=Audit&amp;VAR:KEY=BKZQRITYXI&amp;VAR:QUERY=RkZfRUJJVERBX0lCKCdMVE1TJyw0MDAzNSk=&amp;WINDOW=FIRST_POPUP&amp;HEIGHT=450&amp;WIDTH=450&amp;START_MA","XIMIZED=FALSE&amp;VAR:CALENDAR=US&amp;VAR:SYMBOL=G0129K10&amp;VAR:INDEX=0"}</definedName>
    <definedName name="_7506__FDSAUDITLINK__" hidden="1">{"fdsup://directions/FAT Viewer?action=UPDATE&amp;creator=factset&amp;DYN_ARGS=TRUE&amp;DOC_NAME=FAT:FQL_AUDITING_CLIENT_TEMPLATE.FAT&amp;display_string=Audit&amp;VAR:KEY=BKZQRITYXI&amp;VAR:QUERY=RkZfRUJJVERBX0lCKCdMVE1TJyw0MDAzNSk=&amp;WINDOW=FIRST_POPUP&amp;HEIGHT=450&amp;WIDTH=450&amp;START_MA","XIMIZED=FALSE&amp;VAR:CALENDAR=US&amp;VAR:SYMBOL=G0129K10&amp;VAR:INDEX=0"}</definedName>
    <definedName name="_7507__FDSAUDITLINK__" localSheetId="6" hidden="1">{"fdsup://directions/FAT Viewer?action=UPDATE&amp;creator=factset&amp;DYN_ARGS=TRUE&amp;DOC_NAME=FAT:FQL_AUDITING_CLIENT_TEMPLATE.FAT&amp;display_string=Audit&amp;VAR:KEY=ZKFOJWPIJA&amp;VAR:QUERY=RkZfRUJJVERBX0lCKCdMVE1TJyw0MDAzNCk=&amp;WINDOW=FIRST_POPUP&amp;HEIGHT=450&amp;WIDTH=450&amp;START_MA","XIMIZED=FALSE&amp;VAR:CALENDAR=US&amp;VAR:SYMBOL=G0129K10&amp;VAR:INDEX=0"}</definedName>
    <definedName name="_7507__FDSAUDITLINK__" hidden="1">{"fdsup://directions/FAT Viewer?action=UPDATE&amp;creator=factset&amp;DYN_ARGS=TRUE&amp;DOC_NAME=FAT:FQL_AUDITING_CLIENT_TEMPLATE.FAT&amp;display_string=Audit&amp;VAR:KEY=ZKFOJWPIJA&amp;VAR:QUERY=RkZfRUJJVERBX0lCKCdMVE1TJyw0MDAzNCk=&amp;WINDOW=FIRST_POPUP&amp;HEIGHT=450&amp;WIDTH=450&amp;START_MA","XIMIZED=FALSE&amp;VAR:CALENDAR=US&amp;VAR:SYMBOL=G0129K10&amp;VAR:INDEX=0"}</definedName>
    <definedName name="_7508__FDSAUDITLINK__" localSheetId="6" hidden="1">{"fdsup://directions/FAT Viewer?action=UPDATE&amp;creator=factset&amp;DYN_ARGS=TRUE&amp;DOC_NAME=FAT:FQL_AUDITING_CLIENT_TEMPLATE.FAT&amp;display_string=Audit&amp;VAR:KEY=VWFSDUFYNO&amp;VAR:QUERY=RkZfRUJJVERBX0lCKCdMVE1TJyw0MDAzMyk=&amp;WINDOW=FIRST_POPUP&amp;HEIGHT=450&amp;WIDTH=450&amp;START_MA","XIMIZED=FALSE&amp;VAR:CALENDAR=US&amp;VAR:SYMBOL=G0129K10&amp;VAR:INDEX=0"}</definedName>
    <definedName name="_7508__FDSAUDITLINK__" hidden="1">{"fdsup://directions/FAT Viewer?action=UPDATE&amp;creator=factset&amp;DYN_ARGS=TRUE&amp;DOC_NAME=FAT:FQL_AUDITING_CLIENT_TEMPLATE.FAT&amp;display_string=Audit&amp;VAR:KEY=VWFSDUFYNO&amp;VAR:QUERY=RkZfRUJJVERBX0lCKCdMVE1TJyw0MDAzMyk=&amp;WINDOW=FIRST_POPUP&amp;HEIGHT=450&amp;WIDTH=450&amp;START_MA","XIMIZED=FALSE&amp;VAR:CALENDAR=US&amp;VAR:SYMBOL=G0129K10&amp;VAR:INDEX=0"}</definedName>
    <definedName name="_7509__FDSAUDITLINK__" localSheetId="6" hidden="1">{"fdsup://directions/FAT Viewer?action=UPDATE&amp;creator=factset&amp;DYN_ARGS=TRUE&amp;DOC_NAME=FAT:FQL_AUDITING_CLIENT_TEMPLATE.FAT&amp;display_string=Audit&amp;VAR:KEY=XKFCBCBGHO&amp;VAR:QUERY=RkZfRUJJVERBX0lCKCdMVE1TJyw0MDAzMik=&amp;WINDOW=FIRST_POPUP&amp;HEIGHT=450&amp;WIDTH=450&amp;START_MA","XIMIZED=FALSE&amp;VAR:CALENDAR=US&amp;VAR:SYMBOL=G0129K10&amp;VAR:INDEX=0"}</definedName>
    <definedName name="_7509__FDSAUDITLINK__" hidden="1">{"fdsup://directions/FAT Viewer?action=UPDATE&amp;creator=factset&amp;DYN_ARGS=TRUE&amp;DOC_NAME=FAT:FQL_AUDITING_CLIENT_TEMPLATE.FAT&amp;display_string=Audit&amp;VAR:KEY=XKFCBCBGHO&amp;VAR:QUERY=RkZfRUJJVERBX0lCKCdMVE1TJyw0MDAzMik=&amp;WINDOW=FIRST_POPUP&amp;HEIGHT=450&amp;WIDTH=450&amp;START_MA","XIMIZED=FALSE&amp;VAR:CALENDAR=US&amp;VAR:SYMBOL=G0129K10&amp;VAR:INDEX=0"}</definedName>
    <definedName name="_751__FDSAUDITLINK__" localSheetId="6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1__FDSAUDITLINK__" hidden="1">{"fdsup://directions/FAT%20Viewer?VAR:PED=LTM&amp;VAR:AUDIT_MODE=SUMMARY&amp;VAR:PERIOD=FIXED&amp;VAR:AUDIT_ID=00000117&amp;VAR:DATE=20080201&amp;action=UPDATE&amp;creator=factset&amp;DOC_NAME=FAT:FMA_audit_SUMMARY.fat&amp;DISPLAY_STRING=Display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10__FDSAUDITLINK__" localSheetId="6" hidden="1">{"fdsup://directions/FAT Viewer?action=UPDATE&amp;creator=factset&amp;DYN_ARGS=TRUE&amp;DOC_NAME=FAT:FQL_AUDITING_CLIENT_TEMPLATE.FAT&amp;display_string=Audit&amp;VAR:KEY=BGFYBCDAPK&amp;VAR:QUERY=RkZfRUJJVERBX0lCKCdMVE1TJyw0MDAzMSk=&amp;WINDOW=FIRST_POPUP&amp;HEIGHT=450&amp;WIDTH=450&amp;START_MA","XIMIZED=FALSE&amp;VAR:CALENDAR=US&amp;VAR:SYMBOL=G0129K10&amp;VAR:INDEX=0"}</definedName>
    <definedName name="_7510__FDSAUDITLINK__" hidden="1">{"fdsup://directions/FAT Viewer?action=UPDATE&amp;creator=factset&amp;DYN_ARGS=TRUE&amp;DOC_NAME=FAT:FQL_AUDITING_CLIENT_TEMPLATE.FAT&amp;display_string=Audit&amp;VAR:KEY=BGFYBCDAPK&amp;VAR:QUERY=RkZfRUJJVERBX0lCKCdMVE1TJyw0MDAzMSk=&amp;WINDOW=FIRST_POPUP&amp;HEIGHT=450&amp;WIDTH=450&amp;START_MA","XIMIZED=FALSE&amp;VAR:CALENDAR=US&amp;VAR:SYMBOL=G0129K10&amp;VAR:INDEX=0"}</definedName>
    <definedName name="_7511__FDSAUDITLINK__" localSheetId="6" hidden="1">{"fdsup://directions/FAT Viewer?action=UPDATE&amp;creator=factset&amp;DYN_ARGS=TRUE&amp;DOC_NAME=FAT:FQL_AUDITING_CLIENT_TEMPLATE.FAT&amp;display_string=Audit&amp;VAR:KEY=ZWDORELILI&amp;VAR:QUERY=RkZfRUJJVERBX0lCKCdMVE1TJyw0MDAzMCk=&amp;WINDOW=FIRST_POPUP&amp;HEIGHT=450&amp;WIDTH=450&amp;START_MA","XIMIZED=FALSE&amp;VAR:CALENDAR=US&amp;VAR:SYMBOL=G0129K10&amp;VAR:INDEX=0"}</definedName>
    <definedName name="_7511__FDSAUDITLINK__" hidden="1">{"fdsup://directions/FAT Viewer?action=UPDATE&amp;creator=factset&amp;DYN_ARGS=TRUE&amp;DOC_NAME=FAT:FQL_AUDITING_CLIENT_TEMPLATE.FAT&amp;display_string=Audit&amp;VAR:KEY=ZWDORELILI&amp;VAR:QUERY=RkZfRUJJVERBX0lCKCdMVE1TJyw0MDAzMCk=&amp;WINDOW=FIRST_POPUP&amp;HEIGHT=450&amp;WIDTH=450&amp;START_MA","XIMIZED=FALSE&amp;VAR:CALENDAR=US&amp;VAR:SYMBOL=G0129K10&amp;VAR:INDEX=0"}</definedName>
    <definedName name="_7512__FDSAUDITLINK__" localSheetId="6" hidden="1">{"fdsup://directions/FAT Viewer?action=UPDATE&amp;creator=factset&amp;DYN_ARGS=TRUE&amp;DOC_NAME=FAT:FQL_AUDITING_CLIENT_TEMPLATE.FAT&amp;display_string=Audit&amp;VAR:KEY=TYVKTMZKXU&amp;VAR:QUERY=RkZfRUJJVERBX0lCKCdMVE1TJyw0MDAyOSk=&amp;WINDOW=FIRST_POPUP&amp;HEIGHT=450&amp;WIDTH=450&amp;START_MA","XIMIZED=FALSE&amp;VAR:CALENDAR=US&amp;VAR:SYMBOL=G0129K10&amp;VAR:INDEX=0"}</definedName>
    <definedName name="_7512__FDSAUDITLINK__" hidden="1">{"fdsup://directions/FAT Viewer?action=UPDATE&amp;creator=factset&amp;DYN_ARGS=TRUE&amp;DOC_NAME=FAT:FQL_AUDITING_CLIENT_TEMPLATE.FAT&amp;display_string=Audit&amp;VAR:KEY=TYVKTMZKXU&amp;VAR:QUERY=RkZfRUJJVERBX0lCKCdMVE1TJyw0MDAyOSk=&amp;WINDOW=FIRST_POPUP&amp;HEIGHT=450&amp;WIDTH=450&amp;START_MA","XIMIZED=FALSE&amp;VAR:CALENDAR=US&amp;VAR:SYMBOL=G0129K10&amp;VAR:INDEX=0"}</definedName>
    <definedName name="_7513__FDSAUDITLINK__" localSheetId="6" hidden="1">{"fdsup://directions/FAT Viewer?action=UPDATE&amp;creator=factset&amp;DYN_ARGS=TRUE&amp;DOC_NAME=FAT:FQL_AUDITING_CLIENT_TEMPLATE.FAT&amp;display_string=Audit&amp;VAR:KEY=HUBUVONURI&amp;VAR:QUERY=RkZfRUJJVERBX0lCKCdMVE1TJyw0MDAyOCk=&amp;WINDOW=FIRST_POPUP&amp;HEIGHT=450&amp;WIDTH=450&amp;START_MA","XIMIZED=FALSE&amp;VAR:CALENDAR=US&amp;VAR:SYMBOL=G0129K10&amp;VAR:INDEX=0"}</definedName>
    <definedName name="_7513__FDSAUDITLINK__" hidden="1">{"fdsup://directions/FAT Viewer?action=UPDATE&amp;creator=factset&amp;DYN_ARGS=TRUE&amp;DOC_NAME=FAT:FQL_AUDITING_CLIENT_TEMPLATE.FAT&amp;display_string=Audit&amp;VAR:KEY=HUBUVONURI&amp;VAR:QUERY=RkZfRUJJVERBX0lCKCdMVE1TJyw0MDAyOCk=&amp;WINDOW=FIRST_POPUP&amp;HEIGHT=450&amp;WIDTH=450&amp;START_MA","XIMIZED=FALSE&amp;VAR:CALENDAR=US&amp;VAR:SYMBOL=G0129K10&amp;VAR:INDEX=0"}</definedName>
    <definedName name="_7514__FDSAUDITLINK__" localSheetId="6" hidden="1">{"fdsup://directions/FAT Viewer?action=UPDATE&amp;creator=factset&amp;DYN_ARGS=TRUE&amp;DOC_NAME=FAT:FQL_AUDITING_CLIENT_TEMPLATE.FAT&amp;display_string=Audit&amp;VAR:KEY=DMVEPKBATM&amp;VAR:QUERY=RkZfRUJJVERBX0lCKCdMVE1TJyw0MDAyNyk=&amp;WINDOW=FIRST_POPUP&amp;HEIGHT=450&amp;WIDTH=450&amp;START_MA","XIMIZED=FALSE&amp;VAR:CALENDAR=US&amp;VAR:SYMBOL=G0129K10&amp;VAR:INDEX=0"}</definedName>
    <definedName name="_7514__FDSAUDITLINK__" hidden="1">{"fdsup://directions/FAT Viewer?action=UPDATE&amp;creator=factset&amp;DYN_ARGS=TRUE&amp;DOC_NAME=FAT:FQL_AUDITING_CLIENT_TEMPLATE.FAT&amp;display_string=Audit&amp;VAR:KEY=DMVEPKBATM&amp;VAR:QUERY=RkZfRUJJVERBX0lCKCdMVE1TJyw0MDAyNyk=&amp;WINDOW=FIRST_POPUP&amp;HEIGHT=450&amp;WIDTH=450&amp;START_MA","XIMIZED=FALSE&amp;VAR:CALENDAR=US&amp;VAR:SYMBOL=G0129K10&amp;VAR:INDEX=0"}</definedName>
    <definedName name="_7515__FDSAUDITLINK__" localSheetId="6" hidden="1">{"fdsup://directions/FAT Viewer?action=UPDATE&amp;creator=factset&amp;DYN_ARGS=TRUE&amp;DOC_NAME=FAT:FQL_AUDITING_CLIENT_TEMPLATE.FAT&amp;display_string=Audit&amp;VAR:KEY=HYDOFCXSJM&amp;VAR:QUERY=RkZfRUJJVERBX0lCKCdMVE1TJyw0MDAyNik=&amp;WINDOW=FIRST_POPUP&amp;HEIGHT=450&amp;WIDTH=450&amp;START_MA","XIMIZED=FALSE&amp;VAR:CALENDAR=US&amp;VAR:SYMBOL=G0129K10&amp;VAR:INDEX=0"}</definedName>
    <definedName name="_7515__FDSAUDITLINK__" hidden="1">{"fdsup://directions/FAT Viewer?action=UPDATE&amp;creator=factset&amp;DYN_ARGS=TRUE&amp;DOC_NAME=FAT:FQL_AUDITING_CLIENT_TEMPLATE.FAT&amp;display_string=Audit&amp;VAR:KEY=HYDOFCXSJM&amp;VAR:QUERY=RkZfRUJJVERBX0lCKCdMVE1TJyw0MDAyNik=&amp;WINDOW=FIRST_POPUP&amp;HEIGHT=450&amp;WIDTH=450&amp;START_MA","XIMIZED=FALSE&amp;VAR:CALENDAR=US&amp;VAR:SYMBOL=G0129K10&amp;VAR:INDEX=0"}</definedName>
    <definedName name="_7516__FDSAUDITLINK__" localSheetId="6" hidden="1">{"fdsup://directions/FAT Viewer?action=UPDATE&amp;creator=factset&amp;DYN_ARGS=TRUE&amp;DOC_NAME=FAT:FQL_AUDITING_CLIENT_TEMPLATE.FAT&amp;display_string=Audit&amp;VAR:KEY=XANGXCBAPA&amp;VAR:QUERY=RkZfRUJJVERBX0lCKCdMVE1TJyw0MDAyNSk=&amp;WINDOW=FIRST_POPUP&amp;HEIGHT=450&amp;WIDTH=450&amp;START_MA","XIMIZED=FALSE&amp;VAR:CALENDAR=US&amp;VAR:SYMBOL=G0129K10&amp;VAR:INDEX=0"}</definedName>
    <definedName name="_7516__FDSAUDITLINK__" hidden="1">{"fdsup://directions/FAT Viewer?action=UPDATE&amp;creator=factset&amp;DYN_ARGS=TRUE&amp;DOC_NAME=FAT:FQL_AUDITING_CLIENT_TEMPLATE.FAT&amp;display_string=Audit&amp;VAR:KEY=XANGXCBAPA&amp;VAR:QUERY=RkZfRUJJVERBX0lCKCdMVE1TJyw0MDAyNSk=&amp;WINDOW=FIRST_POPUP&amp;HEIGHT=450&amp;WIDTH=450&amp;START_MA","XIMIZED=FALSE&amp;VAR:CALENDAR=US&amp;VAR:SYMBOL=G0129K10&amp;VAR:INDEX=0"}</definedName>
    <definedName name="_7517__FDSAUDITLINK__" localSheetId="6" hidden="1">{"fdsup://directions/FAT Viewer?action=UPDATE&amp;creator=factset&amp;DYN_ARGS=TRUE&amp;DOC_NAME=FAT:FQL_AUDITING_CLIENT_TEMPLATE.FAT&amp;display_string=Audit&amp;VAR:KEY=ZWXCPQVIFE&amp;VAR:QUERY=RkZfRUJJVERBX0lCKCdMVE1TJyw0MDAyNCk=&amp;WINDOW=FIRST_POPUP&amp;HEIGHT=450&amp;WIDTH=450&amp;START_MA","XIMIZED=FALSE&amp;VAR:CALENDAR=US&amp;VAR:SYMBOL=G0129K10&amp;VAR:INDEX=0"}</definedName>
    <definedName name="_7517__FDSAUDITLINK__" hidden="1">{"fdsup://directions/FAT Viewer?action=UPDATE&amp;creator=factset&amp;DYN_ARGS=TRUE&amp;DOC_NAME=FAT:FQL_AUDITING_CLIENT_TEMPLATE.FAT&amp;display_string=Audit&amp;VAR:KEY=ZWXCPQVIFE&amp;VAR:QUERY=RkZfRUJJVERBX0lCKCdMVE1TJyw0MDAyNCk=&amp;WINDOW=FIRST_POPUP&amp;HEIGHT=450&amp;WIDTH=450&amp;START_MA","XIMIZED=FALSE&amp;VAR:CALENDAR=US&amp;VAR:SYMBOL=G0129K10&amp;VAR:INDEX=0"}</definedName>
    <definedName name="_7518__FDSAUDITLINK__" localSheetId="6" hidden="1">{"fdsup://directions/FAT Viewer?action=UPDATE&amp;creator=factset&amp;DYN_ARGS=TRUE&amp;DOC_NAME=FAT:FQL_AUDITING_CLIENT_TEMPLATE.FAT&amp;display_string=Audit&amp;VAR:KEY=PSBCJETGJC&amp;VAR:QUERY=RkZfRUJJVERBX0lCKCdMVE1TJyw0MDAyMyk=&amp;WINDOW=FIRST_POPUP&amp;HEIGHT=450&amp;WIDTH=450&amp;START_MA","XIMIZED=FALSE&amp;VAR:CALENDAR=US&amp;VAR:SYMBOL=G0129K10&amp;VAR:INDEX=0"}</definedName>
    <definedName name="_7518__FDSAUDITLINK__" hidden="1">{"fdsup://directions/FAT Viewer?action=UPDATE&amp;creator=factset&amp;DYN_ARGS=TRUE&amp;DOC_NAME=FAT:FQL_AUDITING_CLIENT_TEMPLATE.FAT&amp;display_string=Audit&amp;VAR:KEY=PSBCJETGJC&amp;VAR:QUERY=RkZfRUJJVERBX0lCKCdMVE1TJyw0MDAyMyk=&amp;WINDOW=FIRST_POPUP&amp;HEIGHT=450&amp;WIDTH=450&amp;START_MA","XIMIZED=FALSE&amp;VAR:CALENDAR=US&amp;VAR:SYMBOL=G0129K10&amp;VAR:INDEX=0"}</definedName>
    <definedName name="_7519__FDSAUDITLINK__" localSheetId="6" hidden="1">{"fdsup://directions/FAT Viewer?action=UPDATE&amp;creator=factset&amp;DYN_ARGS=TRUE&amp;DOC_NAME=FAT:FQL_AUDITING_CLIENT_TEMPLATE.FAT&amp;display_string=Audit&amp;VAR:KEY=LSVETABYRC&amp;VAR:QUERY=RkZfRUJJVERBX0lCKCdMVE1TJyw0MDAyMik=&amp;WINDOW=FIRST_POPUP&amp;HEIGHT=450&amp;WIDTH=450&amp;START_MA","XIMIZED=FALSE&amp;VAR:CALENDAR=US&amp;VAR:SYMBOL=G0129K10&amp;VAR:INDEX=0"}</definedName>
    <definedName name="_7519__FDSAUDITLINK__" hidden="1">{"fdsup://directions/FAT Viewer?action=UPDATE&amp;creator=factset&amp;DYN_ARGS=TRUE&amp;DOC_NAME=FAT:FQL_AUDITING_CLIENT_TEMPLATE.FAT&amp;display_string=Audit&amp;VAR:KEY=LSVETABYRC&amp;VAR:QUERY=RkZfRUJJVERBX0lCKCdMVE1TJyw0MDAyMik=&amp;WINDOW=FIRST_POPUP&amp;HEIGHT=450&amp;WIDTH=450&amp;START_MA","XIMIZED=FALSE&amp;VAR:CALENDAR=US&amp;VAR:SYMBOL=G0129K10&amp;VAR:INDEX=0"}</definedName>
    <definedName name="_752__FDSAUDITLINK__" localSheetId="6" hidden="1">{"fdsup://directions/FAT%20Viewer?VAR:PED=LTM&amp;VAR:AUDIT_MODE=SUMMARY&amp;VAR:PERIOD=FIXED&amp;VAR:AUDIT_ID=00000117&amp;VAR:DATE=20080131&amp;action=UPDATE&amp;creator=factset&amp;DOC_NAME=FAT:FMA_audit_SUMMARY.fat&amp;DISPLAY_STRING=Display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2__FDSAUDITLINK__" hidden="1">{"fdsup://directions/FAT%20Viewer?VAR:PED=LTM&amp;VAR:AUDIT_MODE=SUMMARY&amp;VAR:PERIOD=FIXED&amp;VAR:AUDIT_ID=00000117&amp;VAR:DATE=20080131&amp;action=UPDATE&amp;creator=factset&amp;DOC_NAME=FAT:FMA_audit_SUMMARY.fat&amp;DISPLAY_STRING=Display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EBITDA&amp;VAR:CHGPERIOD=NA&amp;VAR:FQLFORMULA=FMA_EVAL_EBITDA&amp;VAR:CURRENCY=NA&amp;VAR:P=NA&amp;VAR:V=10.3","37998&amp;VAR:null=.html"}</definedName>
    <definedName name="_7520__FDSAUDITLINK__" localSheetId="6" hidden="1">{"fdsup://directions/FAT Viewer?action=UPDATE&amp;creator=factset&amp;DYN_ARGS=TRUE&amp;DOC_NAME=FAT:FQL_AUDITING_CLIENT_TEMPLATE.FAT&amp;display_string=Audit&amp;VAR:KEY=JADSJIJKPI&amp;VAR:QUERY=RkZfRUJJVERBX0lCKCdMVE1TJyw0MDAyMSk=&amp;WINDOW=FIRST_POPUP&amp;HEIGHT=450&amp;WIDTH=450&amp;START_MA","XIMIZED=FALSE&amp;VAR:CALENDAR=US&amp;VAR:SYMBOL=G0129K10&amp;VAR:INDEX=0"}</definedName>
    <definedName name="_7520__FDSAUDITLINK__" hidden="1">{"fdsup://directions/FAT Viewer?action=UPDATE&amp;creator=factset&amp;DYN_ARGS=TRUE&amp;DOC_NAME=FAT:FQL_AUDITING_CLIENT_TEMPLATE.FAT&amp;display_string=Audit&amp;VAR:KEY=JADSJIJKPI&amp;VAR:QUERY=RkZfRUJJVERBX0lCKCdMVE1TJyw0MDAyMSk=&amp;WINDOW=FIRST_POPUP&amp;HEIGHT=450&amp;WIDTH=450&amp;START_MA","XIMIZED=FALSE&amp;VAR:CALENDAR=US&amp;VAR:SYMBOL=G0129K10&amp;VAR:INDEX=0"}</definedName>
    <definedName name="_7521__FDSAUDITLINK__" localSheetId="6" hidden="1">{"fdsup://directions/FAT Viewer?action=UPDATE&amp;creator=factset&amp;DYN_ARGS=TRUE&amp;DOC_NAME=FAT:FQL_AUDITING_CLIENT_TEMPLATE.FAT&amp;display_string=Audit&amp;VAR:KEY=LGTMTYHWBG&amp;VAR:QUERY=RkZfRUJJVERBX0lCKCdMVE1TJyw0MDAyMCk=&amp;WINDOW=FIRST_POPUP&amp;HEIGHT=450&amp;WIDTH=450&amp;START_MA","XIMIZED=FALSE&amp;VAR:CALENDAR=US&amp;VAR:SYMBOL=G0129K10&amp;VAR:INDEX=0"}</definedName>
    <definedName name="_7521__FDSAUDITLINK__" hidden="1">{"fdsup://directions/FAT Viewer?action=UPDATE&amp;creator=factset&amp;DYN_ARGS=TRUE&amp;DOC_NAME=FAT:FQL_AUDITING_CLIENT_TEMPLATE.FAT&amp;display_string=Audit&amp;VAR:KEY=LGTMTYHWBG&amp;VAR:QUERY=RkZfRUJJVERBX0lCKCdMVE1TJyw0MDAyMCk=&amp;WINDOW=FIRST_POPUP&amp;HEIGHT=450&amp;WIDTH=450&amp;START_MA","XIMIZED=FALSE&amp;VAR:CALENDAR=US&amp;VAR:SYMBOL=G0129K10&amp;VAR:INDEX=0"}</definedName>
    <definedName name="_7522__FDSAUDITLINK__" localSheetId="6" hidden="1">{"fdsup://directions/FAT Viewer?action=UPDATE&amp;creator=factset&amp;DYN_ARGS=TRUE&amp;DOC_NAME=FAT:FQL_AUDITING_CLIENT_TEMPLATE.FAT&amp;display_string=Audit&amp;VAR:KEY=ZGDIDULATC&amp;VAR:QUERY=RkZfRUJJVERBX0lCKCdMVE1TJyw0MDAxOSk=&amp;WINDOW=FIRST_POPUP&amp;HEIGHT=450&amp;WIDTH=450&amp;START_MA","XIMIZED=FALSE&amp;VAR:CALENDAR=US&amp;VAR:SYMBOL=G0129K10&amp;VAR:INDEX=0"}</definedName>
    <definedName name="_7522__FDSAUDITLINK__" hidden="1">{"fdsup://directions/FAT Viewer?action=UPDATE&amp;creator=factset&amp;DYN_ARGS=TRUE&amp;DOC_NAME=FAT:FQL_AUDITING_CLIENT_TEMPLATE.FAT&amp;display_string=Audit&amp;VAR:KEY=ZGDIDULATC&amp;VAR:QUERY=RkZfRUJJVERBX0lCKCdMVE1TJyw0MDAxOSk=&amp;WINDOW=FIRST_POPUP&amp;HEIGHT=450&amp;WIDTH=450&amp;START_MA","XIMIZED=FALSE&amp;VAR:CALENDAR=US&amp;VAR:SYMBOL=G0129K10&amp;VAR:INDEX=0"}</definedName>
    <definedName name="_7523__FDSAUDITLINK__" localSheetId="6" hidden="1">{"fdsup://directions/FAT Viewer?action=UPDATE&amp;creator=factset&amp;DYN_ARGS=TRUE&amp;DOC_NAME=FAT:FQL_AUDITING_CLIENT_TEMPLATE.FAT&amp;display_string=Audit&amp;VAR:KEY=TMNSFCLAHG&amp;VAR:QUERY=RkZfRUJJVERBX0lCKCdMVE1TJyw0MDAxOCk=&amp;WINDOW=FIRST_POPUP&amp;HEIGHT=450&amp;WIDTH=450&amp;START_MA","XIMIZED=FALSE&amp;VAR:CALENDAR=US&amp;VAR:SYMBOL=G0129K10&amp;VAR:INDEX=0"}</definedName>
    <definedName name="_7523__FDSAUDITLINK__" hidden="1">{"fdsup://directions/FAT Viewer?action=UPDATE&amp;creator=factset&amp;DYN_ARGS=TRUE&amp;DOC_NAME=FAT:FQL_AUDITING_CLIENT_TEMPLATE.FAT&amp;display_string=Audit&amp;VAR:KEY=TMNSFCLAHG&amp;VAR:QUERY=RkZfRUJJVERBX0lCKCdMVE1TJyw0MDAxOCk=&amp;WINDOW=FIRST_POPUP&amp;HEIGHT=450&amp;WIDTH=450&amp;START_MA","XIMIZED=FALSE&amp;VAR:CALENDAR=US&amp;VAR:SYMBOL=G0129K10&amp;VAR:INDEX=0"}</definedName>
    <definedName name="_7524__FDSAUDITLINK__" localSheetId="6" hidden="1">{"fdsup://directions/FAT Viewer?action=UPDATE&amp;creator=factset&amp;DYN_ARGS=TRUE&amp;DOC_NAME=FAT:FQL_AUDITING_CLIENT_TEMPLATE.FAT&amp;display_string=Audit&amp;VAR:KEY=LIBSHSDMXA&amp;VAR:QUERY=RkZfRUJJVERBX0lCKCdMVE1TJyw0MDAxNyk=&amp;WINDOW=FIRST_POPUP&amp;HEIGHT=450&amp;WIDTH=450&amp;START_MA","XIMIZED=FALSE&amp;VAR:CALENDAR=US&amp;VAR:SYMBOL=G0129K10&amp;VAR:INDEX=0"}</definedName>
    <definedName name="_7524__FDSAUDITLINK__" hidden="1">{"fdsup://directions/FAT Viewer?action=UPDATE&amp;creator=factset&amp;DYN_ARGS=TRUE&amp;DOC_NAME=FAT:FQL_AUDITING_CLIENT_TEMPLATE.FAT&amp;display_string=Audit&amp;VAR:KEY=LIBSHSDMXA&amp;VAR:QUERY=RkZfRUJJVERBX0lCKCdMVE1TJyw0MDAxNyk=&amp;WINDOW=FIRST_POPUP&amp;HEIGHT=450&amp;WIDTH=450&amp;START_MA","XIMIZED=FALSE&amp;VAR:CALENDAR=US&amp;VAR:SYMBOL=G0129K10&amp;VAR:INDEX=0"}</definedName>
    <definedName name="_7525__FDSAUDITLINK__" localSheetId="6" hidden="1">{"fdsup://directions/FAT Viewer?action=UPDATE&amp;creator=factset&amp;DYN_ARGS=TRUE&amp;DOC_NAME=FAT:FQL_AUDITING_CLIENT_TEMPLATE.FAT&amp;display_string=Audit&amp;VAR:KEY=NQJOJMVIBA&amp;VAR:QUERY=RkZfRUJJVERBX0lCKCdMVE1TJyw0MDAxNik=&amp;WINDOW=FIRST_POPUP&amp;HEIGHT=450&amp;WIDTH=450&amp;START_MA","XIMIZED=FALSE&amp;VAR:CALENDAR=US&amp;VAR:SYMBOL=G0129K10&amp;VAR:INDEX=0"}</definedName>
    <definedName name="_7525__FDSAUDITLINK__" hidden="1">{"fdsup://directions/FAT Viewer?action=UPDATE&amp;creator=factset&amp;DYN_ARGS=TRUE&amp;DOC_NAME=FAT:FQL_AUDITING_CLIENT_TEMPLATE.FAT&amp;display_string=Audit&amp;VAR:KEY=NQJOJMVIBA&amp;VAR:QUERY=RkZfRUJJVERBX0lCKCdMVE1TJyw0MDAxNik=&amp;WINDOW=FIRST_POPUP&amp;HEIGHT=450&amp;WIDTH=450&amp;START_MA","XIMIZED=FALSE&amp;VAR:CALENDAR=US&amp;VAR:SYMBOL=G0129K10&amp;VAR:INDEX=0"}</definedName>
    <definedName name="_7526__FDSAUDITLINK__" localSheetId="6" hidden="1">{"fdsup://directions/FAT Viewer?action=UPDATE&amp;creator=factset&amp;DYN_ARGS=TRUE&amp;DOC_NAME=FAT:FQL_AUDITING_CLIENT_TEMPLATE.FAT&amp;display_string=Audit&amp;VAR:KEY=VORQZEXWBE&amp;VAR:QUERY=RkZfRUJJVERBX0lCKCdMVE1TJyw0MDAxNSk=&amp;WINDOW=FIRST_POPUP&amp;HEIGHT=450&amp;WIDTH=450&amp;START_MA","XIMIZED=FALSE&amp;VAR:CALENDAR=US&amp;VAR:SYMBOL=G0129K10&amp;VAR:INDEX=0"}</definedName>
    <definedName name="_7526__FDSAUDITLINK__" hidden="1">{"fdsup://directions/FAT Viewer?action=UPDATE&amp;creator=factset&amp;DYN_ARGS=TRUE&amp;DOC_NAME=FAT:FQL_AUDITING_CLIENT_TEMPLATE.FAT&amp;display_string=Audit&amp;VAR:KEY=VORQZEXWBE&amp;VAR:QUERY=RkZfRUJJVERBX0lCKCdMVE1TJyw0MDAxNSk=&amp;WINDOW=FIRST_POPUP&amp;HEIGHT=450&amp;WIDTH=450&amp;START_MA","XIMIZED=FALSE&amp;VAR:CALENDAR=US&amp;VAR:SYMBOL=G0129K10&amp;VAR:INDEX=0"}</definedName>
    <definedName name="_7527__FDSAUDITLINK__" localSheetId="6" hidden="1">{"fdsup://directions/FAT Viewer?action=UPDATE&amp;creator=factset&amp;DYN_ARGS=TRUE&amp;DOC_NAME=FAT:FQL_AUDITING_CLIENT_TEMPLATE.FAT&amp;display_string=Audit&amp;VAR:KEY=TYROXGLUVC&amp;VAR:QUERY=RkZfRUJJVERBX0lCKCdMVE1TJyw0MDAxNCk=&amp;WINDOW=FIRST_POPUP&amp;HEIGHT=450&amp;WIDTH=450&amp;START_MA","XIMIZED=FALSE&amp;VAR:CALENDAR=US&amp;VAR:SYMBOL=G0129K10&amp;VAR:INDEX=0"}</definedName>
    <definedName name="_7527__FDSAUDITLINK__" hidden="1">{"fdsup://directions/FAT Viewer?action=UPDATE&amp;creator=factset&amp;DYN_ARGS=TRUE&amp;DOC_NAME=FAT:FQL_AUDITING_CLIENT_TEMPLATE.FAT&amp;display_string=Audit&amp;VAR:KEY=TYROXGLUVC&amp;VAR:QUERY=RkZfRUJJVERBX0lCKCdMVE1TJyw0MDAxNCk=&amp;WINDOW=FIRST_POPUP&amp;HEIGHT=450&amp;WIDTH=450&amp;START_MA","XIMIZED=FALSE&amp;VAR:CALENDAR=US&amp;VAR:SYMBOL=G0129K10&amp;VAR:INDEX=0"}</definedName>
    <definedName name="_7528__FDSAUDITLINK__" localSheetId="6" hidden="1">{"fdsup://directions/FAT Viewer?action=UPDATE&amp;creator=factset&amp;DYN_ARGS=TRUE&amp;DOC_NAME=FAT:FQL_AUDITING_CLIENT_TEMPLATE.FAT&amp;display_string=Audit&amp;VAR:KEY=BKZGRSHCLW&amp;VAR:QUERY=RkZfRUJJVERBX0lCKCdMVE1TJyw0MDAxMyk=&amp;WINDOW=FIRST_POPUP&amp;HEIGHT=450&amp;WIDTH=450&amp;START_MA","XIMIZED=FALSE&amp;VAR:CALENDAR=US&amp;VAR:SYMBOL=G0129K10&amp;VAR:INDEX=0"}</definedName>
    <definedName name="_7528__FDSAUDITLINK__" hidden="1">{"fdsup://directions/FAT Viewer?action=UPDATE&amp;creator=factset&amp;DYN_ARGS=TRUE&amp;DOC_NAME=FAT:FQL_AUDITING_CLIENT_TEMPLATE.FAT&amp;display_string=Audit&amp;VAR:KEY=BKZGRSHCLW&amp;VAR:QUERY=RkZfRUJJVERBX0lCKCdMVE1TJyw0MDAxMyk=&amp;WINDOW=FIRST_POPUP&amp;HEIGHT=450&amp;WIDTH=450&amp;START_MA","XIMIZED=FALSE&amp;VAR:CALENDAR=US&amp;VAR:SYMBOL=G0129K10&amp;VAR:INDEX=0"}</definedName>
    <definedName name="_7529__FDSAUDITLINK__" localSheetId="6" hidden="1">{"fdsup://directions/FAT Viewer?action=UPDATE&amp;creator=factset&amp;DYN_ARGS=TRUE&amp;DOC_NAME=FAT:FQL_AUDITING_CLIENT_TEMPLATE.FAT&amp;display_string=Audit&amp;VAR:KEY=PYLUFKREPC&amp;VAR:QUERY=RkZfRUJJVERBX0lCKCdMVE1TJyw0MDAxMik=&amp;WINDOW=FIRST_POPUP&amp;HEIGHT=450&amp;WIDTH=450&amp;START_MA","XIMIZED=FALSE&amp;VAR:CALENDAR=US&amp;VAR:SYMBOL=G0129K10&amp;VAR:INDEX=0"}</definedName>
    <definedName name="_7529__FDSAUDITLINK__" hidden="1">{"fdsup://directions/FAT Viewer?action=UPDATE&amp;creator=factset&amp;DYN_ARGS=TRUE&amp;DOC_NAME=FAT:FQL_AUDITING_CLIENT_TEMPLATE.FAT&amp;display_string=Audit&amp;VAR:KEY=PYLUFKREPC&amp;VAR:QUERY=RkZfRUJJVERBX0lCKCdMVE1TJyw0MDAxMik=&amp;WINDOW=FIRST_POPUP&amp;HEIGHT=450&amp;WIDTH=450&amp;START_MA","XIMIZED=FALSE&amp;VAR:CALENDAR=US&amp;VAR:SYMBOL=G0129K10&amp;VAR:INDEX=0"}</definedName>
    <definedName name="_753__FDSAUDITLINK__" localSheetId="6" hidden="1">{"fdsup://directions/FAT%20Viewer?VAR:PED=LTM&amp;VAR:AUDIT_MODE=SUMMARY&amp;VAR:PERIOD=FIXED&amp;VAR:AUDIT_ID=00000117&amp;VAR:DATE=20080130&amp;action=UPDATE&amp;creator=factset&amp;DOC_NAME=FAT:FMA_audit_SUMMARY.fat&amp;DISPLAY_STRING=Display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3__FDSAUDITLINK__" hidden="1">{"fdsup://directions/FAT%20Viewer?VAR:PED=LTM&amp;VAR:AUDIT_MODE=SUMMARY&amp;VAR:PERIOD=FIXED&amp;VAR:AUDIT_ID=00000117&amp;VAR:DATE=20080130&amp;action=UPDATE&amp;creator=factset&amp;DOC_NAME=FAT:FMA_audit_SUMMARY.fat&amp;DISPLAY_STRING=Display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30__FDSAUDITLINK__" localSheetId="6" hidden="1">{"fdsup://directions/FAT Viewer?action=UPDATE&amp;creator=factset&amp;DYN_ARGS=TRUE&amp;DOC_NAME=FAT:FQL_AUDITING_CLIENT_TEMPLATE.FAT&amp;display_string=Audit&amp;VAR:KEY=PKDSLCTIZK&amp;VAR:QUERY=RkZfRUJJVERBX0lCKCdMVE1TJyw0MDAxMSk=&amp;WINDOW=FIRST_POPUP&amp;HEIGHT=450&amp;WIDTH=450&amp;START_MA","XIMIZED=FALSE&amp;VAR:CALENDAR=US&amp;VAR:SYMBOL=G0129K10&amp;VAR:INDEX=0"}</definedName>
    <definedName name="_7530__FDSAUDITLINK__" hidden="1">{"fdsup://directions/FAT Viewer?action=UPDATE&amp;creator=factset&amp;DYN_ARGS=TRUE&amp;DOC_NAME=FAT:FQL_AUDITING_CLIENT_TEMPLATE.FAT&amp;display_string=Audit&amp;VAR:KEY=PKDSLCTIZK&amp;VAR:QUERY=RkZfRUJJVERBX0lCKCdMVE1TJyw0MDAxMSk=&amp;WINDOW=FIRST_POPUP&amp;HEIGHT=450&amp;WIDTH=450&amp;START_MA","XIMIZED=FALSE&amp;VAR:CALENDAR=US&amp;VAR:SYMBOL=G0129K10&amp;VAR:INDEX=0"}</definedName>
    <definedName name="_7531__FDSAUDITLINK__" localSheetId="6" hidden="1">{"fdsup://directions/FAT Viewer?action=UPDATE&amp;creator=factset&amp;DYN_ARGS=TRUE&amp;DOC_NAME=FAT:FQL_AUDITING_CLIENT_TEMPLATE.FAT&amp;display_string=Audit&amp;VAR:KEY=LCJENSLWXA&amp;VAR:QUERY=RkZfRUJJVERBX0lCKCdMVE1TJyw0MDAxMCk=&amp;WINDOW=FIRST_POPUP&amp;HEIGHT=450&amp;WIDTH=450&amp;START_MA","XIMIZED=FALSE&amp;VAR:CALENDAR=US&amp;VAR:SYMBOL=G0129K10&amp;VAR:INDEX=0"}</definedName>
    <definedName name="_7531__FDSAUDITLINK__" hidden="1">{"fdsup://directions/FAT Viewer?action=UPDATE&amp;creator=factset&amp;DYN_ARGS=TRUE&amp;DOC_NAME=FAT:FQL_AUDITING_CLIENT_TEMPLATE.FAT&amp;display_string=Audit&amp;VAR:KEY=LCJENSLWXA&amp;VAR:QUERY=RkZfRUJJVERBX0lCKCdMVE1TJyw0MDAxMCk=&amp;WINDOW=FIRST_POPUP&amp;HEIGHT=450&amp;WIDTH=450&amp;START_MA","XIMIZED=FALSE&amp;VAR:CALENDAR=US&amp;VAR:SYMBOL=G0129K10&amp;VAR:INDEX=0"}</definedName>
    <definedName name="_7532__FDSAUDITLINK__" localSheetId="6" hidden="1">{"fdsup://directions/FAT Viewer?action=UPDATE&amp;creator=factset&amp;DYN_ARGS=TRUE&amp;DOC_NAME=FAT:FQL_AUDITING_CLIENT_TEMPLATE.FAT&amp;display_string=Audit&amp;VAR:KEY=BQBQRYFCTC&amp;VAR:QUERY=RkZfRUJJVERBX0lCKCdMVE1TJyw0MDAwOSk=&amp;WINDOW=FIRST_POPUP&amp;HEIGHT=450&amp;WIDTH=450&amp;START_MA","XIMIZED=FALSE&amp;VAR:CALENDAR=US&amp;VAR:SYMBOL=G0129K10&amp;VAR:INDEX=0"}</definedName>
    <definedName name="_7532__FDSAUDITLINK__" hidden="1">{"fdsup://directions/FAT Viewer?action=UPDATE&amp;creator=factset&amp;DYN_ARGS=TRUE&amp;DOC_NAME=FAT:FQL_AUDITING_CLIENT_TEMPLATE.FAT&amp;display_string=Audit&amp;VAR:KEY=BQBQRYFCTC&amp;VAR:QUERY=RkZfRUJJVERBX0lCKCdMVE1TJyw0MDAwOSk=&amp;WINDOW=FIRST_POPUP&amp;HEIGHT=450&amp;WIDTH=450&amp;START_MA","XIMIZED=FALSE&amp;VAR:CALENDAR=US&amp;VAR:SYMBOL=G0129K10&amp;VAR:INDEX=0"}</definedName>
    <definedName name="_7533__FDSAUDITLINK__" localSheetId="6" hidden="1">{"fdsup://directions/FAT Viewer?action=UPDATE&amp;creator=factset&amp;DYN_ARGS=TRUE&amp;DOC_NAME=FAT:FQL_AUDITING_CLIENT_TEMPLATE.FAT&amp;display_string=Audit&amp;VAR:KEY=HGFGLCZCTU&amp;VAR:QUERY=RkZfRUJJVERBX0lCKCdMVE1TJyw0MDAwOCk=&amp;WINDOW=FIRST_POPUP&amp;HEIGHT=450&amp;WIDTH=450&amp;START_MA","XIMIZED=FALSE&amp;VAR:CALENDAR=US&amp;VAR:SYMBOL=G0129K10&amp;VAR:INDEX=0"}</definedName>
    <definedName name="_7533__FDSAUDITLINK__" hidden="1">{"fdsup://directions/FAT Viewer?action=UPDATE&amp;creator=factset&amp;DYN_ARGS=TRUE&amp;DOC_NAME=FAT:FQL_AUDITING_CLIENT_TEMPLATE.FAT&amp;display_string=Audit&amp;VAR:KEY=HGFGLCZCTU&amp;VAR:QUERY=RkZfRUJJVERBX0lCKCdMVE1TJyw0MDAwOCk=&amp;WINDOW=FIRST_POPUP&amp;HEIGHT=450&amp;WIDTH=450&amp;START_MA","XIMIZED=FALSE&amp;VAR:CALENDAR=US&amp;VAR:SYMBOL=G0129K10&amp;VAR:INDEX=0"}</definedName>
    <definedName name="_7534__FDSAUDITLINK__" localSheetId="6" hidden="1">{"fdsup://directions/FAT Viewer?action=UPDATE&amp;creator=factset&amp;DYN_ARGS=TRUE&amp;DOC_NAME=FAT:FQL_AUDITING_CLIENT_TEMPLATE.FAT&amp;display_string=Audit&amp;VAR:KEY=VQVITAHGBY&amp;VAR:QUERY=RkZfRUJJVERBX0lCKCdMVE1TJyw0MDAwNyk=&amp;WINDOW=FIRST_POPUP&amp;HEIGHT=450&amp;WIDTH=450&amp;START_MA","XIMIZED=FALSE&amp;VAR:CALENDAR=US&amp;VAR:SYMBOL=G0129K10&amp;VAR:INDEX=0"}</definedName>
    <definedName name="_7534__FDSAUDITLINK__" hidden="1">{"fdsup://directions/FAT Viewer?action=UPDATE&amp;creator=factset&amp;DYN_ARGS=TRUE&amp;DOC_NAME=FAT:FQL_AUDITING_CLIENT_TEMPLATE.FAT&amp;display_string=Audit&amp;VAR:KEY=VQVITAHGBY&amp;VAR:QUERY=RkZfRUJJVERBX0lCKCdMVE1TJyw0MDAwNyk=&amp;WINDOW=FIRST_POPUP&amp;HEIGHT=450&amp;WIDTH=450&amp;START_MA","XIMIZED=FALSE&amp;VAR:CALENDAR=US&amp;VAR:SYMBOL=G0129K10&amp;VAR:INDEX=0"}</definedName>
    <definedName name="_7535__FDSAUDITLINK__" localSheetId="6" hidden="1">{"fdsup://directions/FAT Viewer?action=UPDATE&amp;creator=factset&amp;DYN_ARGS=TRUE&amp;DOC_NAME=FAT:FQL_AUDITING_CLIENT_TEMPLATE.FAT&amp;display_string=Audit&amp;VAR:KEY=XEFCZORSLG&amp;VAR:QUERY=RkZfRUJJVERBX0lCKCdMVE1TJyw0MDAwNik=&amp;WINDOW=FIRST_POPUP&amp;HEIGHT=450&amp;WIDTH=450&amp;START_MA","XIMIZED=FALSE&amp;VAR:CALENDAR=US&amp;VAR:SYMBOL=G0129K10&amp;VAR:INDEX=0"}</definedName>
    <definedName name="_7535__FDSAUDITLINK__" hidden="1">{"fdsup://directions/FAT Viewer?action=UPDATE&amp;creator=factset&amp;DYN_ARGS=TRUE&amp;DOC_NAME=FAT:FQL_AUDITING_CLIENT_TEMPLATE.FAT&amp;display_string=Audit&amp;VAR:KEY=XEFCZORSLG&amp;VAR:QUERY=RkZfRUJJVERBX0lCKCdMVE1TJyw0MDAwNik=&amp;WINDOW=FIRST_POPUP&amp;HEIGHT=450&amp;WIDTH=450&amp;START_MA","XIMIZED=FALSE&amp;VAR:CALENDAR=US&amp;VAR:SYMBOL=G0129K10&amp;VAR:INDEX=0"}</definedName>
    <definedName name="_7536__FDSAUDITLINK__" localSheetId="6" hidden="1">{"fdsup://directions/FAT Viewer?action=UPDATE&amp;creator=factset&amp;DYN_ARGS=TRUE&amp;DOC_NAME=FAT:FQL_AUDITING_CLIENT_TEMPLATE.FAT&amp;display_string=Audit&amp;VAR:KEY=JKTWJSVWLE&amp;VAR:QUERY=RkZfRUJJVERBX0lCKCdMVE1TJyw0MDAwNSk=&amp;WINDOW=FIRST_POPUP&amp;HEIGHT=450&amp;WIDTH=450&amp;START_MA","XIMIZED=FALSE&amp;VAR:CALENDAR=US&amp;VAR:SYMBOL=G0129K10&amp;VAR:INDEX=0"}</definedName>
    <definedName name="_7536__FDSAUDITLINK__" hidden="1">{"fdsup://directions/FAT Viewer?action=UPDATE&amp;creator=factset&amp;DYN_ARGS=TRUE&amp;DOC_NAME=FAT:FQL_AUDITING_CLIENT_TEMPLATE.FAT&amp;display_string=Audit&amp;VAR:KEY=JKTWJSVWLE&amp;VAR:QUERY=RkZfRUJJVERBX0lCKCdMVE1TJyw0MDAwNSk=&amp;WINDOW=FIRST_POPUP&amp;HEIGHT=450&amp;WIDTH=450&amp;START_MA","XIMIZED=FALSE&amp;VAR:CALENDAR=US&amp;VAR:SYMBOL=G0129K10&amp;VAR:INDEX=0"}</definedName>
    <definedName name="_7537__FDSAUDITLINK__" localSheetId="6" hidden="1">{"fdsup://directions/FAT Viewer?action=UPDATE&amp;creator=factset&amp;DYN_ARGS=TRUE&amp;DOC_NAME=FAT:FQL_AUDITING_CLIENT_TEMPLATE.FAT&amp;display_string=Audit&amp;VAR:KEY=DUTIFCRCHG&amp;VAR:QUERY=RkZfRUJJVERBX0lCKCdMVE1TJyw0MDAwNCk=&amp;WINDOW=FIRST_POPUP&amp;HEIGHT=450&amp;WIDTH=450&amp;START_MA","XIMIZED=FALSE&amp;VAR:CALENDAR=US&amp;VAR:SYMBOL=G0129K10&amp;VAR:INDEX=0"}</definedName>
    <definedName name="_7537__FDSAUDITLINK__" hidden="1">{"fdsup://directions/FAT Viewer?action=UPDATE&amp;creator=factset&amp;DYN_ARGS=TRUE&amp;DOC_NAME=FAT:FQL_AUDITING_CLIENT_TEMPLATE.FAT&amp;display_string=Audit&amp;VAR:KEY=DUTIFCRCHG&amp;VAR:QUERY=RkZfRUJJVERBX0lCKCdMVE1TJyw0MDAwNCk=&amp;WINDOW=FIRST_POPUP&amp;HEIGHT=450&amp;WIDTH=450&amp;START_MA","XIMIZED=FALSE&amp;VAR:CALENDAR=US&amp;VAR:SYMBOL=G0129K10&amp;VAR:INDEX=0"}</definedName>
    <definedName name="_7538__FDSAUDITLINK__" localSheetId="6" hidden="1">{"fdsup://directions/FAT Viewer?action=UPDATE&amp;creator=factset&amp;DYN_ARGS=TRUE&amp;DOC_NAME=FAT:FQL_AUDITING_CLIENT_TEMPLATE.FAT&amp;display_string=Audit&amp;VAR:KEY=XKJYDWJOTU&amp;VAR:QUERY=RkZfRUJJVERBX0lCKCdMVE1TJyw0MDAwMyk=&amp;WINDOW=FIRST_POPUP&amp;HEIGHT=450&amp;WIDTH=450&amp;START_MA","XIMIZED=FALSE&amp;VAR:CALENDAR=US&amp;VAR:SYMBOL=G0129K10&amp;VAR:INDEX=0"}</definedName>
    <definedName name="_7538__FDSAUDITLINK__" hidden="1">{"fdsup://directions/FAT Viewer?action=UPDATE&amp;creator=factset&amp;DYN_ARGS=TRUE&amp;DOC_NAME=FAT:FQL_AUDITING_CLIENT_TEMPLATE.FAT&amp;display_string=Audit&amp;VAR:KEY=XKJYDWJOTU&amp;VAR:QUERY=RkZfRUJJVERBX0lCKCdMVE1TJyw0MDAwMyk=&amp;WINDOW=FIRST_POPUP&amp;HEIGHT=450&amp;WIDTH=450&amp;START_MA","XIMIZED=FALSE&amp;VAR:CALENDAR=US&amp;VAR:SYMBOL=G0129K10&amp;VAR:INDEX=0"}</definedName>
    <definedName name="_7539__FDSAUDITLINK__" localSheetId="6" hidden="1">{"fdsup://directions/FAT Viewer?action=UPDATE&amp;creator=factset&amp;DYN_ARGS=TRUE&amp;DOC_NAME=FAT:FQL_AUDITING_CLIENT_TEMPLATE.FAT&amp;display_string=Audit&amp;VAR:KEY=VKTUJURGDQ&amp;VAR:QUERY=RkZfRUJJVERBX0lCKCdMVE1TJyw0MDAwMik=&amp;WINDOW=FIRST_POPUP&amp;HEIGHT=450&amp;WIDTH=450&amp;START_MA","XIMIZED=FALSE&amp;VAR:CALENDAR=US&amp;VAR:SYMBOL=G0129K10&amp;VAR:INDEX=0"}</definedName>
    <definedName name="_7539__FDSAUDITLINK__" hidden="1">{"fdsup://directions/FAT Viewer?action=UPDATE&amp;creator=factset&amp;DYN_ARGS=TRUE&amp;DOC_NAME=FAT:FQL_AUDITING_CLIENT_TEMPLATE.FAT&amp;display_string=Audit&amp;VAR:KEY=VKTUJURGDQ&amp;VAR:QUERY=RkZfRUJJVERBX0lCKCdMVE1TJyw0MDAwMik=&amp;WINDOW=FIRST_POPUP&amp;HEIGHT=450&amp;WIDTH=450&amp;START_MA","XIMIZED=FALSE&amp;VAR:CALENDAR=US&amp;VAR:SYMBOL=G0129K10&amp;VAR:INDEX=0"}</definedName>
    <definedName name="_754__FDSAUDITLINK__" localSheetId="6" hidden="1">{"fdsup://directions/FAT%20Viewer?VAR:PED=LTM&amp;VAR:AUDIT_MODE=SUMMARY&amp;VAR:PERIOD=FIXED&amp;VAR:AUDIT_ID=00000117&amp;VAR:DATE=20080129&amp;action=UPDATE&amp;creator=factset&amp;DOC_NAME=FAT:FMA_audit_SUMMARY.fat&amp;DISPLAY_STRING=Display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4__FDSAUDITLINK__" hidden="1">{"fdsup://directions/FAT%20Viewer?VAR:PED=LTM&amp;VAR:AUDIT_MODE=SUMMARY&amp;VAR:PERIOD=FIXED&amp;VAR:AUDIT_ID=00000117&amp;VAR:DATE=20080129&amp;action=UPDATE&amp;creator=factset&amp;DOC_NAME=FAT:FMA_audit_SUMMARY.fat&amp;DISPLAY_STRING=Display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40__FDSAUDITLINK__" localSheetId="6" hidden="1">{"fdsup://directions/FAT Viewer?action=UPDATE&amp;creator=factset&amp;DYN_ARGS=TRUE&amp;DOC_NAME=FAT:FQL_AUDITING_CLIENT_TEMPLATE.FAT&amp;display_string=Audit&amp;VAR:KEY=JYXUPCHGVO&amp;VAR:QUERY=RkZfRUJJVERBX0lCKCdMVE1TJyw0MDAwMSk=&amp;WINDOW=FIRST_POPUP&amp;HEIGHT=450&amp;WIDTH=450&amp;START_MA","XIMIZED=FALSE&amp;VAR:CALENDAR=US&amp;VAR:SYMBOL=G0129K10&amp;VAR:INDEX=0"}</definedName>
    <definedName name="_7540__FDSAUDITLINK__" hidden="1">{"fdsup://directions/FAT Viewer?action=UPDATE&amp;creator=factset&amp;DYN_ARGS=TRUE&amp;DOC_NAME=FAT:FQL_AUDITING_CLIENT_TEMPLATE.FAT&amp;display_string=Audit&amp;VAR:KEY=JYXUPCHGVO&amp;VAR:QUERY=RkZfRUJJVERBX0lCKCdMVE1TJyw0MDAwMSk=&amp;WINDOW=FIRST_POPUP&amp;HEIGHT=450&amp;WIDTH=450&amp;START_MA","XIMIZED=FALSE&amp;VAR:CALENDAR=US&amp;VAR:SYMBOL=G0129K10&amp;VAR:INDEX=0"}</definedName>
    <definedName name="_7541__FDSAUDITLINK__" localSheetId="6" hidden="1">{"fdsup://directions/FAT Viewer?action=UPDATE&amp;creator=factset&amp;DYN_ARGS=TRUE&amp;DOC_NAME=FAT:FQL_AUDITING_CLIENT_TEMPLATE.FAT&amp;display_string=Audit&amp;VAR:KEY=LEPYFETQRS&amp;VAR:QUERY=RkZfRUJJVERBX0lCKCdMVE1TJyw0MDAwMCk=&amp;WINDOW=FIRST_POPUP&amp;HEIGHT=450&amp;WIDTH=450&amp;START_MA","XIMIZED=FALSE&amp;VAR:CALENDAR=US&amp;VAR:SYMBOL=G0129K10&amp;VAR:INDEX=0"}</definedName>
    <definedName name="_7541__FDSAUDITLINK__" hidden="1">{"fdsup://directions/FAT Viewer?action=UPDATE&amp;creator=factset&amp;DYN_ARGS=TRUE&amp;DOC_NAME=FAT:FQL_AUDITING_CLIENT_TEMPLATE.FAT&amp;display_string=Audit&amp;VAR:KEY=LEPYFETQRS&amp;VAR:QUERY=RkZfRUJJVERBX0lCKCdMVE1TJyw0MDAwMCk=&amp;WINDOW=FIRST_POPUP&amp;HEIGHT=450&amp;WIDTH=450&amp;START_MA","XIMIZED=FALSE&amp;VAR:CALENDAR=US&amp;VAR:SYMBOL=G0129K10&amp;VAR:INDEX=0"}</definedName>
    <definedName name="_7542__FDSAUDITLINK__" localSheetId="6" hidden="1">{"fdsup://directions/FAT Viewer?action=UPDATE&amp;creator=factset&amp;DYN_ARGS=TRUE&amp;DOC_NAME=FAT:FQL_AUDITING_CLIENT_TEMPLATE.FAT&amp;display_string=Audit&amp;VAR:KEY=ZUBGNWXUXO&amp;VAR:QUERY=RkZfRUJJVERBX0lCKCdMVE1TJywzOTk5OSk=&amp;WINDOW=FIRST_POPUP&amp;HEIGHT=450&amp;WIDTH=450&amp;START_MA","XIMIZED=FALSE&amp;VAR:CALENDAR=US&amp;VAR:SYMBOL=G0129K10&amp;VAR:INDEX=0"}</definedName>
    <definedName name="_7542__FDSAUDITLINK__" hidden="1">{"fdsup://directions/FAT Viewer?action=UPDATE&amp;creator=factset&amp;DYN_ARGS=TRUE&amp;DOC_NAME=FAT:FQL_AUDITING_CLIENT_TEMPLATE.FAT&amp;display_string=Audit&amp;VAR:KEY=ZUBGNWXUXO&amp;VAR:QUERY=RkZfRUJJVERBX0lCKCdMVE1TJywzOTk5OSk=&amp;WINDOW=FIRST_POPUP&amp;HEIGHT=450&amp;WIDTH=450&amp;START_MA","XIMIZED=FALSE&amp;VAR:CALENDAR=US&amp;VAR:SYMBOL=G0129K10&amp;VAR:INDEX=0"}</definedName>
    <definedName name="_7543__FDSAUDITLINK__" localSheetId="6" hidden="1">{"fdsup://directions/FAT Viewer?action=UPDATE&amp;creator=factset&amp;DYN_ARGS=TRUE&amp;DOC_NAME=FAT:FQL_AUDITING_CLIENT_TEMPLATE.FAT&amp;display_string=Audit&amp;VAR:KEY=DODMJANOZW&amp;VAR:QUERY=RkZfRUJJVERBX0lCKCdMVE1TJywzOTk5OCk=&amp;WINDOW=FIRST_POPUP&amp;HEIGHT=450&amp;WIDTH=450&amp;START_MA","XIMIZED=FALSE&amp;VAR:CALENDAR=US&amp;VAR:SYMBOL=G0129K10&amp;VAR:INDEX=0"}</definedName>
    <definedName name="_7543__FDSAUDITLINK__" hidden="1">{"fdsup://directions/FAT Viewer?action=UPDATE&amp;creator=factset&amp;DYN_ARGS=TRUE&amp;DOC_NAME=FAT:FQL_AUDITING_CLIENT_TEMPLATE.FAT&amp;display_string=Audit&amp;VAR:KEY=DODMJANOZW&amp;VAR:QUERY=RkZfRUJJVERBX0lCKCdMVE1TJywzOTk5OCk=&amp;WINDOW=FIRST_POPUP&amp;HEIGHT=450&amp;WIDTH=450&amp;START_MA","XIMIZED=FALSE&amp;VAR:CALENDAR=US&amp;VAR:SYMBOL=G0129K10&amp;VAR:INDEX=0"}</definedName>
    <definedName name="_7544__FDSAUDITLINK__" localSheetId="6" hidden="1">{"fdsup://directions/FAT Viewer?action=UPDATE&amp;creator=factset&amp;DYN_ARGS=TRUE&amp;DOC_NAME=FAT:FQL_AUDITING_CLIENT_TEMPLATE.FAT&amp;display_string=Audit&amp;VAR:KEY=JAXKTIDSBC&amp;VAR:QUERY=RkZfRUJJVERBX0lCKCdMVE1TJywzOTk5Nyk=&amp;WINDOW=FIRST_POPUP&amp;HEIGHT=450&amp;WIDTH=450&amp;START_MA","XIMIZED=FALSE&amp;VAR:CALENDAR=US&amp;VAR:SYMBOL=G0129K10&amp;VAR:INDEX=0"}</definedName>
    <definedName name="_7544__FDSAUDITLINK__" hidden="1">{"fdsup://directions/FAT Viewer?action=UPDATE&amp;creator=factset&amp;DYN_ARGS=TRUE&amp;DOC_NAME=FAT:FQL_AUDITING_CLIENT_TEMPLATE.FAT&amp;display_string=Audit&amp;VAR:KEY=JAXKTIDSBC&amp;VAR:QUERY=RkZfRUJJVERBX0lCKCdMVE1TJywzOTk5Nyk=&amp;WINDOW=FIRST_POPUP&amp;HEIGHT=450&amp;WIDTH=450&amp;START_MA","XIMIZED=FALSE&amp;VAR:CALENDAR=US&amp;VAR:SYMBOL=G0129K10&amp;VAR:INDEX=0"}</definedName>
    <definedName name="_7545__FDSAUDITLINK__" localSheetId="6" hidden="1">{"fdsup://directions/FAT Viewer?action=UPDATE&amp;creator=factset&amp;DYN_ARGS=TRUE&amp;DOC_NAME=FAT:FQL_AUDITING_CLIENT_TEMPLATE.FAT&amp;display_string=Audit&amp;VAR:KEY=VKHWBILGJW&amp;VAR:QUERY=RkZfRUJJVERBX0lCKCdMVE1TJywzOTk5Nik=&amp;WINDOW=FIRST_POPUP&amp;HEIGHT=450&amp;WIDTH=450&amp;START_MA","XIMIZED=FALSE&amp;VAR:CALENDAR=US&amp;VAR:SYMBOL=G0129K10&amp;VAR:INDEX=0"}</definedName>
    <definedName name="_7545__FDSAUDITLINK__" hidden="1">{"fdsup://directions/FAT Viewer?action=UPDATE&amp;creator=factset&amp;DYN_ARGS=TRUE&amp;DOC_NAME=FAT:FQL_AUDITING_CLIENT_TEMPLATE.FAT&amp;display_string=Audit&amp;VAR:KEY=VKHWBILGJW&amp;VAR:QUERY=RkZfRUJJVERBX0lCKCdMVE1TJywzOTk5Nik=&amp;WINDOW=FIRST_POPUP&amp;HEIGHT=450&amp;WIDTH=450&amp;START_MA","XIMIZED=FALSE&amp;VAR:CALENDAR=US&amp;VAR:SYMBOL=G0129K10&amp;VAR:INDEX=0"}</definedName>
    <definedName name="_7546__FDSAUDITLINK__" localSheetId="6" hidden="1">{"fdsup://directions/FAT Viewer?action=UPDATE&amp;creator=factset&amp;DYN_ARGS=TRUE&amp;DOC_NAME=FAT:FQL_AUDITING_CLIENT_TEMPLATE.FAT&amp;display_string=Audit&amp;VAR:KEY=FKTUJAVWPU&amp;VAR:QUERY=RkZfRUJJVERBX0lCKCdMVE1TJywzOTk5NSk=&amp;WINDOW=FIRST_POPUP&amp;HEIGHT=450&amp;WIDTH=450&amp;START_MA","XIMIZED=FALSE&amp;VAR:CALENDAR=US&amp;VAR:SYMBOL=G0129K10&amp;VAR:INDEX=0"}</definedName>
    <definedName name="_7546__FDSAUDITLINK__" hidden="1">{"fdsup://directions/FAT Viewer?action=UPDATE&amp;creator=factset&amp;DYN_ARGS=TRUE&amp;DOC_NAME=FAT:FQL_AUDITING_CLIENT_TEMPLATE.FAT&amp;display_string=Audit&amp;VAR:KEY=FKTUJAVWPU&amp;VAR:QUERY=RkZfRUJJVERBX0lCKCdMVE1TJywzOTk5NSk=&amp;WINDOW=FIRST_POPUP&amp;HEIGHT=450&amp;WIDTH=450&amp;START_MA","XIMIZED=FALSE&amp;VAR:CALENDAR=US&amp;VAR:SYMBOL=G0129K10&amp;VAR:INDEX=0"}</definedName>
    <definedName name="_7547__FDSAUDITLINK__" localSheetId="6" hidden="1">{"fdsup://directions/FAT Viewer?action=UPDATE&amp;creator=factset&amp;DYN_ARGS=TRUE&amp;DOC_NAME=FAT:FQL_AUDITING_CLIENT_TEMPLATE.FAT&amp;display_string=Audit&amp;VAR:KEY=BMBKFGRMJI&amp;VAR:QUERY=RkZfRUJJVERBX0lCKCdMVE1TJywzOTk5NCk=&amp;WINDOW=FIRST_POPUP&amp;HEIGHT=450&amp;WIDTH=450&amp;START_MA","XIMIZED=FALSE&amp;VAR:CALENDAR=US&amp;VAR:SYMBOL=G0129K10&amp;VAR:INDEX=0"}</definedName>
    <definedName name="_7547__FDSAUDITLINK__" hidden="1">{"fdsup://directions/FAT Viewer?action=UPDATE&amp;creator=factset&amp;DYN_ARGS=TRUE&amp;DOC_NAME=FAT:FQL_AUDITING_CLIENT_TEMPLATE.FAT&amp;display_string=Audit&amp;VAR:KEY=BMBKFGRMJI&amp;VAR:QUERY=RkZfRUJJVERBX0lCKCdMVE1TJywzOTk5NCk=&amp;WINDOW=FIRST_POPUP&amp;HEIGHT=450&amp;WIDTH=450&amp;START_MA","XIMIZED=FALSE&amp;VAR:CALENDAR=US&amp;VAR:SYMBOL=G0129K10&amp;VAR:INDEX=0"}</definedName>
    <definedName name="_7548__FDSAUDITLINK__" localSheetId="6" hidden="1">{"fdsup://directions/FAT Viewer?action=UPDATE&amp;creator=factset&amp;DYN_ARGS=TRUE&amp;DOC_NAME=FAT:FQL_AUDITING_CLIENT_TEMPLATE.FAT&amp;display_string=Audit&amp;VAR:KEY=TKRKXUXANY&amp;VAR:QUERY=RkZfRUJJVERBX0lCKCdMVE1TJywzOTk5Myk=&amp;WINDOW=FIRST_POPUP&amp;HEIGHT=450&amp;WIDTH=450&amp;START_MA","XIMIZED=FALSE&amp;VAR:CALENDAR=US&amp;VAR:SYMBOL=G0129K10&amp;VAR:INDEX=0"}</definedName>
    <definedName name="_7548__FDSAUDITLINK__" hidden="1">{"fdsup://directions/FAT Viewer?action=UPDATE&amp;creator=factset&amp;DYN_ARGS=TRUE&amp;DOC_NAME=FAT:FQL_AUDITING_CLIENT_TEMPLATE.FAT&amp;display_string=Audit&amp;VAR:KEY=TKRKXUXANY&amp;VAR:QUERY=RkZfRUJJVERBX0lCKCdMVE1TJywzOTk5Myk=&amp;WINDOW=FIRST_POPUP&amp;HEIGHT=450&amp;WIDTH=450&amp;START_MA","XIMIZED=FALSE&amp;VAR:CALENDAR=US&amp;VAR:SYMBOL=G0129K10&amp;VAR:INDEX=0"}</definedName>
    <definedName name="_7549__FDSAUDITLINK__" localSheetId="6" hidden="1">{"fdsup://directions/FAT Viewer?action=UPDATE&amp;creator=factset&amp;DYN_ARGS=TRUE&amp;DOC_NAME=FAT:FQL_AUDITING_CLIENT_TEMPLATE.FAT&amp;display_string=Audit&amp;VAR:KEY=XGZGFYTQNO&amp;VAR:QUERY=RkZfRUJJVERBX0lCKCdMVE1TJywzOTk5Mik=&amp;WINDOW=FIRST_POPUP&amp;HEIGHT=450&amp;WIDTH=450&amp;START_MA","XIMIZED=FALSE&amp;VAR:CALENDAR=US&amp;VAR:SYMBOL=G0129K10&amp;VAR:INDEX=0"}</definedName>
    <definedName name="_7549__FDSAUDITLINK__" hidden="1">{"fdsup://directions/FAT Viewer?action=UPDATE&amp;creator=factset&amp;DYN_ARGS=TRUE&amp;DOC_NAME=FAT:FQL_AUDITING_CLIENT_TEMPLATE.FAT&amp;display_string=Audit&amp;VAR:KEY=XGZGFYTQNO&amp;VAR:QUERY=RkZfRUJJVERBX0lCKCdMVE1TJywzOTk5Mik=&amp;WINDOW=FIRST_POPUP&amp;HEIGHT=450&amp;WIDTH=450&amp;START_MA","XIMIZED=FALSE&amp;VAR:CALENDAR=US&amp;VAR:SYMBOL=G0129K10&amp;VAR:INDEX=0"}</definedName>
    <definedName name="_755__FDSAUDITLINK__" localSheetId="6" hidden="1">{"fdsup://directions/FAT%20Viewer?VAR:PED=LTM&amp;VAR:AUDIT_MODE=SUMMARY&amp;VAR:PERIOD=FIXED&amp;VAR:AUDIT_ID=00000117&amp;VAR:DATE=20080128&amp;action=UPDATE&amp;creator=factset&amp;DOC_NAME=FAT:FMA_audit_SUMMARY.fat&amp;DISPLAY_STRING=Display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5__FDSAUDITLINK__" hidden="1">{"fdsup://directions/FAT%20Viewer?VAR:PED=LTM&amp;VAR:AUDIT_MODE=SUMMARY&amp;VAR:PERIOD=FIXED&amp;VAR:AUDIT_ID=00000117&amp;VAR:DATE=20080128&amp;action=UPDATE&amp;creator=factset&amp;DOC_NAME=FAT:FMA_audit_SUMMARY.fat&amp;DISPLAY_STRING=Display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50__FDSAUDITLINK__" localSheetId="6" hidden="1">{"fdsup://directions/FAT Viewer?action=UPDATE&amp;creator=factset&amp;DYN_ARGS=TRUE&amp;DOC_NAME=FAT:FQL_AUDITING_CLIENT_TEMPLATE.FAT&amp;display_string=Audit&amp;VAR:KEY=ZYFMLSTSBM&amp;VAR:QUERY=RkZfRUJJVERBX0lCKCdMVE1TJywzOTk5MSk=&amp;WINDOW=FIRST_POPUP&amp;HEIGHT=450&amp;WIDTH=450&amp;START_MA","XIMIZED=FALSE&amp;VAR:CALENDAR=US&amp;VAR:SYMBOL=G0129K10&amp;VAR:INDEX=0"}</definedName>
    <definedName name="_7550__FDSAUDITLINK__" hidden="1">{"fdsup://directions/FAT Viewer?action=UPDATE&amp;creator=factset&amp;DYN_ARGS=TRUE&amp;DOC_NAME=FAT:FQL_AUDITING_CLIENT_TEMPLATE.FAT&amp;display_string=Audit&amp;VAR:KEY=ZYFMLSTSBM&amp;VAR:QUERY=RkZfRUJJVERBX0lCKCdMVE1TJywzOTk5MSk=&amp;WINDOW=FIRST_POPUP&amp;HEIGHT=450&amp;WIDTH=450&amp;START_MA","XIMIZED=FALSE&amp;VAR:CALENDAR=US&amp;VAR:SYMBOL=G0129K10&amp;VAR:INDEX=0"}</definedName>
    <definedName name="_7551__FDSAUDITLINK__" localSheetId="6" hidden="1">{"fdsup://directions/FAT Viewer?action=UPDATE&amp;creator=factset&amp;DYN_ARGS=TRUE&amp;DOC_NAME=FAT:FQL_AUDITING_CLIENT_TEMPLATE.FAT&amp;display_string=Audit&amp;VAR:KEY=VKPUPSVWDQ&amp;VAR:QUERY=RkZfRUJJVERBX0lCKCdMVE1TJywzOTk5MCk=&amp;WINDOW=FIRST_POPUP&amp;HEIGHT=450&amp;WIDTH=450&amp;START_MA","XIMIZED=FALSE&amp;VAR:CALENDAR=US&amp;VAR:SYMBOL=G0129K10&amp;VAR:INDEX=0"}</definedName>
    <definedName name="_7551__FDSAUDITLINK__" hidden="1">{"fdsup://directions/FAT Viewer?action=UPDATE&amp;creator=factset&amp;DYN_ARGS=TRUE&amp;DOC_NAME=FAT:FQL_AUDITING_CLIENT_TEMPLATE.FAT&amp;display_string=Audit&amp;VAR:KEY=VKPUPSVWDQ&amp;VAR:QUERY=RkZfRUJJVERBX0lCKCdMVE1TJywzOTk5MCk=&amp;WINDOW=FIRST_POPUP&amp;HEIGHT=450&amp;WIDTH=450&amp;START_MA","XIMIZED=FALSE&amp;VAR:CALENDAR=US&amp;VAR:SYMBOL=G0129K10&amp;VAR:INDEX=0"}</definedName>
    <definedName name="_7552__FDSAUDITLINK__" localSheetId="6" hidden="1">{"fdsup://directions/FAT Viewer?action=UPDATE&amp;creator=factset&amp;DYN_ARGS=TRUE&amp;DOC_NAME=FAT:FQL_AUDITING_CLIENT_TEMPLATE.FAT&amp;display_string=Audit&amp;VAR:KEY=TQVINSREVK&amp;VAR:QUERY=RkZfRUJJVERBX0lCKCdMVE1TJywzOTk4OSk=&amp;WINDOW=FIRST_POPUP&amp;HEIGHT=450&amp;WIDTH=450&amp;START_MA","XIMIZED=FALSE&amp;VAR:CALENDAR=US&amp;VAR:SYMBOL=G0129K10&amp;VAR:INDEX=0"}</definedName>
    <definedName name="_7552__FDSAUDITLINK__" hidden="1">{"fdsup://directions/FAT Viewer?action=UPDATE&amp;creator=factset&amp;DYN_ARGS=TRUE&amp;DOC_NAME=FAT:FQL_AUDITING_CLIENT_TEMPLATE.FAT&amp;display_string=Audit&amp;VAR:KEY=TQVINSREVK&amp;VAR:QUERY=RkZfRUJJVERBX0lCKCdMVE1TJywzOTk4OSk=&amp;WINDOW=FIRST_POPUP&amp;HEIGHT=450&amp;WIDTH=450&amp;START_MA","XIMIZED=FALSE&amp;VAR:CALENDAR=US&amp;VAR:SYMBOL=G0129K10&amp;VAR:INDEX=0"}</definedName>
    <definedName name="_7553__FDSAUDITLINK__" localSheetId="6" hidden="1">{"fdsup://directions/FAT Viewer?action=UPDATE&amp;creator=factset&amp;DYN_ARGS=TRUE&amp;DOC_NAME=FAT:FQL_AUDITING_CLIENT_TEMPLATE.FAT&amp;display_string=Audit&amp;VAR:KEY=TCZKRABMZK&amp;VAR:QUERY=RkZfRUJJVERBX0lCKCdMVE1TJywzOTk4OCk=&amp;WINDOW=FIRST_POPUP&amp;HEIGHT=450&amp;WIDTH=450&amp;START_MA","XIMIZED=FALSE&amp;VAR:CALENDAR=US&amp;VAR:SYMBOL=G0129K10&amp;VAR:INDEX=0"}</definedName>
    <definedName name="_7553__FDSAUDITLINK__" hidden="1">{"fdsup://directions/FAT Viewer?action=UPDATE&amp;creator=factset&amp;DYN_ARGS=TRUE&amp;DOC_NAME=FAT:FQL_AUDITING_CLIENT_TEMPLATE.FAT&amp;display_string=Audit&amp;VAR:KEY=TCZKRABMZK&amp;VAR:QUERY=RkZfRUJJVERBX0lCKCdMVE1TJywzOTk4OCk=&amp;WINDOW=FIRST_POPUP&amp;HEIGHT=450&amp;WIDTH=450&amp;START_MA","XIMIZED=FALSE&amp;VAR:CALENDAR=US&amp;VAR:SYMBOL=G0129K10&amp;VAR:INDEX=0"}</definedName>
    <definedName name="_7554__FDSAUDITLINK__" localSheetId="6" hidden="1">{"fdsup://directions/FAT Viewer?action=UPDATE&amp;creator=factset&amp;DYN_ARGS=TRUE&amp;DOC_NAME=FAT:FQL_AUDITING_CLIENT_TEMPLATE.FAT&amp;display_string=Audit&amp;VAR:KEY=JWFGLYDGFQ&amp;VAR:QUERY=RkZfRUJJVERBX0lCKCdMVE1TJywzOTk4Nyk=&amp;WINDOW=FIRST_POPUP&amp;HEIGHT=450&amp;WIDTH=450&amp;START_MA","XIMIZED=FALSE&amp;VAR:CALENDAR=US&amp;VAR:SYMBOL=G0129K10&amp;VAR:INDEX=0"}</definedName>
    <definedName name="_7554__FDSAUDITLINK__" hidden="1">{"fdsup://directions/FAT Viewer?action=UPDATE&amp;creator=factset&amp;DYN_ARGS=TRUE&amp;DOC_NAME=FAT:FQL_AUDITING_CLIENT_TEMPLATE.FAT&amp;display_string=Audit&amp;VAR:KEY=JWFGLYDGFQ&amp;VAR:QUERY=RkZfRUJJVERBX0lCKCdMVE1TJywzOTk4Nyk=&amp;WINDOW=FIRST_POPUP&amp;HEIGHT=450&amp;WIDTH=450&amp;START_MA","XIMIZED=FALSE&amp;VAR:CALENDAR=US&amp;VAR:SYMBOL=G0129K10&amp;VAR:INDEX=0"}</definedName>
    <definedName name="_7555__FDSAUDITLINK__" localSheetId="6" hidden="1">{"fdsup://directions/FAT Viewer?action=UPDATE&amp;creator=factset&amp;DYN_ARGS=TRUE&amp;DOC_NAME=FAT:FQL_AUDITING_CLIENT_TEMPLATE.FAT&amp;display_string=Audit&amp;VAR:KEY=HKLOJEVATO&amp;VAR:QUERY=RkZfRUJJVERBX0lCKCdMVE1TJywzOTk4Nik=&amp;WINDOW=FIRST_POPUP&amp;HEIGHT=450&amp;WIDTH=450&amp;START_MA","XIMIZED=FALSE&amp;VAR:CALENDAR=US&amp;VAR:SYMBOL=G0129K10&amp;VAR:INDEX=0"}</definedName>
    <definedName name="_7555__FDSAUDITLINK__" hidden="1">{"fdsup://directions/FAT Viewer?action=UPDATE&amp;creator=factset&amp;DYN_ARGS=TRUE&amp;DOC_NAME=FAT:FQL_AUDITING_CLIENT_TEMPLATE.FAT&amp;display_string=Audit&amp;VAR:KEY=HKLOJEVATO&amp;VAR:QUERY=RkZfRUJJVERBX0lCKCdMVE1TJywzOTk4Nik=&amp;WINDOW=FIRST_POPUP&amp;HEIGHT=450&amp;WIDTH=450&amp;START_MA","XIMIZED=FALSE&amp;VAR:CALENDAR=US&amp;VAR:SYMBOL=G0129K10&amp;VAR:INDEX=0"}</definedName>
    <definedName name="_7556__FDSAUDITLINK__" localSheetId="6" hidden="1">{"fdsup://directions/FAT Viewer?action=UPDATE&amp;creator=factset&amp;DYN_ARGS=TRUE&amp;DOC_NAME=FAT:FQL_AUDITING_CLIENT_TEMPLATE.FAT&amp;display_string=Audit&amp;VAR:KEY=PAFYPEVYPK&amp;VAR:QUERY=RkZfRUJJVERBX0lCKCdMVE1TJywzOTk4NSk=&amp;WINDOW=FIRST_POPUP&amp;HEIGHT=450&amp;WIDTH=450&amp;START_MA","XIMIZED=FALSE&amp;VAR:CALENDAR=US&amp;VAR:SYMBOL=G0129K10&amp;VAR:INDEX=0"}</definedName>
    <definedName name="_7556__FDSAUDITLINK__" hidden="1">{"fdsup://directions/FAT Viewer?action=UPDATE&amp;creator=factset&amp;DYN_ARGS=TRUE&amp;DOC_NAME=FAT:FQL_AUDITING_CLIENT_TEMPLATE.FAT&amp;display_string=Audit&amp;VAR:KEY=PAFYPEVYPK&amp;VAR:QUERY=RkZfRUJJVERBX0lCKCdMVE1TJywzOTk4NSk=&amp;WINDOW=FIRST_POPUP&amp;HEIGHT=450&amp;WIDTH=450&amp;START_MA","XIMIZED=FALSE&amp;VAR:CALENDAR=US&amp;VAR:SYMBOL=G0129K10&amp;VAR:INDEX=0"}</definedName>
    <definedName name="_7557__FDSAUDITLINK__" localSheetId="6" hidden="1">{"fdsup://directions/FAT Viewer?action=UPDATE&amp;creator=factset&amp;DYN_ARGS=TRUE&amp;DOC_NAME=FAT:FQL_AUDITING_CLIENT_TEMPLATE.FAT&amp;display_string=Audit&amp;VAR:KEY=ZYNMFKVIXO&amp;VAR:QUERY=RkZfRUJJVERBX0lCKCdMVE1TJywzOTk4NCk=&amp;WINDOW=FIRST_POPUP&amp;HEIGHT=450&amp;WIDTH=450&amp;START_MA","XIMIZED=FALSE&amp;VAR:CALENDAR=US&amp;VAR:SYMBOL=G0129K10&amp;VAR:INDEX=0"}</definedName>
    <definedName name="_7557__FDSAUDITLINK__" hidden="1">{"fdsup://directions/FAT Viewer?action=UPDATE&amp;creator=factset&amp;DYN_ARGS=TRUE&amp;DOC_NAME=FAT:FQL_AUDITING_CLIENT_TEMPLATE.FAT&amp;display_string=Audit&amp;VAR:KEY=ZYNMFKVIXO&amp;VAR:QUERY=RkZfRUJJVERBX0lCKCdMVE1TJywzOTk4NCk=&amp;WINDOW=FIRST_POPUP&amp;HEIGHT=450&amp;WIDTH=450&amp;START_MA","XIMIZED=FALSE&amp;VAR:CALENDAR=US&amp;VAR:SYMBOL=G0129K10&amp;VAR:INDEX=0"}</definedName>
    <definedName name="_7558__FDSAUDITLINK__" localSheetId="6" hidden="1">{"fdsup://directions/FAT Viewer?action=UPDATE&amp;creator=factset&amp;DYN_ARGS=TRUE&amp;DOC_NAME=FAT:FQL_AUDITING_CLIENT_TEMPLATE.FAT&amp;display_string=Audit&amp;VAR:KEY=JCPCHOTSRS&amp;VAR:QUERY=RkZfRUJJVERBX0lCKCdMVE1TJywzOTk4Myk=&amp;WINDOW=FIRST_POPUP&amp;HEIGHT=450&amp;WIDTH=450&amp;START_MA","XIMIZED=FALSE&amp;VAR:CALENDAR=US&amp;VAR:SYMBOL=G0129K10&amp;VAR:INDEX=0"}</definedName>
    <definedName name="_7558__FDSAUDITLINK__" hidden="1">{"fdsup://directions/FAT Viewer?action=UPDATE&amp;creator=factset&amp;DYN_ARGS=TRUE&amp;DOC_NAME=FAT:FQL_AUDITING_CLIENT_TEMPLATE.FAT&amp;display_string=Audit&amp;VAR:KEY=JCPCHOTSRS&amp;VAR:QUERY=RkZfRUJJVERBX0lCKCdMVE1TJywzOTk4Myk=&amp;WINDOW=FIRST_POPUP&amp;HEIGHT=450&amp;WIDTH=450&amp;START_MA","XIMIZED=FALSE&amp;VAR:CALENDAR=US&amp;VAR:SYMBOL=G0129K10&amp;VAR:INDEX=0"}</definedName>
    <definedName name="_7559__FDSAUDITLINK__" localSheetId="6" hidden="1">{"fdsup://directions/FAT Viewer?action=UPDATE&amp;creator=factset&amp;DYN_ARGS=TRUE&amp;DOC_NAME=FAT:FQL_AUDITING_CLIENT_TEMPLATE.FAT&amp;display_string=Audit&amp;VAR:KEY=JIRELKJUZI&amp;VAR:QUERY=RkZfRUJJVERBX0lCKCdMVE1TJywzOTk4Mik=&amp;WINDOW=FIRST_POPUP&amp;HEIGHT=450&amp;WIDTH=450&amp;START_MA","XIMIZED=FALSE&amp;VAR:CALENDAR=US&amp;VAR:SYMBOL=G0129K10&amp;VAR:INDEX=0"}</definedName>
    <definedName name="_7559__FDSAUDITLINK__" hidden="1">{"fdsup://directions/FAT Viewer?action=UPDATE&amp;creator=factset&amp;DYN_ARGS=TRUE&amp;DOC_NAME=FAT:FQL_AUDITING_CLIENT_TEMPLATE.FAT&amp;display_string=Audit&amp;VAR:KEY=JIRELKJUZI&amp;VAR:QUERY=RkZfRUJJVERBX0lCKCdMVE1TJywzOTk4Mik=&amp;WINDOW=FIRST_POPUP&amp;HEIGHT=450&amp;WIDTH=450&amp;START_MA","XIMIZED=FALSE&amp;VAR:CALENDAR=US&amp;VAR:SYMBOL=G0129K10&amp;VAR:INDEX=0"}</definedName>
    <definedName name="_756__FDSAUDITLINK__" localSheetId="6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6__FDSAUDITLINK__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60__FDSAUDITLINK__" localSheetId="6" hidden="1">{"fdsup://directions/FAT Viewer?action=UPDATE&amp;creator=factset&amp;DYN_ARGS=TRUE&amp;DOC_NAME=FAT:FQL_AUDITING_CLIENT_TEMPLATE.FAT&amp;display_string=Audit&amp;VAR:KEY=NEVETQVGPQ&amp;VAR:QUERY=RkZfRUJJVERBX0lCKCdMVE1TJywzOTk4MSk=&amp;WINDOW=FIRST_POPUP&amp;HEIGHT=450&amp;WIDTH=450&amp;START_MA","XIMIZED=FALSE&amp;VAR:CALENDAR=US&amp;VAR:SYMBOL=G0129K10&amp;VAR:INDEX=0"}</definedName>
    <definedName name="_7560__FDSAUDITLINK__" hidden="1">{"fdsup://directions/FAT Viewer?action=UPDATE&amp;creator=factset&amp;DYN_ARGS=TRUE&amp;DOC_NAME=FAT:FQL_AUDITING_CLIENT_TEMPLATE.FAT&amp;display_string=Audit&amp;VAR:KEY=NEVETQVGPQ&amp;VAR:QUERY=RkZfRUJJVERBX0lCKCdMVE1TJywzOTk4MSk=&amp;WINDOW=FIRST_POPUP&amp;HEIGHT=450&amp;WIDTH=450&amp;START_MA","XIMIZED=FALSE&amp;VAR:CALENDAR=US&amp;VAR:SYMBOL=G0129K10&amp;VAR:INDEX=0"}</definedName>
    <definedName name="_7561__FDSAUDITLINK__" localSheetId="6" hidden="1">{"fdsup://directions/FAT Viewer?action=UPDATE&amp;creator=factset&amp;DYN_ARGS=TRUE&amp;DOC_NAME=FAT:FQL_AUDITING_CLIENT_TEMPLATE.FAT&amp;display_string=Audit&amp;VAR:KEY=BMPCBSLSBW&amp;VAR:QUERY=RkZfRUJJVERBX0lCKCdMVE1TJywzOTk4MCk=&amp;WINDOW=FIRST_POPUP&amp;HEIGHT=450&amp;WIDTH=450&amp;START_MA","XIMIZED=FALSE&amp;VAR:CALENDAR=US&amp;VAR:SYMBOL=G0129K10&amp;VAR:INDEX=0"}</definedName>
    <definedName name="_7561__FDSAUDITLINK__" hidden="1">{"fdsup://directions/FAT Viewer?action=UPDATE&amp;creator=factset&amp;DYN_ARGS=TRUE&amp;DOC_NAME=FAT:FQL_AUDITING_CLIENT_TEMPLATE.FAT&amp;display_string=Audit&amp;VAR:KEY=BMPCBSLSBW&amp;VAR:QUERY=RkZfRUJJVERBX0lCKCdMVE1TJywzOTk4MCk=&amp;WINDOW=FIRST_POPUP&amp;HEIGHT=450&amp;WIDTH=450&amp;START_MA","XIMIZED=FALSE&amp;VAR:CALENDAR=US&amp;VAR:SYMBOL=G0129K10&amp;VAR:INDEX=0"}</definedName>
    <definedName name="_7562__FDSAUDITLINK__" localSheetId="6" hidden="1">{"fdsup://directions/FAT Viewer?action=UPDATE&amp;creator=factset&amp;DYN_ARGS=TRUE&amp;DOC_NAME=FAT:FQL_AUDITING_CLIENT_TEMPLATE.FAT&amp;display_string=Audit&amp;VAR:KEY=FSVAPKFIBM&amp;VAR:QUERY=RkZfRUJJVERBX0lCKCdMVE1TJywzOTk3OSk=&amp;WINDOW=FIRST_POPUP&amp;HEIGHT=450&amp;WIDTH=450&amp;START_MA","XIMIZED=FALSE&amp;VAR:CALENDAR=US&amp;VAR:SYMBOL=G0129K10&amp;VAR:INDEX=0"}</definedName>
    <definedName name="_7562__FDSAUDITLINK__" hidden="1">{"fdsup://directions/FAT Viewer?action=UPDATE&amp;creator=factset&amp;DYN_ARGS=TRUE&amp;DOC_NAME=FAT:FQL_AUDITING_CLIENT_TEMPLATE.FAT&amp;display_string=Audit&amp;VAR:KEY=FSVAPKFIBM&amp;VAR:QUERY=RkZfRUJJVERBX0lCKCdMVE1TJywzOTk3OSk=&amp;WINDOW=FIRST_POPUP&amp;HEIGHT=450&amp;WIDTH=450&amp;START_MA","XIMIZED=FALSE&amp;VAR:CALENDAR=US&amp;VAR:SYMBOL=G0129K10&amp;VAR:INDEX=0"}</definedName>
    <definedName name="_7563__FDSAUDITLINK__" localSheetId="6" hidden="1">{"fdsup://directions/FAT Viewer?action=UPDATE&amp;creator=factset&amp;DYN_ARGS=TRUE&amp;DOC_NAME=FAT:FQL_AUDITING_CLIENT_TEMPLATE.FAT&amp;display_string=Audit&amp;VAR:KEY=NUBGDKFMRY&amp;VAR:QUERY=RkZfRUJJVERBX0lCKCdMVE1TJywzOTk3OCk=&amp;WINDOW=FIRST_POPUP&amp;HEIGHT=450&amp;WIDTH=450&amp;START_MA","XIMIZED=FALSE&amp;VAR:CALENDAR=US&amp;VAR:SYMBOL=G0129K10&amp;VAR:INDEX=0"}</definedName>
    <definedName name="_7563__FDSAUDITLINK__" hidden="1">{"fdsup://directions/FAT Viewer?action=UPDATE&amp;creator=factset&amp;DYN_ARGS=TRUE&amp;DOC_NAME=FAT:FQL_AUDITING_CLIENT_TEMPLATE.FAT&amp;display_string=Audit&amp;VAR:KEY=NUBGDKFMRY&amp;VAR:QUERY=RkZfRUJJVERBX0lCKCdMVE1TJywzOTk3OCk=&amp;WINDOW=FIRST_POPUP&amp;HEIGHT=450&amp;WIDTH=450&amp;START_MA","XIMIZED=FALSE&amp;VAR:CALENDAR=US&amp;VAR:SYMBOL=G0129K10&amp;VAR:INDEX=0"}</definedName>
    <definedName name="_7564__FDSAUDITLINK__" localSheetId="6" hidden="1">{"fdsup://directions/FAT Viewer?action=UPDATE&amp;creator=factset&amp;DYN_ARGS=TRUE&amp;DOC_NAME=FAT:FQL_AUDITING_CLIENT_TEMPLATE.FAT&amp;display_string=Audit&amp;VAR:KEY=NSZAJOFSFI&amp;VAR:QUERY=RkZfRUJJVERBX0lCKCdMVE1TJywzOTk3Nyk=&amp;WINDOW=FIRST_POPUP&amp;HEIGHT=450&amp;WIDTH=450&amp;START_MA","XIMIZED=FALSE&amp;VAR:CALENDAR=US&amp;VAR:SYMBOL=G0129K10&amp;VAR:INDEX=0"}</definedName>
    <definedName name="_7564__FDSAUDITLINK__" hidden="1">{"fdsup://directions/FAT Viewer?action=UPDATE&amp;creator=factset&amp;DYN_ARGS=TRUE&amp;DOC_NAME=FAT:FQL_AUDITING_CLIENT_TEMPLATE.FAT&amp;display_string=Audit&amp;VAR:KEY=NSZAJOFSFI&amp;VAR:QUERY=RkZfRUJJVERBX0lCKCdMVE1TJywzOTk3Nyk=&amp;WINDOW=FIRST_POPUP&amp;HEIGHT=450&amp;WIDTH=450&amp;START_MA","XIMIZED=FALSE&amp;VAR:CALENDAR=US&amp;VAR:SYMBOL=G0129K10&amp;VAR:INDEX=0"}</definedName>
    <definedName name="_7565__FDSAUDITLINK__" localSheetId="6" hidden="1">{"fdsup://directions/FAT Viewer?action=UPDATE&amp;creator=factset&amp;DYN_ARGS=TRUE&amp;DOC_NAME=FAT:FQL_AUDITING_CLIENT_TEMPLATE.FAT&amp;display_string=Audit&amp;VAR:KEY=LAFGREVKTI&amp;VAR:QUERY=RkZfRUJJVERBX0lCKCdMVE1TJywzOTk3Nik=&amp;WINDOW=FIRST_POPUP&amp;HEIGHT=450&amp;WIDTH=450&amp;START_MA","XIMIZED=FALSE&amp;VAR:CALENDAR=US&amp;VAR:SYMBOL=G0129K10&amp;VAR:INDEX=0"}</definedName>
    <definedName name="_7565__FDSAUDITLINK__" hidden="1">{"fdsup://directions/FAT Viewer?action=UPDATE&amp;creator=factset&amp;DYN_ARGS=TRUE&amp;DOC_NAME=FAT:FQL_AUDITING_CLIENT_TEMPLATE.FAT&amp;display_string=Audit&amp;VAR:KEY=LAFGREVKTI&amp;VAR:QUERY=RkZfRUJJVERBX0lCKCdMVE1TJywzOTk3Nik=&amp;WINDOW=FIRST_POPUP&amp;HEIGHT=450&amp;WIDTH=450&amp;START_MA","XIMIZED=FALSE&amp;VAR:CALENDAR=US&amp;VAR:SYMBOL=G0129K10&amp;VAR:INDEX=0"}</definedName>
    <definedName name="_7566__FDSAUDITLINK__" localSheetId="6" hidden="1">{"fdsup://directions/FAT Viewer?action=UPDATE&amp;creator=factset&amp;DYN_ARGS=TRUE&amp;DOC_NAME=FAT:FQL_AUDITING_CLIENT_TEMPLATE.FAT&amp;display_string=Audit&amp;VAR:KEY=ZSJYXELINE&amp;VAR:QUERY=RkZfRUJJVERBX0lCKCdMVE1TJywzOTk3NSk=&amp;WINDOW=FIRST_POPUP&amp;HEIGHT=450&amp;WIDTH=450&amp;START_MA","XIMIZED=FALSE&amp;VAR:CALENDAR=US&amp;VAR:SYMBOL=G0129K10&amp;VAR:INDEX=0"}</definedName>
    <definedName name="_7566__FDSAUDITLINK__" hidden="1">{"fdsup://directions/FAT Viewer?action=UPDATE&amp;creator=factset&amp;DYN_ARGS=TRUE&amp;DOC_NAME=FAT:FQL_AUDITING_CLIENT_TEMPLATE.FAT&amp;display_string=Audit&amp;VAR:KEY=ZSJYXELINE&amp;VAR:QUERY=RkZfRUJJVERBX0lCKCdMVE1TJywzOTk3NSk=&amp;WINDOW=FIRST_POPUP&amp;HEIGHT=450&amp;WIDTH=450&amp;START_MA","XIMIZED=FALSE&amp;VAR:CALENDAR=US&amp;VAR:SYMBOL=G0129K10&amp;VAR:INDEX=0"}</definedName>
    <definedName name="_7567__FDSAUDITLINK__" localSheetId="6" hidden="1">{"fdsup://directions/FAT Viewer?action=UPDATE&amp;creator=factset&amp;DYN_ARGS=TRUE&amp;DOC_NAME=FAT:FQL_AUDITING_CLIENT_TEMPLATE.FAT&amp;display_string=Audit&amp;VAR:KEY=NCXWRWVWLQ&amp;VAR:QUERY=RkZfRUJJVERBX0lCKCdMVE1TJywzOTk3NCk=&amp;WINDOW=FIRST_POPUP&amp;HEIGHT=450&amp;WIDTH=450&amp;START_MA","XIMIZED=FALSE&amp;VAR:CALENDAR=US&amp;VAR:SYMBOL=G0129K10&amp;VAR:INDEX=0"}</definedName>
    <definedName name="_7567__FDSAUDITLINK__" hidden="1">{"fdsup://directions/FAT Viewer?action=UPDATE&amp;creator=factset&amp;DYN_ARGS=TRUE&amp;DOC_NAME=FAT:FQL_AUDITING_CLIENT_TEMPLATE.FAT&amp;display_string=Audit&amp;VAR:KEY=NCXWRWVWLQ&amp;VAR:QUERY=RkZfRUJJVERBX0lCKCdMVE1TJywzOTk3NCk=&amp;WINDOW=FIRST_POPUP&amp;HEIGHT=450&amp;WIDTH=450&amp;START_MA","XIMIZED=FALSE&amp;VAR:CALENDAR=US&amp;VAR:SYMBOL=G0129K10&amp;VAR:INDEX=0"}</definedName>
    <definedName name="_7568__FDSAUDITLINK__" localSheetId="6" hidden="1">{"fdsup://directions/FAT Viewer?action=UPDATE&amp;creator=factset&amp;DYN_ARGS=TRUE&amp;DOC_NAME=FAT:FQL_AUDITING_CLIENT_TEMPLATE.FAT&amp;display_string=Audit&amp;VAR:KEY=FSFMJSZAZE&amp;VAR:QUERY=RkZfRUJJVERBX0lCKCdMVE1TJywzOTk3Myk=&amp;WINDOW=FIRST_POPUP&amp;HEIGHT=450&amp;WIDTH=450&amp;START_MA","XIMIZED=FALSE&amp;VAR:CALENDAR=US&amp;VAR:SYMBOL=G0129K10&amp;VAR:INDEX=0"}</definedName>
    <definedName name="_7568__FDSAUDITLINK__" hidden="1">{"fdsup://directions/FAT Viewer?action=UPDATE&amp;creator=factset&amp;DYN_ARGS=TRUE&amp;DOC_NAME=FAT:FQL_AUDITING_CLIENT_TEMPLATE.FAT&amp;display_string=Audit&amp;VAR:KEY=FSFMJSZAZE&amp;VAR:QUERY=RkZfRUJJVERBX0lCKCdMVE1TJywzOTk3Myk=&amp;WINDOW=FIRST_POPUP&amp;HEIGHT=450&amp;WIDTH=450&amp;START_MA","XIMIZED=FALSE&amp;VAR:CALENDAR=US&amp;VAR:SYMBOL=G0129K10&amp;VAR:INDEX=0"}</definedName>
    <definedName name="_7569__FDSAUDITLINK__" localSheetId="6" hidden="1">{"fdsup://directions/FAT Viewer?action=UPDATE&amp;creator=factset&amp;DYN_ARGS=TRUE&amp;DOC_NAME=FAT:FQL_AUDITING_CLIENT_TEMPLATE.FAT&amp;display_string=Audit&amp;VAR:KEY=FMZCLMJULI&amp;VAR:QUERY=RkZfRUJJVERBX0lCKCdMVE1TJywzOTk3Mik=&amp;WINDOW=FIRST_POPUP&amp;HEIGHT=450&amp;WIDTH=450&amp;START_MA","XIMIZED=FALSE&amp;VAR:CALENDAR=US&amp;VAR:SYMBOL=G0129K10&amp;VAR:INDEX=0"}</definedName>
    <definedName name="_7569__FDSAUDITLINK__" hidden="1">{"fdsup://directions/FAT Viewer?action=UPDATE&amp;creator=factset&amp;DYN_ARGS=TRUE&amp;DOC_NAME=FAT:FQL_AUDITING_CLIENT_TEMPLATE.FAT&amp;display_string=Audit&amp;VAR:KEY=FMZCLMJULI&amp;VAR:QUERY=RkZfRUJJVERBX0lCKCdMVE1TJywzOTk3Mik=&amp;WINDOW=FIRST_POPUP&amp;HEIGHT=450&amp;WIDTH=450&amp;START_MA","XIMIZED=FALSE&amp;VAR:CALENDAR=US&amp;VAR:SYMBOL=G0129K10&amp;VAR:INDEX=0"}</definedName>
    <definedName name="_757__FDSAUDITLINK__" localSheetId="6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7__FDSAUDITLINK__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70__FDSAUDITLINK__" localSheetId="6" hidden="1">{"fdsup://directions/FAT Viewer?action=UPDATE&amp;creator=factset&amp;DYN_ARGS=TRUE&amp;DOC_NAME=FAT:FQL_AUDITING_CLIENT_TEMPLATE.FAT&amp;display_string=Audit&amp;VAR:KEY=BAJOLIBIRA&amp;VAR:QUERY=RkZfRUJJVERBX0lCKCdMVE1TJywzOTk3MSk=&amp;WINDOW=FIRST_POPUP&amp;HEIGHT=450&amp;WIDTH=450&amp;START_MA","XIMIZED=FALSE&amp;VAR:CALENDAR=US&amp;VAR:SYMBOL=G0129K10&amp;VAR:INDEX=0"}</definedName>
    <definedName name="_7570__FDSAUDITLINK__" hidden="1">{"fdsup://directions/FAT Viewer?action=UPDATE&amp;creator=factset&amp;DYN_ARGS=TRUE&amp;DOC_NAME=FAT:FQL_AUDITING_CLIENT_TEMPLATE.FAT&amp;display_string=Audit&amp;VAR:KEY=BAJOLIBIRA&amp;VAR:QUERY=RkZfRUJJVERBX0lCKCdMVE1TJywzOTk3MSk=&amp;WINDOW=FIRST_POPUP&amp;HEIGHT=450&amp;WIDTH=450&amp;START_MA","XIMIZED=FALSE&amp;VAR:CALENDAR=US&amp;VAR:SYMBOL=G0129K10&amp;VAR:INDEX=0"}</definedName>
    <definedName name="_7571__FDSAUDITLINK__" localSheetId="6" hidden="1">{"fdsup://directions/FAT Viewer?action=UPDATE&amp;creator=factset&amp;DYN_ARGS=TRUE&amp;DOC_NAME=FAT:FQL_AUDITING_CLIENT_TEMPLATE.FAT&amp;display_string=Audit&amp;VAR:KEY=FYRYJMRCZW&amp;VAR:QUERY=RkZfRUJJVERBX0lCKCdMVE1TJywzOTk3MCk=&amp;WINDOW=FIRST_POPUP&amp;HEIGHT=450&amp;WIDTH=450&amp;START_MA","XIMIZED=FALSE&amp;VAR:CALENDAR=US&amp;VAR:SYMBOL=G0129K10&amp;VAR:INDEX=0"}</definedName>
    <definedName name="_7571__FDSAUDITLINK__" hidden="1">{"fdsup://directions/FAT Viewer?action=UPDATE&amp;creator=factset&amp;DYN_ARGS=TRUE&amp;DOC_NAME=FAT:FQL_AUDITING_CLIENT_TEMPLATE.FAT&amp;display_string=Audit&amp;VAR:KEY=FYRYJMRCZW&amp;VAR:QUERY=RkZfRUJJVERBX0lCKCdMVE1TJywzOTk3MCk=&amp;WINDOW=FIRST_POPUP&amp;HEIGHT=450&amp;WIDTH=450&amp;START_MA","XIMIZED=FALSE&amp;VAR:CALENDAR=US&amp;VAR:SYMBOL=G0129K10&amp;VAR:INDEX=0"}</definedName>
    <definedName name="_7572__FDSAUDITLINK__" localSheetId="6" hidden="1">{"fdsup://directions/FAT Viewer?action=UPDATE&amp;creator=factset&amp;DYN_ARGS=TRUE&amp;DOC_NAME=FAT:FQL_AUDITING_CLIENT_TEMPLATE.FAT&amp;display_string=Audit&amp;VAR:KEY=BABEBMBMJC&amp;VAR:QUERY=RkZfRUJJVERBX0lCKCdMVE1TJywzOTk2OSk=&amp;WINDOW=FIRST_POPUP&amp;HEIGHT=450&amp;WIDTH=450&amp;START_MA","XIMIZED=FALSE&amp;VAR:CALENDAR=US&amp;VAR:SYMBOL=G0129K10&amp;VAR:INDEX=0"}</definedName>
    <definedName name="_7572__FDSAUDITLINK__" hidden="1">{"fdsup://directions/FAT Viewer?action=UPDATE&amp;creator=factset&amp;DYN_ARGS=TRUE&amp;DOC_NAME=FAT:FQL_AUDITING_CLIENT_TEMPLATE.FAT&amp;display_string=Audit&amp;VAR:KEY=BABEBMBMJC&amp;VAR:QUERY=RkZfRUJJVERBX0lCKCdMVE1TJywzOTk2OSk=&amp;WINDOW=FIRST_POPUP&amp;HEIGHT=450&amp;WIDTH=450&amp;START_MA","XIMIZED=FALSE&amp;VAR:CALENDAR=US&amp;VAR:SYMBOL=G0129K10&amp;VAR:INDEX=0"}</definedName>
    <definedName name="_7573__FDSAUDITLINK__" localSheetId="6" hidden="1">{"fdsup://directions/FAT Viewer?action=UPDATE&amp;creator=factset&amp;DYN_ARGS=TRUE&amp;DOC_NAME=FAT:FQL_AUDITING_CLIENT_TEMPLATE.FAT&amp;display_string=Audit&amp;VAR:KEY=DOJUDIRCRM&amp;VAR:QUERY=RkZfRUJJVERBX0lCKCdMVE1TJywzOTk2OCk=&amp;WINDOW=FIRST_POPUP&amp;HEIGHT=450&amp;WIDTH=450&amp;START_MA","XIMIZED=FALSE&amp;VAR:CALENDAR=US&amp;VAR:SYMBOL=G0129K10&amp;VAR:INDEX=0"}</definedName>
    <definedName name="_7573__FDSAUDITLINK__" hidden="1">{"fdsup://directions/FAT Viewer?action=UPDATE&amp;creator=factset&amp;DYN_ARGS=TRUE&amp;DOC_NAME=FAT:FQL_AUDITING_CLIENT_TEMPLATE.FAT&amp;display_string=Audit&amp;VAR:KEY=DOJUDIRCRM&amp;VAR:QUERY=RkZfRUJJVERBX0lCKCdMVE1TJywzOTk2OCk=&amp;WINDOW=FIRST_POPUP&amp;HEIGHT=450&amp;WIDTH=450&amp;START_MA","XIMIZED=FALSE&amp;VAR:CALENDAR=US&amp;VAR:SYMBOL=G0129K10&amp;VAR:INDEX=0"}</definedName>
    <definedName name="_7574__FDSAUDITLINK__" localSheetId="6" hidden="1">{"fdsup://directions/FAT Viewer?action=UPDATE&amp;creator=factset&amp;DYN_ARGS=TRUE&amp;DOC_NAME=FAT:FQL_AUDITING_CLIENT_TEMPLATE.FAT&amp;display_string=Audit&amp;VAR:KEY=FEDQPUHIBE&amp;VAR:QUERY=RkZfRUJJVERBX0lCKCdMVE1TJywzOTk2Nyk=&amp;WINDOW=FIRST_POPUP&amp;HEIGHT=450&amp;WIDTH=450&amp;START_MA","XIMIZED=FALSE&amp;VAR:CALENDAR=US&amp;VAR:SYMBOL=G0129K10&amp;VAR:INDEX=0"}</definedName>
    <definedName name="_7574__FDSAUDITLINK__" hidden="1">{"fdsup://directions/FAT Viewer?action=UPDATE&amp;creator=factset&amp;DYN_ARGS=TRUE&amp;DOC_NAME=FAT:FQL_AUDITING_CLIENT_TEMPLATE.FAT&amp;display_string=Audit&amp;VAR:KEY=FEDQPUHIBE&amp;VAR:QUERY=RkZfRUJJVERBX0lCKCdMVE1TJywzOTk2Nyk=&amp;WINDOW=FIRST_POPUP&amp;HEIGHT=450&amp;WIDTH=450&amp;START_MA","XIMIZED=FALSE&amp;VAR:CALENDAR=US&amp;VAR:SYMBOL=G0129K10&amp;VAR:INDEX=0"}</definedName>
    <definedName name="_7575__FDSAUDITLINK__" localSheetId="6" hidden="1">{"fdsup://directions/FAT Viewer?action=UPDATE&amp;creator=factset&amp;DYN_ARGS=TRUE&amp;DOC_NAME=FAT:FQL_AUDITING_CLIENT_TEMPLATE.FAT&amp;display_string=Audit&amp;VAR:KEY=FEJSBOXATG&amp;VAR:QUERY=RkZfRUJJVERBX0lCKCdMVE1TJywzOTk2Nik=&amp;WINDOW=FIRST_POPUP&amp;HEIGHT=450&amp;WIDTH=450&amp;START_MA","XIMIZED=FALSE&amp;VAR:CALENDAR=US&amp;VAR:SYMBOL=G0129K10&amp;VAR:INDEX=0"}</definedName>
    <definedName name="_7575__FDSAUDITLINK__" hidden="1">{"fdsup://directions/FAT Viewer?action=UPDATE&amp;creator=factset&amp;DYN_ARGS=TRUE&amp;DOC_NAME=FAT:FQL_AUDITING_CLIENT_TEMPLATE.FAT&amp;display_string=Audit&amp;VAR:KEY=FEJSBOXATG&amp;VAR:QUERY=RkZfRUJJVERBX0lCKCdMVE1TJywzOTk2Nik=&amp;WINDOW=FIRST_POPUP&amp;HEIGHT=450&amp;WIDTH=450&amp;START_MA","XIMIZED=FALSE&amp;VAR:CALENDAR=US&amp;VAR:SYMBOL=G0129K10&amp;VAR:INDEX=0"}</definedName>
    <definedName name="_7576__FDSAUDITLINK__" localSheetId="6" hidden="1">{"fdsup://directions/FAT Viewer?action=UPDATE&amp;creator=factset&amp;DYN_ARGS=TRUE&amp;DOC_NAME=FAT:FQL_AUDITING_CLIENT_TEMPLATE.FAT&amp;display_string=Audit&amp;VAR:KEY=FKPURCXWTU&amp;VAR:QUERY=RkZfRUJJVERBX0lCKCdMVE1TJywzOTk2NSk=&amp;WINDOW=FIRST_POPUP&amp;HEIGHT=450&amp;WIDTH=450&amp;START_MA","XIMIZED=FALSE&amp;VAR:CALENDAR=US&amp;VAR:SYMBOL=G0129K10&amp;VAR:INDEX=0"}</definedName>
    <definedName name="_7576__FDSAUDITLINK__" hidden="1">{"fdsup://directions/FAT Viewer?action=UPDATE&amp;creator=factset&amp;DYN_ARGS=TRUE&amp;DOC_NAME=FAT:FQL_AUDITING_CLIENT_TEMPLATE.FAT&amp;display_string=Audit&amp;VAR:KEY=FKPURCXWTU&amp;VAR:QUERY=RkZfRUJJVERBX0lCKCdMVE1TJywzOTk2NSk=&amp;WINDOW=FIRST_POPUP&amp;HEIGHT=450&amp;WIDTH=450&amp;START_MA","XIMIZED=FALSE&amp;VAR:CALENDAR=US&amp;VAR:SYMBOL=G0129K10&amp;VAR:INDEX=0"}</definedName>
    <definedName name="_7577__FDSAUDITLINK__" localSheetId="6" hidden="1">{"fdsup://directions/FAT Viewer?action=UPDATE&amp;creator=factset&amp;DYN_ARGS=TRUE&amp;DOC_NAME=FAT:FQL_AUDITING_CLIENT_TEMPLATE.FAT&amp;display_string=Audit&amp;VAR:KEY=DEPGBWZKJA&amp;VAR:QUERY=RkZfRUJJVERBX0lCKCdMVE1TJywzOTk2NCk=&amp;WINDOW=FIRST_POPUP&amp;HEIGHT=450&amp;WIDTH=450&amp;START_MA","XIMIZED=FALSE&amp;VAR:CALENDAR=US&amp;VAR:SYMBOL=G0129K10&amp;VAR:INDEX=0"}</definedName>
    <definedName name="_7577__FDSAUDITLINK__" hidden="1">{"fdsup://directions/FAT Viewer?action=UPDATE&amp;creator=factset&amp;DYN_ARGS=TRUE&amp;DOC_NAME=FAT:FQL_AUDITING_CLIENT_TEMPLATE.FAT&amp;display_string=Audit&amp;VAR:KEY=DEPGBWZKJA&amp;VAR:QUERY=RkZfRUJJVERBX0lCKCdMVE1TJywzOTk2NCk=&amp;WINDOW=FIRST_POPUP&amp;HEIGHT=450&amp;WIDTH=450&amp;START_MA","XIMIZED=FALSE&amp;VAR:CALENDAR=US&amp;VAR:SYMBOL=G0129K10&amp;VAR:INDEX=0"}</definedName>
    <definedName name="_7578__FDSAUDITLINK__" localSheetId="6" hidden="1">{"fdsup://directions/FAT Viewer?action=UPDATE&amp;creator=factset&amp;DYN_ARGS=TRUE&amp;DOC_NAME=FAT:FQL_AUDITING_CLIENT_TEMPLATE.FAT&amp;display_string=Audit&amp;VAR:KEY=XCPADOJQDS&amp;VAR:QUERY=RkZfRUJJVERBX0lCKCdMVE1TJywzOTk2Myk=&amp;WINDOW=FIRST_POPUP&amp;HEIGHT=450&amp;WIDTH=450&amp;START_MA","XIMIZED=FALSE&amp;VAR:CALENDAR=US&amp;VAR:SYMBOL=G0129K10&amp;VAR:INDEX=0"}</definedName>
    <definedName name="_7578__FDSAUDITLINK__" hidden="1">{"fdsup://directions/FAT Viewer?action=UPDATE&amp;creator=factset&amp;DYN_ARGS=TRUE&amp;DOC_NAME=FAT:FQL_AUDITING_CLIENT_TEMPLATE.FAT&amp;display_string=Audit&amp;VAR:KEY=XCPADOJQDS&amp;VAR:QUERY=RkZfRUJJVERBX0lCKCdMVE1TJywzOTk2Myk=&amp;WINDOW=FIRST_POPUP&amp;HEIGHT=450&amp;WIDTH=450&amp;START_MA","XIMIZED=FALSE&amp;VAR:CALENDAR=US&amp;VAR:SYMBOL=G0129K10&amp;VAR:INDEX=0"}</definedName>
    <definedName name="_7579__FDSAUDITLINK__" localSheetId="6" hidden="1">{"fdsup://directions/FAT Viewer?action=UPDATE&amp;creator=factset&amp;DYN_ARGS=TRUE&amp;DOC_NAME=FAT:FQL_AUDITING_CLIENT_TEMPLATE.FAT&amp;display_string=Audit&amp;VAR:KEY=NEXMTQBCRQ&amp;VAR:QUERY=RkZfRUJJVERBX0lCKCdMVE1TJywzOTk2Mik=&amp;WINDOW=FIRST_POPUP&amp;HEIGHT=450&amp;WIDTH=450&amp;START_MA","XIMIZED=FALSE&amp;VAR:CALENDAR=US&amp;VAR:SYMBOL=G0129K10&amp;VAR:INDEX=0"}</definedName>
    <definedName name="_7579__FDSAUDITLINK__" hidden="1">{"fdsup://directions/FAT Viewer?action=UPDATE&amp;creator=factset&amp;DYN_ARGS=TRUE&amp;DOC_NAME=FAT:FQL_AUDITING_CLIENT_TEMPLATE.FAT&amp;display_string=Audit&amp;VAR:KEY=NEXMTQBCRQ&amp;VAR:QUERY=RkZfRUJJVERBX0lCKCdMVE1TJywzOTk2Mik=&amp;WINDOW=FIRST_POPUP&amp;HEIGHT=450&amp;WIDTH=450&amp;START_MA","XIMIZED=FALSE&amp;VAR:CALENDAR=US&amp;VAR:SYMBOL=G0129K10&amp;VAR:INDEX=0"}</definedName>
    <definedName name="_758__FDSAUDITLINK__" localSheetId="6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8__FDSAUDITLINK__" hidden="1">{"fdsup://directions/FAT%20Viewer?VAR:PED=LTM&amp;VAR:AUDIT_MODE=SUMMARY&amp;VAR:PERIOD=FIXED&amp;VAR:AUDIT_ID=00000117&amp;VAR:DATE=20080125&amp;action=UPDATE&amp;creator=factset&amp;DOC_NAME=FAT:FMA_audit_SUMMARY.fat&amp;DISPLAY_STRING=Display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80__FDSAUDITLINK__" localSheetId="6" hidden="1">{"fdsup://directions/FAT Viewer?action=UPDATE&amp;creator=factset&amp;DYN_ARGS=TRUE&amp;DOC_NAME=FAT:FQL_AUDITING_CLIENT_TEMPLATE.FAT&amp;display_string=Audit&amp;VAR:KEY=TYNUBONIRE&amp;VAR:QUERY=RkZfRUJJVERBX0lCKCdMVE1TJywzOTk2MSk=&amp;WINDOW=FIRST_POPUP&amp;HEIGHT=450&amp;WIDTH=450&amp;START_MA","XIMIZED=FALSE&amp;VAR:CALENDAR=US&amp;VAR:SYMBOL=G0129K10&amp;VAR:INDEX=0"}</definedName>
    <definedName name="_7580__FDSAUDITLINK__" hidden="1">{"fdsup://directions/FAT Viewer?action=UPDATE&amp;creator=factset&amp;DYN_ARGS=TRUE&amp;DOC_NAME=FAT:FQL_AUDITING_CLIENT_TEMPLATE.FAT&amp;display_string=Audit&amp;VAR:KEY=TYNUBONIRE&amp;VAR:QUERY=RkZfRUJJVERBX0lCKCdMVE1TJywzOTk2MSk=&amp;WINDOW=FIRST_POPUP&amp;HEIGHT=450&amp;WIDTH=450&amp;START_MA","XIMIZED=FALSE&amp;VAR:CALENDAR=US&amp;VAR:SYMBOL=G0129K10&amp;VAR:INDEX=0"}</definedName>
    <definedName name="_7581__FDSAUDITLINK__" localSheetId="6" hidden="1">{"fdsup://directions/FAT Viewer?action=UPDATE&amp;creator=factset&amp;DYN_ARGS=TRUE&amp;DOC_NAME=FAT:FQL_AUDITING_CLIENT_TEMPLATE.FAT&amp;display_string=Audit&amp;VAR:KEY=DSBONGZSJW&amp;VAR:QUERY=RkZfRUJJVERBX0lCKCdMVE1TJywzOTk2MCk=&amp;WINDOW=FIRST_POPUP&amp;HEIGHT=450&amp;WIDTH=450&amp;START_MA","XIMIZED=FALSE&amp;VAR:CALENDAR=US&amp;VAR:SYMBOL=G0129K10&amp;VAR:INDEX=0"}</definedName>
    <definedName name="_7581__FDSAUDITLINK__" hidden="1">{"fdsup://directions/FAT Viewer?action=UPDATE&amp;creator=factset&amp;DYN_ARGS=TRUE&amp;DOC_NAME=FAT:FQL_AUDITING_CLIENT_TEMPLATE.FAT&amp;display_string=Audit&amp;VAR:KEY=DSBONGZSJW&amp;VAR:QUERY=RkZfRUJJVERBX0lCKCdMVE1TJywzOTk2MCk=&amp;WINDOW=FIRST_POPUP&amp;HEIGHT=450&amp;WIDTH=450&amp;START_MA","XIMIZED=FALSE&amp;VAR:CALENDAR=US&amp;VAR:SYMBOL=G0129K10&amp;VAR:INDEX=0"}</definedName>
    <definedName name="_7582__FDSAUDITLINK__" localSheetId="6" hidden="1">{"fdsup://directions/FAT Viewer?action=UPDATE&amp;creator=factset&amp;DYN_ARGS=TRUE&amp;DOC_NAME=FAT:FQL_AUDITING_CLIENT_TEMPLATE.FAT&amp;display_string=Audit&amp;VAR:KEY=HGHKLGDSZU&amp;VAR:QUERY=RkZfRUJJVERBX0lCKCdMVE1TJywzOTk1OSk=&amp;WINDOW=FIRST_POPUP&amp;HEIGHT=450&amp;WIDTH=450&amp;START_MA","XIMIZED=FALSE&amp;VAR:CALENDAR=US&amp;VAR:SYMBOL=G0129K10&amp;VAR:INDEX=0"}</definedName>
    <definedName name="_7582__FDSAUDITLINK__" hidden="1">{"fdsup://directions/FAT Viewer?action=UPDATE&amp;creator=factset&amp;DYN_ARGS=TRUE&amp;DOC_NAME=FAT:FQL_AUDITING_CLIENT_TEMPLATE.FAT&amp;display_string=Audit&amp;VAR:KEY=HGHKLGDSZU&amp;VAR:QUERY=RkZfRUJJVERBX0lCKCdMVE1TJywzOTk1OSk=&amp;WINDOW=FIRST_POPUP&amp;HEIGHT=450&amp;WIDTH=450&amp;START_MA","XIMIZED=FALSE&amp;VAR:CALENDAR=US&amp;VAR:SYMBOL=G0129K10&amp;VAR:INDEX=0"}</definedName>
    <definedName name="_7583__FDSAUDITLINK__" localSheetId="6" hidden="1">{"fdsup://directions/FAT Viewer?action=UPDATE&amp;creator=factset&amp;DYN_ARGS=TRUE&amp;DOC_NAME=FAT:FQL_AUDITING_CLIENT_TEMPLATE.FAT&amp;display_string=Audit&amp;VAR:KEY=PEHQZKLMTS&amp;VAR:QUERY=RkZfRUJJVERBX0lCKCdMVE1TJywzOTk1OCk=&amp;WINDOW=FIRST_POPUP&amp;HEIGHT=450&amp;WIDTH=450&amp;START_MA","XIMIZED=FALSE&amp;VAR:CALENDAR=US&amp;VAR:SYMBOL=G0129K10&amp;VAR:INDEX=0"}</definedName>
    <definedName name="_7583__FDSAUDITLINK__" hidden="1">{"fdsup://directions/FAT Viewer?action=UPDATE&amp;creator=factset&amp;DYN_ARGS=TRUE&amp;DOC_NAME=FAT:FQL_AUDITING_CLIENT_TEMPLATE.FAT&amp;display_string=Audit&amp;VAR:KEY=PEHQZKLMTS&amp;VAR:QUERY=RkZfRUJJVERBX0lCKCdMVE1TJywzOTk1OCk=&amp;WINDOW=FIRST_POPUP&amp;HEIGHT=450&amp;WIDTH=450&amp;START_MA","XIMIZED=FALSE&amp;VAR:CALENDAR=US&amp;VAR:SYMBOL=G0129K10&amp;VAR:INDEX=0"}</definedName>
    <definedName name="_7584__FDSAUDITLINK__" localSheetId="6" hidden="1">{"fdsup://directions/FAT Viewer?action=UPDATE&amp;creator=factset&amp;DYN_ARGS=TRUE&amp;DOC_NAME=FAT:FQL_AUDITING_CLIENT_TEMPLATE.FAT&amp;display_string=Audit&amp;VAR:KEY=LOPIRMPCBS&amp;VAR:QUERY=RkZfRUJJVERBX0lCKCdMVE1TJywzOTk1Nyk=&amp;WINDOW=FIRST_POPUP&amp;HEIGHT=450&amp;WIDTH=450&amp;START_MA","XIMIZED=FALSE&amp;VAR:CALENDAR=US&amp;VAR:SYMBOL=G0129K10&amp;VAR:INDEX=0"}</definedName>
    <definedName name="_7584__FDSAUDITLINK__" hidden="1">{"fdsup://directions/FAT Viewer?action=UPDATE&amp;creator=factset&amp;DYN_ARGS=TRUE&amp;DOC_NAME=FAT:FQL_AUDITING_CLIENT_TEMPLATE.FAT&amp;display_string=Audit&amp;VAR:KEY=LOPIRMPCBS&amp;VAR:QUERY=RkZfRUJJVERBX0lCKCdMVE1TJywzOTk1Nyk=&amp;WINDOW=FIRST_POPUP&amp;HEIGHT=450&amp;WIDTH=450&amp;START_MA","XIMIZED=FALSE&amp;VAR:CALENDAR=US&amp;VAR:SYMBOL=G0129K10&amp;VAR:INDEX=0"}</definedName>
    <definedName name="_7585__FDSAUDITLINK__" localSheetId="6" hidden="1">{"fdsup://directions/FAT Viewer?action=UPDATE&amp;creator=factset&amp;DYN_ARGS=TRUE&amp;DOC_NAME=FAT:FQL_AUDITING_CLIENT_TEMPLATE.FAT&amp;display_string=Audit&amp;VAR:KEY=BQRIXQFURE&amp;VAR:QUERY=RkZfRUJJVERBX0lCKCdMVE1TJywzOTk1Nik=&amp;WINDOW=FIRST_POPUP&amp;HEIGHT=450&amp;WIDTH=450&amp;START_MA","XIMIZED=FALSE&amp;VAR:CALENDAR=US&amp;VAR:SYMBOL=G0129K10&amp;VAR:INDEX=0"}</definedName>
    <definedName name="_7585__FDSAUDITLINK__" hidden="1">{"fdsup://directions/FAT Viewer?action=UPDATE&amp;creator=factset&amp;DYN_ARGS=TRUE&amp;DOC_NAME=FAT:FQL_AUDITING_CLIENT_TEMPLATE.FAT&amp;display_string=Audit&amp;VAR:KEY=BQRIXQFURE&amp;VAR:QUERY=RkZfRUJJVERBX0lCKCdMVE1TJywzOTk1Nik=&amp;WINDOW=FIRST_POPUP&amp;HEIGHT=450&amp;WIDTH=450&amp;START_MA","XIMIZED=FALSE&amp;VAR:CALENDAR=US&amp;VAR:SYMBOL=G0129K10&amp;VAR:INDEX=0"}</definedName>
    <definedName name="_7586__FDSAUDITLINK__" localSheetId="6" hidden="1">{"fdsup://directions/FAT Viewer?action=UPDATE&amp;creator=factset&amp;DYN_ARGS=TRUE&amp;DOC_NAME=FAT:FQL_AUDITING_CLIENT_TEMPLATE.FAT&amp;display_string=Audit&amp;VAR:KEY=BWTCTEXWDE&amp;VAR:QUERY=RkZfRUJJVERBX0lCKCdMVE1TJywzOTk1NSk=&amp;WINDOW=FIRST_POPUP&amp;HEIGHT=450&amp;WIDTH=450&amp;START_MA","XIMIZED=FALSE&amp;VAR:CALENDAR=US&amp;VAR:SYMBOL=G0129K10&amp;VAR:INDEX=0"}</definedName>
    <definedName name="_7586__FDSAUDITLINK__" hidden="1">{"fdsup://directions/FAT Viewer?action=UPDATE&amp;creator=factset&amp;DYN_ARGS=TRUE&amp;DOC_NAME=FAT:FQL_AUDITING_CLIENT_TEMPLATE.FAT&amp;display_string=Audit&amp;VAR:KEY=BWTCTEXWDE&amp;VAR:QUERY=RkZfRUJJVERBX0lCKCdMVE1TJywzOTk1NSk=&amp;WINDOW=FIRST_POPUP&amp;HEIGHT=450&amp;WIDTH=450&amp;START_MA","XIMIZED=FALSE&amp;VAR:CALENDAR=US&amp;VAR:SYMBOL=G0129K10&amp;VAR:INDEX=0"}</definedName>
    <definedName name="_7587__FDSAUDITLINK__" localSheetId="6" hidden="1">{"fdsup://directions/FAT Viewer?action=UPDATE&amp;creator=factset&amp;DYN_ARGS=TRUE&amp;DOC_NAME=FAT:FQL_AUDITING_CLIENT_TEMPLATE.FAT&amp;display_string=Audit&amp;VAR:KEY=VOPSDKDKVI&amp;VAR:QUERY=RkZfRUJJVERBX0lCKCdMVE1TJywzOTk1NCk=&amp;WINDOW=FIRST_POPUP&amp;HEIGHT=450&amp;WIDTH=450&amp;START_MA","XIMIZED=FALSE&amp;VAR:CALENDAR=US&amp;VAR:SYMBOL=G0129K10&amp;VAR:INDEX=0"}</definedName>
    <definedName name="_7587__FDSAUDITLINK__" hidden="1">{"fdsup://directions/FAT Viewer?action=UPDATE&amp;creator=factset&amp;DYN_ARGS=TRUE&amp;DOC_NAME=FAT:FQL_AUDITING_CLIENT_TEMPLATE.FAT&amp;display_string=Audit&amp;VAR:KEY=VOPSDKDKVI&amp;VAR:QUERY=RkZfRUJJVERBX0lCKCdMVE1TJywzOTk1NCk=&amp;WINDOW=FIRST_POPUP&amp;HEIGHT=450&amp;WIDTH=450&amp;START_MA","XIMIZED=FALSE&amp;VAR:CALENDAR=US&amp;VAR:SYMBOL=G0129K10&amp;VAR:INDEX=0"}</definedName>
    <definedName name="_7588__FDSAUDITLINK__" localSheetId="6" hidden="1">{"fdsup://directions/FAT Viewer?action=UPDATE&amp;creator=factset&amp;DYN_ARGS=TRUE&amp;DOC_NAME=FAT:FQL_AUDITING_CLIENT_TEMPLATE.FAT&amp;display_string=Audit&amp;VAR:KEY=NCZAJEJGBW&amp;VAR:QUERY=RkZfRUJJVERBX0lCKCdMVE1TJywzOTk1Myk=&amp;WINDOW=FIRST_POPUP&amp;HEIGHT=450&amp;WIDTH=450&amp;START_MA","XIMIZED=FALSE&amp;VAR:CALENDAR=US&amp;VAR:SYMBOL=G0129K10&amp;VAR:INDEX=0"}</definedName>
    <definedName name="_7588__FDSAUDITLINK__" hidden="1">{"fdsup://directions/FAT Viewer?action=UPDATE&amp;creator=factset&amp;DYN_ARGS=TRUE&amp;DOC_NAME=FAT:FQL_AUDITING_CLIENT_TEMPLATE.FAT&amp;display_string=Audit&amp;VAR:KEY=NCZAJEJGBW&amp;VAR:QUERY=RkZfRUJJVERBX0lCKCdMVE1TJywzOTk1Myk=&amp;WINDOW=FIRST_POPUP&amp;HEIGHT=450&amp;WIDTH=450&amp;START_MA","XIMIZED=FALSE&amp;VAR:CALENDAR=US&amp;VAR:SYMBOL=G0129K10&amp;VAR:INDEX=0"}</definedName>
    <definedName name="_7589__FDSAUDITLINK__" localSheetId="6" hidden="1">{"fdsup://directions/FAT Viewer?action=UPDATE&amp;creator=factset&amp;DYN_ARGS=TRUE&amp;DOC_NAME=FAT:FQL_AUDITING_CLIENT_TEMPLATE.FAT&amp;display_string=Audit&amp;VAR:KEY=JMJCRMBUTC&amp;VAR:QUERY=RkZfRUJJVERBX0lCKCdMVE1TJywzOTk1Mik=&amp;WINDOW=FIRST_POPUP&amp;HEIGHT=450&amp;WIDTH=450&amp;START_MA","XIMIZED=FALSE&amp;VAR:CALENDAR=US&amp;VAR:SYMBOL=G0129K10&amp;VAR:INDEX=0"}</definedName>
    <definedName name="_7589__FDSAUDITLINK__" hidden="1">{"fdsup://directions/FAT Viewer?action=UPDATE&amp;creator=factset&amp;DYN_ARGS=TRUE&amp;DOC_NAME=FAT:FQL_AUDITING_CLIENT_TEMPLATE.FAT&amp;display_string=Audit&amp;VAR:KEY=JMJCRMBUTC&amp;VAR:QUERY=RkZfRUJJVERBX0lCKCdMVE1TJywzOTk1Mik=&amp;WINDOW=FIRST_POPUP&amp;HEIGHT=450&amp;WIDTH=450&amp;START_MA","XIMIZED=FALSE&amp;VAR:CALENDAR=US&amp;VAR:SYMBOL=G0129K10&amp;VAR:INDEX=0"}</definedName>
    <definedName name="_759__FDSAUDITLINK__" localSheetId="6" hidden="1">{"fdsup://directions/FAT%20Viewer?VAR:PED=LTM&amp;VAR:AUDIT_MODE=SUMMARY&amp;VAR:PERIOD=FIXED&amp;VAR:AUDIT_ID=00000117&amp;VAR:DATE=20080124&amp;action=UPDATE&amp;creator=factset&amp;DOC_NAME=FAT:FMA_audit_SUMMARY.fat&amp;DISPLAY_STRING=Display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9__FDSAUDITLINK__" hidden="1">{"fdsup://directions/FAT%20Viewer?VAR:PED=LTM&amp;VAR:AUDIT_MODE=SUMMARY&amp;VAR:PERIOD=FIXED&amp;VAR:AUDIT_ID=00000117&amp;VAR:DATE=20080124&amp;action=UPDATE&amp;creator=factset&amp;DOC_NAME=FAT:FMA_audit_SUMMARY.fat&amp;DISPLAY_STRING=Display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590__FDSAUDITLINK__" localSheetId="6" hidden="1">{"fdsup://directions/FAT Viewer?action=UPDATE&amp;creator=factset&amp;DYN_ARGS=TRUE&amp;DOC_NAME=FAT:FQL_AUDITING_CLIENT_TEMPLATE.FAT&amp;display_string=Audit&amp;VAR:KEY=BGDUTUFWHY&amp;VAR:QUERY=RkZfRUJJVERBX0lCKCdMVE1TJywzOTk1MSk=&amp;WINDOW=FIRST_POPUP&amp;HEIGHT=450&amp;WIDTH=450&amp;START_MA","XIMIZED=FALSE&amp;VAR:CALENDAR=US&amp;VAR:SYMBOL=G0129K10&amp;VAR:INDEX=0"}</definedName>
    <definedName name="_7590__FDSAUDITLINK__" hidden="1">{"fdsup://directions/FAT Viewer?action=UPDATE&amp;creator=factset&amp;DYN_ARGS=TRUE&amp;DOC_NAME=FAT:FQL_AUDITING_CLIENT_TEMPLATE.FAT&amp;display_string=Audit&amp;VAR:KEY=BGDUTUFWHY&amp;VAR:QUERY=RkZfRUJJVERBX0lCKCdMVE1TJywzOTk1MSk=&amp;WINDOW=FIRST_POPUP&amp;HEIGHT=450&amp;WIDTH=450&amp;START_MA","XIMIZED=FALSE&amp;VAR:CALENDAR=US&amp;VAR:SYMBOL=G0129K10&amp;VAR:INDEX=0"}</definedName>
    <definedName name="_7591__FDSAUDITLINK__" localSheetId="6" hidden="1">{"fdsup://directions/FAT Viewer?action=UPDATE&amp;creator=factset&amp;DYN_ARGS=TRUE&amp;DOC_NAME=FAT:FQL_AUDITING_CLIENT_TEMPLATE.FAT&amp;display_string=Audit&amp;VAR:KEY=BCFYRUJKJW&amp;VAR:QUERY=RkZfRUJJVERBX0lCKCdMVE1TJywzOTk1MCk=&amp;WINDOW=FIRST_POPUP&amp;HEIGHT=450&amp;WIDTH=450&amp;START_MA","XIMIZED=FALSE&amp;VAR:CALENDAR=US&amp;VAR:SYMBOL=G0129K10&amp;VAR:INDEX=0"}</definedName>
    <definedName name="_7591__FDSAUDITLINK__" hidden="1">{"fdsup://directions/FAT Viewer?action=UPDATE&amp;creator=factset&amp;DYN_ARGS=TRUE&amp;DOC_NAME=FAT:FQL_AUDITING_CLIENT_TEMPLATE.FAT&amp;display_string=Audit&amp;VAR:KEY=BCFYRUJKJW&amp;VAR:QUERY=RkZfRUJJVERBX0lCKCdMVE1TJywzOTk1MCk=&amp;WINDOW=FIRST_POPUP&amp;HEIGHT=450&amp;WIDTH=450&amp;START_MA","XIMIZED=FALSE&amp;VAR:CALENDAR=US&amp;VAR:SYMBOL=G0129K10&amp;VAR:INDEX=0"}</definedName>
    <definedName name="_7592__FDSAUDITLINK__" localSheetId="6" hidden="1">{"fdsup://directions/FAT Viewer?action=UPDATE&amp;creator=factset&amp;DYN_ARGS=TRUE&amp;DOC_NAME=FAT:FQL_AUDITING_CLIENT_TEMPLATE.FAT&amp;display_string=Audit&amp;VAR:KEY=DEREDWXYZQ&amp;VAR:QUERY=RkZfRUJJVERBX0lCKCdMVE1TJywzOTk0OSk=&amp;WINDOW=FIRST_POPUP&amp;HEIGHT=450&amp;WIDTH=450&amp;START_MA","XIMIZED=FALSE&amp;VAR:CALENDAR=US&amp;VAR:SYMBOL=G0129K10&amp;VAR:INDEX=0"}</definedName>
    <definedName name="_7592__FDSAUDITLINK__" hidden="1">{"fdsup://directions/FAT Viewer?action=UPDATE&amp;creator=factset&amp;DYN_ARGS=TRUE&amp;DOC_NAME=FAT:FQL_AUDITING_CLIENT_TEMPLATE.FAT&amp;display_string=Audit&amp;VAR:KEY=DEREDWXYZQ&amp;VAR:QUERY=RkZfRUJJVERBX0lCKCdMVE1TJywzOTk0OSk=&amp;WINDOW=FIRST_POPUP&amp;HEIGHT=450&amp;WIDTH=450&amp;START_MA","XIMIZED=FALSE&amp;VAR:CALENDAR=US&amp;VAR:SYMBOL=G0129K10&amp;VAR:INDEX=0"}</definedName>
    <definedName name="_7593__FDSAUDITLINK__" localSheetId="6" hidden="1">{"fdsup://directions/FAT Viewer?action=UPDATE&amp;creator=factset&amp;DYN_ARGS=TRUE&amp;DOC_NAME=FAT:FQL_AUDITING_CLIENT_TEMPLATE.FAT&amp;display_string=Audit&amp;VAR:KEY=JAXMXQFYLW&amp;VAR:QUERY=RkZfRUJJVERBX0lCKCdMVE1TJywzOTk0OCk=&amp;WINDOW=FIRST_POPUP&amp;HEIGHT=450&amp;WIDTH=450&amp;START_MA","XIMIZED=FALSE&amp;VAR:CALENDAR=US&amp;VAR:SYMBOL=G0129K10&amp;VAR:INDEX=0"}</definedName>
    <definedName name="_7593__FDSAUDITLINK__" hidden="1">{"fdsup://directions/FAT Viewer?action=UPDATE&amp;creator=factset&amp;DYN_ARGS=TRUE&amp;DOC_NAME=FAT:FQL_AUDITING_CLIENT_TEMPLATE.FAT&amp;display_string=Audit&amp;VAR:KEY=JAXMXQFYLW&amp;VAR:QUERY=RkZfRUJJVERBX0lCKCdMVE1TJywzOTk0OCk=&amp;WINDOW=FIRST_POPUP&amp;HEIGHT=450&amp;WIDTH=450&amp;START_MA","XIMIZED=FALSE&amp;VAR:CALENDAR=US&amp;VAR:SYMBOL=G0129K10&amp;VAR:INDEX=0"}</definedName>
    <definedName name="_7594__FDSAUDITLINK__" localSheetId="6" hidden="1">{"fdsup://directions/FAT Viewer?action=UPDATE&amp;creator=factset&amp;DYN_ARGS=TRUE&amp;DOC_NAME=FAT:FQL_AUDITING_CLIENT_TEMPLATE.FAT&amp;display_string=Audit&amp;VAR:KEY=DONWVUNAVI&amp;VAR:QUERY=RkZfRUJJVERBX0lCKCdMVE1TJywzOTk0Nyk=&amp;WINDOW=FIRST_POPUP&amp;HEIGHT=450&amp;WIDTH=450&amp;START_MA","XIMIZED=FALSE&amp;VAR:CALENDAR=US&amp;VAR:SYMBOL=G0129K10&amp;VAR:INDEX=0"}</definedName>
    <definedName name="_7594__FDSAUDITLINK__" hidden="1">{"fdsup://directions/FAT Viewer?action=UPDATE&amp;creator=factset&amp;DYN_ARGS=TRUE&amp;DOC_NAME=FAT:FQL_AUDITING_CLIENT_TEMPLATE.FAT&amp;display_string=Audit&amp;VAR:KEY=DONWVUNAVI&amp;VAR:QUERY=RkZfRUJJVERBX0lCKCdMVE1TJywzOTk0Nyk=&amp;WINDOW=FIRST_POPUP&amp;HEIGHT=450&amp;WIDTH=450&amp;START_MA","XIMIZED=FALSE&amp;VAR:CALENDAR=US&amp;VAR:SYMBOL=G0129K10&amp;VAR:INDEX=0"}</definedName>
    <definedName name="_7595__FDSAUDITLINK__" localSheetId="6" hidden="1">{"fdsup://directions/FAT Viewer?action=UPDATE&amp;creator=factset&amp;DYN_ARGS=TRUE&amp;DOC_NAME=FAT:FQL_AUDITING_CLIENT_TEMPLATE.FAT&amp;display_string=Audit&amp;VAR:KEY=VUFUDAJGLO&amp;VAR:QUERY=RkZfRUJJVERBX0lCKCdMVE1TJywzOTk0Nik=&amp;WINDOW=FIRST_POPUP&amp;HEIGHT=450&amp;WIDTH=450&amp;START_MA","XIMIZED=FALSE&amp;VAR:CALENDAR=US&amp;VAR:SYMBOL=G0129K10&amp;VAR:INDEX=0"}</definedName>
    <definedName name="_7595__FDSAUDITLINK__" hidden="1">{"fdsup://directions/FAT Viewer?action=UPDATE&amp;creator=factset&amp;DYN_ARGS=TRUE&amp;DOC_NAME=FAT:FQL_AUDITING_CLIENT_TEMPLATE.FAT&amp;display_string=Audit&amp;VAR:KEY=VUFUDAJGLO&amp;VAR:QUERY=RkZfRUJJVERBX0lCKCdMVE1TJywzOTk0Nik=&amp;WINDOW=FIRST_POPUP&amp;HEIGHT=450&amp;WIDTH=450&amp;START_MA","XIMIZED=FALSE&amp;VAR:CALENDAR=US&amp;VAR:SYMBOL=G0129K10&amp;VAR:INDEX=0"}</definedName>
    <definedName name="_7596__FDSAUDITLINK__" localSheetId="6" hidden="1">{"fdsup://directions/FAT Viewer?action=UPDATE&amp;creator=factset&amp;DYN_ARGS=TRUE&amp;DOC_NAME=FAT:FQL_AUDITING_CLIENT_TEMPLATE.FAT&amp;display_string=Audit&amp;VAR:KEY=LKBOJQHEVE&amp;VAR:QUERY=RkZfRUJJVERBX0lCKCdMVE1TJywzOTk0NSk=&amp;WINDOW=FIRST_POPUP&amp;HEIGHT=450&amp;WIDTH=450&amp;START_MA","XIMIZED=FALSE&amp;VAR:CALENDAR=US&amp;VAR:SYMBOL=G0129K10&amp;VAR:INDEX=0"}</definedName>
    <definedName name="_7596__FDSAUDITLINK__" hidden="1">{"fdsup://directions/FAT Viewer?action=UPDATE&amp;creator=factset&amp;DYN_ARGS=TRUE&amp;DOC_NAME=FAT:FQL_AUDITING_CLIENT_TEMPLATE.FAT&amp;display_string=Audit&amp;VAR:KEY=LKBOJQHEVE&amp;VAR:QUERY=RkZfRUJJVERBX0lCKCdMVE1TJywzOTk0NSk=&amp;WINDOW=FIRST_POPUP&amp;HEIGHT=450&amp;WIDTH=450&amp;START_MA","XIMIZED=FALSE&amp;VAR:CALENDAR=US&amp;VAR:SYMBOL=G0129K10&amp;VAR:INDEX=0"}</definedName>
    <definedName name="_7597__FDSAUDITLINK__" localSheetId="6" hidden="1">{"fdsup://directions/FAT Viewer?action=UPDATE&amp;creator=factset&amp;DYN_ARGS=TRUE&amp;DOC_NAME=FAT:FQL_AUDITING_CLIENT_TEMPLATE.FAT&amp;display_string=Audit&amp;VAR:KEY=VABAPURWVQ&amp;VAR:QUERY=RkZfRUJJVERBX0lCKCdMVE1TJywzOTk0NCk=&amp;WINDOW=FIRST_POPUP&amp;HEIGHT=450&amp;WIDTH=450&amp;START_MA","XIMIZED=FALSE&amp;VAR:CALENDAR=US&amp;VAR:SYMBOL=G0129K10&amp;VAR:INDEX=0"}</definedName>
    <definedName name="_7597__FDSAUDITLINK__" hidden="1">{"fdsup://directions/FAT Viewer?action=UPDATE&amp;creator=factset&amp;DYN_ARGS=TRUE&amp;DOC_NAME=FAT:FQL_AUDITING_CLIENT_TEMPLATE.FAT&amp;display_string=Audit&amp;VAR:KEY=VABAPURWVQ&amp;VAR:QUERY=RkZfRUJJVERBX0lCKCdMVE1TJywzOTk0NCk=&amp;WINDOW=FIRST_POPUP&amp;HEIGHT=450&amp;WIDTH=450&amp;START_MA","XIMIZED=FALSE&amp;VAR:CALENDAR=US&amp;VAR:SYMBOL=G0129K10&amp;VAR:INDEX=0"}</definedName>
    <definedName name="_7598__FDSAUDITLINK__" localSheetId="6" hidden="1">{"fdsup://directions/FAT Viewer?action=UPDATE&amp;creator=factset&amp;DYN_ARGS=TRUE&amp;DOC_NAME=FAT:FQL_AUDITING_CLIENT_TEMPLATE.FAT&amp;display_string=Audit&amp;VAR:KEY=ROJUJYFYDM&amp;VAR:QUERY=RkZfRUJJVERBX0lCKCdMVE1TJywzOTk0Myk=&amp;WINDOW=FIRST_POPUP&amp;HEIGHT=450&amp;WIDTH=450&amp;START_MA","XIMIZED=FALSE&amp;VAR:CALENDAR=US&amp;VAR:SYMBOL=G0129K10&amp;VAR:INDEX=0"}</definedName>
    <definedName name="_7598__FDSAUDITLINK__" hidden="1">{"fdsup://directions/FAT Viewer?action=UPDATE&amp;creator=factset&amp;DYN_ARGS=TRUE&amp;DOC_NAME=FAT:FQL_AUDITING_CLIENT_TEMPLATE.FAT&amp;display_string=Audit&amp;VAR:KEY=ROJUJYFYDM&amp;VAR:QUERY=RkZfRUJJVERBX0lCKCdMVE1TJywzOTk0Myk=&amp;WINDOW=FIRST_POPUP&amp;HEIGHT=450&amp;WIDTH=450&amp;START_MA","XIMIZED=FALSE&amp;VAR:CALENDAR=US&amp;VAR:SYMBOL=G0129K10&amp;VAR:INDEX=0"}</definedName>
    <definedName name="_7599__FDSAUDITLINK__" localSheetId="6" hidden="1">{"fdsup://directions/FAT Viewer?action=UPDATE&amp;creator=factset&amp;DYN_ARGS=TRUE&amp;DOC_NAME=FAT:FQL_AUDITING_CLIENT_TEMPLATE.FAT&amp;display_string=Audit&amp;VAR:KEY=TUNOVGNAXM&amp;VAR:QUERY=RkZfRUJJVERBX0lCKCdMVE1TJywzOTk0Mik=&amp;WINDOW=FIRST_POPUP&amp;HEIGHT=450&amp;WIDTH=450&amp;START_MA","XIMIZED=FALSE&amp;VAR:CALENDAR=US&amp;VAR:SYMBOL=G0129K10&amp;VAR:INDEX=0"}</definedName>
    <definedName name="_7599__FDSAUDITLINK__" hidden="1">{"fdsup://directions/FAT Viewer?action=UPDATE&amp;creator=factset&amp;DYN_ARGS=TRUE&amp;DOC_NAME=FAT:FQL_AUDITING_CLIENT_TEMPLATE.FAT&amp;display_string=Audit&amp;VAR:KEY=TUNOVGNAXM&amp;VAR:QUERY=RkZfRUJJVERBX0lCKCdMVE1TJywzOTk0Mik=&amp;WINDOW=FIRST_POPUP&amp;HEIGHT=450&amp;WIDTH=450&amp;START_MA","XIMIZED=FALSE&amp;VAR:CALENDAR=US&amp;VAR:SYMBOL=G0129K10&amp;VAR:INDEX=0"}</definedName>
    <definedName name="_76__FDSAUDITLINK__" localSheetId="6" hidden="1">{"fdsup://directions/FAT Viewer?action=UPDATE&amp;creator=factset&amp;DYN_ARGS=TRUE&amp;DOC_NAME=FAT:FQL_AUDITING_CLIENT_TEMPLATE.FAT&amp;display_string=Audit&amp;VAR:KEY=BINOJIHCLM&amp;VAR:QUERY=QVZHKENTRl9ORVRfSU5DKEFOTiwwRlksLTZGWSxZKSkgLyAoQVZHKENTRl9BU1NFVFMoQU5OLDBGWSwtNkZZL","EZZKSkgLSBBVkcoQ1NGX0lOVEFORyhBTk4sMCwtNkZZLEZZKSkp&amp;WINDOW=FIRST_POPUP&amp;HEIGHT=450&amp;WIDTH=450&amp;START_MAXIMIZED=FALSE&amp;VAR:CALENDAR=US&amp;VAR:SYMBOL=MGRC"}</definedName>
    <definedName name="_76__FDSAUDITLINK__" hidden="1">{"fdsup://directions/FAT Viewer?action=UPDATE&amp;creator=factset&amp;DYN_ARGS=TRUE&amp;DOC_NAME=FAT:FQL_AUDITING_CLIENT_TEMPLATE.FAT&amp;display_string=Audit&amp;VAR:KEY=BINOJIHCLM&amp;VAR:QUERY=QVZHKENTRl9ORVRfSU5DKEFOTiwwRlksLTZGWSxZKSkgLyAoQVZHKENTRl9BU1NFVFMoQU5OLDBGWSwtNkZZL","EZZKSkgLSBBVkcoQ1NGX0lOVEFORyhBTk4sMCwtNkZZLEZZKSkp&amp;WINDOW=FIRST_POPUP&amp;HEIGHT=450&amp;WIDTH=450&amp;START_MAXIMIZED=FALSE&amp;VAR:CALENDAR=US&amp;VAR:SYMBOL=MGRC"}</definedName>
    <definedName name="_760__FDSAUDITLINK__" localSheetId="6" hidden="1">{"fdsup://directions/FAT%20Viewer?VAR:PED=LTM&amp;VAR:AUDIT_MODE=SUMMARY&amp;VAR:PERIOD=FIXED&amp;VAR:AUDIT_ID=00000117&amp;VAR:DATE=20080123&amp;action=UPDATE&amp;creator=factset&amp;DOC_NAME=FAT:FMA_audit_SUMMARY.fat&amp;DISPLAY_STRING=Display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0__FDSAUDITLINK__" hidden="1">{"fdsup://directions/FAT%20Viewer?VAR:PED=LTM&amp;VAR:AUDIT_MODE=SUMMARY&amp;VAR:PERIOD=FIXED&amp;VAR:AUDIT_ID=00000117&amp;VAR:DATE=20080123&amp;action=UPDATE&amp;creator=factset&amp;DOC_NAME=FAT:FMA_audit_SUMMARY.fat&amp;DISPLAY_STRING=Display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00__FDSAUDITLINK__" localSheetId="6" hidden="1">{"fdsup://directions/FAT Viewer?action=UPDATE&amp;creator=factset&amp;DYN_ARGS=TRUE&amp;DOC_NAME=FAT:FQL_AUDITING_CLIENT_TEMPLATE.FAT&amp;display_string=Audit&amp;VAR:KEY=XCDSNMPKXG&amp;VAR:QUERY=RkZfRUJJVERBX0lCKCdMVE1TJywzOTk0MSk=&amp;WINDOW=FIRST_POPUP&amp;HEIGHT=450&amp;WIDTH=450&amp;START_MA","XIMIZED=FALSE&amp;VAR:CALENDAR=US&amp;VAR:SYMBOL=G0129K10&amp;VAR:INDEX=0"}</definedName>
    <definedName name="_7600__FDSAUDITLINK__" hidden="1">{"fdsup://directions/FAT Viewer?action=UPDATE&amp;creator=factset&amp;DYN_ARGS=TRUE&amp;DOC_NAME=FAT:FQL_AUDITING_CLIENT_TEMPLATE.FAT&amp;display_string=Audit&amp;VAR:KEY=XCDSNMPKXG&amp;VAR:QUERY=RkZfRUJJVERBX0lCKCdMVE1TJywzOTk0MSk=&amp;WINDOW=FIRST_POPUP&amp;HEIGHT=450&amp;WIDTH=450&amp;START_MA","XIMIZED=FALSE&amp;VAR:CALENDAR=US&amp;VAR:SYMBOL=G0129K10&amp;VAR:INDEX=0"}</definedName>
    <definedName name="_7601__FDSAUDITLINK__" localSheetId="6" hidden="1">{"fdsup://directions/FAT Viewer?action=UPDATE&amp;creator=factset&amp;DYN_ARGS=TRUE&amp;DOC_NAME=FAT:FQL_AUDITING_CLIENT_TEMPLATE.FAT&amp;display_string=Audit&amp;VAR:KEY=JELKPSJEFY&amp;VAR:QUERY=RkZfRUJJVERBX0lCKCdMVE1TJywzOTk0MCk=&amp;WINDOW=FIRST_POPUP&amp;HEIGHT=450&amp;WIDTH=450&amp;START_MA","XIMIZED=FALSE&amp;VAR:CALENDAR=US&amp;VAR:SYMBOL=G0129K10&amp;VAR:INDEX=0"}</definedName>
    <definedName name="_7601__FDSAUDITLINK__" hidden="1">{"fdsup://directions/FAT Viewer?action=UPDATE&amp;creator=factset&amp;DYN_ARGS=TRUE&amp;DOC_NAME=FAT:FQL_AUDITING_CLIENT_TEMPLATE.FAT&amp;display_string=Audit&amp;VAR:KEY=JELKPSJEFY&amp;VAR:QUERY=RkZfRUJJVERBX0lCKCdMVE1TJywzOTk0MCk=&amp;WINDOW=FIRST_POPUP&amp;HEIGHT=450&amp;WIDTH=450&amp;START_MA","XIMIZED=FALSE&amp;VAR:CALENDAR=US&amp;VAR:SYMBOL=G0129K10&amp;VAR:INDEX=0"}</definedName>
    <definedName name="_7602__FDSAUDITLINK__" localSheetId="6" hidden="1">{"fdsup://directions/FAT Viewer?action=UPDATE&amp;creator=factset&amp;DYN_ARGS=TRUE&amp;DOC_NAME=FAT:FQL_AUDITING_CLIENT_TEMPLATE.FAT&amp;display_string=Audit&amp;VAR:KEY=VUBOPWDSTK&amp;VAR:QUERY=RkZfRUJJVERBX0lCKCdMVE1TJywzOTkzOSk=&amp;WINDOW=FIRST_POPUP&amp;HEIGHT=450&amp;WIDTH=450&amp;START_MA","XIMIZED=FALSE&amp;VAR:CALENDAR=US&amp;VAR:SYMBOL=G0129K10&amp;VAR:INDEX=0"}</definedName>
    <definedName name="_7602__FDSAUDITLINK__" hidden="1">{"fdsup://directions/FAT Viewer?action=UPDATE&amp;creator=factset&amp;DYN_ARGS=TRUE&amp;DOC_NAME=FAT:FQL_AUDITING_CLIENT_TEMPLATE.FAT&amp;display_string=Audit&amp;VAR:KEY=VUBOPWDSTK&amp;VAR:QUERY=RkZfRUJJVERBX0lCKCdMVE1TJywzOTkzOSk=&amp;WINDOW=FIRST_POPUP&amp;HEIGHT=450&amp;WIDTH=450&amp;START_MA","XIMIZED=FALSE&amp;VAR:CALENDAR=US&amp;VAR:SYMBOL=G0129K10&amp;VAR:INDEX=0"}</definedName>
    <definedName name="_7603__FDSAUDITLINK__" localSheetId="6" hidden="1">{"fdsup://directions/FAT Viewer?action=UPDATE&amp;creator=factset&amp;DYN_ARGS=TRUE&amp;DOC_NAME=FAT:FQL_AUDITING_CLIENT_TEMPLATE.FAT&amp;display_string=Audit&amp;VAR:KEY=LCDQBQTOJI&amp;VAR:QUERY=RkZfRUJJVERBX0lCKCdMVE1TJywzOTkzOCk=&amp;WINDOW=FIRST_POPUP&amp;HEIGHT=450&amp;WIDTH=450&amp;START_MA","XIMIZED=FALSE&amp;VAR:CALENDAR=US&amp;VAR:SYMBOL=G0129K10&amp;VAR:INDEX=0"}</definedName>
    <definedName name="_7603__FDSAUDITLINK__" hidden="1">{"fdsup://directions/FAT Viewer?action=UPDATE&amp;creator=factset&amp;DYN_ARGS=TRUE&amp;DOC_NAME=FAT:FQL_AUDITING_CLIENT_TEMPLATE.FAT&amp;display_string=Audit&amp;VAR:KEY=LCDQBQTOJI&amp;VAR:QUERY=RkZfRUJJVERBX0lCKCdMVE1TJywzOTkzOCk=&amp;WINDOW=FIRST_POPUP&amp;HEIGHT=450&amp;WIDTH=450&amp;START_MA","XIMIZED=FALSE&amp;VAR:CALENDAR=US&amp;VAR:SYMBOL=G0129K10&amp;VAR:INDEX=0"}</definedName>
    <definedName name="_7604__FDSAUDITLINK__" localSheetId="6" hidden="1">{"fdsup://directions/FAT Viewer?action=UPDATE&amp;creator=factset&amp;DYN_ARGS=TRUE&amp;DOC_NAME=FAT:FQL_AUDITING_CLIENT_TEMPLATE.FAT&amp;display_string=Audit&amp;VAR:KEY=NSJUBWFOLY&amp;VAR:QUERY=RkZfRUJJVERBX0lCKCdMVE1TJywzOTkzNyk=&amp;WINDOW=FIRST_POPUP&amp;HEIGHT=450&amp;WIDTH=450&amp;START_MA","XIMIZED=FALSE&amp;VAR:CALENDAR=US&amp;VAR:SYMBOL=G0129K10&amp;VAR:INDEX=0"}</definedName>
    <definedName name="_7604__FDSAUDITLINK__" hidden="1">{"fdsup://directions/FAT Viewer?action=UPDATE&amp;creator=factset&amp;DYN_ARGS=TRUE&amp;DOC_NAME=FAT:FQL_AUDITING_CLIENT_TEMPLATE.FAT&amp;display_string=Audit&amp;VAR:KEY=NSJUBWFOLY&amp;VAR:QUERY=RkZfRUJJVERBX0lCKCdMVE1TJywzOTkzNyk=&amp;WINDOW=FIRST_POPUP&amp;HEIGHT=450&amp;WIDTH=450&amp;START_MA","XIMIZED=FALSE&amp;VAR:CALENDAR=US&amp;VAR:SYMBOL=G0129K10&amp;VAR:INDEX=0"}</definedName>
    <definedName name="_7605__FDSAUDITLINK__" localSheetId="6" hidden="1">{"fdsup://directions/FAT Viewer?action=UPDATE&amp;creator=factset&amp;DYN_ARGS=TRUE&amp;DOC_NAME=FAT:FQL_AUDITING_CLIENT_TEMPLATE.FAT&amp;display_string=Audit&amp;VAR:KEY=ZWJYTQHINQ&amp;VAR:QUERY=RkZfRUJJVERBX0lCKCdMVE1TJywzOTkzNik=&amp;WINDOW=FIRST_POPUP&amp;HEIGHT=450&amp;WIDTH=450&amp;START_MA","XIMIZED=FALSE&amp;VAR:CALENDAR=US&amp;VAR:SYMBOL=G0129K10&amp;VAR:INDEX=0"}</definedName>
    <definedName name="_7605__FDSAUDITLINK__" hidden="1">{"fdsup://directions/FAT Viewer?action=UPDATE&amp;creator=factset&amp;DYN_ARGS=TRUE&amp;DOC_NAME=FAT:FQL_AUDITING_CLIENT_TEMPLATE.FAT&amp;display_string=Audit&amp;VAR:KEY=ZWJYTQHINQ&amp;VAR:QUERY=RkZfRUJJVERBX0lCKCdMVE1TJywzOTkzNik=&amp;WINDOW=FIRST_POPUP&amp;HEIGHT=450&amp;WIDTH=450&amp;START_MA","XIMIZED=FALSE&amp;VAR:CALENDAR=US&amp;VAR:SYMBOL=G0129K10&amp;VAR:INDEX=0"}</definedName>
    <definedName name="_7606__FDSAUDITLINK__" localSheetId="6" hidden="1">{"fdsup://directions/FAT Viewer?action=UPDATE&amp;creator=factset&amp;DYN_ARGS=TRUE&amp;DOC_NAME=FAT:FQL_AUDITING_CLIENT_TEMPLATE.FAT&amp;display_string=Audit&amp;VAR:KEY=TYRMXCTKVQ&amp;VAR:QUERY=RkZfRUJJVERBX0lCKCdMVE1TJywzOTkzNSk=&amp;WINDOW=FIRST_POPUP&amp;HEIGHT=450&amp;WIDTH=450&amp;START_MA","XIMIZED=FALSE&amp;VAR:CALENDAR=US&amp;VAR:SYMBOL=G0129K10&amp;VAR:INDEX=0"}</definedName>
    <definedName name="_7606__FDSAUDITLINK__" hidden="1">{"fdsup://directions/FAT Viewer?action=UPDATE&amp;creator=factset&amp;DYN_ARGS=TRUE&amp;DOC_NAME=FAT:FQL_AUDITING_CLIENT_TEMPLATE.FAT&amp;display_string=Audit&amp;VAR:KEY=TYRMXCTKVQ&amp;VAR:QUERY=RkZfRUJJVERBX0lCKCdMVE1TJywzOTkzNSk=&amp;WINDOW=FIRST_POPUP&amp;HEIGHT=450&amp;WIDTH=450&amp;START_MA","XIMIZED=FALSE&amp;VAR:CALENDAR=US&amp;VAR:SYMBOL=G0129K10&amp;VAR:INDEX=0"}</definedName>
    <definedName name="_7607__FDSAUDITLINK__" localSheetId="6" hidden="1">{"fdsup://directions/FAT Viewer?action=UPDATE&amp;creator=factset&amp;DYN_ARGS=TRUE&amp;DOC_NAME=FAT:FQL_AUDITING_CLIENT_TEMPLATE.FAT&amp;display_string=Audit&amp;VAR:KEY=TKVSLULKFM&amp;VAR:QUERY=RkZfRUJJVERBX0lCKCdMVE1TJywzOTkzNCk=&amp;WINDOW=FIRST_POPUP&amp;HEIGHT=450&amp;WIDTH=450&amp;START_MA","XIMIZED=FALSE&amp;VAR:CALENDAR=US&amp;VAR:SYMBOL=G0129K10&amp;VAR:INDEX=0"}</definedName>
    <definedName name="_7607__FDSAUDITLINK__" hidden="1">{"fdsup://directions/FAT Viewer?action=UPDATE&amp;creator=factset&amp;DYN_ARGS=TRUE&amp;DOC_NAME=FAT:FQL_AUDITING_CLIENT_TEMPLATE.FAT&amp;display_string=Audit&amp;VAR:KEY=TKVSLULKFM&amp;VAR:QUERY=RkZfRUJJVERBX0lCKCdMVE1TJywzOTkzNCk=&amp;WINDOW=FIRST_POPUP&amp;HEIGHT=450&amp;WIDTH=450&amp;START_MA","XIMIZED=FALSE&amp;VAR:CALENDAR=US&amp;VAR:SYMBOL=G0129K10&amp;VAR:INDEX=0"}</definedName>
    <definedName name="_7608__FDSAUDITLINK__" localSheetId="6" hidden="1">{"fdsup://directions/FAT Viewer?action=UPDATE&amp;creator=factset&amp;DYN_ARGS=TRUE&amp;DOC_NAME=FAT:FQL_AUDITING_CLIENT_TEMPLATE.FAT&amp;display_string=Audit&amp;VAR:KEY=PUBYXOJCTK&amp;VAR:QUERY=RkZfRUJJVERBX0lCKCdMVE1TJywzOTkzMyk=&amp;WINDOW=FIRST_POPUP&amp;HEIGHT=450&amp;WIDTH=450&amp;START_MA","XIMIZED=FALSE&amp;VAR:CALENDAR=US&amp;VAR:SYMBOL=G0129K10&amp;VAR:INDEX=0"}</definedName>
    <definedName name="_7608__FDSAUDITLINK__" hidden="1">{"fdsup://directions/FAT Viewer?action=UPDATE&amp;creator=factset&amp;DYN_ARGS=TRUE&amp;DOC_NAME=FAT:FQL_AUDITING_CLIENT_TEMPLATE.FAT&amp;display_string=Audit&amp;VAR:KEY=PUBYXOJCTK&amp;VAR:QUERY=RkZfRUJJVERBX0lCKCdMVE1TJywzOTkzMyk=&amp;WINDOW=FIRST_POPUP&amp;HEIGHT=450&amp;WIDTH=450&amp;START_MA","XIMIZED=FALSE&amp;VAR:CALENDAR=US&amp;VAR:SYMBOL=G0129K10&amp;VAR:INDEX=0"}</definedName>
    <definedName name="_7609__FDSAUDITLINK__" localSheetId="6" hidden="1">{"fdsup://directions/FAT Viewer?action=UPDATE&amp;creator=factset&amp;DYN_ARGS=TRUE&amp;DOC_NAME=FAT:FQL_AUDITING_CLIENT_TEMPLATE.FAT&amp;display_string=Audit&amp;VAR:KEY=PONGTSDCFW&amp;VAR:QUERY=RkZfRUJJVERBX0lCKCdMVE1TJywzOTkzMik=&amp;WINDOW=FIRST_POPUP&amp;HEIGHT=450&amp;WIDTH=450&amp;START_MA","XIMIZED=FALSE&amp;VAR:CALENDAR=US&amp;VAR:SYMBOL=G0129K10&amp;VAR:INDEX=0"}</definedName>
    <definedName name="_7609__FDSAUDITLINK__" hidden="1">{"fdsup://directions/FAT Viewer?action=UPDATE&amp;creator=factset&amp;DYN_ARGS=TRUE&amp;DOC_NAME=FAT:FQL_AUDITING_CLIENT_TEMPLATE.FAT&amp;display_string=Audit&amp;VAR:KEY=PONGTSDCFW&amp;VAR:QUERY=RkZfRUJJVERBX0lCKCdMVE1TJywzOTkzMik=&amp;WINDOW=FIRST_POPUP&amp;HEIGHT=450&amp;WIDTH=450&amp;START_MA","XIMIZED=FALSE&amp;VAR:CALENDAR=US&amp;VAR:SYMBOL=G0129K10&amp;VAR:INDEX=0"}</definedName>
    <definedName name="_761__FDSAUDITLINK__" localSheetId="6" hidden="1">{"fdsup://directions/FAT%20Viewer?VAR:PED=LTM&amp;VAR:AUDIT_MODE=SUMMARY&amp;VAR:PERIOD=FIXED&amp;VAR:AUDIT_ID=00000117&amp;VAR:DATE=20080122&amp;action=UPDATE&amp;creator=factset&amp;DOC_NAME=FAT:FMA_audit_SUMMARY.fat&amp;DISPLAY_STRING=Display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1__FDSAUDITLINK__" hidden="1">{"fdsup://directions/FAT%20Viewer?VAR:PED=LTM&amp;VAR:AUDIT_MODE=SUMMARY&amp;VAR:PERIOD=FIXED&amp;VAR:AUDIT_ID=00000117&amp;VAR:DATE=20080122&amp;action=UPDATE&amp;creator=factset&amp;DOC_NAME=FAT:FMA_audit_SUMMARY.fat&amp;DISPLAY_STRING=Display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10__FDSAUDITLINK__" localSheetId="6" hidden="1">{"fdsup://directions/FAT Viewer?action=UPDATE&amp;creator=factset&amp;DYN_ARGS=TRUE&amp;DOC_NAME=FAT:FQL_AUDITING_CLIENT_TEMPLATE.FAT&amp;display_string=Audit&amp;VAR:KEY=BWXQHIJQRO&amp;VAR:QUERY=RkZfRUJJVERBX0lCKCdMVE1TJywzOTkzMSk=&amp;WINDOW=FIRST_POPUP&amp;HEIGHT=450&amp;WIDTH=450&amp;START_MA","XIMIZED=FALSE&amp;VAR:CALENDAR=US&amp;VAR:SYMBOL=G0129K10&amp;VAR:INDEX=0"}</definedName>
    <definedName name="_7610__FDSAUDITLINK__" hidden="1">{"fdsup://directions/FAT Viewer?action=UPDATE&amp;creator=factset&amp;DYN_ARGS=TRUE&amp;DOC_NAME=FAT:FQL_AUDITING_CLIENT_TEMPLATE.FAT&amp;display_string=Audit&amp;VAR:KEY=BWXQHIJQRO&amp;VAR:QUERY=RkZfRUJJVERBX0lCKCdMVE1TJywzOTkzMSk=&amp;WINDOW=FIRST_POPUP&amp;HEIGHT=450&amp;WIDTH=450&amp;START_MA","XIMIZED=FALSE&amp;VAR:CALENDAR=US&amp;VAR:SYMBOL=G0129K10&amp;VAR:INDEX=0"}</definedName>
    <definedName name="_7611__FDSAUDITLINK__" localSheetId="6" hidden="1">{"fdsup://directions/FAT Viewer?action=UPDATE&amp;creator=factset&amp;DYN_ARGS=TRUE&amp;DOC_NAME=FAT:FQL_AUDITING_CLIENT_TEMPLATE.FAT&amp;display_string=Audit&amp;VAR:KEY=JEFAVQVGBY&amp;VAR:QUERY=RkZfRUJJVERBX0lCKCdMVE1TJywzOTkzMCk=&amp;WINDOW=FIRST_POPUP&amp;HEIGHT=450&amp;WIDTH=450&amp;START_MA","XIMIZED=FALSE&amp;VAR:CALENDAR=US&amp;VAR:SYMBOL=G0129K10&amp;VAR:INDEX=0"}</definedName>
    <definedName name="_7611__FDSAUDITLINK__" hidden="1">{"fdsup://directions/FAT Viewer?action=UPDATE&amp;creator=factset&amp;DYN_ARGS=TRUE&amp;DOC_NAME=FAT:FQL_AUDITING_CLIENT_TEMPLATE.FAT&amp;display_string=Audit&amp;VAR:KEY=JEFAVQVGBY&amp;VAR:QUERY=RkZfRUJJVERBX0lCKCdMVE1TJywzOTkzMCk=&amp;WINDOW=FIRST_POPUP&amp;HEIGHT=450&amp;WIDTH=450&amp;START_MA","XIMIZED=FALSE&amp;VAR:CALENDAR=US&amp;VAR:SYMBOL=G0129K10&amp;VAR:INDEX=0"}</definedName>
    <definedName name="_7612__FDSAUDITLINK__" localSheetId="6" hidden="1">{"fdsup://directions/FAT Viewer?action=UPDATE&amp;creator=factset&amp;DYN_ARGS=TRUE&amp;DOC_NAME=FAT:FQL_AUDITING_CLIENT_TEMPLATE.FAT&amp;display_string=Audit&amp;VAR:KEY=PGFEFEZSJG&amp;VAR:QUERY=RkZfRUJJVERBX0lCKCdMVE1TJywzOTkyOSk=&amp;WINDOW=FIRST_POPUP&amp;HEIGHT=450&amp;WIDTH=450&amp;START_MA","XIMIZED=FALSE&amp;VAR:CALENDAR=US&amp;VAR:SYMBOL=G0129K10&amp;VAR:INDEX=0"}</definedName>
    <definedName name="_7612__FDSAUDITLINK__" hidden="1">{"fdsup://directions/FAT Viewer?action=UPDATE&amp;creator=factset&amp;DYN_ARGS=TRUE&amp;DOC_NAME=FAT:FQL_AUDITING_CLIENT_TEMPLATE.FAT&amp;display_string=Audit&amp;VAR:KEY=PGFEFEZSJG&amp;VAR:QUERY=RkZfRUJJVERBX0lCKCdMVE1TJywzOTkyOSk=&amp;WINDOW=FIRST_POPUP&amp;HEIGHT=450&amp;WIDTH=450&amp;START_MA","XIMIZED=FALSE&amp;VAR:CALENDAR=US&amp;VAR:SYMBOL=G0129K10&amp;VAR:INDEX=0"}</definedName>
    <definedName name="_7613__FDSAUDITLINK__" localSheetId="6" hidden="1">{"fdsup://directions/FAT Viewer?action=UPDATE&amp;creator=factset&amp;DYN_ARGS=TRUE&amp;DOC_NAME=FAT:FQL_AUDITING_CLIENT_TEMPLATE.FAT&amp;display_string=Audit&amp;VAR:KEY=BIDATOJGHS&amp;VAR:QUERY=RkZfRUJJVERBX0lCKCdMVE1TJywzOTkyOCk=&amp;WINDOW=FIRST_POPUP&amp;HEIGHT=450&amp;WIDTH=450&amp;START_MA","XIMIZED=FALSE&amp;VAR:CALENDAR=US&amp;VAR:SYMBOL=G0129K10&amp;VAR:INDEX=0"}</definedName>
    <definedName name="_7613__FDSAUDITLINK__" hidden="1">{"fdsup://directions/FAT Viewer?action=UPDATE&amp;creator=factset&amp;DYN_ARGS=TRUE&amp;DOC_NAME=FAT:FQL_AUDITING_CLIENT_TEMPLATE.FAT&amp;display_string=Audit&amp;VAR:KEY=BIDATOJGHS&amp;VAR:QUERY=RkZfRUJJVERBX0lCKCdMVE1TJywzOTkyOCk=&amp;WINDOW=FIRST_POPUP&amp;HEIGHT=450&amp;WIDTH=450&amp;START_MA","XIMIZED=FALSE&amp;VAR:CALENDAR=US&amp;VAR:SYMBOL=G0129K10&amp;VAR:INDEX=0"}</definedName>
    <definedName name="_7614__FDSAUDITLINK__" localSheetId="6" hidden="1">{"fdsup://directions/FAT Viewer?action=UPDATE&amp;creator=factset&amp;DYN_ARGS=TRUE&amp;DOC_NAME=FAT:FQL_AUDITING_CLIENT_TEMPLATE.FAT&amp;display_string=Audit&amp;VAR:KEY=FYVENYRCHE&amp;VAR:QUERY=RkZfRUJJVERBX0lCKCdMVE1TJywzOTkyNyk=&amp;WINDOW=FIRST_POPUP&amp;HEIGHT=450&amp;WIDTH=450&amp;START_MA","XIMIZED=FALSE&amp;VAR:CALENDAR=US&amp;VAR:SYMBOL=G0129K10&amp;VAR:INDEX=0"}</definedName>
    <definedName name="_7614__FDSAUDITLINK__" hidden="1">{"fdsup://directions/FAT Viewer?action=UPDATE&amp;creator=factset&amp;DYN_ARGS=TRUE&amp;DOC_NAME=FAT:FQL_AUDITING_CLIENT_TEMPLATE.FAT&amp;display_string=Audit&amp;VAR:KEY=FYVENYRCHE&amp;VAR:QUERY=RkZfRUJJVERBX0lCKCdMVE1TJywzOTkyNyk=&amp;WINDOW=FIRST_POPUP&amp;HEIGHT=450&amp;WIDTH=450&amp;START_MA","XIMIZED=FALSE&amp;VAR:CALENDAR=US&amp;VAR:SYMBOL=G0129K10&amp;VAR:INDEX=0"}</definedName>
    <definedName name="_7615__FDSAUDITLINK__" localSheetId="6" hidden="1">{"fdsup://directions/FAT Viewer?action=UPDATE&amp;creator=factset&amp;DYN_ARGS=TRUE&amp;DOC_NAME=FAT:FQL_AUDITING_CLIENT_TEMPLATE.FAT&amp;display_string=Audit&amp;VAR:KEY=RKHYBELGNC&amp;VAR:QUERY=RkZfRUJJVERBX0lCKCdMVE1TJywzOTkyNik=&amp;WINDOW=FIRST_POPUP&amp;HEIGHT=450&amp;WIDTH=450&amp;START_MA","XIMIZED=FALSE&amp;VAR:CALENDAR=US&amp;VAR:SYMBOL=G0129K10&amp;VAR:INDEX=0"}</definedName>
    <definedName name="_7615__FDSAUDITLINK__" hidden="1">{"fdsup://directions/FAT Viewer?action=UPDATE&amp;creator=factset&amp;DYN_ARGS=TRUE&amp;DOC_NAME=FAT:FQL_AUDITING_CLIENT_TEMPLATE.FAT&amp;display_string=Audit&amp;VAR:KEY=RKHYBELGNC&amp;VAR:QUERY=RkZfRUJJVERBX0lCKCdMVE1TJywzOTkyNik=&amp;WINDOW=FIRST_POPUP&amp;HEIGHT=450&amp;WIDTH=450&amp;START_MA","XIMIZED=FALSE&amp;VAR:CALENDAR=US&amp;VAR:SYMBOL=G0129K10&amp;VAR:INDEX=0"}</definedName>
    <definedName name="_7616__FDSAUDITLINK__" localSheetId="6" hidden="1">{"fdsup://directions/FAT Viewer?action=UPDATE&amp;creator=factset&amp;DYN_ARGS=TRUE&amp;DOC_NAME=FAT:FQL_AUDITING_CLIENT_TEMPLATE.FAT&amp;display_string=Audit&amp;VAR:KEY=ZGVALMFEJW&amp;VAR:QUERY=RkZfRUJJVERBX0lCKCdMVE1TJywzOTkyNSk=&amp;WINDOW=FIRST_POPUP&amp;HEIGHT=450&amp;WIDTH=450&amp;START_MA","XIMIZED=FALSE&amp;VAR:CALENDAR=US&amp;VAR:SYMBOL=G0129K10&amp;VAR:INDEX=0"}</definedName>
    <definedName name="_7616__FDSAUDITLINK__" hidden="1">{"fdsup://directions/FAT Viewer?action=UPDATE&amp;creator=factset&amp;DYN_ARGS=TRUE&amp;DOC_NAME=FAT:FQL_AUDITING_CLIENT_TEMPLATE.FAT&amp;display_string=Audit&amp;VAR:KEY=ZGVALMFEJW&amp;VAR:QUERY=RkZfRUJJVERBX0lCKCdMVE1TJywzOTkyNSk=&amp;WINDOW=FIRST_POPUP&amp;HEIGHT=450&amp;WIDTH=450&amp;START_MA","XIMIZED=FALSE&amp;VAR:CALENDAR=US&amp;VAR:SYMBOL=G0129K10&amp;VAR:INDEX=0"}</definedName>
    <definedName name="_7617__FDSAUDITLINK__" localSheetId="6" hidden="1">{"fdsup://directions/FAT Viewer?action=UPDATE&amp;creator=factset&amp;DYN_ARGS=TRUE&amp;DOC_NAME=FAT:FQL_AUDITING_CLIENT_TEMPLATE.FAT&amp;display_string=Audit&amp;VAR:KEY=ZGVGZGDQBK&amp;VAR:QUERY=RkZfRUJJVERBX0lCKCdMVE1TJywzOTkyNCk=&amp;WINDOW=FIRST_POPUP&amp;HEIGHT=450&amp;WIDTH=450&amp;START_MA","XIMIZED=FALSE&amp;VAR:CALENDAR=US&amp;VAR:SYMBOL=G0129K10&amp;VAR:INDEX=0"}</definedName>
    <definedName name="_7617__FDSAUDITLINK__" hidden="1">{"fdsup://directions/FAT Viewer?action=UPDATE&amp;creator=factset&amp;DYN_ARGS=TRUE&amp;DOC_NAME=FAT:FQL_AUDITING_CLIENT_TEMPLATE.FAT&amp;display_string=Audit&amp;VAR:KEY=ZGVGZGDQBK&amp;VAR:QUERY=RkZfRUJJVERBX0lCKCdMVE1TJywzOTkyNCk=&amp;WINDOW=FIRST_POPUP&amp;HEIGHT=450&amp;WIDTH=450&amp;START_MA","XIMIZED=FALSE&amp;VAR:CALENDAR=US&amp;VAR:SYMBOL=G0129K10&amp;VAR:INDEX=0"}</definedName>
    <definedName name="_7618__FDSAUDITLINK__" localSheetId="6" hidden="1">{"fdsup://directions/FAT Viewer?action=UPDATE&amp;creator=factset&amp;DYN_ARGS=TRUE&amp;DOC_NAME=FAT:FQL_AUDITING_CLIENT_TEMPLATE.FAT&amp;display_string=Audit&amp;VAR:KEY=FQLOZMTEHW&amp;VAR:QUERY=RkZfRUJJVERBX0lCKCdMVE1TJywzOTkyMyk=&amp;WINDOW=FIRST_POPUP&amp;HEIGHT=450&amp;WIDTH=450&amp;START_MA","XIMIZED=FALSE&amp;VAR:CALENDAR=US&amp;VAR:SYMBOL=G0129K10&amp;VAR:INDEX=0"}</definedName>
    <definedName name="_7618__FDSAUDITLINK__" hidden="1">{"fdsup://directions/FAT Viewer?action=UPDATE&amp;creator=factset&amp;DYN_ARGS=TRUE&amp;DOC_NAME=FAT:FQL_AUDITING_CLIENT_TEMPLATE.FAT&amp;display_string=Audit&amp;VAR:KEY=FQLOZMTEHW&amp;VAR:QUERY=RkZfRUJJVERBX0lCKCdMVE1TJywzOTkyMyk=&amp;WINDOW=FIRST_POPUP&amp;HEIGHT=450&amp;WIDTH=450&amp;START_MA","XIMIZED=FALSE&amp;VAR:CALENDAR=US&amp;VAR:SYMBOL=G0129K10&amp;VAR:INDEX=0"}</definedName>
    <definedName name="_7619__FDSAUDITLINK__" localSheetId="6" hidden="1">{"fdsup://directions/FAT Viewer?action=UPDATE&amp;creator=factset&amp;DYN_ARGS=TRUE&amp;DOC_NAME=FAT:FQL_AUDITING_CLIENT_TEMPLATE.FAT&amp;display_string=Audit&amp;VAR:KEY=JUBKZGHORA&amp;VAR:QUERY=RkZfRUJJVERBX0lCKCdMVE1TJywzOTkyMik=&amp;WINDOW=FIRST_POPUP&amp;HEIGHT=450&amp;WIDTH=450&amp;START_MA","XIMIZED=FALSE&amp;VAR:CALENDAR=US&amp;VAR:SYMBOL=G0129K10&amp;VAR:INDEX=0"}</definedName>
    <definedName name="_7619__FDSAUDITLINK__" hidden="1">{"fdsup://directions/FAT Viewer?action=UPDATE&amp;creator=factset&amp;DYN_ARGS=TRUE&amp;DOC_NAME=FAT:FQL_AUDITING_CLIENT_TEMPLATE.FAT&amp;display_string=Audit&amp;VAR:KEY=JUBKZGHORA&amp;VAR:QUERY=RkZfRUJJVERBX0lCKCdMVE1TJywzOTkyMik=&amp;WINDOW=FIRST_POPUP&amp;HEIGHT=450&amp;WIDTH=450&amp;START_MA","XIMIZED=FALSE&amp;VAR:CALENDAR=US&amp;VAR:SYMBOL=G0129K10&amp;VAR:INDEX=0"}</definedName>
    <definedName name="_762__FDSAUDITLINK__" localSheetId="6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2__FDSAUDITLINK__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20__FDSAUDITLINK__" localSheetId="6" hidden="1">{"fdsup://directions/FAT Viewer?action=UPDATE&amp;creator=factset&amp;DYN_ARGS=TRUE&amp;DOC_NAME=FAT:FQL_AUDITING_CLIENT_TEMPLATE.FAT&amp;display_string=Audit&amp;VAR:KEY=LCZMBMFCDQ&amp;VAR:QUERY=RkZfRUJJVERBX0lCKCdMVE1TJywzOTkyMSk=&amp;WINDOW=FIRST_POPUP&amp;HEIGHT=450&amp;WIDTH=450&amp;START_MA","XIMIZED=FALSE&amp;VAR:CALENDAR=US&amp;VAR:SYMBOL=G0129K10&amp;VAR:INDEX=0"}</definedName>
    <definedName name="_7620__FDSAUDITLINK__" hidden="1">{"fdsup://directions/FAT Viewer?action=UPDATE&amp;creator=factset&amp;DYN_ARGS=TRUE&amp;DOC_NAME=FAT:FQL_AUDITING_CLIENT_TEMPLATE.FAT&amp;display_string=Audit&amp;VAR:KEY=LCZMBMFCDQ&amp;VAR:QUERY=RkZfRUJJVERBX0lCKCdMVE1TJywzOTkyMSk=&amp;WINDOW=FIRST_POPUP&amp;HEIGHT=450&amp;WIDTH=450&amp;START_MA","XIMIZED=FALSE&amp;VAR:CALENDAR=US&amp;VAR:SYMBOL=G0129K10&amp;VAR:INDEX=0"}</definedName>
    <definedName name="_7621__FDSAUDITLINK__" localSheetId="6" hidden="1">{"fdsup://directions/FAT Viewer?action=UPDATE&amp;creator=factset&amp;DYN_ARGS=TRUE&amp;DOC_NAME=FAT:FQL_AUDITING_CLIENT_TEMPLATE.FAT&amp;display_string=Audit&amp;VAR:KEY=PILIJQTMTA&amp;VAR:QUERY=RkZfRUJJVERBX0lCKCdMVE1TJywzOTkyMCk=&amp;WINDOW=FIRST_POPUP&amp;HEIGHT=450&amp;WIDTH=450&amp;START_MA","XIMIZED=FALSE&amp;VAR:CALENDAR=US&amp;VAR:SYMBOL=G0129K10&amp;VAR:INDEX=0"}</definedName>
    <definedName name="_7621__FDSAUDITLINK__" hidden="1">{"fdsup://directions/FAT Viewer?action=UPDATE&amp;creator=factset&amp;DYN_ARGS=TRUE&amp;DOC_NAME=FAT:FQL_AUDITING_CLIENT_TEMPLATE.FAT&amp;display_string=Audit&amp;VAR:KEY=PILIJQTMTA&amp;VAR:QUERY=RkZfRUJJVERBX0lCKCdMVE1TJywzOTkyMCk=&amp;WINDOW=FIRST_POPUP&amp;HEIGHT=450&amp;WIDTH=450&amp;START_MA","XIMIZED=FALSE&amp;VAR:CALENDAR=US&amp;VAR:SYMBOL=G0129K10&amp;VAR:INDEX=0"}</definedName>
    <definedName name="_7622__FDSAUDITLINK__" localSheetId="6" hidden="1">{"fdsup://directions/FAT Viewer?action=UPDATE&amp;creator=factset&amp;DYN_ARGS=TRUE&amp;DOC_NAME=FAT:FQL_AUDITING_CLIENT_TEMPLATE.FAT&amp;display_string=Audit&amp;VAR:KEY=RGDAXWRSLE&amp;VAR:QUERY=RkZfRUJJVERBX0lCKCdMVE1TJywzOTkxOSk=&amp;WINDOW=FIRST_POPUP&amp;HEIGHT=450&amp;WIDTH=450&amp;START_MA","XIMIZED=FALSE&amp;VAR:CALENDAR=US&amp;VAR:SYMBOL=G0129K10&amp;VAR:INDEX=0"}</definedName>
    <definedName name="_7622__FDSAUDITLINK__" hidden="1">{"fdsup://directions/FAT Viewer?action=UPDATE&amp;creator=factset&amp;DYN_ARGS=TRUE&amp;DOC_NAME=FAT:FQL_AUDITING_CLIENT_TEMPLATE.FAT&amp;display_string=Audit&amp;VAR:KEY=RGDAXWRSLE&amp;VAR:QUERY=RkZfRUJJVERBX0lCKCdMVE1TJywzOTkxOSk=&amp;WINDOW=FIRST_POPUP&amp;HEIGHT=450&amp;WIDTH=450&amp;START_MA","XIMIZED=FALSE&amp;VAR:CALENDAR=US&amp;VAR:SYMBOL=G0129K10&amp;VAR:INDEX=0"}</definedName>
    <definedName name="_7623__FDSAUDITLINK__" localSheetId="6" hidden="1">{"fdsup://directions/FAT Viewer?action=UPDATE&amp;creator=factset&amp;DYN_ARGS=TRUE&amp;DOC_NAME=FAT:FQL_AUDITING_CLIENT_TEMPLATE.FAT&amp;display_string=Audit&amp;VAR:KEY=XOXYDGDALQ&amp;VAR:QUERY=RkZfRUJJVERBX0lCKCdMVE1TJywzOTkxOCk=&amp;WINDOW=FIRST_POPUP&amp;HEIGHT=450&amp;WIDTH=450&amp;START_MA","XIMIZED=FALSE&amp;VAR:CALENDAR=US&amp;VAR:SYMBOL=G0129K10&amp;VAR:INDEX=0"}</definedName>
    <definedName name="_7623__FDSAUDITLINK__" hidden="1">{"fdsup://directions/FAT Viewer?action=UPDATE&amp;creator=factset&amp;DYN_ARGS=TRUE&amp;DOC_NAME=FAT:FQL_AUDITING_CLIENT_TEMPLATE.FAT&amp;display_string=Audit&amp;VAR:KEY=XOXYDGDALQ&amp;VAR:QUERY=RkZfRUJJVERBX0lCKCdMVE1TJywzOTkxOCk=&amp;WINDOW=FIRST_POPUP&amp;HEIGHT=450&amp;WIDTH=450&amp;START_MA","XIMIZED=FALSE&amp;VAR:CALENDAR=US&amp;VAR:SYMBOL=G0129K10&amp;VAR:INDEX=0"}</definedName>
    <definedName name="_7624__FDSAUDITLINK__" localSheetId="6" hidden="1">{"fdsup://directions/FAT Viewer?action=UPDATE&amp;creator=factset&amp;DYN_ARGS=TRUE&amp;DOC_NAME=FAT:FQL_AUDITING_CLIENT_TEMPLATE.FAT&amp;display_string=Audit&amp;VAR:KEY=XSJKBEBEFE&amp;VAR:QUERY=RkZfRUJJVERBX0lCKCdMVE1TJywzOTkxNyk=&amp;WINDOW=FIRST_POPUP&amp;HEIGHT=450&amp;WIDTH=450&amp;START_MA","XIMIZED=FALSE&amp;VAR:CALENDAR=US&amp;VAR:SYMBOL=G0129K10&amp;VAR:INDEX=0"}</definedName>
    <definedName name="_7624__FDSAUDITLINK__" hidden="1">{"fdsup://directions/FAT Viewer?action=UPDATE&amp;creator=factset&amp;DYN_ARGS=TRUE&amp;DOC_NAME=FAT:FQL_AUDITING_CLIENT_TEMPLATE.FAT&amp;display_string=Audit&amp;VAR:KEY=XSJKBEBEFE&amp;VAR:QUERY=RkZfRUJJVERBX0lCKCdMVE1TJywzOTkxNyk=&amp;WINDOW=FIRST_POPUP&amp;HEIGHT=450&amp;WIDTH=450&amp;START_MA","XIMIZED=FALSE&amp;VAR:CALENDAR=US&amp;VAR:SYMBOL=G0129K10&amp;VAR:INDEX=0"}</definedName>
    <definedName name="_7625__FDSAUDITLINK__" localSheetId="6" hidden="1">{"fdsup://directions/FAT Viewer?action=UPDATE&amp;creator=factset&amp;DYN_ARGS=TRUE&amp;DOC_NAME=FAT:FQL_AUDITING_CLIENT_TEMPLATE.FAT&amp;display_string=Audit&amp;VAR:KEY=LURSTKROZY&amp;VAR:QUERY=RkZfRUJJVERBX0lCKCdMVE1TJywzOTkxNik=&amp;WINDOW=FIRST_POPUP&amp;HEIGHT=450&amp;WIDTH=450&amp;START_MA","XIMIZED=FALSE&amp;VAR:CALENDAR=US&amp;VAR:SYMBOL=G0129K10&amp;VAR:INDEX=0"}</definedName>
    <definedName name="_7625__FDSAUDITLINK__" hidden="1">{"fdsup://directions/FAT Viewer?action=UPDATE&amp;creator=factset&amp;DYN_ARGS=TRUE&amp;DOC_NAME=FAT:FQL_AUDITING_CLIENT_TEMPLATE.FAT&amp;display_string=Audit&amp;VAR:KEY=LURSTKROZY&amp;VAR:QUERY=RkZfRUJJVERBX0lCKCdMVE1TJywzOTkxNik=&amp;WINDOW=FIRST_POPUP&amp;HEIGHT=450&amp;WIDTH=450&amp;START_MA","XIMIZED=FALSE&amp;VAR:CALENDAR=US&amp;VAR:SYMBOL=G0129K10&amp;VAR:INDEX=0"}</definedName>
    <definedName name="_7626__FDSAUDITLINK__" localSheetId="6" hidden="1">{"fdsup://directions/FAT Viewer?action=UPDATE&amp;creator=factset&amp;DYN_ARGS=TRUE&amp;DOC_NAME=FAT:FQL_AUDITING_CLIENT_TEMPLATE.FAT&amp;display_string=Audit&amp;VAR:KEY=ZCJUDEHILE&amp;VAR:QUERY=RkZfRUJJVERBX0lCKCdMVE1TJywzOTkxNSk=&amp;WINDOW=FIRST_POPUP&amp;HEIGHT=450&amp;WIDTH=450&amp;START_MA","XIMIZED=FALSE&amp;VAR:CALENDAR=US&amp;VAR:SYMBOL=G0129K10&amp;VAR:INDEX=0"}</definedName>
    <definedName name="_7626__FDSAUDITLINK__" hidden="1">{"fdsup://directions/FAT Viewer?action=UPDATE&amp;creator=factset&amp;DYN_ARGS=TRUE&amp;DOC_NAME=FAT:FQL_AUDITING_CLIENT_TEMPLATE.FAT&amp;display_string=Audit&amp;VAR:KEY=ZCJUDEHILE&amp;VAR:QUERY=RkZfRUJJVERBX0lCKCdMVE1TJywzOTkxNSk=&amp;WINDOW=FIRST_POPUP&amp;HEIGHT=450&amp;WIDTH=450&amp;START_MA","XIMIZED=FALSE&amp;VAR:CALENDAR=US&amp;VAR:SYMBOL=G0129K10&amp;VAR:INDEX=0"}</definedName>
    <definedName name="_7627__FDSAUDITLINK__" localSheetId="6" hidden="1">{"fdsup://directions/FAT Viewer?action=UPDATE&amp;creator=factset&amp;DYN_ARGS=TRUE&amp;DOC_NAME=FAT:FQL_AUDITING_CLIENT_TEMPLATE.FAT&amp;display_string=Audit&amp;VAR:KEY=XYFUDYHSRG&amp;VAR:QUERY=RkZfRUJJVERBX0lCKCdMVE1TJywzOTkxNCk=&amp;WINDOW=FIRST_POPUP&amp;HEIGHT=450&amp;WIDTH=450&amp;START_MA","XIMIZED=FALSE&amp;VAR:CALENDAR=US&amp;VAR:SYMBOL=G0129K10&amp;VAR:INDEX=0"}</definedName>
    <definedName name="_7627__FDSAUDITLINK__" hidden="1">{"fdsup://directions/FAT Viewer?action=UPDATE&amp;creator=factset&amp;DYN_ARGS=TRUE&amp;DOC_NAME=FAT:FQL_AUDITING_CLIENT_TEMPLATE.FAT&amp;display_string=Audit&amp;VAR:KEY=XYFUDYHSRG&amp;VAR:QUERY=RkZfRUJJVERBX0lCKCdMVE1TJywzOTkxNCk=&amp;WINDOW=FIRST_POPUP&amp;HEIGHT=450&amp;WIDTH=450&amp;START_MA","XIMIZED=FALSE&amp;VAR:CALENDAR=US&amp;VAR:SYMBOL=G0129K10&amp;VAR:INDEX=0"}</definedName>
    <definedName name="_7628__FDSAUDITLINK__" localSheetId="6" hidden="1">{"fdsup://directions/FAT Viewer?action=UPDATE&amp;creator=factset&amp;DYN_ARGS=TRUE&amp;DOC_NAME=FAT:FQL_AUDITING_CLIENT_TEMPLATE.FAT&amp;display_string=Audit&amp;VAR:KEY=FYFUNWFUXA&amp;VAR:QUERY=RkZfRUJJVERBX0lCKCdMVE1TJywzOTkxMyk=&amp;WINDOW=FIRST_POPUP&amp;HEIGHT=450&amp;WIDTH=450&amp;START_MA","XIMIZED=FALSE&amp;VAR:CALENDAR=US&amp;VAR:SYMBOL=G0129K10&amp;VAR:INDEX=0"}</definedName>
    <definedName name="_7628__FDSAUDITLINK__" hidden="1">{"fdsup://directions/FAT Viewer?action=UPDATE&amp;creator=factset&amp;DYN_ARGS=TRUE&amp;DOC_NAME=FAT:FQL_AUDITING_CLIENT_TEMPLATE.FAT&amp;display_string=Audit&amp;VAR:KEY=FYFUNWFUXA&amp;VAR:QUERY=RkZfRUJJVERBX0lCKCdMVE1TJywzOTkxMyk=&amp;WINDOW=FIRST_POPUP&amp;HEIGHT=450&amp;WIDTH=450&amp;START_MA","XIMIZED=FALSE&amp;VAR:CALENDAR=US&amp;VAR:SYMBOL=G0129K10&amp;VAR:INDEX=0"}</definedName>
    <definedName name="_7629__FDSAUDITLINK__" localSheetId="6" hidden="1">{"fdsup://directions/FAT Viewer?action=UPDATE&amp;creator=factset&amp;DYN_ARGS=TRUE&amp;DOC_NAME=FAT:FQL_AUDITING_CLIENT_TEMPLATE.FAT&amp;display_string=Audit&amp;VAR:KEY=TYPIBSDELA&amp;VAR:QUERY=RkZfRUJJVERBX0lCKCdMVE1TJywzOTkxMik=&amp;WINDOW=FIRST_POPUP&amp;HEIGHT=450&amp;WIDTH=450&amp;START_MA","XIMIZED=FALSE&amp;VAR:CALENDAR=US&amp;VAR:SYMBOL=G0129K10&amp;VAR:INDEX=0"}</definedName>
    <definedName name="_7629__FDSAUDITLINK__" hidden="1">{"fdsup://directions/FAT Viewer?action=UPDATE&amp;creator=factset&amp;DYN_ARGS=TRUE&amp;DOC_NAME=FAT:FQL_AUDITING_CLIENT_TEMPLATE.FAT&amp;display_string=Audit&amp;VAR:KEY=TYPIBSDELA&amp;VAR:QUERY=RkZfRUJJVERBX0lCKCdMVE1TJywzOTkxMik=&amp;WINDOW=FIRST_POPUP&amp;HEIGHT=450&amp;WIDTH=450&amp;START_MA","XIMIZED=FALSE&amp;VAR:CALENDAR=US&amp;VAR:SYMBOL=G0129K10&amp;VAR:INDEX=0"}</definedName>
    <definedName name="_763__FDSAUDITLINK__" localSheetId="6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3__FDSAUDITLINK__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30__FDSAUDITLINK__" localSheetId="6" hidden="1">{"fdsup://directions/FAT Viewer?action=UPDATE&amp;creator=factset&amp;DYN_ARGS=TRUE&amp;DOC_NAME=FAT:FQL_AUDITING_CLIENT_TEMPLATE.FAT&amp;display_string=Audit&amp;VAR:KEY=FGBYVCDQVY&amp;VAR:QUERY=RkZfRUJJVERBX0lCKCdMVE1TJywzOTkxMSk=&amp;WINDOW=FIRST_POPUP&amp;HEIGHT=450&amp;WIDTH=450&amp;START_MA","XIMIZED=FALSE&amp;VAR:CALENDAR=US&amp;VAR:SYMBOL=G0129K10&amp;VAR:INDEX=0"}</definedName>
    <definedName name="_7630__FDSAUDITLINK__" hidden="1">{"fdsup://directions/FAT Viewer?action=UPDATE&amp;creator=factset&amp;DYN_ARGS=TRUE&amp;DOC_NAME=FAT:FQL_AUDITING_CLIENT_TEMPLATE.FAT&amp;display_string=Audit&amp;VAR:KEY=FGBYVCDQVY&amp;VAR:QUERY=RkZfRUJJVERBX0lCKCdMVE1TJywzOTkxMSk=&amp;WINDOW=FIRST_POPUP&amp;HEIGHT=450&amp;WIDTH=450&amp;START_MA","XIMIZED=FALSE&amp;VAR:CALENDAR=US&amp;VAR:SYMBOL=G0129K10&amp;VAR:INDEX=0"}</definedName>
    <definedName name="_7631__FDSAUDITLINK__" localSheetId="6" hidden="1">{"fdsup://directions/FAT Viewer?action=UPDATE&amp;creator=factset&amp;DYN_ARGS=TRUE&amp;DOC_NAME=FAT:FQL_AUDITING_CLIENT_TEMPLATE.FAT&amp;display_string=Audit&amp;VAR:KEY=FQBGFOVMNO&amp;VAR:QUERY=RkZfRUJJVERBX0lCKCdMVE1TJywzOTkxMCk=&amp;WINDOW=FIRST_POPUP&amp;HEIGHT=450&amp;WIDTH=450&amp;START_MA","XIMIZED=FALSE&amp;VAR:CALENDAR=US&amp;VAR:SYMBOL=G0129K10&amp;VAR:INDEX=0"}</definedName>
    <definedName name="_7631__FDSAUDITLINK__" hidden="1">{"fdsup://directions/FAT Viewer?action=UPDATE&amp;creator=factset&amp;DYN_ARGS=TRUE&amp;DOC_NAME=FAT:FQL_AUDITING_CLIENT_TEMPLATE.FAT&amp;display_string=Audit&amp;VAR:KEY=FQBGFOVMNO&amp;VAR:QUERY=RkZfRUJJVERBX0lCKCdMVE1TJywzOTkxMCk=&amp;WINDOW=FIRST_POPUP&amp;HEIGHT=450&amp;WIDTH=450&amp;START_MA","XIMIZED=FALSE&amp;VAR:CALENDAR=US&amp;VAR:SYMBOL=G0129K10&amp;VAR:INDEX=0"}</definedName>
    <definedName name="_7632__FDSAUDITLINK__" localSheetId="6" hidden="1">{"fdsup://directions/FAT Viewer?action=UPDATE&amp;creator=factset&amp;DYN_ARGS=TRUE&amp;DOC_NAME=FAT:FQL_AUDITING_CLIENT_TEMPLATE.FAT&amp;display_string=Audit&amp;VAR:KEY=VWXMHQTYDQ&amp;VAR:QUERY=RkZfRUJJVERBX0lCKCdMVE1TJywzOTkwOSk=&amp;WINDOW=FIRST_POPUP&amp;HEIGHT=450&amp;WIDTH=450&amp;START_MA","XIMIZED=FALSE&amp;VAR:CALENDAR=US&amp;VAR:SYMBOL=G0129K10&amp;VAR:INDEX=0"}</definedName>
    <definedName name="_7632__FDSAUDITLINK__" hidden="1">{"fdsup://directions/FAT Viewer?action=UPDATE&amp;creator=factset&amp;DYN_ARGS=TRUE&amp;DOC_NAME=FAT:FQL_AUDITING_CLIENT_TEMPLATE.FAT&amp;display_string=Audit&amp;VAR:KEY=VWXMHQTYDQ&amp;VAR:QUERY=RkZfRUJJVERBX0lCKCdMVE1TJywzOTkwOSk=&amp;WINDOW=FIRST_POPUP&amp;HEIGHT=450&amp;WIDTH=450&amp;START_MA","XIMIZED=FALSE&amp;VAR:CALENDAR=US&amp;VAR:SYMBOL=G0129K10&amp;VAR:INDEX=0"}</definedName>
    <definedName name="_7633__FDSAUDITLINK__" localSheetId="6" hidden="1">{"fdsup://directions/FAT Viewer?action=UPDATE&amp;creator=factset&amp;DYN_ARGS=TRUE&amp;DOC_NAME=FAT:FQL_AUDITING_CLIENT_TEMPLATE.FAT&amp;display_string=Audit&amp;VAR:KEY=DYTAVYZSBW&amp;VAR:QUERY=RkZfRUJJVERBX0lCKCdMVE1TJywzOTkwOCk=&amp;WINDOW=FIRST_POPUP&amp;HEIGHT=450&amp;WIDTH=450&amp;START_MA","XIMIZED=FALSE&amp;VAR:CALENDAR=US&amp;VAR:SYMBOL=G0129K10&amp;VAR:INDEX=0"}</definedName>
    <definedName name="_7633__FDSAUDITLINK__" hidden="1">{"fdsup://directions/FAT Viewer?action=UPDATE&amp;creator=factset&amp;DYN_ARGS=TRUE&amp;DOC_NAME=FAT:FQL_AUDITING_CLIENT_TEMPLATE.FAT&amp;display_string=Audit&amp;VAR:KEY=DYTAVYZSBW&amp;VAR:QUERY=RkZfRUJJVERBX0lCKCdMVE1TJywzOTkwOCk=&amp;WINDOW=FIRST_POPUP&amp;HEIGHT=450&amp;WIDTH=450&amp;START_MA","XIMIZED=FALSE&amp;VAR:CALENDAR=US&amp;VAR:SYMBOL=G0129K10&amp;VAR:INDEX=0"}</definedName>
    <definedName name="_7634__FDSAUDITLINK__" localSheetId="6" hidden="1">{"fdsup://directions/FAT Viewer?action=UPDATE&amp;creator=factset&amp;DYN_ARGS=TRUE&amp;DOC_NAME=FAT:FQL_AUDITING_CLIENT_TEMPLATE.FAT&amp;display_string=Audit&amp;VAR:KEY=FQXGXIJORY&amp;VAR:QUERY=RkZfRUJJVERBX0lCKCdMVE1TJywzOTkwNyk=&amp;WINDOW=FIRST_POPUP&amp;HEIGHT=450&amp;WIDTH=450&amp;START_MA","XIMIZED=FALSE&amp;VAR:CALENDAR=US&amp;VAR:SYMBOL=G0129K10&amp;VAR:INDEX=0"}</definedName>
    <definedName name="_7634__FDSAUDITLINK__" hidden="1">{"fdsup://directions/FAT Viewer?action=UPDATE&amp;creator=factset&amp;DYN_ARGS=TRUE&amp;DOC_NAME=FAT:FQL_AUDITING_CLIENT_TEMPLATE.FAT&amp;display_string=Audit&amp;VAR:KEY=FQXGXIJORY&amp;VAR:QUERY=RkZfRUJJVERBX0lCKCdMVE1TJywzOTkwNyk=&amp;WINDOW=FIRST_POPUP&amp;HEIGHT=450&amp;WIDTH=450&amp;START_MA","XIMIZED=FALSE&amp;VAR:CALENDAR=US&amp;VAR:SYMBOL=G0129K10&amp;VAR:INDEX=0"}</definedName>
    <definedName name="_7635__FDSAUDITLINK__" localSheetId="6" hidden="1">{"fdsup://directions/FAT Viewer?action=UPDATE&amp;creator=factset&amp;DYN_ARGS=TRUE&amp;DOC_NAME=FAT:FQL_AUDITING_CLIENT_TEMPLATE.FAT&amp;display_string=Audit&amp;VAR:KEY=FSXSJKVWBE&amp;VAR:QUERY=RkZfRUJJVERBX0lCKCdMVE1TJywzOTkwNik=&amp;WINDOW=FIRST_POPUP&amp;HEIGHT=450&amp;WIDTH=450&amp;START_MA","XIMIZED=FALSE&amp;VAR:CALENDAR=US&amp;VAR:SYMBOL=G0129K10&amp;VAR:INDEX=0"}</definedName>
    <definedName name="_7635__FDSAUDITLINK__" hidden="1">{"fdsup://directions/FAT Viewer?action=UPDATE&amp;creator=factset&amp;DYN_ARGS=TRUE&amp;DOC_NAME=FAT:FQL_AUDITING_CLIENT_TEMPLATE.FAT&amp;display_string=Audit&amp;VAR:KEY=FSXSJKVWBE&amp;VAR:QUERY=RkZfRUJJVERBX0lCKCdMVE1TJywzOTkwNik=&amp;WINDOW=FIRST_POPUP&amp;HEIGHT=450&amp;WIDTH=450&amp;START_MA","XIMIZED=FALSE&amp;VAR:CALENDAR=US&amp;VAR:SYMBOL=G0129K10&amp;VAR:INDEX=0"}</definedName>
    <definedName name="_7636__FDSAUDITLINK__" localSheetId="6" hidden="1">{"fdsup://directions/FAT Viewer?action=UPDATE&amp;creator=factset&amp;DYN_ARGS=TRUE&amp;DOC_NAME=FAT:FQL_AUDITING_CLIENT_TEMPLATE.FAT&amp;display_string=Audit&amp;VAR:KEY=RKFAPQZURE&amp;VAR:QUERY=RkZfRUJJVERBX0lCKCdMVE1TJywzOTkwNSk=&amp;WINDOW=FIRST_POPUP&amp;HEIGHT=450&amp;WIDTH=450&amp;START_MA","XIMIZED=FALSE&amp;VAR:CALENDAR=US&amp;VAR:SYMBOL=G0129K10&amp;VAR:INDEX=0"}</definedName>
    <definedName name="_7636__FDSAUDITLINK__" hidden="1">{"fdsup://directions/FAT Viewer?action=UPDATE&amp;creator=factset&amp;DYN_ARGS=TRUE&amp;DOC_NAME=FAT:FQL_AUDITING_CLIENT_TEMPLATE.FAT&amp;display_string=Audit&amp;VAR:KEY=RKFAPQZURE&amp;VAR:QUERY=RkZfRUJJVERBX0lCKCdMVE1TJywzOTkwNSk=&amp;WINDOW=FIRST_POPUP&amp;HEIGHT=450&amp;WIDTH=450&amp;START_MA","XIMIZED=FALSE&amp;VAR:CALENDAR=US&amp;VAR:SYMBOL=G0129K10&amp;VAR:INDEX=0"}</definedName>
    <definedName name="_7637__FDSAUDITLINK__" localSheetId="6" hidden="1">{"fdsup://directions/FAT Viewer?action=UPDATE&amp;creator=factset&amp;DYN_ARGS=TRUE&amp;DOC_NAME=FAT:FQL_AUDITING_CLIENT_TEMPLATE.FAT&amp;display_string=Audit&amp;VAR:KEY=POZYNSLYXC&amp;VAR:QUERY=RkZfRUJJVERBX0lCKCdMVE1TJywzOTkwNCk=&amp;WINDOW=FIRST_POPUP&amp;HEIGHT=450&amp;WIDTH=450&amp;START_MA","XIMIZED=FALSE&amp;VAR:CALENDAR=US&amp;VAR:SYMBOL=G0129K10&amp;VAR:INDEX=0"}</definedName>
    <definedName name="_7637__FDSAUDITLINK__" hidden="1">{"fdsup://directions/FAT Viewer?action=UPDATE&amp;creator=factset&amp;DYN_ARGS=TRUE&amp;DOC_NAME=FAT:FQL_AUDITING_CLIENT_TEMPLATE.FAT&amp;display_string=Audit&amp;VAR:KEY=POZYNSLYXC&amp;VAR:QUERY=RkZfRUJJVERBX0lCKCdMVE1TJywzOTkwNCk=&amp;WINDOW=FIRST_POPUP&amp;HEIGHT=450&amp;WIDTH=450&amp;START_MA","XIMIZED=FALSE&amp;VAR:CALENDAR=US&amp;VAR:SYMBOL=G0129K10&amp;VAR:INDEX=0"}</definedName>
    <definedName name="_7638__FDSAUDITLINK__" localSheetId="6" hidden="1">{"fdsup://directions/FAT Viewer?action=UPDATE&amp;creator=factset&amp;DYN_ARGS=TRUE&amp;DOC_NAME=FAT:FQL_AUDITING_CLIENT_TEMPLATE.FAT&amp;display_string=Audit&amp;VAR:KEY=HYDSPMJIJY&amp;VAR:QUERY=RkZfRUJJVERBX0lCKCdMVE1TJywzOTkwMyk=&amp;WINDOW=FIRST_POPUP&amp;HEIGHT=450&amp;WIDTH=450&amp;START_MA","XIMIZED=FALSE&amp;VAR:CALENDAR=US&amp;VAR:SYMBOL=G0129K10&amp;VAR:INDEX=0"}</definedName>
    <definedName name="_7638__FDSAUDITLINK__" hidden="1">{"fdsup://directions/FAT Viewer?action=UPDATE&amp;creator=factset&amp;DYN_ARGS=TRUE&amp;DOC_NAME=FAT:FQL_AUDITING_CLIENT_TEMPLATE.FAT&amp;display_string=Audit&amp;VAR:KEY=HYDSPMJIJY&amp;VAR:QUERY=RkZfRUJJVERBX0lCKCdMVE1TJywzOTkwMyk=&amp;WINDOW=FIRST_POPUP&amp;HEIGHT=450&amp;WIDTH=450&amp;START_MA","XIMIZED=FALSE&amp;VAR:CALENDAR=US&amp;VAR:SYMBOL=G0129K10&amp;VAR:INDEX=0"}</definedName>
    <definedName name="_7639__FDSAUDITLINK__" localSheetId="6" hidden="1">{"fdsup://directions/FAT Viewer?action=UPDATE&amp;creator=factset&amp;DYN_ARGS=TRUE&amp;DOC_NAME=FAT:FQL_AUDITING_CLIENT_TEMPLATE.FAT&amp;display_string=Audit&amp;VAR:KEY=PIVKXITUPC&amp;VAR:QUERY=RkZfRUJJVERBX0lCKCdMVE1TJywzOTkwMik=&amp;WINDOW=FIRST_POPUP&amp;HEIGHT=450&amp;WIDTH=450&amp;START_MA","XIMIZED=FALSE&amp;VAR:CALENDAR=US&amp;VAR:SYMBOL=G0129K10&amp;VAR:INDEX=0"}</definedName>
    <definedName name="_7639__FDSAUDITLINK__" hidden="1">{"fdsup://directions/FAT Viewer?action=UPDATE&amp;creator=factset&amp;DYN_ARGS=TRUE&amp;DOC_NAME=FAT:FQL_AUDITING_CLIENT_TEMPLATE.FAT&amp;display_string=Audit&amp;VAR:KEY=PIVKXITUPC&amp;VAR:QUERY=RkZfRUJJVERBX0lCKCdMVE1TJywzOTkwMik=&amp;WINDOW=FIRST_POPUP&amp;HEIGHT=450&amp;WIDTH=450&amp;START_MA","XIMIZED=FALSE&amp;VAR:CALENDAR=US&amp;VAR:SYMBOL=G0129K10&amp;VAR:INDEX=0"}</definedName>
    <definedName name="_764__FDSAUDITLINK__" localSheetId="6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4__FDSAUDITLINK__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40__FDSAUDITLINK__" localSheetId="6" hidden="1">{"fdsup://directions/FAT Viewer?action=UPDATE&amp;creator=factset&amp;DYN_ARGS=TRUE&amp;DOC_NAME=FAT:FQL_AUDITING_CLIENT_TEMPLATE.FAT&amp;display_string=Audit&amp;VAR:KEY=DIVQBGTILA&amp;VAR:QUERY=RkZfRUJJVERBX0lCKCdMVE1TJywzOTkwMSk=&amp;WINDOW=FIRST_POPUP&amp;HEIGHT=450&amp;WIDTH=450&amp;START_MA","XIMIZED=FALSE&amp;VAR:CALENDAR=US&amp;VAR:SYMBOL=G0129K10&amp;VAR:INDEX=0"}</definedName>
    <definedName name="_7640__FDSAUDITLINK__" hidden="1">{"fdsup://directions/FAT Viewer?action=UPDATE&amp;creator=factset&amp;DYN_ARGS=TRUE&amp;DOC_NAME=FAT:FQL_AUDITING_CLIENT_TEMPLATE.FAT&amp;display_string=Audit&amp;VAR:KEY=DIVQBGTILA&amp;VAR:QUERY=RkZfRUJJVERBX0lCKCdMVE1TJywzOTkwMSk=&amp;WINDOW=FIRST_POPUP&amp;HEIGHT=450&amp;WIDTH=450&amp;START_MA","XIMIZED=FALSE&amp;VAR:CALENDAR=US&amp;VAR:SYMBOL=G0129K10&amp;VAR:INDEX=0"}</definedName>
    <definedName name="_7641__FDSAUDITLINK__" localSheetId="6" hidden="1">{"fdsup://directions/FAT Viewer?action=UPDATE&amp;creator=factset&amp;DYN_ARGS=TRUE&amp;DOC_NAME=FAT:FQL_AUDITING_CLIENT_TEMPLATE.FAT&amp;display_string=Audit&amp;VAR:KEY=ZQBIZYPUTW&amp;VAR:QUERY=RkZfRUJJVERBX0lCKCdMVE1TJywzOTkwMCk=&amp;WINDOW=FIRST_POPUP&amp;HEIGHT=450&amp;WIDTH=450&amp;START_MA","XIMIZED=FALSE&amp;VAR:CALENDAR=US&amp;VAR:SYMBOL=G0129K10&amp;VAR:INDEX=0"}</definedName>
    <definedName name="_7641__FDSAUDITLINK__" hidden="1">{"fdsup://directions/FAT Viewer?action=UPDATE&amp;creator=factset&amp;DYN_ARGS=TRUE&amp;DOC_NAME=FAT:FQL_AUDITING_CLIENT_TEMPLATE.FAT&amp;display_string=Audit&amp;VAR:KEY=ZQBIZYPUTW&amp;VAR:QUERY=RkZfRUJJVERBX0lCKCdMVE1TJywzOTkwMCk=&amp;WINDOW=FIRST_POPUP&amp;HEIGHT=450&amp;WIDTH=450&amp;START_MA","XIMIZED=FALSE&amp;VAR:CALENDAR=US&amp;VAR:SYMBOL=G0129K10&amp;VAR:INDEX=0"}</definedName>
    <definedName name="_7642__FDSAUDITLINK__" localSheetId="6" hidden="1">{"fdsup://directions/FAT Viewer?action=UPDATE&amp;creator=factset&amp;DYN_ARGS=TRUE&amp;DOC_NAME=FAT:FQL_AUDITING_CLIENT_TEMPLATE.FAT&amp;display_string=Audit&amp;VAR:KEY=TULWTSBQHG&amp;VAR:QUERY=RkZfRUJJVERBX0lCKCdMVE1TJywzOTg5OSk=&amp;WINDOW=FIRST_POPUP&amp;HEIGHT=450&amp;WIDTH=450&amp;START_MA","XIMIZED=FALSE&amp;VAR:CALENDAR=US&amp;VAR:SYMBOL=G0129K10&amp;VAR:INDEX=0"}</definedName>
    <definedName name="_7642__FDSAUDITLINK__" hidden="1">{"fdsup://directions/FAT Viewer?action=UPDATE&amp;creator=factset&amp;DYN_ARGS=TRUE&amp;DOC_NAME=FAT:FQL_AUDITING_CLIENT_TEMPLATE.FAT&amp;display_string=Audit&amp;VAR:KEY=TULWTSBQHG&amp;VAR:QUERY=RkZfRUJJVERBX0lCKCdMVE1TJywzOTg5OSk=&amp;WINDOW=FIRST_POPUP&amp;HEIGHT=450&amp;WIDTH=450&amp;START_MA","XIMIZED=FALSE&amp;VAR:CALENDAR=US&amp;VAR:SYMBOL=G0129K10&amp;VAR:INDEX=0"}</definedName>
    <definedName name="_7643__FDSAUDITLINK__" localSheetId="6" hidden="1">{"fdsup://directions/FAT Viewer?action=UPDATE&amp;creator=factset&amp;DYN_ARGS=TRUE&amp;DOC_NAME=FAT:FQL_AUDITING_CLIENT_TEMPLATE.FAT&amp;display_string=Audit&amp;VAR:KEY=PADYVIDYTG&amp;VAR:QUERY=RkZfRUJJVERBX0lCKCdMVE1TJywzOTg5OCk=&amp;WINDOW=FIRST_POPUP&amp;HEIGHT=450&amp;WIDTH=450&amp;START_MA","XIMIZED=FALSE&amp;VAR:CALENDAR=US&amp;VAR:SYMBOL=G0129K10&amp;VAR:INDEX=0"}</definedName>
    <definedName name="_7643__FDSAUDITLINK__" hidden="1">{"fdsup://directions/FAT Viewer?action=UPDATE&amp;creator=factset&amp;DYN_ARGS=TRUE&amp;DOC_NAME=FAT:FQL_AUDITING_CLIENT_TEMPLATE.FAT&amp;display_string=Audit&amp;VAR:KEY=PADYVIDYTG&amp;VAR:QUERY=RkZfRUJJVERBX0lCKCdMVE1TJywzOTg5OCk=&amp;WINDOW=FIRST_POPUP&amp;HEIGHT=450&amp;WIDTH=450&amp;START_MA","XIMIZED=FALSE&amp;VAR:CALENDAR=US&amp;VAR:SYMBOL=G0129K10&amp;VAR:INDEX=0"}</definedName>
    <definedName name="_7644__FDSAUDITLINK__" localSheetId="6" hidden="1">{"fdsup://directions/FAT Viewer?action=UPDATE&amp;creator=factset&amp;DYN_ARGS=TRUE&amp;DOC_NAME=FAT:FQL_AUDITING_CLIENT_TEMPLATE.FAT&amp;display_string=Audit&amp;VAR:KEY=VMPUVATITE&amp;VAR:QUERY=RkZfRUJJVERBX0lCKCdMVE1TJywzOTg5Nyk=&amp;WINDOW=FIRST_POPUP&amp;HEIGHT=450&amp;WIDTH=450&amp;START_MA","XIMIZED=FALSE&amp;VAR:CALENDAR=US&amp;VAR:SYMBOL=G0129K10&amp;VAR:INDEX=0"}</definedName>
    <definedName name="_7644__FDSAUDITLINK__" hidden="1">{"fdsup://directions/FAT Viewer?action=UPDATE&amp;creator=factset&amp;DYN_ARGS=TRUE&amp;DOC_NAME=FAT:FQL_AUDITING_CLIENT_TEMPLATE.FAT&amp;display_string=Audit&amp;VAR:KEY=VMPUVATITE&amp;VAR:QUERY=RkZfRUJJVERBX0lCKCdMVE1TJywzOTg5Nyk=&amp;WINDOW=FIRST_POPUP&amp;HEIGHT=450&amp;WIDTH=450&amp;START_MA","XIMIZED=FALSE&amp;VAR:CALENDAR=US&amp;VAR:SYMBOL=G0129K10&amp;VAR:INDEX=0"}</definedName>
    <definedName name="_7645__FDSAUDITLINK__" localSheetId="6" hidden="1">{"fdsup://directions/FAT Viewer?action=UPDATE&amp;creator=factset&amp;DYN_ARGS=TRUE&amp;DOC_NAME=FAT:FQL_AUDITING_CLIENT_TEMPLATE.FAT&amp;display_string=Audit&amp;VAR:KEY=PSZGRKDSPA&amp;VAR:QUERY=RkZfRUJJVERBX0lCKCdMVE1TJywzOTg5Nik=&amp;WINDOW=FIRST_POPUP&amp;HEIGHT=450&amp;WIDTH=450&amp;START_MA","XIMIZED=FALSE&amp;VAR:CALENDAR=US&amp;VAR:SYMBOL=G0129K10&amp;VAR:INDEX=0"}</definedName>
    <definedName name="_7645__FDSAUDITLINK__" hidden="1">{"fdsup://directions/FAT Viewer?action=UPDATE&amp;creator=factset&amp;DYN_ARGS=TRUE&amp;DOC_NAME=FAT:FQL_AUDITING_CLIENT_TEMPLATE.FAT&amp;display_string=Audit&amp;VAR:KEY=PSZGRKDSPA&amp;VAR:QUERY=RkZfRUJJVERBX0lCKCdMVE1TJywzOTg5Nik=&amp;WINDOW=FIRST_POPUP&amp;HEIGHT=450&amp;WIDTH=450&amp;START_MA","XIMIZED=FALSE&amp;VAR:CALENDAR=US&amp;VAR:SYMBOL=G0129K10&amp;VAR:INDEX=0"}</definedName>
    <definedName name="_7646__FDSAUDITLINK__" localSheetId="6" hidden="1">{"fdsup://directions/FAT Viewer?action=UPDATE&amp;creator=factset&amp;DYN_ARGS=TRUE&amp;DOC_NAME=FAT:FQL_AUDITING_CLIENT_TEMPLATE.FAT&amp;display_string=Audit&amp;VAR:KEY=NUTOBGVYPM&amp;VAR:QUERY=RkZfRUJJVERBX0lCKCdMVE1TJywzOTg5NSk=&amp;WINDOW=FIRST_POPUP&amp;HEIGHT=450&amp;WIDTH=450&amp;START_MA","XIMIZED=FALSE&amp;VAR:CALENDAR=US&amp;VAR:SYMBOL=G0129K10&amp;VAR:INDEX=0"}</definedName>
    <definedName name="_7646__FDSAUDITLINK__" hidden="1">{"fdsup://directions/FAT Viewer?action=UPDATE&amp;creator=factset&amp;DYN_ARGS=TRUE&amp;DOC_NAME=FAT:FQL_AUDITING_CLIENT_TEMPLATE.FAT&amp;display_string=Audit&amp;VAR:KEY=NUTOBGVYPM&amp;VAR:QUERY=RkZfRUJJVERBX0lCKCdMVE1TJywzOTg5NSk=&amp;WINDOW=FIRST_POPUP&amp;HEIGHT=450&amp;WIDTH=450&amp;START_MA","XIMIZED=FALSE&amp;VAR:CALENDAR=US&amp;VAR:SYMBOL=G0129K10&amp;VAR:INDEX=0"}</definedName>
    <definedName name="_7647__FDSAUDITLINK__" localSheetId="6" hidden="1">{"fdsup://directions/FAT Viewer?action=UPDATE&amp;creator=factset&amp;DYN_ARGS=TRUE&amp;DOC_NAME=FAT:FQL_AUDITING_CLIENT_TEMPLATE.FAT&amp;display_string=Audit&amp;VAR:KEY=HEHQJMPIXI&amp;VAR:QUERY=RkZfRUJJVERBX0lCKCdMVE1TJywzOTg5NCk=&amp;WINDOW=FIRST_POPUP&amp;HEIGHT=450&amp;WIDTH=450&amp;START_MA","XIMIZED=FALSE&amp;VAR:CALENDAR=US&amp;VAR:SYMBOL=G0129K10&amp;VAR:INDEX=0"}</definedName>
    <definedName name="_7647__FDSAUDITLINK__" hidden="1">{"fdsup://directions/FAT Viewer?action=UPDATE&amp;creator=factset&amp;DYN_ARGS=TRUE&amp;DOC_NAME=FAT:FQL_AUDITING_CLIENT_TEMPLATE.FAT&amp;display_string=Audit&amp;VAR:KEY=HEHQJMPIXI&amp;VAR:QUERY=RkZfRUJJVERBX0lCKCdMVE1TJywzOTg5NCk=&amp;WINDOW=FIRST_POPUP&amp;HEIGHT=450&amp;WIDTH=450&amp;START_MA","XIMIZED=FALSE&amp;VAR:CALENDAR=US&amp;VAR:SYMBOL=G0129K10&amp;VAR:INDEX=0"}</definedName>
    <definedName name="_7648__FDSAUDITLINK__" localSheetId="6" hidden="1">{"fdsup://directions/FAT Viewer?action=UPDATE&amp;creator=factset&amp;DYN_ARGS=TRUE&amp;DOC_NAME=FAT:FQL_AUDITING_CLIENT_TEMPLATE.FAT&amp;display_string=Audit&amp;VAR:KEY=LWLABULGPS&amp;VAR:QUERY=RkZfRUJJVERBX0lCKCdMVE1TJywzOTg5Myk=&amp;WINDOW=FIRST_POPUP&amp;HEIGHT=450&amp;WIDTH=450&amp;START_MA","XIMIZED=FALSE&amp;VAR:CALENDAR=US&amp;VAR:SYMBOL=G0129K10&amp;VAR:INDEX=0"}</definedName>
    <definedName name="_7648__FDSAUDITLINK__" hidden="1">{"fdsup://directions/FAT Viewer?action=UPDATE&amp;creator=factset&amp;DYN_ARGS=TRUE&amp;DOC_NAME=FAT:FQL_AUDITING_CLIENT_TEMPLATE.FAT&amp;display_string=Audit&amp;VAR:KEY=LWLABULGPS&amp;VAR:QUERY=RkZfRUJJVERBX0lCKCdMVE1TJywzOTg5Myk=&amp;WINDOW=FIRST_POPUP&amp;HEIGHT=450&amp;WIDTH=450&amp;START_MA","XIMIZED=FALSE&amp;VAR:CALENDAR=US&amp;VAR:SYMBOL=G0129K10&amp;VAR:INDEX=0"}</definedName>
    <definedName name="_7649__FDSAUDITLINK__" localSheetId="6" hidden="1">{"fdsup://directions/FAT Viewer?action=UPDATE&amp;creator=factset&amp;DYN_ARGS=TRUE&amp;DOC_NAME=FAT:FQL_AUDITING_CLIENT_TEMPLATE.FAT&amp;display_string=Audit&amp;VAR:KEY=VYPQVUXCJM&amp;VAR:QUERY=RkZfRUJJVERBX0lCKCdMVE1TJywzOTg5Mik=&amp;WINDOW=FIRST_POPUP&amp;HEIGHT=450&amp;WIDTH=450&amp;START_MA","XIMIZED=FALSE&amp;VAR:CALENDAR=US&amp;VAR:SYMBOL=G0129K10&amp;VAR:INDEX=0"}</definedName>
    <definedName name="_7649__FDSAUDITLINK__" hidden="1">{"fdsup://directions/FAT Viewer?action=UPDATE&amp;creator=factset&amp;DYN_ARGS=TRUE&amp;DOC_NAME=FAT:FQL_AUDITING_CLIENT_TEMPLATE.FAT&amp;display_string=Audit&amp;VAR:KEY=VYPQVUXCJM&amp;VAR:QUERY=RkZfRUJJVERBX0lCKCdMVE1TJywzOTg5Mik=&amp;WINDOW=FIRST_POPUP&amp;HEIGHT=450&amp;WIDTH=450&amp;START_MA","XIMIZED=FALSE&amp;VAR:CALENDAR=US&amp;VAR:SYMBOL=G0129K10&amp;VAR:INDEX=0"}</definedName>
    <definedName name="_765__FDSAUDITLINK__" localSheetId="6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5__FDSAUDITLINK__" hidden="1">{"fdsup://directions/FAT%20Viewer?VAR:PED=LTM&amp;VAR:AUDIT_MODE=SUMMARY&amp;VAR:PERIOD=FIXED&amp;VAR:AUDIT_ID=00000117&amp;VAR:DATE=20080118&amp;action=UPDATE&amp;creator=factset&amp;DOC_NAME=FAT:FMA_audit_SUMMARY.fat&amp;DISPLAY_STRING=Display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50__FDSAUDITLINK__" localSheetId="6" hidden="1">{"fdsup://directions/FAT Viewer?action=UPDATE&amp;creator=factset&amp;DYN_ARGS=TRUE&amp;DOC_NAME=FAT:FQL_AUDITING_CLIENT_TEMPLATE.FAT&amp;display_string=Audit&amp;VAR:KEY=JURWFIHSDM&amp;VAR:QUERY=RkZfRUJJVERBX0lCKCdMVE1TJywzOTg5MSk=&amp;WINDOW=FIRST_POPUP&amp;HEIGHT=450&amp;WIDTH=450&amp;START_MA","XIMIZED=FALSE&amp;VAR:CALENDAR=US&amp;VAR:SYMBOL=G0129K10&amp;VAR:INDEX=0"}</definedName>
    <definedName name="_7650__FDSAUDITLINK__" hidden="1">{"fdsup://directions/FAT Viewer?action=UPDATE&amp;creator=factset&amp;DYN_ARGS=TRUE&amp;DOC_NAME=FAT:FQL_AUDITING_CLIENT_TEMPLATE.FAT&amp;display_string=Audit&amp;VAR:KEY=JURWFIHSDM&amp;VAR:QUERY=RkZfRUJJVERBX0lCKCdMVE1TJywzOTg5MSk=&amp;WINDOW=FIRST_POPUP&amp;HEIGHT=450&amp;WIDTH=450&amp;START_MA","XIMIZED=FALSE&amp;VAR:CALENDAR=US&amp;VAR:SYMBOL=G0129K10&amp;VAR:INDEX=0"}</definedName>
    <definedName name="_7651__FDSAUDITLINK__" localSheetId="6" hidden="1">{"fdsup://directions/FAT Viewer?action=UPDATE&amp;creator=factset&amp;DYN_ARGS=TRUE&amp;DOC_NAME=FAT:FQL_AUDITING_CLIENT_TEMPLATE.FAT&amp;display_string=Audit&amp;VAR:KEY=JMDINQXMXM&amp;VAR:QUERY=RkZfRUJJVERBX0lCKCdMVE1TJywzOTg5MCk=&amp;WINDOW=FIRST_POPUP&amp;HEIGHT=450&amp;WIDTH=450&amp;START_MA","XIMIZED=FALSE&amp;VAR:CALENDAR=US&amp;VAR:SYMBOL=G0129K10&amp;VAR:INDEX=0"}</definedName>
    <definedName name="_7651__FDSAUDITLINK__" hidden="1">{"fdsup://directions/FAT Viewer?action=UPDATE&amp;creator=factset&amp;DYN_ARGS=TRUE&amp;DOC_NAME=FAT:FQL_AUDITING_CLIENT_TEMPLATE.FAT&amp;display_string=Audit&amp;VAR:KEY=JMDINQXMXM&amp;VAR:QUERY=RkZfRUJJVERBX0lCKCdMVE1TJywzOTg5MCk=&amp;WINDOW=FIRST_POPUP&amp;HEIGHT=450&amp;WIDTH=450&amp;START_MA","XIMIZED=FALSE&amp;VAR:CALENDAR=US&amp;VAR:SYMBOL=G0129K10&amp;VAR:INDEX=0"}</definedName>
    <definedName name="_7652__FDSAUDITLINK__" localSheetId="6" hidden="1">{"fdsup://directions/FAT Viewer?action=UPDATE&amp;creator=factset&amp;DYN_ARGS=TRUE&amp;DOC_NAME=FAT:FQL_AUDITING_CLIENT_TEMPLATE.FAT&amp;display_string=Audit&amp;VAR:KEY=DWFQJGHQHU&amp;VAR:QUERY=RkZfRUJJVERBX0lCKCdMVE1TJywzOTg4OSk=&amp;WINDOW=FIRST_POPUP&amp;HEIGHT=450&amp;WIDTH=450&amp;START_MA","XIMIZED=FALSE&amp;VAR:CALENDAR=US&amp;VAR:SYMBOL=G0129K10&amp;VAR:INDEX=0"}</definedName>
    <definedName name="_7652__FDSAUDITLINK__" hidden="1">{"fdsup://directions/FAT Viewer?action=UPDATE&amp;creator=factset&amp;DYN_ARGS=TRUE&amp;DOC_NAME=FAT:FQL_AUDITING_CLIENT_TEMPLATE.FAT&amp;display_string=Audit&amp;VAR:KEY=DWFQJGHQHU&amp;VAR:QUERY=RkZfRUJJVERBX0lCKCdMVE1TJywzOTg4OSk=&amp;WINDOW=FIRST_POPUP&amp;HEIGHT=450&amp;WIDTH=450&amp;START_MA","XIMIZED=FALSE&amp;VAR:CALENDAR=US&amp;VAR:SYMBOL=G0129K10&amp;VAR:INDEX=0"}</definedName>
    <definedName name="_7653__FDSAUDITLINK__" localSheetId="6" hidden="1">{"fdsup://directions/FAT Viewer?action=UPDATE&amp;creator=factset&amp;DYN_ARGS=TRUE&amp;DOC_NAME=FAT:FQL_AUDITING_CLIENT_TEMPLATE.FAT&amp;display_string=Audit&amp;VAR:KEY=ZUVSLGNMFG&amp;VAR:QUERY=RkZfRUJJVERBX0lCKCdMVE1TJywzOTg4OCk=&amp;WINDOW=FIRST_POPUP&amp;HEIGHT=450&amp;WIDTH=450&amp;START_MA","XIMIZED=FALSE&amp;VAR:CALENDAR=US&amp;VAR:SYMBOL=G0129K10&amp;VAR:INDEX=0"}</definedName>
    <definedName name="_7653__FDSAUDITLINK__" hidden="1">{"fdsup://directions/FAT Viewer?action=UPDATE&amp;creator=factset&amp;DYN_ARGS=TRUE&amp;DOC_NAME=FAT:FQL_AUDITING_CLIENT_TEMPLATE.FAT&amp;display_string=Audit&amp;VAR:KEY=ZUVSLGNMFG&amp;VAR:QUERY=RkZfRUJJVERBX0lCKCdMVE1TJywzOTg4OCk=&amp;WINDOW=FIRST_POPUP&amp;HEIGHT=450&amp;WIDTH=450&amp;START_MA","XIMIZED=FALSE&amp;VAR:CALENDAR=US&amp;VAR:SYMBOL=G0129K10&amp;VAR:INDEX=0"}</definedName>
    <definedName name="_7654__FDSAUDITLINK__" localSheetId="6" hidden="1">{"fdsup://directions/FAT Viewer?action=UPDATE&amp;creator=factset&amp;DYN_ARGS=TRUE&amp;DOC_NAME=FAT:FQL_AUDITING_CLIENT_TEMPLATE.FAT&amp;display_string=Audit&amp;VAR:KEY=PWFGNCVMDW&amp;VAR:QUERY=RkZfRUJJVERBX0lCKCdMVE1TJywzOTg4Nyk=&amp;WINDOW=FIRST_POPUP&amp;HEIGHT=450&amp;WIDTH=450&amp;START_MA","XIMIZED=FALSE&amp;VAR:CALENDAR=US&amp;VAR:SYMBOL=G0129K10&amp;VAR:INDEX=0"}</definedName>
    <definedName name="_7654__FDSAUDITLINK__" hidden="1">{"fdsup://directions/FAT Viewer?action=UPDATE&amp;creator=factset&amp;DYN_ARGS=TRUE&amp;DOC_NAME=FAT:FQL_AUDITING_CLIENT_TEMPLATE.FAT&amp;display_string=Audit&amp;VAR:KEY=PWFGNCVMDW&amp;VAR:QUERY=RkZfRUJJVERBX0lCKCdMVE1TJywzOTg4Nyk=&amp;WINDOW=FIRST_POPUP&amp;HEIGHT=450&amp;WIDTH=450&amp;START_MA","XIMIZED=FALSE&amp;VAR:CALENDAR=US&amp;VAR:SYMBOL=G0129K10&amp;VAR:INDEX=0"}</definedName>
    <definedName name="_7655__FDSAUDITLINK__" localSheetId="6" hidden="1">{"fdsup://directions/FAT Viewer?action=UPDATE&amp;creator=factset&amp;DYN_ARGS=TRUE&amp;DOC_NAME=FAT:FQL_AUDITING_CLIENT_TEMPLATE.FAT&amp;display_string=Audit&amp;VAR:KEY=ROZWTCXOZW&amp;VAR:QUERY=RkZfRUJJVERBX0lCKCdMVE1TJywzOTg4Nik=&amp;WINDOW=FIRST_POPUP&amp;HEIGHT=450&amp;WIDTH=450&amp;START_MA","XIMIZED=FALSE&amp;VAR:CALENDAR=US&amp;VAR:SYMBOL=G0129K10&amp;VAR:INDEX=0"}</definedName>
    <definedName name="_7655__FDSAUDITLINK__" hidden="1">{"fdsup://directions/FAT Viewer?action=UPDATE&amp;creator=factset&amp;DYN_ARGS=TRUE&amp;DOC_NAME=FAT:FQL_AUDITING_CLIENT_TEMPLATE.FAT&amp;display_string=Audit&amp;VAR:KEY=ROZWTCXOZW&amp;VAR:QUERY=RkZfRUJJVERBX0lCKCdMVE1TJywzOTg4Nik=&amp;WINDOW=FIRST_POPUP&amp;HEIGHT=450&amp;WIDTH=450&amp;START_MA","XIMIZED=FALSE&amp;VAR:CALENDAR=US&amp;VAR:SYMBOL=G0129K10&amp;VAR:INDEX=0"}</definedName>
    <definedName name="_7656__FDSAUDITLINK__" localSheetId="6" hidden="1">{"fdsup://directions/FAT Viewer?action=UPDATE&amp;creator=factset&amp;DYN_ARGS=TRUE&amp;DOC_NAME=FAT:FQL_AUDITING_CLIENT_TEMPLATE.FAT&amp;display_string=Audit&amp;VAR:KEY=FYFMVQJQHC&amp;VAR:QUERY=RkZfRUJJVERBX0lCKCdMVE1TJywzOTg4NSk=&amp;WINDOW=FIRST_POPUP&amp;HEIGHT=450&amp;WIDTH=450&amp;START_MA","XIMIZED=FALSE&amp;VAR:CALENDAR=US&amp;VAR:SYMBOL=G0129K10&amp;VAR:INDEX=0"}</definedName>
    <definedName name="_7656__FDSAUDITLINK__" hidden="1">{"fdsup://directions/FAT Viewer?action=UPDATE&amp;creator=factset&amp;DYN_ARGS=TRUE&amp;DOC_NAME=FAT:FQL_AUDITING_CLIENT_TEMPLATE.FAT&amp;display_string=Audit&amp;VAR:KEY=FYFMVQJQHC&amp;VAR:QUERY=RkZfRUJJVERBX0lCKCdMVE1TJywzOTg4NSk=&amp;WINDOW=FIRST_POPUP&amp;HEIGHT=450&amp;WIDTH=450&amp;START_MA","XIMIZED=FALSE&amp;VAR:CALENDAR=US&amp;VAR:SYMBOL=G0129K10&amp;VAR:INDEX=0"}</definedName>
    <definedName name="_7657__FDSAUDITLINK__" localSheetId="6" hidden="1">{"fdsup://directions/FAT Viewer?action=UPDATE&amp;creator=factset&amp;DYN_ARGS=TRUE&amp;DOC_NAME=FAT:FQL_AUDITING_CLIENT_TEMPLATE.FAT&amp;display_string=Audit&amp;VAR:KEY=XSRGVYJOFE&amp;VAR:QUERY=RkZfRUJJVERBX0lCKCdMVE1TJywzOTg4NCk=&amp;WINDOW=FIRST_POPUP&amp;HEIGHT=450&amp;WIDTH=450&amp;START_MA","XIMIZED=FALSE&amp;VAR:CALENDAR=US&amp;VAR:SYMBOL=G0129K10&amp;VAR:INDEX=0"}</definedName>
    <definedName name="_7657__FDSAUDITLINK__" hidden="1">{"fdsup://directions/FAT Viewer?action=UPDATE&amp;creator=factset&amp;DYN_ARGS=TRUE&amp;DOC_NAME=FAT:FQL_AUDITING_CLIENT_TEMPLATE.FAT&amp;display_string=Audit&amp;VAR:KEY=XSRGVYJOFE&amp;VAR:QUERY=RkZfRUJJVERBX0lCKCdMVE1TJywzOTg4NCk=&amp;WINDOW=FIRST_POPUP&amp;HEIGHT=450&amp;WIDTH=450&amp;START_MA","XIMIZED=FALSE&amp;VAR:CALENDAR=US&amp;VAR:SYMBOL=G0129K10&amp;VAR:INDEX=0"}</definedName>
    <definedName name="_7658__FDSAUDITLINK__" localSheetId="6" hidden="1">{"fdsup://directions/FAT Viewer?action=UPDATE&amp;creator=factset&amp;DYN_ARGS=TRUE&amp;DOC_NAME=FAT:FQL_AUDITING_CLIENT_TEMPLATE.FAT&amp;display_string=Audit&amp;VAR:KEY=NYXUFYJWPM&amp;VAR:QUERY=RkZfRUJJVERBX0lCKCdMVE1TJywzOTg4Myk=&amp;WINDOW=FIRST_POPUP&amp;HEIGHT=450&amp;WIDTH=450&amp;START_MA","XIMIZED=FALSE&amp;VAR:CALENDAR=US&amp;VAR:SYMBOL=G0129K10&amp;VAR:INDEX=0"}</definedName>
    <definedName name="_7658__FDSAUDITLINK__" hidden="1">{"fdsup://directions/FAT Viewer?action=UPDATE&amp;creator=factset&amp;DYN_ARGS=TRUE&amp;DOC_NAME=FAT:FQL_AUDITING_CLIENT_TEMPLATE.FAT&amp;display_string=Audit&amp;VAR:KEY=NYXUFYJWPM&amp;VAR:QUERY=RkZfRUJJVERBX0lCKCdMVE1TJywzOTg4Myk=&amp;WINDOW=FIRST_POPUP&amp;HEIGHT=450&amp;WIDTH=450&amp;START_MA","XIMIZED=FALSE&amp;VAR:CALENDAR=US&amp;VAR:SYMBOL=G0129K10&amp;VAR:INDEX=0"}</definedName>
    <definedName name="_7659__FDSAUDITLINK__" localSheetId="6" hidden="1">{"fdsup://directions/FAT Viewer?action=UPDATE&amp;creator=factset&amp;DYN_ARGS=TRUE&amp;DOC_NAME=FAT:FQL_AUDITING_CLIENT_TEMPLATE.FAT&amp;display_string=Audit&amp;VAR:KEY=PMXYJUXOPS&amp;VAR:QUERY=RkZfRUJJVERBX0lCKCdMVE1TJywzOTg4Mik=&amp;WINDOW=FIRST_POPUP&amp;HEIGHT=450&amp;WIDTH=450&amp;START_MA","XIMIZED=FALSE&amp;VAR:CALENDAR=US&amp;VAR:SYMBOL=G0129K10&amp;VAR:INDEX=0"}</definedName>
    <definedName name="_7659__FDSAUDITLINK__" hidden="1">{"fdsup://directions/FAT Viewer?action=UPDATE&amp;creator=factset&amp;DYN_ARGS=TRUE&amp;DOC_NAME=FAT:FQL_AUDITING_CLIENT_TEMPLATE.FAT&amp;display_string=Audit&amp;VAR:KEY=PMXYJUXOPS&amp;VAR:QUERY=RkZfRUJJVERBX0lCKCdMVE1TJywzOTg4Mik=&amp;WINDOW=FIRST_POPUP&amp;HEIGHT=450&amp;WIDTH=450&amp;START_MA","XIMIZED=FALSE&amp;VAR:CALENDAR=US&amp;VAR:SYMBOL=G0129K10&amp;VAR:INDEX=0"}</definedName>
    <definedName name="_766__FDSAUDITLINK__" localSheetId="6" hidden="1">{"fdsup://directions/FAT%20Viewer?VAR:PED=LTM&amp;VAR:AUDIT_MODE=SUMMARY&amp;VAR:PERIOD=FIXED&amp;VAR:AUDIT_ID=00000117&amp;VAR:DATE=20080117&amp;action=UPDATE&amp;creator=factset&amp;DOC_NAME=FAT:FMA_audit_SUMMARY.fat&amp;DISPLAY_STRING=Display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6__FDSAUDITLINK__" hidden="1">{"fdsup://directions/FAT%20Viewer?VAR:PED=LTM&amp;VAR:AUDIT_MODE=SUMMARY&amp;VAR:PERIOD=FIXED&amp;VAR:AUDIT_ID=00000117&amp;VAR:DATE=20080117&amp;action=UPDATE&amp;creator=factset&amp;DOC_NAME=FAT:FMA_audit_SUMMARY.fat&amp;DISPLAY_STRING=Display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60__FDSAUDITLINK__" localSheetId="6" hidden="1">{"fdsup://directions/FAT Viewer?action=UPDATE&amp;creator=factset&amp;DYN_ARGS=TRUE&amp;DOC_NAME=FAT:FQL_AUDITING_CLIENT_TEMPLATE.FAT&amp;display_string=Audit&amp;VAR:KEY=ZGVUXIJQFO&amp;VAR:QUERY=RkZfRUJJVERBX0lCKCdMVE1TJywzOTg4MSk=&amp;WINDOW=FIRST_POPUP&amp;HEIGHT=450&amp;WIDTH=450&amp;START_MA","XIMIZED=FALSE&amp;VAR:CALENDAR=US&amp;VAR:SYMBOL=G0129K10&amp;VAR:INDEX=0"}</definedName>
    <definedName name="_7660__FDSAUDITLINK__" hidden="1">{"fdsup://directions/FAT Viewer?action=UPDATE&amp;creator=factset&amp;DYN_ARGS=TRUE&amp;DOC_NAME=FAT:FQL_AUDITING_CLIENT_TEMPLATE.FAT&amp;display_string=Audit&amp;VAR:KEY=ZGVUXIJQFO&amp;VAR:QUERY=RkZfRUJJVERBX0lCKCdMVE1TJywzOTg4MSk=&amp;WINDOW=FIRST_POPUP&amp;HEIGHT=450&amp;WIDTH=450&amp;START_MA","XIMIZED=FALSE&amp;VAR:CALENDAR=US&amp;VAR:SYMBOL=G0129K10&amp;VAR:INDEX=0"}</definedName>
    <definedName name="_7661__FDSAUDITLINK__" localSheetId="6" hidden="1">{"fdsup://directions/FAT Viewer?action=UPDATE&amp;creator=factset&amp;DYN_ARGS=TRUE&amp;DOC_NAME=FAT:FQL_AUDITING_CLIENT_TEMPLATE.FAT&amp;display_string=Audit&amp;VAR:KEY=XEHOTEFENC&amp;VAR:QUERY=RkZfRUJJVERBX0lCKCdMVE1TJywzOTg4MCk=&amp;WINDOW=FIRST_POPUP&amp;HEIGHT=450&amp;WIDTH=450&amp;START_MA","XIMIZED=FALSE&amp;VAR:CALENDAR=US&amp;VAR:SYMBOL=G0129K10&amp;VAR:INDEX=0"}</definedName>
    <definedName name="_7661__FDSAUDITLINK__" hidden="1">{"fdsup://directions/FAT Viewer?action=UPDATE&amp;creator=factset&amp;DYN_ARGS=TRUE&amp;DOC_NAME=FAT:FQL_AUDITING_CLIENT_TEMPLATE.FAT&amp;display_string=Audit&amp;VAR:KEY=XEHOTEFENC&amp;VAR:QUERY=RkZfRUJJVERBX0lCKCdMVE1TJywzOTg4MCk=&amp;WINDOW=FIRST_POPUP&amp;HEIGHT=450&amp;WIDTH=450&amp;START_MA","XIMIZED=FALSE&amp;VAR:CALENDAR=US&amp;VAR:SYMBOL=G0129K10&amp;VAR:INDEX=0"}</definedName>
    <definedName name="_7662__FDSAUDITLINK__" localSheetId="6" hidden="1">{"fdsup://directions/FAT Viewer?action=UPDATE&amp;creator=factset&amp;DYN_ARGS=TRUE&amp;DOC_NAME=FAT:FQL_AUDITING_CLIENT_TEMPLATE.FAT&amp;display_string=Audit&amp;VAR:KEY=DKJUTANEVY&amp;VAR:QUERY=RkZfRUJJVERBX0lCKCdMVE1TJywzOTg3OSk=&amp;WINDOW=FIRST_POPUP&amp;HEIGHT=450&amp;WIDTH=450&amp;START_MA","XIMIZED=FALSE&amp;VAR:CALENDAR=US&amp;VAR:SYMBOL=G0129K10&amp;VAR:INDEX=0"}</definedName>
    <definedName name="_7662__FDSAUDITLINK__" hidden="1">{"fdsup://directions/FAT Viewer?action=UPDATE&amp;creator=factset&amp;DYN_ARGS=TRUE&amp;DOC_NAME=FAT:FQL_AUDITING_CLIENT_TEMPLATE.FAT&amp;display_string=Audit&amp;VAR:KEY=DKJUTANEVY&amp;VAR:QUERY=RkZfRUJJVERBX0lCKCdMVE1TJywzOTg3OSk=&amp;WINDOW=FIRST_POPUP&amp;HEIGHT=450&amp;WIDTH=450&amp;START_MA","XIMIZED=FALSE&amp;VAR:CALENDAR=US&amp;VAR:SYMBOL=G0129K10&amp;VAR:INDEX=0"}</definedName>
    <definedName name="_7663__FDSAUDITLINK__" localSheetId="6" hidden="1">{"fdsup://directions/FAT Viewer?action=UPDATE&amp;creator=factset&amp;DYN_ARGS=TRUE&amp;DOC_NAME=FAT:FQL_AUDITING_CLIENT_TEMPLATE.FAT&amp;display_string=Audit&amp;VAR:KEY=ZGDMHWHYRA&amp;VAR:QUERY=RkZfRUJJVERBX0lCKCdMVE1TJywzOTg3OCk=&amp;WINDOW=FIRST_POPUP&amp;HEIGHT=450&amp;WIDTH=450&amp;START_MA","XIMIZED=FALSE&amp;VAR:CALENDAR=US&amp;VAR:SYMBOL=G0129K10&amp;VAR:INDEX=0"}</definedName>
    <definedName name="_7663__FDSAUDITLINK__" hidden="1">{"fdsup://directions/FAT Viewer?action=UPDATE&amp;creator=factset&amp;DYN_ARGS=TRUE&amp;DOC_NAME=FAT:FQL_AUDITING_CLIENT_TEMPLATE.FAT&amp;display_string=Audit&amp;VAR:KEY=ZGDMHWHYRA&amp;VAR:QUERY=RkZfRUJJVERBX0lCKCdMVE1TJywzOTg3OCk=&amp;WINDOW=FIRST_POPUP&amp;HEIGHT=450&amp;WIDTH=450&amp;START_MA","XIMIZED=FALSE&amp;VAR:CALENDAR=US&amp;VAR:SYMBOL=G0129K10&amp;VAR:INDEX=0"}</definedName>
    <definedName name="_7664__FDSAUDITLINK__" localSheetId="6" hidden="1">{"fdsup://directions/FAT Viewer?action=UPDATE&amp;creator=factset&amp;DYN_ARGS=TRUE&amp;DOC_NAME=FAT:FQL_AUDITING_CLIENT_TEMPLATE.FAT&amp;display_string=Audit&amp;VAR:KEY=TYBIJEVCDC&amp;VAR:QUERY=RkZfRUJJVERBX0lCKCdMVE1TJywzOTg3Nyk=&amp;WINDOW=FIRST_POPUP&amp;HEIGHT=450&amp;WIDTH=450&amp;START_MA","XIMIZED=FALSE&amp;VAR:CALENDAR=US&amp;VAR:SYMBOL=G0129K10&amp;VAR:INDEX=0"}</definedName>
    <definedName name="_7664__FDSAUDITLINK__" hidden="1">{"fdsup://directions/FAT Viewer?action=UPDATE&amp;creator=factset&amp;DYN_ARGS=TRUE&amp;DOC_NAME=FAT:FQL_AUDITING_CLIENT_TEMPLATE.FAT&amp;display_string=Audit&amp;VAR:KEY=TYBIJEVCDC&amp;VAR:QUERY=RkZfRUJJVERBX0lCKCdMVE1TJywzOTg3Nyk=&amp;WINDOW=FIRST_POPUP&amp;HEIGHT=450&amp;WIDTH=450&amp;START_MA","XIMIZED=FALSE&amp;VAR:CALENDAR=US&amp;VAR:SYMBOL=G0129K10&amp;VAR:INDEX=0"}</definedName>
    <definedName name="_7665__FDSAUDITLINK__" localSheetId="6" hidden="1">{"fdsup://directions/FAT Viewer?action=UPDATE&amp;creator=factset&amp;DYN_ARGS=TRUE&amp;DOC_NAME=FAT:FQL_AUDITING_CLIENT_TEMPLATE.FAT&amp;display_string=Audit&amp;VAR:KEY=JQBEXYXKBC&amp;VAR:QUERY=RkZfRUJJVERBX0lCKCdMVE1TJywzOTg3Nik=&amp;WINDOW=FIRST_POPUP&amp;HEIGHT=450&amp;WIDTH=450&amp;START_MA","XIMIZED=FALSE&amp;VAR:CALENDAR=US&amp;VAR:SYMBOL=G0129K10&amp;VAR:INDEX=0"}</definedName>
    <definedName name="_7665__FDSAUDITLINK__" hidden="1">{"fdsup://directions/FAT Viewer?action=UPDATE&amp;creator=factset&amp;DYN_ARGS=TRUE&amp;DOC_NAME=FAT:FQL_AUDITING_CLIENT_TEMPLATE.FAT&amp;display_string=Audit&amp;VAR:KEY=JQBEXYXKBC&amp;VAR:QUERY=RkZfRUJJVERBX0lCKCdMVE1TJywzOTg3Nik=&amp;WINDOW=FIRST_POPUP&amp;HEIGHT=450&amp;WIDTH=450&amp;START_MA","XIMIZED=FALSE&amp;VAR:CALENDAR=US&amp;VAR:SYMBOL=G0129K10&amp;VAR:INDEX=0"}</definedName>
    <definedName name="_7666__FDSAUDITLINK__" localSheetId="6" hidden="1">{"fdsup://directions/FAT Viewer?action=UPDATE&amp;creator=factset&amp;DYN_ARGS=TRUE&amp;DOC_NAME=FAT:FQL_AUDITING_CLIENT_TEMPLATE.FAT&amp;display_string=Audit&amp;VAR:KEY=NEXSNUFGJY&amp;VAR:QUERY=RkZfRUJJVERBX0lCKCdMVE1TJywzOTg3NSk=&amp;WINDOW=FIRST_POPUP&amp;HEIGHT=450&amp;WIDTH=450&amp;START_MA","XIMIZED=FALSE&amp;VAR:CALENDAR=US&amp;VAR:SYMBOL=G0129K10&amp;VAR:INDEX=0"}</definedName>
    <definedName name="_7666__FDSAUDITLINK__" hidden="1">{"fdsup://directions/FAT Viewer?action=UPDATE&amp;creator=factset&amp;DYN_ARGS=TRUE&amp;DOC_NAME=FAT:FQL_AUDITING_CLIENT_TEMPLATE.FAT&amp;display_string=Audit&amp;VAR:KEY=NEXSNUFGJY&amp;VAR:QUERY=RkZfRUJJVERBX0lCKCdMVE1TJywzOTg3NSk=&amp;WINDOW=FIRST_POPUP&amp;HEIGHT=450&amp;WIDTH=450&amp;START_MA","XIMIZED=FALSE&amp;VAR:CALENDAR=US&amp;VAR:SYMBOL=G0129K10&amp;VAR:INDEX=0"}</definedName>
    <definedName name="_7667__FDSAUDITLINK__" localSheetId="6" hidden="1">{"fdsup://directions/FAT Viewer?action=UPDATE&amp;creator=factset&amp;DYN_ARGS=TRUE&amp;DOC_NAME=FAT:FQL_AUDITING_CLIENT_TEMPLATE.FAT&amp;display_string=Audit&amp;VAR:KEY=RWDUBKFSRA&amp;VAR:QUERY=RkZfRUJJVERBX0lCKCdMVE1TJywzOTg3NCk=&amp;WINDOW=FIRST_POPUP&amp;HEIGHT=450&amp;WIDTH=450&amp;START_MA","XIMIZED=FALSE&amp;VAR:CALENDAR=US&amp;VAR:SYMBOL=G0129K10&amp;VAR:INDEX=0"}</definedName>
    <definedName name="_7667__FDSAUDITLINK__" hidden="1">{"fdsup://directions/FAT Viewer?action=UPDATE&amp;creator=factset&amp;DYN_ARGS=TRUE&amp;DOC_NAME=FAT:FQL_AUDITING_CLIENT_TEMPLATE.FAT&amp;display_string=Audit&amp;VAR:KEY=RWDUBKFSRA&amp;VAR:QUERY=RkZfRUJJVERBX0lCKCdMVE1TJywzOTg3NCk=&amp;WINDOW=FIRST_POPUP&amp;HEIGHT=450&amp;WIDTH=450&amp;START_MA","XIMIZED=FALSE&amp;VAR:CALENDAR=US&amp;VAR:SYMBOL=G0129K10&amp;VAR:INDEX=0"}</definedName>
    <definedName name="_7668__FDSAUDITLINK__" localSheetId="6" hidden="1">{"fdsup://directions/FAT Viewer?action=UPDATE&amp;creator=factset&amp;DYN_ARGS=TRUE&amp;DOC_NAME=FAT:FQL_AUDITING_CLIENT_TEMPLATE.FAT&amp;display_string=Audit&amp;VAR:KEY=XSNSJWBADO&amp;VAR:QUERY=RkZfRUJJVERBX0lCKCdMVE1TJywzOTg3Myk=&amp;WINDOW=FIRST_POPUP&amp;HEIGHT=450&amp;WIDTH=450&amp;START_MA","XIMIZED=FALSE&amp;VAR:CALENDAR=US&amp;VAR:SYMBOL=G0129K10&amp;VAR:INDEX=0"}</definedName>
    <definedName name="_7668__FDSAUDITLINK__" hidden="1">{"fdsup://directions/FAT Viewer?action=UPDATE&amp;creator=factset&amp;DYN_ARGS=TRUE&amp;DOC_NAME=FAT:FQL_AUDITING_CLIENT_TEMPLATE.FAT&amp;display_string=Audit&amp;VAR:KEY=XSNSJWBADO&amp;VAR:QUERY=RkZfRUJJVERBX0lCKCdMVE1TJywzOTg3Myk=&amp;WINDOW=FIRST_POPUP&amp;HEIGHT=450&amp;WIDTH=450&amp;START_MA","XIMIZED=FALSE&amp;VAR:CALENDAR=US&amp;VAR:SYMBOL=G0129K10&amp;VAR:INDEX=0"}</definedName>
    <definedName name="_7669__FDSAUDITLINK__" localSheetId="6" hidden="1">{"fdsup://directions/FAT Viewer?action=UPDATE&amp;creator=factset&amp;DYN_ARGS=TRUE&amp;DOC_NAME=FAT:FQL_AUDITING_CLIENT_TEMPLATE.FAT&amp;display_string=Audit&amp;VAR:KEY=DYZCJURSHO&amp;VAR:QUERY=RkZfRUJJVERBX0lCKCdMVE1TJywzOTg3Mik=&amp;WINDOW=FIRST_POPUP&amp;HEIGHT=450&amp;WIDTH=450&amp;START_MA","XIMIZED=FALSE&amp;VAR:CALENDAR=US&amp;VAR:SYMBOL=G0129K10&amp;VAR:INDEX=0"}</definedName>
    <definedName name="_7669__FDSAUDITLINK__" hidden="1">{"fdsup://directions/FAT Viewer?action=UPDATE&amp;creator=factset&amp;DYN_ARGS=TRUE&amp;DOC_NAME=FAT:FQL_AUDITING_CLIENT_TEMPLATE.FAT&amp;display_string=Audit&amp;VAR:KEY=DYZCJURSHO&amp;VAR:QUERY=RkZfRUJJVERBX0lCKCdMVE1TJywzOTg3Mik=&amp;WINDOW=FIRST_POPUP&amp;HEIGHT=450&amp;WIDTH=450&amp;START_MA","XIMIZED=FALSE&amp;VAR:CALENDAR=US&amp;VAR:SYMBOL=G0129K10&amp;VAR:INDEX=0"}</definedName>
    <definedName name="_767__FDSAUDITLINK__" localSheetId="6" hidden="1">{"fdsup://directions/FAT%20Viewer?VAR:PED=LTM&amp;VAR:AUDIT_MODE=SUMMARY&amp;VAR:PERIOD=FIXED&amp;VAR:AUDIT_ID=00000117&amp;VAR:DATE=20080116&amp;action=UPDATE&amp;creator=factset&amp;DOC_NAME=FAT:FMA_audit_SUMMARY.fat&amp;DISPLAY_STRING=Display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7__FDSAUDITLINK__" hidden="1">{"fdsup://directions/FAT%20Viewer?VAR:PED=LTM&amp;VAR:AUDIT_MODE=SUMMARY&amp;VAR:PERIOD=FIXED&amp;VAR:AUDIT_ID=00000117&amp;VAR:DATE=20080116&amp;action=UPDATE&amp;creator=factset&amp;DOC_NAME=FAT:FMA_audit_SUMMARY.fat&amp;DISPLAY_STRING=Display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70__FDSAUDITLINK__" localSheetId="6" hidden="1">{"fdsup://directions/FAT Viewer?action=UPDATE&amp;creator=factset&amp;DYN_ARGS=TRUE&amp;DOC_NAME=FAT:FQL_AUDITING_CLIENT_TEMPLATE.FAT&amp;display_string=Audit&amp;VAR:KEY=VQXOHAPCPI&amp;VAR:QUERY=RkZfRUJJVERBX0lCKCdMVE1TJywzOTg3MSk=&amp;WINDOW=FIRST_POPUP&amp;HEIGHT=450&amp;WIDTH=450&amp;START_MA","XIMIZED=FALSE&amp;VAR:CALENDAR=US&amp;VAR:SYMBOL=G0129K10&amp;VAR:INDEX=0"}</definedName>
    <definedName name="_7670__FDSAUDITLINK__" hidden="1">{"fdsup://directions/FAT Viewer?action=UPDATE&amp;creator=factset&amp;DYN_ARGS=TRUE&amp;DOC_NAME=FAT:FQL_AUDITING_CLIENT_TEMPLATE.FAT&amp;display_string=Audit&amp;VAR:KEY=VQXOHAPCPI&amp;VAR:QUERY=RkZfRUJJVERBX0lCKCdMVE1TJywzOTg3MSk=&amp;WINDOW=FIRST_POPUP&amp;HEIGHT=450&amp;WIDTH=450&amp;START_MA","XIMIZED=FALSE&amp;VAR:CALENDAR=US&amp;VAR:SYMBOL=G0129K10&amp;VAR:INDEX=0"}</definedName>
    <definedName name="_7671__FDSAUDITLINK__" localSheetId="6" hidden="1">{"fdsup://directions/FAT Viewer?action=UPDATE&amp;creator=factset&amp;DYN_ARGS=TRUE&amp;DOC_NAME=FAT:FQL_AUDITING_CLIENT_TEMPLATE.FAT&amp;display_string=Audit&amp;VAR:KEY=HOJEDITULE&amp;VAR:QUERY=RkZfRUJJVERBX0lCKCdMVE1TJywzOTg3MCk=&amp;WINDOW=FIRST_POPUP&amp;HEIGHT=450&amp;WIDTH=450&amp;START_MA","XIMIZED=FALSE&amp;VAR:CALENDAR=US&amp;VAR:SYMBOL=G0129K10&amp;VAR:INDEX=0"}</definedName>
    <definedName name="_7671__FDSAUDITLINK__" hidden="1">{"fdsup://directions/FAT Viewer?action=UPDATE&amp;creator=factset&amp;DYN_ARGS=TRUE&amp;DOC_NAME=FAT:FQL_AUDITING_CLIENT_TEMPLATE.FAT&amp;display_string=Audit&amp;VAR:KEY=HOJEDITULE&amp;VAR:QUERY=RkZfRUJJVERBX0lCKCdMVE1TJywzOTg3MCk=&amp;WINDOW=FIRST_POPUP&amp;HEIGHT=450&amp;WIDTH=450&amp;START_MA","XIMIZED=FALSE&amp;VAR:CALENDAR=US&amp;VAR:SYMBOL=G0129K10&amp;VAR:INDEX=0"}</definedName>
    <definedName name="_7672__FDSAUDITLINK__" localSheetId="6" hidden="1">{"fdsup://directions/FAT Viewer?action=UPDATE&amp;creator=factset&amp;DYN_ARGS=TRUE&amp;DOC_NAME=FAT:FQL_AUDITING_CLIENT_TEMPLATE.FAT&amp;display_string=Audit&amp;VAR:KEY=XSVINYZUPK&amp;VAR:QUERY=RkZfRUJJVERBX0lCKCdMVE1TJywzOTg2OSk=&amp;WINDOW=FIRST_POPUP&amp;HEIGHT=450&amp;WIDTH=450&amp;START_MA","XIMIZED=FALSE&amp;VAR:CALENDAR=US&amp;VAR:SYMBOL=G0129K10&amp;VAR:INDEX=0"}</definedName>
    <definedName name="_7672__FDSAUDITLINK__" hidden="1">{"fdsup://directions/FAT Viewer?action=UPDATE&amp;creator=factset&amp;DYN_ARGS=TRUE&amp;DOC_NAME=FAT:FQL_AUDITING_CLIENT_TEMPLATE.FAT&amp;display_string=Audit&amp;VAR:KEY=XSVINYZUPK&amp;VAR:QUERY=RkZfRUJJVERBX0lCKCdMVE1TJywzOTg2OSk=&amp;WINDOW=FIRST_POPUP&amp;HEIGHT=450&amp;WIDTH=450&amp;START_MA","XIMIZED=FALSE&amp;VAR:CALENDAR=US&amp;VAR:SYMBOL=G0129K10&amp;VAR:INDEX=0"}</definedName>
    <definedName name="_7673__FDSAUDITLINK__" localSheetId="6" hidden="1">{"fdsup://directions/FAT Viewer?action=UPDATE&amp;creator=factset&amp;DYN_ARGS=TRUE&amp;DOC_NAME=FAT:FQL_AUDITING_CLIENT_TEMPLATE.FAT&amp;display_string=Audit&amp;VAR:KEY=NETURCJIPC&amp;VAR:QUERY=RkZfRUJJVERBX0lCKCdMVE1TJywzOTg2OCk=&amp;WINDOW=FIRST_POPUP&amp;HEIGHT=450&amp;WIDTH=450&amp;START_MA","XIMIZED=FALSE&amp;VAR:CALENDAR=US&amp;VAR:SYMBOL=G0129K10&amp;VAR:INDEX=0"}</definedName>
    <definedName name="_7673__FDSAUDITLINK__" hidden="1">{"fdsup://directions/FAT Viewer?action=UPDATE&amp;creator=factset&amp;DYN_ARGS=TRUE&amp;DOC_NAME=FAT:FQL_AUDITING_CLIENT_TEMPLATE.FAT&amp;display_string=Audit&amp;VAR:KEY=NETURCJIPC&amp;VAR:QUERY=RkZfRUJJVERBX0lCKCdMVE1TJywzOTg2OCk=&amp;WINDOW=FIRST_POPUP&amp;HEIGHT=450&amp;WIDTH=450&amp;START_MA","XIMIZED=FALSE&amp;VAR:CALENDAR=US&amp;VAR:SYMBOL=G0129K10&amp;VAR:INDEX=0"}</definedName>
    <definedName name="_7674__FDSAUDITLINK__" localSheetId="6" hidden="1">{"fdsup://directions/FAT Viewer?action=UPDATE&amp;creator=factset&amp;DYN_ARGS=TRUE&amp;DOC_NAME=FAT:FQL_AUDITING_CLIENT_TEMPLATE.FAT&amp;display_string=Audit&amp;VAR:KEY=VAPQTYDYHY&amp;VAR:QUERY=RkZfRUJJVERBX0lCKCdMVE1TJywzOTg2Nyk=&amp;WINDOW=FIRST_POPUP&amp;HEIGHT=450&amp;WIDTH=450&amp;START_MA","XIMIZED=FALSE&amp;VAR:CALENDAR=US&amp;VAR:SYMBOL=G0129K10&amp;VAR:INDEX=0"}</definedName>
    <definedName name="_7674__FDSAUDITLINK__" hidden="1">{"fdsup://directions/FAT Viewer?action=UPDATE&amp;creator=factset&amp;DYN_ARGS=TRUE&amp;DOC_NAME=FAT:FQL_AUDITING_CLIENT_TEMPLATE.FAT&amp;display_string=Audit&amp;VAR:KEY=VAPQTYDYHY&amp;VAR:QUERY=RkZfRUJJVERBX0lCKCdMVE1TJywzOTg2Nyk=&amp;WINDOW=FIRST_POPUP&amp;HEIGHT=450&amp;WIDTH=450&amp;START_MA","XIMIZED=FALSE&amp;VAR:CALENDAR=US&amp;VAR:SYMBOL=G0129K10&amp;VAR:INDEX=0"}</definedName>
    <definedName name="_7675__FDSAUDITLINK__" localSheetId="6" hidden="1">{"fdsup://directions/FAT Viewer?action=UPDATE&amp;creator=factset&amp;DYN_ARGS=TRUE&amp;DOC_NAME=FAT:FQL_AUDITING_CLIENT_TEMPLATE.FAT&amp;display_string=Audit&amp;VAR:KEY=ZSFOTERURY&amp;VAR:QUERY=RkZfRUJJVERBX0lCKCdMVE1TJywzOTg2Nik=&amp;WINDOW=FIRST_POPUP&amp;HEIGHT=450&amp;WIDTH=450&amp;START_MA","XIMIZED=FALSE&amp;VAR:CALENDAR=US&amp;VAR:SYMBOL=G0129K10&amp;VAR:INDEX=0"}</definedName>
    <definedName name="_7675__FDSAUDITLINK__" hidden="1">{"fdsup://directions/FAT Viewer?action=UPDATE&amp;creator=factset&amp;DYN_ARGS=TRUE&amp;DOC_NAME=FAT:FQL_AUDITING_CLIENT_TEMPLATE.FAT&amp;display_string=Audit&amp;VAR:KEY=ZSFOTERURY&amp;VAR:QUERY=RkZfRUJJVERBX0lCKCdMVE1TJywzOTg2Nik=&amp;WINDOW=FIRST_POPUP&amp;HEIGHT=450&amp;WIDTH=450&amp;START_MA","XIMIZED=FALSE&amp;VAR:CALENDAR=US&amp;VAR:SYMBOL=G0129K10&amp;VAR:INDEX=0"}</definedName>
    <definedName name="_7676__FDSAUDITLINK__" localSheetId="6" hidden="1">{"fdsup://directions/FAT Viewer?action=UPDATE&amp;creator=factset&amp;DYN_ARGS=TRUE&amp;DOC_NAME=FAT:FQL_AUDITING_CLIENT_TEMPLATE.FAT&amp;display_string=Audit&amp;VAR:KEY=DGVKVYZAJQ&amp;VAR:QUERY=RkZfRUJJVERBX0lCKCdMVE1TJywzOTg2NSk=&amp;WINDOW=FIRST_POPUP&amp;HEIGHT=450&amp;WIDTH=450&amp;START_MA","XIMIZED=FALSE&amp;VAR:CALENDAR=US&amp;VAR:SYMBOL=G0129K10&amp;VAR:INDEX=0"}</definedName>
    <definedName name="_7676__FDSAUDITLINK__" hidden="1">{"fdsup://directions/FAT Viewer?action=UPDATE&amp;creator=factset&amp;DYN_ARGS=TRUE&amp;DOC_NAME=FAT:FQL_AUDITING_CLIENT_TEMPLATE.FAT&amp;display_string=Audit&amp;VAR:KEY=DGVKVYZAJQ&amp;VAR:QUERY=RkZfRUJJVERBX0lCKCdMVE1TJywzOTg2NSk=&amp;WINDOW=FIRST_POPUP&amp;HEIGHT=450&amp;WIDTH=450&amp;START_MA","XIMIZED=FALSE&amp;VAR:CALENDAR=US&amp;VAR:SYMBOL=G0129K10&amp;VAR:INDEX=0"}</definedName>
    <definedName name="_7677__FDSAUDITLINK__" localSheetId="6" hidden="1">{"fdsup://directions/FAT Viewer?action=UPDATE&amp;creator=factset&amp;DYN_ARGS=TRUE&amp;DOC_NAME=FAT:FQL_AUDITING_CLIENT_TEMPLATE.FAT&amp;display_string=Audit&amp;VAR:KEY=HUTIRSDSVE&amp;VAR:QUERY=RkZfRUJJVERBX0lCKCdMVE1TJywzOTg2NCk=&amp;WINDOW=FIRST_POPUP&amp;HEIGHT=450&amp;WIDTH=450&amp;START_MA","XIMIZED=FALSE&amp;VAR:CALENDAR=US&amp;VAR:SYMBOL=G0129K10&amp;VAR:INDEX=0"}</definedName>
    <definedName name="_7677__FDSAUDITLINK__" hidden="1">{"fdsup://directions/FAT Viewer?action=UPDATE&amp;creator=factset&amp;DYN_ARGS=TRUE&amp;DOC_NAME=FAT:FQL_AUDITING_CLIENT_TEMPLATE.FAT&amp;display_string=Audit&amp;VAR:KEY=HUTIRSDSVE&amp;VAR:QUERY=RkZfRUJJVERBX0lCKCdMVE1TJywzOTg2NCk=&amp;WINDOW=FIRST_POPUP&amp;HEIGHT=450&amp;WIDTH=450&amp;START_MA","XIMIZED=FALSE&amp;VAR:CALENDAR=US&amp;VAR:SYMBOL=G0129K10&amp;VAR:INDEX=0"}</definedName>
    <definedName name="_7678__FDSAUDITLINK__" localSheetId="6" hidden="1">{"fdsup://directions/FAT Viewer?action=UPDATE&amp;creator=factset&amp;DYN_ARGS=TRUE&amp;DOC_NAME=FAT:FQL_AUDITING_CLIENT_TEMPLATE.FAT&amp;display_string=Audit&amp;VAR:KEY=RERSFENCBY&amp;VAR:QUERY=RkZfRUJJVERBX0lCKCdMVE1TJywzOTg2Myk=&amp;WINDOW=FIRST_POPUP&amp;HEIGHT=450&amp;WIDTH=450&amp;START_MA","XIMIZED=FALSE&amp;VAR:CALENDAR=US&amp;VAR:SYMBOL=G0129K10&amp;VAR:INDEX=0"}</definedName>
    <definedName name="_7678__FDSAUDITLINK__" hidden="1">{"fdsup://directions/FAT Viewer?action=UPDATE&amp;creator=factset&amp;DYN_ARGS=TRUE&amp;DOC_NAME=FAT:FQL_AUDITING_CLIENT_TEMPLATE.FAT&amp;display_string=Audit&amp;VAR:KEY=RERSFENCBY&amp;VAR:QUERY=RkZfRUJJVERBX0lCKCdMVE1TJywzOTg2Myk=&amp;WINDOW=FIRST_POPUP&amp;HEIGHT=450&amp;WIDTH=450&amp;START_MA","XIMIZED=FALSE&amp;VAR:CALENDAR=US&amp;VAR:SYMBOL=G0129K10&amp;VAR:INDEX=0"}</definedName>
    <definedName name="_7679__FDSAUDITLINK__" localSheetId="6" hidden="1">{"fdsup://directions/FAT Viewer?action=UPDATE&amp;creator=factset&amp;DYN_ARGS=TRUE&amp;DOC_NAME=FAT:FQL_AUDITING_CLIENT_TEMPLATE.FAT&amp;display_string=Audit&amp;VAR:KEY=HARYFGLCXI&amp;VAR:QUERY=RkZfRUJJVERBX0lCKCdMVE1TJywzOTg2Mik=&amp;WINDOW=FIRST_POPUP&amp;HEIGHT=450&amp;WIDTH=450&amp;START_MA","XIMIZED=FALSE&amp;VAR:CALENDAR=US&amp;VAR:SYMBOL=G0129K10&amp;VAR:INDEX=0"}</definedName>
    <definedName name="_7679__FDSAUDITLINK__" hidden="1">{"fdsup://directions/FAT Viewer?action=UPDATE&amp;creator=factset&amp;DYN_ARGS=TRUE&amp;DOC_NAME=FAT:FQL_AUDITING_CLIENT_TEMPLATE.FAT&amp;display_string=Audit&amp;VAR:KEY=HARYFGLCXI&amp;VAR:QUERY=RkZfRUJJVERBX0lCKCdMVE1TJywzOTg2Mik=&amp;WINDOW=FIRST_POPUP&amp;HEIGHT=450&amp;WIDTH=450&amp;START_MA","XIMIZED=FALSE&amp;VAR:CALENDAR=US&amp;VAR:SYMBOL=G0129K10&amp;VAR:INDEX=0"}</definedName>
    <definedName name="_768__FDSAUDITLINK__" localSheetId="6" hidden="1">{"fdsup://directions/FAT%20Viewer?VAR:PED=LTM&amp;VAR:AUDIT_MODE=SUMMARY&amp;VAR:PERIOD=FIXED&amp;VAR:AUDIT_ID=00000117&amp;VAR:DATE=20080115&amp;action=UPDATE&amp;creator=factset&amp;DOC_NAME=FAT:FMA_audit_SUMMARY.fat&amp;DISPLAY_STRING=Display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8__FDSAUDITLINK__" hidden="1">{"fdsup://directions/FAT%20Viewer?VAR:PED=LTM&amp;VAR:AUDIT_MODE=SUMMARY&amp;VAR:PERIOD=FIXED&amp;VAR:AUDIT_ID=00000117&amp;VAR:DATE=20080115&amp;action=UPDATE&amp;creator=factset&amp;DOC_NAME=FAT:FMA_audit_SUMMARY.fat&amp;DISPLAY_STRING=Display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80__FDSAUDITLINK__" localSheetId="6" hidden="1">{"fdsup://directions/FAT Viewer?action=UPDATE&amp;creator=factset&amp;DYN_ARGS=TRUE&amp;DOC_NAME=FAT:FQL_AUDITING_CLIENT_TEMPLATE.FAT&amp;display_string=Audit&amp;VAR:KEY=JWVQBKLMZU&amp;VAR:QUERY=RkZfRUJJVERBX0lCKCdMVE1TJywzOTg2MSk=&amp;WINDOW=FIRST_POPUP&amp;HEIGHT=450&amp;WIDTH=450&amp;START_MA","XIMIZED=FALSE&amp;VAR:CALENDAR=US&amp;VAR:SYMBOL=G0129K10&amp;VAR:INDEX=0"}</definedName>
    <definedName name="_7680__FDSAUDITLINK__" hidden="1">{"fdsup://directions/FAT Viewer?action=UPDATE&amp;creator=factset&amp;DYN_ARGS=TRUE&amp;DOC_NAME=FAT:FQL_AUDITING_CLIENT_TEMPLATE.FAT&amp;display_string=Audit&amp;VAR:KEY=JWVQBKLMZU&amp;VAR:QUERY=RkZfRUJJVERBX0lCKCdMVE1TJywzOTg2MSk=&amp;WINDOW=FIRST_POPUP&amp;HEIGHT=450&amp;WIDTH=450&amp;START_MA","XIMIZED=FALSE&amp;VAR:CALENDAR=US&amp;VAR:SYMBOL=G0129K10&amp;VAR:INDEX=0"}</definedName>
    <definedName name="_7681__FDSAUDITLINK__" localSheetId="6" hidden="1">{"fdsup://directions/FAT Viewer?action=UPDATE&amp;creator=factset&amp;DYN_ARGS=TRUE&amp;DOC_NAME=FAT:FQL_AUDITING_CLIENT_TEMPLATE.FAT&amp;display_string=Audit&amp;VAR:KEY=BEBMZSVCPI&amp;VAR:QUERY=RkZfRUJJVERBX0lCKCdMVE1TJywzOTg2MCk=&amp;WINDOW=FIRST_POPUP&amp;HEIGHT=450&amp;WIDTH=450&amp;START_MA","XIMIZED=FALSE&amp;VAR:CALENDAR=US&amp;VAR:SYMBOL=G0129K10&amp;VAR:INDEX=0"}</definedName>
    <definedName name="_7681__FDSAUDITLINK__" hidden="1">{"fdsup://directions/FAT Viewer?action=UPDATE&amp;creator=factset&amp;DYN_ARGS=TRUE&amp;DOC_NAME=FAT:FQL_AUDITING_CLIENT_TEMPLATE.FAT&amp;display_string=Audit&amp;VAR:KEY=BEBMZSVCPI&amp;VAR:QUERY=RkZfRUJJVERBX0lCKCdMVE1TJywzOTg2MCk=&amp;WINDOW=FIRST_POPUP&amp;HEIGHT=450&amp;WIDTH=450&amp;START_MA","XIMIZED=FALSE&amp;VAR:CALENDAR=US&amp;VAR:SYMBOL=G0129K10&amp;VAR:INDEX=0"}</definedName>
    <definedName name="_7682__FDSAUDITLINK__" localSheetId="6" hidden="1">{"fdsup://directions/FAT Viewer?action=UPDATE&amp;creator=factset&amp;DYN_ARGS=TRUE&amp;DOC_NAME=FAT:FQL_AUDITING_CLIENT_TEMPLATE.FAT&amp;display_string=Audit&amp;VAR:KEY=TQBOFURQJG&amp;VAR:QUERY=RkZfRUJJVERBX0lCKCdMVE1TJywzOTg1OSk=&amp;WINDOW=FIRST_POPUP&amp;HEIGHT=450&amp;WIDTH=450&amp;START_MA","XIMIZED=FALSE&amp;VAR:CALENDAR=US&amp;VAR:SYMBOL=G0129K10&amp;VAR:INDEX=0"}</definedName>
    <definedName name="_7682__FDSAUDITLINK__" hidden="1">{"fdsup://directions/FAT Viewer?action=UPDATE&amp;creator=factset&amp;DYN_ARGS=TRUE&amp;DOC_NAME=FAT:FQL_AUDITING_CLIENT_TEMPLATE.FAT&amp;display_string=Audit&amp;VAR:KEY=TQBOFURQJG&amp;VAR:QUERY=RkZfRUJJVERBX0lCKCdMVE1TJywzOTg1OSk=&amp;WINDOW=FIRST_POPUP&amp;HEIGHT=450&amp;WIDTH=450&amp;START_MA","XIMIZED=FALSE&amp;VAR:CALENDAR=US&amp;VAR:SYMBOL=G0129K10&amp;VAR:INDEX=0"}</definedName>
    <definedName name="_7683__FDSAUDITLINK__" localSheetId="6" hidden="1">{"fdsup://directions/FAT Viewer?action=UPDATE&amp;creator=factset&amp;DYN_ARGS=TRUE&amp;DOC_NAME=FAT:FQL_AUDITING_CLIENT_TEMPLATE.FAT&amp;display_string=Audit&amp;VAR:KEY=VSZSHWBOVC&amp;VAR:QUERY=RkZfRUJJVERBX0lCKCdMVE1TJywzOTg1OCk=&amp;WINDOW=FIRST_POPUP&amp;HEIGHT=450&amp;WIDTH=450&amp;START_MA","XIMIZED=FALSE&amp;VAR:CALENDAR=US&amp;VAR:SYMBOL=G0129K10&amp;VAR:INDEX=0"}</definedName>
    <definedName name="_7683__FDSAUDITLINK__" hidden="1">{"fdsup://directions/FAT Viewer?action=UPDATE&amp;creator=factset&amp;DYN_ARGS=TRUE&amp;DOC_NAME=FAT:FQL_AUDITING_CLIENT_TEMPLATE.FAT&amp;display_string=Audit&amp;VAR:KEY=VSZSHWBOVC&amp;VAR:QUERY=RkZfRUJJVERBX0lCKCdMVE1TJywzOTg1OCk=&amp;WINDOW=FIRST_POPUP&amp;HEIGHT=450&amp;WIDTH=450&amp;START_MA","XIMIZED=FALSE&amp;VAR:CALENDAR=US&amp;VAR:SYMBOL=G0129K10&amp;VAR:INDEX=0"}</definedName>
    <definedName name="_7684__FDSAUDITLINK__" localSheetId="6" hidden="1">{"fdsup://directions/FAT Viewer?action=UPDATE&amp;creator=factset&amp;DYN_ARGS=TRUE&amp;DOC_NAME=FAT:FQL_AUDITING_CLIENT_TEMPLATE.FAT&amp;display_string=Audit&amp;VAR:KEY=TAHCTGBKHS&amp;VAR:QUERY=RkZfRUJJVERBX0lCKCdMVE1TJywzOTg1Nyk=&amp;WINDOW=FIRST_POPUP&amp;HEIGHT=450&amp;WIDTH=450&amp;START_MA","XIMIZED=FALSE&amp;VAR:CALENDAR=US&amp;VAR:SYMBOL=G0129K10&amp;VAR:INDEX=0"}</definedName>
    <definedName name="_7684__FDSAUDITLINK__" hidden="1">{"fdsup://directions/FAT Viewer?action=UPDATE&amp;creator=factset&amp;DYN_ARGS=TRUE&amp;DOC_NAME=FAT:FQL_AUDITING_CLIENT_TEMPLATE.FAT&amp;display_string=Audit&amp;VAR:KEY=TAHCTGBKHS&amp;VAR:QUERY=RkZfRUJJVERBX0lCKCdMVE1TJywzOTg1Nyk=&amp;WINDOW=FIRST_POPUP&amp;HEIGHT=450&amp;WIDTH=450&amp;START_MA","XIMIZED=FALSE&amp;VAR:CALENDAR=US&amp;VAR:SYMBOL=G0129K10&amp;VAR:INDEX=0"}</definedName>
    <definedName name="_7685__FDSAUDITLINK__" localSheetId="6" hidden="1">{"fdsup://directions/FAT Viewer?action=UPDATE&amp;creator=factset&amp;DYN_ARGS=TRUE&amp;DOC_NAME=FAT:FQL_AUDITING_CLIENT_TEMPLATE.FAT&amp;display_string=Audit&amp;VAR:KEY=HUBAPCNMJY&amp;VAR:QUERY=RkZfRUJJVERBX0lCKCdMVE1TJywzOTg1Nik=&amp;WINDOW=FIRST_POPUP&amp;HEIGHT=450&amp;WIDTH=450&amp;START_MA","XIMIZED=FALSE&amp;VAR:CALENDAR=US&amp;VAR:SYMBOL=G0129K10&amp;VAR:INDEX=0"}</definedName>
    <definedName name="_7685__FDSAUDITLINK__" hidden="1">{"fdsup://directions/FAT Viewer?action=UPDATE&amp;creator=factset&amp;DYN_ARGS=TRUE&amp;DOC_NAME=FAT:FQL_AUDITING_CLIENT_TEMPLATE.FAT&amp;display_string=Audit&amp;VAR:KEY=HUBAPCNMJY&amp;VAR:QUERY=RkZfRUJJVERBX0lCKCdMVE1TJywzOTg1Nik=&amp;WINDOW=FIRST_POPUP&amp;HEIGHT=450&amp;WIDTH=450&amp;START_MA","XIMIZED=FALSE&amp;VAR:CALENDAR=US&amp;VAR:SYMBOL=G0129K10&amp;VAR:INDEX=0"}</definedName>
    <definedName name="_7686__FDSAUDITLINK__" localSheetId="6" hidden="1">{"fdsup://directions/FAT Viewer?action=UPDATE&amp;creator=factset&amp;DYN_ARGS=TRUE&amp;DOC_NAME=FAT:FQL_AUDITING_CLIENT_TEMPLATE.FAT&amp;display_string=Audit&amp;VAR:KEY=PGDQDMXUVE&amp;VAR:QUERY=RkZfRUJJVERBX0lCKCdMVE1TJywzOTg1NSk=&amp;WINDOW=FIRST_POPUP&amp;HEIGHT=450&amp;WIDTH=450&amp;START_MA","XIMIZED=FALSE&amp;VAR:CALENDAR=US&amp;VAR:SYMBOL=G0129K10&amp;VAR:INDEX=0"}</definedName>
    <definedName name="_7686__FDSAUDITLINK__" hidden="1">{"fdsup://directions/FAT Viewer?action=UPDATE&amp;creator=factset&amp;DYN_ARGS=TRUE&amp;DOC_NAME=FAT:FQL_AUDITING_CLIENT_TEMPLATE.FAT&amp;display_string=Audit&amp;VAR:KEY=PGDQDMXUVE&amp;VAR:QUERY=RkZfRUJJVERBX0lCKCdMVE1TJywzOTg1NSk=&amp;WINDOW=FIRST_POPUP&amp;HEIGHT=450&amp;WIDTH=450&amp;START_MA","XIMIZED=FALSE&amp;VAR:CALENDAR=US&amp;VAR:SYMBOL=G0129K10&amp;VAR:INDEX=0"}</definedName>
    <definedName name="_7687__FDSAUDITLINK__" localSheetId="6" hidden="1">{"fdsup://directions/FAT Viewer?action=UPDATE&amp;creator=factset&amp;DYN_ARGS=TRUE&amp;DOC_NAME=FAT:FQL_AUDITING_CLIENT_TEMPLATE.FAT&amp;display_string=Audit&amp;VAR:KEY=NOZYBGNKLK&amp;VAR:QUERY=RkZfRUJJVERBX0lCKCdMVE1TJywzOTg1NCk=&amp;WINDOW=FIRST_POPUP&amp;HEIGHT=450&amp;WIDTH=450&amp;START_MA","XIMIZED=FALSE&amp;VAR:CALENDAR=US&amp;VAR:SYMBOL=G0129K10&amp;VAR:INDEX=0"}</definedName>
    <definedName name="_7687__FDSAUDITLINK__" hidden="1">{"fdsup://directions/FAT Viewer?action=UPDATE&amp;creator=factset&amp;DYN_ARGS=TRUE&amp;DOC_NAME=FAT:FQL_AUDITING_CLIENT_TEMPLATE.FAT&amp;display_string=Audit&amp;VAR:KEY=NOZYBGNKLK&amp;VAR:QUERY=RkZfRUJJVERBX0lCKCdMVE1TJywzOTg1NCk=&amp;WINDOW=FIRST_POPUP&amp;HEIGHT=450&amp;WIDTH=450&amp;START_MA","XIMIZED=FALSE&amp;VAR:CALENDAR=US&amp;VAR:SYMBOL=G0129K10&amp;VAR:INDEX=0"}</definedName>
    <definedName name="_7688__FDSAUDITLINK__" localSheetId="6" hidden="1">{"fdsup://directions/FAT Viewer?action=UPDATE&amp;creator=factset&amp;DYN_ARGS=TRUE&amp;DOC_NAME=FAT:FQL_AUDITING_CLIENT_TEMPLATE.FAT&amp;display_string=Audit&amp;VAR:KEY=XCVMNYNIXW&amp;VAR:QUERY=RkZfRUJJVERBX0lCKCdMVE1TJywzOTg1Myk=&amp;WINDOW=FIRST_POPUP&amp;HEIGHT=450&amp;WIDTH=450&amp;START_MA","XIMIZED=FALSE&amp;VAR:CALENDAR=US&amp;VAR:SYMBOL=G0129K10&amp;VAR:INDEX=0"}</definedName>
    <definedName name="_7688__FDSAUDITLINK__" hidden="1">{"fdsup://directions/FAT Viewer?action=UPDATE&amp;creator=factset&amp;DYN_ARGS=TRUE&amp;DOC_NAME=FAT:FQL_AUDITING_CLIENT_TEMPLATE.FAT&amp;display_string=Audit&amp;VAR:KEY=XCVMNYNIXW&amp;VAR:QUERY=RkZfRUJJVERBX0lCKCdMVE1TJywzOTg1Myk=&amp;WINDOW=FIRST_POPUP&amp;HEIGHT=450&amp;WIDTH=450&amp;START_MA","XIMIZED=FALSE&amp;VAR:CALENDAR=US&amp;VAR:SYMBOL=G0129K10&amp;VAR:INDEX=0"}</definedName>
    <definedName name="_7689__FDSAUDITLINK__" localSheetId="6" hidden="1">{"fdsup://directions/FAT Viewer?action=UPDATE&amp;creator=factset&amp;DYN_ARGS=TRUE&amp;DOC_NAME=FAT:FQL_AUDITING_CLIENT_TEMPLATE.FAT&amp;display_string=Audit&amp;VAR:KEY=RABYBMZQNM&amp;VAR:QUERY=RkZfRUJJVERBX0lCKCdMVE1TJywzOTg1Mik=&amp;WINDOW=FIRST_POPUP&amp;HEIGHT=450&amp;WIDTH=450&amp;START_MA","XIMIZED=FALSE&amp;VAR:CALENDAR=US&amp;VAR:SYMBOL=G0129K10&amp;VAR:INDEX=0"}</definedName>
    <definedName name="_7689__FDSAUDITLINK__" hidden="1">{"fdsup://directions/FAT Viewer?action=UPDATE&amp;creator=factset&amp;DYN_ARGS=TRUE&amp;DOC_NAME=FAT:FQL_AUDITING_CLIENT_TEMPLATE.FAT&amp;display_string=Audit&amp;VAR:KEY=RABYBMZQNM&amp;VAR:QUERY=RkZfRUJJVERBX0lCKCdMVE1TJywzOTg1Mik=&amp;WINDOW=FIRST_POPUP&amp;HEIGHT=450&amp;WIDTH=450&amp;START_MA","XIMIZED=FALSE&amp;VAR:CALENDAR=US&amp;VAR:SYMBOL=G0129K10&amp;VAR:INDEX=0"}</definedName>
    <definedName name="_769__FDSAUDITLINK__" localSheetId="6" hidden="1">{"fdsup://directions/FAT%20Viewer?VAR:PED=LTM&amp;VAR:AUDIT_MODE=SUMMARY&amp;VAR:PERIOD=FIXED&amp;VAR:AUDIT_ID=00000117&amp;VAR:DATE=20080114&amp;action=UPDATE&amp;creator=factset&amp;DOC_NAME=FAT:FMA_audit_SUMMARY.fat&amp;DISPLAY_STRING=Display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9__FDSAUDITLINK__" hidden="1">{"fdsup://directions/FAT%20Viewer?VAR:PED=LTM&amp;VAR:AUDIT_MODE=SUMMARY&amp;VAR:PERIOD=FIXED&amp;VAR:AUDIT_ID=00000117&amp;VAR:DATE=20080114&amp;action=UPDATE&amp;creator=factset&amp;DOC_NAME=FAT:FMA_audit_SUMMARY.fat&amp;DISPLAY_STRING=Display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690__FDSAUDITLINK__" localSheetId="6" hidden="1">{"fdsup://directions/FAT Viewer?action=UPDATE&amp;creator=factset&amp;DYN_ARGS=TRUE&amp;DOC_NAME=FAT:FQL_AUDITING_CLIENT_TEMPLATE.FAT&amp;display_string=Audit&amp;VAR:KEY=NEJODWFQNI&amp;VAR:QUERY=RkZfRUJJVERBX0lCKCdMVE1TJywzOTg1MSk=&amp;WINDOW=FIRST_POPUP&amp;HEIGHT=450&amp;WIDTH=450&amp;START_MA","XIMIZED=FALSE&amp;VAR:CALENDAR=US&amp;VAR:SYMBOL=G0129K10&amp;VAR:INDEX=0"}</definedName>
    <definedName name="_7690__FDSAUDITLINK__" hidden="1">{"fdsup://directions/FAT Viewer?action=UPDATE&amp;creator=factset&amp;DYN_ARGS=TRUE&amp;DOC_NAME=FAT:FQL_AUDITING_CLIENT_TEMPLATE.FAT&amp;display_string=Audit&amp;VAR:KEY=NEJODWFQNI&amp;VAR:QUERY=RkZfRUJJVERBX0lCKCdMVE1TJywzOTg1MSk=&amp;WINDOW=FIRST_POPUP&amp;HEIGHT=450&amp;WIDTH=450&amp;START_MA","XIMIZED=FALSE&amp;VAR:CALENDAR=US&amp;VAR:SYMBOL=G0129K10&amp;VAR:INDEX=0"}</definedName>
    <definedName name="_7691__FDSAUDITLINK__" localSheetId="6" hidden="1">{"fdsup://directions/FAT Viewer?action=UPDATE&amp;creator=factset&amp;DYN_ARGS=TRUE&amp;DOC_NAME=FAT:FQL_AUDITING_CLIENT_TEMPLATE.FAT&amp;display_string=Audit&amp;VAR:KEY=FIPIPAREPG&amp;VAR:QUERY=RkZfRUJJVERBX0lCKCdMVE1TJywzOTg1MCk=&amp;WINDOW=FIRST_POPUP&amp;HEIGHT=450&amp;WIDTH=450&amp;START_MA","XIMIZED=FALSE&amp;VAR:CALENDAR=US&amp;VAR:SYMBOL=G0129K10&amp;VAR:INDEX=0"}</definedName>
    <definedName name="_7691__FDSAUDITLINK__" hidden="1">{"fdsup://directions/FAT Viewer?action=UPDATE&amp;creator=factset&amp;DYN_ARGS=TRUE&amp;DOC_NAME=FAT:FQL_AUDITING_CLIENT_TEMPLATE.FAT&amp;display_string=Audit&amp;VAR:KEY=FIPIPAREPG&amp;VAR:QUERY=RkZfRUJJVERBX0lCKCdMVE1TJywzOTg1MCk=&amp;WINDOW=FIRST_POPUP&amp;HEIGHT=450&amp;WIDTH=450&amp;START_MA","XIMIZED=FALSE&amp;VAR:CALENDAR=US&amp;VAR:SYMBOL=G0129K10&amp;VAR:INDEX=0"}</definedName>
    <definedName name="_7692__FDSAUDITLINK__" localSheetId="6" hidden="1">{"fdsup://directions/FAT Viewer?action=UPDATE&amp;creator=factset&amp;DYN_ARGS=TRUE&amp;DOC_NAME=FAT:FQL_AUDITING_CLIENT_TEMPLATE.FAT&amp;display_string=Audit&amp;VAR:KEY=LSZYFOPEBC&amp;VAR:QUERY=RkZfRUJJVERBX0lCKCdMVE1TJywzOTg0OSk=&amp;WINDOW=FIRST_POPUP&amp;HEIGHT=450&amp;WIDTH=450&amp;START_MA","XIMIZED=FALSE&amp;VAR:CALENDAR=US&amp;VAR:SYMBOL=G0129K10&amp;VAR:INDEX=0"}</definedName>
    <definedName name="_7692__FDSAUDITLINK__" hidden="1">{"fdsup://directions/FAT Viewer?action=UPDATE&amp;creator=factset&amp;DYN_ARGS=TRUE&amp;DOC_NAME=FAT:FQL_AUDITING_CLIENT_TEMPLATE.FAT&amp;display_string=Audit&amp;VAR:KEY=LSZYFOPEBC&amp;VAR:QUERY=RkZfRUJJVERBX0lCKCdMVE1TJywzOTg0OSk=&amp;WINDOW=FIRST_POPUP&amp;HEIGHT=450&amp;WIDTH=450&amp;START_MA","XIMIZED=FALSE&amp;VAR:CALENDAR=US&amp;VAR:SYMBOL=G0129K10&amp;VAR:INDEX=0"}</definedName>
    <definedName name="_7693__FDSAUDITLINK__" localSheetId="6" hidden="1">{"fdsup://directions/FAT Viewer?action=UPDATE&amp;creator=factset&amp;DYN_ARGS=TRUE&amp;DOC_NAME=FAT:FQL_AUDITING_CLIENT_TEMPLATE.FAT&amp;display_string=Audit&amp;VAR:KEY=JMDKTYLOLC&amp;VAR:QUERY=RkZfRUJJVERBX0lCKCdMVE1TJywzOTg0OCk=&amp;WINDOW=FIRST_POPUP&amp;HEIGHT=450&amp;WIDTH=450&amp;START_MA","XIMIZED=FALSE&amp;VAR:CALENDAR=US&amp;VAR:SYMBOL=G0129K10&amp;VAR:INDEX=0"}</definedName>
    <definedName name="_7693__FDSAUDITLINK__" hidden="1">{"fdsup://directions/FAT Viewer?action=UPDATE&amp;creator=factset&amp;DYN_ARGS=TRUE&amp;DOC_NAME=FAT:FQL_AUDITING_CLIENT_TEMPLATE.FAT&amp;display_string=Audit&amp;VAR:KEY=JMDKTYLOLC&amp;VAR:QUERY=RkZfRUJJVERBX0lCKCdMVE1TJywzOTg0OCk=&amp;WINDOW=FIRST_POPUP&amp;HEIGHT=450&amp;WIDTH=450&amp;START_MA","XIMIZED=FALSE&amp;VAR:CALENDAR=US&amp;VAR:SYMBOL=G0129K10&amp;VAR:INDEX=0"}</definedName>
    <definedName name="_7694__FDSAUDITLINK__" localSheetId="6" hidden="1">{"fdsup://directions/FAT Viewer?action=UPDATE&amp;creator=factset&amp;DYN_ARGS=TRUE&amp;DOC_NAME=FAT:FQL_AUDITING_CLIENT_TEMPLATE.FAT&amp;display_string=Audit&amp;VAR:KEY=VYNMTMXEDO&amp;VAR:QUERY=RkZfRUJJVERBX0lCKCdMVE1TJywzOTg0Nyk=&amp;WINDOW=FIRST_POPUP&amp;HEIGHT=450&amp;WIDTH=450&amp;START_MA","XIMIZED=FALSE&amp;VAR:CALENDAR=US&amp;VAR:SYMBOL=G0129K10&amp;VAR:INDEX=0"}</definedName>
    <definedName name="_7694__FDSAUDITLINK__" hidden="1">{"fdsup://directions/FAT Viewer?action=UPDATE&amp;creator=factset&amp;DYN_ARGS=TRUE&amp;DOC_NAME=FAT:FQL_AUDITING_CLIENT_TEMPLATE.FAT&amp;display_string=Audit&amp;VAR:KEY=VYNMTMXEDO&amp;VAR:QUERY=RkZfRUJJVERBX0lCKCdMVE1TJywzOTg0Nyk=&amp;WINDOW=FIRST_POPUP&amp;HEIGHT=450&amp;WIDTH=450&amp;START_MA","XIMIZED=FALSE&amp;VAR:CALENDAR=US&amp;VAR:SYMBOL=G0129K10&amp;VAR:INDEX=0"}</definedName>
    <definedName name="_7695__FDSAUDITLINK__" localSheetId="6" hidden="1">{"fdsup://directions/FAT Viewer?action=UPDATE&amp;creator=factset&amp;DYN_ARGS=TRUE&amp;DOC_NAME=FAT:FQL_AUDITING_CLIENT_TEMPLATE.FAT&amp;display_string=Audit&amp;VAR:KEY=PATGZYBUZM&amp;VAR:QUERY=RkZfRUJJVERBX0lCKCdMVE1TJywzOTg0Nik=&amp;WINDOW=FIRST_POPUP&amp;HEIGHT=450&amp;WIDTH=450&amp;START_MA","XIMIZED=FALSE&amp;VAR:CALENDAR=US&amp;VAR:SYMBOL=G0129K10&amp;VAR:INDEX=0"}</definedName>
    <definedName name="_7695__FDSAUDITLINK__" hidden="1">{"fdsup://directions/FAT Viewer?action=UPDATE&amp;creator=factset&amp;DYN_ARGS=TRUE&amp;DOC_NAME=FAT:FQL_AUDITING_CLIENT_TEMPLATE.FAT&amp;display_string=Audit&amp;VAR:KEY=PATGZYBUZM&amp;VAR:QUERY=RkZfRUJJVERBX0lCKCdMVE1TJywzOTg0Nik=&amp;WINDOW=FIRST_POPUP&amp;HEIGHT=450&amp;WIDTH=450&amp;START_MA","XIMIZED=FALSE&amp;VAR:CALENDAR=US&amp;VAR:SYMBOL=G0129K10&amp;VAR:INDEX=0"}</definedName>
    <definedName name="_7696__FDSAUDITLINK__" localSheetId="6" hidden="1">{"fdsup://directions/FAT Viewer?action=UPDATE&amp;creator=factset&amp;DYN_ARGS=TRUE&amp;DOC_NAME=FAT:FQL_AUDITING_CLIENT_TEMPLATE.FAT&amp;display_string=Audit&amp;VAR:KEY=XKRCHOXSZU&amp;VAR:QUERY=RkZfRUJJVERBX0lCKCdMVE1TJywzOTg0NSk=&amp;WINDOW=FIRST_POPUP&amp;HEIGHT=450&amp;WIDTH=450&amp;START_MA","XIMIZED=FALSE&amp;VAR:CALENDAR=US&amp;VAR:SYMBOL=G0129K10&amp;VAR:INDEX=0"}</definedName>
    <definedName name="_7696__FDSAUDITLINK__" hidden="1">{"fdsup://directions/FAT Viewer?action=UPDATE&amp;creator=factset&amp;DYN_ARGS=TRUE&amp;DOC_NAME=FAT:FQL_AUDITING_CLIENT_TEMPLATE.FAT&amp;display_string=Audit&amp;VAR:KEY=XKRCHOXSZU&amp;VAR:QUERY=RkZfRUJJVERBX0lCKCdMVE1TJywzOTg0NSk=&amp;WINDOW=FIRST_POPUP&amp;HEIGHT=450&amp;WIDTH=450&amp;START_MA","XIMIZED=FALSE&amp;VAR:CALENDAR=US&amp;VAR:SYMBOL=G0129K10&amp;VAR:INDEX=0"}</definedName>
    <definedName name="_7697__FDSAUDITLINK__" localSheetId="6" hidden="1">{"fdsup://directions/FAT Viewer?action=UPDATE&amp;creator=factset&amp;DYN_ARGS=TRUE&amp;DOC_NAME=FAT:FQL_AUDITING_CLIENT_TEMPLATE.FAT&amp;display_string=Audit&amp;VAR:KEY=LKZSDUJSZK&amp;VAR:QUERY=RkZfRUJJVERBX0lCKCdMVE1TJywzOTg0NCk=&amp;WINDOW=FIRST_POPUP&amp;HEIGHT=450&amp;WIDTH=450&amp;START_MA","XIMIZED=FALSE&amp;VAR:CALENDAR=US&amp;VAR:SYMBOL=G0129K10&amp;VAR:INDEX=0"}</definedName>
    <definedName name="_7697__FDSAUDITLINK__" hidden="1">{"fdsup://directions/FAT Viewer?action=UPDATE&amp;creator=factset&amp;DYN_ARGS=TRUE&amp;DOC_NAME=FAT:FQL_AUDITING_CLIENT_TEMPLATE.FAT&amp;display_string=Audit&amp;VAR:KEY=LKZSDUJSZK&amp;VAR:QUERY=RkZfRUJJVERBX0lCKCdMVE1TJywzOTg0NCk=&amp;WINDOW=FIRST_POPUP&amp;HEIGHT=450&amp;WIDTH=450&amp;START_MA","XIMIZED=FALSE&amp;VAR:CALENDAR=US&amp;VAR:SYMBOL=G0129K10&amp;VAR:INDEX=0"}</definedName>
    <definedName name="_7698__FDSAUDITLINK__" localSheetId="6" hidden="1">{"fdsup://directions/FAT Viewer?action=UPDATE&amp;creator=factset&amp;DYN_ARGS=TRUE&amp;DOC_NAME=FAT:FQL_AUDITING_CLIENT_TEMPLATE.FAT&amp;display_string=Audit&amp;VAR:KEY=RINGTENULO&amp;VAR:QUERY=RkZfRUJJVERBX0lCKCdMVE1TJywzOTg0Myk=&amp;WINDOW=FIRST_POPUP&amp;HEIGHT=450&amp;WIDTH=450&amp;START_MA","XIMIZED=FALSE&amp;VAR:CALENDAR=US&amp;VAR:SYMBOL=G0129K10&amp;VAR:INDEX=0"}</definedName>
    <definedName name="_7698__FDSAUDITLINK__" hidden="1">{"fdsup://directions/FAT Viewer?action=UPDATE&amp;creator=factset&amp;DYN_ARGS=TRUE&amp;DOC_NAME=FAT:FQL_AUDITING_CLIENT_TEMPLATE.FAT&amp;display_string=Audit&amp;VAR:KEY=RINGTENULO&amp;VAR:QUERY=RkZfRUJJVERBX0lCKCdMVE1TJywzOTg0Myk=&amp;WINDOW=FIRST_POPUP&amp;HEIGHT=450&amp;WIDTH=450&amp;START_MA","XIMIZED=FALSE&amp;VAR:CALENDAR=US&amp;VAR:SYMBOL=G0129K10&amp;VAR:INDEX=0"}</definedName>
    <definedName name="_7699__FDSAUDITLINK__" localSheetId="6" hidden="1">{"fdsup://directions/FAT Viewer?action=UPDATE&amp;creator=factset&amp;DYN_ARGS=TRUE&amp;DOC_NAME=FAT:FQL_AUDITING_CLIENT_TEMPLATE.FAT&amp;display_string=Audit&amp;VAR:KEY=TERUBWTIZC&amp;VAR:QUERY=RkZfRUJJVERBX0lCKCdMVE1TJywzOTg0Mik=&amp;WINDOW=FIRST_POPUP&amp;HEIGHT=450&amp;WIDTH=450&amp;START_MA","XIMIZED=FALSE&amp;VAR:CALENDAR=US&amp;VAR:SYMBOL=G0129K10&amp;VAR:INDEX=0"}</definedName>
    <definedName name="_7699__FDSAUDITLINK__" hidden="1">{"fdsup://directions/FAT Viewer?action=UPDATE&amp;creator=factset&amp;DYN_ARGS=TRUE&amp;DOC_NAME=FAT:FQL_AUDITING_CLIENT_TEMPLATE.FAT&amp;display_string=Audit&amp;VAR:KEY=TERUBWTIZC&amp;VAR:QUERY=RkZfRUJJVERBX0lCKCdMVE1TJywzOTg0Mik=&amp;WINDOW=FIRST_POPUP&amp;HEIGHT=450&amp;WIDTH=450&amp;START_MA","XIMIZED=FALSE&amp;VAR:CALENDAR=US&amp;VAR:SYMBOL=G0129K10&amp;VAR:INDEX=0"}</definedName>
    <definedName name="_77__FDSAUDITLINK__" localSheetId="6" hidden="1">{"fdsup://directions/FAT Viewer?action=UPDATE&amp;creator=factset&amp;DYN_ARGS=TRUE&amp;DOC_NAME=FAT:FQL_AUDITING_CLIENT_TEMPLATE.FAT&amp;display_string=Audit&amp;VAR:KEY=LCRSDAPSXK&amp;VAR:QUERY=QVZHKENTRl9ORVRfSU5DKEFOTiwwRlksLTZGWSxZKSkgLyAoQVZHKENTRl9BU1NFVFMoQU5OLDBGWSwtNkZZL","EZZKSkgLSBBVkcoQ1NGX0lOVEFORyhBTk4sMCwtNkZZLEZZKSkp&amp;WINDOW=FIRST_POPUP&amp;HEIGHT=450&amp;WIDTH=450&amp;START_MAXIMIZED=FALSE&amp;VAR:CALENDAR=US&amp;VAR:SYMBOL=87408310"}</definedName>
    <definedName name="_77__FDSAUDITLINK__" hidden="1">{"fdsup://directions/FAT Viewer?action=UPDATE&amp;creator=factset&amp;DYN_ARGS=TRUE&amp;DOC_NAME=FAT:FQL_AUDITING_CLIENT_TEMPLATE.FAT&amp;display_string=Audit&amp;VAR:KEY=LCRSDAPSXK&amp;VAR:QUERY=QVZHKENTRl9ORVRfSU5DKEFOTiwwRlksLTZGWSxZKSkgLyAoQVZHKENTRl9BU1NFVFMoQU5OLDBGWSwtNkZZL","EZZKSkgLSBBVkcoQ1NGX0lOVEFORyhBTk4sMCwtNkZZLEZZKSkp&amp;WINDOW=FIRST_POPUP&amp;HEIGHT=450&amp;WIDTH=450&amp;START_MAXIMIZED=FALSE&amp;VAR:CALENDAR=US&amp;VAR:SYMBOL=87408310"}</definedName>
    <definedName name="_770__FDSAUDITLINK__" localSheetId="6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0__FDSAUDITLINK__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00__FDSAUDITLINK__" localSheetId="6" hidden="1">{"fdsup://directions/FAT Viewer?action=UPDATE&amp;creator=factset&amp;DYN_ARGS=TRUE&amp;DOC_NAME=FAT:FQL_AUDITING_CLIENT_TEMPLATE.FAT&amp;display_string=Audit&amp;VAR:KEY=JWLIHWNQPG&amp;VAR:QUERY=RkZfRUJJVERBX0lCKCdMVE1TJywzOTg0MSk=&amp;WINDOW=FIRST_POPUP&amp;HEIGHT=450&amp;WIDTH=450&amp;START_MA","XIMIZED=FALSE&amp;VAR:CALENDAR=US&amp;VAR:SYMBOL=G0129K10&amp;VAR:INDEX=0"}</definedName>
    <definedName name="_7700__FDSAUDITLINK__" hidden="1">{"fdsup://directions/FAT Viewer?action=UPDATE&amp;creator=factset&amp;DYN_ARGS=TRUE&amp;DOC_NAME=FAT:FQL_AUDITING_CLIENT_TEMPLATE.FAT&amp;display_string=Audit&amp;VAR:KEY=JWLIHWNQPG&amp;VAR:QUERY=RkZfRUJJVERBX0lCKCdMVE1TJywzOTg0MSk=&amp;WINDOW=FIRST_POPUP&amp;HEIGHT=450&amp;WIDTH=450&amp;START_MA","XIMIZED=FALSE&amp;VAR:CALENDAR=US&amp;VAR:SYMBOL=G0129K10&amp;VAR:INDEX=0"}</definedName>
    <definedName name="_7701__FDSAUDITLINK__" localSheetId="6" hidden="1">{"fdsup://directions/FAT Viewer?action=UPDATE&amp;creator=factset&amp;DYN_ARGS=TRUE&amp;DOC_NAME=FAT:FQL_AUDITING_CLIENT_TEMPLATE.FAT&amp;display_string=Audit&amp;VAR:KEY=BQRARIREHC&amp;VAR:QUERY=RkZfRUJJVERBX0lCKCdMVE1TJywzOTg0MCk=&amp;WINDOW=FIRST_POPUP&amp;HEIGHT=450&amp;WIDTH=450&amp;START_MA","XIMIZED=FALSE&amp;VAR:CALENDAR=US&amp;VAR:SYMBOL=G0129K10&amp;VAR:INDEX=0"}</definedName>
    <definedName name="_7701__FDSAUDITLINK__" hidden="1">{"fdsup://directions/FAT Viewer?action=UPDATE&amp;creator=factset&amp;DYN_ARGS=TRUE&amp;DOC_NAME=FAT:FQL_AUDITING_CLIENT_TEMPLATE.FAT&amp;display_string=Audit&amp;VAR:KEY=BQRARIREHC&amp;VAR:QUERY=RkZfRUJJVERBX0lCKCdMVE1TJywzOTg0MCk=&amp;WINDOW=FIRST_POPUP&amp;HEIGHT=450&amp;WIDTH=450&amp;START_MA","XIMIZED=FALSE&amp;VAR:CALENDAR=US&amp;VAR:SYMBOL=G0129K10&amp;VAR:INDEX=0"}</definedName>
    <definedName name="_7702__FDSAUDITLINK__" localSheetId="6" hidden="1">{"fdsup://directions/FAT Viewer?action=UPDATE&amp;creator=factset&amp;DYN_ARGS=TRUE&amp;DOC_NAME=FAT:FQL_AUDITING_CLIENT_TEMPLATE.FAT&amp;display_string=Audit&amp;VAR:KEY=XCPYFMNWPU&amp;VAR:QUERY=RkZfRUJJVERBX0lCKCdMVE1TJywzOTgzOSk=&amp;WINDOW=FIRST_POPUP&amp;HEIGHT=450&amp;WIDTH=450&amp;START_MA","XIMIZED=FALSE&amp;VAR:CALENDAR=US&amp;VAR:SYMBOL=G0129K10&amp;VAR:INDEX=0"}</definedName>
    <definedName name="_7702__FDSAUDITLINK__" hidden="1">{"fdsup://directions/FAT Viewer?action=UPDATE&amp;creator=factset&amp;DYN_ARGS=TRUE&amp;DOC_NAME=FAT:FQL_AUDITING_CLIENT_TEMPLATE.FAT&amp;display_string=Audit&amp;VAR:KEY=XCPYFMNWPU&amp;VAR:QUERY=RkZfRUJJVERBX0lCKCdMVE1TJywzOTgzOSk=&amp;WINDOW=FIRST_POPUP&amp;HEIGHT=450&amp;WIDTH=450&amp;START_MA","XIMIZED=FALSE&amp;VAR:CALENDAR=US&amp;VAR:SYMBOL=G0129K10&amp;VAR:INDEX=0"}</definedName>
    <definedName name="_7703__FDSAUDITLINK__" localSheetId="6" hidden="1">{"fdsup://directions/FAT Viewer?action=UPDATE&amp;creator=factset&amp;DYN_ARGS=TRUE&amp;DOC_NAME=FAT:FQL_AUDITING_CLIENT_TEMPLATE.FAT&amp;display_string=Audit&amp;VAR:KEY=RGTWJGZQXI&amp;VAR:QUERY=RkZfRUJJVERBX0lCKCdMVE1TJywzOTgzOCk=&amp;WINDOW=FIRST_POPUP&amp;HEIGHT=450&amp;WIDTH=450&amp;START_MA","XIMIZED=FALSE&amp;VAR:CALENDAR=US&amp;VAR:SYMBOL=G0129K10&amp;VAR:INDEX=0"}</definedName>
    <definedName name="_7703__FDSAUDITLINK__" hidden="1">{"fdsup://directions/FAT Viewer?action=UPDATE&amp;creator=factset&amp;DYN_ARGS=TRUE&amp;DOC_NAME=FAT:FQL_AUDITING_CLIENT_TEMPLATE.FAT&amp;display_string=Audit&amp;VAR:KEY=RGTWJGZQXI&amp;VAR:QUERY=RkZfRUJJVERBX0lCKCdMVE1TJywzOTgzOCk=&amp;WINDOW=FIRST_POPUP&amp;HEIGHT=450&amp;WIDTH=450&amp;START_MA","XIMIZED=FALSE&amp;VAR:CALENDAR=US&amp;VAR:SYMBOL=G0129K10&amp;VAR:INDEX=0"}</definedName>
    <definedName name="_7704__FDSAUDITLINK__" localSheetId="6" hidden="1">{"fdsup://directions/FAT Viewer?action=UPDATE&amp;creator=factset&amp;DYN_ARGS=TRUE&amp;DOC_NAME=FAT:FQL_AUDITING_CLIENT_TEMPLATE.FAT&amp;display_string=Audit&amp;VAR:KEY=RCRUXAJGRM&amp;VAR:QUERY=RkZfRUJJVERBX0lCKCdMVE1TJywzOTgzNyk=&amp;WINDOW=FIRST_POPUP&amp;HEIGHT=450&amp;WIDTH=450&amp;START_MA","XIMIZED=FALSE&amp;VAR:CALENDAR=US&amp;VAR:SYMBOL=G0129K10&amp;VAR:INDEX=0"}</definedName>
    <definedName name="_7704__FDSAUDITLINK__" hidden="1">{"fdsup://directions/FAT Viewer?action=UPDATE&amp;creator=factset&amp;DYN_ARGS=TRUE&amp;DOC_NAME=FAT:FQL_AUDITING_CLIENT_TEMPLATE.FAT&amp;display_string=Audit&amp;VAR:KEY=RCRUXAJGRM&amp;VAR:QUERY=RkZfRUJJVERBX0lCKCdMVE1TJywzOTgzNyk=&amp;WINDOW=FIRST_POPUP&amp;HEIGHT=450&amp;WIDTH=450&amp;START_MA","XIMIZED=FALSE&amp;VAR:CALENDAR=US&amp;VAR:SYMBOL=G0129K10&amp;VAR:INDEX=0"}</definedName>
    <definedName name="_7705__FDSAUDITLINK__" localSheetId="6" hidden="1">{"fdsup://directions/FAT Viewer?action=UPDATE&amp;creator=factset&amp;DYN_ARGS=TRUE&amp;DOC_NAME=FAT:FQL_AUDITING_CLIENT_TEMPLATE.FAT&amp;display_string=Audit&amp;VAR:KEY=ZAPENGDYNC&amp;VAR:QUERY=RkZfRUJJVERBX0lCKCdMVE1TJywzOTgzNik=&amp;WINDOW=FIRST_POPUP&amp;HEIGHT=450&amp;WIDTH=450&amp;START_MA","XIMIZED=FALSE&amp;VAR:CALENDAR=US&amp;VAR:SYMBOL=G0129K10&amp;VAR:INDEX=0"}</definedName>
    <definedName name="_7705__FDSAUDITLINK__" hidden="1">{"fdsup://directions/FAT Viewer?action=UPDATE&amp;creator=factset&amp;DYN_ARGS=TRUE&amp;DOC_NAME=FAT:FQL_AUDITING_CLIENT_TEMPLATE.FAT&amp;display_string=Audit&amp;VAR:KEY=ZAPENGDYNC&amp;VAR:QUERY=RkZfRUJJVERBX0lCKCdMVE1TJywzOTgzNik=&amp;WINDOW=FIRST_POPUP&amp;HEIGHT=450&amp;WIDTH=450&amp;START_MA","XIMIZED=FALSE&amp;VAR:CALENDAR=US&amp;VAR:SYMBOL=G0129K10&amp;VAR:INDEX=0"}</definedName>
    <definedName name="_7706__FDSAUDITLINK__" localSheetId="6" hidden="1">{"fdsup://directions/FAT Viewer?action=UPDATE&amp;creator=factset&amp;DYN_ARGS=TRUE&amp;DOC_NAME=FAT:FQL_AUDITING_CLIENT_TEMPLATE.FAT&amp;display_string=Audit&amp;VAR:KEY=PSFCDQVITQ&amp;VAR:QUERY=RkZfRUJJVERBX0lCKCdMVE1TJywzOTgzNSk=&amp;WINDOW=FIRST_POPUP&amp;HEIGHT=450&amp;WIDTH=450&amp;START_MA","XIMIZED=FALSE&amp;VAR:CALENDAR=US&amp;VAR:SYMBOL=G0129K10&amp;VAR:INDEX=0"}</definedName>
    <definedName name="_7706__FDSAUDITLINK__" hidden="1">{"fdsup://directions/FAT Viewer?action=UPDATE&amp;creator=factset&amp;DYN_ARGS=TRUE&amp;DOC_NAME=FAT:FQL_AUDITING_CLIENT_TEMPLATE.FAT&amp;display_string=Audit&amp;VAR:KEY=PSFCDQVITQ&amp;VAR:QUERY=RkZfRUJJVERBX0lCKCdMVE1TJywzOTgzNSk=&amp;WINDOW=FIRST_POPUP&amp;HEIGHT=450&amp;WIDTH=450&amp;START_MA","XIMIZED=FALSE&amp;VAR:CALENDAR=US&amp;VAR:SYMBOL=G0129K10&amp;VAR:INDEX=0"}</definedName>
    <definedName name="_7707__FDSAUDITLINK__" localSheetId="6" hidden="1">{"fdsup://directions/FAT Viewer?action=UPDATE&amp;creator=factset&amp;DYN_ARGS=TRUE&amp;DOC_NAME=FAT:FQL_AUDITING_CLIENT_TEMPLATE.FAT&amp;display_string=Audit&amp;VAR:KEY=NYNUBKRUBE&amp;VAR:QUERY=RkZfRUJJVERBX0lCKCdMVE1TJywzOTgzNCk=&amp;WINDOW=FIRST_POPUP&amp;HEIGHT=450&amp;WIDTH=450&amp;START_MA","XIMIZED=FALSE&amp;VAR:CALENDAR=US&amp;VAR:SYMBOL=G0129K10&amp;VAR:INDEX=0"}</definedName>
    <definedName name="_7707__FDSAUDITLINK__" hidden="1">{"fdsup://directions/FAT Viewer?action=UPDATE&amp;creator=factset&amp;DYN_ARGS=TRUE&amp;DOC_NAME=FAT:FQL_AUDITING_CLIENT_TEMPLATE.FAT&amp;display_string=Audit&amp;VAR:KEY=NYNUBKRUBE&amp;VAR:QUERY=RkZfRUJJVERBX0lCKCdMVE1TJywzOTgzNCk=&amp;WINDOW=FIRST_POPUP&amp;HEIGHT=450&amp;WIDTH=450&amp;START_MA","XIMIZED=FALSE&amp;VAR:CALENDAR=US&amp;VAR:SYMBOL=G0129K10&amp;VAR:INDEX=0"}</definedName>
    <definedName name="_7708__FDSAUDITLINK__" localSheetId="6" hidden="1">{"fdsup://directions/FAT Viewer?action=UPDATE&amp;creator=factset&amp;DYN_ARGS=TRUE&amp;DOC_NAME=FAT:FQL_AUDITING_CLIENT_TEMPLATE.FAT&amp;display_string=Audit&amp;VAR:KEY=ZQNKTGFAFO&amp;VAR:QUERY=RkZfRUJJVERBX0lCKCdMVE1TJywzOTgzMyk=&amp;WINDOW=FIRST_POPUP&amp;HEIGHT=450&amp;WIDTH=450&amp;START_MA","XIMIZED=FALSE&amp;VAR:CALENDAR=US&amp;VAR:SYMBOL=G0129K10&amp;VAR:INDEX=0"}</definedName>
    <definedName name="_7708__FDSAUDITLINK__" hidden="1">{"fdsup://directions/FAT Viewer?action=UPDATE&amp;creator=factset&amp;DYN_ARGS=TRUE&amp;DOC_NAME=FAT:FQL_AUDITING_CLIENT_TEMPLATE.FAT&amp;display_string=Audit&amp;VAR:KEY=ZQNKTGFAFO&amp;VAR:QUERY=RkZfRUJJVERBX0lCKCdMVE1TJywzOTgzMyk=&amp;WINDOW=FIRST_POPUP&amp;HEIGHT=450&amp;WIDTH=450&amp;START_MA","XIMIZED=FALSE&amp;VAR:CALENDAR=US&amp;VAR:SYMBOL=G0129K10&amp;VAR:INDEX=0"}</definedName>
    <definedName name="_7709__FDSAUDITLINK__" localSheetId="6" hidden="1">{"fdsup://directions/FAT Viewer?action=UPDATE&amp;creator=factset&amp;DYN_ARGS=TRUE&amp;DOC_NAME=FAT:FQL_AUDITING_CLIENT_TEMPLATE.FAT&amp;display_string=Audit&amp;VAR:KEY=BCFWLAPSDG&amp;VAR:QUERY=RkZfRUJJVERBX0lCKCdMVE1TJywzOTgzMik=&amp;WINDOW=FIRST_POPUP&amp;HEIGHT=450&amp;WIDTH=450&amp;START_MA","XIMIZED=FALSE&amp;VAR:CALENDAR=US&amp;VAR:SYMBOL=G0129K10&amp;VAR:INDEX=0"}</definedName>
    <definedName name="_7709__FDSAUDITLINK__" hidden="1">{"fdsup://directions/FAT Viewer?action=UPDATE&amp;creator=factset&amp;DYN_ARGS=TRUE&amp;DOC_NAME=FAT:FQL_AUDITING_CLIENT_TEMPLATE.FAT&amp;display_string=Audit&amp;VAR:KEY=BCFWLAPSDG&amp;VAR:QUERY=RkZfRUJJVERBX0lCKCdMVE1TJywzOTgzMik=&amp;WINDOW=FIRST_POPUP&amp;HEIGHT=450&amp;WIDTH=450&amp;START_MA","XIMIZED=FALSE&amp;VAR:CALENDAR=US&amp;VAR:SYMBOL=G0129K10&amp;VAR:INDEX=0"}</definedName>
    <definedName name="_771__FDSAUDITLINK__" localSheetId="6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1__FDSAUDITLINK__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10__FDSAUDITLINK__" localSheetId="6" hidden="1">{"fdsup://directions/FAT Viewer?action=UPDATE&amp;creator=factset&amp;DYN_ARGS=TRUE&amp;DOC_NAME=FAT:FQL_AUDITING_CLIENT_TEMPLATE.FAT&amp;display_string=Audit&amp;VAR:KEY=RWTMLKDSHI&amp;VAR:QUERY=RkZfRUJJVERBX0lCKCdMVE1TJywzOTgzMSk=&amp;WINDOW=FIRST_POPUP&amp;HEIGHT=450&amp;WIDTH=450&amp;START_MA","XIMIZED=FALSE&amp;VAR:CALENDAR=US&amp;VAR:SYMBOL=G0129K10&amp;VAR:INDEX=0"}</definedName>
    <definedName name="_7710__FDSAUDITLINK__" hidden="1">{"fdsup://directions/FAT Viewer?action=UPDATE&amp;creator=factset&amp;DYN_ARGS=TRUE&amp;DOC_NAME=FAT:FQL_AUDITING_CLIENT_TEMPLATE.FAT&amp;display_string=Audit&amp;VAR:KEY=RWTMLKDSHI&amp;VAR:QUERY=RkZfRUJJVERBX0lCKCdMVE1TJywzOTgzMSk=&amp;WINDOW=FIRST_POPUP&amp;HEIGHT=450&amp;WIDTH=450&amp;START_MA","XIMIZED=FALSE&amp;VAR:CALENDAR=US&amp;VAR:SYMBOL=G0129K10&amp;VAR:INDEX=0"}</definedName>
    <definedName name="_7711__FDSAUDITLINK__" localSheetId="6" hidden="1">{"fdsup://directions/FAT Viewer?action=UPDATE&amp;creator=factset&amp;DYN_ARGS=TRUE&amp;DOC_NAME=FAT:FQL_AUDITING_CLIENT_TEMPLATE.FAT&amp;display_string=Audit&amp;VAR:KEY=BWBQDYRQBO&amp;VAR:QUERY=RkZfRUJJVERBX0lCKCdMVE1TJywzOTgzMCk=&amp;WINDOW=FIRST_POPUP&amp;HEIGHT=450&amp;WIDTH=450&amp;START_MA","XIMIZED=FALSE&amp;VAR:CALENDAR=US&amp;VAR:SYMBOL=G0129K10&amp;VAR:INDEX=0"}</definedName>
    <definedName name="_7711__FDSAUDITLINK__" hidden="1">{"fdsup://directions/FAT Viewer?action=UPDATE&amp;creator=factset&amp;DYN_ARGS=TRUE&amp;DOC_NAME=FAT:FQL_AUDITING_CLIENT_TEMPLATE.FAT&amp;display_string=Audit&amp;VAR:KEY=BWBQDYRQBO&amp;VAR:QUERY=RkZfRUJJVERBX0lCKCdMVE1TJywzOTgzMCk=&amp;WINDOW=FIRST_POPUP&amp;HEIGHT=450&amp;WIDTH=450&amp;START_MA","XIMIZED=FALSE&amp;VAR:CALENDAR=US&amp;VAR:SYMBOL=G0129K10&amp;VAR:INDEX=0"}</definedName>
    <definedName name="_7712__FDSAUDITLINK__" localSheetId="6" hidden="1">{"fdsup://directions/FAT Viewer?action=UPDATE&amp;creator=factset&amp;DYN_ARGS=TRUE&amp;DOC_NAME=FAT:FQL_AUDITING_CLIENT_TEMPLATE.FAT&amp;display_string=Audit&amp;VAR:KEY=TIXOPKXMBC&amp;VAR:QUERY=RkZfRUJJVERBX0lCKCdMVE1TJywzOTgyOSk=&amp;WINDOW=FIRST_POPUP&amp;HEIGHT=450&amp;WIDTH=450&amp;START_MA","XIMIZED=FALSE&amp;VAR:CALENDAR=US&amp;VAR:SYMBOL=G0129K10&amp;VAR:INDEX=0"}</definedName>
    <definedName name="_7712__FDSAUDITLINK__" hidden="1">{"fdsup://directions/FAT Viewer?action=UPDATE&amp;creator=factset&amp;DYN_ARGS=TRUE&amp;DOC_NAME=FAT:FQL_AUDITING_CLIENT_TEMPLATE.FAT&amp;display_string=Audit&amp;VAR:KEY=TIXOPKXMBC&amp;VAR:QUERY=RkZfRUJJVERBX0lCKCdMVE1TJywzOTgyOSk=&amp;WINDOW=FIRST_POPUP&amp;HEIGHT=450&amp;WIDTH=450&amp;START_MA","XIMIZED=FALSE&amp;VAR:CALENDAR=US&amp;VAR:SYMBOL=G0129K10&amp;VAR:INDEX=0"}</definedName>
    <definedName name="_7713__FDSAUDITLINK__" localSheetId="6" hidden="1">{"fdsup://directions/FAT Viewer?action=UPDATE&amp;creator=factset&amp;DYN_ARGS=TRUE&amp;DOC_NAME=FAT:FQL_AUDITING_CLIENT_TEMPLATE.FAT&amp;display_string=Audit&amp;VAR:KEY=XWNKLYBSXK&amp;VAR:QUERY=RkZfRUJJVERBX0lCKCdMVE1TJywzOTgyOCk=&amp;WINDOW=FIRST_POPUP&amp;HEIGHT=450&amp;WIDTH=450&amp;START_MA","XIMIZED=FALSE&amp;VAR:CALENDAR=US&amp;VAR:SYMBOL=G0129K10&amp;VAR:INDEX=0"}</definedName>
    <definedName name="_7713__FDSAUDITLINK__" hidden="1">{"fdsup://directions/FAT Viewer?action=UPDATE&amp;creator=factset&amp;DYN_ARGS=TRUE&amp;DOC_NAME=FAT:FQL_AUDITING_CLIENT_TEMPLATE.FAT&amp;display_string=Audit&amp;VAR:KEY=XWNKLYBSXK&amp;VAR:QUERY=RkZfRUJJVERBX0lCKCdMVE1TJywzOTgyOCk=&amp;WINDOW=FIRST_POPUP&amp;HEIGHT=450&amp;WIDTH=450&amp;START_MA","XIMIZED=FALSE&amp;VAR:CALENDAR=US&amp;VAR:SYMBOL=G0129K10&amp;VAR:INDEX=0"}</definedName>
    <definedName name="_7714__FDSAUDITLINK__" localSheetId="6" hidden="1">{"fdsup://directions/FAT Viewer?action=UPDATE&amp;creator=factset&amp;DYN_ARGS=TRUE&amp;DOC_NAME=FAT:FQL_AUDITING_CLIENT_TEMPLATE.FAT&amp;display_string=Audit&amp;VAR:KEY=ZYVYHEJOHS&amp;VAR:QUERY=RkZfRUJJVERBX0lCKCdMVE1TJywzOTgyNyk=&amp;WINDOW=FIRST_POPUP&amp;HEIGHT=450&amp;WIDTH=450&amp;START_MA","XIMIZED=FALSE&amp;VAR:CALENDAR=US&amp;VAR:SYMBOL=G0129K10&amp;VAR:INDEX=0"}</definedName>
    <definedName name="_7714__FDSAUDITLINK__" hidden="1">{"fdsup://directions/FAT Viewer?action=UPDATE&amp;creator=factset&amp;DYN_ARGS=TRUE&amp;DOC_NAME=FAT:FQL_AUDITING_CLIENT_TEMPLATE.FAT&amp;display_string=Audit&amp;VAR:KEY=ZYVYHEJOHS&amp;VAR:QUERY=RkZfRUJJVERBX0lCKCdMVE1TJywzOTgyNyk=&amp;WINDOW=FIRST_POPUP&amp;HEIGHT=450&amp;WIDTH=450&amp;START_MA","XIMIZED=FALSE&amp;VAR:CALENDAR=US&amp;VAR:SYMBOL=G0129K10&amp;VAR:INDEX=0"}</definedName>
    <definedName name="_7715__FDSAUDITLINK__" localSheetId="6" hidden="1">{"fdsup://directions/FAT Viewer?action=UPDATE&amp;creator=factset&amp;DYN_ARGS=TRUE&amp;DOC_NAME=FAT:FQL_AUDITING_CLIENT_TEMPLATE.FAT&amp;display_string=Audit&amp;VAR:KEY=HUZKZYHWZS&amp;VAR:QUERY=RkZfRUJJVERBX0lCKCdMVE1TJywzOTgyNik=&amp;WINDOW=FIRST_POPUP&amp;HEIGHT=450&amp;WIDTH=450&amp;START_MA","XIMIZED=FALSE&amp;VAR:CALENDAR=US&amp;VAR:SYMBOL=G0129K10&amp;VAR:INDEX=0"}</definedName>
    <definedName name="_7715__FDSAUDITLINK__" hidden="1">{"fdsup://directions/FAT Viewer?action=UPDATE&amp;creator=factset&amp;DYN_ARGS=TRUE&amp;DOC_NAME=FAT:FQL_AUDITING_CLIENT_TEMPLATE.FAT&amp;display_string=Audit&amp;VAR:KEY=HUZKZYHWZS&amp;VAR:QUERY=RkZfRUJJVERBX0lCKCdMVE1TJywzOTgyNik=&amp;WINDOW=FIRST_POPUP&amp;HEIGHT=450&amp;WIDTH=450&amp;START_MA","XIMIZED=FALSE&amp;VAR:CALENDAR=US&amp;VAR:SYMBOL=G0129K10&amp;VAR:INDEX=0"}</definedName>
    <definedName name="_7716__FDSAUDITLINK__" localSheetId="6" hidden="1">{"fdsup://directions/FAT Viewer?action=UPDATE&amp;creator=factset&amp;DYN_ARGS=TRUE&amp;DOC_NAME=FAT:FQL_AUDITING_CLIENT_TEMPLATE.FAT&amp;display_string=Audit&amp;VAR:KEY=DKJYZQLOTG&amp;VAR:QUERY=RkZfRUJJVERBX0lCKCdMVE1TJywzOTgyNSk=&amp;WINDOW=FIRST_POPUP&amp;HEIGHT=450&amp;WIDTH=450&amp;START_MA","XIMIZED=FALSE&amp;VAR:CALENDAR=US&amp;VAR:SYMBOL=G0129K10&amp;VAR:INDEX=0"}</definedName>
    <definedName name="_7716__FDSAUDITLINK__" hidden="1">{"fdsup://directions/FAT Viewer?action=UPDATE&amp;creator=factset&amp;DYN_ARGS=TRUE&amp;DOC_NAME=FAT:FQL_AUDITING_CLIENT_TEMPLATE.FAT&amp;display_string=Audit&amp;VAR:KEY=DKJYZQLOTG&amp;VAR:QUERY=RkZfRUJJVERBX0lCKCdMVE1TJywzOTgyNSk=&amp;WINDOW=FIRST_POPUP&amp;HEIGHT=450&amp;WIDTH=450&amp;START_MA","XIMIZED=FALSE&amp;VAR:CALENDAR=US&amp;VAR:SYMBOL=G0129K10&amp;VAR:INDEX=0"}</definedName>
    <definedName name="_7717__FDSAUDITLINK__" localSheetId="6" hidden="1">{"fdsup://directions/FAT Viewer?action=UPDATE&amp;creator=factset&amp;DYN_ARGS=TRUE&amp;DOC_NAME=FAT:FQL_AUDITING_CLIENT_TEMPLATE.FAT&amp;display_string=Audit&amp;VAR:KEY=XQFYBSNQNC&amp;VAR:QUERY=RkZfRUJJVERBX0lCKCdMVE1TJywzOTgyNCk=&amp;WINDOW=FIRST_POPUP&amp;HEIGHT=450&amp;WIDTH=450&amp;START_MA","XIMIZED=FALSE&amp;VAR:CALENDAR=US&amp;VAR:SYMBOL=G0129K10&amp;VAR:INDEX=0"}</definedName>
    <definedName name="_7717__FDSAUDITLINK__" hidden="1">{"fdsup://directions/FAT Viewer?action=UPDATE&amp;creator=factset&amp;DYN_ARGS=TRUE&amp;DOC_NAME=FAT:FQL_AUDITING_CLIENT_TEMPLATE.FAT&amp;display_string=Audit&amp;VAR:KEY=XQFYBSNQNC&amp;VAR:QUERY=RkZfRUJJVERBX0lCKCdMVE1TJywzOTgyNCk=&amp;WINDOW=FIRST_POPUP&amp;HEIGHT=450&amp;WIDTH=450&amp;START_MA","XIMIZED=FALSE&amp;VAR:CALENDAR=US&amp;VAR:SYMBOL=G0129K10&amp;VAR:INDEX=0"}</definedName>
    <definedName name="_7718__FDSAUDITLINK__" localSheetId="6" hidden="1">{"fdsup://directions/FAT Viewer?action=UPDATE&amp;creator=factset&amp;DYN_ARGS=TRUE&amp;DOC_NAME=FAT:FQL_AUDITING_CLIENT_TEMPLATE.FAT&amp;display_string=Audit&amp;VAR:KEY=BCJWPITOPU&amp;VAR:QUERY=RkZfRUJJVERBX0lCKCdMVE1TJywzOTgyMyk=&amp;WINDOW=FIRST_POPUP&amp;HEIGHT=450&amp;WIDTH=450&amp;START_MA","XIMIZED=FALSE&amp;VAR:CALENDAR=US&amp;VAR:SYMBOL=G0129K10&amp;VAR:INDEX=0"}</definedName>
    <definedName name="_7718__FDSAUDITLINK__" hidden="1">{"fdsup://directions/FAT Viewer?action=UPDATE&amp;creator=factset&amp;DYN_ARGS=TRUE&amp;DOC_NAME=FAT:FQL_AUDITING_CLIENT_TEMPLATE.FAT&amp;display_string=Audit&amp;VAR:KEY=BCJWPITOPU&amp;VAR:QUERY=RkZfRUJJVERBX0lCKCdMVE1TJywzOTgyMyk=&amp;WINDOW=FIRST_POPUP&amp;HEIGHT=450&amp;WIDTH=450&amp;START_MA","XIMIZED=FALSE&amp;VAR:CALENDAR=US&amp;VAR:SYMBOL=G0129K10&amp;VAR:INDEX=0"}</definedName>
    <definedName name="_7719__FDSAUDITLINK__" localSheetId="6" hidden="1">{"fdsup://directions/FAT Viewer?action=UPDATE&amp;creator=factset&amp;DYN_ARGS=TRUE&amp;DOC_NAME=FAT:FQL_AUDITING_CLIENT_TEMPLATE.FAT&amp;display_string=Audit&amp;VAR:KEY=BKFSFAFKPQ&amp;VAR:QUERY=RkZfRUJJVERBX0lCKCdMVE1TJywzOTgyMik=&amp;WINDOW=FIRST_POPUP&amp;HEIGHT=450&amp;WIDTH=450&amp;START_MA","XIMIZED=FALSE&amp;VAR:CALENDAR=US&amp;VAR:SYMBOL=G0129K10&amp;VAR:INDEX=0"}</definedName>
    <definedName name="_7719__FDSAUDITLINK__" hidden="1">{"fdsup://directions/FAT Viewer?action=UPDATE&amp;creator=factset&amp;DYN_ARGS=TRUE&amp;DOC_NAME=FAT:FQL_AUDITING_CLIENT_TEMPLATE.FAT&amp;display_string=Audit&amp;VAR:KEY=BKFSFAFKPQ&amp;VAR:QUERY=RkZfRUJJVERBX0lCKCdMVE1TJywzOTgyMik=&amp;WINDOW=FIRST_POPUP&amp;HEIGHT=450&amp;WIDTH=450&amp;START_MA","XIMIZED=FALSE&amp;VAR:CALENDAR=US&amp;VAR:SYMBOL=G0129K10&amp;VAR:INDEX=0"}</definedName>
    <definedName name="_772__FDSAUDITLINK__" localSheetId="6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2__FDSAUDITLINK__" hidden="1">{"fdsup://directions/FAT%20Viewer?VAR:PED=LTM&amp;VAR:AUDIT_MODE=SUMMARY&amp;VAR:PERIOD=FIXED&amp;VAR:AUDIT_ID=00000117&amp;VAR:DATE=20080111&amp;action=UPDATE&amp;creator=factset&amp;DOC_NAME=FAT:FMA_audit_SUMMARY.fat&amp;DISPLAY_STRING=Display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20__FDSAUDITLINK__" localSheetId="6" hidden="1">{"fdsup://directions/FAT Viewer?action=UPDATE&amp;creator=factset&amp;DYN_ARGS=TRUE&amp;DOC_NAME=FAT:FQL_AUDITING_CLIENT_TEMPLATE.FAT&amp;display_string=Audit&amp;VAR:KEY=LCPYTCRUDE&amp;VAR:QUERY=RkZfRUJJVERBX0lCKCdMVE1TJywzOTgyMSk=&amp;WINDOW=FIRST_POPUP&amp;HEIGHT=450&amp;WIDTH=450&amp;START_MA","XIMIZED=FALSE&amp;VAR:CALENDAR=US&amp;VAR:SYMBOL=G0129K10&amp;VAR:INDEX=0"}</definedName>
    <definedName name="_7720__FDSAUDITLINK__" hidden="1">{"fdsup://directions/FAT Viewer?action=UPDATE&amp;creator=factset&amp;DYN_ARGS=TRUE&amp;DOC_NAME=FAT:FQL_AUDITING_CLIENT_TEMPLATE.FAT&amp;display_string=Audit&amp;VAR:KEY=LCPYTCRUDE&amp;VAR:QUERY=RkZfRUJJVERBX0lCKCdMVE1TJywzOTgyMSk=&amp;WINDOW=FIRST_POPUP&amp;HEIGHT=450&amp;WIDTH=450&amp;START_MA","XIMIZED=FALSE&amp;VAR:CALENDAR=US&amp;VAR:SYMBOL=G0129K10&amp;VAR:INDEX=0"}</definedName>
    <definedName name="_7721__FDSAUDITLINK__" localSheetId="6" hidden="1">{"fdsup://directions/FAT Viewer?action=UPDATE&amp;creator=factset&amp;DYN_ARGS=TRUE&amp;DOC_NAME=FAT:FQL_AUDITING_CLIENT_TEMPLATE.FAT&amp;display_string=Audit&amp;VAR:KEY=JQRGTWXWPE&amp;VAR:QUERY=RkZfRUJJVERBX0lCKCdMVE1TJywzOTgyMCk=&amp;WINDOW=FIRST_POPUP&amp;HEIGHT=450&amp;WIDTH=450&amp;START_MA","XIMIZED=FALSE&amp;VAR:CALENDAR=US&amp;VAR:SYMBOL=G0129K10&amp;VAR:INDEX=0"}</definedName>
    <definedName name="_7721__FDSAUDITLINK__" hidden="1">{"fdsup://directions/FAT Viewer?action=UPDATE&amp;creator=factset&amp;DYN_ARGS=TRUE&amp;DOC_NAME=FAT:FQL_AUDITING_CLIENT_TEMPLATE.FAT&amp;display_string=Audit&amp;VAR:KEY=JQRGTWXWPE&amp;VAR:QUERY=RkZfRUJJVERBX0lCKCdMVE1TJywzOTgyMCk=&amp;WINDOW=FIRST_POPUP&amp;HEIGHT=450&amp;WIDTH=450&amp;START_MA","XIMIZED=FALSE&amp;VAR:CALENDAR=US&amp;VAR:SYMBOL=G0129K10&amp;VAR:INDEX=0"}</definedName>
    <definedName name="_7722__FDSAUDITLINK__" localSheetId="6" hidden="1">{"fdsup://directions/FAT Viewer?action=UPDATE&amp;creator=factset&amp;DYN_ARGS=TRUE&amp;DOC_NAME=FAT:FQL_AUDITING_CLIENT_TEMPLATE.FAT&amp;display_string=Audit&amp;VAR:KEY=TMHALIVEVI&amp;VAR:QUERY=RkZfRUJJVERBX0lCKCdMVE1TJywzOTgxOSk=&amp;WINDOW=FIRST_POPUP&amp;HEIGHT=450&amp;WIDTH=450&amp;START_MA","XIMIZED=FALSE&amp;VAR:CALENDAR=US&amp;VAR:SYMBOL=G0129K10&amp;VAR:INDEX=0"}</definedName>
    <definedName name="_7722__FDSAUDITLINK__" hidden="1">{"fdsup://directions/FAT Viewer?action=UPDATE&amp;creator=factset&amp;DYN_ARGS=TRUE&amp;DOC_NAME=FAT:FQL_AUDITING_CLIENT_TEMPLATE.FAT&amp;display_string=Audit&amp;VAR:KEY=TMHALIVEVI&amp;VAR:QUERY=RkZfRUJJVERBX0lCKCdMVE1TJywzOTgxOSk=&amp;WINDOW=FIRST_POPUP&amp;HEIGHT=450&amp;WIDTH=450&amp;START_MA","XIMIZED=FALSE&amp;VAR:CALENDAR=US&amp;VAR:SYMBOL=G0129K10&amp;VAR:INDEX=0"}</definedName>
    <definedName name="_7723__FDSAUDITLINK__" localSheetId="6" hidden="1">{"fdsup://directions/FAT Viewer?action=UPDATE&amp;creator=factset&amp;DYN_ARGS=TRUE&amp;DOC_NAME=FAT:FQL_AUDITING_CLIENT_TEMPLATE.FAT&amp;display_string=Audit&amp;VAR:KEY=PQFOZGNITM&amp;VAR:QUERY=RkZfRUJJVERBX0lCKCdMVE1TJywzOTgxOCk=&amp;WINDOW=FIRST_POPUP&amp;HEIGHT=450&amp;WIDTH=450&amp;START_MA","XIMIZED=FALSE&amp;VAR:CALENDAR=US&amp;VAR:SYMBOL=G0129K10&amp;VAR:INDEX=0"}</definedName>
    <definedName name="_7723__FDSAUDITLINK__" hidden="1">{"fdsup://directions/FAT Viewer?action=UPDATE&amp;creator=factset&amp;DYN_ARGS=TRUE&amp;DOC_NAME=FAT:FQL_AUDITING_CLIENT_TEMPLATE.FAT&amp;display_string=Audit&amp;VAR:KEY=PQFOZGNITM&amp;VAR:QUERY=RkZfRUJJVERBX0lCKCdMVE1TJywzOTgxOCk=&amp;WINDOW=FIRST_POPUP&amp;HEIGHT=450&amp;WIDTH=450&amp;START_MA","XIMIZED=FALSE&amp;VAR:CALENDAR=US&amp;VAR:SYMBOL=G0129K10&amp;VAR:INDEX=0"}</definedName>
    <definedName name="_7724__FDSAUDITLINK__" localSheetId="6" hidden="1">{"fdsup://directions/FAT Viewer?action=UPDATE&amp;creator=factset&amp;DYN_ARGS=TRUE&amp;DOC_NAME=FAT:FQL_AUDITING_CLIENT_TEMPLATE.FAT&amp;display_string=Audit&amp;VAR:KEY=PCDKRQBMHM&amp;VAR:QUERY=RkZfRUJJVERBX0lCKCdMVE1TJywzOTgxNyk=&amp;WINDOW=FIRST_POPUP&amp;HEIGHT=450&amp;WIDTH=450&amp;START_MA","XIMIZED=FALSE&amp;VAR:CALENDAR=US&amp;VAR:SYMBOL=G0129K10&amp;VAR:INDEX=0"}</definedName>
    <definedName name="_7724__FDSAUDITLINK__" hidden="1">{"fdsup://directions/FAT Viewer?action=UPDATE&amp;creator=factset&amp;DYN_ARGS=TRUE&amp;DOC_NAME=FAT:FQL_AUDITING_CLIENT_TEMPLATE.FAT&amp;display_string=Audit&amp;VAR:KEY=PCDKRQBMHM&amp;VAR:QUERY=RkZfRUJJVERBX0lCKCdMVE1TJywzOTgxNyk=&amp;WINDOW=FIRST_POPUP&amp;HEIGHT=450&amp;WIDTH=450&amp;START_MA","XIMIZED=FALSE&amp;VAR:CALENDAR=US&amp;VAR:SYMBOL=G0129K10&amp;VAR:INDEX=0"}</definedName>
    <definedName name="_7725__FDSAUDITLINK__" localSheetId="6" hidden="1">{"fdsup://directions/FAT Viewer?action=UPDATE&amp;creator=factset&amp;DYN_ARGS=TRUE&amp;DOC_NAME=FAT:FQL_AUDITING_CLIENT_TEMPLATE.FAT&amp;display_string=Audit&amp;VAR:KEY=BCNILGXIBW&amp;VAR:QUERY=RkZfRUJJVERBX0lCKCdMVE1TJywzOTgxNik=&amp;WINDOW=FIRST_POPUP&amp;HEIGHT=450&amp;WIDTH=450&amp;START_MA","XIMIZED=FALSE&amp;VAR:CALENDAR=US&amp;VAR:SYMBOL=G0129K10&amp;VAR:INDEX=0"}</definedName>
    <definedName name="_7725__FDSAUDITLINK__" hidden="1">{"fdsup://directions/FAT Viewer?action=UPDATE&amp;creator=factset&amp;DYN_ARGS=TRUE&amp;DOC_NAME=FAT:FQL_AUDITING_CLIENT_TEMPLATE.FAT&amp;display_string=Audit&amp;VAR:KEY=BCNILGXIBW&amp;VAR:QUERY=RkZfRUJJVERBX0lCKCdMVE1TJywzOTgxNik=&amp;WINDOW=FIRST_POPUP&amp;HEIGHT=450&amp;WIDTH=450&amp;START_MA","XIMIZED=FALSE&amp;VAR:CALENDAR=US&amp;VAR:SYMBOL=G0129K10&amp;VAR:INDEX=0"}</definedName>
    <definedName name="_7726__FDSAUDITLINK__" localSheetId="6" hidden="1">{"fdsup://directions/FAT Viewer?action=UPDATE&amp;creator=factset&amp;DYN_ARGS=TRUE&amp;DOC_NAME=FAT:FQL_AUDITING_CLIENT_TEMPLATE.FAT&amp;display_string=Audit&amp;VAR:KEY=TQJIFSLOBI&amp;VAR:QUERY=RkZfRUJJVERBX0lCKCdMVE1TJywzOTgxNSk=&amp;WINDOW=FIRST_POPUP&amp;HEIGHT=450&amp;WIDTH=450&amp;START_MA","XIMIZED=FALSE&amp;VAR:CALENDAR=US&amp;VAR:SYMBOL=G0129K10&amp;VAR:INDEX=0"}</definedName>
    <definedName name="_7726__FDSAUDITLINK__" hidden="1">{"fdsup://directions/FAT Viewer?action=UPDATE&amp;creator=factset&amp;DYN_ARGS=TRUE&amp;DOC_NAME=FAT:FQL_AUDITING_CLIENT_TEMPLATE.FAT&amp;display_string=Audit&amp;VAR:KEY=TQJIFSLOBI&amp;VAR:QUERY=RkZfRUJJVERBX0lCKCdMVE1TJywzOTgxNSk=&amp;WINDOW=FIRST_POPUP&amp;HEIGHT=450&amp;WIDTH=450&amp;START_MA","XIMIZED=FALSE&amp;VAR:CALENDAR=US&amp;VAR:SYMBOL=G0129K10&amp;VAR:INDEX=0"}</definedName>
    <definedName name="_7727__FDSAUDITLINK__" localSheetId="6" hidden="1">{"fdsup://directions/FAT Viewer?action=UPDATE&amp;creator=factset&amp;DYN_ARGS=TRUE&amp;DOC_NAME=FAT:FQL_AUDITING_CLIENT_TEMPLATE.FAT&amp;display_string=Audit&amp;VAR:KEY=BQJERYXQRE&amp;VAR:QUERY=RkZfRUJJVERBX0lCKCdMVE1TJywzOTgxNCk=&amp;WINDOW=FIRST_POPUP&amp;HEIGHT=450&amp;WIDTH=450&amp;START_MA","XIMIZED=FALSE&amp;VAR:CALENDAR=US&amp;VAR:SYMBOL=G0129K10&amp;VAR:INDEX=0"}</definedName>
    <definedName name="_7727__FDSAUDITLINK__" hidden="1">{"fdsup://directions/FAT Viewer?action=UPDATE&amp;creator=factset&amp;DYN_ARGS=TRUE&amp;DOC_NAME=FAT:FQL_AUDITING_CLIENT_TEMPLATE.FAT&amp;display_string=Audit&amp;VAR:KEY=BQJERYXQRE&amp;VAR:QUERY=RkZfRUJJVERBX0lCKCdMVE1TJywzOTgxNCk=&amp;WINDOW=FIRST_POPUP&amp;HEIGHT=450&amp;WIDTH=450&amp;START_MA","XIMIZED=FALSE&amp;VAR:CALENDAR=US&amp;VAR:SYMBOL=G0129K10&amp;VAR:INDEX=0"}</definedName>
    <definedName name="_7728__FDSAUDITLINK__" localSheetId="6" hidden="1">{"fdsup://directions/FAT Viewer?action=UPDATE&amp;creator=factset&amp;DYN_ARGS=TRUE&amp;DOC_NAME=FAT:FQL_AUDITING_CLIENT_TEMPLATE.FAT&amp;display_string=Audit&amp;VAR:KEY=DGNKXWJKZO&amp;VAR:QUERY=RkZfRUJJVERBX0lCKCdMVE1TJywzOTgxMyk=&amp;WINDOW=FIRST_POPUP&amp;HEIGHT=450&amp;WIDTH=450&amp;START_MA","XIMIZED=FALSE&amp;VAR:CALENDAR=US&amp;VAR:SYMBOL=G0129K10&amp;VAR:INDEX=0"}</definedName>
    <definedName name="_7728__FDSAUDITLINK__" hidden="1">{"fdsup://directions/FAT Viewer?action=UPDATE&amp;creator=factset&amp;DYN_ARGS=TRUE&amp;DOC_NAME=FAT:FQL_AUDITING_CLIENT_TEMPLATE.FAT&amp;display_string=Audit&amp;VAR:KEY=DGNKXWJKZO&amp;VAR:QUERY=RkZfRUJJVERBX0lCKCdMVE1TJywzOTgxMyk=&amp;WINDOW=FIRST_POPUP&amp;HEIGHT=450&amp;WIDTH=450&amp;START_MA","XIMIZED=FALSE&amp;VAR:CALENDAR=US&amp;VAR:SYMBOL=G0129K10&amp;VAR:INDEX=0"}</definedName>
    <definedName name="_7729__FDSAUDITLINK__" localSheetId="6" hidden="1">{"fdsup://directions/FAT Viewer?action=UPDATE&amp;creator=factset&amp;DYN_ARGS=TRUE&amp;DOC_NAME=FAT:FQL_AUDITING_CLIENT_TEMPLATE.FAT&amp;display_string=Audit&amp;VAR:KEY=HYRUFGDQRY&amp;VAR:QUERY=RkZfRUJJVERBX0lCKCdMVE1TJywzOTgxMik=&amp;WINDOW=FIRST_POPUP&amp;HEIGHT=450&amp;WIDTH=450&amp;START_MA","XIMIZED=FALSE&amp;VAR:CALENDAR=US&amp;VAR:SYMBOL=G0129K10&amp;VAR:INDEX=0"}</definedName>
    <definedName name="_7729__FDSAUDITLINK__" hidden="1">{"fdsup://directions/FAT Viewer?action=UPDATE&amp;creator=factset&amp;DYN_ARGS=TRUE&amp;DOC_NAME=FAT:FQL_AUDITING_CLIENT_TEMPLATE.FAT&amp;display_string=Audit&amp;VAR:KEY=HYRUFGDQRY&amp;VAR:QUERY=RkZfRUJJVERBX0lCKCdMVE1TJywzOTgxMik=&amp;WINDOW=FIRST_POPUP&amp;HEIGHT=450&amp;WIDTH=450&amp;START_MA","XIMIZED=FALSE&amp;VAR:CALENDAR=US&amp;VAR:SYMBOL=G0129K10&amp;VAR:INDEX=0"}</definedName>
    <definedName name="_773__FDSAUDITLINK__" localSheetId="6" hidden="1">{"fdsup://directions/FAT%20Viewer?VAR:PED=LTM&amp;VAR:AUDIT_MODE=SUMMARY&amp;VAR:PERIOD=FIXED&amp;VAR:AUDIT_ID=00000117&amp;VAR:DATE=20080110&amp;action=UPDATE&amp;creator=factset&amp;DOC_NAME=FAT:FMA_audit_SUMMARY.fat&amp;DISPLAY_STRING=Display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3__FDSAUDITLINK__" hidden="1">{"fdsup://directions/FAT%20Viewer?VAR:PED=LTM&amp;VAR:AUDIT_MODE=SUMMARY&amp;VAR:PERIOD=FIXED&amp;VAR:AUDIT_ID=00000117&amp;VAR:DATE=20080110&amp;action=UPDATE&amp;creator=factset&amp;DOC_NAME=FAT:FMA_audit_SUMMARY.fat&amp;DISPLAY_STRING=Display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30__FDSAUDITLINK__" localSheetId="6" hidden="1">{"fdsup://directions/FAT Viewer?action=UPDATE&amp;creator=factset&amp;DYN_ARGS=TRUE&amp;DOC_NAME=FAT:FQL_AUDITING_CLIENT_TEMPLATE.FAT&amp;display_string=Audit&amp;VAR:KEY=ZQTYTQLMZC&amp;VAR:QUERY=RkZfRUJJVERBX0lCKCdMVE1TJywzOTgxMSk=&amp;WINDOW=FIRST_POPUP&amp;HEIGHT=450&amp;WIDTH=450&amp;START_MA","XIMIZED=FALSE&amp;VAR:CALENDAR=US&amp;VAR:SYMBOL=G0129K10&amp;VAR:INDEX=0"}</definedName>
    <definedName name="_7730__FDSAUDITLINK__" hidden="1">{"fdsup://directions/FAT Viewer?action=UPDATE&amp;creator=factset&amp;DYN_ARGS=TRUE&amp;DOC_NAME=FAT:FQL_AUDITING_CLIENT_TEMPLATE.FAT&amp;display_string=Audit&amp;VAR:KEY=ZQTYTQLMZC&amp;VAR:QUERY=RkZfRUJJVERBX0lCKCdMVE1TJywzOTgxMSk=&amp;WINDOW=FIRST_POPUP&amp;HEIGHT=450&amp;WIDTH=450&amp;START_MA","XIMIZED=FALSE&amp;VAR:CALENDAR=US&amp;VAR:SYMBOL=G0129K10&amp;VAR:INDEX=0"}</definedName>
    <definedName name="_7731__FDSAUDITLINK__" localSheetId="6" hidden="1">{"fdsup://directions/FAT Viewer?action=UPDATE&amp;creator=factset&amp;DYN_ARGS=TRUE&amp;DOC_NAME=FAT:FQL_AUDITING_CLIENT_TEMPLATE.FAT&amp;display_string=Audit&amp;VAR:KEY=NAPEBKTKNW&amp;VAR:QUERY=RkZfRUJJVERBX0lCKCdMVE1TJywzOTgxMCk=&amp;WINDOW=FIRST_POPUP&amp;HEIGHT=450&amp;WIDTH=450&amp;START_MA","XIMIZED=FALSE&amp;VAR:CALENDAR=US&amp;VAR:SYMBOL=G0129K10&amp;VAR:INDEX=0"}</definedName>
    <definedName name="_7731__FDSAUDITLINK__" hidden="1">{"fdsup://directions/FAT Viewer?action=UPDATE&amp;creator=factset&amp;DYN_ARGS=TRUE&amp;DOC_NAME=FAT:FQL_AUDITING_CLIENT_TEMPLATE.FAT&amp;display_string=Audit&amp;VAR:KEY=NAPEBKTKNW&amp;VAR:QUERY=RkZfRUJJVERBX0lCKCdMVE1TJywzOTgxMCk=&amp;WINDOW=FIRST_POPUP&amp;HEIGHT=450&amp;WIDTH=450&amp;START_MA","XIMIZED=FALSE&amp;VAR:CALENDAR=US&amp;VAR:SYMBOL=G0129K10&amp;VAR:INDEX=0"}</definedName>
    <definedName name="_7732__FDSAUDITLINK__" localSheetId="6" hidden="1">{"fdsup://directions/FAT Viewer?action=UPDATE&amp;creator=factset&amp;DYN_ARGS=TRUE&amp;DOC_NAME=FAT:FQL_AUDITING_CLIENT_TEMPLATE.FAT&amp;display_string=Audit&amp;VAR:KEY=JQZUBSBMFW&amp;VAR:QUERY=RkZfRUJJVERBX0lCKCdMVE1TJywzOTgwOSk=&amp;WINDOW=FIRST_POPUP&amp;HEIGHT=450&amp;WIDTH=450&amp;START_MA","XIMIZED=FALSE&amp;VAR:CALENDAR=US&amp;VAR:SYMBOL=G0129K10&amp;VAR:INDEX=0"}</definedName>
    <definedName name="_7732__FDSAUDITLINK__" hidden="1">{"fdsup://directions/FAT Viewer?action=UPDATE&amp;creator=factset&amp;DYN_ARGS=TRUE&amp;DOC_NAME=FAT:FQL_AUDITING_CLIENT_TEMPLATE.FAT&amp;display_string=Audit&amp;VAR:KEY=JQZUBSBMFW&amp;VAR:QUERY=RkZfRUJJVERBX0lCKCdMVE1TJywzOTgwOSk=&amp;WINDOW=FIRST_POPUP&amp;HEIGHT=450&amp;WIDTH=450&amp;START_MA","XIMIZED=FALSE&amp;VAR:CALENDAR=US&amp;VAR:SYMBOL=G0129K10&amp;VAR:INDEX=0"}</definedName>
    <definedName name="_7733__FDSAUDITLINK__" localSheetId="6" hidden="1">{"fdsup://directions/FAT Viewer?action=UPDATE&amp;creator=factset&amp;DYN_ARGS=TRUE&amp;DOC_NAME=FAT:FQL_AUDITING_CLIENT_TEMPLATE.FAT&amp;display_string=Audit&amp;VAR:KEY=PSZAJOBGFG&amp;VAR:QUERY=RkZfRUJJVERBX0lCKCdMVE1TJywzOTgwOCk=&amp;WINDOW=FIRST_POPUP&amp;HEIGHT=450&amp;WIDTH=450&amp;START_MA","XIMIZED=FALSE&amp;VAR:CALENDAR=US&amp;VAR:SYMBOL=G0129K10&amp;VAR:INDEX=0"}</definedName>
    <definedName name="_7733__FDSAUDITLINK__" hidden="1">{"fdsup://directions/FAT Viewer?action=UPDATE&amp;creator=factset&amp;DYN_ARGS=TRUE&amp;DOC_NAME=FAT:FQL_AUDITING_CLIENT_TEMPLATE.FAT&amp;display_string=Audit&amp;VAR:KEY=PSZAJOBGFG&amp;VAR:QUERY=RkZfRUJJVERBX0lCKCdMVE1TJywzOTgwOCk=&amp;WINDOW=FIRST_POPUP&amp;HEIGHT=450&amp;WIDTH=450&amp;START_MA","XIMIZED=FALSE&amp;VAR:CALENDAR=US&amp;VAR:SYMBOL=G0129K10&amp;VAR:INDEX=0"}</definedName>
    <definedName name="_7734__FDSAUDITLINK__" localSheetId="6" hidden="1">{"fdsup://directions/FAT Viewer?action=UPDATE&amp;creator=factset&amp;DYN_ARGS=TRUE&amp;DOC_NAME=FAT:FQL_AUDITING_CLIENT_TEMPLATE.FAT&amp;display_string=Audit&amp;VAR:KEY=RQJGBAPQFQ&amp;VAR:QUERY=RkZfRUJJVERBX0lCKCdMVE1TJywzOTgwNyk=&amp;WINDOW=FIRST_POPUP&amp;HEIGHT=450&amp;WIDTH=450&amp;START_MA","XIMIZED=FALSE&amp;VAR:CALENDAR=US&amp;VAR:SYMBOL=G0129K10&amp;VAR:INDEX=0"}</definedName>
    <definedName name="_7734__FDSAUDITLINK__" hidden="1">{"fdsup://directions/FAT Viewer?action=UPDATE&amp;creator=factset&amp;DYN_ARGS=TRUE&amp;DOC_NAME=FAT:FQL_AUDITING_CLIENT_TEMPLATE.FAT&amp;display_string=Audit&amp;VAR:KEY=RQJGBAPQFQ&amp;VAR:QUERY=RkZfRUJJVERBX0lCKCdMVE1TJywzOTgwNyk=&amp;WINDOW=FIRST_POPUP&amp;HEIGHT=450&amp;WIDTH=450&amp;START_MA","XIMIZED=FALSE&amp;VAR:CALENDAR=US&amp;VAR:SYMBOL=G0129K10&amp;VAR:INDEX=0"}</definedName>
    <definedName name="_7735__FDSAUDITLINK__" localSheetId="6" hidden="1">{"fdsup://directions/FAT Viewer?action=UPDATE&amp;creator=factset&amp;DYN_ARGS=TRUE&amp;DOC_NAME=FAT:FQL_AUDITING_CLIENT_TEMPLATE.FAT&amp;display_string=Audit&amp;VAR:KEY=FAZCLGNYNM&amp;VAR:QUERY=RkZfRUJJVERBX0lCKCdMVE1TJywzOTgwNik=&amp;WINDOW=FIRST_POPUP&amp;HEIGHT=450&amp;WIDTH=450&amp;START_MA","XIMIZED=FALSE&amp;VAR:CALENDAR=US&amp;VAR:SYMBOL=G0129K10&amp;VAR:INDEX=0"}</definedName>
    <definedName name="_7735__FDSAUDITLINK__" hidden="1">{"fdsup://directions/FAT Viewer?action=UPDATE&amp;creator=factset&amp;DYN_ARGS=TRUE&amp;DOC_NAME=FAT:FQL_AUDITING_CLIENT_TEMPLATE.FAT&amp;display_string=Audit&amp;VAR:KEY=FAZCLGNYNM&amp;VAR:QUERY=RkZfRUJJVERBX0lCKCdMVE1TJywzOTgwNik=&amp;WINDOW=FIRST_POPUP&amp;HEIGHT=450&amp;WIDTH=450&amp;START_MA","XIMIZED=FALSE&amp;VAR:CALENDAR=US&amp;VAR:SYMBOL=G0129K10&amp;VAR:INDEX=0"}</definedName>
    <definedName name="_7736__FDSAUDITLINK__" localSheetId="6" hidden="1">{"fdsup://directions/FAT Viewer?action=UPDATE&amp;creator=factset&amp;DYN_ARGS=TRUE&amp;DOC_NAME=FAT:FQL_AUDITING_CLIENT_TEMPLATE.FAT&amp;display_string=Audit&amp;VAR:KEY=NEJKPMVELY&amp;VAR:QUERY=RkZfRUJJVERBX0lCKCdMVE1TJywzOTgwNSk=&amp;WINDOW=FIRST_POPUP&amp;HEIGHT=450&amp;WIDTH=450&amp;START_MA","XIMIZED=FALSE&amp;VAR:CALENDAR=US&amp;VAR:SYMBOL=G0129K10&amp;VAR:INDEX=0"}</definedName>
    <definedName name="_7736__FDSAUDITLINK__" hidden="1">{"fdsup://directions/FAT Viewer?action=UPDATE&amp;creator=factset&amp;DYN_ARGS=TRUE&amp;DOC_NAME=FAT:FQL_AUDITING_CLIENT_TEMPLATE.FAT&amp;display_string=Audit&amp;VAR:KEY=NEJKPMVELY&amp;VAR:QUERY=RkZfRUJJVERBX0lCKCdMVE1TJywzOTgwNSk=&amp;WINDOW=FIRST_POPUP&amp;HEIGHT=450&amp;WIDTH=450&amp;START_MA","XIMIZED=FALSE&amp;VAR:CALENDAR=US&amp;VAR:SYMBOL=G0129K10&amp;VAR:INDEX=0"}</definedName>
    <definedName name="_7737__FDSAUDITLINK__" localSheetId="6" hidden="1">{"fdsup://directions/FAT Viewer?action=UPDATE&amp;creator=factset&amp;DYN_ARGS=TRUE&amp;DOC_NAME=FAT:FQL_AUDITING_CLIENT_TEMPLATE.FAT&amp;display_string=Audit&amp;VAR:KEY=PABOPYZQFW&amp;VAR:QUERY=RkZfRUJJVERBX0lCKCdMVE1TJywzOTgwNCk=&amp;WINDOW=FIRST_POPUP&amp;HEIGHT=450&amp;WIDTH=450&amp;START_MA","XIMIZED=FALSE&amp;VAR:CALENDAR=US&amp;VAR:SYMBOL=G0129K10&amp;VAR:INDEX=0"}</definedName>
    <definedName name="_7737__FDSAUDITLINK__" hidden="1">{"fdsup://directions/FAT Viewer?action=UPDATE&amp;creator=factset&amp;DYN_ARGS=TRUE&amp;DOC_NAME=FAT:FQL_AUDITING_CLIENT_TEMPLATE.FAT&amp;display_string=Audit&amp;VAR:KEY=PABOPYZQFW&amp;VAR:QUERY=RkZfRUJJVERBX0lCKCdMVE1TJywzOTgwNCk=&amp;WINDOW=FIRST_POPUP&amp;HEIGHT=450&amp;WIDTH=450&amp;START_MA","XIMIZED=FALSE&amp;VAR:CALENDAR=US&amp;VAR:SYMBOL=G0129K10&amp;VAR:INDEX=0"}</definedName>
    <definedName name="_7738__FDSAUDITLINK__" localSheetId="6" hidden="1">{"fdsup://directions/FAT Viewer?action=UPDATE&amp;creator=factset&amp;DYN_ARGS=TRUE&amp;DOC_NAME=FAT:FQL_AUDITING_CLIENT_TEMPLATE.FAT&amp;display_string=Audit&amp;VAR:KEY=VATGJYTAZO&amp;VAR:QUERY=RkZfRUJJVERBX0lCKCdMVE1TJywzOTgwMyk=&amp;WINDOW=FIRST_POPUP&amp;HEIGHT=450&amp;WIDTH=450&amp;START_MA","XIMIZED=FALSE&amp;VAR:CALENDAR=US&amp;VAR:SYMBOL=G0129K10&amp;VAR:INDEX=0"}</definedName>
    <definedName name="_7738__FDSAUDITLINK__" hidden="1">{"fdsup://directions/FAT Viewer?action=UPDATE&amp;creator=factset&amp;DYN_ARGS=TRUE&amp;DOC_NAME=FAT:FQL_AUDITING_CLIENT_TEMPLATE.FAT&amp;display_string=Audit&amp;VAR:KEY=VATGJYTAZO&amp;VAR:QUERY=RkZfRUJJVERBX0lCKCdMVE1TJywzOTgwMyk=&amp;WINDOW=FIRST_POPUP&amp;HEIGHT=450&amp;WIDTH=450&amp;START_MA","XIMIZED=FALSE&amp;VAR:CALENDAR=US&amp;VAR:SYMBOL=G0129K10&amp;VAR:INDEX=0"}</definedName>
    <definedName name="_7739__FDSAUDITLINK__" localSheetId="6" hidden="1">{"fdsup://directions/FAT Viewer?action=UPDATE&amp;creator=factset&amp;DYN_ARGS=TRUE&amp;DOC_NAME=FAT:FQL_AUDITING_CLIENT_TEMPLATE.FAT&amp;display_string=Audit&amp;VAR:KEY=XQTARITQRI&amp;VAR:QUERY=RkZfRUJJVERBX0lCKCdMVE1TJywzOTgwMik=&amp;WINDOW=FIRST_POPUP&amp;HEIGHT=450&amp;WIDTH=450&amp;START_MA","XIMIZED=FALSE&amp;VAR:CALENDAR=US&amp;VAR:SYMBOL=G0129K10&amp;VAR:INDEX=0"}</definedName>
    <definedName name="_7739__FDSAUDITLINK__" hidden="1">{"fdsup://directions/FAT Viewer?action=UPDATE&amp;creator=factset&amp;DYN_ARGS=TRUE&amp;DOC_NAME=FAT:FQL_AUDITING_CLIENT_TEMPLATE.FAT&amp;display_string=Audit&amp;VAR:KEY=XQTARITQRI&amp;VAR:QUERY=RkZfRUJJVERBX0lCKCdMVE1TJywzOTgwMik=&amp;WINDOW=FIRST_POPUP&amp;HEIGHT=450&amp;WIDTH=450&amp;START_MA","XIMIZED=FALSE&amp;VAR:CALENDAR=US&amp;VAR:SYMBOL=G0129K10&amp;VAR:INDEX=0"}</definedName>
    <definedName name="_774__FDSAUDITLINK__" localSheetId="6" hidden="1">{"fdsup://directions/FAT%20Viewer?VAR:PED=LTM&amp;VAR:AUDIT_MODE=SUMMARY&amp;VAR:PERIOD=FIXED&amp;VAR:AUDIT_ID=00000117&amp;VAR:DATE=20080109&amp;action=UPDATE&amp;creator=factset&amp;DOC_NAME=FAT:FMA_audit_SUMMARY.fat&amp;DISPLAY_STRING=Display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4__FDSAUDITLINK__" hidden="1">{"fdsup://directions/FAT%20Viewer?VAR:PED=LTM&amp;VAR:AUDIT_MODE=SUMMARY&amp;VAR:PERIOD=FIXED&amp;VAR:AUDIT_ID=00000117&amp;VAR:DATE=20080109&amp;action=UPDATE&amp;creator=factset&amp;DOC_NAME=FAT:FMA_audit_SUMMARY.fat&amp;DISPLAY_STRING=Display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40__FDSAUDITLINK__" localSheetId="6" hidden="1">{"fdsup://directions/FAT Viewer?action=UPDATE&amp;creator=factset&amp;DYN_ARGS=TRUE&amp;DOC_NAME=FAT:FQL_AUDITING_CLIENT_TEMPLATE.FAT&amp;display_string=Audit&amp;VAR:KEY=DEZKLUJAVM&amp;VAR:QUERY=RkZfRUJJVERBX0lCKCdMVE1TJywzOTgwMSk=&amp;WINDOW=FIRST_POPUP&amp;HEIGHT=450&amp;WIDTH=450&amp;START_MA","XIMIZED=FALSE&amp;VAR:CALENDAR=US&amp;VAR:SYMBOL=G0129K10&amp;VAR:INDEX=0"}</definedName>
    <definedName name="_7740__FDSAUDITLINK__" hidden="1">{"fdsup://directions/FAT Viewer?action=UPDATE&amp;creator=factset&amp;DYN_ARGS=TRUE&amp;DOC_NAME=FAT:FQL_AUDITING_CLIENT_TEMPLATE.FAT&amp;display_string=Audit&amp;VAR:KEY=DEZKLUJAVM&amp;VAR:QUERY=RkZfRUJJVERBX0lCKCdMVE1TJywzOTgwMSk=&amp;WINDOW=FIRST_POPUP&amp;HEIGHT=450&amp;WIDTH=450&amp;START_MA","XIMIZED=FALSE&amp;VAR:CALENDAR=US&amp;VAR:SYMBOL=G0129K10&amp;VAR:INDEX=0"}</definedName>
    <definedName name="_7741__FDSAUDITLINK__" localSheetId="6" hidden="1">{"fdsup://directions/FAT Viewer?action=UPDATE&amp;creator=factset&amp;DYN_ARGS=TRUE&amp;DOC_NAME=FAT:FQL_AUDITING_CLIENT_TEMPLATE.FAT&amp;display_string=Audit&amp;VAR:KEY=JSNWJIJKDS&amp;VAR:QUERY=RkZfRUJJVERBX0lCKCdMVE1TJywzOTgwMCk=&amp;WINDOW=FIRST_POPUP&amp;HEIGHT=450&amp;WIDTH=450&amp;START_MA","XIMIZED=FALSE&amp;VAR:CALENDAR=US&amp;VAR:SYMBOL=G0129K10&amp;VAR:INDEX=0"}</definedName>
    <definedName name="_7741__FDSAUDITLINK__" hidden="1">{"fdsup://directions/FAT Viewer?action=UPDATE&amp;creator=factset&amp;DYN_ARGS=TRUE&amp;DOC_NAME=FAT:FQL_AUDITING_CLIENT_TEMPLATE.FAT&amp;display_string=Audit&amp;VAR:KEY=JSNWJIJKDS&amp;VAR:QUERY=RkZfRUJJVERBX0lCKCdMVE1TJywzOTgwMCk=&amp;WINDOW=FIRST_POPUP&amp;HEIGHT=450&amp;WIDTH=450&amp;START_MA","XIMIZED=FALSE&amp;VAR:CALENDAR=US&amp;VAR:SYMBOL=G0129K10&amp;VAR:INDEX=0"}</definedName>
    <definedName name="_7742__FDSAUDITLINK__" localSheetId="6" hidden="1">{"fdsup://directions/FAT Viewer?action=UPDATE&amp;creator=factset&amp;DYN_ARGS=TRUE&amp;DOC_NAME=FAT:FQL_AUDITING_CLIENT_TEMPLATE.FAT&amp;display_string=Audit&amp;VAR:KEY=XGLAXWNMJY&amp;VAR:QUERY=RkZfRUJJVERBX0lCKCdMVE1TJywzOTc5OSk=&amp;WINDOW=FIRST_POPUP&amp;HEIGHT=450&amp;WIDTH=450&amp;START_MA","XIMIZED=FALSE&amp;VAR:CALENDAR=US&amp;VAR:SYMBOL=G0129K10&amp;VAR:INDEX=0"}</definedName>
    <definedName name="_7742__FDSAUDITLINK__" hidden="1">{"fdsup://directions/FAT Viewer?action=UPDATE&amp;creator=factset&amp;DYN_ARGS=TRUE&amp;DOC_NAME=FAT:FQL_AUDITING_CLIENT_TEMPLATE.FAT&amp;display_string=Audit&amp;VAR:KEY=XGLAXWNMJY&amp;VAR:QUERY=RkZfRUJJVERBX0lCKCdMVE1TJywzOTc5OSk=&amp;WINDOW=FIRST_POPUP&amp;HEIGHT=450&amp;WIDTH=450&amp;START_MA","XIMIZED=FALSE&amp;VAR:CALENDAR=US&amp;VAR:SYMBOL=G0129K10&amp;VAR:INDEX=0"}</definedName>
    <definedName name="_7743__FDSAUDITLINK__" localSheetId="6" hidden="1">{"fdsup://directions/FAT Viewer?action=UPDATE&amp;creator=factset&amp;DYN_ARGS=TRUE&amp;DOC_NAME=FAT:FQL_AUDITING_CLIENT_TEMPLATE.FAT&amp;display_string=Audit&amp;VAR:KEY=FGXAHMTKJY&amp;VAR:QUERY=RkZfRUJJVERBX0lCKCdMVE1TJywzOTc5OCk=&amp;WINDOW=FIRST_POPUP&amp;HEIGHT=450&amp;WIDTH=450&amp;START_MA","XIMIZED=FALSE&amp;VAR:CALENDAR=US&amp;VAR:SYMBOL=G0129K10&amp;VAR:INDEX=0"}</definedName>
    <definedName name="_7743__FDSAUDITLINK__" hidden="1">{"fdsup://directions/FAT Viewer?action=UPDATE&amp;creator=factset&amp;DYN_ARGS=TRUE&amp;DOC_NAME=FAT:FQL_AUDITING_CLIENT_TEMPLATE.FAT&amp;display_string=Audit&amp;VAR:KEY=FGXAHMTKJY&amp;VAR:QUERY=RkZfRUJJVERBX0lCKCdMVE1TJywzOTc5OCk=&amp;WINDOW=FIRST_POPUP&amp;HEIGHT=450&amp;WIDTH=450&amp;START_MA","XIMIZED=FALSE&amp;VAR:CALENDAR=US&amp;VAR:SYMBOL=G0129K10&amp;VAR:INDEX=0"}</definedName>
    <definedName name="_7744__FDSAUDITLINK__" localSheetId="6" hidden="1">{"fdsup://directions/FAT Viewer?action=UPDATE&amp;creator=factset&amp;DYN_ARGS=TRUE&amp;DOC_NAME=FAT:FQL_AUDITING_CLIENT_TEMPLATE.FAT&amp;display_string=Audit&amp;VAR:KEY=DWBWJQDMHC&amp;VAR:QUERY=RkZfRUJJVERBX0lCKCdMVE1TJywzOTc5Nyk=&amp;WINDOW=FIRST_POPUP&amp;HEIGHT=450&amp;WIDTH=450&amp;START_MA","XIMIZED=FALSE&amp;VAR:CALENDAR=US&amp;VAR:SYMBOL=G0129K10&amp;VAR:INDEX=0"}</definedName>
    <definedName name="_7744__FDSAUDITLINK__" hidden="1">{"fdsup://directions/FAT Viewer?action=UPDATE&amp;creator=factset&amp;DYN_ARGS=TRUE&amp;DOC_NAME=FAT:FQL_AUDITING_CLIENT_TEMPLATE.FAT&amp;display_string=Audit&amp;VAR:KEY=DWBWJQDMHC&amp;VAR:QUERY=RkZfRUJJVERBX0lCKCdMVE1TJywzOTc5Nyk=&amp;WINDOW=FIRST_POPUP&amp;HEIGHT=450&amp;WIDTH=450&amp;START_MA","XIMIZED=FALSE&amp;VAR:CALENDAR=US&amp;VAR:SYMBOL=G0129K10&amp;VAR:INDEX=0"}</definedName>
    <definedName name="_7745__FDSAUDITLINK__" localSheetId="6" hidden="1">{"fdsup://directions/FAT Viewer?action=UPDATE&amp;creator=factset&amp;DYN_ARGS=TRUE&amp;DOC_NAME=FAT:FQL_AUDITING_CLIENT_TEMPLATE.FAT&amp;display_string=Audit&amp;VAR:KEY=BOVKRYXUFM&amp;VAR:QUERY=RkZfRUJJVERBX0lCKCdMVE1TJywzOTc5Nik=&amp;WINDOW=FIRST_POPUP&amp;HEIGHT=450&amp;WIDTH=450&amp;START_MA","XIMIZED=FALSE&amp;VAR:CALENDAR=US&amp;VAR:SYMBOL=G0129K10&amp;VAR:INDEX=0"}</definedName>
    <definedName name="_7745__FDSAUDITLINK__" hidden="1">{"fdsup://directions/FAT Viewer?action=UPDATE&amp;creator=factset&amp;DYN_ARGS=TRUE&amp;DOC_NAME=FAT:FQL_AUDITING_CLIENT_TEMPLATE.FAT&amp;display_string=Audit&amp;VAR:KEY=BOVKRYXUFM&amp;VAR:QUERY=RkZfRUJJVERBX0lCKCdMVE1TJywzOTc5Nik=&amp;WINDOW=FIRST_POPUP&amp;HEIGHT=450&amp;WIDTH=450&amp;START_MA","XIMIZED=FALSE&amp;VAR:CALENDAR=US&amp;VAR:SYMBOL=G0129K10&amp;VAR:INDEX=0"}</definedName>
    <definedName name="_7746__FDSAUDITLINK__" localSheetId="6" hidden="1">{"fdsup://directions/FAT Viewer?action=UPDATE&amp;creator=factset&amp;DYN_ARGS=TRUE&amp;DOC_NAME=FAT:FQL_AUDITING_CLIENT_TEMPLATE.FAT&amp;display_string=Audit&amp;VAR:KEY=DYVSBOPUVG&amp;VAR:QUERY=RkZfRUJJVERBX0lCKCdMVE1TJywzOTc5NSk=&amp;WINDOW=FIRST_POPUP&amp;HEIGHT=450&amp;WIDTH=450&amp;START_MA","XIMIZED=FALSE&amp;VAR:CALENDAR=US&amp;VAR:SYMBOL=G0129K10&amp;VAR:INDEX=0"}</definedName>
    <definedName name="_7746__FDSAUDITLINK__" hidden="1">{"fdsup://directions/FAT Viewer?action=UPDATE&amp;creator=factset&amp;DYN_ARGS=TRUE&amp;DOC_NAME=FAT:FQL_AUDITING_CLIENT_TEMPLATE.FAT&amp;display_string=Audit&amp;VAR:KEY=DYVSBOPUVG&amp;VAR:QUERY=RkZfRUJJVERBX0lCKCdMVE1TJywzOTc5NSk=&amp;WINDOW=FIRST_POPUP&amp;HEIGHT=450&amp;WIDTH=450&amp;START_MA","XIMIZED=FALSE&amp;VAR:CALENDAR=US&amp;VAR:SYMBOL=G0129K10&amp;VAR:INDEX=0"}</definedName>
    <definedName name="_7747__FDSAUDITLINK__" localSheetId="6" hidden="1">{"fdsup://directions/FAT Viewer?action=UPDATE&amp;creator=factset&amp;DYN_ARGS=TRUE&amp;DOC_NAME=FAT:FQL_AUDITING_CLIENT_TEMPLATE.FAT&amp;display_string=Audit&amp;VAR:KEY=PSBMZERSPQ&amp;VAR:QUERY=RkZfRUJJVERBX0lCKCdMVE1TJywzOTc5NCk=&amp;WINDOW=FIRST_POPUP&amp;HEIGHT=450&amp;WIDTH=450&amp;START_MA","XIMIZED=FALSE&amp;VAR:CALENDAR=US&amp;VAR:SYMBOL=G0129K10&amp;VAR:INDEX=0"}</definedName>
    <definedName name="_7747__FDSAUDITLINK__" hidden="1">{"fdsup://directions/FAT Viewer?action=UPDATE&amp;creator=factset&amp;DYN_ARGS=TRUE&amp;DOC_NAME=FAT:FQL_AUDITING_CLIENT_TEMPLATE.FAT&amp;display_string=Audit&amp;VAR:KEY=PSBMZERSPQ&amp;VAR:QUERY=RkZfRUJJVERBX0lCKCdMVE1TJywzOTc5NCk=&amp;WINDOW=FIRST_POPUP&amp;HEIGHT=450&amp;WIDTH=450&amp;START_MA","XIMIZED=FALSE&amp;VAR:CALENDAR=US&amp;VAR:SYMBOL=G0129K10&amp;VAR:INDEX=0"}</definedName>
    <definedName name="_7748__FDSAUDITLINK__" localSheetId="6" hidden="1">{"fdsup://directions/FAT Viewer?action=UPDATE&amp;creator=factset&amp;DYN_ARGS=TRUE&amp;DOC_NAME=FAT:FQL_AUDITING_CLIENT_TEMPLATE.FAT&amp;display_string=Audit&amp;VAR:KEY=JQZWHCTULY&amp;VAR:QUERY=RkZfRUJJVERBX0lCKCdMVE1TJywzOTc5Myk=&amp;WINDOW=FIRST_POPUP&amp;HEIGHT=450&amp;WIDTH=450&amp;START_MA","XIMIZED=FALSE&amp;VAR:CALENDAR=US&amp;VAR:SYMBOL=G0129K10&amp;VAR:INDEX=0"}</definedName>
    <definedName name="_7748__FDSAUDITLINK__" hidden="1">{"fdsup://directions/FAT Viewer?action=UPDATE&amp;creator=factset&amp;DYN_ARGS=TRUE&amp;DOC_NAME=FAT:FQL_AUDITING_CLIENT_TEMPLATE.FAT&amp;display_string=Audit&amp;VAR:KEY=JQZWHCTULY&amp;VAR:QUERY=RkZfRUJJVERBX0lCKCdMVE1TJywzOTc5Myk=&amp;WINDOW=FIRST_POPUP&amp;HEIGHT=450&amp;WIDTH=450&amp;START_MA","XIMIZED=FALSE&amp;VAR:CALENDAR=US&amp;VAR:SYMBOL=G0129K10&amp;VAR:INDEX=0"}</definedName>
    <definedName name="_7749__FDSAUDITLINK__" localSheetId="6" hidden="1">{"fdsup://directions/FAT Viewer?action=UPDATE&amp;creator=factset&amp;DYN_ARGS=TRUE&amp;DOC_NAME=FAT:FQL_AUDITING_CLIENT_TEMPLATE.FAT&amp;display_string=Audit&amp;VAR:KEY=PKVGLUNQXA&amp;VAR:QUERY=RkZfRUJJVERBX0lCKCdMVE1TJywzOTc5Mik=&amp;WINDOW=FIRST_POPUP&amp;HEIGHT=450&amp;WIDTH=450&amp;START_MA","XIMIZED=FALSE&amp;VAR:CALENDAR=US&amp;VAR:SYMBOL=G0129K10&amp;VAR:INDEX=0"}</definedName>
    <definedName name="_7749__FDSAUDITLINK__" hidden="1">{"fdsup://directions/FAT Viewer?action=UPDATE&amp;creator=factset&amp;DYN_ARGS=TRUE&amp;DOC_NAME=FAT:FQL_AUDITING_CLIENT_TEMPLATE.FAT&amp;display_string=Audit&amp;VAR:KEY=PKVGLUNQXA&amp;VAR:QUERY=RkZfRUJJVERBX0lCKCdMVE1TJywzOTc5Mik=&amp;WINDOW=FIRST_POPUP&amp;HEIGHT=450&amp;WIDTH=450&amp;START_MA","XIMIZED=FALSE&amp;VAR:CALENDAR=US&amp;VAR:SYMBOL=G0129K10&amp;VAR:INDEX=0"}</definedName>
    <definedName name="_775__FDSAUDITLINK__" localSheetId="6" hidden="1">{"fdsup://directions/FAT%20Viewer?VAR:PED=LTM&amp;VAR:AUDIT_MODE=SUMMARY&amp;VAR:PERIOD=FIXED&amp;VAR:AUDIT_ID=00000117&amp;VAR:DATE=20080108&amp;action=UPDATE&amp;creator=factset&amp;DOC_NAME=FAT:FMA_audit_SUMMARY.fat&amp;DISPLAY_STRING=Display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5__FDSAUDITLINK__" hidden="1">{"fdsup://directions/FAT%20Viewer?VAR:PED=LTM&amp;VAR:AUDIT_MODE=SUMMARY&amp;VAR:PERIOD=FIXED&amp;VAR:AUDIT_ID=00000117&amp;VAR:DATE=20080108&amp;action=UPDATE&amp;creator=factset&amp;DOC_NAME=FAT:FMA_audit_SUMMARY.fat&amp;DISPLAY_STRING=Display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50__FDSAUDITLINK__" localSheetId="6" hidden="1">{"fdsup://directions/FAT Viewer?action=UPDATE&amp;creator=factset&amp;DYN_ARGS=TRUE&amp;DOC_NAME=FAT:FQL_AUDITING_CLIENT_TEMPLATE.FAT&amp;display_string=Audit&amp;VAR:KEY=ROVAHSPOXW&amp;VAR:QUERY=RkZfRUJJVERBX0lCKCdMVE1TJywzOTc5MSk=&amp;WINDOW=FIRST_POPUP&amp;HEIGHT=450&amp;WIDTH=450&amp;START_MA","XIMIZED=FALSE&amp;VAR:CALENDAR=US&amp;VAR:SYMBOL=G0129K10&amp;VAR:INDEX=0"}</definedName>
    <definedName name="_7750__FDSAUDITLINK__" hidden="1">{"fdsup://directions/FAT Viewer?action=UPDATE&amp;creator=factset&amp;DYN_ARGS=TRUE&amp;DOC_NAME=FAT:FQL_AUDITING_CLIENT_TEMPLATE.FAT&amp;display_string=Audit&amp;VAR:KEY=ROVAHSPOXW&amp;VAR:QUERY=RkZfRUJJVERBX0lCKCdMVE1TJywzOTc5MSk=&amp;WINDOW=FIRST_POPUP&amp;HEIGHT=450&amp;WIDTH=450&amp;START_MA","XIMIZED=FALSE&amp;VAR:CALENDAR=US&amp;VAR:SYMBOL=G0129K10&amp;VAR:INDEX=0"}</definedName>
    <definedName name="_7751__FDSAUDITLINK__" localSheetId="6" hidden="1">{"fdsup://directions/FAT Viewer?action=UPDATE&amp;creator=factset&amp;DYN_ARGS=TRUE&amp;DOC_NAME=FAT:FQL_AUDITING_CLIENT_TEMPLATE.FAT&amp;display_string=Audit&amp;VAR:KEY=PKHONGRYVE&amp;VAR:QUERY=RkZfRUJJVERBX0lCKCdMVE1TJywzOTc5MCk=&amp;WINDOW=FIRST_POPUP&amp;HEIGHT=450&amp;WIDTH=450&amp;START_MA","XIMIZED=FALSE&amp;VAR:CALENDAR=US&amp;VAR:SYMBOL=G0129K10&amp;VAR:INDEX=0"}</definedName>
    <definedName name="_7751__FDSAUDITLINK__" hidden="1">{"fdsup://directions/FAT Viewer?action=UPDATE&amp;creator=factset&amp;DYN_ARGS=TRUE&amp;DOC_NAME=FAT:FQL_AUDITING_CLIENT_TEMPLATE.FAT&amp;display_string=Audit&amp;VAR:KEY=PKHONGRYVE&amp;VAR:QUERY=RkZfRUJJVERBX0lCKCdMVE1TJywzOTc5MCk=&amp;WINDOW=FIRST_POPUP&amp;HEIGHT=450&amp;WIDTH=450&amp;START_MA","XIMIZED=FALSE&amp;VAR:CALENDAR=US&amp;VAR:SYMBOL=G0129K10&amp;VAR:INDEX=0"}</definedName>
    <definedName name="_7752__FDSAUDITLINK__" localSheetId="6" hidden="1">{"fdsup://directions/FAT Viewer?action=UPDATE&amp;creator=factset&amp;DYN_ARGS=TRUE&amp;DOC_NAME=FAT:FQL_AUDITING_CLIENT_TEMPLATE.FAT&amp;display_string=Audit&amp;VAR:KEY=VMHCJWHCPO&amp;VAR:QUERY=RkZfRUJJVERBX0lCKCdMVE1TJywzOTc4OSk=&amp;WINDOW=FIRST_POPUP&amp;HEIGHT=450&amp;WIDTH=450&amp;START_MA","XIMIZED=FALSE&amp;VAR:CALENDAR=US&amp;VAR:SYMBOL=G0129K10&amp;VAR:INDEX=0"}</definedName>
    <definedName name="_7752__FDSAUDITLINK__" hidden="1">{"fdsup://directions/FAT Viewer?action=UPDATE&amp;creator=factset&amp;DYN_ARGS=TRUE&amp;DOC_NAME=FAT:FQL_AUDITING_CLIENT_TEMPLATE.FAT&amp;display_string=Audit&amp;VAR:KEY=VMHCJWHCPO&amp;VAR:QUERY=RkZfRUJJVERBX0lCKCdMVE1TJywzOTc4OSk=&amp;WINDOW=FIRST_POPUP&amp;HEIGHT=450&amp;WIDTH=450&amp;START_MA","XIMIZED=FALSE&amp;VAR:CALENDAR=US&amp;VAR:SYMBOL=G0129K10&amp;VAR:INDEX=0"}</definedName>
    <definedName name="_7753__FDSAUDITLINK__" localSheetId="6" hidden="1">{"fdsup://directions/FAT Viewer?action=UPDATE&amp;creator=factset&amp;DYN_ARGS=TRUE&amp;DOC_NAME=FAT:FQL_AUDITING_CLIENT_TEMPLATE.FAT&amp;display_string=Audit&amp;VAR:KEY=ZYTAXKBWNY&amp;VAR:QUERY=RkZfRUJJVERBX0lCKCdMVE1TJywzOTc4OCk=&amp;WINDOW=FIRST_POPUP&amp;HEIGHT=450&amp;WIDTH=450&amp;START_MA","XIMIZED=FALSE&amp;VAR:CALENDAR=US&amp;VAR:SYMBOL=G0129K10&amp;VAR:INDEX=0"}</definedName>
    <definedName name="_7753__FDSAUDITLINK__" hidden="1">{"fdsup://directions/FAT Viewer?action=UPDATE&amp;creator=factset&amp;DYN_ARGS=TRUE&amp;DOC_NAME=FAT:FQL_AUDITING_CLIENT_TEMPLATE.FAT&amp;display_string=Audit&amp;VAR:KEY=ZYTAXKBWNY&amp;VAR:QUERY=RkZfRUJJVERBX0lCKCdMVE1TJywzOTc4OCk=&amp;WINDOW=FIRST_POPUP&amp;HEIGHT=450&amp;WIDTH=450&amp;START_MA","XIMIZED=FALSE&amp;VAR:CALENDAR=US&amp;VAR:SYMBOL=G0129K10&amp;VAR:INDEX=0"}</definedName>
    <definedName name="_7754__FDSAUDITLINK__" localSheetId="6" hidden="1">{"fdsup://directions/FAT Viewer?action=UPDATE&amp;creator=factset&amp;DYN_ARGS=TRUE&amp;DOC_NAME=FAT:FQL_AUDITING_CLIENT_TEMPLATE.FAT&amp;display_string=Audit&amp;VAR:KEY=XCVWFGRMTQ&amp;VAR:QUERY=RkZfRUJJVERBX0lCKCdMVE1TJywzOTc4Nyk=&amp;WINDOW=FIRST_POPUP&amp;HEIGHT=450&amp;WIDTH=450&amp;START_MA","XIMIZED=FALSE&amp;VAR:CALENDAR=US&amp;VAR:SYMBOL=G0129K10&amp;VAR:INDEX=0"}</definedName>
    <definedName name="_7754__FDSAUDITLINK__" hidden="1">{"fdsup://directions/FAT Viewer?action=UPDATE&amp;creator=factset&amp;DYN_ARGS=TRUE&amp;DOC_NAME=FAT:FQL_AUDITING_CLIENT_TEMPLATE.FAT&amp;display_string=Audit&amp;VAR:KEY=XCVWFGRMTQ&amp;VAR:QUERY=RkZfRUJJVERBX0lCKCdMVE1TJywzOTc4Nyk=&amp;WINDOW=FIRST_POPUP&amp;HEIGHT=450&amp;WIDTH=450&amp;START_MA","XIMIZED=FALSE&amp;VAR:CALENDAR=US&amp;VAR:SYMBOL=G0129K10&amp;VAR:INDEX=0"}</definedName>
    <definedName name="_7755__FDSAUDITLINK__" localSheetId="6" hidden="1">{"fdsup://directions/FAT Viewer?action=UPDATE&amp;creator=factset&amp;DYN_ARGS=TRUE&amp;DOC_NAME=FAT:FQL_AUDITING_CLIENT_TEMPLATE.FAT&amp;display_string=Audit&amp;VAR:KEY=DKBQFWZITU&amp;VAR:QUERY=RkZfRUJJVERBX0lCKCdMVE1TJywzOTc4Nik=&amp;WINDOW=FIRST_POPUP&amp;HEIGHT=450&amp;WIDTH=450&amp;START_MA","XIMIZED=FALSE&amp;VAR:CALENDAR=US&amp;VAR:SYMBOL=G0129K10&amp;VAR:INDEX=0"}</definedName>
    <definedName name="_7755__FDSAUDITLINK__" hidden="1">{"fdsup://directions/FAT Viewer?action=UPDATE&amp;creator=factset&amp;DYN_ARGS=TRUE&amp;DOC_NAME=FAT:FQL_AUDITING_CLIENT_TEMPLATE.FAT&amp;display_string=Audit&amp;VAR:KEY=DKBQFWZITU&amp;VAR:QUERY=RkZfRUJJVERBX0lCKCdMVE1TJywzOTc4Nik=&amp;WINDOW=FIRST_POPUP&amp;HEIGHT=450&amp;WIDTH=450&amp;START_MA","XIMIZED=FALSE&amp;VAR:CALENDAR=US&amp;VAR:SYMBOL=G0129K10&amp;VAR:INDEX=0"}</definedName>
    <definedName name="_7756__FDSAUDITLINK__" localSheetId="6" hidden="1">{"fdsup://directions/FAT Viewer?action=UPDATE&amp;creator=factset&amp;DYN_ARGS=TRUE&amp;DOC_NAME=FAT:FQL_AUDITING_CLIENT_TEMPLATE.FAT&amp;display_string=Audit&amp;VAR:KEY=BWDQXEPABA&amp;VAR:QUERY=RkZfRUJJVERBX0lCKCdMVE1TJywzOTc4NSk=&amp;WINDOW=FIRST_POPUP&amp;HEIGHT=450&amp;WIDTH=450&amp;START_MA","XIMIZED=FALSE&amp;VAR:CALENDAR=US&amp;VAR:SYMBOL=G0129K10&amp;VAR:INDEX=0"}</definedName>
    <definedName name="_7756__FDSAUDITLINK__" hidden="1">{"fdsup://directions/FAT Viewer?action=UPDATE&amp;creator=factset&amp;DYN_ARGS=TRUE&amp;DOC_NAME=FAT:FQL_AUDITING_CLIENT_TEMPLATE.FAT&amp;display_string=Audit&amp;VAR:KEY=BWDQXEPABA&amp;VAR:QUERY=RkZfRUJJVERBX0lCKCdMVE1TJywzOTc4NSk=&amp;WINDOW=FIRST_POPUP&amp;HEIGHT=450&amp;WIDTH=450&amp;START_MA","XIMIZED=FALSE&amp;VAR:CALENDAR=US&amp;VAR:SYMBOL=G0129K10&amp;VAR:INDEX=0"}</definedName>
    <definedName name="_7757__FDSAUDITLINK__" localSheetId="6" hidden="1">{"fdsup://directions/FAT Viewer?action=UPDATE&amp;creator=factset&amp;DYN_ARGS=TRUE&amp;DOC_NAME=FAT:FQL_AUDITING_CLIENT_TEMPLATE.FAT&amp;display_string=Audit&amp;VAR:KEY=ZUJCBWBAVK&amp;VAR:QUERY=RkZfRUJJVERBX0lCKCdMVE1TJywzOTc4NCk=&amp;WINDOW=FIRST_POPUP&amp;HEIGHT=450&amp;WIDTH=450&amp;START_MA","XIMIZED=FALSE&amp;VAR:CALENDAR=US&amp;VAR:SYMBOL=G0129K10&amp;VAR:INDEX=0"}</definedName>
    <definedName name="_7757__FDSAUDITLINK__" hidden="1">{"fdsup://directions/FAT Viewer?action=UPDATE&amp;creator=factset&amp;DYN_ARGS=TRUE&amp;DOC_NAME=FAT:FQL_AUDITING_CLIENT_TEMPLATE.FAT&amp;display_string=Audit&amp;VAR:KEY=ZUJCBWBAVK&amp;VAR:QUERY=RkZfRUJJVERBX0lCKCdMVE1TJywzOTc4NCk=&amp;WINDOW=FIRST_POPUP&amp;HEIGHT=450&amp;WIDTH=450&amp;START_MA","XIMIZED=FALSE&amp;VAR:CALENDAR=US&amp;VAR:SYMBOL=G0129K10&amp;VAR:INDEX=0"}</definedName>
    <definedName name="_7758__FDSAUDITLINK__" localSheetId="6" hidden="1">{"fdsup://directions/FAT Viewer?action=UPDATE&amp;creator=factset&amp;DYN_ARGS=TRUE&amp;DOC_NAME=FAT:FQL_AUDITING_CLIENT_TEMPLATE.FAT&amp;display_string=Audit&amp;VAR:KEY=HKDOZOVWNG&amp;VAR:QUERY=RkZfRUJJVERBX0lCKCdMVE1TJywzOTc4Myk=&amp;WINDOW=FIRST_POPUP&amp;HEIGHT=450&amp;WIDTH=450&amp;START_MA","XIMIZED=FALSE&amp;VAR:CALENDAR=US&amp;VAR:SYMBOL=G0129K10&amp;VAR:INDEX=0"}</definedName>
    <definedName name="_7758__FDSAUDITLINK__" hidden="1">{"fdsup://directions/FAT Viewer?action=UPDATE&amp;creator=factset&amp;DYN_ARGS=TRUE&amp;DOC_NAME=FAT:FQL_AUDITING_CLIENT_TEMPLATE.FAT&amp;display_string=Audit&amp;VAR:KEY=HKDOZOVWNG&amp;VAR:QUERY=RkZfRUJJVERBX0lCKCdMVE1TJywzOTc4Myk=&amp;WINDOW=FIRST_POPUP&amp;HEIGHT=450&amp;WIDTH=450&amp;START_MA","XIMIZED=FALSE&amp;VAR:CALENDAR=US&amp;VAR:SYMBOL=G0129K10&amp;VAR:INDEX=0"}</definedName>
    <definedName name="_7759__FDSAUDITLINK__" localSheetId="6" hidden="1">{"fdsup://directions/FAT Viewer?action=UPDATE&amp;creator=factset&amp;DYN_ARGS=TRUE&amp;DOC_NAME=FAT:FQL_AUDITING_CLIENT_TEMPLATE.FAT&amp;display_string=Audit&amp;VAR:KEY=BGDGFSTWPU&amp;VAR:QUERY=RkZfRUJJVERBX0lCKCdMVE1TJywzOTc4Mik=&amp;WINDOW=FIRST_POPUP&amp;HEIGHT=450&amp;WIDTH=450&amp;START_MA","XIMIZED=FALSE&amp;VAR:CALENDAR=US&amp;VAR:SYMBOL=G0129K10&amp;VAR:INDEX=0"}</definedName>
    <definedName name="_7759__FDSAUDITLINK__" hidden="1">{"fdsup://directions/FAT Viewer?action=UPDATE&amp;creator=factset&amp;DYN_ARGS=TRUE&amp;DOC_NAME=FAT:FQL_AUDITING_CLIENT_TEMPLATE.FAT&amp;display_string=Audit&amp;VAR:KEY=BGDGFSTWPU&amp;VAR:QUERY=RkZfRUJJVERBX0lCKCdMVE1TJywzOTc4Mik=&amp;WINDOW=FIRST_POPUP&amp;HEIGHT=450&amp;WIDTH=450&amp;START_MA","XIMIZED=FALSE&amp;VAR:CALENDAR=US&amp;VAR:SYMBOL=G0129K10&amp;VAR:INDEX=0"}</definedName>
    <definedName name="_776__FDSAUDITLINK__" localSheetId="6" hidden="1">{"fdsup://directions/FAT%20Viewer?VAR:PED=LTM&amp;VAR:AUDIT_MODE=SUMMARY&amp;VAR:PERIOD=FIXED&amp;VAR:AUDIT_ID=00000117&amp;VAR:DATE=20080107&amp;action=UPDATE&amp;creator=factset&amp;DOC_NAME=FAT:FMA_audit_SUMMARY.fat&amp;DISPLAY_STRING=Display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6__FDSAUDITLINK__" hidden="1">{"fdsup://directions/FAT%20Viewer?VAR:PED=LTM&amp;VAR:AUDIT_MODE=SUMMARY&amp;VAR:PERIOD=FIXED&amp;VAR:AUDIT_ID=00000117&amp;VAR:DATE=20080107&amp;action=UPDATE&amp;creator=factset&amp;DOC_NAME=FAT:FMA_audit_SUMMARY.fat&amp;DISPLAY_STRING=Display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60__FDSAUDITLINK__" localSheetId="6" hidden="1">{"fdsup://directions/FAT Viewer?action=UPDATE&amp;creator=factset&amp;DYN_ARGS=TRUE&amp;DOC_NAME=FAT:FQL_AUDITING_CLIENT_TEMPLATE.FAT&amp;display_string=Audit&amp;VAR:KEY=TSRANQHYHO&amp;VAR:QUERY=RkZfRUJJVERBX0lCKCdMVE1TJywzOTc4MSk=&amp;WINDOW=FIRST_POPUP&amp;HEIGHT=450&amp;WIDTH=450&amp;START_MA","XIMIZED=FALSE&amp;VAR:CALENDAR=US&amp;VAR:SYMBOL=G0129K10&amp;VAR:INDEX=0"}</definedName>
    <definedName name="_7760__FDSAUDITLINK__" hidden="1">{"fdsup://directions/FAT Viewer?action=UPDATE&amp;creator=factset&amp;DYN_ARGS=TRUE&amp;DOC_NAME=FAT:FQL_AUDITING_CLIENT_TEMPLATE.FAT&amp;display_string=Audit&amp;VAR:KEY=TSRANQHYHO&amp;VAR:QUERY=RkZfRUJJVERBX0lCKCdMVE1TJywzOTc4MSk=&amp;WINDOW=FIRST_POPUP&amp;HEIGHT=450&amp;WIDTH=450&amp;START_MA","XIMIZED=FALSE&amp;VAR:CALENDAR=US&amp;VAR:SYMBOL=G0129K10&amp;VAR:INDEX=0"}</definedName>
    <definedName name="_7761__FDSAUDITLINK__" localSheetId="6" hidden="1">{"fdsup://directions/FAT Viewer?action=UPDATE&amp;creator=factset&amp;DYN_ARGS=TRUE&amp;DOC_NAME=FAT:FQL_AUDITING_CLIENT_TEMPLATE.FAT&amp;display_string=Audit&amp;VAR:KEY=FMRGJMLQXG&amp;VAR:QUERY=RkZfRUJJVERBX0lCKCdMVE1TJywzOTc4MCk=&amp;WINDOW=FIRST_POPUP&amp;HEIGHT=450&amp;WIDTH=450&amp;START_MA","XIMIZED=FALSE&amp;VAR:CALENDAR=US&amp;VAR:SYMBOL=G0129K10&amp;VAR:INDEX=0"}</definedName>
    <definedName name="_7761__FDSAUDITLINK__" hidden="1">{"fdsup://directions/FAT Viewer?action=UPDATE&amp;creator=factset&amp;DYN_ARGS=TRUE&amp;DOC_NAME=FAT:FQL_AUDITING_CLIENT_TEMPLATE.FAT&amp;display_string=Audit&amp;VAR:KEY=FMRGJMLQXG&amp;VAR:QUERY=RkZfRUJJVERBX0lCKCdMVE1TJywzOTc4MCk=&amp;WINDOW=FIRST_POPUP&amp;HEIGHT=450&amp;WIDTH=450&amp;START_MA","XIMIZED=FALSE&amp;VAR:CALENDAR=US&amp;VAR:SYMBOL=G0129K10&amp;VAR:INDEX=0"}</definedName>
    <definedName name="_7762__FDSAUDITLINK__" localSheetId="6" hidden="1">{"fdsup://directions/FAT Viewer?action=UPDATE&amp;creator=factset&amp;DYN_ARGS=TRUE&amp;DOC_NAME=FAT:FQL_AUDITING_CLIENT_TEMPLATE.FAT&amp;display_string=Audit&amp;VAR:KEY=JCBCVWBINO&amp;VAR:QUERY=RkZfRUJJVERBX0lCKCdMVE1TJywzOTc3OSk=&amp;WINDOW=FIRST_POPUP&amp;HEIGHT=450&amp;WIDTH=450&amp;START_MA","XIMIZED=FALSE&amp;VAR:CALENDAR=US&amp;VAR:SYMBOL=G0129K10&amp;VAR:INDEX=0"}</definedName>
    <definedName name="_7762__FDSAUDITLINK__" hidden="1">{"fdsup://directions/FAT Viewer?action=UPDATE&amp;creator=factset&amp;DYN_ARGS=TRUE&amp;DOC_NAME=FAT:FQL_AUDITING_CLIENT_TEMPLATE.FAT&amp;display_string=Audit&amp;VAR:KEY=JCBCVWBINO&amp;VAR:QUERY=RkZfRUJJVERBX0lCKCdMVE1TJywzOTc3OSk=&amp;WINDOW=FIRST_POPUP&amp;HEIGHT=450&amp;WIDTH=450&amp;START_MA","XIMIZED=FALSE&amp;VAR:CALENDAR=US&amp;VAR:SYMBOL=G0129K10&amp;VAR:INDEX=0"}</definedName>
    <definedName name="_7763__FDSAUDITLINK__" localSheetId="6" hidden="1">{"fdsup://directions/FAT Viewer?action=UPDATE&amp;creator=factset&amp;DYN_ARGS=TRUE&amp;DOC_NAME=FAT:FQL_AUDITING_CLIENT_TEMPLATE.FAT&amp;display_string=Audit&amp;VAR:KEY=VYTWBCZCFM&amp;VAR:QUERY=RkZfRUJJVERBX0lCKCdMVE1TJywzOTc3OCk=&amp;WINDOW=FIRST_POPUP&amp;HEIGHT=450&amp;WIDTH=450&amp;START_MA","XIMIZED=FALSE&amp;VAR:CALENDAR=US&amp;VAR:SYMBOL=G0129K10&amp;VAR:INDEX=0"}</definedName>
    <definedName name="_7763__FDSAUDITLINK__" hidden="1">{"fdsup://directions/FAT Viewer?action=UPDATE&amp;creator=factset&amp;DYN_ARGS=TRUE&amp;DOC_NAME=FAT:FQL_AUDITING_CLIENT_TEMPLATE.FAT&amp;display_string=Audit&amp;VAR:KEY=VYTWBCZCFM&amp;VAR:QUERY=RkZfRUJJVERBX0lCKCdMVE1TJywzOTc3OCk=&amp;WINDOW=FIRST_POPUP&amp;HEIGHT=450&amp;WIDTH=450&amp;START_MA","XIMIZED=FALSE&amp;VAR:CALENDAR=US&amp;VAR:SYMBOL=G0129K10&amp;VAR:INDEX=0"}</definedName>
    <definedName name="_7764__FDSAUDITLINK__" localSheetId="6" hidden="1">{"fdsup://directions/FAT Viewer?action=UPDATE&amp;creator=factset&amp;DYN_ARGS=TRUE&amp;DOC_NAME=FAT:FQL_AUDITING_CLIENT_TEMPLATE.FAT&amp;display_string=Audit&amp;VAR:KEY=ZILMRWZCPO&amp;VAR:QUERY=RkZfRUJJVERBX0lCKCdMVE1TJywzOTc3Nyk=&amp;WINDOW=FIRST_POPUP&amp;HEIGHT=450&amp;WIDTH=450&amp;START_MA","XIMIZED=FALSE&amp;VAR:CALENDAR=US&amp;VAR:SYMBOL=G0129K10&amp;VAR:INDEX=0"}</definedName>
    <definedName name="_7764__FDSAUDITLINK__" hidden="1">{"fdsup://directions/FAT Viewer?action=UPDATE&amp;creator=factset&amp;DYN_ARGS=TRUE&amp;DOC_NAME=FAT:FQL_AUDITING_CLIENT_TEMPLATE.FAT&amp;display_string=Audit&amp;VAR:KEY=ZILMRWZCPO&amp;VAR:QUERY=RkZfRUJJVERBX0lCKCdMVE1TJywzOTc3Nyk=&amp;WINDOW=FIRST_POPUP&amp;HEIGHT=450&amp;WIDTH=450&amp;START_MA","XIMIZED=FALSE&amp;VAR:CALENDAR=US&amp;VAR:SYMBOL=G0129K10&amp;VAR:INDEX=0"}</definedName>
    <definedName name="_7765__FDSAUDITLINK__" localSheetId="6" hidden="1">{"fdsup://directions/FAT Viewer?action=UPDATE&amp;creator=factset&amp;DYN_ARGS=TRUE&amp;DOC_NAME=FAT:FQL_AUDITING_CLIENT_TEMPLATE.FAT&amp;display_string=Audit&amp;VAR:KEY=DYBUZCRGVC&amp;VAR:QUERY=RkZfRUJJVERBX0lCKCdMVE1TJywzOTc3Nik=&amp;WINDOW=FIRST_POPUP&amp;HEIGHT=450&amp;WIDTH=450&amp;START_MA","XIMIZED=FALSE&amp;VAR:CALENDAR=US&amp;VAR:SYMBOL=G0129K10&amp;VAR:INDEX=0"}</definedName>
    <definedName name="_7765__FDSAUDITLINK__" hidden="1">{"fdsup://directions/FAT Viewer?action=UPDATE&amp;creator=factset&amp;DYN_ARGS=TRUE&amp;DOC_NAME=FAT:FQL_AUDITING_CLIENT_TEMPLATE.FAT&amp;display_string=Audit&amp;VAR:KEY=DYBUZCRGVC&amp;VAR:QUERY=RkZfRUJJVERBX0lCKCdMVE1TJywzOTc3Nik=&amp;WINDOW=FIRST_POPUP&amp;HEIGHT=450&amp;WIDTH=450&amp;START_MA","XIMIZED=FALSE&amp;VAR:CALENDAR=US&amp;VAR:SYMBOL=G0129K10&amp;VAR:INDEX=0"}</definedName>
    <definedName name="_7766__FDSAUDITLINK__" localSheetId="6" hidden="1">{"fdsup://directions/FAT Viewer?action=UPDATE&amp;creator=factset&amp;DYN_ARGS=TRUE&amp;DOC_NAME=FAT:FQL_AUDITING_CLIENT_TEMPLATE.FAT&amp;display_string=Audit&amp;VAR:KEY=PGXKXIXQRU&amp;VAR:QUERY=RkZfRUJJVERBX0lCKCdMVE1TJywzOTc3NSk=&amp;WINDOW=FIRST_POPUP&amp;HEIGHT=450&amp;WIDTH=450&amp;START_MA","XIMIZED=FALSE&amp;VAR:CALENDAR=US&amp;VAR:SYMBOL=G0129K10&amp;VAR:INDEX=0"}</definedName>
    <definedName name="_7766__FDSAUDITLINK__" hidden="1">{"fdsup://directions/FAT Viewer?action=UPDATE&amp;creator=factset&amp;DYN_ARGS=TRUE&amp;DOC_NAME=FAT:FQL_AUDITING_CLIENT_TEMPLATE.FAT&amp;display_string=Audit&amp;VAR:KEY=PGXKXIXQRU&amp;VAR:QUERY=RkZfRUJJVERBX0lCKCdMVE1TJywzOTc3NSk=&amp;WINDOW=FIRST_POPUP&amp;HEIGHT=450&amp;WIDTH=450&amp;START_MA","XIMIZED=FALSE&amp;VAR:CALENDAR=US&amp;VAR:SYMBOL=G0129K10&amp;VAR:INDEX=0"}</definedName>
    <definedName name="_7767__FDSAUDITLINK__" localSheetId="6" hidden="1">{"fdsup://directions/FAT Viewer?action=UPDATE&amp;creator=factset&amp;DYN_ARGS=TRUE&amp;DOC_NAME=FAT:FQL_AUDITING_CLIENT_TEMPLATE.FAT&amp;display_string=Audit&amp;VAR:KEY=VYJQPYTUPI&amp;VAR:QUERY=RkZfRUJJVERBX0lCKCdMVE1TJywzOTc3NCk=&amp;WINDOW=FIRST_POPUP&amp;HEIGHT=450&amp;WIDTH=450&amp;START_MA","XIMIZED=FALSE&amp;VAR:CALENDAR=US&amp;VAR:SYMBOL=G0129K10&amp;VAR:INDEX=0"}</definedName>
    <definedName name="_7767__FDSAUDITLINK__" hidden="1">{"fdsup://directions/FAT Viewer?action=UPDATE&amp;creator=factset&amp;DYN_ARGS=TRUE&amp;DOC_NAME=FAT:FQL_AUDITING_CLIENT_TEMPLATE.FAT&amp;display_string=Audit&amp;VAR:KEY=VYJQPYTUPI&amp;VAR:QUERY=RkZfRUJJVERBX0lCKCdMVE1TJywzOTc3NCk=&amp;WINDOW=FIRST_POPUP&amp;HEIGHT=450&amp;WIDTH=450&amp;START_MA","XIMIZED=FALSE&amp;VAR:CALENDAR=US&amp;VAR:SYMBOL=G0129K10&amp;VAR:INDEX=0"}</definedName>
    <definedName name="_7768__FDSAUDITLINK__" localSheetId="6" hidden="1">{"fdsup://directions/FAT Viewer?action=UPDATE&amp;creator=factset&amp;DYN_ARGS=TRUE&amp;DOC_NAME=FAT:FQL_AUDITING_CLIENT_TEMPLATE.FAT&amp;display_string=Audit&amp;VAR:KEY=DCJWHQRIJW&amp;VAR:QUERY=RkZfRUJJVERBX0lCKCdMVE1TJywzOTc3Myk=&amp;WINDOW=FIRST_POPUP&amp;HEIGHT=450&amp;WIDTH=450&amp;START_MA","XIMIZED=FALSE&amp;VAR:CALENDAR=US&amp;VAR:SYMBOL=G0129K10&amp;VAR:INDEX=0"}</definedName>
    <definedName name="_7768__FDSAUDITLINK__" hidden="1">{"fdsup://directions/FAT Viewer?action=UPDATE&amp;creator=factset&amp;DYN_ARGS=TRUE&amp;DOC_NAME=FAT:FQL_AUDITING_CLIENT_TEMPLATE.FAT&amp;display_string=Audit&amp;VAR:KEY=DCJWHQRIJW&amp;VAR:QUERY=RkZfRUJJVERBX0lCKCdMVE1TJywzOTc3Myk=&amp;WINDOW=FIRST_POPUP&amp;HEIGHT=450&amp;WIDTH=450&amp;START_MA","XIMIZED=FALSE&amp;VAR:CALENDAR=US&amp;VAR:SYMBOL=G0129K10&amp;VAR:INDEX=0"}</definedName>
    <definedName name="_7769__FDSAUDITLINK__" localSheetId="6" hidden="1">{"fdsup://directions/FAT Viewer?action=UPDATE&amp;creator=factset&amp;DYN_ARGS=TRUE&amp;DOC_NAME=FAT:FQL_AUDITING_CLIENT_TEMPLATE.FAT&amp;display_string=Audit&amp;VAR:KEY=HADUPINSJY&amp;VAR:QUERY=RkZfRUJJVERBX0lCKCdMVE1TJywzOTc3Mik=&amp;WINDOW=FIRST_POPUP&amp;HEIGHT=450&amp;WIDTH=450&amp;START_MA","XIMIZED=FALSE&amp;VAR:CALENDAR=US&amp;VAR:SYMBOL=G0129K10&amp;VAR:INDEX=0"}</definedName>
    <definedName name="_7769__FDSAUDITLINK__" hidden="1">{"fdsup://directions/FAT Viewer?action=UPDATE&amp;creator=factset&amp;DYN_ARGS=TRUE&amp;DOC_NAME=FAT:FQL_AUDITING_CLIENT_TEMPLATE.FAT&amp;display_string=Audit&amp;VAR:KEY=HADUPINSJY&amp;VAR:QUERY=RkZfRUJJVERBX0lCKCdMVE1TJywzOTc3Mik=&amp;WINDOW=FIRST_POPUP&amp;HEIGHT=450&amp;WIDTH=450&amp;START_MA","XIMIZED=FALSE&amp;VAR:CALENDAR=US&amp;VAR:SYMBOL=G0129K10&amp;VAR:INDEX=0"}</definedName>
    <definedName name="_777__FDSAUDITLINK__" localSheetId="6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7__FDSAUDITLINK__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70__FDSAUDITLINK__" localSheetId="6" hidden="1">{"fdsup://directions/FAT Viewer?action=UPDATE&amp;creator=factset&amp;DYN_ARGS=TRUE&amp;DOC_NAME=FAT:FQL_AUDITING_CLIENT_TEMPLATE.FAT&amp;display_string=Audit&amp;VAR:KEY=PYXGFIFUZO&amp;VAR:QUERY=RkZfRUJJVERBX0lCKCdMVE1TJywzOTc3MSk=&amp;WINDOW=FIRST_POPUP&amp;HEIGHT=450&amp;WIDTH=450&amp;START_MA","XIMIZED=FALSE&amp;VAR:CALENDAR=US&amp;VAR:SYMBOL=G0129K10&amp;VAR:INDEX=0"}</definedName>
    <definedName name="_7770__FDSAUDITLINK__" hidden="1">{"fdsup://directions/FAT Viewer?action=UPDATE&amp;creator=factset&amp;DYN_ARGS=TRUE&amp;DOC_NAME=FAT:FQL_AUDITING_CLIENT_TEMPLATE.FAT&amp;display_string=Audit&amp;VAR:KEY=PYXGFIFUZO&amp;VAR:QUERY=RkZfRUJJVERBX0lCKCdMVE1TJywzOTc3MSk=&amp;WINDOW=FIRST_POPUP&amp;HEIGHT=450&amp;WIDTH=450&amp;START_MA","XIMIZED=FALSE&amp;VAR:CALENDAR=US&amp;VAR:SYMBOL=G0129K10&amp;VAR:INDEX=0"}</definedName>
    <definedName name="_7771__FDSAUDITLINK__" localSheetId="6" hidden="1">{"fdsup://directions/FAT Viewer?action=UPDATE&amp;creator=factset&amp;DYN_ARGS=TRUE&amp;DOC_NAME=FAT:FQL_AUDITING_CLIENT_TEMPLATE.FAT&amp;display_string=Audit&amp;VAR:KEY=FMXYDCFKXK&amp;VAR:QUERY=RkZfRUJJVERBX0lCKCdMVE1TJywzOTc3MCk=&amp;WINDOW=FIRST_POPUP&amp;HEIGHT=450&amp;WIDTH=450&amp;START_MA","XIMIZED=FALSE&amp;VAR:CALENDAR=US&amp;VAR:SYMBOL=G0129K10&amp;VAR:INDEX=0"}</definedName>
    <definedName name="_7771__FDSAUDITLINK__" hidden="1">{"fdsup://directions/FAT Viewer?action=UPDATE&amp;creator=factset&amp;DYN_ARGS=TRUE&amp;DOC_NAME=FAT:FQL_AUDITING_CLIENT_TEMPLATE.FAT&amp;display_string=Audit&amp;VAR:KEY=FMXYDCFKXK&amp;VAR:QUERY=RkZfRUJJVERBX0lCKCdMVE1TJywzOTc3MCk=&amp;WINDOW=FIRST_POPUP&amp;HEIGHT=450&amp;WIDTH=450&amp;START_MA","XIMIZED=FALSE&amp;VAR:CALENDAR=US&amp;VAR:SYMBOL=G0129K10&amp;VAR:INDEX=0"}</definedName>
    <definedName name="_7772__FDSAUDITLINK__" localSheetId="6" hidden="1">{"fdsup://directions/FAT Viewer?action=UPDATE&amp;creator=factset&amp;DYN_ARGS=TRUE&amp;DOC_NAME=FAT:FQL_AUDITING_CLIENT_TEMPLATE.FAT&amp;display_string=Audit&amp;VAR:KEY=ZCZWJWDIHO&amp;VAR:QUERY=RkZfRUJJVERBX0lCKCdMVE1TJywzOTc2OSk=&amp;WINDOW=FIRST_POPUP&amp;HEIGHT=450&amp;WIDTH=450&amp;START_MA","XIMIZED=FALSE&amp;VAR:CALENDAR=US&amp;VAR:SYMBOL=G0129K10&amp;VAR:INDEX=0"}</definedName>
    <definedName name="_7772__FDSAUDITLINK__" hidden="1">{"fdsup://directions/FAT Viewer?action=UPDATE&amp;creator=factset&amp;DYN_ARGS=TRUE&amp;DOC_NAME=FAT:FQL_AUDITING_CLIENT_TEMPLATE.FAT&amp;display_string=Audit&amp;VAR:KEY=ZCZWJWDIHO&amp;VAR:QUERY=RkZfRUJJVERBX0lCKCdMVE1TJywzOTc2OSk=&amp;WINDOW=FIRST_POPUP&amp;HEIGHT=450&amp;WIDTH=450&amp;START_MA","XIMIZED=FALSE&amp;VAR:CALENDAR=US&amp;VAR:SYMBOL=G0129K10&amp;VAR:INDEX=0"}</definedName>
    <definedName name="_7773__FDSAUDITLINK__" localSheetId="6" hidden="1">{"fdsup://directions/FAT Viewer?action=UPDATE&amp;creator=factset&amp;DYN_ARGS=TRUE&amp;DOC_NAME=FAT:FQL_AUDITING_CLIENT_TEMPLATE.FAT&amp;display_string=Audit&amp;VAR:KEY=FCJYHCTCBK&amp;VAR:QUERY=RkZfRUJJVERBX0lCKCdMVE1TJywzOTc2OCk=&amp;WINDOW=FIRST_POPUP&amp;HEIGHT=450&amp;WIDTH=450&amp;START_MA","XIMIZED=FALSE&amp;VAR:CALENDAR=US&amp;VAR:SYMBOL=G0129K10&amp;VAR:INDEX=0"}</definedName>
    <definedName name="_7773__FDSAUDITLINK__" hidden="1">{"fdsup://directions/FAT Viewer?action=UPDATE&amp;creator=factset&amp;DYN_ARGS=TRUE&amp;DOC_NAME=FAT:FQL_AUDITING_CLIENT_TEMPLATE.FAT&amp;display_string=Audit&amp;VAR:KEY=FCJYHCTCBK&amp;VAR:QUERY=RkZfRUJJVERBX0lCKCdMVE1TJywzOTc2OCk=&amp;WINDOW=FIRST_POPUP&amp;HEIGHT=450&amp;WIDTH=450&amp;START_MA","XIMIZED=FALSE&amp;VAR:CALENDAR=US&amp;VAR:SYMBOL=G0129K10&amp;VAR:INDEX=0"}</definedName>
    <definedName name="_7774__FDSAUDITLINK__" localSheetId="6" hidden="1">{"fdsup://directions/FAT Viewer?action=UPDATE&amp;creator=factset&amp;DYN_ARGS=TRUE&amp;DOC_NAME=FAT:FQL_AUDITING_CLIENT_TEMPLATE.FAT&amp;display_string=Audit&amp;VAR:KEY=JCTEZEDSBO&amp;VAR:QUERY=RkZfRUJJVERBX0lCKCdMVE1TJywzOTc2Nyk=&amp;WINDOW=FIRST_POPUP&amp;HEIGHT=450&amp;WIDTH=450&amp;START_MA","XIMIZED=FALSE&amp;VAR:CALENDAR=US&amp;VAR:SYMBOL=G0129K10&amp;VAR:INDEX=0"}</definedName>
    <definedName name="_7774__FDSAUDITLINK__" hidden="1">{"fdsup://directions/FAT Viewer?action=UPDATE&amp;creator=factset&amp;DYN_ARGS=TRUE&amp;DOC_NAME=FAT:FQL_AUDITING_CLIENT_TEMPLATE.FAT&amp;display_string=Audit&amp;VAR:KEY=JCTEZEDSBO&amp;VAR:QUERY=RkZfRUJJVERBX0lCKCdMVE1TJywzOTc2Nyk=&amp;WINDOW=FIRST_POPUP&amp;HEIGHT=450&amp;WIDTH=450&amp;START_MA","XIMIZED=FALSE&amp;VAR:CALENDAR=US&amp;VAR:SYMBOL=G0129K10&amp;VAR:INDEX=0"}</definedName>
    <definedName name="_7775__FDSAUDITLINK__" localSheetId="6" hidden="1">{"fdsup://directions/FAT Viewer?action=UPDATE&amp;creator=factset&amp;DYN_ARGS=TRUE&amp;DOC_NAME=FAT:FQL_AUDITING_CLIENT_TEMPLATE.FAT&amp;display_string=Audit&amp;VAR:KEY=FEZYJMPMFW&amp;VAR:QUERY=RkZfRUJJVERBX0lCKCdMVE1TJywzOTc2Nik=&amp;WINDOW=FIRST_POPUP&amp;HEIGHT=450&amp;WIDTH=450&amp;START_MA","XIMIZED=FALSE&amp;VAR:CALENDAR=US&amp;VAR:SYMBOL=G0129K10&amp;VAR:INDEX=0"}</definedName>
    <definedName name="_7775__FDSAUDITLINK__" hidden="1">{"fdsup://directions/FAT Viewer?action=UPDATE&amp;creator=factset&amp;DYN_ARGS=TRUE&amp;DOC_NAME=FAT:FQL_AUDITING_CLIENT_TEMPLATE.FAT&amp;display_string=Audit&amp;VAR:KEY=FEZYJMPMFW&amp;VAR:QUERY=RkZfRUJJVERBX0lCKCdMVE1TJywzOTc2Nik=&amp;WINDOW=FIRST_POPUP&amp;HEIGHT=450&amp;WIDTH=450&amp;START_MA","XIMIZED=FALSE&amp;VAR:CALENDAR=US&amp;VAR:SYMBOL=G0129K10&amp;VAR:INDEX=0"}</definedName>
    <definedName name="_7776__FDSAUDITLINK__" localSheetId="6" hidden="1">{"fdsup://directions/FAT Viewer?action=UPDATE&amp;creator=factset&amp;DYN_ARGS=TRUE&amp;DOC_NAME=FAT:FQL_AUDITING_CLIENT_TEMPLATE.FAT&amp;display_string=Audit&amp;VAR:KEY=PKDMJIXGFS&amp;VAR:QUERY=RkZfRUJJVERBX0lCKCdMVE1TJywzOTc2NSk=&amp;WINDOW=FIRST_POPUP&amp;HEIGHT=450&amp;WIDTH=450&amp;START_MA","XIMIZED=FALSE&amp;VAR:CALENDAR=US&amp;VAR:SYMBOL=G0129K10&amp;VAR:INDEX=0"}</definedName>
    <definedName name="_7776__FDSAUDITLINK__" hidden="1">{"fdsup://directions/FAT Viewer?action=UPDATE&amp;creator=factset&amp;DYN_ARGS=TRUE&amp;DOC_NAME=FAT:FQL_AUDITING_CLIENT_TEMPLATE.FAT&amp;display_string=Audit&amp;VAR:KEY=PKDMJIXGFS&amp;VAR:QUERY=RkZfRUJJVERBX0lCKCdMVE1TJywzOTc2NSk=&amp;WINDOW=FIRST_POPUP&amp;HEIGHT=450&amp;WIDTH=450&amp;START_MA","XIMIZED=FALSE&amp;VAR:CALENDAR=US&amp;VAR:SYMBOL=G0129K10&amp;VAR:INDEX=0"}</definedName>
    <definedName name="_7777__FDSAUDITLINK__" localSheetId="6" hidden="1">{"fdsup://directions/FAT Viewer?action=UPDATE&amp;creator=factset&amp;DYN_ARGS=TRUE&amp;DOC_NAME=FAT:FQL_AUDITING_CLIENT_TEMPLATE.FAT&amp;display_string=Audit&amp;VAR:KEY=PEJWRONMVC&amp;VAR:QUERY=RkZfRUJJVERBX0lCKCdMVE1TJywzOTc2NCk=&amp;WINDOW=FIRST_POPUP&amp;HEIGHT=450&amp;WIDTH=450&amp;START_MA","XIMIZED=FALSE&amp;VAR:CALENDAR=US&amp;VAR:SYMBOL=G0129K10&amp;VAR:INDEX=0"}</definedName>
    <definedName name="_7777__FDSAUDITLINK__" hidden="1">{"fdsup://directions/FAT Viewer?action=UPDATE&amp;creator=factset&amp;DYN_ARGS=TRUE&amp;DOC_NAME=FAT:FQL_AUDITING_CLIENT_TEMPLATE.FAT&amp;display_string=Audit&amp;VAR:KEY=PEJWRONMVC&amp;VAR:QUERY=RkZfRUJJVERBX0lCKCdMVE1TJywzOTc2NCk=&amp;WINDOW=FIRST_POPUP&amp;HEIGHT=450&amp;WIDTH=450&amp;START_MA","XIMIZED=FALSE&amp;VAR:CALENDAR=US&amp;VAR:SYMBOL=G0129K10&amp;VAR:INDEX=0"}</definedName>
    <definedName name="_7778__FDSAUDITLINK__" localSheetId="6" hidden="1">{"fdsup://directions/FAT Viewer?action=UPDATE&amp;creator=factset&amp;DYN_ARGS=TRUE&amp;DOC_NAME=FAT:FQL_AUDITING_CLIENT_TEMPLATE.FAT&amp;display_string=Audit&amp;VAR:KEY=XOFATKVUFO&amp;VAR:QUERY=RkZfRUJJVERBX0lCKCdMVE1TJywzOTc2Myk=&amp;WINDOW=FIRST_POPUP&amp;HEIGHT=450&amp;WIDTH=450&amp;START_MA","XIMIZED=FALSE&amp;VAR:CALENDAR=US&amp;VAR:SYMBOL=G0129K10&amp;VAR:INDEX=0"}</definedName>
    <definedName name="_7778__FDSAUDITLINK__" hidden="1">{"fdsup://directions/FAT Viewer?action=UPDATE&amp;creator=factset&amp;DYN_ARGS=TRUE&amp;DOC_NAME=FAT:FQL_AUDITING_CLIENT_TEMPLATE.FAT&amp;display_string=Audit&amp;VAR:KEY=XOFATKVUFO&amp;VAR:QUERY=RkZfRUJJVERBX0lCKCdMVE1TJywzOTc2Myk=&amp;WINDOW=FIRST_POPUP&amp;HEIGHT=450&amp;WIDTH=450&amp;START_MA","XIMIZED=FALSE&amp;VAR:CALENDAR=US&amp;VAR:SYMBOL=G0129K10&amp;VAR:INDEX=0"}</definedName>
    <definedName name="_7779__FDSAUDITLINK__" localSheetId="6" hidden="1">{"fdsup://directions/FAT Viewer?action=UPDATE&amp;creator=factset&amp;DYN_ARGS=TRUE&amp;DOC_NAME=FAT:FQL_AUDITING_CLIENT_TEMPLATE.FAT&amp;display_string=Audit&amp;VAR:KEY=LYTUDOVEJW&amp;VAR:QUERY=RkZfRUJJVERBX0lCKCdMVE1TJywzOTc2Mik=&amp;WINDOW=FIRST_POPUP&amp;HEIGHT=450&amp;WIDTH=450&amp;START_MA","XIMIZED=FALSE&amp;VAR:CALENDAR=US&amp;VAR:SYMBOL=G0129K10&amp;VAR:INDEX=0"}</definedName>
    <definedName name="_7779__FDSAUDITLINK__" hidden="1">{"fdsup://directions/FAT Viewer?action=UPDATE&amp;creator=factset&amp;DYN_ARGS=TRUE&amp;DOC_NAME=FAT:FQL_AUDITING_CLIENT_TEMPLATE.FAT&amp;display_string=Audit&amp;VAR:KEY=LYTUDOVEJW&amp;VAR:QUERY=RkZfRUJJVERBX0lCKCdMVE1TJywzOTc2Mik=&amp;WINDOW=FIRST_POPUP&amp;HEIGHT=450&amp;WIDTH=450&amp;START_MA","XIMIZED=FALSE&amp;VAR:CALENDAR=US&amp;VAR:SYMBOL=G0129K10&amp;VAR:INDEX=0"}</definedName>
    <definedName name="_778__FDSAUDITLINK__" localSheetId="6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8__FDSAUDITLINK__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80__FDSAUDITLINK__" localSheetId="6" hidden="1">{"fdsup://directions/FAT Viewer?action=UPDATE&amp;creator=factset&amp;DYN_ARGS=TRUE&amp;DOC_NAME=FAT:FQL_AUDITING_CLIENT_TEMPLATE.FAT&amp;display_string=Audit&amp;VAR:KEY=FQFAPUBEVQ&amp;VAR:QUERY=RkZfRUJJVERBX0lCKCdMVE1TJywzOTc2MSk=&amp;WINDOW=FIRST_POPUP&amp;HEIGHT=450&amp;WIDTH=450&amp;START_MA","XIMIZED=FALSE&amp;VAR:CALENDAR=US&amp;VAR:SYMBOL=G0129K10&amp;VAR:INDEX=0"}</definedName>
    <definedName name="_7780__FDSAUDITLINK__" hidden="1">{"fdsup://directions/FAT Viewer?action=UPDATE&amp;creator=factset&amp;DYN_ARGS=TRUE&amp;DOC_NAME=FAT:FQL_AUDITING_CLIENT_TEMPLATE.FAT&amp;display_string=Audit&amp;VAR:KEY=FQFAPUBEVQ&amp;VAR:QUERY=RkZfRUJJVERBX0lCKCdMVE1TJywzOTc2MSk=&amp;WINDOW=FIRST_POPUP&amp;HEIGHT=450&amp;WIDTH=450&amp;START_MA","XIMIZED=FALSE&amp;VAR:CALENDAR=US&amp;VAR:SYMBOL=G0129K10&amp;VAR:INDEX=0"}</definedName>
    <definedName name="_7781__FDSAUDITLINK__" localSheetId="6" hidden="1">{"fdsup://directions/FAT Viewer?action=UPDATE&amp;creator=factset&amp;DYN_ARGS=TRUE&amp;DOC_NAME=FAT:FQL_AUDITING_CLIENT_TEMPLATE.FAT&amp;display_string=Audit&amp;VAR:KEY=VKBKXUHQXO&amp;VAR:QUERY=RkZfRUJJVERBX0lCKCdMVE1TJywzOTc2MCk=&amp;WINDOW=FIRST_POPUP&amp;HEIGHT=450&amp;WIDTH=450&amp;START_MA","XIMIZED=FALSE&amp;VAR:CALENDAR=US&amp;VAR:SYMBOL=G0129K10&amp;VAR:INDEX=0"}</definedName>
    <definedName name="_7781__FDSAUDITLINK__" hidden="1">{"fdsup://directions/FAT Viewer?action=UPDATE&amp;creator=factset&amp;DYN_ARGS=TRUE&amp;DOC_NAME=FAT:FQL_AUDITING_CLIENT_TEMPLATE.FAT&amp;display_string=Audit&amp;VAR:KEY=VKBKXUHQXO&amp;VAR:QUERY=RkZfRUJJVERBX0lCKCdMVE1TJywzOTc2MCk=&amp;WINDOW=FIRST_POPUP&amp;HEIGHT=450&amp;WIDTH=450&amp;START_MA","XIMIZED=FALSE&amp;VAR:CALENDAR=US&amp;VAR:SYMBOL=G0129K10&amp;VAR:INDEX=0"}</definedName>
    <definedName name="_7782__FDSAUDITLINK__" localSheetId="6" hidden="1">{"fdsup://directions/FAT Viewer?action=UPDATE&amp;creator=factset&amp;DYN_ARGS=TRUE&amp;DOC_NAME=FAT:FQL_AUDITING_CLIENT_TEMPLATE.FAT&amp;display_string=Audit&amp;VAR:KEY=XMZUFWHUTA&amp;VAR:QUERY=RkZfRUJJVERBX0lCKCdMVE1TJywzOTc1OSk=&amp;WINDOW=FIRST_POPUP&amp;HEIGHT=450&amp;WIDTH=450&amp;START_MA","XIMIZED=FALSE&amp;VAR:CALENDAR=US&amp;VAR:SYMBOL=G0129K10&amp;VAR:INDEX=0"}</definedName>
    <definedName name="_7782__FDSAUDITLINK__" hidden="1">{"fdsup://directions/FAT Viewer?action=UPDATE&amp;creator=factset&amp;DYN_ARGS=TRUE&amp;DOC_NAME=FAT:FQL_AUDITING_CLIENT_TEMPLATE.FAT&amp;display_string=Audit&amp;VAR:KEY=XMZUFWHUTA&amp;VAR:QUERY=RkZfRUJJVERBX0lCKCdMVE1TJywzOTc1OSk=&amp;WINDOW=FIRST_POPUP&amp;HEIGHT=450&amp;WIDTH=450&amp;START_MA","XIMIZED=FALSE&amp;VAR:CALENDAR=US&amp;VAR:SYMBOL=G0129K10&amp;VAR:INDEX=0"}</definedName>
    <definedName name="_7783__FDSAUDITLINK__" localSheetId="6" hidden="1">{"fdsup://directions/FAT Viewer?action=UPDATE&amp;creator=factset&amp;DYN_ARGS=TRUE&amp;DOC_NAME=FAT:FQL_AUDITING_CLIENT_TEMPLATE.FAT&amp;display_string=Audit&amp;VAR:KEY=RMHYFGFABM&amp;VAR:QUERY=RkZfRUJJVERBX0lCKCdMVE1TJywzOTc1OCk=&amp;WINDOW=FIRST_POPUP&amp;HEIGHT=450&amp;WIDTH=450&amp;START_MA","XIMIZED=FALSE&amp;VAR:CALENDAR=US&amp;VAR:SYMBOL=G0129K10&amp;VAR:INDEX=0"}</definedName>
    <definedName name="_7783__FDSAUDITLINK__" hidden="1">{"fdsup://directions/FAT Viewer?action=UPDATE&amp;creator=factset&amp;DYN_ARGS=TRUE&amp;DOC_NAME=FAT:FQL_AUDITING_CLIENT_TEMPLATE.FAT&amp;display_string=Audit&amp;VAR:KEY=RMHYFGFABM&amp;VAR:QUERY=RkZfRUJJVERBX0lCKCdMVE1TJywzOTc1OCk=&amp;WINDOW=FIRST_POPUP&amp;HEIGHT=450&amp;WIDTH=450&amp;START_MA","XIMIZED=FALSE&amp;VAR:CALENDAR=US&amp;VAR:SYMBOL=G0129K10&amp;VAR:INDEX=0"}</definedName>
    <definedName name="_7784__FDSAUDITLINK__" localSheetId="6" hidden="1">{"fdsup://directions/FAT Viewer?action=UPDATE&amp;creator=factset&amp;DYN_ARGS=TRUE&amp;DOC_NAME=FAT:FQL_AUDITING_CLIENT_TEMPLATE.FAT&amp;display_string=Audit&amp;VAR:KEY=HCDKXKPUJS&amp;VAR:QUERY=RkZfRUJJVERBX0lCKCdMVE1TJywzOTc1Nyk=&amp;WINDOW=FIRST_POPUP&amp;HEIGHT=450&amp;WIDTH=450&amp;START_MA","XIMIZED=FALSE&amp;VAR:CALENDAR=US&amp;VAR:SYMBOL=G0129K10&amp;VAR:INDEX=0"}</definedName>
    <definedName name="_7784__FDSAUDITLINK__" hidden="1">{"fdsup://directions/FAT Viewer?action=UPDATE&amp;creator=factset&amp;DYN_ARGS=TRUE&amp;DOC_NAME=FAT:FQL_AUDITING_CLIENT_TEMPLATE.FAT&amp;display_string=Audit&amp;VAR:KEY=HCDKXKPUJS&amp;VAR:QUERY=RkZfRUJJVERBX0lCKCdMVE1TJywzOTc1Nyk=&amp;WINDOW=FIRST_POPUP&amp;HEIGHT=450&amp;WIDTH=450&amp;START_MA","XIMIZED=FALSE&amp;VAR:CALENDAR=US&amp;VAR:SYMBOL=G0129K10&amp;VAR:INDEX=0"}</definedName>
    <definedName name="_7785__FDSAUDITLINK__" localSheetId="6" hidden="1">{"fdsup://directions/FAT Viewer?action=UPDATE&amp;creator=factset&amp;DYN_ARGS=TRUE&amp;DOC_NAME=FAT:FQL_AUDITING_CLIENT_TEMPLATE.FAT&amp;display_string=Audit&amp;VAR:KEY=ZQZQVYRSDC&amp;VAR:QUERY=RkZfRUJJVERBX0lCKCdMVE1TJywzOTc1Nik=&amp;WINDOW=FIRST_POPUP&amp;HEIGHT=450&amp;WIDTH=450&amp;START_MA","XIMIZED=FALSE&amp;VAR:CALENDAR=US&amp;VAR:SYMBOL=G0129K10&amp;VAR:INDEX=0"}</definedName>
    <definedName name="_7785__FDSAUDITLINK__" hidden="1">{"fdsup://directions/FAT Viewer?action=UPDATE&amp;creator=factset&amp;DYN_ARGS=TRUE&amp;DOC_NAME=FAT:FQL_AUDITING_CLIENT_TEMPLATE.FAT&amp;display_string=Audit&amp;VAR:KEY=ZQZQVYRSDC&amp;VAR:QUERY=RkZfRUJJVERBX0lCKCdMVE1TJywzOTc1Nik=&amp;WINDOW=FIRST_POPUP&amp;HEIGHT=450&amp;WIDTH=450&amp;START_MA","XIMIZED=FALSE&amp;VAR:CALENDAR=US&amp;VAR:SYMBOL=G0129K10&amp;VAR:INDEX=0"}</definedName>
    <definedName name="_7786__FDSAUDITLINK__" localSheetId="6" hidden="1">{"fdsup://directions/FAT Viewer?action=UPDATE&amp;creator=factset&amp;DYN_ARGS=TRUE&amp;DOC_NAME=FAT:FQL_AUDITING_CLIENT_TEMPLATE.FAT&amp;display_string=Audit&amp;VAR:KEY=XMNCFYRCZS&amp;VAR:QUERY=RkZfRUJJVERBX0lCKCdMVE1TJywzOTc1NSk=&amp;WINDOW=FIRST_POPUP&amp;HEIGHT=450&amp;WIDTH=450&amp;START_MA","XIMIZED=FALSE&amp;VAR:CALENDAR=US&amp;VAR:SYMBOL=G0129K10&amp;VAR:INDEX=0"}</definedName>
    <definedName name="_7786__FDSAUDITLINK__" hidden="1">{"fdsup://directions/FAT Viewer?action=UPDATE&amp;creator=factset&amp;DYN_ARGS=TRUE&amp;DOC_NAME=FAT:FQL_AUDITING_CLIENT_TEMPLATE.FAT&amp;display_string=Audit&amp;VAR:KEY=XMNCFYRCZS&amp;VAR:QUERY=RkZfRUJJVERBX0lCKCdMVE1TJywzOTc1NSk=&amp;WINDOW=FIRST_POPUP&amp;HEIGHT=450&amp;WIDTH=450&amp;START_MA","XIMIZED=FALSE&amp;VAR:CALENDAR=US&amp;VAR:SYMBOL=G0129K10&amp;VAR:INDEX=0"}</definedName>
    <definedName name="_7787__FDSAUDITLINK__" localSheetId="6" hidden="1">{"fdsup://directions/FAT Viewer?action=UPDATE&amp;creator=factset&amp;DYN_ARGS=TRUE&amp;DOC_NAME=FAT:FQL_AUDITING_CLIENT_TEMPLATE.FAT&amp;display_string=Audit&amp;VAR:KEY=VUZINSVCLW&amp;VAR:QUERY=RkZfRUJJVERBX0lCKCdMVE1TJywzOTc1NCk=&amp;WINDOW=FIRST_POPUP&amp;HEIGHT=450&amp;WIDTH=450&amp;START_MA","XIMIZED=FALSE&amp;VAR:CALENDAR=US&amp;VAR:SYMBOL=G0129K10&amp;VAR:INDEX=0"}</definedName>
    <definedName name="_7787__FDSAUDITLINK__" hidden="1">{"fdsup://directions/FAT Viewer?action=UPDATE&amp;creator=factset&amp;DYN_ARGS=TRUE&amp;DOC_NAME=FAT:FQL_AUDITING_CLIENT_TEMPLATE.FAT&amp;display_string=Audit&amp;VAR:KEY=VUZINSVCLW&amp;VAR:QUERY=RkZfRUJJVERBX0lCKCdMVE1TJywzOTc1NCk=&amp;WINDOW=FIRST_POPUP&amp;HEIGHT=450&amp;WIDTH=450&amp;START_MA","XIMIZED=FALSE&amp;VAR:CALENDAR=US&amp;VAR:SYMBOL=G0129K10&amp;VAR:INDEX=0"}</definedName>
    <definedName name="_7788__FDSAUDITLINK__" localSheetId="6" hidden="1">{"fdsup://directions/FAT Viewer?action=UPDATE&amp;creator=factset&amp;DYN_ARGS=TRUE&amp;DOC_NAME=FAT:FQL_AUDITING_CLIENT_TEMPLATE.FAT&amp;display_string=Audit&amp;VAR:KEY=ZUNSHEPUHM&amp;VAR:QUERY=RkZfRUJJVERBX0lCKCdMVE1TJywzOTc1Myk=&amp;WINDOW=FIRST_POPUP&amp;HEIGHT=450&amp;WIDTH=450&amp;START_MA","XIMIZED=FALSE&amp;VAR:CALENDAR=US&amp;VAR:SYMBOL=G0129K10&amp;VAR:INDEX=0"}</definedName>
    <definedName name="_7788__FDSAUDITLINK__" hidden="1">{"fdsup://directions/FAT Viewer?action=UPDATE&amp;creator=factset&amp;DYN_ARGS=TRUE&amp;DOC_NAME=FAT:FQL_AUDITING_CLIENT_TEMPLATE.FAT&amp;display_string=Audit&amp;VAR:KEY=ZUNSHEPUHM&amp;VAR:QUERY=RkZfRUJJVERBX0lCKCdMVE1TJywzOTc1Myk=&amp;WINDOW=FIRST_POPUP&amp;HEIGHT=450&amp;WIDTH=450&amp;START_MA","XIMIZED=FALSE&amp;VAR:CALENDAR=US&amp;VAR:SYMBOL=G0129K10&amp;VAR:INDEX=0"}</definedName>
    <definedName name="_7789__FDSAUDITLINK__" localSheetId="6" hidden="1">{"fdsup://directions/FAT Viewer?action=UPDATE&amp;creator=factset&amp;DYN_ARGS=TRUE&amp;DOC_NAME=FAT:FQL_AUDITING_CLIENT_TEMPLATE.FAT&amp;display_string=Audit&amp;VAR:KEY=ZYFAZCZSPQ&amp;VAR:QUERY=RkZfRUJJVERBX0lCKCdMVE1TJywzOTc1Mik=&amp;WINDOW=FIRST_POPUP&amp;HEIGHT=450&amp;WIDTH=450&amp;START_MA","XIMIZED=FALSE&amp;VAR:CALENDAR=US&amp;VAR:SYMBOL=G0129K10&amp;VAR:INDEX=0"}</definedName>
    <definedName name="_7789__FDSAUDITLINK__" hidden="1">{"fdsup://directions/FAT Viewer?action=UPDATE&amp;creator=factset&amp;DYN_ARGS=TRUE&amp;DOC_NAME=FAT:FQL_AUDITING_CLIENT_TEMPLATE.FAT&amp;display_string=Audit&amp;VAR:KEY=ZYFAZCZSPQ&amp;VAR:QUERY=RkZfRUJJVERBX0lCKCdMVE1TJywzOTc1Mik=&amp;WINDOW=FIRST_POPUP&amp;HEIGHT=450&amp;WIDTH=450&amp;START_MA","XIMIZED=FALSE&amp;VAR:CALENDAR=US&amp;VAR:SYMBOL=G0129K10&amp;VAR:INDEX=0"}</definedName>
    <definedName name="_779__FDSAUDITLINK__" localSheetId="6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9__FDSAUDITLINK__" hidden="1">{"fdsup://directions/FAT%20Viewer?VAR:PED=LTM&amp;VAR:AUDIT_MODE=SUMMARY&amp;VAR:PERIOD=FIXED&amp;VAR:AUDIT_ID=00000117&amp;VAR:DATE=20080104&amp;action=UPDATE&amp;creator=factset&amp;DOC_NAME=FAT:FMA_audit_SUMMARY.fat&amp;DISPLAY_STRING=Display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790__FDSAUDITLINK__" localSheetId="6" hidden="1">{"fdsup://directions/FAT Viewer?action=UPDATE&amp;creator=factset&amp;DYN_ARGS=TRUE&amp;DOC_NAME=FAT:FQL_AUDITING_CLIENT_TEMPLATE.FAT&amp;display_string=Audit&amp;VAR:KEY=BYRMFIDYXU&amp;VAR:QUERY=RkZfRUJJVERBX0lCKCdMVE1TJywzOTc1MSk=&amp;WINDOW=FIRST_POPUP&amp;HEIGHT=450&amp;WIDTH=450&amp;START_MA","XIMIZED=FALSE&amp;VAR:CALENDAR=US&amp;VAR:SYMBOL=G0129K10&amp;VAR:INDEX=0"}</definedName>
    <definedName name="_7790__FDSAUDITLINK__" hidden="1">{"fdsup://directions/FAT Viewer?action=UPDATE&amp;creator=factset&amp;DYN_ARGS=TRUE&amp;DOC_NAME=FAT:FQL_AUDITING_CLIENT_TEMPLATE.FAT&amp;display_string=Audit&amp;VAR:KEY=BYRMFIDYXU&amp;VAR:QUERY=RkZfRUJJVERBX0lCKCdMVE1TJywzOTc1MSk=&amp;WINDOW=FIRST_POPUP&amp;HEIGHT=450&amp;WIDTH=450&amp;START_MA","XIMIZED=FALSE&amp;VAR:CALENDAR=US&amp;VAR:SYMBOL=G0129K10&amp;VAR:INDEX=0"}</definedName>
    <definedName name="_7791__FDSAUDITLINK__" localSheetId="6" hidden="1">{"fdsup://directions/FAT Viewer?action=UPDATE&amp;creator=factset&amp;DYN_ARGS=TRUE&amp;DOC_NAME=FAT:FQL_AUDITING_CLIENT_TEMPLATE.FAT&amp;display_string=Audit&amp;VAR:KEY=NUNABKLEXO&amp;VAR:QUERY=RkZfRUJJVERBX0lCKCdMVE1TJywzOTc1MCk=&amp;WINDOW=FIRST_POPUP&amp;HEIGHT=450&amp;WIDTH=450&amp;START_MA","XIMIZED=FALSE&amp;VAR:CALENDAR=US&amp;VAR:SYMBOL=G0129K10&amp;VAR:INDEX=0"}</definedName>
    <definedName name="_7791__FDSAUDITLINK__" hidden="1">{"fdsup://directions/FAT Viewer?action=UPDATE&amp;creator=factset&amp;DYN_ARGS=TRUE&amp;DOC_NAME=FAT:FQL_AUDITING_CLIENT_TEMPLATE.FAT&amp;display_string=Audit&amp;VAR:KEY=NUNABKLEXO&amp;VAR:QUERY=RkZfRUJJVERBX0lCKCdMVE1TJywzOTc1MCk=&amp;WINDOW=FIRST_POPUP&amp;HEIGHT=450&amp;WIDTH=450&amp;START_MA","XIMIZED=FALSE&amp;VAR:CALENDAR=US&amp;VAR:SYMBOL=G0129K10&amp;VAR:INDEX=0"}</definedName>
    <definedName name="_7792__FDSAUDITLINK__" localSheetId="6" hidden="1">{"fdsup://directions/FAT Viewer?action=UPDATE&amp;creator=factset&amp;DYN_ARGS=TRUE&amp;DOC_NAME=FAT:FQL_AUDITING_CLIENT_TEMPLATE.FAT&amp;display_string=Audit&amp;VAR:KEY=LMVQDSDWFM&amp;VAR:QUERY=RkZfRUJJVERBX0lCKCdMVE1TJywzOTc0OSk=&amp;WINDOW=FIRST_POPUP&amp;HEIGHT=450&amp;WIDTH=450&amp;START_MA","XIMIZED=FALSE&amp;VAR:CALENDAR=US&amp;VAR:SYMBOL=G0129K10&amp;VAR:INDEX=0"}</definedName>
    <definedName name="_7792__FDSAUDITLINK__" hidden="1">{"fdsup://directions/FAT Viewer?action=UPDATE&amp;creator=factset&amp;DYN_ARGS=TRUE&amp;DOC_NAME=FAT:FQL_AUDITING_CLIENT_TEMPLATE.FAT&amp;display_string=Audit&amp;VAR:KEY=LMVQDSDWFM&amp;VAR:QUERY=RkZfRUJJVERBX0lCKCdMVE1TJywzOTc0OSk=&amp;WINDOW=FIRST_POPUP&amp;HEIGHT=450&amp;WIDTH=450&amp;START_MA","XIMIZED=FALSE&amp;VAR:CALENDAR=US&amp;VAR:SYMBOL=G0129K10&amp;VAR:INDEX=0"}</definedName>
    <definedName name="_7793__FDSAUDITLINK__" localSheetId="6" hidden="1">{"fdsup://directions/FAT Viewer?action=UPDATE&amp;creator=factset&amp;DYN_ARGS=TRUE&amp;DOC_NAME=FAT:FQL_AUDITING_CLIENT_TEMPLATE.FAT&amp;display_string=Audit&amp;VAR:KEY=HUHIHCXSRQ&amp;VAR:QUERY=RkZfRUJJVERBX0lCKCdMVE1TJywzOTc0OCk=&amp;WINDOW=FIRST_POPUP&amp;HEIGHT=450&amp;WIDTH=450&amp;START_MA","XIMIZED=FALSE&amp;VAR:CALENDAR=US&amp;VAR:SYMBOL=G0129K10&amp;VAR:INDEX=0"}</definedName>
    <definedName name="_7793__FDSAUDITLINK__" hidden="1">{"fdsup://directions/FAT Viewer?action=UPDATE&amp;creator=factset&amp;DYN_ARGS=TRUE&amp;DOC_NAME=FAT:FQL_AUDITING_CLIENT_TEMPLATE.FAT&amp;display_string=Audit&amp;VAR:KEY=HUHIHCXSRQ&amp;VAR:QUERY=RkZfRUJJVERBX0lCKCdMVE1TJywzOTc0OCk=&amp;WINDOW=FIRST_POPUP&amp;HEIGHT=450&amp;WIDTH=450&amp;START_MA","XIMIZED=FALSE&amp;VAR:CALENDAR=US&amp;VAR:SYMBOL=G0129K10&amp;VAR:INDEX=0"}</definedName>
    <definedName name="_7794__FDSAUDITLINK__" localSheetId="6" hidden="1">{"fdsup://directions/FAT Viewer?action=UPDATE&amp;creator=factset&amp;DYN_ARGS=TRUE&amp;DOC_NAME=FAT:FQL_AUDITING_CLIENT_TEMPLATE.FAT&amp;display_string=Audit&amp;VAR:KEY=FGLQBCLQFK&amp;VAR:QUERY=RkZfRUJJVERBX0lCKCdMVE1TJywzOTc0Nyk=&amp;WINDOW=FIRST_POPUP&amp;HEIGHT=450&amp;WIDTH=450&amp;START_MA","XIMIZED=FALSE&amp;VAR:CALENDAR=US&amp;VAR:SYMBOL=G0129K10&amp;VAR:INDEX=0"}</definedName>
    <definedName name="_7794__FDSAUDITLINK__" hidden="1">{"fdsup://directions/FAT Viewer?action=UPDATE&amp;creator=factset&amp;DYN_ARGS=TRUE&amp;DOC_NAME=FAT:FQL_AUDITING_CLIENT_TEMPLATE.FAT&amp;display_string=Audit&amp;VAR:KEY=FGLQBCLQFK&amp;VAR:QUERY=RkZfRUJJVERBX0lCKCdMVE1TJywzOTc0Nyk=&amp;WINDOW=FIRST_POPUP&amp;HEIGHT=450&amp;WIDTH=450&amp;START_MA","XIMIZED=FALSE&amp;VAR:CALENDAR=US&amp;VAR:SYMBOL=G0129K10&amp;VAR:INDEX=0"}</definedName>
    <definedName name="_7795__FDSAUDITLINK__" localSheetId="6" hidden="1">{"fdsup://directions/FAT Viewer?action=UPDATE&amp;creator=factset&amp;DYN_ARGS=TRUE&amp;DOC_NAME=FAT:FQL_AUDITING_CLIENT_TEMPLATE.FAT&amp;display_string=Audit&amp;VAR:KEY=XEFORSTEJQ&amp;VAR:QUERY=RkZfRUJJVERBX0lCKCdMVE1TJywzOTc0Nik=&amp;WINDOW=FIRST_POPUP&amp;HEIGHT=450&amp;WIDTH=450&amp;START_MA","XIMIZED=FALSE&amp;VAR:CALENDAR=US&amp;VAR:SYMBOL=G0129K10&amp;VAR:INDEX=0"}</definedName>
    <definedName name="_7795__FDSAUDITLINK__" hidden="1">{"fdsup://directions/FAT Viewer?action=UPDATE&amp;creator=factset&amp;DYN_ARGS=TRUE&amp;DOC_NAME=FAT:FQL_AUDITING_CLIENT_TEMPLATE.FAT&amp;display_string=Audit&amp;VAR:KEY=XEFORSTEJQ&amp;VAR:QUERY=RkZfRUJJVERBX0lCKCdMVE1TJywzOTc0Nik=&amp;WINDOW=FIRST_POPUP&amp;HEIGHT=450&amp;WIDTH=450&amp;START_MA","XIMIZED=FALSE&amp;VAR:CALENDAR=US&amp;VAR:SYMBOL=G0129K10&amp;VAR:INDEX=0"}</definedName>
    <definedName name="_7796__FDSAUDITLINK__" localSheetId="6" hidden="1">{"fdsup://directions/FAT Viewer?action=UPDATE&amp;creator=factset&amp;DYN_ARGS=TRUE&amp;DOC_NAME=FAT:FQL_AUDITING_CLIENT_TEMPLATE.FAT&amp;display_string=Audit&amp;VAR:KEY=ROPITEVEZC&amp;VAR:QUERY=RkZfRUJJVERBX0lCKCdMVE1TJywzOTc0NSk=&amp;WINDOW=FIRST_POPUP&amp;HEIGHT=450&amp;WIDTH=450&amp;START_MA","XIMIZED=FALSE&amp;VAR:CALENDAR=US&amp;VAR:SYMBOL=G0129K10&amp;VAR:INDEX=0"}</definedName>
    <definedName name="_7796__FDSAUDITLINK__" hidden="1">{"fdsup://directions/FAT Viewer?action=UPDATE&amp;creator=factset&amp;DYN_ARGS=TRUE&amp;DOC_NAME=FAT:FQL_AUDITING_CLIENT_TEMPLATE.FAT&amp;display_string=Audit&amp;VAR:KEY=ROPITEVEZC&amp;VAR:QUERY=RkZfRUJJVERBX0lCKCdMVE1TJywzOTc0NSk=&amp;WINDOW=FIRST_POPUP&amp;HEIGHT=450&amp;WIDTH=450&amp;START_MA","XIMIZED=FALSE&amp;VAR:CALENDAR=US&amp;VAR:SYMBOL=G0129K10&amp;VAR:INDEX=0"}</definedName>
    <definedName name="_7797__FDSAUDITLINK__" localSheetId="6" hidden="1">{"fdsup://directions/FAT Viewer?action=UPDATE&amp;creator=factset&amp;DYN_ARGS=TRUE&amp;DOC_NAME=FAT:FQL_AUDITING_CLIENT_TEMPLATE.FAT&amp;display_string=Audit&amp;VAR:KEY=XKTKHAZENI&amp;VAR:QUERY=RkZfRUJJVERBX0lCKCdMVE1TJywzOTc0NCk=&amp;WINDOW=FIRST_POPUP&amp;HEIGHT=450&amp;WIDTH=450&amp;START_MA","XIMIZED=FALSE&amp;VAR:CALENDAR=US&amp;VAR:SYMBOL=G0129K10&amp;VAR:INDEX=0"}</definedName>
    <definedName name="_7797__FDSAUDITLINK__" hidden="1">{"fdsup://directions/FAT Viewer?action=UPDATE&amp;creator=factset&amp;DYN_ARGS=TRUE&amp;DOC_NAME=FAT:FQL_AUDITING_CLIENT_TEMPLATE.FAT&amp;display_string=Audit&amp;VAR:KEY=XKTKHAZENI&amp;VAR:QUERY=RkZfRUJJVERBX0lCKCdMVE1TJywzOTc0NCk=&amp;WINDOW=FIRST_POPUP&amp;HEIGHT=450&amp;WIDTH=450&amp;START_MA","XIMIZED=FALSE&amp;VAR:CALENDAR=US&amp;VAR:SYMBOL=G0129K10&amp;VAR:INDEX=0"}</definedName>
    <definedName name="_7798__FDSAUDITLINK__" localSheetId="6" hidden="1">{"fdsup://directions/FAT Viewer?action=UPDATE&amp;creator=factset&amp;DYN_ARGS=TRUE&amp;DOC_NAME=FAT:FQL_AUDITING_CLIENT_TEMPLATE.FAT&amp;display_string=Audit&amp;VAR:KEY=TKLSLMZUTS&amp;VAR:QUERY=RkZfRUJJVERBX0lCKCdMVE1TJywzOTc0Myk=&amp;WINDOW=FIRST_POPUP&amp;HEIGHT=450&amp;WIDTH=450&amp;START_MA","XIMIZED=FALSE&amp;VAR:CALENDAR=US&amp;VAR:SYMBOL=G0129K10&amp;VAR:INDEX=0"}</definedName>
    <definedName name="_7798__FDSAUDITLINK__" hidden="1">{"fdsup://directions/FAT Viewer?action=UPDATE&amp;creator=factset&amp;DYN_ARGS=TRUE&amp;DOC_NAME=FAT:FQL_AUDITING_CLIENT_TEMPLATE.FAT&amp;display_string=Audit&amp;VAR:KEY=TKLSLMZUTS&amp;VAR:QUERY=RkZfRUJJVERBX0lCKCdMVE1TJywzOTc0Myk=&amp;WINDOW=FIRST_POPUP&amp;HEIGHT=450&amp;WIDTH=450&amp;START_MA","XIMIZED=FALSE&amp;VAR:CALENDAR=US&amp;VAR:SYMBOL=G0129K10&amp;VAR:INDEX=0"}</definedName>
    <definedName name="_7799__FDSAUDITLINK__" localSheetId="6" hidden="1">{"fdsup://directions/FAT Viewer?action=UPDATE&amp;creator=factset&amp;DYN_ARGS=TRUE&amp;DOC_NAME=FAT:FQL_AUDITING_CLIENT_TEMPLATE.FAT&amp;display_string=Audit&amp;VAR:KEY=ZSXYPMTWNU&amp;VAR:QUERY=RkZfRUJJVERBX0lCKCdMVE1TJywzOTc0Mik=&amp;WINDOW=FIRST_POPUP&amp;HEIGHT=450&amp;WIDTH=450&amp;START_MA","XIMIZED=FALSE&amp;VAR:CALENDAR=US&amp;VAR:SYMBOL=G0129K10&amp;VAR:INDEX=0"}</definedName>
    <definedName name="_7799__FDSAUDITLINK__" hidden="1">{"fdsup://directions/FAT Viewer?action=UPDATE&amp;creator=factset&amp;DYN_ARGS=TRUE&amp;DOC_NAME=FAT:FQL_AUDITING_CLIENT_TEMPLATE.FAT&amp;display_string=Audit&amp;VAR:KEY=ZSXYPMTWNU&amp;VAR:QUERY=RkZfRUJJVERBX0lCKCdMVE1TJywzOTc0Mik=&amp;WINDOW=FIRST_POPUP&amp;HEIGHT=450&amp;WIDTH=450&amp;START_MA","XIMIZED=FALSE&amp;VAR:CALENDAR=US&amp;VAR:SYMBOL=G0129K10&amp;VAR:INDEX=0"}</definedName>
    <definedName name="_78__FDSAUDITLINK__" localSheetId="6" hidden="1">{"fdsup://directions/FAT Viewer?action=UPDATE&amp;creator=factset&amp;DYN_ARGS=TRUE&amp;DOC_NAME=FAT:FQL_AUDITING_CLIENT_TEMPLATE.FAT&amp;display_string=Audit&amp;VAR:KEY=RITKBWHOHC&amp;VAR:QUERY=QVZHKENTRl9ORVRfSU5DKEFOTiwwRlksLTZGWSxZKSkgLyAoQVZHKENTRl9BU1NFVFMoQU5OLDBGWSwtNkZZL","EZZKSkgLSBBVkcoQ1NGX0lOVEFORyhBTk4sMCwtNkZZLEZZKSkp&amp;WINDOW=FIRST_POPUP&amp;HEIGHT=450&amp;WIDTH=450&amp;START_MAXIMIZED=FALSE&amp;VAR:CALENDAR=US&amp;VAR:SYMBOL=HTZ"}</definedName>
    <definedName name="_78__FDSAUDITLINK__" hidden="1">{"fdsup://directions/FAT Viewer?action=UPDATE&amp;creator=factset&amp;DYN_ARGS=TRUE&amp;DOC_NAME=FAT:FQL_AUDITING_CLIENT_TEMPLATE.FAT&amp;display_string=Audit&amp;VAR:KEY=RITKBWHOHC&amp;VAR:QUERY=QVZHKENTRl9ORVRfSU5DKEFOTiwwRlksLTZGWSxZKSkgLyAoQVZHKENTRl9BU1NFVFMoQU5OLDBGWSwtNkZZL","EZZKSkgLSBBVkcoQ1NGX0lOVEFORyhBTk4sMCwtNkZZLEZZKSkp&amp;WINDOW=FIRST_POPUP&amp;HEIGHT=450&amp;WIDTH=450&amp;START_MAXIMIZED=FALSE&amp;VAR:CALENDAR=US&amp;VAR:SYMBOL=HTZ"}</definedName>
    <definedName name="_780__FDSAUDITLINK__" localSheetId="6" hidden="1">{"fdsup://directions/FAT%20Viewer?VAR:PED=LTM&amp;VAR:AUDIT_MODE=SUMMARY&amp;VAR:PERIOD=FIXED&amp;VAR:AUDIT_ID=00000117&amp;VAR:DATE=20080103&amp;action=UPDATE&amp;creator=factset&amp;DOC_NAME=FAT:FMA_audit_SUMMARY.fat&amp;DISPLAY_STRING=Display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0__FDSAUDITLINK__" hidden="1">{"fdsup://directions/FAT%20Viewer?VAR:PED=LTM&amp;VAR:AUDIT_MODE=SUMMARY&amp;VAR:PERIOD=FIXED&amp;VAR:AUDIT_ID=00000117&amp;VAR:DATE=20080103&amp;action=UPDATE&amp;creator=factset&amp;DOC_NAME=FAT:FMA_audit_SUMMARY.fat&amp;DISPLAY_STRING=Display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00__FDSAUDITLINK__" localSheetId="6" hidden="1">{"fdsup://directions/FAT Viewer?action=UPDATE&amp;creator=factset&amp;DYN_ARGS=TRUE&amp;DOC_NAME=FAT:FQL_AUDITING_CLIENT_TEMPLATE.FAT&amp;display_string=Audit&amp;VAR:KEY=TMTSFKVWDW&amp;VAR:QUERY=RkZfRUJJVERBX0lCKCdMVE1TJywzOTc0MSk=&amp;WINDOW=FIRST_POPUP&amp;HEIGHT=450&amp;WIDTH=450&amp;START_MA","XIMIZED=FALSE&amp;VAR:CALENDAR=US&amp;VAR:SYMBOL=G0129K10&amp;VAR:INDEX=0"}</definedName>
    <definedName name="_7800__FDSAUDITLINK__" hidden="1">{"fdsup://directions/FAT Viewer?action=UPDATE&amp;creator=factset&amp;DYN_ARGS=TRUE&amp;DOC_NAME=FAT:FQL_AUDITING_CLIENT_TEMPLATE.FAT&amp;display_string=Audit&amp;VAR:KEY=TMTSFKVWDW&amp;VAR:QUERY=RkZfRUJJVERBX0lCKCdMVE1TJywzOTc0MSk=&amp;WINDOW=FIRST_POPUP&amp;HEIGHT=450&amp;WIDTH=450&amp;START_MA","XIMIZED=FALSE&amp;VAR:CALENDAR=US&amp;VAR:SYMBOL=G0129K10&amp;VAR:INDEX=0"}</definedName>
    <definedName name="_7801__FDSAUDITLINK__" localSheetId="6" hidden="1">{"fdsup://directions/FAT Viewer?action=UPDATE&amp;creator=factset&amp;DYN_ARGS=TRUE&amp;DOC_NAME=FAT:FQL_AUDITING_CLIENT_TEMPLATE.FAT&amp;display_string=Audit&amp;VAR:KEY=FUJUPUTARI&amp;VAR:QUERY=RkZfRUJJVERBX0lCKCdMVE1TJywzOTc0MCk=&amp;WINDOW=FIRST_POPUP&amp;HEIGHT=450&amp;WIDTH=450&amp;START_MA","XIMIZED=FALSE&amp;VAR:CALENDAR=US&amp;VAR:SYMBOL=G0129K10&amp;VAR:INDEX=0"}</definedName>
    <definedName name="_7801__FDSAUDITLINK__" hidden="1">{"fdsup://directions/FAT Viewer?action=UPDATE&amp;creator=factset&amp;DYN_ARGS=TRUE&amp;DOC_NAME=FAT:FQL_AUDITING_CLIENT_TEMPLATE.FAT&amp;display_string=Audit&amp;VAR:KEY=FUJUPUTARI&amp;VAR:QUERY=RkZfRUJJVERBX0lCKCdMVE1TJywzOTc0MCk=&amp;WINDOW=FIRST_POPUP&amp;HEIGHT=450&amp;WIDTH=450&amp;START_MA","XIMIZED=FALSE&amp;VAR:CALENDAR=US&amp;VAR:SYMBOL=G0129K10&amp;VAR:INDEX=0"}</definedName>
    <definedName name="_7802__FDSAUDITLINK__" localSheetId="6" hidden="1">{"fdsup://directions/FAT Viewer?action=UPDATE&amp;creator=factset&amp;DYN_ARGS=TRUE&amp;DOC_NAME=FAT:FQL_AUDITING_CLIENT_TEMPLATE.FAT&amp;display_string=Audit&amp;VAR:KEY=XWFABYXAHY&amp;VAR:QUERY=RkZfRUJJVERBX0lCKCdMVE1TJywzOTczOSk=&amp;WINDOW=FIRST_POPUP&amp;HEIGHT=450&amp;WIDTH=450&amp;START_MA","XIMIZED=FALSE&amp;VAR:CALENDAR=US&amp;VAR:SYMBOL=G0129K10&amp;VAR:INDEX=0"}</definedName>
    <definedName name="_7802__FDSAUDITLINK__" hidden="1">{"fdsup://directions/FAT Viewer?action=UPDATE&amp;creator=factset&amp;DYN_ARGS=TRUE&amp;DOC_NAME=FAT:FQL_AUDITING_CLIENT_TEMPLATE.FAT&amp;display_string=Audit&amp;VAR:KEY=XWFABYXAHY&amp;VAR:QUERY=RkZfRUJJVERBX0lCKCdMVE1TJywzOTczOSk=&amp;WINDOW=FIRST_POPUP&amp;HEIGHT=450&amp;WIDTH=450&amp;START_MA","XIMIZED=FALSE&amp;VAR:CALENDAR=US&amp;VAR:SYMBOL=G0129K10&amp;VAR:INDEX=0"}</definedName>
    <definedName name="_7803__FDSAUDITLINK__" localSheetId="6" hidden="1">{"fdsup://directions/FAT Viewer?action=UPDATE&amp;creator=factset&amp;DYN_ARGS=TRUE&amp;DOC_NAME=FAT:FQL_AUDITING_CLIENT_TEMPLATE.FAT&amp;display_string=Audit&amp;VAR:KEY=ZKRCHEROPY&amp;VAR:QUERY=RkZfRUJJVERBX0lCKCdMVE1TJywzOTczOCk=&amp;WINDOW=FIRST_POPUP&amp;HEIGHT=450&amp;WIDTH=450&amp;START_MA","XIMIZED=FALSE&amp;VAR:CALENDAR=US&amp;VAR:SYMBOL=G0129K10&amp;VAR:INDEX=0"}</definedName>
    <definedName name="_7803__FDSAUDITLINK__" hidden="1">{"fdsup://directions/FAT Viewer?action=UPDATE&amp;creator=factset&amp;DYN_ARGS=TRUE&amp;DOC_NAME=FAT:FQL_AUDITING_CLIENT_TEMPLATE.FAT&amp;display_string=Audit&amp;VAR:KEY=ZKRCHEROPY&amp;VAR:QUERY=RkZfRUJJVERBX0lCKCdMVE1TJywzOTczOCk=&amp;WINDOW=FIRST_POPUP&amp;HEIGHT=450&amp;WIDTH=450&amp;START_MA","XIMIZED=FALSE&amp;VAR:CALENDAR=US&amp;VAR:SYMBOL=G0129K10&amp;VAR:INDEX=0"}</definedName>
    <definedName name="_7804__FDSAUDITLINK__" localSheetId="6" hidden="1">{"fdsup://directions/FAT Viewer?action=UPDATE&amp;creator=factset&amp;DYN_ARGS=TRUE&amp;DOC_NAME=FAT:FQL_AUDITING_CLIENT_TEMPLATE.FAT&amp;display_string=Audit&amp;VAR:KEY=JYNMNGPQBE&amp;VAR:QUERY=RkZfRUJJVERBX0lCKCdMVE1TJywzOTczNyk=&amp;WINDOW=FIRST_POPUP&amp;HEIGHT=450&amp;WIDTH=450&amp;START_MA","XIMIZED=FALSE&amp;VAR:CALENDAR=US&amp;VAR:SYMBOL=G0129K10&amp;VAR:INDEX=0"}</definedName>
    <definedName name="_7804__FDSAUDITLINK__" hidden="1">{"fdsup://directions/FAT Viewer?action=UPDATE&amp;creator=factset&amp;DYN_ARGS=TRUE&amp;DOC_NAME=FAT:FQL_AUDITING_CLIENT_TEMPLATE.FAT&amp;display_string=Audit&amp;VAR:KEY=JYNMNGPQBE&amp;VAR:QUERY=RkZfRUJJVERBX0lCKCdMVE1TJywzOTczNyk=&amp;WINDOW=FIRST_POPUP&amp;HEIGHT=450&amp;WIDTH=450&amp;START_MA","XIMIZED=FALSE&amp;VAR:CALENDAR=US&amp;VAR:SYMBOL=G0129K10&amp;VAR:INDEX=0"}</definedName>
    <definedName name="_7805__FDSAUDITLINK__" localSheetId="6" hidden="1">{"fdsup://directions/FAT Viewer?action=UPDATE&amp;creator=factset&amp;DYN_ARGS=TRUE&amp;DOC_NAME=FAT:FQL_AUDITING_CLIENT_TEMPLATE.FAT&amp;display_string=Audit&amp;VAR:KEY=XIXEJKLQNW&amp;VAR:QUERY=RkZfRUJJVERBX0lCKCdMVE1TJywzOTczNik=&amp;WINDOW=FIRST_POPUP&amp;HEIGHT=450&amp;WIDTH=450&amp;START_MA","XIMIZED=FALSE&amp;VAR:CALENDAR=US&amp;VAR:SYMBOL=G0129K10&amp;VAR:INDEX=0"}</definedName>
    <definedName name="_7805__FDSAUDITLINK__" hidden="1">{"fdsup://directions/FAT Viewer?action=UPDATE&amp;creator=factset&amp;DYN_ARGS=TRUE&amp;DOC_NAME=FAT:FQL_AUDITING_CLIENT_TEMPLATE.FAT&amp;display_string=Audit&amp;VAR:KEY=XIXEJKLQNW&amp;VAR:QUERY=RkZfRUJJVERBX0lCKCdMVE1TJywzOTczNik=&amp;WINDOW=FIRST_POPUP&amp;HEIGHT=450&amp;WIDTH=450&amp;START_MA","XIMIZED=FALSE&amp;VAR:CALENDAR=US&amp;VAR:SYMBOL=G0129K10&amp;VAR:INDEX=0"}</definedName>
    <definedName name="_7806__FDSAUDITLINK__" localSheetId="6" hidden="1">{"fdsup://directions/FAT Viewer?action=UPDATE&amp;creator=factset&amp;DYN_ARGS=TRUE&amp;DOC_NAME=FAT:FQL_AUDITING_CLIENT_TEMPLATE.FAT&amp;display_string=Audit&amp;VAR:KEY=NUHCTIXAJI&amp;VAR:QUERY=RkZfRUJJVERBX0lCKCdMVE1TJywzOTczNSk=&amp;WINDOW=FIRST_POPUP&amp;HEIGHT=450&amp;WIDTH=450&amp;START_MA","XIMIZED=FALSE&amp;VAR:CALENDAR=US&amp;VAR:SYMBOL=G0129K10&amp;VAR:INDEX=0"}</definedName>
    <definedName name="_7806__FDSAUDITLINK__" hidden="1">{"fdsup://directions/FAT Viewer?action=UPDATE&amp;creator=factset&amp;DYN_ARGS=TRUE&amp;DOC_NAME=FAT:FQL_AUDITING_CLIENT_TEMPLATE.FAT&amp;display_string=Audit&amp;VAR:KEY=NUHCTIXAJI&amp;VAR:QUERY=RkZfRUJJVERBX0lCKCdMVE1TJywzOTczNSk=&amp;WINDOW=FIRST_POPUP&amp;HEIGHT=450&amp;WIDTH=450&amp;START_MA","XIMIZED=FALSE&amp;VAR:CALENDAR=US&amp;VAR:SYMBOL=G0129K10&amp;VAR:INDEX=0"}</definedName>
    <definedName name="_7807__FDSAUDITLINK__" localSheetId="6" hidden="1">{"fdsup://directions/FAT Viewer?action=UPDATE&amp;creator=factset&amp;DYN_ARGS=TRUE&amp;DOC_NAME=FAT:FQL_AUDITING_CLIENT_TEMPLATE.FAT&amp;display_string=Audit&amp;VAR:KEY=VCLQLUPKRI&amp;VAR:QUERY=RkZfRUJJVERBX0lCKCdMVE1TJywzOTczNCk=&amp;WINDOW=FIRST_POPUP&amp;HEIGHT=450&amp;WIDTH=450&amp;START_MA","XIMIZED=FALSE&amp;VAR:CALENDAR=US&amp;VAR:SYMBOL=G0129K10&amp;VAR:INDEX=0"}</definedName>
    <definedName name="_7807__FDSAUDITLINK__" hidden="1">{"fdsup://directions/FAT Viewer?action=UPDATE&amp;creator=factset&amp;DYN_ARGS=TRUE&amp;DOC_NAME=FAT:FQL_AUDITING_CLIENT_TEMPLATE.FAT&amp;display_string=Audit&amp;VAR:KEY=VCLQLUPKRI&amp;VAR:QUERY=RkZfRUJJVERBX0lCKCdMVE1TJywzOTczNCk=&amp;WINDOW=FIRST_POPUP&amp;HEIGHT=450&amp;WIDTH=450&amp;START_MA","XIMIZED=FALSE&amp;VAR:CALENDAR=US&amp;VAR:SYMBOL=G0129K10&amp;VAR:INDEX=0"}</definedName>
    <definedName name="_7808__FDSAUDITLINK__" localSheetId="6" hidden="1">{"fdsup://directions/FAT Viewer?action=UPDATE&amp;creator=factset&amp;DYN_ARGS=TRUE&amp;DOC_NAME=FAT:FQL_AUDITING_CLIENT_TEMPLATE.FAT&amp;display_string=Audit&amp;VAR:KEY=ROPOJGJUFO&amp;VAR:QUERY=RkZfRUJJVERBX0lCKCdMVE1TJywzOTczMyk=&amp;WINDOW=FIRST_POPUP&amp;HEIGHT=450&amp;WIDTH=450&amp;START_MA","XIMIZED=FALSE&amp;VAR:CALENDAR=US&amp;VAR:SYMBOL=G0129K10&amp;VAR:INDEX=0"}</definedName>
    <definedName name="_7808__FDSAUDITLINK__" hidden="1">{"fdsup://directions/FAT Viewer?action=UPDATE&amp;creator=factset&amp;DYN_ARGS=TRUE&amp;DOC_NAME=FAT:FQL_AUDITING_CLIENT_TEMPLATE.FAT&amp;display_string=Audit&amp;VAR:KEY=ROPOJGJUFO&amp;VAR:QUERY=RkZfRUJJVERBX0lCKCdMVE1TJywzOTczMyk=&amp;WINDOW=FIRST_POPUP&amp;HEIGHT=450&amp;WIDTH=450&amp;START_MA","XIMIZED=FALSE&amp;VAR:CALENDAR=US&amp;VAR:SYMBOL=G0129K10&amp;VAR:INDEX=0"}</definedName>
    <definedName name="_7809__FDSAUDITLINK__" localSheetId="6" hidden="1">{"fdsup://directions/FAT Viewer?action=UPDATE&amp;creator=factset&amp;DYN_ARGS=TRUE&amp;DOC_NAME=FAT:FQL_AUDITING_CLIENT_TEMPLATE.FAT&amp;display_string=Audit&amp;VAR:KEY=DGBYXIFOPC&amp;VAR:QUERY=RkZfRUJJVERBX0lCKCdMVE1TJywzOTczMik=&amp;WINDOW=FIRST_POPUP&amp;HEIGHT=450&amp;WIDTH=450&amp;START_MA","XIMIZED=FALSE&amp;VAR:CALENDAR=US&amp;VAR:SYMBOL=G0129K10&amp;VAR:INDEX=0"}</definedName>
    <definedName name="_7809__FDSAUDITLINK__" hidden="1">{"fdsup://directions/FAT Viewer?action=UPDATE&amp;creator=factset&amp;DYN_ARGS=TRUE&amp;DOC_NAME=FAT:FQL_AUDITING_CLIENT_TEMPLATE.FAT&amp;display_string=Audit&amp;VAR:KEY=DGBYXIFOPC&amp;VAR:QUERY=RkZfRUJJVERBX0lCKCdMVE1TJywzOTczMik=&amp;WINDOW=FIRST_POPUP&amp;HEIGHT=450&amp;WIDTH=450&amp;START_MA","XIMIZED=FALSE&amp;VAR:CALENDAR=US&amp;VAR:SYMBOL=G0129K10&amp;VAR:INDEX=0"}</definedName>
    <definedName name="_781__FDSAUDITLINK__" localSheetId="6" hidden="1">{"fdsup://directions/FAT%20Viewer?VAR:PED=LTM&amp;VAR:AUDIT_MODE=SUMMARY&amp;VAR:PERIOD=FIXED&amp;VAR:AUDIT_ID=00000117&amp;VAR:DATE=20080102&amp;action=UPDATE&amp;creator=factset&amp;DOC_NAME=FAT:FMA_audit_SUMMARY.fat&amp;DISPLAY_STRING=Display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1__FDSAUDITLINK__" hidden="1">{"fdsup://directions/FAT%20Viewer?VAR:PED=LTM&amp;VAR:AUDIT_MODE=SUMMARY&amp;VAR:PERIOD=FIXED&amp;VAR:AUDIT_ID=00000117&amp;VAR:DATE=20080102&amp;action=UPDATE&amp;creator=factset&amp;DOC_NAME=FAT:FMA_audit_SUMMARY.fat&amp;DISPLAY_STRING=Display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10__FDSAUDITLINK__" localSheetId="6" hidden="1">{"fdsup://directions/FAT Viewer?action=UPDATE&amp;creator=factset&amp;DYN_ARGS=TRUE&amp;DOC_NAME=FAT:FQL_AUDITING_CLIENT_TEMPLATE.FAT&amp;display_string=Audit&amp;VAR:KEY=JUVMDUDWHS&amp;VAR:QUERY=RkZfRUJJVERBX0lCKCdMVE1TJywzOTczMSk=&amp;WINDOW=FIRST_POPUP&amp;HEIGHT=450&amp;WIDTH=450&amp;START_MA","XIMIZED=FALSE&amp;VAR:CALENDAR=US&amp;VAR:SYMBOL=G0129K10&amp;VAR:INDEX=0"}</definedName>
    <definedName name="_7810__FDSAUDITLINK__" hidden="1">{"fdsup://directions/FAT Viewer?action=UPDATE&amp;creator=factset&amp;DYN_ARGS=TRUE&amp;DOC_NAME=FAT:FQL_AUDITING_CLIENT_TEMPLATE.FAT&amp;display_string=Audit&amp;VAR:KEY=JUVMDUDWHS&amp;VAR:QUERY=RkZfRUJJVERBX0lCKCdMVE1TJywzOTczMSk=&amp;WINDOW=FIRST_POPUP&amp;HEIGHT=450&amp;WIDTH=450&amp;START_MA","XIMIZED=FALSE&amp;VAR:CALENDAR=US&amp;VAR:SYMBOL=G0129K10&amp;VAR:INDEX=0"}</definedName>
    <definedName name="_7811__FDSAUDITLINK__" localSheetId="6" hidden="1">{"fdsup://directions/FAT Viewer?action=UPDATE&amp;creator=factset&amp;DYN_ARGS=TRUE&amp;DOC_NAME=FAT:FQL_AUDITING_CLIENT_TEMPLATE.FAT&amp;display_string=Audit&amp;VAR:KEY=RIBMTMTQLS&amp;VAR:QUERY=RkZfRUJJVERBX0lCKCdMVE1TJywzOTczMCk=&amp;WINDOW=FIRST_POPUP&amp;HEIGHT=450&amp;WIDTH=450&amp;START_MA","XIMIZED=FALSE&amp;VAR:CALENDAR=US&amp;VAR:SYMBOL=G0129K10&amp;VAR:INDEX=0"}</definedName>
    <definedName name="_7811__FDSAUDITLINK__" hidden="1">{"fdsup://directions/FAT Viewer?action=UPDATE&amp;creator=factset&amp;DYN_ARGS=TRUE&amp;DOC_NAME=FAT:FQL_AUDITING_CLIENT_TEMPLATE.FAT&amp;display_string=Audit&amp;VAR:KEY=RIBMTMTQLS&amp;VAR:QUERY=RkZfRUJJVERBX0lCKCdMVE1TJywzOTczMCk=&amp;WINDOW=FIRST_POPUP&amp;HEIGHT=450&amp;WIDTH=450&amp;START_MA","XIMIZED=FALSE&amp;VAR:CALENDAR=US&amp;VAR:SYMBOL=G0129K10&amp;VAR:INDEX=0"}</definedName>
    <definedName name="_7812__FDSAUDITLINK__" localSheetId="6" hidden="1">{"fdsup://directions/FAT Viewer?action=UPDATE&amp;creator=factset&amp;DYN_ARGS=TRUE&amp;DOC_NAME=FAT:FQL_AUDITING_CLIENT_TEMPLATE.FAT&amp;display_string=Audit&amp;VAR:KEY=ZWPCFOTGVU&amp;VAR:QUERY=RkZfRUJJVERBX0lCKCdMVE1TJywzOTcyOSk=&amp;WINDOW=FIRST_POPUP&amp;HEIGHT=450&amp;WIDTH=450&amp;START_MA","XIMIZED=FALSE&amp;VAR:CALENDAR=US&amp;VAR:SYMBOL=G0129K10&amp;VAR:INDEX=0"}</definedName>
    <definedName name="_7812__FDSAUDITLINK__" hidden="1">{"fdsup://directions/FAT Viewer?action=UPDATE&amp;creator=factset&amp;DYN_ARGS=TRUE&amp;DOC_NAME=FAT:FQL_AUDITING_CLIENT_TEMPLATE.FAT&amp;display_string=Audit&amp;VAR:KEY=ZWPCFOTGVU&amp;VAR:QUERY=RkZfRUJJVERBX0lCKCdMVE1TJywzOTcyOSk=&amp;WINDOW=FIRST_POPUP&amp;HEIGHT=450&amp;WIDTH=450&amp;START_MA","XIMIZED=FALSE&amp;VAR:CALENDAR=US&amp;VAR:SYMBOL=G0129K10&amp;VAR:INDEX=0"}</definedName>
    <definedName name="_7813__FDSAUDITLINK__" localSheetId="6" hidden="1">{"fdsup://directions/FAT Viewer?action=UPDATE&amp;creator=factset&amp;DYN_ARGS=TRUE&amp;DOC_NAME=FAT:FQL_AUDITING_CLIENT_TEMPLATE.FAT&amp;display_string=Audit&amp;VAR:KEY=JOLKFOZIPA&amp;VAR:QUERY=RkZfRUJJVERBX0lCKCdMVE1TJywzOTcyOCk=&amp;WINDOW=FIRST_POPUP&amp;HEIGHT=450&amp;WIDTH=450&amp;START_MA","XIMIZED=FALSE&amp;VAR:CALENDAR=US&amp;VAR:SYMBOL=G0129K10&amp;VAR:INDEX=0"}</definedName>
    <definedName name="_7813__FDSAUDITLINK__" hidden="1">{"fdsup://directions/FAT Viewer?action=UPDATE&amp;creator=factset&amp;DYN_ARGS=TRUE&amp;DOC_NAME=FAT:FQL_AUDITING_CLIENT_TEMPLATE.FAT&amp;display_string=Audit&amp;VAR:KEY=JOLKFOZIPA&amp;VAR:QUERY=RkZfRUJJVERBX0lCKCdMVE1TJywzOTcyOCk=&amp;WINDOW=FIRST_POPUP&amp;HEIGHT=450&amp;WIDTH=450&amp;START_MA","XIMIZED=FALSE&amp;VAR:CALENDAR=US&amp;VAR:SYMBOL=G0129K10&amp;VAR:INDEX=0"}</definedName>
    <definedName name="_7814__FDSAUDITLINK__" localSheetId="6" hidden="1">{"fdsup://directions/FAT Viewer?action=UPDATE&amp;creator=factset&amp;DYN_ARGS=TRUE&amp;DOC_NAME=FAT:FQL_AUDITING_CLIENT_TEMPLATE.FAT&amp;display_string=Audit&amp;VAR:KEY=NWTERYZYRK&amp;VAR:QUERY=RkZfRUJJVERBX0lCKCdMVE1TJywzOTcyNyk=&amp;WINDOW=FIRST_POPUP&amp;HEIGHT=450&amp;WIDTH=450&amp;START_MA","XIMIZED=FALSE&amp;VAR:CALENDAR=US&amp;VAR:SYMBOL=G0129K10&amp;VAR:INDEX=0"}</definedName>
    <definedName name="_7814__FDSAUDITLINK__" hidden="1">{"fdsup://directions/FAT Viewer?action=UPDATE&amp;creator=factset&amp;DYN_ARGS=TRUE&amp;DOC_NAME=FAT:FQL_AUDITING_CLIENT_TEMPLATE.FAT&amp;display_string=Audit&amp;VAR:KEY=NWTERYZYRK&amp;VAR:QUERY=RkZfRUJJVERBX0lCKCdMVE1TJywzOTcyNyk=&amp;WINDOW=FIRST_POPUP&amp;HEIGHT=450&amp;WIDTH=450&amp;START_MA","XIMIZED=FALSE&amp;VAR:CALENDAR=US&amp;VAR:SYMBOL=G0129K10&amp;VAR:INDEX=0"}</definedName>
    <definedName name="_7815__FDSAUDITLINK__" localSheetId="6" hidden="1">{"fdsup://directions/FAT Viewer?action=UPDATE&amp;creator=factset&amp;DYN_ARGS=TRUE&amp;DOC_NAME=FAT:FQL_AUDITING_CLIENT_TEMPLATE.FAT&amp;display_string=Audit&amp;VAR:KEY=PYZCRWNWNK&amp;VAR:QUERY=RkZfRUJJVERBX0lCKCdMVE1TJywzOTcyNik=&amp;WINDOW=FIRST_POPUP&amp;HEIGHT=450&amp;WIDTH=450&amp;START_MA","XIMIZED=FALSE&amp;VAR:CALENDAR=US&amp;VAR:SYMBOL=G0129K10&amp;VAR:INDEX=0"}</definedName>
    <definedName name="_7815__FDSAUDITLINK__" hidden="1">{"fdsup://directions/FAT Viewer?action=UPDATE&amp;creator=factset&amp;DYN_ARGS=TRUE&amp;DOC_NAME=FAT:FQL_AUDITING_CLIENT_TEMPLATE.FAT&amp;display_string=Audit&amp;VAR:KEY=PYZCRWNWNK&amp;VAR:QUERY=RkZfRUJJVERBX0lCKCdMVE1TJywzOTcyNik=&amp;WINDOW=FIRST_POPUP&amp;HEIGHT=450&amp;WIDTH=450&amp;START_MA","XIMIZED=FALSE&amp;VAR:CALENDAR=US&amp;VAR:SYMBOL=G0129K10&amp;VAR:INDEX=0"}</definedName>
    <definedName name="_7816__FDSAUDITLINK__" localSheetId="6" hidden="1">{"fdsup://directions/FAT Viewer?action=UPDATE&amp;creator=factset&amp;DYN_ARGS=TRUE&amp;DOC_NAME=FAT:FQL_AUDITING_CLIENT_TEMPLATE.FAT&amp;display_string=Audit&amp;VAR:KEY=XIXYLGFABC&amp;VAR:QUERY=RkZfRUJJVERBX0lCKCdMVE1TJywzOTcyNSk=&amp;WINDOW=FIRST_POPUP&amp;HEIGHT=450&amp;WIDTH=450&amp;START_MA","XIMIZED=FALSE&amp;VAR:CALENDAR=US&amp;VAR:SYMBOL=G0129K10&amp;VAR:INDEX=0"}</definedName>
    <definedName name="_7816__FDSAUDITLINK__" hidden="1">{"fdsup://directions/FAT Viewer?action=UPDATE&amp;creator=factset&amp;DYN_ARGS=TRUE&amp;DOC_NAME=FAT:FQL_AUDITING_CLIENT_TEMPLATE.FAT&amp;display_string=Audit&amp;VAR:KEY=XIXYLGFABC&amp;VAR:QUERY=RkZfRUJJVERBX0lCKCdMVE1TJywzOTcyNSk=&amp;WINDOW=FIRST_POPUP&amp;HEIGHT=450&amp;WIDTH=450&amp;START_MA","XIMIZED=FALSE&amp;VAR:CALENDAR=US&amp;VAR:SYMBOL=G0129K10&amp;VAR:INDEX=0"}</definedName>
    <definedName name="_7817__FDSAUDITLINK__" localSheetId="6" hidden="1">{"fdsup://directions/FAT Viewer?action=UPDATE&amp;creator=factset&amp;DYN_ARGS=TRUE&amp;DOC_NAME=FAT:FQL_AUDITING_CLIENT_TEMPLATE.FAT&amp;display_string=Audit&amp;VAR:KEY=LETYHQTAPK&amp;VAR:QUERY=RkZfRUJJVERBX0lCKCdMVE1TJywzOTcyNCk=&amp;WINDOW=FIRST_POPUP&amp;HEIGHT=450&amp;WIDTH=450&amp;START_MA","XIMIZED=FALSE&amp;VAR:CALENDAR=US&amp;VAR:SYMBOL=G0129K10&amp;VAR:INDEX=0"}</definedName>
    <definedName name="_7817__FDSAUDITLINK__" hidden="1">{"fdsup://directions/FAT Viewer?action=UPDATE&amp;creator=factset&amp;DYN_ARGS=TRUE&amp;DOC_NAME=FAT:FQL_AUDITING_CLIENT_TEMPLATE.FAT&amp;display_string=Audit&amp;VAR:KEY=LETYHQTAPK&amp;VAR:QUERY=RkZfRUJJVERBX0lCKCdMVE1TJywzOTcyNCk=&amp;WINDOW=FIRST_POPUP&amp;HEIGHT=450&amp;WIDTH=450&amp;START_MA","XIMIZED=FALSE&amp;VAR:CALENDAR=US&amp;VAR:SYMBOL=G0129K10&amp;VAR:INDEX=0"}</definedName>
    <definedName name="_7818__FDSAUDITLINK__" localSheetId="6" hidden="1">{"fdsup://directions/FAT Viewer?action=UPDATE&amp;creator=factset&amp;DYN_ARGS=TRUE&amp;DOC_NAME=FAT:FQL_AUDITING_CLIENT_TEMPLATE.FAT&amp;display_string=Audit&amp;VAR:KEY=FWPEJGJCTQ&amp;VAR:QUERY=RkZfRUJJVERBX0lCKCdMVE1TJywzOTcyMyk=&amp;WINDOW=FIRST_POPUP&amp;HEIGHT=450&amp;WIDTH=450&amp;START_MA","XIMIZED=FALSE&amp;VAR:CALENDAR=US&amp;VAR:SYMBOL=G0129K10&amp;VAR:INDEX=0"}</definedName>
    <definedName name="_7818__FDSAUDITLINK__" hidden="1">{"fdsup://directions/FAT Viewer?action=UPDATE&amp;creator=factset&amp;DYN_ARGS=TRUE&amp;DOC_NAME=FAT:FQL_AUDITING_CLIENT_TEMPLATE.FAT&amp;display_string=Audit&amp;VAR:KEY=FWPEJGJCTQ&amp;VAR:QUERY=RkZfRUJJVERBX0lCKCdMVE1TJywzOTcyMyk=&amp;WINDOW=FIRST_POPUP&amp;HEIGHT=450&amp;WIDTH=450&amp;START_MA","XIMIZED=FALSE&amp;VAR:CALENDAR=US&amp;VAR:SYMBOL=G0129K10&amp;VAR:INDEX=0"}</definedName>
    <definedName name="_7819__FDSAUDITLINK__" localSheetId="6" hidden="1">{"fdsup://directions/FAT Viewer?action=UPDATE&amp;creator=factset&amp;DYN_ARGS=TRUE&amp;DOC_NAME=FAT:FQL_AUDITING_CLIENT_TEMPLATE.FAT&amp;display_string=Audit&amp;VAR:KEY=VQJQRWRYPY&amp;VAR:QUERY=RkZfRUJJVERBX0lCKCdMVE1TJywzOTcyMik=&amp;WINDOW=FIRST_POPUP&amp;HEIGHT=450&amp;WIDTH=450&amp;START_MA","XIMIZED=FALSE&amp;VAR:CALENDAR=US&amp;VAR:SYMBOL=G0129K10&amp;VAR:INDEX=0"}</definedName>
    <definedName name="_7819__FDSAUDITLINK__" hidden="1">{"fdsup://directions/FAT Viewer?action=UPDATE&amp;creator=factset&amp;DYN_ARGS=TRUE&amp;DOC_NAME=FAT:FQL_AUDITING_CLIENT_TEMPLATE.FAT&amp;display_string=Audit&amp;VAR:KEY=VQJQRWRYPY&amp;VAR:QUERY=RkZfRUJJVERBX0lCKCdMVE1TJywzOTcyMik=&amp;WINDOW=FIRST_POPUP&amp;HEIGHT=450&amp;WIDTH=450&amp;START_MA","XIMIZED=FALSE&amp;VAR:CALENDAR=US&amp;VAR:SYMBOL=G0129K10&amp;VAR:INDEX=0"}</definedName>
    <definedName name="_782__FDSAUDITLINK__" localSheetId="6" hidden="1">{"fdsup://directions/FAT%20Viewer?VAR:PED=LTM&amp;VAR:AUDIT_MODE=SUMMARY&amp;VAR:PERIOD=FIXED&amp;VAR:AUDIT_ID=00000117&amp;VAR:DATE=20071231&amp;action=UPDATE&amp;creator=factset&amp;DOC_NAME=FAT:FMA_audit_SUMMARY.fat&amp;DISPLAY_STRING=Display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2__FDSAUDITLINK__" hidden="1">{"fdsup://directions/FAT%20Viewer?VAR:PED=LTM&amp;VAR:AUDIT_MODE=SUMMARY&amp;VAR:PERIOD=FIXED&amp;VAR:AUDIT_ID=00000117&amp;VAR:DATE=20071231&amp;action=UPDATE&amp;creator=factset&amp;DOC_NAME=FAT:FMA_audit_SUMMARY.fat&amp;DISPLAY_STRING=Display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20__FDSAUDITLINK__" localSheetId="6" hidden="1">{"fdsup://directions/FAT Viewer?action=UPDATE&amp;creator=factset&amp;DYN_ARGS=TRUE&amp;DOC_NAME=FAT:FQL_AUDITING_CLIENT_TEMPLATE.FAT&amp;display_string=Audit&amp;VAR:KEY=XIHEHIVGFC&amp;VAR:QUERY=RkZfRUJJVERBX0lCKCdMVE1TJywzOTcyMSk=&amp;WINDOW=FIRST_POPUP&amp;HEIGHT=450&amp;WIDTH=450&amp;START_MA","XIMIZED=FALSE&amp;VAR:CALENDAR=US&amp;VAR:SYMBOL=G0129K10&amp;VAR:INDEX=0"}</definedName>
    <definedName name="_7820__FDSAUDITLINK__" hidden="1">{"fdsup://directions/FAT Viewer?action=UPDATE&amp;creator=factset&amp;DYN_ARGS=TRUE&amp;DOC_NAME=FAT:FQL_AUDITING_CLIENT_TEMPLATE.FAT&amp;display_string=Audit&amp;VAR:KEY=XIHEHIVGFC&amp;VAR:QUERY=RkZfRUJJVERBX0lCKCdMVE1TJywzOTcyMSk=&amp;WINDOW=FIRST_POPUP&amp;HEIGHT=450&amp;WIDTH=450&amp;START_MA","XIMIZED=FALSE&amp;VAR:CALENDAR=US&amp;VAR:SYMBOL=G0129K10&amp;VAR:INDEX=0"}</definedName>
    <definedName name="_7821__FDSAUDITLINK__" localSheetId="6" hidden="1">{"fdsup://directions/FAT Viewer?action=UPDATE&amp;creator=factset&amp;DYN_ARGS=TRUE&amp;DOC_NAME=FAT:FQL_AUDITING_CLIENT_TEMPLATE.FAT&amp;display_string=Audit&amp;VAR:KEY=FEXYLOHWTQ&amp;VAR:QUERY=RkZfRUJJVERBX0lCKCdMVE1TJywzOTcyMCk=&amp;WINDOW=FIRST_POPUP&amp;HEIGHT=450&amp;WIDTH=450&amp;START_MA","XIMIZED=FALSE&amp;VAR:CALENDAR=US&amp;VAR:SYMBOL=G0129K10&amp;VAR:INDEX=0"}</definedName>
    <definedName name="_7821__FDSAUDITLINK__" hidden="1">{"fdsup://directions/FAT Viewer?action=UPDATE&amp;creator=factset&amp;DYN_ARGS=TRUE&amp;DOC_NAME=FAT:FQL_AUDITING_CLIENT_TEMPLATE.FAT&amp;display_string=Audit&amp;VAR:KEY=FEXYLOHWTQ&amp;VAR:QUERY=RkZfRUJJVERBX0lCKCdMVE1TJywzOTcyMCk=&amp;WINDOW=FIRST_POPUP&amp;HEIGHT=450&amp;WIDTH=450&amp;START_MA","XIMIZED=FALSE&amp;VAR:CALENDAR=US&amp;VAR:SYMBOL=G0129K10&amp;VAR:INDEX=0"}</definedName>
    <definedName name="_7822__FDSAUDITLINK__" localSheetId="6" hidden="1">{"fdsup://directions/FAT Viewer?action=UPDATE&amp;creator=factset&amp;DYN_ARGS=TRUE&amp;DOC_NAME=FAT:FQL_AUDITING_CLIENT_TEMPLATE.FAT&amp;display_string=Audit&amp;VAR:KEY=FGHETUBGBA&amp;VAR:QUERY=RkZfRUJJVERBX0lCKCdMVE1TJywzOTcxOSk=&amp;WINDOW=FIRST_POPUP&amp;HEIGHT=450&amp;WIDTH=450&amp;START_MA","XIMIZED=FALSE&amp;VAR:CALENDAR=US&amp;VAR:SYMBOL=G0129K10&amp;VAR:INDEX=0"}</definedName>
    <definedName name="_7822__FDSAUDITLINK__" hidden="1">{"fdsup://directions/FAT Viewer?action=UPDATE&amp;creator=factset&amp;DYN_ARGS=TRUE&amp;DOC_NAME=FAT:FQL_AUDITING_CLIENT_TEMPLATE.FAT&amp;display_string=Audit&amp;VAR:KEY=FGHETUBGBA&amp;VAR:QUERY=RkZfRUJJVERBX0lCKCdMVE1TJywzOTcxOSk=&amp;WINDOW=FIRST_POPUP&amp;HEIGHT=450&amp;WIDTH=450&amp;START_MA","XIMIZED=FALSE&amp;VAR:CALENDAR=US&amp;VAR:SYMBOL=G0129K10&amp;VAR:INDEX=0"}</definedName>
    <definedName name="_7823__FDSAUDITLINK__" localSheetId="6" hidden="1">{"fdsup://directions/FAT Viewer?action=UPDATE&amp;creator=factset&amp;DYN_ARGS=TRUE&amp;DOC_NAME=FAT:FQL_AUDITING_CLIENT_TEMPLATE.FAT&amp;display_string=Audit&amp;VAR:KEY=BKPODSXWJC&amp;VAR:QUERY=RkZfRUJJVERBX0lCKCdMVE1TJywzOTcxOCk=&amp;WINDOW=FIRST_POPUP&amp;HEIGHT=450&amp;WIDTH=450&amp;START_MA","XIMIZED=FALSE&amp;VAR:CALENDAR=US&amp;VAR:SYMBOL=G0129K10&amp;VAR:INDEX=0"}</definedName>
    <definedName name="_7823__FDSAUDITLINK__" hidden="1">{"fdsup://directions/FAT Viewer?action=UPDATE&amp;creator=factset&amp;DYN_ARGS=TRUE&amp;DOC_NAME=FAT:FQL_AUDITING_CLIENT_TEMPLATE.FAT&amp;display_string=Audit&amp;VAR:KEY=BKPODSXWJC&amp;VAR:QUERY=RkZfRUJJVERBX0lCKCdMVE1TJywzOTcxOCk=&amp;WINDOW=FIRST_POPUP&amp;HEIGHT=450&amp;WIDTH=450&amp;START_MA","XIMIZED=FALSE&amp;VAR:CALENDAR=US&amp;VAR:SYMBOL=G0129K10&amp;VAR:INDEX=0"}</definedName>
    <definedName name="_7824__FDSAUDITLINK__" localSheetId="6" hidden="1">{"fdsup://directions/FAT Viewer?action=UPDATE&amp;creator=factset&amp;DYN_ARGS=TRUE&amp;DOC_NAME=FAT:FQL_AUDITING_CLIENT_TEMPLATE.FAT&amp;display_string=Audit&amp;VAR:KEY=PABABUZCXS&amp;VAR:QUERY=RkZfRUJJVERBX0lCKCdMVE1TJywzOTcxNyk=&amp;WINDOW=FIRST_POPUP&amp;HEIGHT=450&amp;WIDTH=450&amp;START_MA","XIMIZED=FALSE&amp;VAR:CALENDAR=US&amp;VAR:SYMBOL=G0129K10&amp;VAR:INDEX=0"}</definedName>
    <definedName name="_7824__FDSAUDITLINK__" hidden="1">{"fdsup://directions/FAT Viewer?action=UPDATE&amp;creator=factset&amp;DYN_ARGS=TRUE&amp;DOC_NAME=FAT:FQL_AUDITING_CLIENT_TEMPLATE.FAT&amp;display_string=Audit&amp;VAR:KEY=PABABUZCXS&amp;VAR:QUERY=RkZfRUJJVERBX0lCKCdMVE1TJywzOTcxNyk=&amp;WINDOW=FIRST_POPUP&amp;HEIGHT=450&amp;WIDTH=450&amp;START_MA","XIMIZED=FALSE&amp;VAR:CALENDAR=US&amp;VAR:SYMBOL=G0129K10&amp;VAR:INDEX=0"}</definedName>
    <definedName name="_7825__FDSAUDITLINK__" localSheetId="6" hidden="1">{"fdsup://directions/FAT Viewer?action=UPDATE&amp;creator=factset&amp;DYN_ARGS=TRUE&amp;DOC_NAME=FAT:FQL_AUDITING_CLIENT_TEMPLATE.FAT&amp;display_string=Audit&amp;VAR:KEY=RCZUHKVIPQ&amp;VAR:QUERY=RkZfRUJJVERBX0lCKCdMVE1TJywzOTcxNik=&amp;WINDOW=FIRST_POPUP&amp;HEIGHT=450&amp;WIDTH=450&amp;START_MA","XIMIZED=FALSE&amp;VAR:CALENDAR=US&amp;VAR:SYMBOL=G0129K10&amp;VAR:INDEX=0"}</definedName>
    <definedName name="_7825__FDSAUDITLINK__" hidden="1">{"fdsup://directions/FAT Viewer?action=UPDATE&amp;creator=factset&amp;DYN_ARGS=TRUE&amp;DOC_NAME=FAT:FQL_AUDITING_CLIENT_TEMPLATE.FAT&amp;display_string=Audit&amp;VAR:KEY=RCZUHKVIPQ&amp;VAR:QUERY=RkZfRUJJVERBX0lCKCdMVE1TJywzOTcxNik=&amp;WINDOW=FIRST_POPUP&amp;HEIGHT=450&amp;WIDTH=450&amp;START_MA","XIMIZED=FALSE&amp;VAR:CALENDAR=US&amp;VAR:SYMBOL=G0129K10&amp;VAR:INDEX=0"}</definedName>
    <definedName name="_7826__FDSAUDITLINK__" localSheetId="6" hidden="1">{"fdsup://directions/FAT Viewer?action=UPDATE&amp;creator=factset&amp;DYN_ARGS=TRUE&amp;DOC_NAME=FAT:FQL_AUDITING_CLIENT_TEMPLATE.FAT&amp;display_string=Audit&amp;VAR:KEY=LELCXERIPO&amp;VAR:QUERY=RkZfRUJJVERBX0lCKCdMVE1TJywzOTcxNSk=&amp;WINDOW=FIRST_POPUP&amp;HEIGHT=450&amp;WIDTH=450&amp;START_MA","XIMIZED=FALSE&amp;VAR:CALENDAR=US&amp;VAR:SYMBOL=G0129K10&amp;VAR:INDEX=0"}</definedName>
    <definedName name="_7826__FDSAUDITLINK__" hidden="1">{"fdsup://directions/FAT Viewer?action=UPDATE&amp;creator=factset&amp;DYN_ARGS=TRUE&amp;DOC_NAME=FAT:FQL_AUDITING_CLIENT_TEMPLATE.FAT&amp;display_string=Audit&amp;VAR:KEY=LELCXERIPO&amp;VAR:QUERY=RkZfRUJJVERBX0lCKCdMVE1TJywzOTcxNSk=&amp;WINDOW=FIRST_POPUP&amp;HEIGHT=450&amp;WIDTH=450&amp;START_MA","XIMIZED=FALSE&amp;VAR:CALENDAR=US&amp;VAR:SYMBOL=G0129K10&amp;VAR:INDEX=0"}</definedName>
    <definedName name="_7827__FDSAUDITLINK__" localSheetId="6" hidden="1">{"fdsup://directions/FAT Viewer?action=UPDATE&amp;creator=factset&amp;DYN_ARGS=TRUE&amp;DOC_NAME=FAT:FQL_AUDITING_CLIENT_TEMPLATE.FAT&amp;display_string=Audit&amp;VAR:KEY=JIXABKZSBK&amp;VAR:QUERY=RkZfRUJJVERBX0lCKCdMVE1TJywzOTcxNCk=&amp;WINDOW=FIRST_POPUP&amp;HEIGHT=450&amp;WIDTH=450&amp;START_MA","XIMIZED=FALSE&amp;VAR:CALENDAR=US&amp;VAR:SYMBOL=G0129K10&amp;VAR:INDEX=0"}</definedName>
    <definedName name="_7827__FDSAUDITLINK__" hidden="1">{"fdsup://directions/FAT Viewer?action=UPDATE&amp;creator=factset&amp;DYN_ARGS=TRUE&amp;DOC_NAME=FAT:FQL_AUDITING_CLIENT_TEMPLATE.FAT&amp;display_string=Audit&amp;VAR:KEY=JIXABKZSBK&amp;VAR:QUERY=RkZfRUJJVERBX0lCKCdMVE1TJywzOTcxNCk=&amp;WINDOW=FIRST_POPUP&amp;HEIGHT=450&amp;WIDTH=450&amp;START_MA","XIMIZED=FALSE&amp;VAR:CALENDAR=US&amp;VAR:SYMBOL=G0129K10&amp;VAR:INDEX=0"}</definedName>
    <definedName name="_7828__FDSAUDITLINK__" localSheetId="6" hidden="1">{"fdsup://directions/FAT Viewer?action=UPDATE&amp;creator=factset&amp;DYN_ARGS=TRUE&amp;DOC_NAME=FAT:FQL_AUDITING_CLIENT_TEMPLATE.FAT&amp;display_string=Audit&amp;VAR:KEY=LOVQHCVCZO&amp;VAR:QUERY=RkZfRUJJVERBX0lCKCdMVE1TJywzOTcxMyk=&amp;WINDOW=FIRST_POPUP&amp;HEIGHT=450&amp;WIDTH=450&amp;START_MA","XIMIZED=FALSE&amp;VAR:CALENDAR=US&amp;VAR:SYMBOL=G0129K10&amp;VAR:INDEX=0"}</definedName>
    <definedName name="_7828__FDSAUDITLINK__" hidden="1">{"fdsup://directions/FAT Viewer?action=UPDATE&amp;creator=factset&amp;DYN_ARGS=TRUE&amp;DOC_NAME=FAT:FQL_AUDITING_CLIENT_TEMPLATE.FAT&amp;display_string=Audit&amp;VAR:KEY=LOVQHCVCZO&amp;VAR:QUERY=RkZfRUJJVERBX0lCKCdMVE1TJywzOTcxMyk=&amp;WINDOW=FIRST_POPUP&amp;HEIGHT=450&amp;WIDTH=450&amp;START_MA","XIMIZED=FALSE&amp;VAR:CALENDAR=US&amp;VAR:SYMBOL=G0129K10&amp;VAR:INDEX=0"}</definedName>
    <definedName name="_7829__FDSAUDITLINK__" localSheetId="6" hidden="1">{"fdsup://directions/FAT Viewer?action=UPDATE&amp;creator=factset&amp;DYN_ARGS=TRUE&amp;DOC_NAME=FAT:FQL_AUDITING_CLIENT_TEMPLATE.FAT&amp;display_string=Audit&amp;VAR:KEY=NUNSVATKXY&amp;VAR:QUERY=RkZfRUJJVERBX0lCKCdMVE1TJywzOTcxMik=&amp;WINDOW=FIRST_POPUP&amp;HEIGHT=450&amp;WIDTH=450&amp;START_MA","XIMIZED=FALSE&amp;VAR:CALENDAR=US&amp;VAR:SYMBOL=G0129K10&amp;VAR:INDEX=0"}</definedName>
    <definedName name="_7829__FDSAUDITLINK__" hidden="1">{"fdsup://directions/FAT Viewer?action=UPDATE&amp;creator=factset&amp;DYN_ARGS=TRUE&amp;DOC_NAME=FAT:FQL_AUDITING_CLIENT_TEMPLATE.FAT&amp;display_string=Audit&amp;VAR:KEY=NUNSVATKXY&amp;VAR:QUERY=RkZfRUJJVERBX0lCKCdMVE1TJywzOTcxMik=&amp;WINDOW=FIRST_POPUP&amp;HEIGHT=450&amp;WIDTH=450&amp;START_MA","XIMIZED=FALSE&amp;VAR:CALENDAR=US&amp;VAR:SYMBOL=G0129K10&amp;VAR:INDEX=0"}</definedName>
    <definedName name="_783__FDSAUDITLINK__" localSheetId="6" hidden="1">{"fdsup://directions/FAT%20Viewer?VAR:PED=LTM&amp;VAR:AUDIT_MODE=SUMMARY&amp;VAR:PERIOD=FIXED&amp;VAR:AUDIT_ID=00000117&amp;VAR:DATE=20071231&amp;action=UPDATE&amp;creator=factset&amp;DOC_NAME=FAT:FMA_audit_SUMMARY.fat&amp;DISPLAY_STRING=Display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3__FDSAUDITLINK__" hidden="1">{"fdsup://directions/FAT%20Viewer?VAR:PED=LTM&amp;VAR:AUDIT_MODE=SUMMARY&amp;VAR:PERIOD=FIXED&amp;VAR:AUDIT_ID=00000117&amp;VAR:DATE=20071231&amp;action=UPDATE&amp;creator=factset&amp;DOC_NAME=FAT:FMA_audit_SUMMARY.fat&amp;DISPLAY_STRING=Display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EBITDA&amp;VAR:CHGPERIOD=NA&amp;VAR:FQLFORMULA=FMA_EVAL_EBITDA&amp;VAR:CURRENCY=NA&amp;VAR:P=NA&amp;VAR:V=11.5","12533&amp;VAR:null=.html"}</definedName>
    <definedName name="_7830__FDSAUDITLINK__" localSheetId="6" hidden="1">{"fdsup://directions/FAT Viewer?action=UPDATE&amp;creator=factset&amp;DYN_ARGS=TRUE&amp;DOC_NAME=FAT:FQL_AUDITING_CLIENT_TEMPLATE.FAT&amp;display_string=Audit&amp;VAR:KEY=VAPCVEVITE&amp;VAR:QUERY=RkZfRUJJVERBX0lCKCdMVE1TJywzOTcxMSk=&amp;WINDOW=FIRST_POPUP&amp;HEIGHT=450&amp;WIDTH=450&amp;START_MA","XIMIZED=FALSE&amp;VAR:CALENDAR=US&amp;VAR:SYMBOL=G0129K10&amp;VAR:INDEX=0"}</definedName>
    <definedName name="_7830__FDSAUDITLINK__" hidden="1">{"fdsup://directions/FAT Viewer?action=UPDATE&amp;creator=factset&amp;DYN_ARGS=TRUE&amp;DOC_NAME=FAT:FQL_AUDITING_CLIENT_TEMPLATE.FAT&amp;display_string=Audit&amp;VAR:KEY=VAPCVEVITE&amp;VAR:QUERY=RkZfRUJJVERBX0lCKCdMVE1TJywzOTcxMSk=&amp;WINDOW=FIRST_POPUP&amp;HEIGHT=450&amp;WIDTH=450&amp;START_MA","XIMIZED=FALSE&amp;VAR:CALENDAR=US&amp;VAR:SYMBOL=G0129K10&amp;VAR:INDEX=0"}</definedName>
    <definedName name="_7831__FDSAUDITLINK__" localSheetId="6" hidden="1">{"fdsup://directions/FAT Viewer?action=UPDATE&amp;creator=factset&amp;DYN_ARGS=TRUE&amp;DOC_NAME=FAT:FQL_AUDITING_CLIENT_TEMPLATE.FAT&amp;display_string=Audit&amp;VAR:KEY=NMBYVGZGPQ&amp;VAR:QUERY=RkZfRUJJVERBX0lCKCdMVE1TJywzOTcxMCk=&amp;WINDOW=FIRST_POPUP&amp;HEIGHT=450&amp;WIDTH=450&amp;START_MA","XIMIZED=FALSE&amp;VAR:CALENDAR=US&amp;VAR:SYMBOL=G0129K10&amp;VAR:INDEX=0"}</definedName>
    <definedName name="_7831__FDSAUDITLINK__" hidden="1">{"fdsup://directions/FAT Viewer?action=UPDATE&amp;creator=factset&amp;DYN_ARGS=TRUE&amp;DOC_NAME=FAT:FQL_AUDITING_CLIENT_TEMPLATE.FAT&amp;display_string=Audit&amp;VAR:KEY=NMBYVGZGPQ&amp;VAR:QUERY=RkZfRUJJVERBX0lCKCdMVE1TJywzOTcxMCk=&amp;WINDOW=FIRST_POPUP&amp;HEIGHT=450&amp;WIDTH=450&amp;START_MA","XIMIZED=FALSE&amp;VAR:CALENDAR=US&amp;VAR:SYMBOL=G0129K10&amp;VAR:INDEX=0"}</definedName>
    <definedName name="_7832__FDSAUDITLINK__" localSheetId="6" hidden="1">{"fdsup://directions/FAT Viewer?action=UPDATE&amp;creator=factset&amp;DYN_ARGS=TRUE&amp;DOC_NAME=FAT:FQL_AUDITING_CLIENT_TEMPLATE.FAT&amp;display_string=Audit&amp;VAR:KEY=ZQZSFCRUFC&amp;VAR:QUERY=RkZfRUJJVERBX0lCKCdMVE1TJywzOTcwOSk=&amp;WINDOW=FIRST_POPUP&amp;HEIGHT=450&amp;WIDTH=450&amp;START_MA","XIMIZED=FALSE&amp;VAR:CALENDAR=US&amp;VAR:SYMBOL=G0129K10&amp;VAR:INDEX=0"}</definedName>
    <definedName name="_7832__FDSAUDITLINK__" hidden="1">{"fdsup://directions/FAT Viewer?action=UPDATE&amp;creator=factset&amp;DYN_ARGS=TRUE&amp;DOC_NAME=FAT:FQL_AUDITING_CLIENT_TEMPLATE.FAT&amp;display_string=Audit&amp;VAR:KEY=ZQZSFCRUFC&amp;VAR:QUERY=RkZfRUJJVERBX0lCKCdMVE1TJywzOTcwOSk=&amp;WINDOW=FIRST_POPUP&amp;HEIGHT=450&amp;WIDTH=450&amp;START_MA","XIMIZED=FALSE&amp;VAR:CALENDAR=US&amp;VAR:SYMBOL=G0129K10&amp;VAR:INDEX=0"}</definedName>
    <definedName name="_7833__FDSAUDITLINK__" localSheetId="6" hidden="1">{"fdsup://directions/FAT Viewer?action=UPDATE&amp;creator=factset&amp;DYN_ARGS=TRUE&amp;DOC_NAME=FAT:FQL_AUDITING_CLIENT_TEMPLATE.FAT&amp;display_string=Audit&amp;VAR:KEY=BIVGFMLYZQ&amp;VAR:QUERY=RkZfRUJJVERBX0lCKCdMVE1TJywzOTcwOCk=&amp;WINDOW=FIRST_POPUP&amp;HEIGHT=450&amp;WIDTH=450&amp;START_MA","XIMIZED=FALSE&amp;VAR:CALENDAR=US&amp;VAR:SYMBOL=G0129K10&amp;VAR:INDEX=0"}</definedName>
    <definedName name="_7833__FDSAUDITLINK__" hidden="1">{"fdsup://directions/FAT Viewer?action=UPDATE&amp;creator=factset&amp;DYN_ARGS=TRUE&amp;DOC_NAME=FAT:FQL_AUDITING_CLIENT_TEMPLATE.FAT&amp;display_string=Audit&amp;VAR:KEY=BIVGFMLYZQ&amp;VAR:QUERY=RkZfRUJJVERBX0lCKCdMVE1TJywzOTcwOCk=&amp;WINDOW=FIRST_POPUP&amp;HEIGHT=450&amp;WIDTH=450&amp;START_MA","XIMIZED=FALSE&amp;VAR:CALENDAR=US&amp;VAR:SYMBOL=G0129K10&amp;VAR:INDEX=0"}</definedName>
    <definedName name="_7834__FDSAUDITLINK__" localSheetId="6" hidden="1">{"fdsup://directions/FAT Viewer?action=UPDATE&amp;creator=factset&amp;DYN_ARGS=TRUE&amp;DOC_NAME=FAT:FQL_AUDITING_CLIENT_TEMPLATE.FAT&amp;display_string=Audit&amp;VAR:KEY=VSJURMZMRO&amp;VAR:QUERY=RkZfRUJJVERBX0lCKCdMVE1TJywzOTcwNyk=&amp;WINDOW=FIRST_POPUP&amp;HEIGHT=450&amp;WIDTH=450&amp;START_MA","XIMIZED=FALSE&amp;VAR:CALENDAR=US&amp;VAR:SYMBOL=G0129K10&amp;VAR:INDEX=0"}</definedName>
    <definedName name="_7834__FDSAUDITLINK__" hidden="1">{"fdsup://directions/FAT Viewer?action=UPDATE&amp;creator=factset&amp;DYN_ARGS=TRUE&amp;DOC_NAME=FAT:FQL_AUDITING_CLIENT_TEMPLATE.FAT&amp;display_string=Audit&amp;VAR:KEY=VSJURMZMRO&amp;VAR:QUERY=RkZfRUJJVERBX0lCKCdMVE1TJywzOTcwNyk=&amp;WINDOW=FIRST_POPUP&amp;HEIGHT=450&amp;WIDTH=450&amp;START_MA","XIMIZED=FALSE&amp;VAR:CALENDAR=US&amp;VAR:SYMBOL=G0129K10&amp;VAR:INDEX=0"}</definedName>
    <definedName name="_7835__FDSAUDITLINK__" localSheetId="6" hidden="1">{"fdsup://directions/FAT Viewer?action=UPDATE&amp;creator=factset&amp;DYN_ARGS=TRUE&amp;DOC_NAME=FAT:FQL_AUDITING_CLIENT_TEMPLATE.FAT&amp;display_string=Audit&amp;VAR:KEY=LCBGRQHEXA&amp;VAR:QUERY=RkZfRUJJVERBX0lCKCdMVE1TJywzOTcwNik=&amp;WINDOW=FIRST_POPUP&amp;HEIGHT=450&amp;WIDTH=450&amp;START_MA","XIMIZED=FALSE&amp;VAR:CALENDAR=US&amp;VAR:SYMBOL=G0129K10&amp;VAR:INDEX=0"}</definedName>
    <definedName name="_7835__FDSAUDITLINK__" hidden="1">{"fdsup://directions/FAT Viewer?action=UPDATE&amp;creator=factset&amp;DYN_ARGS=TRUE&amp;DOC_NAME=FAT:FQL_AUDITING_CLIENT_TEMPLATE.FAT&amp;display_string=Audit&amp;VAR:KEY=LCBGRQHEXA&amp;VAR:QUERY=RkZfRUJJVERBX0lCKCdMVE1TJywzOTcwNik=&amp;WINDOW=FIRST_POPUP&amp;HEIGHT=450&amp;WIDTH=450&amp;START_MA","XIMIZED=FALSE&amp;VAR:CALENDAR=US&amp;VAR:SYMBOL=G0129K10&amp;VAR:INDEX=0"}</definedName>
    <definedName name="_7836__FDSAUDITLINK__" localSheetId="6" hidden="1">{"fdsup://directions/FAT Viewer?action=UPDATE&amp;creator=factset&amp;DYN_ARGS=TRUE&amp;DOC_NAME=FAT:FQL_AUDITING_CLIENT_TEMPLATE.FAT&amp;display_string=Audit&amp;VAR:KEY=PUNMFIDGFO&amp;VAR:QUERY=RkZfRUJJVERBX0lCKCdMVE1TJywzOTcwNSk=&amp;WINDOW=FIRST_POPUP&amp;HEIGHT=450&amp;WIDTH=450&amp;START_MA","XIMIZED=FALSE&amp;VAR:CALENDAR=US&amp;VAR:SYMBOL=G0129K10&amp;VAR:INDEX=0"}</definedName>
    <definedName name="_7836__FDSAUDITLINK__" hidden="1">{"fdsup://directions/FAT Viewer?action=UPDATE&amp;creator=factset&amp;DYN_ARGS=TRUE&amp;DOC_NAME=FAT:FQL_AUDITING_CLIENT_TEMPLATE.FAT&amp;display_string=Audit&amp;VAR:KEY=PUNMFIDGFO&amp;VAR:QUERY=RkZfRUJJVERBX0lCKCdMVE1TJywzOTcwNSk=&amp;WINDOW=FIRST_POPUP&amp;HEIGHT=450&amp;WIDTH=450&amp;START_MA","XIMIZED=FALSE&amp;VAR:CALENDAR=US&amp;VAR:SYMBOL=G0129K10&amp;VAR:INDEX=0"}</definedName>
    <definedName name="_7837__FDSAUDITLINK__" localSheetId="6" hidden="1">{"fdsup://directions/FAT Viewer?action=UPDATE&amp;creator=factset&amp;DYN_ARGS=TRUE&amp;DOC_NAME=FAT:FQL_AUDITING_CLIENT_TEMPLATE.FAT&amp;display_string=Audit&amp;VAR:KEY=PYXCNQTGRC&amp;VAR:QUERY=RkZfRUJJVERBX0lCKCdMVE1TJywzOTcwNCk=&amp;WINDOW=FIRST_POPUP&amp;HEIGHT=450&amp;WIDTH=450&amp;START_MA","XIMIZED=FALSE&amp;VAR:CALENDAR=US&amp;VAR:SYMBOL=G0129K10&amp;VAR:INDEX=0"}</definedName>
    <definedName name="_7837__FDSAUDITLINK__" hidden="1">{"fdsup://directions/FAT Viewer?action=UPDATE&amp;creator=factset&amp;DYN_ARGS=TRUE&amp;DOC_NAME=FAT:FQL_AUDITING_CLIENT_TEMPLATE.FAT&amp;display_string=Audit&amp;VAR:KEY=PYXCNQTGRC&amp;VAR:QUERY=RkZfRUJJVERBX0lCKCdMVE1TJywzOTcwNCk=&amp;WINDOW=FIRST_POPUP&amp;HEIGHT=450&amp;WIDTH=450&amp;START_MA","XIMIZED=FALSE&amp;VAR:CALENDAR=US&amp;VAR:SYMBOL=G0129K10&amp;VAR:INDEX=0"}</definedName>
    <definedName name="_7838__FDSAUDITLINK__" localSheetId="6" hidden="1">{"fdsup://directions/FAT Viewer?action=UPDATE&amp;creator=factset&amp;DYN_ARGS=TRUE&amp;DOC_NAME=FAT:FQL_AUDITING_CLIENT_TEMPLATE.FAT&amp;display_string=Audit&amp;VAR:KEY=FCDQVYBSZC&amp;VAR:QUERY=RkZfRUJJVERBX0lCKCdMVE1TJywzOTcwMyk=&amp;WINDOW=FIRST_POPUP&amp;HEIGHT=450&amp;WIDTH=450&amp;START_MA","XIMIZED=FALSE&amp;VAR:CALENDAR=US&amp;VAR:SYMBOL=G0129K10&amp;VAR:INDEX=0"}</definedName>
    <definedName name="_7838__FDSAUDITLINK__" hidden="1">{"fdsup://directions/FAT Viewer?action=UPDATE&amp;creator=factset&amp;DYN_ARGS=TRUE&amp;DOC_NAME=FAT:FQL_AUDITING_CLIENT_TEMPLATE.FAT&amp;display_string=Audit&amp;VAR:KEY=FCDQVYBSZC&amp;VAR:QUERY=RkZfRUJJVERBX0lCKCdMVE1TJywzOTcwMyk=&amp;WINDOW=FIRST_POPUP&amp;HEIGHT=450&amp;WIDTH=450&amp;START_MA","XIMIZED=FALSE&amp;VAR:CALENDAR=US&amp;VAR:SYMBOL=G0129K10&amp;VAR:INDEX=0"}</definedName>
    <definedName name="_7839__FDSAUDITLINK__" localSheetId="6" hidden="1">{"fdsup://directions/FAT Viewer?action=UPDATE&amp;creator=factset&amp;DYN_ARGS=TRUE&amp;DOC_NAME=FAT:FQL_AUDITING_CLIENT_TEMPLATE.FAT&amp;display_string=Audit&amp;VAR:KEY=HCFWHYNAFU&amp;VAR:QUERY=RkZfRUJJVERBX0lCKCdMVE1TJywzOTcwMik=&amp;WINDOW=FIRST_POPUP&amp;HEIGHT=450&amp;WIDTH=450&amp;START_MA","XIMIZED=FALSE&amp;VAR:CALENDAR=US&amp;VAR:SYMBOL=G0129K10&amp;VAR:INDEX=0"}</definedName>
    <definedName name="_7839__FDSAUDITLINK__" hidden="1">{"fdsup://directions/FAT Viewer?action=UPDATE&amp;creator=factset&amp;DYN_ARGS=TRUE&amp;DOC_NAME=FAT:FQL_AUDITING_CLIENT_TEMPLATE.FAT&amp;display_string=Audit&amp;VAR:KEY=HCFWHYNAFU&amp;VAR:QUERY=RkZfRUJJVERBX0lCKCdMVE1TJywzOTcwMik=&amp;WINDOW=FIRST_POPUP&amp;HEIGHT=450&amp;WIDTH=450&amp;START_MA","XIMIZED=FALSE&amp;VAR:CALENDAR=US&amp;VAR:SYMBOL=G0129K10&amp;VAR:INDEX=0"}</definedName>
    <definedName name="_784__FDSAUDITLINK__" localSheetId="6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4__FDSAUDITLINK__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40__FDSAUDITLINK__" localSheetId="6" hidden="1">{"fdsup://directions/FAT Viewer?action=UPDATE&amp;creator=factset&amp;DYN_ARGS=TRUE&amp;DOC_NAME=FAT:FQL_AUDITING_CLIENT_TEMPLATE.FAT&amp;display_string=Audit&amp;VAR:KEY=JIHSLSJYXO&amp;VAR:QUERY=RkZfRUJJVERBX0lCKCdMVE1TJywzOTcwMSk=&amp;WINDOW=FIRST_POPUP&amp;HEIGHT=450&amp;WIDTH=450&amp;START_MA","XIMIZED=FALSE&amp;VAR:CALENDAR=US&amp;VAR:SYMBOL=G0129K10&amp;VAR:INDEX=0"}</definedName>
    <definedName name="_7840__FDSAUDITLINK__" hidden="1">{"fdsup://directions/FAT Viewer?action=UPDATE&amp;creator=factset&amp;DYN_ARGS=TRUE&amp;DOC_NAME=FAT:FQL_AUDITING_CLIENT_TEMPLATE.FAT&amp;display_string=Audit&amp;VAR:KEY=JIHSLSJYXO&amp;VAR:QUERY=RkZfRUJJVERBX0lCKCdMVE1TJywzOTcwMSk=&amp;WINDOW=FIRST_POPUP&amp;HEIGHT=450&amp;WIDTH=450&amp;START_MA","XIMIZED=FALSE&amp;VAR:CALENDAR=US&amp;VAR:SYMBOL=G0129K10&amp;VAR:INDEX=0"}</definedName>
    <definedName name="_7841__FDSAUDITLINK__" localSheetId="6" hidden="1">{"fdsup://directions/FAT Viewer?action=UPDATE&amp;creator=factset&amp;DYN_ARGS=TRUE&amp;DOC_NAME=FAT:FQL_AUDITING_CLIENT_TEMPLATE.FAT&amp;display_string=Audit&amp;VAR:KEY=XQHCLCBEXY&amp;VAR:QUERY=RkZfRUJJVERBX0lCKCdMVE1TJywzOTcwMCk=&amp;WINDOW=FIRST_POPUP&amp;HEIGHT=450&amp;WIDTH=450&amp;START_MA","XIMIZED=FALSE&amp;VAR:CALENDAR=US&amp;VAR:SYMBOL=G0129K10&amp;VAR:INDEX=0"}</definedName>
    <definedName name="_7841__FDSAUDITLINK__" hidden="1">{"fdsup://directions/FAT Viewer?action=UPDATE&amp;creator=factset&amp;DYN_ARGS=TRUE&amp;DOC_NAME=FAT:FQL_AUDITING_CLIENT_TEMPLATE.FAT&amp;display_string=Audit&amp;VAR:KEY=XQHCLCBEXY&amp;VAR:QUERY=RkZfRUJJVERBX0lCKCdMVE1TJywzOTcwMCk=&amp;WINDOW=FIRST_POPUP&amp;HEIGHT=450&amp;WIDTH=450&amp;START_MA","XIMIZED=FALSE&amp;VAR:CALENDAR=US&amp;VAR:SYMBOL=G0129K10&amp;VAR:INDEX=0"}</definedName>
    <definedName name="_7842__FDSAUDITLINK__" localSheetId="6" hidden="1">{"fdsup://directions/FAT Viewer?action=UPDATE&amp;creator=factset&amp;DYN_ARGS=TRUE&amp;DOC_NAME=FAT:FQL_AUDITING_CLIENT_TEMPLATE.FAT&amp;display_string=Audit&amp;VAR:KEY=DQTKLAHQLM&amp;VAR:QUERY=RkZfRUJJVERBX0lCKCdMVE1TJywzOTY5OSk=&amp;WINDOW=FIRST_POPUP&amp;HEIGHT=450&amp;WIDTH=450&amp;START_MA","XIMIZED=FALSE&amp;VAR:CALENDAR=US&amp;VAR:SYMBOL=G0129K10&amp;VAR:INDEX=0"}</definedName>
    <definedName name="_7842__FDSAUDITLINK__" hidden="1">{"fdsup://directions/FAT Viewer?action=UPDATE&amp;creator=factset&amp;DYN_ARGS=TRUE&amp;DOC_NAME=FAT:FQL_AUDITING_CLIENT_TEMPLATE.FAT&amp;display_string=Audit&amp;VAR:KEY=DQTKLAHQLM&amp;VAR:QUERY=RkZfRUJJVERBX0lCKCdMVE1TJywzOTY5OSk=&amp;WINDOW=FIRST_POPUP&amp;HEIGHT=450&amp;WIDTH=450&amp;START_MA","XIMIZED=FALSE&amp;VAR:CALENDAR=US&amp;VAR:SYMBOL=G0129K10&amp;VAR:INDEX=0"}</definedName>
    <definedName name="_7843__FDSAUDITLINK__" localSheetId="6" hidden="1">{"fdsup://directions/FAT Viewer?action=UPDATE&amp;creator=factset&amp;DYN_ARGS=TRUE&amp;DOC_NAME=FAT:FQL_AUDITING_CLIENT_TEMPLATE.FAT&amp;display_string=Audit&amp;VAR:KEY=TIJITUZANC&amp;VAR:QUERY=RkZfRUJJVERBX0lCKCdMVE1TJywzOTY5OCk=&amp;WINDOW=FIRST_POPUP&amp;HEIGHT=450&amp;WIDTH=450&amp;START_MA","XIMIZED=FALSE&amp;VAR:CALENDAR=US&amp;VAR:SYMBOL=G0129K10&amp;VAR:INDEX=0"}</definedName>
    <definedName name="_7843__FDSAUDITLINK__" hidden="1">{"fdsup://directions/FAT Viewer?action=UPDATE&amp;creator=factset&amp;DYN_ARGS=TRUE&amp;DOC_NAME=FAT:FQL_AUDITING_CLIENT_TEMPLATE.FAT&amp;display_string=Audit&amp;VAR:KEY=TIJITUZANC&amp;VAR:QUERY=RkZfRUJJVERBX0lCKCdMVE1TJywzOTY5OCk=&amp;WINDOW=FIRST_POPUP&amp;HEIGHT=450&amp;WIDTH=450&amp;START_MA","XIMIZED=FALSE&amp;VAR:CALENDAR=US&amp;VAR:SYMBOL=G0129K10&amp;VAR:INDEX=0"}</definedName>
    <definedName name="_7844__FDSAUDITLINK__" localSheetId="6" hidden="1">{"fdsup://directions/FAT Viewer?action=UPDATE&amp;creator=factset&amp;DYN_ARGS=TRUE&amp;DOC_NAME=FAT:FQL_AUDITING_CLIENT_TEMPLATE.FAT&amp;display_string=Audit&amp;VAR:KEY=HKHEVMTIVG&amp;VAR:QUERY=RkZfRUJJVERBX0lCKCdMVE1TJywzOTY5Nyk=&amp;WINDOW=FIRST_POPUP&amp;HEIGHT=450&amp;WIDTH=450&amp;START_MA","XIMIZED=FALSE&amp;VAR:CALENDAR=US&amp;VAR:SYMBOL=G0129K10&amp;VAR:INDEX=0"}</definedName>
    <definedName name="_7844__FDSAUDITLINK__" hidden="1">{"fdsup://directions/FAT Viewer?action=UPDATE&amp;creator=factset&amp;DYN_ARGS=TRUE&amp;DOC_NAME=FAT:FQL_AUDITING_CLIENT_TEMPLATE.FAT&amp;display_string=Audit&amp;VAR:KEY=HKHEVMTIVG&amp;VAR:QUERY=RkZfRUJJVERBX0lCKCdMVE1TJywzOTY5Nyk=&amp;WINDOW=FIRST_POPUP&amp;HEIGHT=450&amp;WIDTH=450&amp;START_MA","XIMIZED=FALSE&amp;VAR:CALENDAR=US&amp;VAR:SYMBOL=G0129K10&amp;VAR:INDEX=0"}</definedName>
    <definedName name="_7845__FDSAUDITLINK__" localSheetId="6" hidden="1">{"fdsup://directions/FAT Viewer?action=UPDATE&amp;creator=factset&amp;DYN_ARGS=TRUE&amp;DOC_NAME=FAT:FQL_AUDITING_CLIENT_TEMPLATE.FAT&amp;display_string=Audit&amp;VAR:KEY=NEZULMHWNG&amp;VAR:QUERY=RkZfRUJJVERBX0lCKCdMVE1TJywzOTY5Nik=&amp;WINDOW=FIRST_POPUP&amp;HEIGHT=450&amp;WIDTH=450&amp;START_MA","XIMIZED=FALSE&amp;VAR:CALENDAR=US&amp;VAR:SYMBOL=G0129K10&amp;VAR:INDEX=0"}</definedName>
    <definedName name="_7845__FDSAUDITLINK__" hidden="1">{"fdsup://directions/FAT Viewer?action=UPDATE&amp;creator=factset&amp;DYN_ARGS=TRUE&amp;DOC_NAME=FAT:FQL_AUDITING_CLIENT_TEMPLATE.FAT&amp;display_string=Audit&amp;VAR:KEY=NEZULMHWNG&amp;VAR:QUERY=RkZfRUJJVERBX0lCKCdMVE1TJywzOTY5Nik=&amp;WINDOW=FIRST_POPUP&amp;HEIGHT=450&amp;WIDTH=450&amp;START_MA","XIMIZED=FALSE&amp;VAR:CALENDAR=US&amp;VAR:SYMBOL=G0129K10&amp;VAR:INDEX=0"}</definedName>
    <definedName name="_7846__FDSAUDITLINK__" localSheetId="6" hidden="1">{"fdsup://directions/FAT Viewer?action=UPDATE&amp;creator=factset&amp;DYN_ARGS=TRUE&amp;DOC_NAME=FAT:FQL_AUDITING_CLIENT_TEMPLATE.FAT&amp;display_string=Audit&amp;VAR:KEY=TONWRENYRQ&amp;VAR:QUERY=RkZfRUJJVERBX0lCKCdMVE1TJywzOTY5NSk=&amp;WINDOW=FIRST_POPUP&amp;HEIGHT=450&amp;WIDTH=450&amp;START_MA","XIMIZED=FALSE&amp;VAR:CALENDAR=US&amp;VAR:SYMBOL=G0129K10&amp;VAR:INDEX=0"}</definedName>
    <definedName name="_7846__FDSAUDITLINK__" hidden="1">{"fdsup://directions/FAT Viewer?action=UPDATE&amp;creator=factset&amp;DYN_ARGS=TRUE&amp;DOC_NAME=FAT:FQL_AUDITING_CLIENT_TEMPLATE.FAT&amp;display_string=Audit&amp;VAR:KEY=TONWRENYRQ&amp;VAR:QUERY=RkZfRUJJVERBX0lCKCdMVE1TJywzOTY5NSk=&amp;WINDOW=FIRST_POPUP&amp;HEIGHT=450&amp;WIDTH=450&amp;START_MA","XIMIZED=FALSE&amp;VAR:CALENDAR=US&amp;VAR:SYMBOL=G0129K10&amp;VAR:INDEX=0"}</definedName>
    <definedName name="_7847__FDSAUDITLINK__" localSheetId="6" hidden="1">{"fdsup://directions/FAT Viewer?action=UPDATE&amp;creator=factset&amp;DYN_ARGS=TRUE&amp;DOC_NAME=FAT:FQL_AUDITING_CLIENT_TEMPLATE.FAT&amp;display_string=Audit&amp;VAR:KEY=XUNUZKZMHC&amp;VAR:QUERY=RkZfRUJJVERBX0lCKCdMVE1TJywzOTY5NCk=&amp;WINDOW=FIRST_POPUP&amp;HEIGHT=450&amp;WIDTH=450&amp;START_MA","XIMIZED=FALSE&amp;VAR:CALENDAR=US&amp;VAR:SYMBOL=G0129K10&amp;VAR:INDEX=0"}</definedName>
    <definedName name="_7847__FDSAUDITLINK__" hidden="1">{"fdsup://directions/FAT Viewer?action=UPDATE&amp;creator=factset&amp;DYN_ARGS=TRUE&amp;DOC_NAME=FAT:FQL_AUDITING_CLIENT_TEMPLATE.FAT&amp;display_string=Audit&amp;VAR:KEY=XUNUZKZMHC&amp;VAR:QUERY=RkZfRUJJVERBX0lCKCdMVE1TJywzOTY5NCk=&amp;WINDOW=FIRST_POPUP&amp;HEIGHT=450&amp;WIDTH=450&amp;START_MA","XIMIZED=FALSE&amp;VAR:CALENDAR=US&amp;VAR:SYMBOL=G0129K10&amp;VAR:INDEX=0"}</definedName>
    <definedName name="_7848__FDSAUDITLINK__" localSheetId="6" hidden="1">{"fdsup://directions/FAT Viewer?action=UPDATE&amp;creator=factset&amp;DYN_ARGS=TRUE&amp;DOC_NAME=FAT:FQL_AUDITING_CLIENT_TEMPLATE.FAT&amp;display_string=Audit&amp;VAR:KEY=ZEXKLOFGRO&amp;VAR:QUERY=RkZfRUJJVERBX0lCKCdMVE1TJywzOTY5Myk=&amp;WINDOW=FIRST_POPUP&amp;HEIGHT=450&amp;WIDTH=450&amp;START_MA","XIMIZED=FALSE&amp;VAR:CALENDAR=US&amp;VAR:SYMBOL=G0129K10&amp;VAR:INDEX=0"}</definedName>
    <definedName name="_7848__FDSAUDITLINK__" hidden="1">{"fdsup://directions/FAT Viewer?action=UPDATE&amp;creator=factset&amp;DYN_ARGS=TRUE&amp;DOC_NAME=FAT:FQL_AUDITING_CLIENT_TEMPLATE.FAT&amp;display_string=Audit&amp;VAR:KEY=ZEXKLOFGRO&amp;VAR:QUERY=RkZfRUJJVERBX0lCKCdMVE1TJywzOTY5Myk=&amp;WINDOW=FIRST_POPUP&amp;HEIGHT=450&amp;WIDTH=450&amp;START_MA","XIMIZED=FALSE&amp;VAR:CALENDAR=US&amp;VAR:SYMBOL=G0129K10&amp;VAR:INDEX=0"}</definedName>
    <definedName name="_7849__FDSAUDITLINK__" localSheetId="6" hidden="1">{"fdsup://directions/FAT Viewer?action=UPDATE&amp;creator=factset&amp;DYN_ARGS=TRUE&amp;DOC_NAME=FAT:FQL_AUDITING_CLIENT_TEMPLATE.FAT&amp;display_string=Audit&amp;VAR:KEY=XKTKVMNYPC&amp;VAR:QUERY=RkZfRUJJVERBX0lCKCdMVE1TJywzOTY5Mik=&amp;WINDOW=FIRST_POPUP&amp;HEIGHT=450&amp;WIDTH=450&amp;START_MA","XIMIZED=FALSE&amp;VAR:CALENDAR=US&amp;VAR:SYMBOL=G0129K10&amp;VAR:INDEX=0"}</definedName>
    <definedName name="_7849__FDSAUDITLINK__" hidden="1">{"fdsup://directions/FAT Viewer?action=UPDATE&amp;creator=factset&amp;DYN_ARGS=TRUE&amp;DOC_NAME=FAT:FQL_AUDITING_CLIENT_TEMPLATE.FAT&amp;display_string=Audit&amp;VAR:KEY=XKTKVMNYPC&amp;VAR:QUERY=RkZfRUJJVERBX0lCKCdMVE1TJywzOTY5Mik=&amp;WINDOW=FIRST_POPUP&amp;HEIGHT=450&amp;WIDTH=450&amp;START_MA","XIMIZED=FALSE&amp;VAR:CALENDAR=US&amp;VAR:SYMBOL=G0129K10&amp;VAR:INDEX=0"}</definedName>
    <definedName name="_785__FDSAUDITLINK__" localSheetId="6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5__FDSAUDITLINK__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50__FDSAUDITLINK__" localSheetId="6" hidden="1">{"fdsup://directions/FAT Viewer?action=UPDATE&amp;creator=factset&amp;DYN_ARGS=TRUE&amp;DOC_NAME=FAT:FQL_AUDITING_CLIENT_TEMPLATE.FAT&amp;display_string=Audit&amp;VAR:KEY=XYNIJMPARA&amp;VAR:QUERY=RkZfRUJJVERBX0lCKCdMVE1TJywzOTY5MSk=&amp;WINDOW=FIRST_POPUP&amp;HEIGHT=450&amp;WIDTH=450&amp;START_MA","XIMIZED=FALSE&amp;VAR:CALENDAR=US&amp;VAR:SYMBOL=G0129K10&amp;VAR:INDEX=0"}</definedName>
    <definedName name="_7850__FDSAUDITLINK__" hidden="1">{"fdsup://directions/FAT Viewer?action=UPDATE&amp;creator=factset&amp;DYN_ARGS=TRUE&amp;DOC_NAME=FAT:FQL_AUDITING_CLIENT_TEMPLATE.FAT&amp;display_string=Audit&amp;VAR:KEY=XYNIJMPARA&amp;VAR:QUERY=RkZfRUJJVERBX0lCKCdMVE1TJywzOTY5MSk=&amp;WINDOW=FIRST_POPUP&amp;HEIGHT=450&amp;WIDTH=450&amp;START_MA","XIMIZED=FALSE&amp;VAR:CALENDAR=US&amp;VAR:SYMBOL=G0129K10&amp;VAR:INDEX=0"}</definedName>
    <definedName name="_7851__FDSAUDITLINK__" localSheetId="6" hidden="1">{"fdsup://directions/FAT Viewer?action=UPDATE&amp;creator=factset&amp;DYN_ARGS=TRUE&amp;DOC_NAME=FAT:FQL_AUDITING_CLIENT_TEMPLATE.FAT&amp;display_string=Audit&amp;VAR:KEY=DIZGVGJQBU&amp;VAR:QUERY=RkZfRUJJVERBX0lCKCdMVE1TJywzOTY5MCk=&amp;WINDOW=FIRST_POPUP&amp;HEIGHT=450&amp;WIDTH=450&amp;START_MA","XIMIZED=FALSE&amp;VAR:CALENDAR=US&amp;VAR:SYMBOL=G0129K10&amp;VAR:INDEX=0"}</definedName>
    <definedName name="_7851__FDSAUDITLINK__" hidden="1">{"fdsup://directions/FAT Viewer?action=UPDATE&amp;creator=factset&amp;DYN_ARGS=TRUE&amp;DOC_NAME=FAT:FQL_AUDITING_CLIENT_TEMPLATE.FAT&amp;display_string=Audit&amp;VAR:KEY=DIZGVGJQBU&amp;VAR:QUERY=RkZfRUJJVERBX0lCKCdMVE1TJywzOTY5MCk=&amp;WINDOW=FIRST_POPUP&amp;HEIGHT=450&amp;WIDTH=450&amp;START_MA","XIMIZED=FALSE&amp;VAR:CALENDAR=US&amp;VAR:SYMBOL=G0129K10&amp;VAR:INDEX=0"}</definedName>
    <definedName name="_7852__FDSAUDITLINK__" localSheetId="6" hidden="1">{"fdsup://directions/FAT Viewer?action=UPDATE&amp;creator=factset&amp;DYN_ARGS=TRUE&amp;DOC_NAME=FAT:FQL_AUDITING_CLIENT_TEMPLATE.FAT&amp;display_string=Audit&amp;VAR:KEY=ZEVYFQNMPU&amp;VAR:QUERY=RkZfRUJJVERBX0lCKCdMVE1TJywzOTY4OSk=&amp;WINDOW=FIRST_POPUP&amp;HEIGHT=450&amp;WIDTH=450&amp;START_MA","XIMIZED=FALSE&amp;VAR:CALENDAR=US&amp;VAR:SYMBOL=G0129K10&amp;VAR:INDEX=0"}</definedName>
    <definedName name="_7852__FDSAUDITLINK__" hidden="1">{"fdsup://directions/FAT Viewer?action=UPDATE&amp;creator=factset&amp;DYN_ARGS=TRUE&amp;DOC_NAME=FAT:FQL_AUDITING_CLIENT_TEMPLATE.FAT&amp;display_string=Audit&amp;VAR:KEY=ZEVYFQNMPU&amp;VAR:QUERY=RkZfRUJJVERBX0lCKCdMVE1TJywzOTY4OSk=&amp;WINDOW=FIRST_POPUP&amp;HEIGHT=450&amp;WIDTH=450&amp;START_MA","XIMIZED=FALSE&amp;VAR:CALENDAR=US&amp;VAR:SYMBOL=G0129K10&amp;VAR:INDEX=0"}</definedName>
    <definedName name="_7853__FDSAUDITLINK__" localSheetId="6" hidden="1">{"fdsup://directions/FAT Viewer?action=UPDATE&amp;creator=factset&amp;DYN_ARGS=TRUE&amp;DOC_NAME=FAT:FQL_AUDITING_CLIENT_TEMPLATE.FAT&amp;display_string=Audit&amp;VAR:KEY=JYZEXQVQHG&amp;VAR:QUERY=RkZfRUJJVERBX0lCKCdMVE1TJywzOTY4OCk=&amp;WINDOW=FIRST_POPUP&amp;HEIGHT=450&amp;WIDTH=450&amp;START_MA","XIMIZED=FALSE&amp;VAR:CALENDAR=US&amp;VAR:SYMBOL=G0129K10&amp;VAR:INDEX=0"}</definedName>
    <definedName name="_7853__FDSAUDITLINK__" hidden="1">{"fdsup://directions/FAT Viewer?action=UPDATE&amp;creator=factset&amp;DYN_ARGS=TRUE&amp;DOC_NAME=FAT:FQL_AUDITING_CLIENT_TEMPLATE.FAT&amp;display_string=Audit&amp;VAR:KEY=JYZEXQVQHG&amp;VAR:QUERY=RkZfRUJJVERBX0lCKCdMVE1TJywzOTY4OCk=&amp;WINDOW=FIRST_POPUP&amp;HEIGHT=450&amp;WIDTH=450&amp;START_MA","XIMIZED=FALSE&amp;VAR:CALENDAR=US&amp;VAR:SYMBOL=G0129K10&amp;VAR:INDEX=0"}</definedName>
    <definedName name="_7854__FDSAUDITLINK__" localSheetId="6" hidden="1">{"fdsup://directions/FAT Viewer?action=UPDATE&amp;creator=factset&amp;DYN_ARGS=TRUE&amp;DOC_NAME=FAT:FQL_AUDITING_CLIENT_TEMPLATE.FAT&amp;display_string=Audit&amp;VAR:KEY=PWTCVGVYLK&amp;VAR:QUERY=RkZfRUJJVERBX0lCKCdMVE1TJywzOTY4Nyk=&amp;WINDOW=FIRST_POPUP&amp;HEIGHT=450&amp;WIDTH=450&amp;START_MA","XIMIZED=FALSE&amp;VAR:CALENDAR=US&amp;VAR:SYMBOL=G0129K10&amp;VAR:INDEX=0"}</definedName>
    <definedName name="_7854__FDSAUDITLINK__" hidden="1">{"fdsup://directions/FAT Viewer?action=UPDATE&amp;creator=factset&amp;DYN_ARGS=TRUE&amp;DOC_NAME=FAT:FQL_AUDITING_CLIENT_TEMPLATE.FAT&amp;display_string=Audit&amp;VAR:KEY=PWTCVGVYLK&amp;VAR:QUERY=RkZfRUJJVERBX0lCKCdMVE1TJywzOTY4Nyk=&amp;WINDOW=FIRST_POPUP&amp;HEIGHT=450&amp;WIDTH=450&amp;START_MA","XIMIZED=FALSE&amp;VAR:CALENDAR=US&amp;VAR:SYMBOL=G0129K10&amp;VAR:INDEX=0"}</definedName>
    <definedName name="_7855__FDSAUDITLINK__" localSheetId="6" hidden="1">{"fdsup://directions/FAT Viewer?action=UPDATE&amp;creator=factset&amp;DYN_ARGS=TRUE&amp;DOC_NAME=FAT:FQL_AUDITING_CLIENT_TEMPLATE.FAT&amp;display_string=Audit&amp;VAR:KEY=RWVKTWXSFQ&amp;VAR:QUERY=RkZfRUJJVERBX0lCKCdMVE1TJywzOTY4Nik=&amp;WINDOW=FIRST_POPUP&amp;HEIGHT=450&amp;WIDTH=450&amp;START_MA","XIMIZED=FALSE&amp;VAR:CALENDAR=US&amp;VAR:SYMBOL=G0129K10&amp;VAR:INDEX=0"}</definedName>
    <definedName name="_7855__FDSAUDITLINK__" hidden="1">{"fdsup://directions/FAT Viewer?action=UPDATE&amp;creator=factset&amp;DYN_ARGS=TRUE&amp;DOC_NAME=FAT:FQL_AUDITING_CLIENT_TEMPLATE.FAT&amp;display_string=Audit&amp;VAR:KEY=RWVKTWXSFQ&amp;VAR:QUERY=RkZfRUJJVERBX0lCKCdMVE1TJywzOTY4Nik=&amp;WINDOW=FIRST_POPUP&amp;HEIGHT=450&amp;WIDTH=450&amp;START_MA","XIMIZED=FALSE&amp;VAR:CALENDAR=US&amp;VAR:SYMBOL=G0129K10&amp;VAR:INDEX=0"}</definedName>
    <definedName name="_7856__FDSAUDITLINK__" localSheetId="6" hidden="1">{"fdsup://directions/FAT Viewer?action=UPDATE&amp;creator=factset&amp;DYN_ARGS=TRUE&amp;DOC_NAME=FAT:FQL_AUDITING_CLIENT_TEMPLATE.FAT&amp;display_string=Audit&amp;VAR:KEY=ZYBUDWDARU&amp;VAR:QUERY=RkZfRUJJVERBX0lCKCdMVE1TJywzOTY4NSk=&amp;WINDOW=FIRST_POPUP&amp;HEIGHT=450&amp;WIDTH=450&amp;START_MA","XIMIZED=FALSE&amp;VAR:CALENDAR=US&amp;VAR:SYMBOL=G0129K10&amp;VAR:INDEX=0"}</definedName>
    <definedName name="_7856__FDSAUDITLINK__" hidden="1">{"fdsup://directions/FAT Viewer?action=UPDATE&amp;creator=factset&amp;DYN_ARGS=TRUE&amp;DOC_NAME=FAT:FQL_AUDITING_CLIENT_TEMPLATE.FAT&amp;display_string=Audit&amp;VAR:KEY=ZYBUDWDARU&amp;VAR:QUERY=RkZfRUJJVERBX0lCKCdMVE1TJywzOTY4NSk=&amp;WINDOW=FIRST_POPUP&amp;HEIGHT=450&amp;WIDTH=450&amp;START_MA","XIMIZED=FALSE&amp;VAR:CALENDAR=US&amp;VAR:SYMBOL=G0129K10&amp;VAR:INDEX=0"}</definedName>
    <definedName name="_7857__FDSAUDITLINK__" localSheetId="6" hidden="1">{"fdsup://directions/FAT Viewer?action=UPDATE&amp;creator=factset&amp;DYN_ARGS=TRUE&amp;DOC_NAME=FAT:FQL_AUDITING_CLIENT_TEMPLATE.FAT&amp;display_string=Audit&amp;VAR:KEY=LAZWDCZMRM&amp;VAR:QUERY=RkZfRUJJVERBX0lCKCdMVE1TJywzOTY4NCk=&amp;WINDOW=FIRST_POPUP&amp;HEIGHT=450&amp;WIDTH=450&amp;START_MA","XIMIZED=FALSE&amp;VAR:CALENDAR=US&amp;VAR:SYMBOL=G0129K10&amp;VAR:INDEX=0"}</definedName>
    <definedName name="_7857__FDSAUDITLINK__" hidden="1">{"fdsup://directions/FAT Viewer?action=UPDATE&amp;creator=factset&amp;DYN_ARGS=TRUE&amp;DOC_NAME=FAT:FQL_AUDITING_CLIENT_TEMPLATE.FAT&amp;display_string=Audit&amp;VAR:KEY=LAZWDCZMRM&amp;VAR:QUERY=RkZfRUJJVERBX0lCKCdMVE1TJywzOTY4NCk=&amp;WINDOW=FIRST_POPUP&amp;HEIGHT=450&amp;WIDTH=450&amp;START_MA","XIMIZED=FALSE&amp;VAR:CALENDAR=US&amp;VAR:SYMBOL=G0129K10&amp;VAR:INDEX=0"}</definedName>
    <definedName name="_7858__FDSAUDITLINK__" localSheetId="6" hidden="1">{"fdsup://directions/FAT Viewer?action=UPDATE&amp;creator=factset&amp;DYN_ARGS=TRUE&amp;DOC_NAME=FAT:FQL_AUDITING_CLIENT_TEMPLATE.FAT&amp;display_string=Audit&amp;VAR:KEY=JGBKJEXWPM&amp;VAR:QUERY=RkZfRUJJVERBX0lCKCdMVE1TJywzOTY4Myk=&amp;WINDOW=FIRST_POPUP&amp;HEIGHT=450&amp;WIDTH=450&amp;START_MA","XIMIZED=FALSE&amp;VAR:CALENDAR=US&amp;VAR:SYMBOL=G0129K10&amp;VAR:INDEX=0"}</definedName>
    <definedName name="_7858__FDSAUDITLINK__" hidden="1">{"fdsup://directions/FAT Viewer?action=UPDATE&amp;creator=factset&amp;DYN_ARGS=TRUE&amp;DOC_NAME=FAT:FQL_AUDITING_CLIENT_TEMPLATE.FAT&amp;display_string=Audit&amp;VAR:KEY=JGBKJEXWPM&amp;VAR:QUERY=RkZfRUJJVERBX0lCKCdMVE1TJywzOTY4Myk=&amp;WINDOW=FIRST_POPUP&amp;HEIGHT=450&amp;WIDTH=450&amp;START_MA","XIMIZED=FALSE&amp;VAR:CALENDAR=US&amp;VAR:SYMBOL=G0129K10&amp;VAR:INDEX=0"}</definedName>
    <definedName name="_7859__FDSAUDITLINK__" localSheetId="6" hidden="1">{"fdsup://directions/FAT Viewer?action=UPDATE&amp;creator=factset&amp;DYN_ARGS=TRUE&amp;DOC_NAME=FAT:FQL_AUDITING_CLIENT_TEMPLATE.FAT&amp;display_string=Audit&amp;VAR:KEY=PSXURSVQPM&amp;VAR:QUERY=RkZfRUJJVERBX0lCKCdMVE1TJywzOTY4Mik=&amp;WINDOW=FIRST_POPUP&amp;HEIGHT=450&amp;WIDTH=450&amp;START_MA","XIMIZED=FALSE&amp;VAR:CALENDAR=US&amp;VAR:SYMBOL=G0129K10&amp;VAR:INDEX=0"}</definedName>
    <definedName name="_7859__FDSAUDITLINK__" hidden="1">{"fdsup://directions/FAT Viewer?action=UPDATE&amp;creator=factset&amp;DYN_ARGS=TRUE&amp;DOC_NAME=FAT:FQL_AUDITING_CLIENT_TEMPLATE.FAT&amp;display_string=Audit&amp;VAR:KEY=PSXURSVQPM&amp;VAR:QUERY=RkZfRUJJVERBX0lCKCdMVE1TJywzOTY4Mik=&amp;WINDOW=FIRST_POPUP&amp;HEIGHT=450&amp;WIDTH=450&amp;START_MA","XIMIZED=FALSE&amp;VAR:CALENDAR=US&amp;VAR:SYMBOL=G0129K10&amp;VAR:INDEX=0"}</definedName>
    <definedName name="_786__FDSAUDITLINK__" localSheetId="6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6__FDSAUDITLINK__" hidden="1">{"fdsup://directions/FAT%20Viewer?VAR:PED=LTM&amp;VAR:AUDIT_MODE=SUMMARY&amp;VAR:PERIOD=FIXED&amp;VAR:AUDIT_ID=00000117&amp;VAR:DATE=20071228&amp;action=UPDATE&amp;creator=factset&amp;DOC_NAME=FAT:FMA_audit_SUMMARY.fat&amp;DISPLAY_STRING=Display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60__FDSAUDITLINK__" localSheetId="6" hidden="1">{"fdsup://directions/FAT Viewer?action=UPDATE&amp;creator=factset&amp;DYN_ARGS=TRUE&amp;DOC_NAME=FAT:FQL_AUDITING_CLIENT_TEMPLATE.FAT&amp;display_string=Audit&amp;VAR:KEY=PEXMXQPUTS&amp;VAR:QUERY=RkZfRUJJVERBX0lCKCdMVE1TJywzOTY4MSk=&amp;WINDOW=FIRST_POPUP&amp;HEIGHT=450&amp;WIDTH=450&amp;START_MA","XIMIZED=FALSE&amp;VAR:CALENDAR=US&amp;VAR:SYMBOL=G0129K10&amp;VAR:INDEX=0"}</definedName>
    <definedName name="_7860__FDSAUDITLINK__" hidden="1">{"fdsup://directions/FAT Viewer?action=UPDATE&amp;creator=factset&amp;DYN_ARGS=TRUE&amp;DOC_NAME=FAT:FQL_AUDITING_CLIENT_TEMPLATE.FAT&amp;display_string=Audit&amp;VAR:KEY=PEXMXQPUTS&amp;VAR:QUERY=RkZfRUJJVERBX0lCKCdMVE1TJywzOTY4MSk=&amp;WINDOW=FIRST_POPUP&amp;HEIGHT=450&amp;WIDTH=450&amp;START_MA","XIMIZED=FALSE&amp;VAR:CALENDAR=US&amp;VAR:SYMBOL=G0129K10&amp;VAR:INDEX=0"}</definedName>
    <definedName name="_7861__FDSAUDITLINK__" localSheetId="6" hidden="1">{"fdsup://directions/FAT Viewer?action=UPDATE&amp;creator=factset&amp;DYN_ARGS=TRUE&amp;DOC_NAME=FAT:FQL_AUDITING_CLIENT_TEMPLATE.FAT&amp;display_string=Audit&amp;VAR:KEY=XGBUNENWHQ&amp;VAR:QUERY=RkZfRUJJVERBX0lCKCdMVE1TJywzOTY4MCk=&amp;WINDOW=FIRST_POPUP&amp;HEIGHT=450&amp;WIDTH=450&amp;START_MA","XIMIZED=FALSE&amp;VAR:CALENDAR=US&amp;VAR:SYMBOL=G0129K10&amp;VAR:INDEX=0"}</definedName>
    <definedName name="_7861__FDSAUDITLINK__" hidden="1">{"fdsup://directions/FAT Viewer?action=UPDATE&amp;creator=factset&amp;DYN_ARGS=TRUE&amp;DOC_NAME=FAT:FQL_AUDITING_CLIENT_TEMPLATE.FAT&amp;display_string=Audit&amp;VAR:KEY=XGBUNENWHQ&amp;VAR:QUERY=RkZfRUJJVERBX0lCKCdMVE1TJywzOTY4MCk=&amp;WINDOW=FIRST_POPUP&amp;HEIGHT=450&amp;WIDTH=450&amp;START_MA","XIMIZED=FALSE&amp;VAR:CALENDAR=US&amp;VAR:SYMBOL=G0129K10&amp;VAR:INDEX=0"}</definedName>
    <definedName name="_7862__FDSAUDITLINK__" localSheetId="6" hidden="1">{"fdsup://directions/FAT Viewer?action=UPDATE&amp;creator=factset&amp;DYN_ARGS=TRUE&amp;DOC_NAME=FAT:FQL_AUDITING_CLIENT_TEMPLATE.FAT&amp;display_string=Audit&amp;VAR:KEY=TQNWTQXGJQ&amp;VAR:QUERY=RkZfRUJJVERBX0lCKCdMVE1TJywzOTY3OSk=&amp;WINDOW=FIRST_POPUP&amp;HEIGHT=450&amp;WIDTH=450&amp;START_MA","XIMIZED=FALSE&amp;VAR:CALENDAR=US&amp;VAR:SYMBOL=G0129K10&amp;VAR:INDEX=0"}</definedName>
    <definedName name="_7862__FDSAUDITLINK__" hidden="1">{"fdsup://directions/FAT Viewer?action=UPDATE&amp;creator=factset&amp;DYN_ARGS=TRUE&amp;DOC_NAME=FAT:FQL_AUDITING_CLIENT_TEMPLATE.FAT&amp;display_string=Audit&amp;VAR:KEY=TQNWTQXGJQ&amp;VAR:QUERY=RkZfRUJJVERBX0lCKCdMVE1TJywzOTY3OSk=&amp;WINDOW=FIRST_POPUP&amp;HEIGHT=450&amp;WIDTH=450&amp;START_MA","XIMIZED=FALSE&amp;VAR:CALENDAR=US&amp;VAR:SYMBOL=G0129K10&amp;VAR:INDEX=0"}</definedName>
    <definedName name="_7863__FDSAUDITLINK__" localSheetId="6" hidden="1">{"fdsup://directions/FAT Viewer?action=UPDATE&amp;creator=factset&amp;DYN_ARGS=TRUE&amp;DOC_NAME=FAT:FQL_AUDITING_CLIENT_TEMPLATE.FAT&amp;display_string=Audit&amp;VAR:KEY=XUPAXONQHS&amp;VAR:QUERY=RkZfRUJJVERBX0lCKCdMVE1TJywzOTY3OCk=&amp;WINDOW=FIRST_POPUP&amp;HEIGHT=450&amp;WIDTH=450&amp;START_MA","XIMIZED=FALSE&amp;VAR:CALENDAR=US&amp;VAR:SYMBOL=G0129K10&amp;VAR:INDEX=0"}</definedName>
    <definedName name="_7863__FDSAUDITLINK__" hidden="1">{"fdsup://directions/FAT Viewer?action=UPDATE&amp;creator=factset&amp;DYN_ARGS=TRUE&amp;DOC_NAME=FAT:FQL_AUDITING_CLIENT_TEMPLATE.FAT&amp;display_string=Audit&amp;VAR:KEY=XUPAXONQHS&amp;VAR:QUERY=RkZfRUJJVERBX0lCKCdMVE1TJywzOTY3OCk=&amp;WINDOW=FIRST_POPUP&amp;HEIGHT=450&amp;WIDTH=450&amp;START_MA","XIMIZED=FALSE&amp;VAR:CALENDAR=US&amp;VAR:SYMBOL=G0129K10&amp;VAR:INDEX=0"}</definedName>
    <definedName name="_7864__FDSAUDITLINK__" localSheetId="6" hidden="1">{"fdsup://directions/FAT Viewer?action=UPDATE&amp;creator=factset&amp;DYN_ARGS=TRUE&amp;DOC_NAME=FAT:FQL_AUDITING_CLIENT_TEMPLATE.FAT&amp;display_string=Audit&amp;VAR:KEY=XADELSZIJC&amp;VAR:QUERY=RkZfRUJJVERBX0lCKCdMVE1TJywzOTY3Nyk=&amp;WINDOW=FIRST_POPUP&amp;HEIGHT=450&amp;WIDTH=450&amp;START_MA","XIMIZED=FALSE&amp;VAR:CALENDAR=US&amp;VAR:SYMBOL=G0129K10&amp;VAR:INDEX=0"}</definedName>
    <definedName name="_7864__FDSAUDITLINK__" hidden="1">{"fdsup://directions/FAT Viewer?action=UPDATE&amp;creator=factset&amp;DYN_ARGS=TRUE&amp;DOC_NAME=FAT:FQL_AUDITING_CLIENT_TEMPLATE.FAT&amp;display_string=Audit&amp;VAR:KEY=XADELSZIJC&amp;VAR:QUERY=RkZfRUJJVERBX0lCKCdMVE1TJywzOTY3Nyk=&amp;WINDOW=FIRST_POPUP&amp;HEIGHT=450&amp;WIDTH=450&amp;START_MA","XIMIZED=FALSE&amp;VAR:CALENDAR=US&amp;VAR:SYMBOL=G0129K10&amp;VAR:INDEX=0"}</definedName>
    <definedName name="_7865__FDSAUDITLINK__" localSheetId="6" hidden="1">{"fdsup://directions/FAT Viewer?action=UPDATE&amp;creator=factset&amp;DYN_ARGS=TRUE&amp;DOC_NAME=FAT:FQL_AUDITING_CLIENT_TEMPLATE.FAT&amp;display_string=Audit&amp;VAR:KEY=HIXKNANGTU&amp;VAR:QUERY=RkZfRUJJVERBX0lCKCdMVE1TJywzOTY3Nik=&amp;WINDOW=FIRST_POPUP&amp;HEIGHT=450&amp;WIDTH=450&amp;START_MA","XIMIZED=FALSE&amp;VAR:CALENDAR=US&amp;VAR:SYMBOL=G0129K10&amp;VAR:INDEX=0"}</definedName>
    <definedName name="_7865__FDSAUDITLINK__" hidden="1">{"fdsup://directions/FAT Viewer?action=UPDATE&amp;creator=factset&amp;DYN_ARGS=TRUE&amp;DOC_NAME=FAT:FQL_AUDITING_CLIENT_TEMPLATE.FAT&amp;display_string=Audit&amp;VAR:KEY=HIXKNANGTU&amp;VAR:QUERY=RkZfRUJJVERBX0lCKCdMVE1TJywzOTY3Nik=&amp;WINDOW=FIRST_POPUP&amp;HEIGHT=450&amp;WIDTH=450&amp;START_MA","XIMIZED=FALSE&amp;VAR:CALENDAR=US&amp;VAR:SYMBOL=G0129K10&amp;VAR:INDEX=0"}</definedName>
    <definedName name="_7866__FDSAUDITLINK__" localSheetId="6" hidden="1">{"fdsup://directions/FAT Viewer?action=UPDATE&amp;creator=factset&amp;DYN_ARGS=TRUE&amp;DOC_NAME=FAT:FQL_AUDITING_CLIENT_TEMPLATE.FAT&amp;display_string=Audit&amp;VAR:KEY=DUXKNAHITU&amp;VAR:QUERY=RkZfRUJJVERBX0lCKCdMVE1TJywzOTY3NSk=&amp;WINDOW=FIRST_POPUP&amp;HEIGHT=450&amp;WIDTH=450&amp;START_MA","XIMIZED=FALSE&amp;VAR:CALENDAR=US&amp;VAR:SYMBOL=G0129K10&amp;VAR:INDEX=0"}</definedName>
    <definedName name="_7866__FDSAUDITLINK__" hidden="1">{"fdsup://directions/FAT Viewer?action=UPDATE&amp;creator=factset&amp;DYN_ARGS=TRUE&amp;DOC_NAME=FAT:FQL_AUDITING_CLIENT_TEMPLATE.FAT&amp;display_string=Audit&amp;VAR:KEY=DUXKNAHITU&amp;VAR:QUERY=RkZfRUJJVERBX0lCKCdMVE1TJywzOTY3NSk=&amp;WINDOW=FIRST_POPUP&amp;HEIGHT=450&amp;WIDTH=450&amp;START_MA","XIMIZED=FALSE&amp;VAR:CALENDAR=US&amp;VAR:SYMBOL=G0129K10&amp;VAR:INDEX=0"}</definedName>
    <definedName name="_7867__FDSAUDITLINK__" localSheetId="6" hidden="1">{"fdsup://directions/FAT Viewer?action=UPDATE&amp;creator=factset&amp;DYN_ARGS=TRUE&amp;DOC_NAME=FAT:FQL_AUDITING_CLIENT_TEMPLATE.FAT&amp;display_string=Audit&amp;VAR:KEY=FMVUHAXYRY&amp;VAR:QUERY=RkZfRUJJVERBX0lCKCdMVE1TJywzOTY3NCk=&amp;WINDOW=FIRST_POPUP&amp;HEIGHT=450&amp;WIDTH=450&amp;START_MA","XIMIZED=FALSE&amp;VAR:CALENDAR=US&amp;VAR:SYMBOL=G0129K10&amp;VAR:INDEX=0"}</definedName>
    <definedName name="_7867__FDSAUDITLINK__" hidden="1">{"fdsup://directions/FAT Viewer?action=UPDATE&amp;creator=factset&amp;DYN_ARGS=TRUE&amp;DOC_NAME=FAT:FQL_AUDITING_CLIENT_TEMPLATE.FAT&amp;display_string=Audit&amp;VAR:KEY=FMVUHAXYRY&amp;VAR:QUERY=RkZfRUJJVERBX0lCKCdMVE1TJywzOTY3NCk=&amp;WINDOW=FIRST_POPUP&amp;HEIGHT=450&amp;WIDTH=450&amp;START_MA","XIMIZED=FALSE&amp;VAR:CALENDAR=US&amp;VAR:SYMBOL=G0129K10&amp;VAR:INDEX=0"}</definedName>
    <definedName name="_7868__FDSAUDITLINK__" localSheetId="6" hidden="1">{"fdsup://directions/FAT Viewer?action=UPDATE&amp;creator=factset&amp;DYN_ARGS=TRUE&amp;DOC_NAME=FAT:FQL_AUDITING_CLIENT_TEMPLATE.FAT&amp;display_string=Audit&amp;VAR:KEY=PIBSNYZYJC&amp;VAR:QUERY=RkZfRUJJVERBX0lCKCdMVE1TJywzOTY3Myk=&amp;WINDOW=FIRST_POPUP&amp;HEIGHT=450&amp;WIDTH=450&amp;START_MA","XIMIZED=FALSE&amp;VAR:CALENDAR=US&amp;VAR:SYMBOL=G0129K10&amp;VAR:INDEX=0"}</definedName>
    <definedName name="_7868__FDSAUDITLINK__" hidden="1">{"fdsup://directions/FAT Viewer?action=UPDATE&amp;creator=factset&amp;DYN_ARGS=TRUE&amp;DOC_NAME=FAT:FQL_AUDITING_CLIENT_TEMPLATE.FAT&amp;display_string=Audit&amp;VAR:KEY=PIBSNYZYJC&amp;VAR:QUERY=RkZfRUJJVERBX0lCKCdMVE1TJywzOTY3Myk=&amp;WINDOW=FIRST_POPUP&amp;HEIGHT=450&amp;WIDTH=450&amp;START_MA","XIMIZED=FALSE&amp;VAR:CALENDAR=US&amp;VAR:SYMBOL=G0129K10&amp;VAR:INDEX=0"}</definedName>
    <definedName name="_7869__FDSAUDITLINK__" localSheetId="6" hidden="1">{"fdsup://directions/FAT Viewer?action=UPDATE&amp;creator=factset&amp;DYN_ARGS=TRUE&amp;DOC_NAME=FAT:FQL_AUDITING_CLIENT_TEMPLATE.FAT&amp;display_string=Audit&amp;VAR:KEY=PANWZWLUDO&amp;VAR:QUERY=RkZfRUJJVERBX0lCKCdMVE1TJywzOTY3Mik=&amp;WINDOW=FIRST_POPUP&amp;HEIGHT=450&amp;WIDTH=450&amp;START_MA","XIMIZED=FALSE&amp;VAR:CALENDAR=US&amp;VAR:SYMBOL=G0129K10&amp;VAR:INDEX=0"}</definedName>
    <definedName name="_7869__FDSAUDITLINK__" hidden="1">{"fdsup://directions/FAT Viewer?action=UPDATE&amp;creator=factset&amp;DYN_ARGS=TRUE&amp;DOC_NAME=FAT:FQL_AUDITING_CLIENT_TEMPLATE.FAT&amp;display_string=Audit&amp;VAR:KEY=PANWZWLUDO&amp;VAR:QUERY=RkZfRUJJVERBX0lCKCdMVE1TJywzOTY3Mik=&amp;WINDOW=FIRST_POPUP&amp;HEIGHT=450&amp;WIDTH=450&amp;START_MA","XIMIZED=FALSE&amp;VAR:CALENDAR=US&amp;VAR:SYMBOL=G0129K10&amp;VAR:INDEX=0"}</definedName>
    <definedName name="_787__FDSAUDITLINK__" localSheetId="6" hidden="1">{"fdsup://directions/FAT%20Viewer?VAR:PED=LTM&amp;VAR:AUDIT_MODE=SUMMARY&amp;VAR:PERIOD=FIXED&amp;VAR:AUDIT_ID=00000117&amp;VAR:DATE=20071227&amp;action=UPDATE&amp;creator=factset&amp;DOC_NAME=FAT:FMA_audit_SUMMARY.fat&amp;DISPLAY_STRING=Display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7__FDSAUDITLINK__" hidden="1">{"fdsup://directions/FAT%20Viewer?VAR:PED=LTM&amp;VAR:AUDIT_MODE=SUMMARY&amp;VAR:PERIOD=FIXED&amp;VAR:AUDIT_ID=00000117&amp;VAR:DATE=20071227&amp;action=UPDATE&amp;creator=factset&amp;DOC_NAME=FAT:FMA_audit_SUMMARY.fat&amp;DISPLAY_STRING=Display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70__FDSAUDITLINK__" localSheetId="6" hidden="1">{"fdsup://directions/FAT Viewer?action=UPDATE&amp;creator=factset&amp;DYN_ARGS=TRUE&amp;DOC_NAME=FAT:FQL_AUDITING_CLIENT_TEMPLATE.FAT&amp;display_string=Audit&amp;VAR:KEY=XKVAFYRKBC&amp;VAR:QUERY=RkZfRUJJVERBX0lCKCdMVE1TJywzOTY3MSk=&amp;WINDOW=FIRST_POPUP&amp;HEIGHT=450&amp;WIDTH=450&amp;START_MA","XIMIZED=FALSE&amp;VAR:CALENDAR=US&amp;VAR:SYMBOL=G0129K10&amp;VAR:INDEX=0"}</definedName>
    <definedName name="_7870__FDSAUDITLINK__" hidden="1">{"fdsup://directions/FAT Viewer?action=UPDATE&amp;creator=factset&amp;DYN_ARGS=TRUE&amp;DOC_NAME=FAT:FQL_AUDITING_CLIENT_TEMPLATE.FAT&amp;display_string=Audit&amp;VAR:KEY=XKVAFYRKBC&amp;VAR:QUERY=RkZfRUJJVERBX0lCKCdMVE1TJywzOTY3MSk=&amp;WINDOW=FIRST_POPUP&amp;HEIGHT=450&amp;WIDTH=450&amp;START_MA","XIMIZED=FALSE&amp;VAR:CALENDAR=US&amp;VAR:SYMBOL=G0129K10&amp;VAR:INDEX=0"}</definedName>
    <definedName name="_7871__FDSAUDITLINK__" localSheetId="6" hidden="1">{"fdsup://directions/FAT Viewer?action=UPDATE&amp;creator=factset&amp;DYN_ARGS=TRUE&amp;DOC_NAME=FAT:FQL_AUDITING_CLIENT_TEMPLATE.FAT&amp;display_string=Audit&amp;VAR:KEY=LONAXUXAVC&amp;VAR:QUERY=RkZfRUJJVERBX0lCKCdMVE1TJywzOTY3MCk=&amp;WINDOW=FIRST_POPUP&amp;HEIGHT=450&amp;WIDTH=450&amp;START_MA","XIMIZED=FALSE&amp;VAR:CALENDAR=US&amp;VAR:SYMBOL=G0129K10&amp;VAR:INDEX=0"}</definedName>
    <definedName name="_7871__FDSAUDITLINK__" hidden="1">{"fdsup://directions/FAT Viewer?action=UPDATE&amp;creator=factset&amp;DYN_ARGS=TRUE&amp;DOC_NAME=FAT:FQL_AUDITING_CLIENT_TEMPLATE.FAT&amp;display_string=Audit&amp;VAR:KEY=LONAXUXAVC&amp;VAR:QUERY=RkZfRUJJVERBX0lCKCdMVE1TJywzOTY3MCk=&amp;WINDOW=FIRST_POPUP&amp;HEIGHT=450&amp;WIDTH=450&amp;START_MA","XIMIZED=FALSE&amp;VAR:CALENDAR=US&amp;VAR:SYMBOL=G0129K10&amp;VAR:INDEX=0"}</definedName>
    <definedName name="_7872__FDSAUDITLINK__" localSheetId="6" hidden="1">{"fdsup://directions/FAT Viewer?action=UPDATE&amp;creator=factset&amp;DYN_ARGS=TRUE&amp;DOC_NAME=FAT:FQL_AUDITING_CLIENT_TEMPLATE.FAT&amp;display_string=Audit&amp;VAR:KEY=FIRGFMBWNE&amp;VAR:QUERY=RkZfRUJJVERBX0lCKCdMVE1TJywzOTY2OSk=&amp;WINDOW=FIRST_POPUP&amp;HEIGHT=450&amp;WIDTH=450&amp;START_MA","XIMIZED=FALSE&amp;VAR:CALENDAR=US&amp;VAR:SYMBOL=G0129K10&amp;VAR:INDEX=0"}</definedName>
    <definedName name="_7872__FDSAUDITLINK__" hidden="1">{"fdsup://directions/FAT Viewer?action=UPDATE&amp;creator=factset&amp;DYN_ARGS=TRUE&amp;DOC_NAME=FAT:FQL_AUDITING_CLIENT_TEMPLATE.FAT&amp;display_string=Audit&amp;VAR:KEY=FIRGFMBWNE&amp;VAR:QUERY=RkZfRUJJVERBX0lCKCdMVE1TJywzOTY2OSk=&amp;WINDOW=FIRST_POPUP&amp;HEIGHT=450&amp;WIDTH=450&amp;START_MA","XIMIZED=FALSE&amp;VAR:CALENDAR=US&amp;VAR:SYMBOL=G0129K10&amp;VAR:INDEX=0"}</definedName>
    <definedName name="_7873__FDSAUDITLINK__" localSheetId="6" hidden="1">{"fdsup://directions/FAT Viewer?action=UPDATE&amp;creator=factset&amp;DYN_ARGS=TRUE&amp;DOC_NAME=FAT:FQL_AUDITING_CLIENT_TEMPLATE.FAT&amp;display_string=Audit&amp;VAR:KEY=PWZIRINENK&amp;VAR:QUERY=RkZfRUJJVERBX0lCKCdMVE1TJywzOTY2OCk=&amp;WINDOW=FIRST_POPUP&amp;HEIGHT=450&amp;WIDTH=450&amp;START_MA","XIMIZED=FALSE&amp;VAR:CALENDAR=US&amp;VAR:SYMBOL=G0129K10&amp;VAR:INDEX=0"}</definedName>
    <definedName name="_7873__FDSAUDITLINK__" hidden="1">{"fdsup://directions/FAT Viewer?action=UPDATE&amp;creator=factset&amp;DYN_ARGS=TRUE&amp;DOC_NAME=FAT:FQL_AUDITING_CLIENT_TEMPLATE.FAT&amp;display_string=Audit&amp;VAR:KEY=PWZIRINENK&amp;VAR:QUERY=RkZfRUJJVERBX0lCKCdMVE1TJywzOTY2OCk=&amp;WINDOW=FIRST_POPUP&amp;HEIGHT=450&amp;WIDTH=450&amp;START_MA","XIMIZED=FALSE&amp;VAR:CALENDAR=US&amp;VAR:SYMBOL=G0129K10&amp;VAR:INDEX=0"}</definedName>
    <definedName name="_7874__FDSAUDITLINK__" localSheetId="6" hidden="1">{"fdsup://directions/FAT Viewer?action=UPDATE&amp;creator=factset&amp;DYN_ARGS=TRUE&amp;DOC_NAME=FAT:FQL_AUDITING_CLIENT_TEMPLATE.FAT&amp;display_string=Audit&amp;VAR:KEY=LGVKJGDEJA&amp;VAR:QUERY=RkZfRUJJVERBX0lCKCdMVE1TJywzOTY2Nyk=&amp;WINDOW=FIRST_POPUP&amp;HEIGHT=450&amp;WIDTH=450&amp;START_MA","XIMIZED=FALSE&amp;VAR:CALENDAR=US&amp;VAR:SYMBOL=G0129K10&amp;VAR:INDEX=0"}</definedName>
    <definedName name="_7874__FDSAUDITLINK__" hidden="1">{"fdsup://directions/FAT Viewer?action=UPDATE&amp;creator=factset&amp;DYN_ARGS=TRUE&amp;DOC_NAME=FAT:FQL_AUDITING_CLIENT_TEMPLATE.FAT&amp;display_string=Audit&amp;VAR:KEY=LGVKJGDEJA&amp;VAR:QUERY=RkZfRUJJVERBX0lCKCdMVE1TJywzOTY2Nyk=&amp;WINDOW=FIRST_POPUP&amp;HEIGHT=450&amp;WIDTH=450&amp;START_MA","XIMIZED=FALSE&amp;VAR:CALENDAR=US&amp;VAR:SYMBOL=G0129K10&amp;VAR:INDEX=0"}</definedName>
    <definedName name="_7875__FDSAUDITLINK__" localSheetId="6" hidden="1">{"fdsup://directions/FAT Viewer?action=UPDATE&amp;creator=factset&amp;DYN_ARGS=TRUE&amp;DOC_NAME=FAT:FQL_AUDITING_CLIENT_TEMPLATE.FAT&amp;display_string=Audit&amp;VAR:KEY=VATQJYTWVI&amp;VAR:QUERY=RkZfRUJJVERBX0lCKCdMVE1TJywzOTY2Nik=&amp;WINDOW=FIRST_POPUP&amp;HEIGHT=450&amp;WIDTH=450&amp;START_MA","XIMIZED=FALSE&amp;VAR:CALENDAR=US&amp;VAR:SYMBOL=G0129K10&amp;VAR:INDEX=0"}</definedName>
    <definedName name="_7875__FDSAUDITLINK__" hidden="1">{"fdsup://directions/FAT Viewer?action=UPDATE&amp;creator=factset&amp;DYN_ARGS=TRUE&amp;DOC_NAME=FAT:FQL_AUDITING_CLIENT_TEMPLATE.FAT&amp;display_string=Audit&amp;VAR:KEY=VATQJYTWVI&amp;VAR:QUERY=RkZfRUJJVERBX0lCKCdMVE1TJywzOTY2Nik=&amp;WINDOW=FIRST_POPUP&amp;HEIGHT=450&amp;WIDTH=450&amp;START_MA","XIMIZED=FALSE&amp;VAR:CALENDAR=US&amp;VAR:SYMBOL=G0129K10&amp;VAR:INDEX=0"}</definedName>
    <definedName name="_7876__FDSAUDITLINK__" localSheetId="6" hidden="1">{"fdsup://directions/FAT Viewer?action=UPDATE&amp;creator=factset&amp;DYN_ARGS=TRUE&amp;DOC_NAME=FAT:FQL_AUDITING_CLIENT_TEMPLATE.FAT&amp;display_string=Audit&amp;VAR:KEY=JQXAZGLWTO&amp;VAR:QUERY=RkZfRUJJVERBX0lCKCdMVE1TJywzOTY2NSk=&amp;WINDOW=FIRST_POPUP&amp;HEIGHT=450&amp;WIDTH=450&amp;START_MA","XIMIZED=FALSE&amp;VAR:CALENDAR=US&amp;VAR:SYMBOL=G0129K10&amp;VAR:INDEX=0"}</definedName>
    <definedName name="_7876__FDSAUDITLINK__" hidden="1">{"fdsup://directions/FAT Viewer?action=UPDATE&amp;creator=factset&amp;DYN_ARGS=TRUE&amp;DOC_NAME=FAT:FQL_AUDITING_CLIENT_TEMPLATE.FAT&amp;display_string=Audit&amp;VAR:KEY=JQXAZGLWTO&amp;VAR:QUERY=RkZfRUJJVERBX0lCKCdMVE1TJywzOTY2NSk=&amp;WINDOW=FIRST_POPUP&amp;HEIGHT=450&amp;WIDTH=450&amp;START_MA","XIMIZED=FALSE&amp;VAR:CALENDAR=US&amp;VAR:SYMBOL=G0129K10&amp;VAR:INDEX=0"}</definedName>
    <definedName name="_7877__FDSAUDITLINK__" localSheetId="6" hidden="1">{"fdsup://directions/FAT Viewer?action=UPDATE&amp;creator=factset&amp;DYN_ARGS=TRUE&amp;DOC_NAME=FAT:FQL_AUDITING_CLIENT_TEMPLATE.FAT&amp;display_string=Audit&amp;VAR:KEY=DIJILMHWPQ&amp;VAR:QUERY=RkZfRUJJVERBX0lCKCdMVE1TJywzOTY2NCk=&amp;WINDOW=FIRST_POPUP&amp;HEIGHT=450&amp;WIDTH=450&amp;START_MA","XIMIZED=FALSE&amp;VAR:CALENDAR=US&amp;VAR:SYMBOL=G0129K10&amp;VAR:INDEX=0"}</definedName>
    <definedName name="_7877__FDSAUDITLINK__" hidden="1">{"fdsup://directions/FAT Viewer?action=UPDATE&amp;creator=factset&amp;DYN_ARGS=TRUE&amp;DOC_NAME=FAT:FQL_AUDITING_CLIENT_TEMPLATE.FAT&amp;display_string=Audit&amp;VAR:KEY=DIJILMHWPQ&amp;VAR:QUERY=RkZfRUJJVERBX0lCKCdMVE1TJywzOTY2NCk=&amp;WINDOW=FIRST_POPUP&amp;HEIGHT=450&amp;WIDTH=450&amp;START_MA","XIMIZED=FALSE&amp;VAR:CALENDAR=US&amp;VAR:SYMBOL=G0129K10&amp;VAR:INDEX=0"}</definedName>
    <definedName name="_7878__FDSAUDITLINK__" localSheetId="6" hidden="1">{"fdsup://directions/FAT Viewer?action=UPDATE&amp;creator=factset&amp;DYN_ARGS=TRUE&amp;DOC_NAME=FAT:FQL_AUDITING_CLIENT_TEMPLATE.FAT&amp;display_string=Audit&amp;VAR:KEY=NUHYPOFMFU&amp;VAR:QUERY=RkZfRUJJVERBX0lCKCdMVE1TJywzOTY2Myk=&amp;WINDOW=FIRST_POPUP&amp;HEIGHT=450&amp;WIDTH=450&amp;START_MA","XIMIZED=FALSE&amp;VAR:CALENDAR=US&amp;VAR:SYMBOL=G0129K10&amp;VAR:INDEX=0"}</definedName>
    <definedName name="_7878__FDSAUDITLINK__" hidden="1">{"fdsup://directions/FAT Viewer?action=UPDATE&amp;creator=factset&amp;DYN_ARGS=TRUE&amp;DOC_NAME=FAT:FQL_AUDITING_CLIENT_TEMPLATE.FAT&amp;display_string=Audit&amp;VAR:KEY=NUHYPOFMFU&amp;VAR:QUERY=RkZfRUJJVERBX0lCKCdMVE1TJywzOTY2Myk=&amp;WINDOW=FIRST_POPUP&amp;HEIGHT=450&amp;WIDTH=450&amp;START_MA","XIMIZED=FALSE&amp;VAR:CALENDAR=US&amp;VAR:SYMBOL=G0129K10&amp;VAR:INDEX=0"}</definedName>
    <definedName name="_7879__FDSAUDITLINK__" localSheetId="6" hidden="1">{"fdsup://directions/FAT Viewer?action=UPDATE&amp;creator=factset&amp;DYN_ARGS=TRUE&amp;DOC_NAME=FAT:FQL_AUDITING_CLIENT_TEMPLATE.FAT&amp;display_string=Audit&amp;VAR:KEY=VILARUFGNM&amp;VAR:QUERY=RkZfRUJJVERBX0lCKCdMVE1TJywzOTY2Mik=&amp;WINDOW=FIRST_POPUP&amp;HEIGHT=450&amp;WIDTH=450&amp;START_MA","XIMIZED=FALSE&amp;VAR:CALENDAR=US&amp;VAR:SYMBOL=G0129K10&amp;VAR:INDEX=0"}</definedName>
    <definedName name="_7879__FDSAUDITLINK__" hidden="1">{"fdsup://directions/FAT Viewer?action=UPDATE&amp;creator=factset&amp;DYN_ARGS=TRUE&amp;DOC_NAME=FAT:FQL_AUDITING_CLIENT_TEMPLATE.FAT&amp;display_string=Audit&amp;VAR:KEY=VILARUFGNM&amp;VAR:QUERY=RkZfRUJJVERBX0lCKCdMVE1TJywzOTY2Mik=&amp;WINDOW=FIRST_POPUP&amp;HEIGHT=450&amp;WIDTH=450&amp;START_MA","XIMIZED=FALSE&amp;VAR:CALENDAR=US&amp;VAR:SYMBOL=G0129K10&amp;VAR:INDEX=0"}</definedName>
    <definedName name="_788__FDSAUDITLINK__" localSheetId="6" hidden="1">{"fdsup://directions/FAT%20Viewer?VAR:PED=LTM&amp;VAR:AUDIT_MODE=SUMMARY&amp;VAR:PERIOD=FIXED&amp;VAR:AUDIT_ID=00000117&amp;VAR:DATE=20071226&amp;action=UPDATE&amp;creator=factset&amp;DOC_NAME=FAT:FMA_audit_SUMMARY.fat&amp;DISPLAY_STRING=Display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8__FDSAUDITLINK__" hidden="1">{"fdsup://directions/FAT%20Viewer?VAR:PED=LTM&amp;VAR:AUDIT_MODE=SUMMARY&amp;VAR:PERIOD=FIXED&amp;VAR:AUDIT_ID=00000117&amp;VAR:DATE=20071226&amp;action=UPDATE&amp;creator=factset&amp;DOC_NAME=FAT:FMA_audit_SUMMARY.fat&amp;DISPLAY_STRING=Display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80__FDSAUDITLINK__" localSheetId="6" hidden="1">{"fdsup://directions/FAT Viewer?action=UPDATE&amp;creator=factset&amp;DYN_ARGS=TRUE&amp;DOC_NAME=FAT:FQL_AUDITING_CLIENT_TEMPLATE.FAT&amp;display_string=Audit&amp;VAR:KEY=NAXWXAFMZK&amp;VAR:QUERY=RkZfRUJJVERBX0lCKCdMVE1TJywzOTY2MSk=&amp;WINDOW=FIRST_POPUP&amp;HEIGHT=450&amp;WIDTH=450&amp;START_MA","XIMIZED=FALSE&amp;VAR:CALENDAR=US&amp;VAR:SYMBOL=G0129K10&amp;VAR:INDEX=0"}</definedName>
    <definedName name="_7880__FDSAUDITLINK__" hidden="1">{"fdsup://directions/FAT Viewer?action=UPDATE&amp;creator=factset&amp;DYN_ARGS=TRUE&amp;DOC_NAME=FAT:FQL_AUDITING_CLIENT_TEMPLATE.FAT&amp;display_string=Audit&amp;VAR:KEY=NAXWXAFMZK&amp;VAR:QUERY=RkZfRUJJVERBX0lCKCdMVE1TJywzOTY2MSk=&amp;WINDOW=FIRST_POPUP&amp;HEIGHT=450&amp;WIDTH=450&amp;START_MA","XIMIZED=FALSE&amp;VAR:CALENDAR=US&amp;VAR:SYMBOL=G0129K10&amp;VAR:INDEX=0"}</definedName>
    <definedName name="_7881__FDSAUDITLINK__" localSheetId="6" hidden="1">{"fdsup://directions/FAT Viewer?action=UPDATE&amp;creator=factset&amp;DYN_ARGS=TRUE&amp;DOC_NAME=FAT:FQL_AUDITING_CLIENT_TEMPLATE.FAT&amp;display_string=Audit&amp;VAR:KEY=JQFWDSVCJC&amp;VAR:QUERY=RkZfRUJJVERBX0lCKCdMVE1TJywzOTY2MCk=&amp;WINDOW=FIRST_POPUP&amp;HEIGHT=450&amp;WIDTH=450&amp;START_MA","XIMIZED=FALSE&amp;VAR:CALENDAR=US&amp;VAR:SYMBOL=G0129K10&amp;VAR:INDEX=0"}</definedName>
    <definedName name="_7881__FDSAUDITLINK__" hidden="1">{"fdsup://directions/FAT Viewer?action=UPDATE&amp;creator=factset&amp;DYN_ARGS=TRUE&amp;DOC_NAME=FAT:FQL_AUDITING_CLIENT_TEMPLATE.FAT&amp;display_string=Audit&amp;VAR:KEY=JQFWDSVCJC&amp;VAR:QUERY=RkZfRUJJVERBX0lCKCdMVE1TJywzOTY2MCk=&amp;WINDOW=FIRST_POPUP&amp;HEIGHT=450&amp;WIDTH=450&amp;START_MA","XIMIZED=FALSE&amp;VAR:CALENDAR=US&amp;VAR:SYMBOL=G0129K10&amp;VAR:INDEX=0"}</definedName>
    <definedName name="_7882__FDSAUDITLINK__" localSheetId="6" hidden="1">{"fdsup://directions/FAT Viewer?action=UPDATE&amp;creator=factset&amp;DYN_ARGS=TRUE&amp;DOC_NAME=FAT:FQL_AUDITING_CLIENT_TEMPLATE.FAT&amp;display_string=Audit&amp;VAR:KEY=NUPAFQXUBA&amp;VAR:QUERY=RkZfRUJJVERBX0lCKCdMVE1TJywzOTY1OSk=&amp;WINDOW=FIRST_POPUP&amp;HEIGHT=450&amp;WIDTH=450&amp;START_MA","XIMIZED=FALSE&amp;VAR:CALENDAR=US&amp;VAR:SYMBOL=G0129K10&amp;VAR:INDEX=0"}</definedName>
    <definedName name="_7882__FDSAUDITLINK__" hidden="1">{"fdsup://directions/FAT Viewer?action=UPDATE&amp;creator=factset&amp;DYN_ARGS=TRUE&amp;DOC_NAME=FAT:FQL_AUDITING_CLIENT_TEMPLATE.FAT&amp;display_string=Audit&amp;VAR:KEY=NUPAFQXUBA&amp;VAR:QUERY=RkZfRUJJVERBX0lCKCdMVE1TJywzOTY1OSk=&amp;WINDOW=FIRST_POPUP&amp;HEIGHT=450&amp;WIDTH=450&amp;START_MA","XIMIZED=FALSE&amp;VAR:CALENDAR=US&amp;VAR:SYMBOL=G0129K10&amp;VAR:INDEX=0"}</definedName>
    <definedName name="_7883__FDSAUDITLINK__" localSheetId="6" hidden="1">{"fdsup://directions/FAT Viewer?action=UPDATE&amp;creator=factset&amp;DYN_ARGS=TRUE&amp;DOC_NAME=FAT:FQL_AUDITING_CLIENT_TEMPLATE.FAT&amp;display_string=Audit&amp;VAR:KEY=BQFETCJMNQ&amp;VAR:QUERY=RkZfRUJJVERBX0lCKCdMVE1TJywzOTY1OCk=&amp;WINDOW=FIRST_POPUP&amp;HEIGHT=450&amp;WIDTH=450&amp;START_MA","XIMIZED=FALSE&amp;VAR:CALENDAR=US&amp;VAR:SYMBOL=G0129K10&amp;VAR:INDEX=0"}</definedName>
    <definedName name="_7883__FDSAUDITLINK__" hidden="1">{"fdsup://directions/FAT Viewer?action=UPDATE&amp;creator=factset&amp;DYN_ARGS=TRUE&amp;DOC_NAME=FAT:FQL_AUDITING_CLIENT_TEMPLATE.FAT&amp;display_string=Audit&amp;VAR:KEY=BQFETCJMNQ&amp;VAR:QUERY=RkZfRUJJVERBX0lCKCdMVE1TJywzOTY1OCk=&amp;WINDOW=FIRST_POPUP&amp;HEIGHT=450&amp;WIDTH=450&amp;START_MA","XIMIZED=FALSE&amp;VAR:CALENDAR=US&amp;VAR:SYMBOL=G0129K10&amp;VAR:INDEX=0"}</definedName>
    <definedName name="_7884__FDSAUDITLINK__" localSheetId="6" hidden="1">{"fdsup://directions/FAT Viewer?action=UPDATE&amp;creator=factset&amp;DYN_ARGS=TRUE&amp;DOC_NAME=FAT:FQL_AUDITING_CLIENT_TEMPLATE.FAT&amp;display_string=Audit&amp;VAR:KEY=TWBSTQNWRS&amp;VAR:QUERY=RkZfRUJJVERBX0lCKCdMVE1TJywzOTY1Nyk=&amp;WINDOW=FIRST_POPUP&amp;HEIGHT=450&amp;WIDTH=450&amp;START_MA","XIMIZED=FALSE&amp;VAR:CALENDAR=US&amp;VAR:SYMBOL=G0129K10&amp;VAR:INDEX=0"}</definedName>
    <definedName name="_7884__FDSAUDITLINK__" hidden="1">{"fdsup://directions/FAT Viewer?action=UPDATE&amp;creator=factset&amp;DYN_ARGS=TRUE&amp;DOC_NAME=FAT:FQL_AUDITING_CLIENT_TEMPLATE.FAT&amp;display_string=Audit&amp;VAR:KEY=TWBSTQNWRS&amp;VAR:QUERY=RkZfRUJJVERBX0lCKCdMVE1TJywzOTY1Nyk=&amp;WINDOW=FIRST_POPUP&amp;HEIGHT=450&amp;WIDTH=450&amp;START_MA","XIMIZED=FALSE&amp;VAR:CALENDAR=US&amp;VAR:SYMBOL=G0129K10&amp;VAR:INDEX=0"}</definedName>
    <definedName name="_7885__FDSAUDITLINK__" localSheetId="6" hidden="1">{"fdsup://directions/FAT Viewer?action=UPDATE&amp;creator=factset&amp;DYN_ARGS=TRUE&amp;DOC_NAME=FAT:FQL_AUDITING_CLIENT_TEMPLATE.FAT&amp;display_string=Audit&amp;VAR:KEY=TWHOJYHMNO&amp;VAR:QUERY=RkZfRUJJVERBX0lCKCdMVE1TJywzOTY1Nik=&amp;WINDOW=FIRST_POPUP&amp;HEIGHT=450&amp;WIDTH=450&amp;START_MA","XIMIZED=FALSE&amp;VAR:CALENDAR=US&amp;VAR:SYMBOL=G0129K10&amp;VAR:INDEX=0"}</definedName>
    <definedName name="_7885__FDSAUDITLINK__" hidden="1">{"fdsup://directions/FAT Viewer?action=UPDATE&amp;creator=factset&amp;DYN_ARGS=TRUE&amp;DOC_NAME=FAT:FQL_AUDITING_CLIENT_TEMPLATE.FAT&amp;display_string=Audit&amp;VAR:KEY=TWHOJYHMNO&amp;VAR:QUERY=RkZfRUJJVERBX0lCKCdMVE1TJywzOTY1Nik=&amp;WINDOW=FIRST_POPUP&amp;HEIGHT=450&amp;WIDTH=450&amp;START_MA","XIMIZED=FALSE&amp;VAR:CALENDAR=US&amp;VAR:SYMBOL=G0129K10&amp;VAR:INDEX=0"}</definedName>
    <definedName name="_7886__FDSAUDITLINK__" localSheetId="6" hidden="1">{"fdsup://directions/FAT Viewer?action=UPDATE&amp;creator=factset&amp;DYN_ARGS=TRUE&amp;DOC_NAME=FAT:FQL_AUDITING_CLIENT_TEMPLATE.FAT&amp;display_string=Audit&amp;VAR:KEY=FAJGJMXGVY&amp;VAR:QUERY=RkZfRUJJVERBX0lCKCdMVE1TJywzOTY1NSk=&amp;WINDOW=FIRST_POPUP&amp;HEIGHT=450&amp;WIDTH=450&amp;START_MA","XIMIZED=FALSE&amp;VAR:CALENDAR=US&amp;VAR:SYMBOL=G0129K10&amp;VAR:INDEX=0"}</definedName>
    <definedName name="_7886__FDSAUDITLINK__" hidden="1">{"fdsup://directions/FAT Viewer?action=UPDATE&amp;creator=factset&amp;DYN_ARGS=TRUE&amp;DOC_NAME=FAT:FQL_AUDITING_CLIENT_TEMPLATE.FAT&amp;display_string=Audit&amp;VAR:KEY=FAJGJMXGVY&amp;VAR:QUERY=RkZfRUJJVERBX0lCKCdMVE1TJywzOTY1NSk=&amp;WINDOW=FIRST_POPUP&amp;HEIGHT=450&amp;WIDTH=450&amp;START_MA","XIMIZED=FALSE&amp;VAR:CALENDAR=US&amp;VAR:SYMBOL=G0129K10&amp;VAR:INDEX=0"}</definedName>
    <definedName name="_7887__FDSAUDITLINK__" localSheetId="6" hidden="1">{"fdsup://directions/FAT Viewer?action=UPDATE&amp;creator=factset&amp;DYN_ARGS=TRUE&amp;DOC_NAME=FAT:FQL_AUDITING_CLIENT_TEMPLATE.FAT&amp;display_string=Audit&amp;VAR:KEY=ZIJQVQNWFU&amp;VAR:QUERY=RkZfRUJJVERBX0lCKCdMVE1TJywzOTY1NCk=&amp;WINDOW=FIRST_POPUP&amp;HEIGHT=450&amp;WIDTH=450&amp;START_MA","XIMIZED=FALSE&amp;VAR:CALENDAR=US&amp;VAR:SYMBOL=G0129K10&amp;VAR:INDEX=0"}</definedName>
    <definedName name="_7887__FDSAUDITLINK__" hidden="1">{"fdsup://directions/FAT Viewer?action=UPDATE&amp;creator=factset&amp;DYN_ARGS=TRUE&amp;DOC_NAME=FAT:FQL_AUDITING_CLIENT_TEMPLATE.FAT&amp;display_string=Audit&amp;VAR:KEY=ZIJQVQNWFU&amp;VAR:QUERY=RkZfRUJJVERBX0lCKCdMVE1TJywzOTY1NCk=&amp;WINDOW=FIRST_POPUP&amp;HEIGHT=450&amp;WIDTH=450&amp;START_MA","XIMIZED=FALSE&amp;VAR:CALENDAR=US&amp;VAR:SYMBOL=G0129K10&amp;VAR:INDEX=0"}</definedName>
    <definedName name="_7888__FDSAUDITLINK__" localSheetId="6" hidden="1">{"fdsup://directions/FAT Viewer?action=UPDATE&amp;creator=factset&amp;DYN_ARGS=TRUE&amp;DOC_NAME=FAT:FQL_AUDITING_CLIENT_TEMPLATE.FAT&amp;display_string=Audit&amp;VAR:KEY=VSBUVITOPC&amp;VAR:QUERY=RkZfRUJJVERBX0lCKCdMVE1TJywzOTY1Myk=&amp;WINDOW=FIRST_POPUP&amp;HEIGHT=450&amp;WIDTH=450&amp;START_MA","XIMIZED=FALSE&amp;VAR:CALENDAR=US&amp;VAR:SYMBOL=G0129K10&amp;VAR:INDEX=0"}</definedName>
    <definedName name="_7888__FDSAUDITLINK__" hidden="1">{"fdsup://directions/FAT Viewer?action=UPDATE&amp;creator=factset&amp;DYN_ARGS=TRUE&amp;DOC_NAME=FAT:FQL_AUDITING_CLIENT_TEMPLATE.FAT&amp;display_string=Audit&amp;VAR:KEY=VSBUVITOPC&amp;VAR:QUERY=RkZfRUJJVERBX0lCKCdMVE1TJywzOTY1Myk=&amp;WINDOW=FIRST_POPUP&amp;HEIGHT=450&amp;WIDTH=450&amp;START_MA","XIMIZED=FALSE&amp;VAR:CALENDAR=US&amp;VAR:SYMBOL=G0129K10&amp;VAR:INDEX=0"}</definedName>
    <definedName name="_7889__FDSAUDITLINK__" localSheetId="6" hidden="1">{"fdsup://directions/FAT Viewer?action=UPDATE&amp;creator=factset&amp;DYN_ARGS=TRUE&amp;DOC_NAME=FAT:FQL_AUDITING_CLIENT_TEMPLATE.FAT&amp;display_string=Audit&amp;VAR:KEY=ZUVIBELQPS&amp;VAR:QUERY=RkZfRUJJVERBX0lCKCdMVE1TJywzOTY1Mik=&amp;WINDOW=FIRST_POPUP&amp;HEIGHT=450&amp;WIDTH=450&amp;START_MA","XIMIZED=FALSE&amp;VAR:CALENDAR=US&amp;VAR:SYMBOL=G0129K10&amp;VAR:INDEX=0"}</definedName>
    <definedName name="_7889__FDSAUDITLINK__" hidden="1">{"fdsup://directions/FAT Viewer?action=UPDATE&amp;creator=factset&amp;DYN_ARGS=TRUE&amp;DOC_NAME=FAT:FQL_AUDITING_CLIENT_TEMPLATE.FAT&amp;display_string=Audit&amp;VAR:KEY=ZUVIBELQPS&amp;VAR:QUERY=RkZfRUJJVERBX0lCKCdMVE1TJywzOTY1Mik=&amp;WINDOW=FIRST_POPUP&amp;HEIGHT=450&amp;WIDTH=450&amp;START_MA","XIMIZED=FALSE&amp;VAR:CALENDAR=US&amp;VAR:SYMBOL=G0129K10&amp;VAR:INDEX=0"}</definedName>
    <definedName name="_789__FDSAUDITLINK__" localSheetId="6" hidden="1">{"fdsup://directions/FAT%20Viewer?VAR:PED=LTM&amp;VAR:AUDIT_MODE=SUMMARY&amp;VAR:PERIOD=FIXED&amp;VAR:AUDIT_ID=00000117&amp;VAR:DATE=20071224&amp;action=UPDATE&amp;creator=factset&amp;DOC_NAME=FAT:FMA_audit_SUMMARY.fat&amp;DISPLAY_STRING=Display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9__FDSAUDITLINK__" hidden="1">{"fdsup://directions/FAT%20Viewer?VAR:PED=LTM&amp;VAR:AUDIT_MODE=SUMMARY&amp;VAR:PERIOD=FIXED&amp;VAR:AUDIT_ID=00000117&amp;VAR:DATE=20071224&amp;action=UPDATE&amp;creator=factset&amp;DOC_NAME=FAT:FMA_audit_SUMMARY.fat&amp;DISPLAY_STRING=Display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890__FDSAUDITLINK__" localSheetId="6" hidden="1">{"fdsup://directions/FAT Viewer?action=UPDATE&amp;creator=factset&amp;DYN_ARGS=TRUE&amp;DOC_NAME=FAT:FQL_AUDITING_CLIENT_TEMPLATE.FAT&amp;display_string=Audit&amp;VAR:KEY=XORYVYBEZC&amp;VAR:QUERY=RkZfRUJJVERBX0lCKCdMVE1TJywzOTY1MSk=&amp;WINDOW=FIRST_POPUP&amp;HEIGHT=450&amp;WIDTH=450&amp;START_MA","XIMIZED=FALSE&amp;VAR:CALENDAR=US&amp;VAR:SYMBOL=G0129K10&amp;VAR:INDEX=0"}</definedName>
    <definedName name="_7890__FDSAUDITLINK__" hidden="1">{"fdsup://directions/FAT Viewer?action=UPDATE&amp;creator=factset&amp;DYN_ARGS=TRUE&amp;DOC_NAME=FAT:FQL_AUDITING_CLIENT_TEMPLATE.FAT&amp;display_string=Audit&amp;VAR:KEY=XORYVYBEZC&amp;VAR:QUERY=RkZfRUJJVERBX0lCKCdMVE1TJywzOTY1MSk=&amp;WINDOW=FIRST_POPUP&amp;HEIGHT=450&amp;WIDTH=450&amp;START_MA","XIMIZED=FALSE&amp;VAR:CALENDAR=US&amp;VAR:SYMBOL=G0129K10&amp;VAR:INDEX=0"}</definedName>
    <definedName name="_7891__FDSAUDITLINK__" localSheetId="6" hidden="1">{"fdsup://directions/FAT Viewer?action=UPDATE&amp;creator=factset&amp;DYN_ARGS=TRUE&amp;DOC_NAME=FAT:FQL_AUDITING_CLIENT_TEMPLATE.FAT&amp;display_string=Audit&amp;VAR:KEY=JYBYRYHWZW&amp;VAR:QUERY=RkZfRUJJVERBX0lCKCdMVE1TJywzOTY1MCk=&amp;WINDOW=FIRST_POPUP&amp;HEIGHT=450&amp;WIDTH=450&amp;START_MA","XIMIZED=FALSE&amp;VAR:CALENDAR=US&amp;VAR:SYMBOL=G0129K10&amp;VAR:INDEX=0"}</definedName>
    <definedName name="_7891__FDSAUDITLINK__" hidden="1">{"fdsup://directions/FAT Viewer?action=UPDATE&amp;creator=factset&amp;DYN_ARGS=TRUE&amp;DOC_NAME=FAT:FQL_AUDITING_CLIENT_TEMPLATE.FAT&amp;display_string=Audit&amp;VAR:KEY=JYBYRYHWZW&amp;VAR:QUERY=RkZfRUJJVERBX0lCKCdMVE1TJywzOTY1MCk=&amp;WINDOW=FIRST_POPUP&amp;HEIGHT=450&amp;WIDTH=450&amp;START_MA","XIMIZED=FALSE&amp;VAR:CALENDAR=US&amp;VAR:SYMBOL=G0129K10&amp;VAR:INDEX=0"}</definedName>
    <definedName name="_7892__FDSAUDITLINK__" localSheetId="6" hidden="1">{"fdsup://directions/FAT Viewer?action=UPDATE&amp;creator=factset&amp;DYN_ARGS=TRUE&amp;DOC_NAME=FAT:FQL_AUDITING_CLIENT_TEMPLATE.FAT&amp;display_string=Audit&amp;VAR:KEY=JMFCRGLSXO&amp;VAR:QUERY=RkZfRUJJVERBX0lCKCdMVE1TJywzOTY0OSk=&amp;WINDOW=FIRST_POPUP&amp;HEIGHT=450&amp;WIDTH=450&amp;START_MA","XIMIZED=FALSE&amp;VAR:CALENDAR=US&amp;VAR:SYMBOL=G0129K10&amp;VAR:INDEX=0"}</definedName>
    <definedName name="_7892__FDSAUDITLINK__" hidden="1">{"fdsup://directions/FAT Viewer?action=UPDATE&amp;creator=factset&amp;DYN_ARGS=TRUE&amp;DOC_NAME=FAT:FQL_AUDITING_CLIENT_TEMPLATE.FAT&amp;display_string=Audit&amp;VAR:KEY=JMFCRGLSXO&amp;VAR:QUERY=RkZfRUJJVERBX0lCKCdMVE1TJywzOTY0OSk=&amp;WINDOW=FIRST_POPUP&amp;HEIGHT=450&amp;WIDTH=450&amp;START_MA","XIMIZED=FALSE&amp;VAR:CALENDAR=US&amp;VAR:SYMBOL=G0129K10&amp;VAR:INDEX=0"}</definedName>
    <definedName name="_7893__FDSAUDITLINK__" localSheetId="6" hidden="1">{"fdsup://directions/FAT Viewer?action=UPDATE&amp;creator=factset&amp;DYN_ARGS=TRUE&amp;DOC_NAME=FAT:FQL_AUDITING_CLIENT_TEMPLATE.FAT&amp;display_string=Audit&amp;VAR:KEY=VMTKTCDALK&amp;VAR:QUERY=RkZfRUJJVERBX0lCKCdMVE1TJywzOTY0OCk=&amp;WINDOW=FIRST_POPUP&amp;HEIGHT=450&amp;WIDTH=450&amp;START_MA","XIMIZED=FALSE&amp;VAR:CALENDAR=US&amp;VAR:SYMBOL=G0129K10&amp;VAR:INDEX=0"}</definedName>
    <definedName name="_7893__FDSAUDITLINK__" hidden="1">{"fdsup://directions/FAT Viewer?action=UPDATE&amp;creator=factset&amp;DYN_ARGS=TRUE&amp;DOC_NAME=FAT:FQL_AUDITING_CLIENT_TEMPLATE.FAT&amp;display_string=Audit&amp;VAR:KEY=VMTKTCDALK&amp;VAR:QUERY=RkZfRUJJVERBX0lCKCdMVE1TJywzOTY0OCk=&amp;WINDOW=FIRST_POPUP&amp;HEIGHT=450&amp;WIDTH=450&amp;START_MA","XIMIZED=FALSE&amp;VAR:CALENDAR=US&amp;VAR:SYMBOL=G0129K10&amp;VAR:INDEX=0"}</definedName>
    <definedName name="_7894__FDSAUDITLINK__" localSheetId="6" hidden="1">{"fdsup://directions/FAT Viewer?action=UPDATE&amp;creator=factset&amp;DYN_ARGS=TRUE&amp;DOC_NAME=FAT:FQL_AUDITING_CLIENT_TEMPLATE.FAT&amp;display_string=Audit&amp;VAR:KEY=FCXAJOHUVA&amp;VAR:QUERY=RkZfRUJJVERBX0lCKCdMVE1TJywzOTY0Nyk=&amp;WINDOW=FIRST_POPUP&amp;HEIGHT=450&amp;WIDTH=450&amp;START_MA","XIMIZED=FALSE&amp;VAR:CALENDAR=US&amp;VAR:SYMBOL=G0129K10&amp;VAR:INDEX=0"}</definedName>
    <definedName name="_7894__FDSAUDITLINK__" hidden="1">{"fdsup://directions/FAT Viewer?action=UPDATE&amp;creator=factset&amp;DYN_ARGS=TRUE&amp;DOC_NAME=FAT:FQL_AUDITING_CLIENT_TEMPLATE.FAT&amp;display_string=Audit&amp;VAR:KEY=FCXAJOHUVA&amp;VAR:QUERY=RkZfRUJJVERBX0lCKCdMVE1TJywzOTY0Nyk=&amp;WINDOW=FIRST_POPUP&amp;HEIGHT=450&amp;WIDTH=450&amp;START_MA","XIMIZED=FALSE&amp;VAR:CALENDAR=US&amp;VAR:SYMBOL=G0129K10&amp;VAR:INDEX=0"}</definedName>
    <definedName name="_7895__FDSAUDITLINK__" localSheetId="6" hidden="1">{"fdsup://directions/FAT Viewer?action=UPDATE&amp;creator=factset&amp;DYN_ARGS=TRUE&amp;DOC_NAME=FAT:FQL_AUDITING_CLIENT_TEMPLATE.FAT&amp;display_string=Audit&amp;VAR:KEY=DSBEDYVEVS&amp;VAR:QUERY=RkZfRUJJVERBX0lCKCdMVE1TJywzOTY0Nik=&amp;WINDOW=FIRST_POPUP&amp;HEIGHT=450&amp;WIDTH=450&amp;START_MA","XIMIZED=FALSE&amp;VAR:CALENDAR=US&amp;VAR:SYMBOL=G0129K10&amp;VAR:INDEX=0"}</definedName>
    <definedName name="_7895__FDSAUDITLINK__" hidden="1">{"fdsup://directions/FAT Viewer?action=UPDATE&amp;creator=factset&amp;DYN_ARGS=TRUE&amp;DOC_NAME=FAT:FQL_AUDITING_CLIENT_TEMPLATE.FAT&amp;display_string=Audit&amp;VAR:KEY=DSBEDYVEVS&amp;VAR:QUERY=RkZfRUJJVERBX0lCKCdMVE1TJywzOTY0Nik=&amp;WINDOW=FIRST_POPUP&amp;HEIGHT=450&amp;WIDTH=450&amp;START_MA","XIMIZED=FALSE&amp;VAR:CALENDAR=US&amp;VAR:SYMBOL=G0129K10&amp;VAR:INDEX=0"}</definedName>
    <definedName name="_7896__FDSAUDITLINK__" localSheetId="6" hidden="1">{"fdsup://directions/FAT Viewer?action=UPDATE&amp;creator=factset&amp;DYN_ARGS=TRUE&amp;DOC_NAME=FAT:FQL_AUDITING_CLIENT_TEMPLATE.FAT&amp;display_string=Audit&amp;VAR:KEY=HATYTOFIBA&amp;VAR:QUERY=RkZfRUJJVERBX0lCKCdMVE1TJywzOTY0NSk=&amp;WINDOW=FIRST_POPUP&amp;HEIGHT=450&amp;WIDTH=450&amp;START_MA","XIMIZED=FALSE&amp;VAR:CALENDAR=US&amp;VAR:SYMBOL=G0129K10&amp;VAR:INDEX=0"}</definedName>
    <definedName name="_7896__FDSAUDITLINK__" hidden="1">{"fdsup://directions/FAT Viewer?action=UPDATE&amp;creator=factset&amp;DYN_ARGS=TRUE&amp;DOC_NAME=FAT:FQL_AUDITING_CLIENT_TEMPLATE.FAT&amp;display_string=Audit&amp;VAR:KEY=HATYTOFIBA&amp;VAR:QUERY=RkZfRUJJVERBX0lCKCdMVE1TJywzOTY0NSk=&amp;WINDOW=FIRST_POPUP&amp;HEIGHT=450&amp;WIDTH=450&amp;START_MA","XIMIZED=FALSE&amp;VAR:CALENDAR=US&amp;VAR:SYMBOL=G0129K10&amp;VAR:INDEX=0"}</definedName>
    <definedName name="_7897__FDSAUDITLINK__" localSheetId="6" hidden="1">{"fdsup://directions/FAT Viewer?action=UPDATE&amp;creator=factset&amp;DYN_ARGS=TRUE&amp;DOC_NAME=FAT:FQL_AUDITING_CLIENT_TEMPLATE.FAT&amp;display_string=Audit&amp;VAR:KEY=PURWFKRKZK&amp;VAR:QUERY=RkZfRUJJVERBX0lCKCdMVE1TJywzOTY0NCk=&amp;WINDOW=FIRST_POPUP&amp;HEIGHT=450&amp;WIDTH=450&amp;START_MA","XIMIZED=FALSE&amp;VAR:CALENDAR=US&amp;VAR:SYMBOL=G0129K10&amp;VAR:INDEX=0"}</definedName>
    <definedName name="_7897__FDSAUDITLINK__" hidden="1">{"fdsup://directions/FAT Viewer?action=UPDATE&amp;creator=factset&amp;DYN_ARGS=TRUE&amp;DOC_NAME=FAT:FQL_AUDITING_CLIENT_TEMPLATE.FAT&amp;display_string=Audit&amp;VAR:KEY=PURWFKRKZK&amp;VAR:QUERY=RkZfRUJJVERBX0lCKCdMVE1TJywzOTY0NCk=&amp;WINDOW=FIRST_POPUP&amp;HEIGHT=450&amp;WIDTH=450&amp;START_MA","XIMIZED=FALSE&amp;VAR:CALENDAR=US&amp;VAR:SYMBOL=G0129K10&amp;VAR:INDEX=0"}</definedName>
    <definedName name="_7898__FDSAUDITLINK__" localSheetId="6" hidden="1">{"fdsup://directions/FAT Viewer?action=UPDATE&amp;creator=factset&amp;DYN_ARGS=TRUE&amp;DOC_NAME=FAT:FQL_AUDITING_CLIENT_TEMPLATE.FAT&amp;display_string=Audit&amp;VAR:KEY=FAPGJCVMHK&amp;VAR:QUERY=RkZfRUJJVERBX0lCKCdMVE1TJywzOTY0Myk=&amp;WINDOW=FIRST_POPUP&amp;HEIGHT=450&amp;WIDTH=450&amp;START_MA","XIMIZED=FALSE&amp;VAR:CALENDAR=US&amp;VAR:SYMBOL=G0129K10&amp;VAR:INDEX=0"}</definedName>
    <definedName name="_7898__FDSAUDITLINK__" hidden="1">{"fdsup://directions/FAT Viewer?action=UPDATE&amp;creator=factset&amp;DYN_ARGS=TRUE&amp;DOC_NAME=FAT:FQL_AUDITING_CLIENT_TEMPLATE.FAT&amp;display_string=Audit&amp;VAR:KEY=FAPGJCVMHK&amp;VAR:QUERY=RkZfRUJJVERBX0lCKCdMVE1TJywzOTY0Myk=&amp;WINDOW=FIRST_POPUP&amp;HEIGHT=450&amp;WIDTH=450&amp;START_MA","XIMIZED=FALSE&amp;VAR:CALENDAR=US&amp;VAR:SYMBOL=G0129K10&amp;VAR:INDEX=0"}</definedName>
    <definedName name="_7899__FDSAUDITLINK__" localSheetId="6" hidden="1">{"fdsup://directions/FAT Viewer?action=UPDATE&amp;creator=factset&amp;DYN_ARGS=TRUE&amp;DOC_NAME=FAT:FQL_AUDITING_CLIENT_TEMPLATE.FAT&amp;display_string=Audit&amp;VAR:KEY=HGVONINYHW&amp;VAR:QUERY=RkZfRUJJVERBX0lCKCdMVE1TJywzOTY0Mik=&amp;WINDOW=FIRST_POPUP&amp;HEIGHT=450&amp;WIDTH=450&amp;START_MA","XIMIZED=FALSE&amp;VAR:CALENDAR=US&amp;VAR:SYMBOL=G0129K10&amp;VAR:INDEX=0"}</definedName>
    <definedName name="_7899__FDSAUDITLINK__" hidden="1">{"fdsup://directions/FAT Viewer?action=UPDATE&amp;creator=factset&amp;DYN_ARGS=TRUE&amp;DOC_NAME=FAT:FQL_AUDITING_CLIENT_TEMPLATE.FAT&amp;display_string=Audit&amp;VAR:KEY=HGVONINYHW&amp;VAR:QUERY=RkZfRUJJVERBX0lCKCdMVE1TJywzOTY0Mik=&amp;WINDOW=FIRST_POPUP&amp;HEIGHT=450&amp;WIDTH=450&amp;START_MA","XIMIZED=FALSE&amp;VAR:CALENDAR=US&amp;VAR:SYMBOL=G0129K10&amp;VAR:INDEX=0"}</definedName>
    <definedName name="_79__FDSAUDITLINK__" localSheetId="6" hidden="1">{"fdsup://directions/FAT Viewer?action=UPDATE&amp;creator=factset&amp;DYN_ARGS=TRUE&amp;DOC_NAME=FAT:FQL_AUDITING_CLIENT_TEMPLATE.FAT&amp;display_string=Audit&amp;VAR:KEY=LCVWFIZGLE&amp;VAR:QUERY=QVZHKENTRl9ORVRfSU5DKEFOTiwwRlksLTZGWSxZKSkgLyAoQVZHKENTRl9BU1NFVFMoQU5OLDBGWSwtNkZZL","EZZKSkgLSBBVkcoQ1NGX0lOVEFORyhBTk4sMCwtNkZZLEZZKSkp&amp;WINDOW=FIRST_POPUP&amp;HEIGHT=450&amp;WIDTH=450&amp;START_MAXIMIZED=FALSE&amp;VAR:CALENDAR=US&amp;VAR:SYMBOL=CIT"}</definedName>
    <definedName name="_79__FDSAUDITLINK__" hidden="1">{"fdsup://directions/FAT Viewer?action=UPDATE&amp;creator=factset&amp;DYN_ARGS=TRUE&amp;DOC_NAME=FAT:FQL_AUDITING_CLIENT_TEMPLATE.FAT&amp;display_string=Audit&amp;VAR:KEY=LCVWFIZGLE&amp;VAR:QUERY=QVZHKENTRl9ORVRfSU5DKEFOTiwwRlksLTZGWSxZKSkgLyAoQVZHKENTRl9BU1NFVFMoQU5OLDBGWSwtNkZZL","EZZKSkgLSBBVkcoQ1NGX0lOVEFORyhBTk4sMCwtNkZZLEZZKSkp&amp;WINDOW=FIRST_POPUP&amp;HEIGHT=450&amp;WIDTH=450&amp;START_MAXIMIZED=FALSE&amp;VAR:CALENDAR=US&amp;VAR:SYMBOL=CIT"}</definedName>
    <definedName name="_790__FDSAUDITLINK__" localSheetId="6" hidden="1">{"fdsup://directions/FAT%20Viewer?VAR:PED=LTM&amp;VAR:AUDIT_MODE=SUMMARY&amp;VAR:PERIOD=FIXED&amp;VAR:AUDIT_ID=00000117&amp;VAR:DATE=20071224&amp;action=UPDATE&amp;creator=factset&amp;DOC_NAME=FAT:FMA_audit_SUMMARY.fat&amp;DISPLAY_STRING=Display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0__FDSAUDITLINK__" hidden="1">{"fdsup://directions/FAT%20Viewer?VAR:PED=LTM&amp;VAR:AUDIT_MODE=SUMMARY&amp;VAR:PERIOD=FIXED&amp;VAR:AUDIT_ID=00000117&amp;VAR:DATE=20071224&amp;action=UPDATE&amp;creator=factset&amp;DOC_NAME=FAT:FMA_audit_SUMMARY.fat&amp;DISPLAY_STRING=Display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00__FDSAUDITLINK__" localSheetId="6" hidden="1">{"fdsup://directions/FAT Viewer?action=UPDATE&amp;creator=factset&amp;DYN_ARGS=TRUE&amp;DOC_NAME=FAT:FQL_AUDITING_CLIENT_TEMPLATE.FAT&amp;display_string=Audit&amp;VAR:KEY=ROZMXKNWLY&amp;VAR:QUERY=RkZfRUJJVERBX0lCKCdMVE1TJywzOTY0MSk=&amp;WINDOW=FIRST_POPUP&amp;HEIGHT=450&amp;WIDTH=450&amp;START_MA","XIMIZED=FALSE&amp;VAR:CALENDAR=US&amp;VAR:SYMBOL=G0129K10&amp;VAR:INDEX=0"}</definedName>
    <definedName name="_7900__FDSAUDITLINK__" hidden="1">{"fdsup://directions/FAT Viewer?action=UPDATE&amp;creator=factset&amp;DYN_ARGS=TRUE&amp;DOC_NAME=FAT:FQL_AUDITING_CLIENT_TEMPLATE.FAT&amp;display_string=Audit&amp;VAR:KEY=ROZMXKNWLY&amp;VAR:QUERY=RkZfRUJJVERBX0lCKCdMVE1TJywzOTY0MSk=&amp;WINDOW=FIRST_POPUP&amp;HEIGHT=450&amp;WIDTH=450&amp;START_MA","XIMIZED=FALSE&amp;VAR:CALENDAR=US&amp;VAR:SYMBOL=G0129K10&amp;VAR:INDEX=0"}</definedName>
    <definedName name="_7901__FDSAUDITLINK__" localSheetId="6" hidden="1">{"fdsup://directions/FAT Viewer?action=UPDATE&amp;creator=factset&amp;DYN_ARGS=TRUE&amp;DOC_NAME=FAT:FQL_AUDITING_CLIENT_TEMPLATE.FAT&amp;display_string=Audit&amp;VAR:KEY=ZYLARQXMDE&amp;VAR:QUERY=RkZfRUJJVERBX0lCKCdMVE1TJywzOTY0MCk=&amp;WINDOW=FIRST_POPUP&amp;HEIGHT=450&amp;WIDTH=450&amp;START_MA","XIMIZED=FALSE&amp;VAR:CALENDAR=US&amp;VAR:SYMBOL=G0129K10&amp;VAR:INDEX=0"}</definedName>
    <definedName name="_7901__FDSAUDITLINK__" hidden="1">{"fdsup://directions/FAT Viewer?action=UPDATE&amp;creator=factset&amp;DYN_ARGS=TRUE&amp;DOC_NAME=FAT:FQL_AUDITING_CLIENT_TEMPLATE.FAT&amp;display_string=Audit&amp;VAR:KEY=ZYLARQXMDE&amp;VAR:QUERY=RkZfRUJJVERBX0lCKCdMVE1TJywzOTY0MCk=&amp;WINDOW=FIRST_POPUP&amp;HEIGHT=450&amp;WIDTH=450&amp;START_MA","XIMIZED=FALSE&amp;VAR:CALENDAR=US&amp;VAR:SYMBOL=G0129K10&amp;VAR:INDEX=0"}</definedName>
    <definedName name="_7902__FDSAUDITLINK__" localSheetId="6" hidden="1">{"fdsup://directions/FAT Viewer?action=UPDATE&amp;creator=factset&amp;DYN_ARGS=TRUE&amp;DOC_NAME=FAT:FQL_AUDITING_CLIENT_TEMPLATE.FAT&amp;display_string=Audit&amp;VAR:KEY=RMJWLABKDE&amp;VAR:QUERY=RkZfRUJJVERBX0lCKCdMVE1TJywzOTYzOSk=&amp;WINDOW=FIRST_POPUP&amp;HEIGHT=450&amp;WIDTH=450&amp;START_MA","XIMIZED=FALSE&amp;VAR:CALENDAR=US&amp;VAR:SYMBOL=G0129K10&amp;VAR:INDEX=0"}</definedName>
    <definedName name="_7902__FDSAUDITLINK__" hidden="1">{"fdsup://directions/FAT Viewer?action=UPDATE&amp;creator=factset&amp;DYN_ARGS=TRUE&amp;DOC_NAME=FAT:FQL_AUDITING_CLIENT_TEMPLATE.FAT&amp;display_string=Audit&amp;VAR:KEY=RMJWLABKDE&amp;VAR:QUERY=RkZfRUJJVERBX0lCKCdMVE1TJywzOTYzOSk=&amp;WINDOW=FIRST_POPUP&amp;HEIGHT=450&amp;WIDTH=450&amp;START_MA","XIMIZED=FALSE&amp;VAR:CALENDAR=US&amp;VAR:SYMBOL=G0129K10&amp;VAR:INDEX=0"}</definedName>
    <definedName name="_7903__FDSAUDITLINK__" localSheetId="6" hidden="1">{"fdsup://directions/FAT Viewer?action=UPDATE&amp;creator=factset&amp;DYN_ARGS=TRUE&amp;DOC_NAME=FAT:FQL_AUDITING_CLIENT_TEMPLATE.FAT&amp;display_string=Audit&amp;VAR:KEY=POFWZYLKZS&amp;VAR:QUERY=RkZfRUJJVERBX0lCKCdMVE1TJywzOTYzOCk=&amp;WINDOW=FIRST_POPUP&amp;HEIGHT=450&amp;WIDTH=450&amp;START_MA","XIMIZED=FALSE&amp;VAR:CALENDAR=US&amp;VAR:SYMBOL=G0129K10&amp;VAR:INDEX=0"}</definedName>
    <definedName name="_7903__FDSAUDITLINK__" hidden="1">{"fdsup://directions/FAT Viewer?action=UPDATE&amp;creator=factset&amp;DYN_ARGS=TRUE&amp;DOC_NAME=FAT:FQL_AUDITING_CLIENT_TEMPLATE.FAT&amp;display_string=Audit&amp;VAR:KEY=POFWZYLKZS&amp;VAR:QUERY=RkZfRUJJVERBX0lCKCdMVE1TJywzOTYzOCk=&amp;WINDOW=FIRST_POPUP&amp;HEIGHT=450&amp;WIDTH=450&amp;START_MA","XIMIZED=FALSE&amp;VAR:CALENDAR=US&amp;VAR:SYMBOL=G0129K10&amp;VAR:INDEX=0"}</definedName>
    <definedName name="_7904__FDSAUDITLINK__" localSheetId="6" hidden="1">{"fdsup://directions/FAT Viewer?action=UPDATE&amp;creator=factset&amp;DYN_ARGS=TRUE&amp;DOC_NAME=FAT:FQL_AUDITING_CLIENT_TEMPLATE.FAT&amp;display_string=Audit&amp;VAR:KEY=HOPWVSDEVI&amp;VAR:QUERY=RkZfRUJJVERBX0lCKCdMVE1TJywzOTYzNyk=&amp;WINDOW=FIRST_POPUP&amp;HEIGHT=450&amp;WIDTH=450&amp;START_MA","XIMIZED=FALSE&amp;VAR:CALENDAR=US&amp;VAR:SYMBOL=G0129K10&amp;VAR:INDEX=0"}</definedName>
    <definedName name="_7904__FDSAUDITLINK__" hidden="1">{"fdsup://directions/FAT Viewer?action=UPDATE&amp;creator=factset&amp;DYN_ARGS=TRUE&amp;DOC_NAME=FAT:FQL_AUDITING_CLIENT_TEMPLATE.FAT&amp;display_string=Audit&amp;VAR:KEY=HOPWVSDEVI&amp;VAR:QUERY=RkZfRUJJVERBX0lCKCdMVE1TJywzOTYzNyk=&amp;WINDOW=FIRST_POPUP&amp;HEIGHT=450&amp;WIDTH=450&amp;START_MA","XIMIZED=FALSE&amp;VAR:CALENDAR=US&amp;VAR:SYMBOL=G0129K10&amp;VAR:INDEX=0"}</definedName>
    <definedName name="_7905__FDSAUDITLINK__" localSheetId="6" hidden="1">{"fdsup://directions/FAT Viewer?action=UPDATE&amp;creator=factset&amp;DYN_ARGS=TRUE&amp;DOC_NAME=FAT:FQL_AUDITING_CLIENT_TEMPLATE.FAT&amp;display_string=Audit&amp;VAR:KEY=FYJEPANUTA&amp;VAR:QUERY=RkZfRUJJVERBX0lCKCdMVE1TJywzOTYzNik=&amp;WINDOW=FIRST_POPUP&amp;HEIGHT=450&amp;WIDTH=450&amp;START_MA","XIMIZED=FALSE&amp;VAR:CALENDAR=US&amp;VAR:SYMBOL=G0129K10&amp;VAR:INDEX=0"}</definedName>
    <definedName name="_7905__FDSAUDITLINK__" hidden="1">{"fdsup://directions/FAT Viewer?action=UPDATE&amp;creator=factset&amp;DYN_ARGS=TRUE&amp;DOC_NAME=FAT:FQL_AUDITING_CLIENT_TEMPLATE.FAT&amp;display_string=Audit&amp;VAR:KEY=FYJEPANUTA&amp;VAR:QUERY=RkZfRUJJVERBX0lCKCdMVE1TJywzOTYzNik=&amp;WINDOW=FIRST_POPUP&amp;HEIGHT=450&amp;WIDTH=450&amp;START_MA","XIMIZED=FALSE&amp;VAR:CALENDAR=US&amp;VAR:SYMBOL=G0129K10&amp;VAR:INDEX=0"}</definedName>
    <definedName name="_7906__FDSAUDITLINK__" localSheetId="6" hidden="1">{"fdsup://directions/FAT Viewer?action=UPDATE&amp;creator=factset&amp;DYN_ARGS=TRUE&amp;DOC_NAME=FAT:FQL_AUDITING_CLIENT_TEMPLATE.FAT&amp;display_string=Audit&amp;VAR:KEY=VKHQDWJELC&amp;VAR:QUERY=RkZfRUJJVERBX0lCKCdMVE1TJywzOTYzNSk=&amp;WINDOW=FIRST_POPUP&amp;HEIGHT=450&amp;WIDTH=450&amp;START_MA","XIMIZED=FALSE&amp;VAR:CALENDAR=US&amp;VAR:SYMBOL=G0129K10&amp;VAR:INDEX=0"}</definedName>
    <definedName name="_7906__FDSAUDITLINK__" hidden="1">{"fdsup://directions/FAT Viewer?action=UPDATE&amp;creator=factset&amp;DYN_ARGS=TRUE&amp;DOC_NAME=FAT:FQL_AUDITING_CLIENT_TEMPLATE.FAT&amp;display_string=Audit&amp;VAR:KEY=VKHQDWJELC&amp;VAR:QUERY=RkZfRUJJVERBX0lCKCdMVE1TJywzOTYzNSk=&amp;WINDOW=FIRST_POPUP&amp;HEIGHT=450&amp;WIDTH=450&amp;START_MA","XIMIZED=FALSE&amp;VAR:CALENDAR=US&amp;VAR:SYMBOL=G0129K10&amp;VAR:INDEX=0"}</definedName>
    <definedName name="_7907__FDSAUDITLINK__" localSheetId="6" hidden="1">{"fdsup://directions/FAT Viewer?action=UPDATE&amp;creator=factset&amp;DYN_ARGS=TRUE&amp;DOC_NAME=FAT:FQL_AUDITING_CLIENT_TEMPLATE.FAT&amp;display_string=Audit&amp;VAR:KEY=HQRALUNCXI&amp;VAR:QUERY=RkZfRUJJVERBX0lCKCdMVE1TJywzOTYzNCk=&amp;WINDOW=FIRST_POPUP&amp;HEIGHT=450&amp;WIDTH=450&amp;START_MA","XIMIZED=FALSE&amp;VAR:CALENDAR=US&amp;VAR:SYMBOL=G0129K10&amp;VAR:INDEX=0"}</definedName>
    <definedName name="_7907__FDSAUDITLINK__" hidden="1">{"fdsup://directions/FAT Viewer?action=UPDATE&amp;creator=factset&amp;DYN_ARGS=TRUE&amp;DOC_NAME=FAT:FQL_AUDITING_CLIENT_TEMPLATE.FAT&amp;display_string=Audit&amp;VAR:KEY=HQRALUNCXI&amp;VAR:QUERY=RkZfRUJJVERBX0lCKCdMVE1TJywzOTYzNCk=&amp;WINDOW=FIRST_POPUP&amp;HEIGHT=450&amp;WIDTH=450&amp;START_MA","XIMIZED=FALSE&amp;VAR:CALENDAR=US&amp;VAR:SYMBOL=G0129K10&amp;VAR:INDEX=0"}</definedName>
    <definedName name="_7908__FDSAUDITLINK__" localSheetId="6" hidden="1">{"fdsup://directions/FAT Viewer?action=UPDATE&amp;creator=factset&amp;DYN_ARGS=TRUE&amp;DOC_NAME=FAT:FQL_AUDITING_CLIENT_TEMPLATE.FAT&amp;display_string=Audit&amp;VAR:KEY=BOLSHEVAZM&amp;VAR:QUERY=RkZfRUJJVERBX0lCKCdMVE1TJywzOTYzMyk=&amp;WINDOW=FIRST_POPUP&amp;HEIGHT=450&amp;WIDTH=450&amp;START_MA","XIMIZED=FALSE&amp;VAR:CALENDAR=US&amp;VAR:SYMBOL=G0129K10&amp;VAR:INDEX=0"}</definedName>
    <definedName name="_7908__FDSAUDITLINK__" hidden="1">{"fdsup://directions/FAT Viewer?action=UPDATE&amp;creator=factset&amp;DYN_ARGS=TRUE&amp;DOC_NAME=FAT:FQL_AUDITING_CLIENT_TEMPLATE.FAT&amp;display_string=Audit&amp;VAR:KEY=BOLSHEVAZM&amp;VAR:QUERY=RkZfRUJJVERBX0lCKCdMVE1TJywzOTYzMyk=&amp;WINDOW=FIRST_POPUP&amp;HEIGHT=450&amp;WIDTH=450&amp;START_MA","XIMIZED=FALSE&amp;VAR:CALENDAR=US&amp;VAR:SYMBOL=G0129K10&amp;VAR:INDEX=0"}</definedName>
    <definedName name="_7909__FDSAUDITLINK__" localSheetId="6" hidden="1">{"fdsup://directions/FAT Viewer?action=UPDATE&amp;creator=factset&amp;DYN_ARGS=TRUE&amp;DOC_NAME=FAT:FQL_AUDITING_CLIENT_TEMPLATE.FAT&amp;display_string=Audit&amp;VAR:KEY=NINOFWRQLY&amp;VAR:QUERY=RkZfRUJJVERBX0lCKCdMVE1TJywzOTYzMik=&amp;WINDOW=FIRST_POPUP&amp;HEIGHT=450&amp;WIDTH=450&amp;START_MA","XIMIZED=FALSE&amp;VAR:CALENDAR=US&amp;VAR:SYMBOL=G0129K10&amp;VAR:INDEX=0"}</definedName>
    <definedName name="_7909__FDSAUDITLINK__" hidden="1">{"fdsup://directions/FAT Viewer?action=UPDATE&amp;creator=factset&amp;DYN_ARGS=TRUE&amp;DOC_NAME=FAT:FQL_AUDITING_CLIENT_TEMPLATE.FAT&amp;display_string=Audit&amp;VAR:KEY=NINOFWRQLY&amp;VAR:QUERY=RkZfRUJJVERBX0lCKCdMVE1TJywzOTYzMik=&amp;WINDOW=FIRST_POPUP&amp;HEIGHT=450&amp;WIDTH=450&amp;START_MA","XIMIZED=FALSE&amp;VAR:CALENDAR=US&amp;VAR:SYMBOL=G0129K10&amp;VAR:INDEX=0"}</definedName>
    <definedName name="_791__FDSAUDITLINK__" localSheetId="6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1__FDSAUDITLINK__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10__FDSAUDITLINK__" localSheetId="6" hidden="1">{"fdsup://directions/FAT Viewer?action=UPDATE&amp;creator=factset&amp;DYN_ARGS=TRUE&amp;DOC_NAME=FAT:FQL_AUDITING_CLIENT_TEMPLATE.FAT&amp;display_string=Audit&amp;VAR:KEY=DCLCJMRSHQ&amp;VAR:QUERY=RkZfRUJJVERBX0lCKCdMVE1TJywzOTYzMSk=&amp;WINDOW=FIRST_POPUP&amp;HEIGHT=450&amp;WIDTH=450&amp;START_MA","XIMIZED=FALSE&amp;VAR:CALENDAR=US&amp;VAR:SYMBOL=G0129K10&amp;VAR:INDEX=0"}</definedName>
    <definedName name="_7910__FDSAUDITLINK__" hidden="1">{"fdsup://directions/FAT Viewer?action=UPDATE&amp;creator=factset&amp;DYN_ARGS=TRUE&amp;DOC_NAME=FAT:FQL_AUDITING_CLIENT_TEMPLATE.FAT&amp;display_string=Audit&amp;VAR:KEY=DCLCJMRSHQ&amp;VAR:QUERY=RkZfRUJJVERBX0lCKCdMVE1TJywzOTYzMSk=&amp;WINDOW=FIRST_POPUP&amp;HEIGHT=450&amp;WIDTH=450&amp;START_MA","XIMIZED=FALSE&amp;VAR:CALENDAR=US&amp;VAR:SYMBOL=G0129K10&amp;VAR:INDEX=0"}</definedName>
    <definedName name="_7911__FDSAUDITLINK__" localSheetId="6" hidden="1">{"fdsup://directions/FAT Viewer?action=UPDATE&amp;creator=factset&amp;DYN_ARGS=TRUE&amp;DOC_NAME=FAT:FQL_AUDITING_CLIENT_TEMPLATE.FAT&amp;display_string=Audit&amp;VAR:KEY=DKBQRIPYFW&amp;VAR:QUERY=RkZfRUJJVERBX0lCKCdMVE1TJywzOTYzMCk=&amp;WINDOW=FIRST_POPUP&amp;HEIGHT=450&amp;WIDTH=450&amp;START_MA","XIMIZED=FALSE&amp;VAR:CALENDAR=US&amp;VAR:SYMBOL=G0129K10&amp;VAR:INDEX=0"}</definedName>
    <definedName name="_7911__FDSAUDITLINK__" hidden="1">{"fdsup://directions/FAT Viewer?action=UPDATE&amp;creator=factset&amp;DYN_ARGS=TRUE&amp;DOC_NAME=FAT:FQL_AUDITING_CLIENT_TEMPLATE.FAT&amp;display_string=Audit&amp;VAR:KEY=DKBQRIPYFW&amp;VAR:QUERY=RkZfRUJJVERBX0lCKCdMVE1TJywzOTYzMCk=&amp;WINDOW=FIRST_POPUP&amp;HEIGHT=450&amp;WIDTH=450&amp;START_MA","XIMIZED=FALSE&amp;VAR:CALENDAR=US&amp;VAR:SYMBOL=G0129K10&amp;VAR:INDEX=0"}</definedName>
    <definedName name="_7912__FDSAUDITLINK__" localSheetId="6" hidden="1">{"fdsup://directions/FAT Viewer?action=UPDATE&amp;creator=factset&amp;DYN_ARGS=TRUE&amp;DOC_NAME=FAT:FQL_AUDITING_CLIENT_TEMPLATE.FAT&amp;display_string=Audit&amp;VAR:KEY=VUDWHUJMZO&amp;VAR:QUERY=RkZfRUJJVERBX0lCKCdMVE1TJywzOTYyOSk=&amp;WINDOW=FIRST_POPUP&amp;HEIGHT=450&amp;WIDTH=450&amp;START_MA","XIMIZED=FALSE&amp;VAR:CALENDAR=US&amp;VAR:SYMBOL=G0129K10&amp;VAR:INDEX=0"}</definedName>
    <definedName name="_7912__FDSAUDITLINK__" hidden="1">{"fdsup://directions/FAT Viewer?action=UPDATE&amp;creator=factset&amp;DYN_ARGS=TRUE&amp;DOC_NAME=FAT:FQL_AUDITING_CLIENT_TEMPLATE.FAT&amp;display_string=Audit&amp;VAR:KEY=VUDWHUJMZO&amp;VAR:QUERY=RkZfRUJJVERBX0lCKCdMVE1TJywzOTYyOSk=&amp;WINDOW=FIRST_POPUP&amp;HEIGHT=450&amp;WIDTH=450&amp;START_MA","XIMIZED=FALSE&amp;VAR:CALENDAR=US&amp;VAR:SYMBOL=G0129K10&amp;VAR:INDEX=0"}</definedName>
    <definedName name="_7913__FDSAUDITLINK__" localSheetId="6" hidden="1">{"fdsup://directions/FAT Viewer?action=UPDATE&amp;creator=factset&amp;DYN_ARGS=TRUE&amp;DOC_NAME=FAT:FQL_AUDITING_CLIENT_TEMPLATE.FAT&amp;display_string=Audit&amp;VAR:KEY=HSXURCDMPO&amp;VAR:QUERY=RkZfRUJJVERBX0lCKCdMVE1TJywzOTYyOCk=&amp;WINDOW=FIRST_POPUP&amp;HEIGHT=450&amp;WIDTH=450&amp;START_MA","XIMIZED=FALSE&amp;VAR:CALENDAR=US&amp;VAR:SYMBOL=G0129K10&amp;VAR:INDEX=0"}</definedName>
    <definedName name="_7913__FDSAUDITLINK__" hidden="1">{"fdsup://directions/FAT Viewer?action=UPDATE&amp;creator=factset&amp;DYN_ARGS=TRUE&amp;DOC_NAME=FAT:FQL_AUDITING_CLIENT_TEMPLATE.FAT&amp;display_string=Audit&amp;VAR:KEY=HSXURCDMPO&amp;VAR:QUERY=RkZfRUJJVERBX0lCKCdMVE1TJywzOTYyOCk=&amp;WINDOW=FIRST_POPUP&amp;HEIGHT=450&amp;WIDTH=450&amp;START_MA","XIMIZED=FALSE&amp;VAR:CALENDAR=US&amp;VAR:SYMBOL=G0129K10&amp;VAR:INDEX=0"}</definedName>
    <definedName name="_7914__FDSAUDITLINK__" localSheetId="6" hidden="1">{"fdsup://directions/FAT Viewer?action=UPDATE&amp;creator=factset&amp;DYN_ARGS=TRUE&amp;DOC_NAME=FAT:FQL_AUDITING_CLIENT_TEMPLATE.FAT&amp;display_string=Audit&amp;VAR:KEY=XAHIRYFALA&amp;VAR:QUERY=RkZfRUJJVERBX0lCKCdMVE1TJywzOTYyNyk=&amp;WINDOW=FIRST_POPUP&amp;HEIGHT=450&amp;WIDTH=450&amp;START_MA","XIMIZED=FALSE&amp;VAR:CALENDAR=US&amp;VAR:SYMBOL=G0129K10&amp;VAR:INDEX=0"}</definedName>
    <definedName name="_7914__FDSAUDITLINK__" hidden="1">{"fdsup://directions/FAT Viewer?action=UPDATE&amp;creator=factset&amp;DYN_ARGS=TRUE&amp;DOC_NAME=FAT:FQL_AUDITING_CLIENT_TEMPLATE.FAT&amp;display_string=Audit&amp;VAR:KEY=XAHIRYFALA&amp;VAR:QUERY=RkZfRUJJVERBX0lCKCdMVE1TJywzOTYyNyk=&amp;WINDOW=FIRST_POPUP&amp;HEIGHT=450&amp;WIDTH=450&amp;START_MA","XIMIZED=FALSE&amp;VAR:CALENDAR=US&amp;VAR:SYMBOL=G0129K10&amp;VAR:INDEX=0"}</definedName>
    <definedName name="_7915__FDSAUDITLINK__" localSheetId="6" hidden="1">{"fdsup://directions/FAT Viewer?action=UPDATE&amp;creator=factset&amp;DYN_ARGS=TRUE&amp;DOC_NAME=FAT:FQL_AUDITING_CLIENT_TEMPLATE.FAT&amp;display_string=Audit&amp;VAR:KEY=NWZCNGPKZG&amp;VAR:QUERY=RkZfRUJJVERBX0lCKCdMVE1TJywzOTYyNik=&amp;WINDOW=FIRST_POPUP&amp;HEIGHT=450&amp;WIDTH=450&amp;START_MA","XIMIZED=FALSE&amp;VAR:CALENDAR=US&amp;VAR:SYMBOL=G0129K10&amp;VAR:INDEX=0"}</definedName>
    <definedName name="_7915__FDSAUDITLINK__" hidden="1">{"fdsup://directions/FAT Viewer?action=UPDATE&amp;creator=factset&amp;DYN_ARGS=TRUE&amp;DOC_NAME=FAT:FQL_AUDITING_CLIENT_TEMPLATE.FAT&amp;display_string=Audit&amp;VAR:KEY=NWZCNGPKZG&amp;VAR:QUERY=RkZfRUJJVERBX0lCKCdMVE1TJywzOTYyNik=&amp;WINDOW=FIRST_POPUP&amp;HEIGHT=450&amp;WIDTH=450&amp;START_MA","XIMIZED=FALSE&amp;VAR:CALENDAR=US&amp;VAR:SYMBOL=G0129K10&amp;VAR:INDEX=0"}</definedName>
    <definedName name="_7916__FDSAUDITLINK__" localSheetId="6" hidden="1">{"fdsup://directions/FAT Viewer?action=UPDATE&amp;creator=factset&amp;DYN_ARGS=TRUE&amp;DOC_NAME=FAT:FQL_AUDITING_CLIENT_TEMPLATE.FAT&amp;display_string=Audit&amp;VAR:KEY=JEPIDMFOJU&amp;VAR:QUERY=RkZfRUJJVERBX0lCKCdMVE1TJywzOTYyNSk=&amp;WINDOW=FIRST_POPUP&amp;HEIGHT=450&amp;WIDTH=450&amp;START_MA","XIMIZED=FALSE&amp;VAR:CALENDAR=US&amp;VAR:SYMBOL=G0129K10&amp;VAR:INDEX=0"}</definedName>
    <definedName name="_7916__FDSAUDITLINK__" hidden="1">{"fdsup://directions/FAT Viewer?action=UPDATE&amp;creator=factset&amp;DYN_ARGS=TRUE&amp;DOC_NAME=FAT:FQL_AUDITING_CLIENT_TEMPLATE.FAT&amp;display_string=Audit&amp;VAR:KEY=JEPIDMFOJU&amp;VAR:QUERY=RkZfRUJJVERBX0lCKCdMVE1TJywzOTYyNSk=&amp;WINDOW=FIRST_POPUP&amp;HEIGHT=450&amp;WIDTH=450&amp;START_MA","XIMIZED=FALSE&amp;VAR:CALENDAR=US&amp;VAR:SYMBOL=G0129K10&amp;VAR:INDEX=0"}</definedName>
    <definedName name="_7917__FDSAUDITLINK__" localSheetId="6" hidden="1">{"fdsup://directions/FAT Viewer?action=UPDATE&amp;creator=factset&amp;DYN_ARGS=TRUE&amp;DOC_NAME=FAT:FQL_AUDITING_CLIENT_TEMPLATE.FAT&amp;display_string=Audit&amp;VAR:KEY=ZIJMNWTMJI&amp;VAR:QUERY=RkZfRUJJVERBX0lCKCdMVE1TJywzOTYyNCk=&amp;WINDOW=FIRST_POPUP&amp;HEIGHT=450&amp;WIDTH=450&amp;START_MA","XIMIZED=FALSE&amp;VAR:CALENDAR=US&amp;VAR:SYMBOL=G0129K10&amp;VAR:INDEX=0"}</definedName>
    <definedName name="_7917__FDSAUDITLINK__" hidden="1">{"fdsup://directions/FAT Viewer?action=UPDATE&amp;creator=factset&amp;DYN_ARGS=TRUE&amp;DOC_NAME=FAT:FQL_AUDITING_CLIENT_TEMPLATE.FAT&amp;display_string=Audit&amp;VAR:KEY=ZIJMNWTMJI&amp;VAR:QUERY=RkZfRUJJVERBX0lCKCdMVE1TJywzOTYyNCk=&amp;WINDOW=FIRST_POPUP&amp;HEIGHT=450&amp;WIDTH=450&amp;START_MA","XIMIZED=FALSE&amp;VAR:CALENDAR=US&amp;VAR:SYMBOL=G0129K10&amp;VAR:INDEX=0"}</definedName>
    <definedName name="_7918__FDSAUDITLINK__" localSheetId="6" hidden="1">{"fdsup://directions/FAT Viewer?action=UPDATE&amp;creator=factset&amp;DYN_ARGS=TRUE&amp;DOC_NAME=FAT:FQL_AUDITING_CLIENT_TEMPLATE.FAT&amp;display_string=Audit&amp;VAR:KEY=VEZENUNIRG&amp;VAR:QUERY=RkZfRUJJVERBX0lCKCdMVE1TJywzOTYyMyk=&amp;WINDOW=FIRST_POPUP&amp;HEIGHT=450&amp;WIDTH=450&amp;START_MA","XIMIZED=FALSE&amp;VAR:CALENDAR=US&amp;VAR:SYMBOL=G0129K10&amp;VAR:INDEX=0"}</definedName>
    <definedName name="_7918__FDSAUDITLINK__" hidden="1">{"fdsup://directions/FAT Viewer?action=UPDATE&amp;creator=factset&amp;DYN_ARGS=TRUE&amp;DOC_NAME=FAT:FQL_AUDITING_CLIENT_TEMPLATE.FAT&amp;display_string=Audit&amp;VAR:KEY=VEZENUNIRG&amp;VAR:QUERY=RkZfRUJJVERBX0lCKCdMVE1TJywzOTYyMyk=&amp;WINDOW=FIRST_POPUP&amp;HEIGHT=450&amp;WIDTH=450&amp;START_MA","XIMIZED=FALSE&amp;VAR:CALENDAR=US&amp;VAR:SYMBOL=G0129K10&amp;VAR:INDEX=0"}</definedName>
    <definedName name="_7919__FDSAUDITLINK__" localSheetId="6" hidden="1">{"fdsup://directions/FAT Viewer?action=UPDATE&amp;creator=factset&amp;DYN_ARGS=TRUE&amp;DOC_NAME=FAT:FQL_AUDITING_CLIENT_TEMPLATE.FAT&amp;display_string=Audit&amp;VAR:KEY=ZSRSTELGPW&amp;VAR:QUERY=RkZfRUJJVERBX0lCKCdMVE1TJywzOTYyMik=&amp;WINDOW=FIRST_POPUP&amp;HEIGHT=450&amp;WIDTH=450&amp;START_MA","XIMIZED=FALSE&amp;VAR:CALENDAR=US&amp;VAR:SYMBOL=G0129K10&amp;VAR:INDEX=0"}</definedName>
    <definedName name="_7919__FDSAUDITLINK__" hidden="1">{"fdsup://directions/FAT Viewer?action=UPDATE&amp;creator=factset&amp;DYN_ARGS=TRUE&amp;DOC_NAME=FAT:FQL_AUDITING_CLIENT_TEMPLATE.FAT&amp;display_string=Audit&amp;VAR:KEY=ZSRSTELGPW&amp;VAR:QUERY=RkZfRUJJVERBX0lCKCdMVE1TJywzOTYyMik=&amp;WINDOW=FIRST_POPUP&amp;HEIGHT=450&amp;WIDTH=450&amp;START_MA","XIMIZED=FALSE&amp;VAR:CALENDAR=US&amp;VAR:SYMBOL=G0129K10&amp;VAR:INDEX=0"}</definedName>
    <definedName name="_792__FDSAUDITLINK__" localSheetId="6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2__FDSAUDITLINK__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20__FDSAUDITLINK__" localSheetId="6" hidden="1">{"fdsup://directions/FAT Viewer?action=UPDATE&amp;creator=factset&amp;DYN_ARGS=TRUE&amp;DOC_NAME=FAT:FQL_AUDITING_CLIENT_TEMPLATE.FAT&amp;display_string=Audit&amp;VAR:KEY=ZANQZGFEBI&amp;VAR:QUERY=RkZfRUJJVERBX0lCKCdMVE1TJywzOTYyMSk=&amp;WINDOW=FIRST_POPUP&amp;HEIGHT=450&amp;WIDTH=450&amp;START_MA","XIMIZED=FALSE&amp;VAR:CALENDAR=US&amp;VAR:SYMBOL=G0129K10&amp;VAR:INDEX=0"}</definedName>
    <definedName name="_7920__FDSAUDITLINK__" hidden="1">{"fdsup://directions/FAT Viewer?action=UPDATE&amp;creator=factset&amp;DYN_ARGS=TRUE&amp;DOC_NAME=FAT:FQL_AUDITING_CLIENT_TEMPLATE.FAT&amp;display_string=Audit&amp;VAR:KEY=ZANQZGFEBI&amp;VAR:QUERY=RkZfRUJJVERBX0lCKCdMVE1TJywzOTYyMSk=&amp;WINDOW=FIRST_POPUP&amp;HEIGHT=450&amp;WIDTH=450&amp;START_MA","XIMIZED=FALSE&amp;VAR:CALENDAR=US&amp;VAR:SYMBOL=G0129K10&amp;VAR:INDEX=0"}</definedName>
    <definedName name="_7921__FDSAUDITLINK__" localSheetId="6" hidden="1">{"fdsup://directions/FAT Viewer?action=UPDATE&amp;creator=factset&amp;DYN_ARGS=TRUE&amp;DOC_NAME=FAT:FQL_AUDITING_CLIENT_TEMPLATE.FAT&amp;display_string=Audit&amp;VAR:KEY=DGTORODULQ&amp;VAR:QUERY=RkZfRUJJVERBX0lCKCdMVE1TJywzOTYyMCk=&amp;WINDOW=FIRST_POPUP&amp;HEIGHT=450&amp;WIDTH=450&amp;START_MA","XIMIZED=FALSE&amp;VAR:CALENDAR=US&amp;VAR:SYMBOL=G0129K10&amp;VAR:INDEX=0"}</definedName>
    <definedName name="_7921__FDSAUDITLINK__" hidden="1">{"fdsup://directions/FAT Viewer?action=UPDATE&amp;creator=factset&amp;DYN_ARGS=TRUE&amp;DOC_NAME=FAT:FQL_AUDITING_CLIENT_TEMPLATE.FAT&amp;display_string=Audit&amp;VAR:KEY=DGTORODULQ&amp;VAR:QUERY=RkZfRUJJVERBX0lCKCdMVE1TJywzOTYyMCk=&amp;WINDOW=FIRST_POPUP&amp;HEIGHT=450&amp;WIDTH=450&amp;START_MA","XIMIZED=FALSE&amp;VAR:CALENDAR=US&amp;VAR:SYMBOL=G0129K10&amp;VAR:INDEX=0"}</definedName>
    <definedName name="_7922__FDSAUDITLINK__" localSheetId="6" hidden="1">{"fdsup://directions/FAT Viewer?action=UPDATE&amp;creator=factset&amp;DYN_ARGS=TRUE&amp;DOC_NAME=FAT:FQL_AUDITING_CLIENT_TEMPLATE.FAT&amp;display_string=Audit&amp;VAR:KEY=LQJQHQLMTY&amp;VAR:QUERY=RkZfRUJJVERBX0lCKCdMVE1TJywzOTYxOSk=&amp;WINDOW=FIRST_POPUP&amp;HEIGHT=450&amp;WIDTH=450&amp;START_MA","XIMIZED=FALSE&amp;VAR:CALENDAR=US&amp;VAR:SYMBOL=G0129K10&amp;VAR:INDEX=0"}</definedName>
    <definedName name="_7922__FDSAUDITLINK__" hidden="1">{"fdsup://directions/FAT Viewer?action=UPDATE&amp;creator=factset&amp;DYN_ARGS=TRUE&amp;DOC_NAME=FAT:FQL_AUDITING_CLIENT_TEMPLATE.FAT&amp;display_string=Audit&amp;VAR:KEY=LQJQHQLMTY&amp;VAR:QUERY=RkZfRUJJVERBX0lCKCdMVE1TJywzOTYxOSk=&amp;WINDOW=FIRST_POPUP&amp;HEIGHT=450&amp;WIDTH=450&amp;START_MA","XIMIZED=FALSE&amp;VAR:CALENDAR=US&amp;VAR:SYMBOL=G0129K10&amp;VAR:INDEX=0"}</definedName>
    <definedName name="_7923__FDSAUDITLINK__" localSheetId="6" hidden="1">{"fdsup://directions/FAT Viewer?action=UPDATE&amp;creator=factset&amp;DYN_ARGS=TRUE&amp;DOC_NAME=FAT:FQL_AUDITING_CLIENT_TEMPLATE.FAT&amp;display_string=Audit&amp;VAR:KEY=TGLWROPIPG&amp;VAR:QUERY=RkZfRUJJVERBX0lCKCdMVE1TJywzOTYxOCk=&amp;WINDOW=FIRST_POPUP&amp;HEIGHT=450&amp;WIDTH=450&amp;START_MA","XIMIZED=FALSE&amp;VAR:CALENDAR=US&amp;VAR:SYMBOL=G0129K10&amp;VAR:INDEX=0"}</definedName>
    <definedName name="_7923__FDSAUDITLINK__" hidden="1">{"fdsup://directions/FAT Viewer?action=UPDATE&amp;creator=factset&amp;DYN_ARGS=TRUE&amp;DOC_NAME=FAT:FQL_AUDITING_CLIENT_TEMPLATE.FAT&amp;display_string=Audit&amp;VAR:KEY=TGLWROPIPG&amp;VAR:QUERY=RkZfRUJJVERBX0lCKCdMVE1TJywzOTYxOCk=&amp;WINDOW=FIRST_POPUP&amp;HEIGHT=450&amp;WIDTH=450&amp;START_MA","XIMIZED=FALSE&amp;VAR:CALENDAR=US&amp;VAR:SYMBOL=G0129K10&amp;VAR:INDEX=0"}</definedName>
    <definedName name="_7924__FDSAUDITLINK__" localSheetId="6" hidden="1">{"fdsup://directions/FAT Viewer?action=UPDATE&amp;creator=factset&amp;DYN_ARGS=TRUE&amp;DOC_NAME=FAT:FQL_AUDITING_CLIENT_TEMPLATE.FAT&amp;display_string=Audit&amp;VAR:KEY=ZKPMFWZORY&amp;VAR:QUERY=RkZfRUJJVERBX0lCKCdMVE1TJywzOTYxNyk=&amp;WINDOW=FIRST_POPUP&amp;HEIGHT=450&amp;WIDTH=450&amp;START_MA","XIMIZED=FALSE&amp;VAR:CALENDAR=US&amp;VAR:SYMBOL=G0129K10&amp;VAR:INDEX=0"}</definedName>
    <definedName name="_7924__FDSAUDITLINK__" hidden="1">{"fdsup://directions/FAT Viewer?action=UPDATE&amp;creator=factset&amp;DYN_ARGS=TRUE&amp;DOC_NAME=FAT:FQL_AUDITING_CLIENT_TEMPLATE.FAT&amp;display_string=Audit&amp;VAR:KEY=ZKPMFWZORY&amp;VAR:QUERY=RkZfRUJJVERBX0lCKCdMVE1TJywzOTYxNyk=&amp;WINDOW=FIRST_POPUP&amp;HEIGHT=450&amp;WIDTH=450&amp;START_MA","XIMIZED=FALSE&amp;VAR:CALENDAR=US&amp;VAR:SYMBOL=G0129K10&amp;VAR:INDEX=0"}</definedName>
    <definedName name="_7925__FDSAUDITLINK__" localSheetId="6" hidden="1">{"fdsup://directions/FAT Viewer?action=UPDATE&amp;creator=factset&amp;DYN_ARGS=TRUE&amp;DOC_NAME=FAT:FQL_AUDITING_CLIENT_TEMPLATE.FAT&amp;display_string=Audit&amp;VAR:KEY=FMHULWDUTW&amp;VAR:QUERY=RkZfRUJJVERBX0lCKCdMVE1TJywzOTYxNik=&amp;WINDOW=FIRST_POPUP&amp;HEIGHT=450&amp;WIDTH=450&amp;START_MA","XIMIZED=FALSE&amp;VAR:CALENDAR=US&amp;VAR:SYMBOL=G0129K10&amp;VAR:INDEX=0"}</definedName>
    <definedName name="_7925__FDSAUDITLINK__" hidden="1">{"fdsup://directions/FAT Viewer?action=UPDATE&amp;creator=factset&amp;DYN_ARGS=TRUE&amp;DOC_NAME=FAT:FQL_AUDITING_CLIENT_TEMPLATE.FAT&amp;display_string=Audit&amp;VAR:KEY=FMHULWDUTW&amp;VAR:QUERY=RkZfRUJJVERBX0lCKCdMVE1TJywzOTYxNik=&amp;WINDOW=FIRST_POPUP&amp;HEIGHT=450&amp;WIDTH=450&amp;START_MA","XIMIZED=FALSE&amp;VAR:CALENDAR=US&amp;VAR:SYMBOL=G0129K10&amp;VAR:INDEX=0"}</definedName>
    <definedName name="_7926__FDSAUDITLINK__" localSheetId="6" hidden="1">{"fdsup://directions/FAT Viewer?action=UPDATE&amp;creator=factset&amp;DYN_ARGS=TRUE&amp;DOC_NAME=FAT:FQL_AUDITING_CLIENT_TEMPLATE.FAT&amp;display_string=Audit&amp;VAR:KEY=DWZUJANSZO&amp;VAR:QUERY=RkZfRUJJVERBX0lCKCdMVE1TJywzOTYxNSk=&amp;WINDOW=FIRST_POPUP&amp;HEIGHT=450&amp;WIDTH=450&amp;START_MA","XIMIZED=FALSE&amp;VAR:CALENDAR=US&amp;VAR:SYMBOL=G0129K10&amp;VAR:INDEX=0"}</definedName>
    <definedName name="_7926__FDSAUDITLINK__" hidden="1">{"fdsup://directions/FAT Viewer?action=UPDATE&amp;creator=factset&amp;DYN_ARGS=TRUE&amp;DOC_NAME=FAT:FQL_AUDITING_CLIENT_TEMPLATE.FAT&amp;display_string=Audit&amp;VAR:KEY=DWZUJANSZO&amp;VAR:QUERY=RkZfRUJJVERBX0lCKCdMVE1TJywzOTYxNSk=&amp;WINDOW=FIRST_POPUP&amp;HEIGHT=450&amp;WIDTH=450&amp;START_MA","XIMIZED=FALSE&amp;VAR:CALENDAR=US&amp;VAR:SYMBOL=G0129K10&amp;VAR:INDEX=0"}</definedName>
    <definedName name="_7927__FDSAUDITLINK__" localSheetId="6" hidden="1">{"fdsup://directions/FAT Viewer?action=UPDATE&amp;creator=factset&amp;DYN_ARGS=TRUE&amp;DOC_NAME=FAT:FQL_AUDITING_CLIENT_TEMPLATE.FAT&amp;display_string=Audit&amp;VAR:KEY=NAFSJKXMTQ&amp;VAR:QUERY=RkZfRUJJVERBX0lCKCdMVE1TJywzOTYxNCk=&amp;WINDOW=FIRST_POPUP&amp;HEIGHT=450&amp;WIDTH=450&amp;START_MA","XIMIZED=FALSE&amp;VAR:CALENDAR=US&amp;VAR:SYMBOL=G0129K10&amp;VAR:INDEX=0"}</definedName>
    <definedName name="_7927__FDSAUDITLINK__" hidden="1">{"fdsup://directions/FAT Viewer?action=UPDATE&amp;creator=factset&amp;DYN_ARGS=TRUE&amp;DOC_NAME=FAT:FQL_AUDITING_CLIENT_TEMPLATE.FAT&amp;display_string=Audit&amp;VAR:KEY=NAFSJKXMTQ&amp;VAR:QUERY=RkZfRUJJVERBX0lCKCdMVE1TJywzOTYxNCk=&amp;WINDOW=FIRST_POPUP&amp;HEIGHT=450&amp;WIDTH=450&amp;START_MA","XIMIZED=FALSE&amp;VAR:CALENDAR=US&amp;VAR:SYMBOL=G0129K10&amp;VAR:INDEX=0"}</definedName>
    <definedName name="_7928__FDSAUDITLINK__" localSheetId="6" hidden="1">{"fdsup://directions/FAT Viewer?action=UPDATE&amp;creator=factset&amp;DYN_ARGS=TRUE&amp;DOC_NAME=FAT:FQL_AUDITING_CLIENT_TEMPLATE.FAT&amp;display_string=Audit&amp;VAR:KEY=HEVKHQFABM&amp;VAR:QUERY=RkZfRUJJVERBX0lCKCdMVE1TJywzOTYxMyk=&amp;WINDOW=FIRST_POPUP&amp;HEIGHT=450&amp;WIDTH=450&amp;START_MA","XIMIZED=FALSE&amp;VAR:CALENDAR=US&amp;VAR:SYMBOL=G0129K10&amp;VAR:INDEX=0"}</definedName>
    <definedName name="_7928__FDSAUDITLINK__" hidden="1">{"fdsup://directions/FAT Viewer?action=UPDATE&amp;creator=factset&amp;DYN_ARGS=TRUE&amp;DOC_NAME=FAT:FQL_AUDITING_CLIENT_TEMPLATE.FAT&amp;display_string=Audit&amp;VAR:KEY=HEVKHQFABM&amp;VAR:QUERY=RkZfRUJJVERBX0lCKCdMVE1TJywzOTYxMyk=&amp;WINDOW=FIRST_POPUP&amp;HEIGHT=450&amp;WIDTH=450&amp;START_MA","XIMIZED=FALSE&amp;VAR:CALENDAR=US&amp;VAR:SYMBOL=G0129K10&amp;VAR:INDEX=0"}</definedName>
    <definedName name="_7929__FDSAUDITLINK__" localSheetId="6" hidden="1">{"fdsup://directions/FAT Viewer?action=UPDATE&amp;creator=factset&amp;DYN_ARGS=TRUE&amp;DOC_NAME=FAT:FQL_AUDITING_CLIENT_TEMPLATE.FAT&amp;display_string=Audit&amp;VAR:KEY=FGPQJEZGBK&amp;VAR:QUERY=RkZfRUJJVERBX0lCKCdMVE1TJywzOTYxMik=&amp;WINDOW=FIRST_POPUP&amp;HEIGHT=450&amp;WIDTH=450&amp;START_MA","XIMIZED=FALSE&amp;VAR:CALENDAR=US&amp;VAR:SYMBOL=G0129K10&amp;VAR:INDEX=0"}</definedName>
    <definedName name="_7929__FDSAUDITLINK__" hidden="1">{"fdsup://directions/FAT Viewer?action=UPDATE&amp;creator=factset&amp;DYN_ARGS=TRUE&amp;DOC_NAME=FAT:FQL_AUDITING_CLIENT_TEMPLATE.FAT&amp;display_string=Audit&amp;VAR:KEY=FGPQJEZGBK&amp;VAR:QUERY=RkZfRUJJVERBX0lCKCdMVE1TJywzOTYxMik=&amp;WINDOW=FIRST_POPUP&amp;HEIGHT=450&amp;WIDTH=450&amp;START_MA","XIMIZED=FALSE&amp;VAR:CALENDAR=US&amp;VAR:SYMBOL=G0129K10&amp;VAR:INDEX=0"}</definedName>
    <definedName name="_793__FDSAUDITLINK__" localSheetId="6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3__FDSAUDITLINK__" hidden="1">{"fdsup://directions/FAT%20Viewer?VAR:PED=LTM&amp;VAR:AUDIT_MODE=SUMMARY&amp;VAR:PERIOD=FIXED&amp;VAR:AUDIT_ID=00000117&amp;VAR:DATE=20071221&amp;action=UPDATE&amp;creator=factset&amp;DOC_NAME=FAT:FMA_audit_SUMMARY.fat&amp;DISPLAY_STRING=Display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30__FDSAUDITLINK__" localSheetId="6" hidden="1">{"fdsup://directions/FAT Viewer?action=UPDATE&amp;creator=factset&amp;DYN_ARGS=TRUE&amp;DOC_NAME=FAT:FQL_AUDITING_CLIENT_TEMPLATE.FAT&amp;display_string=Audit&amp;VAR:KEY=RUVYPWNCXQ&amp;VAR:QUERY=RkZfRUJJVERBX0lCKCdMVE1TJywzOTYxMSk=&amp;WINDOW=FIRST_POPUP&amp;HEIGHT=450&amp;WIDTH=450&amp;START_MA","XIMIZED=FALSE&amp;VAR:CALENDAR=US&amp;VAR:SYMBOL=G0129K10&amp;VAR:INDEX=0"}</definedName>
    <definedName name="_7930__FDSAUDITLINK__" hidden="1">{"fdsup://directions/FAT Viewer?action=UPDATE&amp;creator=factset&amp;DYN_ARGS=TRUE&amp;DOC_NAME=FAT:FQL_AUDITING_CLIENT_TEMPLATE.FAT&amp;display_string=Audit&amp;VAR:KEY=RUVYPWNCXQ&amp;VAR:QUERY=RkZfRUJJVERBX0lCKCdMVE1TJywzOTYxMSk=&amp;WINDOW=FIRST_POPUP&amp;HEIGHT=450&amp;WIDTH=450&amp;START_MA","XIMIZED=FALSE&amp;VAR:CALENDAR=US&amp;VAR:SYMBOL=G0129K10&amp;VAR:INDEX=0"}</definedName>
    <definedName name="_7931__FDSAUDITLINK__" localSheetId="6" hidden="1">{"fdsup://directions/FAT Viewer?action=UPDATE&amp;creator=factset&amp;DYN_ARGS=TRUE&amp;DOC_NAME=FAT:FQL_AUDITING_CLIENT_TEMPLATE.FAT&amp;display_string=Audit&amp;VAR:KEY=LKXYHCZQNG&amp;VAR:QUERY=RkZfRUJJVERBX0lCKCdMVE1TJywzOTYxMCk=&amp;WINDOW=FIRST_POPUP&amp;HEIGHT=450&amp;WIDTH=450&amp;START_MA","XIMIZED=FALSE&amp;VAR:CALENDAR=US&amp;VAR:SYMBOL=G0129K10&amp;VAR:INDEX=0"}</definedName>
    <definedName name="_7931__FDSAUDITLINK__" hidden="1">{"fdsup://directions/FAT Viewer?action=UPDATE&amp;creator=factset&amp;DYN_ARGS=TRUE&amp;DOC_NAME=FAT:FQL_AUDITING_CLIENT_TEMPLATE.FAT&amp;display_string=Audit&amp;VAR:KEY=LKXYHCZQNG&amp;VAR:QUERY=RkZfRUJJVERBX0lCKCdMVE1TJywzOTYxMCk=&amp;WINDOW=FIRST_POPUP&amp;HEIGHT=450&amp;WIDTH=450&amp;START_MA","XIMIZED=FALSE&amp;VAR:CALENDAR=US&amp;VAR:SYMBOL=G0129K10&amp;VAR:INDEX=0"}</definedName>
    <definedName name="_7932__FDSAUDITLINK__" localSheetId="6" hidden="1">{"fdsup://directions/FAT Viewer?action=UPDATE&amp;creator=factset&amp;DYN_ARGS=TRUE&amp;DOC_NAME=FAT:FQL_AUDITING_CLIENT_TEMPLATE.FAT&amp;display_string=Audit&amp;VAR:KEY=TGHMFMZUBO&amp;VAR:QUERY=RkZfRUJJVERBX0lCKCdMVE1TJywzOTYwOSk=&amp;WINDOW=FIRST_POPUP&amp;HEIGHT=450&amp;WIDTH=450&amp;START_MA","XIMIZED=FALSE&amp;VAR:CALENDAR=US&amp;VAR:SYMBOL=G0129K10&amp;VAR:INDEX=0"}</definedName>
    <definedName name="_7932__FDSAUDITLINK__" hidden="1">{"fdsup://directions/FAT Viewer?action=UPDATE&amp;creator=factset&amp;DYN_ARGS=TRUE&amp;DOC_NAME=FAT:FQL_AUDITING_CLIENT_TEMPLATE.FAT&amp;display_string=Audit&amp;VAR:KEY=TGHMFMZUBO&amp;VAR:QUERY=RkZfRUJJVERBX0lCKCdMVE1TJywzOTYwOSk=&amp;WINDOW=FIRST_POPUP&amp;HEIGHT=450&amp;WIDTH=450&amp;START_MA","XIMIZED=FALSE&amp;VAR:CALENDAR=US&amp;VAR:SYMBOL=G0129K10&amp;VAR:INDEX=0"}</definedName>
    <definedName name="_7933__FDSAUDITLINK__" localSheetId="6" hidden="1">{"fdsup://directions/FAT Viewer?action=UPDATE&amp;creator=factset&amp;DYN_ARGS=TRUE&amp;DOC_NAME=FAT:FQL_AUDITING_CLIENT_TEMPLATE.FAT&amp;display_string=Audit&amp;VAR:KEY=DWXQTWXEFM&amp;VAR:QUERY=RkZfRUJJVERBX0lCKCdMVE1TJywzOTYwOCk=&amp;WINDOW=FIRST_POPUP&amp;HEIGHT=450&amp;WIDTH=450&amp;START_MA","XIMIZED=FALSE&amp;VAR:CALENDAR=US&amp;VAR:SYMBOL=G0129K10&amp;VAR:INDEX=0"}</definedName>
    <definedName name="_7933__FDSAUDITLINK__" hidden="1">{"fdsup://directions/FAT Viewer?action=UPDATE&amp;creator=factset&amp;DYN_ARGS=TRUE&amp;DOC_NAME=FAT:FQL_AUDITING_CLIENT_TEMPLATE.FAT&amp;display_string=Audit&amp;VAR:KEY=DWXQTWXEFM&amp;VAR:QUERY=RkZfRUJJVERBX0lCKCdMVE1TJywzOTYwOCk=&amp;WINDOW=FIRST_POPUP&amp;HEIGHT=450&amp;WIDTH=450&amp;START_MA","XIMIZED=FALSE&amp;VAR:CALENDAR=US&amp;VAR:SYMBOL=G0129K10&amp;VAR:INDEX=0"}</definedName>
    <definedName name="_7934__FDSAUDITLINK__" localSheetId="6" hidden="1">{"fdsup://directions/FAT Viewer?action=UPDATE&amp;creator=factset&amp;DYN_ARGS=TRUE&amp;DOC_NAME=FAT:FQL_AUDITING_CLIENT_TEMPLATE.FAT&amp;display_string=Audit&amp;VAR:KEY=VSLQNCDILM&amp;VAR:QUERY=RkZfRUJJVERBX0lCKCdMVE1TJywzOTYwNyk=&amp;WINDOW=FIRST_POPUP&amp;HEIGHT=450&amp;WIDTH=450&amp;START_MA","XIMIZED=FALSE&amp;VAR:CALENDAR=US&amp;VAR:SYMBOL=G0129K10&amp;VAR:INDEX=0"}</definedName>
    <definedName name="_7934__FDSAUDITLINK__" hidden="1">{"fdsup://directions/FAT Viewer?action=UPDATE&amp;creator=factset&amp;DYN_ARGS=TRUE&amp;DOC_NAME=FAT:FQL_AUDITING_CLIENT_TEMPLATE.FAT&amp;display_string=Audit&amp;VAR:KEY=VSLQNCDILM&amp;VAR:QUERY=RkZfRUJJVERBX0lCKCdMVE1TJywzOTYwNyk=&amp;WINDOW=FIRST_POPUP&amp;HEIGHT=450&amp;WIDTH=450&amp;START_MA","XIMIZED=FALSE&amp;VAR:CALENDAR=US&amp;VAR:SYMBOL=G0129K10&amp;VAR:INDEX=0"}</definedName>
    <definedName name="_7935__FDSAUDITLINK__" localSheetId="6" hidden="1">{"fdsup://directions/FAT Viewer?action=UPDATE&amp;creator=factset&amp;DYN_ARGS=TRUE&amp;DOC_NAME=FAT:FQL_AUDITING_CLIENT_TEMPLATE.FAT&amp;display_string=Audit&amp;VAR:KEY=POLSTGRORO&amp;VAR:QUERY=RkZfRUJJVERBX0lCKCdMVE1TJywzOTYwNik=&amp;WINDOW=FIRST_POPUP&amp;HEIGHT=450&amp;WIDTH=450&amp;START_MA","XIMIZED=FALSE&amp;VAR:CALENDAR=US&amp;VAR:SYMBOL=G0129K10&amp;VAR:INDEX=0"}</definedName>
    <definedName name="_7935__FDSAUDITLINK__" hidden="1">{"fdsup://directions/FAT Viewer?action=UPDATE&amp;creator=factset&amp;DYN_ARGS=TRUE&amp;DOC_NAME=FAT:FQL_AUDITING_CLIENT_TEMPLATE.FAT&amp;display_string=Audit&amp;VAR:KEY=POLSTGRORO&amp;VAR:QUERY=RkZfRUJJVERBX0lCKCdMVE1TJywzOTYwNik=&amp;WINDOW=FIRST_POPUP&amp;HEIGHT=450&amp;WIDTH=450&amp;START_MA","XIMIZED=FALSE&amp;VAR:CALENDAR=US&amp;VAR:SYMBOL=G0129K10&amp;VAR:INDEX=0"}</definedName>
    <definedName name="_7936__FDSAUDITLINK__" localSheetId="6" hidden="1">{"fdsup://directions/FAT Viewer?action=UPDATE&amp;creator=factset&amp;DYN_ARGS=TRUE&amp;DOC_NAME=FAT:FQL_AUDITING_CLIENT_TEMPLATE.FAT&amp;display_string=Audit&amp;VAR:KEY=DOLUVGZCZQ&amp;VAR:QUERY=RkZfRUJJVERBX0lCKCdMVE1TJywzOTYwNSk=&amp;WINDOW=FIRST_POPUP&amp;HEIGHT=450&amp;WIDTH=450&amp;START_MA","XIMIZED=FALSE&amp;VAR:CALENDAR=US&amp;VAR:SYMBOL=G0129K10&amp;VAR:INDEX=0"}</definedName>
    <definedName name="_7936__FDSAUDITLINK__" hidden="1">{"fdsup://directions/FAT Viewer?action=UPDATE&amp;creator=factset&amp;DYN_ARGS=TRUE&amp;DOC_NAME=FAT:FQL_AUDITING_CLIENT_TEMPLATE.FAT&amp;display_string=Audit&amp;VAR:KEY=DOLUVGZCZQ&amp;VAR:QUERY=RkZfRUJJVERBX0lCKCdMVE1TJywzOTYwNSk=&amp;WINDOW=FIRST_POPUP&amp;HEIGHT=450&amp;WIDTH=450&amp;START_MA","XIMIZED=FALSE&amp;VAR:CALENDAR=US&amp;VAR:SYMBOL=G0129K10&amp;VAR:INDEX=0"}</definedName>
    <definedName name="_7937__FDSAUDITLINK__" localSheetId="6" hidden="1">{"fdsup://directions/FAT Viewer?action=UPDATE&amp;creator=factset&amp;DYN_ARGS=TRUE&amp;DOC_NAME=FAT:FQL_AUDITING_CLIENT_TEMPLATE.FAT&amp;display_string=Audit&amp;VAR:KEY=LGLQTQPQNQ&amp;VAR:QUERY=RkZfRUJJVERBX0lCKCdMVE1TJywzOTYwNCk=&amp;WINDOW=FIRST_POPUP&amp;HEIGHT=450&amp;WIDTH=450&amp;START_MA","XIMIZED=FALSE&amp;VAR:CALENDAR=US&amp;VAR:SYMBOL=G0129K10&amp;VAR:INDEX=0"}</definedName>
    <definedName name="_7937__FDSAUDITLINK__" hidden="1">{"fdsup://directions/FAT Viewer?action=UPDATE&amp;creator=factset&amp;DYN_ARGS=TRUE&amp;DOC_NAME=FAT:FQL_AUDITING_CLIENT_TEMPLATE.FAT&amp;display_string=Audit&amp;VAR:KEY=LGLQTQPQNQ&amp;VAR:QUERY=RkZfRUJJVERBX0lCKCdMVE1TJywzOTYwNCk=&amp;WINDOW=FIRST_POPUP&amp;HEIGHT=450&amp;WIDTH=450&amp;START_MA","XIMIZED=FALSE&amp;VAR:CALENDAR=US&amp;VAR:SYMBOL=G0129K10&amp;VAR:INDEX=0"}</definedName>
    <definedName name="_7938__FDSAUDITLINK__" localSheetId="6" hidden="1">{"fdsup://directions/FAT Viewer?action=UPDATE&amp;creator=factset&amp;DYN_ARGS=TRUE&amp;DOC_NAME=FAT:FQL_AUDITING_CLIENT_TEMPLATE.FAT&amp;display_string=Audit&amp;VAR:KEY=LKVYLWDWLY&amp;VAR:QUERY=RkZfRUJJVERBX0lCKCdMVE1TJywzOTYwMyk=&amp;WINDOW=FIRST_POPUP&amp;HEIGHT=450&amp;WIDTH=450&amp;START_MA","XIMIZED=FALSE&amp;VAR:CALENDAR=US&amp;VAR:SYMBOL=G0129K10&amp;VAR:INDEX=0"}</definedName>
    <definedName name="_7938__FDSAUDITLINK__" hidden="1">{"fdsup://directions/FAT Viewer?action=UPDATE&amp;creator=factset&amp;DYN_ARGS=TRUE&amp;DOC_NAME=FAT:FQL_AUDITING_CLIENT_TEMPLATE.FAT&amp;display_string=Audit&amp;VAR:KEY=LKVYLWDWLY&amp;VAR:QUERY=RkZfRUJJVERBX0lCKCdMVE1TJywzOTYwMyk=&amp;WINDOW=FIRST_POPUP&amp;HEIGHT=450&amp;WIDTH=450&amp;START_MA","XIMIZED=FALSE&amp;VAR:CALENDAR=US&amp;VAR:SYMBOL=G0129K10&amp;VAR:INDEX=0"}</definedName>
    <definedName name="_7939__FDSAUDITLINK__" localSheetId="6" hidden="1">{"fdsup://directions/FAT Viewer?action=UPDATE&amp;creator=factset&amp;DYN_ARGS=TRUE&amp;DOC_NAME=FAT:FQL_AUDITING_CLIENT_TEMPLATE.FAT&amp;display_string=Audit&amp;VAR:KEY=BEBSHWHCBK&amp;VAR:QUERY=RkZfRUJJVERBX0lCKCdMVE1TJywzOTYwMik=&amp;WINDOW=FIRST_POPUP&amp;HEIGHT=450&amp;WIDTH=450&amp;START_MA","XIMIZED=FALSE&amp;VAR:CALENDAR=US&amp;VAR:SYMBOL=G0129K10&amp;VAR:INDEX=0"}</definedName>
    <definedName name="_7939__FDSAUDITLINK__" hidden="1">{"fdsup://directions/FAT Viewer?action=UPDATE&amp;creator=factset&amp;DYN_ARGS=TRUE&amp;DOC_NAME=FAT:FQL_AUDITING_CLIENT_TEMPLATE.FAT&amp;display_string=Audit&amp;VAR:KEY=BEBSHWHCBK&amp;VAR:QUERY=RkZfRUJJVERBX0lCKCdMVE1TJywzOTYwMik=&amp;WINDOW=FIRST_POPUP&amp;HEIGHT=450&amp;WIDTH=450&amp;START_MA","XIMIZED=FALSE&amp;VAR:CALENDAR=US&amp;VAR:SYMBOL=G0129K10&amp;VAR:INDEX=0"}</definedName>
    <definedName name="_794__FDSAUDITLINK__" localSheetId="6" hidden="1">{"fdsup://directions/FAT%20Viewer?VAR:PED=LTM&amp;VAR:AUDIT_MODE=SUMMARY&amp;VAR:PERIOD=FIXED&amp;VAR:AUDIT_ID=00000117&amp;VAR:DATE=20071220&amp;action=UPDATE&amp;creator=factset&amp;DOC_NAME=FAT:FMA_audit_SUMMARY.fat&amp;DISPLAY_STRING=Display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4__FDSAUDITLINK__" hidden="1">{"fdsup://directions/FAT%20Viewer?VAR:PED=LTM&amp;VAR:AUDIT_MODE=SUMMARY&amp;VAR:PERIOD=FIXED&amp;VAR:AUDIT_ID=00000117&amp;VAR:DATE=20071220&amp;action=UPDATE&amp;creator=factset&amp;DOC_NAME=FAT:FMA_audit_SUMMARY.fat&amp;DISPLAY_STRING=Display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40__FDSAUDITLINK__" localSheetId="6" hidden="1">{"fdsup://directions/FAT Viewer?action=UPDATE&amp;creator=factset&amp;DYN_ARGS=TRUE&amp;DOC_NAME=FAT:FQL_AUDITING_CLIENT_TEMPLATE.FAT&amp;display_string=Audit&amp;VAR:KEY=LQLWFWHKNO&amp;VAR:QUERY=RkZfRUJJVERBX0lCKCdMVE1TJywzOTYwMSk=&amp;WINDOW=FIRST_POPUP&amp;HEIGHT=450&amp;WIDTH=450&amp;START_MA","XIMIZED=FALSE&amp;VAR:CALENDAR=US&amp;VAR:SYMBOL=G0129K10&amp;VAR:INDEX=0"}</definedName>
    <definedName name="_7940__FDSAUDITLINK__" hidden="1">{"fdsup://directions/FAT Viewer?action=UPDATE&amp;creator=factset&amp;DYN_ARGS=TRUE&amp;DOC_NAME=FAT:FQL_AUDITING_CLIENT_TEMPLATE.FAT&amp;display_string=Audit&amp;VAR:KEY=LQLWFWHKNO&amp;VAR:QUERY=RkZfRUJJVERBX0lCKCdMVE1TJywzOTYwMSk=&amp;WINDOW=FIRST_POPUP&amp;HEIGHT=450&amp;WIDTH=450&amp;START_MA","XIMIZED=FALSE&amp;VAR:CALENDAR=US&amp;VAR:SYMBOL=G0129K10&amp;VAR:INDEX=0"}</definedName>
    <definedName name="_7941__FDSAUDITLINK__" localSheetId="6" hidden="1">{"fdsup://directions/FAT Viewer?action=UPDATE&amp;creator=factset&amp;DYN_ARGS=TRUE&amp;DOC_NAME=FAT:FQL_AUDITING_CLIENT_TEMPLATE.FAT&amp;display_string=Audit&amp;VAR:KEY=PCDMLMPSBO&amp;VAR:QUERY=RkZfRUJJVERBX0lCKCdMVE1TJywzOTYwMCk=&amp;WINDOW=FIRST_POPUP&amp;HEIGHT=450&amp;WIDTH=450&amp;START_MA","XIMIZED=FALSE&amp;VAR:CALENDAR=US&amp;VAR:SYMBOL=G0129K10&amp;VAR:INDEX=0"}</definedName>
    <definedName name="_7941__FDSAUDITLINK__" hidden="1">{"fdsup://directions/FAT Viewer?action=UPDATE&amp;creator=factset&amp;DYN_ARGS=TRUE&amp;DOC_NAME=FAT:FQL_AUDITING_CLIENT_TEMPLATE.FAT&amp;display_string=Audit&amp;VAR:KEY=PCDMLMPSBO&amp;VAR:QUERY=RkZfRUJJVERBX0lCKCdMVE1TJywzOTYwMCk=&amp;WINDOW=FIRST_POPUP&amp;HEIGHT=450&amp;WIDTH=450&amp;START_MA","XIMIZED=FALSE&amp;VAR:CALENDAR=US&amp;VAR:SYMBOL=G0129K10&amp;VAR:INDEX=0"}</definedName>
    <definedName name="_7942__FDSAUDITLINK__" localSheetId="6" hidden="1">{"fdsup://directions/FAT Viewer?action=UPDATE&amp;creator=factset&amp;DYN_ARGS=TRUE&amp;DOC_NAME=FAT:FQL_AUDITING_CLIENT_TEMPLATE.FAT&amp;display_string=Audit&amp;VAR:KEY=JWXMHWJCNE&amp;VAR:QUERY=RkZfRUJJVERBX0lCKCdMVE1TJywzOTU5OSk=&amp;WINDOW=FIRST_POPUP&amp;HEIGHT=450&amp;WIDTH=450&amp;START_MA","XIMIZED=FALSE&amp;VAR:CALENDAR=US&amp;VAR:SYMBOL=G0129K10&amp;VAR:INDEX=0"}</definedName>
    <definedName name="_7942__FDSAUDITLINK__" hidden="1">{"fdsup://directions/FAT Viewer?action=UPDATE&amp;creator=factset&amp;DYN_ARGS=TRUE&amp;DOC_NAME=FAT:FQL_AUDITING_CLIENT_TEMPLATE.FAT&amp;display_string=Audit&amp;VAR:KEY=JWXMHWJCNE&amp;VAR:QUERY=RkZfRUJJVERBX0lCKCdMVE1TJywzOTU5OSk=&amp;WINDOW=FIRST_POPUP&amp;HEIGHT=450&amp;WIDTH=450&amp;START_MA","XIMIZED=FALSE&amp;VAR:CALENDAR=US&amp;VAR:SYMBOL=G0129K10&amp;VAR:INDEX=0"}</definedName>
    <definedName name="_7943__FDSAUDITLINK__" localSheetId="6" hidden="1">{"fdsup://directions/FAT Viewer?action=UPDATE&amp;creator=factset&amp;DYN_ARGS=TRUE&amp;DOC_NAME=FAT:FQL_AUDITING_CLIENT_TEMPLATE.FAT&amp;display_string=Audit&amp;VAR:KEY=XMZSRYTCRA&amp;VAR:QUERY=RkZfRUJJVERBX0lCKCdMVE1TJywzOTU5OCk=&amp;WINDOW=FIRST_POPUP&amp;HEIGHT=450&amp;WIDTH=450&amp;START_MA","XIMIZED=FALSE&amp;VAR:CALENDAR=US&amp;VAR:SYMBOL=G0129K10&amp;VAR:INDEX=0"}</definedName>
    <definedName name="_7943__FDSAUDITLINK__" hidden="1">{"fdsup://directions/FAT Viewer?action=UPDATE&amp;creator=factset&amp;DYN_ARGS=TRUE&amp;DOC_NAME=FAT:FQL_AUDITING_CLIENT_TEMPLATE.FAT&amp;display_string=Audit&amp;VAR:KEY=XMZSRYTCRA&amp;VAR:QUERY=RkZfRUJJVERBX0lCKCdMVE1TJywzOTU5OCk=&amp;WINDOW=FIRST_POPUP&amp;HEIGHT=450&amp;WIDTH=450&amp;START_MA","XIMIZED=FALSE&amp;VAR:CALENDAR=US&amp;VAR:SYMBOL=G0129K10&amp;VAR:INDEX=0"}</definedName>
    <definedName name="_7944__FDSAUDITLINK__" localSheetId="6" hidden="1">{"fdsup://directions/FAT Viewer?action=UPDATE&amp;creator=factset&amp;DYN_ARGS=TRUE&amp;DOC_NAME=FAT:FQL_AUDITING_CLIENT_TEMPLATE.FAT&amp;display_string=Audit&amp;VAR:KEY=XWLMTKFCHI&amp;VAR:QUERY=RkZfRUJJVERBX0lCKCdMVE1TJywzOTU5Nyk=&amp;WINDOW=FIRST_POPUP&amp;HEIGHT=450&amp;WIDTH=450&amp;START_MA","XIMIZED=FALSE&amp;VAR:CALENDAR=US&amp;VAR:SYMBOL=G0129K10&amp;VAR:INDEX=0"}</definedName>
    <definedName name="_7944__FDSAUDITLINK__" hidden="1">{"fdsup://directions/FAT Viewer?action=UPDATE&amp;creator=factset&amp;DYN_ARGS=TRUE&amp;DOC_NAME=FAT:FQL_AUDITING_CLIENT_TEMPLATE.FAT&amp;display_string=Audit&amp;VAR:KEY=XWLMTKFCHI&amp;VAR:QUERY=RkZfRUJJVERBX0lCKCdMVE1TJywzOTU5Nyk=&amp;WINDOW=FIRST_POPUP&amp;HEIGHT=450&amp;WIDTH=450&amp;START_MA","XIMIZED=FALSE&amp;VAR:CALENDAR=US&amp;VAR:SYMBOL=G0129K10&amp;VAR:INDEX=0"}</definedName>
    <definedName name="_7945__FDSAUDITLINK__" localSheetId="6" hidden="1">{"fdsup://directions/FAT Viewer?action=UPDATE&amp;creator=factset&amp;DYN_ARGS=TRUE&amp;DOC_NAME=FAT:FQL_AUDITING_CLIENT_TEMPLATE.FAT&amp;display_string=Audit&amp;VAR:KEY=TYBYHADUNI&amp;VAR:QUERY=RkZfRUJJVERBX0lCKCdMVE1TJywzOTU5Nik=&amp;WINDOW=FIRST_POPUP&amp;HEIGHT=450&amp;WIDTH=450&amp;START_MA","XIMIZED=FALSE&amp;VAR:CALENDAR=US&amp;VAR:SYMBOL=G0129K10&amp;VAR:INDEX=0"}</definedName>
    <definedName name="_7945__FDSAUDITLINK__" hidden="1">{"fdsup://directions/FAT Viewer?action=UPDATE&amp;creator=factset&amp;DYN_ARGS=TRUE&amp;DOC_NAME=FAT:FQL_AUDITING_CLIENT_TEMPLATE.FAT&amp;display_string=Audit&amp;VAR:KEY=TYBYHADUNI&amp;VAR:QUERY=RkZfRUJJVERBX0lCKCdMVE1TJywzOTU5Nik=&amp;WINDOW=FIRST_POPUP&amp;HEIGHT=450&amp;WIDTH=450&amp;START_MA","XIMIZED=FALSE&amp;VAR:CALENDAR=US&amp;VAR:SYMBOL=G0129K10&amp;VAR:INDEX=0"}</definedName>
    <definedName name="_7946__FDSAUDITLINK__" localSheetId="6" hidden="1">{"fdsup://directions/FAT Viewer?action=UPDATE&amp;creator=factset&amp;DYN_ARGS=TRUE&amp;DOC_NAME=FAT:FQL_AUDITING_CLIENT_TEMPLATE.FAT&amp;display_string=Audit&amp;VAR:KEY=TUTWRIZUFG&amp;VAR:QUERY=RkZfRUJJVERBX0lCKCdMVE1TJywzOTU5NSk=&amp;WINDOW=FIRST_POPUP&amp;HEIGHT=450&amp;WIDTH=450&amp;START_MA","XIMIZED=FALSE&amp;VAR:CALENDAR=US&amp;VAR:SYMBOL=G0129K10&amp;VAR:INDEX=0"}</definedName>
    <definedName name="_7946__FDSAUDITLINK__" hidden="1">{"fdsup://directions/FAT Viewer?action=UPDATE&amp;creator=factset&amp;DYN_ARGS=TRUE&amp;DOC_NAME=FAT:FQL_AUDITING_CLIENT_TEMPLATE.FAT&amp;display_string=Audit&amp;VAR:KEY=TUTWRIZUFG&amp;VAR:QUERY=RkZfRUJJVERBX0lCKCdMVE1TJywzOTU5NSk=&amp;WINDOW=FIRST_POPUP&amp;HEIGHT=450&amp;WIDTH=450&amp;START_MA","XIMIZED=FALSE&amp;VAR:CALENDAR=US&amp;VAR:SYMBOL=G0129K10&amp;VAR:INDEX=0"}</definedName>
    <definedName name="_7947__FDSAUDITLINK__" localSheetId="6" hidden="1">{"fdsup://directions/FAT Viewer?action=UPDATE&amp;creator=factset&amp;DYN_ARGS=TRUE&amp;DOC_NAME=FAT:FQL_AUDITING_CLIENT_TEMPLATE.FAT&amp;display_string=Audit&amp;VAR:KEY=VUPCXWNQZW&amp;VAR:QUERY=RkZfRUJJVERBX0lCKCdMVE1TJywzOTU5NCk=&amp;WINDOW=FIRST_POPUP&amp;HEIGHT=450&amp;WIDTH=450&amp;START_MA","XIMIZED=FALSE&amp;VAR:CALENDAR=US&amp;VAR:SYMBOL=G0129K10&amp;VAR:INDEX=0"}</definedName>
    <definedName name="_7947__FDSAUDITLINK__" hidden="1">{"fdsup://directions/FAT Viewer?action=UPDATE&amp;creator=factset&amp;DYN_ARGS=TRUE&amp;DOC_NAME=FAT:FQL_AUDITING_CLIENT_TEMPLATE.FAT&amp;display_string=Audit&amp;VAR:KEY=VUPCXWNQZW&amp;VAR:QUERY=RkZfRUJJVERBX0lCKCdMVE1TJywzOTU5NCk=&amp;WINDOW=FIRST_POPUP&amp;HEIGHT=450&amp;WIDTH=450&amp;START_MA","XIMIZED=FALSE&amp;VAR:CALENDAR=US&amp;VAR:SYMBOL=G0129K10&amp;VAR:INDEX=0"}</definedName>
    <definedName name="_7948__FDSAUDITLINK__" localSheetId="6" hidden="1">{"fdsup://directions/FAT Viewer?action=UPDATE&amp;creator=factset&amp;DYN_ARGS=TRUE&amp;DOC_NAME=FAT:FQL_AUDITING_CLIENT_TEMPLATE.FAT&amp;display_string=Audit&amp;VAR:KEY=LKFMZSHWXG&amp;VAR:QUERY=RkZfRUJJVERBX0lCKCdMVE1TJywzOTU5Myk=&amp;WINDOW=FIRST_POPUP&amp;HEIGHT=450&amp;WIDTH=450&amp;START_MA","XIMIZED=FALSE&amp;VAR:CALENDAR=US&amp;VAR:SYMBOL=G0129K10&amp;VAR:INDEX=0"}</definedName>
    <definedName name="_7948__FDSAUDITLINK__" hidden="1">{"fdsup://directions/FAT Viewer?action=UPDATE&amp;creator=factset&amp;DYN_ARGS=TRUE&amp;DOC_NAME=FAT:FQL_AUDITING_CLIENT_TEMPLATE.FAT&amp;display_string=Audit&amp;VAR:KEY=LKFMZSHWXG&amp;VAR:QUERY=RkZfRUJJVERBX0lCKCdMVE1TJywzOTU5Myk=&amp;WINDOW=FIRST_POPUP&amp;HEIGHT=450&amp;WIDTH=450&amp;START_MA","XIMIZED=FALSE&amp;VAR:CALENDAR=US&amp;VAR:SYMBOL=G0129K10&amp;VAR:INDEX=0"}</definedName>
    <definedName name="_7949__FDSAUDITLINK__" localSheetId="6" hidden="1">{"fdsup://directions/FAT Viewer?action=UPDATE&amp;creator=factset&amp;DYN_ARGS=TRUE&amp;DOC_NAME=FAT:FQL_AUDITING_CLIENT_TEMPLATE.FAT&amp;display_string=Audit&amp;VAR:KEY=HCBQHAPEFU&amp;VAR:QUERY=RkZfRUJJVERBX0lCKCdMVE1TJywzOTU5Mik=&amp;WINDOW=FIRST_POPUP&amp;HEIGHT=450&amp;WIDTH=450&amp;START_MA","XIMIZED=FALSE&amp;VAR:CALENDAR=US&amp;VAR:SYMBOL=G0129K10&amp;VAR:INDEX=0"}</definedName>
    <definedName name="_7949__FDSAUDITLINK__" hidden="1">{"fdsup://directions/FAT Viewer?action=UPDATE&amp;creator=factset&amp;DYN_ARGS=TRUE&amp;DOC_NAME=FAT:FQL_AUDITING_CLIENT_TEMPLATE.FAT&amp;display_string=Audit&amp;VAR:KEY=HCBQHAPEFU&amp;VAR:QUERY=RkZfRUJJVERBX0lCKCdMVE1TJywzOTU5Mik=&amp;WINDOW=FIRST_POPUP&amp;HEIGHT=450&amp;WIDTH=450&amp;START_MA","XIMIZED=FALSE&amp;VAR:CALENDAR=US&amp;VAR:SYMBOL=G0129K10&amp;VAR:INDEX=0"}</definedName>
    <definedName name="_795__FDSAUDITLINK__" localSheetId="6" hidden="1">{"fdsup://directions/FAT%20Viewer?VAR:PED=LTM&amp;VAR:AUDIT_MODE=SUMMARY&amp;VAR:PERIOD=FIXED&amp;VAR:AUDIT_ID=00000117&amp;VAR:DATE=20071219&amp;action=UPDATE&amp;creator=factset&amp;DOC_NAME=FAT:FMA_audit_SUMMARY.fat&amp;DISPLAY_STRING=Display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5__FDSAUDITLINK__" hidden="1">{"fdsup://directions/FAT%20Viewer?VAR:PED=LTM&amp;VAR:AUDIT_MODE=SUMMARY&amp;VAR:PERIOD=FIXED&amp;VAR:AUDIT_ID=00000117&amp;VAR:DATE=20071219&amp;action=UPDATE&amp;creator=factset&amp;DOC_NAME=FAT:FMA_audit_SUMMARY.fat&amp;DISPLAY_STRING=Display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50__FDSAUDITLINK__" localSheetId="6" hidden="1">{"fdsup://directions/FAT Viewer?action=UPDATE&amp;creator=factset&amp;DYN_ARGS=TRUE&amp;DOC_NAME=FAT:FQL_AUDITING_CLIENT_TEMPLATE.FAT&amp;display_string=Audit&amp;VAR:KEY=TIXWDALMVI&amp;VAR:QUERY=RkZfRUJJVERBX0lCKCdMVE1TJywzOTU5MSk=&amp;WINDOW=FIRST_POPUP&amp;HEIGHT=450&amp;WIDTH=450&amp;START_MA","XIMIZED=FALSE&amp;VAR:CALENDAR=US&amp;VAR:SYMBOL=G0129K10&amp;VAR:INDEX=0"}</definedName>
    <definedName name="_7950__FDSAUDITLINK__" hidden="1">{"fdsup://directions/FAT Viewer?action=UPDATE&amp;creator=factset&amp;DYN_ARGS=TRUE&amp;DOC_NAME=FAT:FQL_AUDITING_CLIENT_TEMPLATE.FAT&amp;display_string=Audit&amp;VAR:KEY=TIXWDALMVI&amp;VAR:QUERY=RkZfRUJJVERBX0lCKCdMVE1TJywzOTU5MSk=&amp;WINDOW=FIRST_POPUP&amp;HEIGHT=450&amp;WIDTH=450&amp;START_MA","XIMIZED=FALSE&amp;VAR:CALENDAR=US&amp;VAR:SYMBOL=G0129K10&amp;VAR:INDEX=0"}</definedName>
    <definedName name="_7951__FDSAUDITLINK__" localSheetId="6" hidden="1">{"fdsup://directions/FAT Viewer?action=UPDATE&amp;creator=factset&amp;DYN_ARGS=TRUE&amp;DOC_NAME=FAT:FQL_AUDITING_CLIENT_TEMPLATE.FAT&amp;display_string=Audit&amp;VAR:KEY=FCVSLETABK&amp;VAR:QUERY=RkZfRUJJVERBX0lCKCdMVE1TJywzOTU5MCk=&amp;WINDOW=FIRST_POPUP&amp;HEIGHT=450&amp;WIDTH=450&amp;START_MA","XIMIZED=FALSE&amp;VAR:CALENDAR=US&amp;VAR:SYMBOL=G0129K10&amp;VAR:INDEX=0"}</definedName>
    <definedName name="_7951__FDSAUDITLINK__" hidden="1">{"fdsup://directions/FAT Viewer?action=UPDATE&amp;creator=factset&amp;DYN_ARGS=TRUE&amp;DOC_NAME=FAT:FQL_AUDITING_CLIENT_TEMPLATE.FAT&amp;display_string=Audit&amp;VAR:KEY=FCVSLETABK&amp;VAR:QUERY=RkZfRUJJVERBX0lCKCdMVE1TJywzOTU5MCk=&amp;WINDOW=FIRST_POPUP&amp;HEIGHT=450&amp;WIDTH=450&amp;START_MA","XIMIZED=FALSE&amp;VAR:CALENDAR=US&amp;VAR:SYMBOL=G0129K10&amp;VAR:INDEX=0"}</definedName>
    <definedName name="_7952__FDSAUDITLINK__" localSheetId="6" hidden="1">{"fdsup://directions/FAT Viewer?action=UPDATE&amp;creator=factset&amp;DYN_ARGS=TRUE&amp;DOC_NAME=FAT:FQL_AUDITING_CLIENT_TEMPLATE.FAT&amp;display_string=Audit&amp;VAR:KEY=RGTCZGPWDS&amp;VAR:QUERY=RkZfRUJJVERBX0lCKCdMVE1TJywzOTU4OSk=&amp;WINDOW=FIRST_POPUP&amp;HEIGHT=450&amp;WIDTH=450&amp;START_MA","XIMIZED=FALSE&amp;VAR:CALENDAR=US&amp;VAR:SYMBOL=G0129K10&amp;VAR:INDEX=0"}</definedName>
    <definedName name="_7952__FDSAUDITLINK__" hidden="1">{"fdsup://directions/FAT Viewer?action=UPDATE&amp;creator=factset&amp;DYN_ARGS=TRUE&amp;DOC_NAME=FAT:FQL_AUDITING_CLIENT_TEMPLATE.FAT&amp;display_string=Audit&amp;VAR:KEY=RGTCZGPWDS&amp;VAR:QUERY=RkZfRUJJVERBX0lCKCdMVE1TJywzOTU4OSk=&amp;WINDOW=FIRST_POPUP&amp;HEIGHT=450&amp;WIDTH=450&amp;START_MA","XIMIZED=FALSE&amp;VAR:CALENDAR=US&amp;VAR:SYMBOL=G0129K10&amp;VAR:INDEX=0"}</definedName>
    <definedName name="_7953__FDSAUDITLINK__" localSheetId="6" hidden="1">{"fdsup://directions/FAT Viewer?action=UPDATE&amp;creator=factset&amp;DYN_ARGS=TRUE&amp;DOC_NAME=FAT:FQL_AUDITING_CLIENT_TEMPLATE.FAT&amp;display_string=Audit&amp;VAR:KEY=HKJEJGBKTU&amp;VAR:QUERY=RkZfRUJJVERBX0lCKCdMVE1TJywzOTU4OCk=&amp;WINDOW=FIRST_POPUP&amp;HEIGHT=450&amp;WIDTH=450&amp;START_MA","XIMIZED=FALSE&amp;VAR:CALENDAR=US&amp;VAR:SYMBOL=G0129K10&amp;VAR:INDEX=0"}</definedName>
    <definedName name="_7953__FDSAUDITLINK__" hidden="1">{"fdsup://directions/FAT Viewer?action=UPDATE&amp;creator=factset&amp;DYN_ARGS=TRUE&amp;DOC_NAME=FAT:FQL_AUDITING_CLIENT_TEMPLATE.FAT&amp;display_string=Audit&amp;VAR:KEY=HKJEJGBKTU&amp;VAR:QUERY=RkZfRUJJVERBX0lCKCdMVE1TJywzOTU4OCk=&amp;WINDOW=FIRST_POPUP&amp;HEIGHT=450&amp;WIDTH=450&amp;START_MA","XIMIZED=FALSE&amp;VAR:CALENDAR=US&amp;VAR:SYMBOL=G0129K10&amp;VAR:INDEX=0"}</definedName>
    <definedName name="_7954__FDSAUDITLINK__" localSheetId="6" hidden="1">{"fdsup://directions/FAT Viewer?action=UPDATE&amp;creator=factset&amp;DYN_ARGS=TRUE&amp;DOC_NAME=FAT:FQL_AUDITING_CLIENT_TEMPLATE.FAT&amp;display_string=Audit&amp;VAR:KEY=VMPYHAXYLW&amp;VAR:QUERY=RkZfRUJJVERBX0lCKCdMVE1TJywzOTU4Nyk=&amp;WINDOW=FIRST_POPUP&amp;HEIGHT=450&amp;WIDTH=450&amp;START_MA","XIMIZED=FALSE&amp;VAR:CALENDAR=US&amp;VAR:SYMBOL=G0129K10&amp;VAR:INDEX=0"}</definedName>
    <definedName name="_7954__FDSAUDITLINK__" hidden="1">{"fdsup://directions/FAT Viewer?action=UPDATE&amp;creator=factset&amp;DYN_ARGS=TRUE&amp;DOC_NAME=FAT:FQL_AUDITING_CLIENT_TEMPLATE.FAT&amp;display_string=Audit&amp;VAR:KEY=VMPYHAXYLW&amp;VAR:QUERY=RkZfRUJJVERBX0lCKCdMVE1TJywzOTU4Nyk=&amp;WINDOW=FIRST_POPUP&amp;HEIGHT=450&amp;WIDTH=450&amp;START_MA","XIMIZED=FALSE&amp;VAR:CALENDAR=US&amp;VAR:SYMBOL=G0129K10&amp;VAR:INDEX=0"}</definedName>
    <definedName name="_7955__FDSAUDITLINK__" localSheetId="6" hidden="1">{"fdsup://directions/FAT Viewer?action=UPDATE&amp;creator=factset&amp;DYN_ARGS=TRUE&amp;DOC_NAME=FAT:FQL_AUDITING_CLIENT_TEMPLATE.FAT&amp;display_string=Audit&amp;VAR:KEY=PGXORYPELU&amp;VAR:QUERY=RkZfRUJJVERBX0lCKCdMVE1TJywzOTU4Nik=&amp;WINDOW=FIRST_POPUP&amp;HEIGHT=450&amp;WIDTH=450&amp;START_MA","XIMIZED=FALSE&amp;VAR:CALENDAR=US&amp;VAR:SYMBOL=G0129K10&amp;VAR:INDEX=0"}</definedName>
    <definedName name="_7955__FDSAUDITLINK__" hidden="1">{"fdsup://directions/FAT Viewer?action=UPDATE&amp;creator=factset&amp;DYN_ARGS=TRUE&amp;DOC_NAME=FAT:FQL_AUDITING_CLIENT_TEMPLATE.FAT&amp;display_string=Audit&amp;VAR:KEY=PGXORYPELU&amp;VAR:QUERY=RkZfRUJJVERBX0lCKCdMVE1TJywzOTU4Nik=&amp;WINDOW=FIRST_POPUP&amp;HEIGHT=450&amp;WIDTH=450&amp;START_MA","XIMIZED=FALSE&amp;VAR:CALENDAR=US&amp;VAR:SYMBOL=G0129K10&amp;VAR:INDEX=0"}</definedName>
    <definedName name="_7956__FDSAUDITLINK__" localSheetId="6" hidden="1">{"fdsup://directions/FAT Viewer?action=UPDATE&amp;creator=factset&amp;DYN_ARGS=TRUE&amp;DOC_NAME=FAT:FQL_AUDITING_CLIENT_TEMPLATE.FAT&amp;display_string=Audit&amp;VAR:KEY=PAJALYHWTY&amp;VAR:QUERY=RkZfRUJJVERBX0lCKCdMVE1TJywzOTU4NSk=&amp;WINDOW=FIRST_POPUP&amp;HEIGHT=450&amp;WIDTH=450&amp;START_MA","XIMIZED=FALSE&amp;VAR:CALENDAR=US&amp;VAR:SYMBOL=G0129K10&amp;VAR:INDEX=0"}</definedName>
    <definedName name="_7956__FDSAUDITLINK__" hidden="1">{"fdsup://directions/FAT Viewer?action=UPDATE&amp;creator=factset&amp;DYN_ARGS=TRUE&amp;DOC_NAME=FAT:FQL_AUDITING_CLIENT_TEMPLATE.FAT&amp;display_string=Audit&amp;VAR:KEY=PAJALYHWTY&amp;VAR:QUERY=RkZfRUJJVERBX0lCKCdMVE1TJywzOTU4NSk=&amp;WINDOW=FIRST_POPUP&amp;HEIGHT=450&amp;WIDTH=450&amp;START_MA","XIMIZED=FALSE&amp;VAR:CALENDAR=US&amp;VAR:SYMBOL=G0129K10&amp;VAR:INDEX=0"}</definedName>
    <definedName name="_7957__FDSAUDITLINK__" localSheetId="6" hidden="1">{"fdsup://directions/FAT Viewer?action=UPDATE&amp;creator=factset&amp;DYN_ARGS=TRUE&amp;DOC_NAME=FAT:FQL_AUDITING_CLIENT_TEMPLATE.FAT&amp;display_string=Audit&amp;VAR:KEY=TCFQBGFOVC&amp;VAR:QUERY=RkZfRUJJVERBX0lCKCdMVE1TJywzOTU4NCk=&amp;WINDOW=FIRST_POPUP&amp;HEIGHT=450&amp;WIDTH=450&amp;START_MA","XIMIZED=FALSE&amp;VAR:CALENDAR=US&amp;VAR:SYMBOL=G0129K10&amp;VAR:INDEX=0"}</definedName>
    <definedName name="_7957__FDSAUDITLINK__" hidden="1">{"fdsup://directions/FAT Viewer?action=UPDATE&amp;creator=factset&amp;DYN_ARGS=TRUE&amp;DOC_NAME=FAT:FQL_AUDITING_CLIENT_TEMPLATE.FAT&amp;display_string=Audit&amp;VAR:KEY=TCFQBGFOVC&amp;VAR:QUERY=RkZfRUJJVERBX0lCKCdMVE1TJywzOTU4NCk=&amp;WINDOW=FIRST_POPUP&amp;HEIGHT=450&amp;WIDTH=450&amp;START_MA","XIMIZED=FALSE&amp;VAR:CALENDAR=US&amp;VAR:SYMBOL=G0129K10&amp;VAR:INDEX=0"}</definedName>
    <definedName name="_7958__FDSAUDITLINK__" localSheetId="6" hidden="1">{"fdsup://directions/FAT Viewer?action=UPDATE&amp;creator=factset&amp;DYN_ARGS=TRUE&amp;DOC_NAME=FAT:FQL_AUDITING_CLIENT_TEMPLATE.FAT&amp;display_string=Audit&amp;VAR:KEY=FYLCVSNOZI&amp;VAR:QUERY=RkZfRUJJVERBX0lCKCdMVE1TJywzOTU4Myk=&amp;WINDOW=FIRST_POPUP&amp;HEIGHT=450&amp;WIDTH=450&amp;START_MA","XIMIZED=FALSE&amp;VAR:CALENDAR=US&amp;VAR:SYMBOL=G0129K10&amp;VAR:INDEX=0"}</definedName>
    <definedName name="_7958__FDSAUDITLINK__" hidden="1">{"fdsup://directions/FAT Viewer?action=UPDATE&amp;creator=factset&amp;DYN_ARGS=TRUE&amp;DOC_NAME=FAT:FQL_AUDITING_CLIENT_TEMPLATE.FAT&amp;display_string=Audit&amp;VAR:KEY=FYLCVSNOZI&amp;VAR:QUERY=RkZfRUJJVERBX0lCKCdMVE1TJywzOTU4Myk=&amp;WINDOW=FIRST_POPUP&amp;HEIGHT=450&amp;WIDTH=450&amp;START_MA","XIMIZED=FALSE&amp;VAR:CALENDAR=US&amp;VAR:SYMBOL=G0129K10&amp;VAR:INDEX=0"}</definedName>
    <definedName name="_7959__FDSAUDITLINK__" localSheetId="6" hidden="1">{"fdsup://directions/FAT Viewer?action=UPDATE&amp;creator=factset&amp;DYN_ARGS=TRUE&amp;DOC_NAME=FAT:FQL_AUDITING_CLIENT_TEMPLATE.FAT&amp;display_string=Audit&amp;VAR:KEY=BURSTOHSHC&amp;VAR:QUERY=RkZfRUJJVERBX0lCKCdMVE1TJywzOTU4Mik=&amp;WINDOW=FIRST_POPUP&amp;HEIGHT=450&amp;WIDTH=450&amp;START_MA","XIMIZED=FALSE&amp;VAR:CALENDAR=US&amp;VAR:SYMBOL=G0129K10&amp;VAR:INDEX=0"}</definedName>
    <definedName name="_7959__FDSAUDITLINK__" hidden="1">{"fdsup://directions/FAT Viewer?action=UPDATE&amp;creator=factset&amp;DYN_ARGS=TRUE&amp;DOC_NAME=FAT:FQL_AUDITING_CLIENT_TEMPLATE.FAT&amp;display_string=Audit&amp;VAR:KEY=BURSTOHSHC&amp;VAR:QUERY=RkZfRUJJVERBX0lCKCdMVE1TJywzOTU4Mik=&amp;WINDOW=FIRST_POPUP&amp;HEIGHT=450&amp;WIDTH=450&amp;START_MA","XIMIZED=FALSE&amp;VAR:CALENDAR=US&amp;VAR:SYMBOL=G0129K10&amp;VAR:INDEX=0"}</definedName>
    <definedName name="_796__FDSAUDITLINK__" localSheetId="6" hidden="1">{"fdsup://directions/FAT%20Viewer?VAR:PED=LTM&amp;VAR:AUDIT_MODE=SUMMARY&amp;VAR:PERIOD=FIXED&amp;VAR:AUDIT_ID=00000117&amp;VAR:DATE=20071218&amp;action=UPDATE&amp;creator=factset&amp;DOC_NAME=FAT:FMA_audit_SUMMARY.fat&amp;DISPLAY_STRING=Display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6__FDSAUDITLINK__" hidden="1">{"fdsup://directions/FAT%20Viewer?VAR:PED=LTM&amp;VAR:AUDIT_MODE=SUMMARY&amp;VAR:PERIOD=FIXED&amp;VAR:AUDIT_ID=00000117&amp;VAR:DATE=20071218&amp;action=UPDATE&amp;creator=factset&amp;DOC_NAME=FAT:FMA_audit_SUMMARY.fat&amp;DISPLAY_STRING=Display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60__FDSAUDITLINK__" localSheetId="6" hidden="1">{"fdsup://directions/FAT Viewer?action=UPDATE&amp;creator=factset&amp;DYN_ARGS=TRUE&amp;DOC_NAME=FAT:FQL_AUDITING_CLIENT_TEMPLATE.FAT&amp;display_string=Audit&amp;VAR:KEY=NSXKXEHGTO&amp;VAR:QUERY=RkZfRUJJVERBX0lCKCdMVE1TJywzOTU4MSk=&amp;WINDOW=FIRST_POPUP&amp;HEIGHT=450&amp;WIDTH=450&amp;START_MA","XIMIZED=FALSE&amp;VAR:CALENDAR=US&amp;VAR:SYMBOL=G0129K10&amp;VAR:INDEX=0"}</definedName>
    <definedName name="_7960__FDSAUDITLINK__" hidden="1">{"fdsup://directions/FAT Viewer?action=UPDATE&amp;creator=factset&amp;DYN_ARGS=TRUE&amp;DOC_NAME=FAT:FQL_AUDITING_CLIENT_TEMPLATE.FAT&amp;display_string=Audit&amp;VAR:KEY=NSXKXEHGTO&amp;VAR:QUERY=RkZfRUJJVERBX0lCKCdMVE1TJywzOTU4MSk=&amp;WINDOW=FIRST_POPUP&amp;HEIGHT=450&amp;WIDTH=450&amp;START_MA","XIMIZED=FALSE&amp;VAR:CALENDAR=US&amp;VAR:SYMBOL=G0129K10&amp;VAR:INDEX=0"}</definedName>
    <definedName name="_7961__FDSAUDITLINK__" localSheetId="6" hidden="1">{"fdsup://directions/FAT Viewer?action=UPDATE&amp;creator=factset&amp;DYN_ARGS=TRUE&amp;DOC_NAME=FAT:FQL_AUDITING_CLIENT_TEMPLATE.FAT&amp;display_string=Audit&amp;VAR:KEY=XYTONMDCZM&amp;VAR:QUERY=RkZfRUJJVERBX0lCKCdMVE1TJywzOTU4MCk=&amp;WINDOW=FIRST_POPUP&amp;HEIGHT=450&amp;WIDTH=450&amp;START_MA","XIMIZED=FALSE&amp;VAR:CALENDAR=US&amp;VAR:SYMBOL=G0129K10&amp;VAR:INDEX=0"}</definedName>
    <definedName name="_7961__FDSAUDITLINK__" hidden="1">{"fdsup://directions/FAT Viewer?action=UPDATE&amp;creator=factset&amp;DYN_ARGS=TRUE&amp;DOC_NAME=FAT:FQL_AUDITING_CLIENT_TEMPLATE.FAT&amp;display_string=Audit&amp;VAR:KEY=XYTONMDCZM&amp;VAR:QUERY=RkZfRUJJVERBX0lCKCdMVE1TJywzOTU4MCk=&amp;WINDOW=FIRST_POPUP&amp;HEIGHT=450&amp;WIDTH=450&amp;START_MA","XIMIZED=FALSE&amp;VAR:CALENDAR=US&amp;VAR:SYMBOL=G0129K10&amp;VAR:INDEX=0"}</definedName>
    <definedName name="_7962__FDSAUDITLINK__" localSheetId="6" hidden="1">{"fdsup://directions/FAT Viewer?action=UPDATE&amp;creator=factset&amp;DYN_ARGS=TRUE&amp;DOC_NAME=FAT:FQL_AUDITING_CLIENT_TEMPLATE.FAT&amp;display_string=Audit&amp;VAR:KEY=VYNYBYLALM&amp;VAR:QUERY=RkZfRUJJVERBX0lCKCdMVE1TJywzOTU3OSk=&amp;WINDOW=FIRST_POPUP&amp;HEIGHT=450&amp;WIDTH=450&amp;START_MA","XIMIZED=FALSE&amp;VAR:CALENDAR=US&amp;VAR:SYMBOL=G0129K10&amp;VAR:INDEX=0"}</definedName>
    <definedName name="_7962__FDSAUDITLINK__" hidden="1">{"fdsup://directions/FAT Viewer?action=UPDATE&amp;creator=factset&amp;DYN_ARGS=TRUE&amp;DOC_NAME=FAT:FQL_AUDITING_CLIENT_TEMPLATE.FAT&amp;display_string=Audit&amp;VAR:KEY=VYNYBYLALM&amp;VAR:QUERY=RkZfRUJJVERBX0lCKCdMVE1TJywzOTU3OSk=&amp;WINDOW=FIRST_POPUP&amp;HEIGHT=450&amp;WIDTH=450&amp;START_MA","XIMIZED=FALSE&amp;VAR:CALENDAR=US&amp;VAR:SYMBOL=G0129K10&amp;VAR:INDEX=0"}</definedName>
    <definedName name="_7963__FDSAUDITLINK__" localSheetId="6" hidden="1">{"fdsup://directions/FAT Viewer?action=UPDATE&amp;creator=factset&amp;DYN_ARGS=TRUE&amp;DOC_NAME=FAT:FQL_AUDITING_CLIENT_TEMPLATE.FAT&amp;display_string=Audit&amp;VAR:KEY=PMZSDILEPC&amp;VAR:QUERY=RkZfRUJJVERBX0lCKCdMVE1TJywzOTU3OCk=&amp;WINDOW=FIRST_POPUP&amp;HEIGHT=450&amp;WIDTH=450&amp;START_MA","XIMIZED=FALSE&amp;VAR:CALENDAR=US&amp;VAR:SYMBOL=G0129K10&amp;VAR:INDEX=0"}</definedName>
    <definedName name="_7963__FDSAUDITLINK__" hidden="1">{"fdsup://directions/FAT Viewer?action=UPDATE&amp;creator=factset&amp;DYN_ARGS=TRUE&amp;DOC_NAME=FAT:FQL_AUDITING_CLIENT_TEMPLATE.FAT&amp;display_string=Audit&amp;VAR:KEY=PMZSDILEPC&amp;VAR:QUERY=RkZfRUJJVERBX0lCKCdMVE1TJywzOTU3OCk=&amp;WINDOW=FIRST_POPUP&amp;HEIGHT=450&amp;WIDTH=450&amp;START_MA","XIMIZED=FALSE&amp;VAR:CALENDAR=US&amp;VAR:SYMBOL=G0129K10&amp;VAR:INDEX=0"}</definedName>
    <definedName name="_7964__FDSAUDITLINK__" localSheetId="6" hidden="1">{"fdsup://directions/FAT Viewer?action=UPDATE&amp;creator=factset&amp;DYN_ARGS=TRUE&amp;DOC_NAME=FAT:FQL_AUDITING_CLIENT_TEMPLATE.FAT&amp;display_string=Audit&amp;VAR:KEY=BIXAXQVCDA&amp;VAR:QUERY=RkZfRUJJVERBX0lCKCdMVE1TJywzOTU3Nyk=&amp;WINDOW=FIRST_POPUP&amp;HEIGHT=450&amp;WIDTH=450&amp;START_MA","XIMIZED=FALSE&amp;VAR:CALENDAR=US&amp;VAR:SYMBOL=G0129K10&amp;VAR:INDEX=0"}</definedName>
    <definedName name="_7964__FDSAUDITLINK__" hidden="1">{"fdsup://directions/FAT Viewer?action=UPDATE&amp;creator=factset&amp;DYN_ARGS=TRUE&amp;DOC_NAME=FAT:FQL_AUDITING_CLIENT_TEMPLATE.FAT&amp;display_string=Audit&amp;VAR:KEY=BIXAXQVCDA&amp;VAR:QUERY=RkZfRUJJVERBX0lCKCdMVE1TJywzOTU3Nyk=&amp;WINDOW=FIRST_POPUP&amp;HEIGHT=450&amp;WIDTH=450&amp;START_MA","XIMIZED=FALSE&amp;VAR:CALENDAR=US&amp;VAR:SYMBOL=G0129K10&amp;VAR:INDEX=0"}</definedName>
    <definedName name="_7965__FDSAUDITLINK__" localSheetId="6" hidden="1">{"fdsup://directions/FAT Viewer?action=UPDATE&amp;creator=factset&amp;DYN_ARGS=TRUE&amp;DOC_NAME=FAT:FQL_AUDITING_CLIENT_TEMPLATE.FAT&amp;display_string=Audit&amp;VAR:KEY=ZINGDCRENI&amp;VAR:QUERY=RkZfRUJJVERBX0lCKCdMVE1TJywzOTU3Nik=&amp;WINDOW=FIRST_POPUP&amp;HEIGHT=450&amp;WIDTH=450&amp;START_MA","XIMIZED=FALSE&amp;VAR:CALENDAR=US&amp;VAR:SYMBOL=G0129K10&amp;VAR:INDEX=0"}</definedName>
    <definedName name="_7965__FDSAUDITLINK__" hidden="1">{"fdsup://directions/FAT Viewer?action=UPDATE&amp;creator=factset&amp;DYN_ARGS=TRUE&amp;DOC_NAME=FAT:FQL_AUDITING_CLIENT_TEMPLATE.FAT&amp;display_string=Audit&amp;VAR:KEY=ZINGDCRENI&amp;VAR:QUERY=RkZfRUJJVERBX0lCKCdMVE1TJywzOTU3Nik=&amp;WINDOW=FIRST_POPUP&amp;HEIGHT=450&amp;WIDTH=450&amp;START_MA","XIMIZED=FALSE&amp;VAR:CALENDAR=US&amp;VAR:SYMBOL=G0129K10&amp;VAR:INDEX=0"}</definedName>
    <definedName name="_7966__FDSAUDITLINK__" localSheetId="6" hidden="1">{"fdsup://directions/FAT Viewer?action=UPDATE&amp;creator=factset&amp;DYN_ARGS=TRUE&amp;DOC_NAME=FAT:FQL_AUDITING_CLIENT_TEMPLATE.FAT&amp;display_string=Audit&amp;VAR:KEY=HWXWZSJMPU&amp;VAR:QUERY=RkZfRUJJVERBX0lCKCdMVE1TJywzOTU3NSk=&amp;WINDOW=FIRST_POPUP&amp;HEIGHT=450&amp;WIDTH=450&amp;START_MA","XIMIZED=FALSE&amp;VAR:CALENDAR=US&amp;VAR:SYMBOL=G0129K10&amp;VAR:INDEX=0"}</definedName>
    <definedName name="_7966__FDSAUDITLINK__" hidden="1">{"fdsup://directions/FAT Viewer?action=UPDATE&amp;creator=factset&amp;DYN_ARGS=TRUE&amp;DOC_NAME=FAT:FQL_AUDITING_CLIENT_TEMPLATE.FAT&amp;display_string=Audit&amp;VAR:KEY=HWXWZSJMPU&amp;VAR:QUERY=RkZfRUJJVERBX0lCKCdMVE1TJywzOTU3NSk=&amp;WINDOW=FIRST_POPUP&amp;HEIGHT=450&amp;WIDTH=450&amp;START_MA","XIMIZED=FALSE&amp;VAR:CALENDAR=US&amp;VAR:SYMBOL=G0129K10&amp;VAR:INDEX=0"}</definedName>
    <definedName name="_7967__FDSAUDITLINK__" localSheetId="6" hidden="1">{"fdsup://directions/FAT Viewer?action=UPDATE&amp;creator=factset&amp;DYN_ARGS=TRUE&amp;DOC_NAME=FAT:FQL_AUDITING_CLIENT_TEMPLATE.FAT&amp;display_string=Audit&amp;VAR:KEY=RODITILQLC&amp;VAR:QUERY=RkZfRUJJVERBX0lCKCdMVE1TJywzOTU3NCk=&amp;WINDOW=FIRST_POPUP&amp;HEIGHT=450&amp;WIDTH=450&amp;START_MA","XIMIZED=FALSE&amp;VAR:CALENDAR=US&amp;VAR:SYMBOL=G0129K10&amp;VAR:INDEX=0"}</definedName>
    <definedName name="_7967__FDSAUDITLINK__" hidden="1">{"fdsup://directions/FAT Viewer?action=UPDATE&amp;creator=factset&amp;DYN_ARGS=TRUE&amp;DOC_NAME=FAT:FQL_AUDITING_CLIENT_TEMPLATE.FAT&amp;display_string=Audit&amp;VAR:KEY=RODITILQLC&amp;VAR:QUERY=RkZfRUJJVERBX0lCKCdMVE1TJywzOTU3NCk=&amp;WINDOW=FIRST_POPUP&amp;HEIGHT=450&amp;WIDTH=450&amp;START_MA","XIMIZED=FALSE&amp;VAR:CALENDAR=US&amp;VAR:SYMBOL=G0129K10&amp;VAR:INDEX=0"}</definedName>
    <definedName name="_7968__FDSAUDITLINK__" localSheetId="6" hidden="1">{"fdsup://directions/FAT Viewer?action=UPDATE&amp;creator=factset&amp;DYN_ARGS=TRUE&amp;DOC_NAME=FAT:FQL_AUDITING_CLIENT_TEMPLATE.FAT&amp;display_string=Audit&amp;VAR:KEY=RKFUNIHKVA&amp;VAR:QUERY=RkZfRUJJVERBX0lCKCdMVE1TJywzOTU3Myk=&amp;WINDOW=FIRST_POPUP&amp;HEIGHT=450&amp;WIDTH=450&amp;START_MA","XIMIZED=FALSE&amp;VAR:CALENDAR=US&amp;VAR:SYMBOL=G0129K10&amp;VAR:INDEX=0"}</definedName>
    <definedName name="_7968__FDSAUDITLINK__" hidden="1">{"fdsup://directions/FAT Viewer?action=UPDATE&amp;creator=factset&amp;DYN_ARGS=TRUE&amp;DOC_NAME=FAT:FQL_AUDITING_CLIENT_TEMPLATE.FAT&amp;display_string=Audit&amp;VAR:KEY=RKFUNIHKVA&amp;VAR:QUERY=RkZfRUJJVERBX0lCKCdMVE1TJywzOTU3Myk=&amp;WINDOW=FIRST_POPUP&amp;HEIGHT=450&amp;WIDTH=450&amp;START_MA","XIMIZED=FALSE&amp;VAR:CALENDAR=US&amp;VAR:SYMBOL=G0129K10&amp;VAR:INDEX=0"}</definedName>
    <definedName name="_7969__FDSAUDITLINK__" localSheetId="6" hidden="1">{"fdsup://directions/FAT Viewer?action=UPDATE&amp;creator=factset&amp;DYN_ARGS=TRUE&amp;DOC_NAME=FAT:FQL_AUDITING_CLIENT_TEMPLATE.FAT&amp;display_string=Audit&amp;VAR:KEY=LUPEFYRCDS&amp;VAR:QUERY=RkZfRUJJVERBX0lCKCdMVE1TJywzOTU3Mik=&amp;WINDOW=FIRST_POPUP&amp;HEIGHT=450&amp;WIDTH=450&amp;START_MA","XIMIZED=FALSE&amp;VAR:CALENDAR=US&amp;VAR:SYMBOL=G0129K10&amp;VAR:INDEX=0"}</definedName>
    <definedName name="_7969__FDSAUDITLINK__" hidden="1">{"fdsup://directions/FAT Viewer?action=UPDATE&amp;creator=factset&amp;DYN_ARGS=TRUE&amp;DOC_NAME=FAT:FQL_AUDITING_CLIENT_TEMPLATE.FAT&amp;display_string=Audit&amp;VAR:KEY=LUPEFYRCDS&amp;VAR:QUERY=RkZfRUJJVERBX0lCKCdMVE1TJywzOTU3Mik=&amp;WINDOW=FIRST_POPUP&amp;HEIGHT=450&amp;WIDTH=450&amp;START_MA","XIMIZED=FALSE&amp;VAR:CALENDAR=US&amp;VAR:SYMBOL=G0129K10&amp;VAR:INDEX=0"}</definedName>
    <definedName name="_797__FDSAUDITLINK__" localSheetId="6" hidden="1">{"fdsup://directions/FAT%20Viewer?VAR:PED=LTM&amp;VAR:AUDIT_MODE=SUMMARY&amp;VAR:PERIOD=FIXED&amp;VAR:AUDIT_ID=00000117&amp;VAR:DATE=20071217&amp;action=UPDATE&amp;creator=factset&amp;DOC_NAME=FAT:FMA_audit_SUMMARY.fat&amp;DISPLAY_STRING=Display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7__FDSAUDITLINK__" hidden="1">{"fdsup://directions/FAT%20Viewer?VAR:PED=LTM&amp;VAR:AUDIT_MODE=SUMMARY&amp;VAR:PERIOD=FIXED&amp;VAR:AUDIT_ID=00000117&amp;VAR:DATE=20071217&amp;action=UPDATE&amp;creator=factset&amp;DOC_NAME=FAT:FMA_audit_SUMMARY.fat&amp;DISPLAY_STRING=Display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70__FDSAUDITLINK__" localSheetId="6" hidden="1">{"fdsup://directions/FAT Viewer?action=UPDATE&amp;creator=factset&amp;DYN_ARGS=TRUE&amp;DOC_NAME=FAT:FQL_AUDITING_CLIENT_TEMPLATE.FAT&amp;display_string=Audit&amp;VAR:KEY=ZYTIPSXWTE&amp;VAR:QUERY=RkZfRUJJVERBX0lCKCdMVE1TJywzOTU3MSk=&amp;WINDOW=FIRST_POPUP&amp;HEIGHT=450&amp;WIDTH=450&amp;START_MA","XIMIZED=FALSE&amp;VAR:CALENDAR=US&amp;VAR:SYMBOL=G0129K10&amp;VAR:INDEX=0"}</definedName>
    <definedName name="_7970__FDSAUDITLINK__" hidden="1">{"fdsup://directions/FAT Viewer?action=UPDATE&amp;creator=factset&amp;DYN_ARGS=TRUE&amp;DOC_NAME=FAT:FQL_AUDITING_CLIENT_TEMPLATE.FAT&amp;display_string=Audit&amp;VAR:KEY=ZYTIPSXWTE&amp;VAR:QUERY=RkZfRUJJVERBX0lCKCdMVE1TJywzOTU3MSk=&amp;WINDOW=FIRST_POPUP&amp;HEIGHT=450&amp;WIDTH=450&amp;START_MA","XIMIZED=FALSE&amp;VAR:CALENDAR=US&amp;VAR:SYMBOL=G0129K10&amp;VAR:INDEX=0"}</definedName>
    <definedName name="_7971__FDSAUDITLINK__" localSheetId="6" hidden="1">{"fdsup://directions/FAT Viewer?action=UPDATE&amp;creator=factset&amp;DYN_ARGS=TRUE&amp;DOC_NAME=FAT:FQL_AUDITING_CLIENT_TEMPLATE.FAT&amp;display_string=Audit&amp;VAR:KEY=TEJMVWTWXM&amp;VAR:QUERY=RkZfRUJJVERBX0lCKCdMVE1TJywzOTU3MCk=&amp;WINDOW=FIRST_POPUP&amp;HEIGHT=450&amp;WIDTH=450&amp;START_MA","XIMIZED=FALSE&amp;VAR:CALENDAR=US&amp;VAR:SYMBOL=G0129K10&amp;VAR:INDEX=0"}</definedName>
    <definedName name="_7971__FDSAUDITLINK__" hidden="1">{"fdsup://directions/FAT Viewer?action=UPDATE&amp;creator=factset&amp;DYN_ARGS=TRUE&amp;DOC_NAME=FAT:FQL_AUDITING_CLIENT_TEMPLATE.FAT&amp;display_string=Audit&amp;VAR:KEY=TEJMVWTWXM&amp;VAR:QUERY=RkZfRUJJVERBX0lCKCdMVE1TJywzOTU3MCk=&amp;WINDOW=FIRST_POPUP&amp;HEIGHT=450&amp;WIDTH=450&amp;START_MA","XIMIZED=FALSE&amp;VAR:CALENDAR=US&amp;VAR:SYMBOL=G0129K10&amp;VAR:INDEX=0"}</definedName>
    <definedName name="_7972__FDSAUDITLINK__" localSheetId="6" hidden="1">{"fdsup://directions/FAT Viewer?action=UPDATE&amp;creator=factset&amp;DYN_ARGS=TRUE&amp;DOC_NAME=FAT:FQL_AUDITING_CLIENT_TEMPLATE.FAT&amp;display_string=Audit&amp;VAR:KEY=JYDSLOTGRS&amp;VAR:QUERY=RkZfRUJJVERBX0lCKCdMVE1TJywzOTU2OSk=&amp;WINDOW=FIRST_POPUP&amp;HEIGHT=450&amp;WIDTH=450&amp;START_MA","XIMIZED=FALSE&amp;VAR:CALENDAR=US&amp;VAR:SYMBOL=G0129K10&amp;VAR:INDEX=0"}</definedName>
    <definedName name="_7972__FDSAUDITLINK__" hidden="1">{"fdsup://directions/FAT Viewer?action=UPDATE&amp;creator=factset&amp;DYN_ARGS=TRUE&amp;DOC_NAME=FAT:FQL_AUDITING_CLIENT_TEMPLATE.FAT&amp;display_string=Audit&amp;VAR:KEY=JYDSLOTGRS&amp;VAR:QUERY=RkZfRUJJVERBX0lCKCdMVE1TJywzOTU2OSk=&amp;WINDOW=FIRST_POPUP&amp;HEIGHT=450&amp;WIDTH=450&amp;START_MA","XIMIZED=FALSE&amp;VAR:CALENDAR=US&amp;VAR:SYMBOL=G0129K10&amp;VAR:INDEX=0"}</definedName>
    <definedName name="_7973__FDSAUDITLINK__" localSheetId="6" hidden="1">{"fdsup://directions/FAT Viewer?action=UPDATE&amp;creator=factset&amp;DYN_ARGS=TRUE&amp;DOC_NAME=FAT:FQL_AUDITING_CLIENT_TEMPLATE.FAT&amp;display_string=Audit&amp;VAR:KEY=PAFMLUVIZI&amp;VAR:QUERY=RkZfRUJJVERBX0lCKCdMVE1TJywzOTU2OCk=&amp;WINDOW=FIRST_POPUP&amp;HEIGHT=450&amp;WIDTH=450&amp;START_MA","XIMIZED=FALSE&amp;VAR:CALENDAR=US&amp;VAR:SYMBOL=G0129K10&amp;VAR:INDEX=0"}</definedName>
    <definedName name="_7973__FDSAUDITLINK__" hidden="1">{"fdsup://directions/FAT Viewer?action=UPDATE&amp;creator=factset&amp;DYN_ARGS=TRUE&amp;DOC_NAME=FAT:FQL_AUDITING_CLIENT_TEMPLATE.FAT&amp;display_string=Audit&amp;VAR:KEY=PAFMLUVIZI&amp;VAR:QUERY=RkZfRUJJVERBX0lCKCdMVE1TJywzOTU2OCk=&amp;WINDOW=FIRST_POPUP&amp;HEIGHT=450&amp;WIDTH=450&amp;START_MA","XIMIZED=FALSE&amp;VAR:CALENDAR=US&amp;VAR:SYMBOL=G0129K10&amp;VAR:INDEX=0"}</definedName>
    <definedName name="_7974__FDSAUDITLINK__" localSheetId="6" hidden="1">{"fdsup://directions/FAT Viewer?action=UPDATE&amp;creator=factset&amp;DYN_ARGS=TRUE&amp;DOC_NAME=FAT:FQL_AUDITING_CLIENT_TEMPLATE.FAT&amp;display_string=Audit&amp;VAR:KEY=PQBOLEXUTE&amp;VAR:QUERY=RkZfRUJJVERBX0lCKCdMVE1TJywzOTU2Nyk=&amp;WINDOW=FIRST_POPUP&amp;HEIGHT=450&amp;WIDTH=450&amp;START_MA","XIMIZED=FALSE&amp;VAR:CALENDAR=US&amp;VAR:SYMBOL=G0129K10&amp;VAR:INDEX=0"}</definedName>
    <definedName name="_7974__FDSAUDITLINK__" hidden="1">{"fdsup://directions/FAT Viewer?action=UPDATE&amp;creator=factset&amp;DYN_ARGS=TRUE&amp;DOC_NAME=FAT:FQL_AUDITING_CLIENT_TEMPLATE.FAT&amp;display_string=Audit&amp;VAR:KEY=PQBOLEXUTE&amp;VAR:QUERY=RkZfRUJJVERBX0lCKCdMVE1TJywzOTU2Nyk=&amp;WINDOW=FIRST_POPUP&amp;HEIGHT=450&amp;WIDTH=450&amp;START_MA","XIMIZED=FALSE&amp;VAR:CALENDAR=US&amp;VAR:SYMBOL=G0129K10&amp;VAR:INDEX=0"}</definedName>
    <definedName name="_7975__FDSAUDITLINK__" localSheetId="6" hidden="1">{"fdsup://directions/FAT Viewer?action=UPDATE&amp;creator=factset&amp;DYN_ARGS=TRUE&amp;DOC_NAME=FAT:FQL_AUDITING_CLIENT_TEMPLATE.FAT&amp;display_string=Audit&amp;VAR:KEY=VIJWNUBOVG&amp;VAR:QUERY=RkZfRUJJVERBX0lCKCdMVE1TJywzOTU2Nik=&amp;WINDOW=FIRST_POPUP&amp;HEIGHT=450&amp;WIDTH=450&amp;START_MA","XIMIZED=FALSE&amp;VAR:CALENDAR=US&amp;VAR:SYMBOL=G0129K10&amp;VAR:INDEX=0"}</definedName>
    <definedName name="_7975__FDSAUDITLINK__" hidden="1">{"fdsup://directions/FAT Viewer?action=UPDATE&amp;creator=factset&amp;DYN_ARGS=TRUE&amp;DOC_NAME=FAT:FQL_AUDITING_CLIENT_TEMPLATE.FAT&amp;display_string=Audit&amp;VAR:KEY=VIJWNUBOVG&amp;VAR:QUERY=RkZfRUJJVERBX0lCKCdMVE1TJywzOTU2Nik=&amp;WINDOW=FIRST_POPUP&amp;HEIGHT=450&amp;WIDTH=450&amp;START_MA","XIMIZED=FALSE&amp;VAR:CALENDAR=US&amp;VAR:SYMBOL=G0129K10&amp;VAR:INDEX=0"}</definedName>
    <definedName name="_7976__FDSAUDITLINK__" localSheetId="6" hidden="1">{"fdsup://directions/FAT Viewer?action=UPDATE&amp;creator=factset&amp;DYN_ARGS=TRUE&amp;DOC_NAME=FAT:FQL_AUDITING_CLIENT_TEMPLATE.FAT&amp;display_string=Audit&amp;VAR:KEY=DGZKREZCBQ&amp;VAR:QUERY=RkZfRUJJVERBX0lCKCdMVE1TJywzOTU2NSk=&amp;WINDOW=FIRST_POPUP&amp;HEIGHT=450&amp;WIDTH=450&amp;START_MA","XIMIZED=FALSE&amp;VAR:CALENDAR=US&amp;VAR:SYMBOL=G0129K10&amp;VAR:INDEX=0"}</definedName>
    <definedName name="_7976__FDSAUDITLINK__" hidden="1">{"fdsup://directions/FAT Viewer?action=UPDATE&amp;creator=factset&amp;DYN_ARGS=TRUE&amp;DOC_NAME=FAT:FQL_AUDITING_CLIENT_TEMPLATE.FAT&amp;display_string=Audit&amp;VAR:KEY=DGZKREZCBQ&amp;VAR:QUERY=RkZfRUJJVERBX0lCKCdMVE1TJywzOTU2NSk=&amp;WINDOW=FIRST_POPUP&amp;HEIGHT=450&amp;WIDTH=450&amp;START_MA","XIMIZED=FALSE&amp;VAR:CALENDAR=US&amp;VAR:SYMBOL=G0129K10&amp;VAR:INDEX=0"}</definedName>
    <definedName name="_7977__FDSAUDITLINK__" localSheetId="6" hidden="1">{"fdsup://directions/FAT Viewer?action=UPDATE&amp;creator=factset&amp;DYN_ARGS=TRUE&amp;DOC_NAME=FAT:FQL_AUDITING_CLIENT_TEMPLATE.FAT&amp;display_string=Audit&amp;VAR:KEY=HGNUHIHCXS&amp;VAR:QUERY=RkZfRUJJVERBX0lCKCdMVE1TJywzOTU2NCk=&amp;WINDOW=FIRST_POPUP&amp;HEIGHT=450&amp;WIDTH=450&amp;START_MA","XIMIZED=FALSE&amp;VAR:CALENDAR=US&amp;VAR:SYMBOL=G0129K10&amp;VAR:INDEX=0"}</definedName>
    <definedName name="_7977__FDSAUDITLINK__" hidden="1">{"fdsup://directions/FAT Viewer?action=UPDATE&amp;creator=factset&amp;DYN_ARGS=TRUE&amp;DOC_NAME=FAT:FQL_AUDITING_CLIENT_TEMPLATE.FAT&amp;display_string=Audit&amp;VAR:KEY=HGNUHIHCXS&amp;VAR:QUERY=RkZfRUJJVERBX0lCKCdMVE1TJywzOTU2NCk=&amp;WINDOW=FIRST_POPUP&amp;HEIGHT=450&amp;WIDTH=450&amp;START_MA","XIMIZED=FALSE&amp;VAR:CALENDAR=US&amp;VAR:SYMBOL=G0129K10&amp;VAR:INDEX=0"}</definedName>
    <definedName name="_7978__FDSAUDITLINK__" localSheetId="6" hidden="1">{"fdsup://directions/FAT Viewer?action=UPDATE&amp;creator=factset&amp;DYN_ARGS=TRUE&amp;DOC_NAME=FAT:FQL_AUDITING_CLIENT_TEMPLATE.FAT&amp;display_string=Audit&amp;VAR:KEY=ZUROXCFMXG&amp;VAR:QUERY=RkZfRUJJVERBX0lCKCdMVE1TJywzOTU2Myk=&amp;WINDOW=FIRST_POPUP&amp;HEIGHT=450&amp;WIDTH=450&amp;START_MA","XIMIZED=FALSE&amp;VAR:CALENDAR=US&amp;VAR:SYMBOL=G0129K10&amp;VAR:INDEX=0"}</definedName>
    <definedName name="_7978__FDSAUDITLINK__" hidden="1">{"fdsup://directions/FAT Viewer?action=UPDATE&amp;creator=factset&amp;DYN_ARGS=TRUE&amp;DOC_NAME=FAT:FQL_AUDITING_CLIENT_TEMPLATE.FAT&amp;display_string=Audit&amp;VAR:KEY=ZUROXCFMXG&amp;VAR:QUERY=RkZfRUJJVERBX0lCKCdMVE1TJywzOTU2Myk=&amp;WINDOW=FIRST_POPUP&amp;HEIGHT=450&amp;WIDTH=450&amp;START_MA","XIMIZED=FALSE&amp;VAR:CALENDAR=US&amp;VAR:SYMBOL=G0129K10&amp;VAR:INDEX=0"}</definedName>
    <definedName name="_7979__FDSAUDITLINK__" localSheetId="6" hidden="1">{"fdsup://directions/FAT Viewer?action=UPDATE&amp;creator=factset&amp;DYN_ARGS=TRUE&amp;DOC_NAME=FAT:FQL_AUDITING_CLIENT_TEMPLATE.FAT&amp;display_string=Audit&amp;VAR:KEY=VUXUFWDCPG&amp;VAR:QUERY=RkZfRUJJVERBX0lCKCdMVE1TJywzOTU2Mik=&amp;WINDOW=FIRST_POPUP&amp;HEIGHT=450&amp;WIDTH=450&amp;START_MA","XIMIZED=FALSE&amp;VAR:CALENDAR=US&amp;VAR:SYMBOL=G0129K10&amp;VAR:INDEX=0"}</definedName>
    <definedName name="_7979__FDSAUDITLINK__" hidden="1">{"fdsup://directions/FAT Viewer?action=UPDATE&amp;creator=factset&amp;DYN_ARGS=TRUE&amp;DOC_NAME=FAT:FQL_AUDITING_CLIENT_TEMPLATE.FAT&amp;display_string=Audit&amp;VAR:KEY=VUXUFWDCPG&amp;VAR:QUERY=RkZfRUJJVERBX0lCKCdMVE1TJywzOTU2Mik=&amp;WINDOW=FIRST_POPUP&amp;HEIGHT=450&amp;WIDTH=450&amp;START_MA","XIMIZED=FALSE&amp;VAR:CALENDAR=US&amp;VAR:SYMBOL=G0129K10&amp;VAR:INDEX=0"}</definedName>
    <definedName name="_798__FDSAUDITLINK__" localSheetId="6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8__FDSAUDITLINK__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80__FDSAUDITLINK__" localSheetId="6" hidden="1">{"fdsup://directions/FAT Viewer?action=UPDATE&amp;creator=factset&amp;DYN_ARGS=TRUE&amp;DOC_NAME=FAT:FQL_AUDITING_CLIENT_TEMPLATE.FAT&amp;display_string=Audit&amp;VAR:KEY=ZONENKDYZW&amp;VAR:QUERY=RkZfRUJJVERBX0lCKCdMVE1TJywzOTU2MSk=&amp;WINDOW=FIRST_POPUP&amp;HEIGHT=450&amp;WIDTH=450&amp;START_MA","XIMIZED=FALSE&amp;VAR:CALENDAR=US&amp;VAR:SYMBOL=G0129K10&amp;VAR:INDEX=0"}</definedName>
    <definedName name="_7980__FDSAUDITLINK__" hidden="1">{"fdsup://directions/FAT Viewer?action=UPDATE&amp;creator=factset&amp;DYN_ARGS=TRUE&amp;DOC_NAME=FAT:FQL_AUDITING_CLIENT_TEMPLATE.FAT&amp;display_string=Audit&amp;VAR:KEY=ZONENKDYZW&amp;VAR:QUERY=RkZfRUJJVERBX0lCKCdMVE1TJywzOTU2MSk=&amp;WINDOW=FIRST_POPUP&amp;HEIGHT=450&amp;WIDTH=450&amp;START_MA","XIMIZED=FALSE&amp;VAR:CALENDAR=US&amp;VAR:SYMBOL=G0129K10&amp;VAR:INDEX=0"}</definedName>
    <definedName name="_7981__FDSAUDITLINK__" localSheetId="6" hidden="1">{"fdsup://directions/FAT Viewer?action=UPDATE&amp;creator=factset&amp;DYN_ARGS=TRUE&amp;DOC_NAME=FAT:FQL_AUDITING_CLIENT_TEMPLATE.FAT&amp;display_string=Audit&amp;VAR:KEY=JKXMHUXQXS&amp;VAR:QUERY=RkZfRUJJVERBX0lCKCdMVE1TJywzOTU2MCk=&amp;WINDOW=FIRST_POPUP&amp;HEIGHT=450&amp;WIDTH=450&amp;START_MA","XIMIZED=FALSE&amp;VAR:CALENDAR=US&amp;VAR:SYMBOL=G0129K10&amp;VAR:INDEX=0"}</definedName>
    <definedName name="_7981__FDSAUDITLINK__" hidden="1">{"fdsup://directions/FAT Viewer?action=UPDATE&amp;creator=factset&amp;DYN_ARGS=TRUE&amp;DOC_NAME=FAT:FQL_AUDITING_CLIENT_TEMPLATE.FAT&amp;display_string=Audit&amp;VAR:KEY=JKXMHUXQXS&amp;VAR:QUERY=RkZfRUJJVERBX0lCKCdMVE1TJywzOTU2MCk=&amp;WINDOW=FIRST_POPUP&amp;HEIGHT=450&amp;WIDTH=450&amp;START_MA","XIMIZED=FALSE&amp;VAR:CALENDAR=US&amp;VAR:SYMBOL=G0129K10&amp;VAR:INDEX=0"}</definedName>
    <definedName name="_7982__FDSAUDITLINK__" localSheetId="6" hidden="1">{"fdsup://directions/FAT Viewer?action=UPDATE&amp;creator=factset&amp;DYN_ARGS=TRUE&amp;DOC_NAME=FAT:FQL_AUDITING_CLIENT_TEMPLATE.FAT&amp;display_string=Audit&amp;VAR:KEY=NGXUNKPWRO&amp;VAR:QUERY=RkZfRUJJVERBX0lCKCdMVE1TJywzOTU1OSk=&amp;WINDOW=FIRST_POPUP&amp;HEIGHT=450&amp;WIDTH=450&amp;START_MA","XIMIZED=FALSE&amp;VAR:CALENDAR=US&amp;VAR:SYMBOL=G0129K10&amp;VAR:INDEX=0"}</definedName>
    <definedName name="_7982__FDSAUDITLINK__" hidden="1">{"fdsup://directions/FAT Viewer?action=UPDATE&amp;creator=factset&amp;DYN_ARGS=TRUE&amp;DOC_NAME=FAT:FQL_AUDITING_CLIENT_TEMPLATE.FAT&amp;display_string=Audit&amp;VAR:KEY=NGXUNKPWRO&amp;VAR:QUERY=RkZfRUJJVERBX0lCKCdMVE1TJywzOTU1OSk=&amp;WINDOW=FIRST_POPUP&amp;HEIGHT=450&amp;WIDTH=450&amp;START_MA","XIMIZED=FALSE&amp;VAR:CALENDAR=US&amp;VAR:SYMBOL=G0129K10&amp;VAR:INDEX=0"}</definedName>
    <definedName name="_7983__FDSAUDITLINK__" localSheetId="6" hidden="1">{"fdsup://directions/FAT Viewer?action=UPDATE&amp;creator=factset&amp;DYN_ARGS=TRUE&amp;DOC_NAME=FAT:FQL_AUDITING_CLIENT_TEMPLATE.FAT&amp;display_string=Audit&amp;VAR:KEY=VIJEHYBYVS&amp;VAR:QUERY=RkZfRUJJVERBX0lCKCdMVE1TJywzOTU1OCk=&amp;WINDOW=FIRST_POPUP&amp;HEIGHT=450&amp;WIDTH=450&amp;START_MA","XIMIZED=FALSE&amp;VAR:CALENDAR=US&amp;VAR:SYMBOL=G0129K10&amp;VAR:INDEX=0"}</definedName>
    <definedName name="_7983__FDSAUDITLINK__" hidden="1">{"fdsup://directions/FAT Viewer?action=UPDATE&amp;creator=factset&amp;DYN_ARGS=TRUE&amp;DOC_NAME=FAT:FQL_AUDITING_CLIENT_TEMPLATE.FAT&amp;display_string=Audit&amp;VAR:KEY=VIJEHYBYVS&amp;VAR:QUERY=RkZfRUJJVERBX0lCKCdMVE1TJywzOTU1OCk=&amp;WINDOW=FIRST_POPUP&amp;HEIGHT=450&amp;WIDTH=450&amp;START_MA","XIMIZED=FALSE&amp;VAR:CALENDAR=US&amp;VAR:SYMBOL=G0129K10&amp;VAR:INDEX=0"}</definedName>
    <definedName name="_7984__FDSAUDITLINK__" localSheetId="6" hidden="1">{"fdsup://directions/FAT Viewer?action=UPDATE&amp;creator=factset&amp;DYN_ARGS=TRUE&amp;DOC_NAME=FAT:FQL_AUDITING_CLIENT_TEMPLATE.FAT&amp;display_string=Audit&amp;VAR:KEY=TCHUTEJYFY&amp;VAR:QUERY=RkZfRUJJVERBX0lCKCdMVE1TJywzOTU1Nyk=&amp;WINDOW=FIRST_POPUP&amp;HEIGHT=450&amp;WIDTH=450&amp;START_MA","XIMIZED=FALSE&amp;VAR:CALENDAR=US&amp;VAR:SYMBOL=G0129K10&amp;VAR:INDEX=0"}</definedName>
    <definedName name="_7984__FDSAUDITLINK__" hidden="1">{"fdsup://directions/FAT Viewer?action=UPDATE&amp;creator=factset&amp;DYN_ARGS=TRUE&amp;DOC_NAME=FAT:FQL_AUDITING_CLIENT_TEMPLATE.FAT&amp;display_string=Audit&amp;VAR:KEY=TCHUTEJYFY&amp;VAR:QUERY=RkZfRUJJVERBX0lCKCdMVE1TJywzOTU1Nyk=&amp;WINDOW=FIRST_POPUP&amp;HEIGHT=450&amp;WIDTH=450&amp;START_MA","XIMIZED=FALSE&amp;VAR:CALENDAR=US&amp;VAR:SYMBOL=G0129K10&amp;VAR:INDEX=0"}</definedName>
    <definedName name="_7985__FDSAUDITLINK__" localSheetId="6" hidden="1">{"fdsup://directions/FAT Viewer?action=UPDATE&amp;creator=factset&amp;DYN_ARGS=TRUE&amp;DOC_NAME=FAT:FQL_AUDITING_CLIENT_TEMPLATE.FAT&amp;display_string=Audit&amp;VAR:KEY=JETMVCDONK&amp;VAR:QUERY=RkZfRUJJVERBX0lCKCdMVE1TJywzOTU1Nik=&amp;WINDOW=FIRST_POPUP&amp;HEIGHT=450&amp;WIDTH=450&amp;START_MA","XIMIZED=FALSE&amp;VAR:CALENDAR=US&amp;VAR:SYMBOL=G0129K10&amp;VAR:INDEX=0"}</definedName>
    <definedName name="_7985__FDSAUDITLINK__" hidden="1">{"fdsup://directions/FAT Viewer?action=UPDATE&amp;creator=factset&amp;DYN_ARGS=TRUE&amp;DOC_NAME=FAT:FQL_AUDITING_CLIENT_TEMPLATE.FAT&amp;display_string=Audit&amp;VAR:KEY=JETMVCDONK&amp;VAR:QUERY=RkZfRUJJVERBX0lCKCdMVE1TJywzOTU1Nik=&amp;WINDOW=FIRST_POPUP&amp;HEIGHT=450&amp;WIDTH=450&amp;START_MA","XIMIZED=FALSE&amp;VAR:CALENDAR=US&amp;VAR:SYMBOL=G0129K10&amp;VAR:INDEX=0"}</definedName>
    <definedName name="_7986__FDSAUDITLINK__" localSheetId="6" hidden="1">{"fdsup://directions/FAT Viewer?action=UPDATE&amp;creator=factset&amp;DYN_ARGS=TRUE&amp;DOC_NAME=FAT:FQL_AUDITING_CLIENT_TEMPLATE.FAT&amp;display_string=Audit&amp;VAR:KEY=NOLUVKTSDK&amp;VAR:QUERY=RkZfRUJJVERBX0lCKCdMVE1TJywzOTU1NSk=&amp;WINDOW=FIRST_POPUP&amp;HEIGHT=450&amp;WIDTH=450&amp;START_MA","XIMIZED=FALSE&amp;VAR:CALENDAR=US&amp;VAR:SYMBOL=G0129K10&amp;VAR:INDEX=0"}</definedName>
    <definedName name="_7986__FDSAUDITLINK__" hidden="1">{"fdsup://directions/FAT Viewer?action=UPDATE&amp;creator=factset&amp;DYN_ARGS=TRUE&amp;DOC_NAME=FAT:FQL_AUDITING_CLIENT_TEMPLATE.FAT&amp;display_string=Audit&amp;VAR:KEY=NOLUVKTSDK&amp;VAR:QUERY=RkZfRUJJVERBX0lCKCdMVE1TJywzOTU1NSk=&amp;WINDOW=FIRST_POPUP&amp;HEIGHT=450&amp;WIDTH=450&amp;START_MA","XIMIZED=FALSE&amp;VAR:CALENDAR=US&amp;VAR:SYMBOL=G0129K10&amp;VAR:INDEX=0"}</definedName>
    <definedName name="_7987__FDSAUDITLINK__" localSheetId="6" hidden="1">{"fdsup://directions/FAT Viewer?action=UPDATE&amp;creator=factset&amp;DYN_ARGS=TRUE&amp;DOC_NAME=FAT:FQL_AUDITING_CLIENT_TEMPLATE.FAT&amp;display_string=Audit&amp;VAR:KEY=DEPOJONAXA&amp;VAR:QUERY=RkZfRUJJVERBX0lCKCdMVE1TJywzOTU1NCk=&amp;WINDOW=FIRST_POPUP&amp;HEIGHT=450&amp;WIDTH=450&amp;START_MA","XIMIZED=FALSE&amp;VAR:CALENDAR=US&amp;VAR:SYMBOL=G0129K10&amp;VAR:INDEX=0"}</definedName>
    <definedName name="_7987__FDSAUDITLINK__" hidden="1">{"fdsup://directions/FAT Viewer?action=UPDATE&amp;creator=factset&amp;DYN_ARGS=TRUE&amp;DOC_NAME=FAT:FQL_AUDITING_CLIENT_TEMPLATE.FAT&amp;display_string=Audit&amp;VAR:KEY=DEPOJONAXA&amp;VAR:QUERY=RkZfRUJJVERBX0lCKCdMVE1TJywzOTU1NCk=&amp;WINDOW=FIRST_POPUP&amp;HEIGHT=450&amp;WIDTH=450&amp;START_MA","XIMIZED=FALSE&amp;VAR:CALENDAR=US&amp;VAR:SYMBOL=G0129K10&amp;VAR:INDEX=0"}</definedName>
    <definedName name="_7988__FDSAUDITLINK__" localSheetId="6" hidden="1">{"fdsup://directions/FAT Viewer?action=UPDATE&amp;creator=factset&amp;DYN_ARGS=TRUE&amp;DOC_NAME=FAT:FQL_AUDITING_CLIENT_TEMPLATE.FAT&amp;display_string=Audit&amp;VAR:KEY=PCJQBKFIHG&amp;VAR:QUERY=RkZfRUJJVERBX0lCKCdMVE1TJywzOTU1Myk=&amp;WINDOW=FIRST_POPUP&amp;HEIGHT=450&amp;WIDTH=450&amp;START_MA","XIMIZED=FALSE&amp;VAR:CALENDAR=US&amp;VAR:SYMBOL=G0129K10&amp;VAR:INDEX=0"}</definedName>
    <definedName name="_7988__FDSAUDITLINK__" hidden="1">{"fdsup://directions/FAT Viewer?action=UPDATE&amp;creator=factset&amp;DYN_ARGS=TRUE&amp;DOC_NAME=FAT:FQL_AUDITING_CLIENT_TEMPLATE.FAT&amp;display_string=Audit&amp;VAR:KEY=PCJQBKFIHG&amp;VAR:QUERY=RkZfRUJJVERBX0lCKCdMVE1TJywzOTU1Myk=&amp;WINDOW=FIRST_POPUP&amp;HEIGHT=450&amp;WIDTH=450&amp;START_MA","XIMIZED=FALSE&amp;VAR:CALENDAR=US&amp;VAR:SYMBOL=G0129K10&amp;VAR:INDEX=0"}</definedName>
    <definedName name="_7989__FDSAUDITLINK__" localSheetId="6" hidden="1">{"fdsup://directions/FAT Viewer?action=UPDATE&amp;creator=factset&amp;DYN_ARGS=TRUE&amp;DOC_NAME=FAT:FQL_AUDITING_CLIENT_TEMPLATE.FAT&amp;display_string=Audit&amp;VAR:KEY=NIDANGZGBS&amp;VAR:QUERY=RkZfRUJJVERBX0lCKCdMVE1TJywzOTU1Mik=&amp;WINDOW=FIRST_POPUP&amp;HEIGHT=450&amp;WIDTH=450&amp;START_MA","XIMIZED=FALSE&amp;VAR:CALENDAR=US&amp;VAR:SYMBOL=G0129K10&amp;VAR:INDEX=0"}</definedName>
    <definedName name="_7989__FDSAUDITLINK__" hidden="1">{"fdsup://directions/FAT Viewer?action=UPDATE&amp;creator=factset&amp;DYN_ARGS=TRUE&amp;DOC_NAME=FAT:FQL_AUDITING_CLIENT_TEMPLATE.FAT&amp;display_string=Audit&amp;VAR:KEY=NIDANGZGBS&amp;VAR:QUERY=RkZfRUJJVERBX0lCKCdMVE1TJywzOTU1Mik=&amp;WINDOW=FIRST_POPUP&amp;HEIGHT=450&amp;WIDTH=450&amp;START_MA","XIMIZED=FALSE&amp;VAR:CALENDAR=US&amp;VAR:SYMBOL=G0129K10&amp;VAR:INDEX=0"}</definedName>
    <definedName name="_799__FDSAUDITLINK__" localSheetId="6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9__FDSAUDITLINK__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7990__FDSAUDITLINK__" localSheetId="6" hidden="1">{"fdsup://directions/FAT Viewer?action=UPDATE&amp;creator=factset&amp;DYN_ARGS=TRUE&amp;DOC_NAME=FAT:FQL_AUDITING_CLIENT_TEMPLATE.FAT&amp;display_string=Audit&amp;VAR:KEY=NUJINWZARQ&amp;VAR:QUERY=RkZfRUJJVERBX0lCKCdMVE1TJywzOTU1MSk=&amp;WINDOW=FIRST_POPUP&amp;HEIGHT=450&amp;WIDTH=450&amp;START_MA","XIMIZED=FALSE&amp;VAR:CALENDAR=US&amp;VAR:SYMBOL=G0129K10&amp;VAR:INDEX=0"}</definedName>
    <definedName name="_7990__FDSAUDITLINK__" hidden="1">{"fdsup://directions/FAT Viewer?action=UPDATE&amp;creator=factset&amp;DYN_ARGS=TRUE&amp;DOC_NAME=FAT:FQL_AUDITING_CLIENT_TEMPLATE.FAT&amp;display_string=Audit&amp;VAR:KEY=NUJINWZARQ&amp;VAR:QUERY=RkZfRUJJVERBX0lCKCdMVE1TJywzOTU1MSk=&amp;WINDOW=FIRST_POPUP&amp;HEIGHT=450&amp;WIDTH=450&amp;START_MA","XIMIZED=FALSE&amp;VAR:CALENDAR=US&amp;VAR:SYMBOL=G0129K10&amp;VAR:INDEX=0"}</definedName>
    <definedName name="_7991__FDSAUDITLINK__" localSheetId="6" hidden="1">{"fdsup://directions/FAT Viewer?action=UPDATE&amp;creator=factset&amp;DYN_ARGS=TRUE&amp;DOC_NAME=FAT:FQL_AUDITING_CLIENT_TEMPLATE.FAT&amp;display_string=Audit&amp;VAR:KEY=DODKFQXKXC&amp;VAR:QUERY=RkZfRUJJVERBX0lCKCdMVE1TJywzOTU1MCk=&amp;WINDOW=FIRST_POPUP&amp;HEIGHT=450&amp;WIDTH=450&amp;START_MA","XIMIZED=FALSE&amp;VAR:CALENDAR=US&amp;VAR:SYMBOL=G0129K10&amp;VAR:INDEX=0"}</definedName>
    <definedName name="_7991__FDSAUDITLINK__" hidden="1">{"fdsup://directions/FAT Viewer?action=UPDATE&amp;creator=factset&amp;DYN_ARGS=TRUE&amp;DOC_NAME=FAT:FQL_AUDITING_CLIENT_TEMPLATE.FAT&amp;display_string=Audit&amp;VAR:KEY=DODKFQXKXC&amp;VAR:QUERY=RkZfRUJJVERBX0lCKCdMVE1TJywzOTU1MCk=&amp;WINDOW=FIRST_POPUP&amp;HEIGHT=450&amp;WIDTH=450&amp;START_MA","XIMIZED=FALSE&amp;VAR:CALENDAR=US&amp;VAR:SYMBOL=G0129K10&amp;VAR:INDEX=0"}</definedName>
    <definedName name="_7992__FDSAUDITLINK__" localSheetId="6" hidden="1">{"fdsup://directions/FAT Viewer?action=UPDATE&amp;creator=factset&amp;DYN_ARGS=TRUE&amp;DOC_NAME=FAT:FQL_AUDITING_CLIENT_TEMPLATE.FAT&amp;display_string=Audit&amp;VAR:KEY=FGZGXEHKXW&amp;VAR:QUERY=RkZfRUJJVERBX0lCKCdMVE1TJywzOTU0OSk=&amp;WINDOW=FIRST_POPUP&amp;HEIGHT=450&amp;WIDTH=450&amp;START_MA","XIMIZED=FALSE&amp;VAR:CALENDAR=US&amp;VAR:SYMBOL=G0129K10&amp;VAR:INDEX=0"}</definedName>
    <definedName name="_7992__FDSAUDITLINK__" hidden="1">{"fdsup://directions/FAT Viewer?action=UPDATE&amp;creator=factset&amp;DYN_ARGS=TRUE&amp;DOC_NAME=FAT:FQL_AUDITING_CLIENT_TEMPLATE.FAT&amp;display_string=Audit&amp;VAR:KEY=FGZGXEHKXW&amp;VAR:QUERY=RkZfRUJJVERBX0lCKCdMVE1TJywzOTU0OSk=&amp;WINDOW=FIRST_POPUP&amp;HEIGHT=450&amp;WIDTH=450&amp;START_MA","XIMIZED=FALSE&amp;VAR:CALENDAR=US&amp;VAR:SYMBOL=G0129K10&amp;VAR:INDEX=0"}</definedName>
    <definedName name="_7993__FDSAUDITLINK__" localSheetId="6" hidden="1">{"fdsup://directions/FAT Viewer?action=UPDATE&amp;creator=factset&amp;DYN_ARGS=TRUE&amp;DOC_NAME=FAT:FQL_AUDITING_CLIENT_TEMPLATE.FAT&amp;display_string=Audit&amp;VAR:KEY=ZKPQXSBWHO&amp;VAR:QUERY=RkZfRUJJVERBX0lCKCdMVE1TJywzOTU0OCk=&amp;WINDOW=FIRST_POPUP&amp;HEIGHT=450&amp;WIDTH=450&amp;START_MA","XIMIZED=FALSE&amp;VAR:CALENDAR=US&amp;VAR:SYMBOL=G0129K10&amp;VAR:INDEX=0"}</definedName>
    <definedName name="_7993__FDSAUDITLINK__" hidden="1">{"fdsup://directions/FAT Viewer?action=UPDATE&amp;creator=factset&amp;DYN_ARGS=TRUE&amp;DOC_NAME=FAT:FQL_AUDITING_CLIENT_TEMPLATE.FAT&amp;display_string=Audit&amp;VAR:KEY=ZKPQXSBWHO&amp;VAR:QUERY=RkZfRUJJVERBX0lCKCdMVE1TJywzOTU0OCk=&amp;WINDOW=FIRST_POPUP&amp;HEIGHT=450&amp;WIDTH=450&amp;START_MA","XIMIZED=FALSE&amp;VAR:CALENDAR=US&amp;VAR:SYMBOL=G0129K10&amp;VAR:INDEX=0"}</definedName>
    <definedName name="_7994__FDSAUDITLINK__" localSheetId="6" hidden="1">{"fdsup://directions/FAT Viewer?action=UPDATE&amp;creator=factset&amp;DYN_ARGS=TRUE&amp;DOC_NAME=FAT:FQL_AUDITING_CLIENT_TEMPLATE.FAT&amp;display_string=Audit&amp;VAR:KEY=LAXCDKHMHE&amp;VAR:QUERY=RkZfRUJJVERBX0lCKCdMVE1TJywzOTU0Nyk=&amp;WINDOW=FIRST_POPUP&amp;HEIGHT=450&amp;WIDTH=450&amp;START_MA","XIMIZED=FALSE&amp;VAR:CALENDAR=US&amp;VAR:SYMBOL=G0129K10&amp;VAR:INDEX=0"}</definedName>
    <definedName name="_7994__FDSAUDITLINK__" hidden="1">{"fdsup://directions/FAT Viewer?action=UPDATE&amp;creator=factset&amp;DYN_ARGS=TRUE&amp;DOC_NAME=FAT:FQL_AUDITING_CLIENT_TEMPLATE.FAT&amp;display_string=Audit&amp;VAR:KEY=LAXCDKHMHE&amp;VAR:QUERY=RkZfRUJJVERBX0lCKCdMVE1TJywzOTU0Nyk=&amp;WINDOW=FIRST_POPUP&amp;HEIGHT=450&amp;WIDTH=450&amp;START_MA","XIMIZED=FALSE&amp;VAR:CALENDAR=US&amp;VAR:SYMBOL=G0129K10&amp;VAR:INDEX=0"}</definedName>
    <definedName name="_7995__FDSAUDITLINK__" localSheetId="6" hidden="1">{"fdsup://directions/FAT Viewer?action=UPDATE&amp;creator=factset&amp;DYN_ARGS=TRUE&amp;DOC_NAME=FAT:FQL_AUDITING_CLIENT_TEMPLATE.FAT&amp;display_string=Audit&amp;VAR:KEY=POTIZONCJW&amp;VAR:QUERY=RkZfRUJJVERBX0lCKCdMVE1TJywzOTU0Nik=&amp;WINDOW=FIRST_POPUP&amp;HEIGHT=450&amp;WIDTH=450&amp;START_MA","XIMIZED=FALSE&amp;VAR:CALENDAR=US&amp;VAR:SYMBOL=G0129K10&amp;VAR:INDEX=0"}</definedName>
    <definedName name="_7995__FDSAUDITLINK__" hidden="1">{"fdsup://directions/FAT Viewer?action=UPDATE&amp;creator=factset&amp;DYN_ARGS=TRUE&amp;DOC_NAME=FAT:FQL_AUDITING_CLIENT_TEMPLATE.FAT&amp;display_string=Audit&amp;VAR:KEY=POTIZONCJW&amp;VAR:QUERY=RkZfRUJJVERBX0lCKCdMVE1TJywzOTU0Nik=&amp;WINDOW=FIRST_POPUP&amp;HEIGHT=450&amp;WIDTH=450&amp;START_MA","XIMIZED=FALSE&amp;VAR:CALENDAR=US&amp;VAR:SYMBOL=G0129K10&amp;VAR:INDEX=0"}</definedName>
    <definedName name="_7996__FDSAUDITLINK__" localSheetId="6" hidden="1">{"fdsup://directions/FAT Viewer?action=UPDATE&amp;creator=factset&amp;DYN_ARGS=TRUE&amp;DOC_NAME=FAT:FQL_AUDITING_CLIENT_TEMPLATE.FAT&amp;display_string=Audit&amp;VAR:KEY=NOVWXOBIJW&amp;VAR:QUERY=RkZfRUJJVERBX0lCKCdMVE1TJywzOTU0NSk=&amp;WINDOW=FIRST_POPUP&amp;HEIGHT=450&amp;WIDTH=450&amp;START_MA","XIMIZED=FALSE&amp;VAR:CALENDAR=US&amp;VAR:SYMBOL=G0129K10&amp;VAR:INDEX=0"}</definedName>
    <definedName name="_7996__FDSAUDITLINK__" hidden="1">{"fdsup://directions/FAT Viewer?action=UPDATE&amp;creator=factset&amp;DYN_ARGS=TRUE&amp;DOC_NAME=FAT:FQL_AUDITING_CLIENT_TEMPLATE.FAT&amp;display_string=Audit&amp;VAR:KEY=NOVWXOBIJW&amp;VAR:QUERY=RkZfRUJJVERBX0lCKCdMVE1TJywzOTU0NSk=&amp;WINDOW=FIRST_POPUP&amp;HEIGHT=450&amp;WIDTH=450&amp;START_MA","XIMIZED=FALSE&amp;VAR:CALENDAR=US&amp;VAR:SYMBOL=G0129K10&amp;VAR:INDEX=0"}</definedName>
    <definedName name="_7997__FDSAUDITLINK__" localSheetId="6" hidden="1">{"fdsup://directions/FAT Viewer?action=UPDATE&amp;creator=factset&amp;DYN_ARGS=TRUE&amp;DOC_NAME=FAT:FQL_AUDITING_CLIENT_TEMPLATE.FAT&amp;display_string=Audit&amp;VAR:KEY=BGNYZGZETG&amp;VAR:QUERY=RkZfRUJJVERBX0lCKCdMVE1TJywzOTU0NCk=&amp;WINDOW=FIRST_POPUP&amp;HEIGHT=450&amp;WIDTH=450&amp;START_MA","XIMIZED=FALSE&amp;VAR:CALENDAR=US&amp;VAR:SYMBOL=G0129K10&amp;VAR:INDEX=0"}</definedName>
    <definedName name="_7997__FDSAUDITLINK__" hidden="1">{"fdsup://directions/FAT Viewer?action=UPDATE&amp;creator=factset&amp;DYN_ARGS=TRUE&amp;DOC_NAME=FAT:FQL_AUDITING_CLIENT_TEMPLATE.FAT&amp;display_string=Audit&amp;VAR:KEY=BGNYZGZETG&amp;VAR:QUERY=RkZfRUJJVERBX0lCKCdMVE1TJywzOTU0NCk=&amp;WINDOW=FIRST_POPUP&amp;HEIGHT=450&amp;WIDTH=450&amp;START_MA","XIMIZED=FALSE&amp;VAR:CALENDAR=US&amp;VAR:SYMBOL=G0129K10&amp;VAR:INDEX=0"}</definedName>
    <definedName name="_7998__FDSAUDITLINK__" localSheetId="6" hidden="1">{"fdsup://directions/FAT Viewer?action=UPDATE&amp;creator=factset&amp;DYN_ARGS=TRUE&amp;DOC_NAME=FAT:FQL_AUDITING_CLIENT_TEMPLATE.FAT&amp;display_string=Audit&amp;VAR:KEY=PGLYZALQPM&amp;VAR:QUERY=RkZfRUJJVERBX0lCKCdMVE1TJywzOTU0Myk=&amp;WINDOW=FIRST_POPUP&amp;HEIGHT=450&amp;WIDTH=450&amp;START_MA","XIMIZED=FALSE&amp;VAR:CALENDAR=US&amp;VAR:SYMBOL=G0129K10&amp;VAR:INDEX=0"}</definedName>
    <definedName name="_7998__FDSAUDITLINK__" hidden="1">{"fdsup://directions/FAT Viewer?action=UPDATE&amp;creator=factset&amp;DYN_ARGS=TRUE&amp;DOC_NAME=FAT:FQL_AUDITING_CLIENT_TEMPLATE.FAT&amp;display_string=Audit&amp;VAR:KEY=PGLYZALQPM&amp;VAR:QUERY=RkZfRUJJVERBX0lCKCdMVE1TJywzOTU0Myk=&amp;WINDOW=FIRST_POPUP&amp;HEIGHT=450&amp;WIDTH=450&amp;START_MA","XIMIZED=FALSE&amp;VAR:CALENDAR=US&amp;VAR:SYMBOL=G0129K10&amp;VAR:INDEX=0"}</definedName>
    <definedName name="_7999__FDSAUDITLINK__" localSheetId="6" hidden="1">{"fdsup://directions/FAT Viewer?action=UPDATE&amp;creator=factset&amp;DYN_ARGS=TRUE&amp;DOC_NAME=FAT:FQL_AUDITING_CLIENT_TEMPLATE.FAT&amp;display_string=Audit&amp;VAR:KEY=RCLYFYBAHI&amp;VAR:QUERY=RkZfRUJJVERBX0lCKCdMVE1TJywzOTU0Mik=&amp;WINDOW=FIRST_POPUP&amp;HEIGHT=450&amp;WIDTH=450&amp;START_MA","XIMIZED=FALSE&amp;VAR:CALENDAR=US&amp;VAR:SYMBOL=G0129K10&amp;VAR:INDEX=0"}</definedName>
    <definedName name="_7999__FDSAUDITLINK__" hidden="1">{"fdsup://directions/FAT Viewer?action=UPDATE&amp;creator=factset&amp;DYN_ARGS=TRUE&amp;DOC_NAME=FAT:FQL_AUDITING_CLIENT_TEMPLATE.FAT&amp;display_string=Audit&amp;VAR:KEY=RCLYFYBAHI&amp;VAR:QUERY=RkZfRUJJVERBX0lCKCdMVE1TJywzOTU0Mik=&amp;WINDOW=FIRST_POPUP&amp;HEIGHT=450&amp;WIDTH=450&amp;START_MA","XIMIZED=FALSE&amp;VAR:CALENDAR=US&amp;VAR:SYMBOL=G0129K10&amp;VAR:INDEX=0"}</definedName>
    <definedName name="_8__FDSAUDITLINK__" localSheetId="6" hidden="1">{"fdsup://directions/FAT Viewer?action=UPDATE&amp;creator=factset&amp;DYN_ARGS=TRUE&amp;DOC_NAME=FAT:FQL_AUDITING_CLIENT_TEMPLATE.FAT&amp;display_string=Audit&amp;VAR:KEY=KFCPIVGBUP&amp;VAR:QUERY=QVZHKENTRl9ORVRfSU5DKEFOTiwwRlksLTZGWSxZKSkgLyAoQVZHKENTRl9BU1NFVFMoQU5OLDBGWSwtNkZZL","EZZKSkgLSBBVkcoQ1NGX0lOVEFORyhBTk4sMCwtNkZZLEZZKSkp&amp;WINDOW=FIRST_POPUP&amp;HEIGHT=450&amp;WIDTH=450&amp;START_MAXIMIZED=FALSE&amp;VAR:CALENDAR=US&amp;VAR:SYMBOL=B01RQM"}</definedName>
    <definedName name="_8__FDSAUDITLINK__" hidden="1">{"fdsup://directions/FAT Viewer?action=UPDATE&amp;creator=factset&amp;DYN_ARGS=TRUE&amp;DOC_NAME=FAT:FQL_AUDITING_CLIENT_TEMPLATE.FAT&amp;display_string=Audit&amp;VAR:KEY=KFCPIVGBUP&amp;VAR:QUERY=QVZHKENTRl9ORVRfSU5DKEFOTiwwRlksLTZGWSxZKSkgLyAoQVZHKENTRl9BU1NFVFMoQU5OLDBGWSwtNkZZL","EZZKSkgLSBBVkcoQ1NGX0lOVEFORyhBTk4sMCwtNkZZLEZZKSkp&amp;WINDOW=FIRST_POPUP&amp;HEIGHT=450&amp;WIDTH=450&amp;START_MAXIMIZED=FALSE&amp;VAR:CALENDAR=US&amp;VAR:SYMBOL=B01RQM"}</definedName>
    <definedName name="_80__FDSAUDITLINK__" localSheetId="6" hidden="1">{"fdsup://directions/FAT Viewer?action=UPDATE&amp;creator=factset&amp;DYN_ARGS=TRUE&amp;DOC_NAME=FAT:FQL_AUDITING_CLIENT_TEMPLATE.FAT&amp;display_string=Audit&amp;VAR:KEY=PGHWHAPUTS&amp;VAR:QUERY=QVZHKENTRl9ORVRfSU5DKEFOTiwwRlksLTZGWSxZKSkgLyAoQVZHKENTRl9BU1NFVFMoQU5OLDBGWSwtNkZZL","EZZKSkgLSBBVkcoQ1NGX0lOVEFORyhBTk4sMCwtNkZZLEZZKSkp&amp;WINDOW=FIRST_POPUP&amp;HEIGHT=450&amp;WIDTH=450&amp;START_MAXIMIZED=FALSE&amp;VAR:CALENDAR=US&amp;VAR:SYMBOL=12477X10"}</definedName>
    <definedName name="_80__FDSAUDITLINK__" hidden="1">{"fdsup://directions/FAT Viewer?action=UPDATE&amp;creator=factset&amp;DYN_ARGS=TRUE&amp;DOC_NAME=FAT:FQL_AUDITING_CLIENT_TEMPLATE.FAT&amp;display_string=Audit&amp;VAR:KEY=PGHWHAPUTS&amp;VAR:QUERY=QVZHKENTRl9ORVRfSU5DKEFOTiwwRlksLTZGWSxZKSkgLyAoQVZHKENTRl9BU1NFVFMoQU5OLDBGWSwtNkZZL","EZZKSkgLSBBVkcoQ1NGX0lOVEFORyhBTk4sMCwtNkZZLEZZKSkp&amp;WINDOW=FIRST_POPUP&amp;HEIGHT=450&amp;WIDTH=450&amp;START_MAXIMIZED=FALSE&amp;VAR:CALENDAR=US&amp;VAR:SYMBOL=12477X10"}</definedName>
    <definedName name="_800__FDSAUDITLINK__" localSheetId="6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0__FDSAUDITLINK__" hidden="1">{"fdsup://directions/FAT%20Viewer?VAR:PED=LTM&amp;VAR:AUDIT_MODE=SUMMARY&amp;VAR:PERIOD=FIXED&amp;VAR:AUDIT_ID=00000117&amp;VAR:DATE=20071214&amp;action=UPDATE&amp;creator=factset&amp;DOC_NAME=FAT:FMA_audit_SUMMARY.fat&amp;DISPLAY_STRING=Display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00__FDSAUDITLINK__" localSheetId="6" hidden="1">{"fdsup://directions/FAT Viewer?action=UPDATE&amp;creator=factset&amp;DYN_ARGS=TRUE&amp;DOC_NAME=FAT:FQL_AUDITING_CLIENT_TEMPLATE.FAT&amp;display_string=Audit&amp;VAR:KEY=PODYJUFCLY&amp;VAR:QUERY=RkZfRUJJVERBX0lCKCdMVE1TJywzOTU0MSk=&amp;WINDOW=FIRST_POPUP&amp;HEIGHT=450&amp;WIDTH=450&amp;START_MA","XIMIZED=FALSE&amp;VAR:CALENDAR=US&amp;VAR:SYMBOL=G0129K10&amp;VAR:INDEX=0"}</definedName>
    <definedName name="_8000__FDSAUDITLINK__" hidden="1">{"fdsup://directions/FAT Viewer?action=UPDATE&amp;creator=factset&amp;DYN_ARGS=TRUE&amp;DOC_NAME=FAT:FQL_AUDITING_CLIENT_TEMPLATE.FAT&amp;display_string=Audit&amp;VAR:KEY=PODYJUFCLY&amp;VAR:QUERY=RkZfRUJJVERBX0lCKCdMVE1TJywzOTU0MSk=&amp;WINDOW=FIRST_POPUP&amp;HEIGHT=450&amp;WIDTH=450&amp;START_MA","XIMIZED=FALSE&amp;VAR:CALENDAR=US&amp;VAR:SYMBOL=G0129K10&amp;VAR:INDEX=0"}</definedName>
    <definedName name="_8001__FDSAUDITLINK__" localSheetId="6" hidden="1">{"fdsup://directions/FAT Viewer?action=UPDATE&amp;creator=factset&amp;DYN_ARGS=TRUE&amp;DOC_NAME=FAT:FQL_AUDITING_CLIENT_TEMPLATE.FAT&amp;display_string=Audit&amp;VAR:KEY=ZCRYHMFSJA&amp;VAR:QUERY=RkZfRUJJVERBX0lCKCdMVE1TJywzOTU0MCk=&amp;WINDOW=FIRST_POPUP&amp;HEIGHT=450&amp;WIDTH=450&amp;START_MA","XIMIZED=FALSE&amp;VAR:CALENDAR=US&amp;VAR:SYMBOL=G0129K10&amp;VAR:INDEX=0"}</definedName>
    <definedName name="_8001__FDSAUDITLINK__" hidden="1">{"fdsup://directions/FAT Viewer?action=UPDATE&amp;creator=factset&amp;DYN_ARGS=TRUE&amp;DOC_NAME=FAT:FQL_AUDITING_CLIENT_TEMPLATE.FAT&amp;display_string=Audit&amp;VAR:KEY=ZCRYHMFSJA&amp;VAR:QUERY=RkZfRUJJVERBX0lCKCdMVE1TJywzOTU0MCk=&amp;WINDOW=FIRST_POPUP&amp;HEIGHT=450&amp;WIDTH=450&amp;START_MA","XIMIZED=FALSE&amp;VAR:CALENDAR=US&amp;VAR:SYMBOL=G0129K10&amp;VAR:INDEX=0"}</definedName>
    <definedName name="_8002__FDSAUDITLINK__" localSheetId="6" hidden="1">{"fdsup://directions/FAT Viewer?action=UPDATE&amp;creator=factset&amp;DYN_ARGS=TRUE&amp;DOC_NAME=FAT:FQL_AUDITING_CLIENT_TEMPLATE.FAT&amp;display_string=Audit&amp;VAR:KEY=LIVMHMVGFY&amp;VAR:QUERY=RkZfRUJJVERBX0lCKCdMVE1TJywzOTUzOSk=&amp;WINDOW=FIRST_POPUP&amp;HEIGHT=450&amp;WIDTH=450&amp;START_MA","XIMIZED=FALSE&amp;VAR:CALENDAR=US&amp;VAR:SYMBOL=G0129K10&amp;VAR:INDEX=0"}</definedName>
    <definedName name="_8002__FDSAUDITLINK__" hidden="1">{"fdsup://directions/FAT Viewer?action=UPDATE&amp;creator=factset&amp;DYN_ARGS=TRUE&amp;DOC_NAME=FAT:FQL_AUDITING_CLIENT_TEMPLATE.FAT&amp;display_string=Audit&amp;VAR:KEY=LIVMHMVGFY&amp;VAR:QUERY=RkZfRUJJVERBX0lCKCdMVE1TJywzOTUzOSk=&amp;WINDOW=FIRST_POPUP&amp;HEIGHT=450&amp;WIDTH=450&amp;START_MA","XIMIZED=FALSE&amp;VAR:CALENDAR=US&amp;VAR:SYMBOL=G0129K10&amp;VAR:INDEX=0"}</definedName>
    <definedName name="_8003__FDSAUDITLINK__" localSheetId="6" hidden="1">{"fdsup://directions/FAT Viewer?action=UPDATE&amp;creator=factset&amp;DYN_ARGS=TRUE&amp;DOC_NAME=FAT:FQL_AUDITING_CLIENT_TEMPLATE.FAT&amp;display_string=Audit&amp;VAR:KEY=HMPQJKXWRY&amp;VAR:QUERY=RkZfRUJJVERBX0lCKCdMVE1TJywzOTUzOCk=&amp;WINDOW=FIRST_POPUP&amp;HEIGHT=450&amp;WIDTH=450&amp;START_MA","XIMIZED=FALSE&amp;VAR:CALENDAR=US&amp;VAR:SYMBOL=G0129K10&amp;VAR:INDEX=0"}</definedName>
    <definedName name="_8003__FDSAUDITLINK__" hidden="1">{"fdsup://directions/FAT Viewer?action=UPDATE&amp;creator=factset&amp;DYN_ARGS=TRUE&amp;DOC_NAME=FAT:FQL_AUDITING_CLIENT_TEMPLATE.FAT&amp;display_string=Audit&amp;VAR:KEY=HMPQJKXWRY&amp;VAR:QUERY=RkZfRUJJVERBX0lCKCdMVE1TJywzOTUzOCk=&amp;WINDOW=FIRST_POPUP&amp;HEIGHT=450&amp;WIDTH=450&amp;START_MA","XIMIZED=FALSE&amp;VAR:CALENDAR=US&amp;VAR:SYMBOL=G0129K10&amp;VAR:INDEX=0"}</definedName>
    <definedName name="_8004__FDSAUDITLINK__" localSheetId="6" hidden="1">{"fdsup://directions/FAT Viewer?action=UPDATE&amp;creator=factset&amp;DYN_ARGS=TRUE&amp;DOC_NAME=FAT:FQL_AUDITING_CLIENT_TEMPLATE.FAT&amp;display_string=Audit&amp;VAR:KEY=ZWBYJYPCLG&amp;VAR:QUERY=RkZfRUJJVERBX0lCKCdMVE1TJywzOTUzNyk=&amp;WINDOW=FIRST_POPUP&amp;HEIGHT=450&amp;WIDTH=450&amp;START_MA","XIMIZED=FALSE&amp;VAR:CALENDAR=US&amp;VAR:SYMBOL=G0129K10&amp;VAR:INDEX=0"}</definedName>
    <definedName name="_8004__FDSAUDITLINK__" hidden="1">{"fdsup://directions/FAT Viewer?action=UPDATE&amp;creator=factset&amp;DYN_ARGS=TRUE&amp;DOC_NAME=FAT:FQL_AUDITING_CLIENT_TEMPLATE.FAT&amp;display_string=Audit&amp;VAR:KEY=ZWBYJYPCLG&amp;VAR:QUERY=RkZfRUJJVERBX0lCKCdMVE1TJywzOTUzNyk=&amp;WINDOW=FIRST_POPUP&amp;HEIGHT=450&amp;WIDTH=450&amp;START_MA","XIMIZED=FALSE&amp;VAR:CALENDAR=US&amp;VAR:SYMBOL=G0129K10&amp;VAR:INDEX=0"}</definedName>
    <definedName name="_8005__FDSAUDITLINK__" localSheetId="6" hidden="1">{"fdsup://directions/FAT Viewer?action=UPDATE&amp;creator=factset&amp;DYN_ARGS=TRUE&amp;DOC_NAME=FAT:FQL_AUDITING_CLIENT_TEMPLATE.FAT&amp;display_string=Audit&amp;VAR:KEY=LAHOTQJEFO&amp;VAR:QUERY=RkZfRUJJVERBX0lCKCdMVE1TJywzOTUzNik=&amp;WINDOW=FIRST_POPUP&amp;HEIGHT=450&amp;WIDTH=450&amp;START_MA","XIMIZED=FALSE&amp;VAR:CALENDAR=US&amp;VAR:SYMBOL=G0129K10&amp;VAR:INDEX=0"}</definedName>
    <definedName name="_8005__FDSAUDITLINK__" hidden="1">{"fdsup://directions/FAT Viewer?action=UPDATE&amp;creator=factset&amp;DYN_ARGS=TRUE&amp;DOC_NAME=FAT:FQL_AUDITING_CLIENT_TEMPLATE.FAT&amp;display_string=Audit&amp;VAR:KEY=LAHOTQJEFO&amp;VAR:QUERY=RkZfRUJJVERBX0lCKCdMVE1TJywzOTUzNik=&amp;WINDOW=FIRST_POPUP&amp;HEIGHT=450&amp;WIDTH=450&amp;START_MA","XIMIZED=FALSE&amp;VAR:CALENDAR=US&amp;VAR:SYMBOL=G0129K10&amp;VAR:INDEX=0"}</definedName>
    <definedName name="_8006__FDSAUDITLINK__" localSheetId="6" hidden="1">{"fdsup://directions/FAT Viewer?action=UPDATE&amp;creator=factset&amp;DYN_ARGS=TRUE&amp;DOC_NAME=FAT:FQL_AUDITING_CLIENT_TEMPLATE.FAT&amp;display_string=Audit&amp;VAR:KEY=NSXQDGRKRS&amp;VAR:QUERY=RkZfRUJJVERBX0lCKCdMVE1TJywzOTUzNSk=&amp;WINDOW=FIRST_POPUP&amp;HEIGHT=450&amp;WIDTH=450&amp;START_MA","XIMIZED=FALSE&amp;VAR:CALENDAR=US&amp;VAR:SYMBOL=G0129K10&amp;VAR:INDEX=0"}</definedName>
    <definedName name="_8006__FDSAUDITLINK__" hidden="1">{"fdsup://directions/FAT Viewer?action=UPDATE&amp;creator=factset&amp;DYN_ARGS=TRUE&amp;DOC_NAME=FAT:FQL_AUDITING_CLIENT_TEMPLATE.FAT&amp;display_string=Audit&amp;VAR:KEY=NSXQDGRKRS&amp;VAR:QUERY=RkZfRUJJVERBX0lCKCdMVE1TJywzOTUzNSk=&amp;WINDOW=FIRST_POPUP&amp;HEIGHT=450&amp;WIDTH=450&amp;START_MA","XIMIZED=FALSE&amp;VAR:CALENDAR=US&amp;VAR:SYMBOL=G0129K10&amp;VAR:INDEX=0"}</definedName>
    <definedName name="_8007__FDSAUDITLINK__" localSheetId="6" hidden="1">{"fdsup://directions/FAT Viewer?action=UPDATE&amp;creator=factset&amp;DYN_ARGS=TRUE&amp;DOC_NAME=FAT:FQL_AUDITING_CLIENT_TEMPLATE.FAT&amp;display_string=Audit&amp;VAR:KEY=DIXKVWFQZK&amp;VAR:QUERY=RkZfRUJJVERBX0lCKCdMVE1TJywzOTUzNCk=&amp;WINDOW=FIRST_POPUP&amp;HEIGHT=450&amp;WIDTH=450&amp;START_MA","XIMIZED=FALSE&amp;VAR:CALENDAR=US&amp;VAR:SYMBOL=G0129K10&amp;VAR:INDEX=0"}</definedName>
    <definedName name="_8007__FDSAUDITLINK__" hidden="1">{"fdsup://directions/FAT Viewer?action=UPDATE&amp;creator=factset&amp;DYN_ARGS=TRUE&amp;DOC_NAME=FAT:FQL_AUDITING_CLIENT_TEMPLATE.FAT&amp;display_string=Audit&amp;VAR:KEY=DIXKVWFQZK&amp;VAR:QUERY=RkZfRUJJVERBX0lCKCdMVE1TJywzOTUzNCk=&amp;WINDOW=FIRST_POPUP&amp;HEIGHT=450&amp;WIDTH=450&amp;START_MA","XIMIZED=FALSE&amp;VAR:CALENDAR=US&amp;VAR:SYMBOL=G0129K10&amp;VAR:INDEX=0"}</definedName>
    <definedName name="_8008__FDSAUDITLINK__" localSheetId="6" hidden="1">{"fdsup://directions/FAT Viewer?action=UPDATE&amp;creator=factset&amp;DYN_ARGS=TRUE&amp;DOC_NAME=FAT:FQL_AUDITING_CLIENT_TEMPLATE.FAT&amp;display_string=Audit&amp;VAR:KEY=JIROBOFITS&amp;VAR:QUERY=RkZfRUJJVERBX0lCKCdMVE1TJywzOTUzMyk=&amp;WINDOW=FIRST_POPUP&amp;HEIGHT=450&amp;WIDTH=450&amp;START_MA","XIMIZED=FALSE&amp;VAR:CALENDAR=US&amp;VAR:SYMBOL=G0129K10&amp;VAR:INDEX=0"}</definedName>
    <definedName name="_8008__FDSAUDITLINK__" hidden="1">{"fdsup://directions/FAT Viewer?action=UPDATE&amp;creator=factset&amp;DYN_ARGS=TRUE&amp;DOC_NAME=FAT:FQL_AUDITING_CLIENT_TEMPLATE.FAT&amp;display_string=Audit&amp;VAR:KEY=JIROBOFITS&amp;VAR:QUERY=RkZfRUJJVERBX0lCKCdMVE1TJywzOTUzMyk=&amp;WINDOW=FIRST_POPUP&amp;HEIGHT=450&amp;WIDTH=450&amp;START_MA","XIMIZED=FALSE&amp;VAR:CALENDAR=US&amp;VAR:SYMBOL=G0129K10&amp;VAR:INDEX=0"}</definedName>
    <definedName name="_8009__FDSAUDITLINK__" localSheetId="6" hidden="1">{"fdsup://directions/FAT Viewer?action=UPDATE&amp;creator=factset&amp;DYN_ARGS=TRUE&amp;DOC_NAME=FAT:FQL_AUDITING_CLIENT_TEMPLATE.FAT&amp;display_string=Audit&amp;VAR:KEY=XWLGRELCVI&amp;VAR:QUERY=RkZfRUJJVERBX0lCKCdMVE1TJywzOTUzMik=&amp;WINDOW=FIRST_POPUP&amp;HEIGHT=450&amp;WIDTH=450&amp;START_MA","XIMIZED=FALSE&amp;VAR:CALENDAR=US&amp;VAR:SYMBOL=G0129K10&amp;VAR:INDEX=0"}</definedName>
    <definedName name="_8009__FDSAUDITLINK__" hidden="1">{"fdsup://directions/FAT Viewer?action=UPDATE&amp;creator=factset&amp;DYN_ARGS=TRUE&amp;DOC_NAME=FAT:FQL_AUDITING_CLIENT_TEMPLATE.FAT&amp;display_string=Audit&amp;VAR:KEY=XWLGRELCVI&amp;VAR:QUERY=RkZfRUJJVERBX0lCKCdMVE1TJywzOTUzMik=&amp;WINDOW=FIRST_POPUP&amp;HEIGHT=450&amp;WIDTH=450&amp;START_MA","XIMIZED=FALSE&amp;VAR:CALENDAR=US&amp;VAR:SYMBOL=G0129K10&amp;VAR:INDEX=0"}</definedName>
    <definedName name="_801__FDSAUDITLINK__" localSheetId="6" hidden="1">{"fdsup://directions/FAT%20Viewer?VAR:PED=LTM&amp;VAR:AUDIT_MODE=SUMMARY&amp;VAR:PERIOD=FIXED&amp;VAR:AUDIT_ID=00000117&amp;VAR:DATE=20071213&amp;action=UPDATE&amp;creator=factset&amp;DOC_NAME=FAT:FMA_audit_SUMMARY.fat&amp;DISPLAY_STRING=Display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1__FDSAUDITLINK__" hidden="1">{"fdsup://directions/FAT%20Viewer?VAR:PED=LTM&amp;VAR:AUDIT_MODE=SUMMARY&amp;VAR:PERIOD=FIXED&amp;VAR:AUDIT_ID=00000117&amp;VAR:DATE=20071213&amp;action=UPDATE&amp;creator=factset&amp;DOC_NAME=FAT:FMA_audit_SUMMARY.fat&amp;DISPLAY_STRING=Display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10__FDSAUDITLINK__" localSheetId="6" hidden="1">{"fdsup://directions/FAT Viewer?action=UPDATE&amp;creator=factset&amp;DYN_ARGS=TRUE&amp;DOC_NAME=FAT:FQL_AUDITING_CLIENT_TEMPLATE.FAT&amp;display_string=Audit&amp;VAR:KEY=BCBCNEHETC&amp;VAR:QUERY=RkZfRUJJVERBX0lCKCdMVE1TJywzOTUzMSk=&amp;WINDOW=FIRST_POPUP&amp;HEIGHT=450&amp;WIDTH=450&amp;START_MA","XIMIZED=FALSE&amp;VAR:CALENDAR=US&amp;VAR:SYMBOL=G0129K10&amp;VAR:INDEX=0"}</definedName>
    <definedName name="_8010__FDSAUDITLINK__" hidden="1">{"fdsup://directions/FAT Viewer?action=UPDATE&amp;creator=factset&amp;DYN_ARGS=TRUE&amp;DOC_NAME=FAT:FQL_AUDITING_CLIENT_TEMPLATE.FAT&amp;display_string=Audit&amp;VAR:KEY=BCBCNEHETC&amp;VAR:QUERY=RkZfRUJJVERBX0lCKCdMVE1TJywzOTUzMSk=&amp;WINDOW=FIRST_POPUP&amp;HEIGHT=450&amp;WIDTH=450&amp;START_MA","XIMIZED=FALSE&amp;VAR:CALENDAR=US&amp;VAR:SYMBOL=G0129K10&amp;VAR:INDEX=0"}</definedName>
    <definedName name="_8011__FDSAUDITLINK__" localSheetId="6" hidden="1">{"fdsup://directions/FAT Viewer?action=UPDATE&amp;creator=factset&amp;DYN_ARGS=TRUE&amp;DOC_NAME=FAT:FQL_AUDITING_CLIENT_TEMPLATE.FAT&amp;display_string=Audit&amp;VAR:KEY=ZQFIZKVALQ&amp;VAR:QUERY=RkZfRUJJVERBX0lCKCdMVE1TJywzOTUzMCk=&amp;WINDOW=FIRST_POPUP&amp;HEIGHT=450&amp;WIDTH=450&amp;START_MA","XIMIZED=FALSE&amp;VAR:CALENDAR=US&amp;VAR:SYMBOL=G0129K10&amp;VAR:INDEX=0"}</definedName>
    <definedName name="_8011__FDSAUDITLINK__" hidden="1">{"fdsup://directions/FAT Viewer?action=UPDATE&amp;creator=factset&amp;DYN_ARGS=TRUE&amp;DOC_NAME=FAT:FQL_AUDITING_CLIENT_TEMPLATE.FAT&amp;display_string=Audit&amp;VAR:KEY=ZQFIZKVALQ&amp;VAR:QUERY=RkZfRUJJVERBX0lCKCdMVE1TJywzOTUzMCk=&amp;WINDOW=FIRST_POPUP&amp;HEIGHT=450&amp;WIDTH=450&amp;START_MA","XIMIZED=FALSE&amp;VAR:CALENDAR=US&amp;VAR:SYMBOL=G0129K10&amp;VAR:INDEX=0"}</definedName>
    <definedName name="_8012__FDSAUDITLINK__" localSheetId="6" hidden="1">{"fdsup://directions/FAT Viewer?action=UPDATE&amp;creator=factset&amp;DYN_ARGS=TRUE&amp;DOC_NAME=FAT:FQL_AUDITING_CLIENT_TEMPLATE.FAT&amp;display_string=Audit&amp;VAR:KEY=RWJULCLGBA&amp;VAR:QUERY=RkZfRUJJVERBX0lCKCdMVE1TJywzOTUyOSk=&amp;WINDOW=FIRST_POPUP&amp;HEIGHT=450&amp;WIDTH=450&amp;START_MA","XIMIZED=FALSE&amp;VAR:CALENDAR=US&amp;VAR:SYMBOL=G0129K10&amp;VAR:INDEX=0"}</definedName>
    <definedName name="_8012__FDSAUDITLINK__" hidden="1">{"fdsup://directions/FAT Viewer?action=UPDATE&amp;creator=factset&amp;DYN_ARGS=TRUE&amp;DOC_NAME=FAT:FQL_AUDITING_CLIENT_TEMPLATE.FAT&amp;display_string=Audit&amp;VAR:KEY=RWJULCLGBA&amp;VAR:QUERY=RkZfRUJJVERBX0lCKCdMVE1TJywzOTUyOSk=&amp;WINDOW=FIRST_POPUP&amp;HEIGHT=450&amp;WIDTH=450&amp;START_MA","XIMIZED=FALSE&amp;VAR:CALENDAR=US&amp;VAR:SYMBOL=G0129K10&amp;VAR:INDEX=0"}</definedName>
    <definedName name="_8013__FDSAUDITLINK__" localSheetId="6" hidden="1">{"fdsup://directions/FAT Viewer?action=UPDATE&amp;creator=factset&amp;DYN_ARGS=TRUE&amp;DOC_NAME=FAT:FQL_AUDITING_CLIENT_TEMPLATE.FAT&amp;display_string=Audit&amp;VAR:KEY=LCTUNUHIZE&amp;VAR:QUERY=RkZfRUJJVERBX0lCKCdMVE1TJywzOTUyOCk=&amp;WINDOW=FIRST_POPUP&amp;HEIGHT=450&amp;WIDTH=450&amp;START_MA","XIMIZED=FALSE&amp;VAR:CALENDAR=US&amp;VAR:SYMBOL=G0129K10&amp;VAR:INDEX=0"}</definedName>
    <definedName name="_8013__FDSAUDITLINK__" hidden="1">{"fdsup://directions/FAT Viewer?action=UPDATE&amp;creator=factset&amp;DYN_ARGS=TRUE&amp;DOC_NAME=FAT:FQL_AUDITING_CLIENT_TEMPLATE.FAT&amp;display_string=Audit&amp;VAR:KEY=LCTUNUHIZE&amp;VAR:QUERY=RkZfRUJJVERBX0lCKCdMVE1TJywzOTUyOCk=&amp;WINDOW=FIRST_POPUP&amp;HEIGHT=450&amp;WIDTH=450&amp;START_MA","XIMIZED=FALSE&amp;VAR:CALENDAR=US&amp;VAR:SYMBOL=G0129K10&amp;VAR:INDEX=0"}</definedName>
    <definedName name="_8014__FDSAUDITLINK__" localSheetId="6" hidden="1">{"fdsup://directions/FAT Viewer?action=UPDATE&amp;creator=factset&amp;DYN_ARGS=TRUE&amp;DOC_NAME=FAT:FQL_AUDITING_CLIENT_TEMPLATE.FAT&amp;display_string=Audit&amp;VAR:KEY=JYHYLSVSDC&amp;VAR:QUERY=RkZfRUJJVERBX0lCKCdMVE1TJywzOTUyNyk=&amp;WINDOW=FIRST_POPUP&amp;HEIGHT=450&amp;WIDTH=450&amp;START_MA","XIMIZED=FALSE&amp;VAR:CALENDAR=US&amp;VAR:SYMBOL=G0129K10&amp;VAR:INDEX=0"}</definedName>
    <definedName name="_8014__FDSAUDITLINK__" hidden="1">{"fdsup://directions/FAT Viewer?action=UPDATE&amp;creator=factset&amp;DYN_ARGS=TRUE&amp;DOC_NAME=FAT:FQL_AUDITING_CLIENT_TEMPLATE.FAT&amp;display_string=Audit&amp;VAR:KEY=JYHYLSVSDC&amp;VAR:QUERY=RkZfRUJJVERBX0lCKCdMVE1TJywzOTUyNyk=&amp;WINDOW=FIRST_POPUP&amp;HEIGHT=450&amp;WIDTH=450&amp;START_MA","XIMIZED=FALSE&amp;VAR:CALENDAR=US&amp;VAR:SYMBOL=G0129K10&amp;VAR:INDEX=0"}</definedName>
    <definedName name="_8015__FDSAUDITLINK__" localSheetId="6" hidden="1">{"fdsup://directions/FAT Viewer?action=UPDATE&amp;creator=factset&amp;DYN_ARGS=TRUE&amp;DOC_NAME=FAT:FQL_AUDITING_CLIENT_TEMPLATE.FAT&amp;display_string=Audit&amp;VAR:KEY=HQHEFCNKTK&amp;VAR:QUERY=RkZfRUJJVERBX0lCKCdMVE1TJywzOTUyNik=&amp;WINDOW=FIRST_POPUP&amp;HEIGHT=450&amp;WIDTH=450&amp;START_MA","XIMIZED=FALSE&amp;VAR:CALENDAR=US&amp;VAR:SYMBOL=G0129K10&amp;VAR:INDEX=0"}</definedName>
    <definedName name="_8015__FDSAUDITLINK__" hidden="1">{"fdsup://directions/FAT Viewer?action=UPDATE&amp;creator=factset&amp;DYN_ARGS=TRUE&amp;DOC_NAME=FAT:FQL_AUDITING_CLIENT_TEMPLATE.FAT&amp;display_string=Audit&amp;VAR:KEY=HQHEFCNKTK&amp;VAR:QUERY=RkZfRUJJVERBX0lCKCdMVE1TJywzOTUyNik=&amp;WINDOW=FIRST_POPUP&amp;HEIGHT=450&amp;WIDTH=450&amp;START_MA","XIMIZED=FALSE&amp;VAR:CALENDAR=US&amp;VAR:SYMBOL=G0129K10&amp;VAR:INDEX=0"}</definedName>
    <definedName name="_8016__FDSAUDITLINK__" localSheetId="6" hidden="1">{"fdsup://directions/FAT Viewer?action=UPDATE&amp;creator=factset&amp;DYN_ARGS=TRUE&amp;DOC_NAME=FAT:FQL_AUDITING_CLIENT_TEMPLATE.FAT&amp;display_string=Audit&amp;VAR:KEY=NWJSNQLMJI&amp;VAR:QUERY=RkZfRUJJVERBX0lCKCdMVE1TJywzOTUyNSk=&amp;WINDOW=FIRST_POPUP&amp;HEIGHT=450&amp;WIDTH=450&amp;START_MA","XIMIZED=FALSE&amp;VAR:CALENDAR=US&amp;VAR:SYMBOL=G0129K10&amp;VAR:INDEX=0"}</definedName>
    <definedName name="_8016__FDSAUDITLINK__" hidden="1">{"fdsup://directions/FAT Viewer?action=UPDATE&amp;creator=factset&amp;DYN_ARGS=TRUE&amp;DOC_NAME=FAT:FQL_AUDITING_CLIENT_TEMPLATE.FAT&amp;display_string=Audit&amp;VAR:KEY=NWJSNQLMJI&amp;VAR:QUERY=RkZfRUJJVERBX0lCKCdMVE1TJywzOTUyNSk=&amp;WINDOW=FIRST_POPUP&amp;HEIGHT=450&amp;WIDTH=450&amp;START_MA","XIMIZED=FALSE&amp;VAR:CALENDAR=US&amp;VAR:SYMBOL=G0129K10&amp;VAR:INDEX=0"}</definedName>
    <definedName name="_8017__FDSAUDITLINK__" localSheetId="6" hidden="1">{"fdsup://directions/FAT Viewer?action=UPDATE&amp;creator=factset&amp;DYN_ARGS=TRUE&amp;DOC_NAME=FAT:FQL_AUDITING_CLIENT_TEMPLATE.FAT&amp;display_string=Audit&amp;VAR:KEY=TSPGHCNONC&amp;VAR:QUERY=RkZfRUJJVERBX0lCKCdMVE1TJywzOTUyNCk=&amp;WINDOW=FIRST_POPUP&amp;HEIGHT=450&amp;WIDTH=450&amp;START_MA","XIMIZED=FALSE&amp;VAR:CALENDAR=US&amp;VAR:SYMBOL=G0129K10&amp;VAR:INDEX=0"}</definedName>
    <definedName name="_8017__FDSAUDITLINK__" hidden="1">{"fdsup://directions/FAT Viewer?action=UPDATE&amp;creator=factset&amp;DYN_ARGS=TRUE&amp;DOC_NAME=FAT:FQL_AUDITING_CLIENT_TEMPLATE.FAT&amp;display_string=Audit&amp;VAR:KEY=TSPGHCNONC&amp;VAR:QUERY=RkZfRUJJVERBX0lCKCdMVE1TJywzOTUyNCk=&amp;WINDOW=FIRST_POPUP&amp;HEIGHT=450&amp;WIDTH=450&amp;START_MA","XIMIZED=FALSE&amp;VAR:CALENDAR=US&amp;VAR:SYMBOL=G0129K10&amp;VAR:INDEX=0"}</definedName>
    <definedName name="_8018__FDSAUDITLINK__" localSheetId="6" hidden="1">{"fdsup://directions/FAT Viewer?action=UPDATE&amp;creator=factset&amp;DYN_ARGS=TRUE&amp;DOC_NAME=FAT:FQL_AUDITING_CLIENT_TEMPLATE.FAT&amp;display_string=Audit&amp;VAR:KEY=HYFQFIXYJM&amp;VAR:QUERY=RkZfRUJJVERBX0lCKCdMVE1TJywzOTUyMyk=&amp;WINDOW=FIRST_POPUP&amp;HEIGHT=450&amp;WIDTH=450&amp;START_MA","XIMIZED=FALSE&amp;VAR:CALENDAR=US&amp;VAR:SYMBOL=G0129K10&amp;VAR:INDEX=0"}</definedName>
    <definedName name="_8018__FDSAUDITLINK__" hidden="1">{"fdsup://directions/FAT Viewer?action=UPDATE&amp;creator=factset&amp;DYN_ARGS=TRUE&amp;DOC_NAME=FAT:FQL_AUDITING_CLIENT_TEMPLATE.FAT&amp;display_string=Audit&amp;VAR:KEY=HYFQFIXYJM&amp;VAR:QUERY=RkZfRUJJVERBX0lCKCdMVE1TJywzOTUyMyk=&amp;WINDOW=FIRST_POPUP&amp;HEIGHT=450&amp;WIDTH=450&amp;START_MA","XIMIZED=FALSE&amp;VAR:CALENDAR=US&amp;VAR:SYMBOL=G0129K10&amp;VAR:INDEX=0"}</definedName>
    <definedName name="_8019__FDSAUDITLINK__" localSheetId="6" hidden="1">{"fdsup://directions/FAT Viewer?action=UPDATE&amp;creator=factset&amp;DYN_ARGS=TRUE&amp;DOC_NAME=FAT:FQL_AUDITING_CLIENT_TEMPLATE.FAT&amp;display_string=Audit&amp;VAR:KEY=BQFUTQHEVE&amp;VAR:QUERY=RkZfRUJJVERBX0lCKCdMVE1TJywzOTUyMik=&amp;WINDOW=FIRST_POPUP&amp;HEIGHT=450&amp;WIDTH=450&amp;START_MA","XIMIZED=FALSE&amp;VAR:CALENDAR=US&amp;VAR:SYMBOL=G0129K10&amp;VAR:INDEX=0"}</definedName>
    <definedName name="_8019__FDSAUDITLINK__" hidden="1">{"fdsup://directions/FAT Viewer?action=UPDATE&amp;creator=factset&amp;DYN_ARGS=TRUE&amp;DOC_NAME=FAT:FQL_AUDITING_CLIENT_TEMPLATE.FAT&amp;display_string=Audit&amp;VAR:KEY=BQFUTQHEVE&amp;VAR:QUERY=RkZfRUJJVERBX0lCKCdMVE1TJywzOTUyMik=&amp;WINDOW=FIRST_POPUP&amp;HEIGHT=450&amp;WIDTH=450&amp;START_MA","XIMIZED=FALSE&amp;VAR:CALENDAR=US&amp;VAR:SYMBOL=G0129K10&amp;VAR:INDEX=0"}</definedName>
    <definedName name="_802__FDSAUDITLINK__" localSheetId="6" hidden="1">{"fdsup://directions/FAT%20Viewer?VAR:PED=LTM&amp;VAR:AUDIT_MODE=SUMMARY&amp;VAR:PERIOD=FIXED&amp;VAR:AUDIT_ID=00000117&amp;VAR:DATE=20071212&amp;action=UPDATE&amp;creator=factset&amp;DOC_NAME=FAT:FMA_audit_SUMMARY.fat&amp;DISPLAY_STRING=Display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2__FDSAUDITLINK__" hidden="1">{"fdsup://directions/FAT%20Viewer?VAR:PED=LTM&amp;VAR:AUDIT_MODE=SUMMARY&amp;VAR:PERIOD=FIXED&amp;VAR:AUDIT_ID=00000117&amp;VAR:DATE=20071212&amp;action=UPDATE&amp;creator=factset&amp;DOC_NAME=FAT:FMA_audit_SUMMARY.fat&amp;DISPLAY_STRING=Display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20__FDSAUDITLINK__" localSheetId="6" hidden="1">{"fdsup://directions/FAT Viewer?action=UPDATE&amp;creator=factset&amp;DYN_ARGS=TRUE&amp;DOC_NAME=FAT:FQL_AUDITING_CLIENT_TEMPLATE.FAT&amp;display_string=Audit&amp;VAR:KEY=ZWXQBUVOVC&amp;VAR:QUERY=RkZfRUJJVERBX0lCKCdMVE1TJywzOTUyMSk=&amp;WINDOW=FIRST_POPUP&amp;HEIGHT=450&amp;WIDTH=450&amp;START_MA","XIMIZED=FALSE&amp;VAR:CALENDAR=US&amp;VAR:SYMBOL=G0129K10&amp;VAR:INDEX=0"}</definedName>
    <definedName name="_8020__FDSAUDITLINK__" hidden="1">{"fdsup://directions/FAT Viewer?action=UPDATE&amp;creator=factset&amp;DYN_ARGS=TRUE&amp;DOC_NAME=FAT:FQL_AUDITING_CLIENT_TEMPLATE.FAT&amp;display_string=Audit&amp;VAR:KEY=ZWXQBUVOVC&amp;VAR:QUERY=RkZfRUJJVERBX0lCKCdMVE1TJywzOTUyMSk=&amp;WINDOW=FIRST_POPUP&amp;HEIGHT=450&amp;WIDTH=450&amp;START_MA","XIMIZED=FALSE&amp;VAR:CALENDAR=US&amp;VAR:SYMBOL=G0129K10&amp;VAR:INDEX=0"}</definedName>
    <definedName name="_8021__FDSAUDITLINK__" localSheetId="6" hidden="1">{"fdsup://directions/FAT Viewer?action=UPDATE&amp;creator=factset&amp;DYN_ARGS=TRUE&amp;DOC_NAME=FAT:FQL_AUDITING_CLIENT_TEMPLATE.FAT&amp;display_string=Audit&amp;VAR:KEY=ZYLWHMHGDW&amp;VAR:QUERY=RkZfRUJJVERBX0lCKCdMVE1TJywzOTUyMCk=&amp;WINDOW=FIRST_POPUP&amp;HEIGHT=450&amp;WIDTH=450&amp;START_MA","XIMIZED=FALSE&amp;VAR:CALENDAR=US&amp;VAR:SYMBOL=G0129K10&amp;VAR:INDEX=0"}</definedName>
    <definedName name="_8021__FDSAUDITLINK__" hidden="1">{"fdsup://directions/FAT Viewer?action=UPDATE&amp;creator=factset&amp;DYN_ARGS=TRUE&amp;DOC_NAME=FAT:FQL_AUDITING_CLIENT_TEMPLATE.FAT&amp;display_string=Audit&amp;VAR:KEY=ZYLWHMHGDW&amp;VAR:QUERY=RkZfRUJJVERBX0lCKCdMVE1TJywzOTUyMCk=&amp;WINDOW=FIRST_POPUP&amp;HEIGHT=450&amp;WIDTH=450&amp;START_MA","XIMIZED=FALSE&amp;VAR:CALENDAR=US&amp;VAR:SYMBOL=G0129K10&amp;VAR:INDEX=0"}</definedName>
    <definedName name="_8022__FDSAUDITLINK__" localSheetId="6" hidden="1">{"fdsup://directions/FAT Viewer?action=UPDATE&amp;creator=factset&amp;DYN_ARGS=TRUE&amp;DOC_NAME=FAT:FQL_AUDITING_CLIENT_TEMPLATE.FAT&amp;display_string=Audit&amp;VAR:KEY=NGLINATOFI&amp;VAR:QUERY=RkZfRUJJVERBX0lCKCdMVE1TJywzOTUxOSk=&amp;WINDOW=FIRST_POPUP&amp;HEIGHT=450&amp;WIDTH=450&amp;START_MA","XIMIZED=FALSE&amp;VAR:CALENDAR=US&amp;VAR:SYMBOL=G0129K10&amp;VAR:INDEX=0"}</definedName>
    <definedName name="_8022__FDSAUDITLINK__" hidden="1">{"fdsup://directions/FAT Viewer?action=UPDATE&amp;creator=factset&amp;DYN_ARGS=TRUE&amp;DOC_NAME=FAT:FQL_AUDITING_CLIENT_TEMPLATE.FAT&amp;display_string=Audit&amp;VAR:KEY=NGLINATOFI&amp;VAR:QUERY=RkZfRUJJVERBX0lCKCdMVE1TJywzOTUxOSk=&amp;WINDOW=FIRST_POPUP&amp;HEIGHT=450&amp;WIDTH=450&amp;START_MA","XIMIZED=FALSE&amp;VAR:CALENDAR=US&amp;VAR:SYMBOL=G0129K10&amp;VAR:INDEX=0"}</definedName>
    <definedName name="_8023__FDSAUDITLINK__" localSheetId="6" hidden="1">{"fdsup://directions/FAT Viewer?action=UPDATE&amp;creator=factset&amp;DYN_ARGS=TRUE&amp;DOC_NAME=FAT:FQL_AUDITING_CLIENT_TEMPLATE.FAT&amp;display_string=Audit&amp;VAR:KEY=TOFWXAJWTG&amp;VAR:QUERY=RkZfRUJJVERBX0lCKCdMVE1TJywzOTUxOCk=&amp;WINDOW=FIRST_POPUP&amp;HEIGHT=450&amp;WIDTH=450&amp;START_MA","XIMIZED=FALSE&amp;VAR:CALENDAR=US&amp;VAR:SYMBOL=G0129K10&amp;VAR:INDEX=0"}</definedName>
    <definedName name="_8023__FDSAUDITLINK__" hidden="1">{"fdsup://directions/FAT Viewer?action=UPDATE&amp;creator=factset&amp;DYN_ARGS=TRUE&amp;DOC_NAME=FAT:FQL_AUDITING_CLIENT_TEMPLATE.FAT&amp;display_string=Audit&amp;VAR:KEY=TOFWXAJWTG&amp;VAR:QUERY=RkZfRUJJVERBX0lCKCdMVE1TJywzOTUxOCk=&amp;WINDOW=FIRST_POPUP&amp;HEIGHT=450&amp;WIDTH=450&amp;START_MA","XIMIZED=FALSE&amp;VAR:CALENDAR=US&amp;VAR:SYMBOL=G0129K10&amp;VAR:INDEX=0"}</definedName>
    <definedName name="_8024__FDSAUDITLINK__" localSheetId="6" hidden="1">{"fdsup://directions/FAT Viewer?action=UPDATE&amp;creator=factset&amp;DYN_ARGS=TRUE&amp;DOC_NAME=FAT:FQL_AUDITING_CLIENT_TEMPLATE.FAT&amp;display_string=Audit&amp;VAR:KEY=XANUVYREZM&amp;VAR:QUERY=RkZfRUJJVERBX0lCKCdMVE1TJywzOTUxNyk=&amp;WINDOW=FIRST_POPUP&amp;HEIGHT=450&amp;WIDTH=450&amp;START_MA","XIMIZED=FALSE&amp;VAR:CALENDAR=US&amp;VAR:SYMBOL=G0129K10&amp;VAR:INDEX=0"}</definedName>
    <definedName name="_8024__FDSAUDITLINK__" hidden="1">{"fdsup://directions/FAT Viewer?action=UPDATE&amp;creator=factset&amp;DYN_ARGS=TRUE&amp;DOC_NAME=FAT:FQL_AUDITING_CLIENT_TEMPLATE.FAT&amp;display_string=Audit&amp;VAR:KEY=XANUVYREZM&amp;VAR:QUERY=RkZfRUJJVERBX0lCKCdMVE1TJywzOTUxNyk=&amp;WINDOW=FIRST_POPUP&amp;HEIGHT=450&amp;WIDTH=450&amp;START_MA","XIMIZED=FALSE&amp;VAR:CALENDAR=US&amp;VAR:SYMBOL=G0129K10&amp;VAR:INDEX=0"}</definedName>
    <definedName name="_8025__FDSAUDITLINK__" localSheetId="6" hidden="1">{"fdsup://directions/FAT Viewer?action=UPDATE&amp;creator=factset&amp;DYN_ARGS=TRUE&amp;DOC_NAME=FAT:FQL_AUDITING_CLIENT_TEMPLATE.FAT&amp;display_string=Audit&amp;VAR:KEY=HSBMBELUVC&amp;VAR:QUERY=RkZfRUJJVERBX0lCKCdMVE1TJywzOTUxNik=&amp;WINDOW=FIRST_POPUP&amp;HEIGHT=450&amp;WIDTH=450&amp;START_MA","XIMIZED=FALSE&amp;VAR:CALENDAR=US&amp;VAR:SYMBOL=G0129K10&amp;VAR:INDEX=0"}</definedName>
    <definedName name="_8025__FDSAUDITLINK__" hidden="1">{"fdsup://directions/FAT Viewer?action=UPDATE&amp;creator=factset&amp;DYN_ARGS=TRUE&amp;DOC_NAME=FAT:FQL_AUDITING_CLIENT_TEMPLATE.FAT&amp;display_string=Audit&amp;VAR:KEY=HSBMBELUVC&amp;VAR:QUERY=RkZfRUJJVERBX0lCKCdMVE1TJywzOTUxNik=&amp;WINDOW=FIRST_POPUP&amp;HEIGHT=450&amp;WIDTH=450&amp;START_MA","XIMIZED=FALSE&amp;VAR:CALENDAR=US&amp;VAR:SYMBOL=G0129K10&amp;VAR:INDEX=0"}</definedName>
    <definedName name="_8026__FDSAUDITLINK__" localSheetId="6" hidden="1">{"fdsup://directions/FAT Viewer?action=UPDATE&amp;creator=factset&amp;DYN_ARGS=TRUE&amp;DOC_NAME=FAT:FQL_AUDITING_CLIENT_TEMPLATE.FAT&amp;display_string=Audit&amp;VAR:KEY=VSXOPWJINO&amp;VAR:QUERY=RkZfRUJJVERBX0lCKCdMVE1TJywzOTUxNSk=&amp;WINDOW=FIRST_POPUP&amp;HEIGHT=450&amp;WIDTH=450&amp;START_MA","XIMIZED=FALSE&amp;VAR:CALENDAR=US&amp;VAR:SYMBOL=G0129K10&amp;VAR:INDEX=0"}</definedName>
    <definedName name="_8026__FDSAUDITLINK__" hidden="1">{"fdsup://directions/FAT Viewer?action=UPDATE&amp;creator=factset&amp;DYN_ARGS=TRUE&amp;DOC_NAME=FAT:FQL_AUDITING_CLIENT_TEMPLATE.FAT&amp;display_string=Audit&amp;VAR:KEY=VSXOPWJINO&amp;VAR:QUERY=RkZfRUJJVERBX0lCKCdMVE1TJywzOTUxNSk=&amp;WINDOW=FIRST_POPUP&amp;HEIGHT=450&amp;WIDTH=450&amp;START_MA","XIMIZED=FALSE&amp;VAR:CALENDAR=US&amp;VAR:SYMBOL=G0129K10&amp;VAR:INDEX=0"}</definedName>
    <definedName name="_8027__FDSAUDITLINK__" localSheetId="6" hidden="1">{"fdsup://directions/FAT Viewer?action=UPDATE&amp;creator=factset&amp;DYN_ARGS=TRUE&amp;DOC_NAME=FAT:FQL_AUDITING_CLIENT_TEMPLATE.FAT&amp;display_string=Audit&amp;VAR:KEY=JEJQHWNMFO&amp;VAR:QUERY=RkZfRUJJVERBX0lCKCdMVE1TJywzOTUxNCk=&amp;WINDOW=FIRST_POPUP&amp;HEIGHT=450&amp;WIDTH=450&amp;START_MA","XIMIZED=FALSE&amp;VAR:CALENDAR=US&amp;VAR:SYMBOL=G0129K10&amp;VAR:INDEX=0"}</definedName>
    <definedName name="_8027__FDSAUDITLINK__" hidden="1">{"fdsup://directions/FAT Viewer?action=UPDATE&amp;creator=factset&amp;DYN_ARGS=TRUE&amp;DOC_NAME=FAT:FQL_AUDITING_CLIENT_TEMPLATE.FAT&amp;display_string=Audit&amp;VAR:KEY=JEJQHWNMFO&amp;VAR:QUERY=RkZfRUJJVERBX0lCKCdMVE1TJywzOTUxNCk=&amp;WINDOW=FIRST_POPUP&amp;HEIGHT=450&amp;WIDTH=450&amp;START_MA","XIMIZED=FALSE&amp;VAR:CALENDAR=US&amp;VAR:SYMBOL=G0129K10&amp;VAR:INDEX=0"}</definedName>
    <definedName name="_8028__FDSAUDITLINK__" localSheetId="6" hidden="1">{"fdsup://directions/FAT Viewer?action=UPDATE&amp;creator=factset&amp;DYN_ARGS=TRUE&amp;DOC_NAME=FAT:FQL_AUDITING_CLIENT_TEMPLATE.FAT&amp;display_string=Audit&amp;VAR:KEY=LYZITQHWRG&amp;VAR:QUERY=RkZfRUJJVERBX0lCKCdMVE1TJywzOTUxMyk=&amp;WINDOW=FIRST_POPUP&amp;HEIGHT=450&amp;WIDTH=450&amp;START_MA","XIMIZED=FALSE&amp;VAR:CALENDAR=US&amp;VAR:SYMBOL=G0129K10&amp;VAR:INDEX=0"}</definedName>
    <definedName name="_8028__FDSAUDITLINK__" hidden="1">{"fdsup://directions/FAT Viewer?action=UPDATE&amp;creator=factset&amp;DYN_ARGS=TRUE&amp;DOC_NAME=FAT:FQL_AUDITING_CLIENT_TEMPLATE.FAT&amp;display_string=Audit&amp;VAR:KEY=LYZITQHWRG&amp;VAR:QUERY=RkZfRUJJVERBX0lCKCdMVE1TJywzOTUxMyk=&amp;WINDOW=FIRST_POPUP&amp;HEIGHT=450&amp;WIDTH=450&amp;START_MA","XIMIZED=FALSE&amp;VAR:CALENDAR=US&amp;VAR:SYMBOL=G0129K10&amp;VAR:INDEX=0"}</definedName>
    <definedName name="_8029__FDSAUDITLINK__" localSheetId="6" hidden="1">{"fdsup://directions/FAT Viewer?action=UPDATE&amp;creator=factset&amp;DYN_ARGS=TRUE&amp;DOC_NAME=FAT:FQL_AUDITING_CLIENT_TEMPLATE.FAT&amp;display_string=Audit&amp;VAR:KEY=JEPKHWDQBG&amp;VAR:QUERY=RkZfRUJJVERBX0lCKCdMVE1TJywzOTUxMik=&amp;WINDOW=FIRST_POPUP&amp;HEIGHT=450&amp;WIDTH=450&amp;START_MA","XIMIZED=FALSE&amp;VAR:CALENDAR=US&amp;VAR:SYMBOL=G0129K10&amp;VAR:INDEX=0"}</definedName>
    <definedName name="_8029__FDSAUDITLINK__" hidden="1">{"fdsup://directions/FAT Viewer?action=UPDATE&amp;creator=factset&amp;DYN_ARGS=TRUE&amp;DOC_NAME=FAT:FQL_AUDITING_CLIENT_TEMPLATE.FAT&amp;display_string=Audit&amp;VAR:KEY=JEPKHWDQBG&amp;VAR:QUERY=RkZfRUJJVERBX0lCKCdMVE1TJywzOTUxMik=&amp;WINDOW=FIRST_POPUP&amp;HEIGHT=450&amp;WIDTH=450&amp;START_MA","XIMIZED=FALSE&amp;VAR:CALENDAR=US&amp;VAR:SYMBOL=G0129K10&amp;VAR:INDEX=0"}</definedName>
    <definedName name="_803__FDSAUDITLINK__" localSheetId="6" hidden="1">{"fdsup://directions/FAT%20Viewer?VAR:PED=LTM&amp;VAR:AUDIT_MODE=SUMMARY&amp;VAR:PERIOD=FIXED&amp;VAR:AUDIT_ID=00000117&amp;VAR:DATE=20071211&amp;action=UPDATE&amp;creator=factset&amp;DOC_NAME=FAT:FMA_audit_SUMMARY.fat&amp;DISPLAY_STRING=Display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3__FDSAUDITLINK__" hidden="1">{"fdsup://directions/FAT%20Viewer?VAR:PED=LTM&amp;VAR:AUDIT_MODE=SUMMARY&amp;VAR:PERIOD=FIXED&amp;VAR:AUDIT_ID=00000117&amp;VAR:DATE=20071211&amp;action=UPDATE&amp;creator=factset&amp;DOC_NAME=FAT:FMA_audit_SUMMARY.fat&amp;DISPLAY_STRING=Display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30__FDSAUDITLINK__" localSheetId="6" hidden="1">{"fdsup://directions/FAT Viewer?action=UPDATE&amp;creator=factset&amp;DYN_ARGS=TRUE&amp;DOC_NAME=FAT:FQL_AUDITING_CLIENT_TEMPLATE.FAT&amp;display_string=Audit&amp;VAR:KEY=RUBQXMZWHG&amp;VAR:QUERY=RkZfRUJJVERBX0lCKCdMVE1TJywzOTUxMSk=&amp;WINDOW=FIRST_POPUP&amp;HEIGHT=450&amp;WIDTH=450&amp;START_MA","XIMIZED=FALSE&amp;VAR:CALENDAR=US&amp;VAR:SYMBOL=G0129K10&amp;VAR:INDEX=0"}</definedName>
    <definedName name="_8030__FDSAUDITLINK__" hidden="1">{"fdsup://directions/FAT Viewer?action=UPDATE&amp;creator=factset&amp;DYN_ARGS=TRUE&amp;DOC_NAME=FAT:FQL_AUDITING_CLIENT_TEMPLATE.FAT&amp;display_string=Audit&amp;VAR:KEY=RUBQXMZWHG&amp;VAR:QUERY=RkZfRUJJVERBX0lCKCdMVE1TJywzOTUxMSk=&amp;WINDOW=FIRST_POPUP&amp;HEIGHT=450&amp;WIDTH=450&amp;START_MA","XIMIZED=FALSE&amp;VAR:CALENDAR=US&amp;VAR:SYMBOL=G0129K10&amp;VAR:INDEX=0"}</definedName>
    <definedName name="_8031__FDSAUDITLINK__" localSheetId="6" hidden="1">{"fdsup://directions/FAT Viewer?action=UPDATE&amp;creator=factset&amp;DYN_ARGS=TRUE&amp;DOC_NAME=FAT:FQL_AUDITING_CLIENT_TEMPLATE.FAT&amp;display_string=Audit&amp;VAR:KEY=XCHMTSNWPO&amp;VAR:QUERY=RkZfRUJJVERBX0lCKCdMVE1TJywzOTUxMCk=&amp;WINDOW=FIRST_POPUP&amp;HEIGHT=450&amp;WIDTH=450&amp;START_MA","XIMIZED=FALSE&amp;VAR:CALENDAR=US&amp;VAR:SYMBOL=G0129K10&amp;VAR:INDEX=0"}</definedName>
    <definedName name="_8031__FDSAUDITLINK__" hidden="1">{"fdsup://directions/FAT Viewer?action=UPDATE&amp;creator=factset&amp;DYN_ARGS=TRUE&amp;DOC_NAME=FAT:FQL_AUDITING_CLIENT_TEMPLATE.FAT&amp;display_string=Audit&amp;VAR:KEY=XCHMTSNWPO&amp;VAR:QUERY=RkZfRUJJVERBX0lCKCdMVE1TJywzOTUxMCk=&amp;WINDOW=FIRST_POPUP&amp;HEIGHT=450&amp;WIDTH=450&amp;START_MA","XIMIZED=FALSE&amp;VAR:CALENDAR=US&amp;VAR:SYMBOL=G0129K10&amp;VAR:INDEX=0"}</definedName>
    <definedName name="_8032__FDSAUDITLINK__" localSheetId="6" hidden="1">{"fdsup://directions/FAT Viewer?action=UPDATE&amp;creator=factset&amp;DYN_ARGS=TRUE&amp;DOC_NAME=FAT:FQL_AUDITING_CLIENT_TEMPLATE.FAT&amp;display_string=Audit&amp;VAR:KEY=VEFCPUPARK&amp;VAR:QUERY=RkZfRUJJVERBX0lCKCdMVE1TJywzOTUwOSk=&amp;WINDOW=FIRST_POPUP&amp;HEIGHT=450&amp;WIDTH=450&amp;START_MA","XIMIZED=FALSE&amp;VAR:CALENDAR=US&amp;VAR:SYMBOL=G0129K10&amp;VAR:INDEX=0"}</definedName>
    <definedName name="_8032__FDSAUDITLINK__" hidden="1">{"fdsup://directions/FAT Viewer?action=UPDATE&amp;creator=factset&amp;DYN_ARGS=TRUE&amp;DOC_NAME=FAT:FQL_AUDITING_CLIENT_TEMPLATE.FAT&amp;display_string=Audit&amp;VAR:KEY=VEFCPUPARK&amp;VAR:QUERY=RkZfRUJJVERBX0lCKCdMVE1TJywzOTUwOSk=&amp;WINDOW=FIRST_POPUP&amp;HEIGHT=450&amp;WIDTH=450&amp;START_MA","XIMIZED=FALSE&amp;VAR:CALENDAR=US&amp;VAR:SYMBOL=G0129K10&amp;VAR:INDEX=0"}</definedName>
    <definedName name="_8033__FDSAUDITLINK__" localSheetId="6" hidden="1">{"fdsup://directions/FAT Viewer?action=UPDATE&amp;creator=factset&amp;DYN_ARGS=TRUE&amp;DOC_NAME=FAT:FQL_AUDITING_CLIENT_TEMPLATE.FAT&amp;display_string=Audit&amp;VAR:KEY=ZABIBEHYPC&amp;VAR:QUERY=RkZfRUJJVERBX0lCKCdMVE1TJywzOTUwOCk=&amp;WINDOW=FIRST_POPUP&amp;HEIGHT=450&amp;WIDTH=450&amp;START_MA","XIMIZED=FALSE&amp;VAR:CALENDAR=US&amp;VAR:SYMBOL=G0129K10&amp;VAR:INDEX=0"}</definedName>
    <definedName name="_8033__FDSAUDITLINK__" hidden="1">{"fdsup://directions/FAT Viewer?action=UPDATE&amp;creator=factset&amp;DYN_ARGS=TRUE&amp;DOC_NAME=FAT:FQL_AUDITING_CLIENT_TEMPLATE.FAT&amp;display_string=Audit&amp;VAR:KEY=ZABIBEHYPC&amp;VAR:QUERY=RkZfRUJJVERBX0lCKCdMVE1TJywzOTUwOCk=&amp;WINDOW=FIRST_POPUP&amp;HEIGHT=450&amp;WIDTH=450&amp;START_MA","XIMIZED=FALSE&amp;VAR:CALENDAR=US&amp;VAR:SYMBOL=G0129K10&amp;VAR:INDEX=0"}</definedName>
    <definedName name="_8034__FDSAUDITLINK__" localSheetId="6" hidden="1">{"fdsup://directions/FAT Viewer?action=UPDATE&amp;creator=factset&amp;DYN_ARGS=TRUE&amp;DOC_NAME=FAT:FQL_AUDITING_CLIENT_TEMPLATE.FAT&amp;display_string=Audit&amp;VAR:KEY=PIDURMLUBC&amp;VAR:QUERY=RkZfRUJJVERBX0lCKCdMVE1TJywzOTUwNyk=&amp;WINDOW=FIRST_POPUP&amp;HEIGHT=450&amp;WIDTH=450&amp;START_MA","XIMIZED=FALSE&amp;VAR:CALENDAR=US&amp;VAR:SYMBOL=G0129K10&amp;VAR:INDEX=0"}</definedName>
    <definedName name="_8034__FDSAUDITLINK__" hidden="1">{"fdsup://directions/FAT Viewer?action=UPDATE&amp;creator=factset&amp;DYN_ARGS=TRUE&amp;DOC_NAME=FAT:FQL_AUDITING_CLIENT_TEMPLATE.FAT&amp;display_string=Audit&amp;VAR:KEY=PIDURMLUBC&amp;VAR:QUERY=RkZfRUJJVERBX0lCKCdMVE1TJywzOTUwNyk=&amp;WINDOW=FIRST_POPUP&amp;HEIGHT=450&amp;WIDTH=450&amp;START_MA","XIMIZED=FALSE&amp;VAR:CALENDAR=US&amp;VAR:SYMBOL=G0129K10&amp;VAR:INDEX=0"}</definedName>
    <definedName name="_8035__FDSAUDITLINK__" localSheetId="6" hidden="1">{"fdsup://directions/FAT Viewer?action=UPDATE&amp;creator=factset&amp;DYN_ARGS=TRUE&amp;DOC_NAME=FAT:FQL_AUDITING_CLIENT_TEMPLATE.FAT&amp;display_string=Audit&amp;VAR:KEY=FMFUTGJAZQ&amp;VAR:QUERY=RkZfRUJJVERBX0lCKCdMVE1TJywzOTUwNik=&amp;WINDOW=FIRST_POPUP&amp;HEIGHT=450&amp;WIDTH=450&amp;START_MA","XIMIZED=FALSE&amp;VAR:CALENDAR=US&amp;VAR:SYMBOL=G0129K10&amp;VAR:INDEX=0"}</definedName>
    <definedName name="_8035__FDSAUDITLINK__" hidden="1">{"fdsup://directions/FAT Viewer?action=UPDATE&amp;creator=factset&amp;DYN_ARGS=TRUE&amp;DOC_NAME=FAT:FQL_AUDITING_CLIENT_TEMPLATE.FAT&amp;display_string=Audit&amp;VAR:KEY=FMFUTGJAZQ&amp;VAR:QUERY=RkZfRUJJVERBX0lCKCdMVE1TJywzOTUwNik=&amp;WINDOW=FIRST_POPUP&amp;HEIGHT=450&amp;WIDTH=450&amp;START_MA","XIMIZED=FALSE&amp;VAR:CALENDAR=US&amp;VAR:SYMBOL=G0129K10&amp;VAR:INDEX=0"}</definedName>
    <definedName name="_8036__FDSAUDITLINK__" localSheetId="6" hidden="1">{"fdsup://directions/FAT Viewer?action=UPDATE&amp;creator=factset&amp;DYN_ARGS=TRUE&amp;DOC_NAME=FAT:FQL_AUDITING_CLIENT_TEMPLATE.FAT&amp;display_string=Audit&amp;VAR:KEY=ZMFOVEXADE&amp;VAR:QUERY=RkZfRUJJVERBX0lCKCdMVE1TJywzOTUwNSk=&amp;WINDOW=FIRST_POPUP&amp;HEIGHT=450&amp;WIDTH=450&amp;START_MA","XIMIZED=FALSE&amp;VAR:CALENDAR=US&amp;VAR:SYMBOL=G0129K10&amp;VAR:INDEX=0"}</definedName>
    <definedName name="_8036__FDSAUDITLINK__" hidden="1">{"fdsup://directions/FAT Viewer?action=UPDATE&amp;creator=factset&amp;DYN_ARGS=TRUE&amp;DOC_NAME=FAT:FQL_AUDITING_CLIENT_TEMPLATE.FAT&amp;display_string=Audit&amp;VAR:KEY=ZMFOVEXADE&amp;VAR:QUERY=RkZfRUJJVERBX0lCKCdMVE1TJywzOTUwNSk=&amp;WINDOW=FIRST_POPUP&amp;HEIGHT=450&amp;WIDTH=450&amp;START_MA","XIMIZED=FALSE&amp;VAR:CALENDAR=US&amp;VAR:SYMBOL=G0129K10&amp;VAR:INDEX=0"}</definedName>
    <definedName name="_8037__FDSAUDITLINK__" localSheetId="6" hidden="1">{"fdsup://directions/FAT Viewer?action=UPDATE&amp;creator=factset&amp;DYN_ARGS=TRUE&amp;DOC_NAME=FAT:FQL_AUDITING_CLIENT_TEMPLATE.FAT&amp;display_string=Audit&amp;VAR:KEY=LMNCPKXKFE&amp;VAR:QUERY=RkZfRUJJVERBX0lCKCdMVE1TJywzOTUwNCk=&amp;WINDOW=FIRST_POPUP&amp;HEIGHT=450&amp;WIDTH=450&amp;START_MA","XIMIZED=FALSE&amp;VAR:CALENDAR=US&amp;VAR:SYMBOL=G0129K10&amp;VAR:INDEX=0"}</definedName>
    <definedName name="_8037__FDSAUDITLINK__" hidden="1">{"fdsup://directions/FAT Viewer?action=UPDATE&amp;creator=factset&amp;DYN_ARGS=TRUE&amp;DOC_NAME=FAT:FQL_AUDITING_CLIENT_TEMPLATE.FAT&amp;display_string=Audit&amp;VAR:KEY=LMNCPKXKFE&amp;VAR:QUERY=RkZfRUJJVERBX0lCKCdMVE1TJywzOTUwNCk=&amp;WINDOW=FIRST_POPUP&amp;HEIGHT=450&amp;WIDTH=450&amp;START_MA","XIMIZED=FALSE&amp;VAR:CALENDAR=US&amp;VAR:SYMBOL=G0129K10&amp;VAR:INDEX=0"}</definedName>
    <definedName name="_8038__FDSAUDITLINK__" localSheetId="6" hidden="1">{"fdsup://directions/FAT Viewer?action=UPDATE&amp;creator=factset&amp;DYN_ARGS=TRUE&amp;DOC_NAME=FAT:FQL_AUDITING_CLIENT_TEMPLATE.FAT&amp;display_string=Audit&amp;VAR:KEY=PUVGJQLYDM&amp;VAR:QUERY=RkZfRUJJVERBX0lCKCdMVE1TJywzOTUwMyk=&amp;WINDOW=FIRST_POPUP&amp;HEIGHT=450&amp;WIDTH=450&amp;START_MA","XIMIZED=FALSE&amp;VAR:CALENDAR=US&amp;VAR:SYMBOL=G0129K10&amp;VAR:INDEX=0"}</definedName>
    <definedName name="_8038__FDSAUDITLINK__" hidden="1">{"fdsup://directions/FAT Viewer?action=UPDATE&amp;creator=factset&amp;DYN_ARGS=TRUE&amp;DOC_NAME=FAT:FQL_AUDITING_CLIENT_TEMPLATE.FAT&amp;display_string=Audit&amp;VAR:KEY=PUVGJQLYDM&amp;VAR:QUERY=RkZfRUJJVERBX0lCKCdMVE1TJywzOTUwMyk=&amp;WINDOW=FIRST_POPUP&amp;HEIGHT=450&amp;WIDTH=450&amp;START_MA","XIMIZED=FALSE&amp;VAR:CALENDAR=US&amp;VAR:SYMBOL=G0129K10&amp;VAR:INDEX=0"}</definedName>
    <definedName name="_8039__FDSAUDITLINK__" localSheetId="6" hidden="1">{"fdsup://directions/FAT Viewer?action=UPDATE&amp;creator=factset&amp;DYN_ARGS=TRUE&amp;DOC_NAME=FAT:FQL_AUDITING_CLIENT_TEMPLATE.FAT&amp;display_string=Audit&amp;VAR:KEY=JKRWPKLIZU&amp;VAR:QUERY=RkZfRUJJVERBX0lCKCdMVE1TJywzOTUwMik=&amp;WINDOW=FIRST_POPUP&amp;HEIGHT=450&amp;WIDTH=450&amp;START_MA","XIMIZED=FALSE&amp;VAR:CALENDAR=US&amp;VAR:SYMBOL=G0129K10&amp;VAR:INDEX=0"}</definedName>
    <definedName name="_8039__FDSAUDITLINK__" hidden="1">{"fdsup://directions/FAT Viewer?action=UPDATE&amp;creator=factset&amp;DYN_ARGS=TRUE&amp;DOC_NAME=FAT:FQL_AUDITING_CLIENT_TEMPLATE.FAT&amp;display_string=Audit&amp;VAR:KEY=JKRWPKLIZU&amp;VAR:QUERY=RkZfRUJJVERBX0lCKCdMVE1TJywzOTUwMik=&amp;WINDOW=FIRST_POPUP&amp;HEIGHT=450&amp;WIDTH=450&amp;START_MA","XIMIZED=FALSE&amp;VAR:CALENDAR=US&amp;VAR:SYMBOL=G0129K10&amp;VAR:INDEX=0"}</definedName>
    <definedName name="_804__FDSAUDITLINK__" localSheetId="6" hidden="1">{"fdsup://directions/FAT%20Viewer?VAR:PED=LTM&amp;VAR:AUDIT_MODE=SUMMARY&amp;VAR:PERIOD=FIXED&amp;VAR:AUDIT_ID=00000117&amp;VAR:DATE=20071210&amp;action=UPDATE&amp;creator=factset&amp;DOC_NAME=FAT:FMA_audit_SUMMARY.fat&amp;DISPLAY_STRING=Display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4__FDSAUDITLINK__" hidden="1">{"fdsup://directions/FAT%20Viewer?VAR:PED=LTM&amp;VAR:AUDIT_MODE=SUMMARY&amp;VAR:PERIOD=FIXED&amp;VAR:AUDIT_ID=00000117&amp;VAR:DATE=20071210&amp;action=UPDATE&amp;creator=factset&amp;DOC_NAME=FAT:FMA_audit_SUMMARY.fat&amp;DISPLAY_STRING=Display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40__FDSAUDITLINK__" localSheetId="6" hidden="1">{"fdsup://directions/FAT Viewer?action=UPDATE&amp;creator=factset&amp;DYN_ARGS=TRUE&amp;DOC_NAME=FAT:FQL_AUDITING_CLIENT_TEMPLATE.FAT&amp;display_string=Audit&amp;VAR:KEY=DYRSLSZMPO&amp;VAR:QUERY=RkZfRUJJVERBX0lCKCdMVE1TJywzOTUwMSk=&amp;WINDOW=FIRST_POPUP&amp;HEIGHT=450&amp;WIDTH=450&amp;START_MA","XIMIZED=FALSE&amp;VAR:CALENDAR=US&amp;VAR:SYMBOL=G0129K10&amp;VAR:INDEX=0"}</definedName>
    <definedName name="_8040__FDSAUDITLINK__" hidden="1">{"fdsup://directions/FAT Viewer?action=UPDATE&amp;creator=factset&amp;DYN_ARGS=TRUE&amp;DOC_NAME=FAT:FQL_AUDITING_CLIENT_TEMPLATE.FAT&amp;display_string=Audit&amp;VAR:KEY=DYRSLSZMPO&amp;VAR:QUERY=RkZfRUJJVERBX0lCKCdMVE1TJywzOTUwMSk=&amp;WINDOW=FIRST_POPUP&amp;HEIGHT=450&amp;WIDTH=450&amp;START_MA","XIMIZED=FALSE&amp;VAR:CALENDAR=US&amp;VAR:SYMBOL=G0129K10&amp;VAR:INDEX=0"}</definedName>
    <definedName name="_8041__FDSAUDITLINK__" localSheetId="6" hidden="1">{"fdsup://directions/FAT Viewer?action=UPDATE&amp;creator=factset&amp;DYN_ARGS=TRUE&amp;DOC_NAME=FAT:FQL_AUDITING_CLIENT_TEMPLATE.FAT&amp;display_string=Audit&amp;VAR:KEY=BSRQTMXUBQ&amp;VAR:QUERY=RkZfRUJJVERBX0lCKCdMVE1TJywzOTUwMCk=&amp;WINDOW=FIRST_POPUP&amp;HEIGHT=450&amp;WIDTH=450&amp;START_MA","XIMIZED=FALSE&amp;VAR:CALENDAR=US&amp;VAR:SYMBOL=G0129K10&amp;VAR:INDEX=0"}</definedName>
    <definedName name="_8041__FDSAUDITLINK__" hidden="1">{"fdsup://directions/FAT Viewer?action=UPDATE&amp;creator=factset&amp;DYN_ARGS=TRUE&amp;DOC_NAME=FAT:FQL_AUDITING_CLIENT_TEMPLATE.FAT&amp;display_string=Audit&amp;VAR:KEY=BSRQTMXUBQ&amp;VAR:QUERY=RkZfRUJJVERBX0lCKCdMVE1TJywzOTUwMCk=&amp;WINDOW=FIRST_POPUP&amp;HEIGHT=450&amp;WIDTH=450&amp;START_MA","XIMIZED=FALSE&amp;VAR:CALENDAR=US&amp;VAR:SYMBOL=G0129K10&amp;VAR:INDEX=0"}</definedName>
    <definedName name="_8042__FDSAUDITLINK__" localSheetId="6" hidden="1">{"fdsup://directions/FAT Viewer?action=UPDATE&amp;creator=factset&amp;DYN_ARGS=TRUE&amp;DOC_NAME=FAT:FQL_AUDITING_CLIENT_TEMPLATE.FAT&amp;display_string=Audit&amp;VAR:KEY=BIPOZWHMLI&amp;VAR:QUERY=RkZfRUJJVERBX0lCKCdMVE1TJywzOTQ5OSk=&amp;WINDOW=FIRST_POPUP&amp;HEIGHT=450&amp;WIDTH=450&amp;START_MA","XIMIZED=FALSE&amp;VAR:CALENDAR=US&amp;VAR:SYMBOL=G0129K10&amp;VAR:INDEX=0"}</definedName>
    <definedName name="_8042__FDSAUDITLINK__" hidden="1">{"fdsup://directions/FAT Viewer?action=UPDATE&amp;creator=factset&amp;DYN_ARGS=TRUE&amp;DOC_NAME=FAT:FQL_AUDITING_CLIENT_TEMPLATE.FAT&amp;display_string=Audit&amp;VAR:KEY=BIPOZWHMLI&amp;VAR:QUERY=RkZfRUJJVERBX0lCKCdMVE1TJywzOTQ5OSk=&amp;WINDOW=FIRST_POPUP&amp;HEIGHT=450&amp;WIDTH=450&amp;START_MA","XIMIZED=FALSE&amp;VAR:CALENDAR=US&amp;VAR:SYMBOL=G0129K10&amp;VAR:INDEX=0"}</definedName>
    <definedName name="_8043__FDSAUDITLINK__" localSheetId="6" hidden="1">{"fdsup://directions/FAT Viewer?action=UPDATE&amp;creator=factset&amp;DYN_ARGS=TRUE&amp;DOC_NAME=FAT:FQL_AUDITING_CLIENT_TEMPLATE.FAT&amp;display_string=Audit&amp;VAR:KEY=BQJGPINILU&amp;VAR:QUERY=RkZfRUJJVERBX0lCKCdMVE1TJywzOTQ5OCk=&amp;WINDOW=FIRST_POPUP&amp;HEIGHT=450&amp;WIDTH=450&amp;START_MA","XIMIZED=FALSE&amp;VAR:CALENDAR=US&amp;VAR:SYMBOL=G0129K10&amp;VAR:INDEX=0"}</definedName>
    <definedName name="_8043__FDSAUDITLINK__" hidden="1">{"fdsup://directions/FAT Viewer?action=UPDATE&amp;creator=factset&amp;DYN_ARGS=TRUE&amp;DOC_NAME=FAT:FQL_AUDITING_CLIENT_TEMPLATE.FAT&amp;display_string=Audit&amp;VAR:KEY=BQJGPINILU&amp;VAR:QUERY=RkZfRUJJVERBX0lCKCdMVE1TJywzOTQ5OCk=&amp;WINDOW=FIRST_POPUP&amp;HEIGHT=450&amp;WIDTH=450&amp;START_MA","XIMIZED=FALSE&amp;VAR:CALENDAR=US&amp;VAR:SYMBOL=G0129K10&amp;VAR:INDEX=0"}</definedName>
    <definedName name="_8044__FDSAUDITLINK__" localSheetId="6" hidden="1">{"fdsup://directions/FAT Viewer?action=UPDATE&amp;creator=factset&amp;DYN_ARGS=TRUE&amp;DOC_NAME=FAT:FQL_AUDITING_CLIENT_TEMPLATE.FAT&amp;display_string=Audit&amp;VAR:KEY=PGHOXYRSTK&amp;VAR:QUERY=RkZfRUJJVERBX0lCKCdMVE1TJywzOTQ5Nyk=&amp;WINDOW=FIRST_POPUP&amp;HEIGHT=450&amp;WIDTH=450&amp;START_MA","XIMIZED=FALSE&amp;VAR:CALENDAR=US&amp;VAR:SYMBOL=G0129K10&amp;VAR:INDEX=0"}</definedName>
    <definedName name="_8044__FDSAUDITLINK__" hidden="1">{"fdsup://directions/FAT Viewer?action=UPDATE&amp;creator=factset&amp;DYN_ARGS=TRUE&amp;DOC_NAME=FAT:FQL_AUDITING_CLIENT_TEMPLATE.FAT&amp;display_string=Audit&amp;VAR:KEY=PGHOXYRSTK&amp;VAR:QUERY=RkZfRUJJVERBX0lCKCdMVE1TJywzOTQ5Nyk=&amp;WINDOW=FIRST_POPUP&amp;HEIGHT=450&amp;WIDTH=450&amp;START_MA","XIMIZED=FALSE&amp;VAR:CALENDAR=US&amp;VAR:SYMBOL=G0129K10&amp;VAR:INDEX=0"}</definedName>
    <definedName name="_8045__FDSAUDITLINK__" localSheetId="6" hidden="1">{"fdsup://directions/FAT Viewer?action=UPDATE&amp;creator=factset&amp;DYN_ARGS=TRUE&amp;DOC_NAME=FAT:FQL_AUDITING_CLIENT_TEMPLATE.FAT&amp;display_string=Audit&amp;VAR:KEY=FKDUPITKFA&amp;VAR:QUERY=RkZfRUJJVERBX0lCKCdMVE1TJywzOTQ5Nik=&amp;WINDOW=FIRST_POPUP&amp;HEIGHT=450&amp;WIDTH=450&amp;START_MA","XIMIZED=FALSE&amp;VAR:CALENDAR=US&amp;VAR:SYMBOL=G0129K10&amp;VAR:INDEX=0"}</definedName>
    <definedName name="_8045__FDSAUDITLINK__" hidden="1">{"fdsup://directions/FAT Viewer?action=UPDATE&amp;creator=factset&amp;DYN_ARGS=TRUE&amp;DOC_NAME=FAT:FQL_AUDITING_CLIENT_TEMPLATE.FAT&amp;display_string=Audit&amp;VAR:KEY=FKDUPITKFA&amp;VAR:QUERY=RkZfRUJJVERBX0lCKCdMVE1TJywzOTQ5Nik=&amp;WINDOW=FIRST_POPUP&amp;HEIGHT=450&amp;WIDTH=450&amp;START_MA","XIMIZED=FALSE&amp;VAR:CALENDAR=US&amp;VAR:SYMBOL=G0129K10&amp;VAR:INDEX=0"}</definedName>
    <definedName name="_8046__FDSAUDITLINK__" localSheetId="6" hidden="1">{"fdsup://directions/FAT Viewer?action=UPDATE&amp;creator=factset&amp;DYN_ARGS=TRUE&amp;DOC_NAME=FAT:FQL_AUDITING_CLIENT_TEMPLATE.FAT&amp;display_string=Audit&amp;VAR:KEY=ZWVWDIDGNI&amp;VAR:QUERY=RkZfRUJJVERBX0lCKCdMVE1TJywzOTQ5NSk=&amp;WINDOW=FIRST_POPUP&amp;HEIGHT=450&amp;WIDTH=450&amp;START_MA","XIMIZED=FALSE&amp;VAR:CALENDAR=US&amp;VAR:SYMBOL=G0129K10&amp;VAR:INDEX=0"}</definedName>
    <definedName name="_8046__FDSAUDITLINK__" hidden="1">{"fdsup://directions/FAT Viewer?action=UPDATE&amp;creator=factset&amp;DYN_ARGS=TRUE&amp;DOC_NAME=FAT:FQL_AUDITING_CLIENT_TEMPLATE.FAT&amp;display_string=Audit&amp;VAR:KEY=ZWVWDIDGNI&amp;VAR:QUERY=RkZfRUJJVERBX0lCKCdMVE1TJywzOTQ5NSk=&amp;WINDOW=FIRST_POPUP&amp;HEIGHT=450&amp;WIDTH=450&amp;START_MA","XIMIZED=FALSE&amp;VAR:CALENDAR=US&amp;VAR:SYMBOL=G0129K10&amp;VAR:INDEX=0"}</definedName>
    <definedName name="_8047__FDSAUDITLINK__" localSheetId="6" hidden="1">{"fdsup://directions/FAT Viewer?action=UPDATE&amp;creator=factset&amp;DYN_ARGS=TRUE&amp;DOC_NAME=FAT:FQL_AUDITING_CLIENT_TEMPLATE.FAT&amp;display_string=Audit&amp;VAR:KEY=RUDIPYTAZS&amp;VAR:QUERY=RkZfRUJJVERBX0lCKCdMVE1TJywzOTQ5NCk=&amp;WINDOW=FIRST_POPUP&amp;HEIGHT=450&amp;WIDTH=450&amp;START_MA","XIMIZED=FALSE&amp;VAR:CALENDAR=US&amp;VAR:SYMBOL=G0129K10&amp;VAR:INDEX=0"}</definedName>
    <definedName name="_8047__FDSAUDITLINK__" hidden="1">{"fdsup://directions/FAT Viewer?action=UPDATE&amp;creator=factset&amp;DYN_ARGS=TRUE&amp;DOC_NAME=FAT:FQL_AUDITING_CLIENT_TEMPLATE.FAT&amp;display_string=Audit&amp;VAR:KEY=RUDIPYTAZS&amp;VAR:QUERY=RkZfRUJJVERBX0lCKCdMVE1TJywzOTQ5NCk=&amp;WINDOW=FIRST_POPUP&amp;HEIGHT=450&amp;WIDTH=450&amp;START_MA","XIMIZED=FALSE&amp;VAR:CALENDAR=US&amp;VAR:SYMBOL=G0129K10&amp;VAR:INDEX=0"}</definedName>
    <definedName name="_8048__FDSAUDITLINK__" localSheetId="6" hidden="1">{"fdsup://directions/FAT Viewer?action=UPDATE&amp;creator=factset&amp;DYN_ARGS=TRUE&amp;DOC_NAME=FAT:FQL_AUDITING_CLIENT_TEMPLATE.FAT&amp;display_string=Audit&amp;VAR:KEY=RMNEJQJWZO&amp;VAR:QUERY=RkZfRUJJVERBX0lCKCdMVE1TJywzOTQ5Myk=&amp;WINDOW=FIRST_POPUP&amp;HEIGHT=450&amp;WIDTH=450&amp;START_MA","XIMIZED=FALSE&amp;VAR:CALENDAR=US&amp;VAR:SYMBOL=G0129K10&amp;VAR:INDEX=0"}</definedName>
    <definedName name="_8048__FDSAUDITLINK__" hidden="1">{"fdsup://directions/FAT Viewer?action=UPDATE&amp;creator=factset&amp;DYN_ARGS=TRUE&amp;DOC_NAME=FAT:FQL_AUDITING_CLIENT_TEMPLATE.FAT&amp;display_string=Audit&amp;VAR:KEY=RMNEJQJWZO&amp;VAR:QUERY=RkZfRUJJVERBX0lCKCdMVE1TJywzOTQ5Myk=&amp;WINDOW=FIRST_POPUP&amp;HEIGHT=450&amp;WIDTH=450&amp;START_MA","XIMIZED=FALSE&amp;VAR:CALENDAR=US&amp;VAR:SYMBOL=G0129K10&amp;VAR:INDEX=0"}</definedName>
    <definedName name="_8049__FDSAUDITLINK__" localSheetId="6" hidden="1">{"fdsup://directions/FAT Viewer?action=UPDATE&amp;creator=factset&amp;DYN_ARGS=TRUE&amp;DOC_NAME=FAT:FQL_AUDITING_CLIENT_TEMPLATE.FAT&amp;display_string=Audit&amp;VAR:KEY=JSZSNCXOTA&amp;VAR:QUERY=RkZfRUJJVERBX0lCKCdMVE1TJywzOTQ5Mik=&amp;WINDOW=FIRST_POPUP&amp;HEIGHT=450&amp;WIDTH=450&amp;START_MA","XIMIZED=FALSE&amp;VAR:CALENDAR=US&amp;VAR:SYMBOL=G0129K10&amp;VAR:INDEX=0"}</definedName>
    <definedName name="_8049__FDSAUDITLINK__" hidden="1">{"fdsup://directions/FAT Viewer?action=UPDATE&amp;creator=factset&amp;DYN_ARGS=TRUE&amp;DOC_NAME=FAT:FQL_AUDITING_CLIENT_TEMPLATE.FAT&amp;display_string=Audit&amp;VAR:KEY=JSZSNCXOTA&amp;VAR:QUERY=RkZfRUJJVERBX0lCKCdMVE1TJywzOTQ5Mik=&amp;WINDOW=FIRST_POPUP&amp;HEIGHT=450&amp;WIDTH=450&amp;START_MA","XIMIZED=FALSE&amp;VAR:CALENDAR=US&amp;VAR:SYMBOL=G0129K10&amp;VAR:INDEX=0"}</definedName>
    <definedName name="_805__FDSAUDITLINK__" localSheetId="6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5__FDSAUDITLINK__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50__FDSAUDITLINK__" localSheetId="6" hidden="1">{"fdsup://directions/FAT Viewer?action=UPDATE&amp;creator=factset&amp;DYN_ARGS=TRUE&amp;DOC_NAME=FAT:FQL_AUDITING_CLIENT_TEMPLATE.FAT&amp;display_string=Audit&amp;VAR:KEY=NCBMPGPUHO&amp;VAR:QUERY=RkZfRUJJVERBX0lCKCdMVE1TJywzOTQ5MSk=&amp;WINDOW=FIRST_POPUP&amp;HEIGHT=450&amp;WIDTH=450&amp;START_MA","XIMIZED=FALSE&amp;VAR:CALENDAR=US&amp;VAR:SYMBOL=G0129K10&amp;VAR:INDEX=0"}</definedName>
    <definedName name="_8050__FDSAUDITLINK__" hidden="1">{"fdsup://directions/FAT Viewer?action=UPDATE&amp;creator=factset&amp;DYN_ARGS=TRUE&amp;DOC_NAME=FAT:FQL_AUDITING_CLIENT_TEMPLATE.FAT&amp;display_string=Audit&amp;VAR:KEY=NCBMPGPUHO&amp;VAR:QUERY=RkZfRUJJVERBX0lCKCdMVE1TJywzOTQ5MSk=&amp;WINDOW=FIRST_POPUP&amp;HEIGHT=450&amp;WIDTH=450&amp;START_MA","XIMIZED=FALSE&amp;VAR:CALENDAR=US&amp;VAR:SYMBOL=G0129K10&amp;VAR:INDEX=0"}</definedName>
    <definedName name="_8051__FDSAUDITLINK__" localSheetId="6" hidden="1">{"fdsup://directions/FAT Viewer?action=UPDATE&amp;creator=factset&amp;DYN_ARGS=TRUE&amp;DOC_NAME=FAT:FQL_AUDITING_CLIENT_TEMPLATE.FAT&amp;display_string=Audit&amp;VAR:KEY=RYDSJWDGVU&amp;VAR:QUERY=RkZfRUJJVERBX0lCKCdMVE1TJywzOTQ5MCk=&amp;WINDOW=FIRST_POPUP&amp;HEIGHT=450&amp;WIDTH=450&amp;START_MA","XIMIZED=FALSE&amp;VAR:CALENDAR=US&amp;VAR:SYMBOL=G0129K10&amp;VAR:INDEX=0"}</definedName>
    <definedName name="_8051__FDSAUDITLINK__" hidden="1">{"fdsup://directions/FAT Viewer?action=UPDATE&amp;creator=factset&amp;DYN_ARGS=TRUE&amp;DOC_NAME=FAT:FQL_AUDITING_CLIENT_TEMPLATE.FAT&amp;display_string=Audit&amp;VAR:KEY=RYDSJWDGVU&amp;VAR:QUERY=RkZfRUJJVERBX0lCKCdMVE1TJywzOTQ5MCk=&amp;WINDOW=FIRST_POPUP&amp;HEIGHT=450&amp;WIDTH=450&amp;START_MA","XIMIZED=FALSE&amp;VAR:CALENDAR=US&amp;VAR:SYMBOL=G0129K10&amp;VAR:INDEX=0"}</definedName>
    <definedName name="_8052__FDSAUDITLINK__" localSheetId="6" hidden="1">{"fdsup://directions/FAT Viewer?action=UPDATE&amp;creator=factset&amp;DYN_ARGS=TRUE&amp;DOC_NAME=FAT:FQL_AUDITING_CLIENT_TEMPLATE.FAT&amp;display_string=Audit&amp;VAR:KEY=FCXCBYXERA&amp;VAR:QUERY=RkZfRUJJVERBX0lCKCdMVE1TJywzOTQ4OSk=&amp;WINDOW=FIRST_POPUP&amp;HEIGHT=450&amp;WIDTH=450&amp;START_MA","XIMIZED=FALSE&amp;VAR:CALENDAR=US&amp;VAR:SYMBOL=G0129K10&amp;VAR:INDEX=0"}</definedName>
    <definedName name="_8052__FDSAUDITLINK__" hidden="1">{"fdsup://directions/FAT Viewer?action=UPDATE&amp;creator=factset&amp;DYN_ARGS=TRUE&amp;DOC_NAME=FAT:FQL_AUDITING_CLIENT_TEMPLATE.FAT&amp;display_string=Audit&amp;VAR:KEY=FCXCBYXERA&amp;VAR:QUERY=RkZfRUJJVERBX0lCKCdMVE1TJywzOTQ4OSk=&amp;WINDOW=FIRST_POPUP&amp;HEIGHT=450&amp;WIDTH=450&amp;START_MA","XIMIZED=FALSE&amp;VAR:CALENDAR=US&amp;VAR:SYMBOL=G0129K10&amp;VAR:INDEX=0"}</definedName>
    <definedName name="_8053__FDSAUDITLINK__" localSheetId="6" hidden="1">{"fdsup://directions/FAT Viewer?action=UPDATE&amp;creator=factset&amp;DYN_ARGS=TRUE&amp;DOC_NAME=FAT:FQL_AUDITING_CLIENT_TEMPLATE.FAT&amp;display_string=Audit&amp;VAR:KEY=JAZEFELOLA&amp;VAR:QUERY=RkZfRUJJVERBX0lCKCdMVE1TJywzOTQ4OCk=&amp;WINDOW=FIRST_POPUP&amp;HEIGHT=450&amp;WIDTH=450&amp;START_MA","XIMIZED=FALSE&amp;VAR:CALENDAR=US&amp;VAR:SYMBOL=G0129K10&amp;VAR:INDEX=0"}</definedName>
    <definedName name="_8053__FDSAUDITLINK__" hidden="1">{"fdsup://directions/FAT Viewer?action=UPDATE&amp;creator=factset&amp;DYN_ARGS=TRUE&amp;DOC_NAME=FAT:FQL_AUDITING_CLIENT_TEMPLATE.FAT&amp;display_string=Audit&amp;VAR:KEY=JAZEFELOLA&amp;VAR:QUERY=RkZfRUJJVERBX0lCKCdMVE1TJywzOTQ4OCk=&amp;WINDOW=FIRST_POPUP&amp;HEIGHT=450&amp;WIDTH=450&amp;START_MA","XIMIZED=FALSE&amp;VAR:CALENDAR=US&amp;VAR:SYMBOL=G0129K10&amp;VAR:INDEX=0"}</definedName>
    <definedName name="_8054__FDSAUDITLINK__" localSheetId="6" hidden="1">{"fdsup://directions/FAT Viewer?action=UPDATE&amp;creator=factset&amp;DYN_ARGS=TRUE&amp;DOC_NAME=FAT:FQL_AUDITING_CLIENT_TEMPLATE.FAT&amp;display_string=Audit&amp;VAR:KEY=JYZMLONWLU&amp;VAR:QUERY=RkZfRUJJVERBX0lCKCdMVE1TJywzOTQ4Nyk=&amp;WINDOW=FIRST_POPUP&amp;HEIGHT=450&amp;WIDTH=450&amp;START_MA","XIMIZED=FALSE&amp;VAR:CALENDAR=US&amp;VAR:SYMBOL=G0129K10&amp;VAR:INDEX=0"}</definedName>
    <definedName name="_8054__FDSAUDITLINK__" hidden="1">{"fdsup://directions/FAT Viewer?action=UPDATE&amp;creator=factset&amp;DYN_ARGS=TRUE&amp;DOC_NAME=FAT:FQL_AUDITING_CLIENT_TEMPLATE.FAT&amp;display_string=Audit&amp;VAR:KEY=JYZMLONWLU&amp;VAR:QUERY=RkZfRUJJVERBX0lCKCdMVE1TJywzOTQ4Nyk=&amp;WINDOW=FIRST_POPUP&amp;HEIGHT=450&amp;WIDTH=450&amp;START_MA","XIMIZED=FALSE&amp;VAR:CALENDAR=US&amp;VAR:SYMBOL=G0129K10&amp;VAR:INDEX=0"}</definedName>
    <definedName name="_8055__FDSAUDITLINK__" localSheetId="6" hidden="1">{"fdsup://directions/FAT Viewer?action=UPDATE&amp;creator=factset&amp;DYN_ARGS=TRUE&amp;DOC_NAME=FAT:FQL_AUDITING_CLIENT_TEMPLATE.FAT&amp;display_string=Audit&amp;VAR:KEY=HIRKPAPQNO&amp;VAR:QUERY=RkZfRUJJVERBX0lCKCdMVE1TJywzOTQ4Nik=&amp;WINDOW=FIRST_POPUP&amp;HEIGHT=450&amp;WIDTH=450&amp;START_MA","XIMIZED=FALSE&amp;VAR:CALENDAR=US&amp;VAR:SYMBOL=G0129K10&amp;VAR:INDEX=0"}</definedName>
    <definedName name="_8055__FDSAUDITLINK__" hidden="1">{"fdsup://directions/FAT Viewer?action=UPDATE&amp;creator=factset&amp;DYN_ARGS=TRUE&amp;DOC_NAME=FAT:FQL_AUDITING_CLIENT_TEMPLATE.FAT&amp;display_string=Audit&amp;VAR:KEY=HIRKPAPQNO&amp;VAR:QUERY=RkZfRUJJVERBX0lCKCdMVE1TJywzOTQ4Nik=&amp;WINDOW=FIRST_POPUP&amp;HEIGHT=450&amp;WIDTH=450&amp;START_MA","XIMIZED=FALSE&amp;VAR:CALENDAR=US&amp;VAR:SYMBOL=G0129K10&amp;VAR:INDEX=0"}</definedName>
    <definedName name="_8056__FDSAUDITLINK__" localSheetId="6" hidden="1">{"fdsup://directions/FAT Viewer?action=UPDATE&amp;creator=factset&amp;DYN_ARGS=TRUE&amp;DOC_NAME=FAT:FQL_AUDITING_CLIENT_TEMPLATE.FAT&amp;display_string=Audit&amp;VAR:KEY=XQPIDMHYTC&amp;VAR:QUERY=RkZfRUJJVERBX0lCKCdMVE1TJywzOTQ4NSk=&amp;WINDOW=FIRST_POPUP&amp;HEIGHT=450&amp;WIDTH=450&amp;START_MA","XIMIZED=FALSE&amp;VAR:CALENDAR=US&amp;VAR:SYMBOL=G0129K10&amp;VAR:INDEX=0"}</definedName>
    <definedName name="_8056__FDSAUDITLINK__" hidden="1">{"fdsup://directions/FAT Viewer?action=UPDATE&amp;creator=factset&amp;DYN_ARGS=TRUE&amp;DOC_NAME=FAT:FQL_AUDITING_CLIENT_TEMPLATE.FAT&amp;display_string=Audit&amp;VAR:KEY=XQPIDMHYTC&amp;VAR:QUERY=RkZfRUJJVERBX0lCKCdMVE1TJywzOTQ4NSk=&amp;WINDOW=FIRST_POPUP&amp;HEIGHT=450&amp;WIDTH=450&amp;START_MA","XIMIZED=FALSE&amp;VAR:CALENDAR=US&amp;VAR:SYMBOL=G0129K10&amp;VAR:INDEX=0"}</definedName>
    <definedName name="_8057__FDSAUDITLINK__" localSheetId="6" hidden="1">{"fdsup://directions/FAT Viewer?action=UPDATE&amp;creator=factset&amp;DYN_ARGS=TRUE&amp;DOC_NAME=FAT:FQL_AUDITING_CLIENT_TEMPLATE.FAT&amp;display_string=Audit&amp;VAR:KEY=XMVIFELWBI&amp;VAR:QUERY=RkZfRUJJVERBX0lCKCdMVE1TJywzOTQ4NCk=&amp;WINDOW=FIRST_POPUP&amp;HEIGHT=450&amp;WIDTH=450&amp;START_MA","XIMIZED=FALSE&amp;VAR:CALENDAR=US&amp;VAR:SYMBOL=G0129K10&amp;VAR:INDEX=0"}</definedName>
    <definedName name="_8057__FDSAUDITLINK__" hidden="1">{"fdsup://directions/FAT Viewer?action=UPDATE&amp;creator=factset&amp;DYN_ARGS=TRUE&amp;DOC_NAME=FAT:FQL_AUDITING_CLIENT_TEMPLATE.FAT&amp;display_string=Audit&amp;VAR:KEY=XMVIFELWBI&amp;VAR:QUERY=RkZfRUJJVERBX0lCKCdMVE1TJywzOTQ4NCk=&amp;WINDOW=FIRST_POPUP&amp;HEIGHT=450&amp;WIDTH=450&amp;START_MA","XIMIZED=FALSE&amp;VAR:CALENDAR=US&amp;VAR:SYMBOL=G0129K10&amp;VAR:INDEX=0"}</definedName>
    <definedName name="_8058__FDSAUDITLINK__" localSheetId="6" hidden="1">{"fdsup://directions/FAT Viewer?action=UPDATE&amp;creator=factset&amp;DYN_ARGS=TRUE&amp;DOC_NAME=FAT:FQL_AUDITING_CLIENT_TEMPLATE.FAT&amp;display_string=Audit&amp;VAR:KEY=POZGXMHWNY&amp;VAR:QUERY=RkZfRUJJVERBX0lCKCdMVE1TJywzOTQ4Myk=&amp;WINDOW=FIRST_POPUP&amp;HEIGHT=450&amp;WIDTH=450&amp;START_MA","XIMIZED=FALSE&amp;VAR:CALENDAR=US&amp;VAR:SYMBOL=G0129K10&amp;VAR:INDEX=0"}</definedName>
    <definedName name="_8058__FDSAUDITLINK__" hidden="1">{"fdsup://directions/FAT Viewer?action=UPDATE&amp;creator=factset&amp;DYN_ARGS=TRUE&amp;DOC_NAME=FAT:FQL_AUDITING_CLIENT_TEMPLATE.FAT&amp;display_string=Audit&amp;VAR:KEY=POZGXMHWNY&amp;VAR:QUERY=RkZfRUJJVERBX0lCKCdMVE1TJywzOTQ4Myk=&amp;WINDOW=FIRST_POPUP&amp;HEIGHT=450&amp;WIDTH=450&amp;START_MA","XIMIZED=FALSE&amp;VAR:CALENDAR=US&amp;VAR:SYMBOL=G0129K10&amp;VAR:INDEX=0"}</definedName>
    <definedName name="_8059__FDSAUDITLINK__" localSheetId="6" hidden="1">{"fdsup://directions/FAT Viewer?action=UPDATE&amp;creator=factset&amp;DYN_ARGS=TRUE&amp;DOC_NAME=FAT:FQL_AUDITING_CLIENT_TEMPLATE.FAT&amp;display_string=Audit&amp;VAR:KEY=PMFYBUBYVS&amp;VAR:QUERY=RkZfRUJJVERBX0lCKCdMVE1TJywzOTQ4Mik=&amp;WINDOW=FIRST_POPUP&amp;HEIGHT=450&amp;WIDTH=450&amp;START_MA","XIMIZED=FALSE&amp;VAR:CALENDAR=US&amp;VAR:SYMBOL=G0129K10&amp;VAR:INDEX=0"}</definedName>
    <definedName name="_8059__FDSAUDITLINK__" hidden="1">{"fdsup://directions/FAT Viewer?action=UPDATE&amp;creator=factset&amp;DYN_ARGS=TRUE&amp;DOC_NAME=FAT:FQL_AUDITING_CLIENT_TEMPLATE.FAT&amp;display_string=Audit&amp;VAR:KEY=PMFYBUBYVS&amp;VAR:QUERY=RkZfRUJJVERBX0lCKCdMVE1TJywzOTQ4Mik=&amp;WINDOW=FIRST_POPUP&amp;HEIGHT=450&amp;WIDTH=450&amp;START_MA","XIMIZED=FALSE&amp;VAR:CALENDAR=US&amp;VAR:SYMBOL=G0129K10&amp;VAR:INDEX=0"}</definedName>
    <definedName name="_806__FDSAUDITLINK__" localSheetId="6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6__FDSAUDITLINK__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60__FDSAUDITLINK__" localSheetId="6" hidden="1">{"fdsup://directions/FAT Viewer?action=UPDATE&amp;creator=factset&amp;DYN_ARGS=TRUE&amp;DOC_NAME=FAT:FQL_AUDITING_CLIENT_TEMPLATE.FAT&amp;display_string=Audit&amp;VAR:KEY=TCLGHQPKRO&amp;VAR:QUERY=RkZfRUJJVERBX0lCKCdMVE1TJywzOTQ4MSk=&amp;WINDOW=FIRST_POPUP&amp;HEIGHT=450&amp;WIDTH=450&amp;START_MA","XIMIZED=FALSE&amp;VAR:CALENDAR=US&amp;VAR:SYMBOL=G0129K10&amp;VAR:INDEX=0"}</definedName>
    <definedName name="_8060__FDSAUDITLINK__" hidden="1">{"fdsup://directions/FAT Viewer?action=UPDATE&amp;creator=factset&amp;DYN_ARGS=TRUE&amp;DOC_NAME=FAT:FQL_AUDITING_CLIENT_TEMPLATE.FAT&amp;display_string=Audit&amp;VAR:KEY=TCLGHQPKRO&amp;VAR:QUERY=RkZfRUJJVERBX0lCKCdMVE1TJywzOTQ4MSk=&amp;WINDOW=FIRST_POPUP&amp;HEIGHT=450&amp;WIDTH=450&amp;START_MA","XIMIZED=FALSE&amp;VAR:CALENDAR=US&amp;VAR:SYMBOL=G0129K10&amp;VAR:INDEX=0"}</definedName>
    <definedName name="_8061__FDSAUDITLINK__" localSheetId="6" hidden="1">{"fdsup://directions/FAT Viewer?action=UPDATE&amp;creator=factset&amp;DYN_ARGS=TRUE&amp;DOC_NAME=FAT:FQL_AUDITING_CLIENT_TEMPLATE.FAT&amp;display_string=Audit&amp;VAR:KEY=FGZOFAZGBU&amp;VAR:QUERY=RkZfRUJJVERBX0lCKCdMVE1TJywzOTQ4MCk=&amp;WINDOW=FIRST_POPUP&amp;HEIGHT=450&amp;WIDTH=450&amp;START_MA","XIMIZED=FALSE&amp;VAR:CALENDAR=US&amp;VAR:SYMBOL=G0129K10&amp;VAR:INDEX=0"}</definedName>
    <definedName name="_8061__FDSAUDITLINK__" hidden="1">{"fdsup://directions/FAT Viewer?action=UPDATE&amp;creator=factset&amp;DYN_ARGS=TRUE&amp;DOC_NAME=FAT:FQL_AUDITING_CLIENT_TEMPLATE.FAT&amp;display_string=Audit&amp;VAR:KEY=FGZOFAZGBU&amp;VAR:QUERY=RkZfRUJJVERBX0lCKCdMVE1TJywzOTQ4MCk=&amp;WINDOW=FIRST_POPUP&amp;HEIGHT=450&amp;WIDTH=450&amp;START_MA","XIMIZED=FALSE&amp;VAR:CALENDAR=US&amp;VAR:SYMBOL=G0129K10&amp;VAR:INDEX=0"}</definedName>
    <definedName name="_8062__FDSAUDITLINK__" localSheetId="6" hidden="1">{"fdsup://directions/FAT Viewer?action=UPDATE&amp;creator=factset&amp;DYN_ARGS=TRUE&amp;DOC_NAME=FAT:FQL_AUDITING_CLIENT_TEMPLATE.FAT&amp;display_string=Audit&amp;VAR:KEY=XSJAVETYRI&amp;VAR:QUERY=RkZfRUJJVERBX0lCKCdMVE1TJywzOTQ3OSk=&amp;WINDOW=FIRST_POPUP&amp;HEIGHT=450&amp;WIDTH=450&amp;START_MA","XIMIZED=FALSE&amp;VAR:CALENDAR=US&amp;VAR:SYMBOL=G0129K10&amp;VAR:INDEX=0"}</definedName>
    <definedName name="_8062__FDSAUDITLINK__" hidden="1">{"fdsup://directions/FAT Viewer?action=UPDATE&amp;creator=factset&amp;DYN_ARGS=TRUE&amp;DOC_NAME=FAT:FQL_AUDITING_CLIENT_TEMPLATE.FAT&amp;display_string=Audit&amp;VAR:KEY=XSJAVETYRI&amp;VAR:QUERY=RkZfRUJJVERBX0lCKCdMVE1TJywzOTQ3OSk=&amp;WINDOW=FIRST_POPUP&amp;HEIGHT=450&amp;WIDTH=450&amp;START_MA","XIMIZED=FALSE&amp;VAR:CALENDAR=US&amp;VAR:SYMBOL=G0129K10&amp;VAR:INDEX=0"}</definedName>
    <definedName name="_8063__FDSAUDITLINK__" localSheetId="6" hidden="1">{"fdsup://directions/FAT Viewer?action=UPDATE&amp;creator=factset&amp;DYN_ARGS=TRUE&amp;DOC_NAME=FAT:FQL_AUDITING_CLIENT_TEMPLATE.FAT&amp;display_string=Audit&amp;VAR:KEY=DEXELODOLW&amp;VAR:QUERY=RkZfRUJJVERBX0lCKCdMVE1TJywzOTQ3OCk=&amp;WINDOW=FIRST_POPUP&amp;HEIGHT=450&amp;WIDTH=450&amp;START_MA","XIMIZED=FALSE&amp;VAR:CALENDAR=US&amp;VAR:SYMBOL=G0129K10&amp;VAR:INDEX=0"}</definedName>
    <definedName name="_8063__FDSAUDITLINK__" hidden="1">{"fdsup://directions/FAT Viewer?action=UPDATE&amp;creator=factset&amp;DYN_ARGS=TRUE&amp;DOC_NAME=FAT:FQL_AUDITING_CLIENT_TEMPLATE.FAT&amp;display_string=Audit&amp;VAR:KEY=DEXELODOLW&amp;VAR:QUERY=RkZfRUJJVERBX0lCKCdMVE1TJywzOTQ3OCk=&amp;WINDOW=FIRST_POPUP&amp;HEIGHT=450&amp;WIDTH=450&amp;START_MA","XIMIZED=FALSE&amp;VAR:CALENDAR=US&amp;VAR:SYMBOL=G0129K10&amp;VAR:INDEX=0"}</definedName>
    <definedName name="_8064__FDSAUDITLINK__" localSheetId="6" hidden="1">{"fdsup://directions/FAT Viewer?action=UPDATE&amp;creator=factset&amp;DYN_ARGS=TRUE&amp;DOC_NAME=FAT:FQL_AUDITING_CLIENT_TEMPLATE.FAT&amp;display_string=Audit&amp;VAR:KEY=ZUVKVEPIRW&amp;VAR:QUERY=RkZfRUJJVERBX0lCKCdMVE1TJywzOTQ3Nyk=&amp;WINDOW=FIRST_POPUP&amp;HEIGHT=450&amp;WIDTH=450&amp;START_MA","XIMIZED=FALSE&amp;VAR:CALENDAR=US&amp;VAR:SYMBOL=G0129K10&amp;VAR:INDEX=0"}</definedName>
    <definedName name="_8064__FDSAUDITLINK__" hidden="1">{"fdsup://directions/FAT Viewer?action=UPDATE&amp;creator=factset&amp;DYN_ARGS=TRUE&amp;DOC_NAME=FAT:FQL_AUDITING_CLIENT_TEMPLATE.FAT&amp;display_string=Audit&amp;VAR:KEY=ZUVKVEPIRW&amp;VAR:QUERY=RkZfRUJJVERBX0lCKCdMVE1TJywzOTQ3Nyk=&amp;WINDOW=FIRST_POPUP&amp;HEIGHT=450&amp;WIDTH=450&amp;START_MA","XIMIZED=FALSE&amp;VAR:CALENDAR=US&amp;VAR:SYMBOL=G0129K10&amp;VAR:INDEX=0"}</definedName>
    <definedName name="_8065__FDSAUDITLINK__" localSheetId="6" hidden="1">{"fdsup://directions/FAT Viewer?action=UPDATE&amp;creator=factset&amp;DYN_ARGS=TRUE&amp;DOC_NAME=FAT:FQL_AUDITING_CLIENT_TEMPLATE.FAT&amp;display_string=Audit&amp;VAR:KEY=HCPKZMHIRU&amp;VAR:QUERY=RkZfRUJJVERBX0lCKCdMVE1TJywzOTQ3Nik=&amp;WINDOW=FIRST_POPUP&amp;HEIGHT=450&amp;WIDTH=450&amp;START_MA","XIMIZED=FALSE&amp;VAR:CALENDAR=US&amp;VAR:SYMBOL=G0129K10&amp;VAR:INDEX=0"}</definedName>
    <definedName name="_8065__FDSAUDITLINK__" hidden="1">{"fdsup://directions/FAT Viewer?action=UPDATE&amp;creator=factset&amp;DYN_ARGS=TRUE&amp;DOC_NAME=FAT:FQL_AUDITING_CLIENT_TEMPLATE.FAT&amp;display_string=Audit&amp;VAR:KEY=HCPKZMHIRU&amp;VAR:QUERY=RkZfRUJJVERBX0lCKCdMVE1TJywzOTQ3Nik=&amp;WINDOW=FIRST_POPUP&amp;HEIGHT=450&amp;WIDTH=450&amp;START_MA","XIMIZED=FALSE&amp;VAR:CALENDAR=US&amp;VAR:SYMBOL=G0129K10&amp;VAR:INDEX=0"}</definedName>
    <definedName name="_8066__FDSAUDITLINK__" localSheetId="6" hidden="1">{"fdsup://directions/FAT Viewer?action=UPDATE&amp;creator=factset&amp;DYN_ARGS=TRUE&amp;DOC_NAME=FAT:FQL_AUDITING_CLIENT_TEMPLATE.FAT&amp;display_string=Audit&amp;VAR:KEY=NEPSPWXODU&amp;VAR:QUERY=RkZfRUJJVERBX0lCKCdMVE1TJywzOTQ3NSk=&amp;WINDOW=FIRST_POPUP&amp;HEIGHT=450&amp;WIDTH=450&amp;START_MA","XIMIZED=FALSE&amp;VAR:CALENDAR=US&amp;VAR:SYMBOL=G0129K10&amp;VAR:INDEX=0"}</definedName>
    <definedName name="_8066__FDSAUDITLINK__" hidden="1">{"fdsup://directions/FAT Viewer?action=UPDATE&amp;creator=factset&amp;DYN_ARGS=TRUE&amp;DOC_NAME=FAT:FQL_AUDITING_CLIENT_TEMPLATE.FAT&amp;display_string=Audit&amp;VAR:KEY=NEPSPWXODU&amp;VAR:QUERY=RkZfRUJJVERBX0lCKCdMVE1TJywzOTQ3NSk=&amp;WINDOW=FIRST_POPUP&amp;HEIGHT=450&amp;WIDTH=450&amp;START_MA","XIMIZED=FALSE&amp;VAR:CALENDAR=US&amp;VAR:SYMBOL=G0129K10&amp;VAR:INDEX=0"}</definedName>
    <definedName name="_8067__FDSAUDITLINK__" localSheetId="6" hidden="1">{"fdsup://directions/FAT Viewer?action=UPDATE&amp;creator=factset&amp;DYN_ARGS=TRUE&amp;DOC_NAME=FAT:FQL_AUDITING_CLIENT_TEMPLATE.FAT&amp;display_string=Audit&amp;VAR:KEY=NGHGFWDUBY&amp;VAR:QUERY=RkZfRUJJVERBX0lCKCdMVE1TJywzOTQ3NCk=&amp;WINDOW=FIRST_POPUP&amp;HEIGHT=450&amp;WIDTH=450&amp;START_MA","XIMIZED=FALSE&amp;VAR:CALENDAR=US&amp;VAR:SYMBOL=G0129K10&amp;VAR:INDEX=0"}</definedName>
    <definedName name="_8067__FDSAUDITLINK__" hidden="1">{"fdsup://directions/FAT Viewer?action=UPDATE&amp;creator=factset&amp;DYN_ARGS=TRUE&amp;DOC_NAME=FAT:FQL_AUDITING_CLIENT_TEMPLATE.FAT&amp;display_string=Audit&amp;VAR:KEY=NGHGFWDUBY&amp;VAR:QUERY=RkZfRUJJVERBX0lCKCdMVE1TJywzOTQ3NCk=&amp;WINDOW=FIRST_POPUP&amp;HEIGHT=450&amp;WIDTH=450&amp;START_MA","XIMIZED=FALSE&amp;VAR:CALENDAR=US&amp;VAR:SYMBOL=G0129K10&amp;VAR:INDEX=0"}</definedName>
    <definedName name="_8068__FDSAUDITLINK__" localSheetId="6" hidden="1">{"fdsup://directions/FAT Viewer?action=UPDATE&amp;creator=factset&amp;DYN_ARGS=TRUE&amp;DOC_NAME=FAT:FQL_AUDITING_CLIENT_TEMPLATE.FAT&amp;display_string=Audit&amp;VAR:KEY=TEHIDCZSTY&amp;VAR:QUERY=RkZfRUJJVERBX0lCKCdMVE1TJywzOTQ3Myk=&amp;WINDOW=FIRST_POPUP&amp;HEIGHT=450&amp;WIDTH=450&amp;START_MA","XIMIZED=FALSE&amp;VAR:CALENDAR=US&amp;VAR:SYMBOL=G0129K10&amp;VAR:INDEX=0"}</definedName>
    <definedName name="_8068__FDSAUDITLINK__" hidden="1">{"fdsup://directions/FAT Viewer?action=UPDATE&amp;creator=factset&amp;DYN_ARGS=TRUE&amp;DOC_NAME=FAT:FQL_AUDITING_CLIENT_TEMPLATE.FAT&amp;display_string=Audit&amp;VAR:KEY=TEHIDCZSTY&amp;VAR:QUERY=RkZfRUJJVERBX0lCKCdMVE1TJywzOTQ3Myk=&amp;WINDOW=FIRST_POPUP&amp;HEIGHT=450&amp;WIDTH=450&amp;START_MA","XIMIZED=FALSE&amp;VAR:CALENDAR=US&amp;VAR:SYMBOL=G0129K10&amp;VAR:INDEX=0"}</definedName>
    <definedName name="_8069__FDSAUDITLINK__" localSheetId="6" hidden="1">{"fdsup://directions/FAT Viewer?action=UPDATE&amp;creator=factset&amp;DYN_ARGS=TRUE&amp;DOC_NAME=FAT:FQL_AUDITING_CLIENT_TEMPLATE.FAT&amp;display_string=Audit&amp;VAR:KEY=JKLCRWTQDK&amp;VAR:QUERY=RkZfRUJJVERBX0lCKCdMVE1TJywzOTQ3Mik=&amp;WINDOW=FIRST_POPUP&amp;HEIGHT=450&amp;WIDTH=450&amp;START_MA","XIMIZED=FALSE&amp;VAR:CALENDAR=US&amp;VAR:SYMBOL=G0129K10&amp;VAR:INDEX=0"}</definedName>
    <definedName name="_8069__FDSAUDITLINK__" hidden="1">{"fdsup://directions/FAT Viewer?action=UPDATE&amp;creator=factset&amp;DYN_ARGS=TRUE&amp;DOC_NAME=FAT:FQL_AUDITING_CLIENT_TEMPLATE.FAT&amp;display_string=Audit&amp;VAR:KEY=JKLCRWTQDK&amp;VAR:QUERY=RkZfRUJJVERBX0lCKCdMVE1TJywzOTQ3Mik=&amp;WINDOW=FIRST_POPUP&amp;HEIGHT=450&amp;WIDTH=450&amp;START_MA","XIMIZED=FALSE&amp;VAR:CALENDAR=US&amp;VAR:SYMBOL=G0129K10&amp;VAR:INDEX=0"}</definedName>
    <definedName name="_807__FDSAUDITLINK__" localSheetId="6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7__FDSAUDITLINK__" hidden="1">{"fdsup://directions/FAT%20Viewer?VAR:PED=LTM&amp;VAR:AUDIT_MODE=SUMMARY&amp;VAR:PERIOD=FIXED&amp;VAR:AUDIT_ID=00000117&amp;VAR:DATE=20071207&amp;action=UPDATE&amp;creator=factset&amp;DOC_NAME=FAT:FMA_audit_SUMMARY.fat&amp;DISPLAY_STRING=Display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70__FDSAUDITLINK__" localSheetId="6" hidden="1">{"fdsup://directions/FAT Viewer?action=UPDATE&amp;creator=factset&amp;DYN_ARGS=TRUE&amp;DOC_NAME=FAT:FQL_AUDITING_CLIENT_TEMPLATE.FAT&amp;display_string=Audit&amp;VAR:KEY=PAVMLEJCRM&amp;VAR:QUERY=RkZfRUJJVERBX0lCKCdMVE1TJywzOTQ3MSk=&amp;WINDOW=FIRST_POPUP&amp;HEIGHT=450&amp;WIDTH=450&amp;START_MA","XIMIZED=FALSE&amp;VAR:CALENDAR=US&amp;VAR:SYMBOL=G0129K10&amp;VAR:INDEX=0"}</definedName>
    <definedName name="_8070__FDSAUDITLINK__" hidden="1">{"fdsup://directions/FAT Viewer?action=UPDATE&amp;creator=factset&amp;DYN_ARGS=TRUE&amp;DOC_NAME=FAT:FQL_AUDITING_CLIENT_TEMPLATE.FAT&amp;display_string=Audit&amp;VAR:KEY=PAVMLEJCRM&amp;VAR:QUERY=RkZfRUJJVERBX0lCKCdMVE1TJywzOTQ3MSk=&amp;WINDOW=FIRST_POPUP&amp;HEIGHT=450&amp;WIDTH=450&amp;START_MA","XIMIZED=FALSE&amp;VAR:CALENDAR=US&amp;VAR:SYMBOL=G0129K10&amp;VAR:INDEX=0"}</definedName>
    <definedName name="_8071__FDSAUDITLINK__" localSheetId="6" hidden="1">{"fdsup://directions/FAT Viewer?action=UPDATE&amp;creator=factset&amp;DYN_ARGS=TRUE&amp;DOC_NAME=FAT:FQL_AUDITING_CLIENT_TEMPLATE.FAT&amp;display_string=Audit&amp;VAR:KEY=XWLMJKNYFE&amp;VAR:QUERY=RkZfRUJJVERBX0lCKCdMVE1TJywzOTQ3MCk=&amp;WINDOW=FIRST_POPUP&amp;HEIGHT=450&amp;WIDTH=450&amp;START_MA","XIMIZED=FALSE&amp;VAR:CALENDAR=US&amp;VAR:SYMBOL=G0129K10&amp;VAR:INDEX=0"}</definedName>
    <definedName name="_8071__FDSAUDITLINK__" hidden="1">{"fdsup://directions/FAT Viewer?action=UPDATE&amp;creator=factset&amp;DYN_ARGS=TRUE&amp;DOC_NAME=FAT:FQL_AUDITING_CLIENT_TEMPLATE.FAT&amp;display_string=Audit&amp;VAR:KEY=XWLMJKNYFE&amp;VAR:QUERY=RkZfRUJJVERBX0lCKCdMVE1TJywzOTQ3MCk=&amp;WINDOW=FIRST_POPUP&amp;HEIGHT=450&amp;WIDTH=450&amp;START_MA","XIMIZED=FALSE&amp;VAR:CALENDAR=US&amp;VAR:SYMBOL=G0129K10&amp;VAR:INDEX=0"}</definedName>
    <definedName name="_8072__FDSAUDITLINK__" localSheetId="6" hidden="1">{"fdsup://directions/FAT Viewer?action=UPDATE&amp;creator=factset&amp;DYN_ARGS=TRUE&amp;DOC_NAME=FAT:FQL_AUDITING_CLIENT_TEMPLATE.FAT&amp;display_string=Audit&amp;VAR:KEY=FOTYVKZQDK&amp;VAR:QUERY=RkZfRUJJVERBX0lCKCdMVE1TJywzOTQ2OSk=&amp;WINDOW=FIRST_POPUP&amp;HEIGHT=450&amp;WIDTH=450&amp;START_MA","XIMIZED=FALSE&amp;VAR:CALENDAR=US&amp;VAR:SYMBOL=G0129K10&amp;VAR:INDEX=0"}</definedName>
    <definedName name="_8072__FDSAUDITLINK__" hidden="1">{"fdsup://directions/FAT Viewer?action=UPDATE&amp;creator=factset&amp;DYN_ARGS=TRUE&amp;DOC_NAME=FAT:FQL_AUDITING_CLIENT_TEMPLATE.FAT&amp;display_string=Audit&amp;VAR:KEY=FOTYVKZQDK&amp;VAR:QUERY=RkZfRUJJVERBX0lCKCdMVE1TJywzOTQ2OSk=&amp;WINDOW=FIRST_POPUP&amp;HEIGHT=450&amp;WIDTH=450&amp;START_MA","XIMIZED=FALSE&amp;VAR:CALENDAR=US&amp;VAR:SYMBOL=G0129K10&amp;VAR:INDEX=0"}</definedName>
    <definedName name="_8073__FDSAUDITLINK__" localSheetId="6" hidden="1">{"fdsup://directions/FAT Viewer?action=UPDATE&amp;creator=factset&amp;DYN_ARGS=TRUE&amp;DOC_NAME=FAT:FQL_AUDITING_CLIENT_TEMPLATE.FAT&amp;display_string=Audit&amp;VAR:KEY=XCJWHOPUVI&amp;VAR:QUERY=RkZfRUJJVERBX0lCKCdMVE1TJywzOTQ2OCk=&amp;WINDOW=FIRST_POPUP&amp;HEIGHT=450&amp;WIDTH=450&amp;START_MA","XIMIZED=FALSE&amp;VAR:CALENDAR=US&amp;VAR:SYMBOL=G0129K10&amp;VAR:INDEX=0"}</definedName>
    <definedName name="_8073__FDSAUDITLINK__" hidden="1">{"fdsup://directions/FAT Viewer?action=UPDATE&amp;creator=factset&amp;DYN_ARGS=TRUE&amp;DOC_NAME=FAT:FQL_AUDITING_CLIENT_TEMPLATE.FAT&amp;display_string=Audit&amp;VAR:KEY=XCJWHOPUVI&amp;VAR:QUERY=RkZfRUJJVERBX0lCKCdMVE1TJywzOTQ2OCk=&amp;WINDOW=FIRST_POPUP&amp;HEIGHT=450&amp;WIDTH=450&amp;START_MA","XIMIZED=FALSE&amp;VAR:CALENDAR=US&amp;VAR:SYMBOL=G0129K10&amp;VAR:INDEX=0"}</definedName>
    <definedName name="_8074__FDSAUDITLINK__" localSheetId="6" hidden="1">{"fdsup://directions/FAT Viewer?action=UPDATE&amp;creator=factset&amp;DYN_ARGS=TRUE&amp;DOC_NAME=FAT:FQL_AUDITING_CLIENT_TEMPLATE.FAT&amp;display_string=Audit&amp;VAR:KEY=NSJILANKFC&amp;VAR:QUERY=RkZfRUJJVERBX0lCKCdMVE1TJywzOTQ2Nyk=&amp;WINDOW=FIRST_POPUP&amp;HEIGHT=450&amp;WIDTH=450&amp;START_MA","XIMIZED=FALSE&amp;VAR:CALENDAR=US&amp;VAR:SYMBOL=G0129K10&amp;VAR:INDEX=0"}</definedName>
    <definedName name="_8074__FDSAUDITLINK__" hidden="1">{"fdsup://directions/FAT Viewer?action=UPDATE&amp;creator=factset&amp;DYN_ARGS=TRUE&amp;DOC_NAME=FAT:FQL_AUDITING_CLIENT_TEMPLATE.FAT&amp;display_string=Audit&amp;VAR:KEY=NSJILANKFC&amp;VAR:QUERY=RkZfRUJJVERBX0lCKCdMVE1TJywzOTQ2Nyk=&amp;WINDOW=FIRST_POPUP&amp;HEIGHT=450&amp;WIDTH=450&amp;START_MA","XIMIZED=FALSE&amp;VAR:CALENDAR=US&amp;VAR:SYMBOL=G0129K10&amp;VAR:INDEX=0"}</definedName>
    <definedName name="_8075__FDSAUDITLINK__" localSheetId="6" hidden="1">{"fdsup://directions/FAT Viewer?action=UPDATE&amp;creator=factset&amp;DYN_ARGS=TRUE&amp;DOC_NAME=FAT:FQL_AUDITING_CLIENT_TEMPLATE.FAT&amp;display_string=Audit&amp;VAR:KEY=NOTQPYRGFY&amp;VAR:QUERY=RkZfRUJJVERBX0lCKCdMVE1TJywzOTQ2Nik=&amp;WINDOW=FIRST_POPUP&amp;HEIGHT=450&amp;WIDTH=450&amp;START_MA","XIMIZED=FALSE&amp;VAR:CALENDAR=US&amp;VAR:SYMBOL=G0129K10&amp;VAR:INDEX=0"}</definedName>
    <definedName name="_8075__FDSAUDITLINK__" hidden="1">{"fdsup://directions/FAT Viewer?action=UPDATE&amp;creator=factset&amp;DYN_ARGS=TRUE&amp;DOC_NAME=FAT:FQL_AUDITING_CLIENT_TEMPLATE.FAT&amp;display_string=Audit&amp;VAR:KEY=NOTQPYRGFY&amp;VAR:QUERY=RkZfRUJJVERBX0lCKCdMVE1TJywzOTQ2Nik=&amp;WINDOW=FIRST_POPUP&amp;HEIGHT=450&amp;WIDTH=450&amp;START_MA","XIMIZED=FALSE&amp;VAR:CALENDAR=US&amp;VAR:SYMBOL=G0129K10&amp;VAR:INDEX=0"}</definedName>
    <definedName name="_8076__FDSAUDITLINK__" localSheetId="6" hidden="1">{"fdsup://directions/FAT Viewer?action=UPDATE&amp;creator=factset&amp;DYN_ARGS=TRUE&amp;DOC_NAME=FAT:FQL_AUDITING_CLIENT_TEMPLATE.FAT&amp;display_string=Audit&amp;VAR:KEY=HAFWRMLWNK&amp;VAR:QUERY=RkZfRUJJVERBX0lCKCdMVE1TJywzOTQ2NSk=&amp;WINDOW=FIRST_POPUP&amp;HEIGHT=450&amp;WIDTH=450&amp;START_MA","XIMIZED=FALSE&amp;VAR:CALENDAR=US&amp;VAR:SYMBOL=G0129K10&amp;VAR:INDEX=0"}</definedName>
    <definedName name="_8076__FDSAUDITLINK__" hidden="1">{"fdsup://directions/FAT Viewer?action=UPDATE&amp;creator=factset&amp;DYN_ARGS=TRUE&amp;DOC_NAME=FAT:FQL_AUDITING_CLIENT_TEMPLATE.FAT&amp;display_string=Audit&amp;VAR:KEY=HAFWRMLWNK&amp;VAR:QUERY=RkZfRUJJVERBX0lCKCdMVE1TJywzOTQ2NSk=&amp;WINDOW=FIRST_POPUP&amp;HEIGHT=450&amp;WIDTH=450&amp;START_MA","XIMIZED=FALSE&amp;VAR:CALENDAR=US&amp;VAR:SYMBOL=G0129K10&amp;VAR:INDEX=0"}</definedName>
    <definedName name="_8077__FDSAUDITLINK__" localSheetId="6" hidden="1">{"fdsup://directions/FAT Viewer?action=UPDATE&amp;creator=factset&amp;DYN_ARGS=TRUE&amp;DOC_NAME=FAT:FQL_AUDITING_CLIENT_TEMPLATE.FAT&amp;display_string=Audit&amp;VAR:KEY=ZCXMPEVKZK&amp;VAR:QUERY=RkZfRUJJVERBX0lCKCdMVE1TJywzOTQ2NCk=&amp;WINDOW=FIRST_POPUP&amp;HEIGHT=450&amp;WIDTH=450&amp;START_MA","XIMIZED=FALSE&amp;VAR:CALENDAR=US&amp;VAR:SYMBOL=G0129K10&amp;VAR:INDEX=0"}</definedName>
    <definedName name="_8077__FDSAUDITLINK__" hidden="1">{"fdsup://directions/FAT Viewer?action=UPDATE&amp;creator=factset&amp;DYN_ARGS=TRUE&amp;DOC_NAME=FAT:FQL_AUDITING_CLIENT_TEMPLATE.FAT&amp;display_string=Audit&amp;VAR:KEY=ZCXMPEVKZK&amp;VAR:QUERY=RkZfRUJJVERBX0lCKCdMVE1TJywzOTQ2NCk=&amp;WINDOW=FIRST_POPUP&amp;HEIGHT=450&amp;WIDTH=450&amp;START_MA","XIMIZED=FALSE&amp;VAR:CALENDAR=US&amp;VAR:SYMBOL=G0129K10&amp;VAR:INDEX=0"}</definedName>
    <definedName name="_8078__FDSAUDITLINK__" localSheetId="6" hidden="1">{"fdsup://directions/FAT Viewer?action=UPDATE&amp;creator=factset&amp;DYN_ARGS=TRUE&amp;DOC_NAME=FAT:FQL_AUDITING_CLIENT_TEMPLATE.FAT&amp;display_string=Audit&amp;VAR:KEY=PGVOLAFSTK&amp;VAR:QUERY=RkZfRUJJVERBX0lCKCdMVE1TJywzOTQ2Myk=&amp;WINDOW=FIRST_POPUP&amp;HEIGHT=450&amp;WIDTH=450&amp;START_MA","XIMIZED=FALSE&amp;VAR:CALENDAR=US&amp;VAR:SYMBOL=G0129K10&amp;VAR:INDEX=0"}</definedName>
    <definedName name="_8078__FDSAUDITLINK__" hidden="1">{"fdsup://directions/FAT Viewer?action=UPDATE&amp;creator=factset&amp;DYN_ARGS=TRUE&amp;DOC_NAME=FAT:FQL_AUDITING_CLIENT_TEMPLATE.FAT&amp;display_string=Audit&amp;VAR:KEY=PGVOLAFSTK&amp;VAR:QUERY=RkZfRUJJVERBX0lCKCdMVE1TJywzOTQ2Myk=&amp;WINDOW=FIRST_POPUP&amp;HEIGHT=450&amp;WIDTH=450&amp;START_MA","XIMIZED=FALSE&amp;VAR:CALENDAR=US&amp;VAR:SYMBOL=G0129K10&amp;VAR:INDEX=0"}</definedName>
    <definedName name="_8079__FDSAUDITLINK__" localSheetId="6" hidden="1">{"fdsup://directions/FAT Viewer?action=UPDATE&amp;creator=factset&amp;DYN_ARGS=TRUE&amp;DOC_NAME=FAT:FQL_AUDITING_CLIENT_TEMPLATE.FAT&amp;display_string=Audit&amp;VAR:KEY=PAXMJCXCHI&amp;VAR:QUERY=RkZfRUJJVERBX0lCKCdMVE1TJywzOTQ2Mik=&amp;WINDOW=FIRST_POPUP&amp;HEIGHT=450&amp;WIDTH=450&amp;START_MA","XIMIZED=FALSE&amp;VAR:CALENDAR=US&amp;VAR:SYMBOL=G0129K10&amp;VAR:INDEX=0"}</definedName>
    <definedName name="_8079__FDSAUDITLINK__" hidden="1">{"fdsup://directions/FAT Viewer?action=UPDATE&amp;creator=factset&amp;DYN_ARGS=TRUE&amp;DOC_NAME=FAT:FQL_AUDITING_CLIENT_TEMPLATE.FAT&amp;display_string=Audit&amp;VAR:KEY=PAXMJCXCHI&amp;VAR:QUERY=RkZfRUJJVERBX0lCKCdMVE1TJywzOTQ2Mik=&amp;WINDOW=FIRST_POPUP&amp;HEIGHT=450&amp;WIDTH=450&amp;START_MA","XIMIZED=FALSE&amp;VAR:CALENDAR=US&amp;VAR:SYMBOL=G0129K10&amp;VAR:INDEX=0"}</definedName>
    <definedName name="_808__FDSAUDITLINK__" localSheetId="6" hidden="1">{"fdsup://directions/FAT%20Viewer?VAR:PED=LTM&amp;VAR:AUDIT_MODE=SUMMARY&amp;VAR:PERIOD=FIXED&amp;VAR:AUDIT_ID=00000117&amp;VAR:DATE=20071206&amp;action=UPDATE&amp;creator=factset&amp;DOC_NAME=FAT:FMA_audit_SUMMARY.fat&amp;DISPLAY_STRING=Display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8__FDSAUDITLINK__" hidden="1">{"fdsup://directions/FAT%20Viewer?VAR:PED=LTM&amp;VAR:AUDIT_MODE=SUMMARY&amp;VAR:PERIOD=FIXED&amp;VAR:AUDIT_ID=00000117&amp;VAR:DATE=20071206&amp;action=UPDATE&amp;creator=factset&amp;DOC_NAME=FAT:FMA_audit_SUMMARY.fat&amp;DISPLAY_STRING=Display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80__FDSAUDITLINK__" localSheetId="6" hidden="1">{"fdsup://directions/FAT Viewer?action=UPDATE&amp;creator=factset&amp;DYN_ARGS=TRUE&amp;DOC_NAME=FAT:FQL_AUDITING_CLIENT_TEMPLATE.FAT&amp;display_string=Audit&amp;VAR:KEY=PABGNSFYBU&amp;VAR:QUERY=RkZfRUJJVERBX0lCKCdMVE1TJywzOTQ2MSk=&amp;WINDOW=FIRST_POPUP&amp;HEIGHT=450&amp;WIDTH=450&amp;START_MA","XIMIZED=FALSE&amp;VAR:CALENDAR=US&amp;VAR:SYMBOL=G0129K10&amp;VAR:INDEX=0"}</definedName>
    <definedName name="_8080__FDSAUDITLINK__" hidden="1">{"fdsup://directions/FAT Viewer?action=UPDATE&amp;creator=factset&amp;DYN_ARGS=TRUE&amp;DOC_NAME=FAT:FQL_AUDITING_CLIENT_TEMPLATE.FAT&amp;display_string=Audit&amp;VAR:KEY=PABGNSFYBU&amp;VAR:QUERY=RkZfRUJJVERBX0lCKCdMVE1TJywzOTQ2MSk=&amp;WINDOW=FIRST_POPUP&amp;HEIGHT=450&amp;WIDTH=450&amp;START_MA","XIMIZED=FALSE&amp;VAR:CALENDAR=US&amp;VAR:SYMBOL=G0129K10&amp;VAR:INDEX=0"}</definedName>
    <definedName name="_8081__FDSAUDITLINK__" localSheetId="6" hidden="1">{"fdsup://directions/FAT Viewer?action=UPDATE&amp;creator=factset&amp;DYN_ARGS=TRUE&amp;DOC_NAME=FAT:FQL_AUDITING_CLIENT_TEMPLATE.FAT&amp;display_string=Audit&amp;VAR:KEY=PINSTGNYTW&amp;VAR:QUERY=RkZfRUJJVERBX0lCKCdMVE1TJywzOTQ2MCk=&amp;WINDOW=FIRST_POPUP&amp;HEIGHT=450&amp;WIDTH=450&amp;START_MA","XIMIZED=FALSE&amp;VAR:CALENDAR=US&amp;VAR:SYMBOL=G0129K10&amp;VAR:INDEX=0"}</definedName>
    <definedName name="_8081__FDSAUDITLINK__" hidden="1">{"fdsup://directions/FAT Viewer?action=UPDATE&amp;creator=factset&amp;DYN_ARGS=TRUE&amp;DOC_NAME=FAT:FQL_AUDITING_CLIENT_TEMPLATE.FAT&amp;display_string=Audit&amp;VAR:KEY=PINSTGNYTW&amp;VAR:QUERY=RkZfRUJJVERBX0lCKCdMVE1TJywzOTQ2MCk=&amp;WINDOW=FIRST_POPUP&amp;HEIGHT=450&amp;WIDTH=450&amp;START_MA","XIMIZED=FALSE&amp;VAR:CALENDAR=US&amp;VAR:SYMBOL=G0129K10&amp;VAR:INDEX=0"}</definedName>
    <definedName name="_8082__FDSAUDITLINK__" localSheetId="6" hidden="1">{"fdsup://directions/FAT Viewer?action=UPDATE&amp;creator=factset&amp;DYN_ARGS=TRUE&amp;DOC_NAME=FAT:FQL_AUDITING_CLIENT_TEMPLATE.FAT&amp;display_string=Audit&amp;VAR:KEY=FCJQJSRIJM&amp;VAR:QUERY=RkZfRUJJVERBX0lCKCdMVE1TJywzOTQ1OSk=&amp;WINDOW=FIRST_POPUP&amp;HEIGHT=450&amp;WIDTH=450&amp;START_MA","XIMIZED=FALSE&amp;VAR:CALENDAR=US&amp;VAR:SYMBOL=G0129K10&amp;VAR:INDEX=0"}</definedName>
    <definedName name="_8082__FDSAUDITLINK__" hidden="1">{"fdsup://directions/FAT Viewer?action=UPDATE&amp;creator=factset&amp;DYN_ARGS=TRUE&amp;DOC_NAME=FAT:FQL_AUDITING_CLIENT_TEMPLATE.FAT&amp;display_string=Audit&amp;VAR:KEY=FCJQJSRIJM&amp;VAR:QUERY=RkZfRUJJVERBX0lCKCdMVE1TJywzOTQ1OSk=&amp;WINDOW=FIRST_POPUP&amp;HEIGHT=450&amp;WIDTH=450&amp;START_MA","XIMIZED=FALSE&amp;VAR:CALENDAR=US&amp;VAR:SYMBOL=G0129K10&amp;VAR:INDEX=0"}</definedName>
    <definedName name="_8083__FDSAUDITLINK__" localSheetId="6" hidden="1">{"fdsup://directions/FAT Viewer?action=UPDATE&amp;creator=factset&amp;DYN_ARGS=TRUE&amp;DOC_NAME=FAT:FQL_AUDITING_CLIENT_TEMPLATE.FAT&amp;display_string=Audit&amp;VAR:KEY=TSXILIZMPY&amp;VAR:QUERY=RkZfRUJJVERBX0lCKCdMVE1TJywzOTQ1OCk=&amp;WINDOW=FIRST_POPUP&amp;HEIGHT=450&amp;WIDTH=450&amp;START_MA","XIMIZED=FALSE&amp;VAR:CALENDAR=US&amp;VAR:SYMBOL=G0129K10&amp;VAR:INDEX=0"}</definedName>
    <definedName name="_8083__FDSAUDITLINK__" hidden="1">{"fdsup://directions/FAT Viewer?action=UPDATE&amp;creator=factset&amp;DYN_ARGS=TRUE&amp;DOC_NAME=FAT:FQL_AUDITING_CLIENT_TEMPLATE.FAT&amp;display_string=Audit&amp;VAR:KEY=TSXILIZMPY&amp;VAR:QUERY=RkZfRUJJVERBX0lCKCdMVE1TJywzOTQ1OCk=&amp;WINDOW=FIRST_POPUP&amp;HEIGHT=450&amp;WIDTH=450&amp;START_MA","XIMIZED=FALSE&amp;VAR:CALENDAR=US&amp;VAR:SYMBOL=G0129K10&amp;VAR:INDEX=0"}</definedName>
    <definedName name="_8084__FDSAUDITLINK__" localSheetId="6" hidden="1">{"fdsup://directions/FAT Viewer?action=UPDATE&amp;creator=factset&amp;DYN_ARGS=TRUE&amp;DOC_NAME=FAT:FQL_AUDITING_CLIENT_TEMPLATE.FAT&amp;display_string=Audit&amp;VAR:KEY=HAPGBILSLG&amp;VAR:QUERY=RkZfRUJJVERBX0lCKCdMVE1TJywzOTQ1Nyk=&amp;WINDOW=FIRST_POPUP&amp;HEIGHT=450&amp;WIDTH=450&amp;START_MA","XIMIZED=FALSE&amp;VAR:CALENDAR=US&amp;VAR:SYMBOL=G0129K10&amp;VAR:INDEX=0"}</definedName>
    <definedName name="_8084__FDSAUDITLINK__" hidden="1">{"fdsup://directions/FAT Viewer?action=UPDATE&amp;creator=factset&amp;DYN_ARGS=TRUE&amp;DOC_NAME=FAT:FQL_AUDITING_CLIENT_TEMPLATE.FAT&amp;display_string=Audit&amp;VAR:KEY=HAPGBILSLG&amp;VAR:QUERY=RkZfRUJJVERBX0lCKCdMVE1TJywzOTQ1Nyk=&amp;WINDOW=FIRST_POPUP&amp;HEIGHT=450&amp;WIDTH=450&amp;START_MA","XIMIZED=FALSE&amp;VAR:CALENDAR=US&amp;VAR:SYMBOL=G0129K10&amp;VAR:INDEX=0"}</definedName>
    <definedName name="_8085__FDSAUDITLINK__" localSheetId="6" hidden="1">{"fdsup://directions/FAT Viewer?action=UPDATE&amp;creator=factset&amp;DYN_ARGS=TRUE&amp;DOC_NAME=FAT:FQL_AUDITING_CLIENT_TEMPLATE.FAT&amp;display_string=Audit&amp;VAR:KEY=FGBSTUNMPI&amp;VAR:QUERY=RkZfRUJJVERBX0lCKCdMVE1TJywzOTQ1Nik=&amp;WINDOW=FIRST_POPUP&amp;HEIGHT=450&amp;WIDTH=450&amp;START_MA","XIMIZED=FALSE&amp;VAR:CALENDAR=US&amp;VAR:SYMBOL=G0129K10&amp;VAR:INDEX=0"}</definedName>
    <definedName name="_8085__FDSAUDITLINK__" hidden="1">{"fdsup://directions/FAT Viewer?action=UPDATE&amp;creator=factset&amp;DYN_ARGS=TRUE&amp;DOC_NAME=FAT:FQL_AUDITING_CLIENT_TEMPLATE.FAT&amp;display_string=Audit&amp;VAR:KEY=FGBSTUNMPI&amp;VAR:QUERY=RkZfRUJJVERBX0lCKCdMVE1TJywzOTQ1Nik=&amp;WINDOW=FIRST_POPUP&amp;HEIGHT=450&amp;WIDTH=450&amp;START_MA","XIMIZED=FALSE&amp;VAR:CALENDAR=US&amp;VAR:SYMBOL=G0129K10&amp;VAR:INDEX=0"}</definedName>
    <definedName name="_8086__FDSAUDITLINK__" localSheetId="6" hidden="1">{"fdsup://directions/FAT Viewer?action=UPDATE&amp;creator=factset&amp;DYN_ARGS=TRUE&amp;DOC_NAME=FAT:FQL_AUDITING_CLIENT_TEMPLATE.FAT&amp;display_string=Audit&amp;VAR:KEY=PQNSPYDKPA&amp;VAR:QUERY=RkZfRUJJVERBX0lCKCdMVE1TJywzOTQ1NSk=&amp;WINDOW=FIRST_POPUP&amp;HEIGHT=450&amp;WIDTH=450&amp;START_MA","XIMIZED=FALSE&amp;VAR:CALENDAR=US&amp;VAR:SYMBOL=G0129K10&amp;VAR:INDEX=0"}</definedName>
    <definedName name="_8086__FDSAUDITLINK__" hidden="1">{"fdsup://directions/FAT Viewer?action=UPDATE&amp;creator=factset&amp;DYN_ARGS=TRUE&amp;DOC_NAME=FAT:FQL_AUDITING_CLIENT_TEMPLATE.FAT&amp;display_string=Audit&amp;VAR:KEY=PQNSPYDKPA&amp;VAR:QUERY=RkZfRUJJVERBX0lCKCdMVE1TJywzOTQ1NSk=&amp;WINDOW=FIRST_POPUP&amp;HEIGHT=450&amp;WIDTH=450&amp;START_MA","XIMIZED=FALSE&amp;VAR:CALENDAR=US&amp;VAR:SYMBOL=G0129K10&amp;VAR:INDEX=0"}</definedName>
    <definedName name="_8087__FDSAUDITLINK__" localSheetId="6" hidden="1">{"fdsup://directions/FAT Viewer?action=UPDATE&amp;creator=factset&amp;DYN_ARGS=TRUE&amp;DOC_NAME=FAT:FQL_AUDITING_CLIENT_TEMPLATE.FAT&amp;display_string=Audit&amp;VAR:KEY=RAZARAFWFQ&amp;VAR:QUERY=RkZfRUJJVERBX0lCKCdMVE1TJywzOTQ1NCk=&amp;WINDOW=FIRST_POPUP&amp;HEIGHT=450&amp;WIDTH=450&amp;START_MA","XIMIZED=FALSE&amp;VAR:CALENDAR=US&amp;VAR:SYMBOL=G0129K10&amp;VAR:INDEX=0"}</definedName>
    <definedName name="_8087__FDSAUDITLINK__" hidden="1">{"fdsup://directions/FAT Viewer?action=UPDATE&amp;creator=factset&amp;DYN_ARGS=TRUE&amp;DOC_NAME=FAT:FQL_AUDITING_CLIENT_TEMPLATE.FAT&amp;display_string=Audit&amp;VAR:KEY=RAZARAFWFQ&amp;VAR:QUERY=RkZfRUJJVERBX0lCKCdMVE1TJywzOTQ1NCk=&amp;WINDOW=FIRST_POPUP&amp;HEIGHT=450&amp;WIDTH=450&amp;START_MA","XIMIZED=FALSE&amp;VAR:CALENDAR=US&amp;VAR:SYMBOL=G0129K10&amp;VAR:INDEX=0"}</definedName>
    <definedName name="_8088__FDSAUDITLINK__" localSheetId="6" hidden="1">{"fdsup://directions/FAT Viewer?action=UPDATE&amp;creator=factset&amp;DYN_ARGS=TRUE&amp;DOC_NAME=FAT:FQL_AUDITING_CLIENT_TEMPLATE.FAT&amp;display_string=Audit&amp;VAR:KEY=VGVSNCNOPS&amp;VAR:QUERY=RkZfRUJJVERBX0lCKCdMVE1TJywzOTQ1Myk=&amp;WINDOW=FIRST_POPUP&amp;HEIGHT=450&amp;WIDTH=450&amp;START_MA","XIMIZED=FALSE&amp;VAR:CALENDAR=US&amp;VAR:SYMBOL=G0129K10&amp;VAR:INDEX=0"}</definedName>
    <definedName name="_8088__FDSAUDITLINK__" hidden="1">{"fdsup://directions/FAT Viewer?action=UPDATE&amp;creator=factset&amp;DYN_ARGS=TRUE&amp;DOC_NAME=FAT:FQL_AUDITING_CLIENT_TEMPLATE.FAT&amp;display_string=Audit&amp;VAR:KEY=VGVSNCNOPS&amp;VAR:QUERY=RkZfRUJJVERBX0lCKCdMVE1TJywzOTQ1Myk=&amp;WINDOW=FIRST_POPUP&amp;HEIGHT=450&amp;WIDTH=450&amp;START_MA","XIMIZED=FALSE&amp;VAR:CALENDAR=US&amp;VAR:SYMBOL=G0129K10&amp;VAR:INDEX=0"}</definedName>
    <definedName name="_8089__FDSAUDITLINK__" localSheetId="6" hidden="1">{"fdsup://directions/FAT Viewer?action=UPDATE&amp;creator=factset&amp;DYN_ARGS=TRUE&amp;DOC_NAME=FAT:FQL_AUDITING_CLIENT_TEMPLATE.FAT&amp;display_string=Audit&amp;VAR:KEY=VSTUVYPKZO&amp;VAR:QUERY=RkZfRUJJVERBX0lCKCdMVE1TJywzOTQ1Mik=&amp;WINDOW=FIRST_POPUP&amp;HEIGHT=450&amp;WIDTH=450&amp;START_MA","XIMIZED=FALSE&amp;VAR:CALENDAR=US&amp;VAR:SYMBOL=G0129K10&amp;VAR:INDEX=0"}</definedName>
    <definedName name="_8089__FDSAUDITLINK__" hidden="1">{"fdsup://directions/FAT Viewer?action=UPDATE&amp;creator=factset&amp;DYN_ARGS=TRUE&amp;DOC_NAME=FAT:FQL_AUDITING_CLIENT_TEMPLATE.FAT&amp;display_string=Audit&amp;VAR:KEY=VSTUVYPKZO&amp;VAR:QUERY=RkZfRUJJVERBX0lCKCdMVE1TJywzOTQ1Mik=&amp;WINDOW=FIRST_POPUP&amp;HEIGHT=450&amp;WIDTH=450&amp;START_MA","XIMIZED=FALSE&amp;VAR:CALENDAR=US&amp;VAR:SYMBOL=G0129K10&amp;VAR:INDEX=0"}</definedName>
    <definedName name="_809__FDSAUDITLINK__" localSheetId="6" hidden="1">{"fdsup://directions/FAT%20Viewer?VAR:PED=LTM&amp;VAR:AUDIT_MODE=SUMMARY&amp;VAR:PERIOD=FIXED&amp;VAR:AUDIT_ID=00000117&amp;VAR:DATE=20071205&amp;action=UPDATE&amp;creator=factset&amp;DOC_NAME=FAT:FMA_audit_SUMMARY.fat&amp;DISPLAY_STRING=Display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9__FDSAUDITLINK__" hidden="1">{"fdsup://directions/FAT%20Viewer?VAR:PED=LTM&amp;VAR:AUDIT_MODE=SUMMARY&amp;VAR:PERIOD=FIXED&amp;VAR:AUDIT_ID=00000117&amp;VAR:DATE=20071205&amp;action=UPDATE&amp;creator=factset&amp;DOC_NAME=FAT:FMA_audit_SUMMARY.fat&amp;DISPLAY_STRING=Display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090__FDSAUDITLINK__" localSheetId="6" hidden="1">{"fdsup://directions/FAT Viewer?action=UPDATE&amp;creator=factset&amp;DYN_ARGS=TRUE&amp;DOC_NAME=FAT:FQL_AUDITING_CLIENT_TEMPLATE.FAT&amp;display_string=Audit&amp;VAR:KEY=DKXMTUJUHE&amp;VAR:QUERY=RkZfRUJJVERBX0lCKCdMVE1TJywzOTQ1MSk=&amp;WINDOW=FIRST_POPUP&amp;HEIGHT=450&amp;WIDTH=450&amp;START_MA","XIMIZED=FALSE&amp;VAR:CALENDAR=US&amp;VAR:SYMBOL=G0129K10&amp;VAR:INDEX=0"}</definedName>
    <definedName name="_8090__FDSAUDITLINK__" hidden="1">{"fdsup://directions/FAT Viewer?action=UPDATE&amp;creator=factset&amp;DYN_ARGS=TRUE&amp;DOC_NAME=FAT:FQL_AUDITING_CLIENT_TEMPLATE.FAT&amp;display_string=Audit&amp;VAR:KEY=DKXMTUJUHE&amp;VAR:QUERY=RkZfRUJJVERBX0lCKCdMVE1TJywzOTQ1MSk=&amp;WINDOW=FIRST_POPUP&amp;HEIGHT=450&amp;WIDTH=450&amp;START_MA","XIMIZED=FALSE&amp;VAR:CALENDAR=US&amp;VAR:SYMBOL=G0129K10&amp;VAR:INDEX=0"}</definedName>
    <definedName name="_8091__FDSAUDITLINK__" localSheetId="6" hidden="1">{"fdsup://directions/FAT Viewer?action=UPDATE&amp;creator=factset&amp;DYN_ARGS=TRUE&amp;DOC_NAME=FAT:FQL_AUDITING_CLIENT_TEMPLATE.FAT&amp;display_string=Audit&amp;VAR:KEY=LYPCRGJONG&amp;VAR:QUERY=RkZfRUJJVERBX0lCKCdMVE1TJywzOTQ1MCk=&amp;WINDOW=FIRST_POPUP&amp;HEIGHT=450&amp;WIDTH=450&amp;START_MA","XIMIZED=FALSE&amp;VAR:CALENDAR=US&amp;VAR:SYMBOL=G0129K10&amp;VAR:INDEX=0"}</definedName>
    <definedName name="_8091__FDSAUDITLINK__" hidden="1">{"fdsup://directions/FAT Viewer?action=UPDATE&amp;creator=factset&amp;DYN_ARGS=TRUE&amp;DOC_NAME=FAT:FQL_AUDITING_CLIENT_TEMPLATE.FAT&amp;display_string=Audit&amp;VAR:KEY=LYPCRGJONG&amp;VAR:QUERY=RkZfRUJJVERBX0lCKCdMVE1TJywzOTQ1MCk=&amp;WINDOW=FIRST_POPUP&amp;HEIGHT=450&amp;WIDTH=450&amp;START_MA","XIMIZED=FALSE&amp;VAR:CALENDAR=US&amp;VAR:SYMBOL=G0129K10&amp;VAR:INDEX=0"}</definedName>
    <definedName name="_8092__FDSAUDITLINK__" localSheetId="6" hidden="1">{"fdsup://directions/FAT Viewer?action=UPDATE&amp;creator=factset&amp;DYN_ARGS=TRUE&amp;DOC_NAME=FAT:FQL_AUDITING_CLIENT_TEMPLATE.FAT&amp;display_string=Audit&amp;VAR:KEY=REXUBYNGHW&amp;VAR:QUERY=RkZfRUJJVERBX0lCKCdMVE1TJywzOTQ0OSk=&amp;WINDOW=FIRST_POPUP&amp;HEIGHT=450&amp;WIDTH=450&amp;START_MA","XIMIZED=FALSE&amp;VAR:CALENDAR=US&amp;VAR:SYMBOL=G0129K10&amp;VAR:INDEX=0"}</definedName>
    <definedName name="_8092__FDSAUDITLINK__" hidden="1">{"fdsup://directions/FAT Viewer?action=UPDATE&amp;creator=factset&amp;DYN_ARGS=TRUE&amp;DOC_NAME=FAT:FQL_AUDITING_CLIENT_TEMPLATE.FAT&amp;display_string=Audit&amp;VAR:KEY=REXUBYNGHW&amp;VAR:QUERY=RkZfRUJJVERBX0lCKCdMVE1TJywzOTQ0OSk=&amp;WINDOW=FIRST_POPUP&amp;HEIGHT=450&amp;WIDTH=450&amp;START_MA","XIMIZED=FALSE&amp;VAR:CALENDAR=US&amp;VAR:SYMBOL=G0129K10&amp;VAR:INDEX=0"}</definedName>
    <definedName name="_8093__FDSAUDITLINK__" localSheetId="6" hidden="1">{"fdsup://directions/FAT Viewer?action=UPDATE&amp;creator=factset&amp;DYN_ARGS=TRUE&amp;DOC_NAME=FAT:FQL_AUDITING_CLIENT_TEMPLATE.FAT&amp;display_string=Audit&amp;VAR:KEY=RWHCPCTGXS&amp;VAR:QUERY=RkZfRUJJVERBX0lCKCdMVE1TJywzOTQ0OCk=&amp;WINDOW=FIRST_POPUP&amp;HEIGHT=450&amp;WIDTH=450&amp;START_MA","XIMIZED=FALSE&amp;VAR:CALENDAR=US&amp;VAR:SYMBOL=G0129K10&amp;VAR:INDEX=0"}</definedName>
    <definedName name="_8093__FDSAUDITLINK__" hidden="1">{"fdsup://directions/FAT Viewer?action=UPDATE&amp;creator=factset&amp;DYN_ARGS=TRUE&amp;DOC_NAME=FAT:FQL_AUDITING_CLIENT_TEMPLATE.FAT&amp;display_string=Audit&amp;VAR:KEY=RWHCPCTGXS&amp;VAR:QUERY=RkZfRUJJVERBX0lCKCdMVE1TJywzOTQ0OCk=&amp;WINDOW=FIRST_POPUP&amp;HEIGHT=450&amp;WIDTH=450&amp;START_MA","XIMIZED=FALSE&amp;VAR:CALENDAR=US&amp;VAR:SYMBOL=G0129K10&amp;VAR:INDEX=0"}</definedName>
    <definedName name="_8094__FDSAUDITLINK__" localSheetId="6" hidden="1">{"fdsup://directions/FAT Viewer?action=UPDATE&amp;creator=factset&amp;DYN_ARGS=TRUE&amp;DOC_NAME=FAT:FQL_AUDITING_CLIENT_TEMPLATE.FAT&amp;display_string=Audit&amp;VAR:KEY=JYJAJQFCJM&amp;VAR:QUERY=RkZfRUJJVERBX0lCKCdMVE1TJywzOTQ0Nyk=&amp;WINDOW=FIRST_POPUP&amp;HEIGHT=450&amp;WIDTH=450&amp;START_MA","XIMIZED=FALSE&amp;VAR:CALENDAR=US&amp;VAR:SYMBOL=G0129K10&amp;VAR:INDEX=0"}</definedName>
    <definedName name="_8094__FDSAUDITLINK__" hidden="1">{"fdsup://directions/FAT Viewer?action=UPDATE&amp;creator=factset&amp;DYN_ARGS=TRUE&amp;DOC_NAME=FAT:FQL_AUDITING_CLIENT_TEMPLATE.FAT&amp;display_string=Audit&amp;VAR:KEY=JYJAJQFCJM&amp;VAR:QUERY=RkZfRUJJVERBX0lCKCdMVE1TJywzOTQ0Nyk=&amp;WINDOW=FIRST_POPUP&amp;HEIGHT=450&amp;WIDTH=450&amp;START_MA","XIMIZED=FALSE&amp;VAR:CALENDAR=US&amp;VAR:SYMBOL=G0129K10&amp;VAR:INDEX=0"}</definedName>
    <definedName name="_8095__FDSAUDITLINK__" localSheetId="6" hidden="1">{"fdsup://directions/FAT Viewer?action=UPDATE&amp;creator=factset&amp;DYN_ARGS=TRUE&amp;DOC_NAME=FAT:FQL_AUDITING_CLIENT_TEMPLATE.FAT&amp;display_string=Audit&amp;VAR:KEY=RGDUBYTGHO&amp;VAR:QUERY=RkZfRUJJVERBX0lCKCdMVE1TJywzOTQ0Nik=&amp;WINDOW=FIRST_POPUP&amp;HEIGHT=450&amp;WIDTH=450&amp;START_MA","XIMIZED=FALSE&amp;VAR:CALENDAR=US&amp;VAR:SYMBOL=G0129K10&amp;VAR:INDEX=0"}</definedName>
    <definedName name="_8095__FDSAUDITLINK__" hidden="1">{"fdsup://directions/FAT Viewer?action=UPDATE&amp;creator=factset&amp;DYN_ARGS=TRUE&amp;DOC_NAME=FAT:FQL_AUDITING_CLIENT_TEMPLATE.FAT&amp;display_string=Audit&amp;VAR:KEY=RGDUBYTGHO&amp;VAR:QUERY=RkZfRUJJVERBX0lCKCdMVE1TJywzOTQ0Nik=&amp;WINDOW=FIRST_POPUP&amp;HEIGHT=450&amp;WIDTH=450&amp;START_MA","XIMIZED=FALSE&amp;VAR:CALENDAR=US&amp;VAR:SYMBOL=G0129K10&amp;VAR:INDEX=0"}</definedName>
    <definedName name="_8096__FDSAUDITLINK__" localSheetId="6" hidden="1">{"fdsup://directions/FAT Viewer?action=UPDATE&amp;creator=factset&amp;DYN_ARGS=TRUE&amp;DOC_NAME=FAT:FQL_AUDITING_CLIENT_TEMPLATE.FAT&amp;display_string=Audit&amp;VAR:KEY=BIXQDCBQFK&amp;VAR:QUERY=RkZfRUJJVERBX0lCKCdMVE1TJywzOTQ0NSk=&amp;WINDOW=FIRST_POPUP&amp;HEIGHT=450&amp;WIDTH=450&amp;START_MA","XIMIZED=FALSE&amp;VAR:CALENDAR=US&amp;VAR:SYMBOL=G0129K10&amp;VAR:INDEX=0"}</definedName>
    <definedName name="_8096__FDSAUDITLINK__" hidden="1">{"fdsup://directions/FAT Viewer?action=UPDATE&amp;creator=factset&amp;DYN_ARGS=TRUE&amp;DOC_NAME=FAT:FQL_AUDITING_CLIENT_TEMPLATE.FAT&amp;display_string=Audit&amp;VAR:KEY=BIXQDCBQFK&amp;VAR:QUERY=RkZfRUJJVERBX0lCKCdMVE1TJywzOTQ0NSk=&amp;WINDOW=FIRST_POPUP&amp;HEIGHT=450&amp;WIDTH=450&amp;START_MA","XIMIZED=FALSE&amp;VAR:CALENDAR=US&amp;VAR:SYMBOL=G0129K10&amp;VAR:INDEX=0"}</definedName>
    <definedName name="_8097__FDSAUDITLINK__" localSheetId="6" hidden="1">{"fdsup://directions/FAT Viewer?action=UPDATE&amp;creator=factset&amp;DYN_ARGS=TRUE&amp;DOC_NAME=FAT:FQL_AUDITING_CLIENT_TEMPLATE.FAT&amp;display_string=Audit&amp;VAR:KEY=XGRQDIFGXO&amp;VAR:QUERY=RkZfRUJJVERBX0lCKCdMVE1TJywzOTQ0NCk=&amp;WINDOW=FIRST_POPUP&amp;HEIGHT=450&amp;WIDTH=450&amp;START_MA","XIMIZED=FALSE&amp;VAR:CALENDAR=US&amp;VAR:SYMBOL=G0129K10&amp;VAR:INDEX=0"}</definedName>
    <definedName name="_8097__FDSAUDITLINK__" hidden="1">{"fdsup://directions/FAT Viewer?action=UPDATE&amp;creator=factset&amp;DYN_ARGS=TRUE&amp;DOC_NAME=FAT:FQL_AUDITING_CLIENT_TEMPLATE.FAT&amp;display_string=Audit&amp;VAR:KEY=XGRQDIFGXO&amp;VAR:QUERY=RkZfRUJJVERBX0lCKCdMVE1TJywzOTQ0NCk=&amp;WINDOW=FIRST_POPUP&amp;HEIGHT=450&amp;WIDTH=450&amp;START_MA","XIMIZED=FALSE&amp;VAR:CALENDAR=US&amp;VAR:SYMBOL=G0129K10&amp;VAR:INDEX=0"}</definedName>
    <definedName name="_8098__FDSAUDITLINK__" localSheetId="6" hidden="1">{"fdsup://directions/FAT Viewer?action=UPDATE&amp;creator=factset&amp;DYN_ARGS=TRUE&amp;DOC_NAME=FAT:FQL_AUDITING_CLIENT_TEMPLATE.FAT&amp;display_string=Audit&amp;VAR:KEY=VSHOFCTGVS&amp;VAR:QUERY=RkZfRUJJVERBX0lCKCdMVE1TJywzOTQ0Myk=&amp;WINDOW=FIRST_POPUP&amp;HEIGHT=450&amp;WIDTH=450&amp;START_MA","XIMIZED=FALSE&amp;VAR:CALENDAR=US&amp;VAR:SYMBOL=G0129K10&amp;VAR:INDEX=0"}</definedName>
    <definedName name="_8098__FDSAUDITLINK__" hidden="1">{"fdsup://directions/FAT Viewer?action=UPDATE&amp;creator=factset&amp;DYN_ARGS=TRUE&amp;DOC_NAME=FAT:FQL_AUDITING_CLIENT_TEMPLATE.FAT&amp;display_string=Audit&amp;VAR:KEY=VSHOFCTGVS&amp;VAR:QUERY=RkZfRUJJVERBX0lCKCdMVE1TJywzOTQ0Myk=&amp;WINDOW=FIRST_POPUP&amp;HEIGHT=450&amp;WIDTH=450&amp;START_MA","XIMIZED=FALSE&amp;VAR:CALENDAR=US&amp;VAR:SYMBOL=G0129K10&amp;VAR:INDEX=0"}</definedName>
    <definedName name="_8099__FDSAUDITLINK__" localSheetId="6" hidden="1">{"fdsup://directions/FAT Viewer?action=UPDATE&amp;creator=factset&amp;DYN_ARGS=TRUE&amp;DOC_NAME=FAT:FQL_AUDITING_CLIENT_TEMPLATE.FAT&amp;display_string=Audit&amp;VAR:KEY=PCDSRCVENS&amp;VAR:QUERY=RkZfRUJJVERBX0lCKCdMVE1TJywzOTQ0Mik=&amp;WINDOW=FIRST_POPUP&amp;HEIGHT=450&amp;WIDTH=450&amp;START_MA","XIMIZED=FALSE&amp;VAR:CALENDAR=US&amp;VAR:SYMBOL=G0129K10&amp;VAR:INDEX=0"}</definedName>
    <definedName name="_8099__FDSAUDITLINK__" hidden="1">{"fdsup://directions/FAT Viewer?action=UPDATE&amp;creator=factset&amp;DYN_ARGS=TRUE&amp;DOC_NAME=FAT:FQL_AUDITING_CLIENT_TEMPLATE.FAT&amp;display_string=Audit&amp;VAR:KEY=PCDSRCVENS&amp;VAR:QUERY=RkZfRUJJVERBX0lCKCdMVE1TJywzOTQ0Mik=&amp;WINDOW=FIRST_POPUP&amp;HEIGHT=450&amp;WIDTH=450&amp;START_MA","XIMIZED=FALSE&amp;VAR:CALENDAR=US&amp;VAR:SYMBOL=G0129K10&amp;VAR:INDEX=0"}</definedName>
    <definedName name="_81__FDSAUDITLINK__" localSheetId="6" hidden="1">{"fdsup://directions/FAT Viewer?action=UPDATE&amp;creator=factset&amp;DYN_ARGS=TRUE&amp;DOC_NAME=FAT:FQL_AUDITING_CLIENT_TEMPLATE.FAT&amp;display_string=Audit&amp;VAR:KEY=RGRQDQTWBQ&amp;VAR:QUERY=QVZHKENTRl9ORVRfSU5DKEFOTiwwRlksLTZGWSxZKSkgLyAoQVZHKENTRl9BU1NFVFMoQU5OLDBGWSwtNkZZL","EZZKSkgLSBBVkcoQ1NGX0lOVEFORyhBTk4sMCwtNkZZLEZZKSkp&amp;WINDOW=FIRST_POPUP&amp;HEIGHT=450&amp;WIDTH=450&amp;START_MAXIMIZED=FALSE&amp;VAR:CALENDAR=US&amp;VAR:SYMBOL=WLFC"}</definedName>
    <definedName name="_81__FDSAUDITLINK__" hidden="1">{"fdsup://directions/FAT Viewer?action=UPDATE&amp;creator=factset&amp;DYN_ARGS=TRUE&amp;DOC_NAME=FAT:FQL_AUDITING_CLIENT_TEMPLATE.FAT&amp;display_string=Audit&amp;VAR:KEY=RGRQDQTWBQ&amp;VAR:QUERY=QVZHKENTRl9ORVRfSU5DKEFOTiwwRlksLTZGWSxZKSkgLyAoQVZHKENTRl9BU1NFVFMoQU5OLDBGWSwtNkZZL","EZZKSkgLSBBVkcoQ1NGX0lOVEFORyhBTk4sMCwtNkZZLEZZKSkp&amp;WINDOW=FIRST_POPUP&amp;HEIGHT=450&amp;WIDTH=450&amp;START_MAXIMIZED=FALSE&amp;VAR:CALENDAR=US&amp;VAR:SYMBOL=WLFC"}</definedName>
    <definedName name="_810__FDSAUDITLINK__" localSheetId="6" hidden="1">{"fdsup://directions/FAT%20Viewer?VAR:PED=LTM&amp;VAR:AUDIT_MODE=SUMMARY&amp;VAR:PERIOD=FIXED&amp;VAR:AUDIT_ID=00000117&amp;VAR:DATE=20071204&amp;action=UPDATE&amp;creator=factset&amp;DOC_NAME=FAT:FMA_audit_SUMMARY.fat&amp;DISPLAY_STRING=Display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0__FDSAUDITLINK__" hidden="1">{"fdsup://directions/FAT%20Viewer?VAR:PED=LTM&amp;VAR:AUDIT_MODE=SUMMARY&amp;VAR:PERIOD=FIXED&amp;VAR:AUDIT_ID=00000117&amp;VAR:DATE=20071204&amp;action=UPDATE&amp;creator=factset&amp;DOC_NAME=FAT:FMA_audit_SUMMARY.fat&amp;DISPLAY_STRING=Display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00__FDSAUDITLINK__" localSheetId="6" hidden="1">{"fdsup://directions/FAT Viewer?action=UPDATE&amp;creator=factset&amp;DYN_ARGS=TRUE&amp;DOC_NAME=FAT:FQL_AUDITING_CLIENT_TEMPLATE.FAT&amp;display_string=Audit&amp;VAR:KEY=VYHKBUTIRK&amp;VAR:QUERY=RkZfRUJJVERBX0lCKCdMVE1TJywzOTQ0MSk=&amp;WINDOW=FIRST_POPUP&amp;HEIGHT=450&amp;WIDTH=450&amp;START_MA","XIMIZED=FALSE&amp;VAR:CALENDAR=US&amp;VAR:SYMBOL=G0129K10&amp;VAR:INDEX=0"}</definedName>
    <definedName name="_8100__FDSAUDITLINK__" hidden="1">{"fdsup://directions/FAT Viewer?action=UPDATE&amp;creator=factset&amp;DYN_ARGS=TRUE&amp;DOC_NAME=FAT:FQL_AUDITING_CLIENT_TEMPLATE.FAT&amp;display_string=Audit&amp;VAR:KEY=VYHKBUTIRK&amp;VAR:QUERY=RkZfRUJJVERBX0lCKCdMVE1TJywzOTQ0MSk=&amp;WINDOW=FIRST_POPUP&amp;HEIGHT=450&amp;WIDTH=450&amp;START_MA","XIMIZED=FALSE&amp;VAR:CALENDAR=US&amp;VAR:SYMBOL=G0129K10&amp;VAR:INDEX=0"}</definedName>
    <definedName name="_8101__FDSAUDITLINK__" localSheetId="6" hidden="1">{"fdsup://directions/FAT Viewer?action=UPDATE&amp;creator=factset&amp;DYN_ARGS=TRUE&amp;DOC_NAME=FAT:FQL_AUDITING_CLIENT_TEMPLATE.FAT&amp;display_string=Audit&amp;VAR:KEY=PADAFMJCLG&amp;VAR:QUERY=RkZfRUJJVERBX0lCKCdMVE1TJywzOTQ0MCk=&amp;WINDOW=FIRST_POPUP&amp;HEIGHT=450&amp;WIDTH=450&amp;START_MA","XIMIZED=FALSE&amp;VAR:CALENDAR=US&amp;VAR:SYMBOL=G0129K10&amp;VAR:INDEX=0"}</definedName>
    <definedName name="_8101__FDSAUDITLINK__" hidden="1">{"fdsup://directions/FAT Viewer?action=UPDATE&amp;creator=factset&amp;DYN_ARGS=TRUE&amp;DOC_NAME=FAT:FQL_AUDITING_CLIENT_TEMPLATE.FAT&amp;display_string=Audit&amp;VAR:KEY=PADAFMJCLG&amp;VAR:QUERY=RkZfRUJJVERBX0lCKCdMVE1TJywzOTQ0MCk=&amp;WINDOW=FIRST_POPUP&amp;HEIGHT=450&amp;WIDTH=450&amp;START_MA","XIMIZED=FALSE&amp;VAR:CALENDAR=US&amp;VAR:SYMBOL=G0129K10&amp;VAR:INDEX=0"}</definedName>
    <definedName name="_8102__FDSAUDITLINK__" localSheetId="6" hidden="1">{"fdsup://directions/FAT Viewer?action=UPDATE&amp;creator=factset&amp;DYN_ARGS=TRUE&amp;DOC_NAME=FAT:FQL_AUDITING_CLIENT_TEMPLATE.FAT&amp;display_string=Audit&amp;VAR:KEY=VCFAHGJYJM&amp;VAR:QUERY=RkZfRUJJVERBX0lCKCdMVE1TJywzOTQzOSk=&amp;WINDOW=FIRST_POPUP&amp;HEIGHT=450&amp;WIDTH=450&amp;START_MA","XIMIZED=FALSE&amp;VAR:CALENDAR=US&amp;VAR:SYMBOL=G0129K10&amp;VAR:INDEX=0"}</definedName>
    <definedName name="_8102__FDSAUDITLINK__" hidden="1">{"fdsup://directions/FAT Viewer?action=UPDATE&amp;creator=factset&amp;DYN_ARGS=TRUE&amp;DOC_NAME=FAT:FQL_AUDITING_CLIENT_TEMPLATE.FAT&amp;display_string=Audit&amp;VAR:KEY=VCFAHGJYJM&amp;VAR:QUERY=RkZfRUJJVERBX0lCKCdMVE1TJywzOTQzOSk=&amp;WINDOW=FIRST_POPUP&amp;HEIGHT=450&amp;WIDTH=450&amp;START_MA","XIMIZED=FALSE&amp;VAR:CALENDAR=US&amp;VAR:SYMBOL=G0129K10&amp;VAR:INDEX=0"}</definedName>
    <definedName name="_8103__FDSAUDITLINK__" localSheetId="6" hidden="1">{"fdsup://directions/FAT Viewer?action=UPDATE&amp;creator=factset&amp;DYN_ARGS=TRUE&amp;DOC_NAME=FAT:FQL_AUDITING_CLIENT_TEMPLATE.FAT&amp;display_string=Audit&amp;VAR:KEY=HSHYDAVKPY&amp;VAR:QUERY=RkZfRUJJVERBX0lCKCdMVE1TJywzOTQzOCk=&amp;WINDOW=FIRST_POPUP&amp;HEIGHT=450&amp;WIDTH=450&amp;START_MA","XIMIZED=FALSE&amp;VAR:CALENDAR=US&amp;VAR:SYMBOL=G0129K10&amp;VAR:INDEX=0"}</definedName>
    <definedName name="_8103__FDSAUDITLINK__" hidden="1">{"fdsup://directions/FAT Viewer?action=UPDATE&amp;creator=factset&amp;DYN_ARGS=TRUE&amp;DOC_NAME=FAT:FQL_AUDITING_CLIENT_TEMPLATE.FAT&amp;display_string=Audit&amp;VAR:KEY=HSHYDAVKPY&amp;VAR:QUERY=RkZfRUJJVERBX0lCKCdMVE1TJywzOTQzOCk=&amp;WINDOW=FIRST_POPUP&amp;HEIGHT=450&amp;WIDTH=450&amp;START_MA","XIMIZED=FALSE&amp;VAR:CALENDAR=US&amp;VAR:SYMBOL=G0129K10&amp;VAR:INDEX=0"}</definedName>
    <definedName name="_8104__FDSAUDITLINK__" localSheetId="6" hidden="1">{"fdsup://directions/FAT Viewer?action=UPDATE&amp;creator=factset&amp;DYN_ARGS=TRUE&amp;DOC_NAME=FAT:FQL_AUDITING_CLIENT_TEMPLATE.FAT&amp;display_string=Audit&amp;VAR:KEY=DEFSTQHGNG&amp;VAR:QUERY=RkZfRUJJVERBX0lCKCdMVE1TJywzOTQzNyk=&amp;WINDOW=FIRST_POPUP&amp;HEIGHT=450&amp;WIDTH=450&amp;START_MA","XIMIZED=FALSE&amp;VAR:CALENDAR=US&amp;VAR:SYMBOL=G0129K10&amp;VAR:INDEX=0"}</definedName>
    <definedName name="_8104__FDSAUDITLINK__" hidden="1">{"fdsup://directions/FAT Viewer?action=UPDATE&amp;creator=factset&amp;DYN_ARGS=TRUE&amp;DOC_NAME=FAT:FQL_AUDITING_CLIENT_TEMPLATE.FAT&amp;display_string=Audit&amp;VAR:KEY=DEFSTQHGNG&amp;VAR:QUERY=RkZfRUJJVERBX0lCKCdMVE1TJywzOTQzNyk=&amp;WINDOW=FIRST_POPUP&amp;HEIGHT=450&amp;WIDTH=450&amp;START_MA","XIMIZED=FALSE&amp;VAR:CALENDAR=US&amp;VAR:SYMBOL=G0129K10&amp;VAR:INDEX=0"}</definedName>
    <definedName name="_8105__FDSAUDITLINK__" localSheetId="6" hidden="1">{"fdsup://directions/FAT Viewer?action=UPDATE&amp;creator=factset&amp;DYN_ARGS=TRUE&amp;DOC_NAME=FAT:FQL_AUDITING_CLIENT_TEMPLATE.FAT&amp;display_string=Audit&amp;VAR:KEY=XYJITETGVS&amp;VAR:QUERY=RkZfRUJJVERBX0lCKCdMVE1TJywzOTQzNik=&amp;WINDOW=FIRST_POPUP&amp;HEIGHT=450&amp;WIDTH=450&amp;START_MA","XIMIZED=FALSE&amp;VAR:CALENDAR=US&amp;VAR:SYMBOL=G0129K10&amp;VAR:INDEX=0"}</definedName>
    <definedName name="_8105__FDSAUDITLINK__" hidden="1">{"fdsup://directions/FAT Viewer?action=UPDATE&amp;creator=factset&amp;DYN_ARGS=TRUE&amp;DOC_NAME=FAT:FQL_AUDITING_CLIENT_TEMPLATE.FAT&amp;display_string=Audit&amp;VAR:KEY=XYJITETGVS&amp;VAR:QUERY=RkZfRUJJVERBX0lCKCdMVE1TJywzOTQzNik=&amp;WINDOW=FIRST_POPUP&amp;HEIGHT=450&amp;WIDTH=450&amp;START_MA","XIMIZED=FALSE&amp;VAR:CALENDAR=US&amp;VAR:SYMBOL=G0129K10&amp;VAR:INDEX=0"}</definedName>
    <definedName name="_8106__FDSAUDITLINK__" localSheetId="6" hidden="1">{"fdsup://directions/FAT Viewer?action=UPDATE&amp;creator=factset&amp;DYN_ARGS=TRUE&amp;DOC_NAME=FAT:FQL_AUDITING_CLIENT_TEMPLATE.FAT&amp;display_string=Audit&amp;VAR:KEY=HWZQPCBKTY&amp;VAR:QUERY=RkZfRUJJVERBX0lCKCdMVE1TJywzOTQzNSk=&amp;WINDOW=FIRST_POPUP&amp;HEIGHT=450&amp;WIDTH=450&amp;START_MA","XIMIZED=FALSE&amp;VAR:CALENDAR=US&amp;VAR:SYMBOL=G0129K10&amp;VAR:INDEX=0"}</definedName>
    <definedName name="_8106__FDSAUDITLINK__" hidden="1">{"fdsup://directions/FAT Viewer?action=UPDATE&amp;creator=factset&amp;DYN_ARGS=TRUE&amp;DOC_NAME=FAT:FQL_AUDITING_CLIENT_TEMPLATE.FAT&amp;display_string=Audit&amp;VAR:KEY=HWZQPCBKTY&amp;VAR:QUERY=RkZfRUJJVERBX0lCKCdMVE1TJywzOTQzNSk=&amp;WINDOW=FIRST_POPUP&amp;HEIGHT=450&amp;WIDTH=450&amp;START_MA","XIMIZED=FALSE&amp;VAR:CALENDAR=US&amp;VAR:SYMBOL=G0129K10&amp;VAR:INDEX=0"}</definedName>
    <definedName name="_8107__FDSAUDITLINK__" localSheetId="6" hidden="1">{"fdsup://directions/FAT Viewer?action=UPDATE&amp;creator=factset&amp;DYN_ARGS=TRUE&amp;DOC_NAME=FAT:FQL_AUDITING_CLIENT_TEMPLATE.FAT&amp;display_string=Audit&amp;VAR:KEY=DUHEJYHQVU&amp;VAR:QUERY=RkZfRUJJVERBX0lCKCdMVE1TJywzOTQzNCk=&amp;WINDOW=FIRST_POPUP&amp;HEIGHT=450&amp;WIDTH=450&amp;START_MA","XIMIZED=FALSE&amp;VAR:CALENDAR=US&amp;VAR:SYMBOL=G0129K10&amp;VAR:INDEX=0"}</definedName>
    <definedName name="_8107__FDSAUDITLINK__" hidden="1">{"fdsup://directions/FAT Viewer?action=UPDATE&amp;creator=factset&amp;DYN_ARGS=TRUE&amp;DOC_NAME=FAT:FQL_AUDITING_CLIENT_TEMPLATE.FAT&amp;display_string=Audit&amp;VAR:KEY=DUHEJYHQVU&amp;VAR:QUERY=RkZfRUJJVERBX0lCKCdMVE1TJywzOTQzNCk=&amp;WINDOW=FIRST_POPUP&amp;HEIGHT=450&amp;WIDTH=450&amp;START_MA","XIMIZED=FALSE&amp;VAR:CALENDAR=US&amp;VAR:SYMBOL=G0129K10&amp;VAR:INDEX=0"}</definedName>
    <definedName name="_8108__FDSAUDITLINK__" localSheetId="6" hidden="1">{"fdsup://directions/FAT Viewer?action=UPDATE&amp;creator=factset&amp;DYN_ARGS=TRUE&amp;DOC_NAME=FAT:FQL_AUDITING_CLIENT_TEMPLATE.FAT&amp;display_string=Audit&amp;VAR:KEY=ZAPWXWFUZS&amp;VAR:QUERY=RkZfRUJJVERBX0lCKCdMVE1TJywzOTQzMyk=&amp;WINDOW=FIRST_POPUP&amp;HEIGHT=450&amp;WIDTH=450&amp;START_MA","XIMIZED=FALSE&amp;VAR:CALENDAR=US&amp;VAR:SYMBOL=G0129K10&amp;VAR:INDEX=0"}</definedName>
    <definedName name="_8108__FDSAUDITLINK__" hidden="1">{"fdsup://directions/FAT Viewer?action=UPDATE&amp;creator=factset&amp;DYN_ARGS=TRUE&amp;DOC_NAME=FAT:FQL_AUDITING_CLIENT_TEMPLATE.FAT&amp;display_string=Audit&amp;VAR:KEY=ZAPWXWFUZS&amp;VAR:QUERY=RkZfRUJJVERBX0lCKCdMVE1TJywzOTQzMyk=&amp;WINDOW=FIRST_POPUP&amp;HEIGHT=450&amp;WIDTH=450&amp;START_MA","XIMIZED=FALSE&amp;VAR:CALENDAR=US&amp;VAR:SYMBOL=G0129K10&amp;VAR:INDEX=0"}</definedName>
    <definedName name="_8109__FDSAUDITLINK__" localSheetId="6" hidden="1">{"fdsup://directions/FAT Viewer?action=UPDATE&amp;creator=factset&amp;DYN_ARGS=TRUE&amp;DOC_NAME=FAT:FQL_AUDITING_CLIENT_TEMPLATE.FAT&amp;display_string=Audit&amp;VAR:KEY=HMPCZONGHC&amp;VAR:QUERY=RkZfRUJJVERBX0lCKCdMVE1TJywzOTQzMik=&amp;WINDOW=FIRST_POPUP&amp;HEIGHT=450&amp;WIDTH=450&amp;START_MA","XIMIZED=FALSE&amp;VAR:CALENDAR=US&amp;VAR:SYMBOL=G0129K10&amp;VAR:INDEX=0"}</definedName>
    <definedName name="_8109__FDSAUDITLINK__" hidden="1">{"fdsup://directions/FAT Viewer?action=UPDATE&amp;creator=factset&amp;DYN_ARGS=TRUE&amp;DOC_NAME=FAT:FQL_AUDITING_CLIENT_TEMPLATE.FAT&amp;display_string=Audit&amp;VAR:KEY=HMPCZONGHC&amp;VAR:QUERY=RkZfRUJJVERBX0lCKCdMVE1TJywzOTQzMik=&amp;WINDOW=FIRST_POPUP&amp;HEIGHT=450&amp;WIDTH=450&amp;START_MA","XIMIZED=FALSE&amp;VAR:CALENDAR=US&amp;VAR:SYMBOL=G0129K10&amp;VAR:INDEX=0"}</definedName>
    <definedName name="_811__FDSAUDITLINK__" localSheetId="6" hidden="1">{"fdsup://directions/FAT%20Viewer?VAR:PED=LTM&amp;VAR:AUDIT_MODE=SUMMARY&amp;VAR:PERIOD=FIXED&amp;VAR:AUDIT_ID=00000117&amp;VAR:DATE=20071203&amp;action=UPDATE&amp;creator=factset&amp;DOC_NAME=FAT:FMA_audit_SUMMARY.fat&amp;DISPLAY_STRING=Display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1__FDSAUDITLINK__" hidden="1">{"fdsup://directions/FAT%20Viewer?VAR:PED=LTM&amp;VAR:AUDIT_MODE=SUMMARY&amp;VAR:PERIOD=FIXED&amp;VAR:AUDIT_ID=00000117&amp;VAR:DATE=20071203&amp;action=UPDATE&amp;creator=factset&amp;DOC_NAME=FAT:FMA_audit_SUMMARY.fat&amp;DISPLAY_STRING=Display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10__FDSAUDITLINK__" localSheetId="6" hidden="1">{"fdsup://directions/FAT Viewer?action=UPDATE&amp;creator=factset&amp;DYN_ARGS=TRUE&amp;DOC_NAME=FAT:FQL_AUDITING_CLIENT_TEMPLATE.FAT&amp;display_string=Audit&amp;VAR:KEY=XOFKRAHGFS&amp;VAR:QUERY=RkZfRUJJVERBX0lCKCdMVE1TJywzOTQzMSk=&amp;WINDOW=FIRST_POPUP&amp;HEIGHT=450&amp;WIDTH=450&amp;START_MA","XIMIZED=FALSE&amp;VAR:CALENDAR=US&amp;VAR:SYMBOL=G0129K10&amp;VAR:INDEX=0"}</definedName>
    <definedName name="_8110__FDSAUDITLINK__" hidden="1">{"fdsup://directions/FAT Viewer?action=UPDATE&amp;creator=factset&amp;DYN_ARGS=TRUE&amp;DOC_NAME=FAT:FQL_AUDITING_CLIENT_TEMPLATE.FAT&amp;display_string=Audit&amp;VAR:KEY=XOFKRAHGFS&amp;VAR:QUERY=RkZfRUJJVERBX0lCKCdMVE1TJywzOTQzMSk=&amp;WINDOW=FIRST_POPUP&amp;HEIGHT=450&amp;WIDTH=450&amp;START_MA","XIMIZED=FALSE&amp;VAR:CALENDAR=US&amp;VAR:SYMBOL=G0129K10&amp;VAR:INDEX=0"}</definedName>
    <definedName name="_8111__FDSAUDITLINK__" localSheetId="6" hidden="1">{"fdsup://directions/FAT Viewer?action=UPDATE&amp;creator=factset&amp;DYN_ARGS=TRUE&amp;DOC_NAME=FAT:FQL_AUDITING_CLIENT_TEMPLATE.FAT&amp;display_string=Audit&amp;VAR:KEY=ZAHIVYPKXI&amp;VAR:QUERY=RkZfRUJJVERBX0lCKCdMVE1TJywzOTQzMCk=&amp;WINDOW=FIRST_POPUP&amp;HEIGHT=450&amp;WIDTH=450&amp;START_MA","XIMIZED=FALSE&amp;VAR:CALENDAR=US&amp;VAR:SYMBOL=G0129K10&amp;VAR:INDEX=0"}</definedName>
    <definedName name="_8111__FDSAUDITLINK__" hidden="1">{"fdsup://directions/FAT Viewer?action=UPDATE&amp;creator=factset&amp;DYN_ARGS=TRUE&amp;DOC_NAME=FAT:FQL_AUDITING_CLIENT_TEMPLATE.FAT&amp;display_string=Audit&amp;VAR:KEY=ZAHIVYPKXI&amp;VAR:QUERY=RkZfRUJJVERBX0lCKCdMVE1TJywzOTQzMCk=&amp;WINDOW=FIRST_POPUP&amp;HEIGHT=450&amp;WIDTH=450&amp;START_MA","XIMIZED=FALSE&amp;VAR:CALENDAR=US&amp;VAR:SYMBOL=G0129K10&amp;VAR:INDEX=0"}</definedName>
    <definedName name="_8112__FDSAUDITLINK__" localSheetId="6" hidden="1">{"fdsup://directions/FAT Viewer?action=UPDATE&amp;creator=factset&amp;DYN_ARGS=TRUE&amp;DOC_NAME=FAT:FQL_AUDITING_CLIENT_TEMPLATE.FAT&amp;display_string=Audit&amp;VAR:KEY=ZMNIXUHGDW&amp;VAR:QUERY=RkZfRUJJVERBX0lCKCdMVE1TJywzOTQyOSk=&amp;WINDOW=FIRST_POPUP&amp;HEIGHT=450&amp;WIDTH=450&amp;START_MA","XIMIZED=FALSE&amp;VAR:CALENDAR=US&amp;VAR:SYMBOL=G0129K10&amp;VAR:INDEX=0"}</definedName>
    <definedName name="_8112__FDSAUDITLINK__" hidden="1">{"fdsup://directions/FAT Viewer?action=UPDATE&amp;creator=factset&amp;DYN_ARGS=TRUE&amp;DOC_NAME=FAT:FQL_AUDITING_CLIENT_TEMPLATE.FAT&amp;display_string=Audit&amp;VAR:KEY=ZMNIXUHGDW&amp;VAR:QUERY=RkZfRUJJVERBX0lCKCdMVE1TJywzOTQyOSk=&amp;WINDOW=FIRST_POPUP&amp;HEIGHT=450&amp;WIDTH=450&amp;START_MA","XIMIZED=FALSE&amp;VAR:CALENDAR=US&amp;VAR:SYMBOL=G0129K10&amp;VAR:INDEX=0"}</definedName>
    <definedName name="_8113__FDSAUDITLINK__" localSheetId="6" hidden="1">{"fdsup://directions/FAT Viewer?action=UPDATE&amp;creator=factset&amp;DYN_ARGS=TRUE&amp;DOC_NAME=FAT:FQL_AUDITING_CLIENT_TEMPLATE.FAT&amp;display_string=Audit&amp;VAR:KEY=JKJMREBURS&amp;VAR:QUERY=RkZfRUJJVERBX0lCKCdMVE1TJywzOTQyOCk=&amp;WINDOW=FIRST_POPUP&amp;HEIGHT=450&amp;WIDTH=450&amp;START_MA","XIMIZED=FALSE&amp;VAR:CALENDAR=US&amp;VAR:SYMBOL=G0129K10&amp;VAR:INDEX=0"}</definedName>
    <definedName name="_8113__FDSAUDITLINK__" hidden="1">{"fdsup://directions/FAT Viewer?action=UPDATE&amp;creator=factset&amp;DYN_ARGS=TRUE&amp;DOC_NAME=FAT:FQL_AUDITING_CLIENT_TEMPLATE.FAT&amp;display_string=Audit&amp;VAR:KEY=JKJMREBURS&amp;VAR:QUERY=RkZfRUJJVERBX0lCKCdMVE1TJywzOTQyOCk=&amp;WINDOW=FIRST_POPUP&amp;HEIGHT=450&amp;WIDTH=450&amp;START_MA","XIMIZED=FALSE&amp;VAR:CALENDAR=US&amp;VAR:SYMBOL=G0129K10&amp;VAR:INDEX=0"}</definedName>
    <definedName name="_8114__FDSAUDITLINK__" localSheetId="6" hidden="1">{"fdsup://directions/FAT Viewer?action=UPDATE&amp;creator=factset&amp;DYN_ARGS=TRUE&amp;DOC_NAME=FAT:FQL_AUDITING_CLIENT_TEMPLATE.FAT&amp;display_string=Audit&amp;VAR:KEY=RKFALCNYTW&amp;VAR:QUERY=RkZfRUJJVERBX0lCKCdMVE1TJywzOTQyNyk=&amp;WINDOW=FIRST_POPUP&amp;HEIGHT=450&amp;WIDTH=450&amp;START_MA","XIMIZED=FALSE&amp;VAR:CALENDAR=US&amp;VAR:SYMBOL=G0129K10&amp;VAR:INDEX=0"}</definedName>
    <definedName name="_8114__FDSAUDITLINK__" hidden="1">{"fdsup://directions/FAT Viewer?action=UPDATE&amp;creator=factset&amp;DYN_ARGS=TRUE&amp;DOC_NAME=FAT:FQL_AUDITING_CLIENT_TEMPLATE.FAT&amp;display_string=Audit&amp;VAR:KEY=RKFALCNYTW&amp;VAR:QUERY=RkZfRUJJVERBX0lCKCdMVE1TJywzOTQyNyk=&amp;WINDOW=FIRST_POPUP&amp;HEIGHT=450&amp;WIDTH=450&amp;START_MA","XIMIZED=FALSE&amp;VAR:CALENDAR=US&amp;VAR:SYMBOL=G0129K10&amp;VAR:INDEX=0"}</definedName>
    <definedName name="_8115__FDSAUDITLINK__" localSheetId="6" hidden="1">{"fdsup://directions/FAT Viewer?action=UPDATE&amp;creator=factset&amp;DYN_ARGS=TRUE&amp;DOC_NAME=FAT:FQL_AUDITING_CLIENT_TEMPLATE.FAT&amp;display_string=Audit&amp;VAR:KEY=JEXELSBOVK&amp;VAR:QUERY=RkZfRUJJVERBX0lCKCdMVE1TJywzOTQyNik=&amp;WINDOW=FIRST_POPUP&amp;HEIGHT=450&amp;WIDTH=450&amp;START_MA","XIMIZED=FALSE&amp;VAR:CALENDAR=US&amp;VAR:SYMBOL=G0129K10&amp;VAR:INDEX=0"}</definedName>
    <definedName name="_8115__FDSAUDITLINK__" hidden="1">{"fdsup://directions/FAT Viewer?action=UPDATE&amp;creator=factset&amp;DYN_ARGS=TRUE&amp;DOC_NAME=FAT:FQL_AUDITING_CLIENT_TEMPLATE.FAT&amp;display_string=Audit&amp;VAR:KEY=JEXELSBOVK&amp;VAR:QUERY=RkZfRUJJVERBX0lCKCdMVE1TJywzOTQyNik=&amp;WINDOW=FIRST_POPUP&amp;HEIGHT=450&amp;WIDTH=450&amp;START_MA","XIMIZED=FALSE&amp;VAR:CALENDAR=US&amp;VAR:SYMBOL=G0129K10&amp;VAR:INDEX=0"}</definedName>
    <definedName name="_8116__FDSAUDITLINK__" localSheetId="6" hidden="1">{"fdsup://directions/FAT Viewer?action=UPDATE&amp;creator=factset&amp;DYN_ARGS=TRUE&amp;DOC_NAME=FAT:FQL_AUDITING_CLIENT_TEMPLATE.FAT&amp;display_string=Audit&amp;VAR:KEY=RIVCTYHAFM&amp;VAR:QUERY=RkZfRUJJVERBX0lCKCdMVE1TJywzOTQyNSk=&amp;WINDOW=FIRST_POPUP&amp;HEIGHT=450&amp;WIDTH=450&amp;START_MA","XIMIZED=FALSE&amp;VAR:CALENDAR=US&amp;VAR:SYMBOL=G0129K10&amp;VAR:INDEX=0"}</definedName>
    <definedName name="_8116__FDSAUDITLINK__" hidden="1">{"fdsup://directions/FAT Viewer?action=UPDATE&amp;creator=factset&amp;DYN_ARGS=TRUE&amp;DOC_NAME=FAT:FQL_AUDITING_CLIENT_TEMPLATE.FAT&amp;display_string=Audit&amp;VAR:KEY=RIVCTYHAFM&amp;VAR:QUERY=RkZfRUJJVERBX0lCKCdMVE1TJywzOTQyNSk=&amp;WINDOW=FIRST_POPUP&amp;HEIGHT=450&amp;WIDTH=450&amp;START_MA","XIMIZED=FALSE&amp;VAR:CALENDAR=US&amp;VAR:SYMBOL=G0129K10&amp;VAR:INDEX=0"}</definedName>
    <definedName name="_8117__FDSAUDITLINK__" localSheetId="6" hidden="1">{"fdsup://directions/FAT Viewer?action=UPDATE&amp;creator=factset&amp;DYN_ARGS=TRUE&amp;DOC_NAME=FAT:FQL_AUDITING_CLIENT_TEMPLATE.FAT&amp;display_string=Audit&amp;VAR:KEY=PULSXQVCXK&amp;VAR:QUERY=RkZfRUJJVERBX0lCKCdMVE1TJywzOTQyNCk=&amp;WINDOW=FIRST_POPUP&amp;HEIGHT=450&amp;WIDTH=450&amp;START_MA","XIMIZED=FALSE&amp;VAR:CALENDAR=US&amp;VAR:SYMBOL=G0129K10&amp;VAR:INDEX=0"}</definedName>
    <definedName name="_8117__FDSAUDITLINK__" hidden="1">{"fdsup://directions/FAT Viewer?action=UPDATE&amp;creator=factset&amp;DYN_ARGS=TRUE&amp;DOC_NAME=FAT:FQL_AUDITING_CLIENT_TEMPLATE.FAT&amp;display_string=Audit&amp;VAR:KEY=PULSXQVCXK&amp;VAR:QUERY=RkZfRUJJVERBX0lCKCdMVE1TJywzOTQyNCk=&amp;WINDOW=FIRST_POPUP&amp;HEIGHT=450&amp;WIDTH=450&amp;START_MA","XIMIZED=FALSE&amp;VAR:CALENDAR=US&amp;VAR:SYMBOL=G0129K10&amp;VAR:INDEX=0"}</definedName>
    <definedName name="_8118__FDSAUDITLINK__" localSheetId="6" hidden="1">{"fdsup://directions/FAT Viewer?action=UPDATE&amp;creator=factset&amp;DYN_ARGS=TRUE&amp;DOC_NAME=FAT:FQL_AUDITING_CLIENT_TEMPLATE.FAT&amp;display_string=Audit&amp;VAR:KEY=HYHIPKFYLI&amp;VAR:QUERY=RkZfRUJJVERBX0lCKCdMVE1TJywzOTQyMyk=&amp;WINDOW=FIRST_POPUP&amp;HEIGHT=450&amp;WIDTH=450&amp;START_MA","XIMIZED=FALSE&amp;VAR:CALENDAR=US&amp;VAR:SYMBOL=G0129K10&amp;VAR:INDEX=0"}</definedName>
    <definedName name="_8118__FDSAUDITLINK__" hidden="1">{"fdsup://directions/FAT Viewer?action=UPDATE&amp;creator=factset&amp;DYN_ARGS=TRUE&amp;DOC_NAME=FAT:FQL_AUDITING_CLIENT_TEMPLATE.FAT&amp;display_string=Audit&amp;VAR:KEY=HYHIPKFYLI&amp;VAR:QUERY=RkZfRUJJVERBX0lCKCdMVE1TJywzOTQyMyk=&amp;WINDOW=FIRST_POPUP&amp;HEIGHT=450&amp;WIDTH=450&amp;START_MA","XIMIZED=FALSE&amp;VAR:CALENDAR=US&amp;VAR:SYMBOL=G0129K10&amp;VAR:INDEX=0"}</definedName>
    <definedName name="_8119__FDSAUDITLINK__" localSheetId="6" hidden="1">{"fdsup://directions/FAT Viewer?action=UPDATE&amp;creator=factset&amp;DYN_ARGS=TRUE&amp;DOC_NAME=FAT:FQL_AUDITING_CLIENT_TEMPLATE.FAT&amp;display_string=Audit&amp;VAR:KEY=JGBCTGBEPM&amp;VAR:QUERY=RkZfRUJJVERBX0lCKCdMVE1TJywzOTQyMik=&amp;WINDOW=FIRST_POPUP&amp;HEIGHT=450&amp;WIDTH=450&amp;START_MA","XIMIZED=FALSE&amp;VAR:CALENDAR=US&amp;VAR:SYMBOL=G0129K10&amp;VAR:INDEX=0"}</definedName>
    <definedName name="_8119__FDSAUDITLINK__" hidden="1">{"fdsup://directions/FAT Viewer?action=UPDATE&amp;creator=factset&amp;DYN_ARGS=TRUE&amp;DOC_NAME=FAT:FQL_AUDITING_CLIENT_TEMPLATE.FAT&amp;display_string=Audit&amp;VAR:KEY=JGBCTGBEPM&amp;VAR:QUERY=RkZfRUJJVERBX0lCKCdMVE1TJywzOTQyMik=&amp;WINDOW=FIRST_POPUP&amp;HEIGHT=450&amp;WIDTH=450&amp;START_MA","XIMIZED=FALSE&amp;VAR:CALENDAR=US&amp;VAR:SYMBOL=G0129K10&amp;VAR:INDEX=0"}</definedName>
    <definedName name="_812__FDSAUDITLINK__" localSheetId="6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2__FDSAUDITLINK__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20__FDSAUDITLINK__" localSheetId="6" hidden="1">{"fdsup://directions/FAT Viewer?action=UPDATE&amp;creator=factset&amp;DYN_ARGS=TRUE&amp;DOC_NAME=FAT:FQL_AUDITING_CLIENT_TEMPLATE.FAT&amp;display_string=Audit&amp;VAR:KEY=TQBKFSDGJA&amp;VAR:QUERY=RkZfRUJJVERBX0lCKCdMVE1TJywzOTQyMSk=&amp;WINDOW=FIRST_POPUP&amp;HEIGHT=450&amp;WIDTH=450&amp;START_MA","XIMIZED=FALSE&amp;VAR:CALENDAR=US&amp;VAR:SYMBOL=G0129K10&amp;VAR:INDEX=0"}</definedName>
    <definedName name="_8120__FDSAUDITLINK__" hidden="1">{"fdsup://directions/FAT Viewer?action=UPDATE&amp;creator=factset&amp;DYN_ARGS=TRUE&amp;DOC_NAME=FAT:FQL_AUDITING_CLIENT_TEMPLATE.FAT&amp;display_string=Audit&amp;VAR:KEY=TQBKFSDGJA&amp;VAR:QUERY=RkZfRUJJVERBX0lCKCdMVE1TJywzOTQyMSk=&amp;WINDOW=FIRST_POPUP&amp;HEIGHT=450&amp;WIDTH=450&amp;START_MA","XIMIZED=FALSE&amp;VAR:CALENDAR=US&amp;VAR:SYMBOL=G0129K10&amp;VAR:INDEX=0"}</definedName>
    <definedName name="_8121__FDSAUDITLINK__" localSheetId="6" hidden="1">{"fdsup://directions/FAT Viewer?action=UPDATE&amp;creator=factset&amp;DYN_ARGS=TRUE&amp;DOC_NAME=FAT:FQL_AUDITING_CLIENT_TEMPLATE.FAT&amp;display_string=Audit&amp;VAR:KEY=DEJADAZEDY&amp;VAR:QUERY=RkZfRUJJVERBX0lCKCdMVE1TJywzOTQyMCk=&amp;WINDOW=FIRST_POPUP&amp;HEIGHT=450&amp;WIDTH=450&amp;START_MA","XIMIZED=FALSE&amp;VAR:CALENDAR=US&amp;VAR:SYMBOL=G0129K10&amp;VAR:INDEX=0"}</definedName>
    <definedName name="_8121__FDSAUDITLINK__" hidden="1">{"fdsup://directions/FAT Viewer?action=UPDATE&amp;creator=factset&amp;DYN_ARGS=TRUE&amp;DOC_NAME=FAT:FQL_AUDITING_CLIENT_TEMPLATE.FAT&amp;display_string=Audit&amp;VAR:KEY=DEJADAZEDY&amp;VAR:QUERY=RkZfRUJJVERBX0lCKCdMVE1TJywzOTQyMCk=&amp;WINDOW=FIRST_POPUP&amp;HEIGHT=450&amp;WIDTH=450&amp;START_MA","XIMIZED=FALSE&amp;VAR:CALENDAR=US&amp;VAR:SYMBOL=G0129K10&amp;VAR:INDEX=0"}</definedName>
    <definedName name="_8122__FDSAUDITLINK__" localSheetId="6" hidden="1">{"fdsup://directions/FAT Viewer?action=UPDATE&amp;creator=factset&amp;DYN_ARGS=TRUE&amp;DOC_NAME=FAT:FQL_AUDITING_CLIENT_TEMPLATE.FAT&amp;display_string=Audit&amp;VAR:KEY=DQBAPAFKDO&amp;VAR:QUERY=RkZfRUJJVERBX0lCKCdMVE1TJywzOTQxOSk=&amp;WINDOW=FIRST_POPUP&amp;HEIGHT=450&amp;WIDTH=450&amp;START_MA","XIMIZED=FALSE&amp;VAR:CALENDAR=US&amp;VAR:SYMBOL=G0129K10&amp;VAR:INDEX=0"}</definedName>
    <definedName name="_8122__FDSAUDITLINK__" hidden="1">{"fdsup://directions/FAT Viewer?action=UPDATE&amp;creator=factset&amp;DYN_ARGS=TRUE&amp;DOC_NAME=FAT:FQL_AUDITING_CLIENT_TEMPLATE.FAT&amp;display_string=Audit&amp;VAR:KEY=DQBAPAFKDO&amp;VAR:QUERY=RkZfRUJJVERBX0lCKCdMVE1TJywzOTQxOSk=&amp;WINDOW=FIRST_POPUP&amp;HEIGHT=450&amp;WIDTH=450&amp;START_MA","XIMIZED=FALSE&amp;VAR:CALENDAR=US&amp;VAR:SYMBOL=G0129K10&amp;VAR:INDEX=0"}</definedName>
    <definedName name="_8123__FDSAUDITLINK__" localSheetId="6" hidden="1">{"fdsup://directions/FAT Viewer?action=UPDATE&amp;creator=factset&amp;DYN_ARGS=TRUE&amp;DOC_NAME=FAT:FQL_AUDITING_CLIENT_TEMPLATE.FAT&amp;display_string=Audit&amp;VAR:KEY=LQBMDWDWFU&amp;VAR:QUERY=RkZfRUJJVERBX0lCKCdMVE1TJywzOTQxOCk=&amp;WINDOW=FIRST_POPUP&amp;HEIGHT=450&amp;WIDTH=450&amp;START_MA","XIMIZED=FALSE&amp;VAR:CALENDAR=US&amp;VAR:SYMBOL=G0129K10&amp;VAR:INDEX=0"}</definedName>
    <definedName name="_8123__FDSAUDITLINK__" hidden="1">{"fdsup://directions/FAT Viewer?action=UPDATE&amp;creator=factset&amp;DYN_ARGS=TRUE&amp;DOC_NAME=FAT:FQL_AUDITING_CLIENT_TEMPLATE.FAT&amp;display_string=Audit&amp;VAR:KEY=LQBMDWDWFU&amp;VAR:QUERY=RkZfRUJJVERBX0lCKCdMVE1TJywzOTQxOCk=&amp;WINDOW=FIRST_POPUP&amp;HEIGHT=450&amp;WIDTH=450&amp;START_MA","XIMIZED=FALSE&amp;VAR:CALENDAR=US&amp;VAR:SYMBOL=G0129K10&amp;VAR:INDEX=0"}</definedName>
    <definedName name="_8124__FDSAUDITLINK__" localSheetId="6" hidden="1">{"fdsup://directions/FAT Viewer?action=UPDATE&amp;creator=factset&amp;DYN_ARGS=TRUE&amp;DOC_NAME=FAT:FQL_AUDITING_CLIENT_TEMPLATE.FAT&amp;display_string=Audit&amp;VAR:KEY=DURUXKBCFU&amp;VAR:QUERY=RkZfRUJJVERBX0lCKCdMVE1TJywzOTQxNyk=&amp;WINDOW=FIRST_POPUP&amp;HEIGHT=450&amp;WIDTH=450&amp;START_MA","XIMIZED=FALSE&amp;VAR:CALENDAR=US&amp;VAR:SYMBOL=G0129K10&amp;VAR:INDEX=0"}</definedName>
    <definedName name="_8124__FDSAUDITLINK__" hidden="1">{"fdsup://directions/FAT Viewer?action=UPDATE&amp;creator=factset&amp;DYN_ARGS=TRUE&amp;DOC_NAME=FAT:FQL_AUDITING_CLIENT_TEMPLATE.FAT&amp;display_string=Audit&amp;VAR:KEY=DURUXKBCFU&amp;VAR:QUERY=RkZfRUJJVERBX0lCKCdMVE1TJywzOTQxNyk=&amp;WINDOW=FIRST_POPUP&amp;HEIGHT=450&amp;WIDTH=450&amp;START_MA","XIMIZED=FALSE&amp;VAR:CALENDAR=US&amp;VAR:SYMBOL=G0129K10&amp;VAR:INDEX=0"}</definedName>
    <definedName name="_8125__FDSAUDITLINK__" localSheetId="6" hidden="1">{"fdsup://directions/FAT Viewer?action=UPDATE&amp;creator=factset&amp;DYN_ARGS=TRUE&amp;DOC_NAME=FAT:FQL_AUDITING_CLIENT_TEMPLATE.FAT&amp;display_string=Audit&amp;VAR:KEY=FETATEHQHQ&amp;VAR:QUERY=RkZfRUJJVERBX0lCKCdMVE1TJywzOTQxNik=&amp;WINDOW=FIRST_POPUP&amp;HEIGHT=450&amp;WIDTH=450&amp;START_MA","XIMIZED=FALSE&amp;VAR:CALENDAR=US&amp;VAR:SYMBOL=G0129K10&amp;VAR:INDEX=0"}</definedName>
    <definedName name="_8125__FDSAUDITLINK__" hidden="1">{"fdsup://directions/FAT Viewer?action=UPDATE&amp;creator=factset&amp;DYN_ARGS=TRUE&amp;DOC_NAME=FAT:FQL_AUDITING_CLIENT_TEMPLATE.FAT&amp;display_string=Audit&amp;VAR:KEY=FETATEHQHQ&amp;VAR:QUERY=RkZfRUJJVERBX0lCKCdMVE1TJywzOTQxNik=&amp;WINDOW=FIRST_POPUP&amp;HEIGHT=450&amp;WIDTH=450&amp;START_MA","XIMIZED=FALSE&amp;VAR:CALENDAR=US&amp;VAR:SYMBOL=G0129K10&amp;VAR:INDEX=0"}</definedName>
    <definedName name="_8126__FDSAUDITLINK__" localSheetId="6" hidden="1">{"fdsup://directions/FAT Viewer?action=UPDATE&amp;creator=factset&amp;DYN_ARGS=TRUE&amp;DOC_NAME=FAT:FQL_AUDITING_CLIENT_TEMPLATE.FAT&amp;display_string=Audit&amp;VAR:KEY=HSRULYHANY&amp;VAR:QUERY=RkZfRUJJVERBX0lCKCdMVE1TJywzOTQxNSk=&amp;WINDOW=FIRST_POPUP&amp;HEIGHT=450&amp;WIDTH=450&amp;START_MA","XIMIZED=FALSE&amp;VAR:CALENDAR=US&amp;VAR:SYMBOL=G0129K10&amp;VAR:INDEX=0"}</definedName>
    <definedName name="_8126__FDSAUDITLINK__" hidden="1">{"fdsup://directions/FAT Viewer?action=UPDATE&amp;creator=factset&amp;DYN_ARGS=TRUE&amp;DOC_NAME=FAT:FQL_AUDITING_CLIENT_TEMPLATE.FAT&amp;display_string=Audit&amp;VAR:KEY=HSRULYHANY&amp;VAR:QUERY=RkZfRUJJVERBX0lCKCdMVE1TJywzOTQxNSk=&amp;WINDOW=FIRST_POPUP&amp;HEIGHT=450&amp;WIDTH=450&amp;START_MA","XIMIZED=FALSE&amp;VAR:CALENDAR=US&amp;VAR:SYMBOL=G0129K10&amp;VAR:INDEX=0"}</definedName>
    <definedName name="_8127__FDSAUDITLINK__" localSheetId="6" hidden="1">{"fdsup://directions/FAT Viewer?action=UPDATE&amp;creator=factset&amp;DYN_ARGS=TRUE&amp;DOC_NAME=FAT:FQL_AUDITING_CLIENT_TEMPLATE.FAT&amp;display_string=Audit&amp;VAR:KEY=HUDQPUVIBQ&amp;VAR:QUERY=RkZfRUJJVERBX0lCKCdMVE1TJywzOTQxNCk=&amp;WINDOW=FIRST_POPUP&amp;HEIGHT=450&amp;WIDTH=450&amp;START_MA","XIMIZED=FALSE&amp;VAR:CALENDAR=US&amp;VAR:SYMBOL=G0129K10&amp;VAR:INDEX=0"}</definedName>
    <definedName name="_8127__FDSAUDITLINK__" hidden="1">{"fdsup://directions/FAT Viewer?action=UPDATE&amp;creator=factset&amp;DYN_ARGS=TRUE&amp;DOC_NAME=FAT:FQL_AUDITING_CLIENT_TEMPLATE.FAT&amp;display_string=Audit&amp;VAR:KEY=HUDQPUVIBQ&amp;VAR:QUERY=RkZfRUJJVERBX0lCKCdMVE1TJywzOTQxNCk=&amp;WINDOW=FIRST_POPUP&amp;HEIGHT=450&amp;WIDTH=450&amp;START_MA","XIMIZED=FALSE&amp;VAR:CALENDAR=US&amp;VAR:SYMBOL=G0129K10&amp;VAR:INDEX=0"}</definedName>
    <definedName name="_8128__FDSAUDITLINK__" localSheetId="6" hidden="1">{"fdsup://directions/FAT Viewer?action=UPDATE&amp;creator=factset&amp;DYN_ARGS=TRUE&amp;DOC_NAME=FAT:FQL_AUDITING_CLIENT_TEMPLATE.FAT&amp;display_string=Audit&amp;VAR:KEY=PMTYHMDENI&amp;VAR:QUERY=RkZfRUJJVERBX0lCKCdMVE1TJywzOTQxMyk=&amp;WINDOW=FIRST_POPUP&amp;HEIGHT=450&amp;WIDTH=450&amp;START_MA","XIMIZED=FALSE&amp;VAR:CALENDAR=US&amp;VAR:SYMBOL=G0129K10&amp;VAR:INDEX=0"}</definedName>
    <definedName name="_8128__FDSAUDITLINK__" hidden="1">{"fdsup://directions/FAT Viewer?action=UPDATE&amp;creator=factset&amp;DYN_ARGS=TRUE&amp;DOC_NAME=FAT:FQL_AUDITING_CLIENT_TEMPLATE.FAT&amp;display_string=Audit&amp;VAR:KEY=PMTYHMDENI&amp;VAR:QUERY=RkZfRUJJVERBX0lCKCdMVE1TJywzOTQxMyk=&amp;WINDOW=FIRST_POPUP&amp;HEIGHT=450&amp;WIDTH=450&amp;START_MA","XIMIZED=FALSE&amp;VAR:CALENDAR=US&amp;VAR:SYMBOL=G0129K10&amp;VAR:INDEX=0"}</definedName>
    <definedName name="_8129__FDSAUDITLINK__" localSheetId="6" hidden="1">{"fdsup://directions/FAT Viewer?action=UPDATE&amp;creator=factset&amp;DYN_ARGS=TRUE&amp;DOC_NAME=FAT:FQL_AUDITING_CLIENT_TEMPLATE.FAT&amp;display_string=Audit&amp;VAR:KEY=PAHCXENGDE&amp;VAR:QUERY=RkZfRUJJVERBX0lCKCdMVE1TJywzOTQxMik=&amp;WINDOW=FIRST_POPUP&amp;HEIGHT=450&amp;WIDTH=450&amp;START_MA","XIMIZED=FALSE&amp;VAR:CALENDAR=US&amp;VAR:SYMBOL=G0129K10&amp;VAR:INDEX=0"}</definedName>
    <definedName name="_8129__FDSAUDITLINK__" hidden="1">{"fdsup://directions/FAT Viewer?action=UPDATE&amp;creator=factset&amp;DYN_ARGS=TRUE&amp;DOC_NAME=FAT:FQL_AUDITING_CLIENT_TEMPLATE.FAT&amp;display_string=Audit&amp;VAR:KEY=PAHCXENGDE&amp;VAR:QUERY=RkZfRUJJVERBX0lCKCdMVE1TJywzOTQxMik=&amp;WINDOW=FIRST_POPUP&amp;HEIGHT=450&amp;WIDTH=450&amp;START_MA","XIMIZED=FALSE&amp;VAR:CALENDAR=US&amp;VAR:SYMBOL=G0129K10&amp;VAR:INDEX=0"}</definedName>
    <definedName name="_813__FDSAUDITLINK__" localSheetId="6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3__FDSAUDITLINK__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30__FDSAUDITLINK__" localSheetId="6" hidden="1">{"fdsup://directions/FAT Viewer?action=UPDATE&amp;creator=factset&amp;DYN_ARGS=TRUE&amp;DOC_NAME=FAT:FQL_AUDITING_CLIENT_TEMPLATE.FAT&amp;display_string=Audit&amp;VAR:KEY=PCDYFAZYVA&amp;VAR:QUERY=RkZfRUJJVERBX0lCKCdMVE1TJywzOTQxMSk=&amp;WINDOW=FIRST_POPUP&amp;HEIGHT=450&amp;WIDTH=450&amp;START_MA","XIMIZED=FALSE&amp;VAR:CALENDAR=US&amp;VAR:SYMBOL=G0129K10&amp;VAR:INDEX=0"}</definedName>
    <definedName name="_8130__FDSAUDITLINK__" hidden="1">{"fdsup://directions/FAT Viewer?action=UPDATE&amp;creator=factset&amp;DYN_ARGS=TRUE&amp;DOC_NAME=FAT:FQL_AUDITING_CLIENT_TEMPLATE.FAT&amp;display_string=Audit&amp;VAR:KEY=PCDYFAZYVA&amp;VAR:QUERY=RkZfRUJJVERBX0lCKCdMVE1TJywzOTQxMSk=&amp;WINDOW=FIRST_POPUP&amp;HEIGHT=450&amp;WIDTH=450&amp;START_MA","XIMIZED=FALSE&amp;VAR:CALENDAR=US&amp;VAR:SYMBOL=G0129K10&amp;VAR:INDEX=0"}</definedName>
    <definedName name="_8131__FDSAUDITLINK__" localSheetId="6" hidden="1">{"fdsup://directions/FAT Viewer?action=UPDATE&amp;creator=factset&amp;DYN_ARGS=TRUE&amp;DOC_NAME=FAT:FQL_AUDITING_CLIENT_TEMPLATE.FAT&amp;display_string=Audit&amp;VAR:KEY=NAVMNMNOPK&amp;VAR:QUERY=RkZfRUJJVERBX0lCKCdMVE1TJywzOTQxMCk=&amp;WINDOW=FIRST_POPUP&amp;HEIGHT=450&amp;WIDTH=450&amp;START_MA","XIMIZED=FALSE&amp;VAR:CALENDAR=US&amp;VAR:SYMBOL=G0129K10&amp;VAR:INDEX=0"}</definedName>
    <definedName name="_8131__FDSAUDITLINK__" hidden="1">{"fdsup://directions/FAT Viewer?action=UPDATE&amp;creator=factset&amp;DYN_ARGS=TRUE&amp;DOC_NAME=FAT:FQL_AUDITING_CLIENT_TEMPLATE.FAT&amp;display_string=Audit&amp;VAR:KEY=NAVMNMNOPK&amp;VAR:QUERY=RkZfRUJJVERBX0lCKCdMVE1TJywzOTQxMCk=&amp;WINDOW=FIRST_POPUP&amp;HEIGHT=450&amp;WIDTH=450&amp;START_MA","XIMIZED=FALSE&amp;VAR:CALENDAR=US&amp;VAR:SYMBOL=G0129K10&amp;VAR:INDEX=0"}</definedName>
    <definedName name="_8132__FDSAUDITLINK__" localSheetId="6" hidden="1">{"fdsup://directions/FAT Viewer?action=UPDATE&amp;creator=factset&amp;DYN_ARGS=TRUE&amp;DOC_NAME=FAT:FQL_AUDITING_CLIENT_TEMPLATE.FAT&amp;display_string=Audit&amp;VAR:KEY=LIXKZYRKVY&amp;VAR:QUERY=RkZfRUJJVERBX0lCKCdMVE1TJywzOTQwOSk=&amp;WINDOW=FIRST_POPUP&amp;HEIGHT=450&amp;WIDTH=450&amp;START_MA","XIMIZED=FALSE&amp;VAR:CALENDAR=US&amp;VAR:SYMBOL=G0129K10&amp;VAR:INDEX=0"}</definedName>
    <definedName name="_8132__FDSAUDITLINK__" hidden="1">{"fdsup://directions/FAT Viewer?action=UPDATE&amp;creator=factset&amp;DYN_ARGS=TRUE&amp;DOC_NAME=FAT:FQL_AUDITING_CLIENT_TEMPLATE.FAT&amp;display_string=Audit&amp;VAR:KEY=LIXKZYRKVY&amp;VAR:QUERY=RkZfRUJJVERBX0lCKCdMVE1TJywzOTQwOSk=&amp;WINDOW=FIRST_POPUP&amp;HEIGHT=450&amp;WIDTH=450&amp;START_MA","XIMIZED=FALSE&amp;VAR:CALENDAR=US&amp;VAR:SYMBOL=G0129K10&amp;VAR:INDEX=0"}</definedName>
    <definedName name="_8133__FDSAUDITLINK__" localSheetId="6" hidden="1">{"fdsup://directions/FAT Viewer?action=UPDATE&amp;creator=factset&amp;DYN_ARGS=TRUE&amp;DOC_NAME=FAT:FQL_AUDITING_CLIENT_TEMPLATE.FAT&amp;display_string=Audit&amp;VAR:KEY=ZIDUTEBKBW&amp;VAR:QUERY=RkZfRUJJVERBX0lCKCdMVE1TJywzOTQwOCk=&amp;WINDOW=FIRST_POPUP&amp;HEIGHT=450&amp;WIDTH=450&amp;START_MA","XIMIZED=FALSE&amp;VAR:CALENDAR=US&amp;VAR:SYMBOL=G0129K10&amp;VAR:INDEX=0"}</definedName>
    <definedName name="_8133__FDSAUDITLINK__" hidden="1">{"fdsup://directions/FAT Viewer?action=UPDATE&amp;creator=factset&amp;DYN_ARGS=TRUE&amp;DOC_NAME=FAT:FQL_AUDITING_CLIENT_TEMPLATE.FAT&amp;display_string=Audit&amp;VAR:KEY=ZIDUTEBKBW&amp;VAR:QUERY=RkZfRUJJVERBX0lCKCdMVE1TJywzOTQwOCk=&amp;WINDOW=FIRST_POPUP&amp;HEIGHT=450&amp;WIDTH=450&amp;START_MA","XIMIZED=FALSE&amp;VAR:CALENDAR=US&amp;VAR:SYMBOL=G0129K10&amp;VAR:INDEX=0"}</definedName>
    <definedName name="_8134__FDSAUDITLINK__" localSheetId="6" hidden="1">{"fdsup://directions/FAT Viewer?action=UPDATE&amp;creator=factset&amp;DYN_ARGS=TRUE&amp;DOC_NAME=FAT:FQL_AUDITING_CLIENT_TEMPLATE.FAT&amp;display_string=Audit&amp;VAR:KEY=DGBYJWPCRO&amp;VAR:QUERY=RkZfRUJJVERBX0lCKCdMVE1TJywzOTQwNyk=&amp;WINDOW=FIRST_POPUP&amp;HEIGHT=450&amp;WIDTH=450&amp;START_MA","XIMIZED=FALSE&amp;VAR:CALENDAR=US&amp;VAR:SYMBOL=G0129K10&amp;VAR:INDEX=0"}</definedName>
    <definedName name="_8134__FDSAUDITLINK__" hidden="1">{"fdsup://directions/FAT Viewer?action=UPDATE&amp;creator=factset&amp;DYN_ARGS=TRUE&amp;DOC_NAME=FAT:FQL_AUDITING_CLIENT_TEMPLATE.FAT&amp;display_string=Audit&amp;VAR:KEY=DGBYJWPCRO&amp;VAR:QUERY=RkZfRUJJVERBX0lCKCdMVE1TJywzOTQwNyk=&amp;WINDOW=FIRST_POPUP&amp;HEIGHT=450&amp;WIDTH=450&amp;START_MA","XIMIZED=FALSE&amp;VAR:CALENDAR=US&amp;VAR:SYMBOL=G0129K10&amp;VAR:INDEX=0"}</definedName>
    <definedName name="_8135__FDSAUDITLINK__" localSheetId="6" hidden="1">{"fdsup://directions/FAT Viewer?action=UPDATE&amp;creator=factset&amp;DYN_ARGS=TRUE&amp;DOC_NAME=FAT:FQL_AUDITING_CLIENT_TEMPLATE.FAT&amp;display_string=Audit&amp;VAR:KEY=REXKJGXCLW&amp;VAR:QUERY=RkZfRUJJVERBX0lCKCdMVE1TJywzOTQwNik=&amp;WINDOW=FIRST_POPUP&amp;HEIGHT=450&amp;WIDTH=450&amp;START_MA","XIMIZED=FALSE&amp;VAR:CALENDAR=US&amp;VAR:SYMBOL=G0129K10&amp;VAR:INDEX=0"}</definedName>
    <definedName name="_8135__FDSAUDITLINK__" hidden="1">{"fdsup://directions/FAT Viewer?action=UPDATE&amp;creator=factset&amp;DYN_ARGS=TRUE&amp;DOC_NAME=FAT:FQL_AUDITING_CLIENT_TEMPLATE.FAT&amp;display_string=Audit&amp;VAR:KEY=REXKJGXCLW&amp;VAR:QUERY=RkZfRUJJVERBX0lCKCdMVE1TJywzOTQwNik=&amp;WINDOW=FIRST_POPUP&amp;HEIGHT=450&amp;WIDTH=450&amp;START_MA","XIMIZED=FALSE&amp;VAR:CALENDAR=US&amp;VAR:SYMBOL=G0129K10&amp;VAR:INDEX=0"}</definedName>
    <definedName name="_8136__FDSAUDITLINK__" localSheetId="6" hidden="1">{"fdsup://directions/FAT Viewer?action=UPDATE&amp;creator=factset&amp;DYN_ARGS=TRUE&amp;DOC_NAME=FAT:FQL_AUDITING_CLIENT_TEMPLATE.FAT&amp;display_string=Audit&amp;VAR:KEY=VCXEDEPKHI&amp;VAR:QUERY=RkZfRUJJVERBX0lCKCdMVE1TJywzOTQwNSk=&amp;WINDOW=FIRST_POPUP&amp;HEIGHT=450&amp;WIDTH=450&amp;START_MA","XIMIZED=FALSE&amp;VAR:CALENDAR=US&amp;VAR:SYMBOL=G0129K10&amp;VAR:INDEX=0"}</definedName>
    <definedName name="_8136__FDSAUDITLINK__" hidden="1">{"fdsup://directions/FAT Viewer?action=UPDATE&amp;creator=factset&amp;DYN_ARGS=TRUE&amp;DOC_NAME=FAT:FQL_AUDITING_CLIENT_TEMPLATE.FAT&amp;display_string=Audit&amp;VAR:KEY=VCXEDEPKHI&amp;VAR:QUERY=RkZfRUJJVERBX0lCKCdMVE1TJywzOTQwNSk=&amp;WINDOW=FIRST_POPUP&amp;HEIGHT=450&amp;WIDTH=450&amp;START_MA","XIMIZED=FALSE&amp;VAR:CALENDAR=US&amp;VAR:SYMBOL=G0129K10&amp;VAR:INDEX=0"}</definedName>
    <definedName name="_8137__FDSAUDITLINK__" localSheetId="6" hidden="1">{"fdsup://directions/FAT Viewer?action=UPDATE&amp;creator=factset&amp;DYN_ARGS=TRUE&amp;DOC_NAME=FAT:FQL_AUDITING_CLIENT_TEMPLATE.FAT&amp;display_string=Audit&amp;VAR:KEY=ZMXYZQHUHM&amp;VAR:QUERY=RkZfRUJJVERBX0lCKCdMVE1TJywzOTQwNCk=&amp;WINDOW=FIRST_POPUP&amp;HEIGHT=450&amp;WIDTH=450&amp;START_MA","XIMIZED=FALSE&amp;VAR:CALENDAR=US&amp;VAR:SYMBOL=G0129K10&amp;VAR:INDEX=0"}</definedName>
    <definedName name="_8137__FDSAUDITLINK__" hidden="1">{"fdsup://directions/FAT Viewer?action=UPDATE&amp;creator=factset&amp;DYN_ARGS=TRUE&amp;DOC_NAME=FAT:FQL_AUDITING_CLIENT_TEMPLATE.FAT&amp;display_string=Audit&amp;VAR:KEY=ZMXYZQHUHM&amp;VAR:QUERY=RkZfRUJJVERBX0lCKCdMVE1TJywzOTQwNCk=&amp;WINDOW=FIRST_POPUP&amp;HEIGHT=450&amp;WIDTH=450&amp;START_MA","XIMIZED=FALSE&amp;VAR:CALENDAR=US&amp;VAR:SYMBOL=G0129K10&amp;VAR:INDEX=0"}</definedName>
    <definedName name="_8138__FDSAUDITLINK__" localSheetId="6" hidden="1">{"fdsup://directions/FAT Viewer?action=UPDATE&amp;creator=factset&amp;DYN_ARGS=TRUE&amp;DOC_NAME=FAT:FQL_AUDITING_CLIENT_TEMPLATE.FAT&amp;display_string=Audit&amp;VAR:KEY=BWPAJUHOFW&amp;VAR:QUERY=RkZfRUJJVERBX0lCKCdMVE1TJywzOTQwMyk=&amp;WINDOW=FIRST_POPUP&amp;HEIGHT=450&amp;WIDTH=450&amp;START_MA","XIMIZED=FALSE&amp;VAR:CALENDAR=US&amp;VAR:SYMBOL=G0129K10&amp;VAR:INDEX=0"}</definedName>
    <definedName name="_8138__FDSAUDITLINK__" hidden="1">{"fdsup://directions/FAT Viewer?action=UPDATE&amp;creator=factset&amp;DYN_ARGS=TRUE&amp;DOC_NAME=FAT:FQL_AUDITING_CLIENT_TEMPLATE.FAT&amp;display_string=Audit&amp;VAR:KEY=BWPAJUHOFW&amp;VAR:QUERY=RkZfRUJJVERBX0lCKCdMVE1TJywzOTQwMyk=&amp;WINDOW=FIRST_POPUP&amp;HEIGHT=450&amp;WIDTH=450&amp;START_MA","XIMIZED=FALSE&amp;VAR:CALENDAR=US&amp;VAR:SYMBOL=G0129K10&amp;VAR:INDEX=0"}</definedName>
    <definedName name="_8139__FDSAUDITLINK__" localSheetId="6" hidden="1">{"fdsup://directions/FAT Viewer?action=UPDATE&amp;creator=factset&amp;DYN_ARGS=TRUE&amp;DOC_NAME=FAT:FQL_AUDITING_CLIENT_TEMPLATE.FAT&amp;display_string=Audit&amp;VAR:KEY=HEFWLQTWVS&amp;VAR:QUERY=RkZfRUJJVERBX0lCKCdMVE1TJywzOTQwMik=&amp;WINDOW=FIRST_POPUP&amp;HEIGHT=450&amp;WIDTH=450&amp;START_MA","XIMIZED=FALSE&amp;VAR:CALENDAR=US&amp;VAR:SYMBOL=G0129K10&amp;VAR:INDEX=0"}</definedName>
    <definedName name="_8139__FDSAUDITLINK__" hidden="1">{"fdsup://directions/FAT Viewer?action=UPDATE&amp;creator=factset&amp;DYN_ARGS=TRUE&amp;DOC_NAME=FAT:FQL_AUDITING_CLIENT_TEMPLATE.FAT&amp;display_string=Audit&amp;VAR:KEY=HEFWLQTWVS&amp;VAR:QUERY=RkZfRUJJVERBX0lCKCdMVE1TJywzOTQwMik=&amp;WINDOW=FIRST_POPUP&amp;HEIGHT=450&amp;WIDTH=450&amp;START_MA","XIMIZED=FALSE&amp;VAR:CALENDAR=US&amp;VAR:SYMBOL=G0129K10&amp;VAR:INDEX=0"}</definedName>
    <definedName name="_814__FDSAUDITLINK__" localSheetId="6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4__FDSAUDITLINK__" hidden="1">{"fdsup://directions/FAT%20Viewer?VAR:PED=LTM&amp;VAR:AUDIT_MODE=SUMMARY&amp;VAR:PERIOD=FIXED&amp;VAR:AUDIT_ID=00000117&amp;VAR:DATE=20071130&amp;action=UPDATE&amp;creator=factset&amp;DOC_NAME=FAT:FMA_audit_SUMMARY.fat&amp;DISPLAY_STRING=Display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EBITDA&amp;VAR:CHGPERIOD=NA&amp;VAR:FQLFORMULA=FMA_EVAL_EBITDA&amp;VAR:CURRENCY=NA&amp;VAR:P=NA&amp;VAR:V=11.5","05535&amp;VAR:null=.html"}</definedName>
    <definedName name="_8140__FDSAUDITLINK__" localSheetId="6" hidden="1">{"fdsup://directions/FAT Viewer?action=UPDATE&amp;creator=factset&amp;DYN_ARGS=TRUE&amp;DOC_NAME=FAT:FQL_AUDITING_CLIENT_TEMPLATE.FAT&amp;display_string=Audit&amp;VAR:KEY=DSJYHMRWNS&amp;VAR:QUERY=RkZfRUJJVERBX0lCKCdMVE1TJywzOTQwMSk=&amp;WINDOW=FIRST_POPUP&amp;HEIGHT=450&amp;WIDTH=450&amp;START_MA","XIMIZED=FALSE&amp;VAR:CALENDAR=US&amp;VAR:SYMBOL=G0129K10&amp;VAR:INDEX=0"}</definedName>
    <definedName name="_8140__FDSAUDITLINK__" hidden="1">{"fdsup://directions/FAT Viewer?action=UPDATE&amp;creator=factset&amp;DYN_ARGS=TRUE&amp;DOC_NAME=FAT:FQL_AUDITING_CLIENT_TEMPLATE.FAT&amp;display_string=Audit&amp;VAR:KEY=DSJYHMRWNS&amp;VAR:QUERY=RkZfRUJJVERBX0lCKCdMVE1TJywzOTQwMSk=&amp;WINDOW=FIRST_POPUP&amp;HEIGHT=450&amp;WIDTH=450&amp;START_MA","XIMIZED=FALSE&amp;VAR:CALENDAR=US&amp;VAR:SYMBOL=G0129K10&amp;VAR:INDEX=0"}</definedName>
    <definedName name="_8141__FDSAUDITLINK__" localSheetId="6" hidden="1">{"fdsup://directions/FAT Viewer?action=UPDATE&amp;creator=factset&amp;DYN_ARGS=TRUE&amp;DOC_NAME=FAT:FQL_AUDITING_CLIENT_TEMPLATE.FAT&amp;display_string=Audit&amp;VAR:KEY=LIBMVEJONG&amp;VAR:QUERY=RkZfRUJJVERBX0lCKCdMVE1TJywzOTQwMCk=&amp;WINDOW=FIRST_POPUP&amp;HEIGHT=450&amp;WIDTH=450&amp;START_MA","XIMIZED=FALSE&amp;VAR:CALENDAR=US&amp;VAR:SYMBOL=G0129K10&amp;VAR:INDEX=0"}</definedName>
    <definedName name="_8141__FDSAUDITLINK__" hidden="1">{"fdsup://directions/FAT Viewer?action=UPDATE&amp;creator=factset&amp;DYN_ARGS=TRUE&amp;DOC_NAME=FAT:FQL_AUDITING_CLIENT_TEMPLATE.FAT&amp;display_string=Audit&amp;VAR:KEY=LIBMVEJONG&amp;VAR:QUERY=RkZfRUJJVERBX0lCKCdMVE1TJywzOTQwMCk=&amp;WINDOW=FIRST_POPUP&amp;HEIGHT=450&amp;WIDTH=450&amp;START_MA","XIMIZED=FALSE&amp;VAR:CALENDAR=US&amp;VAR:SYMBOL=G0129K10&amp;VAR:INDEX=0"}</definedName>
    <definedName name="_8142__FDSAUDITLINK__" localSheetId="6" hidden="1">{"fdsup://directions/FAT Viewer?action=UPDATE&amp;creator=factset&amp;DYN_ARGS=TRUE&amp;DOC_NAME=FAT:FQL_AUDITING_CLIENT_TEMPLATE.FAT&amp;display_string=Audit&amp;VAR:KEY=BADONEXETK&amp;VAR:QUERY=RkZfRUJJVERBX0lCKCdMVE1TJywzOTM5OSk=&amp;WINDOW=FIRST_POPUP&amp;HEIGHT=450&amp;WIDTH=450&amp;START_MA","XIMIZED=FALSE&amp;VAR:CALENDAR=US&amp;VAR:SYMBOL=G0129K10&amp;VAR:INDEX=0"}</definedName>
    <definedName name="_8142__FDSAUDITLINK__" hidden="1">{"fdsup://directions/FAT Viewer?action=UPDATE&amp;creator=factset&amp;DYN_ARGS=TRUE&amp;DOC_NAME=FAT:FQL_AUDITING_CLIENT_TEMPLATE.FAT&amp;display_string=Audit&amp;VAR:KEY=BADONEXETK&amp;VAR:QUERY=RkZfRUJJVERBX0lCKCdMVE1TJywzOTM5OSk=&amp;WINDOW=FIRST_POPUP&amp;HEIGHT=450&amp;WIDTH=450&amp;START_MA","XIMIZED=FALSE&amp;VAR:CALENDAR=US&amp;VAR:SYMBOL=G0129K10&amp;VAR:INDEX=0"}</definedName>
    <definedName name="_8143__FDSAUDITLINK__" localSheetId="6" hidden="1">{"fdsup://directions/FAT Viewer?action=UPDATE&amp;creator=factset&amp;DYN_ARGS=TRUE&amp;DOC_NAME=FAT:FQL_AUDITING_CLIENT_TEMPLATE.FAT&amp;display_string=Audit&amp;VAR:KEY=LCDYXAZGPO&amp;VAR:QUERY=RkZfRUJJVERBX0lCKCdMVE1TJywzOTM5OCk=&amp;WINDOW=FIRST_POPUP&amp;HEIGHT=450&amp;WIDTH=450&amp;START_MA","XIMIZED=FALSE&amp;VAR:CALENDAR=US&amp;VAR:SYMBOL=G0129K10&amp;VAR:INDEX=0"}</definedName>
    <definedName name="_8143__FDSAUDITLINK__" hidden="1">{"fdsup://directions/FAT Viewer?action=UPDATE&amp;creator=factset&amp;DYN_ARGS=TRUE&amp;DOC_NAME=FAT:FQL_AUDITING_CLIENT_TEMPLATE.FAT&amp;display_string=Audit&amp;VAR:KEY=LCDYXAZGPO&amp;VAR:QUERY=RkZfRUJJVERBX0lCKCdMVE1TJywzOTM5OCk=&amp;WINDOW=FIRST_POPUP&amp;HEIGHT=450&amp;WIDTH=450&amp;START_MA","XIMIZED=FALSE&amp;VAR:CALENDAR=US&amp;VAR:SYMBOL=G0129K10&amp;VAR:INDEX=0"}</definedName>
    <definedName name="_8144__FDSAUDITLINK__" localSheetId="6" hidden="1">{"fdsup://directions/FAT Viewer?action=UPDATE&amp;creator=factset&amp;DYN_ARGS=TRUE&amp;DOC_NAME=FAT:FQL_AUDITING_CLIENT_TEMPLATE.FAT&amp;display_string=Audit&amp;VAR:KEY=DCZMZMTSBY&amp;VAR:QUERY=RkZfRUJJVERBX0lCKCdMVE1TJywzOTM5Nyk=&amp;WINDOW=FIRST_POPUP&amp;HEIGHT=450&amp;WIDTH=450&amp;START_MA","XIMIZED=FALSE&amp;VAR:CALENDAR=US&amp;VAR:SYMBOL=G0129K10&amp;VAR:INDEX=0"}</definedName>
    <definedName name="_8144__FDSAUDITLINK__" hidden="1">{"fdsup://directions/FAT Viewer?action=UPDATE&amp;creator=factset&amp;DYN_ARGS=TRUE&amp;DOC_NAME=FAT:FQL_AUDITING_CLIENT_TEMPLATE.FAT&amp;display_string=Audit&amp;VAR:KEY=DCZMZMTSBY&amp;VAR:QUERY=RkZfRUJJVERBX0lCKCdMVE1TJywzOTM5Nyk=&amp;WINDOW=FIRST_POPUP&amp;HEIGHT=450&amp;WIDTH=450&amp;START_MA","XIMIZED=FALSE&amp;VAR:CALENDAR=US&amp;VAR:SYMBOL=G0129K10&amp;VAR:INDEX=0"}</definedName>
    <definedName name="_8145__FDSAUDITLINK__" localSheetId="6" hidden="1">{"fdsup://directions/FAT Viewer?action=UPDATE&amp;creator=factset&amp;DYN_ARGS=TRUE&amp;DOC_NAME=FAT:FQL_AUDITING_CLIENT_TEMPLATE.FAT&amp;display_string=Audit&amp;VAR:KEY=ZCFSNCXKBI&amp;VAR:QUERY=RkZfRUJJVERBX0lCKCdMVE1TJywzOTM5Nik=&amp;WINDOW=FIRST_POPUP&amp;HEIGHT=450&amp;WIDTH=450&amp;START_MA","XIMIZED=FALSE&amp;VAR:CALENDAR=US&amp;VAR:SYMBOL=G0129K10&amp;VAR:INDEX=0"}</definedName>
    <definedName name="_8145__FDSAUDITLINK__" hidden="1">{"fdsup://directions/FAT Viewer?action=UPDATE&amp;creator=factset&amp;DYN_ARGS=TRUE&amp;DOC_NAME=FAT:FQL_AUDITING_CLIENT_TEMPLATE.FAT&amp;display_string=Audit&amp;VAR:KEY=ZCFSNCXKBI&amp;VAR:QUERY=RkZfRUJJVERBX0lCKCdMVE1TJywzOTM5Nik=&amp;WINDOW=FIRST_POPUP&amp;HEIGHT=450&amp;WIDTH=450&amp;START_MA","XIMIZED=FALSE&amp;VAR:CALENDAR=US&amp;VAR:SYMBOL=G0129K10&amp;VAR:INDEX=0"}</definedName>
    <definedName name="_8146__FDSAUDITLINK__" localSheetId="6" hidden="1">{"fdsup://directions/FAT Viewer?action=UPDATE&amp;creator=factset&amp;DYN_ARGS=TRUE&amp;DOC_NAME=FAT:FQL_AUDITING_CLIENT_TEMPLATE.FAT&amp;display_string=Audit&amp;VAR:KEY=TCBGLAXMZO&amp;VAR:QUERY=RkZfRUJJVERBX0lCKCdMVE1TJywzOTM5NSk=&amp;WINDOW=FIRST_POPUP&amp;HEIGHT=450&amp;WIDTH=450&amp;START_MA","XIMIZED=FALSE&amp;VAR:CALENDAR=US&amp;VAR:SYMBOL=G0129K10&amp;VAR:INDEX=0"}</definedName>
    <definedName name="_8146__FDSAUDITLINK__" hidden="1">{"fdsup://directions/FAT Viewer?action=UPDATE&amp;creator=factset&amp;DYN_ARGS=TRUE&amp;DOC_NAME=FAT:FQL_AUDITING_CLIENT_TEMPLATE.FAT&amp;display_string=Audit&amp;VAR:KEY=TCBGLAXMZO&amp;VAR:QUERY=RkZfRUJJVERBX0lCKCdMVE1TJywzOTM5NSk=&amp;WINDOW=FIRST_POPUP&amp;HEIGHT=450&amp;WIDTH=450&amp;START_MA","XIMIZED=FALSE&amp;VAR:CALENDAR=US&amp;VAR:SYMBOL=G0129K10&amp;VAR:INDEX=0"}</definedName>
    <definedName name="_8147__FDSAUDITLINK__" localSheetId="6" hidden="1">{"fdsup://directions/FAT Viewer?action=UPDATE&amp;creator=factset&amp;DYN_ARGS=TRUE&amp;DOC_NAME=FAT:FQL_AUDITING_CLIENT_TEMPLATE.FAT&amp;display_string=Audit&amp;VAR:KEY=LYRELGFSFG&amp;VAR:QUERY=RkZfRUJJVERBX0lCKCdMVE1TJywzOTM5NCk=&amp;WINDOW=FIRST_POPUP&amp;HEIGHT=450&amp;WIDTH=450&amp;START_MA","XIMIZED=FALSE&amp;VAR:CALENDAR=US&amp;VAR:SYMBOL=G0129K10&amp;VAR:INDEX=0"}</definedName>
    <definedName name="_8147__FDSAUDITLINK__" hidden="1">{"fdsup://directions/FAT Viewer?action=UPDATE&amp;creator=factset&amp;DYN_ARGS=TRUE&amp;DOC_NAME=FAT:FQL_AUDITING_CLIENT_TEMPLATE.FAT&amp;display_string=Audit&amp;VAR:KEY=LYRELGFSFG&amp;VAR:QUERY=RkZfRUJJVERBX0lCKCdMVE1TJywzOTM5NCk=&amp;WINDOW=FIRST_POPUP&amp;HEIGHT=450&amp;WIDTH=450&amp;START_MA","XIMIZED=FALSE&amp;VAR:CALENDAR=US&amp;VAR:SYMBOL=G0129K10&amp;VAR:INDEX=0"}</definedName>
    <definedName name="_8148__FDSAUDITLINK__" localSheetId="6" hidden="1">{"fdsup://directions/FAT Viewer?action=UPDATE&amp;creator=factset&amp;DYN_ARGS=TRUE&amp;DOC_NAME=FAT:FQL_AUDITING_CLIENT_TEMPLATE.FAT&amp;display_string=Audit&amp;VAR:KEY=JGZCBGNKVY&amp;VAR:QUERY=RkZfRUJJVERBX0lCKCdMVE1TJywzOTM5Myk=&amp;WINDOW=FIRST_POPUP&amp;HEIGHT=450&amp;WIDTH=450&amp;START_MA","XIMIZED=FALSE&amp;VAR:CALENDAR=US&amp;VAR:SYMBOL=G0129K10&amp;VAR:INDEX=0"}</definedName>
    <definedName name="_8148__FDSAUDITLINK__" hidden="1">{"fdsup://directions/FAT Viewer?action=UPDATE&amp;creator=factset&amp;DYN_ARGS=TRUE&amp;DOC_NAME=FAT:FQL_AUDITING_CLIENT_TEMPLATE.FAT&amp;display_string=Audit&amp;VAR:KEY=JGZCBGNKVY&amp;VAR:QUERY=RkZfRUJJVERBX0lCKCdMVE1TJywzOTM5Myk=&amp;WINDOW=FIRST_POPUP&amp;HEIGHT=450&amp;WIDTH=450&amp;START_MA","XIMIZED=FALSE&amp;VAR:CALENDAR=US&amp;VAR:SYMBOL=G0129K10&amp;VAR:INDEX=0"}</definedName>
    <definedName name="_8149__FDSAUDITLINK__" localSheetId="6" hidden="1">{"fdsup://directions/FAT Viewer?action=UPDATE&amp;creator=factset&amp;DYN_ARGS=TRUE&amp;DOC_NAME=FAT:FQL_AUDITING_CLIENT_TEMPLATE.FAT&amp;display_string=Audit&amp;VAR:KEY=BGNWZGHSHI&amp;VAR:QUERY=RkZfRUJJVERBX0lCKCdMVE1TJywzOTM5Mik=&amp;WINDOW=FIRST_POPUP&amp;HEIGHT=450&amp;WIDTH=450&amp;START_MA","XIMIZED=FALSE&amp;VAR:CALENDAR=US&amp;VAR:SYMBOL=G0129K10&amp;VAR:INDEX=0"}</definedName>
    <definedName name="_8149__FDSAUDITLINK__" hidden="1">{"fdsup://directions/FAT Viewer?action=UPDATE&amp;creator=factset&amp;DYN_ARGS=TRUE&amp;DOC_NAME=FAT:FQL_AUDITING_CLIENT_TEMPLATE.FAT&amp;display_string=Audit&amp;VAR:KEY=BGNWZGHSHI&amp;VAR:QUERY=RkZfRUJJVERBX0lCKCdMVE1TJywzOTM5Mik=&amp;WINDOW=FIRST_POPUP&amp;HEIGHT=450&amp;WIDTH=450&amp;START_MA","XIMIZED=FALSE&amp;VAR:CALENDAR=US&amp;VAR:SYMBOL=G0129K10&amp;VAR:INDEX=0"}</definedName>
    <definedName name="_815__FDSAUDITLINK__" localSheetId="6" hidden="1">{"fdsup://directions/FAT%20Viewer?VAR:PED=LTM&amp;VAR:AUDIT_MODE=SUMMARY&amp;VAR:PERIOD=FIXED&amp;VAR:AUDIT_ID=00000117&amp;VAR:DATE=20071129&amp;action=UPDATE&amp;creator=factset&amp;DOC_NAME=FAT:FMA_audit_SUMMARY.fat&amp;DISPLAY_STRING=Display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5__FDSAUDITLINK__" hidden="1">{"fdsup://directions/FAT%20Viewer?VAR:PED=LTM&amp;VAR:AUDIT_MODE=SUMMARY&amp;VAR:PERIOD=FIXED&amp;VAR:AUDIT_ID=00000117&amp;VAR:DATE=20071129&amp;action=UPDATE&amp;creator=factset&amp;DOC_NAME=FAT:FMA_audit_SUMMARY.fat&amp;DISPLAY_STRING=Display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50__FDSAUDITLINK__" localSheetId="6" hidden="1">{"fdsup://directions/FAT Viewer?action=UPDATE&amp;creator=factset&amp;DYN_ARGS=TRUE&amp;DOC_NAME=FAT:FQL_AUDITING_CLIENT_TEMPLATE.FAT&amp;display_string=Audit&amp;VAR:KEY=ZSZGNSTWFQ&amp;VAR:QUERY=RkZfRUJJVERBX0lCKCdMVE1TJywzOTM5MSk=&amp;WINDOW=FIRST_POPUP&amp;HEIGHT=450&amp;WIDTH=450&amp;START_MA","XIMIZED=FALSE&amp;VAR:CALENDAR=US&amp;VAR:SYMBOL=G0129K10&amp;VAR:INDEX=0"}</definedName>
    <definedName name="_8150__FDSAUDITLINK__" hidden="1">{"fdsup://directions/FAT Viewer?action=UPDATE&amp;creator=factset&amp;DYN_ARGS=TRUE&amp;DOC_NAME=FAT:FQL_AUDITING_CLIENT_TEMPLATE.FAT&amp;display_string=Audit&amp;VAR:KEY=ZSZGNSTWFQ&amp;VAR:QUERY=RkZfRUJJVERBX0lCKCdMVE1TJywzOTM5MSk=&amp;WINDOW=FIRST_POPUP&amp;HEIGHT=450&amp;WIDTH=450&amp;START_MA","XIMIZED=FALSE&amp;VAR:CALENDAR=US&amp;VAR:SYMBOL=G0129K10&amp;VAR:INDEX=0"}</definedName>
    <definedName name="_8151__FDSAUDITLINK__" localSheetId="6" hidden="1">{"fdsup://directions/FAT Viewer?action=UPDATE&amp;creator=factset&amp;DYN_ARGS=TRUE&amp;DOC_NAME=FAT:FQL_AUDITING_CLIENT_TEMPLATE.FAT&amp;display_string=Audit&amp;VAR:KEY=FEHOHGTSRU&amp;VAR:QUERY=RkZfRUJJVERBX0lCKCdMVE1TJywzOTM5MCk=&amp;WINDOW=FIRST_POPUP&amp;HEIGHT=450&amp;WIDTH=450&amp;START_MA","XIMIZED=FALSE&amp;VAR:CALENDAR=US&amp;VAR:SYMBOL=G0129K10&amp;VAR:INDEX=0"}</definedName>
    <definedName name="_8151__FDSAUDITLINK__" hidden="1">{"fdsup://directions/FAT Viewer?action=UPDATE&amp;creator=factset&amp;DYN_ARGS=TRUE&amp;DOC_NAME=FAT:FQL_AUDITING_CLIENT_TEMPLATE.FAT&amp;display_string=Audit&amp;VAR:KEY=FEHOHGTSRU&amp;VAR:QUERY=RkZfRUJJVERBX0lCKCdMVE1TJywzOTM5MCk=&amp;WINDOW=FIRST_POPUP&amp;HEIGHT=450&amp;WIDTH=450&amp;START_MA","XIMIZED=FALSE&amp;VAR:CALENDAR=US&amp;VAR:SYMBOL=G0129K10&amp;VAR:INDEX=0"}</definedName>
    <definedName name="_8152__FDSAUDITLINK__" localSheetId="6" hidden="1">{"fdsup://directions/FAT Viewer?action=UPDATE&amp;creator=factset&amp;DYN_ARGS=TRUE&amp;DOC_NAME=FAT:FQL_AUDITING_CLIENT_TEMPLATE.FAT&amp;display_string=Audit&amp;VAR:KEY=LWXCZQNWJC&amp;VAR:QUERY=RkZfRUJJVERBX0lCKCdMVE1TJywzOTM4OSk=&amp;WINDOW=FIRST_POPUP&amp;HEIGHT=450&amp;WIDTH=450&amp;START_MA","XIMIZED=FALSE&amp;VAR:CALENDAR=US&amp;VAR:SYMBOL=G0129K10&amp;VAR:INDEX=0"}</definedName>
    <definedName name="_8152__FDSAUDITLINK__" hidden="1">{"fdsup://directions/FAT Viewer?action=UPDATE&amp;creator=factset&amp;DYN_ARGS=TRUE&amp;DOC_NAME=FAT:FQL_AUDITING_CLIENT_TEMPLATE.FAT&amp;display_string=Audit&amp;VAR:KEY=LWXCZQNWJC&amp;VAR:QUERY=RkZfRUJJVERBX0lCKCdMVE1TJywzOTM4OSk=&amp;WINDOW=FIRST_POPUP&amp;HEIGHT=450&amp;WIDTH=450&amp;START_MA","XIMIZED=FALSE&amp;VAR:CALENDAR=US&amp;VAR:SYMBOL=G0129K10&amp;VAR:INDEX=0"}</definedName>
    <definedName name="_8153__FDSAUDITLINK__" localSheetId="6" hidden="1">{"fdsup://directions/FAT Viewer?action=UPDATE&amp;creator=factset&amp;DYN_ARGS=TRUE&amp;DOC_NAME=FAT:FQL_AUDITING_CLIENT_TEMPLATE.FAT&amp;display_string=Audit&amp;VAR:KEY=RURORKHSHA&amp;VAR:QUERY=RkZfRUJJVERBX0lCKCdMVE1TJywzOTM4OCk=&amp;WINDOW=FIRST_POPUP&amp;HEIGHT=450&amp;WIDTH=450&amp;START_MA","XIMIZED=FALSE&amp;VAR:CALENDAR=US&amp;VAR:SYMBOL=G0129K10&amp;VAR:INDEX=0"}</definedName>
    <definedName name="_8153__FDSAUDITLINK__" hidden="1">{"fdsup://directions/FAT Viewer?action=UPDATE&amp;creator=factset&amp;DYN_ARGS=TRUE&amp;DOC_NAME=FAT:FQL_AUDITING_CLIENT_TEMPLATE.FAT&amp;display_string=Audit&amp;VAR:KEY=RURORKHSHA&amp;VAR:QUERY=RkZfRUJJVERBX0lCKCdMVE1TJywzOTM4OCk=&amp;WINDOW=FIRST_POPUP&amp;HEIGHT=450&amp;WIDTH=450&amp;START_MA","XIMIZED=FALSE&amp;VAR:CALENDAR=US&amp;VAR:SYMBOL=G0129K10&amp;VAR:INDEX=0"}</definedName>
    <definedName name="_8154__FDSAUDITLINK__" localSheetId="6" hidden="1">{"fdsup://directions/FAT Viewer?action=UPDATE&amp;creator=factset&amp;DYN_ARGS=TRUE&amp;DOC_NAME=FAT:FQL_AUDITING_CLIENT_TEMPLATE.FAT&amp;display_string=Audit&amp;VAR:KEY=XCHEHQDMBY&amp;VAR:QUERY=RkZfRUJJVERBX0lCKCdMVE1TJywzOTM4Nyk=&amp;WINDOW=FIRST_POPUP&amp;HEIGHT=450&amp;WIDTH=450&amp;START_MA","XIMIZED=FALSE&amp;VAR:CALENDAR=US&amp;VAR:SYMBOL=G0129K10&amp;VAR:INDEX=0"}</definedName>
    <definedName name="_8154__FDSAUDITLINK__" hidden="1">{"fdsup://directions/FAT Viewer?action=UPDATE&amp;creator=factset&amp;DYN_ARGS=TRUE&amp;DOC_NAME=FAT:FQL_AUDITING_CLIENT_TEMPLATE.FAT&amp;display_string=Audit&amp;VAR:KEY=XCHEHQDMBY&amp;VAR:QUERY=RkZfRUJJVERBX0lCKCdMVE1TJywzOTM4Nyk=&amp;WINDOW=FIRST_POPUP&amp;HEIGHT=450&amp;WIDTH=450&amp;START_MA","XIMIZED=FALSE&amp;VAR:CALENDAR=US&amp;VAR:SYMBOL=G0129K10&amp;VAR:INDEX=0"}</definedName>
    <definedName name="_8155__FDSAUDITLINK__" localSheetId="6" hidden="1">{"fdsup://directions/FAT Viewer?action=UPDATE&amp;creator=factset&amp;DYN_ARGS=TRUE&amp;DOC_NAME=FAT:FQL_AUDITING_CLIENT_TEMPLATE.FAT&amp;display_string=Audit&amp;VAR:KEY=TERAZQNYBG&amp;VAR:QUERY=RkZfRUJJVERBX0lCKCdMVE1TJywzOTM4Nik=&amp;WINDOW=FIRST_POPUP&amp;HEIGHT=450&amp;WIDTH=450&amp;START_MA","XIMIZED=FALSE&amp;VAR:CALENDAR=US&amp;VAR:SYMBOL=G0129K10&amp;VAR:INDEX=0"}</definedName>
    <definedName name="_8155__FDSAUDITLINK__" hidden="1">{"fdsup://directions/FAT Viewer?action=UPDATE&amp;creator=factset&amp;DYN_ARGS=TRUE&amp;DOC_NAME=FAT:FQL_AUDITING_CLIENT_TEMPLATE.FAT&amp;display_string=Audit&amp;VAR:KEY=TERAZQNYBG&amp;VAR:QUERY=RkZfRUJJVERBX0lCKCdMVE1TJywzOTM4Nik=&amp;WINDOW=FIRST_POPUP&amp;HEIGHT=450&amp;WIDTH=450&amp;START_MA","XIMIZED=FALSE&amp;VAR:CALENDAR=US&amp;VAR:SYMBOL=G0129K10&amp;VAR:INDEX=0"}</definedName>
    <definedName name="_8157__FDSAUDITLINK__" localSheetId="6" hidden="1">{"fdsup://directions/FAT Viewer?action=UPDATE&amp;creator=factset&amp;DYN_ARGS=TRUE&amp;DOC_NAME=FAT:FQL_AUDITING_CLIENT_TEMPLATE.FAT&amp;display_string=Audit&amp;VAR:KEY=RQDWLSTMHM&amp;VAR:QUERY=RkZfRUJJVERBX0lCKCdMVE1TJywzOTM4NCk=&amp;WINDOW=FIRST_POPUP&amp;HEIGHT=450&amp;WIDTH=450&amp;START_MA","XIMIZED=FALSE&amp;VAR:CALENDAR=US&amp;VAR:SYMBOL=G0129K10&amp;VAR:INDEX=0"}</definedName>
    <definedName name="_8157__FDSAUDITLINK__" hidden="1">{"fdsup://directions/FAT Viewer?action=UPDATE&amp;creator=factset&amp;DYN_ARGS=TRUE&amp;DOC_NAME=FAT:FQL_AUDITING_CLIENT_TEMPLATE.FAT&amp;display_string=Audit&amp;VAR:KEY=RQDWLSTMHM&amp;VAR:QUERY=RkZfRUJJVERBX0lCKCdMVE1TJywzOTM4NCk=&amp;WINDOW=FIRST_POPUP&amp;HEIGHT=450&amp;WIDTH=450&amp;START_MA","XIMIZED=FALSE&amp;VAR:CALENDAR=US&amp;VAR:SYMBOL=G0129K10&amp;VAR:INDEX=0"}</definedName>
    <definedName name="_8158__FDSAUDITLINK__" localSheetId="6" hidden="1">{"fdsup://directions/FAT Viewer?action=UPDATE&amp;creator=factset&amp;DYN_ARGS=TRUE&amp;DOC_NAME=FAT:FQL_AUDITING_CLIENT_TEMPLATE.FAT&amp;display_string=Audit&amp;VAR:KEY=VWFEROHAVQ&amp;VAR:QUERY=RkZfRUJJVERBX0lCKCdMVE1TJywzOTM4Myk=&amp;WINDOW=FIRST_POPUP&amp;HEIGHT=450&amp;WIDTH=450&amp;START_MA","XIMIZED=FALSE&amp;VAR:CALENDAR=US&amp;VAR:SYMBOL=G0129K10&amp;VAR:INDEX=0"}</definedName>
    <definedName name="_8158__FDSAUDITLINK__" hidden="1">{"fdsup://directions/FAT Viewer?action=UPDATE&amp;creator=factset&amp;DYN_ARGS=TRUE&amp;DOC_NAME=FAT:FQL_AUDITING_CLIENT_TEMPLATE.FAT&amp;display_string=Audit&amp;VAR:KEY=VWFEROHAVQ&amp;VAR:QUERY=RkZfRUJJVERBX0lCKCdMVE1TJywzOTM4Myk=&amp;WINDOW=FIRST_POPUP&amp;HEIGHT=450&amp;WIDTH=450&amp;START_MA","XIMIZED=FALSE&amp;VAR:CALENDAR=US&amp;VAR:SYMBOL=G0129K10&amp;VAR:INDEX=0"}</definedName>
    <definedName name="_8159__FDSAUDITLINK__" localSheetId="6" hidden="1">{"fdsup://directions/FAT Viewer?action=UPDATE&amp;creator=factset&amp;DYN_ARGS=TRUE&amp;DOC_NAME=FAT:FQL_AUDITING_CLIENT_TEMPLATE.FAT&amp;display_string=Audit&amp;VAR:KEY=JUTOXQFUJM&amp;VAR:QUERY=RkZfRUJJVERBX0lCKCdMVE1TJywzOTM4Mik=&amp;WINDOW=FIRST_POPUP&amp;HEIGHT=450&amp;WIDTH=450&amp;START_MA","XIMIZED=FALSE&amp;VAR:CALENDAR=US&amp;VAR:SYMBOL=G0129K10&amp;VAR:INDEX=0"}</definedName>
    <definedName name="_8159__FDSAUDITLINK__" hidden="1">{"fdsup://directions/FAT Viewer?action=UPDATE&amp;creator=factset&amp;DYN_ARGS=TRUE&amp;DOC_NAME=FAT:FQL_AUDITING_CLIENT_TEMPLATE.FAT&amp;display_string=Audit&amp;VAR:KEY=JUTOXQFUJM&amp;VAR:QUERY=RkZfRUJJVERBX0lCKCdMVE1TJywzOTM4Mik=&amp;WINDOW=FIRST_POPUP&amp;HEIGHT=450&amp;WIDTH=450&amp;START_MA","XIMIZED=FALSE&amp;VAR:CALENDAR=US&amp;VAR:SYMBOL=G0129K10&amp;VAR:INDEX=0"}</definedName>
    <definedName name="_816__FDSAUDITLINK__" localSheetId="6" hidden="1">{"fdsup://directions/FAT%20Viewer?VAR:PED=LTM&amp;VAR:AUDIT_MODE=SUMMARY&amp;VAR:PERIOD=FIXED&amp;VAR:AUDIT_ID=00000117&amp;VAR:DATE=20071128&amp;action=UPDATE&amp;creator=factset&amp;DOC_NAME=FAT:FMA_audit_SUMMARY.fat&amp;DISPLAY_STRING=Display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6__FDSAUDITLINK__" hidden="1">{"fdsup://directions/FAT%20Viewer?VAR:PED=LTM&amp;VAR:AUDIT_MODE=SUMMARY&amp;VAR:PERIOD=FIXED&amp;VAR:AUDIT_ID=00000117&amp;VAR:DATE=20071128&amp;action=UPDATE&amp;creator=factset&amp;DOC_NAME=FAT:FMA_audit_SUMMARY.fat&amp;DISPLAY_STRING=Display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60__FDSAUDITLINK__" localSheetId="6" hidden="1">{"fdsup://directions/FAT Viewer?action=UPDATE&amp;creator=factset&amp;DYN_ARGS=TRUE&amp;DOC_NAME=FAT:FQL_AUDITING_CLIENT_TEMPLATE.FAT&amp;display_string=Audit&amp;VAR:KEY=PEHAFMPQHU&amp;VAR:QUERY=RkZfRUJJVERBX0lCKCdMVE1TJywzOTM4MSk=&amp;WINDOW=FIRST_POPUP&amp;HEIGHT=450&amp;WIDTH=450&amp;START_MA","XIMIZED=FALSE&amp;VAR:CALENDAR=US&amp;VAR:SYMBOL=G0129K10&amp;VAR:INDEX=0"}</definedName>
    <definedName name="_8160__FDSAUDITLINK__" hidden="1">{"fdsup://directions/FAT Viewer?action=UPDATE&amp;creator=factset&amp;DYN_ARGS=TRUE&amp;DOC_NAME=FAT:FQL_AUDITING_CLIENT_TEMPLATE.FAT&amp;display_string=Audit&amp;VAR:KEY=PEHAFMPQHU&amp;VAR:QUERY=RkZfRUJJVERBX0lCKCdMVE1TJywzOTM4MSk=&amp;WINDOW=FIRST_POPUP&amp;HEIGHT=450&amp;WIDTH=450&amp;START_MA","XIMIZED=FALSE&amp;VAR:CALENDAR=US&amp;VAR:SYMBOL=G0129K10&amp;VAR:INDEX=0"}</definedName>
    <definedName name="_8161__FDSAUDITLINK__" localSheetId="6" hidden="1">{"fdsup://directions/FAT Viewer?action=UPDATE&amp;creator=factset&amp;DYN_ARGS=TRUE&amp;DOC_NAME=FAT:FQL_AUDITING_CLIENT_TEMPLATE.FAT&amp;display_string=Audit&amp;VAR:KEY=LIRGJWFURE&amp;VAR:QUERY=RkZfRUJJVERBX0lCKCdMVE1TJywzOTM4MCk=&amp;WINDOW=FIRST_POPUP&amp;HEIGHT=450&amp;WIDTH=450&amp;START_MA","XIMIZED=FALSE&amp;VAR:CALENDAR=US&amp;VAR:SYMBOL=G0129K10&amp;VAR:INDEX=0"}</definedName>
    <definedName name="_8161__FDSAUDITLINK__" hidden="1">{"fdsup://directions/FAT Viewer?action=UPDATE&amp;creator=factset&amp;DYN_ARGS=TRUE&amp;DOC_NAME=FAT:FQL_AUDITING_CLIENT_TEMPLATE.FAT&amp;display_string=Audit&amp;VAR:KEY=LIRGJWFURE&amp;VAR:QUERY=RkZfRUJJVERBX0lCKCdMVE1TJywzOTM4MCk=&amp;WINDOW=FIRST_POPUP&amp;HEIGHT=450&amp;WIDTH=450&amp;START_MA","XIMIZED=FALSE&amp;VAR:CALENDAR=US&amp;VAR:SYMBOL=G0129K10&amp;VAR:INDEX=0"}</definedName>
    <definedName name="_8162__FDSAUDITLINK__" localSheetId="6" hidden="1">{"fdsup://directions/FAT Viewer?action=UPDATE&amp;creator=factset&amp;DYN_ARGS=TRUE&amp;DOC_NAME=FAT:FQL_AUDITING_CLIENT_TEMPLATE.FAT&amp;display_string=Audit&amp;VAR:KEY=PEFCXGJKPK&amp;VAR:QUERY=RkZfRUJJVERBX0lCKCdMVE1TJywzOTM3OSk=&amp;WINDOW=FIRST_POPUP&amp;HEIGHT=450&amp;WIDTH=450&amp;START_MA","XIMIZED=FALSE&amp;VAR:CALENDAR=US&amp;VAR:SYMBOL=G0129K10&amp;VAR:INDEX=0"}</definedName>
    <definedName name="_8162__FDSAUDITLINK__" hidden="1">{"fdsup://directions/FAT Viewer?action=UPDATE&amp;creator=factset&amp;DYN_ARGS=TRUE&amp;DOC_NAME=FAT:FQL_AUDITING_CLIENT_TEMPLATE.FAT&amp;display_string=Audit&amp;VAR:KEY=PEFCXGJKPK&amp;VAR:QUERY=RkZfRUJJVERBX0lCKCdMVE1TJywzOTM3OSk=&amp;WINDOW=FIRST_POPUP&amp;HEIGHT=450&amp;WIDTH=450&amp;START_MA","XIMIZED=FALSE&amp;VAR:CALENDAR=US&amp;VAR:SYMBOL=G0129K10&amp;VAR:INDEX=0"}</definedName>
    <definedName name="_8163__FDSAUDITLINK__" localSheetId="6" hidden="1">{"fdsup://directions/FAT Viewer?action=UPDATE&amp;creator=factset&amp;DYN_ARGS=TRUE&amp;DOC_NAME=FAT:FQL_AUDITING_CLIENT_TEMPLATE.FAT&amp;display_string=Audit&amp;VAR:KEY=TMVCLUTYZU&amp;VAR:QUERY=RkZfRUJJVERBX0lCKCdMVE1TJywzOTM3OCk=&amp;WINDOW=FIRST_POPUP&amp;HEIGHT=450&amp;WIDTH=450&amp;START_MA","XIMIZED=FALSE&amp;VAR:CALENDAR=US&amp;VAR:SYMBOL=G0129K10&amp;VAR:INDEX=0"}</definedName>
    <definedName name="_8163__FDSAUDITLINK__" hidden="1">{"fdsup://directions/FAT Viewer?action=UPDATE&amp;creator=factset&amp;DYN_ARGS=TRUE&amp;DOC_NAME=FAT:FQL_AUDITING_CLIENT_TEMPLATE.FAT&amp;display_string=Audit&amp;VAR:KEY=TMVCLUTYZU&amp;VAR:QUERY=RkZfRUJJVERBX0lCKCdMVE1TJywzOTM3OCk=&amp;WINDOW=FIRST_POPUP&amp;HEIGHT=450&amp;WIDTH=450&amp;START_MA","XIMIZED=FALSE&amp;VAR:CALENDAR=US&amp;VAR:SYMBOL=G0129K10&amp;VAR:INDEX=0"}</definedName>
    <definedName name="_8164__FDSAUDITLINK__" localSheetId="6" hidden="1">{"fdsup://directions/FAT Viewer?action=UPDATE&amp;creator=factset&amp;DYN_ARGS=TRUE&amp;DOC_NAME=FAT:FQL_AUDITING_CLIENT_TEMPLATE.FAT&amp;display_string=Audit&amp;VAR:KEY=NGBORURCPO&amp;VAR:QUERY=RkZfRUJJVERBX0lCKCdMVE1TJywzOTM3Nyk=&amp;WINDOW=FIRST_POPUP&amp;HEIGHT=450&amp;WIDTH=450&amp;START_MA","XIMIZED=FALSE&amp;VAR:CALENDAR=US&amp;VAR:SYMBOL=G0129K10&amp;VAR:INDEX=0"}</definedName>
    <definedName name="_8164__FDSAUDITLINK__" hidden="1">{"fdsup://directions/FAT Viewer?action=UPDATE&amp;creator=factset&amp;DYN_ARGS=TRUE&amp;DOC_NAME=FAT:FQL_AUDITING_CLIENT_TEMPLATE.FAT&amp;display_string=Audit&amp;VAR:KEY=NGBORURCPO&amp;VAR:QUERY=RkZfRUJJVERBX0lCKCdMVE1TJywzOTM3Nyk=&amp;WINDOW=FIRST_POPUP&amp;HEIGHT=450&amp;WIDTH=450&amp;START_MA","XIMIZED=FALSE&amp;VAR:CALENDAR=US&amp;VAR:SYMBOL=G0129K10&amp;VAR:INDEX=0"}</definedName>
    <definedName name="_8165__FDSAUDITLINK__" localSheetId="6" hidden="1">{"fdsup://directions/FAT Viewer?action=UPDATE&amp;creator=factset&amp;DYN_ARGS=TRUE&amp;DOC_NAME=FAT:FQL_AUDITING_CLIENT_TEMPLATE.FAT&amp;display_string=Audit&amp;VAR:KEY=VUNWPGLURE&amp;VAR:QUERY=RkZfRUJJVERBX0lCKCdMVE1TJywzOTM3Nik=&amp;WINDOW=FIRST_POPUP&amp;HEIGHT=450&amp;WIDTH=450&amp;START_MA","XIMIZED=FALSE&amp;VAR:CALENDAR=US&amp;VAR:SYMBOL=G0129K10&amp;VAR:INDEX=0"}</definedName>
    <definedName name="_8165__FDSAUDITLINK__" hidden="1">{"fdsup://directions/FAT Viewer?action=UPDATE&amp;creator=factset&amp;DYN_ARGS=TRUE&amp;DOC_NAME=FAT:FQL_AUDITING_CLIENT_TEMPLATE.FAT&amp;display_string=Audit&amp;VAR:KEY=VUNWPGLURE&amp;VAR:QUERY=RkZfRUJJVERBX0lCKCdMVE1TJywzOTM3Nik=&amp;WINDOW=FIRST_POPUP&amp;HEIGHT=450&amp;WIDTH=450&amp;START_MA","XIMIZED=FALSE&amp;VAR:CALENDAR=US&amp;VAR:SYMBOL=G0129K10&amp;VAR:INDEX=0"}</definedName>
    <definedName name="_8166__FDSAUDITLINK__" localSheetId="6" hidden="1">{"fdsup://directions/FAT Viewer?action=UPDATE&amp;creator=factset&amp;DYN_ARGS=TRUE&amp;DOC_NAME=FAT:FQL_AUDITING_CLIENT_TEMPLATE.FAT&amp;display_string=Audit&amp;VAR:KEY=TGPWPIVOPK&amp;VAR:QUERY=RkZfRUJJVERBX0lCKCdMVE1TJywzOTM3NSk=&amp;WINDOW=FIRST_POPUP&amp;HEIGHT=450&amp;WIDTH=450&amp;START_MA","XIMIZED=FALSE&amp;VAR:CALENDAR=US&amp;VAR:SYMBOL=G0129K10&amp;VAR:INDEX=0"}</definedName>
    <definedName name="_8166__FDSAUDITLINK__" hidden="1">{"fdsup://directions/FAT Viewer?action=UPDATE&amp;creator=factset&amp;DYN_ARGS=TRUE&amp;DOC_NAME=FAT:FQL_AUDITING_CLIENT_TEMPLATE.FAT&amp;display_string=Audit&amp;VAR:KEY=TGPWPIVOPK&amp;VAR:QUERY=RkZfRUJJVERBX0lCKCdMVE1TJywzOTM3NSk=&amp;WINDOW=FIRST_POPUP&amp;HEIGHT=450&amp;WIDTH=450&amp;START_MA","XIMIZED=FALSE&amp;VAR:CALENDAR=US&amp;VAR:SYMBOL=G0129K10&amp;VAR:INDEX=0"}</definedName>
    <definedName name="_8167__FDSAUDITLINK__" localSheetId="6" hidden="1">{"fdsup://directions/FAT Viewer?action=UPDATE&amp;creator=factset&amp;DYN_ARGS=TRUE&amp;DOC_NAME=FAT:FQL_AUDITING_CLIENT_TEMPLATE.FAT&amp;display_string=Audit&amp;VAR:KEY=VELMFIDYRG&amp;VAR:QUERY=RkZfRUJJVERBX0lCKCdMVE1TJywzOTM3NCk=&amp;WINDOW=FIRST_POPUP&amp;HEIGHT=450&amp;WIDTH=450&amp;START_MA","XIMIZED=FALSE&amp;VAR:CALENDAR=US&amp;VAR:SYMBOL=G0129K10&amp;VAR:INDEX=0"}</definedName>
    <definedName name="_8167__FDSAUDITLINK__" hidden="1">{"fdsup://directions/FAT Viewer?action=UPDATE&amp;creator=factset&amp;DYN_ARGS=TRUE&amp;DOC_NAME=FAT:FQL_AUDITING_CLIENT_TEMPLATE.FAT&amp;display_string=Audit&amp;VAR:KEY=VELMFIDYRG&amp;VAR:QUERY=RkZfRUJJVERBX0lCKCdMVE1TJywzOTM3NCk=&amp;WINDOW=FIRST_POPUP&amp;HEIGHT=450&amp;WIDTH=450&amp;START_MA","XIMIZED=FALSE&amp;VAR:CALENDAR=US&amp;VAR:SYMBOL=G0129K10&amp;VAR:INDEX=0"}</definedName>
    <definedName name="_8168__FDSAUDITLINK__" localSheetId="6" hidden="1">{"fdsup://directions/FAT Viewer?action=UPDATE&amp;creator=factset&amp;DYN_ARGS=TRUE&amp;DOC_NAME=FAT:FQL_AUDITING_CLIENT_TEMPLATE.FAT&amp;display_string=Audit&amp;VAR:KEY=NIZYPCXUPM&amp;VAR:QUERY=RkZfRUJJVERBX0lCKCdMVE1TJywzOTM3Myk=&amp;WINDOW=FIRST_POPUP&amp;HEIGHT=450&amp;WIDTH=450&amp;START_MA","XIMIZED=FALSE&amp;VAR:CALENDAR=US&amp;VAR:SYMBOL=G0129K10&amp;VAR:INDEX=0"}</definedName>
    <definedName name="_8168__FDSAUDITLINK__" hidden="1">{"fdsup://directions/FAT Viewer?action=UPDATE&amp;creator=factset&amp;DYN_ARGS=TRUE&amp;DOC_NAME=FAT:FQL_AUDITING_CLIENT_TEMPLATE.FAT&amp;display_string=Audit&amp;VAR:KEY=NIZYPCXUPM&amp;VAR:QUERY=RkZfRUJJVERBX0lCKCdMVE1TJywzOTM3Myk=&amp;WINDOW=FIRST_POPUP&amp;HEIGHT=450&amp;WIDTH=450&amp;START_MA","XIMIZED=FALSE&amp;VAR:CALENDAR=US&amp;VAR:SYMBOL=G0129K10&amp;VAR:INDEX=0"}</definedName>
    <definedName name="_8169__FDSAUDITLINK__" localSheetId="6" hidden="1">{"fdsup://directions/FAT Viewer?action=UPDATE&amp;creator=factset&amp;DYN_ARGS=TRUE&amp;DOC_NAME=FAT:FQL_AUDITING_CLIENT_TEMPLATE.FAT&amp;display_string=Audit&amp;VAR:KEY=VOTAJWNMVC&amp;VAR:QUERY=RkZfRUJJVERBX0lCKCdMVE1TJywzOTM3Mik=&amp;WINDOW=FIRST_POPUP&amp;HEIGHT=450&amp;WIDTH=450&amp;START_MA","XIMIZED=FALSE&amp;VAR:CALENDAR=US&amp;VAR:SYMBOL=G0129K10&amp;VAR:INDEX=0"}</definedName>
    <definedName name="_8169__FDSAUDITLINK__" hidden="1">{"fdsup://directions/FAT Viewer?action=UPDATE&amp;creator=factset&amp;DYN_ARGS=TRUE&amp;DOC_NAME=FAT:FQL_AUDITING_CLIENT_TEMPLATE.FAT&amp;display_string=Audit&amp;VAR:KEY=VOTAJWNMVC&amp;VAR:QUERY=RkZfRUJJVERBX0lCKCdMVE1TJywzOTM3Mik=&amp;WINDOW=FIRST_POPUP&amp;HEIGHT=450&amp;WIDTH=450&amp;START_MA","XIMIZED=FALSE&amp;VAR:CALENDAR=US&amp;VAR:SYMBOL=G0129K10&amp;VAR:INDEX=0"}</definedName>
    <definedName name="_817__FDSAUDITLINK__" localSheetId="6" hidden="1">{"fdsup://directions/FAT%20Viewer?VAR:PED=LTM&amp;VAR:AUDIT_MODE=SUMMARY&amp;VAR:PERIOD=FIXED&amp;VAR:AUDIT_ID=00000117&amp;VAR:DATE=20071127&amp;action=UPDATE&amp;creator=factset&amp;DOC_NAME=FAT:FMA_audit_SUMMARY.fat&amp;DISPLAY_STRING=Display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7__FDSAUDITLINK__" hidden="1">{"fdsup://directions/FAT%20Viewer?VAR:PED=LTM&amp;VAR:AUDIT_MODE=SUMMARY&amp;VAR:PERIOD=FIXED&amp;VAR:AUDIT_ID=00000117&amp;VAR:DATE=20071127&amp;action=UPDATE&amp;creator=factset&amp;DOC_NAME=FAT:FMA_audit_SUMMARY.fat&amp;DISPLAY_STRING=Display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70__FDSAUDITLINK__" localSheetId="6" hidden="1">{"fdsup://directions/FAT Viewer?action=UPDATE&amp;creator=factset&amp;DYN_ARGS=TRUE&amp;DOC_NAME=FAT:FQL_AUDITING_CLIENT_TEMPLATE.FAT&amp;display_string=Audit&amp;VAR:KEY=TITMNOFKHO&amp;VAR:QUERY=RkZfRUJJVERBX0lCKCdMVE1TJywzOTM3MSk=&amp;WINDOW=FIRST_POPUP&amp;HEIGHT=450&amp;WIDTH=450&amp;START_MA","XIMIZED=FALSE&amp;VAR:CALENDAR=US&amp;VAR:SYMBOL=G0129K10&amp;VAR:INDEX=0"}</definedName>
    <definedName name="_8170__FDSAUDITLINK__" hidden="1">{"fdsup://directions/FAT Viewer?action=UPDATE&amp;creator=factset&amp;DYN_ARGS=TRUE&amp;DOC_NAME=FAT:FQL_AUDITING_CLIENT_TEMPLATE.FAT&amp;display_string=Audit&amp;VAR:KEY=TITMNOFKHO&amp;VAR:QUERY=RkZfRUJJVERBX0lCKCdMVE1TJywzOTM3MSk=&amp;WINDOW=FIRST_POPUP&amp;HEIGHT=450&amp;WIDTH=450&amp;START_MA","XIMIZED=FALSE&amp;VAR:CALENDAR=US&amp;VAR:SYMBOL=G0129K10&amp;VAR:INDEX=0"}</definedName>
    <definedName name="_8171__FDSAUDITLINK__" localSheetId="6" hidden="1">{"fdsup://directions/FAT Viewer?action=UPDATE&amp;creator=factset&amp;DYN_ARGS=TRUE&amp;DOC_NAME=FAT:FQL_AUDITING_CLIENT_TEMPLATE.FAT&amp;display_string=Audit&amp;VAR:KEY=XWLMDWBSFK&amp;VAR:QUERY=RkZfRUJJVERBX0lCKCdMVE1TJywzOTM3MCk=&amp;WINDOW=FIRST_POPUP&amp;HEIGHT=450&amp;WIDTH=450&amp;START_MA","XIMIZED=FALSE&amp;VAR:CALENDAR=US&amp;VAR:SYMBOL=G0129K10&amp;VAR:INDEX=0"}</definedName>
    <definedName name="_8171__FDSAUDITLINK__" hidden="1">{"fdsup://directions/FAT Viewer?action=UPDATE&amp;creator=factset&amp;DYN_ARGS=TRUE&amp;DOC_NAME=FAT:FQL_AUDITING_CLIENT_TEMPLATE.FAT&amp;display_string=Audit&amp;VAR:KEY=XWLMDWBSFK&amp;VAR:QUERY=RkZfRUJJVERBX0lCKCdMVE1TJywzOTM3MCk=&amp;WINDOW=FIRST_POPUP&amp;HEIGHT=450&amp;WIDTH=450&amp;START_MA","XIMIZED=FALSE&amp;VAR:CALENDAR=US&amp;VAR:SYMBOL=G0129K10&amp;VAR:INDEX=0"}</definedName>
    <definedName name="_8172__FDSAUDITLINK__" localSheetId="6" hidden="1">{"fdsup://directions/FAT Viewer?action=UPDATE&amp;creator=factset&amp;DYN_ARGS=TRUE&amp;DOC_NAME=FAT:FQL_AUDITING_CLIENT_TEMPLATE.FAT&amp;display_string=Audit&amp;VAR:KEY=XWBEZOFEXE&amp;VAR:QUERY=RkZfRUJJVERBX0lCKCdMVE1TJywzOTM2OSk=&amp;WINDOW=FIRST_POPUP&amp;HEIGHT=450&amp;WIDTH=450&amp;START_MA","XIMIZED=FALSE&amp;VAR:CALENDAR=US&amp;VAR:SYMBOL=G0129K10&amp;VAR:INDEX=0"}</definedName>
    <definedName name="_8172__FDSAUDITLINK__" hidden="1">{"fdsup://directions/FAT Viewer?action=UPDATE&amp;creator=factset&amp;DYN_ARGS=TRUE&amp;DOC_NAME=FAT:FQL_AUDITING_CLIENT_TEMPLATE.FAT&amp;display_string=Audit&amp;VAR:KEY=XWBEZOFEXE&amp;VAR:QUERY=RkZfRUJJVERBX0lCKCdMVE1TJywzOTM2OSk=&amp;WINDOW=FIRST_POPUP&amp;HEIGHT=450&amp;WIDTH=450&amp;START_MA","XIMIZED=FALSE&amp;VAR:CALENDAR=US&amp;VAR:SYMBOL=G0129K10&amp;VAR:INDEX=0"}</definedName>
    <definedName name="_8173__FDSAUDITLINK__" localSheetId="6" hidden="1">{"fdsup://directions/FAT Viewer?action=UPDATE&amp;creator=factset&amp;DYN_ARGS=TRUE&amp;DOC_NAME=FAT:FQL_AUDITING_CLIENT_TEMPLATE.FAT&amp;display_string=Audit&amp;VAR:KEY=DWVYTILMLQ&amp;VAR:QUERY=RkZfRUJJVERBX0lCKCdMVE1TJywzOTM2OCk=&amp;WINDOW=FIRST_POPUP&amp;HEIGHT=450&amp;WIDTH=450&amp;START_MA","XIMIZED=FALSE&amp;VAR:CALENDAR=US&amp;VAR:SYMBOL=G0129K10&amp;VAR:INDEX=0"}</definedName>
    <definedName name="_8173__FDSAUDITLINK__" hidden="1">{"fdsup://directions/FAT Viewer?action=UPDATE&amp;creator=factset&amp;DYN_ARGS=TRUE&amp;DOC_NAME=FAT:FQL_AUDITING_CLIENT_TEMPLATE.FAT&amp;display_string=Audit&amp;VAR:KEY=DWVYTILMLQ&amp;VAR:QUERY=RkZfRUJJVERBX0lCKCdMVE1TJywzOTM2OCk=&amp;WINDOW=FIRST_POPUP&amp;HEIGHT=450&amp;WIDTH=450&amp;START_MA","XIMIZED=FALSE&amp;VAR:CALENDAR=US&amp;VAR:SYMBOL=G0129K10&amp;VAR:INDEX=0"}</definedName>
    <definedName name="_8174__FDSAUDITLINK__" localSheetId="6" hidden="1">{"fdsup://directions/FAT Viewer?action=UPDATE&amp;creator=factset&amp;DYN_ARGS=TRUE&amp;DOC_NAME=FAT:FQL_AUDITING_CLIENT_TEMPLATE.FAT&amp;display_string=Audit&amp;VAR:KEY=TALKJUFOVW&amp;VAR:QUERY=RkZfRUJJVERBX0lCKCdMVE1TJywzOTM2Nyk=&amp;WINDOW=FIRST_POPUP&amp;HEIGHT=450&amp;WIDTH=450&amp;START_MA","XIMIZED=FALSE&amp;VAR:CALENDAR=US&amp;VAR:SYMBOL=G0129K10&amp;VAR:INDEX=0"}</definedName>
    <definedName name="_8174__FDSAUDITLINK__" hidden="1">{"fdsup://directions/FAT Viewer?action=UPDATE&amp;creator=factset&amp;DYN_ARGS=TRUE&amp;DOC_NAME=FAT:FQL_AUDITING_CLIENT_TEMPLATE.FAT&amp;display_string=Audit&amp;VAR:KEY=TALKJUFOVW&amp;VAR:QUERY=RkZfRUJJVERBX0lCKCdMVE1TJywzOTM2Nyk=&amp;WINDOW=FIRST_POPUP&amp;HEIGHT=450&amp;WIDTH=450&amp;START_MA","XIMIZED=FALSE&amp;VAR:CALENDAR=US&amp;VAR:SYMBOL=G0129K10&amp;VAR:INDEX=0"}</definedName>
    <definedName name="_8175__FDSAUDITLINK__" localSheetId="6" hidden="1">{"fdsup://directions/FAT Viewer?action=UPDATE&amp;creator=factset&amp;DYN_ARGS=TRUE&amp;DOC_NAME=FAT:FQL_AUDITING_CLIENT_TEMPLATE.FAT&amp;display_string=Audit&amp;VAR:KEY=DADSDQRINC&amp;VAR:QUERY=RkZfRUJJVERBX0lCKCdMVE1TJywzOTM2Nik=&amp;WINDOW=FIRST_POPUP&amp;HEIGHT=450&amp;WIDTH=450&amp;START_MA","XIMIZED=FALSE&amp;VAR:CALENDAR=US&amp;VAR:SYMBOL=G0129K10&amp;VAR:INDEX=0"}</definedName>
    <definedName name="_8175__FDSAUDITLINK__" hidden="1">{"fdsup://directions/FAT Viewer?action=UPDATE&amp;creator=factset&amp;DYN_ARGS=TRUE&amp;DOC_NAME=FAT:FQL_AUDITING_CLIENT_TEMPLATE.FAT&amp;display_string=Audit&amp;VAR:KEY=DADSDQRINC&amp;VAR:QUERY=RkZfRUJJVERBX0lCKCdMVE1TJywzOTM2Nik=&amp;WINDOW=FIRST_POPUP&amp;HEIGHT=450&amp;WIDTH=450&amp;START_MA","XIMIZED=FALSE&amp;VAR:CALENDAR=US&amp;VAR:SYMBOL=G0129K10&amp;VAR:INDEX=0"}</definedName>
    <definedName name="_8176__FDSAUDITLINK__" localSheetId="6" hidden="1">{"fdsup://directions/FAT Viewer?action=UPDATE&amp;creator=factset&amp;DYN_ARGS=TRUE&amp;DOC_NAME=FAT:FQL_AUDITING_CLIENT_TEMPLATE.FAT&amp;display_string=Audit&amp;VAR:KEY=XOHENSBSLW&amp;VAR:QUERY=RkZfRUJJVERBX0lCKCdMVE1TJywzOTM2NSk=&amp;WINDOW=FIRST_POPUP&amp;HEIGHT=450&amp;WIDTH=450&amp;START_MA","XIMIZED=FALSE&amp;VAR:CALENDAR=US&amp;VAR:SYMBOL=G0129K10&amp;VAR:INDEX=0"}</definedName>
    <definedName name="_8176__FDSAUDITLINK__" hidden="1">{"fdsup://directions/FAT Viewer?action=UPDATE&amp;creator=factset&amp;DYN_ARGS=TRUE&amp;DOC_NAME=FAT:FQL_AUDITING_CLIENT_TEMPLATE.FAT&amp;display_string=Audit&amp;VAR:KEY=XOHENSBSLW&amp;VAR:QUERY=RkZfRUJJVERBX0lCKCdMVE1TJywzOTM2NSk=&amp;WINDOW=FIRST_POPUP&amp;HEIGHT=450&amp;WIDTH=450&amp;START_MA","XIMIZED=FALSE&amp;VAR:CALENDAR=US&amp;VAR:SYMBOL=G0129K10&amp;VAR:INDEX=0"}</definedName>
    <definedName name="_8177__FDSAUDITLINK__" localSheetId="6" hidden="1">{"fdsup://directions/FAT Viewer?action=UPDATE&amp;creator=factset&amp;DYN_ARGS=TRUE&amp;DOC_NAME=FAT:FQL_AUDITING_CLIENT_TEMPLATE.FAT&amp;display_string=Audit&amp;VAR:KEY=JCDUDSPYZS&amp;VAR:QUERY=RkZfRUJJVERBX0lCKCdMVE1TJywzOTM2NCk=&amp;WINDOW=FIRST_POPUP&amp;HEIGHT=450&amp;WIDTH=450&amp;START_MA","XIMIZED=FALSE&amp;VAR:CALENDAR=US&amp;VAR:SYMBOL=G0129K10&amp;VAR:INDEX=0"}</definedName>
    <definedName name="_8177__FDSAUDITLINK__" hidden="1">{"fdsup://directions/FAT Viewer?action=UPDATE&amp;creator=factset&amp;DYN_ARGS=TRUE&amp;DOC_NAME=FAT:FQL_AUDITING_CLIENT_TEMPLATE.FAT&amp;display_string=Audit&amp;VAR:KEY=JCDUDSPYZS&amp;VAR:QUERY=RkZfRUJJVERBX0lCKCdMVE1TJywzOTM2NCk=&amp;WINDOW=FIRST_POPUP&amp;HEIGHT=450&amp;WIDTH=450&amp;START_MA","XIMIZED=FALSE&amp;VAR:CALENDAR=US&amp;VAR:SYMBOL=G0129K10&amp;VAR:INDEX=0"}</definedName>
    <definedName name="_8178__FDSAUDITLINK__" localSheetId="6" hidden="1">{"fdsup://directions/FAT Viewer?action=UPDATE&amp;creator=factset&amp;DYN_ARGS=TRUE&amp;DOC_NAME=FAT:FQL_AUDITING_CLIENT_TEMPLATE.FAT&amp;display_string=Audit&amp;VAR:KEY=XOVCFUFKFA&amp;VAR:QUERY=RkZfRUJJVERBX0lCKCdMVE1TJywzOTM2Myk=&amp;WINDOW=FIRST_POPUP&amp;HEIGHT=450&amp;WIDTH=450&amp;START_MA","XIMIZED=FALSE&amp;VAR:CALENDAR=US&amp;VAR:SYMBOL=G0129K10&amp;VAR:INDEX=0"}</definedName>
    <definedName name="_8178__FDSAUDITLINK__" hidden="1">{"fdsup://directions/FAT Viewer?action=UPDATE&amp;creator=factset&amp;DYN_ARGS=TRUE&amp;DOC_NAME=FAT:FQL_AUDITING_CLIENT_TEMPLATE.FAT&amp;display_string=Audit&amp;VAR:KEY=XOVCFUFKFA&amp;VAR:QUERY=RkZfRUJJVERBX0lCKCdMVE1TJywzOTM2Myk=&amp;WINDOW=FIRST_POPUP&amp;HEIGHT=450&amp;WIDTH=450&amp;START_MA","XIMIZED=FALSE&amp;VAR:CALENDAR=US&amp;VAR:SYMBOL=G0129K10&amp;VAR:INDEX=0"}</definedName>
    <definedName name="_8179__FDSAUDITLINK__" localSheetId="6" hidden="1">{"fdsup://directions/FAT Viewer?action=UPDATE&amp;creator=factset&amp;DYN_ARGS=TRUE&amp;DOC_NAME=FAT:FQL_AUDITING_CLIENT_TEMPLATE.FAT&amp;display_string=Audit&amp;VAR:KEY=DGPWDKVQHA&amp;VAR:QUERY=RkZfRUJJVERBX0lCKCdMVE1TJywzOTM2Mik=&amp;WINDOW=FIRST_POPUP&amp;HEIGHT=450&amp;WIDTH=450&amp;START_MA","XIMIZED=FALSE&amp;VAR:CALENDAR=US&amp;VAR:SYMBOL=G0129K10&amp;VAR:INDEX=0"}</definedName>
    <definedName name="_8179__FDSAUDITLINK__" hidden="1">{"fdsup://directions/FAT Viewer?action=UPDATE&amp;creator=factset&amp;DYN_ARGS=TRUE&amp;DOC_NAME=FAT:FQL_AUDITING_CLIENT_TEMPLATE.FAT&amp;display_string=Audit&amp;VAR:KEY=DGPWDKVQHA&amp;VAR:QUERY=RkZfRUJJVERBX0lCKCdMVE1TJywzOTM2Mik=&amp;WINDOW=FIRST_POPUP&amp;HEIGHT=450&amp;WIDTH=450&amp;START_MA","XIMIZED=FALSE&amp;VAR:CALENDAR=US&amp;VAR:SYMBOL=G0129K10&amp;VAR:INDEX=0"}</definedName>
    <definedName name="_818__FDSAUDITLINK__" localSheetId="6" hidden="1">{"fdsup://directions/FAT%20Viewer?VAR:PED=LTM&amp;VAR:AUDIT_MODE=SUMMARY&amp;VAR:PERIOD=FIXED&amp;VAR:AUDIT_ID=00000117&amp;VAR:DATE=20071126&amp;action=UPDATE&amp;creator=factset&amp;DOC_NAME=FAT:FMA_audit_SUMMARY.fat&amp;DISPLAY_STRING=Display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8__FDSAUDITLINK__" hidden="1">{"fdsup://directions/FAT%20Viewer?VAR:PED=LTM&amp;VAR:AUDIT_MODE=SUMMARY&amp;VAR:PERIOD=FIXED&amp;VAR:AUDIT_ID=00000117&amp;VAR:DATE=20071126&amp;action=UPDATE&amp;creator=factset&amp;DOC_NAME=FAT:FMA_audit_SUMMARY.fat&amp;DISPLAY_STRING=Display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80__FDSAUDITLINK__" localSheetId="6" hidden="1">{"fdsup://directions/FAT Viewer?action=UPDATE&amp;creator=factset&amp;DYN_ARGS=TRUE&amp;DOC_NAME=FAT:FQL_AUDITING_CLIENT_TEMPLATE.FAT&amp;display_string=Audit&amp;VAR:KEY=TOVARCXWHE&amp;VAR:QUERY=RkZfRUJJVERBX0lCKCdMVE1TJywzOTM2MSk=&amp;WINDOW=FIRST_POPUP&amp;HEIGHT=450&amp;WIDTH=450&amp;START_MA","XIMIZED=FALSE&amp;VAR:CALENDAR=US&amp;VAR:SYMBOL=G0129K10&amp;VAR:INDEX=0"}</definedName>
    <definedName name="_8180__FDSAUDITLINK__" hidden="1">{"fdsup://directions/FAT Viewer?action=UPDATE&amp;creator=factset&amp;DYN_ARGS=TRUE&amp;DOC_NAME=FAT:FQL_AUDITING_CLIENT_TEMPLATE.FAT&amp;display_string=Audit&amp;VAR:KEY=TOVARCXWHE&amp;VAR:QUERY=RkZfRUJJVERBX0lCKCdMVE1TJywzOTM2MSk=&amp;WINDOW=FIRST_POPUP&amp;HEIGHT=450&amp;WIDTH=450&amp;START_MA","XIMIZED=FALSE&amp;VAR:CALENDAR=US&amp;VAR:SYMBOL=G0129K10&amp;VAR:INDEX=0"}</definedName>
    <definedName name="_8181__FDSAUDITLINK__" localSheetId="6" hidden="1">{"fdsup://directions/FAT Viewer?action=UPDATE&amp;creator=factset&amp;DYN_ARGS=TRUE&amp;DOC_NAME=FAT:FQL_AUDITING_CLIENT_TEMPLATE.FAT&amp;display_string=Audit&amp;VAR:KEY=VWDIXSJGVQ&amp;VAR:QUERY=RkZfRUJJVERBX0lCKCdMVE1TJywzOTM2MCk=&amp;WINDOW=FIRST_POPUP&amp;HEIGHT=450&amp;WIDTH=450&amp;START_MA","XIMIZED=FALSE&amp;VAR:CALENDAR=US&amp;VAR:SYMBOL=G0129K10&amp;VAR:INDEX=0"}</definedName>
    <definedName name="_8181__FDSAUDITLINK__" hidden="1">{"fdsup://directions/FAT Viewer?action=UPDATE&amp;creator=factset&amp;DYN_ARGS=TRUE&amp;DOC_NAME=FAT:FQL_AUDITING_CLIENT_TEMPLATE.FAT&amp;display_string=Audit&amp;VAR:KEY=VWDIXSJGVQ&amp;VAR:QUERY=RkZfRUJJVERBX0lCKCdMVE1TJywzOTM2MCk=&amp;WINDOW=FIRST_POPUP&amp;HEIGHT=450&amp;WIDTH=450&amp;START_MA","XIMIZED=FALSE&amp;VAR:CALENDAR=US&amp;VAR:SYMBOL=G0129K10&amp;VAR:INDEX=0"}</definedName>
    <definedName name="_8182__FDSAUDITLINK__" localSheetId="6" hidden="1">{"fdsup://directions/FAT Viewer?action=UPDATE&amp;creator=factset&amp;DYN_ARGS=TRUE&amp;DOC_NAME=FAT:FQL_AUDITING_CLIENT_TEMPLATE.FAT&amp;display_string=Audit&amp;VAR:KEY=TKTUBYJARI&amp;VAR:QUERY=RkZfRUJJVERBX0lCKCdMVE1TJywzOTM1OSk=&amp;WINDOW=FIRST_POPUP&amp;HEIGHT=450&amp;WIDTH=450&amp;START_MA","XIMIZED=FALSE&amp;VAR:CALENDAR=US&amp;VAR:SYMBOL=G0129K10&amp;VAR:INDEX=0"}</definedName>
    <definedName name="_8182__FDSAUDITLINK__" hidden="1">{"fdsup://directions/FAT Viewer?action=UPDATE&amp;creator=factset&amp;DYN_ARGS=TRUE&amp;DOC_NAME=FAT:FQL_AUDITING_CLIENT_TEMPLATE.FAT&amp;display_string=Audit&amp;VAR:KEY=TKTUBYJARI&amp;VAR:QUERY=RkZfRUJJVERBX0lCKCdMVE1TJywzOTM1OSk=&amp;WINDOW=FIRST_POPUP&amp;HEIGHT=450&amp;WIDTH=450&amp;START_MA","XIMIZED=FALSE&amp;VAR:CALENDAR=US&amp;VAR:SYMBOL=G0129K10&amp;VAR:INDEX=0"}</definedName>
    <definedName name="_8183__FDSAUDITLINK__" localSheetId="6" hidden="1">{"fdsup://directions/FAT Viewer?action=UPDATE&amp;creator=factset&amp;DYN_ARGS=TRUE&amp;DOC_NAME=FAT:FQL_AUDITING_CLIENT_TEMPLATE.FAT&amp;display_string=Audit&amp;VAR:KEY=RKPWVEFEBK&amp;VAR:QUERY=RkZfRUJJVERBX0lCKCdMVE1TJywzOTM1OCk=&amp;WINDOW=FIRST_POPUP&amp;HEIGHT=450&amp;WIDTH=450&amp;START_MA","XIMIZED=FALSE&amp;VAR:CALENDAR=US&amp;VAR:SYMBOL=G0129K10&amp;VAR:INDEX=0"}</definedName>
    <definedName name="_8183__FDSAUDITLINK__" hidden="1">{"fdsup://directions/FAT Viewer?action=UPDATE&amp;creator=factset&amp;DYN_ARGS=TRUE&amp;DOC_NAME=FAT:FQL_AUDITING_CLIENT_TEMPLATE.FAT&amp;display_string=Audit&amp;VAR:KEY=RKPWVEFEBK&amp;VAR:QUERY=RkZfRUJJVERBX0lCKCdMVE1TJywzOTM1OCk=&amp;WINDOW=FIRST_POPUP&amp;HEIGHT=450&amp;WIDTH=450&amp;START_MA","XIMIZED=FALSE&amp;VAR:CALENDAR=US&amp;VAR:SYMBOL=G0129K10&amp;VAR:INDEX=0"}</definedName>
    <definedName name="_8184__FDSAUDITLINK__" localSheetId="6" hidden="1">{"fdsup://directions/FAT Viewer?action=UPDATE&amp;creator=factset&amp;DYN_ARGS=TRUE&amp;DOC_NAME=FAT:FQL_AUDITING_CLIENT_TEMPLATE.FAT&amp;display_string=Audit&amp;VAR:KEY=ZSLGDWPQPO&amp;VAR:QUERY=RkZfRUJJVERBX0lCKCdMVE1TJywzOTM1Nyk=&amp;WINDOW=FIRST_POPUP&amp;HEIGHT=450&amp;WIDTH=450&amp;START_MA","XIMIZED=FALSE&amp;VAR:CALENDAR=US&amp;VAR:SYMBOL=G0129K10&amp;VAR:INDEX=0"}</definedName>
    <definedName name="_8184__FDSAUDITLINK__" hidden="1">{"fdsup://directions/FAT Viewer?action=UPDATE&amp;creator=factset&amp;DYN_ARGS=TRUE&amp;DOC_NAME=FAT:FQL_AUDITING_CLIENT_TEMPLATE.FAT&amp;display_string=Audit&amp;VAR:KEY=ZSLGDWPQPO&amp;VAR:QUERY=RkZfRUJJVERBX0lCKCdMVE1TJywzOTM1Nyk=&amp;WINDOW=FIRST_POPUP&amp;HEIGHT=450&amp;WIDTH=450&amp;START_MA","XIMIZED=FALSE&amp;VAR:CALENDAR=US&amp;VAR:SYMBOL=G0129K10&amp;VAR:INDEX=0"}</definedName>
    <definedName name="_8185__FDSAUDITLINK__" localSheetId="6" hidden="1">{"fdsup://directions/FAT Viewer?action=UPDATE&amp;creator=factset&amp;DYN_ARGS=TRUE&amp;DOC_NAME=FAT:FQL_AUDITING_CLIENT_TEMPLATE.FAT&amp;display_string=Audit&amp;VAR:KEY=TEHSNSNSBU&amp;VAR:QUERY=RkZfRUJJVERBX0lCKCdMVE1TJywzOTM1Nik=&amp;WINDOW=FIRST_POPUP&amp;HEIGHT=450&amp;WIDTH=450&amp;START_MA","XIMIZED=FALSE&amp;VAR:CALENDAR=US&amp;VAR:SYMBOL=G0129K10&amp;VAR:INDEX=0"}</definedName>
    <definedName name="_8185__FDSAUDITLINK__" hidden="1">{"fdsup://directions/FAT Viewer?action=UPDATE&amp;creator=factset&amp;DYN_ARGS=TRUE&amp;DOC_NAME=FAT:FQL_AUDITING_CLIENT_TEMPLATE.FAT&amp;display_string=Audit&amp;VAR:KEY=TEHSNSNSBU&amp;VAR:QUERY=RkZfRUJJVERBX0lCKCdMVE1TJywzOTM1Nik=&amp;WINDOW=FIRST_POPUP&amp;HEIGHT=450&amp;WIDTH=450&amp;START_MA","XIMIZED=FALSE&amp;VAR:CALENDAR=US&amp;VAR:SYMBOL=G0129K10&amp;VAR:INDEX=0"}</definedName>
    <definedName name="_8186__FDSAUDITLINK__" localSheetId="6" hidden="1">{"fdsup://directions/FAT Viewer?action=UPDATE&amp;creator=factset&amp;DYN_ARGS=TRUE&amp;DOC_NAME=FAT:FQL_AUDITING_CLIENT_TEMPLATE.FAT&amp;display_string=Audit&amp;VAR:KEY=BEXWDUTIPQ&amp;VAR:QUERY=RkZfRUJJVERBX0lCKCdMVE1TJywzOTM1NSk=&amp;WINDOW=FIRST_POPUP&amp;HEIGHT=450&amp;WIDTH=450&amp;START_MA","XIMIZED=FALSE&amp;VAR:CALENDAR=US&amp;VAR:SYMBOL=G0129K10&amp;VAR:INDEX=0"}</definedName>
    <definedName name="_8186__FDSAUDITLINK__" hidden="1">{"fdsup://directions/FAT Viewer?action=UPDATE&amp;creator=factset&amp;DYN_ARGS=TRUE&amp;DOC_NAME=FAT:FQL_AUDITING_CLIENT_TEMPLATE.FAT&amp;display_string=Audit&amp;VAR:KEY=BEXWDUTIPQ&amp;VAR:QUERY=RkZfRUJJVERBX0lCKCdMVE1TJywzOTM1NSk=&amp;WINDOW=FIRST_POPUP&amp;HEIGHT=450&amp;WIDTH=450&amp;START_MA","XIMIZED=FALSE&amp;VAR:CALENDAR=US&amp;VAR:SYMBOL=G0129K10&amp;VAR:INDEX=0"}</definedName>
    <definedName name="_8187__FDSAUDITLINK__" localSheetId="6" hidden="1">{"fdsup://directions/FAT Viewer?action=UPDATE&amp;creator=factset&amp;DYN_ARGS=TRUE&amp;DOC_NAME=FAT:FQL_AUDITING_CLIENT_TEMPLATE.FAT&amp;display_string=Audit&amp;VAR:KEY=ZQBYZCHIXE&amp;VAR:QUERY=RkZfRUJJVERBX0lCKCdMVE1TJywzOTM1NCk=&amp;WINDOW=FIRST_POPUP&amp;HEIGHT=450&amp;WIDTH=450&amp;START_MA","XIMIZED=FALSE&amp;VAR:CALENDAR=US&amp;VAR:SYMBOL=G0129K10&amp;VAR:INDEX=0"}</definedName>
    <definedName name="_8187__FDSAUDITLINK__" hidden="1">{"fdsup://directions/FAT Viewer?action=UPDATE&amp;creator=factset&amp;DYN_ARGS=TRUE&amp;DOC_NAME=FAT:FQL_AUDITING_CLIENT_TEMPLATE.FAT&amp;display_string=Audit&amp;VAR:KEY=ZQBYZCHIXE&amp;VAR:QUERY=RkZfRUJJVERBX0lCKCdMVE1TJywzOTM1NCk=&amp;WINDOW=FIRST_POPUP&amp;HEIGHT=450&amp;WIDTH=450&amp;START_MA","XIMIZED=FALSE&amp;VAR:CALENDAR=US&amp;VAR:SYMBOL=G0129K10&amp;VAR:INDEX=0"}</definedName>
    <definedName name="_8188__FDSAUDITLINK__" localSheetId="6" hidden="1">{"fdsup://directions/FAT Viewer?action=UPDATE&amp;creator=factset&amp;DYN_ARGS=TRUE&amp;DOC_NAME=FAT:FQL_AUDITING_CLIENT_TEMPLATE.FAT&amp;display_string=Audit&amp;VAR:KEY=RKHSHMVGHA&amp;VAR:QUERY=RkZfRUJJVERBX0lCKCdMVE1TJywzOTM1Myk=&amp;WINDOW=FIRST_POPUP&amp;HEIGHT=450&amp;WIDTH=450&amp;START_MA","XIMIZED=FALSE&amp;VAR:CALENDAR=US&amp;VAR:SYMBOL=G0129K10&amp;VAR:INDEX=0"}</definedName>
    <definedName name="_8188__FDSAUDITLINK__" hidden="1">{"fdsup://directions/FAT Viewer?action=UPDATE&amp;creator=factset&amp;DYN_ARGS=TRUE&amp;DOC_NAME=FAT:FQL_AUDITING_CLIENT_TEMPLATE.FAT&amp;display_string=Audit&amp;VAR:KEY=RKHSHMVGHA&amp;VAR:QUERY=RkZfRUJJVERBX0lCKCdMVE1TJywzOTM1Myk=&amp;WINDOW=FIRST_POPUP&amp;HEIGHT=450&amp;WIDTH=450&amp;START_MA","XIMIZED=FALSE&amp;VAR:CALENDAR=US&amp;VAR:SYMBOL=G0129K10&amp;VAR:INDEX=0"}</definedName>
    <definedName name="_8189__FDSAUDITLINK__" localSheetId="6" hidden="1">{"fdsup://directions/FAT Viewer?action=UPDATE&amp;creator=factset&amp;DYN_ARGS=TRUE&amp;DOC_NAME=FAT:FQL_AUDITING_CLIENT_TEMPLATE.FAT&amp;display_string=Audit&amp;VAR:KEY=RINWBSBSNS&amp;VAR:QUERY=RkZfRUJJVERBX0lCKCdMVE1TJywzOTM1Mik=&amp;WINDOW=FIRST_POPUP&amp;HEIGHT=450&amp;WIDTH=450&amp;START_MA","XIMIZED=FALSE&amp;VAR:CALENDAR=US&amp;VAR:SYMBOL=G0129K10&amp;VAR:INDEX=0"}</definedName>
    <definedName name="_8189__FDSAUDITLINK__" hidden="1">{"fdsup://directions/FAT Viewer?action=UPDATE&amp;creator=factset&amp;DYN_ARGS=TRUE&amp;DOC_NAME=FAT:FQL_AUDITING_CLIENT_TEMPLATE.FAT&amp;display_string=Audit&amp;VAR:KEY=RINWBSBSNS&amp;VAR:QUERY=RkZfRUJJVERBX0lCKCdMVE1TJywzOTM1Mik=&amp;WINDOW=FIRST_POPUP&amp;HEIGHT=450&amp;WIDTH=450&amp;START_MA","XIMIZED=FALSE&amp;VAR:CALENDAR=US&amp;VAR:SYMBOL=G0129K10&amp;VAR:INDEX=0"}</definedName>
    <definedName name="_819__FDSAUDITLINK__" localSheetId="6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9__FDSAUDITLINK__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190__FDSAUDITLINK__" localSheetId="6" hidden="1">{"fdsup://directions/FAT Viewer?action=UPDATE&amp;creator=factset&amp;DYN_ARGS=TRUE&amp;DOC_NAME=FAT:FQL_AUDITING_CLIENT_TEMPLATE.FAT&amp;display_string=Audit&amp;VAR:KEY=HUPGBQBQHQ&amp;VAR:QUERY=RkZfRUJJVERBX0lCKCdMVE1TJywzOTM1MSk=&amp;WINDOW=FIRST_POPUP&amp;HEIGHT=450&amp;WIDTH=450&amp;START_MA","XIMIZED=FALSE&amp;VAR:CALENDAR=US&amp;VAR:SYMBOL=G0129K10&amp;VAR:INDEX=0"}</definedName>
    <definedName name="_8190__FDSAUDITLINK__" hidden="1">{"fdsup://directions/FAT Viewer?action=UPDATE&amp;creator=factset&amp;DYN_ARGS=TRUE&amp;DOC_NAME=FAT:FQL_AUDITING_CLIENT_TEMPLATE.FAT&amp;display_string=Audit&amp;VAR:KEY=HUPGBQBQHQ&amp;VAR:QUERY=RkZfRUJJVERBX0lCKCdMVE1TJywzOTM1MSk=&amp;WINDOW=FIRST_POPUP&amp;HEIGHT=450&amp;WIDTH=450&amp;START_MA","XIMIZED=FALSE&amp;VAR:CALENDAR=US&amp;VAR:SYMBOL=G0129K10&amp;VAR:INDEX=0"}</definedName>
    <definedName name="_8191__FDSAUDITLINK__" localSheetId="6" hidden="1">{"fdsup://directions/FAT Viewer?action=UPDATE&amp;creator=factset&amp;DYN_ARGS=TRUE&amp;DOC_NAME=FAT:FQL_AUDITING_CLIENT_TEMPLATE.FAT&amp;display_string=Audit&amp;VAR:KEY=RWHUXMFIFC&amp;VAR:QUERY=RkZfRUJJVERBX0lCKCdMVE1TJywzOTM1MCk=&amp;WINDOW=FIRST_POPUP&amp;HEIGHT=450&amp;WIDTH=450&amp;START_MA","XIMIZED=FALSE&amp;VAR:CALENDAR=US&amp;VAR:SYMBOL=G0129K10&amp;VAR:INDEX=0"}</definedName>
    <definedName name="_8191__FDSAUDITLINK__" hidden="1">{"fdsup://directions/FAT Viewer?action=UPDATE&amp;creator=factset&amp;DYN_ARGS=TRUE&amp;DOC_NAME=FAT:FQL_AUDITING_CLIENT_TEMPLATE.FAT&amp;display_string=Audit&amp;VAR:KEY=RWHUXMFIFC&amp;VAR:QUERY=RkZfRUJJVERBX0lCKCdMVE1TJywzOTM1MCk=&amp;WINDOW=FIRST_POPUP&amp;HEIGHT=450&amp;WIDTH=450&amp;START_MA","XIMIZED=FALSE&amp;VAR:CALENDAR=US&amp;VAR:SYMBOL=G0129K10&amp;VAR:INDEX=0"}</definedName>
    <definedName name="_8192__FDSAUDITLINK__" localSheetId="6" hidden="1">{"fdsup://directions/FAT Viewer?action=UPDATE&amp;creator=factset&amp;DYN_ARGS=TRUE&amp;DOC_NAME=FAT:FQL_AUDITING_CLIENT_TEMPLATE.FAT&amp;display_string=Audit&amp;VAR:KEY=RABERWRERE&amp;VAR:QUERY=RkZfRUJJVERBX0lCKCdMVE1TJywzOTM0OSk=&amp;WINDOW=FIRST_POPUP&amp;HEIGHT=450&amp;WIDTH=450&amp;START_MA","XIMIZED=FALSE&amp;VAR:CALENDAR=US&amp;VAR:SYMBOL=G0129K10&amp;VAR:INDEX=0"}</definedName>
    <definedName name="_8192__FDSAUDITLINK__" hidden="1">{"fdsup://directions/FAT Viewer?action=UPDATE&amp;creator=factset&amp;DYN_ARGS=TRUE&amp;DOC_NAME=FAT:FQL_AUDITING_CLIENT_TEMPLATE.FAT&amp;display_string=Audit&amp;VAR:KEY=RABERWRERE&amp;VAR:QUERY=RkZfRUJJVERBX0lCKCdMVE1TJywzOTM0OSk=&amp;WINDOW=FIRST_POPUP&amp;HEIGHT=450&amp;WIDTH=450&amp;START_MA","XIMIZED=FALSE&amp;VAR:CALENDAR=US&amp;VAR:SYMBOL=G0129K10&amp;VAR:INDEX=0"}</definedName>
    <definedName name="_8193__FDSAUDITLINK__" localSheetId="6" hidden="1">{"fdsup://directions/FAT Viewer?action=UPDATE&amp;creator=factset&amp;DYN_ARGS=TRUE&amp;DOC_NAME=FAT:FQL_AUDITING_CLIENT_TEMPLATE.FAT&amp;display_string=Audit&amp;VAR:KEY=BQTCXYTMLK&amp;VAR:QUERY=RkZfRUJJVERBX0lCKCdMVE1TJywzOTM0OCk=&amp;WINDOW=FIRST_POPUP&amp;HEIGHT=450&amp;WIDTH=450&amp;START_MA","XIMIZED=FALSE&amp;VAR:CALENDAR=US&amp;VAR:SYMBOL=G0129K10&amp;VAR:INDEX=0"}</definedName>
    <definedName name="_8193__FDSAUDITLINK__" hidden="1">{"fdsup://directions/FAT Viewer?action=UPDATE&amp;creator=factset&amp;DYN_ARGS=TRUE&amp;DOC_NAME=FAT:FQL_AUDITING_CLIENT_TEMPLATE.FAT&amp;display_string=Audit&amp;VAR:KEY=BQTCXYTMLK&amp;VAR:QUERY=RkZfRUJJVERBX0lCKCdMVE1TJywzOTM0OCk=&amp;WINDOW=FIRST_POPUP&amp;HEIGHT=450&amp;WIDTH=450&amp;START_MA","XIMIZED=FALSE&amp;VAR:CALENDAR=US&amp;VAR:SYMBOL=G0129K10&amp;VAR:INDEX=0"}</definedName>
    <definedName name="_8194__FDSAUDITLINK__" localSheetId="6" hidden="1">{"fdsup://directions/FAT Viewer?action=UPDATE&amp;creator=factset&amp;DYN_ARGS=TRUE&amp;DOC_NAME=FAT:FQL_AUDITING_CLIENT_TEMPLATE.FAT&amp;display_string=Audit&amp;VAR:KEY=VCJSZSVSVE&amp;VAR:QUERY=RkZfRUJJVERBX0lCKCdMVE1TJywzOTM0Nyk=&amp;WINDOW=FIRST_POPUP&amp;HEIGHT=450&amp;WIDTH=450&amp;START_MA","XIMIZED=FALSE&amp;VAR:CALENDAR=US&amp;VAR:SYMBOL=G0129K10&amp;VAR:INDEX=0"}</definedName>
    <definedName name="_8194__FDSAUDITLINK__" hidden="1">{"fdsup://directions/FAT Viewer?action=UPDATE&amp;creator=factset&amp;DYN_ARGS=TRUE&amp;DOC_NAME=FAT:FQL_AUDITING_CLIENT_TEMPLATE.FAT&amp;display_string=Audit&amp;VAR:KEY=VCJSZSVSVE&amp;VAR:QUERY=RkZfRUJJVERBX0lCKCdMVE1TJywzOTM0Nyk=&amp;WINDOW=FIRST_POPUP&amp;HEIGHT=450&amp;WIDTH=450&amp;START_MA","XIMIZED=FALSE&amp;VAR:CALENDAR=US&amp;VAR:SYMBOL=G0129K10&amp;VAR:INDEX=0"}</definedName>
    <definedName name="_8195__FDSAUDITLINK__" localSheetId="6" hidden="1">{"fdsup://directions/FAT Viewer?action=UPDATE&amp;creator=factset&amp;DYN_ARGS=TRUE&amp;DOC_NAME=FAT:FQL_AUDITING_CLIENT_TEMPLATE.FAT&amp;display_string=Audit&amp;VAR:KEY=HIDAXKPSTG&amp;VAR:QUERY=RkZfRUJJVERBX0lCKCdMVE1TJywzOTM0Nik=&amp;WINDOW=FIRST_POPUP&amp;HEIGHT=450&amp;WIDTH=450&amp;START_MA","XIMIZED=FALSE&amp;VAR:CALENDAR=US&amp;VAR:SYMBOL=G0129K10&amp;VAR:INDEX=0"}</definedName>
    <definedName name="_8195__FDSAUDITLINK__" hidden="1">{"fdsup://directions/FAT Viewer?action=UPDATE&amp;creator=factset&amp;DYN_ARGS=TRUE&amp;DOC_NAME=FAT:FQL_AUDITING_CLIENT_TEMPLATE.FAT&amp;display_string=Audit&amp;VAR:KEY=HIDAXKPSTG&amp;VAR:QUERY=RkZfRUJJVERBX0lCKCdMVE1TJywzOTM0Nik=&amp;WINDOW=FIRST_POPUP&amp;HEIGHT=450&amp;WIDTH=450&amp;START_MA","XIMIZED=FALSE&amp;VAR:CALENDAR=US&amp;VAR:SYMBOL=G0129K10&amp;VAR:INDEX=0"}</definedName>
    <definedName name="_8196__FDSAUDITLINK__" localSheetId="6" hidden="1">{"fdsup://directions/FAT Viewer?action=UPDATE&amp;creator=factset&amp;DYN_ARGS=TRUE&amp;DOC_NAME=FAT:FQL_AUDITING_CLIENT_TEMPLATE.FAT&amp;display_string=Audit&amp;VAR:KEY=BGLKLCFCXS&amp;VAR:QUERY=RkZfRUJJVERBX0lCKCdMVE1TJywzOTM0NSk=&amp;WINDOW=FIRST_POPUP&amp;HEIGHT=450&amp;WIDTH=450&amp;START_MA","XIMIZED=FALSE&amp;VAR:CALENDAR=US&amp;VAR:SYMBOL=G0129K10&amp;VAR:INDEX=0"}</definedName>
    <definedName name="_8196__FDSAUDITLINK__" hidden="1">{"fdsup://directions/FAT Viewer?action=UPDATE&amp;creator=factset&amp;DYN_ARGS=TRUE&amp;DOC_NAME=FAT:FQL_AUDITING_CLIENT_TEMPLATE.FAT&amp;display_string=Audit&amp;VAR:KEY=BGLKLCFCXS&amp;VAR:QUERY=RkZfRUJJVERBX0lCKCdMVE1TJywzOTM0NSk=&amp;WINDOW=FIRST_POPUP&amp;HEIGHT=450&amp;WIDTH=450&amp;START_MA","XIMIZED=FALSE&amp;VAR:CALENDAR=US&amp;VAR:SYMBOL=G0129K10&amp;VAR:INDEX=0"}</definedName>
    <definedName name="_8197__FDSAUDITLINK__" localSheetId="6" hidden="1">{"fdsup://directions/FAT Viewer?action=UPDATE&amp;creator=factset&amp;DYN_ARGS=TRUE&amp;DOC_NAME=FAT:FQL_AUDITING_CLIENT_TEMPLATE.FAT&amp;display_string=Audit&amp;VAR:KEY=BEVEJOTWDO&amp;VAR:QUERY=RkZfRUJJVERBX0lCKCdMVE1TJywzOTM0NCk=&amp;WINDOW=FIRST_POPUP&amp;HEIGHT=450&amp;WIDTH=450&amp;START_MA","XIMIZED=FALSE&amp;VAR:CALENDAR=US&amp;VAR:SYMBOL=G0129K10&amp;VAR:INDEX=0"}</definedName>
    <definedName name="_8197__FDSAUDITLINK__" hidden="1">{"fdsup://directions/FAT Viewer?action=UPDATE&amp;creator=factset&amp;DYN_ARGS=TRUE&amp;DOC_NAME=FAT:FQL_AUDITING_CLIENT_TEMPLATE.FAT&amp;display_string=Audit&amp;VAR:KEY=BEVEJOTWDO&amp;VAR:QUERY=RkZfRUJJVERBX0lCKCdMVE1TJywzOTM0NCk=&amp;WINDOW=FIRST_POPUP&amp;HEIGHT=450&amp;WIDTH=450&amp;START_MA","XIMIZED=FALSE&amp;VAR:CALENDAR=US&amp;VAR:SYMBOL=G0129K10&amp;VAR:INDEX=0"}</definedName>
    <definedName name="_8198__FDSAUDITLINK__" localSheetId="6" hidden="1">{"fdsup://directions/FAT Viewer?action=UPDATE&amp;creator=factset&amp;DYN_ARGS=TRUE&amp;DOC_NAME=FAT:FQL_AUDITING_CLIENT_TEMPLATE.FAT&amp;display_string=Audit&amp;VAR:KEY=PEZAJSLYRC&amp;VAR:QUERY=RkZfRUJJVERBX0lCKCdMVE1TJywzOTM0Myk=&amp;WINDOW=FIRST_POPUP&amp;HEIGHT=450&amp;WIDTH=450&amp;START_MA","XIMIZED=FALSE&amp;VAR:CALENDAR=US&amp;VAR:SYMBOL=G0129K10&amp;VAR:INDEX=0"}</definedName>
    <definedName name="_8198__FDSAUDITLINK__" hidden="1">{"fdsup://directions/FAT Viewer?action=UPDATE&amp;creator=factset&amp;DYN_ARGS=TRUE&amp;DOC_NAME=FAT:FQL_AUDITING_CLIENT_TEMPLATE.FAT&amp;display_string=Audit&amp;VAR:KEY=PEZAJSLYRC&amp;VAR:QUERY=RkZfRUJJVERBX0lCKCdMVE1TJywzOTM0Myk=&amp;WINDOW=FIRST_POPUP&amp;HEIGHT=450&amp;WIDTH=450&amp;START_MA","XIMIZED=FALSE&amp;VAR:CALENDAR=US&amp;VAR:SYMBOL=G0129K10&amp;VAR:INDEX=0"}</definedName>
    <definedName name="_8199__FDSAUDITLINK__" localSheetId="6" hidden="1">{"fdsup://directions/FAT Viewer?action=UPDATE&amp;creator=factset&amp;DYN_ARGS=TRUE&amp;DOC_NAME=FAT:FQL_AUDITING_CLIENT_TEMPLATE.FAT&amp;display_string=Audit&amp;VAR:KEY=XEPKDEHGNW&amp;VAR:QUERY=RkZfRUJJVERBX0lCKCdMVE1TJywzOTM0Mik=&amp;WINDOW=FIRST_POPUP&amp;HEIGHT=450&amp;WIDTH=450&amp;START_MA","XIMIZED=FALSE&amp;VAR:CALENDAR=US&amp;VAR:SYMBOL=G0129K10&amp;VAR:INDEX=0"}</definedName>
    <definedName name="_8199__FDSAUDITLINK__" hidden="1">{"fdsup://directions/FAT Viewer?action=UPDATE&amp;creator=factset&amp;DYN_ARGS=TRUE&amp;DOC_NAME=FAT:FQL_AUDITING_CLIENT_TEMPLATE.FAT&amp;display_string=Audit&amp;VAR:KEY=XEPKDEHGNW&amp;VAR:QUERY=RkZfRUJJVERBX0lCKCdMVE1TJywzOTM0Mik=&amp;WINDOW=FIRST_POPUP&amp;HEIGHT=450&amp;WIDTH=450&amp;START_MA","XIMIZED=FALSE&amp;VAR:CALENDAR=US&amp;VAR:SYMBOL=G0129K10&amp;VAR:INDEX=0"}</definedName>
    <definedName name="_82__FDSAUDITLINK__" localSheetId="6" hidden="1">{"fdsup://directions/FAT Viewer?action=UPDATE&amp;creator=factset&amp;DYN_ARGS=TRUE&amp;DOC_NAME=FAT:FQL_AUDITING_CLIENT_TEMPLATE.FAT&amp;display_string=Audit&amp;VAR:KEY=CLCVAFGTEV&amp;VAR:QUERY=QVZHKENTRl9ORVRfSU5DKEFOTiwwRlksLTZGWSxZKSkgLyAoQVZHKENTRl9BU1NFVFMoQU5OLDBGWSwtNkZZL","EZZKSkgLSBBVkcoQ1NGX0lOVEFORyhBTk4sMCwtNkZZLEZZKSkp&amp;WINDOW=FIRST_POPUP&amp;HEIGHT=450&amp;WIDTH=450&amp;START_MAXIMIZED=FALSE&amp;VAR:CALENDAR=US&amp;VAR:SYMBOL=671912"}</definedName>
    <definedName name="_82__FDSAUDITLINK__" hidden="1">{"fdsup://directions/FAT Viewer?action=UPDATE&amp;creator=factset&amp;DYN_ARGS=TRUE&amp;DOC_NAME=FAT:FQL_AUDITING_CLIENT_TEMPLATE.FAT&amp;display_string=Audit&amp;VAR:KEY=CLCVAFGTEV&amp;VAR:QUERY=QVZHKENTRl9ORVRfSU5DKEFOTiwwRlksLTZGWSxZKSkgLyAoQVZHKENTRl9BU1NFVFMoQU5OLDBGWSwtNkZZL","EZZKSkgLSBBVkcoQ1NGX0lOVEFORyhBTk4sMCwtNkZZLEZZKSkp&amp;WINDOW=FIRST_POPUP&amp;HEIGHT=450&amp;WIDTH=450&amp;START_MAXIMIZED=FALSE&amp;VAR:CALENDAR=US&amp;VAR:SYMBOL=671912"}</definedName>
    <definedName name="_820__FDSAUDITLINK__" localSheetId="6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0__FDSAUDITLINK__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00__FDSAUDITLINK__" localSheetId="6" hidden="1">{"fdsup://directions/FAT Viewer?action=UPDATE&amp;creator=factset&amp;DYN_ARGS=TRUE&amp;DOC_NAME=FAT:FQL_AUDITING_CLIENT_TEMPLATE.FAT&amp;display_string=Audit&amp;VAR:KEY=HGHEBYVGZG&amp;VAR:QUERY=RkZfRUJJVERBX0lCKCdMVE1TJywzOTM0MSk=&amp;WINDOW=FIRST_POPUP&amp;HEIGHT=450&amp;WIDTH=450&amp;START_MA","XIMIZED=FALSE&amp;VAR:CALENDAR=US&amp;VAR:SYMBOL=G0129K10&amp;VAR:INDEX=0"}</definedName>
    <definedName name="_8200__FDSAUDITLINK__" hidden="1">{"fdsup://directions/FAT Viewer?action=UPDATE&amp;creator=factset&amp;DYN_ARGS=TRUE&amp;DOC_NAME=FAT:FQL_AUDITING_CLIENT_TEMPLATE.FAT&amp;display_string=Audit&amp;VAR:KEY=HGHEBYVGZG&amp;VAR:QUERY=RkZfRUJJVERBX0lCKCdMVE1TJywzOTM0MSk=&amp;WINDOW=FIRST_POPUP&amp;HEIGHT=450&amp;WIDTH=450&amp;START_MA","XIMIZED=FALSE&amp;VAR:CALENDAR=US&amp;VAR:SYMBOL=G0129K10&amp;VAR:INDEX=0"}</definedName>
    <definedName name="_8201__FDSAUDITLINK__" localSheetId="6" hidden="1">{"fdsup://directions/FAT Viewer?action=UPDATE&amp;creator=factset&amp;DYN_ARGS=TRUE&amp;DOC_NAME=FAT:FQL_AUDITING_CLIENT_TEMPLATE.FAT&amp;display_string=Audit&amp;VAR:KEY=JQBOTAJYVE&amp;VAR:QUERY=RkZfRUJJVERBX0lCKCdMVE1TJywzOTM0MCk=&amp;WINDOW=FIRST_POPUP&amp;HEIGHT=450&amp;WIDTH=450&amp;START_MA","XIMIZED=FALSE&amp;VAR:CALENDAR=US&amp;VAR:SYMBOL=G0129K10&amp;VAR:INDEX=0"}</definedName>
    <definedName name="_8201__FDSAUDITLINK__" hidden="1">{"fdsup://directions/FAT Viewer?action=UPDATE&amp;creator=factset&amp;DYN_ARGS=TRUE&amp;DOC_NAME=FAT:FQL_AUDITING_CLIENT_TEMPLATE.FAT&amp;display_string=Audit&amp;VAR:KEY=JQBOTAJYVE&amp;VAR:QUERY=RkZfRUJJVERBX0lCKCdMVE1TJywzOTM0MCk=&amp;WINDOW=FIRST_POPUP&amp;HEIGHT=450&amp;WIDTH=450&amp;START_MA","XIMIZED=FALSE&amp;VAR:CALENDAR=US&amp;VAR:SYMBOL=G0129K10&amp;VAR:INDEX=0"}</definedName>
    <definedName name="_8202__FDSAUDITLINK__" localSheetId="6" hidden="1">{"fdsup://directions/FAT Viewer?action=UPDATE&amp;creator=factset&amp;DYN_ARGS=TRUE&amp;DOC_NAME=FAT:FQL_AUDITING_CLIENT_TEMPLATE.FAT&amp;display_string=Audit&amp;VAR:KEY=VOROBGHYFA&amp;VAR:QUERY=RkZfRUJJVERBX0lCKCdMVE1TJywzOTMzOSk=&amp;WINDOW=FIRST_POPUP&amp;HEIGHT=450&amp;WIDTH=450&amp;START_MA","XIMIZED=FALSE&amp;VAR:CALENDAR=US&amp;VAR:SYMBOL=G0129K10&amp;VAR:INDEX=0"}</definedName>
    <definedName name="_8202__FDSAUDITLINK__" hidden="1">{"fdsup://directions/FAT Viewer?action=UPDATE&amp;creator=factset&amp;DYN_ARGS=TRUE&amp;DOC_NAME=FAT:FQL_AUDITING_CLIENT_TEMPLATE.FAT&amp;display_string=Audit&amp;VAR:KEY=VOROBGHYFA&amp;VAR:QUERY=RkZfRUJJVERBX0lCKCdMVE1TJywzOTMzOSk=&amp;WINDOW=FIRST_POPUP&amp;HEIGHT=450&amp;WIDTH=450&amp;START_MA","XIMIZED=FALSE&amp;VAR:CALENDAR=US&amp;VAR:SYMBOL=G0129K10&amp;VAR:INDEX=0"}</definedName>
    <definedName name="_8203__FDSAUDITLINK__" localSheetId="6" hidden="1">{"fdsup://directions/FAT Viewer?action=UPDATE&amp;creator=factset&amp;DYN_ARGS=TRUE&amp;DOC_NAME=FAT:FQL_AUDITING_CLIENT_TEMPLATE.FAT&amp;display_string=Audit&amp;VAR:KEY=HWHADWNMRA&amp;VAR:QUERY=RkZfRUJJVERBX0lCKCdMVE1TJywzOTMzOCk=&amp;WINDOW=FIRST_POPUP&amp;HEIGHT=450&amp;WIDTH=450&amp;START_MA","XIMIZED=FALSE&amp;VAR:CALENDAR=US&amp;VAR:SYMBOL=G0129K10&amp;VAR:INDEX=0"}</definedName>
    <definedName name="_8203__FDSAUDITLINK__" hidden="1">{"fdsup://directions/FAT Viewer?action=UPDATE&amp;creator=factset&amp;DYN_ARGS=TRUE&amp;DOC_NAME=FAT:FQL_AUDITING_CLIENT_TEMPLATE.FAT&amp;display_string=Audit&amp;VAR:KEY=HWHADWNMRA&amp;VAR:QUERY=RkZfRUJJVERBX0lCKCdMVE1TJywzOTMzOCk=&amp;WINDOW=FIRST_POPUP&amp;HEIGHT=450&amp;WIDTH=450&amp;START_MA","XIMIZED=FALSE&amp;VAR:CALENDAR=US&amp;VAR:SYMBOL=G0129K10&amp;VAR:INDEX=0"}</definedName>
    <definedName name="_8204__FDSAUDITLINK__" localSheetId="6" hidden="1">{"fdsup://directions/FAT Viewer?action=UPDATE&amp;creator=factset&amp;DYN_ARGS=TRUE&amp;DOC_NAME=FAT:FQL_AUDITING_CLIENT_TEMPLATE.FAT&amp;display_string=Audit&amp;VAR:KEY=XUPETSPELK&amp;VAR:QUERY=RkZfRUJJVERBX0lCKCdMVE1TJywzOTMzNyk=&amp;WINDOW=FIRST_POPUP&amp;HEIGHT=450&amp;WIDTH=450&amp;START_MA","XIMIZED=FALSE&amp;VAR:CALENDAR=US&amp;VAR:SYMBOL=G0129K10&amp;VAR:INDEX=0"}</definedName>
    <definedName name="_8204__FDSAUDITLINK__" hidden="1">{"fdsup://directions/FAT Viewer?action=UPDATE&amp;creator=factset&amp;DYN_ARGS=TRUE&amp;DOC_NAME=FAT:FQL_AUDITING_CLIENT_TEMPLATE.FAT&amp;display_string=Audit&amp;VAR:KEY=XUPETSPELK&amp;VAR:QUERY=RkZfRUJJVERBX0lCKCdMVE1TJywzOTMzNyk=&amp;WINDOW=FIRST_POPUP&amp;HEIGHT=450&amp;WIDTH=450&amp;START_MA","XIMIZED=FALSE&amp;VAR:CALENDAR=US&amp;VAR:SYMBOL=G0129K10&amp;VAR:INDEX=0"}</definedName>
    <definedName name="_8205__FDSAUDITLINK__" localSheetId="6" hidden="1">{"fdsup://directions/FAT Viewer?action=UPDATE&amp;creator=factset&amp;DYN_ARGS=TRUE&amp;DOC_NAME=FAT:FQL_AUDITING_CLIENT_TEMPLATE.FAT&amp;display_string=Audit&amp;VAR:KEY=RYVITUHIPK&amp;VAR:QUERY=RkZfRUJJVERBX0lCKCdMVE1TJywzOTMzNik=&amp;WINDOW=FIRST_POPUP&amp;HEIGHT=450&amp;WIDTH=450&amp;START_MA","XIMIZED=FALSE&amp;VAR:CALENDAR=US&amp;VAR:SYMBOL=G0129K10&amp;VAR:INDEX=0"}</definedName>
    <definedName name="_8205__FDSAUDITLINK__" hidden="1">{"fdsup://directions/FAT Viewer?action=UPDATE&amp;creator=factset&amp;DYN_ARGS=TRUE&amp;DOC_NAME=FAT:FQL_AUDITING_CLIENT_TEMPLATE.FAT&amp;display_string=Audit&amp;VAR:KEY=RYVITUHIPK&amp;VAR:QUERY=RkZfRUJJVERBX0lCKCdMVE1TJywzOTMzNik=&amp;WINDOW=FIRST_POPUP&amp;HEIGHT=450&amp;WIDTH=450&amp;START_MA","XIMIZED=FALSE&amp;VAR:CALENDAR=US&amp;VAR:SYMBOL=G0129K10&amp;VAR:INDEX=0"}</definedName>
    <definedName name="_8206__FDSAUDITLINK__" localSheetId="6" hidden="1">{"fdsup://directions/FAT Viewer?action=UPDATE&amp;creator=factset&amp;DYN_ARGS=TRUE&amp;DOC_NAME=FAT:FQL_AUDITING_CLIENT_TEMPLATE.FAT&amp;display_string=Audit&amp;VAR:KEY=FUNAZQXUFE&amp;VAR:QUERY=RkZfRUJJVERBX0lCKCdMVE1TJywzOTMzNSk=&amp;WINDOW=FIRST_POPUP&amp;HEIGHT=450&amp;WIDTH=450&amp;START_MA","XIMIZED=FALSE&amp;VAR:CALENDAR=US&amp;VAR:SYMBOL=G0129K10&amp;VAR:INDEX=0"}</definedName>
    <definedName name="_8206__FDSAUDITLINK__" hidden="1">{"fdsup://directions/FAT Viewer?action=UPDATE&amp;creator=factset&amp;DYN_ARGS=TRUE&amp;DOC_NAME=FAT:FQL_AUDITING_CLIENT_TEMPLATE.FAT&amp;display_string=Audit&amp;VAR:KEY=FUNAZQXUFE&amp;VAR:QUERY=RkZfRUJJVERBX0lCKCdMVE1TJywzOTMzNSk=&amp;WINDOW=FIRST_POPUP&amp;HEIGHT=450&amp;WIDTH=450&amp;START_MA","XIMIZED=FALSE&amp;VAR:CALENDAR=US&amp;VAR:SYMBOL=G0129K10&amp;VAR:INDEX=0"}</definedName>
    <definedName name="_8207__FDSAUDITLINK__" localSheetId="6" hidden="1">{"fdsup://directions/FAT Viewer?action=UPDATE&amp;creator=factset&amp;DYN_ARGS=TRUE&amp;DOC_NAME=FAT:FQL_AUDITING_CLIENT_TEMPLATE.FAT&amp;display_string=Audit&amp;VAR:KEY=LYFWFMVYNQ&amp;VAR:QUERY=RkZfRUJJVERBX0lCKCdMVE1TJywzOTMzNCk=&amp;WINDOW=FIRST_POPUP&amp;HEIGHT=450&amp;WIDTH=450&amp;START_MA","XIMIZED=FALSE&amp;VAR:CALENDAR=US&amp;VAR:SYMBOL=G0129K10&amp;VAR:INDEX=0"}</definedName>
    <definedName name="_8207__FDSAUDITLINK__" hidden="1">{"fdsup://directions/FAT Viewer?action=UPDATE&amp;creator=factset&amp;DYN_ARGS=TRUE&amp;DOC_NAME=FAT:FQL_AUDITING_CLIENT_TEMPLATE.FAT&amp;display_string=Audit&amp;VAR:KEY=LYFWFMVYNQ&amp;VAR:QUERY=RkZfRUJJVERBX0lCKCdMVE1TJywzOTMzNCk=&amp;WINDOW=FIRST_POPUP&amp;HEIGHT=450&amp;WIDTH=450&amp;START_MA","XIMIZED=FALSE&amp;VAR:CALENDAR=US&amp;VAR:SYMBOL=G0129K10&amp;VAR:INDEX=0"}</definedName>
    <definedName name="_8208__FDSAUDITLINK__" localSheetId="6" hidden="1">{"fdsup://directions/FAT Viewer?action=UPDATE&amp;creator=factset&amp;DYN_ARGS=TRUE&amp;DOC_NAME=FAT:FQL_AUDITING_CLIENT_TEMPLATE.FAT&amp;display_string=Audit&amp;VAR:KEY=NIJGZCBGDU&amp;VAR:QUERY=RkZfRUJJVERBX0lCKCdMVE1TJywzOTMzMyk=&amp;WINDOW=FIRST_POPUP&amp;HEIGHT=450&amp;WIDTH=450&amp;START_MA","XIMIZED=FALSE&amp;VAR:CALENDAR=US&amp;VAR:SYMBOL=G0129K10&amp;VAR:INDEX=0"}</definedName>
    <definedName name="_8208__FDSAUDITLINK__" hidden="1">{"fdsup://directions/FAT Viewer?action=UPDATE&amp;creator=factset&amp;DYN_ARGS=TRUE&amp;DOC_NAME=FAT:FQL_AUDITING_CLIENT_TEMPLATE.FAT&amp;display_string=Audit&amp;VAR:KEY=NIJGZCBGDU&amp;VAR:QUERY=RkZfRUJJVERBX0lCKCdMVE1TJywzOTMzMyk=&amp;WINDOW=FIRST_POPUP&amp;HEIGHT=450&amp;WIDTH=450&amp;START_MA","XIMIZED=FALSE&amp;VAR:CALENDAR=US&amp;VAR:SYMBOL=G0129K10&amp;VAR:INDEX=0"}</definedName>
    <definedName name="_8209__FDSAUDITLINK__" localSheetId="6" hidden="1">{"fdsup://directions/FAT Viewer?action=UPDATE&amp;creator=factset&amp;DYN_ARGS=TRUE&amp;DOC_NAME=FAT:FQL_AUDITING_CLIENT_TEMPLATE.FAT&amp;display_string=Audit&amp;VAR:KEY=BSVKTELUBQ&amp;VAR:QUERY=RkZfRUJJVERBX0lCKCdMVE1TJywzOTMzMik=&amp;WINDOW=FIRST_POPUP&amp;HEIGHT=450&amp;WIDTH=450&amp;START_MA","XIMIZED=FALSE&amp;VAR:CALENDAR=US&amp;VAR:SYMBOL=G0129K10&amp;VAR:INDEX=0"}</definedName>
    <definedName name="_8209__FDSAUDITLINK__" hidden="1">{"fdsup://directions/FAT Viewer?action=UPDATE&amp;creator=factset&amp;DYN_ARGS=TRUE&amp;DOC_NAME=FAT:FQL_AUDITING_CLIENT_TEMPLATE.FAT&amp;display_string=Audit&amp;VAR:KEY=BSVKTELUBQ&amp;VAR:QUERY=RkZfRUJJVERBX0lCKCdMVE1TJywzOTMzMik=&amp;WINDOW=FIRST_POPUP&amp;HEIGHT=450&amp;WIDTH=450&amp;START_MA","XIMIZED=FALSE&amp;VAR:CALENDAR=US&amp;VAR:SYMBOL=G0129K10&amp;VAR:INDEX=0"}</definedName>
    <definedName name="_821__FDSAUDITLINK__" localSheetId="6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1__FDSAUDITLINK__" hidden="1">{"fdsup://directions/FAT%20Viewer?VAR:PED=LTM&amp;VAR:AUDIT_MODE=SUMMARY&amp;VAR:PERIOD=FIXED&amp;VAR:AUDIT_ID=00000117&amp;VAR:DATE=20071123&amp;action=UPDATE&amp;creator=factset&amp;DOC_NAME=FAT:FMA_audit_SUMMARY.fat&amp;DISPLAY_STRING=Display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10__FDSAUDITLINK__" localSheetId="6" hidden="1">{"fdsup://directions/FAT Viewer?action=UPDATE&amp;creator=factset&amp;DYN_ARGS=TRUE&amp;DOC_NAME=FAT:FQL_AUDITING_CLIENT_TEMPLATE.FAT&amp;display_string=Audit&amp;VAR:KEY=ZYDAJCFOVG&amp;VAR:QUERY=RkZfRUJJVERBX0lCKCdMVE1TJywzOTMzMSk=&amp;WINDOW=FIRST_POPUP&amp;HEIGHT=450&amp;WIDTH=450&amp;START_MA","XIMIZED=FALSE&amp;VAR:CALENDAR=US&amp;VAR:SYMBOL=G0129K10&amp;VAR:INDEX=0"}</definedName>
    <definedName name="_8210__FDSAUDITLINK__" hidden="1">{"fdsup://directions/FAT Viewer?action=UPDATE&amp;creator=factset&amp;DYN_ARGS=TRUE&amp;DOC_NAME=FAT:FQL_AUDITING_CLIENT_TEMPLATE.FAT&amp;display_string=Audit&amp;VAR:KEY=ZYDAJCFOVG&amp;VAR:QUERY=RkZfRUJJVERBX0lCKCdMVE1TJywzOTMzMSk=&amp;WINDOW=FIRST_POPUP&amp;HEIGHT=450&amp;WIDTH=450&amp;START_MA","XIMIZED=FALSE&amp;VAR:CALENDAR=US&amp;VAR:SYMBOL=G0129K10&amp;VAR:INDEX=0"}</definedName>
    <definedName name="_8211__FDSAUDITLINK__" localSheetId="6" hidden="1">{"fdsup://directions/FAT Viewer?action=UPDATE&amp;creator=factset&amp;DYN_ARGS=TRUE&amp;DOC_NAME=FAT:FQL_AUDITING_CLIENT_TEMPLATE.FAT&amp;display_string=Audit&amp;VAR:KEY=DUJENOPMZY&amp;VAR:QUERY=RkZfRUJJVERBX0lCKCdMVE1TJywzOTMzMCk=&amp;WINDOW=FIRST_POPUP&amp;HEIGHT=450&amp;WIDTH=450&amp;START_MA","XIMIZED=FALSE&amp;VAR:CALENDAR=US&amp;VAR:SYMBOL=G0129K10&amp;VAR:INDEX=0"}</definedName>
    <definedName name="_8211__FDSAUDITLINK__" hidden="1">{"fdsup://directions/FAT Viewer?action=UPDATE&amp;creator=factset&amp;DYN_ARGS=TRUE&amp;DOC_NAME=FAT:FQL_AUDITING_CLIENT_TEMPLATE.FAT&amp;display_string=Audit&amp;VAR:KEY=DUJENOPMZY&amp;VAR:QUERY=RkZfRUJJVERBX0lCKCdMVE1TJywzOTMzMCk=&amp;WINDOW=FIRST_POPUP&amp;HEIGHT=450&amp;WIDTH=450&amp;START_MA","XIMIZED=FALSE&amp;VAR:CALENDAR=US&amp;VAR:SYMBOL=G0129K10&amp;VAR:INDEX=0"}</definedName>
    <definedName name="_8212__FDSAUDITLINK__" localSheetId="6" hidden="1">{"fdsup://directions/FAT Viewer?action=UPDATE&amp;creator=factset&amp;DYN_ARGS=TRUE&amp;DOC_NAME=FAT:FQL_AUDITING_CLIENT_TEMPLATE.FAT&amp;display_string=Audit&amp;VAR:KEY=XMTIPCPQHK&amp;VAR:QUERY=RkZfRUJJVERBX0lCKCdMVE1TJywzOTMyOSk=&amp;WINDOW=FIRST_POPUP&amp;HEIGHT=450&amp;WIDTH=450&amp;START_MA","XIMIZED=FALSE&amp;VAR:CALENDAR=US&amp;VAR:SYMBOL=G0129K10&amp;VAR:INDEX=0"}</definedName>
    <definedName name="_8212__FDSAUDITLINK__" hidden="1">{"fdsup://directions/FAT Viewer?action=UPDATE&amp;creator=factset&amp;DYN_ARGS=TRUE&amp;DOC_NAME=FAT:FQL_AUDITING_CLIENT_TEMPLATE.FAT&amp;display_string=Audit&amp;VAR:KEY=XMTIPCPQHK&amp;VAR:QUERY=RkZfRUJJVERBX0lCKCdMVE1TJywzOTMyOSk=&amp;WINDOW=FIRST_POPUP&amp;HEIGHT=450&amp;WIDTH=450&amp;START_MA","XIMIZED=FALSE&amp;VAR:CALENDAR=US&amp;VAR:SYMBOL=G0129K10&amp;VAR:INDEX=0"}</definedName>
    <definedName name="_8213__FDSAUDITLINK__" localSheetId="6" hidden="1">{"fdsup://directions/FAT Viewer?action=UPDATE&amp;creator=factset&amp;DYN_ARGS=TRUE&amp;DOC_NAME=FAT:FQL_AUDITING_CLIENT_TEMPLATE.FAT&amp;display_string=Audit&amp;VAR:KEY=HGNWHSZELO&amp;VAR:QUERY=RkZfRUJJVERBX0lCKCdMVE1TJywzOTMyOCk=&amp;WINDOW=FIRST_POPUP&amp;HEIGHT=450&amp;WIDTH=450&amp;START_MA","XIMIZED=FALSE&amp;VAR:CALENDAR=US&amp;VAR:SYMBOL=G0129K10&amp;VAR:INDEX=0"}</definedName>
    <definedName name="_8213__FDSAUDITLINK__" hidden="1">{"fdsup://directions/FAT Viewer?action=UPDATE&amp;creator=factset&amp;DYN_ARGS=TRUE&amp;DOC_NAME=FAT:FQL_AUDITING_CLIENT_TEMPLATE.FAT&amp;display_string=Audit&amp;VAR:KEY=HGNWHSZELO&amp;VAR:QUERY=RkZfRUJJVERBX0lCKCdMVE1TJywzOTMyOCk=&amp;WINDOW=FIRST_POPUP&amp;HEIGHT=450&amp;WIDTH=450&amp;START_MA","XIMIZED=FALSE&amp;VAR:CALENDAR=US&amp;VAR:SYMBOL=G0129K10&amp;VAR:INDEX=0"}</definedName>
    <definedName name="_8214__FDSAUDITLINK__" localSheetId="6" hidden="1">{"fdsup://directions/FAT Viewer?action=UPDATE&amp;creator=factset&amp;DYN_ARGS=TRUE&amp;DOC_NAME=FAT:FQL_AUDITING_CLIENT_TEMPLATE.FAT&amp;display_string=Audit&amp;VAR:KEY=FAFWLUXSBG&amp;VAR:QUERY=RkZfRUJJVERBX0lCKCdMVE1TJywzOTMyNyk=&amp;WINDOW=FIRST_POPUP&amp;HEIGHT=450&amp;WIDTH=450&amp;START_MA","XIMIZED=FALSE&amp;VAR:CALENDAR=US&amp;VAR:SYMBOL=G0129K10&amp;VAR:INDEX=0"}</definedName>
    <definedName name="_8214__FDSAUDITLINK__" hidden="1">{"fdsup://directions/FAT Viewer?action=UPDATE&amp;creator=factset&amp;DYN_ARGS=TRUE&amp;DOC_NAME=FAT:FQL_AUDITING_CLIENT_TEMPLATE.FAT&amp;display_string=Audit&amp;VAR:KEY=FAFWLUXSBG&amp;VAR:QUERY=RkZfRUJJVERBX0lCKCdMVE1TJywzOTMyNyk=&amp;WINDOW=FIRST_POPUP&amp;HEIGHT=450&amp;WIDTH=450&amp;START_MA","XIMIZED=FALSE&amp;VAR:CALENDAR=US&amp;VAR:SYMBOL=G0129K10&amp;VAR:INDEX=0"}</definedName>
    <definedName name="_8215__FDSAUDITLINK__" localSheetId="6" hidden="1">{"fdsup://directions/FAT Viewer?action=UPDATE&amp;creator=factset&amp;DYN_ARGS=TRUE&amp;DOC_NAME=FAT:FQL_AUDITING_CLIENT_TEMPLATE.FAT&amp;display_string=Audit&amp;VAR:KEY=TAJWVMBOXC&amp;VAR:QUERY=RkZfRUJJVERBX0lCKCdMVE1TJywzOTMyNik=&amp;WINDOW=FIRST_POPUP&amp;HEIGHT=450&amp;WIDTH=450&amp;START_MA","XIMIZED=FALSE&amp;VAR:CALENDAR=US&amp;VAR:SYMBOL=G0129K10&amp;VAR:INDEX=0"}</definedName>
    <definedName name="_8215__FDSAUDITLINK__" hidden="1">{"fdsup://directions/FAT Viewer?action=UPDATE&amp;creator=factset&amp;DYN_ARGS=TRUE&amp;DOC_NAME=FAT:FQL_AUDITING_CLIENT_TEMPLATE.FAT&amp;display_string=Audit&amp;VAR:KEY=TAJWVMBOXC&amp;VAR:QUERY=RkZfRUJJVERBX0lCKCdMVE1TJywzOTMyNik=&amp;WINDOW=FIRST_POPUP&amp;HEIGHT=450&amp;WIDTH=450&amp;START_MA","XIMIZED=FALSE&amp;VAR:CALENDAR=US&amp;VAR:SYMBOL=G0129K10&amp;VAR:INDEX=0"}</definedName>
    <definedName name="_8216__FDSAUDITLINK__" localSheetId="6" hidden="1">{"fdsup://directions/FAT Viewer?action=UPDATE&amp;creator=factset&amp;DYN_ARGS=TRUE&amp;DOC_NAME=FAT:FQL_AUDITING_CLIENT_TEMPLATE.FAT&amp;display_string=Audit&amp;VAR:KEY=BGBQHUTOFM&amp;VAR:QUERY=RkZfRUJJVERBX0lCKCdMVE1TJywzOTMyNSk=&amp;WINDOW=FIRST_POPUP&amp;HEIGHT=450&amp;WIDTH=450&amp;START_MA","XIMIZED=FALSE&amp;VAR:CALENDAR=US&amp;VAR:SYMBOL=G0129K10&amp;VAR:INDEX=0"}</definedName>
    <definedName name="_8216__FDSAUDITLINK__" hidden="1">{"fdsup://directions/FAT Viewer?action=UPDATE&amp;creator=factset&amp;DYN_ARGS=TRUE&amp;DOC_NAME=FAT:FQL_AUDITING_CLIENT_TEMPLATE.FAT&amp;display_string=Audit&amp;VAR:KEY=BGBQHUTOFM&amp;VAR:QUERY=RkZfRUJJVERBX0lCKCdMVE1TJywzOTMyNSk=&amp;WINDOW=FIRST_POPUP&amp;HEIGHT=450&amp;WIDTH=450&amp;START_MA","XIMIZED=FALSE&amp;VAR:CALENDAR=US&amp;VAR:SYMBOL=G0129K10&amp;VAR:INDEX=0"}</definedName>
    <definedName name="_8217__FDSAUDITLINK__" localSheetId="6" hidden="1">{"fdsup://directions/FAT Viewer?action=UPDATE&amp;creator=factset&amp;DYN_ARGS=TRUE&amp;DOC_NAME=FAT:FQL_AUDITING_CLIENT_TEMPLATE.FAT&amp;display_string=Audit&amp;VAR:KEY=DODYLYHQJU&amp;VAR:QUERY=RkZfRUJJVERBX0lCKCdMVE1TJywzOTMyNCk=&amp;WINDOW=FIRST_POPUP&amp;HEIGHT=450&amp;WIDTH=450&amp;START_MA","XIMIZED=FALSE&amp;VAR:CALENDAR=US&amp;VAR:SYMBOL=G0129K10&amp;VAR:INDEX=0"}</definedName>
    <definedName name="_8217__FDSAUDITLINK__" hidden="1">{"fdsup://directions/FAT Viewer?action=UPDATE&amp;creator=factset&amp;DYN_ARGS=TRUE&amp;DOC_NAME=FAT:FQL_AUDITING_CLIENT_TEMPLATE.FAT&amp;display_string=Audit&amp;VAR:KEY=DODYLYHQJU&amp;VAR:QUERY=RkZfRUJJVERBX0lCKCdMVE1TJywzOTMyNCk=&amp;WINDOW=FIRST_POPUP&amp;HEIGHT=450&amp;WIDTH=450&amp;START_MA","XIMIZED=FALSE&amp;VAR:CALENDAR=US&amp;VAR:SYMBOL=G0129K10&amp;VAR:INDEX=0"}</definedName>
    <definedName name="_8218__FDSAUDITLINK__" localSheetId="6" hidden="1">{"fdsup://directions/FAT Viewer?action=UPDATE&amp;creator=factset&amp;DYN_ARGS=TRUE&amp;DOC_NAME=FAT:FQL_AUDITING_CLIENT_TEMPLATE.FAT&amp;display_string=Audit&amp;VAR:KEY=BWZGBCHQPO&amp;VAR:QUERY=RkZfRUJJVERBX0lCKCdMVE1TJywzOTMyMyk=&amp;WINDOW=FIRST_POPUP&amp;HEIGHT=450&amp;WIDTH=450&amp;START_MA","XIMIZED=FALSE&amp;VAR:CALENDAR=US&amp;VAR:SYMBOL=G0129K10&amp;VAR:INDEX=0"}</definedName>
    <definedName name="_8218__FDSAUDITLINK__" hidden="1">{"fdsup://directions/FAT Viewer?action=UPDATE&amp;creator=factset&amp;DYN_ARGS=TRUE&amp;DOC_NAME=FAT:FQL_AUDITING_CLIENT_TEMPLATE.FAT&amp;display_string=Audit&amp;VAR:KEY=BWZGBCHQPO&amp;VAR:QUERY=RkZfRUJJVERBX0lCKCdMVE1TJywzOTMyMyk=&amp;WINDOW=FIRST_POPUP&amp;HEIGHT=450&amp;WIDTH=450&amp;START_MA","XIMIZED=FALSE&amp;VAR:CALENDAR=US&amp;VAR:SYMBOL=G0129K10&amp;VAR:INDEX=0"}</definedName>
    <definedName name="_8219__FDSAUDITLINK__" localSheetId="6" hidden="1">{"fdsup://directions/FAT Viewer?action=UPDATE&amp;creator=factset&amp;DYN_ARGS=TRUE&amp;DOC_NAME=FAT:FQL_AUDITING_CLIENT_TEMPLATE.FAT&amp;display_string=Audit&amp;VAR:KEY=FKJETGNGDM&amp;VAR:QUERY=RkZfRUJJVERBX0lCKCdMVE1TJywzOTMyMik=&amp;WINDOW=FIRST_POPUP&amp;HEIGHT=450&amp;WIDTH=450&amp;START_MA","XIMIZED=FALSE&amp;VAR:CALENDAR=US&amp;VAR:SYMBOL=G0129K10&amp;VAR:INDEX=0"}</definedName>
    <definedName name="_8219__FDSAUDITLINK__" hidden="1">{"fdsup://directions/FAT Viewer?action=UPDATE&amp;creator=factset&amp;DYN_ARGS=TRUE&amp;DOC_NAME=FAT:FQL_AUDITING_CLIENT_TEMPLATE.FAT&amp;display_string=Audit&amp;VAR:KEY=FKJETGNGDM&amp;VAR:QUERY=RkZfRUJJVERBX0lCKCdMVE1TJywzOTMyMik=&amp;WINDOW=FIRST_POPUP&amp;HEIGHT=450&amp;WIDTH=450&amp;START_MA","XIMIZED=FALSE&amp;VAR:CALENDAR=US&amp;VAR:SYMBOL=G0129K10&amp;VAR:INDEX=0"}</definedName>
    <definedName name="_822__FDSAUDITLINK__" localSheetId="6" hidden="1">{"fdsup://directions/FAT%20Viewer?VAR:PED=LTM&amp;VAR:AUDIT_MODE=SUMMARY&amp;VAR:PERIOD=FIXED&amp;VAR:AUDIT_ID=00000117&amp;VAR:DATE=20071121&amp;action=UPDATE&amp;creator=factset&amp;DOC_NAME=FAT:FMA_audit_SUMMARY.fat&amp;DISPLAY_STRING=Display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2__FDSAUDITLINK__" hidden="1">{"fdsup://directions/FAT%20Viewer?VAR:PED=LTM&amp;VAR:AUDIT_MODE=SUMMARY&amp;VAR:PERIOD=FIXED&amp;VAR:AUDIT_ID=00000117&amp;VAR:DATE=20071121&amp;action=UPDATE&amp;creator=factset&amp;DOC_NAME=FAT:FMA_audit_SUMMARY.fat&amp;DISPLAY_STRING=Display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20__FDSAUDITLINK__" localSheetId="6" hidden="1">{"fdsup://directions/FAT Viewer?action=UPDATE&amp;creator=factset&amp;DYN_ARGS=TRUE&amp;DOC_NAME=FAT:FQL_AUDITING_CLIENT_TEMPLATE.FAT&amp;display_string=Audit&amp;VAR:KEY=VEBSDGRQBY&amp;VAR:QUERY=RkZfRUJJVERBX0lCKCdMVE1TJywzOTMyMSk=&amp;WINDOW=FIRST_POPUP&amp;HEIGHT=450&amp;WIDTH=450&amp;START_MA","XIMIZED=FALSE&amp;VAR:CALENDAR=US&amp;VAR:SYMBOL=G0129K10&amp;VAR:INDEX=0"}</definedName>
    <definedName name="_8220__FDSAUDITLINK__" hidden="1">{"fdsup://directions/FAT Viewer?action=UPDATE&amp;creator=factset&amp;DYN_ARGS=TRUE&amp;DOC_NAME=FAT:FQL_AUDITING_CLIENT_TEMPLATE.FAT&amp;display_string=Audit&amp;VAR:KEY=VEBSDGRQBY&amp;VAR:QUERY=RkZfRUJJVERBX0lCKCdMVE1TJywzOTMyMSk=&amp;WINDOW=FIRST_POPUP&amp;HEIGHT=450&amp;WIDTH=450&amp;START_MA","XIMIZED=FALSE&amp;VAR:CALENDAR=US&amp;VAR:SYMBOL=G0129K10&amp;VAR:INDEX=0"}</definedName>
    <definedName name="_8221__FDSAUDITLINK__" localSheetId="6" hidden="1">{"fdsup://directions/FAT Viewer?action=UPDATE&amp;creator=factset&amp;DYN_ARGS=TRUE&amp;DOC_NAME=FAT:FQL_AUDITING_CLIENT_TEMPLATE.FAT&amp;display_string=Audit&amp;VAR:KEY=BQRMHSLOHG&amp;VAR:QUERY=RkZfRUJJVERBX0lCKCdMVE1TJywzOTMyMCk=&amp;WINDOW=FIRST_POPUP&amp;HEIGHT=450&amp;WIDTH=450&amp;START_MA","XIMIZED=FALSE&amp;VAR:CALENDAR=US&amp;VAR:SYMBOL=G0129K10&amp;VAR:INDEX=0"}</definedName>
    <definedName name="_8221__FDSAUDITLINK__" hidden="1">{"fdsup://directions/FAT Viewer?action=UPDATE&amp;creator=factset&amp;DYN_ARGS=TRUE&amp;DOC_NAME=FAT:FQL_AUDITING_CLIENT_TEMPLATE.FAT&amp;display_string=Audit&amp;VAR:KEY=BQRMHSLOHG&amp;VAR:QUERY=RkZfRUJJVERBX0lCKCdMVE1TJywzOTMyMCk=&amp;WINDOW=FIRST_POPUP&amp;HEIGHT=450&amp;WIDTH=450&amp;START_MA","XIMIZED=FALSE&amp;VAR:CALENDAR=US&amp;VAR:SYMBOL=G0129K10&amp;VAR:INDEX=0"}</definedName>
    <definedName name="_8222__FDSAUDITLINK__" localSheetId="6" hidden="1">{"fdsup://directions/FAT Viewer?action=UPDATE&amp;creator=factset&amp;DYN_ARGS=TRUE&amp;DOC_NAME=FAT:FQL_AUDITING_CLIENT_TEMPLATE.FAT&amp;display_string=Audit&amp;VAR:KEY=REZYDQFGRW&amp;VAR:QUERY=RkZfRUJJVERBX0lCKCdMVE1TJywzOTMxOSk=&amp;WINDOW=FIRST_POPUP&amp;HEIGHT=450&amp;WIDTH=450&amp;START_MA","XIMIZED=FALSE&amp;VAR:CALENDAR=US&amp;VAR:SYMBOL=G0129K10&amp;VAR:INDEX=0"}</definedName>
    <definedName name="_8222__FDSAUDITLINK__" hidden="1">{"fdsup://directions/FAT Viewer?action=UPDATE&amp;creator=factset&amp;DYN_ARGS=TRUE&amp;DOC_NAME=FAT:FQL_AUDITING_CLIENT_TEMPLATE.FAT&amp;display_string=Audit&amp;VAR:KEY=REZYDQFGRW&amp;VAR:QUERY=RkZfRUJJVERBX0lCKCdMVE1TJywzOTMxOSk=&amp;WINDOW=FIRST_POPUP&amp;HEIGHT=450&amp;WIDTH=450&amp;START_MA","XIMIZED=FALSE&amp;VAR:CALENDAR=US&amp;VAR:SYMBOL=G0129K10&amp;VAR:INDEX=0"}</definedName>
    <definedName name="_8223__FDSAUDITLINK__" localSheetId="6" hidden="1">{"fdsup://directions/FAT Viewer?action=UPDATE&amp;creator=factset&amp;DYN_ARGS=TRUE&amp;DOC_NAME=FAT:FQL_AUDITING_CLIENT_TEMPLATE.FAT&amp;display_string=Audit&amp;VAR:KEY=NYNCLSVSZW&amp;VAR:QUERY=RkZfRUJJVERBX0lCKCdMVE1TJywzOTMxOCk=&amp;WINDOW=FIRST_POPUP&amp;HEIGHT=450&amp;WIDTH=450&amp;START_MA","XIMIZED=FALSE&amp;VAR:CALENDAR=US&amp;VAR:SYMBOL=G0129K10&amp;VAR:INDEX=0"}</definedName>
    <definedName name="_8223__FDSAUDITLINK__" hidden="1">{"fdsup://directions/FAT Viewer?action=UPDATE&amp;creator=factset&amp;DYN_ARGS=TRUE&amp;DOC_NAME=FAT:FQL_AUDITING_CLIENT_TEMPLATE.FAT&amp;display_string=Audit&amp;VAR:KEY=NYNCLSVSZW&amp;VAR:QUERY=RkZfRUJJVERBX0lCKCdMVE1TJywzOTMxOCk=&amp;WINDOW=FIRST_POPUP&amp;HEIGHT=450&amp;WIDTH=450&amp;START_MA","XIMIZED=FALSE&amp;VAR:CALENDAR=US&amp;VAR:SYMBOL=G0129K10&amp;VAR:INDEX=0"}</definedName>
    <definedName name="_8224__FDSAUDITLINK__" localSheetId="6" hidden="1">{"fdsup://directions/FAT Viewer?action=UPDATE&amp;creator=factset&amp;DYN_ARGS=TRUE&amp;DOC_NAME=FAT:FQL_AUDITING_CLIENT_TEMPLATE.FAT&amp;display_string=Audit&amp;VAR:KEY=VCTCVYBOPM&amp;VAR:QUERY=RkZfRUJJVERBX0lCKCdMVE1TJywzOTMxNyk=&amp;WINDOW=FIRST_POPUP&amp;HEIGHT=450&amp;WIDTH=450&amp;START_MA","XIMIZED=FALSE&amp;VAR:CALENDAR=US&amp;VAR:SYMBOL=G0129K10&amp;VAR:INDEX=0"}</definedName>
    <definedName name="_8224__FDSAUDITLINK__" hidden="1">{"fdsup://directions/FAT Viewer?action=UPDATE&amp;creator=factset&amp;DYN_ARGS=TRUE&amp;DOC_NAME=FAT:FQL_AUDITING_CLIENT_TEMPLATE.FAT&amp;display_string=Audit&amp;VAR:KEY=VCTCVYBOPM&amp;VAR:QUERY=RkZfRUJJVERBX0lCKCdMVE1TJywzOTMxNyk=&amp;WINDOW=FIRST_POPUP&amp;HEIGHT=450&amp;WIDTH=450&amp;START_MA","XIMIZED=FALSE&amp;VAR:CALENDAR=US&amp;VAR:SYMBOL=G0129K10&amp;VAR:INDEX=0"}</definedName>
    <definedName name="_8225__FDSAUDITLINK__" localSheetId="6" hidden="1">{"fdsup://directions/FAT Viewer?action=UPDATE&amp;creator=factset&amp;DYN_ARGS=TRUE&amp;DOC_NAME=FAT:FQL_AUDITING_CLIENT_TEMPLATE.FAT&amp;display_string=Audit&amp;VAR:KEY=RWZGRGDMPI&amp;VAR:QUERY=RkZfRUJJVERBX0lCKCdMVE1TJywzOTMxNik=&amp;WINDOW=FIRST_POPUP&amp;HEIGHT=450&amp;WIDTH=450&amp;START_MA","XIMIZED=FALSE&amp;VAR:CALENDAR=US&amp;VAR:SYMBOL=G0129K10&amp;VAR:INDEX=0"}</definedName>
    <definedName name="_8225__FDSAUDITLINK__" hidden="1">{"fdsup://directions/FAT Viewer?action=UPDATE&amp;creator=factset&amp;DYN_ARGS=TRUE&amp;DOC_NAME=FAT:FQL_AUDITING_CLIENT_TEMPLATE.FAT&amp;display_string=Audit&amp;VAR:KEY=RWZGRGDMPI&amp;VAR:QUERY=RkZfRUJJVERBX0lCKCdMVE1TJywzOTMxNik=&amp;WINDOW=FIRST_POPUP&amp;HEIGHT=450&amp;WIDTH=450&amp;START_MA","XIMIZED=FALSE&amp;VAR:CALENDAR=US&amp;VAR:SYMBOL=G0129K10&amp;VAR:INDEX=0"}</definedName>
    <definedName name="_8226__FDSAUDITLINK__" localSheetId="6" hidden="1">{"fdsup://directions/FAT Viewer?action=UPDATE&amp;creator=factset&amp;DYN_ARGS=TRUE&amp;DOC_NAME=FAT:FQL_AUDITING_CLIENT_TEMPLATE.FAT&amp;display_string=Audit&amp;VAR:KEY=BUTAPYBOXY&amp;VAR:QUERY=RkZfRUJJVERBX0lCKCdMVE1TJywzOTMxNSk=&amp;WINDOW=FIRST_POPUP&amp;HEIGHT=450&amp;WIDTH=450&amp;START_MA","XIMIZED=FALSE&amp;VAR:CALENDAR=US&amp;VAR:SYMBOL=G0129K10&amp;VAR:INDEX=0"}</definedName>
    <definedName name="_8226__FDSAUDITLINK__" hidden="1">{"fdsup://directions/FAT Viewer?action=UPDATE&amp;creator=factset&amp;DYN_ARGS=TRUE&amp;DOC_NAME=FAT:FQL_AUDITING_CLIENT_TEMPLATE.FAT&amp;display_string=Audit&amp;VAR:KEY=BUTAPYBOXY&amp;VAR:QUERY=RkZfRUJJVERBX0lCKCdMVE1TJywzOTMxNSk=&amp;WINDOW=FIRST_POPUP&amp;HEIGHT=450&amp;WIDTH=450&amp;START_MA","XIMIZED=FALSE&amp;VAR:CALENDAR=US&amp;VAR:SYMBOL=G0129K10&amp;VAR:INDEX=0"}</definedName>
    <definedName name="_8227__FDSAUDITLINK__" localSheetId="6" hidden="1">{"fdsup://directions/FAT Viewer?action=UPDATE&amp;creator=factset&amp;DYN_ARGS=TRUE&amp;DOC_NAME=FAT:FQL_AUDITING_CLIENT_TEMPLATE.FAT&amp;display_string=Audit&amp;VAR:KEY=PAFWRIRWRS&amp;VAR:QUERY=RkZfRUJJVERBX0lCKCdMVE1TJywzOTMxNCk=&amp;WINDOW=FIRST_POPUP&amp;HEIGHT=450&amp;WIDTH=450&amp;START_MA","XIMIZED=FALSE&amp;VAR:CALENDAR=US&amp;VAR:SYMBOL=G0129K10&amp;VAR:INDEX=0"}</definedName>
    <definedName name="_8227__FDSAUDITLINK__" hidden="1">{"fdsup://directions/FAT Viewer?action=UPDATE&amp;creator=factset&amp;DYN_ARGS=TRUE&amp;DOC_NAME=FAT:FQL_AUDITING_CLIENT_TEMPLATE.FAT&amp;display_string=Audit&amp;VAR:KEY=PAFWRIRWRS&amp;VAR:QUERY=RkZfRUJJVERBX0lCKCdMVE1TJywzOTMxNCk=&amp;WINDOW=FIRST_POPUP&amp;HEIGHT=450&amp;WIDTH=450&amp;START_MA","XIMIZED=FALSE&amp;VAR:CALENDAR=US&amp;VAR:SYMBOL=G0129K10&amp;VAR:INDEX=0"}</definedName>
    <definedName name="_8228__FDSAUDITLINK__" localSheetId="6" hidden="1">{"fdsup://directions/FAT Viewer?action=UPDATE&amp;creator=factset&amp;DYN_ARGS=TRUE&amp;DOC_NAME=FAT:FQL_AUDITING_CLIENT_TEMPLATE.FAT&amp;display_string=Audit&amp;VAR:KEY=XGDCDADKDG&amp;VAR:QUERY=RkZfRUJJVERBX0lCKCdMVE1TJywzOTMxMyk=&amp;WINDOW=FIRST_POPUP&amp;HEIGHT=450&amp;WIDTH=450&amp;START_MA","XIMIZED=FALSE&amp;VAR:CALENDAR=US&amp;VAR:SYMBOL=G0129K10&amp;VAR:INDEX=0"}</definedName>
    <definedName name="_8228__FDSAUDITLINK__" hidden="1">{"fdsup://directions/FAT Viewer?action=UPDATE&amp;creator=factset&amp;DYN_ARGS=TRUE&amp;DOC_NAME=FAT:FQL_AUDITING_CLIENT_TEMPLATE.FAT&amp;display_string=Audit&amp;VAR:KEY=XGDCDADKDG&amp;VAR:QUERY=RkZfRUJJVERBX0lCKCdMVE1TJywzOTMxMyk=&amp;WINDOW=FIRST_POPUP&amp;HEIGHT=450&amp;WIDTH=450&amp;START_MA","XIMIZED=FALSE&amp;VAR:CALENDAR=US&amp;VAR:SYMBOL=G0129K10&amp;VAR:INDEX=0"}</definedName>
    <definedName name="_8229__FDSAUDITLINK__" localSheetId="6" hidden="1">{"fdsup://directions/FAT Viewer?action=UPDATE&amp;creator=factset&amp;DYN_ARGS=TRUE&amp;DOC_NAME=FAT:FQL_AUDITING_CLIENT_TEMPLATE.FAT&amp;display_string=Audit&amp;VAR:KEY=VAFEFMLWDW&amp;VAR:QUERY=RkZfRUJJVERBX0lCKCdMVE1TJywzOTMxMik=&amp;WINDOW=FIRST_POPUP&amp;HEIGHT=450&amp;WIDTH=450&amp;START_MA","XIMIZED=FALSE&amp;VAR:CALENDAR=US&amp;VAR:SYMBOL=G0129K10&amp;VAR:INDEX=0"}</definedName>
    <definedName name="_8229__FDSAUDITLINK__" hidden="1">{"fdsup://directions/FAT Viewer?action=UPDATE&amp;creator=factset&amp;DYN_ARGS=TRUE&amp;DOC_NAME=FAT:FQL_AUDITING_CLIENT_TEMPLATE.FAT&amp;display_string=Audit&amp;VAR:KEY=VAFEFMLWDW&amp;VAR:QUERY=RkZfRUJJVERBX0lCKCdMVE1TJywzOTMxMik=&amp;WINDOW=FIRST_POPUP&amp;HEIGHT=450&amp;WIDTH=450&amp;START_MA","XIMIZED=FALSE&amp;VAR:CALENDAR=US&amp;VAR:SYMBOL=G0129K10&amp;VAR:INDEX=0"}</definedName>
    <definedName name="_823__FDSAUDITLINK__" localSheetId="6" hidden="1">{"fdsup://directions/FAT%20Viewer?VAR:PED=LTM&amp;VAR:AUDIT_MODE=SUMMARY&amp;VAR:PERIOD=FIXED&amp;VAR:AUDIT_ID=00000117&amp;VAR:DATE=20071121&amp;action=UPDATE&amp;creator=factset&amp;DOC_NAME=FAT:FMA_audit_SUMMARY.fat&amp;DISPLAY_STRING=Display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3__FDSAUDITLINK__" hidden="1">{"fdsup://directions/FAT%20Viewer?VAR:PED=LTM&amp;VAR:AUDIT_MODE=SUMMARY&amp;VAR:PERIOD=FIXED&amp;VAR:AUDIT_ID=00000117&amp;VAR:DATE=20071121&amp;action=UPDATE&amp;creator=factset&amp;DOC_NAME=FAT:FMA_audit_SUMMARY.fat&amp;DISPLAY_STRING=Display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30__FDSAUDITLINK__" localSheetId="6" hidden="1">{"fdsup://directions/FAT Viewer?action=UPDATE&amp;creator=factset&amp;DYN_ARGS=TRUE&amp;DOC_NAME=FAT:FQL_AUDITING_CLIENT_TEMPLATE.FAT&amp;display_string=Audit&amp;VAR:KEY=ZWLYNGDKVI&amp;VAR:QUERY=RkZfRUJJVERBX0lCKCdMVE1TJywzOTMxMSk=&amp;WINDOW=FIRST_POPUP&amp;HEIGHT=450&amp;WIDTH=450&amp;START_MA","XIMIZED=FALSE&amp;VAR:CALENDAR=US&amp;VAR:SYMBOL=G0129K10&amp;VAR:INDEX=0"}</definedName>
    <definedName name="_8230__FDSAUDITLINK__" hidden="1">{"fdsup://directions/FAT Viewer?action=UPDATE&amp;creator=factset&amp;DYN_ARGS=TRUE&amp;DOC_NAME=FAT:FQL_AUDITING_CLIENT_TEMPLATE.FAT&amp;display_string=Audit&amp;VAR:KEY=ZWLYNGDKVI&amp;VAR:QUERY=RkZfRUJJVERBX0lCKCdMVE1TJywzOTMxMSk=&amp;WINDOW=FIRST_POPUP&amp;HEIGHT=450&amp;WIDTH=450&amp;START_MA","XIMIZED=FALSE&amp;VAR:CALENDAR=US&amp;VAR:SYMBOL=G0129K10&amp;VAR:INDEX=0"}</definedName>
    <definedName name="_8231__FDSAUDITLINK__" localSheetId="6" hidden="1">{"fdsup://directions/FAT Viewer?action=UPDATE&amp;creator=factset&amp;DYN_ARGS=TRUE&amp;DOC_NAME=FAT:FQL_AUDITING_CLIENT_TEMPLATE.FAT&amp;display_string=Audit&amp;VAR:KEY=PWNWDAPYZC&amp;VAR:QUERY=RkZfRUJJVERBX0lCKCdMVE1TJywzOTMxMCk=&amp;WINDOW=FIRST_POPUP&amp;HEIGHT=450&amp;WIDTH=450&amp;START_MA","XIMIZED=FALSE&amp;VAR:CALENDAR=US&amp;VAR:SYMBOL=G0129K10&amp;VAR:INDEX=0"}</definedName>
    <definedName name="_8231__FDSAUDITLINK__" hidden="1">{"fdsup://directions/FAT Viewer?action=UPDATE&amp;creator=factset&amp;DYN_ARGS=TRUE&amp;DOC_NAME=FAT:FQL_AUDITING_CLIENT_TEMPLATE.FAT&amp;display_string=Audit&amp;VAR:KEY=PWNWDAPYZC&amp;VAR:QUERY=RkZfRUJJVERBX0lCKCdMVE1TJywzOTMxMCk=&amp;WINDOW=FIRST_POPUP&amp;HEIGHT=450&amp;WIDTH=450&amp;START_MA","XIMIZED=FALSE&amp;VAR:CALENDAR=US&amp;VAR:SYMBOL=G0129K10&amp;VAR:INDEX=0"}</definedName>
    <definedName name="_8232__FDSAUDITLINK__" localSheetId="6" hidden="1">{"fdsup://directions/FAT Viewer?action=UPDATE&amp;creator=factset&amp;DYN_ARGS=TRUE&amp;DOC_NAME=FAT:FQL_AUDITING_CLIENT_TEMPLATE.FAT&amp;display_string=Audit&amp;VAR:KEY=NUBIBAPONG&amp;VAR:QUERY=RkZfRUJJVERBX0lCKCdMVE1TJywzOTMwOSk=&amp;WINDOW=FIRST_POPUP&amp;HEIGHT=450&amp;WIDTH=450&amp;START_MA","XIMIZED=FALSE&amp;VAR:CALENDAR=US&amp;VAR:SYMBOL=G0129K10&amp;VAR:INDEX=0"}</definedName>
    <definedName name="_8232__FDSAUDITLINK__" hidden="1">{"fdsup://directions/FAT Viewer?action=UPDATE&amp;creator=factset&amp;DYN_ARGS=TRUE&amp;DOC_NAME=FAT:FQL_AUDITING_CLIENT_TEMPLATE.FAT&amp;display_string=Audit&amp;VAR:KEY=NUBIBAPONG&amp;VAR:QUERY=RkZfRUJJVERBX0lCKCdMVE1TJywzOTMwOSk=&amp;WINDOW=FIRST_POPUP&amp;HEIGHT=450&amp;WIDTH=450&amp;START_MA","XIMIZED=FALSE&amp;VAR:CALENDAR=US&amp;VAR:SYMBOL=G0129K10&amp;VAR:INDEX=0"}</definedName>
    <definedName name="_8233__FDSAUDITLINK__" localSheetId="6" hidden="1">{"fdsup://directions/FAT Viewer?action=UPDATE&amp;creator=factset&amp;DYN_ARGS=TRUE&amp;DOC_NAME=FAT:FQL_AUDITING_CLIENT_TEMPLATE.FAT&amp;display_string=Audit&amp;VAR:KEY=DKTULYDGVA&amp;VAR:QUERY=RkZfRUJJVERBX0lCKCdMVE1TJywzOTMwOCk=&amp;WINDOW=FIRST_POPUP&amp;HEIGHT=450&amp;WIDTH=450&amp;START_MA","XIMIZED=FALSE&amp;VAR:CALENDAR=US&amp;VAR:SYMBOL=G0129K10&amp;VAR:INDEX=0"}</definedName>
    <definedName name="_8233__FDSAUDITLINK__" hidden="1">{"fdsup://directions/FAT Viewer?action=UPDATE&amp;creator=factset&amp;DYN_ARGS=TRUE&amp;DOC_NAME=FAT:FQL_AUDITING_CLIENT_TEMPLATE.FAT&amp;display_string=Audit&amp;VAR:KEY=DKTULYDGVA&amp;VAR:QUERY=RkZfRUJJVERBX0lCKCdMVE1TJywzOTMwOCk=&amp;WINDOW=FIRST_POPUP&amp;HEIGHT=450&amp;WIDTH=450&amp;START_MA","XIMIZED=FALSE&amp;VAR:CALENDAR=US&amp;VAR:SYMBOL=G0129K10&amp;VAR:INDEX=0"}</definedName>
    <definedName name="_8234__FDSAUDITLINK__" localSheetId="6" hidden="1">{"fdsup://directions/FAT Viewer?action=UPDATE&amp;creator=factset&amp;DYN_ARGS=TRUE&amp;DOC_NAME=FAT:FQL_AUDITING_CLIENT_TEMPLATE.FAT&amp;display_string=Audit&amp;VAR:KEY=HAXKRGNSRU&amp;VAR:QUERY=RkZfRUJJVERBX0lCKCdMVE1TJywzOTMwNyk=&amp;WINDOW=FIRST_POPUP&amp;HEIGHT=450&amp;WIDTH=450&amp;START_MA","XIMIZED=FALSE&amp;VAR:CALENDAR=US&amp;VAR:SYMBOL=G0129K10&amp;VAR:INDEX=0"}</definedName>
    <definedName name="_8234__FDSAUDITLINK__" hidden="1">{"fdsup://directions/FAT Viewer?action=UPDATE&amp;creator=factset&amp;DYN_ARGS=TRUE&amp;DOC_NAME=FAT:FQL_AUDITING_CLIENT_TEMPLATE.FAT&amp;display_string=Audit&amp;VAR:KEY=HAXKRGNSRU&amp;VAR:QUERY=RkZfRUJJVERBX0lCKCdMVE1TJywzOTMwNyk=&amp;WINDOW=FIRST_POPUP&amp;HEIGHT=450&amp;WIDTH=450&amp;START_MA","XIMIZED=FALSE&amp;VAR:CALENDAR=US&amp;VAR:SYMBOL=G0129K10&amp;VAR:INDEX=0"}</definedName>
    <definedName name="_8235__FDSAUDITLINK__" localSheetId="6" hidden="1">{"fdsup://directions/FAT Viewer?action=UPDATE&amp;creator=factset&amp;DYN_ARGS=TRUE&amp;DOC_NAME=FAT:FQL_AUDITING_CLIENT_TEMPLATE.FAT&amp;display_string=Audit&amp;VAR:KEY=JIPCRKFCBK&amp;VAR:QUERY=RkZfRUJJVERBX0lCKCdMVE1TJywzOTMwNik=&amp;WINDOW=FIRST_POPUP&amp;HEIGHT=450&amp;WIDTH=450&amp;START_MA","XIMIZED=FALSE&amp;VAR:CALENDAR=US&amp;VAR:SYMBOL=G0129K10&amp;VAR:INDEX=0"}</definedName>
    <definedName name="_8235__FDSAUDITLINK__" hidden="1">{"fdsup://directions/FAT Viewer?action=UPDATE&amp;creator=factset&amp;DYN_ARGS=TRUE&amp;DOC_NAME=FAT:FQL_AUDITING_CLIENT_TEMPLATE.FAT&amp;display_string=Audit&amp;VAR:KEY=JIPCRKFCBK&amp;VAR:QUERY=RkZfRUJJVERBX0lCKCdMVE1TJywzOTMwNik=&amp;WINDOW=FIRST_POPUP&amp;HEIGHT=450&amp;WIDTH=450&amp;START_MA","XIMIZED=FALSE&amp;VAR:CALENDAR=US&amp;VAR:SYMBOL=G0129K10&amp;VAR:INDEX=0"}</definedName>
    <definedName name="_8236__FDSAUDITLINK__" localSheetId="6" hidden="1">{"fdsup://directions/FAT Viewer?action=UPDATE&amp;creator=factset&amp;DYN_ARGS=TRUE&amp;DOC_NAME=FAT:FQL_AUDITING_CLIENT_TEMPLATE.FAT&amp;display_string=Audit&amp;VAR:KEY=HMLYTWDWXE&amp;VAR:QUERY=RkZfRUJJVERBX0lCKCdMVE1TJywzOTMwNSk=&amp;WINDOW=FIRST_POPUP&amp;HEIGHT=450&amp;WIDTH=450&amp;START_MA","XIMIZED=FALSE&amp;VAR:CALENDAR=US&amp;VAR:SYMBOL=G0129K10&amp;VAR:INDEX=0"}</definedName>
    <definedName name="_8236__FDSAUDITLINK__" hidden="1">{"fdsup://directions/FAT Viewer?action=UPDATE&amp;creator=factset&amp;DYN_ARGS=TRUE&amp;DOC_NAME=FAT:FQL_AUDITING_CLIENT_TEMPLATE.FAT&amp;display_string=Audit&amp;VAR:KEY=HMLYTWDWXE&amp;VAR:QUERY=RkZfRUJJVERBX0lCKCdMVE1TJywzOTMwNSk=&amp;WINDOW=FIRST_POPUP&amp;HEIGHT=450&amp;WIDTH=450&amp;START_MA","XIMIZED=FALSE&amp;VAR:CALENDAR=US&amp;VAR:SYMBOL=G0129K10&amp;VAR:INDEX=0"}</definedName>
    <definedName name="_8237__FDSAUDITLINK__" localSheetId="6" hidden="1">{"fdsup://directions/FAT Viewer?action=UPDATE&amp;creator=factset&amp;DYN_ARGS=TRUE&amp;DOC_NAME=FAT:FQL_AUDITING_CLIENT_TEMPLATE.FAT&amp;display_string=Audit&amp;VAR:KEY=PWLYJUXIVI&amp;VAR:QUERY=RkZfRUJJVERBX0lCKCdMVE1TJywzOTMwNCk=&amp;WINDOW=FIRST_POPUP&amp;HEIGHT=450&amp;WIDTH=450&amp;START_MA","XIMIZED=FALSE&amp;VAR:CALENDAR=US&amp;VAR:SYMBOL=G0129K10&amp;VAR:INDEX=0"}</definedName>
    <definedName name="_8237__FDSAUDITLINK__" hidden="1">{"fdsup://directions/FAT Viewer?action=UPDATE&amp;creator=factset&amp;DYN_ARGS=TRUE&amp;DOC_NAME=FAT:FQL_AUDITING_CLIENT_TEMPLATE.FAT&amp;display_string=Audit&amp;VAR:KEY=PWLYJUXIVI&amp;VAR:QUERY=RkZfRUJJVERBX0lCKCdMVE1TJywzOTMwNCk=&amp;WINDOW=FIRST_POPUP&amp;HEIGHT=450&amp;WIDTH=450&amp;START_MA","XIMIZED=FALSE&amp;VAR:CALENDAR=US&amp;VAR:SYMBOL=G0129K10&amp;VAR:INDEX=0"}</definedName>
    <definedName name="_8238__FDSAUDITLINK__" localSheetId="6" hidden="1">{"fdsup://directions/FAT Viewer?action=UPDATE&amp;creator=factset&amp;DYN_ARGS=TRUE&amp;DOC_NAME=FAT:FQL_AUDITING_CLIENT_TEMPLATE.FAT&amp;display_string=Audit&amp;VAR:KEY=DUBUPADYJU&amp;VAR:QUERY=RkZfRUJJVERBX0lCKCdMVE1TJywzOTMwMyk=&amp;WINDOW=FIRST_POPUP&amp;HEIGHT=450&amp;WIDTH=450&amp;START_MA","XIMIZED=FALSE&amp;VAR:CALENDAR=US&amp;VAR:SYMBOL=G0129K10&amp;VAR:INDEX=0"}</definedName>
    <definedName name="_8238__FDSAUDITLINK__" hidden="1">{"fdsup://directions/FAT Viewer?action=UPDATE&amp;creator=factset&amp;DYN_ARGS=TRUE&amp;DOC_NAME=FAT:FQL_AUDITING_CLIENT_TEMPLATE.FAT&amp;display_string=Audit&amp;VAR:KEY=DUBUPADYJU&amp;VAR:QUERY=RkZfRUJJVERBX0lCKCdMVE1TJywzOTMwMyk=&amp;WINDOW=FIRST_POPUP&amp;HEIGHT=450&amp;WIDTH=450&amp;START_MA","XIMIZED=FALSE&amp;VAR:CALENDAR=US&amp;VAR:SYMBOL=G0129K10&amp;VAR:INDEX=0"}</definedName>
    <definedName name="_8239__FDSAUDITLINK__" localSheetId="6" hidden="1">{"fdsup://directions/FAT Viewer?action=UPDATE&amp;creator=factset&amp;DYN_ARGS=TRUE&amp;DOC_NAME=FAT:FQL_AUDITING_CLIENT_TEMPLATE.FAT&amp;display_string=Audit&amp;VAR:KEY=LSZUPUZUVK&amp;VAR:QUERY=RkZfRUJJVERBX0lCKCdMVE1TJywzOTMwMik=&amp;WINDOW=FIRST_POPUP&amp;HEIGHT=450&amp;WIDTH=450&amp;START_MA","XIMIZED=FALSE&amp;VAR:CALENDAR=US&amp;VAR:SYMBOL=G0129K10&amp;VAR:INDEX=0"}</definedName>
    <definedName name="_8239__FDSAUDITLINK__" hidden="1">{"fdsup://directions/FAT Viewer?action=UPDATE&amp;creator=factset&amp;DYN_ARGS=TRUE&amp;DOC_NAME=FAT:FQL_AUDITING_CLIENT_TEMPLATE.FAT&amp;display_string=Audit&amp;VAR:KEY=LSZUPUZUVK&amp;VAR:QUERY=RkZfRUJJVERBX0lCKCdMVE1TJywzOTMwMik=&amp;WINDOW=FIRST_POPUP&amp;HEIGHT=450&amp;WIDTH=450&amp;START_MA","XIMIZED=FALSE&amp;VAR:CALENDAR=US&amp;VAR:SYMBOL=G0129K10&amp;VAR:INDEX=0"}</definedName>
    <definedName name="_824__FDSAUDITLINK__" localSheetId="6" hidden="1">{"fdsup://directions/FAT%20Viewer?VAR:PED=LTM&amp;VAR:AUDIT_MODE=SUMMARY&amp;VAR:PERIOD=FIXED&amp;VAR:AUDIT_ID=00000117&amp;VAR:DATE=20071120&amp;action=UPDATE&amp;creator=factset&amp;DOC_NAME=FAT:FMA_audit_SUMMARY.fat&amp;DISPLAY_STRING=Display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4__FDSAUDITLINK__" hidden="1">{"fdsup://directions/FAT%20Viewer?VAR:PED=LTM&amp;VAR:AUDIT_MODE=SUMMARY&amp;VAR:PERIOD=FIXED&amp;VAR:AUDIT_ID=00000117&amp;VAR:DATE=20071120&amp;action=UPDATE&amp;creator=factset&amp;DOC_NAME=FAT:FMA_audit_SUMMARY.fat&amp;DISPLAY_STRING=Display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40__FDSAUDITLINK__" localSheetId="6" hidden="1">{"fdsup://directions/FAT Viewer?action=UPDATE&amp;creator=factset&amp;DYN_ARGS=TRUE&amp;DOC_NAME=FAT:FQL_AUDITING_CLIENT_TEMPLATE.FAT&amp;display_string=Audit&amp;VAR:KEY=VABGDOLSRK&amp;VAR:QUERY=RkZfRUJJVERBX0lCKCdMVE1TJywzOTMwMSk=&amp;WINDOW=FIRST_POPUP&amp;HEIGHT=450&amp;WIDTH=450&amp;START_MA","XIMIZED=FALSE&amp;VAR:CALENDAR=US&amp;VAR:SYMBOL=G0129K10&amp;VAR:INDEX=0"}</definedName>
    <definedName name="_8240__FDSAUDITLINK__" hidden="1">{"fdsup://directions/FAT Viewer?action=UPDATE&amp;creator=factset&amp;DYN_ARGS=TRUE&amp;DOC_NAME=FAT:FQL_AUDITING_CLIENT_TEMPLATE.FAT&amp;display_string=Audit&amp;VAR:KEY=VABGDOLSRK&amp;VAR:QUERY=RkZfRUJJVERBX0lCKCdMVE1TJywzOTMwMSk=&amp;WINDOW=FIRST_POPUP&amp;HEIGHT=450&amp;WIDTH=450&amp;START_MA","XIMIZED=FALSE&amp;VAR:CALENDAR=US&amp;VAR:SYMBOL=G0129K10&amp;VAR:INDEX=0"}</definedName>
    <definedName name="_8241__FDSAUDITLINK__" localSheetId="6" hidden="1">{"fdsup://directions/FAT Viewer?action=UPDATE&amp;creator=factset&amp;DYN_ARGS=TRUE&amp;DOC_NAME=FAT:FQL_AUDITING_CLIENT_TEMPLATE.FAT&amp;display_string=Audit&amp;VAR:KEY=TOHUZEDAJG&amp;VAR:QUERY=RkZfRUJJVERBX0lCKCdMVE1TJywzOTMwMCk=&amp;WINDOW=FIRST_POPUP&amp;HEIGHT=450&amp;WIDTH=450&amp;START_MA","XIMIZED=FALSE&amp;VAR:CALENDAR=US&amp;VAR:SYMBOL=G0129K10&amp;VAR:INDEX=0"}</definedName>
    <definedName name="_8241__FDSAUDITLINK__" hidden="1">{"fdsup://directions/FAT Viewer?action=UPDATE&amp;creator=factset&amp;DYN_ARGS=TRUE&amp;DOC_NAME=FAT:FQL_AUDITING_CLIENT_TEMPLATE.FAT&amp;display_string=Audit&amp;VAR:KEY=TOHUZEDAJG&amp;VAR:QUERY=RkZfRUJJVERBX0lCKCdMVE1TJywzOTMwMCk=&amp;WINDOW=FIRST_POPUP&amp;HEIGHT=450&amp;WIDTH=450&amp;START_MA","XIMIZED=FALSE&amp;VAR:CALENDAR=US&amp;VAR:SYMBOL=G0129K10&amp;VAR:INDEX=0"}</definedName>
    <definedName name="_8242__FDSAUDITLINK__" localSheetId="6" hidden="1">{"fdsup://directions/FAT Viewer?action=UPDATE&amp;creator=factset&amp;DYN_ARGS=TRUE&amp;DOC_NAME=FAT:FQL_AUDITING_CLIENT_TEMPLATE.FAT&amp;display_string=Audit&amp;VAR:KEY=HSVATGJIZQ&amp;VAR:QUERY=RkZfRUJJVERBX0lCKCdMVE1TJywzOTI5OSk=&amp;WINDOW=FIRST_POPUP&amp;HEIGHT=450&amp;WIDTH=450&amp;START_MA","XIMIZED=FALSE&amp;VAR:CALENDAR=US&amp;VAR:SYMBOL=G0129K10&amp;VAR:INDEX=0"}</definedName>
    <definedName name="_8242__FDSAUDITLINK__" hidden="1">{"fdsup://directions/FAT Viewer?action=UPDATE&amp;creator=factset&amp;DYN_ARGS=TRUE&amp;DOC_NAME=FAT:FQL_AUDITING_CLIENT_TEMPLATE.FAT&amp;display_string=Audit&amp;VAR:KEY=HSVATGJIZQ&amp;VAR:QUERY=RkZfRUJJVERBX0lCKCdMVE1TJywzOTI5OSk=&amp;WINDOW=FIRST_POPUP&amp;HEIGHT=450&amp;WIDTH=450&amp;START_MA","XIMIZED=FALSE&amp;VAR:CALENDAR=US&amp;VAR:SYMBOL=G0129K10&amp;VAR:INDEX=0"}</definedName>
    <definedName name="_8243__FDSAUDITLINK__" localSheetId="6" hidden="1">{"fdsup://directions/FAT Viewer?action=UPDATE&amp;creator=factset&amp;DYN_ARGS=TRUE&amp;DOC_NAME=FAT:FQL_AUDITING_CLIENT_TEMPLATE.FAT&amp;display_string=Audit&amp;VAR:KEY=TSFQHEXARO&amp;VAR:QUERY=RkZfRUJJVERBX0lCKCdMVE1TJywzOTI5OCk=&amp;WINDOW=FIRST_POPUP&amp;HEIGHT=450&amp;WIDTH=450&amp;START_MA","XIMIZED=FALSE&amp;VAR:CALENDAR=US&amp;VAR:SYMBOL=G0129K10&amp;VAR:INDEX=0"}</definedName>
    <definedName name="_8243__FDSAUDITLINK__" hidden="1">{"fdsup://directions/FAT Viewer?action=UPDATE&amp;creator=factset&amp;DYN_ARGS=TRUE&amp;DOC_NAME=FAT:FQL_AUDITING_CLIENT_TEMPLATE.FAT&amp;display_string=Audit&amp;VAR:KEY=TSFQHEXARO&amp;VAR:QUERY=RkZfRUJJVERBX0lCKCdMVE1TJywzOTI5OCk=&amp;WINDOW=FIRST_POPUP&amp;HEIGHT=450&amp;WIDTH=450&amp;START_MA","XIMIZED=FALSE&amp;VAR:CALENDAR=US&amp;VAR:SYMBOL=G0129K10&amp;VAR:INDEX=0"}</definedName>
    <definedName name="_8244__FDSAUDITLINK__" localSheetId="6" hidden="1">{"fdsup://directions/FAT Viewer?action=UPDATE&amp;creator=factset&amp;DYN_ARGS=TRUE&amp;DOC_NAME=FAT:FQL_AUDITING_CLIENT_TEMPLATE.FAT&amp;display_string=Audit&amp;VAR:KEY=HSPWLCDQBG&amp;VAR:QUERY=RkZfRUJJVERBX0lCKCdMVE1TJywzOTI5Nyk=&amp;WINDOW=FIRST_POPUP&amp;HEIGHT=450&amp;WIDTH=450&amp;START_MA","XIMIZED=FALSE&amp;VAR:CALENDAR=US&amp;VAR:SYMBOL=G0129K10&amp;VAR:INDEX=0"}</definedName>
    <definedName name="_8244__FDSAUDITLINK__" hidden="1">{"fdsup://directions/FAT Viewer?action=UPDATE&amp;creator=factset&amp;DYN_ARGS=TRUE&amp;DOC_NAME=FAT:FQL_AUDITING_CLIENT_TEMPLATE.FAT&amp;display_string=Audit&amp;VAR:KEY=HSPWLCDQBG&amp;VAR:QUERY=RkZfRUJJVERBX0lCKCdMVE1TJywzOTI5Nyk=&amp;WINDOW=FIRST_POPUP&amp;HEIGHT=450&amp;WIDTH=450&amp;START_MA","XIMIZED=FALSE&amp;VAR:CALENDAR=US&amp;VAR:SYMBOL=G0129K10&amp;VAR:INDEX=0"}</definedName>
    <definedName name="_8245__FDSAUDITLINK__" localSheetId="6" hidden="1">{"fdsup://directions/FAT Viewer?action=UPDATE&amp;creator=factset&amp;DYN_ARGS=TRUE&amp;DOC_NAME=FAT:FQL_AUDITING_CLIENT_TEMPLATE.FAT&amp;display_string=Audit&amp;VAR:KEY=PMNQVILKHO&amp;VAR:QUERY=RkZfRUJJVERBX0lCKCdMVE1TJywzOTI5Nik=&amp;WINDOW=FIRST_POPUP&amp;HEIGHT=450&amp;WIDTH=450&amp;START_MA","XIMIZED=FALSE&amp;VAR:CALENDAR=US&amp;VAR:SYMBOL=G0129K10&amp;VAR:INDEX=0"}</definedName>
    <definedName name="_8245__FDSAUDITLINK__" hidden="1">{"fdsup://directions/FAT Viewer?action=UPDATE&amp;creator=factset&amp;DYN_ARGS=TRUE&amp;DOC_NAME=FAT:FQL_AUDITING_CLIENT_TEMPLATE.FAT&amp;display_string=Audit&amp;VAR:KEY=PMNQVILKHO&amp;VAR:QUERY=RkZfRUJJVERBX0lCKCdMVE1TJywzOTI5Nik=&amp;WINDOW=FIRST_POPUP&amp;HEIGHT=450&amp;WIDTH=450&amp;START_MA","XIMIZED=FALSE&amp;VAR:CALENDAR=US&amp;VAR:SYMBOL=G0129K10&amp;VAR:INDEX=0"}</definedName>
    <definedName name="_8246__FDSAUDITLINK__" localSheetId="6" hidden="1">{"fdsup://directions/FAT Viewer?action=UPDATE&amp;creator=factset&amp;DYN_ARGS=TRUE&amp;DOC_NAME=FAT:FQL_AUDITING_CLIENT_TEMPLATE.FAT&amp;display_string=Audit&amp;VAR:KEY=LARWJIZUFU&amp;VAR:QUERY=RkZfRUJJVERBX0lCKCdMVE1TJywzOTI5NSk=&amp;WINDOW=FIRST_POPUP&amp;HEIGHT=450&amp;WIDTH=450&amp;START_MA","XIMIZED=FALSE&amp;VAR:CALENDAR=US&amp;VAR:SYMBOL=G0129K10&amp;VAR:INDEX=0"}</definedName>
    <definedName name="_8246__FDSAUDITLINK__" hidden="1">{"fdsup://directions/FAT Viewer?action=UPDATE&amp;creator=factset&amp;DYN_ARGS=TRUE&amp;DOC_NAME=FAT:FQL_AUDITING_CLIENT_TEMPLATE.FAT&amp;display_string=Audit&amp;VAR:KEY=LARWJIZUFU&amp;VAR:QUERY=RkZfRUJJVERBX0lCKCdMVE1TJywzOTI5NSk=&amp;WINDOW=FIRST_POPUP&amp;HEIGHT=450&amp;WIDTH=450&amp;START_MA","XIMIZED=FALSE&amp;VAR:CALENDAR=US&amp;VAR:SYMBOL=G0129K10&amp;VAR:INDEX=0"}</definedName>
    <definedName name="_8247__FDSAUDITLINK__" localSheetId="6" hidden="1">{"fdsup://directions/FAT Viewer?action=UPDATE&amp;creator=factset&amp;DYN_ARGS=TRUE&amp;DOC_NAME=FAT:FQL_AUDITING_CLIENT_TEMPLATE.FAT&amp;display_string=Audit&amp;VAR:KEY=VSPAZKHSVU&amp;VAR:QUERY=RkZfRUJJVERBX0lCKCdMVE1TJywzOTI5NCk=&amp;WINDOW=FIRST_POPUP&amp;HEIGHT=450&amp;WIDTH=450&amp;START_MA","XIMIZED=FALSE&amp;VAR:CALENDAR=US&amp;VAR:SYMBOL=G0129K10&amp;VAR:INDEX=0"}</definedName>
    <definedName name="_8247__FDSAUDITLINK__" hidden="1">{"fdsup://directions/FAT Viewer?action=UPDATE&amp;creator=factset&amp;DYN_ARGS=TRUE&amp;DOC_NAME=FAT:FQL_AUDITING_CLIENT_TEMPLATE.FAT&amp;display_string=Audit&amp;VAR:KEY=VSPAZKHSVU&amp;VAR:QUERY=RkZfRUJJVERBX0lCKCdMVE1TJywzOTI5NCk=&amp;WINDOW=FIRST_POPUP&amp;HEIGHT=450&amp;WIDTH=450&amp;START_MA","XIMIZED=FALSE&amp;VAR:CALENDAR=US&amp;VAR:SYMBOL=G0129K10&amp;VAR:INDEX=0"}</definedName>
    <definedName name="_8248__FDSAUDITLINK__" localSheetId="6" hidden="1">{"fdsup://directions/FAT Viewer?action=UPDATE&amp;creator=factset&amp;DYN_ARGS=TRUE&amp;DOC_NAME=FAT:FQL_AUDITING_CLIENT_TEMPLATE.FAT&amp;display_string=Audit&amp;VAR:KEY=XEXOXETSDM&amp;VAR:QUERY=RkZfRUJJVERBX0lCKCdMVE1TJywzOTI5Myk=&amp;WINDOW=FIRST_POPUP&amp;HEIGHT=450&amp;WIDTH=450&amp;START_MA","XIMIZED=FALSE&amp;VAR:CALENDAR=US&amp;VAR:SYMBOL=G0129K10&amp;VAR:INDEX=0"}</definedName>
    <definedName name="_8248__FDSAUDITLINK__" hidden="1">{"fdsup://directions/FAT Viewer?action=UPDATE&amp;creator=factset&amp;DYN_ARGS=TRUE&amp;DOC_NAME=FAT:FQL_AUDITING_CLIENT_TEMPLATE.FAT&amp;display_string=Audit&amp;VAR:KEY=XEXOXETSDM&amp;VAR:QUERY=RkZfRUJJVERBX0lCKCdMVE1TJywzOTI5Myk=&amp;WINDOW=FIRST_POPUP&amp;HEIGHT=450&amp;WIDTH=450&amp;START_MA","XIMIZED=FALSE&amp;VAR:CALENDAR=US&amp;VAR:SYMBOL=G0129K10&amp;VAR:INDEX=0"}</definedName>
    <definedName name="_8249__FDSAUDITLINK__" localSheetId="6" hidden="1">{"fdsup://directions/FAT Viewer?action=UPDATE&amp;creator=factset&amp;DYN_ARGS=TRUE&amp;DOC_NAME=FAT:FQL_AUDITING_CLIENT_TEMPLATE.FAT&amp;display_string=Audit&amp;VAR:KEY=ZKRMLSTGRA&amp;VAR:QUERY=RkZfRUJJVERBX0lCKCdMVE1TJywzOTI5Mik=&amp;WINDOW=FIRST_POPUP&amp;HEIGHT=450&amp;WIDTH=450&amp;START_MA","XIMIZED=FALSE&amp;VAR:CALENDAR=US&amp;VAR:SYMBOL=G0129K10&amp;VAR:INDEX=0"}</definedName>
    <definedName name="_8249__FDSAUDITLINK__" hidden="1">{"fdsup://directions/FAT Viewer?action=UPDATE&amp;creator=factset&amp;DYN_ARGS=TRUE&amp;DOC_NAME=FAT:FQL_AUDITING_CLIENT_TEMPLATE.FAT&amp;display_string=Audit&amp;VAR:KEY=ZKRMLSTGRA&amp;VAR:QUERY=RkZfRUJJVERBX0lCKCdMVE1TJywzOTI5Mik=&amp;WINDOW=FIRST_POPUP&amp;HEIGHT=450&amp;WIDTH=450&amp;START_MA","XIMIZED=FALSE&amp;VAR:CALENDAR=US&amp;VAR:SYMBOL=G0129K10&amp;VAR:INDEX=0"}</definedName>
    <definedName name="_825__FDSAUDITLINK__" localSheetId="6" hidden="1">{"fdsup://directions/FAT%20Viewer?VAR:PED=LTM&amp;VAR:AUDIT_MODE=SUMMARY&amp;VAR:PERIOD=FIXED&amp;VAR:AUDIT_ID=00000117&amp;VAR:DATE=20071119&amp;action=UPDATE&amp;creator=factset&amp;DOC_NAME=FAT:FMA_audit_SUMMARY.fat&amp;DISPLAY_STRING=Display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5__FDSAUDITLINK__" hidden="1">{"fdsup://directions/FAT%20Viewer?VAR:PED=LTM&amp;VAR:AUDIT_MODE=SUMMARY&amp;VAR:PERIOD=FIXED&amp;VAR:AUDIT_ID=00000117&amp;VAR:DATE=20071119&amp;action=UPDATE&amp;creator=factset&amp;DOC_NAME=FAT:FMA_audit_SUMMARY.fat&amp;DISPLAY_STRING=Display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50__FDSAUDITLINK__" localSheetId="6" hidden="1">{"fdsup://directions/FAT Viewer?action=UPDATE&amp;creator=factset&amp;DYN_ARGS=TRUE&amp;DOC_NAME=FAT:FQL_AUDITING_CLIENT_TEMPLATE.FAT&amp;display_string=Audit&amp;VAR:KEY=NMREJSLWNW&amp;VAR:QUERY=RkZfRUJJVERBX0lCKCdMVE1TJywzOTI5MSk=&amp;WINDOW=FIRST_POPUP&amp;HEIGHT=450&amp;WIDTH=450&amp;START_MA","XIMIZED=FALSE&amp;VAR:CALENDAR=US&amp;VAR:SYMBOL=G0129K10&amp;VAR:INDEX=0"}</definedName>
    <definedName name="_8250__FDSAUDITLINK__" hidden="1">{"fdsup://directions/FAT Viewer?action=UPDATE&amp;creator=factset&amp;DYN_ARGS=TRUE&amp;DOC_NAME=FAT:FQL_AUDITING_CLIENT_TEMPLATE.FAT&amp;display_string=Audit&amp;VAR:KEY=NMREJSLWNW&amp;VAR:QUERY=RkZfRUJJVERBX0lCKCdMVE1TJywzOTI5MSk=&amp;WINDOW=FIRST_POPUP&amp;HEIGHT=450&amp;WIDTH=450&amp;START_MA","XIMIZED=FALSE&amp;VAR:CALENDAR=US&amp;VAR:SYMBOL=G0129K10&amp;VAR:INDEX=0"}</definedName>
    <definedName name="_8251__FDSAUDITLINK__" localSheetId="6" hidden="1">{"fdsup://directions/FAT Viewer?action=UPDATE&amp;creator=factset&amp;DYN_ARGS=TRUE&amp;DOC_NAME=FAT:FQL_AUDITING_CLIENT_TEMPLATE.FAT&amp;display_string=Audit&amp;VAR:KEY=DUBCFSZCLS&amp;VAR:QUERY=RkZfRUJJVERBX0lCKCdMVE1TJywzOTI5MCk=&amp;WINDOW=FIRST_POPUP&amp;HEIGHT=450&amp;WIDTH=450&amp;START_MA","XIMIZED=FALSE&amp;VAR:CALENDAR=US&amp;VAR:SYMBOL=G0129K10&amp;VAR:INDEX=0"}</definedName>
    <definedName name="_8251__FDSAUDITLINK__" hidden="1">{"fdsup://directions/FAT Viewer?action=UPDATE&amp;creator=factset&amp;DYN_ARGS=TRUE&amp;DOC_NAME=FAT:FQL_AUDITING_CLIENT_TEMPLATE.FAT&amp;display_string=Audit&amp;VAR:KEY=DUBCFSZCLS&amp;VAR:QUERY=RkZfRUJJVERBX0lCKCdMVE1TJywzOTI5MCk=&amp;WINDOW=FIRST_POPUP&amp;HEIGHT=450&amp;WIDTH=450&amp;START_MA","XIMIZED=FALSE&amp;VAR:CALENDAR=US&amp;VAR:SYMBOL=G0129K10&amp;VAR:INDEX=0"}</definedName>
    <definedName name="_8252__FDSAUDITLINK__" localSheetId="6" hidden="1">{"fdsup://directions/FAT Viewer?action=UPDATE&amp;creator=factset&amp;DYN_ARGS=TRUE&amp;DOC_NAME=FAT:FQL_AUDITING_CLIENT_TEMPLATE.FAT&amp;display_string=Audit&amp;VAR:KEY=ZWZGXMJAHQ&amp;VAR:QUERY=RkZfRUJJVERBX0lCKCdMVE1TJywzOTI4OSk=&amp;WINDOW=FIRST_POPUP&amp;HEIGHT=450&amp;WIDTH=450&amp;START_MA","XIMIZED=FALSE&amp;VAR:CALENDAR=US&amp;VAR:SYMBOL=G0129K10&amp;VAR:INDEX=0"}</definedName>
    <definedName name="_8252__FDSAUDITLINK__" hidden="1">{"fdsup://directions/FAT Viewer?action=UPDATE&amp;creator=factset&amp;DYN_ARGS=TRUE&amp;DOC_NAME=FAT:FQL_AUDITING_CLIENT_TEMPLATE.FAT&amp;display_string=Audit&amp;VAR:KEY=ZWZGXMJAHQ&amp;VAR:QUERY=RkZfRUJJVERBX0lCKCdMVE1TJywzOTI4OSk=&amp;WINDOW=FIRST_POPUP&amp;HEIGHT=450&amp;WIDTH=450&amp;START_MA","XIMIZED=FALSE&amp;VAR:CALENDAR=US&amp;VAR:SYMBOL=G0129K10&amp;VAR:INDEX=0"}</definedName>
    <definedName name="_8253__FDSAUDITLINK__" localSheetId="6" hidden="1">{"fdsup://directions/FAT Viewer?action=UPDATE&amp;creator=factset&amp;DYN_ARGS=TRUE&amp;DOC_NAME=FAT:FQL_AUDITING_CLIENT_TEMPLATE.FAT&amp;display_string=Audit&amp;VAR:KEY=JUTUPQTWBQ&amp;VAR:QUERY=RkZfRUJJVERBX0lCKCdMVE1TJywzOTI4OCk=&amp;WINDOW=FIRST_POPUP&amp;HEIGHT=450&amp;WIDTH=450&amp;START_MA","XIMIZED=FALSE&amp;VAR:CALENDAR=US&amp;VAR:SYMBOL=G0129K10&amp;VAR:INDEX=0"}</definedName>
    <definedName name="_8253__FDSAUDITLINK__" hidden="1">{"fdsup://directions/FAT Viewer?action=UPDATE&amp;creator=factset&amp;DYN_ARGS=TRUE&amp;DOC_NAME=FAT:FQL_AUDITING_CLIENT_TEMPLATE.FAT&amp;display_string=Audit&amp;VAR:KEY=JUTUPQTWBQ&amp;VAR:QUERY=RkZfRUJJVERBX0lCKCdMVE1TJywzOTI4OCk=&amp;WINDOW=FIRST_POPUP&amp;HEIGHT=450&amp;WIDTH=450&amp;START_MA","XIMIZED=FALSE&amp;VAR:CALENDAR=US&amp;VAR:SYMBOL=G0129K10&amp;VAR:INDEX=0"}</definedName>
    <definedName name="_8254__FDSAUDITLINK__" localSheetId="6" hidden="1">{"fdsup://directions/FAT Viewer?action=UPDATE&amp;creator=factset&amp;DYN_ARGS=TRUE&amp;DOC_NAME=FAT:FQL_AUDITING_CLIENT_TEMPLATE.FAT&amp;display_string=Audit&amp;VAR:KEY=LOTKBOLOBM&amp;VAR:QUERY=RkZfRUJJVERBX0lCKCdMVE1TJywzOTI4Nyk=&amp;WINDOW=FIRST_POPUP&amp;HEIGHT=450&amp;WIDTH=450&amp;START_MA","XIMIZED=FALSE&amp;VAR:CALENDAR=US&amp;VAR:SYMBOL=G0129K10&amp;VAR:INDEX=0"}</definedName>
    <definedName name="_8254__FDSAUDITLINK__" hidden="1">{"fdsup://directions/FAT Viewer?action=UPDATE&amp;creator=factset&amp;DYN_ARGS=TRUE&amp;DOC_NAME=FAT:FQL_AUDITING_CLIENT_TEMPLATE.FAT&amp;display_string=Audit&amp;VAR:KEY=LOTKBOLOBM&amp;VAR:QUERY=RkZfRUJJVERBX0lCKCdMVE1TJywzOTI4Nyk=&amp;WINDOW=FIRST_POPUP&amp;HEIGHT=450&amp;WIDTH=450&amp;START_MA","XIMIZED=FALSE&amp;VAR:CALENDAR=US&amp;VAR:SYMBOL=G0129K10&amp;VAR:INDEX=0"}</definedName>
    <definedName name="_8255__FDSAUDITLINK__" localSheetId="6" hidden="1">{"fdsup://directions/FAT Viewer?action=UPDATE&amp;creator=factset&amp;DYN_ARGS=TRUE&amp;DOC_NAME=FAT:FQL_AUDITING_CLIENT_TEMPLATE.FAT&amp;display_string=Audit&amp;VAR:KEY=RMVYNGLSRU&amp;VAR:QUERY=RkZfRUJJVERBX0lCKCdMVE1TJywzOTI4Nik=&amp;WINDOW=FIRST_POPUP&amp;HEIGHT=450&amp;WIDTH=450&amp;START_MA","XIMIZED=FALSE&amp;VAR:CALENDAR=US&amp;VAR:SYMBOL=G0129K10&amp;VAR:INDEX=0"}</definedName>
    <definedName name="_8255__FDSAUDITLINK__" hidden="1">{"fdsup://directions/FAT Viewer?action=UPDATE&amp;creator=factset&amp;DYN_ARGS=TRUE&amp;DOC_NAME=FAT:FQL_AUDITING_CLIENT_TEMPLATE.FAT&amp;display_string=Audit&amp;VAR:KEY=RMVYNGLSRU&amp;VAR:QUERY=RkZfRUJJVERBX0lCKCdMVE1TJywzOTI4Nik=&amp;WINDOW=FIRST_POPUP&amp;HEIGHT=450&amp;WIDTH=450&amp;START_MA","XIMIZED=FALSE&amp;VAR:CALENDAR=US&amp;VAR:SYMBOL=G0129K10&amp;VAR:INDEX=0"}</definedName>
    <definedName name="_8256__FDSAUDITLINK__" localSheetId="6" hidden="1">{"fdsup://directions/FAT Viewer?action=UPDATE&amp;creator=factset&amp;DYN_ARGS=TRUE&amp;DOC_NAME=FAT:FQL_AUDITING_CLIENT_TEMPLATE.FAT&amp;display_string=Audit&amp;VAR:KEY=PWXAFMDWBG&amp;VAR:QUERY=RkZfRUJJVERBX0lCKCdMVE1TJywzOTI4NSk=&amp;WINDOW=FIRST_POPUP&amp;HEIGHT=450&amp;WIDTH=450&amp;START_MA","XIMIZED=FALSE&amp;VAR:CALENDAR=US&amp;VAR:SYMBOL=G0129K10&amp;VAR:INDEX=0"}</definedName>
    <definedName name="_8256__FDSAUDITLINK__" hidden="1">{"fdsup://directions/FAT Viewer?action=UPDATE&amp;creator=factset&amp;DYN_ARGS=TRUE&amp;DOC_NAME=FAT:FQL_AUDITING_CLIENT_TEMPLATE.FAT&amp;display_string=Audit&amp;VAR:KEY=PWXAFMDWBG&amp;VAR:QUERY=RkZfRUJJVERBX0lCKCdMVE1TJywzOTI4NSk=&amp;WINDOW=FIRST_POPUP&amp;HEIGHT=450&amp;WIDTH=450&amp;START_MA","XIMIZED=FALSE&amp;VAR:CALENDAR=US&amp;VAR:SYMBOL=G0129K10&amp;VAR:INDEX=0"}</definedName>
    <definedName name="_8257__FDSAUDITLINK__" localSheetId="6" hidden="1">{"fdsup://directions/FAT Viewer?action=UPDATE&amp;creator=factset&amp;DYN_ARGS=TRUE&amp;DOC_NAME=FAT:FQL_AUDITING_CLIENT_TEMPLATE.FAT&amp;display_string=Audit&amp;VAR:KEY=VQDQZGTSFU&amp;VAR:QUERY=RkZfRUJJVERBX0lCKCdMVE1TJywzOTI4NCk=&amp;WINDOW=FIRST_POPUP&amp;HEIGHT=450&amp;WIDTH=450&amp;START_MA","XIMIZED=FALSE&amp;VAR:CALENDAR=US&amp;VAR:SYMBOL=G0129K10&amp;VAR:INDEX=0"}</definedName>
    <definedName name="_8257__FDSAUDITLINK__" hidden="1">{"fdsup://directions/FAT Viewer?action=UPDATE&amp;creator=factset&amp;DYN_ARGS=TRUE&amp;DOC_NAME=FAT:FQL_AUDITING_CLIENT_TEMPLATE.FAT&amp;display_string=Audit&amp;VAR:KEY=VQDQZGTSFU&amp;VAR:QUERY=RkZfRUJJVERBX0lCKCdMVE1TJywzOTI4NCk=&amp;WINDOW=FIRST_POPUP&amp;HEIGHT=450&amp;WIDTH=450&amp;START_MA","XIMIZED=FALSE&amp;VAR:CALENDAR=US&amp;VAR:SYMBOL=G0129K10&amp;VAR:INDEX=0"}</definedName>
    <definedName name="_8258__FDSAUDITLINK__" localSheetId="6" hidden="1">{"fdsup://directions/FAT Viewer?action=UPDATE&amp;creator=factset&amp;DYN_ARGS=TRUE&amp;DOC_NAME=FAT:FQL_AUDITING_CLIENT_TEMPLATE.FAT&amp;display_string=Audit&amp;VAR:KEY=FKFOPWBCPY&amp;VAR:QUERY=RkZfRUJJVERBX0lCKCdMVE1TJywzOTI4Myk=&amp;WINDOW=FIRST_POPUP&amp;HEIGHT=450&amp;WIDTH=450&amp;START_MA","XIMIZED=FALSE&amp;VAR:CALENDAR=US&amp;VAR:SYMBOL=G0129K10&amp;VAR:INDEX=0"}</definedName>
    <definedName name="_8258__FDSAUDITLINK__" hidden="1">{"fdsup://directions/FAT Viewer?action=UPDATE&amp;creator=factset&amp;DYN_ARGS=TRUE&amp;DOC_NAME=FAT:FQL_AUDITING_CLIENT_TEMPLATE.FAT&amp;display_string=Audit&amp;VAR:KEY=FKFOPWBCPY&amp;VAR:QUERY=RkZfRUJJVERBX0lCKCdMVE1TJywzOTI4Myk=&amp;WINDOW=FIRST_POPUP&amp;HEIGHT=450&amp;WIDTH=450&amp;START_MA","XIMIZED=FALSE&amp;VAR:CALENDAR=US&amp;VAR:SYMBOL=G0129K10&amp;VAR:INDEX=0"}</definedName>
    <definedName name="_8259__FDSAUDITLINK__" localSheetId="6" hidden="1">{"fdsup://directions/FAT Viewer?action=UPDATE&amp;creator=factset&amp;DYN_ARGS=TRUE&amp;DOC_NAME=FAT:FQL_AUDITING_CLIENT_TEMPLATE.FAT&amp;display_string=Audit&amp;VAR:KEY=TOZWBYXWXO&amp;VAR:QUERY=RkZfRUJJVERBX0lCKCdMVE1TJywzOTI4Mik=&amp;WINDOW=FIRST_POPUP&amp;HEIGHT=450&amp;WIDTH=450&amp;START_MA","XIMIZED=FALSE&amp;VAR:CALENDAR=US&amp;VAR:SYMBOL=G0129K10&amp;VAR:INDEX=0"}</definedName>
    <definedName name="_8259__FDSAUDITLINK__" hidden="1">{"fdsup://directions/FAT Viewer?action=UPDATE&amp;creator=factset&amp;DYN_ARGS=TRUE&amp;DOC_NAME=FAT:FQL_AUDITING_CLIENT_TEMPLATE.FAT&amp;display_string=Audit&amp;VAR:KEY=TOZWBYXWXO&amp;VAR:QUERY=RkZfRUJJVERBX0lCKCdMVE1TJywzOTI4Mik=&amp;WINDOW=FIRST_POPUP&amp;HEIGHT=450&amp;WIDTH=450&amp;START_MA","XIMIZED=FALSE&amp;VAR:CALENDAR=US&amp;VAR:SYMBOL=G0129K10&amp;VAR:INDEX=0"}</definedName>
    <definedName name="_826__FDSAUDITLINK__" localSheetId="6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6__FDSAUDITLINK__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60__FDSAUDITLINK__" localSheetId="6" hidden="1">{"fdsup://directions/FAT Viewer?action=UPDATE&amp;creator=factset&amp;DYN_ARGS=TRUE&amp;DOC_NAME=FAT:FQL_AUDITING_CLIENT_TEMPLATE.FAT&amp;display_string=Audit&amp;VAR:KEY=HUTKDEZSHO&amp;VAR:QUERY=RkZfRUJJVERBX0lCKCdMVE1TJywzOTI4MSk=&amp;WINDOW=FIRST_POPUP&amp;HEIGHT=450&amp;WIDTH=450&amp;START_MA","XIMIZED=FALSE&amp;VAR:CALENDAR=US&amp;VAR:SYMBOL=G0129K10&amp;VAR:INDEX=0"}</definedName>
    <definedName name="_8260__FDSAUDITLINK__" hidden="1">{"fdsup://directions/FAT Viewer?action=UPDATE&amp;creator=factset&amp;DYN_ARGS=TRUE&amp;DOC_NAME=FAT:FQL_AUDITING_CLIENT_TEMPLATE.FAT&amp;display_string=Audit&amp;VAR:KEY=HUTKDEZSHO&amp;VAR:QUERY=RkZfRUJJVERBX0lCKCdMVE1TJywzOTI4MSk=&amp;WINDOW=FIRST_POPUP&amp;HEIGHT=450&amp;WIDTH=450&amp;START_MA","XIMIZED=FALSE&amp;VAR:CALENDAR=US&amp;VAR:SYMBOL=G0129K10&amp;VAR:INDEX=0"}</definedName>
    <definedName name="_8261__FDSAUDITLINK__" localSheetId="6" hidden="1">{"fdsup://directions/FAT Viewer?action=UPDATE&amp;creator=factset&amp;DYN_ARGS=TRUE&amp;DOC_NAME=FAT:FQL_AUDITING_CLIENT_TEMPLATE.FAT&amp;display_string=Audit&amp;VAR:KEY=DEFWVYXIPI&amp;VAR:QUERY=RkZfRUJJVERBX0lCKCdMVE1TJywzOTI4MCk=&amp;WINDOW=FIRST_POPUP&amp;HEIGHT=450&amp;WIDTH=450&amp;START_MA","XIMIZED=FALSE&amp;VAR:CALENDAR=US&amp;VAR:SYMBOL=G0129K10&amp;VAR:INDEX=0"}</definedName>
    <definedName name="_8261__FDSAUDITLINK__" hidden="1">{"fdsup://directions/FAT Viewer?action=UPDATE&amp;creator=factset&amp;DYN_ARGS=TRUE&amp;DOC_NAME=FAT:FQL_AUDITING_CLIENT_TEMPLATE.FAT&amp;display_string=Audit&amp;VAR:KEY=DEFWVYXIPI&amp;VAR:QUERY=RkZfRUJJVERBX0lCKCdMVE1TJywzOTI4MCk=&amp;WINDOW=FIRST_POPUP&amp;HEIGHT=450&amp;WIDTH=450&amp;START_MA","XIMIZED=FALSE&amp;VAR:CALENDAR=US&amp;VAR:SYMBOL=G0129K10&amp;VAR:INDEX=0"}</definedName>
    <definedName name="_8262__FDSAUDITLINK__" localSheetId="6" hidden="1">{"fdsup://directions/FAT Viewer?action=UPDATE&amp;creator=factset&amp;DYN_ARGS=TRUE&amp;DOC_NAME=FAT:FQL_AUDITING_CLIENT_TEMPLATE.FAT&amp;display_string=Audit&amp;VAR:KEY=PIBSPADMRG&amp;VAR:QUERY=RkZfRUJJVERBX0lCKCdMVE1TJywzOTI3OSk=&amp;WINDOW=FIRST_POPUP&amp;HEIGHT=450&amp;WIDTH=450&amp;START_MA","XIMIZED=FALSE&amp;VAR:CALENDAR=US&amp;VAR:SYMBOL=G0129K10&amp;VAR:INDEX=0"}</definedName>
    <definedName name="_8262__FDSAUDITLINK__" hidden="1">{"fdsup://directions/FAT Viewer?action=UPDATE&amp;creator=factset&amp;DYN_ARGS=TRUE&amp;DOC_NAME=FAT:FQL_AUDITING_CLIENT_TEMPLATE.FAT&amp;display_string=Audit&amp;VAR:KEY=PIBSPADMRG&amp;VAR:QUERY=RkZfRUJJVERBX0lCKCdMVE1TJywzOTI3OSk=&amp;WINDOW=FIRST_POPUP&amp;HEIGHT=450&amp;WIDTH=450&amp;START_MA","XIMIZED=FALSE&amp;VAR:CALENDAR=US&amp;VAR:SYMBOL=G0129K10&amp;VAR:INDEX=0"}</definedName>
    <definedName name="_8263__FDSAUDITLINK__" localSheetId="6" hidden="1">{"fdsup://directions/FAT Viewer?action=UPDATE&amp;creator=factset&amp;DYN_ARGS=TRUE&amp;DOC_NAME=FAT:FQL_AUDITING_CLIENT_TEMPLATE.FAT&amp;display_string=Audit&amp;VAR:KEY=ZUXYTWVMLS&amp;VAR:QUERY=RkZfRUJJVERBX0lCKCdMVE1TJywzOTI3OCk=&amp;WINDOW=FIRST_POPUP&amp;HEIGHT=450&amp;WIDTH=450&amp;START_MA","XIMIZED=FALSE&amp;VAR:CALENDAR=US&amp;VAR:SYMBOL=G0129K10&amp;VAR:INDEX=0"}</definedName>
    <definedName name="_8263__FDSAUDITLINK__" hidden="1">{"fdsup://directions/FAT Viewer?action=UPDATE&amp;creator=factset&amp;DYN_ARGS=TRUE&amp;DOC_NAME=FAT:FQL_AUDITING_CLIENT_TEMPLATE.FAT&amp;display_string=Audit&amp;VAR:KEY=ZUXYTWVMLS&amp;VAR:QUERY=RkZfRUJJVERBX0lCKCdMVE1TJywzOTI3OCk=&amp;WINDOW=FIRST_POPUP&amp;HEIGHT=450&amp;WIDTH=450&amp;START_MA","XIMIZED=FALSE&amp;VAR:CALENDAR=US&amp;VAR:SYMBOL=G0129K10&amp;VAR:INDEX=0"}</definedName>
    <definedName name="_8264__FDSAUDITLINK__" localSheetId="6" hidden="1">{"fdsup://directions/FAT Viewer?action=UPDATE&amp;creator=factset&amp;DYN_ARGS=TRUE&amp;DOC_NAME=FAT:FQL_AUDITING_CLIENT_TEMPLATE.FAT&amp;display_string=Audit&amp;VAR:KEY=DKBMPWTQXA&amp;VAR:QUERY=RkZfRUJJVERBX0lCKCdMVE1TJywzOTI3Nyk=&amp;WINDOW=FIRST_POPUP&amp;HEIGHT=450&amp;WIDTH=450&amp;START_MA","XIMIZED=FALSE&amp;VAR:CALENDAR=US&amp;VAR:SYMBOL=G0129K10&amp;VAR:INDEX=0"}</definedName>
    <definedName name="_8264__FDSAUDITLINK__" hidden="1">{"fdsup://directions/FAT Viewer?action=UPDATE&amp;creator=factset&amp;DYN_ARGS=TRUE&amp;DOC_NAME=FAT:FQL_AUDITING_CLIENT_TEMPLATE.FAT&amp;display_string=Audit&amp;VAR:KEY=DKBMPWTQXA&amp;VAR:QUERY=RkZfRUJJVERBX0lCKCdMVE1TJywzOTI3Nyk=&amp;WINDOW=FIRST_POPUP&amp;HEIGHT=450&amp;WIDTH=450&amp;START_MA","XIMIZED=FALSE&amp;VAR:CALENDAR=US&amp;VAR:SYMBOL=G0129K10&amp;VAR:INDEX=0"}</definedName>
    <definedName name="_8265__FDSAUDITLINK__" localSheetId="6" hidden="1">{"fdsup://directions/FAT Viewer?action=UPDATE&amp;creator=factset&amp;DYN_ARGS=TRUE&amp;DOC_NAME=FAT:FQL_AUDITING_CLIENT_TEMPLATE.FAT&amp;display_string=Audit&amp;VAR:KEY=DIXULCRABM&amp;VAR:QUERY=RkZfRUJJVERBX0lCKCdMVE1TJywzOTI3Nik=&amp;WINDOW=FIRST_POPUP&amp;HEIGHT=450&amp;WIDTH=450&amp;START_MA","XIMIZED=FALSE&amp;VAR:CALENDAR=US&amp;VAR:SYMBOL=G0129K10&amp;VAR:INDEX=0"}</definedName>
    <definedName name="_8265__FDSAUDITLINK__" hidden="1">{"fdsup://directions/FAT Viewer?action=UPDATE&amp;creator=factset&amp;DYN_ARGS=TRUE&amp;DOC_NAME=FAT:FQL_AUDITING_CLIENT_TEMPLATE.FAT&amp;display_string=Audit&amp;VAR:KEY=DIXULCRABM&amp;VAR:QUERY=RkZfRUJJVERBX0lCKCdMVE1TJywzOTI3Nik=&amp;WINDOW=FIRST_POPUP&amp;HEIGHT=450&amp;WIDTH=450&amp;START_MA","XIMIZED=FALSE&amp;VAR:CALENDAR=US&amp;VAR:SYMBOL=G0129K10&amp;VAR:INDEX=0"}</definedName>
    <definedName name="_8266__FDSAUDITLINK__" localSheetId="6" hidden="1">{"fdsup://directions/FAT Viewer?action=UPDATE&amp;creator=factset&amp;DYN_ARGS=TRUE&amp;DOC_NAME=FAT:FQL_AUDITING_CLIENT_TEMPLATE.FAT&amp;display_string=Audit&amp;VAR:KEY=TYNOJIFSVC&amp;VAR:QUERY=RkZfRUJJVERBX0lCKCdMVE1TJywzOTI3NSk=&amp;WINDOW=FIRST_POPUP&amp;HEIGHT=450&amp;WIDTH=450&amp;START_MA","XIMIZED=FALSE&amp;VAR:CALENDAR=US&amp;VAR:SYMBOL=G0129K10&amp;VAR:INDEX=0"}</definedName>
    <definedName name="_8266__FDSAUDITLINK__" hidden="1">{"fdsup://directions/FAT Viewer?action=UPDATE&amp;creator=factset&amp;DYN_ARGS=TRUE&amp;DOC_NAME=FAT:FQL_AUDITING_CLIENT_TEMPLATE.FAT&amp;display_string=Audit&amp;VAR:KEY=TYNOJIFSVC&amp;VAR:QUERY=RkZfRUJJVERBX0lCKCdMVE1TJywzOTI3NSk=&amp;WINDOW=FIRST_POPUP&amp;HEIGHT=450&amp;WIDTH=450&amp;START_MA","XIMIZED=FALSE&amp;VAR:CALENDAR=US&amp;VAR:SYMBOL=G0129K10&amp;VAR:INDEX=0"}</definedName>
    <definedName name="_8267__FDSAUDITLINK__" localSheetId="6" hidden="1">{"fdsup://directions/FAT Viewer?action=UPDATE&amp;creator=factset&amp;DYN_ARGS=TRUE&amp;DOC_NAME=FAT:FQL_AUDITING_CLIENT_TEMPLATE.FAT&amp;display_string=Audit&amp;VAR:KEY=JETUJSPUDU&amp;VAR:QUERY=RkZfRUJJVERBX0lCKCdMVE1TJywzOTI3NCk=&amp;WINDOW=FIRST_POPUP&amp;HEIGHT=450&amp;WIDTH=450&amp;START_MA","XIMIZED=FALSE&amp;VAR:CALENDAR=US&amp;VAR:SYMBOL=G0129K10&amp;VAR:INDEX=0"}</definedName>
    <definedName name="_8267__FDSAUDITLINK__" hidden="1">{"fdsup://directions/FAT Viewer?action=UPDATE&amp;creator=factset&amp;DYN_ARGS=TRUE&amp;DOC_NAME=FAT:FQL_AUDITING_CLIENT_TEMPLATE.FAT&amp;display_string=Audit&amp;VAR:KEY=JETUJSPUDU&amp;VAR:QUERY=RkZfRUJJVERBX0lCKCdMVE1TJywzOTI3NCk=&amp;WINDOW=FIRST_POPUP&amp;HEIGHT=450&amp;WIDTH=450&amp;START_MA","XIMIZED=FALSE&amp;VAR:CALENDAR=US&amp;VAR:SYMBOL=G0129K10&amp;VAR:INDEX=0"}</definedName>
    <definedName name="_8268__FDSAUDITLINK__" localSheetId="6" hidden="1">{"fdsup://directions/FAT Viewer?action=UPDATE&amp;creator=factset&amp;DYN_ARGS=TRUE&amp;DOC_NAME=FAT:FQL_AUDITING_CLIENT_TEMPLATE.FAT&amp;display_string=Audit&amp;VAR:KEY=NGNWPQRSNU&amp;VAR:QUERY=RkZfRUJJVERBX0lCKCdMVE1TJywzOTI3Myk=&amp;WINDOW=FIRST_POPUP&amp;HEIGHT=450&amp;WIDTH=450&amp;START_MA","XIMIZED=FALSE&amp;VAR:CALENDAR=US&amp;VAR:SYMBOL=G0129K10&amp;VAR:INDEX=0"}</definedName>
    <definedName name="_8268__FDSAUDITLINK__" hidden="1">{"fdsup://directions/FAT Viewer?action=UPDATE&amp;creator=factset&amp;DYN_ARGS=TRUE&amp;DOC_NAME=FAT:FQL_AUDITING_CLIENT_TEMPLATE.FAT&amp;display_string=Audit&amp;VAR:KEY=NGNWPQRSNU&amp;VAR:QUERY=RkZfRUJJVERBX0lCKCdMVE1TJywzOTI3Myk=&amp;WINDOW=FIRST_POPUP&amp;HEIGHT=450&amp;WIDTH=450&amp;START_MA","XIMIZED=FALSE&amp;VAR:CALENDAR=US&amp;VAR:SYMBOL=G0129K10&amp;VAR:INDEX=0"}</definedName>
    <definedName name="_8269__FDSAUDITLINK__" localSheetId="6" hidden="1">{"fdsup://directions/FAT Viewer?action=UPDATE&amp;creator=factset&amp;DYN_ARGS=TRUE&amp;DOC_NAME=FAT:FQL_AUDITING_CLIENT_TEMPLATE.FAT&amp;display_string=Audit&amp;VAR:KEY=DIRQRAXANQ&amp;VAR:QUERY=RkZfRUJJVERBX0lCKCdMVE1TJywzOTI3Mik=&amp;WINDOW=FIRST_POPUP&amp;HEIGHT=450&amp;WIDTH=450&amp;START_MA","XIMIZED=FALSE&amp;VAR:CALENDAR=US&amp;VAR:SYMBOL=G0129K10&amp;VAR:INDEX=0"}</definedName>
    <definedName name="_8269__FDSAUDITLINK__" hidden="1">{"fdsup://directions/FAT Viewer?action=UPDATE&amp;creator=factset&amp;DYN_ARGS=TRUE&amp;DOC_NAME=FAT:FQL_AUDITING_CLIENT_TEMPLATE.FAT&amp;display_string=Audit&amp;VAR:KEY=DIRQRAXANQ&amp;VAR:QUERY=RkZfRUJJVERBX0lCKCdMVE1TJywzOTI3Mik=&amp;WINDOW=FIRST_POPUP&amp;HEIGHT=450&amp;WIDTH=450&amp;START_MA","XIMIZED=FALSE&amp;VAR:CALENDAR=US&amp;VAR:SYMBOL=G0129K10&amp;VAR:INDEX=0"}</definedName>
    <definedName name="_827__FDSAUDITLINK__" localSheetId="6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7__FDSAUDITLINK__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70__FDSAUDITLINK__" localSheetId="6" hidden="1">{"fdsup://directions/FAT Viewer?action=UPDATE&amp;creator=factset&amp;DYN_ARGS=TRUE&amp;DOC_NAME=FAT:FQL_AUDITING_CLIENT_TEMPLATE.FAT&amp;display_string=Audit&amp;VAR:KEY=REJWBUNKDU&amp;VAR:QUERY=RkZfRUJJVERBX0lCKCdMVE1TJywzOTI3MSk=&amp;WINDOW=FIRST_POPUP&amp;HEIGHT=450&amp;WIDTH=450&amp;START_MA","XIMIZED=FALSE&amp;VAR:CALENDAR=US&amp;VAR:SYMBOL=G0129K10&amp;VAR:INDEX=0"}</definedName>
    <definedName name="_8270__FDSAUDITLINK__" hidden="1">{"fdsup://directions/FAT Viewer?action=UPDATE&amp;creator=factset&amp;DYN_ARGS=TRUE&amp;DOC_NAME=FAT:FQL_AUDITING_CLIENT_TEMPLATE.FAT&amp;display_string=Audit&amp;VAR:KEY=REJWBUNKDU&amp;VAR:QUERY=RkZfRUJJVERBX0lCKCdMVE1TJywzOTI3MSk=&amp;WINDOW=FIRST_POPUP&amp;HEIGHT=450&amp;WIDTH=450&amp;START_MA","XIMIZED=FALSE&amp;VAR:CALENDAR=US&amp;VAR:SYMBOL=G0129K10&amp;VAR:INDEX=0"}</definedName>
    <definedName name="_8271__FDSAUDITLINK__" localSheetId="6" hidden="1">{"fdsup://directions/FAT Viewer?action=UPDATE&amp;creator=factset&amp;DYN_ARGS=TRUE&amp;DOC_NAME=FAT:FQL_AUDITING_CLIENT_TEMPLATE.FAT&amp;display_string=Audit&amp;VAR:KEY=VOJQHGLGBA&amp;VAR:QUERY=RkZfRUJJVERBX0lCKCdMVE1TJywzOTI3MCk=&amp;WINDOW=FIRST_POPUP&amp;HEIGHT=450&amp;WIDTH=450&amp;START_MA","XIMIZED=FALSE&amp;VAR:CALENDAR=US&amp;VAR:SYMBOL=G0129K10&amp;VAR:INDEX=0"}</definedName>
    <definedName name="_8271__FDSAUDITLINK__" hidden="1">{"fdsup://directions/FAT Viewer?action=UPDATE&amp;creator=factset&amp;DYN_ARGS=TRUE&amp;DOC_NAME=FAT:FQL_AUDITING_CLIENT_TEMPLATE.FAT&amp;display_string=Audit&amp;VAR:KEY=VOJQHGLGBA&amp;VAR:QUERY=RkZfRUJJVERBX0lCKCdMVE1TJywzOTI3MCk=&amp;WINDOW=FIRST_POPUP&amp;HEIGHT=450&amp;WIDTH=450&amp;START_MA","XIMIZED=FALSE&amp;VAR:CALENDAR=US&amp;VAR:SYMBOL=G0129K10&amp;VAR:INDEX=0"}</definedName>
    <definedName name="_8272__FDSAUDITLINK__" localSheetId="6" hidden="1">{"fdsup://directions/FAT Viewer?action=UPDATE&amp;creator=factset&amp;DYN_ARGS=TRUE&amp;DOC_NAME=FAT:FQL_AUDITING_CLIENT_TEMPLATE.FAT&amp;display_string=Audit&amp;VAR:KEY=BCJENQBCBY&amp;VAR:QUERY=RkZfRUJJVERBX0lCKCdMVE1TJywzOTI2OSk=&amp;WINDOW=FIRST_POPUP&amp;HEIGHT=450&amp;WIDTH=450&amp;START_MA","XIMIZED=FALSE&amp;VAR:CALENDAR=US&amp;VAR:SYMBOL=G0129K10&amp;VAR:INDEX=0"}</definedName>
    <definedName name="_8272__FDSAUDITLINK__" hidden="1">{"fdsup://directions/FAT Viewer?action=UPDATE&amp;creator=factset&amp;DYN_ARGS=TRUE&amp;DOC_NAME=FAT:FQL_AUDITING_CLIENT_TEMPLATE.FAT&amp;display_string=Audit&amp;VAR:KEY=BCJENQBCBY&amp;VAR:QUERY=RkZfRUJJVERBX0lCKCdMVE1TJywzOTI2OSk=&amp;WINDOW=FIRST_POPUP&amp;HEIGHT=450&amp;WIDTH=450&amp;START_MA","XIMIZED=FALSE&amp;VAR:CALENDAR=US&amp;VAR:SYMBOL=G0129K10&amp;VAR:INDEX=0"}</definedName>
    <definedName name="_8273__FDSAUDITLINK__" localSheetId="6" hidden="1">{"fdsup://directions/FAT Viewer?action=UPDATE&amp;creator=factset&amp;DYN_ARGS=TRUE&amp;DOC_NAME=FAT:FQL_AUDITING_CLIENT_TEMPLATE.FAT&amp;display_string=Audit&amp;VAR:KEY=ZWFUDYZANE&amp;VAR:QUERY=RkZfRUJJVERBX0lCKCdMVE1TJywzOTI2OCk=&amp;WINDOW=FIRST_POPUP&amp;HEIGHT=450&amp;WIDTH=450&amp;START_MA","XIMIZED=FALSE&amp;VAR:CALENDAR=US&amp;VAR:SYMBOL=G0129K10&amp;VAR:INDEX=0"}</definedName>
    <definedName name="_8273__FDSAUDITLINK__" hidden="1">{"fdsup://directions/FAT Viewer?action=UPDATE&amp;creator=factset&amp;DYN_ARGS=TRUE&amp;DOC_NAME=FAT:FQL_AUDITING_CLIENT_TEMPLATE.FAT&amp;display_string=Audit&amp;VAR:KEY=ZWFUDYZANE&amp;VAR:QUERY=RkZfRUJJVERBX0lCKCdMVE1TJywzOTI2OCk=&amp;WINDOW=FIRST_POPUP&amp;HEIGHT=450&amp;WIDTH=450&amp;START_MA","XIMIZED=FALSE&amp;VAR:CALENDAR=US&amp;VAR:SYMBOL=G0129K10&amp;VAR:INDEX=0"}</definedName>
    <definedName name="_8274__FDSAUDITLINK__" localSheetId="6" hidden="1">{"fdsup://directions/FAT Viewer?action=UPDATE&amp;creator=factset&amp;DYN_ARGS=TRUE&amp;DOC_NAME=FAT:FQL_AUDITING_CLIENT_TEMPLATE.FAT&amp;display_string=Audit&amp;VAR:KEY=VWNMVWLSJE&amp;VAR:QUERY=RkZfRUJJVERBX0lCKCdMVE1TJywzOTI2Nyk=&amp;WINDOW=FIRST_POPUP&amp;HEIGHT=450&amp;WIDTH=450&amp;START_MA","XIMIZED=FALSE&amp;VAR:CALENDAR=US&amp;VAR:SYMBOL=G0129K10&amp;VAR:INDEX=0"}</definedName>
    <definedName name="_8274__FDSAUDITLINK__" hidden="1">{"fdsup://directions/FAT Viewer?action=UPDATE&amp;creator=factset&amp;DYN_ARGS=TRUE&amp;DOC_NAME=FAT:FQL_AUDITING_CLIENT_TEMPLATE.FAT&amp;display_string=Audit&amp;VAR:KEY=VWNMVWLSJE&amp;VAR:QUERY=RkZfRUJJVERBX0lCKCdMVE1TJywzOTI2Nyk=&amp;WINDOW=FIRST_POPUP&amp;HEIGHT=450&amp;WIDTH=450&amp;START_MA","XIMIZED=FALSE&amp;VAR:CALENDAR=US&amp;VAR:SYMBOL=G0129K10&amp;VAR:INDEX=0"}</definedName>
    <definedName name="_8275__FDSAUDITLINK__" localSheetId="6" hidden="1">{"fdsup://directions/FAT Viewer?action=UPDATE&amp;creator=factset&amp;DYN_ARGS=TRUE&amp;DOC_NAME=FAT:FQL_AUDITING_CLIENT_TEMPLATE.FAT&amp;display_string=Audit&amp;VAR:KEY=TQVEJMPMJA&amp;VAR:QUERY=RkZfRUJJVERBX0lCKCdMVE1TJywzOTI2Nik=&amp;WINDOW=FIRST_POPUP&amp;HEIGHT=450&amp;WIDTH=450&amp;START_MA","XIMIZED=FALSE&amp;VAR:CALENDAR=US&amp;VAR:SYMBOL=G0129K10&amp;VAR:INDEX=0"}</definedName>
    <definedName name="_8275__FDSAUDITLINK__" hidden="1">{"fdsup://directions/FAT Viewer?action=UPDATE&amp;creator=factset&amp;DYN_ARGS=TRUE&amp;DOC_NAME=FAT:FQL_AUDITING_CLIENT_TEMPLATE.FAT&amp;display_string=Audit&amp;VAR:KEY=TQVEJMPMJA&amp;VAR:QUERY=RkZfRUJJVERBX0lCKCdMVE1TJywzOTI2Nik=&amp;WINDOW=FIRST_POPUP&amp;HEIGHT=450&amp;WIDTH=450&amp;START_MA","XIMIZED=FALSE&amp;VAR:CALENDAR=US&amp;VAR:SYMBOL=G0129K10&amp;VAR:INDEX=0"}</definedName>
    <definedName name="_8276__FDSAUDITLINK__" localSheetId="6" hidden="1">{"fdsup://directions/FAT Viewer?action=UPDATE&amp;creator=factset&amp;DYN_ARGS=TRUE&amp;DOC_NAME=FAT:FQL_AUDITING_CLIENT_TEMPLATE.FAT&amp;display_string=Audit&amp;VAR:KEY=VOREFOXGFA&amp;VAR:QUERY=RkZfRUJJVERBX0lCKCdMVE1TJywzOTI2NSk=&amp;WINDOW=FIRST_POPUP&amp;HEIGHT=450&amp;WIDTH=450&amp;START_MA","XIMIZED=FALSE&amp;VAR:CALENDAR=US&amp;VAR:SYMBOL=G0129K10&amp;VAR:INDEX=0"}</definedName>
    <definedName name="_8276__FDSAUDITLINK__" hidden="1">{"fdsup://directions/FAT Viewer?action=UPDATE&amp;creator=factset&amp;DYN_ARGS=TRUE&amp;DOC_NAME=FAT:FQL_AUDITING_CLIENT_TEMPLATE.FAT&amp;display_string=Audit&amp;VAR:KEY=VOREFOXGFA&amp;VAR:QUERY=RkZfRUJJVERBX0lCKCdMVE1TJywzOTI2NSk=&amp;WINDOW=FIRST_POPUP&amp;HEIGHT=450&amp;WIDTH=450&amp;START_MA","XIMIZED=FALSE&amp;VAR:CALENDAR=US&amp;VAR:SYMBOL=G0129K10&amp;VAR:INDEX=0"}</definedName>
    <definedName name="_8277__FDSAUDITLINK__" localSheetId="6" hidden="1">{"fdsup://directions/FAT Viewer?action=UPDATE&amp;creator=factset&amp;DYN_ARGS=TRUE&amp;DOC_NAME=FAT:FQL_AUDITING_CLIENT_TEMPLATE.FAT&amp;display_string=Audit&amp;VAR:KEY=LILIDETGFS&amp;VAR:QUERY=RkZfRUJJVERBX0lCKCdMVE1TJywzOTI2NCk=&amp;WINDOW=FIRST_POPUP&amp;HEIGHT=450&amp;WIDTH=450&amp;START_MA","XIMIZED=FALSE&amp;VAR:CALENDAR=US&amp;VAR:SYMBOL=G0129K10&amp;VAR:INDEX=0"}</definedName>
    <definedName name="_8277__FDSAUDITLINK__" hidden="1">{"fdsup://directions/FAT Viewer?action=UPDATE&amp;creator=factset&amp;DYN_ARGS=TRUE&amp;DOC_NAME=FAT:FQL_AUDITING_CLIENT_TEMPLATE.FAT&amp;display_string=Audit&amp;VAR:KEY=LILIDETGFS&amp;VAR:QUERY=RkZfRUJJVERBX0lCKCdMVE1TJywzOTI2NCk=&amp;WINDOW=FIRST_POPUP&amp;HEIGHT=450&amp;WIDTH=450&amp;START_MA","XIMIZED=FALSE&amp;VAR:CALENDAR=US&amp;VAR:SYMBOL=G0129K10&amp;VAR:INDEX=0"}</definedName>
    <definedName name="_8278__FDSAUDITLINK__" localSheetId="6" hidden="1">{"fdsup://directions/FAT Viewer?action=UPDATE&amp;creator=factset&amp;DYN_ARGS=TRUE&amp;DOC_NAME=FAT:FQL_AUDITING_CLIENT_TEMPLATE.FAT&amp;display_string=Audit&amp;VAR:KEY=XGTQVKRQFW&amp;VAR:QUERY=RkZfRUJJVERBX0lCKCdMVE1TJywzOTI2Myk=&amp;WINDOW=FIRST_POPUP&amp;HEIGHT=450&amp;WIDTH=450&amp;START_MA","XIMIZED=FALSE&amp;VAR:CALENDAR=US&amp;VAR:SYMBOL=G0129K10&amp;VAR:INDEX=0"}</definedName>
    <definedName name="_8278__FDSAUDITLINK__" hidden="1">{"fdsup://directions/FAT Viewer?action=UPDATE&amp;creator=factset&amp;DYN_ARGS=TRUE&amp;DOC_NAME=FAT:FQL_AUDITING_CLIENT_TEMPLATE.FAT&amp;display_string=Audit&amp;VAR:KEY=XGTQVKRQFW&amp;VAR:QUERY=RkZfRUJJVERBX0lCKCdMVE1TJywzOTI2Myk=&amp;WINDOW=FIRST_POPUP&amp;HEIGHT=450&amp;WIDTH=450&amp;START_MA","XIMIZED=FALSE&amp;VAR:CALENDAR=US&amp;VAR:SYMBOL=G0129K10&amp;VAR:INDEX=0"}</definedName>
    <definedName name="_8279__FDSAUDITLINK__" localSheetId="6" hidden="1">{"fdsup://directions/FAT Viewer?action=UPDATE&amp;creator=factset&amp;DYN_ARGS=TRUE&amp;DOC_NAME=FAT:FQL_AUDITING_CLIENT_TEMPLATE.FAT&amp;display_string=Audit&amp;VAR:KEY=VOPGPKHOXE&amp;VAR:QUERY=RkZfRUJJVERBX0lCKCdMVE1TJywzOTI2Mik=&amp;WINDOW=FIRST_POPUP&amp;HEIGHT=450&amp;WIDTH=450&amp;START_MA","XIMIZED=FALSE&amp;VAR:CALENDAR=US&amp;VAR:SYMBOL=G0129K10&amp;VAR:INDEX=0"}</definedName>
    <definedName name="_8279__FDSAUDITLINK__" hidden="1">{"fdsup://directions/FAT Viewer?action=UPDATE&amp;creator=factset&amp;DYN_ARGS=TRUE&amp;DOC_NAME=FAT:FQL_AUDITING_CLIENT_TEMPLATE.FAT&amp;display_string=Audit&amp;VAR:KEY=VOPGPKHOXE&amp;VAR:QUERY=RkZfRUJJVERBX0lCKCdMVE1TJywzOTI2Mik=&amp;WINDOW=FIRST_POPUP&amp;HEIGHT=450&amp;WIDTH=450&amp;START_MA","XIMIZED=FALSE&amp;VAR:CALENDAR=US&amp;VAR:SYMBOL=G0129K10&amp;VAR:INDEX=0"}</definedName>
    <definedName name="_828__FDSAUDITLINK__" localSheetId="6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8__FDSAUDITLINK__" hidden="1">{"fdsup://directions/FAT%20Viewer?VAR:PED=LTM&amp;VAR:AUDIT_MODE=SUMMARY&amp;VAR:PERIOD=FIXED&amp;VAR:AUDIT_ID=00000117&amp;VAR:DATE=20071116&amp;action=UPDATE&amp;creator=factset&amp;DOC_NAME=FAT:FMA_audit_SUMMARY.fat&amp;DISPLAY_STRING=Display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80__FDSAUDITLINK__" localSheetId="6" hidden="1">{"fdsup://directions/FAT Viewer?action=UPDATE&amp;creator=factset&amp;DYN_ARGS=TRUE&amp;DOC_NAME=FAT:FQL_AUDITING_CLIENT_TEMPLATE.FAT&amp;display_string=Audit&amp;VAR:KEY=DQJYNMBCTS&amp;VAR:QUERY=RkZfRUJJVERBX0lCKCdMVE1TJywzOTI2MSk=&amp;WINDOW=FIRST_POPUP&amp;HEIGHT=450&amp;WIDTH=450&amp;START_MA","XIMIZED=FALSE&amp;VAR:CALENDAR=US&amp;VAR:SYMBOL=G0129K10&amp;VAR:INDEX=0"}</definedName>
    <definedName name="_8280__FDSAUDITLINK__" hidden="1">{"fdsup://directions/FAT Viewer?action=UPDATE&amp;creator=factset&amp;DYN_ARGS=TRUE&amp;DOC_NAME=FAT:FQL_AUDITING_CLIENT_TEMPLATE.FAT&amp;display_string=Audit&amp;VAR:KEY=DQJYNMBCTS&amp;VAR:QUERY=RkZfRUJJVERBX0lCKCdMVE1TJywzOTI2MSk=&amp;WINDOW=FIRST_POPUP&amp;HEIGHT=450&amp;WIDTH=450&amp;START_MA","XIMIZED=FALSE&amp;VAR:CALENDAR=US&amp;VAR:SYMBOL=G0129K10&amp;VAR:INDEX=0"}</definedName>
    <definedName name="_8281__FDSAUDITLINK__" localSheetId="6" hidden="1">{"fdsup://directions/FAT Viewer?action=UPDATE&amp;creator=factset&amp;DYN_ARGS=TRUE&amp;DOC_NAME=FAT:FQL_AUDITING_CLIENT_TEMPLATE.FAT&amp;display_string=Audit&amp;VAR:KEY=FUXAFCLAXA&amp;VAR:QUERY=RkZfRUJJVERBX0lCKCdMVE1TJywzOTI2MCk=&amp;WINDOW=FIRST_POPUP&amp;HEIGHT=450&amp;WIDTH=450&amp;START_MA","XIMIZED=FALSE&amp;VAR:CALENDAR=US&amp;VAR:SYMBOL=G0129K10&amp;VAR:INDEX=0"}</definedName>
    <definedName name="_8281__FDSAUDITLINK__" hidden="1">{"fdsup://directions/FAT Viewer?action=UPDATE&amp;creator=factset&amp;DYN_ARGS=TRUE&amp;DOC_NAME=FAT:FQL_AUDITING_CLIENT_TEMPLATE.FAT&amp;display_string=Audit&amp;VAR:KEY=FUXAFCLAXA&amp;VAR:QUERY=RkZfRUJJVERBX0lCKCdMVE1TJywzOTI2MCk=&amp;WINDOW=FIRST_POPUP&amp;HEIGHT=450&amp;WIDTH=450&amp;START_MA","XIMIZED=FALSE&amp;VAR:CALENDAR=US&amp;VAR:SYMBOL=G0129K10&amp;VAR:INDEX=0"}</definedName>
    <definedName name="_8282__FDSAUDITLINK__" localSheetId="6" hidden="1">{"fdsup://directions/FAT Viewer?action=UPDATE&amp;creator=factset&amp;DYN_ARGS=TRUE&amp;DOC_NAME=FAT:FQL_AUDITING_CLIENT_TEMPLATE.FAT&amp;display_string=Audit&amp;VAR:KEY=TWXAVENQJM&amp;VAR:QUERY=RkZfRUJJVERBX0lCKCdMVE1TJywzOTI1OSk=&amp;WINDOW=FIRST_POPUP&amp;HEIGHT=450&amp;WIDTH=450&amp;START_MA","XIMIZED=FALSE&amp;VAR:CALENDAR=US&amp;VAR:SYMBOL=G0129K10&amp;VAR:INDEX=0"}</definedName>
    <definedName name="_8282__FDSAUDITLINK__" hidden="1">{"fdsup://directions/FAT Viewer?action=UPDATE&amp;creator=factset&amp;DYN_ARGS=TRUE&amp;DOC_NAME=FAT:FQL_AUDITING_CLIENT_TEMPLATE.FAT&amp;display_string=Audit&amp;VAR:KEY=TWXAVENQJM&amp;VAR:QUERY=RkZfRUJJVERBX0lCKCdMVE1TJywzOTI1OSk=&amp;WINDOW=FIRST_POPUP&amp;HEIGHT=450&amp;WIDTH=450&amp;START_MA","XIMIZED=FALSE&amp;VAR:CALENDAR=US&amp;VAR:SYMBOL=G0129K10&amp;VAR:INDEX=0"}</definedName>
    <definedName name="_8283__FDSAUDITLINK__" localSheetId="6" hidden="1">{"fdsup://directions/FAT Viewer?action=UPDATE&amp;creator=factset&amp;DYN_ARGS=TRUE&amp;DOC_NAME=FAT:FQL_AUDITING_CLIENT_TEMPLATE.FAT&amp;display_string=Audit&amp;VAR:KEY=VCJOVMXCDY&amp;VAR:QUERY=RkZfRUJJVERBX0lCKCdMVE1TJywzOTI1OCk=&amp;WINDOW=FIRST_POPUP&amp;HEIGHT=450&amp;WIDTH=450&amp;START_MA","XIMIZED=FALSE&amp;VAR:CALENDAR=US&amp;VAR:SYMBOL=G0129K10&amp;VAR:INDEX=0"}</definedName>
    <definedName name="_8283__FDSAUDITLINK__" hidden="1">{"fdsup://directions/FAT Viewer?action=UPDATE&amp;creator=factset&amp;DYN_ARGS=TRUE&amp;DOC_NAME=FAT:FQL_AUDITING_CLIENT_TEMPLATE.FAT&amp;display_string=Audit&amp;VAR:KEY=VCJOVMXCDY&amp;VAR:QUERY=RkZfRUJJVERBX0lCKCdMVE1TJywzOTI1OCk=&amp;WINDOW=FIRST_POPUP&amp;HEIGHT=450&amp;WIDTH=450&amp;START_MA","XIMIZED=FALSE&amp;VAR:CALENDAR=US&amp;VAR:SYMBOL=G0129K10&amp;VAR:INDEX=0"}</definedName>
    <definedName name="_8284__FDSAUDITLINK__" localSheetId="6" hidden="1">{"fdsup://directions/FAT Viewer?action=UPDATE&amp;creator=factset&amp;DYN_ARGS=TRUE&amp;DOC_NAME=FAT:FQL_AUDITING_CLIENT_TEMPLATE.FAT&amp;display_string=Audit&amp;VAR:KEY=JQPQBKLQVC&amp;VAR:QUERY=RkZfRUJJVERBX0lCKCdMVE1TJywzOTI1Nyk=&amp;WINDOW=FIRST_POPUP&amp;HEIGHT=450&amp;WIDTH=450&amp;START_MA","XIMIZED=FALSE&amp;VAR:CALENDAR=US&amp;VAR:SYMBOL=G0129K10&amp;VAR:INDEX=0"}</definedName>
    <definedName name="_8284__FDSAUDITLINK__" hidden="1">{"fdsup://directions/FAT Viewer?action=UPDATE&amp;creator=factset&amp;DYN_ARGS=TRUE&amp;DOC_NAME=FAT:FQL_AUDITING_CLIENT_TEMPLATE.FAT&amp;display_string=Audit&amp;VAR:KEY=JQPQBKLQVC&amp;VAR:QUERY=RkZfRUJJVERBX0lCKCdMVE1TJywzOTI1Nyk=&amp;WINDOW=FIRST_POPUP&amp;HEIGHT=450&amp;WIDTH=450&amp;START_MA","XIMIZED=FALSE&amp;VAR:CALENDAR=US&amp;VAR:SYMBOL=G0129K10&amp;VAR:INDEX=0"}</definedName>
    <definedName name="_8285__FDSAUDITLINK__" localSheetId="6" hidden="1">{"fdsup://directions/FAT Viewer?action=UPDATE&amp;creator=factset&amp;DYN_ARGS=TRUE&amp;DOC_NAME=FAT:FQL_AUDITING_CLIENT_TEMPLATE.FAT&amp;display_string=Audit&amp;VAR:KEY=LENKPADWDU&amp;VAR:QUERY=RkZfRUJJVERBX0lCKCdMVE1TJywzOTI1Nik=&amp;WINDOW=FIRST_POPUP&amp;HEIGHT=450&amp;WIDTH=450&amp;START_MA","XIMIZED=FALSE&amp;VAR:CALENDAR=US&amp;VAR:SYMBOL=G0129K10&amp;VAR:INDEX=0"}</definedName>
    <definedName name="_8285__FDSAUDITLINK__" hidden="1">{"fdsup://directions/FAT Viewer?action=UPDATE&amp;creator=factset&amp;DYN_ARGS=TRUE&amp;DOC_NAME=FAT:FQL_AUDITING_CLIENT_TEMPLATE.FAT&amp;display_string=Audit&amp;VAR:KEY=LENKPADWDU&amp;VAR:QUERY=RkZfRUJJVERBX0lCKCdMVE1TJywzOTI1Nik=&amp;WINDOW=FIRST_POPUP&amp;HEIGHT=450&amp;WIDTH=450&amp;START_MA","XIMIZED=FALSE&amp;VAR:CALENDAR=US&amp;VAR:SYMBOL=G0129K10&amp;VAR:INDEX=0"}</definedName>
    <definedName name="_8286__FDSAUDITLINK__" localSheetId="6" hidden="1">{"fdsup://directions/FAT Viewer?action=UPDATE&amp;creator=factset&amp;DYN_ARGS=TRUE&amp;DOC_NAME=FAT:FQL_AUDITING_CLIENT_TEMPLATE.FAT&amp;display_string=Audit&amp;VAR:KEY=LQBKDCFSBG&amp;VAR:QUERY=RkZfRUJJVERBX0lCKCdMVE1TJywzOTI1NSk=&amp;WINDOW=FIRST_POPUP&amp;HEIGHT=450&amp;WIDTH=450&amp;START_MA","XIMIZED=FALSE&amp;VAR:CALENDAR=US&amp;VAR:SYMBOL=G0129K10&amp;VAR:INDEX=0"}</definedName>
    <definedName name="_8286__FDSAUDITLINK__" hidden="1">{"fdsup://directions/FAT Viewer?action=UPDATE&amp;creator=factset&amp;DYN_ARGS=TRUE&amp;DOC_NAME=FAT:FQL_AUDITING_CLIENT_TEMPLATE.FAT&amp;display_string=Audit&amp;VAR:KEY=LQBKDCFSBG&amp;VAR:QUERY=RkZfRUJJVERBX0lCKCdMVE1TJywzOTI1NSk=&amp;WINDOW=FIRST_POPUP&amp;HEIGHT=450&amp;WIDTH=450&amp;START_MA","XIMIZED=FALSE&amp;VAR:CALENDAR=US&amp;VAR:SYMBOL=G0129K10&amp;VAR:INDEX=0"}</definedName>
    <definedName name="_8287__FDSAUDITLINK__" localSheetId="6" hidden="1">{"fdsup://directions/FAT Viewer?action=UPDATE&amp;creator=factset&amp;DYN_ARGS=TRUE&amp;DOC_NAME=FAT:FQL_AUDITING_CLIENT_TEMPLATE.FAT&amp;display_string=Audit&amp;VAR:KEY=NMVYVSVCVG&amp;VAR:QUERY=RkZfRUJJVERBX0lCKCdMVE1TJywzOTI1NCk=&amp;WINDOW=FIRST_POPUP&amp;HEIGHT=450&amp;WIDTH=450&amp;START_MA","XIMIZED=FALSE&amp;VAR:CALENDAR=US&amp;VAR:SYMBOL=G0129K10&amp;VAR:INDEX=0"}</definedName>
    <definedName name="_8287__FDSAUDITLINK__" hidden="1">{"fdsup://directions/FAT Viewer?action=UPDATE&amp;creator=factset&amp;DYN_ARGS=TRUE&amp;DOC_NAME=FAT:FQL_AUDITING_CLIENT_TEMPLATE.FAT&amp;display_string=Audit&amp;VAR:KEY=NMVYVSVCVG&amp;VAR:QUERY=RkZfRUJJVERBX0lCKCdMVE1TJywzOTI1NCk=&amp;WINDOW=FIRST_POPUP&amp;HEIGHT=450&amp;WIDTH=450&amp;START_MA","XIMIZED=FALSE&amp;VAR:CALENDAR=US&amp;VAR:SYMBOL=G0129K10&amp;VAR:INDEX=0"}</definedName>
    <definedName name="_8288__FDSAUDITLINK__" localSheetId="6" hidden="1">{"fdsup://directions/FAT Viewer?action=UPDATE&amp;creator=factset&amp;DYN_ARGS=TRUE&amp;DOC_NAME=FAT:FQL_AUDITING_CLIENT_TEMPLATE.FAT&amp;display_string=Audit&amp;VAR:KEY=BKHOZQLWXK&amp;VAR:QUERY=RkZfRUJJVERBX0lCKCdMVE1TJywzOTI1Myk=&amp;WINDOW=FIRST_POPUP&amp;HEIGHT=450&amp;WIDTH=450&amp;START_MA","XIMIZED=FALSE&amp;VAR:CALENDAR=US&amp;VAR:SYMBOL=G0129K10&amp;VAR:INDEX=0"}</definedName>
    <definedName name="_8288__FDSAUDITLINK__" hidden="1">{"fdsup://directions/FAT Viewer?action=UPDATE&amp;creator=factset&amp;DYN_ARGS=TRUE&amp;DOC_NAME=FAT:FQL_AUDITING_CLIENT_TEMPLATE.FAT&amp;display_string=Audit&amp;VAR:KEY=BKHOZQLWXK&amp;VAR:QUERY=RkZfRUJJVERBX0lCKCdMVE1TJywzOTI1Myk=&amp;WINDOW=FIRST_POPUP&amp;HEIGHT=450&amp;WIDTH=450&amp;START_MA","XIMIZED=FALSE&amp;VAR:CALENDAR=US&amp;VAR:SYMBOL=G0129K10&amp;VAR:INDEX=0"}</definedName>
    <definedName name="_8289__FDSAUDITLINK__" localSheetId="6" hidden="1">{"fdsup://directions/FAT Viewer?action=UPDATE&amp;creator=factset&amp;DYN_ARGS=TRUE&amp;DOC_NAME=FAT:FQL_AUDITING_CLIENT_TEMPLATE.FAT&amp;display_string=Audit&amp;VAR:KEY=TSRSXYRGJE&amp;VAR:QUERY=RkZfRUJJVERBX0lCKCdMVE1TJywzOTI1Mik=&amp;WINDOW=FIRST_POPUP&amp;HEIGHT=450&amp;WIDTH=450&amp;START_MA","XIMIZED=FALSE&amp;VAR:CALENDAR=US&amp;VAR:SYMBOL=G0129K10&amp;VAR:INDEX=0"}</definedName>
    <definedName name="_8289__FDSAUDITLINK__" hidden="1">{"fdsup://directions/FAT Viewer?action=UPDATE&amp;creator=factset&amp;DYN_ARGS=TRUE&amp;DOC_NAME=FAT:FQL_AUDITING_CLIENT_TEMPLATE.FAT&amp;display_string=Audit&amp;VAR:KEY=TSRSXYRGJE&amp;VAR:QUERY=RkZfRUJJVERBX0lCKCdMVE1TJywzOTI1Mik=&amp;WINDOW=FIRST_POPUP&amp;HEIGHT=450&amp;WIDTH=450&amp;START_MA","XIMIZED=FALSE&amp;VAR:CALENDAR=US&amp;VAR:SYMBOL=G0129K10&amp;VAR:INDEX=0"}</definedName>
    <definedName name="_829__FDSAUDITLINK__" localSheetId="6" hidden="1">{"fdsup://directions/FAT%20Viewer?VAR:PED=LTM&amp;VAR:AUDIT_MODE=SUMMARY&amp;VAR:PERIOD=FIXED&amp;VAR:AUDIT_ID=00000117&amp;VAR:DATE=20071115&amp;action=UPDATE&amp;creator=factset&amp;DOC_NAME=FAT:FMA_audit_SUMMARY.fat&amp;DISPLAY_STRING=Display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9__FDSAUDITLINK__" hidden="1">{"fdsup://directions/FAT%20Viewer?VAR:PED=LTM&amp;VAR:AUDIT_MODE=SUMMARY&amp;VAR:PERIOD=FIXED&amp;VAR:AUDIT_ID=00000117&amp;VAR:DATE=20071115&amp;action=UPDATE&amp;creator=factset&amp;DOC_NAME=FAT:FMA_audit_SUMMARY.fat&amp;DISPLAY_STRING=Display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290__FDSAUDITLINK__" localSheetId="6" hidden="1">{"fdsup://directions/FAT Viewer?action=UPDATE&amp;creator=factset&amp;DYN_ARGS=TRUE&amp;DOC_NAME=FAT:FQL_AUDITING_CLIENT_TEMPLATE.FAT&amp;display_string=Audit&amp;VAR:KEY=DSVQBALYHW&amp;VAR:QUERY=RkZfRUJJVERBX0lCKCdMVE1TJywzOTI1MSk=&amp;WINDOW=FIRST_POPUP&amp;HEIGHT=450&amp;WIDTH=450&amp;START_MA","XIMIZED=FALSE&amp;VAR:CALENDAR=US&amp;VAR:SYMBOL=G0129K10&amp;VAR:INDEX=0"}</definedName>
    <definedName name="_8290__FDSAUDITLINK__" hidden="1">{"fdsup://directions/FAT Viewer?action=UPDATE&amp;creator=factset&amp;DYN_ARGS=TRUE&amp;DOC_NAME=FAT:FQL_AUDITING_CLIENT_TEMPLATE.FAT&amp;display_string=Audit&amp;VAR:KEY=DSVQBALYHW&amp;VAR:QUERY=RkZfRUJJVERBX0lCKCdMVE1TJywzOTI1MSk=&amp;WINDOW=FIRST_POPUP&amp;HEIGHT=450&amp;WIDTH=450&amp;START_MA","XIMIZED=FALSE&amp;VAR:CALENDAR=US&amp;VAR:SYMBOL=G0129K10&amp;VAR:INDEX=0"}</definedName>
    <definedName name="_8291__FDSAUDITLINK__" localSheetId="6" hidden="1">{"fdsup://directions/FAT Viewer?action=UPDATE&amp;creator=factset&amp;DYN_ARGS=TRUE&amp;DOC_NAME=FAT:FQL_AUDITING_CLIENT_TEMPLATE.FAT&amp;display_string=Audit&amp;VAR:KEY=DIXUZEBQDO&amp;VAR:QUERY=RkZfRUJJVERBX0lCKCdMVE1TJywzOTI1MCk=&amp;WINDOW=FIRST_POPUP&amp;HEIGHT=450&amp;WIDTH=450&amp;START_MA","XIMIZED=FALSE&amp;VAR:CALENDAR=US&amp;VAR:SYMBOL=G0129K10&amp;VAR:INDEX=0"}</definedName>
    <definedName name="_8291__FDSAUDITLINK__" hidden="1">{"fdsup://directions/FAT Viewer?action=UPDATE&amp;creator=factset&amp;DYN_ARGS=TRUE&amp;DOC_NAME=FAT:FQL_AUDITING_CLIENT_TEMPLATE.FAT&amp;display_string=Audit&amp;VAR:KEY=DIXUZEBQDO&amp;VAR:QUERY=RkZfRUJJVERBX0lCKCdMVE1TJywzOTI1MCk=&amp;WINDOW=FIRST_POPUP&amp;HEIGHT=450&amp;WIDTH=450&amp;START_MA","XIMIZED=FALSE&amp;VAR:CALENDAR=US&amp;VAR:SYMBOL=G0129K10&amp;VAR:INDEX=0"}</definedName>
    <definedName name="_8292__FDSAUDITLINK__" localSheetId="6" hidden="1">{"fdsup://directions/FAT Viewer?action=UPDATE&amp;creator=factset&amp;DYN_ARGS=TRUE&amp;DOC_NAME=FAT:FQL_AUDITING_CLIENT_TEMPLATE.FAT&amp;display_string=Audit&amp;VAR:KEY=VWHKDWNETQ&amp;VAR:QUERY=RkZfRUJJVERBX0lCKCdMVE1TJywzOTI0OSk=&amp;WINDOW=FIRST_POPUP&amp;HEIGHT=450&amp;WIDTH=450&amp;START_MA","XIMIZED=FALSE&amp;VAR:CALENDAR=US&amp;VAR:SYMBOL=G0129K10&amp;VAR:INDEX=0"}</definedName>
    <definedName name="_8292__FDSAUDITLINK__" hidden="1">{"fdsup://directions/FAT Viewer?action=UPDATE&amp;creator=factset&amp;DYN_ARGS=TRUE&amp;DOC_NAME=FAT:FQL_AUDITING_CLIENT_TEMPLATE.FAT&amp;display_string=Audit&amp;VAR:KEY=VWHKDWNETQ&amp;VAR:QUERY=RkZfRUJJVERBX0lCKCdMVE1TJywzOTI0OSk=&amp;WINDOW=FIRST_POPUP&amp;HEIGHT=450&amp;WIDTH=450&amp;START_MA","XIMIZED=FALSE&amp;VAR:CALENDAR=US&amp;VAR:SYMBOL=G0129K10&amp;VAR:INDEX=0"}</definedName>
    <definedName name="_8293__FDSAUDITLINK__" localSheetId="6" hidden="1">{"fdsup://directions/FAT Viewer?action=UPDATE&amp;creator=factset&amp;DYN_ARGS=TRUE&amp;DOC_NAME=FAT:FQL_AUDITING_CLIENT_TEMPLATE.FAT&amp;display_string=Audit&amp;VAR:KEY=FAVQNGRQBW&amp;VAR:QUERY=RkZfRUJJVERBX0lCKCdMVE1TJywzOTI0OCk=&amp;WINDOW=FIRST_POPUP&amp;HEIGHT=450&amp;WIDTH=450&amp;START_MA","XIMIZED=FALSE&amp;VAR:CALENDAR=US&amp;VAR:SYMBOL=G0129K10&amp;VAR:INDEX=0"}</definedName>
    <definedName name="_8293__FDSAUDITLINK__" hidden="1">{"fdsup://directions/FAT Viewer?action=UPDATE&amp;creator=factset&amp;DYN_ARGS=TRUE&amp;DOC_NAME=FAT:FQL_AUDITING_CLIENT_TEMPLATE.FAT&amp;display_string=Audit&amp;VAR:KEY=FAVQNGRQBW&amp;VAR:QUERY=RkZfRUJJVERBX0lCKCdMVE1TJywzOTI0OCk=&amp;WINDOW=FIRST_POPUP&amp;HEIGHT=450&amp;WIDTH=450&amp;START_MA","XIMIZED=FALSE&amp;VAR:CALENDAR=US&amp;VAR:SYMBOL=G0129K10&amp;VAR:INDEX=0"}</definedName>
    <definedName name="_8294__FDSAUDITLINK__" localSheetId="6" hidden="1">{"fdsup://directions/FAT Viewer?action=UPDATE&amp;creator=factset&amp;DYN_ARGS=TRUE&amp;DOC_NAME=FAT:FQL_AUDITING_CLIENT_TEMPLATE.FAT&amp;display_string=Audit&amp;VAR:KEY=ZMDALKJGDK&amp;VAR:QUERY=RkZfRUJJVERBX0lCKCdMVE1TJywzOTI0Nyk=&amp;WINDOW=FIRST_POPUP&amp;HEIGHT=450&amp;WIDTH=450&amp;START_MA","XIMIZED=FALSE&amp;VAR:CALENDAR=US&amp;VAR:SYMBOL=G0129K10&amp;VAR:INDEX=0"}</definedName>
    <definedName name="_8294__FDSAUDITLINK__" hidden="1">{"fdsup://directions/FAT Viewer?action=UPDATE&amp;creator=factset&amp;DYN_ARGS=TRUE&amp;DOC_NAME=FAT:FQL_AUDITING_CLIENT_TEMPLATE.FAT&amp;display_string=Audit&amp;VAR:KEY=ZMDALKJGDK&amp;VAR:QUERY=RkZfRUJJVERBX0lCKCdMVE1TJywzOTI0Nyk=&amp;WINDOW=FIRST_POPUP&amp;HEIGHT=450&amp;WIDTH=450&amp;START_MA","XIMIZED=FALSE&amp;VAR:CALENDAR=US&amp;VAR:SYMBOL=G0129K10&amp;VAR:INDEX=0"}</definedName>
    <definedName name="_8295__FDSAUDITLINK__" localSheetId="6" hidden="1">{"fdsup://directions/FAT Viewer?action=UPDATE&amp;creator=factset&amp;DYN_ARGS=TRUE&amp;DOC_NAME=FAT:FQL_AUDITING_CLIENT_TEMPLATE.FAT&amp;display_string=Audit&amp;VAR:KEY=XSVKBWDSPA&amp;VAR:QUERY=RkZfRUJJVERBX0lCKCdMVE1TJywzOTI0Nik=&amp;WINDOW=FIRST_POPUP&amp;HEIGHT=450&amp;WIDTH=450&amp;START_MA","XIMIZED=FALSE&amp;VAR:CALENDAR=US&amp;VAR:SYMBOL=G0129K10&amp;VAR:INDEX=0"}</definedName>
    <definedName name="_8295__FDSAUDITLINK__" hidden="1">{"fdsup://directions/FAT Viewer?action=UPDATE&amp;creator=factset&amp;DYN_ARGS=TRUE&amp;DOC_NAME=FAT:FQL_AUDITING_CLIENT_TEMPLATE.FAT&amp;display_string=Audit&amp;VAR:KEY=XSVKBWDSPA&amp;VAR:QUERY=RkZfRUJJVERBX0lCKCdMVE1TJywzOTI0Nik=&amp;WINDOW=FIRST_POPUP&amp;HEIGHT=450&amp;WIDTH=450&amp;START_MA","XIMIZED=FALSE&amp;VAR:CALENDAR=US&amp;VAR:SYMBOL=G0129K10&amp;VAR:INDEX=0"}</definedName>
    <definedName name="_8296__FDSAUDITLINK__" localSheetId="6" hidden="1">{"fdsup://directions/FAT Viewer?action=UPDATE&amp;creator=factset&amp;DYN_ARGS=TRUE&amp;DOC_NAME=FAT:FQL_AUDITING_CLIENT_TEMPLATE.FAT&amp;display_string=Audit&amp;VAR:KEY=NYNKFSJEFK&amp;VAR:QUERY=RkZfRUJJVERBX0lCKCdMVE1TJywzOTI0NSk=&amp;WINDOW=FIRST_POPUP&amp;HEIGHT=450&amp;WIDTH=450&amp;START_MA","XIMIZED=FALSE&amp;VAR:CALENDAR=US&amp;VAR:SYMBOL=G0129K10&amp;VAR:INDEX=0"}</definedName>
    <definedName name="_8296__FDSAUDITLINK__" hidden="1">{"fdsup://directions/FAT Viewer?action=UPDATE&amp;creator=factset&amp;DYN_ARGS=TRUE&amp;DOC_NAME=FAT:FQL_AUDITING_CLIENT_TEMPLATE.FAT&amp;display_string=Audit&amp;VAR:KEY=NYNKFSJEFK&amp;VAR:QUERY=RkZfRUJJVERBX0lCKCdMVE1TJywzOTI0NSk=&amp;WINDOW=FIRST_POPUP&amp;HEIGHT=450&amp;WIDTH=450&amp;START_MA","XIMIZED=FALSE&amp;VAR:CALENDAR=US&amp;VAR:SYMBOL=G0129K10&amp;VAR:INDEX=0"}</definedName>
    <definedName name="_8297__FDSAUDITLINK__" localSheetId="6" hidden="1">{"fdsup://directions/FAT Viewer?action=UPDATE&amp;creator=factset&amp;DYN_ARGS=TRUE&amp;DOC_NAME=FAT:FQL_AUDITING_CLIENT_TEMPLATE.FAT&amp;display_string=Audit&amp;VAR:KEY=XELWZCJKJU&amp;VAR:QUERY=RkZfRUJJVERBX0lCKCdMVE1TJywzOTI0NCk=&amp;WINDOW=FIRST_POPUP&amp;HEIGHT=450&amp;WIDTH=450&amp;START_MA","XIMIZED=FALSE&amp;VAR:CALENDAR=US&amp;VAR:SYMBOL=G0129K10&amp;VAR:INDEX=0"}</definedName>
    <definedName name="_8297__FDSAUDITLINK__" hidden="1">{"fdsup://directions/FAT Viewer?action=UPDATE&amp;creator=factset&amp;DYN_ARGS=TRUE&amp;DOC_NAME=FAT:FQL_AUDITING_CLIENT_TEMPLATE.FAT&amp;display_string=Audit&amp;VAR:KEY=XELWZCJKJU&amp;VAR:QUERY=RkZfRUJJVERBX0lCKCdMVE1TJywzOTI0NCk=&amp;WINDOW=FIRST_POPUP&amp;HEIGHT=450&amp;WIDTH=450&amp;START_MA","XIMIZED=FALSE&amp;VAR:CALENDAR=US&amp;VAR:SYMBOL=G0129K10&amp;VAR:INDEX=0"}</definedName>
    <definedName name="_8298__FDSAUDITLINK__" localSheetId="6" hidden="1">{"fdsup://directions/FAT Viewer?action=UPDATE&amp;creator=factset&amp;DYN_ARGS=TRUE&amp;DOC_NAME=FAT:FQL_AUDITING_CLIENT_TEMPLATE.FAT&amp;display_string=Audit&amp;VAR:KEY=FYHCTYNOJK&amp;VAR:QUERY=RkZfRUJJVERBX0lCKCdMVE1TJywzOTI0Myk=&amp;WINDOW=FIRST_POPUP&amp;HEIGHT=450&amp;WIDTH=450&amp;START_MA","XIMIZED=FALSE&amp;VAR:CALENDAR=US&amp;VAR:SYMBOL=G0129K10&amp;VAR:INDEX=0"}</definedName>
    <definedName name="_8298__FDSAUDITLINK__" hidden="1">{"fdsup://directions/FAT Viewer?action=UPDATE&amp;creator=factset&amp;DYN_ARGS=TRUE&amp;DOC_NAME=FAT:FQL_AUDITING_CLIENT_TEMPLATE.FAT&amp;display_string=Audit&amp;VAR:KEY=FYHCTYNOJK&amp;VAR:QUERY=RkZfRUJJVERBX0lCKCdMVE1TJywzOTI0Myk=&amp;WINDOW=FIRST_POPUP&amp;HEIGHT=450&amp;WIDTH=450&amp;START_MA","XIMIZED=FALSE&amp;VAR:CALENDAR=US&amp;VAR:SYMBOL=G0129K10&amp;VAR:INDEX=0"}</definedName>
    <definedName name="_8299__FDSAUDITLINK__" localSheetId="6" hidden="1">{"fdsup://directions/FAT Viewer?action=UPDATE&amp;creator=factset&amp;DYN_ARGS=TRUE&amp;DOC_NAME=FAT:FQL_AUDITING_CLIENT_TEMPLATE.FAT&amp;display_string=Audit&amp;VAR:KEY=JQPUPSLMTW&amp;VAR:QUERY=RkZfRUJJVERBX0lCKCdMVE1TJywzOTI0Mik=&amp;WINDOW=FIRST_POPUP&amp;HEIGHT=450&amp;WIDTH=450&amp;START_MA","XIMIZED=FALSE&amp;VAR:CALENDAR=US&amp;VAR:SYMBOL=G0129K10&amp;VAR:INDEX=0"}</definedName>
    <definedName name="_8299__FDSAUDITLINK__" hidden="1">{"fdsup://directions/FAT Viewer?action=UPDATE&amp;creator=factset&amp;DYN_ARGS=TRUE&amp;DOC_NAME=FAT:FQL_AUDITING_CLIENT_TEMPLATE.FAT&amp;display_string=Audit&amp;VAR:KEY=JQPUPSLMTW&amp;VAR:QUERY=RkZfRUJJVERBX0lCKCdMVE1TJywzOTI0Mik=&amp;WINDOW=FIRST_POPUP&amp;HEIGHT=450&amp;WIDTH=450&amp;START_MA","XIMIZED=FALSE&amp;VAR:CALENDAR=US&amp;VAR:SYMBOL=G0129K10&amp;VAR:INDEX=0"}</definedName>
    <definedName name="_83__FDSAUDITLINK__" localSheetId="6" hidden="1">{"fdsup://directions/FAT Viewer?action=UPDATE&amp;creator=factset&amp;DYN_ARGS=TRUE&amp;DOC_NAME=FAT:FQL_AUDITING_CLIENT_TEMPLATE.FAT&amp;display_string=Audit&amp;VAR:KEY=FOZQBKXWPU&amp;VAR:QUERY=QVZHKENTRl9ORVRfSU5DKEFOTiwwRlksLTZGWSxZKSkgLyAoQVZHKENTRl9BU1NFVFMoQU5OLDBGWSwtNkZZL","EZZKSkgLSBBVkcoQ1NGX0lOVEFORyhBTk4sMCwtNkZZLEZZKSkp&amp;WINDOW=FIRST_POPUP&amp;HEIGHT=450&amp;WIDTH=450&amp;START_MAXIMIZED=FALSE&amp;VAR:CALENDAR=US&amp;VAR:SYMBOL=B1S9KF"}</definedName>
    <definedName name="_83__FDSAUDITLINK__" hidden="1">{"fdsup://directions/FAT Viewer?action=UPDATE&amp;creator=factset&amp;DYN_ARGS=TRUE&amp;DOC_NAME=FAT:FQL_AUDITING_CLIENT_TEMPLATE.FAT&amp;display_string=Audit&amp;VAR:KEY=FOZQBKXWPU&amp;VAR:QUERY=QVZHKENTRl9ORVRfSU5DKEFOTiwwRlksLTZGWSxZKSkgLyAoQVZHKENTRl9BU1NFVFMoQU5OLDBGWSwtNkZZL","EZZKSkgLSBBVkcoQ1NGX0lOVEFORyhBTk4sMCwtNkZZLEZZKSkp&amp;WINDOW=FIRST_POPUP&amp;HEIGHT=450&amp;WIDTH=450&amp;START_MAXIMIZED=FALSE&amp;VAR:CALENDAR=US&amp;VAR:SYMBOL=B1S9KF"}</definedName>
    <definedName name="_830__FDSAUDITLINK__" localSheetId="6" hidden="1">{"fdsup://directions/FAT%20Viewer?VAR:PED=LTM&amp;VAR:AUDIT_MODE=SUMMARY&amp;VAR:PERIOD=FIXED&amp;VAR:AUDIT_ID=00000117&amp;VAR:DATE=20071114&amp;action=UPDATE&amp;creator=factset&amp;DOC_NAME=FAT:FMA_audit_SUMMARY.fat&amp;DISPLAY_STRING=Display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0__FDSAUDITLINK__" hidden="1">{"fdsup://directions/FAT%20Viewer?VAR:PED=LTM&amp;VAR:AUDIT_MODE=SUMMARY&amp;VAR:PERIOD=FIXED&amp;VAR:AUDIT_ID=00000117&amp;VAR:DATE=20071114&amp;action=UPDATE&amp;creator=factset&amp;DOC_NAME=FAT:FMA_audit_SUMMARY.fat&amp;DISPLAY_STRING=Display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00__FDSAUDITLINK__" localSheetId="6" hidden="1">{"fdsup://directions/FAT Viewer?action=UPDATE&amp;creator=factset&amp;DYN_ARGS=TRUE&amp;DOC_NAME=FAT:FQL_AUDITING_CLIENT_TEMPLATE.FAT&amp;display_string=Audit&amp;VAR:KEY=TWJERGJUDA&amp;VAR:QUERY=RkZfRUJJVERBX0lCKCdMVE1TJywzOTI0MSk=&amp;WINDOW=FIRST_POPUP&amp;HEIGHT=450&amp;WIDTH=450&amp;START_MA","XIMIZED=FALSE&amp;VAR:CALENDAR=US&amp;VAR:SYMBOL=G0129K10&amp;VAR:INDEX=0"}</definedName>
    <definedName name="_8300__FDSAUDITLINK__" hidden="1">{"fdsup://directions/FAT Viewer?action=UPDATE&amp;creator=factset&amp;DYN_ARGS=TRUE&amp;DOC_NAME=FAT:FQL_AUDITING_CLIENT_TEMPLATE.FAT&amp;display_string=Audit&amp;VAR:KEY=TWJERGJUDA&amp;VAR:QUERY=RkZfRUJJVERBX0lCKCdMVE1TJywzOTI0MSk=&amp;WINDOW=FIRST_POPUP&amp;HEIGHT=450&amp;WIDTH=450&amp;START_MA","XIMIZED=FALSE&amp;VAR:CALENDAR=US&amp;VAR:SYMBOL=G0129K10&amp;VAR:INDEX=0"}</definedName>
    <definedName name="_8301__FDSAUDITLINK__" localSheetId="6" hidden="1">{"fdsup://directions/FAT Viewer?action=UPDATE&amp;creator=factset&amp;DYN_ARGS=TRUE&amp;DOC_NAME=FAT:FQL_AUDITING_CLIENT_TEMPLATE.FAT&amp;display_string=Audit&amp;VAR:KEY=DSXSHUFKNA&amp;VAR:QUERY=RkZfRUJJVERBX0lCKCdMVE1TJywzOTI0MCk=&amp;WINDOW=FIRST_POPUP&amp;HEIGHT=450&amp;WIDTH=450&amp;START_MA","XIMIZED=FALSE&amp;VAR:CALENDAR=US&amp;VAR:SYMBOL=G0129K10&amp;VAR:INDEX=0"}</definedName>
    <definedName name="_8301__FDSAUDITLINK__" hidden="1">{"fdsup://directions/FAT Viewer?action=UPDATE&amp;creator=factset&amp;DYN_ARGS=TRUE&amp;DOC_NAME=FAT:FQL_AUDITING_CLIENT_TEMPLATE.FAT&amp;display_string=Audit&amp;VAR:KEY=DSXSHUFKNA&amp;VAR:QUERY=RkZfRUJJVERBX0lCKCdMVE1TJywzOTI0MCk=&amp;WINDOW=FIRST_POPUP&amp;HEIGHT=450&amp;WIDTH=450&amp;START_MA","XIMIZED=FALSE&amp;VAR:CALENDAR=US&amp;VAR:SYMBOL=G0129K10&amp;VAR:INDEX=0"}</definedName>
    <definedName name="_8302__FDSAUDITLINK__" localSheetId="6" hidden="1">{"fdsup://directions/FAT Viewer?action=UPDATE&amp;creator=factset&amp;DYN_ARGS=TRUE&amp;DOC_NAME=FAT:FQL_AUDITING_CLIENT_TEMPLATE.FAT&amp;display_string=Audit&amp;VAR:KEY=PMHQPCFEXQ&amp;VAR:QUERY=RkZfRUJJVERBX0lCKCdMVE1TJywzOTIzOSk=&amp;WINDOW=FIRST_POPUP&amp;HEIGHT=450&amp;WIDTH=450&amp;START_MA","XIMIZED=FALSE&amp;VAR:CALENDAR=US&amp;VAR:SYMBOL=G0129K10&amp;VAR:INDEX=0"}</definedName>
    <definedName name="_8302__FDSAUDITLINK__" hidden="1">{"fdsup://directions/FAT Viewer?action=UPDATE&amp;creator=factset&amp;DYN_ARGS=TRUE&amp;DOC_NAME=FAT:FQL_AUDITING_CLIENT_TEMPLATE.FAT&amp;display_string=Audit&amp;VAR:KEY=PMHQPCFEXQ&amp;VAR:QUERY=RkZfRUJJVERBX0lCKCdMVE1TJywzOTIzOSk=&amp;WINDOW=FIRST_POPUP&amp;HEIGHT=450&amp;WIDTH=450&amp;START_MA","XIMIZED=FALSE&amp;VAR:CALENDAR=US&amp;VAR:SYMBOL=G0129K10&amp;VAR:INDEX=0"}</definedName>
    <definedName name="_8303__FDSAUDITLINK__" localSheetId="6" hidden="1">{"fdsup://directions/FAT Viewer?action=UPDATE&amp;creator=factset&amp;DYN_ARGS=TRUE&amp;DOC_NAME=FAT:FQL_AUDITING_CLIENT_TEMPLATE.FAT&amp;display_string=Audit&amp;VAR:KEY=NEBWNCRCPS&amp;VAR:QUERY=RkZfRUJJVERBX0lCKCdMVE1TJywzOTIzOCk=&amp;WINDOW=FIRST_POPUP&amp;HEIGHT=450&amp;WIDTH=450&amp;START_MA","XIMIZED=FALSE&amp;VAR:CALENDAR=US&amp;VAR:SYMBOL=G0129K10&amp;VAR:INDEX=0"}</definedName>
    <definedName name="_8303__FDSAUDITLINK__" hidden="1">{"fdsup://directions/FAT Viewer?action=UPDATE&amp;creator=factset&amp;DYN_ARGS=TRUE&amp;DOC_NAME=FAT:FQL_AUDITING_CLIENT_TEMPLATE.FAT&amp;display_string=Audit&amp;VAR:KEY=NEBWNCRCPS&amp;VAR:QUERY=RkZfRUJJVERBX0lCKCdMVE1TJywzOTIzOCk=&amp;WINDOW=FIRST_POPUP&amp;HEIGHT=450&amp;WIDTH=450&amp;START_MA","XIMIZED=FALSE&amp;VAR:CALENDAR=US&amp;VAR:SYMBOL=G0129K10&amp;VAR:INDEX=0"}</definedName>
    <definedName name="_8304__FDSAUDITLINK__" localSheetId="6" hidden="1">{"fdsup://directions/FAT Viewer?action=UPDATE&amp;creator=factset&amp;DYN_ARGS=TRUE&amp;DOC_NAME=FAT:FQL_AUDITING_CLIENT_TEMPLATE.FAT&amp;display_string=Audit&amp;VAR:KEY=BGBMXKNSRG&amp;VAR:QUERY=RkZfRUJJVERBX0lCKCdMVE1TJywzOTIzNyk=&amp;WINDOW=FIRST_POPUP&amp;HEIGHT=450&amp;WIDTH=450&amp;START_MA","XIMIZED=FALSE&amp;VAR:CALENDAR=US&amp;VAR:SYMBOL=G0129K10&amp;VAR:INDEX=0"}</definedName>
    <definedName name="_8304__FDSAUDITLINK__" hidden="1">{"fdsup://directions/FAT Viewer?action=UPDATE&amp;creator=factset&amp;DYN_ARGS=TRUE&amp;DOC_NAME=FAT:FQL_AUDITING_CLIENT_TEMPLATE.FAT&amp;display_string=Audit&amp;VAR:KEY=BGBMXKNSRG&amp;VAR:QUERY=RkZfRUJJVERBX0lCKCdMVE1TJywzOTIzNyk=&amp;WINDOW=FIRST_POPUP&amp;HEIGHT=450&amp;WIDTH=450&amp;START_MA","XIMIZED=FALSE&amp;VAR:CALENDAR=US&amp;VAR:SYMBOL=G0129K10&amp;VAR:INDEX=0"}</definedName>
    <definedName name="_8305__FDSAUDITLINK__" localSheetId="6" hidden="1">{"fdsup://directions/FAT Viewer?action=UPDATE&amp;creator=factset&amp;DYN_ARGS=TRUE&amp;DOC_NAME=FAT:FQL_AUDITING_CLIENT_TEMPLATE.FAT&amp;display_string=Audit&amp;VAR:KEY=NKVOZCPUNO&amp;VAR:QUERY=RkZfRUJJVERBX0lCKCdMVE1TJywzOTIzNik=&amp;WINDOW=FIRST_POPUP&amp;HEIGHT=450&amp;WIDTH=450&amp;START_MA","XIMIZED=FALSE&amp;VAR:CALENDAR=US&amp;VAR:SYMBOL=G0129K10&amp;VAR:INDEX=0"}</definedName>
    <definedName name="_8305__FDSAUDITLINK__" hidden="1">{"fdsup://directions/FAT Viewer?action=UPDATE&amp;creator=factset&amp;DYN_ARGS=TRUE&amp;DOC_NAME=FAT:FQL_AUDITING_CLIENT_TEMPLATE.FAT&amp;display_string=Audit&amp;VAR:KEY=NKVOZCPUNO&amp;VAR:QUERY=RkZfRUJJVERBX0lCKCdMVE1TJywzOTIzNik=&amp;WINDOW=FIRST_POPUP&amp;HEIGHT=450&amp;WIDTH=450&amp;START_MA","XIMIZED=FALSE&amp;VAR:CALENDAR=US&amp;VAR:SYMBOL=G0129K10&amp;VAR:INDEX=0"}</definedName>
    <definedName name="_8306__FDSAUDITLINK__" localSheetId="6" hidden="1">{"fdsup://directions/FAT Viewer?action=UPDATE&amp;creator=factset&amp;DYN_ARGS=TRUE&amp;DOC_NAME=FAT:FQL_AUDITING_CLIENT_TEMPLATE.FAT&amp;display_string=Audit&amp;VAR:KEY=XYDIRERCVG&amp;VAR:QUERY=RkZfRUJJVERBX0lCKCdMVE1TJywzOTIzNSk=&amp;WINDOW=FIRST_POPUP&amp;HEIGHT=450&amp;WIDTH=450&amp;START_MA","XIMIZED=FALSE&amp;VAR:CALENDAR=US&amp;VAR:SYMBOL=G0129K10&amp;VAR:INDEX=0"}</definedName>
    <definedName name="_8306__FDSAUDITLINK__" hidden="1">{"fdsup://directions/FAT Viewer?action=UPDATE&amp;creator=factset&amp;DYN_ARGS=TRUE&amp;DOC_NAME=FAT:FQL_AUDITING_CLIENT_TEMPLATE.FAT&amp;display_string=Audit&amp;VAR:KEY=XYDIRERCVG&amp;VAR:QUERY=RkZfRUJJVERBX0lCKCdMVE1TJywzOTIzNSk=&amp;WINDOW=FIRST_POPUP&amp;HEIGHT=450&amp;WIDTH=450&amp;START_MA","XIMIZED=FALSE&amp;VAR:CALENDAR=US&amp;VAR:SYMBOL=G0129K10&amp;VAR:INDEX=0"}</definedName>
    <definedName name="_8307__FDSAUDITLINK__" localSheetId="6" hidden="1">{"fdsup://directions/FAT Viewer?action=UPDATE&amp;creator=factset&amp;DYN_ARGS=TRUE&amp;DOC_NAME=FAT:FQL_AUDITING_CLIENT_TEMPLATE.FAT&amp;display_string=Audit&amp;VAR:KEY=JYJGJEXMLY&amp;VAR:QUERY=RkZfRUJJVERBX0lCKCdMVE1TJywzOTIzNCk=&amp;WINDOW=FIRST_POPUP&amp;HEIGHT=450&amp;WIDTH=450&amp;START_MA","XIMIZED=FALSE&amp;VAR:CALENDAR=US&amp;VAR:SYMBOL=G0129K10&amp;VAR:INDEX=0"}</definedName>
    <definedName name="_8307__FDSAUDITLINK__" hidden="1">{"fdsup://directions/FAT Viewer?action=UPDATE&amp;creator=factset&amp;DYN_ARGS=TRUE&amp;DOC_NAME=FAT:FQL_AUDITING_CLIENT_TEMPLATE.FAT&amp;display_string=Audit&amp;VAR:KEY=JYJGJEXMLY&amp;VAR:QUERY=RkZfRUJJVERBX0lCKCdMVE1TJywzOTIzNCk=&amp;WINDOW=FIRST_POPUP&amp;HEIGHT=450&amp;WIDTH=450&amp;START_MA","XIMIZED=FALSE&amp;VAR:CALENDAR=US&amp;VAR:SYMBOL=G0129K10&amp;VAR:INDEX=0"}</definedName>
    <definedName name="_8308__FDSAUDITLINK__" localSheetId="6" hidden="1">{"fdsup://directions/FAT Viewer?action=UPDATE&amp;creator=factset&amp;DYN_ARGS=TRUE&amp;DOC_NAME=FAT:FQL_AUDITING_CLIENT_TEMPLATE.FAT&amp;display_string=Audit&amp;VAR:KEY=ZQVCNKLKVG&amp;VAR:QUERY=RkZfRUJJVERBX0lCKCdMVE1TJywzOTIzMyk=&amp;WINDOW=FIRST_POPUP&amp;HEIGHT=450&amp;WIDTH=450&amp;START_MA","XIMIZED=FALSE&amp;VAR:CALENDAR=US&amp;VAR:SYMBOL=G0129K10&amp;VAR:INDEX=0"}</definedName>
    <definedName name="_8308__FDSAUDITLINK__" hidden="1">{"fdsup://directions/FAT Viewer?action=UPDATE&amp;creator=factset&amp;DYN_ARGS=TRUE&amp;DOC_NAME=FAT:FQL_AUDITING_CLIENT_TEMPLATE.FAT&amp;display_string=Audit&amp;VAR:KEY=ZQVCNKLKVG&amp;VAR:QUERY=RkZfRUJJVERBX0lCKCdMVE1TJywzOTIzMyk=&amp;WINDOW=FIRST_POPUP&amp;HEIGHT=450&amp;WIDTH=450&amp;START_MA","XIMIZED=FALSE&amp;VAR:CALENDAR=US&amp;VAR:SYMBOL=G0129K10&amp;VAR:INDEX=0"}</definedName>
    <definedName name="_8309__FDSAUDITLINK__" localSheetId="6" hidden="1">{"fdsup://directions/FAT Viewer?action=UPDATE&amp;creator=factset&amp;DYN_ARGS=TRUE&amp;DOC_NAME=FAT:FQL_AUDITING_CLIENT_TEMPLATE.FAT&amp;display_string=Audit&amp;VAR:KEY=VWDEZMHULS&amp;VAR:QUERY=RkZfRUJJVERBX0lCKCdMVE1TJywzOTIzMik=&amp;WINDOW=FIRST_POPUP&amp;HEIGHT=450&amp;WIDTH=450&amp;START_MA","XIMIZED=FALSE&amp;VAR:CALENDAR=US&amp;VAR:SYMBOL=G0129K10&amp;VAR:INDEX=0"}</definedName>
    <definedName name="_8309__FDSAUDITLINK__" hidden="1">{"fdsup://directions/FAT Viewer?action=UPDATE&amp;creator=factset&amp;DYN_ARGS=TRUE&amp;DOC_NAME=FAT:FQL_AUDITING_CLIENT_TEMPLATE.FAT&amp;display_string=Audit&amp;VAR:KEY=VWDEZMHULS&amp;VAR:QUERY=RkZfRUJJVERBX0lCKCdMVE1TJywzOTIzMik=&amp;WINDOW=FIRST_POPUP&amp;HEIGHT=450&amp;WIDTH=450&amp;START_MA","XIMIZED=FALSE&amp;VAR:CALENDAR=US&amp;VAR:SYMBOL=G0129K10&amp;VAR:INDEX=0"}</definedName>
    <definedName name="_831__FDSAUDITLINK__" localSheetId="6" hidden="1">{"fdsup://directions/FAT%20Viewer?VAR:PED=LTM&amp;VAR:AUDIT_MODE=SUMMARY&amp;VAR:PERIOD=FIXED&amp;VAR:AUDIT_ID=00000117&amp;VAR:DATE=20071113&amp;action=UPDATE&amp;creator=factset&amp;DOC_NAME=FAT:FMA_audit_SUMMARY.fat&amp;DISPLAY_STRING=Display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1__FDSAUDITLINK__" hidden="1">{"fdsup://directions/FAT%20Viewer?VAR:PED=LTM&amp;VAR:AUDIT_MODE=SUMMARY&amp;VAR:PERIOD=FIXED&amp;VAR:AUDIT_ID=00000117&amp;VAR:DATE=20071113&amp;action=UPDATE&amp;creator=factset&amp;DOC_NAME=FAT:FMA_audit_SUMMARY.fat&amp;DISPLAY_STRING=Display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10__FDSAUDITLINK__" localSheetId="6" hidden="1">{"fdsup://directions/FAT Viewer?action=UPDATE&amp;creator=factset&amp;DYN_ARGS=TRUE&amp;DOC_NAME=FAT:FQL_AUDITING_CLIENT_TEMPLATE.FAT&amp;display_string=Audit&amp;VAR:KEY=TGROPCLAZW&amp;VAR:QUERY=RkZfRUJJVERBX0lCKCdMVE1TJywzOTIzMSk=&amp;WINDOW=FIRST_POPUP&amp;HEIGHT=450&amp;WIDTH=450&amp;START_MA","XIMIZED=FALSE&amp;VAR:CALENDAR=US&amp;VAR:SYMBOL=G0129K10&amp;VAR:INDEX=0"}</definedName>
    <definedName name="_8310__FDSAUDITLINK__" hidden="1">{"fdsup://directions/FAT Viewer?action=UPDATE&amp;creator=factset&amp;DYN_ARGS=TRUE&amp;DOC_NAME=FAT:FQL_AUDITING_CLIENT_TEMPLATE.FAT&amp;display_string=Audit&amp;VAR:KEY=TGROPCLAZW&amp;VAR:QUERY=RkZfRUJJVERBX0lCKCdMVE1TJywzOTIzMSk=&amp;WINDOW=FIRST_POPUP&amp;HEIGHT=450&amp;WIDTH=450&amp;START_MA","XIMIZED=FALSE&amp;VAR:CALENDAR=US&amp;VAR:SYMBOL=G0129K10&amp;VAR:INDEX=0"}</definedName>
    <definedName name="_8311__FDSAUDITLINK__" localSheetId="6" hidden="1">{"fdsup://directions/FAT Viewer?action=UPDATE&amp;creator=factset&amp;DYN_ARGS=TRUE&amp;DOC_NAME=FAT:FQL_AUDITING_CLIENT_TEMPLATE.FAT&amp;display_string=Audit&amp;VAR:KEY=DEJYJSDYVE&amp;VAR:QUERY=RkZfRUJJVERBX0lCKCdMVE1TJywzOTIzMCk=&amp;WINDOW=FIRST_POPUP&amp;HEIGHT=450&amp;WIDTH=450&amp;START_MA","XIMIZED=FALSE&amp;VAR:CALENDAR=US&amp;VAR:SYMBOL=G0129K10&amp;VAR:INDEX=0"}</definedName>
    <definedName name="_8311__FDSAUDITLINK__" hidden="1">{"fdsup://directions/FAT Viewer?action=UPDATE&amp;creator=factset&amp;DYN_ARGS=TRUE&amp;DOC_NAME=FAT:FQL_AUDITING_CLIENT_TEMPLATE.FAT&amp;display_string=Audit&amp;VAR:KEY=DEJYJSDYVE&amp;VAR:QUERY=RkZfRUJJVERBX0lCKCdMVE1TJywzOTIzMCk=&amp;WINDOW=FIRST_POPUP&amp;HEIGHT=450&amp;WIDTH=450&amp;START_MA","XIMIZED=FALSE&amp;VAR:CALENDAR=US&amp;VAR:SYMBOL=G0129K10&amp;VAR:INDEX=0"}</definedName>
    <definedName name="_8312__FDSAUDITLINK__" localSheetId="6" hidden="1">{"fdsup://directions/FAT Viewer?action=UPDATE&amp;creator=factset&amp;DYN_ARGS=TRUE&amp;DOC_NAME=FAT:FQL_AUDITING_CLIENT_TEMPLATE.FAT&amp;display_string=Audit&amp;VAR:KEY=VIPCPQLYXS&amp;VAR:QUERY=RkZfRUJJVERBX0lCKCdMVE1TJywzOTIyOSk=&amp;WINDOW=FIRST_POPUP&amp;HEIGHT=450&amp;WIDTH=450&amp;START_MA","XIMIZED=FALSE&amp;VAR:CALENDAR=US&amp;VAR:SYMBOL=G0129K10&amp;VAR:INDEX=0"}</definedName>
    <definedName name="_8312__FDSAUDITLINK__" hidden="1">{"fdsup://directions/FAT Viewer?action=UPDATE&amp;creator=factset&amp;DYN_ARGS=TRUE&amp;DOC_NAME=FAT:FQL_AUDITING_CLIENT_TEMPLATE.FAT&amp;display_string=Audit&amp;VAR:KEY=VIPCPQLYXS&amp;VAR:QUERY=RkZfRUJJVERBX0lCKCdMVE1TJywzOTIyOSk=&amp;WINDOW=FIRST_POPUP&amp;HEIGHT=450&amp;WIDTH=450&amp;START_MA","XIMIZED=FALSE&amp;VAR:CALENDAR=US&amp;VAR:SYMBOL=G0129K10&amp;VAR:INDEX=0"}</definedName>
    <definedName name="_8313__FDSAUDITLINK__" localSheetId="6" hidden="1">{"fdsup://directions/FAT Viewer?action=UPDATE&amp;creator=factset&amp;DYN_ARGS=TRUE&amp;DOC_NAME=FAT:FQL_AUDITING_CLIENT_TEMPLATE.FAT&amp;display_string=Audit&amp;VAR:KEY=BKLOTONSNU&amp;VAR:QUERY=RkZfRUJJVERBX0lCKCdMVE1TJywzOTIyOCk=&amp;WINDOW=FIRST_POPUP&amp;HEIGHT=450&amp;WIDTH=450&amp;START_MA","XIMIZED=FALSE&amp;VAR:CALENDAR=US&amp;VAR:SYMBOL=G0129K10&amp;VAR:INDEX=0"}</definedName>
    <definedName name="_8313__FDSAUDITLINK__" hidden="1">{"fdsup://directions/FAT Viewer?action=UPDATE&amp;creator=factset&amp;DYN_ARGS=TRUE&amp;DOC_NAME=FAT:FQL_AUDITING_CLIENT_TEMPLATE.FAT&amp;display_string=Audit&amp;VAR:KEY=BKLOTONSNU&amp;VAR:QUERY=RkZfRUJJVERBX0lCKCdMVE1TJywzOTIyOCk=&amp;WINDOW=FIRST_POPUP&amp;HEIGHT=450&amp;WIDTH=450&amp;START_MA","XIMIZED=FALSE&amp;VAR:CALENDAR=US&amp;VAR:SYMBOL=G0129K10&amp;VAR:INDEX=0"}</definedName>
    <definedName name="_8314__FDSAUDITLINK__" localSheetId="6" hidden="1">{"fdsup://directions/FAT Viewer?action=UPDATE&amp;creator=factset&amp;DYN_ARGS=TRUE&amp;DOC_NAME=FAT:FQL_AUDITING_CLIENT_TEMPLATE.FAT&amp;display_string=Audit&amp;VAR:KEY=LMDOXODGLS&amp;VAR:QUERY=RkZfRUJJVERBX0lCKCdMVE1TJywzOTIyNyk=&amp;WINDOW=FIRST_POPUP&amp;HEIGHT=450&amp;WIDTH=450&amp;START_MA","XIMIZED=FALSE&amp;VAR:CALENDAR=US&amp;VAR:SYMBOL=G0129K10&amp;VAR:INDEX=0"}</definedName>
    <definedName name="_8314__FDSAUDITLINK__" hidden="1">{"fdsup://directions/FAT Viewer?action=UPDATE&amp;creator=factset&amp;DYN_ARGS=TRUE&amp;DOC_NAME=FAT:FQL_AUDITING_CLIENT_TEMPLATE.FAT&amp;display_string=Audit&amp;VAR:KEY=LMDOXODGLS&amp;VAR:QUERY=RkZfRUJJVERBX0lCKCdMVE1TJywzOTIyNyk=&amp;WINDOW=FIRST_POPUP&amp;HEIGHT=450&amp;WIDTH=450&amp;START_MA","XIMIZED=FALSE&amp;VAR:CALENDAR=US&amp;VAR:SYMBOL=G0129K10&amp;VAR:INDEX=0"}</definedName>
    <definedName name="_8315__FDSAUDITLINK__" localSheetId="6" hidden="1">{"fdsup://directions/FAT Viewer?action=UPDATE&amp;creator=factset&amp;DYN_ARGS=TRUE&amp;DOC_NAME=FAT:FQL_AUDITING_CLIENT_TEMPLATE.FAT&amp;display_string=Audit&amp;VAR:KEY=XQVWNYXSDM&amp;VAR:QUERY=RkZfRUJJVERBX0lCKCdMVE1TJywzOTIyNik=&amp;WINDOW=FIRST_POPUP&amp;HEIGHT=450&amp;WIDTH=450&amp;START_MA","XIMIZED=FALSE&amp;VAR:CALENDAR=US&amp;VAR:SYMBOL=G0129K10&amp;VAR:INDEX=0"}</definedName>
    <definedName name="_8315__FDSAUDITLINK__" hidden="1">{"fdsup://directions/FAT Viewer?action=UPDATE&amp;creator=factset&amp;DYN_ARGS=TRUE&amp;DOC_NAME=FAT:FQL_AUDITING_CLIENT_TEMPLATE.FAT&amp;display_string=Audit&amp;VAR:KEY=XQVWNYXSDM&amp;VAR:QUERY=RkZfRUJJVERBX0lCKCdMVE1TJywzOTIyNik=&amp;WINDOW=FIRST_POPUP&amp;HEIGHT=450&amp;WIDTH=450&amp;START_MA","XIMIZED=FALSE&amp;VAR:CALENDAR=US&amp;VAR:SYMBOL=G0129K10&amp;VAR:INDEX=0"}</definedName>
    <definedName name="_8316__FDSAUDITLINK__" localSheetId="6" hidden="1">{"fdsup://directions/FAT Viewer?action=UPDATE&amp;creator=factset&amp;DYN_ARGS=TRUE&amp;DOC_NAME=FAT:FQL_AUDITING_CLIENT_TEMPLATE.FAT&amp;display_string=Audit&amp;VAR:KEY=XAHSLYBIJW&amp;VAR:QUERY=RkZfRUJJVERBX0lCKCdMVE1TJywzOTIyNSk=&amp;WINDOW=FIRST_POPUP&amp;HEIGHT=450&amp;WIDTH=450&amp;START_MA","XIMIZED=FALSE&amp;VAR:CALENDAR=US&amp;VAR:SYMBOL=G0129K10&amp;VAR:INDEX=0"}</definedName>
    <definedName name="_8316__FDSAUDITLINK__" hidden="1">{"fdsup://directions/FAT Viewer?action=UPDATE&amp;creator=factset&amp;DYN_ARGS=TRUE&amp;DOC_NAME=FAT:FQL_AUDITING_CLIENT_TEMPLATE.FAT&amp;display_string=Audit&amp;VAR:KEY=XAHSLYBIJW&amp;VAR:QUERY=RkZfRUJJVERBX0lCKCdMVE1TJywzOTIyNSk=&amp;WINDOW=FIRST_POPUP&amp;HEIGHT=450&amp;WIDTH=450&amp;START_MA","XIMIZED=FALSE&amp;VAR:CALENDAR=US&amp;VAR:SYMBOL=G0129K10&amp;VAR:INDEX=0"}</definedName>
    <definedName name="_8317__FDSAUDITLINK__" localSheetId="6" hidden="1">{"fdsup://directions/FAT Viewer?action=UPDATE&amp;creator=factset&amp;DYN_ARGS=TRUE&amp;DOC_NAME=FAT:FQL_AUDITING_CLIENT_TEMPLATE.FAT&amp;display_string=Audit&amp;VAR:KEY=VYBKTWNKBE&amp;VAR:QUERY=RkZfRUJJVERBX0lCKCdMVE1TJywzOTIyNCk=&amp;WINDOW=FIRST_POPUP&amp;HEIGHT=450&amp;WIDTH=450&amp;START_MA","XIMIZED=FALSE&amp;VAR:CALENDAR=US&amp;VAR:SYMBOL=G0129K10&amp;VAR:INDEX=0"}</definedName>
    <definedName name="_8317__FDSAUDITLINK__" hidden="1">{"fdsup://directions/FAT Viewer?action=UPDATE&amp;creator=factset&amp;DYN_ARGS=TRUE&amp;DOC_NAME=FAT:FQL_AUDITING_CLIENT_TEMPLATE.FAT&amp;display_string=Audit&amp;VAR:KEY=VYBKTWNKBE&amp;VAR:QUERY=RkZfRUJJVERBX0lCKCdMVE1TJywzOTIyNCk=&amp;WINDOW=FIRST_POPUP&amp;HEIGHT=450&amp;WIDTH=450&amp;START_MA","XIMIZED=FALSE&amp;VAR:CALENDAR=US&amp;VAR:SYMBOL=G0129K10&amp;VAR:INDEX=0"}</definedName>
    <definedName name="_8318__FDSAUDITLINK__" localSheetId="6" hidden="1">{"fdsup://directions/FAT Viewer?action=UPDATE&amp;creator=factset&amp;DYN_ARGS=TRUE&amp;DOC_NAME=FAT:FQL_AUDITING_CLIENT_TEMPLATE.FAT&amp;display_string=Audit&amp;VAR:KEY=HSLEPELKVK&amp;VAR:QUERY=RkZfRUJJVERBX0lCKCdMVE1TJywzOTIyMyk=&amp;WINDOW=FIRST_POPUP&amp;HEIGHT=450&amp;WIDTH=450&amp;START_MA","XIMIZED=FALSE&amp;VAR:CALENDAR=US&amp;VAR:SYMBOL=G0129K10&amp;VAR:INDEX=0"}</definedName>
    <definedName name="_8318__FDSAUDITLINK__" hidden="1">{"fdsup://directions/FAT Viewer?action=UPDATE&amp;creator=factset&amp;DYN_ARGS=TRUE&amp;DOC_NAME=FAT:FQL_AUDITING_CLIENT_TEMPLATE.FAT&amp;display_string=Audit&amp;VAR:KEY=HSLEPELKVK&amp;VAR:QUERY=RkZfRUJJVERBX0lCKCdMVE1TJywzOTIyMyk=&amp;WINDOW=FIRST_POPUP&amp;HEIGHT=450&amp;WIDTH=450&amp;START_MA","XIMIZED=FALSE&amp;VAR:CALENDAR=US&amp;VAR:SYMBOL=G0129K10&amp;VAR:INDEX=0"}</definedName>
    <definedName name="_8319__FDSAUDITLINK__" localSheetId="6" hidden="1">{"fdsup://directions/FAT Viewer?action=UPDATE&amp;creator=factset&amp;DYN_ARGS=TRUE&amp;DOC_NAME=FAT:FQL_AUDITING_CLIENT_TEMPLATE.FAT&amp;display_string=Audit&amp;VAR:KEY=TOXKNYJOLE&amp;VAR:QUERY=RkZfRUJJVERBX0lCKCdMVE1TJywzOTIyMik=&amp;WINDOW=FIRST_POPUP&amp;HEIGHT=450&amp;WIDTH=450&amp;START_MA","XIMIZED=FALSE&amp;VAR:CALENDAR=US&amp;VAR:SYMBOL=G0129K10&amp;VAR:INDEX=0"}</definedName>
    <definedName name="_8319__FDSAUDITLINK__" hidden="1">{"fdsup://directions/FAT Viewer?action=UPDATE&amp;creator=factset&amp;DYN_ARGS=TRUE&amp;DOC_NAME=FAT:FQL_AUDITING_CLIENT_TEMPLATE.FAT&amp;display_string=Audit&amp;VAR:KEY=TOXKNYJOLE&amp;VAR:QUERY=RkZfRUJJVERBX0lCKCdMVE1TJywzOTIyMik=&amp;WINDOW=FIRST_POPUP&amp;HEIGHT=450&amp;WIDTH=450&amp;START_MA","XIMIZED=FALSE&amp;VAR:CALENDAR=US&amp;VAR:SYMBOL=G0129K10&amp;VAR:INDEX=0"}</definedName>
    <definedName name="_832__FDSAUDITLINK__" localSheetId="6" hidden="1">{"fdsup://directions/FAT%20Viewer?VAR:PED=LTM&amp;VAR:AUDIT_MODE=SUMMARY&amp;VAR:PERIOD=FIXED&amp;VAR:AUDIT_ID=00000117&amp;VAR:DATE=20071112&amp;action=UPDATE&amp;creator=factset&amp;DOC_NAME=FAT:FMA_audit_SUMMARY.fat&amp;DISPLAY_STRING=Display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2__FDSAUDITLINK__" hidden="1">{"fdsup://directions/FAT%20Viewer?VAR:PED=LTM&amp;VAR:AUDIT_MODE=SUMMARY&amp;VAR:PERIOD=FIXED&amp;VAR:AUDIT_ID=00000117&amp;VAR:DATE=20071112&amp;action=UPDATE&amp;creator=factset&amp;DOC_NAME=FAT:FMA_audit_SUMMARY.fat&amp;DISPLAY_STRING=Display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20__FDSAUDITLINK__" localSheetId="6" hidden="1">{"fdsup://directions/FAT Viewer?action=UPDATE&amp;creator=factset&amp;DYN_ARGS=TRUE&amp;DOC_NAME=FAT:FQL_AUDITING_CLIENT_TEMPLATE.FAT&amp;display_string=Audit&amp;VAR:KEY=RGLAVILQJK&amp;VAR:QUERY=RkZfRUJJVERBX0lCKCdMVE1TJywzOTIyMSk=&amp;WINDOW=FIRST_POPUP&amp;HEIGHT=450&amp;WIDTH=450&amp;START_MA","XIMIZED=FALSE&amp;VAR:CALENDAR=US&amp;VAR:SYMBOL=G0129K10&amp;VAR:INDEX=0"}</definedName>
    <definedName name="_8320__FDSAUDITLINK__" hidden="1">{"fdsup://directions/FAT Viewer?action=UPDATE&amp;creator=factset&amp;DYN_ARGS=TRUE&amp;DOC_NAME=FAT:FQL_AUDITING_CLIENT_TEMPLATE.FAT&amp;display_string=Audit&amp;VAR:KEY=RGLAVILQJK&amp;VAR:QUERY=RkZfRUJJVERBX0lCKCdMVE1TJywzOTIyMSk=&amp;WINDOW=FIRST_POPUP&amp;HEIGHT=450&amp;WIDTH=450&amp;START_MA","XIMIZED=FALSE&amp;VAR:CALENDAR=US&amp;VAR:SYMBOL=G0129K10&amp;VAR:INDEX=0"}</definedName>
    <definedName name="_8321__FDSAUDITLINK__" localSheetId="6" hidden="1">{"fdsup://directions/FAT Viewer?action=UPDATE&amp;creator=factset&amp;DYN_ARGS=TRUE&amp;DOC_NAME=FAT:FQL_AUDITING_CLIENT_TEMPLATE.FAT&amp;display_string=Audit&amp;VAR:KEY=DSLQZQJWDM&amp;VAR:QUERY=RkZfRUJJVERBX0lCKCdMVE1TJywzOTIyMCk=&amp;WINDOW=FIRST_POPUP&amp;HEIGHT=450&amp;WIDTH=450&amp;START_MA","XIMIZED=FALSE&amp;VAR:CALENDAR=US&amp;VAR:SYMBOL=G0129K10&amp;VAR:INDEX=0"}</definedName>
    <definedName name="_8321__FDSAUDITLINK__" hidden="1">{"fdsup://directions/FAT Viewer?action=UPDATE&amp;creator=factset&amp;DYN_ARGS=TRUE&amp;DOC_NAME=FAT:FQL_AUDITING_CLIENT_TEMPLATE.FAT&amp;display_string=Audit&amp;VAR:KEY=DSLQZQJWDM&amp;VAR:QUERY=RkZfRUJJVERBX0lCKCdMVE1TJywzOTIyMCk=&amp;WINDOW=FIRST_POPUP&amp;HEIGHT=450&amp;WIDTH=450&amp;START_MA","XIMIZED=FALSE&amp;VAR:CALENDAR=US&amp;VAR:SYMBOL=G0129K10&amp;VAR:INDEX=0"}</definedName>
    <definedName name="_8322__FDSAUDITLINK__" localSheetId="6" hidden="1">{"fdsup://directions/FAT Viewer?action=UPDATE&amp;creator=factset&amp;DYN_ARGS=TRUE&amp;DOC_NAME=FAT:FQL_AUDITING_CLIENT_TEMPLATE.FAT&amp;display_string=Audit&amp;VAR:KEY=VANWVIHITY&amp;VAR:QUERY=RkZfRUJJVERBX0lCKCdMVE1TJywzOTIxOSk=&amp;WINDOW=FIRST_POPUP&amp;HEIGHT=450&amp;WIDTH=450&amp;START_MA","XIMIZED=FALSE&amp;VAR:CALENDAR=US&amp;VAR:SYMBOL=G0129K10&amp;VAR:INDEX=0"}</definedName>
    <definedName name="_8322__FDSAUDITLINK__" hidden="1">{"fdsup://directions/FAT Viewer?action=UPDATE&amp;creator=factset&amp;DYN_ARGS=TRUE&amp;DOC_NAME=FAT:FQL_AUDITING_CLIENT_TEMPLATE.FAT&amp;display_string=Audit&amp;VAR:KEY=VANWVIHITY&amp;VAR:QUERY=RkZfRUJJVERBX0lCKCdMVE1TJywzOTIxOSk=&amp;WINDOW=FIRST_POPUP&amp;HEIGHT=450&amp;WIDTH=450&amp;START_MA","XIMIZED=FALSE&amp;VAR:CALENDAR=US&amp;VAR:SYMBOL=G0129K10&amp;VAR:INDEX=0"}</definedName>
    <definedName name="_8323__FDSAUDITLINK__" localSheetId="6" hidden="1">{"fdsup://directions/FAT Viewer?action=UPDATE&amp;creator=factset&amp;DYN_ARGS=TRUE&amp;DOC_NAME=FAT:FQL_AUDITING_CLIENT_TEMPLATE.FAT&amp;display_string=Audit&amp;VAR:KEY=VGBWRKBQNG&amp;VAR:QUERY=RkZfRUJJVERBX0lCKCdMVE1TJywzOTIxOCk=&amp;WINDOW=FIRST_POPUP&amp;HEIGHT=450&amp;WIDTH=450&amp;START_MA","XIMIZED=FALSE&amp;VAR:CALENDAR=US&amp;VAR:SYMBOL=G0129K10&amp;VAR:INDEX=0"}</definedName>
    <definedName name="_8323__FDSAUDITLINK__" hidden="1">{"fdsup://directions/FAT Viewer?action=UPDATE&amp;creator=factset&amp;DYN_ARGS=TRUE&amp;DOC_NAME=FAT:FQL_AUDITING_CLIENT_TEMPLATE.FAT&amp;display_string=Audit&amp;VAR:KEY=VGBWRKBQNG&amp;VAR:QUERY=RkZfRUJJVERBX0lCKCdMVE1TJywzOTIxOCk=&amp;WINDOW=FIRST_POPUP&amp;HEIGHT=450&amp;WIDTH=450&amp;START_MA","XIMIZED=FALSE&amp;VAR:CALENDAR=US&amp;VAR:SYMBOL=G0129K10&amp;VAR:INDEX=0"}</definedName>
    <definedName name="_8324__FDSAUDITLINK__" localSheetId="6" hidden="1">{"fdsup://directions/FAT Viewer?action=UPDATE&amp;creator=factset&amp;DYN_ARGS=TRUE&amp;DOC_NAME=FAT:FQL_AUDITING_CLIENT_TEMPLATE.FAT&amp;display_string=Audit&amp;VAR:KEY=XWJULUJIJU&amp;VAR:QUERY=RkZfRUJJVERBX0lCKCdMVE1TJywzOTIxNyk=&amp;WINDOW=FIRST_POPUP&amp;HEIGHT=450&amp;WIDTH=450&amp;START_MA","XIMIZED=FALSE&amp;VAR:CALENDAR=US&amp;VAR:SYMBOL=G0129K10&amp;VAR:INDEX=0"}</definedName>
    <definedName name="_8324__FDSAUDITLINK__" hidden="1">{"fdsup://directions/FAT Viewer?action=UPDATE&amp;creator=factset&amp;DYN_ARGS=TRUE&amp;DOC_NAME=FAT:FQL_AUDITING_CLIENT_TEMPLATE.FAT&amp;display_string=Audit&amp;VAR:KEY=XWJULUJIJU&amp;VAR:QUERY=RkZfRUJJVERBX0lCKCdMVE1TJywzOTIxNyk=&amp;WINDOW=FIRST_POPUP&amp;HEIGHT=450&amp;WIDTH=450&amp;START_MA","XIMIZED=FALSE&amp;VAR:CALENDAR=US&amp;VAR:SYMBOL=G0129K10&amp;VAR:INDEX=0"}</definedName>
    <definedName name="_8325__FDSAUDITLINK__" localSheetId="6" hidden="1">{"fdsup://directions/FAT Viewer?action=UPDATE&amp;creator=factset&amp;DYN_ARGS=TRUE&amp;DOC_NAME=FAT:FQL_AUDITING_CLIENT_TEMPLATE.FAT&amp;display_string=Audit&amp;VAR:KEY=ZMROTIZGNW&amp;VAR:QUERY=RkZfRUJJVERBX0lCKCdMVE1TJywzOTIxNik=&amp;WINDOW=FIRST_POPUP&amp;HEIGHT=450&amp;WIDTH=450&amp;START_MA","XIMIZED=FALSE&amp;VAR:CALENDAR=US&amp;VAR:SYMBOL=G0129K10&amp;VAR:INDEX=0"}</definedName>
    <definedName name="_8325__FDSAUDITLINK__" hidden="1">{"fdsup://directions/FAT Viewer?action=UPDATE&amp;creator=factset&amp;DYN_ARGS=TRUE&amp;DOC_NAME=FAT:FQL_AUDITING_CLIENT_TEMPLATE.FAT&amp;display_string=Audit&amp;VAR:KEY=ZMROTIZGNW&amp;VAR:QUERY=RkZfRUJJVERBX0lCKCdMVE1TJywzOTIxNik=&amp;WINDOW=FIRST_POPUP&amp;HEIGHT=450&amp;WIDTH=450&amp;START_MA","XIMIZED=FALSE&amp;VAR:CALENDAR=US&amp;VAR:SYMBOL=G0129K10&amp;VAR:INDEX=0"}</definedName>
    <definedName name="_8326__FDSAUDITLINK__" localSheetId="6" hidden="1">{"fdsup://directions/FAT Viewer?action=UPDATE&amp;creator=factset&amp;DYN_ARGS=TRUE&amp;DOC_NAME=FAT:FQL_AUDITING_CLIENT_TEMPLATE.FAT&amp;display_string=Audit&amp;VAR:KEY=TKTALIXKTA&amp;VAR:QUERY=RkZfRUJJVERBX0lCKCdMVE1TJywzOTIxNSk=&amp;WINDOW=FIRST_POPUP&amp;HEIGHT=450&amp;WIDTH=450&amp;START_MA","XIMIZED=FALSE&amp;VAR:CALENDAR=US&amp;VAR:SYMBOL=G0129K10&amp;VAR:INDEX=0"}</definedName>
    <definedName name="_8326__FDSAUDITLINK__" hidden="1">{"fdsup://directions/FAT Viewer?action=UPDATE&amp;creator=factset&amp;DYN_ARGS=TRUE&amp;DOC_NAME=FAT:FQL_AUDITING_CLIENT_TEMPLATE.FAT&amp;display_string=Audit&amp;VAR:KEY=TKTALIXKTA&amp;VAR:QUERY=RkZfRUJJVERBX0lCKCdMVE1TJywzOTIxNSk=&amp;WINDOW=FIRST_POPUP&amp;HEIGHT=450&amp;WIDTH=450&amp;START_MA","XIMIZED=FALSE&amp;VAR:CALENDAR=US&amp;VAR:SYMBOL=G0129K10&amp;VAR:INDEX=0"}</definedName>
    <definedName name="_8327__FDSAUDITLINK__" localSheetId="6" hidden="1">{"fdsup://directions/FAT Viewer?action=UPDATE&amp;creator=factset&amp;DYN_ARGS=TRUE&amp;DOC_NAME=FAT:FQL_AUDITING_CLIENT_TEMPLATE.FAT&amp;display_string=Audit&amp;VAR:KEY=JCZILALYZU&amp;VAR:QUERY=RkZfRUJJVERBX0lCKCdMVE1TJywzOTIxNCk=&amp;WINDOW=FIRST_POPUP&amp;HEIGHT=450&amp;WIDTH=450&amp;START_MA","XIMIZED=FALSE&amp;VAR:CALENDAR=US&amp;VAR:SYMBOL=G0129K10&amp;VAR:INDEX=0"}</definedName>
    <definedName name="_8327__FDSAUDITLINK__" hidden="1">{"fdsup://directions/FAT Viewer?action=UPDATE&amp;creator=factset&amp;DYN_ARGS=TRUE&amp;DOC_NAME=FAT:FQL_AUDITING_CLIENT_TEMPLATE.FAT&amp;display_string=Audit&amp;VAR:KEY=JCZILALYZU&amp;VAR:QUERY=RkZfRUJJVERBX0lCKCdMVE1TJywzOTIxNCk=&amp;WINDOW=FIRST_POPUP&amp;HEIGHT=450&amp;WIDTH=450&amp;START_MA","XIMIZED=FALSE&amp;VAR:CALENDAR=US&amp;VAR:SYMBOL=G0129K10&amp;VAR:INDEX=0"}</definedName>
    <definedName name="_8328__FDSAUDITLINK__" localSheetId="6" hidden="1">{"fdsup://directions/FAT Viewer?action=UPDATE&amp;creator=factset&amp;DYN_ARGS=TRUE&amp;DOC_NAME=FAT:FQL_AUDITING_CLIENT_TEMPLATE.FAT&amp;display_string=Audit&amp;VAR:KEY=NUJAVCDABQ&amp;VAR:QUERY=RkZfRUJJVERBX0lCKCdMVE1TJywzOTIxMyk=&amp;WINDOW=FIRST_POPUP&amp;HEIGHT=450&amp;WIDTH=450&amp;START_MA","XIMIZED=FALSE&amp;VAR:CALENDAR=US&amp;VAR:SYMBOL=G0129K10&amp;VAR:INDEX=0"}</definedName>
    <definedName name="_8328__FDSAUDITLINK__" hidden="1">{"fdsup://directions/FAT Viewer?action=UPDATE&amp;creator=factset&amp;DYN_ARGS=TRUE&amp;DOC_NAME=FAT:FQL_AUDITING_CLIENT_TEMPLATE.FAT&amp;display_string=Audit&amp;VAR:KEY=NUJAVCDABQ&amp;VAR:QUERY=RkZfRUJJVERBX0lCKCdMVE1TJywzOTIxMyk=&amp;WINDOW=FIRST_POPUP&amp;HEIGHT=450&amp;WIDTH=450&amp;START_MA","XIMIZED=FALSE&amp;VAR:CALENDAR=US&amp;VAR:SYMBOL=G0129K10&amp;VAR:INDEX=0"}</definedName>
    <definedName name="_8329__FDSAUDITLINK__" localSheetId="6" hidden="1">{"fdsup://directions/FAT Viewer?action=UPDATE&amp;creator=factset&amp;DYN_ARGS=TRUE&amp;DOC_NAME=FAT:FQL_AUDITING_CLIENT_TEMPLATE.FAT&amp;display_string=Audit&amp;VAR:KEY=LGNWZIZAVS&amp;VAR:QUERY=RkZfRUJJVERBX0lCKCdMVE1TJywzOTIxMik=&amp;WINDOW=FIRST_POPUP&amp;HEIGHT=450&amp;WIDTH=450&amp;START_MA","XIMIZED=FALSE&amp;VAR:CALENDAR=US&amp;VAR:SYMBOL=G0129K10&amp;VAR:INDEX=0"}</definedName>
    <definedName name="_8329__FDSAUDITLINK__" hidden="1">{"fdsup://directions/FAT Viewer?action=UPDATE&amp;creator=factset&amp;DYN_ARGS=TRUE&amp;DOC_NAME=FAT:FQL_AUDITING_CLIENT_TEMPLATE.FAT&amp;display_string=Audit&amp;VAR:KEY=LGNWZIZAVS&amp;VAR:QUERY=RkZfRUJJVERBX0lCKCdMVE1TJywzOTIxMik=&amp;WINDOW=FIRST_POPUP&amp;HEIGHT=450&amp;WIDTH=450&amp;START_MA","XIMIZED=FALSE&amp;VAR:CALENDAR=US&amp;VAR:SYMBOL=G0129K10&amp;VAR:INDEX=0"}</definedName>
    <definedName name="_833__FDSAUDITLINK__" localSheetId="6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3__FDSAUDITLINK__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30__FDSAUDITLINK__" localSheetId="6" hidden="1">{"fdsup://directions/FAT Viewer?action=UPDATE&amp;creator=factset&amp;DYN_ARGS=TRUE&amp;DOC_NAME=FAT:FQL_AUDITING_CLIENT_TEMPLATE.FAT&amp;display_string=Audit&amp;VAR:KEY=BEDMXWTENU&amp;VAR:QUERY=RkZfRUJJVERBX0lCKCdMVE1TJywzOTIxMSk=&amp;WINDOW=FIRST_POPUP&amp;HEIGHT=450&amp;WIDTH=450&amp;START_MA","XIMIZED=FALSE&amp;VAR:CALENDAR=US&amp;VAR:SYMBOL=G0129K10&amp;VAR:INDEX=0"}</definedName>
    <definedName name="_8330__FDSAUDITLINK__" hidden="1">{"fdsup://directions/FAT Viewer?action=UPDATE&amp;creator=factset&amp;DYN_ARGS=TRUE&amp;DOC_NAME=FAT:FQL_AUDITING_CLIENT_TEMPLATE.FAT&amp;display_string=Audit&amp;VAR:KEY=BEDMXWTENU&amp;VAR:QUERY=RkZfRUJJVERBX0lCKCdMVE1TJywzOTIxMSk=&amp;WINDOW=FIRST_POPUP&amp;HEIGHT=450&amp;WIDTH=450&amp;START_MA","XIMIZED=FALSE&amp;VAR:CALENDAR=US&amp;VAR:SYMBOL=G0129K10&amp;VAR:INDEX=0"}</definedName>
    <definedName name="_8331__FDSAUDITLINK__" localSheetId="6" hidden="1">{"fdsup://directions/FAT Viewer?action=UPDATE&amp;creator=factset&amp;DYN_ARGS=TRUE&amp;DOC_NAME=FAT:FQL_AUDITING_CLIENT_TEMPLATE.FAT&amp;display_string=Audit&amp;VAR:KEY=NMLEXOJIPY&amp;VAR:QUERY=RkZfRUJJVERBX0lCKCdMVE1TJywzOTIxMCk=&amp;WINDOW=FIRST_POPUP&amp;HEIGHT=450&amp;WIDTH=450&amp;START_MA","XIMIZED=FALSE&amp;VAR:CALENDAR=US&amp;VAR:SYMBOL=G0129K10&amp;VAR:INDEX=0"}</definedName>
    <definedName name="_8331__FDSAUDITLINK__" hidden="1">{"fdsup://directions/FAT Viewer?action=UPDATE&amp;creator=factset&amp;DYN_ARGS=TRUE&amp;DOC_NAME=FAT:FQL_AUDITING_CLIENT_TEMPLATE.FAT&amp;display_string=Audit&amp;VAR:KEY=NMLEXOJIPY&amp;VAR:QUERY=RkZfRUJJVERBX0lCKCdMVE1TJywzOTIxMCk=&amp;WINDOW=FIRST_POPUP&amp;HEIGHT=450&amp;WIDTH=450&amp;START_MA","XIMIZED=FALSE&amp;VAR:CALENDAR=US&amp;VAR:SYMBOL=G0129K10&amp;VAR:INDEX=0"}</definedName>
    <definedName name="_8332__FDSAUDITLINK__" localSheetId="6" hidden="1">{"fdsup://directions/FAT Viewer?action=UPDATE&amp;creator=factset&amp;DYN_ARGS=TRUE&amp;DOC_NAME=FAT:FQL_AUDITING_CLIENT_TEMPLATE.FAT&amp;display_string=Audit&amp;VAR:KEY=RUVGNCFOBE&amp;VAR:QUERY=RkZfRUJJVERBX0lCKCdMVE1TJywzOTIwOSk=&amp;WINDOW=FIRST_POPUP&amp;HEIGHT=450&amp;WIDTH=450&amp;START_MA","XIMIZED=FALSE&amp;VAR:CALENDAR=US&amp;VAR:SYMBOL=G0129K10&amp;VAR:INDEX=0"}</definedName>
    <definedName name="_8332__FDSAUDITLINK__" hidden="1">{"fdsup://directions/FAT Viewer?action=UPDATE&amp;creator=factset&amp;DYN_ARGS=TRUE&amp;DOC_NAME=FAT:FQL_AUDITING_CLIENT_TEMPLATE.FAT&amp;display_string=Audit&amp;VAR:KEY=RUVGNCFOBE&amp;VAR:QUERY=RkZfRUJJVERBX0lCKCdMVE1TJywzOTIwOSk=&amp;WINDOW=FIRST_POPUP&amp;HEIGHT=450&amp;WIDTH=450&amp;START_MA","XIMIZED=FALSE&amp;VAR:CALENDAR=US&amp;VAR:SYMBOL=G0129K10&amp;VAR:INDEX=0"}</definedName>
    <definedName name="_8333__FDSAUDITLINK__" localSheetId="6" hidden="1">{"fdsup://directions/FAT Viewer?action=UPDATE&amp;creator=factset&amp;DYN_ARGS=TRUE&amp;DOC_NAME=FAT:FQL_AUDITING_CLIENT_TEMPLATE.FAT&amp;display_string=Audit&amp;VAR:KEY=RQDADWLYJQ&amp;VAR:QUERY=RkZfRUJJVERBX0lCKCdMVE1TJywzOTIwOCk=&amp;WINDOW=FIRST_POPUP&amp;HEIGHT=450&amp;WIDTH=450&amp;START_MA","XIMIZED=FALSE&amp;VAR:CALENDAR=US&amp;VAR:SYMBOL=G0129K10&amp;VAR:INDEX=0"}</definedName>
    <definedName name="_8333__FDSAUDITLINK__" hidden="1">{"fdsup://directions/FAT Viewer?action=UPDATE&amp;creator=factset&amp;DYN_ARGS=TRUE&amp;DOC_NAME=FAT:FQL_AUDITING_CLIENT_TEMPLATE.FAT&amp;display_string=Audit&amp;VAR:KEY=RQDADWLYJQ&amp;VAR:QUERY=RkZfRUJJVERBX0lCKCdMVE1TJywzOTIwOCk=&amp;WINDOW=FIRST_POPUP&amp;HEIGHT=450&amp;WIDTH=450&amp;START_MA","XIMIZED=FALSE&amp;VAR:CALENDAR=US&amp;VAR:SYMBOL=G0129K10&amp;VAR:INDEX=0"}</definedName>
    <definedName name="_8334__FDSAUDITLINK__" localSheetId="6" hidden="1">{"fdsup://directions/FAT Viewer?action=UPDATE&amp;creator=factset&amp;DYN_ARGS=TRUE&amp;DOC_NAME=FAT:FQL_AUDITING_CLIENT_TEMPLATE.FAT&amp;display_string=Audit&amp;VAR:KEY=ZUDCBWVQNK&amp;VAR:QUERY=RkZfRUJJVERBX0lCKCdMVE1TJywzOTIwNyk=&amp;WINDOW=FIRST_POPUP&amp;HEIGHT=450&amp;WIDTH=450&amp;START_MA","XIMIZED=FALSE&amp;VAR:CALENDAR=US&amp;VAR:SYMBOL=G0129K10&amp;VAR:INDEX=0"}</definedName>
    <definedName name="_8334__FDSAUDITLINK__" hidden="1">{"fdsup://directions/FAT Viewer?action=UPDATE&amp;creator=factset&amp;DYN_ARGS=TRUE&amp;DOC_NAME=FAT:FQL_AUDITING_CLIENT_TEMPLATE.FAT&amp;display_string=Audit&amp;VAR:KEY=ZUDCBWVQNK&amp;VAR:QUERY=RkZfRUJJVERBX0lCKCdMVE1TJywzOTIwNyk=&amp;WINDOW=FIRST_POPUP&amp;HEIGHT=450&amp;WIDTH=450&amp;START_MA","XIMIZED=FALSE&amp;VAR:CALENDAR=US&amp;VAR:SYMBOL=G0129K10&amp;VAR:INDEX=0"}</definedName>
    <definedName name="_8335__FDSAUDITLINK__" localSheetId="6" hidden="1">{"fdsup://directions/FAT Viewer?action=UPDATE&amp;creator=factset&amp;DYN_ARGS=TRUE&amp;DOC_NAME=FAT:FQL_AUDITING_CLIENT_TEMPLATE.FAT&amp;display_string=Audit&amp;VAR:KEY=DWBOJCVKDG&amp;VAR:QUERY=RkZfRUJJVERBX0lCKCdMVE1TJywzOTIwNik=&amp;WINDOW=FIRST_POPUP&amp;HEIGHT=450&amp;WIDTH=450&amp;START_MA","XIMIZED=FALSE&amp;VAR:CALENDAR=US&amp;VAR:SYMBOL=G0129K10&amp;VAR:INDEX=0"}</definedName>
    <definedName name="_8335__FDSAUDITLINK__" hidden="1">{"fdsup://directions/FAT Viewer?action=UPDATE&amp;creator=factset&amp;DYN_ARGS=TRUE&amp;DOC_NAME=FAT:FQL_AUDITING_CLIENT_TEMPLATE.FAT&amp;display_string=Audit&amp;VAR:KEY=DWBOJCVKDG&amp;VAR:QUERY=RkZfRUJJVERBX0lCKCdMVE1TJywzOTIwNik=&amp;WINDOW=FIRST_POPUP&amp;HEIGHT=450&amp;WIDTH=450&amp;START_MA","XIMIZED=FALSE&amp;VAR:CALENDAR=US&amp;VAR:SYMBOL=G0129K10&amp;VAR:INDEX=0"}</definedName>
    <definedName name="_8336__FDSAUDITLINK__" localSheetId="6" hidden="1">{"fdsup://directions/FAT Viewer?action=UPDATE&amp;creator=factset&amp;DYN_ARGS=TRUE&amp;DOC_NAME=FAT:FQL_AUDITING_CLIENT_TEMPLATE.FAT&amp;display_string=Audit&amp;VAR:KEY=BWDARIRQPM&amp;VAR:QUERY=RkZfRUJJVERBX0lCKCdMVE1TJywzOTIwNSk=&amp;WINDOW=FIRST_POPUP&amp;HEIGHT=450&amp;WIDTH=450&amp;START_MA","XIMIZED=FALSE&amp;VAR:CALENDAR=US&amp;VAR:SYMBOL=G0129K10&amp;VAR:INDEX=0"}</definedName>
    <definedName name="_8336__FDSAUDITLINK__" hidden="1">{"fdsup://directions/FAT Viewer?action=UPDATE&amp;creator=factset&amp;DYN_ARGS=TRUE&amp;DOC_NAME=FAT:FQL_AUDITING_CLIENT_TEMPLATE.FAT&amp;display_string=Audit&amp;VAR:KEY=BWDARIRQPM&amp;VAR:QUERY=RkZfRUJJVERBX0lCKCdMVE1TJywzOTIwNSk=&amp;WINDOW=FIRST_POPUP&amp;HEIGHT=450&amp;WIDTH=450&amp;START_MA","XIMIZED=FALSE&amp;VAR:CALENDAR=US&amp;VAR:SYMBOL=G0129K10&amp;VAR:INDEX=0"}</definedName>
    <definedName name="_8337__FDSAUDITLINK__" localSheetId="6" hidden="1">{"fdsup://directions/FAT Viewer?action=UPDATE&amp;creator=factset&amp;DYN_ARGS=TRUE&amp;DOC_NAME=FAT:FQL_AUDITING_CLIENT_TEMPLATE.FAT&amp;display_string=Audit&amp;VAR:KEY=XIPYRYHUZA&amp;VAR:QUERY=RkZfRUJJVERBX0lCKCdMVE1TJywzOTIwNCk=&amp;WINDOW=FIRST_POPUP&amp;HEIGHT=450&amp;WIDTH=450&amp;START_MA","XIMIZED=FALSE&amp;VAR:CALENDAR=US&amp;VAR:SYMBOL=G0129K10&amp;VAR:INDEX=0"}</definedName>
    <definedName name="_8337__FDSAUDITLINK__" hidden="1">{"fdsup://directions/FAT Viewer?action=UPDATE&amp;creator=factset&amp;DYN_ARGS=TRUE&amp;DOC_NAME=FAT:FQL_AUDITING_CLIENT_TEMPLATE.FAT&amp;display_string=Audit&amp;VAR:KEY=XIPYRYHUZA&amp;VAR:QUERY=RkZfRUJJVERBX0lCKCdMVE1TJywzOTIwNCk=&amp;WINDOW=FIRST_POPUP&amp;HEIGHT=450&amp;WIDTH=450&amp;START_MA","XIMIZED=FALSE&amp;VAR:CALENDAR=US&amp;VAR:SYMBOL=G0129K10&amp;VAR:INDEX=0"}</definedName>
    <definedName name="_8338__FDSAUDITLINK__" localSheetId="6" hidden="1">{"fdsup://directions/FAT Viewer?action=UPDATE&amp;creator=factset&amp;DYN_ARGS=TRUE&amp;DOC_NAME=FAT:FQL_AUDITING_CLIENT_TEMPLATE.FAT&amp;display_string=Audit&amp;VAR:KEY=JWFARABIDY&amp;VAR:QUERY=RkZfRUJJVERBX0lCKCdMVE1TJywzOTIwMyk=&amp;WINDOW=FIRST_POPUP&amp;HEIGHT=450&amp;WIDTH=450&amp;START_MA","XIMIZED=FALSE&amp;VAR:CALENDAR=US&amp;VAR:SYMBOL=G0129K10&amp;VAR:INDEX=0"}</definedName>
    <definedName name="_8338__FDSAUDITLINK__" hidden="1">{"fdsup://directions/FAT Viewer?action=UPDATE&amp;creator=factset&amp;DYN_ARGS=TRUE&amp;DOC_NAME=FAT:FQL_AUDITING_CLIENT_TEMPLATE.FAT&amp;display_string=Audit&amp;VAR:KEY=JWFARABIDY&amp;VAR:QUERY=RkZfRUJJVERBX0lCKCdMVE1TJywzOTIwMyk=&amp;WINDOW=FIRST_POPUP&amp;HEIGHT=450&amp;WIDTH=450&amp;START_MA","XIMIZED=FALSE&amp;VAR:CALENDAR=US&amp;VAR:SYMBOL=G0129K10&amp;VAR:INDEX=0"}</definedName>
    <definedName name="_8339__FDSAUDITLINK__" localSheetId="6" hidden="1">{"fdsup://directions/FAT Viewer?action=UPDATE&amp;creator=factset&amp;DYN_ARGS=TRUE&amp;DOC_NAME=FAT:FQL_AUDITING_CLIENT_TEMPLATE.FAT&amp;display_string=Audit&amp;VAR:KEY=FERYNITEVM&amp;VAR:QUERY=RkZfRUJJVERBX0lCKCdMVE1TJywzOTIwMik=&amp;WINDOW=FIRST_POPUP&amp;HEIGHT=450&amp;WIDTH=450&amp;START_MA","XIMIZED=FALSE&amp;VAR:CALENDAR=US&amp;VAR:SYMBOL=G0129K10&amp;VAR:INDEX=0"}</definedName>
    <definedName name="_8339__FDSAUDITLINK__" hidden="1">{"fdsup://directions/FAT Viewer?action=UPDATE&amp;creator=factset&amp;DYN_ARGS=TRUE&amp;DOC_NAME=FAT:FQL_AUDITING_CLIENT_TEMPLATE.FAT&amp;display_string=Audit&amp;VAR:KEY=FERYNITEVM&amp;VAR:QUERY=RkZfRUJJVERBX0lCKCdMVE1TJywzOTIwMik=&amp;WINDOW=FIRST_POPUP&amp;HEIGHT=450&amp;WIDTH=450&amp;START_MA","XIMIZED=FALSE&amp;VAR:CALENDAR=US&amp;VAR:SYMBOL=G0129K10&amp;VAR:INDEX=0"}</definedName>
    <definedName name="_834__FDSAUDITLINK__" localSheetId="6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4__FDSAUDITLINK__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40__FDSAUDITLINK__" localSheetId="6" hidden="1">{"fdsup://directions/FAT Viewer?action=UPDATE&amp;creator=factset&amp;DYN_ARGS=TRUE&amp;DOC_NAME=FAT:FQL_AUDITING_CLIENT_TEMPLATE.FAT&amp;display_string=Audit&amp;VAR:KEY=VGJALEBKTE&amp;VAR:QUERY=RkZfRUJJVERBX0lCKCdMVE1TJywzOTIwMSk=&amp;WINDOW=FIRST_POPUP&amp;HEIGHT=450&amp;WIDTH=450&amp;START_MA","XIMIZED=FALSE&amp;VAR:CALENDAR=US&amp;VAR:SYMBOL=G0129K10&amp;VAR:INDEX=0"}</definedName>
    <definedName name="_8340__FDSAUDITLINK__" hidden="1">{"fdsup://directions/FAT Viewer?action=UPDATE&amp;creator=factset&amp;DYN_ARGS=TRUE&amp;DOC_NAME=FAT:FQL_AUDITING_CLIENT_TEMPLATE.FAT&amp;display_string=Audit&amp;VAR:KEY=VGJALEBKTE&amp;VAR:QUERY=RkZfRUJJVERBX0lCKCdMVE1TJywzOTIwMSk=&amp;WINDOW=FIRST_POPUP&amp;HEIGHT=450&amp;WIDTH=450&amp;START_MA","XIMIZED=FALSE&amp;VAR:CALENDAR=US&amp;VAR:SYMBOL=G0129K10&amp;VAR:INDEX=0"}</definedName>
    <definedName name="_8341__FDSAUDITLINK__" localSheetId="6" hidden="1">{"fdsup://directions/FAT Viewer?action=UPDATE&amp;creator=factset&amp;DYN_ARGS=TRUE&amp;DOC_NAME=FAT:FQL_AUDITING_CLIENT_TEMPLATE.FAT&amp;display_string=Audit&amp;VAR:KEY=HWXWXSZKTQ&amp;VAR:QUERY=RkZfRUJJVERBX0lCKCdMVE1TJywzOTIwMCk=&amp;WINDOW=FIRST_POPUP&amp;HEIGHT=450&amp;WIDTH=450&amp;START_MA","XIMIZED=FALSE&amp;VAR:CALENDAR=US&amp;VAR:SYMBOL=G0129K10&amp;VAR:INDEX=0"}</definedName>
    <definedName name="_8341__FDSAUDITLINK__" hidden="1">{"fdsup://directions/FAT Viewer?action=UPDATE&amp;creator=factset&amp;DYN_ARGS=TRUE&amp;DOC_NAME=FAT:FQL_AUDITING_CLIENT_TEMPLATE.FAT&amp;display_string=Audit&amp;VAR:KEY=HWXWXSZKTQ&amp;VAR:QUERY=RkZfRUJJVERBX0lCKCdMVE1TJywzOTIwMCk=&amp;WINDOW=FIRST_POPUP&amp;HEIGHT=450&amp;WIDTH=450&amp;START_MA","XIMIZED=FALSE&amp;VAR:CALENDAR=US&amp;VAR:SYMBOL=G0129K10&amp;VAR:INDEX=0"}</definedName>
    <definedName name="_8342__FDSAUDITLINK__" localSheetId="6" hidden="1">{"fdsup://directions/FAT Viewer?action=UPDATE&amp;creator=factset&amp;DYN_ARGS=TRUE&amp;DOC_NAME=FAT:FQL_AUDITING_CLIENT_TEMPLATE.FAT&amp;display_string=Audit&amp;VAR:KEY=NYZMVAHKTS&amp;VAR:QUERY=RkZfRUJJVERBX0lCKCdMVE1TJywzOTE5OSk=&amp;WINDOW=FIRST_POPUP&amp;HEIGHT=450&amp;WIDTH=450&amp;START_MA","XIMIZED=FALSE&amp;VAR:CALENDAR=US&amp;VAR:SYMBOL=G0129K10&amp;VAR:INDEX=0"}</definedName>
    <definedName name="_8342__FDSAUDITLINK__" hidden="1">{"fdsup://directions/FAT Viewer?action=UPDATE&amp;creator=factset&amp;DYN_ARGS=TRUE&amp;DOC_NAME=FAT:FQL_AUDITING_CLIENT_TEMPLATE.FAT&amp;display_string=Audit&amp;VAR:KEY=NYZMVAHKTS&amp;VAR:QUERY=RkZfRUJJVERBX0lCKCdMVE1TJywzOTE5OSk=&amp;WINDOW=FIRST_POPUP&amp;HEIGHT=450&amp;WIDTH=450&amp;START_MA","XIMIZED=FALSE&amp;VAR:CALENDAR=US&amp;VAR:SYMBOL=G0129K10&amp;VAR:INDEX=0"}</definedName>
    <definedName name="_8343__FDSAUDITLINK__" localSheetId="6" hidden="1">{"fdsup://directions/FAT Viewer?action=UPDATE&amp;creator=factset&amp;DYN_ARGS=TRUE&amp;DOC_NAME=FAT:FQL_AUDITING_CLIENT_TEMPLATE.FAT&amp;display_string=Audit&amp;VAR:KEY=RUFARUJURK&amp;VAR:QUERY=RkZfRUJJVERBX0lCKCdMVE1TJywzOTE5OCk=&amp;WINDOW=FIRST_POPUP&amp;HEIGHT=450&amp;WIDTH=450&amp;START_MA","XIMIZED=FALSE&amp;VAR:CALENDAR=US&amp;VAR:SYMBOL=G0129K10&amp;VAR:INDEX=0"}</definedName>
    <definedName name="_8343__FDSAUDITLINK__" hidden="1">{"fdsup://directions/FAT Viewer?action=UPDATE&amp;creator=factset&amp;DYN_ARGS=TRUE&amp;DOC_NAME=FAT:FQL_AUDITING_CLIENT_TEMPLATE.FAT&amp;display_string=Audit&amp;VAR:KEY=RUFARUJURK&amp;VAR:QUERY=RkZfRUJJVERBX0lCKCdMVE1TJywzOTE5OCk=&amp;WINDOW=FIRST_POPUP&amp;HEIGHT=450&amp;WIDTH=450&amp;START_MA","XIMIZED=FALSE&amp;VAR:CALENDAR=US&amp;VAR:SYMBOL=G0129K10&amp;VAR:INDEX=0"}</definedName>
    <definedName name="_8344__FDSAUDITLINK__" localSheetId="6" hidden="1">{"fdsup://directions/FAT Viewer?action=UPDATE&amp;creator=factset&amp;DYN_ARGS=TRUE&amp;DOC_NAME=FAT:FQL_AUDITING_CLIENT_TEMPLATE.FAT&amp;display_string=Audit&amp;VAR:KEY=TKBWRAJCXS&amp;VAR:QUERY=RkZfRUJJVERBX0lCKCdMVE1TJywzOTE5Nyk=&amp;WINDOW=FIRST_POPUP&amp;HEIGHT=450&amp;WIDTH=450&amp;START_MA","XIMIZED=FALSE&amp;VAR:CALENDAR=US&amp;VAR:SYMBOL=G0129K10&amp;VAR:INDEX=0"}</definedName>
    <definedName name="_8344__FDSAUDITLINK__" hidden="1">{"fdsup://directions/FAT Viewer?action=UPDATE&amp;creator=factset&amp;DYN_ARGS=TRUE&amp;DOC_NAME=FAT:FQL_AUDITING_CLIENT_TEMPLATE.FAT&amp;display_string=Audit&amp;VAR:KEY=TKBWRAJCXS&amp;VAR:QUERY=RkZfRUJJVERBX0lCKCdMVE1TJywzOTE5Nyk=&amp;WINDOW=FIRST_POPUP&amp;HEIGHT=450&amp;WIDTH=450&amp;START_MA","XIMIZED=FALSE&amp;VAR:CALENDAR=US&amp;VAR:SYMBOL=G0129K10&amp;VAR:INDEX=0"}</definedName>
    <definedName name="_8345__FDSAUDITLINK__" localSheetId="6" hidden="1">{"fdsup://directions/FAT Viewer?action=UPDATE&amp;creator=factset&amp;DYN_ARGS=TRUE&amp;DOC_NAME=FAT:FQL_AUDITING_CLIENT_TEMPLATE.FAT&amp;display_string=Audit&amp;VAR:KEY=FGHWVGNSLY&amp;VAR:QUERY=RkZfRUJJVERBX0lCKCdMVE1TJywzOTE5Nik=&amp;WINDOW=FIRST_POPUP&amp;HEIGHT=450&amp;WIDTH=450&amp;START_MA","XIMIZED=FALSE&amp;VAR:CALENDAR=US&amp;VAR:SYMBOL=G0129K10&amp;VAR:INDEX=0"}</definedName>
    <definedName name="_8345__FDSAUDITLINK__" hidden="1">{"fdsup://directions/FAT Viewer?action=UPDATE&amp;creator=factset&amp;DYN_ARGS=TRUE&amp;DOC_NAME=FAT:FQL_AUDITING_CLIENT_TEMPLATE.FAT&amp;display_string=Audit&amp;VAR:KEY=FGHWVGNSLY&amp;VAR:QUERY=RkZfRUJJVERBX0lCKCdMVE1TJywzOTE5Nik=&amp;WINDOW=FIRST_POPUP&amp;HEIGHT=450&amp;WIDTH=450&amp;START_MA","XIMIZED=FALSE&amp;VAR:CALENDAR=US&amp;VAR:SYMBOL=G0129K10&amp;VAR:INDEX=0"}</definedName>
    <definedName name="_8346__FDSAUDITLINK__" localSheetId="6" hidden="1">{"fdsup://directions/FAT Viewer?action=UPDATE&amp;creator=factset&amp;DYN_ARGS=TRUE&amp;DOC_NAME=FAT:FQL_AUDITING_CLIENT_TEMPLATE.FAT&amp;display_string=Audit&amp;VAR:KEY=XEBCJQLOVK&amp;VAR:QUERY=RkZfRUJJVERBX0lCKCdMVE1TJywzOTE5NSk=&amp;WINDOW=FIRST_POPUP&amp;HEIGHT=450&amp;WIDTH=450&amp;START_MA","XIMIZED=FALSE&amp;VAR:CALENDAR=US&amp;VAR:SYMBOL=G0129K10&amp;VAR:INDEX=0"}</definedName>
    <definedName name="_8346__FDSAUDITLINK__" hidden="1">{"fdsup://directions/FAT Viewer?action=UPDATE&amp;creator=factset&amp;DYN_ARGS=TRUE&amp;DOC_NAME=FAT:FQL_AUDITING_CLIENT_TEMPLATE.FAT&amp;display_string=Audit&amp;VAR:KEY=XEBCJQLOVK&amp;VAR:QUERY=RkZfRUJJVERBX0lCKCdMVE1TJywzOTE5NSk=&amp;WINDOW=FIRST_POPUP&amp;HEIGHT=450&amp;WIDTH=450&amp;START_MA","XIMIZED=FALSE&amp;VAR:CALENDAR=US&amp;VAR:SYMBOL=G0129K10&amp;VAR:INDEX=0"}</definedName>
    <definedName name="_8347__FDSAUDITLINK__" localSheetId="6" hidden="1">{"fdsup://directions/FAT Viewer?action=UPDATE&amp;creator=factset&amp;DYN_ARGS=TRUE&amp;DOC_NAME=FAT:FQL_AUDITING_CLIENT_TEMPLATE.FAT&amp;display_string=Audit&amp;VAR:KEY=LUNYTIHCRO&amp;VAR:QUERY=RkZfRUJJVERBX0lCKCdMVE1TJywzOTE5NCk=&amp;WINDOW=FIRST_POPUP&amp;HEIGHT=450&amp;WIDTH=450&amp;START_MA","XIMIZED=FALSE&amp;VAR:CALENDAR=US&amp;VAR:SYMBOL=G0129K10&amp;VAR:INDEX=0"}</definedName>
    <definedName name="_8347__FDSAUDITLINK__" hidden="1">{"fdsup://directions/FAT Viewer?action=UPDATE&amp;creator=factset&amp;DYN_ARGS=TRUE&amp;DOC_NAME=FAT:FQL_AUDITING_CLIENT_TEMPLATE.FAT&amp;display_string=Audit&amp;VAR:KEY=LUNYTIHCRO&amp;VAR:QUERY=RkZfRUJJVERBX0lCKCdMVE1TJywzOTE5NCk=&amp;WINDOW=FIRST_POPUP&amp;HEIGHT=450&amp;WIDTH=450&amp;START_MA","XIMIZED=FALSE&amp;VAR:CALENDAR=US&amp;VAR:SYMBOL=G0129K10&amp;VAR:INDEX=0"}</definedName>
    <definedName name="_8348__FDSAUDITLINK__" localSheetId="6" hidden="1">{"fdsup://directions/FAT Viewer?action=UPDATE&amp;creator=factset&amp;DYN_ARGS=TRUE&amp;DOC_NAME=FAT:FQL_AUDITING_CLIENT_TEMPLATE.FAT&amp;display_string=Audit&amp;VAR:KEY=XERQNKREVC&amp;VAR:QUERY=RkZfRUJJVERBX0lCKCdMVE1TJywzOTE5Myk=&amp;WINDOW=FIRST_POPUP&amp;HEIGHT=450&amp;WIDTH=450&amp;START_MA","XIMIZED=FALSE&amp;VAR:CALENDAR=US&amp;VAR:SYMBOL=G0129K10&amp;VAR:INDEX=0"}</definedName>
    <definedName name="_8348__FDSAUDITLINK__" hidden="1">{"fdsup://directions/FAT Viewer?action=UPDATE&amp;creator=factset&amp;DYN_ARGS=TRUE&amp;DOC_NAME=FAT:FQL_AUDITING_CLIENT_TEMPLATE.FAT&amp;display_string=Audit&amp;VAR:KEY=XERQNKREVC&amp;VAR:QUERY=RkZfRUJJVERBX0lCKCdMVE1TJywzOTE5Myk=&amp;WINDOW=FIRST_POPUP&amp;HEIGHT=450&amp;WIDTH=450&amp;START_MA","XIMIZED=FALSE&amp;VAR:CALENDAR=US&amp;VAR:SYMBOL=G0129K10&amp;VAR:INDEX=0"}</definedName>
    <definedName name="_8349__FDSAUDITLINK__" localSheetId="6" hidden="1">{"fdsup://directions/FAT Viewer?action=UPDATE&amp;creator=factset&amp;DYN_ARGS=TRUE&amp;DOC_NAME=FAT:FQL_AUDITING_CLIENT_TEMPLATE.FAT&amp;display_string=Audit&amp;VAR:KEY=LMBKRQDUZS&amp;VAR:QUERY=RkZfRUJJVERBX0lCKCdMVE1TJywzOTE5Mik=&amp;WINDOW=FIRST_POPUP&amp;HEIGHT=450&amp;WIDTH=450&amp;START_MA","XIMIZED=FALSE&amp;VAR:CALENDAR=US&amp;VAR:SYMBOL=G0129K10&amp;VAR:INDEX=0"}</definedName>
    <definedName name="_8349__FDSAUDITLINK__" hidden="1">{"fdsup://directions/FAT Viewer?action=UPDATE&amp;creator=factset&amp;DYN_ARGS=TRUE&amp;DOC_NAME=FAT:FQL_AUDITING_CLIENT_TEMPLATE.FAT&amp;display_string=Audit&amp;VAR:KEY=LMBKRQDUZS&amp;VAR:QUERY=RkZfRUJJVERBX0lCKCdMVE1TJywzOTE5Mik=&amp;WINDOW=FIRST_POPUP&amp;HEIGHT=450&amp;WIDTH=450&amp;START_MA","XIMIZED=FALSE&amp;VAR:CALENDAR=US&amp;VAR:SYMBOL=G0129K10&amp;VAR:INDEX=0"}</definedName>
    <definedName name="_835__FDSAUDITLINK__" localSheetId="6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5__FDSAUDITLINK__" hidden="1">{"fdsup://directions/FAT%20Viewer?VAR:PED=LTM&amp;VAR:AUDIT_MODE=SUMMARY&amp;VAR:PERIOD=FIXED&amp;VAR:AUDIT_ID=00000117&amp;VAR:DATE=20071109&amp;action=UPDATE&amp;creator=factset&amp;DOC_NAME=FAT:FMA_audit_SUMMARY.fat&amp;DISPLAY_STRING=Display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50__FDSAUDITLINK__" localSheetId="6" hidden="1">{"fdsup://directions/FAT Viewer?action=UPDATE&amp;creator=factset&amp;DYN_ARGS=TRUE&amp;DOC_NAME=FAT:FQL_AUDITING_CLIENT_TEMPLATE.FAT&amp;display_string=Audit&amp;VAR:KEY=TQZOXKNYZW&amp;VAR:QUERY=RkZfRUJJVERBX0lCKCdMVE1TJywzOTE5MSk=&amp;WINDOW=FIRST_POPUP&amp;HEIGHT=450&amp;WIDTH=450&amp;START_MA","XIMIZED=FALSE&amp;VAR:CALENDAR=US&amp;VAR:SYMBOL=G0129K10&amp;VAR:INDEX=0"}</definedName>
    <definedName name="_8350__FDSAUDITLINK__" hidden="1">{"fdsup://directions/FAT Viewer?action=UPDATE&amp;creator=factset&amp;DYN_ARGS=TRUE&amp;DOC_NAME=FAT:FQL_AUDITING_CLIENT_TEMPLATE.FAT&amp;display_string=Audit&amp;VAR:KEY=TQZOXKNYZW&amp;VAR:QUERY=RkZfRUJJVERBX0lCKCdMVE1TJywzOTE5MSk=&amp;WINDOW=FIRST_POPUP&amp;HEIGHT=450&amp;WIDTH=450&amp;START_MA","XIMIZED=FALSE&amp;VAR:CALENDAR=US&amp;VAR:SYMBOL=G0129K10&amp;VAR:INDEX=0"}</definedName>
    <definedName name="_8351__FDSAUDITLINK__" localSheetId="6" hidden="1">{"fdsup://directions/FAT Viewer?action=UPDATE&amp;creator=factset&amp;DYN_ARGS=TRUE&amp;DOC_NAME=FAT:FQL_AUDITING_CLIENT_TEMPLATE.FAT&amp;display_string=Audit&amp;VAR:KEY=TOXGHKBAXA&amp;VAR:QUERY=RkZfRUJJVERBX0lCKCdMVE1TJywzOTE5MCk=&amp;WINDOW=FIRST_POPUP&amp;HEIGHT=450&amp;WIDTH=450&amp;START_MA","XIMIZED=FALSE&amp;VAR:CALENDAR=US&amp;VAR:SYMBOL=G0129K10&amp;VAR:INDEX=0"}</definedName>
    <definedName name="_8351__FDSAUDITLINK__" hidden="1">{"fdsup://directions/FAT Viewer?action=UPDATE&amp;creator=factset&amp;DYN_ARGS=TRUE&amp;DOC_NAME=FAT:FQL_AUDITING_CLIENT_TEMPLATE.FAT&amp;display_string=Audit&amp;VAR:KEY=TOXGHKBAXA&amp;VAR:QUERY=RkZfRUJJVERBX0lCKCdMVE1TJywzOTE5MCk=&amp;WINDOW=FIRST_POPUP&amp;HEIGHT=450&amp;WIDTH=450&amp;START_MA","XIMIZED=FALSE&amp;VAR:CALENDAR=US&amp;VAR:SYMBOL=G0129K10&amp;VAR:INDEX=0"}</definedName>
    <definedName name="_8352__FDSAUDITLINK__" localSheetId="6" hidden="1">{"fdsup://directions/FAT Viewer?action=UPDATE&amp;creator=factset&amp;DYN_ARGS=TRUE&amp;DOC_NAME=FAT:FQL_AUDITING_CLIENT_TEMPLATE.FAT&amp;display_string=Audit&amp;VAR:KEY=LMFCVSRADG&amp;VAR:QUERY=RkZfRUJJVERBX0lCKCdMVE1TJywzOTE4OSk=&amp;WINDOW=FIRST_POPUP&amp;HEIGHT=450&amp;WIDTH=450&amp;START_MA","XIMIZED=FALSE&amp;VAR:CALENDAR=US&amp;VAR:SYMBOL=G0129K10&amp;VAR:INDEX=0"}</definedName>
    <definedName name="_8352__FDSAUDITLINK__" hidden="1">{"fdsup://directions/FAT Viewer?action=UPDATE&amp;creator=factset&amp;DYN_ARGS=TRUE&amp;DOC_NAME=FAT:FQL_AUDITING_CLIENT_TEMPLATE.FAT&amp;display_string=Audit&amp;VAR:KEY=LMFCVSRADG&amp;VAR:QUERY=RkZfRUJJVERBX0lCKCdMVE1TJywzOTE4OSk=&amp;WINDOW=FIRST_POPUP&amp;HEIGHT=450&amp;WIDTH=450&amp;START_MA","XIMIZED=FALSE&amp;VAR:CALENDAR=US&amp;VAR:SYMBOL=G0129K10&amp;VAR:INDEX=0"}</definedName>
    <definedName name="_8353__FDSAUDITLINK__" localSheetId="6" hidden="1">{"fdsup://directions/FAT Viewer?action=UPDATE&amp;creator=factset&amp;DYN_ARGS=TRUE&amp;DOC_NAME=FAT:FQL_AUDITING_CLIENT_TEMPLATE.FAT&amp;display_string=Audit&amp;VAR:KEY=ZOVWBKRWRA&amp;VAR:QUERY=RkZfRUJJVERBX0lCKCdMVE1TJywzOTE4OCk=&amp;WINDOW=FIRST_POPUP&amp;HEIGHT=450&amp;WIDTH=450&amp;START_MA","XIMIZED=FALSE&amp;VAR:CALENDAR=US&amp;VAR:SYMBOL=G0129K10&amp;VAR:INDEX=0"}</definedName>
    <definedName name="_8353__FDSAUDITLINK__" hidden="1">{"fdsup://directions/FAT Viewer?action=UPDATE&amp;creator=factset&amp;DYN_ARGS=TRUE&amp;DOC_NAME=FAT:FQL_AUDITING_CLIENT_TEMPLATE.FAT&amp;display_string=Audit&amp;VAR:KEY=ZOVWBKRWRA&amp;VAR:QUERY=RkZfRUJJVERBX0lCKCdMVE1TJywzOTE4OCk=&amp;WINDOW=FIRST_POPUP&amp;HEIGHT=450&amp;WIDTH=450&amp;START_MA","XIMIZED=FALSE&amp;VAR:CALENDAR=US&amp;VAR:SYMBOL=G0129K10&amp;VAR:INDEX=0"}</definedName>
    <definedName name="_8354__FDSAUDITLINK__" localSheetId="6" hidden="1">{"fdsup://directions/FAT Viewer?action=UPDATE&amp;creator=factset&amp;DYN_ARGS=TRUE&amp;DOC_NAME=FAT:FQL_AUDITING_CLIENT_TEMPLATE.FAT&amp;display_string=Audit&amp;VAR:KEY=ZALODGFUJU&amp;VAR:QUERY=RkZfRUJJVERBX0lCKCdMVE1TJywzOTE4Nyk=&amp;WINDOW=FIRST_POPUP&amp;HEIGHT=450&amp;WIDTH=450&amp;START_MA","XIMIZED=FALSE&amp;VAR:CALENDAR=US&amp;VAR:SYMBOL=G0129K10&amp;VAR:INDEX=0"}</definedName>
    <definedName name="_8354__FDSAUDITLINK__" hidden="1">{"fdsup://directions/FAT Viewer?action=UPDATE&amp;creator=factset&amp;DYN_ARGS=TRUE&amp;DOC_NAME=FAT:FQL_AUDITING_CLIENT_TEMPLATE.FAT&amp;display_string=Audit&amp;VAR:KEY=ZALODGFUJU&amp;VAR:QUERY=RkZfRUJJVERBX0lCKCdMVE1TJywzOTE4Nyk=&amp;WINDOW=FIRST_POPUP&amp;HEIGHT=450&amp;WIDTH=450&amp;START_MA","XIMIZED=FALSE&amp;VAR:CALENDAR=US&amp;VAR:SYMBOL=G0129K10&amp;VAR:INDEX=0"}</definedName>
    <definedName name="_8355__FDSAUDITLINK__" localSheetId="6" hidden="1">{"fdsup://directions/FAT Viewer?action=UPDATE&amp;creator=factset&amp;DYN_ARGS=TRUE&amp;DOC_NAME=FAT:FQL_AUDITING_CLIENT_TEMPLATE.FAT&amp;display_string=Audit&amp;VAR:KEY=HUVWBMPUVI&amp;VAR:QUERY=RkZfRUJJVERBX0lCKCdMVE1TJywzOTE4Nik=&amp;WINDOW=FIRST_POPUP&amp;HEIGHT=450&amp;WIDTH=450&amp;START_MA","XIMIZED=FALSE&amp;VAR:CALENDAR=US&amp;VAR:SYMBOL=G0129K10&amp;VAR:INDEX=0"}</definedName>
    <definedName name="_8355__FDSAUDITLINK__" hidden="1">{"fdsup://directions/FAT Viewer?action=UPDATE&amp;creator=factset&amp;DYN_ARGS=TRUE&amp;DOC_NAME=FAT:FQL_AUDITING_CLIENT_TEMPLATE.FAT&amp;display_string=Audit&amp;VAR:KEY=HUVWBMPUVI&amp;VAR:QUERY=RkZfRUJJVERBX0lCKCdMVE1TJywzOTE4Nik=&amp;WINDOW=FIRST_POPUP&amp;HEIGHT=450&amp;WIDTH=450&amp;START_MA","XIMIZED=FALSE&amp;VAR:CALENDAR=US&amp;VAR:SYMBOL=G0129K10&amp;VAR:INDEX=0"}</definedName>
    <definedName name="_8356__FDSAUDITLINK__" localSheetId="6" hidden="1">{"fdsup://directions/FAT Viewer?action=UPDATE&amp;creator=factset&amp;DYN_ARGS=TRUE&amp;DOC_NAME=FAT:FQL_AUDITING_CLIENT_TEMPLATE.FAT&amp;display_string=Audit&amp;VAR:KEY=BUBSBCHINC&amp;VAR:QUERY=RkZfRUJJVERBX0lCKCdMVE1TJywzOTE4NSk=&amp;WINDOW=FIRST_POPUP&amp;HEIGHT=450&amp;WIDTH=450&amp;START_MA","XIMIZED=FALSE&amp;VAR:CALENDAR=US&amp;VAR:SYMBOL=G0129K10&amp;VAR:INDEX=0"}</definedName>
    <definedName name="_8356__FDSAUDITLINK__" hidden="1">{"fdsup://directions/FAT Viewer?action=UPDATE&amp;creator=factset&amp;DYN_ARGS=TRUE&amp;DOC_NAME=FAT:FQL_AUDITING_CLIENT_TEMPLATE.FAT&amp;display_string=Audit&amp;VAR:KEY=BUBSBCHINC&amp;VAR:QUERY=RkZfRUJJVERBX0lCKCdMVE1TJywzOTE4NSk=&amp;WINDOW=FIRST_POPUP&amp;HEIGHT=450&amp;WIDTH=450&amp;START_MA","XIMIZED=FALSE&amp;VAR:CALENDAR=US&amp;VAR:SYMBOL=G0129K10&amp;VAR:INDEX=0"}</definedName>
    <definedName name="_8357__FDSAUDITLINK__" localSheetId="6" hidden="1">{"fdsup://directions/FAT Viewer?action=UPDATE&amp;creator=factset&amp;DYN_ARGS=TRUE&amp;DOC_NAME=FAT:FQL_AUDITING_CLIENT_TEMPLATE.FAT&amp;display_string=Audit&amp;VAR:KEY=TYVWVOJMNA&amp;VAR:QUERY=RkZfRUJJVERBX0lCKCdMVE1TJywzOTE4NCk=&amp;WINDOW=FIRST_POPUP&amp;HEIGHT=450&amp;WIDTH=450&amp;START_MA","XIMIZED=FALSE&amp;VAR:CALENDAR=US&amp;VAR:SYMBOL=G0129K10&amp;VAR:INDEX=0"}</definedName>
    <definedName name="_8357__FDSAUDITLINK__" hidden="1">{"fdsup://directions/FAT Viewer?action=UPDATE&amp;creator=factset&amp;DYN_ARGS=TRUE&amp;DOC_NAME=FAT:FQL_AUDITING_CLIENT_TEMPLATE.FAT&amp;display_string=Audit&amp;VAR:KEY=TYVWVOJMNA&amp;VAR:QUERY=RkZfRUJJVERBX0lCKCdMVE1TJywzOTE4NCk=&amp;WINDOW=FIRST_POPUP&amp;HEIGHT=450&amp;WIDTH=450&amp;START_MA","XIMIZED=FALSE&amp;VAR:CALENDAR=US&amp;VAR:SYMBOL=G0129K10&amp;VAR:INDEX=0"}</definedName>
    <definedName name="_8358__FDSAUDITLINK__" localSheetId="6" hidden="1">{"fdsup://directions/FAT Viewer?action=UPDATE&amp;creator=factset&amp;DYN_ARGS=TRUE&amp;DOC_NAME=FAT:FQL_AUDITING_CLIENT_TEMPLATE.FAT&amp;display_string=Audit&amp;VAR:KEY=HUDGPCRWNQ&amp;VAR:QUERY=RkZfRUJJVERBX0lCKCdMVE1TJywzOTE4Myk=&amp;WINDOW=FIRST_POPUP&amp;HEIGHT=450&amp;WIDTH=450&amp;START_MA","XIMIZED=FALSE&amp;VAR:CALENDAR=US&amp;VAR:SYMBOL=G0129K10&amp;VAR:INDEX=0"}</definedName>
    <definedName name="_8358__FDSAUDITLINK__" hidden="1">{"fdsup://directions/FAT Viewer?action=UPDATE&amp;creator=factset&amp;DYN_ARGS=TRUE&amp;DOC_NAME=FAT:FQL_AUDITING_CLIENT_TEMPLATE.FAT&amp;display_string=Audit&amp;VAR:KEY=HUDGPCRWNQ&amp;VAR:QUERY=RkZfRUJJVERBX0lCKCdMVE1TJywzOTE4Myk=&amp;WINDOW=FIRST_POPUP&amp;HEIGHT=450&amp;WIDTH=450&amp;START_MA","XIMIZED=FALSE&amp;VAR:CALENDAR=US&amp;VAR:SYMBOL=G0129K10&amp;VAR:INDEX=0"}</definedName>
    <definedName name="_8359__FDSAUDITLINK__" localSheetId="6" hidden="1">{"fdsup://directions/FAT Viewer?action=UPDATE&amp;creator=factset&amp;DYN_ARGS=TRUE&amp;DOC_NAME=FAT:FQL_AUDITING_CLIENT_TEMPLATE.FAT&amp;display_string=Audit&amp;VAR:KEY=FSPMBQVCLM&amp;VAR:QUERY=RkZfRUJJVERBX0lCKCdMVE1TJywzOTE4Mik=&amp;WINDOW=FIRST_POPUP&amp;HEIGHT=450&amp;WIDTH=450&amp;START_MA","XIMIZED=FALSE&amp;VAR:CALENDAR=US&amp;VAR:SYMBOL=G0129K10&amp;VAR:INDEX=0"}</definedName>
    <definedName name="_8359__FDSAUDITLINK__" hidden="1">{"fdsup://directions/FAT Viewer?action=UPDATE&amp;creator=factset&amp;DYN_ARGS=TRUE&amp;DOC_NAME=FAT:FQL_AUDITING_CLIENT_TEMPLATE.FAT&amp;display_string=Audit&amp;VAR:KEY=FSPMBQVCLM&amp;VAR:QUERY=RkZfRUJJVERBX0lCKCdMVE1TJywzOTE4Mik=&amp;WINDOW=FIRST_POPUP&amp;HEIGHT=450&amp;WIDTH=450&amp;START_MA","XIMIZED=FALSE&amp;VAR:CALENDAR=US&amp;VAR:SYMBOL=G0129K10&amp;VAR:INDEX=0"}</definedName>
    <definedName name="_836__FDSAUDITLINK__" localSheetId="6" hidden="1">{"fdsup://directions/FAT%20Viewer?VAR:PED=LTM&amp;VAR:AUDIT_MODE=SUMMARY&amp;VAR:PERIOD=FIXED&amp;VAR:AUDIT_ID=00000117&amp;VAR:DATE=20071108&amp;action=UPDATE&amp;creator=factset&amp;DOC_NAME=FAT:FMA_audit_SUMMARY.fat&amp;DISPLAY_STRING=Display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6__FDSAUDITLINK__" hidden="1">{"fdsup://directions/FAT%20Viewer?VAR:PED=LTM&amp;VAR:AUDIT_MODE=SUMMARY&amp;VAR:PERIOD=FIXED&amp;VAR:AUDIT_ID=00000117&amp;VAR:DATE=20071108&amp;action=UPDATE&amp;creator=factset&amp;DOC_NAME=FAT:FMA_audit_SUMMARY.fat&amp;DISPLAY_STRING=Display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60__FDSAUDITLINK__" localSheetId="6" hidden="1">{"fdsup://directions/FAT Viewer?action=UPDATE&amp;creator=factset&amp;DYN_ARGS=TRUE&amp;DOC_NAME=FAT:FQL_AUDITING_CLIENT_TEMPLATE.FAT&amp;display_string=Audit&amp;VAR:KEY=RARABEFYLQ&amp;VAR:QUERY=RkZfRUJJVERBX0lCKCdMVE1TJywzOTE4MSk=&amp;WINDOW=FIRST_POPUP&amp;HEIGHT=450&amp;WIDTH=450&amp;START_MA","XIMIZED=FALSE&amp;VAR:CALENDAR=US&amp;VAR:SYMBOL=G0129K10&amp;VAR:INDEX=0"}</definedName>
    <definedName name="_8360__FDSAUDITLINK__" hidden="1">{"fdsup://directions/FAT Viewer?action=UPDATE&amp;creator=factset&amp;DYN_ARGS=TRUE&amp;DOC_NAME=FAT:FQL_AUDITING_CLIENT_TEMPLATE.FAT&amp;display_string=Audit&amp;VAR:KEY=RARABEFYLQ&amp;VAR:QUERY=RkZfRUJJVERBX0lCKCdMVE1TJywzOTE4MSk=&amp;WINDOW=FIRST_POPUP&amp;HEIGHT=450&amp;WIDTH=450&amp;START_MA","XIMIZED=FALSE&amp;VAR:CALENDAR=US&amp;VAR:SYMBOL=G0129K10&amp;VAR:INDEX=0"}</definedName>
    <definedName name="_8361__FDSAUDITLINK__" localSheetId="6" hidden="1">{"fdsup://directions/FAT Viewer?action=UPDATE&amp;creator=factset&amp;DYN_ARGS=TRUE&amp;DOC_NAME=FAT:FQL_AUDITING_CLIENT_TEMPLATE.FAT&amp;display_string=Audit&amp;VAR:KEY=HOXEVQXYFO&amp;VAR:QUERY=RkZfRUJJVERBX0lCKCdMVE1TJywzOTE4MCk=&amp;WINDOW=FIRST_POPUP&amp;HEIGHT=450&amp;WIDTH=450&amp;START_MA","XIMIZED=FALSE&amp;VAR:CALENDAR=US&amp;VAR:SYMBOL=G0129K10&amp;VAR:INDEX=0"}</definedName>
    <definedName name="_8361__FDSAUDITLINK__" hidden="1">{"fdsup://directions/FAT Viewer?action=UPDATE&amp;creator=factset&amp;DYN_ARGS=TRUE&amp;DOC_NAME=FAT:FQL_AUDITING_CLIENT_TEMPLATE.FAT&amp;display_string=Audit&amp;VAR:KEY=HOXEVQXYFO&amp;VAR:QUERY=RkZfRUJJVERBX0lCKCdMVE1TJywzOTE4MCk=&amp;WINDOW=FIRST_POPUP&amp;HEIGHT=450&amp;WIDTH=450&amp;START_MA","XIMIZED=FALSE&amp;VAR:CALENDAR=US&amp;VAR:SYMBOL=G0129K10&amp;VAR:INDEX=0"}</definedName>
    <definedName name="_8362__FDSAUDITLINK__" localSheetId="6" hidden="1">{"fdsup://directions/FAT Viewer?action=UPDATE&amp;creator=factset&amp;DYN_ARGS=TRUE&amp;DOC_NAME=FAT:FQL_AUDITING_CLIENT_TEMPLATE.FAT&amp;display_string=Audit&amp;VAR:KEY=JGVUNOXEZW&amp;VAR:QUERY=RkZfRUJJVERBX0lCKCdMVE1TJywzOTE3OSk=&amp;WINDOW=FIRST_POPUP&amp;HEIGHT=450&amp;WIDTH=450&amp;START_MA","XIMIZED=FALSE&amp;VAR:CALENDAR=US&amp;VAR:SYMBOL=G0129K10&amp;VAR:INDEX=0"}</definedName>
    <definedName name="_8362__FDSAUDITLINK__" hidden="1">{"fdsup://directions/FAT Viewer?action=UPDATE&amp;creator=factset&amp;DYN_ARGS=TRUE&amp;DOC_NAME=FAT:FQL_AUDITING_CLIENT_TEMPLATE.FAT&amp;display_string=Audit&amp;VAR:KEY=JGVUNOXEZW&amp;VAR:QUERY=RkZfRUJJVERBX0lCKCdMVE1TJywzOTE3OSk=&amp;WINDOW=FIRST_POPUP&amp;HEIGHT=450&amp;WIDTH=450&amp;START_MA","XIMIZED=FALSE&amp;VAR:CALENDAR=US&amp;VAR:SYMBOL=G0129K10&amp;VAR:INDEX=0"}</definedName>
    <definedName name="_8363__FDSAUDITLINK__" localSheetId="6" hidden="1">{"fdsup://directions/FAT Viewer?action=UPDATE&amp;creator=factset&amp;DYN_ARGS=TRUE&amp;DOC_NAME=FAT:FQL_AUDITING_CLIENT_TEMPLATE.FAT&amp;display_string=Audit&amp;VAR:KEY=VEDMNAHITU&amp;VAR:QUERY=RkZfRUJJVERBX0lCKCdMVE1TJywzOTE3OCk=&amp;WINDOW=FIRST_POPUP&amp;HEIGHT=450&amp;WIDTH=450&amp;START_MA","XIMIZED=FALSE&amp;VAR:CALENDAR=US&amp;VAR:SYMBOL=G0129K10&amp;VAR:INDEX=0"}</definedName>
    <definedName name="_8363__FDSAUDITLINK__" hidden="1">{"fdsup://directions/FAT Viewer?action=UPDATE&amp;creator=factset&amp;DYN_ARGS=TRUE&amp;DOC_NAME=FAT:FQL_AUDITING_CLIENT_TEMPLATE.FAT&amp;display_string=Audit&amp;VAR:KEY=VEDMNAHITU&amp;VAR:QUERY=RkZfRUJJVERBX0lCKCdMVE1TJywzOTE3OCk=&amp;WINDOW=FIRST_POPUP&amp;HEIGHT=450&amp;WIDTH=450&amp;START_MA","XIMIZED=FALSE&amp;VAR:CALENDAR=US&amp;VAR:SYMBOL=G0129K10&amp;VAR:INDEX=0"}</definedName>
    <definedName name="_8364__FDSAUDITLINK__" localSheetId="6" hidden="1">{"fdsup://directions/FAT Viewer?action=UPDATE&amp;creator=factset&amp;DYN_ARGS=TRUE&amp;DOC_NAME=FAT:FQL_AUDITING_CLIENT_TEMPLATE.FAT&amp;display_string=Audit&amp;VAR:KEY=HWLGJIJABA&amp;VAR:QUERY=RkZfRUJJVERBX0lCKCdMVE1TJywzOTE3Nyk=&amp;WINDOW=FIRST_POPUP&amp;HEIGHT=450&amp;WIDTH=450&amp;START_MA","XIMIZED=FALSE&amp;VAR:CALENDAR=US&amp;VAR:SYMBOL=G0129K10&amp;VAR:INDEX=0"}</definedName>
    <definedName name="_8364__FDSAUDITLINK__" hidden="1">{"fdsup://directions/FAT Viewer?action=UPDATE&amp;creator=factset&amp;DYN_ARGS=TRUE&amp;DOC_NAME=FAT:FQL_AUDITING_CLIENT_TEMPLATE.FAT&amp;display_string=Audit&amp;VAR:KEY=HWLGJIJABA&amp;VAR:QUERY=RkZfRUJJVERBX0lCKCdMVE1TJywzOTE3Nyk=&amp;WINDOW=FIRST_POPUP&amp;HEIGHT=450&amp;WIDTH=450&amp;START_MA","XIMIZED=FALSE&amp;VAR:CALENDAR=US&amp;VAR:SYMBOL=G0129K10&amp;VAR:INDEX=0"}</definedName>
    <definedName name="_8365__FDSAUDITLINK__" localSheetId="6" hidden="1">{"fdsup://directions/FAT Viewer?action=UPDATE&amp;creator=factset&amp;DYN_ARGS=TRUE&amp;DOC_NAME=FAT:FQL_AUDITING_CLIENT_TEMPLATE.FAT&amp;display_string=Audit&amp;VAR:KEY=NOVWVKPWVI&amp;VAR:QUERY=RkZfRUJJVERBX0lCKCdMVE1TJywzOTE3Nik=&amp;WINDOW=FIRST_POPUP&amp;HEIGHT=450&amp;WIDTH=450&amp;START_MA","XIMIZED=FALSE&amp;VAR:CALENDAR=US&amp;VAR:SYMBOL=G0129K10&amp;VAR:INDEX=0"}</definedName>
    <definedName name="_8365__FDSAUDITLINK__" hidden="1">{"fdsup://directions/FAT Viewer?action=UPDATE&amp;creator=factset&amp;DYN_ARGS=TRUE&amp;DOC_NAME=FAT:FQL_AUDITING_CLIENT_TEMPLATE.FAT&amp;display_string=Audit&amp;VAR:KEY=NOVWVKPWVI&amp;VAR:QUERY=RkZfRUJJVERBX0lCKCdMVE1TJywzOTE3Nik=&amp;WINDOW=FIRST_POPUP&amp;HEIGHT=450&amp;WIDTH=450&amp;START_MA","XIMIZED=FALSE&amp;VAR:CALENDAR=US&amp;VAR:SYMBOL=G0129K10&amp;VAR:INDEX=0"}</definedName>
    <definedName name="_8366__FDSAUDITLINK__" localSheetId="6" hidden="1">{"fdsup://directions/FAT Viewer?action=UPDATE&amp;creator=factset&amp;DYN_ARGS=TRUE&amp;DOC_NAME=FAT:FQL_AUDITING_CLIENT_TEMPLATE.FAT&amp;display_string=Audit&amp;VAR:KEY=RQTWTIPYLO&amp;VAR:QUERY=RkZfRUJJVERBX0lCKCdMVE1TJywzOTE3NSk=&amp;WINDOW=FIRST_POPUP&amp;HEIGHT=450&amp;WIDTH=450&amp;START_MA","XIMIZED=FALSE&amp;VAR:CALENDAR=US&amp;VAR:SYMBOL=G0129K10&amp;VAR:INDEX=0"}</definedName>
    <definedName name="_8366__FDSAUDITLINK__" hidden="1">{"fdsup://directions/FAT Viewer?action=UPDATE&amp;creator=factset&amp;DYN_ARGS=TRUE&amp;DOC_NAME=FAT:FQL_AUDITING_CLIENT_TEMPLATE.FAT&amp;display_string=Audit&amp;VAR:KEY=RQTWTIPYLO&amp;VAR:QUERY=RkZfRUJJVERBX0lCKCdMVE1TJywzOTE3NSk=&amp;WINDOW=FIRST_POPUP&amp;HEIGHT=450&amp;WIDTH=450&amp;START_MA","XIMIZED=FALSE&amp;VAR:CALENDAR=US&amp;VAR:SYMBOL=G0129K10&amp;VAR:INDEX=0"}</definedName>
    <definedName name="_8367__FDSAUDITLINK__" localSheetId="6" hidden="1">{"fdsup://directions/FAT Viewer?action=UPDATE&amp;creator=factset&amp;DYN_ARGS=TRUE&amp;DOC_NAME=FAT:FQL_AUDITING_CLIENT_TEMPLATE.FAT&amp;display_string=Audit&amp;VAR:KEY=RITIBKPEXS&amp;VAR:QUERY=RkZfRUJJVERBX0lCKCdMVE1TJywzOTE3NCk=&amp;WINDOW=FIRST_POPUP&amp;HEIGHT=450&amp;WIDTH=450&amp;START_MA","XIMIZED=FALSE&amp;VAR:CALENDAR=US&amp;VAR:SYMBOL=G0129K10&amp;VAR:INDEX=0"}</definedName>
    <definedName name="_8367__FDSAUDITLINK__" hidden="1">{"fdsup://directions/FAT Viewer?action=UPDATE&amp;creator=factset&amp;DYN_ARGS=TRUE&amp;DOC_NAME=FAT:FQL_AUDITING_CLIENT_TEMPLATE.FAT&amp;display_string=Audit&amp;VAR:KEY=RITIBKPEXS&amp;VAR:QUERY=RkZfRUJJVERBX0lCKCdMVE1TJywzOTE3NCk=&amp;WINDOW=FIRST_POPUP&amp;HEIGHT=450&amp;WIDTH=450&amp;START_MA","XIMIZED=FALSE&amp;VAR:CALENDAR=US&amp;VAR:SYMBOL=G0129K10&amp;VAR:INDEX=0"}</definedName>
    <definedName name="_8368__FDSAUDITLINK__" localSheetId="6" hidden="1">{"fdsup://directions/FAT Viewer?action=UPDATE&amp;creator=factset&amp;DYN_ARGS=TRUE&amp;DOC_NAME=FAT:FQL_AUDITING_CLIENT_TEMPLATE.FAT&amp;display_string=Audit&amp;VAR:KEY=VQJKVIBGHK&amp;VAR:QUERY=RkZfRUJJVERBX0lCKCdMVE1TJywzOTE3Myk=&amp;WINDOW=FIRST_POPUP&amp;HEIGHT=450&amp;WIDTH=450&amp;START_MA","XIMIZED=FALSE&amp;VAR:CALENDAR=US&amp;VAR:SYMBOL=G0129K10&amp;VAR:INDEX=0"}</definedName>
    <definedName name="_8368__FDSAUDITLINK__" hidden="1">{"fdsup://directions/FAT Viewer?action=UPDATE&amp;creator=factset&amp;DYN_ARGS=TRUE&amp;DOC_NAME=FAT:FQL_AUDITING_CLIENT_TEMPLATE.FAT&amp;display_string=Audit&amp;VAR:KEY=VQJKVIBGHK&amp;VAR:QUERY=RkZfRUJJVERBX0lCKCdMVE1TJywzOTE3Myk=&amp;WINDOW=FIRST_POPUP&amp;HEIGHT=450&amp;WIDTH=450&amp;START_MA","XIMIZED=FALSE&amp;VAR:CALENDAR=US&amp;VAR:SYMBOL=G0129K10&amp;VAR:INDEX=0"}</definedName>
    <definedName name="_8369__FDSAUDITLINK__" localSheetId="6" hidden="1">{"fdsup://directions/FAT Viewer?action=UPDATE&amp;creator=factset&amp;DYN_ARGS=TRUE&amp;DOC_NAME=FAT:FQL_AUDITING_CLIENT_TEMPLATE.FAT&amp;display_string=Audit&amp;VAR:KEY=ZKTGDATCBU&amp;VAR:QUERY=RkZfRUJJVERBX0lCKCdMVE1TJywzOTE3Mik=&amp;WINDOW=FIRST_POPUP&amp;HEIGHT=450&amp;WIDTH=450&amp;START_MA","XIMIZED=FALSE&amp;VAR:CALENDAR=US&amp;VAR:SYMBOL=G0129K10&amp;VAR:INDEX=0"}</definedName>
    <definedName name="_8369__FDSAUDITLINK__" hidden="1">{"fdsup://directions/FAT Viewer?action=UPDATE&amp;creator=factset&amp;DYN_ARGS=TRUE&amp;DOC_NAME=FAT:FQL_AUDITING_CLIENT_TEMPLATE.FAT&amp;display_string=Audit&amp;VAR:KEY=ZKTGDATCBU&amp;VAR:QUERY=RkZfRUJJVERBX0lCKCdMVE1TJywzOTE3Mik=&amp;WINDOW=FIRST_POPUP&amp;HEIGHT=450&amp;WIDTH=450&amp;START_MA","XIMIZED=FALSE&amp;VAR:CALENDAR=US&amp;VAR:SYMBOL=G0129K10&amp;VAR:INDEX=0"}</definedName>
    <definedName name="_837__FDSAUDITLINK__" localSheetId="6" hidden="1">{"fdsup://directions/FAT%20Viewer?VAR:PED=LTM&amp;VAR:AUDIT_MODE=SUMMARY&amp;VAR:PERIOD=FIXED&amp;VAR:AUDIT_ID=00000117&amp;VAR:DATE=20071107&amp;action=UPDATE&amp;creator=factset&amp;DOC_NAME=FAT:FMA_audit_SUMMARY.fat&amp;DISPLAY_STRING=Display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7__FDSAUDITLINK__" hidden="1">{"fdsup://directions/FAT%20Viewer?VAR:PED=LTM&amp;VAR:AUDIT_MODE=SUMMARY&amp;VAR:PERIOD=FIXED&amp;VAR:AUDIT_ID=00000117&amp;VAR:DATE=20071107&amp;action=UPDATE&amp;creator=factset&amp;DOC_NAME=FAT:FMA_audit_SUMMARY.fat&amp;DISPLAY_STRING=Display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70__FDSAUDITLINK__" localSheetId="6" hidden="1">{"fdsup://directions/FAT Viewer?action=UPDATE&amp;creator=factset&amp;DYN_ARGS=TRUE&amp;DOC_NAME=FAT:FQL_AUDITING_CLIENT_TEMPLATE.FAT&amp;display_string=Audit&amp;VAR:KEY=RIRMXQVWFO&amp;VAR:QUERY=RkZfRUJJVERBX0lCKCdMVE1TJywzOTE3MSk=&amp;WINDOW=FIRST_POPUP&amp;HEIGHT=450&amp;WIDTH=450&amp;START_MA","XIMIZED=FALSE&amp;VAR:CALENDAR=US&amp;VAR:SYMBOL=G0129K10&amp;VAR:INDEX=0"}</definedName>
    <definedName name="_8370__FDSAUDITLINK__" hidden="1">{"fdsup://directions/FAT Viewer?action=UPDATE&amp;creator=factset&amp;DYN_ARGS=TRUE&amp;DOC_NAME=FAT:FQL_AUDITING_CLIENT_TEMPLATE.FAT&amp;display_string=Audit&amp;VAR:KEY=RIRMXQVWFO&amp;VAR:QUERY=RkZfRUJJVERBX0lCKCdMVE1TJywzOTE3MSk=&amp;WINDOW=FIRST_POPUP&amp;HEIGHT=450&amp;WIDTH=450&amp;START_MA","XIMIZED=FALSE&amp;VAR:CALENDAR=US&amp;VAR:SYMBOL=G0129K10&amp;VAR:INDEX=0"}</definedName>
    <definedName name="_8371__FDSAUDITLINK__" localSheetId="6" hidden="1">{"fdsup://directions/FAT Viewer?action=UPDATE&amp;creator=factset&amp;DYN_ARGS=TRUE&amp;DOC_NAME=FAT:FQL_AUDITING_CLIENT_TEMPLATE.FAT&amp;display_string=Audit&amp;VAR:KEY=RMZSFSLKZG&amp;VAR:QUERY=RkZfRUJJVERBX0lCKCdMVE1TJywzOTE3MCk=&amp;WINDOW=FIRST_POPUP&amp;HEIGHT=450&amp;WIDTH=450&amp;START_MA","XIMIZED=FALSE&amp;VAR:CALENDAR=US&amp;VAR:SYMBOL=G0129K10&amp;VAR:INDEX=0"}</definedName>
    <definedName name="_8371__FDSAUDITLINK__" hidden="1">{"fdsup://directions/FAT Viewer?action=UPDATE&amp;creator=factset&amp;DYN_ARGS=TRUE&amp;DOC_NAME=FAT:FQL_AUDITING_CLIENT_TEMPLATE.FAT&amp;display_string=Audit&amp;VAR:KEY=RMZSFSLKZG&amp;VAR:QUERY=RkZfRUJJVERBX0lCKCdMVE1TJywzOTE3MCk=&amp;WINDOW=FIRST_POPUP&amp;HEIGHT=450&amp;WIDTH=450&amp;START_MA","XIMIZED=FALSE&amp;VAR:CALENDAR=US&amp;VAR:SYMBOL=G0129K10&amp;VAR:INDEX=0"}</definedName>
    <definedName name="_8372__FDSAUDITLINK__" localSheetId="6" hidden="1">{"fdsup://directions/FAT Viewer?action=UPDATE&amp;creator=factset&amp;DYN_ARGS=TRUE&amp;DOC_NAME=FAT:FQL_AUDITING_CLIENT_TEMPLATE.FAT&amp;display_string=Audit&amp;VAR:KEY=TEDULSFCBK&amp;VAR:QUERY=RkZfRUJJVERBX0lCKCdMVE1TJywzOTE2OSk=&amp;WINDOW=FIRST_POPUP&amp;HEIGHT=450&amp;WIDTH=450&amp;START_MA","XIMIZED=FALSE&amp;VAR:CALENDAR=US&amp;VAR:SYMBOL=G0129K10&amp;VAR:INDEX=0"}</definedName>
    <definedName name="_8372__FDSAUDITLINK__" hidden="1">{"fdsup://directions/FAT Viewer?action=UPDATE&amp;creator=factset&amp;DYN_ARGS=TRUE&amp;DOC_NAME=FAT:FQL_AUDITING_CLIENT_TEMPLATE.FAT&amp;display_string=Audit&amp;VAR:KEY=TEDULSFCBK&amp;VAR:QUERY=RkZfRUJJVERBX0lCKCdMVE1TJywzOTE2OSk=&amp;WINDOW=FIRST_POPUP&amp;HEIGHT=450&amp;WIDTH=450&amp;START_MA","XIMIZED=FALSE&amp;VAR:CALENDAR=US&amp;VAR:SYMBOL=G0129K10&amp;VAR:INDEX=0"}</definedName>
    <definedName name="_8373__FDSAUDITLINK__" localSheetId="6" hidden="1">{"fdsup://directions/FAT Viewer?action=UPDATE&amp;creator=factset&amp;DYN_ARGS=TRUE&amp;DOC_NAME=FAT:FQL_AUDITING_CLIENT_TEMPLATE.FAT&amp;display_string=Audit&amp;VAR:KEY=ZIPQVCFYNY&amp;VAR:QUERY=RkZfRUJJVERBX0lCKCdMVE1TJywzOTE2OCk=&amp;WINDOW=FIRST_POPUP&amp;HEIGHT=450&amp;WIDTH=450&amp;START_MA","XIMIZED=FALSE&amp;VAR:CALENDAR=US&amp;VAR:SYMBOL=G0129K10&amp;VAR:INDEX=0"}</definedName>
    <definedName name="_8373__FDSAUDITLINK__" hidden="1">{"fdsup://directions/FAT Viewer?action=UPDATE&amp;creator=factset&amp;DYN_ARGS=TRUE&amp;DOC_NAME=FAT:FQL_AUDITING_CLIENT_TEMPLATE.FAT&amp;display_string=Audit&amp;VAR:KEY=ZIPQVCFYNY&amp;VAR:QUERY=RkZfRUJJVERBX0lCKCdMVE1TJywzOTE2OCk=&amp;WINDOW=FIRST_POPUP&amp;HEIGHT=450&amp;WIDTH=450&amp;START_MA","XIMIZED=FALSE&amp;VAR:CALENDAR=US&amp;VAR:SYMBOL=G0129K10&amp;VAR:INDEX=0"}</definedName>
    <definedName name="_8374__FDSAUDITLINK__" localSheetId="6" hidden="1">{"fdsup://directions/FAT Viewer?action=UPDATE&amp;creator=factset&amp;DYN_ARGS=TRUE&amp;DOC_NAME=FAT:FQL_AUDITING_CLIENT_TEMPLATE.FAT&amp;display_string=Audit&amp;VAR:KEY=JWZUFKTMFU&amp;VAR:QUERY=RkZfRUJJVERBX0lCKCdMVE1TJywzOTE2Nyk=&amp;WINDOW=FIRST_POPUP&amp;HEIGHT=450&amp;WIDTH=450&amp;START_MA","XIMIZED=FALSE&amp;VAR:CALENDAR=US&amp;VAR:SYMBOL=G0129K10&amp;VAR:INDEX=0"}</definedName>
    <definedName name="_8374__FDSAUDITLINK__" hidden="1">{"fdsup://directions/FAT Viewer?action=UPDATE&amp;creator=factset&amp;DYN_ARGS=TRUE&amp;DOC_NAME=FAT:FQL_AUDITING_CLIENT_TEMPLATE.FAT&amp;display_string=Audit&amp;VAR:KEY=JWZUFKTMFU&amp;VAR:QUERY=RkZfRUJJVERBX0lCKCdMVE1TJywzOTE2Nyk=&amp;WINDOW=FIRST_POPUP&amp;HEIGHT=450&amp;WIDTH=450&amp;START_MA","XIMIZED=FALSE&amp;VAR:CALENDAR=US&amp;VAR:SYMBOL=G0129K10&amp;VAR:INDEX=0"}</definedName>
    <definedName name="_8375__FDSAUDITLINK__" localSheetId="6" hidden="1">{"fdsup://directions/FAT Viewer?action=UPDATE&amp;creator=factset&amp;DYN_ARGS=TRUE&amp;DOC_NAME=FAT:FQL_AUDITING_CLIENT_TEMPLATE.FAT&amp;display_string=Audit&amp;VAR:KEY=ZWFYFWZYZY&amp;VAR:QUERY=RkZfRUJJVERBX0lCKCdMVE1TJywzOTE2Nik=&amp;WINDOW=FIRST_POPUP&amp;HEIGHT=450&amp;WIDTH=450&amp;START_MA","XIMIZED=FALSE&amp;VAR:CALENDAR=US&amp;VAR:SYMBOL=G0129K10&amp;VAR:INDEX=0"}</definedName>
    <definedName name="_8375__FDSAUDITLINK__" hidden="1">{"fdsup://directions/FAT Viewer?action=UPDATE&amp;creator=factset&amp;DYN_ARGS=TRUE&amp;DOC_NAME=FAT:FQL_AUDITING_CLIENT_TEMPLATE.FAT&amp;display_string=Audit&amp;VAR:KEY=ZWFYFWZYZY&amp;VAR:QUERY=RkZfRUJJVERBX0lCKCdMVE1TJywzOTE2Nik=&amp;WINDOW=FIRST_POPUP&amp;HEIGHT=450&amp;WIDTH=450&amp;START_MA","XIMIZED=FALSE&amp;VAR:CALENDAR=US&amp;VAR:SYMBOL=G0129K10&amp;VAR:INDEX=0"}</definedName>
    <definedName name="_8376__FDSAUDITLINK__" localSheetId="6" hidden="1">{"fdsup://directions/FAT Viewer?action=UPDATE&amp;creator=factset&amp;DYN_ARGS=TRUE&amp;DOC_NAME=FAT:FQL_AUDITING_CLIENT_TEMPLATE.FAT&amp;display_string=Audit&amp;VAR:KEY=BOTQFMRUPE&amp;VAR:QUERY=RkZfRUJJVERBX0lCKCdMVE1TJywzOTE2NSk=&amp;WINDOW=FIRST_POPUP&amp;HEIGHT=450&amp;WIDTH=450&amp;START_MA","XIMIZED=FALSE&amp;VAR:CALENDAR=US&amp;VAR:SYMBOL=G0129K10&amp;VAR:INDEX=0"}</definedName>
    <definedName name="_8376__FDSAUDITLINK__" hidden="1">{"fdsup://directions/FAT Viewer?action=UPDATE&amp;creator=factset&amp;DYN_ARGS=TRUE&amp;DOC_NAME=FAT:FQL_AUDITING_CLIENT_TEMPLATE.FAT&amp;display_string=Audit&amp;VAR:KEY=BOTQFMRUPE&amp;VAR:QUERY=RkZfRUJJVERBX0lCKCdMVE1TJywzOTE2NSk=&amp;WINDOW=FIRST_POPUP&amp;HEIGHT=450&amp;WIDTH=450&amp;START_MA","XIMIZED=FALSE&amp;VAR:CALENDAR=US&amp;VAR:SYMBOL=G0129K10&amp;VAR:INDEX=0"}</definedName>
    <definedName name="_8377__FDSAUDITLINK__" localSheetId="6" hidden="1">{"fdsup://directions/FAT Viewer?action=UPDATE&amp;creator=factset&amp;DYN_ARGS=TRUE&amp;DOC_NAME=FAT:FQL_AUDITING_CLIENT_TEMPLATE.FAT&amp;display_string=Audit&amp;VAR:KEY=BAVYLSPWHM&amp;VAR:QUERY=RkZfRUJJVERBX0lCKCdMVE1TJywzOTE2NCk=&amp;WINDOW=FIRST_POPUP&amp;HEIGHT=450&amp;WIDTH=450&amp;START_MA","XIMIZED=FALSE&amp;VAR:CALENDAR=US&amp;VAR:SYMBOL=G0129K10&amp;VAR:INDEX=0"}</definedName>
    <definedName name="_8377__FDSAUDITLINK__" hidden="1">{"fdsup://directions/FAT Viewer?action=UPDATE&amp;creator=factset&amp;DYN_ARGS=TRUE&amp;DOC_NAME=FAT:FQL_AUDITING_CLIENT_TEMPLATE.FAT&amp;display_string=Audit&amp;VAR:KEY=BAVYLSPWHM&amp;VAR:QUERY=RkZfRUJJVERBX0lCKCdMVE1TJywzOTE2NCk=&amp;WINDOW=FIRST_POPUP&amp;HEIGHT=450&amp;WIDTH=450&amp;START_MA","XIMIZED=FALSE&amp;VAR:CALENDAR=US&amp;VAR:SYMBOL=G0129K10&amp;VAR:INDEX=0"}</definedName>
    <definedName name="_8378__FDSAUDITLINK__" localSheetId="6" hidden="1">{"fdsup://directions/FAT Viewer?action=UPDATE&amp;creator=factset&amp;DYN_ARGS=TRUE&amp;DOC_NAME=FAT:FQL_AUDITING_CLIENT_TEMPLATE.FAT&amp;display_string=Audit&amp;VAR:KEY=ZKFKRIJUXY&amp;VAR:QUERY=RkZfRUJJVERBX0lCKCdMVE1TJywzOTE2Myk=&amp;WINDOW=FIRST_POPUP&amp;HEIGHT=450&amp;WIDTH=450&amp;START_MA","XIMIZED=FALSE&amp;VAR:CALENDAR=US&amp;VAR:SYMBOL=G0129K10&amp;VAR:INDEX=0"}</definedName>
    <definedName name="_8378__FDSAUDITLINK__" hidden="1">{"fdsup://directions/FAT Viewer?action=UPDATE&amp;creator=factset&amp;DYN_ARGS=TRUE&amp;DOC_NAME=FAT:FQL_AUDITING_CLIENT_TEMPLATE.FAT&amp;display_string=Audit&amp;VAR:KEY=ZKFKRIJUXY&amp;VAR:QUERY=RkZfRUJJVERBX0lCKCdMVE1TJywzOTE2Myk=&amp;WINDOW=FIRST_POPUP&amp;HEIGHT=450&amp;WIDTH=450&amp;START_MA","XIMIZED=FALSE&amp;VAR:CALENDAR=US&amp;VAR:SYMBOL=G0129K10&amp;VAR:INDEX=0"}</definedName>
    <definedName name="_8379__FDSAUDITLINK__" localSheetId="6" hidden="1">{"fdsup://directions/FAT Viewer?action=UPDATE&amp;creator=factset&amp;DYN_ARGS=TRUE&amp;DOC_NAME=FAT:FQL_AUDITING_CLIENT_TEMPLATE.FAT&amp;display_string=Audit&amp;VAR:KEY=BSDCNCPUNM&amp;VAR:QUERY=RkZfRUJJVERBX0lCKCdMVE1TJywzOTE2Mik=&amp;WINDOW=FIRST_POPUP&amp;HEIGHT=450&amp;WIDTH=450&amp;START_MA","XIMIZED=FALSE&amp;VAR:CALENDAR=US&amp;VAR:SYMBOL=G0129K10&amp;VAR:INDEX=0"}</definedName>
    <definedName name="_8379__FDSAUDITLINK__" hidden="1">{"fdsup://directions/FAT Viewer?action=UPDATE&amp;creator=factset&amp;DYN_ARGS=TRUE&amp;DOC_NAME=FAT:FQL_AUDITING_CLIENT_TEMPLATE.FAT&amp;display_string=Audit&amp;VAR:KEY=BSDCNCPUNM&amp;VAR:QUERY=RkZfRUJJVERBX0lCKCdMVE1TJywzOTE2Mik=&amp;WINDOW=FIRST_POPUP&amp;HEIGHT=450&amp;WIDTH=450&amp;START_MA","XIMIZED=FALSE&amp;VAR:CALENDAR=US&amp;VAR:SYMBOL=G0129K10&amp;VAR:INDEX=0"}</definedName>
    <definedName name="_838__FDSAUDITLINK__" localSheetId="6" hidden="1">{"fdsup://directions/FAT%20Viewer?VAR:PED=LTM&amp;VAR:AUDIT_MODE=SUMMARY&amp;VAR:PERIOD=FIXED&amp;VAR:AUDIT_ID=00000117&amp;VAR:DATE=20071106&amp;action=UPDATE&amp;creator=factset&amp;DOC_NAME=FAT:FMA_audit_SUMMARY.fat&amp;DISPLAY_STRING=Display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8__FDSAUDITLINK__" hidden="1">{"fdsup://directions/FAT%20Viewer?VAR:PED=LTM&amp;VAR:AUDIT_MODE=SUMMARY&amp;VAR:PERIOD=FIXED&amp;VAR:AUDIT_ID=00000117&amp;VAR:DATE=20071106&amp;action=UPDATE&amp;creator=factset&amp;DOC_NAME=FAT:FMA_audit_SUMMARY.fat&amp;DISPLAY_STRING=Display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80__FDSAUDITLINK__" localSheetId="6" hidden="1">{"fdsup://directions/FAT Viewer?action=UPDATE&amp;creator=factset&amp;DYN_ARGS=TRUE&amp;DOC_NAME=FAT:FQL_AUDITING_CLIENT_TEMPLATE.FAT&amp;display_string=Audit&amp;VAR:KEY=HSBGHOHCXG&amp;VAR:QUERY=RkZfRUJJVERBX0lCKCdMVE1TJywzOTE2MSk=&amp;WINDOW=FIRST_POPUP&amp;HEIGHT=450&amp;WIDTH=450&amp;START_MA","XIMIZED=FALSE&amp;VAR:CALENDAR=US&amp;VAR:SYMBOL=G0129K10&amp;VAR:INDEX=0"}</definedName>
    <definedName name="_8380__FDSAUDITLINK__" hidden="1">{"fdsup://directions/FAT Viewer?action=UPDATE&amp;creator=factset&amp;DYN_ARGS=TRUE&amp;DOC_NAME=FAT:FQL_AUDITING_CLIENT_TEMPLATE.FAT&amp;display_string=Audit&amp;VAR:KEY=HSBGHOHCXG&amp;VAR:QUERY=RkZfRUJJVERBX0lCKCdMVE1TJywzOTE2MSk=&amp;WINDOW=FIRST_POPUP&amp;HEIGHT=450&amp;WIDTH=450&amp;START_MA","XIMIZED=FALSE&amp;VAR:CALENDAR=US&amp;VAR:SYMBOL=G0129K10&amp;VAR:INDEX=0"}</definedName>
    <definedName name="_8381__FDSAUDITLINK__" localSheetId="6" hidden="1">{"fdsup://directions/FAT Viewer?action=UPDATE&amp;creator=factset&amp;DYN_ARGS=TRUE&amp;DOC_NAME=FAT:FQL_AUDITING_CLIENT_TEMPLATE.FAT&amp;display_string=Audit&amp;VAR:KEY=VWVIXKTUPA&amp;VAR:QUERY=RkZfRUJJVERBX0lCKCdMVE1TJywzOTE2MCk=&amp;WINDOW=FIRST_POPUP&amp;HEIGHT=450&amp;WIDTH=450&amp;START_MA","XIMIZED=FALSE&amp;VAR:CALENDAR=US&amp;VAR:SYMBOL=G0129K10&amp;VAR:INDEX=0"}</definedName>
    <definedName name="_8381__FDSAUDITLINK__" hidden="1">{"fdsup://directions/FAT Viewer?action=UPDATE&amp;creator=factset&amp;DYN_ARGS=TRUE&amp;DOC_NAME=FAT:FQL_AUDITING_CLIENT_TEMPLATE.FAT&amp;display_string=Audit&amp;VAR:KEY=VWVIXKTUPA&amp;VAR:QUERY=RkZfRUJJVERBX0lCKCdMVE1TJywzOTE2MCk=&amp;WINDOW=FIRST_POPUP&amp;HEIGHT=450&amp;WIDTH=450&amp;START_MA","XIMIZED=FALSE&amp;VAR:CALENDAR=US&amp;VAR:SYMBOL=G0129K10&amp;VAR:INDEX=0"}</definedName>
    <definedName name="_8382__FDSAUDITLINK__" localSheetId="6" hidden="1">{"fdsup://directions/FAT Viewer?action=UPDATE&amp;creator=factset&amp;DYN_ARGS=TRUE&amp;DOC_NAME=FAT:FQL_AUDITING_CLIENT_TEMPLATE.FAT&amp;display_string=Audit&amp;VAR:KEY=JUFQDWJARU&amp;VAR:QUERY=RkZfRUJJVERBX0lCKCdMVE1TJywzOTE1OSk=&amp;WINDOW=FIRST_POPUP&amp;HEIGHT=450&amp;WIDTH=450&amp;START_MA","XIMIZED=FALSE&amp;VAR:CALENDAR=US&amp;VAR:SYMBOL=G0129K10&amp;VAR:INDEX=0"}</definedName>
    <definedName name="_8382__FDSAUDITLINK__" hidden="1">{"fdsup://directions/FAT Viewer?action=UPDATE&amp;creator=factset&amp;DYN_ARGS=TRUE&amp;DOC_NAME=FAT:FQL_AUDITING_CLIENT_TEMPLATE.FAT&amp;display_string=Audit&amp;VAR:KEY=JUFQDWJARU&amp;VAR:QUERY=RkZfRUJJVERBX0lCKCdMVE1TJywzOTE1OSk=&amp;WINDOW=FIRST_POPUP&amp;HEIGHT=450&amp;WIDTH=450&amp;START_MA","XIMIZED=FALSE&amp;VAR:CALENDAR=US&amp;VAR:SYMBOL=G0129K10&amp;VAR:INDEX=0"}</definedName>
    <definedName name="_8383__FDSAUDITLINK__" localSheetId="6" hidden="1">{"fdsup://directions/FAT Viewer?action=UPDATE&amp;creator=factset&amp;DYN_ARGS=TRUE&amp;DOC_NAME=FAT:FQL_AUDITING_CLIENT_TEMPLATE.FAT&amp;display_string=Audit&amp;VAR:KEY=HCZSFEFAJS&amp;VAR:QUERY=RkZfRUJJVERBX0lCKCdMVE1TJywzOTE1OCk=&amp;WINDOW=FIRST_POPUP&amp;HEIGHT=450&amp;WIDTH=450&amp;START_MA","XIMIZED=FALSE&amp;VAR:CALENDAR=US&amp;VAR:SYMBOL=G0129K10&amp;VAR:INDEX=0"}</definedName>
    <definedName name="_8383__FDSAUDITLINK__" hidden="1">{"fdsup://directions/FAT Viewer?action=UPDATE&amp;creator=factset&amp;DYN_ARGS=TRUE&amp;DOC_NAME=FAT:FQL_AUDITING_CLIENT_TEMPLATE.FAT&amp;display_string=Audit&amp;VAR:KEY=HCZSFEFAJS&amp;VAR:QUERY=RkZfRUJJVERBX0lCKCdMVE1TJywzOTE1OCk=&amp;WINDOW=FIRST_POPUP&amp;HEIGHT=450&amp;WIDTH=450&amp;START_MA","XIMIZED=FALSE&amp;VAR:CALENDAR=US&amp;VAR:SYMBOL=G0129K10&amp;VAR:INDEX=0"}</definedName>
    <definedName name="_8384__FDSAUDITLINK__" localSheetId="6" hidden="1">{"fdsup://directions/FAT Viewer?action=UPDATE&amp;creator=factset&amp;DYN_ARGS=TRUE&amp;DOC_NAME=FAT:FQL_AUDITING_CLIENT_TEMPLATE.FAT&amp;display_string=Audit&amp;VAR:KEY=BQXAPONCLM&amp;VAR:QUERY=RkZfRUJJVERBX0lCKCdMVE1TJywzOTE1Nyk=&amp;WINDOW=FIRST_POPUP&amp;HEIGHT=450&amp;WIDTH=450&amp;START_MA","XIMIZED=FALSE&amp;VAR:CALENDAR=US&amp;VAR:SYMBOL=G0129K10&amp;VAR:INDEX=0"}</definedName>
    <definedName name="_8384__FDSAUDITLINK__" hidden="1">{"fdsup://directions/FAT Viewer?action=UPDATE&amp;creator=factset&amp;DYN_ARGS=TRUE&amp;DOC_NAME=FAT:FQL_AUDITING_CLIENT_TEMPLATE.FAT&amp;display_string=Audit&amp;VAR:KEY=BQXAPONCLM&amp;VAR:QUERY=RkZfRUJJVERBX0lCKCdMVE1TJywzOTE1Nyk=&amp;WINDOW=FIRST_POPUP&amp;HEIGHT=450&amp;WIDTH=450&amp;START_MA","XIMIZED=FALSE&amp;VAR:CALENDAR=US&amp;VAR:SYMBOL=G0129K10&amp;VAR:INDEX=0"}</definedName>
    <definedName name="_8385__FDSAUDITLINK__" localSheetId="6" hidden="1">{"fdsup://directions/FAT Viewer?action=UPDATE&amp;creator=factset&amp;DYN_ARGS=TRUE&amp;DOC_NAME=FAT:FQL_AUDITING_CLIENT_TEMPLATE.FAT&amp;display_string=Audit&amp;VAR:KEY=BSRKVQHWXS&amp;VAR:QUERY=RkZfRUJJVERBX0lCKCdMVE1TJywzOTE1Nik=&amp;WINDOW=FIRST_POPUP&amp;HEIGHT=450&amp;WIDTH=450&amp;START_MA","XIMIZED=FALSE&amp;VAR:CALENDAR=US&amp;VAR:SYMBOL=G0129K10&amp;VAR:INDEX=0"}</definedName>
    <definedName name="_8385__FDSAUDITLINK__" hidden="1">{"fdsup://directions/FAT Viewer?action=UPDATE&amp;creator=factset&amp;DYN_ARGS=TRUE&amp;DOC_NAME=FAT:FQL_AUDITING_CLIENT_TEMPLATE.FAT&amp;display_string=Audit&amp;VAR:KEY=BSRKVQHWXS&amp;VAR:QUERY=RkZfRUJJVERBX0lCKCdMVE1TJywzOTE1Nik=&amp;WINDOW=FIRST_POPUP&amp;HEIGHT=450&amp;WIDTH=450&amp;START_MA","XIMIZED=FALSE&amp;VAR:CALENDAR=US&amp;VAR:SYMBOL=G0129K10&amp;VAR:INDEX=0"}</definedName>
    <definedName name="_8386__FDSAUDITLINK__" localSheetId="6" hidden="1">{"fdsup://directions/FAT Viewer?action=UPDATE&amp;creator=factset&amp;DYN_ARGS=TRUE&amp;DOC_NAME=FAT:FQL_AUDITING_CLIENT_TEMPLATE.FAT&amp;display_string=Audit&amp;VAR:KEY=TCJGRWHOVS&amp;VAR:QUERY=RkZfRUJJVERBX0lCKCdMVE1TJywzOTE1NSk=&amp;WINDOW=FIRST_POPUP&amp;HEIGHT=450&amp;WIDTH=450&amp;START_MA","XIMIZED=FALSE&amp;VAR:CALENDAR=US&amp;VAR:SYMBOL=G0129K10&amp;VAR:INDEX=0"}</definedName>
    <definedName name="_8386__FDSAUDITLINK__" hidden="1">{"fdsup://directions/FAT Viewer?action=UPDATE&amp;creator=factset&amp;DYN_ARGS=TRUE&amp;DOC_NAME=FAT:FQL_AUDITING_CLIENT_TEMPLATE.FAT&amp;display_string=Audit&amp;VAR:KEY=TCJGRWHOVS&amp;VAR:QUERY=RkZfRUJJVERBX0lCKCdMVE1TJywzOTE1NSk=&amp;WINDOW=FIRST_POPUP&amp;HEIGHT=450&amp;WIDTH=450&amp;START_MA","XIMIZED=FALSE&amp;VAR:CALENDAR=US&amp;VAR:SYMBOL=G0129K10&amp;VAR:INDEX=0"}</definedName>
    <definedName name="_8387__FDSAUDITLINK__" localSheetId="6" hidden="1">{"fdsup://directions/FAT Viewer?action=UPDATE&amp;creator=factset&amp;DYN_ARGS=TRUE&amp;DOC_NAME=FAT:FQL_AUDITING_CLIENT_TEMPLATE.FAT&amp;display_string=Audit&amp;VAR:KEY=LWHWLWPOBG&amp;VAR:QUERY=RkZfRUJJVERBX0lCKCdMVE1TJywzOTE1NCk=&amp;WINDOW=FIRST_POPUP&amp;HEIGHT=450&amp;WIDTH=450&amp;START_MA","XIMIZED=FALSE&amp;VAR:CALENDAR=US&amp;VAR:SYMBOL=G0129K10&amp;VAR:INDEX=0"}</definedName>
    <definedName name="_8387__FDSAUDITLINK__" hidden="1">{"fdsup://directions/FAT Viewer?action=UPDATE&amp;creator=factset&amp;DYN_ARGS=TRUE&amp;DOC_NAME=FAT:FQL_AUDITING_CLIENT_TEMPLATE.FAT&amp;display_string=Audit&amp;VAR:KEY=LWHWLWPOBG&amp;VAR:QUERY=RkZfRUJJVERBX0lCKCdMVE1TJywzOTE1NCk=&amp;WINDOW=FIRST_POPUP&amp;HEIGHT=450&amp;WIDTH=450&amp;START_MA","XIMIZED=FALSE&amp;VAR:CALENDAR=US&amp;VAR:SYMBOL=G0129K10&amp;VAR:INDEX=0"}</definedName>
    <definedName name="_8388__FDSAUDITLINK__" localSheetId="6" hidden="1">{"fdsup://directions/FAT Viewer?action=UPDATE&amp;creator=factset&amp;DYN_ARGS=TRUE&amp;DOC_NAME=FAT:FQL_AUDITING_CLIENT_TEMPLATE.FAT&amp;display_string=Audit&amp;VAR:KEY=REZUDOVWHW&amp;VAR:QUERY=RkZfRUJJVERBX0lCKCdMVE1TJywzOTE1Myk=&amp;WINDOW=FIRST_POPUP&amp;HEIGHT=450&amp;WIDTH=450&amp;START_MA","XIMIZED=FALSE&amp;VAR:CALENDAR=US&amp;VAR:SYMBOL=G0129K10&amp;VAR:INDEX=0"}</definedName>
    <definedName name="_8388__FDSAUDITLINK__" hidden="1">{"fdsup://directions/FAT Viewer?action=UPDATE&amp;creator=factset&amp;DYN_ARGS=TRUE&amp;DOC_NAME=FAT:FQL_AUDITING_CLIENT_TEMPLATE.FAT&amp;display_string=Audit&amp;VAR:KEY=REZUDOVWHW&amp;VAR:QUERY=RkZfRUJJVERBX0lCKCdMVE1TJywzOTE1Myk=&amp;WINDOW=FIRST_POPUP&amp;HEIGHT=450&amp;WIDTH=450&amp;START_MA","XIMIZED=FALSE&amp;VAR:CALENDAR=US&amp;VAR:SYMBOL=G0129K10&amp;VAR:INDEX=0"}</definedName>
    <definedName name="_8389__FDSAUDITLINK__" localSheetId="6" hidden="1">{"fdsup://directions/FAT Viewer?action=UPDATE&amp;creator=factset&amp;DYN_ARGS=TRUE&amp;DOC_NAME=FAT:FQL_AUDITING_CLIENT_TEMPLATE.FAT&amp;display_string=Audit&amp;VAR:KEY=HIVSLUDABW&amp;VAR:QUERY=RkZfRUJJVERBX0lCKCdMVE1TJywzOTE1Mik=&amp;WINDOW=FIRST_POPUP&amp;HEIGHT=450&amp;WIDTH=450&amp;START_MA","XIMIZED=FALSE&amp;VAR:CALENDAR=US&amp;VAR:SYMBOL=G0129K10&amp;VAR:INDEX=0"}</definedName>
    <definedName name="_8389__FDSAUDITLINK__" hidden="1">{"fdsup://directions/FAT Viewer?action=UPDATE&amp;creator=factset&amp;DYN_ARGS=TRUE&amp;DOC_NAME=FAT:FQL_AUDITING_CLIENT_TEMPLATE.FAT&amp;display_string=Audit&amp;VAR:KEY=HIVSLUDABW&amp;VAR:QUERY=RkZfRUJJVERBX0lCKCdMVE1TJywzOTE1Mik=&amp;WINDOW=FIRST_POPUP&amp;HEIGHT=450&amp;WIDTH=450&amp;START_MA","XIMIZED=FALSE&amp;VAR:CALENDAR=US&amp;VAR:SYMBOL=G0129K10&amp;VAR:INDEX=0"}</definedName>
    <definedName name="_839__FDSAUDITLINK__" localSheetId="6" hidden="1">{"fdsup://directions/FAT%20Viewer?VAR:PED=LTM&amp;VAR:AUDIT_MODE=SUMMARY&amp;VAR:PERIOD=FIXED&amp;VAR:AUDIT_ID=00000117&amp;VAR:DATE=20071105&amp;action=UPDATE&amp;creator=factset&amp;DOC_NAME=FAT:FMA_audit_SUMMARY.fat&amp;DISPLAY_STRING=Display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9__FDSAUDITLINK__" hidden="1">{"fdsup://directions/FAT%20Viewer?VAR:PED=LTM&amp;VAR:AUDIT_MODE=SUMMARY&amp;VAR:PERIOD=FIXED&amp;VAR:AUDIT_ID=00000117&amp;VAR:DATE=20071105&amp;action=UPDATE&amp;creator=factset&amp;DOC_NAME=FAT:FMA_audit_SUMMARY.fat&amp;DISPLAY_STRING=Display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390__FDSAUDITLINK__" localSheetId="6" hidden="1">{"fdsup://directions/FAT Viewer?action=UPDATE&amp;creator=factset&amp;DYN_ARGS=TRUE&amp;DOC_NAME=FAT:FQL_AUDITING_CLIENT_TEMPLATE.FAT&amp;display_string=Audit&amp;VAR:KEY=LUJWFUVKZM&amp;VAR:QUERY=RkZfRUJJVERBX0lCKCdMVE1TJywzOTE1MSk=&amp;WINDOW=FIRST_POPUP&amp;HEIGHT=450&amp;WIDTH=450&amp;START_MA","XIMIZED=FALSE&amp;VAR:CALENDAR=US&amp;VAR:SYMBOL=G0129K10&amp;VAR:INDEX=0"}</definedName>
    <definedName name="_8390__FDSAUDITLINK__" hidden="1">{"fdsup://directions/FAT Viewer?action=UPDATE&amp;creator=factset&amp;DYN_ARGS=TRUE&amp;DOC_NAME=FAT:FQL_AUDITING_CLIENT_TEMPLATE.FAT&amp;display_string=Audit&amp;VAR:KEY=LUJWFUVKZM&amp;VAR:QUERY=RkZfRUJJVERBX0lCKCdMVE1TJywzOTE1MSk=&amp;WINDOW=FIRST_POPUP&amp;HEIGHT=450&amp;WIDTH=450&amp;START_MA","XIMIZED=FALSE&amp;VAR:CALENDAR=US&amp;VAR:SYMBOL=G0129K10&amp;VAR:INDEX=0"}</definedName>
    <definedName name="_8391__FDSAUDITLINK__" localSheetId="6" hidden="1">{"fdsup://directions/FAT Viewer?action=UPDATE&amp;creator=factset&amp;DYN_ARGS=TRUE&amp;DOC_NAME=FAT:FQL_AUDITING_CLIENT_TEMPLATE.FAT&amp;display_string=Audit&amp;VAR:KEY=LAFYHMFSFU&amp;VAR:QUERY=RkZfRUJJVERBX0lCKCdMVE1TJywzOTE1MCk=&amp;WINDOW=FIRST_POPUP&amp;HEIGHT=450&amp;WIDTH=450&amp;START_MA","XIMIZED=FALSE&amp;VAR:CALENDAR=US&amp;VAR:SYMBOL=G0129K10&amp;VAR:INDEX=0"}</definedName>
    <definedName name="_8391__FDSAUDITLINK__" hidden="1">{"fdsup://directions/FAT Viewer?action=UPDATE&amp;creator=factset&amp;DYN_ARGS=TRUE&amp;DOC_NAME=FAT:FQL_AUDITING_CLIENT_TEMPLATE.FAT&amp;display_string=Audit&amp;VAR:KEY=LAFYHMFSFU&amp;VAR:QUERY=RkZfRUJJVERBX0lCKCdMVE1TJywzOTE1MCk=&amp;WINDOW=FIRST_POPUP&amp;HEIGHT=450&amp;WIDTH=450&amp;START_MA","XIMIZED=FALSE&amp;VAR:CALENDAR=US&amp;VAR:SYMBOL=G0129K10&amp;VAR:INDEX=0"}</definedName>
    <definedName name="_8392__FDSAUDITLINK__" localSheetId="6" hidden="1">{"fdsup://directions/FAT Viewer?action=UPDATE&amp;creator=factset&amp;DYN_ARGS=TRUE&amp;DOC_NAME=FAT:FQL_AUDITING_CLIENT_TEMPLATE.FAT&amp;display_string=Audit&amp;VAR:KEY=TYJKVOBYBU&amp;VAR:QUERY=RkZfRUJJVERBX0lCKCdMVE1TJywzOTE0OSk=&amp;WINDOW=FIRST_POPUP&amp;HEIGHT=450&amp;WIDTH=450&amp;START_MA","XIMIZED=FALSE&amp;VAR:CALENDAR=US&amp;VAR:SYMBOL=G0129K10&amp;VAR:INDEX=0"}</definedName>
    <definedName name="_8392__FDSAUDITLINK__" hidden="1">{"fdsup://directions/FAT Viewer?action=UPDATE&amp;creator=factset&amp;DYN_ARGS=TRUE&amp;DOC_NAME=FAT:FQL_AUDITING_CLIENT_TEMPLATE.FAT&amp;display_string=Audit&amp;VAR:KEY=TYJKVOBYBU&amp;VAR:QUERY=RkZfRUJJVERBX0lCKCdMVE1TJywzOTE0OSk=&amp;WINDOW=FIRST_POPUP&amp;HEIGHT=450&amp;WIDTH=450&amp;START_MA","XIMIZED=FALSE&amp;VAR:CALENDAR=US&amp;VAR:SYMBOL=G0129K10&amp;VAR:INDEX=0"}</definedName>
    <definedName name="_8393__FDSAUDITLINK__" localSheetId="6" hidden="1">{"fdsup://directions/FAT Viewer?action=UPDATE&amp;creator=factset&amp;DYN_ARGS=TRUE&amp;DOC_NAME=FAT:FQL_AUDITING_CLIENT_TEMPLATE.FAT&amp;display_string=Audit&amp;VAR:KEY=NGVUHGBSRC&amp;VAR:QUERY=RkZfRUJJVERBX0lCKCdMVE1TJywzOTE0OCk=&amp;WINDOW=FIRST_POPUP&amp;HEIGHT=450&amp;WIDTH=450&amp;START_MA","XIMIZED=FALSE&amp;VAR:CALENDAR=US&amp;VAR:SYMBOL=G0129K10&amp;VAR:INDEX=0"}</definedName>
    <definedName name="_8393__FDSAUDITLINK__" hidden="1">{"fdsup://directions/FAT Viewer?action=UPDATE&amp;creator=factset&amp;DYN_ARGS=TRUE&amp;DOC_NAME=FAT:FQL_AUDITING_CLIENT_TEMPLATE.FAT&amp;display_string=Audit&amp;VAR:KEY=NGVUHGBSRC&amp;VAR:QUERY=RkZfRUJJVERBX0lCKCdMVE1TJywzOTE0OCk=&amp;WINDOW=FIRST_POPUP&amp;HEIGHT=450&amp;WIDTH=450&amp;START_MA","XIMIZED=FALSE&amp;VAR:CALENDAR=US&amp;VAR:SYMBOL=G0129K10&amp;VAR:INDEX=0"}</definedName>
    <definedName name="_8394__FDSAUDITLINK__" localSheetId="6" hidden="1">{"fdsup://directions/FAT Viewer?action=UPDATE&amp;creator=factset&amp;DYN_ARGS=TRUE&amp;DOC_NAME=FAT:FQL_AUDITING_CLIENT_TEMPLATE.FAT&amp;display_string=Audit&amp;VAR:KEY=RIJSRSNOXS&amp;VAR:QUERY=RkZfRUJJVERBX0lCKCdMVE1TJywzOTE0Nyk=&amp;WINDOW=FIRST_POPUP&amp;HEIGHT=450&amp;WIDTH=450&amp;START_MA","XIMIZED=FALSE&amp;VAR:CALENDAR=US&amp;VAR:SYMBOL=G0129K10&amp;VAR:INDEX=0"}</definedName>
    <definedName name="_8394__FDSAUDITLINK__" hidden="1">{"fdsup://directions/FAT Viewer?action=UPDATE&amp;creator=factset&amp;DYN_ARGS=TRUE&amp;DOC_NAME=FAT:FQL_AUDITING_CLIENT_TEMPLATE.FAT&amp;display_string=Audit&amp;VAR:KEY=RIJSRSNOXS&amp;VAR:QUERY=RkZfRUJJVERBX0lCKCdMVE1TJywzOTE0Nyk=&amp;WINDOW=FIRST_POPUP&amp;HEIGHT=450&amp;WIDTH=450&amp;START_MA","XIMIZED=FALSE&amp;VAR:CALENDAR=US&amp;VAR:SYMBOL=G0129K10&amp;VAR:INDEX=0"}</definedName>
    <definedName name="_8395__FDSAUDITLINK__" localSheetId="6" hidden="1">{"fdsup://directions/FAT Viewer?action=UPDATE&amp;creator=factset&amp;DYN_ARGS=TRUE&amp;DOC_NAME=FAT:FQL_AUDITING_CLIENT_TEMPLATE.FAT&amp;display_string=Audit&amp;VAR:KEY=PKDYHMPURQ&amp;VAR:QUERY=RkZfRUJJVERBX0lCKCdMVE1TJywzOTE0Nik=&amp;WINDOW=FIRST_POPUP&amp;HEIGHT=450&amp;WIDTH=450&amp;START_MA","XIMIZED=FALSE&amp;VAR:CALENDAR=US&amp;VAR:SYMBOL=G0129K10&amp;VAR:INDEX=0"}</definedName>
    <definedName name="_8395__FDSAUDITLINK__" hidden="1">{"fdsup://directions/FAT Viewer?action=UPDATE&amp;creator=factset&amp;DYN_ARGS=TRUE&amp;DOC_NAME=FAT:FQL_AUDITING_CLIENT_TEMPLATE.FAT&amp;display_string=Audit&amp;VAR:KEY=PKDYHMPURQ&amp;VAR:QUERY=RkZfRUJJVERBX0lCKCdMVE1TJywzOTE0Nik=&amp;WINDOW=FIRST_POPUP&amp;HEIGHT=450&amp;WIDTH=450&amp;START_MA","XIMIZED=FALSE&amp;VAR:CALENDAR=US&amp;VAR:SYMBOL=G0129K10&amp;VAR:INDEX=0"}</definedName>
    <definedName name="_8396__FDSAUDITLINK__" localSheetId="6" hidden="1">{"fdsup://directions/FAT Viewer?action=UPDATE&amp;creator=factset&amp;DYN_ARGS=TRUE&amp;DOC_NAME=FAT:FQL_AUDITING_CLIENT_TEMPLATE.FAT&amp;display_string=Audit&amp;VAR:KEY=FKDOXMRQJY&amp;VAR:QUERY=RkZfRUJJVERBX0lCKCdMVE1TJywzOTE0NSk=&amp;WINDOW=FIRST_POPUP&amp;HEIGHT=450&amp;WIDTH=450&amp;START_MA","XIMIZED=FALSE&amp;VAR:CALENDAR=US&amp;VAR:SYMBOL=G0129K10&amp;VAR:INDEX=0"}</definedName>
    <definedName name="_8396__FDSAUDITLINK__" hidden="1">{"fdsup://directions/FAT Viewer?action=UPDATE&amp;creator=factset&amp;DYN_ARGS=TRUE&amp;DOC_NAME=FAT:FQL_AUDITING_CLIENT_TEMPLATE.FAT&amp;display_string=Audit&amp;VAR:KEY=FKDOXMRQJY&amp;VAR:QUERY=RkZfRUJJVERBX0lCKCdMVE1TJywzOTE0NSk=&amp;WINDOW=FIRST_POPUP&amp;HEIGHT=450&amp;WIDTH=450&amp;START_MA","XIMIZED=FALSE&amp;VAR:CALENDAR=US&amp;VAR:SYMBOL=G0129K10&amp;VAR:INDEX=0"}</definedName>
    <definedName name="_8397__FDSAUDITLINK__" localSheetId="6" hidden="1">{"fdsup://directions/FAT Viewer?action=UPDATE&amp;creator=factset&amp;DYN_ARGS=TRUE&amp;DOC_NAME=FAT:FQL_AUDITING_CLIENT_TEMPLATE.FAT&amp;display_string=Audit&amp;VAR:KEY=XEXCLGFOJE&amp;VAR:QUERY=RkZfRUJJVERBX0lCKCdMVE1TJywzOTE0NCk=&amp;WINDOW=FIRST_POPUP&amp;HEIGHT=450&amp;WIDTH=450&amp;START_MA","XIMIZED=FALSE&amp;VAR:CALENDAR=US&amp;VAR:SYMBOL=G0129K10&amp;VAR:INDEX=0"}</definedName>
    <definedName name="_8397__FDSAUDITLINK__" hidden="1">{"fdsup://directions/FAT Viewer?action=UPDATE&amp;creator=factset&amp;DYN_ARGS=TRUE&amp;DOC_NAME=FAT:FQL_AUDITING_CLIENT_TEMPLATE.FAT&amp;display_string=Audit&amp;VAR:KEY=XEXCLGFOJE&amp;VAR:QUERY=RkZfRUJJVERBX0lCKCdMVE1TJywzOTE0NCk=&amp;WINDOW=FIRST_POPUP&amp;HEIGHT=450&amp;WIDTH=450&amp;START_MA","XIMIZED=FALSE&amp;VAR:CALENDAR=US&amp;VAR:SYMBOL=G0129K10&amp;VAR:INDEX=0"}</definedName>
    <definedName name="_8398__FDSAUDITLINK__" localSheetId="6" hidden="1">{"fdsup://directions/FAT Viewer?action=UPDATE&amp;creator=factset&amp;DYN_ARGS=TRUE&amp;DOC_NAME=FAT:FQL_AUDITING_CLIENT_TEMPLATE.FAT&amp;display_string=Audit&amp;VAR:KEY=RGHUJIBINE&amp;VAR:QUERY=RkZfRUJJVERBX0lCKCdMVE1TJywzOTE0Myk=&amp;WINDOW=FIRST_POPUP&amp;HEIGHT=450&amp;WIDTH=450&amp;START_MA","XIMIZED=FALSE&amp;VAR:CALENDAR=US&amp;VAR:SYMBOL=G0129K10&amp;VAR:INDEX=0"}</definedName>
    <definedName name="_8398__FDSAUDITLINK__" hidden="1">{"fdsup://directions/FAT Viewer?action=UPDATE&amp;creator=factset&amp;DYN_ARGS=TRUE&amp;DOC_NAME=FAT:FQL_AUDITING_CLIENT_TEMPLATE.FAT&amp;display_string=Audit&amp;VAR:KEY=RGHUJIBINE&amp;VAR:QUERY=RkZfRUJJVERBX0lCKCdMVE1TJywzOTE0Myk=&amp;WINDOW=FIRST_POPUP&amp;HEIGHT=450&amp;WIDTH=450&amp;START_MA","XIMIZED=FALSE&amp;VAR:CALENDAR=US&amp;VAR:SYMBOL=G0129K10&amp;VAR:INDEX=0"}</definedName>
    <definedName name="_8399__FDSAUDITLINK__" localSheetId="6" hidden="1">{"fdsup://directions/FAT Viewer?action=UPDATE&amp;creator=factset&amp;DYN_ARGS=TRUE&amp;DOC_NAME=FAT:FQL_AUDITING_CLIENT_TEMPLATE.FAT&amp;display_string=Audit&amp;VAR:KEY=TWJEPSDMRU&amp;VAR:QUERY=RkZfRUJJVERBX0lCKCdMVE1TJywzOTE0Mik=&amp;WINDOW=FIRST_POPUP&amp;HEIGHT=450&amp;WIDTH=450&amp;START_MA","XIMIZED=FALSE&amp;VAR:CALENDAR=US&amp;VAR:SYMBOL=G0129K10&amp;VAR:INDEX=0"}</definedName>
    <definedName name="_8399__FDSAUDITLINK__" hidden="1">{"fdsup://directions/FAT Viewer?action=UPDATE&amp;creator=factset&amp;DYN_ARGS=TRUE&amp;DOC_NAME=FAT:FQL_AUDITING_CLIENT_TEMPLATE.FAT&amp;display_string=Audit&amp;VAR:KEY=TWJEPSDMRU&amp;VAR:QUERY=RkZfRUJJVERBX0lCKCdMVE1TJywzOTE0Mik=&amp;WINDOW=FIRST_POPUP&amp;HEIGHT=450&amp;WIDTH=450&amp;START_MA","XIMIZED=FALSE&amp;VAR:CALENDAR=US&amp;VAR:SYMBOL=G0129K10&amp;VAR:INDEX=0"}</definedName>
    <definedName name="_84__FDSAUDITLINK__" localSheetId="6" hidden="1">{"fdsup://directions/FAT Viewer?action=UPDATE&amp;creator=factset&amp;DYN_ARGS=TRUE&amp;DOC_NAME=FAT:FQL_AUDITING_CLIENT_TEMPLATE.FAT&amp;display_string=Audit&amp;VAR:KEY=PKPEBABGZG&amp;VAR:QUERY=QVZHKENTRl9ORVRfSU5DKEFOTiwwRlksLTZGWSxZKSkgLyAoQVZHKENTRl9BU1NFVFMoQU5OLDBGWSwtNkZZL","EZZKSkgLSBBVkcoQ1NGX0lOVEFORyhBTk4sMCwtNkZZLEZZKSkp&amp;WINDOW=FIRST_POPUP&amp;HEIGHT=450&amp;WIDTH=450&amp;START_MAXIMIZED=FALSE&amp;VAR:CALENDAR=US&amp;VAR:SYMBOL=G8766E10"}</definedName>
    <definedName name="_84__FDSAUDITLINK__" hidden="1">{"fdsup://directions/FAT Viewer?action=UPDATE&amp;creator=factset&amp;DYN_ARGS=TRUE&amp;DOC_NAME=FAT:FQL_AUDITING_CLIENT_TEMPLATE.FAT&amp;display_string=Audit&amp;VAR:KEY=PKPEBABGZG&amp;VAR:QUERY=QVZHKENTRl9ORVRfSU5DKEFOTiwwRlksLTZGWSxZKSkgLyAoQVZHKENTRl9BU1NFVFMoQU5OLDBGWSwtNkZZL","EZZKSkgLSBBVkcoQ1NGX0lOVEFORyhBTk4sMCwtNkZZLEZZKSkp&amp;WINDOW=FIRST_POPUP&amp;HEIGHT=450&amp;WIDTH=450&amp;START_MAXIMIZED=FALSE&amp;VAR:CALENDAR=US&amp;VAR:SYMBOL=G8766E10"}</definedName>
    <definedName name="_840__FDSAUDITLINK__" localSheetId="6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0__FDSAUDITLINK__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00__FDSAUDITLINK__" localSheetId="6" hidden="1">{"fdsup://directions/FAT Viewer?action=UPDATE&amp;creator=factset&amp;DYN_ARGS=TRUE&amp;DOC_NAME=FAT:FQL_AUDITING_CLIENT_TEMPLATE.FAT&amp;display_string=Audit&amp;VAR:KEY=TWVOPCTMRE&amp;VAR:QUERY=RkZfRUJJVERBX0lCKCdMVE1TJywzOTE0MSk=&amp;WINDOW=FIRST_POPUP&amp;HEIGHT=450&amp;WIDTH=450&amp;START_MA","XIMIZED=FALSE&amp;VAR:CALENDAR=US&amp;VAR:SYMBOL=G0129K10&amp;VAR:INDEX=0"}</definedName>
    <definedName name="_8400__FDSAUDITLINK__" hidden="1">{"fdsup://directions/FAT Viewer?action=UPDATE&amp;creator=factset&amp;DYN_ARGS=TRUE&amp;DOC_NAME=FAT:FQL_AUDITING_CLIENT_TEMPLATE.FAT&amp;display_string=Audit&amp;VAR:KEY=TWVOPCTMRE&amp;VAR:QUERY=RkZfRUJJVERBX0lCKCdMVE1TJywzOTE0MSk=&amp;WINDOW=FIRST_POPUP&amp;HEIGHT=450&amp;WIDTH=450&amp;START_MA","XIMIZED=FALSE&amp;VAR:CALENDAR=US&amp;VAR:SYMBOL=G0129K10&amp;VAR:INDEX=0"}</definedName>
    <definedName name="_8401__FDSAUDITLINK__" localSheetId="6" hidden="1">{"fdsup://directions/FAT Viewer?action=UPDATE&amp;creator=factset&amp;DYN_ARGS=TRUE&amp;DOC_NAME=FAT:FQL_AUDITING_CLIENT_TEMPLATE.FAT&amp;display_string=Audit&amp;VAR:KEY=DWZEJODEHO&amp;VAR:QUERY=RkZfRUJJVERBX0lCKCdMVE1TJywzOTE0MCk=&amp;WINDOW=FIRST_POPUP&amp;HEIGHT=450&amp;WIDTH=450&amp;START_MA","XIMIZED=FALSE&amp;VAR:CALENDAR=US&amp;VAR:SYMBOL=G0129K10&amp;VAR:INDEX=0"}</definedName>
    <definedName name="_8401__FDSAUDITLINK__" hidden="1">{"fdsup://directions/FAT Viewer?action=UPDATE&amp;creator=factset&amp;DYN_ARGS=TRUE&amp;DOC_NAME=FAT:FQL_AUDITING_CLIENT_TEMPLATE.FAT&amp;display_string=Audit&amp;VAR:KEY=DWZEJODEHO&amp;VAR:QUERY=RkZfRUJJVERBX0lCKCdMVE1TJywzOTE0MCk=&amp;WINDOW=FIRST_POPUP&amp;HEIGHT=450&amp;WIDTH=450&amp;START_MA","XIMIZED=FALSE&amp;VAR:CALENDAR=US&amp;VAR:SYMBOL=G0129K10&amp;VAR:INDEX=0"}</definedName>
    <definedName name="_8402__FDSAUDITLINK__" localSheetId="6" hidden="1">{"fdsup://directions/FAT Viewer?action=UPDATE&amp;creator=factset&amp;DYN_ARGS=TRUE&amp;DOC_NAME=FAT:FQL_AUDITING_CLIENT_TEMPLATE.FAT&amp;display_string=Audit&amp;VAR:KEY=TEBGTQVORE&amp;VAR:QUERY=RkZfRUJJVERBX0lCKCdMVE1TJywzOTEzOSk=&amp;WINDOW=FIRST_POPUP&amp;HEIGHT=450&amp;WIDTH=450&amp;START_MA","XIMIZED=FALSE&amp;VAR:CALENDAR=US&amp;VAR:SYMBOL=G0129K10&amp;VAR:INDEX=0"}</definedName>
    <definedName name="_8402__FDSAUDITLINK__" hidden="1">{"fdsup://directions/FAT Viewer?action=UPDATE&amp;creator=factset&amp;DYN_ARGS=TRUE&amp;DOC_NAME=FAT:FQL_AUDITING_CLIENT_TEMPLATE.FAT&amp;display_string=Audit&amp;VAR:KEY=TEBGTQVORE&amp;VAR:QUERY=RkZfRUJJVERBX0lCKCdMVE1TJywzOTEzOSk=&amp;WINDOW=FIRST_POPUP&amp;HEIGHT=450&amp;WIDTH=450&amp;START_MA","XIMIZED=FALSE&amp;VAR:CALENDAR=US&amp;VAR:SYMBOL=G0129K10&amp;VAR:INDEX=0"}</definedName>
    <definedName name="_8403__FDSAUDITLINK__" localSheetId="6" hidden="1">{"fdsup://directions/FAT Viewer?action=UPDATE&amp;creator=factset&amp;DYN_ARGS=TRUE&amp;DOC_NAME=FAT:FQL_AUDITING_CLIENT_TEMPLATE.FAT&amp;display_string=Audit&amp;VAR:KEY=LSXMRIRITK&amp;VAR:QUERY=RkZfRUJJVERBX0lCKCdMVE1TJywzOTEzOCk=&amp;WINDOW=FIRST_POPUP&amp;HEIGHT=450&amp;WIDTH=450&amp;START_MA","XIMIZED=FALSE&amp;VAR:CALENDAR=US&amp;VAR:SYMBOL=G0129K10&amp;VAR:INDEX=0"}</definedName>
    <definedName name="_8403__FDSAUDITLINK__" hidden="1">{"fdsup://directions/FAT Viewer?action=UPDATE&amp;creator=factset&amp;DYN_ARGS=TRUE&amp;DOC_NAME=FAT:FQL_AUDITING_CLIENT_TEMPLATE.FAT&amp;display_string=Audit&amp;VAR:KEY=LSXMRIRITK&amp;VAR:QUERY=RkZfRUJJVERBX0lCKCdMVE1TJywzOTEzOCk=&amp;WINDOW=FIRST_POPUP&amp;HEIGHT=450&amp;WIDTH=450&amp;START_MA","XIMIZED=FALSE&amp;VAR:CALENDAR=US&amp;VAR:SYMBOL=G0129K10&amp;VAR:INDEX=0"}</definedName>
    <definedName name="_8404__FDSAUDITLINK__" localSheetId="6" hidden="1">{"fdsup://directions/FAT Viewer?action=UPDATE&amp;creator=factset&amp;DYN_ARGS=TRUE&amp;DOC_NAME=FAT:FQL_AUDITING_CLIENT_TEMPLATE.FAT&amp;display_string=Audit&amp;VAR:KEY=TOLYTOHYJE&amp;VAR:QUERY=RkZfRUJJVERBX0lCKCdMVE1TJywzOTEzNyk=&amp;WINDOW=FIRST_POPUP&amp;HEIGHT=450&amp;WIDTH=450&amp;START_MA","XIMIZED=FALSE&amp;VAR:CALENDAR=US&amp;VAR:SYMBOL=G0129K10&amp;VAR:INDEX=0"}</definedName>
    <definedName name="_8404__FDSAUDITLINK__" hidden="1">{"fdsup://directions/FAT Viewer?action=UPDATE&amp;creator=factset&amp;DYN_ARGS=TRUE&amp;DOC_NAME=FAT:FQL_AUDITING_CLIENT_TEMPLATE.FAT&amp;display_string=Audit&amp;VAR:KEY=TOLYTOHYJE&amp;VAR:QUERY=RkZfRUJJVERBX0lCKCdMVE1TJywzOTEzNyk=&amp;WINDOW=FIRST_POPUP&amp;HEIGHT=450&amp;WIDTH=450&amp;START_MA","XIMIZED=FALSE&amp;VAR:CALENDAR=US&amp;VAR:SYMBOL=G0129K10&amp;VAR:INDEX=0"}</definedName>
    <definedName name="_8405__FDSAUDITLINK__" localSheetId="6" hidden="1">{"fdsup://directions/FAT Viewer?action=UPDATE&amp;creator=factset&amp;DYN_ARGS=TRUE&amp;DOC_NAME=FAT:FQL_AUDITING_CLIENT_TEMPLATE.FAT&amp;display_string=Audit&amp;VAR:KEY=LANEDGXWHY&amp;VAR:QUERY=RkZfRUJJVERBX0lCKCdMVE1TJywzOTEzNik=&amp;WINDOW=FIRST_POPUP&amp;HEIGHT=450&amp;WIDTH=450&amp;START_MA","XIMIZED=FALSE&amp;VAR:CALENDAR=US&amp;VAR:SYMBOL=G0129K10&amp;VAR:INDEX=0"}</definedName>
    <definedName name="_8405__FDSAUDITLINK__" hidden="1">{"fdsup://directions/FAT Viewer?action=UPDATE&amp;creator=factset&amp;DYN_ARGS=TRUE&amp;DOC_NAME=FAT:FQL_AUDITING_CLIENT_TEMPLATE.FAT&amp;display_string=Audit&amp;VAR:KEY=LANEDGXWHY&amp;VAR:QUERY=RkZfRUJJVERBX0lCKCdMVE1TJywzOTEzNik=&amp;WINDOW=FIRST_POPUP&amp;HEIGHT=450&amp;WIDTH=450&amp;START_MA","XIMIZED=FALSE&amp;VAR:CALENDAR=US&amp;VAR:SYMBOL=G0129K10&amp;VAR:INDEX=0"}</definedName>
    <definedName name="_8406__FDSAUDITLINK__" localSheetId="6" hidden="1">{"fdsup://directions/FAT Viewer?action=UPDATE&amp;creator=factset&amp;DYN_ARGS=TRUE&amp;DOC_NAME=FAT:FQL_AUDITING_CLIENT_TEMPLATE.FAT&amp;display_string=Audit&amp;VAR:KEY=RUHKVYVSPW&amp;VAR:QUERY=RkZfRUJJVERBX0lCKCdMVE1TJywzOTEzNSk=&amp;WINDOW=FIRST_POPUP&amp;HEIGHT=450&amp;WIDTH=450&amp;START_MA","XIMIZED=FALSE&amp;VAR:CALENDAR=US&amp;VAR:SYMBOL=G0129K10&amp;VAR:INDEX=0"}</definedName>
    <definedName name="_8406__FDSAUDITLINK__" hidden="1">{"fdsup://directions/FAT Viewer?action=UPDATE&amp;creator=factset&amp;DYN_ARGS=TRUE&amp;DOC_NAME=FAT:FQL_AUDITING_CLIENT_TEMPLATE.FAT&amp;display_string=Audit&amp;VAR:KEY=RUHKVYVSPW&amp;VAR:QUERY=RkZfRUJJVERBX0lCKCdMVE1TJywzOTEzNSk=&amp;WINDOW=FIRST_POPUP&amp;HEIGHT=450&amp;WIDTH=450&amp;START_MA","XIMIZED=FALSE&amp;VAR:CALENDAR=US&amp;VAR:SYMBOL=G0129K10&amp;VAR:INDEX=0"}</definedName>
    <definedName name="_8407__FDSAUDITLINK__" localSheetId="6" hidden="1">{"fdsup://directions/FAT Viewer?action=UPDATE&amp;creator=factset&amp;DYN_ARGS=TRUE&amp;DOC_NAME=FAT:FQL_AUDITING_CLIENT_TEMPLATE.FAT&amp;display_string=Audit&amp;VAR:KEY=XOPQFKJKZG&amp;VAR:QUERY=RkZfRUJJVERBX0lCKCdMVE1TJywzOTEzNCk=&amp;WINDOW=FIRST_POPUP&amp;HEIGHT=450&amp;WIDTH=450&amp;START_MA","XIMIZED=FALSE&amp;VAR:CALENDAR=US&amp;VAR:SYMBOL=G0129K10&amp;VAR:INDEX=0"}</definedName>
    <definedName name="_8407__FDSAUDITLINK__" hidden="1">{"fdsup://directions/FAT Viewer?action=UPDATE&amp;creator=factset&amp;DYN_ARGS=TRUE&amp;DOC_NAME=FAT:FQL_AUDITING_CLIENT_TEMPLATE.FAT&amp;display_string=Audit&amp;VAR:KEY=XOPQFKJKZG&amp;VAR:QUERY=RkZfRUJJVERBX0lCKCdMVE1TJywzOTEzNCk=&amp;WINDOW=FIRST_POPUP&amp;HEIGHT=450&amp;WIDTH=450&amp;START_MA","XIMIZED=FALSE&amp;VAR:CALENDAR=US&amp;VAR:SYMBOL=G0129K10&amp;VAR:INDEX=0"}</definedName>
    <definedName name="_8408__FDSAUDITLINK__" localSheetId="6" hidden="1">{"fdsup://directions/FAT Viewer?action=UPDATE&amp;creator=factset&amp;DYN_ARGS=TRUE&amp;DOC_NAME=FAT:FQL_AUDITING_CLIENT_TEMPLATE.FAT&amp;display_string=Audit&amp;VAR:KEY=JAHCVKRYLG&amp;VAR:QUERY=RkZfRUJJVERBX0lCKCdMVE1TJywzOTEzMyk=&amp;WINDOW=FIRST_POPUP&amp;HEIGHT=450&amp;WIDTH=450&amp;START_MA","XIMIZED=FALSE&amp;VAR:CALENDAR=US&amp;VAR:SYMBOL=G0129K10&amp;VAR:INDEX=0"}</definedName>
    <definedName name="_8408__FDSAUDITLINK__" hidden="1">{"fdsup://directions/FAT Viewer?action=UPDATE&amp;creator=factset&amp;DYN_ARGS=TRUE&amp;DOC_NAME=FAT:FQL_AUDITING_CLIENT_TEMPLATE.FAT&amp;display_string=Audit&amp;VAR:KEY=JAHCVKRYLG&amp;VAR:QUERY=RkZfRUJJVERBX0lCKCdMVE1TJywzOTEzMyk=&amp;WINDOW=FIRST_POPUP&amp;HEIGHT=450&amp;WIDTH=450&amp;START_MA","XIMIZED=FALSE&amp;VAR:CALENDAR=US&amp;VAR:SYMBOL=G0129K10&amp;VAR:INDEX=0"}</definedName>
    <definedName name="_8409__FDSAUDITLINK__" localSheetId="6" hidden="1">{"fdsup://directions/FAT Viewer?action=UPDATE&amp;creator=factset&amp;DYN_ARGS=TRUE&amp;DOC_NAME=FAT:FQL_AUDITING_CLIENT_TEMPLATE.FAT&amp;display_string=Audit&amp;VAR:KEY=HSDOFAJOVW&amp;VAR:QUERY=RkZfRUJJVERBX0lCKCdMVE1TJywzOTEzMik=&amp;WINDOW=FIRST_POPUP&amp;HEIGHT=450&amp;WIDTH=450&amp;START_MA","XIMIZED=FALSE&amp;VAR:CALENDAR=US&amp;VAR:SYMBOL=G0129K10&amp;VAR:INDEX=0"}</definedName>
    <definedName name="_8409__FDSAUDITLINK__" hidden="1">{"fdsup://directions/FAT Viewer?action=UPDATE&amp;creator=factset&amp;DYN_ARGS=TRUE&amp;DOC_NAME=FAT:FQL_AUDITING_CLIENT_TEMPLATE.FAT&amp;display_string=Audit&amp;VAR:KEY=HSDOFAJOVW&amp;VAR:QUERY=RkZfRUJJVERBX0lCKCdMVE1TJywzOTEzMik=&amp;WINDOW=FIRST_POPUP&amp;HEIGHT=450&amp;WIDTH=450&amp;START_MA","XIMIZED=FALSE&amp;VAR:CALENDAR=US&amp;VAR:SYMBOL=G0129K10&amp;VAR:INDEX=0"}</definedName>
    <definedName name="_841__FDSAUDITLINK__" localSheetId="6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1__FDSAUDITLINK__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10__FDSAUDITLINK__" localSheetId="6" hidden="1">{"fdsup://directions/FAT Viewer?action=UPDATE&amp;creator=factset&amp;DYN_ARGS=TRUE&amp;DOC_NAME=FAT:FQL_AUDITING_CLIENT_TEMPLATE.FAT&amp;display_string=Audit&amp;VAR:KEY=TYJWNIXSRA&amp;VAR:QUERY=RkZfRUJJVERBX0lCKCdMVE1TJywzOTEzMSk=&amp;WINDOW=FIRST_POPUP&amp;HEIGHT=450&amp;WIDTH=450&amp;START_MA","XIMIZED=FALSE&amp;VAR:CALENDAR=US&amp;VAR:SYMBOL=G0129K10&amp;VAR:INDEX=0"}</definedName>
    <definedName name="_8410__FDSAUDITLINK__" hidden="1">{"fdsup://directions/FAT Viewer?action=UPDATE&amp;creator=factset&amp;DYN_ARGS=TRUE&amp;DOC_NAME=FAT:FQL_AUDITING_CLIENT_TEMPLATE.FAT&amp;display_string=Audit&amp;VAR:KEY=TYJWNIXSRA&amp;VAR:QUERY=RkZfRUJJVERBX0lCKCdMVE1TJywzOTEzMSk=&amp;WINDOW=FIRST_POPUP&amp;HEIGHT=450&amp;WIDTH=450&amp;START_MA","XIMIZED=FALSE&amp;VAR:CALENDAR=US&amp;VAR:SYMBOL=G0129K10&amp;VAR:INDEX=0"}</definedName>
    <definedName name="_8411__FDSAUDITLINK__" localSheetId="6" hidden="1">{"fdsup://directions/FAT Viewer?action=UPDATE&amp;creator=factset&amp;DYN_ARGS=TRUE&amp;DOC_NAME=FAT:FQL_AUDITING_CLIENT_TEMPLATE.FAT&amp;display_string=Audit&amp;VAR:KEY=ZWREFEBYZI&amp;VAR:QUERY=RkZfRUJJVERBX0lCKCdMVE1TJywzOTEzMCk=&amp;WINDOW=FIRST_POPUP&amp;HEIGHT=450&amp;WIDTH=450&amp;START_MA","XIMIZED=FALSE&amp;VAR:CALENDAR=US&amp;VAR:SYMBOL=G0129K10&amp;VAR:INDEX=0"}</definedName>
    <definedName name="_8411__FDSAUDITLINK__" hidden="1">{"fdsup://directions/FAT Viewer?action=UPDATE&amp;creator=factset&amp;DYN_ARGS=TRUE&amp;DOC_NAME=FAT:FQL_AUDITING_CLIENT_TEMPLATE.FAT&amp;display_string=Audit&amp;VAR:KEY=ZWREFEBYZI&amp;VAR:QUERY=RkZfRUJJVERBX0lCKCdMVE1TJywzOTEzMCk=&amp;WINDOW=FIRST_POPUP&amp;HEIGHT=450&amp;WIDTH=450&amp;START_MA","XIMIZED=FALSE&amp;VAR:CALENDAR=US&amp;VAR:SYMBOL=G0129K10&amp;VAR:INDEX=0"}</definedName>
    <definedName name="_8412__FDSAUDITLINK__" localSheetId="6" hidden="1">{"fdsup://directions/FAT Viewer?action=UPDATE&amp;creator=factset&amp;DYN_ARGS=TRUE&amp;DOC_NAME=FAT:FQL_AUDITING_CLIENT_TEMPLATE.FAT&amp;display_string=Audit&amp;VAR:KEY=HSZWFUPGNK&amp;VAR:QUERY=RkZfRUJJVERBX0lCKCdMVE1TJywzOTEyOSk=&amp;WINDOW=FIRST_POPUP&amp;HEIGHT=450&amp;WIDTH=450&amp;START_MA","XIMIZED=FALSE&amp;VAR:CALENDAR=US&amp;VAR:SYMBOL=G0129K10&amp;VAR:INDEX=0"}</definedName>
    <definedName name="_8412__FDSAUDITLINK__" hidden="1">{"fdsup://directions/FAT Viewer?action=UPDATE&amp;creator=factset&amp;DYN_ARGS=TRUE&amp;DOC_NAME=FAT:FQL_AUDITING_CLIENT_TEMPLATE.FAT&amp;display_string=Audit&amp;VAR:KEY=HSZWFUPGNK&amp;VAR:QUERY=RkZfRUJJVERBX0lCKCdMVE1TJywzOTEyOSk=&amp;WINDOW=FIRST_POPUP&amp;HEIGHT=450&amp;WIDTH=450&amp;START_MA","XIMIZED=FALSE&amp;VAR:CALENDAR=US&amp;VAR:SYMBOL=G0129K10&amp;VAR:INDEX=0"}</definedName>
    <definedName name="_8413__FDSAUDITLINK__" localSheetId="6" hidden="1">{"fdsup://directions/FAT Viewer?action=UPDATE&amp;creator=factset&amp;DYN_ARGS=TRUE&amp;DOC_NAME=FAT:FQL_AUDITING_CLIENT_TEMPLATE.FAT&amp;display_string=Audit&amp;VAR:KEY=XSZWBQRSZY&amp;VAR:QUERY=RkZfRUJJVERBX0lCKCdMVE1TJywzOTEyOCk=&amp;WINDOW=FIRST_POPUP&amp;HEIGHT=450&amp;WIDTH=450&amp;START_MA","XIMIZED=FALSE&amp;VAR:CALENDAR=US&amp;VAR:SYMBOL=G0129K10&amp;VAR:INDEX=0"}</definedName>
    <definedName name="_8413__FDSAUDITLINK__" hidden="1">{"fdsup://directions/FAT Viewer?action=UPDATE&amp;creator=factset&amp;DYN_ARGS=TRUE&amp;DOC_NAME=FAT:FQL_AUDITING_CLIENT_TEMPLATE.FAT&amp;display_string=Audit&amp;VAR:KEY=XSZWBQRSZY&amp;VAR:QUERY=RkZfRUJJVERBX0lCKCdMVE1TJywzOTEyOCk=&amp;WINDOW=FIRST_POPUP&amp;HEIGHT=450&amp;WIDTH=450&amp;START_MA","XIMIZED=FALSE&amp;VAR:CALENDAR=US&amp;VAR:SYMBOL=G0129K10&amp;VAR:INDEX=0"}</definedName>
    <definedName name="_8414__FDSAUDITLINK__" localSheetId="6" hidden="1">{"fdsup://directions/FAT Viewer?action=UPDATE&amp;creator=factset&amp;DYN_ARGS=TRUE&amp;DOC_NAME=FAT:FQL_AUDITING_CLIENT_TEMPLATE.FAT&amp;display_string=Audit&amp;VAR:KEY=ZWDGTYHUNW&amp;VAR:QUERY=RkZfRUJJVERBX0lCKCdMVE1TJywzOTEyNyk=&amp;WINDOW=FIRST_POPUP&amp;HEIGHT=450&amp;WIDTH=450&amp;START_MA","XIMIZED=FALSE&amp;VAR:CALENDAR=US&amp;VAR:SYMBOL=G0129K10&amp;VAR:INDEX=0"}</definedName>
    <definedName name="_8414__FDSAUDITLINK__" hidden="1">{"fdsup://directions/FAT Viewer?action=UPDATE&amp;creator=factset&amp;DYN_ARGS=TRUE&amp;DOC_NAME=FAT:FQL_AUDITING_CLIENT_TEMPLATE.FAT&amp;display_string=Audit&amp;VAR:KEY=ZWDGTYHUNW&amp;VAR:QUERY=RkZfRUJJVERBX0lCKCdMVE1TJywzOTEyNyk=&amp;WINDOW=FIRST_POPUP&amp;HEIGHT=450&amp;WIDTH=450&amp;START_MA","XIMIZED=FALSE&amp;VAR:CALENDAR=US&amp;VAR:SYMBOL=G0129K10&amp;VAR:INDEX=0"}</definedName>
    <definedName name="_8415__FDSAUDITLINK__" localSheetId="6" hidden="1">{"fdsup://directions/FAT Viewer?action=UPDATE&amp;creator=factset&amp;DYN_ARGS=TRUE&amp;DOC_NAME=FAT:FQL_AUDITING_CLIENT_TEMPLATE.FAT&amp;display_string=Audit&amp;VAR:KEY=PAZMXQTQFS&amp;VAR:QUERY=RkZfRUJJVERBX0lCKCdMVE1TJywzOTEyNik=&amp;WINDOW=FIRST_POPUP&amp;HEIGHT=450&amp;WIDTH=450&amp;START_MA","XIMIZED=FALSE&amp;VAR:CALENDAR=US&amp;VAR:SYMBOL=G0129K10&amp;VAR:INDEX=0"}</definedName>
    <definedName name="_8415__FDSAUDITLINK__" hidden="1">{"fdsup://directions/FAT Viewer?action=UPDATE&amp;creator=factset&amp;DYN_ARGS=TRUE&amp;DOC_NAME=FAT:FQL_AUDITING_CLIENT_TEMPLATE.FAT&amp;display_string=Audit&amp;VAR:KEY=PAZMXQTQFS&amp;VAR:QUERY=RkZfRUJJVERBX0lCKCdMVE1TJywzOTEyNik=&amp;WINDOW=FIRST_POPUP&amp;HEIGHT=450&amp;WIDTH=450&amp;START_MA","XIMIZED=FALSE&amp;VAR:CALENDAR=US&amp;VAR:SYMBOL=G0129K10&amp;VAR:INDEX=0"}</definedName>
    <definedName name="_8416__FDSAUDITLINK__" localSheetId="6" hidden="1">{"fdsup://directions/FAT Viewer?action=UPDATE&amp;creator=factset&amp;DYN_ARGS=TRUE&amp;DOC_NAME=FAT:FQL_AUDITING_CLIENT_TEMPLATE.FAT&amp;display_string=Audit&amp;VAR:KEY=LSPMHEROZA&amp;VAR:QUERY=RkZfRUJJVERBX0lCKCdMVE1TJywzOTEyNSk=&amp;WINDOW=FIRST_POPUP&amp;HEIGHT=450&amp;WIDTH=450&amp;START_MA","XIMIZED=FALSE&amp;VAR:CALENDAR=US&amp;VAR:SYMBOL=G0129K10&amp;VAR:INDEX=0"}</definedName>
    <definedName name="_8416__FDSAUDITLINK__" hidden="1">{"fdsup://directions/FAT Viewer?action=UPDATE&amp;creator=factset&amp;DYN_ARGS=TRUE&amp;DOC_NAME=FAT:FQL_AUDITING_CLIENT_TEMPLATE.FAT&amp;display_string=Audit&amp;VAR:KEY=LSPMHEROZA&amp;VAR:QUERY=RkZfRUJJVERBX0lCKCdMVE1TJywzOTEyNSk=&amp;WINDOW=FIRST_POPUP&amp;HEIGHT=450&amp;WIDTH=450&amp;START_MA","XIMIZED=FALSE&amp;VAR:CALENDAR=US&amp;VAR:SYMBOL=G0129K10&amp;VAR:INDEX=0"}</definedName>
    <definedName name="_8417__FDSAUDITLINK__" localSheetId="6" hidden="1">{"fdsup://directions/FAT Viewer?action=UPDATE&amp;creator=factset&amp;DYN_ARGS=TRUE&amp;DOC_NAME=FAT:FQL_AUDITING_CLIENT_TEMPLATE.FAT&amp;display_string=Audit&amp;VAR:KEY=NCLUBGBEDY&amp;VAR:QUERY=RkZfRUJJVERBX0lCKCdMVE1TJywzOTEyNCk=&amp;WINDOW=FIRST_POPUP&amp;HEIGHT=450&amp;WIDTH=450&amp;START_MA","XIMIZED=FALSE&amp;VAR:CALENDAR=US&amp;VAR:SYMBOL=G0129K10&amp;VAR:INDEX=0"}</definedName>
    <definedName name="_8417__FDSAUDITLINK__" hidden="1">{"fdsup://directions/FAT Viewer?action=UPDATE&amp;creator=factset&amp;DYN_ARGS=TRUE&amp;DOC_NAME=FAT:FQL_AUDITING_CLIENT_TEMPLATE.FAT&amp;display_string=Audit&amp;VAR:KEY=NCLUBGBEDY&amp;VAR:QUERY=RkZfRUJJVERBX0lCKCdMVE1TJywzOTEyNCk=&amp;WINDOW=FIRST_POPUP&amp;HEIGHT=450&amp;WIDTH=450&amp;START_MA","XIMIZED=FALSE&amp;VAR:CALENDAR=US&amp;VAR:SYMBOL=G0129K10&amp;VAR:INDEX=0"}</definedName>
    <definedName name="_8418__FDSAUDITLINK__" localSheetId="6" hidden="1">{"fdsup://directions/FAT Viewer?action=UPDATE&amp;creator=factset&amp;DYN_ARGS=TRUE&amp;DOC_NAME=FAT:FQL_AUDITING_CLIENT_TEMPLATE.FAT&amp;display_string=Audit&amp;VAR:KEY=RWLEPODIPK&amp;VAR:QUERY=RkZfRUJJVERBX0lCKCdMVE1TJywzOTEyMyk=&amp;WINDOW=FIRST_POPUP&amp;HEIGHT=450&amp;WIDTH=450&amp;START_MA","XIMIZED=FALSE&amp;VAR:CALENDAR=US&amp;VAR:SYMBOL=G0129K10&amp;VAR:INDEX=0"}</definedName>
    <definedName name="_8418__FDSAUDITLINK__" hidden="1">{"fdsup://directions/FAT Viewer?action=UPDATE&amp;creator=factset&amp;DYN_ARGS=TRUE&amp;DOC_NAME=FAT:FQL_AUDITING_CLIENT_TEMPLATE.FAT&amp;display_string=Audit&amp;VAR:KEY=RWLEPODIPK&amp;VAR:QUERY=RkZfRUJJVERBX0lCKCdMVE1TJywzOTEyMyk=&amp;WINDOW=FIRST_POPUP&amp;HEIGHT=450&amp;WIDTH=450&amp;START_MA","XIMIZED=FALSE&amp;VAR:CALENDAR=US&amp;VAR:SYMBOL=G0129K10&amp;VAR:INDEX=0"}</definedName>
    <definedName name="_8419__FDSAUDITLINK__" localSheetId="6" hidden="1">{"fdsup://directions/FAT Viewer?action=UPDATE&amp;creator=factset&amp;DYN_ARGS=TRUE&amp;DOC_NAME=FAT:FQL_AUDITING_CLIENT_TEMPLATE.FAT&amp;display_string=Audit&amp;VAR:KEY=VYTUPKRYZY&amp;VAR:QUERY=RkZfRUJJVERBX0lCKCdMVE1TJywzOTEyMik=&amp;WINDOW=FIRST_POPUP&amp;HEIGHT=450&amp;WIDTH=450&amp;START_MA","XIMIZED=FALSE&amp;VAR:CALENDAR=US&amp;VAR:SYMBOL=G0129K10&amp;VAR:INDEX=0"}</definedName>
    <definedName name="_8419__FDSAUDITLINK__" hidden="1">{"fdsup://directions/FAT Viewer?action=UPDATE&amp;creator=factset&amp;DYN_ARGS=TRUE&amp;DOC_NAME=FAT:FQL_AUDITING_CLIENT_TEMPLATE.FAT&amp;display_string=Audit&amp;VAR:KEY=VYTUPKRYZY&amp;VAR:QUERY=RkZfRUJJVERBX0lCKCdMVE1TJywzOTEyMik=&amp;WINDOW=FIRST_POPUP&amp;HEIGHT=450&amp;WIDTH=450&amp;START_MA","XIMIZED=FALSE&amp;VAR:CALENDAR=US&amp;VAR:SYMBOL=G0129K10&amp;VAR:INDEX=0"}</definedName>
    <definedName name="_842__FDSAUDITLINK__" localSheetId="6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2__FDSAUDITLINK__" hidden="1">{"fdsup://directions/FAT%20Viewer?VAR:PED=LTM&amp;VAR:AUDIT_MODE=SUMMARY&amp;VAR:PERIOD=FIXED&amp;VAR:AUDIT_ID=00000117&amp;VAR:DATE=20071102&amp;action=UPDATE&amp;creator=factset&amp;DOC_NAME=FAT:FMA_audit_SUMMARY.fat&amp;DISPLAY_STRING=Display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20__FDSAUDITLINK__" localSheetId="6" hidden="1">{"fdsup://directions/FAT Viewer?action=UPDATE&amp;creator=factset&amp;DYN_ARGS=TRUE&amp;DOC_NAME=FAT:FQL_AUDITING_CLIENT_TEMPLATE.FAT&amp;display_string=Audit&amp;VAR:KEY=LAFENGXYZC&amp;VAR:QUERY=RkZfRUJJVERBX0lCKCdMVE1TJywzOTEyMSk=&amp;WINDOW=FIRST_POPUP&amp;HEIGHT=450&amp;WIDTH=450&amp;START_MA","XIMIZED=FALSE&amp;VAR:CALENDAR=US&amp;VAR:SYMBOL=G0129K10&amp;VAR:INDEX=0"}</definedName>
    <definedName name="_8420__FDSAUDITLINK__" hidden="1">{"fdsup://directions/FAT Viewer?action=UPDATE&amp;creator=factset&amp;DYN_ARGS=TRUE&amp;DOC_NAME=FAT:FQL_AUDITING_CLIENT_TEMPLATE.FAT&amp;display_string=Audit&amp;VAR:KEY=LAFENGXYZC&amp;VAR:QUERY=RkZfRUJJVERBX0lCKCdMVE1TJywzOTEyMSk=&amp;WINDOW=FIRST_POPUP&amp;HEIGHT=450&amp;WIDTH=450&amp;START_MA","XIMIZED=FALSE&amp;VAR:CALENDAR=US&amp;VAR:SYMBOL=G0129K10&amp;VAR:INDEX=0"}</definedName>
    <definedName name="_8421__FDSAUDITLINK__" localSheetId="6" hidden="1">{"fdsup://directions/FAT Viewer?action=UPDATE&amp;creator=factset&amp;DYN_ARGS=TRUE&amp;DOC_NAME=FAT:FQL_AUDITING_CLIENT_TEMPLATE.FAT&amp;display_string=Audit&amp;VAR:KEY=ZCVMRKXWTC&amp;VAR:QUERY=RkZfRUJJVERBX0lCKCdMVE1TJywzOTEyMCk=&amp;WINDOW=FIRST_POPUP&amp;HEIGHT=450&amp;WIDTH=450&amp;START_MA","XIMIZED=FALSE&amp;VAR:CALENDAR=US&amp;VAR:SYMBOL=G0129K10&amp;VAR:INDEX=0"}</definedName>
    <definedName name="_8421__FDSAUDITLINK__" hidden="1">{"fdsup://directions/FAT Viewer?action=UPDATE&amp;creator=factset&amp;DYN_ARGS=TRUE&amp;DOC_NAME=FAT:FQL_AUDITING_CLIENT_TEMPLATE.FAT&amp;display_string=Audit&amp;VAR:KEY=ZCVMRKXWTC&amp;VAR:QUERY=RkZfRUJJVERBX0lCKCdMVE1TJywzOTEyMCk=&amp;WINDOW=FIRST_POPUP&amp;HEIGHT=450&amp;WIDTH=450&amp;START_MA","XIMIZED=FALSE&amp;VAR:CALENDAR=US&amp;VAR:SYMBOL=G0129K10&amp;VAR:INDEX=0"}</definedName>
    <definedName name="_8422__FDSAUDITLINK__" localSheetId="6" hidden="1">{"fdsup://directions/FAT Viewer?action=UPDATE&amp;creator=factset&amp;DYN_ARGS=TRUE&amp;DOC_NAME=FAT:FQL_AUDITING_CLIENT_TEMPLATE.FAT&amp;display_string=Audit&amp;VAR:KEY=NIVMHSFABG&amp;VAR:QUERY=RkZfRUJJVERBX0lCKCdMVE1TJywzOTExOSk=&amp;WINDOW=FIRST_POPUP&amp;HEIGHT=450&amp;WIDTH=450&amp;START_MA","XIMIZED=FALSE&amp;VAR:CALENDAR=US&amp;VAR:SYMBOL=G0129K10&amp;VAR:INDEX=0"}</definedName>
    <definedName name="_8422__FDSAUDITLINK__" hidden="1">{"fdsup://directions/FAT Viewer?action=UPDATE&amp;creator=factset&amp;DYN_ARGS=TRUE&amp;DOC_NAME=FAT:FQL_AUDITING_CLIENT_TEMPLATE.FAT&amp;display_string=Audit&amp;VAR:KEY=NIVMHSFABG&amp;VAR:QUERY=RkZfRUJJVERBX0lCKCdMVE1TJywzOTExOSk=&amp;WINDOW=FIRST_POPUP&amp;HEIGHT=450&amp;WIDTH=450&amp;START_MA","XIMIZED=FALSE&amp;VAR:CALENDAR=US&amp;VAR:SYMBOL=G0129K10&amp;VAR:INDEX=0"}</definedName>
    <definedName name="_8423__FDSAUDITLINK__" localSheetId="6" hidden="1">{"fdsup://directions/FAT Viewer?action=UPDATE&amp;creator=factset&amp;DYN_ARGS=TRUE&amp;DOC_NAME=FAT:FQL_AUDITING_CLIENT_TEMPLATE.FAT&amp;display_string=Audit&amp;VAR:KEY=XWBKJATMHA&amp;VAR:QUERY=RkZfRUJJVERBX0lCKCdMVE1TJywzOTExOCk=&amp;WINDOW=FIRST_POPUP&amp;HEIGHT=450&amp;WIDTH=450&amp;START_MA","XIMIZED=FALSE&amp;VAR:CALENDAR=US&amp;VAR:SYMBOL=G0129K10&amp;VAR:INDEX=0"}</definedName>
    <definedName name="_8423__FDSAUDITLINK__" hidden="1">{"fdsup://directions/FAT Viewer?action=UPDATE&amp;creator=factset&amp;DYN_ARGS=TRUE&amp;DOC_NAME=FAT:FQL_AUDITING_CLIENT_TEMPLATE.FAT&amp;display_string=Audit&amp;VAR:KEY=XWBKJATMHA&amp;VAR:QUERY=RkZfRUJJVERBX0lCKCdMVE1TJywzOTExOCk=&amp;WINDOW=FIRST_POPUP&amp;HEIGHT=450&amp;WIDTH=450&amp;START_MA","XIMIZED=FALSE&amp;VAR:CALENDAR=US&amp;VAR:SYMBOL=G0129K10&amp;VAR:INDEX=0"}</definedName>
    <definedName name="_8424__FDSAUDITLINK__" localSheetId="6" hidden="1">{"fdsup://directions/FAT Viewer?action=UPDATE&amp;creator=factset&amp;DYN_ARGS=TRUE&amp;DOC_NAME=FAT:FQL_AUDITING_CLIENT_TEMPLATE.FAT&amp;display_string=Audit&amp;VAR:KEY=HMRWRMXMZY&amp;VAR:QUERY=RkZfRUJJVERBX0lCKCdMVE1TJywzOTExNyk=&amp;WINDOW=FIRST_POPUP&amp;HEIGHT=450&amp;WIDTH=450&amp;START_MA","XIMIZED=FALSE&amp;VAR:CALENDAR=US&amp;VAR:SYMBOL=G0129K10&amp;VAR:INDEX=0"}</definedName>
    <definedName name="_8424__FDSAUDITLINK__" hidden="1">{"fdsup://directions/FAT Viewer?action=UPDATE&amp;creator=factset&amp;DYN_ARGS=TRUE&amp;DOC_NAME=FAT:FQL_AUDITING_CLIENT_TEMPLATE.FAT&amp;display_string=Audit&amp;VAR:KEY=HMRWRMXMZY&amp;VAR:QUERY=RkZfRUJJVERBX0lCKCdMVE1TJywzOTExNyk=&amp;WINDOW=FIRST_POPUP&amp;HEIGHT=450&amp;WIDTH=450&amp;START_MA","XIMIZED=FALSE&amp;VAR:CALENDAR=US&amp;VAR:SYMBOL=G0129K10&amp;VAR:INDEX=0"}</definedName>
    <definedName name="_8425__FDSAUDITLINK__" localSheetId="6" hidden="1">{"fdsup://directions/FAT Viewer?action=UPDATE&amp;creator=factset&amp;DYN_ARGS=TRUE&amp;DOC_NAME=FAT:FQL_AUDITING_CLIENT_TEMPLATE.FAT&amp;display_string=Audit&amp;VAR:KEY=PIDYXCROZQ&amp;VAR:QUERY=RkZfRUJJVERBX0lCKCdMVE1TJywzOTExNik=&amp;WINDOW=FIRST_POPUP&amp;HEIGHT=450&amp;WIDTH=450&amp;START_MA","XIMIZED=FALSE&amp;VAR:CALENDAR=US&amp;VAR:SYMBOL=G0129K10&amp;VAR:INDEX=0"}</definedName>
    <definedName name="_8425__FDSAUDITLINK__" hidden="1">{"fdsup://directions/FAT Viewer?action=UPDATE&amp;creator=factset&amp;DYN_ARGS=TRUE&amp;DOC_NAME=FAT:FQL_AUDITING_CLIENT_TEMPLATE.FAT&amp;display_string=Audit&amp;VAR:KEY=PIDYXCROZQ&amp;VAR:QUERY=RkZfRUJJVERBX0lCKCdMVE1TJywzOTExNik=&amp;WINDOW=FIRST_POPUP&amp;HEIGHT=450&amp;WIDTH=450&amp;START_MA","XIMIZED=FALSE&amp;VAR:CALENDAR=US&amp;VAR:SYMBOL=G0129K10&amp;VAR:INDEX=0"}</definedName>
    <definedName name="_8426__FDSAUDITLINK__" localSheetId="6" hidden="1">{"fdsup://directions/FAT Viewer?action=UPDATE&amp;creator=factset&amp;DYN_ARGS=TRUE&amp;DOC_NAME=FAT:FQL_AUDITING_CLIENT_TEMPLATE.FAT&amp;display_string=Audit&amp;VAR:KEY=XALEXWLWBW&amp;VAR:QUERY=RkZfRUJJVERBX0lCKCdMVE1TJywzOTExNSk=&amp;WINDOW=FIRST_POPUP&amp;HEIGHT=450&amp;WIDTH=450&amp;START_MA","XIMIZED=FALSE&amp;VAR:CALENDAR=US&amp;VAR:SYMBOL=G0129K10&amp;VAR:INDEX=0"}</definedName>
    <definedName name="_8426__FDSAUDITLINK__" hidden="1">{"fdsup://directions/FAT Viewer?action=UPDATE&amp;creator=factset&amp;DYN_ARGS=TRUE&amp;DOC_NAME=FAT:FQL_AUDITING_CLIENT_TEMPLATE.FAT&amp;display_string=Audit&amp;VAR:KEY=XALEXWLWBW&amp;VAR:QUERY=RkZfRUJJVERBX0lCKCdMVE1TJywzOTExNSk=&amp;WINDOW=FIRST_POPUP&amp;HEIGHT=450&amp;WIDTH=450&amp;START_MA","XIMIZED=FALSE&amp;VAR:CALENDAR=US&amp;VAR:SYMBOL=G0129K10&amp;VAR:INDEX=0"}</definedName>
    <definedName name="_8427__FDSAUDITLINK__" localSheetId="6" hidden="1">{"fdsup://directions/FAT Viewer?action=UPDATE&amp;creator=factset&amp;DYN_ARGS=TRUE&amp;DOC_NAME=FAT:FQL_AUDITING_CLIENT_TEMPLATE.FAT&amp;display_string=Audit&amp;VAR:KEY=TODAHSFKJE&amp;VAR:QUERY=RkZfRUJJVERBX0lCKCdMVE1TJywzOTExNCk=&amp;WINDOW=FIRST_POPUP&amp;HEIGHT=450&amp;WIDTH=450&amp;START_MA","XIMIZED=FALSE&amp;VAR:CALENDAR=US&amp;VAR:SYMBOL=G0129K10&amp;VAR:INDEX=0"}</definedName>
    <definedName name="_8427__FDSAUDITLINK__" hidden="1">{"fdsup://directions/FAT Viewer?action=UPDATE&amp;creator=factset&amp;DYN_ARGS=TRUE&amp;DOC_NAME=FAT:FQL_AUDITING_CLIENT_TEMPLATE.FAT&amp;display_string=Audit&amp;VAR:KEY=TODAHSFKJE&amp;VAR:QUERY=RkZfRUJJVERBX0lCKCdMVE1TJywzOTExNCk=&amp;WINDOW=FIRST_POPUP&amp;HEIGHT=450&amp;WIDTH=450&amp;START_MA","XIMIZED=FALSE&amp;VAR:CALENDAR=US&amp;VAR:SYMBOL=G0129K10&amp;VAR:INDEX=0"}</definedName>
    <definedName name="_8428__FDSAUDITLINK__" localSheetId="6" hidden="1">{"fdsup://directions/FAT Viewer?action=UPDATE&amp;creator=factset&amp;DYN_ARGS=TRUE&amp;DOC_NAME=FAT:FQL_AUDITING_CLIENT_TEMPLATE.FAT&amp;display_string=Audit&amp;VAR:KEY=NGJIJSLMXS&amp;VAR:QUERY=RkZfRUJJVERBX0lCKCdMVE1TJywzOTExMyk=&amp;WINDOW=FIRST_POPUP&amp;HEIGHT=450&amp;WIDTH=450&amp;START_MA","XIMIZED=FALSE&amp;VAR:CALENDAR=US&amp;VAR:SYMBOL=G0129K10&amp;VAR:INDEX=0"}</definedName>
    <definedName name="_8428__FDSAUDITLINK__" hidden="1">{"fdsup://directions/FAT Viewer?action=UPDATE&amp;creator=factset&amp;DYN_ARGS=TRUE&amp;DOC_NAME=FAT:FQL_AUDITING_CLIENT_TEMPLATE.FAT&amp;display_string=Audit&amp;VAR:KEY=NGJIJSLMXS&amp;VAR:QUERY=RkZfRUJJVERBX0lCKCdMVE1TJywzOTExMyk=&amp;WINDOW=FIRST_POPUP&amp;HEIGHT=450&amp;WIDTH=450&amp;START_MA","XIMIZED=FALSE&amp;VAR:CALENDAR=US&amp;VAR:SYMBOL=G0129K10&amp;VAR:INDEX=0"}</definedName>
    <definedName name="_8429__FDSAUDITLINK__" localSheetId="6" hidden="1">{"fdsup://directions/FAT Viewer?action=UPDATE&amp;creator=factset&amp;DYN_ARGS=TRUE&amp;DOC_NAME=FAT:FQL_AUDITING_CLIENT_TEMPLATE.FAT&amp;display_string=Audit&amp;VAR:KEY=NSTANOJCVA&amp;VAR:QUERY=RkZfRUJJVERBX0lCKCdMVE1TJywzOTExMik=&amp;WINDOW=FIRST_POPUP&amp;HEIGHT=450&amp;WIDTH=450&amp;START_MA","XIMIZED=FALSE&amp;VAR:CALENDAR=US&amp;VAR:SYMBOL=G0129K10&amp;VAR:INDEX=0"}</definedName>
    <definedName name="_8429__FDSAUDITLINK__" hidden="1">{"fdsup://directions/FAT Viewer?action=UPDATE&amp;creator=factset&amp;DYN_ARGS=TRUE&amp;DOC_NAME=FAT:FQL_AUDITING_CLIENT_TEMPLATE.FAT&amp;display_string=Audit&amp;VAR:KEY=NSTANOJCVA&amp;VAR:QUERY=RkZfRUJJVERBX0lCKCdMVE1TJywzOTExMik=&amp;WINDOW=FIRST_POPUP&amp;HEIGHT=450&amp;WIDTH=450&amp;START_MA","XIMIZED=FALSE&amp;VAR:CALENDAR=US&amp;VAR:SYMBOL=G0129K10&amp;VAR:INDEX=0"}</definedName>
    <definedName name="_843__FDSAUDITLINK__" localSheetId="6" hidden="1">{"fdsup://directions/FAT%20Viewer?VAR:PED=LTM&amp;VAR:AUDIT_MODE=SUMMARY&amp;VAR:PERIOD=FIXED&amp;VAR:AUDIT_ID=00000117&amp;VAR:DATE=20071101&amp;action=UPDATE&amp;creator=factset&amp;DOC_NAME=FAT:FMA_audit_SUMMARY.fat&amp;DISPLAY_STRING=Display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3__FDSAUDITLINK__" hidden="1">{"fdsup://directions/FAT%20Viewer?VAR:PED=LTM&amp;VAR:AUDIT_MODE=SUMMARY&amp;VAR:PERIOD=FIXED&amp;VAR:AUDIT_ID=00000117&amp;VAR:DATE=20071101&amp;action=UPDATE&amp;creator=factset&amp;DOC_NAME=FAT:FMA_audit_SUMMARY.fat&amp;DISPLAY_STRING=Display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30__FDSAUDITLINK__" localSheetId="6" hidden="1">{"fdsup://directions/FAT Viewer?action=UPDATE&amp;creator=factset&amp;DYN_ARGS=TRUE&amp;DOC_NAME=FAT:FQL_AUDITING_CLIENT_TEMPLATE.FAT&amp;display_string=Audit&amp;VAR:KEY=VATKHCLYDQ&amp;VAR:QUERY=RkZfRUJJVERBX0lCKCdMVE1TJywzOTExMSk=&amp;WINDOW=FIRST_POPUP&amp;HEIGHT=450&amp;WIDTH=450&amp;START_MA","XIMIZED=FALSE&amp;VAR:CALENDAR=US&amp;VAR:SYMBOL=G0129K10&amp;VAR:INDEX=0"}</definedName>
    <definedName name="_8430__FDSAUDITLINK__" hidden="1">{"fdsup://directions/FAT Viewer?action=UPDATE&amp;creator=factset&amp;DYN_ARGS=TRUE&amp;DOC_NAME=FAT:FQL_AUDITING_CLIENT_TEMPLATE.FAT&amp;display_string=Audit&amp;VAR:KEY=VATKHCLYDQ&amp;VAR:QUERY=RkZfRUJJVERBX0lCKCdMVE1TJywzOTExMSk=&amp;WINDOW=FIRST_POPUP&amp;HEIGHT=450&amp;WIDTH=450&amp;START_MA","XIMIZED=FALSE&amp;VAR:CALENDAR=US&amp;VAR:SYMBOL=G0129K10&amp;VAR:INDEX=0"}</definedName>
    <definedName name="_8431__FDSAUDITLINK__" localSheetId="6" hidden="1">{"fdsup://directions/FAT Viewer?action=UPDATE&amp;creator=factset&amp;DYN_ARGS=TRUE&amp;DOC_NAME=FAT:FQL_AUDITING_CLIENT_TEMPLATE.FAT&amp;display_string=Audit&amp;VAR:KEY=JEJOJIZEPQ&amp;VAR:QUERY=RkZfRUJJVERBX0lCKCdMVE1TJywzOTExMCk=&amp;WINDOW=FIRST_POPUP&amp;HEIGHT=450&amp;WIDTH=450&amp;START_MA","XIMIZED=FALSE&amp;VAR:CALENDAR=US&amp;VAR:SYMBOL=G0129K10&amp;VAR:INDEX=0"}</definedName>
    <definedName name="_8431__FDSAUDITLINK__" hidden="1">{"fdsup://directions/FAT Viewer?action=UPDATE&amp;creator=factset&amp;DYN_ARGS=TRUE&amp;DOC_NAME=FAT:FQL_AUDITING_CLIENT_TEMPLATE.FAT&amp;display_string=Audit&amp;VAR:KEY=JEJOJIZEPQ&amp;VAR:QUERY=RkZfRUJJVERBX0lCKCdMVE1TJywzOTExMCk=&amp;WINDOW=FIRST_POPUP&amp;HEIGHT=450&amp;WIDTH=450&amp;START_MA","XIMIZED=FALSE&amp;VAR:CALENDAR=US&amp;VAR:SYMBOL=G0129K10&amp;VAR:INDEX=0"}</definedName>
    <definedName name="_8432__FDSAUDITLINK__" localSheetId="6" hidden="1">{"fdsup://directions/FAT Viewer?action=UPDATE&amp;creator=factset&amp;DYN_ARGS=TRUE&amp;DOC_NAME=FAT:FQL_AUDITING_CLIENT_TEMPLATE.FAT&amp;display_string=Audit&amp;VAR:KEY=NMFYXOFSFQ&amp;VAR:QUERY=RkZfRUJJVERBX0lCKCdMVE1TJywzOTEwOSk=&amp;WINDOW=FIRST_POPUP&amp;HEIGHT=450&amp;WIDTH=450&amp;START_MA","XIMIZED=FALSE&amp;VAR:CALENDAR=US&amp;VAR:SYMBOL=G0129K10&amp;VAR:INDEX=0"}</definedName>
    <definedName name="_8432__FDSAUDITLINK__" hidden="1">{"fdsup://directions/FAT Viewer?action=UPDATE&amp;creator=factset&amp;DYN_ARGS=TRUE&amp;DOC_NAME=FAT:FQL_AUDITING_CLIENT_TEMPLATE.FAT&amp;display_string=Audit&amp;VAR:KEY=NMFYXOFSFQ&amp;VAR:QUERY=RkZfRUJJVERBX0lCKCdMVE1TJywzOTEwOSk=&amp;WINDOW=FIRST_POPUP&amp;HEIGHT=450&amp;WIDTH=450&amp;START_MA","XIMIZED=FALSE&amp;VAR:CALENDAR=US&amp;VAR:SYMBOL=G0129K10&amp;VAR:INDEX=0"}</definedName>
    <definedName name="_8433__FDSAUDITLINK__" localSheetId="6" hidden="1">{"fdsup://directions/FAT Viewer?action=UPDATE&amp;creator=factset&amp;DYN_ARGS=TRUE&amp;DOC_NAME=FAT:FQL_AUDITING_CLIENT_TEMPLATE.FAT&amp;display_string=Audit&amp;VAR:KEY=FIHYHIHYTI&amp;VAR:QUERY=RkZfRUJJVERBX0lCKCdMVE1TJywzOTEwOCk=&amp;WINDOW=FIRST_POPUP&amp;HEIGHT=450&amp;WIDTH=450&amp;START_MA","XIMIZED=FALSE&amp;VAR:CALENDAR=US&amp;VAR:SYMBOL=G0129K10&amp;VAR:INDEX=0"}</definedName>
    <definedName name="_8433__FDSAUDITLINK__" hidden="1">{"fdsup://directions/FAT Viewer?action=UPDATE&amp;creator=factset&amp;DYN_ARGS=TRUE&amp;DOC_NAME=FAT:FQL_AUDITING_CLIENT_TEMPLATE.FAT&amp;display_string=Audit&amp;VAR:KEY=FIHYHIHYTI&amp;VAR:QUERY=RkZfRUJJVERBX0lCKCdMVE1TJywzOTEwOCk=&amp;WINDOW=FIRST_POPUP&amp;HEIGHT=450&amp;WIDTH=450&amp;START_MA","XIMIZED=FALSE&amp;VAR:CALENDAR=US&amp;VAR:SYMBOL=G0129K10&amp;VAR:INDEX=0"}</definedName>
    <definedName name="_8434__FDSAUDITLINK__" localSheetId="6" hidden="1">{"fdsup://directions/FAT Viewer?action=UPDATE&amp;creator=factset&amp;DYN_ARGS=TRUE&amp;DOC_NAME=FAT:FQL_AUDITING_CLIENT_TEMPLATE.FAT&amp;display_string=Audit&amp;VAR:KEY=VAJCFILWRE&amp;VAR:QUERY=RkZfRUJJVERBX0lCKCdMVE1TJywzOTEwNyk=&amp;WINDOW=FIRST_POPUP&amp;HEIGHT=450&amp;WIDTH=450&amp;START_MA","XIMIZED=FALSE&amp;VAR:CALENDAR=US&amp;VAR:SYMBOL=G0129K10&amp;VAR:INDEX=0"}</definedName>
    <definedName name="_8434__FDSAUDITLINK__" hidden="1">{"fdsup://directions/FAT Viewer?action=UPDATE&amp;creator=factset&amp;DYN_ARGS=TRUE&amp;DOC_NAME=FAT:FQL_AUDITING_CLIENT_TEMPLATE.FAT&amp;display_string=Audit&amp;VAR:KEY=VAJCFILWRE&amp;VAR:QUERY=RkZfRUJJVERBX0lCKCdMVE1TJywzOTEwNyk=&amp;WINDOW=FIRST_POPUP&amp;HEIGHT=450&amp;WIDTH=450&amp;START_MA","XIMIZED=FALSE&amp;VAR:CALENDAR=US&amp;VAR:SYMBOL=G0129K10&amp;VAR:INDEX=0"}</definedName>
    <definedName name="_8435__FDSAUDITLINK__" localSheetId="6" hidden="1">{"fdsup://directions/FAT Viewer?action=UPDATE&amp;creator=factset&amp;DYN_ARGS=TRUE&amp;DOC_NAME=FAT:FQL_AUDITING_CLIENT_TEMPLATE.FAT&amp;display_string=Audit&amp;VAR:KEY=TWTULYXORM&amp;VAR:QUERY=RkZfRUJJVERBX0lCKCdMVE1TJywzOTEwNik=&amp;WINDOW=FIRST_POPUP&amp;HEIGHT=450&amp;WIDTH=450&amp;START_MA","XIMIZED=FALSE&amp;VAR:CALENDAR=US&amp;VAR:SYMBOL=G0129K10&amp;VAR:INDEX=0"}</definedName>
    <definedName name="_8435__FDSAUDITLINK__" hidden="1">{"fdsup://directions/FAT Viewer?action=UPDATE&amp;creator=factset&amp;DYN_ARGS=TRUE&amp;DOC_NAME=FAT:FQL_AUDITING_CLIENT_TEMPLATE.FAT&amp;display_string=Audit&amp;VAR:KEY=TWTULYXORM&amp;VAR:QUERY=RkZfRUJJVERBX0lCKCdMVE1TJywzOTEwNik=&amp;WINDOW=FIRST_POPUP&amp;HEIGHT=450&amp;WIDTH=450&amp;START_MA","XIMIZED=FALSE&amp;VAR:CALENDAR=US&amp;VAR:SYMBOL=G0129K10&amp;VAR:INDEX=0"}</definedName>
    <definedName name="_8436__FDSAUDITLINK__" localSheetId="6" hidden="1">{"fdsup://directions/FAT Viewer?action=UPDATE&amp;creator=factset&amp;DYN_ARGS=TRUE&amp;DOC_NAME=FAT:FQL_AUDITING_CLIENT_TEMPLATE.FAT&amp;display_string=Audit&amp;VAR:KEY=HGFGXQXUVE&amp;VAR:QUERY=RkZfRUJJVERBX0lCKCdMVE1TJywzOTEwNSk=&amp;WINDOW=FIRST_POPUP&amp;HEIGHT=450&amp;WIDTH=450&amp;START_MA","XIMIZED=FALSE&amp;VAR:CALENDAR=US&amp;VAR:SYMBOL=G0129K10&amp;VAR:INDEX=0"}</definedName>
    <definedName name="_8436__FDSAUDITLINK__" hidden="1">{"fdsup://directions/FAT Viewer?action=UPDATE&amp;creator=factset&amp;DYN_ARGS=TRUE&amp;DOC_NAME=FAT:FQL_AUDITING_CLIENT_TEMPLATE.FAT&amp;display_string=Audit&amp;VAR:KEY=HGFGXQXUVE&amp;VAR:QUERY=RkZfRUJJVERBX0lCKCdMVE1TJywzOTEwNSk=&amp;WINDOW=FIRST_POPUP&amp;HEIGHT=450&amp;WIDTH=450&amp;START_MA","XIMIZED=FALSE&amp;VAR:CALENDAR=US&amp;VAR:SYMBOL=G0129K10&amp;VAR:INDEX=0"}</definedName>
    <definedName name="_8437__FDSAUDITLINK__" localSheetId="6" hidden="1">{"fdsup://directions/FAT Viewer?action=UPDATE&amp;creator=factset&amp;DYN_ARGS=TRUE&amp;DOC_NAME=FAT:FQL_AUDITING_CLIENT_TEMPLATE.FAT&amp;display_string=Audit&amp;VAR:KEY=VALQTGNCPA&amp;VAR:QUERY=RkZfRUJJVERBX0lCKCdMVE1TJywzOTEwNCk=&amp;WINDOW=FIRST_POPUP&amp;HEIGHT=450&amp;WIDTH=450&amp;START_MA","XIMIZED=FALSE&amp;VAR:CALENDAR=US&amp;VAR:SYMBOL=G0129K10&amp;VAR:INDEX=0"}</definedName>
    <definedName name="_8437__FDSAUDITLINK__" hidden="1">{"fdsup://directions/FAT Viewer?action=UPDATE&amp;creator=factset&amp;DYN_ARGS=TRUE&amp;DOC_NAME=FAT:FQL_AUDITING_CLIENT_TEMPLATE.FAT&amp;display_string=Audit&amp;VAR:KEY=VALQTGNCPA&amp;VAR:QUERY=RkZfRUJJVERBX0lCKCdMVE1TJywzOTEwNCk=&amp;WINDOW=FIRST_POPUP&amp;HEIGHT=450&amp;WIDTH=450&amp;START_MA","XIMIZED=FALSE&amp;VAR:CALENDAR=US&amp;VAR:SYMBOL=G0129K10&amp;VAR:INDEX=0"}</definedName>
    <definedName name="_8438__FDSAUDITLINK__" localSheetId="6" hidden="1">{"fdsup://directions/FAT Viewer?action=UPDATE&amp;creator=factset&amp;DYN_ARGS=TRUE&amp;DOC_NAME=FAT:FQL_AUDITING_CLIENT_TEMPLATE.FAT&amp;display_string=Audit&amp;VAR:KEY=RIDQLUDWTM&amp;VAR:QUERY=RkZfRUJJVERBX0lCKCdMVE1TJywzOTEwMyk=&amp;WINDOW=FIRST_POPUP&amp;HEIGHT=450&amp;WIDTH=450&amp;START_MA","XIMIZED=FALSE&amp;VAR:CALENDAR=US&amp;VAR:SYMBOL=G0129K10&amp;VAR:INDEX=0"}</definedName>
    <definedName name="_8438__FDSAUDITLINK__" hidden="1">{"fdsup://directions/FAT Viewer?action=UPDATE&amp;creator=factset&amp;DYN_ARGS=TRUE&amp;DOC_NAME=FAT:FQL_AUDITING_CLIENT_TEMPLATE.FAT&amp;display_string=Audit&amp;VAR:KEY=RIDQLUDWTM&amp;VAR:QUERY=RkZfRUJJVERBX0lCKCdMVE1TJywzOTEwMyk=&amp;WINDOW=FIRST_POPUP&amp;HEIGHT=450&amp;WIDTH=450&amp;START_MA","XIMIZED=FALSE&amp;VAR:CALENDAR=US&amp;VAR:SYMBOL=G0129K10&amp;VAR:INDEX=0"}</definedName>
    <definedName name="_8439__FDSAUDITLINK__" localSheetId="6" hidden="1">{"fdsup://directions/FAT Viewer?action=UPDATE&amp;creator=factset&amp;DYN_ARGS=TRUE&amp;DOC_NAME=FAT:FQL_AUDITING_CLIENT_TEMPLATE.FAT&amp;display_string=Audit&amp;VAR:KEY=XQJMPOTUFO&amp;VAR:QUERY=RkZfRUJJVERBX0lCKCdMVE1TJywzOTEwMik=&amp;WINDOW=FIRST_POPUP&amp;HEIGHT=450&amp;WIDTH=450&amp;START_MA","XIMIZED=FALSE&amp;VAR:CALENDAR=US&amp;VAR:SYMBOL=G0129K10&amp;VAR:INDEX=0"}</definedName>
    <definedName name="_8439__FDSAUDITLINK__" hidden="1">{"fdsup://directions/FAT Viewer?action=UPDATE&amp;creator=factset&amp;DYN_ARGS=TRUE&amp;DOC_NAME=FAT:FQL_AUDITING_CLIENT_TEMPLATE.FAT&amp;display_string=Audit&amp;VAR:KEY=XQJMPOTUFO&amp;VAR:QUERY=RkZfRUJJVERBX0lCKCdMVE1TJywzOTEwMik=&amp;WINDOW=FIRST_POPUP&amp;HEIGHT=450&amp;WIDTH=450&amp;START_MA","XIMIZED=FALSE&amp;VAR:CALENDAR=US&amp;VAR:SYMBOL=G0129K10&amp;VAR:INDEX=0"}</definedName>
    <definedName name="_844__FDSAUDITLINK__" localSheetId="6" hidden="1">{"fdsup://directions/FAT%20Viewer?VAR:PED=LTM&amp;VAR:AUDIT_MODE=SUMMARY&amp;VAR:PERIOD=FIXED&amp;VAR:AUDIT_ID=00000117&amp;VAR:DATE=20071031&amp;action=UPDATE&amp;creator=factset&amp;DOC_NAME=FAT:FMA_audit_SUMMARY.fat&amp;DISPLAY_STRING=Display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4__FDSAUDITLINK__" hidden="1">{"fdsup://directions/FAT%20Viewer?VAR:PED=LTM&amp;VAR:AUDIT_MODE=SUMMARY&amp;VAR:PERIOD=FIXED&amp;VAR:AUDIT_ID=00000117&amp;VAR:DATE=20071031&amp;action=UPDATE&amp;creator=factset&amp;DOC_NAME=FAT:FMA_audit_SUMMARY.fat&amp;DISPLAY_STRING=Display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EBITDA&amp;VAR:CHGPERIOD=NA&amp;VAR:FQLFORMULA=FMA_EVAL_EBITDA&amp;VAR:CURRENCY=NA&amp;VAR:P=NA&amp;VAR:V=11.6","66685&amp;VAR:null=.html"}</definedName>
    <definedName name="_8440__FDSAUDITLINK__" localSheetId="6" hidden="1">{"fdsup://directions/FAT Viewer?action=UPDATE&amp;creator=factset&amp;DYN_ARGS=TRUE&amp;DOC_NAME=FAT:FQL_AUDITING_CLIENT_TEMPLATE.FAT&amp;display_string=Audit&amp;VAR:KEY=XIPUXSHSDO&amp;VAR:QUERY=RkZfRUJJVERBX0lCKCdMVE1TJywzOTEwMSk=&amp;WINDOW=FIRST_POPUP&amp;HEIGHT=450&amp;WIDTH=450&amp;START_MA","XIMIZED=FALSE&amp;VAR:CALENDAR=US&amp;VAR:SYMBOL=G0129K10&amp;VAR:INDEX=0"}</definedName>
    <definedName name="_8440__FDSAUDITLINK__" hidden="1">{"fdsup://directions/FAT Viewer?action=UPDATE&amp;creator=factset&amp;DYN_ARGS=TRUE&amp;DOC_NAME=FAT:FQL_AUDITING_CLIENT_TEMPLATE.FAT&amp;display_string=Audit&amp;VAR:KEY=XIPUXSHSDO&amp;VAR:QUERY=RkZfRUJJVERBX0lCKCdMVE1TJywzOTEwMSk=&amp;WINDOW=FIRST_POPUP&amp;HEIGHT=450&amp;WIDTH=450&amp;START_MA","XIMIZED=FALSE&amp;VAR:CALENDAR=US&amp;VAR:SYMBOL=G0129K10&amp;VAR:INDEX=0"}</definedName>
    <definedName name="_8441__FDSAUDITLINK__" localSheetId="6" hidden="1">{"fdsup://directions/FAT Viewer?action=UPDATE&amp;creator=factset&amp;DYN_ARGS=TRUE&amp;DOC_NAME=FAT:FQL_AUDITING_CLIENT_TEMPLATE.FAT&amp;display_string=Audit&amp;VAR:KEY=FYTWHSVQRE&amp;VAR:QUERY=RkZfRUJJVERBX0lCKCdMVE1TJywzOTEwMCk=&amp;WINDOW=FIRST_POPUP&amp;HEIGHT=450&amp;WIDTH=450&amp;START_MA","XIMIZED=FALSE&amp;VAR:CALENDAR=US&amp;VAR:SYMBOL=G0129K10&amp;VAR:INDEX=0"}</definedName>
    <definedName name="_8441__FDSAUDITLINK__" hidden="1">{"fdsup://directions/FAT Viewer?action=UPDATE&amp;creator=factset&amp;DYN_ARGS=TRUE&amp;DOC_NAME=FAT:FQL_AUDITING_CLIENT_TEMPLATE.FAT&amp;display_string=Audit&amp;VAR:KEY=FYTWHSVQRE&amp;VAR:QUERY=RkZfRUJJVERBX0lCKCdMVE1TJywzOTEwMCk=&amp;WINDOW=FIRST_POPUP&amp;HEIGHT=450&amp;WIDTH=450&amp;START_MA","XIMIZED=FALSE&amp;VAR:CALENDAR=US&amp;VAR:SYMBOL=G0129K10&amp;VAR:INDEX=0"}</definedName>
    <definedName name="_8442__FDSAUDITLINK__" localSheetId="6" hidden="1">{"fdsup://directions/FAT Viewer?action=UPDATE&amp;creator=factset&amp;DYN_ARGS=TRUE&amp;DOC_NAME=FAT:FQL_AUDITING_CLIENT_TEMPLATE.FAT&amp;display_string=Audit&amp;VAR:KEY=BIXGJUVQLA&amp;VAR:QUERY=RkZfRUJJVERBX0lCKCdMVE1TJywzOTA5OSk=&amp;WINDOW=FIRST_POPUP&amp;HEIGHT=450&amp;WIDTH=450&amp;START_MA","XIMIZED=FALSE&amp;VAR:CALENDAR=US&amp;VAR:SYMBOL=G0129K10&amp;VAR:INDEX=0"}</definedName>
    <definedName name="_8442__FDSAUDITLINK__" hidden="1">{"fdsup://directions/FAT Viewer?action=UPDATE&amp;creator=factset&amp;DYN_ARGS=TRUE&amp;DOC_NAME=FAT:FQL_AUDITING_CLIENT_TEMPLATE.FAT&amp;display_string=Audit&amp;VAR:KEY=BIXGJUVQLA&amp;VAR:QUERY=RkZfRUJJVERBX0lCKCdMVE1TJywzOTA5OSk=&amp;WINDOW=FIRST_POPUP&amp;HEIGHT=450&amp;WIDTH=450&amp;START_MA","XIMIZED=FALSE&amp;VAR:CALENDAR=US&amp;VAR:SYMBOL=G0129K10&amp;VAR:INDEX=0"}</definedName>
    <definedName name="_8443__FDSAUDITLINK__" localSheetId="6" hidden="1">{"fdsup://directions/FAT Viewer?action=UPDATE&amp;creator=factset&amp;DYN_ARGS=TRUE&amp;DOC_NAME=FAT:FQL_AUDITING_CLIENT_TEMPLATE.FAT&amp;display_string=Audit&amp;VAR:KEY=RKTOXGNYXQ&amp;VAR:QUERY=RkZfRUJJVERBX0lCKCdMVE1TJywzOTA5OCk=&amp;WINDOW=FIRST_POPUP&amp;HEIGHT=450&amp;WIDTH=450&amp;START_MA","XIMIZED=FALSE&amp;VAR:CALENDAR=US&amp;VAR:SYMBOL=G0129K10&amp;VAR:INDEX=0"}</definedName>
    <definedName name="_8443__FDSAUDITLINK__" hidden="1">{"fdsup://directions/FAT Viewer?action=UPDATE&amp;creator=factset&amp;DYN_ARGS=TRUE&amp;DOC_NAME=FAT:FQL_AUDITING_CLIENT_TEMPLATE.FAT&amp;display_string=Audit&amp;VAR:KEY=RKTOXGNYXQ&amp;VAR:QUERY=RkZfRUJJVERBX0lCKCdMVE1TJywzOTA5OCk=&amp;WINDOW=FIRST_POPUP&amp;HEIGHT=450&amp;WIDTH=450&amp;START_MA","XIMIZED=FALSE&amp;VAR:CALENDAR=US&amp;VAR:SYMBOL=G0129K10&amp;VAR:INDEX=0"}</definedName>
    <definedName name="_8444__FDSAUDITLINK__" localSheetId="6" hidden="1">{"fdsup://directions/FAT Viewer?action=UPDATE&amp;creator=factset&amp;DYN_ARGS=TRUE&amp;DOC_NAME=FAT:FQL_AUDITING_CLIENT_TEMPLATE.FAT&amp;display_string=Audit&amp;VAR:KEY=VUVEDYPIFA&amp;VAR:QUERY=RkZfRUJJVERBX0lCKCdMVE1TJywzOTA5Nyk=&amp;WINDOW=FIRST_POPUP&amp;HEIGHT=450&amp;WIDTH=450&amp;START_MA","XIMIZED=FALSE&amp;VAR:CALENDAR=US&amp;VAR:SYMBOL=G0129K10&amp;VAR:INDEX=0"}</definedName>
    <definedName name="_8444__FDSAUDITLINK__" hidden="1">{"fdsup://directions/FAT Viewer?action=UPDATE&amp;creator=factset&amp;DYN_ARGS=TRUE&amp;DOC_NAME=FAT:FQL_AUDITING_CLIENT_TEMPLATE.FAT&amp;display_string=Audit&amp;VAR:KEY=VUVEDYPIFA&amp;VAR:QUERY=RkZfRUJJVERBX0lCKCdMVE1TJywzOTA5Nyk=&amp;WINDOW=FIRST_POPUP&amp;HEIGHT=450&amp;WIDTH=450&amp;START_MA","XIMIZED=FALSE&amp;VAR:CALENDAR=US&amp;VAR:SYMBOL=G0129K10&amp;VAR:INDEX=0"}</definedName>
    <definedName name="_8445__FDSAUDITLINK__" localSheetId="6" hidden="1">{"fdsup://directions/FAT Viewer?action=UPDATE&amp;creator=factset&amp;DYN_ARGS=TRUE&amp;DOC_NAME=FAT:FQL_AUDITING_CLIENT_TEMPLATE.FAT&amp;display_string=Audit&amp;VAR:KEY=BYTCNIRIXY&amp;VAR:QUERY=RkZfRUJJVERBX0lCKCdMVE1TJywzOTA5Nik=&amp;WINDOW=FIRST_POPUP&amp;HEIGHT=450&amp;WIDTH=450&amp;START_MA","XIMIZED=FALSE&amp;VAR:CALENDAR=US&amp;VAR:SYMBOL=G0129K10&amp;VAR:INDEX=0"}</definedName>
    <definedName name="_8445__FDSAUDITLINK__" hidden="1">{"fdsup://directions/FAT Viewer?action=UPDATE&amp;creator=factset&amp;DYN_ARGS=TRUE&amp;DOC_NAME=FAT:FQL_AUDITING_CLIENT_TEMPLATE.FAT&amp;display_string=Audit&amp;VAR:KEY=BYTCNIRIXY&amp;VAR:QUERY=RkZfRUJJVERBX0lCKCdMVE1TJywzOTA5Nik=&amp;WINDOW=FIRST_POPUP&amp;HEIGHT=450&amp;WIDTH=450&amp;START_MA","XIMIZED=FALSE&amp;VAR:CALENDAR=US&amp;VAR:SYMBOL=G0129K10&amp;VAR:INDEX=0"}</definedName>
    <definedName name="_8446__FDSAUDITLINK__" localSheetId="6" hidden="1">{"fdsup://directions/FAT Viewer?action=UPDATE&amp;creator=factset&amp;DYN_ARGS=TRUE&amp;DOC_NAME=FAT:FQL_AUDITING_CLIENT_TEMPLATE.FAT&amp;display_string=Audit&amp;VAR:KEY=FKJSVWHAPM&amp;VAR:QUERY=RkZfRUJJVERBX0lCKCdMVE1TJywzOTA5NSk=&amp;WINDOW=FIRST_POPUP&amp;HEIGHT=450&amp;WIDTH=450&amp;START_MA","XIMIZED=FALSE&amp;VAR:CALENDAR=US&amp;VAR:SYMBOL=G0129K10&amp;VAR:INDEX=0"}</definedName>
    <definedName name="_8446__FDSAUDITLINK__" hidden="1">{"fdsup://directions/FAT Viewer?action=UPDATE&amp;creator=factset&amp;DYN_ARGS=TRUE&amp;DOC_NAME=FAT:FQL_AUDITING_CLIENT_TEMPLATE.FAT&amp;display_string=Audit&amp;VAR:KEY=FKJSVWHAPM&amp;VAR:QUERY=RkZfRUJJVERBX0lCKCdMVE1TJywzOTA5NSk=&amp;WINDOW=FIRST_POPUP&amp;HEIGHT=450&amp;WIDTH=450&amp;START_MA","XIMIZED=FALSE&amp;VAR:CALENDAR=US&amp;VAR:SYMBOL=G0129K10&amp;VAR:INDEX=0"}</definedName>
    <definedName name="_8447__FDSAUDITLINK__" localSheetId="6" hidden="1">{"fdsup://directions/FAT Viewer?action=UPDATE&amp;creator=factset&amp;DYN_ARGS=TRUE&amp;DOC_NAME=FAT:FQL_AUDITING_CLIENT_TEMPLATE.FAT&amp;display_string=Audit&amp;VAR:KEY=PAFARUZGLY&amp;VAR:QUERY=RkZfRUJJVERBX0lCKCdMVE1TJywzOTA5NCk=&amp;WINDOW=FIRST_POPUP&amp;HEIGHT=450&amp;WIDTH=450&amp;START_MA","XIMIZED=FALSE&amp;VAR:CALENDAR=US&amp;VAR:SYMBOL=G0129K10&amp;VAR:INDEX=0"}</definedName>
    <definedName name="_8447__FDSAUDITLINK__" hidden="1">{"fdsup://directions/FAT Viewer?action=UPDATE&amp;creator=factset&amp;DYN_ARGS=TRUE&amp;DOC_NAME=FAT:FQL_AUDITING_CLIENT_TEMPLATE.FAT&amp;display_string=Audit&amp;VAR:KEY=PAFARUZGLY&amp;VAR:QUERY=RkZfRUJJVERBX0lCKCdMVE1TJywzOTA5NCk=&amp;WINDOW=FIRST_POPUP&amp;HEIGHT=450&amp;WIDTH=450&amp;START_MA","XIMIZED=FALSE&amp;VAR:CALENDAR=US&amp;VAR:SYMBOL=G0129K10&amp;VAR:INDEX=0"}</definedName>
    <definedName name="_8448__FDSAUDITLINK__" localSheetId="6" hidden="1">{"fdsup://directions/FAT Viewer?action=UPDATE&amp;creator=factset&amp;DYN_ARGS=TRUE&amp;DOC_NAME=FAT:FQL_AUDITING_CLIENT_TEMPLATE.FAT&amp;display_string=Audit&amp;VAR:KEY=DILUPIJQBK&amp;VAR:QUERY=RkZfRUJJVERBX0lCKCdMVE1TJywzOTA5Myk=&amp;WINDOW=FIRST_POPUP&amp;HEIGHT=450&amp;WIDTH=450&amp;START_MA","XIMIZED=FALSE&amp;VAR:CALENDAR=US&amp;VAR:SYMBOL=G0129K10&amp;VAR:INDEX=0"}</definedName>
    <definedName name="_8448__FDSAUDITLINK__" hidden="1">{"fdsup://directions/FAT Viewer?action=UPDATE&amp;creator=factset&amp;DYN_ARGS=TRUE&amp;DOC_NAME=FAT:FQL_AUDITING_CLIENT_TEMPLATE.FAT&amp;display_string=Audit&amp;VAR:KEY=DILUPIJQBK&amp;VAR:QUERY=RkZfRUJJVERBX0lCKCdMVE1TJywzOTA5Myk=&amp;WINDOW=FIRST_POPUP&amp;HEIGHT=450&amp;WIDTH=450&amp;START_MA","XIMIZED=FALSE&amp;VAR:CALENDAR=US&amp;VAR:SYMBOL=G0129K10&amp;VAR:INDEX=0"}</definedName>
    <definedName name="_8449__FDSAUDITLINK__" localSheetId="6" hidden="1">{"fdsup://directions/FAT Viewer?action=UPDATE&amp;creator=factset&amp;DYN_ARGS=TRUE&amp;DOC_NAME=FAT:FQL_AUDITING_CLIENT_TEMPLATE.FAT&amp;display_string=Audit&amp;VAR:KEY=XGXYLQJMDS&amp;VAR:QUERY=RkZfRUJJVERBX0lCKCdMVE1TJywzOTA5Mik=&amp;WINDOW=FIRST_POPUP&amp;HEIGHT=450&amp;WIDTH=450&amp;START_MA","XIMIZED=FALSE&amp;VAR:CALENDAR=US&amp;VAR:SYMBOL=G0129K10&amp;VAR:INDEX=0"}</definedName>
    <definedName name="_8449__FDSAUDITLINK__" hidden="1">{"fdsup://directions/FAT Viewer?action=UPDATE&amp;creator=factset&amp;DYN_ARGS=TRUE&amp;DOC_NAME=FAT:FQL_AUDITING_CLIENT_TEMPLATE.FAT&amp;display_string=Audit&amp;VAR:KEY=XGXYLQJMDS&amp;VAR:QUERY=RkZfRUJJVERBX0lCKCdMVE1TJywzOTA5Mik=&amp;WINDOW=FIRST_POPUP&amp;HEIGHT=450&amp;WIDTH=450&amp;START_MA","XIMIZED=FALSE&amp;VAR:CALENDAR=US&amp;VAR:SYMBOL=G0129K10&amp;VAR:INDEX=0"}</definedName>
    <definedName name="_845__FDSAUDITLINK__" localSheetId="6" hidden="1">{"fdsup://directions/FAT%20Viewer?VAR:PED=LTM&amp;VAR:AUDIT_MODE=SUMMARY&amp;VAR:PERIOD=FIXED&amp;VAR:AUDIT_ID=00000117&amp;VAR:DATE=20071030&amp;action=UPDATE&amp;creator=factset&amp;DOC_NAME=FAT:FMA_audit_SUMMARY.fat&amp;DISPLAY_STRING=Display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5__FDSAUDITLINK__" hidden="1">{"fdsup://directions/FAT%20Viewer?VAR:PED=LTM&amp;VAR:AUDIT_MODE=SUMMARY&amp;VAR:PERIOD=FIXED&amp;VAR:AUDIT_ID=00000117&amp;VAR:DATE=20071030&amp;action=UPDATE&amp;creator=factset&amp;DOC_NAME=FAT:FMA_audit_SUMMARY.fat&amp;DISPLAY_STRING=Display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50__FDSAUDITLINK__" localSheetId="6" hidden="1">{"fdsup://directions/FAT Viewer?action=UPDATE&amp;creator=factset&amp;DYN_ARGS=TRUE&amp;DOC_NAME=FAT:FQL_AUDITING_CLIENT_TEMPLATE.FAT&amp;display_string=Audit&amp;VAR:KEY=XSNCTKTCJY&amp;VAR:QUERY=RkZfRUJJVERBX0lCKCdMVE1TJywzOTA5MSk=&amp;WINDOW=FIRST_POPUP&amp;HEIGHT=450&amp;WIDTH=450&amp;START_MA","XIMIZED=FALSE&amp;VAR:CALENDAR=US&amp;VAR:SYMBOL=G0129K10&amp;VAR:INDEX=0"}</definedName>
    <definedName name="_8450__FDSAUDITLINK__" hidden="1">{"fdsup://directions/FAT Viewer?action=UPDATE&amp;creator=factset&amp;DYN_ARGS=TRUE&amp;DOC_NAME=FAT:FQL_AUDITING_CLIENT_TEMPLATE.FAT&amp;display_string=Audit&amp;VAR:KEY=XSNCTKTCJY&amp;VAR:QUERY=RkZfRUJJVERBX0lCKCdMVE1TJywzOTA5MSk=&amp;WINDOW=FIRST_POPUP&amp;HEIGHT=450&amp;WIDTH=450&amp;START_MA","XIMIZED=FALSE&amp;VAR:CALENDAR=US&amp;VAR:SYMBOL=G0129K10&amp;VAR:INDEX=0"}</definedName>
    <definedName name="_8451__FDSAUDITLINK__" localSheetId="6" hidden="1">{"fdsup://directions/FAT Viewer?action=UPDATE&amp;creator=factset&amp;DYN_ARGS=TRUE&amp;DOC_NAME=FAT:FQL_AUDITING_CLIENT_TEMPLATE.FAT&amp;display_string=Audit&amp;VAR:KEY=NYJSZQZKVS&amp;VAR:QUERY=RkZfRUJJVERBX0lCKCdMVE1TJywzOTA5MCk=&amp;WINDOW=FIRST_POPUP&amp;HEIGHT=450&amp;WIDTH=450&amp;START_MA","XIMIZED=FALSE&amp;VAR:CALENDAR=US&amp;VAR:SYMBOL=G0129K10&amp;VAR:INDEX=0"}</definedName>
    <definedName name="_8451__FDSAUDITLINK__" hidden="1">{"fdsup://directions/FAT Viewer?action=UPDATE&amp;creator=factset&amp;DYN_ARGS=TRUE&amp;DOC_NAME=FAT:FQL_AUDITING_CLIENT_TEMPLATE.FAT&amp;display_string=Audit&amp;VAR:KEY=NYJSZQZKVS&amp;VAR:QUERY=RkZfRUJJVERBX0lCKCdMVE1TJywzOTA5MCk=&amp;WINDOW=FIRST_POPUP&amp;HEIGHT=450&amp;WIDTH=450&amp;START_MA","XIMIZED=FALSE&amp;VAR:CALENDAR=US&amp;VAR:SYMBOL=G0129K10&amp;VAR:INDEX=0"}</definedName>
    <definedName name="_8452__FDSAUDITLINK__" localSheetId="6" hidden="1">{"fdsup://directions/FAT Viewer?action=UPDATE&amp;creator=factset&amp;DYN_ARGS=TRUE&amp;DOC_NAME=FAT:FQL_AUDITING_CLIENT_TEMPLATE.FAT&amp;display_string=Audit&amp;VAR:KEY=NUHOPAVILC&amp;VAR:QUERY=RkZfRUJJVERBX0lCKCdMVE1TJywzOTA4OSk=&amp;WINDOW=FIRST_POPUP&amp;HEIGHT=450&amp;WIDTH=450&amp;START_MA","XIMIZED=FALSE&amp;VAR:CALENDAR=US&amp;VAR:SYMBOL=G0129K10&amp;VAR:INDEX=0"}</definedName>
    <definedName name="_8452__FDSAUDITLINK__" hidden="1">{"fdsup://directions/FAT Viewer?action=UPDATE&amp;creator=factset&amp;DYN_ARGS=TRUE&amp;DOC_NAME=FAT:FQL_AUDITING_CLIENT_TEMPLATE.FAT&amp;display_string=Audit&amp;VAR:KEY=NUHOPAVILC&amp;VAR:QUERY=RkZfRUJJVERBX0lCKCdMVE1TJywzOTA4OSk=&amp;WINDOW=FIRST_POPUP&amp;HEIGHT=450&amp;WIDTH=450&amp;START_MA","XIMIZED=FALSE&amp;VAR:CALENDAR=US&amp;VAR:SYMBOL=G0129K10&amp;VAR:INDEX=0"}</definedName>
    <definedName name="_8453__FDSAUDITLINK__" localSheetId="6" hidden="1">{"fdsup://directions/FAT Viewer?action=UPDATE&amp;creator=factset&amp;DYN_ARGS=TRUE&amp;DOC_NAME=FAT:FQL_AUDITING_CLIENT_TEMPLATE.FAT&amp;display_string=Audit&amp;VAR:KEY=PAHCHGVUNC&amp;VAR:QUERY=RkZfRUJJVERBX0lCKCdMVE1TJywzOTA4OCk=&amp;WINDOW=FIRST_POPUP&amp;HEIGHT=450&amp;WIDTH=450&amp;START_MA","XIMIZED=FALSE&amp;VAR:CALENDAR=US&amp;VAR:SYMBOL=G0129K10&amp;VAR:INDEX=0"}</definedName>
    <definedName name="_8453__FDSAUDITLINK__" hidden="1">{"fdsup://directions/FAT Viewer?action=UPDATE&amp;creator=factset&amp;DYN_ARGS=TRUE&amp;DOC_NAME=FAT:FQL_AUDITING_CLIENT_TEMPLATE.FAT&amp;display_string=Audit&amp;VAR:KEY=PAHCHGVUNC&amp;VAR:QUERY=RkZfRUJJVERBX0lCKCdMVE1TJywzOTA4OCk=&amp;WINDOW=FIRST_POPUP&amp;HEIGHT=450&amp;WIDTH=450&amp;START_MA","XIMIZED=FALSE&amp;VAR:CALENDAR=US&amp;VAR:SYMBOL=G0129K10&amp;VAR:INDEX=0"}</definedName>
    <definedName name="_8454__FDSAUDITLINK__" localSheetId="6" hidden="1">{"fdsup://directions/FAT Viewer?action=UPDATE&amp;creator=factset&amp;DYN_ARGS=TRUE&amp;DOC_NAME=FAT:FQL_AUDITING_CLIENT_TEMPLATE.FAT&amp;display_string=Audit&amp;VAR:KEY=JILIDWDIJY&amp;VAR:QUERY=RkZfRUJJVERBX0lCKCdMVE1TJywzOTA4Nyk=&amp;WINDOW=FIRST_POPUP&amp;HEIGHT=450&amp;WIDTH=450&amp;START_MA","XIMIZED=FALSE&amp;VAR:CALENDAR=US&amp;VAR:SYMBOL=G0129K10&amp;VAR:INDEX=0"}</definedName>
    <definedName name="_8454__FDSAUDITLINK__" hidden="1">{"fdsup://directions/FAT Viewer?action=UPDATE&amp;creator=factset&amp;DYN_ARGS=TRUE&amp;DOC_NAME=FAT:FQL_AUDITING_CLIENT_TEMPLATE.FAT&amp;display_string=Audit&amp;VAR:KEY=JILIDWDIJY&amp;VAR:QUERY=RkZfRUJJVERBX0lCKCdMVE1TJywzOTA4Nyk=&amp;WINDOW=FIRST_POPUP&amp;HEIGHT=450&amp;WIDTH=450&amp;START_MA","XIMIZED=FALSE&amp;VAR:CALENDAR=US&amp;VAR:SYMBOL=G0129K10&amp;VAR:INDEX=0"}</definedName>
    <definedName name="_8455__FDSAUDITLINK__" localSheetId="6" hidden="1">{"fdsup://directions/FAT Viewer?action=UPDATE&amp;creator=factset&amp;DYN_ARGS=TRUE&amp;DOC_NAME=FAT:FQL_AUDITING_CLIENT_TEMPLATE.FAT&amp;display_string=Audit&amp;VAR:KEY=PQXCPYFWZY&amp;VAR:QUERY=RkZfRUJJVERBX0lCKCdMVE1TJywzOTA4Nik=&amp;WINDOW=FIRST_POPUP&amp;HEIGHT=450&amp;WIDTH=450&amp;START_MA","XIMIZED=FALSE&amp;VAR:CALENDAR=US&amp;VAR:SYMBOL=G0129K10&amp;VAR:INDEX=0"}</definedName>
    <definedName name="_8455__FDSAUDITLINK__" hidden="1">{"fdsup://directions/FAT Viewer?action=UPDATE&amp;creator=factset&amp;DYN_ARGS=TRUE&amp;DOC_NAME=FAT:FQL_AUDITING_CLIENT_TEMPLATE.FAT&amp;display_string=Audit&amp;VAR:KEY=PQXCPYFWZY&amp;VAR:QUERY=RkZfRUJJVERBX0lCKCdMVE1TJywzOTA4Nik=&amp;WINDOW=FIRST_POPUP&amp;HEIGHT=450&amp;WIDTH=450&amp;START_MA","XIMIZED=FALSE&amp;VAR:CALENDAR=US&amp;VAR:SYMBOL=G0129K10&amp;VAR:INDEX=0"}</definedName>
    <definedName name="_8456__FDSAUDITLINK__" localSheetId="6" hidden="1">{"fdsup://directions/FAT Viewer?action=UPDATE&amp;creator=factset&amp;DYN_ARGS=TRUE&amp;DOC_NAME=FAT:FQL_AUDITING_CLIENT_TEMPLATE.FAT&amp;display_string=Audit&amp;VAR:KEY=FCJMNOJUVM&amp;VAR:QUERY=RkZfRUJJVERBX0lCKCdMVE1TJywzOTA4NSk=&amp;WINDOW=FIRST_POPUP&amp;HEIGHT=450&amp;WIDTH=450&amp;START_MA","XIMIZED=FALSE&amp;VAR:CALENDAR=US&amp;VAR:SYMBOL=G0129K10&amp;VAR:INDEX=0"}</definedName>
    <definedName name="_8456__FDSAUDITLINK__" hidden="1">{"fdsup://directions/FAT Viewer?action=UPDATE&amp;creator=factset&amp;DYN_ARGS=TRUE&amp;DOC_NAME=FAT:FQL_AUDITING_CLIENT_TEMPLATE.FAT&amp;display_string=Audit&amp;VAR:KEY=FCJMNOJUVM&amp;VAR:QUERY=RkZfRUJJVERBX0lCKCdMVE1TJywzOTA4NSk=&amp;WINDOW=FIRST_POPUP&amp;HEIGHT=450&amp;WIDTH=450&amp;START_MA","XIMIZED=FALSE&amp;VAR:CALENDAR=US&amp;VAR:SYMBOL=G0129K10&amp;VAR:INDEX=0"}</definedName>
    <definedName name="_8457__FDSAUDITLINK__" localSheetId="6" hidden="1">{"fdsup://directions/FAT Viewer?action=UPDATE&amp;creator=factset&amp;DYN_ARGS=TRUE&amp;DOC_NAME=FAT:FQL_AUDITING_CLIENT_TEMPLATE.FAT&amp;display_string=Audit&amp;VAR:KEY=NABQJIRAHW&amp;VAR:QUERY=RkZfRUJJVERBX0lCKCdMVE1TJywzOTA4NCk=&amp;WINDOW=FIRST_POPUP&amp;HEIGHT=450&amp;WIDTH=450&amp;START_MA","XIMIZED=FALSE&amp;VAR:CALENDAR=US&amp;VAR:SYMBOL=G0129K10&amp;VAR:INDEX=0"}</definedName>
    <definedName name="_8457__FDSAUDITLINK__" hidden="1">{"fdsup://directions/FAT Viewer?action=UPDATE&amp;creator=factset&amp;DYN_ARGS=TRUE&amp;DOC_NAME=FAT:FQL_AUDITING_CLIENT_TEMPLATE.FAT&amp;display_string=Audit&amp;VAR:KEY=NABQJIRAHW&amp;VAR:QUERY=RkZfRUJJVERBX0lCKCdMVE1TJywzOTA4NCk=&amp;WINDOW=FIRST_POPUP&amp;HEIGHT=450&amp;WIDTH=450&amp;START_MA","XIMIZED=FALSE&amp;VAR:CALENDAR=US&amp;VAR:SYMBOL=G0129K10&amp;VAR:INDEX=0"}</definedName>
    <definedName name="_8458__FDSAUDITLINK__" localSheetId="6" hidden="1">{"fdsup://directions/FAT Viewer?action=UPDATE&amp;creator=factset&amp;DYN_ARGS=TRUE&amp;DOC_NAME=FAT:FQL_AUDITING_CLIENT_TEMPLATE.FAT&amp;display_string=Audit&amp;VAR:KEY=PMDUJSFCNK&amp;VAR:QUERY=RkZfRUJJVERBX0lCKCdMVE1TJywzOTA4Myk=&amp;WINDOW=FIRST_POPUP&amp;HEIGHT=450&amp;WIDTH=450&amp;START_MA","XIMIZED=FALSE&amp;VAR:CALENDAR=US&amp;VAR:SYMBOL=G0129K10&amp;VAR:INDEX=0"}</definedName>
    <definedName name="_8458__FDSAUDITLINK__" hidden="1">{"fdsup://directions/FAT Viewer?action=UPDATE&amp;creator=factset&amp;DYN_ARGS=TRUE&amp;DOC_NAME=FAT:FQL_AUDITING_CLIENT_TEMPLATE.FAT&amp;display_string=Audit&amp;VAR:KEY=PMDUJSFCNK&amp;VAR:QUERY=RkZfRUJJVERBX0lCKCdMVE1TJywzOTA4Myk=&amp;WINDOW=FIRST_POPUP&amp;HEIGHT=450&amp;WIDTH=450&amp;START_MA","XIMIZED=FALSE&amp;VAR:CALENDAR=US&amp;VAR:SYMBOL=G0129K10&amp;VAR:INDEX=0"}</definedName>
    <definedName name="_8459__FDSAUDITLINK__" localSheetId="6" hidden="1">{"fdsup://directions/FAT Viewer?action=UPDATE&amp;creator=factset&amp;DYN_ARGS=TRUE&amp;DOC_NAME=FAT:FQL_AUDITING_CLIENT_TEMPLATE.FAT&amp;display_string=Audit&amp;VAR:KEY=PKPYFWRQNQ&amp;VAR:QUERY=RkZfRUJJVERBX0lCKCdMVE1TJywzOTA4Mik=&amp;WINDOW=FIRST_POPUP&amp;HEIGHT=450&amp;WIDTH=450&amp;START_MA","XIMIZED=FALSE&amp;VAR:CALENDAR=US&amp;VAR:SYMBOL=G0129K10&amp;VAR:INDEX=0"}</definedName>
    <definedName name="_8459__FDSAUDITLINK__" hidden="1">{"fdsup://directions/FAT Viewer?action=UPDATE&amp;creator=factset&amp;DYN_ARGS=TRUE&amp;DOC_NAME=FAT:FQL_AUDITING_CLIENT_TEMPLATE.FAT&amp;display_string=Audit&amp;VAR:KEY=PKPYFWRQNQ&amp;VAR:QUERY=RkZfRUJJVERBX0lCKCdMVE1TJywzOTA4Mik=&amp;WINDOW=FIRST_POPUP&amp;HEIGHT=450&amp;WIDTH=450&amp;START_MA","XIMIZED=FALSE&amp;VAR:CALENDAR=US&amp;VAR:SYMBOL=G0129K10&amp;VAR:INDEX=0"}</definedName>
    <definedName name="_846__FDSAUDITLINK__" localSheetId="6" hidden="1">{"fdsup://directions/FAT%20Viewer?VAR:PED=LTM&amp;VAR:AUDIT_MODE=SUMMARY&amp;VAR:PERIOD=FIXED&amp;VAR:AUDIT_ID=00000117&amp;VAR:DATE=20071029&amp;action=UPDATE&amp;creator=factset&amp;DOC_NAME=FAT:FMA_audit_SUMMARY.fat&amp;DISPLAY_STRING=Display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6__FDSAUDITLINK__" hidden="1">{"fdsup://directions/FAT%20Viewer?VAR:PED=LTM&amp;VAR:AUDIT_MODE=SUMMARY&amp;VAR:PERIOD=FIXED&amp;VAR:AUDIT_ID=00000117&amp;VAR:DATE=20071029&amp;action=UPDATE&amp;creator=factset&amp;DOC_NAME=FAT:FMA_audit_SUMMARY.fat&amp;DISPLAY_STRING=Display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60__FDSAUDITLINK__" localSheetId="6" hidden="1">{"fdsup://directions/FAT Viewer?action=UPDATE&amp;creator=factset&amp;DYN_ARGS=TRUE&amp;DOC_NAME=FAT:FQL_AUDITING_CLIENT_TEMPLATE.FAT&amp;display_string=Audit&amp;VAR:KEY=XWFALONAVO&amp;VAR:QUERY=RkZfRUJJVERBX0lCKCdMVE1TJywzOTA4MSk=&amp;WINDOW=FIRST_POPUP&amp;HEIGHT=450&amp;WIDTH=450&amp;START_MA","XIMIZED=FALSE&amp;VAR:CALENDAR=US&amp;VAR:SYMBOL=G0129K10&amp;VAR:INDEX=0"}</definedName>
    <definedName name="_8460__FDSAUDITLINK__" hidden="1">{"fdsup://directions/FAT Viewer?action=UPDATE&amp;creator=factset&amp;DYN_ARGS=TRUE&amp;DOC_NAME=FAT:FQL_AUDITING_CLIENT_TEMPLATE.FAT&amp;display_string=Audit&amp;VAR:KEY=XWFALONAVO&amp;VAR:QUERY=RkZfRUJJVERBX0lCKCdMVE1TJywzOTA4MSk=&amp;WINDOW=FIRST_POPUP&amp;HEIGHT=450&amp;WIDTH=450&amp;START_MA","XIMIZED=FALSE&amp;VAR:CALENDAR=US&amp;VAR:SYMBOL=G0129K10&amp;VAR:INDEX=0"}</definedName>
    <definedName name="_8461__FDSAUDITLINK__" localSheetId="6" hidden="1">{"fdsup://directions/FAT Viewer?action=UPDATE&amp;creator=factset&amp;DYN_ARGS=TRUE&amp;DOC_NAME=FAT:FQL_AUDITING_CLIENT_TEMPLATE.FAT&amp;display_string=Audit&amp;VAR:KEY=NAJMBEPCRA&amp;VAR:QUERY=RkZfRUJJVERBX0lCKCdMVE1TJywzOTA4MCk=&amp;WINDOW=FIRST_POPUP&amp;HEIGHT=450&amp;WIDTH=450&amp;START_MA","XIMIZED=FALSE&amp;VAR:CALENDAR=US&amp;VAR:SYMBOL=G0129K10&amp;VAR:INDEX=0"}</definedName>
    <definedName name="_8461__FDSAUDITLINK__" hidden="1">{"fdsup://directions/FAT Viewer?action=UPDATE&amp;creator=factset&amp;DYN_ARGS=TRUE&amp;DOC_NAME=FAT:FQL_AUDITING_CLIENT_TEMPLATE.FAT&amp;display_string=Audit&amp;VAR:KEY=NAJMBEPCRA&amp;VAR:QUERY=RkZfRUJJVERBX0lCKCdMVE1TJywzOTA4MCk=&amp;WINDOW=FIRST_POPUP&amp;HEIGHT=450&amp;WIDTH=450&amp;START_MA","XIMIZED=FALSE&amp;VAR:CALENDAR=US&amp;VAR:SYMBOL=G0129K10&amp;VAR:INDEX=0"}</definedName>
    <definedName name="_8462__FDSAUDITLINK__" localSheetId="6" hidden="1">{"fdsup://directions/FAT Viewer?action=UPDATE&amp;creator=factset&amp;DYN_ARGS=TRUE&amp;DOC_NAME=FAT:FQL_AUDITING_CLIENT_TEMPLATE.FAT&amp;display_string=Audit&amp;VAR:KEY=HEHUFMJEFC&amp;VAR:QUERY=RkZfRUJJVERBX0lCKCdMVE1TJywzOTA3OSk=&amp;WINDOW=FIRST_POPUP&amp;HEIGHT=450&amp;WIDTH=450&amp;START_MA","XIMIZED=FALSE&amp;VAR:CALENDAR=US&amp;VAR:SYMBOL=G0129K10&amp;VAR:INDEX=0"}</definedName>
    <definedName name="_8462__FDSAUDITLINK__" hidden="1">{"fdsup://directions/FAT Viewer?action=UPDATE&amp;creator=factset&amp;DYN_ARGS=TRUE&amp;DOC_NAME=FAT:FQL_AUDITING_CLIENT_TEMPLATE.FAT&amp;display_string=Audit&amp;VAR:KEY=HEHUFMJEFC&amp;VAR:QUERY=RkZfRUJJVERBX0lCKCdMVE1TJywzOTA3OSk=&amp;WINDOW=FIRST_POPUP&amp;HEIGHT=450&amp;WIDTH=450&amp;START_MA","XIMIZED=FALSE&amp;VAR:CALENDAR=US&amp;VAR:SYMBOL=G0129K10&amp;VAR:INDEX=0"}</definedName>
    <definedName name="_8463__FDSAUDITLINK__" localSheetId="6" hidden="1">{"fdsup://directions/FAT Viewer?action=UPDATE&amp;creator=factset&amp;DYN_ARGS=TRUE&amp;DOC_NAME=FAT:FQL_AUDITING_CLIENT_TEMPLATE.FAT&amp;display_string=Audit&amp;VAR:KEY=DOTQFWJMNA&amp;VAR:QUERY=RkZfRUJJVERBX0lCKCdMVE1TJywzOTA3OCk=&amp;WINDOW=FIRST_POPUP&amp;HEIGHT=450&amp;WIDTH=450&amp;START_MA","XIMIZED=FALSE&amp;VAR:CALENDAR=US&amp;VAR:SYMBOL=G0129K10&amp;VAR:INDEX=0"}</definedName>
    <definedName name="_8463__FDSAUDITLINK__" hidden="1">{"fdsup://directions/FAT Viewer?action=UPDATE&amp;creator=factset&amp;DYN_ARGS=TRUE&amp;DOC_NAME=FAT:FQL_AUDITING_CLIENT_TEMPLATE.FAT&amp;display_string=Audit&amp;VAR:KEY=DOTQFWJMNA&amp;VAR:QUERY=RkZfRUJJVERBX0lCKCdMVE1TJywzOTA3OCk=&amp;WINDOW=FIRST_POPUP&amp;HEIGHT=450&amp;WIDTH=450&amp;START_MA","XIMIZED=FALSE&amp;VAR:CALENDAR=US&amp;VAR:SYMBOL=G0129K10&amp;VAR:INDEX=0"}</definedName>
    <definedName name="_8464__FDSAUDITLINK__" localSheetId="6" hidden="1">{"fdsup://directions/FAT Viewer?action=UPDATE&amp;creator=factset&amp;DYN_ARGS=TRUE&amp;DOC_NAME=FAT:FQL_AUDITING_CLIENT_TEMPLATE.FAT&amp;display_string=Audit&amp;VAR:KEY=LORMDEHAZW&amp;VAR:QUERY=RkZfRUJJVERBX0lCKCdMVE1TJywzOTA3Nyk=&amp;WINDOW=FIRST_POPUP&amp;HEIGHT=450&amp;WIDTH=450&amp;START_MA","XIMIZED=FALSE&amp;VAR:CALENDAR=US&amp;VAR:SYMBOL=G0129K10&amp;VAR:INDEX=0"}</definedName>
    <definedName name="_8464__FDSAUDITLINK__" hidden="1">{"fdsup://directions/FAT Viewer?action=UPDATE&amp;creator=factset&amp;DYN_ARGS=TRUE&amp;DOC_NAME=FAT:FQL_AUDITING_CLIENT_TEMPLATE.FAT&amp;display_string=Audit&amp;VAR:KEY=LORMDEHAZW&amp;VAR:QUERY=RkZfRUJJVERBX0lCKCdMVE1TJywzOTA3Nyk=&amp;WINDOW=FIRST_POPUP&amp;HEIGHT=450&amp;WIDTH=450&amp;START_MA","XIMIZED=FALSE&amp;VAR:CALENDAR=US&amp;VAR:SYMBOL=G0129K10&amp;VAR:INDEX=0"}</definedName>
    <definedName name="_8465__FDSAUDITLINK__" localSheetId="6" hidden="1">{"fdsup://directions/FAT Viewer?action=UPDATE&amp;creator=factset&amp;DYN_ARGS=TRUE&amp;DOC_NAME=FAT:FQL_AUDITING_CLIENT_TEMPLATE.FAT&amp;display_string=Audit&amp;VAR:KEY=RCHKBKLWZW&amp;VAR:QUERY=RkZfRUJJVERBX0lCKCdMVE1TJywzOTA3Nik=&amp;WINDOW=FIRST_POPUP&amp;HEIGHT=450&amp;WIDTH=450&amp;START_MA","XIMIZED=FALSE&amp;VAR:CALENDAR=US&amp;VAR:SYMBOL=G0129K10&amp;VAR:INDEX=0"}</definedName>
    <definedName name="_8465__FDSAUDITLINK__" hidden="1">{"fdsup://directions/FAT Viewer?action=UPDATE&amp;creator=factset&amp;DYN_ARGS=TRUE&amp;DOC_NAME=FAT:FQL_AUDITING_CLIENT_TEMPLATE.FAT&amp;display_string=Audit&amp;VAR:KEY=RCHKBKLWZW&amp;VAR:QUERY=RkZfRUJJVERBX0lCKCdMVE1TJywzOTA3Nik=&amp;WINDOW=FIRST_POPUP&amp;HEIGHT=450&amp;WIDTH=450&amp;START_MA","XIMIZED=FALSE&amp;VAR:CALENDAR=US&amp;VAR:SYMBOL=G0129K10&amp;VAR:INDEX=0"}</definedName>
    <definedName name="_8466__FDSAUDITLINK__" localSheetId="6" hidden="1">{"fdsup://directions/FAT Viewer?action=UPDATE&amp;creator=factset&amp;DYN_ARGS=TRUE&amp;DOC_NAME=FAT:FQL_AUDITING_CLIENT_TEMPLATE.FAT&amp;display_string=Audit&amp;VAR:KEY=XUZMVKLQRM&amp;VAR:QUERY=RkZfRUJJVERBX0lCKCdMVE1TJywzOTA3NSk=&amp;WINDOW=FIRST_POPUP&amp;HEIGHT=450&amp;WIDTH=450&amp;START_MA","XIMIZED=FALSE&amp;VAR:CALENDAR=US&amp;VAR:SYMBOL=G0129K10&amp;VAR:INDEX=0"}</definedName>
    <definedName name="_8466__FDSAUDITLINK__" hidden="1">{"fdsup://directions/FAT Viewer?action=UPDATE&amp;creator=factset&amp;DYN_ARGS=TRUE&amp;DOC_NAME=FAT:FQL_AUDITING_CLIENT_TEMPLATE.FAT&amp;display_string=Audit&amp;VAR:KEY=XUZMVKLQRM&amp;VAR:QUERY=RkZfRUJJVERBX0lCKCdMVE1TJywzOTA3NSk=&amp;WINDOW=FIRST_POPUP&amp;HEIGHT=450&amp;WIDTH=450&amp;START_MA","XIMIZED=FALSE&amp;VAR:CALENDAR=US&amp;VAR:SYMBOL=G0129K10&amp;VAR:INDEX=0"}</definedName>
    <definedName name="_8467__FDSAUDITLINK__" localSheetId="6" hidden="1">{"fdsup://directions/FAT Viewer?action=UPDATE&amp;creator=factset&amp;DYN_ARGS=TRUE&amp;DOC_NAME=FAT:FQL_AUDITING_CLIENT_TEMPLATE.FAT&amp;display_string=Audit&amp;VAR:KEY=JUFOPSVKPO&amp;VAR:QUERY=RkZfRUJJVERBX0lCKCdMVE1TJywzOTA3NCk=&amp;WINDOW=FIRST_POPUP&amp;HEIGHT=450&amp;WIDTH=450&amp;START_MA","XIMIZED=FALSE&amp;VAR:CALENDAR=US&amp;VAR:SYMBOL=G0129K10&amp;VAR:INDEX=0"}</definedName>
    <definedName name="_8467__FDSAUDITLINK__" hidden="1">{"fdsup://directions/FAT Viewer?action=UPDATE&amp;creator=factset&amp;DYN_ARGS=TRUE&amp;DOC_NAME=FAT:FQL_AUDITING_CLIENT_TEMPLATE.FAT&amp;display_string=Audit&amp;VAR:KEY=JUFOPSVKPO&amp;VAR:QUERY=RkZfRUJJVERBX0lCKCdMVE1TJywzOTA3NCk=&amp;WINDOW=FIRST_POPUP&amp;HEIGHT=450&amp;WIDTH=450&amp;START_MA","XIMIZED=FALSE&amp;VAR:CALENDAR=US&amp;VAR:SYMBOL=G0129K10&amp;VAR:INDEX=0"}</definedName>
    <definedName name="_8468__FDSAUDITLINK__" localSheetId="6" hidden="1">{"fdsup://directions/FAT Viewer?action=UPDATE&amp;creator=factset&amp;DYN_ARGS=TRUE&amp;DOC_NAME=FAT:FQL_AUDITING_CLIENT_TEMPLATE.FAT&amp;display_string=Audit&amp;VAR:KEY=JIREVIFYFM&amp;VAR:QUERY=RkZfRUJJVERBX0lCKCdMVE1TJywzOTA3Myk=&amp;WINDOW=FIRST_POPUP&amp;HEIGHT=450&amp;WIDTH=450&amp;START_MA","XIMIZED=FALSE&amp;VAR:CALENDAR=US&amp;VAR:SYMBOL=G0129K10&amp;VAR:INDEX=0"}</definedName>
    <definedName name="_8468__FDSAUDITLINK__" hidden="1">{"fdsup://directions/FAT Viewer?action=UPDATE&amp;creator=factset&amp;DYN_ARGS=TRUE&amp;DOC_NAME=FAT:FQL_AUDITING_CLIENT_TEMPLATE.FAT&amp;display_string=Audit&amp;VAR:KEY=JIREVIFYFM&amp;VAR:QUERY=RkZfRUJJVERBX0lCKCdMVE1TJywzOTA3Myk=&amp;WINDOW=FIRST_POPUP&amp;HEIGHT=450&amp;WIDTH=450&amp;START_MA","XIMIZED=FALSE&amp;VAR:CALENDAR=US&amp;VAR:SYMBOL=G0129K10&amp;VAR:INDEX=0"}</definedName>
    <definedName name="_8469__FDSAUDITLINK__" localSheetId="6" hidden="1">{"fdsup://directions/FAT Viewer?action=UPDATE&amp;creator=factset&amp;DYN_ARGS=TRUE&amp;DOC_NAME=FAT:FQL_AUDITING_CLIENT_TEMPLATE.FAT&amp;display_string=Audit&amp;VAR:KEY=PARSDUXCZK&amp;VAR:QUERY=RkZfRUJJVERBX0lCKCdMVE1TJywzOTA3Mik=&amp;WINDOW=FIRST_POPUP&amp;HEIGHT=450&amp;WIDTH=450&amp;START_MA","XIMIZED=FALSE&amp;VAR:CALENDAR=US&amp;VAR:SYMBOL=G0129K10&amp;VAR:INDEX=0"}</definedName>
    <definedName name="_8469__FDSAUDITLINK__" hidden="1">{"fdsup://directions/FAT Viewer?action=UPDATE&amp;creator=factset&amp;DYN_ARGS=TRUE&amp;DOC_NAME=FAT:FQL_AUDITING_CLIENT_TEMPLATE.FAT&amp;display_string=Audit&amp;VAR:KEY=PARSDUXCZK&amp;VAR:QUERY=RkZfRUJJVERBX0lCKCdMVE1TJywzOTA3Mik=&amp;WINDOW=FIRST_POPUP&amp;HEIGHT=450&amp;WIDTH=450&amp;START_MA","XIMIZED=FALSE&amp;VAR:CALENDAR=US&amp;VAR:SYMBOL=G0129K10&amp;VAR:INDEX=0"}</definedName>
    <definedName name="_847__FDSAUDITLINK__" localSheetId="6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7__FDSAUDITLINK__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70__FDSAUDITLINK__" localSheetId="6" hidden="1">{"fdsup://directions/FAT Viewer?action=UPDATE&amp;creator=factset&amp;DYN_ARGS=TRUE&amp;DOC_NAME=FAT:FQL_AUDITING_CLIENT_TEMPLATE.FAT&amp;display_string=Audit&amp;VAR:KEY=XIDIDQPIXK&amp;VAR:QUERY=RkZfRUJJVERBX0lCKCdMVE1TJywzOTA3MSk=&amp;WINDOW=FIRST_POPUP&amp;HEIGHT=450&amp;WIDTH=450&amp;START_MA","XIMIZED=FALSE&amp;VAR:CALENDAR=US&amp;VAR:SYMBOL=G0129K10&amp;VAR:INDEX=0"}</definedName>
    <definedName name="_8470__FDSAUDITLINK__" hidden="1">{"fdsup://directions/FAT Viewer?action=UPDATE&amp;creator=factset&amp;DYN_ARGS=TRUE&amp;DOC_NAME=FAT:FQL_AUDITING_CLIENT_TEMPLATE.FAT&amp;display_string=Audit&amp;VAR:KEY=XIDIDQPIXK&amp;VAR:QUERY=RkZfRUJJVERBX0lCKCdMVE1TJywzOTA3MSk=&amp;WINDOW=FIRST_POPUP&amp;HEIGHT=450&amp;WIDTH=450&amp;START_MA","XIMIZED=FALSE&amp;VAR:CALENDAR=US&amp;VAR:SYMBOL=G0129K10&amp;VAR:INDEX=0"}</definedName>
    <definedName name="_8471__FDSAUDITLINK__" localSheetId="6" hidden="1">{"fdsup://directions/FAT Viewer?action=UPDATE&amp;creator=factset&amp;DYN_ARGS=TRUE&amp;DOC_NAME=FAT:FQL_AUDITING_CLIENT_TEMPLATE.FAT&amp;display_string=Audit&amp;VAR:KEY=VAXKNYLKVI&amp;VAR:QUERY=RkZfRUJJVERBX0lCKCdMVE1TJywzOTA3MCk=&amp;WINDOW=FIRST_POPUP&amp;HEIGHT=450&amp;WIDTH=450&amp;START_MA","XIMIZED=FALSE&amp;VAR:CALENDAR=US&amp;VAR:SYMBOL=G0129K10&amp;VAR:INDEX=0"}</definedName>
    <definedName name="_8471__FDSAUDITLINK__" hidden="1">{"fdsup://directions/FAT Viewer?action=UPDATE&amp;creator=factset&amp;DYN_ARGS=TRUE&amp;DOC_NAME=FAT:FQL_AUDITING_CLIENT_TEMPLATE.FAT&amp;display_string=Audit&amp;VAR:KEY=VAXKNYLKVI&amp;VAR:QUERY=RkZfRUJJVERBX0lCKCdMVE1TJywzOTA3MCk=&amp;WINDOW=FIRST_POPUP&amp;HEIGHT=450&amp;WIDTH=450&amp;START_MA","XIMIZED=FALSE&amp;VAR:CALENDAR=US&amp;VAR:SYMBOL=G0129K10&amp;VAR:INDEX=0"}</definedName>
    <definedName name="_8472__FDSAUDITLINK__" localSheetId="6" hidden="1">{"fdsup://directions/FAT Viewer?action=UPDATE&amp;creator=factset&amp;DYN_ARGS=TRUE&amp;DOC_NAME=FAT:FQL_AUDITING_CLIENT_TEMPLATE.FAT&amp;display_string=Audit&amp;VAR:KEY=FSFKBUVCBG&amp;VAR:QUERY=RkZfRUJJVERBX0lCKCdMVE1TJywzOTA2OSk=&amp;WINDOW=FIRST_POPUP&amp;HEIGHT=450&amp;WIDTH=450&amp;START_MA","XIMIZED=FALSE&amp;VAR:CALENDAR=US&amp;VAR:SYMBOL=G0129K10&amp;VAR:INDEX=0"}</definedName>
    <definedName name="_8472__FDSAUDITLINK__" hidden="1">{"fdsup://directions/FAT Viewer?action=UPDATE&amp;creator=factset&amp;DYN_ARGS=TRUE&amp;DOC_NAME=FAT:FQL_AUDITING_CLIENT_TEMPLATE.FAT&amp;display_string=Audit&amp;VAR:KEY=FSFKBUVCBG&amp;VAR:QUERY=RkZfRUJJVERBX0lCKCdMVE1TJywzOTA2OSk=&amp;WINDOW=FIRST_POPUP&amp;HEIGHT=450&amp;WIDTH=450&amp;START_MA","XIMIZED=FALSE&amp;VAR:CALENDAR=US&amp;VAR:SYMBOL=G0129K10&amp;VAR:INDEX=0"}</definedName>
    <definedName name="_8473__FDSAUDITLINK__" localSheetId="6" hidden="1">{"fdsup://directions/FAT Viewer?action=UPDATE&amp;creator=factset&amp;DYN_ARGS=TRUE&amp;DOC_NAME=FAT:FQL_AUDITING_CLIENT_TEMPLATE.FAT&amp;display_string=Audit&amp;VAR:KEY=NUPIHUTMRY&amp;VAR:QUERY=RkZfRUJJVERBX0lCKCdMVE1TJywzOTA2OCk=&amp;WINDOW=FIRST_POPUP&amp;HEIGHT=450&amp;WIDTH=450&amp;START_MA","XIMIZED=FALSE&amp;VAR:CALENDAR=US&amp;VAR:SYMBOL=G0129K10&amp;VAR:INDEX=0"}</definedName>
    <definedName name="_8473__FDSAUDITLINK__" hidden="1">{"fdsup://directions/FAT Viewer?action=UPDATE&amp;creator=factset&amp;DYN_ARGS=TRUE&amp;DOC_NAME=FAT:FQL_AUDITING_CLIENT_TEMPLATE.FAT&amp;display_string=Audit&amp;VAR:KEY=NUPIHUTMRY&amp;VAR:QUERY=RkZfRUJJVERBX0lCKCdMVE1TJywzOTA2OCk=&amp;WINDOW=FIRST_POPUP&amp;HEIGHT=450&amp;WIDTH=450&amp;START_MA","XIMIZED=FALSE&amp;VAR:CALENDAR=US&amp;VAR:SYMBOL=G0129K10&amp;VAR:INDEX=0"}</definedName>
    <definedName name="_8474__FDSAUDITLINK__" localSheetId="6" hidden="1">{"fdsup://directions/FAT Viewer?action=UPDATE&amp;creator=factset&amp;DYN_ARGS=TRUE&amp;DOC_NAME=FAT:FQL_AUDITING_CLIENT_TEMPLATE.FAT&amp;display_string=Audit&amp;VAR:KEY=FIPWBGJGHU&amp;VAR:QUERY=RkZfRUJJVERBX0lCKCdMVE1TJywzOTA2Nyk=&amp;WINDOW=FIRST_POPUP&amp;HEIGHT=450&amp;WIDTH=450&amp;START_MA","XIMIZED=FALSE&amp;VAR:CALENDAR=US&amp;VAR:SYMBOL=G0129K10&amp;VAR:INDEX=0"}</definedName>
    <definedName name="_8474__FDSAUDITLINK__" hidden="1">{"fdsup://directions/FAT Viewer?action=UPDATE&amp;creator=factset&amp;DYN_ARGS=TRUE&amp;DOC_NAME=FAT:FQL_AUDITING_CLIENT_TEMPLATE.FAT&amp;display_string=Audit&amp;VAR:KEY=FIPWBGJGHU&amp;VAR:QUERY=RkZfRUJJVERBX0lCKCdMVE1TJywzOTA2Nyk=&amp;WINDOW=FIRST_POPUP&amp;HEIGHT=450&amp;WIDTH=450&amp;START_MA","XIMIZED=FALSE&amp;VAR:CALENDAR=US&amp;VAR:SYMBOL=G0129K10&amp;VAR:INDEX=0"}</definedName>
    <definedName name="_8475__FDSAUDITLINK__" localSheetId="6" hidden="1">{"fdsup://directions/FAT Viewer?action=UPDATE&amp;creator=factset&amp;DYN_ARGS=TRUE&amp;DOC_NAME=FAT:FQL_AUDITING_CLIENT_TEMPLATE.FAT&amp;display_string=Audit&amp;VAR:KEY=JWNEZGZCNI&amp;VAR:QUERY=RkZfRUJJVERBX0lCKCdMVE1TJywzOTA2Nik=&amp;WINDOW=FIRST_POPUP&amp;HEIGHT=450&amp;WIDTH=450&amp;START_MA","XIMIZED=FALSE&amp;VAR:CALENDAR=US&amp;VAR:SYMBOL=G0129K10&amp;VAR:INDEX=0"}</definedName>
    <definedName name="_8475__FDSAUDITLINK__" hidden="1">{"fdsup://directions/FAT Viewer?action=UPDATE&amp;creator=factset&amp;DYN_ARGS=TRUE&amp;DOC_NAME=FAT:FQL_AUDITING_CLIENT_TEMPLATE.FAT&amp;display_string=Audit&amp;VAR:KEY=JWNEZGZCNI&amp;VAR:QUERY=RkZfRUJJVERBX0lCKCdMVE1TJywzOTA2Nik=&amp;WINDOW=FIRST_POPUP&amp;HEIGHT=450&amp;WIDTH=450&amp;START_MA","XIMIZED=FALSE&amp;VAR:CALENDAR=US&amp;VAR:SYMBOL=G0129K10&amp;VAR:INDEX=0"}</definedName>
    <definedName name="_8476__FDSAUDITLINK__" localSheetId="6" hidden="1">{"fdsup://directions/FAT Viewer?action=UPDATE&amp;creator=factset&amp;DYN_ARGS=TRUE&amp;DOC_NAME=FAT:FQL_AUDITING_CLIENT_TEMPLATE.FAT&amp;display_string=Audit&amp;VAR:KEY=HADMPGVSZG&amp;VAR:QUERY=RkZfRUJJVERBX0lCKCdMVE1TJywzOTA2NSk=&amp;WINDOW=FIRST_POPUP&amp;HEIGHT=450&amp;WIDTH=450&amp;START_MA","XIMIZED=FALSE&amp;VAR:CALENDAR=US&amp;VAR:SYMBOL=G0129K10&amp;VAR:INDEX=0"}</definedName>
    <definedName name="_8476__FDSAUDITLINK__" hidden="1">{"fdsup://directions/FAT Viewer?action=UPDATE&amp;creator=factset&amp;DYN_ARGS=TRUE&amp;DOC_NAME=FAT:FQL_AUDITING_CLIENT_TEMPLATE.FAT&amp;display_string=Audit&amp;VAR:KEY=HADMPGVSZG&amp;VAR:QUERY=RkZfRUJJVERBX0lCKCdMVE1TJywzOTA2NSk=&amp;WINDOW=FIRST_POPUP&amp;HEIGHT=450&amp;WIDTH=450&amp;START_MA","XIMIZED=FALSE&amp;VAR:CALENDAR=US&amp;VAR:SYMBOL=G0129K10&amp;VAR:INDEX=0"}</definedName>
    <definedName name="_8477__FDSAUDITLINK__" localSheetId="6" hidden="1">{"fdsup://directions/FAT Viewer?action=UPDATE&amp;creator=factset&amp;DYN_ARGS=TRUE&amp;DOC_NAME=FAT:FQL_AUDITING_CLIENT_TEMPLATE.FAT&amp;display_string=Audit&amp;VAR:KEY=HEVQDYBYJC&amp;VAR:QUERY=RkZfRUJJVERBX0lCKCdMVE1TJywzOTA2NCk=&amp;WINDOW=FIRST_POPUP&amp;HEIGHT=450&amp;WIDTH=450&amp;START_MA","XIMIZED=FALSE&amp;VAR:CALENDAR=US&amp;VAR:SYMBOL=G0129K10&amp;VAR:INDEX=0"}</definedName>
    <definedName name="_8477__FDSAUDITLINK__" hidden="1">{"fdsup://directions/FAT Viewer?action=UPDATE&amp;creator=factset&amp;DYN_ARGS=TRUE&amp;DOC_NAME=FAT:FQL_AUDITING_CLIENT_TEMPLATE.FAT&amp;display_string=Audit&amp;VAR:KEY=HEVQDYBYJC&amp;VAR:QUERY=RkZfRUJJVERBX0lCKCdMVE1TJywzOTA2NCk=&amp;WINDOW=FIRST_POPUP&amp;HEIGHT=450&amp;WIDTH=450&amp;START_MA","XIMIZED=FALSE&amp;VAR:CALENDAR=US&amp;VAR:SYMBOL=G0129K10&amp;VAR:INDEX=0"}</definedName>
    <definedName name="_8478__FDSAUDITLINK__" localSheetId="6" hidden="1">{"fdsup://directions/FAT Viewer?action=UPDATE&amp;creator=factset&amp;DYN_ARGS=TRUE&amp;DOC_NAME=FAT:FQL_AUDITING_CLIENT_TEMPLATE.FAT&amp;display_string=Audit&amp;VAR:KEY=VAXQXARYPK&amp;VAR:QUERY=RkZfRUJJVERBX0lCKCdMVE1TJywzOTA2Myk=&amp;WINDOW=FIRST_POPUP&amp;HEIGHT=450&amp;WIDTH=450&amp;START_MA","XIMIZED=FALSE&amp;VAR:CALENDAR=US&amp;VAR:SYMBOL=G0129K10&amp;VAR:INDEX=0"}</definedName>
    <definedName name="_8478__FDSAUDITLINK__" hidden="1">{"fdsup://directions/FAT Viewer?action=UPDATE&amp;creator=factset&amp;DYN_ARGS=TRUE&amp;DOC_NAME=FAT:FQL_AUDITING_CLIENT_TEMPLATE.FAT&amp;display_string=Audit&amp;VAR:KEY=VAXQXARYPK&amp;VAR:QUERY=RkZfRUJJVERBX0lCKCdMVE1TJywzOTA2Myk=&amp;WINDOW=FIRST_POPUP&amp;HEIGHT=450&amp;WIDTH=450&amp;START_MA","XIMIZED=FALSE&amp;VAR:CALENDAR=US&amp;VAR:SYMBOL=G0129K10&amp;VAR:INDEX=0"}</definedName>
    <definedName name="_8479__FDSAUDITLINK__" localSheetId="6" hidden="1">{"fdsup://directions/FAT Viewer?action=UPDATE&amp;creator=factset&amp;DYN_ARGS=TRUE&amp;DOC_NAME=FAT:FQL_AUDITING_CLIENT_TEMPLATE.FAT&amp;display_string=Audit&amp;VAR:KEY=PALAZCVYNU&amp;VAR:QUERY=RkZfRUJJVERBX0lCKCdMVE1TJywzOTA2Mik=&amp;WINDOW=FIRST_POPUP&amp;HEIGHT=450&amp;WIDTH=450&amp;START_MA","XIMIZED=FALSE&amp;VAR:CALENDAR=US&amp;VAR:SYMBOL=G0129K10&amp;VAR:INDEX=0"}</definedName>
    <definedName name="_8479__FDSAUDITLINK__" hidden="1">{"fdsup://directions/FAT Viewer?action=UPDATE&amp;creator=factset&amp;DYN_ARGS=TRUE&amp;DOC_NAME=FAT:FQL_AUDITING_CLIENT_TEMPLATE.FAT&amp;display_string=Audit&amp;VAR:KEY=PALAZCVYNU&amp;VAR:QUERY=RkZfRUJJVERBX0lCKCdMVE1TJywzOTA2Mik=&amp;WINDOW=FIRST_POPUP&amp;HEIGHT=450&amp;WIDTH=450&amp;START_MA","XIMIZED=FALSE&amp;VAR:CALENDAR=US&amp;VAR:SYMBOL=G0129K10&amp;VAR:INDEX=0"}</definedName>
    <definedName name="_848__FDSAUDITLINK__" localSheetId="6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8__FDSAUDITLINK__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80__FDSAUDITLINK__" localSheetId="6" hidden="1">{"fdsup://directions/FAT Viewer?action=UPDATE&amp;creator=factset&amp;DYN_ARGS=TRUE&amp;DOC_NAME=FAT:FQL_AUDITING_CLIENT_TEMPLATE.FAT&amp;display_string=Audit&amp;VAR:KEY=HMPMPGHYHO&amp;VAR:QUERY=RkZfRUJJVERBX0lCKCdMVE1TJywzOTA2MSk=&amp;WINDOW=FIRST_POPUP&amp;HEIGHT=450&amp;WIDTH=450&amp;START_MA","XIMIZED=FALSE&amp;VAR:CALENDAR=US&amp;VAR:SYMBOL=G0129K10&amp;VAR:INDEX=0"}</definedName>
    <definedName name="_8480__FDSAUDITLINK__" hidden="1">{"fdsup://directions/FAT Viewer?action=UPDATE&amp;creator=factset&amp;DYN_ARGS=TRUE&amp;DOC_NAME=FAT:FQL_AUDITING_CLIENT_TEMPLATE.FAT&amp;display_string=Audit&amp;VAR:KEY=HMPMPGHYHO&amp;VAR:QUERY=RkZfRUJJVERBX0lCKCdMVE1TJywzOTA2MSk=&amp;WINDOW=FIRST_POPUP&amp;HEIGHT=450&amp;WIDTH=450&amp;START_MA","XIMIZED=FALSE&amp;VAR:CALENDAR=US&amp;VAR:SYMBOL=G0129K10&amp;VAR:INDEX=0"}</definedName>
    <definedName name="_8481__FDSAUDITLINK__" localSheetId="6" hidden="1">{"fdsup://directions/FAT Viewer?action=UPDATE&amp;creator=factset&amp;DYN_ARGS=TRUE&amp;DOC_NAME=FAT:FQL_AUDITING_CLIENT_TEMPLATE.FAT&amp;display_string=Audit&amp;VAR:KEY=JCPMVWJAJI&amp;VAR:QUERY=RkZfRUJJVERBX0lCKCdMVE1TJywzOTA2MCk=&amp;WINDOW=FIRST_POPUP&amp;HEIGHT=450&amp;WIDTH=450&amp;START_MA","XIMIZED=FALSE&amp;VAR:CALENDAR=US&amp;VAR:SYMBOL=G0129K10&amp;VAR:INDEX=0"}</definedName>
    <definedName name="_8481__FDSAUDITLINK__" hidden="1">{"fdsup://directions/FAT Viewer?action=UPDATE&amp;creator=factset&amp;DYN_ARGS=TRUE&amp;DOC_NAME=FAT:FQL_AUDITING_CLIENT_TEMPLATE.FAT&amp;display_string=Audit&amp;VAR:KEY=JCPMVWJAJI&amp;VAR:QUERY=RkZfRUJJVERBX0lCKCdMVE1TJywzOTA2MCk=&amp;WINDOW=FIRST_POPUP&amp;HEIGHT=450&amp;WIDTH=450&amp;START_MA","XIMIZED=FALSE&amp;VAR:CALENDAR=US&amp;VAR:SYMBOL=G0129K10&amp;VAR:INDEX=0"}</definedName>
    <definedName name="_8482__FDSAUDITLINK__" localSheetId="6" hidden="1">{"fdsup://directions/FAT Viewer?action=UPDATE&amp;creator=factset&amp;DYN_ARGS=TRUE&amp;DOC_NAME=FAT:FQL_AUDITING_CLIENT_TEMPLATE.FAT&amp;display_string=Audit&amp;VAR:KEY=DKVAFWTSPE&amp;VAR:QUERY=RkZfRUJJVERBX0lCKCdMVE1TJywzOTA1OSk=&amp;WINDOW=FIRST_POPUP&amp;HEIGHT=450&amp;WIDTH=450&amp;START_MA","XIMIZED=FALSE&amp;VAR:CALENDAR=US&amp;VAR:SYMBOL=G0129K10&amp;VAR:INDEX=0"}</definedName>
    <definedName name="_8482__FDSAUDITLINK__" hidden="1">{"fdsup://directions/FAT Viewer?action=UPDATE&amp;creator=factset&amp;DYN_ARGS=TRUE&amp;DOC_NAME=FAT:FQL_AUDITING_CLIENT_TEMPLATE.FAT&amp;display_string=Audit&amp;VAR:KEY=DKVAFWTSPE&amp;VAR:QUERY=RkZfRUJJVERBX0lCKCdMVE1TJywzOTA1OSk=&amp;WINDOW=FIRST_POPUP&amp;HEIGHT=450&amp;WIDTH=450&amp;START_MA","XIMIZED=FALSE&amp;VAR:CALENDAR=US&amp;VAR:SYMBOL=G0129K10&amp;VAR:INDEX=0"}</definedName>
    <definedName name="_8483__FDSAUDITLINK__" localSheetId="6" hidden="1">{"fdsup://directions/FAT Viewer?action=UPDATE&amp;creator=factset&amp;DYN_ARGS=TRUE&amp;DOC_NAME=FAT:FQL_AUDITING_CLIENT_TEMPLATE.FAT&amp;display_string=Audit&amp;VAR:KEY=VINMHIZUFK&amp;VAR:QUERY=RkZfRUJJVERBX0lCKCdMVE1TJywzOTA1OCk=&amp;WINDOW=FIRST_POPUP&amp;HEIGHT=450&amp;WIDTH=450&amp;START_MA","XIMIZED=FALSE&amp;VAR:CALENDAR=US&amp;VAR:SYMBOL=G0129K10&amp;VAR:INDEX=0"}</definedName>
    <definedName name="_8483__FDSAUDITLINK__" hidden="1">{"fdsup://directions/FAT Viewer?action=UPDATE&amp;creator=factset&amp;DYN_ARGS=TRUE&amp;DOC_NAME=FAT:FQL_AUDITING_CLIENT_TEMPLATE.FAT&amp;display_string=Audit&amp;VAR:KEY=VINMHIZUFK&amp;VAR:QUERY=RkZfRUJJVERBX0lCKCdMVE1TJywzOTA1OCk=&amp;WINDOW=FIRST_POPUP&amp;HEIGHT=450&amp;WIDTH=450&amp;START_MA","XIMIZED=FALSE&amp;VAR:CALENDAR=US&amp;VAR:SYMBOL=G0129K10&amp;VAR:INDEX=0"}</definedName>
    <definedName name="_8484__FDSAUDITLINK__" localSheetId="6" hidden="1">{"fdsup://directions/FAT Viewer?action=UPDATE&amp;creator=factset&amp;DYN_ARGS=TRUE&amp;DOC_NAME=FAT:FQL_AUDITING_CLIENT_TEMPLATE.FAT&amp;display_string=Audit&amp;VAR:KEY=RKJADYRAFY&amp;VAR:QUERY=RkZfRUJJVERBX0lCKCdMVE1TJywzOTA1Nyk=&amp;WINDOW=FIRST_POPUP&amp;HEIGHT=450&amp;WIDTH=450&amp;START_MA","XIMIZED=FALSE&amp;VAR:CALENDAR=US&amp;VAR:SYMBOL=G0129K10&amp;VAR:INDEX=0"}</definedName>
    <definedName name="_8484__FDSAUDITLINK__" hidden="1">{"fdsup://directions/FAT Viewer?action=UPDATE&amp;creator=factset&amp;DYN_ARGS=TRUE&amp;DOC_NAME=FAT:FQL_AUDITING_CLIENT_TEMPLATE.FAT&amp;display_string=Audit&amp;VAR:KEY=RKJADYRAFY&amp;VAR:QUERY=RkZfRUJJVERBX0lCKCdMVE1TJywzOTA1Nyk=&amp;WINDOW=FIRST_POPUP&amp;HEIGHT=450&amp;WIDTH=450&amp;START_MA","XIMIZED=FALSE&amp;VAR:CALENDAR=US&amp;VAR:SYMBOL=G0129K10&amp;VAR:INDEX=0"}</definedName>
    <definedName name="_8485__FDSAUDITLINK__" localSheetId="6" hidden="1">{"fdsup://directions/FAT Viewer?action=UPDATE&amp;creator=factset&amp;DYN_ARGS=TRUE&amp;DOC_NAME=FAT:FQL_AUDITING_CLIENT_TEMPLATE.FAT&amp;display_string=Audit&amp;VAR:KEY=PQHYLSNAZS&amp;VAR:QUERY=RkZfRUJJVERBX0lCKCdMVE1TJywzOTA1Nik=&amp;WINDOW=FIRST_POPUP&amp;HEIGHT=450&amp;WIDTH=450&amp;START_MA","XIMIZED=FALSE&amp;VAR:CALENDAR=US&amp;VAR:SYMBOL=G0129K10&amp;VAR:INDEX=0"}</definedName>
    <definedName name="_8485__FDSAUDITLINK__" hidden="1">{"fdsup://directions/FAT Viewer?action=UPDATE&amp;creator=factset&amp;DYN_ARGS=TRUE&amp;DOC_NAME=FAT:FQL_AUDITING_CLIENT_TEMPLATE.FAT&amp;display_string=Audit&amp;VAR:KEY=PQHYLSNAZS&amp;VAR:QUERY=RkZfRUJJVERBX0lCKCdMVE1TJywzOTA1Nik=&amp;WINDOW=FIRST_POPUP&amp;HEIGHT=450&amp;WIDTH=450&amp;START_MA","XIMIZED=FALSE&amp;VAR:CALENDAR=US&amp;VAR:SYMBOL=G0129K10&amp;VAR:INDEX=0"}</definedName>
    <definedName name="_8486__FDSAUDITLINK__" localSheetId="6" hidden="1">{"fdsup://directions/FAT Viewer?action=UPDATE&amp;creator=factset&amp;DYN_ARGS=TRUE&amp;DOC_NAME=FAT:FQL_AUDITING_CLIENT_TEMPLATE.FAT&amp;display_string=Audit&amp;VAR:KEY=FSPWVQHKVG&amp;VAR:QUERY=RkZfRUJJVERBX0lCKCdMVE1TJywzOTA1NSk=&amp;WINDOW=FIRST_POPUP&amp;HEIGHT=450&amp;WIDTH=450&amp;START_MA","XIMIZED=FALSE&amp;VAR:CALENDAR=US&amp;VAR:SYMBOL=G0129K10&amp;VAR:INDEX=0"}</definedName>
    <definedName name="_8486__FDSAUDITLINK__" hidden="1">{"fdsup://directions/FAT Viewer?action=UPDATE&amp;creator=factset&amp;DYN_ARGS=TRUE&amp;DOC_NAME=FAT:FQL_AUDITING_CLIENT_TEMPLATE.FAT&amp;display_string=Audit&amp;VAR:KEY=FSPWVQHKVG&amp;VAR:QUERY=RkZfRUJJVERBX0lCKCdMVE1TJywzOTA1NSk=&amp;WINDOW=FIRST_POPUP&amp;HEIGHT=450&amp;WIDTH=450&amp;START_MA","XIMIZED=FALSE&amp;VAR:CALENDAR=US&amp;VAR:SYMBOL=G0129K10&amp;VAR:INDEX=0"}</definedName>
    <definedName name="_8487__FDSAUDITLINK__" localSheetId="6" hidden="1">{"fdsup://directions/FAT Viewer?action=UPDATE&amp;creator=factset&amp;DYN_ARGS=TRUE&amp;DOC_NAME=FAT:FQL_AUDITING_CLIENT_TEMPLATE.FAT&amp;display_string=Audit&amp;VAR:KEY=JERQDSXSDA&amp;VAR:QUERY=RkZfRUJJVERBX0lCKCdMVE1TJywzOTA1NCk=&amp;WINDOW=FIRST_POPUP&amp;HEIGHT=450&amp;WIDTH=450&amp;START_MA","XIMIZED=FALSE&amp;VAR:CALENDAR=US&amp;VAR:SYMBOL=G0129K10&amp;VAR:INDEX=0"}</definedName>
    <definedName name="_8487__FDSAUDITLINK__" hidden="1">{"fdsup://directions/FAT Viewer?action=UPDATE&amp;creator=factset&amp;DYN_ARGS=TRUE&amp;DOC_NAME=FAT:FQL_AUDITING_CLIENT_TEMPLATE.FAT&amp;display_string=Audit&amp;VAR:KEY=JERQDSXSDA&amp;VAR:QUERY=RkZfRUJJVERBX0lCKCdMVE1TJywzOTA1NCk=&amp;WINDOW=FIRST_POPUP&amp;HEIGHT=450&amp;WIDTH=450&amp;START_MA","XIMIZED=FALSE&amp;VAR:CALENDAR=US&amp;VAR:SYMBOL=G0129K10&amp;VAR:INDEX=0"}</definedName>
    <definedName name="_8488__FDSAUDITLINK__" localSheetId="6" hidden="1">{"fdsup://directions/FAT Viewer?action=UPDATE&amp;creator=factset&amp;DYN_ARGS=TRUE&amp;DOC_NAME=FAT:FQL_AUDITING_CLIENT_TEMPLATE.FAT&amp;display_string=Audit&amp;VAR:KEY=VSRUBWLGRE&amp;VAR:QUERY=RkZfRUJJVERBX0lCKCdMVE1TJywzOTA1Myk=&amp;WINDOW=FIRST_POPUP&amp;HEIGHT=450&amp;WIDTH=450&amp;START_MA","XIMIZED=FALSE&amp;VAR:CALENDAR=US&amp;VAR:SYMBOL=G0129K10&amp;VAR:INDEX=0"}</definedName>
    <definedName name="_8488__FDSAUDITLINK__" hidden="1">{"fdsup://directions/FAT Viewer?action=UPDATE&amp;creator=factset&amp;DYN_ARGS=TRUE&amp;DOC_NAME=FAT:FQL_AUDITING_CLIENT_TEMPLATE.FAT&amp;display_string=Audit&amp;VAR:KEY=VSRUBWLGRE&amp;VAR:QUERY=RkZfRUJJVERBX0lCKCdMVE1TJywzOTA1Myk=&amp;WINDOW=FIRST_POPUP&amp;HEIGHT=450&amp;WIDTH=450&amp;START_MA","XIMIZED=FALSE&amp;VAR:CALENDAR=US&amp;VAR:SYMBOL=G0129K10&amp;VAR:INDEX=0"}</definedName>
    <definedName name="_8489__FDSAUDITLINK__" localSheetId="6" hidden="1">{"fdsup://directions/FAT Viewer?action=UPDATE&amp;creator=factset&amp;DYN_ARGS=TRUE&amp;DOC_NAME=FAT:FQL_AUDITING_CLIENT_TEMPLATE.FAT&amp;display_string=Audit&amp;VAR:KEY=XEHGDYLEJE&amp;VAR:QUERY=RkZfRUJJVERBX0lCKCdMVE1TJywzOTA1Mik=&amp;WINDOW=FIRST_POPUP&amp;HEIGHT=450&amp;WIDTH=450&amp;START_MA","XIMIZED=FALSE&amp;VAR:CALENDAR=US&amp;VAR:SYMBOL=G0129K10&amp;VAR:INDEX=0"}</definedName>
    <definedName name="_8489__FDSAUDITLINK__" hidden="1">{"fdsup://directions/FAT Viewer?action=UPDATE&amp;creator=factset&amp;DYN_ARGS=TRUE&amp;DOC_NAME=FAT:FQL_AUDITING_CLIENT_TEMPLATE.FAT&amp;display_string=Audit&amp;VAR:KEY=XEHGDYLEJE&amp;VAR:QUERY=RkZfRUJJVERBX0lCKCdMVE1TJywzOTA1Mik=&amp;WINDOW=FIRST_POPUP&amp;HEIGHT=450&amp;WIDTH=450&amp;START_MA","XIMIZED=FALSE&amp;VAR:CALENDAR=US&amp;VAR:SYMBOL=G0129K10&amp;VAR:INDEX=0"}</definedName>
    <definedName name="_849__FDSAUDITLINK__" localSheetId="6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9__FDSAUDITLINK__" hidden="1">{"fdsup://directions/FAT%20Viewer?VAR:PED=LTM&amp;VAR:AUDIT_MODE=SUMMARY&amp;VAR:PERIOD=FIXED&amp;VAR:AUDIT_ID=00000117&amp;VAR:DATE=20071026&amp;action=UPDATE&amp;creator=factset&amp;DOC_NAME=FAT:FMA_audit_SUMMARY.fat&amp;DISPLAY_STRING=Display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490__FDSAUDITLINK__" localSheetId="6" hidden="1">{"fdsup://directions/FAT Viewer?action=UPDATE&amp;creator=factset&amp;DYN_ARGS=TRUE&amp;DOC_NAME=FAT:FQL_AUDITING_CLIENT_TEMPLATE.FAT&amp;display_string=Audit&amp;VAR:KEY=VIBQRUTUDY&amp;VAR:QUERY=RkZfRUJJVERBX0lCKCdMVE1TJywzOTA1MSk=&amp;WINDOW=FIRST_POPUP&amp;HEIGHT=450&amp;WIDTH=450&amp;START_MA","XIMIZED=FALSE&amp;VAR:CALENDAR=US&amp;VAR:SYMBOL=G0129K10&amp;VAR:INDEX=0"}</definedName>
    <definedName name="_8490__FDSAUDITLINK__" hidden="1">{"fdsup://directions/FAT Viewer?action=UPDATE&amp;creator=factset&amp;DYN_ARGS=TRUE&amp;DOC_NAME=FAT:FQL_AUDITING_CLIENT_TEMPLATE.FAT&amp;display_string=Audit&amp;VAR:KEY=VIBQRUTUDY&amp;VAR:QUERY=RkZfRUJJVERBX0lCKCdMVE1TJywzOTA1MSk=&amp;WINDOW=FIRST_POPUP&amp;HEIGHT=450&amp;WIDTH=450&amp;START_MA","XIMIZED=FALSE&amp;VAR:CALENDAR=US&amp;VAR:SYMBOL=G0129K10&amp;VAR:INDEX=0"}</definedName>
    <definedName name="_8491__FDSAUDITLINK__" localSheetId="6" hidden="1">{"fdsup://directions/FAT Viewer?action=UPDATE&amp;creator=factset&amp;DYN_ARGS=TRUE&amp;DOC_NAME=FAT:FQL_AUDITING_CLIENT_TEMPLATE.FAT&amp;display_string=Audit&amp;VAR:KEY=BGJGJWVGDY&amp;VAR:QUERY=RkZfRUJJVERBX0lCKCdMVE1TJywzOTA1MCk=&amp;WINDOW=FIRST_POPUP&amp;HEIGHT=450&amp;WIDTH=450&amp;START_MA","XIMIZED=FALSE&amp;VAR:CALENDAR=US&amp;VAR:SYMBOL=G0129K10&amp;VAR:INDEX=0"}</definedName>
    <definedName name="_8491__FDSAUDITLINK__" hidden="1">{"fdsup://directions/FAT Viewer?action=UPDATE&amp;creator=factset&amp;DYN_ARGS=TRUE&amp;DOC_NAME=FAT:FQL_AUDITING_CLIENT_TEMPLATE.FAT&amp;display_string=Audit&amp;VAR:KEY=BGJGJWVGDY&amp;VAR:QUERY=RkZfRUJJVERBX0lCKCdMVE1TJywzOTA1MCk=&amp;WINDOW=FIRST_POPUP&amp;HEIGHT=450&amp;WIDTH=450&amp;START_MA","XIMIZED=FALSE&amp;VAR:CALENDAR=US&amp;VAR:SYMBOL=G0129K10&amp;VAR:INDEX=0"}</definedName>
    <definedName name="_8492__FDSAUDITLINK__" localSheetId="6" hidden="1">{"fdsup://directions/FAT Viewer?action=UPDATE&amp;creator=factset&amp;DYN_ARGS=TRUE&amp;DOC_NAME=FAT:FQL_AUDITING_CLIENT_TEMPLATE.FAT&amp;display_string=Audit&amp;VAR:KEY=JYXSFCDEXG&amp;VAR:QUERY=RkZfRUJJVERBX0lCKCdMVE1TJywzOTA0OSk=&amp;WINDOW=FIRST_POPUP&amp;HEIGHT=450&amp;WIDTH=450&amp;START_MA","XIMIZED=FALSE&amp;VAR:CALENDAR=US&amp;VAR:SYMBOL=G0129K10&amp;VAR:INDEX=0"}</definedName>
    <definedName name="_8492__FDSAUDITLINK__" hidden="1">{"fdsup://directions/FAT Viewer?action=UPDATE&amp;creator=factset&amp;DYN_ARGS=TRUE&amp;DOC_NAME=FAT:FQL_AUDITING_CLIENT_TEMPLATE.FAT&amp;display_string=Audit&amp;VAR:KEY=JYXSFCDEXG&amp;VAR:QUERY=RkZfRUJJVERBX0lCKCdMVE1TJywzOTA0OSk=&amp;WINDOW=FIRST_POPUP&amp;HEIGHT=450&amp;WIDTH=450&amp;START_MA","XIMIZED=FALSE&amp;VAR:CALENDAR=US&amp;VAR:SYMBOL=G0129K10&amp;VAR:INDEX=0"}</definedName>
    <definedName name="_8493__FDSAUDITLINK__" localSheetId="6" hidden="1">{"fdsup://directions/FAT Viewer?action=UPDATE&amp;creator=factset&amp;DYN_ARGS=TRUE&amp;DOC_NAME=FAT:FQL_AUDITING_CLIENT_TEMPLATE.FAT&amp;display_string=Audit&amp;VAR:KEY=PKDSTIXOTW&amp;VAR:QUERY=RkZfRUJJVERBX0lCKCdMVE1TJywzOTA0OCk=&amp;WINDOW=FIRST_POPUP&amp;HEIGHT=450&amp;WIDTH=450&amp;START_MA","XIMIZED=FALSE&amp;VAR:CALENDAR=US&amp;VAR:SYMBOL=G0129K10&amp;VAR:INDEX=0"}</definedName>
    <definedName name="_8493__FDSAUDITLINK__" hidden="1">{"fdsup://directions/FAT Viewer?action=UPDATE&amp;creator=factset&amp;DYN_ARGS=TRUE&amp;DOC_NAME=FAT:FQL_AUDITING_CLIENT_TEMPLATE.FAT&amp;display_string=Audit&amp;VAR:KEY=PKDSTIXOTW&amp;VAR:QUERY=RkZfRUJJVERBX0lCKCdMVE1TJywzOTA0OCk=&amp;WINDOW=FIRST_POPUP&amp;HEIGHT=450&amp;WIDTH=450&amp;START_MA","XIMIZED=FALSE&amp;VAR:CALENDAR=US&amp;VAR:SYMBOL=G0129K10&amp;VAR:INDEX=0"}</definedName>
    <definedName name="_8494__FDSAUDITLINK__" localSheetId="6" hidden="1">{"fdsup://directions/FAT Viewer?action=UPDATE&amp;creator=factset&amp;DYN_ARGS=TRUE&amp;DOC_NAME=FAT:FQL_AUDITING_CLIENT_TEMPLATE.FAT&amp;display_string=Audit&amp;VAR:KEY=TETKLSZYZA&amp;VAR:QUERY=RkZfRUJJVERBX0lCKCdMVE1TJywzOTA0Nyk=&amp;WINDOW=FIRST_POPUP&amp;HEIGHT=450&amp;WIDTH=450&amp;START_MA","XIMIZED=FALSE&amp;VAR:CALENDAR=US&amp;VAR:SYMBOL=G0129K10&amp;VAR:INDEX=0"}</definedName>
    <definedName name="_8494__FDSAUDITLINK__" hidden="1">{"fdsup://directions/FAT Viewer?action=UPDATE&amp;creator=factset&amp;DYN_ARGS=TRUE&amp;DOC_NAME=FAT:FQL_AUDITING_CLIENT_TEMPLATE.FAT&amp;display_string=Audit&amp;VAR:KEY=TETKLSZYZA&amp;VAR:QUERY=RkZfRUJJVERBX0lCKCdMVE1TJywzOTA0Nyk=&amp;WINDOW=FIRST_POPUP&amp;HEIGHT=450&amp;WIDTH=450&amp;START_MA","XIMIZED=FALSE&amp;VAR:CALENDAR=US&amp;VAR:SYMBOL=G0129K10&amp;VAR:INDEX=0"}</definedName>
    <definedName name="_8495__FDSAUDITLINK__" localSheetId="6" hidden="1">{"fdsup://directions/FAT Viewer?action=UPDATE&amp;creator=factset&amp;DYN_ARGS=TRUE&amp;DOC_NAME=FAT:FQL_AUDITING_CLIENT_TEMPLATE.FAT&amp;display_string=Audit&amp;VAR:KEY=ZSDYPQVGPE&amp;VAR:QUERY=RkZfRUJJVERBX0lCKCdMVE1TJywzOTA0Nik=&amp;WINDOW=FIRST_POPUP&amp;HEIGHT=450&amp;WIDTH=450&amp;START_MA","XIMIZED=FALSE&amp;VAR:CALENDAR=US&amp;VAR:SYMBOL=G0129K10&amp;VAR:INDEX=0"}</definedName>
    <definedName name="_8495__FDSAUDITLINK__" hidden="1">{"fdsup://directions/FAT Viewer?action=UPDATE&amp;creator=factset&amp;DYN_ARGS=TRUE&amp;DOC_NAME=FAT:FQL_AUDITING_CLIENT_TEMPLATE.FAT&amp;display_string=Audit&amp;VAR:KEY=ZSDYPQVGPE&amp;VAR:QUERY=RkZfRUJJVERBX0lCKCdMVE1TJywzOTA0Nik=&amp;WINDOW=FIRST_POPUP&amp;HEIGHT=450&amp;WIDTH=450&amp;START_MA","XIMIZED=FALSE&amp;VAR:CALENDAR=US&amp;VAR:SYMBOL=G0129K10&amp;VAR:INDEX=0"}</definedName>
    <definedName name="_8496__FDSAUDITLINK__" localSheetId="6" hidden="1">{"fdsup://directions/FAT Viewer?action=UPDATE&amp;creator=factset&amp;DYN_ARGS=TRUE&amp;DOC_NAME=FAT:FQL_AUDITING_CLIENT_TEMPLATE.FAT&amp;display_string=Audit&amp;VAR:KEY=JCTSFCRQJU&amp;VAR:QUERY=RkZfRUJJVERBX0lCKCdMVE1TJywzOTA0NSk=&amp;WINDOW=FIRST_POPUP&amp;HEIGHT=450&amp;WIDTH=450&amp;START_MA","XIMIZED=FALSE&amp;VAR:CALENDAR=US&amp;VAR:SYMBOL=G0129K10&amp;VAR:INDEX=0"}</definedName>
    <definedName name="_8496__FDSAUDITLINK__" hidden="1">{"fdsup://directions/FAT Viewer?action=UPDATE&amp;creator=factset&amp;DYN_ARGS=TRUE&amp;DOC_NAME=FAT:FQL_AUDITING_CLIENT_TEMPLATE.FAT&amp;display_string=Audit&amp;VAR:KEY=JCTSFCRQJU&amp;VAR:QUERY=RkZfRUJJVERBX0lCKCdMVE1TJywzOTA0NSk=&amp;WINDOW=FIRST_POPUP&amp;HEIGHT=450&amp;WIDTH=450&amp;START_MA","XIMIZED=FALSE&amp;VAR:CALENDAR=US&amp;VAR:SYMBOL=G0129K10&amp;VAR:INDEX=0"}</definedName>
    <definedName name="_8497__FDSAUDITLINK__" localSheetId="6" hidden="1">{"fdsup://directions/FAT Viewer?action=UPDATE&amp;creator=factset&amp;DYN_ARGS=TRUE&amp;DOC_NAME=FAT:FQL_AUDITING_CLIENT_TEMPLATE.FAT&amp;display_string=Audit&amp;VAR:KEY=LYHULOFADI&amp;VAR:QUERY=RkZfRUJJVERBX0lCKCdMVE1TJywzOTA0NCk=&amp;WINDOW=FIRST_POPUP&amp;HEIGHT=450&amp;WIDTH=450&amp;START_MA","XIMIZED=FALSE&amp;VAR:CALENDAR=US&amp;VAR:SYMBOL=G0129K10&amp;VAR:INDEX=0"}</definedName>
    <definedName name="_8497__FDSAUDITLINK__" hidden="1">{"fdsup://directions/FAT Viewer?action=UPDATE&amp;creator=factset&amp;DYN_ARGS=TRUE&amp;DOC_NAME=FAT:FQL_AUDITING_CLIENT_TEMPLATE.FAT&amp;display_string=Audit&amp;VAR:KEY=LYHULOFADI&amp;VAR:QUERY=RkZfRUJJVERBX0lCKCdMVE1TJywzOTA0NCk=&amp;WINDOW=FIRST_POPUP&amp;HEIGHT=450&amp;WIDTH=450&amp;START_MA","XIMIZED=FALSE&amp;VAR:CALENDAR=US&amp;VAR:SYMBOL=G0129K10&amp;VAR:INDEX=0"}</definedName>
    <definedName name="_8498__FDSAUDITLINK__" localSheetId="6" hidden="1">{"fdsup://directions/FAT Viewer?action=UPDATE&amp;creator=factset&amp;DYN_ARGS=TRUE&amp;DOC_NAME=FAT:FQL_AUDITING_CLIENT_TEMPLATE.FAT&amp;display_string=Audit&amp;VAR:KEY=HCBMLEFITQ&amp;VAR:QUERY=RkZfRUJJVERBX0lCKCdMVE1TJywzOTA0Myk=&amp;WINDOW=FIRST_POPUP&amp;HEIGHT=450&amp;WIDTH=450&amp;START_MA","XIMIZED=FALSE&amp;VAR:CALENDAR=US&amp;VAR:SYMBOL=G0129K10&amp;VAR:INDEX=0"}</definedName>
    <definedName name="_8498__FDSAUDITLINK__" hidden="1">{"fdsup://directions/FAT Viewer?action=UPDATE&amp;creator=factset&amp;DYN_ARGS=TRUE&amp;DOC_NAME=FAT:FQL_AUDITING_CLIENT_TEMPLATE.FAT&amp;display_string=Audit&amp;VAR:KEY=HCBMLEFITQ&amp;VAR:QUERY=RkZfRUJJVERBX0lCKCdMVE1TJywzOTA0Myk=&amp;WINDOW=FIRST_POPUP&amp;HEIGHT=450&amp;WIDTH=450&amp;START_MA","XIMIZED=FALSE&amp;VAR:CALENDAR=US&amp;VAR:SYMBOL=G0129K10&amp;VAR:INDEX=0"}</definedName>
    <definedName name="_8499__FDSAUDITLINK__" localSheetId="6" hidden="1">{"fdsup://directions/FAT Viewer?action=UPDATE&amp;creator=factset&amp;DYN_ARGS=TRUE&amp;DOC_NAME=FAT:FQL_AUDITING_CLIENT_TEMPLATE.FAT&amp;display_string=Audit&amp;VAR:KEY=NONITEXMZM&amp;VAR:QUERY=RkZfRUJJVERBX0lCKCdMVE1TJywzOTA0Mik=&amp;WINDOW=FIRST_POPUP&amp;HEIGHT=450&amp;WIDTH=450&amp;START_MA","XIMIZED=FALSE&amp;VAR:CALENDAR=US&amp;VAR:SYMBOL=G0129K10&amp;VAR:INDEX=0"}</definedName>
    <definedName name="_8499__FDSAUDITLINK__" hidden="1">{"fdsup://directions/FAT Viewer?action=UPDATE&amp;creator=factset&amp;DYN_ARGS=TRUE&amp;DOC_NAME=FAT:FQL_AUDITING_CLIENT_TEMPLATE.FAT&amp;display_string=Audit&amp;VAR:KEY=NONITEXMZM&amp;VAR:QUERY=RkZfRUJJVERBX0lCKCdMVE1TJywzOTA0Mik=&amp;WINDOW=FIRST_POPUP&amp;HEIGHT=450&amp;WIDTH=450&amp;START_MA","XIMIZED=FALSE&amp;VAR:CALENDAR=US&amp;VAR:SYMBOL=G0129K10&amp;VAR:INDEX=0"}</definedName>
    <definedName name="_85__FDSAUDITLINK__" localSheetId="6" hidden="1">{"fdsup://directions/FAT Viewer?action=UPDATE&amp;creator=factset&amp;DYN_ARGS=TRUE&amp;DOC_NAME=FAT:FQL_AUDITING_CLIENT_TEMPLATE.FAT&amp;display_string=Audit&amp;VAR:KEY=PCRGJOXSDU&amp;VAR:QUERY=QVZHKENTRl9ORVRfSU5DKEFOTiwwRlksLTZGWSxZKSkgLyAoQVZHKENTRl9BU1NFVFMoQU5OLDBGWSwtNkZZL","EZZKSkgLSBBVkcoQ1NGX0lOVEFORyhBTk4sMCwtNkZZLEZZKSkp&amp;WINDOW=FIRST_POPUP&amp;HEIGHT=450&amp;WIDTH=450&amp;START_MAXIMIZED=FALSE&amp;VAR:CALENDAR=US&amp;VAR:SYMBOL=36144810"}</definedName>
    <definedName name="_85__FDSAUDITLINK__" hidden="1">{"fdsup://directions/FAT Viewer?action=UPDATE&amp;creator=factset&amp;DYN_ARGS=TRUE&amp;DOC_NAME=FAT:FQL_AUDITING_CLIENT_TEMPLATE.FAT&amp;display_string=Audit&amp;VAR:KEY=PCRGJOXSDU&amp;VAR:QUERY=QVZHKENTRl9ORVRfSU5DKEFOTiwwRlksLTZGWSxZKSkgLyAoQVZHKENTRl9BU1NFVFMoQU5OLDBGWSwtNkZZL","EZZKSkgLSBBVkcoQ1NGX0lOVEFORyhBTk4sMCwtNkZZLEZZKSkp&amp;WINDOW=FIRST_POPUP&amp;HEIGHT=450&amp;WIDTH=450&amp;START_MAXIMIZED=FALSE&amp;VAR:CALENDAR=US&amp;VAR:SYMBOL=36144810"}</definedName>
    <definedName name="_850__FDSAUDITLINK__" localSheetId="6" hidden="1">{"fdsup://directions/FAT%20Viewer?VAR:PED=LTM&amp;VAR:AUDIT_MODE=SUMMARY&amp;VAR:PERIOD=FIXED&amp;VAR:AUDIT_ID=00000117&amp;VAR:DATE=20071025&amp;action=UPDATE&amp;creator=factset&amp;DOC_NAME=FAT:FMA_audit_SUMMARY.fat&amp;DISPLAY_STRING=Display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0__FDSAUDITLINK__" hidden="1">{"fdsup://directions/FAT%20Viewer?VAR:PED=LTM&amp;VAR:AUDIT_MODE=SUMMARY&amp;VAR:PERIOD=FIXED&amp;VAR:AUDIT_ID=00000117&amp;VAR:DATE=20071025&amp;action=UPDATE&amp;creator=factset&amp;DOC_NAME=FAT:FMA_audit_SUMMARY.fat&amp;DISPLAY_STRING=Display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00__FDSAUDITLINK__" localSheetId="6" hidden="1">{"fdsup://directions/FAT Viewer?action=UPDATE&amp;creator=factset&amp;DYN_ARGS=TRUE&amp;DOC_NAME=FAT:FQL_AUDITING_CLIENT_TEMPLATE.FAT&amp;display_string=Audit&amp;VAR:KEY=LOTSFSXIPW&amp;VAR:QUERY=RkZfRUJJVERBX0lCKCdMVE1TJywzOTA0MSk=&amp;WINDOW=FIRST_POPUP&amp;HEIGHT=450&amp;WIDTH=450&amp;START_MA","XIMIZED=FALSE&amp;VAR:CALENDAR=US&amp;VAR:SYMBOL=G0129K10&amp;VAR:INDEX=0"}</definedName>
    <definedName name="_8500__FDSAUDITLINK__" hidden="1">{"fdsup://directions/FAT Viewer?action=UPDATE&amp;creator=factset&amp;DYN_ARGS=TRUE&amp;DOC_NAME=FAT:FQL_AUDITING_CLIENT_TEMPLATE.FAT&amp;display_string=Audit&amp;VAR:KEY=LOTSFSXIPW&amp;VAR:QUERY=RkZfRUJJVERBX0lCKCdMVE1TJywzOTA0MSk=&amp;WINDOW=FIRST_POPUP&amp;HEIGHT=450&amp;WIDTH=450&amp;START_MA","XIMIZED=FALSE&amp;VAR:CALENDAR=US&amp;VAR:SYMBOL=G0129K10&amp;VAR:INDEX=0"}</definedName>
    <definedName name="_8501__FDSAUDITLINK__" localSheetId="6" hidden="1">{"fdsup://directions/FAT Viewer?action=UPDATE&amp;creator=factset&amp;DYN_ARGS=TRUE&amp;DOC_NAME=FAT:FQL_AUDITING_CLIENT_TEMPLATE.FAT&amp;display_string=Audit&amp;VAR:KEY=ZEDSFYLSXQ&amp;VAR:QUERY=RkZfRUJJVERBX0lCKCdMVE1TJywzOTA0MCk=&amp;WINDOW=FIRST_POPUP&amp;HEIGHT=450&amp;WIDTH=450&amp;START_MA","XIMIZED=FALSE&amp;VAR:CALENDAR=US&amp;VAR:SYMBOL=G0129K10&amp;VAR:INDEX=0"}</definedName>
    <definedName name="_8501__FDSAUDITLINK__" hidden="1">{"fdsup://directions/FAT Viewer?action=UPDATE&amp;creator=factset&amp;DYN_ARGS=TRUE&amp;DOC_NAME=FAT:FQL_AUDITING_CLIENT_TEMPLATE.FAT&amp;display_string=Audit&amp;VAR:KEY=ZEDSFYLSXQ&amp;VAR:QUERY=RkZfRUJJVERBX0lCKCdMVE1TJywzOTA0MCk=&amp;WINDOW=FIRST_POPUP&amp;HEIGHT=450&amp;WIDTH=450&amp;START_MA","XIMIZED=FALSE&amp;VAR:CALENDAR=US&amp;VAR:SYMBOL=G0129K10&amp;VAR:INDEX=0"}</definedName>
    <definedName name="_8502__FDSAUDITLINK__" localSheetId="6" hidden="1">{"fdsup://directions/FAT Viewer?action=UPDATE&amp;creator=factset&amp;DYN_ARGS=TRUE&amp;DOC_NAME=FAT:FQL_AUDITING_CLIENT_TEMPLATE.FAT&amp;display_string=Audit&amp;VAR:KEY=JILAPOTWVE&amp;VAR:QUERY=RkZfRUJJVERBX0lCKCdMVE1TJywzOTAzOSk=&amp;WINDOW=FIRST_POPUP&amp;HEIGHT=450&amp;WIDTH=450&amp;START_MA","XIMIZED=FALSE&amp;VAR:CALENDAR=US&amp;VAR:SYMBOL=G0129K10&amp;VAR:INDEX=0"}</definedName>
    <definedName name="_8502__FDSAUDITLINK__" hidden="1">{"fdsup://directions/FAT Viewer?action=UPDATE&amp;creator=factset&amp;DYN_ARGS=TRUE&amp;DOC_NAME=FAT:FQL_AUDITING_CLIENT_TEMPLATE.FAT&amp;display_string=Audit&amp;VAR:KEY=JILAPOTWVE&amp;VAR:QUERY=RkZfRUJJVERBX0lCKCdMVE1TJywzOTAzOSk=&amp;WINDOW=FIRST_POPUP&amp;HEIGHT=450&amp;WIDTH=450&amp;START_MA","XIMIZED=FALSE&amp;VAR:CALENDAR=US&amp;VAR:SYMBOL=G0129K10&amp;VAR:INDEX=0"}</definedName>
    <definedName name="_8503__FDSAUDITLINK__" localSheetId="6" hidden="1">{"fdsup://directions/FAT Viewer?action=UPDATE&amp;creator=factset&amp;DYN_ARGS=TRUE&amp;DOC_NAME=FAT:FQL_AUDITING_CLIENT_TEMPLATE.FAT&amp;display_string=Audit&amp;VAR:KEY=FMFWTONSLQ&amp;VAR:QUERY=RkZfRUJJVERBX0lCKCdMVE1TJywzOTAzOCk=&amp;WINDOW=FIRST_POPUP&amp;HEIGHT=450&amp;WIDTH=450&amp;START_MA","XIMIZED=FALSE&amp;VAR:CALENDAR=US&amp;VAR:SYMBOL=G0129K10&amp;VAR:INDEX=0"}</definedName>
    <definedName name="_8503__FDSAUDITLINK__" hidden="1">{"fdsup://directions/FAT Viewer?action=UPDATE&amp;creator=factset&amp;DYN_ARGS=TRUE&amp;DOC_NAME=FAT:FQL_AUDITING_CLIENT_TEMPLATE.FAT&amp;display_string=Audit&amp;VAR:KEY=FMFWTONSLQ&amp;VAR:QUERY=RkZfRUJJVERBX0lCKCdMVE1TJywzOTAzOCk=&amp;WINDOW=FIRST_POPUP&amp;HEIGHT=450&amp;WIDTH=450&amp;START_MA","XIMIZED=FALSE&amp;VAR:CALENDAR=US&amp;VAR:SYMBOL=G0129K10&amp;VAR:INDEX=0"}</definedName>
    <definedName name="_8504__FDSAUDITLINK__" localSheetId="6" hidden="1">{"fdsup://directions/FAT Viewer?action=UPDATE&amp;creator=factset&amp;DYN_ARGS=TRUE&amp;DOC_NAME=FAT:FQL_AUDITING_CLIENT_TEMPLATE.FAT&amp;display_string=Audit&amp;VAR:KEY=PWDKPMFGFW&amp;VAR:QUERY=RkZfRUJJVERBX0lCKCdMVE1TJywzOTAzNyk=&amp;WINDOW=FIRST_POPUP&amp;HEIGHT=450&amp;WIDTH=450&amp;START_MA","XIMIZED=FALSE&amp;VAR:CALENDAR=US&amp;VAR:SYMBOL=G0129K10&amp;VAR:INDEX=0"}</definedName>
    <definedName name="_8504__FDSAUDITLINK__" hidden="1">{"fdsup://directions/FAT Viewer?action=UPDATE&amp;creator=factset&amp;DYN_ARGS=TRUE&amp;DOC_NAME=FAT:FQL_AUDITING_CLIENT_TEMPLATE.FAT&amp;display_string=Audit&amp;VAR:KEY=PWDKPMFGFW&amp;VAR:QUERY=RkZfRUJJVERBX0lCKCdMVE1TJywzOTAzNyk=&amp;WINDOW=FIRST_POPUP&amp;HEIGHT=450&amp;WIDTH=450&amp;START_MA","XIMIZED=FALSE&amp;VAR:CALENDAR=US&amp;VAR:SYMBOL=G0129K10&amp;VAR:INDEX=0"}</definedName>
    <definedName name="_8505__FDSAUDITLINK__" localSheetId="6" hidden="1">{"fdsup://directions/FAT Viewer?action=UPDATE&amp;creator=factset&amp;DYN_ARGS=TRUE&amp;DOC_NAME=FAT:FQL_AUDITING_CLIENT_TEMPLATE.FAT&amp;display_string=Audit&amp;VAR:KEY=RWFGHYBYJG&amp;VAR:QUERY=RkZfRUJJVERBX0lCKCdMVE1TJywzOTAzNik=&amp;WINDOW=FIRST_POPUP&amp;HEIGHT=450&amp;WIDTH=450&amp;START_MA","XIMIZED=FALSE&amp;VAR:CALENDAR=US&amp;VAR:SYMBOL=G0129K10&amp;VAR:INDEX=0"}</definedName>
    <definedName name="_8505__FDSAUDITLINK__" hidden="1">{"fdsup://directions/FAT Viewer?action=UPDATE&amp;creator=factset&amp;DYN_ARGS=TRUE&amp;DOC_NAME=FAT:FQL_AUDITING_CLIENT_TEMPLATE.FAT&amp;display_string=Audit&amp;VAR:KEY=RWFGHYBYJG&amp;VAR:QUERY=RkZfRUJJVERBX0lCKCdMVE1TJywzOTAzNik=&amp;WINDOW=FIRST_POPUP&amp;HEIGHT=450&amp;WIDTH=450&amp;START_MA","XIMIZED=FALSE&amp;VAR:CALENDAR=US&amp;VAR:SYMBOL=G0129K10&amp;VAR:INDEX=0"}</definedName>
    <definedName name="_8506__FDSAUDITLINK__" localSheetId="6" hidden="1">{"fdsup://directions/FAT Viewer?action=UPDATE&amp;creator=factset&amp;DYN_ARGS=TRUE&amp;DOC_NAME=FAT:FQL_AUDITING_CLIENT_TEMPLATE.FAT&amp;display_string=Audit&amp;VAR:KEY=XIZOZUFARQ&amp;VAR:QUERY=RkZfRUJJVERBX0lCKCdMVE1TJywzOTAzNSk=&amp;WINDOW=FIRST_POPUP&amp;HEIGHT=450&amp;WIDTH=450&amp;START_MA","XIMIZED=FALSE&amp;VAR:CALENDAR=US&amp;VAR:SYMBOL=G0129K10&amp;VAR:INDEX=0"}</definedName>
    <definedName name="_8506__FDSAUDITLINK__" hidden="1">{"fdsup://directions/FAT Viewer?action=UPDATE&amp;creator=factset&amp;DYN_ARGS=TRUE&amp;DOC_NAME=FAT:FQL_AUDITING_CLIENT_TEMPLATE.FAT&amp;display_string=Audit&amp;VAR:KEY=XIZOZUFARQ&amp;VAR:QUERY=RkZfRUJJVERBX0lCKCdMVE1TJywzOTAzNSk=&amp;WINDOW=FIRST_POPUP&amp;HEIGHT=450&amp;WIDTH=450&amp;START_MA","XIMIZED=FALSE&amp;VAR:CALENDAR=US&amp;VAR:SYMBOL=G0129K10&amp;VAR:INDEX=0"}</definedName>
    <definedName name="_8507__FDSAUDITLINK__" localSheetId="6" hidden="1">{"fdsup://directions/FAT Viewer?action=UPDATE&amp;creator=factset&amp;DYN_ARGS=TRUE&amp;DOC_NAME=FAT:FQL_AUDITING_CLIENT_TEMPLATE.FAT&amp;display_string=Audit&amp;VAR:KEY=PIPGJUFUTY&amp;VAR:QUERY=RkZfRUJJVERBX0lCKCdMVE1TJywzOTAzNCk=&amp;WINDOW=FIRST_POPUP&amp;HEIGHT=450&amp;WIDTH=450&amp;START_MA","XIMIZED=FALSE&amp;VAR:CALENDAR=US&amp;VAR:SYMBOL=G0129K10&amp;VAR:INDEX=0"}</definedName>
    <definedName name="_8507__FDSAUDITLINK__" hidden="1">{"fdsup://directions/FAT Viewer?action=UPDATE&amp;creator=factset&amp;DYN_ARGS=TRUE&amp;DOC_NAME=FAT:FQL_AUDITING_CLIENT_TEMPLATE.FAT&amp;display_string=Audit&amp;VAR:KEY=PIPGJUFUTY&amp;VAR:QUERY=RkZfRUJJVERBX0lCKCdMVE1TJywzOTAzNCk=&amp;WINDOW=FIRST_POPUP&amp;HEIGHT=450&amp;WIDTH=450&amp;START_MA","XIMIZED=FALSE&amp;VAR:CALENDAR=US&amp;VAR:SYMBOL=G0129K10&amp;VAR:INDEX=0"}</definedName>
    <definedName name="_8508__FDSAUDITLINK__" localSheetId="6" hidden="1">{"fdsup://directions/FAT Viewer?action=UPDATE&amp;creator=factset&amp;DYN_ARGS=TRUE&amp;DOC_NAME=FAT:FQL_AUDITING_CLIENT_TEMPLATE.FAT&amp;display_string=Audit&amp;VAR:KEY=LCHQLOHCNQ&amp;VAR:QUERY=RkZfRUJJVERBX0lCKCdMVE1TJywzOTAzMyk=&amp;WINDOW=FIRST_POPUP&amp;HEIGHT=450&amp;WIDTH=450&amp;START_MA","XIMIZED=FALSE&amp;VAR:CALENDAR=US&amp;VAR:SYMBOL=G0129K10&amp;VAR:INDEX=0"}</definedName>
    <definedName name="_8508__FDSAUDITLINK__" hidden="1">{"fdsup://directions/FAT Viewer?action=UPDATE&amp;creator=factset&amp;DYN_ARGS=TRUE&amp;DOC_NAME=FAT:FQL_AUDITING_CLIENT_TEMPLATE.FAT&amp;display_string=Audit&amp;VAR:KEY=LCHQLOHCNQ&amp;VAR:QUERY=RkZfRUJJVERBX0lCKCdMVE1TJywzOTAzMyk=&amp;WINDOW=FIRST_POPUP&amp;HEIGHT=450&amp;WIDTH=450&amp;START_MA","XIMIZED=FALSE&amp;VAR:CALENDAR=US&amp;VAR:SYMBOL=G0129K10&amp;VAR:INDEX=0"}</definedName>
    <definedName name="_8509__FDSAUDITLINK__" localSheetId="6" hidden="1">{"fdsup://directions/FAT Viewer?action=UPDATE&amp;creator=factset&amp;DYN_ARGS=TRUE&amp;DOC_NAME=FAT:FQL_AUDITING_CLIENT_TEMPLATE.FAT&amp;display_string=Audit&amp;VAR:KEY=DKJKBMRIDS&amp;VAR:QUERY=RkZfRUJJVERBX0lCKCdMVE1TJywzOTAzMik=&amp;WINDOW=FIRST_POPUP&amp;HEIGHT=450&amp;WIDTH=450&amp;START_MA","XIMIZED=FALSE&amp;VAR:CALENDAR=US&amp;VAR:SYMBOL=G0129K10&amp;VAR:INDEX=0"}</definedName>
    <definedName name="_8509__FDSAUDITLINK__" hidden="1">{"fdsup://directions/FAT Viewer?action=UPDATE&amp;creator=factset&amp;DYN_ARGS=TRUE&amp;DOC_NAME=FAT:FQL_AUDITING_CLIENT_TEMPLATE.FAT&amp;display_string=Audit&amp;VAR:KEY=DKJKBMRIDS&amp;VAR:QUERY=RkZfRUJJVERBX0lCKCdMVE1TJywzOTAzMik=&amp;WINDOW=FIRST_POPUP&amp;HEIGHT=450&amp;WIDTH=450&amp;START_MA","XIMIZED=FALSE&amp;VAR:CALENDAR=US&amp;VAR:SYMBOL=G0129K10&amp;VAR:INDEX=0"}</definedName>
    <definedName name="_851__FDSAUDITLINK__" localSheetId="6" hidden="1">{"fdsup://directions/FAT%20Viewer?VAR:PED=LTM&amp;VAR:AUDIT_MODE=SUMMARY&amp;VAR:PERIOD=FIXED&amp;VAR:AUDIT_ID=00000117&amp;VAR:DATE=20071024&amp;action=UPDATE&amp;creator=factset&amp;DOC_NAME=FAT:FMA_audit_SUMMARY.fat&amp;DISPLAY_STRING=Display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1__FDSAUDITLINK__" hidden="1">{"fdsup://directions/FAT%20Viewer?VAR:PED=LTM&amp;VAR:AUDIT_MODE=SUMMARY&amp;VAR:PERIOD=FIXED&amp;VAR:AUDIT_ID=00000117&amp;VAR:DATE=20071024&amp;action=UPDATE&amp;creator=factset&amp;DOC_NAME=FAT:FMA_audit_SUMMARY.fat&amp;DISPLAY_STRING=Display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10__FDSAUDITLINK__" localSheetId="6" hidden="1">{"fdsup://directions/FAT Viewer?action=UPDATE&amp;creator=factset&amp;DYN_ARGS=TRUE&amp;DOC_NAME=FAT:FQL_AUDITING_CLIENT_TEMPLATE.FAT&amp;display_string=Audit&amp;VAR:KEY=JEJKBOLGRU&amp;VAR:QUERY=RkZfRUJJVERBX0lCKCdMVE1TJywzOTAzMSk=&amp;WINDOW=FIRST_POPUP&amp;HEIGHT=450&amp;WIDTH=450&amp;START_MA","XIMIZED=FALSE&amp;VAR:CALENDAR=US&amp;VAR:SYMBOL=G0129K10&amp;VAR:INDEX=0"}</definedName>
    <definedName name="_8510__FDSAUDITLINK__" hidden="1">{"fdsup://directions/FAT Viewer?action=UPDATE&amp;creator=factset&amp;DYN_ARGS=TRUE&amp;DOC_NAME=FAT:FQL_AUDITING_CLIENT_TEMPLATE.FAT&amp;display_string=Audit&amp;VAR:KEY=JEJKBOLGRU&amp;VAR:QUERY=RkZfRUJJVERBX0lCKCdMVE1TJywzOTAzMSk=&amp;WINDOW=FIRST_POPUP&amp;HEIGHT=450&amp;WIDTH=450&amp;START_MA","XIMIZED=FALSE&amp;VAR:CALENDAR=US&amp;VAR:SYMBOL=G0129K10&amp;VAR:INDEX=0"}</definedName>
    <definedName name="_8511__FDSAUDITLINK__" localSheetId="6" hidden="1">{"fdsup://directions/FAT Viewer?action=UPDATE&amp;creator=factset&amp;DYN_ARGS=TRUE&amp;DOC_NAME=FAT:FQL_AUDITING_CLIENT_TEMPLATE.FAT&amp;display_string=Audit&amp;VAR:KEY=HKXWDMTGNG&amp;VAR:QUERY=RkZfRUJJVERBX0lCKCdMVE1TJywzOTAzMCk=&amp;WINDOW=FIRST_POPUP&amp;HEIGHT=450&amp;WIDTH=450&amp;START_MA","XIMIZED=FALSE&amp;VAR:CALENDAR=US&amp;VAR:SYMBOL=G0129K10&amp;VAR:INDEX=0"}</definedName>
    <definedName name="_8511__FDSAUDITLINK__" hidden="1">{"fdsup://directions/FAT Viewer?action=UPDATE&amp;creator=factset&amp;DYN_ARGS=TRUE&amp;DOC_NAME=FAT:FQL_AUDITING_CLIENT_TEMPLATE.FAT&amp;display_string=Audit&amp;VAR:KEY=HKXWDMTGNG&amp;VAR:QUERY=RkZfRUJJVERBX0lCKCdMVE1TJywzOTAzMCk=&amp;WINDOW=FIRST_POPUP&amp;HEIGHT=450&amp;WIDTH=450&amp;START_MA","XIMIZED=FALSE&amp;VAR:CALENDAR=US&amp;VAR:SYMBOL=G0129K10&amp;VAR:INDEX=0"}</definedName>
    <definedName name="_8512__FDSAUDITLINK__" localSheetId="6" hidden="1">{"fdsup://directions/FAT Viewer?action=UPDATE&amp;creator=factset&amp;DYN_ARGS=TRUE&amp;DOC_NAME=FAT:FQL_AUDITING_CLIENT_TEMPLATE.FAT&amp;display_string=Audit&amp;VAR:KEY=HSHYVSTSBY&amp;VAR:QUERY=RkZfRUJJVERBX0lCKCdMVE1TJywzOTAyOSk=&amp;WINDOW=FIRST_POPUP&amp;HEIGHT=450&amp;WIDTH=450&amp;START_MA","XIMIZED=FALSE&amp;VAR:CALENDAR=US&amp;VAR:SYMBOL=G0129K10&amp;VAR:INDEX=0"}</definedName>
    <definedName name="_8512__FDSAUDITLINK__" hidden="1">{"fdsup://directions/FAT Viewer?action=UPDATE&amp;creator=factset&amp;DYN_ARGS=TRUE&amp;DOC_NAME=FAT:FQL_AUDITING_CLIENT_TEMPLATE.FAT&amp;display_string=Audit&amp;VAR:KEY=HSHYVSTSBY&amp;VAR:QUERY=RkZfRUJJVERBX0lCKCdMVE1TJywzOTAyOSk=&amp;WINDOW=FIRST_POPUP&amp;HEIGHT=450&amp;WIDTH=450&amp;START_MA","XIMIZED=FALSE&amp;VAR:CALENDAR=US&amp;VAR:SYMBOL=G0129K10&amp;VAR:INDEX=0"}</definedName>
    <definedName name="_8513__FDSAUDITLINK__" localSheetId="6" hidden="1">{"fdsup://directions/FAT Viewer?action=UPDATE&amp;creator=factset&amp;DYN_ARGS=TRUE&amp;DOC_NAME=FAT:FQL_AUDITING_CLIENT_TEMPLATE.FAT&amp;display_string=Audit&amp;VAR:KEY=RCFKVENQPU&amp;VAR:QUERY=RkZfRUJJVERBX0lCKCdMVE1TJywzOTAyOCk=&amp;WINDOW=FIRST_POPUP&amp;HEIGHT=450&amp;WIDTH=450&amp;START_MA","XIMIZED=FALSE&amp;VAR:CALENDAR=US&amp;VAR:SYMBOL=G0129K10&amp;VAR:INDEX=0"}</definedName>
    <definedName name="_8513__FDSAUDITLINK__" hidden="1">{"fdsup://directions/FAT Viewer?action=UPDATE&amp;creator=factset&amp;DYN_ARGS=TRUE&amp;DOC_NAME=FAT:FQL_AUDITING_CLIENT_TEMPLATE.FAT&amp;display_string=Audit&amp;VAR:KEY=RCFKVENQPU&amp;VAR:QUERY=RkZfRUJJVERBX0lCKCdMVE1TJywzOTAyOCk=&amp;WINDOW=FIRST_POPUP&amp;HEIGHT=450&amp;WIDTH=450&amp;START_MA","XIMIZED=FALSE&amp;VAR:CALENDAR=US&amp;VAR:SYMBOL=G0129K10&amp;VAR:INDEX=0"}</definedName>
    <definedName name="_8514__FDSAUDITLINK__" localSheetId="6" hidden="1">{"fdsup://directions/FAT Viewer?action=UPDATE&amp;creator=factset&amp;DYN_ARGS=TRUE&amp;DOC_NAME=FAT:FQL_AUDITING_CLIENT_TEMPLATE.FAT&amp;display_string=Audit&amp;VAR:KEY=LCZWVWFGZE&amp;VAR:QUERY=RkZfRUJJVERBX0lCKCdMVE1TJywzOTAyNyk=&amp;WINDOW=FIRST_POPUP&amp;HEIGHT=450&amp;WIDTH=450&amp;START_MA","XIMIZED=FALSE&amp;VAR:CALENDAR=US&amp;VAR:SYMBOL=G0129K10&amp;VAR:INDEX=0"}</definedName>
    <definedName name="_8514__FDSAUDITLINK__" hidden="1">{"fdsup://directions/FAT Viewer?action=UPDATE&amp;creator=factset&amp;DYN_ARGS=TRUE&amp;DOC_NAME=FAT:FQL_AUDITING_CLIENT_TEMPLATE.FAT&amp;display_string=Audit&amp;VAR:KEY=LCZWVWFGZE&amp;VAR:QUERY=RkZfRUJJVERBX0lCKCdMVE1TJywzOTAyNyk=&amp;WINDOW=FIRST_POPUP&amp;HEIGHT=450&amp;WIDTH=450&amp;START_MA","XIMIZED=FALSE&amp;VAR:CALENDAR=US&amp;VAR:SYMBOL=G0129K10&amp;VAR:INDEX=0"}</definedName>
    <definedName name="_8515__FDSAUDITLINK__" localSheetId="6" hidden="1">{"fdsup://directions/FAT Viewer?action=UPDATE&amp;creator=factset&amp;DYN_ARGS=TRUE&amp;DOC_NAME=FAT:FQL_AUDITING_CLIENT_TEMPLATE.FAT&amp;display_string=Audit&amp;VAR:KEY=XYDGZYTQJK&amp;VAR:QUERY=RkZfRUJJVERBX0lCKCdMVE1TJywzOTAyNik=&amp;WINDOW=FIRST_POPUP&amp;HEIGHT=450&amp;WIDTH=450&amp;START_MA","XIMIZED=FALSE&amp;VAR:CALENDAR=US&amp;VAR:SYMBOL=G0129K10&amp;VAR:INDEX=0"}</definedName>
    <definedName name="_8515__FDSAUDITLINK__" hidden="1">{"fdsup://directions/FAT Viewer?action=UPDATE&amp;creator=factset&amp;DYN_ARGS=TRUE&amp;DOC_NAME=FAT:FQL_AUDITING_CLIENT_TEMPLATE.FAT&amp;display_string=Audit&amp;VAR:KEY=XYDGZYTQJK&amp;VAR:QUERY=RkZfRUJJVERBX0lCKCdMVE1TJywzOTAyNik=&amp;WINDOW=FIRST_POPUP&amp;HEIGHT=450&amp;WIDTH=450&amp;START_MA","XIMIZED=FALSE&amp;VAR:CALENDAR=US&amp;VAR:SYMBOL=G0129K10&amp;VAR:INDEX=0"}</definedName>
    <definedName name="_8516__FDSAUDITLINK__" localSheetId="6" hidden="1">{"fdsup://directions/FAT Viewer?action=UPDATE&amp;creator=factset&amp;DYN_ARGS=TRUE&amp;DOC_NAME=FAT:FQL_AUDITING_CLIENT_TEMPLATE.FAT&amp;display_string=Audit&amp;VAR:KEY=FKZILWTSDW&amp;VAR:QUERY=RkZfRUJJVERBX0lCKCdMVE1TJywzOTAyNSk=&amp;WINDOW=FIRST_POPUP&amp;HEIGHT=450&amp;WIDTH=450&amp;START_MA","XIMIZED=FALSE&amp;VAR:CALENDAR=US&amp;VAR:SYMBOL=G0129K10&amp;VAR:INDEX=0"}</definedName>
    <definedName name="_8516__FDSAUDITLINK__" hidden="1">{"fdsup://directions/FAT Viewer?action=UPDATE&amp;creator=factset&amp;DYN_ARGS=TRUE&amp;DOC_NAME=FAT:FQL_AUDITING_CLIENT_TEMPLATE.FAT&amp;display_string=Audit&amp;VAR:KEY=FKZILWTSDW&amp;VAR:QUERY=RkZfRUJJVERBX0lCKCdMVE1TJywzOTAyNSk=&amp;WINDOW=FIRST_POPUP&amp;HEIGHT=450&amp;WIDTH=450&amp;START_MA","XIMIZED=FALSE&amp;VAR:CALENDAR=US&amp;VAR:SYMBOL=G0129K10&amp;VAR:INDEX=0"}</definedName>
    <definedName name="_8517__FDSAUDITLINK__" localSheetId="6" hidden="1">{"fdsup://directions/FAT Viewer?action=UPDATE&amp;creator=factset&amp;DYN_ARGS=TRUE&amp;DOC_NAME=FAT:FQL_AUDITING_CLIENT_TEMPLATE.FAT&amp;display_string=Audit&amp;VAR:KEY=TUNETQFCZI&amp;VAR:QUERY=RkZfRUJJVERBX0lCKCdMVE1TJywzOTAyNCk=&amp;WINDOW=FIRST_POPUP&amp;HEIGHT=450&amp;WIDTH=450&amp;START_MA","XIMIZED=FALSE&amp;VAR:CALENDAR=US&amp;VAR:SYMBOL=G0129K10&amp;VAR:INDEX=0"}</definedName>
    <definedName name="_8517__FDSAUDITLINK__" hidden="1">{"fdsup://directions/FAT Viewer?action=UPDATE&amp;creator=factset&amp;DYN_ARGS=TRUE&amp;DOC_NAME=FAT:FQL_AUDITING_CLIENT_TEMPLATE.FAT&amp;display_string=Audit&amp;VAR:KEY=TUNETQFCZI&amp;VAR:QUERY=RkZfRUJJVERBX0lCKCdMVE1TJywzOTAyNCk=&amp;WINDOW=FIRST_POPUP&amp;HEIGHT=450&amp;WIDTH=450&amp;START_MA","XIMIZED=FALSE&amp;VAR:CALENDAR=US&amp;VAR:SYMBOL=G0129K10&amp;VAR:INDEX=0"}</definedName>
    <definedName name="_8518__FDSAUDITLINK__" localSheetId="6" hidden="1">{"fdsup://directions/FAT Viewer?action=UPDATE&amp;creator=factset&amp;DYN_ARGS=TRUE&amp;DOC_NAME=FAT:FQL_AUDITING_CLIENT_TEMPLATE.FAT&amp;display_string=Audit&amp;VAR:KEY=ZOHGPYZWZI&amp;VAR:QUERY=RkZfRUJJVERBX0lCKCdMVE1TJywzOTAyMyk=&amp;WINDOW=FIRST_POPUP&amp;HEIGHT=450&amp;WIDTH=450&amp;START_MA","XIMIZED=FALSE&amp;VAR:CALENDAR=US&amp;VAR:SYMBOL=G0129K10&amp;VAR:INDEX=0"}</definedName>
    <definedName name="_8518__FDSAUDITLINK__" hidden="1">{"fdsup://directions/FAT Viewer?action=UPDATE&amp;creator=factset&amp;DYN_ARGS=TRUE&amp;DOC_NAME=FAT:FQL_AUDITING_CLIENT_TEMPLATE.FAT&amp;display_string=Audit&amp;VAR:KEY=ZOHGPYZWZI&amp;VAR:QUERY=RkZfRUJJVERBX0lCKCdMVE1TJywzOTAyMyk=&amp;WINDOW=FIRST_POPUP&amp;HEIGHT=450&amp;WIDTH=450&amp;START_MA","XIMIZED=FALSE&amp;VAR:CALENDAR=US&amp;VAR:SYMBOL=G0129K10&amp;VAR:INDEX=0"}</definedName>
    <definedName name="_8519__FDSAUDITLINK__" localSheetId="6" hidden="1">{"fdsup://directions/FAT Viewer?action=UPDATE&amp;creator=factset&amp;DYN_ARGS=TRUE&amp;DOC_NAME=FAT:FQL_AUDITING_CLIENT_TEMPLATE.FAT&amp;display_string=Audit&amp;VAR:KEY=JUHGLENOFY&amp;VAR:QUERY=RkZfRUJJVERBX0lCKCdMVE1TJywzOTAyMik=&amp;WINDOW=FIRST_POPUP&amp;HEIGHT=450&amp;WIDTH=450&amp;START_MA","XIMIZED=FALSE&amp;VAR:CALENDAR=US&amp;VAR:SYMBOL=G0129K10&amp;VAR:INDEX=0"}</definedName>
    <definedName name="_8519__FDSAUDITLINK__" hidden="1">{"fdsup://directions/FAT Viewer?action=UPDATE&amp;creator=factset&amp;DYN_ARGS=TRUE&amp;DOC_NAME=FAT:FQL_AUDITING_CLIENT_TEMPLATE.FAT&amp;display_string=Audit&amp;VAR:KEY=JUHGLENOFY&amp;VAR:QUERY=RkZfRUJJVERBX0lCKCdMVE1TJywzOTAyMik=&amp;WINDOW=FIRST_POPUP&amp;HEIGHT=450&amp;WIDTH=450&amp;START_MA","XIMIZED=FALSE&amp;VAR:CALENDAR=US&amp;VAR:SYMBOL=G0129K10&amp;VAR:INDEX=0"}</definedName>
    <definedName name="_852__FDSAUDITLINK__" localSheetId="6" hidden="1">{"fdsup://directions/FAT%20Viewer?VAR:PED=LTM&amp;VAR:AUDIT_MODE=SUMMARY&amp;VAR:PERIOD=FIXED&amp;VAR:AUDIT_ID=00000117&amp;VAR:DATE=20071023&amp;action=UPDATE&amp;creator=factset&amp;DOC_NAME=FAT:FMA_audit_SUMMARY.fat&amp;DISPLAY_STRING=Display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2__FDSAUDITLINK__" hidden="1">{"fdsup://directions/FAT%20Viewer?VAR:PED=LTM&amp;VAR:AUDIT_MODE=SUMMARY&amp;VAR:PERIOD=FIXED&amp;VAR:AUDIT_ID=00000117&amp;VAR:DATE=20071023&amp;action=UPDATE&amp;creator=factset&amp;DOC_NAME=FAT:FMA_audit_SUMMARY.fat&amp;DISPLAY_STRING=Display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20__FDSAUDITLINK__" localSheetId="6" hidden="1">{"fdsup://directions/FAT Viewer?action=UPDATE&amp;creator=factset&amp;DYN_ARGS=TRUE&amp;DOC_NAME=FAT:FQL_AUDITING_CLIENT_TEMPLATE.FAT&amp;display_string=Audit&amp;VAR:KEY=BSJWDAXCDM&amp;VAR:QUERY=RkZfRUJJVERBX0lCKCdMVE1TJywzOTAyMSk=&amp;WINDOW=FIRST_POPUP&amp;HEIGHT=450&amp;WIDTH=450&amp;START_MA","XIMIZED=FALSE&amp;VAR:CALENDAR=US&amp;VAR:SYMBOL=G0129K10&amp;VAR:INDEX=0"}</definedName>
    <definedName name="_8520__FDSAUDITLINK__" hidden="1">{"fdsup://directions/FAT Viewer?action=UPDATE&amp;creator=factset&amp;DYN_ARGS=TRUE&amp;DOC_NAME=FAT:FQL_AUDITING_CLIENT_TEMPLATE.FAT&amp;display_string=Audit&amp;VAR:KEY=BSJWDAXCDM&amp;VAR:QUERY=RkZfRUJJVERBX0lCKCdMVE1TJywzOTAyMSk=&amp;WINDOW=FIRST_POPUP&amp;HEIGHT=450&amp;WIDTH=450&amp;START_MA","XIMIZED=FALSE&amp;VAR:CALENDAR=US&amp;VAR:SYMBOL=G0129K10&amp;VAR:INDEX=0"}</definedName>
    <definedName name="_8521__FDSAUDITLINK__" localSheetId="6" hidden="1">{"fdsup://directions/FAT Viewer?action=UPDATE&amp;creator=factset&amp;DYN_ARGS=TRUE&amp;DOC_NAME=FAT:FQL_AUDITING_CLIENT_TEMPLATE.FAT&amp;display_string=Audit&amp;VAR:KEY=PEBSBCRSJI&amp;VAR:QUERY=RkZfRUJJVERBX0lCKCdMVE1TJywzOTAyMCk=&amp;WINDOW=FIRST_POPUP&amp;HEIGHT=450&amp;WIDTH=450&amp;START_MA","XIMIZED=FALSE&amp;VAR:CALENDAR=US&amp;VAR:SYMBOL=G0129K10&amp;VAR:INDEX=0"}</definedName>
    <definedName name="_8521__FDSAUDITLINK__" hidden="1">{"fdsup://directions/FAT Viewer?action=UPDATE&amp;creator=factset&amp;DYN_ARGS=TRUE&amp;DOC_NAME=FAT:FQL_AUDITING_CLIENT_TEMPLATE.FAT&amp;display_string=Audit&amp;VAR:KEY=PEBSBCRSJI&amp;VAR:QUERY=RkZfRUJJVERBX0lCKCdMVE1TJywzOTAyMCk=&amp;WINDOW=FIRST_POPUP&amp;HEIGHT=450&amp;WIDTH=450&amp;START_MA","XIMIZED=FALSE&amp;VAR:CALENDAR=US&amp;VAR:SYMBOL=G0129K10&amp;VAR:INDEX=0"}</definedName>
    <definedName name="_8522__FDSAUDITLINK__" localSheetId="6" hidden="1">{"fdsup://directions/FAT Viewer?action=UPDATE&amp;creator=factset&amp;DYN_ARGS=TRUE&amp;DOC_NAME=FAT:FQL_AUDITING_CLIENT_TEMPLATE.FAT&amp;display_string=Audit&amp;VAR:KEY=BSJGVULAZO&amp;VAR:QUERY=RkZfRUJJVERBX0lCKCdMVE1TJywzOTAxOSk=&amp;WINDOW=FIRST_POPUP&amp;HEIGHT=450&amp;WIDTH=450&amp;START_MA","XIMIZED=FALSE&amp;VAR:CALENDAR=US&amp;VAR:SYMBOL=G0129K10&amp;VAR:INDEX=0"}</definedName>
    <definedName name="_8522__FDSAUDITLINK__" hidden="1">{"fdsup://directions/FAT Viewer?action=UPDATE&amp;creator=factset&amp;DYN_ARGS=TRUE&amp;DOC_NAME=FAT:FQL_AUDITING_CLIENT_TEMPLATE.FAT&amp;display_string=Audit&amp;VAR:KEY=BSJGVULAZO&amp;VAR:QUERY=RkZfRUJJVERBX0lCKCdMVE1TJywzOTAxOSk=&amp;WINDOW=FIRST_POPUP&amp;HEIGHT=450&amp;WIDTH=450&amp;START_MA","XIMIZED=FALSE&amp;VAR:CALENDAR=US&amp;VAR:SYMBOL=G0129K10&amp;VAR:INDEX=0"}</definedName>
    <definedName name="_8523__FDSAUDITLINK__" localSheetId="6" hidden="1">{"fdsup://directions/FAT Viewer?action=UPDATE&amp;creator=factset&amp;DYN_ARGS=TRUE&amp;DOC_NAME=FAT:FQL_AUDITING_CLIENT_TEMPLATE.FAT&amp;display_string=Audit&amp;VAR:KEY=JYTCLWFQVC&amp;VAR:QUERY=RkZfRUJJVERBX0lCKCdMVE1TJywzOTAxOCk=&amp;WINDOW=FIRST_POPUP&amp;HEIGHT=450&amp;WIDTH=450&amp;START_MA","XIMIZED=FALSE&amp;VAR:CALENDAR=US&amp;VAR:SYMBOL=G0129K10&amp;VAR:INDEX=0"}</definedName>
    <definedName name="_8523__FDSAUDITLINK__" hidden="1">{"fdsup://directions/FAT Viewer?action=UPDATE&amp;creator=factset&amp;DYN_ARGS=TRUE&amp;DOC_NAME=FAT:FQL_AUDITING_CLIENT_TEMPLATE.FAT&amp;display_string=Audit&amp;VAR:KEY=JYTCLWFQVC&amp;VAR:QUERY=RkZfRUJJVERBX0lCKCdMVE1TJywzOTAxOCk=&amp;WINDOW=FIRST_POPUP&amp;HEIGHT=450&amp;WIDTH=450&amp;START_MA","XIMIZED=FALSE&amp;VAR:CALENDAR=US&amp;VAR:SYMBOL=G0129K10&amp;VAR:INDEX=0"}</definedName>
    <definedName name="_8524__FDSAUDITLINK__" localSheetId="6" hidden="1">{"fdsup://directions/FAT Viewer?action=UPDATE&amp;creator=factset&amp;DYN_ARGS=TRUE&amp;DOC_NAME=FAT:FQL_AUDITING_CLIENT_TEMPLATE.FAT&amp;display_string=Audit&amp;VAR:KEY=PAPWNWDONG&amp;VAR:QUERY=RkZfRUJJVERBX0lCKCdMVE1TJywzOTAxNyk=&amp;WINDOW=FIRST_POPUP&amp;HEIGHT=450&amp;WIDTH=450&amp;START_MA","XIMIZED=FALSE&amp;VAR:CALENDAR=US&amp;VAR:SYMBOL=G0129K10&amp;VAR:INDEX=0"}</definedName>
    <definedName name="_8524__FDSAUDITLINK__" hidden="1">{"fdsup://directions/FAT Viewer?action=UPDATE&amp;creator=factset&amp;DYN_ARGS=TRUE&amp;DOC_NAME=FAT:FQL_AUDITING_CLIENT_TEMPLATE.FAT&amp;display_string=Audit&amp;VAR:KEY=PAPWNWDONG&amp;VAR:QUERY=RkZfRUJJVERBX0lCKCdMVE1TJywzOTAxNyk=&amp;WINDOW=FIRST_POPUP&amp;HEIGHT=450&amp;WIDTH=450&amp;START_MA","XIMIZED=FALSE&amp;VAR:CALENDAR=US&amp;VAR:SYMBOL=G0129K10&amp;VAR:INDEX=0"}</definedName>
    <definedName name="_8525__FDSAUDITLINK__" localSheetId="6" hidden="1">{"fdsup://directions/FAT Viewer?action=UPDATE&amp;creator=factset&amp;DYN_ARGS=TRUE&amp;DOC_NAME=FAT:FQL_AUDITING_CLIENT_TEMPLATE.FAT&amp;display_string=Audit&amp;VAR:KEY=DOBSLSVALU&amp;VAR:QUERY=RkZfRUJJVERBX0lCKCdMVE1TJywzOTAxNik=&amp;WINDOW=FIRST_POPUP&amp;HEIGHT=450&amp;WIDTH=450&amp;START_MA","XIMIZED=FALSE&amp;VAR:CALENDAR=US&amp;VAR:SYMBOL=G0129K10&amp;VAR:INDEX=0"}</definedName>
    <definedName name="_8525__FDSAUDITLINK__" hidden="1">{"fdsup://directions/FAT Viewer?action=UPDATE&amp;creator=factset&amp;DYN_ARGS=TRUE&amp;DOC_NAME=FAT:FQL_AUDITING_CLIENT_TEMPLATE.FAT&amp;display_string=Audit&amp;VAR:KEY=DOBSLSVALU&amp;VAR:QUERY=RkZfRUJJVERBX0lCKCdMVE1TJywzOTAxNik=&amp;WINDOW=FIRST_POPUP&amp;HEIGHT=450&amp;WIDTH=450&amp;START_MA","XIMIZED=FALSE&amp;VAR:CALENDAR=US&amp;VAR:SYMBOL=G0129K10&amp;VAR:INDEX=0"}</definedName>
    <definedName name="_8526__FDSAUDITLINK__" localSheetId="6" hidden="1">{"fdsup://directions/FAT Viewer?action=UPDATE&amp;creator=factset&amp;DYN_ARGS=TRUE&amp;DOC_NAME=FAT:FQL_AUDITING_CLIENT_TEMPLATE.FAT&amp;display_string=Audit&amp;VAR:KEY=JCJEVSXULI&amp;VAR:QUERY=RkZfRUJJVERBX0lCKCdMVE1TJywzOTAxNSk=&amp;WINDOW=FIRST_POPUP&amp;HEIGHT=450&amp;WIDTH=450&amp;START_MA","XIMIZED=FALSE&amp;VAR:CALENDAR=US&amp;VAR:SYMBOL=G0129K10&amp;VAR:INDEX=0"}</definedName>
    <definedName name="_8526__FDSAUDITLINK__" hidden="1">{"fdsup://directions/FAT Viewer?action=UPDATE&amp;creator=factset&amp;DYN_ARGS=TRUE&amp;DOC_NAME=FAT:FQL_AUDITING_CLIENT_TEMPLATE.FAT&amp;display_string=Audit&amp;VAR:KEY=JCJEVSXULI&amp;VAR:QUERY=RkZfRUJJVERBX0lCKCdMVE1TJywzOTAxNSk=&amp;WINDOW=FIRST_POPUP&amp;HEIGHT=450&amp;WIDTH=450&amp;START_MA","XIMIZED=FALSE&amp;VAR:CALENDAR=US&amp;VAR:SYMBOL=G0129K10&amp;VAR:INDEX=0"}</definedName>
    <definedName name="_8527__FDSAUDITLINK__" localSheetId="6" hidden="1">{"fdsup://directions/FAT Viewer?action=UPDATE&amp;creator=factset&amp;DYN_ARGS=TRUE&amp;DOC_NAME=FAT:FQL_AUDITING_CLIENT_TEMPLATE.FAT&amp;display_string=Audit&amp;VAR:KEY=PYNKJGNQPQ&amp;VAR:QUERY=RkZfRUJJVERBX0lCKCdMVE1TJywzOTAxNCk=&amp;WINDOW=FIRST_POPUP&amp;HEIGHT=450&amp;WIDTH=450&amp;START_MA","XIMIZED=FALSE&amp;VAR:CALENDAR=US&amp;VAR:SYMBOL=G0129K10&amp;VAR:INDEX=0"}</definedName>
    <definedName name="_8527__FDSAUDITLINK__" hidden="1">{"fdsup://directions/FAT Viewer?action=UPDATE&amp;creator=factset&amp;DYN_ARGS=TRUE&amp;DOC_NAME=FAT:FQL_AUDITING_CLIENT_TEMPLATE.FAT&amp;display_string=Audit&amp;VAR:KEY=PYNKJGNQPQ&amp;VAR:QUERY=RkZfRUJJVERBX0lCKCdMVE1TJywzOTAxNCk=&amp;WINDOW=FIRST_POPUP&amp;HEIGHT=450&amp;WIDTH=450&amp;START_MA","XIMIZED=FALSE&amp;VAR:CALENDAR=US&amp;VAR:SYMBOL=G0129K10&amp;VAR:INDEX=0"}</definedName>
    <definedName name="_8528__FDSAUDITLINK__" localSheetId="6" hidden="1">{"fdsup://directions/FAT Viewer?action=UPDATE&amp;creator=factset&amp;DYN_ARGS=TRUE&amp;DOC_NAME=FAT:FQL_AUDITING_CLIENT_TEMPLATE.FAT&amp;display_string=Audit&amp;VAR:KEY=LITONQFSHM&amp;VAR:QUERY=RkZfRUJJVERBX0lCKCdMVE1TJywzOTAxMyk=&amp;WINDOW=FIRST_POPUP&amp;HEIGHT=450&amp;WIDTH=450&amp;START_MA","XIMIZED=FALSE&amp;VAR:CALENDAR=US&amp;VAR:SYMBOL=G0129K10&amp;VAR:INDEX=0"}</definedName>
    <definedName name="_8528__FDSAUDITLINK__" hidden="1">{"fdsup://directions/FAT Viewer?action=UPDATE&amp;creator=factset&amp;DYN_ARGS=TRUE&amp;DOC_NAME=FAT:FQL_AUDITING_CLIENT_TEMPLATE.FAT&amp;display_string=Audit&amp;VAR:KEY=LITONQFSHM&amp;VAR:QUERY=RkZfRUJJVERBX0lCKCdMVE1TJywzOTAxMyk=&amp;WINDOW=FIRST_POPUP&amp;HEIGHT=450&amp;WIDTH=450&amp;START_MA","XIMIZED=FALSE&amp;VAR:CALENDAR=US&amp;VAR:SYMBOL=G0129K10&amp;VAR:INDEX=0"}</definedName>
    <definedName name="_8529__FDSAUDITLINK__" localSheetId="6" hidden="1">{"fdsup://directions/FAT Viewer?action=UPDATE&amp;creator=factset&amp;DYN_ARGS=TRUE&amp;DOC_NAME=FAT:FQL_AUDITING_CLIENT_TEMPLATE.FAT&amp;display_string=Audit&amp;VAR:KEY=VYTUTWVUVI&amp;VAR:QUERY=RkZfRUJJVERBX0lCKCdMVE1TJywzOTAxMik=&amp;WINDOW=FIRST_POPUP&amp;HEIGHT=450&amp;WIDTH=450&amp;START_MA","XIMIZED=FALSE&amp;VAR:CALENDAR=US&amp;VAR:SYMBOL=G0129K10&amp;VAR:INDEX=0"}</definedName>
    <definedName name="_8529__FDSAUDITLINK__" hidden="1">{"fdsup://directions/FAT Viewer?action=UPDATE&amp;creator=factset&amp;DYN_ARGS=TRUE&amp;DOC_NAME=FAT:FQL_AUDITING_CLIENT_TEMPLATE.FAT&amp;display_string=Audit&amp;VAR:KEY=VYTUTWVUVI&amp;VAR:QUERY=RkZfRUJJVERBX0lCKCdMVE1TJywzOTAxMik=&amp;WINDOW=FIRST_POPUP&amp;HEIGHT=450&amp;WIDTH=450&amp;START_MA","XIMIZED=FALSE&amp;VAR:CALENDAR=US&amp;VAR:SYMBOL=G0129K10&amp;VAR:INDEX=0"}</definedName>
    <definedName name="_853__FDSAUDITLINK__" localSheetId="6" hidden="1">{"fdsup://directions/FAT%20Viewer?VAR:PED=LTM&amp;VAR:AUDIT_MODE=SUMMARY&amp;VAR:PERIOD=FIXED&amp;VAR:AUDIT_ID=00000117&amp;VAR:DATE=20071022&amp;action=UPDATE&amp;creator=factset&amp;DOC_NAME=FAT:FMA_audit_SUMMARY.fat&amp;DISPLAY_STRING=Display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3__FDSAUDITLINK__" hidden="1">{"fdsup://directions/FAT%20Viewer?VAR:PED=LTM&amp;VAR:AUDIT_MODE=SUMMARY&amp;VAR:PERIOD=FIXED&amp;VAR:AUDIT_ID=00000117&amp;VAR:DATE=20071022&amp;action=UPDATE&amp;creator=factset&amp;DOC_NAME=FAT:FMA_audit_SUMMARY.fat&amp;DISPLAY_STRING=Display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30__FDSAUDITLINK__" localSheetId="6" hidden="1">{"fdsup://directions/FAT Viewer?action=UPDATE&amp;creator=factset&amp;DYN_ARGS=TRUE&amp;DOC_NAME=FAT:FQL_AUDITING_CLIENT_TEMPLATE.FAT&amp;display_string=Audit&amp;VAR:KEY=XWZKRIPUNO&amp;VAR:QUERY=RkZfRUJJVERBX0lCKCdMVE1TJywzOTAxMSk=&amp;WINDOW=FIRST_POPUP&amp;HEIGHT=450&amp;WIDTH=450&amp;START_MA","XIMIZED=FALSE&amp;VAR:CALENDAR=US&amp;VAR:SYMBOL=G0129K10&amp;VAR:INDEX=0"}</definedName>
    <definedName name="_8530__FDSAUDITLINK__" hidden="1">{"fdsup://directions/FAT Viewer?action=UPDATE&amp;creator=factset&amp;DYN_ARGS=TRUE&amp;DOC_NAME=FAT:FQL_AUDITING_CLIENT_TEMPLATE.FAT&amp;display_string=Audit&amp;VAR:KEY=XWZKRIPUNO&amp;VAR:QUERY=RkZfRUJJVERBX0lCKCdMVE1TJywzOTAxMSk=&amp;WINDOW=FIRST_POPUP&amp;HEIGHT=450&amp;WIDTH=450&amp;START_MA","XIMIZED=FALSE&amp;VAR:CALENDAR=US&amp;VAR:SYMBOL=G0129K10&amp;VAR:INDEX=0"}</definedName>
    <definedName name="_8531__FDSAUDITLINK__" localSheetId="6" hidden="1">{"fdsup://directions/FAT Viewer?action=UPDATE&amp;creator=factset&amp;DYN_ARGS=TRUE&amp;DOC_NAME=FAT:FQL_AUDITING_CLIENT_TEMPLATE.FAT&amp;display_string=Audit&amp;VAR:KEY=XYJCXQXCTE&amp;VAR:QUERY=RkZfRUJJVERBX0lCKCdMVE1TJywzOTAxMCk=&amp;WINDOW=FIRST_POPUP&amp;HEIGHT=450&amp;WIDTH=450&amp;START_MA","XIMIZED=FALSE&amp;VAR:CALENDAR=US&amp;VAR:SYMBOL=G0129K10&amp;VAR:INDEX=0"}</definedName>
    <definedName name="_8531__FDSAUDITLINK__" hidden="1">{"fdsup://directions/FAT Viewer?action=UPDATE&amp;creator=factset&amp;DYN_ARGS=TRUE&amp;DOC_NAME=FAT:FQL_AUDITING_CLIENT_TEMPLATE.FAT&amp;display_string=Audit&amp;VAR:KEY=XYJCXQXCTE&amp;VAR:QUERY=RkZfRUJJVERBX0lCKCdMVE1TJywzOTAxMCk=&amp;WINDOW=FIRST_POPUP&amp;HEIGHT=450&amp;WIDTH=450&amp;START_MA","XIMIZED=FALSE&amp;VAR:CALENDAR=US&amp;VAR:SYMBOL=G0129K10&amp;VAR:INDEX=0"}</definedName>
    <definedName name="_8532__FDSAUDITLINK__" localSheetId="6" hidden="1">{"fdsup://directions/FAT Viewer?action=UPDATE&amp;creator=factset&amp;DYN_ARGS=TRUE&amp;DOC_NAME=FAT:FQL_AUDITING_CLIENT_TEMPLATE.FAT&amp;display_string=Audit&amp;VAR:KEY=LIRCDEDIRK&amp;VAR:QUERY=RkZfRUJJVERBX0lCKCdMVE1TJywzOTAwOSk=&amp;WINDOW=FIRST_POPUP&amp;HEIGHT=450&amp;WIDTH=450&amp;START_MA","XIMIZED=FALSE&amp;VAR:CALENDAR=US&amp;VAR:SYMBOL=G0129K10&amp;VAR:INDEX=0"}</definedName>
    <definedName name="_8532__FDSAUDITLINK__" hidden="1">{"fdsup://directions/FAT Viewer?action=UPDATE&amp;creator=factset&amp;DYN_ARGS=TRUE&amp;DOC_NAME=FAT:FQL_AUDITING_CLIENT_TEMPLATE.FAT&amp;display_string=Audit&amp;VAR:KEY=LIRCDEDIRK&amp;VAR:QUERY=RkZfRUJJVERBX0lCKCdMVE1TJywzOTAwOSk=&amp;WINDOW=FIRST_POPUP&amp;HEIGHT=450&amp;WIDTH=450&amp;START_MA","XIMIZED=FALSE&amp;VAR:CALENDAR=US&amp;VAR:SYMBOL=G0129K10&amp;VAR:INDEX=0"}</definedName>
    <definedName name="_8533__FDSAUDITLINK__" localSheetId="6" hidden="1">{"fdsup://directions/FAT Viewer?action=UPDATE&amp;creator=factset&amp;DYN_ARGS=TRUE&amp;DOC_NAME=FAT:FQL_AUDITING_CLIENT_TEMPLATE.FAT&amp;display_string=Audit&amp;VAR:KEY=LEBELGFIZU&amp;VAR:QUERY=RkZfRUJJVERBX0lCKCdMVE1TJywzOTAwOCk=&amp;WINDOW=FIRST_POPUP&amp;HEIGHT=450&amp;WIDTH=450&amp;START_MA","XIMIZED=FALSE&amp;VAR:CALENDAR=US&amp;VAR:SYMBOL=G0129K10&amp;VAR:INDEX=0"}</definedName>
    <definedName name="_8533__FDSAUDITLINK__" hidden="1">{"fdsup://directions/FAT Viewer?action=UPDATE&amp;creator=factset&amp;DYN_ARGS=TRUE&amp;DOC_NAME=FAT:FQL_AUDITING_CLIENT_TEMPLATE.FAT&amp;display_string=Audit&amp;VAR:KEY=LEBELGFIZU&amp;VAR:QUERY=RkZfRUJJVERBX0lCKCdMVE1TJywzOTAwOCk=&amp;WINDOW=FIRST_POPUP&amp;HEIGHT=450&amp;WIDTH=450&amp;START_MA","XIMIZED=FALSE&amp;VAR:CALENDAR=US&amp;VAR:SYMBOL=G0129K10&amp;VAR:INDEX=0"}</definedName>
    <definedName name="_8534__FDSAUDITLINK__" localSheetId="6" hidden="1">{"fdsup://directions/FAT Viewer?action=UPDATE&amp;creator=factset&amp;DYN_ARGS=TRUE&amp;DOC_NAME=FAT:FQL_AUDITING_CLIENT_TEMPLATE.FAT&amp;display_string=Audit&amp;VAR:KEY=TEXKXIRYTO&amp;VAR:QUERY=RkZfRUJJVERBX0lCKCdMVE1TJywzOTAwNyk=&amp;WINDOW=FIRST_POPUP&amp;HEIGHT=450&amp;WIDTH=450&amp;START_MA","XIMIZED=FALSE&amp;VAR:CALENDAR=US&amp;VAR:SYMBOL=G0129K10&amp;VAR:INDEX=0"}</definedName>
    <definedName name="_8534__FDSAUDITLINK__" hidden="1">{"fdsup://directions/FAT Viewer?action=UPDATE&amp;creator=factset&amp;DYN_ARGS=TRUE&amp;DOC_NAME=FAT:FQL_AUDITING_CLIENT_TEMPLATE.FAT&amp;display_string=Audit&amp;VAR:KEY=TEXKXIRYTO&amp;VAR:QUERY=RkZfRUJJVERBX0lCKCdMVE1TJywzOTAwNyk=&amp;WINDOW=FIRST_POPUP&amp;HEIGHT=450&amp;WIDTH=450&amp;START_MA","XIMIZED=FALSE&amp;VAR:CALENDAR=US&amp;VAR:SYMBOL=G0129K10&amp;VAR:INDEX=0"}</definedName>
    <definedName name="_8535__FDSAUDITLINK__" localSheetId="6" hidden="1">{"fdsup://directions/FAT Viewer?action=UPDATE&amp;creator=factset&amp;DYN_ARGS=TRUE&amp;DOC_NAME=FAT:FQL_AUDITING_CLIENT_TEMPLATE.FAT&amp;display_string=Audit&amp;VAR:KEY=XCPSPCLYDA&amp;VAR:QUERY=RkZfRUJJVERBX0lCKCdMVE1TJywzOTAwNik=&amp;WINDOW=FIRST_POPUP&amp;HEIGHT=450&amp;WIDTH=450&amp;START_MA","XIMIZED=FALSE&amp;VAR:CALENDAR=US&amp;VAR:SYMBOL=G0129K10&amp;VAR:INDEX=0"}</definedName>
    <definedName name="_8535__FDSAUDITLINK__" hidden="1">{"fdsup://directions/FAT Viewer?action=UPDATE&amp;creator=factset&amp;DYN_ARGS=TRUE&amp;DOC_NAME=FAT:FQL_AUDITING_CLIENT_TEMPLATE.FAT&amp;display_string=Audit&amp;VAR:KEY=XCPSPCLYDA&amp;VAR:QUERY=RkZfRUJJVERBX0lCKCdMVE1TJywzOTAwNik=&amp;WINDOW=FIRST_POPUP&amp;HEIGHT=450&amp;WIDTH=450&amp;START_MA","XIMIZED=FALSE&amp;VAR:CALENDAR=US&amp;VAR:SYMBOL=G0129K10&amp;VAR:INDEX=0"}</definedName>
    <definedName name="_8536__FDSAUDITLINK__" localSheetId="6" hidden="1">{"fdsup://directions/FAT Viewer?action=UPDATE&amp;creator=factset&amp;DYN_ARGS=TRUE&amp;DOC_NAME=FAT:FQL_AUDITING_CLIENT_TEMPLATE.FAT&amp;display_string=Audit&amp;VAR:KEY=RYZMHGTCTM&amp;VAR:QUERY=RkZfRUJJVERBX0lCKCdMVE1TJywzOTAwNSk=&amp;WINDOW=FIRST_POPUP&amp;HEIGHT=450&amp;WIDTH=450&amp;START_MA","XIMIZED=FALSE&amp;VAR:CALENDAR=US&amp;VAR:SYMBOL=G0129K10&amp;VAR:INDEX=0"}</definedName>
    <definedName name="_8536__FDSAUDITLINK__" hidden="1">{"fdsup://directions/FAT Viewer?action=UPDATE&amp;creator=factset&amp;DYN_ARGS=TRUE&amp;DOC_NAME=FAT:FQL_AUDITING_CLIENT_TEMPLATE.FAT&amp;display_string=Audit&amp;VAR:KEY=RYZMHGTCTM&amp;VAR:QUERY=RkZfRUJJVERBX0lCKCdMVE1TJywzOTAwNSk=&amp;WINDOW=FIRST_POPUP&amp;HEIGHT=450&amp;WIDTH=450&amp;START_MA","XIMIZED=FALSE&amp;VAR:CALENDAR=US&amp;VAR:SYMBOL=G0129K10&amp;VAR:INDEX=0"}</definedName>
    <definedName name="_8537__FDSAUDITLINK__" localSheetId="6" hidden="1">{"fdsup://directions/FAT Viewer?action=UPDATE&amp;creator=factset&amp;DYN_ARGS=TRUE&amp;DOC_NAME=FAT:FQL_AUDITING_CLIENT_TEMPLATE.FAT&amp;display_string=Audit&amp;VAR:KEY=FIRGZCJIPM&amp;VAR:QUERY=RkZfRUJJVERBX0lCKCdMVE1TJywzOTAwNCk=&amp;WINDOW=FIRST_POPUP&amp;HEIGHT=450&amp;WIDTH=450&amp;START_MA","XIMIZED=FALSE&amp;VAR:CALENDAR=US&amp;VAR:SYMBOL=G0129K10&amp;VAR:INDEX=0"}</definedName>
    <definedName name="_8537__FDSAUDITLINK__" hidden="1">{"fdsup://directions/FAT Viewer?action=UPDATE&amp;creator=factset&amp;DYN_ARGS=TRUE&amp;DOC_NAME=FAT:FQL_AUDITING_CLIENT_TEMPLATE.FAT&amp;display_string=Audit&amp;VAR:KEY=FIRGZCJIPM&amp;VAR:QUERY=RkZfRUJJVERBX0lCKCdMVE1TJywzOTAwNCk=&amp;WINDOW=FIRST_POPUP&amp;HEIGHT=450&amp;WIDTH=450&amp;START_MA","XIMIZED=FALSE&amp;VAR:CALENDAR=US&amp;VAR:SYMBOL=G0129K10&amp;VAR:INDEX=0"}</definedName>
    <definedName name="_8538__FDSAUDITLINK__" localSheetId="6" hidden="1">{"fdsup://directions/FAT Viewer?action=UPDATE&amp;creator=factset&amp;DYN_ARGS=TRUE&amp;DOC_NAME=FAT:FQL_AUDITING_CLIENT_TEMPLATE.FAT&amp;display_string=Audit&amp;VAR:KEY=JIXQVCPOJI&amp;VAR:QUERY=RkZfRUJJVERBX0lCKCdMVE1TJywzOTAwMyk=&amp;WINDOW=FIRST_POPUP&amp;HEIGHT=450&amp;WIDTH=450&amp;START_MA","XIMIZED=FALSE&amp;VAR:CALENDAR=US&amp;VAR:SYMBOL=G0129K10&amp;VAR:INDEX=0"}</definedName>
    <definedName name="_8538__FDSAUDITLINK__" hidden="1">{"fdsup://directions/FAT Viewer?action=UPDATE&amp;creator=factset&amp;DYN_ARGS=TRUE&amp;DOC_NAME=FAT:FQL_AUDITING_CLIENT_TEMPLATE.FAT&amp;display_string=Audit&amp;VAR:KEY=JIXQVCPOJI&amp;VAR:QUERY=RkZfRUJJVERBX0lCKCdMVE1TJywzOTAwMyk=&amp;WINDOW=FIRST_POPUP&amp;HEIGHT=450&amp;WIDTH=450&amp;START_MA","XIMIZED=FALSE&amp;VAR:CALENDAR=US&amp;VAR:SYMBOL=G0129K10&amp;VAR:INDEX=0"}</definedName>
    <definedName name="_8539__FDSAUDITLINK__" localSheetId="6" hidden="1">{"fdsup://directions/FAT Viewer?action=UPDATE&amp;creator=factset&amp;DYN_ARGS=TRUE&amp;DOC_NAME=FAT:FQL_AUDITING_CLIENT_TEMPLATE.FAT&amp;display_string=Audit&amp;VAR:KEY=PGZSPUJGVM&amp;VAR:QUERY=RkZfRUJJVERBX0lCKCdMVE1TJywzOTAwMik=&amp;WINDOW=FIRST_POPUP&amp;HEIGHT=450&amp;WIDTH=450&amp;START_MA","XIMIZED=FALSE&amp;VAR:CALENDAR=US&amp;VAR:SYMBOL=G0129K10&amp;VAR:INDEX=0"}</definedName>
    <definedName name="_8539__FDSAUDITLINK__" hidden="1">{"fdsup://directions/FAT Viewer?action=UPDATE&amp;creator=factset&amp;DYN_ARGS=TRUE&amp;DOC_NAME=FAT:FQL_AUDITING_CLIENT_TEMPLATE.FAT&amp;display_string=Audit&amp;VAR:KEY=PGZSPUJGVM&amp;VAR:QUERY=RkZfRUJJVERBX0lCKCdMVE1TJywzOTAwMik=&amp;WINDOW=FIRST_POPUP&amp;HEIGHT=450&amp;WIDTH=450&amp;START_MA","XIMIZED=FALSE&amp;VAR:CALENDAR=US&amp;VAR:SYMBOL=G0129K10&amp;VAR:INDEX=0"}</definedName>
    <definedName name="_854__FDSAUDITLINK__" localSheetId="6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4__FDSAUDITLINK__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40__FDSAUDITLINK__" localSheetId="6" hidden="1">{"fdsup://directions/FAT Viewer?action=UPDATE&amp;creator=factset&amp;DYN_ARGS=TRUE&amp;DOC_NAME=FAT:FQL_AUDITING_CLIENT_TEMPLATE.FAT&amp;display_string=Audit&amp;VAR:KEY=RCXUFIPSRC&amp;VAR:QUERY=RkZfRUJJVERBX0lCKCdMVE1TJywzOTAwMSk=&amp;WINDOW=FIRST_POPUP&amp;HEIGHT=450&amp;WIDTH=450&amp;START_MA","XIMIZED=FALSE&amp;VAR:CALENDAR=US&amp;VAR:SYMBOL=G0129K10&amp;VAR:INDEX=0"}</definedName>
    <definedName name="_8540__FDSAUDITLINK__" hidden="1">{"fdsup://directions/FAT Viewer?action=UPDATE&amp;creator=factset&amp;DYN_ARGS=TRUE&amp;DOC_NAME=FAT:FQL_AUDITING_CLIENT_TEMPLATE.FAT&amp;display_string=Audit&amp;VAR:KEY=RCXUFIPSRC&amp;VAR:QUERY=RkZfRUJJVERBX0lCKCdMVE1TJywzOTAwMSk=&amp;WINDOW=FIRST_POPUP&amp;HEIGHT=450&amp;WIDTH=450&amp;START_MA","XIMIZED=FALSE&amp;VAR:CALENDAR=US&amp;VAR:SYMBOL=G0129K10&amp;VAR:INDEX=0"}</definedName>
    <definedName name="_8541__FDSAUDITLINK__" localSheetId="6" hidden="1">{"fdsup://directions/FAT Viewer?action=UPDATE&amp;creator=factset&amp;DYN_ARGS=TRUE&amp;DOC_NAME=FAT:FQL_AUDITING_CLIENT_TEMPLATE.FAT&amp;display_string=Audit&amp;VAR:KEY=LCBCHMRWHW&amp;VAR:QUERY=RkZfRUJJVERBX0lCKCdMVE1TJywzOTAwMCk=&amp;WINDOW=FIRST_POPUP&amp;HEIGHT=450&amp;WIDTH=450&amp;START_MA","XIMIZED=FALSE&amp;VAR:CALENDAR=US&amp;VAR:SYMBOL=G0129K10&amp;VAR:INDEX=0"}</definedName>
    <definedName name="_8541__FDSAUDITLINK__" hidden="1">{"fdsup://directions/FAT Viewer?action=UPDATE&amp;creator=factset&amp;DYN_ARGS=TRUE&amp;DOC_NAME=FAT:FQL_AUDITING_CLIENT_TEMPLATE.FAT&amp;display_string=Audit&amp;VAR:KEY=LCBCHMRWHW&amp;VAR:QUERY=RkZfRUJJVERBX0lCKCdMVE1TJywzOTAwMCk=&amp;WINDOW=FIRST_POPUP&amp;HEIGHT=450&amp;WIDTH=450&amp;START_MA","XIMIZED=FALSE&amp;VAR:CALENDAR=US&amp;VAR:SYMBOL=G0129K10&amp;VAR:INDEX=0"}</definedName>
    <definedName name="_8542__FDSAUDITLINK__" localSheetId="6" hidden="1">{"fdsup://directions/FAT Viewer?action=UPDATE&amp;creator=factset&amp;DYN_ARGS=TRUE&amp;DOC_NAME=FAT:FQL_AUDITING_CLIENT_TEMPLATE.FAT&amp;display_string=Audit&amp;VAR:KEY=VQRQTAXELM&amp;VAR:QUERY=RkZfRUJJVERBX0lCKCdMVE1TJywzODk5OSk=&amp;WINDOW=FIRST_POPUP&amp;HEIGHT=450&amp;WIDTH=450&amp;START_MA","XIMIZED=FALSE&amp;VAR:CALENDAR=US&amp;VAR:SYMBOL=G0129K10&amp;VAR:INDEX=0"}</definedName>
    <definedName name="_8542__FDSAUDITLINK__" hidden="1">{"fdsup://directions/FAT Viewer?action=UPDATE&amp;creator=factset&amp;DYN_ARGS=TRUE&amp;DOC_NAME=FAT:FQL_AUDITING_CLIENT_TEMPLATE.FAT&amp;display_string=Audit&amp;VAR:KEY=VQRQTAXELM&amp;VAR:QUERY=RkZfRUJJVERBX0lCKCdMVE1TJywzODk5OSk=&amp;WINDOW=FIRST_POPUP&amp;HEIGHT=450&amp;WIDTH=450&amp;START_MA","XIMIZED=FALSE&amp;VAR:CALENDAR=US&amp;VAR:SYMBOL=G0129K10&amp;VAR:INDEX=0"}</definedName>
    <definedName name="_8543__FDSAUDITLINK__" localSheetId="6" hidden="1">{"fdsup://directions/FAT Viewer?action=UPDATE&amp;creator=factset&amp;DYN_ARGS=TRUE&amp;DOC_NAME=FAT:FQL_AUDITING_CLIENT_TEMPLATE.FAT&amp;display_string=Audit&amp;VAR:KEY=BINEPKLEXU&amp;VAR:QUERY=RkZfRUJJVERBX0lCKCdMVE1TJywzODk5OCk=&amp;WINDOW=FIRST_POPUP&amp;HEIGHT=450&amp;WIDTH=450&amp;START_MA","XIMIZED=FALSE&amp;VAR:CALENDAR=US&amp;VAR:SYMBOL=G0129K10&amp;VAR:INDEX=0"}</definedName>
    <definedName name="_8543__FDSAUDITLINK__" hidden="1">{"fdsup://directions/FAT Viewer?action=UPDATE&amp;creator=factset&amp;DYN_ARGS=TRUE&amp;DOC_NAME=FAT:FQL_AUDITING_CLIENT_TEMPLATE.FAT&amp;display_string=Audit&amp;VAR:KEY=BINEPKLEXU&amp;VAR:QUERY=RkZfRUJJVERBX0lCKCdMVE1TJywzODk5OCk=&amp;WINDOW=FIRST_POPUP&amp;HEIGHT=450&amp;WIDTH=450&amp;START_MA","XIMIZED=FALSE&amp;VAR:CALENDAR=US&amp;VAR:SYMBOL=G0129K10&amp;VAR:INDEX=0"}</definedName>
    <definedName name="_8544__FDSAUDITLINK__" localSheetId="6" hidden="1">{"fdsup://directions/FAT Viewer?action=UPDATE&amp;creator=factset&amp;DYN_ARGS=TRUE&amp;DOC_NAME=FAT:FQL_AUDITING_CLIENT_TEMPLATE.FAT&amp;display_string=Audit&amp;VAR:KEY=FALUPYNQXQ&amp;VAR:QUERY=RkZfRUJJVERBX0lCKCdMVE1TJywzODk5Nyk=&amp;WINDOW=FIRST_POPUP&amp;HEIGHT=450&amp;WIDTH=450&amp;START_MA","XIMIZED=FALSE&amp;VAR:CALENDAR=US&amp;VAR:SYMBOL=G0129K10&amp;VAR:INDEX=0"}</definedName>
    <definedName name="_8544__FDSAUDITLINK__" hidden="1">{"fdsup://directions/FAT Viewer?action=UPDATE&amp;creator=factset&amp;DYN_ARGS=TRUE&amp;DOC_NAME=FAT:FQL_AUDITING_CLIENT_TEMPLATE.FAT&amp;display_string=Audit&amp;VAR:KEY=FALUPYNQXQ&amp;VAR:QUERY=RkZfRUJJVERBX0lCKCdMVE1TJywzODk5Nyk=&amp;WINDOW=FIRST_POPUP&amp;HEIGHT=450&amp;WIDTH=450&amp;START_MA","XIMIZED=FALSE&amp;VAR:CALENDAR=US&amp;VAR:SYMBOL=G0129K10&amp;VAR:INDEX=0"}</definedName>
    <definedName name="_8545__FDSAUDITLINK__" localSheetId="6" hidden="1">{"fdsup://directions/FAT Viewer?action=UPDATE&amp;creator=factset&amp;DYN_ARGS=TRUE&amp;DOC_NAME=FAT:FQL_AUDITING_CLIENT_TEMPLATE.FAT&amp;display_string=Audit&amp;VAR:KEY=XIHEHSRKFK&amp;VAR:QUERY=RkZfRUJJVERBX0lCKCdMVE1TJywzODk5Nik=&amp;WINDOW=FIRST_POPUP&amp;HEIGHT=450&amp;WIDTH=450&amp;START_MA","XIMIZED=FALSE&amp;VAR:CALENDAR=US&amp;VAR:SYMBOL=G0129K10&amp;VAR:INDEX=0"}</definedName>
    <definedName name="_8545__FDSAUDITLINK__" hidden="1">{"fdsup://directions/FAT Viewer?action=UPDATE&amp;creator=factset&amp;DYN_ARGS=TRUE&amp;DOC_NAME=FAT:FQL_AUDITING_CLIENT_TEMPLATE.FAT&amp;display_string=Audit&amp;VAR:KEY=XIHEHSRKFK&amp;VAR:QUERY=RkZfRUJJVERBX0lCKCdMVE1TJywzODk5Nik=&amp;WINDOW=FIRST_POPUP&amp;HEIGHT=450&amp;WIDTH=450&amp;START_MA","XIMIZED=FALSE&amp;VAR:CALENDAR=US&amp;VAR:SYMBOL=G0129K10&amp;VAR:INDEX=0"}</definedName>
    <definedName name="_8546__FDSAUDITLINK__" localSheetId="6" hidden="1">{"fdsup://directions/FAT Viewer?action=UPDATE&amp;creator=factset&amp;DYN_ARGS=TRUE&amp;DOC_NAME=FAT:FQL_AUDITING_CLIENT_TEMPLATE.FAT&amp;display_string=Audit&amp;VAR:KEY=NQJQVWTIVU&amp;VAR:QUERY=RkZfRUJJVERBX0lCKCdMVE1TJywzODk5NSk=&amp;WINDOW=FIRST_POPUP&amp;HEIGHT=450&amp;WIDTH=450&amp;START_MA","XIMIZED=FALSE&amp;VAR:CALENDAR=US&amp;VAR:SYMBOL=G0129K10&amp;VAR:INDEX=0"}</definedName>
    <definedName name="_8546__FDSAUDITLINK__" hidden="1">{"fdsup://directions/FAT Viewer?action=UPDATE&amp;creator=factset&amp;DYN_ARGS=TRUE&amp;DOC_NAME=FAT:FQL_AUDITING_CLIENT_TEMPLATE.FAT&amp;display_string=Audit&amp;VAR:KEY=NQJQVWTIVU&amp;VAR:QUERY=RkZfRUJJVERBX0lCKCdMVE1TJywzODk5NSk=&amp;WINDOW=FIRST_POPUP&amp;HEIGHT=450&amp;WIDTH=450&amp;START_MA","XIMIZED=FALSE&amp;VAR:CALENDAR=US&amp;VAR:SYMBOL=G0129K10&amp;VAR:INDEX=0"}</definedName>
    <definedName name="_8547__FDSAUDITLINK__" localSheetId="6" hidden="1">{"fdsup://directions/FAT Viewer?action=UPDATE&amp;creator=factset&amp;DYN_ARGS=TRUE&amp;DOC_NAME=FAT:FQL_AUDITING_CLIENT_TEMPLATE.FAT&amp;display_string=Audit&amp;VAR:KEY=FGVUVIZWXS&amp;VAR:QUERY=RkZfRUJJVERBX0lCKCdMVE1TJywzODk5NCk=&amp;WINDOW=FIRST_POPUP&amp;HEIGHT=450&amp;WIDTH=450&amp;START_MA","XIMIZED=FALSE&amp;VAR:CALENDAR=US&amp;VAR:SYMBOL=G0129K10&amp;VAR:INDEX=0"}</definedName>
    <definedName name="_8547__FDSAUDITLINK__" hidden="1">{"fdsup://directions/FAT Viewer?action=UPDATE&amp;creator=factset&amp;DYN_ARGS=TRUE&amp;DOC_NAME=FAT:FQL_AUDITING_CLIENT_TEMPLATE.FAT&amp;display_string=Audit&amp;VAR:KEY=FGVUVIZWXS&amp;VAR:QUERY=RkZfRUJJVERBX0lCKCdMVE1TJywzODk5NCk=&amp;WINDOW=FIRST_POPUP&amp;HEIGHT=450&amp;WIDTH=450&amp;START_MA","XIMIZED=FALSE&amp;VAR:CALENDAR=US&amp;VAR:SYMBOL=G0129K10&amp;VAR:INDEX=0"}</definedName>
    <definedName name="_8548__FDSAUDITLINK__" localSheetId="6" hidden="1">{"fdsup://directions/FAT Viewer?action=UPDATE&amp;creator=factset&amp;DYN_ARGS=TRUE&amp;DOC_NAME=FAT:FQL_AUDITING_CLIENT_TEMPLATE.FAT&amp;display_string=Audit&amp;VAR:KEY=RSFOJWBMRY&amp;VAR:QUERY=RkZfRUJJVERBX0lCKCdMVE1TJywzODk5Myk=&amp;WINDOW=FIRST_POPUP&amp;HEIGHT=450&amp;WIDTH=450&amp;START_MA","XIMIZED=FALSE&amp;VAR:CALENDAR=US&amp;VAR:SYMBOL=G0129K10&amp;VAR:INDEX=0"}</definedName>
    <definedName name="_8548__FDSAUDITLINK__" hidden="1">{"fdsup://directions/FAT Viewer?action=UPDATE&amp;creator=factset&amp;DYN_ARGS=TRUE&amp;DOC_NAME=FAT:FQL_AUDITING_CLIENT_TEMPLATE.FAT&amp;display_string=Audit&amp;VAR:KEY=RSFOJWBMRY&amp;VAR:QUERY=RkZfRUJJVERBX0lCKCdMVE1TJywzODk5Myk=&amp;WINDOW=FIRST_POPUP&amp;HEIGHT=450&amp;WIDTH=450&amp;START_MA","XIMIZED=FALSE&amp;VAR:CALENDAR=US&amp;VAR:SYMBOL=G0129K10&amp;VAR:INDEX=0"}</definedName>
    <definedName name="_8549__FDSAUDITLINK__" localSheetId="6" hidden="1">{"fdsup://directions/FAT Viewer?action=UPDATE&amp;creator=factset&amp;DYN_ARGS=TRUE&amp;DOC_NAME=FAT:FQL_AUDITING_CLIENT_TEMPLATE.FAT&amp;display_string=Audit&amp;VAR:KEY=JWXCNMNIFS&amp;VAR:QUERY=RkZfRUJJVERBX0lCKCdMVE1TJywzODk5Mik=&amp;WINDOW=FIRST_POPUP&amp;HEIGHT=450&amp;WIDTH=450&amp;START_MA","XIMIZED=FALSE&amp;VAR:CALENDAR=US&amp;VAR:SYMBOL=G0129K10&amp;VAR:INDEX=0"}</definedName>
    <definedName name="_8549__FDSAUDITLINK__" hidden="1">{"fdsup://directions/FAT Viewer?action=UPDATE&amp;creator=factset&amp;DYN_ARGS=TRUE&amp;DOC_NAME=FAT:FQL_AUDITING_CLIENT_TEMPLATE.FAT&amp;display_string=Audit&amp;VAR:KEY=JWXCNMNIFS&amp;VAR:QUERY=RkZfRUJJVERBX0lCKCdMVE1TJywzODk5Mik=&amp;WINDOW=FIRST_POPUP&amp;HEIGHT=450&amp;WIDTH=450&amp;START_MA","XIMIZED=FALSE&amp;VAR:CALENDAR=US&amp;VAR:SYMBOL=G0129K10&amp;VAR:INDEX=0"}</definedName>
    <definedName name="_855__FDSAUDITLINK__" localSheetId="6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5__FDSAUDITLINK__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50__FDSAUDITLINK__" localSheetId="6" hidden="1">{"fdsup://directions/FAT Viewer?action=UPDATE&amp;creator=factset&amp;DYN_ARGS=TRUE&amp;DOC_NAME=FAT:FQL_AUDITING_CLIENT_TEMPLATE.FAT&amp;display_string=Audit&amp;VAR:KEY=XOZELEZSVW&amp;VAR:QUERY=RkZfRUJJVERBX0lCKCdMVE1TJywzODk5MSk=&amp;WINDOW=FIRST_POPUP&amp;HEIGHT=450&amp;WIDTH=450&amp;START_MA","XIMIZED=FALSE&amp;VAR:CALENDAR=US&amp;VAR:SYMBOL=G0129K10&amp;VAR:INDEX=0"}</definedName>
    <definedName name="_8550__FDSAUDITLINK__" hidden="1">{"fdsup://directions/FAT Viewer?action=UPDATE&amp;creator=factset&amp;DYN_ARGS=TRUE&amp;DOC_NAME=FAT:FQL_AUDITING_CLIENT_TEMPLATE.FAT&amp;display_string=Audit&amp;VAR:KEY=XOZELEZSVW&amp;VAR:QUERY=RkZfRUJJVERBX0lCKCdMVE1TJywzODk5MSk=&amp;WINDOW=FIRST_POPUP&amp;HEIGHT=450&amp;WIDTH=450&amp;START_MA","XIMIZED=FALSE&amp;VAR:CALENDAR=US&amp;VAR:SYMBOL=G0129K10&amp;VAR:INDEX=0"}</definedName>
    <definedName name="_8551__FDSAUDITLINK__" localSheetId="6" hidden="1">{"fdsup://directions/FAT Viewer?action=UPDATE&amp;creator=factset&amp;DYN_ARGS=TRUE&amp;DOC_NAME=FAT:FQL_AUDITING_CLIENT_TEMPLATE.FAT&amp;display_string=Audit&amp;VAR:KEY=FMRMNOHCZC&amp;VAR:QUERY=RkZfRUJJVERBX0lCKCdMVE1TJywzODk5MCk=&amp;WINDOW=FIRST_POPUP&amp;HEIGHT=450&amp;WIDTH=450&amp;START_MA","XIMIZED=FALSE&amp;VAR:CALENDAR=US&amp;VAR:SYMBOL=G0129K10&amp;VAR:INDEX=0"}</definedName>
    <definedName name="_8551__FDSAUDITLINK__" hidden="1">{"fdsup://directions/FAT Viewer?action=UPDATE&amp;creator=factset&amp;DYN_ARGS=TRUE&amp;DOC_NAME=FAT:FQL_AUDITING_CLIENT_TEMPLATE.FAT&amp;display_string=Audit&amp;VAR:KEY=FMRMNOHCZC&amp;VAR:QUERY=RkZfRUJJVERBX0lCKCdMVE1TJywzODk5MCk=&amp;WINDOW=FIRST_POPUP&amp;HEIGHT=450&amp;WIDTH=450&amp;START_MA","XIMIZED=FALSE&amp;VAR:CALENDAR=US&amp;VAR:SYMBOL=G0129K10&amp;VAR:INDEX=0"}</definedName>
    <definedName name="_8552__FDSAUDITLINK__" localSheetId="6" hidden="1">{"fdsup://directions/FAT Viewer?action=UPDATE&amp;creator=factset&amp;DYN_ARGS=TRUE&amp;DOC_NAME=FAT:FQL_AUDITING_CLIENT_TEMPLATE.FAT&amp;display_string=Audit&amp;VAR:KEY=LAVIHIVSFE&amp;VAR:QUERY=RkZfRUJJVERBX0lCKCdMVE1TJywzODk4OSk=&amp;WINDOW=FIRST_POPUP&amp;HEIGHT=450&amp;WIDTH=450&amp;START_MA","XIMIZED=FALSE&amp;VAR:CALENDAR=US&amp;VAR:SYMBOL=G0129K10&amp;VAR:INDEX=0"}</definedName>
    <definedName name="_8552__FDSAUDITLINK__" hidden="1">{"fdsup://directions/FAT Viewer?action=UPDATE&amp;creator=factset&amp;DYN_ARGS=TRUE&amp;DOC_NAME=FAT:FQL_AUDITING_CLIENT_TEMPLATE.FAT&amp;display_string=Audit&amp;VAR:KEY=LAVIHIVSFE&amp;VAR:QUERY=RkZfRUJJVERBX0lCKCdMVE1TJywzODk4OSk=&amp;WINDOW=FIRST_POPUP&amp;HEIGHT=450&amp;WIDTH=450&amp;START_MA","XIMIZED=FALSE&amp;VAR:CALENDAR=US&amp;VAR:SYMBOL=G0129K10&amp;VAR:INDEX=0"}</definedName>
    <definedName name="_8553__FDSAUDITLINK__" localSheetId="6" hidden="1">{"fdsup://directions/FAT Viewer?action=UPDATE&amp;creator=factset&amp;DYN_ARGS=TRUE&amp;DOC_NAME=FAT:FQL_AUDITING_CLIENT_TEMPLATE.FAT&amp;display_string=Audit&amp;VAR:KEY=JYHGNSXQZM&amp;VAR:QUERY=RkZfRUJJVERBX0lCKCdMVE1TJywzODk4OCk=&amp;WINDOW=FIRST_POPUP&amp;HEIGHT=450&amp;WIDTH=450&amp;START_MA","XIMIZED=FALSE&amp;VAR:CALENDAR=US&amp;VAR:SYMBOL=G0129K10&amp;VAR:INDEX=0"}</definedName>
    <definedName name="_8553__FDSAUDITLINK__" hidden="1">{"fdsup://directions/FAT Viewer?action=UPDATE&amp;creator=factset&amp;DYN_ARGS=TRUE&amp;DOC_NAME=FAT:FQL_AUDITING_CLIENT_TEMPLATE.FAT&amp;display_string=Audit&amp;VAR:KEY=JYHGNSXQZM&amp;VAR:QUERY=RkZfRUJJVERBX0lCKCdMVE1TJywzODk4OCk=&amp;WINDOW=FIRST_POPUP&amp;HEIGHT=450&amp;WIDTH=450&amp;START_MA","XIMIZED=FALSE&amp;VAR:CALENDAR=US&amp;VAR:SYMBOL=G0129K10&amp;VAR:INDEX=0"}</definedName>
    <definedName name="_8554__FDSAUDITLINK__" localSheetId="6" hidden="1">{"fdsup://directions/FAT Viewer?action=UPDATE&amp;creator=factset&amp;DYN_ARGS=TRUE&amp;DOC_NAME=FAT:FQL_AUDITING_CLIENT_TEMPLATE.FAT&amp;display_string=Audit&amp;VAR:KEY=FIPSNELGTU&amp;VAR:QUERY=RkZfRUJJVERBX0lCKCdMVE1TJywzODk4Nyk=&amp;WINDOW=FIRST_POPUP&amp;HEIGHT=450&amp;WIDTH=450&amp;START_MA","XIMIZED=FALSE&amp;VAR:CALENDAR=US&amp;VAR:SYMBOL=G0129K10&amp;VAR:INDEX=0"}</definedName>
    <definedName name="_8554__FDSAUDITLINK__" hidden="1">{"fdsup://directions/FAT Viewer?action=UPDATE&amp;creator=factset&amp;DYN_ARGS=TRUE&amp;DOC_NAME=FAT:FQL_AUDITING_CLIENT_TEMPLATE.FAT&amp;display_string=Audit&amp;VAR:KEY=FIPSNELGTU&amp;VAR:QUERY=RkZfRUJJVERBX0lCKCdMVE1TJywzODk4Nyk=&amp;WINDOW=FIRST_POPUP&amp;HEIGHT=450&amp;WIDTH=450&amp;START_MA","XIMIZED=FALSE&amp;VAR:CALENDAR=US&amp;VAR:SYMBOL=G0129K10&amp;VAR:INDEX=0"}</definedName>
    <definedName name="_8555__FDSAUDITLINK__" localSheetId="6" hidden="1">{"fdsup://directions/FAT Viewer?action=UPDATE&amp;creator=factset&amp;DYN_ARGS=TRUE&amp;DOC_NAME=FAT:FQL_AUDITING_CLIENT_TEMPLATE.FAT&amp;display_string=Audit&amp;VAR:KEY=NSPCPURMNC&amp;VAR:QUERY=RkZfRUJJVERBX0lCKCdMVE1TJywzODk4Nik=&amp;WINDOW=FIRST_POPUP&amp;HEIGHT=450&amp;WIDTH=450&amp;START_MA","XIMIZED=FALSE&amp;VAR:CALENDAR=US&amp;VAR:SYMBOL=G0129K10&amp;VAR:INDEX=0"}</definedName>
    <definedName name="_8555__FDSAUDITLINK__" hidden="1">{"fdsup://directions/FAT Viewer?action=UPDATE&amp;creator=factset&amp;DYN_ARGS=TRUE&amp;DOC_NAME=FAT:FQL_AUDITING_CLIENT_TEMPLATE.FAT&amp;display_string=Audit&amp;VAR:KEY=NSPCPURMNC&amp;VAR:QUERY=RkZfRUJJVERBX0lCKCdMVE1TJywzODk4Nik=&amp;WINDOW=FIRST_POPUP&amp;HEIGHT=450&amp;WIDTH=450&amp;START_MA","XIMIZED=FALSE&amp;VAR:CALENDAR=US&amp;VAR:SYMBOL=G0129K10&amp;VAR:INDEX=0"}</definedName>
    <definedName name="_8556__FDSAUDITLINK__" localSheetId="6" hidden="1">{"fdsup://directions/FAT Viewer?action=UPDATE&amp;creator=factset&amp;DYN_ARGS=TRUE&amp;DOC_NAME=FAT:FQL_AUDITING_CLIENT_TEMPLATE.FAT&amp;display_string=Audit&amp;VAR:KEY=PURONYVCLE&amp;VAR:QUERY=RkZfRUJJVERBX0lCKCdMVE1TJywzODk4NSk=&amp;WINDOW=FIRST_POPUP&amp;HEIGHT=450&amp;WIDTH=450&amp;START_MA","XIMIZED=FALSE&amp;VAR:CALENDAR=US&amp;VAR:SYMBOL=G0129K10&amp;VAR:INDEX=0"}</definedName>
    <definedName name="_8556__FDSAUDITLINK__" hidden="1">{"fdsup://directions/FAT Viewer?action=UPDATE&amp;creator=factset&amp;DYN_ARGS=TRUE&amp;DOC_NAME=FAT:FQL_AUDITING_CLIENT_TEMPLATE.FAT&amp;display_string=Audit&amp;VAR:KEY=PURONYVCLE&amp;VAR:QUERY=RkZfRUJJVERBX0lCKCdMVE1TJywzODk4NSk=&amp;WINDOW=FIRST_POPUP&amp;HEIGHT=450&amp;WIDTH=450&amp;START_MA","XIMIZED=FALSE&amp;VAR:CALENDAR=US&amp;VAR:SYMBOL=G0129K10&amp;VAR:INDEX=0"}</definedName>
    <definedName name="_8557__FDSAUDITLINK__" localSheetId="6" hidden="1">{"fdsup://directions/FAT Viewer?action=UPDATE&amp;creator=factset&amp;DYN_ARGS=TRUE&amp;DOC_NAME=FAT:FQL_AUDITING_CLIENT_TEMPLATE.FAT&amp;display_string=Audit&amp;VAR:KEY=PUPSXOJMRO&amp;VAR:QUERY=RkZfRUJJVERBX0lCKCdMVE1TJywzODk4NCk=&amp;WINDOW=FIRST_POPUP&amp;HEIGHT=450&amp;WIDTH=450&amp;START_MA","XIMIZED=FALSE&amp;VAR:CALENDAR=US&amp;VAR:SYMBOL=G0129K10&amp;VAR:INDEX=0"}</definedName>
    <definedName name="_8557__FDSAUDITLINK__" hidden="1">{"fdsup://directions/FAT Viewer?action=UPDATE&amp;creator=factset&amp;DYN_ARGS=TRUE&amp;DOC_NAME=FAT:FQL_AUDITING_CLIENT_TEMPLATE.FAT&amp;display_string=Audit&amp;VAR:KEY=PUPSXOJMRO&amp;VAR:QUERY=RkZfRUJJVERBX0lCKCdMVE1TJywzODk4NCk=&amp;WINDOW=FIRST_POPUP&amp;HEIGHT=450&amp;WIDTH=450&amp;START_MA","XIMIZED=FALSE&amp;VAR:CALENDAR=US&amp;VAR:SYMBOL=G0129K10&amp;VAR:INDEX=0"}</definedName>
    <definedName name="_8558__FDSAUDITLINK__" localSheetId="6" hidden="1">{"fdsup://directions/FAT Viewer?action=UPDATE&amp;creator=factset&amp;DYN_ARGS=TRUE&amp;DOC_NAME=FAT:FQL_AUDITING_CLIENT_TEMPLATE.FAT&amp;display_string=Audit&amp;VAR:KEY=XQDSRQJSZS&amp;VAR:QUERY=RkZfRUJJVERBX0lCKCdMVE1TJywzODk4Myk=&amp;WINDOW=FIRST_POPUP&amp;HEIGHT=450&amp;WIDTH=450&amp;START_MA","XIMIZED=FALSE&amp;VAR:CALENDAR=US&amp;VAR:SYMBOL=G0129K10&amp;VAR:INDEX=0"}</definedName>
    <definedName name="_8558__FDSAUDITLINK__" hidden="1">{"fdsup://directions/FAT Viewer?action=UPDATE&amp;creator=factset&amp;DYN_ARGS=TRUE&amp;DOC_NAME=FAT:FQL_AUDITING_CLIENT_TEMPLATE.FAT&amp;display_string=Audit&amp;VAR:KEY=XQDSRQJSZS&amp;VAR:QUERY=RkZfRUJJVERBX0lCKCdMVE1TJywzODk4Myk=&amp;WINDOW=FIRST_POPUP&amp;HEIGHT=450&amp;WIDTH=450&amp;START_MA","XIMIZED=FALSE&amp;VAR:CALENDAR=US&amp;VAR:SYMBOL=G0129K10&amp;VAR:INDEX=0"}</definedName>
    <definedName name="_8559__FDSAUDITLINK__" localSheetId="6" hidden="1">{"fdsup://directions/FAT Viewer?action=UPDATE&amp;creator=factset&amp;DYN_ARGS=TRUE&amp;DOC_NAME=FAT:FQL_AUDITING_CLIENT_TEMPLATE.FAT&amp;display_string=Audit&amp;VAR:KEY=ZYJSXADMVQ&amp;VAR:QUERY=RkZfRUJJVERBX0lCKCdMVE1TJywzODk4Mik=&amp;WINDOW=FIRST_POPUP&amp;HEIGHT=450&amp;WIDTH=450&amp;START_MA","XIMIZED=FALSE&amp;VAR:CALENDAR=US&amp;VAR:SYMBOL=G0129K10&amp;VAR:INDEX=0"}</definedName>
    <definedName name="_8559__FDSAUDITLINK__" hidden="1">{"fdsup://directions/FAT Viewer?action=UPDATE&amp;creator=factset&amp;DYN_ARGS=TRUE&amp;DOC_NAME=FAT:FQL_AUDITING_CLIENT_TEMPLATE.FAT&amp;display_string=Audit&amp;VAR:KEY=ZYJSXADMVQ&amp;VAR:QUERY=RkZfRUJJVERBX0lCKCdMVE1TJywzODk4Mik=&amp;WINDOW=FIRST_POPUP&amp;HEIGHT=450&amp;WIDTH=450&amp;START_MA","XIMIZED=FALSE&amp;VAR:CALENDAR=US&amp;VAR:SYMBOL=G0129K10&amp;VAR:INDEX=0"}</definedName>
    <definedName name="_856__FDSAUDITLINK__" localSheetId="6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6__FDSAUDITLINK__" hidden="1">{"fdsup://directions/FAT%20Viewer?VAR:PED=LTM&amp;VAR:AUDIT_MODE=SUMMARY&amp;VAR:PERIOD=FIXED&amp;VAR:AUDIT_ID=00000117&amp;VAR:DATE=20071019&amp;action=UPDATE&amp;creator=factset&amp;DOC_NAME=FAT:FMA_audit_SUMMARY.fat&amp;DISPLAY_STRING=Display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60__FDSAUDITLINK__" localSheetId="6" hidden="1">{"fdsup://directions/FAT Viewer?action=UPDATE&amp;creator=factset&amp;DYN_ARGS=TRUE&amp;DOC_NAME=FAT:FQL_AUDITING_CLIENT_TEMPLATE.FAT&amp;display_string=Audit&amp;VAR:KEY=PYFMVALOJS&amp;VAR:QUERY=RkZfRUJJVERBX0lCKCdMVE1TJywzODk4MSk=&amp;WINDOW=FIRST_POPUP&amp;HEIGHT=450&amp;WIDTH=450&amp;START_MA","XIMIZED=FALSE&amp;VAR:CALENDAR=US&amp;VAR:SYMBOL=G0129K10&amp;VAR:INDEX=0"}</definedName>
    <definedName name="_8560__FDSAUDITLINK__" hidden="1">{"fdsup://directions/FAT Viewer?action=UPDATE&amp;creator=factset&amp;DYN_ARGS=TRUE&amp;DOC_NAME=FAT:FQL_AUDITING_CLIENT_TEMPLATE.FAT&amp;display_string=Audit&amp;VAR:KEY=PYFMVALOJS&amp;VAR:QUERY=RkZfRUJJVERBX0lCKCdMVE1TJywzODk4MSk=&amp;WINDOW=FIRST_POPUP&amp;HEIGHT=450&amp;WIDTH=450&amp;START_MA","XIMIZED=FALSE&amp;VAR:CALENDAR=US&amp;VAR:SYMBOL=G0129K10&amp;VAR:INDEX=0"}</definedName>
    <definedName name="_8561__FDSAUDITLINK__" localSheetId="6" hidden="1">{"fdsup://directions/FAT Viewer?action=UPDATE&amp;creator=factset&amp;DYN_ARGS=TRUE&amp;DOC_NAME=FAT:FQL_AUDITING_CLIENT_TEMPLATE.FAT&amp;display_string=Audit&amp;VAR:KEY=TWXUPCDGZA&amp;VAR:QUERY=RkZfRUJJVERBX0lCKCdMVE1TJywzODk4MCk=&amp;WINDOW=FIRST_POPUP&amp;HEIGHT=450&amp;WIDTH=450&amp;START_MA","XIMIZED=FALSE&amp;VAR:CALENDAR=US&amp;VAR:SYMBOL=G0129K10&amp;VAR:INDEX=0"}</definedName>
    <definedName name="_8561__FDSAUDITLINK__" hidden="1">{"fdsup://directions/FAT Viewer?action=UPDATE&amp;creator=factset&amp;DYN_ARGS=TRUE&amp;DOC_NAME=FAT:FQL_AUDITING_CLIENT_TEMPLATE.FAT&amp;display_string=Audit&amp;VAR:KEY=TWXUPCDGZA&amp;VAR:QUERY=RkZfRUJJVERBX0lCKCdMVE1TJywzODk4MCk=&amp;WINDOW=FIRST_POPUP&amp;HEIGHT=450&amp;WIDTH=450&amp;START_MA","XIMIZED=FALSE&amp;VAR:CALENDAR=US&amp;VAR:SYMBOL=G0129K10&amp;VAR:INDEX=0"}</definedName>
    <definedName name="_8562__FDSAUDITLINK__" localSheetId="6" hidden="1">{"fdsup://directions/FAT Viewer?action=UPDATE&amp;creator=factset&amp;DYN_ARGS=TRUE&amp;DOC_NAME=FAT:FQL_AUDITING_CLIENT_TEMPLATE.FAT&amp;display_string=Audit&amp;VAR:KEY=FSTGJAVMZQ&amp;VAR:QUERY=RkZfRUJJVERBX0lCKCdMVE1TJywzODk3OSk=&amp;WINDOW=FIRST_POPUP&amp;HEIGHT=450&amp;WIDTH=450&amp;START_MA","XIMIZED=FALSE&amp;VAR:CALENDAR=US&amp;VAR:SYMBOL=G0129K10&amp;VAR:INDEX=0"}</definedName>
    <definedName name="_8562__FDSAUDITLINK__" hidden="1">{"fdsup://directions/FAT Viewer?action=UPDATE&amp;creator=factset&amp;DYN_ARGS=TRUE&amp;DOC_NAME=FAT:FQL_AUDITING_CLIENT_TEMPLATE.FAT&amp;display_string=Audit&amp;VAR:KEY=FSTGJAVMZQ&amp;VAR:QUERY=RkZfRUJJVERBX0lCKCdMVE1TJywzODk3OSk=&amp;WINDOW=FIRST_POPUP&amp;HEIGHT=450&amp;WIDTH=450&amp;START_MA","XIMIZED=FALSE&amp;VAR:CALENDAR=US&amp;VAR:SYMBOL=G0129K10&amp;VAR:INDEX=0"}</definedName>
    <definedName name="_8563__FDSAUDITLINK__" localSheetId="6" hidden="1">{"fdsup://directions/FAT Viewer?action=UPDATE&amp;creator=factset&amp;DYN_ARGS=TRUE&amp;DOC_NAME=FAT:FQL_AUDITING_CLIENT_TEMPLATE.FAT&amp;display_string=Audit&amp;VAR:KEY=TABGTQBWJI&amp;VAR:QUERY=RkZfRUJJVERBX0lCKCdMVE1TJywzODk3OCk=&amp;WINDOW=FIRST_POPUP&amp;HEIGHT=450&amp;WIDTH=450&amp;START_MA","XIMIZED=FALSE&amp;VAR:CALENDAR=US&amp;VAR:SYMBOL=G0129K10&amp;VAR:INDEX=0"}</definedName>
    <definedName name="_8563__FDSAUDITLINK__" hidden="1">{"fdsup://directions/FAT Viewer?action=UPDATE&amp;creator=factset&amp;DYN_ARGS=TRUE&amp;DOC_NAME=FAT:FQL_AUDITING_CLIENT_TEMPLATE.FAT&amp;display_string=Audit&amp;VAR:KEY=TABGTQBWJI&amp;VAR:QUERY=RkZfRUJJVERBX0lCKCdMVE1TJywzODk3OCk=&amp;WINDOW=FIRST_POPUP&amp;HEIGHT=450&amp;WIDTH=450&amp;START_MA","XIMIZED=FALSE&amp;VAR:CALENDAR=US&amp;VAR:SYMBOL=G0129K10&amp;VAR:INDEX=0"}</definedName>
    <definedName name="_8564__FDSAUDITLINK__" localSheetId="6" hidden="1">{"fdsup://directions/FAT Viewer?action=UPDATE&amp;creator=factset&amp;DYN_ARGS=TRUE&amp;DOC_NAME=FAT:FQL_AUDITING_CLIENT_TEMPLATE.FAT&amp;display_string=Audit&amp;VAR:KEY=ZEJIDQPUNU&amp;VAR:QUERY=RkZfRUJJVERBX0lCKCdMVE1TJywzODk3Nyk=&amp;WINDOW=FIRST_POPUP&amp;HEIGHT=450&amp;WIDTH=450&amp;START_MA","XIMIZED=FALSE&amp;VAR:CALENDAR=US&amp;VAR:SYMBOL=G0129K10&amp;VAR:INDEX=0"}</definedName>
    <definedName name="_8564__FDSAUDITLINK__" hidden="1">{"fdsup://directions/FAT Viewer?action=UPDATE&amp;creator=factset&amp;DYN_ARGS=TRUE&amp;DOC_NAME=FAT:FQL_AUDITING_CLIENT_TEMPLATE.FAT&amp;display_string=Audit&amp;VAR:KEY=ZEJIDQPUNU&amp;VAR:QUERY=RkZfRUJJVERBX0lCKCdMVE1TJywzODk3Nyk=&amp;WINDOW=FIRST_POPUP&amp;HEIGHT=450&amp;WIDTH=450&amp;START_MA","XIMIZED=FALSE&amp;VAR:CALENDAR=US&amp;VAR:SYMBOL=G0129K10&amp;VAR:INDEX=0"}</definedName>
    <definedName name="_8565__FDSAUDITLINK__" localSheetId="6" hidden="1">{"fdsup://directions/FAT Viewer?action=UPDATE&amp;creator=factset&amp;DYN_ARGS=TRUE&amp;DOC_NAME=FAT:FQL_AUDITING_CLIENT_TEMPLATE.FAT&amp;display_string=Audit&amp;VAR:KEY=DCHMPALAPM&amp;VAR:QUERY=RkZfRUJJVERBX0lCKCdMVE1TJywzODk3Nik=&amp;WINDOW=FIRST_POPUP&amp;HEIGHT=450&amp;WIDTH=450&amp;START_MA","XIMIZED=FALSE&amp;VAR:CALENDAR=US&amp;VAR:SYMBOL=G0129K10&amp;VAR:INDEX=0"}</definedName>
    <definedName name="_8565__FDSAUDITLINK__" hidden="1">{"fdsup://directions/FAT Viewer?action=UPDATE&amp;creator=factset&amp;DYN_ARGS=TRUE&amp;DOC_NAME=FAT:FQL_AUDITING_CLIENT_TEMPLATE.FAT&amp;display_string=Audit&amp;VAR:KEY=DCHMPALAPM&amp;VAR:QUERY=RkZfRUJJVERBX0lCKCdMVE1TJywzODk3Nik=&amp;WINDOW=FIRST_POPUP&amp;HEIGHT=450&amp;WIDTH=450&amp;START_MA","XIMIZED=FALSE&amp;VAR:CALENDAR=US&amp;VAR:SYMBOL=G0129K10&amp;VAR:INDEX=0"}</definedName>
    <definedName name="_8566__FDSAUDITLINK__" localSheetId="6" hidden="1">{"fdsup://directions/FAT Viewer?action=UPDATE&amp;creator=factset&amp;DYN_ARGS=TRUE&amp;DOC_NAME=FAT:FQL_AUDITING_CLIENT_TEMPLATE.FAT&amp;display_string=Audit&amp;VAR:KEY=ZMNWXCVIJY&amp;VAR:QUERY=RkZfRUJJVERBX0lCKCdMVE1TJywzODk3NSk=&amp;WINDOW=FIRST_POPUP&amp;HEIGHT=450&amp;WIDTH=450&amp;START_MA","XIMIZED=FALSE&amp;VAR:CALENDAR=US&amp;VAR:SYMBOL=G0129K10&amp;VAR:INDEX=0"}</definedName>
    <definedName name="_8566__FDSAUDITLINK__" hidden="1">{"fdsup://directions/FAT Viewer?action=UPDATE&amp;creator=factset&amp;DYN_ARGS=TRUE&amp;DOC_NAME=FAT:FQL_AUDITING_CLIENT_TEMPLATE.FAT&amp;display_string=Audit&amp;VAR:KEY=ZMNWXCVIJY&amp;VAR:QUERY=RkZfRUJJVERBX0lCKCdMVE1TJywzODk3NSk=&amp;WINDOW=FIRST_POPUP&amp;HEIGHT=450&amp;WIDTH=450&amp;START_MA","XIMIZED=FALSE&amp;VAR:CALENDAR=US&amp;VAR:SYMBOL=G0129K10&amp;VAR:INDEX=0"}</definedName>
    <definedName name="_8567__FDSAUDITLINK__" localSheetId="6" hidden="1">{"fdsup://directions/FAT Viewer?action=UPDATE&amp;creator=factset&amp;DYN_ARGS=TRUE&amp;DOC_NAME=FAT:FQL_AUDITING_CLIENT_TEMPLATE.FAT&amp;display_string=Audit&amp;VAR:KEY=LMZMXOHSPO&amp;VAR:QUERY=RkZfRUJJVERBX0lCKCdMVE1TJywzODk3NCk=&amp;WINDOW=FIRST_POPUP&amp;HEIGHT=450&amp;WIDTH=450&amp;START_MA","XIMIZED=FALSE&amp;VAR:CALENDAR=US&amp;VAR:SYMBOL=G0129K10&amp;VAR:INDEX=0"}</definedName>
    <definedName name="_8567__FDSAUDITLINK__" hidden="1">{"fdsup://directions/FAT Viewer?action=UPDATE&amp;creator=factset&amp;DYN_ARGS=TRUE&amp;DOC_NAME=FAT:FQL_AUDITING_CLIENT_TEMPLATE.FAT&amp;display_string=Audit&amp;VAR:KEY=LMZMXOHSPO&amp;VAR:QUERY=RkZfRUJJVERBX0lCKCdMVE1TJywzODk3NCk=&amp;WINDOW=FIRST_POPUP&amp;HEIGHT=450&amp;WIDTH=450&amp;START_MA","XIMIZED=FALSE&amp;VAR:CALENDAR=US&amp;VAR:SYMBOL=G0129K10&amp;VAR:INDEX=0"}</definedName>
    <definedName name="_8568__FDSAUDITLINK__" localSheetId="6" hidden="1">{"fdsup://directions/FAT Viewer?action=UPDATE&amp;creator=factset&amp;DYN_ARGS=TRUE&amp;DOC_NAME=FAT:FQL_AUDITING_CLIENT_TEMPLATE.FAT&amp;display_string=Audit&amp;VAR:KEY=NORCLYJWPW&amp;VAR:QUERY=RkZfRUJJVERBX0lCKCdMVE1TJywzODk3Myk=&amp;WINDOW=FIRST_POPUP&amp;HEIGHT=450&amp;WIDTH=450&amp;START_MA","XIMIZED=FALSE&amp;VAR:CALENDAR=US&amp;VAR:SYMBOL=G0129K10&amp;VAR:INDEX=0"}</definedName>
    <definedName name="_8568__FDSAUDITLINK__" hidden="1">{"fdsup://directions/FAT Viewer?action=UPDATE&amp;creator=factset&amp;DYN_ARGS=TRUE&amp;DOC_NAME=FAT:FQL_AUDITING_CLIENT_TEMPLATE.FAT&amp;display_string=Audit&amp;VAR:KEY=NORCLYJWPW&amp;VAR:QUERY=RkZfRUJJVERBX0lCKCdMVE1TJywzODk3Myk=&amp;WINDOW=FIRST_POPUP&amp;HEIGHT=450&amp;WIDTH=450&amp;START_MA","XIMIZED=FALSE&amp;VAR:CALENDAR=US&amp;VAR:SYMBOL=G0129K10&amp;VAR:INDEX=0"}</definedName>
    <definedName name="_8569__FDSAUDITLINK__" localSheetId="6" hidden="1">{"fdsup://directions/FAT Viewer?action=UPDATE&amp;creator=factset&amp;DYN_ARGS=TRUE&amp;DOC_NAME=FAT:FQL_AUDITING_CLIENT_TEMPLATE.FAT&amp;display_string=Audit&amp;VAR:KEY=NQLKLYXOZU&amp;VAR:QUERY=RkZfRUJJVERBX0lCKCdMVE1TJywzODk3Mik=&amp;WINDOW=FIRST_POPUP&amp;HEIGHT=450&amp;WIDTH=450&amp;START_MA","XIMIZED=FALSE&amp;VAR:CALENDAR=US&amp;VAR:SYMBOL=G0129K10&amp;VAR:INDEX=0"}</definedName>
    <definedName name="_8569__FDSAUDITLINK__" hidden="1">{"fdsup://directions/FAT Viewer?action=UPDATE&amp;creator=factset&amp;DYN_ARGS=TRUE&amp;DOC_NAME=FAT:FQL_AUDITING_CLIENT_TEMPLATE.FAT&amp;display_string=Audit&amp;VAR:KEY=NQLKLYXOZU&amp;VAR:QUERY=RkZfRUJJVERBX0lCKCdMVE1TJywzODk3Mik=&amp;WINDOW=FIRST_POPUP&amp;HEIGHT=450&amp;WIDTH=450&amp;START_MA","XIMIZED=FALSE&amp;VAR:CALENDAR=US&amp;VAR:SYMBOL=G0129K10&amp;VAR:INDEX=0"}</definedName>
    <definedName name="_857__FDSAUDITLINK__" localSheetId="6" hidden="1">{"fdsup://directions/FAT%20Viewer?VAR:PED=LTM&amp;VAR:AUDIT_MODE=SUMMARY&amp;VAR:PERIOD=FIXED&amp;VAR:AUDIT_ID=00000117&amp;VAR:DATE=20071018&amp;action=UPDATE&amp;creator=factset&amp;DOC_NAME=FAT:FMA_audit_SUMMARY.fat&amp;DISPLAY_STRING=Display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7__FDSAUDITLINK__" hidden="1">{"fdsup://directions/FAT%20Viewer?VAR:PED=LTM&amp;VAR:AUDIT_MODE=SUMMARY&amp;VAR:PERIOD=FIXED&amp;VAR:AUDIT_ID=00000117&amp;VAR:DATE=20071018&amp;action=UPDATE&amp;creator=factset&amp;DOC_NAME=FAT:FMA_audit_SUMMARY.fat&amp;DISPLAY_STRING=Display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70__FDSAUDITLINK__" localSheetId="6" hidden="1">{"fdsup://directions/FAT Viewer?action=UPDATE&amp;creator=factset&amp;DYN_ARGS=TRUE&amp;DOC_NAME=FAT:FQL_AUDITING_CLIENT_TEMPLATE.FAT&amp;display_string=Audit&amp;VAR:KEY=JOPUBGFGZI&amp;VAR:QUERY=RkZfRUJJVERBX0lCKCdMVE1TJywzODk3MSk=&amp;WINDOW=FIRST_POPUP&amp;HEIGHT=450&amp;WIDTH=450&amp;START_MA","XIMIZED=FALSE&amp;VAR:CALENDAR=US&amp;VAR:SYMBOL=G0129K10&amp;VAR:INDEX=0"}</definedName>
    <definedName name="_8570__FDSAUDITLINK__" hidden="1">{"fdsup://directions/FAT Viewer?action=UPDATE&amp;creator=factset&amp;DYN_ARGS=TRUE&amp;DOC_NAME=FAT:FQL_AUDITING_CLIENT_TEMPLATE.FAT&amp;display_string=Audit&amp;VAR:KEY=JOPUBGFGZI&amp;VAR:QUERY=RkZfRUJJVERBX0lCKCdMVE1TJywzODk3MSk=&amp;WINDOW=FIRST_POPUP&amp;HEIGHT=450&amp;WIDTH=450&amp;START_MA","XIMIZED=FALSE&amp;VAR:CALENDAR=US&amp;VAR:SYMBOL=G0129K10&amp;VAR:INDEX=0"}</definedName>
    <definedName name="_8571__FDSAUDITLINK__" localSheetId="6" hidden="1">{"fdsup://directions/FAT Viewer?action=UPDATE&amp;creator=factset&amp;DYN_ARGS=TRUE&amp;DOC_NAME=FAT:FQL_AUDITING_CLIENT_TEMPLATE.FAT&amp;display_string=Audit&amp;VAR:KEY=VWJYPWHYNK&amp;VAR:QUERY=RkZfRUJJVERBX0lCKCdMVE1TJywzODk3MCk=&amp;WINDOW=FIRST_POPUP&amp;HEIGHT=450&amp;WIDTH=450&amp;START_MA","XIMIZED=FALSE&amp;VAR:CALENDAR=US&amp;VAR:SYMBOL=G0129K10&amp;VAR:INDEX=0"}</definedName>
    <definedName name="_8571__FDSAUDITLINK__" hidden="1">{"fdsup://directions/FAT Viewer?action=UPDATE&amp;creator=factset&amp;DYN_ARGS=TRUE&amp;DOC_NAME=FAT:FQL_AUDITING_CLIENT_TEMPLATE.FAT&amp;display_string=Audit&amp;VAR:KEY=VWJYPWHYNK&amp;VAR:QUERY=RkZfRUJJVERBX0lCKCdMVE1TJywzODk3MCk=&amp;WINDOW=FIRST_POPUP&amp;HEIGHT=450&amp;WIDTH=450&amp;START_MA","XIMIZED=FALSE&amp;VAR:CALENDAR=US&amp;VAR:SYMBOL=G0129K10&amp;VAR:INDEX=0"}</definedName>
    <definedName name="_8572__FDSAUDITLINK__" localSheetId="6" hidden="1">{"fdsup://directions/FAT Viewer?action=UPDATE&amp;creator=factset&amp;DYN_ARGS=TRUE&amp;DOC_NAME=FAT:FQL_AUDITING_CLIENT_TEMPLATE.FAT&amp;display_string=Audit&amp;VAR:KEY=XODWTGVIDI&amp;VAR:QUERY=RkZfRUJJVERBX0lCKCdMVE1TJywzODk2OSk=&amp;WINDOW=FIRST_POPUP&amp;HEIGHT=450&amp;WIDTH=450&amp;START_MA","XIMIZED=FALSE&amp;VAR:CALENDAR=US&amp;VAR:SYMBOL=G0129K10&amp;VAR:INDEX=0"}</definedName>
    <definedName name="_8572__FDSAUDITLINK__" hidden="1">{"fdsup://directions/FAT Viewer?action=UPDATE&amp;creator=factset&amp;DYN_ARGS=TRUE&amp;DOC_NAME=FAT:FQL_AUDITING_CLIENT_TEMPLATE.FAT&amp;display_string=Audit&amp;VAR:KEY=XODWTGVIDI&amp;VAR:QUERY=RkZfRUJJVERBX0lCKCdMVE1TJywzODk2OSk=&amp;WINDOW=FIRST_POPUP&amp;HEIGHT=450&amp;WIDTH=450&amp;START_MA","XIMIZED=FALSE&amp;VAR:CALENDAR=US&amp;VAR:SYMBOL=G0129K10&amp;VAR:INDEX=0"}</definedName>
    <definedName name="_8573__FDSAUDITLINK__" localSheetId="6" hidden="1">{"fdsup://directions/FAT Viewer?action=UPDATE&amp;creator=factset&amp;DYN_ARGS=TRUE&amp;DOC_NAME=FAT:FQL_AUDITING_CLIENT_TEMPLATE.FAT&amp;display_string=Audit&amp;VAR:KEY=TIFUXYZGLA&amp;VAR:QUERY=RkZfRUJJVERBX0lCKCdMVE1TJywzODk2OCk=&amp;WINDOW=FIRST_POPUP&amp;HEIGHT=450&amp;WIDTH=450&amp;START_MA","XIMIZED=FALSE&amp;VAR:CALENDAR=US&amp;VAR:SYMBOL=G0129K10&amp;VAR:INDEX=0"}</definedName>
    <definedName name="_8573__FDSAUDITLINK__" hidden="1">{"fdsup://directions/FAT Viewer?action=UPDATE&amp;creator=factset&amp;DYN_ARGS=TRUE&amp;DOC_NAME=FAT:FQL_AUDITING_CLIENT_TEMPLATE.FAT&amp;display_string=Audit&amp;VAR:KEY=TIFUXYZGLA&amp;VAR:QUERY=RkZfRUJJVERBX0lCKCdMVE1TJywzODk2OCk=&amp;WINDOW=FIRST_POPUP&amp;HEIGHT=450&amp;WIDTH=450&amp;START_MA","XIMIZED=FALSE&amp;VAR:CALENDAR=US&amp;VAR:SYMBOL=G0129K10&amp;VAR:INDEX=0"}</definedName>
    <definedName name="_8574__FDSAUDITLINK__" localSheetId="6" hidden="1">{"fdsup://directions/FAT Viewer?action=UPDATE&amp;creator=factset&amp;DYN_ARGS=TRUE&amp;DOC_NAME=FAT:FQL_AUDITING_CLIENT_TEMPLATE.FAT&amp;display_string=Audit&amp;VAR:KEY=LSPQDKZMZU&amp;VAR:QUERY=RkZfRUJJVERBX0lCKCdMVE1TJywzODk2Nyk=&amp;WINDOW=FIRST_POPUP&amp;HEIGHT=450&amp;WIDTH=450&amp;START_MA","XIMIZED=FALSE&amp;VAR:CALENDAR=US&amp;VAR:SYMBOL=G0129K10&amp;VAR:INDEX=0"}</definedName>
    <definedName name="_8574__FDSAUDITLINK__" hidden="1">{"fdsup://directions/FAT Viewer?action=UPDATE&amp;creator=factset&amp;DYN_ARGS=TRUE&amp;DOC_NAME=FAT:FQL_AUDITING_CLIENT_TEMPLATE.FAT&amp;display_string=Audit&amp;VAR:KEY=LSPQDKZMZU&amp;VAR:QUERY=RkZfRUJJVERBX0lCKCdMVE1TJywzODk2Nyk=&amp;WINDOW=FIRST_POPUP&amp;HEIGHT=450&amp;WIDTH=450&amp;START_MA","XIMIZED=FALSE&amp;VAR:CALENDAR=US&amp;VAR:SYMBOL=G0129K10&amp;VAR:INDEX=0"}</definedName>
    <definedName name="_8575__FDSAUDITLINK__" localSheetId="6" hidden="1">{"fdsup://directions/FAT Viewer?action=UPDATE&amp;creator=factset&amp;DYN_ARGS=TRUE&amp;DOC_NAME=FAT:FQL_AUDITING_CLIENT_TEMPLATE.FAT&amp;display_string=Audit&amp;VAR:KEY=TGLMRYLGRG&amp;VAR:QUERY=RkZfRUJJVERBX0lCKCdMVE1TJywzODk2Nik=&amp;WINDOW=FIRST_POPUP&amp;HEIGHT=450&amp;WIDTH=450&amp;START_MA","XIMIZED=FALSE&amp;VAR:CALENDAR=US&amp;VAR:SYMBOL=G0129K10&amp;VAR:INDEX=0"}</definedName>
    <definedName name="_8575__FDSAUDITLINK__" hidden="1">{"fdsup://directions/FAT Viewer?action=UPDATE&amp;creator=factset&amp;DYN_ARGS=TRUE&amp;DOC_NAME=FAT:FQL_AUDITING_CLIENT_TEMPLATE.FAT&amp;display_string=Audit&amp;VAR:KEY=TGLMRYLGRG&amp;VAR:QUERY=RkZfRUJJVERBX0lCKCdMVE1TJywzODk2Nik=&amp;WINDOW=FIRST_POPUP&amp;HEIGHT=450&amp;WIDTH=450&amp;START_MA","XIMIZED=FALSE&amp;VAR:CALENDAR=US&amp;VAR:SYMBOL=G0129K10&amp;VAR:INDEX=0"}</definedName>
    <definedName name="_8576__FDSAUDITLINK__" localSheetId="6" hidden="1">{"fdsup://directions/FAT Viewer?action=UPDATE&amp;creator=factset&amp;DYN_ARGS=TRUE&amp;DOC_NAME=FAT:FQL_AUDITING_CLIENT_TEMPLATE.FAT&amp;display_string=Audit&amp;VAR:KEY=RCNIJUTWDC&amp;VAR:QUERY=RkZfRUJJVERBX0lCKCdMVE1TJywzODk2NSk=&amp;WINDOW=FIRST_POPUP&amp;HEIGHT=450&amp;WIDTH=450&amp;START_MA","XIMIZED=FALSE&amp;VAR:CALENDAR=US&amp;VAR:SYMBOL=G0129K10&amp;VAR:INDEX=0"}</definedName>
    <definedName name="_8576__FDSAUDITLINK__" hidden="1">{"fdsup://directions/FAT Viewer?action=UPDATE&amp;creator=factset&amp;DYN_ARGS=TRUE&amp;DOC_NAME=FAT:FQL_AUDITING_CLIENT_TEMPLATE.FAT&amp;display_string=Audit&amp;VAR:KEY=RCNIJUTWDC&amp;VAR:QUERY=RkZfRUJJVERBX0lCKCdMVE1TJywzODk2NSk=&amp;WINDOW=FIRST_POPUP&amp;HEIGHT=450&amp;WIDTH=450&amp;START_MA","XIMIZED=FALSE&amp;VAR:CALENDAR=US&amp;VAR:SYMBOL=G0129K10&amp;VAR:INDEX=0"}</definedName>
    <definedName name="_8577__FDSAUDITLINK__" localSheetId="6" hidden="1">{"fdsup://directions/FAT Viewer?action=UPDATE&amp;creator=factset&amp;DYN_ARGS=TRUE&amp;DOC_NAME=FAT:FQL_AUDITING_CLIENT_TEMPLATE.FAT&amp;display_string=Audit&amp;VAR:KEY=RCRUTUJCZC&amp;VAR:QUERY=RkZfRUJJVERBX0lCKCdMVE1TJywzODk2NCk=&amp;WINDOW=FIRST_POPUP&amp;HEIGHT=450&amp;WIDTH=450&amp;START_MA","XIMIZED=FALSE&amp;VAR:CALENDAR=US&amp;VAR:SYMBOL=G0129K10&amp;VAR:INDEX=0"}</definedName>
    <definedName name="_8577__FDSAUDITLINK__" hidden="1">{"fdsup://directions/FAT Viewer?action=UPDATE&amp;creator=factset&amp;DYN_ARGS=TRUE&amp;DOC_NAME=FAT:FQL_AUDITING_CLIENT_TEMPLATE.FAT&amp;display_string=Audit&amp;VAR:KEY=RCRUTUJCZC&amp;VAR:QUERY=RkZfRUJJVERBX0lCKCdMVE1TJywzODk2NCk=&amp;WINDOW=FIRST_POPUP&amp;HEIGHT=450&amp;WIDTH=450&amp;START_MA","XIMIZED=FALSE&amp;VAR:CALENDAR=US&amp;VAR:SYMBOL=G0129K10&amp;VAR:INDEX=0"}</definedName>
    <definedName name="_8578__FDSAUDITLINK__" localSheetId="6" hidden="1">{"fdsup://directions/FAT Viewer?action=UPDATE&amp;creator=factset&amp;DYN_ARGS=TRUE&amp;DOC_NAME=FAT:FQL_AUDITING_CLIENT_TEMPLATE.FAT&amp;display_string=Audit&amp;VAR:KEY=JGRCXALCBC&amp;VAR:QUERY=RkZfRUJJVERBX0lCKCdMVE1TJywzODk2Myk=&amp;WINDOW=FIRST_POPUP&amp;HEIGHT=450&amp;WIDTH=450&amp;START_MA","XIMIZED=FALSE&amp;VAR:CALENDAR=US&amp;VAR:SYMBOL=G0129K10&amp;VAR:INDEX=0"}</definedName>
    <definedName name="_8578__FDSAUDITLINK__" hidden="1">{"fdsup://directions/FAT Viewer?action=UPDATE&amp;creator=factset&amp;DYN_ARGS=TRUE&amp;DOC_NAME=FAT:FQL_AUDITING_CLIENT_TEMPLATE.FAT&amp;display_string=Audit&amp;VAR:KEY=JGRCXALCBC&amp;VAR:QUERY=RkZfRUJJVERBX0lCKCdMVE1TJywzODk2Myk=&amp;WINDOW=FIRST_POPUP&amp;HEIGHT=450&amp;WIDTH=450&amp;START_MA","XIMIZED=FALSE&amp;VAR:CALENDAR=US&amp;VAR:SYMBOL=G0129K10&amp;VAR:INDEX=0"}</definedName>
    <definedName name="_8579__FDSAUDITLINK__" localSheetId="6" hidden="1">{"fdsup://directions/FAT Viewer?action=UPDATE&amp;creator=factset&amp;DYN_ARGS=TRUE&amp;DOC_NAME=FAT:FQL_AUDITING_CLIENT_TEMPLATE.FAT&amp;display_string=Audit&amp;VAR:KEY=RILIDAPYZO&amp;VAR:QUERY=RkZfRUJJVERBX0lCKCdMVE1TJywzODk2Mik=&amp;WINDOW=FIRST_POPUP&amp;HEIGHT=450&amp;WIDTH=450&amp;START_MA","XIMIZED=FALSE&amp;VAR:CALENDAR=US&amp;VAR:SYMBOL=G0129K10&amp;VAR:INDEX=0"}</definedName>
    <definedName name="_8579__FDSAUDITLINK__" hidden="1">{"fdsup://directions/FAT Viewer?action=UPDATE&amp;creator=factset&amp;DYN_ARGS=TRUE&amp;DOC_NAME=FAT:FQL_AUDITING_CLIENT_TEMPLATE.FAT&amp;display_string=Audit&amp;VAR:KEY=RILIDAPYZO&amp;VAR:QUERY=RkZfRUJJVERBX0lCKCdMVE1TJywzODk2Mik=&amp;WINDOW=FIRST_POPUP&amp;HEIGHT=450&amp;WIDTH=450&amp;START_MA","XIMIZED=FALSE&amp;VAR:CALENDAR=US&amp;VAR:SYMBOL=G0129K10&amp;VAR:INDEX=0"}</definedName>
    <definedName name="_858__FDSAUDITLINK__" localSheetId="6" hidden="1">{"fdsup://directions/FAT%20Viewer?VAR:PED=LTM&amp;VAR:AUDIT_MODE=SUMMARY&amp;VAR:PERIOD=FIXED&amp;VAR:AUDIT_ID=00000117&amp;VAR:DATE=20071017&amp;action=UPDATE&amp;creator=factset&amp;DOC_NAME=FAT:FMA_audit_SUMMARY.fat&amp;DISPLAY_STRING=Display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8__FDSAUDITLINK__" hidden="1">{"fdsup://directions/FAT%20Viewer?VAR:PED=LTM&amp;VAR:AUDIT_MODE=SUMMARY&amp;VAR:PERIOD=FIXED&amp;VAR:AUDIT_ID=00000117&amp;VAR:DATE=20071017&amp;action=UPDATE&amp;creator=factset&amp;DOC_NAME=FAT:FMA_audit_SUMMARY.fat&amp;DISPLAY_STRING=Display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80__FDSAUDITLINK__" localSheetId="6" hidden="1">{"fdsup://directions/FAT Viewer?action=UPDATE&amp;creator=factset&amp;DYN_ARGS=TRUE&amp;DOC_NAME=FAT:FQL_AUDITING_CLIENT_TEMPLATE.FAT&amp;display_string=Audit&amp;VAR:KEY=LYRKDQZYPM&amp;VAR:QUERY=RkZfRUJJVERBX0lCKCdMVE1TJywzODk2MSk=&amp;WINDOW=FIRST_POPUP&amp;HEIGHT=450&amp;WIDTH=450&amp;START_MA","XIMIZED=FALSE&amp;VAR:CALENDAR=US&amp;VAR:SYMBOL=G0129K10&amp;VAR:INDEX=0"}</definedName>
    <definedName name="_8580__FDSAUDITLINK__" hidden="1">{"fdsup://directions/FAT Viewer?action=UPDATE&amp;creator=factset&amp;DYN_ARGS=TRUE&amp;DOC_NAME=FAT:FQL_AUDITING_CLIENT_TEMPLATE.FAT&amp;display_string=Audit&amp;VAR:KEY=LYRKDQZYPM&amp;VAR:QUERY=RkZfRUJJVERBX0lCKCdMVE1TJywzODk2MSk=&amp;WINDOW=FIRST_POPUP&amp;HEIGHT=450&amp;WIDTH=450&amp;START_MA","XIMIZED=FALSE&amp;VAR:CALENDAR=US&amp;VAR:SYMBOL=G0129K10&amp;VAR:INDEX=0"}</definedName>
    <definedName name="_8581__FDSAUDITLINK__" localSheetId="6" hidden="1">{"fdsup://directions/FAT Viewer?action=UPDATE&amp;creator=factset&amp;DYN_ARGS=TRUE&amp;DOC_NAME=FAT:FQL_AUDITING_CLIENT_TEMPLATE.FAT&amp;display_string=Audit&amp;VAR:KEY=HUBQHARGRG&amp;VAR:QUERY=RkZfRUJJVERBX0lCKCdMVE1TJywzODk2MCk=&amp;WINDOW=FIRST_POPUP&amp;HEIGHT=450&amp;WIDTH=450&amp;START_MA","XIMIZED=FALSE&amp;VAR:CALENDAR=US&amp;VAR:SYMBOL=G0129K10&amp;VAR:INDEX=0"}</definedName>
    <definedName name="_8581__FDSAUDITLINK__" hidden="1">{"fdsup://directions/FAT Viewer?action=UPDATE&amp;creator=factset&amp;DYN_ARGS=TRUE&amp;DOC_NAME=FAT:FQL_AUDITING_CLIENT_TEMPLATE.FAT&amp;display_string=Audit&amp;VAR:KEY=HUBQHARGRG&amp;VAR:QUERY=RkZfRUJJVERBX0lCKCdMVE1TJywzODk2MCk=&amp;WINDOW=FIRST_POPUP&amp;HEIGHT=450&amp;WIDTH=450&amp;START_MA","XIMIZED=FALSE&amp;VAR:CALENDAR=US&amp;VAR:SYMBOL=G0129K10&amp;VAR:INDEX=0"}</definedName>
    <definedName name="_8582__FDSAUDITLINK__" localSheetId="6" hidden="1">{"fdsup://directions/FAT Viewer?action=UPDATE&amp;creator=factset&amp;DYN_ARGS=TRUE&amp;DOC_NAME=FAT:FQL_AUDITING_CLIENT_TEMPLATE.FAT&amp;display_string=Audit&amp;VAR:KEY=VALUVINQVW&amp;VAR:QUERY=RkZfRUJJVERBX0lCKCdMVE1TJywzODk1OSk=&amp;WINDOW=FIRST_POPUP&amp;HEIGHT=450&amp;WIDTH=450&amp;START_MA","XIMIZED=FALSE&amp;VAR:CALENDAR=US&amp;VAR:SYMBOL=G0129K10&amp;VAR:INDEX=0"}</definedName>
    <definedName name="_8582__FDSAUDITLINK__" hidden="1">{"fdsup://directions/FAT Viewer?action=UPDATE&amp;creator=factset&amp;DYN_ARGS=TRUE&amp;DOC_NAME=FAT:FQL_AUDITING_CLIENT_TEMPLATE.FAT&amp;display_string=Audit&amp;VAR:KEY=VALUVINQVW&amp;VAR:QUERY=RkZfRUJJVERBX0lCKCdMVE1TJywzODk1OSk=&amp;WINDOW=FIRST_POPUP&amp;HEIGHT=450&amp;WIDTH=450&amp;START_MA","XIMIZED=FALSE&amp;VAR:CALENDAR=US&amp;VAR:SYMBOL=G0129K10&amp;VAR:INDEX=0"}</definedName>
    <definedName name="_8583__FDSAUDITLINK__" localSheetId="6" hidden="1">{"fdsup://directions/FAT Viewer?action=UPDATE&amp;creator=factset&amp;DYN_ARGS=TRUE&amp;DOC_NAME=FAT:FQL_AUDITING_CLIENT_TEMPLATE.FAT&amp;display_string=Audit&amp;VAR:KEY=BORQZUDWVE&amp;VAR:QUERY=RkZfRUJJVERBX0lCKCdMVE1TJywzODk1OCk=&amp;WINDOW=FIRST_POPUP&amp;HEIGHT=450&amp;WIDTH=450&amp;START_MA","XIMIZED=FALSE&amp;VAR:CALENDAR=US&amp;VAR:SYMBOL=G0129K10&amp;VAR:INDEX=0"}</definedName>
    <definedName name="_8583__FDSAUDITLINK__" hidden="1">{"fdsup://directions/FAT Viewer?action=UPDATE&amp;creator=factset&amp;DYN_ARGS=TRUE&amp;DOC_NAME=FAT:FQL_AUDITING_CLIENT_TEMPLATE.FAT&amp;display_string=Audit&amp;VAR:KEY=BORQZUDWVE&amp;VAR:QUERY=RkZfRUJJVERBX0lCKCdMVE1TJywzODk1OCk=&amp;WINDOW=FIRST_POPUP&amp;HEIGHT=450&amp;WIDTH=450&amp;START_MA","XIMIZED=FALSE&amp;VAR:CALENDAR=US&amp;VAR:SYMBOL=G0129K10&amp;VAR:INDEX=0"}</definedName>
    <definedName name="_8584__FDSAUDITLINK__" localSheetId="6" hidden="1">{"fdsup://directions/FAT Viewer?action=UPDATE&amp;creator=factset&amp;DYN_ARGS=TRUE&amp;DOC_NAME=FAT:FQL_AUDITING_CLIENT_TEMPLATE.FAT&amp;display_string=Audit&amp;VAR:KEY=TCRINGTIRS&amp;VAR:QUERY=RkZfRUJJVERBX0lCKCdMVE1TJywzODk1Nyk=&amp;WINDOW=FIRST_POPUP&amp;HEIGHT=450&amp;WIDTH=450&amp;START_MA","XIMIZED=FALSE&amp;VAR:CALENDAR=US&amp;VAR:SYMBOL=G0129K10&amp;VAR:INDEX=0"}</definedName>
    <definedName name="_8584__FDSAUDITLINK__" hidden="1">{"fdsup://directions/FAT Viewer?action=UPDATE&amp;creator=factset&amp;DYN_ARGS=TRUE&amp;DOC_NAME=FAT:FQL_AUDITING_CLIENT_TEMPLATE.FAT&amp;display_string=Audit&amp;VAR:KEY=TCRINGTIRS&amp;VAR:QUERY=RkZfRUJJVERBX0lCKCdMVE1TJywzODk1Nyk=&amp;WINDOW=FIRST_POPUP&amp;HEIGHT=450&amp;WIDTH=450&amp;START_MA","XIMIZED=FALSE&amp;VAR:CALENDAR=US&amp;VAR:SYMBOL=G0129K10&amp;VAR:INDEX=0"}</definedName>
    <definedName name="_8585__FDSAUDITLINK__" localSheetId="6" hidden="1">{"fdsup://directions/FAT Viewer?action=UPDATE&amp;creator=factset&amp;DYN_ARGS=TRUE&amp;DOC_NAME=FAT:FQL_AUDITING_CLIENT_TEMPLATE.FAT&amp;display_string=Audit&amp;VAR:KEY=ZQBWJAXSNO&amp;VAR:QUERY=RkZfRUJJVERBX0lCKCdMVE1TJywzODk1Nik=&amp;WINDOW=FIRST_POPUP&amp;HEIGHT=450&amp;WIDTH=450&amp;START_MA","XIMIZED=FALSE&amp;VAR:CALENDAR=US&amp;VAR:SYMBOL=G0129K10&amp;VAR:INDEX=0"}</definedName>
    <definedName name="_8585__FDSAUDITLINK__" hidden="1">{"fdsup://directions/FAT Viewer?action=UPDATE&amp;creator=factset&amp;DYN_ARGS=TRUE&amp;DOC_NAME=FAT:FQL_AUDITING_CLIENT_TEMPLATE.FAT&amp;display_string=Audit&amp;VAR:KEY=ZQBWJAXSNO&amp;VAR:QUERY=RkZfRUJJVERBX0lCKCdMVE1TJywzODk1Nik=&amp;WINDOW=FIRST_POPUP&amp;HEIGHT=450&amp;WIDTH=450&amp;START_MA","XIMIZED=FALSE&amp;VAR:CALENDAR=US&amp;VAR:SYMBOL=G0129K10&amp;VAR:INDEX=0"}</definedName>
    <definedName name="_8586__FDSAUDITLINK__" localSheetId="6" hidden="1">{"fdsup://directions/FAT Viewer?action=UPDATE&amp;creator=factset&amp;DYN_ARGS=TRUE&amp;DOC_NAME=FAT:FQL_AUDITING_CLIENT_TEMPLATE.FAT&amp;display_string=Audit&amp;VAR:KEY=XGZOTSBMRU&amp;VAR:QUERY=RkZfRUJJVERBX0lCKCdMVE1TJywzODk1NSk=&amp;WINDOW=FIRST_POPUP&amp;HEIGHT=450&amp;WIDTH=450&amp;START_MA","XIMIZED=FALSE&amp;VAR:CALENDAR=US&amp;VAR:SYMBOL=G0129K10&amp;VAR:INDEX=0"}</definedName>
    <definedName name="_8586__FDSAUDITLINK__" hidden="1">{"fdsup://directions/FAT Viewer?action=UPDATE&amp;creator=factset&amp;DYN_ARGS=TRUE&amp;DOC_NAME=FAT:FQL_AUDITING_CLIENT_TEMPLATE.FAT&amp;display_string=Audit&amp;VAR:KEY=XGZOTSBMRU&amp;VAR:QUERY=RkZfRUJJVERBX0lCKCdMVE1TJywzODk1NSk=&amp;WINDOW=FIRST_POPUP&amp;HEIGHT=450&amp;WIDTH=450&amp;START_MA","XIMIZED=FALSE&amp;VAR:CALENDAR=US&amp;VAR:SYMBOL=G0129K10&amp;VAR:INDEX=0"}</definedName>
    <definedName name="_8587__FDSAUDITLINK__" localSheetId="6" hidden="1">{"fdsup://directions/FAT Viewer?action=UPDATE&amp;creator=factset&amp;DYN_ARGS=TRUE&amp;DOC_NAME=FAT:FQL_AUDITING_CLIENT_TEMPLATE.FAT&amp;display_string=Audit&amp;VAR:KEY=XMFGNSTGVA&amp;VAR:QUERY=RkZfRUJJVERBX0lCKCdMVE1TJywzODk1NCk=&amp;WINDOW=FIRST_POPUP&amp;HEIGHT=450&amp;WIDTH=450&amp;START_MA","XIMIZED=FALSE&amp;VAR:CALENDAR=US&amp;VAR:SYMBOL=G0129K10&amp;VAR:INDEX=0"}</definedName>
    <definedName name="_8587__FDSAUDITLINK__" hidden="1">{"fdsup://directions/FAT Viewer?action=UPDATE&amp;creator=factset&amp;DYN_ARGS=TRUE&amp;DOC_NAME=FAT:FQL_AUDITING_CLIENT_TEMPLATE.FAT&amp;display_string=Audit&amp;VAR:KEY=XMFGNSTGVA&amp;VAR:QUERY=RkZfRUJJVERBX0lCKCdMVE1TJywzODk1NCk=&amp;WINDOW=FIRST_POPUP&amp;HEIGHT=450&amp;WIDTH=450&amp;START_MA","XIMIZED=FALSE&amp;VAR:CALENDAR=US&amp;VAR:SYMBOL=G0129K10&amp;VAR:INDEX=0"}</definedName>
    <definedName name="_8588__FDSAUDITLINK__" localSheetId="6" hidden="1">{"fdsup://directions/FAT Viewer?action=UPDATE&amp;creator=factset&amp;DYN_ARGS=TRUE&amp;DOC_NAME=FAT:FQL_AUDITING_CLIENT_TEMPLATE.FAT&amp;display_string=Audit&amp;VAR:KEY=BUBIVAZIZK&amp;VAR:QUERY=RkZfRUJJVERBX0lCKCdMVE1TJywzODk1Myk=&amp;WINDOW=FIRST_POPUP&amp;HEIGHT=450&amp;WIDTH=450&amp;START_MA","XIMIZED=FALSE&amp;VAR:CALENDAR=US&amp;VAR:SYMBOL=G0129K10&amp;VAR:INDEX=0"}</definedName>
    <definedName name="_8588__FDSAUDITLINK__" hidden="1">{"fdsup://directions/FAT Viewer?action=UPDATE&amp;creator=factset&amp;DYN_ARGS=TRUE&amp;DOC_NAME=FAT:FQL_AUDITING_CLIENT_TEMPLATE.FAT&amp;display_string=Audit&amp;VAR:KEY=BUBIVAZIZK&amp;VAR:QUERY=RkZfRUJJVERBX0lCKCdMVE1TJywzODk1Myk=&amp;WINDOW=FIRST_POPUP&amp;HEIGHT=450&amp;WIDTH=450&amp;START_MA","XIMIZED=FALSE&amp;VAR:CALENDAR=US&amp;VAR:SYMBOL=G0129K10&amp;VAR:INDEX=0"}</definedName>
    <definedName name="_8589__FDSAUDITLINK__" localSheetId="6" hidden="1">{"fdsup://directions/FAT Viewer?action=UPDATE&amp;creator=factset&amp;DYN_ARGS=TRUE&amp;DOC_NAME=FAT:FQL_AUDITING_CLIENT_TEMPLATE.FAT&amp;display_string=Audit&amp;VAR:KEY=LYRMBSDOXI&amp;VAR:QUERY=RkZfRUJJVERBX0lCKCdMVE1TJywzODk1Mik=&amp;WINDOW=FIRST_POPUP&amp;HEIGHT=450&amp;WIDTH=450&amp;START_MA","XIMIZED=FALSE&amp;VAR:CALENDAR=US&amp;VAR:SYMBOL=G0129K10&amp;VAR:INDEX=0"}</definedName>
    <definedName name="_8589__FDSAUDITLINK__" hidden="1">{"fdsup://directions/FAT Viewer?action=UPDATE&amp;creator=factset&amp;DYN_ARGS=TRUE&amp;DOC_NAME=FAT:FQL_AUDITING_CLIENT_TEMPLATE.FAT&amp;display_string=Audit&amp;VAR:KEY=LYRMBSDOXI&amp;VAR:QUERY=RkZfRUJJVERBX0lCKCdMVE1TJywzODk1Mik=&amp;WINDOW=FIRST_POPUP&amp;HEIGHT=450&amp;WIDTH=450&amp;START_MA","XIMIZED=FALSE&amp;VAR:CALENDAR=US&amp;VAR:SYMBOL=G0129K10&amp;VAR:INDEX=0"}</definedName>
    <definedName name="_859__FDSAUDITLINK__" localSheetId="6" hidden="1">{"fdsup://directions/FAT%20Viewer?VAR:PED=LTM&amp;VAR:AUDIT_MODE=SUMMARY&amp;VAR:PERIOD=FIXED&amp;VAR:AUDIT_ID=00000117&amp;VAR:DATE=20071016&amp;action=UPDATE&amp;creator=factset&amp;DOC_NAME=FAT:FMA_audit_SUMMARY.fat&amp;DISPLAY_STRING=Display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9__FDSAUDITLINK__" hidden="1">{"fdsup://directions/FAT%20Viewer?VAR:PED=LTM&amp;VAR:AUDIT_MODE=SUMMARY&amp;VAR:PERIOD=FIXED&amp;VAR:AUDIT_ID=00000117&amp;VAR:DATE=20071016&amp;action=UPDATE&amp;creator=factset&amp;DOC_NAME=FAT:FMA_audit_SUMMARY.fat&amp;DISPLAY_STRING=Display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590__FDSAUDITLINK__" localSheetId="6" hidden="1">{"fdsup://directions/FAT Viewer?action=UPDATE&amp;creator=factset&amp;DYN_ARGS=TRUE&amp;DOC_NAME=FAT:FQL_AUDITING_CLIENT_TEMPLATE.FAT&amp;display_string=Audit&amp;VAR:KEY=NUDYRIXCLA&amp;VAR:QUERY=RkZfRUJJVERBX0lCKCdMVE1TJywzODk1MSk=&amp;WINDOW=FIRST_POPUP&amp;HEIGHT=450&amp;WIDTH=450&amp;START_MA","XIMIZED=FALSE&amp;VAR:CALENDAR=US&amp;VAR:SYMBOL=G0129K10&amp;VAR:INDEX=0"}</definedName>
    <definedName name="_8590__FDSAUDITLINK__" hidden="1">{"fdsup://directions/FAT Viewer?action=UPDATE&amp;creator=factset&amp;DYN_ARGS=TRUE&amp;DOC_NAME=FAT:FQL_AUDITING_CLIENT_TEMPLATE.FAT&amp;display_string=Audit&amp;VAR:KEY=NUDYRIXCLA&amp;VAR:QUERY=RkZfRUJJVERBX0lCKCdMVE1TJywzODk1MSk=&amp;WINDOW=FIRST_POPUP&amp;HEIGHT=450&amp;WIDTH=450&amp;START_MA","XIMIZED=FALSE&amp;VAR:CALENDAR=US&amp;VAR:SYMBOL=G0129K10&amp;VAR:INDEX=0"}</definedName>
    <definedName name="_8591__FDSAUDITLINK__" localSheetId="6" hidden="1">{"fdsup://directions/FAT Viewer?action=UPDATE&amp;creator=factset&amp;DYN_ARGS=TRUE&amp;DOC_NAME=FAT:FQL_AUDITING_CLIENT_TEMPLATE.FAT&amp;display_string=Audit&amp;VAR:KEY=RYVWDQRYXY&amp;VAR:QUERY=RkZfRUJJVERBX0lCKCdMVE1TJywzODk1MCk=&amp;WINDOW=FIRST_POPUP&amp;HEIGHT=450&amp;WIDTH=450&amp;START_MA","XIMIZED=FALSE&amp;VAR:CALENDAR=US&amp;VAR:SYMBOL=G0129K10&amp;VAR:INDEX=0"}</definedName>
    <definedName name="_8591__FDSAUDITLINK__" hidden="1">{"fdsup://directions/FAT Viewer?action=UPDATE&amp;creator=factset&amp;DYN_ARGS=TRUE&amp;DOC_NAME=FAT:FQL_AUDITING_CLIENT_TEMPLATE.FAT&amp;display_string=Audit&amp;VAR:KEY=RYVWDQRYXY&amp;VAR:QUERY=RkZfRUJJVERBX0lCKCdMVE1TJywzODk1MCk=&amp;WINDOW=FIRST_POPUP&amp;HEIGHT=450&amp;WIDTH=450&amp;START_MA","XIMIZED=FALSE&amp;VAR:CALENDAR=US&amp;VAR:SYMBOL=G0129K10&amp;VAR:INDEX=0"}</definedName>
    <definedName name="_8592__FDSAUDITLINK__" localSheetId="6" hidden="1">{"fdsup://directions/FAT Viewer?action=UPDATE&amp;creator=factset&amp;DYN_ARGS=TRUE&amp;DOC_NAME=FAT:FQL_AUDITING_CLIENT_TEMPLATE.FAT&amp;display_string=Audit&amp;VAR:KEY=BKHMRQJENU&amp;VAR:QUERY=RkZfRUJJVERBX0lCKCdMVE1TJywzODk0OSk=&amp;WINDOW=FIRST_POPUP&amp;HEIGHT=450&amp;WIDTH=450&amp;START_MA","XIMIZED=FALSE&amp;VAR:CALENDAR=US&amp;VAR:SYMBOL=G0129K10&amp;VAR:INDEX=0"}</definedName>
    <definedName name="_8592__FDSAUDITLINK__" hidden="1">{"fdsup://directions/FAT Viewer?action=UPDATE&amp;creator=factset&amp;DYN_ARGS=TRUE&amp;DOC_NAME=FAT:FQL_AUDITING_CLIENT_TEMPLATE.FAT&amp;display_string=Audit&amp;VAR:KEY=BKHMRQJENU&amp;VAR:QUERY=RkZfRUJJVERBX0lCKCdMVE1TJywzODk0OSk=&amp;WINDOW=FIRST_POPUP&amp;HEIGHT=450&amp;WIDTH=450&amp;START_MA","XIMIZED=FALSE&amp;VAR:CALENDAR=US&amp;VAR:SYMBOL=G0129K10&amp;VAR:INDEX=0"}</definedName>
    <definedName name="_8593__FDSAUDITLINK__" localSheetId="6" hidden="1">{"fdsup://directions/FAT Viewer?action=UPDATE&amp;creator=factset&amp;DYN_ARGS=TRUE&amp;DOC_NAME=FAT:FQL_AUDITING_CLIENT_TEMPLATE.FAT&amp;display_string=Audit&amp;VAR:KEY=RAHOFMFUJC&amp;VAR:QUERY=RkZfRUJJVERBX0lCKCdMVE1TJywzODk0OCk=&amp;WINDOW=FIRST_POPUP&amp;HEIGHT=450&amp;WIDTH=450&amp;START_MA","XIMIZED=FALSE&amp;VAR:CALENDAR=US&amp;VAR:SYMBOL=G0129K10&amp;VAR:INDEX=0"}</definedName>
    <definedName name="_8593__FDSAUDITLINK__" hidden="1">{"fdsup://directions/FAT Viewer?action=UPDATE&amp;creator=factset&amp;DYN_ARGS=TRUE&amp;DOC_NAME=FAT:FQL_AUDITING_CLIENT_TEMPLATE.FAT&amp;display_string=Audit&amp;VAR:KEY=RAHOFMFUJC&amp;VAR:QUERY=RkZfRUJJVERBX0lCKCdMVE1TJywzODk0OCk=&amp;WINDOW=FIRST_POPUP&amp;HEIGHT=450&amp;WIDTH=450&amp;START_MA","XIMIZED=FALSE&amp;VAR:CALENDAR=US&amp;VAR:SYMBOL=G0129K10&amp;VAR:INDEX=0"}</definedName>
    <definedName name="_8594__FDSAUDITLINK__" localSheetId="6" hidden="1">{"fdsup://directions/FAT Viewer?action=UPDATE&amp;creator=factset&amp;DYN_ARGS=TRUE&amp;DOC_NAME=FAT:FQL_AUDITING_CLIENT_TEMPLATE.FAT&amp;display_string=Audit&amp;VAR:KEY=XOXKBCVITW&amp;VAR:QUERY=RkZfRUJJVERBX0lCKCdMVE1TJywzODk0Nyk=&amp;WINDOW=FIRST_POPUP&amp;HEIGHT=450&amp;WIDTH=450&amp;START_MA","XIMIZED=FALSE&amp;VAR:CALENDAR=US&amp;VAR:SYMBOL=G0129K10&amp;VAR:INDEX=0"}</definedName>
    <definedName name="_8594__FDSAUDITLINK__" hidden="1">{"fdsup://directions/FAT Viewer?action=UPDATE&amp;creator=factset&amp;DYN_ARGS=TRUE&amp;DOC_NAME=FAT:FQL_AUDITING_CLIENT_TEMPLATE.FAT&amp;display_string=Audit&amp;VAR:KEY=XOXKBCVITW&amp;VAR:QUERY=RkZfRUJJVERBX0lCKCdMVE1TJywzODk0Nyk=&amp;WINDOW=FIRST_POPUP&amp;HEIGHT=450&amp;WIDTH=450&amp;START_MA","XIMIZED=FALSE&amp;VAR:CALENDAR=US&amp;VAR:SYMBOL=G0129K10&amp;VAR:INDEX=0"}</definedName>
    <definedName name="_8595__FDSAUDITLINK__" localSheetId="6" hidden="1">{"fdsup://directions/FAT Viewer?action=UPDATE&amp;creator=factset&amp;DYN_ARGS=TRUE&amp;DOC_NAME=FAT:FQL_AUDITING_CLIENT_TEMPLATE.FAT&amp;display_string=Audit&amp;VAR:KEY=XOFWHKHYRA&amp;VAR:QUERY=RkZfRUJJVERBX0lCKCdMVE1TJywzODk0Nik=&amp;WINDOW=FIRST_POPUP&amp;HEIGHT=450&amp;WIDTH=450&amp;START_MA","XIMIZED=FALSE&amp;VAR:CALENDAR=US&amp;VAR:SYMBOL=G0129K10&amp;VAR:INDEX=0"}</definedName>
    <definedName name="_8595__FDSAUDITLINK__" hidden="1">{"fdsup://directions/FAT Viewer?action=UPDATE&amp;creator=factset&amp;DYN_ARGS=TRUE&amp;DOC_NAME=FAT:FQL_AUDITING_CLIENT_TEMPLATE.FAT&amp;display_string=Audit&amp;VAR:KEY=XOFWHKHYRA&amp;VAR:QUERY=RkZfRUJJVERBX0lCKCdMVE1TJywzODk0Nik=&amp;WINDOW=FIRST_POPUP&amp;HEIGHT=450&amp;WIDTH=450&amp;START_MA","XIMIZED=FALSE&amp;VAR:CALENDAR=US&amp;VAR:SYMBOL=G0129K10&amp;VAR:INDEX=0"}</definedName>
    <definedName name="_8596__FDSAUDITLINK__" localSheetId="6" hidden="1">{"fdsup://directions/FAT Viewer?action=UPDATE&amp;creator=factset&amp;DYN_ARGS=TRUE&amp;DOC_NAME=FAT:FQL_AUDITING_CLIENT_TEMPLATE.FAT&amp;display_string=Audit&amp;VAR:KEY=XKDUHONCZG&amp;VAR:QUERY=RkZfRUJJVERBX0lCKCdMVE1TJywzODk0NSk=&amp;WINDOW=FIRST_POPUP&amp;HEIGHT=450&amp;WIDTH=450&amp;START_MA","XIMIZED=FALSE&amp;VAR:CALENDAR=US&amp;VAR:SYMBOL=G0129K10&amp;VAR:INDEX=0"}</definedName>
    <definedName name="_8596__FDSAUDITLINK__" hidden="1">{"fdsup://directions/FAT Viewer?action=UPDATE&amp;creator=factset&amp;DYN_ARGS=TRUE&amp;DOC_NAME=FAT:FQL_AUDITING_CLIENT_TEMPLATE.FAT&amp;display_string=Audit&amp;VAR:KEY=XKDUHONCZG&amp;VAR:QUERY=RkZfRUJJVERBX0lCKCdMVE1TJywzODk0NSk=&amp;WINDOW=FIRST_POPUP&amp;HEIGHT=450&amp;WIDTH=450&amp;START_MA","XIMIZED=FALSE&amp;VAR:CALENDAR=US&amp;VAR:SYMBOL=G0129K10&amp;VAR:INDEX=0"}</definedName>
    <definedName name="_8597__FDSAUDITLINK__" localSheetId="6" hidden="1">{"fdsup://directions/FAT Viewer?action=UPDATE&amp;creator=factset&amp;DYN_ARGS=TRUE&amp;DOC_NAME=FAT:FQL_AUDITING_CLIENT_TEMPLATE.FAT&amp;display_string=Audit&amp;VAR:KEY=RQDGHSDCNU&amp;VAR:QUERY=RkZfRUJJVERBX0lCKCdMVE1TJywzODk0NCk=&amp;WINDOW=FIRST_POPUP&amp;HEIGHT=450&amp;WIDTH=450&amp;START_MA","XIMIZED=FALSE&amp;VAR:CALENDAR=US&amp;VAR:SYMBOL=G0129K10&amp;VAR:INDEX=0"}</definedName>
    <definedName name="_8597__FDSAUDITLINK__" hidden="1">{"fdsup://directions/FAT Viewer?action=UPDATE&amp;creator=factset&amp;DYN_ARGS=TRUE&amp;DOC_NAME=FAT:FQL_AUDITING_CLIENT_TEMPLATE.FAT&amp;display_string=Audit&amp;VAR:KEY=RQDGHSDCNU&amp;VAR:QUERY=RkZfRUJJVERBX0lCKCdMVE1TJywzODk0NCk=&amp;WINDOW=FIRST_POPUP&amp;HEIGHT=450&amp;WIDTH=450&amp;START_MA","XIMIZED=FALSE&amp;VAR:CALENDAR=US&amp;VAR:SYMBOL=G0129K10&amp;VAR:INDEX=0"}</definedName>
    <definedName name="_8598__FDSAUDITLINK__" localSheetId="6" hidden="1">{"fdsup://directions/FAT Viewer?action=UPDATE&amp;creator=factset&amp;DYN_ARGS=TRUE&amp;DOC_NAME=FAT:FQL_AUDITING_CLIENT_TEMPLATE.FAT&amp;display_string=Audit&amp;VAR:KEY=RAZKPMFIBG&amp;VAR:QUERY=RkZfRUJJVERBX0lCKCdMVE1TJywzODk0Myk=&amp;WINDOW=FIRST_POPUP&amp;HEIGHT=450&amp;WIDTH=450&amp;START_MA","XIMIZED=FALSE&amp;VAR:CALENDAR=US&amp;VAR:SYMBOL=G0129K10&amp;VAR:INDEX=0"}</definedName>
    <definedName name="_8598__FDSAUDITLINK__" hidden="1">{"fdsup://directions/FAT Viewer?action=UPDATE&amp;creator=factset&amp;DYN_ARGS=TRUE&amp;DOC_NAME=FAT:FQL_AUDITING_CLIENT_TEMPLATE.FAT&amp;display_string=Audit&amp;VAR:KEY=RAZKPMFIBG&amp;VAR:QUERY=RkZfRUJJVERBX0lCKCdMVE1TJywzODk0Myk=&amp;WINDOW=FIRST_POPUP&amp;HEIGHT=450&amp;WIDTH=450&amp;START_MA","XIMIZED=FALSE&amp;VAR:CALENDAR=US&amp;VAR:SYMBOL=G0129K10&amp;VAR:INDEX=0"}</definedName>
    <definedName name="_8599__FDSAUDITLINK__" localSheetId="6" hidden="1">{"fdsup://directions/FAT Viewer?action=UPDATE&amp;creator=factset&amp;DYN_ARGS=TRUE&amp;DOC_NAME=FAT:FQL_AUDITING_CLIENT_TEMPLATE.FAT&amp;display_string=Audit&amp;VAR:KEY=PSVYTQPEVW&amp;VAR:QUERY=RkZfRUJJVERBX0lCKCdMVE1TJywzODk0Mik=&amp;WINDOW=FIRST_POPUP&amp;HEIGHT=450&amp;WIDTH=450&amp;START_MA","XIMIZED=FALSE&amp;VAR:CALENDAR=US&amp;VAR:SYMBOL=G0129K10&amp;VAR:INDEX=0"}</definedName>
    <definedName name="_8599__FDSAUDITLINK__" hidden="1">{"fdsup://directions/FAT Viewer?action=UPDATE&amp;creator=factset&amp;DYN_ARGS=TRUE&amp;DOC_NAME=FAT:FQL_AUDITING_CLIENT_TEMPLATE.FAT&amp;display_string=Audit&amp;VAR:KEY=PSVYTQPEVW&amp;VAR:QUERY=RkZfRUJJVERBX0lCKCdMVE1TJywzODk0Mik=&amp;WINDOW=FIRST_POPUP&amp;HEIGHT=450&amp;WIDTH=450&amp;START_MA","XIMIZED=FALSE&amp;VAR:CALENDAR=US&amp;VAR:SYMBOL=G0129K10&amp;VAR:INDEX=0"}</definedName>
    <definedName name="_86__FDSAUDITLINK__" localSheetId="6" hidden="1">{"fdsup://directions/FAT Viewer?action=UPDATE&amp;creator=factset&amp;DYN_ARGS=TRUE&amp;DOC_NAME=FAT:FQL_AUDITING_CLIENT_TEMPLATE.FAT&amp;display_string=Audit&amp;VAR:KEY=ZAZOHSNGHC&amp;VAR:QUERY=QVZHKENTRl9ORVRfSU5DKEFOTiwwRlksLTZGWSxZKSkgLyAoQVZHKENTRl9BU1NFVFMoQU5OLDBGWSwtNkZZL","EZZKSkgLSBBVkcoQ1NGX0lOVEFORyhBTk4sMCwtNkZZLEZZKSkp&amp;WINDOW=FIRST_POPUP&amp;HEIGHT=450&amp;WIDTH=450&amp;START_MAXIMIZED=FALSE&amp;VAR:CALENDAR=US&amp;VAR:SYMBOL=78354910"}</definedName>
    <definedName name="_86__FDSAUDITLINK__" hidden="1">{"fdsup://directions/FAT Viewer?action=UPDATE&amp;creator=factset&amp;DYN_ARGS=TRUE&amp;DOC_NAME=FAT:FQL_AUDITING_CLIENT_TEMPLATE.FAT&amp;display_string=Audit&amp;VAR:KEY=ZAZOHSNGHC&amp;VAR:QUERY=QVZHKENTRl9ORVRfSU5DKEFOTiwwRlksLTZGWSxZKSkgLyAoQVZHKENTRl9BU1NFVFMoQU5OLDBGWSwtNkZZL","EZZKSkgLSBBVkcoQ1NGX0lOVEFORyhBTk4sMCwtNkZZLEZZKSkp&amp;WINDOW=FIRST_POPUP&amp;HEIGHT=450&amp;WIDTH=450&amp;START_MAXIMIZED=FALSE&amp;VAR:CALENDAR=US&amp;VAR:SYMBOL=78354910"}</definedName>
    <definedName name="_860__FDSAUDITLINK__" localSheetId="6" hidden="1">{"fdsup://directions/FAT%20Viewer?VAR:PED=LTM&amp;VAR:AUDIT_MODE=SUMMARY&amp;VAR:PERIOD=FIXED&amp;VAR:AUDIT_ID=00000117&amp;VAR:DATE=20071015&amp;action=UPDATE&amp;creator=factset&amp;DOC_NAME=FAT:FMA_audit_SUMMARY.fat&amp;DISPLAY_STRING=Display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0__FDSAUDITLINK__" hidden="1">{"fdsup://directions/FAT%20Viewer?VAR:PED=LTM&amp;VAR:AUDIT_MODE=SUMMARY&amp;VAR:PERIOD=FIXED&amp;VAR:AUDIT_ID=00000117&amp;VAR:DATE=20071015&amp;action=UPDATE&amp;creator=factset&amp;DOC_NAME=FAT:FMA_audit_SUMMARY.fat&amp;DISPLAY_STRING=Display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00__FDSAUDITLINK__" localSheetId="6" hidden="1">{"fdsup://directions/FAT Viewer?action=UPDATE&amp;creator=factset&amp;DYN_ARGS=TRUE&amp;DOC_NAME=FAT:FQL_AUDITING_CLIENT_TEMPLATE.FAT&amp;display_string=Audit&amp;VAR:KEY=XATCTYJKDY&amp;VAR:QUERY=RkZfRUJJVERBX0lCKCdMVE1TJywzODk0MSk=&amp;WINDOW=FIRST_POPUP&amp;HEIGHT=450&amp;WIDTH=450&amp;START_MA","XIMIZED=FALSE&amp;VAR:CALENDAR=US&amp;VAR:SYMBOL=G0129K10&amp;VAR:INDEX=0"}</definedName>
    <definedName name="_8600__FDSAUDITLINK__" hidden="1">{"fdsup://directions/FAT Viewer?action=UPDATE&amp;creator=factset&amp;DYN_ARGS=TRUE&amp;DOC_NAME=FAT:FQL_AUDITING_CLIENT_TEMPLATE.FAT&amp;display_string=Audit&amp;VAR:KEY=XATCTYJKDY&amp;VAR:QUERY=RkZfRUJJVERBX0lCKCdMVE1TJywzODk0MSk=&amp;WINDOW=FIRST_POPUP&amp;HEIGHT=450&amp;WIDTH=450&amp;START_MA","XIMIZED=FALSE&amp;VAR:CALENDAR=US&amp;VAR:SYMBOL=G0129K10&amp;VAR:INDEX=0"}</definedName>
    <definedName name="_8601__FDSAUDITLINK__" localSheetId="6" hidden="1">{"fdsup://directions/FAT Viewer?action=UPDATE&amp;creator=factset&amp;DYN_ARGS=TRUE&amp;DOC_NAME=FAT:FQL_AUDITING_CLIENT_TEMPLATE.FAT&amp;display_string=Audit&amp;VAR:KEY=LYLKFKFYJS&amp;VAR:QUERY=RkZfRUJJVERBX0lCKCdMVE1TJywzODk0MCk=&amp;WINDOW=FIRST_POPUP&amp;HEIGHT=450&amp;WIDTH=450&amp;START_MA","XIMIZED=FALSE&amp;VAR:CALENDAR=US&amp;VAR:SYMBOL=G0129K10&amp;VAR:INDEX=0"}</definedName>
    <definedName name="_8601__FDSAUDITLINK__" hidden="1">{"fdsup://directions/FAT Viewer?action=UPDATE&amp;creator=factset&amp;DYN_ARGS=TRUE&amp;DOC_NAME=FAT:FQL_AUDITING_CLIENT_TEMPLATE.FAT&amp;display_string=Audit&amp;VAR:KEY=LYLKFKFYJS&amp;VAR:QUERY=RkZfRUJJVERBX0lCKCdMVE1TJywzODk0MCk=&amp;WINDOW=FIRST_POPUP&amp;HEIGHT=450&amp;WIDTH=450&amp;START_MA","XIMIZED=FALSE&amp;VAR:CALENDAR=US&amp;VAR:SYMBOL=G0129K10&amp;VAR:INDEX=0"}</definedName>
    <definedName name="_8602__FDSAUDITLINK__" localSheetId="6" hidden="1">{"fdsup://directions/FAT Viewer?action=UPDATE&amp;creator=factset&amp;DYN_ARGS=TRUE&amp;DOC_NAME=FAT:FQL_AUDITING_CLIENT_TEMPLATE.FAT&amp;display_string=Audit&amp;VAR:KEY=FCZOPWHULK&amp;VAR:QUERY=RkZfRUJJVERBX0lCKCdMVE1TJywzODkzOSk=&amp;WINDOW=FIRST_POPUP&amp;HEIGHT=450&amp;WIDTH=450&amp;START_MA","XIMIZED=FALSE&amp;VAR:CALENDAR=US&amp;VAR:SYMBOL=G0129K10&amp;VAR:INDEX=0"}</definedName>
    <definedName name="_8602__FDSAUDITLINK__" hidden="1">{"fdsup://directions/FAT Viewer?action=UPDATE&amp;creator=factset&amp;DYN_ARGS=TRUE&amp;DOC_NAME=FAT:FQL_AUDITING_CLIENT_TEMPLATE.FAT&amp;display_string=Audit&amp;VAR:KEY=FCZOPWHULK&amp;VAR:QUERY=RkZfRUJJVERBX0lCKCdMVE1TJywzODkzOSk=&amp;WINDOW=FIRST_POPUP&amp;HEIGHT=450&amp;WIDTH=450&amp;START_MA","XIMIZED=FALSE&amp;VAR:CALENDAR=US&amp;VAR:SYMBOL=G0129K10&amp;VAR:INDEX=0"}</definedName>
    <definedName name="_8603__FDSAUDITLINK__" localSheetId="6" hidden="1">{"fdsup://directions/FAT Viewer?action=UPDATE&amp;creator=factset&amp;DYN_ARGS=TRUE&amp;DOC_NAME=FAT:FQL_AUDITING_CLIENT_TEMPLATE.FAT&amp;display_string=Audit&amp;VAR:KEY=LOVUVYZYFS&amp;VAR:QUERY=RkZfRUJJVERBX0lCKCdMVE1TJywzODkzOCk=&amp;WINDOW=FIRST_POPUP&amp;HEIGHT=450&amp;WIDTH=450&amp;START_MA","XIMIZED=FALSE&amp;VAR:CALENDAR=US&amp;VAR:SYMBOL=G0129K10&amp;VAR:INDEX=0"}</definedName>
    <definedName name="_8603__FDSAUDITLINK__" hidden="1">{"fdsup://directions/FAT Viewer?action=UPDATE&amp;creator=factset&amp;DYN_ARGS=TRUE&amp;DOC_NAME=FAT:FQL_AUDITING_CLIENT_TEMPLATE.FAT&amp;display_string=Audit&amp;VAR:KEY=LOVUVYZYFS&amp;VAR:QUERY=RkZfRUJJVERBX0lCKCdMVE1TJywzODkzOCk=&amp;WINDOW=FIRST_POPUP&amp;HEIGHT=450&amp;WIDTH=450&amp;START_MA","XIMIZED=FALSE&amp;VAR:CALENDAR=US&amp;VAR:SYMBOL=G0129K10&amp;VAR:INDEX=0"}</definedName>
    <definedName name="_8604__FDSAUDITLINK__" localSheetId="6" hidden="1">{"fdsup://directions/FAT Viewer?action=UPDATE&amp;creator=factset&amp;DYN_ARGS=TRUE&amp;DOC_NAME=FAT:FQL_AUDITING_CLIENT_TEMPLATE.FAT&amp;display_string=Audit&amp;VAR:KEY=JSVCPQNEXG&amp;VAR:QUERY=RkZfRUJJVERBX0lCKCdMVE1TJywzODkzNyk=&amp;WINDOW=FIRST_POPUP&amp;HEIGHT=450&amp;WIDTH=450&amp;START_MA","XIMIZED=FALSE&amp;VAR:CALENDAR=US&amp;VAR:SYMBOL=G0129K10&amp;VAR:INDEX=0"}</definedName>
    <definedName name="_8604__FDSAUDITLINK__" hidden="1">{"fdsup://directions/FAT Viewer?action=UPDATE&amp;creator=factset&amp;DYN_ARGS=TRUE&amp;DOC_NAME=FAT:FQL_AUDITING_CLIENT_TEMPLATE.FAT&amp;display_string=Audit&amp;VAR:KEY=JSVCPQNEXG&amp;VAR:QUERY=RkZfRUJJVERBX0lCKCdMVE1TJywzODkzNyk=&amp;WINDOW=FIRST_POPUP&amp;HEIGHT=450&amp;WIDTH=450&amp;START_MA","XIMIZED=FALSE&amp;VAR:CALENDAR=US&amp;VAR:SYMBOL=G0129K10&amp;VAR:INDEX=0"}</definedName>
    <definedName name="_8605__FDSAUDITLINK__" localSheetId="6" hidden="1">{"fdsup://directions/FAT Viewer?action=UPDATE&amp;creator=factset&amp;DYN_ARGS=TRUE&amp;DOC_NAME=FAT:FQL_AUDITING_CLIENT_TEMPLATE.FAT&amp;display_string=Audit&amp;VAR:KEY=XSJCXITWVC&amp;VAR:QUERY=RkZfRUJJVERBX0lCKCdMVE1TJywzODkzNik=&amp;WINDOW=FIRST_POPUP&amp;HEIGHT=450&amp;WIDTH=450&amp;START_MA","XIMIZED=FALSE&amp;VAR:CALENDAR=US&amp;VAR:SYMBOL=G0129K10&amp;VAR:INDEX=0"}</definedName>
    <definedName name="_8605__FDSAUDITLINK__" hidden="1">{"fdsup://directions/FAT Viewer?action=UPDATE&amp;creator=factset&amp;DYN_ARGS=TRUE&amp;DOC_NAME=FAT:FQL_AUDITING_CLIENT_TEMPLATE.FAT&amp;display_string=Audit&amp;VAR:KEY=XSJCXITWVC&amp;VAR:QUERY=RkZfRUJJVERBX0lCKCdMVE1TJywzODkzNik=&amp;WINDOW=FIRST_POPUP&amp;HEIGHT=450&amp;WIDTH=450&amp;START_MA","XIMIZED=FALSE&amp;VAR:CALENDAR=US&amp;VAR:SYMBOL=G0129K10&amp;VAR:INDEX=0"}</definedName>
    <definedName name="_8606__FDSAUDITLINK__" localSheetId="6" hidden="1">{"fdsup://directions/FAT Viewer?action=UPDATE&amp;creator=factset&amp;DYN_ARGS=TRUE&amp;DOC_NAME=FAT:FQL_AUDITING_CLIENT_TEMPLATE.FAT&amp;display_string=Audit&amp;VAR:KEY=JGZEPGZGZI&amp;VAR:QUERY=RkZfRUJJVERBX0lCKCdMVE1TJywzODkzNSk=&amp;WINDOW=FIRST_POPUP&amp;HEIGHT=450&amp;WIDTH=450&amp;START_MA","XIMIZED=FALSE&amp;VAR:CALENDAR=US&amp;VAR:SYMBOL=G0129K10&amp;VAR:INDEX=0"}</definedName>
    <definedName name="_8606__FDSAUDITLINK__" hidden="1">{"fdsup://directions/FAT Viewer?action=UPDATE&amp;creator=factset&amp;DYN_ARGS=TRUE&amp;DOC_NAME=FAT:FQL_AUDITING_CLIENT_TEMPLATE.FAT&amp;display_string=Audit&amp;VAR:KEY=JGZEPGZGZI&amp;VAR:QUERY=RkZfRUJJVERBX0lCKCdMVE1TJywzODkzNSk=&amp;WINDOW=FIRST_POPUP&amp;HEIGHT=450&amp;WIDTH=450&amp;START_MA","XIMIZED=FALSE&amp;VAR:CALENDAR=US&amp;VAR:SYMBOL=G0129K10&amp;VAR:INDEX=0"}</definedName>
    <definedName name="_8607__FDSAUDITLINK__" localSheetId="6" hidden="1">{"fdsup://directions/FAT Viewer?action=UPDATE&amp;creator=factset&amp;DYN_ARGS=TRUE&amp;DOC_NAME=FAT:FQL_AUDITING_CLIENT_TEMPLATE.FAT&amp;display_string=Audit&amp;VAR:KEY=NCNIZMNKFE&amp;VAR:QUERY=RkZfRUJJVERBX0lCKCdMVE1TJywzODkzNCk=&amp;WINDOW=FIRST_POPUP&amp;HEIGHT=450&amp;WIDTH=450&amp;START_MA","XIMIZED=FALSE&amp;VAR:CALENDAR=US&amp;VAR:SYMBOL=G0129K10&amp;VAR:INDEX=0"}</definedName>
    <definedName name="_8607__FDSAUDITLINK__" hidden="1">{"fdsup://directions/FAT Viewer?action=UPDATE&amp;creator=factset&amp;DYN_ARGS=TRUE&amp;DOC_NAME=FAT:FQL_AUDITING_CLIENT_TEMPLATE.FAT&amp;display_string=Audit&amp;VAR:KEY=NCNIZMNKFE&amp;VAR:QUERY=RkZfRUJJVERBX0lCKCdMVE1TJywzODkzNCk=&amp;WINDOW=FIRST_POPUP&amp;HEIGHT=450&amp;WIDTH=450&amp;START_MA","XIMIZED=FALSE&amp;VAR:CALENDAR=US&amp;VAR:SYMBOL=G0129K10&amp;VAR:INDEX=0"}</definedName>
    <definedName name="_8608__FDSAUDITLINK__" localSheetId="6" hidden="1">{"fdsup://directions/FAT Viewer?action=UPDATE&amp;creator=factset&amp;DYN_ARGS=TRUE&amp;DOC_NAME=FAT:FQL_AUDITING_CLIENT_TEMPLATE.FAT&amp;display_string=Audit&amp;VAR:KEY=PWHELMHENE&amp;VAR:QUERY=RkZfRUJJVERBX0lCKCdMVE1TJywzODkzMyk=&amp;WINDOW=FIRST_POPUP&amp;HEIGHT=450&amp;WIDTH=450&amp;START_MA","XIMIZED=FALSE&amp;VAR:CALENDAR=US&amp;VAR:SYMBOL=G0129K10&amp;VAR:INDEX=0"}</definedName>
    <definedName name="_8608__FDSAUDITLINK__" hidden="1">{"fdsup://directions/FAT Viewer?action=UPDATE&amp;creator=factset&amp;DYN_ARGS=TRUE&amp;DOC_NAME=FAT:FQL_AUDITING_CLIENT_TEMPLATE.FAT&amp;display_string=Audit&amp;VAR:KEY=PWHELMHENE&amp;VAR:QUERY=RkZfRUJJVERBX0lCKCdMVE1TJywzODkzMyk=&amp;WINDOW=FIRST_POPUP&amp;HEIGHT=450&amp;WIDTH=450&amp;START_MA","XIMIZED=FALSE&amp;VAR:CALENDAR=US&amp;VAR:SYMBOL=G0129K10&amp;VAR:INDEX=0"}</definedName>
    <definedName name="_8609__FDSAUDITLINK__" localSheetId="6" hidden="1">{"fdsup://directions/FAT Viewer?action=UPDATE&amp;creator=factset&amp;DYN_ARGS=TRUE&amp;DOC_NAME=FAT:FQL_AUDITING_CLIENT_TEMPLATE.FAT&amp;display_string=Audit&amp;VAR:KEY=FKRWHINAFI&amp;VAR:QUERY=RkZfRUJJVERBX0lCKCdMVE1TJywzODkzMik=&amp;WINDOW=FIRST_POPUP&amp;HEIGHT=450&amp;WIDTH=450&amp;START_MA","XIMIZED=FALSE&amp;VAR:CALENDAR=US&amp;VAR:SYMBOL=G0129K10&amp;VAR:INDEX=0"}</definedName>
    <definedName name="_8609__FDSAUDITLINK__" hidden="1">{"fdsup://directions/FAT Viewer?action=UPDATE&amp;creator=factset&amp;DYN_ARGS=TRUE&amp;DOC_NAME=FAT:FQL_AUDITING_CLIENT_TEMPLATE.FAT&amp;display_string=Audit&amp;VAR:KEY=FKRWHINAFI&amp;VAR:QUERY=RkZfRUJJVERBX0lCKCdMVE1TJywzODkzMik=&amp;WINDOW=FIRST_POPUP&amp;HEIGHT=450&amp;WIDTH=450&amp;START_MA","XIMIZED=FALSE&amp;VAR:CALENDAR=US&amp;VAR:SYMBOL=G0129K10&amp;VAR:INDEX=0"}</definedName>
    <definedName name="_861__FDSAUDITLINK__" localSheetId="6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1__FDSAUDITLINK__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10__FDSAUDITLINK__" localSheetId="6" hidden="1">{"fdsup://directions/FAT Viewer?action=UPDATE&amp;creator=factset&amp;DYN_ARGS=TRUE&amp;DOC_NAME=FAT:FQL_AUDITING_CLIENT_TEMPLATE.FAT&amp;display_string=Audit&amp;VAR:KEY=TSDKFQVGZW&amp;VAR:QUERY=RkZfRUJJVERBX0lCKCdMVE1TJywzODkzMSk=&amp;WINDOW=FIRST_POPUP&amp;HEIGHT=450&amp;WIDTH=450&amp;START_MA","XIMIZED=FALSE&amp;VAR:CALENDAR=US&amp;VAR:SYMBOL=G0129K10&amp;VAR:INDEX=0"}</definedName>
    <definedName name="_8610__FDSAUDITLINK__" hidden="1">{"fdsup://directions/FAT Viewer?action=UPDATE&amp;creator=factset&amp;DYN_ARGS=TRUE&amp;DOC_NAME=FAT:FQL_AUDITING_CLIENT_TEMPLATE.FAT&amp;display_string=Audit&amp;VAR:KEY=TSDKFQVGZW&amp;VAR:QUERY=RkZfRUJJVERBX0lCKCdMVE1TJywzODkzMSk=&amp;WINDOW=FIRST_POPUP&amp;HEIGHT=450&amp;WIDTH=450&amp;START_MA","XIMIZED=FALSE&amp;VAR:CALENDAR=US&amp;VAR:SYMBOL=G0129K10&amp;VAR:INDEX=0"}</definedName>
    <definedName name="_8611__FDSAUDITLINK__" localSheetId="6" hidden="1">{"fdsup://directions/FAT Viewer?action=UPDATE&amp;creator=factset&amp;DYN_ARGS=TRUE&amp;DOC_NAME=FAT:FQL_AUDITING_CLIENT_TEMPLATE.FAT&amp;display_string=Audit&amp;VAR:KEY=VKNQVUFWJU&amp;VAR:QUERY=RkZfRUJJVERBX0lCKCdMVE1TJywzODkzMCk=&amp;WINDOW=FIRST_POPUP&amp;HEIGHT=450&amp;WIDTH=450&amp;START_MA","XIMIZED=FALSE&amp;VAR:CALENDAR=US&amp;VAR:SYMBOL=G0129K10&amp;VAR:INDEX=0"}</definedName>
    <definedName name="_8611__FDSAUDITLINK__" hidden="1">{"fdsup://directions/FAT Viewer?action=UPDATE&amp;creator=factset&amp;DYN_ARGS=TRUE&amp;DOC_NAME=FAT:FQL_AUDITING_CLIENT_TEMPLATE.FAT&amp;display_string=Audit&amp;VAR:KEY=VKNQVUFWJU&amp;VAR:QUERY=RkZfRUJJVERBX0lCKCdMVE1TJywzODkzMCk=&amp;WINDOW=FIRST_POPUP&amp;HEIGHT=450&amp;WIDTH=450&amp;START_MA","XIMIZED=FALSE&amp;VAR:CALENDAR=US&amp;VAR:SYMBOL=G0129K10&amp;VAR:INDEX=0"}</definedName>
    <definedName name="_8612__FDSAUDITLINK__" localSheetId="6" hidden="1">{"fdsup://directions/FAT Viewer?action=UPDATE&amp;creator=factset&amp;DYN_ARGS=TRUE&amp;DOC_NAME=FAT:FQL_AUDITING_CLIENT_TEMPLATE.FAT&amp;display_string=Audit&amp;VAR:KEY=DYLATMNINM&amp;VAR:QUERY=RkZfRUJJVERBX0lCKCdMVE1TJywzODkyOSk=&amp;WINDOW=FIRST_POPUP&amp;HEIGHT=450&amp;WIDTH=450&amp;START_MA","XIMIZED=FALSE&amp;VAR:CALENDAR=US&amp;VAR:SYMBOL=G0129K10&amp;VAR:INDEX=0"}</definedName>
    <definedName name="_8612__FDSAUDITLINK__" hidden="1">{"fdsup://directions/FAT Viewer?action=UPDATE&amp;creator=factset&amp;DYN_ARGS=TRUE&amp;DOC_NAME=FAT:FQL_AUDITING_CLIENT_TEMPLATE.FAT&amp;display_string=Audit&amp;VAR:KEY=DYLATMNINM&amp;VAR:QUERY=RkZfRUJJVERBX0lCKCdMVE1TJywzODkyOSk=&amp;WINDOW=FIRST_POPUP&amp;HEIGHT=450&amp;WIDTH=450&amp;START_MA","XIMIZED=FALSE&amp;VAR:CALENDAR=US&amp;VAR:SYMBOL=G0129K10&amp;VAR:INDEX=0"}</definedName>
    <definedName name="_8613__FDSAUDITLINK__" localSheetId="6" hidden="1">{"fdsup://directions/FAT Viewer?action=UPDATE&amp;creator=factset&amp;DYN_ARGS=TRUE&amp;DOC_NAME=FAT:FQL_AUDITING_CLIENT_TEMPLATE.FAT&amp;display_string=Audit&amp;VAR:KEY=VYBIJSHEVS&amp;VAR:QUERY=RkZfRUJJVERBX0lCKCdMVE1TJywzODkyOCk=&amp;WINDOW=FIRST_POPUP&amp;HEIGHT=450&amp;WIDTH=450&amp;START_MA","XIMIZED=FALSE&amp;VAR:CALENDAR=US&amp;VAR:SYMBOL=G0129K10&amp;VAR:INDEX=0"}</definedName>
    <definedName name="_8613__FDSAUDITLINK__" hidden="1">{"fdsup://directions/FAT Viewer?action=UPDATE&amp;creator=factset&amp;DYN_ARGS=TRUE&amp;DOC_NAME=FAT:FQL_AUDITING_CLIENT_TEMPLATE.FAT&amp;display_string=Audit&amp;VAR:KEY=VYBIJSHEVS&amp;VAR:QUERY=RkZfRUJJVERBX0lCKCdMVE1TJywzODkyOCk=&amp;WINDOW=FIRST_POPUP&amp;HEIGHT=450&amp;WIDTH=450&amp;START_MA","XIMIZED=FALSE&amp;VAR:CALENDAR=US&amp;VAR:SYMBOL=G0129K10&amp;VAR:INDEX=0"}</definedName>
    <definedName name="_8614__FDSAUDITLINK__" localSheetId="6" hidden="1">{"fdsup://directions/FAT Viewer?action=UPDATE&amp;creator=factset&amp;DYN_ARGS=TRUE&amp;DOC_NAME=FAT:FQL_AUDITING_CLIENT_TEMPLATE.FAT&amp;display_string=Audit&amp;VAR:KEY=BOHOPULSBC&amp;VAR:QUERY=RkZfRUJJVERBX0lCKCdMVE1TJywzODkyNyk=&amp;WINDOW=FIRST_POPUP&amp;HEIGHT=450&amp;WIDTH=450&amp;START_MA","XIMIZED=FALSE&amp;VAR:CALENDAR=US&amp;VAR:SYMBOL=G0129K10&amp;VAR:INDEX=0"}</definedName>
    <definedName name="_8614__FDSAUDITLINK__" hidden="1">{"fdsup://directions/FAT Viewer?action=UPDATE&amp;creator=factset&amp;DYN_ARGS=TRUE&amp;DOC_NAME=FAT:FQL_AUDITING_CLIENT_TEMPLATE.FAT&amp;display_string=Audit&amp;VAR:KEY=BOHOPULSBC&amp;VAR:QUERY=RkZfRUJJVERBX0lCKCdMVE1TJywzODkyNyk=&amp;WINDOW=FIRST_POPUP&amp;HEIGHT=450&amp;WIDTH=450&amp;START_MA","XIMIZED=FALSE&amp;VAR:CALENDAR=US&amp;VAR:SYMBOL=G0129K10&amp;VAR:INDEX=0"}</definedName>
    <definedName name="_8615__FDSAUDITLINK__" localSheetId="6" hidden="1">{"fdsup://directions/FAT Viewer?action=UPDATE&amp;creator=factset&amp;DYN_ARGS=TRUE&amp;DOC_NAME=FAT:FQL_AUDITING_CLIENT_TEMPLATE.FAT&amp;display_string=Audit&amp;VAR:KEY=PYJITEDSRQ&amp;VAR:QUERY=RkZfRUJJVERBX0lCKCdMVE1TJywzODkyNik=&amp;WINDOW=FIRST_POPUP&amp;HEIGHT=450&amp;WIDTH=450&amp;START_MA","XIMIZED=FALSE&amp;VAR:CALENDAR=US&amp;VAR:SYMBOL=G0129K10&amp;VAR:INDEX=0"}</definedName>
    <definedName name="_8615__FDSAUDITLINK__" hidden="1">{"fdsup://directions/FAT Viewer?action=UPDATE&amp;creator=factset&amp;DYN_ARGS=TRUE&amp;DOC_NAME=FAT:FQL_AUDITING_CLIENT_TEMPLATE.FAT&amp;display_string=Audit&amp;VAR:KEY=PYJITEDSRQ&amp;VAR:QUERY=RkZfRUJJVERBX0lCKCdMVE1TJywzODkyNik=&amp;WINDOW=FIRST_POPUP&amp;HEIGHT=450&amp;WIDTH=450&amp;START_MA","XIMIZED=FALSE&amp;VAR:CALENDAR=US&amp;VAR:SYMBOL=G0129K10&amp;VAR:INDEX=0"}</definedName>
    <definedName name="_8616__FDSAUDITLINK__" localSheetId="6" hidden="1">{"fdsup://directions/FAT Viewer?action=UPDATE&amp;creator=factset&amp;DYN_ARGS=TRUE&amp;DOC_NAME=FAT:FQL_AUDITING_CLIENT_TEMPLATE.FAT&amp;display_string=Audit&amp;VAR:KEY=LUHKLAVKNW&amp;VAR:QUERY=RkZfRUJJVERBX0lCKCdMVE1TJywzODkyNSk=&amp;WINDOW=FIRST_POPUP&amp;HEIGHT=450&amp;WIDTH=450&amp;START_MA","XIMIZED=FALSE&amp;VAR:CALENDAR=US&amp;VAR:SYMBOL=G0129K10&amp;VAR:INDEX=0"}</definedName>
    <definedName name="_8616__FDSAUDITLINK__" hidden="1">{"fdsup://directions/FAT Viewer?action=UPDATE&amp;creator=factset&amp;DYN_ARGS=TRUE&amp;DOC_NAME=FAT:FQL_AUDITING_CLIENT_TEMPLATE.FAT&amp;display_string=Audit&amp;VAR:KEY=LUHKLAVKNW&amp;VAR:QUERY=RkZfRUJJVERBX0lCKCdMVE1TJywzODkyNSk=&amp;WINDOW=FIRST_POPUP&amp;HEIGHT=450&amp;WIDTH=450&amp;START_MA","XIMIZED=FALSE&amp;VAR:CALENDAR=US&amp;VAR:SYMBOL=G0129K10&amp;VAR:INDEX=0"}</definedName>
    <definedName name="_8617__FDSAUDITLINK__" localSheetId="6" hidden="1">{"fdsup://directions/FAT Viewer?action=UPDATE&amp;creator=factset&amp;DYN_ARGS=TRUE&amp;DOC_NAME=FAT:FQL_AUDITING_CLIENT_TEMPLATE.FAT&amp;display_string=Audit&amp;VAR:KEY=DGFAXWZWRU&amp;VAR:QUERY=RkZfRUJJVERBX0lCKCdMVE1TJywzODkyNCk=&amp;WINDOW=FIRST_POPUP&amp;HEIGHT=450&amp;WIDTH=450&amp;START_MA","XIMIZED=FALSE&amp;VAR:CALENDAR=US&amp;VAR:SYMBOL=G0129K10&amp;VAR:INDEX=0"}</definedName>
    <definedName name="_8617__FDSAUDITLINK__" hidden="1">{"fdsup://directions/FAT Viewer?action=UPDATE&amp;creator=factset&amp;DYN_ARGS=TRUE&amp;DOC_NAME=FAT:FQL_AUDITING_CLIENT_TEMPLATE.FAT&amp;display_string=Audit&amp;VAR:KEY=DGFAXWZWRU&amp;VAR:QUERY=RkZfRUJJVERBX0lCKCdMVE1TJywzODkyNCk=&amp;WINDOW=FIRST_POPUP&amp;HEIGHT=450&amp;WIDTH=450&amp;START_MA","XIMIZED=FALSE&amp;VAR:CALENDAR=US&amp;VAR:SYMBOL=G0129K10&amp;VAR:INDEX=0"}</definedName>
    <definedName name="_8618__FDSAUDITLINK__" localSheetId="6" hidden="1">{"fdsup://directions/FAT Viewer?action=UPDATE&amp;creator=factset&amp;DYN_ARGS=TRUE&amp;DOC_NAME=FAT:FQL_AUDITING_CLIENT_TEMPLATE.FAT&amp;display_string=Audit&amp;VAR:KEY=BEZUHWFKLA&amp;VAR:QUERY=RkZfRUJJVERBX0lCKCdMVE1TJywzODkyMyk=&amp;WINDOW=FIRST_POPUP&amp;HEIGHT=450&amp;WIDTH=450&amp;START_MA","XIMIZED=FALSE&amp;VAR:CALENDAR=US&amp;VAR:SYMBOL=G0129K10&amp;VAR:INDEX=0"}</definedName>
    <definedName name="_8618__FDSAUDITLINK__" hidden="1">{"fdsup://directions/FAT Viewer?action=UPDATE&amp;creator=factset&amp;DYN_ARGS=TRUE&amp;DOC_NAME=FAT:FQL_AUDITING_CLIENT_TEMPLATE.FAT&amp;display_string=Audit&amp;VAR:KEY=BEZUHWFKLA&amp;VAR:QUERY=RkZfRUJJVERBX0lCKCdMVE1TJywzODkyMyk=&amp;WINDOW=FIRST_POPUP&amp;HEIGHT=450&amp;WIDTH=450&amp;START_MA","XIMIZED=FALSE&amp;VAR:CALENDAR=US&amp;VAR:SYMBOL=G0129K10&amp;VAR:INDEX=0"}</definedName>
    <definedName name="_8619__FDSAUDITLINK__" localSheetId="6" hidden="1">{"fdsup://directions/FAT Viewer?action=UPDATE&amp;creator=factset&amp;DYN_ARGS=TRUE&amp;DOC_NAME=FAT:FQL_AUDITING_CLIENT_TEMPLATE.FAT&amp;display_string=Audit&amp;VAR:KEY=HMPGNQHSTQ&amp;VAR:QUERY=RkZfRUJJVERBX0lCKCdMVE1TJywzODkyMik=&amp;WINDOW=FIRST_POPUP&amp;HEIGHT=450&amp;WIDTH=450&amp;START_MA","XIMIZED=FALSE&amp;VAR:CALENDAR=US&amp;VAR:SYMBOL=G0129K10&amp;VAR:INDEX=0"}</definedName>
    <definedName name="_8619__FDSAUDITLINK__" hidden="1">{"fdsup://directions/FAT Viewer?action=UPDATE&amp;creator=factset&amp;DYN_ARGS=TRUE&amp;DOC_NAME=FAT:FQL_AUDITING_CLIENT_TEMPLATE.FAT&amp;display_string=Audit&amp;VAR:KEY=HMPGNQHSTQ&amp;VAR:QUERY=RkZfRUJJVERBX0lCKCdMVE1TJywzODkyMik=&amp;WINDOW=FIRST_POPUP&amp;HEIGHT=450&amp;WIDTH=450&amp;START_MA","XIMIZED=FALSE&amp;VAR:CALENDAR=US&amp;VAR:SYMBOL=G0129K10&amp;VAR:INDEX=0"}</definedName>
    <definedName name="_862__FDSAUDITLINK__" localSheetId="6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2__FDSAUDITLINK__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20__FDSAUDITLINK__" localSheetId="6" hidden="1">{"fdsup://directions/FAT Viewer?action=UPDATE&amp;creator=factset&amp;DYN_ARGS=TRUE&amp;DOC_NAME=FAT:FQL_AUDITING_CLIENT_TEMPLATE.FAT&amp;display_string=Audit&amp;VAR:KEY=ZSHERAXEVS&amp;VAR:QUERY=RkZfRUJJVERBX0lCKCdMVE1TJywzODkyMSk=&amp;WINDOW=FIRST_POPUP&amp;HEIGHT=450&amp;WIDTH=450&amp;START_MA","XIMIZED=FALSE&amp;VAR:CALENDAR=US&amp;VAR:SYMBOL=G0129K10&amp;VAR:INDEX=0"}</definedName>
    <definedName name="_8620__FDSAUDITLINK__" hidden="1">{"fdsup://directions/FAT Viewer?action=UPDATE&amp;creator=factset&amp;DYN_ARGS=TRUE&amp;DOC_NAME=FAT:FQL_AUDITING_CLIENT_TEMPLATE.FAT&amp;display_string=Audit&amp;VAR:KEY=ZSHERAXEVS&amp;VAR:QUERY=RkZfRUJJVERBX0lCKCdMVE1TJywzODkyMSk=&amp;WINDOW=FIRST_POPUP&amp;HEIGHT=450&amp;WIDTH=450&amp;START_MA","XIMIZED=FALSE&amp;VAR:CALENDAR=US&amp;VAR:SYMBOL=G0129K10&amp;VAR:INDEX=0"}</definedName>
    <definedName name="_8621__FDSAUDITLINK__" localSheetId="6" hidden="1">{"fdsup://directions/FAT Viewer?action=UPDATE&amp;creator=factset&amp;DYN_ARGS=TRUE&amp;DOC_NAME=FAT:FQL_AUDITING_CLIENT_TEMPLATE.FAT&amp;display_string=Audit&amp;VAR:KEY=DGTKLIFIXW&amp;VAR:QUERY=RkZfRUJJVERBX0lCKCdMVE1TJywzODkyMCk=&amp;WINDOW=FIRST_POPUP&amp;HEIGHT=450&amp;WIDTH=450&amp;START_MA","XIMIZED=FALSE&amp;VAR:CALENDAR=US&amp;VAR:SYMBOL=G0129K10&amp;VAR:INDEX=0"}</definedName>
    <definedName name="_8621__FDSAUDITLINK__" hidden="1">{"fdsup://directions/FAT Viewer?action=UPDATE&amp;creator=factset&amp;DYN_ARGS=TRUE&amp;DOC_NAME=FAT:FQL_AUDITING_CLIENT_TEMPLATE.FAT&amp;display_string=Audit&amp;VAR:KEY=DGTKLIFIXW&amp;VAR:QUERY=RkZfRUJJVERBX0lCKCdMVE1TJywzODkyMCk=&amp;WINDOW=FIRST_POPUP&amp;HEIGHT=450&amp;WIDTH=450&amp;START_MA","XIMIZED=FALSE&amp;VAR:CALENDAR=US&amp;VAR:SYMBOL=G0129K10&amp;VAR:INDEX=0"}</definedName>
    <definedName name="_8622__FDSAUDITLINK__" localSheetId="6" hidden="1">{"fdsup://directions/FAT Viewer?action=UPDATE&amp;creator=factset&amp;DYN_ARGS=TRUE&amp;DOC_NAME=FAT:FQL_AUDITING_CLIENT_TEMPLATE.FAT&amp;display_string=Audit&amp;VAR:KEY=VCJIDCTYFW&amp;VAR:QUERY=RkZfRUJJVERBX0lCKCdMVE1TJywzODkxOSk=&amp;WINDOW=FIRST_POPUP&amp;HEIGHT=450&amp;WIDTH=450&amp;START_MA","XIMIZED=FALSE&amp;VAR:CALENDAR=US&amp;VAR:SYMBOL=G0129K10&amp;VAR:INDEX=0"}</definedName>
    <definedName name="_8622__FDSAUDITLINK__" hidden="1">{"fdsup://directions/FAT Viewer?action=UPDATE&amp;creator=factset&amp;DYN_ARGS=TRUE&amp;DOC_NAME=FAT:FQL_AUDITING_CLIENT_TEMPLATE.FAT&amp;display_string=Audit&amp;VAR:KEY=VCJIDCTYFW&amp;VAR:QUERY=RkZfRUJJVERBX0lCKCdMVE1TJywzODkxOSk=&amp;WINDOW=FIRST_POPUP&amp;HEIGHT=450&amp;WIDTH=450&amp;START_MA","XIMIZED=FALSE&amp;VAR:CALENDAR=US&amp;VAR:SYMBOL=G0129K10&amp;VAR:INDEX=0"}</definedName>
    <definedName name="_8623__FDSAUDITLINK__" localSheetId="6" hidden="1">{"fdsup://directions/FAT Viewer?action=UPDATE&amp;creator=factset&amp;DYN_ARGS=TRUE&amp;DOC_NAME=FAT:FQL_AUDITING_CLIENT_TEMPLATE.FAT&amp;display_string=Audit&amp;VAR:KEY=TUJKNIXYFQ&amp;VAR:QUERY=RkZfRUJJVERBX0lCKCdMVE1TJywzODkxOCk=&amp;WINDOW=FIRST_POPUP&amp;HEIGHT=450&amp;WIDTH=450&amp;START_MA","XIMIZED=FALSE&amp;VAR:CALENDAR=US&amp;VAR:SYMBOL=G0129K10&amp;VAR:INDEX=0"}</definedName>
    <definedName name="_8623__FDSAUDITLINK__" hidden="1">{"fdsup://directions/FAT Viewer?action=UPDATE&amp;creator=factset&amp;DYN_ARGS=TRUE&amp;DOC_NAME=FAT:FQL_AUDITING_CLIENT_TEMPLATE.FAT&amp;display_string=Audit&amp;VAR:KEY=TUJKNIXYFQ&amp;VAR:QUERY=RkZfRUJJVERBX0lCKCdMVE1TJywzODkxOCk=&amp;WINDOW=FIRST_POPUP&amp;HEIGHT=450&amp;WIDTH=450&amp;START_MA","XIMIZED=FALSE&amp;VAR:CALENDAR=US&amp;VAR:SYMBOL=G0129K10&amp;VAR:INDEX=0"}</definedName>
    <definedName name="_8624__FDSAUDITLINK__" localSheetId="6" hidden="1">{"fdsup://directions/FAT Viewer?action=UPDATE&amp;creator=factset&amp;DYN_ARGS=TRUE&amp;DOC_NAME=FAT:FQL_AUDITING_CLIENT_TEMPLATE.FAT&amp;display_string=Audit&amp;VAR:KEY=RKRAVONWDK&amp;VAR:QUERY=RkZfRUJJVERBX0lCKCdMVE1TJywzODkxNyk=&amp;WINDOW=FIRST_POPUP&amp;HEIGHT=450&amp;WIDTH=450&amp;START_MA","XIMIZED=FALSE&amp;VAR:CALENDAR=US&amp;VAR:SYMBOL=G0129K10&amp;VAR:INDEX=0"}</definedName>
    <definedName name="_8624__FDSAUDITLINK__" hidden="1">{"fdsup://directions/FAT Viewer?action=UPDATE&amp;creator=factset&amp;DYN_ARGS=TRUE&amp;DOC_NAME=FAT:FQL_AUDITING_CLIENT_TEMPLATE.FAT&amp;display_string=Audit&amp;VAR:KEY=RKRAVONWDK&amp;VAR:QUERY=RkZfRUJJVERBX0lCKCdMVE1TJywzODkxNyk=&amp;WINDOW=FIRST_POPUP&amp;HEIGHT=450&amp;WIDTH=450&amp;START_MA","XIMIZED=FALSE&amp;VAR:CALENDAR=US&amp;VAR:SYMBOL=G0129K10&amp;VAR:INDEX=0"}</definedName>
    <definedName name="_8625__FDSAUDITLINK__" localSheetId="6" hidden="1">{"fdsup://directions/FAT Viewer?action=UPDATE&amp;creator=factset&amp;DYN_ARGS=TRUE&amp;DOC_NAME=FAT:FQL_AUDITING_CLIENT_TEMPLATE.FAT&amp;display_string=Audit&amp;VAR:KEY=LYDELQXMZS&amp;VAR:QUERY=RkZfRUJJVERBX0lCKCdMVE1TJywzODkxNik=&amp;WINDOW=FIRST_POPUP&amp;HEIGHT=450&amp;WIDTH=450&amp;START_MA","XIMIZED=FALSE&amp;VAR:CALENDAR=US&amp;VAR:SYMBOL=G0129K10&amp;VAR:INDEX=0"}</definedName>
    <definedName name="_8625__FDSAUDITLINK__" hidden="1">{"fdsup://directions/FAT Viewer?action=UPDATE&amp;creator=factset&amp;DYN_ARGS=TRUE&amp;DOC_NAME=FAT:FQL_AUDITING_CLIENT_TEMPLATE.FAT&amp;display_string=Audit&amp;VAR:KEY=LYDELQXMZS&amp;VAR:QUERY=RkZfRUJJVERBX0lCKCdMVE1TJywzODkxNik=&amp;WINDOW=FIRST_POPUP&amp;HEIGHT=450&amp;WIDTH=450&amp;START_MA","XIMIZED=FALSE&amp;VAR:CALENDAR=US&amp;VAR:SYMBOL=G0129K10&amp;VAR:INDEX=0"}</definedName>
    <definedName name="_8626__FDSAUDITLINK__" localSheetId="6" hidden="1">{"fdsup://directions/FAT Viewer?action=UPDATE&amp;creator=factset&amp;DYN_ARGS=TRUE&amp;DOC_NAME=FAT:FQL_AUDITING_CLIENT_TEMPLATE.FAT&amp;display_string=Audit&amp;VAR:KEY=LYJURSXQXQ&amp;VAR:QUERY=RkZfRUJJVERBX0lCKCdMVE1TJywzODkxNSk=&amp;WINDOW=FIRST_POPUP&amp;HEIGHT=450&amp;WIDTH=450&amp;START_MA","XIMIZED=FALSE&amp;VAR:CALENDAR=US&amp;VAR:SYMBOL=G0129K10&amp;VAR:INDEX=0"}</definedName>
    <definedName name="_8626__FDSAUDITLINK__" hidden="1">{"fdsup://directions/FAT Viewer?action=UPDATE&amp;creator=factset&amp;DYN_ARGS=TRUE&amp;DOC_NAME=FAT:FQL_AUDITING_CLIENT_TEMPLATE.FAT&amp;display_string=Audit&amp;VAR:KEY=LYJURSXQXQ&amp;VAR:QUERY=RkZfRUJJVERBX0lCKCdMVE1TJywzODkxNSk=&amp;WINDOW=FIRST_POPUP&amp;HEIGHT=450&amp;WIDTH=450&amp;START_MA","XIMIZED=FALSE&amp;VAR:CALENDAR=US&amp;VAR:SYMBOL=G0129K10&amp;VAR:INDEX=0"}</definedName>
    <definedName name="_8627__FDSAUDITLINK__" localSheetId="6" hidden="1">{"fdsup://directions/FAT Viewer?action=UPDATE&amp;creator=factset&amp;DYN_ARGS=TRUE&amp;DOC_NAME=FAT:FQL_AUDITING_CLIENT_TEMPLATE.FAT&amp;display_string=Audit&amp;VAR:KEY=NSFKDOVEDY&amp;VAR:QUERY=RkZfRUJJVERBX0lCKCdMVE1TJywzODkxNCk=&amp;WINDOW=FIRST_POPUP&amp;HEIGHT=450&amp;WIDTH=450&amp;START_MA","XIMIZED=FALSE&amp;VAR:CALENDAR=US&amp;VAR:SYMBOL=G0129K10&amp;VAR:INDEX=0"}</definedName>
    <definedName name="_8627__FDSAUDITLINK__" hidden="1">{"fdsup://directions/FAT Viewer?action=UPDATE&amp;creator=factset&amp;DYN_ARGS=TRUE&amp;DOC_NAME=FAT:FQL_AUDITING_CLIENT_TEMPLATE.FAT&amp;display_string=Audit&amp;VAR:KEY=NSFKDOVEDY&amp;VAR:QUERY=RkZfRUJJVERBX0lCKCdMVE1TJywzODkxNCk=&amp;WINDOW=FIRST_POPUP&amp;HEIGHT=450&amp;WIDTH=450&amp;START_MA","XIMIZED=FALSE&amp;VAR:CALENDAR=US&amp;VAR:SYMBOL=G0129K10&amp;VAR:INDEX=0"}</definedName>
    <definedName name="_8628__FDSAUDITLINK__" localSheetId="6" hidden="1">{"fdsup://directions/FAT Viewer?action=UPDATE&amp;creator=factset&amp;DYN_ARGS=TRUE&amp;DOC_NAME=FAT:FQL_AUDITING_CLIENT_TEMPLATE.FAT&amp;display_string=Audit&amp;VAR:KEY=TUVKDYNCBK&amp;VAR:QUERY=RkZfRUJJVERBX0lCKCdMVE1TJywzODkxMyk=&amp;WINDOW=FIRST_POPUP&amp;HEIGHT=450&amp;WIDTH=450&amp;START_MA","XIMIZED=FALSE&amp;VAR:CALENDAR=US&amp;VAR:SYMBOL=G0129K10&amp;VAR:INDEX=0"}</definedName>
    <definedName name="_8628__FDSAUDITLINK__" hidden="1">{"fdsup://directions/FAT Viewer?action=UPDATE&amp;creator=factset&amp;DYN_ARGS=TRUE&amp;DOC_NAME=FAT:FQL_AUDITING_CLIENT_TEMPLATE.FAT&amp;display_string=Audit&amp;VAR:KEY=TUVKDYNCBK&amp;VAR:QUERY=RkZfRUJJVERBX0lCKCdMVE1TJywzODkxMyk=&amp;WINDOW=FIRST_POPUP&amp;HEIGHT=450&amp;WIDTH=450&amp;START_MA","XIMIZED=FALSE&amp;VAR:CALENDAR=US&amp;VAR:SYMBOL=G0129K10&amp;VAR:INDEX=0"}</definedName>
    <definedName name="_8629__FDSAUDITLINK__" localSheetId="6" hidden="1">{"fdsup://directions/FAT Viewer?action=UPDATE&amp;creator=factset&amp;DYN_ARGS=TRUE&amp;DOC_NAME=FAT:FQL_AUDITING_CLIENT_TEMPLATE.FAT&amp;display_string=Audit&amp;VAR:KEY=BYLQJORMXI&amp;VAR:QUERY=RkZfRUJJVERBX0lCKCdMVE1TJywzODkxMik=&amp;WINDOW=FIRST_POPUP&amp;HEIGHT=450&amp;WIDTH=450&amp;START_MA","XIMIZED=FALSE&amp;VAR:CALENDAR=US&amp;VAR:SYMBOL=G0129K10&amp;VAR:INDEX=0"}</definedName>
    <definedName name="_8629__FDSAUDITLINK__" hidden="1">{"fdsup://directions/FAT Viewer?action=UPDATE&amp;creator=factset&amp;DYN_ARGS=TRUE&amp;DOC_NAME=FAT:FQL_AUDITING_CLIENT_TEMPLATE.FAT&amp;display_string=Audit&amp;VAR:KEY=BYLQJORMXI&amp;VAR:QUERY=RkZfRUJJVERBX0lCKCdMVE1TJywzODkxMik=&amp;WINDOW=FIRST_POPUP&amp;HEIGHT=450&amp;WIDTH=450&amp;START_MA","XIMIZED=FALSE&amp;VAR:CALENDAR=US&amp;VAR:SYMBOL=G0129K10&amp;VAR:INDEX=0"}</definedName>
    <definedName name="_863__FDSAUDITLINK__" localSheetId="6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3__FDSAUDITLINK__" hidden="1">{"fdsup://directions/FAT%20Viewer?VAR:PED=LTM&amp;VAR:AUDIT_MODE=SUMMARY&amp;VAR:PERIOD=FIXED&amp;VAR:AUDIT_ID=00000117&amp;VAR:DATE=20071012&amp;action=UPDATE&amp;creator=factset&amp;DOC_NAME=FAT:FMA_audit_SUMMARY.fat&amp;DISPLAY_STRING=Display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30__FDSAUDITLINK__" localSheetId="6" hidden="1">{"fdsup://directions/FAT Viewer?action=UPDATE&amp;creator=factset&amp;DYN_ARGS=TRUE&amp;DOC_NAME=FAT:FQL_AUDITING_CLIENT_TEMPLATE.FAT&amp;display_string=Audit&amp;VAR:KEY=ZIPITQLWLW&amp;VAR:QUERY=RkZfRUJJVERBX0lCKCdMVE1TJywzODkxMSk=&amp;WINDOW=FIRST_POPUP&amp;HEIGHT=450&amp;WIDTH=450&amp;START_MA","XIMIZED=FALSE&amp;VAR:CALENDAR=US&amp;VAR:SYMBOL=G0129K10&amp;VAR:INDEX=0"}</definedName>
    <definedName name="_8630__FDSAUDITLINK__" hidden="1">{"fdsup://directions/FAT Viewer?action=UPDATE&amp;creator=factset&amp;DYN_ARGS=TRUE&amp;DOC_NAME=FAT:FQL_AUDITING_CLIENT_TEMPLATE.FAT&amp;display_string=Audit&amp;VAR:KEY=ZIPITQLWLW&amp;VAR:QUERY=RkZfRUJJVERBX0lCKCdMVE1TJywzODkxMSk=&amp;WINDOW=FIRST_POPUP&amp;HEIGHT=450&amp;WIDTH=450&amp;START_MA","XIMIZED=FALSE&amp;VAR:CALENDAR=US&amp;VAR:SYMBOL=G0129K10&amp;VAR:INDEX=0"}</definedName>
    <definedName name="_8631__FDSAUDITLINK__" localSheetId="6" hidden="1">{"fdsup://directions/FAT Viewer?action=UPDATE&amp;creator=factset&amp;DYN_ARGS=TRUE&amp;DOC_NAME=FAT:FQL_AUDITING_CLIENT_TEMPLATE.FAT&amp;display_string=Audit&amp;VAR:KEY=XOZQBIHYNW&amp;VAR:QUERY=RkZfRUJJVERBX0lCKCdMVE1TJywzODkxMCk=&amp;WINDOW=FIRST_POPUP&amp;HEIGHT=450&amp;WIDTH=450&amp;START_MA","XIMIZED=FALSE&amp;VAR:CALENDAR=US&amp;VAR:SYMBOL=G0129K10&amp;VAR:INDEX=0"}</definedName>
    <definedName name="_8631__FDSAUDITLINK__" hidden="1">{"fdsup://directions/FAT Viewer?action=UPDATE&amp;creator=factset&amp;DYN_ARGS=TRUE&amp;DOC_NAME=FAT:FQL_AUDITING_CLIENT_TEMPLATE.FAT&amp;display_string=Audit&amp;VAR:KEY=XOZQBIHYNW&amp;VAR:QUERY=RkZfRUJJVERBX0lCKCdMVE1TJywzODkxMCk=&amp;WINDOW=FIRST_POPUP&amp;HEIGHT=450&amp;WIDTH=450&amp;START_MA","XIMIZED=FALSE&amp;VAR:CALENDAR=US&amp;VAR:SYMBOL=G0129K10&amp;VAR:INDEX=0"}</definedName>
    <definedName name="_8632__FDSAUDITLINK__" localSheetId="6" hidden="1">{"fdsup://directions/FAT Viewer?action=UPDATE&amp;creator=factset&amp;DYN_ARGS=TRUE&amp;DOC_NAME=FAT:FQL_AUDITING_CLIENT_TEMPLATE.FAT&amp;display_string=Audit&amp;VAR:KEY=XWHULCRAFM&amp;VAR:QUERY=RkZfRUJJVERBX0lCKCdMVE1TJywzODkwOSk=&amp;WINDOW=FIRST_POPUP&amp;HEIGHT=450&amp;WIDTH=450&amp;START_MA","XIMIZED=FALSE&amp;VAR:CALENDAR=US&amp;VAR:SYMBOL=G0129K10&amp;VAR:INDEX=0"}</definedName>
    <definedName name="_8632__FDSAUDITLINK__" hidden="1">{"fdsup://directions/FAT Viewer?action=UPDATE&amp;creator=factset&amp;DYN_ARGS=TRUE&amp;DOC_NAME=FAT:FQL_AUDITING_CLIENT_TEMPLATE.FAT&amp;display_string=Audit&amp;VAR:KEY=XWHULCRAFM&amp;VAR:QUERY=RkZfRUJJVERBX0lCKCdMVE1TJywzODkwOSk=&amp;WINDOW=FIRST_POPUP&amp;HEIGHT=450&amp;WIDTH=450&amp;START_MA","XIMIZED=FALSE&amp;VAR:CALENDAR=US&amp;VAR:SYMBOL=G0129K10&amp;VAR:INDEX=0"}</definedName>
    <definedName name="_8633__FDSAUDITLINK__" localSheetId="6" hidden="1">{"fdsup://directions/FAT Viewer?action=UPDATE&amp;creator=factset&amp;DYN_ARGS=TRUE&amp;DOC_NAME=FAT:FQL_AUDITING_CLIENT_TEMPLATE.FAT&amp;display_string=Audit&amp;VAR:KEY=DWHINEJIFE&amp;VAR:QUERY=RkZfRUJJVERBX0lCKCdMVE1TJywzODkwOCk=&amp;WINDOW=FIRST_POPUP&amp;HEIGHT=450&amp;WIDTH=450&amp;START_MA","XIMIZED=FALSE&amp;VAR:CALENDAR=US&amp;VAR:SYMBOL=G0129K10&amp;VAR:INDEX=0"}</definedName>
    <definedName name="_8633__FDSAUDITLINK__" hidden="1">{"fdsup://directions/FAT Viewer?action=UPDATE&amp;creator=factset&amp;DYN_ARGS=TRUE&amp;DOC_NAME=FAT:FQL_AUDITING_CLIENT_TEMPLATE.FAT&amp;display_string=Audit&amp;VAR:KEY=DWHINEJIFE&amp;VAR:QUERY=RkZfRUJJVERBX0lCKCdMVE1TJywzODkwOCk=&amp;WINDOW=FIRST_POPUP&amp;HEIGHT=450&amp;WIDTH=450&amp;START_MA","XIMIZED=FALSE&amp;VAR:CALENDAR=US&amp;VAR:SYMBOL=G0129K10&amp;VAR:INDEX=0"}</definedName>
    <definedName name="_8634__FDSAUDITLINK__" localSheetId="6" hidden="1">{"fdsup://directions/FAT Viewer?action=UPDATE&amp;creator=factset&amp;DYN_ARGS=TRUE&amp;DOC_NAME=FAT:FQL_AUDITING_CLIENT_TEMPLATE.FAT&amp;display_string=Audit&amp;VAR:KEY=PELOPANMDU&amp;VAR:QUERY=RkZfRUJJVERBX0lCKCdMVE1TJywzODkwNyk=&amp;WINDOW=FIRST_POPUP&amp;HEIGHT=450&amp;WIDTH=450&amp;START_MA","XIMIZED=FALSE&amp;VAR:CALENDAR=US&amp;VAR:SYMBOL=G0129K10&amp;VAR:INDEX=0"}</definedName>
    <definedName name="_8634__FDSAUDITLINK__" hidden="1">{"fdsup://directions/FAT Viewer?action=UPDATE&amp;creator=factset&amp;DYN_ARGS=TRUE&amp;DOC_NAME=FAT:FQL_AUDITING_CLIENT_TEMPLATE.FAT&amp;display_string=Audit&amp;VAR:KEY=PELOPANMDU&amp;VAR:QUERY=RkZfRUJJVERBX0lCKCdMVE1TJywzODkwNyk=&amp;WINDOW=FIRST_POPUP&amp;HEIGHT=450&amp;WIDTH=450&amp;START_MA","XIMIZED=FALSE&amp;VAR:CALENDAR=US&amp;VAR:SYMBOL=G0129K10&amp;VAR:INDEX=0"}</definedName>
    <definedName name="_8635__FDSAUDITLINK__" localSheetId="6" hidden="1">{"fdsup://directions/FAT Viewer?action=UPDATE&amp;creator=factset&amp;DYN_ARGS=TRUE&amp;DOC_NAME=FAT:FQL_AUDITING_CLIENT_TEMPLATE.FAT&amp;display_string=Audit&amp;VAR:KEY=DOXOFSFYPY&amp;VAR:QUERY=RkZfRUJJVERBX0lCKCdMVE1TJywzODkwNik=&amp;WINDOW=FIRST_POPUP&amp;HEIGHT=450&amp;WIDTH=450&amp;START_MA","XIMIZED=FALSE&amp;VAR:CALENDAR=US&amp;VAR:SYMBOL=G0129K10&amp;VAR:INDEX=0"}</definedName>
    <definedName name="_8635__FDSAUDITLINK__" hidden="1">{"fdsup://directions/FAT Viewer?action=UPDATE&amp;creator=factset&amp;DYN_ARGS=TRUE&amp;DOC_NAME=FAT:FQL_AUDITING_CLIENT_TEMPLATE.FAT&amp;display_string=Audit&amp;VAR:KEY=DOXOFSFYPY&amp;VAR:QUERY=RkZfRUJJVERBX0lCKCdMVE1TJywzODkwNik=&amp;WINDOW=FIRST_POPUP&amp;HEIGHT=450&amp;WIDTH=450&amp;START_MA","XIMIZED=FALSE&amp;VAR:CALENDAR=US&amp;VAR:SYMBOL=G0129K10&amp;VAR:INDEX=0"}</definedName>
    <definedName name="_8636__FDSAUDITLINK__" localSheetId="6" hidden="1">{"fdsup://directions/FAT Viewer?action=UPDATE&amp;creator=factset&amp;DYN_ARGS=TRUE&amp;DOC_NAME=FAT:FQL_AUDITING_CLIENT_TEMPLATE.FAT&amp;display_string=Audit&amp;VAR:KEY=XABERKRALO&amp;VAR:QUERY=RkZfRUJJVERBX0lCKCdMVE1TJywzODkwNSk=&amp;WINDOW=FIRST_POPUP&amp;HEIGHT=450&amp;WIDTH=450&amp;START_MA","XIMIZED=FALSE&amp;VAR:CALENDAR=US&amp;VAR:SYMBOL=G0129K10&amp;VAR:INDEX=0"}</definedName>
    <definedName name="_8636__FDSAUDITLINK__" hidden="1">{"fdsup://directions/FAT Viewer?action=UPDATE&amp;creator=factset&amp;DYN_ARGS=TRUE&amp;DOC_NAME=FAT:FQL_AUDITING_CLIENT_TEMPLATE.FAT&amp;display_string=Audit&amp;VAR:KEY=XABERKRALO&amp;VAR:QUERY=RkZfRUJJVERBX0lCKCdMVE1TJywzODkwNSk=&amp;WINDOW=FIRST_POPUP&amp;HEIGHT=450&amp;WIDTH=450&amp;START_MA","XIMIZED=FALSE&amp;VAR:CALENDAR=US&amp;VAR:SYMBOL=G0129K10&amp;VAR:INDEX=0"}</definedName>
    <definedName name="_8637__FDSAUDITLINK__" localSheetId="6" hidden="1">{"fdsup://directions/FAT Viewer?action=UPDATE&amp;creator=factset&amp;DYN_ARGS=TRUE&amp;DOC_NAME=FAT:FQL_AUDITING_CLIENT_TEMPLATE.FAT&amp;display_string=Audit&amp;VAR:KEY=NCTYNQVKBQ&amp;VAR:QUERY=RkZfRUJJVERBX0lCKCdMVE1TJywzODkwNCk=&amp;WINDOW=FIRST_POPUP&amp;HEIGHT=450&amp;WIDTH=450&amp;START_MA","XIMIZED=FALSE&amp;VAR:CALENDAR=US&amp;VAR:SYMBOL=G0129K10&amp;VAR:INDEX=0"}</definedName>
    <definedName name="_8637__FDSAUDITLINK__" hidden="1">{"fdsup://directions/FAT Viewer?action=UPDATE&amp;creator=factset&amp;DYN_ARGS=TRUE&amp;DOC_NAME=FAT:FQL_AUDITING_CLIENT_TEMPLATE.FAT&amp;display_string=Audit&amp;VAR:KEY=NCTYNQVKBQ&amp;VAR:QUERY=RkZfRUJJVERBX0lCKCdMVE1TJywzODkwNCk=&amp;WINDOW=FIRST_POPUP&amp;HEIGHT=450&amp;WIDTH=450&amp;START_MA","XIMIZED=FALSE&amp;VAR:CALENDAR=US&amp;VAR:SYMBOL=G0129K10&amp;VAR:INDEX=0"}</definedName>
    <definedName name="_8638__FDSAUDITLINK__" localSheetId="6" hidden="1">{"fdsup://directions/FAT Viewer?action=UPDATE&amp;creator=factset&amp;DYN_ARGS=TRUE&amp;DOC_NAME=FAT:FQL_AUDITING_CLIENT_TEMPLATE.FAT&amp;display_string=Audit&amp;VAR:KEY=ZQNMHSZGNM&amp;VAR:QUERY=RkZfRUJJVERBX0lCKCdMVE1TJywzODkwMyk=&amp;WINDOW=FIRST_POPUP&amp;HEIGHT=450&amp;WIDTH=450&amp;START_MA","XIMIZED=FALSE&amp;VAR:CALENDAR=US&amp;VAR:SYMBOL=G0129K10&amp;VAR:INDEX=0"}</definedName>
    <definedName name="_8638__FDSAUDITLINK__" hidden="1">{"fdsup://directions/FAT Viewer?action=UPDATE&amp;creator=factset&amp;DYN_ARGS=TRUE&amp;DOC_NAME=FAT:FQL_AUDITING_CLIENT_TEMPLATE.FAT&amp;display_string=Audit&amp;VAR:KEY=ZQNMHSZGNM&amp;VAR:QUERY=RkZfRUJJVERBX0lCKCdMVE1TJywzODkwMyk=&amp;WINDOW=FIRST_POPUP&amp;HEIGHT=450&amp;WIDTH=450&amp;START_MA","XIMIZED=FALSE&amp;VAR:CALENDAR=US&amp;VAR:SYMBOL=G0129K10&amp;VAR:INDEX=0"}</definedName>
    <definedName name="_8639__FDSAUDITLINK__" localSheetId="6" hidden="1">{"fdsup://directions/FAT Viewer?action=UPDATE&amp;creator=factset&amp;DYN_ARGS=TRUE&amp;DOC_NAME=FAT:FQL_AUDITING_CLIENT_TEMPLATE.FAT&amp;display_string=Audit&amp;VAR:KEY=HKBGPYFGPI&amp;VAR:QUERY=RkZfRUJJVERBX0lCKCdMVE1TJywzODkwMik=&amp;WINDOW=FIRST_POPUP&amp;HEIGHT=450&amp;WIDTH=450&amp;START_MA","XIMIZED=FALSE&amp;VAR:CALENDAR=US&amp;VAR:SYMBOL=G0129K10&amp;VAR:INDEX=0"}</definedName>
    <definedName name="_8639__FDSAUDITLINK__" hidden="1">{"fdsup://directions/FAT Viewer?action=UPDATE&amp;creator=factset&amp;DYN_ARGS=TRUE&amp;DOC_NAME=FAT:FQL_AUDITING_CLIENT_TEMPLATE.FAT&amp;display_string=Audit&amp;VAR:KEY=HKBGPYFGPI&amp;VAR:QUERY=RkZfRUJJVERBX0lCKCdMVE1TJywzODkwMik=&amp;WINDOW=FIRST_POPUP&amp;HEIGHT=450&amp;WIDTH=450&amp;START_MA","XIMIZED=FALSE&amp;VAR:CALENDAR=US&amp;VAR:SYMBOL=G0129K10&amp;VAR:INDEX=0"}</definedName>
    <definedName name="_864__FDSAUDITLINK__" localSheetId="6" hidden="1">{"fdsup://directions/FAT%20Viewer?VAR:PED=LTM&amp;VAR:AUDIT_MODE=SUMMARY&amp;VAR:PERIOD=FIXED&amp;VAR:AUDIT_ID=00000117&amp;VAR:DATE=20071011&amp;action=UPDATE&amp;creator=factset&amp;DOC_NAME=FAT:FMA_audit_SUMMARY.fat&amp;DISPLAY_STRING=Display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4__FDSAUDITLINK__" hidden="1">{"fdsup://directions/FAT%20Viewer?VAR:PED=LTM&amp;VAR:AUDIT_MODE=SUMMARY&amp;VAR:PERIOD=FIXED&amp;VAR:AUDIT_ID=00000117&amp;VAR:DATE=20071011&amp;action=UPDATE&amp;creator=factset&amp;DOC_NAME=FAT:FMA_audit_SUMMARY.fat&amp;DISPLAY_STRING=Display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40__FDSAUDITLINK__" localSheetId="6" hidden="1">{"fdsup://directions/FAT Viewer?action=UPDATE&amp;creator=factset&amp;DYN_ARGS=TRUE&amp;DOC_NAME=FAT:FQL_AUDITING_CLIENT_TEMPLATE.FAT&amp;display_string=Audit&amp;VAR:KEY=PWHOHSFQFO&amp;VAR:QUERY=RkZfRUJJVERBX0lCKCdMVE1TJywzODkwMSk=&amp;WINDOW=FIRST_POPUP&amp;HEIGHT=450&amp;WIDTH=450&amp;START_MA","XIMIZED=FALSE&amp;VAR:CALENDAR=US&amp;VAR:SYMBOL=G0129K10&amp;VAR:INDEX=0"}</definedName>
    <definedName name="_8640__FDSAUDITLINK__" hidden="1">{"fdsup://directions/FAT Viewer?action=UPDATE&amp;creator=factset&amp;DYN_ARGS=TRUE&amp;DOC_NAME=FAT:FQL_AUDITING_CLIENT_TEMPLATE.FAT&amp;display_string=Audit&amp;VAR:KEY=PWHOHSFQFO&amp;VAR:QUERY=RkZfRUJJVERBX0lCKCdMVE1TJywzODkwMSk=&amp;WINDOW=FIRST_POPUP&amp;HEIGHT=450&amp;WIDTH=450&amp;START_MA","XIMIZED=FALSE&amp;VAR:CALENDAR=US&amp;VAR:SYMBOL=G0129K10&amp;VAR:INDEX=0"}</definedName>
    <definedName name="_8641__FDSAUDITLINK__" localSheetId="6" hidden="1">{"fdsup://directions/FAT Viewer?action=UPDATE&amp;creator=factset&amp;DYN_ARGS=TRUE&amp;DOC_NAME=FAT:FQL_AUDITING_CLIENT_TEMPLATE.FAT&amp;display_string=Audit&amp;VAR:KEY=BUFIHUTWTY&amp;VAR:QUERY=RkZfRUJJVERBX0lCKCdMVE1TJywzODkwMCk=&amp;WINDOW=FIRST_POPUP&amp;HEIGHT=450&amp;WIDTH=450&amp;START_MA","XIMIZED=FALSE&amp;VAR:CALENDAR=US&amp;VAR:SYMBOL=G0129K10&amp;VAR:INDEX=0"}</definedName>
    <definedName name="_8641__FDSAUDITLINK__" hidden="1">{"fdsup://directions/FAT Viewer?action=UPDATE&amp;creator=factset&amp;DYN_ARGS=TRUE&amp;DOC_NAME=FAT:FQL_AUDITING_CLIENT_TEMPLATE.FAT&amp;display_string=Audit&amp;VAR:KEY=BUFIHUTWTY&amp;VAR:QUERY=RkZfRUJJVERBX0lCKCdMVE1TJywzODkwMCk=&amp;WINDOW=FIRST_POPUP&amp;HEIGHT=450&amp;WIDTH=450&amp;START_MA","XIMIZED=FALSE&amp;VAR:CALENDAR=US&amp;VAR:SYMBOL=G0129K10&amp;VAR:INDEX=0"}</definedName>
    <definedName name="_8642__FDSAUDITLINK__" localSheetId="6" hidden="1">{"fdsup://directions/FAT Viewer?action=UPDATE&amp;creator=factset&amp;DYN_ARGS=TRUE&amp;DOC_NAME=FAT:FQL_AUDITING_CLIENT_TEMPLATE.FAT&amp;display_string=Audit&amp;VAR:KEY=TGNGPSBYHG&amp;VAR:QUERY=RkZfRUJJVERBX0lCKCdMVE1TJywzODg5OSk=&amp;WINDOW=FIRST_POPUP&amp;HEIGHT=450&amp;WIDTH=450&amp;START_MA","XIMIZED=FALSE&amp;VAR:CALENDAR=US&amp;VAR:SYMBOL=G0129K10&amp;VAR:INDEX=0"}</definedName>
    <definedName name="_8642__FDSAUDITLINK__" hidden="1">{"fdsup://directions/FAT Viewer?action=UPDATE&amp;creator=factset&amp;DYN_ARGS=TRUE&amp;DOC_NAME=FAT:FQL_AUDITING_CLIENT_TEMPLATE.FAT&amp;display_string=Audit&amp;VAR:KEY=TGNGPSBYHG&amp;VAR:QUERY=RkZfRUJJVERBX0lCKCdMVE1TJywzODg5OSk=&amp;WINDOW=FIRST_POPUP&amp;HEIGHT=450&amp;WIDTH=450&amp;START_MA","XIMIZED=FALSE&amp;VAR:CALENDAR=US&amp;VAR:SYMBOL=G0129K10&amp;VAR:INDEX=0"}</definedName>
    <definedName name="_8643__FDSAUDITLINK__" localSheetId="6" hidden="1">{"fdsup://directions/FAT Viewer?action=UPDATE&amp;creator=factset&amp;DYN_ARGS=TRUE&amp;DOC_NAME=FAT:FQL_AUDITING_CLIENT_TEMPLATE.FAT&amp;display_string=Audit&amp;VAR:KEY=POZWDCXYFY&amp;VAR:QUERY=RkZfRUJJVERBX0lCKCdMVE1TJywzODg5OCk=&amp;WINDOW=FIRST_POPUP&amp;HEIGHT=450&amp;WIDTH=450&amp;START_MA","XIMIZED=FALSE&amp;VAR:CALENDAR=US&amp;VAR:SYMBOL=G0129K10&amp;VAR:INDEX=0"}</definedName>
    <definedName name="_8643__FDSAUDITLINK__" hidden="1">{"fdsup://directions/FAT Viewer?action=UPDATE&amp;creator=factset&amp;DYN_ARGS=TRUE&amp;DOC_NAME=FAT:FQL_AUDITING_CLIENT_TEMPLATE.FAT&amp;display_string=Audit&amp;VAR:KEY=POZWDCXYFY&amp;VAR:QUERY=RkZfRUJJVERBX0lCKCdMVE1TJywzODg5OCk=&amp;WINDOW=FIRST_POPUP&amp;HEIGHT=450&amp;WIDTH=450&amp;START_MA","XIMIZED=FALSE&amp;VAR:CALENDAR=US&amp;VAR:SYMBOL=G0129K10&amp;VAR:INDEX=0"}</definedName>
    <definedName name="_8644__FDSAUDITLINK__" localSheetId="6" hidden="1">{"fdsup://directions/FAT Viewer?action=UPDATE&amp;creator=factset&amp;DYN_ARGS=TRUE&amp;DOC_NAME=FAT:FQL_AUDITING_CLIENT_TEMPLATE.FAT&amp;display_string=Audit&amp;VAR:KEY=BGDAJABEFI&amp;VAR:QUERY=RkZfRUJJVERBX0lCKCdMVE1TJywzODg5Nyk=&amp;WINDOW=FIRST_POPUP&amp;HEIGHT=450&amp;WIDTH=450&amp;START_MA","XIMIZED=FALSE&amp;VAR:CALENDAR=US&amp;VAR:SYMBOL=G0129K10&amp;VAR:INDEX=0"}</definedName>
    <definedName name="_8644__FDSAUDITLINK__" hidden="1">{"fdsup://directions/FAT Viewer?action=UPDATE&amp;creator=factset&amp;DYN_ARGS=TRUE&amp;DOC_NAME=FAT:FQL_AUDITING_CLIENT_TEMPLATE.FAT&amp;display_string=Audit&amp;VAR:KEY=BGDAJABEFI&amp;VAR:QUERY=RkZfRUJJVERBX0lCKCdMVE1TJywzODg5Nyk=&amp;WINDOW=FIRST_POPUP&amp;HEIGHT=450&amp;WIDTH=450&amp;START_MA","XIMIZED=FALSE&amp;VAR:CALENDAR=US&amp;VAR:SYMBOL=G0129K10&amp;VAR:INDEX=0"}</definedName>
    <definedName name="_8645__FDSAUDITLINK__" localSheetId="6" hidden="1">{"fdsup://directions/FAT Viewer?action=UPDATE&amp;creator=factset&amp;DYN_ARGS=TRUE&amp;DOC_NAME=FAT:FQL_AUDITING_CLIENT_TEMPLATE.FAT&amp;display_string=Audit&amp;VAR:KEY=XINCJINQRO&amp;VAR:QUERY=RkZfRUJJVERBX0lCKCdMVE1TJywzODg5Nik=&amp;WINDOW=FIRST_POPUP&amp;HEIGHT=450&amp;WIDTH=450&amp;START_MA","XIMIZED=FALSE&amp;VAR:CALENDAR=US&amp;VAR:SYMBOL=G0129K10&amp;VAR:INDEX=0"}</definedName>
    <definedName name="_8645__FDSAUDITLINK__" hidden="1">{"fdsup://directions/FAT Viewer?action=UPDATE&amp;creator=factset&amp;DYN_ARGS=TRUE&amp;DOC_NAME=FAT:FQL_AUDITING_CLIENT_TEMPLATE.FAT&amp;display_string=Audit&amp;VAR:KEY=XINCJINQRO&amp;VAR:QUERY=RkZfRUJJVERBX0lCKCdMVE1TJywzODg5Nik=&amp;WINDOW=FIRST_POPUP&amp;HEIGHT=450&amp;WIDTH=450&amp;START_MA","XIMIZED=FALSE&amp;VAR:CALENDAR=US&amp;VAR:SYMBOL=G0129K10&amp;VAR:INDEX=0"}</definedName>
    <definedName name="_8646__FDSAUDITLINK__" localSheetId="6" hidden="1">{"fdsup://directions/FAT Viewer?action=UPDATE&amp;creator=factset&amp;DYN_ARGS=TRUE&amp;DOC_NAME=FAT:FQL_AUDITING_CLIENT_TEMPLATE.FAT&amp;display_string=Audit&amp;VAR:KEY=NKHUDKZOBO&amp;VAR:QUERY=RkZfRUJJVERBX0lCKCdMVE1TJywzODg5NSk=&amp;WINDOW=FIRST_POPUP&amp;HEIGHT=450&amp;WIDTH=450&amp;START_MA","XIMIZED=FALSE&amp;VAR:CALENDAR=US&amp;VAR:SYMBOL=G0129K10&amp;VAR:INDEX=0"}</definedName>
    <definedName name="_8646__FDSAUDITLINK__" hidden="1">{"fdsup://directions/FAT Viewer?action=UPDATE&amp;creator=factset&amp;DYN_ARGS=TRUE&amp;DOC_NAME=FAT:FQL_AUDITING_CLIENT_TEMPLATE.FAT&amp;display_string=Audit&amp;VAR:KEY=NKHUDKZOBO&amp;VAR:QUERY=RkZfRUJJVERBX0lCKCdMVE1TJywzODg5NSk=&amp;WINDOW=FIRST_POPUP&amp;HEIGHT=450&amp;WIDTH=450&amp;START_MA","XIMIZED=FALSE&amp;VAR:CALENDAR=US&amp;VAR:SYMBOL=G0129K10&amp;VAR:INDEX=0"}</definedName>
    <definedName name="_8647__FDSAUDITLINK__" localSheetId="6" hidden="1">{"fdsup://directions/FAT Viewer?action=UPDATE&amp;creator=factset&amp;DYN_ARGS=TRUE&amp;DOC_NAME=FAT:FQL_AUDITING_CLIENT_TEMPLATE.FAT&amp;display_string=Audit&amp;VAR:KEY=DYJSLQBYVE&amp;VAR:QUERY=RkZfRUJJVERBX0lCKCdMVE1TJywzODg5NCk=&amp;WINDOW=FIRST_POPUP&amp;HEIGHT=450&amp;WIDTH=450&amp;START_MA","XIMIZED=FALSE&amp;VAR:CALENDAR=US&amp;VAR:SYMBOL=G0129K10&amp;VAR:INDEX=0"}</definedName>
    <definedName name="_8647__FDSAUDITLINK__" hidden="1">{"fdsup://directions/FAT Viewer?action=UPDATE&amp;creator=factset&amp;DYN_ARGS=TRUE&amp;DOC_NAME=FAT:FQL_AUDITING_CLIENT_TEMPLATE.FAT&amp;display_string=Audit&amp;VAR:KEY=DYJSLQBYVE&amp;VAR:QUERY=RkZfRUJJVERBX0lCKCdMVE1TJywzODg5NCk=&amp;WINDOW=FIRST_POPUP&amp;HEIGHT=450&amp;WIDTH=450&amp;START_MA","XIMIZED=FALSE&amp;VAR:CALENDAR=US&amp;VAR:SYMBOL=G0129K10&amp;VAR:INDEX=0"}</definedName>
    <definedName name="_8648__FDSAUDITLINK__" localSheetId="6" hidden="1">{"fdsup://directions/FAT Viewer?action=UPDATE&amp;creator=factset&amp;DYN_ARGS=TRUE&amp;DOC_NAME=FAT:FQL_AUDITING_CLIENT_TEMPLATE.FAT&amp;display_string=Audit&amp;VAR:KEY=LOLQXGRAJY&amp;VAR:QUERY=RkZfRUJJVERBX0lCKCdMVE1TJywzODg5Myk=&amp;WINDOW=FIRST_POPUP&amp;HEIGHT=450&amp;WIDTH=450&amp;START_MA","XIMIZED=FALSE&amp;VAR:CALENDAR=US&amp;VAR:SYMBOL=G0129K10&amp;VAR:INDEX=0"}</definedName>
    <definedName name="_8648__FDSAUDITLINK__" hidden="1">{"fdsup://directions/FAT Viewer?action=UPDATE&amp;creator=factset&amp;DYN_ARGS=TRUE&amp;DOC_NAME=FAT:FQL_AUDITING_CLIENT_TEMPLATE.FAT&amp;display_string=Audit&amp;VAR:KEY=LOLQXGRAJY&amp;VAR:QUERY=RkZfRUJJVERBX0lCKCdMVE1TJywzODg5Myk=&amp;WINDOW=FIRST_POPUP&amp;HEIGHT=450&amp;WIDTH=450&amp;START_MA","XIMIZED=FALSE&amp;VAR:CALENDAR=US&amp;VAR:SYMBOL=G0129K10&amp;VAR:INDEX=0"}</definedName>
    <definedName name="_8649__FDSAUDITLINK__" localSheetId="6" hidden="1">{"fdsup://directions/FAT Viewer?action=UPDATE&amp;creator=factset&amp;DYN_ARGS=TRUE&amp;DOC_NAME=FAT:FQL_AUDITING_CLIENT_TEMPLATE.FAT&amp;display_string=Audit&amp;VAR:KEY=VAZKDMBWNY&amp;VAR:QUERY=RkZfRUJJVERBX0lCKCdMVE1TJywzODg5Mik=&amp;WINDOW=FIRST_POPUP&amp;HEIGHT=450&amp;WIDTH=450&amp;START_MA","XIMIZED=FALSE&amp;VAR:CALENDAR=US&amp;VAR:SYMBOL=G0129K10&amp;VAR:INDEX=0"}</definedName>
    <definedName name="_8649__FDSAUDITLINK__" hidden="1">{"fdsup://directions/FAT Viewer?action=UPDATE&amp;creator=factset&amp;DYN_ARGS=TRUE&amp;DOC_NAME=FAT:FQL_AUDITING_CLIENT_TEMPLATE.FAT&amp;display_string=Audit&amp;VAR:KEY=VAZKDMBWNY&amp;VAR:QUERY=RkZfRUJJVERBX0lCKCdMVE1TJywzODg5Mik=&amp;WINDOW=FIRST_POPUP&amp;HEIGHT=450&amp;WIDTH=450&amp;START_MA","XIMIZED=FALSE&amp;VAR:CALENDAR=US&amp;VAR:SYMBOL=G0129K10&amp;VAR:INDEX=0"}</definedName>
    <definedName name="_865__FDSAUDITLINK__" localSheetId="6" hidden="1">{"fdsup://directions/FAT%20Viewer?VAR:PED=LTM&amp;VAR:AUDIT_MODE=SUMMARY&amp;VAR:PERIOD=FIXED&amp;VAR:AUDIT_ID=00000117&amp;VAR:DATE=20071010&amp;action=UPDATE&amp;creator=factset&amp;DOC_NAME=FAT:FMA_audit_SUMMARY.fat&amp;DISPLAY_STRING=Display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5__FDSAUDITLINK__" hidden="1">{"fdsup://directions/FAT%20Viewer?VAR:PED=LTM&amp;VAR:AUDIT_MODE=SUMMARY&amp;VAR:PERIOD=FIXED&amp;VAR:AUDIT_ID=00000117&amp;VAR:DATE=20071010&amp;action=UPDATE&amp;creator=factset&amp;DOC_NAME=FAT:FMA_audit_SUMMARY.fat&amp;DISPLAY_STRING=Display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50__FDSAUDITLINK__" localSheetId="6" hidden="1">{"fdsup://directions/FAT Viewer?action=UPDATE&amp;creator=factset&amp;DYN_ARGS=TRUE&amp;DOC_NAME=FAT:FQL_AUDITING_CLIENT_TEMPLATE.FAT&amp;display_string=Audit&amp;VAR:KEY=HEXCBKNWFO&amp;VAR:QUERY=RkZfRUJJVERBX0lCKCdMVE1TJywzODg5MSk=&amp;WINDOW=FIRST_POPUP&amp;HEIGHT=450&amp;WIDTH=450&amp;START_MA","XIMIZED=FALSE&amp;VAR:CALENDAR=US&amp;VAR:SYMBOL=G0129K10&amp;VAR:INDEX=0"}</definedName>
    <definedName name="_8650__FDSAUDITLINK__" hidden="1">{"fdsup://directions/FAT Viewer?action=UPDATE&amp;creator=factset&amp;DYN_ARGS=TRUE&amp;DOC_NAME=FAT:FQL_AUDITING_CLIENT_TEMPLATE.FAT&amp;display_string=Audit&amp;VAR:KEY=HEXCBKNWFO&amp;VAR:QUERY=RkZfRUJJVERBX0lCKCdMVE1TJywzODg5MSk=&amp;WINDOW=FIRST_POPUP&amp;HEIGHT=450&amp;WIDTH=450&amp;START_MA","XIMIZED=FALSE&amp;VAR:CALENDAR=US&amp;VAR:SYMBOL=G0129K10&amp;VAR:INDEX=0"}</definedName>
    <definedName name="_8651__FDSAUDITLINK__" localSheetId="6" hidden="1">{"fdsup://directions/FAT Viewer?action=UPDATE&amp;creator=factset&amp;DYN_ARGS=TRUE&amp;DOC_NAME=FAT:FQL_AUDITING_CLIENT_TEMPLATE.FAT&amp;display_string=Audit&amp;VAR:KEY=BMXGFSVGZG&amp;VAR:QUERY=RkZfRUJJVERBX0lCKCdMVE1TJywzODg5MCk=&amp;WINDOW=FIRST_POPUP&amp;HEIGHT=450&amp;WIDTH=450&amp;START_MA","XIMIZED=FALSE&amp;VAR:CALENDAR=US&amp;VAR:SYMBOL=G0129K10&amp;VAR:INDEX=0"}</definedName>
    <definedName name="_8651__FDSAUDITLINK__" hidden="1">{"fdsup://directions/FAT Viewer?action=UPDATE&amp;creator=factset&amp;DYN_ARGS=TRUE&amp;DOC_NAME=FAT:FQL_AUDITING_CLIENT_TEMPLATE.FAT&amp;display_string=Audit&amp;VAR:KEY=BMXGFSVGZG&amp;VAR:QUERY=RkZfRUJJVERBX0lCKCdMVE1TJywzODg5MCk=&amp;WINDOW=FIRST_POPUP&amp;HEIGHT=450&amp;WIDTH=450&amp;START_MA","XIMIZED=FALSE&amp;VAR:CALENDAR=US&amp;VAR:SYMBOL=G0129K10&amp;VAR:INDEX=0"}</definedName>
    <definedName name="_8652__FDSAUDITLINK__" localSheetId="6" hidden="1">{"fdsup://directions/FAT Viewer?action=UPDATE&amp;creator=factset&amp;DYN_ARGS=TRUE&amp;DOC_NAME=FAT:FQL_AUDITING_CLIENT_TEMPLATE.FAT&amp;display_string=Audit&amp;VAR:KEY=BYHQVQLGHK&amp;VAR:QUERY=RkZfRUJJVERBX0lCKCdMVE1TJywzODg4OSk=&amp;WINDOW=FIRST_POPUP&amp;HEIGHT=450&amp;WIDTH=450&amp;START_MA","XIMIZED=FALSE&amp;VAR:CALENDAR=US&amp;VAR:SYMBOL=G0129K10&amp;VAR:INDEX=0"}</definedName>
    <definedName name="_8652__FDSAUDITLINK__" hidden="1">{"fdsup://directions/FAT Viewer?action=UPDATE&amp;creator=factset&amp;DYN_ARGS=TRUE&amp;DOC_NAME=FAT:FQL_AUDITING_CLIENT_TEMPLATE.FAT&amp;display_string=Audit&amp;VAR:KEY=BYHQVQLGHK&amp;VAR:QUERY=RkZfRUJJVERBX0lCKCdMVE1TJywzODg4OSk=&amp;WINDOW=FIRST_POPUP&amp;HEIGHT=450&amp;WIDTH=450&amp;START_MA","XIMIZED=FALSE&amp;VAR:CALENDAR=US&amp;VAR:SYMBOL=G0129K10&amp;VAR:INDEX=0"}</definedName>
    <definedName name="_8653__FDSAUDITLINK__" localSheetId="6" hidden="1">{"fdsup://directions/FAT Viewer?action=UPDATE&amp;creator=factset&amp;DYN_ARGS=TRUE&amp;DOC_NAME=FAT:FQL_AUDITING_CLIENT_TEMPLATE.FAT&amp;display_string=Audit&amp;VAR:KEY=BMRKDEZGDI&amp;VAR:QUERY=RkZfRUJJVERBX0lCKCdMVE1TJywzODg4OCk=&amp;WINDOW=FIRST_POPUP&amp;HEIGHT=450&amp;WIDTH=450&amp;START_MA","XIMIZED=FALSE&amp;VAR:CALENDAR=US&amp;VAR:SYMBOL=G0129K10&amp;VAR:INDEX=0"}</definedName>
    <definedName name="_8653__FDSAUDITLINK__" hidden="1">{"fdsup://directions/FAT Viewer?action=UPDATE&amp;creator=factset&amp;DYN_ARGS=TRUE&amp;DOC_NAME=FAT:FQL_AUDITING_CLIENT_TEMPLATE.FAT&amp;display_string=Audit&amp;VAR:KEY=BMRKDEZGDI&amp;VAR:QUERY=RkZfRUJJVERBX0lCKCdMVE1TJywzODg4OCk=&amp;WINDOW=FIRST_POPUP&amp;HEIGHT=450&amp;WIDTH=450&amp;START_MA","XIMIZED=FALSE&amp;VAR:CALENDAR=US&amp;VAR:SYMBOL=G0129K10&amp;VAR:INDEX=0"}</definedName>
    <definedName name="_8654__FDSAUDITLINK__" localSheetId="6" hidden="1">{"fdsup://directions/FAT Viewer?action=UPDATE&amp;creator=factset&amp;DYN_ARGS=TRUE&amp;DOC_NAME=FAT:FQL_AUDITING_CLIENT_TEMPLATE.FAT&amp;display_string=Audit&amp;VAR:KEY=FSZYXULUFG&amp;VAR:QUERY=RkZfRUJJVERBX0lCKCdMVE1TJywzODg4Nyk=&amp;WINDOW=FIRST_POPUP&amp;HEIGHT=450&amp;WIDTH=450&amp;START_MA","XIMIZED=FALSE&amp;VAR:CALENDAR=US&amp;VAR:SYMBOL=G0129K10&amp;VAR:INDEX=0"}</definedName>
    <definedName name="_8654__FDSAUDITLINK__" hidden="1">{"fdsup://directions/FAT Viewer?action=UPDATE&amp;creator=factset&amp;DYN_ARGS=TRUE&amp;DOC_NAME=FAT:FQL_AUDITING_CLIENT_TEMPLATE.FAT&amp;display_string=Audit&amp;VAR:KEY=FSZYXULUFG&amp;VAR:QUERY=RkZfRUJJVERBX0lCKCdMVE1TJywzODg4Nyk=&amp;WINDOW=FIRST_POPUP&amp;HEIGHT=450&amp;WIDTH=450&amp;START_MA","XIMIZED=FALSE&amp;VAR:CALENDAR=US&amp;VAR:SYMBOL=G0129K10&amp;VAR:INDEX=0"}</definedName>
    <definedName name="_8655__FDSAUDITLINK__" localSheetId="6" hidden="1">{"fdsup://directions/FAT Viewer?action=UPDATE&amp;creator=factset&amp;DYN_ARGS=TRUE&amp;DOC_NAME=FAT:FQL_AUDITING_CLIENT_TEMPLATE.FAT&amp;display_string=Audit&amp;VAR:KEY=VQDIVUZQJM&amp;VAR:QUERY=RkZfRUJJVERBX0lCKCdMVE1TJywzODg4Nik=&amp;WINDOW=FIRST_POPUP&amp;HEIGHT=450&amp;WIDTH=450&amp;START_MA","XIMIZED=FALSE&amp;VAR:CALENDAR=US&amp;VAR:SYMBOL=G0129K10&amp;VAR:INDEX=0"}</definedName>
    <definedName name="_8655__FDSAUDITLINK__" hidden="1">{"fdsup://directions/FAT Viewer?action=UPDATE&amp;creator=factset&amp;DYN_ARGS=TRUE&amp;DOC_NAME=FAT:FQL_AUDITING_CLIENT_TEMPLATE.FAT&amp;display_string=Audit&amp;VAR:KEY=VQDIVUZQJM&amp;VAR:QUERY=RkZfRUJJVERBX0lCKCdMVE1TJywzODg4Nik=&amp;WINDOW=FIRST_POPUP&amp;HEIGHT=450&amp;WIDTH=450&amp;START_MA","XIMIZED=FALSE&amp;VAR:CALENDAR=US&amp;VAR:SYMBOL=G0129K10&amp;VAR:INDEX=0"}</definedName>
    <definedName name="_8656__FDSAUDITLINK__" localSheetId="6" hidden="1">{"fdsup://directions/FAT Viewer?action=UPDATE&amp;creator=factset&amp;DYN_ARGS=TRUE&amp;DOC_NAME=FAT:FQL_AUDITING_CLIENT_TEMPLATE.FAT&amp;display_string=Audit&amp;VAR:KEY=PGNARGTSJS&amp;VAR:QUERY=RkZfRUJJVERBX0lCKCdMVE1TJywzODg4NSk=&amp;WINDOW=FIRST_POPUP&amp;HEIGHT=450&amp;WIDTH=450&amp;START_MA","XIMIZED=FALSE&amp;VAR:CALENDAR=US&amp;VAR:SYMBOL=G0129K10&amp;VAR:INDEX=0"}</definedName>
    <definedName name="_8656__FDSAUDITLINK__" hidden="1">{"fdsup://directions/FAT Viewer?action=UPDATE&amp;creator=factset&amp;DYN_ARGS=TRUE&amp;DOC_NAME=FAT:FQL_AUDITING_CLIENT_TEMPLATE.FAT&amp;display_string=Audit&amp;VAR:KEY=PGNARGTSJS&amp;VAR:QUERY=RkZfRUJJVERBX0lCKCdMVE1TJywzODg4NSk=&amp;WINDOW=FIRST_POPUP&amp;HEIGHT=450&amp;WIDTH=450&amp;START_MA","XIMIZED=FALSE&amp;VAR:CALENDAR=US&amp;VAR:SYMBOL=G0129K10&amp;VAR:INDEX=0"}</definedName>
    <definedName name="_8657__FDSAUDITLINK__" localSheetId="6" hidden="1">{"fdsup://directions/FAT Viewer?action=UPDATE&amp;creator=factset&amp;DYN_ARGS=TRUE&amp;DOC_NAME=FAT:FQL_AUDITING_CLIENT_TEMPLATE.FAT&amp;display_string=Audit&amp;VAR:KEY=LAZQNSJUJK&amp;VAR:QUERY=RkZfRUJJVERBX0lCKCdMVE1TJywzODg4NCk=&amp;WINDOW=FIRST_POPUP&amp;HEIGHT=450&amp;WIDTH=450&amp;START_MA","XIMIZED=FALSE&amp;VAR:CALENDAR=US&amp;VAR:SYMBOL=G0129K10&amp;VAR:INDEX=0"}</definedName>
    <definedName name="_8657__FDSAUDITLINK__" hidden="1">{"fdsup://directions/FAT Viewer?action=UPDATE&amp;creator=factset&amp;DYN_ARGS=TRUE&amp;DOC_NAME=FAT:FQL_AUDITING_CLIENT_TEMPLATE.FAT&amp;display_string=Audit&amp;VAR:KEY=LAZQNSJUJK&amp;VAR:QUERY=RkZfRUJJVERBX0lCKCdMVE1TJywzODg4NCk=&amp;WINDOW=FIRST_POPUP&amp;HEIGHT=450&amp;WIDTH=450&amp;START_MA","XIMIZED=FALSE&amp;VAR:CALENDAR=US&amp;VAR:SYMBOL=G0129K10&amp;VAR:INDEX=0"}</definedName>
    <definedName name="_8658__FDSAUDITLINK__" localSheetId="6" hidden="1">{"fdsup://directions/FAT Viewer?action=UPDATE&amp;creator=factset&amp;DYN_ARGS=TRUE&amp;DOC_NAME=FAT:FQL_AUDITING_CLIENT_TEMPLATE.FAT&amp;display_string=Audit&amp;VAR:KEY=VWRWVSZKBA&amp;VAR:QUERY=RkZfRUJJVERBX0lCKCdMVE1TJywzODg4Myk=&amp;WINDOW=FIRST_POPUP&amp;HEIGHT=450&amp;WIDTH=450&amp;START_MA","XIMIZED=FALSE&amp;VAR:CALENDAR=US&amp;VAR:SYMBOL=G0129K10&amp;VAR:INDEX=0"}</definedName>
    <definedName name="_8658__FDSAUDITLINK__" hidden="1">{"fdsup://directions/FAT Viewer?action=UPDATE&amp;creator=factset&amp;DYN_ARGS=TRUE&amp;DOC_NAME=FAT:FQL_AUDITING_CLIENT_TEMPLATE.FAT&amp;display_string=Audit&amp;VAR:KEY=VWRWVSZKBA&amp;VAR:QUERY=RkZfRUJJVERBX0lCKCdMVE1TJywzODg4Myk=&amp;WINDOW=FIRST_POPUP&amp;HEIGHT=450&amp;WIDTH=450&amp;START_MA","XIMIZED=FALSE&amp;VAR:CALENDAR=US&amp;VAR:SYMBOL=G0129K10&amp;VAR:INDEX=0"}</definedName>
    <definedName name="_8659__FDSAUDITLINK__" localSheetId="6" hidden="1">{"fdsup://directions/FAT Viewer?action=UPDATE&amp;creator=factset&amp;DYN_ARGS=TRUE&amp;DOC_NAME=FAT:FQL_AUDITING_CLIENT_TEMPLATE.FAT&amp;display_string=Audit&amp;VAR:KEY=LEPUJGPQTG&amp;VAR:QUERY=RkZfRUJJVERBX0lCKCdMVE1TJywzODg4Mik=&amp;WINDOW=FIRST_POPUP&amp;HEIGHT=450&amp;WIDTH=450&amp;START_MA","XIMIZED=FALSE&amp;VAR:CALENDAR=US&amp;VAR:SYMBOL=G0129K10&amp;VAR:INDEX=0"}</definedName>
    <definedName name="_8659__FDSAUDITLINK__" hidden="1">{"fdsup://directions/FAT Viewer?action=UPDATE&amp;creator=factset&amp;DYN_ARGS=TRUE&amp;DOC_NAME=FAT:FQL_AUDITING_CLIENT_TEMPLATE.FAT&amp;display_string=Audit&amp;VAR:KEY=LEPUJGPQTG&amp;VAR:QUERY=RkZfRUJJVERBX0lCKCdMVE1TJywzODg4Mik=&amp;WINDOW=FIRST_POPUP&amp;HEIGHT=450&amp;WIDTH=450&amp;START_MA","XIMIZED=FALSE&amp;VAR:CALENDAR=US&amp;VAR:SYMBOL=G0129K10&amp;VAR:INDEX=0"}</definedName>
    <definedName name="_866__FDSAUDITLINK__" localSheetId="6" hidden="1">{"fdsup://directions/FAT%20Viewer?VAR:PED=LTM&amp;VAR:AUDIT_MODE=SUMMARY&amp;VAR:PERIOD=FIXED&amp;VAR:AUDIT_ID=00000117&amp;VAR:DATE=20071009&amp;action=UPDATE&amp;creator=factset&amp;DOC_NAME=FAT:FMA_audit_SUMMARY.fat&amp;DISPLAY_STRING=Display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6__FDSAUDITLINK__" hidden="1">{"fdsup://directions/FAT%20Viewer?VAR:PED=LTM&amp;VAR:AUDIT_MODE=SUMMARY&amp;VAR:PERIOD=FIXED&amp;VAR:AUDIT_ID=00000117&amp;VAR:DATE=20071009&amp;action=UPDATE&amp;creator=factset&amp;DOC_NAME=FAT:FMA_audit_SUMMARY.fat&amp;DISPLAY_STRING=Display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60__FDSAUDITLINK__" localSheetId="6" hidden="1">{"fdsup://directions/FAT Viewer?action=UPDATE&amp;creator=factset&amp;DYN_ARGS=TRUE&amp;DOC_NAME=FAT:FQL_AUDITING_CLIENT_TEMPLATE.FAT&amp;display_string=Audit&amp;VAR:KEY=LOTQTETGNM&amp;VAR:QUERY=RkZfRUJJVERBX0lCKCdMVE1TJywzODg4MSk=&amp;WINDOW=FIRST_POPUP&amp;HEIGHT=450&amp;WIDTH=450&amp;START_MA","XIMIZED=FALSE&amp;VAR:CALENDAR=US&amp;VAR:SYMBOL=G0129K10&amp;VAR:INDEX=0"}</definedName>
    <definedName name="_8660__FDSAUDITLINK__" hidden="1">{"fdsup://directions/FAT Viewer?action=UPDATE&amp;creator=factset&amp;DYN_ARGS=TRUE&amp;DOC_NAME=FAT:FQL_AUDITING_CLIENT_TEMPLATE.FAT&amp;display_string=Audit&amp;VAR:KEY=LOTQTETGNM&amp;VAR:QUERY=RkZfRUJJVERBX0lCKCdMVE1TJywzODg4MSk=&amp;WINDOW=FIRST_POPUP&amp;HEIGHT=450&amp;WIDTH=450&amp;START_MA","XIMIZED=FALSE&amp;VAR:CALENDAR=US&amp;VAR:SYMBOL=G0129K10&amp;VAR:INDEX=0"}</definedName>
    <definedName name="_8661__FDSAUDITLINK__" localSheetId="6" hidden="1">{"fdsup://directions/FAT Viewer?action=UPDATE&amp;creator=factset&amp;DYN_ARGS=TRUE&amp;DOC_NAME=FAT:FQL_AUDITING_CLIENT_TEMPLATE.FAT&amp;display_string=Audit&amp;VAR:KEY=XQNKHEXOPE&amp;VAR:QUERY=RkZfRUJJVERBX0lCKCdMVE1TJywzODg4MCk=&amp;WINDOW=FIRST_POPUP&amp;HEIGHT=450&amp;WIDTH=450&amp;START_MA","XIMIZED=FALSE&amp;VAR:CALENDAR=US&amp;VAR:SYMBOL=G0129K10&amp;VAR:INDEX=0"}</definedName>
    <definedName name="_8661__FDSAUDITLINK__" hidden="1">{"fdsup://directions/FAT Viewer?action=UPDATE&amp;creator=factset&amp;DYN_ARGS=TRUE&amp;DOC_NAME=FAT:FQL_AUDITING_CLIENT_TEMPLATE.FAT&amp;display_string=Audit&amp;VAR:KEY=XQNKHEXOPE&amp;VAR:QUERY=RkZfRUJJVERBX0lCKCdMVE1TJywzODg4MCk=&amp;WINDOW=FIRST_POPUP&amp;HEIGHT=450&amp;WIDTH=450&amp;START_MA","XIMIZED=FALSE&amp;VAR:CALENDAR=US&amp;VAR:SYMBOL=G0129K10&amp;VAR:INDEX=0"}</definedName>
    <definedName name="_8662__FDSAUDITLINK__" localSheetId="6" hidden="1">{"fdsup://directions/FAT Viewer?action=UPDATE&amp;creator=factset&amp;DYN_ARGS=TRUE&amp;DOC_NAME=FAT:FQL_AUDITING_CLIENT_TEMPLATE.FAT&amp;display_string=Audit&amp;VAR:KEY=JIXMLILGXS&amp;VAR:QUERY=RkZfRUJJVERBX0lCKCdMVE1TJywzODg3OSk=&amp;WINDOW=FIRST_POPUP&amp;HEIGHT=450&amp;WIDTH=450&amp;START_MA","XIMIZED=FALSE&amp;VAR:CALENDAR=US&amp;VAR:SYMBOL=G0129K10&amp;VAR:INDEX=0"}</definedName>
    <definedName name="_8662__FDSAUDITLINK__" hidden="1">{"fdsup://directions/FAT Viewer?action=UPDATE&amp;creator=factset&amp;DYN_ARGS=TRUE&amp;DOC_NAME=FAT:FQL_AUDITING_CLIENT_TEMPLATE.FAT&amp;display_string=Audit&amp;VAR:KEY=JIXMLILGXS&amp;VAR:QUERY=RkZfRUJJVERBX0lCKCdMVE1TJywzODg3OSk=&amp;WINDOW=FIRST_POPUP&amp;HEIGHT=450&amp;WIDTH=450&amp;START_MA","XIMIZED=FALSE&amp;VAR:CALENDAR=US&amp;VAR:SYMBOL=G0129K10&amp;VAR:INDEX=0"}</definedName>
    <definedName name="_8663__FDSAUDITLINK__" localSheetId="6" hidden="1">{"fdsup://directions/FAT Viewer?action=UPDATE&amp;creator=factset&amp;DYN_ARGS=TRUE&amp;DOC_NAME=FAT:FQL_AUDITING_CLIENT_TEMPLATE.FAT&amp;display_string=Audit&amp;VAR:KEY=FYZKDIVEVG&amp;VAR:QUERY=RkZfRUJJVERBX0lCKCdMVE1TJywzODg3OCk=&amp;WINDOW=FIRST_POPUP&amp;HEIGHT=450&amp;WIDTH=450&amp;START_MA","XIMIZED=FALSE&amp;VAR:CALENDAR=US&amp;VAR:SYMBOL=G0129K10&amp;VAR:INDEX=0"}</definedName>
    <definedName name="_8663__FDSAUDITLINK__" hidden="1">{"fdsup://directions/FAT Viewer?action=UPDATE&amp;creator=factset&amp;DYN_ARGS=TRUE&amp;DOC_NAME=FAT:FQL_AUDITING_CLIENT_TEMPLATE.FAT&amp;display_string=Audit&amp;VAR:KEY=FYZKDIVEVG&amp;VAR:QUERY=RkZfRUJJVERBX0lCKCdMVE1TJywzODg3OCk=&amp;WINDOW=FIRST_POPUP&amp;HEIGHT=450&amp;WIDTH=450&amp;START_MA","XIMIZED=FALSE&amp;VAR:CALENDAR=US&amp;VAR:SYMBOL=G0129K10&amp;VAR:INDEX=0"}</definedName>
    <definedName name="_8664__FDSAUDITLINK__" localSheetId="6" hidden="1">{"fdsup://directions/FAT Viewer?action=UPDATE&amp;creator=factset&amp;DYN_ARGS=TRUE&amp;DOC_NAME=FAT:FQL_AUDITING_CLIENT_TEMPLATE.FAT&amp;display_string=Audit&amp;VAR:KEY=FIVYHWRMDK&amp;VAR:QUERY=RkZfRUJJVERBX0lCKCdMVE1TJywzODg3Nyk=&amp;WINDOW=FIRST_POPUP&amp;HEIGHT=450&amp;WIDTH=450&amp;START_MA","XIMIZED=FALSE&amp;VAR:CALENDAR=US&amp;VAR:SYMBOL=G0129K10&amp;VAR:INDEX=0"}</definedName>
    <definedName name="_8664__FDSAUDITLINK__" hidden="1">{"fdsup://directions/FAT Viewer?action=UPDATE&amp;creator=factset&amp;DYN_ARGS=TRUE&amp;DOC_NAME=FAT:FQL_AUDITING_CLIENT_TEMPLATE.FAT&amp;display_string=Audit&amp;VAR:KEY=FIVYHWRMDK&amp;VAR:QUERY=RkZfRUJJVERBX0lCKCdMVE1TJywzODg3Nyk=&amp;WINDOW=FIRST_POPUP&amp;HEIGHT=450&amp;WIDTH=450&amp;START_MA","XIMIZED=FALSE&amp;VAR:CALENDAR=US&amp;VAR:SYMBOL=G0129K10&amp;VAR:INDEX=0"}</definedName>
    <definedName name="_8665__FDSAUDITLINK__" localSheetId="6" hidden="1">{"fdsup://directions/FAT Viewer?action=UPDATE&amp;creator=factset&amp;DYN_ARGS=TRUE&amp;DOC_NAME=FAT:FQL_AUDITING_CLIENT_TEMPLATE.FAT&amp;display_string=Audit&amp;VAR:KEY=JMZWXEXCNU&amp;VAR:QUERY=RkZfRUJJVERBX0lCKCdMVE1TJywzODg3Nik=&amp;WINDOW=FIRST_POPUP&amp;HEIGHT=450&amp;WIDTH=450&amp;START_MA","XIMIZED=FALSE&amp;VAR:CALENDAR=US&amp;VAR:SYMBOL=G0129K10&amp;VAR:INDEX=0"}</definedName>
    <definedName name="_8665__FDSAUDITLINK__" hidden="1">{"fdsup://directions/FAT Viewer?action=UPDATE&amp;creator=factset&amp;DYN_ARGS=TRUE&amp;DOC_NAME=FAT:FQL_AUDITING_CLIENT_TEMPLATE.FAT&amp;display_string=Audit&amp;VAR:KEY=JMZWXEXCNU&amp;VAR:QUERY=RkZfRUJJVERBX0lCKCdMVE1TJywzODg3Nik=&amp;WINDOW=FIRST_POPUP&amp;HEIGHT=450&amp;WIDTH=450&amp;START_MA","XIMIZED=FALSE&amp;VAR:CALENDAR=US&amp;VAR:SYMBOL=G0129K10&amp;VAR:INDEX=0"}</definedName>
    <definedName name="_8666__FDSAUDITLINK__" localSheetId="6" hidden="1">{"fdsup://directions/FAT Viewer?action=UPDATE&amp;creator=factset&amp;DYN_ARGS=TRUE&amp;DOC_NAME=FAT:FQL_AUDITING_CLIENT_TEMPLATE.FAT&amp;display_string=Audit&amp;VAR:KEY=VSXEBGDCZM&amp;VAR:QUERY=RkZfRUJJVERBX0lCKCdMVE1TJywzODg3NSk=&amp;WINDOW=FIRST_POPUP&amp;HEIGHT=450&amp;WIDTH=450&amp;START_MA","XIMIZED=FALSE&amp;VAR:CALENDAR=US&amp;VAR:SYMBOL=G0129K10&amp;VAR:INDEX=0"}</definedName>
    <definedName name="_8666__FDSAUDITLINK__" hidden="1">{"fdsup://directions/FAT Viewer?action=UPDATE&amp;creator=factset&amp;DYN_ARGS=TRUE&amp;DOC_NAME=FAT:FQL_AUDITING_CLIENT_TEMPLATE.FAT&amp;display_string=Audit&amp;VAR:KEY=VSXEBGDCZM&amp;VAR:QUERY=RkZfRUJJVERBX0lCKCdMVE1TJywzODg3NSk=&amp;WINDOW=FIRST_POPUP&amp;HEIGHT=450&amp;WIDTH=450&amp;START_MA","XIMIZED=FALSE&amp;VAR:CALENDAR=US&amp;VAR:SYMBOL=G0129K10&amp;VAR:INDEX=0"}</definedName>
    <definedName name="_8667__FDSAUDITLINK__" localSheetId="6" hidden="1">{"fdsup://directions/FAT Viewer?action=UPDATE&amp;creator=factset&amp;DYN_ARGS=TRUE&amp;DOC_NAME=FAT:FQL_AUDITING_CLIENT_TEMPLATE.FAT&amp;display_string=Audit&amp;VAR:KEY=ZGTCHAFWDC&amp;VAR:QUERY=RkZfRUJJVERBX0lCKCdMVE1TJywzODg3NCk=&amp;WINDOW=FIRST_POPUP&amp;HEIGHT=450&amp;WIDTH=450&amp;START_MA","XIMIZED=FALSE&amp;VAR:CALENDAR=US&amp;VAR:SYMBOL=G0129K10&amp;VAR:INDEX=0"}</definedName>
    <definedName name="_8667__FDSAUDITLINK__" hidden="1">{"fdsup://directions/FAT Viewer?action=UPDATE&amp;creator=factset&amp;DYN_ARGS=TRUE&amp;DOC_NAME=FAT:FQL_AUDITING_CLIENT_TEMPLATE.FAT&amp;display_string=Audit&amp;VAR:KEY=ZGTCHAFWDC&amp;VAR:QUERY=RkZfRUJJVERBX0lCKCdMVE1TJywzODg3NCk=&amp;WINDOW=FIRST_POPUP&amp;HEIGHT=450&amp;WIDTH=450&amp;START_MA","XIMIZED=FALSE&amp;VAR:CALENDAR=US&amp;VAR:SYMBOL=G0129K10&amp;VAR:INDEX=0"}</definedName>
    <definedName name="_8668__FDSAUDITLINK__" localSheetId="6" hidden="1">{"fdsup://directions/FAT Viewer?action=UPDATE&amp;creator=factset&amp;DYN_ARGS=TRUE&amp;DOC_NAME=FAT:FQL_AUDITING_CLIENT_TEMPLATE.FAT&amp;display_string=Audit&amp;VAR:KEY=ZSRMLWXAVC&amp;VAR:QUERY=RkZfRUJJVERBX0lCKCdMVE1TJywzODg3Myk=&amp;WINDOW=FIRST_POPUP&amp;HEIGHT=450&amp;WIDTH=450&amp;START_MA","XIMIZED=FALSE&amp;VAR:CALENDAR=US&amp;VAR:SYMBOL=G0129K10&amp;VAR:INDEX=0"}</definedName>
    <definedName name="_8668__FDSAUDITLINK__" hidden="1">{"fdsup://directions/FAT Viewer?action=UPDATE&amp;creator=factset&amp;DYN_ARGS=TRUE&amp;DOC_NAME=FAT:FQL_AUDITING_CLIENT_TEMPLATE.FAT&amp;display_string=Audit&amp;VAR:KEY=ZSRMLWXAVC&amp;VAR:QUERY=RkZfRUJJVERBX0lCKCdMVE1TJywzODg3Myk=&amp;WINDOW=FIRST_POPUP&amp;HEIGHT=450&amp;WIDTH=450&amp;START_MA","XIMIZED=FALSE&amp;VAR:CALENDAR=US&amp;VAR:SYMBOL=G0129K10&amp;VAR:INDEX=0"}</definedName>
    <definedName name="_8669__FDSAUDITLINK__" localSheetId="6" hidden="1">{"fdsup://directions/FAT Viewer?action=UPDATE&amp;creator=factset&amp;DYN_ARGS=TRUE&amp;DOC_NAME=FAT:FQL_AUDITING_CLIENT_TEMPLATE.FAT&amp;display_string=Audit&amp;VAR:KEY=LEDANKPEHM&amp;VAR:QUERY=RkZfRUJJVERBX0lCKCdMVE1TJywzODg3Mik=&amp;WINDOW=FIRST_POPUP&amp;HEIGHT=450&amp;WIDTH=450&amp;START_MA","XIMIZED=FALSE&amp;VAR:CALENDAR=US&amp;VAR:SYMBOL=G0129K10&amp;VAR:INDEX=0"}</definedName>
    <definedName name="_8669__FDSAUDITLINK__" hidden="1">{"fdsup://directions/FAT Viewer?action=UPDATE&amp;creator=factset&amp;DYN_ARGS=TRUE&amp;DOC_NAME=FAT:FQL_AUDITING_CLIENT_TEMPLATE.FAT&amp;display_string=Audit&amp;VAR:KEY=LEDANKPEHM&amp;VAR:QUERY=RkZfRUJJVERBX0lCKCdMVE1TJywzODg3Mik=&amp;WINDOW=FIRST_POPUP&amp;HEIGHT=450&amp;WIDTH=450&amp;START_MA","XIMIZED=FALSE&amp;VAR:CALENDAR=US&amp;VAR:SYMBOL=G0129K10&amp;VAR:INDEX=0"}</definedName>
    <definedName name="_867__FDSAUDITLINK__" localSheetId="6" hidden="1">{"fdsup://directions/FAT%20Viewer?VAR:PED=LTM&amp;VAR:AUDIT_MODE=SUMMARY&amp;VAR:PERIOD=FIXED&amp;VAR:AUDIT_ID=00000117&amp;VAR:DATE=20071008&amp;action=UPDATE&amp;creator=factset&amp;DOC_NAME=FAT:FMA_audit_SUMMARY.fat&amp;DISPLAY_STRING=Display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7__FDSAUDITLINK__" hidden="1">{"fdsup://directions/FAT%20Viewer?VAR:PED=LTM&amp;VAR:AUDIT_MODE=SUMMARY&amp;VAR:PERIOD=FIXED&amp;VAR:AUDIT_ID=00000117&amp;VAR:DATE=20071008&amp;action=UPDATE&amp;creator=factset&amp;DOC_NAME=FAT:FMA_audit_SUMMARY.fat&amp;DISPLAY_STRING=Display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70__FDSAUDITLINK__" localSheetId="6" hidden="1">{"fdsup://directions/FAT Viewer?action=UPDATE&amp;creator=factset&amp;DYN_ARGS=TRUE&amp;DOC_NAME=FAT:FQL_AUDITING_CLIENT_TEMPLATE.FAT&amp;display_string=Audit&amp;VAR:KEY=FQFIREHUFY&amp;VAR:QUERY=RkZfRUJJVERBX0lCKCdMVE1TJywzODg3MSk=&amp;WINDOW=FIRST_POPUP&amp;HEIGHT=450&amp;WIDTH=450&amp;START_MA","XIMIZED=FALSE&amp;VAR:CALENDAR=US&amp;VAR:SYMBOL=G0129K10&amp;VAR:INDEX=0"}</definedName>
    <definedName name="_8670__FDSAUDITLINK__" hidden="1">{"fdsup://directions/FAT Viewer?action=UPDATE&amp;creator=factset&amp;DYN_ARGS=TRUE&amp;DOC_NAME=FAT:FQL_AUDITING_CLIENT_TEMPLATE.FAT&amp;display_string=Audit&amp;VAR:KEY=FQFIREHUFY&amp;VAR:QUERY=RkZfRUJJVERBX0lCKCdMVE1TJywzODg3MSk=&amp;WINDOW=FIRST_POPUP&amp;HEIGHT=450&amp;WIDTH=450&amp;START_MA","XIMIZED=FALSE&amp;VAR:CALENDAR=US&amp;VAR:SYMBOL=G0129K10&amp;VAR:INDEX=0"}</definedName>
    <definedName name="_8671__FDSAUDITLINK__" localSheetId="6" hidden="1">{"fdsup://directions/FAT Viewer?action=UPDATE&amp;creator=factset&amp;DYN_ARGS=TRUE&amp;DOC_NAME=FAT:FQL_AUDITING_CLIENT_TEMPLATE.FAT&amp;display_string=Audit&amp;VAR:KEY=HGVWFWFUJI&amp;VAR:QUERY=RkZfRUJJVERBX0lCKCdMVE1TJywzODg3MCk=&amp;WINDOW=FIRST_POPUP&amp;HEIGHT=450&amp;WIDTH=450&amp;START_MA","XIMIZED=FALSE&amp;VAR:CALENDAR=US&amp;VAR:SYMBOL=G0129K10&amp;VAR:INDEX=0"}</definedName>
    <definedName name="_8671__FDSAUDITLINK__" hidden="1">{"fdsup://directions/FAT Viewer?action=UPDATE&amp;creator=factset&amp;DYN_ARGS=TRUE&amp;DOC_NAME=FAT:FQL_AUDITING_CLIENT_TEMPLATE.FAT&amp;display_string=Audit&amp;VAR:KEY=HGVWFWFUJI&amp;VAR:QUERY=RkZfRUJJVERBX0lCKCdMVE1TJywzODg3MCk=&amp;WINDOW=FIRST_POPUP&amp;HEIGHT=450&amp;WIDTH=450&amp;START_MA","XIMIZED=FALSE&amp;VAR:CALENDAR=US&amp;VAR:SYMBOL=G0129K10&amp;VAR:INDEX=0"}</definedName>
    <definedName name="_8672__FDSAUDITLINK__" localSheetId="6" hidden="1">{"fdsup://directions/FAT Viewer?action=UPDATE&amp;creator=factset&amp;DYN_ARGS=TRUE&amp;DOC_NAME=FAT:FQL_AUDITING_CLIENT_TEMPLATE.FAT&amp;display_string=Audit&amp;VAR:KEY=TGJIDULYZC&amp;VAR:QUERY=RkZfRUJJVERBX0lCKCdMVE1TJywzODg2OSk=&amp;WINDOW=FIRST_POPUP&amp;HEIGHT=450&amp;WIDTH=450&amp;START_MA","XIMIZED=FALSE&amp;VAR:CALENDAR=US&amp;VAR:SYMBOL=G0129K10&amp;VAR:INDEX=0"}</definedName>
    <definedName name="_8672__FDSAUDITLINK__" hidden="1">{"fdsup://directions/FAT Viewer?action=UPDATE&amp;creator=factset&amp;DYN_ARGS=TRUE&amp;DOC_NAME=FAT:FQL_AUDITING_CLIENT_TEMPLATE.FAT&amp;display_string=Audit&amp;VAR:KEY=TGJIDULYZC&amp;VAR:QUERY=RkZfRUJJVERBX0lCKCdMVE1TJywzODg2OSk=&amp;WINDOW=FIRST_POPUP&amp;HEIGHT=450&amp;WIDTH=450&amp;START_MA","XIMIZED=FALSE&amp;VAR:CALENDAR=US&amp;VAR:SYMBOL=G0129K10&amp;VAR:INDEX=0"}</definedName>
    <definedName name="_8673__FDSAUDITLINK__" localSheetId="6" hidden="1">{"fdsup://directions/FAT Viewer?action=UPDATE&amp;creator=factset&amp;DYN_ARGS=TRUE&amp;DOC_NAME=FAT:FQL_AUDITING_CLIENT_TEMPLATE.FAT&amp;display_string=Audit&amp;VAR:KEY=LGRUVEXWBI&amp;VAR:QUERY=RkZfRUJJVERBX0lCKCdMVE1TJywzODg2OCk=&amp;WINDOW=FIRST_POPUP&amp;HEIGHT=450&amp;WIDTH=450&amp;START_MA","XIMIZED=FALSE&amp;VAR:CALENDAR=US&amp;VAR:SYMBOL=G0129K10&amp;VAR:INDEX=0"}</definedName>
    <definedName name="_8673__FDSAUDITLINK__" hidden="1">{"fdsup://directions/FAT Viewer?action=UPDATE&amp;creator=factset&amp;DYN_ARGS=TRUE&amp;DOC_NAME=FAT:FQL_AUDITING_CLIENT_TEMPLATE.FAT&amp;display_string=Audit&amp;VAR:KEY=LGRUVEXWBI&amp;VAR:QUERY=RkZfRUJJVERBX0lCKCdMVE1TJywzODg2OCk=&amp;WINDOW=FIRST_POPUP&amp;HEIGHT=450&amp;WIDTH=450&amp;START_MA","XIMIZED=FALSE&amp;VAR:CALENDAR=US&amp;VAR:SYMBOL=G0129K10&amp;VAR:INDEX=0"}</definedName>
    <definedName name="_8674__FDSAUDITLINK__" localSheetId="6" hidden="1">{"fdsup://directions/FAT Viewer?action=UPDATE&amp;creator=factset&amp;DYN_ARGS=TRUE&amp;DOC_NAME=FAT:FQL_AUDITING_CLIENT_TEMPLATE.FAT&amp;display_string=Audit&amp;VAR:KEY=BSZWFUTWLY&amp;VAR:QUERY=RkZfRUJJVERBX0lCKCdMVE1TJywzODg2Nyk=&amp;WINDOW=FIRST_POPUP&amp;HEIGHT=450&amp;WIDTH=450&amp;START_MA","XIMIZED=FALSE&amp;VAR:CALENDAR=US&amp;VAR:SYMBOL=G0129K10&amp;VAR:INDEX=0"}</definedName>
    <definedName name="_8674__FDSAUDITLINK__" hidden="1">{"fdsup://directions/FAT Viewer?action=UPDATE&amp;creator=factset&amp;DYN_ARGS=TRUE&amp;DOC_NAME=FAT:FQL_AUDITING_CLIENT_TEMPLATE.FAT&amp;display_string=Audit&amp;VAR:KEY=BSZWFUTWLY&amp;VAR:QUERY=RkZfRUJJVERBX0lCKCdMVE1TJywzODg2Nyk=&amp;WINDOW=FIRST_POPUP&amp;HEIGHT=450&amp;WIDTH=450&amp;START_MA","XIMIZED=FALSE&amp;VAR:CALENDAR=US&amp;VAR:SYMBOL=G0129K10&amp;VAR:INDEX=0"}</definedName>
    <definedName name="_8675__FDSAUDITLINK__" localSheetId="6" hidden="1">{"fdsup://directions/FAT Viewer?action=UPDATE&amp;creator=factset&amp;DYN_ARGS=TRUE&amp;DOC_NAME=FAT:FQL_AUDITING_CLIENT_TEMPLATE.FAT&amp;display_string=Audit&amp;VAR:KEY=PEJWXUHGDS&amp;VAR:QUERY=RkZfRUJJVERBX0lCKCdMVE1TJywzODg2Nik=&amp;WINDOW=FIRST_POPUP&amp;HEIGHT=450&amp;WIDTH=450&amp;START_MA","XIMIZED=FALSE&amp;VAR:CALENDAR=US&amp;VAR:SYMBOL=G0129K10&amp;VAR:INDEX=0"}</definedName>
    <definedName name="_8675__FDSAUDITLINK__" hidden="1">{"fdsup://directions/FAT Viewer?action=UPDATE&amp;creator=factset&amp;DYN_ARGS=TRUE&amp;DOC_NAME=FAT:FQL_AUDITING_CLIENT_TEMPLATE.FAT&amp;display_string=Audit&amp;VAR:KEY=PEJWXUHGDS&amp;VAR:QUERY=RkZfRUJJVERBX0lCKCdMVE1TJywzODg2Nik=&amp;WINDOW=FIRST_POPUP&amp;HEIGHT=450&amp;WIDTH=450&amp;START_MA","XIMIZED=FALSE&amp;VAR:CALENDAR=US&amp;VAR:SYMBOL=G0129K10&amp;VAR:INDEX=0"}</definedName>
    <definedName name="_8676__FDSAUDITLINK__" localSheetId="6" hidden="1">{"fdsup://directions/FAT Viewer?action=UPDATE&amp;creator=factset&amp;DYN_ARGS=TRUE&amp;DOC_NAME=FAT:FQL_AUDITING_CLIENT_TEMPLATE.FAT&amp;display_string=Audit&amp;VAR:KEY=XWTQXMLODY&amp;VAR:QUERY=RkZfRUJJVERBX0lCKCdMVE1TJywzODg2NSk=&amp;WINDOW=FIRST_POPUP&amp;HEIGHT=450&amp;WIDTH=450&amp;START_MA","XIMIZED=FALSE&amp;VAR:CALENDAR=US&amp;VAR:SYMBOL=G0129K10&amp;VAR:INDEX=0"}</definedName>
    <definedName name="_8676__FDSAUDITLINK__" hidden="1">{"fdsup://directions/FAT Viewer?action=UPDATE&amp;creator=factset&amp;DYN_ARGS=TRUE&amp;DOC_NAME=FAT:FQL_AUDITING_CLIENT_TEMPLATE.FAT&amp;display_string=Audit&amp;VAR:KEY=XWTQXMLODY&amp;VAR:QUERY=RkZfRUJJVERBX0lCKCdMVE1TJywzODg2NSk=&amp;WINDOW=FIRST_POPUP&amp;HEIGHT=450&amp;WIDTH=450&amp;START_MA","XIMIZED=FALSE&amp;VAR:CALENDAR=US&amp;VAR:SYMBOL=G0129K10&amp;VAR:INDEX=0"}</definedName>
    <definedName name="_8677__FDSAUDITLINK__" localSheetId="6" hidden="1">{"fdsup://directions/FAT Viewer?action=UPDATE&amp;creator=factset&amp;DYN_ARGS=TRUE&amp;DOC_NAME=FAT:FQL_AUDITING_CLIENT_TEMPLATE.FAT&amp;display_string=Audit&amp;VAR:KEY=VGJKLIZYVO&amp;VAR:QUERY=RkZfRUJJVERBX0lCKCdMVE1TJywzODg2NCk=&amp;WINDOW=FIRST_POPUP&amp;HEIGHT=450&amp;WIDTH=450&amp;START_MA","XIMIZED=FALSE&amp;VAR:CALENDAR=US&amp;VAR:SYMBOL=G0129K10&amp;VAR:INDEX=0"}</definedName>
    <definedName name="_8677__FDSAUDITLINK__" hidden="1">{"fdsup://directions/FAT Viewer?action=UPDATE&amp;creator=factset&amp;DYN_ARGS=TRUE&amp;DOC_NAME=FAT:FQL_AUDITING_CLIENT_TEMPLATE.FAT&amp;display_string=Audit&amp;VAR:KEY=VGJKLIZYVO&amp;VAR:QUERY=RkZfRUJJVERBX0lCKCdMVE1TJywzODg2NCk=&amp;WINDOW=FIRST_POPUP&amp;HEIGHT=450&amp;WIDTH=450&amp;START_MA","XIMIZED=FALSE&amp;VAR:CALENDAR=US&amp;VAR:SYMBOL=G0129K10&amp;VAR:INDEX=0"}</definedName>
    <definedName name="_8678__FDSAUDITLINK__" localSheetId="6" hidden="1">{"fdsup://directions/FAT Viewer?action=UPDATE&amp;creator=factset&amp;DYN_ARGS=TRUE&amp;DOC_NAME=FAT:FQL_AUDITING_CLIENT_TEMPLATE.FAT&amp;display_string=Audit&amp;VAR:KEY=JGZYJSXERC&amp;VAR:QUERY=RkZfRUJJVERBX0lCKCdMVE1TJywzODg2Myk=&amp;WINDOW=FIRST_POPUP&amp;HEIGHT=450&amp;WIDTH=450&amp;START_MA","XIMIZED=FALSE&amp;VAR:CALENDAR=US&amp;VAR:SYMBOL=G0129K10&amp;VAR:INDEX=0"}</definedName>
    <definedName name="_8678__FDSAUDITLINK__" hidden="1">{"fdsup://directions/FAT Viewer?action=UPDATE&amp;creator=factset&amp;DYN_ARGS=TRUE&amp;DOC_NAME=FAT:FQL_AUDITING_CLIENT_TEMPLATE.FAT&amp;display_string=Audit&amp;VAR:KEY=JGZYJSXERC&amp;VAR:QUERY=RkZfRUJJVERBX0lCKCdMVE1TJywzODg2Myk=&amp;WINDOW=FIRST_POPUP&amp;HEIGHT=450&amp;WIDTH=450&amp;START_MA","XIMIZED=FALSE&amp;VAR:CALENDAR=US&amp;VAR:SYMBOL=G0129K10&amp;VAR:INDEX=0"}</definedName>
    <definedName name="_8679__FDSAUDITLINK__" localSheetId="6" hidden="1">{"fdsup://directions/FAT Viewer?action=UPDATE&amp;creator=factset&amp;DYN_ARGS=TRUE&amp;DOC_NAME=FAT:FQL_AUDITING_CLIENT_TEMPLATE.FAT&amp;display_string=Audit&amp;VAR:KEY=FMZMZKHODE&amp;VAR:QUERY=RkZfRUJJVERBX0lCKCdMVE1TJywzODg2Mik=&amp;WINDOW=FIRST_POPUP&amp;HEIGHT=450&amp;WIDTH=450&amp;START_MA","XIMIZED=FALSE&amp;VAR:CALENDAR=US&amp;VAR:SYMBOL=G0129K10&amp;VAR:INDEX=0"}</definedName>
    <definedName name="_8679__FDSAUDITLINK__" hidden="1">{"fdsup://directions/FAT Viewer?action=UPDATE&amp;creator=factset&amp;DYN_ARGS=TRUE&amp;DOC_NAME=FAT:FQL_AUDITING_CLIENT_TEMPLATE.FAT&amp;display_string=Audit&amp;VAR:KEY=FMZMZKHODE&amp;VAR:QUERY=RkZfRUJJVERBX0lCKCdMVE1TJywzODg2Mik=&amp;WINDOW=FIRST_POPUP&amp;HEIGHT=450&amp;WIDTH=450&amp;START_MA","XIMIZED=FALSE&amp;VAR:CALENDAR=US&amp;VAR:SYMBOL=G0129K10&amp;VAR:INDEX=0"}</definedName>
    <definedName name="_868__FDSAUDITLINK__" localSheetId="6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8__FDSAUDITLINK__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80__FDSAUDITLINK__" localSheetId="6" hidden="1">{"fdsup://directions/FAT Viewer?action=UPDATE&amp;creator=factset&amp;DYN_ARGS=TRUE&amp;DOC_NAME=FAT:FQL_AUDITING_CLIENT_TEMPLATE.FAT&amp;display_string=Audit&amp;VAR:KEY=FIHQNALSHY&amp;VAR:QUERY=RkZfRUJJVERBX0lCKCdMVE1TJywzODg2MSk=&amp;WINDOW=FIRST_POPUP&amp;HEIGHT=450&amp;WIDTH=450&amp;START_MA","XIMIZED=FALSE&amp;VAR:CALENDAR=US&amp;VAR:SYMBOL=G0129K10&amp;VAR:INDEX=0"}</definedName>
    <definedName name="_8680__FDSAUDITLINK__" hidden="1">{"fdsup://directions/FAT Viewer?action=UPDATE&amp;creator=factset&amp;DYN_ARGS=TRUE&amp;DOC_NAME=FAT:FQL_AUDITING_CLIENT_TEMPLATE.FAT&amp;display_string=Audit&amp;VAR:KEY=FIHQNALSHY&amp;VAR:QUERY=RkZfRUJJVERBX0lCKCdMVE1TJywzODg2MSk=&amp;WINDOW=FIRST_POPUP&amp;HEIGHT=450&amp;WIDTH=450&amp;START_MA","XIMIZED=FALSE&amp;VAR:CALENDAR=US&amp;VAR:SYMBOL=G0129K10&amp;VAR:INDEX=0"}</definedName>
    <definedName name="_8681__FDSAUDITLINK__" localSheetId="6" hidden="1">{"fdsup://directions/FAT Viewer?action=UPDATE&amp;creator=factset&amp;DYN_ARGS=TRUE&amp;DOC_NAME=FAT:FQL_AUDITING_CLIENT_TEMPLATE.FAT&amp;display_string=Audit&amp;VAR:KEY=NWDQHWLSXG&amp;VAR:QUERY=RkZfRUJJVERBX0lCKCdMVE1TJywzODg2MCk=&amp;WINDOW=FIRST_POPUP&amp;HEIGHT=450&amp;WIDTH=450&amp;START_MA","XIMIZED=FALSE&amp;VAR:CALENDAR=US&amp;VAR:SYMBOL=G0129K10&amp;VAR:INDEX=0"}</definedName>
    <definedName name="_8681__FDSAUDITLINK__" hidden="1">{"fdsup://directions/FAT Viewer?action=UPDATE&amp;creator=factset&amp;DYN_ARGS=TRUE&amp;DOC_NAME=FAT:FQL_AUDITING_CLIENT_TEMPLATE.FAT&amp;display_string=Audit&amp;VAR:KEY=NWDQHWLSXG&amp;VAR:QUERY=RkZfRUJJVERBX0lCKCdMVE1TJywzODg2MCk=&amp;WINDOW=FIRST_POPUP&amp;HEIGHT=450&amp;WIDTH=450&amp;START_MA","XIMIZED=FALSE&amp;VAR:CALENDAR=US&amp;VAR:SYMBOL=G0129K10&amp;VAR:INDEX=0"}</definedName>
    <definedName name="_8682__FDSAUDITLINK__" localSheetId="6" hidden="1">{"fdsup://directions/FAT Viewer?action=UPDATE&amp;creator=factset&amp;DYN_ARGS=TRUE&amp;DOC_NAME=FAT:FQL_AUDITING_CLIENT_TEMPLATE.FAT&amp;display_string=Audit&amp;VAR:KEY=NWFMVSVMTC&amp;VAR:QUERY=RkZfRUJJVERBX0lCKCdMVE1TJywzODg1OSk=&amp;WINDOW=FIRST_POPUP&amp;HEIGHT=450&amp;WIDTH=450&amp;START_MA","XIMIZED=FALSE&amp;VAR:CALENDAR=US&amp;VAR:SYMBOL=G0129K10&amp;VAR:INDEX=0"}</definedName>
    <definedName name="_8682__FDSAUDITLINK__" hidden="1">{"fdsup://directions/FAT Viewer?action=UPDATE&amp;creator=factset&amp;DYN_ARGS=TRUE&amp;DOC_NAME=FAT:FQL_AUDITING_CLIENT_TEMPLATE.FAT&amp;display_string=Audit&amp;VAR:KEY=NWFMVSVMTC&amp;VAR:QUERY=RkZfRUJJVERBX0lCKCdMVE1TJywzODg1OSk=&amp;WINDOW=FIRST_POPUP&amp;HEIGHT=450&amp;WIDTH=450&amp;START_MA","XIMIZED=FALSE&amp;VAR:CALENDAR=US&amp;VAR:SYMBOL=G0129K10&amp;VAR:INDEX=0"}</definedName>
    <definedName name="_8683__FDSAUDITLINK__" localSheetId="6" hidden="1">{"fdsup://directions/FAT Viewer?action=UPDATE&amp;creator=factset&amp;DYN_ARGS=TRUE&amp;DOC_NAME=FAT:FQL_AUDITING_CLIENT_TEMPLATE.FAT&amp;display_string=Audit&amp;VAR:KEY=BYFUVSFOLO&amp;VAR:QUERY=RkZfRUJJVERBX0lCKCdMVE1TJywzODg1OCk=&amp;WINDOW=FIRST_POPUP&amp;HEIGHT=450&amp;WIDTH=450&amp;START_MA","XIMIZED=FALSE&amp;VAR:CALENDAR=US&amp;VAR:SYMBOL=G0129K10&amp;VAR:INDEX=0"}</definedName>
    <definedName name="_8683__FDSAUDITLINK__" hidden="1">{"fdsup://directions/FAT Viewer?action=UPDATE&amp;creator=factset&amp;DYN_ARGS=TRUE&amp;DOC_NAME=FAT:FQL_AUDITING_CLIENT_TEMPLATE.FAT&amp;display_string=Audit&amp;VAR:KEY=BYFUVSFOLO&amp;VAR:QUERY=RkZfRUJJVERBX0lCKCdMVE1TJywzODg1OCk=&amp;WINDOW=FIRST_POPUP&amp;HEIGHT=450&amp;WIDTH=450&amp;START_MA","XIMIZED=FALSE&amp;VAR:CALENDAR=US&amp;VAR:SYMBOL=G0129K10&amp;VAR:INDEX=0"}</definedName>
    <definedName name="_8684__FDSAUDITLINK__" localSheetId="6" hidden="1">{"fdsup://directions/FAT Viewer?action=UPDATE&amp;creator=factset&amp;DYN_ARGS=TRUE&amp;DOC_NAME=FAT:FQL_AUDITING_CLIENT_TEMPLATE.FAT&amp;display_string=Audit&amp;VAR:KEY=HMNSJWVMHI&amp;VAR:QUERY=RkZfRUJJVERBX0lCKCdMVE1TJywzODg1Nyk=&amp;WINDOW=FIRST_POPUP&amp;HEIGHT=450&amp;WIDTH=450&amp;START_MA","XIMIZED=FALSE&amp;VAR:CALENDAR=US&amp;VAR:SYMBOL=G0129K10&amp;VAR:INDEX=0"}</definedName>
    <definedName name="_8684__FDSAUDITLINK__" hidden="1">{"fdsup://directions/FAT Viewer?action=UPDATE&amp;creator=factset&amp;DYN_ARGS=TRUE&amp;DOC_NAME=FAT:FQL_AUDITING_CLIENT_TEMPLATE.FAT&amp;display_string=Audit&amp;VAR:KEY=HMNSJWVMHI&amp;VAR:QUERY=RkZfRUJJVERBX0lCKCdMVE1TJywzODg1Nyk=&amp;WINDOW=FIRST_POPUP&amp;HEIGHT=450&amp;WIDTH=450&amp;START_MA","XIMIZED=FALSE&amp;VAR:CALENDAR=US&amp;VAR:SYMBOL=G0129K10&amp;VAR:INDEX=0"}</definedName>
    <definedName name="_8685__FDSAUDITLINK__" localSheetId="6" hidden="1">{"fdsup://directions/FAT Viewer?action=UPDATE&amp;creator=factset&amp;DYN_ARGS=TRUE&amp;DOC_NAME=FAT:FQL_AUDITING_CLIENT_TEMPLATE.FAT&amp;display_string=Audit&amp;VAR:KEY=XWZQTOPKNM&amp;VAR:QUERY=RkZfRUJJVERBX0lCKCdMVE1TJywzODg1Nik=&amp;WINDOW=FIRST_POPUP&amp;HEIGHT=450&amp;WIDTH=450&amp;START_MA","XIMIZED=FALSE&amp;VAR:CALENDAR=US&amp;VAR:SYMBOL=G0129K10&amp;VAR:INDEX=0"}</definedName>
    <definedName name="_8685__FDSAUDITLINK__" hidden="1">{"fdsup://directions/FAT Viewer?action=UPDATE&amp;creator=factset&amp;DYN_ARGS=TRUE&amp;DOC_NAME=FAT:FQL_AUDITING_CLIENT_TEMPLATE.FAT&amp;display_string=Audit&amp;VAR:KEY=XWZQTOPKNM&amp;VAR:QUERY=RkZfRUJJVERBX0lCKCdMVE1TJywzODg1Nik=&amp;WINDOW=FIRST_POPUP&amp;HEIGHT=450&amp;WIDTH=450&amp;START_MA","XIMIZED=FALSE&amp;VAR:CALENDAR=US&amp;VAR:SYMBOL=G0129K10&amp;VAR:INDEX=0"}</definedName>
    <definedName name="_8686__FDSAUDITLINK__" localSheetId="6" hidden="1">{"fdsup://directions/FAT Viewer?action=UPDATE&amp;creator=factset&amp;DYN_ARGS=TRUE&amp;DOC_NAME=FAT:FQL_AUDITING_CLIENT_TEMPLATE.FAT&amp;display_string=Audit&amp;VAR:KEY=DEVGDOHKTS&amp;VAR:QUERY=RkZfRUJJVERBX0lCKCdMVE1TJywzODg1NSk=&amp;WINDOW=FIRST_POPUP&amp;HEIGHT=450&amp;WIDTH=450&amp;START_MA","XIMIZED=FALSE&amp;VAR:CALENDAR=US&amp;VAR:SYMBOL=G0129K10&amp;VAR:INDEX=0"}</definedName>
    <definedName name="_8686__FDSAUDITLINK__" hidden="1">{"fdsup://directions/FAT Viewer?action=UPDATE&amp;creator=factset&amp;DYN_ARGS=TRUE&amp;DOC_NAME=FAT:FQL_AUDITING_CLIENT_TEMPLATE.FAT&amp;display_string=Audit&amp;VAR:KEY=DEVGDOHKTS&amp;VAR:QUERY=RkZfRUJJVERBX0lCKCdMVE1TJywzODg1NSk=&amp;WINDOW=FIRST_POPUP&amp;HEIGHT=450&amp;WIDTH=450&amp;START_MA","XIMIZED=FALSE&amp;VAR:CALENDAR=US&amp;VAR:SYMBOL=G0129K10&amp;VAR:INDEX=0"}</definedName>
    <definedName name="_8687__FDSAUDITLINK__" localSheetId="6" hidden="1">{"fdsup://directions/FAT Viewer?action=UPDATE&amp;creator=factset&amp;DYN_ARGS=TRUE&amp;DOC_NAME=FAT:FQL_AUDITING_CLIENT_TEMPLATE.FAT&amp;display_string=Audit&amp;VAR:KEY=TGNENEJURQ&amp;VAR:QUERY=RkZfRUJJVERBX0lCKCdMVE1TJywzODg1NCk=&amp;WINDOW=FIRST_POPUP&amp;HEIGHT=450&amp;WIDTH=450&amp;START_MA","XIMIZED=FALSE&amp;VAR:CALENDAR=US&amp;VAR:SYMBOL=G0129K10&amp;VAR:INDEX=0"}</definedName>
    <definedName name="_8687__FDSAUDITLINK__" hidden="1">{"fdsup://directions/FAT Viewer?action=UPDATE&amp;creator=factset&amp;DYN_ARGS=TRUE&amp;DOC_NAME=FAT:FQL_AUDITING_CLIENT_TEMPLATE.FAT&amp;display_string=Audit&amp;VAR:KEY=TGNENEJURQ&amp;VAR:QUERY=RkZfRUJJVERBX0lCKCdMVE1TJywzODg1NCk=&amp;WINDOW=FIRST_POPUP&amp;HEIGHT=450&amp;WIDTH=450&amp;START_MA","XIMIZED=FALSE&amp;VAR:CALENDAR=US&amp;VAR:SYMBOL=G0129K10&amp;VAR:INDEX=0"}</definedName>
    <definedName name="_8688__FDSAUDITLINK__" localSheetId="6" hidden="1">{"fdsup://directions/FAT Viewer?action=UPDATE&amp;creator=factset&amp;DYN_ARGS=TRUE&amp;DOC_NAME=FAT:FQL_AUDITING_CLIENT_TEMPLATE.FAT&amp;display_string=Audit&amp;VAR:KEY=TSJADSRENO&amp;VAR:QUERY=RkZfRUJJVERBX0lCKCdMVE1TJywzODg1Myk=&amp;WINDOW=FIRST_POPUP&amp;HEIGHT=450&amp;WIDTH=450&amp;START_MA","XIMIZED=FALSE&amp;VAR:CALENDAR=US&amp;VAR:SYMBOL=G0129K10&amp;VAR:INDEX=0"}</definedName>
    <definedName name="_8688__FDSAUDITLINK__" hidden="1">{"fdsup://directions/FAT Viewer?action=UPDATE&amp;creator=factset&amp;DYN_ARGS=TRUE&amp;DOC_NAME=FAT:FQL_AUDITING_CLIENT_TEMPLATE.FAT&amp;display_string=Audit&amp;VAR:KEY=TSJADSRENO&amp;VAR:QUERY=RkZfRUJJVERBX0lCKCdMVE1TJywzODg1Myk=&amp;WINDOW=FIRST_POPUP&amp;HEIGHT=450&amp;WIDTH=450&amp;START_MA","XIMIZED=FALSE&amp;VAR:CALENDAR=US&amp;VAR:SYMBOL=G0129K10&amp;VAR:INDEX=0"}</definedName>
    <definedName name="_8689__FDSAUDITLINK__" localSheetId="6" hidden="1">{"fdsup://directions/FAT Viewer?action=UPDATE&amp;creator=factset&amp;DYN_ARGS=TRUE&amp;DOC_NAME=FAT:FQL_AUDITING_CLIENT_TEMPLATE.FAT&amp;display_string=Audit&amp;VAR:KEY=NWBADKJQRM&amp;VAR:QUERY=RkZfRUJJVERBX0lCKCdMVE1TJywzODg1Mik=&amp;WINDOW=FIRST_POPUP&amp;HEIGHT=450&amp;WIDTH=450&amp;START_MA","XIMIZED=FALSE&amp;VAR:CALENDAR=US&amp;VAR:SYMBOL=G0129K10&amp;VAR:INDEX=0"}</definedName>
    <definedName name="_8689__FDSAUDITLINK__" hidden="1">{"fdsup://directions/FAT Viewer?action=UPDATE&amp;creator=factset&amp;DYN_ARGS=TRUE&amp;DOC_NAME=FAT:FQL_AUDITING_CLIENT_TEMPLATE.FAT&amp;display_string=Audit&amp;VAR:KEY=NWBADKJQRM&amp;VAR:QUERY=RkZfRUJJVERBX0lCKCdMVE1TJywzODg1Mik=&amp;WINDOW=FIRST_POPUP&amp;HEIGHT=450&amp;WIDTH=450&amp;START_MA","XIMIZED=FALSE&amp;VAR:CALENDAR=US&amp;VAR:SYMBOL=G0129K10&amp;VAR:INDEX=0"}</definedName>
    <definedName name="_869__FDSAUDITLINK__" localSheetId="6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9__FDSAUDITLINK__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690__FDSAUDITLINK__" localSheetId="6" hidden="1">{"fdsup://directions/FAT Viewer?action=UPDATE&amp;creator=factset&amp;DYN_ARGS=TRUE&amp;DOC_NAME=FAT:FQL_AUDITING_CLIENT_TEMPLATE.FAT&amp;display_string=Audit&amp;VAR:KEY=HYVQJEFYFK&amp;VAR:QUERY=RkZfRUJJVERBX0lCKCdMVE1TJywzODg1MSk=&amp;WINDOW=FIRST_POPUP&amp;HEIGHT=450&amp;WIDTH=450&amp;START_MA","XIMIZED=FALSE&amp;VAR:CALENDAR=US&amp;VAR:SYMBOL=G0129K10&amp;VAR:INDEX=0"}</definedName>
    <definedName name="_8690__FDSAUDITLINK__" hidden="1">{"fdsup://directions/FAT Viewer?action=UPDATE&amp;creator=factset&amp;DYN_ARGS=TRUE&amp;DOC_NAME=FAT:FQL_AUDITING_CLIENT_TEMPLATE.FAT&amp;display_string=Audit&amp;VAR:KEY=HYVQJEFYFK&amp;VAR:QUERY=RkZfRUJJVERBX0lCKCdMVE1TJywzODg1MSk=&amp;WINDOW=FIRST_POPUP&amp;HEIGHT=450&amp;WIDTH=450&amp;START_MA","XIMIZED=FALSE&amp;VAR:CALENDAR=US&amp;VAR:SYMBOL=G0129K10&amp;VAR:INDEX=0"}</definedName>
    <definedName name="_8691__FDSAUDITLINK__" localSheetId="6" hidden="1">{"fdsup://directions/FAT Viewer?action=UPDATE&amp;creator=factset&amp;DYN_ARGS=TRUE&amp;DOC_NAME=FAT:FQL_AUDITING_CLIENT_TEMPLATE.FAT&amp;display_string=Audit&amp;VAR:KEY=TERQPEVEVM&amp;VAR:QUERY=RkZfRUJJVERBX0lCKCdMVE1TJywzODg1MCk=&amp;WINDOW=FIRST_POPUP&amp;HEIGHT=450&amp;WIDTH=450&amp;START_MA","XIMIZED=FALSE&amp;VAR:CALENDAR=US&amp;VAR:SYMBOL=G0129K10&amp;VAR:INDEX=0"}</definedName>
    <definedName name="_8691__FDSAUDITLINK__" hidden="1">{"fdsup://directions/FAT Viewer?action=UPDATE&amp;creator=factset&amp;DYN_ARGS=TRUE&amp;DOC_NAME=FAT:FQL_AUDITING_CLIENT_TEMPLATE.FAT&amp;display_string=Audit&amp;VAR:KEY=TERQPEVEVM&amp;VAR:QUERY=RkZfRUJJVERBX0lCKCdMVE1TJywzODg1MCk=&amp;WINDOW=FIRST_POPUP&amp;HEIGHT=450&amp;WIDTH=450&amp;START_MA","XIMIZED=FALSE&amp;VAR:CALENDAR=US&amp;VAR:SYMBOL=G0129K10&amp;VAR:INDEX=0"}</definedName>
    <definedName name="_8692__FDSAUDITLINK__" localSheetId="6" hidden="1">{"fdsup://directions/FAT Viewer?action=UPDATE&amp;creator=factset&amp;DYN_ARGS=TRUE&amp;DOC_NAME=FAT:FQL_AUDITING_CLIENT_TEMPLATE.FAT&amp;display_string=Audit&amp;VAR:KEY=LITGTIZIJA&amp;VAR:QUERY=RkZfRUJJVERBX0lCKCdMVE1TJywzODg0OSk=&amp;WINDOW=FIRST_POPUP&amp;HEIGHT=450&amp;WIDTH=450&amp;START_MA","XIMIZED=FALSE&amp;VAR:CALENDAR=US&amp;VAR:SYMBOL=G0129K10&amp;VAR:INDEX=0"}</definedName>
    <definedName name="_8692__FDSAUDITLINK__" hidden="1">{"fdsup://directions/FAT Viewer?action=UPDATE&amp;creator=factset&amp;DYN_ARGS=TRUE&amp;DOC_NAME=FAT:FQL_AUDITING_CLIENT_TEMPLATE.FAT&amp;display_string=Audit&amp;VAR:KEY=LITGTIZIJA&amp;VAR:QUERY=RkZfRUJJVERBX0lCKCdMVE1TJywzODg0OSk=&amp;WINDOW=FIRST_POPUP&amp;HEIGHT=450&amp;WIDTH=450&amp;START_MA","XIMIZED=FALSE&amp;VAR:CALENDAR=US&amp;VAR:SYMBOL=G0129K10&amp;VAR:INDEX=0"}</definedName>
    <definedName name="_8693__FDSAUDITLINK__" localSheetId="6" hidden="1">{"fdsup://directions/FAT Viewer?action=UPDATE&amp;creator=factset&amp;DYN_ARGS=TRUE&amp;DOC_NAME=FAT:FQL_AUDITING_CLIENT_TEMPLATE.FAT&amp;display_string=Audit&amp;VAR:KEY=HYFSZOLIXY&amp;VAR:QUERY=RkZfRUJJVERBX0lCKCdMVE1TJywzODg0OCk=&amp;WINDOW=FIRST_POPUP&amp;HEIGHT=450&amp;WIDTH=450&amp;START_MA","XIMIZED=FALSE&amp;VAR:CALENDAR=US&amp;VAR:SYMBOL=G0129K10&amp;VAR:INDEX=0"}</definedName>
    <definedName name="_8693__FDSAUDITLINK__" hidden="1">{"fdsup://directions/FAT Viewer?action=UPDATE&amp;creator=factset&amp;DYN_ARGS=TRUE&amp;DOC_NAME=FAT:FQL_AUDITING_CLIENT_TEMPLATE.FAT&amp;display_string=Audit&amp;VAR:KEY=HYFSZOLIXY&amp;VAR:QUERY=RkZfRUJJVERBX0lCKCdMVE1TJywzODg0OCk=&amp;WINDOW=FIRST_POPUP&amp;HEIGHT=450&amp;WIDTH=450&amp;START_MA","XIMIZED=FALSE&amp;VAR:CALENDAR=US&amp;VAR:SYMBOL=G0129K10&amp;VAR:INDEX=0"}</definedName>
    <definedName name="_8694__FDSAUDITLINK__" localSheetId="6" hidden="1">{"fdsup://directions/FAT Viewer?action=UPDATE&amp;creator=factset&amp;DYN_ARGS=TRUE&amp;DOC_NAME=FAT:FQL_AUDITING_CLIENT_TEMPLATE.FAT&amp;display_string=Audit&amp;VAR:KEY=XODGJQVIFC&amp;VAR:QUERY=RkZfRUJJVERBX0lCKCdMVE1TJywzODg0Nyk=&amp;WINDOW=FIRST_POPUP&amp;HEIGHT=450&amp;WIDTH=450&amp;START_MA","XIMIZED=FALSE&amp;VAR:CALENDAR=US&amp;VAR:SYMBOL=G0129K10&amp;VAR:INDEX=0"}</definedName>
    <definedName name="_8694__FDSAUDITLINK__" hidden="1">{"fdsup://directions/FAT Viewer?action=UPDATE&amp;creator=factset&amp;DYN_ARGS=TRUE&amp;DOC_NAME=FAT:FQL_AUDITING_CLIENT_TEMPLATE.FAT&amp;display_string=Audit&amp;VAR:KEY=XODGJQVIFC&amp;VAR:QUERY=RkZfRUJJVERBX0lCKCdMVE1TJywzODg0Nyk=&amp;WINDOW=FIRST_POPUP&amp;HEIGHT=450&amp;WIDTH=450&amp;START_MA","XIMIZED=FALSE&amp;VAR:CALENDAR=US&amp;VAR:SYMBOL=G0129K10&amp;VAR:INDEX=0"}</definedName>
    <definedName name="_8695__FDSAUDITLINK__" localSheetId="6" hidden="1">{"fdsup://directions/FAT Viewer?action=UPDATE&amp;creator=factset&amp;DYN_ARGS=TRUE&amp;DOC_NAME=FAT:FQL_AUDITING_CLIENT_TEMPLATE.FAT&amp;display_string=Audit&amp;VAR:KEY=BQPQPQJMHA&amp;VAR:QUERY=RkZfRUJJVERBX0lCKCdMVE1TJywzODg0Nik=&amp;WINDOW=FIRST_POPUP&amp;HEIGHT=450&amp;WIDTH=450&amp;START_MA","XIMIZED=FALSE&amp;VAR:CALENDAR=US&amp;VAR:SYMBOL=G0129K10&amp;VAR:INDEX=0"}</definedName>
    <definedName name="_8695__FDSAUDITLINK__" hidden="1">{"fdsup://directions/FAT Viewer?action=UPDATE&amp;creator=factset&amp;DYN_ARGS=TRUE&amp;DOC_NAME=FAT:FQL_AUDITING_CLIENT_TEMPLATE.FAT&amp;display_string=Audit&amp;VAR:KEY=BQPQPQJMHA&amp;VAR:QUERY=RkZfRUJJVERBX0lCKCdMVE1TJywzODg0Nik=&amp;WINDOW=FIRST_POPUP&amp;HEIGHT=450&amp;WIDTH=450&amp;START_MA","XIMIZED=FALSE&amp;VAR:CALENDAR=US&amp;VAR:SYMBOL=G0129K10&amp;VAR:INDEX=0"}</definedName>
    <definedName name="_8696__FDSAUDITLINK__" localSheetId="6" hidden="1">{"fdsup://directions/FAT Viewer?action=UPDATE&amp;creator=factset&amp;DYN_ARGS=TRUE&amp;DOC_NAME=FAT:FQL_AUDITING_CLIENT_TEMPLATE.FAT&amp;display_string=Audit&amp;VAR:KEY=BAHAPEDETM&amp;VAR:QUERY=RkZfRUJJVERBX0lCKCdMVE1TJywzODg0NSk=&amp;WINDOW=FIRST_POPUP&amp;HEIGHT=450&amp;WIDTH=450&amp;START_MA","XIMIZED=FALSE&amp;VAR:CALENDAR=US&amp;VAR:SYMBOL=G0129K10&amp;VAR:INDEX=0"}</definedName>
    <definedName name="_8696__FDSAUDITLINK__" hidden="1">{"fdsup://directions/FAT Viewer?action=UPDATE&amp;creator=factset&amp;DYN_ARGS=TRUE&amp;DOC_NAME=FAT:FQL_AUDITING_CLIENT_TEMPLATE.FAT&amp;display_string=Audit&amp;VAR:KEY=BAHAPEDETM&amp;VAR:QUERY=RkZfRUJJVERBX0lCKCdMVE1TJywzODg0NSk=&amp;WINDOW=FIRST_POPUP&amp;HEIGHT=450&amp;WIDTH=450&amp;START_MA","XIMIZED=FALSE&amp;VAR:CALENDAR=US&amp;VAR:SYMBOL=G0129K10&amp;VAR:INDEX=0"}</definedName>
    <definedName name="_8697__FDSAUDITLINK__" localSheetId="6" hidden="1">{"fdsup://directions/FAT Viewer?action=UPDATE&amp;creator=factset&amp;DYN_ARGS=TRUE&amp;DOC_NAME=FAT:FQL_AUDITING_CLIENT_TEMPLATE.FAT&amp;display_string=Audit&amp;VAR:KEY=NKXENCBEVO&amp;VAR:QUERY=RkZfRUJJVERBX0lCKCdMVE1TJywzODg0NCk=&amp;WINDOW=FIRST_POPUP&amp;HEIGHT=450&amp;WIDTH=450&amp;START_MA","XIMIZED=FALSE&amp;VAR:CALENDAR=US&amp;VAR:SYMBOL=G0129K10&amp;VAR:INDEX=0"}</definedName>
    <definedName name="_8697__FDSAUDITLINK__" hidden="1">{"fdsup://directions/FAT Viewer?action=UPDATE&amp;creator=factset&amp;DYN_ARGS=TRUE&amp;DOC_NAME=FAT:FQL_AUDITING_CLIENT_TEMPLATE.FAT&amp;display_string=Audit&amp;VAR:KEY=NKXENCBEVO&amp;VAR:QUERY=RkZfRUJJVERBX0lCKCdMVE1TJywzODg0NCk=&amp;WINDOW=FIRST_POPUP&amp;HEIGHT=450&amp;WIDTH=450&amp;START_MA","XIMIZED=FALSE&amp;VAR:CALENDAR=US&amp;VAR:SYMBOL=G0129K10&amp;VAR:INDEX=0"}</definedName>
    <definedName name="_8698__FDSAUDITLINK__" localSheetId="6" hidden="1">{"fdsup://directions/FAT Viewer?action=UPDATE&amp;creator=factset&amp;DYN_ARGS=TRUE&amp;DOC_NAME=FAT:FQL_AUDITING_CLIENT_TEMPLATE.FAT&amp;display_string=Audit&amp;VAR:KEY=REPEHWTALQ&amp;VAR:QUERY=RkZfRUJJVERBX0lCKCdMVE1TJywzODg0Myk=&amp;WINDOW=FIRST_POPUP&amp;HEIGHT=450&amp;WIDTH=450&amp;START_MA","XIMIZED=FALSE&amp;VAR:CALENDAR=US&amp;VAR:SYMBOL=G0129K10&amp;VAR:INDEX=0"}</definedName>
    <definedName name="_8698__FDSAUDITLINK__" hidden="1">{"fdsup://directions/FAT Viewer?action=UPDATE&amp;creator=factset&amp;DYN_ARGS=TRUE&amp;DOC_NAME=FAT:FQL_AUDITING_CLIENT_TEMPLATE.FAT&amp;display_string=Audit&amp;VAR:KEY=REPEHWTALQ&amp;VAR:QUERY=RkZfRUJJVERBX0lCKCdMVE1TJywzODg0Myk=&amp;WINDOW=FIRST_POPUP&amp;HEIGHT=450&amp;WIDTH=450&amp;START_MA","XIMIZED=FALSE&amp;VAR:CALENDAR=US&amp;VAR:SYMBOL=G0129K10&amp;VAR:INDEX=0"}</definedName>
    <definedName name="_8699__FDSAUDITLINK__" localSheetId="6" hidden="1">{"fdsup://directions/FAT Viewer?action=UPDATE&amp;creator=factset&amp;DYN_ARGS=TRUE&amp;DOC_NAME=FAT:FQL_AUDITING_CLIENT_TEMPLATE.FAT&amp;display_string=Audit&amp;VAR:KEY=PUZWZORMLQ&amp;VAR:QUERY=RkZfRUJJVERBX0lCKCdMVE1TJywzODg0Mik=&amp;WINDOW=FIRST_POPUP&amp;HEIGHT=450&amp;WIDTH=450&amp;START_MA","XIMIZED=FALSE&amp;VAR:CALENDAR=US&amp;VAR:SYMBOL=G0129K10&amp;VAR:INDEX=0"}</definedName>
    <definedName name="_8699__FDSAUDITLINK__" hidden="1">{"fdsup://directions/FAT Viewer?action=UPDATE&amp;creator=factset&amp;DYN_ARGS=TRUE&amp;DOC_NAME=FAT:FQL_AUDITING_CLIENT_TEMPLATE.FAT&amp;display_string=Audit&amp;VAR:KEY=PUZWZORMLQ&amp;VAR:QUERY=RkZfRUJJVERBX0lCKCdMVE1TJywzODg0Mik=&amp;WINDOW=FIRST_POPUP&amp;HEIGHT=450&amp;WIDTH=450&amp;START_MA","XIMIZED=FALSE&amp;VAR:CALENDAR=US&amp;VAR:SYMBOL=G0129K10&amp;VAR:INDEX=0"}</definedName>
    <definedName name="_870__FDSAUDITLINK__" localSheetId="6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0__FDSAUDITLINK__" hidden="1">{"fdsup://directions/FAT%20Viewer?VAR:PED=LTM&amp;VAR:AUDIT_MODE=SUMMARY&amp;VAR:PERIOD=FIXED&amp;VAR:AUDIT_ID=00000117&amp;VAR:DATE=20071005&amp;action=UPDATE&amp;creator=factset&amp;DOC_NAME=FAT:FMA_audit_SUMMARY.fat&amp;DISPLAY_STRING=Display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00__FDSAUDITLINK__" localSheetId="6" hidden="1">{"fdsup://directions/FAT Viewer?action=UPDATE&amp;creator=factset&amp;DYN_ARGS=TRUE&amp;DOC_NAME=FAT:FQL_AUDITING_CLIENT_TEMPLATE.FAT&amp;display_string=Audit&amp;VAR:KEY=JITUTUFCRQ&amp;VAR:QUERY=RkZfRUJJVERBX0lCKCdMVE1TJywzODg0MSk=&amp;WINDOW=FIRST_POPUP&amp;HEIGHT=450&amp;WIDTH=450&amp;START_MA","XIMIZED=FALSE&amp;VAR:CALENDAR=US&amp;VAR:SYMBOL=G0129K10&amp;VAR:INDEX=0"}</definedName>
    <definedName name="_8700__FDSAUDITLINK__" hidden="1">{"fdsup://directions/FAT Viewer?action=UPDATE&amp;creator=factset&amp;DYN_ARGS=TRUE&amp;DOC_NAME=FAT:FQL_AUDITING_CLIENT_TEMPLATE.FAT&amp;display_string=Audit&amp;VAR:KEY=JITUTUFCRQ&amp;VAR:QUERY=RkZfRUJJVERBX0lCKCdMVE1TJywzODg0MSk=&amp;WINDOW=FIRST_POPUP&amp;HEIGHT=450&amp;WIDTH=450&amp;START_MA","XIMIZED=FALSE&amp;VAR:CALENDAR=US&amp;VAR:SYMBOL=G0129K10&amp;VAR:INDEX=0"}</definedName>
    <definedName name="_8701__FDSAUDITLINK__" localSheetId="6" hidden="1">{"fdsup://directions/FAT Viewer?action=UPDATE&amp;creator=factset&amp;DYN_ARGS=TRUE&amp;DOC_NAME=FAT:FQL_AUDITING_CLIENT_TEMPLATE.FAT&amp;display_string=Audit&amp;VAR:KEY=FYPKFORCDG&amp;VAR:QUERY=RkZfRUJJVERBX0lCKCdMVE1TJywzODg0MCk=&amp;WINDOW=FIRST_POPUP&amp;HEIGHT=450&amp;WIDTH=450&amp;START_MA","XIMIZED=FALSE&amp;VAR:CALENDAR=US&amp;VAR:SYMBOL=G0129K10&amp;VAR:INDEX=0"}</definedName>
    <definedName name="_8701__FDSAUDITLINK__" hidden="1">{"fdsup://directions/FAT Viewer?action=UPDATE&amp;creator=factset&amp;DYN_ARGS=TRUE&amp;DOC_NAME=FAT:FQL_AUDITING_CLIENT_TEMPLATE.FAT&amp;display_string=Audit&amp;VAR:KEY=FYPKFORCDG&amp;VAR:QUERY=RkZfRUJJVERBX0lCKCdMVE1TJywzODg0MCk=&amp;WINDOW=FIRST_POPUP&amp;HEIGHT=450&amp;WIDTH=450&amp;START_MA","XIMIZED=FALSE&amp;VAR:CALENDAR=US&amp;VAR:SYMBOL=G0129K10&amp;VAR:INDEX=0"}</definedName>
    <definedName name="_8702__FDSAUDITLINK__" localSheetId="6" hidden="1">{"fdsup://directions/FAT Viewer?action=UPDATE&amp;creator=factset&amp;DYN_ARGS=TRUE&amp;DOC_NAME=FAT:FQL_AUDITING_CLIENT_TEMPLATE.FAT&amp;display_string=Audit&amp;VAR:KEY=LOPWVUTMHA&amp;VAR:QUERY=RkZfRUJJVERBX0lCKCdMVE1TJywzODgzOSk=&amp;WINDOW=FIRST_POPUP&amp;HEIGHT=450&amp;WIDTH=450&amp;START_MA","XIMIZED=FALSE&amp;VAR:CALENDAR=US&amp;VAR:SYMBOL=G0129K10&amp;VAR:INDEX=0"}</definedName>
    <definedName name="_8702__FDSAUDITLINK__" hidden="1">{"fdsup://directions/FAT Viewer?action=UPDATE&amp;creator=factset&amp;DYN_ARGS=TRUE&amp;DOC_NAME=FAT:FQL_AUDITING_CLIENT_TEMPLATE.FAT&amp;display_string=Audit&amp;VAR:KEY=LOPWVUTMHA&amp;VAR:QUERY=RkZfRUJJVERBX0lCKCdMVE1TJywzODgzOSk=&amp;WINDOW=FIRST_POPUP&amp;HEIGHT=450&amp;WIDTH=450&amp;START_MA","XIMIZED=FALSE&amp;VAR:CALENDAR=US&amp;VAR:SYMBOL=G0129K10&amp;VAR:INDEX=0"}</definedName>
    <definedName name="_8703__FDSAUDITLINK__" localSheetId="6" hidden="1">{"fdsup://directions/FAT Viewer?action=UPDATE&amp;creator=factset&amp;DYN_ARGS=TRUE&amp;DOC_NAME=FAT:FQL_AUDITING_CLIENT_TEMPLATE.FAT&amp;display_string=Audit&amp;VAR:KEY=JADOZGBKLC&amp;VAR:QUERY=RkZfRUJJVERBX0lCKCdMVE1TJywzODgzOCk=&amp;WINDOW=FIRST_POPUP&amp;HEIGHT=450&amp;WIDTH=450&amp;START_MA","XIMIZED=FALSE&amp;VAR:CALENDAR=US&amp;VAR:SYMBOL=G0129K10&amp;VAR:INDEX=0"}</definedName>
    <definedName name="_8703__FDSAUDITLINK__" hidden="1">{"fdsup://directions/FAT Viewer?action=UPDATE&amp;creator=factset&amp;DYN_ARGS=TRUE&amp;DOC_NAME=FAT:FQL_AUDITING_CLIENT_TEMPLATE.FAT&amp;display_string=Audit&amp;VAR:KEY=JADOZGBKLC&amp;VAR:QUERY=RkZfRUJJVERBX0lCKCdMVE1TJywzODgzOCk=&amp;WINDOW=FIRST_POPUP&amp;HEIGHT=450&amp;WIDTH=450&amp;START_MA","XIMIZED=FALSE&amp;VAR:CALENDAR=US&amp;VAR:SYMBOL=G0129K10&amp;VAR:INDEX=0"}</definedName>
    <definedName name="_8704__FDSAUDITLINK__" localSheetId="6" hidden="1">{"fdsup://directions/FAT Viewer?action=UPDATE&amp;creator=factset&amp;DYN_ARGS=TRUE&amp;DOC_NAME=FAT:FQL_AUDITING_CLIENT_TEMPLATE.FAT&amp;display_string=Audit&amp;VAR:KEY=LKVMPODKBG&amp;VAR:QUERY=RkZfRUJJVERBX0lCKCdMVE1TJywzODgzNyk=&amp;WINDOW=FIRST_POPUP&amp;HEIGHT=450&amp;WIDTH=450&amp;START_MA","XIMIZED=FALSE&amp;VAR:CALENDAR=US&amp;VAR:SYMBOL=G0129K10&amp;VAR:INDEX=0"}</definedName>
    <definedName name="_8704__FDSAUDITLINK__" hidden="1">{"fdsup://directions/FAT Viewer?action=UPDATE&amp;creator=factset&amp;DYN_ARGS=TRUE&amp;DOC_NAME=FAT:FQL_AUDITING_CLIENT_TEMPLATE.FAT&amp;display_string=Audit&amp;VAR:KEY=LKVMPODKBG&amp;VAR:QUERY=RkZfRUJJVERBX0lCKCdMVE1TJywzODgzNyk=&amp;WINDOW=FIRST_POPUP&amp;HEIGHT=450&amp;WIDTH=450&amp;START_MA","XIMIZED=FALSE&amp;VAR:CALENDAR=US&amp;VAR:SYMBOL=G0129K10&amp;VAR:INDEX=0"}</definedName>
    <definedName name="_8705__FDSAUDITLINK__" localSheetId="6" hidden="1">{"fdsup://directions/FAT Viewer?action=UPDATE&amp;creator=factset&amp;DYN_ARGS=TRUE&amp;DOC_NAME=FAT:FQL_AUDITING_CLIENT_TEMPLATE.FAT&amp;display_string=Audit&amp;VAR:KEY=XCZEHWNSVM&amp;VAR:QUERY=RkZfRUJJVERBX0lCKCdMVE1TJywzODgzNik=&amp;WINDOW=FIRST_POPUP&amp;HEIGHT=450&amp;WIDTH=450&amp;START_MA","XIMIZED=FALSE&amp;VAR:CALENDAR=US&amp;VAR:SYMBOL=G0129K10&amp;VAR:INDEX=0"}</definedName>
    <definedName name="_8705__FDSAUDITLINK__" hidden="1">{"fdsup://directions/FAT Viewer?action=UPDATE&amp;creator=factset&amp;DYN_ARGS=TRUE&amp;DOC_NAME=FAT:FQL_AUDITING_CLIENT_TEMPLATE.FAT&amp;display_string=Audit&amp;VAR:KEY=XCZEHWNSVM&amp;VAR:QUERY=RkZfRUJJVERBX0lCKCdMVE1TJywzODgzNik=&amp;WINDOW=FIRST_POPUP&amp;HEIGHT=450&amp;WIDTH=450&amp;START_MA","XIMIZED=FALSE&amp;VAR:CALENDAR=US&amp;VAR:SYMBOL=G0129K10&amp;VAR:INDEX=0"}</definedName>
    <definedName name="_8706__FDSAUDITLINK__" localSheetId="6" hidden="1">{"fdsup://directions/FAT Viewer?action=UPDATE&amp;creator=factset&amp;DYN_ARGS=TRUE&amp;DOC_NAME=FAT:FQL_AUDITING_CLIENT_TEMPLATE.FAT&amp;display_string=Audit&amp;VAR:KEY=RIJWTWVCFG&amp;VAR:QUERY=RkZfRUJJVERBX0lCKCdMVE1TJywzODgzNSk=&amp;WINDOW=FIRST_POPUP&amp;HEIGHT=450&amp;WIDTH=450&amp;START_MA","XIMIZED=FALSE&amp;VAR:CALENDAR=US&amp;VAR:SYMBOL=G0129K10&amp;VAR:INDEX=0"}</definedName>
    <definedName name="_8706__FDSAUDITLINK__" hidden="1">{"fdsup://directions/FAT Viewer?action=UPDATE&amp;creator=factset&amp;DYN_ARGS=TRUE&amp;DOC_NAME=FAT:FQL_AUDITING_CLIENT_TEMPLATE.FAT&amp;display_string=Audit&amp;VAR:KEY=RIJWTWVCFG&amp;VAR:QUERY=RkZfRUJJVERBX0lCKCdMVE1TJywzODgzNSk=&amp;WINDOW=FIRST_POPUP&amp;HEIGHT=450&amp;WIDTH=450&amp;START_MA","XIMIZED=FALSE&amp;VAR:CALENDAR=US&amp;VAR:SYMBOL=G0129K10&amp;VAR:INDEX=0"}</definedName>
    <definedName name="_8707__FDSAUDITLINK__" localSheetId="6" hidden="1">{"fdsup://directions/FAT Viewer?action=UPDATE&amp;creator=factset&amp;DYN_ARGS=TRUE&amp;DOC_NAME=FAT:FQL_AUDITING_CLIENT_TEMPLATE.FAT&amp;display_string=Audit&amp;VAR:KEY=RERSPKJEJQ&amp;VAR:QUERY=RkZfRUJJVERBX0lCKCdMVE1TJywzODgzNCk=&amp;WINDOW=FIRST_POPUP&amp;HEIGHT=450&amp;WIDTH=450&amp;START_MA","XIMIZED=FALSE&amp;VAR:CALENDAR=US&amp;VAR:SYMBOL=G0129K10&amp;VAR:INDEX=0"}</definedName>
    <definedName name="_8707__FDSAUDITLINK__" hidden="1">{"fdsup://directions/FAT Viewer?action=UPDATE&amp;creator=factset&amp;DYN_ARGS=TRUE&amp;DOC_NAME=FAT:FQL_AUDITING_CLIENT_TEMPLATE.FAT&amp;display_string=Audit&amp;VAR:KEY=RERSPKJEJQ&amp;VAR:QUERY=RkZfRUJJVERBX0lCKCdMVE1TJywzODgzNCk=&amp;WINDOW=FIRST_POPUP&amp;HEIGHT=450&amp;WIDTH=450&amp;START_MA","XIMIZED=FALSE&amp;VAR:CALENDAR=US&amp;VAR:SYMBOL=G0129K10&amp;VAR:INDEX=0"}</definedName>
    <definedName name="_8708__FDSAUDITLINK__" localSheetId="6" hidden="1">{"fdsup://directions/FAT Viewer?action=UPDATE&amp;creator=factset&amp;DYN_ARGS=TRUE&amp;DOC_NAME=FAT:FQL_AUDITING_CLIENT_TEMPLATE.FAT&amp;display_string=Audit&amp;VAR:KEY=XEXKPOFEFU&amp;VAR:QUERY=RkZfRUJJVERBX0lCKCdMVE1TJywzODgzMyk=&amp;WINDOW=FIRST_POPUP&amp;HEIGHT=450&amp;WIDTH=450&amp;START_MA","XIMIZED=FALSE&amp;VAR:CALENDAR=US&amp;VAR:SYMBOL=G0129K10&amp;VAR:INDEX=0"}</definedName>
    <definedName name="_8708__FDSAUDITLINK__" hidden="1">{"fdsup://directions/FAT Viewer?action=UPDATE&amp;creator=factset&amp;DYN_ARGS=TRUE&amp;DOC_NAME=FAT:FQL_AUDITING_CLIENT_TEMPLATE.FAT&amp;display_string=Audit&amp;VAR:KEY=XEXKPOFEFU&amp;VAR:QUERY=RkZfRUJJVERBX0lCKCdMVE1TJywzODgzMyk=&amp;WINDOW=FIRST_POPUP&amp;HEIGHT=450&amp;WIDTH=450&amp;START_MA","XIMIZED=FALSE&amp;VAR:CALENDAR=US&amp;VAR:SYMBOL=G0129K10&amp;VAR:INDEX=0"}</definedName>
    <definedName name="_8709__FDSAUDITLINK__" localSheetId="6" hidden="1">{"fdsup://directions/FAT Viewer?action=UPDATE&amp;creator=factset&amp;DYN_ARGS=TRUE&amp;DOC_NAME=FAT:FQL_AUDITING_CLIENT_TEMPLATE.FAT&amp;display_string=Audit&amp;VAR:KEY=JQJEHOXQFC&amp;VAR:QUERY=RkZfRUJJVERBX0lCKCdMVE1TJywzODgzMik=&amp;WINDOW=FIRST_POPUP&amp;HEIGHT=450&amp;WIDTH=450&amp;START_MA","XIMIZED=FALSE&amp;VAR:CALENDAR=US&amp;VAR:SYMBOL=G0129K10&amp;VAR:INDEX=0"}</definedName>
    <definedName name="_8709__FDSAUDITLINK__" hidden="1">{"fdsup://directions/FAT Viewer?action=UPDATE&amp;creator=factset&amp;DYN_ARGS=TRUE&amp;DOC_NAME=FAT:FQL_AUDITING_CLIENT_TEMPLATE.FAT&amp;display_string=Audit&amp;VAR:KEY=JQJEHOXQFC&amp;VAR:QUERY=RkZfRUJJVERBX0lCKCdMVE1TJywzODgzMik=&amp;WINDOW=FIRST_POPUP&amp;HEIGHT=450&amp;WIDTH=450&amp;START_MA","XIMIZED=FALSE&amp;VAR:CALENDAR=US&amp;VAR:SYMBOL=G0129K10&amp;VAR:INDEX=0"}</definedName>
    <definedName name="_871__FDSAUDITLINK__" localSheetId="6" hidden="1">{"fdsup://directions/FAT%20Viewer?VAR:PED=LTM&amp;VAR:AUDIT_MODE=SUMMARY&amp;VAR:PERIOD=FIXED&amp;VAR:AUDIT_ID=00000117&amp;VAR:DATE=20071004&amp;action=UPDATE&amp;creator=factset&amp;DOC_NAME=FAT:FMA_audit_SUMMARY.fat&amp;DISPLAY_STRING=Display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1__FDSAUDITLINK__" hidden="1">{"fdsup://directions/FAT%20Viewer?VAR:PED=LTM&amp;VAR:AUDIT_MODE=SUMMARY&amp;VAR:PERIOD=FIXED&amp;VAR:AUDIT_ID=00000117&amp;VAR:DATE=20071004&amp;action=UPDATE&amp;creator=factset&amp;DOC_NAME=FAT:FMA_audit_SUMMARY.fat&amp;DISPLAY_STRING=Display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10__FDSAUDITLINK__" localSheetId="6" hidden="1">{"fdsup://directions/FAT Viewer?action=UPDATE&amp;creator=factset&amp;DYN_ARGS=TRUE&amp;DOC_NAME=FAT:FQL_AUDITING_CLIENT_TEMPLATE.FAT&amp;display_string=Audit&amp;VAR:KEY=NGFIVMLGPQ&amp;VAR:QUERY=RkZfRUJJVERBX0lCKCdMVE1TJywzODgzMSk=&amp;WINDOW=FIRST_POPUP&amp;HEIGHT=450&amp;WIDTH=450&amp;START_MA","XIMIZED=FALSE&amp;VAR:CALENDAR=US&amp;VAR:SYMBOL=G0129K10&amp;VAR:INDEX=0"}</definedName>
    <definedName name="_8710__FDSAUDITLINK__" hidden="1">{"fdsup://directions/FAT Viewer?action=UPDATE&amp;creator=factset&amp;DYN_ARGS=TRUE&amp;DOC_NAME=FAT:FQL_AUDITING_CLIENT_TEMPLATE.FAT&amp;display_string=Audit&amp;VAR:KEY=NGFIVMLGPQ&amp;VAR:QUERY=RkZfRUJJVERBX0lCKCdMVE1TJywzODgzMSk=&amp;WINDOW=FIRST_POPUP&amp;HEIGHT=450&amp;WIDTH=450&amp;START_MA","XIMIZED=FALSE&amp;VAR:CALENDAR=US&amp;VAR:SYMBOL=G0129K10&amp;VAR:INDEX=0"}</definedName>
    <definedName name="_8711__FDSAUDITLINK__" localSheetId="6" hidden="1">{"fdsup://directions/FAT Viewer?action=UPDATE&amp;creator=factset&amp;DYN_ARGS=TRUE&amp;DOC_NAME=FAT:FQL_AUDITING_CLIENT_TEMPLATE.FAT&amp;display_string=Audit&amp;VAR:KEY=ZWTUZKLWZK&amp;VAR:QUERY=RkZfRUJJVERBX0lCKCdMVE1TJywzODgzMCk=&amp;WINDOW=FIRST_POPUP&amp;HEIGHT=450&amp;WIDTH=450&amp;START_MA","XIMIZED=FALSE&amp;VAR:CALENDAR=US&amp;VAR:SYMBOL=G0129K10&amp;VAR:INDEX=0"}</definedName>
    <definedName name="_8711__FDSAUDITLINK__" hidden="1">{"fdsup://directions/FAT Viewer?action=UPDATE&amp;creator=factset&amp;DYN_ARGS=TRUE&amp;DOC_NAME=FAT:FQL_AUDITING_CLIENT_TEMPLATE.FAT&amp;display_string=Audit&amp;VAR:KEY=ZWTUZKLWZK&amp;VAR:QUERY=RkZfRUJJVERBX0lCKCdMVE1TJywzODgzMCk=&amp;WINDOW=FIRST_POPUP&amp;HEIGHT=450&amp;WIDTH=450&amp;START_MA","XIMIZED=FALSE&amp;VAR:CALENDAR=US&amp;VAR:SYMBOL=G0129K10&amp;VAR:INDEX=0"}</definedName>
    <definedName name="_8712__FDSAUDITLINK__" localSheetId="6" hidden="1">{"fdsup://directions/FAT Viewer?action=UPDATE&amp;creator=factset&amp;DYN_ARGS=TRUE&amp;DOC_NAME=FAT:FQL_AUDITING_CLIENT_TEMPLATE.FAT&amp;display_string=Audit&amp;VAR:KEY=NOTMFCTQZE&amp;VAR:QUERY=RkZfRUJJVERBX0lCKCdMVE1TJywzODgyOSk=&amp;WINDOW=FIRST_POPUP&amp;HEIGHT=450&amp;WIDTH=450&amp;START_MA","XIMIZED=FALSE&amp;VAR:CALENDAR=US&amp;VAR:SYMBOL=G0129K10&amp;VAR:INDEX=0"}</definedName>
    <definedName name="_8712__FDSAUDITLINK__" hidden="1">{"fdsup://directions/FAT Viewer?action=UPDATE&amp;creator=factset&amp;DYN_ARGS=TRUE&amp;DOC_NAME=FAT:FQL_AUDITING_CLIENT_TEMPLATE.FAT&amp;display_string=Audit&amp;VAR:KEY=NOTMFCTQZE&amp;VAR:QUERY=RkZfRUJJVERBX0lCKCdMVE1TJywzODgyOSk=&amp;WINDOW=FIRST_POPUP&amp;HEIGHT=450&amp;WIDTH=450&amp;START_MA","XIMIZED=FALSE&amp;VAR:CALENDAR=US&amp;VAR:SYMBOL=G0129K10&amp;VAR:INDEX=0"}</definedName>
    <definedName name="_8713__FDSAUDITLINK__" localSheetId="6" hidden="1">{"fdsup://directions/FAT Viewer?action=UPDATE&amp;creator=factset&amp;DYN_ARGS=TRUE&amp;DOC_NAME=FAT:FQL_AUDITING_CLIENT_TEMPLATE.FAT&amp;display_string=Audit&amp;VAR:KEY=HCZKHCBAZQ&amp;VAR:QUERY=RkZfRUJJVERBX0lCKCdMVE1TJywzODgyOCk=&amp;WINDOW=FIRST_POPUP&amp;HEIGHT=450&amp;WIDTH=450&amp;START_MA","XIMIZED=FALSE&amp;VAR:CALENDAR=US&amp;VAR:SYMBOL=G0129K10&amp;VAR:INDEX=0"}</definedName>
    <definedName name="_8713__FDSAUDITLINK__" hidden="1">{"fdsup://directions/FAT Viewer?action=UPDATE&amp;creator=factset&amp;DYN_ARGS=TRUE&amp;DOC_NAME=FAT:FQL_AUDITING_CLIENT_TEMPLATE.FAT&amp;display_string=Audit&amp;VAR:KEY=HCZKHCBAZQ&amp;VAR:QUERY=RkZfRUJJVERBX0lCKCdMVE1TJywzODgyOCk=&amp;WINDOW=FIRST_POPUP&amp;HEIGHT=450&amp;WIDTH=450&amp;START_MA","XIMIZED=FALSE&amp;VAR:CALENDAR=US&amp;VAR:SYMBOL=G0129K10&amp;VAR:INDEX=0"}</definedName>
    <definedName name="_8714__FDSAUDITLINK__" localSheetId="6" hidden="1">{"fdsup://directions/FAT Viewer?action=UPDATE&amp;creator=factset&amp;DYN_ARGS=TRUE&amp;DOC_NAME=FAT:FQL_AUDITING_CLIENT_TEMPLATE.FAT&amp;display_string=Audit&amp;VAR:KEY=FMBMNSPIFQ&amp;VAR:QUERY=RkZfRUJJVERBX0lCKCdMVE1TJywzODgyNyk=&amp;WINDOW=FIRST_POPUP&amp;HEIGHT=450&amp;WIDTH=450&amp;START_MA","XIMIZED=FALSE&amp;VAR:CALENDAR=US&amp;VAR:SYMBOL=G0129K10&amp;VAR:INDEX=0"}</definedName>
    <definedName name="_8714__FDSAUDITLINK__" hidden="1">{"fdsup://directions/FAT Viewer?action=UPDATE&amp;creator=factset&amp;DYN_ARGS=TRUE&amp;DOC_NAME=FAT:FQL_AUDITING_CLIENT_TEMPLATE.FAT&amp;display_string=Audit&amp;VAR:KEY=FMBMNSPIFQ&amp;VAR:QUERY=RkZfRUJJVERBX0lCKCdMVE1TJywzODgyNyk=&amp;WINDOW=FIRST_POPUP&amp;HEIGHT=450&amp;WIDTH=450&amp;START_MA","XIMIZED=FALSE&amp;VAR:CALENDAR=US&amp;VAR:SYMBOL=G0129K10&amp;VAR:INDEX=0"}</definedName>
    <definedName name="_8715__FDSAUDITLINK__" localSheetId="6" hidden="1">{"fdsup://directions/FAT Viewer?action=UPDATE&amp;creator=factset&amp;DYN_ARGS=TRUE&amp;DOC_NAME=FAT:FQL_AUDITING_CLIENT_TEMPLATE.FAT&amp;display_string=Audit&amp;VAR:KEY=TORYDAXCTW&amp;VAR:QUERY=RkZfRUJJVERBX0lCKCdMVE1TJywzODgyNik=&amp;WINDOW=FIRST_POPUP&amp;HEIGHT=450&amp;WIDTH=450&amp;START_MA","XIMIZED=FALSE&amp;VAR:CALENDAR=US&amp;VAR:SYMBOL=G0129K10&amp;VAR:INDEX=0"}</definedName>
    <definedName name="_8715__FDSAUDITLINK__" hidden="1">{"fdsup://directions/FAT Viewer?action=UPDATE&amp;creator=factset&amp;DYN_ARGS=TRUE&amp;DOC_NAME=FAT:FQL_AUDITING_CLIENT_TEMPLATE.FAT&amp;display_string=Audit&amp;VAR:KEY=TORYDAXCTW&amp;VAR:QUERY=RkZfRUJJVERBX0lCKCdMVE1TJywzODgyNik=&amp;WINDOW=FIRST_POPUP&amp;HEIGHT=450&amp;WIDTH=450&amp;START_MA","XIMIZED=FALSE&amp;VAR:CALENDAR=US&amp;VAR:SYMBOL=G0129K10&amp;VAR:INDEX=0"}</definedName>
    <definedName name="_8716__FDSAUDITLINK__" localSheetId="6" hidden="1">{"fdsup://directions/FAT Viewer?action=UPDATE&amp;creator=factset&amp;DYN_ARGS=TRUE&amp;DOC_NAME=FAT:FQL_AUDITING_CLIENT_TEMPLATE.FAT&amp;display_string=Audit&amp;VAR:KEY=JMXABGZKXQ&amp;VAR:QUERY=RkZfRUJJVERBX0lCKCdMVE1TJywzODgyNSk=&amp;WINDOW=FIRST_POPUP&amp;HEIGHT=450&amp;WIDTH=450&amp;START_MA","XIMIZED=FALSE&amp;VAR:CALENDAR=US&amp;VAR:SYMBOL=G0129K10&amp;VAR:INDEX=0"}</definedName>
    <definedName name="_8716__FDSAUDITLINK__" hidden="1">{"fdsup://directions/FAT Viewer?action=UPDATE&amp;creator=factset&amp;DYN_ARGS=TRUE&amp;DOC_NAME=FAT:FQL_AUDITING_CLIENT_TEMPLATE.FAT&amp;display_string=Audit&amp;VAR:KEY=JMXABGZKXQ&amp;VAR:QUERY=RkZfRUJJVERBX0lCKCdMVE1TJywzODgyNSk=&amp;WINDOW=FIRST_POPUP&amp;HEIGHT=450&amp;WIDTH=450&amp;START_MA","XIMIZED=FALSE&amp;VAR:CALENDAR=US&amp;VAR:SYMBOL=G0129K10&amp;VAR:INDEX=0"}</definedName>
    <definedName name="_8717__FDSAUDITLINK__" localSheetId="6" hidden="1">{"fdsup://directions/FAT Viewer?action=UPDATE&amp;creator=factset&amp;DYN_ARGS=TRUE&amp;DOC_NAME=FAT:FQL_AUDITING_CLIENT_TEMPLATE.FAT&amp;display_string=Audit&amp;VAR:KEY=VIPAHGNIJM&amp;VAR:QUERY=RkZfRUJJVERBX0lCKCdMVE1TJywzODgyNCk=&amp;WINDOW=FIRST_POPUP&amp;HEIGHT=450&amp;WIDTH=450&amp;START_MA","XIMIZED=FALSE&amp;VAR:CALENDAR=US&amp;VAR:SYMBOL=G0129K10&amp;VAR:INDEX=0"}</definedName>
    <definedName name="_8717__FDSAUDITLINK__" hidden="1">{"fdsup://directions/FAT Viewer?action=UPDATE&amp;creator=factset&amp;DYN_ARGS=TRUE&amp;DOC_NAME=FAT:FQL_AUDITING_CLIENT_TEMPLATE.FAT&amp;display_string=Audit&amp;VAR:KEY=VIPAHGNIJM&amp;VAR:QUERY=RkZfRUJJVERBX0lCKCdMVE1TJywzODgyNCk=&amp;WINDOW=FIRST_POPUP&amp;HEIGHT=450&amp;WIDTH=450&amp;START_MA","XIMIZED=FALSE&amp;VAR:CALENDAR=US&amp;VAR:SYMBOL=G0129K10&amp;VAR:INDEX=0"}</definedName>
    <definedName name="_8718__FDSAUDITLINK__" localSheetId="6" hidden="1">{"fdsup://directions/FAT Viewer?action=UPDATE&amp;creator=factset&amp;DYN_ARGS=TRUE&amp;DOC_NAME=FAT:FQL_AUDITING_CLIENT_TEMPLATE.FAT&amp;display_string=Audit&amp;VAR:KEY=ZOFIVIVMTE&amp;VAR:QUERY=RkZfRUJJVERBX0lCKCdMVE1TJywzODgyMyk=&amp;WINDOW=FIRST_POPUP&amp;HEIGHT=450&amp;WIDTH=450&amp;START_MA","XIMIZED=FALSE&amp;VAR:CALENDAR=US&amp;VAR:SYMBOL=G0129K10&amp;VAR:INDEX=0"}</definedName>
    <definedName name="_8718__FDSAUDITLINK__" hidden="1">{"fdsup://directions/FAT Viewer?action=UPDATE&amp;creator=factset&amp;DYN_ARGS=TRUE&amp;DOC_NAME=FAT:FQL_AUDITING_CLIENT_TEMPLATE.FAT&amp;display_string=Audit&amp;VAR:KEY=ZOFIVIVMTE&amp;VAR:QUERY=RkZfRUJJVERBX0lCKCdMVE1TJywzODgyMyk=&amp;WINDOW=FIRST_POPUP&amp;HEIGHT=450&amp;WIDTH=450&amp;START_MA","XIMIZED=FALSE&amp;VAR:CALENDAR=US&amp;VAR:SYMBOL=G0129K10&amp;VAR:INDEX=0"}</definedName>
    <definedName name="_8719__FDSAUDITLINK__" localSheetId="6" hidden="1">{"fdsup://directions/FAT Viewer?action=UPDATE&amp;creator=factset&amp;DYN_ARGS=TRUE&amp;DOC_NAME=FAT:FQL_AUDITING_CLIENT_TEMPLATE.FAT&amp;display_string=Audit&amp;VAR:KEY=HYPCNIHSVS&amp;VAR:QUERY=RkZfRUJJVERBX0lCKCdMVE1TJywzODgyMik=&amp;WINDOW=FIRST_POPUP&amp;HEIGHT=450&amp;WIDTH=450&amp;START_MA","XIMIZED=FALSE&amp;VAR:CALENDAR=US&amp;VAR:SYMBOL=G0129K10&amp;VAR:INDEX=0"}</definedName>
    <definedName name="_8719__FDSAUDITLINK__" hidden="1">{"fdsup://directions/FAT Viewer?action=UPDATE&amp;creator=factset&amp;DYN_ARGS=TRUE&amp;DOC_NAME=FAT:FQL_AUDITING_CLIENT_TEMPLATE.FAT&amp;display_string=Audit&amp;VAR:KEY=HYPCNIHSVS&amp;VAR:QUERY=RkZfRUJJVERBX0lCKCdMVE1TJywzODgyMik=&amp;WINDOW=FIRST_POPUP&amp;HEIGHT=450&amp;WIDTH=450&amp;START_MA","XIMIZED=FALSE&amp;VAR:CALENDAR=US&amp;VAR:SYMBOL=G0129K10&amp;VAR:INDEX=0"}</definedName>
    <definedName name="_872__FDSAUDITLINK__" localSheetId="6" hidden="1">{"fdsup://directions/FAT%20Viewer?VAR:PED=LTM&amp;VAR:AUDIT_MODE=SUMMARY&amp;VAR:PERIOD=FIXED&amp;VAR:AUDIT_ID=00000117&amp;VAR:DATE=20071003&amp;action=UPDATE&amp;creator=factset&amp;DOC_NAME=FAT:FMA_audit_SUMMARY.fat&amp;DISPLAY_STRING=Display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2__FDSAUDITLINK__" hidden="1">{"fdsup://directions/FAT%20Viewer?VAR:PED=LTM&amp;VAR:AUDIT_MODE=SUMMARY&amp;VAR:PERIOD=FIXED&amp;VAR:AUDIT_ID=00000117&amp;VAR:DATE=20071003&amp;action=UPDATE&amp;creator=factset&amp;DOC_NAME=FAT:FMA_audit_SUMMARY.fat&amp;DISPLAY_STRING=Display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20__FDSAUDITLINK__" localSheetId="6" hidden="1">{"fdsup://directions/FAT Viewer?action=UPDATE&amp;creator=factset&amp;DYN_ARGS=TRUE&amp;DOC_NAME=FAT:FQL_AUDITING_CLIENT_TEMPLATE.FAT&amp;display_string=Audit&amp;VAR:KEY=JCNWPOHAPC&amp;VAR:QUERY=RkZfRUJJVERBX0lCKCdMVE1TJywzODgyMSk=&amp;WINDOW=FIRST_POPUP&amp;HEIGHT=450&amp;WIDTH=450&amp;START_MA","XIMIZED=FALSE&amp;VAR:CALENDAR=US&amp;VAR:SYMBOL=G0129K10&amp;VAR:INDEX=0"}</definedName>
    <definedName name="_8720__FDSAUDITLINK__" hidden="1">{"fdsup://directions/FAT Viewer?action=UPDATE&amp;creator=factset&amp;DYN_ARGS=TRUE&amp;DOC_NAME=FAT:FQL_AUDITING_CLIENT_TEMPLATE.FAT&amp;display_string=Audit&amp;VAR:KEY=JCNWPOHAPC&amp;VAR:QUERY=RkZfRUJJVERBX0lCKCdMVE1TJywzODgyMSk=&amp;WINDOW=FIRST_POPUP&amp;HEIGHT=450&amp;WIDTH=450&amp;START_MA","XIMIZED=FALSE&amp;VAR:CALENDAR=US&amp;VAR:SYMBOL=G0129K10&amp;VAR:INDEX=0"}</definedName>
    <definedName name="_8721__FDSAUDITLINK__" localSheetId="6" hidden="1">{"fdsup://directions/FAT Viewer?action=UPDATE&amp;creator=factset&amp;DYN_ARGS=TRUE&amp;DOC_NAME=FAT:FQL_AUDITING_CLIENT_TEMPLATE.FAT&amp;display_string=Audit&amp;VAR:KEY=FUXGNABONO&amp;VAR:QUERY=RkZfRUJJVERBX0lCKCdMVE1TJywzODgyMCk=&amp;WINDOW=FIRST_POPUP&amp;HEIGHT=450&amp;WIDTH=450&amp;START_MA","XIMIZED=FALSE&amp;VAR:CALENDAR=US&amp;VAR:SYMBOL=G0129K10&amp;VAR:INDEX=0"}</definedName>
    <definedName name="_8721__FDSAUDITLINK__" hidden="1">{"fdsup://directions/FAT Viewer?action=UPDATE&amp;creator=factset&amp;DYN_ARGS=TRUE&amp;DOC_NAME=FAT:FQL_AUDITING_CLIENT_TEMPLATE.FAT&amp;display_string=Audit&amp;VAR:KEY=FUXGNABONO&amp;VAR:QUERY=RkZfRUJJVERBX0lCKCdMVE1TJywzODgyMCk=&amp;WINDOW=FIRST_POPUP&amp;HEIGHT=450&amp;WIDTH=450&amp;START_MA","XIMIZED=FALSE&amp;VAR:CALENDAR=US&amp;VAR:SYMBOL=G0129K10&amp;VAR:INDEX=0"}</definedName>
    <definedName name="_8722__FDSAUDITLINK__" localSheetId="6" hidden="1">{"fdsup://directions/FAT Viewer?action=UPDATE&amp;creator=factset&amp;DYN_ARGS=TRUE&amp;DOC_NAME=FAT:FQL_AUDITING_CLIENT_TEMPLATE.FAT&amp;display_string=Audit&amp;VAR:KEY=TAFMTYPGXU&amp;VAR:QUERY=RkZfRUJJVERBX0lCKCdMVE1TJywzODgxOSk=&amp;WINDOW=FIRST_POPUP&amp;HEIGHT=450&amp;WIDTH=450&amp;START_MA","XIMIZED=FALSE&amp;VAR:CALENDAR=US&amp;VAR:SYMBOL=G0129K10&amp;VAR:INDEX=0"}</definedName>
    <definedName name="_8722__FDSAUDITLINK__" hidden="1">{"fdsup://directions/FAT Viewer?action=UPDATE&amp;creator=factset&amp;DYN_ARGS=TRUE&amp;DOC_NAME=FAT:FQL_AUDITING_CLIENT_TEMPLATE.FAT&amp;display_string=Audit&amp;VAR:KEY=TAFMTYPGXU&amp;VAR:QUERY=RkZfRUJJVERBX0lCKCdMVE1TJywzODgxOSk=&amp;WINDOW=FIRST_POPUP&amp;HEIGHT=450&amp;WIDTH=450&amp;START_MA","XIMIZED=FALSE&amp;VAR:CALENDAR=US&amp;VAR:SYMBOL=G0129K10&amp;VAR:INDEX=0"}</definedName>
    <definedName name="_8723__FDSAUDITLINK__" localSheetId="6" hidden="1">{"fdsup://directions/FAT Viewer?action=UPDATE&amp;creator=factset&amp;DYN_ARGS=TRUE&amp;DOC_NAME=FAT:FQL_AUDITING_CLIENT_TEMPLATE.FAT&amp;display_string=Audit&amp;VAR:KEY=HIFUVKJUJS&amp;VAR:QUERY=RkZfRUJJVERBX0lCKCdMVE1TJywzODgxOCk=&amp;WINDOW=FIRST_POPUP&amp;HEIGHT=450&amp;WIDTH=450&amp;START_MA","XIMIZED=FALSE&amp;VAR:CALENDAR=US&amp;VAR:SYMBOL=G0129K10&amp;VAR:INDEX=0"}</definedName>
    <definedName name="_8723__FDSAUDITLINK__" hidden="1">{"fdsup://directions/FAT Viewer?action=UPDATE&amp;creator=factset&amp;DYN_ARGS=TRUE&amp;DOC_NAME=FAT:FQL_AUDITING_CLIENT_TEMPLATE.FAT&amp;display_string=Audit&amp;VAR:KEY=HIFUVKJUJS&amp;VAR:QUERY=RkZfRUJJVERBX0lCKCdMVE1TJywzODgxOCk=&amp;WINDOW=FIRST_POPUP&amp;HEIGHT=450&amp;WIDTH=450&amp;START_MA","XIMIZED=FALSE&amp;VAR:CALENDAR=US&amp;VAR:SYMBOL=G0129K10&amp;VAR:INDEX=0"}</definedName>
    <definedName name="_8724__FDSAUDITLINK__" localSheetId="6" hidden="1">{"fdsup://directions/FAT Viewer?action=UPDATE&amp;creator=factset&amp;DYN_ARGS=TRUE&amp;DOC_NAME=FAT:FQL_AUDITING_CLIENT_TEMPLATE.FAT&amp;display_string=Audit&amp;VAR:KEY=VMDSDSHULI&amp;VAR:QUERY=RkZfRUJJVERBX0lCKCdMVE1TJywzODgxNyk=&amp;WINDOW=FIRST_POPUP&amp;HEIGHT=450&amp;WIDTH=450&amp;START_MA","XIMIZED=FALSE&amp;VAR:CALENDAR=US&amp;VAR:SYMBOL=G0129K10&amp;VAR:INDEX=0"}</definedName>
    <definedName name="_8724__FDSAUDITLINK__" hidden="1">{"fdsup://directions/FAT Viewer?action=UPDATE&amp;creator=factset&amp;DYN_ARGS=TRUE&amp;DOC_NAME=FAT:FQL_AUDITING_CLIENT_TEMPLATE.FAT&amp;display_string=Audit&amp;VAR:KEY=VMDSDSHULI&amp;VAR:QUERY=RkZfRUJJVERBX0lCKCdMVE1TJywzODgxNyk=&amp;WINDOW=FIRST_POPUP&amp;HEIGHT=450&amp;WIDTH=450&amp;START_MA","XIMIZED=FALSE&amp;VAR:CALENDAR=US&amp;VAR:SYMBOL=G0129K10&amp;VAR:INDEX=0"}</definedName>
    <definedName name="_8725__FDSAUDITLINK__" localSheetId="6" hidden="1">{"fdsup://directions/FAT Viewer?action=UPDATE&amp;creator=factset&amp;DYN_ARGS=TRUE&amp;DOC_NAME=FAT:FQL_AUDITING_CLIENT_TEMPLATE.FAT&amp;display_string=Audit&amp;VAR:KEY=TMTGTMZGPQ&amp;VAR:QUERY=RkZfRUJJVERBX0lCKCdMVE1TJywzODgxNik=&amp;WINDOW=FIRST_POPUP&amp;HEIGHT=450&amp;WIDTH=450&amp;START_MA","XIMIZED=FALSE&amp;VAR:CALENDAR=US&amp;VAR:SYMBOL=G0129K10&amp;VAR:INDEX=0"}</definedName>
    <definedName name="_8725__FDSAUDITLINK__" hidden="1">{"fdsup://directions/FAT Viewer?action=UPDATE&amp;creator=factset&amp;DYN_ARGS=TRUE&amp;DOC_NAME=FAT:FQL_AUDITING_CLIENT_TEMPLATE.FAT&amp;display_string=Audit&amp;VAR:KEY=TMTGTMZGPQ&amp;VAR:QUERY=RkZfRUJJVERBX0lCKCdMVE1TJywzODgxNik=&amp;WINDOW=FIRST_POPUP&amp;HEIGHT=450&amp;WIDTH=450&amp;START_MA","XIMIZED=FALSE&amp;VAR:CALENDAR=US&amp;VAR:SYMBOL=G0129K10&amp;VAR:INDEX=0"}</definedName>
    <definedName name="_8726__FDSAUDITLINK__" localSheetId="6" hidden="1">{"fdsup://directions/FAT Viewer?action=UPDATE&amp;creator=factset&amp;DYN_ARGS=TRUE&amp;DOC_NAME=FAT:FQL_AUDITING_CLIENT_TEMPLATE.FAT&amp;display_string=Audit&amp;VAR:KEY=FWBMTIPKLA&amp;VAR:QUERY=RkZfRUJJVERBX0lCKCdMVE1TJywzODgxNSk=&amp;WINDOW=FIRST_POPUP&amp;HEIGHT=450&amp;WIDTH=450&amp;START_MA","XIMIZED=FALSE&amp;VAR:CALENDAR=US&amp;VAR:SYMBOL=G0129K10&amp;VAR:INDEX=0"}</definedName>
    <definedName name="_8726__FDSAUDITLINK__" hidden="1">{"fdsup://directions/FAT Viewer?action=UPDATE&amp;creator=factset&amp;DYN_ARGS=TRUE&amp;DOC_NAME=FAT:FQL_AUDITING_CLIENT_TEMPLATE.FAT&amp;display_string=Audit&amp;VAR:KEY=FWBMTIPKLA&amp;VAR:QUERY=RkZfRUJJVERBX0lCKCdMVE1TJywzODgxNSk=&amp;WINDOW=FIRST_POPUP&amp;HEIGHT=450&amp;WIDTH=450&amp;START_MA","XIMIZED=FALSE&amp;VAR:CALENDAR=US&amp;VAR:SYMBOL=G0129K10&amp;VAR:INDEX=0"}</definedName>
    <definedName name="_8727__FDSAUDITLINK__" localSheetId="6" hidden="1">{"fdsup://directions/FAT Viewer?action=UPDATE&amp;creator=factset&amp;DYN_ARGS=TRUE&amp;DOC_NAME=FAT:FQL_AUDITING_CLIENT_TEMPLATE.FAT&amp;display_string=Audit&amp;VAR:KEY=HSHKVWHCBU&amp;VAR:QUERY=RkZfRUJJVERBX0lCKCdMVE1TJywzODgxNCk=&amp;WINDOW=FIRST_POPUP&amp;HEIGHT=450&amp;WIDTH=450&amp;START_MA","XIMIZED=FALSE&amp;VAR:CALENDAR=US&amp;VAR:SYMBOL=G0129K10&amp;VAR:INDEX=0"}</definedName>
    <definedName name="_8727__FDSAUDITLINK__" hidden="1">{"fdsup://directions/FAT Viewer?action=UPDATE&amp;creator=factset&amp;DYN_ARGS=TRUE&amp;DOC_NAME=FAT:FQL_AUDITING_CLIENT_TEMPLATE.FAT&amp;display_string=Audit&amp;VAR:KEY=HSHKVWHCBU&amp;VAR:QUERY=RkZfRUJJVERBX0lCKCdMVE1TJywzODgxNCk=&amp;WINDOW=FIRST_POPUP&amp;HEIGHT=450&amp;WIDTH=450&amp;START_MA","XIMIZED=FALSE&amp;VAR:CALENDAR=US&amp;VAR:SYMBOL=G0129K10&amp;VAR:INDEX=0"}</definedName>
    <definedName name="_8728__FDSAUDITLINK__" localSheetId="6" hidden="1">{"fdsup://directions/FAT Viewer?action=UPDATE&amp;creator=factset&amp;DYN_ARGS=TRUE&amp;DOC_NAME=FAT:FQL_AUDITING_CLIENT_TEMPLATE.FAT&amp;display_string=Audit&amp;VAR:KEY=BEFUDGLWLU&amp;VAR:QUERY=RkZfRUJJVERBX0lCKCdMVE1TJywzODgxMyk=&amp;WINDOW=FIRST_POPUP&amp;HEIGHT=450&amp;WIDTH=450&amp;START_MA","XIMIZED=FALSE&amp;VAR:CALENDAR=US&amp;VAR:SYMBOL=G0129K10&amp;VAR:INDEX=0"}</definedName>
    <definedName name="_8728__FDSAUDITLINK__" hidden="1">{"fdsup://directions/FAT Viewer?action=UPDATE&amp;creator=factset&amp;DYN_ARGS=TRUE&amp;DOC_NAME=FAT:FQL_AUDITING_CLIENT_TEMPLATE.FAT&amp;display_string=Audit&amp;VAR:KEY=BEFUDGLWLU&amp;VAR:QUERY=RkZfRUJJVERBX0lCKCdMVE1TJywzODgxMyk=&amp;WINDOW=FIRST_POPUP&amp;HEIGHT=450&amp;WIDTH=450&amp;START_MA","XIMIZED=FALSE&amp;VAR:CALENDAR=US&amp;VAR:SYMBOL=G0129K10&amp;VAR:INDEX=0"}</definedName>
    <definedName name="_8729__FDSAUDITLINK__" localSheetId="6" hidden="1">{"fdsup://directions/FAT Viewer?action=UPDATE&amp;creator=factset&amp;DYN_ARGS=TRUE&amp;DOC_NAME=FAT:FQL_AUDITING_CLIENT_TEMPLATE.FAT&amp;display_string=Audit&amp;VAR:KEY=HQFUZAJUXA&amp;VAR:QUERY=RkZfRUJJVERBX0lCKCdMVE1TJywzODgxMik=&amp;WINDOW=FIRST_POPUP&amp;HEIGHT=450&amp;WIDTH=450&amp;START_MA","XIMIZED=FALSE&amp;VAR:CALENDAR=US&amp;VAR:SYMBOL=G0129K10&amp;VAR:INDEX=0"}</definedName>
    <definedName name="_8729__FDSAUDITLINK__" hidden="1">{"fdsup://directions/FAT Viewer?action=UPDATE&amp;creator=factset&amp;DYN_ARGS=TRUE&amp;DOC_NAME=FAT:FQL_AUDITING_CLIENT_TEMPLATE.FAT&amp;display_string=Audit&amp;VAR:KEY=HQFUZAJUXA&amp;VAR:QUERY=RkZfRUJJVERBX0lCKCdMVE1TJywzODgxMik=&amp;WINDOW=FIRST_POPUP&amp;HEIGHT=450&amp;WIDTH=450&amp;START_MA","XIMIZED=FALSE&amp;VAR:CALENDAR=US&amp;VAR:SYMBOL=G0129K10&amp;VAR:INDEX=0"}</definedName>
    <definedName name="_873__FDSAUDITLINK__" localSheetId="6" hidden="1">{"fdsup://directions/FAT%20Viewer?VAR:PED=LTM&amp;VAR:AUDIT_MODE=SUMMARY&amp;VAR:PERIOD=FIXED&amp;VAR:AUDIT_ID=00000117&amp;VAR:DATE=20071002&amp;action=UPDATE&amp;creator=factset&amp;DOC_NAME=FAT:FMA_audit_SUMMARY.fat&amp;DISPLAY_STRING=Display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3__FDSAUDITLINK__" hidden="1">{"fdsup://directions/FAT%20Viewer?VAR:PED=LTM&amp;VAR:AUDIT_MODE=SUMMARY&amp;VAR:PERIOD=FIXED&amp;VAR:AUDIT_ID=00000117&amp;VAR:DATE=20071002&amp;action=UPDATE&amp;creator=factset&amp;DOC_NAME=FAT:FMA_audit_SUMMARY.fat&amp;DISPLAY_STRING=Display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30__FDSAUDITLINK__" localSheetId="6" hidden="1">{"fdsup://directions/FAT Viewer?action=UPDATE&amp;creator=factset&amp;DYN_ARGS=TRUE&amp;DOC_NAME=FAT:FQL_AUDITING_CLIENT_TEMPLATE.FAT&amp;display_string=Audit&amp;VAR:KEY=JINYFIRWNE&amp;VAR:QUERY=RkZfRUJJVERBX0lCKCdMVE1TJywzODgxMSk=&amp;WINDOW=FIRST_POPUP&amp;HEIGHT=450&amp;WIDTH=450&amp;START_MA","XIMIZED=FALSE&amp;VAR:CALENDAR=US&amp;VAR:SYMBOL=G0129K10&amp;VAR:INDEX=0"}</definedName>
    <definedName name="_8730__FDSAUDITLINK__" hidden="1">{"fdsup://directions/FAT Viewer?action=UPDATE&amp;creator=factset&amp;DYN_ARGS=TRUE&amp;DOC_NAME=FAT:FQL_AUDITING_CLIENT_TEMPLATE.FAT&amp;display_string=Audit&amp;VAR:KEY=JINYFIRWNE&amp;VAR:QUERY=RkZfRUJJVERBX0lCKCdMVE1TJywzODgxMSk=&amp;WINDOW=FIRST_POPUP&amp;HEIGHT=450&amp;WIDTH=450&amp;START_MA","XIMIZED=FALSE&amp;VAR:CALENDAR=US&amp;VAR:SYMBOL=G0129K10&amp;VAR:INDEX=0"}</definedName>
    <definedName name="_8731__FDSAUDITLINK__" localSheetId="6" hidden="1">{"fdsup://directions/FAT Viewer?action=UPDATE&amp;creator=factset&amp;DYN_ARGS=TRUE&amp;DOC_NAME=FAT:FQL_AUDITING_CLIENT_TEMPLATE.FAT&amp;display_string=Audit&amp;VAR:KEY=BUPQRGRQZQ&amp;VAR:QUERY=RkZfRUJJVERBX0lCKCdMVE1TJywzODgxMCk=&amp;WINDOW=FIRST_POPUP&amp;HEIGHT=450&amp;WIDTH=450&amp;START_MA","XIMIZED=FALSE&amp;VAR:CALENDAR=US&amp;VAR:SYMBOL=G0129K10&amp;VAR:INDEX=0"}</definedName>
    <definedName name="_8731__FDSAUDITLINK__" hidden="1">{"fdsup://directions/FAT Viewer?action=UPDATE&amp;creator=factset&amp;DYN_ARGS=TRUE&amp;DOC_NAME=FAT:FQL_AUDITING_CLIENT_TEMPLATE.FAT&amp;display_string=Audit&amp;VAR:KEY=BUPQRGRQZQ&amp;VAR:QUERY=RkZfRUJJVERBX0lCKCdMVE1TJywzODgxMCk=&amp;WINDOW=FIRST_POPUP&amp;HEIGHT=450&amp;WIDTH=450&amp;START_MA","XIMIZED=FALSE&amp;VAR:CALENDAR=US&amp;VAR:SYMBOL=G0129K10&amp;VAR:INDEX=0"}</definedName>
    <definedName name="_8732__FDSAUDITLINK__" localSheetId="6" hidden="1">{"fdsup://directions/FAT Viewer?action=UPDATE&amp;creator=factset&amp;DYN_ARGS=TRUE&amp;DOC_NAME=FAT:FQL_AUDITING_CLIENT_TEMPLATE.FAT&amp;display_string=Audit&amp;VAR:KEY=LABIDMFIXA&amp;VAR:QUERY=RkZfRUJJVERBX0lCKCdMVE1TJywzODgwOSk=&amp;WINDOW=FIRST_POPUP&amp;HEIGHT=450&amp;WIDTH=450&amp;START_MA","XIMIZED=FALSE&amp;VAR:CALENDAR=US&amp;VAR:SYMBOL=G0129K10&amp;VAR:INDEX=0"}</definedName>
    <definedName name="_8732__FDSAUDITLINK__" hidden="1">{"fdsup://directions/FAT Viewer?action=UPDATE&amp;creator=factset&amp;DYN_ARGS=TRUE&amp;DOC_NAME=FAT:FQL_AUDITING_CLIENT_TEMPLATE.FAT&amp;display_string=Audit&amp;VAR:KEY=LABIDMFIXA&amp;VAR:QUERY=RkZfRUJJVERBX0lCKCdMVE1TJywzODgwOSk=&amp;WINDOW=FIRST_POPUP&amp;HEIGHT=450&amp;WIDTH=450&amp;START_MA","XIMIZED=FALSE&amp;VAR:CALENDAR=US&amp;VAR:SYMBOL=G0129K10&amp;VAR:INDEX=0"}</definedName>
    <definedName name="_8733__FDSAUDITLINK__" localSheetId="6" hidden="1">{"fdsup://directions/FAT Viewer?action=UPDATE&amp;creator=factset&amp;DYN_ARGS=TRUE&amp;DOC_NAME=FAT:FQL_AUDITING_CLIENT_TEMPLATE.FAT&amp;display_string=Audit&amp;VAR:KEY=TWXQLSLIVU&amp;VAR:QUERY=RkZfRUJJVERBX0lCKCdMVE1TJywzODgwOCk=&amp;WINDOW=FIRST_POPUP&amp;HEIGHT=450&amp;WIDTH=450&amp;START_MA","XIMIZED=FALSE&amp;VAR:CALENDAR=US&amp;VAR:SYMBOL=G0129K10&amp;VAR:INDEX=0"}</definedName>
    <definedName name="_8733__FDSAUDITLINK__" hidden="1">{"fdsup://directions/FAT Viewer?action=UPDATE&amp;creator=factset&amp;DYN_ARGS=TRUE&amp;DOC_NAME=FAT:FQL_AUDITING_CLIENT_TEMPLATE.FAT&amp;display_string=Audit&amp;VAR:KEY=TWXQLSLIVU&amp;VAR:QUERY=RkZfRUJJVERBX0lCKCdMVE1TJywzODgwOCk=&amp;WINDOW=FIRST_POPUP&amp;HEIGHT=450&amp;WIDTH=450&amp;START_MA","XIMIZED=FALSE&amp;VAR:CALENDAR=US&amp;VAR:SYMBOL=G0129K10&amp;VAR:INDEX=0"}</definedName>
    <definedName name="_8734__FDSAUDITLINK__" localSheetId="6" hidden="1">{"fdsup://directions/FAT Viewer?action=UPDATE&amp;creator=factset&amp;DYN_ARGS=TRUE&amp;DOC_NAME=FAT:FQL_AUDITING_CLIENT_TEMPLATE.FAT&amp;display_string=Audit&amp;VAR:KEY=TGRAHAXQJM&amp;VAR:QUERY=RkZfRUJJVERBX0lCKCdMVE1TJywzODgwNyk=&amp;WINDOW=FIRST_POPUP&amp;HEIGHT=450&amp;WIDTH=450&amp;START_MA","XIMIZED=FALSE&amp;VAR:CALENDAR=US&amp;VAR:SYMBOL=G0129K10&amp;VAR:INDEX=0"}</definedName>
    <definedName name="_8734__FDSAUDITLINK__" hidden="1">{"fdsup://directions/FAT Viewer?action=UPDATE&amp;creator=factset&amp;DYN_ARGS=TRUE&amp;DOC_NAME=FAT:FQL_AUDITING_CLIENT_TEMPLATE.FAT&amp;display_string=Audit&amp;VAR:KEY=TGRAHAXQJM&amp;VAR:QUERY=RkZfRUJJVERBX0lCKCdMVE1TJywzODgwNyk=&amp;WINDOW=FIRST_POPUP&amp;HEIGHT=450&amp;WIDTH=450&amp;START_MA","XIMIZED=FALSE&amp;VAR:CALENDAR=US&amp;VAR:SYMBOL=G0129K10&amp;VAR:INDEX=0"}</definedName>
    <definedName name="_8735__FDSAUDITLINK__" localSheetId="6" hidden="1">{"fdsup://directions/FAT Viewer?action=UPDATE&amp;creator=factset&amp;DYN_ARGS=TRUE&amp;DOC_NAME=FAT:FQL_AUDITING_CLIENT_TEMPLATE.FAT&amp;display_string=Audit&amp;VAR:KEY=VSRCPMNIHY&amp;VAR:QUERY=RkZfRUJJVERBX0lCKCdMVE1TJywzODgwNik=&amp;WINDOW=FIRST_POPUP&amp;HEIGHT=450&amp;WIDTH=450&amp;START_MA","XIMIZED=FALSE&amp;VAR:CALENDAR=US&amp;VAR:SYMBOL=G0129K10&amp;VAR:INDEX=0"}</definedName>
    <definedName name="_8735__FDSAUDITLINK__" hidden="1">{"fdsup://directions/FAT Viewer?action=UPDATE&amp;creator=factset&amp;DYN_ARGS=TRUE&amp;DOC_NAME=FAT:FQL_AUDITING_CLIENT_TEMPLATE.FAT&amp;display_string=Audit&amp;VAR:KEY=VSRCPMNIHY&amp;VAR:QUERY=RkZfRUJJVERBX0lCKCdMVE1TJywzODgwNik=&amp;WINDOW=FIRST_POPUP&amp;HEIGHT=450&amp;WIDTH=450&amp;START_MA","XIMIZED=FALSE&amp;VAR:CALENDAR=US&amp;VAR:SYMBOL=G0129K10&amp;VAR:INDEX=0"}</definedName>
    <definedName name="_8736__FDSAUDITLINK__" localSheetId="6" hidden="1">{"fdsup://directions/FAT Viewer?action=UPDATE&amp;creator=factset&amp;DYN_ARGS=TRUE&amp;DOC_NAME=FAT:FQL_AUDITING_CLIENT_TEMPLATE.FAT&amp;display_string=Audit&amp;VAR:KEY=XORYTEZODC&amp;VAR:QUERY=RkZfRUJJVERBX0lCKCdMVE1TJywzODgwNSk=&amp;WINDOW=FIRST_POPUP&amp;HEIGHT=450&amp;WIDTH=450&amp;START_MA","XIMIZED=FALSE&amp;VAR:CALENDAR=US&amp;VAR:SYMBOL=G0129K10&amp;VAR:INDEX=0"}</definedName>
    <definedName name="_8736__FDSAUDITLINK__" hidden="1">{"fdsup://directions/FAT Viewer?action=UPDATE&amp;creator=factset&amp;DYN_ARGS=TRUE&amp;DOC_NAME=FAT:FQL_AUDITING_CLIENT_TEMPLATE.FAT&amp;display_string=Audit&amp;VAR:KEY=XORYTEZODC&amp;VAR:QUERY=RkZfRUJJVERBX0lCKCdMVE1TJywzODgwNSk=&amp;WINDOW=FIRST_POPUP&amp;HEIGHT=450&amp;WIDTH=450&amp;START_MA","XIMIZED=FALSE&amp;VAR:CALENDAR=US&amp;VAR:SYMBOL=G0129K10&amp;VAR:INDEX=0"}</definedName>
    <definedName name="_8737__FDSAUDITLINK__" localSheetId="6" hidden="1">{"fdsup://directions/FAT Viewer?action=UPDATE&amp;creator=factset&amp;DYN_ARGS=TRUE&amp;DOC_NAME=FAT:FQL_AUDITING_CLIENT_TEMPLATE.FAT&amp;display_string=Audit&amp;VAR:KEY=TKLYVUNSLS&amp;VAR:QUERY=RkZfRUJJVERBX0lCKCdMVE1TJywzODgwNCk=&amp;WINDOW=FIRST_POPUP&amp;HEIGHT=450&amp;WIDTH=450&amp;START_MA","XIMIZED=FALSE&amp;VAR:CALENDAR=US&amp;VAR:SYMBOL=G0129K10&amp;VAR:INDEX=0"}</definedName>
    <definedName name="_8737__FDSAUDITLINK__" hidden="1">{"fdsup://directions/FAT Viewer?action=UPDATE&amp;creator=factset&amp;DYN_ARGS=TRUE&amp;DOC_NAME=FAT:FQL_AUDITING_CLIENT_TEMPLATE.FAT&amp;display_string=Audit&amp;VAR:KEY=TKLYVUNSLS&amp;VAR:QUERY=RkZfRUJJVERBX0lCKCdMVE1TJywzODgwNCk=&amp;WINDOW=FIRST_POPUP&amp;HEIGHT=450&amp;WIDTH=450&amp;START_MA","XIMIZED=FALSE&amp;VAR:CALENDAR=US&amp;VAR:SYMBOL=G0129K10&amp;VAR:INDEX=0"}</definedName>
    <definedName name="_8738__FDSAUDITLINK__" localSheetId="6" hidden="1">{"fdsup://directions/FAT Viewer?action=UPDATE&amp;creator=factset&amp;DYN_ARGS=TRUE&amp;DOC_NAME=FAT:FQL_AUDITING_CLIENT_TEMPLATE.FAT&amp;display_string=Audit&amp;VAR:KEY=HUXMNKZGXU&amp;VAR:QUERY=RkZfRUJJVERBX0lCKCdMVE1TJywzODgwMyk=&amp;WINDOW=FIRST_POPUP&amp;HEIGHT=450&amp;WIDTH=450&amp;START_MA","XIMIZED=FALSE&amp;VAR:CALENDAR=US&amp;VAR:SYMBOL=G0129K10&amp;VAR:INDEX=0"}</definedName>
    <definedName name="_8738__FDSAUDITLINK__" hidden="1">{"fdsup://directions/FAT Viewer?action=UPDATE&amp;creator=factset&amp;DYN_ARGS=TRUE&amp;DOC_NAME=FAT:FQL_AUDITING_CLIENT_TEMPLATE.FAT&amp;display_string=Audit&amp;VAR:KEY=HUXMNKZGXU&amp;VAR:QUERY=RkZfRUJJVERBX0lCKCdMVE1TJywzODgwMyk=&amp;WINDOW=FIRST_POPUP&amp;HEIGHT=450&amp;WIDTH=450&amp;START_MA","XIMIZED=FALSE&amp;VAR:CALENDAR=US&amp;VAR:SYMBOL=G0129K10&amp;VAR:INDEX=0"}</definedName>
    <definedName name="_8739__FDSAUDITLINK__" localSheetId="6" hidden="1">{"fdsup://directions/FAT Viewer?action=UPDATE&amp;creator=factset&amp;DYN_ARGS=TRUE&amp;DOC_NAME=FAT:FQL_AUDITING_CLIENT_TEMPLATE.FAT&amp;display_string=Audit&amp;VAR:KEY=LAHGXSRSPM&amp;VAR:QUERY=RkZfRUJJVERBX0lCKCdMVE1TJywzODgwMik=&amp;WINDOW=FIRST_POPUP&amp;HEIGHT=450&amp;WIDTH=450&amp;START_MA","XIMIZED=FALSE&amp;VAR:CALENDAR=US&amp;VAR:SYMBOL=G0129K10&amp;VAR:INDEX=0"}</definedName>
    <definedName name="_8739__FDSAUDITLINK__" hidden="1">{"fdsup://directions/FAT Viewer?action=UPDATE&amp;creator=factset&amp;DYN_ARGS=TRUE&amp;DOC_NAME=FAT:FQL_AUDITING_CLIENT_TEMPLATE.FAT&amp;display_string=Audit&amp;VAR:KEY=LAHGXSRSPM&amp;VAR:QUERY=RkZfRUJJVERBX0lCKCdMVE1TJywzODgwMik=&amp;WINDOW=FIRST_POPUP&amp;HEIGHT=450&amp;WIDTH=450&amp;START_MA","XIMIZED=FALSE&amp;VAR:CALENDAR=US&amp;VAR:SYMBOL=G0129K10&amp;VAR:INDEX=0"}</definedName>
    <definedName name="_874__FDSAUDITLINK__" localSheetId="6" hidden="1">{"fdsup://directions/FAT%20Viewer?VAR:PED=LTM&amp;VAR:AUDIT_MODE=SUMMARY&amp;VAR:PERIOD=FIXED&amp;VAR:AUDIT_ID=00000117&amp;VAR:DATE=20071001&amp;action=UPDATE&amp;creator=factset&amp;DOC_NAME=FAT:FMA_audit_SUMMARY.fat&amp;DISPLAY_STRING=Display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4__FDSAUDITLINK__" hidden="1">{"fdsup://directions/FAT%20Viewer?VAR:PED=LTM&amp;VAR:AUDIT_MODE=SUMMARY&amp;VAR:PERIOD=FIXED&amp;VAR:AUDIT_ID=00000117&amp;VAR:DATE=20071001&amp;action=UPDATE&amp;creator=factset&amp;DOC_NAME=FAT:FMA_audit_SUMMARY.fat&amp;DISPLAY_STRING=Display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EBITDA&amp;VAR:CHGPERIOD=NA&amp;VAR:FQLFORMULA=FMA_EVAL_EBITDA&amp;VAR:CURRENCY=NA&amp;VAR:P=NA&amp;VAR:V=11.4","57920&amp;VAR:null=.html"}</definedName>
    <definedName name="_8740__FDSAUDITLINK__" localSheetId="6" hidden="1">{"fdsup://directions/FAT Viewer?action=UPDATE&amp;creator=factset&amp;DYN_ARGS=TRUE&amp;DOC_NAME=FAT:FQL_AUDITING_CLIENT_TEMPLATE.FAT&amp;display_string=Audit&amp;VAR:KEY=TITOHMHCVS&amp;VAR:QUERY=RkZfRUJJVERBX0lCKCdMVE1TJywzODgwMSk=&amp;WINDOW=FIRST_POPUP&amp;HEIGHT=450&amp;WIDTH=450&amp;START_MA","XIMIZED=FALSE&amp;VAR:CALENDAR=US&amp;VAR:SYMBOL=G0129K10&amp;VAR:INDEX=0"}</definedName>
    <definedName name="_8740__FDSAUDITLINK__" hidden="1">{"fdsup://directions/FAT Viewer?action=UPDATE&amp;creator=factset&amp;DYN_ARGS=TRUE&amp;DOC_NAME=FAT:FQL_AUDITING_CLIENT_TEMPLATE.FAT&amp;display_string=Audit&amp;VAR:KEY=TITOHMHCVS&amp;VAR:QUERY=RkZfRUJJVERBX0lCKCdMVE1TJywzODgwMSk=&amp;WINDOW=FIRST_POPUP&amp;HEIGHT=450&amp;WIDTH=450&amp;START_MA","XIMIZED=FALSE&amp;VAR:CALENDAR=US&amp;VAR:SYMBOL=G0129K10&amp;VAR:INDEX=0"}</definedName>
    <definedName name="_8741__FDSAUDITLINK__" localSheetId="6" hidden="1">{"fdsup://directions/FAT Viewer?action=UPDATE&amp;creator=factset&amp;DYN_ARGS=TRUE&amp;DOC_NAME=FAT:FQL_AUDITING_CLIENT_TEMPLATE.FAT&amp;display_string=Audit&amp;VAR:KEY=XWLWBMZWLY&amp;VAR:QUERY=RkZfRUJJVERBX0lCKCdMVE1TJywzODgwMCk=&amp;WINDOW=FIRST_POPUP&amp;HEIGHT=450&amp;WIDTH=450&amp;START_MA","XIMIZED=FALSE&amp;VAR:CALENDAR=US&amp;VAR:SYMBOL=G0129K10&amp;VAR:INDEX=0"}</definedName>
    <definedName name="_8741__FDSAUDITLINK__" hidden="1">{"fdsup://directions/FAT Viewer?action=UPDATE&amp;creator=factset&amp;DYN_ARGS=TRUE&amp;DOC_NAME=FAT:FQL_AUDITING_CLIENT_TEMPLATE.FAT&amp;display_string=Audit&amp;VAR:KEY=XWLWBMZWLY&amp;VAR:QUERY=RkZfRUJJVERBX0lCKCdMVE1TJywzODgwMCk=&amp;WINDOW=FIRST_POPUP&amp;HEIGHT=450&amp;WIDTH=450&amp;START_MA","XIMIZED=FALSE&amp;VAR:CALENDAR=US&amp;VAR:SYMBOL=G0129K10&amp;VAR:INDEX=0"}</definedName>
    <definedName name="_8742__FDSAUDITLINK__" localSheetId="6" hidden="1">{"fdsup://directions/FAT Viewer?action=UPDATE&amp;creator=factset&amp;DYN_ARGS=TRUE&amp;DOC_NAME=FAT:FQL_AUDITING_CLIENT_TEMPLATE.FAT&amp;display_string=Audit&amp;VAR:KEY=HGNIHILURY&amp;VAR:QUERY=RkZfRUJJVERBX0lCKCdMVE1TJywzODc5OSk=&amp;WINDOW=FIRST_POPUP&amp;HEIGHT=450&amp;WIDTH=450&amp;START_MA","XIMIZED=FALSE&amp;VAR:CALENDAR=US&amp;VAR:SYMBOL=G0129K10&amp;VAR:INDEX=0"}</definedName>
    <definedName name="_8742__FDSAUDITLINK__" hidden="1">{"fdsup://directions/FAT Viewer?action=UPDATE&amp;creator=factset&amp;DYN_ARGS=TRUE&amp;DOC_NAME=FAT:FQL_AUDITING_CLIENT_TEMPLATE.FAT&amp;display_string=Audit&amp;VAR:KEY=HGNIHILURY&amp;VAR:QUERY=RkZfRUJJVERBX0lCKCdMVE1TJywzODc5OSk=&amp;WINDOW=FIRST_POPUP&amp;HEIGHT=450&amp;WIDTH=450&amp;START_MA","XIMIZED=FALSE&amp;VAR:CALENDAR=US&amp;VAR:SYMBOL=G0129K10&amp;VAR:INDEX=0"}</definedName>
    <definedName name="_8743__FDSAUDITLINK__" localSheetId="6" hidden="1">{"fdsup://directions/FAT Viewer?action=UPDATE&amp;creator=factset&amp;DYN_ARGS=TRUE&amp;DOC_NAME=FAT:FQL_AUDITING_CLIENT_TEMPLATE.FAT&amp;display_string=Audit&amp;VAR:KEY=FCXGJYXWHE&amp;VAR:QUERY=RkZfRUJJVERBX0lCKCdMVE1TJywzODc5OCk=&amp;WINDOW=FIRST_POPUP&amp;HEIGHT=450&amp;WIDTH=450&amp;START_MA","XIMIZED=FALSE&amp;VAR:CALENDAR=US&amp;VAR:SYMBOL=G0129K10&amp;VAR:INDEX=0"}</definedName>
    <definedName name="_8743__FDSAUDITLINK__" hidden="1">{"fdsup://directions/FAT Viewer?action=UPDATE&amp;creator=factset&amp;DYN_ARGS=TRUE&amp;DOC_NAME=FAT:FQL_AUDITING_CLIENT_TEMPLATE.FAT&amp;display_string=Audit&amp;VAR:KEY=FCXGJYXWHE&amp;VAR:QUERY=RkZfRUJJVERBX0lCKCdMVE1TJywzODc5OCk=&amp;WINDOW=FIRST_POPUP&amp;HEIGHT=450&amp;WIDTH=450&amp;START_MA","XIMIZED=FALSE&amp;VAR:CALENDAR=US&amp;VAR:SYMBOL=G0129K10&amp;VAR:INDEX=0"}</definedName>
    <definedName name="_8744__FDSAUDITLINK__" localSheetId="6" hidden="1">{"fdsup://directions/FAT Viewer?action=UPDATE&amp;creator=factset&amp;DYN_ARGS=TRUE&amp;DOC_NAME=FAT:FQL_AUDITING_CLIENT_TEMPLATE.FAT&amp;display_string=Audit&amp;VAR:KEY=XCZUNMPEJK&amp;VAR:QUERY=RkZfRUJJVERBX0lCKCdMVE1TJywzODc5Nyk=&amp;WINDOW=FIRST_POPUP&amp;HEIGHT=450&amp;WIDTH=450&amp;START_MA","XIMIZED=FALSE&amp;VAR:CALENDAR=US&amp;VAR:SYMBOL=G0129K10&amp;VAR:INDEX=0"}</definedName>
    <definedName name="_8744__FDSAUDITLINK__" hidden="1">{"fdsup://directions/FAT Viewer?action=UPDATE&amp;creator=factset&amp;DYN_ARGS=TRUE&amp;DOC_NAME=FAT:FQL_AUDITING_CLIENT_TEMPLATE.FAT&amp;display_string=Audit&amp;VAR:KEY=XCZUNMPEJK&amp;VAR:QUERY=RkZfRUJJVERBX0lCKCdMVE1TJywzODc5Nyk=&amp;WINDOW=FIRST_POPUP&amp;HEIGHT=450&amp;WIDTH=450&amp;START_MA","XIMIZED=FALSE&amp;VAR:CALENDAR=US&amp;VAR:SYMBOL=G0129K10&amp;VAR:INDEX=0"}</definedName>
    <definedName name="_8745__FDSAUDITLINK__" localSheetId="6" hidden="1">{"fdsup://directions/FAT Viewer?action=UPDATE&amp;creator=factset&amp;DYN_ARGS=TRUE&amp;DOC_NAME=FAT:FQL_AUDITING_CLIENT_TEMPLATE.FAT&amp;display_string=Audit&amp;VAR:KEY=PODELEBYLG&amp;VAR:QUERY=RkZfRUJJVERBX0lCKCdMVE1TJywzODc5Nik=&amp;WINDOW=FIRST_POPUP&amp;HEIGHT=450&amp;WIDTH=450&amp;START_MA","XIMIZED=FALSE&amp;VAR:CALENDAR=US&amp;VAR:SYMBOL=G0129K10&amp;VAR:INDEX=0"}</definedName>
    <definedName name="_8745__FDSAUDITLINK__" hidden="1">{"fdsup://directions/FAT Viewer?action=UPDATE&amp;creator=factset&amp;DYN_ARGS=TRUE&amp;DOC_NAME=FAT:FQL_AUDITING_CLIENT_TEMPLATE.FAT&amp;display_string=Audit&amp;VAR:KEY=PODELEBYLG&amp;VAR:QUERY=RkZfRUJJVERBX0lCKCdMVE1TJywzODc5Nik=&amp;WINDOW=FIRST_POPUP&amp;HEIGHT=450&amp;WIDTH=450&amp;START_MA","XIMIZED=FALSE&amp;VAR:CALENDAR=US&amp;VAR:SYMBOL=G0129K10&amp;VAR:INDEX=0"}</definedName>
    <definedName name="_8746__FDSAUDITLINK__" localSheetId="6" hidden="1">{"fdsup://directions/FAT Viewer?action=UPDATE&amp;creator=factset&amp;DYN_ARGS=TRUE&amp;DOC_NAME=FAT:FQL_AUDITING_CLIENT_TEMPLATE.FAT&amp;display_string=Audit&amp;VAR:KEY=NQBEVQXUHU&amp;VAR:QUERY=RkZfRUJJVERBX0lCKCdMVE1TJywzODc5NSk=&amp;WINDOW=FIRST_POPUP&amp;HEIGHT=450&amp;WIDTH=450&amp;START_MA","XIMIZED=FALSE&amp;VAR:CALENDAR=US&amp;VAR:SYMBOL=G0129K10&amp;VAR:INDEX=0"}</definedName>
    <definedName name="_8746__FDSAUDITLINK__" hidden="1">{"fdsup://directions/FAT Viewer?action=UPDATE&amp;creator=factset&amp;DYN_ARGS=TRUE&amp;DOC_NAME=FAT:FQL_AUDITING_CLIENT_TEMPLATE.FAT&amp;display_string=Audit&amp;VAR:KEY=NQBEVQXUHU&amp;VAR:QUERY=RkZfRUJJVERBX0lCKCdMVE1TJywzODc5NSk=&amp;WINDOW=FIRST_POPUP&amp;HEIGHT=450&amp;WIDTH=450&amp;START_MA","XIMIZED=FALSE&amp;VAR:CALENDAR=US&amp;VAR:SYMBOL=G0129K10&amp;VAR:INDEX=0"}</definedName>
    <definedName name="_8747__FDSAUDITLINK__" localSheetId="6" hidden="1">{"fdsup://directions/FAT Viewer?action=UPDATE&amp;creator=factset&amp;DYN_ARGS=TRUE&amp;DOC_NAME=FAT:FQL_AUDITING_CLIENT_TEMPLATE.FAT&amp;display_string=Audit&amp;VAR:KEY=XQDKHGZQXU&amp;VAR:QUERY=RkZfRUJJVERBX0lCKCdMVE1TJywzODc5NCk=&amp;WINDOW=FIRST_POPUP&amp;HEIGHT=450&amp;WIDTH=450&amp;START_MA","XIMIZED=FALSE&amp;VAR:CALENDAR=US&amp;VAR:SYMBOL=G0129K10&amp;VAR:INDEX=0"}</definedName>
    <definedName name="_8747__FDSAUDITLINK__" hidden="1">{"fdsup://directions/FAT Viewer?action=UPDATE&amp;creator=factset&amp;DYN_ARGS=TRUE&amp;DOC_NAME=FAT:FQL_AUDITING_CLIENT_TEMPLATE.FAT&amp;display_string=Audit&amp;VAR:KEY=XQDKHGZQXU&amp;VAR:QUERY=RkZfRUJJVERBX0lCKCdMVE1TJywzODc5NCk=&amp;WINDOW=FIRST_POPUP&amp;HEIGHT=450&amp;WIDTH=450&amp;START_MA","XIMIZED=FALSE&amp;VAR:CALENDAR=US&amp;VAR:SYMBOL=G0129K10&amp;VAR:INDEX=0"}</definedName>
    <definedName name="_8748__FDSAUDITLINK__" localSheetId="6" hidden="1">{"fdsup://directions/FAT Viewer?action=UPDATE&amp;creator=factset&amp;DYN_ARGS=TRUE&amp;DOC_NAME=FAT:FQL_AUDITING_CLIENT_TEMPLATE.FAT&amp;display_string=Audit&amp;VAR:KEY=JYZMBABYDG&amp;VAR:QUERY=RkZfRUJJVERBX0lCKCdMVE1TJywzODc5Myk=&amp;WINDOW=FIRST_POPUP&amp;HEIGHT=450&amp;WIDTH=450&amp;START_MA","XIMIZED=FALSE&amp;VAR:CALENDAR=US&amp;VAR:SYMBOL=G0129K10&amp;VAR:INDEX=0"}</definedName>
    <definedName name="_8748__FDSAUDITLINK__" hidden="1">{"fdsup://directions/FAT Viewer?action=UPDATE&amp;creator=factset&amp;DYN_ARGS=TRUE&amp;DOC_NAME=FAT:FQL_AUDITING_CLIENT_TEMPLATE.FAT&amp;display_string=Audit&amp;VAR:KEY=JYZMBABYDG&amp;VAR:QUERY=RkZfRUJJVERBX0lCKCdMVE1TJywzODc5Myk=&amp;WINDOW=FIRST_POPUP&amp;HEIGHT=450&amp;WIDTH=450&amp;START_MA","XIMIZED=FALSE&amp;VAR:CALENDAR=US&amp;VAR:SYMBOL=G0129K10&amp;VAR:INDEX=0"}</definedName>
    <definedName name="_8749__FDSAUDITLINK__" localSheetId="6" hidden="1">{"fdsup://directions/FAT Viewer?action=UPDATE&amp;creator=factset&amp;DYN_ARGS=TRUE&amp;DOC_NAME=FAT:FQL_AUDITING_CLIENT_TEMPLATE.FAT&amp;display_string=Audit&amp;VAR:KEY=NAZWJIVCRE&amp;VAR:QUERY=RkZfRUJJVERBX0lCKCdMVE1TJywzODc5Mik=&amp;WINDOW=FIRST_POPUP&amp;HEIGHT=450&amp;WIDTH=450&amp;START_MA","XIMIZED=FALSE&amp;VAR:CALENDAR=US&amp;VAR:SYMBOL=G0129K10&amp;VAR:INDEX=0"}</definedName>
    <definedName name="_8749__FDSAUDITLINK__" hidden="1">{"fdsup://directions/FAT Viewer?action=UPDATE&amp;creator=factset&amp;DYN_ARGS=TRUE&amp;DOC_NAME=FAT:FQL_AUDITING_CLIENT_TEMPLATE.FAT&amp;display_string=Audit&amp;VAR:KEY=NAZWJIVCRE&amp;VAR:QUERY=RkZfRUJJVERBX0lCKCdMVE1TJywzODc5Mik=&amp;WINDOW=FIRST_POPUP&amp;HEIGHT=450&amp;WIDTH=450&amp;START_MA","XIMIZED=FALSE&amp;VAR:CALENDAR=US&amp;VAR:SYMBOL=G0129K10&amp;VAR:INDEX=0"}</definedName>
    <definedName name="_875__FDSAUDITLINK__" localSheetId="6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5__FDSAUDITLINK__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50__FDSAUDITLINK__" localSheetId="6" hidden="1">{"fdsup://directions/FAT Viewer?action=UPDATE&amp;creator=factset&amp;DYN_ARGS=TRUE&amp;DOC_NAME=FAT:FQL_AUDITING_CLIENT_TEMPLATE.FAT&amp;display_string=Audit&amp;VAR:KEY=JKZODKFWPE&amp;VAR:QUERY=RkZfRUJJVERBX0lCKCdMVE1TJywzODc5MSk=&amp;WINDOW=FIRST_POPUP&amp;HEIGHT=450&amp;WIDTH=450&amp;START_MA","XIMIZED=FALSE&amp;VAR:CALENDAR=US&amp;VAR:SYMBOL=G0129K10&amp;VAR:INDEX=0"}</definedName>
    <definedName name="_8750__FDSAUDITLINK__" hidden="1">{"fdsup://directions/FAT Viewer?action=UPDATE&amp;creator=factset&amp;DYN_ARGS=TRUE&amp;DOC_NAME=FAT:FQL_AUDITING_CLIENT_TEMPLATE.FAT&amp;display_string=Audit&amp;VAR:KEY=JKZODKFWPE&amp;VAR:QUERY=RkZfRUJJVERBX0lCKCdMVE1TJywzODc5MSk=&amp;WINDOW=FIRST_POPUP&amp;HEIGHT=450&amp;WIDTH=450&amp;START_MA","XIMIZED=FALSE&amp;VAR:CALENDAR=US&amp;VAR:SYMBOL=G0129K10&amp;VAR:INDEX=0"}</definedName>
    <definedName name="_8751__FDSAUDITLINK__" localSheetId="6" hidden="1">{"fdsup://directions/FAT Viewer?action=UPDATE&amp;creator=factset&amp;DYN_ARGS=TRUE&amp;DOC_NAME=FAT:FQL_AUDITING_CLIENT_TEMPLATE.FAT&amp;display_string=Audit&amp;VAR:KEY=LKXQFKJEDA&amp;VAR:QUERY=RkZfRUJJVERBX0lCKCdMVE1TJywzODc5MCk=&amp;WINDOW=FIRST_POPUP&amp;HEIGHT=450&amp;WIDTH=450&amp;START_MA","XIMIZED=FALSE&amp;VAR:CALENDAR=US&amp;VAR:SYMBOL=G0129K10&amp;VAR:INDEX=0"}</definedName>
    <definedName name="_8751__FDSAUDITLINK__" hidden="1">{"fdsup://directions/FAT Viewer?action=UPDATE&amp;creator=factset&amp;DYN_ARGS=TRUE&amp;DOC_NAME=FAT:FQL_AUDITING_CLIENT_TEMPLATE.FAT&amp;display_string=Audit&amp;VAR:KEY=LKXQFKJEDA&amp;VAR:QUERY=RkZfRUJJVERBX0lCKCdMVE1TJywzODc5MCk=&amp;WINDOW=FIRST_POPUP&amp;HEIGHT=450&amp;WIDTH=450&amp;START_MA","XIMIZED=FALSE&amp;VAR:CALENDAR=US&amp;VAR:SYMBOL=G0129K10&amp;VAR:INDEX=0"}</definedName>
    <definedName name="_8752__FDSAUDITLINK__" localSheetId="6" hidden="1">{"fdsup://directions/FAT Viewer?action=UPDATE&amp;creator=factset&amp;DYN_ARGS=TRUE&amp;DOC_NAME=FAT:FQL_AUDITING_CLIENT_TEMPLATE.FAT&amp;display_string=Audit&amp;VAR:KEY=FILEXQZUFE&amp;VAR:QUERY=RkZfRUJJVERBX0lCKCdMVE1TJywzODc4OSk=&amp;WINDOW=FIRST_POPUP&amp;HEIGHT=450&amp;WIDTH=450&amp;START_MA","XIMIZED=FALSE&amp;VAR:CALENDAR=US&amp;VAR:SYMBOL=G0129K10&amp;VAR:INDEX=0"}</definedName>
    <definedName name="_8752__FDSAUDITLINK__" hidden="1">{"fdsup://directions/FAT Viewer?action=UPDATE&amp;creator=factset&amp;DYN_ARGS=TRUE&amp;DOC_NAME=FAT:FQL_AUDITING_CLIENT_TEMPLATE.FAT&amp;display_string=Audit&amp;VAR:KEY=FILEXQZUFE&amp;VAR:QUERY=RkZfRUJJVERBX0lCKCdMVE1TJywzODc4OSk=&amp;WINDOW=FIRST_POPUP&amp;HEIGHT=450&amp;WIDTH=450&amp;START_MA","XIMIZED=FALSE&amp;VAR:CALENDAR=US&amp;VAR:SYMBOL=G0129K10&amp;VAR:INDEX=0"}</definedName>
    <definedName name="_8753__FDSAUDITLINK__" localSheetId="6" hidden="1">{"fdsup://directions/FAT Viewer?action=UPDATE&amp;creator=factset&amp;DYN_ARGS=TRUE&amp;DOC_NAME=FAT:FQL_AUDITING_CLIENT_TEMPLATE.FAT&amp;display_string=Audit&amp;VAR:KEY=JKRKLCFOXS&amp;VAR:QUERY=RkZfRUJJVERBX0lCKCdMVE1TJywzODc4OCk=&amp;WINDOW=FIRST_POPUP&amp;HEIGHT=450&amp;WIDTH=450&amp;START_MA","XIMIZED=FALSE&amp;VAR:CALENDAR=US&amp;VAR:SYMBOL=G0129K10&amp;VAR:INDEX=0"}</definedName>
    <definedName name="_8753__FDSAUDITLINK__" hidden="1">{"fdsup://directions/FAT Viewer?action=UPDATE&amp;creator=factset&amp;DYN_ARGS=TRUE&amp;DOC_NAME=FAT:FQL_AUDITING_CLIENT_TEMPLATE.FAT&amp;display_string=Audit&amp;VAR:KEY=JKRKLCFOXS&amp;VAR:QUERY=RkZfRUJJVERBX0lCKCdMVE1TJywzODc4OCk=&amp;WINDOW=FIRST_POPUP&amp;HEIGHT=450&amp;WIDTH=450&amp;START_MA","XIMIZED=FALSE&amp;VAR:CALENDAR=US&amp;VAR:SYMBOL=G0129K10&amp;VAR:INDEX=0"}</definedName>
    <definedName name="_8754__FDSAUDITLINK__" localSheetId="6" hidden="1">{"fdsup://directions/FAT Viewer?action=UPDATE&amp;creator=factset&amp;DYN_ARGS=TRUE&amp;DOC_NAME=FAT:FQL_AUDITING_CLIENT_TEMPLATE.FAT&amp;display_string=Audit&amp;VAR:KEY=PSZGBGJSFM&amp;VAR:QUERY=RkZfRUJJVERBX0lCKCdMVE1TJywzODc4Nyk=&amp;WINDOW=FIRST_POPUP&amp;HEIGHT=450&amp;WIDTH=450&amp;START_MA","XIMIZED=FALSE&amp;VAR:CALENDAR=US&amp;VAR:SYMBOL=G0129K10&amp;VAR:INDEX=0"}</definedName>
    <definedName name="_8754__FDSAUDITLINK__" hidden="1">{"fdsup://directions/FAT Viewer?action=UPDATE&amp;creator=factset&amp;DYN_ARGS=TRUE&amp;DOC_NAME=FAT:FQL_AUDITING_CLIENT_TEMPLATE.FAT&amp;display_string=Audit&amp;VAR:KEY=PSZGBGJSFM&amp;VAR:QUERY=RkZfRUJJVERBX0lCKCdMVE1TJywzODc4Nyk=&amp;WINDOW=FIRST_POPUP&amp;HEIGHT=450&amp;WIDTH=450&amp;START_MA","XIMIZED=FALSE&amp;VAR:CALENDAR=US&amp;VAR:SYMBOL=G0129K10&amp;VAR:INDEX=0"}</definedName>
    <definedName name="_8755__FDSAUDITLINK__" localSheetId="6" hidden="1">{"fdsup://directions/FAT Viewer?action=UPDATE&amp;creator=factset&amp;DYN_ARGS=TRUE&amp;DOC_NAME=FAT:FQL_AUDITING_CLIENT_TEMPLATE.FAT&amp;display_string=Audit&amp;VAR:KEY=HULUTQNITS&amp;VAR:QUERY=RkZfRUJJVERBX0lCKCdMVE1TJywzODc4Nik=&amp;WINDOW=FIRST_POPUP&amp;HEIGHT=450&amp;WIDTH=450&amp;START_MA","XIMIZED=FALSE&amp;VAR:CALENDAR=US&amp;VAR:SYMBOL=G0129K10&amp;VAR:INDEX=0"}</definedName>
    <definedName name="_8755__FDSAUDITLINK__" hidden="1">{"fdsup://directions/FAT Viewer?action=UPDATE&amp;creator=factset&amp;DYN_ARGS=TRUE&amp;DOC_NAME=FAT:FQL_AUDITING_CLIENT_TEMPLATE.FAT&amp;display_string=Audit&amp;VAR:KEY=HULUTQNITS&amp;VAR:QUERY=RkZfRUJJVERBX0lCKCdMVE1TJywzODc4Nik=&amp;WINDOW=FIRST_POPUP&amp;HEIGHT=450&amp;WIDTH=450&amp;START_MA","XIMIZED=FALSE&amp;VAR:CALENDAR=US&amp;VAR:SYMBOL=G0129K10&amp;VAR:INDEX=0"}</definedName>
    <definedName name="_8756__FDSAUDITLINK__" localSheetId="6" hidden="1">{"fdsup://directions/FAT Viewer?action=UPDATE&amp;creator=factset&amp;DYN_ARGS=TRUE&amp;DOC_NAME=FAT:FQL_AUDITING_CLIENT_TEMPLATE.FAT&amp;display_string=Audit&amp;VAR:KEY=BSTYLILKXA&amp;VAR:QUERY=RkZfRUJJVERBX0lCKCdMVE1TJywzODc4NSk=&amp;WINDOW=FIRST_POPUP&amp;HEIGHT=450&amp;WIDTH=450&amp;START_MA","XIMIZED=FALSE&amp;VAR:CALENDAR=US&amp;VAR:SYMBOL=G0129K10&amp;VAR:INDEX=0"}</definedName>
    <definedName name="_8756__FDSAUDITLINK__" hidden="1">{"fdsup://directions/FAT Viewer?action=UPDATE&amp;creator=factset&amp;DYN_ARGS=TRUE&amp;DOC_NAME=FAT:FQL_AUDITING_CLIENT_TEMPLATE.FAT&amp;display_string=Audit&amp;VAR:KEY=BSTYLILKXA&amp;VAR:QUERY=RkZfRUJJVERBX0lCKCdMVE1TJywzODc4NSk=&amp;WINDOW=FIRST_POPUP&amp;HEIGHT=450&amp;WIDTH=450&amp;START_MA","XIMIZED=FALSE&amp;VAR:CALENDAR=US&amp;VAR:SYMBOL=G0129K10&amp;VAR:INDEX=0"}</definedName>
    <definedName name="_8757__FDSAUDITLINK__" localSheetId="6" hidden="1">{"fdsup://directions/FAT Viewer?action=UPDATE&amp;creator=factset&amp;DYN_ARGS=TRUE&amp;DOC_NAME=FAT:FQL_AUDITING_CLIENT_TEMPLATE.FAT&amp;display_string=Audit&amp;VAR:KEY=NKZITYBCXY&amp;VAR:QUERY=RkZfRUJJVERBX0lCKCdMVE1TJywzODc4NCk=&amp;WINDOW=FIRST_POPUP&amp;HEIGHT=450&amp;WIDTH=450&amp;START_MA","XIMIZED=FALSE&amp;VAR:CALENDAR=US&amp;VAR:SYMBOL=G0129K10&amp;VAR:INDEX=0"}</definedName>
    <definedName name="_8757__FDSAUDITLINK__" hidden="1">{"fdsup://directions/FAT Viewer?action=UPDATE&amp;creator=factset&amp;DYN_ARGS=TRUE&amp;DOC_NAME=FAT:FQL_AUDITING_CLIENT_TEMPLATE.FAT&amp;display_string=Audit&amp;VAR:KEY=NKZITYBCXY&amp;VAR:QUERY=RkZfRUJJVERBX0lCKCdMVE1TJywzODc4NCk=&amp;WINDOW=FIRST_POPUP&amp;HEIGHT=450&amp;WIDTH=450&amp;START_MA","XIMIZED=FALSE&amp;VAR:CALENDAR=US&amp;VAR:SYMBOL=G0129K10&amp;VAR:INDEX=0"}</definedName>
    <definedName name="_8758__FDSAUDITLINK__" localSheetId="6" hidden="1">{"fdsup://directions/FAT Viewer?action=UPDATE&amp;creator=factset&amp;DYN_ARGS=TRUE&amp;DOC_NAME=FAT:FQL_AUDITING_CLIENT_TEMPLATE.FAT&amp;display_string=Audit&amp;VAR:KEY=JSRQDMDINS&amp;VAR:QUERY=RkZfRUJJVERBX0lCKCdMVE1TJywzODc4Myk=&amp;WINDOW=FIRST_POPUP&amp;HEIGHT=450&amp;WIDTH=450&amp;START_MA","XIMIZED=FALSE&amp;VAR:CALENDAR=US&amp;VAR:SYMBOL=G0129K10&amp;VAR:INDEX=0"}</definedName>
    <definedName name="_8758__FDSAUDITLINK__" hidden="1">{"fdsup://directions/FAT Viewer?action=UPDATE&amp;creator=factset&amp;DYN_ARGS=TRUE&amp;DOC_NAME=FAT:FQL_AUDITING_CLIENT_TEMPLATE.FAT&amp;display_string=Audit&amp;VAR:KEY=JSRQDMDINS&amp;VAR:QUERY=RkZfRUJJVERBX0lCKCdMVE1TJywzODc4Myk=&amp;WINDOW=FIRST_POPUP&amp;HEIGHT=450&amp;WIDTH=450&amp;START_MA","XIMIZED=FALSE&amp;VAR:CALENDAR=US&amp;VAR:SYMBOL=G0129K10&amp;VAR:INDEX=0"}</definedName>
    <definedName name="_8759__FDSAUDITLINK__" localSheetId="6" hidden="1">{"fdsup://directions/FAT Viewer?action=UPDATE&amp;creator=factset&amp;DYN_ARGS=TRUE&amp;DOC_NAME=FAT:FQL_AUDITING_CLIENT_TEMPLATE.FAT&amp;display_string=Audit&amp;VAR:KEY=JWZANCPMRO&amp;VAR:QUERY=RkZfRUJJVERBX0lCKCdMVE1TJywzODc4Mik=&amp;WINDOW=FIRST_POPUP&amp;HEIGHT=450&amp;WIDTH=450&amp;START_MA","XIMIZED=FALSE&amp;VAR:CALENDAR=US&amp;VAR:SYMBOL=G0129K10&amp;VAR:INDEX=0"}</definedName>
    <definedName name="_8759__FDSAUDITLINK__" hidden="1">{"fdsup://directions/FAT Viewer?action=UPDATE&amp;creator=factset&amp;DYN_ARGS=TRUE&amp;DOC_NAME=FAT:FQL_AUDITING_CLIENT_TEMPLATE.FAT&amp;display_string=Audit&amp;VAR:KEY=JWZANCPMRO&amp;VAR:QUERY=RkZfRUJJVERBX0lCKCdMVE1TJywzODc4Mik=&amp;WINDOW=FIRST_POPUP&amp;HEIGHT=450&amp;WIDTH=450&amp;START_MA","XIMIZED=FALSE&amp;VAR:CALENDAR=US&amp;VAR:SYMBOL=G0129K10&amp;VAR:INDEX=0"}</definedName>
    <definedName name="_876__FDSAUDITLINK__" localSheetId="6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6__FDSAUDITLINK__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60__FDSAUDITLINK__" localSheetId="6" hidden="1">{"fdsup://directions/FAT Viewer?action=UPDATE&amp;creator=factset&amp;DYN_ARGS=TRUE&amp;DOC_NAME=FAT:FQL_AUDITING_CLIENT_TEMPLATE.FAT&amp;display_string=Audit&amp;VAR:KEY=HKRQBEPYZW&amp;VAR:QUERY=RkZfRUJJVERBX0lCKCdMVE1TJywzODc4MSk=&amp;WINDOW=FIRST_POPUP&amp;HEIGHT=450&amp;WIDTH=450&amp;START_MA","XIMIZED=FALSE&amp;VAR:CALENDAR=US&amp;VAR:SYMBOL=G0129K10&amp;VAR:INDEX=0"}</definedName>
    <definedName name="_8760__FDSAUDITLINK__" hidden="1">{"fdsup://directions/FAT Viewer?action=UPDATE&amp;creator=factset&amp;DYN_ARGS=TRUE&amp;DOC_NAME=FAT:FQL_AUDITING_CLIENT_TEMPLATE.FAT&amp;display_string=Audit&amp;VAR:KEY=HKRQBEPYZW&amp;VAR:QUERY=RkZfRUJJVERBX0lCKCdMVE1TJywzODc4MSk=&amp;WINDOW=FIRST_POPUP&amp;HEIGHT=450&amp;WIDTH=450&amp;START_MA","XIMIZED=FALSE&amp;VAR:CALENDAR=US&amp;VAR:SYMBOL=G0129K10&amp;VAR:INDEX=0"}</definedName>
    <definedName name="_8761__FDSAUDITLINK__" localSheetId="6" hidden="1">{"fdsup://directions/FAT Viewer?action=UPDATE&amp;creator=factset&amp;DYN_ARGS=TRUE&amp;DOC_NAME=FAT:FQL_AUDITING_CLIENT_TEMPLATE.FAT&amp;display_string=Audit&amp;VAR:KEY=XYJYLIXWHG&amp;VAR:QUERY=RkZfRUJJVERBX0lCKCdMVE1TJywzODc4MCk=&amp;WINDOW=FIRST_POPUP&amp;HEIGHT=450&amp;WIDTH=450&amp;START_MA","XIMIZED=FALSE&amp;VAR:CALENDAR=US&amp;VAR:SYMBOL=G0129K10&amp;VAR:INDEX=0"}</definedName>
    <definedName name="_8761__FDSAUDITLINK__" hidden="1">{"fdsup://directions/FAT Viewer?action=UPDATE&amp;creator=factset&amp;DYN_ARGS=TRUE&amp;DOC_NAME=FAT:FQL_AUDITING_CLIENT_TEMPLATE.FAT&amp;display_string=Audit&amp;VAR:KEY=XYJYLIXWHG&amp;VAR:QUERY=RkZfRUJJVERBX0lCKCdMVE1TJywzODc4MCk=&amp;WINDOW=FIRST_POPUP&amp;HEIGHT=450&amp;WIDTH=450&amp;START_MA","XIMIZED=FALSE&amp;VAR:CALENDAR=US&amp;VAR:SYMBOL=G0129K10&amp;VAR:INDEX=0"}</definedName>
    <definedName name="_8762__FDSAUDITLINK__" localSheetId="6" hidden="1">{"fdsup://directions/FAT Viewer?action=UPDATE&amp;creator=factset&amp;DYN_ARGS=TRUE&amp;DOC_NAME=FAT:FQL_AUDITING_CLIENT_TEMPLATE.FAT&amp;display_string=Audit&amp;VAR:KEY=PSZEZSPARK&amp;VAR:QUERY=RkZfRUJJVERBX0lCKCdMVE1TJywzODc3OSk=&amp;WINDOW=FIRST_POPUP&amp;HEIGHT=450&amp;WIDTH=450&amp;START_MA","XIMIZED=FALSE&amp;VAR:CALENDAR=US&amp;VAR:SYMBOL=G0129K10&amp;VAR:INDEX=0"}</definedName>
    <definedName name="_8762__FDSAUDITLINK__" hidden="1">{"fdsup://directions/FAT Viewer?action=UPDATE&amp;creator=factset&amp;DYN_ARGS=TRUE&amp;DOC_NAME=FAT:FQL_AUDITING_CLIENT_TEMPLATE.FAT&amp;display_string=Audit&amp;VAR:KEY=PSZEZSPARK&amp;VAR:QUERY=RkZfRUJJVERBX0lCKCdMVE1TJywzODc3OSk=&amp;WINDOW=FIRST_POPUP&amp;HEIGHT=450&amp;WIDTH=450&amp;START_MA","XIMIZED=FALSE&amp;VAR:CALENDAR=US&amp;VAR:SYMBOL=G0129K10&amp;VAR:INDEX=0"}</definedName>
    <definedName name="_8763__FDSAUDITLINK__" localSheetId="6" hidden="1">{"fdsup://directions/FAT Viewer?action=UPDATE&amp;creator=factset&amp;DYN_ARGS=TRUE&amp;DOC_NAME=FAT:FQL_AUDITING_CLIENT_TEMPLATE.FAT&amp;display_string=Audit&amp;VAR:KEY=ZGJULSBCLM&amp;VAR:QUERY=RkZfRUJJVERBX0lCKCdMVE1TJywzODc3OCk=&amp;WINDOW=FIRST_POPUP&amp;HEIGHT=450&amp;WIDTH=450&amp;START_MA","XIMIZED=FALSE&amp;VAR:CALENDAR=US&amp;VAR:SYMBOL=G0129K10&amp;VAR:INDEX=0"}</definedName>
    <definedName name="_8763__FDSAUDITLINK__" hidden="1">{"fdsup://directions/FAT Viewer?action=UPDATE&amp;creator=factset&amp;DYN_ARGS=TRUE&amp;DOC_NAME=FAT:FQL_AUDITING_CLIENT_TEMPLATE.FAT&amp;display_string=Audit&amp;VAR:KEY=ZGJULSBCLM&amp;VAR:QUERY=RkZfRUJJVERBX0lCKCdMVE1TJywzODc3OCk=&amp;WINDOW=FIRST_POPUP&amp;HEIGHT=450&amp;WIDTH=450&amp;START_MA","XIMIZED=FALSE&amp;VAR:CALENDAR=US&amp;VAR:SYMBOL=G0129K10&amp;VAR:INDEX=0"}</definedName>
    <definedName name="_8764__FDSAUDITLINK__" localSheetId="6" hidden="1">{"fdsup://directions/FAT Viewer?action=UPDATE&amp;creator=factset&amp;DYN_ARGS=TRUE&amp;DOC_NAME=FAT:FQL_AUDITING_CLIENT_TEMPLATE.FAT&amp;display_string=Audit&amp;VAR:KEY=BIVYLWXOBY&amp;VAR:QUERY=RkZfRUJJVERBX0lCKCdMVE1TJywzODc3Nyk=&amp;WINDOW=FIRST_POPUP&amp;HEIGHT=450&amp;WIDTH=450&amp;START_MA","XIMIZED=FALSE&amp;VAR:CALENDAR=US&amp;VAR:SYMBOL=G0129K10&amp;VAR:INDEX=0"}</definedName>
    <definedName name="_8764__FDSAUDITLINK__" hidden="1">{"fdsup://directions/FAT Viewer?action=UPDATE&amp;creator=factset&amp;DYN_ARGS=TRUE&amp;DOC_NAME=FAT:FQL_AUDITING_CLIENT_TEMPLATE.FAT&amp;display_string=Audit&amp;VAR:KEY=BIVYLWXOBY&amp;VAR:QUERY=RkZfRUJJVERBX0lCKCdMVE1TJywzODc3Nyk=&amp;WINDOW=FIRST_POPUP&amp;HEIGHT=450&amp;WIDTH=450&amp;START_MA","XIMIZED=FALSE&amp;VAR:CALENDAR=US&amp;VAR:SYMBOL=G0129K10&amp;VAR:INDEX=0"}</definedName>
    <definedName name="_8765__FDSAUDITLINK__" localSheetId="6" hidden="1">{"fdsup://directions/FAT Viewer?action=UPDATE&amp;creator=factset&amp;DYN_ARGS=TRUE&amp;DOC_NAME=FAT:FQL_AUDITING_CLIENT_TEMPLATE.FAT&amp;display_string=Audit&amp;VAR:KEY=LYHUNUTSXO&amp;VAR:QUERY=RkZfRUJJVERBX0lCKCdMVE1TJywzODc3Nik=&amp;WINDOW=FIRST_POPUP&amp;HEIGHT=450&amp;WIDTH=450&amp;START_MA","XIMIZED=FALSE&amp;VAR:CALENDAR=US&amp;VAR:SYMBOL=G0129K10&amp;VAR:INDEX=0"}</definedName>
    <definedName name="_8765__FDSAUDITLINK__" hidden="1">{"fdsup://directions/FAT Viewer?action=UPDATE&amp;creator=factset&amp;DYN_ARGS=TRUE&amp;DOC_NAME=FAT:FQL_AUDITING_CLIENT_TEMPLATE.FAT&amp;display_string=Audit&amp;VAR:KEY=LYHUNUTSXO&amp;VAR:QUERY=RkZfRUJJVERBX0lCKCdMVE1TJywzODc3Nik=&amp;WINDOW=FIRST_POPUP&amp;HEIGHT=450&amp;WIDTH=450&amp;START_MA","XIMIZED=FALSE&amp;VAR:CALENDAR=US&amp;VAR:SYMBOL=G0129K10&amp;VAR:INDEX=0"}</definedName>
    <definedName name="_8766__FDSAUDITLINK__" localSheetId="6" hidden="1">{"fdsup://directions/FAT Viewer?action=UPDATE&amp;creator=factset&amp;DYN_ARGS=TRUE&amp;DOC_NAME=FAT:FQL_AUDITING_CLIENT_TEMPLATE.FAT&amp;display_string=Audit&amp;VAR:KEY=NCDWBALWNQ&amp;VAR:QUERY=RkZfRUJJVERBX0lCKCdMVE1TJywzODc3NSk=&amp;WINDOW=FIRST_POPUP&amp;HEIGHT=450&amp;WIDTH=450&amp;START_MA","XIMIZED=FALSE&amp;VAR:CALENDAR=US&amp;VAR:SYMBOL=G0129K10&amp;VAR:INDEX=0"}</definedName>
    <definedName name="_8766__FDSAUDITLINK__" hidden="1">{"fdsup://directions/FAT Viewer?action=UPDATE&amp;creator=factset&amp;DYN_ARGS=TRUE&amp;DOC_NAME=FAT:FQL_AUDITING_CLIENT_TEMPLATE.FAT&amp;display_string=Audit&amp;VAR:KEY=NCDWBALWNQ&amp;VAR:QUERY=RkZfRUJJVERBX0lCKCdMVE1TJywzODc3NSk=&amp;WINDOW=FIRST_POPUP&amp;HEIGHT=450&amp;WIDTH=450&amp;START_MA","XIMIZED=FALSE&amp;VAR:CALENDAR=US&amp;VAR:SYMBOL=G0129K10&amp;VAR:INDEX=0"}</definedName>
    <definedName name="_8767__FDSAUDITLINK__" localSheetId="6" hidden="1">{"fdsup://directions/FAT Viewer?action=UPDATE&amp;creator=factset&amp;DYN_ARGS=TRUE&amp;DOC_NAME=FAT:FQL_AUDITING_CLIENT_TEMPLATE.FAT&amp;display_string=Audit&amp;VAR:KEY=NYVUBOBWZW&amp;VAR:QUERY=RkZfRUJJVERBX0lCKCdMVE1TJywzODc3NCk=&amp;WINDOW=FIRST_POPUP&amp;HEIGHT=450&amp;WIDTH=450&amp;START_MA","XIMIZED=FALSE&amp;VAR:CALENDAR=US&amp;VAR:SYMBOL=G0129K10&amp;VAR:INDEX=0"}</definedName>
    <definedName name="_8767__FDSAUDITLINK__" hidden="1">{"fdsup://directions/FAT Viewer?action=UPDATE&amp;creator=factset&amp;DYN_ARGS=TRUE&amp;DOC_NAME=FAT:FQL_AUDITING_CLIENT_TEMPLATE.FAT&amp;display_string=Audit&amp;VAR:KEY=NYVUBOBWZW&amp;VAR:QUERY=RkZfRUJJVERBX0lCKCdMVE1TJywzODc3NCk=&amp;WINDOW=FIRST_POPUP&amp;HEIGHT=450&amp;WIDTH=450&amp;START_MA","XIMIZED=FALSE&amp;VAR:CALENDAR=US&amp;VAR:SYMBOL=G0129K10&amp;VAR:INDEX=0"}</definedName>
    <definedName name="_8768__FDSAUDITLINK__" localSheetId="6" hidden="1">{"fdsup://directions/FAT Viewer?action=UPDATE&amp;creator=factset&amp;DYN_ARGS=TRUE&amp;DOC_NAME=FAT:FQL_AUDITING_CLIENT_TEMPLATE.FAT&amp;display_string=Audit&amp;VAR:KEY=NCJWHMHSLC&amp;VAR:QUERY=RkZfRUJJVERBX0lCKCdMVE1TJywzODc3Myk=&amp;WINDOW=FIRST_POPUP&amp;HEIGHT=450&amp;WIDTH=450&amp;START_MA","XIMIZED=FALSE&amp;VAR:CALENDAR=US&amp;VAR:SYMBOL=G0129K10&amp;VAR:INDEX=0"}</definedName>
    <definedName name="_8768__FDSAUDITLINK__" hidden="1">{"fdsup://directions/FAT Viewer?action=UPDATE&amp;creator=factset&amp;DYN_ARGS=TRUE&amp;DOC_NAME=FAT:FQL_AUDITING_CLIENT_TEMPLATE.FAT&amp;display_string=Audit&amp;VAR:KEY=NCJWHMHSLC&amp;VAR:QUERY=RkZfRUJJVERBX0lCKCdMVE1TJywzODc3Myk=&amp;WINDOW=FIRST_POPUP&amp;HEIGHT=450&amp;WIDTH=450&amp;START_MA","XIMIZED=FALSE&amp;VAR:CALENDAR=US&amp;VAR:SYMBOL=G0129K10&amp;VAR:INDEX=0"}</definedName>
    <definedName name="_8769__FDSAUDITLINK__" localSheetId="6" hidden="1">{"fdsup://directions/FAT Viewer?action=UPDATE&amp;creator=factset&amp;DYN_ARGS=TRUE&amp;DOC_NAME=FAT:FQL_AUDITING_CLIENT_TEMPLATE.FAT&amp;display_string=Audit&amp;VAR:KEY=NQZGTILMTA&amp;VAR:QUERY=RkZfRUJJVERBX0lCKCdMVE1TJywzODc3Mik=&amp;WINDOW=FIRST_POPUP&amp;HEIGHT=450&amp;WIDTH=450&amp;START_MA","XIMIZED=FALSE&amp;VAR:CALENDAR=US&amp;VAR:SYMBOL=G0129K10&amp;VAR:INDEX=0"}</definedName>
    <definedName name="_8769__FDSAUDITLINK__" hidden="1">{"fdsup://directions/FAT Viewer?action=UPDATE&amp;creator=factset&amp;DYN_ARGS=TRUE&amp;DOC_NAME=FAT:FQL_AUDITING_CLIENT_TEMPLATE.FAT&amp;display_string=Audit&amp;VAR:KEY=NQZGTILMTA&amp;VAR:QUERY=RkZfRUJJVERBX0lCKCdMVE1TJywzODc3Mik=&amp;WINDOW=FIRST_POPUP&amp;HEIGHT=450&amp;WIDTH=450&amp;START_MA","XIMIZED=FALSE&amp;VAR:CALENDAR=US&amp;VAR:SYMBOL=G0129K10&amp;VAR:INDEX=0"}</definedName>
    <definedName name="_877__FDSAUDITLINK__" localSheetId="6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7__FDSAUDITLINK__" hidden="1">{"fdsup://directions/FAT%20Viewer?VAR:PED=LTM&amp;VAR:AUDIT_MODE=SUMMARY&amp;VAR:PERIOD=FIXED&amp;VAR:AUDIT_ID=00000117&amp;VAR:DATE=20070928&amp;action=UPDATE&amp;creator=factset&amp;DOC_NAME=FAT:FMA_audit_SUMMARY.fat&amp;DISPLAY_STRING=Display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70__FDSAUDITLINK__" localSheetId="6" hidden="1">{"fdsup://directions/FAT Viewer?action=UPDATE&amp;creator=factset&amp;DYN_ARGS=TRUE&amp;DOC_NAME=FAT:FQL_AUDITING_CLIENT_TEMPLATE.FAT&amp;display_string=Audit&amp;VAR:KEY=BMHKFIJQHS&amp;VAR:QUERY=RkZfRUJJVERBX0lCKCdMVE1TJywzODc3MSk=&amp;WINDOW=FIRST_POPUP&amp;HEIGHT=450&amp;WIDTH=450&amp;START_MA","XIMIZED=FALSE&amp;VAR:CALENDAR=US&amp;VAR:SYMBOL=G0129K10&amp;VAR:INDEX=0"}</definedName>
    <definedName name="_8770__FDSAUDITLINK__" hidden="1">{"fdsup://directions/FAT Viewer?action=UPDATE&amp;creator=factset&amp;DYN_ARGS=TRUE&amp;DOC_NAME=FAT:FQL_AUDITING_CLIENT_TEMPLATE.FAT&amp;display_string=Audit&amp;VAR:KEY=BMHKFIJQHS&amp;VAR:QUERY=RkZfRUJJVERBX0lCKCdMVE1TJywzODc3MSk=&amp;WINDOW=FIRST_POPUP&amp;HEIGHT=450&amp;WIDTH=450&amp;START_MA","XIMIZED=FALSE&amp;VAR:CALENDAR=US&amp;VAR:SYMBOL=G0129K10&amp;VAR:INDEX=0"}</definedName>
    <definedName name="_8771__FDSAUDITLINK__" localSheetId="6" hidden="1">{"fdsup://directions/FAT Viewer?action=UPDATE&amp;creator=factset&amp;DYN_ARGS=TRUE&amp;DOC_NAME=FAT:FQL_AUDITING_CLIENT_TEMPLATE.FAT&amp;display_string=Audit&amp;VAR:KEY=VQFSFEJIXQ&amp;VAR:QUERY=RkZfRUJJVERBX0lCKCdMVE1TJywzODc3MCk=&amp;WINDOW=FIRST_POPUP&amp;HEIGHT=450&amp;WIDTH=450&amp;START_MA","XIMIZED=FALSE&amp;VAR:CALENDAR=US&amp;VAR:SYMBOL=G0129K10&amp;VAR:INDEX=0"}</definedName>
    <definedName name="_8771__FDSAUDITLINK__" hidden="1">{"fdsup://directions/FAT Viewer?action=UPDATE&amp;creator=factset&amp;DYN_ARGS=TRUE&amp;DOC_NAME=FAT:FQL_AUDITING_CLIENT_TEMPLATE.FAT&amp;display_string=Audit&amp;VAR:KEY=VQFSFEJIXQ&amp;VAR:QUERY=RkZfRUJJVERBX0lCKCdMVE1TJywzODc3MCk=&amp;WINDOW=FIRST_POPUP&amp;HEIGHT=450&amp;WIDTH=450&amp;START_MA","XIMIZED=FALSE&amp;VAR:CALENDAR=US&amp;VAR:SYMBOL=G0129K10&amp;VAR:INDEX=0"}</definedName>
    <definedName name="_8772__FDSAUDITLINK__" localSheetId="6" hidden="1">{"fdsup://directions/FAT Viewer?action=UPDATE&amp;creator=factset&amp;DYN_ARGS=TRUE&amp;DOC_NAME=FAT:FQL_AUDITING_CLIENT_TEMPLATE.FAT&amp;display_string=Audit&amp;VAR:KEY=TQVSJYBAXG&amp;VAR:QUERY=RkZfRUJJVERBX0lCKCdMVE1TJywzODc2OSk=&amp;WINDOW=FIRST_POPUP&amp;HEIGHT=450&amp;WIDTH=450&amp;START_MA","XIMIZED=FALSE&amp;VAR:CALENDAR=US&amp;VAR:SYMBOL=G0129K10&amp;VAR:INDEX=0"}</definedName>
    <definedName name="_8772__FDSAUDITLINK__" hidden="1">{"fdsup://directions/FAT Viewer?action=UPDATE&amp;creator=factset&amp;DYN_ARGS=TRUE&amp;DOC_NAME=FAT:FQL_AUDITING_CLIENT_TEMPLATE.FAT&amp;display_string=Audit&amp;VAR:KEY=TQVSJYBAXG&amp;VAR:QUERY=RkZfRUJJVERBX0lCKCdMVE1TJywzODc2OSk=&amp;WINDOW=FIRST_POPUP&amp;HEIGHT=450&amp;WIDTH=450&amp;START_MA","XIMIZED=FALSE&amp;VAR:CALENDAR=US&amp;VAR:SYMBOL=G0129K10&amp;VAR:INDEX=0"}</definedName>
    <definedName name="_8773__FDSAUDITLINK__" localSheetId="6" hidden="1">{"fdsup://directions/FAT Viewer?action=UPDATE&amp;creator=factset&amp;DYN_ARGS=TRUE&amp;DOC_NAME=FAT:FQL_AUDITING_CLIENT_TEMPLATE.FAT&amp;display_string=Audit&amp;VAR:KEY=FWFKNUHMNM&amp;VAR:QUERY=RkZfRUJJVERBX0lCKCdMVE1TJywzODc2OCk=&amp;WINDOW=FIRST_POPUP&amp;HEIGHT=450&amp;WIDTH=450&amp;START_MA","XIMIZED=FALSE&amp;VAR:CALENDAR=US&amp;VAR:SYMBOL=G0129K10&amp;VAR:INDEX=0"}</definedName>
    <definedName name="_8773__FDSAUDITLINK__" hidden="1">{"fdsup://directions/FAT Viewer?action=UPDATE&amp;creator=factset&amp;DYN_ARGS=TRUE&amp;DOC_NAME=FAT:FQL_AUDITING_CLIENT_TEMPLATE.FAT&amp;display_string=Audit&amp;VAR:KEY=FWFKNUHMNM&amp;VAR:QUERY=RkZfRUJJVERBX0lCKCdMVE1TJywzODc2OCk=&amp;WINDOW=FIRST_POPUP&amp;HEIGHT=450&amp;WIDTH=450&amp;START_MA","XIMIZED=FALSE&amp;VAR:CALENDAR=US&amp;VAR:SYMBOL=G0129K10&amp;VAR:INDEX=0"}</definedName>
    <definedName name="_8774__FDSAUDITLINK__" localSheetId="6" hidden="1">{"fdsup://directions/FAT Viewer?action=UPDATE&amp;creator=factset&amp;DYN_ARGS=TRUE&amp;DOC_NAME=FAT:FQL_AUDITING_CLIENT_TEMPLATE.FAT&amp;display_string=Audit&amp;VAR:KEY=NGRIDAFMNC&amp;VAR:QUERY=RkZfRUJJVERBX0lCKCdMVE1TJywzODc2Nyk=&amp;WINDOW=FIRST_POPUP&amp;HEIGHT=450&amp;WIDTH=450&amp;START_MA","XIMIZED=FALSE&amp;VAR:CALENDAR=US&amp;VAR:SYMBOL=G0129K10&amp;VAR:INDEX=0"}</definedName>
    <definedName name="_8774__FDSAUDITLINK__" hidden="1">{"fdsup://directions/FAT Viewer?action=UPDATE&amp;creator=factset&amp;DYN_ARGS=TRUE&amp;DOC_NAME=FAT:FQL_AUDITING_CLIENT_TEMPLATE.FAT&amp;display_string=Audit&amp;VAR:KEY=NGRIDAFMNC&amp;VAR:QUERY=RkZfRUJJVERBX0lCKCdMVE1TJywzODc2Nyk=&amp;WINDOW=FIRST_POPUP&amp;HEIGHT=450&amp;WIDTH=450&amp;START_MA","XIMIZED=FALSE&amp;VAR:CALENDAR=US&amp;VAR:SYMBOL=G0129K10&amp;VAR:INDEX=0"}</definedName>
    <definedName name="_8775__FDSAUDITLINK__" localSheetId="6" hidden="1">{"fdsup://directions/FAT Viewer?action=UPDATE&amp;creator=factset&amp;DYN_ARGS=TRUE&amp;DOC_NAME=FAT:FQL_AUDITING_CLIENT_TEMPLATE.FAT&amp;display_string=Audit&amp;VAR:KEY=DKZETUHUJG&amp;VAR:QUERY=RkZfRUJJVERBX0lCKCdMVE1TJywzODc2Nik=&amp;WINDOW=FIRST_POPUP&amp;HEIGHT=450&amp;WIDTH=450&amp;START_MA","XIMIZED=FALSE&amp;VAR:CALENDAR=US&amp;VAR:SYMBOL=G0129K10&amp;VAR:INDEX=0"}</definedName>
    <definedName name="_8775__FDSAUDITLINK__" hidden="1">{"fdsup://directions/FAT Viewer?action=UPDATE&amp;creator=factset&amp;DYN_ARGS=TRUE&amp;DOC_NAME=FAT:FQL_AUDITING_CLIENT_TEMPLATE.FAT&amp;display_string=Audit&amp;VAR:KEY=DKZETUHUJG&amp;VAR:QUERY=RkZfRUJJVERBX0lCKCdMVE1TJywzODc2Nik=&amp;WINDOW=FIRST_POPUP&amp;HEIGHT=450&amp;WIDTH=450&amp;START_MA","XIMIZED=FALSE&amp;VAR:CALENDAR=US&amp;VAR:SYMBOL=G0129K10&amp;VAR:INDEX=0"}</definedName>
    <definedName name="_8776__FDSAUDITLINK__" localSheetId="6" hidden="1">{"fdsup://directions/FAT Viewer?action=UPDATE&amp;creator=factset&amp;DYN_ARGS=TRUE&amp;DOC_NAME=FAT:FQL_AUDITING_CLIENT_TEMPLATE.FAT&amp;display_string=Audit&amp;VAR:KEY=FITONYTOFC&amp;VAR:QUERY=RkZfRUJJVERBX0lCKCdMVE1TJywzODc2NSk=&amp;WINDOW=FIRST_POPUP&amp;HEIGHT=450&amp;WIDTH=450&amp;START_MA","XIMIZED=FALSE&amp;VAR:CALENDAR=US&amp;VAR:SYMBOL=G0129K10&amp;VAR:INDEX=0"}</definedName>
    <definedName name="_8776__FDSAUDITLINK__" hidden="1">{"fdsup://directions/FAT Viewer?action=UPDATE&amp;creator=factset&amp;DYN_ARGS=TRUE&amp;DOC_NAME=FAT:FQL_AUDITING_CLIENT_TEMPLATE.FAT&amp;display_string=Audit&amp;VAR:KEY=FITONYTOFC&amp;VAR:QUERY=RkZfRUJJVERBX0lCKCdMVE1TJywzODc2NSk=&amp;WINDOW=FIRST_POPUP&amp;HEIGHT=450&amp;WIDTH=450&amp;START_MA","XIMIZED=FALSE&amp;VAR:CALENDAR=US&amp;VAR:SYMBOL=G0129K10&amp;VAR:INDEX=0"}</definedName>
    <definedName name="_8777__FDSAUDITLINK__" localSheetId="6" hidden="1">{"fdsup://directions/FAT Viewer?action=UPDATE&amp;creator=factset&amp;DYN_ARGS=TRUE&amp;DOC_NAME=FAT:FQL_AUDITING_CLIENT_TEMPLATE.FAT&amp;display_string=Audit&amp;VAR:KEY=LOZWTINAPW&amp;VAR:QUERY=RkZfRUJJVERBX0lCKCdMVE1TJywzODc2NCk=&amp;WINDOW=FIRST_POPUP&amp;HEIGHT=450&amp;WIDTH=450&amp;START_MA","XIMIZED=FALSE&amp;VAR:CALENDAR=US&amp;VAR:SYMBOL=G0129K10&amp;VAR:INDEX=0"}</definedName>
    <definedName name="_8777__FDSAUDITLINK__" hidden="1">{"fdsup://directions/FAT Viewer?action=UPDATE&amp;creator=factset&amp;DYN_ARGS=TRUE&amp;DOC_NAME=FAT:FQL_AUDITING_CLIENT_TEMPLATE.FAT&amp;display_string=Audit&amp;VAR:KEY=LOZWTINAPW&amp;VAR:QUERY=RkZfRUJJVERBX0lCKCdMVE1TJywzODc2NCk=&amp;WINDOW=FIRST_POPUP&amp;HEIGHT=450&amp;WIDTH=450&amp;START_MA","XIMIZED=FALSE&amp;VAR:CALENDAR=US&amp;VAR:SYMBOL=G0129K10&amp;VAR:INDEX=0"}</definedName>
    <definedName name="_8778__FDSAUDITLINK__" localSheetId="6" hidden="1">{"fdsup://directions/FAT Viewer?action=UPDATE&amp;creator=factset&amp;DYN_ARGS=TRUE&amp;DOC_NAME=FAT:FQL_AUDITING_CLIENT_TEMPLATE.FAT&amp;display_string=Audit&amp;VAR:KEY=VKJEXMZADO&amp;VAR:QUERY=RkZfRUJJVERBX0lCKCdMVE1TJywzODc2Myk=&amp;WINDOW=FIRST_POPUP&amp;HEIGHT=450&amp;WIDTH=450&amp;START_MA","XIMIZED=FALSE&amp;VAR:CALENDAR=US&amp;VAR:SYMBOL=G0129K10&amp;VAR:INDEX=0"}</definedName>
    <definedName name="_8778__FDSAUDITLINK__" hidden="1">{"fdsup://directions/FAT Viewer?action=UPDATE&amp;creator=factset&amp;DYN_ARGS=TRUE&amp;DOC_NAME=FAT:FQL_AUDITING_CLIENT_TEMPLATE.FAT&amp;display_string=Audit&amp;VAR:KEY=VKJEXMZADO&amp;VAR:QUERY=RkZfRUJJVERBX0lCKCdMVE1TJywzODc2Myk=&amp;WINDOW=FIRST_POPUP&amp;HEIGHT=450&amp;WIDTH=450&amp;START_MA","XIMIZED=FALSE&amp;VAR:CALENDAR=US&amp;VAR:SYMBOL=G0129K10&amp;VAR:INDEX=0"}</definedName>
    <definedName name="_8779__FDSAUDITLINK__" localSheetId="6" hidden="1">{"fdsup://directions/FAT Viewer?action=UPDATE&amp;creator=factset&amp;DYN_ARGS=TRUE&amp;DOC_NAME=FAT:FQL_AUDITING_CLIENT_TEMPLATE.FAT&amp;display_string=Audit&amp;VAR:KEY=ZADGBWTMNU&amp;VAR:QUERY=RkZfRUJJVERBX0lCKCdMVE1TJywzODc2Mik=&amp;WINDOW=FIRST_POPUP&amp;HEIGHT=450&amp;WIDTH=450&amp;START_MA","XIMIZED=FALSE&amp;VAR:CALENDAR=US&amp;VAR:SYMBOL=G0129K10&amp;VAR:INDEX=0"}</definedName>
    <definedName name="_8779__FDSAUDITLINK__" hidden="1">{"fdsup://directions/FAT Viewer?action=UPDATE&amp;creator=factset&amp;DYN_ARGS=TRUE&amp;DOC_NAME=FAT:FQL_AUDITING_CLIENT_TEMPLATE.FAT&amp;display_string=Audit&amp;VAR:KEY=ZADGBWTMNU&amp;VAR:QUERY=RkZfRUJJVERBX0lCKCdMVE1TJywzODc2Mik=&amp;WINDOW=FIRST_POPUP&amp;HEIGHT=450&amp;WIDTH=450&amp;START_MA","XIMIZED=FALSE&amp;VAR:CALENDAR=US&amp;VAR:SYMBOL=G0129K10&amp;VAR:INDEX=0"}</definedName>
    <definedName name="_878__FDSAUDITLINK__" localSheetId="6" hidden="1">{"fdsup://directions/FAT%20Viewer?VAR:PED=LTM&amp;VAR:AUDIT_MODE=SUMMARY&amp;VAR:PERIOD=FIXED&amp;VAR:AUDIT_ID=00000117&amp;VAR:DATE=20070927&amp;action=UPDATE&amp;creator=factset&amp;DOC_NAME=FAT:FMA_audit_SUMMARY.fat&amp;DISPLAY_STRING=Display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8__FDSAUDITLINK__" hidden="1">{"fdsup://directions/FAT%20Viewer?VAR:PED=LTM&amp;VAR:AUDIT_MODE=SUMMARY&amp;VAR:PERIOD=FIXED&amp;VAR:AUDIT_ID=00000117&amp;VAR:DATE=20070927&amp;action=UPDATE&amp;creator=factset&amp;DOC_NAME=FAT:FMA_audit_SUMMARY.fat&amp;DISPLAY_STRING=Display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80__FDSAUDITLINK__" localSheetId="6" hidden="1">{"fdsup://directions/FAT Viewer?action=UPDATE&amp;creator=factset&amp;DYN_ARGS=TRUE&amp;DOC_NAME=FAT:FQL_AUDITING_CLIENT_TEMPLATE.FAT&amp;display_string=Audit&amp;VAR:KEY=XEPSDQZSBM&amp;VAR:QUERY=RkZfRUJJVERBX0lCKCdMVE1TJywzODc2MSk=&amp;WINDOW=FIRST_POPUP&amp;HEIGHT=450&amp;WIDTH=450&amp;START_MA","XIMIZED=FALSE&amp;VAR:CALENDAR=US&amp;VAR:SYMBOL=G0129K10&amp;VAR:INDEX=0"}</definedName>
    <definedName name="_8780__FDSAUDITLINK__" hidden="1">{"fdsup://directions/FAT Viewer?action=UPDATE&amp;creator=factset&amp;DYN_ARGS=TRUE&amp;DOC_NAME=FAT:FQL_AUDITING_CLIENT_TEMPLATE.FAT&amp;display_string=Audit&amp;VAR:KEY=XEPSDQZSBM&amp;VAR:QUERY=RkZfRUJJVERBX0lCKCdMVE1TJywzODc2MSk=&amp;WINDOW=FIRST_POPUP&amp;HEIGHT=450&amp;WIDTH=450&amp;START_MA","XIMIZED=FALSE&amp;VAR:CALENDAR=US&amp;VAR:SYMBOL=G0129K10&amp;VAR:INDEX=0"}</definedName>
    <definedName name="_8781__FDSAUDITLINK__" localSheetId="6" hidden="1">{"fdsup://directions/FAT Viewer?action=UPDATE&amp;creator=factset&amp;DYN_ARGS=TRUE&amp;DOC_NAME=FAT:FQL_AUDITING_CLIENT_TEMPLATE.FAT&amp;display_string=Audit&amp;VAR:KEY=HSZYXSBGVQ&amp;VAR:QUERY=RkZfRUJJVERBX0lCKCdMVE1TJywzODc2MCk=&amp;WINDOW=FIRST_POPUP&amp;HEIGHT=450&amp;WIDTH=450&amp;START_MA","XIMIZED=FALSE&amp;VAR:CALENDAR=US&amp;VAR:SYMBOL=G0129K10&amp;VAR:INDEX=0"}</definedName>
    <definedName name="_8781__FDSAUDITLINK__" hidden="1">{"fdsup://directions/FAT Viewer?action=UPDATE&amp;creator=factset&amp;DYN_ARGS=TRUE&amp;DOC_NAME=FAT:FQL_AUDITING_CLIENT_TEMPLATE.FAT&amp;display_string=Audit&amp;VAR:KEY=HSZYXSBGVQ&amp;VAR:QUERY=RkZfRUJJVERBX0lCKCdMVE1TJywzODc2MCk=&amp;WINDOW=FIRST_POPUP&amp;HEIGHT=450&amp;WIDTH=450&amp;START_MA","XIMIZED=FALSE&amp;VAR:CALENDAR=US&amp;VAR:SYMBOL=G0129K10&amp;VAR:INDEX=0"}</definedName>
    <definedName name="_8782__FDSAUDITLINK__" localSheetId="6" hidden="1">{"fdsup://directions/FAT Viewer?action=UPDATE&amp;creator=factset&amp;DYN_ARGS=TRUE&amp;DOC_NAME=FAT:FQL_AUDITING_CLIENT_TEMPLATE.FAT&amp;display_string=Audit&amp;VAR:KEY=LWJYVMBAFU&amp;VAR:QUERY=RkZfRUJJVERBX0lCKCdMVE1TJywzODc1OSk=&amp;WINDOW=FIRST_POPUP&amp;HEIGHT=450&amp;WIDTH=450&amp;START_MA","XIMIZED=FALSE&amp;VAR:CALENDAR=US&amp;VAR:SYMBOL=G0129K10&amp;VAR:INDEX=0"}</definedName>
    <definedName name="_8782__FDSAUDITLINK__" hidden="1">{"fdsup://directions/FAT Viewer?action=UPDATE&amp;creator=factset&amp;DYN_ARGS=TRUE&amp;DOC_NAME=FAT:FQL_AUDITING_CLIENT_TEMPLATE.FAT&amp;display_string=Audit&amp;VAR:KEY=LWJYVMBAFU&amp;VAR:QUERY=RkZfRUJJVERBX0lCKCdMVE1TJywzODc1OSk=&amp;WINDOW=FIRST_POPUP&amp;HEIGHT=450&amp;WIDTH=450&amp;START_MA","XIMIZED=FALSE&amp;VAR:CALENDAR=US&amp;VAR:SYMBOL=G0129K10&amp;VAR:INDEX=0"}</definedName>
    <definedName name="_8783__FDSAUDITLINK__" localSheetId="6" hidden="1">{"fdsup://directions/FAT Viewer?action=UPDATE&amp;creator=factset&amp;DYN_ARGS=TRUE&amp;DOC_NAME=FAT:FQL_AUDITING_CLIENT_TEMPLATE.FAT&amp;display_string=Audit&amp;VAR:KEY=RWPQLCVKHE&amp;VAR:QUERY=RkZfRUJJVERBX0lCKCdMVE1TJywzODc1OCk=&amp;WINDOW=FIRST_POPUP&amp;HEIGHT=450&amp;WIDTH=450&amp;START_MA","XIMIZED=FALSE&amp;VAR:CALENDAR=US&amp;VAR:SYMBOL=G0129K10&amp;VAR:INDEX=0"}</definedName>
    <definedName name="_8783__FDSAUDITLINK__" hidden="1">{"fdsup://directions/FAT Viewer?action=UPDATE&amp;creator=factset&amp;DYN_ARGS=TRUE&amp;DOC_NAME=FAT:FQL_AUDITING_CLIENT_TEMPLATE.FAT&amp;display_string=Audit&amp;VAR:KEY=RWPQLCVKHE&amp;VAR:QUERY=RkZfRUJJVERBX0lCKCdMVE1TJywzODc1OCk=&amp;WINDOW=FIRST_POPUP&amp;HEIGHT=450&amp;WIDTH=450&amp;START_MA","XIMIZED=FALSE&amp;VAR:CALENDAR=US&amp;VAR:SYMBOL=G0129K10&amp;VAR:INDEX=0"}</definedName>
    <definedName name="_8784__FDSAUDITLINK__" localSheetId="6" hidden="1">{"fdsup://directions/FAT Viewer?action=UPDATE&amp;creator=factset&amp;DYN_ARGS=TRUE&amp;DOC_NAME=FAT:FQL_AUDITING_CLIENT_TEMPLATE.FAT&amp;display_string=Audit&amp;VAR:KEY=PMLWLQVKDW&amp;VAR:QUERY=RkZfRUJJVERBX0lCKCdMVE1TJywzODc1Nyk=&amp;WINDOW=FIRST_POPUP&amp;HEIGHT=450&amp;WIDTH=450&amp;START_MA","XIMIZED=FALSE&amp;VAR:CALENDAR=US&amp;VAR:SYMBOL=G0129K10&amp;VAR:INDEX=0"}</definedName>
    <definedName name="_8784__FDSAUDITLINK__" hidden="1">{"fdsup://directions/FAT Viewer?action=UPDATE&amp;creator=factset&amp;DYN_ARGS=TRUE&amp;DOC_NAME=FAT:FQL_AUDITING_CLIENT_TEMPLATE.FAT&amp;display_string=Audit&amp;VAR:KEY=PMLWLQVKDW&amp;VAR:QUERY=RkZfRUJJVERBX0lCKCdMVE1TJywzODc1Nyk=&amp;WINDOW=FIRST_POPUP&amp;HEIGHT=450&amp;WIDTH=450&amp;START_MA","XIMIZED=FALSE&amp;VAR:CALENDAR=US&amp;VAR:SYMBOL=G0129K10&amp;VAR:INDEX=0"}</definedName>
    <definedName name="_8785__FDSAUDITLINK__" localSheetId="6" hidden="1">{"fdsup://directions/FAT Viewer?action=UPDATE&amp;creator=factset&amp;DYN_ARGS=TRUE&amp;DOC_NAME=FAT:FQL_AUDITING_CLIENT_TEMPLATE.FAT&amp;display_string=Audit&amp;VAR:KEY=HYBKDYDALS&amp;VAR:QUERY=RkZfRUJJVERBX0lCKCdMVE1TJywzODc1Nik=&amp;WINDOW=FIRST_POPUP&amp;HEIGHT=450&amp;WIDTH=450&amp;START_MA","XIMIZED=FALSE&amp;VAR:CALENDAR=US&amp;VAR:SYMBOL=G0129K10&amp;VAR:INDEX=0"}</definedName>
    <definedName name="_8785__FDSAUDITLINK__" hidden="1">{"fdsup://directions/FAT Viewer?action=UPDATE&amp;creator=factset&amp;DYN_ARGS=TRUE&amp;DOC_NAME=FAT:FQL_AUDITING_CLIENT_TEMPLATE.FAT&amp;display_string=Audit&amp;VAR:KEY=HYBKDYDALS&amp;VAR:QUERY=RkZfRUJJVERBX0lCKCdMVE1TJywzODc1Nik=&amp;WINDOW=FIRST_POPUP&amp;HEIGHT=450&amp;WIDTH=450&amp;START_MA","XIMIZED=FALSE&amp;VAR:CALENDAR=US&amp;VAR:SYMBOL=G0129K10&amp;VAR:INDEX=0"}</definedName>
    <definedName name="_8786__FDSAUDITLINK__" localSheetId="6" hidden="1">{"fdsup://directions/FAT Viewer?action=UPDATE&amp;creator=factset&amp;DYN_ARGS=TRUE&amp;DOC_NAME=FAT:FQL_AUDITING_CLIENT_TEMPLATE.FAT&amp;display_string=Audit&amp;VAR:KEY=RANORSJEVQ&amp;VAR:QUERY=RkZfRUJJVERBX0lCKCdMVE1TJywzODc1NSk=&amp;WINDOW=FIRST_POPUP&amp;HEIGHT=450&amp;WIDTH=450&amp;START_MA","XIMIZED=FALSE&amp;VAR:CALENDAR=US&amp;VAR:SYMBOL=G0129K10&amp;VAR:INDEX=0"}</definedName>
    <definedName name="_8786__FDSAUDITLINK__" hidden="1">{"fdsup://directions/FAT Viewer?action=UPDATE&amp;creator=factset&amp;DYN_ARGS=TRUE&amp;DOC_NAME=FAT:FQL_AUDITING_CLIENT_TEMPLATE.FAT&amp;display_string=Audit&amp;VAR:KEY=RANORSJEVQ&amp;VAR:QUERY=RkZfRUJJVERBX0lCKCdMVE1TJywzODc1NSk=&amp;WINDOW=FIRST_POPUP&amp;HEIGHT=450&amp;WIDTH=450&amp;START_MA","XIMIZED=FALSE&amp;VAR:CALENDAR=US&amp;VAR:SYMBOL=G0129K10&amp;VAR:INDEX=0"}</definedName>
    <definedName name="_8787__FDSAUDITLINK__" localSheetId="6" hidden="1">{"fdsup://directions/FAT Viewer?action=UPDATE&amp;creator=factset&amp;DYN_ARGS=TRUE&amp;DOC_NAME=FAT:FQL_AUDITING_CLIENT_TEMPLATE.FAT&amp;display_string=Audit&amp;VAR:KEY=LKZOLCDYZM&amp;VAR:QUERY=RkZfRUJJVERBX0lCKCdMVE1TJywzODc1NCk=&amp;WINDOW=FIRST_POPUP&amp;HEIGHT=450&amp;WIDTH=450&amp;START_MA","XIMIZED=FALSE&amp;VAR:CALENDAR=US&amp;VAR:SYMBOL=G0129K10&amp;VAR:INDEX=0"}</definedName>
    <definedName name="_8787__FDSAUDITLINK__" hidden="1">{"fdsup://directions/FAT Viewer?action=UPDATE&amp;creator=factset&amp;DYN_ARGS=TRUE&amp;DOC_NAME=FAT:FQL_AUDITING_CLIENT_TEMPLATE.FAT&amp;display_string=Audit&amp;VAR:KEY=LKZOLCDYZM&amp;VAR:QUERY=RkZfRUJJVERBX0lCKCdMVE1TJywzODc1NCk=&amp;WINDOW=FIRST_POPUP&amp;HEIGHT=450&amp;WIDTH=450&amp;START_MA","XIMIZED=FALSE&amp;VAR:CALENDAR=US&amp;VAR:SYMBOL=G0129K10&amp;VAR:INDEX=0"}</definedName>
    <definedName name="_8788__FDSAUDITLINK__" localSheetId="6" hidden="1">{"fdsup://directions/FAT Viewer?action=UPDATE&amp;creator=factset&amp;DYN_ARGS=TRUE&amp;DOC_NAME=FAT:FQL_AUDITING_CLIENT_TEMPLATE.FAT&amp;display_string=Audit&amp;VAR:KEY=ZEZIXONQFG&amp;VAR:QUERY=RkZfRUJJVERBX0lCKCdMVE1TJywzODc1Myk=&amp;WINDOW=FIRST_POPUP&amp;HEIGHT=450&amp;WIDTH=450&amp;START_MA","XIMIZED=FALSE&amp;VAR:CALENDAR=US&amp;VAR:SYMBOL=G0129K10&amp;VAR:INDEX=0"}</definedName>
    <definedName name="_8788__FDSAUDITLINK__" hidden="1">{"fdsup://directions/FAT Viewer?action=UPDATE&amp;creator=factset&amp;DYN_ARGS=TRUE&amp;DOC_NAME=FAT:FQL_AUDITING_CLIENT_TEMPLATE.FAT&amp;display_string=Audit&amp;VAR:KEY=ZEZIXONQFG&amp;VAR:QUERY=RkZfRUJJVERBX0lCKCdMVE1TJywzODc1Myk=&amp;WINDOW=FIRST_POPUP&amp;HEIGHT=450&amp;WIDTH=450&amp;START_MA","XIMIZED=FALSE&amp;VAR:CALENDAR=US&amp;VAR:SYMBOL=G0129K10&amp;VAR:INDEX=0"}</definedName>
    <definedName name="_8789__FDSAUDITLINK__" localSheetId="6" hidden="1">{"fdsup://directions/FAT Viewer?action=UPDATE&amp;creator=factset&amp;DYN_ARGS=TRUE&amp;DOC_NAME=FAT:FQL_AUDITING_CLIENT_TEMPLATE.FAT&amp;display_string=Audit&amp;VAR:KEY=BKHMFSPKNY&amp;VAR:QUERY=RkZfRUJJVERBX0lCKCdMVE1TJywzODc1Mik=&amp;WINDOW=FIRST_POPUP&amp;HEIGHT=450&amp;WIDTH=450&amp;START_MA","XIMIZED=FALSE&amp;VAR:CALENDAR=US&amp;VAR:SYMBOL=G0129K10&amp;VAR:INDEX=0"}</definedName>
    <definedName name="_8789__FDSAUDITLINK__" hidden="1">{"fdsup://directions/FAT Viewer?action=UPDATE&amp;creator=factset&amp;DYN_ARGS=TRUE&amp;DOC_NAME=FAT:FQL_AUDITING_CLIENT_TEMPLATE.FAT&amp;display_string=Audit&amp;VAR:KEY=BKHMFSPKNY&amp;VAR:QUERY=RkZfRUJJVERBX0lCKCdMVE1TJywzODc1Mik=&amp;WINDOW=FIRST_POPUP&amp;HEIGHT=450&amp;WIDTH=450&amp;START_MA","XIMIZED=FALSE&amp;VAR:CALENDAR=US&amp;VAR:SYMBOL=G0129K10&amp;VAR:INDEX=0"}</definedName>
    <definedName name="_879__FDSAUDITLINK__" localSheetId="6" hidden="1">{"fdsup://directions/FAT%20Viewer?VAR:PED=LTM&amp;VAR:AUDIT_MODE=SUMMARY&amp;VAR:PERIOD=FIXED&amp;VAR:AUDIT_ID=00000117&amp;VAR:DATE=20070926&amp;action=UPDATE&amp;creator=factset&amp;DOC_NAME=FAT:FMA_audit_SUMMARY.fat&amp;DISPLAY_STRING=Display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9__FDSAUDITLINK__" hidden="1">{"fdsup://directions/FAT%20Viewer?VAR:PED=LTM&amp;VAR:AUDIT_MODE=SUMMARY&amp;VAR:PERIOD=FIXED&amp;VAR:AUDIT_ID=00000117&amp;VAR:DATE=20070926&amp;action=UPDATE&amp;creator=factset&amp;DOC_NAME=FAT:FMA_audit_SUMMARY.fat&amp;DISPLAY_STRING=Display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790__FDSAUDITLINK__" localSheetId="6" hidden="1">{"fdsup://directions/FAT Viewer?action=UPDATE&amp;creator=factset&amp;DYN_ARGS=TRUE&amp;DOC_NAME=FAT:FQL_AUDITING_CLIENT_TEMPLATE.FAT&amp;display_string=Audit&amp;VAR:KEY=XCTOVWRMRG&amp;VAR:QUERY=RkZfRUJJVERBX0lCKCdMVE1TJywzODc1MSk=&amp;WINDOW=FIRST_POPUP&amp;HEIGHT=450&amp;WIDTH=450&amp;START_MA","XIMIZED=FALSE&amp;VAR:CALENDAR=US&amp;VAR:SYMBOL=G0129K10&amp;VAR:INDEX=0"}</definedName>
    <definedName name="_8790__FDSAUDITLINK__" hidden="1">{"fdsup://directions/FAT Viewer?action=UPDATE&amp;creator=factset&amp;DYN_ARGS=TRUE&amp;DOC_NAME=FAT:FQL_AUDITING_CLIENT_TEMPLATE.FAT&amp;display_string=Audit&amp;VAR:KEY=XCTOVWRMRG&amp;VAR:QUERY=RkZfRUJJVERBX0lCKCdMVE1TJywzODc1MSk=&amp;WINDOW=FIRST_POPUP&amp;HEIGHT=450&amp;WIDTH=450&amp;START_MA","XIMIZED=FALSE&amp;VAR:CALENDAR=US&amp;VAR:SYMBOL=G0129K10&amp;VAR:INDEX=0"}</definedName>
    <definedName name="_8791__FDSAUDITLINK__" localSheetId="6" hidden="1">{"fdsup://directions/FAT Viewer?action=UPDATE&amp;creator=factset&amp;DYN_ARGS=TRUE&amp;DOC_NAME=FAT:FQL_AUDITING_CLIENT_TEMPLATE.FAT&amp;display_string=Audit&amp;VAR:KEY=DCDKBAXYJW&amp;VAR:QUERY=RkZfRUJJVERBX0lCKCdMVE1TJywzODc1MCk=&amp;WINDOW=FIRST_POPUP&amp;HEIGHT=450&amp;WIDTH=450&amp;START_MA","XIMIZED=FALSE&amp;VAR:CALENDAR=US&amp;VAR:SYMBOL=G0129K10&amp;VAR:INDEX=0"}</definedName>
    <definedName name="_8791__FDSAUDITLINK__" hidden="1">{"fdsup://directions/FAT Viewer?action=UPDATE&amp;creator=factset&amp;DYN_ARGS=TRUE&amp;DOC_NAME=FAT:FQL_AUDITING_CLIENT_TEMPLATE.FAT&amp;display_string=Audit&amp;VAR:KEY=DCDKBAXYJW&amp;VAR:QUERY=RkZfRUJJVERBX0lCKCdMVE1TJywzODc1MCk=&amp;WINDOW=FIRST_POPUP&amp;HEIGHT=450&amp;WIDTH=450&amp;START_MA","XIMIZED=FALSE&amp;VAR:CALENDAR=US&amp;VAR:SYMBOL=G0129K10&amp;VAR:INDEX=0"}</definedName>
    <definedName name="_8792__FDSAUDITLINK__" localSheetId="6" hidden="1">{"fdsup://directions/FAT Viewer?action=UPDATE&amp;creator=factset&amp;DYN_ARGS=TRUE&amp;DOC_NAME=FAT:FQL_AUDITING_CLIENT_TEMPLATE.FAT&amp;display_string=Audit&amp;VAR:KEY=NYFKFETAXW&amp;VAR:QUERY=RkZfRUJJVERBX0lCKCdMVE1TJywzODc0OSk=&amp;WINDOW=FIRST_POPUP&amp;HEIGHT=450&amp;WIDTH=450&amp;START_MA","XIMIZED=FALSE&amp;VAR:CALENDAR=US&amp;VAR:SYMBOL=G0129K10&amp;VAR:INDEX=0"}</definedName>
    <definedName name="_8792__FDSAUDITLINK__" hidden="1">{"fdsup://directions/FAT Viewer?action=UPDATE&amp;creator=factset&amp;DYN_ARGS=TRUE&amp;DOC_NAME=FAT:FQL_AUDITING_CLIENT_TEMPLATE.FAT&amp;display_string=Audit&amp;VAR:KEY=NYFKFETAXW&amp;VAR:QUERY=RkZfRUJJVERBX0lCKCdMVE1TJywzODc0OSk=&amp;WINDOW=FIRST_POPUP&amp;HEIGHT=450&amp;WIDTH=450&amp;START_MA","XIMIZED=FALSE&amp;VAR:CALENDAR=US&amp;VAR:SYMBOL=G0129K10&amp;VAR:INDEX=0"}</definedName>
    <definedName name="_8793__FDSAUDITLINK__" localSheetId="6" hidden="1">{"fdsup://directions/FAT Viewer?action=UPDATE&amp;creator=factset&amp;DYN_ARGS=TRUE&amp;DOC_NAME=FAT:FQL_AUDITING_CLIENT_TEMPLATE.FAT&amp;display_string=Audit&amp;VAR:KEY=FEJGJGJUBQ&amp;VAR:QUERY=RkZfRUJJVERBX0lCKCdMVE1TJywzODc0OCk=&amp;WINDOW=FIRST_POPUP&amp;HEIGHT=450&amp;WIDTH=450&amp;START_MA","XIMIZED=FALSE&amp;VAR:CALENDAR=US&amp;VAR:SYMBOL=G0129K10&amp;VAR:INDEX=0"}</definedName>
    <definedName name="_8793__FDSAUDITLINK__" hidden="1">{"fdsup://directions/FAT Viewer?action=UPDATE&amp;creator=factset&amp;DYN_ARGS=TRUE&amp;DOC_NAME=FAT:FQL_AUDITING_CLIENT_TEMPLATE.FAT&amp;display_string=Audit&amp;VAR:KEY=FEJGJGJUBQ&amp;VAR:QUERY=RkZfRUJJVERBX0lCKCdMVE1TJywzODc0OCk=&amp;WINDOW=FIRST_POPUP&amp;HEIGHT=450&amp;WIDTH=450&amp;START_MA","XIMIZED=FALSE&amp;VAR:CALENDAR=US&amp;VAR:SYMBOL=G0129K10&amp;VAR:INDEX=0"}</definedName>
    <definedName name="_8794__FDSAUDITLINK__" localSheetId="6" hidden="1">{"fdsup://directions/FAT Viewer?action=UPDATE&amp;creator=factset&amp;DYN_ARGS=TRUE&amp;DOC_NAME=FAT:FQL_AUDITING_CLIENT_TEMPLATE.FAT&amp;display_string=Audit&amp;VAR:KEY=RCTIRUTGTE&amp;VAR:QUERY=RkZfRUJJVERBX0lCKCdMVE1TJywzODc0Nyk=&amp;WINDOW=FIRST_POPUP&amp;HEIGHT=450&amp;WIDTH=450&amp;START_MA","XIMIZED=FALSE&amp;VAR:CALENDAR=US&amp;VAR:SYMBOL=G0129K10&amp;VAR:INDEX=0"}</definedName>
    <definedName name="_8794__FDSAUDITLINK__" hidden="1">{"fdsup://directions/FAT Viewer?action=UPDATE&amp;creator=factset&amp;DYN_ARGS=TRUE&amp;DOC_NAME=FAT:FQL_AUDITING_CLIENT_TEMPLATE.FAT&amp;display_string=Audit&amp;VAR:KEY=RCTIRUTGTE&amp;VAR:QUERY=RkZfRUJJVERBX0lCKCdMVE1TJywzODc0Nyk=&amp;WINDOW=FIRST_POPUP&amp;HEIGHT=450&amp;WIDTH=450&amp;START_MA","XIMIZED=FALSE&amp;VAR:CALENDAR=US&amp;VAR:SYMBOL=G0129K10&amp;VAR:INDEX=0"}</definedName>
    <definedName name="_8795__FDSAUDITLINK__" localSheetId="6" hidden="1">{"fdsup://directions/FAT Viewer?action=UPDATE&amp;creator=factset&amp;DYN_ARGS=TRUE&amp;DOC_NAME=FAT:FQL_AUDITING_CLIENT_TEMPLATE.FAT&amp;display_string=Audit&amp;VAR:KEY=PQHERWZWFE&amp;VAR:QUERY=RkZfRUJJVERBX0lCKCdMVE1TJywzODc0Nik=&amp;WINDOW=FIRST_POPUP&amp;HEIGHT=450&amp;WIDTH=450&amp;START_MA","XIMIZED=FALSE&amp;VAR:CALENDAR=US&amp;VAR:SYMBOL=G0129K10&amp;VAR:INDEX=0"}</definedName>
    <definedName name="_8795__FDSAUDITLINK__" hidden="1">{"fdsup://directions/FAT Viewer?action=UPDATE&amp;creator=factset&amp;DYN_ARGS=TRUE&amp;DOC_NAME=FAT:FQL_AUDITING_CLIENT_TEMPLATE.FAT&amp;display_string=Audit&amp;VAR:KEY=PQHERWZWFE&amp;VAR:QUERY=RkZfRUJJVERBX0lCKCdMVE1TJywzODc0Nik=&amp;WINDOW=FIRST_POPUP&amp;HEIGHT=450&amp;WIDTH=450&amp;START_MA","XIMIZED=FALSE&amp;VAR:CALENDAR=US&amp;VAR:SYMBOL=G0129K10&amp;VAR:INDEX=0"}</definedName>
    <definedName name="_8796__FDSAUDITLINK__" localSheetId="6" hidden="1">{"fdsup://directions/FAT Viewer?action=UPDATE&amp;creator=factset&amp;DYN_ARGS=TRUE&amp;DOC_NAME=FAT:FQL_AUDITING_CLIENT_TEMPLATE.FAT&amp;display_string=Audit&amp;VAR:KEY=NKTUFGVAHI&amp;VAR:QUERY=RkZfRUJJVERBX0lCKCdMVE1TJywzODc0NSk=&amp;WINDOW=FIRST_POPUP&amp;HEIGHT=450&amp;WIDTH=450&amp;START_MA","XIMIZED=FALSE&amp;VAR:CALENDAR=US&amp;VAR:SYMBOL=G0129K10&amp;VAR:INDEX=0"}</definedName>
    <definedName name="_8796__FDSAUDITLINK__" hidden="1">{"fdsup://directions/FAT Viewer?action=UPDATE&amp;creator=factset&amp;DYN_ARGS=TRUE&amp;DOC_NAME=FAT:FQL_AUDITING_CLIENT_TEMPLATE.FAT&amp;display_string=Audit&amp;VAR:KEY=NKTUFGVAHI&amp;VAR:QUERY=RkZfRUJJVERBX0lCKCdMVE1TJywzODc0NSk=&amp;WINDOW=FIRST_POPUP&amp;HEIGHT=450&amp;WIDTH=450&amp;START_MA","XIMIZED=FALSE&amp;VAR:CALENDAR=US&amp;VAR:SYMBOL=G0129K10&amp;VAR:INDEX=0"}</definedName>
    <definedName name="_8797__FDSAUDITLINK__" localSheetId="6" hidden="1">{"fdsup://directions/FAT Viewer?action=UPDATE&amp;creator=factset&amp;DYN_ARGS=TRUE&amp;DOC_NAME=FAT:FQL_AUDITING_CLIENT_TEMPLATE.FAT&amp;display_string=Audit&amp;VAR:KEY=JWLKFGTQNQ&amp;VAR:QUERY=RkZfRUJJVERBX0lCKCdMVE1TJywzODc0NCk=&amp;WINDOW=FIRST_POPUP&amp;HEIGHT=450&amp;WIDTH=450&amp;START_MA","XIMIZED=FALSE&amp;VAR:CALENDAR=US&amp;VAR:SYMBOL=G0129K10&amp;VAR:INDEX=0"}</definedName>
    <definedName name="_8797__FDSAUDITLINK__" hidden="1">{"fdsup://directions/FAT Viewer?action=UPDATE&amp;creator=factset&amp;DYN_ARGS=TRUE&amp;DOC_NAME=FAT:FQL_AUDITING_CLIENT_TEMPLATE.FAT&amp;display_string=Audit&amp;VAR:KEY=JWLKFGTQNQ&amp;VAR:QUERY=RkZfRUJJVERBX0lCKCdMVE1TJywzODc0NCk=&amp;WINDOW=FIRST_POPUP&amp;HEIGHT=450&amp;WIDTH=450&amp;START_MA","XIMIZED=FALSE&amp;VAR:CALENDAR=US&amp;VAR:SYMBOL=G0129K10&amp;VAR:INDEX=0"}</definedName>
    <definedName name="_8798__FDSAUDITLINK__" localSheetId="6" hidden="1">{"fdsup://directions/FAT Viewer?action=UPDATE&amp;creator=factset&amp;DYN_ARGS=TRUE&amp;DOC_NAME=FAT:FQL_AUDITING_CLIENT_TEMPLATE.FAT&amp;display_string=Audit&amp;VAR:KEY=PUZETGXKJC&amp;VAR:QUERY=RkZfRUJJVERBX0lCKCdMVE1TJywzODc0Myk=&amp;WINDOW=FIRST_POPUP&amp;HEIGHT=450&amp;WIDTH=450&amp;START_MA","XIMIZED=FALSE&amp;VAR:CALENDAR=US&amp;VAR:SYMBOL=G0129K10&amp;VAR:INDEX=0"}</definedName>
    <definedName name="_8798__FDSAUDITLINK__" hidden="1">{"fdsup://directions/FAT Viewer?action=UPDATE&amp;creator=factset&amp;DYN_ARGS=TRUE&amp;DOC_NAME=FAT:FQL_AUDITING_CLIENT_TEMPLATE.FAT&amp;display_string=Audit&amp;VAR:KEY=PUZETGXKJC&amp;VAR:QUERY=RkZfRUJJVERBX0lCKCdMVE1TJywzODc0Myk=&amp;WINDOW=FIRST_POPUP&amp;HEIGHT=450&amp;WIDTH=450&amp;START_MA","XIMIZED=FALSE&amp;VAR:CALENDAR=US&amp;VAR:SYMBOL=G0129K10&amp;VAR:INDEX=0"}</definedName>
    <definedName name="_8799__FDSAUDITLINK__" localSheetId="6" hidden="1">{"fdsup://directions/FAT Viewer?action=UPDATE&amp;creator=factset&amp;DYN_ARGS=TRUE&amp;DOC_NAME=FAT:FQL_AUDITING_CLIENT_TEMPLATE.FAT&amp;display_string=Audit&amp;VAR:KEY=PQJKDYLEXG&amp;VAR:QUERY=RkZfRUJJVERBX0lCKCdMVE1TJywzODc0Mik=&amp;WINDOW=FIRST_POPUP&amp;HEIGHT=450&amp;WIDTH=450&amp;START_MA","XIMIZED=FALSE&amp;VAR:CALENDAR=US&amp;VAR:SYMBOL=G0129K10&amp;VAR:INDEX=0"}</definedName>
    <definedName name="_8799__FDSAUDITLINK__" hidden="1">{"fdsup://directions/FAT Viewer?action=UPDATE&amp;creator=factset&amp;DYN_ARGS=TRUE&amp;DOC_NAME=FAT:FQL_AUDITING_CLIENT_TEMPLATE.FAT&amp;display_string=Audit&amp;VAR:KEY=PQJKDYLEXG&amp;VAR:QUERY=RkZfRUJJVERBX0lCKCdMVE1TJywzODc0Mik=&amp;WINDOW=FIRST_POPUP&amp;HEIGHT=450&amp;WIDTH=450&amp;START_MA","XIMIZED=FALSE&amp;VAR:CALENDAR=US&amp;VAR:SYMBOL=G0129K10&amp;VAR:INDEX=0"}</definedName>
    <definedName name="_880__FDSAUDITLINK__" localSheetId="6" hidden="1">{"fdsup://directions/FAT%20Viewer?VAR:PED=LTM&amp;VAR:AUDIT_MODE=SUMMARY&amp;VAR:PERIOD=FIXED&amp;VAR:AUDIT_ID=00000117&amp;VAR:DATE=20070925&amp;action=UPDATE&amp;creator=factset&amp;DOC_NAME=FAT:FMA_audit_SUMMARY.fat&amp;DISPLAY_STRING=Display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0__FDSAUDITLINK__" hidden="1">{"fdsup://directions/FAT%20Viewer?VAR:PED=LTM&amp;VAR:AUDIT_MODE=SUMMARY&amp;VAR:PERIOD=FIXED&amp;VAR:AUDIT_ID=00000117&amp;VAR:DATE=20070925&amp;action=UPDATE&amp;creator=factset&amp;DOC_NAME=FAT:FMA_audit_SUMMARY.fat&amp;DISPLAY_STRING=Display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00__FDSAUDITLINK__" localSheetId="6" hidden="1">{"fdsup://directions/FAT Viewer?action=UPDATE&amp;creator=factset&amp;DYN_ARGS=TRUE&amp;DOC_NAME=FAT:FQL_AUDITING_CLIENT_TEMPLATE.FAT&amp;display_string=Audit&amp;VAR:KEY=JCPWJSTKRE&amp;VAR:QUERY=RkZfRUJJVERBX0lCKCdMVE1TJywzODc0MSk=&amp;WINDOW=FIRST_POPUP&amp;HEIGHT=450&amp;WIDTH=450&amp;START_MA","XIMIZED=FALSE&amp;VAR:CALENDAR=US&amp;VAR:SYMBOL=G0129K10&amp;VAR:INDEX=0"}</definedName>
    <definedName name="_8800__FDSAUDITLINK__" hidden="1">{"fdsup://directions/FAT Viewer?action=UPDATE&amp;creator=factset&amp;DYN_ARGS=TRUE&amp;DOC_NAME=FAT:FQL_AUDITING_CLIENT_TEMPLATE.FAT&amp;display_string=Audit&amp;VAR:KEY=JCPWJSTKRE&amp;VAR:QUERY=RkZfRUJJVERBX0lCKCdMVE1TJywzODc0MSk=&amp;WINDOW=FIRST_POPUP&amp;HEIGHT=450&amp;WIDTH=450&amp;START_MA","XIMIZED=FALSE&amp;VAR:CALENDAR=US&amp;VAR:SYMBOL=G0129K10&amp;VAR:INDEX=0"}</definedName>
    <definedName name="_8801__FDSAUDITLINK__" localSheetId="6" hidden="1">{"fdsup://directions/FAT Viewer?action=UPDATE&amp;creator=factset&amp;DYN_ARGS=TRUE&amp;DOC_NAME=FAT:FQL_AUDITING_CLIENT_TEMPLATE.FAT&amp;display_string=Audit&amp;VAR:KEY=JUZODOFKBS&amp;VAR:QUERY=RkZfRUJJVERBX0lCKCdMVE1TJywzODc0MCk=&amp;WINDOW=FIRST_POPUP&amp;HEIGHT=450&amp;WIDTH=450&amp;START_MA","XIMIZED=FALSE&amp;VAR:CALENDAR=US&amp;VAR:SYMBOL=G0129K10&amp;VAR:INDEX=0"}</definedName>
    <definedName name="_8801__FDSAUDITLINK__" hidden="1">{"fdsup://directions/FAT Viewer?action=UPDATE&amp;creator=factset&amp;DYN_ARGS=TRUE&amp;DOC_NAME=FAT:FQL_AUDITING_CLIENT_TEMPLATE.FAT&amp;display_string=Audit&amp;VAR:KEY=JUZODOFKBS&amp;VAR:QUERY=RkZfRUJJVERBX0lCKCdMVE1TJywzODc0MCk=&amp;WINDOW=FIRST_POPUP&amp;HEIGHT=450&amp;WIDTH=450&amp;START_MA","XIMIZED=FALSE&amp;VAR:CALENDAR=US&amp;VAR:SYMBOL=G0129K10&amp;VAR:INDEX=0"}</definedName>
    <definedName name="_8802__FDSAUDITLINK__" localSheetId="6" hidden="1">{"fdsup://directions/FAT Viewer?action=UPDATE&amp;creator=factset&amp;DYN_ARGS=TRUE&amp;DOC_NAME=FAT:FQL_AUDITING_CLIENT_TEMPLATE.FAT&amp;display_string=Audit&amp;VAR:KEY=RCTUZGJUTW&amp;VAR:QUERY=RkZfRUJJVERBX0lCKCdMVE1TJywzODczOSk=&amp;WINDOW=FIRST_POPUP&amp;HEIGHT=450&amp;WIDTH=450&amp;START_MA","XIMIZED=FALSE&amp;VAR:CALENDAR=US&amp;VAR:SYMBOL=G0129K10&amp;VAR:INDEX=0"}</definedName>
    <definedName name="_8802__FDSAUDITLINK__" hidden="1">{"fdsup://directions/FAT Viewer?action=UPDATE&amp;creator=factset&amp;DYN_ARGS=TRUE&amp;DOC_NAME=FAT:FQL_AUDITING_CLIENT_TEMPLATE.FAT&amp;display_string=Audit&amp;VAR:KEY=RCTUZGJUTW&amp;VAR:QUERY=RkZfRUJJVERBX0lCKCdMVE1TJywzODczOSk=&amp;WINDOW=FIRST_POPUP&amp;HEIGHT=450&amp;WIDTH=450&amp;START_MA","XIMIZED=FALSE&amp;VAR:CALENDAR=US&amp;VAR:SYMBOL=G0129K10&amp;VAR:INDEX=0"}</definedName>
    <definedName name="_8803__FDSAUDITLINK__" localSheetId="6" hidden="1">{"fdsup://directions/FAT Viewer?action=UPDATE&amp;creator=factset&amp;DYN_ARGS=TRUE&amp;DOC_NAME=FAT:FQL_AUDITING_CLIENT_TEMPLATE.FAT&amp;display_string=Audit&amp;VAR:KEY=JKXUJSZYDY&amp;VAR:QUERY=RkZfRUJJVERBX0lCKCdMVE1TJywzODczOCk=&amp;WINDOW=FIRST_POPUP&amp;HEIGHT=450&amp;WIDTH=450&amp;START_MA","XIMIZED=FALSE&amp;VAR:CALENDAR=US&amp;VAR:SYMBOL=G0129K10&amp;VAR:INDEX=0"}</definedName>
    <definedName name="_8803__FDSAUDITLINK__" hidden="1">{"fdsup://directions/FAT Viewer?action=UPDATE&amp;creator=factset&amp;DYN_ARGS=TRUE&amp;DOC_NAME=FAT:FQL_AUDITING_CLIENT_TEMPLATE.FAT&amp;display_string=Audit&amp;VAR:KEY=JKXUJSZYDY&amp;VAR:QUERY=RkZfRUJJVERBX0lCKCdMVE1TJywzODczOCk=&amp;WINDOW=FIRST_POPUP&amp;HEIGHT=450&amp;WIDTH=450&amp;START_MA","XIMIZED=FALSE&amp;VAR:CALENDAR=US&amp;VAR:SYMBOL=G0129K10&amp;VAR:INDEX=0"}</definedName>
    <definedName name="_8804__FDSAUDITLINK__" localSheetId="6" hidden="1">{"fdsup://directions/FAT Viewer?action=UPDATE&amp;creator=factset&amp;DYN_ARGS=TRUE&amp;DOC_NAME=FAT:FQL_AUDITING_CLIENT_TEMPLATE.FAT&amp;display_string=Audit&amp;VAR:KEY=NEDCNCLAXE&amp;VAR:QUERY=RkZfRUJJVERBX0lCKCdMVE1TJywzODczNyk=&amp;WINDOW=FIRST_POPUP&amp;HEIGHT=450&amp;WIDTH=450&amp;START_MA","XIMIZED=FALSE&amp;VAR:CALENDAR=US&amp;VAR:SYMBOL=G0129K10&amp;VAR:INDEX=0"}</definedName>
    <definedName name="_8804__FDSAUDITLINK__" hidden="1">{"fdsup://directions/FAT Viewer?action=UPDATE&amp;creator=factset&amp;DYN_ARGS=TRUE&amp;DOC_NAME=FAT:FQL_AUDITING_CLIENT_TEMPLATE.FAT&amp;display_string=Audit&amp;VAR:KEY=NEDCNCLAXE&amp;VAR:QUERY=RkZfRUJJVERBX0lCKCdMVE1TJywzODczNyk=&amp;WINDOW=FIRST_POPUP&amp;HEIGHT=450&amp;WIDTH=450&amp;START_MA","XIMIZED=FALSE&amp;VAR:CALENDAR=US&amp;VAR:SYMBOL=G0129K10&amp;VAR:INDEX=0"}</definedName>
    <definedName name="_8805__FDSAUDITLINK__" localSheetId="6" hidden="1">{"fdsup://directions/FAT Viewer?action=UPDATE&amp;creator=factset&amp;DYN_ARGS=TRUE&amp;DOC_NAME=FAT:FQL_AUDITING_CLIENT_TEMPLATE.FAT&amp;display_string=Audit&amp;VAR:KEY=TCTITYPMXO&amp;VAR:QUERY=RkZfRUJJVERBX0lCKCdMVE1TJywzODczNik=&amp;WINDOW=FIRST_POPUP&amp;HEIGHT=450&amp;WIDTH=450&amp;START_MA","XIMIZED=FALSE&amp;VAR:CALENDAR=US&amp;VAR:SYMBOL=G0129K10&amp;VAR:INDEX=0"}</definedName>
    <definedName name="_8805__FDSAUDITLINK__" hidden="1">{"fdsup://directions/FAT Viewer?action=UPDATE&amp;creator=factset&amp;DYN_ARGS=TRUE&amp;DOC_NAME=FAT:FQL_AUDITING_CLIENT_TEMPLATE.FAT&amp;display_string=Audit&amp;VAR:KEY=TCTITYPMXO&amp;VAR:QUERY=RkZfRUJJVERBX0lCKCdMVE1TJywzODczNik=&amp;WINDOW=FIRST_POPUP&amp;HEIGHT=450&amp;WIDTH=450&amp;START_MA","XIMIZED=FALSE&amp;VAR:CALENDAR=US&amp;VAR:SYMBOL=G0129K10&amp;VAR:INDEX=0"}</definedName>
    <definedName name="_8806__FDSAUDITLINK__" localSheetId="6" hidden="1">{"fdsup://directions/FAT Viewer?action=UPDATE&amp;creator=factset&amp;DYN_ARGS=TRUE&amp;DOC_NAME=FAT:FQL_AUDITING_CLIENT_TEMPLATE.FAT&amp;display_string=Audit&amp;VAR:KEY=LCFSLAJIDU&amp;VAR:QUERY=RkZfRUJJVERBX0lCKCdMVE1TJywzODczNSk=&amp;WINDOW=FIRST_POPUP&amp;HEIGHT=450&amp;WIDTH=450&amp;START_MA","XIMIZED=FALSE&amp;VAR:CALENDAR=US&amp;VAR:SYMBOL=G0129K10&amp;VAR:INDEX=0"}</definedName>
    <definedName name="_8806__FDSAUDITLINK__" hidden="1">{"fdsup://directions/FAT Viewer?action=UPDATE&amp;creator=factset&amp;DYN_ARGS=TRUE&amp;DOC_NAME=FAT:FQL_AUDITING_CLIENT_TEMPLATE.FAT&amp;display_string=Audit&amp;VAR:KEY=LCFSLAJIDU&amp;VAR:QUERY=RkZfRUJJVERBX0lCKCdMVE1TJywzODczNSk=&amp;WINDOW=FIRST_POPUP&amp;HEIGHT=450&amp;WIDTH=450&amp;START_MA","XIMIZED=FALSE&amp;VAR:CALENDAR=US&amp;VAR:SYMBOL=G0129K10&amp;VAR:INDEX=0"}</definedName>
    <definedName name="_8807__FDSAUDITLINK__" localSheetId="6" hidden="1">{"fdsup://directions/FAT Viewer?action=UPDATE&amp;creator=factset&amp;DYN_ARGS=TRUE&amp;DOC_NAME=FAT:FQL_AUDITING_CLIENT_TEMPLATE.FAT&amp;display_string=Audit&amp;VAR:KEY=HSJEDMZQBC&amp;VAR:QUERY=RkZfRUJJVERBX0lCKCdMVE1TJywzODczNCk=&amp;WINDOW=FIRST_POPUP&amp;HEIGHT=450&amp;WIDTH=450&amp;START_MA","XIMIZED=FALSE&amp;VAR:CALENDAR=US&amp;VAR:SYMBOL=G0129K10&amp;VAR:INDEX=0"}</definedName>
    <definedName name="_8807__FDSAUDITLINK__" hidden="1">{"fdsup://directions/FAT Viewer?action=UPDATE&amp;creator=factset&amp;DYN_ARGS=TRUE&amp;DOC_NAME=FAT:FQL_AUDITING_CLIENT_TEMPLATE.FAT&amp;display_string=Audit&amp;VAR:KEY=HSJEDMZQBC&amp;VAR:QUERY=RkZfRUJJVERBX0lCKCdMVE1TJywzODczNCk=&amp;WINDOW=FIRST_POPUP&amp;HEIGHT=450&amp;WIDTH=450&amp;START_MA","XIMIZED=FALSE&amp;VAR:CALENDAR=US&amp;VAR:SYMBOL=G0129K10&amp;VAR:INDEX=0"}</definedName>
    <definedName name="_8808__FDSAUDITLINK__" localSheetId="6" hidden="1">{"fdsup://directions/FAT Viewer?action=UPDATE&amp;creator=factset&amp;DYN_ARGS=TRUE&amp;DOC_NAME=FAT:FQL_AUDITING_CLIENT_TEMPLATE.FAT&amp;display_string=Audit&amp;VAR:KEY=XILOPOHIPA&amp;VAR:QUERY=RkZfRUJJVERBX0lCKCdMVE1TJywzODczMyk=&amp;WINDOW=FIRST_POPUP&amp;HEIGHT=450&amp;WIDTH=450&amp;START_MA","XIMIZED=FALSE&amp;VAR:CALENDAR=US&amp;VAR:SYMBOL=G0129K10&amp;VAR:INDEX=0"}</definedName>
    <definedName name="_8808__FDSAUDITLINK__" hidden="1">{"fdsup://directions/FAT Viewer?action=UPDATE&amp;creator=factset&amp;DYN_ARGS=TRUE&amp;DOC_NAME=FAT:FQL_AUDITING_CLIENT_TEMPLATE.FAT&amp;display_string=Audit&amp;VAR:KEY=XILOPOHIPA&amp;VAR:QUERY=RkZfRUJJVERBX0lCKCdMVE1TJywzODczMyk=&amp;WINDOW=FIRST_POPUP&amp;HEIGHT=450&amp;WIDTH=450&amp;START_MA","XIMIZED=FALSE&amp;VAR:CALENDAR=US&amp;VAR:SYMBOL=G0129K10&amp;VAR:INDEX=0"}</definedName>
    <definedName name="_8809__FDSAUDITLINK__" localSheetId="6" hidden="1">{"fdsup://directions/FAT Viewer?action=UPDATE&amp;creator=factset&amp;DYN_ARGS=TRUE&amp;DOC_NAME=FAT:FQL_AUDITING_CLIENT_TEMPLATE.FAT&amp;display_string=Audit&amp;VAR:KEY=NAFWLIRMBU&amp;VAR:QUERY=RkZfRUJJVERBX0lCKCdMVE1TJywzODczMik=&amp;WINDOW=FIRST_POPUP&amp;HEIGHT=450&amp;WIDTH=450&amp;START_MA","XIMIZED=FALSE&amp;VAR:CALENDAR=US&amp;VAR:SYMBOL=G0129K10&amp;VAR:INDEX=0"}</definedName>
    <definedName name="_8809__FDSAUDITLINK__" hidden="1">{"fdsup://directions/FAT Viewer?action=UPDATE&amp;creator=factset&amp;DYN_ARGS=TRUE&amp;DOC_NAME=FAT:FQL_AUDITING_CLIENT_TEMPLATE.FAT&amp;display_string=Audit&amp;VAR:KEY=NAFWLIRMBU&amp;VAR:QUERY=RkZfRUJJVERBX0lCKCdMVE1TJywzODczMik=&amp;WINDOW=FIRST_POPUP&amp;HEIGHT=450&amp;WIDTH=450&amp;START_MA","XIMIZED=FALSE&amp;VAR:CALENDAR=US&amp;VAR:SYMBOL=G0129K10&amp;VAR:INDEX=0"}</definedName>
    <definedName name="_881__FDSAUDITLINK__" localSheetId="6" hidden="1">{"fdsup://directions/FAT%20Viewer?VAR:PED=LTM&amp;VAR:AUDIT_MODE=SUMMARY&amp;VAR:PERIOD=FIXED&amp;VAR:AUDIT_ID=00000117&amp;VAR:DATE=20070924&amp;action=UPDATE&amp;creator=factset&amp;DOC_NAME=FAT:FMA_audit_SUMMARY.fat&amp;DISPLAY_STRING=Display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1__FDSAUDITLINK__" hidden="1">{"fdsup://directions/FAT%20Viewer?VAR:PED=LTM&amp;VAR:AUDIT_MODE=SUMMARY&amp;VAR:PERIOD=FIXED&amp;VAR:AUDIT_ID=00000117&amp;VAR:DATE=20070924&amp;action=UPDATE&amp;creator=factset&amp;DOC_NAME=FAT:FMA_audit_SUMMARY.fat&amp;DISPLAY_STRING=Display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10__FDSAUDITLINK__" localSheetId="6" hidden="1">{"fdsup://directions/FAT Viewer?action=UPDATE&amp;creator=factset&amp;DYN_ARGS=TRUE&amp;DOC_NAME=FAT:FQL_AUDITING_CLIENT_TEMPLATE.FAT&amp;display_string=Audit&amp;VAR:KEY=DMPKFMBONQ&amp;VAR:QUERY=RkZfRUJJVERBX0lCKCdMVE1TJywzODczMSk=&amp;WINDOW=FIRST_POPUP&amp;HEIGHT=450&amp;WIDTH=450&amp;START_MA","XIMIZED=FALSE&amp;VAR:CALENDAR=US&amp;VAR:SYMBOL=G0129K10&amp;VAR:INDEX=0"}</definedName>
    <definedName name="_8810__FDSAUDITLINK__" hidden="1">{"fdsup://directions/FAT Viewer?action=UPDATE&amp;creator=factset&amp;DYN_ARGS=TRUE&amp;DOC_NAME=FAT:FQL_AUDITING_CLIENT_TEMPLATE.FAT&amp;display_string=Audit&amp;VAR:KEY=DMPKFMBONQ&amp;VAR:QUERY=RkZfRUJJVERBX0lCKCdMVE1TJywzODczMSk=&amp;WINDOW=FIRST_POPUP&amp;HEIGHT=450&amp;WIDTH=450&amp;START_MA","XIMIZED=FALSE&amp;VAR:CALENDAR=US&amp;VAR:SYMBOL=G0129K10&amp;VAR:INDEX=0"}</definedName>
    <definedName name="_8811__FDSAUDITLINK__" localSheetId="6" hidden="1">{"fdsup://directions/FAT Viewer?action=UPDATE&amp;creator=factset&amp;DYN_ARGS=TRUE&amp;DOC_NAME=FAT:FQL_AUDITING_CLIENT_TEMPLATE.FAT&amp;display_string=Audit&amp;VAR:KEY=TAJANODMPK&amp;VAR:QUERY=RkZfRUJJVERBX0lCKCdMVE1TJywzODczMCk=&amp;WINDOW=FIRST_POPUP&amp;HEIGHT=450&amp;WIDTH=450&amp;START_MA","XIMIZED=FALSE&amp;VAR:CALENDAR=US&amp;VAR:SYMBOL=G0129K10&amp;VAR:INDEX=0"}</definedName>
    <definedName name="_8811__FDSAUDITLINK__" hidden="1">{"fdsup://directions/FAT Viewer?action=UPDATE&amp;creator=factset&amp;DYN_ARGS=TRUE&amp;DOC_NAME=FAT:FQL_AUDITING_CLIENT_TEMPLATE.FAT&amp;display_string=Audit&amp;VAR:KEY=TAJANODMPK&amp;VAR:QUERY=RkZfRUJJVERBX0lCKCdMVE1TJywzODczMCk=&amp;WINDOW=FIRST_POPUP&amp;HEIGHT=450&amp;WIDTH=450&amp;START_MA","XIMIZED=FALSE&amp;VAR:CALENDAR=US&amp;VAR:SYMBOL=G0129K10&amp;VAR:INDEX=0"}</definedName>
    <definedName name="_8812__FDSAUDITLINK__" localSheetId="6" hidden="1">{"fdsup://directions/FAT Viewer?action=UPDATE&amp;creator=factset&amp;DYN_ARGS=TRUE&amp;DOC_NAME=FAT:FQL_AUDITING_CLIENT_TEMPLATE.FAT&amp;display_string=Audit&amp;VAR:KEY=BAHSJEZORY&amp;VAR:QUERY=RkZfRUJJVERBX0lCKCdMVE1TJywzODcyOSk=&amp;WINDOW=FIRST_POPUP&amp;HEIGHT=450&amp;WIDTH=450&amp;START_MA","XIMIZED=FALSE&amp;VAR:CALENDAR=US&amp;VAR:SYMBOL=G0129K10&amp;VAR:INDEX=0"}</definedName>
    <definedName name="_8812__FDSAUDITLINK__" hidden="1">{"fdsup://directions/FAT Viewer?action=UPDATE&amp;creator=factset&amp;DYN_ARGS=TRUE&amp;DOC_NAME=FAT:FQL_AUDITING_CLIENT_TEMPLATE.FAT&amp;display_string=Audit&amp;VAR:KEY=BAHSJEZORY&amp;VAR:QUERY=RkZfRUJJVERBX0lCKCdMVE1TJywzODcyOSk=&amp;WINDOW=FIRST_POPUP&amp;HEIGHT=450&amp;WIDTH=450&amp;START_MA","XIMIZED=FALSE&amp;VAR:CALENDAR=US&amp;VAR:SYMBOL=G0129K10&amp;VAR:INDEX=0"}</definedName>
    <definedName name="_8813__FDSAUDITLINK__" localSheetId="6" hidden="1">{"fdsup://directions/FAT Viewer?action=UPDATE&amp;creator=factset&amp;DYN_ARGS=TRUE&amp;DOC_NAME=FAT:FQL_AUDITING_CLIENT_TEMPLATE.FAT&amp;display_string=Audit&amp;VAR:KEY=TUFSNOHUPQ&amp;VAR:QUERY=RkZfRUJJVERBX0lCKCdMVE1TJywzODcyOCk=&amp;WINDOW=FIRST_POPUP&amp;HEIGHT=450&amp;WIDTH=450&amp;START_MA","XIMIZED=FALSE&amp;VAR:CALENDAR=US&amp;VAR:SYMBOL=G0129K10&amp;VAR:INDEX=0"}</definedName>
    <definedName name="_8813__FDSAUDITLINK__" hidden="1">{"fdsup://directions/FAT Viewer?action=UPDATE&amp;creator=factset&amp;DYN_ARGS=TRUE&amp;DOC_NAME=FAT:FQL_AUDITING_CLIENT_TEMPLATE.FAT&amp;display_string=Audit&amp;VAR:KEY=TUFSNOHUPQ&amp;VAR:QUERY=RkZfRUJJVERBX0lCKCdMVE1TJywzODcyOCk=&amp;WINDOW=FIRST_POPUP&amp;HEIGHT=450&amp;WIDTH=450&amp;START_MA","XIMIZED=FALSE&amp;VAR:CALENDAR=US&amp;VAR:SYMBOL=G0129K10&amp;VAR:INDEX=0"}</definedName>
    <definedName name="_8814__FDSAUDITLINK__" localSheetId="6" hidden="1">{"fdsup://directions/FAT Viewer?action=UPDATE&amp;creator=factset&amp;DYN_ARGS=TRUE&amp;DOC_NAME=FAT:FQL_AUDITING_CLIENT_TEMPLATE.FAT&amp;display_string=Audit&amp;VAR:KEY=XMFCFWPYVM&amp;VAR:QUERY=RkZfRUJJVERBX0lCKCdMVE1TJywzODcyNyk=&amp;WINDOW=FIRST_POPUP&amp;HEIGHT=450&amp;WIDTH=450&amp;START_MA","XIMIZED=FALSE&amp;VAR:CALENDAR=US&amp;VAR:SYMBOL=G0129K10&amp;VAR:INDEX=0"}</definedName>
    <definedName name="_8814__FDSAUDITLINK__" hidden="1">{"fdsup://directions/FAT Viewer?action=UPDATE&amp;creator=factset&amp;DYN_ARGS=TRUE&amp;DOC_NAME=FAT:FQL_AUDITING_CLIENT_TEMPLATE.FAT&amp;display_string=Audit&amp;VAR:KEY=XMFCFWPYVM&amp;VAR:QUERY=RkZfRUJJVERBX0lCKCdMVE1TJywzODcyNyk=&amp;WINDOW=FIRST_POPUP&amp;HEIGHT=450&amp;WIDTH=450&amp;START_MA","XIMIZED=FALSE&amp;VAR:CALENDAR=US&amp;VAR:SYMBOL=G0129K10&amp;VAR:INDEX=0"}</definedName>
    <definedName name="_8815__FDSAUDITLINK__" localSheetId="6" hidden="1">{"fdsup://directions/FAT Viewer?action=UPDATE&amp;creator=factset&amp;DYN_ARGS=TRUE&amp;DOC_NAME=FAT:FQL_AUDITING_CLIENT_TEMPLATE.FAT&amp;display_string=Audit&amp;VAR:KEY=DCBWRQDCNK&amp;VAR:QUERY=RkZfRUJJVERBX0lCKCdMVE1TJywzODcyNik=&amp;WINDOW=FIRST_POPUP&amp;HEIGHT=450&amp;WIDTH=450&amp;START_MA","XIMIZED=FALSE&amp;VAR:CALENDAR=US&amp;VAR:SYMBOL=G0129K10&amp;VAR:INDEX=0"}</definedName>
    <definedName name="_8815__FDSAUDITLINK__" hidden="1">{"fdsup://directions/FAT Viewer?action=UPDATE&amp;creator=factset&amp;DYN_ARGS=TRUE&amp;DOC_NAME=FAT:FQL_AUDITING_CLIENT_TEMPLATE.FAT&amp;display_string=Audit&amp;VAR:KEY=DCBWRQDCNK&amp;VAR:QUERY=RkZfRUJJVERBX0lCKCdMVE1TJywzODcyNik=&amp;WINDOW=FIRST_POPUP&amp;HEIGHT=450&amp;WIDTH=450&amp;START_MA","XIMIZED=FALSE&amp;VAR:CALENDAR=US&amp;VAR:SYMBOL=G0129K10&amp;VAR:INDEX=0"}</definedName>
    <definedName name="_8816__FDSAUDITLINK__" localSheetId="6" hidden="1">{"fdsup://directions/FAT Viewer?action=UPDATE&amp;creator=factset&amp;DYN_ARGS=TRUE&amp;DOC_NAME=FAT:FQL_AUDITING_CLIENT_TEMPLATE.FAT&amp;display_string=Audit&amp;VAR:KEY=HODIDMHIZY&amp;VAR:QUERY=RkZfRUJJVERBX0lCKCdMVE1TJywzODcyNSk=&amp;WINDOW=FIRST_POPUP&amp;HEIGHT=450&amp;WIDTH=450&amp;START_MA","XIMIZED=FALSE&amp;VAR:CALENDAR=US&amp;VAR:SYMBOL=G0129K10&amp;VAR:INDEX=0"}</definedName>
    <definedName name="_8816__FDSAUDITLINK__" hidden="1">{"fdsup://directions/FAT Viewer?action=UPDATE&amp;creator=factset&amp;DYN_ARGS=TRUE&amp;DOC_NAME=FAT:FQL_AUDITING_CLIENT_TEMPLATE.FAT&amp;display_string=Audit&amp;VAR:KEY=HODIDMHIZY&amp;VAR:QUERY=RkZfRUJJVERBX0lCKCdMVE1TJywzODcyNSk=&amp;WINDOW=FIRST_POPUP&amp;HEIGHT=450&amp;WIDTH=450&amp;START_MA","XIMIZED=FALSE&amp;VAR:CALENDAR=US&amp;VAR:SYMBOL=G0129K10&amp;VAR:INDEX=0"}</definedName>
    <definedName name="_8817__FDSAUDITLINK__" localSheetId="6" hidden="1">{"fdsup://directions/FAT Viewer?action=UPDATE&amp;creator=factset&amp;DYN_ARGS=TRUE&amp;DOC_NAME=FAT:FQL_AUDITING_CLIENT_TEMPLATE.FAT&amp;display_string=Audit&amp;VAR:KEY=ZEDMJCJAFQ&amp;VAR:QUERY=RkZfRUJJVERBX0lCKCdMVE1TJywzODcyNCk=&amp;WINDOW=FIRST_POPUP&amp;HEIGHT=450&amp;WIDTH=450&amp;START_MA","XIMIZED=FALSE&amp;VAR:CALENDAR=US&amp;VAR:SYMBOL=G0129K10&amp;VAR:INDEX=0"}</definedName>
    <definedName name="_8817__FDSAUDITLINK__" hidden="1">{"fdsup://directions/FAT Viewer?action=UPDATE&amp;creator=factset&amp;DYN_ARGS=TRUE&amp;DOC_NAME=FAT:FQL_AUDITING_CLIENT_TEMPLATE.FAT&amp;display_string=Audit&amp;VAR:KEY=ZEDMJCJAFQ&amp;VAR:QUERY=RkZfRUJJVERBX0lCKCdMVE1TJywzODcyNCk=&amp;WINDOW=FIRST_POPUP&amp;HEIGHT=450&amp;WIDTH=450&amp;START_MA","XIMIZED=FALSE&amp;VAR:CALENDAR=US&amp;VAR:SYMBOL=G0129K10&amp;VAR:INDEX=0"}</definedName>
    <definedName name="_8818__FDSAUDITLINK__" localSheetId="6" hidden="1">{"fdsup://directions/FAT Viewer?action=UPDATE&amp;creator=factset&amp;DYN_ARGS=TRUE&amp;DOC_NAME=FAT:FQL_AUDITING_CLIENT_TEMPLATE.FAT&amp;display_string=Audit&amp;VAR:KEY=NMVEPSZARO&amp;VAR:QUERY=RkZfRUJJVERBX0lCKCdMVE1TJywzODcyMyk=&amp;WINDOW=FIRST_POPUP&amp;HEIGHT=450&amp;WIDTH=450&amp;START_MA","XIMIZED=FALSE&amp;VAR:CALENDAR=US&amp;VAR:SYMBOL=G0129K10&amp;VAR:INDEX=0"}</definedName>
    <definedName name="_8818__FDSAUDITLINK__" hidden="1">{"fdsup://directions/FAT Viewer?action=UPDATE&amp;creator=factset&amp;DYN_ARGS=TRUE&amp;DOC_NAME=FAT:FQL_AUDITING_CLIENT_TEMPLATE.FAT&amp;display_string=Audit&amp;VAR:KEY=NMVEPSZARO&amp;VAR:QUERY=RkZfRUJJVERBX0lCKCdMVE1TJywzODcyMyk=&amp;WINDOW=FIRST_POPUP&amp;HEIGHT=450&amp;WIDTH=450&amp;START_MA","XIMIZED=FALSE&amp;VAR:CALENDAR=US&amp;VAR:SYMBOL=G0129K10&amp;VAR:INDEX=0"}</definedName>
    <definedName name="_8819__FDSAUDITLINK__" localSheetId="6" hidden="1">{"fdsup://directions/FAT Viewer?action=UPDATE&amp;creator=factset&amp;DYN_ARGS=TRUE&amp;DOC_NAME=FAT:FQL_AUDITING_CLIENT_TEMPLATE.FAT&amp;display_string=Audit&amp;VAR:KEY=BEBSJINILS&amp;VAR:QUERY=RkZfRUJJVERBX0lCKCdMVE1TJywzODcyMik=&amp;WINDOW=FIRST_POPUP&amp;HEIGHT=450&amp;WIDTH=450&amp;START_MA","XIMIZED=FALSE&amp;VAR:CALENDAR=US&amp;VAR:SYMBOL=G0129K10&amp;VAR:INDEX=0"}</definedName>
    <definedName name="_8819__FDSAUDITLINK__" hidden="1">{"fdsup://directions/FAT Viewer?action=UPDATE&amp;creator=factset&amp;DYN_ARGS=TRUE&amp;DOC_NAME=FAT:FQL_AUDITING_CLIENT_TEMPLATE.FAT&amp;display_string=Audit&amp;VAR:KEY=BEBSJINILS&amp;VAR:QUERY=RkZfRUJJVERBX0lCKCdMVE1TJywzODcyMik=&amp;WINDOW=FIRST_POPUP&amp;HEIGHT=450&amp;WIDTH=450&amp;START_MA","XIMIZED=FALSE&amp;VAR:CALENDAR=US&amp;VAR:SYMBOL=G0129K10&amp;VAR:INDEX=0"}</definedName>
    <definedName name="_882__FDSAUDITLINK__" localSheetId="6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2__FDSAUDITLINK__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20__FDSAUDITLINK__" localSheetId="6" hidden="1">{"fdsup://directions/FAT Viewer?action=UPDATE&amp;creator=factset&amp;DYN_ARGS=TRUE&amp;DOC_NAME=FAT:FQL_AUDITING_CLIENT_TEMPLATE.FAT&amp;display_string=Audit&amp;VAR:KEY=DQPUZOHITS&amp;VAR:QUERY=RkZfRUJJVERBX0lCKCdMVE1TJywzODcyMSk=&amp;WINDOW=FIRST_POPUP&amp;HEIGHT=450&amp;WIDTH=450&amp;START_MA","XIMIZED=FALSE&amp;VAR:CALENDAR=US&amp;VAR:SYMBOL=G0129K10&amp;VAR:INDEX=0"}</definedName>
    <definedName name="_8820__FDSAUDITLINK__" hidden="1">{"fdsup://directions/FAT Viewer?action=UPDATE&amp;creator=factset&amp;DYN_ARGS=TRUE&amp;DOC_NAME=FAT:FQL_AUDITING_CLIENT_TEMPLATE.FAT&amp;display_string=Audit&amp;VAR:KEY=DQPUZOHITS&amp;VAR:QUERY=RkZfRUJJVERBX0lCKCdMVE1TJywzODcyMSk=&amp;WINDOW=FIRST_POPUP&amp;HEIGHT=450&amp;WIDTH=450&amp;START_MA","XIMIZED=FALSE&amp;VAR:CALENDAR=US&amp;VAR:SYMBOL=G0129K10&amp;VAR:INDEX=0"}</definedName>
    <definedName name="_8821__FDSAUDITLINK__" localSheetId="6" hidden="1">{"fdsup://directions/FAT Viewer?action=UPDATE&amp;creator=factset&amp;DYN_ARGS=TRUE&amp;DOC_NAME=FAT:FQL_AUDITING_CLIENT_TEMPLATE.FAT&amp;display_string=Audit&amp;VAR:KEY=LOLCDUXCXG&amp;VAR:QUERY=RkZfRUJJVERBX0lCKCdMVE1TJywzODcyMCk=&amp;WINDOW=FIRST_POPUP&amp;HEIGHT=450&amp;WIDTH=450&amp;START_MA","XIMIZED=FALSE&amp;VAR:CALENDAR=US&amp;VAR:SYMBOL=G0129K10&amp;VAR:INDEX=0"}</definedName>
    <definedName name="_8821__FDSAUDITLINK__" hidden="1">{"fdsup://directions/FAT Viewer?action=UPDATE&amp;creator=factset&amp;DYN_ARGS=TRUE&amp;DOC_NAME=FAT:FQL_AUDITING_CLIENT_TEMPLATE.FAT&amp;display_string=Audit&amp;VAR:KEY=LOLCDUXCXG&amp;VAR:QUERY=RkZfRUJJVERBX0lCKCdMVE1TJywzODcyMCk=&amp;WINDOW=FIRST_POPUP&amp;HEIGHT=450&amp;WIDTH=450&amp;START_MA","XIMIZED=FALSE&amp;VAR:CALENDAR=US&amp;VAR:SYMBOL=G0129K10&amp;VAR:INDEX=0"}</definedName>
    <definedName name="_8822__FDSAUDITLINK__" localSheetId="6" hidden="1">{"fdsup://directions/FAT Viewer?action=UPDATE&amp;creator=factset&amp;DYN_ARGS=TRUE&amp;DOC_NAME=FAT:FQL_AUDITING_CLIENT_TEMPLATE.FAT&amp;display_string=Audit&amp;VAR:KEY=XMNOHOPSPW&amp;VAR:QUERY=RkZfRUJJVERBX0lCKCdMVE1TJywzODcxOSk=&amp;WINDOW=FIRST_POPUP&amp;HEIGHT=450&amp;WIDTH=450&amp;START_MA","XIMIZED=FALSE&amp;VAR:CALENDAR=US&amp;VAR:SYMBOL=G0129K10&amp;VAR:INDEX=0"}</definedName>
    <definedName name="_8822__FDSAUDITLINK__" hidden="1">{"fdsup://directions/FAT Viewer?action=UPDATE&amp;creator=factset&amp;DYN_ARGS=TRUE&amp;DOC_NAME=FAT:FQL_AUDITING_CLIENT_TEMPLATE.FAT&amp;display_string=Audit&amp;VAR:KEY=XMNOHOPSPW&amp;VAR:QUERY=RkZfRUJJVERBX0lCKCdMVE1TJywzODcxOSk=&amp;WINDOW=FIRST_POPUP&amp;HEIGHT=450&amp;WIDTH=450&amp;START_MA","XIMIZED=FALSE&amp;VAR:CALENDAR=US&amp;VAR:SYMBOL=G0129K10&amp;VAR:INDEX=0"}</definedName>
    <definedName name="_8823__FDSAUDITLINK__" localSheetId="6" hidden="1">{"fdsup://directions/FAT Viewer?action=UPDATE&amp;creator=factset&amp;DYN_ARGS=TRUE&amp;DOC_NAME=FAT:FQL_AUDITING_CLIENT_TEMPLATE.FAT&amp;display_string=Audit&amp;VAR:KEY=FCNADQDATW&amp;VAR:QUERY=RkZfRUJJVERBX0lCKCdMVE1TJywzODcxOCk=&amp;WINDOW=FIRST_POPUP&amp;HEIGHT=450&amp;WIDTH=450&amp;START_MA","XIMIZED=FALSE&amp;VAR:CALENDAR=US&amp;VAR:SYMBOL=G0129K10&amp;VAR:INDEX=0"}</definedName>
    <definedName name="_8823__FDSAUDITLINK__" hidden="1">{"fdsup://directions/FAT Viewer?action=UPDATE&amp;creator=factset&amp;DYN_ARGS=TRUE&amp;DOC_NAME=FAT:FQL_AUDITING_CLIENT_TEMPLATE.FAT&amp;display_string=Audit&amp;VAR:KEY=FCNADQDATW&amp;VAR:QUERY=RkZfRUJJVERBX0lCKCdMVE1TJywzODcxOCk=&amp;WINDOW=FIRST_POPUP&amp;HEIGHT=450&amp;WIDTH=450&amp;START_MA","XIMIZED=FALSE&amp;VAR:CALENDAR=US&amp;VAR:SYMBOL=G0129K10&amp;VAR:INDEX=0"}</definedName>
    <definedName name="_8824__FDSAUDITLINK__" localSheetId="6" hidden="1">{"fdsup://directions/FAT Viewer?action=UPDATE&amp;creator=factset&amp;DYN_ARGS=TRUE&amp;DOC_NAME=FAT:FQL_AUDITING_CLIENT_TEMPLATE.FAT&amp;display_string=Audit&amp;VAR:KEY=XMTITGZQVK&amp;VAR:QUERY=RkZfRUJJVERBX0lCKCdMVE1TJywzODcxNyk=&amp;WINDOW=FIRST_POPUP&amp;HEIGHT=450&amp;WIDTH=450&amp;START_MA","XIMIZED=FALSE&amp;VAR:CALENDAR=US&amp;VAR:SYMBOL=G0129K10&amp;VAR:INDEX=0"}</definedName>
    <definedName name="_8824__FDSAUDITLINK__" hidden="1">{"fdsup://directions/FAT Viewer?action=UPDATE&amp;creator=factset&amp;DYN_ARGS=TRUE&amp;DOC_NAME=FAT:FQL_AUDITING_CLIENT_TEMPLATE.FAT&amp;display_string=Audit&amp;VAR:KEY=XMTITGZQVK&amp;VAR:QUERY=RkZfRUJJVERBX0lCKCdMVE1TJywzODcxNyk=&amp;WINDOW=FIRST_POPUP&amp;HEIGHT=450&amp;WIDTH=450&amp;START_MA","XIMIZED=FALSE&amp;VAR:CALENDAR=US&amp;VAR:SYMBOL=G0129K10&amp;VAR:INDEX=0"}</definedName>
    <definedName name="_8825__FDSAUDITLINK__" localSheetId="6" hidden="1">{"fdsup://directions/FAT Viewer?action=UPDATE&amp;creator=factset&amp;DYN_ARGS=TRUE&amp;DOC_NAME=FAT:FQL_AUDITING_CLIENT_TEMPLATE.FAT&amp;display_string=Audit&amp;VAR:KEY=LCRWBGRKNI&amp;VAR:QUERY=RkZfRUJJVERBX0lCKCdMVE1TJywzODcxNik=&amp;WINDOW=FIRST_POPUP&amp;HEIGHT=450&amp;WIDTH=450&amp;START_MA","XIMIZED=FALSE&amp;VAR:CALENDAR=US&amp;VAR:SYMBOL=G0129K10&amp;VAR:INDEX=0"}</definedName>
    <definedName name="_8825__FDSAUDITLINK__" hidden="1">{"fdsup://directions/FAT Viewer?action=UPDATE&amp;creator=factset&amp;DYN_ARGS=TRUE&amp;DOC_NAME=FAT:FQL_AUDITING_CLIENT_TEMPLATE.FAT&amp;display_string=Audit&amp;VAR:KEY=LCRWBGRKNI&amp;VAR:QUERY=RkZfRUJJVERBX0lCKCdMVE1TJywzODcxNik=&amp;WINDOW=FIRST_POPUP&amp;HEIGHT=450&amp;WIDTH=450&amp;START_MA","XIMIZED=FALSE&amp;VAR:CALENDAR=US&amp;VAR:SYMBOL=G0129K10&amp;VAR:INDEX=0"}</definedName>
    <definedName name="_8826__FDSAUDITLINK__" localSheetId="6" hidden="1">{"fdsup://directions/FAT Viewer?action=UPDATE&amp;creator=factset&amp;DYN_ARGS=TRUE&amp;DOC_NAME=FAT:FQL_AUDITING_CLIENT_TEMPLATE.FAT&amp;display_string=Audit&amp;VAR:KEY=JWJELMTUFU&amp;VAR:QUERY=RkZfRUJJVERBX0lCKCdMVE1TJywzODcxNSk=&amp;WINDOW=FIRST_POPUP&amp;HEIGHT=450&amp;WIDTH=450&amp;START_MA","XIMIZED=FALSE&amp;VAR:CALENDAR=US&amp;VAR:SYMBOL=G0129K10&amp;VAR:INDEX=0"}</definedName>
    <definedName name="_8826__FDSAUDITLINK__" hidden="1">{"fdsup://directions/FAT Viewer?action=UPDATE&amp;creator=factset&amp;DYN_ARGS=TRUE&amp;DOC_NAME=FAT:FQL_AUDITING_CLIENT_TEMPLATE.FAT&amp;display_string=Audit&amp;VAR:KEY=JWJELMTUFU&amp;VAR:QUERY=RkZfRUJJVERBX0lCKCdMVE1TJywzODcxNSk=&amp;WINDOW=FIRST_POPUP&amp;HEIGHT=450&amp;WIDTH=450&amp;START_MA","XIMIZED=FALSE&amp;VAR:CALENDAR=US&amp;VAR:SYMBOL=G0129K10&amp;VAR:INDEX=0"}</definedName>
    <definedName name="_8827__FDSAUDITLINK__" localSheetId="6" hidden="1">{"fdsup://directions/FAT Viewer?action=UPDATE&amp;creator=factset&amp;DYN_ARGS=TRUE&amp;DOC_NAME=FAT:FQL_AUDITING_CLIENT_TEMPLATE.FAT&amp;display_string=Audit&amp;VAR:KEY=JEXEJIBMZI&amp;VAR:QUERY=RkZfRUJJVERBX0lCKCdMVE1TJywzODcxNCk=&amp;WINDOW=FIRST_POPUP&amp;HEIGHT=450&amp;WIDTH=450&amp;START_MA","XIMIZED=FALSE&amp;VAR:CALENDAR=US&amp;VAR:SYMBOL=G0129K10&amp;VAR:INDEX=0"}</definedName>
    <definedName name="_8827__FDSAUDITLINK__" hidden="1">{"fdsup://directions/FAT Viewer?action=UPDATE&amp;creator=factset&amp;DYN_ARGS=TRUE&amp;DOC_NAME=FAT:FQL_AUDITING_CLIENT_TEMPLATE.FAT&amp;display_string=Audit&amp;VAR:KEY=JEXEJIBMZI&amp;VAR:QUERY=RkZfRUJJVERBX0lCKCdMVE1TJywzODcxNCk=&amp;WINDOW=FIRST_POPUP&amp;HEIGHT=450&amp;WIDTH=450&amp;START_MA","XIMIZED=FALSE&amp;VAR:CALENDAR=US&amp;VAR:SYMBOL=G0129K10&amp;VAR:INDEX=0"}</definedName>
    <definedName name="_8828__FDSAUDITLINK__" localSheetId="6" hidden="1">{"fdsup://directions/FAT Viewer?action=UPDATE&amp;creator=factset&amp;DYN_ARGS=TRUE&amp;DOC_NAME=FAT:FQL_AUDITING_CLIENT_TEMPLATE.FAT&amp;display_string=Audit&amp;VAR:KEY=RWZUJKBMBU&amp;VAR:QUERY=RkZfRUJJVERBX0lCKCdMVE1TJywzODcxMyk=&amp;WINDOW=FIRST_POPUP&amp;HEIGHT=450&amp;WIDTH=450&amp;START_MA","XIMIZED=FALSE&amp;VAR:CALENDAR=US&amp;VAR:SYMBOL=G0129K10&amp;VAR:INDEX=0"}</definedName>
    <definedName name="_8828__FDSAUDITLINK__" hidden="1">{"fdsup://directions/FAT Viewer?action=UPDATE&amp;creator=factset&amp;DYN_ARGS=TRUE&amp;DOC_NAME=FAT:FQL_AUDITING_CLIENT_TEMPLATE.FAT&amp;display_string=Audit&amp;VAR:KEY=RWZUJKBMBU&amp;VAR:QUERY=RkZfRUJJVERBX0lCKCdMVE1TJywzODcxMyk=&amp;WINDOW=FIRST_POPUP&amp;HEIGHT=450&amp;WIDTH=450&amp;START_MA","XIMIZED=FALSE&amp;VAR:CALENDAR=US&amp;VAR:SYMBOL=G0129K10&amp;VAR:INDEX=0"}</definedName>
    <definedName name="_8829__FDSAUDITLINK__" localSheetId="6" hidden="1">{"fdsup://directions/FAT Viewer?action=UPDATE&amp;creator=factset&amp;DYN_ARGS=TRUE&amp;DOC_NAME=FAT:FQL_AUDITING_CLIENT_TEMPLATE.FAT&amp;display_string=Audit&amp;VAR:KEY=XOLSVEHSJK&amp;VAR:QUERY=RkZfRUJJVERBX0lCKCdMVE1TJywzODcxMik=&amp;WINDOW=FIRST_POPUP&amp;HEIGHT=450&amp;WIDTH=450&amp;START_MA","XIMIZED=FALSE&amp;VAR:CALENDAR=US&amp;VAR:SYMBOL=G0129K10&amp;VAR:INDEX=0"}</definedName>
    <definedName name="_8829__FDSAUDITLINK__" hidden="1">{"fdsup://directions/FAT Viewer?action=UPDATE&amp;creator=factset&amp;DYN_ARGS=TRUE&amp;DOC_NAME=FAT:FQL_AUDITING_CLIENT_TEMPLATE.FAT&amp;display_string=Audit&amp;VAR:KEY=XOLSVEHSJK&amp;VAR:QUERY=RkZfRUJJVERBX0lCKCdMVE1TJywzODcxMik=&amp;WINDOW=FIRST_POPUP&amp;HEIGHT=450&amp;WIDTH=450&amp;START_MA","XIMIZED=FALSE&amp;VAR:CALENDAR=US&amp;VAR:SYMBOL=G0129K10&amp;VAR:INDEX=0"}</definedName>
    <definedName name="_883__FDSAUDITLINK__" localSheetId="6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3__FDSAUDITLINK__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30__FDSAUDITLINK__" localSheetId="6" hidden="1">{"fdsup://directions/FAT Viewer?action=UPDATE&amp;creator=factset&amp;DYN_ARGS=TRUE&amp;DOC_NAME=FAT:FQL_AUDITING_CLIENT_TEMPLATE.FAT&amp;display_string=Audit&amp;VAR:KEY=PURIJUFABG&amp;VAR:QUERY=RkZfRUJJVERBX0lCKCdMVE1TJywzODcxMSk=&amp;WINDOW=FIRST_POPUP&amp;HEIGHT=450&amp;WIDTH=450&amp;START_MA","XIMIZED=FALSE&amp;VAR:CALENDAR=US&amp;VAR:SYMBOL=G0129K10&amp;VAR:INDEX=0"}</definedName>
    <definedName name="_8830__FDSAUDITLINK__" hidden="1">{"fdsup://directions/FAT Viewer?action=UPDATE&amp;creator=factset&amp;DYN_ARGS=TRUE&amp;DOC_NAME=FAT:FQL_AUDITING_CLIENT_TEMPLATE.FAT&amp;display_string=Audit&amp;VAR:KEY=PURIJUFABG&amp;VAR:QUERY=RkZfRUJJVERBX0lCKCdMVE1TJywzODcxMSk=&amp;WINDOW=FIRST_POPUP&amp;HEIGHT=450&amp;WIDTH=450&amp;START_MA","XIMIZED=FALSE&amp;VAR:CALENDAR=US&amp;VAR:SYMBOL=G0129K10&amp;VAR:INDEX=0"}</definedName>
    <definedName name="_8831__FDSAUDITLINK__" localSheetId="6" hidden="1">{"fdsup://directions/FAT Viewer?action=UPDATE&amp;creator=factset&amp;DYN_ARGS=TRUE&amp;DOC_NAME=FAT:FQL_AUDITING_CLIENT_TEMPLATE.FAT&amp;display_string=Audit&amp;VAR:KEY=ZGNGZOFSDE&amp;VAR:QUERY=RkZfRUJJVERBX0lCKCdMVE1TJywzODcxMCk=&amp;WINDOW=FIRST_POPUP&amp;HEIGHT=450&amp;WIDTH=450&amp;START_MA","XIMIZED=FALSE&amp;VAR:CALENDAR=US&amp;VAR:SYMBOL=G0129K10&amp;VAR:INDEX=0"}</definedName>
    <definedName name="_8831__FDSAUDITLINK__" hidden="1">{"fdsup://directions/FAT Viewer?action=UPDATE&amp;creator=factset&amp;DYN_ARGS=TRUE&amp;DOC_NAME=FAT:FQL_AUDITING_CLIENT_TEMPLATE.FAT&amp;display_string=Audit&amp;VAR:KEY=ZGNGZOFSDE&amp;VAR:QUERY=RkZfRUJJVERBX0lCKCdMVE1TJywzODcxMCk=&amp;WINDOW=FIRST_POPUP&amp;HEIGHT=450&amp;WIDTH=450&amp;START_MA","XIMIZED=FALSE&amp;VAR:CALENDAR=US&amp;VAR:SYMBOL=G0129K10&amp;VAR:INDEX=0"}</definedName>
    <definedName name="_8832__FDSAUDITLINK__" localSheetId="6" hidden="1">{"fdsup://directions/FAT Viewer?action=UPDATE&amp;creator=factset&amp;DYN_ARGS=TRUE&amp;DOC_NAME=FAT:FQL_AUDITING_CLIENT_TEMPLATE.FAT&amp;display_string=Audit&amp;VAR:KEY=ZGXGNORYDW&amp;VAR:QUERY=RkZfRUJJVERBX0lCKCdMVE1TJywzODcwOSk=&amp;WINDOW=FIRST_POPUP&amp;HEIGHT=450&amp;WIDTH=450&amp;START_MA","XIMIZED=FALSE&amp;VAR:CALENDAR=US&amp;VAR:SYMBOL=G0129K10&amp;VAR:INDEX=0"}</definedName>
    <definedName name="_8832__FDSAUDITLINK__" hidden="1">{"fdsup://directions/FAT Viewer?action=UPDATE&amp;creator=factset&amp;DYN_ARGS=TRUE&amp;DOC_NAME=FAT:FQL_AUDITING_CLIENT_TEMPLATE.FAT&amp;display_string=Audit&amp;VAR:KEY=ZGXGNORYDW&amp;VAR:QUERY=RkZfRUJJVERBX0lCKCdMVE1TJywzODcwOSk=&amp;WINDOW=FIRST_POPUP&amp;HEIGHT=450&amp;WIDTH=450&amp;START_MA","XIMIZED=FALSE&amp;VAR:CALENDAR=US&amp;VAR:SYMBOL=G0129K10&amp;VAR:INDEX=0"}</definedName>
    <definedName name="_8833__FDSAUDITLINK__" localSheetId="6" hidden="1">{"fdsup://directions/FAT Viewer?action=UPDATE&amp;creator=factset&amp;DYN_ARGS=TRUE&amp;DOC_NAME=FAT:FQL_AUDITING_CLIENT_TEMPLATE.FAT&amp;display_string=Audit&amp;VAR:KEY=ZEHULUHCDS&amp;VAR:QUERY=RkZfRUJJVERBX0lCKCdMVE1TJywzODcwOCk=&amp;WINDOW=FIRST_POPUP&amp;HEIGHT=450&amp;WIDTH=450&amp;START_MA","XIMIZED=FALSE&amp;VAR:CALENDAR=US&amp;VAR:SYMBOL=G0129K10&amp;VAR:INDEX=0"}</definedName>
    <definedName name="_8833__FDSAUDITLINK__" hidden="1">{"fdsup://directions/FAT Viewer?action=UPDATE&amp;creator=factset&amp;DYN_ARGS=TRUE&amp;DOC_NAME=FAT:FQL_AUDITING_CLIENT_TEMPLATE.FAT&amp;display_string=Audit&amp;VAR:KEY=ZEHULUHCDS&amp;VAR:QUERY=RkZfRUJJVERBX0lCKCdMVE1TJywzODcwOCk=&amp;WINDOW=FIRST_POPUP&amp;HEIGHT=450&amp;WIDTH=450&amp;START_MA","XIMIZED=FALSE&amp;VAR:CALENDAR=US&amp;VAR:SYMBOL=G0129K10&amp;VAR:INDEX=0"}</definedName>
    <definedName name="_8834__FDSAUDITLINK__" localSheetId="6" hidden="1">{"fdsup://directions/FAT Viewer?action=UPDATE&amp;creator=factset&amp;DYN_ARGS=TRUE&amp;DOC_NAME=FAT:FQL_AUDITING_CLIENT_TEMPLATE.FAT&amp;display_string=Audit&amp;VAR:KEY=DWZGRYHYDI&amp;VAR:QUERY=RkZfRUJJVERBX0lCKCdMVE1TJywzODcwNyk=&amp;WINDOW=FIRST_POPUP&amp;HEIGHT=450&amp;WIDTH=450&amp;START_MA","XIMIZED=FALSE&amp;VAR:CALENDAR=US&amp;VAR:SYMBOL=G0129K10&amp;VAR:INDEX=0"}</definedName>
    <definedName name="_8834__FDSAUDITLINK__" hidden="1">{"fdsup://directions/FAT Viewer?action=UPDATE&amp;creator=factset&amp;DYN_ARGS=TRUE&amp;DOC_NAME=FAT:FQL_AUDITING_CLIENT_TEMPLATE.FAT&amp;display_string=Audit&amp;VAR:KEY=DWZGRYHYDI&amp;VAR:QUERY=RkZfRUJJVERBX0lCKCdMVE1TJywzODcwNyk=&amp;WINDOW=FIRST_POPUP&amp;HEIGHT=450&amp;WIDTH=450&amp;START_MA","XIMIZED=FALSE&amp;VAR:CALENDAR=US&amp;VAR:SYMBOL=G0129K10&amp;VAR:INDEX=0"}</definedName>
    <definedName name="_8835__FDSAUDITLINK__" localSheetId="6" hidden="1">{"fdsup://directions/FAT Viewer?action=UPDATE&amp;creator=factset&amp;DYN_ARGS=TRUE&amp;DOC_NAME=FAT:FQL_AUDITING_CLIENT_TEMPLATE.FAT&amp;display_string=Audit&amp;VAR:KEY=ZKJSRSPYHW&amp;VAR:QUERY=RkZfRUJJVERBX0lCKCdMVE1TJywzODcwNik=&amp;WINDOW=FIRST_POPUP&amp;HEIGHT=450&amp;WIDTH=450&amp;START_MA","XIMIZED=FALSE&amp;VAR:CALENDAR=US&amp;VAR:SYMBOL=G0129K10&amp;VAR:INDEX=0"}</definedName>
    <definedName name="_8835__FDSAUDITLINK__" hidden="1">{"fdsup://directions/FAT Viewer?action=UPDATE&amp;creator=factset&amp;DYN_ARGS=TRUE&amp;DOC_NAME=FAT:FQL_AUDITING_CLIENT_TEMPLATE.FAT&amp;display_string=Audit&amp;VAR:KEY=ZKJSRSPYHW&amp;VAR:QUERY=RkZfRUJJVERBX0lCKCdMVE1TJywzODcwNik=&amp;WINDOW=FIRST_POPUP&amp;HEIGHT=450&amp;WIDTH=450&amp;START_MA","XIMIZED=FALSE&amp;VAR:CALENDAR=US&amp;VAR:SYMBOL=G0129K10&amp;VAR:INDEX=0"}</definedName>
    <definedName name="_8836__FDSAUDITLINK__" localSheetId="6" hidden="1">{"fdsup://directions/FAT Viewer?action=UPDATE&amp;creator=factset&amp;DYN_ARGS=TRUE&amp;DOC_NAME=FAT:FQL_AUDITING_CLIENT_TEMPLATE.FAT&amp;display_string=Audit&amp;VAR:KEY=JKJGFQXUPY&amp;VAR:QUERY=RkZfRUJJVERBX0lCKCdMVE1TJywzODcwNSk=&amp;WINDOW=FIRST_POPUP&amp;HEIGHT=450&amp;WIDTH=450&amp;START_MA","XIMIZED=FALSE&amp;VAR:CALENDAR=US&amp;VAR:SYMBOL=G0129K10&amp;VAR:INDEX=0"}</definedName>
    <definedName name="_8836__FDSAUDITLINK__" hidden="1">{"fdsup://directions/FAT Viewer?action=UPDATE&amp;creator=factset&amp;DYN_ARGS=TRUE&amp;DOC_NAME=FAT:FQL_AUDITING_CLIENT_TEMPLATE.FAT&amp;display_string=Audit&amp;VAR:KEY=JKJGFQXUPY&amp;VAR:QUERY=RkZfRUJJVERBX0lCKCdMVE1TJywzODcwNSk=&amp;WINDOW=FIRST_POPUP&amp;HEIGHT=450&amp;WIDTH=450&amp;START_MA","XIMIZED=FALSE&amp;VAR:CALENDAR=US&amp;VAR:SYMBOL=G0129K10&amp;VAR:INDEX=0"}</definedName>
    <definedName name="_8837__FDSAUDITLINK__" localSheetId="6" hidden="1">{"fdsup://directions/FAT Viewer?action=UPDATE&amp;creator=factset&amp;DYN_ARGS=TRUE&amp;DOC_NAME=FAT:FQL_AUDITING_CLIENT_TEMPLATE.FAT&amp;display_string=Audit&amp;VAR:KEY=FIPMLWXQRO&amp;VAR:QUERY=RkZfRUJJVERBX0lCKCdMVE1TJywzODcwNCk=&amp;WINDOW=FIRST_POPUP&amp;HEIGHT=450&amp;WIDTH=450&amp;START_MA","XIMIZED=FALSE&amp;VAR:CALENDAR=US&amp;VAR:SYMBOL=G0129K10&amp;VAR:INDEX=0"}</definedName>
    <definedName name="_8837__FDSAUDITLINK__" hidden="1">{"fdsup://directions/FAT Viewer?action=UPDATE&amp;creator=factset&amp;DYN_ARGS=TRUE&amp;DOC_NAME=FAT:FQL_AUDITING_CLIENT_TEMPLATE.FAT&amp;display_string=Audit&amp;VAR:KEY=FIPMLWXQRO&amp;VAR:QUERY=RkZfRUJJVERBX0lCKCdMVE1TJywzODcwNCk=&amp;WINDOW=FIRST_POPUP&amp;HEIGHT=450&amp;WIDTH=450&amp;START_MA","XIMIZED=FALSE&amp;VAR:CALENDAR=US&amp;VAR:SYMBOL=G0129K10&amp;VAR:INDEX=0"}</definedName>
    <definedName name="_8838__FDSAUDITLINK__" localSheetId="6" hidden="1">{"fdsup://directions/FAT Viewer?action=UPDATE&amp;creator=factset&amp;DYN_ARGS=TRUE&amp;DOC_NAME=FAT:FQL_AUDITING_CLIENT_TEMPLATE.FAT&amp;display_string=Audit&amp;VAR:KEY=XYBUNGHYZC&amp;VAR:QUERY=RkZfRUJJVERBX0lCKCdMVE1TJywzODcwMyk=&amp;WINDOW=FIRST_POPUP&amp;HEIGHT=450&amp;WIDTH=450&amp;START_MA","XIMIZED=FALSE&amp;VAR:CALENDAR=US&amp;VAR:SYMBOL=G0129K10&amp;VAR:INDEX=0"}</definedName>
    <definedName name="_8838__FDSAUDITLINK__" hidden="1">{"fdsup://directions/FAT Viewer?action=UPDATE&amp;creator=factset&amp;DYN_ARGS=TRUE&amp;DOC_NAME=FAT:FQL_AUDITING_CLIENT_TEMPLATE.FAT&amp;display_string=Audit&amp;VAR:KEY=XYBUNGHYZC&amp;VAR:QUERY=RkZfRUJJVERBX0lCKCdMVE1TJywzODcwMyk=&amp;WINDOW=FIRST_POPUP&amp;HEIGHT=450&amp;WIDTH=450&amp;START_MA","XIMIZED=FALSE&amp;VAR:CALENDAR=US&amp;VAR:SYMBOL=G0129K10&amp;VAR:INDEX=0"}</definedName>
    <definedName name="_8839__FDSAUDITLINK__" localSheetId="6" hidden="1">{"fdsup://directions/FAT Viewer?action=UPDATE&amp;creator=factset&amp;DYN_ARGS=TRUE&amp;DOC_NAME=FAT:FQL_AUDITING_CLIENT_TEMPLATE.FAT&amp;display_string=Audit&amp;VAR:KEY=XKNKZQRUVK&amp;VAR:QUERY=RkZfRUJJVERBX0lCKCdMVE1TJywzODcwMik=&amp;WINDOW=FIRST_POPUP&amp;HEIGHT=450&amp;WIDTH=450&amp;START_MA","XIMIZED=FALSE&amp;VAR:CALENDAR=US&amp;VAR:SYMBOL=G0129K10&amp;VAR:INDEX=0"}</definedName>
    <definedName name="_8839__FDSAUDITLINK__" hidden="1">{"fdsup://directions/FAT Viewer?action=UPDATE&amp;creator=factset&amp;DYN_ARGS=TRUE&amp;DOC_NAME=FAT:FQL_AUDITING_CLIENT_TEMPLATE.FAT&amp;display_string=Audit&amp;VAR:KEY=XKNKZQRUVK&amp;VAR:QUERY=RkZfRUJJVERBX0lCKCdMVE1TJywzODcwMik=&amp;WINDOW=FIRST_POPUP&amp;HEIGHT=450&amp;WIDTH=450&amp;START_MA","XIMIZED=FALSE&amp;VAR:CALENDAR=US&amp;VAR:SYMBOL=G0129K10&amp;VAR:INDEX=0"}</definedName>
    <definedName name="_884__FDSAUDITLINK__" localSheetId="6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4__FDSAUDITLINK__" hidden="1">{"fdsup://directions/FAT%20Viewer?VAR:PED=LTM&amp;VAR:AUDIT_MODE=SUMMARY&amp;VAR:PERIOD=FIXED&amp;VAR:AUDIT_ID=00000117&amp;VAR:DATE=20070921&amp;action=UPDATE&amp;creator=factset&amp;DOC_NAME=FAT:FMA_audit_SUMMARY.fat&amp;DISPLAY_STRING=Display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40__FDSAUDITLINK__" localSheetId="6" hidden="1">{"fdsup://directions/FAT Viewer?action=UPDATE&amp;creator=factset&amp;DYN_ARGS=TRUE&amp;DOC_NAME=FAT:FQL_AUDITING_CLIENT_TEMPLATE.FAT&amp;display_string=Audit&amp;VAR:KEY=XKVUXYRMBQ&amp;VAR:QUERY=RkZfRUJJVERBX0lCKCdMVE1TJywzODcwMSk=&amp;WINDOW=FIRST_POPUP&amp;HEIGHT=450&amp;WIDTH=450&amp;START_MA","XIMIZED=FALSE&amp;VAR:CALENDAR=US&amp;VAR:SYMBOL=G0129K10&amp;VAR:INDEX=0"}</definedName>
    <definedName name="_8840__FDSAUDITLINK__" hidden="1">{"fdsup://directions/FAT Viewer?action=UPDATE&amp;creator=factset&amp;DYN_ARGS=TRUE&amp;DOC_NAME=FAT:FQL_AUDITING_CLIENT_TEMPLATE.FAT&amp;display_string=Audit&amp;VAR:KEY=XKVUXYRMBQ&amp;VAR:QUERY=RkZfRUJJVERBX0lCKCdMVE1TJywzODcwMSk=&amp;WINDOW=FIRST_POPUP&amp;HEIGHT=450&amp;WIDTH=450&amp;START_MA","XIMIZED=FALSE&amp;VAR:CALENDAR=US&amp;VAR:SYMBOL=G0129K10&amp;VAR:INDEX=0"}</definedName>
    <definedName name="_8841__FDSAUDITLINK__" localSheetId="6" hidden="1">{"fdsup://directions/FAT Viewer?action=UPDATE&amp;creator=factset&amp;DYN_ARGS=TRUE&amp;DOC_NAME=FAT:FQL_AUDITING_CLIENT_TEMPLATE.FAT&amp;display_string=Audit&amp;VAR:KEY=RGDALOLUZW&amp;VAR:QUERY=RkZfRUJJVERBX0lCKCdMVE1TJywzODcwMCk=&amp;WINDOW=FIRST_POPUP&amp;HEIGHT=450&amp;WIDTH=450&amp;START_MA","XIMIZED=FALSE&amp;VAR:CALENDAR=US&amp;VAR:SYMBOL=G0129K10&amp;VAR:INDEX=0"}</definedName>
    <definedName name="_8841__FDSAUDITLINK__" hidden="1">{"fdsup://directions/FAT Viewer?action=UPDATE&amp;creator=factset&amp;DYN_ARGS=TRUE&amp;DOC_NAME=FAT:FQL_AUDITING_CLIENT_TEMPLATE.FAT&amp;display_string=Audit&amp;VAR:KEY=RGDALOLUZW&amp;VAR:QUERY=RkZfRUJJVERBX0lCKCdMVE1TJywzODcwMCk=&amp;WINDOW=FIRST_POPUP&amp;HEIGHT=450&amp;WIDTH=450&amp;START_MA","XIMIZED=FALSE&amp;VAR:CALENDAR=US&amp;VAR:SYMBOL=G0129K10&amp;VAR:INDEX=0"}</definedName>
    <definedName name="_8842__FDSAUDITLINK__" localSheetId="6" hidden="1">{"fdsup://directions/FAT Viewer?action=UPDATE&amp;creator=factset&amp;DYN_ARGS=TRUE&amp;DOC_NAME=FAT:FQL_AUDITING_CLIENT_TEMPLATE.FAT&amp;display_string=Audit&amp;VAR:KEY=ZAVOZOJIPY&amp;VAR:QUERY=RkZfRUJJVERBX0lCKCdMVE1TJywzODY5OSk=&amp;WINDOW=FIRST_POPUP&amp;HEIGHT=450&amp;WIDTH=450&amp;START_MA","XIMIZED=FALSE&amp;VAR:CALENDAR=US&amp;VAR:SYMBOL=G0129K10&amp;VAR:INDEX=0"}</definedName>
    <definedName name="_8842__FDSAUDITLINK__" hidden="1">{"fdsup://directions/FAT Viewer?action=UPDATE&amp;creator=factset&amp;DYN_ARGS=TRUE&amp;DOC_NAME=FAT:FQL_AUDITING_CLIENT_TEMPLATE.FAT&amp;display_string=Audit&amp;VAR:KEY=ZAVOZOJIPY&amp;VAR:QUERY=RkZfRUJJVERBX0lCKCdMVE1TJywzODY5OSk=&amp;WINDOW=FIRST_POPUP&amp;HEIGHT=450&amp;WIDTH=450&amp;START_MA","XIMIZED=FALSE&amp;VAR:CALENDAR=US&amp;VAR:SYMBOL=G0129K10&amp;VAR:INDEX=0"}</definedName>
    <definedName name="_8843__FDSAUDITLINK__" localSheetId="6" hidden="1">{"fdsup://directions/FAT Viewer?action=UPDATE&amp;creator=factset&amp;DYN_ARGS=TRUE&amp;DOC_NAME=FAT:FQL_AUDITING_CLIENT_TEMPLATE.FAT&amp;display_string=Audit&amp;VAR:KEY=PMFYNORATA&amp;VAR:QUERY=RkZfRUJJVERBX0lCKCdMVE1TJywzODY5OCk=&amp;WINDOW=FIRST_POPUP&amp;HEIGHT=450&amp;WIDTH=450&amp;START_MA","XIMIZED=FALSE&amp;VAR:CALENDAR=US&amp;VAR:SYMBOL=G0129K10&amp;VAR:INDEX=0"}</definedName>
    <definedName name="_8843__FDSAUDITLINK__" hidden="1">{"fdsup://directions/FAT Viewer?action=UPDATE&amp;creator=factset&amp;DYN_ARGS=TRUE&amp;DOC_NAME=FAT:FQL_AUDITING_CLIENT_TEMPLATE.FAT&amp;display_string=Audit&amp;VAR:KEY=PMFYNORATA&amp;VAR:QUERY=RkZfRUJJVERBX0lCKCdMVE1TJywzODY5OCk=&amp;WINDOW=FIRST_POPUP&amp;HEIGHT=450&amp;WIDTH=450&amp;START_MA","XIMIZED=FALSE&amp;VAR:CALENDAR=US&amp;VAR:SYMBOL=G0129K10&amp;VAR:INDEX=0"}</definedName>
    <definedName name="_8844__FDSAUDITLINK__" localSheetId="6" hidden="1">{"fdsup://directions/FAT Viewer?action=UPDATE&amp;creator=factset&amp;DYN_ARGS=TRUE&amp;DOC_NAME=FAT:FQL_AUDITING_CLIENT_TEMPLATE.FAT&amp;display_string=Audit&amp;VAR:KEY=JWBANIVEDE&amp;VAR:QUERY=RkZfRUJJVERBX0lCKCdMVE1TJywzODY5Nyk=&amp;WINDOW=FIRST_POPUP&amp;HEIGHT=450&amp;WIDTH=450&amp;START_MA","XIMIZED=FALSE&amp;VAR:CALENDAR=US&amp;VAR:SYMBOL=G0129K10&amp;VAR:INDEX=0"}</definedName>
    <definedName name="_8844__FDSAUDITLINK__" hidden="1">{"fdsup://directions/FAT Viewer?action=UPDATE&amp;creator=factset&amp;DYN_ARGS=TRUE&amp;DOC_NAME=FAT:FQL_AUDITING_CLIENT_TEMPLATE.FAT&amp;display_string=Audit&amp;VAR:KEY=JWBANIVEDE&amp;VAR:QUERY=RkZfRUJJVERBX0lCKCdMVE1TJywzODY5Nyk=&amp;WINDOW=FIRST_POPUP&amp;HEIGHT=450&amp;WIDTH=450&amp;START_MA","XIMIZED=FALSE&amp;VAR:CALENDAR=US&amp;VAR:SYMBOL=G0129K10&amp;VAR:INDEX=0"}</definedName>
    <definedName name="_8845__FDSAUDITLINK__" localSheetId="6" hidden="1">{"fdsup://directions/FAT Viewer?action=UPDATE&amp;creator=factset&amp;DYN_ARGS=TRUE&amp;DOC_NAME=FAT:FQL_AUDITING_CLIENT_TEMPLATE.FAT&amp;display_string=Audit&amp;VAR:KEY=DYLWHQZGPK&amp;VAR:QUERY=RkZfRUJJVERBX0lCKCdMVE1TJywzODY5Nik=&amp;WINDOW=FIRST_POPUP&amp;HEIGHT=450&amp;WIDTH=450&amp;START_MA","XIMIZED=FALSE&amp;VAR:CALENDAR=US&amp;VAR:SYMBOL=G0129K10&amp;VAR:INDEX=0"}</definedName>
    <definedName name="_8845__FDSAUDITLINK__" hidden="1">{"fdsup://directions/FAT Viewer?action=UPDATE&amp;creator=factset&amp;DYN_ARGS=TRUE&amp;DOC_NAME=FAT:FQL_AUDITING_CLIENT_TEMPLATE.FAT&amp;display_string=Audit&amp;VAR:KEY=DYLWHQZGPK&amp;VAR:QUERY=RkZfRUJJVERBX0lCKCdMVE1TJywzODY5Nik=&amp;WINDOW=FIRST_POPUP&amp;HEIGHT=450&amp;WIDTH=450&amp;START_MA","XIMIZED=FALSE&amp;VAR:CALENDAR=US&amp;VAR:SYMBOL=G0129K10&amp;VAR:INDEX=0"}</definedName>
    <definedName name="_8846__FDSAUDITLINK__" localSheetId="6" hidden="1">{"fdsup://directions/FAT Viewer?action=UPDATE&amp;creator=factset&amp;DYN_ARGS=TRUE&amp;DOC_NAME=FAT:FQL_AUDITING_CLIENT_TEMPLATE.FAT&amp;display_string=Audit&amp;VAR:KEY=BIVWDKLCNG&amp;VAR:QUERY=RkZfRUJJVERBX0lCKCdMVE1TJywzODY5NSk=&amp;WINDOW=FIRST_POPUP&amp;HEIGHT=450&amp;WIDTH=450&amp;START_MA","XIMIZED=FALSE&amp;VAR:CALENDAR=US&amp;VAR:SYMBOL=G0129K10&amp;VAR:INDEX=0"}</definedName>
    <definedName name="_8846__FDSAUDITLINK__" hidden="1">{"fdsup://directions/FAT Viewer?action=UPDATE&amp;creator=factset&amp;DYN_ARGS=TRUE&amp;DOC_NAME=FAT:FQL_AUDITING_CLIENT_TEMPLATE.FAT&amp;display_string=Audit&amp;VAR:KEY=BIVWDKLCNG&amp;VAR:QUERY=RkZfRUJJVERBX0lCKCdMVE1TJywzODY5NSk=&amp;WINDOW=FIRST_POPUP&amp;HEIGHT=450&amp;WIDTH=450&amp;START_MA","XIMIZED=FALSE&amp;VAR:CALENDAR=US&amp;VAR:SYMBOL=G0129K10&amp;VAR:INDEX=0"}</definedName>
    <definedName name="_8847__FDSAUDITLINK__" localSheetId="6" hidden="1">{"fdsup://directions/FAT Viewer?action=UPDATE&amp;creator=factset&amp;DYN_ARGS=TRUE&amp;DOC_NAME=FAT:FQL_AUDITING_CLIENT_TEMPLATE.FAT&amp;display_string=Audit&amp;VAR:KEY=HIJITUNQPK&amp;VAR:QUERY=RkZfRUJJVERBX0lCKCdMVE1TJywzODY5NCk=&amp;WINDOW=FIRST_POPUP&amp;HEIGHT=450&amp;WIDTH=450&amp;START_MA","XIMIZED=FALSE&amp;VAR:CALENDAR=US&amp;VAR:SYMBOL=G0129K10&amp;VAR:INDEX=0"}</definedName>
    <definedName name="_8847__FDSAUDITLINK__" hidden="1">{"fdsup://directions/FAT Viewer?action=UPDATE&amp;creator=factset&amp;DYN_ARGS=TRUE&amp;DOC_NAME=FAT:FQL_AUDITING_CLIENT_TEMPLATE.FAT&amp;display_string=Audit&amp;VAR:KEY=HIJITUNQPK&amp;VAR:QUERY=RkZfRUJJVERBX0lCKCdMVE1TJywzODY5NCk=&amp;WINDOW=FIRST_POPUP&amp;HEIGHT=450&amp;WIDTH=450&amp;START_MA","XIMIZED=FALSE&amp;VAR:CALENDAR=US&amp;VAR:SYMBOL=G0129K10&amp;VAR:INDEX=0"}</definedName>
    <definedName name="_8848__FDSAUDITLINK__" localSheetId="6" hidden="1">{"fdsup://directions/FAT Viewer?action=UPDATE&amp;creator=factset&amp;DYN_ARGS=TRUE&amp;DOC_NAME=FAT:FQL_AUDITING_CLIENT_TEMPLATE.FAT&amp;display_string=Audit&amp;VAR:KEY=RSPOJSJMTS&amp;VAR:QUERY=RkZfRUJJVERBX0lCKCdMVE1TJywzODY5Myk=&amp;WINDOW=FIRST_POPUP&amp;HEIGHT=450&amp;WIDTH=450&amp;START_MA","XIMIZED=FALSE&amp;VAR:CALENDAR=US&amp;VAR:SYMBOL=G0129K10&amp;VAR:INDEX=0"}</definedName>
    <definedName name="_8848__FDSAUDITLINK__" hidden="1">{"fdsup://directions/FAT Viewer?action=UPDATE&amp;creator=factset&amp;DYN_ARGS=TRUE&amp;DOC_NAME=FAT:FQL_AUDITING_CLIENT_TEMPLATE.FAT&amp;display_string=Audit&amp;VAR:KEY=RSPOJSJMTS&amp;VAR:QUERY=RkZfRUJJVERBX0lCKCdMVE1TJywzODY5Myk=&amp;WINDOW=FIRST_POPUP&amp;HEIGHT=450&amp;WIDTH=450&amp;START_MA","XIMIZED=FALSE&amp;VAR:CALENDAR=US&amp;VAR:SYMBOL=G0129K10&amp;VAR:INDEX=0"}</definedName>
    <definedName name="_8849__FDSAUDITLINK__" localSheetId="6" hidden="1">{"fdsup://directions/FAT Viewer?action=UPDATE&amp;creator=factset&amp;DYN_ARGS=TRUE&amp;DOC_NAME=FAT:FQL_AUDITING_CLIENT_TEMPLATE.FAT&amp;display_string=Audit&amp;VAR:KEY=VINKHWHATC&amp;VAR:QUERY=RkZfRUJJVERBX0lCKCdMVE1TJywzODY5Mik=&amp;WINDOW=FIRST_POPUP&amp;HEIGHT=450&amp;WIDTH=450&amp;START_MA","XIMIZED=FALSE&amp;VAR:CALENDAR=US&amp;VAR:SYMBOL=G0129K10&amp;VAR:INDEX=0"}</definedName>
    <definedName name="_8849__FDSAUDITLINK__" hidden="1">{"fdsup://directions/FAT Viewer?action=UPDATE&amp;creator=factset&amp;DYN_ARGS=TRUE&amp;DOC_NAME=FAT:FQL_AUDITING_CLIENT_TEMPLATE.FAT&amp;display_string=Audit&amp;VAR:KEY=VINKHWHATC&amp;VAR:QUERY=RkZfRUJJVERBX0lCKCdMVE1TJywzODY5Mik=&amp;WINDOW=FIRST_POPUP&amp;HEIGHT=450&amp;WIDTH=450&amp;START_MA","XIMIZED=FALSE&amp;VAR:CALENDAR=US&amp;VAR:SYMBOL=G0129K10&amp;VAR:INDEX=0"}</definedName>
    <definedName name="_885__FDSAUDITLINK__" localSheetId="6" hidden="1">{"fdsup://directions/FAT%20Viewer?VAR:PED=LTM&amp;VAR:AUDIT_MODE=SUMMARY&amp;VAR:PERIOD=FIXED&amp;VAR:AUDIT_ID=00000117&amp;VAR:DATE=20070920&amp;action=UPDATE&amp;creator=factset&amp;DOC_NAME=FAT:FMA_audit_SUMMARY.fat&amp;DISPLAY_STRING=Display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5__FDSAUDITLINK__" hidden="1">{"fdsup://directions/FAT%20Viewer?VAR:PED=LTM&amp;VAR:AUDIT_MODE=SUMMARY&amp;VAR:PERIOD=FIXED&amp;VAR:AUDIT_ID=00000117&amp;VAR:DATE=20070920&amp;action=UPDATE&amp;creator=factset&amp;DOC_NAME=FAT:FMA_audit_SUMMARY.fat&amp;DISPLAY_STRING=Display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50__FDSAUDITLINK__" localSheetId="6" hidden="1">{"fdsup://directions/FAT Viewer?action=UPDATE&amp;creator=factset&amp;DYN_ARGS=TRUE&amp;DOC_NAME=FAT:FQL_AUDITING_CLIENT_TEMPLATE.FAT&amp;display_string=Audit&amp;VAR:KEY=VCLQJWBIJE&amp;VAR:QUERY=RkZfRUJJVERBX0lCKCdMVE1TJywzODY5MSk=&amp;WINDOW=FIRST_POPUP&amp;HEIGHT=450&amp;WIDTH=450&amp;START_MA","XIMIZED=FALSE&amp;VAR:CALENDAR=US&amp;VAR:SYMBOL=G0129K10&amp;VAR:INDEX=0"}</definedName>
    <definedName name="_8850__FDSAUDITLINK__" hidden="1">{"fdsup://directions/FAT Viewer?action=UPDATE&amp;creator=factset&amp;DYN_ARGS=TRUE&amp;DOC_NAME=FAT:FQL_AUDITING_CLIENT_TEMPLATE.FAT&amp;display_string=Audit&amp;VAR:KEY=VCLQJWBIJE&amp;VAR:QUERY=RkZfRUJJVERBX0lCKCdMVE1TJywzODY5MSk=&amp;WINDOW=FIRST_POPUP&amp;HEIGHT=450&amp;WIDTH=450&amp;START_MA","XIMIZED=FALSE&amp;VAR:CALENDAR=US&amp;VAR:SYMBOL=G0129K10&amp;VAR:INDEX=0"}</definedName>
    <definedName name="_8851__FDSAUDITLINK__" localSheetId="6" hidden="1">{"fdsup://directions/FAT Viewer?action=UPDATE&amp;creator=factset&amp;DYN_ARGS=TRUE&amp;DOC_NAME=FAT:FQL_AUDITING_CLIENT_TEMPLATE.FAT&amp;display_string=Audit&amp;VAR:KEY=VYNCTONUBO&amp;VAR:QUERY=RkZfRUJJVERBX0lCKCdMVE1TJywzODY5MCk=&amp;WINDOW=FIRST_POPUP&amp;HEIGHT=450&amp;WIDTH=450&amp;START_MA","XIMIZED=FALSE&amp;VAR:CALENDAR=US&amp;VAR:SYMBOL=G0129K10&amp;VAR:INDEX=0"}</definedName>
    <definedName name="_8851__FDSAUDITLINK__" hidden="1">{"fdsup://directions/FAT Viewer?action=UPDATE&amp;creator=factset&amp;DYN_ARGS=TRUE&amp;DOC_NAME=FAT:FQL_AUDITING_CLIENT_TEMPLATE.FAT&amp;display_string=Audit&amp;VAR:KEY=VYNCTONUBO&amp;VAR:QUERY=RkZfRUJJVERBX0lCKCdMVE1TJywzODY5MCk=&amp;WINDOW=FIRST_POPUP&amp;HEIGHT=450&amp;WIDTH=450&amp;START_MA","XIMIZED=FALSE&amp;VAR:CALENDAR=US&amp;VAR:SYMBOL=G0129K10&amp;VAR:INDEX=0"}</definedName>
    <definedName name="_8852__FDSAUDITLINK__" localSheetId="6" hidden="1">{"fdsup://directions/FAT Viewer?action=UPDATE&amp;creator=factset&amp;DYN_ARGS=TRUE&amp;DOC_NAME=FAT:FQL_AUDITING_CLIENT_TEMPLATE.FAT&amp;display_string=Audit&amp;VAR:KEY=PKZSROXWBO&amp;VAR:QUERY=RkZfRUJJVERBX0lCKCdMVE1TJywzODY4OSk=&amp;WINDOW=FIRST_POPUP&amp;HEIGHT=450&amp;WIDTH=450&amp;START_MA","XIMIZED=FALSE&amp;VAR:CALENDAR=US&amp;VAR:SYMBOL=G0129K10&amp;VAR:INDEX=0"}</definedName>
    <definedName name="_8852__FDSAUDITLINK__" hidden="1">{"fdsup://directions/FAT Viewer?action=UPDATE&amp;creator=factset&amp;DYN_ARGS=TRUE&amp;DOC_NAME=FAT:FQL_AUDITING_CLIENT_TEMPLATE.FAT&amp;display_string=Audit&amp;VAR:KEY=PKZSROXWBO&amp;VAR:QUERY=RkZfRUJJVERBX0lCKCdMVE1TJywzODY4OSk=&amp;WINDOW=FIRST_POPUP&amp;HEIGHT=450&amp;WIDTH=450&amp;START_MA","XIMIZED=FALSE&amp;VAR:CALENDAR=US&amp;VAR:SYMBOL=G0129K10&amp;VAR:INDEX=0"}</definedName>
    <definedName name="_8853__FDSAUDITLINK__" localSheetId="6" hidden="1">{"fdsup://directions/FAT Viewer?action=UPDATE&amp;creator=factset&amp;DYN_ARGS=TRUE&amp;DOC_NAME=FAT:FQL_AUDITING_CLIENT_TEMPLATE.FAT&amp;display_string=Audit&amp;VAR:KEY=JOTSXWXMRW&amp;VAR:QUERY=RkZfRUJJVERBX0lCKCdMVE1TJywzODY4OCk=&amp;WINDOW=FIRST_POPUP&amp;HEIGHT=450&amp;WIDTH=450&amp;START_MA","XIMIZED=FALSE&amp;VAR:CALENDAR=US&amp;VAR:SYMBOL=G0129K10&amp;VAR:INDEX=0"}</definedName>
    <definedName name="_8853__FDSAUDITLINK__" hidden="1">{"fdsup://directions/FAT Viewer?action=UPDATE&amp;creator=factset&amp;DYN_ARGS=TRUE&amp;DOC_NAME=FAT:FQL_AUDITING_CLIENT_TEMPLATE.FAT&amp;display_string=Audit&amp;VAR:KEY=JOTSXWXMRW&amp;VAR:QUERY=RkZfRUJJVERBX0lCKCdMVE1TJywzODY4OCk=&amp;WINDOW=FIRST_POPUP&amp;HEIGHT=450&amp;WIDTH=450&amp;START_MA","XIMIZED=FALSE&amp;VAR:CALENDAR=US&amp;VAR:SYMBOL=G0129K10&amp;VAR:INDEX=0"}</definedName>
    <definedName name="_8854__FDSAUDITLINK__" localSheetId="6" hidden="1">{"fdsup://directions/FAT Viewer?action=UPDATE&amp;creator=factset&amp;DYN_ARGS=TRUE&amp;DOC_NAME=FAT:FQL_AUDITING_CLIENT_TEMPLATE.FAT&amp;display_string=Audit&amp;VAR:KEY=ZUNMXEZIPO&amp;VAR:QUERY=RkZfRUJJVERBX0lCKCdMVE1TJywzODY4Nyk=&amp;WINDOW=FIRST_POPUP&amp;HEIGHT=450&amp;WIDTH=450&amp;START_MA","XIMIZED=FALSE&amp;VAR:CALENDAR=US&amp;VAR:SYMBOL=G0129K10&amp;VAR:INDEX=0"}</definedName>
    <definedName name="_8854__FDSAUDITLINK__" hidden="1">{"fdsup://directions/FAT Viewer?action=UPDATE&amp;creator=factset&amp;DYN_ARGS=TRUE&amp;DOC_NAME=FAT:FQL_AUDITING_CLIENT_TEMPLATE.FAT&amp;display_string=Audit&amp;VAR:KEY=ZUNMXEZIPO&amp;VAR:QUERY=RkZfRUJJVERBX0lCKCdMVE1TJywzODY4Nyk=&amp;WINDOW=FIRST_POPUP&amp;HEIGHT=450&amp;WIDTH=450&amp;START_MA","XIMIZED=FALSE&amp;VAR:CALENDAR=US&amp;VAR:SYMBOL=G0129K10&amp;VAR:INDEX=0"}</definedName>
    <definedName name="_8855__FDSAUDITLINK__" localSheetId="6" hidden="1">{"fdsup://directions/FAT Viewer?action=UPDATE&amp;creator=factset&amp;DYN_ARGS=TRUE&amp;DOC_NAME=FAT:FQL_AUDITING_CLIENT_TEMPLATE.FAT&amp;display_string=Audit&amp;VAR:KEY=HYTSZMVYVA&amp;VAR:QUERY=RkZfRUJJVERBX0lCKCdMVE1TJywzODY4Nik=&amp;WINDOW=FIRST_POPUP&amp;HEIGHT=450&amp;WIDTH=450&amp;START_MA","XIMIZED=FALSE&amp;VAR:CALENDAR=US&amp;VAR:SYMBOL=G0129K10&amp;VAR:INDEX=0"}</definedName>
    <definedName name="_8855__FDSAUDITLINK__" hidden="1">{"fdsup://directions/FAT Viewer?action=UPDATE&amp;creator=factset&amp;DYN_ARGS=TRUE&amp;DOC_NAME=FAT:FQL_AUDITING_CLIENT_TEMPLATE.FAT&amp;display_string=Audit&amp;VAR:KEY=HYTSZMVYVA&amp;VAR:QUERY=RkZfRUJJVERBX0lCKCdMVE1TJywzODY4Nik=&amp;WINDOW=FIRST_POPUP&amp;HEIGHT=450&amp;WIDTH=450&amp;START_MA","XIMIZED=FALSE&amp;VAR:CALENDAR=US&amp;VAR:SYMBOL=G0129K10&amp;VAR:INDEX=0"}</definedName>
    <definedName name="_8856__FDSAUDITLINK__" localSheetId="6" hidden="1">{"fdsup://directions/FAT Viewer?action=UPDATE&amp;creator=factset&amp;DYN_ARGS=TRUE&amp;DOC_NAME=FAT:FQL_AUDITING_CLIENT_TEMPLATE.FAT&amp;display_string=Audit&amp;VAR:KEY=DAXKPSLMHO&amp;VAR:QUERY=RkZfRUJJVERBX0lCKCdMVE1TJywzODY4NSk=&amp;WINDOW=FIRST_POPUP&amp;HEIGHT=450&amp;WIDTH=450&amp;START_MA","XIMIZED=FALSE&amp;VAR:CALENDAR=US&amp;VAR:SYMBOL=G0129K10&amp;VAR:INDEX=0"}</definedName>
    <definedName name="_8856__FDSAUDITLINK__" hidden="1">{"fdsup://directions/FAT Viewer?action=UPDATE&amp;creator=factset&amp;DYN_ARGS=TRUE&amp;DOC_NAME=FAT:FQL_AUDITING_CLIENT_TEMPLATE.FAT&amp;display_string=Audit&amp;VAR:KEY=DAXKPSLMHO&amp;VAR:QUERY=RkZfRUJJVERBX0lCKCdMVE1TJywzODY4NSk=&amp;WINDOW=FIRST_POPUP&amp;HEIGHT=450&amp;WIDTH=450&amp;START_MA","XIMIZED=FALSE&amp;VAR:CALENDAR=US&amp;VAR:SYMBOL=G0129K10&amp;VAR:INDEX=0"}</definedName>
    <definedName name="_8857__FDSAUDITLINK__" localSheetId="6" hidden="1">{"fdsup://directions/FAT Viewer?action=UPDATE&amp;creator=factset&amp;DYN_ARGS=TRUE&amp;DOC_NAME=FAT:FQL_AUDITING_CLIENT_TEMPLATE.FAT&amp;display_string=Audit&amp;VAR:KEY=JUHMZKPARW&amp;VAR:QUERY=RkZfRUJJVERBX0lCKCdMVE1TJywzODY4NCk=&amp;WINDOW=FIRST_POPUP&amp;HEIGHT=450&amp;WIDTH=450&amp;START_MA","XIMIZED=FALSE&amp;VAR:CALENDAR=US&amp;VAR:SYMBOL=G0129K10&amp;VAR:INDEX=0"}</definedName>
    <definedName name="_8857__FDSAUDITLINK__" hidden="1">{"fdsup://directions/FAT Viewer?action=UPDATE&amp;creator=factset&amp;DYN_ARGS=TRUE&amp;DOC_NAME=FAT:FQL_AUDITING_CLIENT_TEMPLATE.FAT&amp;display_string=Audit&amp;VAR:KEY=JUHMZKPARW&amp;VAR:QUERY=RkZfRUJJVERBX0lCKCdMVE1TJywzODY4NCk=&amp;WINDOW=FIRST_POPUP&amp;HEIGHT=450&amp;WIDTH=450&amp;START_MA","XIMIZED=FALSE&amp;VAR:CALENDAR=US&amp;VAR:SYMBOL=G0129K10&amp;VAR:INDEX=0"}</definedName>
    <definedName name="_8858__FDSAUDITLINK__" localSheetId="6" hidden="1">{"fdsup://directions/FAT Viewer?action=UPDATE&amp;creator=factset&amp;DYN_ARGS=TRUE&amp;DOC_NAME=FAT:FQL_AUDITING_CLIENT_TEMPLATE.FAT&amp;display_string=Audit&amp;VAR:KEY=ZAPYHMXKBA&amp;VAR:QUERY=RkZfRUJJVERBX0lCKCdMVE1TJywzODY4Myk=&amp;WINDOW=FIRST_POPUP&amp;HEIGHT=450&amp;WIDTH=450&amp;START_MA","XIMIZED=FALSE&amp;VAR:CALENDAR=US&amp;VAR:SYMBOL=G0129K10&amp;VAR:INDEX=0"}</definedName>
    <definedName name="_8858__FDSAUDITLINK__" hidden="1">{"fdsup://directions/FAT Viewer?action=UPDATE&amp;creator=factset&amp;DYN_ARGS=TRUE&amp;DOC_NAME=FAT:FQL_AUDITING_CLIENT_TEMPLATE.FAT&amp;display_string=Audit&amp;VAR:KEY=ZAPYHMXKBA&amp;VAR:QUERY=RkZfRUJJVERBX0lCKCdMVE1TJywzODY4Myk=&amp;WINDOW=FIRST_POPUP&amp;HEIGHT=450&amp;WIDTH=450&amp;START_MA","XIMIZED=FALSE&amp;VAR:CALENDAR=US&amp;VAR:SYMBOL=G0129K10&amp;VAR:INDEX=0"}</definedName>
    <definedName name="_8859__FDSAUDITLINK__" localSheetId="6" hidden="1">{"fdsup://directions/FAT Viewer?action=UPDATE&amp;creator=factset&amp;DYN_ARGS=TRUE&amp;DOC_NAME=FAT:FQL_AUDITING_CLIENT_TEMPLATE.FAT&amp;display_string=Audit&amp;VAR:KEY=NILQZCNAFW&amp;VAR:QUERY=RkZfRUJJVERBX0lCKCdMVE1TJywzODY4Mik=&amp;WINDOW=FIRST_POPUP&amp;HEIGHT=450&amp;WIDTH=450&amp;START_MA","XIMIZED=FALSE&amp;VAR:CALENDAR=US&amp;VAR:SYMBOL=G0129K10&amp;VAR:INDEX=0"}</definedName>
    <definedName name="_8859__FDSAUDITLINK__" hidden="1">{"fdsup://directions/FAT Viewer?action=UPDATE&amp;creator=factset&amp;DYN_ARGS=TRUE&amp;DOC_NAME=FAT:FQL_AUDITING_CLIENT_TEMPLATE.FAT&amp;display_string=Audit&amp;VAR:KEY=NILQZCNAFW&amp;VAR:QUERY=RkZfRUJJVERBX0lCKCdMVE1TJywzODY4Mik=&amp;WINDOW=FIRST_POPUP&amp;HEIGHT=450&amp;WIDTH=450&amp;START_MA","XIMIZED=FALSE&amp;VAR:CALENDAR=US&amp;VAR:SYMBOL=G0129K10&amp;VAR:INDEX=0"}</definedName>
    <definedName name="_886__FDSAUDITLINK__" localSheetId="6" hidden="1">{"fdsup://directions/FAT%20Viewer?VAR:PED=LTM&amp;VAR:AUDIT_MODE=SUMMARY&amp;VAR:PERIOD=FIXED&amp;VAR:AUDIT_ID=00000117&amp;VAR:DATE=20070919&amp;action=UPDATE&amp;creator=factset&amp;DOC_NAME=FAT:FMA_audit_SUMMARY.fat&amp;DISPLAY_STRING=Display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6__FDSAUDITLINK__" hidden="1">{"fdsup://directions/FAT%20Viewer?VAR:PED=LTM&amp;VAR:AUDIT_MODE=SUMMARY&amp;VAR:PERIOD=FIXED&amp;VAR:AUDIT_ID=00000117&amp;VAR:DATE=20070919&amp;action=UPDATE&amp;creator=factset&amp;DOC_NAME=FAT:FMA_audit_SUMMARY.fat&amp;DISPLAY_STRING=Display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60__FDSAUDITLINK__" localSheetId="6" hidden="1">{"fdsup://directions/FAT Viewer?action=UPDATE&amp;creator=factset&amp;DYN_ARGS=TRUE&amp;DOC_NAME=FAT:FQL_AUDITING_CLIENT_TEMPLATE.FAT&amp;display_string=Audit&amp;VAR:KEY=XUHCJSDEJK&amp;VAR:QUERY=RkZfRUJJVERBX0lCKCdMVE1TJywzODY4MSk=&amp;WINDOW=FIRST_POPUP&amp;HEIGHT=450&amp;WIDTH=450&amp;START_MA","XIMIZED=FALSE&amp;VAR:CALENDAR=US&amp;VAR:SYMBOL=G0129K10&amp;VAR:INDEX=0"}</definedName>
    <definedName name="_8860__FDSAUDITLINK__" hidden="1">{"fdsup://directions/FAT Viewer?action=UPDATE&amp;creator=factset&amp;DYN_ARGS=TRUE&amp;DOC_NAME=FAT:FQL_AUDITING_CLIENT_TEMPLATE.FAT&amp;display_string=Audit&amp;VAR:KEY=XUHCJSDEJK&amp;VAR:QUERY=RkZfRUJJVERBX0lCKCdMVE1TJywzODY4MSk=&amp;WINDOW=FIRST_POPUP&amp;HEIGHT=450&amp;WIDTH=450&amp;START_MA","XIMIZED=FALSE&amp;VAR:CALENDAR=US&amp;VAR:SYMBOL=G0129K10&amp;VAR:INDEX=0"}</definedName>
    <definedName name="_8861__FDSAUDITLINK__" localSheetId="6" hidden="1">{"fdsup://directions/FAT Viewer?action=UPDATE&amp;creator=factset&amp;DYN_ARGS=TRUE&amp;DOC_NAME=FAT:FQL_AUDITING_CLIENT_TEMPLATE.FAT&amp;display_string=Audit&amp;VAR:KEY=BOBCFARIPW&amp;VAR:QUERY=RkZfRUJJVERBX0lCKCdMVE1TJywzODY4MCk=&amp;WINDOW=FIRST_POPUP&amp;HEIGHT=450&amp;WIDTH=450&amp;START_MA","XIMIZED=FALSE&amp;VAR:CALENDAR=US&amp;VAR:SYMBOL=G0129K10&amp;VAR:INDEX=0"}</definedName>
    <definedName name="_8861__FDSAUDITLINK__" hidden="1">{"fdsup://directions/FAT Viewer?action=UPDATE&amp;creator=factset&amp;DYN_ARGS=TRUE&amp;DOC_NAME=FAT:FQL_AUDITING_CLIENT_TEMPLATE.FAT&amp;display_string=Audit&amp;VAR:KEY=BOBCFARIPW&amp;VAR:QUERY=RkZfRUJJVERBX0lCKCdMVE1TJywzODY4MCk=&amp;WINDOW=FIRST_POPUP&amp;HEIGHT=450&amp;WIDTH=450&amp;START_MA","XIMIZED=FALSE&amp;VAR:CALENDAR=US&amp;VAR:SYMBOL=G0129K10&amp;VAR:INDEX=0"}</definedName>
    <definedName name="_8862__FDSAUDITLINK__" localSheetId="6" hidden="1">{"fdsup://directions/FAT Viewer?action=UPDATE&amp;creator=factset&amp;DYN_ARGS=TRUE&amp;DOC_NAME=FAT:FQL_AUDITING_CLIENT_TEMPLATE.FAT&amp;display_string=Audit&amp;VAR:KEY=HWJYJERYFW&amp;VAR:QUERY=RkZfRUJJVERBX0lCKCdMVE1TJywzODY3OSk=&amp;WINDOW=FIRST_POPUP&amp;HEIGHT=450&amp;WIDTH=450&amp;START_MA","XIMIZED=FALSE&amp;VAR:CALENDAR=US&amp;VAR:SYMBOL=G0129K10&amp;VAR:INDEX=0"}</definedName>
    <definedName name="_8862__FDSAUDITLINK__" hidden="1">{"fdsup://directions/FAT Viewer?action=UPDATE&amp;creator=factset&amp;DYN_ARGS=TRUE&amp;DOC_NAME=FAT:FQL_AUDITING_CLIENT_TEMPLATE.FAT&amp;display_string=Audit&amp;VAR:KEY=HWJYJERYFW&amp;VAR:QUERY=RkZfRUJJVERBX0lCKCdMVE1TJywzODY3OSk=&amp;WINDOW=FIRST_POPUP&amp;HEIGHT=450&amp;WIDTH=450&amp;START_MA","XIMIZED=FALSE&amp;VAR:CALENDAR=US&amp;VAR:SYMBOL=G0129K10&amp;VAR:INDEX=0"}</definedName>
    <definedName name="_8863__FDSAUDITLINK__" localSheetId="6" hidden="1">{"fdsup://directions/FAT Viewer?action=UPDATE&amp;creator=factset&amp;DYN_ARGS=TRUE&amp;DOC_NAME=FAT:FQL_AUDITING_CLIENT_TEMPLATE.FAT&amp;display_string=Audit&amp;VAR:KEY=ZWDCDYDKDY&amp;VAR:QUERY=RkZfRUJJVERBX0lCKCdMVE1TJywzODY3OCk=&amp;WINDOW=FIRST_POPUP&amp;HEIGHT=450&amp;WIDTH=450&amp;START_MA","XIMIZED=FALSE&amp;VAR:CALENDAR=US&amp;VAR:SYMBOL=G0129K10&amp;VAR:INDEX=0"}</definedName>
    <definedName name="_8863__FDSAUDITLINK__" hidden="1">{"fdsup://directions/FAT Viewer?action=UPDATE&amp;creator=factset&amp;DYN_ARGS=TRUE&amp;DOC_NAME=FAT:FQL_AUDITING_CLIENT_TEMPLATE.FAT&amp;display_string=Audit&amp;VAR:KEY=ZWDCDYDKDY&amp;VAR:QUERY=RkZfRUJJVERBX0lCKCdMVE1TJywzODY3OCk=&amp;WINDOW=FIRST_POPUP&amp;HEIGHT=450&amp;WIDTH=450&amp;START_MA","XIMIZED=FALSE&amp;VAR:CALENDAR=US&amp;VAR:SYMBOL=G0129K10&amp;VAR:INDEX=0"}</definedName>
    <definedName name="_8864__FDSAUDITLINK__" localSheetId="6" hidden="1">{"fdsup://directions/FAT Viewer?action=UPDATE&amp;creator=factset&amp;DYN_ARGS=TRUE&amp;DOC_NAME=FAT:FQL_AUDITING_CLIENT_TEMPLATE.FAT&amp;display_string=Audit&amp;VAR:KEY=LKFUXITALE&amp;VAR:QUERY=RkZfRUJJVERBX0lCKCdMVE1TJywzODY3Nyk=&amp;WINDOW=FIRST_POPUP&amp;HEIGHT=450&amp;WIDTH=450&amp;START_MA","XIMIZED=FALSE&amp;VAR:CALENDAR=US&amp;VAR:SYMBOL=G0129K10&amp;VAR:INDEX=0"}</definedName>
    <definedName name="_8864__FDSAUDITLINK__" hidden="1">{"fdsup://directions/FAT Viewer?action=UPDATE&amp;creator=factset&amp;DYN_ARGS=TRUE&amp;DOC_NAME=FAT:FQL_AUDITING_CLIENT_TEMPLATE.FAT&amp;display_string=Audit&amp;VAR:KEY=LKFUXITALE&amp;VAR:QUERY=RkZfRUJJVERBX0lCKCdMVE1TJywzODY3Nyk=&amp;WINDOW=FIRST_POPUP&amp;HEIGHT=450&amp;WIDTH=450&amp;START_MA","XIMIZED=FALSE&amp;VAR:CALENDAR=US&amp;VAR:SYMBOL=G0129K10&amp;VAR:INDEX=0"}</definedName>
    <definedName name="_8865__FDSAUDITLINK__" localSheetId="6" hidden="1">{"fdsup://directions/FAT Viewer?action=UPDATE&amp;creator=factset&amp;DYN_ARGS=TRUE&amp;DOC_NAME=FAT:FQL_AUDITING_CLIENT_TEMPLATE.FAT&amp;display_string=Audit&amp;VAR:KEY=LYHQTARWNM&amp;VAR:QUERY=RkZfRUJJVERBX0lCKCdMVE1TJywzODY3Nik=&amp;WINDOW=FIRST_POPUP&amp;HEIGHT=450&amp;WIDTH=450&amp;START_MA","XIMIZED=FALSE&amp;VAR:CALENDAR=US&amp;VAR:SYMBOL=G0129K10&amp;VAR:INDEX=0"}</definedName>
    <definedName name="_8865__FDSAUDITLINK__" hidden="1">{"fdsup://directions/FAT Viewer?action=UPDATE&amp;creator=factset&amp;DYN_ARGS=TRUE&amp;DOC_NAME=FAT:FQL_AUDITING_CLIENT_TEMPLATE.FAT&amp;display_string=Audit&amp;VAR:KEY=LYHQTARWNM&amp;VAR:QUERY=RkZfRUJJVERBX0lCKCdMVE1TJywzODY3Nik=&amp;WINDOW=FIRST_POPUP&amp;HEIGHT=450&amp;WIDTH=450&amp;START_MA","XIMIZED=FALSE&amp;VAR:CALENDAR=US&amp;VAR:SYMBOL=G0129K10&amp;VAR:INDEX=0"}</definedName>
    <definedName name="_8866__FDSAUDITLINK__" localSheetId="6" hidden="1">{"fdsup://directions/FAT Viewer?action=UPDATE&amp;creator=factset&amp;DYN_ARGS=TRUE&amp;DOC_NAME=FAT:FQL_AUDITING_CLIENT_TEMPLATE.FAT&amp;display_string=Audit&amp;VAR:KEY=DQJELCPQRU&amp;VAR:QUERY=RkZfRUJJVERBX0lCKCdMVE1TJywzODY3NSk=&amp;WINDOW=FIRST_POPUP&amp;HEIGHT=450&amp;WIDTH=450&amp;START_MA","XIMIZED=FALSE&amp;VAR:CALENDAR=US&amp;VAR:SYMBOL=G0129K10&amp;VAR:INDEX=0"}</definedName>
    <definedName name="_8866__FDSAUDITLINK__" hidden="1">{"fdsup://directions/FAT Viewer?action=UPDATE&amp;creator=factset&amp;DYN_ARGS=TRUE&amp;DOC_NAME=FAT:FQL_AUDITING_CLIENT_TEMPLATE.FAT&amp;display_string=Audit&amp;VAR:KEY=DQJELCPQRU&amp;VAR:QUERY=RkZfRUJJVERBX0lCKCdMVE1TJywzODY3NSk=&amp;WINDOW=FIRST_POPUP&amp;HEIGHT=450&amp;WIDTH=450&amp;START_MA","XIMIZED=FALSE&amp;VAR:CALENDAR=US&amp;VAR:SYMBOL=G0129K10&amp;VAR:INDEX=0"}</definedName>
    <definedName name="_8867__FDSAUDITLINK__" localSheetId="6" hidden="1">{"fdsup://directions/FAT Viewer?action=UPDATE&amp;creator=factset&amp;DYN_ARGS=TRUE&amp;DOC_NAME=FAT:FQL_AUDITING_CLIENT_TEMPLATE.FAT&amp;display_string=Audit&amp;VAR:KEY=FYDEZCTKFG&amp;VAR:QUERY=RkZfRUJJVERBX0lCKCdMVE1TJywzODY3NCk=&amp;WINDOW=FIRST_POPUP&amp;HEIGHT=450&amp;WIDTH=450&amp;START_MA","XIMIZED=FALSE&amp;VAR:CALENDAR=US&amp;VAR:SYMBOL=G0129K10&amp;VAR:INDEX=0"}</definedName>
    <definedName name="_8867__FDSAUDITLINK__" hidden="1">{"fdsup://directions/FAT Viewer?action=UPDATE&amp;creator=factset&amp;DYN_ARGS=TRUE&amp;DOC_NAME=FAT:FQL_AUDITING_CLIENT_TEMPLATE.FAT&amp;display_string=Audit&amp;VAR:KEY=FYDEZCTKFG&amp;VAR:QUERY=RkZfRUJJVERBX0lCKCdMVE1TJywzODY3NCk=&amp;WINDOW=FIRST_POPUP&amp;HEIGHT=450&amp;WIDTH=450&amp;START_MA","XIMIZED=FALSE&amp;VAR:CALENDAR=US&amp;VAR:SYMBOL=G0129K10&amp;VAR:INDEX=0"}</definedName>
    <definedName name="_8868__FDSAUDITLINK__" localSheetId="6" hidden="1">{"fdsup://directions/FAT Viewer?action=UPDATE&amp;creator=factset&amp;DYN_ARGS=TRUE&amp;DOC_NAME=FAT:FQL_AUDITING_CLIENT_TEMPLATE.FAT&amp;display_string=Audit&amp;VAR:KEY=ZIPKDWHINO&amp;VAR:QUERY=RkZfRUJJVERBX0lCKCdMVE1TJywzODY3Myk=&amp;WINDOW=FIRST_POPUP&amp;HEIGHT=450&amp;WIDTH=450&amp;START_MA","XIMIZED=FALSE&amp;VAR:CALENDAR=US&amp;VAR:SYMBOL=G0129K10&amp;VAR:INDEX=0"}</definedName>
    <definedName name="_8868__FDSAUDITLINK__" hidden="1">{"fdsup://directions/FAT Viewer?action=UPDATE&amp;creator=factset&amp;DYN_ARGS=TRUE&amp;DOC_NAME=FAT:FQL_AUDITING_CLIENT_TEMPLATE.FAT&amp;display_string=Audit&amp;VAR:KEY=ZIPKDWHINO&amp;VAR:QUERY=RkZfRUJJVERBX0lCKCdMVE1TJywzODY3Myk=&amp;WINDOW=FIRST_POPUP&amp;HEIGHT=450&amp;WIDTH=450&amp;START_MA","XIMIZED=FALSE&amp;VAR:CALENDAR=US&amp;VAR:SYMBOL=G0129K10&amp;VAR:INDEX=0"}</definedName>
    <definedName name="_8869__FDSAUDITLINK__" localSheetId="6" hidden="1">{"fdsup://directions/FAT Viewer?action=UPDATE&amp;creator=factset&amp;DYN_ARGS=TRUE&amp;DOC_NAME=FAT:FQL_AUDITING_CLIENT_TEMPLATE.FAT&amp;display_string=Audit&amp;VAR:KEY=ZCVKVWBAHG&amp;VAR:QUERY=RkZfRUJJVERBX0lCKCdMVE1TJywzODY3Mik=&amp;WINDOW=FIRST_POPUP&amp;HEIGHT=450&amp;WIDTH=450&amp;START_MA","XIMIZED=FALSE&amp;VAR:CALENDAR=US&amp;VAR:SYMBOL=G0129K10&amp;VAR:INDEX=0"}</definedName>
    <definedName name="_8869__FDSAUDITLINK__" hidden="1">{"fdsup://directions/FAT Viewer?action=UPDATE&amp;creator=factset&amp;DYN_ARGS=TRUE&amp;DOC_NAME=FAT:FQL_AUDITING_CLIENT_TEMPLATE.FAT&amp;display_string=Audit&amp;VAR:KEY=ZCVKVWBAHG&amp;VAR:QUERY=RkZfRUJJVERBX0lCKCdMVE1TJywzODY3Mik=&amp;WINDOW=FIRST_POPUP&amp;HEIGHT=450&amp;WIDTH=450&amp;START_MA","XIMIZED=FALSE&amp;VAR:CALENDAR=US&amp;VAR:SYMBOL=G0129K10&amp;VAR:INDEX=0"}</definedName>
    <definedName name="_887__FDSAUDITLINK__" localSheetId="6" hidden="1">{"fdsup://directions/FAT%20Viewer?VAR:PED=LTM&amp;VAR:AUDIT_MODE=SUMMARY&amp;VAR:PERIOD=FIXED&amp;VAR:AUDIT_ID=00000117&amp;VAR:DATE=20070918&amp;action=UPDATE&amp;creator=factset&amp;DOC_NAME=FAT:FMA_audit_SUMMARY.fat&amp;DISPLAY_STRING=Display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7__FDSAUDITLINK__" hidden="1">{"fdsup://directions/FAT%20Viewer?VAR:PED=LTM&amp;VAR:AUDIT_MODE=SUMMARY&amp;VAR:PERIOD=FIXED&amp;VAR:AUDIT_ID=00000117&amp;VAR:DATE=20070918&amp;action=UPDATE&amp;creator=factset&amp;DOC_NAME=FAT:FMA_audit_SUMMARY.fat&amp;DISPLAY_STRING=Display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70__FDSAUDITLINK__" localSheetId="6" hidden="1">{"fdsup://directions/FAT Viewer?action=UPDATE&amp;creator=factset&amp;DYN_ARGS=TRUE&amp;DOC_NAME=FAT:FQL_AUDITING_CLIENT_TEMPLATE.FAT&amp;display_string=Audit&amp;VAR:KEY=FOPAFETMBS&amp;VAR:QUERY=RkZfRUJJVERBX0lCKCdMVE1TJywzODY3MSk=&amp;WINDOW=FIRST_POPUP&amp;HEIGHT=450&amp;WIDTH=450&amp;START_MA","XIMIZED=FALSE&amp;VAR:CALENDAR=US&amp;VAR:SYMBOL=G0129K10&amp;VAR:INDEX=0"}</definedName>
    <definedName name="_8870__FDSAUDITLINK__" hidden="1">{"fdsup://directions/FAT Viewer?action=UPDATE&amp;creator=factset&amp;DYN_ARGS=TRUE&amp;DOC_NAME=FAT:FQL_AUDITING_CLIENT_TEMPLATE.FAT&amp;display_string=Audit&amp;VAR:KEY=FOPAFETMBS&amp;VAR:QUERY=RkZfRUJJVERBX0lCKCdMVE1TJywzODY3MSk=&amp;WINDOW=FIRST_POPUP&amp;HEIGHT=450&amp;WIDTH=450&amp;START_MA","XIMIZED=FALSE&amp;VAR:CALENDAR=US&amp;VAR:SYMBOL=G0129K10&amp;VAR:INDEX=0"}</definedName>
    <definedName name="_8871__FDSAUDITLINK__" localSheetId="6" hidden="1">{"fdsup://directions/FAT Viewer?action=UPDATE&amp;creator=factset&amp;DYN_ARGS=TRUE&amp;DOC_NAME=FAT:FQL_AUDITING_CLIENT_TEMPLATE.FAT&amp;display_string=Audit&amp;VAR:KEY=PIRMHSPCJM&amp;VAR:QUERY=RkZfRUJJVERBX0lCKCdMVE1TJywzODY3MCk=&amp;WINDOW=FIRST_POPUP&amp;HEIGHT=450&amp;WIDTH=450&amp;START_MA","XIMIZED=FALSE&amp;VAR:CALENDAR=US&amp;VAR:SYMBOL=G0129K10&amp;VAR:INDEX=0"}</definedName>
    <definedName name="_8871__FDSAUDITLINK__" hidden="1">{"fdsup://directions/FAT Viewer?action=UPDATE&amp;creator=factset&amp;DYN_ARGS=TRUE&amp;DOC_NAME=FAT:FQL_AUDITING_CLIENT_TEMPLATE.FAT&amp;display_string=Audit&amp;VAR:KEY=PIRMHSPCJM&amp;VAR:QUERY=RkZfRUJJVERBX0lCKCdMVE1TJywzODY3MCk=&amp;WINDOW=FIRST_POPUP&amp;HEIGHT=450&amp;WIDTH=450&amp;START_MA","XIMIZED=FALSE&amp;VAR:CALENDAR=US&amp;VAR:SYMBOL=G0129K10&amp;VAR:INDEX=0"}</definedName>
    <definedName name="_8872__FDSAUDITLINK__" localSheetId="6" hidden="1">{"fdsup://directions/FAT Viewer?action=UPDATE&amp;creator=factset&amp;DYN_ARGS=TRUE&amp;DOC_NAME=FAT:FQL_AUDITING_CLIENT_TEMPLATE.FAT&amp;display_string=Audit&amp;VAR:KEY=PKZUVGFORU&amp;VAR:QUERY=RkZfRUJJVERBX0lCKCdMVE1TJywzODY2OSk=&amp;WINDOW=FIRST_POPUP&amp;HEIGHT=450&amp;WIDTH=450&amp;START_MA","XIMIZED=FALSE&amp;VAR:CALENDAR=US&amp;VAR:SYMBOL=G0129K10&amp;VAR:INDEX=0"}</definedName>
    <definedName name="_8872__FDSAUDITLINK__" hidden="1">{"fdsup://directions/FAT Viewer?action=UPDATE&amp;creator=factset&amp;DYN_ARGS=TRUE&amp;DOC_NAME=FAT:FQL_AUDITING_CLIENT_TEMPLATE.FAT&amp;display_string=Audit&amp;VAR:KEY=PKZUVGFORU&amp;VAR:QUERY=RkZfRUJJVERBX0lCKCdMVE1TJywzODY2OSk=&amp;WINDOW=FIRST_POPUP&amp;HEIGHT=450&amp;WIDTH=450&amp;START_MA","XIMIZED=FALSE&amp;VAR:CALENDAR=US&amp;VAR:SYMBOL=G0129K10&amp;VAR:INDEX=0"}</definedName>
    <definedName name="_8873__FDSAUDITLINK__" localSheetId="6" hidden="1">{"fdsup://directions/FAT Viewer?action=UPDATE&amp;creator=factset&amp;DYN_ARGS=TRUE&amp;DOC_NAME=FAT:FQL_AUDITING_CLIENT_TEMPLATE.FAT&amp;display_string=Audit&amp;VAR:KEY=LALUDWBEFI&amp;VAR:QUERY=RkZfRUJJVERBX0lCKCdMVE1TJywzODY2OCk=&amp;WINDOW=FIRST_POPUP&amp;HEIGHT=450&amp;WIDTH=450&amp;START_MA","XIMIZED=FALSE&amp;VAR:CALENDAR=US&amp;VAR:SYMBOL=G0129K10&amp;VAR:INDEX=0"}</definedName>
    <definedName name="_8873__FDSAUDITLINK__" hidden="1">{"fdsup://directions/FAT Viewer?action=UPDATE&amp;creator=factset&amp;DYN_ARGS=TRUE&amp;DOC_NAME=FAT:FQL_AUDITING_CLIENT_TEMPLATE.FAT&amp;display_string=Audit&amp;VAR:KEY=LALUDWBEFI&amp;VAR:QUERY=RkZfRUJJVERBX0lCKCdMVE1TJywzODY2OCk=&amp;WINDOW=FIRST_POPUP&amp;HEIGHT=450&amp;WIDTH=450&amp;START_MA","XIMIZED=FALSE&amp;VAR:CALENDAR=US&amp;VAR:SYMBOL=G0129K10&amp;VAR:INDEX=0"}</definedName>
    <definedName name="_8874__FDSAUDITLINK__" localSheetId="6" hidden="1">{"fdsup://directions/FAT Viewer?action=UPDATE&amp;creator=factset&amp;DYN_ARGS=TRUE&amp;DOC_NAME=FAT:FQL_AUDITING_CLIENT_TEMPLATE.FAT&amp;display_string=Audit&amp;VAR:KEY=LORQTCZYBE&amp;VAR:QUERY=RkZfRUJJVERBX0lCKCdMVE1TJywzODY2Nyk=&amp;WINDOW=FIRST_POPUP&amp;HEIGHT=450&amp;WIDTH=450&amp;START_MA","XIMIZED=FALSE&amp;VAR:CALENDAR=US&amp;VAR:SYMBOL=G0129K10&amp;VAR:INDEX=0"}</definedName>
    <definedName name="_8874__FDSAUDITLINK__" hidden="1">{"fdsup://directions/FAT Viewer?action=UPDATE&amp;creator=factset&amp;DYN_ARGS=TRUE&amp;DOC_NAME=FAT:FQL_AUDITING_CLIENT_TEMPLATE.FAT&amp;display_string=Audit&amp;VAR:KEY=LORQTCZYBE&amp;VAR:QUERY=RkZfRUJJVERBX0lCKCdMVE1TJywzODY2Nyk=&amp;WINDOW=FIRST_POPUP&amp;HEIGHT=450&amp;WIDTH=450&amp;START_MA","XIMIZED=FALSE&amp;VAR:CALENDAR=US&amp;VAR:SYMBOL=G0129K10&amp;VAR:INDEX=0"}</definedName>
    <definedName name="_8875__FDSAUDITLINK__" localSheetId="6" hidden="1">{"fdsup://directions/FAT Viewer?action=UPDATE&amp;creator=factset&amp;DYN_ARGS=TRUE&amp;DOC_NAME=FAT:FQL_AUDITING_CLIENT_TEMPLATE.FAT&amp;display_string=Audit&amp;VAR:KEY=JQNOFSHWZI&amp;VAR:QUERY=RkZfRUJJVERBX0lCKCdMVE1TJywzODY2Nik=&amp;WINDOW=FIRST_POPUP&amp;HEIGHT=450&amp;WIDTH=450&amp;START_MA","XIMIZED=FALSE&amp;VAR:CALENDAR=US&amp;VAR:SYMBOL=G0129K10&amp;VAR:INDEX=0"}</definedName>
    <definedName name="_8875__FDSAUDITLINK__" hidden="1">{"fdsup://directions/FAT Viewer?action=UPDATE&amp;creator=factset&amp;DYN_ARGS=TRUE&amp;DOC_NAME=FAT:FQL_AUDITING_CLIENT_TEMPLATE.FAT&amp;display_string=Audit&amp;VAR:KEY=JQNOFSHWZI&amp;VAR:QUERY=RkZfRUJJVERBX0lCKCdMVE1TJywzODY2Nik=&amp;WINDOW=FIRST_POPUP&amp;HEIGHT=450&amp;WIDTH=450&amp;START_MA","XIMIZED=FALSE&amp;VAR:CALENDAR=US&amp;VAR:SYMBOL=G0129K10&amp;VAR:INDEX=0"}</definedName>
    <definedName name="_8876__FDSAUDITLINK__" localSheetId="6" hidden="1">{"fdsup://directions/FAT Viewer?action=UPDATE&amp;creator=factset&amp;DYN_ARGS=TRUE&amp;DOC_NAME=FAT:FQL_AUDITING_CLIENT_TEMPLATE.FAT&amp;display_string=Audit&amp;VAR:KEY=BOFOVAZIFU&amp;VAR:QUERY=RkZfRUJJVERBX0lCKCdMVE1TJywzODY2NSk=&amp;WINDOW=FIRST_POPUP&amp;HEIGHT=450&amp;WIDTH=450&amp;START_MA","XIMIZED=FALSE&amp;VAR:CALENDAR=US&amp;VAR:SYMBOL=G0129K10&amp;VAR:INDEX=0"}</definedName>
    <definedName name="_8876__FDSAUDITLINK__" hidden="1">{"fdsup://directions/FAT Viewer?action=UPDATE&amp;creator=factset&amp;DYN_ARGS=TRUE&amp;DOC_NAME=FAT:FQL_AUDITING_CLIENT_TEMPLATE.FAT&amp;display_string=Audit&amp;VAR:KEY=BOFOVAZIFU&amp;VAR:QUERY=RkZfRUJJVERBX0lCKCdMVE1TJywzODY2NSk=&amp;WINDOW=FIRST_POPUP&amp;HEIGHT=450&amp;WIDTH=450&amp;START_MA","XIMIZED=FALSE&amp;VAR:CALENDAR=US&amp;VAR:SYMBOL=G0129K10&amp;VAR:INDEX=0"}</definedName>
    <definedName name="_8877__FDSAUDITLINK__" localSheetId="6" hidden="1">{"fdsup://directions/FAT Viewer?action=UPDATE&amp;creator=factset&amp;DYN_ARGS=TRUE&amp;DOC_NAME=FAT:FQL_AUDITING_CLIENT_TEMPLATE.FAT&amp;display_string=Audit&amp;VAR:KEY=DMFUVGFUNQ&amp;VAR:QUERY=RkZfRUJJVERBX0lCKCdMVE1TJywzODY2NCk=&amp;WINDOW=FIRST_POPUP&amp;HEIGHT=450&amp;WIDTH=450&amp;START_MA","XIMIZED=FALSE&amp;VAR:CALENDAR=US&amp;VAR:SYMBOL=G0129K10&amp;VAR:INDEX=0"}</definedName>
    <definedName name="_8877__FDSAUDITLINK__" hidden="1">{"fdsup://directions/FAT Viewer?action=UPDATE&amp;creator=factset&amp;DYN_ARGS=TRUE&amp;DOC_NAME=FAT:FQL_AUDITING_CLIENT_TEMPLATE.FAT&amp;display_string=Audit&amp;VAR:KEY=DMFUVGFUNQ&amp;VAR:QUERY=RkZfRUJJVERBX0lCKCdMVE1TJywzODY2NCk=&amp;WINDOW=FIRST_POPUP&amp;HEIGHT=450&amp;WIDTH=450&amp;START_MA","XIMIZED=FALSE&amp;VAR:CALENDAR=US&amp;VAR:SYMBOL=G0129K10&amp;VAR:INDEX=0"}</definedName>
    <definedName name="_8878__FDSAUDITLINK__" localSheetId="6" hidden="1">{"fdsup://directions/FAT Viewer?action=UPDATE&amp;creator=factset&amp;DYN_ARGS=TRUE&amp;DOC_NAME=FAT:FQL_AUDITING_CLIENT_TEMPLATE.FAT&amp;display_string=Audit&amp;VAR:KEY=NYBWTKTKNS&amp;VAR:QUERY=RkZfRUJJVERBX0lCKCdMVE1TJywzODY2Myk=&amp;WINDOW=FIRST_POPUP&amp;HEIGHT=450&amp;WIDTH=450&amp;START_MA","XIMIZED=FALSE&amp;VAR:CALENDAR=US&amp;VAR:SYMBOL=G0129K10&amp;VAR:INDEX=0"}</definedName>
    <definedName name="_8878__FDSAUDITLINK__" hidden="1">{"fdsup://directions/FAT Viewer?action=UPDATE&amp;creator=factset&amp;DYN_ARGS=TRUE&amp;DOC_NAME=FAT:FQL_AUDITING_CLIENT_TEMPLATE.FAT&amp;display_string=Audit&amp;VAR:KEY=NYBWTKTKNS&amp;VAR:QUERY=RkZfRUJJVERBX0lCKCdMVE1TJywzODY2Myk=&amp;WINDOW=FIRST_POPUP&amp;HEIGHT=450&amp;WIDTH=450&amp;START_MA","XIMIZED=FALSE&amp;VAR:CALENDAR=US&amp;VAR:SYMBOL=G0129K10&amp;VAR:INDEX=0"}</definedName>
    <definedName name="_8879__FDSAUDITLINK__" localSheetId="6" hidden="1">{"fdsup://directions/FAT Viewer?action=UPDATE&amp;creator=factset&amp;DYN_ARGS=TRUE&amp;DOC_NAME=FAT:FQL_AUDITING_CLIENT_TEMPLATE.FAT&amp;display_string=Audit&amp;VAR:KEY=HKDMBSPUVG&amp;VAR:QUERY=RkZfRUJJVERBX0lCKCdMVE1TJywzODY2Mik=&amp;WINDOW=FIRST_POPUP&amp;HEIGHT=450&amp;WIDTH=450&amp;START_MA","XIMIZED=FALSE&amp;VAR:CALENDAR=US&amp;VAR:SYMBOL=G0129K10&amp;VAR:INDEX=0"}</definedName>
    <definedName name="_8879__FDSAUDITLINK__" hidden="1">{"fdsup://directions/FAT Viewer?action=UPDATE&amp;creator=factset&amp;DYN_ARGS=TRUE&amp;DOC_NAME=FAT:FQL_AUDITING_CLIENT_TEMPLATE.FAT&amp;display_string=Audit&amp;VAR:KEY=HKDMBSPUVG&amp;VAR:QUERY=RkZfRUJJVERBX0lCKCdMVE1TJywzODY2Mik=&amp;WINDOW=FIRST_POPUP&amp;HEIGHT=450&amp;WIDTH=450&amp;START_MA","XIMIZED=FALSE&amp;VAR:CALENDAR=US&amp;VAR:SYMBOL=G0129K10&amp;VAR:INDEX=0"}</definedName>
    <definedName name="_888__FDSAUDITLINK__" localSheetId="6" hidden="1">{"fdsup://directions/FAT%20Viewer?VAR:PED=LTM&amp;VAR:AUDIT_MODE=SUMMARY&amp;VAR:PERIOD=FIXED&amp;VAR:AUDIT_ID=00000117&amp;VAR:DATE=20070917&amp;action=UPDATE&amp;creator=factset&amp;DOC_NAME=FAT:FMA_audit_SUMMARY.fat&amp;DISPLAY_STRING=Display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8__FDSAUDITLINK__" hidden="1">{"fdsup://directions/FAT%20Viewer?VAR:PED=LTM&amp;VAR:AUDIT_MODE=SUMMARY&amp;VAR:PERIOD=FIXED&amp;VAR:AUDIT_ID=00000117&amp;VAR:DATE=20070917&amp;action=UPDATE&amp;creator=factset&amp;DOC_NAME=FAT:FMA_audit_SUMMARY.fat&amp;DISPLAY_STRING=Display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80__FDSAUDITLINK__" localSheetId="6" hidden="1">{"fdsup://directions/FAT Viewer?action=UPDATE&amp;creator=factset&amp;DYN_ARGS=TRUE&amp;DOC_NAME=FAT:FQL_AUDITING_CLIENT_TEMPLATE.FAT&amp;display_string=Audit&amp;VAR:KEY=JSNCXINGTW&amp;VAR:QUERY=RkZfRUJJVERBX0lCKCdMVE1TJywzODY2MSk=&amp;WINDOW=FIRST_POPUP&amp;HEIGHT=450&amp;WIDTH=450&amp;START_MA","XIMIZED=FALSE&amp;VAR:CALENDAR=US&amp;VAR:SYMBOL=G0129K10&amp;VAR:INDEX=0"}</definedName>
    <definedName name="_8880__FDSAUDITLINK__" hidden="1">{"fdsup://directions/FAT Viewer?action=UPDATE&amp;creator=factset&amp;DYN_ARGS=TRUE&amp;DOC_NAME=FAT:FQL_AUDITING_CLIENT_TEMPLATE.FAT&amp;display_string=Audit&amp;VAR:KEY=JSNCXINGTW&amp;VAR:QUERY=RkZfRUJJVERBX0lCKCdMVE1TJywzODY2MSk=&amp;WINDOW=FIRST_POPUP&amp;HEIGHT=450&amp;WIDTH=450&amp;START_MA","XIMIZED=FALSE&amp;VAR:CALENDAR=US&amp;VAR:SYMBOL=G0129K10&amp;VAR:INDEX=0"}</definedName>
    <definedName name="_8881__FDSAUDITLINK__" localSheetId="6" hidden="1">{"fdsup://directions/FAT Viewer?action=UPDATE&amp;creator=factset&amp;DYN_ARGS=TRUE&amp;DOC_NAME=FAT:FQL_AUDITING_CLIENT_TEMPLATE.FAT&amp;display_string=Audit&amp;VAR:KEY=PCJITYPYHK&amp;VAR:QUERY=RkZfRUJJVERBX0lCKCdMVE1TJywzODY2MCk=&amp;WINDOW=FIRST_POPUP&amp;HEIGHT=450&amp;WIDTH=450&amp;START_MA","XIMIZED=FALSE&amp;VAR:CALENDAR=US&amp;VAR:SYMBOL=G0129K10&amp;VAR:INDEX=0"}</definedName>
    <definedName name="_8881__FDSAUDITLINK__" hidden="1">{"fdsup://directions/FAT Viewer?action=UPDATE&amp;creator=factset&amp;DYN_ARGS=TRUE&amp;DOC_NAME=FAT:FQL_AUDITING_CLIENT_TEMPLATE.FAT&amp;display_string=Audit&amp;VAR:KEY=PCJITYPYHK&amp;VAR:QUERY=RkZfRUJJVERBX0lCKCdMVE1TJywzODY2MCk=&amp;WINDOW=FIRST_POPUP&amp;HEIGHT=450&amp;WIDTH=450&amp;START_MA","XIMIZED=FALSE&amp;VAR:CALENDAR=US&amp;VAR:SYMBOL=G0129K10&amp;VAR:INDEX=0"}</definedName>
    <definedName name="_8882__FDSAUDITLINK__" localSheetId="6" hidden="1">{"fdsup://directions/FAT Viewer?action=UPDATE&amp;creator=factset&amp;DYN_ARGS=TRUE&amp;DOC_NAME=FAT:FQL_AUDITING_CLIENT_TEMPLATE.FAT&amp;display_string=Audit&amp;VAR:KEY=ZIHWVMVIZC&amp;VAR:QUERY=RkZfRUJJVERBX0lCKCdMVE1TJywzODY1OSk=&amp;WINDOW=FIRST_POPUP&amp;HEIGHT=450&amp;WIDTH=450&amp;START_MA","XIMIZED=FALSE&amp;VAR:CALENDAR=US&amp;VAR:SYMBOL=G0129K10&amp;VAR:INDEX=0"}</definedName>
    <definedName name="_8882__FDSAUDITLINK__" hidden="1">{"fdsup://directions/FAT Viewer?action=UPDATE&amp;creator=factset&amp;DYN_ARGS=TRUE&amp;DOC_NAME=FAT:FQL_AUDITING_CLIENT_TEMPLATE.FAT&amp;display_string=Audit&amp;VAR:KEY=ZIHWVMVIZC&amp;VAR:QUERY=RkZfRUJJVERBX0lCKCdMVE1TJywzODY1OSk=&amp;WINDOW=FIRST_POPUP&amp;HEIGHT=450&amp;WIDTH=450&amp;START_MA","XIMIZED=FALSE&amp;VAR:CALENDAR=US&amp;VAR:SYMBOL=G0129K10&amp;VAR:INDEX=0"}</definedName>
    <definedName name="_8883__FDSAUDITLINK__" localSheetId="6" hidden="1">{"fdsup://directions/FAT Viewer?action=UPDATE&amp;creator=factset&amp;DYN_ARGS=TRUE&amp;DOC_NAME=FAT:FQL_AUDITING_CLIENT_TEMPLATE.FAT&amp;display_string=Audit&amp;VAR:KEY=ZUNGBKJWHO&amp;VAR:QUERY=RkZfRUJJVERBX0lCKCdMVE1TJywzODY1OCk=&amp;WINDOW=FIRST_POPUP&amp;HEIGHT=450&amp;WIDTH=450&amp;START_MA","XIMIZED=FALSE&amp;VAR:CALENDAR=US&amp;VAR:SYMBOL=G0129K10&amp;VAR:INDEX=0"}</definedName>
    <definedName name="_8883__FDSAUDITLINK__" hidden="1">{"fdsup://directions/FAT Viewer?action=UPDATE&amp;creator=factset&amp;DYN_ARGS=TRUE&amp;DOC_NAME=FAT:FQL_AUDITING_CLIENT_TEMPLATE.FAT&amp;display_string=Audit&amp;VAR:KEY=ZUNGBKJWHO&amp;VAR:QUERY=RkZfRUJJVERBX0lCKCdMVE1TJywzODY1OCk=&amp;WINDOW=FIRST_POPUP&amp;HEIGHT=450&amp;WIDTH=450&amp;START_MA","XIMIZED=FALSE&amp;VAR:CALENDAR=US&amp;VAR:SYMBOL=G0129K10&amp;VAR:INDEX=0"}</definedName>
    <definedName name="_8884__FDSAUDITLINK__" localSheetId="6" hidden="1">{"fdsup://directions/FAT Viewer?action=UPDATE&amp;creator=factset&amp;DYN_ARGS=TRUE&amp;DOC_NAME=FAT:FQL_AUDITING_CLIENT_TEMPLATE.FAT&amp;display_string=Audit&amp;VAR:KEY=RCXCRQBAJO&amp;VAR:QUERY=RkZfRUJJVERBX0lCKCdMVE1TJywzODY1Nyk=&amp;WINDOW=FIRST_POPUP&amp;HEIGHT=450&amp;WIDTH=450&amp;START_MA","XIMIZED=FALSE&amp;VAR:CALENDAR=US&amp;VAR:SYMBOL=G0129K10&amp;VAR:INDEX=0"}</definedName>
    <definedName name="_8884__FDSAUDITLINK__" hidden="1">{"fdsup://directions/FAT Viewer?action=UPDATE&amp;creator=factset&amp;DYN_ARGS=TRUE&amp;DOC_NAME=FAT:FQL_AUDITING_CLIENT_TEMPLATE.FAT&amp;display_string=Audit&amp;VAR:KEY=RCXCRQBAJO&amp;VAR:QUERY=RkZfRUJJVERBX0lCKCdMVE1TJywzODY1Nyk=&amp;WINDOW=FIRST_POPUP&amp;HEIGHT=450&amp;WIDTH=450&amp;START_MA","XIMIZED=FALSE&amp;VAR:CALENDAR=US&amp;VAR:SYMBOL=G0129K10&amp;VAR:INDEX=0"}</definedName>
    <definedName name="_8885__FDSAUDITLINK__" localSheetId="6" hidden="1">{"fdsup://directions/FAT Viewer?action=UPDATE&amp;creator=factset&amp;DYN_ARGS=TRUE&amp;DOC_NAME=FAT:FQL_AUDITING_CLIENT_TEMPLATE.FAT&amp;display_string=Audit&amp;VAR:KEY=VOBQPADOFM&amp;VAR:QUERY=RkZfRUJJVERBX0lCKCdMVE1TJywzODY1Nik=&amp;WINDOW=FIRST_POPUP&amp;HEIGHT=450&amp;WIDTH=450&amp;START_MA","XIMIZED=FALSE&amp;VAR:CALENDAR=US&amp;VAR:SYMBOL=G0129K10&amp;VAR:INDEX=0"}</definedName>
    <definedName name="_8885__FDSAUDITLINK__" hidden="1">{"fdsup://directions/FAT Viewer?action=UPDATE&amp;creator=factset&amp;DYN_ARGS=TRUE&amp;DOC_NAME=FAT:FQL_AUDITING_CLIENT_TEMPLATE.FAT&amp;display_string=Audit&amp;VAR:KEY=VOBQPADOFM&amp;VAR:QUERY=RkZfRUJJVERBX0lCKCdMVE1TJywzODY1Nik=&amp;WINDOW=FIRST_POPUP&amp;HEIGHT=450&amp;WIDTH=450&amp;START_MA","XIMIZED=FALSE&amp;VAR:CALENDAR=US&amp;VAR:SYMBOL=G0129K10&amp;VAR:INDEX=0"}</definedName>
    <definedName name="_8886__FDSAUDITLINK__" localSheetId="6" hidden="1">{"fdsup://directions/FAT Viewer?action=UPDATE&amp;creator=factset&amp;DYN_ARGS=TRUE&amp;DOC_NAME=FAT:FQL_AUDITING_CLIENT_TEMPLATE.FAT&amp;display_string=Audit&amp;VAR:KEY=BKDWDCJCJQ&amp;VAR:QUERY=RkZfRUJJVERBX0lCKCdMVE1TJywzODY1NSk=&amp;WINDOW=FIRST_POPUP&amp;HEIGHT=450&amp;WIDTH=450&amp;START_MA","XIMIZED=FALSE&amp;VAR:CALENDAR=US&amp;VAR:SYMBOL=G0129K10&amp;VAR:INDEX=0"}</definedName>
    <definedName name="_8886__FDSAUDITLINK__" hidden="1">{"fdsup://directions/FAT Viewer?action=UPDATE&amp;creator=factset&amp;DYN_ARGS=TRUE&amp;DOC_NAME=FAT:FQL_AUDITING_CLIENT_TEMPLATE.FAT&amp;display_string=Audit&amp;VAR:KEY=BKDWDCJCJQ&amp;VAR:QUERY=RkZfRUJJVERBX0lCKCdMVE1TJywzODY1NSk=&amp;WINDOW=FIRST_POPUP&amp;HEIGHT=450&amp;WIDTH=450&amp;START_MA","XIMIZED=FALSE&amp;VAR:CALENDAR=US&amp;VAR:SYMBOL=G0129K10&amp;VAR:INDEX=0"}</definedName>
    <definedName name="_8887__FDSAUDITLINK__" localSheetId="6" hidden="1">{"fdsup://directions/FAT Viewer?action=UPDATE&amp;creator=factset&amp;DYN_ARGS=TRUE&amp;DOC_NAME=FAT:FQL_AUDITING_CLIENT_TEMPLATE.FAT&amp;display_string=Audit&amp;VAR:KEY=ZINANUZGHM&amp;VAR:QUERY=RkZfRUJJVERBX0lCKCdMVE1TJywzODY1NCk=&amp;WINDOW=FIRST_POPUP&amp;HEIGHT=450&amp;WIDTH=450&amp;START_MA","XIMIZED=FALSE&amp;VAR:CALENDAR=US&amp;VAR:SYMBOL=G0129K10&amp;VAR:INDEX=0"}</definedName>
    <definedName name="_8887__FDSAUDITLINK__" hidden="1">{"fdsup://directions/FAT Viewer?action=UPDATE&amp;creator=factset&amp;DYN_ARGS=TRUE&amp;DOC_NAME=FAT:FQL_AUDITING_CLIENT_TEMPLATE.FAT&amp;display_string=Audit&amp;VAR:KEY=ZINANUZGHM&amp;VAR:QUERY=RkZfRUJJVERBX0lCKCdMVE1TJywzODY1NCk=&amp;WINDOW=FIRST_POPUP&amp;HEIGHT=450&amp;WIDTH=450&amp;START_MA","XIMIZED=FALSE&amp;VAR:CALENDAR=US&amp;VAR:SYMBOL=G0129K10&amp;VAR:INDEX=0"}</definedName>
    <definedName name="_8888__FDSAUDITLINK__" localSheetId="6" hidden="1">{"fdsup://directions/FAT Viewer?action=UPDATE&amp;creator=factset&amp;DYN_ARGS=TRUE&amp;DOC_NAME=FAT:FQL_AUDITING_CLIENT_TEMPLATE.FAT&amp;display_string=Audit&amp;VAR:KEY=FMRWVOFWBY&amp;VAR:QUERY=RkZfRUJJVERBX0lCKCdMVE1TJywzODY1Myk=&amp;WINDOW=FIRST_POPUP&amp;HEIGHT=450&amp;WIDTH=450&amp;START_MA","XIMIZED=FALSE&amp;VAR:CALENDAR=US&amp;VAR:SYMBOL=G0129K10&amp;VAR:INDEX=0"}</definedName>
    <definedName name="_8888__FDSAUDITLINK__" hidden="1">{"fdsup://directions/FAT Viewer?action=UPDATE&amp;creator=factset&amp;DYN_ARGS=TRUE&amp;DOC_NAME=FAT:FQL_AUDITING_CLIENT_TEMPLATE.FAT&amp;display_string=Audit&amp;VAR:KEY=FMRWVOFWBY&amp;VAR:QUERY=RkZfRUJJVERBX0lCKCdMVE1TJywzODY1Myk=&amp;WINDOW=FIRST_POPUP&amp;HEIGHT=450&amp;WIDTH=450&amp;START_MA","XIMIZED=FALSE&amp;VAR:CALENDAR=US&amp;VAR:SYMBOL=G0129K10&amp;VAR:INDEX=0"}</definedName>
    <definedName name="_8889__FDSAUDITLINK__" localSheetId="6" hidden="1">{"fdsup://directions/FAT Viewer?action=UPDATE&amp;creator=factset&amp;DYN_ARGS=TRUE&amp;DOC_NAME=FAT:FQL_AUDITING_CLIENT_TEMPLATE.FAT&amp;display_string=Audit&amp;VAR:KEY=HUVCJIFMZE&amp;VAR:QUERY=RkZfRUJJVERBX0lCKCdMVE1TJywzODY1Mik=&amp;WINDOW=FIRST_POPUP&amp;HEIGHT=450&amp;WIDTH=450&amp;START_MA","XIMIZED=FALSE&amp;VAR:CALENDAR=US&amp;VAR:SYMBOL=G0129K10&amp;VAR:INDEX=0"}</definedName>
    <definedName name="_8889__FDSAUDITLINK__" hidden="1">{"fdsup://directions/FAT Viewer?action=UPDATE&amp;creator=factset&amp;DYN_ARGS=TRUE&amp;DOC_NAME=FAT:FQL_AUDITING_CLIENT_TEMPLATE.FAT&amp;display_string=Audit&amp;VAR:KEY=HUVCJIFMZE&amp;VAR:QUERY=RkZfRUJJVERBX0lCKCdMVE1TJywzODY1Mik=&amp;WINDOW=FIRST_POPUP&amp;HEIGHT=450&amp;WIDTH=450&amp;START_MA","XIMIZED=FALSE&amp;VAR:CALENDAR=US&amp;VAR:SYMBOL=G0129K10&amp;VAR:INDEX=0"}</definedName>
    <definedName name="_889__FDSAUDITLINK__" localSheetId="6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9__FDSAUDITLINK__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890__FDSAUDITLINK__" localSheetId="6" hidden="1">{"fdsup://directions/FAT Viewer?action=UPDATE&amp;creator=factset&amp;DYN_ARGS=TRUE&amp;DOC_NAME=FAT:FQL_AUDITING_CLIENT_TEMPLATE.FAT&amp;display_string=Audit&amp;VAR:KEY=DWVMNYVMRG&amp;VAR:QUERY=RkZfRUJJVERBX0lCKCdMVE1TJywzODY1MSk=&amp;WINDOW=FIRST_POPUP&amp;HEIGHT=450&amp;WIDTH=450&amp;START_MA","XIMIZED=FALSE&amp;VAR:CALENDAR=US&amp;VAR:SYMBOL=G0129K10&amp;VAR:INDEX=0"}</definedName>
    <definedName name="_8890__FDSAUDITLINK__" hidden="1">{"fdsup://directions/FAT Viewer?action=UPDATE&amp;creator=factset&amp;DYN_ARGS=TRUE&amp;DOC_NAME=FAT:FQL_AUDITING_CLIENT_TEMPLATE.FAT&amp;display_string=Audit&amp;VAR:KEY=DWVMNYVMRG&amp;VAR:QUERY=RkZfRUJJVERBX0lCKCdMVE1TJywzODY1MSk=&amp;WINDOW=FIRST_POPUP&amp;HEIGHT=450&amp;WIDTH=450&amp;START_MA","XIMIZED=FALSE&amp;VAR:CALENDAR=US&amp;VAR:SYMBOL=G0129K10&amp;VAR:INDEX=0"}</definedName>
    <definedName name="_8891__FDSAUDITLINK__" localSheetId="6" hidden="1">{"fdsup://directions/FAT Viewer?action=UPDATE&amp;creator=factset&amp;DYN_ARGS=TRUE&amp;DOC_NAME=FAT:FQL_AUDITING_CLIENT_TEMPLATE.FAT&amp;display_string=Audit&amp;VAR:KEY=PGJWJSBEPG&amp;VAR:QUERY=RkZfRUJJVERBX0lCKCdMVE1TJywzODY1MCk=&amp;WINDOW=FIRST_POPUP&amp;HEIGHT=450&amp;WIDTH=450&amp;START_MA","XIMIZED=FALSE&amp;VAR:CALENDAR=US&amp;VAR:SYMBOL=G0129K10&amp;VAR:INDEX=0"}</definedName>
    <definedName name="_8891__FDSAUDITLINK__" hidden="1">{"fdsup://directions/FAT Viewer?action=UPDATE&amp;creator=factset&amp;DYN_ARGS=TRUE&amp;DOC_NAME=FAT:FQL_AUDITING_CLIENT_TEMPLATE.FAT&amp;display_string=Audit&amp;VAR:KEY=PGJWJSBEPG&amp;VAR:QUERY=RkZfRUJJVERBX0lCKCdMVE1TJywzODY1MCk=&amp;WINDOW=FIRST_POPUP&amp;HEIGHT=450&amp;WIDTH=450&amp;START_MA","XIMIZED=FALSE&amp;VAR:CALENDAR=US&amp;VAR:SYMBOL=G0129K10&amp;VAR:INDEX=0"}</definedName>
    <definedName name="_8892__FDSAUDITLINK__" localSheetId="6" hidden="1">{"fdsup://directions/FAT Viewer?action=UPDATE&amp;creator=factset&amp;DYN_ARGS=TRUE&amp;DOC_NAME=FAT:FQL_AUDITING_CLIENT_TEMPLATE.FAT&amp;display_string=Audit&amp;VAR:KEY=DWXQDYFUVQ&amp;VAR:QUERY=RkZfRUJJVERBX0lCKCdMVE1TJywzODY0OSk=&amp;WINDOW=FIRST_POPUP&amp;HEIGHT=450&amp;WIDTH=450&amp;START_MA","XIMIZED=FALSE&amp;VAR:CALENDAR=US&amp;VAR:SYMBOL=G0129K10&amp;VAR:INDEX=0"}</definedName>
    <definedName name="_8892__FDSAUDITLINK__" hidden="1">{"fdsup://directions/FAT Viewer?action=UPDATE&amp;creator=factset&amp;DYN_ARGS=TRUE&amp;DOC_NAME=FAT:FQL_AUDITING_CLIENT_TEMPLATE.FAT&amp;display_string=Audit&amp;VAR:KEY=DWXQDYFUVQ&amp;VAR:QUERY=RkZfRUJJVERBX0lCKCdMVE1TJywzODY0OSk=&amp;WINDOW=FIRST_POPUP&amp;HEIGHT=450&amp;WIDTH=450&amp;START_MA","XIMIZED=FALSE&amp;VAR:CALENDAR=US&amp;VAR:SYMBOL=G0129K10&amp;VAR:INDEX=0"}</definedName>
    <definedName name="_8893__FDSAUDITLINK__" localSheetId="6" hidden="1">{"fdsup://directions/FAT Viewer?action=UPDATE&amp;creator=factset&amp;DYN_ARGS=TRUE&amp;DOC_NAME=FAT:FQL_AUDITING_CLIENT_TEMPLATE.FAT&amp;display_string=Audit&amp;VAR:KEY=HWLUPURIVM&amp;VAR:QUERY=RkZfRUJJVERBX0lCKCdMVE1TJywzODY0OCk=&amp;WINDOW=FIRST_POPUP&amp;HEIGHT=450&amp;WIDTH=450&amp;START_MA","XIMIZED=FALSE&amp;VAR:CALENDAR=US&amp;VAR:SYMBOL=G0129K10&amp;VAR:INDEX=0"}</definedName>
    <definedName name="_8893__FDSAUDITLINK__" hidden="1">{"fdsup://directions/FAT Viewer?action=UPDATE&amp;creator=factset&amp;DYN_ARGS=TRUE&amp;DOC_NAME=FAT:FQL_AUDITING_CLIENT_TEMPLATE.FAT&amp;display_string=Audit&amp;VAR:KEY=HWLUPURIVM&amp;VAR:QUERY=RkZfRUJJVERBX0lCKCdMVE1TJywzODY0OCk=&amp;WINDOW=FIRST_POPUP&amp;HEIGHT=450&amp;WIDTH=450&amp;START_MA","XIMIZED=FALSE&amp;VAR:CALENDAR=US&amp;VAR:SYMBOL=G0129K10&amp;VAR:INDEX=0"}</definedName>
    <definedName name="_8894__FDSAUDITLINK__" localSheetId="6" hidden="1">{"fdsup://directions/FAT Viewer?action=UPDATE&amp;creator=factset&amp;DYN_ARGS=TRUE&amp;DOC_NAME=FAT:FQL_AUDITING_CLIENT_TEMPLATE.FAT&amp;display_string=Audit&amp;VAR:KEY=HIPIXKDWZC&amp;VAR:QUERY=RkZfRUJJVERBX0lCKCdMVE1TJywzODY0Nyk=&amp;WINDOW=FIRST_POPUP&amp;HEIGHT=450&amp;WIDTH=450&amp;START_MA","XIMIZED=FALSE&amp;VAR:CALENDAR=US&amp;VAR:SYMBOL=G0129K10&amp;VAR:INDEX=0"}</definedName>
    <definedName name="_8894__FDSAUDITLINK__" hidden="1">{"fdsup://directions/FAT Viewer?action=UPDATE&amp;creator=factset&amp;DYN_ARGS=TRUE&amp;DOC_NAME=FAT:FQL_AUDITING_CLIENT_TEMPLATE.FAT&amp;display_string=Audit&amp;VAR:KEY=HIPIXKDWZC&amp;VAR:QUERY=RkZfRUJJVERBX0lCKCdMVE1TJywzODY0Nyk=&amp;WINDOW=FIRST_POPUP&amp;HEIGHT=450&amp;WIDTH=450&amp;START_MA","XIMIZED=FALSE&amp;VAR:CALENDAR=US&amp;VAR:SYMBOL=G0129K10&amp;VAR:INDEX=0"}</definedName>
    <definedName name="_8895__FDSAUDITLINK__" localSheetId="6" hidden="1">{"fdsup://directions/FAT Viewer?action=UPDATE&amp;creator=factset&amp;DYN_ARGS=TRUE&amp;DOC_NAME=FAT:FQL_AUDITING_CLIENT_TEMPLATE.FAT&amp;display_string=Audit&amp;VAR:KEY=JWNGVCPYXO&amp;VAR:QUERY=RkZfRUJJVERBX0lCKCdMVE1TJywzODY0Nik=&amp;WINDOW=FIRST_POPUP&amp;HEIGHT=450&amp;WIDTH=450&amp;START_MA","XIMIZED=FALSE&amp;VAR:CALENDAR=US&amp;VAR:SYMBOL=G0129K10&amp;VAR:INDEX=0"}</definedName>
    <definedName name="_8895__FDSAUDITLINK__" hidden="1">{"fdsup://directions/FAT Viewer?action=UPDATE&amp;creator=factset&amp;DYN_ARGS=TRUE&amp;DOC_NAME=FAT:FQL_AUDITING_CLIENT_TEMPLATE.FAT&amp;display_string=Audit&amp;VAR:KEY=JWNGVCPYXO&amp;VAR:QUERY=RkZfRUJJVERBX0lCKCdMVE1TJywzODY0Nik=&amp;WINDOW=FIRST_POPUP&amp;HEIGHT=450&amp;WIDTH=450&amp;START_MA","XIMIZED=FALSE&amp;VAR:CALENDAR=US&amp;VAR:SYMBOL=G0129K10&amp;VAR:INDEX=0"}</definedName>
    <definedName name="_8896__FDSAUDITLINK__" localSheetId="6" hidden="1">{"fdsup://directions/FAT Viewer?action=UPDATE&amp;creator=factset&amp;DYN_ARGS=TRUE&amp;DOC_NAME=FAT:FQL_AUDITING_CLIENT_TEMPLATE.FAT&amp;display_string=Audit&amp;VAR:KEY=HEVOHWHUXM&amp;VAR:QUERY=RkZfRUJJVERBX0lCKCdMVE1TJywzODY0NSk=&amp;WINDOW=FIRST_POPUP&amp;HEIGHT=450&amp;WIDTH=450&amp;START_MA","XIMIZED=FALSE&amp;VAR:CALENDAR=US&amp;VAR:SYMBOL=G0129K10&amp;VAR:INDEX=0"}</definedName>
    <definedName name="_8896__FDSAUDITLINK__" hidden="1">{"fdsup://directions/FAT Viewer?action=UPDATE&amp;creator=factset&amp;DYN_ARGS=TRUE&amp;DOC_NAME=FAT:FQL_AUDITING_CLIENT_TEMPLATE.FAT&amp;display_string=Audit&amp;VAR:KEY=HEVOHWHUXM&amp;VAR:QUERY=RkZfRUJJVERBX0lCKCdMVE1TJywzODY0NSk=&amp;WINDOW=FIRST_POPUP&amp;HEIGHT=450&amp;WIDTH=450&amp;START_MA","XIMIZED=FALSE&amp;VAR:CALENDAR=US&amp;VAR:SYMBOL=G0129K10&amp;VAR:INDEX=0"}</definedName>
    <definedName name="_8897__FDSAUDITLINK__" localSheetId="6" hidden="1">{"fdsup://directions/FAT Viewer?action=UPDATE&amp;creator=factset&amp;DYN_ARGS=TRUE&amp;DOC_NAME=FAT:FQL_AUDITING_CLIENT_TEMPLATE.FAT&amp;display_string=Audit&amp;VAR:KEY=NMXYLQXKVY&amp;VAR:QUERY=RkZfRUJJVERBX0lCKCdMVE1TJywzODY0NCk=&amp;WINDOW=FIRST_POPUP&amp;HEIGHT=450&amp;WIDTH=450&amp;START_MA","XIMIZED=FALSE&amp;VAR:CALENDAR=US&amp;VAR:SYMBOL=G0129K10&amp;VAR:INDEX=0"}</definedName>
    <definedName name="_8897__FDSAUDITLINK__" hidden="1">{"fdsup://directions/FAT Viewer?action=UPDATE&amp;creator=factset&amp;DYN_ARGS=TRUE&amp;DOC_NAME=FAT:FQL_AUDITING_CLIENT_TEMPLATE.FAT&amp;display_string=Audit&amp;VAR:KEY=NMXYLQXKVY&amp;VAR:QUERY=RkZfRUJJVERBX0lCKCdMVE1TJywzODY0NCk=&amp;WINDOW=FIRST_POPUP&amp;HEIGHT=450&amp;WIDTH=450&amp;START_MA","XIMIZED=FALSE&amp;VAR:CALENDAR=US&amp;VAR:SYMBOL=G0129K10&amp;VAR:INDEX=0"}</definedName>
    <definedName name="_8898__FDSAUDITLINK__" localSheetId="6" hidden="1">{"fdsup://directions/FAT Viewer?action=UPDATE&amp;creator=factset&amp;DYN_ARGS=TRUE&amp;DOC_NAME=FAT:FQL_AUDITING_CLIENT_TEMPLATE.FAT&amp;display_string=Audit&amp;VAR:KEY=TOPCBQHEHO&amp;VAR:QUERY=RkZfRUJJVERBX0lCKCdMVE1TJywzODY0Myk=&amp;WINDOW=FIRST_POPUP&amp;HEIGHT=450&amp;WIDTH=450&amp;START_MA","XIMIZED=FALSE&amp;VAR:CALENDAR=US&amp;VAR:SYMBOL=G0129K10&amp;VAR:INDEX=0"}</definedName>
    <definedName name="_8898__FDSAUDITLINK__" hidden="1">{"fdsup://directions/FAT Viewer?action=UPDATE&amp;creator=factset&amp;DYN_ARGS=TRUE&amp;DOC_NAME=FAT:FQL_AUDITING_CLIENT_TEMPLATE.FAT&amp;display_string=Audit&amp;VAR:KEY=TOPCBQHEHO&amp;VAR:QUERY=RkZfRUJJVERBX0lCKCdMVE1TJywzODY0Myk=&amp;WINDOW=FIRST_POPUP&amp;HEIGHT=450&amp;WIDTH=450&amp;START_MA","XIMIZED=FALSE&amp;VAR:CALENDAR=US&amp;VAR:SYMBOL=G0129K10&amp;VAR:INDEX=0"}</definedName>
    <definedName name="_8899__FDSAUDITLINK__" localSheetId="6" hidden="1">{"fdsup://directions/FAT Viewer?action=UPDATE&amp;creator=factset&amp;DYN_ARGS=TRUE&amp;DOC_NAME=FAT:FQL_AUDITING_CLIENT_TEMPLATE.FAT&amp;display_string=Audit&amp;VAR:KEY=ZABOPEPQZK&amp;VAR:QUERY=RkZfRUJJVERBX0lCKCdMVE1TJywzODY0Mik=&amp;WINDOW=FIRST_POPUP&amp;HEIGHT=450&amp;WIDTH=450&amp;START_MA","XIMIZED=FALSE&amp;VAR:CALENDAR=US&amp;VAR:SYMBOL=G0129K10&amp;VAR:INDEX=0"}</definedName>
    <definedName name="_8899__FDSAUDITLINK__" hidden="1">{"fdsup://directions/FAT Viewer?action=UPDATE&amp;creator=factset&amp;DYN_ARGS=TRUE&amp;DOC_NAME=FAT:FQL_AUDITING_CLIENT_TEMPLATE.FAT&amp;display_string=Audit&amp;VAR:KEY=ZABOPEPQZK&amp;VAR:QUERY=RkZfRUJJVERBX0lCKCdMVE1TJywzODY0Mik=&amp;WINDOW=FIRST_POPUP&amp;HEIGHT=450&amp;WIDTH=450&amp;START_MA","XIMIZED=FALSE&amp;VAR:CALENDAR=US&amp;VAR:SYMBOL=G0129K10&amp;VAR:INDEX=0"}</definedName>
    <definedName name="_890__FDSAUDITLINK__" localSheetId="6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0__FDSAUDITLINK__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00__FDSAUDITLINK__" localSheetId="6" hidden="1">{"fdsup://directions/FAT Viewer?action=UPDATE&amp;creator=factset&amp;DYN_ARGS=TRUE&amp;DOC_NAME=FAT:FQL_AUDITING_CLIENT_TEMPLATE.FAT&amp;display_string=Audit&amp;VAR:KEY=PKJGRKDGPI&amp;VAR:QUERY=RkZfRUJJVERBX0lCKCdMVE1TJywzODY0MSk=&amp;WINDOW=FIRST_POPUP&amp;HEIGHT=450&amp;WIDTH=450&amp;START_MA","XIMIZED=FALSE&amp;VAR:CALENDAR=US&amp;VAR:SYMBOL=G0129K10&amp;VAR:INDEX=0"}</definedName>
    <definedName name="_8900__FDSAUDITLINK__" hidden="1">{"fdsup://directions/FAT Viewer?action=UPDATE&amp;creator=factset&amp;DYN_ARGS=TRUE&amp;DOC_NAME=FAT:FQL_AUDITING_CLIENT_TEMPLATE.FAT&amp;display_string=Audit&amp;VAR:KEY=PKJGRKDGPI&amp;VAR:QUERY=RkZfRUJJVERBX0lCKCdMVE1TJywzODY0MSk=&amp;WINDOW=FIRST_POPUP&amp;HEIGHT=450&amp;WIDTH=450&amp;START_MA","XIMIZED=FALSE&amp;VAR:CALENDAR=US&amp;VAR:SYMBOL=G0129K10&amp;VAR:INDEX=0"}</definedName>
    <definedName name="_8901__FDSAUDITLINK__" localSheetId="6" hidden="1">{"fdsup://directions/FAT Viewer?action=UPDATE&amp;creator=factset&amp;DYN_ARGS=TRUE&amp;DOC_NAME=FAT:FQL_AUDITING_CLIENT_TEMPLATE.FAT&amp;display_string=Audit&amp;VAR:KEY=ZGBYPUBKVA&amp;VAR:QUERY=RkZfRUJJVERBX0lCKCdMVE1TJywzODY0MCk=&amp;WINDOW=FIRST_POPUP&amp;HEIGHT=450&amp;WIDTH=450&amp;START_MA","XIMIZED=FALSE&amp;VAR:CALENDAR=US&amp;VAR:SYMBOL=G0129K10&amp;VAR:INDEX=0"}</definedName>
    <definedName name="_8901__FDSAUDITLINK__" hidden="1">{"fdsup://directions/FAT Viewer?action=UPDATE&amp;creator=factset&amp;DYN_ARGS=TRUE&amp;DOC_NAME=FAT:FQL_AUDITING_CLIENT_TEMPLATE.FAT&amp;display_string=Audit&amp;VAR:KEY=ZGBYPUBKVA&amp;VAR:QUERY=RkZfRUJJVERBX0lCKCdMVE1TJywzODY0MCk=&amp;WINDOW=FIRST_POPUP&amp;HEIGHT=450&amp;WIDTH=450&amp;START_MA","XIMIZED=FALSE&amp;VAR:CALENDAR=US&amp;VAR:SYMBOL=G0129K10&amp;VAR:INDEX=0"}</definedName>
    <definedName name="_8902__FDSAUDITLINK__" localSheetId="6" hidden="1">{"fdsup://directions/FAT Viewer?action=UPDATE&amp;creator=factset&amp;DYN_ARGS=TRUE&amp;DOC_NAME=FAT:FQL_AUDITING_CLIENT_TEMPLATE.FAT&amp;display_string=Audit&amp;VAR:KEY=HAVSBQZMXU&amp;VAR:QUERY=RkZfRUJJVERBX0lCKCdMVE1TJywzODYzOSk=&amp;WINDOW=FIRST_POPUP&amp;HEIGHT=450&amp;WIDTH=450&amp;START_MA","XIMIZED=FALSE&amp;VAR:CALENDAR=US&amp;VAR:SYMBOL=G0129K10&amp;VAR:INDEX=0"}</definedName>
    <definedName name="_8902__FDSAUDITLINK__" hidden="1">{"fdsup://directions/FAT Viewer?action=UPDATE&amp;creator=factset&amp;DYN_ARGS=TRUE&amp;DOC_NAME=FAT:FQL_AUDITING_CLIENT_TEMPLATE.FAT&amp;display_string=Audit&amp;VAR:KEY=HAVSBQZMXU&amp;VAR:QUERY=RkZfRUJJVERBX0lCKCdMVE1TJywzODYzOSk=&amp;WINDOW=FIRST_POPUP&amp;HEIGHT=450&amp;WIDTH=450&amp;START_MA","XIMIZED=FALSE&amp;VAR:CALENDAR=US&amp;VAR:SYMBOL=G0129K10&amp;VAR:INDEX=0"}</definedName>
    <definedName name="_8903__FDSAUDITLINK__" localSheetId="6" hidden="1">{"fdsup://directions/FAT Viewer?action=UPDATE&amp;creator=factset&amp;DYN_ARGS=TRUE&amp;DOC_NAME=FAT:FQL_AUDITING_CLIENT_TEMPLATE.FAT&amp;display_string=Audit&amp;VAR:KEY=RYLQTQNYFC&amp;VAR:QUERY=RkZfRUJJVERBX0lCKCdMVE1TJywzODYzOCk=&amp;WINDOW=FIRST_POPUP&amp;HEIGHT=450&amp;WIDTH=450&amp;START_MA","XIMIZED=FALSE&amp;VAR:CALENDAR=US&amp;VAR:SYMBOL=G0129K10&amp;VAR:INDEX=0"}</definedName>
    <definedName name="_8903__FDSAUDITLINK__" hidden="1">{"fdsup://directions/FAT Viewer?action=UPDATE&amp;creator=factset&amp;DYN_ARGS=TRUE&amp;DOC_NAME=FAT:FQL_AUDITING_CLIENT_TEMPLATE.FAT&amp;display_string=Audit&amp;VAR:KEY=RYLQTQNYFC&amp;VAR:QUERY=RkZfRUJJVERBX0lCKCdMVE1TJywzODYzOCk=&amp;WINDOW=FIRST_POPUP&amp;HEIGHT=450&amp;WIDTH=450&amp;START_MA","XIMIZED=FALSE&amp;VAR:CALENDAR=US&amp;VAR:SYMBOL=G0129K10&amp;VAR:INDEX=0"}</definedName>
    <definedName name="_8904__FDSAUDITLINK__" localSheetId="6" hidden="1">{"fdsup://directions/FAT Viewer?action=UPDATE&amp;creator=factset&amp;DYN_ARGS=TRUE&amp;DOC_NAME=FAT:FQL_AUDITING_CLIENT_TEMPLATE.FAT&amp;display_string=Audit&amp;VAR:KEY=VYXSJENSDS&amp;VAR:QUERY=RkZfRUJJVERBX0lCKCdMVE1TJywzODYzNyk=&amp;WINDOW=FIRST_POPUP&amp;HEIGHT=450&amp;WIDTH=450&amp;START_MA","XIMIZED=FALSE&amp;VAR:CALENDAR=US&amp;VAR:SYMBOL=G0129K10&amp;VAR:INDEX=0"}</definedName>
    <definedName name="_8904__FDSAUDITLINK__" hidden="1">{"fdsup://directions/FAT Viewer?action=UPDATE&amp;creator=factset&amp;DYN_ARGS=TRUE&amp;DOC_NAME=FAT:FQL_AUDITING_CLIENT_TEMPLATE.FAT&amp;display_string=Audit&amp;VAR:KEY=VYXSJENSDS&amp;VAR:QUERY=RkZfRUJJVERBX0lCKCdMVE1TJ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n=UPDATE&amp;creator=factset&amp;DYN_ARGS=TRUE&amp;DOC_NAME=FAT:FQL_AUDITING_CLIENT_TEMPLATE.FAT&amp;display_string=Audit&amp;VAR:KEY=ZUJYJKLEXY&amp;VAR:QUERY=RkZfRUJJVERBX0lCKCdMVE1TJywzODYzNik=&amp;WINDOW=FIRST_POPUP&amp;HEIGHT=450&amp;WIDTH=450&amp;START_MA","XIMIZED=FALSE&amp;VAR:CALENDAR=US&amp;VAR:SYMBOL=G0129K10&amp;VAR:INDEX=0"}</definedName>
    <definedName name="_8905__FDSAUDITLINK__" hidden="1">{"fdsup://directions/FAT Viewer?action=UPDATE&amp;creator=factset&amp;DYN_ARGS=TRUE&amp;DOC_NAME=FAT:FQL_AUDITING_CLIENT_TEMPLATE.FAT&amp;display_string=Audit&amp;VAR:KEY=ZUJYJKLEXY&amp;VAR:QUERY=RkZfRUJJVERBX0lCKCdMVE1TJywzODYzNik=&amp;WINDOW=FIRST_POPUP&amp;HEIGHT=450&amp;WIDTH=450&amp;START_MA","XIMIZED=FALSE&amp;VAR:CALENDAR=US&amp;VAR:SYMBOL=G0129K10&amp;VAR:INDEX=0"}</definedName>
    <definedName name="_8906__FDSAUDITLINK__" localSheetId="6" hidden="1">{"fdsup://directions/FAT Viewer?action=UPDATE&amp;creator=factset&amp;DYN_ARGS=TRUE&amp;DOC_NAME=FAT:FQL_AUDITING_CLIENT_TEMPLATE.FAT&amp;display_string=Audit&amp;VAR:KEY=XKFGPWJKDK&amp;VAR:QUERY=RkZfRUJJVERBX0lCKCdMVE1TJywzODYzNSk=&amp;WINDOW=FIRST_POPUP&amp;HEIGHT=450&amp;WIDTH=450&amp;START_MA","XIMIZED=FALSE&amp;VAR:CALENDAR=US&amp;VAR:SYMBOL=G0129K10&amp;VAR:INDEX=0"}</definedName>
    <definedName name="_8906__FDSAUDITLINK__" hidden="1">{"fdsup://directions/FAT Viewer?action=UPDATE&amp;creator=factset&amp;DYN_ARGS=TRUE&amp;DOC_NAME=FAT:FQL_AUDITING_CLIENT_TEMPLATE.FAT&amp;display_string=Audit&amp;VAR:KEY=XKFGPWJKDK&amp;VAR:QUERY=RkZfRUJJVERBX0lCKCdMVE1TJywzODYzNSk=&amp;WINDOW=FIRST_POPUP&amp;HEIGHT=450&amp;WIDTH=450&amp;START_MA","XIMIZED=FALSE&amp;VAR:CALENDAR=US&amp;VAR:SYMBOL=G0129K10&amp;VAR:INDEX=0"}</definedName>
    <definedName name="_8907__FDSAUDITLINK__" localSheetId="6" hidden="1">{"fdsup://directions/FAT Viewer?action=UPDATE&amp;creator=factset&amp;DYN_ARGS=TRUE&amp;DOC_NAME=FAT:FQL_AUDITING_CLIENT_TEMPLATE.FAT&amp;display_string=Audit&amp;VAR:KEY=NIRYHGJGVQ&amp;VAR:QUERY=RkZfRUJJVERBX0lCKCdMVE1TJywzODYzNCk=&amp;WINDOW=FIRST_POPUP&amp;HEIGHT=450&amp;WIDTH=450&amp;START_MA","XIMIZED=FALSE&amp;VAR:CALENDAR=US&amp;VAR:SYMBOL=G0129K10&amp;VAR:INDEX=0"}</definedName>
    <definedName name="_8907__FDSAUDITLINK__" hidden="1">{"fdsup://directions/FAT Viewer?action=UPDATE&amp;creator=factset&amp;DYN_ARGS=TRUE&amp;DOC_NAME=FAT:FQL_AUDITING_CLIENT_TEMPLATE.FAT&amp;display_string=Audit&amp;VAR:KEY=NIRYHGJGVQ&amp;VAR:QUERY=RkZfRUJJVERBX0lCKCdMVE1TJywzODYzNCk=&amp;WINDOW=FIRST_POPUP&amp;HEIGHT=450&amp;WIDTH=450&amp;START_MA","XIMIZED=FALSE&amp;VAR:CALENDAR=US&amp;VAR:SYMBOL=G0129K10&amp;VAR:INDEX=0"}</definedName>
    <definedName name="_8908__FDSAUDITLINK__" localSheetId="6" hidden="1">{"fdsup://directions/FAT Viewer?action=UPDATE&amp;creator=factset&amp;DYN_ARGS=TRUE&amp;DOC_NAME=FAT:FQL_AUDITING_CLIENT_TEMPLATE.FAT&amp;display_string=Audit&amp;VAR:KEY=PKXAXWBSHE&amp;VAR:QUERY=RkZfRUJJVERBX0lCKCdMVE1TJywzODYzMyk=&amp;WINDOW=FIRST_POPUP&amp;HEIGHT=450&amp;WIDTH=450&amp;START_MA","XIMIZED=FALSE&amp;VAR:CALENDAR=US&amp;VAR:SYMBOL=G0129K10&amp;VAR:INDEX=0"}</definedName>
    <definedName name="_8908__FDSAUDITLINK__" hidden="1">{"fdsup://directions/FAT Viewer?action=UPDATE&amp;creator=factset&amp;DYN_ARGS=TRUE&amp;DOC_NAME=FAT:FQL_AUDITING_CLIENT_TEMPLATE.FAT&amp;display_string=Audit&amp;VAR:KEY=PKXAXWBSHE&amp;VAR:QUERY=RkZfRUJJVERBX0lCKCdMVE1TJywzODYzMyk=&amp;WINDOW=FIRST_POPUP&amp;HEIGHT=450&amp;WIDTH=450&amp;START_MA","XIMIZED=FALSE&amp;VAR:CALENDAR=US&amp;VAR:SYMBOL=G0129K10&amp;VAR:INDEX=0"}</definedName>
    <definedName name="_8909__FDSAUDITLINK__" localSheetId="6" hidden="1">{"fdsup://directions/FAT Viewer?action=UPDATE&amp;creator=factset&amp;DYN_ARGS=TRUE&amp;DOC_NAME=FAT:FQL_AUDITING_CLIENT_TEMPLATE.FAT&amp;display_string=Audit&amp;VAR:KEY=ZGLIBCNUVQ&amp;VAR:QUERY=RkZfRUJJVERBX0lCKCdMVE1TJywzODYzMik=&amp;WINDOW=FIRST_POPUP&amp;HEIGHT=450&amp;WIDTH=450&amp;START_MA","XIMIZED=FALSE&amp;VAR:CALENDAR=US&amp;VAR:SYMBOL=G0129K10&amp;VAR:INDEX=0"}</definedName>
    <definedName name="_8909__FDSAUDITLINK__" hidden="1">{"fdsup://directions/FAT Viewer?action=UPDATE&amp;creator=factset&amp;DYN_ARGS=TRUE&amp;DOC_NAME=FAT:FQL_AUDITING_CLIENT_TEMPLATE.FAT&amp;display_string=Audit&amp;VAR:KEY=ZGLIBCNUVQ&amp;VAR:QUERY=RkZfRUJJVERBX0lCKCdMVE1TJywzODYzMik=&amp;WINDOW=FIRST_POPUP&amp;HEIGHT=450&amp;WIDTH=450&amp;START_MA","XIMIZED=FALSE&amp;VAR:CALENDAR=US&amp;VAR:SYMBOL=G0129K10&amp;VAR:INDEX=0"}</definedName>
    <definedName name="_891__FDSAUDITLINK__" localSheetId="6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1__FDSAUDITLINK__" hidden="1">{"fdsup://directions/FAT%20Viewer?VAR:PED=LTM&amp;VAR:AUDIT_MODE=SUMMARY&amp;VAR:PERIOD=FIXED&amp;VAR:AUDIT_ID=00000117&amp;VAR:DATE=20070914&amp;action=UPDATE&amp;creator=factset&amp;DOC_NAME=FAT:FMA_audit_SUMMARY.fat&amp;DISPLAY_STRING=Display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10__FDSAUDITLINK__" localSheetId="6" hidden="1">{"fdsup://directions/FAT Viewer?action=UPDATE&amp;creator=factset&amp;DYN_ARGS=TRUE&amp;DOC_NAME=FAT:FQL_AUDITING_CLIENT_TEMPLATE.FAT&amp;display_string=Audit&amp;VAR:KEY=NMBCBQBKTU&amp;VAR:QUERY=RkZfRUJJVERBX0lCKCdMVE1TJywzODYzMSk=&amp;WINDOW=FIRST_POPUP&amp;HEIGHT=450&amp;WIDTH=450&amp;START_MA","XIMIZED=FALSE&amp;VAR:CALENDAR=US&amp;VAR:SYMBOL=G0129K10&amp;VAR:INDEX=0"}</definedName>
    <definedName name="_8910__FDSAUDITLINK__" hidden="1">{"fdsup://directions/FAT Viewer?action=UPDATE&amp;creator=factset&amp;DYN_ARGS=TRUE&amp;DOC_NAME=FAT:FQL_AUDITING_CLIENT_TEMPLATE.FAT&amp;display_string=Audit&amp;VAR:KEY=NMBCBQBKTU&amp;VAR:QUERY=RkZfRUJJVERBX0lCKCdMVE1TJywzODYzMSk=&amp;WINDOW=FIRST_POPUP&amp;HEIGHT=450&amp;WIDTH=450&amp;START_MA","XIMIZED=FALSE&amp;VAR:CALENDAR=US&amp;VAR:SYMBOL=G0129K10&amp;VAR:INDEX=0"}</definedName>
    <definedName name="_8911__FDSAUDITLINK__" localSheetId="6" hidden="1">{"fdsup://directions/FAT Viewer?action=UPDATE&amp;creator=factset&amp;DYN_ARGS=TRUE&amp;DOC_NAME=FAT:FQL_AUDITING_CLIENT_TEMPLATE.FAT&amp;display_string=Audit&amp;VAR:KEY=PKHKNCLSTS&amp;VAR:QUERY=RkZfRUJJVERBX0lCKCdMVE1TJywzODYzMCk=&amp;WINDOW=FIRST_POPUP&amp;HEIGHT=450&amp;WIDTH=450&amp;START_MA","XIMIZED=FALSE&amp;VAR:CALENDAR=US&amp;VAR:SYMBOL=G0129K10&amp;VAR:INDEX=0"}</definedName>
    <definedName name="_8911__FDSAUDITLINK__" hidden="1">{"fdsup://directions/FAT Viewer?action=UPDATE&amp;creator=factset&amp;DYN_ARGS=TRUE&amp;DOC_NAME=FAT:FQL_AUDITING_CLIENT_TEMPLATE.FAT&amp;display_string=Audit&amp;VAR:KEY=PKHKNCLSTS&amp;VAR:QUERY=RkZfRUJJVERBX0lCKCdMVE1TJywzODYzMCk=&amp;WINDOW=FIRST_POPUP&amp;HEIGHT=450&amp;WIDTH=450&amp;START_MA","XIMIZED=FALSE&amp;VAR:CALENDAR=US&amp;VAR:SYMBOL=G0129K10&amp;VAR:INDEX=0"}</definedName>
    <definedName name="_8912__FDSAUDITLINK__" localSheetId="6" hidden="1">{"fdsup://directions/FAT Viewer?action=UPDATE&amp;creator=factset&amp;DYN_ARGS=TRUE&amp;DOC_NAME=FAT:FQL_AUDITING_CLIENT_TEMPLATE.FAT&amp;display_string=Audit&amp;VAR:KEY=VAZWHUTQDQ&amp;VAR:QUERY=RkZfRUJJVERBX0lCKCdMVE1TJywzODYyOSk=&amp;WINDOW=FIRST_POPUP&amp;HEIGHT=450&amp;WIDTH=450&amp;START_MA","XIMIZED=FALSE&amp;VAR:CALENDAR=US&amp;VAR:SYMBOL=G0129K10&amp;VAR:INDEX=0"}</definedName>
    <definedName name="_8912__FDSAUDITLINK__" hidden="1">{"fdsup://directions/FAT Viewer?action=UPDATE&amp;creator=factset&amp;DYN_ARGS=TRUE&amp;DOC_NAME=FAT:FQL_AUDITING_CLIENT_TEMPLATE.FAT&amp;display_string=Audit&amp;VAR:KEY=VAZWHUTQDQ&amp;VAR:QUERY=RkZfRUJJVERBX0lCKCdMVE1TJywzODYyOSk=&amp;WINDOW=FIRST_POPUP&amp;HEIGHT=450&amp;WIDTH=450&amp;START_MA","XIMIZED=FALSE&amp;VAR:CALENDAR=US&amp;VAR:SYMBOL=G0129K10&amp;VAR:INDEX=0"}</definedName>
    <definedName name="_8913__FDSAUDITLINK__" localSheetId="6" hidden="1">{"fdsup://directions/FAT Viewer?action=UPDATE&amp;creator=factset&amp;DYN_ARGS=TRUE&amp;DOC_NAME=FAT:FQL_AUDITING_CLIENT_TEMPLATE.FAT&amp;display_string=Audit&amp;VAR:KEY=XQHEZKLIHA&amp;VAR:QUERY=RkZfRUJJVERBX0lCKCdMVE1TJywzODYyOCk=&amp;WINDOW=FIRST_POPUP&amp;HEIGHT=450&amp;WIDTH=450&amp;START_MA","XIMIZED=FALSE&amp;VAR:CALENDAR=US&amp;VAR:SYMBOL=G0129K10&amp;VAR:INDEX=0"}</definedName>
    <definedName name="_8913__FDSAUDITLINK__" hidden="1">{"fdsup://directions/FAT Viewer?action=UPDATE&amp;creator=factset&amp;DYN_ARGS=TRUE&amp;DOC_NAME=FAT:FQL_AUDITING_CLIENT_TEMPLATE.FAT&amp;display_string=Audit&amp;VAR:KEY=XQHEZKLIHA&amp;VAR:QUERY=RkZfRUJJVERBX0lCKCdMVE1TJywzODYyOCk=&amp;WINDOW=FIRST_POPUP&amp;HEIGHT=450&amp;WIDTH=450&amp;START_MA","XIMIZED=FALSE&amp;VAR:CALENDAR=US&amp;VAR:SYMBOL=G0129K10&amp;VAR:INDEX=0"}</definedName>
    <definedName name="_8914__FDSAUDITLINK__" localSheetId="6" hidden="1">{"fdsup://directions/FAT Viewer?action=UPDATE&amp;creator=factset&amp;DYN_ARGS=TRUE&amp;DOC_NAME=FAT:FQL_AUDITING_CLIENT_TEMPLATE.FAT&amp;display_string=Audit&amp;VAR:KEY=ZGXGPGFYBC&amp;VAR:QUERY=RkZfRUJJVERBX0lCKCdMVE1TJywzODYyNyk=&amp;WINDOW=FIRST_POPUP&amp;HEIGHT=450&amp;WIDTH=450&amp;START_MA","XIMIZED=FALSE&amp;VAR:CALENDAR=US&amp;VAR:SYMBOL=G0129K10&amp;VAR:INDEX=0"}</definedName>
    <definedName name="_8914__FDSAUDITLINK__" hidden="1">{"fdsup://directions/FAT Viewer?action=UPDATE&amp;creator=factset&amp;DYN_ARGS=TRUE&amp;DOC_NAME=FAT:FQL_AUDITING_CLIENT_TEMPLATE.FAT&amp;display_string=Audit&amp;VAR:KEY=ZGXGPGFYBC&amp;VAR:QUERY=RkZfRUJJVERBX0lCKCdMVE1TJywzODYyNyk=&amp;WINDOW=FIRST_POPUP&amp;HEIGHT=450&amp;WIDTH=450&amp;START_MA","XIMIZED=FALSE&amp;VAR:CALENDAR=US&amp;VAR:SYMBOL=G0129K10&amp;VAR:INDEX=0"}</definedName>
    <definedName name="_8915__FDSAUDITLINK__" localSheetId="6" hidden="1">{"fdsup://directions/FAT Viewer?action=UPDATE&amp;creator=factset&amp;DYN_ARGS=TRUE&amp;DOC_NAME=FAT:FQL_AUDITING_CLIENT_TEMPLATE.FAT&amp;display_string=Audit&amp;VAR:KEY=HKVENAZUZW&amp;VAR:QUERY=RkZfRUJJVERBX0lCKCdMVE1TJywzODYyNik=&amp;WINDOW=FIRST_POPUP&amp;HEIGHT=450&amp;WIDTH=450&amp;START_MA","XIMIZED=FALSE&amp;VAR:CALENDAR=US&amp;VAR:SYMBOL=G0129K10&amp;VAR:INDEX=0"}</definedName>
    <definedName name="_8915__FDSAUDITLINK__" hidden="1">{"fdsup://directions/FAT Viewer?action=UPDATE&amp;creator=factset&amp;DYN_ARGS=TRUE&amp;DOC_NAME=FAT:FQL_AUDITING_CLIENT_TEMPLATE.FAT&amp;display_string=Audit&amp;VAR:KEY=HKVENAZUZW&amp;VAR:QUERY=RkZfRUJJVERBX0lCKCdMVE1TJywzODYyNik=&amp;WINDOW=FIRST_POPUP&amp;HEIGHT=450&amp;WIDTH=450&amp;START_MA","XIMIZED=FALSE&amp;VAR:CALENDAR=US&amp;VAR:SYMBOL=G0129K10&amp;VAR:INDEX=0"}</definedName>
    <definedName name="_8916__FDSAUDITLINK__" localSheetId="6" hidden="1">{"fdsup://directions/FAT Viewer?action=UPDATE&amp;creator=factset&amp;DYN_ARGS=TRUE&amp;DOC_NAME=FAT:FQL_AUDITING_CLIENT_TEMPLATE.FAT&amp;display_string=Audit&amp;VAR:KEY=LCVEZEVIHS&amp;VAR:QUERY=RkZfRUJJVERBX0lCKCdMVE1TJywzODYyNSk=&amp;WINDOW=FIRST_POPUP&amp;HEIGHT=450&amp;WIDTH=450&amp;START_MA","XIMIZED=FALSE&amp;VAR:CALENDAR=US&amp;VAR:SYMBOL=G0129K10&amp;VAR:INDEX=0"}</definedName>
    <definedName name="_8916__FDSAUDITLINK__" hidden="1">{"fdsup://directions/FAT Viewer?action=UPDATE&amp;creator=factset&amp;DYN_ARGS=TRUE&amp;DOC_NAME=FAT:FQL_AUDITING_CLIENT_TEMPLATE.FAT&amp;display_string=Audit&amp;VAR:KEY=LCVEZEVIHS&amp;VAR:QUERY=RkZfRUJJVERBX0lCKCdMVE1TJywzODYyNSk=&amp;WINDOW=FIRST_POPUP&amp;HEIGHT=450&amp;WIDTH=450&amp;START_MA","XIMIZED=FALSE&amp;VAR:CALENDAR=US&amp;VAR:SYMBOL=G0129K10&amp;VAR:INDEX=0"}</definedName>
    <definedName name="_8917__FDSAUDITLINK__" localSheetId="6" hidden="1">{"fdsup://directions/FAT Viewer?action=UPDATE&amp;creator=factset&amp;DYN_ARGS=TRUE&amp;DOC_NAME=FAT:FQL_AUDITING_CLIENT_TEMPLATE.FAT&amp;display_string=Audit&amp;VAR:KEY=JGRMLWLUFC&amp;VAR:QUERY=RkZfRUJJVERBX0lCKCdMVE1TJywzODYyNCk=&amp;WINDOW=FIRST_POPUP&amp;HEIGHT=450&amp;WIDTH=450&amp;START_MA","XIMIZED=FALSE&amp;VAR:CALENDAR=US&amp;VAR:SYMBOL=G0129K10&amp;VAR:INDEX=0"}</definedName>
    <definedName name="_8917__FDSAUDITLINK__" hidden="1">{"fdsup://directions/FAT Viewer?action=UPDATE&amp;creator=factset&amp;DYN_ARGS=TRUE&amp;DOC_NAME=FAT:FQL_AUDITING_CLIENT_TEMPLATE.FAT&amp;display_string=Audit&amp;VAR:KEY=JGRMLWLUFC&amp;VAR:QUERY=RkZfRUJJVERBX0lCKCdMVE1TJywzODYyNCk=&amp;WINDOW=FIRST_POPUP&amp;HEIGHT=450&amp;WIDTH=450&amp;START_MA","XIMIZED=FALSE&amp;VAR:CALENDAR=US&amp;VAR:SYMBOL=G0129K10&amp;VAR:INDEX=0"}</definedName>
    <definedName name="_8918__FDSAUDITLINK__" localSheetId="6" hidden="1">{"fdsup://directions/FAT Viewer?action=UPDATE&amp;creator=factset&amp;DYN_ARGS=TRUE&amp;DOC_NAME=FAT:FQL_AUDITING_CLIENT_TEMPLATE.FAT&amp;display_string=Audit&amp;VAR:KEY=XKVMHUROFC&amp;VAR:QUERY=RkZfRUJJVERBX0lCKCdMVE1TJywzODYyMyk=&amp;WINDOW=FIRST_POPUP&amp;HEIGHT=450&amp;WIDTH=450&amp;START_MA","XIMIZED=FALSE&amp;VAR:CALENDAR=US&amp;VAR:SYMBOL=G0129K10&amp;VAR:INDEX=0"}</definedName>
    <definedName name="_8918__FDSAUDITLINK__" hidden="1">{"fdsup://directions/FAT Viewer?action=UPDATE&amp;creator=factset&amp;DYN_ARGS=TRUE&amp;DOC_NAME=FAT:FQL_AUDITING_CLIENT_TEMPLATE.FAT&amp;display_string=Audit&amp;VAR:KEY=XKVMHUROFC&amp;VAR:QUERY=RkZfRUJJVERBX0lCKCdMVE1TJywzODYyMyk=&amp;WINDOW=FIRST_POPUP&amp;HEIGHT=450&amp;WIDTH=450&amp;START_MA","XIMIZED=FALSE&amp;VAR:CALENDAR=US&amp;VAR:SYMBOL=G0129K10&amp;VAR:INDEX=0"}</definedName>
    <definedName name="_8919__FDSAUDITLINK__" localSheetId="6" hidden="1">{"fdsup://directions/FAT Viewer?action=UPDATE&amp;creator=factset&amp;DYN_ARGS=TRUE&amp;DOC_NAME=FAT:FQL_AUDITING_CLIENT_TEMPLATE.FAT&amp;display_string=Audit&amp;VAR:KEY=DILSVABEFS&amp;VAR:QUERY=RkZfRUJJVERBX0lCKCdMVE1TJywzODYyMik=&amp;WINDOW=FIRST_POPUP&amp;HEIGHT=450&amp;WIDTH=450&amp;START_MA","XIMIZED=FALSE&amp;VAR:CALENDAR=US&amp;VAR:SYMBOL=G0129K10&amp;VAR:INDEX=0"}</definedName>
    <definedName name="_8919__FDSAUDITLINK__" hidden="1">{"fdsup://directions/FAT Viewer?action=UPDATE&amp;creator=factset&amp;DYN_ARGS=TRUE&amp;DOC_NAME=FAT:FQL_AUDITING_CLIENT_TEMPLATE.FAT&amp;display_string=Audit&amp;VAR:KEY=DILSVABEFS&amp;VAR:QUERY=RkZfRUJJVERBX0lCKCdMVE1TJywzODYyMik=&amp;WINDOW=FIRST_POPUP&amp;HEIGHT=450&amp;WIDTH=450&amp;START_MA","XIMIZED=FALSE&amp;VAR:CALENDAR=US&amp;VAR:SYMBOL=G0129K10&amp;VAR:INDEX=0"}</definedName>
    <definedName name="_892__FDSAUDITLINK__" localSheetId="6" hidden="1">{"fdsup://directions/FAT%20Viewer?VAR:PED=LTM&amp;VAR:AUDIT_MODE=SUMMARY&amp;VAR:PERIOD=FIXED&amp;VAR:AUDIT_ID=00000117&amp;VAR:DATE=20070913&amp;action=UPDATE&amp;creator=factset&amp;DOC_NAME=FAT:FMA_audit_SUMMARY.fat&amp;DISPLAY_STRING=Display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2__FDSAUDITLINK__" hidden="1">{"fdsup://directions/FAT%20Viewer?VAR:PED=LTM&amp;VAR:AUDIT_MODE=SUMMARY&amp;VAR:PERIOD=FIXED&amp;VAR:AUDIT_ID=00000117&amp;VAR:DATE=20070913&amp;action=UPDATE&amp;creator=factset&amp;DOC_NAME=FAT:FMA_audit_SUMMARY.fat&amp;DISPLAY_STRING=Display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20__FDSAUDITLINK__" localSheetId="6" hidden="1">{"fdsup://directions/FAT Viewer?action=UPDATE&amp;creator=factset&amp;DYN_ARGS=TRUE&amp;DOC_NAME=FAT:FQL_AUDITING_CLIENT_TEMPLATE.FAT&amp;display_string=Audit&amp;VAR:KEY=ZUNQJALQLS&amp;VAR:QUERY=RkZfRUJJVERBX0lCKCdMVE1TJywzODYyMSk=&amp;WINDOW=FIRST_POPUP&amp;HEIGHT=450&amp;WIDTH=450&amp;START_MA","XIMIZED=FALSE&amp;VAR:CALENDAR=US&amp;VAR:SYMBOL=G0129K10&amp;VAR:INDEX=0"}</definedName>
    <definedName name="_8920__FDSAUDITLINK__" hidden="1">{"fdsup://directions/FAT Viewer?action=UPDATE&amp;creator=factset&amp;DYN_ARGS=TRUE&amp;DOC_NAME=FAT:FQL_AUDITING_CLIENT_TEMPLATE.FAT&amp;display_string=Audit&amp;VAR:KEY=ZUNQJALQLS&amp;VAR:QUERY=RkZfRUJJVERBX0lCKCdMVE1TJywzODYyMSk=&amp;WINDOW=FIRST_POPUP&amp;HEIGHT=450&amp;WIDTH=450&amp;START_MA","XIMIZED=FALSE&amp;VAR:CALENDAR=US&amp;VAR:SYMBOL=G0129K10&amp;VAR:INDEX=0"}</definedName>
    <definedName name="_8921__FDSAUDITLINK__" localSheetId="6" hidden="1">{"fdsup://directions/FAT Viewer?action=UPDATE&amp;creator=factset&amp;DYN_ARGS=TRUE&amp;DOC_NAME=FAT:FQL_AUDITING_CLIENT_TEMPLATE.FAT&amp;display_string=Audit&amp;VAR:KEY=ZGFKTAZGLW&amp;VAR:QUERY=RkZfRUJJVERBX0lCKCdMVE1TJywzODYyMCk=&amp;WINDOW=FIRST_POPUP&amp;HEIGHT=450&amp;WIDTH=450&amp;START_MA","XIMIZED=FALSE&amp;VAR:CALENDAR=US&amp;VAR:SYMBOL=G0129K10&amp;VAR:INDEX=0"}</definedName>
    <definedName name="_8921__FDSAUDITLINK__" hidden="1">{"fdsup://directions/FAT Viewer?action=UPDATE&amp;creator=factset&amp;DYN_ARGS=TRUE&amp;DOC_NAME=FAT:FQL_AUDITING_CLIENT_TEMPLATE.FAT&amp;display_string=Audit&amp;VAR:KEY=ZGFKTAZGLW&amp;VAR:QUERY=RkZfRUJJVERBX0lCKCdMVE1TJywzODYyMCk=&amp;WINDOW=FIRST_POPUP&amp;HEIGHT=450&amp;WIDTH=450&amp;START_MA","XIMIZED=FALSE&amp;VAR:CALENDAR=US&amp;VAR:SYMBOL=G0129K10&amp;VAR:INDEX=0"}</definedName>
    <definedName name="_8922__FDSAUDITLINK__" localSheetId="6" hidden="1">{"fdsup://directions/FAT Viewer?action=UPDATE&amp;creator=factset&amp;DYN_ARGS=TRUE&amp;DOC_NAME=FAT:FQL_AUDITING_CLIENT_TEMPLATE.FAT&amp;display_string=Audit&amp;VAR:KEY=FGXCXKVUBI&amp;VAR:QUERY=RkZfRUJJVERBX0lCKCdMVE1TJywzODYxOSk=&amp;WINDOW=FIRST_POPUP&amp;HEIGHT=450&amp;WIDTH=450&amp;START_MA","XIMIZED=FALSE&amp;VAR:CALENDAR=US&amp;VAR:SYMBOL=G0129K10&amp;VAR:INDEX=0"}</definedName>
    <definedName name="_8922__FDSAUDITLINK__" hidden="1">{"fdsup://directions/FAT Viewer?action=UPDATE&amp;creator=factset&amp;DYN_ARGS=TRUE&amp;DOC_NAME=FAT:FQL_AUDITING_CLIENT_TEMPLATE.FAT&amp;display_string=Audit&amp;VAR:KEY=FGXCXKVUBI&amp;VAR:QUERY=RkZfRUJJVERBX0lCKCdMVE1TJywzODYxOSk=&amp;WINDOW=FIRST_POPUP&amp;HEIGHT=450&amp;WIDTH=450&amp;START_MA","XIMIZED=FALSE&amp;VAR:CALENDAR=US&amp;VAR:SYMBOL=G0129K10&amp;VAR:INDEX=0"}</definedName>
    <definedName name="_8923__FDSAUDITLINK__" localSheetId="6" hidden="1">{"fdsup://directions/FAT Viewer?action=UPDATE&amp;creator=factset&amp;DYN_ARGS=TRUE&amp;DOC_NAME=FAT:FQL_AUDITING_CLIENT_TEMPLATE.FAT&amp;display_string=Audit&amp;VAR:KEY=TIXUDEZWLO&amp;VAR:QUERY=RkZfRUJJVERBX0lCKCdMVE1TJywzODYxOCk=&amp;WINDOW=FIRST_POPUP&amp;HEIGHT=450&amp;WIDTH=450&amp;START_MA","XIMIZED=FALSE&amp;VAR:CALENDAR=US&amp;VAR:SYMBOL=G0129K10&amp;VAR:INDEX=0"}</definedName>
    <definedName name="_8923__FDSAUDITLINK__" hidden="1">{"fdsup://directions/FAT Viewer?action=UPDATE&amp;creator=factset&amp;DYN_ARGS=TRUE&amp;DOC_NAME=FAT:FQL_AUDITING_CLIENT_TEMPLATE.FAT&amp;display_string=Audit&amp;VAR:KEY=TIXUDEZWLO&amp;VAR:QUERY=RkZfRUJJVERBX0lCKCdMVE1TJywzODYxOCk=&amp;WINDOW=FIRST_POPUP&amp;HEIGHT=450&amp;WIDTH=450&amp;START_MA","XIMIZED=FALSE&amp;VAR:CALENDAR=US&amp;VAR:SYMBOL=G0129K10&amp;VAR:INDEX=0"}</definedName>
    <definedName name="_8924__FDSAUDITLINK__" localSheetId="6" hidden="1">{"fdsup://directions/FAT Viewer?action=UPDATE&amp;creator=factset&amp;DYN_ARGS=TRUE&amp;DOC_NAME=FAT:FQL_AUDITING_CLIENT_TEMPLATE.FAT&amp;display_string=Audit&amp;VAR:KEY=PCLOBMRQLO&amp;VAR:QUERY=RkZfRUJJVERBX0lCKCdMVE1TJywzODYxNyk=&amp;WINDOW=FIRST_POPUP&amp;HEIGHT=450&amp;WIDTH=450&amp;START_MA","XIMIZED=FALSE&amp;VAR:CALENDAR=US&amp;VAR:SYMBOL=G0129K10&amp;VAR:INDEX=0"}</definedName>
    <definedName name="_8924__FDSAUDITLINK__" hidden="1">{"fdsup://directions/FAT Viewer?action=UPDATE&amp;creator=factset&amp;DYN_ARGS=TRUE&amp;DOC_NAME=FAT:FQL_AUDITING_CLIENT_TEMPLATE.FAT&amp;display_string=Audit&amp;VAR:KEY=PCLOBMRQLO&amp;VAR:QUERY=RkZfRUJJVERBX0lCKCdMVE1TJywzODYxNyk=&amp;WINDOW=FIRST_POPUP&amp;HEIGHT=450&amp;WIDTH=450&amp;START_MA","XIMIZED=FALSE&amp;VAR:CALENDAR=US&amp;VAR:SYMBOL=G0129K10&amp;VAR:INDEX=0"}</definedName>
    <definedName name="_8925__FDSAUDITLINK__" localSheetId="6" hidden="1">{"fdsup://directions/FAT Viewer?action=UPDATE&amp;creator=factset&amp;DYN_ARGS=TRUE&amp;DOC_NAME=FAT:FQL_AUDITING_CLIENT_TEMPLATE.FAT&amp;display_string=Audit&amp;VAR:KEY=NAJGTYNYFE&amp;VAR:QUERY=RkZfRUJJVERBX0lCKCdMVE1TJywzODYxNik=&amp;WINDOW=FIRST_POPUP&amp;HEIGHT=450&amp;WIDTH=450&amp;START_MA","XIMIZED=FALSE&amp;VAR:CALENDAR=US&amp;VAR:SYMBOL=G0129K10&amp;VAR:INDEX=0"}</definedName>
    <definedName name="_8925__FDSAUDITLINK__" hidden="1">{"fdsup://directions/FAT Viewer?action=UPDATE&amp;creator=factset&amp;DYN_ARGS=TRUE&amp;DOC_NAME=FAT:FQL_AUDITING_CLIENT_TEMPLATE.FAT&amp;display_string=Audit&amp;VAR:KEY=NAJGTYNYFE&amp;VAR:QUERY=RkZfRUJJVERBX0lCKCdMVE1TJywzODYxNik=&amp;WINDOW=FIRST_POPUP&amp;HEIGHT=450&amp;WIDTH=450&amp;START_MA","XIMIZED=FALSE&amp;VAR:CALENDAR=US&amp;VAR:SYMBOL=G0129K10&amp;VAR:INDEX=0"}</definedName>
    <definedName name="_8926__FDSAUDITLINK__" localSheetId="6" hidden="1">{"fdsup://directions/FAT Viewer?action=UPDATE&amp;creator=factset&amp;DYN_ARGS=TRUE&amp;DOC_NAME=FAT:FQL_AUDITING_CLIENT_TEMPLATE.FAT&amp;display_string=Audit&amp;VAR:KEY=LAJGLEFYBU&amp;VAR:QUERY=RkZfRUJJVERBX0lCKCdMVE1TJywzODYxNSk=&amp;WINDOW=FIRST_POPUP&amp;HEIGHT=450&amp;WIDTH=450&amp;START_MA","XIMIZED=FALSE&amp;VAR:CALENDAR=US&amp;VAR:SYMBOL=G0129K10&amp;VAR:INDEX=0"}</definedName>
    <definedName name="_8926__FDSAUDITLINK__" hidden="1">{"fdsup://directions/FAT Viewer?action=UPDATE&amp;creator=factset&amp;DYN_ARGS=TRUE&amp;DOC_NAME=FAT:FQL_AUDITING_CLIENT_TEMPLATE.FAT&amp;display_string=Audit&amp;VAR:KEY=LAJGLEFYBU&amp;VAR:QUERY=RkZfRUJJVERBX0lCKCdMVE1TJywzODYxNSk=&amp;WINDOW=FIRST_POPUP&amp;HEIGHT=450&amp;WIDTH=450&amp;START_MA","XIMIZED=FALSE&amp;VAR:CALENDAR=US&amp;VAR:SYMBOL=G0129K10&amp;VAR:INDEX=0"}</definedName>
    <definedName name="_8927__FDSAUDITLINK__" localSheetId="6" hidden="1">{"fdsup://directions/FAT Viewer?action=UPDATE&amp;creator=factset&amp;DYN_ARGS=TRUE&amp;DOC_NAME=FAT:FQL_AUDITING_CLIENT_TEMPLATE.FAT&amp;display_string=Audit&amp;VAR:KEY=LIJQTKNGXM&amp;VAR:QUERY=RkZfRUJJVERBX0lCKCdMVE1TJywzODYxNCk=&amp;WINDOW=FIRST_POPUP&amp;HEIGHT=450&amp;WIDTH=450&amp;START_MA","XIMIZED=FALSE&amp;VAR:CALENDAR=US&amp;VAR:SYMBOL=G0129K10&amp;VAR:INDEX=0"}</definedName>
    <definedName name="_8927__FDSAUDITLINK__" hidden="1">{"fdsup://directions/FAT Viewer?action=UPDATE&amp;creator=factset&amp;DYN_ARGS=TRUE&amp;DOC_NAME=FAT:FQL_AUDITING_CLIENT_TEMPLATE.FAT&amp;display_string=Audit&amp;VAR:KEY=LIJQTKNGXM&amp;VAR:QUERY=RkZfRUJJVERBX0lCKCdMVE1TJywzODYxNCk=&amp;WINDOW=FIRST_POPUP&amp;HEIGHT=450&amp;WIDTH=450&amp;START_MA","XIMIZED=FALSE&amp;VAR:CALENDAR=US&amp;VAR:SYMBOL=G0129K10&amp;VAR:INDEX=0"}</definedName>
    <definedName name="_8928__FDSAUDITLINK__" localSheetId="6" hidden="1">{"fdsup://directions/FAT Viewer?action=UPDATE&amp;creator=factset&amp;DYN_ARGS=TRUE&amp;DOC_NAME=FAT:FQL_AUDITING_CLIENT_TEMPLATE.FAT&amp;display_string=Audit&amp;VAR:KEY=LQRKPKXWHW&amp;VAR:QUERY=RkZfRUJJVERBX0lCKCdMVE1TJywzODYxMyk=&amp;WINDOW=FIRST_POPUP&amp;HEIGHT=450&amp;WIDTH=450&amp;START_MA","XIMIZED=FALSE&amp;VAR:CALENDAR=US&amp;VAR:SYMBOL=G0129K10&amp;VAR:INDEX=0"}</definedName>
    <definedName name="_8928__FDSAUDITLINK__" hidden="1">{"fdsup://directions/FAT Viewer?action=UPDATE&amp;creator=factset&amp;DYN_ARGS=TRUE&amp;DOC_NAME=FAT:FQL_AUDITING_CLIENT_TEMPLATE.FAT&amp;display_string=Audit&amp;VAR:KEY=LQRKPKXWHW&amp;VAR:QUERY=RkZfRUJJVERBX0lCKCdMVE1TJywzODYxMyk=&amp;WINDOW=FIRST_POPUP&amp;HEIGHT=450&amp;WIDTH=450&amp;START_MA","XIMIZED=FALSE&amp;VAR:CALENDAR=US&amp;VAR:SYMBOL=G0129K10&amp;VAR:INDEX=0"}</definedName>
    <definedName name="_8929__FDSAUDITLINK__" localSheetId="6" hidden="1">{"fdsup://directions/FAT Viewer?action=UPDATE&amp;creator=factset&amp;DYN_ARGS=TRUE&amp;DOC_NAME=FAT:FQL_AUDITING_CLIENT_TEMPLATE.FAT&amp;display_string=Audit&amp;VAR:KEY=FSLGNQXYNI&amp;VAR:QUERY=RkZfRUJJVERBX0lCKCdMVE1TJywzODYxMik=&amp;WINDOW=FIRST_POPUP&amp;HEIGHT=450&amp;WIDTH=450&amp;START_MA","XIMIZED=FALSE&amp;VAR:CALENDAR=US&amp;VAR:SYMBOL=G0129K10&amp;VAR:INDEX=0"}</definedName>
    <definedName name="_8929__FDSAUDITLINK__" hidden="1">{"fdsup://directions/FAT Viewer?action=UPDATE&amp;creator=factset&amp;DYN_ARGS=TRUE&amp;DOC_NAME=FAT:FQL_AUDITING_CLIENT_TEMPLATE.FAT&amp;display_string=Audit&amp;VAR:KEY=FSLGNQXYNI&amp;VAR:QUERY=RkZfRUJJVERBX0lCKCdMVE1TJywzODYxMik=&amp;WINDOW=FIRST_POPUP&amp;HEIGHT=450&amp;WIDTH=450&amp;START_MA","XIMIZED=FALSE&amp;VAR:CALENDAR=US&amp;VAR:SYMBOL=G0129K10&amp;VAR:INDEX=0"}</definedName>
    <definedName name="_893__FDSAUDITLINK__" localSheetId="6" hidden="1">{"fdsup://directions/FAT%20Viewer?VAR:PED=LTM&amp;VAR:AUDIT_MODE=SUMMARY&amp;VAR:PERIOD=FIXED&amp;VAR:AUDIT_ID=00000117&amp;VAR:DATE=20070912&amp;action=UPDATE&amp;creator=factset&amp;DOC_NAME=FAT:FMA_audit_SUMMARY.fat&amp;DISPLAY_STRING=Display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3__FDSAUDITLINK__" hidden="1">{"fdsup://directions/FAT%20Viewer?VAR:PED=LTM&amp;VAR:AUDIT_MODE=SUMMARY&amp;VAR:PERIOD=FIXED&amp;VAR:AUDIT_ID=00000117&amp;VAR:DATE=20070912&amp;action=UPDATE&amp;creator=factset&amp;DOC_NAME=FAT:FMA_audit_SUMMARY.fat&amp;DISPLAY_STRING=Display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30__FDSAUDITLINK__" localSheetId="6" hidden="1">{"fdsup://directions/FAT Viewer?action=UPDATE&amp;creator=factset&amp;DYN_ARGS=TRUE&amp;DOC_NAME=FAT:FQL_AUDITING_CLIENT_TEMPLATE.FAT&amp;display_string=Audit&amp;VAR:KEY=TOXERYDCFG&amp;VAR:QUERY=RkZfRUJJVERBX0lCKCdMVE1TJywzODYxMSk=&amp;WINDOW=FIRST_POPUP&amp;HEIGHT=450&amp;WIDTH=450&amp;START_MA","XIMIZED=FALSE&amp;VAR:CALENDAR=US&amp;VAR:SYMBOL=G0129K10&amp;VAR:INDEX=0"}</definedName>
    <definedName name="_8930__FDSAUDITLINK__" hidden="1">{"fdsup://directions/FAT Viewer?action=UPDATE&amp;creator=factset&amp;DYN_ARGS=TRUE&amp;DOC_NAME=FAT:FQL_AUDITING_CLIENT_TEMPLATE.FAT&amp;display_string=Audit&amp;VAR:KEY=TOXERYDCFG&amp;VAR:QUERY=RkZfRUJJVERBX0lCKCdMVE1TJywzODYxMSk=&amp;WINDOW=FIRST_POPUP&amp;HEIGHT=450&amp;WIDTH=450&amp;START_MA","XIMIZED=FALSE&amp;VAR:CALENDAR=US&amp;VAR:SYMBOL=G0129K10&amp;VAR:INDEX=0"}</definedName>
    <definedName name="_8931__FDSAUDITLINK__" localSheetId="6" hidden="1">{"fdsup://directions/FAT Viewer?action=UPDATE&amp;creator=factset&amp;DYN_ARGS=TRUE&amp;DOC_NAME=FAT:FQL_AUDITING_CLIENT_TEMPLATE.FAT&amp;display_string=Audit&amp;VAR:KEY=XATKJYNSHG&amp;VAR:QUERY=RkZfRUJJVERBX0lCKCdMVE1TJywzODYxMCk=&amp;WINDOW=FIRST_POPUP&amp;HEIGHT=450&amp;WIDTH=450&amp;START_MA","XIMIZED=FALSE&amp;VAR:CALENDAR=US&amp;VAR:SYMBOL=G0129K10&amp;VAR:INDEX=0"}</definedName>
    <definedName name="_8931__FDSAUDITLINK__" hidden="1">{"fdsup://directions/FAT Viewer?action=UPDATE&amp;creator=factset&amp;DYN_ARGS=TRUE&amp;DOC_NAME=FAT:FQL_AUDITING_CLIENT_TEMPLATE.FAT&amp;display_string=Audit&amp;VAR:KEY=XATKJYNSHG&amp;VAR:QUERY=RkZfRUJJVERBX0lCKCdMVE1TJywzODYxMCk=&amp;WINDOW=FIRST_POPUP&amp;HEIGHT=450&amp;WIDTH=450&amp;START_MA","XIMIZED=FALSE&amp;VAR:CALENDAR=US&amp;VAR:SYMBOL=G0129K10&amp;VAR:INDEX=0"}</definedName>
    <definedName name="_8932__FDSAUDITLINK__" localSheetId="6" hidden="1">{"fdsup://directions/FAT Viewer?action=UPDATE&amp;creator=factset&amp;DYN_ARGS=TRUE&amp;DOC_NAME=FAT:FQL_AUDITING_CLIENT_TEMPLATE.FAT&amp;display_string=Audit&amp;VAR:KEY=XQTWRMJWFG&amp;VAR:QUERY=RkZfRUJJVERBX0lCKCdMVE1TJywzODYwOSk=&amp;WINDOW=FIRST_POPUP&amp;HEIGHT=450&amp;WIDTH=450&amp;START_MA","XIMIZED=FALSE&amp;VAR:CALENDAR=US&amp;VAR:SYMBOL=G0129K10&amp;VAR:INDEX=0"}</definedName>
    <definedName name="_8932__FDSAUDITLINK__" hidden="1">{"fdsup://directions/FAT Viewer?action=UPDATE&amp;creator=factset&amp;DYN_ARGS=TRUE&amp;DOC_NAME=FAT:FQL_AUDITING_CLIENT_TEMPLATE.FAT&amp;display_string=Audit&amp;VAR:KEY=XQTWRMJWFG&amp;VAR:QUERY=RkZfRUJJVERBX0lCKCdMVE1TJywzODYwOSk=&amp;WINDOW=FIRST_POPUP&amp;HEIGHT=450&amp;WIDTH=450&amp;START_MA","XIMIZED=FALSE&amp;VAR:CALENDAR=US&amp;VAR:SYMBOL=G0129K10&amp;VAR:INDEX=0"}</definedName>
    <definedName name="_8933__FDSAUDITLINK__" localSheetId="6" hidden="1">{"fdsup://directions/FAT Viewer?action=UPDATE&amp;creator=factset&amp;DYN_ARGS=TRUE&amp;DOC_NAME=FAT:FQL_AUDITING_CLIENT_TEMPLATE.FAT&amp;display_string=Audit&amp;VAR:KEY=LGHSVCRYVQ&amp;VAR:QUERY=RkZfRUJJVERBX0lCKCdMVE1TJywzODYwOCk=&amp;WINDOW=FIRST_POPUP&amp;HEIGHT=450&amp;WIDTH=450&amp;START_MA","XIMIZED=FALSE&amp;VAR:CALENDAR=US&amp;VAR:SYMBOL=G0129K10&amp;VAR:INDEX=0"}</definedName>
    <definedName name="_8933__FDSAUDITLINK__" hidden="1">{"fdsup://directions/FAT Viewer?action=UPDATE&amp;creator=factset&amp;DYN_ARGS=TRUE&amp;DOC_NAME=FAT:FQL_AUDITING_CLIENT_TEMPLATE.FAT&amp;display_string=Audit&amp;VAR:KEY=LGHSVCRYVQ&amp;VAR:QUERY=RkZfRUJJVERBX0lCKCdMVE1TJywzODYwOCk=&amp;WINDOW=FIRST_POPUP&amp;HEIGHT=450&amp;WIDTH=450&amp;START_MA","XIMIZED=FALSE&amp;VAR:CALENDAR=US&amp;VAR:SYMBOL=G0129K10&amp;VAR:INDEX=0"}</definedName>
    <definedName name="_8934__FDSAUDITLINK__" localSheetId="6" hidden="1">{"fdsup://directions/FAT Viewer?action=UPDATE&amp;creator=factset&amp;DYN_ARGS=TRUE&amp;DOC_NAME=FAT:FQL_AUDITING_CLIENT_TEMPLATE.FAT&amp;display_string=Audit&amp;VAR:KEY=JCDIZCVALY&amp;VAR:QUERY=RkZfRUJJVERBX0lCKCdMVE1TJywzODYwNyk=&amp;WINDOW=FIRST_POPUP&amp;HEIGHT=450&amp;WIDTH=450&amp;START_MA","XIMIZED=FALSE&amp;VAR:CALENDAR=US&amp;VAR:SYMBOL=G0129K10&amp;VAR:INDEX=0"}</definedName>
    <definedName name="_8934__FDSAUDITLINK__" hidden="1">{"fdsup://directions/FAT Viewer?action=UPDATE&amp;creator=factset&amp;DYN_ARGS=TRUE&amp;DOC_NAME=FAT:FQL_AUDITING_CLIENT_TEMPLATE.FAT&amp;display_string=Audit&amp;VAR:KEY=JCDIZCVALY&amp;VAR:QUERY=RkZfRUJJVERBX0lCKCdMVE1TJywzODYwNyk=&amp;WINDOW=FIRST_POPUP&amp;HEIGHT=450&amp;WIDTH=450&amp;START_MA","XIMIZED=FALSE&amp;VAR:CALENDAR=US&amp;VAR:SYMBOL=G0129K10&amp;VAR:INDEX=0"}</definedName>
    <definedName name="_8935__FDSAUDITLINK__" localSheetId="6" hidden="1">{"fdsup://directions/FAT Viewer?action=UPDATE&amp;creator=factset&amp;DYN_ARGS=TRUE&amp;DOC_NAME=FAT:FQL_AUDITING_CLIENT_TEMPLATE.FAT&amp;display_string=Audit&amp;VAR:KEY=TADOFOTGFS&amp;VAR:QUERY=RkZfRUJJVERBX0lCKCdMVE1TJywzODYwNik=&amp;WINDOW=FIRST_POPUP&amp;HEIGHT=450&amp;WIDTH=450&amp;START_MA","XIMIZED=FALSE&amp;VAR:CALENDAR=US&amp;VAR:SYMBOL=G0129K10&amp;VAR:INDEX=0"}</definedName>
    <definedName name="_8935__FDSAUDITLINK__" hidden="1">{"fdsup://directions/FAT Viewer?action=UPDATE&amp;creator=factset&amp;DYN_ARGS=TRUE&amp;DOC_NAME=FAT:FQL_AUDITING_CLIENT_TEMPLATE.FAT&amp;display_string=Audit&amp;VAR:KEY=TADOFOTGFS&amp;VAR:QUERY=RkZfRUJJVERBX0lCKCdMVE1TJywzODYwNik=&amp;WINDOW=FIRST_POPUP&amp;HEIGHT=450&amp;WIDTH=450&amp;START_MA","XIMIZED=FALSE&amp;VAR:CALENDAR=US&amp;VAR:SYMBOL=G0129K10&amp;VAR:INDEX=0"}</definedName>
    <definedName name="_8936__FDSAUDITLINK__" localSheetId="6" hidden="1">{"fdsup://directions/FAT Viewer?action=UPDATE&amp;creator=factset&amp;DYN_ARGS=TRUE&amp;DOC_NAME=FAT:FQL_AUDITING_CLIENT_TEMPLATE.FAT&amp;display_string=Audit&amp;VAR:KEY=BUTCBSNKLK&amp;VAR:QUERY=RkZfRUJJVERBX0lCKCdMVE1TJywzODYwNSk=&amp;WINDOW=FIRST_POPUP&amp;HEIGHT=450&amp;WIDTH=450&amp;START_MA","XIMIZED=FALSE&amp;VAR:CALENDAR=US&amp;VAR:SYMBOL=G0129K10&amp;VAR:INDEX=0"}</definedName>
    <definedName name="_8936__FDSAUDITLINK__" hidden="1">{"fdsup://directions/FAT Viewer?action=UPDATE&amp;creator=factset&amp;DYN_ARGS=TRUE&amp;DOC_NAME=FAT:FQL_AUDITING_CLIENT_TEMPLATE.FAT&amp;display_string=Audit&amp;VAR:KEY=BUTCBSNKLK&amp;VAR:QUERY=RkZfRUJJVERBX0lCKCdMVE1TJywzODYwNSk=&amp;WINDOW=FIRST_POPUP&amp;HEIGHT=450&amp;WIDTH=450&amp;START_MA","XIMIZED=FALSE&amp;VAR:CALENDAR=US&amp;VAR:SYMBOL=G0129K10&amp;VAR:INDEX=0"}</definedName>
    <definedName name="_8937__FDSAUDITLINK__" localSheetId="6" hidden="1">{"fdsup://directions/FAT Viewer?action=UPDATE&amp;creator=factset&amp;DYN_ARGS=TRUE&amp;DOC_NAME=FAT:FQL_AUDITING_CLIENT_TEMPLATE.FAT&amp;display_string=Audit&amp;VAR:KEY=RGTYLCZWTA&amp;VAR:QUERY=RkZfRUJJVERBX0lCKCdMVE1TJywzODYwNCk=&amp;WINDOW=FIRST_POPUP&amp;HEIGHT=450&amp;WIDTH=450&amp;START_MA","XIMIZED=FALSE&amp;VAR:CALENDAR=US&amp;VAR:SYMBOL=G0129K10&amp;VAR:INDEX=0"}</definedName>
    <definedName name="_8937__FDSAUDITLINK__" hidden="1">{"fdsup://directions/FAT Viewer?action=UPDATE&amp;creator=factset&amp;DYN_ARGS=TRUE&amp;DOC_NAME=FAT:FQL_AUDITING_CLIENT_TEMPLATE.FAT&amp;display_string=Audit&amp;VAR:KEY=RGTYLCZWTA&amp;VAR:QUERY=RkZfRUJJVERBX0lCKCdMVE1TJywzODYwNCk=&amp;WINDOW=FIRST_POPUP&amp;HEIGHT=450&amp;WIDTH=450&amp;START_MA","XIMIZED=FALSE&amp;VAR:CALENDAR=US&amp;VAR:SYMBOL=G0129K10&amp;VAR:INDEX=0"}</definedName>
    <definedName name="_8938__FDSAUDITLINK__" localSheetId="6" hidden="1">{"fdsup://directions/FAT Viewer?action=UPDATE&amp;creator=factset&amp;DYN_ARGS=TRUE&amp;DOC_NAME=FAT:FQL_AUDITING_CLIENT_TEMPLATE.FAT&amp;display_string=Audit&amp;VAR:KEY=NADKDGJGLE&amp;VAR:QUERY=RkZfRUJJVERBX0lCKCdMVE1TJywzODYwMyk=&amp;WINDOW=FIRST_POPUP&amp;HEIGHT=450&amp;WIDTH=450&amp;START_MA","XIMIZED=FALSE&amp;VAR:CALENDAR=US&amp;VAR:SYMBOL=G0129K10&amp;VAR:INDEX=0"}</definedName>
    <definedName name="_8938__FDSAUDITLINK__" hidden="1">{"fdsup://directions/FAT Viewer?action=UPDATE&amp;creator=factset&amp;DYN_ARGS=TRUE&amp;DOC_NAME=FAT:FQL_AUDITING_CLIENT_TEMPLATE.FAT&amp;display_string=Audit&amp;VAR:KEY=NADKDGJGLE&amp;VAR:QUERY=RkZfRUJJVERBX0lCKCdMVE1TJywzODYwMyk=&amp;WINDOW=FIRST_POPUP&amp;HEIGHT=450&amp;WIDTH=450&amp;START_MA","XIMIZED=FALSE&amp;VAR:CALENDAR=US&amp;VAR:SYMBOL=G0129K10&amp;VAR:INDEX=0"}</definedName>
    <definedName name="_8939__FDSAUDITLINK__" localSheetId="6" hidden="1">{"fdsup://directions/FAT Viewer?action=UPDATE&amp;creator=factset&amp;DYN_ARGS=TRUE&amp;DOC_NAME=FAT:FQL_AUDITING_CLIENT_TEMPLATE.FAT&amp;display_string=Audit&amp;VAR:KEY=VYNSZAXEJO&amp;VAR:QUERY=RkZfRUJJVERBX0lCKCdMVE1TJywzODYwMik=&amp;WINDOW=FIRST_POPUP&amp;HEIGHT=450&amp;WIDTH=450&amp;START_MA","XIMIZED=FALSE&amp;VAR:CALENDAR=US&amp;VAR:SYMBOL=G0129K10&amp;VAR:INDEX=0"}</definedName>
    <definedName name="_8939__FDSAUDITLINK__" hidden="1">{"fdsup://directions/FAT Viewer?action=UPDATE&amp;creator=factset&amp;DYN_ARGS=TRUE&amp;DOC_NAME=FAT:FQL_AUDITING_CLIENT_TEMPLATE.FAT&amp;display_string=Audit&amp;VAR:KEY=VYNSZAXEJO&amp;VAR:QUERY=RkZfRUJJVERBX0lCKCdMVE1TJywzODYwMik=&amp;WINDOW=FIRST_POPUP&amp;HEIGHT=450&amp;WIDTH=450&amp;START_MA","XIMIZED=FALSE&amp;VAR:CALENDAR=US&amp;VAR:SYMBOL=G0129K10&amp;VAR:INDEX=0"}</definedName>
    <definedName name="_894__FDSAUDITLINK__" localSheetId="6" hidden="1">{"fdsup://directions/FAT%20Viewer?VAR:PED=LTM&amp;VAR:AUDIT_MODE=SUMMARY&amp;VAR:PERIOD=FIXED&amp;VAR:AUDIT_ID=00000117&amp;VAR:DATE=20070911&amp;action=UPDATE&amp;creator=factset&amp;DOC_NAME=FAT:FMA_audit_SUMMARY.fat&amp;DISPLAY_STRING=Display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4__FDSAUDITLINK__" hidden="1">{"fdsup://directions/FAT%20Viewer?VAR:PED=LTM&amp;VAR:AUDIT_MODE=SUMMARY&amp;VAR:PERIOD=FIXED&amp;VAR:AUDIT_ID=00000117&amp;VAR:DATE=20070911&amp;action=UPDATE&amp;creator=factset&amp;DOC_NAME=FAT:FMA_audit_SUMMARY.fat&amp;DISPLAY_STRING=Display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40__FDSAUDITLINK__" localSheetId="6" hidden="1">{"fdsup://directions/FAT Viewer?action=UPDATE&amp;creator=factset&amp;DYN_ARGS=TRUE&amp;DOC_NAME=FAT:FQL_AUDITING_CLIENT_TEMPLATE.FAT&amp;display_string=Audit&amp;VAR:KEY=DKLKXYLGBA&amp;VAR:QUERY=RkZfRUJJVERBX0lCKCdMVE1TJywzODYwMSk=&amp;WINDOW=FIRST_POPUP&amp;HEIGHT=450&amp;WIDTH=450&amp;START_MA","XIMIZED=FALSE&amp;VAR:CALENDAR=US&amp;VAR:SYMBOL=G0129K10&amp;VAR:INDEX=0"}</definedName>
    <definedName name="_8940__FDSAUDITLINK__" hidden="1">{"fdsup://directions/FAT Viewer?action=UPDATE&amp;creator=factset&amp;DYN_ARGS=TRUE&amp;DOC_NAME=FAT:FQL_AUDITING_CLIENT_TEMPLATE.FAT&amp;display_string=Audit&amp;VAR:KEY=DKLKXYLGBA&amp;VAR:QUERY=RkZfRUJJVERBX0lCKCdMVE1TJywzODYwMSk=&amp;WINDOW=FIRST_POPUP&amp;HEIGHT=450&amp;WIDTH=450&amp;START_MA","XIMIZED=FALSE&amp;VAR:CALENDAR=US&amp;VAR:SYMBOL=G0129K10&amp;VAR:INDEX=0"}</definedName>
    <definedName name="_8941__FDSAUDITLINK__" localSheetId="6" hidden="1">{"fdsup://directions/FAT Viewer?action=UPDATE&amp;creator=factset&amp;DYN_ARGS=TRUE&amp;DOC_NAME=FAT:FQL_AUDITING_CLIENT_TEMPLATE.FAT&amp;display_string=Audit&amp;VAR:KEY=LKPUNIZKLY&amp;VAR:QUERY=RkZfRUJJVERBX0lCKCdMVE1TJywzODYwMCk=&amp;WINDOW=FIRST_POPUP&amp;HEIGHT=450&amp;WIDTH=450&amp;START_MA","XIMIZED=FALSE&amp;VAR:CALENDAR=US&amp;VAR:SYMBOL=G0129K10&amp;VAR:INDEX=0"}</definedName>
    <definedName name="_8941__FDSAUDITLINK__" hidden="1">{"fdsup://directions/FAT Viewer?action=UPDATE&amp;creator=factset&amp;DYN_ARGS=TRUE&amp;DOC_NAME=FAT:FQL_AUDITING_CLIENT_TEMPLATE.FAT&amp;display_string=Audit&amp;VAR:KEY=LKPUNIZKLY&amp;VAR:QUERY=RkZfRUJJVERBX0lCKCdMVE1TJywzODYwMCk=&amp;WINDOW=FIRST_POPUP&amp;HEIGHT=450&amp;WIDTH=450&amp;START_MA","XIMIZED=FALSE&amp;VAR:CALENDAR=US&amp;VAR:SYMBOL=G0129K10&amp;VAR:INDEX=0"}</definedName>
    <definedName name="_8942__FDSAUDITLINK__" localSheetId="6" hidden="1">{"fdsup://directions/FAT Viewer?action=UPDATE&amp;creator=factset&amp;DYN_ARGS=TRUE&amp;DOC_NAME=FAT:FQL_AUDITING_CLIENT_TEMPLATE.FAT&amp;display_string=Audit&amp;VAR:KEY=RKTYDIRCPY&amp;VAR:QUERY=RkZfRUJJVERBX0lCKCdMVE1TJywzODU5OSk=&amp;WINDOW=FIRST_POPUP&amp;HEIGHT=450&amp;WIDTH=450&amp;START_MA","XIMIZED=FALSE&amp;VAR:CALENDAR=US&amp;VAR:SYMBOL=G0129K10&amp;VAR:INDEX=0"}</definedName>
    <definedName name="_8942__FDSAUDITLINK__" hidden="1">{"fdsup://directions/FAT Viewer?action=UPDATE&amp;creator=factset&amp;DYN_ARGS=TRUE&amp;DOC_NAME=FAT:FQL_AUDITING_CLIENT_TEMPLATE.FAT&amp;display_string=Audit&amp;VAR:KEY=RKTYDIRCPY&amp;VAR:QUERY=RkZfRUJJVERBX0lCKCdMVE1TJywzODU5OSk=&amp;WINDOW=FIRST_POPUP&amp;HEIGHT=450&amp;WIDTH=450&amp;START_MA","XIMIZED=FALSE&amp;VAR:CALENDAR=US&amp;VAR:SYMBOL=G0129K10&amp;VAR:INDEX=0"}</definedName>
    <definedName name="_8943__FDSAUDITLINK__" localSheetId="6" hidden="1">{"fdsup://directions/FAT Viewer?action=UPDATE&amp;creator=factset&amp;DYN_ARGS=TRUE&amp;DOC_NAME=FAT:FQL_AUDITING_CLIENT_TEMPLATE.FAT&amp;display_string=Audit&amp;VAR:KEY=HGLQPGTGVY&amp;VAR:QUERY=RkZfRUJJVERBX0lCKCdMVE1TJywzODU5OCk=&amp;WINDOW=FIRST_POPUP&amp;HEIGHT=450&amp;WIDTH=450&amp;START_MA","XIMIZED=FALSE&amp;VAR:CALENDAR=US&amp;VAR:SYMBOL=G0129K10&amp;VAR:INDEX=0"}</definedName>
    <definedName name="_8943__FDSAUDITLINK__" hidden="1">{"fdsup://directions/FAT Viewer?action=UPDATE&amp;creator=factset&amp;DYN_ARGS=TRUE&amp;DOC_NAME=FAT:FQL_AUDITING_CLIENT_TEMPLATE.FAT&amp;display_string=Audit&amp;VAR:KEY=HGLQPGTGVY&amp;VAR:QUERY=RkZfRUJJVERBX0lCKCdMVE1TJywzODU5OCk=&amp;WINDOW=FIRST_POPUP&amp;HEIGHT=450&amp;WIDTH=450&amp;START_MA","XIMIZED=FALSE&amp;VAR:CALENDAR=US&amp;VAR:SYMBOL=G0129K10&amp;VAR:INDEX=0"}</definedName>
    <definedName name="_8944__FDSAUDITLINK__" localSheetId="6" hidden="1">{"fdsup://directions/FAT Viewer?action=UPDATE&amp;creator=factset&amp;DYN_ARGS=TRUE&amp;DOC_NAME=FAT:FQL_AUDITING_CLIENT_TEMPLATE.FAT&amp;display_string=Audit&amp;VAR:KEY=RITIHGPAFU&amp;VAR:QUERY=RkZfRUJJVERBX0lCKCdMVE1TJywzODU5Nyk=&amp;WINDOW=FIRST_POPUP&amp;HEIGHT=450&amp;WIDTH=450&amp;START_MA","XIMIZED=FALSE&amp;VAR:CALENDAR=US&amp;VAR:SYMBOL=G0129K10&amp;VAR:INDEX=0"}</definedName>
    <definedName name="_8944__FDSAUDITLINK__" hidden="1">{"fdsup://directions/FAT Viewer?action=UPDATE&amp;creator=factset&amp;DYN_ARGS=TRUE&amp;DOC_NAME=FAT:FQL_AUDITING_CLIENT_TEMPLATE.FAT&amp;display_string=Audit&amp;VAR:KEY=RITIHGPAFU&amp;VAR:QUERY=RkZfRUJJVERBX0lCKCdMVE1TJywzODU5Nyk=&amp;WINDOW=FIRST_POPUP&amp;HEIGHT=450&amp;WIDTH=450&amp;START_MA","XIMIZED=FALSE&amp;VAR:CALENDAR=US&amp;VAR:SYMBOL=G0129K10&amp;VAR:INDEX=0"}</definedName>
    <definedName name="_8945__FDSAUDITLINK__" localSheetId="6" hidden="1">{"fdsup://directions/FAT Viewer?action=UPDATE&amp;creator=factset&amp;DYN_ARGS=TRUE&amp;DOC_NAME=FAT:FQL_AUDITING_CLIENT_TEMPLATE.FAT&amp;display_string=Audit&amp;VAR:KEY=LSNCPAPEVG&amp;VAR:QUERY=RkZfRUJJVERBX0lCKCdMVE1TJywzODU5Nik=&amp;WINDOW=FIRST_POPUP&amp;HEIGHT=450&amp;WIDTH=450&amp;START_MA","XIMIZED=FALSE&amp;VAR:CALENDAR=US&amp;VAR:SYMBOL=G0129K10&amp;VAR:INDEX=0"}</definedName>
    <definedName name="_8945__FDSAUDITLINK__" hidden="1">{"fdsup://directions/FAT Viewer?action=UPDATE&amp;creator=factset&amp;DYN_ARGS=TRUE&amp;DOC_NAME=FAT:FQL_AUDITING_CLIENT_TEMPLATE.FAT&amp;display_string=Audit&amp;VAR:KEY=LSNCPAPEVG&amp;VAR:QUERY=RkZfRUJJVERBX0lCKCdMVE1TJywzODU5Nik=&amp;WINDOW=FIRST_POPUP&amp;HEIGHT=450&amp;WIDTH=450&amp;START_MA","XIMIZED=FALSE&amp;VAR:CALENDAR=US&amp;VAR:SYMBOL=G0129K10&amp;VAR:INDEX=0"}</definedName>
    <definedName name="_8946__FDSAUDITLINK__" localSheetId="6" hidden="1">{"fdsup://directions/FAT Viewer?action=UPDATE&amp;creator=factset&amp;DYN_ARGS=TRUE&amp;DOC_NAME=FAT:FQL_AUDITING_CLIENT_TEMPLATE.FAT&amp;display_string=Audit&amp;VAR:KEY=FIHUNKNQTU&amp;VAR:QUERY=RkZfRUJJVERBX0lCKCdMVE1TJywzODU5NSk=&amp;WINDOW=FIRST_POPUP&amp;HEIGHT=450&amp;WIDTH=450&amp;START_MA","XIMIZED=FALSE&amp;VAR:CALENDAR=US&amp;VAR:SYMBOL=G0129K10&amp;VAR:INDEX=0"}</definedName>
    <definedName name="_8946__FDSAUDITLINK__" hidden="1">{"fdsup://directions/FAT Viewer?action=UPDATE&amp;creator=factset&amp;DYN_ARGS=TRUE&amp;DOC_NAME=FAT:FQL_AUDITING_CLIENT_TEMPLATE.FAT&amp;display_string=Audit&amp;VAR:KEY=FIHUNKNQTU&amp;VAR:QUERY=RkZfRUJJVERBX0lCKCdMVE1TJywzODU5NSk=&amp;WINDOW=FIRST_POPUP&amp;HEIGHT=450&amp;WIDTH=450&amp;START_MA","XIMIZED=FALSE&amp;VAR:CALENDAR=US&amp;VAR:SYMBOL=G0129K10&amp;VAR:INDEX=0"}</definedName>
    <definedName name="_8947__FDSAUDITLINK__" localSheetId="6" hidden="1">{"fdsup://directions/FAT Viewer?action=UPDATE&amp;creator=factset&amp;DYN_ARGS=TRUE&amp;DOC_NAME=FAT:FQL_AUDITING_CLIENT_TEMPLATE.FAT&amp;display_string=Audit&amp;VAR:KEY=ZAPINAPKRC&amp;VAR:QUERY=RkZfRUJJVERBX0lCKCdMVE1TJywzODU5NCk=&amp;WINDOW=FIRST_POPUP&amp;HEIGHT=450&amp;WIDTH=450&amp;START_MA","XIMIZED=FALSE&amp;VAR:CALENDAR=US&amp;VAR:SYMBOL=G0129K10&amp;VAR:INDEX=0"}</definedName>
    <definedName name="_8947__FDSAUDITLINK__" hidden="1">{"fdsup://directions/FAT Viewer?action=UPDATE&amp;creator=factset&amp;DYN_ARGS=TRUE&amp;DOC_NAME=FAT:FQL_AUDITING_CLIENT_TEMPLATE.FAT&amp;display_string=Audit&amp;VAR:KEY=ZAPINAPKRC&amp;VAR:QUERY=RkZfRUJJVERBX0lCKCdMVE1TJywzODU5NCk=&amp;WINDOW=FIRST_POPUP&amp;HEIGHT=450&amp;WIDTH=450&amp;START_MA","XIMIZED=FALSE&amp;VAR:CALENDAR=US&amp;VAR:SYMBOL=G0129K10&amp;VAR:INDEX=0"}</definedName>
    <definedName name="_8948__FDSAUDITLINK__" localSheetId="6" hidden="1">{"fdsup://directions/FAT Viewer?action=UPDATE&amp;creator=factset&amp;DYN_ARGS=TRUE&amp;DOC_NAME=FAT:FQL_AUDITING_CLIENT_TEMPLATE.FAT&amp;display_string=Audit&amp;VAR:KEY=JYJYFEBQZU&amp;VAR:QUERY=RkZfRUJJVERBX0lCKCdMVE1TJywzODU5Myk=&amp;WINDOW=FIRST_POPUP&amp;HEIGHT=450&amp;WIDTH=450&amp;START_MA","XIMIZED=FALSE&amp;VAR:CALENDAR=US&amp;VAR:SYMBOL=G0129K10&amp;VAR:INDEX=0"}</definedName>
    <definedName name="_8948__FDSAUDITLINK__" hidden="1">{"fdsup://directions/FAT Viewer?action=UPDATE&amp;creator=factset&amp;DYN_ARGS=TRUE&amp;DOC_NAME=FAT:FQL_AUDITING_CLIENT_TEMPLATE.FAT&amp;display_string=Audit&amp;VAR:KEY=JYJYFEBQZU&amp;VAR:QUERY=RkZfRUJJVERBX0lCKCdMVE1TJywzODU5Myk=&amp;WINDOW=FIRST_POPUP&amp;HEIGHT=450&amp;WIDTH=450&amp;START_MA","XIMIZED=FALSE&amp;VAR:CALENDAR=US&amp;VAR:SYMBOL=G0129K10&amp;VAR:INDEX=0"}</definedName>
    <definedName name="_8949__FDSAUDITLINK__" localSheetId="6" hidden="1">{"fdsup://directions/FAT Viewer?action=UPDATE&amp;creator=factset&amp;DYN_ARGS=TRUE&amp;DOC_NAME=FAT:FQL_AUDITING_CLIENT_TEMPLATE.FAT&amp;display_string=Audit&amp;VAR:KEY=FSLONODAXI&amp;VAR:QUERY=RkZfRUJJVERBX0lCKCdMVE1TJywzODU5Mik=&amp;WINDOW=FIRST_POPUP&amp;HEIGHT=450&amp;WIDTH=450&amp;START_MA","XIMIZED=FALSE&amp;VAR:CALENDAR=US&amp;VAR:SYMBOL=G0129K10&amp;VAR:INDEX=0"}</definedName>
    <definedName name="_8949__FDSAUDITLINK__" hidden="1">{"fdsup://directions/FAT Viewer?action=UPDATE&amp;creator=factset&amp;DYN_ARGS=TRUE&amp;DOC_NAME=FAT:FQL_AUDITING_CLIENT_TEMPLATE.FAT&amp;display_string=Audit&amp;VAR:KEY=FSLONODAXI&amp;VAR:QUERY=RkZfRUJJVERBX0lCKCdMVE1TJywzODU5Mik=&amp;WINDOW=FIRST_POPUP&amp;HEIGHT=450&amp;WIDTH=450&amp;START_MA","XIMIZED=FALSE&amp;VAR:CALENDAR=US&amp;VAR:SYMBOL=G0129K10&amp;VAR:INDEX=0"}</definedName>
    <definedName name="_895__FDSAUDITLINK__" localSheetId="6" hidden="1">{"fdsup://directions/FAT%20Viewer?VAR:PED=LTM&amp;VAR:AUDIT_MODE=SUMMARY&amp;VAR:PERIOD=FIXED&amp;VAR:AUDIT_ID=00000117&amp;VAR:DATE=20070910&amp;action=UPDATE&amp;creator=factset&amp;DOC_NAME=FAT:FMA_audit_SUMMARY.fat&amp;DISPLAY_STRING=Display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5__FDSAUDITLINK__" hidden="1">{"fdsup://directions/FAT%20Viewer?VAR:PED=LTM&amp;VAR:AUDIT_MODE=SUMMARY&amp;VAR:PERIOD=FIXED&amp;VAR:AUDIT_ID=00000117&amp;VAR:DATE=20070910&amp;action=UPDATE&amp;creator=factset&amp;DOC_NAME=FAT:FMA_audit_SUMMARY.fat&amp;DISPLAY_STRING=Display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50__FDSAUDITLINK__" localSheetId="6" hidden="1">{"fdsup://directions/FAT Viewer?action=UPDATE&amp;creator=factset&amp;DYN_ARGS=TRUE&amp;DOC_NAME=FAT:FQL_AUDITING_CLIENT_TEMPLATE.FAT&amp;display_string=Audit&amp;VAR:KEY=LCXQZMNIXE&amp;VAR:QUERY=RkZfRUJJVERBX0lCKCdMVE1TJywzODU5MSk=&amp;WINDOW=FIRST_POPUP&amp;HEIGHT=450&amp;WIDTH=450&amp;START_MA","XIMIZED=FALSE&amp;VAR:CALENDAR=US&amp;VAR:SYMBOL=G0129K10&amp;VAR:INDEX=0"}</definedName>
    <definedName name="_8950__FDSAUDITLINK__" hidden="1">{"fdsup://directions/FAT Viewer?action=UPDATE&amp;creator=factset&amp;DYN_ARGS=TRUE&amp;DOC_NAME=FAT:FQL_AUDITING_CLIENT_TEMPLATE.FAT&amp;display_string=Audit&amp;VAR:KEY=LCXQZMNIXE&amp;VAR:QUERY=RkZfRUJJVERBX0lCKCdMVE1TJywzODU5MSk=&amp;WINDOW=FIRST_POPUP&amp;HEIGHT=450&amp;WIDTH=450&amp;START_MA","XIMIZED=FALSE&amp;VAR:CALENDAR=US&amp;VAR:SYMBOL=G0129K10&amp;VAR:INDEX=0"}</definedName>
    <definedName name="_8951__FDSAUDITLINK__" localSheetId="6" hidden="1">{"fdsup://directions/FAT Viewer?action=UPDATE&amp;creator=factset&amp;DYN_ARGS=TRUE&amp;DOC_NAME=FAT:FQL_AUDITING_CLIENT_TEMPLATE.FAT&amp;display_string=Audit&amp;VAR:KEY=FOHIVIDGHW&amp;VAR:QUERY=RkZfRUJJVERBX0lCKCdMVE1TJywzODU5MCk=&amp;WINDOW=FIRST_POPUP&amp;HEIGHT=450&amp;WIDTH=450&amp;START_MA","XIMIZED=FALSE&amp;VAR:CALENDAR=US&amp;VAR:SYMBOL=G0129K10&amp;VAR:INDEX=0"}</definedName>
    <definedName name="_8951__FDSAUDITLINK__" hidden="1">{"fdsup://directions/FAT Viewer?action=UPDATE&amp;creator=factset&amp;DYN_ARGS=TRUE&amp;DOC_NAME=FAT:FQL_AUDITING_CLIENT_TEMPLATE.FAT&amp;display_string=Audit&amp;VAR:KEY=FOHIVIDGHW&amp;VAR:QUERY=RkZfRUJJVERBX0lCKCdMVE1TJywzODU5MCk=&amp;WINDOW=FIRST_POPUP&amp;HEIGHT=450&amp;WIDTH=450&amp;START_MA","XIMIZED=FALSE&amp;VAR:CALENDAR=US&amp;VAR:SYMBOL=G0129K10&amp;VAR:INDEX=0"}</definedName>
    <definedName name="_8952__FDSAUDITLINK__" localSheetId="6" hidden="1">{"fdsup://directions/FAT Viewer?action=UPDATE&amp;creator=factset&amp;DYN_ARGS=TRUE&amp;DOC_NAME=FAT:FQL_AUDITING_CLIENT_TEMPLATE.FAT&amp;display_string=Audit&amp;VAR:KEY=NUNAHEFCJK&amp;VAR:QUERY=RkZfRUJJVERBX0lCKCdMVE1TJywzODU4OSk=&amp;WINDOW=FIRST_POPUP&amp;HEIGHT=450&amp;WIDTH=450&amp;START_MA","XIMIZED=FALSE&amp;VAR:CALENDAR=US&amp;VAR:SYMBOL=G0129K10&amp;VAR:INDEX=0"}</definedName>
    <definedName name="_8952__FDSAUDITLINK__" hidden="1">{"fdsup://directions/FAT Viewer?action=UPDATE&amp;creator=factset&amp;DYN_ARGS=TRUE&amp;DOC_NAME=FAT:FQL_AUDITING_CLIENT_TEMPLATE.FAT&amp;display_string=Audit&amp;VAR:KEY=NUNAHEFCJK&amp;VAR:QUERY=RkZfRUJJVERBX0lCKCdMVE1TJywzODU4OSk=&amp;WINDOW=FIRST_POPUP&amp;HEIGHT=450&amp;WIDTH=450&amp;START_MA","XIMIZED=FALSE&amp;VAR:CALENDAR=US&amp;VAR:SYMBOL=G0129K10&amp;VAR:INDEX=0"}</definedName>
    <definedName name="_8953__FDSAUDITLINK__" localSheetId="6" hidden="1">{"fdsup://directions/FAT Viewer?action=UPDATE&amp;creator=factset&amp;DYN_ARGS=TRUE&amp;DOC_NAME=FAT:FQL_AUDITING_CLIENT_TEMPLATE.FAT&amp;display_string=Audit&amp;VAR:KEY=RSXOHADCLA&amp;VAR:QUERY=RkZfRUJJVERBX0lCKCdMVE1TJywzODU4OCk=&amp;WINDOW=FIRST_POPUP&amp;HEIGHT=450&amp;WIDTH=450&amp;START_MA","XIMIZED=FALSE&amp;VAR:CALENDAR=US&amp;VAR:SYMBOL=G0129K10&amp;VAR:INDEX=0"}</definedName>
    <definedName name="_8953__FDSAUDITLINK__" hidden="1">{"fdsup://directions/FAT Viewer?action=UPDATE&amp;creator=factset&amp;DYN_ARGS=TRUE&amp;DOC_NAME=FAT:FQL_AUDITING_CLIENT_TEMPLATE.FAT&amp;display_string=Audit&amp;VAR:KEY=RSXOHADCLA&amp;VAR:QUERY=RkZfRUJJVERBX0lCKCdMVE1TJywzODU4OCk=&amp;WINDOW=FIRST_POPUP&amp;HEIGHT=450&amp;WIDTH=450&amp;START_MA","XIMIZED=FALSE&amp;VAR:CALENDAR=US&amp;VAR:SYMBOL=G0129K10&amp;VAR:INDEX=0"}</definedName>
    <definedName name="_8954__FDSAUDITLINK__" localSheetId="6" hidden="1">{"fdsup://directions/FAT Viewer?action=UPDATE&amp;creator=factset&amp;DYN_ARGS=TRUE&amp;DOC_NAME=FAT:FQL_AUDITING_CLIENT_TEMPLATE.FAT&amp;display_string=Audit&amp;VAR:KEY=VSFQXAPMPO&amp;VAR:QUERY=RkZfRUJJVERBX0lCKCdMVE1TJywzODU4Nyk=&amp;WINDOW=FIRST_POPUP&amp;HEIGHT=450&amp;WIDTH=450&amp;START_MA","XIMIZED=FALSE&amp;VAR:CALENDAR=US&amp;VAR:SYMBOL=G0129K10&amp;VAR:INDEX=0"}</definedName>
    <definedName name="_8954__FDSAUDITLINK__" hidden="1">{"fdsup://directions/FAT Viewer?action=UPDATE&amp;creator=factset&amp;DYN_ARGS=TRUE&amp;DOC_NAME=FAT:FQL_AUDITING_CLIENT_TEMPLATE.FAT&amp;display_string=Audit&amp;VAR:KEY=VSFQXAPMPO&amp;VAR:QUERY=RkZfRUJJVERBX0lCKCdMVE1TJywzODU4Nyk=&amp;WINDOW=FIRST_POPUP&amp;HEIGHT=450&amp;WIDTH=450&amp;START_MA","XIMIZED=FALSE&amp;VAR:CALENDAR=US&amp;VAR:SYMBOL=G0129K10&amp;VAR:INDEX=0"}</definedName>
    <definedName name="_8955__FDSAUDITLINK__" localSheetId="6" hidden="1">{"fdsup://directions/FAT Viewer?action=UPDATE&amp;creator=factset&amp;DYN_ARGS=TRUE&amp;DOC_NAME=FAT:FQL_AUDITING_CLIENT_TEMPLATE.FAT&amp;display_string=Audit&amp;VAR:KEY=PUPUFATUPG&amp;VAR:QUERY=RkZfRUJJVERBX0lCKCdMVE1TJywzODU4Nik=&amp;WINDOW=FIRST_POPUP&amp;HEIGHT=450&amp;WIDTH=450&amp;START_MA","XIMIZED=FALSE&amp;VAR:CALENDAR=US&amp;VAR:SYMBOL=G0129K10&amp;VAR:INDEX=0"}</definedName>
    <definedName name="_8955__FDSAUDITLINK__" hidden="1">{"fdsup://directions/FAT Viewer?action=UPDATE&amp;creator=factset&amp;DYN_ARGS=TRUE&amp;DOC_NAME=FAT:FQL_AUDITING_CLIENT_TEMPLATE.FAT&amp;display_string=Audit&amp;VAR:KEY=PUPUFATUPG&amp;VAR:QUERY=RkZfRUJJVERBX0lCKCdMVE1TJywzODU4Nik=&amp;WINDOW=FIRST_POPUP&amp;HEIGHT=450&amp;WIDTH=450&amp;START_MA","XIMIZED=FALSE&amp;VAR:CALENDAR=US&amp;VAR:SYMBOL=G0129K10&amp;VAR:INDEX=0"}</definedName>
    <definedName name="_8956__FDSAUDITLINK__" localSheetId="6" hidden="1">{"fdsup://directions/FAT Viewer?action=UPDATE&amp;creator=factset&amp;DYN_ARGS=TRUE&amp;DOC_NAME=FAT:FQL_AUDITING_CLIENT_TEMPLATE.FAT&amp;display_string=Audit&amp;VAR:KEY=FCFQDCTKTS&amp;VAR:QUERY=RkZfRUJJVERBX0lCKCdMVE1TJywzODU4NSk=&amp;WINDOW=FIRST_POPUP&amp;HEIGHT=450&amp;WIDTH=450&amp;START_MA","XIMIZED=FALSE&amp;VAR:CALENDAR=US&amp;VAR:SYMBOL=G0129K10&amp;VAR:INDEX=0"}</definedName>
    <definedName name="_8956__FDSAUDITLINK__" hidden="1">{"fdsup://directions/FAT Viewer?action=UPDATE&amp;creator=factset&amp;DYN_ARGS=TRUE&amp;DOC_NAME=FAT:FQL_AUDITING_CLIENT_TEMPLATE.FAT&amp;display_string=Audit&amp;VAR:KEY=FCFQDCTKTS&amp;VAR:QUERY=RkZfRUJJVERBX0lCKCdMVE1TJywzODU4NSk=&amp;WINDOW=FIRST_POPUP&amp;HEIGHT=450&amp;WIDTH=450&amp;START_MA","XIMIZED=FALSE&amp;VAR:CALENDAR=US&amp;VAR:SYMBOL=G0129K10&amp;VAR:INDEX=0"}</definedName>
    <definedName name="_8957__FDSAUDITLINK__" localSheetId="6" hidden="1">{"fdsup://directions/FAT Viewer?action=UPDATE&amp;creator=factset&amp;DYN_ARGS=TRUE&amp;DOC_NAME=FAT:FQL_AUDITING_CLIENT_TEMPLATE.FAT&amp;display_string=Audit&amp;VAR:KEY=FCZQDODYLM&amp;VAR:QUERY=RkZfRUJJVERBX0lCKCdMVE1TJywzODU4NCk=&amp;WINDOW=FIRST_POPUP&amp;HEIGHT=450&amp;WIDTH=450&amp;START_MA","XIMIZED=FALSE&amp;VAR:CALENDAR=US&amp;VAR:SYMBOL=G0129K10&amp;VAR:INDEX=0"}</definedName>
    <definedName name="_8957__FDSAUDITLINK__" hidden="1">{"fdsup://directions/FAT Viewer?action=UPDATE&amp;creator=factset&amp;DYN_ARGS=TRUE&amp;DOC_NAME=FAT:FQL_AUDITING_CLIENT_TEMPLATE.FAT&amp;display_string=Audit&amp;VAR:KEY=FCZQDODYLM&amp;VAR:QUERY=RkZfRUJJVERBX0lCKCdMVE1TJywzODU4NCk=&amp;WINDOW=FIRST_POPUP&amp;HEIGHT=450&amp;WIDTH=450&amp;START_MA","XIMIZED=FALSE&amp;VAR:CALENDAR=US&amp;VAR:SYMBOL=G0129K10&amp;VAR:INDEX=0"}</definedName>
    <definedName name="_8958__FDSAUDITLINK__" localSheetId="6" hidden="1">{"fdsup://directions/FAT Viewer?action=UPDATE&amp;creator=factset&amp;DYN_ARGS=TRUE&amp;DOC_NAME=FAT:FQL_AUDITING_CLIENT_TEMPLATE.FAT&amp;display_string=Audit&amp;VAR:KEY=DIHWBINANG&amp;VAR:QUERY=RkZfRUJJVERBX0lCKCdMVE1TJywzODU4Myk=&amp;WINDOW=FIRST_POPUP&amp;HEIGHT=450&amp;WIDTH=450&amp;START_MA","XIMIZED=FALSE&amp;VAR:CALENDAR=US&amp;VAR:SYMBOL=G0129K10&amp;VAR:INDEX=0"}</definedName>
    <definedName name="_8958__FDSAUDITLINK__" hidden="1">{"fdsup://directions/FAT Viewer?action=UPDATE&amp;creator=factset&amp;DYN_ARGS=TRUE&amp;DOC_NAME=FAT:FQL_AUDITING_CLIENT_TEMPLATE.FAT&amp;display_string=Audit&amp;VAR:KEY=DIHWBINANG&amp;VAR:QUERY=RkZfRUJJVERBX0lCKCdMVE1TJywzODU4Myk=&amp;WINDOW=FIRST_POPUP&amp;HEIGHT=450&amp;WIDTH=450&amp;START_MA","XIMIZED=FALSE&amp;VAR:CALENDAR=US&amp;VAR:SYMBOL=G0129K10&amp;VAR:INDEX=0"}</definedName>
    <definedName name="_8959__FDSAUDITLINK__" localSheetId="6" hidden="1">{"fdsup://directions/FAT Viewer?action=UPDATE&amp;creator=factset&amp;DYN_ARGS=TRUE&amp;DOC_NAME=FAT:FQL_AUDITING_CLIENT_TEMPLATE.FAT&amp;display_string=Audit&amp;VAR:KEY=ZUBIXUHWDM&amp;VAR:QUERY=RkZfRUJJVERBX0lCKCdMVE1TJywzODU4Mik=&amp;WINDOW=FIRST_POPUP&amp;HEIGHT=450&amp;WIDTH=450&amp;START_MA","XIMIZED=FALSE&amp;VAR:CALENDAR=US&amp;VAR:SYMBOL=G0129K10&amp;VAR:INDEX=0"}</definedName>
    <definedName name="_8959__FDSAUDITLINK__" hidden="1">{"fdsup://directions/FAT Viewer?action=UPDATE&amp;creator=factset&amp;DYN_ARGS=TRUE&amp;DOC_NAME=FAT:FQL_AUDITING_CLIENT_TEMPLATE.FAT&amp;display_string=Audit&amp;VAR:KEY=ZUBIXUHWDM&amp;VAR:QUERY=RkZfRUJJVERBX0lCKCdMVE1TJywzODU4Mik=&amp;WINDOW=FIRST_POPUP&amp;HEIGHT=450&amp;WIDTH=450&amp;START_MA","XIMIZED=FALSE&amp;VAR:CALENDAR=US&amp;VAR:SYMBOL=G0129K10&amp;VAR:INDEX=0"}</definedName>
    <definedName name="_896__FDSAUDITLINK__" localSheetId="6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6__FDSAUDITLINK__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60__FDSAUDITLINK__" localSheetId="6" hidden="1">{"fdsup://directions/FAT Viewer?action=UPDATE&amp;creator=factset&amp;DYN_ARGS=TRUE&amp;DOC_NAME=FAT:FQL_AUDITING_CLIENT_TEMPLATE.FAT&amp;display_string=Audit&amp;VAR:KEY=PIDMPQXORU&amp;VAR:QUERY=RkZfRUJJVERBX0lCKCdMVE1TJywzODU4MSk=&amp;WINDOW=FIRST_POPUP&amp;HEIGHT=450&amp;WIDTH=450&amp;START_MA","XIMIZED=FALSE&amp;VAR:CALENDAR=US&amp;VAR:SYMBOL=G0129K10&amp;VAR:INDEX=0"}</definedName>
    <definedName name="_8960__FDSAUDITLINK__" hidden="1">{"fdsup://directions/FAT Viewer?action=UPDATE&amp;creator=factset&amp;DYN_ARGS=TRUE&amp;DOC_NAME=FAT:FQL_AUDITING_CLIENT_TEMPLATE.FAT&amp;display_string=Audit&amp;VAR:KEY=PIDMPQXORU&amp;VAR:QUERY=RkZfRUJJVERBX0lCKCdMVE1TJywzODU4MSk=&amp;WINDOW=FIRST_POPUP&amp;HEIGHT=450&amp;WIDTH=450&amp;START_MA","XIMIZED=FALSE&amp;VAR:CALENDAR=US&amp;VAR:SYMBOL=G0129K10&amp;VAR:INDEX=0"}</definedName>
    <definedName name="_8961__FDSAUDITLINK__" localSheetId="6" hidden="1">{"fdsup://directions/FAT Viewer?action=UPDATE&amp;creator=factset&amp;DYN_ARGS=TRUE&amp;DOC_NAME=FAT:FQL_AUDITING_CLIENT_TEMPLATE.FAT&amp;display_string=Audit&amp;VAR:KEY=FGXSPMBEJS&amp;VAR:QUERY=RkZfRUJJVERBX0lCKCdMVE1TJywzODU4MCk=&amp;WINDOW=FIRST_POPUP&amp;HEIGHT=450&amp;WIDTH=450&amp;START_MA","XIMIZED=FALSE&amp;VAR:CALENDAR=US&amp;VAR:SYMBOL=G0129K10&amp;VAR:INDEX=0"}</definedName>
    <definedName name="_8961__FDSAUDITLINK__" hidden="1">{"fdsup://directions/FAT Viewer?action=UPDATE&amp;creator=factset&amp;DYN_ARGS=TRUE&amp;DOC_NAME=FAT:FQL_AUDITING_CLIENT_TEMPLATE.FAT&amp;display_string=Audit&amp;VAR:KEY=FGXSPMBEJS&amp;VAR:QUERY=RkZfRUJJVERBX0lCKCdMVE1TJywzODU4MCk=&amp;WINDOW=FIRST_POPUP&amp;HEIGHT=450&amp;WIDTH=450&amp;START_MA","XIMIZED=FALSE&amp;VAR:CALENDAR=US&amp;VAR:SYMBOL=G0129K10&amp;VAR:INDEX=0"}</definedName>
    <definedName name="_8962__FDSAUDITLINK__" localSheetId="6" hidden="1">{"fdsup://directions/FAT Viewer?action=UPDATE&amp;creator=factset&amp;DYN_ARGS=TRUE&amp;DOC_NAME=FAT:FQL_AUDITING_CLIENT_TEMPLATE.FAT&amp;display_string=Audit&amp;VAR:KEY=DUXEBEDOHC&amp;VAR:QUERY=RkZfRUJJVERBX0lCKCdMVE1TJywzODU3OSk=&amp;WINDOW=FIRST_POPUP&amp;HEIGHT=450&amp;WIDTH=450&amp;START_MA","XIMIZED=FALSE&amp;VAR:CALENDAR=US&amp;VAR:SYMBOL=G0129K10&amp;VAR:INDEX=0"}</definedName>
    <definedName name="_8962__FDSAUDITLINK__" hidden="1">{"fdsup://directions/FAT Viewer?action=UPDATE&amp;creator=factset&amp;DYN_ARGS=TRUE&amp;DOC_NAME=FAT:FQL_AUDITING_CLIENT_TEMPLATE.FAT&amp;display_string=Audit&amp;VAR:KEY=DUXEBEDOHC&amp;VAR:QUERY=RkZfRUJJVERBX0lCKCdMVE1TJywzODU3OSk=&amp;WINDOW=FIRST_POPUP&amp;HEIGHT=450&amp;WIDTH=450&amp;START_MA","XIMIZED=FALSE&amp;VAR:CALENDAR=US&amp;VAR:SYMBOL=G0129K10&amp;VAR:INDEX=0"}</definedName>
    <definedName name="_8963__FDSAUDITLINK__" localSheetId="6" hidden="1">{"fdsup://directions/FAT Viewer?action=UPDATE&amp;creator=factset&amp;DYN_ARGS=TRUE&amp;DOC_NAME=FAT:FQL_AUDITING_CLIENT_TEMPLATE.FAT&amp;display_string=Audit&amp;VAR:KEY=XYBCRUTCHC&amp;VAR:QUERY=RkZfRUJJVERBX0lCKCdMVE1TJywzODU3OCk=&amp;WINDOW=FIRST_POPUP&amp;HEIGHT=450&amp;WIDTH=450&amp;START_MA","XIMIZED=FALSE&amp;VAR:CALENDAR=US&amp;VAR:SYMBOL=G0129K10&amp;VAR:INDEX=0"}</definedName>
    <definedName name="_8963__FDSAUDITLINK__" hidden="1">{"fdsup://directions/FAT Viewer?action=UPDATE&amp;creator=factset&amp;DYN_ARGS=TRUE&amp;DOC_NAME=FAT:FQL_AUDITING_CLIENT_TEMPLATE.FAT&amp;display_string=Audit&amp;VAR:KEY=XYBCRUTCHC&amp;VAR:QUERY=RkZfRUJJVERBX0lCKCdMVE1TJywzODU3OCk=&amp;WINDOW=FIRST_POPUP&amp;HEIGHT=450&amp;WIDTH=450&amp;START_MA","XIMIZED=FALSE&amp;VAR:CALENDAR=US&amp;VAR:SYMBOL=G0129K10&amp;VAR:INDEX=0"}</definedName>
    <definedName name="_8964__FDSAUDITLINK__" localSheetId="6" hidden="1">{"fdsup://directions/FAT Viewer?action=UPDATE&amp;creator=factset&amp;DYN_ARGS=TRUE&amp;DOC_NAME=FAT:FQL_AUDITING_CLIENT_TEMPLATE.FAT&amp;display_string=Audit&amp;VAR:KEY=FOLWLUHQFU&amp;VAR:QUERY=RkZfRUJJVERBX0lCKCdMVE1TJywzODU3Nyk=&amp;WINDOW=FIRST_POPUP&amp;HEIGHT=450&amp;WIDTH=450&amp;START_MA","XIMIZED=FALSE&amp;VAR:CALENDAR=US&amp;VAR:SYMBOL=G0129K10&amp;VAR:INDEX=0"}</definedName>
    <definedName name="_8964__FDSAUDITLINK__" hidden="1">{"fdsup://directions/FAT Viewer?action=UPDATE&amp;creator=factset&amp;DYN_ARGS=TRUE&amp;DOC_NAME=FAT:FQL_AUDITING_CLIENT_TEMPLATE.FAT&amp;display_string=Audit&amp;VAR:KEY=FOLWLUHQFU&amp;VAR:QUERY=RkZfRUJJVERBX0lCKCdMVE1TJywzODU3Nyk=&amp;WINDOW=FIRST_POPUP&amp;HEIGHT=450&amp;WIDTH=450&amp;START_MA","XIMIZED=FALSE&amp;VAR:CALENDAR=US&amp;VAR:SYMBOL=G0129K10&amp;VAR:INDEX=0"}</definedName>
    <definedName name="_8965__FDSAUDITLINK__" localSheetId="6" hidden="1">{"fdsup://directions/FAT Viewer?action=UPDATE&amp;creator=factset&amp;DYN_ARGS=TRUE&amp;DOC_NAME=FAT:FQL_AUDITING_CLIENT_TEMPLATE.FAT&amp;display_string=Audit&amp;VAR:KEY=FYDMHQBGFO&amp;VAR:QUERY=RkZfRUJJVERBX0lCKCdMVE1TJywzODU3Nik=&amp;WINDOW=FIRST_POPUP&amp;HEIGHT=450&amp;WIDTH=450&amp;START_MA","XIMIZED=FALSE&amp;VAR:CALENDAR=US&amp;VAR:SYMBOL=G0129K10&amp;VAR:INDEX=0"}</definedName>
    <definedName name="_8965__FDSAUDITLINK__" hidden="1">{"fdsup://directions/FAT Viewer?action=UPDATE&amp;creator=factset&amp;DYN_ARGS=TRUE&amp;DOC_NAME=FAT:FQL_AUDITING_CLIENT_TEMPLATE.FAT&amp;display_string=Audit&amp;VAR:KEY=FYDMHQBGFO&amp;VAR:QUERY=RkZfRUJJVERBX0lCKCdMVE1TJywzODU3Nik=&amp;WINDOW=FIRST_POPUP&amp;HEIGHT=450&amp;WIDTH=450&amp;START_MA","XIMIZED=FALSE&amp;VAR:CALENDAR=US&amp;VAR:SYMBOL=G0129K10&amp;VAR:INDEX=0"}</definedName>
    <definedName name="_8966__FDSAUDITLINK__" localSheetId="6" hidden="1">{"fdsup://directions/FAT Viewer?action=UPDATE&amp;creator=factset&amp;DYN_ARGS=TRUE&amp;DOC_NAME=FAT:FQL_AUDITING_CLIENT_TEMPLATE.FAT&amp;display_string=Audit&amp;VAR:KEY=FYJAHMLSJG&amp;VAR:QUERY=RkZfRUJJVERBX0lCKCdMVE1TJywzODU3NSk=&amp;WINDOW=FIRST_POPUP&amp;HEIGHT=450&amp;WIDTH=450&amp;START_MA","XIMIZED=FALSE&amp;VAR:CALENDAR=US&amp;VAR:SYMBOL=G0129K10&amp;VAR:INDEX=0"}</definedName>
    <definedName name="_8966__FDSAUDITLINK__" hidden="1">{"fdsup://directions/FAT Viewer?action=UPDATE&amp;creator=factset&amp;DYN_ARGS=TRUE&amp;DOC_NAME=FAT:FQL_AUDITING_CLIENT_TEMPLATE.FAT&amp;display_string=Audit&amp;VAR:KEY=FYJAHMLSJG&amp;VAR:QUERY=RkZfRUJJVERBX0lCKCdMVE1TJywzODU3NSk=&amp;WINDOW=FIRST_POPUP&amp;HEIGHT=450&amp;WIDTH=450&amp;START_MA","XIMIZED=FALSE&amp;VAR:CALENDAR=US&amp;VAR:SYMBOL=G0129K10&amp;VAR:INDEX=0"}</definedName>
    <definedName name="_8967__FDSAUDITLINK__" localSheetId="6" hidden="1">{"fdsup://directions/FAT Viewer?action=UPDATE&amp;creator=factset&amp;DYN_ARGS=TRUE&amp;DOC_NAME=FAT:FQL_AUDITING_CLIENT_TEMPLATE.FAT&amp;display_string=Audit&amp;VAR:KEY=BYHIHKBKPA&amp;VAR:QUERY=RkZfRUJJVERBX0lCKCdMVE1TJywzODU3NCk=&amp;WINDOW=FIRST_POPUP&amp;HEIGHT=450&amp;WIDTH=450&amp;START_MA","XIMIZED=FALSE&amp;VAR:CALENDAR=US&amp;VAR:SYMBOL=G0129K10&amp;VAR:INDEX=0"}</definedName>
    <definedName name="_8967__FDSAUDITLINK__" hidden="1">{"fdsup://directions/FAT Viewer?action=UPDATE&amp;creator=factset&amp;DYN_ARGS=TRUE&amp;DOC_NAME=FAT:FQL_AUDITING_CLIENT_TEMPLATE.FAT&amp;display_string=Audit&amp;VAR:KEY=BYHIHKBKPA&amp;VAR:QUERY=RkZfRUJJVERBX0lCKCdMVE1TJywzODU3NCk=&amp;WINDOW=FIRST_POPUP&amp;HEIGHT=450&amp;WIDTH=450&amp;START_MA","XIMIZED=FALSE&amp;VAR:CALENDAR=US&amp;VAR:SYMBOL=G0129K10&amp;VAR:INDEX=0"}</definedName>
    <definedName name="_8968__FDSAUDITLINK__" localSheetId="6" hidden="1">{"fdsup://directions/FAT Viewer?action=UPDATE&amp;creator=factset&amp;DYN_ARGS=TRUE&amp;DOC_NAME=FAT:FQL_AUDITING_CLIENT_TEMPLATE.FAT&amp;display_string=Audit&amp;VAR:KEY=HMHCZQBUHE&amp;VAR:QUERY=RkZfRUJJVERBX0lCKCdMVE1TJywzODU3Myk=&amp;WINDOW=FIRST_POPUP&amp;HEIGHT=450&amp;WIDTH=450&amp;START_MA","XIMIZED=FALSE&amp;VAR:CALENDAR=US&amp;VAR:SYMBOL=G0129K10&amp;VAR:INDEX=0"}</definedName>
    <definedName name="_8968__FDSAUDITLINK__" hidden="1">{"fdsup://directions/FAT Viewer?action=UPDATE&amp;creator=factset&amp;DYN_ARGS=TRUE&amp;DOC_NAME=FAT:FQL_AUDITING_CLIENT_TEMPLATE.FAT&amp;display_string=Audit&amp;VAR:KEY=HMHCZQBUHE&amp;VAR:QUERY=RkZfRUJJVERBX0lCKCdMVE1TJywzODU3Myk=&amp;WINDOW=FIRST_POPUP&amp;HEIGHT=450&amp;WIDTH=450&amp;START_MA","XIMIZED=FALSE&amp;VAR:CALENDAR=US&amp;VAR:SYMBOL=G0129K10&amp;VAR:INDEX=0"}</definedName>
    <definedName name="_8969__FDSAUDITLINK__" localSheetId="6" hidden="1">{"fdsup://directions/FAT Viewer?action=UPDATE&amp;creator=factset&amp;DYN_ARGS=TRUE&amp;DOC_NAME=FAT:FQL_AUDITING_CLIENT_TEMPLATE.FAT&amp;display_string=Audit&amp;VAR:KEY=PYVSJGLYXG&amp;VAR:QUERY=RkZfRUJJVERBX0lCKCdMVE1TJywzODU3Mik=&amp;WINDOW=FIRST_POPUP&amp;HEIGHT=450&amp;WIDTH=450&amp;START_MA","XIMIZED=FALSE&amp;VAR:CALENDAR=US&amp;VAR:SYMBOL=G0129K10&amp;VAR:INDEX=0"}</definedName>
    <definedName name="_8969__FDSAUDITLINK__" hidden="1">{"fdsup://directions/FAT Viewer?action=UPDATE&amp;creator=factset&amp;DYN_ARGS=TRUE&amp;DOC_NAME=FAT:FQL_AUDITING_CLIENT_TEMPLATE.FAT&amp;display_string=Audit&amp;VAR:KEY=PYVSJGLYXG&amp;VAR:QUERY=RkZfRUJJVERBX0lCKCdMVE1TJywzODU3Mik=&amp;WINDOW=FIRST_POPUP&amp;HEIGHT=450&amp;WIDTH=450&amp;START_MA","XIMIZED=FALSE&amp;VAR:CALENDAR=US&amp;VAR:SYMBOL=G0129K10&amp;VAR:INDEX=0"}</definedName>
    <definedName name="_897__FDSAUDITLINK__" localSheetId="6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7__FDSAUDITLINK__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70__FDSAUDITLINK__" localSheetId="6" hidden="1">{"fdsup://directions/FAT Viewer?action=UPDATE&amp;creator=factset&amp;DYN_ARGS=TRUE&amp;DOC_NAME=FAT:FQL_AUDITING_CLIENT_TEMPLATE.FAT&amp;display_string=Audit&amp;VAR:KEY=PQNQNEPMFO&amp;VAR:QUERY=RkZfRUJJVERBX0lCKCdMVE1TJywzODU3MSk=&amp;WINDOW=FIRST_POPUP&amp;HEIGHT=450&amp;WIDTH=450&amp;START_MA","XIMIZED=FALSE&amp;VAR:CALENDAR=US&amp;VAR:SYMBOL=G0129K10&amp;VAR:INDEX=0"}</definedName>
    <definedName name="_8970__FDSAUDITLINK__" hidden="1">{"fdsup://directions/FAT Viewer?action=UPDATE&amp;creator=factset&amp;DYN_ARGS=TRUE&amp;DOC_NAME=FAT:FQL_AUDITING_CLIENT_TEMPLATE.FAT&amp;display_string=Audit&amp;VAR:KEY=PQNQNEPMFO&amp;VAR:QUERY=RkZfRUJJVERBX0lCKCdMVE1TJywzODU3MSk=&amp;WINDOW=FIRST_POPUP&amp;HEIGHT=450&amp;WIDTH=450&amp;START_MA","XIMIZED=FALSE&amp;VAR:CALENDAR=US&amp;VAR:SYMBOL=G0129K10&amp;VAR:INDEX=0"}</definedName>
    <definedName name="_8971__FDSAUDITLINK__" localSheetId="6" hidden="1">{"fdsup://directions/FAT Viewer?action=UPDATE&amp;creator=factset&amp;DYN_ARGS=TRUE&amp;DOC_NAME=FAT:FQL_AUDITING_CLIENT_TEMPLATE.FAT&amp;display_string=Audit&amp;VAR:KEY=TEJAZEJWDM&amp;VAR:QUERY=RkZfRUJJVERBX0lCKCdMVE1TJywzODU3MCk=&amp;WINDOW=FIRST_POPUP&amp;HEIGHT=450&amp;WIDTH=450&amp;START_MA","XIMIZED=FALSE&amp;VAR:CALENDAR=US&amp;VAR:SYMBOL=G0129K10&amp;VAR:INDEX=0"}</definedName>
    <definedName name="_8971__FDSAUDITLINK__" hidden="1">{"fdsup://directions/FAT Viewer?action=UPDATE&amp;creator=factset&amp;DYN_ARGS=TRUE&amp;DOC_NAME=FAT:FQL_AUDITING_CLIENT_TEMPLATE.FAT&amp;display_string=Audit&amp;VAR:KEY=TEJAZEJWDM&amp;VAR:QUERY=RkZfRUJJVERBX0lCKCdMVE1TJywzODU3MCk=&amp;WINDOW=FIRST_POPUP&amp;HEIGHT=450&amp;WIDTH=450&amp;START_MA","XIMIZED=FALSE&amp;VAR:CALENDAR=US&amp;VAR:SYMBOL=G0129K10&amp;VAR:INDEX=0"}</definedName>
    <definedName name="_8972__FDSAUDITLINK__" localSheetId="6" hidden="1">{"fdsup://directions/FAT Viewer?action=UPDATE&amp;creator=factset&amp;DYN_ARGS=TRUE&amp;DOC_NAME=FAT:FQL_AUDITING_CLIENT_TEMPLATE.FAT&amp;display_string=Audit&amp;VAR:KEY=JUVCRWZKVU&amp;VAR:QUERY=RkZfRUJJVERBX0lCKCdMVE1TJywzODU2OSk=&amp;WINDOW=FIRST_POPUP&amp;HEIGHT=450&amp;WIDTH=450&amp;START_MA","XIMIZED=FALSE&amp;VAR:CALENDAR=US&amp;VAR:SYMBOL=G0129K10&amp;VAR:INDEX=0"}</definedName>
    <definedName name="_8972__FDSAUDITLINK__" hidden="1">{"fdsup://directions/FAT Viewer?action=UPDATE&amp;creator=factset&amp;DYN_ARGS=TRUE&amp;DOC_NAME=FAT:FQL_AUDITING_CLIENT_TEMPLATE.FAT&amp;display_string=Audit&amp;VAR:KEY=JUVCRWZKVU&amp;VAR:QUERY=RkZfRUJJVERBX0lCKCdMVE1TJywzODU2OSk=&amp;WINDOW=FIRST_POPUP&amp;HEIGHT=450&amp;WIDTH=450&amp;START_MA","XIMIZED=FALSE&amp;VAR:CALENDAR=US&amp;VAR:SYMBOL=G0129K10&amp;VAR:INDEX=0"}</definedName>
    <definedName name="_8973__FDSAUDITLINK__" localSheetId="6" hidden="1">{"fdsup://directions/FAT Viewer?action=UPDATE&amp;creator=factset&amp;DYN_ARGS=TRUE&amp;DOC_NAME=FAT:FQL_AUDITING_CLIENT_TEMPLATE.FAT&amp;display_string=Audit&amp;VAR:KEY=RUPALWBETY&amp;VAR:QUERY=RkZfRUJJVERBX0lCKCdMVE1TJywzODU2OCk=&amp;WINDOW=FIRST_POPUP&amp;HEIGHT=450&amp;WIDTH=450&amp;START_MA","XIMIZED=FALSE&amp;VAR:CALENDAR=US&amp;VAR:SYMBOL=G0129K10&amp;VAR:INDEX=0"}</definedName>
    <definedName name="_8973__FDSAUDITLINK__" hidden="1">{"fdsup://directions/FAT Viewer?action=UPDATE&amp;creator=factset&amp;DYN_ARGS=TRUE&amp;DOC_NAME=FAT:FQL_AUDITING_CLIENT_TEMPLATE.FAT&amp;display_string=Audit&amp;VAR:KEY=RUPALWBETY&amp;VAR:QUERY=RkZfRUJJVERBX0lCKCdMVE1TJywzODU2OCk=&amp;WINDOW=FIRST_POPUP&amp;HEIGHT=450&amp;WIDTH=450&amp;START_MA","XIMIZED=FALSE&amp;VAR:CALENDAR=US&amp;VAR:SYMBOL=G0129K10&amp;VAR:INDEX=0"}</definedName>
    <definedName name="_8974__FDSAUDITLINK__" localSheetId="6" hidden="1">{"fdsup://directions/FAT Viewer?action=UPDATE&amp;creator=factset&amp;DYN_ARGS=TRUE&amp;DOC_NAME=FAT:FQL_AUDITING_CLIENT_TEMPLATE.FAT&amp;display_string=Audit&amp;VAR:KEY=FYJOVKFUZI&amp;VAR:QUERY=RkZfRUJJVERBX0lCKCdMVE1TJywzODU2Nyk=&amp;WINDOW=FIRST_POPUP&amp;HEIGHT=450&amp;WIDTH=450&amp;START_MA","XIMIZED=FALSE&amp;VAR:CALENDAR=US&amp;VAR:SYMBOL=G0129K10&amp;VAR:INDEX=0"}</definedName>
    <definedName name="_8974__FDSAUDITLINK__" hidden="1">{"fdsup://directions/FAT Viewer?action=UPDATE&amp;creator=factset&amp;DYN_ARGS=TRUE&amp;DOC_NAME=FAT:FQL_AUDITING_CLIENT_TEMPLATE.FAT&amp;display_string=Audit&amp;VAR:KEY=FYJOVKFUZI&amp;VAR:QUERY=RkZfRUJJVERBX0lCKCdMVE1TJywzODU2Nyk=&amp;WINDOW=FIRST_POPUP&amp;HEIGHT=450&amp;WIDTH=450&amp;START_MA","XIMIZED=FALSE&amp;VAR:CALENDAR=US&amp;VAR:SYMBOL=G0129K10&amp;VAR:INDEX=0"}</definedName>
    <definedName name="_8975__FDSAUDITLINK__" localSheetId="6" hidden="1">{"fdsup://directions/FAT Viewer?action=UPDATE&amp;creator=factset&amp;DYN_ARGS=TRUE&amp;DOC_NAME=FAT:FQL_AUDITING_CLIENT_TEMPLATE.FAT&amp;display_string=Audit&amp;VAR:KEY=ZCPIDWRQRS&amp;VAR:QUERY=RkZfRUJJVERBX0lCKCdMVE1TJywzODU2Nik=&amp;WINDOW=FIRST_POPUP&amp;HEIGHT=450&amp;WIDTH=450&amp;START_MA","XIMIZED=FALSE&amp;VAR:CALENDAR=US&amp;VAR:SYMBOL=G0129K10&amp;VAR:INDEX=0"}</definedName>
    <definedName name="_8975__FDSAUDITLINK__" hidden="1">{"fdsup://directions/FAT Viewer?action=UPDATE&amp;creator=factset&amp;DYN_ARGS=TRUE&amp;DOC_NAME=FAT:FQL_AUDITING_CLIENT_TEMPLATE.FAT&amp;display_string=Audit&amp;VAR:KEY=ZCPIDWRQRS&amp;VAR:QUERY=RkZfRUJJVERBX0lCKCdMVE1TJywzODU2Nik=&amp;WINDOW=FIRST_POPUP&amp;HEIGHT=450&amp;WIDTH=450&amp;START_MA","XIMIZED=FALSE&amp;VAR:CALENDAR=US&amp;VAR:SYMBOL=G0129K10&amp;VAR:INDEX=0"}</definedName>
    <definedName name="_8976__FDSAUDITLINK__" localSheetId="6" hidden="1">{"fdsup://directions/FAT Viewer?action=UPDATE&amp;creator=factset&amp;DYN_ARGS=TRUE&amp;DOC_NAME=FAT:FQL_AUDITING_CLIENT_TEMPLATE.FAT&amp;display_string=Audit&amp;VAR:KEY=HYXKHCZIDM&amp;VAR:QUERY=RkZfRUJJVERBX0lCKCdMVE1TJywzODU2NSk=&amp;WINDOW=FIRST_POPUP&amp;HEIGHT=450&amp;WIDTH=450&amp;START_MA","XIMIZED=FALSE&amp;VAR:CALENDAR=US&amp;VAR:SYMBOL=G0129K10&amp;VAR:INDEX=0"}</definedName>
    <definedName name="_8976__FDSAUDITLINK__" hidden="1">{"fdsup://directions/FAT Viewer?action=UPDATE&amp;creator=factset&amp;DYN_ARGS=TRUE&amp;DOC_NAME=FAT:FQL_AUDITING_CLIENT_TEMPLATE.FAT&amp;display_string=Audit&amp;VAR:KEY=HYXKHCZIDM&amp;VAR:QUERY=RkZfRUJJVERBX0lCKCdMVE1TJywzODU2NSk=&amp;WINDOW=FIRST_POPUP&amp;HEIGHT=450&amp;WIDTH=450&amp;START_MA","XIMIZED=FALSE&amp;VAR:CALENDAR=US&amp;VAR:SYMBOL=G0129K10&amp;VAR:INDEX=0"}</definedName>
    <definedName name="_8977__FDSAUDITLINK__" localSheetId="6" hidden="1">{"fdsup://directions/FAT Viewer?action=UPDATE&amp;creator=factset&amp;DYN_ARGS=TRUE&amp;DOC_NAME=FAT:FQL_AUDITING_CLIENT_TEMPLATE.FAT&amp;display_string=Audit&amp;VAR:KEY=RONWZAJYPQ&amp;VAR:QUERY=RkZfRUJJVERBX0lCKCdMVE1TJywzODU2NCk=&amp;WINDOW=FIRST_POPUP&amp;HEIGHT=450&amp;WIDTH=450&amp;START_MA","XIMIZED=FALSE&amp;VAR:CALENDAR=US&amp;VAR:SYMBOL=G0129K10&amp;VAR:INDEX=0"}</definedName>
    <definedName name="_8977__FDSAUDITLINK__" hidden="1">{"fdsup://directions/FAT Viewer?action=UPDATE&amp;creator=factset&amp;DYN_ARGS=TRUE&amp;DOC_NAME=FAT:FQL_AUDITING_CLIENT_TEMPLATE.FAT&amp;display_string=Audit&amp;VAR:KEY=RONWZAJYPQ&amp;VAR:QUERY=RkZfRUJJVERBX0lCKCdMVE1TJywzODU2NCk=&amp;WINDOW=FIRST_POPUP&amp;HEIGHT=450&amp;WIDTH=450&amp;START_MA","XIMIZED=FALSE&amp;VAR:CALENDAR=US&amp;VAR:SYMBOL=G0129K10&amp;VAR:INDEX=0"}</definedName>
    <definedName name="_8978__FDSAUDITLINK__" localSheetId="6" hidden="1">{"fdsup://directions/FAT Viewer?action=UPDATE&amp;creator=factset&amp;DYN_ARGS=TRUE&amp;DOC_NAME=FAT:FQL_AUDITING_CLIENT_TEMPLATE.FAT&amp;display_string=Audit&amp;VAR:KEY=LQVWDSPINA&amp;VAR:QUERY=RkZfRUJJVERBX0lCKCdMVE1TJywzODU2Myk=&amp;WINDOW=FIRST_POPUP&amp;HEIGHT=450&amp;WIDTH=450&amp;START_MA","XIMIZED=FALSE&amp;VAR:CALENDAR=US&amp;VAR:SYMBOL=G0129K10&amp;VAR:INDEX=0"}</definedName>
    <definedName name="_8978__FDSAUDITLINK__" hidden="1">{"fdsup://directions/FAT Viewer?action=UPDATE&amp;creator=factset&amp;DYN_ARGS=TRUE&amp;DOC_NAME=FAT:FQL_AUDITING_CLIENT_TEMPLATE.FAT&amp;display_string=Audit&amp;VAR:KEY=LQVWDSPINA&amp;VAR:QUERY=RkZfRUJJVERBX0lCKCdMVE1TJywzODU2Myk=&amp;WINDOW=FIRST_POPUP&amp;HEIGHT=450&amp;WIDTH=450&amp;START_MA","XIMIZED=FALSE&amp;VAR:CALENDAR=US&amp;VAR:SYMBOL=G0129K10&amp;VAR:INDEX=0"}</definedName>
    <definedName name="_8979__FDSAUDITLINK__" localSheetId="6" hidden="1">{"fdsup://directions/FAT Viewer?action=UPDATE&amp;creator=factset&amp;DYN_ARGS=TRUE&amp;DOC_NAME=FAT:FQL_AUDITING_CLIENT_TEMPLATE.FAT&amp;display_string=Audit&amp;VAR:KEY=VINSHQBSFI&amp;VAR:QUERY=RkZfRUJJVERBX0lCKCdMVE1TJywzODU2Mik=&amp;WINDOW=FIRST_POPUP&amp;HEIGHT=450&amp;WIDTH=450&amp;START_MA","XIMIZED=FALSE&amp;VAR:CALENDAR=US&amp;VAR:SYMBOL=G0129K10&amp;VAR:INDEX=0"}</definedName>
    <definedName name="_8979__FDSAUDITLINK__" hidden="1">{"fdsup://directions/FAT Viewer?action=UPDATE&amp;creator=factset&amp;DYN_ARGS=TRUE&amp;DOC_NAME=FAT:FQL_AUDITING_CLIENT_TEMPLATE.FAT&amp;display_string=Audit&amp;VAR:KEY=VINSHQBSFI&amp;VAR:QUERY=RkZfRUJJVERBX0lCKCdMVE1TJywzODU2Mik=&amp;WINDOW=FIRST_POPUP&amp;HEIGHT=450&amp;WIDTH=450&amp;START_MA","XIMIZED=FALSE&amp;VAR:CALENDAR=US&amp;VAR:SYMBOL=G0129K10&amp;VAR:INDEX=0"}</definedName>
    <definedName name="_898__FDSAUDITLINK__" localSheetId="6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8__FDSAUDITLINK__" hidden="1">{"fdsup://directions/FAT%20Viewer?VAR:PED=LTM&amp;VAR:AUDIT_MODE=SUMMARY&amp;VAR:PERIOD=FIXED&amp;VAR:AUDIT_ID=00000117&amp;VAR:DATE=20070907&amp;action=UPDATE&amp;creator=factset&amp;DOC_NAME=FAT:FMA_audit_SUMMARY.fat&amp;DISPLAY_STRING=Display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80__FDSAUDITLINK__" localSheetId="6" hidden="1">{"fdsup://directions/FAT Viewer?action=UPDATE&amp;creator=factset&amp;DYN_ARGS=TRUE&amp;DOC_NAME=FAT:FQL_AUDITING_CLIENT_TEMPLATE.FAT&amp;display_string=Audit&amp;VAR:KEY=LABULCTEDW&amp;VAR:QUERY=RkZfRUJJVERBX0lCKCdMVE1TJywzODU2MSk=&amp;WINDOW=FIRST_POPUP&amp;HEIGHT=450&amp;WIDTH=450&amp;START_MA","XIMIZED=FALSE&amp;VAR:CALENDAR=US&amp;VAR:SYMBOL=G0129K10&amp;VAR:INDEX=0"}</definedName>
    <definedName name="_8980__FDSAUDITLINK__" hidden="1">{"fdsup://directions/FAT Viewer?action=UPDATE&amp;creator=factset&amp;DYN_ARGS=TRUE&amp;DOC_NAME=FAT:FQL_AUDITING_CLIENT_TEMPLATE.FAT&amp;display_string=Audit&amp;VAR:KEY=LABULCTEDW&amp;VAR:QUERY=RkZfRUJJVERBX0lCKCdMVE1TJywzODU2MSk=&amp;WINDOW=FIRST_POPUP&amp;HEIGHT=450&amp;WIDTH=450&amp;START_MA","XIMIZED=FALSE&amp;VAR:CALENDAR=US&amp;VAR:SYMBOL=G0129K10&amp;VAR:INDEX=0"}</definedName>
    <definedName name="_8981__FDSAUDITLINK__" localSheetId="6" hidden="1">{"fdsup://directions/FAT Viewer?action=UPDATE&amp;creator=factset&amp;DYN_ARGS=TRUE&amp;DOC_NAME=FAT:FQL_AUDITING_CLIENT_TEMPLATE.FAT&amp;display_string=Audit&amp;VAR:KEY=TSRMDUHSDI&amp;VAR:QUERY=RkZfRUJJVERBX0lCKCdMVE1TJywzODU2MCk=&amp;WINDOW=FIRST_POPUP&amp;HEIGHT=450&amp;WIDTH=450&amp;START_MA","XIMIZED=FALSE&amp;VAR:CALENDAR=US&amp;VAR:SYMBOL=G0129K10&amp;VAR:INDEX=0"}</definedName>
    <definedName name="_8981__FDSAUDITLINK__" hidden="1">{"fdsup://directions/FAT Viewer?action=UPDATE&amp;creator=factset&amp;DYN_ARGS=TRUE&amp;DOC_NAME=FAT:FQL_AUDITING_CLIENT_TEMPLATE.FAT&amp;display_string=Audit&amp;VAR:KEY=TSRMDUHSDI&amp;VAR:QUERY=RkZfRUJJVERBX0lCKCdMVE1TJywzODU2MCk=&amp;WINDOW=FIRST_POPUP&amp;HEIGHT=450&amp;WIDTH=450&amp;START_MA","XIMIZED=FALSE&amp;VAR:CALENDAR=US&amp;VAR:SYMBOL=G0129K10&amp;VAR:INDEX=0"}</definedName>
    <definedName name="_8982__FDSAUDITLINK__" localSheetId="6" hidden="1">{"fdsup://directions/FAT Viewer?action=UPDATE&amp;creator=factset&amp;DYN_ARGS=TRUE&amp;DOC_NAME=FAT:FQL_AUDITING_CLIENT_TEMPLATE.FAT&amp;display_string=Audit&amp;VAR:KEY=FOZIJWVYTW&amp;VAR:QUERY=RkZfRUJJVERBX0lCKCdMVE1TJywzODU1OSk=&amp;WINDOW=FIRST_POPUP&amp;HEIGHT=450&amp;WIDTH=450&amp;START_MA","XIMIZED=FALSE&amp;VAR:CALENDAR=US&amp;VAR:SYMBOL=G0129K10&amp;VAR:INDEX=0"}</definedName>
    <definedName name="_8982__FDSAUDITLINK__" hidden="1">{"fdsup://directions/FAT Viewer?action=UPDATE&amp;creator=factset&amp;DYN_ARGS=TRUE&amp;DOC_NAME=FAT:FQL_AUDITING_CLIENT_TEMPLATE.FAT&amp;display_string=Audit&amp;VAR:KEY=FOZIJWVYTW&amp;VAR:QUERY=RkZfRUJJVERBX0lCKCdMVE1TJywzODU1OSk=&amp;WINDOW=FIRST_POPUP&amp;HEIGHT=450&amp;WIDTH=450&amp;START_MA","XIMIZED=FALSE&amp;VAR:CALENDAR=US&amp;VAR:SYMBOL=G0129K10&amp;VAR:INDEX=0"}</definedName>
    <definedName name="_8983__FDSAUDITLINK__" localSheetId="6" hidden="1">{"fdsup://directions/FAT Viewer?action=UPDATE&amp;creator=factset&amp;DYN_ARGS=TRUE&amp;DOC_NAME=FAT:FQL_AUDITING_CLIENT_TEMPLATE.FAT&amp;display_string=Audit&amp;VAR:KEY=BELUTIRQNM&amp;VAR:QUERY=RkZfRUJJVERBX0lCKCdMVE1TJywzODU1OCk=&amp;WINDOW=FIRST_POPUP&amp;HEIGHT=450&amp;WIDTH=450&amp;START_MA","XIMIZED=FALSE&amp;VAR:CALENDAR=US&amp;VAR:SYMBOL=G0129K10&amp;VAR:INDEX=0"}</definedName>
    <definedName name="_8983__FDSAUDITLINK__" hidden="1">{"fdsup://directions/FAT Viewer?action=UPDATE&amp;creator=factset&amp;DYN_ARGS=TRUE&amp;DOC_NAME=FAT:FQL_AUDITING_CLIENT_TEMPLATE.FAT&amp;display_string=Audit&amp;VAR:KEY=BELUTIRQNM&amp;VAR:QUERY=RkZfRUJJVERBX0lCKCdMVE1TJywzODU1OCk=&amp;WINDOW=FIRST_POPUP&amp;HEIGHT=450&amp;WIDTH=450&amp;START_MA","XIMIZED=FALSE&amp;VAR:CALENDAR=US&amp;VAR:SYMBOL=G0129K10&amp;VAR:INDEX=0"}</definedName>
    <definedName name="_8984__FDSAUDITLINK__" localSheetId="6" hidden="1">{"fdsup://directions/FAT Viewer?action=UPDATE&amp;creator=factset&amp;DYN_ARGS=TRUE&amp;DOC_NAME=FAT:FQL_AUDITING_CLIENT_TEMPLATE.FAT&amp;display_string=Audit&amp;VAR:KEY=LOFUNETADE&amp;VAR:QUERY=RkZfRUJJVERBX0lCKCdMVE1TJywzODU1Nyk=&amp;WINDOW=FIRST_POPUP&amp;HEIGHT=450&amp;WIDTH=450&amp;START_MA","XIMIZED=FALSE&amp;VAR:CALENDAR=US&amp;VAR:SYMBOL=G0129K10&amp;VAR:INDEX=0"}</definedName>
    <definedName name="_8984__FDSAUDITLINK__" hidden="1">{"fdsup://directions/FAT Viewer?action=UPDATE&amp;creator=factset&amp;DYN_ARGS=TRUE&amp;DOC_NAME=FAT:FQL_AUDITING_CLIENT_TEMPLATE.FAT&amp;display_string=Audit&amp;VAR:KEY=LOFUNETADE&amp;VAR:QUERY=RkZfRUJJVERBX0lCKCdMVE1TJywzODU1Nyk=&amp;WINDOW=FIRST_POPUP&amp;HEIGHT=450&amp;WIDTH=450&amp;START_MA","XIMIZED=FALSE&amp;VAR:CALENDAR=US&amp;VAR:SYMBOL=G0129K10&amp;VAR:INDEX=0"}</definedName>
    <definedName name="_8985__FDSAUDITLINK__" localSheetId="6" hidden="1">{"fdsup://directions/FAT Viewer?action=UPDATE&amp;creator=factset&amp;DYN_ARGS=TRUE&amp;DOC_NAME=FAT:FQL_AUDITING_CLIENT_TEMPLATE.FAT&amp;display_string=Audit&amp;VAR:KEY=FGBGPMHKBA&amp;VAR:QUERY=RkZfRUJJVERBX0lCKCdMVE1TJywzODU1Nik=&amp;WINDOW=FIRST_POPUP&amp;HEIGHT=450&amp;WIDTH=450&amp;START_MA","XIMIZED=FALSE&amp;VAR:CALENDAR=US&amp;VAR:SYMBOL=G0129K10&amp;VAR:INDEX=0"}</definedName>
    <definedName name="_8985__FDSAUDITLINK__" hidden="1">{"fdsup://directions/FAT Viewer?action=UPDATE&amp;creator=factset&amp;DYN_ARGS=TRUE&amp;DOC_NAME=FAT:FQL_AUDITING_CLIENT_TEMPLATE.FAT&amp;display_string=Audit&amp;VAR:KEY=FGBGPMHKBA&amp;VAR:QUERY=RkZfRUJJVERBX0lCKCdMVE1TJywzODU1Nik=&amp;WINDOW=FIRST_POPUP&amp;HEIGHT=450&amp;WIDTH=450&amp;START_MA","XIMIZED=FALSE&amp;VAR:CALENDAR=US&amp;VAR:SYMBOL=G0129K10&amp;VAR:INDEX=0"}</definedName>
    <definedName name="_8986__FDSAUDITLINK__" localSheetId="6" hidden="1">{"fdsup://directions/FAT Viewer?action=UPDATE&amp;creator=factset&amp;DYN_ARGS=TRUE&amp;DOC_NAME=FAT:FQL_AUDITING_CLIENT_TEMPLATE.FAT&amp;display_string=Audit&amp;VAR:KEY=LYPKHIHKHU&amp;VAR:QUERY=RkZfRUJJVERBX0lCKCdMVE1TJywzODU1NSk=&amp;WINDOW=FIRST_POPUP&amp;HEIGHT=450&amp;WIDTH=450&amp;START_MA","XIMIZED=FALSE&amp;VAR:CALENDAR=US&amp;VAR:SYMBOL=G0129K10&amp;VAR:INDEX=0"}</definedName>
    <definedName name="_8986__FDSAUDITLINK__" hidden="1">{"fdsup://directions/FAT Viewer?action=UPDATE&amp;creator=factset&amp;DYN_ARGS=TRUE&amp;DOC_NAME=FAT:FQL_AUDITING_CLIENT_TEMPLATE.FAT&amp;display_string=Audit&amp;VAR:KEY=LYPKHIHKHU&amp;VAR:QUERY=RkZfRUJJVERBX0lCKCdMVE1TJywzODU1NSk=&amp;WINDOW=FIRST_POPUP&amp;HEIGHT=450&amp;WIDTH=450&amp;START_MA","XIMIZED=FALSE&amp;VAR:CALENDAR=US&amp;VAR:SYMBOL=G0129K10&amp;VAR:INDEX=0"}</definedName>
    <definedName name="_8987__FDSAUDITLINK__" localSheetId="6" hidden="1">{"fdsup://directions/FAT Viewer?action=UPDATE&amp;creator=factset&amp;DYN_ARGS=TRUE&amp;DOC_NAME=FAT:FQL_AUDITING_CLIENT_TEMPLATE.FAT&amp;display_string=Audit&amp;VAR:KEY=FEPQZIVAHI&amp;VAR:QUERY=RkZfRUJJVERBX0lCKCdMVE1TJywzODU1NCk=&amp;WINDOW=FIRST_POPUP&amp;HEIGHT=450&amp;WIDTH=450&amp;START_MA","XIMIZED=FALSE&amp;VAR:CALENDAR=US&amp;VAR:SYMBOL=G0129K10&amp;VAR:INDEX=0"}</definedName>
    <definedName name="_8987__FDSAUDITLINK__" hidden="1">{"fdsup://directions/FAT Viewer?action=UPDATE&amp;creator=factset&amp;DYN_ARGS=TRUE&amp;DOC_NAME=FAT:FQL_AUDITING_CLIENT_TEMPLATE.FAT&amp;display_string=Audit&amp;VAR:KEY=FEPQZIVAHI&amp;VAR:QUERY=RkZfRUJJVERBX0lCKCdMVE1TJywzODU1NCk=&amp;WINDOW=FIRST_POPUP&amp;HEIGHT=450&amp;WIDTH=450&amp;START_MA","XIMIZED=FALSE&amp;VAR:CALENDAR=US&amp;VAR:SYMBOL=G0129K10&amp;VAR:INDEX=0"}</definedName>
    <definedName name="_8988__FDSAUDITLINK__" localSheetId="6" hidden="1">{"fdsup://directions/FAT Viewer?action=UPDATE&amp;creator=factset&amp;DYN_ARGS=TRUE&amp;DOC_NAME=FAT:FQL_AUDITING_CLIENT_TEMPLATE.FAT&amp;display_string=Audit&amp;VAR:KEY=FAXGVCVMTG&amp;VAR:QUERY=RkZfRUJJVERBX0lCKCdMVE1TJywzODU1Myk=&amp;WINDOW=FIRST_POPUP&amp;HEIGHT=450&amp;WIDTH=450&amp;START_MA","XIMIZED=FALSE&amp;VAR:CALENDAR=US&amp;VAR:SYMBOL=G0129K10&amp;VAR:INDEX=0"}</definedName>
    <definedName name="_8988__FDSAUDITLINK__" hidden="1">{"fdsup://directions/FAT Viewer?action=UPDATE&amp;creator=factset&amp;DYN_ARGS=TRUE&amp;DOC_NAME=FAT:FQL_AUDITING_CLIENT_TEMPLATE.FAT&amp;display_string=Audit&amp;VAR:KEY=FAXGVCVMTG&amp;VAR:QUERY=RkZfRUJJVERBX0lCKCdMVE1TJywzODU1Myk=&amp;WINDOW=FIRST_POPUP&amp;HEIGHT=450&amp;WIDTH=450&amp;START_MA","XIMIZED=FALSE&amp;VAR:CALENDAR=US&amp;VAR:SYMBOL=G0129K10&amp;VAR:INDEX=0"}</definedName>
    <definedName name="_8989__FDSAUDITLINK__" localSheetId="6" hidden="1">{"fdsup://directions/FAT Viewer?action=UPDATE&amp;creator=factset&amp;DYN_ARGS=TRUE&amp;DOC_NAME=FAT:FQL_AUDITING_CLIENT_TEMPLATE.FAT&amp;display_string=Audit&amp;VAR:KEY=HQZMLARSPI&amp;VAR:QUERY=RkZfRUJJVERBX0lCKCdMVE1TJywzODU1Mik=&amp;WINDOW=FIRST_POPUP&amp;HEIGHT=450&amp;WIDTH=450&amp;START_MA","XIMIZED=FALSE&amp;VAR:CALENDAR=US&amp;VAR:SYMBOL=G0129K10&amp;VAR:INDEX=0"}</definedName>
    <definedName name="_8989__FDSAUDITLINK__" hidden="1">{"fdsup://directions/FAT Viewer?action=UPDATE&amp;creator=factset&amp;DYN_ARGS=TRUE&amp;DOC_NAME=FAT:FQL_AUDITING_CLIENT_TEMPLATE.FAT&amp;display_string=Audit&amp;VAR:KEY=HQZMLARSPI&amp;VAR:QUERY=RkZfRUJJVERBX0lCKCdMVE1TJywzODU1Mik=&amp;WINDOW=FIRST_POPUP&amp;HEIGHT=450&amp;WIDTH=450&amp;START_MA","XIMIZED=FALSE&amp;VAR:CALENDAR=US&amp;VAR:SYMBOL=G0129K10&amp;VAR:INDEX=0"}</definedName>
    <definedName name="_899__FDSAUDITLINK__" localSheetId="6" hidden="1">{"fdsup://directions/FAT%20Viewer?VAR:PED=LTM&amp;VAR:AUDIT_MODE=SUMMARY&amp;VAR:PERIOD=FIXED&amp;VAR:AUDIT_ID=00000117&amp;VAR:DATE=20070906&amp;action=UPDATE&amp;creator=factset&amp;DOC_NAME=FAT:FMA_audit_SUMMARY.fat&amp;DISPLAY_STRING=Display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9__FDSAUDITLINK__" hidden="1">{"fdsup://directions/FAT%20Viewer?VAR:PED=LTM&amp;VAR:AUDIT_MODE=SUMMARY&amp;VAR:PERIOD=FIXED&amp;VAR:AUDIT_ID=00000117&amp;VAR:DATE=20070906&amp;action=UPDATE&amp;creator=factset&amp;DOC_NAME=FAT:FMA_audit_SUMMARY.fat&amp;DISPLAY_STRING=Display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8990__FDSAUDITLINK__" localSheetId="6" hidden="1">{"fdsup://directions/FAT Viewer?action=UPDATE&amp;creator=factset&amp;DYN_ARGS=TRUE&amp;DOC_NAME=FAT:FQL_AUDITING_CLIENT_TEMPLATE.FAT&amp;display_string=Audit&amp;VAR:KEY=LYLYFOREXE&amp;VAR:QUERY=RkZfRUJJVERBX0lCKCdMVE1TJywzODU1MSk=&amp;WINDOW=FIRST_POPUP&amp;HEIGHT=450&amp;WIDTH=450&amp;START_MA","XIMIZED=FALSE&amp;VAR:CALENDAR=US&amp;VAR:SYMBOL=G0129K10&amp;VAR:INDEX=0"}</definedName>
    <definedName name="_8990__FDSAUDITLINK__" hidden="1">{"fdsup://directions/FAT Viewer?action=UPDATE&amp;creator=factset&amp;DYN_ARGS=TRUE&amp;DOC_NAME=FAT:FQL_AUDITING_CLIENT_TEMPLATE.FAT&amp;display_string=Audit&amp;VAR:KEY=LYLYFOREXE&amp;VAR:QUERY=RkZfRUJJVERBX0lCKCdMVE1TJywzODU1MSk=&amp;WINDOW=FIRST_POPUP&amp;HEIGHT=450&amp;WIDTH=450&amp;START_MA","XIMIZED=FALSE&amp;VAR:CALENDAR=US&amp;VAR:SYMBOL=G0129K10&amp;VAR:INDEX=0"}</definedName>
    <definedName name="_8991__FDSAUDITLINK__" localSheetId="6" hidden="1">{"fdsup://directions/FAT Viewer?action=UPDATE&amp;creator=factset&amp;DYN_ARGS=TRUE&amp;DOC_NAME=FAT:FQL_AUDITING_CLIENT_TEMPLATE.FAT&amp;display_string=Audit&amp;VAR:KEY=HEJGBWTSDE&amp;VAR:QUERY=RkZfRUJJVERBX0lCKCdMVE1TJywzODU1MCk=&amp;WINDOW=FIRST_POPUP&amp;HEIGHT=450&amp;WIDTH=450&amp;START_MA","XIMIZED=FALSE&amp;VAR:CALENDAR=US&amp;VAR:SYMBOL=G0129K10&amp;VAR:INDEX=0"}</definedName>
    <definedName name="_8991__FDSAUDITLINK__" hidden="1">{"fdsup://directions/FAT Viewer?action=UPDATE&amp;creator=factset&amp;DYN_ARGS=TRUE&amp;DOC_NAME=FAT:FQL_AUDITING_CLIENT_TEMPLATE.FAT&amp;display_string=Audit&amp;VAR:KEY=HEJGBWTSDE&amp;VAR:QUERY=RkZfRUJJVERBX0lCKCdMVE1TJywzODU1MCk=&amp;WINDOW=FIRST_POPUP&amp;HEIGHT=450&amp;WIDTH=450&amp;START_MA","XIMIZED=FALSE&amp;VAR:CALENDAR=US&amp;VAR:SYMBOL=G0129K10&amp;VAR:INDEX=0"}</definedName>
    <definedName name="_8992__FDSAUDITLINK__" localSheetId="6" hidden="1">{"fdsup://directions/FAT Viewer?action=UPDATE&amp;creator=factset&amp;DYN_ARGS=TRUE&amp;DOC_NAME=FAT:FQL_AUDITING_CLIENT_TEMPLATE.FAT&amp;display_string=Audit&amp;VAR:KEY=RGDMJUBMXG&amp;VAR:QUERY=RkZfRUJJVERBX0lCKCdMVE1TJywzODU0OSk=&amp;WINDOW=FIRST_POPUP&amp;HEIGHT=450&amp;WIDTH=450&amp;START_MA","XIMIZED=FALSE&amp;VAR:CALENDAR=US&amp;VAR:SYMBOL=G0129K10&amp;VAR:INDEX=0"}</definedName>
    <definedName name="_8992__FDSAUDITLINK__" hidden="1">{"fdsup://directions/FAT Viewer?action=UPDATE&amp;creator=factset&amp;DYN_ARGS=TRUE&amp;DOC_NAME=FAT:FQL_AUDITING_CLIENT_TEMPLATE.FAT&amp;display_string=Audit&amp;VAR:KEY=RGDMJUBMXG&amp;VAR:QUERY=RkZfRUJJVERBX0lCKCdMVE1TJywzODU0OSk=&amp;WINDOW=FIRST_POPUP&amp;HEIGHT=450&amp;WIDTH=450&amp;START_MA","XIMIZED=FALSE&amp;VAR:CALENDAR=US&amp;VAR:SYMBOL=G0129K10&amp;VAR:INDEX=0"}</definedName>
    <definedName name="_8993__FDSAUDITLINK__" localSheetId="6" hidden="1">{"fdsup://directions/FAT Viewer?action=UPDATE&amp;creator=factset&amp;DYN_ARGS=TRUE&amp;DOC_NAME=FAT:FQL_AUDITING_CLIENT_TEMPLATE.FAT&amp;display_string=Audit&amp;VAR:KEY=RWNSNYLKTM&amp;VAR:QUERY=RkZfRUJJVERBX0lCKCdMVE1TJywzODU0OCk=&amp;WINDOW=FIRST_POPUP&amp;HEIGHT=450&amp;WIDTH=450&amp;START_MA","XIMIZED=FALSE&amp;VAR:CALENDAR=US&amp;VAR:SYMBOL=G0129K10&amp;VAR:INDEX=0"}</definedName>
    <definedName name="_8993__FDSAUDITLINK__" hidden="1">{"fdsup://directions/FAT Viewer?action=UPDATE&amp;creator=factset&amp;DYN_ARGS=TRUE&amp;DOC_NAME=FAT:FQL_AUDITING_CLIENT_TEMPLATE.FAT&amp;display_string=Audit&amp;VAR:KEY=RWNSNYLKTM&amp;VAR:QUERY=RkZfRUJJVERBX0lCKCdMVE1TJywzODU0OCk=&amp;WINDOW=FIRST_POPUP&amp;HEIGHT=450&amp;WIDTH=450&amp;START_MA","XIMIZED=FALSE&amp;VAR:CALENDAR=US&amp;VAR:SYMBOL=G0129K10&amp;VAR:INDEX=0"}</definedName>
    <definedName name="_8994__FDSAUDITLINK__" localSheetId="6" hidden="1">{"fdsup://directions/FAT Viewer?action=UPDATE&amp;creator=factset&amp;DYN_ARGS=TRUE&amp;DOC_NAME=FAT:FQL_AUDITING_CLIENT_TEMPLATE.FAT&amp;display_string=Audit&amp;VAR:KEY=NABILQXGVU&amp;VAR:QUERY=RkZfRUJJVERBX0lCKCdMVE1TJywzODU0Nyk=&amp;WINDOW=FIRST_POPUP&amp;HEIGHT=450&amp;WIDTH=450&amp;START_MA","XIMIZED=FALSE&amp;VAR:CALENDAR=US&amp;VAR:SYMBOL=G0129K10&amp;VAR:INDEX=0"}</definedName>
    <definedName name="_8994__FDSAUDITLINK__" hidden="1">{"fdsup://directions/FAT Viewer?action=UPDATE&amp;creator=factset&amp;DYN_ARGS=TRUE&amp;DOC_NAME=FAT:FQL_AUDITING_CLIENT_TEMPLATE.FAT&amp;display_string=Audit&amp;VAR:KEY=NABILQXGVU&amp;VAR:QUERY=RkZfRUJJVERBX0lCKCdMVE1TJywzODU0Nyk=&amp;WINDOW=FIRST_POPUP&amp;HEIGHT=450&amp;WIDTH=450&amp;START_MA","XIMIZED=FALSE&amp;VAR:CALENDAR=US&amp;VAR:SYMBOL=G0129K10&amp;VAR:INDEX=0"}</definedName>
    <definedName name="_8995__FDSAUDITLINK__" localSheetId="6" hidden="1">{"fdsup://directions/FAT Viewer?action=UPDATE&amp;creator=factset&amp;DYN_ARGS=TRUE&amp;DOC_NAME=FAT:FQL_AUDITING_CLIENT_TEMPLATE.FAT&amp;display_string=Audit&amp;VAR:KEY=LENIJQVQRY&amp;VAR:QUERY=RkZfRUJJVERBX0lCKCdMVE1TJywzODU0Nik=&amp;WINDOW=FIRST_POPUP&amp;HEIGHT=450&amp;WIDTH=450&amp;START_MA","XIMIZED=FALSE&amp;VAR:CALENDAR=US&amp;VAR:SYMBOL=G0129K10&amp;VAR:INDEX=0"}</definedName>
    <definedName name="_8995__FDSAUDITLINK__" hidden="1">{"fdsup://directions/FAT Viewer?action=UPDATE&amp;creator=factset&amp;DYN_ARGS=TRUE&amp;DOC_NAME=FAT:FQL_AUDITING_CLIENT_TEMPLATE.FAT&amp;display_string=Audit&amp;VAR:KEY=LENIJQVQRY&amp;VAR:QUERY=RkZfRUJJVERBX0lCKCdMVE1TJywzODU0Nik=&amp;WINDOW=FIRST_POPUP&amp;HEIGHT=450&amp;WIDTH=450&amp;START_MA","XIMIZED=FALSE&amp;VAR:CALENDAR=US&amp;VAR:SYMBOL=G0129K10&amp;VAR:INDEX=0"}</definedName>
    <definedName name="_8996__FDSAUDITLINK__" localSheetId="6" hidden="1">{"fdsup://directions/FAT Viewer?action=UPDATE&amp;creator=factset&amp;DYN_ARGS=TRUE&amp;DOC_NAME=FAT:FQL_AUDITING_CLIENT_TEMPLATE.FAT&amp;display_string=Audit&amp;VAR:KEY=DAJORMZSBS&amp;VAR:QUERY=RkZfRUJJVERBX0lCKCdMVE1TJywzODU0NSk=&amp;WINDOW=FIRST_POPUP&amp;HEIGHT=450&amp;WIDTH=450&amp;START_MA","XIMIZED=FALSE&amp;VAR:CALENDAR=US&amp;VAR:SYMBOL=G0129K10&amp;VAR:INDEX=0"}</definedName>
    <definedName name="_8996__FDSAUDITLINK__" hidden="1">{"fdsup://directions/FAT Viewer?action=UPDATE&amp;creator=factset&amp;DYN_ARGS=TRUE&amp;DOC_NAME=FAT:FQL_AUDITING_CLIENT_TEMPLATE.FAT&amp;display_string=Audit&amp;VAR:KEY=DAJORMZSBS&amp;VAR:QUERY=RkZfRUJJVERBX0lCKCdMVE1TJywzODU0NSk=&amp;WINDOW=FIRST_POPUP&amp;HEIGHT=450&amp;WIDTH=450&amp;START_MA","XIMIZED=FALSE&amp;VAR:CALENDAR=US&amp;VAR:SYMBOL=G0129K10&amp;VAR:INDEX=0"}</definedName>
    <definedName name="_8997__FDSAUDITLINK__" localSheetId="6" hidden="1">{"fdsup://directions/FAT Viewer?action=UPDATE&amp;creator=factset&amp;DYN_ARGS=TRUE&amp;DOC_NAME=FAT:FQL_AUDITING_CLIENT_TEMPLATE.FAT&amp;display_string=Audit&amp;VAR:KEY=RSPUDSVMRM&amp;VAR:QUERY=RkZfRUJJVERBX0lCKCdMVE1TJywzODU0NCk=&amp;WINDOW=FIRST_POPUP&amp;HEIGHT=450&amp;WIDTH=450&amp;START_MA","XIMIZED=FALSE&amp;VAR:CALENDAR=US&amp;VAR:SYMBOL=G0129K10&amp;VAR:INDEX=0"}</definedName>
    <definedName name="_8997__FDSAUDITLINK__" hidden="1">{"fdsup://directions/FAT Viewer?action=UPDATE&amp;creator=factset&amp;DYN_ARGS=TRUE&amp;DOC_NAME=FAT:FQL_AUDITING_CLIENT_TEMPLATE.FAT&amp;display_string=Audit&amp;VAR:KEY=RSPUDSVMRM&amp;VAR:QUERY=RkZfRUJJVERBX0lCKCdMVE1TJywzODU0NCk=&amp;WINDOW=FIRST_POPUP&amp;HEIGHT=450&amp;WIDTH=450&amp;START_MA","XIMIZED=FALSE&amp;VAR:CALENDAR=US&amp;VAR:SYMBOL=G0129K10&amp;VAR:INDEX=0"}</definedName>
    <definedName name="_8998__FDSAUDITLINK__" localSheetId="6" hidden="1">{"fdsup://directions/FAT Viewer?action=UPDATE&amp;creator=factset&amp;DYN_ARGS=TRUE&amp;DOC_NAME=FAT:FQL_AUDITING_CLIENT_TEMPLATE.FAT&amp;display_string=Audit&amp;VAR:KEY=HKBMXGRQNK&amp;VAR:QUERY=RkZfRUJJVERBX0lCKCdMVE1TJywzODU0Myk=&amp;WINDOW=FIRST_POPUP&amp;HEIGHT=450&amp;WIDTH=450&amp;START_MA","XIMIZED=FALSE&amp;VAR:CALENDAR=US&amp;VAR:SYMBOL=G0129K10&amp;VAR:INDEX=0"}</definedName>
    <definedName name="_8998__FDSAUDITLINK__" hidden="1">{"fdsup://directions/FAT Viewer?action=UPDATE&amp;creator=factset&amp;DYN_ARGS=TRUE&amp;DOC_NAME=FAT:FQL_AUDITING_CLIENT_TEMPLATE.FAT&amp;display_string=Audit&amp;VAR:KEY=HKBMXGRQNK&amp;VAR:QUERY=RkZfRUJJVERBX0lCKCdMVE1TJywzODU0Myk=&amp;WINDOW=FIRST_POPUP&amp;HEIGHT=450&amp;WIDTH=450&amp;START_MA","XIMIZED=FALSE&amp;VAR:CALENDAR=US&amp;VAR:SYMBOL=G0129K10&amp;VAR:INDEX=0"}</definedName>
    <definedName name="_8999__FDSAUDITLINK__" localSheetId="6" hidden="1">{"fdsup://directions/FAT Viewer?action=UPDATE&amp;creator=factset&amp;DYN_ARGS=TRUE&amp;DOC_NAME=FAT:FQL_AUDITING_CLIENT_TEMPLATE.FAT&amp;display_string=Audit&amp;VAR:KEY=DQBUZOPGJK&amp;VAR:QUERY=RkZfRUJJVERBX0lCKCdMVE1TJywzODU0Mik=&amp;WINDOW=FIRST_POPUP&amp;HEIGHT=450&amp;WIDTH=450&amp;START_MA","XIMIZED=FALSE&amp;VAR:CALENDAR=US&amp;VAR:SYMBOL=G0129K10&amp;VAR:INDEX=0"}</definedName>
    <definedName name="_8999__FDSAUDITLINK__" hidden="1">{"fdsup://directions/FAT Viewer?action=UPDATE&amp;creator=factset&amp;DYN_ARGS=TRUE&amp;DOC_NAME=FAT:FQL_AUDITING_CLIENT_TEMPLATE.FAT&amp;display_string=Audit&amp;VAR:KEY=DQBUZOPGJK&amp;VAR:QUERY=RkZfRUJJVERBX0lCKCdMVE1TJywzODU0Mik=&amp;WINDOW=FIRST_POPUP&amp;HEIGHT=450&amp;WIDTH=450&amp;START_MA","XIMIZED=FALSE&amp;VAR:CALENDAR=US&amp;VAR:SYMBOL=G0129K10&amp;VAR:INDEX=0"}</definedName>
    <definedName name="_9__FDSAUDITLINK__" localSheetId="6" hidden="1">{"fdsup://directions/FAT Viewer?action=UPDATE&amp;creator=factset&amp;DYN_ARGS=TRUE&amp;DOC_NAME=FAT:FQL_AUDITING_CLIENT_TEMPLATE.FAT&amp;display_string=Audit&amp;VAR:KEY=BIRWBABGFQ&amp;VAR:QUERY=QVZHKENTRl9ORVRfSU5DKEFOTiwwRlksLTZGWSxZKSkgLyAoQVZHKENTRl9BU1NFVFMoQU5OLDBGWSwtNkZZL","EZZKSkgLSBBVkcoQ1NGX0lOVEFORyhBTk4sMCwtNkZZLEZZKSkp&amp;WINDOW=FIRST_POPUP&amp;HEIGHT=450&amp;WIDTH=450&amp;START_MAXIMIZED=FALSE&amp;VAR:CALENDAR=US&amp;VAR:SYMBOL=NAT"}</definedName>
    <definedName name="_9__FDSAUDITLINK__" hidden="1">{"fdsup://directions/FAT Viewer?action=UPDATE&amp;creator=factset&amp;DYN_ARGS=TRUE&amp;DOC_NAME=FAT:FQL_AUDITING_CLIENT_TEMPLATE.FAT&amp;display_string=Audit&amp;VAR:KEY=BIRWBABGFQ&amp;VAR:QUERY=QVZHKENTRl9ORVRfSU5DKEFOTiwwRlksLTZGWSxZKSkgLyAoQVZHKENTRl9BU1NFVFMoQU5OLDBGWSwtNkZZL","EZZKSkgLSBBVkcoQ1NGX0lOVEFORyhBTk4sMCwtNkZZLEZZKSkp&amp;WINDOW=FIRST_POPUP&amp;HEIGHT=450&amp;WIDTH=450&amp;START_MAXIMIZED=FALSE&amp;VAR:CALENDAR=US&amp;VAR:SYMBOL=NAT"}</definedName>
    <definedName name="_900__FDSAUDITLINK__" localSheetId="6" hidden="1">{"fdsup://directions/FAT%20Viewer?VAR:PED=LTM&amp;VAR:AUDIT_MODE=SUMMARY&amp;VAR:PERIOD=FIXED&amp;VAR:AUDIT_ID=00000117&amp;VAR:DATE=20070905&amp;action=UPDATE&amp;creator=factset&amp;DOC_NAME=FAT:FMA_audit_SUMMARY.fat&amp;DISPLAY_STRING=Display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0__FDSAUDITLINK__" hidden="1">{"fdsup://directions/FAT%20Viewer?VAR:PED=LTM&amp;VAR:AUDIT_MODE=SUMMARY&amp;VAR:PERIOD=FIXED&amp;VAR:AUDIT_ID=00000117&amp;VAR:DATE=20070905&amp;action=UPDATE&amp;creator=factset&amp;DOC_NAME=FAT:FMA_audit_SUMMARY.fat&amp;DISPLAY_STRING=Display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00__FDSAUDITLINK__" localSheetId="6" hidden="1">{"fdsup://directions/FAT Viewer?action=UPDATE&amp;creator=factset&amp;DYN_ARGS=TRUE&amp;DOC_NAME=FAT:FQL_AUDITING_CLIENT_TEMPLATE.FAT&amp;display_string=Audit&amp;VAR:KEY=VUVGPCBITW&amp;VAR:QUERY=RkZfRUJJVERBX0lCKCdMVE1TJywzODU0MSk=&amp;WINDOW=FIRST_POPUP&amp;HEIGHT=450&amp;WIDTH=450&amp;START_MA","XIMIZED=FALSE&amp;VAR:CALENDAR=US&amp;VAR:SYMBOL=G0129K10&amp;VAR:INDEX=0"}</definedName>
    <definedName name="_9000__FDSAUDITLINK__" hidden="1">{"fdsup://directions/FAT Viewer?action=UPDATE&amp;creator=factset&amp;DYN_ARGS=TRUE&amp;DOC_NAME=FAT:FQL_AUDITING_CLIENT_TEMPLATE.FAT&amp;display_string=Audit&amp;VAR:KEY=VUVGPCBITW&amp;VAR:QUERY=RkZfRUJJVERBX0lCKCdMVE1TJywzODU0MSk=&amp;WINDOW=FIRST_POPUP&amp;HEIGHT=450&amp;WIDTH=450&amp;START_MA","XIMIZED=FALSE&amp;VAR:CALENDAR=US&amp;VAR:SYMBOL=G0129K10&amp;VAR:INDEX=0"}</definedName>
    <definedName name="_9001__FDSAUDITLINK__" localSheetId="6" hidden="1">{"fdsup://directions/FAT Viewer?action=UPDATE&amp;creator=factset&amp;DYN_ARGS=TRUE&amp;DOC_NAME=FAT:FQL_AUDITING_CLIENT_TEMPLATE.FAT&amp;display_string=Audit&amp;VAR:KEY=FOJOJSFMFA&amp;VAR:QUERY=RkZfRUJJVERBX0lCKCdMVE1TJywzODU0MCk=&amp;WINDOW=FIRST_POPUP&amp;HEIGHT=450&amp;WIDTH=450&amp;START_MA","XIMIZED=FALSE&amp;VAR:CALENDAR=US&amp;VAR:SYMBOL=G0129K10&amp;VAR:INDEX=0"}</definedName>
    <definedName name="_9001__FDSAUDITLINK__" hidden="1">{"fdsup://directions/FAT Viewer?action=UPDATE&amp;creator=factset&amp;DYN_ARGS=TRUE&amp;DOC_NAME=FAT:FQL_AUDITING_CLIENT_TEMPLATE.FAT&amp;display_string=Audit&amp;VAR:KEY=FOJOJSFMFA&amp;VAR:QUERY=RkZfRUJJVERBX0lCKCdMVE1TJywzODU0MCk=&amp;WINDOW=FIRST_POPUP&amp;HEIGHT=450&amp;WIDTH=450&amp;START_MA","XIMIZED=FALSE&amp;VAR:CALENDAR=US&amp;VAR:SYMBOL=G0129K10&amp;VAR:INDEX=0"}</definedName>
    <definedName name="_9002__FDSAUDITLINK__" localSheetId="6" hidden="1">{"fdsup://directions/FAT Viewer?action=UPDATE&amp;creator=factset&amp;DYN_ARGS=TRUE&amp;DOC_NAME=FAT:FQL_AUDITING_CLIENT_TEMPLATE.FAT&amp;display_string=Audit&amp;VAR:KEY=HYBCHYXSDE&amp;VAR:QUERY=RkZfRUJJVERBX0lCKCdMVE1TJywzODUzOSk=&amp;WINDOW=FIRST_POPUP&amp;HEIGHT=450&amp;WIDTH=450&amp;START_MA","XIMIZED=FALSE&amp;VAR:CALENDAR=US&amp;VAR:SYMBOL=G0129K10&amp;VAR:INDEX=0"}</definedName>
    <definedName name="_9002__FDSAUDITLINK__" hidden="1">{"fdsup://directions/FAT Viewer?action=UPDATE&amp;creator=factset&amp;DYN_ARGS=TRUE&amp;DOC_NAME=FAT:FQL_AUDITING_CLIENT_TEMPLATE.FAT&amp;display_string=Audit&amp;VAR:KEY=HYBCHYXSDE&amp;VAR:QUERY=RkZfRUJJVERBX0lCKCdMVE1TJywzODUzOSk=&amp;WINDOW=FIRST_POPUP&amp;HEIGHT=450&amp;WIDTH=450&amp;START_MA","XIMIZED=FALSE&amp;VAR:CALENDAR=US&amp;VAR:SYMBOL=G0129K10&amp;VAR:INDEX=0"}</definedName>
    <definedName name="_9003__FDSAUDITLINK__" localSheetId="6" hidden="1">{"fdsup://directions/FAT Viewer?action=UPDATE&amp;creator=factset&amp;DYN_ARGS=TRUE&amp;DOC_NAME=FAT:FQL_AUDITING_CLIENT_TEMPLATE.FAT&amp;display_string=Audit&amp;VAR:KEY=BIBMNSPEHC&amp;VAR:QUERY=RkZfRUJJVERBX0lCKCdMVE1TJywzODUzOCk=&amp;WINDOW=FIRST_POPUP&amp;HEIGHT=450&amp;WIDTH=450&amp;START_MA","XIMIZED=FALSE&amp;VAR:CALENDAR=US&amp;VAR:SYMBOL=G0129K10&amp;VAR:INDEX=0"}</definedName>
    <definedName name="_9003__FDSAUDITLINK__" hidden="1">{"fdsup://directions/FAT Viewer?action=UPDATE&amp;creator=factset&amp;DYN_ARGS=TRUE&amp;DOC_NAME=FAT:FQL_AUDITING_CLIENT_TEMPLATE.FAT&amp;display_string=Audit&amp;VAR:KEY=BIBMNSPEHC&amp;VAR:QUERY=RkZfRUJJVERBX0lCKCdMVE1TJywzODUzOCk=&amp;WINDOW=FIRST_POPUP&amp;HEIGHT=450&amp;WIDTH=450&amp;START_MA","XIMIZED=FALSE&amp;VAR:CALENDAR=US&amp;VAR:SYMBOL=G0129K10&amp;VAR:INDEX=0"}</definedName>
    <definedName name="_9004__FDSAUDITLINK__" localSheetId="6" hidden="1">{"fdsup://directions/FAT Viewer?action=UPDATE&amp;creator=factset&amp;DYN_ARGS=TRUE&amp;DOC_NAME=FAT:FQL_AUDITING_CLIENT_TEMPLATE.FAT&amp;display_string=Audit&amp;VAR:KEY=HKNIFSZELC&amp;VAR:QUERY=RkZfRUJJVERBX0lCKCdMVE1TJywzODUzNyk=&amp;WINDOW=FIRST_POPUP&amp;HEIGHT=450&amp;WIDTH=450&amp;START_MA","XIMIZED=FALSE&amp;VAR:CALENDAR=US&amp;VAR:SYMBOL=G0129K10&amp;VAR:INDEX=0"}</definedName>
    <definedName name="_9004__FDSAUDITLINK__" hidden="1">{"fdsup://directions/FAT Viewer?action=UPDATE&amp;creator=factset&amp;DYN_ARGS=TRUE&amp;DOC_NAME=FAT:FQL_AUDITING_CLIENT_TEMPLATE.FAT&amp;display_string=Audit&amp;VAR:KEY=HKNIFSZELC&amp;VAR:QUERY=RkZfRUJJVERBX0lCKCdMVE1TJywzODUzNyk=&amp;WINDOW=FIRST_POPUP&amp;HEIGHT=450&amp;WIDTH=450&amp;START_MA","XIMIZED=FALSE&amp;VAR:CALENDAR=US&amp;VAR:SYMBOL=G0129K10&amp;VAR:INDEX=0"}</definedName>
    <definedName name="_9005__FDSAUDITLINK__" localSheetId="6" hidden="1">{"fdsup://directions/FAT Viewer?action=UPDATE&amp;creator=factset&amp;DYN_ARGS=TRUE&amp;DOC_NAME=FAT:FQL_AUDITING_CLIENT_TEMPLATE.FAT&amp;display_string=Audit&amp;VAR:KEY=HSXGFWTERG&amp;VAR:QUERY=RkZfRUJJVERBX0lCKCdMVE1TJywzODUzNik=&amp;WINDOW=FIRST_POPUP&amp;HEIGHT=450&amp;WIDTH=450&amp;START_MA","XIMIZED=FALSE&amp;VAR:CALENDAR=US&amp;VAR:SYMBOL=G0129K10&amp;VAR:INDEX=0"}</definedName>
    <definedName name="_9005__FDSAUDITLINK__" hidden="1">{"fdsup://directions/FAT Viewer?action=UPDATE&amp;creator=factset&amp;DYN_ARGS=TRUE&amp;DOC_NAME=FAT:FQL_AUDITING_CLIENT_TEMPLATE.FAT&amp;display_string=Audit&amp;VAR:KEY=HSXGFWTERG&amp;VAR:QUERY=RkZfRUJJVERBX0lCKCdMVE1TJywzODUzNik=&amp;WINDOW=FIRST_POPUP&amp;HEIGHT=450&amp;WIDTH=450&amp;START_MA","XIMIZED=FALSE&amp;VAR:CALENDAR=US&amp;VAR:SYMBOL=G0129K10&amp;VAR:INDEX=0"}</definedName>
    <definedName name="_9006__FDSAUDITLINK__" localSheetId="6" hidden="1">{"fdsup://directions/FAT Viewer?action=UPDATE&amp;creator=factset&amp;DYN_ARGS=TRUE&amp;DOC_NAME=FAT:FQL_AUDITING_CLIENT_TEMPLATE.FAT&amp;display_string=Audit&amp;VAR:KEY=VOVGNATOHI&amp;VAR:QUERY=RkZfRUJJVERBX0lCKCdMVE1TJywzODUzNSk=&amp;WINDOW=FIRST_POPUP&amp;HEIGHT=450&amp;WIDTH=450&amp;START_MA","XIMIZED=FALSE&amp;VAR:CALENDAR=US&amp;VAR:SYMBOL=G0129K10&amp;VAR:INDEX=0"}</definedName>
    <definedName name="_9006__FDSAUDITLINK__" hidden="1">{"fdsup://directions/FAT Viewer?action=UPDATE&amp;creator=factset&amp;DYN_ARGS=TRUE&amp;DOC_NAME=FAT:FQL_AUDITING_CLIENT_TEMPLATE.FAT&amp;display_string=Audit&amp;VAR:KEY=VOVGNATOHI&amp;VAR:QUERY=RkZfRUJJVERBX0lCKCdMVE1TJywzODUzNSk=&amp;WINDOW=FIRST_POPUP&amp;HEIGHT=450&amp;WIDTH=450&amp;START_MA","XIMIZED=FALSE&amp;VAR:CALENDAR=US&amp;VAR:SYMBOL=G0129K10&amp;VAR:INDEX=0"}</definedName>
    <definedName name="_9007__FDSAUDITLINK__" localSheetId="6" hidden="1">{"fdsup://directions/FAT Viewer?action=UPDATE&amp;creator=factset&amp;DYN_ARGS=TRUE&amp;DOC_NAME=FAT:FQL_AUDITING_CLIENT_TEMPLATE.FAT&amp;display_string=Audit&amp;VAR:KEY=RQHWLCVQNC&amp;VAR:QUERY=RkZfRUJJVERBX0lCKCdMVE1TJywzODUzNCk=&amp;WINDOW=FIRST_POPUP&amp;HEIGHT=450&amp;WIDTH=450&amp;START_MA","XIMIZED=FALSE&amp;VAR:CALENDAR=US&amp;VAR:SYMBOL=G0129K10&amp;VAR:INDEX=0"}</definedName>
    <definedName name="_9007__FDSAUDITLINK__" hidden="1">{"fdsup://directions/FAT Viewer?action=UPDATE&amp;creator=factset&amp;DYN_ARGS=TRUE&amp;DOC_NAME=FAT:FQL_AUDITING_CLIENT_TEMPLATE.FAT&amp;display_string=Audit&amp;VAR:KEY=RQHWLCVQNC&amp;VAR:QUERY=RkZfRUJJVERBX0lCKCdMVE1TJywzODUzNCk=&amp;WINDOW=FIRST_POPUP&amp;HEIGHT=450&amp;WIDTH=450&amp;START_MA","XIMIZED=FALSE&amp;VAR:CALENDAR=US&amp;VAR:SYMBOL=G0129K10&amp;VAR:INDEX=0"}</definedName>
    <definedName name="_9008__FDSAUDITLINK__" localSheetId="6" hidden="1">{"fdsup://directions/FAT Viewer?action=UPDATE&amp;creator=factset&amp;DYN_ARGS=TRUE&amp;DOC_NAME=FAT:FQL_AUDITING_CLIENT_TEMPLATE.FAT&amp;display_string=Audit&amp;VAR:KEY=NQDQFKLCHM&amp;VAR:QUERY=RkZfRUJJVERBX0lCKCdMVE1TJywzODUzMyk=&amp;WINDOW=FIRST_POPUP&amp;HEIGHT=450&amp;WIDTH=450&amp;START_MA","XIMIZED=FALSE&amp;VAR:CALENDAR=US&amp;VAR:SYMBOL=G0129K10&amp;VAR:INDEX=0"}</definedName>
    <definedName name="_9008__FDSAUDITLINK__" hidden="1">{"fdsup://directions/FAT Viewer?action=UPDATE&amp;creator=factset&amp;DYN_ARGS=TRUE&amp;DOC_NAME=FAT:FQL_AUDITING_CLIENT_TEMPLATE.FAT&amp;display_string=Audit&amp;VAR:KEY=NQDQFKLCHM&amp;VAR:QUERY=RkZfRUJJVERBX0lCKCdMVE1TJywzODUzMyk=&amp;WINDOW=FIRST_POPUP&amp;HEIGHT=450&amp;WIDTH=450&amp;START_MA","XIMIZED=FALSE&amp;VAR:CALENDAR=US&amp;VAR:SYMBOL=G0129K10&amp;VAR:INDEX=0"}</definedName>
    <definedName name="_9009__FDSAUDITLINK__" localSheetId="6" hidden="1">{"fdsup://directions/FAT Viewer?action=UPDATE&amp;creator=factset&amp;DYN_ARGS=TRUE&amp;DOC_NAME=FAT:FQL_AUDITING_CLIENT_TEMPLATE.FAT&amp;display_string=Audit&amp;VAR:KEY=PYNUVYHQPM&amp;VAR:QUERY=RkZfRUJJVERBX0lCKCdMVE1TJywzODUzMik=&amp;WINDOW=FIRST_POPUP&amp;HEIGHT=450&amp;WIDTH=450&amp;START_MA","XIMIZED=FALSE&amp;VAR:CALENDAR=US&amp;VAR:SYMBOL=G0129K10&amp;VAR:INDEX=0"}</definedName>
    <definedName name="_9009__FDSAUDITLINK__" hidden="1">{"fdsup://directions/FAT Viewer?action=UPDATE&amp;creator=factset&amp;DYN_ARGS=TRUE&amp;DOC_NAME=FAT:FQL_AUDITING_CLIENT_TEMPLATE.FAT&amp;display_string=Audit&amp;VAR:KEY=PYNUVYHQPM&amp;VAR:QUERY=RkZfRUJJVERBX0lCKCdMVE1TJywzODUzMik=&amp;WINDOW=FIRST_POPUP&amp;HEIGHT=450&amp;WIDTH=450&amp;START_MA","XIMIZED=FALSE&amp;VAR:CALENDAR=US&amp;VAR:SYMBOL=G0129K10&amp;VAR:INDEX=0"}</definedName>
    <definedName name="_901__FDSAUDITLINK__" localSheetId="6" hidden="1">{"fdsup://directions/FAT%20Viewer?VAR:PED=LTM&amp;VAR:AUDIT_MODE=SUMMARY&amp;VAR:PERIOD=FIXED&amp;VAR:AUDIT_ID=00000117&amp;VAR:DATE=20070904&amp;action=UPDATE&amp;creator=factset&amp;DOC_NAME=FAT:FMA_audit_SUMMARY.fat&amp;DISPLAY_STRING=Display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1__FDSAUDITLINK__" hidden="1">{"fdsup://directions/FAT%20Viewer?VAR:PED=LTM&amp;VAR:AUDIT_MODE=SUMMARY&amp;VAR:PERIOD=FIXED&amp;VAR:AUDIT_ID=00000117&amp;VAR:DATE=20070904&amp;action=UPDATE&amp;creator=factset&amp;DOC_NAME=FAT:FMA_audit_SUMMARY.fat&amp;DISPLAY_STRING=Display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10__FDSAUDITLINK__" localSheetId="6" hidden="1">{"fdsup://directions/FAT Viewer?action=UPDATE&amp;creator=factset&amp;DYN_ARGS=TRUE&amp;DOC_NAME=FAT:FQL_AUDITING_CLIENT_TEMPLATE.FAT&amp;display_string=Audit&amp;VAR:KEY=DQRKLKTKNG&amp;VAR:QUERY=RkZfRUJJVERBX0lCKCdMVE1TJywzODUzMSk=&amp;WINDOW=FIRST_POPUP&amp;HEIGHT=450&amp;WIDTH=450&amp;START_MA","XIMIZED=FALSE&amp;VAR:CALENDAR=US&amp;VAR:SYMBOL=G0129K10&amp;VAR:INDEX=0"}</definedName>
    <definedName name="_9010__FDSAUDITLINK__" hidden="1">{"fdsup://directions/FAT Viewer?action=UPDATE&amp;creator=factset&amp;DYN_ARGS=TRUE&amp;DOC_NAME=FAT:FQL_AUDITING_CLIENT_TEMPLATE.FAT&amp;display_string=Audit&amp;VAR:KEY=DQRKLKTKNG&amp;VAR:QUERY=RkZfRUJJVERBX0lCKCdMVE1TJywzODUzMSk=&amp;WINDOW=FIRST_POPUP&amp;HEIGHT=450&amp;WIDTH=450&amp;START_MA","XIMIZED=FALSE&amp;VAR:CALENDAR=US&amp;VAR:SYMBOL=G0129K10&amp;VAR:INDEX=0"}</definedName>
    <definedName name="_9011__FDSAUDITLINK__" localSheetId="6" hidden="1">{"fdsup://directions/FAT Viewer?action=UPDATE&amp;creator=factset&amp;DYN_ARGS=TRUE&amp;DOC_NAME=FAT:FQL_AUDITING_CLIENT_TEMPLATE.FAT&amp;display_string=Audit&amp;VAR:KEY=BMZULOTOBI&amp;VAR:QUERY=RkZfRUJJVERBX0lCKCdMVE1TJywzODUzMCk=&amp;WINDOW=FIRST_POPUP&amp;HEIGHT=450&amp;WIDTH=450&amp;START_MA","XIMIZED=FALSE&amp;VAR:CALENDAR=US&amp;VAR:SYMBOL=G0129K10&amp;VAR:INDEX=0"}</definedName>
    <definedName name="_9011__FDSAUDITLINK__" hidden="1">{"fdsup://directions/FAT Viewer?action=UPDATE&amp;creator=factset&amp;DYN_ARGS=TRUE&amp;DOC_NAME=FAT:FQL_AUDITING_CLIENT_TEMPLATE.FAT&amp;display_string=Audit&amp;VAR:KEY=BMZULOTOBI&amp;VAR:QUERY=RkZfRUJJVERBX0lCKCdMVE1TJywzODUzMCk=&amp;WINDOW=FIRST_POPUP&amp;HEIGHT=450&amp;WIDTH=450&amp;START_MA","XIMIZED=FALSE&amp;VAR:CALENDAR=US&amp;VAR:SYMBOL=G0129K10&amp;VAR:INDEX=0"}</definedName>
    <definedName name="_9012__FDSAUDITLINK__" localSheetId="6" hidden="1">{"fdsup://directions/FAT Viewer?action=UPDATE&amp;creator=factset&amp;DYN_ARGS=TRUE&amp;DOC_NAME=FAT:FQL_AUDITING_CLIENT_TEMPLATE.FAT&amp;display_string=Audit&amp;VAR:KEY=BARSDWTYXU&amp;VAR:QUERY=RkZfRUJJVERBX0lCKCdMVE1TJywzODUyOSk=&amp;WINDOW=FIRST_POPUP&amp;HEIGHT=450&amp;WIDTH=450&amp;START_MA","XIMIZED=FALSE&amp;VAR:CALENDAR=US&amp;VAR:SYMBOL=G0129K10&amp;VAR:INDEX=0"}</definedName>
    <definedName name="_9012__FDSAUDITLINK__" hidden="1">{"fdsup://directions/FAT Viewer?action=UPDATE&amp;creator=factset&amp;DYN_ARGS=TRUE&amp;DOC_NAME=FAT:FQL_AUDITING_CLIENT_TEMPLATE.FAT&amp;display_string=Audit&amp;VAR:KEY=BARSDWTYXU&amp;VAR:QUERY=RkZfRUJJVERBX0lCKCdMVE1TJywzODUyOSk=&amp;WINDOW=FIRST_POPUP&amp;HEIGHT=450&amp;WIDTH=450&amp;START_MA","XIMIZED=FALSE&amp;VAR:CALENDAR=US&amp;VAR:SYMBOL=G0129K10&amp;VAR:INDEX=0"}</definedName>
    <definedName name="_9013__FDSAUDITLINK__" localSheetId="6" hidden="1">{"fdsup://directions/FAT Viewer?action=UPDATE&amp;creator=factset&amp;DYN_ARGS=TRUE&amp;DOC_NAME=FAT:FQL_AUDITING_CLIENT_TEMPLATE.FAT&amp;display_string=Audit&amp;VAR:KEY=HGBKHOFSFQ&amp;VAR:QUERY=RkZfRUJJVERBX0lCKCdMVE1TJywzODUyOCk=&amp;WINDOW=FIRST_POPUP&amp;HEIGHT=450&amp;WIDTH=450&amp;START_MA","XIMIZED=FALSE&amp;VAR:CALENDAR=US&amp;VAR:SYMBOL=G0129K10&amp;VAR:INDEX=0"}</definedName>
    <definedName name="_9013__FDSAUDITLINK__" hidden="1">{"fdsup://directions/FAT Viewer?action=UPDATE&amp;creator=factset&amp;DYN_ARGS=TRUE&amp;DOC_NAME=FAT:FQL_AUDITING_CLIENT_TEMPLATE.FAT&amp;display_string=Audit&amp;VAR:KEY=HGBKHOFSFQ&amp;VAR:QUERY=RkZfRUJJVERBX0lCKCdMVE1TJywzODUyOCk=&amp;WINDOW=FIRST_POPUP&amp;HEIGHT=450&amp;WIDTH=450&amp;START_MA","XIMIZED=FALSE&amp;VAR:CALENDAR=US&amp;VAR:SYMBOL=G0129K10&amp;VAR:INDEX=0"}</definedName>
    <definedName name="_9014__FDSAUDITLINK__" localSheetId="6" hidden="1">{"fdsup://directions/FAT Viewer?action=UPDATE&amp;creator=factset&amp;DYN_ARGS=TRUE&amp;DOC_NAME=FAT:FQL_AUDITING_CLIENT_TEMPLATE.FAT&amp;display_string=Audit&amp;VAR:KEY=LGHWDEHCJO&amp;VAR:QUERY=RkZfRUJJVERBX0lCKCdMVE1TJywzODUyNyk=&amp;WINDOW=FIRST_POPUP&amp;HEIGHT=450&amp;WIDTH=450&amp;START_MA","XIMIZED=FALSE&amp;VAR:CALENDAR=US&amp;VAR:SYMBOL=G0129K10&amp;VAR:INDEX=0"}</definedName>
    <definedName name="_9014__FDSAUDITLINK__" hidden="1">{"fdsup://directions/FAT Viewer?action=UPDATE&amp;creator=factset&amp;DYN_ARGS=TRUE&amp;DOC_NAME=FAT:FQL_AUDITING_CLIENT_TEMPLATE.FAT&amp;display_string=Audit&amp;VAR:KEY=LGHWDEHCJO&amp;VAR:QUERY=RkZfRUJJVERBX0lCKCdMVE1TJywzODUyNyk=&amp;WINDOW=FIRST_POPUP&amp;HEIGHT=450&amp;WIDTH=450&amp;START_MA","XIMIZED=FALSE&amp;VAR:CALENDAR=US&amp;VAR:SYMBOL=G0129K10&amp;VAR:INDEX=0"}</definedName>
    <definedName name="_9015__FDSAUDITLINK__" localSheetId="6" hidden="1">{"fdsup://directions/FAT Viewer?action=UPDATE&amp;creator=factset&amp;DYN_ARGS=TRUE&amp;DOC_NAME=FAT:FQL_AUDITING_CLIENT_TEMPLATE.FAT&amp;display_string=Audit&amp;VAR:KEY=FUZKJCRCPO&amp;VAR:QUERY=RkZfRUJJVERBX0lCKCdMVE1TJywzODUyNik=&amp;WINDOW=FIRST_POPUP&amp;HEIGHT=450&amp;WIDTH=450&amp;START_MA","XIMIZED=FALSE&amp;VAR:CALENDAR=US&amp;VAR:SYMBOL=G0129K10&amp;VAR:INDEX=0"}</definedName>
    <definedName name="_9015__FDSAUDITLINK__" hidden="1">{"fdsup://directions/FAT Viewer?action=UPDATE&amp;creator=factset&amp;DYN_ARGS=TRUE&amp;DOC_NAME=FAT:FQL_AUDITING_CLIENT_TEMPLATE.FAT&amp;display_string=Audit&amp;VAR:KEY=FUZKJCRCPO&amp;VAR:QUERY=RkZfRUJJVERBX0lCKCdMVE1TJywzODUyNik=&amp;WINDOW=FIRST_POPUP&amp;HEIGHT=450&amp;WIDTH=450&amp;START_MA","XIMIZED=FALSE&amp;VAR:CALENDAR=US&amp;VAR:SYMBOL=G0129K10&amp;VAR:INDEX=0"}</definedName>
    <definedName name="_9016__FDSAUDITLINK__" localSheetId="6" hidden="1">{"fdsup://directions/FAT Viewer?action=UPDATE&amp;creator=factset&amp;DYN_ARGS=TRUE&amp;DOC_NAME=FAT:FQL_AUDITING_CLIENT_TEMPLATE.FAT&amp;display_string=Audit&amp;VAR:KEY=ZUPKFEXSRQ&amp;VAR:QUERY=RkZfRUJJVERBX0lCKCdMVE1TJywzODUyNSk=&amp;WINDOW=FIRST_POPUP&amp;HEIGHT=450&amp;WIDTH=450&amp;START_MA","XIMIZED=FALSE&amp;VAR:CALENDAR=US&amp;VAR:SYMBOL=G0129K10&amp;VAR:INDEX=0"}</definedName>
    <definedName name="_9016__FDSAUDITLINK__" hidden="1">{"fdsup://directions/FAT Viewer?action=UPDATE&amp;creator=factset&amp;DYN_ARGS=TRUE&amp;DOC_NAME=FAT:FQL_AUDITING_CLIENT_TEMPLATE.FAT&amp;display_string=Audit&amp;VAR:KEY=ZUPKFEXSRQ&amp;VAR:QUERY=RkZfRUJJVERBX0lCKCdMVE1TJywzODUyNSk=&amp;WINDOW=FIRST_POPUP&amp;HEIGHT=450&amp;WIDTH=450&amp;START_MA","XIMIZED=FALSE&amp;VAR:CALENDAR=US&amp;VAR:SYMBOL=G0129K10&amp;VAR:INDEX=0"}</definedName>
    <definedName name="_9017__FDSAUDITLINK__" localSheetId="6" hidden="1">{"fdsup://directions/FAT Viewer?action=UPDATE&amp;creator=factset&amp;DYN_ARGS=TRUE&amp;DOC_NAME=FAT:FQL_AUDITING_CLIENT_TEMPLATE.FAT&amp;display_string=Audit&amp;VAR:KEY=TMBOVYLCPA&amp;VAR:QUERY=RkZfRUJJVERBX0lCKCdMVE1TJywzODUyNCk=&amp;WINDOW=FIRST_POPUP&amp;HEIGHT=450&amp;WIDTH=450&amp;START_MA","XIMIZED=FALSE&amp;VAR:CALENDAR=US&amp;VAR:SYMBOL=G0129K10&amp;VAR:INDEX=0"}</definedName>
    <definedName name="_9017__FDSAUDITLINK__" hidden="1">{"fdsup://directions/FAT Viewer?action=UPDATE&amp;creator=factset&amp;DYN_ARGS=TRUE&amp;DOC_NAME=FAT:FQL_AUDITING_CLIENT_TEMPLATE.FAT&amp;display_string=Audit&amp;VAR:KEY=TMBOVYLCPA&amp;VAR:QUERY=RkZfRUJJVERBX0lCKCdMVE1TJywzODUyNCk=&amp;WINDOW=FIRST_POPUP&amp;HEIGHT=450&amp;WIDTH=450&amp;START_MA","XIMIZED=FALSE&amp;VAR:CALENDAR=US&amp;VAR:SYMBOL=G0129K10&amp;VAR:INDEX=0"}</definedName>
    <definedName name="_9018__FDSAUDITLINK__" localSheetId="6" hidden="1">{"fdsup://directions/FAT Viewer?action=UPDATE&amp;creator=factset&amp;DYN_ARGS=TRUE&amp;DOC_NAME=FAT:FQL_AUDITING_CLIENT_TEMPLATE.FAT&amp;display_string=Audit&amp;VAR:KEY=PMNELMPWNG&amp;VAR:QUERY=RkZfRUJJVERBX0lCKCdMVE1TJywzODUyMyk=&amp;WINDOW=FIRST_POPUP&amp;HEIGHT=450&amp;WIDTH=450&amp;START_MA","XIMIZED=FALSE&amp;VAR:CALENDAR=US&amp;VAR:SYMBOL=G0129K10&amp;VAR:INDEX=0"}</definedName>
    <definedName name="_9018__FDSAUDITLINK__" hidden="1">{"fdsup://directions/FAT Viewer?action=UPDATE&amp;creator=factset&amp;DYN_ARGS=TRUE&amp;DOC_NAME=FAT:FQL_AUDITING_CLIENT_TEMPLATE.FAT&amp;display_string=Audit&amp;VAR:KEY=PMNELMPWNG&amp;VAR:QUERY=RkZfRUJJVERBX0lCKCdMVE1TJywzODUyMyk=&amp;WINDOW=FIRST_POPUP&amp;HEIGHT=450&amp;WIDTH=450&amp;START_MA","XIMIZED=FALSE&amp;VAR:CALENDAR=US&amp;VAR:SYMBOL=G0129K10&amp;VAR:INDEX=0"}</definedName>
    <definedName name="_9019__FDSAUDITLINK__" localSheetId="6" hidden="1">{"fdsup://directions/FAT Viewer?action=UPDATE&amp;creator=factset&amp;DYN_ARGS=TRUE&amp;DOC_NAME=FAT:FQL_AUDITING_CLIENT_TEMPLATE.FAT&amp;display_string=Audit&amp;VAR:KEY=HMJSLORALI&amp;VAR:QUERY=RkZfRUJJVERBX0lCKCdMVE1TJywzODUyMik=&amp;WINDOW=FIRST_POPUP&amp;HEIGHT=450&amp;WIDTH=450&amp;START_MA","XIMIZED=FALSE&amp;VAR:CALENDAR=US&amp;VAR:SYMBOL=G0129K10&amp;VAR:INDEX=0"}</definedName>
    <definedName name="_9019__FDSAUDITLINK__" hidden="1">{"fdsup://directions/FAT Viewer?action=UPDATE&amp;creator=factset&amp;DYN_ARGS=TRUE&amp;DOC_NAME=FAT:FQL_AUDITING_CLIENT_TEMPLATE.FAT&amp;display_string=Audit&amp;VAR:KEY=HMJSLORALI&amp;VAR:QUERY=RkZfRUJJVERBX0lCKCdMVE1TJywzODUyMik=&amp;WINDOW=FIRST_POPUP&amp;HEIGHT=450&amp;WIDTH=450&amp;START_MA","XIMIZED=FALSE&amp;VAR:CALENDAR=US&amp;VAR:SYMBOL=G0129K10&amp;VAR:INDEX=0"}</definedName>
    <definedName name="_902__FDSAUDITLINK__" localSheetId="6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2__FDSAUDITLINK__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20__FDSAUDITLINK__" localSheetId="6" hidden="1">{"fdsup://directions/FAT Viewer?action=UPDATE&amp;creator=factset&amp;DYN_ARGS=TRUE&amp;DOC_NAME=FAT:FQL_AUDITING_CLIENT_TEMPLATE.FAT&amp;display_string=Audit&amp;VAR:KEY=PMREZKBKBO&amp;VAR:QUERY=RkZfRUJJVERBX0lCKCdMVE1TJywzODUyMSk=&amp;WINDOW=FIRST_POPUP&amp;HEIGHT=450&amp;WIDTH=450&amp;START_MA","XIMIZED=FALSE&amp;VAR:CALENDAR=US&amp;VAR:SYMBOL=G0129K10&amp;VAR:INDEX=0"}</definedName>
    <definedName name="_9020__FDSAUDITLINK__" hidden="1">{"fdsup://directions/FAT Viewer?action=UPDATE&amp;creator=factset&amp;DYN_ARGS=TRUE&amp;DOC_NAME=FAT:FQL_AUDITING_CLIENT_TEMPLATE.FAT&amp;display_string=Audit&amp;VAR:KEY=PMREZKBKBO&amp;VAR:QUERY=RkZfRUJJVERBX0lCKCdMVE1TJywzODUyMSk=&amp;WINDOW=FIRST_POPUP&amp;HEIGHT=450&amp;WIDTH=450&amp;START_MA","XIMIZED=FALSE&amp;VAR:CALENDAR=US&amp;VAR:SYMBOL=G0129K10&amp;VAR:INDEX=0"}</definedName>
    <definedName name="_9021__FDSAUDITLINK__" localSheetId="6" hidden="1">{"fdsup://directions/FAT Viewer?action=UPDATE&amp;creator=factset&amp;DYN_ARGS=TRUE&amp;DOC_NAME=FAT:FQL_AUDITING_CLIENT_TEMPLATE.FAT&amp;display_string=Audit&amp;VAR:KEY=JQPWZMZAJE&amp;VAR:QUERY=RkZfRUJJVERBX0lCKCdMVE1TJywzODUyMCk=&amp;WINDOW=FIRST_POPUP&amp;HEIGHT=450&amp;WIDTH=450&amp;START_MA","XIMIZED=FALSE&amp;VAR:CALENDAR=US&amp;VAR:SYMBOL=G0129K10&amp;VAR:INDEX=0"}</definedName>
    <definedName name="_9021__FDSAUDITLINK__" hidden="1">{"fdsup://directions/FAT Viewer?action=UPDATE&amp;creator=factset&amp;DYN_ARGS=TRUE&amp;DOC_NAME=FAT:FQL_AUDITING_CLIENT_TEMPLATE.FAT&amp;display_string=Audit&amp;VAR:KEY=JQPWZMZAJE&amp;VAR:QUERY=RkZfRUJJVERBX0lCKCdMVE1TJywzODUyMCk=&amp;WINDOW=FIRST_POPUP&amp;HEIGHT=450&amp;WIDTH=450&amp;START_MA","XIMIZED=FALSE&amp;VAR:CALENDAR=US&amp;VAR:SYMBOL=G0129K10&amp;VAR:INDEX=0"}</definedName>
    <definedName name="_9022__FDSAUDITLINK__" localSheetId="6" hidden="1">{"fdsup://directions/FAT Viewer?action=UPDATE&amp;creator=factset&amp;DYN_ARGS=TRUE&amp;DOC_NAME=FAT:FQL_AUDITING_CLIENT_TEMPLATE.FAT&amp;display_string=Audit&amp;VAR:KEY=TIFWBWNELW&amp;VAR:QUERY=RkZfRUJJVERBX0lCKCdMVE1TJywzODUxOSk=&amp;WINDOW=FIRST_POPUP&amp;HEIGHT=450&amp;WIDTH=450&amp;START_MA","XIMIZED=FALSE&amp;VAR:CALENDAR=US&amp;VAR:SYMBOL=G0129K10&amp;VAR:INDEX=0"}</definedName>
    <definedName name="_9022__FDSAUDITLINK__" hidden="1">{"fdsup://directions/FAT Viewer?action=UPDATE&amp;creator=factset&amp;DYN_ARGS=TRUE&amp;DOC_NAME=FAT:FQL_AUDITING_CLIENT_TEMPLATE.FAT&amp;display_string=Audit&amp;VAR:KEY=TIFWBWNELW&amp;VAR:QUERY=RkZfRUJJVERBX0lCKCdMVE1TJywzODUxOSk=&amp;WINDOW=FIRST_POPUP&amp;HEIGHT=450&amp;WIDTH=450&amp;START_MA","XIMIZED=FALSE&amp;VAR:CALENDAR=US&amp;VAR:SYMBOL=G0129K10&amp;VAR:INDEX=0"}</definedName>
    <definedName name="_9023__FDSAUDITLINK__" localSheetId="6" hidden="1">{"fdsup://directions/FAT Viewer?action=UPDATE&amp;creator=factset&amp;DYN_ARGS=TRUE&amp;DOC_NAME=FAT:FQL_AUDITING_CLIENT_TEMPLATE.FAT&amp;display_string=Audit&amp;VAR:KEY=FANSJMJKVM&amp;VAR:QUERY=RkZfRUJJVERBX0lCKCdMVE1TJywzODUxOCk=&amp;WINDOW=FIRST_POPUP&amp;HEIGHT=450&amp;WIDTH=450&amp;START_MA","XIMIZED=FALSE&amp;VAR:CALENDAR=US&amp;VAR:SYMBOL=G0129K10&amp;VAR:INDEX=0"}</definedName>
    <definedName name="_9023__FDSAUDITLINK__" hidden="1">{"fdsup://directions/FAT Viewer?action=UPDATE&amp;creator=factset&amp;DYN_ARGS=TRUE&amp;DOC_NAME=FAT:FQL_AUDITING_CLIENT_TEMPLATE.FAT&amp;display_string=Audit&amp;VAR:KEY=FANSJMJKVM&amp;VAR:QUERY=RkZfRUJJVERBX0lCKCdMVE1TJywzODUxOCk=&amp;WINDOW=FIRST_POPUP&amp;HEIGHT=450&amp;WIDTH=450&amp;START_MA","XIMIZED=FALSE&amp;VAR:CALENDAR=US&amp;VAR:SYMBOL=G0129K10&amp;VAR:INDEX=0"}</definedName>
    <definedName name="_9024__FDSAUDITLINK__" localSheetId="6" hidden="1">{"fdsup://directions/FAT Viewer?action=UPDATE&amp;creator=factset&amp;DYN_ARGS=TRUE&amp;DOC_NAME=FAT:FQL_AUDITING_CLIENT_TEMPLATE.FAT&amp;display_string=Audit&amp;VAR:KEY=HABQNUPUFQ&amp;VAR:QUERY=RkZfRUJJVERBX0lCKCdMVE1TJywzODUxNyk=&amp;WINDOW=FIRST_POPUP&amp;HEIGHT=450&amp;WIDTH=450&amp;START_MA","XIMIZED=FALSE&amp;VAR:CALENDAR=US&amp;VAR:SYMBOL=G0129K10&amp;VAR:INDEX=0"}</definedName>
    <definedName name="_9024__FDSAUDITLINK__" hidden="1">{"fdsup://directions/FAT Viewer?action=UPDATE&amp;creator=factset&amp;DYN_ARGS=TRUE&amp;DOC_NAME=FAT:FQL_AUDITING_CLIENT_TEMPLATE.FAT&amp;display_string=Audit&amp;VAR:KEY=HABQNUPUFQ&amp;VAR:QUERY=RkZfRUJJVERBX0lCKCdMVE1TJywzODUxNyk=&amp;WINDOW=FIRST_POPUP&amp;HEIGHT=450&amp;WIDTH=450&amp;START_MA","XIMIZED=FALSE&amp;VAR:CALENDAR=US&amp;VAR:SYMBOL=G0129K10&amp;VAR:INDEX=0"}</definedName>
    <definedName name="_9025__FDSAUDITLINK__" localSheetId="6" hidden="1">{"fdsup://directions/FAT Viewer?action=UPDATE&amp;creator=factset&amp;DYN_ARGS=TRUE&amp;DOC_NAME=FAT:FQL_AUDITING_CLIENT_TEMPLATE.FAT&amp;display_string=Audit&amp;VAR:KEY=HEHGVQPKLM&amp;VAR:QUERY=RkZfRUJJVERBX0lCKCdMVE1TJywzODUxNik=&amp;WINDOW=FIRST_POPUP&amp;HEIGHT=450&amp;WIDTH=450&amp;START_MA","XIMIZED=FALSE&amp;VAR:CALENDAR=US&amp;VAR:SYMBOL=G0129K10&amp;VAR:INDEX=0"}</definedName>
    <definedName name="_9025__FDSAUDITLINK__" hidden="1">{"fdsup://directions/FAT Viewer?action=UPDATE&amp;creator=factset&amp;DYN_ARGS=TRUE&amp;DOC_NAME=FAT:FQL_AUDITING_CLIENT_TEMPLATE.FAT&amp;display_string=Audit&amp;VAR:KEY=HEHGVQPKLM&amp;VAR:QUERY=RkZfRUJJVERBX0lCKCdMVE1TJywzODUxNik=&amp;WINDOW=FIRST_POPUP&amp;HEIGHT=450&amp;WIDTH=450&amp;START_MA","XIMIZED=FALSE&amp;VAR:CALENDAR=US&amp;VAR:SYMBOL=G0129K10&amp;VAR:INDEX=0"}</definedName>
    <definedName name="_9026__FDSAUDITLINK__" localSheetId="6" hidden="1">{"fdsup://directions/FAT Viewer?action=UPDATE&amp;creator=factset&amp;DYN_ARGS=TRUE&amp;DOC_NAME=FAT:FQL_AUDITING_CLIENT_TEMPLATE.FAT&amp;display_string=Audit&amp;VAR:KEY=DMXENKLKPO&amp;VAR:QUERY=RkZfRUJJVERBX0lCKCdMVE1TJywzODUxNSk=&amp;WINDOW=FIRST_POPUP&amp;HEIGHT=450&amp;WIDTH=450&amp;START_MA","XIMIZED=FALSE&amp;VAR:CALENDAR=US&amp;VAR:SYMBOL=G0129K10&amp;VAR:INDEX=0"}</definedName>
    <definedName name="_9026__FDSAUDITLINK__" hidden="1">{"fdsup://directions/FAT Viewer?action=UPDATE&amp;creator=factset&amp;DYN_ARGS=TRUE&amp;DOC_NAME=FAT:FQL_AUDITING_CLIENT_TEMPLATE.FAT&amp;display_string=Audit&amp;VAR:KEY=DMXENKLKPO&amp;VAR:QUERY=RkZfRUJJVERBX0lCKCdMVE1TJywzODUxNSk=&amp;WINDOW=FIRST_POPUP&amp;HEIGHT=450&amp;WIDTH=450&amp;START_MA","XIMIZED=FALSE&amp;VAR:CALENDAR=US&amp;VAR:SYMBOL=G0129K10&amp;VAR:INDEX=0"}</definedName>
    <definedName name="_9027__FDSAUDITLINK__" localSheetId="6" hidden="1">{"fdsup://directions/FAT Viewer?action=UPDATE&amp;creator=factset&amp;DYN_ARGS=TRUE&amp;DOC_NAME=FAT:FQL_AUDITING_CLIENT_TEMPLATE.FAT&amp;display_string=Audit&amp;VAR:KEY=NQBGRWVWRC&amp;VAR:QUERY=RkZfRUJJVERBX0lCKCdMVE1TJywzODUxNCk=&amp;WINDOW=FIRST_POPUP&amp;HEIGHT=450&amp;WIDTH=450&amp;START_MA","XIMIZED=FALSE&amp;VAR:CALENDAR=US&amp;VAR:SYMBOL=G0129K10&amp;VAR:INDEX=0"}</definedName>
    <definedName name="_9027__FDSAUDITLINK__" hidden="1">{"fdsup://directions/FAT Viewer?action=UPDATE&amp;creator=factset&amp;DYN_ARGS=TRUE&amp;DOC_NAME=FAT:FQL_AUDITING_CLIENT_TEMPLATE.FAT&amp;display_string=Audit&amp;VAR:KEY=NQBGRWVWRC&amp;VAR:QUERY=RkZfRUJJVERBX0lCKCdMVE1TJywzODUxNCk=&amp;WINDOW=FIRST_POPUP&amp;HEIGHT=450&amp;WIDTH=450&amp;START_MA","XIMIZED=FALSE&amp;VAR:CALENDAR=US&amp;VAR:SYMBOL=G0129K10&amp;VAR:INDEX=0"}</definedName>
    <definedName name="_9028__FDSAUDITLINK__" localSheetId="6" hidden="1">{"fdsup://directions/FAT Viewer?action=UPDATE&amp;creator=factset&amp;DYN_ARGS=TRUE&amp;DOC_NAME=FAT:FQL_AUDITING_CLIENT_TEMPLATE.FAT&amp;display_string=Audit&amp;VAR:KEY=ZOFMVKTSRO&amp;VAR:QUERY=RkZfRUJJVERBX0lCKCdMVE1TJywzODUxMyk=&amp;WINDOW=FIRST_POPUP&amp;HEIGHT=450&amp;WIDTH=450&amp;START_MA","XIMIZED=FALSE&amp;VAR:CALENDAR=US&amp;VAR:SYMBOL=G0129K10&amp;VAR:INDEX=0"}</definedName>
    <definedName name="_9028__FDSAUDITLINK__" hidden="1">{"fdsup://directions/FAT Viewer?action=UPDATE&amp;creator=factset&amp;DYN_ARGS=TRUE&amp;DOC_NAME=FAT:FQL_AUDITING_CLIENT_TEMPLATE.FAT&amp;display_string=Audit&amp;VAR:KEY=ZOFMVKTSRO&amp;VAR:QUERY=RkZfRUJJVERBX0lCKCdMVE1TJywzODUxMyk=&amp;WINDOW=FIRST_POPUP&amp;HEIGHT=450&amp;WIDTH=450&amp;START_MA","XIMIZED=FALSE&amp;VAR:CALENDAR=US&amp;VAR:SYMBOL=G0129K10&amp;VAR:INDEX=0"}</definedName>
    <definedName name="_9029__FDSAUDITLINK__" localSheetId="6" hidden="1">{"fdsup://directions/FAT Viewer?action=UPDATE&amp;creator=factset&amp;DYN_ARGS=TRUE&amp;DOC_NAME=FAT:FQL_AUDITING_CLIENT_TEMPLATE.FAT&amp;display_string=Audit&amp;VAR:KEY=PMJQZIDKBY&amp;VAR:QUERY=RkZfRUJJVERBX0lCKCdMVE1TJywzODUxMik=&amp;WINDOW=FIRST_POPUP&amp;HEIGHT=450&amp;WIDTH=450&amp;START_MA","XIMIZED=FALSE&amp;VAR:CALENDAR=US&amp;VAR:SYMBOL=G0129K10&amp;VAR:INDEX=0"}</definedName>
    <definedName name="_9029__FDSAUDITLINK__" hidden="1">{"fdsup://directions/FAT Viewer?action=UPDATE&amp;creator=factset&amp;DYN_ARGS=TRUE&amp;DOC_NAME=FAT:FQL_AUDITING_CLIENT_TEMPLATE.FAT&amp;display_string=Audit&amp;VAR:KEY=PMJQZIDKBY&amp;VAR:QUERY=RkZfRUJJVERBX0lCKCdMVE1TJywzODUxMik=&amp;WINDOW=FIRST_POPUP&amp;HEIGHT=450&amp;WIDTH=450&amp;START_MA","XIMIZED=FALSE&amp;VAR:CALENDAR=US&amp;VAR:SYMBOL=G0129K10&amp;VAR:INDEX=0"}</definedName>
    <definedName name="_903__FDSAUDITLINK__" localSheetId="6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3__FDSAUDITLINK__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30__FDSAUDITLINK__" localSheetId="6" hidden="1">{"fdsup://directions/FAT Viewer?action=UPDATE&amp;creator=factset&amp;DYN_ARGS=TRUE&amp;DOC_NAME=FAT:FQL_AUDITING_CLIENT_TEMPLATE.FAT&amp;display_string=Audit&amp;VAR:KEY=HMDUHGTKJM&amp;VAR:QUERY=RkZfRUJJVERBX0lCKCdMVE1TJywzODUxMSk=&amp;WINDOW=FIRST_POPUP&amp;HEIGHT=450&amp;WIDTH=450&amp;START_MA","XIMIZED=FALSE&amp;VAR:CALENDAR=US&amp;VAR:SYMBOL=G0129K10&amp;VAR:INDEX=0"}</definedName>
    <definedName name="_9030__FDSAUDITLINK__" hidden="1">{"fdsup://directions/FAT Viewer?action=UPDATE&amp;creator=factset&amp;DYN_ARGS=TRUE&amp;DOC_NAME=FAT:FQL_AUDITING_CLIENT_TEMPLATE.FAT&amp;display_string=Audit&amp;VAR:KEY=HMDUHGTKJM&amp;VAR:QUERY=RkZfRUJJVERBX0lCKCdMVE1TJywzODUxMSk=&amp;WINDOW=FIRST_POPUP&amp;HEIGHT=450&amp;WIDTH=450&amp;START_MA","XIMIZED=FALSE&amp;VAR:CALENDAR=US&amp;VAR:SYMBOL=G0129K10&amp;VAR:INDEX=0"}</definedName>
    <definedName name="_9031__FDSAUDITLINK__" localSheetId="6" hidden="1">{"fdsup://directions/FAT Viewer?action=UPDATE&amp;creator=factset&amp;DYN_ARGS=TRUE&amp;DOC_NAME=FAT:FQL_AUDITING_CLIENT_TEMPLATE.FAT&amp;display_string=Audit&amp;VAR:KEY=HMDWTWFGVQ&amp;VAR:QUERY=RkZfRUJJVERBX0lCKCdMVE1TJywzODUxMCk=&amp;WINDOW=FIRST_POPUP&amp;HEIGHT=450&amp;WIDTH=450&amp;START_MA","XIMIZED=FALSE&amp;VAR:CALENDAR=US&amp;VAR:SYMBOL=G0129K10&amp;VAR:INDEX=0"}</definedName>
    <definedName name="_9031__FDSAUDITLINK__" hidden="1">{"fdsup://directions/FAT Viewer?action=UPDATE&amp;creator=factset&amp;DYN_ARGS=TRUE&amp;DOC_NAME=FAT:FQL_AUDITING_CLIENT_TEMPLATE.FAT&amp;display_string=Audit&amp;VAR:KEY=HMDWTWFGVQ&amp;VAR:QUERY=RkZfRUJJVERBX0lCKCdMVE1TJywzODUxMCk=&amp;WINDOW=FIRST_POPUP&amp;HEIGHT=450&amp;WIDTH=450&amp;START_MA","XIMIZED=FALSE&amp;VAR:CALENDAR=US&amp;VAR:SYMBOL=G0129K10&amp;VAR:INDEX=0"}</definedName>
    <definedName name="_9032__FDSAUDITLINK__" localSheetId="6" hidden="1">{"fdsup://directions/FAT Viewer?action=UPDATE&amp;creator=factset&amp;DYN_ARGS=TRUE&amp;DOC_NAME=FAT:FQL_AUDITING_CLIENT_TEMPLATE.FAT&amp;display_string=Audit&amp;VAR:KEY=PGDSVQHEJU&amp;VAR:QUERY=RkZfRUJJVERBX0lCKCdMVE1TJywzODUwOSk=&amp;WINDOW=FIRST_POPUP&amp;HEIGHT=450&amp;WIDTH=450&amp;START_MA","XIMIZED=FALSE&amp;VAR:CALENDAR=US&amp;VAR:SYMBOL=G0129K10&amp;VAR:INDEX=0"}</definedName>
    <definedName name="_9032__FDSAUDITLINK__" hidden="1">{"fdsup://directions/FAT Viewer?action=UPDATE&amp;creator=factset&amp;DYN_ARGS=TRUE&amp;DOC_NAME=FAT:FQL_AUDITING_CLIENT_TEMPLATE.FAT&amp;display_string=Audit&amp;VAR:KEY=PGDSVQHEJU&amp;VAR:QUERY=RkZfRUJJVERBX0lCKCdMVE1TJywzODUwOSk=&amp;WINDOW=FIRST_POPUP&amp;HEIGHT=450&amp;WIDTH=450&amp;START_MA","XIMIZED=FALSE&amp;VAR:CALENDAR=US&amp;VAR:SYMBOL=G0129K10&amp;VAR:INDEX=0"}</definedName>
    <definedName name="_9033__FDSAUDITLINK__" localSheetId="6" hidden="1">{"fdsup://directions/FAT Viewer?action=UPDATE&amp;creator=factset&amp;DYN_ARGS=TRUE&amp;DOC_NAME=FAT:FQL_AUDITING_CLIENT_TEMPLATE.FAT&amp;display_string=Audit&amp;VAR:KEY=RKPKJQDCVC&amp;VAR:QUERY=RkZfRUJJVERBX0lCKCdMVE1TJywzODUwOCk=&amp;WINDOW=FIRST_POPUP&amp;HEIGHT=450&amp;WIDTH=450&amp;START_MA","XIMIZED=FALSE&amp;VAR:CALENDAR=US&amp;VAR:SYMBOL=G0129K10&amp;VAR:INDEX=0"}</definedName>
    <definedName name="_9033__FDSAUDITLINK__" hidden="1">{"fdsup://directions/FAT Viewer?action=UPDATE&amp;creator=factset&amp;DYN_ARGS=TRUE&amp;DOC_NAME=FAT:FQL_AUDITING_CLIENT_TEMPLATE.FAT&amp;display_string=Audit&amp;VAR:KEY=RKPKJQDCVC&amp;VAR:QUERY=RkZfRUJJVERBX0lCKCdMVE1TJywzODUwOCk=&amp;WINDOW=FIRST_POPUP&amp;HEIGHT=450&amp;WIDTH=450&amp;START_MA","XIMIZED=FALSE&amp;VAR:CALENDAR=US&amp;VAR:SYMBOL=G0129K10&amp;VAR:INDEX=0"}</definedName>
    <definedName name="_9034__FDSAUDITLINK__" localSheetId="6" hidden="1">{"fdsup://directions/FAT Viewer?action=UPDATE&amp;creator=factset&amp;DYN_ARGS=TRUE&amp;DOC_NAME=FAT:FQL_AUDITING_CLIENT_TEMPLATE.FAT&amp;display_string=Audit&amp;VAR:KEY=BYTGPKVWLA&amp;VAR:QUERY=RkZfRUJJVERBX0lCKCdMVE1TJywzODUwNyk=&amp;WINDOW=FIRST_POPUP&amp;HEIGHT=450&amp;WIDTH=450&amp;START_MA","XIMIZED=FALSE&amp;VAR:CALENDAR=US&amp;VAR:SYMBOL=G0129K10&amp;VAR:INDEX=0"}</definedName>
    <definedName name="_9034__FDSAUDITLINK__" hidden="1">{"fdsup://directions/FAT Viewer?action=UPDATE&amp;creator=factset&amp;DYN_ARGS=TRUE&amp;DOC_NAME=FAT:FQL_AUDITING_CLIENT_TEMPLATE.FAT&amp;display_string=Audit&amp;VAR:KEY=BYTGPKVWLA&amp;VAR:QUERY=RkZfRUJJVERBX0lCKCdMVE1TJywzODUwNyk=&amp;WINDOW=FIRST_POPUP&amp;HEIGHT=450&amp;WIDTH=450&amp;START_MA","XIMIZED=FALSE&amp;VAR:CALENDAR=US&amp;VAR:SYMBOL=G0129K10&amp;VAR:INDEX=0"}</definedName>
    <definedName name="_9035__FDSAUDITLINK__" localSheetId="6" hidden="1">{"fdsup://directions/FAT Viewer?action=UPDATE&amp;creator=factset&amp;DYN_ARGS=TRUE&amp;DOC_NAME=FAT:FQL_AUDITING_CLIENT_TEMPLATE.FAT&amp;display_string=Audit&amp;VAR:KEY=DIZEHSDKFS&amp;VAR:QUERY=RkZfRUJJVERBX0lCKCdMVE1TJywzODUwNik=&amp;WINDOW=FIRST_POPUP&amp;HEIGHT=450&amp;WIDTH=450&amp;START_MA","XIMIZED=FALSE&amp;VAR:CALENDAR=US&amp;VAR:SYMBOL=G0129K10&amp;VAR:INDEX=0"}</definedName>
    <definedName name="_9035__FDSAUDITLINK__" hidden="1">{"fdsup://directions/FAT Viewer?action=UPDATE&amp;creator=factset&amp;DYN_ARGS=TRUE&amp;DOC_NAME=FAT:FQL_AUDITING_CLIENT_TEMPLATE.FAT&amp;display_string=Audit&amp;VAR:KEY=DIZEHSDKFS&amp;VAR:QUERY=RkZfRUJJVERBX0lCKCdMVE1TJywzODUwNik=&amp;WINDOW=FIRST_POPUP&amp;HEIGHT=450&amp;WIDTH=450&amp;START_MA","XIMIZED=FALSE&amp;VAR:CALENDAR=US&amp;VAR:SYMBOL=G0129K10&amp;VAR:INDEX=0"}</definedName>
    <definedName name="_9036__FDSAUDITLINK__" localSheetId="6" hidden="1">{"fdsup://directions/FAT Viewer?action=UPDATE&amp;creator=factset&amp;DYN_ARGS=TRUE&amp;DOC_NAME=FAT:FQL_AUDITING_CLIENT_TEMPLATE.FAT&amp;display_string=Audit&amp;VAR:KEY=LSNMLCDEFK&amp;VAR:QUERY=RkZfRUJJVERBX0lCKCdMVE1TJywzODUwNSk=&amp;WINDOW=FIRST_POPUP&amp;HEIGHT=450&amp;WIDTH=450&amp;START_MA","XIMIZED=FALSE&amp;VAR:CALENDAR=US&amp;VAR:SYMBOL=G0129K10&amp;VAR:INDEX=0"}</definedName>
    <definedName name="_9036__FDSAUDITLINK__" hidden="1">{"fdsup://directions/FAT Viewer?action=UPDATE&amp;creator=factset&amp;DYN_ARGS=TRUE&amp;DOC_NAME=FAT:FQL_AUDITING_CLIENT_TEMPLATE.FAT&amp;display_string=Audit&amp;VAR:KEY=LSNMLCDEFK&amp;VAR:QUERY=RkZfRUJJVERBX0lCKCdMVE1TJywzODUwNSk=&amp;WINDOW=FIRST_POPUP&amp;HEIGHT=450&amp;WIDTH=450&amp;START_MA","XIMIZED=FALSE&amp;VAR:CALENDAR=US&amp;VAR:SYMBOL=G0129K10&amp;VAR:INDEX=0"}</definedName>
    <definedName name="_9037__FDSAUDITLINK__" localSheetId="6" hidden="1">{"fdsup://directions/FAT Viewer?action=UPDATE&amp;creator=factset&amp;DYN_ARGS=TRUE&amp;DOC_NAME=FAT:FQL_AUDITING_CLIENT_TEMPLATE.FAT&amp;display_string=Audit&amp;VAR:KEY=RWLKXCTUPE&amp;VAR:QUERY=RkZfRUJJVERBX0lCKCdMVE1TJywzODUwNCk=&amp;WINDOW=FIRST_POPUP&amp;HEIGHT=450&amp;WIDTH=450&amp;START_MA","XIMIZED=FALSE&amp;VAR:CALENDAR=US&amp;VAR:SYMBOL=G0129K10&amp;VAR:INDEX=0"}</definedName>
    <definedName name="_9037__FDSAUDITLINK__" hidden="1">{"fdsup://directions/FAT Viewer?action=UPDATE&amp;creator=factset&amp;DYN_ARGS=TRUE&amp;DOC_NAME=FAT:FQL_AUDITING_CLIENT_TEMPLATE.FAT&amp;display_string=Audit&amp;VAR:KEY=RWLKXCTUPE&amp;VAR:QUERY=RkZfRUJJVERBX0lCKCdMVE1TJywzODUwNCk=&amp;WINDOW=FIRST_POPUP&amp;HEIGHT=450&amp;WIDTH=450&amp;START_MA","XIMIZED=FALSE&amp;VAR:CALENDAR=US&amp;VAR:SYMBOL=G0129K10&amp;VAR:INDEX=0"}</definedName>
    <definedName name="_9038__FDSAUDITLINK__" localSheetId="6" hidden="1">{"fdsup://directions/FAT Viewer?action=UPDATE&amp;creator=factset&amp;DYN_ARGS=TRUE&amp;DOC_NAME=FAT:FQL_AUDITING_CLIENT_TEMPLATE.FAT&amp;display_string=Audit&amp;VAR:KEY=TIHEXCXYHC&amp;VAR:QUERY=RkZfRUJJVERBX0lCKCdMVE1TJywzODUwMyk=&amp;WINDOW=FIRST_POPUP&amp;HEIGHT=450&amp;WIDTH=450&amp;START_MA","XIMIZED=FALSE&amp;VAR:CALENDAR=US&amp;VAR:SYMBOL=G0129K10&amp;VAR:INDEX=0"}</definedName>
    <definedName name="_9038__FDSAUDITLINK__" hidden="1">{"fdsup://directions/FAT Viewer?action=UPDATE&amp;creator=factset&amp;DYN_ARGS=TRUE&amp;DOC_NAME=FAT:FQL_AUDITING_CLIENT_TEMPLATE.FAT&amp;display_string=Audit&amp;VAR:KEY=TIHEXCXYHC&amp;VAR:QUERY=RkZfRUJJVERBX0lCKCdMVE1TJywzODUwMyk=&amp;WINDOW=FIRST_POPUP&amp;HEIGHT=450&amp;WIDTH=450&amp;START_MA","XIMIZED=FALSE&amp;VAR:CALENDAR=US&amp;VAR:SYMBOL=G0129K10&amp;VAR:INDEX=0"}</definedName>
    <definedName name="_9039__FDSAUDITLINK__" localSheetId="6" hidden="1">{"fdsup://directions/FAT Viewer?action=UPDATE&amp;creator=factset&amp;DYN_ARGS=TRUE&amp;DOC_NAME=FAT:FQL_AUDITING_CLIENT_TEMPLATE.FAT&amp;display_string=Audit&amp;VAR:KEY=ZGPIPSHODU&amp;VAR:QUERY=RkZfRUJJVERBX0lCKCdMVE1TJywzODUwMik=&amp;WINDOW=FIRST_POPUP&amp;HEIGHT=450&amp;WIDTH=450&amp;START_MA","XIMIZED=FALSE&amp;VAR:CALENDAR=US&amp;VAR:SYMBOL=G0129K10&amp;VAR:INDEX=0"}</definedName>
    <definedName name="_9039__FDSAUDITLINK__" hidden="1">{"fdsup://directions/FAT Viewer?action=UPDATE&amp;creator=factset&amp;DYN_ARGS=TRUE&amp;DOC_NAME=FAT:FQL_AUDITING_CLIENT_TEMPLATE.FAT&amp;display_string=Audit&amp;VAR:KEY=ZGPIPSHODU&amp;VAR:QUERY=RkZfRUJJVERBX0lCKCdMVE1TJywzODUwMik=&amp;WINDOW=FIRST_POPUP&amp;HEIGHT=450&amp;WIDTH=450&amp;START_MA","XIMIZED=FALSE&amp;VAR:CALENDAR=US&amp;VAR:SYMBOL=G0129K10&amp;VAR:INDEX=0"}</definedName>
    <definedName name="_904__FDSAUDITLINK__" localSheetId="6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4__FDSAUDITLINK__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40__FDSAUDITLINK__" localSheetId="6" hidden="1">{"fdsup://directions/FAT Viewer?action=UPDATE&amp;creator=factset&amp;DYN_ARGS=TRUE&amp;DOC_NAME=FAT:FQL_AUDITING_CLIENT_TEMPLATE.FAT&amp;display_string=Audit&amp;VAR:KEY=NSNYLQZEPA&amp;VAR:QUERY=RkZfRUJJVERBX0lCKCdMVE1TJywzODUwMSk=&amp;WINDOW=FIRST_POPUP&amp;HEIGHT=450&amp;WIDTH=450&amp;START_MA","XIMIZED=FALSE&amp;VAR:CALENDAR=US&amp;VAR:SYMBOL=G0129K10&amp;VAR:INDEX=0"}</definedName>
    <definedName name="_9040__FDSAUDITLINK__" hidden="1">{"fdsup://directions/FAT Viewer?action=UPDATE&amp;creator=factset&amp;DYN_ARGS=TRUE&amp;DOC_NAME=FAT:FQL_AUDITING_CLIENT_TEMPLATE.FAT&amp;display_string=Audit&amp;VAR:KEY=NSNYLQZEPA&amp;VAR:QUERY=RkZfRUJJVERBX0lCKCdMVE1TJywzODUwMSk=&amp;WINDOW=FIRST_POPUP&amp;HEIGHT=450&amp;WIDTH=450&amp;START_MA","XIMIZED=FALSE&amp;VAR:CALENDAR=US&amp;VAR:SYMBOL=G0129K10&amp;VAR:INDEX=0"}</definedName>
    <definedName name="_9041__FDSAUDITLINK__" localSheetId="6" hidden="1">{"fdsup://directions/FAT Viewer?action=UPDATE&amp;creator=factset&amp;DYN_ARGS=TRUE&amp;DOC_NAME=FAT:FQL_AUDITING_CLIENT_TEMPLATE.FAT&amp;display_string=Audit&amp;VAR:KEY=LYDQJCTQJG&amp;VAR:QUERY=RkZfRUJJVERBX0lCKCdMVE1TJywzODUwMCk=&amp;WINDOW=FIRST_POPUP&amp;HEIGHT=450&amp;WIDTH=450&amp;START_MA","XIMIZED=FALSE&amp;VAR:CALENDAR=US&amp;VAR:SYMBOL=G0129K10&amp;VAR:INDEX=0"}</definedName>
    <definedName name="_9041__FDSAUDITLINK__" hidden="1">{"fdsup://directions/FAT Viewer?action=UPDATE&amp;creator=factset&amp;DYN_ARGS=TRUE&amp;DOC_NAME=FAT:FQL_AUDITING_CLIENT_TEMPLATE.FAT&amp;display_string=Audit&amp;VAR:KEY=LYDQJCTQJG&amp;VAR:QUERY=RkZfRUJJVERBX0lCKCdMVE1TJywzODUwMCk=&amp;WINDOW=FIRST_POPUP&amp;HEIGHT=450&amp;WIDTH=450&amp;START_MA","XIMIZED=FALSE&amp;VAR:CALENDAR=US&amp;VAR:SYMBOL=G0129K10&amp;VAR:INDEX=0"}</definedName>
    <definedName name="_9042__FDSAUDITLINK__" localSheetId="6" hidden="1">{"fdsup://directions/FAT Viewer?action=UPDATE&amp;creator=factset&amp;DYN_ARGS=TRUE&amp;DOC_NAME=FAT:FQL_AUDITING_CLIENT_TEMPLATE.FAT&amp;display_string=Audit&amp;VAR:KEY=DIFWXCVSHK&amp;VAR:QUERY=RkZfRUJJVERBX0lCKCdMVE1TJywzODQ5OSk=&amp;WINDOW=FIRST_POPUP&amp;HEIGHT=450&amp;WIDTH=450&amp;START_MA","XIMIZED=FALSE&amp;VAR:CALENDAR=US&amp;VAR:SYMBOL=G0129K10&amp;VAR:INDEX=0"}</definedName>
    <definedName name="_9042__FDSAUDITLINK__" hidden="1">{"fdsup://directions/FAT Viewer?action=UPDATE&amp;creator=factset&amp;DYN_ARGS=TRUE&amp;DOC_NAME=FAT:FQL_AUDITING_CLIENT_TEMPLATE.FAT&amp;display_string=Audit&amp;VAR:KEY=DIFWXCVSHK&amp;VAR:QUERY=RkZfRUJJVERBX0lCKCdMVE1TJywzODQ5OSk=&amp;WINDOW=FIRST_POPUP&amp;HEIGHT=450&amp;WIDTH=450&amp;START_MA","XIMIZED=FALSE&amp;VAR:CALENDAR=US&amp;VAR:SYMBOL=G0129K10&amp;VAR:INDEX=0"}</definedName>
    <definedName name="_9043__FDSAUDITLINK__" localSheetId="6" hidden="1">{"fdsup://directions/FAT Viewer?action=UPDATE&amp;creator=factset&amp;DYN_ARGS=TRUE&amp;DOC_NAME=FAT:FQL_AUDITING_CLIENT_TEMPLATE.FAT&amp;display_string=Audit&amp;VAR:KEY=LCPOXWLCDC&amp;VAR:QUERY=RkZfRUJJVERBX0lCKCdMVE1TJywzODQ5OCk=&amp;WINDOW=FIRST_POPUP&amp;HEIGHT=450&amp;WIDTH=450&amp;START_MA","XIMIZED=FALSE&amp;VAR:CALENDAR=US&amp;VAR:SYMBOL=G0129K10&amp;VAR:INDEX=0"}</definedName>
    <definedName name="_9043__FDSAUDITLINK__" hidden="1">{"fdsup://directions/FAT Viewer?action=UPDATE&amp;creator=factset&amp;DYN_ARGS=TRUE&amp;DOC_NAME=FAT:FQL_AUDITING_CLIENT_TEMPLATE.FAT&amp;display_string=Audit&amp;VAR:KEY=LCPOXWLCDC&amp;VAR:QUERY=RkZfRUJJVERBX0lCKCdMVE1TJywzODQ5OCk=&amp;WINDOW=FIRST_POPUP&amp;HEIGHT=450&amp;WIDTH=450&amp;START_MA","XIMIZED=FALSE&amp;VAR:CALENDAR=US&amp;VAR:SYMBOL=G0129K10&amp;VAR:INDEX=0"}</definedName>
    <definedName name="_9044__FDSAUDITLINK__" localSheetId="6" hidden="1">{"fdsup://directions/FAT Viewer?action=UPDATE&amp;creator=factset&amp;DYN_ARGS=TRUE&amp;DOC_NAME=FAT:FQL_AUDITING_CLIENT_TEMPLATE.FAT&amp;display_string=Audit&amp;VAR:KEY=HCNYLWBGZO&amp;VAR:QUERY=RkZfRUJJVERBX0lCKCdMVE1TJywzODQ5Nyk=&amp;WINDOW=FIRST_POPUP&amp;HEIGHT=450&amp;WIDTH=450&amp;START_MA","XIMIZED=FALSE&amp;VAR:CALENDAR=US&amp;VAR:SYMBOL=G0129K10&amp;VAR:INDEX=0"}</definedName>
    <definedName name="_9044__FDSAUDITLINK__" hidden="1">{"fdsup://directions/FAT Viewer?action=UPDATE&amp;creator=factset&amp;DYN_ARGS=TRUE&amp;DOC_NAME=FAT:FQL_AUDITING_CLIENT_TEMPLATE.FAT&amp;display_string=Audit&amp;VAR:KEY=HCNYLWBGZO&amp;VAR:QUERY=RkZfRUJJVERBX0lCKCdMVE1TJywzODQ5Nyk=&amp;WINDOW=FIRST_POPUP&amp;HEIGHT=450&amp;WIDTH=450&amp;START_MA","XIMIZED=FALSE&amp;VAR:CALENDAR=US&amp;VAR:SYMBOL=G0129K10&amp;VAR:INDEX=0"}</definedName>
    <definedName name="_9045__FDSAUDITLINK__" localSheetId="6" hidden="1">{"fdsup://directions/FAT Viewer?action=UPDATE&amp;creator=factset&amp;DYN_ARGS=TRUE&amp;DOC_NAME=FAT:FQL_AUDITING_CLIENT_TEMPLATE.FAT&amp;display_string=Audit&amp;VAR:KEY=FCDELMXOVI&amp;VAR:QUERY=RkZfRUJJVERBX0lCKCdMVE1TJywzODQ5Nik=&amp;WINDOW=FIRST_POPUP&amp;HEIGHT=450&amp;WIDTH=450&amp;START_MA","XIMIZED=FALSE&amp;VAR:CALENDAR=US&amp;VAR:SYMBOL=G0129K10&amp;VAR:INDEX=0"}</definedName>
    <definedName name="_9045__FDSAUDITLINK__" hidden="1">{"fdsup://directions/FAT Viewer?action=UPDATE&amp;creator=factset&amp;DYN_ARGS=TRUE&amp;DOC_NAME=FAT:FQL_AUDITING_CLIENT_TEMPLATE.FAT&amp;display_string=Audit&amp;VAR:KEY=FCDELMXOVI&amp;VAR:QUERY=RkZfRUJJVERBX0lCKCdMVE1TJywzODQ5Nik=&amp;WINDOW=FIRST_POPUP&amp;HEIGHT=450&amp;WIDTH=450&amp;START_MA","XIMIZED=FALSE&amp;VAR:CALENDAR=US&amp;VAR:SYMBOL=G0129K10&amp;VAR:INDEX=0"}</definedName>
    <definedName name="_9046__FDSAUDITLINK__" localSheetId="6" hidden="1">{"fdsup://directions/FAT Viewer?action=UPDATE&amp;creator=factset&amp;DYN_ARGS=TRUE&amp;DOC_NAME=FAT:FQL_AUDITING_CLIENT_TEMPLATE.FAT&amp;display_string=Audit&amp;VAR:KEY=PALCLYTGBA&amp;VAR:QUERY=RkZfRUJJVERBX0lCKCdMVE1TJywzODQ5NSk=&amp;WINDOW=FIRST_POPUP&amp;HEIGHT=450&amp;WIDTH=450&amp;START_MA","XIMIZED=FALSE&amp;VAR:CALENDAR=US&amp;VAR:SYMBOL=G0129K10&amp;VAR:INDEX=0"}</definedName>
    <definedName name="_9046__FDSAUDITLINK__" hidden="1">{"fdsup://directions/FAT Viewer?action=UPDATE&amp;creator=factset&amp;DYN_ARGS=TRUE&amp;DOC_NAME=FAT:FQL_AUDITING_CLIENT_TEMPLATE.FAT&amp;display_string=Audit&amp;VAR:KEY=PALCLYTGBA&amp;VAR:QUERY=RkZfRUJJVERBX0lCKCdMVE1TJywzODQ5NSk=&amp;WINDOW=FIRST_POPUP&amp;HEIGHT=450&amp;WIDTH=450&amp;START_MA","XIMIZED=FALSE&amp;VAR:CALENDAR=US&amp;VAR:SYMBOL=G0129K10&amp;VAR:INDEX=0"}</definedName>
    <definedName name="_9047__FDSAUDITLINK__" localSheetId="6" hidden="1">{"fdsup://directions/FAT Viewer?action=UPDATE&amp;creator=factset&amp;DYN_ARGS=TRUE&amp;DOC_NAME=FAT:FQL_AUDITING_CLIENT_TEMPLATE.FAT&amp;display_string=Audit&amp;VAR:KEY=NOFGVGRQRS&amp;VAR:QUERY=RkZfRUJJVERBX0lCKCdMVE1TJywzODQ5NCk=&amp;WINDOW=FIRST_POPUP&amp;HEIGHT=450&amp;WIDTH=450&amp;START_MA","XIMIZED=FALSE&amp;VAR:CALENDAR=US&amp;VAR:SYMBOL=G0129K10&amp;VAR:INDEX=0"}</definedName>
    <definedName name="_9047__FDSAUDITLINK__" hidden="1">{"fdsup://directions/FAT Viewer?action=UPDATE&amp;creator=factset&amp;DYN_ARGS=TRUE&amp;DOC_NAME=FAT:FQL_AUDITING_CLIENT_TEMPLATE.FAT&amp;display_string=Audit&amp;VAR:KEY=NOFGVGRQRS&amp;VAR:QUERY=RkZfRUJJVERBX0lCKCdMVE1TJywzODQ5NCk=&amp;WINDOW=FIRST_POPUP&amp;HEIGHT=450&amp;WIDTH=450&amp;START_MA","XIMIZED=FALSE&amp;VAR:CALENDAR=US&amp;VAR:SYMBOL=G0129K10&amp;VAR:INDEX=0"}</definedName>
    <definedName name="_9048__FDSAUDITLINK__" localSheetId="6" hidden="1">{"fdsup://directions/FAT Viewer?action=UPDATE&amp;creator=factset&amp;DYN_ARGS=TRUE&amp;DOC_NAME=FAT:FQL_AUDITING_CLIENT_TEMPLATE.FAT&amp;display_string=Audit&amp;VAR:KEY=VSDQDIDCFU&amp;VAR:QUERY=RkZfRUJJVERBX0lCKCdMVE1TJywzODQ5Myk=&amp;WINDOW=FIRST_POPUP&amp;HEIGHT=450&amp;WIDTH=450&amp;START_MA","XIMIZED=FALSE&amp;VAR:CALENDAR=US&amp;VAR:SYMBOL=G0129K10&amp;VAR:INDEX=0"}</definedName>
    <definedName name="_9048__FDSAUDITLINK__" hidden="1">{"fdsup://directions/FAT Viewer?action=UPDATE&amp;creator=factset&amp;DYN_ARGS=TRUE&amp;DOC_NAME=FAT:FQL_AUDITING_CLIENT_TEMPLATE.FAT&amp;display_string=Audit&amp;VAR:KEY=VSDQDIDCFU&amp;VAR:QUERY=RkZfRUJJVERBX0lCKCdMVE1TJywzODQ5Myk=&amp;WINDOW=FIRST_POPUP&amp;HEIGHT=450&amp;WIDTH=450&amp;START_MA","XIMIZED=FALSE&amp;VAR:CALENDAR=US&amp;VAR:SYMBOL=G0129K10&amp;VAR:INDEX=0"}</definedName>
    <definedName name="_9049__FDSAUDITLINK__" localSheetId="6" hidden="1">{"fdsup://directions/FAT Viewer?action=UPDATE&amp;creator=factset&amp;DYN_ARGS=TRUE&amp;DOC_NAME=FAT:FQL_AUDITING_CLIENT_TEMPLATE.FAT&amp;display_string=Audit&amp;VAR:KEY=FMXCLKHKDK&amp;VAR:QUERY=RkZfRUJJVERBX0lCKCdMVE1TJywzODQ5Mik=&amp;WINDOW=FIRST_POPUP&amp;HEIGHT=450&amp;WIDTH=450&amp;START_MA","XIMIZED=FALSE&amp;VAR:CALENDAR=US&amp;VAR:SYMBOL=G0129K10&amp;VAR:INDEX=0"}</definedName>
    <definedName name="_9049__FDSAUDITLINK__" hidden="1">{"fdsup://directions/FAT Viewer?action=UPDATE&amp;creator=factset&amp;DYN_ARGS=TRUE&amp;DOC_NAME=FAT:FQL_AUDITING_CLIENT_TEMPLATE.FAT&amp;display_string=Audit&amp;VAR:KEY=FMXCLKHKDK&amp;VAR:QUERY=RkZfRUJJVERBX0lCKCdMVE1TJywzODQ5Mik=&amp;WINDOW=FIRST_POPUP&amp;HEIGHT=450&amp;WIDTH=450&amp;START_MA","XIMIZED=FALSE&amp;VAR:CALENDAR=US&amp;VAR:SYMBOL=G0129K10&amp;VAR:INDEX=0"}</definedName>
    <definedName name="_905__FDSAUDITLINK__" localSheetId="6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5__FDSAUDITLINK__" hidden="1">{"fdsup://directions/FAT%20Viewer?VAR:PED=LTM&amp;VAR:AUDIT_MODE=SUMMARY&amp;VAR:PERIOD=FIXED&amp;VAR:AUDIT_ID=00000117&amp;VAR:DATE=20070831&amp;action=UPDATE&amp;creator=factset&amp;DOC_NAME=FAT:FMA_audit_SUMMARY.fat&amp;DISPLAY_STRING=Display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EBITDA&amp;VAR:CHGPERIOD=NA&amp;VAR:FQLFORMULA=FMA_EVAL_EBITDA&amp;VAR:CURRENCY=NA&amp;VAR:P=NA&amp;VAR:V=11.1","73830&amp;VAR:null=.html"}</definedName>
    <definedName name="_9050__FDSAUDITLINK__" localSheetId="6" hidden="1">{"fdsup://directions/FAT Viewer?action=UPDATE&amp;creator=factset&amp;DYN_ARGS=TRUE&amp;DOC_NAME=FAT:FQL_AUDITING_CLIENT_TEMPLATE.FAT&amp;display_string=Audit&amp;VAR:KEY=TERGHCVOHY&amp;VAR:QUERY=RkZfRUJJVERBX0lCKCdMVE1TJywzODQ5MSk=&amp;WINDOW=FIRST_POPUP&amp;HEIGHT=450&amp;WIDTH=450&amp;START_MA","XIMIZED=FALSE&amp;VAR:CALENDAR=US&amp;VAR:SYMBOL=G0129K10&amp;VAR:INDEX=0"}</definedName>
    <definedName name="_9050__FDSAUDITLINK__" hidden="1">{"fdsup://directions/FAT Viewer?action=UPDATE&amp;creator=factset&amp;DYN_ARGS=TRUE&amp;DOC_NAME=FAT:FQL_AUDITING_CLIENT_TEMPLATE.FAT&amp;display_string=Audit&amp;VAR:KEY=TERGHCVOHY&amp;VAR:QUERY=RkZfRUJJVERBX0lCKCdMVE1TJywzODQ5MSk=&amp;WINDOW=FIRST_POPUP&amp;HEIGHT=450&amp;WIDTH=450&amp;START_MA","XIMIZED=FALSE&amp;VAR:CALENDAR=US&amp;VAR:SYMBOL=G0129K10&amp;VAR:INDEX=0"}</definedName>
    <definedName name="_9051__FDSAUDITLINK__" localSheetId="6" hidden="1">{"fdsup://directions/FAT Viewer?action=UPDATE&amp;creator=factset&amp;DYN_ARGS=TRUE&amp;DOC_NAME=FAT:FQL_AUDITING_CLIENT_TEMPLATE.FAT&amp;display_string=Audit&amp;VAR:KEY=VGDWBSPYFE&amp;VAR:QUERY=RkZfRUJJVERBX0lCKCdMVE1TJywzODQ5MCk=&amp;WINDOW=FIRST_POPUP&amp;HEIGHT=450&amp;WIDTH=450&amp;START_MA","XIMIZED=FALSE&amp;VAR:CALENDAR=US&amp;VAR:SYMBOL=G0129K10&amp;VAR:INDEX=0"}</definedName>
    <definedName name="_9051__FDSAUDITLINK__" hidden="1">{"fdsup://directions/FAT Viewer?action=UPDATE&amp;creator=factset&amp;DYN_ARGS=TRUE&amp;DOC_NAME=FAT:FQL_AUDITING_CLIENT_TEMPLATE.FAT&amp;display_string=Audit&amp;VAR:KEY=VGDWBSPYFE&amp;VAR:QUERY=RkZfRUJJVERBX0lCKCdMVE1TJywzODQ5MCk=&amp;WINDOW=FIRST_POPUP&amp;HEIGHT=450&amp;WIDTH=450&amp;START_MA","XIMIZED=FALSE&amp;VAR:CALENDAR=US&amp;VAR:SYMBOL=G0129K10&amp;VAR:INDEX=0"}</definedName>
    <definedName name="_9052__FDSAUDITLINK__" localSheetId="6" hidden="1">{"fdsup://directions/FAT Viewer?action=UPDATE&amp;creator=factset&amp;DYN_ARGS=TRUE&amp;DOC_NAME=FAT:FQL_AUDITING_CLIENT_TEMPLATE.FAT&amp;display_string=Audit&amp;VAR:KEY=ROFQFGZQPS&amp;VAR:QUERY=RkZfRUJJVERBX0lCKCdMVE1TJywzODQ4OSk=&amp;WINDOW=FIRST_POPUP&amp;HEIGHT=450&amp;WIDTH=450&amp;START_MA","XIMIZED=FALSE&amp;VAR:CALENDAR=US&amp;VAR:SYMBOL=G0129K10&amp;VAR:INDEX=0"}</definedName>
    <definedName name="_9052__FDSAUDITLINK__" hidden="1">{"fdsup://directions/FAT Viewer?action=UPDATE&amp;creator=factset&amp;DYN_ARGS=TRUE&amp;DOC_NAME=FAT:FQL_AUDITING_CLIENT_TEMPLATE.FAT&amp;display_string=Audit&amp;VAR:KEY=ROFQFGZQPS&amp;VAR:QUERY=RkZfRUJJVERBX0lCKCdMVE1TJywzODQ4OSk=&amp;WINDOW=FIRST_POPUP&amp;HEIGHT=450&amp;WIDTH=450&amp;START_MA","XIMIZED=FALSE&amp;VAR:CALENDAR=US&amp;VAR:SYMBOL=G0129K10&amp;VAR:INDEX=0"}</definedName>
    <definedName name="_9053__FDSAUDITLINK__" localSheetId="6" hidden="1">{"fdsup://directions/FAT Viewer?action=UPDATE&amp;creator=factset&amp;DYN_ARGS=TRUE&amp;DOC_NAME=FAT:FQL_AUDITING_CLIENT_TEMPLATE.FAT&amp;display_string=Audit&amp;VAR:KEY=FOLKNIJCVA&amp;VAR:QUERY=RkZfRUJJVERBX0lCKCdMVE1TJywzODQ4OCk=&amp;WINDOW=FIRST_POPUP&amp;HEIGHT=450&amp;WIDTH=450&amp;START_MA","XIMIZED=FALSE&amp;VAR:CALENDAR=US&amp;VAR:SYMBOL=G0129K10&amp;VAR:INDEX=0"}</definedName>
    <definedName name="_9053__FDSAUDITLINK__" hidden="1">{"fdsup://directions/FAT Viewer?action=UPDATE&amp;creator=factset&amp;DYN_ARGS=TRUE&amp;DOC_NAME=FAT:FQL_AUDITING_CLIENT_TEMPLATE.FAT&amp;display_string=Audit&amp;VAR:KEY=FOLKNIJCVA&amp;VAR:QUERY=RkZfRUJJVERBX0lCKCdMVE1TJywzODQ4OCk=&amp;WINDOW=FIRST_POPUP&amp;HEIGHT=450&amp;WIDTH=450&amp;START_MA","XIMIZED=FALSE&amp;VAR:CALENDAR=US&amp;VAR:SYMBOL=G0129K10&amp;VAR:INDEX=0"}</definedName>
    <definedName name="_9054__FDSAUDITLINK__" localSheetId="6" hidden="1">{"fdsup://directions/FAT Viewer?action=UPDATE&amp;creator=factset&amp;DYN_ARGS=TRUE&amp;DOC_NAME=FAT:FQL_AUDITING_CLIENT_TEMPLATE.FAT&amp;display_string=Audit&amp;VAR:KEY=ZEVEBUJIVA&amp;VAR:QUERY=RkZfRUJJVERBX0lCKCdMVE1TJywzODQ4Nyk=&amp;WINDOW=FIRST_POPUP&amp;HEIGHT=450&amp;WIDTH=450&amp;START_MA","XIMIZED=FALSE&amp;VAR:CALENDAR=US&amp;VAR:SYMBOL=G0129K10&amp;VAR:INDEX=0"}</definedName>
    <definedName name="_9054__FDSAUDITLINK__" hidden="1">{"fdsup://directions/FAT Viewer?action=UPDATE&amp;creator=factset&amp;DYN_ARGS=TRUE&amp;DOC_NAME=FAT:FQL_AUDITING_CLIENT_TEMPLATE.FAT&amp;display_string=Audit&amp;VAR:KEY=ZEVEBUJIVA&amp;VAR:QUERY=RkZfRUJJVERBX0lCKCdMVE1TJywzODQ4Nyk=&amp;WINDOW=FIRST_POPUP&amp;HEIGHT=450&amp;WIDTH=450&amp;START_MA","XIMIZED=FALSE&amp;VAR:CALENDAR=US&amp;VAR:SYMBOL=G0129K10&amp;VAR:INDEX=0"}</definedName>
    <definedName name="_9055__FDSAUDITLINK__" localSheetId="6" hidden="1">{"fdsup://directions/FAT Viewer?action=UPDATE&amp;creator=factset&amp;DYN_ARGS=TRUE&amp;DOC_NAME=FAT:FQL_AUDITING_CLIENT_TEMPLATE.FAT&amp;display_string=Audit&amp;VAR:KEY=BIHKJEVYTS&amp;VAR:QUERY=RkZfRUJJVERBX0lCKCdMVE1TJywzODQ4Nik=&amp;WINDOW=FIRST_POPUP&amp;HEIGHT=450&amp;WIDTH=450&amp;START_MA","XIMIZED=FALSE&amp;VAR:CALENDAR=US&amp;VAR:SYMBOL=G0129K10&amp;VAR:INDEX=0"}</definedName>
    <definedName name="_9055__FDSAUDITLINK__" hidden="1">{"fdsup://directions/FAT Viewer?action=UPDATE&amp;creator=factset&amp;DYN_ARGS=TRUE&amp;DOC_NAME=FAT:FQL_AUDITING_CLIENT_TEMPLATE.FAT&amp;display_string=Audit&amp;VAR:KEY=BIHKJEVYTS&amp;VAR:QUERY=RkZfRUJJVERBX0lCKCdMVE1TJywzODQ4Nik=&amp;WINDOW=FIRST_POPUP&amp;HEIGHT=450&amp;WIDTH=450&amp;START_MA","XIMIZED=FALSE&amp;VAR:CALENDAR=US&amp;VAR:SYMBOL=G0129K10&amp;VAR:INDEX=0"}</definedName>
    <definedName name="_9056__FDSAUDITLINK__" localSheetId="6" hidden="1">{"fdsup://directions/FAT Viewer?action=UPDATE&amp;creator=factset&amp;DYN_ARGS=TRUE&amp;DOC_NAME=FAT:FQL_AUDITING_CLIENT_TEMPLATE.FAT&amp;display_string=Audit&amp;VAR:KEY=LQVSHUFGFA&amp;VAR:QUERY=RkZfRUJJVERBX0lCKCdMVE1TJywzODQ4NSk=&amp;WINDOW=FIRST_POPUP&amp;HEIGHT=450&amp;WIDTH=450&amp;START_MA","XIMIZED=FALSE&amp;VAR:CALENDAR=US&amp;VAR:SYMBOL=G0129K10&amp;VAR:INDEX=0"}</definedName>
    <definedName name="_9056__FDSAUDITLINK__" hidden="1">{"fdsup://directions/FAT Viewer?action=UPDATE&amp;creator=factset&amp;DYN_ARGS=TRUE&amp;DOC_NAME=FAT:FQL_AUDITING_CLIENT_TEMPLATE.FAT&amp;display_string=Audit&amp;VAR:KEY=LQVSHUFGFA&amp;VAR:QUERY=RkZfRUJJVERBX0lCKCdMVE1TJywzODQ4NSk=&amp;WINDOW=FIRST_POPUP&amp;HEIGHT=450&amp;WIDTH=450&amp;START_MA","XIMIZED=FALSE&amp;VAR:CALENDAR=US&amp;VAR:SYMBOL=G0129K10&amp;VAR:INDEX=0"}</definedName>
    <definedName name="_9057__FDSAUDITLINK__" localSheetId="6" hidden="1">{"fdsup://directions/FAT Viewer?action=UPDATE&amp;creator=factset&amp;DYN_ARGS=TRUE&amp;DOC_NAME=FAT:FQL_AUDITING_CLIENT_TEMPLATE.FAT&amp;display_string=Audit&amp;VAR:KEY=FCPWLKHGVE&amp;VAR:QUERY=RkZfRUJJVERBX0lCKCdMVE1TJywzODQ4NCk=&amp;WINDOW=FIRST_POPUP&amp;HEIGHT=450&amp;WIDTH=450&amp;START_MA","XIMIZED=FALSE&amp;VAR:CALENDAR=US&amp;VAR:SYMBOL=G0129K10&amp;VAR:INDEX=0"}</definedName>
    <definedName name="_9057__FDSAUDITLINK__" hidden="1">{"fdsup://directions/FAT Viewer?action=UPDATE&amp;creator=factset&amp;DYN_ARGS=TRUE&amp;DOC_NAME=FAT:FQL_AUDITING_CLIENT_TEMPLATE.FAT&amp;display_string=Audit&amp;VAR:KEY=FCPWLKHGVE&amp;VAR:QUERY=RkZfRUJJVERBX0lCKCdMVE1TJywzODQ4NCk=&amp;WINDOW=FIRST_POPUP&amp;HEIGHT=450&amp;WIDTH=450&amp;START_MA","XIMIZED=FALSE&amp;VAR:CALENDAR=US&amp;VAR:SYMBOL=G0129K10&amp;VAR:INDEX=0"}</definedName>
    <definedName name="_9058__FDSAUDITLINK__" localSheetId="6" hidden="1">{"fdsup://directions/FAT Viewer?action=UPDATE&amp;creator=factset&amp;DYN_ARGS=TRUE&amp;DOC_NAME=FAT:FQL_AUDITING_CLIENT_TEMPLATE.FAT&amp;display_string=Audit&amp;VAR:KEY=PCVAPYJMBA&amp;VAR:QUERY=RkZfRUJJVERBX0lCKCdMVE1TJywzODQ4Myk=&amp;WINDOW=FIRST_POPUP&amp;HEIGHT=450&amp;WIDTH=450&amp;START_MA","XIMIZED=FALSE&amp;VAR:CALENDAR=US&amp;VAR:SYMBOL=G0129K10&amp;VAR:INDEX=0"}</definedName>
    <definedName name="_9058__FDSAUDITLINK__" hidden="1">{"fdsup://directions/FAT Viewer?action=UPDATE&amp;creator=factset&amp;DYN_ARGS=TRUE&amp;DOC_NAME=FAT:FQL_AUDITING_CLIENT_TEMPLATE.FAT&amp;display_string=Audit&amp;VAR:KEY=PCVAPYJMBA&amp;VAR:QUERY=RkZfRUJJVERBX0lCKCdMVE1TJywzODQ4Myk=&amp;WINDOW=FIRST_POPUP&amp;HEIGHT=450&amp;WIDTH=450&amp;START_MA","XIMIZED=FALSE&amp;VAR:CALENDAR=US&amp;VAR:SYMBOL=G0129K10&amp;VAR:INDEX=0"}</definedName>
    <definedName name="_9059__FDSAUDITLINK__" localSheetId="6" hidden="1">{"fdsup://directions/FAT Viewer?action=UPDATE&amp;creator=factset&amp;DYN_ARGS=TRUE&amp;DOC_NAME=FAT:FQL_AUDITING_CLIENT_TEMPLATE.FAT&amp;display_string=Audit&amp;VAR:KEY=PUFSNKFQXK&amp;VAR:QUERY=RkZfRUJJVERBX0lCKCdMVE1TJywzODQ4Mik=&amp;WINDOW=FIRST_POPUP&amp;HEIGHT=450&amp;WIDTH=450&amp;START_MA","XIMIZED=FALSE&amp;VAR:CALENDAR=US&amp;VAR:SYMBOL=G0129K10&amp;VAR:INDEX=0"}</definedName>
    <definedName name="_9059__FDSAUDITLINK__" hidden="1">{"fdsup://directions/FAT Viewer?action=UPDATE&amp;creator=factset&amp;DYN_ARGS=TRUE&amp;DOC_NAME=FAT:FQL_AUDITING_CLIENT_TEMPLATE.FAT&amp;display_string=Audit&amp;VAR:KEY=PUFSNKFQXK&amp;VAR:QUERY=RkZfRUJJVERBX0lCKCdMVE1TJywzODQ4Mik=&amp;WINDOW=FIRST_POPUP&amp;HEIGHT=450&amp;WIDTH=450&amp;START_MA","XIMIZED=FALSE&amp;VAR:CALENDAR=US&amp;VAR:SYMBOL=G0129K10&amp;VAR:INDEX=0"}</definedName>
    <definedName name="_906__FDSAUDITLINK__" localSheetId="6" hidden="1">{"fdsup://directions/FAT%20Viewer?VAR:PED=LTM&amp;VAR:AUDIT_MODE=SUMMARY&amp;VAR:PERIOD=FIXED&amp;VAR:AUDIT_ID=00000117&amp;VAR:DATE=20070830&amp;action=UPDATE&amp;creator=factset&amp;DOC_NAME=FAT:FMA_audit_SUMMARY.fat&amp;DISPLAY_STRING=Display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6__FDSAUDITLINK__" hidden="1">{"fdsup://directions/FAT%20Viewer?VAR:PED=LTM&amp;VAR:AUDIT_MODE=SUMMARY&amp;VAR:PERIOD=FIXED&amp;VAR:AUDIT_ID=00000117&amp;VAR:DATE=20070830&amp;action=UPDATE&amp;creator=factset&amp;DOC_NAME=FAT:FMA_audit_SUMMARY.fat&amp;DISPLAY_STRING=Display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60__FDSAUDITLINK__" localSheetId="6" hidden="1">{"fdsup://directions/FAT Viewer?action=UPDATE&amp;creator=factset&amp;DYN_ARGS=TRUE&amp;DOC_NAME=FAT:FQL_AUDITING_CLIENT_TEMPLATE.FAT&amp;display_string=Audit&amp;VAR:KEY=LEZUTORWLG&amp;VAR:QUERY=RkZfRUJJVERBX0lCKCdMVE1TJywzODQ4MSk=&amp;WINDOW=FIRST_POPUP&amp;HEIGHT=450&amp;WIDTH=450&amp;START_MA","XIMIZED=FALSE&amp;VAR:CALENDAR=US&amp;VAR:SYMBOL=G0129K10&amp;VAR:INDEX=0"}</definedName>
    <definedName name="_9060__FDSAUDITLINK__" hidden="1">{"fdsup://directions/FAT Viewer?action=UPDATE&amp;creator=factset&amp;DYN_ARGS=TRUE&amp;DOC_NAME=FAT:FQL_AUDITING_CLIENT_TEMPLATE.FAT&amp;display_string=Audit&amp;VAR:KEY=LEZUTORWLG&amp;VAR:QUERY=RkZfRUJJVERBX0lCKCdMVE1TJywzODQ4MSk=&amp;WINDOW=FIRST_POPUP&amp;HEIGHT=450&amp;WIDTH=450&amp;START_MA","XIMIZED=FALSE&amp;VAR:CALENDAR=US&amp;VAR:SYMBOL=G0129K10&amp;VAR:INDEX=0"}</definedName>
    <definedName name="_9061__FDSAUDITLINK__" localSheetId="6" hidden="1">{"fdsup://directions/FAT Viewer?action=UPDATE&amp;creator=factset&amp;DYN_ARGS=TRUE&amp;DOC_NAME=FAT:FQL_AUDITING_CLIENT_TEMPLATE.FAT&amp;display_string=Audit&amp;VAR:KEY=JQLKBSRCZO&amp;VAR:QUERY=RkZfRUJJVERBX0lCKCdMVE1TJywzODQ4MCk=&amp;WINDOW=FIRST_POPUP&amp;HEIGHT=450&amp;WIDTH=450&amp;START_MA","XIMIZED=FALSE&amp;VAR:CALENDAR=US&amp;VAR:SYMBOL=G0129K10&amp;VAR:INDEX=0"}</definedName>
    <definedName name="_9061__FDSAUDITLINK__" hidden="1">{"fdsup://directions/FAT Viewer?action=UPDATE&amp;creator=factset&amp;DYN_ARGS=TRUE&amp;DOC_NAME=FAT:FQL_AUDITING_CLIENT_TEMPLATE.FAT&amp;display_string=Audit&amp;VAR:KEY=JQLKBSRCZO&amp;VAR:QUERY=RkZfRUJJVERBX0lCKCdMVE1TJywzODQ4MCk=&amp;WINDOW=FIRST_POPUP&amp;HEIGHT=450&amp;WIDTH=450&amp;START_MA","XIMIZED=FALSE&amp;VAR:CALENDAR=US&amp;VAR:SYMBOL=G0129K10&amp;VAR:INDEX=0"}</definedName>
    <definedName name="_9062__FDSAUDITLINK__" localSheetId="6" hidden="1">{"fdsup://directions/FAT Viewer?action=UPDATE&amp;creator=factset&amp;DYN_ARGS=TRUE&amp;DOC_NAME=FAT:FQL_AUDITING_CLIENT_TEMPLATE.FAT&amp;display_string=Audit&amp;VAR:KEY=NAZQJWNCDG&amp;VAR:QUERY=RkZfRUJJVERBX0lCKCdMVE1TJywzODQ3OSk=&amp;WINDOW=FIRST_POPUP&amp;HEIGHT=450&amp;WIDTH=450&amp;START_MA","XIMIZED=FALSE&amp;VAR:CALENDAR=US&amp;VAR:SYMBOL=G0129K10&amp;VAR:INDEX=0"}</definedName>
    <definedName name="_9062__FDSAUDITLINK__" hidden="1">{"fdsup://directions/FAT Viewer?action=UPDATE&amp;creator=factset&amp;DYN_ARGS=TRUE&amp;DOC_NAME=FAT:FQL_AUDITING_CLIENT_TEMPLATE.FAT&amp;display_string=Audit&amp;VAR:KEY=NAZQJWNCDG&amp;VAR:QUERY=RkZfRUJJVERBX0lCKCdMVE1TJywzODQ3OSk=&amp;WINDOW=FIRST_POPUP&amp;HEIGHT=450&amp;WIDTH=450&amp;START_MA","XIMIZED=FALSE&amp;VAR:CALENDAR=US&amp;VAR:SYMBOL=G0129K10&amp;VAR:INDEX=0"}</definedName>
    <definedName name="_9063__FDSAUDITLINK__" localSheetId="6" hidden="1">{"fdsup://directions/FAT Viewer?action=UPDATE&amp;creator=factset&amp;DYN_ARGS=TRUE&amp;DOC_NAME=FAT:FQL_AUDITING_CLIENT_TEMPLATE.FAT&amp;display_string=Audit&amp;VAR:KEY=DGTMTOBGVY&amp;VAR:QUERY=RkZfRUJJVERBX0lCKCdMVE1TJywzODQ3OCk=&amp;WINDOW=FIRST_POPUP&amp;HEIGHT=450&amp;WIDTH=450&amp;START_MA","XIMIZED=FALSE&amp;VAR:CALENDAR=US&amp;VAR:SYMBOL=G0129K10&amp;VAR:INDEX=0"}</definedName>
    <definedName name="_9063__FDSAUDITLINK__" hidden="1">{"fdsup://directions/FAT Viewer?action=UPDATE&amp;creator=factset&amp;DYN_ARGS=TRUE&amp;DOC_NAME=FAT:FQL_AUDITING_CLIENT_TEMPLATE.FAT&amp;display_string=Audit&amp;VAR:KEY=DGTMTOBGVY&amp;VAR:QUERY=RkZfRUJJVERBX0lCKCdMVE1TJywzODQ3OCk=&amp;WINDOW=FIRST_POPUP&amp;HEIGHT=450&amp;WIDTH=450&amp;START_MA","XIMIZED=FALSE&amp;VAR:CALENDAR=US&amp;VAR:SYMBOL=G0129K10&amp;VAR:INDEX=0"}</definedName>
    <definedName name="_9064__FDSAUDITLINK__" localSheetId="6" hidden="1">{"fdsup://directions/FAT Viewer?action=UPDATE&amp;creator=factset&amp;DYN_ARGS=TRUE&amp;DOC_NAME=FAT:FQL_AUDITING_CLIENT_TEMPLATE.FAT&amp;display_string=Audit&amp;VAR:KEY=ZSNCHMTWHY&amp;VAR:QUERY=RkZfRUJJVERBX0lCKCdMVE1TJywzODQ3Nyk=&amp;WINDOW=FIRST_POPUP&amp;HEIGHT=450&amp;WIDTH=450&amp;START_MA","XIMIZED=FALSE&amp;VAR:CALENDAR=US&amp;VAR:SYMBOL=G0129K10&amp;VAR:INDEX=0"}</definedName>
    <definedName name="_9064__FDSAUDITLINK__" hidden="1">{"fdsup://directions/FAT Viewer?action=UPDATE&amp;creator=factset&amp;DYN_ARGS=TRUE&amp;DOC_NAME=FAT:FQL_AUDITING_CLIENT_TEMPLATE.FAT&amp;display_string=Audit&amp;VAR:KEY=ZSNCHMTWHY&amp;VAR:QUERY=RkZfRUJJVERBX0lCKCdMVE1TJywzODQ3Nyk=&amp;WINDOW=FIRST_POPUP&amp;HEIGHT=450&amp;WIDTH=450&amp;START_MA","XIMIZED=FALSE&amp;VAR:CALENDAR=US&amp;VAR:SYMBOL=G0129K10&amp;VAR:INDEX=0"}</definedName>
    <definedName name="_9065__FDSAUDITLINK__" localSheetId="6" hidden="1">{"fdsup://directions/FAT Viewer?action=UPDATE&amp;creator=factset&amp;DYN_ARGS=TRUE&amp;DOC_NAME=FAT:FQL_AUDITING_CLIENT_TEMPLATE.FAT&amp;display_string=Audit&amp;VAR:KEY=JMFSRAPWJS&amp;VAR:QUERY=RkZfRUJJVERBX0lCKCdMVE1TJywzODQ3Nik=&amp;WINDOW=FIRST_POPUP&amp;HEIGHT=450&amp;WIDTH=450&amp;START_MA","XIMIZED=FALSE&amp;VAR:CALENDAR=US&amp;VAR:SYMBOL=G0129K10&amp;VAR:INDEX=0"}</definedName>
    <definedName name="_9065__FDSAUDITLINK__" hidden="1">{"fdsup://directions/FAT Viewer?action=UPDATE&amp;creator=factset&amp;DYN_ARGS=TRUE&amp;DOC_NAME=FAT:FQL_AUDITING_CLIENT_TEMPLATE.FAT&amp;display_string=Audit&amp;VAR:KEY=JMFSRAPWJS&amp;VAR:QUERY=RkZfRUJJVERBX0lCKCdMVE1TJywzODQ3Nik=&amp;WINDOW=FIRST_POPUP&amp;HEIGHT=450&amp;WIDTH=450&amp;START_MA","XIMIZED=FALSE&amp;VAR:CALENDAR=US&amp;VAR:SYMBOL=G0129K10&amp;VAR:INDEX=0"}</definedName>
    <definedName name="_9066__FDSAUDITLINK__" localSheetId="6" hidden="1">{"fdsup://directions/FAT Viewer?action=UPDATE&amp;creator=factset&amp;DYN_ARGS=TRUE&amp;DOC_NAME=FAT:FQL_AUDITING_CLIENT_TEMPLATE.FAT&amp;display_string=Audit&amp;VAR:KEY=ZKFGZYHMVU&amp;VAR:QUERY=RkZfRUJJVERBX0lCKCdMVE1TJywzODQ3NSk=&amp;WINDOW=FIRST_POPUP&amp;HEIGHT=450&amp;WIDTH=450&amp;START_MA","XIMIZED=FALSE&amp;VAR:CALENDAR=US&amp;VAR:SYMBOL=G0129K10&amp;VAR:INDEX=0"}</definedName>
    <definedName name="_9066__FDSAUDITLINK__" hidden="1">{"fdsup://directions/FAT Viewer?action=UPDATE&amp;creator=factset&amp;DYN_ARGS=TRUE&amp;DOC_NAME=FAT:FQL_AUDITING_CLIENT_TEMPLATE.FAT&amp;display_string=Audit&amp;VAR:KEY=ZKFGZYHMVU&amp;VAR:QUERY=RkZfRUJJVERBX0lCKCdMVE1TJywzODQ3NSk=&amp;WINDOW=FIRST_POPUP&amp;HEIGHT=450&amp;WIDTH=450&amp;START_MA","XIMIZED=FALSE&amp;VAR:CALENDAR=US&amp;VAR:SYMBOL=G0129K10&amp;VAR:INDEX=0"}</definedName>
    <definedName name="_9067__FDSAUDITLINK__" localSheetId="6" hidden="1">{"fdsup://directions/FAT Viewer?action=UPDATE&amp;creator=factset&amp;DYN_ARGS=TRUE&amp;DOC_NAME=FAT:FQL_AUDITING_CLIENT_TEMPLATE.FAT&amp;display_string=Audit&amp;VAR:KEY=VMZSNAXMBY&amp;VAR:QUERY=RkZfRUJJVERBX0lCKCdMVE1TJywzODQ3NCk=&amp;WINDOW=FIRST_POPUP&amp;HEIGHT=450&amp;WIDTH=450&amp;START_MA","XIMIZED=FALSE&amp;VAR:CALENDAR=US&amp;VAR:SYMBOL=G0129K10&amp;VAR:INDEX=0"}</definedName>
    <definedName name="_9067__FDSAUDITLINK__" hidden="1">{"fdsup://directions/FAT Viewer?action=UPDATE&amp;creator=factset&amp;DYN_ARGS=TRUE&amp;DOC_NAME=FAT:FQL_AUDITING_CLIENT_TEMPLATE.FAT&amp;display_string=Audit&amp;VAR:KEY=VMZSNAXMBY&amp;VAR:QUERY=RkZfRUJJVERBX0lCKCdMVE1TJywzODQ3NCk=&amp;WINDOW=FIRST_POPUP&amp;HEIGHT=450&amp;WIDTH=450&amp;START_MA","XIMIZED=FALSE&amp;VAR:CALENDAR=US&amp;VAR:SYMBOL=G0129K10&amp;VAR:INDEX=0"}</definedName>
    <definedName name="_9068__FDSAUDITLINK__" localSheetId="6" hidden="1">{"fdsup://directions/FAT Viewer?action=UPDATE&amp;creator=factset&amp;DYN_ARGS=TRUE&amp;DOC_NAME=FAT:FQL_AUDITING_CLIENT_TEMPLATE.FAT&amp;display_string=Audit&amp;VAR:KEY=BMHQJYTGTK&amp;VAR:QUERY=RkZfRUJJVERBX0lCKCdMVE1TJywzODQ3Myk=&amp;WINDOW=FIRST_POPUP&amp;HEIGHT=450&amp;WIDTH=450&amp;START_MA","XIMIZED=FALSE&amp;VAR:CALENDAR=US&amp;VAR:SYMBOL=G0129K10&amp;VAR:INDEX=0"}</definedName>
    <definedName name="_9068__FDSAUDITLINK__" hidden="1">{"fdsup://directions/FAT Viewer?action=UPDATE&amp;creator=factset&amp;DYN_ARGS=TRUE&amp;DOC_NAME=FAT:FQL_AUDITING_CLIENT_TEMPLATE.FAT&amp;display_string=Audit&amp;VAR:KEY=BMHQJYTGTK&amp;VAR:QUERY=RkZfRUJJVERBX0lCKCdMVE1TJywzODQ3Myk=&amp;WINDOW=FIRST_POPUP&amp;HEIGHT=450&amp;WIDTH=450&amp;START_MA","XIMIZED=FALSE&amp;VAR:CALENDAR=US&amp;VAR:SYMBOL=G0129K10&amp;VAR:INDEX=0"}</definedName>
    <definedName name="_9069__FDSAUDITLINK__" localSheetId="6" hidden="1">{"fdsup://directions/FAT Viewer?action=UPDATE&amp;creator=factset&amp;DYN_ARGS=TRUE&amp;DOC_NAME=FAT:FQL_AUDITING_CLIENT_TEMPLATE.FAT&amp;display_string=Audit&amp;VAR:KEY=LORUFWXGJI&amp;VAR:QUERY=RkZfRUJJVERBX0lCKCdMVE1TJywzODQ3Mik=&amp;WINDOW=FIRST_POPUP&amp;HEIGHT=450&amp;WIDTH=450&amp;START_MA","XIMIZED=FALSE&amp;VAR:CALENDAR=US&amp;VAR:SYMBOL=G0129K10&amp;VAR:INDEX=0"}</definedName>
    <definedName name="_9069__FDSAUDITLINK__" hidden="1">{"fdsup://directions/FAT Viewer?action=UPDATE&amp;creator=factset&amp;DYN_ARGS=TRUE&amp;DOC_NAME=FAT:FQL_AUDITING_CLIENT_TEMPLATE.FAT&amp;display_string=Audit&amp;VAR:KEY=LORUFWXGJI&amp;VAR:QUERY=RkZfRUJJVERBX0lCKCdMVE1TJywzODQ3Mik=&amp;WINDOW=FIRST_POPUP&amp;HEIGHT=450&amp;WIDTH=450&amp;START_MA","XIMIZED=FALSE&amp;VAR:CALENDAR=US&amp;VAR:SYMBOL=G0129K10&amp;VAR:INDEX=0"}</definedName>
    <definedName name="_907__FDSAUDITLINK__" localSheetId="6" hidden="1">{"fdsup://directions/FAT%20Viewer?VAR:PED=LTM&amp;VAR:AUDIT_MODE=SUMMARY&amp;VAR:PERIOD=FIXED&amp;VAR:AUDIT_ID=00000117&amp;VAR:DATE=20070829&amp;action=UPDATE&amp;creator=factset&amp;DOC_NAME=FAT:FMA_audit_SUMMARY.fat&amp;DISPLAY_STRING=Display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7__FDSAUDITLINK__" hidden="1">{"fdsup://directions/FAT%20Viewer?VAR:PED=LTM&amp;VAR:AUDIT_MODE=SUMMARY&amp;VAR:PERIOD=FIXED&amp;VAR:AUDIT_ID=00000117&amp;VAR:DATE=20070829&amp;action=UPDATE&amp;creator=factset&amp;DOC_NAME=FAT:FMA_audit_SUMMARY.fat&amp;DISPLAY_STRING=Display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70__FDSAUDITLINK__" localSheetId="6" hidden="1">{"fdsup://directions/FAT Viewer?action=UPDATE&amp;creator=factset&amp;DYN_ARGS=TRUE&amp;DOC_NAME=FAT:FQL_AUDITING_CLIENT_TEMPLATE.FAT&amp;display_string=Audit&amp;VAR:KEY=RYRUHWZSLA&amp;VAR:QUERY=RkZfRUJJVERBX0lCKCdMVE1TJywzODQ3MSk=&amp;WINDOW=FIRST_POPUP&amp;HEIGHT=450&amp;WIDTH=450&amp;START_MA","XIMIZED=FALSE&amp;VAR:CALENDAR=US&amp;VAR:SYMBOL=G0129K10&amp;VAR:INDEX=0"}</definedName>
    <definedName name="_9070__FDSAUDITLINK__" hidden="1">{"fdsup://directions/FAT Viewer?action=UPDATE&amp;creator=factset&amp;DYN_ARGS=TRUE&amp;DOC_NAME=FAT:FQL_AUDITING_CLIENT_TEMPLATE.FAT&amp;display_string=Audit&amp;VAR:KEY=RYRUHWZSLA&amp;VAR:QUERY=RkZfRUJJVERBX0lCKCdMVE1TJywzODQ3MSk=&amp;WINDOW=FIRST_POPUP&amp;HEIGHT=450&amp;WIDTH=450&amp;START_MA","XIMIZED=FALSE&amp;VAR:CALENDAR=US&amp;VAR:SYMBOL=G0129K10&amp;VAR:INDEX=0"}</definedName>
    <definedName name="_9071__FDSAUDITLINK__" localSheetId="6" hidden="1">{"fdsup://directions/FAT Viewer?action=UPDATE&amp;creator=factset&amp;DYN_ARGS=TRUE&amp;DOC_NAME=FAT:FQL_AUDITING_CLIENT_TEMPLATE.FAT&amp;display_string=Audit&amp;VAR:KEY=VQBKVYRCVC&amp;VAR:QUERY=RkZfRUJJVERBX0lCKCdMVE1TJywzODQ3MCk=&amp;WINDOW=FIRST_POPUP&amp;HEIGHT=450&amp;WIDTH=450&amp;START_MA","XIMIZED=FALSE&amp;VAR:CALENDAR=US&amp;VAR:SYMBOL=G0129K10&amp;VAR:INDEX=0"}</definedName>
    <definedName name="_9071__FDSAUDITLINK__" hidden="1">{"fdsup://directions/FAT Viewer?action=UPDATE&amp;creator=factset&amp;DYN_ARGS=TRUE&amp;DOC_NAME=FAT:FQL_AUDITING_CLIENT_TEMPLATE.FAT&amp;display_string=Audit&amp;VAR:KEY=VQBKVYRCVC&amp;VAR:QUERY=RkZfRUJJVERBX0lCKCdMVE1TJywzODQ3MCk=&amp;WINDOW=FIRST_POPUP&amp;HEIGHT=450&amp;WIDTH=450&amp;START_MA","XIMIZED=FALSE&amp;VAR:CALENDAR=US&amp;VAR:SYMBOL=G0129K10&amp;VAR:INDEX=0"}</definedName>
    <definedName name="_9072__FDSAUDITLINK__" localSheetId="6" hidden="1">{"fdsup://directions/FAT Viewer?action=UPDATE&amp;creator=factset&amp;DYN_ARGS=TRUE&amp;DOC_NAME=FAT:FQL_AUDITING_CLIENT_TEMPLATE.FAT&amp;display_string=Audit&amp;VAR:KEY=FYTWVWZAPW&amp;VAR:QUERY=RkZfRUJJVERBX0lCKCdMVE1TJywzODQ2OSk=&amp;WINDOW=FIRST_POPUP&amp;HEIGHT=450&amp;WIDTH=450&amp;START_MA","XIMIZED=FALSE&amp;VAR:CALENDAR=US&amp;VAR:SYMBOL=G0129K10&amp;VAR:INDEX=0"}</definedName>
    <definedName name="_9072__FDSAUDITLINK__" hidden="1">{"fdsup://directions/FAT Viewer?action=UPDATE&amp;creator=factset&amp;DYN_ARGS=TRUE&amp;DOC_NAME=FAT:FQL_AUDITING_CLIENT_TEMPLATE.FAT&amp;display_string=Audit&amp;VAR:KEY=FYTWVWZAPW&amp;VAR:QUERY=RkZfRUJJVERBX0lCKCdMVE1TJywzODQ2OSk=&amp;WINDOW=FIRST_POPUP&amp;HEIGHT=450&amp;WIDTH=450&amp;START_MA","XIMIZED=FALSE&amp;VAR:CALENDAR=US&amp;VAR:SYMBOL=G0129K10&amp;VAR:INDEX=0"}</definedName>
    <definedName name="_9073__FDSAUDITLINK__" localSheetId="6" hidden="1">{"fdsup://directions/FAT Viewer?action=UPDATE&amp;creator=factset&amp;DYN_ARGS=TRUE&amp;DOC_NAME=FAT:FQL_AUDITING_CLIENT_TEMPLATE.FAT&amp;display_string=Audit&amp;VAR:KEY=HINQHCLCBG&amp;VAR:QUERY=RkZfRUJJVERBX0lCKCdMVE1TJywzODQ2OCk=&amp;WINDOW=FIRST_POPUP&amp;HEIGHT=450&amp;WIDTH=450&amp;START_MA","XIMIZED=FALSE&amp;VAR:CALENDAR=US&amp;VAR:SYMBOL=G0129K10&amp;VAR:INDEX=0"}</definedName>
    <definedName name="_9073__FDSAUDITLINK__" hidden="1">{"fdsup://directions/FAT Viewer?action=UPDATE&amp;creator=factset&amp;DYN_ARGS=TRUE&amp;DOC_NAME=FAT:FQL_AUDITING_CLIENT_TEMPLATE.FAT&amp;display_string=Audit&amp;VAR:KEY=HINQHCLCBG&amp;VAR:QUERY=RkZfRUJJVERBX0lCKCdMVE1TJywzODQ2OCk=&amp;WINDOW=FIRST_POPUP&amp;HEIGHT=450&amp;WIDTH=450&amp;START_MA","XIMIZED=FALSE&amp;VAR:CALENDAR=US&amp;VAR:SYMBOL=G0129K10&amp;VAR:INDEX=0"}</definedName>
    <definedName name="_9074__FDSAUDITLINK__" localSheetId="6" hidden="1">{"fdsup://directions/FAT Viewer?action=UPDATE&amp;creator=factset&amp;DYN_ARGS=TRUE&amp;DOC_NAME=FAT:FQL_AUDITING_CLIENT_TEMPLATE.FAT&amp;display_string=Audit&amp;VAR:KEY=VGLGLEDSVA&amp;VAR:QUERY=RkZfRUJJVERBX0lCKCdMVE1TJywzODQ2Nyk=&amp;WINDOW=FIRST_POPUP&amp;HEIGHT=450&amp;WIDTH=450&amp;START_MA","XIMIZED=FALSE&amp;VAR:CALENDAR=US&amp;VAR:SYMBOL=G0129K10&amp;VAR:INDEX=0"}</definedName>
    <definedName name="_9074__FDSAUDITLINK__" hidden="1">{"fdsup://directions/FAT Viewer?action=UPDATE&amp;creator=factset&amp;DYN_ARGS=TRUE&amp;DOC_NAME=FAT:FQL_AUDITING_CLIENT_TEMPLATE.FAT&amp;display_string=Audit&amp;VAR:KEY=VGLGLEDSVA&amp;VAR:QUERY=RkZfRUJJVERBX0lCKCdMVE1TJywzODQ2Nyk=&amp;WINDOW=FIRST_POPUP&amp;HEIGHT=450&amp;WIDTH=450&amp;START_MA","XIMIZED=FALSE&amp;VAR:CALENDAR=US&amp;VAR:SYMBOL=G0129K10&amp;VAR:INDEX=0"}</definedName>
    <definedName name="_9075__FDSAUDITLINK__" localSheetId="6" hidden="1">{"fdsup://directions/FAT Viewer?action=UPDATE&amp;creator=factset&amp;DYN_ARGS=TRUE&amp;DOC_NAME=FAT:FQL_AUDITING_CLIENT_TEMPLATE.FAT&amp;display_string=Audit&amp;VAR:KEY=BONMJEJCVG&amp;VAR:QUERY=RkZfRUJJVERBX0lCKCdMVE1TJywzODQ2Nik=&amp;WINDOW=FIRST_POPUP&amp;HEIGHT=450&amp;WIDTH=450&amp;START_MA","XIMIZED=FALSE&amp;VAR:CALENDAR=US&amp;VAR:SYMBOL=G0129K10&amp;VAR:INDEX=0"}</definedName>
    <definedName name="_9075__FDSAUDITLINK__" hidden="1">{"fdsup://directions/FAT Viewer?action=UPDATE&amp;creator=factset&amp;DYN_ARGS=TRUE&amp;DOC_NAME=FAT:FQL_AUDITING_CLIENT_TEMPLATE.FAT&amp;display_string=Audit&amp;VAR:KEY=BONMJEJCVG&amp;VAR:QUERY=RkZfRUJJVERBX0lCKCdMVE1TJywzODQ2Nik=&amp;WINDOW=FIRST_POPUP&amp;HEIGHT=450&amp;WIDTH=450&amp;START_MA","XIMIZED=FALSE&amp;VAR:CALENDAR=US&amp;VAR:SYMBOL=G0129K10&amp;VAR:INDEX=0"}</definedName>
    <definedName name="_9076__FDSAUDITLINK__" localSheetId="6" hidden="1">{"fdsup://directions/FAT Viewer?action=UPDATE&amp;creator=factset&amp;DYN_ARGS=TRUE&amp;DOC_NAME=FAT:FQL_AUDITING_CLIENT_TEMPLATE.FAT&amp;display_string=Audit&amp;VAR:KEY=NCLOXENALA&amp;VAR:QUERY=RkZfRUJJVERBX0lCKCdMVE1TJywzODQ2NSk=&amp;WINDOW=FIRST_POPUP&amp;HEIGHT=450&amp;WIDTH=450&amp;START_MA","XIMIZED=FALSE&amp;VAR:CALENDAR=US&amp;VAR:SYMBOL=G0129K10&amp;VAR:INDEX=0"}</definedName>
    <definedName name="_9076__FDSAUDITLINK__" hidden="1">{"fdsup://directions/FAT Viewer?action=UPDATE&amp;creator=factset&amp;DYN_ARGS=TRUE&amp;DOC_NAME=FAT:FQL_AUDITING_CLIENT_TEMPLATE.FAT&amp;display_string=Audit&amp;VAR:KEY=NCLOXENALA&amp;VAR:QUERY=RkZfRUJJVERBX0lCKCdMVE1TJywzODQ2NSk=&amp;WINDOW=FIRST_POPUP&amp;HEIGHT=450&amp;WIDTH=450&amp;START_MA","XIMIZED=FALSE&amp;VAR:CALENDAR=US&amp;VAR:SYMBOL=G0129K10&amp;VAR:INDEX=0"}</definedName>
    <definedName name="_9077__FDSAUDITLINK__" localSheetId="6" hidden="1">{"fdsup://directions/FAT Viewer?action=UPDATE&amp;creator=factset&amp;DYN_ARGS=TRUE&amp;DOC_NAME=FAT:FQL_AUDITING_CLIENT_TEMPLATE.FAT&amp;display_string=Audit&amp;VAR:KEY=TIPYLURAHC&amp;VAR:QUERY=RkZfRUJJVERBX0lCKCdMVE1TJywzODQ2NCk=&amp;WINDOW=FIRST_POPUP&amp;HEIGHT=450&amp;WIDTH=450&amp;START_MA","XIMIZED=FALSE&amp;VAR:CALENDAR=US&amp;VAR:SYMBOL=G0129K10&amp;VAR:INDEX=0"}</definedName>
    <definedName name="_9077__FDSAUDITLINK__" hidden="1">{"fdsup://directions/FAT Viewer?action=UPDATE&amp;creator=factset&amp;DYN_ARGS=TRUE&amp;DOC_NAME=FAT:FQL_AUDITING_CLIENT_TEMPLATE.FAT&amp;display_string=Audit&amp;VAR:KEY=TIPYLURAHC&amp;VAR:QUERY=RkZfRUJJVERBX0lCKCdMVE1TJywzODQ2NCk=&amp;WINDOW=FIRST_POPUP&amp;HEIGHT=450&amp;WIDTH=450&amp;START_MA","XIMIZED=FALSE&amp;VAR:CALENDAR=US&amp;VAR:SYMBOL=G0129K10&amp;VAR:INDEX=0"}</definedName>
    <definedName name="_9078__FDSAUDITLINK__" localSheetId="6" hidden="1">{"fdsup://directions/FAT Viewer?action=UPDATE&amp;creator=factset&amp;DYN_ARGS=TRUE&amp;DOC_NAME=FAT:FQL_AUDITING_CLIENT_TEMPLATE.FAT&amp;display_string=Audit&amp;VAR:KEY=TIRMVKVERU&amp;VAR:QUERY=RkZfRUJJVERBX0lCKCdMVE1TJywzODQ2Myk=&amp;WINDOW=FIRST_POPUP&amp;HEIGHT=450&amp;WIDTH=450&amp;START_MA","XIMIZED=FALSE&amp;VAR:CALENDAR=US&amp;VAR:SYMBOL=G0129K10&amp;VAR:INDEX=0"}</definedName>
    <definedName name="_9078__FDSAUDITLINK__" hidden="1">{"fdsup://directions/FAT Viewer?action=UPDATE&amp;creator=factset&amp;DYN_ARGS=TRUE&amp;DOC_NAME=FAT:FQL_AUDITING_CLIENT_TEMPLATE.FAT&amp;display_string=Audit&amp;VAR:KEY=TIRMVKVERU&amp;VAR:QUERY=RkZfRUJJVERBX0lCKCdMVE1TJywzODQ2Myk=&amp;WINDOW=FIRST_POPUP&amp;HEIGHT=450&amp;WIDTH=450&amp;START_MA","XIMIZED=FALSE&amp;VAR:CALENDAR=US&amp;VAR:SYMBOL=G0129K10&amp;VAR:INDEX=0"}</definedName>
    <definedName name="_9079__FDSAUDITLINK__" localSheetId="6" hidden="1">{"fdsup://directions/FAT Viewer?action=UPDATE&amp;creator=factset&amp;DYN_ARGS=TRUE&amp;DOC_NAME=FAT:FQL_AUDITING_CLIENT_TEMPLATE.FAT&amp;display_string=Audit&amp;VAR:KEY=LABODURWHY&amp;VAR:QUERY=RkZfRUJJVERBX0lCKCdMVE1TJywzODQ2Mik=&amp;WINDOW=FIRST_POPUP&amp;HEIGHT=450&amp;WIDTH=450&amp;START_MA","XIMIZED=FALSE&amp;VAR:CALENDAR=US&amp;VAR:SYMBOL=G0129K10&amp;VAR:INDEX=0"}</definedName>
    <definedName name="_9079__FDSAUDITLINK__" hidden="1">{"fdsup://directions/FAT Viewer?action=UPDATE&amp;creator=factset&amp;DYN_ARGS=TRUE&amp;DOC_NAME=FAT:FQL_AUDITING_CLIENT_TEMPLATE.FAT&amp;display_string=Audit&amp;VAR:KEY=LABODURWHY&amp;VAR:QUERY=RkZfRUJJVERBX0lCKCdMVE1TJywzODQ2Mik=&amp;WINDOW=FIRST_POPUP&amp;HEIGHT=450&amp;WIDTH=450&amp;START_MA","XIMIZED=FALSE&amp;VAR:CALENDAR=US&amp;VAR:SYMBOL=G0129K10&amp;VAR:INDEX=0"}</definedName>
    <definedName name="_908__FDSAUDITLINK__" localSheetId="6" hidden="1">{"fdsup://directions/FAT%20Viewer?VAR:PED=LTM&amp;VAR:AUDIT_MODE=SUMMARY&amp;VAR:PERIOD=FIXED&amp;VAR:AUDIT_ID=00000117&amp;VAR:DATE=20070828&amp;action=UPDATE&amp;creator=factset&amp;DOC_NAME=FAT:FMA_audit_SUMMARY.fat&amp;DISPLAY_STRING=Display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8__FDSAUDITLINK__" hidden="1">{"fdsup://directions/FAT%20Viewer?VAR:PED=LTM&amp;VAR:AUDIT_MODE=SUMMARY&amp;VAR:PERIOD=FIXED&amp;VAR:AUDIT_ID=00000117&amp;VAR:DATE=20070828&amp;action=UPDATE&amp;creator=factset&amp;DOC_NAME=FAT:FMA_audit_SUMMARY.fat&amp;DISPLAY_STRING=Display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80__FDSAUDITLINK__" localSheetId="6" hidden="1">{"fdsup://directions/FAT Viewer?action=UPDATE&amp;creator=factset&amp;DYN_ARGS=TRUE&amp;DOC_NAME=FAT:FQL_AUDITING_CLIENT_TEMPLATE.FAT&amp;display_string=Audit&amp;VAR:KEY=DWXUPQHIRK&amp;VAR:QUERY=RkZfRUJJVERBX0lCKCdMVE1TJywzODQ2MSk=&amp;WINDOW=FIRST_POPUP&amp;HEIGHT=450&amp;WIDTH=450&amp;START_MA","XIMIZED=FALSE&amp;VAR:CALENDAR=US&amp;VAR:SYMBOL=G0129K10&amp;VAR:INDEX=0"}</definedName>
    <definedName name="_9080__FDSAUDITLINK__" hidden="1">{"fdsup://directions/FAT Viewer?action=UPDATE&amp;creator=factset&amp;DYN_ARGS=TRUE&amp;DOC_NAME=FAT:FQL_AUDITING_CLIENT_TEMPLATE.FAT&amp;display_string=Audit&amp;VAR:KEY=DWXUPQHIRK&amp;VAR:QUERY=RkZfRUJJVERBX0lCKCdMVE1TJywzODQ2MSk=&amp;WINDOW=FIRST_POPUP&amp;HEIGHT=450&amp;WIDTH=450&amp;START_MA","XIMIZED=FALSE&amp;VAR:CALENDAR=US&amp;VAR:SYMBOL=G0129K10&amp;VAR:INDEX=0"}</definedName>
    <definedName name="_9081__FDSAUDITLINK__" localSheetId="6" hidden="1">{"fdsup://directions/FAT Viewer?action=UPDATE&amp;creator=factset&amp;DYN_ARGS=TRUE&amp;DOC_NAME=FAT:FQL_AUDITING_CLIENT_TEMPLATE.FAT&amp;display_string=Audit&amp;VAR:KEY=RYDATMVGBK&amp;VAR:QUERY=RkZfRUJJVERBX0lCKCdMVE1TJywzODQ2MCk=&amp;WINDOW=FIRST_POPUP&amp;HEIGHT=450&amp;WIDTH=450&amp;START_MA","XIMIZED=FALSE&amp;VAR:CALENDAR=US&amp;VAR:SYMBOL=G0129K10&amp;VAR:INDEX=0"}</definedName>
    <definedName name="_9081__FDSAUDITLINK__" hidden="1">{"fdsup://directions/FAT Viewer?action=UPDATE&amp;creator=factset&amp;DYN_ARGS=TRUE&amp;DOC_NAME=FAT:FQL_AUDITING_CLIENT_TEMPLATE.FAT&amp;display_string=Audit&amp;VAR:KEY=RYDATMVGBK&amp;VAR:QUERY=RkZfRUJJVERBX0lCKCdMVE1TJywzODQ2MCk=&amp;WINDOW=FIRST_POPUP&amp;HEIGHT=450&amp;WIDTH=450&amp;START_MA","XIMIZED=FALSE&amp;VAR:CALENDAR=US&amp;VAR:SYMBOL=G0129K10&amp;VAR:INDEX=0"}</definedName>
    <definedName name="_9082__FDSAUDITLINK__" localSheetId="6" hidden="1">{"fdsup://directions/FAT Viewer?action=UPDATE&amp;creator=factset&amp;DYN_ARGS=TRUE&amp;DOC_NAME=FAT:FQL_AUDITING_CLIENT_TEMPLATE.FAT&amp;display_string=Audit&amp;VAR:KEY=NKNMZIPWBA&amp;VAR:QUERY=RkZfRUJJVERBX0lCKCdMVE1TJywzODQ1OSk=&amp;WINDOW=FIRST_POPUP&amp;HEIGHT=450&amp;WIDTH=450&amp;START_MA","XIMIZED=FALSE&amp;VAR:CALENDAR=US&amp;VAR:SYMBOL=G0129K10&amp;VAR:INDEX=0"}</definedName>
    <definedName name="_9082__FDSAUDITLINK__" hidden="1">{"fdsup://directions/FAT Viewer?action=UPDATE&amp;creator=factset&amp;DYN_ARGS=TRUE&amp;DOC_NAME=FAT:FQL_AUDITING_CLIENT_TEMPLATE.FAT&amp;display_string=Audit&amp;VAR:KEY=NKNMZIPWBA&amp;VAR:QUERY=RkZfRUJJVERBX0lCKCdMVE1TJywzODQ1OSk=&amp;WINDOW=FIRST_POPUP&amp;HEIGHT=450&amp;WIDTH=450&amp;START_MA","XIMIZED=FALSE&amp;VAR:CALENDAR=US&amp;VAR:SYMBOL=G0129K10&amp;VAR:INDEX=0"}</definedName>
    <definedName name="_9083__FDSAUDITLINK__" localSheetId="6" hidden="1">{"fdsup://directions/FAT Viewer?action=UPDATE&amp;creator=factset&amp;DYN_ARGS=TRUE&amp;DOC_NAME=FAT:FQL_AUDITING_CLIENT_TEMPLATE.FAT&amp;display_string=Audit&amp;VAR:KEY=PQLOVMHKNK&amp;VAR:QUERY=RkZfRUJJVERBX0lCKCdMVE1TJywzODQ1OCk=&amp;WINDOW=FIRST_POPUP&amp;HEIGHT=450&amp;WIDTH=450&amp;START_MA","XIMIZED=FALSE&amp;VAR:CALENDAR=US&amp;VAR:SYMBOL=G0129K10&amp;VAR:INDEX=0"}</definedName>
    <definedName name="_9083__FDSAUDITLINK__" hidden="1">{"fdsup://directions/FAT Viewer?action=UPDATE&amp;creator=factset&amp;DYN_ARGS=TRUE&amp;DOC_NAME=FAT:FQL_AUDITING_CLIENT_TEMPLATE.FAT&amp;display_string=Audit&amp;VAR:KEY=PQLOVMHKNK&amp;VAR:QUERY=RkZfRUJJVERBX0lCKCdMVE1TJywzODQ1OCk=&amp;WINDOW=FIRST_POPUP&amp;HEIGHT=450&amp;WIDTH=450&amp;START_MA","XIMIZED=FALSE&amp;VAR:CALENDAR=US&amp;VAR:SYMBOL=G0129K10&amp;VAR:INDEX=0"}</definedName>
    <definedName name="_9084__FDSAUDITLINK__" localSheetId="6" hidden="1">{"fdsup://directions/FAT Viewer?action=UPDATE&amp;creator=factset&amp;DYN_ARGS=TRUE&amp;DOC_NAME=FAT:FQL_AUDITING_CLIENT_TEMPLATE.FAT&amp;display_string=Audit&amp;VAR:KEY=HWVIHORUBI&amp;VAR:QUERY=RkZfRUJJVERBX0lCKCdMVE1TJywzODQ1Nyk=&amp;WINDOW=FIRST_POPUP&amp;HEIGHT=450&amp;WIDTH=450&amp;START_MA","XIMIZED=FALSE&amp;VAR:CALENDAR=US&amp;VAR:SYMBOL=G0129K10&amp;VAR:INDEX=0"}</definedName>
    <definedName name="_9084__FDSAUDITLINK__" hidden="1">{"fdsup://directions/FAT Viewer?action=UPDATE&amp;creator=factset&amp;DYN_ARGS=TRUE&amp;DOC_NAME=FAT:FQL_AUDITING_CLIENT_TEMPLATE.FAT&amp;display_string=Audit&amp;VAR:KEY=HWVIHORUBI&amp;VAR:QUERY=RkZfRUJJVERBX0lCKCdMVE1TJywzODQ1Nyk=&amp;WINDOW=FIRST_POPUP&amp;HEIGHT=450&amp;WIDTH=450&amp;START_MA","XIMIZED=FALSE&amp;VAR:CALENDAR=US&amp;VAR:SYMBOL=G0129K10&amp;VAR:INDEX=0"}</definedName>
    <definedName name="_9085__FDSAUDITLINK__" localSheetId="6" hidden="1">{"fdsup://directions/FAT Viewer?action=UPDATE&amp;creator=factset&amp;DYN_ARGS=TRUE&amp;DOC_NAME=FAT:FQL_AUDITING_CLIENT_TEMPLATE.FAT&amp;display_string=Audit&amp;VAR:KEY=LOTCLONUTI&amp;VAR:QUERY=RkZfRUJJVERBX0lCKCdMVE1TJywzODQ1Nik=&amp;WINDOW=FIRST_POPUP&amp;HEIGHT=450&amp;WIDTH=450&amp;START_MA","XIMIZED=FALSE&amp;VAR:CALENDAR=US&amp;VAR:SYMBOL=G0129K10&amp;VAR:INDEX=0"}</definedName>
    <definedName name="_9085__FDSAUDITLINK__" hidden="1">{"fdsup://directions/FAT Viewer?action=UPDATE&amp;creator=factset&amp;DYN_ARGS=TRUE&amp;DOC_NAME=FAT:FQL_AUDITING_CLIENT_TEMPLATE.FAT&amp;display_string=Audit&amp;VAR:KEY=LOTCLONUTI&amp;VAR:QUERY=RkZfRUJJVERBX0lCKCdMVE1TJywzODQ1Nik=&amp;WINDOW=FIRST_POPUP&amp;HEIGHT=450&amp;WIDTH=450&amp;START_MA","XIMIZED=FALSE&amp;VAR:CALENDAR=US&amp;VAR:SYMBOL=G0129K10&amp;VAR:INDEX=0"}</definedName>
    <definedName name="_9086__FDSAUDITLINK__" localSheetId="6" hidden="1">{"fdsup://directions/FAT Viewer?action=UPDATE&amp;creator=factset&amp;DYN_ARGS=TRUE&amp;DOC_NAME=FAT:FQL_AUDITING_CLIENT_TEMPLATE.FAT&amp;display_string=Audit&amp;VAR:KEY=PYVGHIFGBY&amp;VAR:QUERY=RkZfRUJJVERBX0lCKCdMVE1TJywzODQ1NSk=&amp;WINDOW=FIRST_POPUP&amp;HEIGHT=450&amp;WIDTH=450&amp;START_MA","XIMIZED=FALSE&amp;VAR:CALENDAR=US&amp;VAR:SYMBOL=G0129K10&amp;VAR:INDEX=0"}</definedName>
    <definedName name="_9086__FDSAUDITLINK__" hidden="1">{"fdsup://directions/FAT Viewer?action=UPDATE&amp;creator=factset&amp;DYN_ARGS=TRUE&amp;DOC_NAME=FAT:FQL_AUDITING_CLIENT_TEMPLATE.FAT&amp;display_string=Audit&amp;VAR:KEY=PYVGHIFGBY&amp;VAR:QUERY=RkZfRUJJVERBX0lCKCdMVE1TJywzODQ1NSk=&amp;WINDOW=FIRST_POPUP&amp;HEIGHT=450&amp;WIDTH=450&amp;START_MA","XIMIZED=FALSE&amp;VAR:CALENDAR=US&amp;VAR:SYMBOL=G0129K10&amp;VAR:INDEX=0"}</definedName>
    <definedName name="_9087__FDSAUDITLINK__" localSheetId="6" hidden="1">{"fdsup://directions/FAT Viewer?action=UPDATE&amp;creator=factset&amp;DYN_ARGS=TRUE&amp;DOC_NAME=FAT:FQL_AUDITING_CLIENT_TEMPLATE.FAT&amp;display_string=Audit&amp;VAR:KEY=PODSHWTWVY&amp;VAR:QUERY=RkZfRUJJVERBX0lCKCdMVE1TJywzODQ1NCk=&amp;WINDOW=FIRST_POPUP&amp;HEIGHT=450&amp;WIDTH=450&amp;START_MA","XIMIZED=FALSE&amp;VAR:CALENDAR=US&amp;VAR:SYMBOL=G0129K10&amp;VAR:INDEX=0"}</definedName>
    <definedName name="_9087__FDSAUDITLINK__" hidden="1">{"fdsup://directions/FAT Viewer?action=UPDATE&amp;creator=factset&amp;DYN_ARGS=TRUE&amp;DOC_NAME=FAT:FQL_AUDITING_CLIENT_TEMPLATE.FAT&amp;display_string=Audit&amp;VAR:KEY=PODSHWTWVY&amp;VAR:QUERY=RkZfRUJJVERBX0lCKCdMVE1TJywzODQ1NCk=&amp;WINDOW=FIRST_POPUP&amp;HEIGHT=450&amp;WIDTH=450&amp;START_MA","XIMIZED=FALSE&amp;VAR:CALENDAR=US&amp;VAR:SYMBOL=G0129K10&amp;VAR:INDEX=0"}</definedName>
    <definedName name="_9088__FDSAUDITLINK__" localSheetId="6" hidden="1">{"fdsup://directions/FAT Viewer?action=UPDATE&amp;creator=factset&amp;DYN_ARGS=TRUE&amp;DOC_NAME=FAT:FQL_AUDITING_CLIENT_TEMPLATE.FAT&amp;display_string=Audit&amp;VAR:KEY=RQTYFQDYFW&amp;VAR:QUERY=RkZfRUJJVERBX0lCKCdMVE1TJywzODQ1Myk=&amp;WINDOW=FIRST_POPUP&amp;HEIGHT=450&amp;WIDTH=450&amp;START_MA","XIMIZED=FALSE&amp;VAR:CALENDAR=US&amp;VAR:SYMBOL=G0129K10&amp;VAR:INDEX=0"}</definedName>
    <definedName name="_9088__FDSAUDITLINK__" hidden="1">{"fdsup://directions/FAT Viewer?action=UPDATE&amp;creator=factset&amp;DYN_ARGS=TRUE&amp;DOC_NAME=FAT:FQL_AUDITING_CLIENT_TEMPLATE.FAT&amp;display_string=Audit&amp;VAR:KEY=RQTYFQDYFW&amp;VAR:QUERY=RkZfRUJJVERBX0lCKCdMVE1TJywzODQ1Myk=&amp;WINDOW=FIRST_POPUP&amp;HEIGHT=450&amp;WIDTH=450&amp;START_MA","XIMIZED=FALSE&amp;VAR:CALENDAR=US&amp;VAR:SYMBOL=G0129K10&amp;VAR:INDEX=0"}</definedName>
    <definedName name="_9089__FDSAUDITLINK__" localSheetId="6" hidden="1">{"fdsup://directions/FAT Viewer?action=UPDATE&amp;creator=factset&amp;DYN_ARGS=TRUE&amp;DOC_NAME=FAT:FQL_AUDITING_CLIENT_TEMPLATE.FAT&amp;display_string=Audit&amp;VAR:KEY=ZCFQBSFUTI&amp;VAR:QUERY=RkZfRUJJVERBX0lCKCdMVE1TJywzODQ1Mik=&amp;WINDOW=FIRST_POPUP&amp;HEIGHT=450&amp;WIDTH=450&amp;START_MA","XIMIZED=FALSE&amp;VAR:CALENDAR=US&amp;VAR:SYMBOL=G0129K10&amp;VAR:INDEX=0"}</definedName>
    <definedName name="_9089__FDSAUDITLINK__" hidden="1">{"fdsup://directions/FAT Viewer?action=UPDATE&amp;creator=factset&amp;DYN_ARGS=TRUE&amp;DOC_NAME=FAT:FQL_AUDITING_CLIENT_TEMPLATE.FAT&amp;display_string=Audit&amp;VAR:KEY=ZCFQBSFUTI&amp;VAR:QUERY=RkZfRUJJVERBX0lCKCdMVE1TJywzODQ1Mik=&amp;WINDOW=FIRST_POPUP&amp;HEIGHT=450&amp;WIDTH=450&amp;START_MA","XIMIZED=FALSE&amp;VAR:CALENDAR=US&amp;VAR:SYMBOL=G0129K10&amp;VAR:INDEX=0"}</definedName>
    <definedName name="_909__FDSAUDITLINK__" localSheetId="6" hidden="1">{"fdsup://directions/FAT%20Viewer?VAR:PED=LTM&amp;VAR:AUDIT_MODE=SUMMARY&amp;VAR:PERIOD=FIXED&amp;VAR:AUDIT_ID=00000117&amp;VAR:DATE=20070827&amp;action=UPDATE&amp;creator=factset&amp;DOC_NAME=FAT:FMA_audit_SUMMARY.fat&amp;DISPLAY_STRING=Display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9__FDSAUDITLINK__" hidden="1">{"fdsup://directions/FAT%20Viewer?VAR:PED=LTM&amp;VAR:AUDIT_MODE=SUMMARY&amp;VAR:PERIOD=FIXED&amp;VAR:AUDIT_ID=00000117&amp;VAR:DATE=20070827&amp;action=UPDATE&amp;creator=factset&amp;DOC_NAME=FAT:FMA_audit_SUMMARY.fat&amp;DISPLAY_STRING=Display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090__FDSAUDITLINK__" localSheetId="6" hidden="1">{"fdsup://directions/FAT Viewer?action=UPDATE&amp;creator=factset&amp;DYN_ARGS=TRUE&amp;DOC_NAME=FAT:FQL_AUDITING_CLIENT_TEMPLATE.FAT&amp;display_string=Audit&amp;VAR:KEY=ZYNMHGVUXO&amp;VAR:QUERY=RkZfRUJJVERBX0lCKCdMVE1TJywzODQ1MSk=&amp;WINDOW=FIRST_POPUP&amp;HEIGHT=450&amp;WIDTH=450&amp;START_MA","XIMIZED=FALSE&amp;VAR:CALENDAR=US&amp;VAR:SYMBOL=G0129K10&amp;VAR:INDEX=0"}</definedName>
    <definedName name="_9090__FDSAUDITLINK__" hidden="1">{"fdsup://directions/FAT Viewer?action=UPDATE&amp;creator=factset&amp;DYN_ARGS=TRUE&amp;DOC_NAME=FAT:FQL_AUDITING_CLIENT_TEMPLATE.FAT&amp;display_string=Audit&amp;VAR:KEY=ZYNMHGVUXO&amp;VAR:QUERY=RkZfRUJJVERBX0lCKCdMVE1TJywzODQ1MSk=&amp;WINDOW=FIRST_POPUP&amp;HEIGHT=450&amp;WIDTH=450&amp;START_MA","XIMIZED=FALSE&amp;VAR:CALENDAR=US&amp;VAR:SYMBOL=G0129K10&amp;VAR:INDEX=0"}</definedName>
    <definedName name="_9091__FDSAUDITLINK__" localSheetId="6" hidden="1">{"fdsup://directions/FAT Viewer?action=UPDATE&amp;creator=factset&amp;DYN_ARGS=TRUE&amp;DOC_NAME=FAT:FQL_AUDITING_CLIENT_TEMPLATE.FAT&amp;display_string=Audit&amp;VAR:KEY=VOXWDOFMPG&amp;VAR:QUERY=RkZfRUJJVERBX0lCKCdMVE1TJywzODQ1MCk=&amp;WINDOW=FIRST_POPUP&amp;HEIGHT=450&amp;WIDTH=450&amp;START_MA","XIMIZED=FALSE&amp;VAR:CALENDAR=US&amp;VAR:SYMBOL=G0129K10&amp;VAR:INDEX=0"}</definedName>
    <definedName name="_9091__FDSAUDITLINK__" hidden="1">{"fdsup://directions/FAT Viewer?action=UPDATE&amp;creator=factset&amp;DYN_ARGS=TRUE&amp;DOC_NAME=FAT:FQL_AUDITING_CLIENT_TEMPLATE.FAT&amp;display_string=Audit&amp;VAR:KEY=VOXWDOFMPG&amp;VAR:QUERY=RkZfRUJJVERBX0lCKCdMVE1TJywzODQ1MCk=&amp;WINDOW=FIRST_POPUP&amp;HEIGHT=450&amp;WIDTH=450&amp;START_MA","XIMIZED=FALSE&amp;VAR:CALENDAR=US&amp;VAR:SYMBOL=G0129K10&amp;VAR:INDEX=0"}</definedName>
    <definedName name="_9092__FDSAUDITLINK__" localSheetId="6" hidden="1">{"fdsup://directions/FAT Viewer?action=UPDATE&amp;creator=factset&amp;DYN_ARGS=TRUE&amp;DOC_NAME=FAT:FQL_AUDITING_CLIENT_TEMPLATE.FAT&amp;display_string=Audit&amp;VAR:KEY=TIJGPUZQHE&amp;VAR:QUERY=RkZfRUJJVERBX0lCKCdMVE1TJywzODQ0OSk=&amp;WINDOW=FIRST_POPUP&amp;HEIGHT=450&amp;WIDTH=450&amp;START_MA","XIMIZED=FALSE&amp;VAR:CALENDAR=US&amp;VAR:SYMBOL=G0129K10&amp;VAR:INDEX=0"}</definedName>
    <definedName name="_9092__FDSAUDITLINK__" hidden="1">{"fdsup://directions/FAT Viewer?action=UPDATE&amp;creator=factset&amp;DYN_ARGS=TRUE&amp;DOC_NAME=FAT:FQL_AUDITING_CLIENT_TEMPLATE.FAT&amp;display_string=Audit&amp;VAR:KEY=TIJGPUZQHE&amp;VAR:QUERY=RkZfRUJJVERBX0lCKCdMVE1TJywzODQ0OSk=&amp;WINDOW=FIRST_POPUP&amp;HEIGHT=450&amp;WIDTH=450&amp;START_MA","XIMIZED=FALSE&amp;VAR:CALENDAR=US&amp;VAR:SYMBOL=G0129K10&amp;VAR:INDEX=0"}</definedName>
    <definedName name="_9093__FDSAUDITLINK__" localSheetId="6" hidden="1">{"fdsup://directions/FAT Viewer?action=UPDATE&amp;creator=factset&amp;DYN_ARGS=TRUE&amp;DOC_NAME=FAT:FQL_AUDITING_CLIENT_TEMPLATE.FAT&amp;display_string=Audit&amp;VAR:KEY=TEHADWRILW&amp;VAR:QUERY=RkZfRUJJVERBX0lCKCdMVE1TJywzODQ0OCk=&amp;WINDOW=FIRST_POPUP&amp;HEIGHT=450&amp;WIDTH=450&amp;START_MA","XIMIZED=FALSE&amp;VAR:CALENDAR=US&amp;VAR:SYMBOL=G0129K10&amp;VAR:INDEX=0"}</definedName>
    <definedName name="_9093__FDSAUDITLINK__" hidden="1">{"fdsup://directions/FAT Viewer?action=UPDATE&amp;creator=factset&amp;DYN_ARGS=TRUE&amp;DOC_NAME=FAT:FQL_AUDITING_CLIENT_TEMPLATE.FAT&amp;display_string=Audit&amp;VAR:KEY=TEHADWRILW&amp;VAR:QUERY=RkZfRUJJVERBX0lCKCdMVE1TJywzODQ0OCk=&amp;WINDOW=FIRST_POPUP&amp;HEIGHT=450&amp;WIDTH=450&amp;START_MA","XIMIZED=FALSE&amp;VAR:CALENDAR=US&amp;VAR:SYMBOL=G0129K10&amp;VAR:INDEX=0"}</definedName>
    <definedName name="_9094__FDSAUDITLINK__" localSheetId="6" hidden="1">{"fdsup://directions/FAT Viewer?action=UPDATE&amp;creator=factset&amp;DYN_ARGS=TRUE&amp;DOC_NAME=FAT:FQL_AUDITING_CLIENT_TEMPLATE.FAT&amp;display_string=Audit&amp;VAR:KEY=XENANCFIDU&amp;VAR:QUERY=RkZfRUJJVERBX0lCKCdMVE1TJywzODQ0Nyk=&amp;WINDOW=FIRST_POPUP&amp;HEIGHT=450&amp;WIDTH=450&amp;START_MA","XIMIZED=FALSE&amp;VAR:CALENDAR=US&amp;VAR:SYMBOL=G0129K10&amp;VAR:INDEX=0"}</definedName>
    <definedName name="_9094__FDSAUDITLINK__" hidden="1">{"fdsup://directions/FAT Viewer?action=UPDATE&amp;creator=factset&amp;DYN_ARGS=TRUE&amp;DOC_NAME=FAT:FQL_AUDITING_CLIENT_TEMPLATE.FAT&amp;display_string=Audit&amp;VAR:KEY=XENANCFIDU&amp;VAR:QUERY=RkZfRUJJVERBX0lCKCdMVE1TJywzODQ0Nyk=&amp;WINDOW=FIRST_POPUP&amp;HEIGHT=450&amp;WIDTH=450&amp;START_MA","XIMIZED=FALSE&amp;VAR:CALENDAR=US&amp;VAR:SYMBOL=G0129K10&amp;VAR:INDEX=0"}</definedName>
    <definedName name="_9095__FDSAUDITLINK__" localSheetId="6" hidden="1">{"fdsup://directions/FAT Viewer?action=UPDATE&amp;creator=factset&amp;DYN_ARGS=TRUE&amp;DOC_NAME=FAT:FQL_AUDITING_CLIENT_TEMPLATE.FAT&amp;display_string=Audit&amp;VAR:KEY=VMLOJOZQVI&amp;VAR:QUERY=RkZfRUJJVERBX0lCKCdMVE1TJywzODQ0Nik=&amp;WINDOW=FIRST_POPUP&amp;HEIGHT=450&amp;WIDTH=450&amp;START_MA","XIMIZED=FALSE&amp;VAR:CALENDAR=US&amp;VAR:SYMBOL=G0129K10&amp;VAR:INDEX=0"}</definedName>
    <definedName name="_9095__FDSAUDITLINK__" hidden="1">{"fdsup://directions/FAT Viewer?action=UPDATE&amp;creator=factset&amp;DYN_ARGS=TRUE&amp;DOC_NAME=FAT:FQL_AUDITING_CLIENT_TEMPLATE.FAT&amp;display_string=Audit&amp;VAR:KEY=VMLOJOZQVI&amp;VAR:QUERY=RkZfRUJJVERBX0lCKCdMVE1TJywzODQ0Nik=&amp;WINDOW=FIRST_POPUP&amp;HEIGHT=450&amp;WIDTH=450&amp;START_MA","XIMIZED=FALSE&amp;VAR:CALENDAR=US&amp;VAR:SYMBOL=G0129K10&amp;VAR:INDEX=0"}</definedName>
    <definedName name="_9096__FDSAUDITLINK__" localSheetId="6" hidden="1">{"fdsup://directions/FAT Viewer?action=UPDATE&amp;creator=factset&amp;DYN_ARGS=TRUE&amp;DOC_NAME=FAT:FQL_AUDITING_CLIENT_TEMPLATE.FAT&amp;display_string=Audit&amp;VAR:KEY=BSRIXEBKDM&amp;VAR:QUERY=RkZfRUJJVERBX0lCKCdMVE1TJywzODQ0NSk=&amp;WINDOW=FIRST_POPUP&amp;HEIGHT=450&amp;WIDTH=450&amp;START_MA","XIMIZED=FALSE&amp;VAR:CALENDAR=US&amp;VAR:SYMBOL=G0129K10&amp;VAR:INDEX=0"}</definedName>
    <definedName name="_9096__FDSAUDITLINK__" hidden="1">{"fdsup://directions/FAT Viewer?action=UPDATE&amp;creator=factset&amp;DYN_ARGS=TRUE&amp;DOC_NAME=FAT:FQL_AUDITING_CLIENT_TEMPLATE.FAT&amp;display_string=Audit&amp;VAR:KEY=BSRIXEBKDM&amp;VAR:QUERY=RkZfRUJJVERBX0lCKCdMVE1TJywzODQ0NSk=&amp;WINDOW=FIRST_POPUP&amp;HEIGHT=450&amp;WIDTH=450&amp;START_MA","XIMIZED=FALSE&amp;VAR:CALENDAR=US&amp;VAR:SYMBOL=G0129K10&amp;VAR:INDEX=0"}</definedName>
    <definedName name="_9097__FDSAUDITLINK__" localSheetId="6" hidden="1">{"fdsup://directions/FAT Viewer?action=UPDATE&amp;creator=factset&amp;DYN_ARGS=TRUE&amp;DOC_NAME=FAT:FQL_AUDITING_CLIENT_TEMPLATE.FAT&amp;display_string=Audit&amp;VAR:KEY=JAPGHCLIFQ&amp;VAR:QUERY=RkZfRUJJVERBX0lCKCdMVE1TJywzODQ0NCk=&amp;WINDOW=FIRST_POPUP&amp;HEIGHT=450&amp;WIDTH=450&amp;START_MA","XIMIZED=FALSE&amp;VAR:CALENDAR=US&amp;VAR:SYMBOL=G0129K10&amp;VAR:INDEX=0"}</definedName>
    <definedName name="_9097__FDSAUDITLINK__" hidden="1">{"fdsup://directions/FAT Viewer?action=UPDATE&amp;creator=factset&amp;DYN_ARGS=TRUE&amp;DOC_NAME=FAT:FQL_AUDITING_CLIENT_TEMPLATE.FAT&amp;display_string=Audit&amp;VAR:KEY=JAPGHCLIFQ&amp;VAR:QUERY=RkZfRUJJVERBX0lCKCdMVE1TJywzODQ0NCk=&amp;WINDOW=FIRST_POPUP&amp;HEIGHT=450&amp;WIDTH=450&amp;START_MA","XIMIZED=FALSE&amp;VAR:CALENDAR=US&amp;VAR:SYMBOL=G0129K10&amp;VAR:INDEX=0"}</definedName>
    <definedName name="_9098__FDSAUDITLINK__" localSheetId="6" hidden="1">{"fdsup://directions/FAT Viewer?action=UPDATE&amp;creator=factset&amp;DYN_ARGS=TRUE&amp;DOC_NAME=FAT:FQL_AUDITING_CLIENT_TEMPLATE.FAT&amp;display_string=Audit&amp;VAR:KEY=LKRONKTSJK&amp;VAR:QUERY=RkZfRUJJVERBX0lCKCdMVE1TJywzODQ0Myk=&amp;WINDOW=FIRST_POPUP&amp;HEIGHT=450&amp;WIDTH=450&amp;START_MA","XIMIZED=FALSE&amp;VAR:CALENDAR=US&amp;VAR:SYMBOL=G0129K10&amp;VAR:INDEX=0"}</definedName>
    <definedName name="_9098__FDSAUDITLINK__" hidden="1">{"fdsup://directions/FAT Viewer?action=UPDATE&amp;creator=factset&amp;DYN_ARGS=TRUE&amp;DOC_NAME=FAT:FQL_AUDITING_CLIENT_TEMPLATE.FAT&amp;display_string=Audit&amp;VAR:KEY=LKRONKTSJK&amp;VAR:QUERY=RkZfRUJJVERBX0lCKCdMVE1TJywzODQ0Myk=&amp;WINDOW=FIRST_POPUP&amp;HEIGHT=450&amp;WIDTH=450&amp;START_MA","XIMIZED=FALSE&amp;VAR:CALENDAR=US&amp;VAR:SYMBOL=G0129K10&amp;VAR:INDEX=0"}</definedName>
    <definedName name="_9099__FDSAUDITLINK__" localSheetId="6" hidden="1">{"fdsup://directions/FAT Viewer?action=UPDATE&amp;creator=factset&amp;DYN_ARGS=TRUE&amp;DOC_NAME=FAT:FQL_AUDITING_CLIENT_TEMPLATE.FAT&amp;display_string=Audit&amp;VAR:KEY=PMJEXYHOLC&amp;VAR:QUERY=RkZfRUJJVERBX0lCKCdMVE1TJywzODQ0Mik=&amp;WINDOW=FIRST_POPUP&amp;HEIGHT=450&amp;WIDTH=450&amp;START_MA","XIMIZED=FALSE&amp;VAR:CALENDAR=US&amp;VAR:SYMBOL=G0129K10&amp;VAR:INDEX=0"}</definedName>
    <definedName name="_9099__FDSAUDITLINK__" hidden="1">{"fdsup://directions/FAT Viewer?action=UPDATE&amp;creator=factset&amp;DYN_ARGS=TRUE&amp;DOC_NAME=FAT:FQL_AUDITING_CLIENT_TEMPLATE.FAT&amp;display_string=Audit&amp;VAR:KEY=PMJEXYHOLC&amp;VAR:QUERY=RkZfRUJJVERBX0lCKCdMVE1TJywzODQ0Mik=&amp;WINDOW=FIRST_POPUP&amp;HEIGHT=450&amp;WIDTH=450&amp;START_MA","XIMIZED=FALSE&amp;VAR:CALENDAR=US&amp;VAR:SYMBOL=G0129K10&amp;VAR:INDEX=0"}</definedName>
    <definedName name="_910__FDSAUDITLINK__" localSheetId="6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0__FDSAUDITLINK__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00__FDSAUDITLINK__" localSheetId="6" hidden="1">{"fdsup://directions/FAT Viewer?action=UPDATE&amp;creator=factset&amp;DYN_ARGS=TRUE&amp;DOC_NAME=FAT:FQL_AUDITING_CLIENT_TEMPLATE.FAT&amp;display_string=Audit&amp;VAR:KEY=RCRITYVANK&amp;VAR:QUERY=RkZfRUJJVERBX0lCKCdMVE1TJywzODQ0MSk=&amp;WINDOW=FIRST_POPUP&amp;HEIGHT=450&amp;WIDTH=450&amp;START_MA","XIMIZED=FALSE&amp;VAR:CALENDAR=US&amp;VAR:SYMBOL=G0129K10&amp;VAR:INDEX=0"}</definedName>
    <definedName name="_9100__FDSAUDITLINK__" hidden="1">{"fdsup://directions/FAT Viewer?action=UPDATE&amp;creator=factset&amp;DYN_ARGS=TRUE&amp;DOC_NAME=FAT:FQL_AUDITING_CLIENT_TEMPLATE.FAT&amp;display_string=Audit&amp;VAR:KEY=RCRITYVANK&amp;VAR:QUERY=RkZfRUJJVERBX0lCKCdMVE1TJywzODQ0MSk=&amp;WINDOW=FIRST_POPUP&amp;HEIGHT=450&amp;WIDTH=450&amp;START_MA","XIMIZED=FALSE&amp;VAR:CALENDAR=US&amp;VAR:SYMBOL=G0129K10&amp;VAR:INDEX=0"}</definedName>
    <definedName name="_9101__FDSAUDITLINK__" localSheetId="6" hidden="1">{"fdsup://directions/FAT Viewer?action=UPDATE&amp;creator=factset&amp;DYN_ARGS=TRUE&amp;DOC_NAME=FAT:FQL_AUDITING_CLIENT_TEMPLATE.FAT&amp;display_string=Audit&amp;VAR:KEY=VQNEZUXAJY&amp;VAR:QUERY=RkZfRUJJVERBX0lCKCdMVE1TJywzODQ0MCk=&amp;WINDOW=FIRST_POPUP&amp;HEIGHT=450&amp;WIDTH=450&amp;START_MA","XIMIZED=FALSE&amp;VAR:CALENDAR=US&amp;VAR:SYMBOL=G0129K10&amp;VAR:INDEX=0"}</definedName>
    <definedName name="_9101__FDSAUDITLINK__" hidden="1">{"fdsup://directions/FAT Viewer?action=UPDATE&amp;creator=factset&amp;DYN_ARGS=TRUE&amp;DOC_NAME=FAT:FQL_AUDITING_CLIENT_TEMPLATE.FAT&amp;display_string=Audit&amp;VAR:KEY=VQNEZUXAJY&amp;VAR:QUERY=RkZfRUJJVERBX0lCKCdMVE1TJywzODQ0MCk=&amp;WINDOW=FIRST_POPUP&amp;HEIGHT=450&amp;WIDTH=450&amp;START_MA","XIMIZED=FALSE&amp;VAR:CALENDAR=US&amp;VAR:SYMBOL=G0129K10&amp;VAR:INDEX=0"}</definedName>
    <definedName name="_9102__FDSAUDITLINK__" localSheetId="6" hidden="1">{"fdsup://directions/FAT Viewer?action=UPDATE&amp;creator=factset&amp;DYN_ARGS=TRUE&amp;DOC_NAME=FAT:FQL_AUDITING_CLIENT_TEMPLATE.FAT&amp;display_string=Audit&amp;VAR:KEY=TIFCLCLORC&amp;VAR:QUERY=RkZfRUJJVERBX0lCKCdMVE1TJywzODQzOSk=&amp;WINDOW=FIRST_POPUP&amp;HEIGHT=450&amp;WIDTH=450&amp;START_MA","XIMIZED=FALSE&amp;VAR:CALENDAR=US&amp;VAR:SYMBOL=G0129K10&amp;VAR:INDEX=0"}</definedName>
    <definedName name="_9102__FDSAUDITLINK__" hidden="1">{"fdsup://directions/FAT Viewer?action=UPDATE&amp;creator=factset&amp;DYN_ARGS=TRUE&amp;DOC_NAME=FAT:FQL_AUDITING_CLIENT_TEMPLATE.FAT&amp;display_string=Audit&amp;VAR:KEY=TIFCLCLORC&amp;VAR:QUERY=RkZfRUJJVERBX0lCKCdMVE1TJywzODQzOSk=&amp;WINDOW=FIRST_POPUP&amp;HEIGHT=450&amp;WIDTH=450&amp;START_MA","XIMIZED=FALSE&amp;VAR:CALENDAR=US&amp;VAR:SYMBOL=G0129K10&amp;VAR:INDEX=0"}</definedName>
    <definedName name="_9103__FDSAUDITLINK__" localSheetId="6" hidden="1">{"fdsup://directions/FAT Viewer?action=UPDATE&amp;creator=factset&amp;DYN_ARGS=TRUE&amp;DOC_NAME=FAT:FQL_AUDITING_CLIENT_TEMPLATE.FAT&amp;display_string=Audit&amp;VAR:KEY=XARYBKFOHO&amp;VAR:QUERY=RkZfRUJJVERBX0lCKCdMVE1TJywzODQzOCk=&amp;WINDOW=FIRST_POPUP&amp;HEIGHT=450&amp;WIDTH=450&amp;START_MA","XIMIZED=FALSE&amp;VAR:CALENDAR=US&amp;VAR:SYMBOL=G0129K10&amp;VAR:INDEX=0"}</definedName>
    <definedName name="_9103__FDSAUDITLINK__" hidden="1">{"fdsup://directions/FAT Viewer?action=UPDATE&amp;creator=factset&amp;DYN_ARGS=TRUE&amp;DOC_NAME=FAT:FQL_AUDITING_CLIENT_TEMPLATE.FAT&amp;display_string=Audit&amp;VAR:KEY=XARYBKFOHO&amp;VAR:QUERY=RkZfRUJJVERBX0lCKCdMVE1TJywzODQzOCk=&amp;WINDOW=FIRST_POPUP&amp;HEIGHT=450&amp;WIDTH=450&amp;START_MA","XIMIZED=FALSE&amp;VAR:CALENDAR=US&amp;VAR:SYMBOL=G0129K10&amp;VAR:INDEX=0"}</definedName>
    <definedName name="_9104__FDSAUDITLINK__" localSheetId="6" hidden="1">{"fdsup://directions/FAT Viewer?action=UPDATE&amp;creator=factset&amp;DYN_ARGS=TRUE&amp;DOC_NAME=FAT:FQL_AUDITING_CLIENT_TEMPLATE.FAT&amp;display_string=Audit&amp;VAR:KEY=TSXGTOPOHG&amp;VAR:QUERY=RkZfRUJJVERBX0lCKCdMVE1TJywzODQzNyk=&amp;WINDOW=FIRST_POPUP&amp;HEIGHT=450&amp;WIDTH=450&amp;START_MA","XIMIZED=FALSE&amp;VAR:CALENDAR=US&amp;VAR:SYMBOL=G0129K10&amp;VAR:INDEX=0"}</definedName>
    <definedName name="_9104__FDSAUDITLINK__" hidden="1">{"fdsup://directions/FAT Viewer?action=UPDATE&amp;creator=factset&amp;DYN_ARGS=TRUE&amp;DOC_NAME=FAT:FQL_AUDITING_CLIENT_TEMPLATE.FAT&amp;display_string=Audit&amp;VAR:KEY=TSXGTOPOHG&amp;VAR:QUERY=RkZfRUJJVERBX0lCKCdMVE1TJywzODQzNyk=&amp;WINDOW=FIRST_POPUP&amp;HEIGHT=450&amp;WIDTH=450&amp;START_MA","XIMIZED=FALSE&amp;VAR:CALENDAR=US&amp;VAR:SYMBOL=G0129K10&amp;VAR:INDEX=0"}</definedName>
    <definedName name="_9105__FDSAUDITLINK__" localSheetId="6" hidden="1">{"fdsup://directions/FAT Viewer?action=UPDATE&amp;creator=factset&amp;DYN_ARGS=TRUE&amp;DOC_NAME=FAT:FQL_AUDITING_CLIENT_TEMPLATE.FAT&amp;display_string=Audit&amp;VAR:KEY=JKHOXENIHA&amp;VAR:QUERY=RkZfRUJJVERBX0lCKCdMVE1TJywzODQzNik=&amp;WINDOW=FIRST_POPUP&amp;HEIGHT=450&amp;WIDTH=450&amp;START_MA","XIMIZED=FALSE&amp;VAR:CALENDAR=US&amp;VAR:SYMBOL=G0129K10&amp;VAR:INDEX=0"}</definedName>
    <definedName name="_9105__FDSAUDITLINK__" hidden="1">{"fdsup://directions/FAT Viewer?action=UPDATE&amp;creator=factset&amp;DYN_ARGS=TRUE&amp;DOC_NAME=FAT:FQL_AUDITING_CLIENT_TEMPLATE.FAT&amp;display_string=Audit&amp;VAR:KEY=JKHOXENIHA&amp;VAR:QUERY=RkZfRUJJVERBX0lCKCdMVE1TJywzODQzNik=&amp;WINDOW=FIRST_POPUP&amp;HEIGHT=450&amp;WIDTH=450&amp;START_MA","XIMIZED=FALSE&amp;VAR:CALENDAR=US&amp;VAR:SYMBOL=G0129K10&amp;VAR:INDEX=0"}</definedName>
    <definedName name="_9106__FDSAUDITLINK__" localSheetId="6" hidden="1">{"fdsup://directions/FAT Viewer?action=UPDATE&amp;creator=factset&amp;DYN_ARGS=TRUE&amp;DOC_NAME=FAT:FQL_AUDITING_CLIENT_TEMPLATE.FAT&amp;display_string=Audit&amp;VAR:KEY=BMVWPIPGVA&amp;VAR:QUERY=RkZfRUJJVERBX0lCKCdMVE1TJywzODQzNSk=&amp;WINDOW=FIRST_POPUP&amp;HEIGHT=450&amp;WIDTH=450&amp;START_MA","XIMIZED=FALSE&amp;VAR:CALENDAR=US&amp;VAR:SYMBOL=G0129K10&amp;VAR:INDEX=0"}</definedName>
    <definedName name="_9106__FDSAUDITLINK__" hidden="1">{"fdsup://directions/FAT Viewer?action=UPDATE&amp;creator=factset&amp;DYN_ARGS=TRUE&amp;DOC_NAME=FAT:FQL_AUDITING_CLIENT_TEMPLATE.FAT&amp;display_string=Audit&amp;VAR:KEY=BMVWPIPGVA&amp;VAR:QUERY=RkZfRUJJVERBX0lCKCdMVE1TJywzODQzNSk=&amp;WINDOW=FIRST_POPUP&amp;HEIGHT=450&amp;WIDTH=450&amp;START_MA","XIMIZED=FALSE&amp;VAR:CALENDAR=US&amp;VAR:SYMBOL=G0129K10&amp;VAR:INDEX=0"}</definedName>
    <definedName name="_9107__FDSAUDITLINK__" localSheetId="6" hidden="1">{"fdsup://directions/FAT Viewer?action=UPDATE&amp;creator=factset&amp;DYN_ARGS=TRUE&amp;DOC_NAME=FAT:FQL_AUDITING_CLIENT_TEMPLATE.FAT&amp;display_string=Audit&amp;VAR:KEY=VIPOXSLODA&amp;VAR:QUERY=RkZfRUJJVERBX0lCKCdMVE1TJywzODQzNCk=&amp;WINDOW=FIRST_POPUP&amp;HEIGHT=450&amp;WIDTH=450&amp;START_MA","XIMIZED=FALSE&amp;VAR:CALENDAR=US&amp;VAR:SYMBOL=G0129K10&amp;VAR:INDEX=0"}</definedName>
    <definedName name="_9107__FDSAUDITLINK__" hidden="1">{"fdsup://directions/FAT Viewer?action=UPDATE&amp;creator=factset&amp;DYN_ARGS=TRUE&amp;DOC_NAME=FAT:FQL_AUDITING_CLIENT_TEMPLATE.FAT&amp;display_string=Audit&amp;VAR:KEY=VIPOXSLODA&amp;VAR:QUERY=RkZfRUJJVERBX0lCKCdMVE1TJywzODQzNCk=&amp;WINDOW=FIRST_POPUP&amp;HEIGHT=450&amp;WIDTH=450&amp;START_MA","XIMIZED=FALSE&amp;VAR:CALENDAR=US&amp;VAR:SYMBOL=G0129K10&amp;VAR:INDEX=0"}</definedName>
    <definedName name="_9108__FDSAUDITLINK__" localSheetId="6" hidden="1">{"fdsup://directions/FAT Viewer?action=UPDATE&amp;creator=factset&amp;DYN_ARGS=TRUE&amp;DOC_NAME=FAT:FQL_AUDITING_CLIENT_TEMPLATE.FAT&amp;display_string=Audit&amp;VAR:KEY=VGVUREFQBC&amp;VAR:QUERY=RkZfRUJJVERBX0lCKCdMVE1TJywzODQzMyk=&amp;WINDOW=FIRST_POPUP&amp;HEIGHT=450&amp;WIDTH=450&amp;START_MA","XIMIZED=FALSE&amp;VAR:CALENDAR=US&amp;VAR:SYMBOL=G0129K10&amp;VAR:INDEX=0"}</definedName>
    <definedName name="_9108__FDSAUDITLINK__" hidden="1">{"fdsup://directions/FAT Viewer?action=UPDATE&amp;creator=factset&amp;DYN_ARGS=TRUE&amp;DOC_NAME=FAT:FQL_AUDITING_CLIENT_TEMPLATE.FAT&amp;display_string=Audit&amp;VAR:KEY=VGVUREFQBC&amp;VAR:QUERY=RkZfRUJJVERBX0lCKCdMVE1TJywzODQzMyk=&amp;WINDOW=FIRST_POPUP&amp;HEIGHT=450&amp;WIDTH=450&amp;START_MA","XIMIZED=FALSE&amp;VAR:CALENDAR=US&amp;VAR:SYMBOL=G0129K10&amp;VAR:INDEX=0"}</definedName>
    <definedName name="_9109__FDSAUDITLINK__" localSheetId="6" hidden="1">{"fdsup://directions/FAT Viewer?action=UPDATE&amp;creator=factset&amp;DYN_ARGS=TRUE&amp;DOC_NAME=FAT:FQL_AUDITING_CLIENT_TEMPLATE.FAT&amp;display_string=Audit&amp;VAR:KEY=LSTITCLSJW&amp;VAR:QUERY=RkZfRUJJVERBX0lCKCdMVE1TJywzODQzMik=&amp;WINDOW=FIRST_POPUP&amp;HEIGHT=450&amp;WIDTH=450&amp;START_MA","XIMIZED=FALSE&amp;VAR:CALENDAR=US&amp;VAR:SYMBOL=G0129K10&amp;VAR:INDEX=0"}</definedName>
    <definedName name="_9109__FDSAUDITLINK__" hidden="1">{"fdsup://directions/FAT Viewer?action=UPDATE&amp;creator=factset&amp;DYN_ARGS=TRUE&amp;DOC_NAME=FAT:FQL_AUDITING_CLIENT_TEMPLATE.FAT&amp;display_string=Audit&amp;VAR:KEY=LSTITCLSJW&amp;VAR:QUERY=RkZfRUJJVERBX0lCKCdMVE1TJywzODQzMik=&amp;WINDOW=FIRST_POPUP&amp;HEIGHT=450&amp;WIDTH=450&amp;START_MA","XIMIZED=FALSE&amp;VAR:CALENDAR=US&amp;VAR:SYMBOL=G0129K10&amp;VAR:INDEX=0"}</definedName>
    <definedName name="_911__FDSAUDITLINK__" localSheetId="6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1__FDSAUDITLINK__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10__FDSAUDITLINK__" localSheetId="6" hidden="1">{"fdsup://directions/FAT Viewer?action=UPDATE&amp;creator=factset&amp;DYN_ARGS=TRUE&amp;DOC_NAME=FAT:FQL_AUDITING_CLIENT_TEMPLATE.FAT&amp;display_string=Audit&amp;VAR:KEY=LGRURIPGHS&amp;VAR:QUERY=RkZfRUJJVERBX0lCKCdMVE1TJywzODQzMSk=&amp;WINDOW=FIRST_POPUP&amp;HEIGHT=450&amp;WIDTH=450&amp;START_MA","XIMIZED=FALSE&amp;VAR:CALENDAR=US&amp;VAR:SYMBOL=G0129K10&amp;VAR:INDEX=0"}</definedName>
    <definedName name="_9110__FDSAUDITLINK__" hidden="1">{"fdsup://directions/FAT Viewer?action=UPDATE&amp;creator=factset&amp;DYN_ARGS=TRUE&amp;DOC_NAME=FAT:FQL_AUDITING_CLIENT_TEMPLATE.FAT&amp;display_string=Audit&amp;VAR:KEY=LGRURIPGHS&amp;VAR:QUERY=RkZfRUJJVERBX0lCKCdMVE1TJywzODQzMSk=&amp;WINDOW=FIRST_POPUP&amp;HEIGHT=450&amp;WIDTH=450&amp;START_MA","XIMIZED=FALSE&amp;VAR:CALENDAR=US&amp;VAR:SYMBOL=G0129K10&amp;VAR:INDEX=0"}</definedName>
    <definedName name="_9111__FDSAUDITLINK__" localSheetId="6" hidden="1">{"fdsup://directions/FAT Viewer?action=UPDATE&amp;creator=factset&amp;DYN_ARGS=TRUE&amp;DOC_NAME=FAT:FQL_AUDITING_CLIENT_TEMPLATE.FAT&amp;display_string=Audit&amp;VAR:KEY=XKXKJKDCNY&amp;VAR:QUERY=RkZfRUJJVERBX0lCKCdMVE1TJywzODQzMCk=&amp;WINDOW=FIRST_POPUP&amp;HEIGHT=450&amp;WIDTH=450&amp;START_MA","XIMIZED=FALSE&amp;VAR:CALENDAR=US&amp;VAR:SYMBOL=G0129K10&amp;VAR:INDEX=0"}</definedName>
    <definedName name="_9111__FDSAUDITLINK__" hidden="1">{"fdsup://directions/FAT Viewer?action=UPDATE&amp;creator=factset&amp;DYN_ARGS=TRUE&amp;DOC_NAME=FAT:FQL_AUDITING_CLIENT_TEMPLATE.FAT&amp;display_string=Audit&amp;VAR:KEY=XKXKJKDCNY&amp;VAR:QUERY=RkZfRUJJVERBX0lCKCdMVE1TJywzODQzMCk=&amp;WINDOW=FIRST_POPUP&amp;HEIGHT=450&amp;WIDTH=450&amp;START_MA","XIMIZED=FALSE&amp;VAR:CALENDAR=US&amp;VAR:SYMBOL=G0129K10&amp;VAR:INDEX=0"}</definedName>
    <definedName name="_9112__FDSAUDITLINK__" localSheetId="6" hidden="1">{"fdsup://directions/FAT Viewer?action=UPDATE&amp;creator=factset&amp;DYN_ARGS=TRUE&amp;DOC_NAME=FAT:FQL_AUDITING_CLIENT_TEMPLATE.FAT&amp;display_string=Audit&amp;VAR:KEY=LONWHOPIJM&amp;VAR:QUERY=RkZfRUJJVERBX0lCKCdMVE1TJywzODQyOSk=&amp;WINDOW=FIRST_POPUP&amp;HEIGHT=450&amp;WIDTH=450&amp;START_MA","XIMIZED=FALSE&amp;VAR:CALENDAR=US&amp;VAR:SYMBOL=G0129K10&amp;VAR:INDEX=0"}</definedName>
    <definedName name="_9112__FDSAUDITLINK__" hidden="1">{"fdsup://directions/FAT Viewer?action=UPDATE&amp;creator=factset&amp;DYN_ARGS=TRUE&amp;DOC_NAME=FAT:FQL_AUDITING_CLIENT_TEMPLATE.FAT&amp;display_string=Audit&amp;VAR:KEY=LONWHOPIJM&amp;VAR:QUERY=RkZfRUJJVERBX0lCKCdMVE1TJywzODQyOSk=&amp;WINDOW=FIRST_POPUP&amp;HEIGHT=450&amp;WIDTH=450&amp;START_MA","XIMIZED=FALSE&amp;VAR:CALENDAR=US&amp;VAR:SYMBOL=G0129K10&amp;VAR:INDEX=0"}</definedName>
    <definedName name="_9113__FDSAUDITLINK__" localSheetId="6" hidden="1">{"fdsup://directions/FAT Viewer?action=UPDATE&amp;creator=factset&amp;DYN_ARGS=TRUE&amp;DOC_NAME=FAT:FQL_AUDITING_CLIENT_TEMPLATE.FAT&amp;display_string=Audit&amp;VAR:KEY=BUVAFGTYJK&amp;VAR:QUERY=RkZfRUJJVERBX0lCKCdMVE1TJywzODQyOCk=&amp;WINDOW=FIRST_POPUP&amp;HEIGHT=450&amp;WIDTH=450&amp;START_MA","XIMIZED=FALSE&amp;VAR:CALENDAR=US&amp;VAR:SYMBOL=G0129K10&amp;VAR:INDEX=0"}</definedName>
    <definedName name="_9113__FDSAUDITLINK__" hidden="1">{"fdsup://directions/FAT Viewer?action=UPDATE&amp;creator=factset&amp;DYN_ARGS=TRUE&amp;DOC_NAME=FAT:FQL_AUDITING_CLIENT_TEMPLATE.FAT&amp;display_string=Audit&amp;VAR:KEY=BUVAFGTYJK&amp;VAR:QUERY=RkZfRUJJVERBX0lCKCdMVE1TJywzODQyOCk=&amp;WINDOW=FIRST_POPUP&amp;HEIGHT=450&amp;WIDTH=450&amp;START_MA","XIMIZED=FALSE&amp;VAR:CALENDAR=US&amp;VAR:SYMBOL=G0129K10&amp;VAR:INDEX=0"}</definedName>
    <definedName name="_9114__FDSAUDITLINK__" localSheetId="6" hidden="1">{"fdsup://directions/FAT Viewer?action=UPDATE&amp;creator=factset&amp;DYN_ARGS=TRUE&amp;DOC_NAME=FAT:FQL_AUDITING_CLIENT_TEMPLATE.FAT&amp;display_string=Audit&amp;VAR:KEY=DAZEPQFORI&amp;VAR:QUERY=RkZfRUJJVERBX0lCKCdMVE1TJywzODQyNyk=&amp;WINDOW=FIRST_POPUP&amp;HEIGHT=450&amp;WIDTH=450&amp;START_MA","XIMIZED=FALSE&amp;VAR:CALENDAR=US&amp;VAR:SYMBOL=G0129K10&amp;VAR:INDEX=0"}</definedName>
    <definedName name="_9114__FDSAUDITLINK__" hidden="1">{"fdsup://directions/FAT Viewer?action=UPDATE&amp;creator=factset&amp;DYN_ARGS=TRUE&amp;DOC_NAME=FAT:FQL_AUDITING_CLIENT_TEMPLATE.FAT&amp;display_string=Audit&amp;VAR:KEY=DAZEPQFORI&amp;VAR:QUERY=RkZfRUJJVERBX0lCKCdMVE1TJywzODQyNyk=&amp;WINDOW=FIRST_POPUP&amp;HEIGHT=450&amp;WIDTH=450&amp;START_MA","XIMIZED=FALSE&amp;VAR:CALENDAR=US&amp;VAR:SYMBOL=G0129K10&amp;VAR:INDEX=0"}</definedName>
    <definedName name="_9115__FDSAUDITLINK__" localSheetId="6" hidden="1">{"fdsup://directions/FAT Viewer?action=UPDATE&amp;creator=factset&amp;DYN_ARGS=TRUE&amp;DOC_NAME=FAT:FQL_AUDITING_CLIENT_TEMPLATE.FAT&amp;display_string=Audit&amp;VAR:KEY=PCLMDSXKRY&amp;VAR:QUERY=RkZfRUJJVERBX0lCKCdMVE1TJywzODQyNik=&amp;WINDOW=FIRST_POPUP&amp;HEIGHT=450&amp;WIDTH=450&amp;START_MA","XIMIZED=FALSE&amp;VAR:CALENDAR=US&amp;VAR:SYMBOL=G0129K10&amp;VAR:INDEX=0"}</definedName>
    <definedName name="_9115__FDSAUDITLINK__" hidden="1">{"fdsup://directions/FAT Viewer?action=UPDATE&amp;creator=factset&amp;DYN_ARGS=TRUE&amp;DOC_NAME=FAT:FQL_AUDITING_CLIENT_TEMPLATE.FAT&amp;display_string=Audit&amp;VAR:KEY=PCLMDSXKRY&amp;VAR:QUERY=RkZfRUJJVERBX0lCKCdMVE1TJywzODQyNik=&amp;WINDOW=FIRST_POPUP&amp;HEIGHT=450&amp;WIDTH=450&amp;START_MA","XIMIZED=FALSE&amp;VAR:CALENDAR=US&amp;VAR:SYMBOL=G0129K10&amp;VAR:INDEX=0"}</definedName>
    <definedName name="_9116__FDSAUDITLINK__" localSheetId="6" hidden="1">{"fdsup://directions/FAT Viewer?action=UPDATE&amp;creator=factset&amp;DYN_ARGS=TRUE&amp;DOC_NAME=FAT:FQL_AUDITING_CLIENT_TEMPLATE.FAT&amp;display_string=Audit&amp;VAR:KEY=TMDSTOPEJK&amp;VAR:QUERY=RkZfRUJJVERBX0lCKCdMVE1TJywzODQyNSk=&amp;WINDOW=FIRST_POPUP&amp;HEIGHT=450&amp;WIDTH=450&amp;START_MA","XIMIZED=FALSE&amp;VAR:CALENDAR=US&amp;VAR:SYMBOL=G0129K10&amp;VAR:INDEX=0"}</definedName>
    <definedName name="_9116__FDSAUDITLINK__" hidden="1">{"fdsup://directions/FAT Viewer?action=UPDATE&amp;creator=factset&amp;DYN_ARGS=TRUE&amp;DOC_NAME=FAT:FQL_AUDITING_CLIENT_TEMPLATE.FAT&amp;display_string=Audit&amp;VAR:KEY=TMDSTOPEJK&amp;VAR:QUERY=RkZfRUJJVERBX0lCKCdMVE1TJywzODQyNSk=&amp;WINDOW=FIRST_POPUP&amp;HEIGHT=450&amp;WIDTH=450&amp;START_MA","XIMIZED=FALSE&amp;VAR:CALENDAR=US&amp;VAR:SYMBOL=G0129K10&amp;VAR:INDEX=0"}</definedName>
    <definedName name="_9117__FDSAUDITLINK__" localSheetId="6" hidden="1">{"fdsup://directions/FAT Viewer?action=UPDATE&amp;creator=factset&amp;DYN_ARGS=TRUE&amp;DOC_NAME=FAT:FQL_AUDITING_CLIENT_TEMPLATE.FAT&amp;display_string=Audit&amp;VAR:KEY=XAFONUVIFA&amp;VAR:QUERY=RkZfRUJJVERBX0lCKCdMVE1TJywzODQyNCk=&amp;WINDOW=FIRST_POPUP&amp;HEIGHT=450&amp;WIDTH=450&amp;START_MA","XIMIZED=FALSE&amp;VAR:CALENDAR=US&amp;VAR:SYMBOL=G0129K10&amp;VAR:INDEX=0"}</definedName>
    <definedName name="_9117__FDSAUDITLINK__" hidden="1">{"fdsup://directions/FAT Viewer?action=UPDATE&amp;creator=factset&amp;DYN_ARGS=TRUE&amp;DOC_NAME=FAT:FQL_AUDITING_CLIENT_TEMPLATE.FAT&amp;display_string=Audit&amp;VAR:KEY=XAFONUVIFA&amp;VAR:QUERY=RkZfRUJJVERBX0lCKCdMVE1TJywzODQyNCk=&amp;WINDOW=FIRST_POPUP&amp;HEIGHT=450&amp;WIDTH=450&amp;START_MA","XIMIZED=FALSE&amp;VAR:CALENDAR=US&amp;VAR:SYMBOL=G0129K10&amp;VAR:INDEX=0"}</definedName>
    <definedName name="_9118__FDSAUDITLINK__" localSheetId="6" hidden="1">{"fdsup://directions/FAT Viewer?action=UPDATE&amp;creator=factset&amp;DYN_ARGS=TRUE&amp;DOC_NAME=FAT:FQL_AUDITING_CLIENT_TEMPLATE.FAT&amp;display_string=Audit&amp;VAR:KEY=NKDWFCLCVK&amp;VAR:QUERY=RkZfRUJJVERBX0lCKCdMVE1TJywzODQyMyk=&amp;WINDOW=FIRST_POPUP&amp;HEIGHT=450&amp;WIDTH=450&amp;START_MA","XIMIZED=FALSE&amp;VAR:CALENDAR=US&amp;VAR:SYMBOL=G0129K10&amp;VAR:INDEX=0"}</definedName>
    <definedName name="_9118__FDSAUDITLINK__" hidden="1">{"fdsup://directions/FAT Viewer?action=UPDATE&amp;creator=factset&amp;DYN_ARGS=TRUE&amp;DOC_NAME=FAT:FQL_AUDITING_CLIENT_TEMPLATE.FAT&amp;display_string=Audit&amp;VAR:KEY=NKDWFCLCVK&amp;VAR:QUERY=RkZfRUJJVERBX0lCKCdMVE1TJywzODQyMyk=&amp;WINDOW=FIRST_POPUP&amp;HEIGHT=450&amp;WIDTH=450&amp;START_MA","XIMIZED=FALSE&amp;VAR:CALENDAR=US&amp;VAR:SYMBOL=G0129K10&amp;VAR:INDEX=0"}</definedName>
    <definedName name="_9119__FDSAUDITLINK__" localSheetId="6" hidden="1">{"fdsup://directions/FAT Viewer?action=UPDATE&amp;creator=factset&amp;DYN_ARGS=TRUE&amp;DOC_NAME=FAT:FQL_AUDITING_CLIENT_TEMPLATE.FAT&amp;display_string=Audit&amp;VAR:KEY=DURKVAVCRM&amp;VAR:QUERY=RkZfRUJJVERBX0lCKCdMVE1TJywzODQyMik=&amp;WINDOW=FIRST_POPUP&amp;HEIGHT=450&amp;WIDTH=450&amp;START_MA","XIMIZED=FALSE&amp;VAR:CALENDAR=US&amp;VAR:SYMBOL=G0129K10&amp;VAR:INDEX=0"}</definedName>
    <definedName name="_9119__FDSAUDITLINK__" hidden="1">{"fdsup://directions/FAT Viewer?action=UPDATE&amp;creator=factset&amp;DYN_ARGS=TRUE&amp;DOC_NAME=FAT:FQL_AUDITING_CLIENT_TEMPLATE.FAT&amp;display_string=Audit&amp;VAR:KEY=DURKVAVCRM&amp;VAR:QUERY=RkZfRUJJVERBX0lCKCdMVE1TJywzODQyMik=&amp;WINDOW=FIRST_POPUP&amp;HEIGHT=450&amp;WIDTH=450&amp;START_MA","XIMIZED=FALSE&amp;VAR:CALENDAR=US&amp;VAR:SYMBOL=G0129K10&amp;VAR:INDEX=0"}</definedName>
    <definedName name="_912__FDSAUDITLINK__" localSheetId="6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2__FDSAUDITLINK__" hidden="1">{"fdsup://directions/FAT%20Viewer?VAR:PED=LTM&amp;VAR:AUDIT_MODE=SUMMARY&amp;VAR:PERIOD=FIXED&amp;VAR:AUDIT_ID=00000117&amp;VAR:DATE=20070824&amp;action=UPDATE&amp;creator=factset&amp;DOC_NAME=FAT:FMA_audit_SUMMARY.fat&amp;DISPLAY_STRING=Display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20__FDSAUDITLINK__" localSheetId="6" hidden="1">{"fdsup://directions/FAT Viewer?action=UPDATE&amp;creator=factset&amp;DYN_ARGS=TRUE&amp;DOC_NAME=FAT:FQL_AUDITING_CLIENT_TEMPLATE.FAT&amp;display_string=Audit&amp;VAR:KEY=BCXYJMFQXE&amp;VAR:QUERY=RkZfRUJJVERBX0lCKCdMVE1TJywzODQyMSk=&amp;WINDOW=FIRST_POPUP&amp;HEIGHT=450&amp;WIDTH=450&amp;START_MA","XIMIZED=FALSE&amp;VAR:CALENDAR=US&amp;VAR:SYMBOL=G0129K10&amp;VAR:INDEX=0"}</definedName>
    <definedName name="_9120__FDSAUDITLINK__" hidden="1">{"fdsup://directions/FAT Viewer?action=UPDATE&amp;creator=factset&amp;DYN_ARGS=TRUE&amp;DOC_NAME=FAT:FQL_AUDITING_CLIENT_TEMPLATE.FAT&amp;display_string=Audit&amp;VAR:KEY=BCXYJMFQXE&amp;VAR:QUERY=RkZfRUJJVERBX0lCKCdMVE1TJywzODQyMSk=&amp;WINDOW=FIRST_POPUP&amp;HEIGHT=450&amp;WIDTH=450&amp;START_MA","XIMIZED=FALSE&amp;VAR:CALENDAR=US&amp;VAR:SYMBOL=G0129K10&amp;VAR:INDEX=0"}</definedName>
    <definedName name="_9121__FDSAUDITLINK__" localSheetId="6" hidden="1">{"fdsup://directions/FAT Viewer?action=UPDATE&amp;creator=factset&amp;DYN_ARGS=TRUE&amp;DOC_NAME=FAT:FQL_AUDITING_CLIENT_TEMPLATE.FAT&amp;display_string=Audit&amp;VAR:KEY=VCPCLMFGNO&amp;VAR:QUERY=RkZfRUJJVERBX0lCKCdMVE1TJywzODQyMCk=&amp;WINDOW=FIRST_POPUP&amp;HEIGHT=450&amp;WIDTH=450&amp;START_MA","XIMIZED=FALSE&amp;VAR:CALENDAR=US&amp;VAR:SYMBOL=G0129K10&amp;VAR:INDEX=0"}</definedName>
    <definedName name="_9121__FDSAUDITLINK__" hidden="1">{"fdsup://directions/FAT Viewer?action=UPDATE&amp;creator=factset&amp;DYN_ARGS=TRUE&amp;DOC_NAME=FAT:FQL_AUDITING_CLIENT_TEMPLATE.FAT&amp;display_string=Audit&amp;VAR:KEY=VCPCLMFGNO&amp;VAR:QUERY=RkZfRUJJVERBX0lCKCdMVE1TJywzODQyMCk=&amp;WINDOW=FIRST_POPUP&amp;HEIGHT=450&amp;WIDTH=450&amp;START_MA","XIMIZED=FALSE&amp;VAR:CALENDAR=US&amp;VAR:SYMBOL=G0129K10&amp;VAR:INDEX=0"}</definedName>
    <definedName name="_9122__FDSAUDITLINK__" localSheetId="6" hidden="1">{"fdsup://directions/FAT Viewer?action=UPDATE&amp;creator=factset&amp;DYN_ARGS=TRUE&amp;DOC_NAME=FAT:FQL_AUDITING_CLIENT_TEMPLATE.FAT&amp;display_string=Audit&amp;VAR:KEY=ZWFUVUJANQ&amp;VAR:QUERY=RkZfRUJJVERBX0lCKCdMVE1TJywzODQxOSk=&amp;WINDOW=FIRST_POPUP&amp;HEIGHT=450&amp;WIDTH=450&amp;START_MA","XIMIZED=FALSE&amp;VAR:CALENDAR=US&amp;VAR:SYMBOL=G0129K10&amp;VAR:INDEX=0"}</definedName>
    <definedName name="_9122__FDSAUDITLINK__" hidden="1">{"fdsup://directions/FAT Viewer?action=UPDATE&amp;creator=factset&amp;DYN_ARGS=TRUE&amp;DOC_NAME=FAT:FQL_AUDITING_CLIENT_TEMPLATE.FAT&amp;display_string=Audit&amp;VAR:KEY=ZWFUVUJANQ&amp;VAR:QUERY=RkZfRUJJVERBX0lCKCdMVE1TJywzODQxOSk=&amp;WINDOW=FIRST_POPUP&amp;HEIGHT=450&amp;WIDTH=450&amp;START_MA","XIMIZED=FALSE&amp;VAR:CALENDAR=US&amp;VAR:SYMBOL=G0129K10&amp;VAR:INDEX=0"}</definedName>
    <definedName name="_9123__FDSAUDITLINK__" localSheetId="6" hidden="1">{"fdsup://directions/FAT Viewer?action=UPDATE&amp;creator=factset&amp;DYN_ARGS=TRUE&amp;DOC_NAME=FAT:FQL_AUDITING_CLIENT_TEMPLATE.FAT&amp;display_string=Audit&amp;VAR:KEY=LKRMLIHKJO&amp;VAR:QUERY=RkZfRUJJVERBX0lCKCdMVE1TJywzODQxOCk=&amp;WINDOW=FIRST_POPUP&amp;HEIGHT=450&amp;WIDTH=450&amp;START_MA","XIMIZED=FALSE&amp;VAR:CALENDAR=US&amp;VAR:SYMBOL=G0129K10&amp;VAR:INDEX=0"}</definedName>
    <definedName name="_9123__FDSAUDITLINK__" hidden="1">{"fdsup://directions/FAT Viewer?action=UPDATE&amp;creator=factset&amp;DYN_ARGS=TRUE&amp;DOC_NAME=FAT:FQL_AUDITING_CLIENT_TEMPLATE.FAT&amp;display_string=Audit&amp;VAR:KEY=LKRMLIHKJO&amp;VAR:QUERY=RkZfRUJJVERBX0lCKCdMVE1TJywzODQxOCk=&amp;WINDOW=FIRST_POPUP&amp;HEIGHT=450&amp;WIDTH=450&amp;START_MA","XIMIZED=FALSE&amp;VAR:CALENDAR=US&amp;VAR:SYMBOL=G0129K10&amp;VAR:INDEX=0"}</definedName>
    <definedName name="_9124__FDSAUDITLINK__" localSheetId="6" hidden="1">{"fdsup://directions/FAT Viewer?action=UPDATE&amp;creator=factset&amp;DYN_ARGS=TRUE&amp;DOC_NAME=FAT:FQL_AUDITING_CLIENT_TEMPLATE.FAT&amp;display_string=Audit&amp;VAR:KEY=PCLWHIRGRG&amp;VAR:QUERY=RkZfRUJJVERBX0lCKCdMVE1TJywzODQxNyk=&amp;WINDOW=FIRST_POPUP&amp;HEIGHT=450&amp;WIDTH=450&amp;START_MA","XIMIZED=FALSE&amp;VAR:CALENDAR=US&amp;VAR:SYMBOL=G0129K10&amp;VAR:INDEX=0"}</definedName>
    <definedName name="_9124__FDSAUDITLINK__" hidden="1">{"fdsup://directions/FAT Viewer?action=UPDATE&amp;creator=factset&amp;DYN_ARGS=TRUE&amp;DOC_NAME=FAT:FQL_AUDITING_CLIENT_TEMPLATE.FAT&amp;display_string=Audit&amp;VAR:KEY=PCLWHIRGRG&amp;VAR:QUERY=RkZfRUJJVERBX0lCKCdMVE1TJywzODQxNyk=&amp;WINDOW=FIRST_POPUP&amp;HEIGHT=450&amp;WIDTH=450&amp;START_MA","XIMIZED=FALSE&amp;VAR:CALENDAR=US&amp;VAR:SYMBOL=G0129K10&amp;VAR:INDEX=0"}</definedName>
    <definedName name="_9125__FDSAUDITLINK__" localSheetId="6" hidden="1">{"fdsup://directions/FAT Viewer?action=UPDATE&amp;creator=factset&amp;DYN_ARGS=TRUE&amp;DOC_NAME=FAT:FQL_AUDITING_CLIENT_TEMPLATE.FAT&amp;display_string=Audit&amp;VAR:KEY=FKDAFARCZQ&amp;VAR:QUERY=RkZfRUJJVERBX0lCKCdMVE1TJywzODQxNik=&amp;WINDOW=FIRST_POPUP&amp;HEIGHT=450&amp;WIDTH=450&amp;START_MA","XIMIZED=FALSE&amp;VAR:CALENDAR=US&amp;VAR:SYMBOL=G0129K10&amp;VAR:INDEX=0"}</definedName>
    <definedName name="_9125__FDSAUDITLINK__" hidden="1">{"fdsup://directions/FAT Viewer?action=UPDATE&amp;creator=factset&amp;DYN_ARGS=TRUE&amp;DOC_NAME=FAT:FQL_AUDITING_CLIENT_TEMPLATE.FAT&amp;display_string=Audit&amp;VAR:KEY=FKDAFARCZQ&amp;VAR:QUERY=RkZfRUJJVERBX0lCKCdMVE1TJywzODQxNik=&amp;WINDOW=FIRST_POPUP&amp;HEIGHT=450&amp;WIDTH=450&amp;START_MA","XIMIZED=FALSE&amp;VAR:CALENDAR=US&amp;VAR:SYMBOL=G0129K10&amp;VAR:INDEX=0"}</definedName>
    <definedName name="_9126__FDSAUDITLINK__" localSheetId="6" hidden="1">{"fdsup://directions/FAT Viewer?action=UPDATE&amp;creator=factset&amp;DYN_ARGS=TRUE&amp;DOC_NAME=FAT:FQL_AUDITING_CLIENT_TEMPLATE.FAT&amp;display_string=Audit&amp;VAR:KEY=TQFQPKPEJS&amp;VAR:QUERY=RkZfRUJJVERBX0lCKCdMVE1TJywzODQxNSk=&amp;WINDOW=FIRST_POPUP&amp;HEIGHT=450&amp;WIDTH=450&amp;START_MA","XIMIZED=FALSE&amp;VAR:CALENDAR=US&amp;VAR:SYMBOL=G0129K10&amp;VAR:INDEX=0"}</definedName>
    <definedName name="_9126__FDSAUDITLINK__" hidden="1">{"fdsup://directions/FAT Viewer?action=UPDATE&amp;creator=factset&amp;DYN_ARGS=TRUE&amp;DOC_NAME=FAT:FQL_AUDITING_CLIENT_TEMPLATE.FAT&amp;display_string=Audit&amp;VAR:KEY=TQFQPKPEJS&amp;VAR:QUERY=RkZfRUJJVERBX0lCKCdMVE1TJywzODQxNSk=&amp;WINDOW=FIRST_POPUP&amp;HEIGHT=450&amp;WIDTH=450&amp;START_MA","XIMIZED=FALSE&amp;VAR:CALENDAR=US&amp;VAR:SYMBOL=G0129K10&amp;VAR:INDEX=0"}</definedName>
    <definedName name="_9127__FDSAUDITLINK__" localSheetId="6" hidden="1">{"fdsup://directions/FAT Viewer?action=UPDATE&amp;creator=factset&amp;DYN_ARGS=TRUE&amp;DOC_NAME=FAT:FQL_AUDITING_CLIENT_TEMPLATE.FAT&amp;display_string=Audit&amp;VAR:KEY=DWLARGHIPY&amp;VAR:QUERY=RkZfRUJJVERBX0lCKCdMVE1TJywzODQxNCk=&amp;WINDOW=FIRST_POPUP&amp;HEIGHT=450&amp;WIDTH=450&amp;START_MA","XIMIZED=FALSE&amp;VAR:CALENDAR=US&amp;VAR:SYMBOL=G0129K10&amp;VAR:INDEX=0"}</definedName>
    <definedName name="_9127__FDSAUDITLINK__" hidden="1">{"fdsup://directions/FAT Viewer?action=UPDATE&amp;creator=factset&amp;DYN_ARGS=TRUE&amp;DOC_NAME=FAT:FQL_AUDITING_CLIENT_TEMPLATE.FAT&amp;display_string=Audit&amp;VAR:KEY=DWLARGHIPY&amp;VAR:QUERY=RkZfRUJJVERBX0lCKCdMVE1TJywzODQxNCk=&amp;WINDOW=FIRST_POPUP&amp;HEIGHT=450&amp;WIDTH=450&amp;START_MA","XIMIZED=FALSE&amp;VAR:CALENDAR=US&amp;VAR:SYMBOL=G0129K10&amp;VAR:INDEX=0"}</definedName>
    <definedName name="_9128__FDSAUDITLINK__" localSheetId="6" hidden="1">{"fdsup://directions/FAT Viewer?action=UPDATE&amp;creator=factset&amp;DYN_ARGS=TRUE&amp;DOC_NAME=FAT:FQL_AUDITING_CLIENT_TEMPLATE.FAT&amp;display_string=Audit&amp;VAR:KEY=ZAVEFWLKZM&amp;VAR:QUERY=RkZfRUJJVERBX0lCKCdMVE1TJywzODQxMyk=&amp;WINDOW=FIRST_POPUP&amp;HEIGHT=450&amp;WIDTH=450&amp;START_MA","XIMIZED=FALSE&amp;VAR:CALENDAR=US&amp;VAR:SYMBOL=G0129K10&amp;VAR:INDEX=0"}</definedName>
    <definedName name="_9128__FDSAUDITLINK__" hidden="1">{"fdsup://directions/FAT Viewer?action=UPDATE&amp;creator=factset&amp;DYN_ARGS=TRUE&amp;DOC_NAME=FAT:FQL_AUDITING_CLIENT_TEMPLATE.FAT&amp;display_string=Audit&amp;VAR:KEY=ZAVEFWLKZM&amp;VAR:QUERY=RkZfRUJJVERBX0lCKCdMVE1TJywzODQxMyk=&amp;WINDOW=FIRST_POPUP&amp;HEIGHT=450&amp;WIDTH=450&amp;START_MA","XIMIZED=FALSE&amp;VAR:CALENDAR=US&amp;VAR:SYMBOL=G0129K10&amp;VAR:INDEX=0"}</definedName>
    <definedName name="_9129__FDSAUDITLINK__" localSheetId="6" hidden="1">{"fdsup://directions/FAT Viewer?action=UPDATE&amp;creator=factset&amp;DYN_ARGS=TRUE&amp;DOC_NAME=FAT:FQL_AUDITING_CLIENT_TEMPLATE.FAT&amp;display_string=Audit&amp;VAR:KEY=FYLMLQZUXG&amp;VAR:QUERY=RkZfRUJJVERBX0lCKCdMVE1TJywzODQxMik=&amp;WINDOW=FIRST_POPUP&amp;HEIGHT=450&amp;WIDTH=450&amp;START_MA","XIMIZED=FALSE&amp;VAR:CALENDAR=US&amp;VAR:SYMBOL=G0129K10&amp;VAR:INDEX=0"}</definedName>
    <definedName name="_9129__FDSAUDITLINK__" hidden="1">{"fdsup://directions/FAT Viewer?action=UPDATE&amp;creator=factset&amp;DYN_ARGS=TRUE&amp;DOC_NAME=FAT:FQL_AUDITING_CLIENT_TEMPLATE.FAT&amp;display_string=Audit&amp;VAR:KEY=FYLMLQZUXG&amp;VAR:QUERY=RkZfRUJJVERBX0lCKCdMVE1TJywzODQxMik=&amp;WINDOW=FIRST_POPUP&amp;HEIGHT=450&amp;WIDTH=450&amp;START_MA","XIMIZED=FALSE&amp;VAR:CALENDAR=US&amp;VAR:SYMBOL=G0129K10&amp;VAR:INDEX=0"}</definedName>
    <definedName name="_913__FDSAUDITLINK__" localSheetId="6" hidden="1">{"fdsup://directions/FAT%20Viewer?VAR:PED=LTM&amp;VAR:AUDIT_MODE=SUMMARY&amp;VAR:PERIOD=FIXED&amp;VAR:AUDIT_ID=00000117&amp;VAR:DATE=20070823&amp;action=UPDATE&amp;creator=factset&amp;DOC_NAME=FAT:FMA_audit_SUMMARY.fat&amp;DISPLAY_STRING=Display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3__FDSAUDITLINK__" hidden="1">{"fdsup://directions/FAT%20Viewer?VAR:PED=LTM&amp;VAR:AUDIT_MODE=SUMMARY&amp;VAR:PERIOD=FIXED&amp;VAR:AUDIT_ID=00000117&amp;VAR:DATE=20070823&amp;action=UPDATE&amp;creator=factset&amp;DOC_NAME=FAT:FMA_audit_SUMMARY.fat&amp;DISPLAY_STRING=Display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30__FDSAUDITLINK__" localSheetId="6" hidden="1">{"fdsup://directions/FAT Viewer?action=UPDATE&amp;creator=factset&amp;DYN_ARGS=TRUE&amp;DOC_NAME=FAT:FQL_AUDITING_CLIENT_TEMPLATE.FAT&amp;display_string=Audit&amp;VAR:KEY=LORIZEDYXO&amp;VAR:QUERY=RkZfRUJJVERBX0lCKCdMVE1TJywzODQxMSk=&amp;WINDOW=FIRST_POPUP&amp;HEIGHT=450&amp;WIDTH=450&amp;START_MA","XIMIZED=FALSE&amp;VAR:CALENDAR=US&amp;VAR:SYMBOL=G0129K10&amp;VAR:INDEX=0"}</definedName>
    <definedName name="_9130__FDSAUDITLINK__" hidden="1">{"fdsup://directions/FAT Viewer?action=UPDATE&amp;creator=factset&amp;DYN_ARGS=TRUE&amp;DOC_NAME=FAT:FQL_AUDITING_CLIENT_TEMPLATE.FAT&amp;display_string=Audit&amp;VAR:KEY=LORIZEDYXO&amp;VAR:QUERY=RkZfRUJJVERBX0lCKCdMVE1TJywzODQxMSk=&amp;WINDOW=FIRST_POPUP&amp;HEIGHT=450&amp;WIDTH=450&amp;START_MA","XIMIZED=FALSE&amp;VAR:CALENDAR=US&amp;VAR:SYMBOL=G0129K10&amp;VAR:INDEX=0"}</definedName>
    <definedName name="_9131__FDSAUDITLINK__" localSheetId="6" hidden="1">{"fdsup://directions/FAT Viewer?action=UPDATE&amp;creator=factset&amp;DYN_ARGS=TRUE&amp;DOC_NAME=FAT:FQL_AUDITING_CLIENT_TEMPLATE.FAT&amp;display_string=Audit&amp;VAR:KEY=FSBEPEHQHY&amp;VAR:QUERY=RkZfRUJJVERBX0lCKCdMVE1TJywzODQxMCk=&amp;WINDOW=FIRST_POPUP&amp;HEIGHT=450&amp;WIDTH=450&amp;START_MA","XIMIZED=FALSE&amp;VAR:CALENDAR=US&amp;VAR:SYMBOL=G0129K10&amp;VAR:INDEX=0"}</definedName>
    <definedName name="_9131__FDSAUDITLINK__" hidden="1">{"fdsup://directions/FAT Viewer?action=UPDATE&amp;creator=factset&amp;DYN_ARGS=TRUE&amp;DOC_NAME=FAT:FQL_AUDITING_CLIENT_TEMPLATE.FAT&amp;display_string=Audit&amp;VAR:KEY=FSBEPEHQHY&amp;VAR:QUERY=RkZfRUJJVERBX0lCKCdMVE1TJywzODQxMCk=&amp;WINDOW=FIRST_POPUP&amp;HEIGHT=450&amp;WIDTH=450&amp;START_MA","XIMIZED=FALSE&amp;VAR:CALENDAR=US&amp;VAR:SYMBOL=G0129K10&amp;VAR:INDEX=0"}</definedName>
    <definedName name="_9132__FDSAUDITLINK__" localSheetId="6" hidden="1">{"fdsup://directions/FAT Viewer?action=UPDATE&amp;creator=factset&amp;DYN_ARGS=TRUE&amp;DOC_NAME=FAT:FQL_AUDITING_CLIENT_TEMPLATE.FAT&amp;display_string=Audit&amp;VAR:KEY=LKFOTELKHE&amp;VAR:QUERY=RkZfRUJJVERBX0lCKCdMVE1TJywzODQwOSk=&amp;WINDOW=FIRST_POPUP&amp;HEIGHT=450&amp;WIDTH=450&amp;START_MA","XIMIZED=FALSE&amp;VAR:CALENDAR=US&amp;VAR:SYMBOL=G0129K10&amp;VAR:INDEX=0"}</definedName>
    <definedName name="_9132__FDSAUDITLINK__" hidden="1">{"fdsup://directions/FAT Viewer?action=UPDATE&amp;creator=factset&amp;DYN_ARGS=TRUE&amp;DOC_NAME=FAT:FQL_AUDITING_CLIENT_TEMPLATE.FAT&amp;display_string=Audit&amp;VAR:KEY=LKFOTELKHE&amp;VAR:QUERY=RkZfRUJJVERBX0lCKCdMVE1TJywzODQwOSk=&amp;WINDOW=FIRST_POPUP&amp;HEIGHT=450&amp;WIDTH=450&amp;START_MA","XIMIZED=FALSE&amp;VAR:CALENDAR=US&amp;VAR:SYMBOL=G0129K10&amp;VAR:INDEX=0"}</definedName>
    <definedName name="_9133__FDSAUDITLINK__" localSheetId="6" hidden="1">{"fdsup://directions/FAT Viewer?action=UPDATE&amp;creator=factset&amp;DYN_ARGS=TRUE&amp;DOC_NAME=FAT:FQL_AUDITING_CLIENT_TEMPLATE.FAT&amp;display_string=Audit&amp;VAR:KEY=LIJAXETCPU&amp;VAR:QUERY=RkZfRUJJVERBX0lCKCdMVE1TJywzODQwOCk=&amp;WINDOW=FIRST_POPUP&amp;HEIGHT=450&amp;WIDTH=450&amp;START_MA","XIMIZED=FALSE&amp;VAR:CALENDAR=US&amp;VAR:SYMBOL=G0129K10&amp;VAR:INDEX=0"}</definedName>
    <definedName name="_9133__FDSAUDITLINK__" hidden="1">{"fdsup://directions/FAT Viewer?action=UPDATE&amp;creator=factset&amp;DYN_ARGS=TRUE&amp;DOC_NAME=FAT:FQL_AUDITING_CLIENT_TEMPLATE.FAT&amp;display_string=Audit&amp;VAR:KEY=LIJAXETCPU&amp;VAR:QUERY=RkZfRUJJVERBX0lCKCdMVE1TJywzODQwOCk=&amp;WINDOW=FIRST_POPUP&amp;HEIGHT=450&amp;WIDTH=450&amp;START_MA","XIMIZED=FALSE&amp;VAR:CALENDAR=US&amp;VAR:SYMBOL=G0129K10&amp;VAR:INDEX=0"}</definedName>
    <definedName name="_9134__FDSAUDITLINK__" localSheetId="6" hidden="1">{"fdsup://directions/FAT Viewer?action=UPDATE&amp;creator=factset&amp;DYN_ARGS=TRUE&amp;DOC_NAME=FAT:FQL_AUDITING_CLIENT_TEMPLATE.FAT&amp;display_string=Audit&amp;VAR:KEY=RCTOTEPGHA&amp;VAR:QUERY=RkZfRUJJVERBX0lCKCdMVE1TJywzODQwNyk=&amp;WINDOW=FIRST_POPUP&amp;HEIGHT=450&amp;WIDTH=450&amp;START_MA","XIMIZED=FALSE&amp;VAR:CALENDAR=US&amp;VAR:SYMBOL=G0129K10&amp;VAR:INDEX=0"}</definedName>
    <definedName name="_9134__FDSAUDITLINK__" hidden="1">{"fdsup://directions/FAT Viewer?action=UPDATE&amp;creator=factset&amp;DYN_ARGS=TRUE&amp;DOC_NAME=FAT:FQL_AUDITING_CLIENT_TEMPLATE.FAT&amp;display_string=Audit&amp;VAR:KEY=RCTOTEPGHA&amp;VAR:QUERY=RkZfRUJJVERBX0lCKCdMVE1TJywzODQwNyk=&amp;WINDOW=FIRST_POPUP&amp;HEIGHT=450&amp;WIDTH=450&amp;START_MA","XIMIZED=FALSE&amp;VAR:CALENDAR=US&amp;VAR:SYMBOL=G0129K10&amp;VAR:INDEX=0"}</definedName>
    <definedName name="_9135__FDSAUDITLINK__" localSheetId="6" hidden="1">{"fdsup://directions/FAT Viewer?action=UPDATE&amp;creator=factset&amp;DYN_ARGS=TRUE&amp;DOC_NAME=FAT:FQL_AUDITING_CLIENT_TEMPLATE.FAT&amp;display_string=Audit&amp;VAR:KEY=DCXQTMNSRK&amp;VAR:QUERY=RkZfRUJJVERBX0lCKCdMVE1TJywzODQwNik=&amp;WINDOW=FIRST_POPUP&amp;HEIGHT=450&amp;WIDTH=450&amp;START_MA","XIMIZED=FALSE&amp;VAR:CALENDAR=US&amp;VAR:SYMBOL=G0129K10&amp;VAR:INDEX=0"}</definedName>
    <definedName name="_9135__FDSAUDITLINK__" hidden="1">{"fdsup://directions/FAT Viewer?action=UPDATE&amp;creator=factset&amp;DYN_ARGS=TRUE&amp;DOC_NAME=FAT:FQL_AUDITING_CLIENT_TEMPLATE.FAT&amp;display_string=Audit&amp;VAR:KEY=DCXQTMNSRK&amp;VAR:QUERY=RkZfRUJJVERBX0lCKCdMVE1TJywzODQwNik=&amp;WINDOW=FIRST_POPUP&amp;HEIGHT=450&amp;WIDTH=450&amp;START_MA","XIMIZED=FALSE&amp;VAR:CALENDAR=US&amp;VAR:SYMBOL=G0129K10&amp;VAR:INDEX=0"}</definedName>
    <definedName name="_9136__FDSAUDITLINK__" localSheetId="6" hidden="1">{"fdsup://directions/FAT Viewer?action=UPDATE&amp;creator=factset&amp;DYN_ARGS=TRUE&amp;DOC_NAME=FAT:FQL_AUDITING_CLIENT_TEMPLATE.FAT&amp;display_string=Audit&amp;VAR:KEY=ZSTSDSDGBU&amp;VAR:QUERY=RkZfRUJJVERBX0lCKCdMVE1TJywzODQwNSk=&amp;WINDOW=FIRST_POPUP&amp;HEIGHT=450&amp;WIDTH=450&amp;START_MA","XIMIZED=FALSE&amp;VAR:CALENDAR=US&amp;VAR:SYMBOL=G0129K10&amp;VAR:INDEX=0"}</definedName>
    <definedName name="_9136__FDSAUDITLINK__" hidden="1">{"fdsup://directions/FAT Viewer?action=UPDATE&amp;creator=factset&amp;DYN_ARGS=TRUE&amp;DOC_NAME=FAT:FQL_AUDITING_CLIENT_TEMPLATE.FAT&amp;display_string=Audit&amp;VAR:KEY=ZSTSDSDGBU&amp;VAR:QUERY=RkZfRUJJVERBX0lCKCdMVE1TJywzODQwNSk=&amp;WINDOW=FIRST_POPUP&amp;HEIGHT=450&amp;WIDTH=450&amp;START_MA","XIMIZED=FALSE&amp;VAR:CALENDAR=US&amp;VAR:SYMBOL=G0129K10&amp;VAR:INDEX=0"}</definedName>
    <definedName name="_9137__FDSAUDITLINK__" localSheetId="6" hidden="1">{"fdsup://directions/FAT Viewer?action=UPDATE&amp;creator=factset&amp;DYN_ARGS=TRUE&amp;DOC_NAME=FAT:FQL_AUDITING_CLIENT_TEMPLATE.FAT&amp;display_string=Audit&amp;VAR:KEY=PUNQZAVKBW&amp;VAR:QUERY=RkZfRUJJVERBX0lCKCdMVE1TJywzODQwNCk=&amp;WINDOW=FIRST_POPUP&amp;HEIGHT=450&amp;WIDTH=450&amp;START_MA","XIMIZED=FALSE&amp;VAR:CALENDAR=US&amp;VAR:SYMBOL=G0129K10&amp;VAR:INDEX=0"}</definedName>
    <definedName name="_9137__FDSAUDITLINK__" hidden="1">{"fdsup://directions/FAT Viewer?action=UPDATE&amp;creator=factset&amp;DYN_ARGS=TRUE&amp;DOC_NAME=FAT:FQL_AUDITING_CLIENT_TEMPLATE.FAT&amp;display_string=Audit&amp;VAR:KEY=PUNQZAVKBW&amp;VAR:QUERY=RkZfRUJJVERBX0lCKCdMVE1TJywzODQwNCk=&amp;WINDOW=FIRST_POPUP&amp;HEIGHT=450&amp;WIDTH=450&amp;START_MA","XIMIZED=FALSE&amp;VAR:CALENDAR=US&amp;VAR:SYMBOL=G0129K10&amp;VAR:INDEX=0"}</definedName>
    <definedName name="_9138__FDSAUDITLINK__" localSheetId="6" hidden="1">{"fdsup://directions/FAT Viewer?action=UPDATE&amp;creator=factset&amp;DYN_ARGS=TRUE&amp;DOC_NAME=FAT:FQL_AUDITING_CLIENT_TEMPLATE.FAT&amp;display_string=Audit&amp;VAR:KEY=HKLUHULUHW&amp;VAR:QUERY=RkZfRUJJVERBX0lCKCdMVE1TJywzODQwMyk=&amp;WINDOW=FIRST_POPUP&amp;HEIGHT=450&amp;WIDTH=450&amp;START_MA","XIMIZED=FALSE&amp;VAR:CALENDAR=US&amp;VAR:SYMBOL=G0129K10&amp;VAR:INDEX=0"}</definedName>
    <definedName name="_9138__FDSAUDITLINK__" hidden="1">{"fdsup://directions/FAT Viewer?action=UPDATE&amp;creator=factset&amp;DYN_ARGS=TRUE&amp;DOC_NAME=FAT:FQL_AUDITING_CLIENT_TEMPLATE.FAT&amp;display_string=Audit&amp;VAR:KEY=HKLUHULUHW&amp;VAR:QUERY=RkZfRUJJVERBX0lCKCdMVE1TJywzODQwMyk=&amp;WINDOW=FIRST_POPUP&amp;HEIGHT=450&amp;WIDTH=450&amp;START_MA","XIMIZED=FALSE&amp;VAR:CALENDAR=US&amp;VAR:SYMBOL=G0129K10&amp;VAR:INDEX=0"}</definedName>
    <definedName name="_9139__FDSAUDITLINK__" localSheetId="6" hidden="1">{"fdsup://directions/FAT Viewer?action=UPDATE&amp;creator=factset&amp;DYN_ARGS=TRUE&amp;DOC_NAME=FAT:FQL_AUDITING_CLIENT_TEMPLATE.FAT&amp;display_string=Audit&amp;VAR:KEY=ZSBGDCBKLY&amp;VAR:QUERY=RkZfRUJJVERBX0lCKCdMVE1TJywzODQwMik=&amp;WINDOW=FIRST_POPUP&amp;HEIGHT=450&amp;WIDTH=450&amp;START_MA","XIMIZED=FALSE&amp;VAR:CALENDAR=US&amp;VAR:SYMBOL=G0129K10&amp;VAR:INDEX=0"}</definedName>
    <definedName name="_9139__FDSAUDITLINK__" hidden="1">{"fdsup://directions/FAT Viewer?action=UPDATE&amp;creator=factset&amp;DYN_ARGS=TRUE&amp;DOC_NAME=FAT:FQL_AUDITING_CLIENT_TEMPLATE.FAT&amp;display_string=Audit&amp;VAR:KEY=ZSBGDCBKLY&amp;VAR:QUERY=RkZfRUJJVERBX0lCKCdMVE1TJywzODQwMik=&amp;WINDOW=FIRST_POPUP&amp;HEIGHT=450&amp;WIDTH=450&amp;START_MA","XIMIZED=FALSE&amp;VAR:CALENDAR=US&amp;VAR:SYMBOL=G0129K10&amp;VAR:INDEX=0"}</definedName>
    <definedName name="_914__FDSAUDITLINK__" localSheetId="6" hidden="1">{"fdsup://directions/FAT%20Viewer?VAR:PED=LTM&amp;VAR:AUDIT_MODE=SUMMARY&amp;VAR:PERIOD=FIXED&amp;VAR:AUDIT_ID=00000117&amp;VAR:DATE=20070822&amp;action=UPDATE&amp;creator=factset&amp;DOC_NAME=FAT:FMA_audit_SUMMARY.fat&amp;DISPLAY_STRING=Display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4__FDSAUDITLINK__" hidden="1">{"fdsup://directions/FAT%20Viewer?VAR:PED=LTM&amp;VAR:AUDIT_MODE=SUMMARY&amp;VAR:PERIOD=FIXED&amp;VAR:AUDIT_ID=00000117&amp;VAR:DATE=20070822&amp;action=UPDATE&amp;creator=factset&amp;DOC_NAME=FAT:FMA_audit_SUMMARY.fat&amp;DISPLAY_STRING=Display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40__FDSAUDITLINK__" localSheetId="6" hidden="1">{"fdsup://directions/FAT Viewer?action=UPDATE&amp;creator=factset&amp;DYN_ARGS=TRUE&amp;DOC_NAME=FAT:FQL_AUDITING_CLIENT_TEMPLATE.FAT&amp;display_string=Audit&amp;VAR:KEY=PELSDUXYXS&amp;VAR:QUERY=RkZfRUJJVERBX0lCKCdMVE1TJyw0MDIyOSk=&amp;WINDOW=FIRST_POPUP&amp;HEIGHT=450&amp;WIDTH=450&amp;START_MA","XIMIZED=FALSE&amp;VAR:CALENDAR=US&amp;VAR:SYMBOL=04916420&amp;VAR:INDEX=0"}</definedName>
    <definedName name="_9140__FDSAUDITLINK__" hidden="1">{"fdsup://directions/FAT Viewer?action=UPDATE&amp;creator=factset&amp;DYN_ARGS=TRUE&amp;DOC_NAME=FAT:FQL_AUDITING_CLIENT_TEMPLATE.FAT&amp;display_string=Audit&amp;VAR:KEY=PELSDUXYXS&amp;VAR:QUERY=RkZfRUJJVERBX0lCKCdMVE1TJyw0MDIyOSk=&amp;WINDOW=FIRST_POPUP&amp;HEIGHT=450&amp;WIDTH=450&amp;START_MA","XIMIZED=FALSE&amp;VAR:CALENDAR=US&amp;VAR:SYMBOL=04916420&amp;VAR:INDEX=0"}</definedName>
    <definedName name="_9141__FDSAUDITLINK__" localSheetId="6" hidden="1">{"fdsup://directions/FAT Viewer?action=UPDATE&amp;creator=factset&amp;DYN_ARGS=TRUE&amp;DOC_NAME=FAT:FQL_AUDITING_CLIENT_TEMPLATE.FAT&amp;display_string=Audit&amp;VAR:KEY=HILQJKTKJK&amp;VAR:QUERY=RkZfRUJJVERBX0lCKCdMVE1TJyw0MDIyOCk=&amp;WINDOW=FIRST_POPUP&amp;HEIGHT=450&amp;WIDTH=450&amp;START_MA","XIMIZED=FALSE&amp;VAR:CALENDAR=US&amp;VAR:SYMBOL=04916420&amp;VAR:INDEX=0"}</definedName>
    <definedName name="_9141__FDSAUDITLINK__" hidden="1">{"fdsup://directions/FAT Viewer?action=UPDATE&amp;creator=factset&amp;DYN_ARGS=TRUE&amp;DOC_NAME=FAT:FQL_AUDITING_CLIENT_TEMPLATE.FAT&amp;display_string=Audit&amp;VAR:KEY=HILQJKTKJK&amp;VAR:QUERY=RkZfRUJJVERBX0lCKCdMVE1TJyw0MDIyOCk=&amp;WINDOW=FIRST_POPUP&amp;HEIGHT=450&amp;WIDTH=450&amp;START_MA","XIMIZED=FALSE&amp;VAR:CALENDAR=US&amp;VAR:SYMBOL=04916420&amp;VAR:INDEX=0"}</definedName>
    <definedName name="_9142__FDSAUDITLINK__" localSheetId="6" hidden="1">{"fdsup://directions/FAT Viewer?action=UPDATE&amp;creator=factset&amp;DYN_ARGS=TRUE&amp;DOC_NAME=FAT:FQL_AUDITING_CLIENT_TEMPLATE.FAT&amp;display_string=Audit&amp;VAR:KEY=VCNMLSLGVE&amp;VAR:QUERY=RkZfRUJJVERBX0lCKCdMVE1TJyw0MDIyNyk=&amp;WINDOW=FIRST_POPUP&amp;HEIGHT=450&amp;WIDTH=450&amp;START_MA","XIMIZED=FALSE&amp;VAR:CALENDAR=US&amp;VAR:SYMBOL=04916420&amp;VAR:INDEX=0"}</definedName>
    <definedName name="_9142__FDSAUDITLINK__" hidden="1">{"fdsup://directions/FAT Viewer?action=UPDATE&amp;creator=factset&amp;DYN_ARGS=TRUE&amp;DOC_NAME=FAT:FQL_AUDITING_CLIENT_TEMPLATE.FAT&amp;display_string=Audit&amp;VAR:KEY=VCNMLSLGVE&amp;VAR:QUERY=RkZfRUJJVERBX0lCKCdMVE1TJyw0MDIyNyk=&amp;WINDOW=FIRST_POPUP&amp;HEIGHT=450&amp;WIDTH=450&amp;START_MA","XIMIZED=FALSE&amp;VAR:CALENDAR=US&amp;VAR:SYMBOL=04916420&amp;VAR:INDEX=0"}</definedName>
    <definedName name="_9143__FDSAUDITLINK__" localSheetId="6" hidden="1">{"fdsup://directions/FAT Viewer?action=UPDATE&amp;creator=factset&amp;DYN_ARGS=TRUE&amp;DOC_NAME=FAT:FQL_AUDITING_CLIENT_TEMPLATE.FAT&amp;display_string=Audit&amp;VAR:KEY=JGTELCBUDQ&amp;VAR:QUERY=RkZfRUJJVERBX0lCKCdMVE1TJyw0MDIyNik=&amp;WINDOW=FIRST_POPUP&amp;HEIGHT=450&amp;WIDTH=450&amp;START_MA","XIMIZED=FALSE&amp;VAR:CALENDAR=US&amp;VAR:SYMBOL=04916420&amp;VAR:INDEX=0"}</definedName>
    <definedName name="_9143__FDSAUDITLINK__" hidden="1">{"fdsup://directions/FAT Viewer?action=UPDATE&amp;creator=factset&amp;DYN_ARGS=TRUE&amp;DOC_NAME=FAT:FQL_AUDITING_CLIENT_TEMPLATE.FAT&amp;display_string=Audit&amp;VAR:KEY=JGTELCBUDQ&amp;VAR:QUERY=RkZfRUJJVERBX0lCKCdMVE1TJyw0MDIyNik=&amp;WINDOW=FIRST_POPUP&amp;HEIGHT=450&amp;WIDTH=450&amp;START_MA","XIMIZED=FALSE&amp;VAR:CALENDAR=US&amp;VAR:SYMBOL=04916420&amp;VAR:INDEX=0"}</definedName>
    <definedName name="_9144__FDSAUDITLINK__" localSheetId="6" hidden="1">{"fdsup://directions/FAT Viewer?action=UPDATE&amp;creator=factset&amp;DYN_ARGS=TRUE&amp;DOC_NAME=FAT:FQL_AUDITING_CLIENT_TEMPLATE.FAT&amp;display_string=Audit&amp;VAR:KEY=BKVANUDKFQ&amp;VAR:QUERY=RkZfRUJJVERBX0lCKCdMVE1TJyw0MDIyNSk=&amp;WINDOW=FIRST_POPUP&amp;HEIGHT=450&amp;WIDTH=450&amp;START_MA","XIMIZED=FALSE&amp;VAR:CALENDAR=US&amp;VAR:SYMBOL=04916420&amp;VAR:INDEX=0"}</definedName>
    <definedName name="_9144__FDSAUDITLINK__" hidden="1">{"fdsup://directions/FAT Viewer?action=UPDATE&amp;creator=factset&amp;DYN_ARGS=TRUE&amp;DOC_NAME=FAT:FQL_AUDITING_CLIENT_TEMPLATE.FAT&amp;display_string=Audit&amp;VAR:KEY=BKVANUDKFQ&amp;VAR:QUERY=RkZfRUJJVERBX0lCKCdMVE1TJyw0MDIyNSk=&amp;WINDOW=FIRST_POPUP&amp;HEIGHT=450&amp;WIDTH=450&amp;START_MA","XIMIZED=FALSE&amp;VAR:CALENDAR=US&amp;VAR:SYMBOL=04916420&amp;VAR:INDEX=0"}</definedName>
    <definedName name="_9145__FDSAUDITLINK__" localSheetId="6" hidden="1">{"fdsup://directions/FAT Viewer?action=UPDATE&amp;creator=factset&amp;DYN_ARGS=TRUE&amp;DOC_NAME=FAT:FQL_AUDITING_CLIENT_TEMPLATE.FAT&amp;display_string=Audit&amp;VAR:KEY=RUJEBEDMNM&amp;VAR:QUERY=RkZfRUJJVERBX0lCKCdMVE1TJyw0MDIyNCk=&amp;WINDOW=FIRST_POPUP&amp;HEIGHT=450&amp;WIDTH=450&amp;START_MA","XIMIZED=FALSE&amp;VAR:CALENDAR=US&amp;VAR:SYMBOL=04916420&amp;VAR:INDEX=0"}</definedName>
    <definedName name="_9145__FDSAUDITLINK__" hidden="1">{"fdsup://directions/FAT Viewer?action=UPDATE&amp;creator=factset&amp;DYN_ARGS=TRUE&amp;DOC_NAME=FAT:FQL_AUDITING_CLIENT_TEMPLATE.FAT&amp;display_string=Audit&amp;VAR:KEY=RUJEBEDMNM&amp;VAR:QUERY=RkZfRUJJVERBX0lCKCdMVE1TJyw0MDIyNCk=&amp;WINDOW=FIRST_POPUP&amp;HEIGHT=450&amp;WIDTH=450&amp;START_MA","XIMIZED=FALSE&amp;VAR:CALENDAR=US&amp;VAR:SYMBOL=04916420&amp;VAR:INDEX=0"}</definedName>
    <definedName name="_9146__FDSAUDITLINK__" localSheetId="6" hidden="1">{"fdsup://directions/FAT Viewer?action=UPDATE&amp;creator=factset&amp;DYN_ARGS=TRUE&amp;DOC_NAME=FAT:FQL_AUDITING_CLIENT_TEMPLATE.FAT&amp;display_string=Audit&amp;VAR:KEY=LMHEHGHWPI&amp;VAR:QUERY=RkZfRUJJVERBX0lCKCdMVE1TJyw0MDIyMyk=&amp;WINDOW=FIRST_POPUP&amp;HEIGHT=450&amp;WIDTH=450&amp;START_MA","XIMIZED=FALSE&amp;VAR:CALENDAR=US&amp;VAR:SYMBOL=04916420&amp;VAR:INDEX=0"}</definedName>
    <definedName name="_9146__FDSAUDITLINK__" hidden="1">{"fdsup://directions/FAT Viewer?action=UPDATE&amp;creator=factset&amp;DYN_ARGS=TRUE&amp;DOC_NAME=FAT:FQL_AUDITING_CLIENT_TEMPLATE.FAT&amp;display_string=Audit&amp;VAR:KEY=LMHEHGHWPI&amp;VAR:QUERY=RkZfRUJJVERBX0lCKCdMVE1TJyw0MDIyMyk=&amp;WINDOW=FIRST_POPUP&amp;HEIGHT=450&amp;WIDTH=450&amp;START_MA","XIMIZED=FALSE&amp;VAR:CALENDAR=US&amp;VAR:SYMBOL=04916420&amp;VAR:INDEX=0"}</definedName>
    <definedName name="_9147__FDSAUDITLINK__" localSheetId="6" hidden="1">{"fdsup://directions/FAT Viewer?action=UPDATE&amp;creator=factset&amp;DYN_ARGS=TRUE&amp;DOC_NAME=FAT:FQL_AUDITING_CLIENT_TEMPLATE.FAT&amp;display_string=Audit&amp;VAR:KEY=LURCZCDMJK&amp;VAR:QUERY=RkZfRUJJVERBX0lCKCdMVE1TJyw0MDIyMik=&amp;WINDOW=FIRST_POPUP&amp;HEIGHT=450&amp;WIDTH=450&amp;START_MA","XIMIZED=FALSE&amp;VAR:CALENDAR=US&amp;VAR:SYMBOL=04916420&amp;VAR:INDEX=0"}</definedName>
    <definedName name="_9147__FDSAUDITLINK__" hidden="1">{"fdsup://directions/FAT Viewer?action=UPDATE&amp;creator=factset&amp;DYN_ARGS=TRUE&amp;DOC_NAME=FAT:FQL_AUDITING_CLIENT_TEMPLATE.FAT&amp;display_string=Audit&amp;VAR:KEY=LURCZCDMJK&amp;VAR:QUERY=RkZfRUJJVERBX0lCKCdMVE1TJyw0MDIyMik=&amp;WINDOW=FIRST_POPUP&amp;HEIGHT=450&amp;WIDTH=450&amp;START_MA","XIMIZED=FALSE&amp;VAR:CALENDAR=US&amp;VAR:SYMBOL=04916420&amp;VAR:INDEX=0"}</definedName>
    <definedName name="_9148__FDSAUDITLINK__" localSheetId="6" hidden="1">{"fdsup://directions/FAT Viewer?action=UPDATE&amp;creator=factset&amp;DYN_ARGS=TRUE&amp;DOC_NAME=FAT:FQL_AUDITING_CLIENT_TEMPLATE.FAT&amp;display_string=Audit&amp;VAR:KEY=XCLMNEVMBM&amp;VAR:QUERY=RkZfRUJJVERBX0lCKCdMVE1TJyw0MDIyMSk=&amp;WINDOW=FIRST_POPUP&amp;HEIGHT=450&amp;WIDTH=450&amp;START_MA","XIMIZED=FALSE&amp;VAR:CALENDAR=US&amp;VAR:SYMBOL=04916420&amp;VAR:INDEX=0"}</definedName>
    <definedName name="_9148__FDSAUDITLINK__" hidden="1">{"fdsup://directions/FAT Viewer?action=UPDATE&amp;creator=factset&amp;DYN_ARGS=TRUE&amp;DOC_NAME=FAT:FQL_AUDITING_CLIENT_TEMPLATE.FAT&amp;display_string=Audit&amp;VAR:KEY=XCLMNEVMBM&amp;VAR:QUERY=RkZfRUJJVERBX0lCKCdMVE1TJyw0MDIyMSk=&amp;WINDOW=FIRST_POPUP&amp;HEIGHT=450&amp;WIDTH=450&amp;START_MA","XIMIZED=FALSE&amp;VAR:CALENDAR=US&amp;VAR:SYMBOL=04916420&amp;VAR:INDEX=0"}</definedName>
    <definedName name="_9149__FDSAUDITLINK__" localSheetId="6" hidden="1">{"fdsup://directions/FAT Viewer?action=UPDATE&amp;creator=factset&amp;DYN_ARGS=TRUE&amp;DOC_NAME=FAT:FQL_AUDITING_CLIENT_TEMPLATE.FAT&amp;display_string=Audit&amp;VAR:KEY=BCZWBWBQVO&amp;VAR:QUERY=RkZfRUJJVERBX0lCKCdMVE1TJyw0MDIyMCk=&amp;WINDOW=FIRST_POPUP&amp;HEIGHT=450&amp;WIDTH=450&amp;START_MA","XIMIZED=FALSE&amp;VAR:CALENDAR=US&amp;VAR:SYMBOL=04916420&amp;VAR:INDEX=0"}</definedName>
    <definedName name="_9149__FDSAUDITLINK__" hidden="1">{"fdsup://directions/FAT Viewer?action=UPDATE&amp;creator=factset&amp;DYN_ARGS=TRUE&amp;DOC_NAME=FAT:FQL_AUDITING_CLIENT_TEMPLATE.FAT&amp;display_string=Audit&amp;VAR:KEY=BCZWBWBQVO&amp;VAR:QUERY=RkZfRUJJVERBX0lCKCdMVE1TJyw0MDIyMCk=&amp;WINDOW=FIRST_POPUP&amp;HEIGHT=450&amp;WIDTH=450&amp;START_MA","XIMIZED=FALSE&amp;VAR:CALENDAR=US&amp;VAR:SYMBOL=04916420&amp;VAR:INDEX=0"}</definedName>
    <definedName name="_915__FDSAUDITLINK__" localSheetId="6" hidden="1">{"fdsup://directions/FAT%20Viewer?VAR:PED=LTM&amp;VAR:AUDIT_MODE=SUMMARY&amp;VAR:PERIOD=FIXED&amp;VAR:AUDIT_ID=00000117&amp;VAR:DATE=20070821&amp;action=UPDATE&amp;creator=factset&amp;DOC_NAME=FAT:FMA_audit_SUMMARY.fat&amp;DISPLAY_STRING=Display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5__FDSAUDITLINK__" hidden="1">{"fdsup://directions/FAT%20Viewer?VAR:PED=LTM&amp;VAR:AUDIT_MODE=SUMMARY&amp;VAR:PERIOD=FIXED&amp;VAR:AUDIT_ID=00000117&amp;VAR:DATE=20070821&amp;action=UPDATE&amp;creator=factset&amp;DOC_NAME=FAT:FMA_audit_SUMMARY.fat&amp;DISPLAY_STRING=Display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50__FDSAUDITLINK__" localSheetId="6" hidden="1">{"fdsup://directions/FAT Viewer?action=UPDATE&amp;creator=factset&amp;DYN_ARGS=TRUE&amp;DOC_NAME=FAT:FQL_AUDITING_CLIENT_TEMPLATE.FAT&amp;display_string=Audit&amp;VAR:KEY=FWLEZCXUFQ&amp;VAR:QUERY=RkZfRUJJVERBX0lCKCdMVE1TJyw0MDIxOSk=&amp;WINDOW=FIRST_POPUP&amp;HEIGHT=450&amp;WIDTH=450&amp;START_MA","XIMIZED=FALSE&amp;VAR:CALENDAR=US&amp;VAR:SYMBOL=04916420&amp;VAR:INDEX=0"}</definedName>
    <definedName name="_9150__FDSAUDITLINK__" hidden="1">{"fdsup://directions/FAT Viewer?action=UPDATE&amp;creator=factset&amp;DYN_ARGS=TRUE&amp;DOC_NAME=FAT:FQL_AUDITING_CLIENT_TEMPLATE.FAT&amp;display_string=Audit&amp;VAR:KEY=FWLEZCXUFQ&amp;VAR:QUERY=RkZfRUJJVERBX0lCKCdMVE1TJyw0MDIxOSk=&amp;WINDOW=FIRST_POPUP&amp;HEIGHT=450&amp;WIDTH=450&amp;START_MA","XIMIZED=FALSE&amp;VAR:CALENDAR=US&amp;VAR:SYMBOL=04916420&amp;VAR:INDEX=0"}</definedName>
    <definedName name="_9151__FDSAUDITLINK__" localSheetId="6" hidden="1">{"fdsup://directions/FAT Viewer?action=UPDATE&amp;creator=factset&amp;DYN_ARGS=TRUE&amp;DOC_NAME=FAT:FQL_AUDITING_CLIENT_TEMPLATE.FAT&amp;display_string=Audit&amp;VAR:KEY=NKFUZONEDI&amp;VAR:QUERY=RkZfRUJJVERBX0lCKCdMVE1TJyw0MDIxOCk=&amp;WINDOW=FIRST_POPUP&amp;HEIGHT=450&amp;WIDTH=450&amp;START_MA","XIMIZED=FALSE&amp;VAR:CALENDAR=US&amp;VAR:SYMBOL=04916420&amp;VAR:INDEX=0"}</definedName>
    <definedName name="_9151__FDSAUDITLINK__" hidden="1">{"fdsup://directions/FAT Viewer?action=UPDATE&amp;creator=factset&amp;DYN_ARGS=TRUE&amp;DOC_NAME=FAT:FQL_AUDITING_CLIENT_TEMPLATE.FAT&amp;display_string=Audit&amp;VAR:KEY=NKFUZONEDI&amp;VAR:QUERY=RkZfRUJJVERBX0lCKCdMVE1TJyw0MDIxOCk=&amp;WINDOW=FIRST_POPUP&amp;HEIGHT=450&amp;WIDTH=450&amp;START_MA","XIMIZED=FALSE&amp;VAR:CALENDAR=US&amp;VAR:SYMBOL=04916420&amp;VAR:INDEX=0"}</definedName>
    <definedName name="_9152__FDSAUDITLINK__" localSheetId="6" hidden="1">{"fdsup://directions/FAT Viewer?action=UPDATE&amp;creator=factset&amp;DYN_ARGS=TRUE&amp;DOC_NAME=FAT:FQL_AUDITING_CLIENT_TEMPLATE.FAT&amp;display_string=Audit&amp;VAR:KEY=BOLANCPONK&amp;VAR:QUERY=RkZfRUJJVERBX0lCKCdMVE1TJyw0MDIxNyk=&amp;WINDOW=FIRST_POPUP&amp;HEIGHT=450&amp;WIDTH=450&amp;START_MA","XIMIZED=FALSE&amp;VAR:CALENDAR=US&amp;VAR:SYMBOL=04916420&amp;VAR:INDEX=0"}</definedName>
    <definedName name="_9152__FDSAUDITLINK__" hidden="1">{"fdsup://directions/FAT Viewer?action=UPDATE&amp;creator=factset&amp;DYN_ARGS=TRUE&amp;DOC_NAME=FAT:FQL_AUDITING_CLIENT_TEMPLATE.FAT&amp;display_string=Audit&amp;VAR:KEY=BOLANCPONK&amp;VAR:QUERY=RkZfRUJJVERBX0lCKCdMVE1TJyw0MDIxNyk=&amp;WINDOW=FIRST_POPUP&amp;HEIGHT=450&amp;WIDTH=450&amp;START_MA","XIMIZED=FALSE&amp;VAR:CALENDAR=US&amp;VAR:SYMBOL=04916420&amp;VAR:INDEX=0"}</definedName>
    <definedName name="_9153__FDSAUDITLINK__" localSheetId="6" hidden="1">{"fdsup://directions/FAT Viewer?action=UPDATE&amp;creator=factset&amp;DYN_ARGS=TRUE&amp;DOC_NAME=FAT:FQL_AUDITING_CLIENT_TEMPLATE.FAT&amp;display_string=Audit&amp;VAR:KEY=JQRCFETKZQ&amp;VAR:QUERY=RkZfRUJJVERBX0lCKCdMVE1TJyw0MDIxNik=&amp;WINDOW=FIRST_POPUP&amp;HEIGHT=450&amp;WIDTH=450&amp;START_MA","XIMIZED=FALSE&amp;VAR:CALENDAR=US&amp;VAR:SYMBOL=04916420&amp;VAR:INDEX=0"}</definedName>
    <definedName name="_9153__FDSAUDITLINK__" hidden="1">{"fdsup://directions/FAT Viewer?action=UPDATE&amp;creator=factset&amp;DYN_ARGS=TRUE&amp;DOC_NAME=FAT:FQL_AUDITING_CLIENT_TEMPLATE.FAT&amp;display_string=Audit&amp;VAR:KEY=JQRCFETKZQ&amp;VAR:QUERY=RkZfRUJJVERBX0lCKCdMVE1TJyw0MDIxNik=&amp;WINDOW=FIRST_POPUP&amp;HEIGHT=450&amp;WIDTH=450&amp;START_MA","XIMIZED=FALSE&amp;VAR:CALENDAR=US&amp;VAR:SYMBOL=04916420&amp;VAR:INDEX=0"}</definedName>
    <definedName name="_9154__FDSAUDITLINK__" localSheetId="6" hidden="1">{"fdsup://directions/FAT Viewer?action=UPDATE&amp;creator=factset&amp;DYN_ARGS=TRUE&amp;DOC_NAME=FAT:FQL_AUDITING_CLIENT_TEMPLATE.FAT&amp;display_string=Audit&amp;VAR:KEY=RCPOBOZETQ&amp;VAR:QUERY=RkZfRUJJVERBX0lCKCdMVE1TJyw0MDIxNSk=&amp;WINDOW=FIRST_POPUP&amp;HEIGHT=450&amp;WIDTH=450&amp;START_MA","XIMIZED=FALSE&amp;VAR:CALENDAR=US&amp;VAR:SYMBOL=04916420&amp;VAR:INDEX=0"}</definedName>
    <definedName name="_9154__FDSAUDITLINK__" hidden="1">{"fdsup://directions/FAT Viewer?action=UPDATE&amp;creator=factset&amp;DYN_ARGS=TRUE&amp;DOC_NAME=FAT:FQL_AUDITING_CLIENT_TEMPLATE.FAT&amp;display_string=Audit&amp;VAR:KEY=RCPOBOZETQ&amp;VAR:QUERY=RkZfRUJJVERBX0lCKCdMVE1TJyw0MDIxNSk=&amp;WINDOW=FIRST_POPUP&amp;HEIGHT=450&amp;WIDTH=450&amp;START_MA","XIMIZED=FALSE&amp;VAR:CALENDAR=US&amp;VAR:SYMBOL=04916420&amp;VAR:INDEX=0"}</definedName>
    <definedName name="_9155__FDSAUDITLINK__" localSheetId="6" hidden="1">{"fdsup://directions/FAT Viewer?action=UPDATE&amp;creator=factset&amp;DYN_ARGS=TRUE&amp;DOC_NAME=FAT:FQL_AUDITING_CLIENT_TEMPLATE.FAT&amp;display_string=Audit&amp;VAR:KEY=RGNUVENSLQ&amp;VAR:QUERY=RkZfRUJJVERBX0lCKCdMVE1TJyw0MDIxNCk=&amp;WINDOW=FIRST_POPUP&amp;HEIGHT=450&amp;WIDTH=450&amp;START_MA","XIMIZED=FALSE&amp;VAR:CALENDAR=US&amp;VAR:SYMBOL=04916420&amp;VAR:INDEX=0"}</definedName>
    <definedName name="_9155__FDSAUDITLINK__" hidden="1">{"fdsup://directions/FAT Viewer?action=UPDATE&amp;creator=factset&amp;DYN_ARGS=TRUE&amp;DOC_NAME=FAT:FQL_AUDITING_CLIENT_TEMPLATE.FAT&amp;display_string=Audit&amp;VAR:KEY=RGNUVENSLQ&amp;VAR:QUERY=RkZfRUJJVERBX0lCKCdMVE1TJyw0MDIxNCk=&amp;WINDOW=FIRST_POPUP&amp;HEIGHT=450&amp;WIDTH=450&amp;START_MA","XIMIZED=FALSE&amp;VAR:CALENDAR=US&amp;VAR:SYMBOL=04916420&amp;VAR:INDEX=0"}</definedName>
    <definedName name="_9156__FDSAUDITLINK__" localSheetId="6" hidden="1">{"fdsup://directions/FAT Viewer?action=UPDATE&amp;creator=factset&amp;DYN_ARGS=TRUE&amp;DOC_NAME=FAT:FQL_AUDITING_CLIENT_TEMPLATE.FAT&amp;display_string=Audit&amp;VAR:KEY=FURIDSHGLW&amp;VAR:QUERY=RkZfRUJJVERBX0lCKCdMVE1TJyw0MDIxMyk=&amp;WINDOW=FIRST_POPUP&amp;HEIGHT=450&amp;WIDTH=450&amp;START_MA","XIMIZED=FALSE&amp;VAR:CALENDAR=US&amp;VAR:SYMBOL=04916420&amp;VAR:INDEX=0"}</definedName>
    <definedName name="_9156__FDSAUDITLINK__" hidden="1">{"fdsup://directions/FAT Viewer?action=UPDATE&amp;creator=factset&amp;DYN_ARGS=TRUE&amp;DOC_NAME=FAT:FQL_AUDITING_CLIENT_TEMPLATE.FAT&amp;display_string=Audit&amp;VAR:KEY=FURIDSHGLW&amp;VAR:QUERY=RkZfRUJJVERBX0lCKCdMVE1TJyw0MDIxMyk=&amp;WINDOW=FIRST_POPUP&amp;HEIGHT=450&amp;WIDTH=450&amp;START_MA","XIMIZED=FALSE&amp;VAR:CALENDAR=US&amp;VAR:SYMBOL=04916420&amp;VAR:INDEX=0"}</definedName>
    <definedName name="_9157__FDSAUDITLINK__" localSheetId="6" hidden="1">{"fdsup://directions/FAT Viewer?action=UPDATE&amp;creator=factset&amp;DYN_ARGS=TRUE&amp;DOC_NAME=FAT:FQL_AUDITING_CLIENT_TEMPLATE.FAT&amp;display_string=Audit&amp;VAR:KEY=LGNIBEXGNE&amp;VAR:QUERY=RkZfRUJJVERBX0lCKCdMVE1TJyw0MDIxMik=&amp;WINDOW=FIRST_POPUP&amp;HEIGHT=450&amp;WIDTH=450&amp;START_MA","XIMIZED=FALSE&amp;VAR:CALENDAR=US&amp;VAR:SYMBOL=04916420&amp;VAR:INDEX=0"}</definedName>
    <definedName name="_9157__FDSAUDITLINK__" hidden="1">{"fdsup://directions/FAT Viewer?action=UPDATE&amp;creator=factset&amp;DYN_ARGS=TRUE&amp;DOC_NAME=FAT:FQL_AUDITING_CLIENT_TEMPLATE.FAT&amp;display_string=Audit&amp;VAR:KEY=LGNIBEXGNE&amp;VAR:QUERY=RkZfRUJJVERBX0lCKCdMVE1TJyw0MDIxMik=&amp;WINDOW=FIRST_POPUP&amp;HEIGHT=450&amp;WIDTH=450&amp;START_MA","XIMIZED=FALSE&amp;VAR:CALENDAR=US&amp;VAR:SYMBOL=04916420&amp;VAR:INDEX=0"}</definedName>
    <definedName name="_9158__FDSAUDITLINK__" localSheetId="6" hidden="1">{"fdsup://directions/FAT Viewer?action=UPDATE&amp;creator=factset&amp;DYN_ARGS=TRUE&amp;DOC_NAME=FAT:FQL_AUDITING_CLIENT_TEMPLATE.FAT&amp;display_string=Audit&amp;VAR:KEY=VQZODOXENE&amp;VAR:QUERY=RkZfRUJJVERBX0lCKCdMVE1TJyw0MDIxMSk=&amp;WINDOW=FIRST_POPUP&amp;HEIGHT=450&amp;WIDTH=450&amp;START_MA","XIMIZED=FALSE&amp;VAR:CALENDAR=US&amp;VAR:SYMBOL=04916420&amp;VAR:INDEX=0"}</definedName>
    <definedName name="_9158__FDSAUDITLINK__" hidden="1">{"fdsup://directions/FAT Viewer?action=UPDATE&amp;creator=factset&amp;DYN_ARGS=TRUE&amp;DOC_NAME=FAT:FQL_AUDITING_CLIENT_TEMPLATE.FAT&amp;display_string=Audit&amp;VAR:KEY=VQZODOXENE&amp;VAR:QUERY=RkZfRUJJVERBX0lCKCdMVE1TJyw0MDIxMSk=&amp;WINDOW=FIRST_POPUP&amp;HEIGHT=450&amp;WIDTH=450&amp;START_MA","XIMIZED=FALSE&amp;VAR:CALENDAR=US&amp;VAR:SYMBOL=04916420&amp;VAR:INDEX=0"}</definedName>
    <definedName name="_9159__FDSAUDITLINK__" localSheetId="6" hidden="1">{"fdsup://directions/FAT Viewer?action=UPDATE&amp;creator=factset&amp;DYN_ARGS=TRUE&amp;DOC_NAME=FAT:FQL_AUDITING_CLIENT_TEMPLATE.FAT&amp;display_string=Audit&amp;VAR:KEY=FYLUFKPQNQ&amp;VAR:QUERY=RkZfRUJJVERBX0lCKCdMVE1TJyw0MDIxMCk=&amp;WINDOW=FIRST_POPUP&amp;HEIGHT=450&amp;WIDTH=450&amp;START_MA","XIMIZED=FALSE&amp;VAR:CALENDAR=US&amp;VAR:SYMBOL=04916420&amp;VAR:INDEX=0"}</definedName>
    <definedName name="_9159__FDSAUDITLINK__" hidden="1">{"fdsup://directions/FAT Viewer?action=UPDATE&amp;creator=factset&amp;DYN_ARGS=TRUE&amp;DOC_NAME=FAT:FQL_AUDITING_CLIENT_TEMPLATE.FAT&amp;display_string=Audit&amp;VAR:KEY=FYLUFKPQNQ&amp;VAR:QUERY=RkZfRUJJVERBX0lCKCdMVE1TJyw0MDIxMCk=&amp;WINDOW=FIRST_POPUP&amp;HEIGHT=450&amp;WIDTH=450&amp;START_MA","XIMIZED=FALSE&amp;VAR:CALENDAR=US&amp;VAR:SYMBOL=04916420&amp;VAR:INDEX=0"}</definedName>
    <definedName name="_916__FDSAUDITLINK__" localSheetId="6" hidden="1">{"fdsup://directions/FAT%20Viewer?VAR:PED=LTM&amp;VAR:AUDIT_MODE=SUMMARY&amp;VAR:PERIOD=FIXED&amp;VAR:AUDIT_ID=00000117&amp;VAR:DATE=20070820&amp;action=UPDATE&amp;creator=factset&amp;DOC_NAME=FAT:FMA_audit_SUMMARY.fat&amp;DISPLAY_STRING=Display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6__FDSAUDITLINK__" hidden="1">{"fdsup://directions/FAT%20Viewer?VAR:PED=LTM&amp;VAR:AUDIT_MODE=SUMMARY&amp;VAR:PERIOD=FIXED&amp;VAR:AUDIT_ID=00000117&amp;VAR:DATE=20070820&amp;action=UPDATE&amp;creator=factset&amp;DOC_NAME=FAT:FMA_audit_SUMMARY.fat&amp;DISPLAY_STRING=Display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60__FDSAUDITLINK__" localSheetId="6" hidden="1">{"fdsup://directions/FAT Viewer?action=UPDATE&amp;creator=factset&amp;DYN_ARGS=TRUE&amp;DOC_NAME=FAT:FQL_AUDITING_CLIENT_TEMPLATE.FAT&amp;display_string=Audit&amp;VAR:KEY=XCXQFILYJE&amp;VAR:QUERY=RkZfRUJJVERBX0lCKCdMVE1TJyw0MDIwOSk=&amp;WINDOW=FIRST_POPUP&amp;HEIGHT=450&amp;WIDTH=450&amp;START_MA","XIMIZED=FALSE&amp;VAR:CALENDAR=US&amp;VAR:SYMBOL=04916420&amp;VAR:INDEX=0"}</definedName>
    <definedName name="_9160__FDSAUDITLINK__" hidden="1">{"fdsup://directions/FAT Viewer?action=UPDATE&amp;creator=factset&amp;DYN_ARGS=TRUE&amp;DOC_NAME=FAT:FQL_AUDITING_CLIENT_TEMPLATE.FAT&amp;display_string=Audit&amp;VAR:KEY=XCXQFILYJE&amp;VAR:QUERY=RkZfRUJJVERBX0lCKCdMVE1TJyw0MDIwOSk=&amp;WINDOW=FIRST_POPUP&amp;HEIGHT=450&amp;WIDTH=450&amp;START_MA","XIMIZED=FALSE&amp;VAR:CALENDAR=US&amp;VAR:SYMBOL=04916420&amp;VAR:INDEX=0"}</definedName>
    <definedName name="_9161__FDSAUDITLINK__" localSheetId="6" hidden="1">{"fdsup://directions/FAT Viewer?action=UPDATE&amp;creator=factset&amp;DYN_ARGS=TRUE&amp;DOC_NAME=FAT:FQL_AUDITING_CLIENT_TEMPLATE.FAT&amp;display_string=Audit&amp;VAR:KEY=XMZGBYBSTE&amp;VAR:QUERY=RkZfRUJJVERBX0lCKCdMVE1TJyw0MDIwOCk=&amp;WINDOW=FIRST_POPUP&amp;HEIGHT=450&amp;WIDTH=450&amp;START_MA","XIMIZED=FALSE&amp;VAR:CALENDAR=US&amp;VAR:SYMBOL=04916420&amp;VAR:INDEX=0"}</definedName>
    <definedName name="_9161__FDSAUDITLINK__" hidden="1">{"fdsup://directions/FAT Viewer?action=UPDATE&amp;creator=factset&amp;DYN_ARGS=TRUE&amp;DOC_NAME=FAT:FQL_AUDITING_CLIENT_TEMPLATE.FAT&amp;display_string=Audit&amp;VAR:KEY=XMZGBYBSTE&amp;VAR:QUERY=RkZfRUJJVERBX0lCKCdMVE1TJyw0MDIwOCk=&amp;WINDOW=FIRST_POPUP&amp;HEIGHT=450&amp;WIDTH=450&amp;START_MA","XIMIZED=FALSE&amp;VAR:CALENDAR=US&amp;VAR:SYMBOL=04916420&amp;VAR:INDEX=0"}</definedName>
    <definedName name="_9162__FDSAUDITLINK__" localSheetId="6" hidden="1">{"fdsup://directions/FAT Viewer?action=UPDATE&amp;creator=factset&amp;DYN_ARGS=TRUE&amp;DOC_NAME=FAT:FQL_AUDITING_CLIENT_TEMPLATE.FAT&amp;display_string=Audit&amp;VAR:KEY=PAHCFAXGPG&amp;VAR:QUERY=RkZfRUJJVERBX0lCKCdMVE1TJyw0MDIwNyk=&amp;WINDOW=FIRST_POPUP&amp;HEIGHT=450&amp;WIDTH=450&amp;START_MA","XIMIZED=FALSE&amp;VAR:CALENDAR=US&amp;VAR:SYMBOL=04916420&amp;VAR:INDEX=0"}</definedName>
    <definedName name="_9162__FDSAUDITLINK__" hidden="1">{"fdsup://directions/FAT Viewer?action=UPDATE&amp;creator=factset&amp;DYN_ARGS=TRUE&amp;DOC_NAME=FAT:FQL_AUDITING_CLIENT_TEMPLATE.FAT&amp;display_string=Audit&amp;VAR:KEY=PAHCFAXGPG&amp;VAR:QUERY=RkZfRUJJVERBX0lCKCdMVE1TJyw0MDIwNyk=&amp;WINDOW=FIRST_POPUP&amp;HEIGHT=450&amp;WIDTH=450&amp;START_MA","XIMIZED=FALSE&amp;VAR:CALENDAR=US&amp;VAR:SYMBOL=04916420&amp;VAR:INDEX=0"}</definedName>
    <definedName name="_9163__FDSAUDITLINK__" localSheetId="6" hidden="1">{"fdsup://directions/FAT Viewer?action=UPDATE&amp;creator=factset&amp;DYN_ARGS=TRUE&amp;DOC_NAME=FAT:FQL_AUDITING_CLIENT_TEMPLATE.FAT&amp;display_string=Audit&amp;VAR:KEY=DYJWLCJWDU&amp;VAR:QUERY=RkZfRUJJVERBX0lCKCdMVE1TJyw0MDIwNik=&amp;WINDOW=FIRST_POPUP&amp;HEIGHT=450&amp;WIDTH=450&amp;START_MA","XIMIZED=FALSE&amp;VAR:CALENDAR=US&amp;VAR:SYMBOL=04916420&amp;VAR:INDEX=0"}</definedName>
    <definedName name="_9163__FDSAUDITLINK__" hidden="1">{"fdsup://directions/FAT Viewer?action=UPDATE&amp;creator=factset&amp;DYN_ARGS=TRUE&amp;DOC_NAME=FAT:FQL_AUDITING_CLIENT_TEMPLATE.FAT&amp;display_string=Audit&amp;VAR:KEY=DYJWLCJWDU&amp;VAR:QUERY=RkZfRUJJVERBX0lCKCdMVE1TJyw0MDIwNik=&amp;WINDOW=FIRST_POPUP&amp;HEIGHT=450&amp;WIDTH=450&amp;START_MA","XIMIZED=FALSE&amp;VAR:CALENDAR=US&amp;VAR:SYMBOL=04916420&amp;VAR:INDEX=0"}</definedName>
    <definedName name="_9164__FDSAUDITLINK__" localSheetId="6" hidden="1">{"fdsup://directions/FAT Viewer?action=UPDATE&amp;creator=factset&amp;DYN_ARGS=TRUE&amp;DOC_NAME=FAT:FQL_AUDITING_CLIENT_TEMPLATE.FAT&amp;display_string=Audit&amp;VAR:KEY=XUXWDENYFC&amp;VAR:QUERY=RkZfRUJJVERBX0lCKCdMVE1TJyw0MDIwNSk=&amp;WINDOW=FIRST_POPUP&amp;HEIGHT=450&amp;WIDTH=450&amp;START_MA","XIMIZED=FALSE&amp;VAR:CALENDAR=US&amp;VAR:SYMBOL=04916420&amp;VAR:INDEX=0"}</definedName>
    <definedName name="_9164__FDSAUDITLINK__" hidden="1">{"fdsup://directions/FAT Viewer?action=UPDATE&amp;creator=factset&amp;DYN_ARGS=TRUE&amp;DOC_NAME=FAT:FQL_AUDITING_CLIENT_TEMPLATE.FAT&amp;display_string=Audit&amp;VAR:KEY=XUXWDENYFC&amp;VAR:QUERY=RkZfRUJJVERBX0lCKCdMVE1TJyw0MDIwNSk=&amp;WINDOW=FIRST_POPUP&amp;HEIGHT=450&amp;WIDTH=450&amp;START_MA","XIMIZED=FALSE&amp;VAR:CALENDAR=US&amp;VAR:SYMBOL=04916420&amp;VAR:INDEX=0"}</definedName>
    <definedName name="_9165__FDSAUDITLINK__" localSheetId="6" hidden="1">{"fdsup://directions/FAT Viewer?action=UPDATE&amp;creator=factset&amp;DYN_ARGS=TRUE&amp;DOC_NAME=FAT:FQL_AUDITING_CLIENT_TEMPLATE.FAT&amp;display_string=Audit&amp;VAR:KEY=RMHAZUZELC&amp;VAR:QUERY=RkZfRUJJVERBX0lCKCdMVE1TJyw0MDIwNCk=&amp;WINDOW=FIRST_POPUP&amp;HEIGHT=450&amp;WIDTH=450&amp;START_MA","XIMIZED=FALSE&amp;VAR:CALENDAR=US&amp;VAR:SYMBOL=04916420&amp;VAR:INDEX=0"}</definedName>
    <definedName name="_9165__FDSAUDITLINK__" hidden="1">{"fdsup://directions/FAT Viewer?action=UPDATE&amp;creator=factset&amp;DYN_ARGS=TRUE&amp;DOC_NAME=FAT:FQL_AUDITING_CLIENT_TEMPLATE.FAT&amp;display_string=Audit&amp;VAR:KEY=RMHAZUZELC&amp;VAR:QUERY=RkZfRUJJVERBX0lCKCdMVE1TJyw0MDIwNCk=&amp;WINDOW=FIRST_POPUP&amp;HEIGHT=450&amp;WIDTH=450&amp;START_MA","XIMIZED=FALSE&amp;VAR:CALENDAR=US&amp;VAR:SYMBOL=04916420&amp;VAR:INDEX=0"}</definedName>
    <definedName name="_9166__FDSAUDITLINK__" localSheetId="6" hidden="1">{"fdsup://directions/FAT Viewer?action=UPDATE&amp;creator=factset&amp;DYN_ARGS=TRUE&amp;DOC_NAME=FAT:FQL_AUDITING_CLIENT_TEMPLATE.FAT&amp;display_string=Audit&amp;VAR:KEY=PKPEVUZIDO&amp;VAR:QUERY=RkZfRUJJVERBX0lCKCdMVE1TJyw0MDIwMyk=&amp;WINDOW=FIRST_POPUP&amp;HEIGHT=450&amp;WIDTH=450&amp;START_MA","XIMIZED=FALSE&amp;VAR:CALENDAR=US&amp;VAR:SYMBOL=04916420&amp;VAR:INDEX=0"}</definedName>
    <definedName name="_9166__FDSAUDITLINK__" hidden="1">{"fdsup://directions/FAT Viewer?action=UPDATE&amp;creator=factset&amp;DYN_ARGS=TRUE&amp;DOC_NAME=FAT:FQL_AUDITING_CLIENT_TEMPLATE.FAT&amp;display_string=Audit&amp;VAR:KEY=PKPEVUZIDO&amp;VAR:QUERY=RkZfRUJJVERBX0lCKCdMVE1TJyw0MDIwMyk=&amp;WINDOW=FIRST_POPUP&amp;HEIGHT=450&amp;WIDTH=450&amp;START_MA","XIMIZED=FALSE&amp;VAR:CALENDAR=US&amp;VAR:SYMBOL=04916420&amp;VAR:INDEX=0"}</definedName>
    <definedName name="_9167__FDSAUDITLINK__" localSheetId="6" hidden="1">{"fdsup://directions/FAT Viewer?action=UPDATE&amp;creator=factset&amp;DYN_ARGS=TRUE&amp;DOC_NAME=FAT:FQL_AUDITING_CLIENT_TEMPLATE.FAT&amp;display_string=Audit&amp;VAR:KEY=DGZKVUPSVK&amp;VAR:QUERY=RkZfRUJJVERBX0lCKCdMVE1TJyw0MDIwMik=&amp;WINDOW=FIRST_POPUP&amp;HEIGHT=450&amp;WIDTH=450&amp;START_MA","XIMIZED=FALSE&amp;VAR:CALENDAR=US&amp;VAR:SYMBOL=04916420&amp;VAR:INDEX=0"}</definedName>
    <definedName name="_9167__FDSAUDITLINK__" hidden="1">{"fdsup://directions/FAT Viewer?action=UPDATE&amp;creator=factset&amp;DYN_ARGS=TRUE&amp;DOC_NAME=FAT:FQL_AUDITING_CLIENT_TEMPLATE.FAT&amp;display_string=Audit&amp;VAR:KEY=DGZKVUPSVK&amp;VAR:QUERY=RkZfRUJJVERBX0lCKCdMVE1TJyw0MDIwMik=&amp;WINDOW=FIRST_POPUP&amp;HEIGHT=450&amp;WIDTH=450&amp;START_MA","XIMIZED=FALSE&amp;VAR:CALENDAR=US&amp;VAR:SYMBOL=04916420&amp;VAR:INDEX=0"}</definedName>
    <definedName name="_9168__FDSAUDITLINK__" localSheetId="6" hidden="1">{"fdsup://directions/FAT Viewer?action=UPDATE&amp;creator=factset&amp;DYN_ARGS=TRUE&amp;DOC_NAME=FAT:FQL_AUDITING_CLIENT_TEMPLATE.FAT&amp;display_string=Audit&amp;VAR:KEY=FIJCJYTAZW&amp;VAR:QUERY=RkZfRUJJVERBX0lCKCdMVE1TJyw0MDIwMSk=&amp;WINDOW=FIRST_POPUP&amp;HEIGHT=450&amp;WIDTH=450&amp;START_MA","XIMIZED=FALSE&amp;VAR:CALENDAR=US&amp;VAR:SYMBOL=04916420&amp;VAR:INDEX=0"}</definedName>
    <definedName name="_9168__FDSAUDITLINK__" hidden="1">{"fdsup://directions/FAT Viewer?action=UPDATE&amp;creator=factset&amp;DYN_ARGS=TRUE&amp;DOC_NAME=FAT:FQL_AUDITING_CLIENT_TEMPLATE.FAT&amp;display_string=Audit&amp;VAR:KEY=FIJCJYTAZW&amp;VAR:QUERY=RkZfRUJJVERBX0lCKCdMVE1TJyw0MDIwMSk=&amp;WINDOW=FIRST_POPUP&amp;HEIGHT=450&amp;WIDTH=450&amp;START_MA","XIMIZED=FALSE&amp;VAR:CALENDAR=US&amp;VAR:SYMBOL=04916420&amp;VAR:INDEX=0"}</definedName>
    <definedName name="_9169__FDSAUDITLINK__" localSheetId="6" hidden="1">{"fdsup://directions/FAT Viewer?action=UPDATE&amp;creator=factset&amp;DYN_ARGS=TRUE&amp;DOC_NAME=FAT:FQL_AUDITING_CLIENT_TEMPLATE.FAT&amp;display_string=Audit&amp;VAR:KEY=NSZSRULUBG&amp;VAR:QUERY=RkZfRUJJVERBX0lCKCdMVE1TJyw0MDIwMCk=&amp;WINDOW=FIRST_POPUP&amp;HEIGHT=450&amp;WIDTH=450&amp;START_MA","XIMIZED=FALSE&amp;VAR:CALENDAR=US&amp;VAR:SYMBOL=04916420&amp;VAR:INDEX=0"}</definedName>
    <definedName name="_9169__FDSAUDITLINK__" hidden="1">{"fdsup://directions/FAT Viewer?action=UPDATE&amp;creator=factset&amp;DYN_ARGS=TRUE&amp;DOC_NAME=FAT:FQL_AUDITING_CLIENT_TEMPLATE.FAT&amp;display_string=Audit&amp;VAR:KEY=NSZSRULUBG&amp;VAR:QUERY=RkZfRUJJVERBX0lCKCdMVE1TJyw0MDIwMCk=&amp;WINDOW=FIRST_POPUP&amp;HEIGHT=450&amp;WIDTH=450&amp;START_MA","XIMIZED=FALSE&amp;VAR:CALENDAR=US&amp;VAR:SYMBOL=04916420&amp;VAR:INDEX=0"}</definedName>
    <definedName name="_917__FDSAUDITLINK__" localSheetId="6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7__FDSAUDITLINK__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70__FDSAUDITLINK__" localSheetId="6" hidden="1">{"fdsup://directions/FAT Viewer?action=UPDATE&amp;creator=factset&amp;DYN_ARGS=TRUE&amp;DOC_NAME=FAT:FQL_AUDITING_CLIENT_TEMPLATE.FAT&amp;display_string=Audit&amp;VAR:KEY=JETIZGPGTK&amp;VAR:QUERY=RkZfRUJJVERBX0lCKCdMVE1TJyw0MDE5OSk=&amp;WINDOW=FIRST_POPUP&amp;HEIGHT=450&amp;WIDTH=450&amp;START_MA","XIMIZED=FALSE&amp;VAR:CALENDAR=US&amp;VAR:SYMBOL=04916420&amp;VAR:INDEX=0"}</definedName>
    <definedName name="_9170__FDSAUDITLINK__" hidden="1">{"fdsup://directions/FAT Viewer?action=UPDATE&amp;creator=factset&amp;DYN_ARGS=TRUE&amp;DOC_NAME=FAT:FQL_AUDITING_CLIENT_TEMPLATE.FAT&amp;display_string=Audit&amp;VAR:KEY=JETIZGPGTK&amp;VAR:QUERY=RkZfRUJJVERBX0lCKCdMVE1TJyw0MDE5OSk=&amp;WINDOW=FIRST_POPUP&amp;HEIGHT=450&amp;WIDTH=450&amp;START_MA","XIMIZED=FALSE&amp;VAR:CALENDAR=US&amp;VAR:SYMBOL=04916420&amp;VAR:INDEX=0"}</definedName>
    <definedName name="_9171__FDSAUDITLINK__" localSheetId="6" hidden="1">{"fdsup://directions/FAT Viewer?action=UPDATE&amp;creator=factset&amp;DYN_ARGS=TRUE&amp;DOC_NAME=FAT:FQL_AUDITING_CLIENT_TEMPLATE.FAT&amp;display_string=Audit&amp;VAR:KEY=DKPQBMVSRE&amp;VAR:QUERY=RkZfRUJJVERBX0lCKCdMVE1TJyw0MDE5OCk=&amp;WINDOW=FIRST_POPUP&amp;HEIGHT=450&amp;WIDTH=450&amp;START_MA","XIMIZED=FALSE&amp;VAR:CALENDAR=US&amp;VAR:SYMBOL=04916420&amp;VAR:INDEX=0"}</definedName>
    <definedName name="_9171__FDSAUDITLINK__" hidden="1">{"fdsup://directions/FAT Viewer?action=UPDATE&amp;creator=factset&amp;DYN_ARGS=TRUE&amp;DOC_NAME=FAT:FQL_AUDITING_CLIENT_TEMPLATE.FAT&amp;display_string=Audit&amp;VAR:KEY=DKPQBMVSRE&amp;VAR:QUERY=RkZfRUJJVERBX0lCKCdMVE1TJyw0MDE5OCk=&amp;WINDOW=FIRST_POPUP&amp;HEIGHT=450&amp;WIDTH=450&amp;START_MA","XIMIZED=FALSE&amp;VAR:CALENDAR=US&amp;VAR:SYMBOL=04916420&amp;VAR:INDEX=0"}</definedName>
    <definedName name="_9172__FDSAUDITLINK__" localSheetId="6" hidden="1">{"fdsup://directions/FAT Viewer?action=UPDATE&amp;creator=factset&amp;DYN_ARGS=TRUE&amp;DOC_NAME=FAT:FQL_AUDITING_CLIENT_TEMPLATE.FAT&amp;display_string=Audit&amp;VAR:KEY=VEPOPOPGRW&amp;VAR:QUERY=RkZfRUJJVERBX0lCKCdMVE1TJyw0MDE5Nyk=&amp;WINDOW=FIRST_POPUP&amp;HEIGHT=450&amp;WIDTH=450&amp;START_MA","XIMIZED=FALSE&amp;VAR:CALENDAR=US&amp;VAR:SYMBOL=04916420&amp;VAR:INDEX=0"}</definedName>
    <definedName name="_9172__FDSAUDITLINK__" hidden="1">{"fdsup://directions/FAT Viewer?action=UPDATE&amp;creator=factset&amp;DYN_ARGS=TRUE&amp;DOC_NAME=FAT:FQL_AUDITING_CLIENT_TEMPLATE.FAT&amp;display_string=Audit&amp;VAR:KEY=VEPOPOPGRW&amp;VAR:QUERY=RkZfRUJJVERBX0lCKCdMVE1TJyw0MDE5Nyk=&amp;WINDOW=FIRST_POPUP&amp;HEIGHT=450&amp;WIDTH=450&amp;START_MA","XIMIZED=FALSE&amp;VAR:CALENDAR=US&amp;VAR:SYMBOL=04916420&amp;VAR:INDEX=0"}</definedName>
    <definedName name="_9173__FDSAUDITLINK__" localSheetId="6" hidden="1">{"fdsup://directions/FAT Viewer?action=UPDATE&amp;creator=factset&amp;DYN_ARGS=TRUE&amp;DOC_NAME=FAT:FQL_AUDITING_CLIENT_TEMPLATE.FAT&amp;display_string=Audit&amp;VAR:KEY=ZUZONMJOZQ&amp;VAR:QUERY=RkZfRUJJVERBX0lCKCdMVE1TJyw0MDE5Nik=&amp;WINDOW=FIRST_POPUP&amp;HEIGHT=450&amp;WIDTH=450&amp;START_MA","XIMIZED=FALSE&amp;VAR:CALENDAR=US&amp;VAR:SYMBOL=04916420&amp;VAR:INDEX=0"}</definedName>
    <definedName name="_9173__FDSAUDITLINK__" hidden="1">{"fdsup://directions/FAT Viewer?action=UPDATE&amp;creator=factset&amp;DYN_ARGS=TRUE&amp;DOC_NAME=FAT:FQL_AUDITING_CLIENT_TEMPLATE.FAT&amp;display_string=Audit&amp;VAR:KEY=ZUZONMJOZQ&amp;VAR:QUERY=RkZfRUJJVERBX0lCKCdMVE1TJyw0MDE5Nik=&amp;WINDOW=FIRST_POPUP&amp;HEIGHT=450&amp;WIDTH=450&amp;START_MA","XIMIZED=FALSE&amp;VAR:CALENDAR=US&amp;VAR:SYMBOL=04916420&amp;VAR:INDEX=0"}</definedName>
    <definedName name="_9174__FDSAUDITLINK__" localSheetId="6" hidden="1">{"fdsup://directions/FAT Viewer?action=UPDATE&amp;creator=factset&amp;DYN_ARGS=TRUE&amp;DOC_NAME=FAT:FQL_AUDITING_CLIENT_TEMPLATE.FAT&amp;display_string=Audit&amp;VAR:KEY=JWBILGLONA&amp;VAR:QUERY=RkZfRUJJVERBX0lCKCdMVE1TJyw0MDE5NSk=&amp;WINDOW=FIRST_POPUP&amp;HEIGHT=450&amp;WIDTH=450&amp;START_MA","XIMIZED=FALSE&amp;VAR:CALENDAR=US&amp;VAR:SYMBOL=04916420&amp;VAR:INDEX=0"}</definedName>
    <definedName name="_9174__FDSAUDITLINK__" hidden="1">{"fdsup://directions/FAT Viewer?action=UPDATE&amp;creator=factset&amp;DYN_ARGS=TRUE&amp;DOC_NAME=FAT:FQL_AUDITING_CLIENT_TEMPLATE.FAT&amp;display_string=Audit&amp;VAR:KEY=JWBILGLONA&amp;VAR:QUERY=RkZfRUJJVERBX0lCKCdMVE1TJyw0MDE5NSk=&amp;WINDOW=FIRST_POPUP&amp;HEIGHT=450&amp;WIDTH=450&amp;START_MA","XIMIZED=FALSE&amp;VAR:CALENDAR=US&amp;VAR:SYMBOL=04916420&amp;VAR:INDEX=0"}</definedName>
    <definedName name="_9175__FDSAUDITLINK__" localSheetId="6" hidden="1">{"fdsup://directions/FAT Viewer?action=UPDATE&amp;creator=factset&amp;DYN_ARGS=TRUE&amp;DOC_NAME=FAT:FQL_AUDITING_CLIENT_TEMPLATE.FAT&amp;display_string=Audit&amp;VAR:KEY=RQXSLMBGDQ&amp;VAR:QUERY=RkZfRUJJVERBX0lCKCdMVE1TJyw0MDE5NCk=&amp;WINDOW=FIRST_POPUP&amp;HEIGHT=450&amp;WIDTH=450&amp;START_MA","XIMIZED=FALSE&amp;VAR:CALENDAR=US&amp;VAR:SYMBOL=04916420&amp;VAR:INDEX=0"}</definedName>
    <definedName name="_9175__FDSAUDITLINK__" hidden="1">{"fdsup://directions/FAT Viewer?action=UPDATE&amp;creator=factset&amp;DYN_ARGS=TRUE&amp;DOC_NAME=FAT:FQL_AUDITING_CLIENT_TEMPLATE.FAT&amp;display_string=Audit&amp;VAR:KEY=RQXSLMBGDQ&amp;VAR:QUERY=RkZfRUJJVERBX0lCKCdMVE1TJyw0MDE5NCk=&amp;WINDOW=FIRST_POPUP&amp;HEIGHT=450&amp;WIDTH=450&amp;START_MA","XIMIZED=FALSE&amp;VAR:CALENDAR=US&amp;VAR:SYMBOL=04916420&amp;VAR:INDEX=0"}</definedName>
    <definedName name="_9176__FDSAUDITLINK__" localSheetId="6" hidden="1">{"fdsup://directions/FAT Viewer?action=UPDATE&amp;creator=factset&amp;DYN_ARGS=TRUE&amp;DOC_NAME=FAT:FQL_AUDITING_CLIENT_TEMPLATE.FAT&amp;display_string=Audit&amp;VAR:KEY=POLEZYDGNA&amp;VAR:QUERY=RkZfRUJJVERBX0lCKCdMVE1TJyw0MDE5Myk=&amp;WINDOW=FIRST_POPUP&amp;HEIGHT=450&amp;WIDTH=450&amp;START_MA","XIMIZED=FALSE&amp;VAR:CALENDAR=US&amp;VAR:SYMBOL=04916420&amp;VAR:INDEX=0"}</definedName>
    <definedName name="_9176__FDSAUDITLINK__" hidden="1">{"fdsup://directions/FAT Viewer?action=UPDATE&amp;creator=factset&amp;DYN_ARGS=TRUE&amp;DOC_NAME=FAT:FQL_AUDITING_CLIENT_TEMPLATE.FAT&amp;display_string=Audit&amp;VAR:KEY=POLEZYDGNA&amp;VAR:QUERY=RkZfRUJJVERBX0lCKCdMVE1TJyw0MDE5Myk=&amp;WINDOW=FIRST_POPUP&amp;HEIGHT=450&amp;WIDTH=450&amp;START_MA","XIMIZED=FALSE&amp;VAR:CALENDAR=US&amp;VAR:SYMBOL=04916420&amp;VAR:INDEX=0"}</definedName>
    <definedName name="_9177__FDSAUDITLINK__" localSheetId="6" hidden="1">{"fdsup://directions/FAT Viewer?action=UPDATE&amp;creator=factset&amp;DYN_ARGS=TRUE&amp;DOC_NAME=FAT:FQL_AUDITING_CLIENT_TEMPLATE.FAT&amp;display_string=Audit&amp;VAR:KEY=DWVEVKPANE&amp;VAR:QUERY=RkZfRUJJVERBX0lCKCdMVE1TJyw0MDE5Mik=&amp;WINDOW=FIRST_POPUP&amp;HEIGHT=450&amp;WIDTH=450&amp;START_MA","XIMIZED=FALSE&amp;VAR:CALENDAR=US&amp;VAR:SYMBOL=04916420&amp;VAR:INDEX=0"}</definedName>
    <definedName name="_9177__FDSAUDITLINK__" hidden="1">{"fdsup://directions/FAT Viewer?action=UPDATE&amp;creator=factset&amp;DYN_ARGS=TRUE&amp;DOC_NAME=FAT:FQL_AUDITING_CLIENT_TEMPLATE.FAT&amp;display_string=Audit&amp;VAR:KEY=DWVEVKPANE&amp;VAR:QUERY=RkZfRUJJVERBX0lCKCdMVE1TJyw0MDE5Mik=&amp;WINDOW=FIRST_POPUP&amp;HEIGHT=450&amp;WIDTH=450&amp;START_MA","XIMIZED=FALSE&amp;VAR:CALENDAR=US&amp;VAR:SYMBOL=04916420&amp;VAR:INDEX=0"}</definedName>
    <definedName name="_9178__FDSAUDITLINK__" localSheetId="6" hidden="1">{"fdsup://directions/FAT Viewer?action=UPDATE&amp;creator=factset&amp;DYN_ARGS=TRUE&amp;DOC_NAME=FAT:FQL_AUDITING_CLIENT_TEMPLATE.FAT&amp;display_string=Audit&amp;VAR:KEY=RQJSBSBOXS&amp;VAR:QUERY=RkZfRUJJVERBX0lCKCdMVE1TJyw0MDE5MSk=&amp;WINDOW=FIRST_POPUP&amp;HEIGHT=450&amp;WIDTH=450&amp;START_MA","XIMIZED=FALSE&amp;VAR:CALENDAR=US&amp;VAR:SYMBOL=04916420&amp;VAR:INDEX=0"}</definedName>
    <definedName name="_9178__FDSAUDITLINK__" hidden="1">{"fdsup://directions/FAT Viewer?action=UPDATE&amp;creator=factset&amp;DYN_ARGS=TRUE&amp;DOC_NAME=FAT:FQL_AUDITING_CLIENT_TEMPLATE.FAT&amp;display_string=Audit&amp;VAR:KEY=RQJSBSBOXS&amp;VAR:QUERY=RkZfRUJJVERBX0lCKCdMVE1TJyw0MDE5MSk=&amp;WINDOW=FIRST_POPUP&amp;HEIGHT=450&amp;WIDTH=450&amp;START_MA","XIMIZED=FALSE&amp;VAR:CALENDAR=US&amp;VAR:SYMBOL=04916420&amp;VAR:INDEX=0"}</definedName>
    <definedName name="_9179__FDSAUDITLINK__" localSheetId="6" hidden="1">{"fdsup://directions/FAT Viewer?action=UPDATE&amp;creator=factset&amp;DYN_ARGS=TRUE&amp;DOC_NAME=FAT:FQL_AUDITING_CLIENT_TEMPLATE.FAT&amp;display_string=Audit&amp;VAR:KEY=HEFGVOFWZU&amp;VAR:QUERY=RkZfRUJJVERBX0lCKCdMVE1TJyw0MDE5MCk=&amp;WINDOW=FIRST_POPUP&amp;HEIGHT=450&amp;WIDTH=450&amp;START_MA","XIMIZED=FALSE&amp;VAR:CALENDAR=US&amp;VAR:SYMBOL=04916420&amp;VAR:INDEX=0"}</definedName>
    <definedName name="_9179__FDSAUDITLINK__" hidden="1">{"fdsup://directions/FAT Viewer?action=UPDATE&amp;creator=factset&amp;DYN_ARGS=TRUE&amp;DOC_NAME=FAT:FQL_AUDITING_CLIENT_TEMPLATE.FAT&amp;display_string=Audit&amp;VAR:KEY=HEFGVOFWZU&amp;VAR:QUERY=RkZfRUJJVERBX0lCKCdMVE1TJyw0MDE5MCk=&amp;WINDOW=FIRST_POPUP&amp;HEIGHT=450&amp;WIDTH=450&amp;START_MA","XIMIZED=FALSE&amp;VAR:CALENDAR=US&amp;VAR:SYMBOL=04916420&amp;VAR:INDEX=0"}</definedName>
    <definedName name="_918__FDSAUDITLINK__" localSheetId="6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8__FDSAUDITLINK__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80__FDSAUDITLINK__" localSheetId="6" hidden="1">{"fdsup://directions/FAT Viewer?action=UPDATE&amp;creator=factset&amp;DYN_ARGS=TRUE&amp;DOC_NAME=FAT:FQL_AUDITING_CLIENT_TEMPLATE.FAT&amp;display_string=Audit&amp;VAR:KEY=DSJWBQBYFQ&amp;VAR:QUERY=RkZfRUJJVERBX0lCKCdMVE1TJyw0MDE4OSk=&amp;WINDOW=FIRST_POPUP&amp;HEIGHT=450&amp;WIDTH=450&amp;START_MA","XIMIZED=FALSE&amp;VAR:CALENDAR=US&amp;VAR:SYMBOL=04916420&amp;VAR:INDEX=0"}</definedName>
    <definedName name="_9180__FDSAUDITLINK__" hidden="1">{"fdsup://directions/FAT Viewer?action=UPDATE&amp;creator=factset&amp;DYN_ARGS=TRUE&amp;DOC_NAME=FAT:FQL_AUDITING_CLIENT_TEMPLATE.FAT&amp;display_string=Audit&amp;VAR:KEY=DSJWBQBYFQ&amp;VAR:QUERY=RkZfRUJJVERBX0lCKCdMVE1TJyw0MDE4OSk=&amp;WINDOW=FIRST_POPUP&amp;HEIGHT=450&amp;WIDTH=450&amp;START_MA","XIMIZED=FALSE&amp;VAR:CALENDAR=US&amp;VAR:SYMBOL=04916420&amp;VAR:INDEX=0"}</definedName>
    <definedName name="_9181__FDSAUDITLINK__" localSheetId="6" hidden="1">{"fdsup://directions/FAT Viewer?action=UPDATE&amp;creator=factset&amp;DYN_ARGS=TRUE&amp;DOC_NAME=FAT:FQL_AUDITING_CLIENT_TEMPLATE.FAT&amp;display_string=Audit&amp;VAR:KEY=XIXQVINYTA&amp;VAR:QUERY=RkZfRUJJVERBX0lCKCdMVE1TJyw0MDE4OCk=&amp;WINDOW=FIRST_POPUP&amp;HEIGHT=450&amp;WIDTH=450&amp;START_MA","XIMIZED=FALSE&amp;VAR:CALENDAR=US&amp;VAR:SYMBOL=04916420&amp;VAR:INDEX=0"}</definedName>
    <definedName name="_9181__FDSAUDITLINK__" hidden="1">{"fdsup://directions/FAT Viewer?action=UPDATE&amp;creator=factset&amp;DYN_ARGS=TRUE&amp;DOC_NAME=FAT:FQL_AUDITING_CLIENT_TEMPLATE.FAT&amp;display_string=Audit&amp;VAR:KEY=XIXQVINYTA&amp;VAR:QUERY=RkZfRUJJVERBX0lCKCdMVE1TJyw0MDE4OCk=&amp;WINDOW=FIRST_POPUP&amp;HEIGHT=450&amp;WIDTH=450&amp;START_MA","XIMIZED=FALSE&amp;VAR:CALENDAR=US&amp;VAR:SYMBOL=04916420&amp;VAR:INDEX=0"}</definedName>
    <definedName name="_9182__FDSAUDITLINK__" localSheetId="6" hidden="1">{"fdsup://directions/FAT Viewer?action=UPDATE&amp;creator=factset&amp;DYN_ARGS=TRUE&amp;DOC_NAME=FAT:FQL_AUDITING_CLIENT_TEMPLATE.FAT&amp;display_string=Audit&amp;VAR:KEY=RETABYZIXM&amp;VAR:QUERY=RkZfRUJJVERBX0lCKCdMVE1TJyw0MDE4Nyk=&amp;WINDOW=FIRST_POPUP&amp;HEIGHT=450&amp;WIDTH=450&amp;START_MA","XIMIZED=FALSE&amp;VAR:CALENDAR=US&amp;VAR:SYMBOL=04916420&amp;VAR:INDEX=0"}</definedName>
    <definedName name="_9182__FDSAUDITLINK__" hidden="1">{"fdsup://directions/FAT Viewer?action=UPDATE&amp;creator=factset&amp;DYN_ARGS=TRUE&amp;DOC_NAME=FAT:FQL_AUDITING_CLIENT_TEMPLATE.FAT&amp;display_string=Audit&amp;VAR:KEY=RETABYZIXM&amp;VAR:QUERY=RkZfRUJJVERBX0lCKCdMVE1TJyw0MDE4Nyk=&amp;WINDOW=FIRST_POPUP&amp;HEIGHT=450&amp;WIDTH=450&amp;START_MA","XIMIZED=FALSE&amp;VAR:CALENDAR=US&amp;VAR:SYMBOL=04916420&amp;VAR:INDEX=0"}</definedName>
    <definedName name="_9183__FDSAUDITLINK__" localSheetId="6" hidden="1">{"fdsup://directions/FAT Viewer?action=UPDATE&amp;creator=factset&amp;DYN_ARGS=TRUE&amp;DOC_NAME=FAT:FQL_AUDITING_CLIENT_TEMPLATE.FAT&amp;display_string=Audit&amp;VAR:KEY=ZKPSLCTCVY&amp;VAR:QUERY=RkZfRUJJVERBX0lCKCdMVE1TJyw0MDE4Nik=&amp;WINDOW=FIRST_POPUP&amp;HEIGHT=450&amp;WIDTH=450&amp;START_MA","XIMIZED=FALSE&amp;VAR:CALENDAR=US&amp;VAR:SYMBOL=04916420&amp;VAR:INDEX=0"}</definedName>
    <definedName name="_9183__FDSAUDITLINK__" hidden="1">{"fdsup://directions/FAT Viewer?action=UPDATE&amp;creator=factset&amp;DYN_ARGS=TRUE&amp;DOC_NAME=FAT:FQL_AUDITING_CLIENT_TEMPLATE.FAT&amp;display_string=Audit&amp;VAR:KEY=ZKPSLCTCVY&amp;VAR:QUERY=RkZfRUJJVERBX0lCKCdMVE1TJyw0MDE4Nik=&amp;WINDOW=FIRST_POPUP&amp;HEIGHT=450&amp;WIDTH=450&amp;START_MA","XIMIZED=FALSE&amp;VAR:CALENDAR=US&amp;VAR:SYMBOL=04916420&amp;VAR:INDEX=0"}</definedName>
    <definedName name="_9184__FDSAUDITLINK__" localSheetId="6" hidden="1">{"fdsup://directions/FAT Viewer?action=UPDATE&amp;creator=factset&amp;DYN_ARGS=TRUE&amp;DOC_NAME=FAT:FQL_AUDITING_CLIENT_TEMPLATE.FAT&amp;display_string=Audit&amp;VAR:KEY=RALUTWBIVM&amp;VAR:QUERY=RkZfRUJJVERBX0lCKCdMVE1TJyw0MDE4NSk=&amp;WINDOW=FIRST_POPUP&amp;HEIGHT=450&amp;WIDTH=450&amp;START_MA","XIMIZED=FALSE&amp;VAR:CALENDAR=US&amp;VAR:SYMBOL=04916420&amp;VAR:INDEX=0"}</definedName>
    <definedName name="_9184__FDSAUDITLINK__" hidden="1">{"fdsup://directions/FAT Viewer?action=UPDATE&amp;creator=factset&amp;DYN_ARGS=TRUE&amp;DOC_NAME=FAT:FQL_AUDITING_CLIENT_TEMPLATE.FAT&amp;display_string=Audit&amp;VAR:KEY=RALUTWBIVM&amp;VAR:QUERY=RkZfRUJJVERBX0lCKCdMVE1TJyw0MDE4NSk=&amp;WINDOW=FIRST_POPUP&amp;HEIGHT=450&amp;WIDTH=450&amp;START_MA","XIMIZED=FALSE&amp;VAR:CALENDAR=US&amp;VAR:SYMBOL=04916420&amp;VAR:INDEX=0"}</definedName>
    <definedName name="_9185__FDSAUDITLINK__" localSheetId="6" hidden="1">{"fdsup://directions/FAT Viewer?action=UPDATE&amp;creator=factset&amp;DYN_ARGS=TRUE&amp;DOC_NAME=FAT:FQL_AUDITING_CLIENT_TEMPLATE.FAT&amp;display_string=Audit&amp;VAR:KEY=VQTGHSXILY&amp;VAR:QUERY=RkZfRUJJVERBX0lCKCdMVE1TJyw0MDE4NCk=&amp;WINDOW=FIRST_POPUP&amp;HEIGHT=450&amp;WIDTH=450&amp;START_MA","XIMIZED=FALSE&amp;VAR:CALENDAR=US&amp;VAR:SYMBOL=04916420&amp;VAR:INDEX=0"}</definedName>
    <definedName name="_9185__FDSAUDITLINK__" hidden="1">{"fdsup://directions/FAT Viewer?action=UPDATE&amp;creator=factset&amp;DYN_ARGS=TRUE&amp;DOC_NAME=FAT:FQL_AUDITING_CLIENT_TEMPLATE.FAT&amp;display_string=Audit&amp;VAR:KEY=VQTGHSXILY&amp;VAR:QUERY=RkZfRUJJVERBX0lCKCdMVE1TJyw0MDE4NCk=&amp;WINDOW=FIRST_POPUP&amp;HEIGHT=450&amp;WIDTH=450&amp;START_MA","XIMIZED=FALSE&amp;VAR:CALENDAR=US&amp;VAR:SYMBOL=04916420&amp;VAR:INDEX=0"}</definedName>
    <definedName name="_9186__FDSAUDITLINK__" localSheetId="6" hidden="1">{"fdsup://directions/FAT Viewer?action=UPDATE&amp;creator=factset&amp;DYN_ARGS=TRUE&amp;DOC_NAME=FAT:FQL_AUDITING_CLIENT_TEMPLATE.FAT&amp;display_string=Audit&amp;VAR:KEY=TMBCBALYTE&amp;VAR:QUERY=RkZfRUJJVERBX0lCKCdMVE1TJyw0MDE4Myk=&amp;WINDOW=FIRST_POPUP&amp;HEIGHT=450&amp;WIDTH=450&amp;START_MA","XIMIZED=FALSE&amp;VAR:CALENDAR=US&amp;VAR:SYMBOL=04916420&amp;VAR:INDEX=0"}</definedName>
    <definedName name="_9186__FDSAUDITLINK__" hidden="1">{"fdsup://directions/FAT Viewer?action=UPDATE&amp;creator=factset&amp;DYN_ARGS=TRUE&amp;DOC_NAME=FAT:FQL_AUDITING_CLIENT_TEMPLATE.FAT&amp;display_string=Audit&amp;VAR:KEY=TMBCBALYTE&amp;VAR:QUERY=RkZfRUJJVERBX0lCKCdMVE1TJyw0MDE4Myk=&amp;WINDOW=FIRST_POPUP&amp;HEIGHT=450&amp;WIDTH=450&amp;START_MA","XIMIZED=FALSE&amp;VAR:CALENDAR=US&amp;VAR:SYMBOL=04916420&amp;VAR:INDEX=0"}</definedName>
    <definedName name="_9187__FDSAUDITLINK__" localSheetId="6" hidden="1">{"fdsup://directions/FAT Viewer?action=UPDATE&amp;creator=factset&amp;DYN_ARGS=TRUE&amp;DOC_NAME=FAT:FQL_AUDITING_CLIENT_TEMPLATE.FAT&amp;display_string=Audit&amp;VAR:KEY=XOTMZWNMLI&amp;VAR:QUERY=RkZfRUJJVERBX0lCKCdMVE1TJyw0MDE4Mik=&amp;WINDOW=FIRST_POPUP&amp;HEIGHT=450&amp;WIDTH=450&amp;START_MA","XIMIZED=FALSE&amp;VAR:CALENDAR=US&amp;VAR:SYMBOL=04916420&amp;VAR:INDEX=0"}</definedName>
    <definedName name="_9187__FDSAUDITLINK__" hidden="1">{"fdsup://directions/FAT Viewer?action=UPDATE&amp;creator=factset&amp;DYN_ARGS=TRUE&amp;DOC_NAME=FAT:FQL_AUDITING_CLIENT_TEMPLATE.FAT&amp;display_string=Audit&amp;VAR:KEY=XOTMZWNMLI&amp;VAR:QUERY=RkZfRUJJVERBX0lCKCdMVE1TJyw0MDE4Mik=&amp;WINDOW=FIRST_POPUP&amp;HEIGHT=450&amp;WIDTH=450&amp;START_MA","XIMIZED=FALSE&amp;VAR:CALENDAR=US&amp;VAR:SYMBOL=04916420&amp;VAR:INDEX=0"}</definedName>
    <definedName name="_9188__FDSAUDITLINK__" localSheetId="6" hidden="1">{"fdsup://directions/FAT Viewer?action=UPDATE&amp;creator=factset&amp;DYN_ARGS=TRUE&amp;DOC_NAME=FAT:FQL_AUDITING_CLIENT_TEMPLATE.FAT&amp;display_string=Audit&amp;VAR:KEY=LOFWZGPWZY&amp;VAR:QUERY=RkZfRUJJVERBX0lCKCdMVE1TJyw0MDE4MSk=&amp;WINDOW=FIRST_POPUP&amp;HEIGHT=450&amp;WIDTH=450&amp;START_MA","XIMIZED=FALSE&amp;VAR:CALENDAR=US&amp;VAR:SYMBOL=04916420&amp;VAR:INDEX=0"}</definedName>
    <definedName name="_9188__FDSAUDITLINK__" hidden="1">{"fdsup://directions/FAT Viewer?action=UPDATE&amp;creator=factset&amp;DYN_ARGS=TRUE&amp;DOC_NAME=FAT:FQL_AUDITING_CLIENT_TEMPLATE.FAT&amp;display_string=Audit&amp;VAR:KEY=LOFWZGPWZY&amp;VAR:QUERY=RkZfRUJJVERBX0lCKCdMVE1TJyw0MDE4MSk=&amp;WINDOW=FIRST_POPUP&amp;HEIGHT=450&amp;WIDTH=450&amp;START_MA","XIMIZED=FALSE&amp;VAR:CALENDAR=US&amp;VAR:SYMBOL=04916420&amp;VAR:INDEX=0"}</definedName>
    <definedName name="_9189__FDSAUDITLINK__" localSheetId="6" hidden="1">{"fdsup://directions/FAT Viewer?action=UPDATE&amp;creator=factset&amp;DYN_ARGS=TRUE&amp;DOC_NAME=FAT:FQL_AUDITING_CLIENT_TEMPLATE.FAT&amp;display_string=Audit&amp;VAR:KEY=VCLIXQZWTI&amp;VAR:QUERY=RkZfRUJJVERBX0lCKCdMVE1TJyw0MDE4MCk=&amp;WINDOW=FIRST_POPUP&amp;HEIGHT=450&amp;WIDTH=450&amp;START_MA","XIMIZED=FALSE&amp;VAR:CALENDAR=US&amp;VAR:SYMBOL=04916420&amp;VAR:INDEX=0"}</definedName>
    <definedName name="_9189__FDSAUDITLINK__" hidden="1">{"fdsup://directions/FAT Viewer?action=UPDATE&amp;creator=factset&amp;DYN_ARGS=TRUE&amp;DOC_NAME=FAT:FQL_AUDITING_CLIENT_TEMPLATE.FAT&amp;display_string=Audit&amp;VAR:KEY=VCLIXQZWTI&amp;VAR:QUERY=RkZfRUJJVERBX0lCKCdMVE1TJyw0MDE4MCk=&amp;WINDOW=FIRST_POPUP&amp;HEIGHT=450&amp;WIDTH=450&amp;START_MA","XIMIZED=FALSE&amp;VAR:CALENDAR=US&amp;VAR:SYMBOL=04916420&amp;VAR:INDEX=0"}</definedName>
    <definedName name="_919__FDSAUDITLINK__" localSheetId="6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9__FDSAUDITLINK__" hidden="1">{"fdsup://directions/FAT%20Viewer?VAR:PED=LTM&amp;VAR:AUDIT_MODE=SUMMARY&amp;VAR:PERIOD=FIXED&amp;VAR:AUDIT_ID=00000117&amp;VAR:DATE=20070817&amp;action=UPDATE&amp;creator=factset&amp;DOC_NAME=FAT:FMA_audit_SUMMARY.fat&amp;DISPLAY_STRING=Display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190__FDSAUDITLINK__" localSheetId="6" hidden="1">{"fdsup://directions/FAT Viewer?action=UPDATE&amp;creator=factset&amp;DYN_ARGS=TRUE&amp;DOC_NAME=FAT:FQL_AUDITING_CLIENT_TEMPLATE.FAT&amp;display_string=Audit&amp;VAR:KEY=LWFMZCZMJU&amp;VAR:QUERY=RkZfRUJJVERBX0lCKCdMVE1TJyw0MDE3OSk=&amp;WINDOW=FIRST_POPUP&amp;HEIGHT=450&amp;WIDTH=450&amp;START_MA","XIMIZED=FALSE&amp;VAR:CALENDAR=US&amp;VAR:SYMBOL=04916420&amp;VAR:INDEX=0"}</definedName>
    <definedName name="_9190__FDSAUDITLINK__" hidden="1">{"fdsup://directions/FAT Viewer?action=UPDATE&amp;creator=factset&amp;DYN_ARGS=TRUE&amp;DOC_NAME=FAT:FQL_AUDITING_CLIENT_TEMPLATE.FAT&amp;display_string=Audit&amp;VAR:KEY=LWFMZCZMJU&amp;VAR:QUERY=RkZfRUJJVERBX0lCKCdMVE1TJyw0MDE3OSk=&amp;WINDOW=FIRST_POPUP&amp;HEIGHT=450&amp;WIDTH=450&amp;START_MA","XIMIZED=FALSE&amp;VAR:CALENDAR=US&amp;VAR:SYMBOL=04916420&amp;VAR:INDEX=0"}</definedName>
    <definedName name="_9191__FDSAUDITLINK__" localSheetId="6" hidden="1">{"fdsup://directions/FAT Viewer?action=UPDATE&amp;creator=factset&amp;DYN_ARGS=TRUE&amp;DOC_NAME=FAT:FQL_AUDITING_CLIENT_TEMPLATE.FAT&amp;display_string=Audit&amp;VAR:KEY=RKNSZKFOLS&amp;VAR:QUERY=RkZfRUJJVERBX0lCKCdMVE1TJyw0MDE3OCk=&amp;WINDOW=FIRST_POPUP&amp;HEIGHT=450&amp;WIDTH=450&amp;START_MA","XIMIZED=FALSE&amp;VAR:CALENDAR=US&amp;VAR:SYMBOL=04916420&amp;VAR:INDEX=0"}</definedName>
    <definedName name="_9191__FDSAUDITLINK__" hidden="1">{"fdsup://directions/FAT Viewer?action=UPDATE&amp;creator=factset&amp;DYN_ARGS=TRUE&amp;DOC_NAME=FAT:FQL_AUDITING_CLIENT_TEMPLATE.FAT&amp;display_string=Audit&amp;VAR:KEY=RKNSZKFOLS&amp;VAR:QUERY=RkZfRUJJVERBX0lCKCdMVE1TJyw0MDE3OCk=&amp;WINDOW=FIRST_POPUP&amp;HEIGHT=450&amp;WIDTH=450&amp;START_MA","XIMIZED=FALSE&amp;VAR:CALENDAR=US&amp;VAR:SYMBOL=04916420&amp;VAR:INDEX=0"}</definedName>
    <definedName name="_9192__FDSAUDITLINK__" localSheetId="6" hidden="1">{"fdsup://directions/FAT Viewer?action=UPDATE&amp;creator=factset&amp;DYN_ARGS=TRUE&amp;DOC_NAME=FAT:FQL_AUDITING_CLIENT_TEMPLATE.FAT&amp;display_string=Audit&amp;VAR:KEY=BYDKNODONK&amp;VAR:QUERY=RkZfRUJJVERBX0lCKCdMVE1TJyw0MDE3Nyk=&amp;WINDOW=FIRST_POPUP&amp;HEIGHT=450&amp;WIDTH=450&amp;START_MA","XIMIZED=FALSE&amp;VAR:CALENDAR=US&amp;VAR:SYMBOL=04916420&amp;VAR:INDEX=0"}</definedName>
    <definedName name="_9192__FDSAUDITLINK__" hidden="1">{"fdsup://directions/FAT Viewer?action=UPDATE&amp;creator=factset&amp;DYN_ARGS=TRUE&amp;DOC_NAME=FAT:FQL_AUDITING_CLIENT_TEMPLATE.FAT&amp;display_string=Audit&amp;VAR:KEY=BYDKNODONK&amp;VAR:QUERY=RkZfRUJJVERBX0lCKCdMVE1TJyw0MDE3Nyk=&amp;WINDOW=FIRST_POPUP&amp;HEIGHT=450&amp;WIDTH=450&amp;START_MA","XIMIZED=FALSE&amp;VAR:CALENDAR=US&amp;VAR:SYMBOL=04916420&amp;VAR:INDEX=0"}</definedName>
    <definedName name="_9193__FDSAUDITLINK__" localSheetId="6" hidden="1">{"fdsup://directions/FAT Viewer?action=UPDATE&amp;creator=factset&amp;DYN_ARGS=TRUE&amp;DOC_NAME=FAT:FQL_AUDITING_CLIENT_TEMPLATE.FAT&amp;display_string=Audit&amp;VAR:KEY=ZOZANYDELU&amp;VAR:QUERY=RkZfRUJJVERBX0lCKCdMVE1TJyw0MDE3Nik=&amp;WINDOW=FIRST_POPUP&amp;HEIGHT=450&amp;WIDTH=450&amp;START_MA","XIMIZED=FALSE&amp;VAR:CALENDAR=US&amp;VAR:SYMBOL=04916420&amp;VAR:INDEX=0"}</definedName>
    <definedName name="_9193__FDSAUDITLINK__" hidden="1">{"fdsup://directions/FAT Viewer?action=UPDATE&amp;creator=factset&amp;DYN_ARGS=TRUE&amp;DOC_NAME=FAT:FQL_AUDITING_CLIENT_TEMPLATE.FAT&amp;display_string=Audit&amp;VAR:KEY=ZOZANYDELU&amp;VAR:QUERY=RkZfRUJJVERBX0lCKCdMVE1TJyw0MDE3Nik=&amp;WINDOW=FIRST_POPUP&amp;HEIGHT=450&amp;WIDTH=450&amp;START_MA","XIMIZED=FALSE&amp;VAR:CALENDAR=US&amp;VAR:SYMBOL=04916420&amp;VAR:INDEX=0"}</definedName>
    <definedName name="_9194__FDSAUDITLINK__" localSheetId="6" hidden="1">{"fdsup://directions/FAT Viewer?action=UPDATE&amp;creator=factset&amp;DYN_ARGS=TRUE&amp;DOC_NAME=FAT:FQL_AUDITING_CLIENT_TEMPLATE.FAT&amp;display_string=Audit&amp;VAR:KEY=XMFWBKDEBE&amp;VAR:QUERY=RkZfRUJJVERBX0lCKCdMVE1TJyw0MDE3NSk=&amp;WINDOW=FIRST_POPUP&amp;HEIGHT=450&amp;WIDTH=450&amp;START_MA","XIMIZED=FALSE&amp;VAR:CALENDAR=US&amp;VAR:SYMBOL=04916420&amp;VAR:INDEX=0"}</definedName>
    <definedName name="_9194__FDSAUDITLINK__" hidden="1">{"fdsup://directions/FAT Viewer?action=UPDATE&amp;creator=factset&amp;DYN_ARGS=TRUE&amp;DOC_NAME=FAT:FQL_AUDITING_CLIENT_TEMPLATE.FAT&amp;display_string=Audit&amp;VAR:KEY=XMFWBKDEBE&amp;VAR:QUERY=RkZfRUJJVERBX0lCKCdMVE1TJyw0MDE3NSk=&amp;WINDOW=FIRST_POPUP&amp;HEIGHT=450&amp;WIDTH=450&amp;START_MA","XIMIZED=FALSE&amp;VAR:CALENDAR=US&amp;VAR:SYMBOL=04916420&amp;VAR:INDEX=0"}</definedName>
    <definedName name="_9195__FDSAUDITLINK__" localSheetId="6" hidden="1">{"fdsup://directions/FAT Viewer?action=UPDATE&amp;creator=factset&amp;DYN_ARGS=TRUE&amp;DOC_NAME=FAT:FQL_AUDITING_CLIENT_TEMPLATE.FAT&amp;display_string=Audit&amp;VAR:KEY=DODWNMLGDG&amp;VAR:QUERY=RkZfRUJJVERBX0lCKCdMVE1TJyw0MDE3NCk=&amp;WINDOW=FIRST_POPUP&amp;HEIGHT=450&amp;WIDTH=450&amp;START_MA","XIMIZED=FALSE&amp;VAR:CALENDAR=US&amp;VAR:SYMBOL=04916420&amp;VAR:INDEX=0"}</definedName>
    <definedName name="_9195__FDSAUDITLINK__" hidden="1">{"fdsup://directions/FAT Viewer?action=UPDATE&amp;creator=factset&amp;DYN_ARGS=TRUE&amp;DOC_NAME=FAT:FQL_AUDITING_CLIENT_TEMPLATE.FAT&amp;display_string=Audit&amp;VAR:KEY=DODWNMLGDG&amp;VAR:QUERY=RkZfRUJJVERBX0lCKCdMVE1TJyw0MDE3NCk=&amp;WINDOW=FIRST_POPUP&amp;HEIGHT=450&amp;WIDTH=450&amp;START_MA","XIMIZED=FALSE&amp;VAR:CALENDAR=US&amp;VAR:SYMBOL=04916420&amp;VAR:INDEX=0"}</definedName>
    <definedName name="_9196__FDSAUDITLINK__" localSheetId="6" hidden="1">{"fdsup://directions/FAT Viewer?action=UPDATE&amp;creator=factset&amp;DYN_ARGS=TRUE&amp;DOC_NAME=FAT:FQL_AUDITING_CLIENT_TEMPLATE.FAT&amp;display_string=Audit&amp;VAR:KEY=DCDIBCHQFW&amp;VAR:QUERY=RkZfRUJJVERBX0lCKCdMVE1TJyw0MDE3Myk=&amp;WINDOW=FIRST_POPUP&amp;HEIGHT=450&amp;WIDTH=450&amp;START_MA","XIMIZED=FALSE&amp;VAR:CALENDAR=US&amp;VAR:SYMBOL=04916420&amp;VAR:INDEX=0"}</definedName>
    <definedName name="_9196__FDSAUDITLINK__" hidden="1">{"fdsup://directions/FAT Viewer?action=UPDATE&amp;creator=factset&amp;DYN_ARGS=TRUE&amp;DOC_NAME=FAT:FQL_AUDITING_CLIENT_TEMPLATE.FAT&amp;display_string=Audit&amp;VAR:KEY=DCDIBCHQFW&amp;VAR:QUERY=RkZfRUJJVERBX0lCKCdMVE1TJyw0MDE3Myk=&amp;WINDOW=FIRST_POPUP&amp;HEIGHT=450&amp;WIDTH=450&amp;START_MA","XIMIZED=FALSE&amp;VAR:CALENDAR=US&amp;VAR:SYMBOL=04916420&amp;VAR:INDEX=0"}</definedName>
    <definedName name="_9197__FDSAUDITLINK__" localSheetId="6" hidden="1">{"fdsup://directions/FAT Viewer?action=UPDATE&amp;creator=factset&amp;DYN_ARGS=TRUE&amp;DOC_NAME=FAT:FQL_AUDITING_CLIENT_TEMPLATE.FAT&amp;display_string=Audit&amp;VAR:KEY=BGROVWPCRO&amp;VAR:QUERY=RkZfRUJJVERBX0lCKCdMVE1TJyw0MDE3Mik=&amp;WINDOW=FIRST_POPUP&amp;HEIGHT=450&amp;WIDTH=450&amp;START_MA","XIMIZED=FALSE&amp;VAR:CALENDAR=US&amp;VAR:SYMBOL=04916420&amp;VAR:INDEX=0"}</definedName>
    <definedName name="_9197__FDSAUDITLINK__" hidden="1">{"fdsup://directions/FAT Viewer?action=UPDATE&amp;creator=factset&amp;DYN_ARGS=TRUE&amp;DOC_NAME=FAT:FQL_AUDITING_CLIENT_TEMPLATE.FAT&amp;display_string=Audit&amp;VAR:KEY=BGROVWPCRO&amp;VAR:QUERY=RkZfRUJJVERBX0lCKCdMVE1TJyw0MDE3Mik=&amp;WINDOW=FIRST_POPUP&amp;HEIGHT=450&amp;WIDTH=450&amp;START_MA","XIMIZED=FALSE&amp;VAR:CALENDAR=US&amp;VAR:SYMBOL=04916420&amp;VAR:INDEX=0"}</definedName>
    <definedName name="_9198__FDSAUDITLINK__" localSheetId="6" hidden="1">{"fdsup://directions/FAT Viewer?action=UPDATE&amp;creator=factset&amp;DYN_ARGS=TRUE&amp;DOC_NAME=FAT:FQL_AUDITING_CLIENT_TEMPLATE.FAT&amp;display_string=Audit&amp;VAR:KEY=JUNMDITUTM&amp;VAR:QUERY=RkZfRUJJVERBX0lCKCdMVE1TJyw0MDE3MSk=&amp;WINDOW=FIRST_POPUP&amp;HEIGHT=450&amp;WIDTH=450&amp;START_MA","XIMIZED=FALSE&amp;VAR:CALENDAR=US&amp;VAR:SYMBOL=04916420&amp;VAR:INDEX=0"}</definedName>
    <definedName name="_9198__FDSAUDITLINK__" hidden="1">{"fdsup://directions/FAT Viewer?action=UPDATE&amp;creator=factset&amp;DYN_ARGS=TRUE&amp;DOC_NAME=FAT:FQL_AUDITING_CLIENT_TEMPLATE.FAT&amp;display_string=Audit&amp;VAR:KEY=JUNMDITUTM&amp;VAR:QUERY=RkZfRUJJVERBX0lCKCdMVE1TJyw0MDE3MSk=&amp;WINDOW=FIRST_POPUP&amp;HEIGHT=450&amp;WIDTH=450&amp;START_MA","XIMIZED=FALSE&amp;VAR:CALENDAR=US&amp;VAR:SYMBOL=04916420&amp;VAR:INDEX=0"}</definedName>
    <definedName name="_9199__FDSAUDITLINK__" localSheetId="6" hidden="1">{"fdsup://directions/FAT Viewer?action=UPDATE&amp;creator=factset&amp;DYN_ARGS=TRUE&amp;DOC_NAME=FAT:FQL_AUDITING_CLIENT_TEMPLATE.FAT&amp;display_string=Audit&amp;VAR:KEY=ZCHYPMHMZQ&amp;VAR:QUERY=RkZfRUJJVERBX0lCKCdMVE1TJyw0MDE3MCk=&amp;WINDOW=FIRST_POPUP&amp;HEIGHT=450&amp;WIDTH=450&amp;START_MA","XIMIZED=FALSE&amp;VAR:CALENDAR=US&amp;VAR:SYMBOL=04916420&amp;VAR:INDEX=0"}</definedName>
    <definedName name="_9199__FDSAUDITLINK__" hidden="1">{"fdsup://directions/FAT Viewer?action=UPDATE&amp;creator=factset&amp;DYN_ARGS=TRUE&amp;DOC_NAME=FAT:FQL_AUDITING_CLIENT_TEMPLATE.FAT&amp;display_string=Audit&amp;VAR:KEY=ZCHYPMHMZQ&amp;VAR:QUERY=RkZfRUJJVERBX0lCKCdMVE1TJyw0MDE3MCk=&amp;WINDOW=FIRST_POPUP&amp;HEIGHT=450&amp;WIDTH=450&amp;START_MA","XIMIZED=FALSE&amp;VAR:CALENDAR=US&amp;VAR:SYMBOL=04916420&amp;VAR:INDEX=0"}</definedName>
    <definedName name="_920__FDSAUDITLINK__" localSheetId="6" hidden="1">{"fdsup://directions/FAT%20Viewer?VAR:PED=LTM&amp;VAR:AUDIT_MODE=SUMMARY&amp;VAR:PERIOD=FIXED&amp;VAR:AUDIT_ID=00000117&amp;VAR:DATE=20070816&amp;action=UPDATE&amp;creator=factset&amp;DOC_NAME=FAT:FMA_audit_SUMMARY.fat&amp;DISPLAY_STRING=Display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0__FDSAUDITLINK__" hidden="1">{"fdsup://directions/FAT%20Viewer?VAR:PED=LTM&amp;VAR:AUDIT_MODE=SUMMARY&amp;VAR:PERIOD=FIXED&amp;VAR:AUDIT_ID=00000117&amp;VAR:DATE=20070816&amp;action=UPDATE&amp;creator=factset&amp;DOC_NAME=FAT:FMA_audit_SUMMARY.fat&amp;DISPLAY_STRING=Display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00__FDSAUDITLINK__" localSheetId="6" hidden="1">{"fdsup://directions/FAT Viewer?action=UPDATE&amp;creator=factset&amp;DYN_ARGS=TRUE&amp;DOC_NAME=FAT:FQL_AUDITING_CLIENT_TEMPLATE.FAT&amp;display_string=Audit&amp;VAR:KEY=HIJWHEVGLE&amp;VAR:QUERY=RkZfRUJJVERBX0lCKCdMVE1TJyw0MDE2OSk=&amp;WINDOW=FIRST_POPUP&amp;HEIGHT=450&amp;WIDTH=450&amp;START_MA","XIMIZED=FALSE&amp;VAR:CALENDAR=US&amp;VAR:SYMBOL=04916420&amp;VAR:INDEX=0"}</definedName>
    <definedName name="_9200__FDSAUDITLINK__" hidden="1">{"fdsup://directions/FAT Viewer?action=UPDATE&amp;creator=factset&amp;DYN_ARGS=TRUE&amp;DOC_NAME=FAT:FQL_AUDITING_CLIENT_TEMPLATE.FAT&amp;display_string=Audit&amp;VAR:KEY=HIJWHEVGLE&amp;VAR:QUERY=RkZfRUJJVERBX0lCKCdMVE1TJyw0MDE2OSk=&amp;WINDOW=FIRST_POPUP&amp;HEIGHT=450&amp;WIDTH=450&amp;START_MA","XIMIZED=FALSE&amp;VAR:CALENDAR=US&amp;VAR:SYMBOL=04916420&amp;VAR:INDEX=0"}</definedName>
    <definedName name="_9201__FDSAUDITLINK__" localSheetId="6" hidden="1">{"fdsup://directions/FAT Viewer?action=UPDATE&amp;creator=factset&amp;DYN_ARGS=TRUE&amp;DOC_NAME=FAT:FQL_AUDITING_CLIENT_TEMPLATE.FAT&amp;display_string=Audit&amp;VAR:KEY=VWPAVEFMFM&amp;VAR:QUERY=RkZfRUJJVERBX0lCKCdMVE1TJyw0MDE2OCk=&amp;WINDOW=FIRST_POPUP&amp;HEIGHT=450&amp;WIDTH=450&amp;START_MA","XIMIZED=FALSE&amp;VAR:CALENDAR=US&amp;VAR:SYMBOL=04916420&amp;VAR:INDEX=0"}</definedName>
    <definedName name="_9201__FDSAUDITLINK__" hidden="1">{"fdsup://directions/FAT Viewer?action=UPDATE&amp;creator=factset&amp;DYN_ARGS=TRUE&amp;DOC_NAME=FAT:FQL_AUDITING_CLIENT_TEMPLATE.FAT&amp;display_string=Audit&amp;VAR:KEY=VWPAVEFMFM&amp;VAR:QUERY=RkZfRUJJVERBX0lCKCdMVE1TJyw0MDE2OCk=&amp;WINDOW=FIRST_POPUP&amp;HEIGHT=450&amp;WIDTH=450&amp;START_MA","XIMIZED=FALSE&amp;VAR:CALENDAR=US&amp;VAR:SYMBOL=04916420&amp;VAR:INDEX=0"}</definedName>
    <definedName name="_9202__FDSAUDITLINK__" localSheetId="6" hidden="1">{"fdsup://directions/FAT Viewer?action=UPDATE&amp;creator=factset&amp;DYN_ARGS=TRUE&amp;DOC_NAME=FAT:FQL_AUDITING_CLIENT_TEMPLATE.FAT&amp;display_string=Audit&amp;VAR:KEY=PETMTYHYJG&amp;VAR:QUERY=RkZfRUJJVERBX0lCKCdMVE1TJyw0MDE2Nyk=&amp;WINDOW=FIRST_POPUP&amp;HEIGHT=450&amp;WIDTH=450&amp;START_MA","XIMIZED=FALSE&amp;VAR:CALENDAR=US&amp;VAR:SYMBOL=04916420&amp;VAR:INDEX=0"}</definedName>
    <definedName name="_9202__FDSAUDITLINK__" hidden="1">{"fdsup://directions/FAT Viewer?action=UPDATE&amp;creator=factset&amp;DYN_ARGS=TRUE&amp;DOC_NAME=FAT:FQL_AUDITING_CLIENT_TEMPLATE.FAT&amp;display_string=Audit&amp;VAR:KEY=PETMTYHYJG&amp;VAR:QUERY=RkZfRUJJVERBX0lCKCdMVE1TJyw0MDE2Nyk=&amp;WINDOW=FIRST_POPUP&amp;HEIGHT=450&amp;WIDTH=450&amp;START_MA","XIMIZED=FALSE&amp;VAR:CALENDAR=US&amp;VAR:SYMBOL=04916420&amp;VAR:INDEX=0"}</definedName>
    <definedName name="_9203__FDSAUDITLINK__" localSheetId="6" hidden="1">{"fdsup://directions/FAT Viewer?action=UPDATE&amp;creator=factset&amp;DYN_ARGS=TRUE&amp;DOC_NAME=FAT:FQL_AUDITING_CLIENT_TEMPLATE.FAT&amp;display_string=Audit&amp;VAR:KEY=POJAHOFGHG&amp;VAR:QUERY=RkZfRUJJVERBX0lCKCdMVE1TJyw0MDE2Nik=&amp;WINDOW=FIRST_POPUP&amp;HEIGHT=450&amp;WIDTH=450&amp;START_MA","XIMIZED=FALSE&amp;VAR:CALENDAR=US&amp;VAR:SYMBOL=04916420&amp;VAR:INDEX=0"}</definedName>
    <definedName name="_9203__FDSAUDITLINK__" hidden="1">{"fdsup://directions/FAT Viewer?action=UPDATE&amp;creator=factset&amp;DYN_ARGS=TRUE&amp;DOC_NAME=FAT:FQL_AUDITING_CLIENT_TEMPLATE.FAT&amp;display_string=Audit&amp;VAR:KEY=POJAHOFGHG&amp;VAR:QUERY=RkZfRUJJVERBX0lCKCdMVE1TJyw0MDE2Nik=&amp;WINDOW=FIRST_POPUP&amp;HEIGHT=450&amp;WIDTH=450&amp;START_MA","XIMIZED=FALSE&amp;VAR:CALENDAR=US&amp;VAR:SYMBOL=04916420&amp;VAR:INDEX=0"}</definedName>
    <definedName name="_9204__FDSAUDITLINK__" localSheetId="6" hidden="1">{"fdsup://directions/FAT Viewer?action=UPDATE&amp;creator=factset&amp;DYN_ARGS=TRUE&amp;DOC_NAME=FAT:FQL_AUDITING_CLIENT_TEMPLATE.FAT&amp;display_string=Audit&amp;VAR:KEY=ZAFKLIDOPI&amp;VAR:QUERY=RkZfRUJJVERBX0lCKCdMVE1TJyw0MDE2NSk=&amp;WINDOW=FIRST_POPUP&amp;HEIGHT=450&amp;WIDTH=450&amp;START_MA","XIMIZED=FALSE&amp;VAR:CALENDAR=US&amp;VAR:SYMBOL=04916420&amp;VAR:INDEX=0"}</definedName>
    <definedName name="_9204__FDSAUDITLINK__" hidden="1">{"fdsup://directions/FAT Viewer?action=UPDATE&amp;creator=factset&amp;DYN_ARGS=TRUE&amp;DOC_NAME=FAT:FQL_AUDITING_CLIENT_TEMPLATE.FAT&amp;display_string=Audit&amp;VAR:KEY=ZAFKLIDOPI&amp;VAR:QUERY=RkZfRUJJVERBX0lCKCdMVE1TJyw0MDE2NSk=&amp;WINDOW=FIRST_POPUP&amp;HEIGHT=450&amp;WIDTH=450&amp;START_MA","XIMIZED=FALSE&amp;VAR:CALENDAR=US&amp;VAR:SYMBOL=04916420&amp;VAR:INDEX=0"}</definedName>
    <definedName name="_9205__FDSAUDITLINK__" localSheetId="6" hidden="1">{"fdsup://directions/FAT Viewer?action=UPDATE&amp;creator=factset&amp;DYN_ARGS=TRUE&amp;DOC_NAME=FAT:FQL_AUDITING_CLIENT_TEMPLATE.FAT&amp;display_string=Audit&amp;VAR:KEY=PIFEJITCNI&amp;VAR:QUERY=RkZfRUJJVERBX0lCKCdMVE1TJyw0MDE2NCk=&amp;WINDOW=FIRST_POPUP&amp;HEIGHT=450&amp;WIDTH=450&amp;START_MA","XIMIZED=FALSE&amp;VAR:CALENDAR=US&amp;VAR:SYMBOL=04916420&amp;VAR:INDEX=0"}</definedName>
    <definedName name="_9205__FDSAUDITLINK__" hidden="1">{"fdsup://directions/FAT Viewer?action=UPDATE&amp;creator=factset&amp;DYN_ARGS=TRUE&amp;DOC_NAME=FAT:FQL_AUDITING_CLIENT_TEMPLATE.FAT&amp;display_string=Audit&amp;VAR:KEY=PIFEJITCNI&amp;VAR:QUERY=RkZfRUJJVERBX0lCKCdMVE1TJyw0MDE2NCk=&amp;WINDOW=FIRST_POPUP&amp;HEIGHT=450&amp;WIDTH=450&amp;START_MA","XIMIZED=FALSE&amp;VAR:CALENDAR=US&amp;VAR:SYMBOL=04916420&amp;VAR:INDEX=0"}</definedName>
    <definedName name="_9206__FDSAUDITLINK__" localSheetId="6" hidden="1">{"fdsup://directions/FAT Viewer?action=UPDATE&amp;creator=factset&amp;DYN_ARGS=TRUE&amp;DOC_NAME=FAT:FQL_AUDITING_CLIENT_TEMPLATE.FAT&amp;display_string=Audit&amp;VAR:KEY=FAHWFGBABS&amp;VAR:QUERY=RkZfRUJJVERBX0lCKCdMVE1TJyw0MDE2Myk=&amp;WINDOW=FIRST_POPUP&amp;HEIGHT=450&amp;WIDTH=450&amp;START_MA","XIMIZED=FALSE&amp;VAR:CALENDAR=US&amp;VAR:SYMBOL=04916420&amp;VAR:INDEX=0"}</definedName>
    <definedName name="_9206__FDSAUDITLINK__" hidden="1">{"fdsup://directions/FAT Viewer?action=UPDATE&amp;creator=factset&amp;DYN_ARGS=TRUE&amp;DOC_NAME=FAT:FQL_AUDITING_CLIENT_TEMPLATE.FAT&amp;display_string=Audit&amp;VAR:KEY=FAHWFGBABS&amp;VAR:QUERY=RkZfRUJJVERBX0lCKCdMVE1TJyw0MDE2Myk=&amp;WINDOW=FIRST_POPUP&amp;HEIGHT=450&amp;WIDTH=450&amp;START_MA","XIMIZED=FALSE&amp;VAR:CALENDAR=US&amp;VAR:SYMBOL=04916420&amp;VAR:INDEX=0"}</definedName>
    <definedName name="_9207__FDSAUDITLINK__" localSheetId="6" hidden="1">{"fdsup://directions/FAT Viewer?action=UPDATE&amp;creator=factset&amp;DYN_ARGS=TRUE&amp;DOC_NAME=FAT:FQL_AUDITING_CLIENT_TEMPLATE.FAT&amp;display_string=Audit&amp;VAR:KEY=HIJOJUBYDA&amp;VAR:QUERY=RkZfRUJJVERBX0lCKCdMVE1TJyw0MDE2Mik=&amp;WINDOW=FIRST_POPUP&amp;HEIGHT=450&amp;WIDTH=450&amp;START_MA","XIMIZED=FALSE&amp;VAR:CALENDAR=US&amp;VAR:SYMBOL=04916420&amp;VAR:INDEX=0"}</definedName>
    <definedName name="_9207__FDSAUDITLINK__" hidden="1">{"fdsup://directions/FAT Viewer?action=UPDATE&amp;creator=factset&amp;DYN_ARGS=TRUE&amp;DOC_NAME=FAT:FQL_AUDITING_CLIENT_TEMPLATE.FAT&amp;display_string=Audit&amp;VAR:KEY=HIJOJUBYDA&amp;VAR:QUERY=RkZfRUJJVERBX0lCKCdMVE1TJyw0MDE2Mik=&amp;WINDOW=FIRST_POPUP&amp;HEIGHT=450&amp;WIDTH=450&amp;START_MA","XIMIZED=FALSE&amp;VAR:CALENDAR=US&amp;VAR:SYMBOL=04916420&amp;VAR:INDEX=0"}</definedName>
    <definedName name="_9208__FDSAUDITLINK__" localSheetId="6" hidden="1">{"fdsup://directions/FAT Viewer?action=UPDATE&amp;creator=factset&amp;DYN_ARGS=TRUE&amp;DOC_NAME=FAT:FQL_AUDITING_CLIENT_TEMPLATE.FAT&amp;display_string=Audit&amp;VAR:KEY=FQJSZSNIDG&amp;VAR:QUERY=RkZfRUJJVERBX0lCKCdMVE1TJyw0MDE2MSk=&amp;WINDOW=FIRST_POPUP&amp;HEIGHT=450&amp;WIDTH=450&amp;START_MA","XIMIZED=FALSE&amp;VAR:CALENDAR=US&amp;VAR:SYMBOL=04916420&amp;VAR:INDEX=0"}</definedName>
    <definedName name="_9208__FDSAUDITLINK__" hidden="1">{"fdsup://directions/FAT Viewer?action=UPDATE&amp;creator=factset&amp;DYN_ARGS=TRUE&amp;DOC_NAME=FAT:FQL_AUDITING_CLIENT_TEMPLATE.FAT&amp;display_string=Audit&amp;VAR:KEY=FQJSZSNIDG&amp;VAR:QUERY=RkZfRUJJVERBX0lCKCdMVE1TJyw0MDE2MSk=&amp;WINDOW=FIRST_POPUP&amp;HEIGHT=450&amp;WIDTH=450&amp;START_MA","XIMIZED=FALSE&amp;VAR:CALENDAR=US&amp;VAR:SYMBOL=04916420&amp;VAR:INDEX=0"}</definedName>
    <definedName name="_9209__FDSAUDITLINK__" localSheetId="6" hidden="1">{"fdsup://directions/FAT Viewer?action=UPDATE&amp;creator=factset&amp;DYN_ARGS=TRUE&amp;DOC_NAME=FAT:FQL_AUDITING_CLIENT_TEMPLATE.FAT&amp;display_string=Audit&amp;VAR:KEY=TSTEPKDQRK&amp;VAR:QUERY=RkZfRUJJVERBX0lCKCdMVE1TJyw0MDE2MCk=&amp;WINDOW=FIRST_POPUP&amp;HEIGHT=450&amp;WIDTH=450&amp;START_MA","XIMIZED=FALSE&amp;VAR:CALENDAR=US&amp;VAR:SYMBOL=04916420&amp;VAR:INDEX=0"}</definedName>
    <definedName name="_9209__FDSAUDITLINK__" hidden="1">{"fdsup://directions/FAT Viewer?action=UPDATE&amp;creator=factset&amp;DYN_ARGS=TRUE&amp;DOC_NAME=FAT:FQL_AUDITING_CLIENT_TEMPLATE.FAT&amp;display_string=Audit&amp;VAR:KEY=TSTEPKDQRK&amp;VAR:QUERY=RkZfRUJJVERBX0lCKCdMVE1TJyw0MDE2MCk=&amp;WINDOW=FIRST_POPUP&amp;HEIGHT=450&amp;WIDTH=450&amp;START_MA","XIMIZED=FALSE&amp;VAR:CALENDAR=US&amp;VAR:SYMBOL=04916420&amp;VAR:INDEX=0"}</definedName>
    <definedName name="_921__FDSAUDITLINK__" localSheetId="6" hidden="1">{"fdsup://directions/FAT%20Viewer?VAR:PED=LTM&amp;VAR:AUDIT_MODE=SUMMARY&amp;VAR:PERIOD=FIXED&amp;VAR:AUDIT_ID=00000117&amp;VAR:DATE=20070815&amp;action=UPDATE&amp;creator=factset&amp;DOC_NAME=FAT:FMA_audit_SUMMARY.fat&amp;DISPLAY_STRING=Display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1__FDSAUDITLINK__" hidden="1">{"fdsup://directions/FAT%20Viewer?VAR:PED=LTM&amp;VAR:AUDIT_MODE=SUMMARY&amp;VAR:PERIOD=FIXED&amp;VAR:AUDIT_ID=00000117&amp;VAR:DATE=20070815&amp;action=UPDATE&amp;creator=factset&amp;DOC_NAME=FAT:FMA_audit_SUMMARY.fat&amp;DISPLAY_STRING=Display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10__FDSAUDITLINK__" localSheetId="6" hidden="1">{"fdsup://directions/FAT Viewer?action=UPDATE&amp;creator=factset&amp;DYN_ARGS=TRUE&amp;DOC_NAME=FAT:FQL_AUDITING_CLIENT_TEMPLATE.FAT&amp;display_string=Audit&amp;VAR:KEY=PYRQDGFAXW&amp;VAR:QUERY=RkZfRUJJVERBX0lCKCdMVE1TJyw0MDE1OSk=&amp;WINDOW=FIRST_POPUP&amp;HEIGHT=450&amp;WIDTH=450&amp;START_MA","XIMIZED=FALSE&amp;VAR:CALENDAR=US&amp;VAR:SYMBOL=04916420&amp;VAR:INDEX=0"}</definedName>
    <definedName name="_9210__FDSAUDITLINK__" hidden="1">{"fdsup://directions/FAT Viewer?action=UPDATE&amp;creator=factset&amp;DYN_ARGS=TRUE&amp;DOC_NAME=FAT:FQL_AUDITING_CLIENT_TEMPLATE.FAT&amp;display_string=Audit&amp;VAR:KEY=PYRQDGFAXW&amp;VAR:QUERY=RkZfRUJJVERBX0lCKCdMVE1TJyw0MDE1OSk=&amp;WINDOW=FIRST_POPUP&amp;HEIGHT=450&amp;WIDTH=450&amp;START_MA","XIMIZED=FALSE&amp;VAR:CALENDAR=US&amp;VAR:SYMBOL=04916420&amp;VAR:INDEX=0"}</definedName>
    <definedName name="_9211__FDSAUDITLINK__" localSheetId="6" hidden="1">{"fdsup://directions/FAT Viewer?action=UPDATE&amp;creator=factset&amp;DYN_ARGS=TRUE&amp;DOC_NAME=FAT:FQL_AUDITING_CLIENT_TEMPLATE.FAT&amp;display_string=Audit&amp;VAR:KEY=TKTIPQVAHM&amp;VAR:QUERY=RkZfRUJJVERBX0lCKCdMVE1TJyw0MDE1OCk=&amp;WINDOW=FIRST_POPUP&amp;HEIGHT=450&amp;WIDTH=450&amp;START_MA","XIMIZED=FALSE&amp;VAR:CALENDAR=US&amp;VAR:SYMBOL=04916420&amp;VAR:INDEX=0"}</definedName>
    <definedName name="_9211__FDSAUDITLINK__" hidden="1">{"fdsup://directions/FAT Viewer?action=UPDATE&amp;creator=factset&amp;DYN_ARGS=TRUE&amp;DOC_NAME=FAT:FQL_AUDITING_CLIENT_TEMPLATE.FAT&amp;display_string=Audit&amp;VAR:KEY=TKTIPQVAHM&amp;VAR:QUERY=RkZfRUJJVERBX0lCKCdMVE1TJyw0MDE1OCk=&amp;WINDOW=FIRST_POPUP&amp;HEIGHT=450&amp;WIDTH=450&amp;START_MA","XIMIZED=FALSE&amp;VAR:CALENDAR=US&amp;VAR:SYMBOL=04916420&amp;VAR:INDEX=0"}</definedName>
    <definedName name="_9212__FDSAUDITLINK__" localSheetId="6" hidden="1">{"fdsup://directions/FAT Viewer?action=UPDATE&amp;creator=factset&amp;DYN_ARGS=TRUE&amp;DOC_NAME=FAT:FQL_AUDITING_CLIENT_TEMPLATE.FAT&amp;display_string=Audit&amp;VAR:KEY=HADSHUDKJK&amp;VAR:QUERY=RkZfRUJJVERBX0lCKCdMVE1TJyw0MDE1Nyk=&amp;WINDOW=FIRST_POPUP&amp;HEIGHT=450&amp;WIDTH=450&amp;START_MA","XIMIZED=FALSE&amp;VAR:CALENDAR=US&amp;VAR:SYMBOL=04916420&amp;VAR:INDEX=0"}</definedName>
    <definedName name="_9212__FDSAUDITLINK__" hidden="1">{"fdsup://directions/FAT Viewer?action=UPDATE&amp;creator=factset&amp;DYN_ARGS=TRUE&amp;DOC_NAME=FAT:FQL_AUDITING_CLIENT_TEMPLATE.FAT&amp;display_string=Audit&amp;VAR:KEY=HADSHUDKJK&amp;VAR:QUERY=RkZfRUJJVERBX0lCKCdMVE1TJyw0MDE1Nyk=&amp;WINDOW=FIRST_POPUP&amp;HEIGHT=450&amp;WIDTH=450&amp;START_MA","XIMIZED=FALSE&amp;VAR:CALENDAR=US&amp;VAR:SYMBOL=04916420&amp;VAR:INDEX=0"}</definedName>
    <definedName name="_9213__FDSAUDITLINK__" localSheetId="6" hidden="1">{"fdsup://directions/FAT Viewer?action=UPDATE&amp;creator=factset&amp;DYN_ARGS=TRUE&amp;DOC_NAME=FAT:FQL_AUDITING_CLIENT_TEMPLATE.FAT&amp;display_string=Audit&amp;VAR:KEY=ZQZWFEXYRS&amp;VAR:QUERY=RkZfRUJJVERBX0lCKCdMVE1TJyw0MDE1Nik=&amp;WINDOW=FIRST_POPUP&amp;HEIGHT=450&amp;WIDTH=450&amp;START_MA","XIMIZED=FALSE&amp;VAR:CALENDAR=US&amp;VAR:SYMBOL=04916420&amp;VAR:INDEX=0"}</definedName>
    <definedName name="_9213__FDSAUDITLINK__" hidden="1">{"fdsup://directions/FAT Viewer?action=UPDATE&amp;creator=factset&amp;DYN_ARGS=TRUE&amp;DOC_NAME=FAT:FQL_AUDITING_CLIENT_TEMPLATE.FAT&amp;display_string=Audit&amp;VAR:KEY=ZQZWFEXYRS&amp;VAR:QUERY=RkZfRUJJVERBX0lCKCdMVE1TJyw0MDE1Nik=&amp;WINDOW=FIRST_POPUP&amp;HEIGHT=450&amp;WIDTH=450&amp;START_MA","XIMIZED=FALSE&amp;VAR:CALENDAR=US&amp;VAR:SYMBOL=04916420&amp;VAR:INDEX=0"}</definedName>
    <definedName name="_9214__FDSAUDITLINK__" localSheetId="6" hidden="1">{"fdsup://directions/FAT Viewer?action=UPDATE&amp;creator=factset&amp;DYN_ARGS=TRUE&amp;DOC_NAME=FAT:FQL_AUDITING_CLIENT_TEMPLATE.FAT&amp;display_string=Audit&amp;VAR:KEY=FQPOLQPOBC&amp;VAR:QUERY=RkZfRUJJVERBX0lCKCdMVE1TJyw0MDE1NSk=&amp;WINDOW=FIRST_POPUP&amp;HEIGHT=450&amp;WIDTH=450&amp;START_MA","XIMIZED=FALSE&amp;VAR:CALENDAR=US&amp;VAR:SYMBOL=04916420&amp;VAR:INDEX=0"}</definedName>
    <definedName name="_9214__FDSAUDITLINK__" hidden="1">{"fdsup://directions/FAT Viewer?action=UPDATE&amp;creator=factset&amp;DYN_ARGS=TRUE&amp;DOC_NAME=FAT:FQL_AUDITING_CLIENT_TEMPLATE.FAT&amp;display_string=Audit&amp;VAR:KEY=FQPOLQPOBC&amp;VAR:QUERY=RkZfRUJJVERBX0lCKCdMVE1TJyw0MDE1NSk=&amp;WINDOW=FIRST_POPUP&amp;HEIGHT=450&amp;WIDTH=450&amp;START_MA","XIMIZED=FALSE&amp;VAR:CALENDAR=US&amp;VAR:SYMBOL=04916420&amp;VAR:INDEX=0"}</definedName>
    <definedName name="_9215__FDSAUDITLINK__" localSheetId="6" hidden="1">{"fdsup://directions/FAT Viewer?action=UPDATE&amp;creator=factset&amp;DYN_ARGS=TRUE&amp;DOC_NAME=FAT:FQL_AUDITING_CLIENT_TEMPLATE.FAT&amp;display_string=Audit&amp;VAR:KEY=JKBILMVMPG&amp;VAR:QUERY=RkZfRUJJVERBX0lCKCdMVE1TJyw0MDE1NCk=&amp;WINDOW=FIRST_POPUP&amp;HEIGHT=450&amp;WIDTH=450&amp;START_MA","XIMIZED=FALSE&amp;VAR:CALENDAR=US&amp;VAR:SYMBOL=04916420&amp;VAR:INDEX=0"}</definedName>
    <definedName name="_9215__FDSAUDITLINK__" hidden="1">{"fdsup://directions/FAT Viewer?action=UPDATE&amp;creator=factset&amp;DYN_ARGS=TRUE&amp;DOC_NAME=FAT:FQL_AUDITING_CLIENT_TEMPLATE.FAT&amp;display_string=Audit&amp;VAR:KEY=JKBILMVMPG&amp;VAR:QUERY=RkZfRUJJVERBX0lCKCdMVE1TJyw0MDE1NCk=&amp;WINDOW=FIRST_POPUP&amp;HEIGHT=450&amp;WIDTH=450&amp;START_MA","XIMIZED=FALSE&amp;VAR:CALENDAR=US&amp;VAR:SYMBOL=04916420&amp;VAR:INDEX=0"}</definedName>
    <definedName name="_9216__FDSAUDITLINK__" localSheetId="6" hidden="1">{"fdsup://directions/FAT Viewer?action=UPDATE&amp;creator=factset&amp;DYN_ARGS=TRUE&amp;DOC_NAME=FAT:FQL_AUDITING_CLIENT_TEMPLATE.FAT&amp;display_string=Audit&amp;VAR:KEY=PAHORKTCZA&amp;VAR:QUERY=RkZfRUJJVERBX0lCKCdMVE1TJyw0MDE1Myk=&amp;WINDOW=FIRST_POPUP&amp;HEIGHT=450&amp;WIDTH=450&amp;START_MA","XIMIZED=FALSE&amp;VAR:CALENDAR=US&amp;VAR:SYMBOL=04916420&amp;VAR:INDEX=0"}</definedName>
    <definedName name="_9216__FDSAUDITLINK__" hidden="1">{"fdsup://directions/FAT Viewer?action=UPDATE&amp;creator=factset&amp;DYN_ARGS=TRUE&amp;DOC_NAME=FAT:FQL_AUDITING_CLIENT_TEMPLATE.FAT&amp;display_string=Audit&amp;VAR:KEY=PAHORKTCZA&amp;VAR:QUERY=RkZfRUJJVERBX0lCKCdMVE1TJyw0MDE1Myk=&amp;WINDOW=FIRST_POPUP&amp;HEIGHT=450&amp;WIDTH=450&amp;START_MA","XIMIZED=FALSE&amp;VAR:CALENDAR=US&amp;VAR:SYMBOL=04916420&amp;VAR:INDEX=0"}</definedName>
    <definedName name="_9217__FDSAUDITLINK__" localSheetId="6" hidden="1">{"fdsup://directions/FAT Viewer?action=UPDATE&amp;creator=factset&amp;DYN_ARGS=TRUE&amp;DOC_NAME=FAT:FQL_AUDITING_CLIENT_TEMPLATE.FAT&amp;display_string=Audit&amp;VAR:KEY=RQRQFMBWVM&amp;VAR:QUERY=RkZfRUJJVERBX0lCKCdMVE1TJyw0MDE1Mik=&amp;WINDOW=FIRST_POPUP&amp;HEIGHT=450&amp;WIDTH=450&amp;START_MA","XIMIZED=FALSE&amp;VAR:CALENDAR=US&amp;VAR:SYMBOL=04916420&amp;VAR:INDEX=0"}</definedName>
    <definedName name="_9217__FDSAUDITLINK__" hidden="1">{"fdsup://directions/FAT Viewer?action=UPDATE&amp;creator=factset&amp;DYN_ARGS=TRUE&amp;DOC_NAME=FAT:FQL_AUDITING_CLIENT_TEMPLATE.FAT&amp;display_string=Audit&amp;VAR:KEY=RQRQFMBWVM&amp;VAR:QUERY=RkZfRUJJVERBX0lCKCdMVE1TJyw0MDE1Mik=&amp;WINDOW=FIRST_POPUP&amp;HEIGHT=450&amp;WIDTH=450&amp;START_MA","XIMIZED=FALSE&amp;VAR:CALENDAR=US&amp;VAR:SYMBOL=04916420&amp;VAR:INDEX=0"}</definedName>
    <definedName name="_9218__FDSAUDITLINK__" localSheetId="6" hidden="1">{"fdsup://directions/FAT Viewer?action=UPDATE&amp;creator=factset&amp;DYN_ARGS=TRUE&amp;DOC_NAME=FAT:FQL_AUDITING_CLIENT_TEMPLATE.FAT&amp;display_string=Audit&amp;VAR:KEY=FEDARERQNM&amp;VAR:QUERY=RkZfRUJJVERBX0lCKCdMVE1TJyw0MDE1MSk=&amp;WINDOW=FIRST_POPUP&amp;HEIGHT=450&amp;WIDTH=450&amp;START_MA","XIMIZED=FALSE&amp;VAR:CALENDAR=US&amp;VAR:SYMBOL=04916420&amp;VAR:INDEX=0"}</definedName>
    <definedName name="_9218__FDSAUDITLINK__" hidden="1">{"fdsup://directions/FAT Viewer?action=UPDATE&amp;creator=factset&amp;DYN_ARGS=TRUE&amp;DOC_NAME=FAT:FQL_AUDITING_CLIENT_TEMPLATE.FAT&amp;display_string=Audit&amp;VAR:KEY=FEDARERQNM&amp;VAR:QUERY=RkZfRUJJVERBX0lCKCdMVE1TJyw0MDE1MSk=&amp;WINDOW=FIRST_POPUP&amp;HEIGHT=450&amp;WIDTH=450&amp;START_MA","XIMIZED=FALSE&amp;VAR:CALENDAR=US&amp;VAR:SYMBOL=04916420&amp;VAR:INDEX=0"}</definedName>
    <definedName name="_9219__FDSAUDITLINK__" localSheetId="6" hidden="1">{"fdsup://directions/FAT Viewer?action=UPDATE&amp;creator=factset&amp;DYN_ARGS=TRUE&amp;DOC_NAME=FAT:FQL_AUDITING_CLIENT_TEMPLATE.FAT&amp;display_string=Audit&amp;VAR:KEY=BGNWJWHCPE&amp;VAR:QUERY=RkZfRUJJVERBX0lCKCdMVE1TJyw0MDE1MCk=&amp;WINDOW=FIRST_POPUP&amp;HEIGHT=450&amp;WIDTH=450&amp;START_MA","XIMIZED=FALSE&amp;VAR:CALENDAR=US&amp;VAR:SYMBOL=04916420&amp;VAR:INDEX=0"}</definedName>
    <definedName name="_9219__FDSAUDITLINK__" hidden="1">{"fdsup://directions/FAT Viewer?action=UPDATE&amp;creator=factset&amp;DYN_ARGS=TRUE&amp;DOC_NAME=FAT:FQL_AUDITING_CLIENT_TEMPLATE.FAT&amp;display_string=Audit&amp;VAR:KEY=BGNWJWHCPE&amp;VAR:QUERY=RkZfRUJJVERBX0lCKCdMVE1TJyw0MDE1MCk=&amp;WINDOW=FIRST_POPUP&amp;HEIGHT=450&amp;WIDTH=450&amp;START_MA","XIMIZED=FALSE&amp;VAR:CALENDAR=US&amp;VAR:SYMBOL=04916420&amp;VAR:INDEX=0"}</definedName>
    <definedName name="_922__FDSAUDITLINK__" localSheetId="6" hidden="1">{"fdsup://directions/FAT%20Viewer?VAR:PED=LTM&amp;VAR:AUDIT_MODE=SUMMARY&amp;VAR:PERIOD=FIXED&amp;VAR:AUDIT_ID=00000117&amp;VAR:DATE=20070814&amp;action=UPDATE&amp;creator=factset&amp;DOC_NAME=FAT:FMA_audit_SUMMARY.fat&amp;DISPLAY_STRING=Display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2__FDSAUDITLINK__" hidden="1">{"fdsup://directions/FAT%20Viewer?VAR:PED=LTM&amp;VAR:AUDIT_MODE=SUMMARY&amp;VAR:PERIOD=FIXED&amp;VAR:AUDIT_ID=00000117&amp;VAR:DATE=20070814&amp;action=UPDATE&amp;creator=factset&amp;DOC_NAME=FAT:FMA_audit_SUMMARY.fat&amp;DISPLAY_STRING=Display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20__FDSAUDITLINK__" localSheetId="6" hidden="1">{"fdsup://directions/FAT Viewer?action=UPDATE&amp;creator=factset&amp;DYN_ARGS=TRUE&amp;DOC_NAME=FAT:FQL_AUDITING_CLIENT_TEMPLATE.FAT&amp;display_string=Audit&amp;VAR:KEY=JUTCDQDSJA&amp;VAR:QUERY=RkZfRUJJVERBX0lCKCdMVE1TJyw0MDE0OSk=&amp;WINDOW=FIRST_POPUP&amp;HEIGHT=450&amp;WIDTH=450&amp;START_MA","XIMIZED=FALSE&amp;VAR:CALENDAR=US&amp;VAR:SYMBOL=04916420&amp;VAR:INDEX=0"}</definedName>
    <definedName name="_9220__FDSAUDITLINK__" hidden="1">{"fdsup://directions/FAT Viewer?action=UPDATE&amp;creator=factset&amp;DYN_ARGS=TRUE&amp;DOC_NAME=FAT:FQL_AUDITING_CLIENT_TEMPLATE.FAT&amp;display_string=Audit&amp;VAR:KEY=JUTCDQDSJA&amp;VAR:QUERY=RkZfRUJJVERBX0lCKCdMVE1TJyw0MDE0OSk=&amp;WINDOW=FIRST_POPUP&amp;HEIGHT=450&amp;WIDTH=450&amp;START_MA","XIMIZED=FALSE&amp;VAR:CALENDAR=US&amp;VAR:SYMBOL=04916420&amp;VAR:INDEX=0"}</definedName>
    <definedName name="_9221__FDSAUDITLINK__" localSheetId="6" hidden="1">{"fdsup://directions/FAT Viewer?action=UPDATE&amp;creator=factset&amp;DYN_ARGS=TRUE&amp;DOC_NAME=FAT:FQL_AUDITING_CLIENT_TEMPLATE.FAT&amp;display_string=Audit&amp;VAR:KEY=FYNAJIDSPM&amp;VAR:QUERY=RkZfRUJJVERBX0lCKCdMVE1TJyw0MDE0OCk=&amp;WINDOW=FIRST_POPUP&amp;HEIGHT=450&amp;WIDTH=450&amp;START_MA","XIMIZED=FALSE&amp;VAR:CALENDAR=US&amp;VAR:SYMBOL=04916420&amp;VAR:INDEX=0"}</definedName>
    <definedName name="_9221__FDSAUDITLINK__" hidden="1">{"fdsup://directions/FAT Viewer?action=UPDATE&amp;creator=factset&amp;DYN_ARGS=TRUE&amp;DOC_NAME=FAT:FQL_AUDITING_CLIENT_TEMPLATE.FAT&amp;display_string=Audit&amp;VAR:KEY=FYNAJIDSPM&amp;VAR:QUERY=RkZfRUJJVERBX0lCKCdMVE1TJyw0MDE0OCk=&amp;WINDOW=FIRST_POPUP&amp;HEIGHT=450&amp;WIDTH=450&amp;START_MA","XIMIZED=FALSE&amp;VAR:CALENDAR=US&amp;VAR:SYMBOL=04916420&amp;VAR:INDEX=0"}</definedName>
    <definedName name="_9222__FDSAUDITLINK__" localSheetId="6" hidden="1">{"fdsup://directions/FAT Viewer?action=UPDATE&amp;creator=factset&amp;DYN_ARGS=TRUE&amp;DOC_NAME=FAT:FQL_AUDITING_CLIENT_TEMPLATE.FAT&amp;display_string=Audit&amp;VAR:KEY=JMXMNYZSPS&amp;VAR:QUERY=RkZfRUJJVERBX0lCKCdMVE1TJyw0MDE0Nyk=&amp;WINDOW=FIRST_POPUP&amp;HEIGHT=450&amp;WIDTH=450&amp;START_MA","XIMIZED=FALSE&amp;VAR:CALENDAR=US&amp;VAR:SYMBOL=04916420&amp;VAR:INDEX=0"}</definedName>
    <definedName name="_9222__FDSAUDITLINK__" hidden="1">{"fdsup://directions/FAT Viewer?action=UPDATE&amp;creator=factset&amp;DYN_ARGS=TRUE&amp;DOC_NAME=FAT:FQL_AUDITING_CLIENT_TEMPLATE.FAT&amp;display_string=Audit&amp;VAR:KEY=JMXMNYZSPS&amp;VAR:QUERY=RkZfRUJJVERBX0lCKCdMVE1TJyw0MDE0Nyk=&amp;WINDOW=FIRST_POPUP&amp;HEIGHT=450&amp;WIDTH=450&amp;START_MA","XIMIZED=FALSE&amp;VAR:CALENDAR=US&amp;VAR:SYMBOL=04916420&amp;VAR:INDEX=0"}</definedName>
    <definedName name="_9223__FDSAUDITLINK__" localSheetId="6" hidden="1">{"fdsup://directions/FAT Viewer?action=UPDATE&amp;creator=factset&amp;DYN_ARGS=TRUE&amp;DOC_NAME=FAT:FQL_AUDITING_CLIENT_TEMPLATE.FAT&amp;display_string=Audit&amp;VAR:KEY=TULYNAZKVA&amp;VAR:QUERY=RkZfRUJJVERBX0lCKCdMVE1TJyw0MDE0Nik=&amp;WINDOW=FIRST_POPUP&amp;HEIGHT=450&amp;WIDTH=450&amp;START_MA","XIMIZED=FALSE&amp;VAR:CALENDAR=US&amp;VAR:SYMBOL=04916420&amp;VAR:INDEX=0"}</definedName>
    <definedName name="_9223__FDSAUDITLINK__" hidden="1">{"fdsup://directions/FAT Viewer?action=UPDATE&amp;creator=factset&amp;DYN_ARGS=TRUE&amp;DOC_NAME=FAT:FQL_AUDITING_CLIENT_TEMPLATE.FAT&amp;display_string=Audit&amp;VAR:KEY=TULYNAZKVA&amp;VAR:QUERY=RkZfRUJJVERBX0lCKCdMVE1TJyw0MDE0Nik=&amp;WINDOW=FIRST_POPUP&amp;HEIGHT=450&amp;WIDTH=450&amp;START_MA","XIMIZED=FALSE&amp;VAR:CALENDAR=US&amp;VAR:SYMBOL=04916420&amp;VAR:INDEX=0"}</definedName>
    <definedName name="_9224__FDSAUDITLINK__" localSheetId="6" hidden="1">{"fdsup://directions/FAT Viewer?action=UPDATE&amp;creator=factset&amp;DYN_ARGS=TRUE&amp;DOC_NAME=FAT:FQL_AUDITING_CLIENT_TEMPLATE.FAT&amp;display_string=Audit&amp;VAR:KEY=NWDKXGFGXO&amp;VAR:QUERY=RkZfRUJJVERBX0lCKCdMVE1TJyw0MDE0NSk=&amp;WINDOW=FIRST_POPUP&amp;HEIGHT=450&amp;WIDTH=450&amp;START_MA","XIMIZED=FALSE&amp;VAR:CALENDAR=US&amp;VAR:SYMBOL=04916420&amp;VAR:INDEX=0"}</definedName>
    <definedName name="_9224__FDSAUDITLINK__" hidden="1">{"fdsup://directions/FAT Viewer?action=UPDATE&amp;creator=factset&amp;DYN_ARGS=TRUE&amp;DOC_NAME=FAT:FQL_AUDITING_CLIENT_TEMPLATE.FAT&amp;display_string=Audit&amp;VAR:KEY=NWDKXGFGXO&amp;VAR:QUERY=RkZfRUJJVERBX0lCKCdMVE1TJyw0MDE0NSk=&amp;WINDOW=FIRST_POPUP&amp;HEIGHT=450&amp;WIDTH=450&amp;START_MA","XIMIZED=FALSE&amp;VAR:CALENDAR=US&amp;VAR:SYMBOL=04916420&amp;VAR:INDEX=0"}</definedName>
    <definedName name="_9225__FDSAUDITLINK__" localSheetId="6" hidden="1">{"fdsup://directions/FAT Viewer?action=UPDATE&amp;creator=factset&amp;DYN_ARGS=TRUE&amp;DOC_NAME=FAT:FQL_AUDITING_CLIENT_TEMPLATE.FAT&amp;display_string=Audit&amp;VAR:KEY=LMTORWXWDY&amp;VAR:QUERY=RkZfRUJJVERBX0lCKCdMVE1TJyw0MDE0NCk=&amp;WINDOW=FIRST_POPUP&amp;HEIGHT=450&amp;WIDTH=450&amp;START_MA","XIMIZED=FALSE&amp;VAR:CALENDAR=US&amp;VAR:SYMBOL=04916420&amp;VAR:INDEX=0"}</definedName>
    <definedName name="_9225__FDSAUDITLINK__" hidden="1">{"fdsup://directions/FAT Viewer?action=UPDATE&amp;creator=factset&amp;DYN_ARGS=TRUE&amp;DOC_NAME=FAT:FQL_AUDITING_CLIENT_TEMPLATE.FAT&amp;display_string=Audit&amp;VAR:KEY=LMTORWXWDY&amp;VAR:QUERY=RkZfRUJJVERBX0lCKCdMVE1TJyw0MDE0NCk=&amp;WINDOW=FIRST_POPUP&amp;HEIGHT=450&amp;WIDTH=450&amp;START_MA","XIMIZED=FALSE&amp;VAR:CALENDAR=US&amp;VAR:SYMBOL=04916420&amp;VAR:INDEX=0"}</definedName>
    <definedName name="_9226__FDSAUDITLINK__" localSheetId="6" hidden="1">{"fdsup://directions/FAT Viewer?action=UPDATE&amp;creator=factset&amp;DYN_ARGS=TRUE&amp;DOC_NAME=FAT:FQL_AUDITING_CLIENT_TEMPLATE.FAT&amp;display_string=Audit&amp;VAR:KEY=TAPGLEDUNG&amp;VAR:QUERY=RkZfRUJJVERBX0lCKCdMVE1TJyw0MDE0Myk=&amp;WINDOW=FIRST_POPUP&amp;HEIGHT=450&amp;WIDTH=450&amp;START_MA","XIMIZED=FALSE&amp;VAR:CALENDAR=US&amp;VAR:SYMBOL=04916420&amp;VAR:INDEX=0"}</definedName>
    <definedName name="_9226__FDSAUDITLINK__" hidden="1">{"fdsup://directions/FAT Viewer?action=UPDATE&amp;creator=factset&amp;DYN_ARGS=TRUE&amp;DOC_NAME=FAT:FQL_AUDITING_CLIENT_TEMPLATE.FAT&amp;display_string=Audit&amp;VAR:KEY=TAPGLEDUNG&amp;VAR:QUERY=RkZfRUJJVERBX0lCKCdMVE1TJyw0MDE0Myk=&amp;WINDOW=FIRST_POPUP&amp;HEIGHT=450&amp;WIDTH=450&amp;START_MA","XIMIZED=FALSE&amp;VAR:CALENDAR=US&amp;VAR:SYMBOL=04916420&amp;VAR:INDEX=0"}</definedName>
    <definedName name="_9227__FDSAUDITLINK__" localSheetId="6" hidden="1">{"fdsup://directions/FAT Viewer?action=UPDATE&amp;creator=factset&amp;DYN_ARGS=TRUE&amp;DOC_NAME=FAT:FQL_AUDITING_CLIENT_TEMPLATE.FAT&amp;display_string=Audit&amp;VAR:KEY=PITEPMXYVS&amp;VAR:QUERY=RkZfRUJJVERBX0lCKCdMVE1TJyw0MDE0Mik=&amp;WINDOW=FIRST_POPUP&amp;HEIGHT=450&amp;WIDTH=450&amp;START_MA","XIMIZED=FALSE&amp;VAR:CALENDAR=US&amp;VAR:SYMBOL=04916420&amp;VAR:INDEX=0"}</definedName>
    <definedName name="_9227__FDSAUDITLINK__" hidden="1">{"fdsup://directions/FAT Viewer?action=UPDATE&amp;creator=factset&amp;DYN_ARGS=TRUE&amp;DOC_NAME=FAT:FQL_AUDITING_CLIENT_TEMPLATE.FAT&amp;display_string=Audit&amp;VAR:KEY=PITEPMXYVS&amp;VAR:QUERY=RkZfRUJJVERBX0lCKCdMVE1TJyw0MDE0Mik=&amp;WINDOW=FIRST_POPUP&amp;HEIGHT=450&amp;WIDTH=450&amp;START_MA","XIMIZED=FALSE&amp;VAR:CALENDAR=US&amp;VAR:SYMBOL=04916420&amp;VAR:INDEX=0"}</definedName>
    <definedName name="_9228__FDSAUDITLINK__" localSheetId="6" hidden="1">{"fdsup://directions/FAT Viewer?action=UPDATE&amp;creator=factset&amp;DYN_ARGS=TRUE&amp;DOC_NAME=FAT:FQL_AUDITING_CLIENT_TEMPLATE.FAT&amp;display_string=Audit&amp;VAR:KEY=VSXKFKPYPW&amp;VAR:QUERY=RkZfRUJJVERBX0lCKCdMVE1TJyw0MDE0MSk=&amp;WINDOW=FIRST_POPUP&amp;HEIGHT=450&amp;WIDTH=450&amp;START_MA","XIMIZED=FALSE&amp;VAR:CALENDAR=US&amp;VAR:SYMBOL=04916420&amp;VAR:INDEX=0"}</definedName>
    <definedName name="_9228__FDSAUDITLINK__" hidden="1">{"fdsup://directions/FAT Viewer?action=UPDATE&amp;creator=factset&amp;DYN_ARGS=TRUE&amp;DOC_NAME=FAT:FQL_AUDITING_CLIENT_TEMPLATE.FAT&amp;display_string=Audit&amp;VAR:KEY=VSXKFKPYPW&amp;VAR:QUERY=RkZfRUJJVERBX0lCKCdMVE1TJyw0MDE0MSk=&amp;WINDOW=FIRST_POPUP&amp;HEIGHT=450&amp;WIDTH=450&amp;START_MA","XIMIZED=FALSE&amp;VAR:CALENDAR=US&amp;VAR:SYMBOL=04916420&amp;VAR:INDEX=0"}</definedName>
    <definedName name="_9229__FDSAUDITLINK__" localSheetId="6" hidden="1">{"fdsup://directions/FAT Viewer?action=UPDATE&amp;creator=factset&amp;DYN_ARGS=TRUE&amp;DOC_NAME=FAT:FQL_AUDITING_CLIENT_TEMPLATE.FAT&amp;display_string=Audit&amp;VAR:KEY=ZMLKLEDOVI&amp;VAR:QUERY=RkZfRUJJVERBX0lCKCdMVE1TJyw0MDE0MCk=&amp;WINDOW=FIRST_POPUP&amp;HEIGHT=450&amp;WIDTH=450&amp;START_MA","XIMIZED=FALSE&amp;VAR:CALENDAR=US&amp;VAR:SYMBOL=04916420&amp;VAR:INDEX=0"}</definedName>
    <definedName name="_9229__FDSAUDITLINK__" hidden="1">{"fdsup://directions/FAT Viewer?action=UPDATE&amp;creator=factset&amp;DYN_ARGS=TRUE&amp;DOC_NAME=FAT:FQL_AUDITING_CLIENT_TEMPLATE.FAT&amp;display_string=Audit&amp;VAR:KEY=ZMLKLEDOVI&amp;VAR:QUERY=RkZfRUJJVERBX0lCKCdMVE1TJyw0MDE0MCk=&amp;WINDOW=FIRST_POPUP&amp;HEIGHT=450&amp;WIDTH=450&amp;START_MA","XIMIZED=FALSE&amp;VAR:CALENDAR=US&amp;VAR:SYMBOL=04916420&amp;VAR:INDEX=0"}</definedName>
    <definedName name="_923__FDSAUDITLINK__" localSheetId="6" hidden="1">{"fdsup://directions/FAT%20Viewer?VAR:PED=LTM&amp;VAR:AUDIT_MODE=SUMMARY&amp;VAR:PERIOD=FIXED&amp;VAR:AUDIT_ID=00000117&amp;VAR:DATE=20070813&amp;action=UPDATE&amp;creator=factset&amp;DOC_NAME=FAT:FMA_audit_SUMMARY.fat&amp;DISPLAY_STRING=Display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3__FDSAUDITLINK__" hidden="1">{"fdsup://directions/FAT%20Viewer?VAR:PED=LTM&amp;VAR:AUDIT_MODE=SUMMARY&amp;VAR:PERIOD=FIXED&amp;VAR:AUDIT_ID=00000117&amp;VAR:DATE=20070813&amp;action=UPDATE&amp;creator=factset&amp;DOC_NAME=FAT:FMA_audit_SUMMARY.fat&amp;DISPLAY_STRING=Display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30__FDSAUDITLINK__" localSheetId="6" hidden="1">{"fdsup://directions/FAT Viewer?action=UPDATE&amp;creator=factset&amp;DYN_ARGS=TRUE&amp;DOC_NAME=FAT:FQL_AUDITING_CLIENT_TEMPLATE.FAT&amp;display_string=Audit&amp;VAR:KEY=ZITKHMPCVO&amp;VAR:QUERY=RkZfRUJJVERBX0lCKCdMVE1TJyw0MDEzOSk=&amp;WINDOW=FIRST_POPUP&amp;HEIGHT=450&amp;WIDTH=450&amp;START_MA","XIMIZED=FALSE&amp;VAR:CALENDAR=US&amp;VAR:SYMBOL=04916420&amp;VAR:INDEX=0"}</definedName>
    <definedName name="_9230__FDSAUDITLINK__" hidden="1">{"fdsup://directions/FAT Viewer?action=UPDATE&amp;creator=factset&amp;DYN_ARGS=TRUE&amp;DOC_NAME=FAT:FQL_AUDITING_CLIENT_TEMPLATE.FAT&amp;display_string=Audit&amp;VAR:KEY=ZITKHMPCVO&amp;VAR:QUERY=RkZfRUJJVERBX0lCKCdMVE1TJyw0MDEzOSk=&amp;WINDOW=FIRST_POPUP&amp;HEIGHT=450&amp;WIDTH=450&amp;START_MA","XIMIZED=FALSE&amp;VAR:CALENDAR=US&amp;VAR:SYMBOL=04916420&amp;VAR:INDEX=0"}</definedName>
    <definedName name="_9231__FDSAUDITLINK__" localSheetId="6" hidden="1">{"fdsup://directions/FAT Viewer?action=UPDATE&amp;creator=factset&amp;DYN_ARGS=TRUE&amp;DOC_NAME=FAT:FQL_AUDITING_CLIENT_TEMPLATE.FAT&amp;display_string=Audit&amp;VAR:KEY=FYVEZKNGXW&amp;VAR:QUERY=RkZfRUJJVERBX0lCKCdMVE1TJyw0MDEzOCk=&amp;WINDOW=FIRST_POPUP&amp;HEIGHT=450&amp;WIDTH=450&amp;START_MA","XIMIZED=FALSE&amp;VAR:CALENDAR=US&amp;VAR:SYMBOL=04916420&amp;VAR:INDEX=0"}</definedName>
    <definedName name="_9231__FDSAUDITLINK__" hidden="1">{"fdsup://directions/FAT Viewer?action=UPDATE&amp;creator=factset&amp;DYN_ARGS=TRUE&amp;DOC_NAME=FAT:FQL_AUDITING_CLIENT_TEMPLATE.FAT&amp;display_string=Audit&amp;VAR:KEY=FYVEZKNGXW&amp;VAR:QUERY=RkZfRUJJVERBX0lCKCdMVE1TJyw0MDEzOCk=&amp;WINDOW=FIRST_POPUP&amp;HEIGHT=450&amp;WIDTH=450&amp;START_MA","XIMIZED=FALSE&amp;VAR:CALENDAR=US&amp;VAR:SYMBOL=04916420&amp;VAR:INDEX=0"}</definedName>
    <definedName name="_9232__FDSAUDITLINK__" localSheetId="6" hidden="1">{"fdsup://directions/FAT Viewer?action=UPDATE&amp;creator=factset&amp;DYN_ARGS=TRUE&amp;DOC_NAME=FAT:FQL_AUDITING_CLIENT_TEMPLATE.FAT&amp;display_string=Audit&amp;VAR:KEY=HYZAFWLALW&amp;VAR:QUERY=RkZfRUJJVERBX0lCKCdMVE1TJyw0MDEzNyk=&amp;WINDOW=FIRST_POPUP&amp;HEIGHT=450&amp;WIDTH=450&amp;START_MA","XIMIZED=FALSE&amp;VAR:CALENDAR=US&amp;VAR:SYMBOL=04916420&amp;VAR:INDEX=0"}</definedName>
    <definedName name="_9232__FDSAUDITLINK__" hidden="1">{"fdsup://directions/FAT Viewer?action=UPDATE&amp;creator=factset&amp;DYN_ARGS=TRUE&amp;DOC_NAME=FAT:FQL_AUDITING_CLIENT_TEMPLATE.FAT&amp;display_string=Audit&amp;VAR:KEY=HYZAFWLALW&amp;VAR:QUERY=RkZfRUJJVERBX0lCKCdMVE1TJyw0MDEzNyk=&amp;WINDOW=FIRST_POPUP&amp;HEIGHT=450&amp;WIDTH=450&amp;START_MA","XIMIZED=FALSE&amp;VAR:CALENDAR=US&amp;VAR:SYMBOL=04916420&amp;VAR:INDEX=0"}</definedName>
    <definedName name="_9233__FDSAUDITLINK__" localSheetId="6" hidden="1">{"fdsup://directions/FAT Viewer?action=UPDATE&amp;creator=factset&amp;DYN_ARGS=TRUE&amp;DOC_NAME=FAT:FQL_AUDITING_CLIENT_TEMPLATE.FAT&amp;display_string=Audit&amp;VAR:KEY=BQFGNIHAHE&amp;VAR:QUERY=RkZfRUJJVERBX0lCKCdMVE1TJyw0MDEzNik=&amp;WINDOW=FIRST_POPUP&amp;HEIGHT=450&amp;WIDTH=450&amp;START_MA","XIMIZED=FALSE&amp;VAR:CALENDAR=US&amp;VAR:SYMBOL=04916420&amp;VAR:INDEX=0"}</definedName>
    <definedName name="_9233__FDSAUDITLINK__" hidden="1">{"fdsup://directions/FAT Viewer?action=UPDATE&amp;creator=factset&amp;DYN_ARGS=TRUE&amp;DOC_NAME=FAT:FQL_AUDITING_CLIENT_TEMPLATE.FAT&amp;display_string=Audit&amp;VAR:KEY=BQFGNIHAHE&amp;VAR:QUERY=RkZfRUJJVERBX0lCKCdMVE1TJyw0MDEzNik=&amp;WINDOW=FIRST_POPUP&amp;HEIGHT=450&amp;WIDTH=450&amp;START_MA","XIMIZED=FALSE&amp;VAR:CALENDAR=US&amp;VAR:SYMBOL=04916420&amp;VAR:INDEX=0"}</definedName>
    <definedName name="_9234__FDSAUDITLINK__" localSheetId="6" hidden="1">{"fdsup://directions/FAT Viewer?action=UPDATE&amp;creator=factset&amp;DYN_ARGS=TRUE&amp;DOC_NAME=FAT:FQL_AUDITING_CLIENT_TEMPLATE.FAT&amp;display_string=Audit&amp;VAR:KEY=ZOVQZSLYPE&amp;VAR:QUERY=RkZfRUJJVERBX0lCKCdMVE1TJyw0MDEzNSk=&amp;WINDOW=FIRST_POPUP&amp;HEIGHT=450&amp;WIDTH=450&amp;START_MA","XIMIZED=FALSE&amp;VAR:CALENDAR=US&amp;VAR:SYMBOL=04916420&amp;VAR:INDEX=0"}</definedName>
    <definedName name="_9234__FDSAUDITLINK__" hidden="1">{"fdsup://directions/FAT Viewer?action=UPDATE&amp;creator=factset&amp;DYN_ARGS=TRUE&amp;DOC_NAME=FAT:FQL_AUDITING_CLIENT_TEMPLATE.FAT&amp;display_string=Audit&amp;VAR:KEY=ZOVQZSLYPE&amp;VAR:QUERY=RkZfRUJJVERBX0lCKCdMVE1TJyw0MDEzNSk=&amp;WINDOW=FIRST_POPUP&amp;HEIGHT=450&amp;WIDTH=450&amp;START_MA","XIMIZED=FALSE&amp;VAR:CALENDAR=US&amp;VAR:SYMBOL=04916420&amp;VAR:INDEX=0"}</definedName>
    <definedName name="_9235__FDSAUDITLINK__" localSheetId="6" hidden="1">{"fdsup://directions/FAT Viewer?action=UPDATE&amp;creator=factset&amp;DYN_ARGS=TRUE&amp;DOC_NAME=FAT:FQL_AUDITING_CLIENT_TEMPLATE.FAT&amp;display_string=Audit&amp;VAR:KEY=DWDMZMBEDM&amp;VAR:QUERY=RkZfRUJJVERBX0lCKCdMVE1TJyw0MDEzNCk=&amp;WINDOW=FIRST_POPUP&amp;HEIGHT=450&amp;WIDTH=450&amp;START_MA","XIMIZED=FALSE&amp;VAR:CALENDAR=US&amp;VAR:SYMBOL=04916420&amp;VAR:INDEX=0"}</definedName>
    <definedName name="_9235__FDSAUDITLINK__" hidden="1">{"fdsup://directions/FAT Viewer?action=UPDATE&amp;creator=factset&amp;DYN_ARGS=TRUE&amp;DOC_NAME=FAT:FQL_AUDITING_CLIENT_TEMPLATE.FAT&amp;display_string=Audit&amp;VAR:KEY=DWDMZMBEDM&amp;VAR:QUERY=RkZfRUJJVERBX0lCKCdMVE1TJyw0MDEzNCk=&amp;WINDOW=FIRST_POPUP&amp;HEIGHT=450&amp;WIDTH=450&amp;START_MA","XIMIZED=FALSE&amp;VAR:CALENDAR=US&amp;VAR:SYMBOL=04916420&amp;VAR:INDEX=0"}</definedName>
    <definedName name="_9236__FDSAUDITLINK__" localSheetId="6" hidden="1">{"fdsup://directions/FAT Viewer?action=UPDATE&amp;creator=factset&amp;DYN_ARGS=TRUE&amp;DOC_NAME=FAT:FQL_AUDITING_CLIENT_TEMPLATE.FAT&amp;display_string=Audit&amp;VAR:KEY=DWPOTQRCFE&amp;VAR:QUERY=RkZfRUJJVERBX0lCKCdMVE1TJyw0MDEzMyk=&amp;WINDOW=FIRST_POPUP&amp;HEIGHT=450&amp;WIDTH=450&amp;START_MA","XIMIZED=FALSE&amp;VAR:CALENDAR=US&amp;VAR:SYMBOL=04916420&amp;VAR:INDEX=0"}</definedName>
    <definedName name="_9236__FDSAUDITLINK__" hidden="1">{"fdsup://directions/FAT Viewer?action=UPDATE&amp;creator=factset&amp;DYN_ARGS=TRUE&amp;DOC_NAME=FAT:FQL_AUDITING_CLIENT_TEMPLATE.FAT&amp;display_string=Audit&amp;VAR:KEY=DWPOTQRCFE&amp;VAR:QUERY=RkZfRUJJVERBX0lCKCdMVE1TJyw0MDEzMyk=&amp;WINDOW=FIRST_POPUP&amp;HEIGHT=450&amp;WIDTH=450&amp;START_MA","XIMIZED=FALSE&amp;VAR:CALENDAR=US&amp;VAR:SYMBOL=04916420&amp;VAR:INDEX=0"}</definedName>
    <definedName name="_9237__FDSAUDITLINK__" localSheetId="6" hidden="1">{"fdsup://directions/FAT Viewer?action=UPDATE&amp;creator=factset&amp;DYN_ARGS=TRUE&amp;DOC_NAME=FAT:FQL_AUDITING_CLIENT_TEMPLATE.FAT&amp;display_string=Audit&amp;VAR:KEY=PMJIFQVKTK&amp;VAR:QUERY=RkZfRUJJVERBX0lCKCdMVE1TJyw0MDEzMik=&amp;WINDOW=FIRST_POPUP&amp;HEIGHT=450&amp;WIDTH=450&amp;START_MA","XIMIZED=FALSE&amp;VAR:CALENDAR=US&amp;VAR:SYMBOL=04916420&amp;VAR:INDEX=0"}</definedName>
    <definedName name="_9237__FDSAUDITLINK__" hidden="1">{"fdsup://directions/FAT Viewer?action=UPDATE&amp;creator=factset&amp;DYN_ARGS=TRUE&amp;DOC_NAME=FAT:FQL_AUDITING_CLIENT_TEMPLATE.FAT&amp;display_string=Audit&amp;VAR:KEY=PMJIFQVKTK&amp;VAR:QUERY=RkZfRUJJVERBX0lCKCdMVE1TJyw0MDEzMik=&amp;WINDOW=FIRST_POPUP&amp;HEIGHT=450&amp;WIDTH=450&amp;START_MA","XIMIZED=FALSE&amp;VAR:CALENDAR=US&amp;VAR:SYMBOL=04916420&amp;VAR:INDEX=0"}</definedName>
    <definedName name="_9238__FDSAUDITLINK__" localSheetId="6" hidden="1">{"fdsup://directions/FAT Viewer?action=UPDATE&amp;creator=factset&amp;DYN_ARGS=TRUE&amp;DOC_NAME=FAT:FQL_AUDITING_CLIENT_TEMPLATE.FAT&amp;display_string=Audit&amp;VAR:KEY=XOZUBGLYRC&amp;VAR:QUERY=RkZfRUJJVERBX0lCKCdMVE1TJyw0MDEzMSk=&amp;WINDOW=FIRST_POPUP&amp;HEIGHT=450&amp;WIDTH=450&amp;START_MA","XIMIZED=FALSE&amp;VAR:CALENDAR=US&amp;VAR:SYMBOL=04916420&amp;VAR:INDEX=0"}</definedName>
    <definedName name="_9238__FDSAUDITLINK__" hidden="1">{"fdsup://directions/FAT Viewer?action=UPDATE&amp;creator=factset&amp;DYN_ARGS=TRUE&amp;DOC_NAME=FAT:FQL_AUDITING_CLIENT_TEMPLATE.FAT&amp;display_string=Audit&amp;VAR:KEY=XOZUBGLYRC&amp;VAR:QUERY=RkZfRUJJVERBX0lCKCdMVE1TJyw0MDEzMSk=&amp;WINDOW=FIRST_POPUP&amp;HEIGHT=450&amp;WIDTH=450&amp;START_MA","XIMIZED=FALSE&amp;VAR:CALENDAR=US&amp;VAR:SYMBOL=04916420&amp;VAR:INDEX=0"}</definedName>
    <definedName name="_9239__FDSAUDITLINK__" localSheetId="6" hidden="1">{"fdsup://directions/FAT Viewer?action=UPDATE&amp;creator=factset&amp;DYN_ARGS=TRUE&amp;DOC_NAME=FAT:FQL_AUDITING_CLIENT_TEMPLATE.FAT&amp;display_string=Audit&amp;VAR:KEY=FKNOHKPCHI&amp;VAR:QUERY=RkZfRUJJVERBX0lCKCdMVE1TJyw0MDEzMCk=&amp;WINDOW=FIRST_POPUP&amp;HEIGHT=450&amp;WIDTH=450&amp;START_MA","XIMIZED=FALSE&amp;VAR:CALENDAR=US&amp;VAR:SYMBOL=04916420&amp;VAR:INDEX=0"}</definedName>
    <definedName name="_9239__FDSAUDITLINK__" hidden="1">{"fdsup://directions/FAT Viewer?action=UPDATE&amp;creator=factset&amp;DYN_ARGS=TRUE&amp;DOC_NAME=FAT:FQL_AUDITING_CLIENT_TEMPLATE.FAT&amp;display_string=Audit&amp;VAR:KEY=FKNOHKPCHI&amp;VAR:QUERY=RkZfRUJJVERBX0lCKCdMVE1TJyw0MDEzMCk=&amp;WINDOW=FIRST_POPUP&amp;HEIGHT=450&amp;WIDTH=450&amp;START_MA","XIMIZED=FALSE&amp;VAR:CALENDAR=US&amp;VAR:SYMBOL=04916420&amp;VAR:INDEX=0"}</definedName>
    <definedName name="_924__FDSAUDITLINK__" localSheetId="6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4__FDSAUDITLINK__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40__FDSAUDITLINK__" localSheetId="6" hidden="1">{"fdsup://directions/FAT Viewer?action=UPDATE&amp;creator=factset&amp;DYN_ARGS=TRUE&amp;DOC_NAME=FAT:FQL_AUDITING_CLIENT_TEMPLATE.FAT&amp;display_string=Audit&amp;VAR:KEY=NYDKHQPIJK&amp;VAR:QUERY=RkZfRUJJVERBX0lCKCdMVE1TJyw0MDEyOSk=&amp;WINDOW=FIRST_POPUP&amp;HEIGHT=450&amp;WIDTH=450&amp;START_MA","XIMIZED=FALSE&amp;VAR:CALENDAR=US&amp;VAR:SYMBOL=04916420&amp;VAR:INDEX=0"}</definedName>
    <definedName name="_9240__FDSAUDITLINK__" hidden="1">{"fdsup://directions/FAT Viewer?action=UPDATE&amp;creator=factset&amp;DYN_ARGS=TRUE&amp;DOC_NAME=FAT:FQL_AUDITING_CLIENT_TEMPLATE.FAT&amp;display_string=Audit&amp;VAR:KEY=NYDKHQPIJK&amp;VAR:QUERY=RkZfRUJJVERBX0lCKCdMVE1TJyw0MDEyOSk=&amp;WINDOW=FIRST_POPUP&amp;HEIGHT=450&amp;WIDTH=450&amp;START_MA","XIMIZED=FALSE&amp;VAR:CALENDAR=US&amp;VAR:SYMBOL=04916420&amp;VAR:INDEX=0"}</definedName>
    <definedName name="_9241__FDSAUDITLINK__" localSheetId="6" hidden="1">{"fdsup://directions/FAT Viewer?action=UPDATE&amp;creator=factset&amp;DYN_ARGS=TRUE&amp;DOC_NAME=FAT:FQL_AUDITING_CLIENT_TEMPLATE.FAT&amp;display_string=Audit&amp;VAR:KEY=LKZSDKLMDW&amp;VAR:QUERY=RkZfRUJJVERBX0lCKCdMVE1TJyw0MDEyOCk=&amp;WINDOW=FIRST_POPUP&amp;HEIGHT=450&amp;WIDTH=450&amp;START_MA","XIMIZED=FALSE&amp;VAR:CALENDAR=US&amp;VAR:SYMBOL=04916420&amp;VAR:INDEX=0"}</definedName>
    <definedName name="_9241__FDSAUDITLINK__" hidden="1">{"fdsup://directions/FAT Viewer?action=UPDATE&amp;creator=factset&amp;DYN_ARGS=TRUE&amp;DOC_NAME=FAT:FQL_AUDITING_CLIENT_TEMPLATE.FAT&amp;display_string=Audit&amp;VAR:KEY=LKZSDKLMDW&amp;VAR:QUERY=RkZfRUJJVERBX0lCKCdMVE1TJyw0MDEyOCk=&amp;WINDOW=FIRST_POPUP&amp;HEIGHT=450&amp;WIDTH=450&amp;START_MA","XIMIZED=FALSE&amp;VAR:CALENDAR=US&amp;VAR:SYMBOL=04916420&amp;VAR:INDEX=0"}</definedName>
    <definedName name="_9242__FDSAUDITLINK__" localSheetId="6" hidden="1">{"fdsup://directions/FAT Viewer?action=UPDATE&amp;creator=factset&amp;DYN_ARGS=TRUE&amp;DOC_NAME=FAT:FQL_AUDITING_CLIENT_TEMPLATE.FAT&amp;display_string=Audit&amp;VAR:KEY=LEXGNIBWNO&amp;VAR:QUERY=RkZfRUJJVERBX0lCKCdMVE1TJyw0MDEyNyk=&amp;WINDOW=FIRST_POPUP&amp;HEIGHT=450&amp;WIDTH=450&amp;START_MA","XIMIZED=FALSE&amp;VAR:CALENDAR=US&amp;VAR:SYMBOL=04916420&amp;VAR:INDEX=0"}</definedName>
    <definedName name="_9242__FDSAUDITLINK__" hidden="1">{"fdsup://directions/FAT Viewer?action=UPDATE&amp;creator=factset&amp;DYN_ARGS=TRUE&amp;DOC_NAME=FAT:FQL_AUDITING_CLIENT_TEMPLATE.FAT&amp;display_string=Audit&amp;VAR:KEY=LEXGNIBWNO&amp;VAR:QUERY=RkZfRUJJVERBX0lCKCdMVE1TJyw0MDEyNyk=&amp;WINDOW=FIRST_POPUP&amp;HEIGHT=450&amp;WIDTH=450&amp;START_MA","XIMIZED=FALSE&amp;VAR:CALENDAR=US&amp;VAR:SYMBOL=04916420&amp;VAR:INDEX=0"}</definedName>
    <definedName name="_9243__FDSAUDITLINK__" localSheetId="6" hidden="1">{"fdsup://directions/FAT Viewer?action=UPDATE&amp;creator=factset&amp;DYN_ARGS=TRUE&amp;DOC_NAME=FAT:FQL_AUDITING_CLIENT_TEMPLATE.FAT&amp;display_string=Audit&amp;VAR:KEY=XAJCVIFCPO&amp;VAR:QUERY=RkZfRUJJVERBX0lCKCdMVE1TJyw0MDEyNik=&amp;WINDOW=FIRST_POPUP&amp;HEIGHT=450&amp;WIDTH=450&amp;START_MA","XIMIZED=FALSE&amp;VAR:CALENDAR=US&amp;VAR:SYMBOL=04916420&amp;VAR:INDEX=0"}</definedName>
    <definedName name="_9243__FDSAUDITLINK__" hidden="1">{"fdsup://directions/FAT Viewer?action=UPDATE&amp;creator=factset&amp;DYN_ARGS=TRUE&amp;DOC_NAME=FAT:FQL_AUDITING_CLIENT_TEMPLATE.FAT&amp;display_string=Audit&amp;VAR:KEY=XAJCVIFCPO&amp;VAR:QUERY=RkZfRUJJVERBX0lCKCdMVE1TJyw0MDEyNik=&amp;WINDOW=FIRST_POPUP&amp;HEIGHT=450&amp;WIDTH=450&amp;START_MA","XIMIZED=FALSE&amp;VAR:CALENDAR=US&amp;VAR:SYMBOL=04916420&amp;VAR:INDEX=0"}</definedName>
    <definedName name="_9244__FDSAUDITLINK__" localSheetId="6" hidden="1">{"fdsup://directions/FAT Viewer?action=UPDATE&amp;creator=factset&amp;DYN_ARGS=TRUE&amp;DOC_NAME=FAT:FQL_AUDITING_CLIENT_TEMPLATE.FAT&amp;display_string=Audit&amp;VAR:KEY=TCNIPATCPW&amp;VAR:QUERY=RkZfRUJJVERBX0lCKCdMVE1TJyw0MDEyNSk=&amp;WINDOW=FIRST_POPUP&amp;HEIGHT=450&amp;WIDTH=450&amp;START_MA","XIMIZED=FALSE&amp;VAR:CALENDAR=US&amp;VAR:SYMBOL=04916420&amp;VAR:INDEX=0"}</definedName>
    <definedName name="_9244__FDSAUDITLINK__" hidden="1">{"fdsup://directions/FAT Viewer?action=UPDATE&amp;creator=factset&amp;DYN_ARGS=TRUE&amp;DOC_NAME=FAT:FQL_AUDITING_CLIENT_TEMPLATE.FAT&amp;display_string=Audit&amp;VAR:KEY=TCNIPATCPW&amp;VAR:QUERY=RkZfRUJJVERBX0lCKCdMVE1TJyw0MDEyNSk=&amp;WINDOW=FIRST_POPUP&amp;HEIGHT=450&amp;WIDTH=450&amp;START_MA","XIMIZED=FALSE&amp;VAR:CALENDAR=US&amp;VAR:SYMBOL=04916420&amp;VAR:INDEX=0"}</definedName>
    <definedName name="_9245__FDSAUDITLINK__" localSheetId="6" hidden="1">{"fdsup://directions/FAT Viewer?action=UPDATE&amp;creator=factset&amp;DYN_ARGS=TRUE&amp;DOC_NAME=FAT:FQL_AUDITING_CLIENT_TEMPLATE.FAT&amp;display_string=Audit&amp;VAR:KEY=BOZGXAPCTU&amp;VAR:QUERY=RkZfRUJJVERBX0lCKCdMVE1TJyw0MDEyNCk=&amp;WINDOW=FIRST_POPUP&amp;HEIGHT=450&amp;WIDTH=450&amp;START_MA","XIMIZED=FALSE&amp;VAR:CALENDAR=US&amp;VAR:SYMBOL=04916420&amp;VAR:INDEX=0"}</definedName>
    <definedName name="_9245__FDSAUDITLINK__" hidden="1">{"fdsup://directions/FAT Viewer?action=UPDATE&amp;creator=factset&amp;DYN_ARGS=TRUE&amp;DOC_NAME=FAT:FQL_AUDITING_CLIENT_TEMPLATE.FAT&amp;display_string=Audit&amp;VAR:KEY=BOZGXAPCTU&amp;VAR:QUERY=RkZfRUJJVERBX0lCKCdMVE1TJyw0MDEyNCk=&amp;WINDOW=FIRST_POPUP&amp;HEIGHT=450&amp;WIDTH=450&amp;START_MA","XIMIZED=FALSE&amp;VAR:CALENDAR=US&amp;VAR:SYMBOL=04916420&amp;VAR:INDEX=0"}</definedName>
    <definedName name="_9246__FDSAUDITLINK__" localSheetId="6" hidden="1">{"fdsup://directions/FAT Viewer?action=UPDATE&amp;creator=factset&amp;DYN_ARGS=TRUE&amp;DOC_NAME=FAT:FQL_AUDITING_CLIENT_TEMPLATE.FAT&amp;display_string=Audit&amp;VAR:KEY=XCZOTQFSHK&amp;VAR:QUERY=RkZfRUJJVERBX0lCKCdMVE1TJyw0MDEyMyk=&amp;WINDOW=FIRST_POPUP&amp;HEIGHT=450&amp;WIDTH=450&amp;START_MA","XIMIZED=FALSE&amp;VAR:CALENDAR=US&amp;VAR:SYMBOL=04916420&amp;VAR:INDEX=0"}</definedName>
    <definedName name="_9246__FDSAUDITLINK__" hidden="1">{"fdsup://directions/FAT Viewer?action=UPDATE&amp;creator=factset&amp;DYN_ARGS=TRUE&amp;DOC_NAME=FAT:FQL_AUDITING_CLIENT_TEMPLATE.FAT&amp;display_string=Audit&amp;VAR:KEY=XCZOTQFSHK&amp;VAR:QUERY=RkZfRUJJVERBX0lCKCdMVE1TJyw0MDEyMyk=&amp;WINDOW=FIRST_POPUP&amp;HEIGHT=450&amp;WIDTH=450&amp;START_MA","XIMIZED=FALSE&amp;VAR:CALENDAR=US&amp;VAR:SYMBOL=04916420&amp;VAR:INDEX=0"}</definedName>
    <definedName name="_9247__FDSAUDITLINK__" localSheetId="6" hidden="1">{"fdsup://directions/FAT Viewer?action=UPDATE&amp;creator=factset&amp;DYN_ARGS=TRUE&amp;DOC_NAME=FAT:FQL_AUDITING_CLIENT_TEMPLATE.FAT&amp;display_string=Audit&amp;VAR:KEY=XKLOPGRGBS&amp;VAR:QUERY=RkZfRUJJVERBX0lCKCdMVE1TJyw0MDEyMik=&amp;WINDOW=FIRST_POPUP&amp;HEIGHT=450&amp;WIDTH=450&amp;START_MA","XIMIZED=FALSE&amp;VAR:CALENDAR=US&amp;VAR:SYMBOL=04916420&amp;VAR:INDEX=0"}</definedName>
    <definedName name="_9247__FDSAUDITLINK__" hidden="1">{"fdsup://directions/FAT Viewer?action=UPDATE&amp;creator=factset&amp;DYN_ARGS=TRUE&amp;DOC_NAME=FAT:FQL_AUDITING_CLIENT_TEMPLATE.FAT&amp;display_string=Audit&amp;VAR:KEY=XKLOPGRGBS&amp;VAR:QUERY=RkZfRUJJVERBX0lCKCdMVE1TJyw0MDEyMik=&amp;WINDOW=FIRST_POPUP&amp;HEIGHT=450&amp;WIDTH=450&amp;START_MA","XIMIZED=FALSE&amp;VAR:CALENDAR=US&amp;VAR:SYMBOL=04916420&amp;VAR:INDEX=0"}</definedName>
    <definedName name="_9248__FDSAUDITLINK__" localSheetId="6" hidden="1">{"fdsup://directions/FAT Viewer?action=UPDATE&amp;creator=factset&amp;DYN_ARGS=TRUE&amp;DOC_NAME=FAT:FQL_AUDITING_CLIENT_TEMPLATE.FAT&amp;display_string=Audit&amp;VAR:KEY=TSVCLCPOTW&amp;VAR:QUERY=RkZfRUJJVERBX0lCKCdMVE1TJyw0MDEyMSk=&amp;WINDOW=FIRST_POPUP&amp;HEIGHT=450&amp;WIDTH=450&amp;START_MA","XIMIZED=FALSE&amp;VAR:CALENDAR=US&amp;VAR:SYMBOL=04916420&amp;VAR:INDEX=0"}</definedName>
    <definedName name="_9248__FDSAUDITLINK__" hidden="1">{"fdsup://directions/FAT Viewer?action=UPDATE&amp;creator=factset&amp;DYN_ARGS=TRUE&amp;DOC_NAME=FAT:FQL_AUDITING_CLIENT_TEMPLATE.FAT&amp;display_string=Audit&amp;VAR:KEY=TSVCLCPOTW&amp;VAR:QUERY=RkZfRUJJVERBX0lCKCdMVE1TJyw0MDEyMSk=&amp;WINDOW=FIRST_POPUP&amp;HEIGHT=450&amp;WIDTH=450&amp;START_MA","XIMIZED=FALSE&amp;VAR:CALENDAR=US&amp;VAR:SYMBOL=04916420&amp;VAR:INDEX=0"}</definedName>
    <definedName name="_9249__FDSAUDITLINK__" localSheetId="6" hidden="1">{"fdsup://directions/FAT Viewer?action=UPDATE&amp;creator=factset&amp;DYN_ARGS=TRUE&amp;DOC_NAME=FAT:FQL_AUDITING_CLIENT_TEMPLATE.FAT&amp;display_string=Audit&amp;VAR:KEY=FMXQXMHGHO&amp;VAR:QUERY=RkZfRUJJVERBX0lCKCdMVE1TJyw0MDEyMCk=&amp;WINDOW=FIRST_POPUP&amp;HEIGHT=450&amp;WIDTH=450&amp;START_MA","XIMIZED=FALSE&amp;VAR:CALENDAR=US&amp;VAR:SYMBOL=04916420&amp;VAR:INDEX=0"}</definedName>
    <definedName name="_9249__FDSAUDITLINK__" hidden="1">{"fdsup://directions/FAT Viewer?action=UPDATE&amp;creator=factset&amp;DYN_ARGS=TRUE&amp;DOC_NAME=FAT:FQL_AUDITING_CLIENT_TEMPLATE.FAT&amp;display_string=Audit&amp;VAR:KEY=FMXQXMHGHO&amp;VAR:QUERY=RkZfRUJJVERBX0lCKCdMVE1TJyw0MDEyMCk=&amp;WINDOW=FIRST_POPUP&amp;HEIGHT=450&amp;WIDTH=450&amp;START_MA","XIMIZED=FALSE&amp;VAR:CALENDAR=US&amp;VAR:SYMBOL=04916420&amp;VAR:INDEX=0"}</definedName>
    <definedName name="_925__FDSAUDITLINK__" localSheetId="6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5__FDSAUDITLINK__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50__FDSAUDITLINK__" localSheetId="6" hidden="1">{"fdsup://directions/FAT Viewer?action=UPDATE&amp;creator=factset&amp;DYN_ARGS=TRUE&amp;DOC_NAME=FAT:FQL_AUDITING_CLIENT_TEMPLATE.FAT&amp;display_string=Audit&amp;VAR:KEY=VAHMZMHSHG&amp;VAR:QUERY=RkZfRUJJVERBX0lCKCdMVE1TJyw0MDExOSk=&amp;WINDOW=FIRST_POPUP&amp;HEIGHT=450&amp;WIDTH=450&amp;START_MA","XIMIZED=FALSE&amp;VAR:CALENDAR=US&amp;VAR:SYMBOL=04916420&amp;VAR:INDEX=0"}</definedName>
    <definedName name="_9250__FDSAUDITLINK__" hidden="1">{"fdsup://directions/FAT Viewer?action=UPDATE&amp;creator=factset&amp;DYN_ARGS=TRUE&amp;DOC_NAME=FAT:FQL_AUDITING_CLIENT_TEMPLATE.FAT&amp;display_string=Audit&amp;VAR:KEY=VAHMZMHSHG&amp;VAR:QUERY=RkZfRUJJVERBX0lCKCdMVE1TJyw0MDExOSk=&amp;WINDOW=FIRST_POPUP&amp;HEIGHT=450&amp;WIDTH=450&amp;START_MA","XIMIZED=FALSE&amp;VAR:CALENDAR=US&amp;VAR:SYMBOL=04916420&amp;VAR:INDEX=0"}</definedName>
    <definedName name="_9251__FDSAUDITLINK__" localSheetId="6" hidden="1">{"fdsup://directions/FAT Viewer?action=UPDATE&amp;creator=factset&amp;DYN_ARGS=TRUE&amp;DOC_NAME=FAT:FQL_AUDITING_CLIENT_TEMPLATE.FAT&amp;display_string=Audit&amp;VAR:KEY=TSDORCLMPW&amp;VAR:QUERY=RkZfRUJJVERBX0lCKCdMVE1TJyw0MDExOCk=&amp;WINDOW=FIRST_POPUP&amp;HEIGHT=450&amp;WIDTH=450&amp;START_MA","XIMIZED=FALSE&amp;VAR:CALENDAR=US&amp;VAR:SYMBOL=04916420&amp;VAR:INDEX=0"}</definedName>
    <definedName name="_9251__FDSAUDITLINK__" hidden="1">{"fdsup://directions/FAT Viewer?action=UPDATE&amp;creator=factset&amp;DYN_ARGS=TRUE&amp;DOC_NAME=FAT:FQL_AUDITING_CLIENT_TEMPLATE.FAT&amp;display_string=Audit&amp;VAR:KEY=TSDORCLMPW&amp;VAR:QUERY=RkZfRUJJVERBX0lCKCdMVE1TJyw0MDExOCk=&amp;WINDOW=FIRST_POPUP&amp;HEIGHT=450&amp;WIDTH=450&amp;START_MA","XIMIZED=FALSE&amp;VAR:CALENDAR=US&amp;VAR:SYMBOL=04916420&amp;VAR:INDEX=0"}</definedName>
    <definedName name="_9252__FDSAUDITLINK__" localSheetId="6" hidden="1">{"fdsup://directions/FAT Viewer?action=UPDATE&amp;creator=factset&amp;DYN_ARGS=TRUE&amp;DOC_NAME=FAT:FQL_AUDITING_CLIENT_TEMPLATE.FAT&amp;display_string=Audit&amp;VAR:KEY=TMDEJCVUVW&amp;VAR:QUERY=RkZfRUJJVERBX0lCKCdMVE1TJyw0MDExNyk=&amp;WINDOW=FIRST_POPUP&amp;HEIGHT=450&amp;WIDTH=450&amp;START_MA","XIMIZED=FALSE&amp;VAR:CALENDAR=US&amp;VAR:SYMBOL=04916420&amp;VAR:INDEX=0"}</definedName>
    <definedName name="_9252__FDSAUDITLINK__" hidden="1">{"fdsup://directions/FAT Viewer?action=UPDATE&amp;creator=factset&amp;DYN_ARGS=TRUE&amp;DOC_NAME=FAT:FQL_AUDITING_CLIENT_TEMPLATE.FAT&amp;display_string=Audit&amp;VAR:KEY=TMDEJCVUVW&amp;VAR:QUERY=RkZfRUJJVERBX0lCKCdMVE1TJyw0MDExNyk=&amp;WINDOW=FIRST_POPUP&amp;HEIGHT=450&amp;WIDTH=450&amp;START_MA","XIMIZED=FALSE&amp;VAR:CALENDAR=US&amp;VAR:SYMBOL=04916420&amp;VAR:INDEX=0"}</definedName>
    <definedName name="_9253__FDSAUDITLINK__" localSheetId="6" hidden="1">{"fdsup://directions/FAT Viewer?action=UPDATE&amp;creator=factset&amp;DYN_ARGS=TRUE&amp;DOC_NAME=FAT:FQL_AUDITING_CLIENT_TEMPLATE.FAT&amp;display_string=Audit&amp;VAR:KEY=ZCVWPOZUNK&amp;VAR:QUERY=RkZfRUJJVERBX0lCKCdMVE1TJyw0MDExNik=&amp;WINDOW=FIRST_POPUP&amp;HEIGHT=450&amp;WIDTH=450&amp;START_MA","XIMIZED=FALSE&amp;VAR:CALENDAR=US&amp;VAR:SYMBOL=04916420&amp;VAR:INDEX=0"}</definedName>
    <definedName name="_9253__FDSAUDITLINK__" hidden="1">{"fdsup://directions/FAT Viewer?action=UPDATE&amp;creator=factset&amp;DYN_ARGS=TRUE&amp;DOC_NAME=FAT:FQL_AUDITING_CLIENT_TEMPLATE.FAT&amp;display_string=Audit&amp;VAR:KEY=ZCVWPOZUNK&amp;VAR:QUERY=RkZfRUJJVERBX0lCKCdMVE1TJyw0MDExNik=&amp;WINDOW=FIRST_POPUP&amp;HEIGHT=450&amp;WIDTH=450&amp;START_MA","XIMIZED=FALSE&amp;VAR:CALENDAR=US&amp;VAR:SYMBOL=04916420&amp;VAR:INDEX=0"}</definedName>
    <definedName name="_9254__FDSAUDITLINK__" localSheetId="6" hidden="1">{"fdsup://directions/FAT Viewer?action=UPDATE&amp;creator=factset&amp;DYN_ARGS=TRUE&amp;DOC_NAME=FAT:FQL_AUDITING_CLIENT_TEMPLATE.FAT&amp;display_string=Audit&amp;VAR:KEY=BGLGTKVWDO&amp;VAR:QUERY=RkZfRUJJVERBX0lCKCdMVE1TJyw0MDExNSk=&amp;WINDOW=FIRST_POPUP&amp;HEIGHT=450&amp;WIDTH=450&amp;START_MA","XIMIZED=FALSE&amp;VAR:CALENDAR=US&amp;VAR:SYMBOL=04916420&amp;VAR:INDEX=0"}</definedName>
    <definedName name="_9254__FDSAUDITLINK__" hidden="1">{"fdsup://directions/FAT Viewer?action=UPDATE&amp;creator=factset&amp;DYN_ARGS=TRUE&amp;DOC_NAME=FAT:FQL_AUDITING_CLIENT_TEMPLATE.FAT&amp;display_string=Audit&amp;VAR:KEY=BGLGTKVWDO&amp;VAR:QUERY=RkZfRUJJVERBX0lCKCdMVE1TJyw0MDExNSk=&amp;WINDOW=FIRST_POPUP&amp;HEIGHT=450&amp;WIDTH=450&amp;START_MA","XIMIZED=FALSE&amp;VAR:CALENDAR=US&amp;VAR:SYMBOL=04916420&amp;VAR:INDEX=0"}</definedName>
    <definedName name="_9255__FDSAUDITLINK__" localSheetId="6" hidden="1">{"fdsup://directions/FAT Viewer?action=UPDATE&amp;creator=factset&amp;DYN_ARGS=TRUE&amp;DOC_NAME=FAT:FQL_AUDITING_CLIENT_TEMPLATE.FAT&amp;display_string=Audit&amp;VAR:KEY=BYFCXSZALW&amp;VAR:QUERY=RkZfRUJJVERBX0lCKCdMVE1TJyw0MDExNCk=&amp;WINDOW=FIRST_POPUP&amp;HEIGHT=450&amp;WIDTH=450&amp;START_MA","XIMIZED=FALSE&amp;VAR:CALENDAR=US&amp;VAR:SYMBOL=04916420&amp;VAR:INDEX=0"}</definedName>
    <definedName name="_9255__FDSAUDITLINK__" hidden="1">{"fdsup://directions/FAT Viewer?action=UPDATE&amp;creator=factset&amp;DYN_ARGS=TRUE&amp;DOC_NAME=FAT:FQL_AUDITING_CLIENT_TEMPLATE.FAT&amp;display_string=Audit&amp;VAR:KEY=BYFCXSZALW&amp;VAR:QUERY=RkZfRUJJVERBX0lCKCdMVE1TJyw0MDExNCk=&amp;WINDOW=FIRST_POPUP&amp;HEIGHT=450&amp;WIDTH=450&amp;START_MA","XIMIZED=FALSE&amp;VAR:CALENDAR=US&amp;VAR:SYMBOL=04916420&amp;VAR:INDEX=0"}</definedName>
    <definedName name="_9256__FDSAUDITLINK__" localSheetId="6" hidden="1">{"fdsup://directions/FAT Viewer?action=UPDATE&amp;creator=factset&amp;DYN_ARGS=TRUE&amp;DOC_NAME=FAT:FQL_AUDITING_CLIENT_TEMPLATE.FAT&amp;display_string=Audit&amp;VAR:KEY=NYJIDOTSRO&amp;VAR:QUERY=RkZfRUJJVERBX0lCKCdMVE1TJyw0MDExMyk=&amp;WINDOW=FIRST_POPUP&amp;HEIGHT=450&amp;WIDTH=450&amp;START_MA","XIMIZED=FALSE&amp;VAR:CALENDAR=US&amp;VAR:SYMBOL=04916420&amp;VAR:INDEX=0"}</definedName>
    <definedName name="_9256__FDSAUDITLINK__" hidden="1">{"fdsup://directions/FAT Viewer?action=UPDATE&amp;creator=factset&amp;DYN_ARGS=TRUE&amp;DOC_NAME=FAT:FQL_AUDITING_CLIENT_TEMPLATE.FAT&amp;display_string=Audit&amp;VAR:KEY=NYJIDOTSRO&amp;VAR:QUERY=RkZfRUJJVERBX0lCKCdMVE1TJyw0MDExMyk=&amp;WINDOW=FIRST_POPUP&amp;HEIGHT=450&amp;WIDTH=450&amp;START_MA","XIMIZED=FALSE&amp;VAR:CALENDAR=US&amp;VAR:SYMBOL=04916420&amp;VAR:INDEX=0"}</definedName>
    <definedName name="_9257__FDSAUDITLINK__" localSheetId="6" hidden="1">{"fdsup://directions/FAT Viewer?action=UPDATE&amp;creator=factset&amp;DYN_ARGS=TRUE&amp;DOC_NAME=FAT:FQL_AUDITING_CLIENT_TEMPLATE.FAT&amp;display_string=Audit&amp;VAR:KEY=VCXKVMTWPS&amp;VAR:QUERY=RkZfRUJJVERBX0lCKCdMVE1TJyw0MDExMik=&amp;WINDOW=FIRST_POPUP&amp;HEIGHT=450&amp;WIDTH=450&amp;START_MA","XIMIZED=FALSE&amp;VAR:CALENDAR=US&amp;VAR:SYMBOL=04916420&amp;VAR:INDEX=0"}</definedName>
    <definedName name="_9257__FDSAUDITLINK__" hidden="1">{"fdsup://directions/FAT Viewer?action=UPDATE&amp;creator=factset&amp;DYN_ARGS=TRUE&amp;DOC_NAME=FAT:FQL_AUDITING_CLIENT_TEMPLATE.FAT&amp;display_string=Audit&amp;VAR:KEY=VCXKVMTWPS&amp;VAR:QUERY=RkZfRUJJVERBX0lCKCdMVE1TJyw0MDExMik=&amp;WINDOW=FIRST_POPUP&amp;HEIGHT=450&amp;WIDTH=450&amp;START_MA","XIMIZED=FALSE&amp;VAR:CALENDAR=US&amp;VAR:SYMBOL=04916420&amp;VAR:INDEX=0"}</definedName>
    <definedName name="_9258__FDSAUDITLINK__" localSheetId="6" hidden="1">{"fdsup://directions/FAT Viewer?action=UPDATE&amp;creator=factset&amp;DYN_ARGS=TRUE&amp;DOC_NAME=FAT:FQL_AUDITING_CLIENT_TEMPLATE.FAT&amp;display_string=Audit&amp;VAR:KEY=HGXGZQXMTG&amp;VAR:QUERY=RkZfRUJJVERBX0lCKCdMVE1TJyw0MDExMSk=&amp;WINDOW=FIRST_POPUP&amp;HEIGHT=450&amp;WIDTH=450&amp;START_MA","XIMIZED=FALSE&amp;VAR:CALENDAR=US&amp;VAR:SYMBOL=04916420&amp;VAR:INDEX=0"}</definedName>
    <definedName name="_9258__FDSAUDITLINK__" hidden="1">{"fdsup://directions/FAT Viewer?action=UPDATE&amp;creator=factset&amp;DYN_ARGS=TRUE&amp;DOC_NAME=FAT:FQL_AUDITING_CLIENT_TEMPLATE.FAT&amp;display_string=Audit&amp;VAR:KEY=HGXGZQXMTG&amp;VAR:QUERY=RkZfRUJJVERBX0lCKCdMVE1TJyw0MDExMSk=&amp;WINDOW=FIRST_POPUP&amp;HEIGHT=450&amp;WIDTH=450&amp;START_MA","XIMIZED=FALSE&amp;VAR:CALENDAR=US&amp;VAR:SYMBOL=04916420&amp;VAR:INDEX=0"}</definedName>
    <definedName name="_9259__FDSAUDITLINK__" localSheetId="6" hidden="1">{"fdsup://directions/FAT Viewer?action=UPDATE&amp;creator=factset&amp;DYN_ARGS=TRUE&amp;DOC_NAME=FAT:FQL_AUDITING_CLIENT_TEMPLATE.FAT&amp;display_string=Audit&amp;VAR:KEY=JMZOXATYHU&amp;VAR:QUERY=RkZfRUJJVERBX0lCKCdMVE1TJyw0MDExMCk=&amp;WINDOW=FIRST_POPUP&amp;HEIGHT=450&amp;WIDTH=450&amp;START_MA","XIMIZED=FALSE&amp;VAR:CALENDAR=US&amp;VAR:SYMBOL=04916420&amp;VAR:INDEX=0"}</definedName>
    <definedName name="_9259__FDSAUDITLINK__" hidden="1">{"fdsup://directions/FAT Viewer?action=UPDATE&amp;creator=factset&amp;DYN_ARGS=TRUE&amp;DOC_NAME=FAT:FQL_AUDITING_CLIENT_TEMPLATE.FAT&amp;display_string=Audit&amp;VAR:KEY=JMZOXATYHU&amp;VAR:QUERY=RkZfRUJJVERBX0lCKCdMVE1TJyw0MDExMCk=&amp;WINDOW=FIRST_POPUP&amp;HEIGHT=450&amp;WIDTH=450&amp;START_MA","XIMIZED=FALSE&amp;VAR:CALENDAR=US&amp;VAR:SYMBOL=04916420&amp;VAR:INDEX=0"}</definedName>
    <definedName name="_926__FDSAUDITLINK__" localSheetId="6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6__FDSAUDITLINK__" hidden="1">{"fdsup://directions/FAT%20Viewer?VAR:PED=LTM&amp;VAR:AUDIT_MODE=SUMMARY&amp;VAR:PERIOD=FIXED&amp;VAR:AUDIT_ID=00000117&amp;VAR:DATE=20070810&amp;action=UPDATE&amp;creator=factset&amp;DOC_NAME=FAT:FMA_audit_SUMMARY.fat&amp;DISPLAY_STRING=Display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60__FDSAUDITLINK__" localSheetId="6" hidden="1">{"fdsup://directions/FAT Viewer?action=UPDATE&amp;creator=factset&amp;DYN_ARGS=TRUE&amp;DOC_NAME=FAT:FQL_AUDITING_CLIENT_TEMPLATE.FAT&amp;display_string=Audit&amp;VAR:KEY=ZKRETGTWZW&amp;VAR:QUERY=RkZfRUJJVERBX0lCKCdMVE1TJyw0MDEwOSk=&amp;WINDOW=FIRST_POPUP&amp;HEIGHT=450&amp;WIDTH=450&amp;START_MA","XIMIZED=FALSE&amp;VAR:CALENDAR=US&amp;VAR:SYMBOL=04916420&amp;VAR:INDEX=0"}</definedName>
    <definedName name="_9260__FDSAUDITLINK__" hidden="1">{"fdsup://directions/FAT Viewer?action=UPDATE&amp;creator=factset&amp;DYN_ARGS=TRUE&amp;DOC_NAME=FAT:FQL_AUDITING_CLIENT_TEMPLATE.FAT&amp;display_string=Audit&amp;VAR:KEY=ZKRETGTWZW&amp;VAR:QUERY=RkZfRUJJVERBX0lCKCdMVE1TJyw0MDEwOSk=&amp;WINDOW=FIRST_POPUP&amp;HEIGHT=450&amp;WIDTH=450&amp;START_MA","XIMIZED=FALSE&amp;VAR:CALENDAR=US&amp;VAR:SYMBOL=04916420&amp;VAR:INDEX=0"}</definedName>
    <definedName name="_9261__FDSAUDITLINK__" localSheetId="6" hidden="1">{"fdsup://directions/FAT Viewer?action=UPDATE&amp;creator=factset&amp;DYN_ARGS=TRUE&amp;DOC_NAME=FAT:FQL_AUDITING_CLIENT_TEMPLATE.FAT&amp;display_string=Audit&amp;VAR:KEY=ZKBYJYRORE&amp;VAR:QUERY=RkZfRUJJVERBX0lCKCdMVE1TJyw0MDEwOCk=&amp;WINDOW=FIRST_POPUP&amp;HEIGHT=450&amp;WIDTH=450&amp;START_MA","XIMIZED=FALSE&amp;VAR:CALENDAR=US&amp;VAR:SYMBOL=04916420&amp;VAR:INDEX=0"}</definedName>
    <definedName name="_9261__FDSAUDITLINK__" hidden="1">{"fdsup://directions/FAT Viewer?action=UPDATE&amp;creator=factset&amp;DYN_ARGS=TRUE&amp;DOC_NAME=FAT:FQL_AUDITING_CLIENT_TEMPLATE.FAT&amp;display_string=Audit&amp;VAR:KEY=ZKBYJYRORE&amp;VAR:QUERY=RkZfRUJJVERBX0lCKCdMVE1TJyw0MDEwOCk=&amp;WINDOW=FIRST_POPUP&amp;HEIGHT=450&amp;WIDTH=450&amp;START_MA","XIMIZED=FALSE&amp;VAR:CALENDAR=US&amp;VAR:SYMBOL=04916420&amp;VAR:INDEX=0"}</definedName>
    <definedName name="_9262__FDSAUDITLINK__" localSheetId="6" hidden="1">{"fdsup://directions/FAT Viewer?action=UPDATE&amp;creator=factset&amp;DYN_ARGS=TRUE&amp;DOC_NAME=FAT:FQL_AUDITING_CLIENT_TEMPLATE.FAT&amp;display_string=Audit&amp;VAR:KEY=HOFOTQPGXM&amp;VAR:QUERY=RkZfRUJJVERBX0lCKCdMVE1TJyw0MDEwNyk=&amp;WINDOW=FIRST_POPUP&amp;HEIGHT=450&amp;WIDTH=450&amp;START_MA","XIMIZED=FALSE&amp;VAR:CALENDAR=US&amp;VAR:SYMBOL=04916420&amp;VAR:INDEX=0"}</definedName>
    <definedName name="_9262__FDSAUDITLINK__" hidden="1">{"fdsup://directions/FAT Viewer?action=UPDATE&amp;creator=factset&amp;DYN_ARGS=TRUE&amp;DOC_NAME=FAT:FQL_AUDITING_CLIENT_TEMPLATE.FAT&amp;display_string=Audit&amp;VAR:KEY=HOFOTQPGXM&amp;VAR:QUERY=RkZfRUJJVERBX0lCKCdMVE1TJyw0MDEwNyk=&amp;WINDOW=FIRST_POPUP&amp;HEIGHT=450&amp;WIDTH=450&amp;START_MA","XIMIZED=FALSE&amp;VAR:CALENDAR=US&amp;VAR:SYMBOL=04916420&amp;VAR:INDEX=0"}</definedName>
    <definedName name="_9263__FDSAUDITLINK__" localSheetId="6" hidden="1">{"fdsup://directions/FAT Viewer?action=UPDATE&amp;creator=factset&amp;DYN_ARGS=TRUE&amp;DOC_NAME=FAT:FQL_AUDITING_CLIENT_TEMPLATE.FAT&amp;display_string=Audit&amp;VAR:KEY=XOHQJSZSRE&amp;VAR:QUERY=RkZfRUJJVERBX0lCKCdMVE1TJyw0MDEwNik=&amp;WINDOW=FIRST_POPUP&amp;HEIGHT=450&amp;WIDTH=450&amp;START_MA","XIMIZED=FALSE&amp;VAR:CALENDAR=US&amp;VAR:SYMBOL=04916420&amp;VAR:INDEX=0"}</definedName>
    <definedName name="_9263__FDSAUDITLINK__" hidden="1">{"fdsup://directions/FAT Viewer?action=UPDATE&amp;creator=factset&amp;DYN_ARGS=TRUE&amp;DOC_NAME=FAT:FQL_AUDITING_CLIENT_TEMPLATE.FAT&amp;display_string=Audit&amp;VAR:KEY=XOHQJSZSRE&amp;VAR:QUERY=RkZfRUJJVERBX0lCKCdMVE1TJyw0MDEwNik=&amp;WINDOW=FIRST_POPUP&amp;HEIGHT=450&amp;WIDTH=450&amp;START_MA","XIMIZED=FALSE&amp;VAR:CALENDAR=US&amp;VAR:SYMBOL=04916420&amp;VAR:INDEX=0"}</definedName>
    <definedName name="_9264__FDSAUDITLINK__" localSheetId="6" hidden="1">{"fdsup://directions/FAT Viewer?action=UPDATE&amp;creator=factset&amp;DYN_ARGS=TRUE&amp;DOC_NAME=FAT:FQL_AUDITING_CLIENT_TEMPLATE.FAT&amp;display_string=Audit&amp;VAR:KEY=FATCDEZONU&amp;VAR:QUERY=RkZfRUJJVERBX0lCKCdMVE1TJyw0MDEwNSk=&amp;WINDOW=FIRST_POPUP&amp;HEIGHT=450&amp;WIDTH=450&amp;START_MA","XIMIZED=FALSE&amp;VAR:CALENDAR=US&amp;VAR:SYMBOL=04916420&amp;VAR:INDEX=0"}</definedName>
    <definedName name="_9264__FDSAUDITLINK__" hidden="1">{"fdsup://directions/FAT Viewer?action=UPDATE&amp;creator=factset&amp;DYN_ARGS=TRUE&amp;DOC_NAME=FAT:FQL_AUDITING_CLIENT_TEMPLATE.FAT&amp;display_string=Audit&amp;VAR:KEY=FATCDEZONU&amp;VAR:QUERY=RkZfRUJJVERBX0lCKCdMVE1TJyw0MDEwNSk=&amp;WINDOW=FIRST_POPUP&amp;HEIGHT=450&amp;WIDTH=450&amp;START_MA","XIMIZED=FALSE&amp;VAR:CALENDAR=US&amp;VAR:SYMBOL=04916420&amp;VAR:INDEX=0"}</definedName>
    <definedName name="_9265__FDSAUDITLINK__" localSheetId="6" hidden="1">{"fdsup://directions/FAT Viewer?action=UPDATE&amp;creator=factset&amp;DYN_ARGS=TRUE&amp;DOC_NAME=FAT:FQL_AUDITING_CLIENT_TEMPLATE.FAT&amp;display_string=Audit&amp;VAR:KEY=BMVURALGFM&amp;VAR:QUERY=RkZfRUJJVERBX0lCKCdMVE1TJyw0MDEwNCk=&amp;WINDOW=FIRST_POPUP&amp;HEIGHT=450&amp;WIDTH=450&amp;START_MA","XIMIZED=FALSE&amp;VAR:CALENDAR=US&amp;VAR:SYMBOL=04916420&amp;VAR:INDEX=0"}</definedName>
    <definedName name="_9265__FDSAUDITLINK__" hidden="1">{"fdsup://directions/FAT Viewer?action=UPDATE&amp;creator=factset&amp;DYN_ARGS=TRUE&amp;DOC_NAME=FAT:FQL_AUDITING_CLIENT_TEMPLATE.FAT&amp;display_string=Audit&amp;VAR:KEY=BMVURALGFM&amp;VAR:QUERY=RkZfRUJJVERBX0lCKCdMVE1TJyw0MDEwNCk=&amp;WINDOW=FIRST_POPUP&amp;HEIGHT=450&amp;WIDTH=450&amp;START_MA","XIMIZED=FALSE&amp;VAR:CALENDAR=US&amp;VAR:SYMBOL=04916420&amp;VAR:INDEX=0"}</definedName>
    <definedName name="_9266__FDSAUDITLINK__" localSheetId="6" hidden="1">{"fdsup://directions/FAT Viewer?action=UPDATE&amp;creator=factset&amp;DYN_ARGS=TRUE&amp;DOC_NAME=FAT:FQL_AUDITING_CLIENT_TEMPLATE.FAT&amp;display_string=Audit&amp;VAR:KEY=XSBURQJMPU&amp;VAR:QUERY=RkZfRUJJVERBX0lCKCdMVE1TJyw0MDEwMyk=&amp;WINDOW=FIRST_POPUP&amp;HEIGHT=450&amp;WIDTH=450&amp;START_MA","XIMIZED=FALSE&amp;VAR:CALENDAR=US&amp;VAR:SYMBOL=04916420&amp;VAR:INDEX=0"}</definedName>
    <definedName name="_9266__FDSAUDITLINK__" hidden="1">{"fdsup://directions/FAT Viewer?action=UPDATE&amp;creator=factset&amp;DYN_ARGS=TRUE&amp;DOC_NAME=FAT:FQL_AUDITING_CLIENT_TEMPLATE.FAT&amp;display_string=Audit&amp;VAR:KEY=XSBURQJMPU&amp;VAR:QUERY=RkZfRUJJVERBX0lCKCdMVE1TJyw0MDEwMyk=&amp;WINDOW=FIRST_POPUP&amp;HEIGHT=450&amp;WIDTH=450&amp;START_MA","XIMIZED=FALSE&amp;VAR:CALENDAR=US&amp;VAR:SYMBOL=04916420&amp;VAR:INDEX=0"}</definedName>
    <definedName name="_9267__FDSAUDITLINK__" localSheetId="6" hidden="1">{"fdsup://directions/FAT Viewer?action=UPDATE&amp;creator=factset&amp;DYN_ARGS=TRUE&amp;DOC_NAME=FAT:FQL_AUDITING_CLIENT_TEMPLATE.FAT&amp;display_string=Audit&amp;VAR:KEY=ZMFOPWPGTG&amp;VAR:QUERY=RkZfRUJJVERBX0lCKCdMVE1TJyw0MDEwMik=&amp;WINDOW=FIRST_POPUP&amp;HEIGHT=450&amp;WIDTH=450&amp;START_MA","XIMIZED=FALSE&amp;VAR:CALENDAR=US&amp;VAR:SYMBOL=04916420&amp;VAR:INDEX=0"}</definedName>
    <definedName name="_9267__FDSAUDITLINK__" hidden="1">{"fdsup://directions/FAT Viewer?action=UPDATE&amp;creator=factset&amp;DYN_ARGS=TRUE&amp;DOC_NAME=FAT:FQL_AUDITING_CLIENT_TEMPLATE.FAT&amp;display_string=Audit&amp;VAR:KEY=ZMFOPWPGTG&amp;VAR:QUERY=RkZfRUJJVERBX0lCKCdMVE1TJyw0MDEwMik=&amp;WINDOW=FIRST_POPUP&amp;HEIGHT=450&amp;WIDTH=450&amp;START_MA","XIMIZED=FALSE&amp;VAR:CALENDAR=US&amp;VAR:SYMBOL=04916420&amp;VAR:INDEX=0"}</definedName>
    <definedName name="_9268__FDSAUDITLINK__" localSheetId="6" hidden="1">{"fdsup://directions/FAT Viewer?action=UPDATE&amp;creator=factset&amp;DYN_ARGS=TRUE&amp;DOC_NAME=FAT:FQL_AUDITING_CLIENT_TEMPLATE.FAT&amp;display_string=Audit&amp;VAR:KEY=PONYFKVWTC&amp;VAR:QUERY=RkZfRUJJVERBX0lCKCdMVE1TJyw0MDEwMSk=&amp;WINDOW=FIRST_POPUP&amp;HEIGHT=450&amp;WIDTH=450&amp;START_MA","XIMIZED=FALSE&amp;VAR:CALENDAR=US&amp;VAR:SYMBOL=04916420&amp;VAR:INDEX=0"}</definedName>
    <definedName name="_9268__FDSAUDITLINK__" hidden="1">{"fdsup://directions/FAT Viewer?action=UPDATE&amp;creator=factset&amp;DYN_ARGS=TRUE&amp;DOC_NAME=FAT:FQL_AUDITING_CLIENT_TEMPLATE.FAT&amp;display_string=Audit&amp;VAR:KEY=PONYFKVWTC&amp;VAR:QUERY=RkZfRUJJVERBX0lCKCdMVE1TJyw0MDEwMSk=&amp;WINDOW=FIRST_POPUP&amp;HEIGHT=450&amp;WIDTH=450&amp;START_MA","XIMIZED=FALSE&amp;VAR:CALENDAR=US&amp;VAR:SYMBOL=04916420&amp;VAR:INDEX=0"}</definedName>
    <definedName name="_9269__FDSAUDITLINK__" localSheetId="6" hidden="1">{"fdsup://directions/FAT Viewer?action=UPDATE&amp;creator=factset&amp;DYN_ARGS=TRUE&amp;DOC_NAME=FAT:FQL_AUDITING_CLIENT_TEMPLATE.FAT&amp;display_string=Audit&amp;VAR:KEY=FQLCZOZMZO&amp;VAR:QUERY=RkZfRUJJVERBX0lCKCdMVE1TJyw0MDEwMCk=&amp;WINDOW=FIRST_POPUP&amp;HEIGHT=450&amp;WIDTH=450&amp;START_MA","XIMIZED=FALSE&amp;VAR:CALENDAR=US&amp;VAR:SYMBOL=04916420&amp;VAR:INDEX=0"}</definedName>
    <definedName name="_9269__FDSAUDITLINK__" hidden="1">{"fdsup://directions/FAT Viewer?action=UPDATE&amp;creator=factset&amp;DYN_ARGS=TRUE&amp;DOC_NAME=FAT:FQL_AUDITING_CLIENT_TEMPLATE.FAT&amp;display_string=Audit&amp;VAR:KEY=FQLCZOZMZO&amp;VAR:QUERY=RkZfRUJJVERBX0lCKCdMVE1TJyw0MDEwMCk=&amp;WINDOW=FIRST_POPUP&amp;HEIGHT=450&amp;WIDTH=450&amp;START_MA","XIMIZED=FALSE&amp;VAR:CALENDAR=US&amp;VAR:SYMBOL=04916420&amp;VAR:INDEX=0"}</definedName>
    <definedName name="_927__FDSAUDITLINK__" localSheetId="6" hidden="1">{"fdsup://directions/FAT%20Viewer?VAR:PED=LTM&amp;VAR:AUDIT_MODE=SUMMARY&amp;VAR:PERIOD=FIXED&amp;VAR:AUDIT_ID=00000117&amp;VAR:DATE=20070809&amp;action=UPDATE&amp;creator=factset&amp;DOC_NAME=FAT:FMA_audit_SUMMARY.fat&amp;DISPLAY_STRING=Display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7__FDSAUDITLINK__" hidden="1">{"fdsup://directions/FAT%20Viewer?VAR:PED=LTM&amp;VAR:AUDIT_MODE=SUMMARY&amp;VAR:PERIOD=FIXED&amp;VAR:AUDIT_ID=00000117&amp;VAR:DATE=20070809&amp;action=UPDATE&amp;creator=factset&amp;DOC_NAME=FAT:FMA_audit_SUMMARY.fat&amp;DISPLAY_STRING=Display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70__FDSAUDITLINK__" localSheetId="6" hidden="1">{"fdsup://directions/FAT Viewer?action=UPDATE&amp;creator=factset&amp;DYN_ARGS=TRUE&amp;DOC_NAME=FAT:FQL_AUDITING_CLIENT_TEMPLATE.FAT&amp;display_string=Audit&amp;VAR:KEY=NWHONMBGHM&amp;VAR:QUERY=RkZfRUJJVERBX0lCKCdMVE1TJyw0MDA5OSk=&amp;WINDOW=FIRST_POPUP&amp;HEIGHT=450&amp;WIDTH=450&amp;START_MA","XIMIZED=FALSE&amp;VAR:CALENDAR=US&amp;VAR:SYMBOL=04916420&amp;VAR:INDEX=0"}</definedName>
    <definedName name="_9270__FDSAUDITLINK__" hidden="1">{"fdsup://directions/FAT Viewer?action=UPDATE&amp;creator=factset&amp;DYN_ARGS=TRUE&amp;DOC_NAME=FAT:FQL_AUDITING_CLIENT_TEMPLATE.FAT&amp;display_string=Audit&amp;VAR:KEY=NWHONMBGHM&amp;VAR:QUERY=RkZfRUJJVERBX0lCKCdMVE1TJyw0MDA5OSk=&amp;WINDOW=FIRST_POPUP&amp;HEIGHT=450&amp;WIDTH=450&amp;START_MA","XIMIZED=FALSE&amp;VAR:CALENDAR=US&amp;VAR:SYMBOL=04916420&amp;VAR:INDEX=0"}</definedName>
    <definedName name="_9271__FDSAUDITLINK__" localSheetId="6" hidden="1">{"fdsup://directions/FAT Viewer?action=UPDATE&amp;creator=factset&amp;DYN_ARGS=TRUE&amp;DOC_NAME=FAT:FQL_AUDITING_CLIENT_TEMPLATE.FAT&amp;display_string=Audit&amp;VAR:KEY=TKFCDOPKFQ&amp;VAR:QUERY=RkZfRUJJVERBX0lCKCdMVE1TJyw0MDA5OCk=&amp;WINDOW=FIRST_POPUP&amp;HEIGHT=450&amp;WIDTH=450&amp;START_MA","XIMIZED=FALSE&amp;VAR:CALENDAR=US&amp;VAR:SYMBOL=04916420&amp;VAR:INDEX=0"}</definedName>
    <definedName name="_9271__FDSAUDITLINK__" hidden="1">{"fdsup://directions/FAT Viewer?action=UPDATE&amp;creator=factset&amp;DYN_ARGS=TRUE&amp;DOC_NAME=FAT:FQL_AUDITING_CLIENT_TEMPLATE.FAT&amp;display_string=Audit&amp;VAR:KEY=TKFCDOPKFQ&amp;VAR:QUERY=RkZfRUJJVERBX0lCKCdMVE1TJyw0MDA5OCk=&amp;WINDOW=FIRST_POPUP&amp;HEIGHT=450&amp;WIDTH=450&amp;START_MA","XIMIZED=FALSE&amp;VAR:CALENDAR=US&amp;VAR:SYMBOL=04916420&amp;VAR:INDEX=0"}</definedName>
    <definedName name="_9272__FDSAUDITLINK__" localSheetId="6" hidden="1">{"fdsup://directions/FAT Viewer?action=UPDATE&amp;creator=factset&amp;DYN_ARGS=TRUE&amp;DOC_NAME=FAT:FQL_AUDITING_CLIENT_TEMPLATE.FAT&amp;display_string=Audit&amp;VAR:KEY=TATQBMFSDA&amp;VAR:QUERY=RkZfRUJJVERBX0lCKCdMVE1TJyw0MDA5Nyk=&amp;WINDOW=FIRST_POPUP&amp;HEIGHT=450&amp;WIDTH=450&amp;START_MA","XIMIZED=FALSE&amp;VAR:CALENDAR=US&amp;VAR:SYMBOL=04916420&amp;VAR:INDEX=0"}</definedName>
    <definedName name="_9272__FDSAUDITLINK__" hidden="1">{"fdsup://directions/FAT Viewer?action=UPDATE&amp;creator=factset&amp;DYN_ARGS=TRUE&amp;DOC_NAME=FAT:FQL_AUDITING_CLIENT_TEMPLATE.FAT&amp;display_string=Audit&amp;VAR:KEY=TATQBMFSDA&amp;VAR:QUERY=RkZfRUJJVERBX0lCKCdMVE1TJyw0MDA5Nyk=&amp;WINDOW=FIRST_POPUP&amp;HEIGHT=450&amp;WIDTH=450&amp;START_MA","XIMIZED=FALSE&amp;VAR:CALENDAR=US&amp;VAR:SYMBOL=04916420&amp;VAR:INDEX=0"}</definedName>
    <definedName name="_9273__FDSAUDITLINK__" localSheetId="6" hidden="1">{"fdsup://directions/FAT Viewer?action=UPDATE&amp;creator=factset&amp;DYN_ARGS=TRUE&amp;DOC_NAME=FAT:FQL_AUDITING_CLIENT_TEMPLATE.FAT&amp;display_string=Audit&amp;VAR:KEY=HOFALUPOFO&amp;VAR:QUERY=RkZfRUJJVERBX0lCKCdMVE1TJyw0MDA5Nik=&amp;WINDOW=FIRST_POPUP&amp;HEIGHT=450&amp;WIDTH=450&amp;START_MA","XIMIZED=FALSE&amp;VAR:CALENDAR=US&amp;VAR:SYMBOL=04916420&amp;VAR:INDEX=0"}</definedName>
    <definedName name="_9273__FDSAUDITLINK__" hidden="1">{"fdsup://directions/FAT Viewer?action=UPDATE&amp;creator=factset&amp;DYN_ARGS=TRUE&amp;DOC_NAME=FAT:FQL_AUDITING_CLIENT_TEMPLATE.FAT&amp;display_string=Audit&amp;VAR:KEY=HOFALUPOFO&amp;VAR:QUERY=RkZfRUJJVERBX0lCKCdMVE1TJyw0MDA5Nik=&amp;WINDOW=FIRST_POPUP&amp;HEIGHT=450&amp;WIDTH=450&amp;START_MA","XIMIZED=FALSE&amp;VAR:CALENDAR=US&amp;VAR:SYMBOL=04916420&amp;VAR:INDEX=0"}</definedName>
    <definedName name="_9274__FDSAUDITLINK__" localSheetId="6" hidden="1">{"fdsup://directions/FAT Viewer?action=UPDATE&amp;creator=factset&amp;DYN_ARGS=TRUE&amp;DOC_NAME=FAT:FQL_AUDITING_CLIENT_TEMPLATE.FAT&amp;display_string=Audit&amp;VAR:KEY=ZSPIJCFMHE&amp;VAR:QUERY=RkZfRUJJVERBX0lCKCdMVE1TJyw0MDA5NSk=&amp;WINDOW=FIRST_POPUP&amp;HEIGHT=450&amp;WIDTH=450&amp;START_MA","XIMIZED=FALSE&amp;VAR:CALENDAR=US&amp;VAR:SYMBOL=04916420&amp;VAR:INDEX=0"}</definedName>
    <definedName name="_9274__FDSAUDITLINK__" hidden="1">{"fdsup://directions/FAT Viewer?action=UPDATE&amp;creator=factset&amp;DYN_ARGS=TRUE&amp;DOC_NAME=FAT:FQL_AUDITING_CLIENT_TEMPLATE.FAT&amp;display_string=Audit&amp;VAR:KEY=ZSPIJCFMHE&amp;VAR:QUERY=RkZfRUJJVERBX0lCKCdMVE1TJyw0MDA5NSk=&amp;WINDOW=FIRST_POPUP&amp;HEIGHT=450&amp;WIDTH=450&amp;START_MA","XIMIZED=FALSE&amp;VAR:CALENDAR=US&amp;VAR:SYMBOL=04916420&amp;VAR:INDEX=0"}</definedName>
    <definedName name="_9275__FDSAUDITLINK__" localSheetId="6" hidden="1">{"fdsup://directions/FAT Viewer?action=UPDATE&amp;creator=factset&amp;DYN_ARGS=TRUE&amp;DOC_NAME=FAT:FQL_AUDITING_CLIENT_TEMPLATE.FAT&amp;display_string=Audit&amp;VAR:KEY=LAPAJGZOTM&amp;VAR:QUERY=RkZfRUJJVERBX0lCKCdMVE1TJyw0MDA5NCk=&amp;WINDOW=FIRST_POPUP&amp;HEIGHT=450&amp;WIDTH=450&amp;START_MA","XIMIZED=FALSE&amp;VAR:CALENDAR=US&amp;VAR:SYMBOL=04916420&amp;VAR:INDEX=0"}</definedName>
    <definedName name="_9275__FDSAUDITLINK__" hidden="1">{"fdsup://directions/FAT Viewer?action=UPDATE&amp;creator=factset&amp;DYN_ARGS=TRUE&amp;DOC_NAME=FAT:FQL_AUDITING_CLIENT_TEMPLATE.FAT&amp;display_string=Audit&amp;VAR:KEY=LAPAJGZOTM&amp;VAR:QUERY=RkZfRUJJVERBX0lCKCdMVE1TJyw0MDA5NCk=&amp;WINDOW=FIRST_POPUP&amp;HEIGHT=450&amp;WIDTH=450&amp;START_MA","XIMIZED=FALSE&amp;VAR:CALENDAR=US&amp;VAR:SYMBOL=04916420&amp;VAR:INDEX=0"}</definedName>
    <definedName name="_9276__FDSAUDITLINK__" localSheetId="6" hidden="1">{"fdsup://directions/FAT Viewer?action=UPDATE&amp;creator=factset&amp;DYN_ARGS=TRUE&amp;DOC_NAME=FAT:FQL_AUDITING_CLIENT_TEMPLATE.FAT&amp;display_string=Audit&amp;VAR:KEY=HORKBCXSHM&amp;VAR:QUERY=RkZfRUJJVERBX0lCKCdMVE1TJyw0MDA5Myk=&amp;WINDOW=FIRST_POPUP&amp;HEIGHT=450&amp;WIDTH=450&amp;START_MA","XIMIZED=FALSE&amp;VAR:CALENDAR=US&amp;VAR:SYMBOL=04916420&amp;VAR:INDEX=0"}</definedName>
    <definedName name="_9276__FDSAUDITLINK__" hidden="1">{"fdsup://directions/FAT Viewer?action=UPDATE&amp;creator=factset&amp;DYN_ARGS=TRUE&amp;DOC_NAME=FAT:FQL_AUDITING_CLIENT_TEMPLATE.FAT&amp;display_string=Audit&amp;VAR:KEY=HORKBCXSHM&amp;VAR:QUERY=RkZfRUJJVERBX0lCKCdMVE1TJyw0MDA5Myk=&amp;WINDOW=FIRST_POPUP&amp;HEIGHT=450&amp;WIDTH=450&amp;START_MA","XIMIZED=FALSE&amp;VAR:CALENDAR=US&amp;VAR:SYMBOL=04916420&amp;VAR:INDEX=0"}</definedName>
    <definedName name="_9277__FDSAUDITLINK__" localSheetId="6" hidden="1">{"fdsup://directions/FAT Viewer?action=UPDATE&amp;creator=factset&amp;DYN_ARGS=TRUE&amp;DOC_NAME=FAT:FQL_AUDITING_CLIENT_TEMPLATE.FAT&amp;display_string=Audit&amp;VAR:KEY=TGDSHQJCPO&amp;VAR:QUERY=RkZfRUJJVERBX0lCKCdMVE1TJyw0MDA5Mik=&amp;WINDOW=FIRST_POPUP&amp;HEIGHT=450&amp;WIDTH=450&amp;START_MA","XIMIZED=FALSE&amp;VAR:CALENDAR=US&amp;VAR:SYMBOL=04916420&amp;VAR:INDEX=0"}</definedName>
    <definedName name="_9277__FDSAUDITLINK__" hidden="1">{"fdsup://directions/FAT Viewer?action=UPDATE&amp;creator=factset&amp;DYN_ARGS=TRUE&amp;DOC_NAME=FAT:FQL_AUDITING_CLIENT_TEMPLATE.FAT&amp;display_string=Audit&amp;VAR:KEY=TGDSHQJCPO&amp;VAR:QUERY=RkZfRUJJVERBX0lCKCdMVE1TJyw0MDA5Mik=&amp;WINDOW=FIRST_POPUP&amp;HEIGHT=450&amp;WIDTH=450&amp;START_MA","XIMIZED=FALSE&amp;VAR:CALENDAR=US&amp;VAR:SYMBOL=04916420&amp;VAR:INDEX=0"}</definedName>
    <definedName name="_9278__FDSAUDITLINK__" localSheetId="6" hidden="1">{"fdsup://directions/FAT Viewer?action=UPDATE&amp;creator=factset&amp;DYN_ARGS=TRUE&amp;DOC_NAME=FAT:FQL_AUDITING_CLIENT_TEMPLATE.FAT&amp;display_string=Audit&amp;VAR:KEY=DWPIBCPKRM&amp;VAR:QUERY=RkZfRUJJVERBX0lCKCdMVE1TJyw0MDA5MSk=&amp;WINDOW=FIRST_POPUP&amp;HEIGHT=450&amp;WIDTH=450&amp;START_MA","XIMIZED=FALSE&amp;VAR:CALENDAR=US&amp;VAR:SYMBOL=04916420&amp;VAR:INDEX=0"}</definedName>
    <definedName name="_9278__FDSAUDITLINK__" hidden="1">{"fdsup://directions/FAT Viewer?action=UPDATE&amp;creator=factset&amp;DYN_ARGS=TRUE&amp;DOC_NAME=FAT:FQL_AUDITING_CLIENT_TEMPLATE.FAT&amp;display_string=Audit&amp;VAR:KEY=DWPIBCPKRM&amp;VAR:QUERY=RkZfRUJJVERBX0lCKCdMVE1TJyw0MDA5MSk=&amp;WINDOW=FIRST_POPUP&amp;HEIGHT=450&amp;WIDTH=450&amp;START_MA","XIMIZED=FALSE&amp;VAR:CALENDAR=US&amp;VAR:SYMBOL=04916420&amp;VAR:INDEX=0"}</definedName>
    <definedName name="_9279__FDSAUDITLINK__" localSheetId="6" hidden="1">{"fdsup://directions/FAT Viewer?action=UPDATE&amp;creator=factset&amp;DYN_ARGS=TRUE&amp;DOC_NAME=FAT:FQL_AUDITING_CLIENT_TEMPLATE.FAT&amp;display_string=Audit&amp;VAR:KEY=NSZOZIPAFE&amp;VAR:QUERY=RkZfRUJJVERBX0lCKCdMVE1TJyw0MDA5MCk=&amp;WINDOW=FIRST_POPUP&amp;HEIGHT=450&amp;WIDTH=450&amp;START_MA","XIMIZED=FALSE&amp;VAR:CALENDAR=US&amp;VAR:SYMBOL=04916420&amp;VAR:INDEX=0"}</definedName>
    <definedName name="_9279__FDSAUDITLINK__" hidden="1">{"fdsup://directions/FAT Viewer?action=UPDATE&amp;creator=factset&amp;DYN_ARGS=TRUE&amp;DOC_NAME=FAT:FQL_AUDITING_CLIENT_TEMPLATE.FAT&amp;display_string=Audit&amp;VAR:KEY=NSZOZIPAFE&amp;VAR:QUERY=RkZfRUJJVERBX0lCKCdMVE1TJyw0MDA5MCk=&amp;WINDOW=FIRST_POPUP&amp;HEIGHT=450&amp;WIDTH=450&amp;START_MA","XIMIZED=FALSE&amp;VAR:CALENDAR=US&amp;VAR:SYMBOL=04916420&amp;VAR:INDEX=0"}</definedName>
    <definedName name="_928__FDSAUDITLINK__" localSheetId="6" hidden="1">{"fdsup://directions/FAT%20Viewer?VAR:PED=LTM&amp;VAR:AUDIT_MODE=SUMMARY&amp;VAR:PERIOD=FIXED&amp;VAR:AUDIT_ID=00000117&amp;VAR:DATE=20070808&amp;action=UPDATE&amp;creator=factset&amp;DOC_NAME=FAT:FMA_audit_SUMMARY.fat&amp;DISPLAY_STRING=Display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8__FDSAUDITLINK__" hidden="1">{"fdsup://directions/FAT%20Viewer?VAR:PED=LTM&amp;VAR:AUDIT_MODE=SUMMARY&amp;VAR:PERIOD=FIXED&amp;VAR:AUDIT_ID=00000117&amp;VAR:DATE=20070808&amp;action=UPDATE&amp;creator=factset&amp;DOC_NAME=FAT:FMA_audit_SUMMARY.fat&amp;DISPLAY_STRING=Display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80__FDSAUDITLINK__" localSheetId="6" hidden="1">{"fdsup://directions/FAT Viewer?action=UPDATE&amp;creator=factset&amp;DYN_ARGS=TRUE&amp;DOC_NAME=FAT:FQL_AUDITING_CLIENT_TEMPLATE.FAT&amp;display_string=Audit&amp;VAR:KEY=TOLKPSRAJO&amp;VAR:QUERY=RkZfRUJJVERBX0lCKCdMVE1TJyw0MDA4OSk=&amp;WINDOW=FIRST_POPUP&amp;HEIGHT=450&amp;WIDTH=450&amp;START_MA","XIMIZED=FALSE&amp;VAR:CALENDAR=US&amp;VAR:SYMBOL=04916420&amp;VAR:INDEX=0"}</definedName>
    <definedName name="_9280__FDSAUDITLINK__" hidden="1">{"fdsup://directions/FAT Viewer?action=UPDATE&amp;creator=factset&amp;DYN_ARGS=TRUE&amp;DOC_NAME=FAT:FQL_AUDITING_CLIENT_TEMPLATE.FAT&amp;display_string=Audit&amp;VAR:KEY=TOLKPSRAJO&amp;VAR:QUERY=RkZfRUJJVERBX0lCKCdMVE1TJyw0MDA4OSk=&amp;WINDOW=FIRST_POPUP&amp;HEIGHT=450&amp;WIDTH=450&amp;START_MA","XIMIZED=FALSE&amp;VAR:CALENDAR=US&amp;VAR:SYMBOL=04916420&amp;VAR:INDEX=0"}</definedName>
    <definedName name="_9281__FDSAUDITLINK__" localSheetId="6" hidden="1">{"fdsup://directions/FAT Viewer?action=UPDATE&amp;creator=factset&amp;DYN_ARGS=TRUE&amp;DOC_NAME=FAT:FQL_AUDITING_CLIENT_TEMPLATE.FAT&amp;display_string=Audit&amp;VAR:KEY=BSHIZEXGVE&amp;VAR:QUERY=RkZfRUJJVERBX0lCKCdMVE1TJyw0MDA4OCk=&amp;WINDOW=FIRST_POPUP&amp;HEIGHT=450&amp;WIDTH=450&amp;START_MA","XIMIZED=FALSE&amp;VAR:CALENDAR=US&amp;VAR:SYMBOL=04916420&amp;VAR:INDEX=0"}</definedName>
    <definedName name="_9281__FDSAUDITLINK__" hidden="1">{"fdsup://directions/FAT Viewer?action=UPDATE&amp;creator=factset&amp;DYN_ARGS=TRUE&amp;DOC_NAME=FAT:FQL_AUDITING_CLIENT_TEMPLATE.FAT&amp;display_string=Audit&amp;VAR:KEY=BSHIZEXGVE&amp;VAR:QUERY=RkZfRUJJVERBX0lCKCdMVE1TJyw0MDA4OCk=&amp;WINDOW=FIRST_POPUP&amp;HEIGHT=450&amp;WIDTH=450&amp;START_MA","XIMIZED=FALSE&amp;VAR:CALENDAR=US&amp;VAR:SYMBOL=04916420&amp;VAR:INDEX=0"}</definedName>
    <definedName name="_9282__FDSAUDITLINK__" localSheetId="6" hidden="1">{"fdsup://directions/FAT Viewer?action=UPDATE&amp;creator=factset&amp;DYN_ARGS=TRUE&amp;DOC_NAME=FAT:FQL_AUDITING_CLIENT_TEMPLATE.FAT&amp;display_string=Audit&amp;VAR:KEY=RGBEXYLKXQ&amp;VAR:QUERY=RkZfRUJJVERBX0lCKCdMVE1TJyw0MDA4Nyk=&amp;WINDOW=FIRST_POPUP&amp;HEIGHT=450&amp;WIDTH=450&amp;START_MA","XIMIZED=FALSE&amp;VAR:CALENDAR=US&amp;VAR:SYMBOL=04916420&amp;VAR:INDEX=0"}</definedName>
    <definedName name="_9282__FDSAUDITLINK__" hidden="1">{"fdsup://directions/FAT Viewer?action=UPDATE&amp;creator=factset&amp;DYN_ARGS=TRUE&amp;DOC_NAME=FAT:FQL_AUDITING_CLIENT_TEMPLATE.FAT&amp;display_string=Audit&amp;VAR:KEY=RGBEXYLKXQ&amp;VAR:QUERY=RkZfRUJJVERBX0lCKCdMVE1TJyw0MDA4Nyk=&amp;WINDOW=FIRST_POPUP&amp;HEIGHT=450&amp;WIDTH=450&amp;START_MA","XIMIZED=FALSE&amp;VAR:CALENDAR=US&amp;VAR:SYMBOL=04916420&amp;VAR:INDEX=0"}</definedName>
    <definedName name="_9283__FDSAUDITLINK__" localSheetId="6" hidden="1">{"fdsup://directions/FAT Viewer?action=UPDATE&amp;creator=factset&amp;DYN_ARGS=TRUE&amp;DOC_NAME=FAT:FQL_AUDITING_CLIENT_TEMPLATE.FAT&amp;display_string=Audit&amp;VAR:KEY=XYTYLWBEPW&amp;VAR:QUERY=RkZfRUJJVERBX0lCKCdMVE1TJyw0MDA4Nik=&amp;WINDOW=FIRST_POPUP&amp;HEIGHT=450&amp;WIDTH=450&amp;START_MA","XIMIZED=FALSE&amp;VAR:CALENDAR=US&amp;VAR:SYMBOL=04916420&amp;VAR:INDEX=0"}</definedName>
    <definedName name="_9283__FDSAUDITLINK__" hidden="1">{"fdsup://directions/FAT Viewer?action=UPDATE&amp;creator=factset&amp;DYN_ARGS=TRUE&amp;DOC_NAME=FAT:FQL_AUDITING_CLIENT_TEMPLATE.FAT&amp;display_string=Audit&amp;VAR:KEY=XYTYLWBEPW&amp;VAR:QUERY=RkZfRUJJVERBX0lCKCdMVE1TJyw0MDA4Nik=&amp;WINDOW=FIRST_POPUP&amp;HEIGHT=450&amp;WIDTH=450&amp;START_MA","XIMIZED=FALSE&amp;VAR:CALENDAR=US&amp;VAR:SYMBOL=04916420&amp;VAR:INDEX=0"}</definedName>
    <definedName name="_9284__FDSAUDITLINK__" localSheetId="6" hidden="1">{"fdsup://directions/FAT Viewer?action=UPDATE&amp;creator=factset&amp;DYN_ARGS=TRUE&amp;DOC_NAME=FAT:FQL_AUDITING_CLIENT_TEMPLATE.FAT&amp;display_string=Audit&amp;VAR:KEY=VCFSZGBUHY&amp;VAR:QUERY=RkZfRUJJVERBX0lCKCdMVE1TJyw0MDA4NSk=&amp;WINDOW=FIRST_POPUP&amp;HEIGHT=450&amp;WIDTH=450&amp;START_MA","XIMIZED=FALSE&amp;VAR:CALENDAR=US&amp;VAR:SYMBOL=04916420&amp;VAR:INDEX=0"}</definedName>
    <definedName name="_9284__FDSAUDITLINK__" hidden="1">{"fdsup://directions/FAT Viewer?action=UPDATE&amp;creator=factset&amp;DYN_ARGS=TRUE&amp;DOC_NAME=FAT:FQL_AUDITING_CLIENT_TEMPLATE.FAT&amp;display_string=Audit&amp;VAR:KEY=VCFSZGBUHY&amp;VAR:QUERY=RkZfRUJJVERBX0lCKCdMVE1TJyw0MDA4NSk=&amp;WINDOW=FIRST_POPUP&amp;HEIGHT=450&amp;WIDTH=450&amp;START_MA","XIMIZED=FALSE&amp;VAR:CALENDAR=US&amp;VAR:SYMBOL=04916420&amp;VAR:INDEX=0"}</definedName>
    <definedName name="_9285__FDSAUDITLINK__" localSheetId="6" hidden="1">{"fdsup://directions/FAT Viewer?action=UPDATE&amp;creator=factset&amp;DYN_ARGS=TRUE&amp;DOC_NAME=FAT:FQL_AUDITING_CLIENT_TEMPLATE.FAT&amp;display_string=Audit&amp;VAR:KEY=XOXWHGTYRO&amp;VAR:QUERY=RkZfRUJJVERBX0lCKCdMVE1TJyw0MDA4NCk=&amp;WINDOW=FIRST_POPUP&amp;HEIGHT=450&amp;WIDTH=450&amp;START_MA","XIMIZED=FALSE&amp;VAR:CALENDAR=US&amp;VAR:SYMBOL=04916420&amp;VAR:INDEX=0"}</definedName>
    <definedName name="_9285__FDSAUDITLINK__" hidden="1">{"fdsup://directions/FAT Viewer?action=UPDATE&amp;creator=factset&amp;DYN_ARGS=TRUE&amp;DOC_NAME=FAT:FQL_AUDITING_CLIENT_TEMPLATE.FAT&amp;display_string=Audit&amp;VAR:KEY=XOXWHGTYRO&amp;VAR:QUERY=RkZfRUJJVERBX0lCKCdMVE1TJyw0MDA4NCk=&amp;WINDOW=FIRST_POPUP&amp;HEIGHT=450&amp;WIDTH=450&amp;START_MA","XIMIZED=FALSE&amp;VAR:CALENDAR=US&amp;VAR:SYMBOL=04916420&amp;VAR:INDEX=0"}</definedName>
    <definedName name="_9286__FDSAUDITLINK__" localSheetId="6" hidden="1">{"fdsup://directions/FAT Viewer?action=UPDATE&amp;creator=factset&amp;DYN_ARGS=TRUE&amp;DOC_NAME=FAT:FQL_AUDITING_CLIENT_TEMPLATE.FAT&amp;display_string=Audit&amp;VAR:KEY=HGTUZOTQNO&amp;VAR:QUERY=RkZfRUJJVERBX0lCKCdMVE1TJyw0MDA4Myk=&amp;WINDOW=FIRST_POPUP&amp;HEIGHT=450&amp;WIDTH=450&amp;START_MA","XIMIZED=FALSE&amp;VAR:CALENDAR=US&amp;VAR:SYMBOL=04916420&amp;VAR:INDEX=0"}</definedName>
    <definedName name="_9286__FDSAUDITLINK__" hidden="1">{"fdsup://directions/FAT Viewer?action=UPDATE&amp;creator=factset&amp;DYN_ARGS=TRUE&amp;DOC_NAME=FAT:FQL_AUDITING_CLIENT_TEMPLATE.FAT&amp;display_string=Audit&amp;VAR:KEY=HGTUZOTQNO&amp;VAR:QUERY=RkZfRUJJVERBX0lCKCdMVE1TJyw0MDA4Myk=&amp;WINDOW=FIRST_POPUP&amp;HEIGHT=450&amp;WIDTH=450&amp;START_MA","XIMIZED=FALSE&amp;VAR:CALENDAR=US&amp;VAR:SYMBOL=04916420&amp;VAR:INDEX=0"}</definedName>
    <definedName name="_9287__FDSAUDITLINK__" localSheetId="6" hidden="1">{"fdsup://directions/FAT Viewer?action=UPDATE&amp;creator=factset&amp;DYN_ARGS=TRUE&amp;DOC_NAME=FAT:FQL_AUDITING_CLIENT_TEMPLATE.FAT&amp;display_string=Audit&amp;VAR:KEY=VCRINEDYRA&amp;VAR:QUERY=RkZfRUJJVERBX0lCKCdMVE1TJyw0MDA4Mik=&amp;WINDOW=FIRST_POPUP&amp;HEIGHT=450&amp;WIDTH=450&amp;START_MA","XIMIZED=FALSE&amp;VAR:CALENDAR=US&amp;VAR:SYMBOL=04916420&amp;VAR:INDEX=0"}</definedName>
    <definedName name="_9287__FDSAUDITLINK__" hidden="1">{"fdsup://directions/FAT Viewer?action=UPDATE&amp;creator=factset&amp;DYN_ARGS=TRUE&amp;DOC_NAME=FAT:FQL_AUDITING_CLIENT_TEMPLATE.FAT&amp;display_string=Audit&amp;VAR:KEY=VCRINEDYRA&amp;VAR:QUERY=RkZfRUJJVERBX0lCKCdMVE1TJyw0MDA4Mik=&amp;WINDOW=FIRST_POPUP&amp;HEIGHT=450&amp;WIDTH=450&amp;START_MA","XIMIZED=FALSE&amp;VAR:CALENDAR=US&amp;VAR:SYMBOL=04916420&amp;VAR:INDEX=0"}</definedName>
    <definedName name="_9288__FDSAUDITLINK__" localSheetId="6" hidden="1">{"fdsup://directions/FAT Viewer?action=UPDATE&amp;creator=factset&amp;DYN_ARGS=TRUE&amp;DOC_NAME=FAT:FQL_AUDITING_CLIENT_TEMPLATE.FAT&amp;display_string=Audit&amp;VAR:KEY=DKNIBCJWNQ&amp;VAR:QUERY=RkZfRUJJVERBX0lCKCdMVE1TJyw0MDA4MSk=&amp;WINDOW=FIRST_POPUP&amp;HEIGHT=450&amp;WIDTH=450&amp;START_MA","XIMIZED=FALSE&amp;VAR:CALENDAR=US&amp;VAR:SYMBOL=04916420&amp;VAR:INDEX=0"}</definedName>
    <definedName name="_9288__FDSAUDITLINK__" hidden="1">{"fdsup://directions/FAT Viewer?action=UPDATE&amp;creator=factset&amp;DYN_ARGS=TRUE&amp;DOC_NAME=FAT:FQL_AUDITING_CLIENT_TEMPLATE.FAT&amp;display_string=Audit&amp;VAR:KEY=DKNIBCJWNQ&amp;VAR:QUERY=RkZfRUJJVERBX0lCKCdMVE1TJyw0MDA4MSk=&amp;WINDOW=FIRST_POPUP&amp;HEIGHT=450&amp;WIDTH=450&amp;START_MA","XIMIZED=FALSE&amp;VAR:CALENDAR=US&amp;VAR:SYMBOL=04916420&amp;VAR:INDEX=0"}</definedName>
    <definedName name="_9289__FDSAUDITLINK__" localSheetId="6" hidden="1">{"fdsup://directions/FAT Viewer?action=UPDATE&amp;creator=factset&amp;DYN_ARGS=TRUE&amp;DOC_NAME=FAT:FQL_AUDITING_CLIENT_TEMPLATE.FAT&amp;display_string=Audit&amp;VAR:KEY=DUXIXEPUBC&amp;VAR:QUERY=RkZfRUJJVERBX0lCKCdMVE1TJyw0MDA4MCk=&amp;WINDOW=FIRST_POPUP&amp;HEIGHT=450&amp;WIDTH=450&amp;START_MA","XIMIZED=FALSE&amp;VAR:CALENDAR=US&amp;VAR:SYMBOL=04916420&amp;VAR:INDEX=0"}</definedName>
    <definedName name="_9289__FDSAUDITLINK__" hidden="1">{"fdsup://directions/FAT Viewer?action=UPDATE&amp;creator=factset&amp;DYN_ARGS=TRUE&amp;DOC_NAME=FAT:FQL_AUDITING_CLIENT_TEMPLATE.FAT&amp;display_string=Audit&amp;VAR:KEY=DUXIXEPUBC&amp;VAR:QUERY=RkZfRUJJVERBX0lCKCdMVE1TJyw0MDA4MCk=&amp;WINDOW=FIRST_POPUP&amp;HEIGHT=450&amp;WIDTH=450&amp;START_MA","XIMIZED=FALSE&amp;VAR:CALENDAR=US&amp;VAR:SYMBOL=04916420&amp;VAR:INDEX=0"}</definedName>
    <definedName name="_929__FDSAUDITLINK__" localSheetId="6" hidden="1">{"fdsup://directions/FAT%20Viewer?VAR:PED=LTM&amp;VAR:AUDIT_MODE=SUMMARY&amp;VAR:PERIOD=FIXED&amp;VAR:AUDIT_ID=00000117&amp;VAR:DATE=20070807&amp;action=UPDATE&amp;creator=factset&amp;DOC_NAME=FAT:FMA_audit_SUMMARY.fat&amp;DISPLAY_STRING=Display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9__FDSAUDITLINK__" hidden="1">{"fdsup://directions/FAT%20Viewer?VAR:PED=LTM&amp;VAR:AUDIT_MODE=SUMMARY&amp;VAR:PERIOD=FIXED&amp;VAR:AUDIT_ID=00000117&amp;VAR:DATE=20070807&amp;action=UPDATE&amp;creator=factset&amp;DOC_NAME=FAT:FMA_audit_SUMMARY.fat&amp;DISPLAY_STRING=Display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290__FDSAUDITLINK__" localSheetId="6" hidden="1">{"fdsup://directions/FAT Viewer?action=UPDATE&amp;creator=factset&amp;DYN_ARGS=TRUE&amp;DOC_NAME=FAT:FQL_AUDITING_CLIENT_TEMPLATE.FAT&amp;display_string=Audit&amp;VAR:KEY=XKJOXQZMVA&amp;VAR:QUERY=RkZfRUJJVERBX0lCKCdMVE1TJyw0MDA3OSk=&amp;WINDOW=FIRST_POPUP&amp;HEIGHT=450&amp;WIDTH=450&amp;START_MA","XIMIZED=FALSE&amp;VAR:CALENDAR=US&amp;VAR:SYMBOL=04916420&amp;VAR:INDEX=0"}</definedName>
    <definedName name="_9290__FDSAUDITLINK__" hidden="1">{"fdsup://directions/FAT Viewer?action=UPDATE&amp;creator=factset&amp;DYN_ARGS=TRUE&amp;DOC_NAME=FAT:FQL_AUDITING_CLIENT_TEMPLATE.FAT&amp;display_string=Audit&amp;VAR:KEY=XKJOXQZMVA&amp;VAR:QUERY=RkZfRUJJVERBX0lCKCdMVE1TJyw0MDA3OSk=&amp;WINDOW=FIRST_POPUP&amp;HEIGHT=450&amp;WIDTH=450&amp;START_MA","XIMIZED=FALSE&amp;VAR:CALENDAR=US&amp;VAR:SYMBOL=04916420&amp;VAR:INDEX=0"}</definedName>
    <definedName name="_9291__FDSAUDITLINK__" localSheetId="6" hidden="1">{"fdsup://directions/FAT Viewer?action=UPDATE&amp;creator=factset&amp;DYN_ARGS=TRUE&amp;DOC_NAME=FAT:FQL_AUDITING_CLIENT_TEMPLATE.FAT&amp;display_string=Audit&amp;VAR:KEY=XAFYDILMZW&amp;VAR:QUERY=RkZfRUJJVERBX0lCKCdMVE1TJyw0MDA3OCk=&amp;WINDOW=FIRST_POPUP&amp;HEIGHT=450&amp;WIDTH=450&amp;START_MA","XIMIZED=FALSE&amp;VAR:CALENDAR=US&amp;VAR:SYMBOL=04916420&amp;VAR:INDEX=0"}</definedName>
    <definedName name="_9291__FDSAUDITLINK__" hidden="1">{"fdsup://directions/FAT Viewer?action=UPDATE&amp;creator=factset&amp;DYN_ARGS=TRUE&amp;DOC_NAME=FAT:FQL_AUDITING_CLIENT_TEMPLATE.FAT&amp;display_string=Audit&amp;VAR:KEY=XAFYDILMZW&amp;VAR:QUERY=RkZfRUJJVERBX0lCKCdMVE1TJyw0MDA3OCk=&amp;WINDOW=FIRST_POPUP&amp;HEIGHT=450&amp;WIDTH=450&amp;START_MA","XIMIZED=FALSE&amp;VAR:CALENDAR=US&amp;VAR:SYMBOL=04916420&amp;VAR:INDEX=0"}</definedName>
    <definedName name="_9292__FDSAUDITLINK__" localSheetId="6" hidden="1">{"fdsup://directions/FAT Viewer?action=UPDATE&amp;creator=factset&amp;DYN_ARGS=TRUE&amp;DOC_NAME=FAT:FQL_AUDITING_CLIENT_TEMPLATE.FAT&amp;display_string=Audit&amp;VAR:KEY=HQJCLCPYVC&amp;VAR:QUERY=RkZfRUJJVERBX0lCKCdMVE1TJyw0MDA3Nyk=&amp;WINDOW=FIRST_POPUP&amp;HEIGHT=450&amp;WIDTH=450&amp;START_MA","XIMIZED=FALSE&amp;VAR:CALENDAR=US&amp;VAR:SYMBOL=04916420&amp;VAR:INDEX=0"}</definedName>
    <definedName name="_9292__FDSAUDITLINK__" hidden="1">{"fdsup://directions/FAT Viewer?action=UPDATE&amp;creator=factset&amp;DYN_ARGS=TRUE&amp;DOC_NAME=FAT:FQL_AUDITING_CLIENT_TEMPLATE.FAT&amp;display_string=Audit&amp;VAR:KEY=HQJCLCPYVC&amp;VAR:QUERY=RkZfRUJJVERBX0lCKCdMVE1TJyw0MDA3Nyk=&amp;WINDOW=FIRST_POPUP&amp;HEIGHT=450&amp;WIDTH=450&amp;START_MA","XIMIZED=FALSE&amp;VAR:CALENDAR=US&amp;VAR:SYMBOL=04916420&amp;VAR:INDEX=0"}</definedName>
    <definedName name="_9293__FDSAUDITLINK__" localSheetId="6" hidden="1">{"fdsup://directions/FAT Viewer?action=UPDATE&amp;creator=factset&amp;DYN_ARGS=TRUE&amp;DOC_NAME=FAT:FQL_AUDITING_CLIENT_TEMPLATE.FAT&amp;display_string=Audit&amp;VAR:KEY=JYJAPYRSTI&amp;VAR:QUERY=RkZfRUJJVERBX0lCKCdMVE1TJyw0MDA3Nik=&amp;WINDOW=FIRST_POPUP&amp;HEIGHT=450&amp;WIDTH=450&amp;START_MA","XIMIZED=FALSE&amp;VAR:CALENDAR=US&amp;VAR:SYMBOL=04916420&amp;VAR:INDEX=0"}</definedName>
    <definedName name="_9293__FDSAUDITLINK__" hidden="1">{"fdsup://directions/FAT Viewer?action=UPDATE&amp;creator=factset&amp;DYN_ARGS=TRUE&amp;DOC_NAME=FAT:FQL_AUDITING_CLIENT_TEMPLATE.FAT&amp;display_string=Audit&amp;VAR:KEY=JYJAPYRSTI&amp;VAR:QUERY=RkZfRUJJVERBX0lCKCdMVE1TJyw0MDA3Nik=&amp;WINDOW=FIRST_POPUP&amp;HEIGHT=450&amp;WIDTH=450&amp;START_MA","XIMIZED=FALSE&amp;VAR:CALENDAR=US&amp;VAR:SYMBOL=04916420&amp;VAR:INDEX=0"}</definedName>
    <definedName name="_9294__FDSAUDITLINK__" localSheetId="6" hidden="1">{"fdsup://directions/FAT Viewer?action=UPDATE&amp;creator=factset&amp;DYN_ARGS=TRUE&amp;DOC_NAME=FAT:FQL_AUDITING_CLIENT_TEMPLATE.FAT&amp;display_string=Audit&amp;VAR:KEY=LOFWFQNOTG&amp;VAR:QUERY=RkZfRUJJVERBX0lCKCdMVE1TJyw0MDA3NSk=&amp;WINDOW=FIRST_POPUP&amp;HEIGHT=450&amp;WIDTH=450&amp;START_MA","XIMIZED=FALSE&amp;VAR:CALENDAR=US&amp;VAR:SYMBOL=04916420&amp;VAR:INDEX=0"}</definedName>
    <definedName name="_9294__FDSAUDITLINK__" hidden="1">{"fdsup://directions/FAT Viewer?action=UPDATE&amp;creator=factset&amp;DYN_ARGS=TRUE&amp;DOC_NAME=FAT:FQL_AUDITING_CLIENT_TEMPLATE.FAT&amp;display_string=Audit&amp;VAR:KEY=LOFWFQNOTG&amp;VAR:QUERY=RkZfRUJJVERBX0lCKCdMVE1TJyw0MDA3NSk=&amp;WINDOW=FIRST_POPUP&amp;HEIGHT=450&amp;WIDTH=450&amp;START_MA","XIMIZED=FALSE&amp;VAR:CALENDAR=US&amp;VAR:SYMBOL=04916420&amp;VAR:INDEX=0"}</definedName>
    <definedName name="_9295__FDSAUDITLINK__" localSheetId="6" hidden="1">{"fdsup://directions/FAT Viewer?action=UPDATE&amp;creator=factset&amp;DYN_ARGS=TRUE&amp;DOC_NAME=FAT:FQL_AUDITING_CLIENT_TEMPLATE.FAT&amp;display_string=Audit&amp;VAR:KEY=NERMTEXEFK&amp;VAR:QUERY=RkZfRUJJVERBX0lCKCdMVE1TJyw0MDA3NCk=&amp;WINDOW=FIRST_POPUP&amp;HEIGHT=450&amp;WIDTH=450&amp;START_MA","XIMIZED=FALSE&amp;VAR:CALENDAR=US&amp;VAR:SYMBOL=04916420&amp;VAR:INDEX=0"}</definedName>
    <definedName name="_9295__FDSAUDITLINK__" hidden="1">{"fdsup://directions/FAT Viewer?action=UPDATE&amp;creator=factset&amp;DYN_ARGS=TRUE&amp;DOC_NAME=FAT:FQL_AUDITING_CLIENT_TEMPLATE.FAT&amp;display_string=Audit&amp;VAR:KEY=NERMTEXEFK&amp;VAR:QUERY=RkZfRUJJVERBX0lCKCdMVE1TJyw0MDA3NCk=&amp;WINDOW=FIRST_POPUP&amp;HEIGHT=450&amp;WIDTH=450&amp;START_MA","XIMIZED=FALSE&amp;VAR:CALENDAR=US&amp;VAR:SYMBOL=04916420&amp;VAR:INDEX=0"}</definedName>
    <definedName name="_9296__FDSAUDITLINK__" localSheetId="6" hidden="1">{"fdsup://directions/FAT Viewer?action=UPDATE&amp;creator=factset&amp;DYN_ARGS=TRUE&amp;DOC_NAME=FAT:FQL_AUDITING_CLIENT_TEMPLATE.FAT&amp;display_string=Audit&amp;VAR:KEY=HWXALONAPC&amp;VAR:QUERY=RkZfRUJJVERBX0lCKCdMVE1TJyw0MDA3Myk=&amp;WINDOW=FIRST_POPUP&amp;HEIGHT=450&amp;WIDTH=450&amp;START_MA","XIMIZED=FALSE&amp;VAR:CALENDAR=US&amp;VAR:SYMBOL=04916420&amp;VAR:INDEX=0"}</definedName>
    <definedName name="_9296__FDSAUDITLINK__" hidden="1">{"fdsup://directions/FAT Viewer?action=UPDATE&amp;creator=factset&amp;DYN_ARGS=TRUE&amp;DOC_NAME=FAT:FQL_AUDITING_CLIENT_TEMPLATE.FAT&amp;display_string=Audit&amp;VAR:KEY=HWXALONAPC&amp;VAR:QUERY=RkZfRUJJVERBX0lCKCdMVE1TJyw0MDA3Myk=&amp;WINDOW=FIRST_POPUP&amp;HEIGHT=450&amp;WIDTH=450&amp;START_MA","XIMIZED=FALSE&amp;VAR:CALENDAR=US&amp;VAR:SYMBOL=04916420&amp;VAR:INDEX=0"}</definedName>
    <definedName name="_9297__FDSAUDITLINK__" localSheetId="6" hidden="1">{"fdsup://directions/FAT Viewer?action=UPDATE&amp;creator=factset&amp;DYN_ARGS=TRUE&amp;DOC_NAME=FAT:FQL_AUDITING_CLIENT_TEMPLATE.FAT&amp;display_string=Audit&amp;VAR:KEY=HWBIJKVSRY&amp;VAR:QUERY=RkZfRUJJVERBX0lCKCdMVE1TJyw0MDA3Mik=&amp;WINDOW=FIRST_POPUP&amp;HEIGHT=450&amp;WIDTH=450&amp;START_MA","XIMIZED=FALSE&amp;VAR:CALENDAR=US&amp;VAR:SYMBOL=04916420&amp;VAR:INDEX=0"}</definedName>
    <definedName name="_9297__FDSAUDITLINK__" hidden="1">{"fdsup://directions/FAT Viewer?action=UPDATE&amp;creator=factset&amp;DYN_ARGS=TRUE&amp;DOC_NAME=FAT:FQL_AUDITING_CLIENT_TEMPLATE.FAT&amp;display_string=Audit&amp;VAR:KEY=HWBIJKVSRY&amp;VAR:QUERY=RkZfRUJJVERBX0lCKCdMVE1TJyw0MDA3Mik=&amp;WINDOW=FIRST_POPUP&amp;HEIGHT=450&amp;WIDTH=450&amp;START_MA","XIMIZED=FALSE&amp;VAR:CALENDAR=US&amp;VAR:SYMBOL=04916420&amp;VAR:INDEX=0"}</definedName>
    <definedName name="_9298__FDSAUDITLINK__" localSheetId="6" hidden="1">{"fdsup://directions/FAT Viewer?action=UPDATE&amp;creator=factset&amp;DYN_ARGS=TRUE&amp;DOC_NAME=FAT:FQL_AUDITING_CLIENT_TEMPLATE.FAT&amp;display_string=Audit&amp;VAR:KEY=DSZKHMXMXY&amp;VAR:QUERY=RkZfRUJJVERBX0lCKCdMVE1TJyw0MDA3MSk=&amp;WINDOW=FIRST_POPUP&amp;HEIGHT=450&amp;WIDTH=450&amp;START_MA","XIMIZED=FALSE&amp;VAR:CALENDAR=US&amp;VAR:SYMBOL=04916420&amp;VAR:INDEX=0"}</definedName>
    <definedName name="_9298__FDSAUDITLINK__" hidden="1">{"fdsup://directions/FAT Viewer?action=UPDATE&amp;creator=factset&amp;DYN_ARGS=TRUE&amp;DOC_NAME=FAT:FQL_AUDITING_CLIENT_TEMPLATE.FAT&amp;display_string=Audit&amp;VAR:KEY=DSZKHMXMXY&amp;VAR:QUERY=RkZfRUJJVERBX0lCKCdMVE1TJyw0MDA3MSk=&amp;WINDOW=FIRST_POPUP&amp;HEIGHT=450&amp;WIDTH=450&amp;START_MA","XIMIZED=FALSE&amp;VAR:CALENDAR=US&amp;VAR:SYMBOL=04916420&amp;VAR:INDEX=0"}</definedName>
    <definedName name="_9299__FDSAUDITLINK__" localSheetId="6" hidden="1">{"fdsup://directions/FAT Viewer?action=UPDATE&amp;creator=factset&amp;DYN_ARGS=TRUE&amp;DOC_NAME=FAT:FQL_AUDITING_CLIENT_TEMPLATE.FAT&amp;display_string=Audit&amp;VAR:KEY=VCFCJWROBW&amp;VAR:QUERY=RkZfRUJJVERBX0lCKCdMVE1TJyw0MDA3MCk=&amp;WINDOW=FIRST_POPUP&amp;HEIGHT=450&amp;WIDTH=450&amp;START_MA","XIMIZED=FALSE&amp;VAR:CALENDAR=US&amp;VAR:SYMBOL=04916420&amp;VAR:INDEX=0"}</definedName>
    <definedName name="_9299__FDSAUDITLINK__" hidden="1">{"fdsup://directions/FAT Viewer?action=UPDATE&amp;creator=factset&amp;DYN_ARGS=TRUE&amp;DOC_NAME=FAT:FQL_AUDITING_CLIENT_TEMPLATE.FAT&amp;display_string=Audit&amp;VAR:KEY=VCFCJWROBW&amp;VAR:QUERY=RkZfRUJJVERBX0lCKCdMVE1TJyw0MDA3MCk=&amp;WINDOW=FIRST_POPUP&amp;HEIGHT=450&amp;WIDTH=450&amp;START_MA","XIMIZED=FALSE&amp;VAR:CALENDAR=US&amp;VAR:SYMBOL=04916420&amp;VAR:INDEX=0"}</definedName>
    <definedName name="_930__FDSAUDITLINK__" localSheetId="6" hidden="1">{"fdsup://directions/FAT%20Viewer?VAR:PED=LTM&amp;VAR:AUDIT_MODE=SUMMARY&amp;VAR:PERIOD=FIXED&amp;VAR:AUDIT_ID=00000117&amp;VAR:DATE=20070806&amp;action=UPDATE&amp;creator=factset&amp;DOC_NAME=FAT:FMA_audit_SUMMARY.fat&amp;DISPLAY_STRING=Display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0__FDSAUDITLINK__" hidden="1">{"fdsup://directions/FAT%20Viewer?VAR:PED=LTM&amp;VAR:AUDIT_MODE=SUMMARY&amp;VAR:PERIOD=FIXED&amp;VAR:AUDIT_ID=00000117&amp;VAR:DATE=20070806&amp;action=UPDATE&amp;creator=factset&amp;DOC_NAME=FAT:FMA_audit_SUMMARY.fat&amp;DISPLAY_STRING=Display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00__FDSAUDITLINK__" localSheetId="6" hidden="1">{"fdsup://directions/FAT Viewer?action=UPDATE&amp;creator=factset&amp;DYN_ARGS=TRUE&amp;DOC_NAME=FAT:FQL_AUDITING_CLIENT_TEMPLATE.FAT&amp;display_string=Audit&amp;VAR:KEY=LEJYTAVEVK&amp;VAR:QUERY=RkZfRUJJVERBX0lCKCdMVE1TJyw0MDA2OSk=&amp;WINDOW=FIRST_POPUP&amp;HEIGHT=450&amp;WIDTH=450&amp;START_MA","XIMIZED=FALSE&amp;VAR:CALENDAR=US&amp;VAR:SYMBOL=04916420&amp;VAR:INDEX=0"}</definedName>
    <definedName name="_9300__FDSAUDITLINK__" hidden="1">{"fdsup://directions/FAT Viewer?action=UPDATE&amp;creator=factset&amp;DYN_ARGS=TRUE&amp;DOC_NAME=FAT:FQL_AUDITING_CLIENT_TEMPLATE.FAT&amp;display_string=Audit&amp;VAR:KEY=LEJYTAVEVK&amp;VAR:QUERY=RkZfRUJJVERBX0lCKCdMVE1TJyw0MDA2OSk=&amp;WINDOW=FIRST_POPUP&amp;HEIGHT=450&amp;WIDTH=450&amp;START_MA","XIMIZED=FALSE&amp;VAR:CALENDAR=US&amp;VAR:SYMBOL=04916420&amp;VAR:INDEX=0"}</definedName>
    <definedName name="_9301__FDSAUDITLINK__" localSheetId="6" hidden="1">{"fdsup://directions/FAT Viewer?action=UPDATE&amp;creator=factset&amp;DYN_ARGS=TRUE&amp;DOC_NAME=FAT:FQL_AUDITING_CLIENT_TEMPLATE.FAT&amp;display_string=Audit&amp;VAR:KEY=ZEPIDQDQXW&amp;VAR:QUERY=RkZfRUJJVERBX0lCKCdMVE1TJyw0MDA2OCk=&amp;WINDOW=FIRST_POPUP&amp;HEIGHT=450&amp;WIDTH=450&amp;START_MA","XIMIZED=FALSE&amp;VAR:CALENDAR=US&amp;VAR:SYMBOL=04916420&amp;VAR:INDEX=0"}</definedName>
    <definedName name="_9301__FDSAUDITLINK__" hidden="1">{"fdsup://directions/FAT Viewer?action=UPDATE&amp;creator=factset&amp;DYN_ARGS=TRUE&amp;DOC_NAME=FAT:FQL_AUDITING_CLIENT_TEMPLATE.FAT&amp;display_string=Audit&amp;VAR:KEY=ZEPIDQDQXW&amp;VAR:QUERY=RkZfRUJJVERBX0lCKCdMVE1TJyw0MDA2OCk=&amp;WINDOW=FIRST_POPUP&amp;HEIGHT=450&amp;WIDTH=450&amp;START_MA","XIMIZED=FALSE&amp;VAR:CALENDAR=US&amp;VAR:SYMBOL=04916420&amp;VAR:INDEX=0"}</definedName>
    <definedName name="_9302__FDSAUDITLINK__" localSheetId="6" hidden="1">{"fdsup://directions/FAT Viewer?action=UPDATE&amp;creator=factset&amp;DYN_ARGS=TRUE&amp;DOC_NAME=FAT:FQL_AUDITING_CLIENT_TEMPLATE.FAT&amp;display_string=Audit&amp;VAR:KEY=PWXCTQXGXY&amp;VAR:QUERY=RkZfRUJJVERBX0lCKCdMVE1TJyw0MDA2Nyk=&amp;WINDOW=FIRST_POPUP&amp;HEIGHT=450&amp;WIDTH=450&amp;START_MA","XIMIZED=FALSE&amp;VAR:CALENDAR=US&amp;VAR:SYMBOL=04916420&amp;VAR:INDEX=0"}</definedName>
    <definedName name="_9302__FDSAUDITLINK__" hidden="1">{"fdsup://directions/FAT Viewer?action=UPDATE&amp;creator=factset&amp;DYN_ARGS=TRUE&amp;DOC_NAME=FAT:FQL_AUDITING_CLIENT_TEMPLATE.FAT&amp;display_string=Audit&amp;VAR:KEY=PWXCTQXGXY&amp;VAR:QUERY=RkZfRUJJVERBX0lCKCdMVE1TJyw0MDA2Nyk=&amp;WINDOW=FIRST_POPUP&amp;HEIGHT=450&amp;WIDTH=450&amp;START_MA","XIMIZED=FALSE&amp;VAR:CALENDAR=US&amp;VAR:SYMBOL=04916420&amp;VAR:INDEX=0"}</definedName>
    <definedName name="_9303__FDSAUDITLINK__" localSheetId="6" hidden="1">{"fdsup://directions/FAT Viewer?action=UPDATE&amp;creator=factset&amp;DYN_ARGS=TRUE&amp;DOC_NAME=FAT:FQL_AUDITING_CLIENT_TEMPLATE.FAT&amp;display_string=Audit&amp;VAR:KEY=ZOXEBSRWZM&amp;VAR:QUERY=RkZfRUJJVERBX0lCKCdMVE1TJyw0MDA2Nik=&amp;WINDOW=FIRST_POPUP&amp;HEIGHT=450&amp;WIDTH=450&amp;START_MA","XIMIZED=FALSE&amp;VAR:CALENDAR=US&amp;VAR:SYMBOL=04916420&amp;VAR:INDEX=0"}</definedName>
    <definedName name="_9303__FDSAUDITLINK__" hidden="1">{"fdsup://directions/FAT Viewer?action=UPDATE&amp;creator=factset&amp;DYN_ARGS=TRUE&amp;DOC_NAME=FAT:FQL_AUDITING_CLIENT_TEMPLATE.FAT&amp;display_string=Audit&amp;VAR:KEY=ZOXEBSRWZM&amp;VAR:QUERY=RkZfRUJJVERBX0lCKCdMVE1TJyw0MDA2Nik=&amp;WINDOW=FIRST_POPUP&amp;HEIGHT=450&amp;WIDTH=450&amp;START_MA","XIMIZED=FALSE&amp;VAR:CALENDAR=US&amp;VAR:SYMBOL=04916420&amp;VAR:INDEX=0"}</definedName>
    <definedName name="_9304__FDSAUDITLINK__" localSheetId="6" hidden="1">{"fdsup://directions/FAT Viewer?action=UPDATE&amp;creator=factset&amp;DYN_ARGS=TRUE&amp;DOC_NAME=FAT:FQL_AUDITING_CLIENT_TEMPLATE.FAT&amp;display_string=Audit&amp;VAR:KEY=NETEFSVCTI&amp;VAR:QUERY=RkZfRUJJVERBX0lCKCdMVE1TJyw0MDA2NSk=&amp;WINDOW=FIRST_POPUP&amp;HEIGHT=450&amp;WIDTH=450&amp;START_MA","XIMIZED=FALSE&amp;VAR:CALENDAR=US&amp;VAR:SYMBOL=04916420&amp;VAR:INDEX=0"}</definedName>
    <definedName name="_9304__FDSAUDITLINK__" hidden="1">{"fdsup://directions/FAT Viewer?action=UPDATE&amp;creator=factset&amp;DYN_ARGS=TRUE&amp;DOC_NAME=FAT:FQL_AUDITING_CLIENT_TEMPLATE.FAT&amp;display_string=Audit&amp;VAR:KEY=NETEFSVCTI&amp;VAR:QUERY=RkZfRUJJVERBX0lCKCdMVE1TJyw0MDA2NSk=&amp;WINDOW=FIRST_POPUP&amp;HEIGHT=450&amp;WIDTH=450&amp;START_MA","XIMIZED=FALSE&amp;VAR:CALENDAR=US&amp;VAR:SYMBOL=04916420&amp;VAR:INDEX=0"}</definedName>
    <definedName name="_9305__FDSAUDITLINK__" localSheetId="6" hidden="1">{"fdsup://directions/FAT Viewer?action=UPDATE&amp;creator=factset&amp;DYN_ARGS=TRUE&amp;DOC_NAME=FAT:FQL_AUDITING_CLIENT_TEMPLATE.FAT&amp;display_string=Audit&amp;VAR:KEY=DGJQFSFCXW&amp;VAR:QUERY=RkZfRUJJVERBX0lCKCdMVE1TJyw0MDA2NCk=&amp;WINDOW=FIRST_POPUP&amp;HEIGHT=450&amp;WIDTH=450&amp;START_MA","XIMIZED=FALSE&amp;VAR:CALENDAR=US&amp;VAR:SYMBOL=04916420&amp;VAR:INDEX=0"}</definedName>
    <definedName name="_9305__FDSAUDITLINK__" hidden="1">{"fdsup://directions/FAT Viewer?action=UPDATE&amp;creator=factset&amp;DYN_ARGS=TRUE&amp;DOC_NAME=FAT:FQL_AUDITING_CLIENT_TEMPLATE.FAT&amp;display_string=Audit&amp;VAR:KEY=DGJQFSFCXW&amp;VAR:QUERY=RkZfRUJJVERBX0lCKCdMVE1TJyw0MDA2NCk=&amp;WINDOW=FIRST_POPUP&amp;HEIGHT=450&amp;WIDTH=450&amp;START_MA","XIMIZED=FALSE&amp;VAR:CALENDAR=US&amp;VAR:SYMBOL=04916420&amp;VAR:INDEX=0"}</definedName>
    <definedName name="_9306__FDSAUDITLINK__" localSheetId="6" hidden="1">{"fdsup://directions/FAT Viewer?action=UPDATE&amp;creator=factset&amp;DYN_ARGS=TRUE&amp;DOC_NAME=FAT:FQL_AUDITING_CLIENT_TEMPLATE.FAT&amp;display_string=Audit&amp;VAR:KEY=NONIREXQDO&amp;VAR:QUERY=RkZfRUJJVERBX0lCKCdMVE1TJyw0MDA2Myk=&amp;WINDOW=FIRST_POPUP&amp;HEIGHT=450&amp;WIDTH=450&amp;START_MA","XIMIZED=FALSE&amp;VAR:CALENDAR=US&amp;VAR:SYMBOL=04916420&amp;VAR:INDEX=0"}</definedName>
    <definedName name="_9306__FDSAUDITLINK__" hidden="1">{"fdsup://directions/FAT Viewer?action=UPDATE&amp;creator=factset&amp;DYN_ARGS=TRUE&amp;DOC_NAME=FAT:FQL_AUDITING_CLIENT_TEMPLATE.FAT&amp;display_string=Audit&amp;VAR:KEY=NONIREXQDO&amp;VAR:QUERY=RkZfRUJJVERBX0lCKCdMVE1TJyw0MDA2Myk=&amp;WINDOW=FIRST_POPUP&amp;HEIGHT=450&amp;WIDTH=450&amp;START_MA","XIMIZED=FALSE&amp;VAR:CALENDAR=US&amp;VAR:SYMBOL=04916420&amp;VAR:INDEX=0"}</definedName>
    <definedName name="_9307__FDSAUDITLINK__" localSheetId="6" hidden="1">{"fdsup://directions/FAT Viewer?action=UPDATE&amp;creator=factset&amp;DYN_ARGS=TRUE&amp;DOC_NAME=FAT:FQL_AUDITING_CLIENT_TEMPLATE.FAT&amp;display_string=Audit&amp;VAR:KEY=LAPWTKHOZI&amp;VAR:QUERY=RkZfRUJJVERBX0lCKCdMVE1TJyw0MDA2Mik=&amp;WINDOW=FIRST_POPUP&amp;HEIGHT=450&amp;WIDTH=450&amp;START_MA","XIMIZED=FALSE&amp;VAR:CALENDAR=US&amp;VAR:SYMBOL=04916420&amp;VAR:INDEX=0"}</definedName>
    <definedName name="_9307__FDSAUDITLINK__" hidden="1">{"fdsup://directions/FAT Viewer?action=UPDATE&amp;creator=factset&amp;DYN_ARGS=TRUE&amp;DOC_NAME=FAT:FQL_AUDITING_CLIENT_TEMPLATE.FAT&amp;display_string=Audit&amp;VAR:KEY=LAPWTKHOZI&amp;VAR:QUERY=RkZfRUJJVERBX0lCKCdMVE1TJyw0MDA2Mik=&amp;WINDOW=FIRST_POPUP&amp;HEIGHT=450&amp;WIDTH=450&amp;START_MA","XIMIZED=FALSE&amp;VAR:CALENDAR=US&amp;VAR:SYMBOL=04916420&amp;VAR:INDEX=0"}</definedName>
    <definedName name="_9308__FDSAUDITLINK__" localSheetId="6" hidden="1">{"fdsup://directions/FAT Viewer?action=UPDATE&amp;creator=factset&amp;DYN_ARGS=TRUE&amp;DOC_NAME=FAT:FQL_AUDITING_CLIENT_TEMPLATE.FAT&amp;display_string=Audit&amp;VAR:KEY=HMHGZIFMRI&amp;VAR:QUERY=RkZfRUJJVERBX0lCKCdMVE1TJyw0MDA2MSk=&amp;WINDOW=FIRST_POPUP&amp;HEIGHT=450&amp;WIDTH=450&amp;START_MA","XIMIZED=FALSE&amp;VAR:CALENDAR=US&amp;VAR:SYMBOL=04916420&amp;VAR:INDEX=0"}</definedName>
    <definedName name="_9308__FDSAUDITLINK__" hidden="1">{"fdsup://directions/FAT Viewer?action=UPDATE&amp;creator=factset&amp;DYN_ARGS=TRUE&amp;DOC_NAME=FAT:FQL_AUDITING_CLIENT_TEMPLATE.FAT&amp;display_string=Audit&amp;VAR:KEY=HMHGZIFMRI&amp;VAR:QUERY=RkZfRUJJVERBX0lCKCdMVE1TJyw0MDA2MSk=&amp;WINDOW=FIRST_POPUP&amp;HEIGHT=450&amp;WIDTH=450&amp;START_MA","XIMIZED=FALSE&amp;VAR:CALENDAR=US&amp;VAR:SYMBOL=04916420&amp;VAR:INDEX=0"}</definedName>
    <definedName name="_9309__FDSAUDITLINK__" localSheetId="6" hidden="1">{"fdsup://directions/FAT Viewer?action=UPDATE&amp;creator=factset&amp;DYN_ARGS=TRUE&amp;DOC_NAME=FAT:FQL_AUDITING_CLIENT_TEMPLATE.FAT&amp;display_string=Audit&amp;VAR:KEY=ZCDYDULIHA&amp;VAR:QUERY=RkZfRUJJVERBX0lCKCdMVE1TJyw0MDA2MCk=&amp;WINDOW=FIRST_POPUP&amp;HEIGHT=450&amp;WIDTH=450&amp;START_MA","XIMIZED=FALSE&amp;VAR:CALENDAR=US&amp;VAR:SYMBOL=04916420&amp;VAR:INDEX=0"}</definedName>
    <definedName name="_9309__FDSAUDITLINK__" hidden="1">{"fdsup://directions/FAT Viewer?action=UPDATE&amp;creator=factset&amp;DYN_ARGS=TRUE&amp;DOC_NAME=FAT:FQL_AUDITING_CLIENT_TEMPLATE.FAT&amp;display_string=Audit&amp;VAR:KEY=ZCDYDULIHA&amp;VAR:QUERY=RkZfRUJJVERBX0lCKCdMVE1TJyw0MDA2MCk=&amp;WINDOW=FIRST_POPUP&amp;HEIGHT=450&amp;WIDTH=450&amp;START_MA","XIMIZED=FALSE&amp;VAR:CALENDAR=US&amp;VAR:SYMBOL=04916420&amp;VAR:INDEX=0"}</definedName>
    <definedName name="_931__FDSAUDITLINK__" localSheetId="6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1__FDSAUDITLINK__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10__FDSAUDITLINK__" localSheetId="6" hidden="1">{"fdsup://directions/FAT Viewer?action=UPDATE&amp;creator=factset&amp;DYN_ARGS=TRUE&amp;DOC_NAME=FAT:FQL_AUDITING_CLIENT_TEMPLATE.FAT&amp;display_string=Audit&amp;VAR:KEY=VUJOTOHYVE&amp;VAR:QUERY=RkZfRUJJVERBX0lCKCdMVE1TJyw0MDA1OSk=&amp;WINDOW=FIRST_POPUP&amp;HEIGHT=450&amp;WIDTH=450&amp;START_MA","XIMIZED=FALSE&amp;VAR:CALENDAR=US&amp;VAR:SYMBOL=04916420&amp;VAR:INDEX=0"}</definedName>
    <definedName name="_9310__FDSAUDITLINK__" hidden="1">{"fdsup://directions/FAT Viewer?action=UPDATE&amp;creator=factset&amp;DYN_ARGS=TRUE&amp;DOC_NAME=FAT:FQL_AUDITING_CLIENT_TEMPLATE.FAT&amp;display_string=Audit&amp;VAR:KEY=VUJOTOHYVE&amp;VAR:QUERY=RkZfRUJJVERBX0lCKCdMVE1TJyw0MDA1OSk=&amp;WINDOW=FIRST_POPUP&amp;HEIGHT=450&amp;WIDTH=450&amp;START_MA","XIMIZED=FALSE&amp;VAR:CALENDAR=US&amp;VAR:SYMBOL=04916420&amp;VAR:INDEX=0"}</definedName>
    <definedName name="_9311__FDSAUDITLINK__" localSheetId="6" hidden="1">{"fdsup://directions/FAT Viewer?action=UPDATE&amp;creator=factset&amp;DYN_ARGS=TRUE&amp;DOC_NAME=FAT:FQL_AUDITING_CLIENT_TEMPLATE.FAT&amp;display_string=Audit&amp;VAR:KEY=NOLIJEPQLC&amp;VAR:QUERY=RkZfRUJJVERBX0lCKCdMVE1TJyw0MDA1OCk=&amp;WINDOW=FIRST_POPUP&amp;HEIGHT=450&amp;WIDTH=450&amp;START_MA","XIMIZED=FALSE&amp;VAR:CALENDAR=US&amp;VAR:SYMBOL=04916420&amp;VAR:INDEX=0"}</definedName>
    <definedName name="_9311__FDSAUDITLINK__" hidden="1">{"fdsup://directions/FAT Viewer?action=UPDATE&amp;creator=factset&amp;DYN_ARGS=TRUE&amp;DOC_NAME=FAT:FQL_AUDITING_CLIENT_TEMPLATE.FAT&amp;display_string=Audit&amp;VAR:KEY=NOLIJEPQLC&amp;VAR:QUERY=RkZfRUJJVERBX0lCKCdMVE1TJyw0MDA1OCk=&amp;WINDOW=FIRST_POPUP&amp;HEIGHT=450&amp;WIDTH=450&amp;START_MA","XIMIZED=FALSE&amp;VAR:CALENDAR=US&amp;VAR:SYMBOL=04916420&amp;VAR:INDEX=0"}</definedName>
    <definedName name="_9312__FDSAUDITLINK__" localSheetId="6" hidden="1">{"fdsup://directions/FAT Viewer?action=UPDATE&amp;creator=factset&amp;DYN_ARGS=TRUE&amp;DOC_NAME=FAT:FQL_AUDITING_CLIENT_TEMPLATE.FAT&amp;display_string=Audit&amp;VAR:KEY=NOBMLKTANE&amp;VAR:QUERY=RkZfRUJJVERBX0lCKCdMVE1TJyw0MDA1Nyk=&amp;WINDOW=FIRST_POPUP&amp;HEIGHT=450&amp;WIDTH=450&amp;START_MA","XIMIZED=FALSE&amp;VAR:CALENDAR=US&amp;VAR:SYMBOL=04916420&amp;VAR:INDEX=0"}</definedName>
    <definedName name="_9312__FDSAUDITLINK__" hidden="1">{"fdsup://directions/FAT Viewer?action=UPDATE&amp;creator=factset&amp;DYN_ARGS=TRUE&amp;DOC_NAME=FAT:FQL_AUDITING_CLIENT_TEMPLATE.FAT&amp;display_string=Audit&amp;VAR:KEY=NOBMLKTANE&amp;VAR:QUERY=RkZfRUJJVERBX0lCKCdMVE1TJyw0MDA1Nyk=&amp;WINDOW=FIRST_POPUP&amp;HEIGHT=450&amp;WIDTH=450&amp;START_MA","XIMIZED=FALSE&amp;VAR:CALENDAR=US&amp;VAR:SYMBOL=04916420&amp;VAR:INDEX=0"}</definedName>
    <definedName name="_9313__FDSAUDITLINK__" localSheetId="6" hidden="1">{"fdsup://directions/FAT Viewer?action=UPDATE&amp;creator=factset&amp;DYN_ARGS=TRUE&amp;DOC_NAME=FAT:FQL_AUDITING_CLIENT_TEMPLATE.FAT&amp;display_string=Audit&amp;VAR:KEY=JIFGHKBARS&amp;VAR:QUERY=RkZfRUJJVERBX0lCKCdMVE1TJyw0MDA1Nik=&amp;WINDOW=FIRST_POPUP&amp;HEIGHT=450&amp;WIDTH=450&amp;START_MA","XIMIZED=FALSE&amp;VAR:CALENDAR=US&amp;VAR:SYMBOL=04916420&amp;VAR:INDEX=0"}</definedName>
    <definedName name="_9313__FDSAUDITLINK__" hidden="1">{"fdsup://directions/FAT Viewer?action=UPDATE&amp;creator=factset&amp;DYN_ARGS=TRUE&amp;DOC_NAME=FAT:FQL_AUDITING_CLIENT_TEMPLATE.FAT&amp;display_string=Audit&amp;VAR:KEY=JIFGHKBARS&amp;VAR:QUERY=RkZfRUJJVERBX0lCKCdMVE1TJyw0MDA1Nik=&amp;WINDOW=FIRST_POPUP&amp;HEIGHT=450&amp;WIDTH=450&amp;START_MA","XIMIZED=FALSE&amp;VAR:CALENDAR=US&amp;VAR:SYMBOL=04916420&amp;VAR:INDEX=0"}</definedName>
    <definedName name="_9314__FDSAUDITLINK__" localSheetId="6" hidden="1">{"fdsup://directions/FAT Viewer?action=UPDATE&amp;creator=factset&amp;DYN_ARGS=TRUE&amp;DOC_NAME=FAT:FQL_AUDITING_CLIENT_TEMPLATE.FAT&amp;display_string=Audit&amp;VAR:KEY=JQVKNCRKRK&amp;VAR:QUERY=RkZfRUJJVERBX0lCKCdMVE1TJyw0MDA1NSk=&amp;WINDOW=FIRST_POPUP&amp;HEIGHT=450&amp;WIDTH=450&amp;START_MA","XIMIZED=FALSE&amp;VAR:CALENDAR=US&amp;VAR:SYMBOL=04916420&amp;VAR:INDEX=0"}</definedName>
    <definedName name="_9314__FDSAUDITLINK__" hidden="1">{"fdsup://directions/FAT Viewer?action=UPDATE&amp;creator=factset&amp;DYN_ARGS=TRUE&amp;DOC_NAME=FAT:FQL_AUDITING_CLIENT_TEMPLATE.FAT&amp;display_string=Audit&amp;VAR:KEY=JQVKNCRKRK&amp;VAR:QUERY=RkZfRUJJVERBX0lCKCdMVE1TJyw0MDA1NSk=&amp;WINDOW=FIRST_POPUP&amp;HEIGHT=450&amp;WIDTH=450&amp;START_MA","XIMIZED=FALSE&amp;VAR:CALENDAR=US&amp;VAR:SYMBOL=04916420&amp;VAR:INDEX=0"}</definedName>
    <definedName name="_9315__FDSAUDITLINK__" localSheetId="6" hidden="1">{"fdsup://directions/FAT Viewer?action=UPDATE&amp;creator=factset&amp;DYN_ARGS=TRUE&amp;DOC_NAME=FAT:FQL_AUDITING_CLIENT_TEMPLATE.FAT&amp;display_string=Audit&amp;VAR:KEY=BITQHGRCFA&amp;VAR:QUERY=RkZfRUJJVERBX0lCKCdMVE1TJyw0MDA1NCk=&amp;WINDOW=FIRST_POPUP&amp;HEIGHT=450&amp;WIDTH=450&amp;START_MA","XIMIZED=FALSE&amp;VAR:CALENDAR=US&amp;VAR:SYMBOL=04916420&amp;VAR:INDEX=0"}</definedName>
    <definedName name="_9315__FDSAUDITLINK__" hidden="1">{"fdsup://directions/FAT Viewer?action=UPDATE&amp;creator=factset&amp;DYN_ARGS=TRUE&amp;DOC_NAME=FAT:FQL_AUDITING_CLIENT_TEMPLATE.FAT&amp;display_string=Audit&amp;VAR:KEY=BITQHGRCFA&amp;VAR:QUERY=RkZfRUJJVERBX0lCKCdMVE1TJyw0MDA1NCk=&amp;WINDOW=FIRST_POPUP&amp;HEIGHT=450&amp;WIDTH=450&amp;START_MA","XIMIZED=FALSE&amp;VAR:CALENDAR=US&amp;VAR:SYMBOL=04916420&amp;VAR:INDEX=0"}</definedName>
    <definedName name="_9316__FDSAUDITLINK__" localSheetId="6" hidden="1">{"fdsup://directions/FAT Viewer?action=UPDATE&amp;creator=factset&amp;DYN_ARGS=TRUE&amp;DOC_NAME=FAT:FQL_AUDITING_CLIENT_TEMPLATE.FAT&amp;display_string=Audit&amp;VAR:KEY=HSVWXKRWHG&amp;VAR:QUERY=RkZfRUJJVERBX0lCKCdMVE1TJyw0MDA1Myk=&amp;WINDOW=FIRST_POPUP&amp;HEIGHT=450&amp;WIDTH=450&amp;START_MA","XIMIZED=FALSE&amp;VAR:CALENDAR=US&amp;VAR:SYMBOL=04916420&amp;VAR:INDEX=0"}</definedName>
    <definedName name="_9316__FDSAUDITLINK__" hidden="1">{"fdsup://directions/FAT Viewer?action=UPDATE&amp;creator=factset&amp;DYN_ARGS=TRUE&amp;DOC_NAME=FAT:FQL_AUDITING_CLIENT_TEMPLATE.FAT&amp;display_string=Audit&amp;VAR:KEY=HSVWXKRWHG&amp;VAR:QUERY=RkZfRUJJVERBX0lCKCdMVE1TJyw0MDA1Myk=&amp;WINDOW=FIRST_POPUP&amp;HEIGHT=450&amp;WIDTH=450&amp;START_MA","XIMIZED=FALSE&amp;VAR:CALENDAR=US&amp;VAR:SYMBOL=04916420&amp;VAR:INDEX=0"}</definedName>
    <definedName name="_9317__FDSAUDITLINK__" localSheetId="6" hidden="1">{"fdsup://directions/FAT Viewer?action=UPDATE&amp;creator=factset&amp;DYN_ARGS=TRUE&amp;DOC_NAME=FAT:FQL_AUDITING_CLIENT_TEMPLATE.FAT&amp;display_string=Audit&amp;VAR:KEY=HOVIPUZENS&amp;VAR:QUERY=RkZfRUJJVERBX0lCKCdMVE1TJyw0MDA1Mik=&amp;WINDOW=FIRST_POPUP&amp;HEIGHT=450&amp;WIDTH=450&amp;START_MA","XIMIZED=FALSE&amp;VAR:CALENDAR=US&amp;VAR:SYMBOL=04916420&amp;VAR:INDEX=0"}</definedName>
    <definedName name="_9317__FDSAUDITLINK__" hidden="1">{"fdsup://directions/FAT Viewer?action=UPDATE&amp;creator=factset&amp;DYN_ARGS=TRUE&amp;DOC_NAME=FAT:FQL_AUDITING_CLIENT_TEMPLATE.FAT&amp;display_string=Audit&amp;VAR:KEY=HOVIPUZENS&amp;VAR:QUERY=RkZfRUJJVERBX0lCKCdMVE1TJyw0MDA1Mik=&amp;WINDOW=FIRST_POPUP&amp;HEIGHT=450&amp;WIDTH=450&amp;START_MA","XIMIZED=FALSE&amp;VAR:CALENDAR=US&amp;VAR:SYMBOL=04916420&amp;VAR:INDEX=0"}</definedName>
    <definedName name="_9318__FDSAUDITLINK__" localSheetId="6" hidden="1">{"fdsup://directions/FAT Viewer?action=UPDATE&amp;creator=factset&amp;DYN_ARGS=TRUE&amp;DOC_NAME=FAT:FQL_AUDITING_CLIENT_TEMPLATE.FAT&amp;display_string=Audit&amp;VAR:KEY=HKFWFSLATG&amp;VAR:QUERY=RkZfRUJJVERBX0lCKCdMVE1TJyw0MDA1MSk=&amp;WINDOW=FIRST_POPUP&amp;HEIGHT=450&amp;WIDTH=450&amp;START_MA","XIMIZED=FALSE&amp;VAR:CALENDAR=US&amp;VAR:SYMBOL=04916420&amp;VAR:INDEX=0"}</definedName>
    <definedName name="_9318__FDSAUDITLINK__" hidden="1">{"fdsup://directions/FAT Viewer?action=UPDATE&amp;creator=factset&amp;DYN_ARGS=TRUE&amp;DOC_NAME=FAT:FQL_AUDITING_CLIENT_TEMPLATE.FAT&amp;display_string=Audit&amp;VAR:KEY=HKFWFSLATG&amp;VAR:QUERY=RkZfRUJJVERBX0lCKCdMVE1TJyw0MDA1MSk=&amp;WINDOW=FIRST_POPUP&amp;HEIGHT=450&amp;WIDTH=450&amp;START_MA","XIMIZED=FALSE&amp;VAR:CALENDAR=US&amp;VAR:SYMBOL=04916420&amp;VAR:INDEX=0"}</definedName>
    <definedName name="_9319__FDSAUDITLINK__" localSheetId="6" hidden="1">{"fdsup://directions/FAT Viewer?action=UPDATE&amp;creator=factset&amp;DYN_ARGS=TRUE&amp;DOC_NAME=FAT:FQL_AUDITING_CLIENT_TEMPLATE.FAT&amp;display_string=Audit&amp;VAR:KEY=TIXILWRYJU&amp;VAR:QUERY=RkZfRUJJVERBX0lCKCdMVE1TJyw0MDA1MCk=&amp;WINDOW=FIRST_POPUP&amp;HEIGHT=450&amp;WIDTH=450&amp;START_MA","XIMIZED=FALSE&amp;VAR:CALENDAR=US&amp;VAR:SYMBOL=04916420&amp;VAR:INDEX=0"}</definedName>
    <definedName name="_9319__FDSAUDITLINK__" hidden="1">{"fdsup://directions/FAT Viewer?action=UPDATE&amp;creator=factset&amp;DYN_ARGS=TRUE&amp;DOC_NAME=FAT:FQL_AUDITING_CLIENT_TEMPLATE.FAT&amp;display_string=Audit&amp;VAR:KEY=TIXILWRYJU&amp;VAR:QUERY=RkZfRUJJVERBX0lCKCdMVE1TJyw0MDA1MCk=&amp;WINDOW=FIRST_POPUP&amp;HEIGHT=450&amp;WIDTH=450&amp;START_MA","XIMIZED=FALSE&amp;VAR:CALENDAR=US&amp;VAR:SYMBOL=04916420&amp;VAR:INDEX=0"}</definedName>
    <definedName name="_932__FDSAUDITLINK__" localSheetId="6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2__FDSAUDITLINK__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20__FDSAUDITLINK__" localSheetId="6" hidden="1">{"fdsup://directions/FAT Viewer?action=UPDATE&amp;creator=factset&amp;DYN_ARGS=TRUE&amp;DOC_NAME=FAT:FQL_AUDITING_CLIENT_TEMPLATE.FAT&amp;display_string=Audit&amp;VAR:KEY=RIXWDYFKJU&amp;VAR:QUERY=RkZfRUJJVERBX0lCKCdMVE1TJyw0MDA0OSk=&amp;WINDOW=FIRST_POPUP&amp;HEIGHT=450&amp;WIDTH=450&amp;START_MA","XIMIZED=FALSE&amp;VAR:CALENDAR=US&amp;VAR:SYMBOL=04916420&amp;VAR:INDEX=0"}</definedName>
    <definedName name="_9320__FDSAUDITLINK__" hidden="1">{"fdsup://directions/FAT Viewer?action=UPDATE&amp;creator=factset&amp;DYN_ARGS=TRUE&amp;DOC_NAME=FAT:FQL_AUDITING_CLIENT_TEMPLATE.FAT&amp;display_string=Audit&amp;VAR:KEY=RIXWDYFKJU&amp;VAR:QUERY=RkZfRUJJVERBX0lCKCdMVE1TJyw0MDA0OSk=&amp;WINDOW=FIRST_POPUP&amp;HEIGHT=450&amp;WIDTH=450&amp;START_MA","XIMIZED=FALSE&amp;VAR:CALENDAR=US&amp;VAR:SYMBOL=04916420&amp;VAR:INDEX=0"}</definedName>
    <definedName name="_9321__FDSAUDITLINK__" localSheetId="6" hidden="1">{"fdsup://directions/FAT Viewer?action=UPDATE&amp;creator=factset&amp;DYN_ARGS=TRUE&amp;DOC_NAME=FAT:FQL_AUDITING_CLIENT_TEMPLATE.FAT&amp;display_string=Audit&amp;VAR:KEY=XIJSHSTUDE&amp;VAR:QUERY=RkZfRUJJVERBX0lCKCdMVE1TJyw0MDA0OCk=&amp;WINDOW=FIRST_POPUP&amp;HEIGHT=450&amp;WIDTH=450&amp;START_MA","XIMIZED=FALSE&amp;VAR:CALENDAR=US&amp;VAR:SYMBOL=04916420&amp;VAR:INDEX=0"}</definedName>
    <definedName name="_9321__FDSAUDITLINK__" hidden="1">{"fdsup://directions/FAT Viewer?action=UPDATE&amp;creator=factset&amp;DYN_ARGS=TRUE&amp;DOC_NAME=FAT:FQL_AUDITING_CLIENT_TEMPLATE.FAT&amp;display_string=Audit&amp;VAR:KEY=XIJSHSTUDE&amp;VAR:QUERY=RkZfRUJJVERBX0lCKCdMVE1TJyw0MDA0OCk=&amp;WINDOW=FIRST_POPUP&amp;HEIGHT=450&amp;WIDTH=450&amp;START_MA","XIMIZED=FALSE&amp;VAR:CALENDAR=US&amp;VAR:SYMBOL=04916420&amp;VAR:INDEX=0"}</definedName>
    <definedName name="_9322__FDSAUDITLINK__" localSheetId="6" hidden="1">{"fdsup://directions/FAT Viewer?action=UPDATE&amp;creator=factset&amp;DYN_ARGS=TRUE&amp;DOC_NAME=FAT:FQL_AUDITING_CLIENT_TEMPLATE.FAT&amp;display_string=Audit&amp;VAR:KEY=RCNCROFCNI&amp;VAR:QUERY=RkZfRUJJVERBX0lCKCdMVE1TJyw0MDA0Nyk=&amp;WINDOW=FIRST_POPUP&amp;HEIGHT=450&amp;WIDTH=450&amp;START_MA","XIMIZED=FALSE&amp;VAR:CALENDAR=US&amp;VAR:SYMBOL=04916420&amp;VAR:INDEX=0"}</definedName>
    <definedName name="_9322__FDSAUDITLINK__" hidden="1">{"fdsup://directions/FAT Viewer?action=UPDATE&amp;creator=factset&amp;DYN_ARGS=TRUE&amp;DOC_NAME=FAT:FQL_AUDITING_CLIENT_TEMPLATE.FAT&amp;display_string=Audit&amp;VAR:KEY=RCNCROFCNI&amp;VAR:QUERY=RkZfRUJJVERBX0lCKCdMVE1TJyw0MDA0Nyk=&amp;WINDOW=FIRST_POPUP&amp;HEIGHT=450&amp;WIDTH=450&amp;START_MA","XIMIZED=FALSE&amp;VAR:CALENDAR=US&amp;VAR:SYMBOL=04916420&amp;VAR:INDEX=0"}</definedName>
    <definedName name="_9323__FDSAUDITLINK__" localSheetId="6" hidden="1">{"fdsup://directions/FAT Viewer?action=UPDATE&amp;creator=factset&amp;DYN_ARGS=TRUE&amp;DOC_NAME=FAT:FQL_AUDITING_CLIENT_TEMPLATE.FAT&amp;display_string=Audit&amp;VAR:KEY=ZAJCLEXIZO&amp;VAR:QUERY=RkZfRUJJVERBX0lCKCdMVE1TJyw0MDA0Nik=&amp;WINDOW=FIRST_POPUP&amp;HEIGHT=450&amp;WIDTH=450&amp;START_MA","XIMIZED=FALSE&amp;VAR:CALENDAR=US&amp;VAR:SYMBOL=04916420&amp;VAR:INDEX=0"}</definedName>
    <definedName name="_9323__FDSAUDITLINK__" hidden="1">{"fdsup://directions/FAT Viewer?action=UPDATE&amp;creator=factset&amp;DYN_ARGS=TRUE&amp;DOC_NAME=FAT:FQL_AUDITING_CLIENT_TEMPLATE.FAT&amp;display_string=Audit&amp;VAR:KEY=ZAJCLEXIZO&amp;VAR:QUERY=RkZfRUJJVERBX0lCKCdMVE1TJyw0MDA0Nik=&amp;WINDOW=FIRST_POPUP&amp;HEIGHT=450&amp;WIDTH=450&amp;START_MA","XIMIZED=FALSE&amp;VAR:CALENDAR=US&amp;VAR:SYMBOL=04916420&amp;VAR:INDEX=0"}</definedName>
    <definedName name="_9324__FDSAUDITLINK__" localSheetId="6" hidden="1">{"fdsup://directions/FAT Viewer?action=UPDATE&amp;creator=factset&amp;DYN_ARGS=TRUE&amp;DOC_NAME=FAT:FQL_AUDITING_CLIENT_TEMPLATE.FAT&amp;display_string=Audit&amp;VAR:KEY=TENIJEHEVK&amp;VAR:QUERY=RkZfRUJJVERBX0lCKCdMVE1TJyw0MDA0NSk=&amp;WINDOW=FIRST_POPUP&amp;HEIGHT=450&amp;WIDTH=450&amp;START_MA","XIMIZED=FALSE&amp;VAR:CALENDAR=US&amp;VAR:SYMBOL=04916420&amp;VAR:INDEX=0"}</definedName>
    <definedName name="_9324__FDSAUDITLINK__" hidden="1">{"fdsup://directions/FAT Viewer?action=UPDATE&amp;creator=factset&amp;DYN_ARGS=TRUE&amp;DOC_NAME=FAT:FQL_AUDITING_CLIENT_TEMPLATE.FAT&amp;display_string=Audit&amp;VAR:KEY=TENIJEHEVK&amp;VAR:QUERY=RkZfRUJJVERBX0lCKCdMVE1TJyw0MDA0NSk=&amp;WINDOW=FIRST_POPUP&amp;HEIGHT=450&amp;WIDTH=450&amp;START_MA","XIMIZED=FALSE&amp;VAR:CALENDAR=US&amp;VAR:SYMBOL=04916420&amp;VAR:INDEX=0"}</definedName>
    <definedName name="_9325__FDSAUDITLINK__" localSheetId="6" hidden="1">{"fdsup://directions/FAT Viewer?action=UPDATE&amp;creator=factset&amp;DYN_ARGS=TRUE&amp;DOC_NAME=FAT:FQL_AUDITING_CLIENT_TEMPLATE.FAT&amp;display_string=Audit&amp;VAR:KEY=TGZYVKHYVO&amp;VAR:QUERY=RkZfRUJJVERBX0lCKCdMVE1TJyw0MDA0NCk=&amp;WINDOW=FIRST_POPUP&amp;HEIGHT=450&amp;WIDTH=450&amp;START_MA","XIMIZED=FALSE&amp;VAR:CALENDAR=US&amp;VAR:SYMBOL=04916420&amp;VAR:INDEX=0"}</definedName>
    <definedName name="_9325__FDSAUDITLINK__" hidden="1">{"fdsup://directions/FAT Viewer?action=UPDATE&amp;creator=factset&amp;DYN_ARGS=TRUE&amp;DOC_NAME=FAT:FQL_AUDITING_CLIENT_TEMPLATE.FAT&amp;display_string=Audit&amp;VAR:KEY=TGZYVKHYVO&amp;VAR:QUERY=RkZfRUJJVERBX0lCKCdMVE1TJyw0MDA0NCk=&amp;WINDOW=FIRST_POPUP&amp;HEIGHT=450&amp;WIDTH=450&amp;START_MA","XIMIZED=FALSE&amp;VAR:CALENDAR=US&amp;VAR:SYMBOL=04916420&amp;VAR:INDEX=0"}</definedName>
    <definedName name="_9326__FDSAUDITLINK__" localSheetId="6" hidden="1">{"fdsup://directions/FAT Viewer?action=UPDATE&amp;creator=factset&amp;DYN_ARGS=TRUE&amp;DOC_NAME=FAT:FQL_AUDITING_CLIENT_TEMPLATE.FAT&amp;display_string=Audit&amp;VAR:KEY=BYLWXOJEVG&amp;VAR:QUERY=RkZfRUJJVERBX0lCKCdMVE1TJyw0MDA0Myk=&amp;WINDOW=FIRST_POPUP&amp;HEIGHT=450&amp;WIDTH=450&amp;START_MA","XIMIZED=FALSE&amp;VAR:CALENDAR=US&amp;VAR:SYMBOL=04916420&amp;VAR:INDEX=0"}</definedName>
    <definedName name="_9326__FDSAUDITLINK__" hidden="1">{"fdsup://directions/FAT Viewer?action=UPDATE&amp;creator=factset&amp;DYN_ARGS=TRUE&amp;DOC_NAME=FAT:FQL_AUDITING_CLIENT_TEMPLATE.FAT&amp;display_string=Audit&amp;VAR:KEY=BYLWXOJEVG&amp;VAR:QUERY=RkZfRUJJVERBX0lCKCdMVE1TJyw0MDA0Myk=&amp;WINDOW=FIRST_POPUP&amp;HEIGHT=450&amp;WIDTH=450&amp;START_MA","XIMIZED=FALSE&amp;VAR:CALENDAR=US&amp;VAR:SYMBOL=04916420&amp;VAR:INDEX=0"}</definedName>
    <definedName name="_9327__FDSAUDITLINK__" localSheetId="6" hidden="1">{"fdsup://directions/FAT Viewer?action=UPDATE&amp;creator=factset&amp;DYN_ARGS=TRUE&amp;DOC_NAME=FAT:FQL_AUDITING_CLIENT_TEMPLATE.FAT&amp;display_string=Audit&amp;VAR:KEY=FOLEJWVIRO&amp;VAR:QUERY=RkZfRUJJVERBX0lCKCdMVE1TJyw0MDA0Mik=&amp;WINDOW=FIRST_POPUP&amp;HEIGHT=450&amp;WIDTH=450&amp;START_MA","XIMIZED=FALSE&amp;VAR:CALENDAR=US&amp;VAR:SYMBOL=04916420&amp;VAR:INDEX=0"}</definedName>
    <definedName name="_9327__FDSAUDITLINK__" hidden="1">{"fdsup://directions/FAT Viewer?action=UPDATE&amp;creator=factset&amp;DYN_ARGS=TRUE&amp;DOC_NAME=FAT:FQL_AUDITING_CLIENT_TEMPLATE.FAT&amp;display_string=Audit&amp;VAR:KEY=FOLEJWVIRO&amp;VAR:QUERY=RkZfRUJJVERBX0lCKCdMVE1TJyw0MDA0Mik=&amp;WINDOW=FIRST_POPUP&amp;HEIGHT=450&amp;WIDTH=450&amp;START_MA","XIMIZED=FALSE&amp;VAR:CALENDAR=US&amp;VAR:SYMBOL=04916420&amp;VAR:INDEX=0"}</definedName>
    <definedName name="_9328__FDSAUDITLINK__" localSheetId="6" hidden="1">{"fdsup://directions/FAT Viewer?action=UPDATE&amp;creator=factset&amp;DYN_ARGS=TRUE&amp;DOC_NAME=FAT:FQL_AUDITING_CLIENT_TEMPLATE.FAT&amp;display_string=Audit&amp;VAR:KEY=FGBEXAPQDO&amp;VAR:QUERY=RkZfRUJJVERBX0lCKCdMVE1TJyw0MDA0MSk=&amp;WINDOW=FIRST_POPUP&amp;HEIGHT=450&amp;WIDTH=450&amp;START_MA","XIMIZED=FALSE&amp;VAR:CALENDAR=US&amp;VAR:SYMBOL=04916420&amp;VAR:INDEX=0"}</definedName>
    <definedName name="_9328__FDSAUDITLINK__" hidden="1">{"fdsup://directions/FAT Viewer?action=UPDATE&amp;creator=factset&amp;DYN_ARGS=TRUE&amp;DOC_NAME=FAT:FQL_AUDITING_CLIENT_TEMPLATE.FAT&amp;display_string=Audit&amp;VAR:KEY=FGBEXAPQDO&amp;VAR:QUERY=RkZfRUJJVERBX0lCKCdMVE1TJyw0MDA0MSk=&amp;WINDOW=FIRST_POPUP&amp;HEIGHT=450&amp;WIDTH=450&amp;START_MA","XIMIZED=FALSE&amp;VAR:CALENDAR=US&amp;VAR:SYMBOL=04916420&amp;VAR:INDEX=0"}</definedName>
    <definedName name="_9329__FDSAUDITLINK__" localSheetId="6" hidden="1">{"fdsup://directions/FAT Viewer?action=UPDATE&amp;creator=factset&amp;DYN_ARGS=TRUE&amp;DOC_NAME=FAT:FQL_AUDITING_CLIENT_TEMPLATE.FAT&amp;display_string=Audit&amp;VAR:KEY=NIDCLCHKRY&amp;VAR:QUERY=RkZfRUJJVERBX0lCKCdMVE1TJyw0MDA0MCk=&amp;WINDOW=FIRST_POPUP&amp;HEIGHT=450&amp;WIDTH=450&amp;START_MA","XIMIZED=FALSE&amp;VAR:CALENDAR=US&amp;VAR:SYMBOL=04916420&amp;VAR:INDEX=0"}</definedName>
    <definedName name="_9329__FDSAUDITLINK__" hidden="1">{"fdsup://directions/FAT Viewer?action=UPDATE&amp;creator=factset&amp;DYN_ARGS=TRUE&amp;DOC_NAME=FAT:FQL_AUDITING_CLIENT_TEMPLATE.FAT&amp;display_string=Audit&amp;VAR:KEY=NIDCLCHKRY&amp;VAR:QUERY=RkZfRUJJVERBX0lCKCdMVE1TJyw0MDA0MCk=&amp;WINDOW=FIRST_POPUP&amp;HEIGHT=450&amp;WIDTH=450&amp;START_MA","XIMIZED=FALSE&amp;VAR:CALENDAR=US&amp;VAR:SYMBOL=04916420&amp;VAR:INDEX=0"}</definedName>
    <definedName name="_933__FDSAUDITLINK__" localSheetId="6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3__FDSAUDITLINK__" hidden="1">{"fdsup://directions/FAT%20Viewer?VAR:PED=LTM&amp;VAR:AUDIT_MODE=SUMMARY&amp;VAR:PERIOD=FIXED&amp;VAR:AUDIT_ID=00000117&amp;VAR:DATE=20070803&amp;action=UPDATE&amp;creator=factset&amp;DOC_NAME=FAT:FMA_audit_SUMMARY.fat&amp;DISPLAY_STRING=Display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30__FDSAUDITLINK__" localSheetId="6" hidden="1">{"fdsup://directions/FAT Viewer?action=UPDATE&amp;creator=factset&amp;DYN_ARGS=TRUE&amp;DOC_NAME=FAT:FQL_AUDITING_CLIENT_TEMPLATE.FAT&amp;display_string=Audit&amp;VAR:KEY=BANIVOJKPE&amp;VAR:QUERY=RkZfRUJJVERBX0lCKCdMVE1TJyw0MDAzOSk=&amp;WINDOW=FIRST_POPUP&amp;HEIGHT=450&amp;WIDTH=450&amp;START_MA","XIMIZED=FALSE&amp;VAR:CALENDAR=US&amp;VAR:SYMBOL=04916420&amp;VAR:INDEX=0"}</definedName>
    <definedName name="_9330__FDSAUDITLINK__" hidden="1">{"fdsup://directions/FAT Viewer?action=UPDATE&amp;creator=factset&amp;DYN_ARGS=TRUE&amp;DOC_NAME=FAT:FQL_AUDITING_CLIENT_TEMPLATE.FAT&amp;display_string=Audit&amp;VAR:KEY=BANIVOJKPE&amp;VAR:QUERY=RkZfRUJJVERBX0lCKCdMVE1TJyw0MDAzOSk=&amp;WINDOW=FIRST_POPUP&amp;HEIGHT=450&amp;WIDTH=450&amp;START_MA","XIMIZED=FALSE&amp;VAR:CALENDAR=US&amp;VAR:SYMBOL=04916420&amp;VAR:INDEX=0"}</definedName>
    <definedName name="_9331__FDSAUDITLINK__" localSheetId="6" hidden="1">{"fdsup://directions/FAT Viewer?action=UPDATE&amp;creator=factset&amp;DYN_ARGS=TRUE&amp;DOC_NAME=FAT:FQL_AUDITING_CLIENT_TEMPLATE.FAT&amp;display_string=Audit&amp;VAR:KEY=ZYJSREPYJY&amp;VAR:QUERY=RkZfRUJJVERBX0lCKCdMVE1TJyw0MDAzOCk=&amp;WINDOW=FIRST_POPUP&amp;HEIGHT=450&amp;WIDTH=450&amp;START_MA","XIMIZED=FALSE&amp;VAR:CALENDAR=US&amp;VAR:SYMBOL=04916420&amp;VAR:INDEX=0"}</definedName>
    <definedName name="_9331__FDSAUDITLINK__" hidden="1">{"fdsup://directions/FAT Viewer?action=UPDATE&amp;creator=factset&amp;DYN_ARGS=TRUE&amp;DOC_NAME=FAT:FQL_AUDITING_CLIENT_TEMPLATE.FAT&amp;display_string=Audit&amp;VAR:KEY=ZYJSREPYJY&amp;VAR:QUERY=RkZfRUJJVERBX0lCKCdMVE1TJyw0MDAzOCk=&amp;WINDOW=FIRST_POPUP&amp;HEIGHT=450&amp;WIDTH=450&amp;START_MA","XIMIZED=FALSE&amp;VAR:CALENDAR=US&amp;VAR:SYMBOL=04916420&amp;VAR:INDEX=0"}</definedName>
    <definedName name="_9332__FDSAUDITLINK__" localSheetId="6" hidden="1">{"fdsup://directions/FAT Viewer?action=UPDATE&amp;creator=factset&amp;DYN_ARGS=TRUE&amp;DOC_NAME=FAT:FQL_AUDITING_CLIENT_TEMPLATE.FAT&amp;display_string=Audit&amp;VAR:KEY=DOZMBOHYRO&amp;VAR:QUERY=RkZfRUJJVERBX0lCKCdMVE1TJyw0MDAzNyk=&amp;WINDOW=FIRST_POPUP&amp;HEIGHT=450&amp;WIDTH=450&amp;START_MA","XIMIZED=FALSE&amp;VAR:CALENDAR=US&amp;VAR:SYMBOL=04916420&amp;VAR:INDEX=0"}</definedName>
    <definedName name="_9332__FDSAUDITLINK__" hidden="1">{"fdsup://directions/FAT Viewer?action=UPDATE&amp;creator=factset&amp;DYN_ARGS=TRUE&amp;DOC_NAME=FAT:FQL_AUDITING_CLIENT_TEMPLATE.FAT&amp;display_string=Audit&amp;VAR:KEY=DOZMBOHYRO&amp;VAR:QUERY=RkZfRUJJVERBX0lCKCdMVE1TJyw0MDAzNyk=&amp;WINDOW=FIRST_POPUP&amp;HEIGHT=450&amp;WIDTH=450&amp;START_MA","XIMIZED=FALSE&amp;VAR:CALENDAR=US&amp;VAR:SYMBOL=04916420&amp;VAR:INDEX=0"}</definedName>
    <definedName name="_9333__FDSAUDITLINK__" localSheetId="6" hidden="1">{"fdsup://directions/FAT Viewer?action=UPDATE&amp;creator=factset&amp;DYN_ARGS=TRUE&amp;DOC_NAME=FAT:FQL_AUDITING_CLIENT_TEMPLATE.FAT&amp;display_string=Audit&amp;VAR:KEY=ZKRCRATYXY&amp;VAR:QUERY=RkZfRUJJVERBX0lCKCdMVE1TJyw0MDAzNik=&amp;WINDOW=FIRST_POPUP&amp;HEIGHT=450&amp;WIDTH=450&amp;START_MA","XIMIZED=FALSE&amp;VAR:CALENDAR=US&amp;VAR:SYMBOL=04916420&amp;VAR:INDEX=0"}</definedName>
    <definedName name="_9333__FDSAUDITLINK__" hidden="1">{"fdsup://directions/FAT Viewer?action=UPDATE&amp;creator=factset&amp;DYN_ARGS=TRUE&amp;DOC_NAME=FAT:FQL_AUDITING_CLIENT_TEMPLATE.FAT&amp;display_string=Audit&amp;VAR:KEY=ZKRCRATYXY&amp;VAR:QUERY=RkZfRUJJVERBX0lCKCdMVE1TJyw0MDAzNik=&amp;WINDOW=FIRST_POPUP&amp;HEIGHT=450&amp;WIDTH=450&amp;START_MA","XIMIZED=FALSE&amp;VAR:CALENDAR=US&amp;VAR:SYMBOL=04916420&amp;VAR:INDEX=0"}</definedName>
    <definedName name="_9334__FDSAUDITLINK__" localSheetId="6" hidden="1">{"fdsup://directions/FAT Viewer?action=UPDATE&amp;creator=factset&amp;DYN_ARGS=TRUE&amp;DOC_NAME=FAT:FQL_AUDITING_CLIENT_TEMPLATE.FAT&amp;display_string=Audit&amp;VAR:KEY=HCBSNUNSNS&amp;VAR:QUERY=RkZfRUJJVERBX0lCKCdMVE1TJyw0MDAzNSk=&amp;WINDOW=FIRST_POPUP&amp;HEIGHT=450&amp;WIDTH=450&amp;START_MA","XIMIZED=FALSE&amp;VAR:CALENDAR=US&amp;VAR:SYMBOL=04916420&amp;VAR:INDEX=0"}</definedName>
    <definedName name="_9334__FDSAUDITLINK__" hidden="1">{"fdsup://directions/FAT Viewer?action=UPDATE&amp;creator=factset&amp;DYN_ARGS=TRUE&amp;DOC_NAME=FAT:FQL_AUDITING_CLIENT_TEMPLATE.FAT&amp;display_string=Audit&amp;VAR:KEY=HCBSNUNSNS&amp;VAR:QUERY=RkZfRUJJVERBX0lCKCdMVE1TJyw0MDAzNSk=&amp;WINDOW=FIRST_POPUP&amp;HEIGHT=450&amp;WIDTH=450&amp;START_MA","XIMIZED=FALSE&amp;VAR:CALENDAR=US&amp;VAR:SYMBOL=04916420&amp;VAR:INDEX=0"}</definedName>
    <definedName name="_9335__FDSAUDITLINK__" localSheetId="6" hidden="1">{"fdsup://directions/FAT Viewer?action=UPDATE&amp;creator=factset&amp;DYN_ARGS=TRUE&amp;DOC_NAME=FAT:FQL_AUDITING_CLIENT_TEMPLATE.FAT&amp;display_string=Audit&amp;VAR:KEY=DKNEXETGFY&amp;VAR:QUERY=RkZfRUJJVERBX0lCKCdMVE1TJyw0MDAzNCk=&amp;WINDOW=FIRST_POPUP&amp;HEIGHT=450&amp;WIDTH=450&amp;START_MA","XIMIZED=FALSE&amp;VAR:CALENDAR=US&amp;VAR:SYMBOL=04916420&amp;VAR:INDEX=0"}</definedName>
    <definedName name="_9335__FDSAUDITLINK__" hidden="1">{"fdsup://directions/FAT Viewer?action=UPDATE&amp;creator=factset&amp;DYN_ARGS=TRUE&amp;DOC_NAME=FAT:FQL_AUDITING_CLIENT_TEMPLATE.FAT&amp;display_string=Audit&amp;VAR:KEY=DKNEXETGFY&amp;VAR:QUERY=RkZfRUJJVERBX0lCKCdMVE1TJyw0MDAzNCk=&amp;WINDOW=FIRST_POPUP&amp;HEIGHT=450&amp;WIDTH=450&amp;START_MA","XIMIZED=FALSE&amp;VAR:CALENDAR=US&amp;VAR:SYMBOL=04916420&amp;VAR:INDEX=0"}</definedName>
    <definedName name="_9336__FDSAUDITLINK__" localSheetId="6" hidden="1">{"fdsup://directions/FAT Viewer?action=UPDATE&amp;creator=factset&amp;DYN_ARGS=TRUE&amp;DOC_NAME=FAT:FQL_AUDITING_CLIENT_TEMPLATE.FAT&amp;display_string=Audit&amp;VAR:KEY=BYDMVEHYBW&amp;VAR:QUERY=RkZfRUJJVERBX0lCKCdMVE1TJyw0MDAzMyk=&amp;WINDOW=FIRST_POPUP&amp;HEIGHT=450&amp;WIDTH=450&amp;START_MA","XIMIZED=FALSE&amp;VAR:CALENDAR=US&amp;VAR:SYMBOL=04916420&amp;VAR:INDEX=0"}</definedName>
    <definedName name="_9336__FDSAUDITLINK__" hidden="1">{"fdsup://directions/FAT Viewer?action=UPDATE&amp;creator=factset&amp;DYN_ARGS=TRUE&amp;DOC_NAME=FAT:FQL_AUDITING_CLIENT_TEMPLATE.FAT&amp;display_string=Audit&amp;VAR:KEY=BYDMVEHYBW&amp;VAR:QUERY=RkZfRUJJVERBX0lCKCdMVE1TJyw0MDAzMyk=&amp;WINDOW=FIRST_POPUP&amp;HEIGHT=450&amp;WIDTH=450&amp;START_MA","XIMIZED=FALSE&amp;VAR:CALENDAR=US&amp;VAR:SYMBOL=04916420&amp;VAR:INDEX=0"}</definedName>
    <definedName name="_9337__FDSAUDITLINK__" localSheetId="6" hidden="1">{"fdsup://directions/FAT Viewer?action=UPDATE&amp;creator=factset&amp;DYN_ARGS=TRUE&amp;DOC_NAME=FAT:FQL_AUDITING_CLIENT_TEMPLATE.FAT&amp;display_string=Audit&amp;VAR:KEY=JAZULSJCRY&amp;VAR:QUERY=RkZfRUJJVERBX0lCKCdMVE1TJyw0MDAzMik=&amp;WINDOW=FIRST_POPUP&amp;HEIGHT=450&amp;WIDTH=450&amp;START_MA","XIMIZED=FALSE&amp;VAR:CALENDAR=US&amp;VAR:SYMBOL=04916420&amp;VAR:INDEX=0"}</definedName>
    <definedName name="_9337__FDSAUDITLINK__" hidden="1">{"fdsup://directions/FAT Viewer?action=UPDATE&amp;creator=factset&amp;DYN_ARGS=TRUE&amp;DOC_NAME=FAT:FQL_AUDITING_CLIENT_TEMPLATE.FAT&amp;display_string=Audit&amp;VAR:KEY=JAZULSJCRY&amp;VAR:QUERY=RkZfRUJJVERBX0lCKCdMVE1TJyw0MDAzMik=&amp;WINDOW=FIRST_POPUP&amp;HEIGHT=450&amp;WIDTH=450&amp;START_MA","XIMIZED=FALSE&amp;VAR:CALENDAR=US&amp;VAR:SYMBOL=04916420&amp;VAR:INDEX=0"}</definedName>
    <definedName name="_9338__FDSAUDITLINK__" localSheetId="6" hidden="1">{"fdsup://directions/FAT Viewer?action=UPDATE&amp;creator=factset&amp;DYN_ARGS=TRUE&amp;DOC_NAME=FAT:FQL_AUDITING_CLIENT_TEMPLATE.FAT&amp;display_string=Audit&amp;VAR:KEY=RCZWTQVQNA&amp;VAR:QUERY=RkZfRUJJVERBX0lCKCdMVE1TJyw0MDAzMSk=&amp;WINDOW=FIRST_POPUP&amp;HEIGHT=450&amp;WIDTH=450&amp;START_MA","XIMIZED=FALSE&amp;VAR:CALENDAR=US&amp;VAR:SYMBOL=04916420&amp;VAR:INDEX=0"}</definedName>
    <definedName name="_9338__FDSAUDITLINK__" hidden="1">{"fdsup://directions/FAT Viewer?action=UPDATE&amp;creator=factset&amp;DYN_ARGS=TRUE&amp;DOC_NAME=FAT:FQL_AUDITING_CLIENT_TEMPLATE.FAT&amp;display_string=Audit&amp;VAR:KEY=RCZWTQVQNA&amp;VAR:QUERY=RkZfRUJJVERBX0lCKCdMVE1TJyw0MDAzMSk=&amp;WINDOW=FIRST_POPUP&amp;HEIGHT=450&amp;WIDTH=450&amp;START_MA","XIMIZED=FALSE&amp;VAR:CALENDAR=US&amp;VAR:SYMBOL=04916420&amp;VAR:INDEX=0"}</definedName>
    <definedName name="_9339__FDSAUDITLINK__" localSheetId="6" hidden="1">{"fdsup://directions/FAT Viewer?action=UPDATE&amp;creator=factset&amp;DYN_ARGS=TRUE&amp;DOC_NAME=FAT:FQL_AUDITING_CLIENT_TEMPLATE.FAT&amp;display_string=Audit&amp;VAR:KEY=LCZAXGZQDM&amp;VAR:QUERY=RkZfRUJJVERBX0lCKCdMVE1TJyw0MDAzMCk=&amp;WINDOW=FIRST_POPUP&amp;HEIGHT=450&amp;WIDTH=450&amp;START_MA","XIMIZED=FALSE&amp;VAR:CALENDAR=US&amp;VAR:SYMBOL=04916420&amp;VAR:INDEX=0"}</definedName>
    <definedName name="_9339__FDSAUDITLINK__" hidden="1">{"fdsup://directions/FAT Viewer?action=UPDATE&amp;creator=factset&amp;DYN_ARGS=TRUE&amp;DOC_NAME=FAT:FQL_AUDITING_CLIENT_TEMPLATE.FAT&amp;display_string=Audit&amp;VAR:KEY=LCZAXGZQDM&amp;VAR:QUERY=RkZfRUJJVERBX0lCKCdMVE1TJyw0MDAzMCk=&amp;WINDOW=FIRST_POPUP&amp;HEIGHT=450&amp;WIDTH=450&amp;START_MA","XIMIZED=FALSE&amp;VAR:CALENDAR=US&amp;VAR:SYMBOL=04916420&amp;VAR:INDEX=0"}</definedName>
    <definedName name="_934__FDSAUDITLINK__" localSheetId="6" hidden="1">{"fdsup://directions/FAT%20Viewer?VAR:PED=LTM&amp;VAR:AUDIT_MODE=SUMMARY&amp;VAR:PERIOD=FIXED&amp;VAR:AUDIT_ID=00000117&amp;VAR:DATE=20070802&amp;action=UPDATE&amp;creator=factset&amp;DOC_NAME=FAT:FMA_audit_SUMMARY.fat&amp;DISPLAY_STRING=Display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4__FDSAUDITLINK__" hidden="1">{"fdsup://directions/FAT%20Viewer?VAR:PED=LTM&amp;VAR:AUDIT_MODE=SUMMARY&amp;VAR:PERIOD=FIXED&amp;VAR:AUDIT_ID=00000117&amp;VAR:DATE=20070802&amp;action=UPDATE&amp;creator=factset&amp;DOC_NAME=FAT:FMA_audit_SUMMARY.fat&amp;DISPLAY_STRING=Display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40__FDSAUDITLINK__" localSheetId="6" hidden="1">{"fdsup://directions/FAT Viewer?action=UPDATE&amp;creator=factset&amp;DYN_ARGS=TRUE&amp;DOC_NAME=FAT:FQL_AUDITING_CLIENT_TEMPLATE.FAT&amp;display_string=Audit&amp;VAR:KEY=ROPQLQPGDY&amp;VAR:QUERY=RkZfRUJJVERBX0lCKCdMVE1TJyw0MDAyOSk=&amp;WINDOW=FIRST_POPUP&amp;HEIGHT=450&amp;WIDTH=450&amp;START_MA","XIMIZED=FALSE&amp;VAR:CALENDAR=US&amp;VAR:SYMBOL=04916420&amp;VAR:INDEX=0"}</definedName>
    <definedName name="_9340__FDSAUDITLINK__" hidden="1">{"fdsup://directions/FAT Viewer?action=UPDATE&amp;creator=factset&amp;DYN_ARGS=TRUE&amp;DOC_NAME=FAT:FQL_AUDITING_CLIENT_TEMPLATE.FAT&amp;display_string=Audit&amp;VAR:KEY=ROPQLQPGDY&amp;VAR:QUERY=RkZfRUJJVERBX0lCKCdMVE1TJyw0MDAyOSk=&amp;WINDOW=FIRST_POPUP&amp;HEIGHT=450&amp;WIDTH=450&amp;START_MA","XIMIZED=FALSE&amp;VAR:CALENDAR=US&amp;VAR:SYMBOL=04916420&amp;VAR:INDEX=0"}</definedName>
    <definedName name="_9341__FDSAUDITLINK__" localSheetId="6" hidden="1">{"fdsup://directions/FAT Viewer?action=UPDATE&amp;creator=factset&amp;DYN_ARGS=TRUE&amp;DOC_NAME=FAT:FQL_AUDITING_CLIENT_TEMPLATE.FAT&amp;display_string=Audit&amp;VAR:KEY=FGDYTGRMPS&amp;VAR:QUERY=RkZfRUJJVERBX0lCKCdMVE1TJyw0MDAyOCk=&amp;WINDOW=FIRST_POPUP&amp;HEIGHT=450&amp;WIDTH=450&amp;START_MA","XIMIZED=FALSE&amp;VAR:CALENDAR=US&amp;VAR:SYMBOL=04916420&amp;VAR:INDEX=0"}</definedName>
    <definedName name="_9341__FDSAUDITLINK__" hidden="1">{"fdsup://directions/FAT Viewer?action=UPDATE&amp;creator=factset&amp;DYN_ARGS=TRUE&amp;DOC_NAME=FAT:FQL_AUDITING_CLIENT_TEMPLATE.FAT&amp;display_string=Audit&amp;VAR:KEY=FGDYTGRMPS&amp;VAR:QUERY=RkZfRUJJVERBX0lCKCdMVE1TJyw0MDAyOCk=&amp;WINDOW=FIRST_POPUP&amp;HEIGHT=450&amp;WIDTH=450&amp;START_MA","XIMIZED=FALSE&amp;VAR:CALENDAR=US&amp;VAR:SYMBOL=04916420&amp;VAR:INDEX=0"}</definedName>
    <definedName name="_9342__FDSAUDITLINK__" localSheetId="6" hidden="1">{"fdsup://directions/FAT Viewer?action=UPDATE&amp;creator=factset&amp;DYN_ARGS=TRUE&amp;DOC_NAME=FAT:FQL_AUDITING_CLIENT_TEMPLATE.FAT&amp;display_string=Audit&amp;VAR:KEY=LEXMZCBYZU&amp;VAR:QUERY=RkZfRUJJVERBX0lCKCdMVE1TJyw0MDAyNyk=&amp;WINDOW=FIRST_POPUP&amp;HEIGHT=450&amp;WIDTH=450&amp;START_MA","XIMIZED=FALSE&amp;VAR:CALENDAR=US&amp;VAR:SYMBOL=04916420&amp;VAR:INDEX=0"}</definedName>
    <definedName name="_9342__FDSAUDITLINK__" hidden="1">{"fdsup://directions/FAT Viewer?action=UPDATE&amp;creator=factset&amp;DYN_ARGS=TRUE&amp;DOC_NAME=FAT:FQL_AUDITING_CLIENT_TEMPLATE.FAT&amp;display_string=Audit&amp;VAR:KEY=LEXMZCBYZU&amp;VAR:QUERY=RkZfRUJJVERBX0lCKCdMVE1TJyw0MDAyNyk=&amp;WINDOW=FIRST_POPUP&amp;HEIGHT=450&amp;WIDTH=450&amp;START_MA","XIMIZED=FALSE&amp;VAR:CALENDAR=US&amp;VAR:SYMBOL=04916420&amp;VAR:INDEX=0"}</definedName>
    <definedName name="_9343__FDSAUDITLINK__" localSheetId="6" hidden="1">{"fdsup://directions/FAT Viewer?action=UPDATE&amp;creator=factset&amp;DYN_ARGS=TRUE&amp;DOC_NAME=FAT:FQL_AUDITING_CLIENT_TEMPLATE.FAT&amp;display_string=Audit&amp;VAR:KEY=NGFYTSZSVM&amp;VAR:QUERY=RkZfRUJJVERBX0lCKCdMVE1TJyw0MDAyNik=&amp;WINDOW=FIRST_POPUP&amp;HEIGHT=450&amp;WIDTH=450&amp;START_MA","XIMIZED=FALSE&amp;VAR:CALENDAR=US&amp;VAR:SYMBOL=04916420&amp;VAR:INDEX=0"}</definedName>
    <definedName name="_9343__FDSAUDITLINK__" hidden="1">{"fdsup://directions/FAT Viewer?action=UPDATE&amp;creator=factset&amp;DYN_ARGS=TRUE&amp;DOC_NAME=FAT:FQL_AUDITING_CLIENT_TEMPLATE.FAT&amp;display_string=Audit&amp;VAR:KEY=NGFYTSZSVM&amp;VAR:QUERY=RkZfRUJJVERBX0lCKCdMVE1TJyw0MDAyNik=&amp;WINDOW=FIRST_POPUP&amp;HEIGHT=450&amp;WIDTH=450&amp;START_MA","XIMIZED=FALSE&amp;VAR:CALENDAR=US&amp;VAR:SYMBOL=04916420&amp;VAR:INDEX=0"}</definedName>
    <definedName name="_9344__FDSAUDITLINK__" localSheetId="6" hidden="1">{"fdsup://directions/FAT Viewer?action=UPDATE&amp;creator=factset&amp;DYN_ARGS=TRUE&amp;DOC_NAME=FAT:FQL_AUDITING_CLIENT_TEMPLATE.FAT&amp;display_string=Audit&amp;VAR:KEY=TKBILYDULA&amp;VAR:QUERY=RkZfRUJJVERBX0lCKCdMVE1TJyw0MDAyNSk=&amp;WINDOW=FIRST_POPUP&amp;HEIGHT=450&amp;WIDTH=450&amp;START_MA","XIMIZED=FALSE&amp;VAR:CALENDAR=US&amp;VAR:SYMBOL=04916420&amp;VAR:INDEX=0"}</definedName>
    <definedName name="_9344__FDSAUDITLINK__" hidden="1">{"fdsup://directions/FAT Viewer?action=UPDATE&amp;creator=factset&amp;DYN_ARGS=TRUE&amp;DOC_NAME=FAT:FQL_AUDITING_CLIENT_TEMPLATE.FAT&amp;display_string=Audit&amp;VAR:KEY=TKBILYDULA&amp;VAR:QUERY=RkZfRUJJVERBX0lCKCdMVE1TJyw0MDAyNSk=&amp;WINDOW=FIRST_POPUP&amp;HEIGHT=450&amp;WIDTH=450&amp;START_MA","XIMIZED=FALSE&amp;VAR:CALENDAR=US&amp;VAR:SYMBOL=04916420&amp;VAR:INDEX=0"}</definedName>
    <definedName name="_9345__FDSAUDITLINK__" localSheetId="6" hidden="1">{"fdsup://directions/FAT Viewer?action=UPDATE&amp;creator=factset&amp;DYN_ARGS=TRUE&amp;DOC_NAME=FAT:FQL_AUDITING_CLIENT_TEMPLATE.FAT&amp;display_string=Audit&amp;VAR:KEY=TSPKLQBGTY&amp;VAR:QUERY=RkZfRUJJVERBX0lCKCdMVE1TJyw0MDAyNCk=&amp;WINDOW=FIRST_POPUP&amp;HEIGHT=450&amp;WIDTH=450&amp;START_MA","XIMIZED=FALSE&amp;VAR:CALENDAR=US&amp;VAR:SYMBOL=04916420&amp;VAR:INDEX=0"}</definedName>
    <definedName name="_9345__FDSAUDITLINK__" hidden="1">{"fdsup://directions/FAT Viewer?action=UPDATE&amp;creator=factset&amp;DYN_ARGS=TRUE&amp;DOC_NAME=FAT:FQL_AUDITING_CLIENT_TEMPLATE.FAT&amp;display_string=Audit&amp;VAR:KEY=TSPKLQBGTY&amp;VAR:QUERY=RkZfRUJJVERBX0lCKCdMVE1TJyw0MDAyNCk=&amp;WINDOW=FIRST_POPUP&amp;HEIGHT=450&amp;WIDTH=450&amp;START_MA","XIMIZED=FALSE&amp;VAR:CALENDAR=US&amp;VAR:SYMBOL=04916420&amp;VAR:INDEX=0"}</definedName>
    <definedName name="_9346__FDSAUDITLINK__" localSheetId="6" hidden="1">{"fdsup://directions/FAT Viewer?action=UPDATE&amp;creator=factset&amp;DYN_ARGS=TRUE&amp;DOC_NAME=FAT:FQL_AUDITING_CLIENT_TEMPLATE.FAT&amp;display_string=Audit&amp;VAR:KEY=DKFQPUBULU&amp;VAR:QUERY=RkZfRUJJVERBX0lCKCdMVE1TJyw0MDAyMyk=&amp;WINDOW=FIRST_POPUP&amp;HEIGHT=450&amp;WIDTH=450&amp;START_MA","XIMIZED=FALSE&amp;VAR:CALENDAR=US&amp;VAR:SYMBOL=04916420&amp;VAR:INDEX=0"}</definedName>
    <definedName name="_9346__FDSAUDITLINK__" hidden="1">{"fdsup://directions/FAT Viewer?action=UPDATE&amp;creator=factset&amp;DYN_ARGS=TRUE&amp;DOC_NAME=FAT:FQL_AUDITING_CLIENT_TEMPLATE.FAT&amp;display_string=Audit&amp;VAR:KEY=DKFQPUBULU&amp;VAR:QUERY=RkZfRUJJVERBX0lCKCdMVE1TJyw0MDAyMyk=&amp;WINDOW=FIRST_POPUP&amp;HEIGHT=450&amp;WIDTH=450&amp;START_MA","XIMIZED=FALSE&amp;VAR:CALENDAR=US&amp;VAR:SYMBOL=04916420&amp;VAR:INDEX=0"}</definedName>
    <definedName name="_9347__FDSAUDITLINK__" localSheetId="6" hidden="1">{"fdsup://directions/FAT Viewer?action=UPDATE&amp;creator=factset&amp;DYN_ARGS=TRUE&amp;DOC_NAME=FAT:FQL_AUDITING_CLIENT_TEMPLATE.FAT&amp;display_string=Audit&amp;VAR:KEY=DUBWROJQTS&amp;VAR:QUERY=RkZfRUJJVERBX0lCKCdMVE1TJyw0MDAyMik=&amp;WINDOW=FIRST_POPUP&amp;HEIGHT=450&amp;WIDTH=450&amp;START_MA","XIMIZED=FALSE&amp;VAR:CALENDAR=US&amp;VAR:SYMBOL=04916420&amp;VAR:INDEX=0"}</definedName>
    <definedName name="_9347__FDSAUDITLINK__" hidden="1">{"fdsup://directions/FAT Viewer?action=UPDATE&amp;creator=factset&amp;DYN_ARGS=TRUE&amp;DOC_NAME=FAT:FQL_AUDITING_CLIENT_TEMPLATE.FAT&amp;display_string=Audit&amp;VAR:KEY=DUBWROJQTS&amp;VAR:QUERY=RkZfRUJJVERBX0lCKCdMVE1TJyw0MDAyMik=&amp;WINDOW=FIRST_POPUP&amp;HEIGHT=450&amp;WIDTH=450&amp;START_MA","XIMIZED=FALSE&amp;VAR:CALENDAR=US&amp;VAR:SYMBOL=04916420&amp;VAR:INDEX=0"}</definedName>
    <definedName name="_9348__FDSAUDITLINK__" localSheetId="6" hidden="1">{"fdsup://directions/FAT Viewer?action=UPDATE&amp;creator=factset&amp;DYN_ARGS=TRUE&amp;DOC_NAME=FAT:FQL_AUDITING_CLIENT_TEMPLATE.FAT&amp;display_string=Audit&amp;VAR:KEY=LSTKJEHQRE&amp;VAR:QUERY=RkZfRUJJVERBX0lCKCdMVE1TJyw0MDAyMSk=&amp;WINDOW=FIRST_POPUP&amp;HEIGHT=450&amp;WIDTH=450&amp;START_MA","XIMIZED=FALSE&amp;VAR:CALENDAR=US&amp;VAR:SYMBOL=04916420&amp;VAR:INDEX=0"}</definedName>
    <definedName name="_9348__FDSAUDITLINK__" hidden="1">{"fdsup://directions/FAT Viewer?action=UPDATE&amp;creator=factset&amp;DYN_ARGS=TRUE&amp;DOC_NAME=FAT:FQL_AUDITING_CLIENT_TEMPLATE.FAT&amp;display_string=Audit&amp;VAR:KEY=LSTKJEHQRE&amp;VAR:QUERY=RkZfRUJJVERBX0lCKCdMVE1TJyw0MDAyMSk=&amp;WINDOW=FIRST_POPUP&amp;HEIGHT=450&amp;WIDTH=450&amp;START_MA","XIMIZED=FALSE&amp;VAR:CALENDAR=US&amp;VAR:SYMBOL=04916420&amp;VAR:INDEX=0"}</definedName>
    <definedName name="_9349__FDSAUDITLINK__" localSheetId="6" hidden="1">{"fdsup://directions/FAT Viewer?action=UPDATE&amp;creator=factset&amp;DYN_ARGS=TRUE&amp;DOC_NAME=FAT:FQL_AUDITING_CLIENT_TEMPLATE.FAT&amp;display_string=Audit&amp;VAR:KEY=ZEFIHAXIBE&amp;VAR:QUERY=RkZfRUJJVERBX0lCKCdMVE1TJyw0MDAyMCk=&amp;WINDOW=FIRST_POPUP&amp;HEIGHT=450&amp;WIDTH=450&amp;START_MA","XIMIZED=FALSE&amp;VAR:CALENDAR=US&amp;VAR:SYMBOL=04916420&amp;VAR:INDEX=0"}</definedName>
    <definedName name="_9349__FDSAUDITLINK__" hidden="1">{"fdsup://directions/FAT Viewer?action=UPDATE&amp;creator=factset&amp;DYN_ARGS=TRUE&amp;DOC_NAME=FAT:FQL_AUDITING_CLIENT_TEMPLATE.FAT&amp;display_string=Audit&amp;VAR:KEY=ZEFIHAXIBE&amp;VAR:QUERY=RkZfRUJJVERBX0lCKCdMVE1TJyw0MDAyMCk=&amp;WINDOW=FIRST_POPUP&amp;HEIGHT=450&amp;WIDTH=450&amp;START_MA","XIMIZED=FALSE&amp;VAR:CALENDAR=US&amp;VAR:SYMBOL=04916420&amp;VAR:INDEX=0"}</definedName>
    <definedName name="_935__FDSAUDITLINK__" localSheetId="6" hidden="1">{"fdsup://directions/FAT%20Viewer?VAR:PED=LTM&amp;VAR:AUDIT_MODE=SUMMARY&amp;VAR:PERIOD=FIXED&amp;VAR:AUDIT_ID=00000117&amp;VAR:DATE=20070801&amp;action=UPDATE&amp;creator=factset&amp;DOC_NAME=FAT:FMA_audit_SUMMARY.fat&amp;DISPLAY_STRING=Display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5__FDSAUDITLINK__" hidden="1">{"fdsup://directions/FAT%20Viewer?VAR:PED=LTM&amp;VAR:AUDIT_MODE=SUMMARY&amp;VAR:PERIOD=FIXED&amp;VAR:AUDIT_ID=00000117&amp;VAR:DATE=20070801&amp;action=UPDATE&amp;creator=factset&amp;DOC_NAME=FAT:FMA_audit_SUMMARY.fat&amp;DISPLAY_STRING=Display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50__FDSAUDITLINK__" localSheetId="6" hidden="1">{"fdsup://directions/FAT Viewer?action=UPDATE&amp;creator=factset&amp;DYN_ARGS=TRUE&amp;DOC_NAME=FAT:FQL_AUDITING_CLIENT_TEMPLATE.FAT&amp;display_string=Audit&amp;VAR:KEY=ZSVMVWFSHW&amp;VAR:QUERY=RkZfRUJJVERBX0lCKCdMVE1TJyw0MDAxOSk=&amp;WINDOW=FIRST_POPUP&amp;HEIGHT=450&amp;WIDTH=450&amp;START_MA","XIMIZED=FALSE&amp;VAR:CALENDAR=US&amp;VAR:SYMBOL=04916420&amp;VAR:INDEX=0"}</definedName>
    <definedName name="_9350__FDSAUDITLINK__" hidden="1">{"fdsup://directions/FAT Viewer?action=UPDATE&amp;creator=factset&amp;DYN_ARGS=TRUE&amp;DOC_NAME=FAT:FQL_AUDITING_CLIENT_TEMPLATE.FAT&amp;display_string=Audit&amp;VAR:KEY=ZSVMVWFSHW&amp;VAR:QUERY=RkZfRUJJVERBX0lCKCdMVE1TJyw0MDAxOSk=&amp;WINDOW=FIRST_POPUP&amp;HEIGHT=450&amp;WIDTH=450&amp;START_MA","XIMIZED=FALSE&amp;VAR:CALENDAR=US&amp;VAR:SYMBOL=04916420&amp;VAR:INDEX=0"}</definedName>
    <definedName name="_9351__FDSAUDITLINK__" localSheetId="6" hidden="1">{"fdsup://directions/FAT Viewer?action=UPDATE&amp;creator=factset&amp;DYN_ARGS=TRUE&amp;DOC_NAME=FAT:FQL_AUDITING_CLIENT_TEMPLATE.FAT&amp;display_string=Audit&amp;VAR:KEY=ZWNGFQFMXA&amp;VAR:QUERY=RkZfRUJJVERBX0lCKCdMVE1TJyw0MDAxOCk=&amp;WINDOW=FIRST_POPUP&amp;HEIGHT=450&amp;WIDTH=450&amp;START_MA","XIMIZED=FALSE&amp;VAR:CALENDAR=US&amp;VAR:SYMBOL=04916420&amp;VAR:INDEX=0"}</definedName>
    <definedName name="_9351__FDSAUDITLINK__" hidden="1">{"fdsup://directions/FAT Viewer?action=UPDATE&amp;creator=factset&amp;DYN_ARGS=TRUE&amp;DOC_NAME=FAT:FQL_AUDITING_CLIENT_TEMPLATE.FAT&amp;display_string=Audit&amp;VAR:KEY=ZWNGFQFMXA&amp;VAR:QUERY=RkZfRUJJVERBX0lCKCdMVE1TJyw0MDAxOCk=&amp;WINDOW=FIRST_POPUP&amp;HEIGHT=450&amp;WIDTH=450&amp;START_MA","XIMIZED=FALSE&amp;VAR:CALENDAR=US&amp;VAR:SYMBOL=04916420&amp;VAR:INDEX=0"}</definedName>
    <definedName name="_9352__FDSAUDITLINK__" localSheetId="6" hidden="1">{"fdsup://directions/FAT Viewer?action=UPDATE&amp;creator=factset&amp;DYN_ARGS=TRUE&amp;DOC_NAME=FAT:FQL_AUDITING_CLIENT_TEMPLATE.FAT&amp;display_string=Audit&amp;VAR:KEY=BAFCNWVGZG&amp;VAR:QUERY=RkZfRUJJVERBX0lCKCdMVE1TJyw0MDAxNyk=&amp;WINDOW=FIRST_POPUP&amp;HEIGHT=450&amp;WIDTH=450&amp;START_MA","XIMIZED=FALSE&amp;VAR:CALENDAR=US&amp;VAR:SYMBOL=04916420&amp;VAR:INDEX=0"}</definedName>
    <definedName name="_9352__FDSAUDITLINK__" hidden="1">{"fdsup://directions/FAT Viewer?action=UPDATE&amp;creator=factset&amp;DYN_ARGS=TRUE&amp;DOC_NAME=FAT:FQL_AUDITING_CLIENT_TEMPLATE.FAT&amp;display_string=Audit&amp;VAR:KEY=BAFCNWVGZG&amp;VAR:QUERY=RkZfRUJJVERBX0lCKCdMVE1TJyw0MDAxNyk=&amp;WINDOW=FIRST_POPUP&amp;HEIGHT=450&amp;WIDTH=450&amp;START_MA","XIMIZED=FALSE&amp;VAR:CALENDAR=US&amp;VAR:SYMBOL=04916420&amp;VAR:INDEX=0"}</definedName>
    <definedName name="_9353__FDSAUDITLINK__" localSheetId="6" hidden="1">{"fdsup://directions/FAT Viewer?action=UPDATE&amp;creator=factset&amp;DYN_ARGS=TRUE&amp;DOC_NAME=FAT:FQL_AUDITING_CLIENT_TEMPLATE.FAT&amp;display_string=Audit&amp;VAR:KEY=DCPOVMBIDW&amp;VAR:QUERY=RkZfRUJJVERBX0lCKCdMVE1TJyw0MDAxNik=&amp;WINDOW=FIRST_POPUP&amp;HEIGHT=450&amp;WIDTH=450&amp;START_MA","XIMIZED=FALSE&amp;VAR:CALENDAR=US&amp;VAR:SYMBOL=04916420&amp;VAR:INDEX=0"}</definedName>
    <definedName name="_9353__FDSAUDITLINK__" hidden="1">{"fdsup://directions/FAT Viewer?action=UPDATE&amp;creator=factset&amp;DYN_ARGS=TRUE&amp;DOC_NAME=FAT:FQL_AUDITING_CLIENT_TEMPLATE.FAT&amp;display_string=Audit&amp;VAR:KEY=DCPOVMBIDW&amp;VAR:QUERY=RkZfRUJJVERBX0lCKCdMVE1TJyw0MDAxNik=&amp;WINDOW=FIRST_POPUP&amp;HEIGHT=450&amp;WIDTH=450&amp;START_MA","XIMIZED=FALSE&amp;VAR:CALENDAR=US&amp;VAR:SYMBOL=04916420&amp;VAR:INDEX=0"}</definedName>
    <definedName name="_9354__FDSAUDITLINK__" localSheetId="6" hidden="1">{"fdsup://directions/FAT Viewer?action=UPDATE&amp;creator=factset&amp;DYN_ARGS=TRUE&amp;DOC_NAME=FAT:FQL_AUDITING_CLIENT_TEMPLATE.FAT&amp;display_string=Audit&amp;VAR:KEY=BKPONGDOZC&amp;VAR:QUERY=RkZfRUJJVERBX0lCKCdMVE1TJyw0MDAxNSk=&amp;WINDOW=FIRST_POPUP&amp;HEIGHT=450&amp;WIDTH=450&amp;START_MA","XIMIZED=FALSE&amp;VAR:CALENDAR=US&amp;VAR:SYMBOL=04916420&amp;VAR:INDEX=0"}</definedName>
    <definedName name="_9354__FDSAUDITLINK__" hidden="1">{"fdsup://directions/FAT Viewer?action=UPDATE&amp;creator=factset&amp;DYN_ARGS=TRUE&amp;DOC_NAME=FAT:FQL_AUDITING_CLIENT_TEMPLATE.FAT&amp;display_string=Audit&amp;VAR:KEY=BKPONGDOZC&amp;VAR:QUERY=RkZfRUJJVERBX0lCKCdMVE1TJyw0MDAxNSk=&amp;WINDOW=FIRST_POPUP&amp;HEIGHT=450&amp;WIDTH=450&amp;START_MA","XIMIZED=FALSE&amp;VAR:CALENDAR=US&amp;VAR:SYMBOL=04916420&amp;VAR:INDEX=0"}</definedName>
    <definedName name="_9355__FDSAUDITLINK__" localSheetId="6" hidden="1">{"fdsup://directions/FAT Viewer?action=UPDATE&amp;creator=factset&amp;DYN_ARGS=TRUE&amp;DOC_NAME=FAT:FQL_AUDITING_CLIENT_TEMPLATE.FAT&amp;display_string=Audit&amp;VAR:KEY=ZMTAPWNYVE&amp;VAR:QUERY=RkZfRUJJVERBX0lCKCdMVE1TJyw0MDAxNCk=&amp;WINDOW=FIRST_POPUP&amp;HEIGHT=450&amp;WIDTH=450&amp;START_MA","XIMIZED=FALSE&amp;VAR:CALENDAR=US&amp;VAR:SYMBOL=04916420&amp;VAR:INDEX=0"}</definedName>
    <definedName name="_9355__FDSAUDITLINK__" hidden="1">{"fdsup://directions/FAT Viewer?action=UPDATE&amp;creator=factset&amp;DYN_ARGS=TRUE&amp;DOC_NAME=FAT:FQL_AUDITING_CLIENT_TEMPLATE.FAT&amp;display_string=Audit&amp;VAR:KEY=ZMTAPWNYVE&amp;VAR:QUERY=RkZfRUJJVERBX0lCKCdMVE1TJyw0MDAxNCk=&amp;WINDOW=FIRST_POPUP&amp;HEIGHT=450&amp;WIDTH=450&amp;START_MA","XIMIZED=FALSE&amp;VAR:CALENDAR=US&amp;VAR:SYMBOL=04916420&amp;VAR:INDEX=0"}</definedName>
    <definedName name="_9356__FDSAUDITLINK__" localSheetId="6" hidden="1">{"fdsup://directions/FAT Viewer?action=UPDATE&amp;creator=factset&amp;DYN_ARGS=TRUE&amp;DOC_NAME=FAT:FQL_AUDITING_CLIENT_TEMPLATE.FAT&amp;display_string=Audit&amp;VAR:KEY=BKZGJAVAHC&amp;VAR:QUERY=RkZfRUJJVERBX0lCKCdMVE1TJyw0MDAxMyk=&amp;WINDOW=FIRST_POPUP&amp;HEIGHT=450&amp;WIDTH=450&amp;START_MA","XIMIZED=FALSE&amp;VAR:CALENDAR=US&amp;VAR:SYMBOL=04916420&amp;VAR:INDEX=0"}</definedName>
    <definedName name="_9356__FDSAUDITLINK__" hidden="1">{"fdsup://directions/FAT Viewer?action=UPDATE&amp;creator=factset&amp;DYN_ARGS=TRUE&amp;DOC_NAME=FAT:FQL_AUDITING_CLIENT_TEMPLATE.FAT&amp;display_string=Audit&amp;VAR:KEY=BKZGJAVAHC&amp;VAR:QUERY=RkZfRUJJVERBX0lCKCdMVE1TJyw0MDAxMyk=&amp;WINDOW=FIRST_POPUP&amp;HEIGHT=450&amp;WIDTH=450&amp;START_MA","XIMIZED=FALSE&amp;VAR:CALENDAR=US&amp;VAR:SYMBOL=04916420&amp;VAR:INDEX=0"}</definedName>
    <definedName name="_9357__FDSAUDITLINK__" localSheetId="6" hidden="1">{"fdsup://directions/FAT Viewer?action=UPDATE&amp;creator=factset&amp;DYN_ARGS=TRUE&amp;DOC_NAME=FAT:FQL_AUDITING_CLIENT_TEMPLATE.FAT&amp;display_string=Audit&amp;VAR:KEY=LCVMBAZUJY&amp;VAR:QUERY=RkZfRUJJVERBX0lCKCdMVE1TJyw0MDAxMik=&amp;WINDOW=FIRST_POPUP&amp;HEIGHT=450&amp;WIDTH=450&amp;START_MA","XIMIZED=FALSE&amp;VAR:CALENDAR=US&amp;VAR:SYMBOL=04916420&amp;VAR:INDEX=0"}</definedName>
    <definedName name="_9357__FDSAUDITLINK__" hidden="1">{"fdsup://directions/FAT Viewer?action=UPDATE&amp;creator=factset&amp;DYN_ARGS=TRUE&amp;DOC_NAME=FAT:FQL_AUDITING_CLIENT_TEMPLATE.FAT&amp;display_string=Audit&amp;VAR:KEY=LCVMBAZUJY&amp;VAR:QUERY=RkZfRUJJVERBX0lCKCdMVE1TJyw0MDAxMik=&amp;WINDOW=FIRST_POPUP&amp;HEIGHT=450&amp;WIDTH=450&amp;START_MA","XIMIZED=FALSE&amp;VAR:CALENDAR=US&amp;VAR:SYMBOL=04916420&amp;VAR:INDEX=0"}</definedName>
    <definedName name="_9358__FDSAUDITLINK__" localSheetId="6" hidden="1">{"fdsup://directions/FAT Viewer?action=UPDATE&amp;creator=factset&amp;DYN_ARGS=TRUE&amp;DOC_NAME=FAT:FQL_AUDITING_CLIENT_TEMPLATE.FAT&amp;display_string=Audit&amp;VAR:KEY=LUJMTKXMZO&amp;VAR:QUERY=RkZfRUJJVERBX0lCKCdMVE1TJyw0MDAxMSk=&amp;WINDOW=FIRST_POPUP&amp;HEIGHT=450&amp;WIDTH=450&amp;START_MA","XIMIZED=FALSE&amp;VAR:CALENDAR=US&amp;VAR:SYMBOL=04916420&amp;VAR:INDEX=0"}</definedName>
    <definedName name="_9358__FDSAUDITLINK__" hidden="1">{"fdsup://directions/FAT Viewer?action=UPDATE&amp;creator=factset&amp;DYN_ARGS=TRUE&amp;DOC_NAME=FAT:FQL_AUDITING_CLIENT_TEMPLATE.FAT&amp;display_string=Audit&amp;VAR:KEY=LUJMTKXMZO&amp;VAR:QUERY=RkZfRUJJVERBX0lCKCdMVE1TJyw0MDAxMSk=&amp;WINDOW=FIRST_POPUP&amp;HEIGHT=450&amp;WIDTH=450&amp;START_MA","XIMIZED=FALSE&amp;VAR:CALENDAR=US&amp;VAR:SYMBOL=04916420&amp;VAR:INDEX=0"}</definedName>
    <definedName name="_9359__FDSAUDITLINK__" localSheetId="6" hidden="1">{"fdsup://directions/FAT Viewer?action=UPDATE&amp;creator=factset&amp;DYN_ARGS=TRUE&amp;DOC_NAME=FAT:FQL_AUDITING_CLIENT_TEMPLATE.FAT&amp;display_string=Audit&amp;VAR:KEY=LWPUFSXOVM&amp;VAR:QUERY=RkZfRUJJVERBX0lCKCdMVE1TJyw0MDAxMCk=&amp;WINDOW=FIRST_POPUP&amp;HEIGHT=450&amp;WIDTH=450&amp;START_MA","XIMIZED=FALSE&amp;VAR:CALENDAR=US&amp;VAR:SYMBOL=04916420&amp;VAR:INDEX=0"}</definedName>
    <definedName name="_9359__FDSAUDITLINK__" hidden="1">{"fdsup://directions/FAT Viewer?action=UPDATE&amp;creator=factset&amp;DYN_ARGS=TRUE&amp;DOC_NAME=FAT:FQL_AUDITING_CLIENT_TEMPLATE.FAT&amp;display_string=Audit&amp;VAR:KEY=LWPUFSXOVM&amp;VAR:QUERY=RkZfRUJJVERBX0lCKCdMVE1TJyw0MDAxMCk=&amp;WINDOW=FIRST_POPUP&amp;HEIGHT=450&amp;WIDTH=450&amp;START_MA","XIMIZED=FALSE&amp;VAR:CALENDAR=US&amp;VAR:SYMBOL=04916420&amp;VAR:INDEX=0"}</definedName>
    <definedName name="_936__FDSAUDITLINK__" localSheetId="6" hidden="1">{"fdsup://directions/FAT%20Viewer?VAR:PED=LTM&amp;VAR:AUDIT_MODE=SUMMARY&amp;VAR:PERIOD=FIXED&amp;VAR:AUDIT_ID=00000117&amp;VAR:DATE=20070731&amp;action=UPDATE&amp;creator=factset&amp;DOC_NAME=FAT:FMA_audit_SUMMARY.fat&amp;DISPLAY_STRING=Display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6__FDSAUDITLINK__" hidden="1">{"fdsup://directions/FAT%20Viewer?VAR:PED=LTM&amp;VAR:AUDIT_MODE=SUMMARY&amp;VAR:PERIOD=FIXED&amp;VAR:AUDIT_ID=00000117&amp;VAR:DATE=20070731&amp;action=UPDATE&amp;creator=factset&amp;DOC_NAME=FAT:FMA_audit_SUMMARY.fat&amp;DISPLAY_STRING=Display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EBITDA&amp;VAR:CHGPERIOD=NA&amp;VAR:FQLFORMULA=FMA_EVAL_EBITDA&amp;VAR:CURRENCY=NA&amp;VAR:P=NA&amp;VAR:V=11.2","43925&amp;VAR:null=.html"}</definedName>
    <definedName name="_9360__FDSAUDITLINK__" localSheetId="6" hidden="1">{"fdsup://directions/FAT Viewer?action=UPDATE&amp;creator=factset&amp;DYN_ARGS=TRUE&amp;DOC_NAME=FAT:FQL_AUDITING_CLIENT_TEMPLATE.FAT&amp;display_string=Audit&amp;VAR:KEY=JMJQZCZMDI&amp;VAR:QUERY=RkZfRUJJVERBX0lCKCdMVE1TJyw0MDAwOSk=&amp;WINDOW=FIRST_POPUP&amp;HEIGHT=450&amp;WIDTH=450&amp;START_MA","XIMIZED=FALSE&amp;VAR:CALENDAR=US&amp;VAR:SYMBOL=04916420&amp;VAR:INDEX=0"}</definedName>
    <definedName name="_9360__FDSAUDITLINK__" hidden="1">{"fdsup://directions/FAT Viewer?action=UPDATE&amp;creator=factset&amp;DYN_ARGS=TRUE&amp;DOC_NAME=FAT:FQL_AUDITING_CLIENT_TEMPLATE.FAT&amp;display_string=Audit&amp;VAR:KEY=JMJQZCZMDI&amp;VAR:QUERY=RkZfRUJJVERBX0lCKCdMVE1TJyw0MDAwOSk=&amp;WINDOW=FIRST_POPUP&amp;HEIGHT=450&amp;WIDTH=450&amp;START_MA","XIMIZED=FALSE&amp;VAR:CALENDAR=US&amp;VAR:SYMBOL=04916420&amp;VAR:INDEX=0"}</definedName>
    <definedName name="_9361__FDSAUDITLINK__" localSheetId="6" hidden="1">{"fdsup://directions/FAT Viewer?action=UPDATE&amp;creator=factset&amp;DYN_ARGS=TRUE&amp;DOC_NAME=FAT:FQL_AUDITING_CLIENT_TEMPLATE.FAT&amp;display_string=Audit&amp;VAR:KEY=HCPYDIXUXY&amp;VAR:QUERY=RkZfRUJJVERBX0lCKCdMVE1TJyw0MDAwOCk=&amp;WINDOW=FIRST_POPUP&amp;HEIGHT=450&amp;WIDTH=450&amp;START_MA","XIMIZED=FALSE&amp;VAR:CALENDAR=US&amp;VAR:SYMBOL=04916420&amp;VAR:INDEX=0"}</definedName>
    <definedName name="_9361__FDSAUDITLINK__" hidden="1">{"fdsup://directions/FAT Viewer?action=UPDATE&amp;creator=factset&amp;DYN_ARGS=TRUE&amp;DOC_NAME=FAT:FQL_AUDITING_CLIENT_TEMPLATE.FAT&amp;display_string=Audit&amp;VAR:KEY=HCPYDIXUXY&amp;VAR:QUERY=RkZfRUJJVERBX0lCKCdMVE1TJyw0MDAwOCk=&amp;WINDOW=FIRST_POPUP&amp;HEIGHT=450&amp;WIDTH=450&amp;START_MA","XIMIZED=FALSE&amp;VAR:CALENDAR=US&amp;VAR:SYMBOL=04916420&amp;VAR:INDEX=0"}</definedName>
    <definedName name="_9362__FDSAUDITLINK__" localSheetId="6" hidden="1">{"fdsup://directions/FAT Viewer?action=UPDATE&amp;creator=factset&amp;DYN_ARGS=TRUE&amp;DOC_NAME=FAT:FQL_AUDITING_CLIENT_TEMPLATE.FAT&amp;display_string=Audit&amp;VAR:KEY=RSDATOPEHI&amp;VAR:QUERY=RkZfRUJJVERBX0lCKCdMVE1TJyw0MDAwNyk=&amp;WINDOW=FIRST_POPUP&amp;HEIGHT=450&amp;WIDTH=450&amp;START_MA","XIMIZED=FALSE&amp;VAR:CALENDAR=US&amp;VAR:SYMBOL=04916420&amp;VAR:INDEX=0"}</definedName>
    <definedName name="_9362__FDSAUDITLINK__" hidden="1">{"fdsup://directions/FAT Viewer?action=UPDATE&amp;creator=factset&amp;DYN_ARGS=TRUE&amp;DOC_NAME=FAT:FQL_AUDITING_CLIENT_TEMPLATE.FAT&amp;display_string=Audit&amp;VAR:KEY=RSDATOPEHI&amp;VAR:QUERY=RkZfRUJJVERBX0lCKCdMVE1TJyw0MDAwNyk=&amp;WINDOW=FIRST_POPUP&amp;HEIGHT=450&amp;WIDTH=450&amp;START_MA","XIMIZED=FALSE&amp;VAR:CALENDAR=US&amp;VAR:SYMBOL=04916420&amp;VAR:INDEX=0"}</definedName>
    <definedName name="_9363__FDSAUDITLINK__" localSheetId="6" hidden="1">{"fdsup://directions/FAT Viewer?action=UPDATE&amp;creator=factset&amp;DYN_ARGS=TRUE&amp;DOC_NAME=FAT:FQL_AUDITING_CLIENT_TEMPLATE.FAT&amp;display_string=Audit&amp;VAR:KEY=BSNIVYFMTM&amp;VAR:QUERY=RkZfRUJJVERBX0lCKCdMVE1TJyw0MDAwNik=&amp;WINDOW=FIRST_POPUP&amp;HEIGHT=450&amp;WIDTH=450&amp;START_MA","XIMIZED=FALSE&amp;VAR:CALENDAR=US&amp;VAR:SYMBOL=04916420&amp;VAR:INDEX=0"}</definedName>
    <definedName name="_9363__FDSAUDITLINK__" hidden="1">{"fdsup://directions/FAT Viewer?action=UPDATE&amp;creator=factset&amp;DYN_ARGS=TRUE&amp;DOC_NAME=FAT:FQL_AUDITING_CLIENT_TEMPLATE.FAT&amp;display_string=Audit&amp;VAR:KEY=BSNIVYFMTM&amp;VAR:QUERY=RkZfRUJJVERBX0lCKCdMVE1TJyw0MDAwNik=&amp;WINDOW=FIRST_POPUP&amp;HEIGHT=450&amp;WIDTH=450&amp;START_MA","XIMIZED=FALSE&amp;VAR:CALENDAR=US&amp;VAR:SYMBOL=04916420&amp;VAR:INDEX=0"}</definedName>
    <definedName name="_9364__FDSAUDITLINK__" localSheetId="6" hidden="1">{"fdsup://directions/FAT Viewer?action=UPDATE&amp;creator=factset&amp;DYN_ARGS=TRUE&amp;DOC_NAME=FAT:FQL_AUDITING_CLIENT_TEMPLATE.FAT&amp;display_string=Audit&amp;VAR:KEY=RYRYDILMXW&amp;VAR:QUERY=RkZfRUJJVERBX0lCKCdMVE1TJyw0MDAwNSk=&amp;WINDOW=FIRST_POPUP&amp;HEIGHT=450&amp;WIDTH=450&amp;START_MA","XIMIZED=FALSE&amp;VAR:CALENDAR=US&amp;VAR:SYMBOL=04916420&amp;VAR:INDEX=0"}</definedName>
    <definedName name="_9364__FDSAUDITLINK__" hidden="1">{"fdsup://directions/FAT Viewer?action=UPDATE&amp;creator=factset&amp;DYN_ARGS=TRUE&amp;DOC_NAME=FAT:FQL_AUDITING_CLIENT_TEMPLATE.FAT&amp;display_string=Audit&amp;VAR:KEY=RYRYDILMXW&amp;VAR:QUERY=RkZfRUJJVERBX0lCKCdMVE1TJyw0MDAwNSk=&amp;WINDOW=FIRST_POPUP&amp;HEIGHT=450&amp;WIDTH=450&amp;START_MA","XIMIZED=FALSE&amp;VAR:CALENDAR=US&amp;VAR:SYMBOL=04916420&amp;VAR:INDEX=0"}</definedName>
    <definedName name="_9365__FDSAUDITLINK__" localSheetId="6" hidden="1">{"fdsup://directions/FAT Viewer?action=UPDATE&amp;creator=factset&amp;DYN_ARGS=TRUE&amp;DOC_NAME=FAT:FQL_AUDITING_CLIENT_TEMPLATE.FAT&amp;display_string=Audit&amp;VAR:KEY=TABEVKRSPU&amp;VAR:QUERY=RkZfRUJJVERBX0lCKCdMVE1TJyw0MDAwNCk=&amp;WINDOW=FIRST_POPUP&amp;HEIGHT=450&amp;WIDTH=450&amp;START_MA","XIMIZED=FALSE&amp;VAR:CALENDAR=US&amp;VAR:SYMBOL=04916420&amp;VAR:INDEX=0"}</definedName>
    <definedName name="_9365__FDSAUDITLINK__" hidden="1">{"fdsup://directions/FAT Viewer?action=UPDATE&amp;creator=factset&amp;DYN_ARGS=TRUE&amp;DOC_NAME=FAT:FQL_AUDITING_CLIENT_TEMPLATE.FAT&amp;display_string=Audit&amp;VAR:KEY=TABEVKRSPU&amp;VAR:QUERY=RkZfRUJJVERBX0lCKCdMVE1TJyw0MDAwNCk=&amp;WINDOW=FIRST_POPUP&amp;HEIGHT=450&amp;WIDTH=450&amp;START_MA","XIMIZED=FALSE&amp;VAR:CALENDAR=US&amp;VAR:SYMBOL=04916420&amp;VAR:INDEX=0"}</definedName>
    <definedName name="_9366__FDSAUDITLINK__" localSheetId="6" hidden="1">{"fdsup://directions/FAT Viewer?action=UPDATE&amp;creator=factset&amp;DYN_ARGS=TRUE&amp;DOC_NAME=FAT:FQL_AUDITING_CLIENT_TEMPLATE.FAT&amp;display_string=Audit&amp;VAR:KEY=BKHGXSZCHS&amp;VAR:QUERY=RkZfRUJJVERBX0lCKCdMVE1TJyw0MDAwMyk=&amp;WINDOW=FIRST_POPUP&amp;HEIGHT=450&amp;WIDTH=450&amp;START_MA","XIMIZED=FALSE&amp;VAR:CALENDAR=US&amp;VAR:SYMBOL=04916420&amp;VAR:INDEX=0"}</definedName>
    <definedName name="_9366__FDSAUDITLINK__" hidden="1">{"fdsup://directions/FAT Viewer?action=UPDATE&amp;creator=factset&amp;DYN_ARGS=TRUE&amp;DOC_NAME=FAT:FQL_AUDITING_CLIENT_TEMPLATE.FAT&amp;display_string=Audit&amp;VAR:KEY=BKHGXSZCHS&amp;VAR:QUERY=RkZfRUJJVERBX0lCKCdMVE1TJyw0MDAwMyk=&amp;WINDOW=FIRST_POPUP&amp;HEIGHT=450&amp;WIDTH=450&amp;START_MA","XIMIZED=FALSE&amp;VAR:CALENDAR=US&amp;VAR:SYMBOL=04916420&amp;VAR:INDEX=0"}</definedName>
    <definedName name="_9367__FDSAUDITLINK__" localSheetId="6" hidden="1">{"fdsup://directions/FAT Viewer?action=UPDATE&amp;creator=factset&amp;DYN_ARGS=TRUE&amp;DOC_NAME=FAT:FQL_AUDITING_CLIENT_TEMPLATE.FAT&amp;display_string=Audit&amp;VAR:KEY=JCLAXILQBO&amp;VAR:QUERY=RkZfRUJJVERBX0lCKCdMVE1TJyw0MDAwMik=&amp;WINDOW=FIRST_POPUP&amp;HEIGHT=450&amp;WIDTH=450&amp;START_MA","XIMIZED=FALSE&amp;VAR:CALENDAR=US&amp;VAR:SYMBOL=04916420&amp;VAR:INDEX=0"}</definedName>
    <definedName name="_9367__FDSAUDITLINK__" hidden="1">{"fdsup://directions/FAT Viewer?action=UPDATE&amp;creator=factset&amp;DYN_ARGS=TRUE&amp;DOC_NAME=FAT:FQL_AUDITING_CLIENT_TEMPLATE.FAT&amp;display_string=Audit&amp;VAR:KEY=JCLAXILQBO&amp;VAR:QUERY=RkZfRUJJVERBX0lCKCdMVE1TJyw0MDAwMik=&amp;WINDOW=FIRST_POPUP&amp;HEIGHT=450&amp;WIDTH=450&amp;START_MA","XIMIZED=FALSE&amp;VAR:CALENDAR=US&amp;VAR:SYMBOL=04916420&amp;VAR:INDEX=0"}</definedName>
    <definedName name="_9368__FDSAUDITLINK__" localSheetId="6" hidden="1">{"fdsup://directions/FAT Viewer?action=UPDATE&amp;creator=factset&amp;DYN_ARGS=TRUE&amp;DOC_NAME=FAT:FQL_AUDITING_CLIENT_TEMPLATE.FAT&amp;display_string=Audit&amp;VAR:KEY=ZONIVGXYLS&amp;VAR:QUERY=RkZfRUJJVERBX0lCKCdMVE1TJyw0MDAwMSk=&amp;WINDOW=FIRST_POPUP&amp;HEIGHT=450&amp;WIDTH=450&amp;START_MA","XIMIZED=FALSE&amp;VAR:CALENDAR=US&amp;VAR:SYMBOL=04916420&amp;VAR:INDEX=0"}</definedName>
    <definedName name="_9368__FDSAUDITLINK__" hidden="1">{"fdsup://directions/FAT Viewer?action=UPDATE&amp;creator=factset&amp;DYN_ARGS=TRUE&amp;DOC_NAME=FAT:FQL_AUDITING_CLIENT_TEMPLATE.FAT&amp;display_string=Audit&amp;VAR:KEY=ZONIVGXYLS&amp;VAR:QUERY=RkZfRUJJVERBX0lCKCdMVE1TJyw0MDAwMSk=&amp;WINDOW=FIRST_POPUP&amp;HEIGHT=450&amp;WIDTH=450&amp;START_MA","XIMIZED=FALSE&amp;VAR:CALENDAR=US&amp;VAR:SYMBOL=04916420&amp;VAR:INDEX=0"}</definedName>
    <definedName name="_9369__FDSAUDITLINK__" localSheetId="6" hidden="1">{"fdsup://directions/FAT Viewer?action=UPDATE&amp;creator=factset&amp;DYN_ARGS=TRUE&amp;DOC_NAME=FAT:FQL_AUDITING_CLIENT_TEMPLATE.FAT&amp;display_string=Audit&amp;VAR:KEY=NAZCVWRUNI&amp;VAR:QUERY=RkZfRUJJVERBX0lCKCdMVE1TJyw0MDAwMCk=&amp;WINDOW=FIRST_POPUP&amp;HEIGHT=450&amp;WIDTH=450&amp;START_MA","XIMIZED=FALSE&amp;VAR:CALENDAR=US&amp;VAR:SYMBOL=04916420&amp;VAR:INDEX=0"}</definedName>
    <definedName name="_9369__FDSAUDITLINK__" hidden="1">{"fdsup://directions/FAT Viewer?action=UPDATE&amp;creator=factset&amp;DYN_ARGS=TRUE&amp;DOC_NAME=FAT:FQL_AUDITING_CLIENT_TEMPLATE.FAT&amp;display_string=Audit&amp;VAR:KEY=NAZCVWRUNI&amp;VAR:QUERY=RkZfRUJJVERBX0lCKCdMVE1TJyw0MDAwMCk=&amp;WINDOW=FIRST_POPUP&amp;HEIGHT=450&amp;WIDTH=450&amp;START_MA","XIMIZED=FALSE&amp;VAR:CALENDAR=US&amp;VAR:SYMBOL=04916420&amp;VAR:INDEX=0"}</definedName>
    <definedName name="_937__FDSAUDITLINK__" localSheetId="6" hidden="1">{"fdsup://directions/FAT%20Viewer?VAR:PED=LTM&amp;VAR:AUDIT_MODE=SUMMARY&amp;VAR:PERIOD=FIXED&amp;VAR:AUDIT_ID=00000117&amp;VAR:DATE=20070730&amp;action=UPDATE&amp;creator=factset&amp;DOC_NAME=FAT:FMA_audit_SUMMARY.fat&amp;DISPLAY_STRING=Display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7__FDSAUDITLINK__" hidden="1">{"fdsup://directions/FAT%20Viewer?VAR:PED=LTM&amp;VAR:AUDIT_MODE=SUMMARY&amp;VAR:PERIOD=FIXED&amp;VAR:AUDIT_ID=00000117&amp;VAR:DATE=20070730&amp;action=UPDATE&amp;creator=factset&amp;DOC_NAME=FAT:FMA_audit_SUMMARY.fat&amp;DISPLAY_STRING=Display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70__FDSAUDITLINK__" localSheetId="6" hidden="1">{"fdsup://directions/FAT Viewer?action=UPDATE&amp;creator=factset&amp;DYN_ARGS=TRUE&amp;DOC_NAME=FAT:FQL_AUDITING_CLIENT_TEMPLATE.FAT&amp;display_string=Audit&amp;VAR:KEY=VCZKLEFEHI&amp;VAR:QUERY=RkZfRUJJVERBX0lCKCdMVE1TJywzOTk5OSk=&amp;WINDOW=FIRST_POPUP&amp;HEIGHT=450&amp;WIDTH=450&amp;START_MA","XIMIZED=FALSE&amp;VAR:CALENDAR=US&amp;VAR:SYMBOL=04916420&amp;VAR:INDEX=0"}</definedName>
    <definedName name="_9370__FDSAUDITLINK__" hidden="1">{"fdsup://directions/FAT Viewer?action=UPDATE&amp;creator=factset&amp;DYN_ARGS=TRUE&amp;DOC_NAME=FAT:FQL_AUDITING_CLIENT_TEMPLATE.FAT&amp;display_string=Audit&amp;VAR:KEY=VCZKLEFEHI&amp;VAR:QUERY=RkZfRUJJVERBX0lCKCdMVE1TJywzOTk5OSk=&amp;WINDOW=FIRST_POPUP&amp;HEIGHT=450&amp;WIDTH=450&amp;START_MA","XIMIZED=FALSE&amp;VAR:CALENDAR=US&amp;VAR:SYMBOL=04916420&amp;VAR:INDEX=0"}</definedName>
    <definedName name="_9371__FDSAUDITLINK__" localSheetId="6" hidden="1">{"fdsup://directions/FAT Viewer?action=UPDATE&amp;creator=factset&amp;DYN_ARGS=TRUE&amp;DOC_NAME=FAT:FQL_AUDITING_CLIENT_TEMPLATE.FAT&amp;display_string=Audit&amp;VAR:KEY=RUTIJYBYNA&amp;VAR:QUERY=RkZfRUJJVERBX0lCKCdMVE1TJywzOTk5OCk=&amp;WINDOW=FIRST_POPUP&amp;HEIGHT=450&amp;WIDTH=450&amp;START_MA","XIMIZED=FALSE&amp;VAR:CALENDAR=US&amp;VAR:SYMBOL=04916420&amp;VAR:INDEX=0"}</definedName>
    <definedName name="_9371__FDSAUDITLINK__" hidden="1">{"fdsup://directions/FAT Viewer?action=UPDATE&amp;creator=factset&amp;DYN_ARGS=TRUE&amp;DOC_NAME=FAT:FQL_AUDITING_CLIENT_TEMPLATE.FAT&amp;display_string=Audit&amp;VAR:KEY=RUTIJYBYNA&amp;VAR:QUERY=RkZfRUJJVERBX0lCKCdMVE1TJywzOTk5OCk=&amp;WINDOW=FIRST_POPUP&amp;HEIGHT=450&amp;WIDTH=450&amp;START_MA","XIMIZED=FALSE&amp;VAR:CALENDAR=US&amp;VAR:SYMBOL=04916420&amp;VAR:INDEX=0"}</definedName>
    <definedName name="_9372__FDSAUDITLINK__" localSheetId="6" hidden="1">{"fdsup://directions/FAT Viewer?action=UPDATE&amp;creator=factset&amp;DYN_ARGS=TRUE&amp;DOC_NAME=FAT:FQL_AUDITING_CLIENT_TEMPLATE.FAT&amp;display_string=Audit&amp;VAR:KEY=RSJYTGTETK&amp;VAR:QUERY=RkZfRUJJVERBX0lCKCdMVE1TJywzOTk5Nyk=&amp;WINDOW=FIRST_POPUP&amp;HEIGHT=450&amp;WIDTH=450&amp;START_MA","XIMIZED=FALSE&amp;VAR:CALENDAR=US&amp;VAR:SYMBOL=04916420&amp;VAR:INDEX=0"}</definedName>
    <definedName name="_9372__FDSAUDITLINK__" hidden="1">{"fdsup://directions/FAT Viewer?action=UPDATE&amp;creator=factset&amp;DYN_ARGS=TRUE&amp;DOC_NAME=FAT:FQL_AUDITING_CLIENT_TEMPLATE.FAT&amp;display_string=Audit&amp;VAR:KEY=RSJYTGTETK&amp;VAR:QUERY=RkZfRUJJVERBX0lCKCdMVE1TJywzOTk5Nyk=&amp;WINDOW=FIRST_POPUP&amp;HEIGHT=450&amp;WIDTH=450&amp;START_MA","XIMIZED=FALSE&amp;VAR:CALENDAR=US&amp;VAR:SYMBOL=04916420&amp;VAR:INDEX=0"}</definedName>
    <definedName name="_9373__FDSAUDITLINK__" localSheetId="6" hidden="1">{"fdsup://directions/FAT Viewer?action=UPDATE&amp;creator=factset&amp;DYN_ARGS=TRUE&amp;DOC_NAME=FAT:FQL_AUDITING_CLIENT_TEMPLATE.FAT&amp;display_string=Audit&amp;VAR:KEY=JEVKZQJWPM&amp;VAR:QUERY=RkZfRUJJVERBX0lCKCdMVE1TJywzOTk5Nik=&amp;WINDOW=FIRST_POPUP&amp;HEIGHT=450&amp;WIDTH=450&amp;START_MA","XIMIZED=FALSE&amp;VAR:CALENDAR=US&amp;VAR:SYMBOL=04916420&amp;VAR:INDEX=0"}</definedName>
    <definedName name="_9373__FDSAUDITLINK__" hidden="1">{"fdsup://directions/FAT Viewer?action=UPDATE&amp;creator=factset&amp;DYN_ARGS=TRUE&amp;DOC_NAME=FAT:FQL_AUDITING_CLIENT_TEMPLATE.FAT&amp;display_string=Audit&amp;VAR:KEY=JEVKZQJWPM&amp;VAR:QUERY=RkZfRUJJVERBX0lCKCdMVE1TJywzOTk5Nik=&amp;WINDOW=FIRST_POPUP&amp;HEIGHT=450&amp;WIDTH=450&amp;START_MA","XIMIZED=FALSE&amp;VAR:CALENDAR=US&amp;VAR:SYMBOL=04916420&amp;VAR:INDEX=0"}</definedName>
    <definedName name="_9374__FDSAUDITLINK__" localSheetId="6" hidden="1">{"fdsup://directions/FAT Viewer?action=UPDATE&amp;creator=factset&amp;DYN_ARGS=TRUE&amp;DOC_NAME=FAT:FQL_AUDITING_CLIENT_TEMPLATE.FAT&amp;display_string=Audit&amp;VAR:KEY=ZWHYFCJSRA&amp;VAR:QUERY=RkZfRUJJVERBX0lCKCdMVE1TJywzOTk5NSk=&amp;WINDOW=FIRST_POPUP&amp;HEIGHT=450&amp;WIDTH=450&amp;START_MA","XIMIZED=FALSE&amp;VAR:CALENDAR=US&amp;VAR:SYMBOL=04916420&amp;VAR:INDEX=0"}</definedName>
    <definedName name="_9374__FDSAUDITLINK__" hidden="1">{"fdsup://directions/FAT Viewer?action=UPDATE&amp;creator=factset&amp;DYN_ARGS=TRUE&amp;DOC_NAME=FAT:FQL_AUDITING_CLIENT_TEMPLATE.FAT&amp;display_string=Audit&amp;VAR:KEY=ZWHYFCJSRA&amp;VAR:QUERY=RkZfRUJJVERBX0lCKCdMVE1TJywzOTk5NSk=&amp;WINDOW=FIRST_POPUP&amp;HEIGHT=450&amp;WIDTH=450&amp;START_MA","XIMIZED=FALSE&amp;VAR:CALENDAR=US&amp;VAR:SYMBOL=04916420&amp;VAR:INDEX=0"}</definedName>
    <definedName name="_9375__FDSAUDITLINK__" localSheetId="6" hidden="1">{"fdsup://directions/FAT Viewer?action=UPDATE&amp;creator=factset&amp;DYN_ARGS=TRUE&amp;DOC_NAME=FAT:FQL_AUDITING_CLIENT_TEMPLATE.FAT&amp;display_string=Audit&amp;VAR:KEY=BWBKXMRIVQ&amp;VAR:QUERY=RkZfRUJJVERBX0lCKCdMVE1TJywzOTk5NCk=&amp;WINDOW=FIRST_POPUP&amp;HEIGHT=450&amp;WIDTH=450&amp;START_MA","XIMIZED=FALSE&amp;VAR:CALENDAR=US&amp;VAR:SYMBOL=04916420&amp;VAR:INDEX=0"}</definedName>
    <definedName name="_9375__FDSAUDITLINK__" hidden="1">{"fdsup://directions/FAT Viewer?action=UPDATE&amp;creator=factset&amp;DYN_ARGS=TRUE&amp;DOC_NAME=FAT:FQL_AUDITING_CLIENT_TEMPLATE.FAT&amp;display_string=Audit&amp;VAR:KEY=BWBKXMRIVQ&amp;VAR:QUERY=RkZfRUJJVERBX0lCKCdMVE1TJywzOTk5NCk=&amp;WINDOW=FIRST_POPUP&amp;HEIGHT=450&amp;WIDTH=450&amp;START_MA","XIMIZED=FALSE&amp;VAR:CALENDAR=US&amp;VAR:SYMBOL=04916420&amp;VAR:INDEX=0"}</definedName>
    <definedName name="_9376__FDSAUDITLINK__" localSheetId="6" hidden="1">{"fdsup://directions/FAT Viewer?action=UPDATE&amp;creator=factset&amp;DYN_ARGS=TRUE&amp;DOC_NAME=FAT:FQL_AUDITING_CLIENT_TEMPLATE.FAT&amp;display_string=Audit&amp;VAR:KEY=JYHSVSPAVE&amp;VAR:QUERY=RkZfRUJJVERBX0lCKCdMVE1TJywzOTk5Myk=&amp;WINDOW=FIRST_POPUP&amp;HEIGHT=450&amp;WIDTH=450&amp;START_MA","XIMIZED=FALSE&amp;VAR:CALENDAR=US&amp;VAR:SYMBOL=04916420&amp;VAR:INDEX=0"}</definedName>
    <definedName name="_9376__FDSAUDITLINK__" hidden="1">{"fdsup://directions/FAT Viewer?action=UPDATE&amp;creator=factset&amp;DYN_ARGS=TRUE&amp;DOC_NAME=FAT:FQL_AUDITING_CLIENT_TEMPLATE.FAT&amp;display_string=Audit&amp;VAR:KEY=JYHSVSPAVE&amp;VAR:QUERY=RkZfRUJJVERBX0lCKCdMVE1TJywzOTk5Myk=&amp;WINDOW=FIRST_POPUP&amp;HEIGHT=450&amp;WIDTH=450&amp;START_MA","XIMIZED=FALSE&amp;VAR:CALENDAR=US&amp;VAR:SYMBOL=04916420&amp;VAR:INDEX=0"}</definedName>
    <definedName name="_9377__FDSAUDITLINK__" localSheetId="6" hidden="1">{"fdsup://directions/FAT Viewer?action=UPDATE&amp;creator=factset&amp;DYN_ARGS=TRUE&amp;DOC_NAME=FAT:FQL_AUDITING_CLIENT_TEMPLATE.FAT&amp;display_string=Audit&amp;VAR:KEY=HWTGJUBIJM&amp;VAR:QUERY=RkZfRUJJVERBX0lCKCdMVE1TJywzOTk5Mik=&amp;WINDOW=FIRST_POPUP&amp;HEIGHT=450&amp;WIDTH=450&amp;START_MA","XIMIZED=FALSE&amp;VAR:CALENDAR=US&amp;VAR:SYMBOL=04916420&amp;VAR:INDEX=0"}</definedName>
    <definedName name="_9377__FDSAUDITLINK__" hidden="1">{"fdsup://directions/FAT Viewer?action=UPDATE&amp;creator=factset&amp;DYN_ARGS=TRUE&amp;DOC_NAME=FAT:FQL_AUDITING_CLIENT_TEMPLATE.FAT&amp;display_string=Audit&amp;VAR:KEY=HWTGJUBIJM&amp;VAR:QUERY=RkZfRUJJVERBX0lCKCdMVE1TJywzOTk5Mik=&amp;WINDOW=FIRST_POPUP&amp;HEIGHT=450&amp;WIDTH=450&amp;START_MA","XIMIZED=FALSE&amp;VAR:CALENDAR=US&amp;VAR:SYMBOL=04916420&amp;VAR:INDEX=0"}</definedName>
    <definedName name="_9378__FDSAUDITLINK__" localSheetId="6" hidden="1">{"fdsup://directions/FAT Viewer?action=UPDATE&amp;creator=factset&amp;DYN_ARGS=TRUE&amp;DOC_NAME=FAT:FQL_AUDITING_CLIENT_TEMPLATE.FAT&amp;display_string=Audit&amp;VAR:KEY=LKPGJQFGNK&amp;VAR:QUERY=RkZfRUJJVERBX0lCKCdMVE1TJywzOTk5MSk=&amp;WINDOW=FIRST_POPUP&amp;HEIGHT=450&amp;WIDTH=450&amp;START_MA","XIMIZED=FALSE&amp;VAR:CALENDAR=US&amp;VAR:SYMBOL=04916420&amp;VAR:INDEX=0"}</definedName>
    <definedName name="_9378__FDSAUDITLINK__" hidden="1">{"fdsup://directions/FAT Viewer?action=UPDATE&amp;creator=factset&amp;DYN_ARGS=TRUE&amp;DOC_NAME=FAT:FQL_AUDITING_CLIENT_TEMPLATE.FAT&amp;display_string=Audit&amp;VAR:KEY=LKPGJQFGNK&amp;VAR:QUERY=RkZfRUJJVERBX0lCKCdMVE1TJywzOTk5MSk=&amp;WINDOW=FIRST_POPUP&amp;HEIGHT=450&amp;WIDTH=450&amp;START_MA","XIMIZED=FALSE&amp;VAR:CALENDAR=US&amp;VAR:SYMBOL=04916420&amp;VAR:INDEX=0"}</definedName>
    <definedName name="_9379__FDSAUDITLINK__" localSheetId="6" hidden="1">{"fdsup://directions/FAT Viewer?action=UPDATE&amp;creator=factset&amp;DYN_ARGS=TRUE&amp;DOC_NAME=FAT:FQL_AUDITING_CLIENT_TEMPLATE.FAT&amp;display_string=Audit&amp;VAR:KEY=PWFMJQRWVU&amp;VAR:QUERY=RkZfRUJJVERBX0lCKCdMVE1TJywzOTk5MCk=&amp;WINDOW=FIRST_POPUP&amp;HEIGHT=450&amp;WIDTH=450&amp;START_MA","XIMIZED=FALSE&amp;VAR:CALENDAR=US&amp;VAR:SYMBOL=04916420&amp;VAR:INDEX=0"}</definedName>
    <definedName name="_9379__FDSAUDITLINK__" hidden="1">{"fdsup://directions/FAT Viewer?action=UPDATE&amp;creator=factset&amp;DYN_ARGS=TRUE&amp;DOC_NAME=FAT:FQL_AUDITING_CLIENT_TEMPLATE.FAT&amp;display_string=Audit&amp;VAR:KEY=PWFMJQRWVU&amp;VAR:QUERY=RkZfRUJJVERBX0lCKCdMVE1TJywzOTk5MCk=&amp;WINDOW=FIRST_POPUP&amp;HEIGHT=450&amp;WIDTH=450&amp;START_MA","XIMIZED=FALSE&amp;VAR:CALENDAR=US&amp;VAR:SYMBOL=04916420&amp;VAR:INDEX=0"}</definedName>
    <definedName name="_938__FDSAUDITLINK__" localSheetId="6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8__FDSAUDITLINK__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80__FDSAUDITLINK__" localSheetId="6" hidden="1">{"fdsup://directions/FAT Viewer?action=UPDATE&amp;creator=factset&amp;DYN_ARGS=TRUE&amp;DOC_NAME=FAT:FQL_AUDITING_CLIENT_TEMPLATE.FAT&amp;display_string=Audit&amp;VAR:KEY=ZCZIFUREVO&amp;VAR:QUERY=RkZfRUJJVERBX0lCKCdMVE1TJywzOTk4OSk=&amp;WINDOW=FIRST_POPUP&amp;HEIGHT=450&amp;WIDTH=450&amp;START_MA","XIMIZED=FALSE&amp;VAR:CALENDAR=US&amp;VAR:SYMBOL=04916420&amp;VAR:INDEX=0"}</definedName>
    <definedName name="_9380__FDSAUDITLINK__" hidden="1">{"fdsup://directions/FAT Viewer?action=UPDATE&amp;creator=factset&amp;DYN_ARGS=TRUE&amp;DOC_NAME=FAT:FQL_AUDITING_CLIENT_TEMPLATE.FAT&amp;display_string=Audit&amp;VAR:KEY=ZCZIFUREVO&amp;VAR:QUERY=RkZfRUJJVERBX0lCKCdMVE1TJywzOTk4OSk=&amp;WINDOW=FIRST_POPUP&amp;HEIGHT=450&amp;WIDTH=450&amp;START_MA","XIMIZED=FALSE&amp;VAR:CALENDAR=US&amp;VAR:SYMBOL=04916420&amp;VAR:INDEX=0"}</definedName>
    <definedName name="_9381__FDSAUDITLINK__" localSheetId="6" hidden="1">{"fdsup://directions/FAT Viewer?action=UPDATE&amp;creator=factset&amp;DYN_ARGS=TRUE&amp;DOC_NAME=FAT:FQL_AUDITING_CLIENT_TEMPLATE.FAT&amp;display_string=Audit&amp;VAR:KEY=JUBGNGFKVW&amp;VAR:QUERY=RkZfRUJJVERBX0lCKCdMVE1TJywzOTk4OCk=&amp;WINDOW=FIRST_POPUP&amp;HEIGHT=450&amp;WIDTH=450&amp;START_MA","XIMIZED=FALSE&amp;VAR:CALENDAR=US&amp;VAR:SYMBOL=04916420&amp;VAR:INDEX=0"}</definedName>
    <definedName name="_9381__FDSAUDITLINK__" hidden="1">{"fdsup://directions/FAT Viewer?action=UPDATE&amp;creator=factset&amp;DYN_ARGS=TRUE&amp;DOC_NAME=FAT:FQL_AUDITING_CLIENT_TEMPLATE.FAT&amp;display_string=Audit&amp;VAR:KEY=JUBGNGFKVW&amp;VAR:QUERY=RkZfRUJJVERBX0lCKCdMVE1TJywzOTk4OCk=&amp;WINDOW=FIRST_POPUP&amp;HEIGHT=450&amp;WIDTH=450&amp;START_MA","XIMIZED=FALSE&amp;VAR:CALENDAR=US&amp;VAR:SYMBOL=04916420&amp;VAR:INDEX=0"}</definedName>
    <definedName name="_9382__FDSAUDITLINK__" localSheetId="6" hidden="1">{"fdsup://directions/FAT Viewer?action=UPDATE&amp;creator=factset&amp;DYN_ARGS=TRUE&amp;DOC_NAME=FAT:FQL_AUDITING_CLIENT_TEMPLATE.FAT&amp;display_string=Audit&amp;VAR:KEY=PYBGRIXSDY&amp;VAR:QUERY=RkZfRUJJVERBX0lCKCdMVE1TJywzOTk4Nyk=&amp;WINDOW=FIRST_POPUP&amp;HEIGHT=450&amp;WIDTH=450&amp;START_MA","XIMIZED=FALSE&amp;VAR:CALENDAR=US&amp;VAR:SYMBOL=04916420&amp;VAR:INDEX=0"}</definedName>
    <definedName name="_9382__FDSAUDITLINK__" hidden="1">{"fdsup://directions/FAT Viewer?action=UPDATE&amp;creator=factset&amp;DYN_ARGS=TRUE&amp;DOC_NAME=FAT:FQL_AUDITING_CLIENT_TEMPLATE.FAT&amp;display_string=Audit&amp;VAR:KEY=PYBGRIXSDY&amp;VAR:QUERY=RkZfRUJJVERBX0lCKCdMVE1TJywzOTk4Nyk=&amp;WINDOW=FIRST_POPUP&amp;HEIGHT=450&amp;WIDTH=450&amp;START_MA","XIMIZED=FALSE&amp;VAR:CALENDAR=US&amp;VAR:SYMBOL=04916420&amp;VAR:INDEX=0"}</definedName>
    <definedName name="_9383__FDSAUDITLINK__" localSheetId="6" hidden="1">{"fdsup://directions/FAT Viewer?action=UPDATE&amp;creator=factset&amp;DYN_ARGS=TRUE&amp;DOC_NAME=FAT:FQL_AUDITING_CLIENT_TEMPLATE.FAT&amp;display_string=Audit&amp;VAR:KEY=FQTWXSFIFA&amp;VAR:QUERY=RkZfRUJJVERBX0lCKCdMVE1TJywzOTk4Nik=&amp;WINDOW=FIRST_POPUP&amp;HEIGHT=450&amp;WIDTH=450&amp;START_MA","XIMIZED=FALSE&amp;VAR:CALENDAR=US&amp;VAR:SYMBOL=04916420&amp;VAR:INDEX=0"}</definedName>
    <definedName name="_9383__FDSAUDITLINK__" hidden="1">{"fdsup://directions/FAT Viewer?action=UPDATE&amp;creator=factset&amp;DYN_ARGS=TRUE&amp;DOC_NAME=FAT:FQL_AUDITING_CLIENT_TEMPLATE.FAT&amp;display_string=Audit&amp;VAR:KEY=FQTWXSFIFA&amp;VAR:QUERY=RkZfRUJJVERBX0lCKCdMVE1TJywzOTk4Nik=&amp;WINDOW=FIRST_POPUP&amp;HEIGHT=450&amp;WIDTH=450&amp;START_MA","XIMIZED=FALSE&amp;VAR:CALENDAR=US&amp;VAR:SYMBOL=04916420&amp;VAR:INDEX=0"}</definedName>
    <definedName name="_9384__FDSAUDITLINK__" localSheetId="6" hidden="1">{"fdsup://directions/FAT Viewer?action=UPDATE&amp;creator=factset&amp;DYN_ARGS=TRUE&amp;DOC_NAME=FAT:FQL_AUDITING_CLIENT_TEMPLATE.FAT&amp;display_string=Audit&amp;VAR:KEY=TMVQRYLAJY&amp;VAR:QUERY=RkZfRUJJVERBX0lCKCdMVE1TJywzOTk4NSk=&amp;WINDOW=FIRST_POPUP&amp;HEIGHT=450&amp;WIDTH=450&amp;START_MA","XIMIZED=FALSE&amp;VAR:CALENDAR=US&amp;VAR:SYMBOL=04916420&amp;VAR:INDEX=0"}</definedName>
    <definedName name="_9384__FDSAUDITLINK__" hidden="1">{"fdsup://directions/FAT Viewer?action=UPDATE&amp;creator=factset&amp;DYN_ARGS=TRUE&amp;DOC_NAME=FAT:FQL_AUDITING_CLIENT_TEMPLATE.FAT&amp;display_string=Audit&amp;VAR:KEY=TMVQRYLAJY&amp;VAR:QUERY=RkZfRUJJVERBX0lCKCdMVE1TJywzOTk4NSk=&amp;WINDOW=FIRST_POPUP&amp;HEIGHT=450&amp;WIDTH=450&amp;START_MA","XIMIZED=FALSE&amp;VAR:CALENDAR=US&amp;VAR:SYMBOL=04916420&amp;VAR:INDEX=0"}</definedName>
    <definedName name="_9385__FDSAUDITLINK__" localSheetId="6" hidden="1">{"fdsup://directions/FAT Viewer?action=UPDATE&amp;creator=factset&amp;DYN_ARGS=TRUE&amp;DOC_NAME=FAT:FQL_AUDITING_CLIENT_TEMPLATE.FAT&amp;display_string=Audit&amp;VAR:KEY=JYHEVEXSRK&amp;VAR:QUERY=RkZfRUJJVERBX0lCKCdMVE1TJywzOTk4NCk=&amp;WINDOW=FIRST_POPUP&amp;HEIGHT=450&amp;WIDTH=450&amp;START_MA","XIMIZED=FALSE&amp;VAR:CALENDAR=US&amp;VAR:SYMBOL=04916420&amp;VAR:INDEX=0"}</definedName>
    <definedName name="_9385__FDSAUDITLINK__" hidden="1">{"fdsup://directions/FAT Viewer?action=UPDATE&amp;creator=factset&amp;DYN_ARGS=TRUE&amp;DOC_NAME=FAT:FQL_AUDITING_CLIENT_TEMPLATE.FAT&amp;display_string=Audit&amp;VAR:KEY=JYHEVEXSRK&amp;VAR:QUERY=RkZfRUJJVERBX0lCKCdMVE1TJywzOTk4NCk=&amp;WINDOW=FIRST_POPUP&amp;HEIGHT=450&amp;WIDTH=450&amp;START_MA","XIMIZED=FALSE&amp;VAR:CALENDAR=US&amp;VAR:SYMBOL=04916420&amp;VAR:INDEX=0"}</definedName>
    <definedName name="_9386__FDSAUDITLINK__" localSheetId="6" hidden="1">{"fdsup://directions/FAT Viewer?action=UPDATE&amp;creator=factset&amp;DYN_ARGS=TRUE&amp;DOC_NAME=FAT:FQL_AUDITING_CLIENT_TEMPLATE.FAT&amp;display_string=Audit&amp;VAR:KEY=DABWXETIZA&amp;VAR:QUERY=RkZfRUJJVERBX0lCKCdMVE1TJywzOTk4Myk=&amp;WINDOW=FIRST_POPUP&amp;HEIGHT=450&amp;WIDTH=450&amp;START_MA","XIMIZED=FALSE&amp;VAR:CALENDAR=US&amp;VAR:SYMBOL=04916420&amp;VAR:INDEX=0"}</definedName>
    <definedName name="_9386__FDSAUDITLINK__" hidden="1">{"fdsup://directions/FAT Viewer?action=UPDATE&amp;creator=factset&amp;DYN_ARGS=TRUE&amp;DOC_NAME=FAT:FQL_AUDITING_CLIENT_TEMPLATE.FAT&amp;display_string=Audit&amp;VAR:KEY=DABWXETIZA&amp;VAR:QUERY=RkZfRUJJVERBX0lCKCdMVE1TJywzOTk4Myk=&amp;WINDOW=FIRST_POPUP&amp;HEIGHT=450&amp;WIDTH=450&amp;START_MA","XIMIZED=FALSE&amp;VAR:CALENDAR=US&amp;VAR:SYMBOL=04916420&amp;VAR:INDEX=0"}</definedName>
    <definedName name="_9387__FDSAUDITLINK__" localSheetId="6" hidden="1">{"fdsup://directions/FAT Viewer?action=UPDATE&amp;creator=factset&amp;DYN_ARGS=TRUE&amp;DOC_NAME=FAT:FQL_AUDITING_CLIENT_TEMPLATE.FAT&amp;display_string=Audit&amp;VAR:KEY=VQDITCJARM&amp;VAR:QUERY=RkZfRUJJVERBX0lCKCdMVE1TJywzOTk4Mik=&amp;WINDOW=FIRST_POPUP&amp;HEIGHT=450&amp;WIDTH=450&amp;START_MA","XIMIZED=FALSE&amp;VAR:CALENDAR=US&amp;VAR:SYMBOL=04916420&amp;VAR:INDEX=0"}</definedName>
    <definedName name="_9387__FDSAUDITLINK__" hidden="1">{"fdsup://directions/FAT Viewer?action=UPDATE&amp;creator=factset&amp;DYN_ARGS=TRUE&amp;DOC_NAME=FAT:FQL_AUDITING_CLIENT_TEMPLATE.FAT&amp;display_string=Audit&amp;VAR:KEY=VQDITCJARM&amp;VAR:QUERY=RkZfRUJJVERBX0lCKCdMVE1TJywzOTk4Mik=&amp;WINDOW=FIRST_POPUP&amp;HEIGHT=450&amp;WIDTH=450&amp;START_MA","XIMIZED=FALSE&amp;VAR:CALENDAR=US&amp;VAR:SYMBOL=04916420&amp;VAR:INDEX=0"}</definedName>
    <definedName name="_9388__FDSAUDITLINK__" localSheetId="6" hidden="1">{"fdsup://directions/FAT Viewer?action=UPDATE&amp;creator=factset&amp;DYN_ARGS=TRUE&amp;DOC_NAME=FAT:FQL_AUDITING_CLIENT_TEMPLATE.FAT&amp;display_string=Audit&amp;VAR:KEY=FGHANQJMZA&amp;VAR:QUERY=RkZfRUJJVERBX0lCKCdMVE1TJywzOTk4MSk=&amp;WINDOW=FIRST_POPUP&amp;HEIGHT=450&amp;WIDTH=450&amp;START_MA","XIMIZED=FALSE&amp;VAR:CALENDAR=US&amp;VAR:SYMBOL=04916420&amp;VAR:INDEX=0"}</definedName>
    <definedName name="_9388__FDSAUDITLINK__" hidden="1">{"fdsup://directions/FAT Viewer?action=UPDATE&amp;creator=factset&amp;DYN_ARGS=TRUE&amp;DOC_NAME=FAT:FQL_AUDITING_CLIENT_TEMPLATE.FAT&amp;display_string=Audit&amp;VAR:KEY=FGHANQJMZA&amp;VAR:QUERY=RkZfRUJJVERBX0lCKCdMVE1TJywzOTk4MSk=&amp;WINDOW=FIRST_POPUP&amp;HEIGHT=450&amp;WIDTH=450&amp;START_MA","XIMIZED=FALSE&amp;VAR:CALENDAR=US&amp;VAR:SYMBOL=04916420&amp;VAR:INDEX=0"}</definedName>
    <definedName name="_9389__FDSAUDITLINK__" localSheetId="6" hidden="1">{"fdsup://directions/FAT Viewer?action=UPDATE&amp;creator=factset&amp;DYN_ARGS=TRUE&amp;DOC_NAME=FAT:FQL_AUDITING_CLIENT_TEMPLATE.FAT&amp;display_string=Audit&amp;VAR:KEY=FUFAVCTKHG&amp;VAR:QUERY=RkZfRUJJVERBX0lCKCdMVE1TJywzOTk4MCk=&amp;WINDOW=FIRST_POPUP&amp;HEIGHT=450&amp;WIDTH=450&amp;START_MA","XIMIZED=FALSE&amp;VAR:CALENDAR=US&amp;VAR:SYMBOL=04916420&amp;VAR:INDEX=0"}</definedName>
    <definedName name="_9389__FDSAUDITLINK__" hidden="1">{"fdsup://directions/FAT Viewer?action=UPDATE&amp;creator=factset&amp;DYN_ARGS=TRUE&amp;DOC_NAME=FAT:FQL_AUDITING_CLIENT_TEMPLATE.FAT&amp;display_string=Audit&amp;VAR:KEY=FUFAVCTKHG&amp;VAR:QUERY=RkZfRUJJVERBX0lCKCdMVE1TJywzOTk4MCk=&amp;WINDOW=FIRST_POPUP&amp;HEIGHT=450&amp;WIDTH=450&amp;START_MA","XIMIZED=FALSE&amp;VAR:CALENDAR=US&amp;VAR:SYMBOL=04916420&amp;VAR:INDEX=0"}</definedName>
    <definedName name="_939__FDSAUDITLINK__" localSheetId="6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9__FDSAUDITLINK__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390__FDSAUDITLINK__" localSheetId="6" hidden="1">{"fdsup://directions/FAT Viewer?action=UPDATE&amp;creator=factset&amp;DYN_ARGS=TRUE&amp;DOC_NAME=FAT:FQL_AUDITING_CLIENT_TEMPLATE.FAT&amp;display_string=Audit&amp;VAR:KEY=FSPGZKHKNU&amp;VAR:QUERY=RkZfRUJJVERBX0lCKCdMVE1TJywzOTk3OSk=&amp;WINDOW=FIRST_POPUP&amp;HEIGHT=450&amp;WIDTH=450&amp;START_MA","XIMIZED=FALSE&amp;VAR:CALENDAR=US&amp;VAR:SYMBOL=04916420&amp;VAR:INDEX=0"}</definedName>
    <definedName name="_9390__FDSAUDITLINK__" hidden="1">{"fdsup://directions/FAT Viewer?action=UPDATE&amp;creator=factset&amp;DYN_ARGS=TRUE&amp;DOC_NAME=FAT:FQL_AUDITING_CLIENT_TEMPLATE.FAT&amp;display_string=Audit&amp;VAR:KEY=FSPGZKHKNU&amp;VAR:QUERY=RkZfRUJJVERBX0lCKCdMVE1TJywzOTk3OSk=&amp;WINDOW=FIRST_POPUP&amp;HEIGHT=450&amp;WIDTH=450&amp;START_MA","XIMIZED=FALSE&amp;VAR:CALENDAR=US&amp;VAR:SYMBOL=04916420&amp;VAR:INDEX=0"}</definedName>
    <definedName name="_9391__FDSAUDITLINK__" localSheetId="6" hidden="1">{"fdsup://directions/FAT Viewer?action=UPDATE&amp;creator=factset&amp;DYN_ARGS=TRUE&amp;DOC_NAME=FAT:FQL_AUDITING_CLIENT_TEMPLATE.FAT&amp;display_string=Audit&amp;VAR:KEY=JYVURSTQXG&amp;VAR:QUERY=RkZfRUJJVERBX0lCKCdMVE1TJywzOTk3OCk=&amp;WINDOW=FIRST_POPUP&amp;HEIGHT=450&amp;WIDTH=450&amp;START_MA","XIMIZED=FALSE&amp;VAR:CALENDAR=US&amp;VAR:SYMBOL=04916420&amp;VAR:INDEX=0"}</definedName>
    <definedName name="_9391__FDSAUDITLINK__" hidden="1">{"fdsup://directions/FAT Viewer?action=UPDATE&amp;creator=factset&amp;DYN_ARGS=TRUE&amp;DOC_NAME=FAT:FQL_AUDITING_CLIENT_TEMPLATE.FAT&amp;display_string=Audit&amp;VAR:KEY=JYVURSTQXG&amp;VAR:QUERY=RkZfRUJJVERBX0lCKCdMVE1TJywzOTk3OCk=&amp;WINDOW=FIRST_POPUP&amp;HEIGHT=450&amp;WIDTH=450&amp;START_MA","XIMIZED=FALSE&amp;VAR:CALENDAR=US&amp;VAR:SYMBOL=04916420&amp;VAR:INDEX=0"}</definedName>
    <definedName name="_9392__FDSAUDITLINK__" localSheetId="6" hidden="1">{"fdsup://directions/FAT Viewer?action=UPDATE&amp;creator=factset&amp;DYN_ARGS=TRUE&amp;DOC_NAME=FAT:FQL_AUDITING_CLIENT_TEMPLATE.FAT&amp;display_string=Audit&amp;VAR:KEY=NINUNSLYBG&amp;VAR:QUERY=RkZfRUJJVERBX0lCKCdMVE1TJywzOTk3Nyk=&amp;WINDOW=FIRST_POPUP&amp;HEIGHT=450&amp;WIDTH=450&amp;START_MA","XIMIZED=FALSE&amp;VAR:CALENDAR=US&amp;VAR:SYMBOL=04916420&amp;VAR:INDEX=0"}</definedName>
    <definedName name="_9392__FDSAUDITLINK__" hidden="1">{"fdsup://directions/FAT Viewer?action=UPDATE&amp;creator=factset&amp;DYN_ARGS=TRUE&amp;DOC_NAME=FAT:FQL_AUDITING_CLIENT_TEMPLATE.FAT&amp;display_string=Audit&amp;VAR:KEY=NINUNSLYBG&amp;VAR:QUERY=RkZfRUJJVERBX0lCKCdMVE1TJywzOTk3Nyk=&amp;WINDOW=FIRST_POPUP&amp;HEIGHT=450&amp;WIDTH=450&amp;START_MA","XIMIZED=FALSE&amp;VAR:CALENDAR=US&amp;VAR:SYMBOL=04916420&amp;VAR:INDEX=0"}</definedName>
    <definedName name="_9393__FDSAUDITLINK__" localSheetId="6" hidden="1">{"fdsup://directions/FAT Viewer?action=UPDATE&amp;creator=factset&amp;DYN_ARGS=TRUE&amp;DOC_NAME=FAT:FQL_AUDITING_CLIENT_TEMPLATE.FAT&amp;display_string=Audit&amp;VAR:KEY=JARCDWNYHC&amp;VAR:QUERY=RkZfRUJJVERBX0lCKCdMVE1TJywzOTk3Nik=&amp;WINDOW=FIRST_POPUP&amp;HEIGHT=450&amp;WIDTH=450&amp;START_MA","XIMIZED=FALSE&amp;VAR:CALENDAR=US&amp;VAR:SYMBOL=04916420&amp;VAR:INDEX=0"}</definedName>
    <definedName name="_9393__FDSAUDITLINK__" hidden="1">{"fdsup://directions/FAT Viewer?action=UPDATE&amp;creator=factset&amp;DYN_ARGS=TRUE&amp;DOC_NAME=FAT:FQL_AUDITING_CLIENT_TEMPLATE.FAT&amp;display_string=Audit&amp;VAR:KEY=JARCDWNYHC&amp;VAR:QUERY=RkZfRUJJVERBX0lCKCdMVE1TJywzOTk3Nik=&amp;WINDOW=FIRST_POPUP&amp;HEIGHT=450&amp;WIDTH=450&amp;START_MA","XIMIZED=FALSE&amp;VAR:CALENDAR=US&amp;VAR:SYMBOL=04916420&amp;VAR:INDEX=0"}</definedName>
    <definedName name="_9394__FDSAUDITLINK__" localSheetId="6" hidden="1">{"fdsup://directions/FAT Viewer?action=UPDATE&amp;creator=factset&amp;DYN_ARGS=TRUE&amp;DOC_NAME=FAT:FQL_AUDITING_CLIENT_TEMPLATE.FAT&amp;display_string=Audit&amp;VAR:KEY=HGXMBSXEXY&amp;VAR:QUERY=RkZfRUJJVERBX0lCKCdMVE1TJywzOTk3NSk=&amp;WINDOW=FIRST_POPUP&amp;HEIGHT=450&amp;WIDTH=450&amp;START_MA","XIMIZED=FALSE&amp;VAR:CALENDAR=US&amp;VAR:SYMBOL=04916420&amp;VAR:INDEX=0"}</definedName>
    <definedName name="_9394__FDSAUDITLINK__" hidden="1">{"fdsup://directions/FAT Viewer?action=UPDATE&amp;creator=factset&amp;DYN_ARGS=TRUE&amp;DOC_NAME=FAT:FQL_AUDITING_CLIENT_TEMPLATE.FAT&amp;display_string=Audit&amp;VAR:KEY=HGXMBSXEXY&amp;VAR:QUERY=RkZfRUJJVERBX0lCKCdMVE1TJywzOTk3NSk=&amp;WINDOW=FIRST_POPUP&amp;HEIGHT=450&amp;WIDTH=450&amp;START_MA","XIMIZED=FALSE&amp;VAR:CALENDAR=US&amp;VAR:SYMBOL=04916420&amp;VAR:INDEX=0"}</definedName>
    <definedName name="_9395__FDSAUDITLINK__" localSheetId="6" hidden="1">{"fdsup://directions/FAT Viewer?action=UPDATE&amp;creator=factset&amp;DYN_ARGS=TRUE&amp;DOC_NAME=FAT:FQL_AUDITING_CLIENT_TEMPLATE.FAT&amp;display_string=Audit&amp;VAR:KEY=NOTMHSTWNE&amp;VAR:QUERY=RkZfRUJJVERBX0lCKCdMVE1TJywzOTk3NCk=&amp;WINDOW=FIRST_POPUP&amp;HEIGHT=450&amp;WIDTH=450&amp;START_MA","XIMIZED=FALSE&amp;VAR:CALENDAR=US&amp;VAR:SYMBOL=04916420&amp;VAR:INDEX=0"}</definedName>
    <definedName name="_9395__FDSAUDITLINK__" hidden="1">{"fdsup://directions/FAT Viewer?action=UPDATE&amp;creator=factset&amp;DYN_ARGS=TRUE&amp;DOC_NAME=FAT:FQL_AUDITING_CLIENT_TEMPLATE.FAT&amp;display_string=Audit&amp;VAR:KEY=NOTMHSTWNE&amp;VAR:QUERY=RkZfRUJJVERBX0lCKCdMVE1TJywzOTk3NCk=&amp;WINDOW=FIRST_POPUP&amp;HEIGHT=450&amp;WIDTH=450&amp;START_MA","XIMIZED=FALSE&amp;VAR:CALENDAR=US&amp;VAR:SYMBOL=04916420&amp;VAR:INDEX=0"}</definedName>
    <definedName name="_9396__FDSAUDITLINK__" localSheetId="6" hidden="1">{"fdsup://directions/FAT Viewer?action=UPDATE&amp;creator=factset&amp;DYN_ARGS=TRUE&amp;DOC_NAME=FAT:FQL_AUDITING_CLIENT_TEMPLATE.FAT&amp;display_string=Audit&amp;VAR:KEY=LYHIPKZSTY&amp;VAR:QUERY=RkZfRUJJVERBX0lCKCdMVE1TJywzOTk3Myk=&amp;WINDOW=FIRST_POPUP&amp;HEIGHT=450&amp;WIDTH=450&amp;START_MA","XIMIZED=FALSE&amp;VAR:CALENDAR=US&amp;VAR:SYMBOL=04916420&amp;VAR:INDEX=0"}</definedName>
    <definedName name="_9396__FDSAUDITLINK__" hidden="1">{"fdsup://directions/FAT Viewer?action=UPDATE&amp;creator=factset&amp;DYN_ARGS=TRUE&amp;DOC_NAME=FAT:FQL_AUDITING_CLIENT_TEMPLATE.FAT&amp;display_string=Audit&amp;VAR:KEY=LYHIPKZSTY&amp;VAR:QUERY=RkZfRUJJVERBX0lCKCdMVE1TJywzOTk3Myk=&amp;WINDOW=FIRST_POPUP&amp;HEIGHT=450&amp;WIDTH=450&amp;START_MA","XIMIZED=FALSE&amp;VAR:CALENDAR=US&amp;VAR:SYMBOL=04916420&amp;VAR:INDEX=0"}</definedName>
    <definedName name="_9397__FDSAUDITLINK__" localSheetId="6" hidden="1">{"fdsup://directions/FAT Viewer?action=UPDATE&amp;creator=factset&amp;DYN_ARGS=TRUE&amp;DOC_NAME=FAT:FQL_AUDITING_CLIENT_TEMPLATE.FAT&amp;display_string=Audit&amp;VAR:KEY=LALSRUJULC&amp;VAR:QUERY=RkZfRUJJVERBX0lCKCdMVE1TJywzOTk3Mik=&amp;WINDOW=FIRST_POPUP&amp;HEIGHT=450&amp;WIDTH=450&amp;START_MA","XIMIZED=FALSE&amp;VAR:CALENDAR=US&amp;VAR:SYMBOL=04916420&amp;VAR:INDEX=0"}</definedName>
    <definedName name="_9397__FDSAUDITLINK__" hidden="1">{"fdsup://directions/FAT Viewer?action=UPDATE&amp;creator=factset&amp;DYN_ARGS=TRUE&amp;DOC_NAME=FAT:FQL_AUDITING_CLIENT_TEMPLATE.FAT&amp;display_string=Audit&amp;VAR:KEY=LALSRUJULC&amp;VAR:QUERY=RkZfRUJJVERBX0lCKCdMVE1TJywzOTk3Mik=&amp;WINDOW=FIRST_POPUP&amp;HEIGHT=450&amp;WIDTH=450&amp;START_MA","XIMIZED=FALSE&amp;VAR:CALENDAR=US&amp;VAR:SYMBOL=04916420&amp;VAR:INDEX=0"}</definedName>
    <definedName name="_9398__FDSAUDITLINK__" localSheetId="6" hidden="1">{"fdsup://directions/FAT Viewer?action=UPDATE&amp;creator=factset&amp;DYN_ARGS=TRUE&amp;DOC_NAME=FAT:FQL_AUDITING_CLIENT_TEMPLATE.FAT&amp;display_string=Audit&amp;VAR:KEY=BIXCROREXK&amp;VAR:QUERY=RkZfRUJJVERBX0lCKCdMVE1TJywzOTk3MSk=&amp;WINDOW=FIRST_POPUP&amp;HEIGHT=450&amp;WIDTH=450&amp;START_MA","XIMIZED=FALSE&amp;VAR:CALENDAR=US&amp;VAR:SYMBOL=04916420&amp;VAR:INDEX=0"}</definedName>
    <definedName name="_9398__FDSAUDITLINK__" hidden="1">{"fdsup://directions/FAT Viewer?action=UPDATE&amp;creator=factset&amp;DYN_ARGS=TRUE&amp;DOC_NAME=FAT:FQL_AUDITING_CLIENT_TEMPLATE.FAT&amp;display_string=Audit&amp;VAR:KEY=BIXCROREXK&amp;VAR:QUERY=RkZfRUJJVERBX0lCKCdMVE1TJywzOTk3MSk=&amp;WINDOW=FIRST_POPUP&amp;HEIGHT=450&amp;WIDTH=450&amp;START_MA","XIMIZED=FALSE&amp;VAR:CALENDAR=US&amp;VAR:SYMBOL=04916420&amp;VAR:INDEX=0"}</definedName>
    <definedName name="_9399__FDSAUDITLINK__" localSheetId="6" hidden="1">{"fdsup://directions/FAT Viewer?action=UPDATE&amp;creator=factset&amp;DYN_ARGS=TRUE&amp;DOC_NAME=FAT:FQL_AUDITING_CLIENT_TEMPLATE.FAT&amp;display_string=Audit&amp;VAR:KEY=XGRCVIPQDK&amp;VAR:QUERY=RkZfRUJJVERBX0lCKCdMVE1TJywzOTk3MCk=&amp;WINDOW=FIRST_POPUP&amp;HEIGHT=450&amp;WIDTH=450&amp;START_MA","XIMIZED=FALSE&amp;VAR:CALENDAR=US&amp;VAR:SYMBOL=04916420&amp;VAR:INDEX=0"}</definedName>
    <definedName name="_9399__FDSAUDITLINK__" hidden="1">{"fdsup://directions/FAT Viewer?action=UPDATE&amp;creator=factset&amp;DYN_ARGS=TRUE&amp;DOC_NAME=FAT:FQL_AUDITING_CLIENT_TEMPLATE.FAT&amp;display_string=Audit&amp;VAR:KEY=XGRCVIPQDK&amp;VAR:QUERY=RkZfRUJJVERBX0lCKCdMVE1TJywzOTk3MCk=&amp;WINDOW=FIRST_POPUP&amp;HEIGHT=450&amp;WIDTH=450&amp;START_MA","XIMIZED=FALSE&amp;VAR:CALENDAR=US&amp;VAR:SYMBOL=04916420&amp;VAR:INDEX=0"}</definedName>
    <definedName name="_940__FDSAUDITLINK__" localSheetId="6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0__FDSAUDITLINK__" hidden="1">{"fdsup://directions/FAT%20Viewer?VAR:PED=LTM&amp;VAR:AUDIT_MODE=SUMMARY&amp;VAR:PERIOD=FIXED&amp;VAR:AUDIT_ID=00000117&amp;VAR:DATE=20070727&amp;action=UPDATE&amp;creator=factset&amp;DOC_NAME=FAT:FMA_audit_SUMMARY.fat&amp;DISPLAY_STRING=Display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00__FDSAUDITLINK__" localSheetId="6" hidden="1">{"fdsup://directions/FAT Viewer?action=UPDATE&amp;creator=factset&amp;DYN_ARGS=TRUE&amp;DOC_NAME=FAT:FQL_AUDITING_CLIENT_TEMPLATE.FAT&amp;display_string=Audit&amp;VAR:KEY=LQTCJYNORO&amp;VAR:QUERY=RkZfRUJJVERBX0lCKCdMVE1TJywzOTk2OSk=&amp;WINDOW=FIRST_POPUP&amp;HEIGHT=450&amp;WIDTH=450&amp;START_MA","XIMIZED=FALSE&amp;VAR:CALENDAR=US&amp;VAR:SYMBOL=04916420&amp;VAR:INDEX=0"}</definedName>
    <definedName name="_9400__FDSAUDITLINK__" hidden="1">{"fdsup://directions/FAT Viewer?action=UPDATE&amp;creator=factset&amp;DYN_ARGS=TRUE&amp;DOC_NAME=FAT:FQL_AUDITING_CLIENT_TEMPLATE.FAT&amp;display_string=Audit&amp;VAR:KEY=LQTCJYNORO&amp;VAR:QUERY=RkZfRUJJVERBX0lCKCdMVE1TJywzOTk2OSk=&amp;WINDOW=FIRST_POPUP&amp;HEIGHT=450&amp;WIDTH=450&amp;START_MA","XIMIZED=FALSE&amp;VAR:CALENDAR=US&amp;VAR:SYMBOL=04916420&amp;VAR:INDEX=0"}</definedName>
    <definedName name="_9401__FDSAUDITLINK__" localSheetId="6" hidden="1">{"fdsup://directions/FAT Viewer?action=UPDATE&amp;creator=factset&amp;DYN_ARGS=TRUE&amp;DOC_NAME=FAT:FQL_AUDITING_CLIENT_TEMPLATE.FAT&amp;display_string=Audit&amp;VAR:KEY=BUZSLSFEXA&amp;VAR:QUERY=RkZfRUJJVERBX0lCKCdMVE1TJywzOTk2OCk=&amp;WINDOW=FIRST_POPUP&amp;HEIGHT=450&amp;WIDTH=450&amp;START_MA","XIMIZED=FALSE&amp;VAR:CALENDAR=US&amp;VAR:SYMBOL=04916420&amp;VAR:INDEX=0"}</definedName>
    <definedName name="_9401__FDSAUDITLINK__" hidden="1">{"fdsup://directions/FAT Viewer?action=UPDATE&amp;creator=factset&amp;DYN_ARGS=TRUE&amp;DOC_NAME=FAT:FQL_AUDITING_CLIENT_TEMPLATE.FAT&amp;display_string=Audit&amp;VAR:KEY=BUZSLSFEXA&amp;VAR:QUERY=RkZfRUJJVERBX0lCKCdMVE1TJywzOTk2OCk=&amp;WINDOW=FIRST_POPUP&amp;HEIGHT=450&amp;WIDTH=450&amp;START_MA","XIMIZED=FALSE&amp;VAR:CALENDAR=US&amp;VAR:SYMBOL=04916420&amp;VAR:INDEX=0"}</definedName>
    <definedName name="_9402__FDSAUDITLINK__" localSheetId="6" hidden="1">{"fdsup://directions/FAT Viewer?action=UPDATE&amp;creator=factset&amp;DYN_ARGS=TRUE&amp;DOC_NAME=FAT:FQL_AUDITING_CLIENT_TEMPLATE.FAT&amp;display_string=Audit&amp;VAR:KEY=RCVQBWVOZW&amp;VAR:QUERY=RkZfRUJJVERBX0lCKCdMVE1TJywzOTk2Nyk=&amp;WINDOW=FIRST_POPUP&amp;HEIGHT=450&amp;WIDTH=450&amp;START_MA","XIMIZED=FALSE&amp;VAR:CALENDAR=US&amp;VAR:SYMBOL=04916420&amp;VAR:INDEX=0"}</definedName>
    <definedName name="_9402__FDSAUDITLINK__" hidden="1">{"fdsup://directions/FAT Viewer?action=UPDATE&amp;creator=factset&amp;DYN_ARGS=TRUE&amp;DOC_NAME=FAT:FQL_AUDITING_CLIENT_TEMPLATE.FAT&amp;display_string=Audit&amp;VAR:KEY=RCVQBWVOZW&amp;VAR:QUERY=RkZfRUJJVERBX0lCKCdMVE1TJywzOTk2Nyk=&amp;WINDOW=FIRST_POPUP&amp;HEIGHT=450&amp;WIDTH=450&amp;START_MA","XIMIZED=FALSE&amp;VAR:CALENDAR=US&amp;VAR:SYMBOL=04916420&amp;VAR:INDEX=0"}</definedName>
    <definedName name="_9403__FDSAUDITLINK__" localSheetId="6" hidden="1">{"fdsup://directions/FAT Viewer?action=UPDATE&amp;creator=factset&amp;DYN_ARGS=TRUE&amp;DOC_NAME=FAT:FQL_AUDITING_CLIENT_TEMPLATE.FAT&amp;display_string=Audit&amp;VAR:KEY=RCRGZWLAZK&amp;VAR:QUERY=RkZfRUJJVERBX0lCKCdMVE1TJywzOTk2Nik=&amp;WINDOW=FIRST_POPUP&amp;HEIGHT=450&amp;WIDTH=450&amp;START_MA","XIMIZED=FALSE&amp;VAR:CALENDAR=US&amp;VAR:SYMBOL=04916420&amp;VAR:INDEX=0"}</definedName>
    <definedName name="_9403__FDSAUDITLINK__" hidden="1">{"fdsup://directions/FAT Viewer?action=UPDATE&amp;creator=factset&amp;DYN_ARGS=TRUE&amp;DOC_NAME=FAT:FQL_AUDITING_CLIENT_TEMPLATE.FAT&amp;display_string=Audit&amp;VAR:KEY=RCRGZWLAZK&amp;VAR:QUERY=RkZfRUJJVERBX0lCKCdMVE1TJywzOTk2Nik=&amp;WINDOW=FIRST_POPUP&amp;HEIGHT=450&amp;WIDTH=450&amp;START_MA","XIMIZED=FALSE&amp;VAR:CALENDAR=US&amp;VAR:SYMBOL=04916420&amp;VAR:INDEX=0"}</definedName>
    <definedName name="_9404__FDSAUDITLINK__" localSheetId="6" hidden="1">{"fdsup://directions/FAT Viewer?action=UPDATE&amp;creator=factset&amp;DYN_ARGS=TRUE&amp;DOC_NAME=FAT:FQL_AUDITING_CLIENT_TEMPLATE.FAT&amp;display_string=Audit&amp;VAR:KEY=FUTUZARADG&amp;VAR:QUERY=RkZfRUJJVERBX0lCKCdMVE1TJywzOTk2NSk=&amp;WINDOW=FIRST_POPUP&amp;HEIGHT=450&amp;WIDTH=450&amp;START_MA","XIMIZED=FALSE&amp;VAR:CALENDAR=US&amp;VAR:SYMBOL=04916420&amp;VAR:INDEX=0"}</definedName>
    <definedName name="_9404__FDSAUDITLINK__" hidden="1">{"fdsup://directions/FAT Viewer?action=UPDATE&amp;creator=factset&amp;DYN_ARGS=TRUE&amp;DOC_NAME=FAT:FQL_AUDITING_CLIENT_TEMPLATE.FAT&amp;display_string=Audit&amp;VAR:KEY=FUTUZARADG&amp;VAR:QUERY=RkZfRUJJVERBX0lCKCdMVE1TJywzOTk2NSk=&amp;WINDOW=FIRST_POPUP&amp;HEIGHT=450&amp;WIDTH=450&amp;START_MA","XIMIZED=FALSE&amp;VAR:CALENDAR=US&amp;VAR:SYMBOL=04916420&amp;VAR:INDEX=0"}</definedName>
    <definedName name="_9405__FDSAUDITLINK__" localSheetId="6" hidden="1">{"fdsup://directions/FAT Viewer?action=UPDATE&amp;creator=factset&amp;DYN_ARGS=TRUE&amp;DOC_NAME=FAT:FQL_AUDITING_CLIENT_TEMPLATE.FAT&amp;display_string=Audit&amp;VAR:KEY=XWJGBWFIZY&amp;VAR:QUERY=RkZfRUJJVERBX0lCKCdMVE1TJywzOTk2NCk=&amp;WINDOW=FIRST_POPUP&amp;HEIGHT=450&amp;WIDTH=450&amp;START_MA","XIMIZED=FALSE&amp;VAR:CALENDAR=US&amp;VAR:SYMBOL=04916420&amp;VAR:INDEX=0"}</definedName>
    <definedName name="_9405__FDSAUDITLINK__" hidden="1">{"fdsup://directions/FAT Viewer?action=UPDATE&amp;creator=factset&amp;DYN_ARGS=TRUE&amp;DOC_NAME=FAT:FQL_AUDITING_CLIENT_TEMPLATE.FAT&amp;display_string=Audit&amp;VAR:KEY=XWJGBWFIZY&amp;VAR:QUERY=RkZfRUJJVERBX0lCKCdMVE1TJywzOTk2NCk=&amp;WINDOW=FIRST_POPUP&amp;HEIGHT=450&amp;WIDTH=450&amp;START_MA","XIMIZED=FALSE&amp;VAR:CALENDAR=US&amp;VAR:SYMBOL=04916420&amp;VAR:INDEX=0"}</definedName>
    <definedName name="_9406__FDSAUDITLINK__" localSheetId="6" hidden="1">{"fdsup://directions/FAT Viewer?action=UPDATE&amp;creator=factset&amp;DYN_ARGS=TRUE&amp;DOC_NAME=FAT:FQL_AUDITING_CLIENT_TEMPLATE.FAT&amp;display_string=Audit&amp;VAR:KEY=TEBCNSDADC&amp;VAR:QUERY=RkZfRUJJVERBX0lCKCdMVE1TJywzOTk2Myk=&amp;WINDOW=FIRST_POPUP&amp;HEIGHT=450&amp;WIDTH=450&amp;START_MA","XIMIZED=FALSE&amp;VAR:CALENDAR=US&amp;VAR:SYMBOL=04916420&amp;VAR:INDEX=0"}</definedName>
    <definedName name="_9406__FDSAUDITLINK__" hidden="1">{"fdsup://directions/FAT Viewer?action=UPDATE&amp;creator=factset&amp;DYN_ARGS=TRUE&amp;DOC_NAME=FAT:FQL_AUDITING_CLIENT_TEMPLATE.FAT&amp;display_string=Audit&amp;VAR:KEY=TEBCNSDADC&amp;VAR:QUERY=RkZfRUJJVERBX0lCKCdMVE1TJywzOTk2Myk=&amp;WINDOW=FIRST_POPUP&amp;HEIGHT=450&amp;WIDTH=450&amp;START_MA","XIMIZED=FALSE&amp;VAR:CALENDAR=US&amp;VAR:SYMBOL=04916420&amp;VAR:INDEX=0"}</definedName>
    <definedName name="_9407__FDSAUDITLINK__" localSheetId="6" hidden="1">{"fdsup://directions/FAT Viewer?action=UPDATE&amp;creator=factset&amp;DYN_ARGS=TRUE&amp;DOC_NAME=FAT:FQL_AUDITING_CLIENT_TEMPLATE.FAT&amp;display_string=Audit&amp;VAR:KEY=TYFWXMZUJS&amp;VAR:QUERY=RkZfRUJJVERBX0lCKCdMVE1TJywzOTk2Mik=&amp;WINDOW=FIRST_POPUP&amp;HEIGHT=450&amp;WIDTH=450&amp;START_MA","XIMIZED=FALSE&amp;VAR:CALENDAR=US&amp;VAR:SYMBOL=04916420&amp;VAR:INDEX=0"}</definedName>
    <definedName name="_9407__FDSAUDITLINK__" hidden="1">{"fdsup://directions/FAT Viewer?action=UPDATE&amp;creator=factset&amp;DYN_ARGS=TRUE&amp;DOC_NAME=FAT:FQL_AUDITING_CLIENT_TEMPLATE.FAT&amp;display_string=Audit&amp;VAR:KEY=TYFWXMZUJS&amp;VAR:QUERY=RkZfRUJJVERBX0lCKCdMVE1TJywzOTk2Mik=&amp;WINDOW=FIRST_POPUP&amp;HEIGHT=450&amp;WIDTH=450&amp;START_MA","XIMIZED=FALSE&amp;VAR:CALENDAR=US&amp;VAR:SYMBOL=04916420&amp;VAR:INDEX=0"}</definedName>
    <definedName name="_9408__FDSAUDITLINK__" localSheetId="6" hidden="1">{"fdsup://directions/FAT Viewer?action=UPDATE&amp;creator=factset&amp;DYN_ARGS=TRUE&amp;DOC_NAME=FAT:FQL_AUDITING_CLIENT_TEMPLATE.FAT&amp;display_string=Audit&amp;VAR:KEY=XYHWDKFYZE&amp;VAR:QUERY=RkZfRUJJVERBX0lCKCdMVE1TJywzOTk2MSk=&amp;WINDOW=FIRST_POPUP&amp;HEIGHT=450&amp;WIDTH=450&amp;START_MA","XIMIZED=FALSE&amp;VAR:CALENDAR=US&amp;VAR:SYMBOL=04916420&amp;VAR:INDEX=0"}</definedName>
    <definedName name="_9408__FDSAUDITLINK__" hidden="1">{"fdsup://directions/FAT Viewer?action=UPDATE&amp;creator=factset&amp;DYN_ARGS=TRUE&amp;DOC_NAME=FAT:FQL_AUDITING_CLIENT_TEMPLATE.FAT&amp;display_string=Audit&amp;VAR:KEY=XYHWDKFYZE&amp;VAR:QUERY=RkZfRUJJVERBX0lCKCdMVE1TJywzOTk2MSk=&amp;WINDOW=FIRST_POPUP&amp;HEIGHT=450&amp;WIDTH=450&amp;START_MA","XIMIZED=FALSE&amp;VAR:CALENDAR=US&amp;VAR:SYMBOL=04916420&amp;VAR:INDEX=0"}</definedName>
    <definedName name="_9409__FDSAUDITLINK__" localSheetId="6" hidden="1">{"fdsup://directions/FAT Viewer?action=UPDATE&amp;creator=factset&amp;DYN_ARGS=TRUE&amp;DOC_NAME=FAT:FQL_AUDITING_CLIENT_TEMPLATE.FAT&amp;display_string=Audit&amp;VAR:KEY=TIPWNKJWHC&amp;VAR:QUERY=RkZfRUJJVERBX0lCKCdMVE1TJywzOTk2MCk=&amp;WINDOW=FIRST_POPUP&amp;HEIGHT=450&amp;WIDTH=450&amp;START_MA","XIMIZED=FALSE&amp;VAR:CALENDAR=US&amp;VAR:SYMBOL=04916420&amp;VAR:INDEX=0"}</definedName>
    <definedName name="_9409__FDSAUDITLINK__" hidden="1">{"fdsup://directions/FAT Viewer?action=UPDATE&amp;creator=factset&amp;DYN_ARGS=TRUE&amp;DOC_NAME=FAT:FQL_AUDITING_CLIENT_TEMPLATE.FAT&amp;display_string=Audit&amp;VAR:KEY=TIPWNKJWHC&amp;VAR:QUERY=RkZfRUJJVERBX0lCKCdMVE1TJywzOTk2MCk=&amp;WINDOW=FIRST_POPUP&amp;HEIGHT=450&amp;WIDTH=450&amp;START_MA","XIMIZED=FALSE&amp;VAR:CALENDAR=US&amp;VAR:SYMBOL=04916420&amp;VAR:INDEX=0"}</definedName>
    <definedName name="_941__FDSAUDITLINK__" localSheetId="6" hidden="1">{"fdsup://directions/FAT%20Viewer?VAR:PED=LTM&amp;VAR:AUDIT_MODE=SUMMARY&amp;VAR:PERIOD=FIXED&amp;VAR:AUDIT_ID=00000117&amp;VAR:DATE=20070726&amp;action=UPDATE&amp;creator=factset&amp;DOC_NAME=FAT:FMA_audit_SUMMARY.fat&amp;DISPLAY_STRING=Display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1__FDSAUDITLINK__" hidden="1">{"fdsup://directions/FAT%20Viewer?VAR:PED=LTM&amp;VAR:AUDIT_MODE=SUMMARY&amp;VAR:PERIOD=FIXED&amp;VAR:AUDIT_ID=00000117&amp;VAR:DATE=20070726&amp;action=UPDATE&amp;creator=factset&amp;DOC_NAME=FAT:FMA_audit_SUMMARY.fat&amp;DISPLAY_STRING=Display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10__FDSAUDITLINK__" localSheetId="6" hidden="1">{"fdsup://directions/FAT Viewer?action=UPDATE&amp;creator=factset&amp;DYN_ARGS=TRUE&amp;DOC_NAME=FAT:FQL_AUDITING_CLIENT_TEMPLATE.FAT&amp;display_string=Audit&amp;VAR:KEY=NUPWNODYRM&amp;VAR:QUERY=RkZfRUJJVERBX0lCKCdMVE1TJywzOTk1OSk=&amp;WINDOW=FIRST_POPUP&amp;HEIGHT=450&amp;WIDTH=450&amp;START_MA","XIMIZED=FALSE&amp;VAR:CALENDAR=US&amp;VAR:SYMBOL=04916420&amp;VAR:INDEX=0"}</definedName>
    <definedName name="_9410__FDSAUDITLINK__" hidden="1">{"fdsup://directions/FAT Viewer?action=UPDATE&amp;creator=factset&amp;DYN_ARGS=TRUE&amp;DOC_NAME=FAT:FQL_AUDITING_CLIENT_TEMPLATE.FAT&amp;display_string=Audit&amp;VAR:KEY=NUPWNODYRM&amp;VAR:QUERY=RkZfRUJJVERBX0lCKCdMVE1TJywzOTk1OSk=&amp;WINDOW=FIRST_POPUP&amp;HEIGHT=450&amp;WIDTH=450&amp;START_MA","XIMIZED=FALSE&amp;VAR:CALENDAR=US&amp;VAR:SYMBOL=04916420&amp;VAR:INDEX=0"}</definedName>
    <definedName name="_9411__FDSAUDITLINK__" localSheetId="6" hidden="1">{"fdsup://directions/FAT Viewer?action=UPDATE&amp;creator=factset&amp;DYN_ARGS=TRUE&amp;DOC_NAME=FAT:FQL_AUDITING_CLIENT_TEMPLATE.FAT&amp;display_string=Audit&amp;VAR:KEY=PKFQVYTCNQ&amp;VAR:QUERY=RkZfRUJJVERBX0lCKCdMVE1TJywzOTk1OCk=&amp;WINDOW=FIRST_POPUP&amp;HEIGHT=450&amp;WIDTH=450&amp;START_MA","XIMIZED=FALSE&amp;VAR:CALENDAR=US&amp;VAR:SYMBOL=04916420&amp;VAR:INDEX=0"}</definedName>
    <definedName name="_9411__FDSAUDITLINK__" hidden="1">{"fdsup://directions/FAT Viewer?action=UPDATE&amp;creator=factset&amp;DYN_ARGS=TRUE&amp;DOC_NAME=FAT:FQL_AUDITING_CLIENT_TEMPLATE.FAT&amp;display_string=Audit&amp;VAR:KEY=PKFQVYTCNQ&amp;VAR:QUERY=RkZfRUJJVERBX0lCKCdMVE1TJywzOTk1OCk=&amp;WINDOW=FIRST_POPUP&amp;HEIGHT=450&amp;WIDTH=450&amp;START_MA","XIMIZED=FALSE&amp;VAR:CALENDAR=US&amp;VAR:SYMBOL=04916420&amp;VAR:INDEX=0"}</definedName>
    <definedName name="_9412__FDSAUDITLINK__" localSheetId="6" hidden="1">{"fdsup://directions/FAT Viewer?action=UPDATE&amp;creator=factset&amp;DYN_ARGS=TRUE&amp;DOC_NAME=FAT:FQL_AUDITING_CLIENT_TEMPLATE.FAT&amp;display_string=Audit&amp;VAR:KEY=BIBKTYJERW&amp;VAR:QUERY=RkZfRUJJVERBX0lCKCdMVE1TJywzOTk1Nyk=&amp;WINDOW=FIRST_POPUP&amp;HEIGHT=450&amp;WIDTH=450&amp;START_MA","XIMIZED=FALSE&amp;VAR:CALENDAR=US&amp;VAR:SYMBOL=04916420&amp;VAR:INDEX=0"}</definedName>
    <definedName name="_9412__FDSAUDITLINK__" hidden="1">{"fdsup://directions/FAT Viewer?action=UPDATE&amp;creator=factset&amp;DYN_ARGS=TRUE&amp;DOC_NAME=FAT:FQL_AUDITING_CLIENT_TEMPLATE.FAT&amp;display_string=Audit&amp;VAR:KEY=BIBKTYJERW&amp;VAR:QUERY=RkZfRUJJVERBX0lCKCdMVE1TJywzOTk1Nyk=&amp;WINDOW=FIRST_POPUP&amp;HEIGHT=450&amp;WIDTH=450&amp;START_MA","XIMIZED=FALSE&amp;VAR:CALENDAR=US&amp;VAR:SYMBOL=04916420&amp;VAR:INDEX=0"}</definedName>
    <definedName name="_9413__FDSAUDITLINK__" localSheetId="6" hidden="1">{"fdsup://directions/FAT Viewer?action=UPDATE&amp;creator=factset&amp;DYN_ARGS=TRUE&amp;DOC_NAME=FAT:FQL_AUDITING_CLIENT_TEMPLATE.FAT&amp;display_string=Audit&amp;VAR:KEY=HEXCXMZEVA&amp;VAR:QUERY=RkZfRUJJVERBX0lCKCdMVE1TJywzOTk1Nik=&amp;WINDOW=FIRST_POPUP&amp;HEIGHT=450&amp;WIDTH=450&amp;START_MA","XIMIZED=FALSE&amp;VAR:CALENDAR=US&amp;VAR:SYMBOL=04916420&amp;VAR:INDEX=0"}</definedName>
    <definedName name="_9413__FDSAUDITLINK__" hidden="1">{"fdsup://directions/FAT Viewer?action=UPDATE&amp;creator=factset&amp;DYN_ARGS=TRUE&amp;DOC_NAME=FAT:FQL_AUDITING_CLIENT_TEMPLATE.FAT&amp;display_string=Audit&amp;VAR:KEY=HEXCXMZEVA&amp;VAR:QUERY=RkZfRUJJVERBX0lCKCdMVE1TJywzOTk1Nik=&amp;WINDOW=FIRST_POPUP&amp;HEIGHT=450&amp;WIDTH=450&amp;START_MA","XIMIZED=FALSE&amp;VAR:CALENDAR=US&amp;VAR:SYMBOL=04916420&amp;VAR:INDEX=0"}</definedName>
    <definedName name="_9414__FDSAUDITLINK__" localSheetId="6" hidden="1">{"fdsup://directions/FAT Viewer?action=UPDATE&amp;creator=factset&amp;DYN_ARGS=TRUE&amp;DOC_NAME=FAT:FQL_AUDITING_CLIENT_TEMPLATE.FAT&amp;display_string=Audit&amp;VAR:KEY=BITKHCRSXQ&amp;VAR:QUERY=RkZfRUJJVERBX0lCKCdMVE1TJywzOTk1NSk=&amp;WINDOW=FIRST_POPUP&amp;HEIGHT=450&amp;WIDTH=450&amp;START_MA","XIMIZED=FALSE&amp;VAR:CALENDAR=US&amp;VAR:SYMBOL=04916420&amp;VAR:INDEX=0"}</definedName>
    <definedName name="_9414__FDSAUDITLINK__" hidden="1">{"fdsup://directions/FAT Viewer?action=UPDATE&amp;creator=factset&amp;DYN_ARGS=TRUE&amp;DOC_NAME=FAT:FQL_AUDITING_CLIENT_TEMPLATE.FAT&amp;display_string=Audit&amp;VAR:KEY=BITKHCRSXQ&amp;VAR:QUERY=RkZfRUJJVERBX0lCKCdMVE1TJywzOTk1NSk=&amp;WINDOW=FIRST_POPUP&amp;HEIGHT=450&amp;WIDTH=450&amp;START_MA","XIMIZED=FALSE&amp;VAR:CALENDAR=US&amp;VAR:SYMBOL=04916420&amp;VAR:INDEX=0"}</definedName>
    <definedName name="_9415__FDSAUDITLINK__" localSheetId="6" hidden="1">{"fdsup://directions/FAT Viewer?action=UPDATE&amp;creator=factset&amp;DYN_ARGS=TRUE&amp;DOC_NAME=FAT:FQL_AUDITING_CLIENT_TEMPLATE.FAT&amp;display_string=Audit&amp;VAR:KEY=PYHEXCFAPQ&amp;VAR:QUERY=RkZfRUJJVERBX0lCKCdMVE1TJywzOTk1NCk=&amp;WINDOW=FIRST_POPUP&amp;HEIGHT=450&amp;WIDTH=450&amp;START_MA","XIMIZED=FALSE&amp;VAR:CALENDAR=US&amp;VAR:SYMBOL=04916420&amp;VAR:INDEX=0"}</definedName>
    <definedName name="_9415__FDSAUDITLINK__" hidden="1">{"fdsup://directions/FAT Viewer?action=UPDATE&amp;creator=factset&amp;DYN_ARGS=TRUE&amp;DOC_NAME=FAT:FQL_AUDITING_CLIENT_TEMPLATE.FAT&amp;display_string=Audit&amp;VAR:KEY=PYHEXCFAPQ&amp;VAR:QUERY=RkZfRUJJVERBX0lCKCdMVE1TJywzOTk1NCk=&amp;WINDOW=FIRST_POPUP&amp;HEIGHT=450&amp;WIDTH=450&amp;START_MA","XIMIZED=FALSE&amp;VAR:CALENDAR=US&amp;VAR:SYMBOL=04916420&amp;VAR:INDEX=0"}</definedName>
    <definedName name="_9416__FDSAUDITLINK__" localSheetId="6" hidden="1">{"fdsup://directions/FAT Viewer?action=UPDATE&amp;creator=factset&amp;DYN_ARGS=TRUE&amp;DOC_NAME=FAT:FQL_AUDITING_CLIENT_TEMPLATE.FAT&amp;display_string=Audit&amp;VAR:KEY=RALONUNUDE&amp;VAR:QUERY=RkZfRUJJVERBX0lCKCdMVE1TJywzOTk1Myk=&amp;WINDOW=FIRST_POPUP&amp;HEIGHT=450&amp;WIDTH=450&amp;START_MA","XIMIZED=FALSE&amp;VAR:CALENDAR=US&amp;VAR:SYMBOL=04916420&amp;VAR:INDEX=0"}</definedName>
    <definedName name="_9416__FDSAUDITLINK__" hidden="1">{"fdsup://directions/FAT Viewer?action=UPDATE&amp;creator=factset&amp;DYN_ARGS=TRUE&amp;DOC_NAME=FAT:FQL_AUDITING_CLIENT_TEMPLATE.FAT&amp;display_string=Audit&amp;VAR:KEY=RALONUNUDE&amp;VAR:QUERY=RkZfRUJJVERBX0lCKCdMVE1TJywzOTk1Myk=&amp;WINDOW=FIRST_POPUP&amp;HEIGHT=450&amp;WIDTH=450&amp;START_MA","XIMIZED=FALSE&amp;VAR:CALENDAR=US&amp;VAR:SYMBOL=04916420&amp;VAR:INDEX=0"}</definedName>
    <definedName name="_9417__FDSAUDITLINK__" localSheetId="6" hidden="1">{"fdsup://directions/FAT Viewer?action=UPDATE&amp;creator=factset&amp;DYN_ARGS=TRUE&amp;DOC_NAME=FAT:FQL_AUDITING_CLIENT_TEMPLATE.FAT&amp;display_string=Audit&amp;VAR:KEY=RETKHEBKBQ&amp;VAR:QUERY=RkZfRUJJVERBX0lCKCdMVE1TJywzOTk1Mik=&amp;WINDOW=FIRST_POPUP&amp;HEIGHT=450&amp;WIDTH=450&amp;START_MA","XIMIZED=FALSE&amp;VAR:CALENDAR=US&amp;VAR:SYMBOL=04916420&amp;VAR:INDEX=0"}</definedName>
    <definedName name="_9417__FDSAUDITLINK__" hidden="1">{"fdsup://directions/FAT Viewer?action=UPDATE&amp;creator=factset&amp;DYN_ARGS=TRUE&amp;DOC_NAME=FAT:FQL_AUDITING_CLIENT_TEMPLATE.FAT&amp;display_string=Audit&amp;VAR:KEY=RETKHEBKBQ&amp;VAR:QUERY=RkZfRUJJVERBX0lCKCdMVE1TJywzOTk1Mik=&amp;WINDOW=FIRST_POPUP&amp;HEIGHT=450&amp;WIDTH=450&amp;START_MA","XIMIZED=FALSE&amp;VAR:CALENDAR=US&amp;VAR:SYMBOL=04916420&amp;VAR:INDEX=0"}</definedName>
    <definedName name="_9418__FDSAUDITLINK__" localSheetId="6" hidden="1">{"fdsup://directions/FAT Viewer?action=UPDATE&amp;creator=factset&amp;DYN_ARGS=TRUE&amp;DOC_NAME=FAT:FQL_AUDITING_CLIENT_TEMPLATE.FAT&amp;display_string=Audit&amp;VAR:KEY=JAFQZAJIPE&amp;VAR:QUERY=RkZfRUJJVERBX0lCKCdMVE1TJywzOTk1MSk=&amp;WINDOW=FIRST_POPUP&amp;HEIGHT=450&amp;WIDTH=450&amp;START_MA","XIMIZED=FALSE&amp;VAR:CALENDAR=US&amp;VAR:SYMBOL=04916420&amp;VAR:INDEX=0"}</definedName>
    <definedName name="_9418__FDSAUDITLINK__" hidden="1">{"fdsup://directions/FAT Viewer?action=UPDATE&amp;creator=factset&amp;DYN_ARGS=TRUE&amp;DOC_NAME=FAT:FQL_AUDITING_CLIENT_TEMPLATE.FAT&amp;display_string=Audit&amp;VAR:KEY=JAFQZAJIPE&amp;VAR:QUERY=RkZfRUJJVERBX0lCKCdMVE1TJywzOTk1MSk=&amp;WINDOW=FIRST_POPUP&amp;HEIGHT=450&amp;WIDTH=450&amp;START_MA","XIMIZED=FALSE&amp;VAR:CALENDAR=US&amp;VAR:SYMBOL=04916420&amp;VAR:INDEX=0"}</definedName>
    <definedName name="_9419__FDSAUDITLINK__" localSheetId="6" hidden="1">{"fdsup://directions/FAT Viewer?action=UPDATE&amp;creator=factset&amp;DYN_ARGS=TRUE&amp;DOC_NAME=FAT:FQL_AUDITING_CLIENT_TEMPLATE.FAT&amp;display_string=Audit&amp;VAR:KEY=TIZERITAZS&amp;VAR:QUERY=RkZfRUJJVERBX0lCKCdMVE1TJywzOTk1MCk=&amp;WINDOW=FIRST_POPUP&amp;HEIGHT=450&amp;WIDTH=450&amp;START_MA","XIMIZED=FALSE&amp;VAR:CALENDAR=US&amp;VAR:SYMBOL=04916420&amp;VAR:INDEX=0"}</definedName>
    <definedName name="_9419__FDSAUDITLINK__" hidden="1">{"fdsup://directions/FAT Viewer?action=UPDATE&amp;creator=factset&amp;DYN_ARGS=TRUE&amp;DOC_NAME=FAT:FQL_AUDITING_CLIENT_TEMPLATE.FAT&amp;display_string=Audit&amp;VAR:KEY=TIZERITAZS&amp;VAR:QUERY=RkZfRUJJVERBX0lCKCdMVE1TJywzOTk1MCk=&amp;WINDOW=FIRST_POPUP&amp;HEIGHT=450&amp;WIDTH=450&amp;START_MA","XIMIZED=FALSE&amp;VAR:CALENDAR=US&amp;VAR:SYMBOL=04916420&amp;VAR:INDEX=0"}</definedName>
    <definedName name="_942__FDSAUDITLINK__" localSheetId="6" hidden="1">{"fdsup://directions/FAT%20Viewer?VAR:PED=LTM&amp;VAR:AUDIT_MODE=SUMMARY&amp;VAR:PERIOD=FIXED&amp;VAR:AUDIT_ID=00000117&amp;VAR:DATE=20070725&amp;action=UPDATE&amp;creator=factset&amp;DOC_NAME=FAT:FMA_audit_SUMMARY.fat&amp;DISPLAY_STRING=Display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2__FDSAUDITLINK__" hidden="1">{"fdsup://directions/FAT%20Viewer?VAR:PED=LTM&amp;VAR:AUDIT_MODE=SUMMARY&amp;VAR:PERIOD=FIXED&amp;VAR:AUDIT_ID=00000117&amp;VAR:DATE=20070725&amp;action=UPDATE&amp;creator=factset&amp;DOC_NAME=FAT:FMA_audit_SUMMARY.fat&amp;DISPLAY_STRING=Display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20__FDSAUDITLINK__" localSheetId="6" hidden="1">{"fdsup://directions/FAT Viewer?action=UPDATE&amp;creator=factset&amp;DYN_ARGS=TRUE&amp;DOC_NAME=FAT:FQL_AUDITING_CLIENT_TEMPLATE.FAT&amp;display_string=Audit&amp;VAR:KEY=XAJCPSTAHI&amp;VAR:QUERY=RkZfRUJJVERBX0lCKCdMVE1TJywzOTk0OSk=&amp;WINDOW=FIRST_POPUP&amp;HEIGHT=450&amp;WIDTH=450&amp;START_MA","XIMIZED=FALSE&amp;VAR:CALENDAR=US&amp;VAR:SYMBOL=04916420&amp;VAR:INDEX=0"}</definedName>
    <definedName name="_9420__FDSAUDITLINK__" hidden="1">{"fdsup://directions/FAT Viewer?action=UPDATE&amp;creator=factset&amp;DYN_ARGS=TRUE&amp;DOC_NAME=FAT:FQL_AUDITING_CLIENT_TEMPLATE.FAT&amp;display_string=Audit&amp;VAR:KEY=XAJCPSTAHI&amp;VAR:QUERY=RkZfRUJJVERBX0lCKCdMVE1TJywzOTk0OSk=&amp;WINDOW=FIRST_POPUP&amp;HEIGHT=450&amp;WIDTH=450&amp;START_MA","XIMIZED=FALSE&amp;VAR:CALENDAR=US&amp;VAR:SYMBOL=04916420&amp;VAR:INDEX=0"}</definedName>
    <definedName name="_9421__FDSAUDITLINK__" localSheetId="6" hidden="1">{"fdsup://directions/FAT Viewer?action=UPDATE&amp;creator=factset&amp;DYN_ARGS=TRUE&amp;DOC_NAME=FAT:FQL_AUDITING_CLIENT_TEMPLATE.FAT&amp;display_string=Audit&amp;VAR:KEY=BEDIDKHIXU&amp;VAR:QUERY=RkZfRUJJVERBX0lCKCdMVE1TJywzOTk0OCk=&amp;WINDOW=FIRST_POPUP&amp;HEIGHT=450&amp;WIDTH=450&amp;START_MA","XIMIZED=FALSE&amp;VAR:CALENDAR=US&amp;VAR:SYMBOL=04916420&amp;VAR:INDEX=0"}</definedName>
    <definedName name="_9421__FDSAUDITLINK__" hidden="1">{"fdsup://directions/FAT Viewer?action=UPDATE&amp;creator=factset&amp;DYN_ARGS=TRUE&amp;DOC_NAME=FAT:FQL_AUDITING_CLIENT_TEMPLATE.FAT&amp;display_string=Audit&amp;VAR:KEY=BEDIDKHIXU&amp;VAR:QUERY=RkZfRUJJVERBX0lCKCdMVE1TJywzOTk0OCk=&amp;WINDOW=FIRST_POPUP&amp;HEIGHT=450&amp;WIDTH=450&amp;START_MA","XIMIZED=FALSE&amp;VAR:CALENDAR=US&amp;VAR:SYMBOL=04916420&amp;VAR:INDEX=0"}</definedName>
    <definedName name="_9422__FDSAUDITLINK__" localSheetId="6" hidden="1">{"fdsup://directions/FAT Viewer?action=UPDATE&amp;creator=factset&amp;DYN_ARGS=TRUE&amp;DOC_NAME=FAT:FQL_AUDITING_CLIENT_TEMPLATE.FAT&amp;display_string=Audit&amp;VAR:KEY=PQPEJKZOLU&amp;VAR:QUERY=RkZfRUJJVERBX0lCKCdMVE1TJywzOTk0Nyk=&amp;WINDOW=FIRST_POPUP&amp;HEIGHT=450&amp;WIDTH=450&amp;START_MA","XIMIZED=FALSE&amp;VAR:CALENDAR=US&amp;VAR:SYMBOL=04916420&amp;VAR:INDEX=0"}</definedName>
    <definedName name="_9422__FDSAUDITLINK__" hidden="1">{"fdsup://directions/FAT Viewer?action=UPDATE&amp;creator=factset&amp;DYN_ARGS=TRUE&amp;DOC_NAME=FAT:FQL_AUDITING_CLIENT_TEMPLATE.FAT&amp;display_string=Audit&amp;VAR:KEY=PQPEJKZOLU&amp;VAR:QUERY=RkZfRUJJVERBX0lCKCdMVE1TJywzOTk0Nyk=&amp;WINDOW=FIRST_POPUP&amp;HEIGHT=450&amp;WIDTH=450&amp;START_MA","XIMIZED=FALSE&amp;VAR:CALENDAR=US&amp;VAR:SYMBOL=04916420&amp;VAR:INDEX=0"}</definedName>
    <definedName name="_9423__FDSAUDITLINK__" localSheetId="6" hidden="1">{"fdsup://directions/FAT Viewer?action=UPDATE&amp;creator=factset&amp;DYN_ARGS=TRUE&amp;DOC_NAME=FAT:FQL_AUDITING_CLIENT_TEMPLATE.FAT&amp;display_string=Audit&amp;VAR:KEY=LABIPSNSPQ&amp;VAR:QUERY=RkZfRUJJVERBX0lCKCdMVE1TJywzOTk0Nik=&amp;WINDOW=FIRST_POPUP&amp;HEIGHT=450&amp;WIDTH=450&amp;START_MA","XIMIZED=FALSE&amp;VAR:CALENDAR=US&amp;VAR:SYMBOL=04916420&amp;VAR:INDEX=0"}</definedName>
    <definedName name="_9423__FDSAUDITLINK__" hidden="1">{"fdsup://directions/FAT Viewer?action=UPDATE&amp;creator=factset&amp;DYN_ARGS=TRUE&amp;DOC_NAME=FAT:FQL_AUDITING_CLIENT_TEMPLATE.FAT&amp;display_string=Audit&amp;VAR:KEY=LABIPSNSPQ&amp;VAR:QUERY=RkZfRUJJVERBX0lCKCdMVE1TJywzOTk0Nik=&amp;WINDOW=FIRST_POPUP&amp;HEIGHT=450&amp;WIDTH=450&amp;START_MA","XIMIZED=FALSE&amp;VAR:CALENDAR=US&amp;VAR:SYMBOL=04916420&amp;VAR:INDEX=0"}</definedName>
    <definedName name="_9424__FDSAUDITLINK__" localSheetId="6" hidden="1">{"fdsup://directions/FAT Viewer?action=UPDATE&amp;creator=factset&amp;DYN_ARGS=TRUE&amp;DOC_NAME=FAT:FQL_AUDITING_CLIENT_TEMPLATE.FAT&amp;display_string=Audit&amp;VAR:KEY=ZCPQZMTYXM&amp;VAR:QUERY=RkZfRUJJVERBX0lCKCdMVE1TJywzOTk0NSk=&amp;WINDOW=FIRST_POPUP&amp;HEIGHT=450&amp;WIDTH=450&amp;START_MA","XIMIZED=FALSE&amp;VAR:CALENDAR=US&amp;VAR:SYMBOL=04916420&amp;VAR:INDEX=0"}</definedName>
    <definedName name="_9424__FDSAUDITLINK__" hidden="1">{"fdsup://directions/FAT Viewer?action=UPDATE&amp;creator=factset&amp;DYN_ARGS=TRUE&amp;DOC_NAME=FAT:FQL_AUDITING_CLIENT_TEMPLATE.FAT&amp;display_string=Audit&amp;VAR:KEY=ZCPQZMTYXM&amp;VAR:QUERY=RkZfRUJJVERBX0lCKCdMVE1TJywzOTk0NSk=&amp;WINDOW=FIRST_POPUP&amp;HEIGHT=450&amp;WIDTH=450&amp;START_MA","XIMIZED=FALSE&amp;VAR:CALENDAR=US&amp;VAR:SYMBOL=04916420&amp;VAR:INDEX=0"}</definedName>
    <definedName name="_9425__FDSAUDITLINK__" localSheetId="6" hidden="1">{"fdsup://directions/FAT Viewer?action=UPDATE&amp;creator=factset&amp;DYN_ARGS=TRUE&amp;DOC_NAME=FAT:FQL_AUDITING_CLIENT_TEMPLATE.FAT&amp;display_string=Audit&amp;VAR:KEY=HEXITUHEPG&amp;VAR:QUERY=RkZfRUJJVERBX0lCKCdMVE1TJywzOTk0NCk=&amp;WINDOW=FIRST_POPUP&amp;HEIGHT=450&amp;WIDTH=450&amp;START_MA","XIMIZED=FALSE&amp;VAR:CALENDAR=US&amp;VAR:SYMBOL=04916420&amp;VAR:INDEX=0"}</definedName>
    <definedName name="_9425__FDSAUDITLINK__" hidden="1">{"fdsup://directions/FAT Viewer?action=UPDATE&amp;creator=factset&amp;DYN_ARGS=TRUE&amp;DOC_NAME=FAT:FQL_AUDITING_CLIENT_TEMPLATE.FAT&amp;display_string=Audit&amp;VAR:KEY=HEXITUHEPG&amp;VAR:QUERY=RkZfRUJJVERBX0lCKCdMVE1TJywzOTk0NCk=&amp;WINDOW=FIRST_POPUP&amp;HEIGHT=450&amp;WIDTH=450&amp;START_MA","XIMIZED=FALSE&amp;VAR:CALENDAR=US&amp;VAR:SYMBOL=04916420&amp;VAR:INDEX=0"}</definedName>
    <definedName name="_9426__FDSAUDITLINK__" localSheetId="6" hidden="1">{"fdsup://directions/FAT Viewer?action=UPDATE&amp;creator=factset&amp;DYN_ARGS=TRUE&amp;DOC_NAME=FAT:FQL_AUDITING_CLIENT_TEMPLATE.FAT&amp;display_string=Audit&amp;VAR:KEY=VSFAFSDGDY&amp;VAR:QUERY=RkZfRUJJVERBX0lCKCdMVE1TJywzOTk0Myk=&amp;WINDOW=FIRST_POPUP&amp;HEIGHT=450&amp;WIDTH=450&amp;START_MA","XIMIZED=FALSE&amp;VAR:CALENDAR=US&amp;VAR:SYMBOL=04916420&amp;VAR:INDEX=0"}</definedName>
    <definedName name="_9426__FDSAUDITLINK__" hidden="1">{"fdsup://directions/FAT Viewer?action=UPDATE&amp;creator=factset&amp;DYN_ARGS=TRUE&amp;DOC_NAME=FAT:FQL_AUDITING_CLIENT_TEMPLATE.FAT&amp;display_string=Audit&amp;VAR:KEY=VSFAFSDGDY&amp;VAR:QUERY=RkZfRUJJVERBX0lCKCdMVE1TJywzOTk0Myk=&amp;WINDOW=FIRST_POPUP&amp;HEIGHT=450&amp;WIDTH=450&amp;START_MA","XIMIZED=FALSE&amp;VAR:CALENDAR=US&amp;VAR:SYMBOL=04916420&amp;VAR:INDEX=0"}</definedName>
    <definedName name="_9427__FDSAUDITLINK__" localSheetId="6" hidden="1">{"fdsup://directions/FAT Viewer?action=UPDATE&amp;creator=factset&amp;DYN_ARGS=TRUE&amp;DOC_NAME=FAT:FQL_AUDITING_CLIENT_TEMPLATE.FAT&amp;display_string=Audit&amp;VAR:KEY=XCVADUFMRE&amp;VAR:QUERY=RkZfRUJJVERBX0lCKCdMVE1TJywzOTk0Mik=&amp;WINDOW=FIRST_POPUP&amp;HEIGHT=450&amp;WIDTH=450&amp;START_MA","XIMIZED=FALSE&amp;VAR:CALENDAR=US&amp;VAR:SYMBOL=04916420&amp;VAR:INDEX=0"}</definedName>
    <definedName name="_9427__FDSAUDITLINK__" hidden="1">{"fdsup://directions/FAT Viewer?action=UPDATE&amp;creator=factset&amp;DYN_ARGS=TRUE&amp;DOC_NAME=FAT:FQL_AUDITING_CLIENT_TEMPLATE.FAT&amp;display_string=Audit&amp;VAR:KEY=XCVADUFMRE&amp;VAR:QUERY=RkZfRUJJVERBX0lCKCdMVE1TJywzOTk0Mik=&amp;WINDOW=FIRST_POPUP&amp;HEIGHT=450&amp;WIDTH=450&amp;START_MA","XIMIZED=FALSE&amp;VAR:CALENDAR=US&amp;VAR:SYMBOL=04916420&amp;VAR:INDEX=0"}</definedName>
    <definedName name="_9428__FDSAUDITLINK__" localSheetId="6" hidden="1">{"fdsup://directions/FAT Viewer?action=UPDATE&amp;creator=factset&amp;DYN_ARGS=TRUE&amp;DOC_NAME=FAT:FQL_AUDITING_CLIENT_TEMPLATE.FAT&amp;display_string=Audit&amp;VAR:KEY=NYFWLGBYTA&amp;VAR:QUERY=RkZfRUJJVERBX0lCKCdMVE1TJywzOTk0MSk=&amp;WINDOW=FIRST_POPUP&amp;HEIGHT=450&amp;WIDTH=450&amp;START_MA","XIMIZED=FALSE&amp;VAR:CALENDAR=US&amp;VAR:SYMBOL=04916420&amp;VAR:INDEX=0"}</definedName>
    <definedName name="_9428__FDSAUDITLINK__" hidden="1">{"fdsup://directions/FAT Viewer?action=UPDATE&amp;creator=factset&amp;DYN_ARGS=TRUE&amp;DOC_NAME=FAT:FQL_AUDITING_CLIENT_TEMPLATE.FAT&amp;display_string=Audit&amp;VAR:KEY=NYFWLGBYTA&amp;VAR:QUERY=RkZfRUJJVERBX0lCKCdMVE1TJywzOTk0MSk=&amp;WINDOW=FIRST_POPUP&amp;HEIGHT=450&amp;WIDTH=450&amp;START_MA","XIMIZED=FALSE&amp;VAR:CALENDAR=US&amp;VAR:SYMBOL=04916420&amp;VAR:INDEX=0"}</definedName>
    <definedName name="_9429__FDSAUDITLINK__" localSheetId="6" hidden="1">{"fdsup://directions/FAT Viewer?action=UPDATE&amp;creator=factset&amp;DYN_ARGS=TRUE&amp;DOC_NAME=FAT:FQL_AUDITING_CLIENT_TEMPLATE.FAT&amp;display_string=Audit&amp;VAR:KEY=REJMRYRUBW&amp;VAR:QUERY=RkZfRUJJVERBX0lCKCdMVE1TJywzOTk0MCk=&amp;WINDOW=FIRST_POPUP&amp;HEIGHT=450&amp;WIDTH=450&amp;START_MA","XIMIZED=FALSE&amp;VAR:CALENDAR=US&amp;VAR:SYMBOL=04916420&amp;VAR:INDEX=0"}</definedName>
    <definedName name="_9429__FDSAUDITLINK__" hidden="1">{"fdsup://directions/FAT Viewer?action=UPDATE&amp;creator=factset&amp;DYN_ARGS=TRUE&amp;DOC_NAME=FAT:FQL_AUDITING_CLIENT_TEMPLATE.FAT&amp;display_string=Audit&amp;VAR:KEY=REJMRYRUBW&amp;VAR:QUERY=RkZfRUJJVERBX0lCKCdMVE1TJywzOTk0MCk=&amp;WINDOW=FIRST_POPUP&amp;HEIGHT=450&amp;WIDTH=450&amp;START_MA","XIMIZED=FALSE&amp;VAR:CALENDAR=US&amp;VAR:SYMBOL=04916420&amp;VAR:INDEX=0"}</definedName>
    <definedName name="_943__FDSAUDITLINK__" localSheetId="6" hidden="1">{"fdsup://directions/FAT%20Viewer?VAR:PED=LTM&amp;VAR:AUDIT_MODE=SUMMARY&amp;VAR:PERIOD=FIXED&amp;VAR:AUDIT_ID=00000117&amp;VAR:DATE=20070724&amp;action=UPDATE&amp;creator=factset&amp;DOC_NAME=FAT:FMA_audit_SUMMARY.fat&amp;DISPLAY_STRING=Display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3__FDSAUDITLINK__" hidden="1">{"fdsup://directions/FAT%20Viewer?VAR:PED=LTM&amp;VAR:AUDIT_MODE=SUMMARY&amp;VAR:PERIOD=FIXED&amp;VAR:AUDIT_ID=00000117&amp;VAR:DATE=20070724&amp;action=UPDATE&amp;creator=factset&amp;DOC_NAME=FAT:FMA_audit_SUMMARY.fat&amp;DISPLAY_STRING=Display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30__FDSAUDITLINK__" localSheetId="6" hidden="1">{"fdsup://directions/FAT Viewer?action=UPDATE&amp;creator=factset&amp;DYN_ARGS=TRUE&amp;DOC_NAME=FAT:FQL_AUDITING_CLIENT_TEMPLATE.FAT&amp;display_string=Audit&amp;VAR:KEY=TWNEVWTGTO&amp;VAR:QUERY=RkZfRUJJVERBX0lCKCdMVE1TJywzOTkzOSk=&amp;WINDOW=FIRST_POPUP&amp;HEIGHT=450&amp;WIDTH=450&amp;START_MA","XIMIZED=FALSE&amp;VAR:CALENDAR=US&amp;VAR:SYMBOL=04916420&amp;VAR:INDEX=0"}</definedName>
    <definedName name="_9430__FDSAUDITLINK__" hidden="1">{"fdsup://directions/FAT Viewer?action=UPDATE&amp;creator=factset&amp;DYN_ARGS=TRUE&amp;DOC_NAME=FAT:FQL_AUDITING_CLIENT_TEMPLATE.FAT&amp;display_string=Audit&amp;VAR:KEY=TWNEVWTGTO&amp;VAR:QUERY=RkZfRUJJVERBX0lCKCdMVE1TJywzOTkzOSk=&amp;WINDOW=FIRST_POPUP&amp;HEIGHT=450&amp;WIDTH=450&amp;START_MA","XIMIZED=FALSE&amp;VAR:CALENDAR=US&amp;VAR:SYMBOL=04916420&amp;VAR:INDEX=0"}</definedName>
    <definedName name="_9431__FDSAUDITLINK__" localSheetId="6" hidden="1">{"fdsup://directions/FAT Viewer?action=UPDATE&amp;creator=factset&amp;DYN_ARGS=TRUE&amp;DOC_NAME=FAT:FQL_AUDITING_CLIENT_TEMPLATE.FAT&amp;display_string=Audit&amp;VAR:KEY=TANKZUVMNA&amp;VAR:QUERY=RkZfRUJJVERBX0lCKCdMVE1TJywzOTkzOCk=&amp;WINDOW=FIRST_POPUP&amp;HEIGHT=450&amp;WIDTH=450&amp;START_MA","XIMIZED=FALSE&amp;VAR:CALENDAR=US&amp;VAR:SYMBOL=04916420&amp;VAR:INDEX=0"}</definedName>
    <definedName name="_9431__FDSAUDITLINK__" hidden="1">{"fdsup://directions/FAT Viewer?action=UPDATE&amp;creator=factset&amp;DYN_ARGS=TRUE&amp;DOC_NAME=FAT:FQL_AUDITING_CLIENT_TEMPLATE.FAT&amp;display_string=Audit&amp;VAR:KEY=TANKZUVMNA&amp;VAR:QUERY=RkZfRUJJVERBX0lCKCdMVE1TJywzOTkzOCk=&amp;WINDOW=FIRST_POPUP&amp;HEIGHT=450&amp;WIDTH=450&amp;START_MA","XIMIZED=FALSE&amp;VAR:CALENDAR=US&amp;VAR:SYMBOL=04916420&amp;VAR:INDEX=0"}</definedName>
    <definedName name="_9432__FDSAUDITLINK__" localSheetId="6" hidden="1">{"fdsup://directions/FAT Viewer?action=UPDATE&amp;creator=factset&amp;DYN_ARGS=TRUE&amp;DOC_NAME=FAT:FQL_AUDITING_CLIENT_TEMPLATE.FAT&amp;display_string=Audit&amp;VAR:KEY=BMNOFMPKFM&amp;VAR:QUERY=RkZfRUJJVERBX0lCKCdMVE1TJywzOTkzNyk=&amp;WINDOW=FIRST_POPUP&amp;HEIGHT=450&amp;WIDTH=450&amp;START_MA","XIMIZED=FALSE&amp;VAR:CALENDAR=US&amp;VAR:SYMBOL=04916420&amp;VAR:INDEX=0"}</definedName>
    <definedName name="_9432__FDSAUDITLINK__" hidden="1">{"fdsup://directions/FAT Viewer?action=UPDATE&amp;creator=factset&amp;DYN_ARGS=TRUE&amp;DOC_NAME=FAT:FQL_AUDITING_CLIENT_TEMPLATE.FAT&amp;display_string=Audit&amp;VAR:KEY=BMNOFMPKFM&amp;VAR:QUERY=RkZfRUJJVERBX0lCKCdMVE1TJywzOTkzNyk=&amp;WINDOW=FIRST_POPUP&amp;HEIGHT=450&amp;WIDTH=450&amp;START_MA","XIMIZED=FALSE&amp;VAR:CALENDAR=US&amp;VAR:SYMBOL=04916420&amp;VAR:INDEX=0"}</definedName>
    <definedName name="_9433__FDSAUDITLINK__" localSheetId="6" hidden="1">{"fdsup://directions/FAT Viewer?action=UPDATE&amp;creator=factset&amp;DYN_ARGS=TRUE&amp;DOC_NAME=FAT:FQL_AUDITING_CLIENT_TEMPLATE.FAT&amp;display_string=Audit&amp;VAR:KEY=TKXGZIPMTO&amp;VAR:QUERY=RkZfRUJJVERBX0lCKCdMVE1TJywzOTkzNik=&amp;WINDOW=FIRST_POPUP&amp;HEIGHT=450&amp;WIDTH=450&amp;START_MA","XIMIZED=FALSE&amp;VAR:CALENDAR=US&amp;VAR:SYMBOL=04916420&amp;VAR:INDEX=0"}</definedName>
    <definedName name="_9433__FDSAUDITLINK__" hidden="1">{"fdsup://directions/FAT Viewer?action=UPDATE&amp;creator=factset&amp;DYN_ARGS=TRUE&amp;DOC_NAME=FAT:FQL_AUDITING_CLIENT_TEMPLATE.FAT&amp;display_string=Audit&amp;VAR:KEY=TKXGZIPMTO&amp;VAR:QUERY=RkZfRUJJVERBX0lCKCdMVE1TJywzOTkzNik=&amp;WINDOW=FIRST_POPUP&amp;HEIGHT=450&amp;WIDTH=450&amp;START_MA","XIMIZED=FALSE&amp;VAR:CALENDAR=US&amp;VAR:SYMBOL=04916420&amp;VAR:INDEX=0"}</definedName>
    <definedName name="_9434__FDSAUDITLINK__" localSheetId="6" hidden="1">{"fdsup://directions/FAT Viewer?action=UPDATE&amp;creator=factset&amp;DYN_ARGS=TRUE&amp;DOC_NAME=FAT:FQL_AUDITING_CLIENT_TEMPLATE.FAT&amp;display_string=Audit&amp;VAR:KEY=LWJYNGTQNM&amp;VAR:QUERY=RkZfRUJJVERBX0lCKCdMVE1TJywzOTkzNSk=&amp;WINDOW=FIRST_POPUP&amp;HEIGHT=450&amp;WIDTH=450&amp;START_MA","XIMIZED=FALSE&amp;VAR:CALENDAR=US&amp;VAR:SYMBOL=04916420&amp;VAR:INDEX=0"}</definedName>
    <definedName name="_9434__FDSAUDITLINK__" hidden="1">{"fdsup://directions/FAT Viewer?action=UPDATE&amp;creator=factset&amp;DYN_ARGS=TRUE&amp;DOC_NAME=FAT:FQL_AUDITING_CLIENT_TEMPLATE.FAT&amp;display_string=Audit&amp;VAR:KEY=LWJYNGTQNM&amp;VAR:QUERY=RkZfRUJJVERBX0lCKCdMVE1TJywzOTkzNSk=&amp;WINDOW=FIRST_POPUP&amp;HEIGHT=450&amp;WIDTH=450&amp;START_MA","XIMIZED=FALSE&amp;VAR:CALENDAR=US&amp;VAR:SYMBOL=04916420&amp;VAR:INDEX=0"}</definedName>
    <definedName name="_9435__FDSAUDITLINK__" localSheetId="6" hidden="1">{"fdsup://directions/FAT Viewer?action=UPDATE&amp;creator=factset&amp;DYN_ARGS=TRUE&amp;DOC_NAME=FAT:FQL_AUDITING_CLIENT_TEMPLATE.FAT&amp;display_string=Audit&amp;VAR:KEY=PSRMHEDWRQ&amp;VAR:QUERY=RkZfRUJJVERBX0lCKCdMVE1TJywzOTkzNCk=&amp;WINDOW=FIRST_POPUP&amp;HEIGHT=450&amp;WIDTH=450&amp;START_MA","XIMIZED=FALSE&amp;VAR:CALENDAR=US&amp;VAR:SYMBOL=04916420&amp;VAR:INDEX=0"}</definedName>
    <definedName name="_9435__FDSAUDITLINK__" hidden="1">{"fdsup://directions/FAT Viewer?action=UPDATE&amp;creator=factset&amp;DYN_ARGS=TRUE&amp;DOC_NAME=FAT:FQL_AUDITING_CLIENT_TEMPLATE.FAT&amp;display_string=Audit&amp;VAR:KEY=PSRMHEDWRQ&amp;VAR:QUERY=RkZfRUJJVERBX0lCKCdMVE1TJywzOTkzNCk=&amp;WINDOW=FIRST_POPUP&amp;HEIGHT=450&amp;WIDTH=450&amp;START_MA","XIMIZED=FALSE&amp;VAR:CALENDAR=US&amp;VAR:SYMBOL=04916420&amp;VAR:INDEX=0"}</definedName>
    <definedName name="_9436__FDSAUDITLINK__" localSheetId="6" hidden="1">{"fdsup://directions/FAT Viewer?action=UPDATE&amp;creator=factset&amp;DYN_ARGS=TRUE&amp;DOC_NAME=FAT:FQL_AUDITING_CLIENT_TEMPLATE.FAT&amp;display_string=Audit&amp;VAR:KEY=PSJOLIVCHM&amp;VAR:QUERY=RkZfRUJJVERBX0lCKCdMVE1TJywzOTkzMyk=&amp;WINDOW=FIRST_POPUP&amp;HEIGHT=450&amp;WIDTH=450&amp;START_MA","XIMIZED=FALSE&amp;VAR:CALENDAR=US&amp;VAR:SYMBOL=04916420&amp;VAR:INDEX=0"}</definedName>
    <definedName name="_9436__FDSAUDITLINK__" hidden="1">{"fdsup://directions/FAT Viewer?action=UPDATE&amp;creator=factset&amp;DYN_ARGS=TRUE&amp;DOC_NAME=FAT:FQL_AUDITING_CLIENT_TEMPLATE.FAT&amp;display_string=Audit&amp;VAR:KEY=PSJOLIVCHM&amp;VAR:QUERY=RkZfRUJJVERBX0lCKCdMVE1TJywzOTkzMyk=&amp;WINDOW=FIRST_POPUP&amp;HEIGHT=450&amp;WIDTH=450&amp;START_MA","XIMIZED=FALSE&amp;VAR:CALENDAR=US&amp;VAR:SYMBOL=04916420&amp;VAR:INDEX=0"}</definedName>
    <definedName name="_9437__FDSAUDITLINK__" localSheetId="6" hidden="1">{"fdsup://directions/FAT Viewer?action=UPDATE&amp;creator=factset&amp;DYN_ARGS=TRUE&amp;DOC_NAME=FAT:FQL_AUDITING_CLIENT_TEMPLATE.FAT&amp;display_string=Audit&amp;VAR:KEY=VYNETONCXY&amp;VAR:QUERY=RkZfRUJJVERBX0lCKCdMVE1TJywzOTkzMik=&amp;WINDOW=FIRST_POPUP&amp;HEIGHT=450&amp;WIDTH=450&amp;START_MA","XIMIZED=FALSE&amp;VAR:CALENDAR=US&amp;VAR:SYMBOL=04916420&amp;VAR:INDEX=0"}</definedName>
    <definedName name="_9437__FDSAUDITLINK__" hidden="1">{"fdsup://directions/FAT Viewer?action=UPDATE&amp;creator=factset&amp;DYN_ARGS=TRUE&amp;DOC_NAME=FAT:FQL_AUDITING_CLIENT_TEMPLATE.FAT&amp;display_string=Audit&amp;VAR:KEY=VYNETONCXY&amp;VAR:QUERY=RkZfRUJJVERBX0lCKCdMVE1TJywzOTkzMik=&amp;WINDOW=FIRST_POPUP&amp;HEIGHT=450&amp;WIDTH=450&amp;START_MA","XIMIZED=FALSE&amp;VAR:CALENDAR=US&amp;VAR:SYMBOL=04916420&amp;VAR:INDEX=0"}</definedName>
    <definedName name="_9438__FDSAUDITLINK__" localSheetId="6" hidden="1">{"fdsup://directions/FAT Viewer?action=UPDATE&amp;creator=factset&amp;DYN_ARGS=TRUE&amp;DOC_NAME=FAT:FQL_AUDITING_CLIENT_TEMPLATE.FAT&amp;display_string=Audit&amp;VAR:KEY=XYFSNORYXY&amp;VAR:QUERY=RkZfRUJJVERBX0lCKCdMVE1TJywzOTkzMSk=&amp;WINDOW=FIRST_POPUP&amp;HEIGHT=450&amp;WIDTH=450&amp;START_MA","XIMIZED=FALSE&amp;VAR:CALENDAR=US&amp;VAR:SYMBOL=04916420&amp;VAR:INDEX=0"}</definedName>
    <definedName name="_9438__FDSAUDITLINK__" hidden="1">{"fdsup://directions/FAT Viewer?action=UPDATE&amp;creator=factset&amp;DYN_ARGS=TRUE&amp;DOC_NAME=FAT:FQL_AUDITING_CLIENT_TEMPLATE.FAT&amp;display_string=Audit&amp;VAR:KEY=XYFSNORYXY&amp;VAR:QUERY=RkZfRUJJVERBX0lCKCdMVE1TJywzOTkzMSk=&amp;WINDOW=FIRST_POPUP&amp;HEIGHT=450&amp;WIDTH=450&amp;START_MA","XIMIZED=FALSE&amp;VAR:CALENDAR=US&amp;VAR:SYMBOL=04916420&amp;VAR:INDEX=0"}</definedName>
    <definedName name="_9439__FDSAUDITLINK__" localSheetId="6" hidden="1">{"fdsup://directions/FAT Viewer?action=UPDATE&amp;creator=factset&amp;DYN_ARGS=TRUE&amp;DOC_NAME=FAT:FQL_AUDITING_CLIENT_TEMPLATE.FAT&amp;display_string=Audit&amp;VAR:KEY=ZMLELCVIBY&amp;VAR:QUERY=RkZfRUJJVERBX0lCKCdMVE1TJywzOTkzMCk=&amp;WINDOW=FIRST_POPUP&amp;HEIGHT=450&amp;WIDTH=450&amp;START_MA","XIMIZED=FALSE&amp;VAR:CALENDAR=US&amp;VAR:SYMBOL=04916420&amp;VAR:INDEX=0"}</definedName>
    <definedName name="_9439__FDSAUDITLINK__" hidden="1">{"fdsup://directions/FAT Viewer?action=UPDATE&amp;creator=factset&amp;DYN_ARGS=TRUE&amp;DOC_NAME=FAT:FQL_AUDITING_CLIENT_TEMPLATE.FAT&amp;display_string=Audit&amp;VAR:KEY=ZMLELCVIBY&amp;VAR:QUERY=RkZfRUJJVERBX0lCKCdMVE1TJywzOTkzMCk=&amp;WINDOW=FIRST_POPUP&amp;HEIGHT=450&amp;WIDTH=450&amp;START_MA","XIMIZED=FALSE&amp;VAR:CALENDAR=US&amp;VAR:SYMBOL=04916420&amp;VAR:INDEX=0"}</definedName>
    <definedName name="_944__FDSAUDITLINK__" localSheetId="6" hidden="1">{"fdsup://directions/FAT%20Viewer?VAR:PED=LTM&amp;VAR:AUDIT_MODE=SUMMARY&amp;VAR:PERIOD=FIXED&amp;VAR:AUDIT_ID=00000117&amp;VAR:DATE=20070723&amp;action=UPDATE&amp;creator=factset&amp;DOC_NAME=FAT:FMA_audit_SUMMARY.fat&amp;DISPLAY_STRING=Display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4__FDSAUDITLINK__" hidden="1">{"fdsup://directions/FAT%20Viewer?VAR:PED=LTM&amp;VAR:AUDIT_MODE=SUMMARY&amp;VAR:PERIOD=FIXED&amp;VAR:AUDIT_ID=00000117&amp;VAR:DATE=20070723&amp;action=UPDATE&amp;creator=factset&amp;DOC_NAME=FAT:FMA_audit_SUMMARY.fat&amp;DISPLAY_STRING=Display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40__FDSAUDITLINK__" localSheetId="6" hidden="1">{"fdsup://directions/FAT Viewer?action=UPDATE&amp;creator=factset&amp;DYN_ARGS=TRUE&amp;DOC_NAME=FAT:FQL_AUDITING_CLIENT_TEMPLATE.FAT&amp;display_string=Audit&amp;VAR:KEY=JGVOPGVEPW&amp;VAR:QUERY=RkZfRUJJVERBX0lCKCdMVE1TJywzOTkyOSk=&amp;WINDOW=FIRST_POPUP&amp;HEIGHT=450&amp;WIDTH=450&amp;START_MA","XIMIZED=FALSE&amp;VAR:CALENDAR=US&amp;VAR:SYMBOL=04916420&amp;VAR:INDEX=0"}</definedName>
    <definedName name="_9440__FDSAUDITLINK__" hidden="1">{"fdsup://directions/FAT Viewer?action=UPDATE&amp;creator=factset&amp;DYN_ARGS=TRUE&amp;DOC_NAME=FAT:FQL_AUDITING_CLIENT_TEMPLATE.FAT&amp;display_string=Audit&amp;VAR:KEY=JGVOPGVEPW&amp;VAR:QUERY=RkZfRUJJVERBX0lCKCdMVE1TJywzOTkyOSk=&amp;WINDOW=FIRST_POPUP&amp;HEIGHT=450&amp;WIDTH=450&amp;START_MA","XIMIZED=FALSE&amp;VAR:CALENDAR=US&amp;VAR:SYMBOL=04916420&amp;VAR:INDEX=0"}</definedName>
    <definedName name="_9441__FDSAUDITLINK__" localSheetId="6" hidden="1">{"fdsup://directions/FAT Viewer?action=UPDATE&amp;creator=factset&amp;DYN_ARGS=TRUE&amp;DOC_NAME=FAT:FQL_AUDITING_CLIENT_TEMPLATE.FAT&amp;display_string=Audit&amp;VAR:KEY=HYNSZIBCZE&amp;VAR:QUERY=RkZfRUJJVERBX0lCKCdMVE1TJywzOTkyOCk=&amp;WINDOW=FIRST_POPUP&amp;HEIGHT=450&amp;WIDTH=450&amp;START_MA","XIMIZED=FALSE&amp;VAR:CALENDAR=US&amp;VAR:SYMBOL=04916420&amp;VAR:INDEX=0"}</definedName>
    <definedName name="_9441__FDSAUDITLINK__" hidden="1">{"fdsup://directions/FAT Viewer?action=UPDATE&amp;creator=factset&amp;DYN_ARGS=TRUE&amp;DOC_NAME=FAT:FQL_AUDITING_CLIENT_TEMPLATE.FAT&amp;display_string=Audit&amp;VAR:KEY=HYNSZIBCZE&amp;VAR:QUERY=RkZfRUJJVERBX0lCKCdMVE1TJywzOTkyOCk=&amp;WINDOW=FIRST_POPUP&amp;HEIGHT=450&amp;WIDTH=450&amp;START_MA","XIMIZED=FALSE&amp;VAR:CALENDAR=US&amp;VAR:SYMBOL=04916420&amp;VAR:INDEX=0"}</definedName>
    <definedName name="_9442__FDSAUDITLINK__" localSheetId="6" hidden="1">{"fdsup://directions/FAT Viewer?action=UPDATE&amp;creator=factset&amp;DYN_ARGS=TRUE&amp;DOC_NAME=FAT:FQL_AUDITING_CLIENT_TEMPLATE.FAT&amp;display_string=Audit&amp;VAR:KEY=BKNQHANOFS&amp;VAR:QUERY=RkZfRUJJVERBX0lCKCdMVE1TJywzOTkyNyk=&amp;WINDOW=FIRST_POPUP&amp;HEIGHT=450&amp;WIDTH=450&amp;START_MA","XIMIZED=FALSE&amp;VAR:CALENDAR=US&amp;VAR:SYMBOL=04916420&amp;VAR:INDEX=0"}</definedName>
    <definedName name="_9442__FDSAUDITLINK__" hidden="1">{"fdsup://directions/FAT Viewer?action=UPDATE&amp;creator=factset&amp;DYN_ARGS=TRUE&amp;DOC_NAME=FAT:FQL_AUDITING_CLIENT_TEMPLATE.FAT&amp;display_string=Audit&amp;VAR:KEY=BKNQHANOFS&amp;VAR:QUERY=RkZfRUJJVERBX0lCKCdMVE1TJywzOTkyNyk=&amp;WINDOW=FIRST_POPUP&amp;HEIGHT=450&amp;WIDTH=450&amp;START_MA","XIMIZED=FALSE&amp;VAR:CALENDAR=US&amp;VAR:SYMBOL=04916420&amp;VAR:INDEX=0"}</definedName>
    <definedName name="_9443__FDSAUDITLINK__" localSheetId="6" hidden="1">{"fdsup://directions/FAT Viewer?action=UPDATE&amp;creator=factset&amp;DYN_ARGS=TRUE&amp;DOC_NAME=FAT:FQL_AUDITING_CLIENT_TEMPLATE.FAT&amp;display_string=Audit&amp;VAR:KEY=LUNATMBKRE&amp;VAR:QUERY=RkZfRUJJVERBX0lCKCdMVE1TJywzOTkyNik=&amp;WINDOW=FIRST_POPUP&amp;HEIGHT=450&amp;WIDTH=450&amp;START_MA","XIMIZED=FALSE&amp;VAR:CALENDAR=US&amp;VAR:SYMBOL=04916420&amp;VAR:INDEX=0"}</definedName>
    <definedName name="_9443__FDSAUDITLINK__" hidden="1">{"fdsup://directions/FAT Viewer?action=UPDATE&amp;creator=factset&amp;DYN_ARGS=TRUE&amp;DOC_NAME=FAT:FQL_AUDITING_CLIENT_TEMPLATE.FAT&amp;display_string=Audit&amp;VAR:KEY=LUNATMBKRE&amp;VAR:QUERY=RkZfRUJJVERBX0lCKCdMVE1TJywzOTkyNik=&amp;WINDOW=FIRST_POPUP&amp;HEIGHT=450&amp;WIDTH=450&amp;START_MA","XIMIZED=FALSE&amp;VAR:CALENDAR=US&amp;VAR:SYMBOL=04916420&amp;VAR:INDEX=0"}</definedName>
    <definedName name="_9444__FDSAUDITLINK__" localSheetId="6" hidden="1">{"fdsup://directions/FAT Viewer?action=UPDATE&amp;creator=factset&amp;DYN_ARGS=TRUE&amp;DOC_NAME=FAT:FQL_AUDITING_CLIENT_TEMPLATE.FAT&amp;display_string=Audit&amp;VAR:KEY=LMFSTWFQRA&amp;VAR:QUERY=RkZfRUJJVERBX0lCKCdMVE1TJywzOTkyNSk=&amp;WINDOW=FIRST_POPUP&amp;HEIGHT=450&amp;WIDTH=450&amp;START_MA","XIMIZED=FALSE&amp;VAR:CALENDAR=US&amp;VAR:SYMBOL=04916420&amp;VAR:INDEX=0"}</definedName>
    <definedName name="_9444__FDSAUDITLINK__" hidden="1">{"fdsup://directions/FAT Viewer?action=UPDATE&amp;creator=factset&amp;DYN_ARGS=TRUE&amp;DOC_NAME=FAT:FQL_AUDITING_CLIENT_TEMPLATE.FAT&amp;display_string=Audit&amp;VAR:KEY=LMFSTWFQRA&amp;VAR:QUERY=RkZfRUJJVERBX0lCKCdMVE1TJywzOTkyNSk=&amp;WINDOW=FIRST_POPUP&amp;HEIGHT=450&amp;WIDTH=450&amp;START_MA","XIMIZED=FALSE&amp;VAR:CALENDAR=US&amp;VAR:SYMBOL=04916420&amp;VAR:INDEX=0"}</definedName>
    <definedName name="_9445__FDSAUDITLINK__" localSheetId="6" hidden="1">{"fdsup://directions/FAT Viewer?action=UPDATE&amp;creator=factset&amp;DYN_ARGS=TRUE&amp;DOC_NAME=FAT:FQL_AUDITING_CLIENT_TEMPLATE.FAT&amp;display_string=Audit&amp;VAR:KEY=ZWZIRAZWPO&amp;VAR:QUERY=RkZfRUJJVERBX0lCKCdMVE1TJywzOTkyNCk=&amp;WINDOW=FIRST_POPUP&amp;HEIGHT=450&amp;WIDTH=450&amp;START_MA","XIMIZED=FALSE&amp;VAR:CALENDAR=US&amp;VAR:SYMBOL=04916420&amp;VAR:INDEX=0"}</definedName>
    <definedName name="_9445__FDSAUDITLINK__" hidden="1">{"fdsup://directions/FAT Viewer?action=UPDATE&amp;creator=factset&amp;DYN_ARGS=TRUE&amp;DOC_NAME=FAT:FQL_AUDITING_CLIENT_TEMPLATE.FAT&amp;display_string=Audit&amp;VAR:KEY=ZWZIRAZWPO&amp;VAR:QUERY=RkZfRUJJVERBX0lCKCdMVE1TJywzOTkyNCk=&amp;WINDOW=FIRST_POPUP&amp;HEIGHT=450&amp;WIDTH=450&amp;START_MA","XIMIZED=FALSE&amp;VAR:CALENDAR=US&amp;VAR:SYMBOL=04916420&amp;VAR:INDEX=0"}</definedName>
    <definedName name="_9446__FDSAUDITLINK__" localSheetId="6" hidden="1">{"fdsup://directions/FAT Viewer?action=UPDATE&amp;creator=factset&amp;DYN_ARGS=TRUE&amp;DOC_NAME=FAT:FQL_AUDITING_CLIENT_TEMPLATE.FAT&amp;display_string=Audit&amp;VAR:KEY=PMHOLQJQNQ&amp;VAR:QUERY=RkZfRUJJVERBX0lCKCdMVE1TJywzOTkyMyk=&amp;WINDOW=FIRST_POPUP&amp;HEIGHT=450&amp;WIDTH=450&amp;START_MA","XIMIZED=FALSE&amp;VAR:CALENDAR=US&amp;VAR:SYMBOL=04916420&amp;VAR:INDEX=0"}</definedName>
    <definedName name="_9446__FDSAUDITLINK__" hidden="1">{"fdsup://directions/FAT Viewer?action=UPDATE&amp;creator=factset&amp;DYN_ARGS=TRUE&amp;DOC_NAME=FAT:FQL_AUDITING_CLIENT_TEMPLATE.FAT&amp;display_string=Audit&amp;VAR:KEY=PMHOLQJQNQ&amp;VAR:QUERY=RkZfRUJJVERBX0lCKCdMVE1TJywzOTkyMyk=&amp;WINDOW=FIRST_POPUP&amp;HEIGHT=450&amp;WIDTH=450&amp;START_MA","XIMIZED=FALSE&amp;VAR:CALENDAR=US&amp;VAR:SYMBOL=04916420&amp;VAR:INDEX=0"}</definedName>
    <definedName name="_9447__FDSAUDITLINK__" localSheetId="6" hidden="1">{"fdsup://directions/FAT Viewer?action=UPDATE&amp;creator=factset&amp;DYN_ARGS=TRUE&amp;DOC_NAME=FAT:FQL_AUDITING_CLIENT_TEMPLATE.FAT&amp;display_string=Audit&amp;VAR:KEY=VUFAJYRKZC&amp;VAR:QUERY=RkZfRUJJVERBX0lCKCdMVE1TJywzOTkyMik=&amp;WINDOW=FIRST_POPUP&amp;HEIGHT=450&amp;WIDTH=450&amp;START_MA","XIMIZED=FALSE&amp;VAR:CALENDAR=US&amp;VAR:SYMBOL=04916420&amp;VAR:INDEX=0"}</definedName>
    <definedName name="_9447__FDSAUDITLINK__" hidden="1">{"fdsup://directions/FAT Viewer?action=UPDATE&amp;creator=factset&amp;DYN_ARGS=TRUE&amp;DOC_NAME=FAT:FQL_AUDITING_CLIENT_TEMPLATE.FAT&amp;display_string=Audit&amp;VAR:KEY=VUFAJYRKZC&amp;VAR:QUERY=RkZfRUJJVERBX0lCKCdMVE1TJywzOTkyMik=&amp;WINDOW=FIRST_POPUP&amp;HEIGHT=450&amp;WIDTH=450&amp;START_MA","XIMIZED=FALSE&amp;VAR:CALENDAR=US&amp;VAR:SYMBOL=04916420&amp;VAR:INDEX=0"}</definedName>
    <definedName name="_9448__FDSAUDITLINK__" localSheetId="6" hidden="1">{"fdsup://directions/FAT Viewer?action=UPDATE&amp;creator=factset&amp;DYN_ARGS=TRUE&amp;DOC_NAME=FAT:FQL_AUDITING_CLIENT_TEMPLATE.FAT&amp;display_string=Audit&amp;VAR:KEY=DSHKROHEJW&amp;VAR:QUERY=RkZfRUJJVERBX0lCKCdMVE1TJywzOTkyMSk=&amp;WINDOW=FIRST_POPUP&amp;HEIGHT=450&amp;WIDTH=450&amp;START_MA","XIMIZED=FALSE&amp;VAR:CALENDAR=US&amp;VAR:SYMBOL=04916420&amp;VAR:INDEX=0"}</definedName>
    <definedName name="_9448__FDSAUDITLINK__" hidden="1">{"fdsup://directions/FAT Viewer?action=UPDATE&amp;creator=factset&amp;DYN_ARGS=TRUE&amp;DOC_NAME=FAT:FQL_AUDITING_CLIENT_TEMPLATE.FAT&amp;display_string=Audit&amp;VAR:KEY=DSHKROHEJW&amp;VAR:QUERY=RkZfRUJJVERBX0lCKCdMVE1TJywzOTkyMSk=&amp;WINDOW=FIRST_POPUP&amp;HEIGHT=450&amp;WIDTH=450&amp;START_MA","XIMIZED=FALSE&amp;VAR:CALENDAR=US&amp;VAR:SYMBOL=04916420&amp;VAR:INDEX=0"}</definedName>
    <definedName name="_9449__FDSAUDITLINK__" localSheetId="6" hidden="1">{"fdsup://directions/FAT Viewer?action=UPDATE&amp;creator=factset&amp;DYN_ARGS=TRUE&amp;DOC_NAME=FAT:FQL_AUDITING_CLIENT_TEMPLATE.FAT&amp;display_string=Audit&amp;VAR:KEY=LQTUJGXMZS&amp;VAR:QUERY=RkZfRUJJVERBX0lCKCdMVE1TJywzOTkyMCk=&amp;WINDOW=FIRST_POPUP&amp;HEIGHT=450&amp;WIDTH=450&amp;START_MA","XIMIZED=FALSE&amp;VAR:CALENDAR=US&amp;VAR:SYMBOL=04916420&amp;VAR:INDEX=0"}</definedName>
    <definedName name="_9449__FDSAUDITLINK__" hidden="1">{"fdsup://directions/FAT Viewer?action=UPDATE&amp;creator=factset&amp;DYN_ARGS=TRUE&amp;DOC_NAME=FAT:FQL_AUDITING_CLIENT_TEMPLATE.FAT&amp;display_string=Audit&amp;VAR:KEY=LQTUJGXMZS&amp;VAR:QUERY=RkZfRUJJVERBX0lCKCdMVE1TJywzOTkyMCk=&amp;WINDOW=FIRST_POPUP&amp;HEIGHT=450&amp;WIDTH=450&amp;START_MA","XIMIZED=FALSE&amp;VAR:CALENDAR=US&amp;VAR:SYMBOL=04916420&amp;VAR:INDEX=0"}</definedName>
    <definedName name="_945__FDSAUDITLINK__" localSheetId="6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5__FDSAUDITLINK__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50__FDSAUDITLINK__" localSheetId="6" hidden="1">{"fdsup://directions/FAT Viewer?action=UPDATE&amp;creator=factset&amp;DYN_ARGS=TRUE&amp;DOC_NAME=FAT:FQL_AUDITING_CLIENT_TEMPLATE.FAT&amp;display_string=Audit&amp;VAR:KEY=RENYJGBGPA&amp;VAR:QUERY=RkZfRUJJVERBX0lCKCdMVE1TJywzOTkxOSk=&amp;WINDOW=FIRST_POPUP&amp;HEIGHT=450&amp;WIDTH=450&amp;START_MA","XIMIZED=FALSE&amp;VAR:CALENDAR=US&amp;VAR:SYMBOL=04916420&amp;VAR:INDEX=0"}</definedName>
    <definedName name="_9450__FDSAUDITLINK__" hidden="1">{"fdsup://directions/FAT Viewer?action=UPDATE&amp;creator=factset&amp;DYN_ARGS=TRUE&amp;DOC_NAME=FAT:FQL_AUDITING_CLIENT_TEMPLATE.FAT&amp;display_string=Audit&amp;VAR:KEY=RENYJGBGPA&amp;VAR:QUERY=RkZfRUJJVERBX0lCKCdMVE1TJywzOTkxOSk=&amp;WINDOW=FIRST_POPUP&amp;HEIGHT=450&amp;WIDTH=450&amp;START_MA","XIMIZED=FALSE&amp;VAR:CALENDAR=US&amp;VAR:SYMBOL=04916420&amp;VAR:INDEX=0"}</definedName>
    <definedName name="_9451__FDSAUDITLINK__" localSheetId="6" hidden="1">{"fdsup://directions/FAT Viewer?action=UPDATE&amp;creator=factset&amp;DYN_ARGS=TRUE&amp;DOC_NAME=FAT:FQL_AUDITING_CLIENT_TEMPLATE.FAT&amp;display_string=Audit&amp;VAR:KEY=VWBEPCRSVQ&amp;VAR:QUERY=RkZfRUJJVERBX0lCKCdMVE1TJywzOTkxOCk=&amp;WINDOW=FIRST_POPUP&amp;HEIGHT=450&amp;WIDTH=450&amp;START_MA","XIMIZED=FALSE&amp;VAR:CALENDAR=US&amp;VAR:SYMBOL=04916420&amp;VAR:INDEX=0"}</definedName>
    <definedName name="_9451__FDSAUDITLINK__" hidden="1">{"fdsup://directions/FAT Viewer?action=UPDATE&amp;creator=factset&amp;DYN_ARGS=TRUE&amp;DOC_NAME=FAT:FQL_AUDITING_CLIENT_TEMPLATE.FAT&amp;display_string=Audit&amp;VAR:KEY=VWBEPCRSVQ&amp;VAR:QUERY=RkZfRUJJVERBX0lCKCdMVE1TJywzOTkxOCk=&amp;WINDOW=FIRST_POPUP&amp;HEIGHT=450&amp;WIDTH=450&amp;START_MA","XIMIZED=FALSE&amp;VAR:CALENDAR=US&amp;VAR:SYMBOL=04916420&amp;VAR:INDEX=0"}</definedName>
    <definedName name="_9452__FDSAUDITLINK__" localSheetId="6" hidden="1">{"fdsup://directions/FAT Viewer?action=UPDATE&amp;creator=factset&amp;DYN_ARGS=TRUE&amp;DOC_NAME=FAT:FQL_AUDITING_CLIENT_TEMPLATE.FAT&amp;display_string=Audit&amp;VAR:KEY=FORMTEHUVW&amp;VAR:QUERY=RkZfRUJJVERBX0lCKCdMVE1TJywzOTkxNyk=&amp;WINDOW=FIRST_POPUP&amp;HEIGHT=450&amp;WIDTH=450&amp;START_MA","XIMIZED=FALSE&amp;VAR:CALENDAR=US&amp;VAR:SYMBOL=04916420&amp;VAR:INDEX=0"}</definedName>
    <definedName name="_9452__FDSAUDITLINK__" hidden="1">{"fdsup://directions/FAT Viewer?action=UPDATE&amp;creator=factset&amp;DYN_ARGS=TRUE&amp;DOC_NAME=FAT:FQL_AUDITING_CLIENT_TEMPLATE.FAT&amp;display_string=Audit&amp;VAR:KEY=FORMTEHUVW&amp;VAR:QUERY=RkZfRUJJVERBX0lCKCdMVE1TJywzOTkxNyk=&amp;WINDOW=FIRST_POPUP&amp;HEIGHT=450&amp;WIDTH=450&amp;START_MA","XIMIZED=FALSE&amp;VAR:CALENDAR=US&amp;VAR:SYMBOL=04916420&amp;VAR:INDEX=0"}</definedName>
    <definedName name="_9453__FDSAUDITLINK__" localSheetId="6" hidden="1">{"fdsup://directions/FAT Viewer?action=UPDATE&amp;creator=factset&amp;DYN_ARGS=TRUE&amp;DOC_NAME=FAT:FQL_AUDITING_CLIENT_TEMPLATE.FAT&amp;display_string=Audit&amp;VAR:KEY=VKBWPELMFE&amp;VAR:QUERY=RkZfRUJJVERBX0lCKCdMVE1TJywzOTkxNik=&amp;WINDOW=FIRST_POPUP&amp;HEIGHT=450&amp;WIDTH=450&amp;START_MA","XIMIZED=FALSE&amp;VAR:CALENDAR=US&amp;VAR:SYMBOL=04916420&amp;VAR:INDEX=0"}</definedName>
    <definedName name="_9453__FDSAUDITLINK__" hidden="1">{"fdsup://directions/FAT Viewer?action=UPDATE&amp;creator=factset&amp;DYN_ARGS=TRUE&amp;DOC_NAME=FAT:FQL_AUDITING_CLIENT_TEMPLATE.FAT&amp;display_string=Audit&amp;VAR:KEY=VKBWPELMFE&amp;VAR:QUERY=RkZfRUJJVERBX0lCKCdMVE1TJywzOTkxNik=&amp;WINDOW=FIRST_POPUP&amp;HEIGHT=450&amp;WIDTH=450&amp;START_MA","XIMIZED=FALSE&amp;VAR:CALENDAR=US&amp;VAR:SYMBOL=04916420&amp;VAR:INDEX=0"}</definedName>
    <definedName name="_9454__FDSAUDITLINK__" localSheetId="6" hidden="1">{"fdsup://directions/FAT Viewer?action=UPDATE&amp;creator=factset&amp;DYN_ARGS=TRUE&amp;DOC_NAME=FAT:FQL_AUDITING_CLIENT_TEMPLATE.FAT&amp;display_string=Audit&amp;VAR:KEY=FIBUDOJSBE&amp;VAR:QUERY=RkZfRUJJVERBX0lCKCdMVE1TJywzOTkxNSk=&amp;WINDOW=FIRST_POPUP&amp;HEIGHT=450&amp;WIDTH=450&amp;START_MA","XIMIZED=FALSE&amp;VAR:CALENDAR=US&amp;VAR:SYMBOL=04916420&amp;VAR:INDEX=0"}</definedName>
    <definedName name="_9454__FDSAUDITLINK__" hidden="1">{"fdsup://directions/FAT Viewer?action=UPDATE&amp;creator=factset&amp;DYN_ARGS=TRUE&amp;DOC_NAME=FAT:FQL_AUDITING_CLIENT_TEMPLATE.FAT&amp;display_string=Audit&amp;VAR:KEY=FIBUDOJSBE&amp;VAR:QUERY=RkZfRUJJVERBX0lCKCdMVE1TJywzOTkxNSk=&amp;WINDOW=FIRST_POPUP&amp;HEIGHT=450&amp;WIDTH=450&amp;START_MA","XIMIZED=FALSE&amp;VAR:CALENDAR=US&amp;VAR:SYMBOL=04916420&amp;VAR:INDEX=0"}</definedName>
    <definedName name="_9455__FDSAUDITLINK__" localSheetId="6" hidden="1">{"fdsup://directions/FAT Viewer?action=UPDATE&amp;creator=factset&amp;DYN_ARGS=TRUE&amp;DOC_NAME=FAT:FQL_AUDITING_CLIENT_TEMPLATE.FAT&amp;display_string=Audit&amp;VAR:KEY=VWXYNYVOHS&amp;VAR:QUERY=RkZfRUJJVERBX0lCKCdMVE1TJywzOTkxNCk=&amp;WINDOW=FIRST_POPUP&amp;HEIGHT=450&amp;WIDTH=450&amp;START_MA","XIMIZED=FALSE&amp;VAR:CALENDAR=US&amp;VAR:SYMBOL=04916420&amp;VAR:INDEX=0"}</definedName>
    <definedName name="_9455__FDSAUDITLINK__" hidden="1">{"fdsup://directions/FAT Viewer?action=UPDATE&amp;creator=factset&amp;DYN_ARGS=TRUE&amp;DOC_NAME=FAT:FQL_AUDITING_CLIENT_TEMPLATE.FAT&amp;display_string=Audit&amp;VAR:KEY=VWXYNYVOHS&amp;VAR:QUERY=RkZfRUJJVERBX0lCKCdMVE1TJywzOTkxNCk=&amp;WINDOW=FIRST_POPUP&amp;HEIGHT=450&amp;WIDTH=450&amp;START_MA","XIMIZED=FALSE&amp;VAR:CALENDAR=US&amp;VAR:SYMBOL=04916420&amp;VAR:INDEX=0"}</definedName>
    <definedName name="_9456__FDSAUDITLINK__" localSheetId="6" hidden="1">{"fdsup://directions/FAT Viewer?action=UPDATE&amp;creator=factset&amp;DYN_ARGS=TRUE&amp;DOC_NAME=FAT:FQL_AUDITING_CLIENT_TEMPLATE.FAT&amp;display_string=Audit&amp;VAR:KEY=NQFSDKNABU&amp;VAR:QUERY=RkZfRUJJVERBX0lCKCdMVE1TJywzOTkxMyk=&amp;WINDOW=FIRST_POPUP&amp;HEIGHT=450&amp;WIDTH=450&amp;START_MA","XIMIZED=FALSE&amp;VAR:CALENDAR=US&amp;VAR:SYMBOL=04916420&amp;VAR:INDEX=0"}</definedName>
    <definedName name="_9456__FDSAUDITLINK__" hidden="1">{"fdsup://directions/FAT Viewer?action=UPDATE&amp;creator=factset&amp;DYN_ARGS=TRUE&amp;DOC_NAME=FAT:FQL_AUDITING_CLIENT_TEMPLATE.FAT&amp;display_string=Audit&amp;VAR:KEY=NQFSDKNABU&amp;VAR:QUERY=RkZfRUJJVERBX0lCKCdMVE1TJywzOTkxMyk=&amp;WINDOW=FIRST_POPUP&amp;HEIGHT=450&amp;WIDTH=450&amp;START_MA","XIMIZED=FALSE&amp;VAR:CALENDAR=US&amp;VAR:SYMBOL=04916420&amp;VAR:INDEX=0"}</definedName>
    <definedName name="_9457__FDSAUDITLINK__" localSheetId="6" hidden="1">{"fdsup://directions/FAT Viewer?action=UPDATE&amp;creator=factset&amp;DYN_ARGS=TRUE&amp;DOC_NAME=FAT:FQL_AUDITING_CLIENT_TEMPLATE.FAT&amp;display_string=Audit&amp;VAR:KEY=TKLWRUBQVI&amp;VAR:QUERY=RkZfRUJJVERBX0lCKCdMVE1TJywzOTkxMik=&amp;WINDOW=FIRST_POPUP&amp;HEIGHT=450&amp;WIDTH=450&amp;START_MA","XIMIZED=FALSE&amp;VAR:CALENDAR=US&amp;VAR:SYMBOL=04916420&amp;VAR:INDEX=0"}</definedName>
    <definedName name="_9457__FDSAUDITLINK__" hidden="1">{"fdsup://directions/FAT Viewer?action=UPDATE&amp;creator=factset&amp;DYN_ARGS=TRUE&amp;DOC_NAME=FAT:FQL_AUDITING_CLIENT_TEMPLATE.FAT&amp;display_string=Audit&amp;VAR:KEY=TKLWRUBQVI&amp;VAR:QUERY=RkZfRUJJVERBX0lCKCdMVE1TJywzOTkxMik=&amp;WINDOW=FIRST_POPUP&amp;HEIGHT=450&amp;WIDTH=450&amp;START_MA","XIMIZED=FALSE&amp;VAR:CALENDAR=US&amp;VAR:SYMBOL=04916420&amp;VAR:INDEX=0"}</definedName>
    <definedName name="_9458__FDSAUDITLINK__" localSheetId="6" hidden="1">{"fdsup://directions/FAT Viewer?action=UPDATE&amp;creator=factset&amp;DYN_ARGS=TRUE&amp;DOC_NAME=FAT:FQL_AUDITING_CLIENT_TEMPLATE.FAT&amp;display_string=Audit&amp;VAR:KEY=NODSDWRYBU&amp;VAR:QUERY=RkZfRUJJVERBX0lCKCdMVE1TJywzOTkxMSk=&amp;WINDOW=FIRST_POPUP&amp;HEIGHT=450&amp;WIDTH=450&amp;START_MA","XIMIZED=FALSE&amp;VAR:CALENDAR=US&amp;VAR:SYMBOL=04916420&amp;VAR:INDEX=0"}</definedName>
    <definedName name="_9458__FDSAUDITLINK__" hidden="1">{"fdsup://directions/FAT Viewer?action=UPDATE&amp;creator=factset&amp;DYN_ARGS=TRUE&amp;DOC_NAME=FAT:FQL_AUDITING_CLIENT_TEMPLATE.FAT&amp;display_string=Audit&amp;VAR:KEY=NODSDWRYBU&amp;VAR:QUERY=RkZfRUJJVERBX0lCKCdMVE1TJywzOTkxMSk=&amp;WINDOW=FIRST_POPUP&amp;HEIGHT=450&amp;WIDTH=450&amp;START_MA","XIMIZED=FALSE&amp;VAR:CALENDAR=US&amp;VAR:SYMBOL=04916420&amp;VAR:INDEX=0"}</definedName>
    <definedName name="_9459__FDSAUDITLINK__" localSheetId="6" hidden="1">{"fdsup://directions/FAT Viewer?action=UPDATE&amp;creator=factset&amp;DYN_ARGS=TRUE&amp;DOC_NAME=FAT:FQL_AUDITING_CLIENT_TEMPLATE.FAT&amp;display_string=Audit&amp;VAR:KEY=NQBOXUTUPC&amp;VAR:QUERY=RkZfRUJJVERBX0lCKCdMVE1TJywzOTkxMCk=&amp;WINDOW=FIRST_POPUP&amp;HEIGHT=450&amp;WIDTH=450&amp;START_MA","XIMIZED=FALSE&amp;VAR:CALENDAR=US&amp;VAR:SYMBOL=04916420&amp;VAR:INDEX=0"}</definedName>
    <definedName name="_9459__FDSAUDITLINK__" hidden="1">{"fdsup://directions/FAT Viewer?action=UPDATE&amp;creator=factset&amp;DYN_ARGS=TRUE&amp;DOC_NAME=FAT:FQL_AUDITING_CLIENT_TEMPLATE.FAT&amp;display_string=Audit&amp;VAR:KEY=NQBOXUTUPC&amp;VAR:QUERY=RkZfRUJJVERBX0lCKCdMVE1TJywzOTkxMCk=&amp;WINDOW=FIRST_POPUP&amp;HEIGHT=450&amp;WIDTH=450&amp;START_MA","XIMIZED=FALSE&amp;VAR:CALENDAR=US&amp;VAR:SYMBOL=04916420&amp;VAR:INDEX=0"}</definedName>
    <definedName name="_946__FDSAUDITLINK__" localSheetId="6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6__FDSAUDITLINK__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60__FDSAUDITLINK__" localSheetId="6" hidden="1">{"fdsup://directions/FAT Viewer?action=UPDATE&amp;creator=factset&amp;DYN_ARGS=TRUE&amp;DOC_NAME=FAT:FQL_AUDITING_CLIENT_TEMPLATE.FAT&amp;display_string=Audit&amp;VAR:KEY=HODQHSHCDQ&amp;VAR:QUERY=RkZfRUJJVERBX0lCKCdMVE1TJywzOTkwOSk=&amp;WINDOW=FIRST_POPUP&amp;HEIGHT=450&amp;WIDTH=450&amp;START_MA","XIMIZED=FALSE&amp;VAR:CALENDAR=US&amp;VAR:SYMBOL=04916420&amp;VAR:INDEX=0"}</definedName>
    <definedName name="_9460__FDSAUDITLINK__" hidden="1">{"fdsup://directions/FAT Viewer?action=UPDATE&amp;creator=factset&amp;DYN_ARGS=TRUE&amp;DOC_NAME=FAT:FQL_AUDITING_CLIENT_TEMPLATE.FAT&amp;display_string=Audit&amp;VAR:KEY=HODQHSHCDQ&amp;VAR:QUERY=RkZfRUJJVERBX0lCKCdMVE1TJywzOTkwOSk=&amp;WINDOW=FIRST_POPUP&amp;HEIGHT=450&amp;WIDTH=450&amp;START_MA","XIMIZED=FALSE&amp;VAR:CALENDAR=US&amp;VAR:SYMBOL=04916420&amp;VAR:INDEX=0"}</definedName>
    <definedName name="_9461__FDSAUDITLINK__" localSheetId="6" hidden="1">{"fdsup://directions/FAT Viewer?action=UPDATE&amp;creator=factset&amp;DYN_ARGS=TRUE&amp;DOC_NAME=FAT:FQL_AUDITING_CLIENT_TEMPLATE.FAT&amp;display_string=Audit&amp;VAR:KEY=JQJOPUDMTU&amp;VAR:QUERY=RkZfRUJJVERBX0lCKCdMVE1TJywzOTkwOCk=&amp;WINDOW=FIRST_POPUP&amp;HEIGHT=450&amp;WIDTH=450&amp;START_MA","XIMIZED=FALSE&amp;VAR:CALENDAR=US&amp;VAR:SYMBOL=04916420&amp;VAR:INDEX=0"}</definedName>
    <definedName name="_9461__FDSAUDITLINK__" hidden="1">{"fdsup://directions/FAT Viewer?action=UPDATE&amp;creator=factset&amp;DYN_ARGS=TRUE&amp;DOC_NAME=FAT:FQL_AUDITING_CLIENT_TEMPLATE.FAT&amp;display_string=Audit&amp;VAR:KEY=JQJOPUDMTU&amp;VAR:QUERY=RkZfRUJJVERBX0lCKCdMVE1TJywzOTkwOCk=&amp;WINDOW=FIRST_POPUP&amp;HEIGHT=450&amp;WIDTH=450&amp;START_MA","XIMIZED=FALSE&amp;VAR:CALENDAR=US&amp;VAR:SYMBOL=04916420&amp;VAR:INDEX=0"}</definedName>
    <definedName name="_9462__FDSAUDITLINK__" localSheetId="6" hidden="1">{"fdsup://directions/FAT Viewer?action=UPDATE&amp;creator=factset&amp;DYN_ARGS=TRUE&amp;DOC_NAME=FAT:FQL_AUDITING_CLIENT_TEMPLATE.FAT&amp;display_string=Audit&amp;VAR:KEY=HIHWDAPGLS&amp;VAR:QUERY=RkZfRUJJVERBX0lCKCdMVE1TJywzOTkwNyk=&amp;WINDOW=FIRST_POPUP&amp;HEIGHT=450&amp;WIDTH=450&amp;START_MA","XIMIZED=FALSE&amp;VAR:CALENDAR=US&amp;VAR:SYMBOL=04916420&amp;VAR:INDEX=0"}</definedName>
    <definedName name="_9462__FDSAUDITLINK__" hidden="1">{"fdsup://directions/FAT Viewer?action=UPDATE&amp;creator=factset&amp;DYN_ARGS=TRUE&amp;DOC_NAME=FAT:FQL_AUDITING_CLIENT_TEMPLATE.FAT&amp;display_string=Audit&amp;VAR:KEY=HIHWDAPGLS&amp;VAR:QUERY=RkZfRUJJVERBX0lCKCdMVE1TJywzOTkwNyk=&amp;WINDOW=FIRST_POPUP&amp;HEIGHT=450&amp;WIDTH=450&amp;START_MA","XIMIZED=FALSE&amp;VAR:CALENDAR=US&amp;VAR:SYMBOL=04916420&amp;VAR:INDEX=0"}</definedName>
    <definedName name="_9463__FDSAUDITLINK__" localSheetId="6" hidden="1">{"fdsup://directions/FAT Viewer?action=UPDATE&amp;creator=factset&amp;DYN_ARGS=TRUE&amp;DOC_NAME=FAT:FQL_AUDITING_CLIENT_TEMPLATE.FAT&amp;display_string=Audit&amp;VAR:KEY=JYXIDUDSXM&amp;VAR:QUERY=RkZfRUJJVERBX0lCKCdMVE1TJywzOTkwNik=&amp;WINDOW=FIRST_POPUP&amp;HEIGHT=450&amp;WIDTH=450&amp;START_MA","XIMIZED=FALSE&amp;VAR:CALENDAR=US&amp;VAR:SYMBOL=04916420&amp;VAR:INDEX=0"}</definedName>
    <definedName name="_9463__FDSAUDITLINK__" hidden="1">{"fdsup://directions/FAT Viewer?action=UPDATE&amp;creator=factset&amp;DYN_ARGS=TRUE&amp;DOC_NAME=FAT:FQL_AUDITING_CLIENT_TEMPLATE.FAT&amp;display_string=Audit&amp;VAR:KEY=JYXIDUDSXM&amp;VAR:QUERY=RkZfRUJJVERBX0lCKCdMVE1TJywzOTkwNik=&amp;WINDOW=FIRST_POPUP&amp;HEIGHT=450&amp;WIDTH=450&amp;START_MA","XIMIZED=FALSE&amp;VAR:CALENDAR=US&amp;VAR:SYMBOL=04916420&amp;VAR:INDEX=0"}</definedName>
    <definedName name="_9464__FDSAUDITLINK__" localSheetId="6" hidden="1">{"fdsup://directions/FAT Viewer?action=UPDATE&amp;creator=factset&amp;DYN_ARGS=TRUE&amp;DOC_NAME=FAT:FQL_AUDITING_CLIENT_TEMPLATE.FAT&amp;display_string=Audit&amp;VAR:KEY=DQTCPWZAXA&amp;VAR:QUERY=RkZfRUJJVERBX0lCKCdMVE1TJywzOTkwNSk=&amp;WINDOW=FIRST_POPUP&amp;HEIGHT=450&amp;WIDTH=450&amp;START_MA","XIMIZED=FALSE&amp;VAR:CALENDAR=US&amp;VAR:SYMBOL=04916420&amp;VAR:INDEX=0"}</definedName>
    <definedName name="_9464__FDSAUDITLINK__" hidden="1">{"fdsup://directions/FAT Viewer?action=UPDATE&amp;creator=factset&amp;DYN_ARGS=TRUE&amp;DOC_NAME=FAT:FQL_AUDITING_CLIENT_TEMPLATE.FAT&amp;display_string=Audit&amp;VAR:KEY=DQTCPWZAXA&amp;VAR:QUERY=RkZfRUJJVERBX0lCKCdMVE1TJywzOTkwNSk=&amp;WINDOW=FIRST_POPUP&amp;HEIGHT=450&amp;WIDTH=450&amp;START_MA","XIMIZED=FALSE&amp;VAR:CALENDAR=US&amp;VAR:SYMBOL=04916420&amp;VAR:INDEX=0"}</definedName>
    <definedName name="_9465__FDSAUDITLINK__" localSheetId="6" hidden="1">{"fdsup://directions/FAT Viewer?action=UPDATE&amp;creator=factset&amp;DYN_ARGS=TRUE&amp;DOC_NAME=FAT:FQL_AUDITING_CLIENT_TEMPLATE.FAT&amp;display_string=Audit&amp;VAR:KEY=TOHWLGZOLW&amp;VAR:QUERY=RkZfRUJJVERBX0lCKCdMVE1TJywzOTkwNCk=&amp;WINDOW=FIRST_POPUP&amp;HEIGHT=450&amp;WIDTH=450&amp;START_MA","XIMIZED=FALSE&amp;VAR:CALENDAR=US&amp;VAR:SYMBOL=04916420&amp;VAR:INDEX=0"}</definedName>
    <definedName name="_9465__FDSAUDITLINK__" hidden="1">{"fdsup://directions/FAT Viewer?action=UPDATE&amp;creator=factset&amp;DYN_ARGS=TRUE&amp;DOC_NAME=FAT:FQL_AUDITING_CLIENT_TEMPLATE.FAT&amp;display_string=Audit&amp;VAR:KEY=TOHWLGZOLW&amp;VAR:QUERY=RkZfRUJJVERBX0lCKCdMVE1TJywzOTkwNCk=&amp;WINDOW=FIRST_POPUP&amp;HEIGHT=450&amp;WIDTH=450&amp;START_MA","XIMIZED=FALSE&amp;VAR:CALENDAR=US&amp;VAR:SYMBOL=04916420&amp;VAR:INDEX=0"}</definedName>
    <definedName name="_9466__FDSAUDITLINK__" localSheetId="6" hidden="1">{"fdsup://directions/FAT Viewer?action=UPDATE&amp;creator=factset&amp;DYN_ARGS=TRUE&amp;DOC_NAME=FAT:FQL_AUDITING_CLIENT_TEMPLATE.FAT&amp;display_string=Audit&amp;VAR:KEY=ZWXCDMTQHK&amp;VAR:QUERY=RkZfRUJJVERBX0lCKCdMVE1TJywzOTkwMyk=&amp;WINDOW=FIRST_POPUP&amp;HEIGHT=450&amp;WIDTH=450&amp;START_MA","XIMIZED=FALSE&amp;VAR:CALENDAR=US&amp;VAR:SYMBOL=04916420&amp;VAR:INDEX=0"}</definedName>
    <definedName name="_9466__FDSAUDITLINK__" hidden="1">{"fdsup://directions/FAT Viewer?action=UPDATE&amp;creator=factset&amp;DYN_ARGS=TRUE&amp;DOC_NAME=FAT:FQL_AUDITING_CLIENT_TEMPLATE.FAT&amp;display_string=Audit&amp;VAR:KEY=ZWXCDMTQHK&amp;VAR:QUERY=RkZfRUJJVERBX0lCKCdMVE1TJywzOTkwMyk=&amp;WINDOW=FIRST_POPUP&amp;HEIGHT=450&amp;WIDTH=450&amp;START_MA","XIMIZED=FALSE&amp;VAR:CALENDAR=US&amp;VAR:SYMBOL=04916420&amp;VAR:INDEX=0"}</definedName>
    <definedName name="_9467__FDSAUDITLINK__" localSheetId="6" hidden="1">{"fdsup://directions/FAT Viewer?action=UPDATE&amp;creator=factset&amp;DYN_ARGS=TRUE&amp;DOC_NAME=FAT:FQL_AUDITING_CLIENT_TEMPLATE.FAT&amp;display_string=Audit&amp;VAR:KEY=BOLMFIXENG&amp;VAR:QUERY=RkZfRUJJVERBX0lCKCdMVE1TJywzOTkwMik=&amp;WINDOW=FIRST_POPUP&amp;HEIGHT=450&amp;WIDTH=450&amp;START_MA","XIMIZED=FALSE&amp;VAR:CALENDAR=US&amp;VAR:SYMBOL=04916420&amp;VAR:INDEX=0"}</definedName>
    <definedName name="_9467__FDSAUDITLINK__" hidden="1">{"fdsup://directions/FAT Viewer?action=UPDATE&amp;creator=factset&amp;DYN_ARGS=TRUE&amp;DOC_NAME=FAT:FQL_AUDITING_CLIENT_TEMPLATE.FAT&amp;display_string=Audit&amp;VAR:KEY=BOLMFIXENG&amp;VAR:QUERY=RkZfRUJJVERBX0lCKCdMVE1TJywzOTkwMik=&amp;WINDOW=FIRST_POPUP&amp;HEIGHT=450&amp;WIDTH=450&amp;START_MA","XIMIZED=FALSE&amp;VAR:CALENDAR=US&amp;VAR:SYMBOL=04916420&amp;VAR:INDEX=0"}</definedName>
    <definedName name="_9468__FDSAUDITLINK__" localSheetId="6" hidden="1">{"fdsup://directions/FAT Viewer?action=UPDATE&amp;creator=factset&amp;DYN_ARGS=TRUE&amp;DOC_NAME=FAT:FQL_AUDITING_CLIENT_TEMPLATE.FAT&amp;display_string=Audit&amp;VAR:KEY=TEPADYLARS&amp;VAR:QUERY=RkZfRUJJVERBX0lCKCdMVE1TJywzOTkwMSk=&amp;WINDOW=FIRST_POPUP&amp;HEIGHT=450&amp;WIDTH=450&amp;START_MA","XIMIZED=FALSE&amp;VAR:CALENDAR=US&amp;VAR:SYMBOL=04916420&amp;VAR:INDEX=0"}</definedName>
    <definedName name="_9468__FDSAUDITLINK__" hidden="1">{"fdsup://directions/FAT Viewer?action=UPDATE&amp;creator=factset&amp;DYN_ARGS=TRUE&amp;DOC_NAME=FAT:FQL_AUDITING_CLIENT_TEMPLATE.FAT&amp;display_string=Audit&amp;VAR:KEY=TEPADYLARS&amp;VAR:QUERY=RkZfRUJJVERBX0lCKCdMVE1TJywzOTkwMSk=&amp;WINDOW=FIRST_POPUP&amp;HEIGHT=450&amp;WIDTH=450&amp;START_MA","XIMIZED=FALSE&amp;VAR:CALENDAR=US&amp;VAR:SYMBOL=04916420&amp;VAR:INDEX=0"}</definedName>
    <definedName name="_9469__FDSAUDITLINK__" localSheetId="6" hidden="1">{"fdsup://directions/FAT Viewer?action=UPDATE&amp;creator=factset&amp;DYN_ARGS=TRUE&amp;DOC_NAME=FAT:FQL_AUDITING_CLIENT_TEMPLATE.FAT&amp;display_string=Audit&amp;VAR:KEY=NINENODCXA&amp;VAR:QUERY=RkZfRUJJVERBX0lCKCdMVE1TJywzOTkwMCk=&amp;WINDOW=FIRST_POPUP&amp;HEIGHT=450&amp;WIDTH=450&amp;START_MA","XIMIZED=FALSE&amp;VAR:CALENDAR=US&amp;VAR:SYMBOL=04916420&amp;VAR:INDEX=0"}</definedName>
    <definedName name="_9469__FDSAUDITLINK__" hidden="1">{"fdsup://directions/FAT Viewer?action=UPDATE&amp;creator=factset&amp;DYN_ARGS=TRUE&amp;DOC_NAME=FAT:FQL_AUDITING_CLIENT_TEMPLATE.FAT&amp;display_string=Audit&amp;VAR:KEY=NINENODCXA&amp;VAR:QUERY=RkZfRUJJVERBX0lCKCdMVE1TJywzOTkwMCk=&amp;WINDOW=FIRST_POPUP&amp;HEIGHT=450&amp;WIDTH=450&amp;START_MA","XIMIZED=FALSE&amp;VAR:CALENDAR=US&amp;VAR:SYMBOL=04916420&amp;VAR:INDEX=0"}</definedName>
    <definedName name="_947__FDSAUDITLINK__" localSheetId="6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7__FDSAUDITLINK__" hidden="1">{"fdsup://directions/FAT%20Viewer?VAR:PED=LTM&amp;VAR:AUDIT_MODE=SUMMARY&amp;VAR:PERIOD=FIXED&amp;VAR:AUDIT_ID=00000117&amp;VAR:DATE=20070720&amp;action=UPDATE&amp;creator=factset&amp;DOC_NAME=FAT:FMA_audit_SUMMARY.fat&amp;DISPLAY_STRING=Display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70__FDSAUDITLINK__" localSheetId="6" hidden="1">{"fdsup://directions/FAT Viewer?action=UPDATE&amp;creator=factset&amp;DYN_ARGS=TRUE&amp;DOC_NAME=FAT:FQL_AUDITING_CLIENT_TEMPLATE.FAT&amp;display_string=Audit&amp;VAR:KEY=RMHADOXGDS&amp;VAR:QUERY=RkZfRUJJVERBX0lCKCdMVE1TJywzOTg5OSk=&amp;WINDOW=FIRST_POPUP&amp;HEIGHT=450&amp;WIDTH=450&amp;START_MA","XIMIZED=FALSE&amp;VAR:CALENDAR=US&amp;VAR:SYMBOL=04916420&amp;VAR:INDEX=0"}</definedName>
    <definedName name="_9470__FDSAUDITLINK__" hidden="1">{"fdsup://directions/FAT Viewer?action=UPDATE&amp;creator=factset&amp;DYN_ARGS=TRUE&amp;DOC_NAME=FAT:FQL_AUDITING_CLIENT_TEMPLATE.FAT&amp;display_string=Audit&amp;VAR:KEY=RMHADOXGDS&amp;VAR:QUERY=RkZfRUJJVERBX0lCKCdMVE1TJywzOTg5OSk=&amp;WINDOW=FIRST_POPUP&amp;HEIGHT=450&amp;WIDTH=450&amp;START_MA","XIMIZED=FALSE&amp;VAR:CALENDAR=US&amp;VAR:SYMBOL=04916420&amp;VAR:INDEX=0"}</definedName>
    <definedName name="_9471__FDSAUDITLINK__" localSheetId="6" hidden="1">{"fdsup://directions/FAT Viewer?action=UPDATE&amp;creator=factset&amp;DYN_ARGS=TRUE&amp;DOC_NAME=FAT:FQL_AUDITING_CLIENT_TEMPLATE.FAT&amp;display_string=Audit&amp;VAR:KEY=PWBOPIPKVI&amp;VAR:QUERY=RkZfRUJJVERBX0lCKCdMVE1TJywzOTg5OCk=&amp;WINDOW=FIRST_POPUP&amp;HEIGHT=450&amp;WIDTH=450&amp;START_MA","XIMIZED=FALSE&amp;VAR:CALENDAR=US&amp;VAR:SYMBOL=04916420&amp;VAR:INDEX=0"}</definedName>
    <definedName name="_9471__FDSAUDITLINK__" hidden="1">{"fdsup://directions/FAT Viewer?action=UPDATE&amp;creator=factset&amp;DYN_ARGS=TRUE&amp;DOC_NAME=FAT:FQL_AUDITING_CLIENT_TEMPLATE.FAT&amp;display_string=Audit&amp;VAR:KEY=PWBOPIPKVI&amp;VAR:QUERY=RkZfRUJJVERBX0lCKCdMVE1TJywzOTg5OCk=&amp;WINDOW=FIRST_POPUP&amp;HEIGHT=450&amp;WIDTH=450&amp;START_MA","XIMIZED=FALSE&amp;VAR:CALENDAR=US&amp;VAR:SYMBOL=04916420&amp;VAR:INDEX=0"}</definedName>
    <definedName name="_9472__FDSAUDITLINK__" localSheetId="6" hidden="1">{"fdsup://directions/FAT Viewer?action=UPDATE&amp;creator=factset&amp;DYN_ARGS=TRUE&amp;DOC_NAME=FAT:FQL_AUDITING_CLIENT_TEMPLATE.FAT&amp;display_string=Audit&amp;VAR:KEY=LOJYVCRYXW&amp;VAR:QUERY=RkZfRUJJVERBX0lCKCdMVE1TJywzOTg5Nyk=&amp;WINDOW=FIRST_POPUP&amp;HEIGHT=450&amp;WIDTH=450&amp;START_MA","XIMIZED=FALSE&amp;VAR:CALENDAR=US&amp;VAR:SYMBOL=04916420&amp;VAR:INDEX=0"}</definedName>
    <definedName name="_9472__FDSAUDITLINK__" hidden="1">{"fdsup://directions/FAT Viewer?action=UPDATE&amp;creator=factset&amp;DYN_ARGS=TRUE&amp;DOC_NAME=FAT:FQL_AUDITING_CLIENT_TEMPLATE.FAT&amp;display_string=Audit&amp;VAR:KEY=LOJYVCRYXW&amp;VAR:QUERY=RkZfRUJJVERBX0lCKCdMVE1TJywzOTg5Nyk=&amp;WINDOW=FIRST_POPUP&amp;HEIGHT=450&amp;WIDTH=450&amp;START_MA","XIMIZED=FALSE&amp;VAR:CALENDAR=US&amp;VAR:SYMBOL=04916420&amp;VAR:INDEX=0"}</definedName>
    <definedName name="_9473__FDSAUDITLINK__" localSheetId="6" hidden="1">{"fdsup://directions/FAT Viewer?action=UPDATE&amp;creator=factset&amp;DYN_ARGS=TRUE&amp;DOC_NAME=FAT:FQL_AUDITING_CLIENT_TEMPLATE.FAT&amp;display_string=Audit&amp;VAR:KEY=LGJWFAPUDS&amp;VAR:QUERY=RkZfRUJJVERBX0lCKCdMVE1TJywzOTg5Nik=&amp;WINDOW=FIRST_POPUP&amp;HEIGHT=450&amp;WIDTH=450&amp;START_MA","XIMIZED=FALSE&amp;VAR:CALENDAR=US&amp;VAR:SYMBOL=04916420&amp;VAR:INDEX=0"}</definedName>
    <definedName name="_9473__FDSAUDITLINK__" hidden="1">{"fdsup://directions/FAT Viewer?action=UPDATE&amp;creator=factset&amp;DYN_ARGS=TRUE&amp;DOC_NAME=FAT:FQL_AUDITING_CLIENT_TEMPLATE.FAT&amp;display_string=Audit&amp;VAR:KEY=LGJWFAPUDS&amp;VAR:QUERY=RkZfRUJJVERBX0lCKCdMVE1TJywzOTg5Nik=&amp;WINDOW=FIRST_POPUP&amp;HEIGHT=450&amp;WIDTH=450&amp;START_MA","XIMIZED=FALSE&amp;VAR:CALENDAR=US&amp;VAR:SYMBOL=04916420&amp;VAR:INDEX=0"}</definedName>
    <definedName name="_9474__FDSAUDITLINK__" localSheetId="6" hidden="1">{"fdsup://directions/FAT Viewer?action=UPDATE&amp;creator=factset&amp;DYN_ARGS=TRUE&amp;DOC_NAME=FAT:FQL_AUDITING_CLIENT_TEMPLATE.FAT&amp;display_string=Audit&amp;VAR:KEY=BMBINAJEBI&amp;VAR:QUERY=RkZfRUJJVERBX0lCKCdMVE1TJywzOTg5NSk=&amp;WINDOW=FIRST_POPUP&amp;HEIGHT=450&amp;WIDTH=450&amp;START_MA","XIMIZED=FALSE&amp;VAR:CALENDAR=US&amp;VAR:SYMBOL=04916420&amp;VAR:INDEX=0"}</definedName>
    <definedName name="_9474__FDSAUDITLINK__" hidden="1">{"fdsup://directions/FAT Viewer?action=UPDATE&amp;creator=factset&amp;DYN_ARGS=TRUE&amp;DOC_NAME=FAT:FQL_AUDITING_CLIENT_TEMPLATE.FAT&amp;display_string=Audit&amp;VAR:KEY=BMBINAJEBI&amp;VAR:QUERY=RkZfRUJJVERBX0lCKCdMVE1TJywzOTg5NSk=&amp;WINDOW=FIRST_POPUP&amp;HEIGHT=450&amp;WIDTH=450&amp;START_MA","XIMIZED=FALSE&amp;VAR:CALENDAR=US&amp;VAR:SYMBOL=04916420&amp;VAR:INDEX=0"}</definedName>
    <definedName name="_9475__FDSAUDITLINK__" localSheetId="6" hidden="1">{"fdsup://directions/FAT Viewer?action=UPDATE&amp;creator=factset&amp;DYN_ARGS=TRUE&amp;DOC_NAME=FAT:FQL_AUDITING_CLIENT_TEMPLATE.FAT&amp;display_string=Audit&amp;VAR:KEY=HCBYNMVEJS&amp;VAR:QUERY=RkZfRUJJVERBX0lCKCdMVE1TJywzOTg5NCk=&amp;WINDOW=FIRST_POPUP&amp;HEIGHT=450&amp;WIDTH=450&amp;START_MA","XIMIZED=FALSE&amp;VAR:CALENDAR=US&amp;VAR:SYMBOL=04916420&amp;VAR:INDEX=0"}</definedName>
    <definedName name="_9475__FDSAUDITLINK__" hidden="1">{"fdsup://directions/FAT Viewer?action=UPDATE&amp;creator=factset&amp;DYN_ARGS=TRUE&amp;DOC_NAME=FAT:FQL_AUDITING_CLIENT_TEMPLATE.FAT&amp;display_string=Audit&amp;VAR:KEY=HCBYNMVEJS&amp;VAR:QUERY=RkZfRUJJVERBX0lCKCdMVE1TJywzOTg5NCk=&amp;WINDOW=FIRST_POPUP&amp;HEIGHT=450&amp;WIDTH=450&amp;START_MA","XIMIZED=FALSE&amp;VAR:CALENDAR=US&amp;VAR:SYMBOL=04916420&amp;VAR:INDEX=0"}</definedName>
    <definedName name="_9476__FDSAUDITLINK__" localSheetId="6" hidden="1">{"fdsup://directions/FAT Viewer?action=UPDATE&amp;creator=factset&amp;DYN_ARGS=TRUE&amp;DOC_NAME=FAT:FQL_AUDITING_CLIENT_TEMPLATE.FAT&amp;display_string=Audit&amp;VAR:KEY=LYVYRETIRM&amp;VAR:QUERY=RkZfRUJJVERBX0lCKCdMVE1TJywzOTg5Myk=&amp;WINDOW=FIRST_POPUP&amp;HEIGHT=450&amp;WIDTH=450&amp;START_MA","XIMIZED=FALSE&amp;VAR:CALENDAR=US&amp;VAR:SYMBOL=04916420&amp;VAR:INDEX=0"}</definedName>
    <definedName name="_9476__FDSAUDITLINK__" hidden="1">{"fdsup://directions/FAT Viewer?action=UPDATE&amp;creator=factset&amp;DYN_ARGS=TRUE&amp;DOC_NAME=FAT:FQL_AUDITING_CLIENT_TEMPLATE.FAT&amp;display_string=Audit&amp;VAR:KEY=LYVYRETIRM&amp;VAR:QUERY=RkZfRUJJVERBX0lCKCdMVE1TJywzOTg5Myk=&amp;WINDOW=FIRST_POPUP&amp;HEIGHT=450&amp;WIDTH=450&amp;START_MA","XIMIZED=FALSE&amp;VAR:CALENDAR=US&amp;VAR:SYMBOL=04916420&amp;VAR:INDEX=0"}</definedName>
    <definedName name="_9477__FDSAUDITLINK__" localSheetId="6" hidden="1">{"fdsup://directions/FAT Viewer?action=UPDATE&amp;creator=factset&amp;DYN_ARGS=TRUE&amp;DOC_NAME=FAT:FQL_AUDITING_CLIENT_TEMPLATE.FAT&amp;display_string=Audit&amp;VAR:KEY=JSRULSHAFW&amp;VAR:QUERY=RkZfRUJJVERBX0lCKCdMVE1TJywzOTg5Mik=&amp;WINDOW=FIRST_POPUP&amp;HEIGHT=450&amp;WIDTH=450&amp;START_MA","XIMIZED=FALSE&amp;VAR:CALENDAR=US&amp;VAR:SYMBOL=04916420&amp;VAR:INDEX=0"}</definedName>
    <definedName name="_9477__FDSAUDITLINK__" hidden="1">{"fdsup://directions/FAT Viewer?action=UPDATE&amp;creator=factset&amp;DYN_ARGS=TRUE&amp;DOC_NAME=FAT:FQL_AUDITING_CLIENT_TEMPLATE.FAT&amp;display_string=Audit&amp;VAR:KEY=JSRULSHAFW&amp;VAR:QUERY=RkZfRUJJVERBX0lCKCdMVE1TJywzOTg5Mik=&amp;WINDOW=FIRST_POPUP&amp;HEIGHT=450&amp;WIDTH=450&amp;START_MA","XIMIZED=FALSE&amp;VAR:CALENDAR=US&amp;VAR:SYMBOL=04916420&amp;VAR:INDEX=0"}</definedName>
    <definedName name="_9478__FDSAUDITLINK__" localSheetId="6" hidden="1">{"fdsup://directions/FAT Viewer?action=UPDATE&amp;creator=factset&amp;DYN_ARGS=TRUE&amp;DOC_NAME=FAT:FQL_AUDITING_CLIENT_TEMPLATE.FAT&amp;display_string=Audit&amp;VAR:KEY=BSTSRSFGLC&amp;VAR:QUERY=RkZfRUJJVERBX0lCKCdMVE1TJywzOTg5MSk=&amp;WINDOW=FIRST_POPUP&amp;HEIGHT=450&amp;WIDTH=450&amp;START_MA","XIMIZED=FALSE&amp;VAR:CALENDAR=US&amp;VAR:SYMBOL=04916420&amp;VAR:INDEX=0"}</definedName>
    <definedName name="_9478__FDSAUDITLINK__" hidden="1">{"fdsup://directions/FAT Viewer?action=UPDATE&amp;creator=factset&amp;DYN_ARGS=TRUE&amp;DOC_NAME=FAT:FQL_AUDITING_CLIENT_TEMPLATE.FAT&amp;display_string=Audit&amp;VAR:KEY=BSTSRSFGLC&amp;VAR:QUERY=RkZfRUJJVERBX0lCKCdMVE1TJywzOTg5MSk=&amp;WINDOW=FIRST_POPUP&amp;HEIGHT=450&amp;WIDTH=450&amp;START_MA","XIMIZED=FALSE&amp;VAR:CALENDAR=US&amp;VAR:SYMBOL=04916420&amp;VAR:INDEX=0"}</definedName>
    <definedName name="_9479__FDSAUDITLINK__" localSheetId="6" hidden="1">{"fdsup://directions/FAT Viewer?action=UPDATE&amp;creator=factset&amp;DYN_ARGS=TRUE&amp;DOC_NAME=FAT:FQL_AUDITING_CLIENT_TEMPLATE.FAT&amp;display_string=Audit&amp;VAR:KEY=BMFMTGFUPG&amp;VAR:QUERY=RkZfRUJJVERBX0lCKCdMVE1TJywzOTg5MCk=&amp;WINDOW=FIRST_POPUP&amp;HEIGHT=450&amp;WIDTH=450&amp;START_MA","XIMIZED=FALSE&amp;VAR:CALENDAR=US&amp;VAR:SYMBOL=04916420&amp;VAR:INDEX=0"}</definedName>
    <definedName name="_9479__FDSAUDITLINK__" hidden="1">{"fdsup://directions/FAT Viewer?action=UPDATE&amp;creator=factset&amp;DYN_ARGS=TRUE&amp;DOC_NAME=FAT:FQL_AUDITING_CLIENT_TEMPLATE.FAT&amp;display_string=Audit&amp;VAR:KEY=BMFMTGFUPG&amp;VAR:QUERY=RkZfRUJJVERBX0lCKCdMVE1TJywzOTg5MCk=&amp;WINDOW=FIRST_POPUP&amp;HEIGHT=450&amp;WIDTH=450&amp;START_MA","XIMIZED=FALSE&amp;VAR:CALENDAR=US&amp;VAR:SYMBOL=04916420&amp;VAR:INDEX=0"}</definedName>
    <definedName name="_948__FDSAUDITLINK__" localSheetId="6" hidden="1">{"fdsup://directions/FAT%20Viewer?VAR:PED=LTM&amp;VAR:AUDIT_MODE=SUMMARY&amp;VAR:PERIOD=FIXED&amp;VAR:AUDIT_ID=00000117&amp;VAR:DATE=20070719&amp;action=UPDATE&amp;creator=factset&amp;DOC_NAME=FAT:FMA_audit_SUMMARY.fat&amp;DISPLAY_STRING=Display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8__FDSAUDITLINK__" hidden="1">{"fdsup://directions/FAT%20Viewer?VAR:PED=LTM&amp;VAR:AUDIT_MODE=SUMMARY&amp;VAR:PERIOD=FIXED&amp;VAR:AUDIT_ID=00000117&amp;VAR:DATE=20070719&amp;action=UPDATE&amp;creator=factset&amp;DOC_NAME=FAT:FMA_audit_SUMMARY.fat&amp;DISPLAY_STRING=Display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80__FDSAUDITLINK__" localSheetId="6" hidden="1">{"fdsup://directions/FAT Viewer?action=UPDATE&amp;creator=factset&amp;DYN_ARGS=TRUE&amp;DOC_NAME=FAT:FQL_AUDITING_CLIENT_TEMPLATE.FAT&amp;display_string=Audit&amp;VAR:KEY=DWHIBWHCTK&amp;VAR:QUERY=RkZfRUJJVERBX0lCKCdMVE1TJywzOTg4OSk=&amp;WINDOW=FIRST_POPUP&amp;HEIGHT=450&amp;WIDTH=450&amp;START_MA","XIMIZED=FALSE&amp;VAR:CALENDAR=US&amp;VAR:SYMBOL=04916420&amp;VAR:INDEX=0"}</definedName>
    <definedName name="_9480__FDSAUDITLINK__" hidden="1">{"fdsup://directions/FAT Viewer?action=UPDATE&amp;creator=factset&amp;DYN_ARGS=TRUE&amp;DOC_NAME=FAT:FQL_AUDITING_CLIENT_TEMPLATE.FAT&amp;display_string=Audit&amp;VAR:KEY=DWHIBWHCTK&amp;VAR:QUERY=RkZfRUJJVERBX0lCKCdMVE1TJywzOTg4OSk=&amp;WINDOW=FIRST_POPUP&amp;HEIGHT=450&amp;WIDTH=450&amp;START_MA","XIMIZED=FALSE&amp;VAR:CALENDAR=US&amp;VAR:SYMBOL=04916420&amp;VAR:INDEX=0"}</definedName>
    <definedName name="_9481__FDSAUDITLINK__" localSheetId="6" hidden="1">{"fdsup://directions/FAT Viewer?action=UPDATE&amp;creator=factset&amp;DYN_ARGS=TRUE&amp;DOC_NAME=FAT:FQL_AUDITING_CLIENT_TEMPLATE.FAT&amp;display_string=Audit&amp;VAR:KEY=VSNADUJSNM&amp;VAR:QUERY=RkZfRUJJVERBX0lCKCdMVE1TJywzOTg4OCk=&amp;WINDOW=FIRST_POPUP&amp;HEIGHT=450&amp;WIDTH=450&amp;START_MA","XIMIZED=FALSE&amp;VAR:CALENDAR=US&amp;VAR:SYMBOL=04916420&amp;VAR:INDEX=0"}</definedName>
    <definedName name="_9481__FDSAUDITLINK__" hidden="1">{"fdsup://directions/FAT Viewer?action=UPDATE&amp;creator=factset&amp;DYN_ARGS=TRUE&amp;DOC_NAME=FAT:FQL_AUDITING_CLIENT_TEMPLATE.FAT&amp;display_string=Audit&amp;VAR:KEY=VSNADUJSNM&amp;VAR:QUERY=RkZfRUJJVERBX0lCKCdMVE1TJywzOTg4OCk=&amp;WINDOW=FIRST_POPUP&amp;HEIGHT=450&amp;WIDTH=450&amp;START_MA","XIMIZED=FALSE&amp;VAR:CALENDAR=US&amp;VAR:SYMBOL=04916420&amp;VAR:INDEX=0"}</definedName>
    <definedName name="_9482__FDSAUDITLINK__" localSheetId="6" hidden="1">{"fdsup://directions/FAT Viewer?action=UPDATE&amp;creator=factset&amp;DYN_ARGS=TRUE&amp;DOC_NAME=FAT:FQL_AUDITING_CLIENT_TEMPLATE.FAT&amp;display_string=Audit&amp;VAR:KEY=RMBIDQFAFS&amp;VAR:QUERY=RkZfRUJJVERBX0lCKCdMVE1TJywzOTg4Nyk=&amp;WINDOW=FIRST_POPUP&amp;HEIGHT=450&amp;WIDTH=450&amp;START_MA","XIMIZED=FALSE&amp;VAR:CALENDAR=US&amp;VAR:SYMBOL=04916420&amp;VAR:INDEX=0"}</definedName>
    <definedName name="_9482__FDSAUDITLINK__" hidden="1">{"fdsup://directions/FAT Viewer?action=UPDATE&amp;creator=factset&amp;DYN_ARGS=TRUE&amp;DOC_NAME=FAT:FQL_AUDITING_CLIENT_TEMPLATE.FAT&amp;display_string=Audit&amp;VAR:KEY=RMBIDQFAFS&amp;VAR:QUERY=RkZfRUJJVERBX0lCKCdMVE1TJywzOTg4Nyk=&amp;WINDOW=FIRST_POPUP&amp;HEIGHT=450&amp;WIDTH=450&amp;START_MA","XIMIZED=FALSE&amp;VAR:CALENDAR=US&amp;VAR:SYMBOL=04916420&amp;VAR:INDEX=0"}</definedName>
    <definedName name="_9483__FDSAUDITLINK__" localSheetId="6" hidden="1">{"fdsup://directions/FAT Viewer?action=UPDATE&amp;creator=factset&amp;DYN_ARGS=TRUE&amp;DOC_NAME=FAT:FQL_AUDITING_CLIENT_TEMPLATE.FAT&amp;display_string=Audit&amp;VAR:KEY=FYTKDWPIVK&amp;VAR:QUERY=RkZfRUJJVERBX0lCKCdMVE1TJywzOTg4Nik=&amp;WINDOW=FIRST_POPUP&amp;HEIGHT=450&amp;WIDTH=450&amp;START_MA","XIMIZED=FALSE&amp;VAR:CALENDAR=US&amp;VAR:SYMBOL=04916420&amp;VAR:INDEX=0"}</definedName>
    <definedName name="_9483__FDSAUDITLINK__" hidden="1">{"fdsup://directions/FAT Viewer?action=UPDATE&amp;creator=factset&amp;DYN_ARGS=TRUE&amp;DOC_NAME=FAT:FQL_AUDITING_CLIENT_TEMPLATE.FAT&amp;display_string=Audit&amp;VAR:KEY=FYTKDWPIVK&amp;VAR:QUERY=RkZfRUJJVERBX0lCKCdMVE1TJywzOTg4Nik=&amp;WINDOW=FIRST_POPUP&amp;HEIGHT=450&amp;WIDTH=450&amp;START_MA","XIMIZED=FALSE&amp;VAR:CALENDAR=US&amp;VAR:SYMBOL=04916420&amp;VAR:INDEX=0"}</definedName>
    <definedName name="_9484__FDSAUDITLINK__" localSheetId="6" hidden="1">{"fdsup://directions/FAT Viewer?action=UPDATE&amp;creator=factset&amp;DYN_ARGS=TRUE&amp;DOC_NAME=FAT:FQL_AUDITING_CLIENT_TEMPLATE.FAT&amp;display_string=Audit&amp;VAR:KEY=TGFURUTCBA&amp;VAR:QUERY=RkZfRUJJVERBX0lCKCdMVE1TJywzOTg4NSk=&amp;WINDOW=FIRST_POPUP&amp;HEIGHT=450&amp;WIDTH=450&amp;START_MA","XIMIZED=FALSE&amp;VAR:CALENDAR=US&amp;VAR:SYMBOL=04916420&amp;VAR:INDEX=0"}</definedName>
    <definedName name="_9484__FDSAUDITLINK__" hidden="1">{"fdsup://directions/FAT Viewer?action=UPDATE&amp;creator=factset&amp;DYN_ARGS=TRUE&amp;DOC_NAME=FAT:FQL_AUDITING_CLIENT_TEMPLATE.FAT&amp;display_string=Audit&amp;VAR:KEY=TGFURUTCBA&amp;VAR:QUERY=RkZfRUJJVERBX0lCKCdMVE1TJywzOTg4NSk=&amp;WINDOW=FIRST_POPUP&amp;HEIGHT=450&amp;WIDTH=450&amp;START_MA","XIMIZED=FALSE&amp;VAR:CALENDAR=US&amp;VAR:SYMBOL=04916420&amp;VAR:INDEX=0"}</definedName>
    <definedName name="_9485__FDSAUDITLINK__" localSheetId="6" hidden="1">{"fdsup://directions/FAT Viewer?action=UPDATE&amp;creator=factset&amp;DYN_ARGS=TRUE&amp;DOC_NAME=FAT:FQL_AUDITING_CLIENT_TEMPLATE.FAT&amp;display_string=Audit&amp;VAR:KEY=TIZGHCVONQ&amp;VAR:QUERY=RkZfRUJJVERBX0lCKCdMVE1TJywzOTg4NCk=&amp;WINDOW=FIRST_POPUP&amp;HEIGHT=450&amp;WIDTH=450&amp;START_MA","XIMIZED=FALSE&amp;VAR:CALENDAR=US&amp;VAR:SYMBOL=04916420&amp;VAR:INDEX=0"}</definedName>
    <definedName name="_9485__FDSAUDITLINK__" hidden="1">{"fdsup://directions/FAT Viewer?action=UPDATE&amp;creator=factset&amp;DYN_ARGS=TRUE&amp;DOC_NAME=FAT:FQL_AUDITING_CLIENT_TEMPLATE.FAT&amp;display_string=Audit&amp;VAR:KEY=TIZGHCVONQ&amp;VAR:QUERY=RkZfRUJJVERBX0lCKCdMVE1TJywzOTg4NCk=&amp;WINDOW=FIRST_POPUP&amp;HEIGHT=450&amp;WIDTH=450&amp;START_MA","XIMIZED=FALSE&amp;VAR:CALENDAR=US&amp;VAR:SYMBOL=04916420&amp;VAR:INDEX=0"}</definedName>
    <definedName name="_9486__FDSAUDITLINK__" localSheetId="6" hidden="1">{"fdsup://directions/FAT Viewer?action=UPDATE&amp;creator=factset&amp;DYN_ARGS=TRUE&amp;DOC_NAME=FAT:FQL_AUDITING_CLIENT_TEMPLATE.FAT&amp;display_string=Audit&amp;VAR:KEY=JSJAFUXMHY&amp;VAR:QUERY=RkZfRUJJVERBX0lCKCdMVE1TJywzOTg4Myk=&amp;WINDOW=FIRST_POPUP&amp;HEIGHT=450&amp;WIDTH=450&amp;START_MA","XIMIZED=FALSE&amp;VAR:CALENDAR=US&amp;VAR:SYMBOL=04916420&amp;VAR:INDEX=0"}</definedName>
    <definedName name="_9486__FDSAUDITLINK__" hidden="1">{"fdsup://directions/FAT Viewer?action=UPDATE&amp;creator=factset&amp;DYN_ARGS=TRUE&amp;DOC_NAME=FAT:FQL_AUDITING_CLIENT_TEMPLATE.FAT&amp;display_string=Audit&amp;VAR:KEY=JSJAFUXMHY&amp;VAR:QUERY=RkZfRUJJVERBX0lCKCdMVE1TJywzOTg4Myk=&amp;WINDOW=FIRST_POPUP&amp;HEIGHT=450&amp;WIDTH=450&amp;START_MA","XIMIZED=FALSE&amp;VAR:CALENDAR=US&amp;VAR:SYMBOL=04916420&amp;VAR:INDEX=0"}</definedName>
    <definedName name="_9487__FDSAUDITLINK__" localSheetId="6" hidden="1">{"fdsup://directions/FAT Viewer?action=UPDATE&amp;creator=factset&amp;DYN_ARGS=TRUE&amp;DOC_NAME=FAT:FQL_AUDITING_CLIENT_TEMPLATE.FAT&amp;display_string=Audit&amp;VAR:KEY=ZQJQDCTMNG&amp;VAR:QUERY=RkZfRUJJVERBX0lCKCdMVE1TJywzOTg4Mik=&amp;WINDOW=FIRST_POPUP&amp;HEIGHT=450&amp;WIDTH=450&amp;START_MA","XIMIZED=FALSE&amp;VAR:CALENDAR=US&amp;VAR:SYMBOL=04916420&amp;VAR:INDEX=0"}</definedName>
    <definedName name="_9487__FDSAUDITLINK__" hidden="1">{"fdsup://directions/FAT Viewer?action=UPDATE&amp;creator=factset&amp;DYN_ARGS=TRUE&amp;DOC_NAME=FAT:FQL_AUDITING_CLIENT_TEMPLATE.FAT&amp;display_string=Audit&amp;VAR:KEY=ZQJQDCTMNG&amp;VAR:QUERY=RkZfRUJJVERBX0lCKCdMVE1TJywzOTg4Mik=&amp;WINDOW=FIRST_POPUP&amp;HEIGHT=450&amp;WIDTH=450&amp;START_MA","XIMIZED=FALSE&amp;VAR:CALENDAR=US&amp;VAR:SYMBOL=04916420&amp;VAR:INDEX=0"}</definedName>
    <definedName name="_9488__FDSAUDITLINK__" localSheetId="6" hidden="1">{"fdsup://directions/FAT Viewer?action=UPDATE&amp;creator=factset&amp;DYN_ARGS=TRUE&amp;DOC_NAME=FAT:FQL_AUDITING_CLIENT_TEMPLATE.FAT&amp;display_string=Audit&amp;VAR:KEY=JEPWLYRYPK&amp;VAR:QUERY=RkZfRUJJVERBX0lCKCdMVE1TJywzOTg4MSk=&amp;WINDOW=FIRST_POPUP&amp;HEIGHT=450&amp;WIDTH=450&amp;START_MA","XIMIZED=FALSE&amp;VAR:CALENDAR=US&amp;VAR:SYMBOL=04916420&amp;VAR:INDEX=0"}</definedName>
    <definedName name="_9488__FDSAUDITLINK__" hidden="1">{"fdsup://directions/FAT Viewer?action=UPDATE&amp;creator=factset&amp;DYN_ARGS=TRUE&amp;DOC_NAME=FAT:FQL_AUDITING_CLIENT_TEMPLATE.FAT&amp;display_string=Audit&amp;VAR:KEY=JEPWLYRYPK&amp;VAR:QUERY=RkZfRUJJVERBX0lCKCdMVE1TJywzOTg4MSk=&amp;WINDOW=FIRST_POPUP&amp;HEIGHT=450&amp;WIDTH=450&amp;START_MA","XIMIZED=FALSE&amp;VAR:CALENDAR=US&amp;VAR:SYMBOL=04916420&amp;VAR:INDEX=0"}</definedName>
    <definedName name="_9489__FDSAUDITLINK__" localSheetId="6" hidden="1">{"fdsup://directions/FAT Viewer?action=UPDATE&amp;creator=factset&amp;DYN_ARGS=TRUE&amp;DOC_NAME=FAT:FQL_AUDITING_CLIENT_TEMPLATE.FAT&amp;display_string=Audit&amp;VAR:KEY=JUZMDCVSNC&amp;VAR:QUERY=RkZfRUJJVERBX0lCKCdMVE1TJywzOTg4MCk=&amp;WINDOW=FIRST_POPUP&amp;HEIGHT=450&amp;WIDTH=450&amp;START_MA","XIMIZED=FALSE&amp;VAR:CALENDAR=US&amp;VAR:SYMBOL=04916420&amp;VAR:INDEX=0"}</definedName>
    <definedName name="_9489__FDSAUDITLINK__" hidden="1">{"fdsup://directions/FAT Viewer?action=UPDATE&amp;creator=factset&amp;DYN_ARGS=TRUE&amp;DOC_NAME=FAT:FQL_AUDITING_CLIENT_TEMPLATE.FAT&amp;display_string=Audit&amp;VAR:KEY=JUZMDCVSNC&amp;VAR:QUERY=RkZfRUJJVERBX0lCKCdMVE1TJywzOTg4MCk=&amp;WINDOW=FIRST_POPUP&amp;HEIGHT=450&amp;WIDTH=450&amp;START_MA","XIMIZED=FALSE&amp;VAR:CALENDAR=US&amp;VAR:SYMBOL=04916420&amp;VAR:INDEX=0"}</definedName>
    <definedName name="_949__FDSAUDITLINK__" localSheetId="6" hidden="1">{"fdsup://directions/FAT%20Viewer?VAR:PED=LTM&amp;VAR:AUDIT_MODE=SUMMARY&amp;VAR:PERIOD=FIXED&amp;VAR:AUDIT_ID=00000117&amp;VAR:DATE=20070718&amp;action=UPDATE&amp;creator=factset&amp;DOC_NAME=FAT:FMA_audit_SUMMARY.fat&amp;DISPLAY_STRING=Display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9__FDSAUDITLINK__" hidden="1">{"fdsup://directions/FAT%20Viewer?VAR:PED=LTM&amp;VAR:AUDIT_MODE=SUMMARY&amp;VAR:PERIOD=FIXED&amp;VAR:AUDIT_ID=00000117&amp;VAR:DATE=20070718&amp;action=UPDATE&amp;creator=factset&amp;DOC_NAME=FAT:FMA_audit_SUMMARY.fat&amp;DISPLAY_STRING=Display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490__FDSAUDITLINK__" localSheetId="6" hidden="1">{"fdsup://directions/FAT Viewer?action=UPDATE&amp;creator=factset&amp;DYN_ARGS=TRUE&amp;DOC_NAME=FAT:FQL_AUDITING_CLIENT_TEMPLATE.FAT&amp;display_string=Audit&amp;VAR:KEY=LWDWHWHYDI&amp;VAR:QUERY=RkZfRUJJVERBX0lCKCdMVE1TJywzOTg3OSk=&amp;WINDOW=FIRST_POPUP&amp;HEIGHT=450&amp;WIDTH=450&amp;START_MA","XIMIZED=FALSE&amp;VAR:CALENDAR=US&amp;VAR:SYMBOL=04916420&amp;VAR:INDEX=0"}</definedName>
    <definedName name="_9490__FDSAUDITLINK__" hidden="1">{"fdsup://directions/FAT Viewer?action=UPDATE&amp;creator=factset&amp;DYN_ARGS=TRUE&amp;DOC_NAME=FAT:FQL_AUDITING_CLIENT_TEMPLATE.FAT&amp;display_string=Audit&amp;VAR:KEY=LWDWHWHYDI&amp;VAR:QUERY=RkZfRUJJVERBX0lCKCdMVE1TJywzOTg3OSk=&amp;WINDOW=FIRST_POPUP&amp;HEIGHT=450&amp;WIDTH=450&amp;START_MA","XIMIZED=FALSE&amp;VAR:CALENDAR=US&amp;VAR:SYMBOL=04916420&amp;VAR:INDEX=0"}</definedName>
    <definedName name="_9491__FDSAUDITLINK__" localSheetId="6" hidden="1">{"fdsup://directions/FAT Viewer?action=UPDATE&amp;creator=factset&amp;DYN_ARGS=TRUE&amp;DOC_NAME=FAT:FQL_AUDITING_CLIENT_TEMPLATE.FAT&amp;display_string=Audit&amp;VAR:KEY=BWBAVWFEFA&amp;VAR:QUERY=RkZfRUJJVERBX0lCKCdMVE1TJywzOTg3OCk=&amp;WINDOW=FIRST_POPUP&amp;HEIGHT=450&amp;WIDTH=450&amp;START_MA","XIMIZED=FALSE&amp;VAR:CALENDAR=US&amp;VAR:SYMBOL=04916420&amp;VAR:INDEX=0"}</definedName>
    <definedName name="_9491__FDSAUDITLINK__" hidden="1">{"fdsup://directions/FAT Viewer?action=UPDATE&amp;creator=factset&amp;DYN_ARGS=TRUE&amp;DOC_NAME=FAT:FQL_AUDITING_CLIENT_TEMPLATE.FAT&amp;display_string=Audit&amp;VAR:KEY=BWBAVWFEFA&amp;VAR:QUERY=RkZfRUJJVERBX0lCKCdMVE1TJywzOTg3OCk=&amp;WINDOW=FIRST_POPUP&amp;HEIGHT=450&amp;WIDTH=450&amp;START_MA","XIMIZED=FALSE&amp;VAR:CALENDAR=US&amp;VAR:SYMBOL=04916420&amp;VAR:INDEX=0"}</definedName>
    <definedName name="_9492__FDSAUDITLINK__" localSheetId="6" hidden="1">{"fdsup://directions/FAT Viewer?action=UPDATE&amp;creator=factset&amp;DYN_ARGS=TRUE&amp;DOC_NAME=FAT:FQL_AUDITING_CLIENT_TEMPLATE.FAT&amp;display_string=Audit&amp;VAR:KEY=VCNYDGZOPC&amp;VAR:QUERY=RkZfRUJJVERBX0lCKCdMVE1TJywzOTg3Nyk=&amp;WINDOW=FIRST_POPUP&amp;HEIGHT=450&amp;WIDTH=450&amp;START_MA","XIMIZED=FALSE&amp;VAR:CALENDAR=US&amp;VAR:SYMBOL=04916420&amp;VAR:INDEX=0"}</definedName>
    <definedName name="_9492__FDSAUDITLINK__" hidden="1">{"fdsup://directions/FAT Viewer?action=UPDATE&amp;creator=factset&amp;DYN_ARGS=TRUE&amp;DOC_NAME=FAT:FQL_AUDITING_CLIENT_TEMPLATE.FAT&amp;display_string=Audit&amp;VAR:KEY=VCNYDGZOPC&amp;VAR:QUERY=RkZfRUJJVERBX0lCKCdMVE1TJywzOTg3Nyk=&amp;WINDOW=FIRST_POPUP&amp;HEIGHT=450&amp;WIDTH=450&amp;START_MA","XIMIZED=FALSE&amp;VAR:CALENDAR=US&amp;VAR:SYMBOL=04916420&amp;VAR:INDEX=0"}</definedName>
    <definedName name="_9493__FDSAUDITLINK__" localSheetId="6" hidden="1">{"fdsup://directions/FAT Viewer?action=UPDATE&amp;creator=factset&amp;DYN_ARGS=TRUE&amp;DOC_NAME=FAT:FQL_AUDITING_CLIENT_TEMPLATE.FAT&amp;display_string=Audit&amp;VAR:KEY=HAZUBENKJW&amp;VAR:QUERY=RkZfRUJJVERBX0lCKCdMVE1TJywzOTg3Nik=&amp;WINDOW=FIRST_POPUP&amp;HEIGHT=450&amp;WIDTH=450&amp;START_MA","XIMIZED=FALSE&amp;VAR:CALENDAR=US&amp;VAR:SYMBOL=04916420&amp;VAR:INDEX=0"}</definedName>
    <definedName name="_9493__FDSAUDITLINK__" hidden="1">{"fdsup://directions/FAT Viewer?action=UPDATE&amp;creator=factset&amp;DYN_ARGS=TRUE&amp;DOC_NAME=FAT:FQL_AUDITING_CLIENT_TEMPLATE.FAT&amp;display_string=Audit&amp;VAR:KEY=HAZUBENKJW&amp;VAR:QUERY=RkZfRUJJVERBX0lCKCdMVE1TJywzOTg3Nik=&amp;WINDOW=FIRST_POPUP&amp;HEIGHT=450&amp;WIDTH=450&amp;START_MA","XIMIZED=FALSE&amp;VAR:CALENDAR=US&amp;VAR:SYMBOL=04916420&amp;VAR:INDEX=0"}</definedName>
    <definedName name="_9494__FDSAUDITLINK__" localSheetId="6" hidden="1">{"fdsup://directions/FAT Viewer?action=UPDATE&amp;creator=factset&amp;DYN_ARGS=TRUE&amp;DOC_NAME=FAT:FQL_AUDITING_CLIENT_TEMPLATE.FAT&amp;display_string=Audit&amp;VAR:KEY=HSZYRMJMJQ&amp;VAR:QUERY=RkZfRUJJVERBX0lCKCdMVE1TJywzOTg3NSk=&amp;WINDOW=FIRST_POPUP&amp;HEIGHT=450&amp;WIDTH=450&amp;START_MA","XIMIZED=FALSE&amp;VAR:CALENDAR=US&amp;VAR:SYMBOL=04916420&amp;VAR:INDEX=0"}</definedName>
    <definedName name="_9494__FDSAUDITLINK__" hidden="1">{"fdsup://directions/FAT Viewer?action=UPDATE&amp;creator=factset&amp;DYN_ARGS=TRUE&amp;DOC_NAME=FAT:FQL_AUDITING_CLIENT_TEMPLATE.FAT&amp;display_string=Audit&amp;VAR:KEY=HSZYRMJMJQ&amp;VAR:QUERY=RkZfRUJJVERBX0lCKCdMVE1TJywzOTg3NSk=&amp;WINDOW=FIRST_POPUP&amp;HEIGHT=450&amp;WIDTH=450&amp;START_MA","XIMIZED=FALSE&amp;VAR:CALENDAR=US&amp;VAR:SYMBOL=04916420&amp;VAR:INDEX=0"}</definedName>
    <definedName name="_9495__FDSAUDITLINK__" localSheetId="6" hidden="1">{"fdsup://directions/FAT Viewer?action=UPDATE&amp;creator=factset&amp;DYN_ARGS=TRUE&amp;DOC_NAME=FAT:FQL_AUDITING_CLIENT_TEMPLATE.FAT&amp;display_string=Audit&amp;VAR:KEY=RIHSNYBMHK&amp;VAR:QUERY=RkZfRUJJVERBX0lCKCdMVE1TJywzOTg3NCk=&amp;WINDOW=FIRST_POPUP&amp;HEIGHT=450&amp;WIDTH=450&amp;START_MA","XIMIZED=FALSE&amp;VAR:CALENDAR=US&amp;VAR:SYMBOL=04916420&amp;VAR:INDEX=0"}</definedName>
    <definedName name="_9495__FDSAUDITLINK__" hidden="1">{"fdsup://directions/FAT Viewer?action=UPDATE&amp;creator=factset&amp;DYN_ARGS=TRUE&amp;DOC_NAME=FAT:FQL_AUDITING_CLIENT_TEMPLATE.FAT&amp;display_string=Audit&amp;VAR:KEY=RIHSNYBMHK&amp;VAR:QUERY=RkZfRUJJVERBX0lCKCdMVE1TJywzOTg3NCk=&amp;WINDOW=FIRST_POPUP&amp;HEIGHT=450&amp;WIDTH=450&amp;START_MA","XIMIZED=FALSE&amp;VAR:CALENDAR=US&amp;VAR:SYMBOL=04916420&amp;VAR:INDEX=0"}</definedName>
    <definedName name="_9496__FDSAUDITLINK__" localSheetId="6" hidden="1">{"fdsup://directions/FAT Viewer?action=UPDATE&amp;creator=factset&amp;DYN_ARGS=TRUE&amp;DOC_NAME=FAT:FQL_AUDITING_CLIENT_TEMPLATE.FAT&amp;display_string=Audit&amp;VAR:KEY=FGZOJKZAZK&amp;VAR:QUERY=RkZfRUJJVERBX0lCKCdMVE1TJywzOTg3Myk=&amp;WINDOW=FIRST_POPUP&amp;HEIGHT=450&amp;WIDTH=450&amp;START_MA","XIMIZED=FALSE&amp;VAR:CALENDAR=US&amp;VAR:SYMBOL=04916420&amp;VAR:INDEX=0"}</definedName>
    <definedName name="_9496__FDSAUDITLINK__" hidden="1">{"fdsup://directions/FAT Viewer?action=UPDATE&amp;creator=factset&amp;DYN_ARGS=TRUE&amp;DOC_NAME=FAT:FQL_AUDITING_CLIENT_TEMPLATE.FAT&amp;display_string=Audit&amp;VAR:KEY=FGZOJKZAZK&amp;VAR:QUERY=RkZfRUJJVERBX0lCKCdMVE1TJywzOTg3Myk=&amp;WINDOW=FIRST_POPUP&amp;HEIGHT=450&amp;WIDTH=450&amp;START_MA","XIMIZED=FALSE&amp;VAR:CALENDAR=US&amp;VAR:SYMBOL=04916420&amp;VAR:INDEX=0"}</definedName>
    <definedName name="_9497__FDSAUDITLINK__" localSheetId="6" hidden="1">{"fdsup://directions/FAT Viewer?action=UPDATE&amp;creator=factset&amp;DYN_ARGS=TRUE&amp;DOC_NAME=FAT:FQL_AUDITING_CLIENT_TEMPLATE.FAT&amp;display_string=Audit&amp;VAR:KEY=VIDEPOVWBQ&amp;VAR:QUERY=RkZfRUJJVERBX0lCKCdMVE1TJywzOTg3Mik=&amp;WINDOW=FIRST_POPUP&amp;HEIGHT=450&amp;WIDTH=450&amp;START_MA","XIMIZED=FALSE&amp;VAR:CALENDAR=US&amp;VAR:SYMBOL=04916420&amp;VAR:INDEX=0"}</definedName>
    <definedName name="_9497__FDSAUDITLINK__" hidden="1">{"fdsup://directions/FAT Viewer?action=UPDATE&amp;creator=factset&amp;DYN_ARGS=TRUE&amp;DOC_NAME=FAT:FQL_AUDITING_CLIENT_TEMPLATE.FAT&amp;display_string=Audit&amp;VAR:KEY=VIDEPOVWBQ&amp;VAR:QUERY=RkZfRUJJVERBX0lCKCdMVE1TJywzOTg3Mik=&amp;WINDOW=FIRST_POPUP&amp;HEIGHT=450&amp;WIDTH=450&amp;START_MA","XIMIZED=FALSE&amp;VAR:CALENDAR=US&amp;VAR:SYMBOL=04916420&amp;VAR:INDEX=0"}</definedName>
    <definedName name="_9498__FDSAUDITLINK__" localSheetId="6" hidden="1">{"fdsup://directions/FAT Viewer?action=UPDATE&amp;creator=factset&amp;DYN_ARGS=TRUE&amp;DOC_NAME=FAT:FQL_AUDITING_CLIENT_TEMPLATE.FAT&amp;display_string=Audit&amp;VAR:KEY=NWLMTEDIHO&amp;VAR:QUERY=RkZfRUJJVERBX0lCKCdMVE1TJywzOTg3MSk=&amp;WINDOW=FIRST_POPUP&amp;HEIGHT=450&amp;WIDTH=450&amp;START_MA","XIMIZED=FALSE&amp;VAR:CALENDAR=US&amp;VAR:SYMBOL=04916420&amp;VAR:INDEX=0"}</definedName>
    <definedName name="_9498__FDSAUDITLINK__" hidden="1">{"fdsup://directions/FAT Viewer?action=UPDATE&amp;creator=factset&amp;DYN_ARGS=TRUE&amp;DOC_NAME=FAT:FQL_AUDITING_CLIENT_TEMPLATE.FAT&amp;display_string=Audit&amp;VAR:KEY=NWLMTEDIHO&amp;VAR:QUERY=RkZfRUJJVERBX0lCKCdMVE1TJywzOTg3MSk=&amp;WINDOW=FIRST_POPUP&amp;HEIGHT=450&amp;WIDTH=450&amp;START_MA","XIMIZED=FALSE&amp;VAR:CALENDAR=US&amp;VAR:SYMBOL=04916420&amp;VAR:INDEX=0"}</definedName>
    <definedName name="_9499__FDSAUDITLINK__" localSheetId="6" hidden="1">{"fdsup://directions/FAT Viewer?action=UPDATE&amp;creator=factset&amp;DYN_ARGS=TRUE&amp;DOC_NAME=FAT:FQL_AUDITING_CLIENT_TEMPLATE.FAT&amp;display_string=Audit&amp;VAR:KEY=DIBCFKXYVE&amp;VAR:QUERY=RkZfRUJJVERBX0lCKCdMVE1TJywzOTg3MCk=&amp;WINDOW=FIRST_POPUP&amp;HEIGHT=450&amp;WIDTH=450&amp;START_MA","XIMIZED=FALSE&amp;VAR:CALENDAR=US&amp;VAR:SYMBOL=04916420&amp;VAR:INDEX=0"}</definedName>
    <definedName name="_9499__FDSAUDITLINK__" hidden="1">{"fdsup://directions/FAT Viewer?action=UPDATE&amp;creator=factset&amp;DYN_ARGS=TRUE&amp;DOC_NAME=FAT:FQL_AUDITING_CLIENT_TEMPLATE.FAT&amp;display_string=Audit&amp;VAR:KEY=DIBCFKXYVE&amp;VAR:QUERY=RkZfRUJJVERBX0lCKCdMVE1TJywzOTg3MCk=&amp;WINDOW=FIRST_POPUP&amp;HEIGHT=450&amp;WIDTH=450&amp;START_MA","XIMIZED=FALSE&amp;VAR:CALENDAR=US&amp;VAR:SYMBOL=04916420&amp;VAR:INDEX=0"}</definedName>
    <definedName name="_95__FDSAUDITLINK__" localSheetId="6" hidden="1">{"fdsup://directions/FAT Viewer?action=UPDATE&amp;creator=factset&amp;DYN_ARGS=TRUE&amp;DOC_NAME=FAT:FQL_AUDITING_CLIENT_TEMPLATE.FAT&amp;display_string=Audit&amp;VAR:KEY=SVUZMNYNKL&amp;VAR:QUERY=QVZHKENTRl9ORVRfSU5DKEFOTiwwRlksLTZGWSxZKSkvKEFWRyhDU0ZfQVNTRVRTKEFOTiwwRlksLTZGWSxGW","SkpLUFWRyhDU0ZfSU5UQU5HKEFOTiwwLC02RlksRlkpKSk=&amp;WINDOW=FIRST_POPUP&amp;HEIGHT=450&amp;WIDTH=450&amp;START_MAXIMIZED=FALSE&amp;VAR:CALENDAR=US&amp;VAR:SYMBOL=B04X7M"}</definedName>
    <definedName name="_95__FDSAUDITLINK__" hidden="1">{"fdsup://directions/FAT Viewer?action=UPDATE&amp;creator=factset&amp;DYN_ARGS=TRUE&amp;DOC_NAME=FAT:FQL_AUDITING_CLIENT_TEMPLATE.FAT&amp;display_string=Audit&amp;VAR:KEY=SVUZMNYNKL&amp;VAR:QUERY=QVZHKENTRl9ORVRfSU5DKEFOTiwwRlksLTZGWSxZKSkvKEFWRyhDU0ZfQVNTRVRTKEFOTiwwRlksLTZGWSxGW","SkpLUFWRyhDU0ZfSU5UQU5HKEFOTiwwLC02RlksRlkpKSk=&amp;WINDOW=FIRST_POPUP&amp;HEIGHT=450&amp;WIDTH=450&amp;START_MAXIMIZED=FALSE&amp;VAR:CALENDAR=US&amp;VAR:SYMBOL=B04X7M"}</definedName>
    <definedName name="_950__FDSAUDITLINK__" localSheetId="6" hidden="1">{"fdsup://directions/FAT%20Viewer?VAR:PED=LTM&amp;VAR:AUDIT_MODE=SUMMARY&amp;VAR:PERIOD=FIXED&amp;VAR:AUDIT_ID=00000117&amp;VAR:DATE=20070717&amp;action=UPDATE&amp;creator=factset&amp;DOC_NAME=FAT:FMA_audit_SUMMARY.fat&amp;DISPLAY_STRING=Display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0__FDSAUDITLINK__" hidden="1">{"fdsup://directions/FAT%20Viewer?VAR:PED=LTM&amp;VAR:AUDIT_MODE=SUMMARY&amp;VAR:PERIOD=FIXED&amp;VAR:AUDIT_ID=00000117&amp;VAR:DATE=20070717&amp;action=UPDATE&amp;creator=factset&amp;DOC_NAME=FAT:FMA_audit_SUMMARY.fat&amp;DISPLAY_STRING=Display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00__FDSAUDITLINK__" localSheetId="6" hidden="1">{"fdsup://directions/FAT Viewer?action=UPDATE&amp;creator=factset&amp;DYN_ARGS=TRUE&amp;DOC_NAME=FAT:FQL_AUDITING_CLIENT_TEMPLATE.FAT&amp;display_string=Audit&amp;VAR:KEY=XGBKPGXGJW&amp;VAR:QUERY=RkZfRUJJVERBX0lCKCdMVE1TJywzOTg2OSk=&amp;WINDOW=FIRST_POPUP&amp;HEIGHT=450&amp;WIDTH=450&amp;START_MA","XIMIZED=FALSE&amp;VAR:CALENDAR=US&amp;VAR:SYMBOL=04916420&amp;VAR:INDEX=0"}</definedName>
    <definedName name="_9500__FDSAUDITLINK__" hidden="1">{"fdsup://directions/FAT Viewer?action=UPDATE&amp;creator=factset&amp;DYN_ARGS=TRUE&amp;DOC_NAME=FAT:FQL_AUDITING_CLIENT_TEMPLATE.FAT&amp;display_string=Audit&amp;VAR:KEY=XGBKPGXGJW&amp;VAR:QUERY=RkZfRUJJVERBX0lCKCdMVE1TJywzOTg2OSk=&amp;WINDOW=FIRST_POPUP&amp;HEIGHT=450&amp;WIDTH=450&amp;START_MA","XIMIZED=FALSE&amp;VAR:CALENDAR=US&amp;VAR:SYMBOL=04916420&amp;VAR:INDEX=0"}</definedName>
    <definedName name="_9501__FDSAUDITLINK__" localSheetId="6" hidden="1">{"fdsup://directions/FAT Viewer?action=UPDATE&amp;creator=factset&amp;DYN_ARGS=TRUE&amp;DOC_NAME=FAT:FQL_AUDITING_CLIENT_TEMPLATE.FAT&amp;display_string=Audit&amp;VAR:KEY=BQZWZMJMFC&amp;VAR:QUERY=RkZfRUJJVERBX0lCKCdMVE1TJywzOTg2OCk=&amp;WINDOW=FIRST_POPUP&amp;HEIGHT=450&amp;WIDTH=450&amp;START_MA","XIMIZED=FALSE&amp;VAR:CALENDAR=US&amp;VAR:SYMBOL=04916420&amp;VAR:INDEX=0"}</definedName>
    <definedName name="_9501__FDSAUDITLINK__" hidden="1">{"fdsup://directions/FAT Viewer?action=UPDATE&amp;creator=factset&amp;DYN_ARGS=TRUE&amp;DOC_NAME=FAT:FQL_AUDITING_CLIENT_TEMPLATE.FAT&amp;display_string=Audit&amp;VAR:KEY=BQZWZMJMFC&amp;VAR:QUERY=RkZfRUJJVERBX0lCKCdMVE1TJywzOTg2OCk=&amp;WINDOW=FIRST_POPUP&amp;HEIGHT=450&amp;WIDTH=450&amp;START_MA","XIMIZED=FALSE&amp;VAR:CALENDAR=US&amp;VAR:SYMBOL=04916420&amp;VAR:INDEX=0"}</definedName>
    <definedName name="_9502__FDSAUDITLINK__" localSheetId="6" hidden="1">{"fdsup://directions/FAT Viewer?action=UPDATE&amp;creator=factset&amp;DYN_ARGS=TRUE&amp;DOC_NAME=FAT:FQL_AUDITING_CLIENT_TEMPLATE.FAT&amp;display_string=Audit&amp;VAR:KEY=DQLUXIJELC&amp;VAR:QUERY=RkZfRUJJVERBX0lCKCdMVE1TJywzOTg2Nyk=&amp;WINDOW=FIRST_POPUP&amp;HEIGHT=450&amp;WIDTH=450&amp;START_MA","XIMIZED=FALSE&amp;VAR:CALENDAR=US&amp;VAR:SYMBOL=04916420&amp;VAR:INDEX=0"}</definedName>
    <definedName name="_9502__FDSAUDITLINK__" hidden="1">{"fdsup://directions/FAT Viewer?action=UPDATE&amp;creator=factset&amp;DYN_ARGS=TRUE&amp;DOC_NAME=FAT:FQL_AUDITING_CLIENT_TEMPLATE.FAT&amp;display_string=Audit&amp;VAR:KEY=DQLUXIJELC&amp;VAR:QUERY=RkZfRUJJVERBX0lCKCdMVE1TJywzOTg2Nyk=&amp;WINDOW=FIRST_POPUP&amp;HEIGHT=450&amp;WIDTH=450&amp;START_MA","XIMIZED=FALSE&amp;VAR:CALENDAR=US&amp;VAR:SYMBOL=04916420&amp;VAR:INDEX=0"}</definedName>
    <definedName name="_9503__FDSAUDITLINK__" localSheetId="6" hidden="1">{"fdsup://directions/FAT Viewer?action=UPDATE&amp;creator=factset&amp;DYN_ARGS=TRUE&amp;DOC_NAME=FAT:FQL_AUDITING_CLIENT_TEMPLATE.FAT&amp;display_string=Audit&amp;VAR:KEY=TGXYBQFYFI&amp;VAR:QUERY=RkZfRUJJVERBX0lCKCdMVE1TJywzOTg2Nik=&amp;WINDOW=FIRST_POPUP&amp;HEIGHT=450&amp;WIDTH=450&amp;START_MA","XIMIZED=FALSE&amp;VAR:CALENDAR=US&amp;VAR:SYMBOL=04916420&amp;VAR:INDEX=0"}</definedName>
    <definedName name="_9503__FDSAUDITLINK__" hidden="1">{"fdsup://directions/FAT Viewer?action=UPDATE&amp;creator=factset&amp;DYN_ARGS=TRUE&amp;DOC_NAME=FAT:FQL_AUDITING_CLIENT_TEMPLATE.FAT&amp;display_string=Audit&amp;VAR:KEY=TGXYBQFYFI&amp;VAR:QUERY=RkZfRUJJVERBX0lCKCdMVE1TJywzOTg2Nik=&amp;WINDOW=FIRST_POPUP&amp;HEIGHT=450&amp;WIDTH=450&amp;START_MA","XIMIZED=FALSE&amp;VAR:CALENDAR=US&amp;VAR:SYMBOL=04916420&amp;VAR:INDEX=0"}</definedName>
    <definedName name="_9504__FDSAUDITLINK__" localSheetId="6" hidden="1">{"fdsup://directions/FAT Viewer?action=UPDATE&amp;creator=factset&amp;DYN_ARGS=TRUE&amp;DOC_NAME=FAT:FQL_AUDITING_CLIENT_TEMPLATE.FAT&amp;display_string=Audit&amp;VAR:KEY=BUTSXCNYPA&amp;VAR:QUERY=RkZfRUJJVERBX0lCKCdMVE1TJywzOTg2NSk=&amp;WINDOW=FIRST_POPUP&amp;HEIGHT=450&amp;WIDTH=450&amp;START_MA","XIMIZED=FALSE&amp;VAR:CALENDAR=US&amp;VAR:SYMBOL=04916420&amp;VAR:INDEX=0"}</definedName>
    <definedName name="_9504__FDSAUDITLINK__" hidden="1">{"fdsup://directions/FAT Viewer?action=UPDATE&amp;creator=factset&amp;DYN_ARGS=TRUE&amp;DOC_NAME=FAT:FQL_AUDITING_CLIENT_TEMPLATE.FAT&amp;display_string=Audit&amp;VAR:KEY=BUTSXCNYPA&amp;VAR:QUERY=RkZfRUJJVERBX0lCKCdMVE1TJywzOTg2NSk=&amp;WINDOW=FIRST_POPUP&amp;HEIGHT=450&amp;WIDTH=450&amp;START_MA","XIMIZED=FALSE&amp;VAR:CALENDAR=US&amp;VAR:SYMBOL=04916420&amp;VAR:INDEX=0"}</definedName>
    <definedName name="_9505__FDSAUDITLINK__" localSheetId="6" hidden="1">{"fdsup://directions/FAT Viewer?action=UPDATE&amp;creator=factset&amp;DYN_ARGS=TRUE&amp;DOC_NAME=FAT:FQL_AUDITING_CLIENT_TEMPLATE.FAT&amp;display_string=Audit&amp;VAR:KEY=JENUDIXGDC&amp;VAR:QUERY=RkZfRUJJVERBX0lCKCdMVE1TJywzOTg2NCk=&amp;WINDOW=FIRST_POPUP&amp;HEIGHT=450&amp;WIDTH=450&amp;START_MA","XIMIZED=FALSE&amp;VAR:CALENDAR=US&amp;VAR:SYMBOL=04916420&amp;VAR:INDEX=0"}</definedName>
    <definedName name="_9505__FDSAUDITLINK__" hidden="1">{"fdsup://directions/FAT Viewer?action=UPDATE&amp;creator=factset&amp;DYN_ARGS=TRUE&amp;DOC_NAME=FAT:FQL_AUDITING_CLIENT_TEMPLATE.FAT&amp;display_string=Audit&amp;VAR:KEY=JENUDIXGDC&amp;VAR:QUERY=RkZfRUJJVERBX0lCKCdMVE1TJywzOTg2NCk=&amp;WINDOW=FIRST_POPUP&amp;HEIGHT=450&amp;WIDTH=450&amp;START_MA","XIMIZED=FALSE&amp;VAR:CALENDAR=US&amp;VAR:SYMBOL=04916420&amp;VAR:INDEX=0"}</definedName>
    <definedName name="_9506__FDSAUDITLINK__" localSheetId="6" hidden="1">{"fdsup://directions/FAT Viewer?action=UPDATE&amp;creator=factset&amp;DYN_ARGS=TRUE&amp;DOC_NAME=FAT:FQL_AUDITING_CLIENT_TEMPLATE.FAT&amp;display_string=Audit&amp;VAR:KEY=FUNAFAJOLA&amp;VAR:QUERY=RkZfRUJJVERBX0lCKCdMVE1TJywzOTg2Myk=&amp;WINDOW=FIRST_POPUP&amp;HEIGHT=450&amp;WIDTH=450&amp;START_MA","XIMIZED=FALSE&amp;VAR:CALENDAR=US&amp;VAR:SYMBOL=04916420&amp;VAR:INDEX=0"}</definedName>
    <definedName name="_9506__FDSAUDITLINK__" hidden="1">{"fdsup://directions/FAT Viewer?action=UPDATE&amp;creator=factset&amp;DYN_ARGS=TRUE&amp;DOC_NAME=FAT:FQL_AUDITING_CLIENT_TEMPLATE.FAT&amp;display_string=Audit&amp;VAR:KEY=FUNAFAJOLA&amp;VAR:QUERY=RkZfRUJJVERBX0lCKCdMVE1TJywzOTg2Myk=&amp;WINDOW=FIRST_POPUP&amp;HEIGHT=450&amp;WIDTH=450&amp;START_MA","XIMIZED=FALSE&amp;VAR:CALENDAR=US&amp;VAR:SYMBOL=04916420&amp;VAR:INDEX=0"}</definedName>
    <definedName name="_9507__FDSAUDITLINK__" localSheetId="6" hidden="1">{"fdsup://directions/FAT Viewer?action=UPDATE&amp;creator=factset&amp;DYN_ARGS=TRUE&amp;DOC_NAME=FAT:FQL_AUDITING_CLIENT_TEMPLATE.FAT&amp;display_string=Audit&amp;VAR:KEY=LSHAZYLIHE&amp;VAR:QUERY=RkZfRUJJVERBX0lCKCdMVE1TJywzOTg2Mik=&amp;WINDOW=FIRST_POPUP&amp;HEIGHT=450&amp;WIDTH=450&amp;START_MA","XIMIZED=FALSE&amp;VAR:CALENDAR=US&amp;VAR:SYMBOL=04916420&amp;VAR:INDEX=0"}</definedName>
    <definedName name="_9507__FDSAUDITLINK__" hidden="1">{"fdsup://directions/FAT Viewer?action=UPDATE&amp;creator=factset&amp;DYN_ARGS=TRUE&amp;DOC_NAME=FAT:FQL_AUDITING_CLIENT_TEMPLATE.FAT&amp;display_string=Audit&amp;VAR:KEY=LSHAZYLIHE&amp;VAR:QUERY=RkZfRUJJVERBX0lCKCdMVE1TJywzOTg2Mik=&amp;WINDOW=FIRST_POPUP&amp;HEIGHT=450&amp;WIDTH=450&amp;START_MA","XIMIZED=FALSE&amp;VAR:CALENDAR=US&amp;VAR:SYMBOL=04916420&amp;VAR:INDEX=0"}</definedName>
    <definedName name="_9508__FDSAUDITLINK__" localSheetId="6" hidden="1">{"fdsup://directions/FAT Viewer?action=UPDATE&amp;creator=factset&amp;DYN_ARGS=TRUE&amp;DOC_NAME=FAT:FQL_AUDITING_CLIENT_TEMPLATE.FAT&amp;display_string=Audit&amp;VAR:KEY=PSFGFETIDE&amp;VAR:QUERY=RkZfRUJJVERBX0lCKCdMVE1TJywzOTg2MSk=&amp;WINDOW=FIRST_POPUP&amp;HEIGHT=450&amp;WIDTH=450&amp;START_MA","XIMIZED=FALSE&amp;VAR:CALENDAR=US&amp;VAR:SYMBOL=04916420&amp;VAR:INDEX=0"}</definedName>
    <definedName name="_9508__FDSAUDITLINK__" hidden="1">{"fdsup://directions/FAT Viewer?action=UPDATE&amp;creator=factset&amp;DYN_ARGS=TRUE&amp;DOC_NAME=FAT:FQL_AUDITING_CLIENT_TEMPLATE.FAT&amp;display_string=Audit&amp;VAR:KEY=PSFGFETIDE&amp;VAR:QUERY=RkZfRUJJVERBX0lCKCdMVE1TJywzOTg2MSk=&amp;WINDOW=FIRST_POPUP&amp;HEIGHT=450&amp;WIDTH=450&amp;START_MA","XIMIZED=FALSE&amp;VAR:CALENDAR=US&amp;VAR:SYMBOL=04916420&amp;VAR:INDEX=0"}</definedName>
    <definedName name="_9509__FDSAUDITLINK__" localSheetId="6" hidden="1">{"fdsup://directions/FAT Viewer?action=UPDATE&amp;creator=factset&amp;DYN_ARGS=TRUE&amp;DOC_NAME=FAT:FQL_AUDITING_CLIENT_TEMPLATE.FAT&amp;display_string=Audit&amp;VAR:KEY=VEDALYPUDS&amp;VAR:QUERY=RkZfRUJJVERBX0lCKCdMVE1TJywzOTg2MCk=&amp;WINDOW=FIRST_POPUP&amp;HEIGHT=450&amp;WIDTH=450&amp;START_MA","XIMIZED=FALSE&amp;VAR:CALENDAR=US&amp;VAR:SYMBOL=04916420&amp;VAR:INDEX=0"}</definedName>
    <definedName name="_9509__FDSAUDITLINK__" hidden="1">{"fdsup://directions/FAT Viewer?action=UPDATE&amp;creator=factset&amp;DYN_ARGS=TRUE&amp;DOC_NAME=FAT:FQL_AUDITING_CLIENT_TEMPLATE.FAT&amp;display_string=Audit&amp;VAR:KEY=VEDALYPUDS&amp;VAR:QUERY=RkZfRUJJVERBX0lCKCdMVE1TJywzOTg2MCk=&amp;WINDOW=FIRST_POPUP&amp;HEIGHT=450&amp;WIDTH=450&amp;START_MA","XIMIZED=FALSE&amp;VAR:CALENDAR=US&amp;VAR:SYMBOL=04916420&amp;VAR:INDEX=0"}</definedName>
    <definedName name="_951__FDSAUDITLINK__" localSheetId="6" hidden="1">{"fdsup://directions/FAT%20Viewer?VAR:PED=LTM&amp;VAR:AUDIT_MODE=SUMMARY&amp;VAR:PERIOD=FIXED&amp;VAR:AUDIT_ID=00000117&amp;VAR:DATE=20070716&amp;action=UPDATE&amp;creator=factset&amp;DOC_NAME=FAT:FMA_audit_SUMMARY.fat&amp;DISPLAY_STRING=Display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1__FDSAUDITLINK__" hidden="1">{"fdsup://directions/FAT%20Viewer?VAR:PED=LTM&amp;VAR:AUDIT_MODE=SUMMARY&amp;VAR:PERIOD=FIXED&amp;VAR:AUDIT_ID=00000117&amp;VAR:DATE=20070716&amp;action=UPDATE&amp;creator=factset&amp;DOC_NAME=FAT:FMA_audit_SUMMARY.fat&amp;DISPLAY_STRING=Display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10__FDSAUDITLINK__" localSheetId="6" hidden="1">{"fdsup://directions/FAT Viewer?action=UPDATE&amp;creator=factset&amp;DYN_ARGS=TRUE&amp;DOC_NAME=FAT:FQL_AUDITING_CLIENT_TEMPLATE.FAT&amp;display_string=Audit&amp;VAR:KEY=TSLOTYBOTO&amp;VAR:QUERY=RkZfRUJJVERBX0lCKCdMVE1TJywzOTg1OSk=&amp;WINDOW=FIRST_POPUP&amp;HEIGHT=450&amp;WIDTH=450&amp;START_MA","XIMIZED=FALSE&amp;VAR:CALENDAR=US&amp;VAR:SYMBOL=04916420&amp;VAR:INDEX=0"}</definedName>
    <definedName name="_9510__FDSAUDITLINK__" hidden="1">{"fdsup://directions/FAT Viewer?action=UPDATE&amp;creator=factset&amp;DYN_ARGS=TRUE&amp;DOC_NAME=FAT:FQL_AUDITING_CLIENT_TEMPLATE.FAT&amp;display_string=Audit&amp;VAR:KEY=TSLOTYBOTO&amp;VAR:QUERY=RkZfRUJJVERBX0lCKCdMVE1TJywzOTg1OSk=&amp;WINDOW=FIRST_POPUP&amp;HEIGHT=450&amp;WIDTH=450&amp;START_MA","XIMIZED=FALSE&amp;VAR:CALENDAR=US&amp;VAR:SYMBOL=04916420&amp;VAR:INDEX=0"}</definedName>
    <definedName name="_9511__FDSAUDITLINK__" localSheetId="6" hidden="1">{"fdsup://directions/FAT Viewer?action=UPDATE&amp;creator=factset&amp;DYN_ARGS=TRUE&amp;DOC_NAME=FAT:FQL_AUDITING_CLIENT_TEMPLATE.FAT&amp;display_string=Audit&amp;VAR:KEY=BWLEBIDCLK&amp;VAR:QUERY=RkZfRUJJVERBX0lCKCdMVE1TJywzOTg1OCk=&amp;WINDOW=FIRST_POPUP&amp;HEIGHT=450&amp;WIDTH=450&amp;START_MA","XIMIZED=FALSE&amp;VAR:CALENDAR=US&amp;VAR:SYMBOL=04916420&amp;VAR:INDEX=0"}</definedName>
    <definedName name="_9511__FDSAUDITLINK__" hidden="1">{"fdsup://directions/FAT Viewer?action=UPDATE&amp;creator=factset&amp;DYN_ARGS=TRUE&amp;DOC_NAME=FAT:FQL_AUDITING_CLIENT_TEMPLATE.FAT&amp;display_string=Audit&amp;VAR:KEY=BWLEBIDCLK&amp;VAR:QUERY=RkZfRUJJVERBX0lCKCdMVE1TJywzOTg1OCk=&amp;WINDOW=FIRST_POPUP&amp;HEIGHT=450&amp;WIDTH=450&amp;START_MA","XIMIZED=FALSE&amp;VAR:CALENDAR=US&amp;VAR:SYMBOL=04916420&amp;VAR:INDEX=0"}</definedName>
    <definedName name="_9512__FDSAUDITLINK__" localSheetId="6" hidden="1">{"fdsup://directions/FAT Viewer?action=UPDATE&amp;creator=factset&amp;DYN_ARGS=TRUE&amp;DOC_NAME=FAT:FQL_AUDITING_CLIENT_TEMPLATE.FAT&amp;display_string=Audit&amp;VAR:KEY=BMNYFYTGHM&amp;VAR:QUERY=RkZfRUJJVERBX0lCKCdMVE1TJywzOTg1Nyk=&amp;WINDOW=FIRST_POPUP&amp;HEIGHT=450&amp;WIDTH=450&amp;START_MA","XIMIZED=FALSE&amp;VAR:CALENDAR=US&amp;VAR:SYMBOL=04916420&amp;VAR:INDEX=0"}</definedName>
    <definedName name="_9512__FDSAUDITLINK__" hidden="1">{"fdsup://directions/FAT Viewer?action=UPDATE&amp;creator=factset&amp;DYN_ARGS=TRUE&amp;DOC_NAME=FAT:FQL_AUDITING_CLIENT_TEMPLATE.FAT&amp;display_string=Audit&amp;VAR:KEY=BMNYFYTGHM&amp;VAR:QUERY=RkZfRUJJVERBX0lCKCdMVE1TJywzOTg1Nyk=&amp;WINDOW=FIRST_POPUP&amp;HEIGHT=450&amp;WIDTH=450&amp;START_MA","XIMIZED=FALSE&amp;VAR:CALENDAR=US&amp;VAR:SYMBOL=04916420&amp;VAR:INDEX=0"}</definedName>
    <definedName name="_9513__FDSAUDITLINK__" localSheetId="6" hidden="1">{"fdsup://directions/FAT Viewer?action=UPDATE&amp;creator=factset&amp;DYN_ARGS=TRUE&amp;DOC_NAME=FAT:FQL_AUDITING_CLIENT_TEMPLATE.FAT&amp;display_string=Audit&amp;VAR:KEY=HGVQXOTCPG&amp;VAR:QUERY=RkZfRUJJVERBX0lCKCdMVE1TJywzOTg1Nik=&amp;WINDOW=FIRST_POPUP&amp;HEIGHT=450&amp;WIDTH=450&amp;START_MA","XIMIZED=FALSE&amp;VAR:CALENDAR=US&amp;VAR:SYMBOL=04916420&amp;VAR:INDEX=0"}</definedName>
    <definedName name="_9513__FDSAUDITLINK__" hidden="1">{"fdsup://directions/FAT Viewer?action=UPDATE&amp;creator=factset&amp;DYN_ARGS=TRUE&amp;DOC_NAME=FAT:FQL_AUDITING_CLIENT_TEMPLATE.FAT&amp;display_string=Audit&amp;VAR:KEY=HGVQXOTCPG&amp;VAR:QUERY=RkZfRUJJVERBX0lCKCdMVE1TJywzOTg1Nik=&amp;WINDOW=FIRST_POPUP&amp;HEIGHT=450&amp;WIDTH=450&amp;START_MA","XIMIZED=FALSE&amp;VAR:CALENDAR=US&amp;VAR:SYMBOL=04916420&amp;VAR:INDEX=0"}</definedName>
    <definedName name="_9514__FDSAUDITLINK__" localSheetId="6" hidden="1">{"fdsup://directions/FAT Viewer?action=UPDATE&amp;creator=factset&amp;DYN_ARGS=TRUE&amp;DOC_NAME=FAT:FQL_AUDITING_CLIENT_TEMPLATE.FAT&amp;display_string=Audit&amp;VAR:KEY=JQRWZQVEZW&amp;VAR:QUERY=RkZfRUJJVERBX0lCKCdMVE1TJywzOTg1NSk=&amp;WINDOW=FIRST_POPUP&amp;HEIGHT=450&amp;WIDTH=450&amp;START_MA","XIMIZED=FALSE&amp;VAR:CALENDAR=US&amp;VAR:SYMBOL=04916420&amp;VAR:INDEX=0"}</definedName>
    <definedName name="_9514__FDSAUDITLINK__" hidden="1">{"fdsup://directions/FAT Viewer?action=UPDATE&amp;creator=factset&amp;DYN_ARGS=TRUE&amp;DOC_NAME=FAT:FQL_AUDITING_CLIENT_TEMPLATE.FAT&amp;display_string=Audit&amp;VAR:KEY=JQRWZQVEZW&amp;VAR:QUERY=RkZfRUJJVERBX0lCKCdMVE1TJywzOTg1NSk=&amp;WINDOW=FIRST_POPUP&amp;HEIGHT=450&amp;WIDTH=450&amp;START_MA","XIMIZED=FALSE&amp;VAR:CALENDAR=US&amp;VAR:SYMBOL=04916420&amp;VAR:INDEX=0"}</definedName>
    <definedName name="_9515__FDSAUDITLINK__" localSheetId="6" hidden="1">{"fdsup://directions/FAT Viewer?action=UPDATE&amp;creator=factset&amp;DYN_ARGS=TRUE&amp;DOC_NAME=FAT:FQL_AUDITING_CLIENT_TEMPLATE.FAT&amp;display_string=Audit&amp;VAR:KEY=XAZMPILWXW&amp;VAR:QUERY=RkZfRUJJVERBX0lCKCdMVE1TJywzOTg1NCk=&amp;WINDOW=FIRST_POPUP&amp;HEIGHT=450&amp;WIDTH=450&amp;START_MA","XIMIZED=FALSE&amp;VAR:CALENDAR=US&amp;VAR:SYMBOL=04916420&amp;VAR:INDEX=0"}</definedName>
    <definedName name="_9515__FDSAUDITLINK__" hidden="1">{"fdsup://directions/FAT Viewer?action=UPDATE&amp;creator=factset&amp;DYN_ARGS=TRUE&amp;DOC_NAME=FAT:FQL_AUDITING_CLIENT_TEMPLATE.FAT&amp;display_string=Audit&amp;VAR:KEY=XAZMPILWXW&amp;VAR:QUERY=RkZfRUJJVERBX0lCKCdMVE1TJywzOTg1NCk=&amp;WINDOW=FIRST_POPUP&amp;HEIGHT=450&amp;WIDTH=450&amp;START_MA","XIMIZED=FALSE&amp;VAR:CALENDAR=US&amp;VAR:SYMBOL=04916420&amp;VAR:INDEX=0"}</definedName>
    <definedName name="_9516__FDSAUDITLINK__" localSheetId="6" hidden="1">{"fdsup://directions/FAT Viewer?action=UPDATE&amp;creator=factset&amp;DYN_ARGS=TRUE&amp;DOC_NAME=FAT:FQL_AUDITING_CLIENT_TEMPLATE.FAT&amp;display_string=Audit&amp;VAR:KEY=PWJAPKNARM&amp;VAR:QUERY=RkZfRUJJVERBX0lCKCdMVE1TJywzOTg1Myk=&amp;WINDOW=FIRST_POPUP&amp;HEIGHT=450&amp;WIDTH=450&amp;START_MA","XIMIZED=FALSE&amp;VAR:CALENDAR=US&amp;VAR:SYMBOL=04916420&amp;VAR:INDEX=0"}</definedName>
    <definedName name="_9516__FDSAUDITLINK__" hidden="1">{"fdsup://directions/FAT Viewer?action=UPDATE&amp;creator=factset&amp;DYN_ARGS=TRUE&amp;DOC_NAME=FAT:FQL_AUDITING_CLIENT_TEMPLATE.FAT&amp;display_string=Audit&amp;VAR:KEY=PWJAPKNARM&amp;VAR:QUERY=RkZfRUJJVERBX0lCKCdMVE1TJywzOTg1Myk=&amp;WINDOW=FIRST_POPUP&amp;HEIGHT=450&amp;WIDTH=450&amp;START_MA","XIMIZED=FALSE&amp;VAR:CALENDAR=US&amp;VAR:SYMBOL=04916420&amp;VAR:INDEX=0"}</definedName>
    <definedName name="_9517__FDSAUDITLINK__" localSheetId="6" hidden="1">{"fdsup://directions/FAT Viewer?action=UPDATE&amp;creator=factset&amp;DYN_ARGS=TRUE&amp;DOC_NAME=FAT:FQL_AUDITING_CLIENT_TEMPLATE.FAT&amp;display_string=Audit&amp;VAR:KEY=LGHATONMTY&amp;VAR:QUERY=RkZfRUJJVERBX0lCKCdMVE1TJywzOTg1Mik=&amp;WINDOW=FIRST_POPUP&amp;HEIGHT=450&amp;WIDTH=450&amp;START_MA","XIMIZED=FALSE&amp;VAR:CALENDAR=US&amp;VAR:SYMBOL=04916420&amp;VAR:INDEX=0"}</definedName>
    <definedName name="_9517__FDSAUDITLINK__" hidden="1">{"fdsup://directions/FAT Viewer?action=UPDATE&amp;creator=factset&amp;DYN_ARGS=TRUE&amp;DOC_NAME=FAT:FQL_AUDITING_CLIENT_TEMPLATE.FAT&amp;display_string=Audit&amp;VAR:KEY=LGHATONMTY&amp;VAR:QUERY=RkZfRUJJVERBX0lCKCdMVE1TJywzOTg1Mik=&amp;WINDOW=FIRST_POPUP&amp;HEIGHT=450&amp;WIDTH=450&amp;START_MA","XIMIZED=FALSE&amp;VAR:CALENDAR=US&amp;VAR:SYMBOL=04916420&amp;VAR:INDEX=0"}</definedName>
    <definedName name="_9518__FDSAUDITLINK__" localSheetId="6" hidden="1">{"fdsup://directions/FAT Viewer?action=UPDATE&amp;creator=factset&amp;DYN_ARGS=TRUE&amp;DOC_NAME=FAT:FQL_AUDITING_CLIENT_TEMPLATE.FAT&amp;display_string=Audit&amp;VAR:KEY=TKFMTIVSNQ&amp;VAR:QUERY=RkZfRUJJVERBX0lCKCdMVE1TJywzOTg1MSk=&amp;WINDOW=FIRST_POPUP&amp;HEIGHT=450&amp;WIDTH=450&amp;START_MA","XIMIZED=FALSE&amp;VAR:CALENDAR=US&amp;VAR:SYMBOL=04916420&amp;VAR:INDEX=0"}</definedName>
    <definedName name="_9518__FDSAUDITLINK__" hidden="1">{"fdsup://directions/FAT Viewer?action=UPDATE&amp;creator=factset&amp;DYN_ARGS=TRUE&amp;DOC_NAME=FAT:FQL_AUDITING_CLIENT_TEMPLATE.FAT&amp;display_string=Audit&amp;VAR:KEY=TKFMTIVSNQ&amp;VAR:QUERY=RkZfRUJJVERBX0lCKCdMVE1TJywzOTg1MSk=&amp;WINDOW=FIRST_POPUP&amp;HEIGHT=450&amp;WIDTH=450&amp;START_MA","XIMIZED=FALSE&amp;VAR:CALENDAR=US&amp;VAR:SYMBOL=04916420&amp;VAR:INDEX=0"}</definedName>
    <definedName name="_9519__FDSAUDITLINK__" localSheetId="6" hidden="1">{"fdsup://directions/FAT Viewer?action=UPDATE&amp;creator=factset&amp;DYN_ARGS=TRUE&amp;DOC_NAME=FAT:FQL_AUDITING_CLIENT_TEMPLATE.FAT&amp;display_string=Audit&amp;VAR:KEY=ZCXAZIBGRM&amp;VAR:QUERY=RkZfRUJJVERBX0lCKCdMVE1TJywzOTg1MCk=&amp;WINDOW=FIRST_POPUP&amp;HEIGHT=450&amp;WIDTH=450&amp;START_MA","XIMIZED=FALSE&amp;VAR:CALENDAR=US&amp;VAR:SYMBOL=04916420&amp;VAR:INDEX=0"}</definedName>
    <definedName name="_9519__FDSAUDITLINK__" hidden="1">{"fdsup://directions/FAT Viewer?action=UPDATE&amp;creator=factset&amp;DYN_ARGS=TRUE&amp;DOC_NAME=FAT:FQL_AUDITING_CLIENT_TEMPLATE.FAT&amp;display_string=Audit&amp;VAR:KEY=ZCXAZIBGRM&amp;VAR:QUERY=RkZfRUJJVERBX0lCKCdMVE1TJywzOTg1MCk=&amp;WINDOW=FIRST_POPUP&amp;HEIGHT=450&amp;WIDTH=450&amp;START_MA","XIMIZED=FALSE&amp;VAR:CALENDAR=US&amp;VAR:SYMBOL=04916420&amp;VAR:INDEX=0"}</definedName>
    <definedName name="_952__FDSAUDITLINK__" localSheetId="6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2__FDSAUDITLINK__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20__FDSAUDITLINK__" localSheetId="6" hidden="1">{"fdsup://directions/FAT Viewer?action=UPDATE&amp;creator=factset&amp;DYN_ARGS=TRUE&amp;DOC_NAME=FAT:FQL_AUDITING_CLIENT_TEMPLATE.FAT&amp;display_string=Audit&amp;VAR:KEY=JOJORERGZC&amp;VAR:QUERY=RkZfRUJJVERBX0lCKCdMVE1TJywzOTg0OSk=&amp;WINDOW=FIRST_POPUP&amp;HEIGHT=450&amp;WIDTH=450&amp;START_MA","XIMIZED=FALSE&amp;VAR:CALENDAR=US&amp;VAR:SYMBOL=04916420&amp;VAR:INDEX=0"}</definedName>
    <definedName name="_9520__FDSAUDITLINK__" hidden="1">{"fdsup://directions/FAT Viewer?action=UPDATE&amp;creator=factset&amp;DYN_ARGS=TRUE&amp;DOC_NAME=FAT:FQL_AUDITING_CLIENT_TEMPLATE.FAT&amp;display_string=Audit&amp;VAR:KEY=JOJORERGZC&amp;VAR:QUERY=RkZfRUJJVERBX0lCKCdMVE1TJywzOTg0OSk=&amp;WINDOW=FIRST_POPUP&amp;HEIGHT=450&amp;WIDTH=450&amp;START_MA","XIMIZED=FALSE&amp;VAR:CALENDAR=US&amp;VAR:SYMBOL=04916420&amp;VAR:INDEX=0"}</definedName>
    <definedName name="_9521__FDSAUDITLINK__" localSheetId="6" hidden="1">{"fdsup://directions/FAT Viewer?action=UPDATE&amp;creator=factset&amp;DYN_ARGS=TRUE&amp;DOC_NAME=FAT:FQL_AUDITING_CLIENT_TEMPLATE.FAT&amp;display_string=Audit&amp;VAR:KEY=XENMXINKVU&amp;VAR:QUERY=RkZfRUJJVERBX0lCKCdMVE1TJywzOTg0OCk=&amp;WINDOW=FIRST_POPUP&amp;HEIGHT=450&amp;WIDTH=450&amp;START_MA","XIMIZED=FALSE&amp;VAR:CALENDAR=US&amp;VAR:SYMBOL=04916420&amp;VAR:INDEX=0"}</definedName>
    <definedName name="_9521__FDSAUDITLINK__" hidden="1">{"fdsup://directions/FAT Viewer?action=UPDATE&amp;creator=factset&amp;DYN_ARGS=TRUE&amp;DOC_NAME=FAT:FQL_AUDITING_CLIENT_TEMPLATE.FAT&amp;display_string=Audit&amp;VAR:KEY=XENMXINKVU&amp;VAR:QUERY=RkZfRUJJVERBX0lCKCdMVE1TJywzOTg0OCk=&amp;WINDOW=FIRST_POPUP&amp;HEIGHT=450&amp;WIDTH=450&amp;START_MA","XIMIZED=FALSE&amp;VAR:CALENDAR=US&amp;VAR:SYMBOL=04916420&amp;VAR:INDEX=0"}</definedName>
    <definedName name="_9522__FDSAUDITLINK__" localSheetId="6" hidden="1">{"fdsup://directions/FAT Viewer?action=UPDATE&amp;creator=factset&amp;DYN_ARGS=TRUE&amp;DOC_NAME=FAT:FQL_AUDITING_CLIENT_TEMPLATE.FAT&amp;display_string=Audit&amp;VAR:KEY=XAHOTYHWNE&amp;VAR:QUERY=RkZfRUJJVERBX0lCKCdMVE1TJywzOTg0Nyk=&amp;WINDOW=FIRST_POPUP&amp;HEIGHT=450&amp;WIDTH=450&amp;START_MA","XIMIZED=FALSE&amp;VAR:CALENDAR=US&amp;VAR:SYMBOL=04916420&amp;VAR:INDEX=0"}</definedName>
    <definedName name="_9522__FDSAUDITLINK__" hidden="1">{"fdsup://directions/FAT Viewer?action=UPDATE&amp;creator=factset&amp;DYN_ARGS=TRUE&amp;DOC_NAME=FAT:FQL_AUDITING_CLIENT_TEMPLATE.FAT&amp;display_string=Audit&amp;VAR:KEY=XAHOTYHWNE&amp;VAR:QUERY=RkZfRUJJVERBX0lCKCdMVE1TJywzOTg0Nyk=&amp;WINDOW=FIRST_POPUP&amp;HEIGHT=450&amp;WIDTH=450&amp;START_MA","XIMIZED=FALSE&amp;VAR:CALENDAR=US&amp;VAR:SYMBOL=04916420&amp;VAR:INDEX=0"}</definedName>
    <definedName name="_9523__FDSAUDITLINK__" localSheetId="6" hidden="1">{"fdsup://directions/FAT Viewer?action=UPDATE&amp;creator=factset&amp;DYN_ARGS=TRUE&amp;DOC_NAME=FAT:FQL_AUDITING_CLIENT_TEMPLATE.FAT&amp;display_string=Audit&amp;VAR:KEY=XWBYLQZIZQ&amp;VAR:QUERY=RkZfRUJJVERBX0lCKCdMVE1TJywzOTg0Nik=&amp;WINDOW=FIRST_POPUP&amp;HEIGHT=450&amp;WIDTH=450&amp;START_MA","XIMIZED=FALSE&amp;VAR:CALENDAR=US&amp;VAR:SYMBOL=04916420&amp;VAR:INDEX=0"}</definedName>
    <definedName name="_9523__FDSAUDITLINK__" hidden="1">{"fdsup://directions/FAT Viewer?action=UPDATE&amp;creator=factset&amp;DYN_ARGS=TRUE&amp;DOC_NAME=FAT:FQL_AUDITING_CLIENT_TEMPLATE.FAT&amp;display_string=Audit&amp;VAR:KEY=XWBYLQZIZQ&amp;VAR:QUERY=RkZfRUJJVERBX0lCKCdMVE1TJywzOTg0Nik=&amp;WINDOW=FIRST_POPUP&amp;HEIGHT=450&amp;WIDTH=450&amp;START_MA","XIMIZED=FALSE&amp;VAR:CALENDAR=US&amp;VAR:SYMBOL=04916420&amp;VAR:INDEX=0"}</definedName>
    <definedName name="_9524__FDSAUDITLINK__" localSheetId="6" hidden="1">{"fdsup://directions/FAT Viewer?action=UPDATE&amp;creator=factset&amp;DYN_ARGS=TRUE&amp;DOC_NAME=FAT:FQL_AUDITING_CLIENT_TEMPLATE.FAT&amp;display_string=Audit&amp;VAR:KEY=NIFQRWTGHC&amp;VAR:QUERY=RkZfRUJJVERBX0lCKCdMVE1TJywzOTg0NSk=&amp;WINDOW=FIRST_POPUP&amp;HEIGHT=450&amp;WIDTH=450&amp;START_MA","XIMIZED=FALSE&amp;VAR:CALENDAR=US&amp;VAR:SYMBOL=04916420&amp;VAR:INDEX=0"}</definedName>
    <definedName name="_9524__FDSAUDITLINK__" hidden="1">{"fdsup://directions/FAT Viewer?action=UPDATE&amp;creator=factset&amp;DYN_ARGS=TRUE&amp;DOC_NAME=FAT:FQL_AUDITING_CLIENT_TEMPLATE.FAT&amp;display_string=Audit&amp;VAR:KEY=NIFQRWTGHC&amp;VAR:QUERY=RkZfRUJJVERBX0lCKCdMVE1TJywzOTg0NSk=&amp;WINDOW=FIRST_POPUP&amp;HEIGHT=450&amp;WIDTH=450&amp;START_MA","XIMIZED=FALSE&amp;VAR:CALENDAR=US&amp;VAR:SYMBOL=04916420&amp;VAR:INDEX=0"}</definedName>
    <definedName name="_9525__FDSAUDITLINK__" localSheetId="6" hidden="1">{"fdsup://directions/FAT Viewer?action=UPDATE&amp;creator=factset&amp;DYN_ARGS=TRUE&amp;DOC_NAME=FAT:FQL_AUDITING_CLIENT_TEMPLATE.FAT&amp;display_string=Audit&amp;VAR:KEY=JMZIVCHIBU&amp;VAR:QUERY=RkZfRUJJVERBX0lCKCdMVE1TJywzOTg0NCk=&amp;WINDOW=FIRST_POPUP&amp;HEIGHT=450&amp;WIDTH=450&amp;START_MA","XIMIZED=FALSE&amp;VAR:CALENDAR=US&amp;VAR:SYMBOL=04916420&amp;VAR:INDEX=0"}</definedName>
    <definedName name="_9525__FDSAUDITLINK__" hidden="1">{"fdsup://directions/FAT Viewer?action=UPDATE&amp;creator=factset&amp;DYN_ARGS=TRUE&amp;DOC_NAME=FAT:FQL_AUDITING_CLIENT_TEMPLATE.FAT&amp;display_string=Audit&amp;VAR:KEY=JMZIVCHIBU&amp;VAR:QUERY=RkZfRUJJVERBX0lCKCdMVE1TJywzOTg0NCk=&amp;WINDOW=FIRST_POPUP&amp;HEIGHT=450&amp;WIDTH=450&amp;START_MA","XIMIZED=FALSE&amp;VAR:CALENDAR=US&amp;VAR:SYMBOL=04916420&amp;VAR:INDEX=0"}</definedName>
    <definedName name="_9526__FDSAUDITLINK__" localSheetId="6" hidden="1">{"fdsup://directions/FAT Viewer?action=UPDATE&amp;creator=factset&amp;DYN_ARGS=TRUE&amp;DOC_NAME=FAT:FQL_AUDITING_CLIENT_TEMPLATE.FAT&amp;display_string=Audit&amp;VAR:KEY=ROTWFOPUFS&amp;VAR:QUERY=RkZfRUJJVERBX0lCKCdMVE1TJywzOTg0Myk=&amp;WINDOW=FIRST_POPUP&amp;HEIGHT=450&amp;WIDTH=450&amp;START_MA","XIMIZED=FALSE&amp;VAR:CALENDAR=US&amp;VAR:SYMBOL=04916420&amp;VAR:INDEX=0"}</definedName>
    <definedName name="_9526__FDSAUDITLINK__" hidden="1">{"fdsup://directions/FAT Viewer?action=UPDATE&amp;creator=factset&amp;DYN_ARGS=TRUE&amp;DOC_NAME=FAT:FQL_AUDITING_CLIENT_TEMPLATE.FAT&amp;display_string=Audit&amp;VAR:KEY=ROTWFOPUFS&amp;VAR:QUERY=RkZfRUJJVERBX0lCKCdMVE1TJywzOTg0Myk=&amp;WINDOW=FIRST_POPUP&amp;HEIGHT=450&amp;WIDTH=450&amp;START_MA","XIMIZED=FALSE&amp;VAR:CALENDAR=US&amp;VAR:SYMBOL=04916420&amp;VAR:INDEX=0"}</definedName>
    <definedName name="_9527__FDSAUDITLINK__" localSheetId="6" hidden="1">{"fdsup://directions/FAT Viewer?action=UPDATE&amp;creator=factset&amp;DYN_ARGS=TRUE&amp;DOC_NAME=FAT:FQL_AUDITING_CLIENT_TEMPLATE.FAT&amp;display_string=Audit&amp;VAR:KEY=BOPCXILMJU&amp;VAR:QUERY=RkZfRUJJVERBX0lCKCdMVE1TJywzOTg0Mik=&amp;WINDOW=FIRST_POPUP&amp;HEIGHT=450&amp;WIDTH=450&amp;START_MA","XIMIZED=FALSE&amp;VAR:CALENDAR=US&amp;VAR:SYMBOL=04916420&amp;VAR:INDEX=0"}</definedName>
    <definedName name="_9527__FDSAUDITLINK__" hidden="1">{"fdsup://directions/FAT Viewer?action=UPDATE&amp;creator=factset&amp;DYN_ARGS=TRUE&amp;DOC_NAME=FAT:FQL_AUDITING_CLIENT_TEMPLATE.FAT&amp;display_string=Audit&amp;VAR:KEY=BOPCXILMJU&amp;VAR:QUERY=RkZfRUJJVERBX0lCKCdMVE1TJywzOTg0Mik=&amp;WINDOW=FIRST_POPUP&amp;HEIGHT=450&amp;WIDTH=450&amp;START_MA","XIMIZED=FALSE&amp;VAR:CALENDAR=US&amp;VAR:SYMBOL=04916420&amp;VAR:INDEX=0"}</definedName>
    <definedName name="_9528__FDSAUDITLINK__" localSheetId="6" hidden="1">{"fdsup://directions/FAT Viewer?action=UPDATE&amp;creator=factset&amp;DYN_ARGS=TRUE&amp;DOC_NAME=FAT:FQL_AUDITING_CLIENT_TEMPLATE.FAT&amp;display_string=Audit&amp;VAR:KEY=LCFIRCNUJE&amp;VAR:QUERY=RkZfRUJJVERBX0lCKCdMVE1TJywzOTg0MSk=&amp;WINDOW=FIRST_POPUP&amp;HEIGHT=450&amp;WIDTH=450&amp;START_MA","XIMIZED=FALSE&amp;VAR:CALENDAR=US&amp;VAR:SYMBOL=04916420&amp;VAR:INDEX=0"}</definedName>
    <definedName name="_9528__FDSAUDITLINK__" hidden="1">{"fdsup://directions/FAT Viewer?action=UPDATE&amp;creator=factset&amp;DYN_ARGS=TRUE&amp;DOC_NAME=FAT:FQL_AUDITING_CLIENT_TEMPLATE.FAT&amp;display_string=Audit&amp;VAR:KEY=LCFIRCNUJE&amp;VAR:QUERY=RkZfRUJJVERBX0lCKCdMVE1TJywzOTg0MSk=&amp;WINDOW=FIRST_POPUP&amp;HEIGHT=450&amp;WIDTH=450&amp;START_MA","XIMIZED=FALSE&amp;VAR:CALENDAR=US&amp;VAR:SYMBOL=04916420&amp;VAR:INDEX=0"}</definedName>
    <definedName name="_9529__FDSAUDITLINK__" localSheetId="6" hidden="1">{"fdsup://directions/FAT Viewer?action=UPDATE&amp;creator=factset&amp;DYN_ARGS=TRUE&amp;DOC_NAME=FAT:FQL_AUDITING_CLIENT_TEMPLATE.FAT&amp;display_string=Audit&amp;VAR:KEY=LEXIJWJGBW&amp;VAR:QUERY=RkZfRUJJVERBX0lCKCdMVE1TJywzOTg0MCk=&amp;WINDOW=FIRST_POPUP&amp;HEIGHT=450&amp;WIDTH=450&amp;START_MA","XIMIZED=FALSE&amp;VAR:CALENDAR=US&amp;VAR:SYMBOL=04916420&amp;VAR:INDEX=0"}</definedName>
    <definedName name="_9529__FDSAUDITLINK__" hidden="1">{"fdsup://directions/FAT Viewer?action=UPDATE&amp;creator=factset&amp;DYN_ARGS=TRUE&amp;DOC_NAME=FAT:FQL_AUDITING_CLIENT_TEMPLATE.FAT&amp;display_string=Audit&amp;VAR:KEY=LEXIJWJGBW&amp;VAR:QUERY=RkZfRUJJVERBX0lCKCdMVE1TJywzOTg0MCk=&amp;WINDOW=FIRST_POPUP&amp;HEIGHT=450&amp;WIDTH=450&amp;START_MA","XIMIZED=FALSE&amp;VAR:CALENDAR=US&amp;VAR:SYMBOL=04916420&amp;VAR:INDEX=0"}</definedName>
    <definedName name="_953__FDSAUDITLINK__" localSheetId="6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3__FDSAUDITLINK__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30__FDSAUDITLINK__" localSheetId="6" hidden="1">{"fdsup://directions/FAT Viewer?action=UPDATE&amp;creator=factset&amp;DYN_ARGS=TRUE&amp;DOC_NAME=FAT:FQL_AUDITING_CLIENT_TEMPLATE.FAT&amp;display_string=Audit&amp;VAR:KEY=TKHWTMLAZE&amp;VAR:QUERY=RkZfRUJJVERBX0lCKCdMVE1TJywzOTgzOSk=&amp;WINDOW=FIRST_POPUP&amp;HEIGHT=450&amp;WIDTH=450&amp;START_MA","XIMIZED=FALSE&amp;VAR:CALENDAR=US&amp;VAR:SYMBOL=04916420&amp;VAR:INDEX=0"}</definedName>
    <definedName name="_9530__FDSAUDITLINK__" hidden="1">{"fdsup://directions/FAT Viewer?action=UPDATE&amp;creator=factset&amp;DYN_ARGS=TRUE&amp;DOC_NAME=FAT:FQL_AUDITING_CLIENT_TEMPLATE.FAT&amp;display_string=Audit&amp;VAR:KEY=TKHWTMLAZE&amp;VAR:QUERY=RkZfRUJJVERBX0lCKCdMVE1TJywzOTgzOSk=&amp;WINDOW=FIRST_POPUP&amp;HEIGHT=450&amp;WIDTH=450&amp;START_MA","XIMIZED=FALSE&amp;VAR:CALENDAR=US&amp;VAR:SYMBOL=04916420&amp;VAR:INDEX=0"}</definedName>
    <definedName name="_9531__FDSAUDITLINK__" localSheetId="6" hidden="1">{"fdsup://directions/FAT Viewer?action=UPDATE&amp;creator=factset&amp;DYN_ARGS=TRUE&amp;DOC_NAME=FAT:FQL_AUDITING_CLIENT_TEMPLATE.FAT&amp;display_string=Audit&amp;VAR:KEY=NYDQFWXSJA&amp;VAR:QUERY=RkZfRUJJVERBX0lCKCdMVE1TJywzOTgzOCk=&amp;WINDOW=FIRST_POPUP&amp;HEIGHT=450&amp;WIDTH=450&amp;START_MA","XIMIZED=FALSE&amp;VAR:CALENDAR=US&amp;VAR:SYMBOL=04916420&amp;VAR:INDEX=0"}</definedName>
    <definedName name="_9531__FDSAUDITLINK__" hidden="1">{"fdsup://directions/FAT Viewer?action=UPDATE&amp;creator=factset&amp;DYN_ARGS=TRUE&amp;DOC_NAME=FAT:FQL_AUDITING_CLIENT_TEMPLATE.FAT&amp;display_string=Audit&amp;VAR:KEY=NYDQFWXSJA&amp;VAR:QUERY=RkZfRUJJVERBX0lCKCdMVE1TJywzOTgzOCk=&amp;WINDOW=FIRST_POPUP&amp;HEIGHT=450&amp;WIDTH=450&amp;START_MA","XIMIZED=FALSE&amp;VAR:CALENDAR=US&amp;VAR:SYMBOL=04916420&amp;VAR:INDEX=0"}</definedName>
    <definedName name="_9532__FDSAUDITLINK__" localSheetId="6" hidden="1">{"fdsup://directions/FAT Viewer?action=UPDATE&amp;creator=factset&amp;DYN_ARGS=TRUE&amp;DOC_NAME=FAT:FQL_AUDITING_CLIENT_TEMPLATE.FAT&amp;display_string=Audit&amp;VAR:KEY=ZQXOPYJIZS&amp;VAR:QUERY=RkZfRUJJVERBX0lCKCdMVE1TJywzOTgzNyk=&amp;WINDOW=FIRST_POPUP&amp;HEIGHT=450&amp;WIDTH=450&amp;START_MA","XIMIZED=FALSE&amp;VAR:CALENDAR=US&amp;VAR:SYMBOL=04916420&amp;VAR:INDEX=0"}</definedName>
    <definedName name="_9532__FDSAUDITLINK__" hidden="1">{"fdsup://directions/FAT Viewer?action=UPDATE&amp;creator=factset&amp;DYN_ARGS=TRUE&amp;DOC_NAME=FAT:FQL_AUDITING_CLIENT_TEMPLATE.FAT&amp;display_string=Audit&amp;VAR:KEY=ZQXOPYJIZS&amp;VAR:QUERY=RkZfRUJJVERBX0lCKCdMVE1TJywzOTgzNyk=&amp;WINDOW=FIRST_POPUP&amp;HEIGHT=450&amp;WIDTH=450&amp;START_MA","XIMIZED=FALSE&amp;VAR:CALENDAR=US&amp;VAR:SYMBOL=04916420&amp;VAR:INDEX=0"}</definedName>
    <definedName name="_9533__FDSAUDITLINK__" localSheetId="6" hidden="1">{"fdsup://directions/FAT Viewer?action=UPDATE&amp;creator=factset&amp;DYN_ARGS=TRUE&amp;DOC_NAME=FAT:FQL_AUDITING_CLIENT_TEMPLATE.FAT&amp;display_string=Audit&amp;VAR:KEY=TYBIPIXCNQ&amp;VAR:QUERY=RkZfRUJJVERBX0lCKCdMVE1TJywzOTgzNik=&amp;WINDOW=FIRST_POPUP&amp;HEIGHT=450&amp;WIDTH=450&amp;START_MA","XIMIZED=FALSE&amp;VAR:CALENDAR=US&amp;VAR:SYMBOL=04916420&amp;VAR:INDEX=0"}</definedName>
    <definedName name="_9533__FDSAUDITLINK__" hidden="1">{"fdsup://directions/FAT Viewer?action=UPDATE&amp;creator=factset&amp;DYN_ARGS=TRUE&amp;DOC_NAME=FAT:FQL_AUDITING_CLIENT_TEMPLATE.FAT&amp;display_string=Audit&amp;VAR:KEY=TYBIPIXCNQ&amp;VAR:QUERY=RkZfRUJJVERBX0lCKCdMVE1TJywzOTgzNik=&amp;WINDOW=FIRST_POPUP&amp;HEIGHT=450&amp;WIDTH=450&amp;START_MA","XIMIZED=FALSE&amp;VAR:CALENDAR=US&amp;VAR:SYMBOL=04916420&amp;VAR:INDEX=0"}</definedName>
    <definedName name="_9534__FDSAUDITLINK__" localSheetId="6" hidden="1">{"fdsup://directions/FAT Viewer?action=UPDATE&amp;creator=factset&amp;DYN_ARGS=TRUE&amp;DOC_NAME=FAT:FQL_AUDITING_CLIENT_TEMPLATE.FAT&amp;display_string=Audit&amp;VAR:KEY=PSFIZWTKZO&amp;VAR:QUERY=RkZfRUJJVERBX0lCKCdMVE1TJywzOTgzNSk=&amp;WINDOW=FIRST_POPUP&amp;HEIGHT=450&amp;WIDTH=450&amp;START_MA","XIMIZED=FALSE&amp;VAR:CALENDAR=US&amp;VAR:SYMBOL=04916420&amp;VAR:INDEX=0"}</definedName>
    <definedName name="_9534__FDSAUDITLINK__" hidden="1">{"fdsup://directions/FAT Viewer?action=UPDATE&amp;creator=factset&amp;DYN_ARGS=TRUE&amp;DOC_NAME=FAT:FQL_AUDITING_CLIENT_TEMPLATE.FAT&amp;display_string=Audit&amp;VAR:KEY=PSFIZWTKZO&amp;VAR:QUERY=RkZfRUJJVERBX0lCKCdMVE1TJywzOTgzNSk=&amp;WINDOW=FIRST_POPUP&amp;HEIGHT=450&amp;WIDTH=450&amp;START_MA","XIMIZED=FALSE&amp;VAR:CALENDAR=US&amp;VAR:SYMBOL=04916420&amp;VAR:INDEX=0"}</definedName>
    <definedName name="_9535__FDSAUDITLINK__" localSheetId="6" hidden="1">{"fdsup://directions/FAT Viewer?action=UPDATE&amp;creator=factset&amp;DYN_ARGS=TRUE&amp;DOC_NAME=FAT:FQL_AUDITING_CLIENT_TEMPLATE.FAT&amp;display_string=Audit&amp;VAR:KEY=LYFMZAXOBW&amp;VAR:QUERY=RkZfRUJJVERBX0lCKCdMVE1TJywzOTgzNCk=&amp;WINDOW=FIRST_POPUP&amp;HEIGHT=450&amp;WIDTH=450&amp;START_MA","XIMIZED=FALSE&amp;VAR:CALENDAR=US&amp;VAR:SYMBOL=04916420&amp;VAR:INDEX=0"}</definedName>
    <definedName name="_9535__FDSAUDITLINK__" hidden="1">{"fdsup://directions/FAT Viewer?action=UPDATE&amp;creator=factset&amp;DYN_ARGS=TRUE&amp;DOC_NAME=FAT:FQL_AUDITING_CLIENT_TEMPLATE.FAT&amp;display_string=Audit&amp;VAR:KEY=LYFMZAXOBW&amp;VAR:QUERY=RkZfRUJJVERBX0lCKCdMVE1TJywzOTgzNCk=&amp;WINDOW=FIRST_POPUP&amp;HEIGHT=450&amp;WIDTH=450&amp;START_MA","XIMIZED=FALSE&amp;VAR:CALENDAR=US&amp;VAR:SYMBOL=04916420&amp;VAR:INDEX=0"}</definedName>
    <definedName name="_9536__FDSAUDITLINK__" localSheetId="6" hidden="1">{"fdsup://directions/FAT Viewer?action=UPDATE&amp;creator=factset&amp;DYN_ARGS=TRUE&amp;DOC_NAME=FAT:FQL_AUDITING_CLIENT_TEMPLATE.FAT&amp;display_string=Audit&amp;VAR:KEY=TOLENCPIXY&amp;VAR:QUERY=RkZfRUJJVERBX0lCKCdMVE1TJywzOTgzMyk=&amp;WINDOW=FIRST_POPUP&amp;HEIGHT=450&amp;WIDTH=450&amp;START_MA","XIMIZED=FALSE&amp;VAR:CALENDAR=US&amp;VAR:SYMBOL=04916420&amp;VAR:INDEX=0"}</definedName>
    <definedName name="_9536__FDSAUDITLINK__" hidden="1">{"fdsup://directions/FAT Viewer?action=UPDATE&amp;creator=factset&amp;DYN_ARGS=TRUE&amp;DOC_NAME=FAT:FQL_AUDITING_CLIENT_TEMPLATE.FAT&amp;display_string=Audit&amp;VAR:KEY=TOLENCPIXY&amp;VAR:QUERY=RkZfRUJJVERBX0lCKCdMVE1TJywzOTgzMyk=&amp;WINDOW=FIRST_POPUP&amp;HEIGHT=450&amp;WIDTH=450&amp;START_MA","XIMIZED=FALSE&amp;VAR:CALENDAR=US&amp;VAR:SYMBOL=04916420&amp;VAR:INDEX=0"}</definedName>
    <definedName name="_9537__FDSAUDITLINK__" localSheetId="6" hidden="1">{"fdsup://directions/FAT Viewer?action=UPDATE&amp;creator=factset&amp;DYN_ARGS=TRUE&amp;DOC_NAME=FAT:FQL_AUDITING_CLIENT_TEMPLATE.FAT&amp;display_string=Audit&amp;VAR:KEY=VGXOHWNAVE&amp;VAR:QUERY=RkZfRUJJVERBX0lCKCdMVE1TJywzOTgzMik=&amp;WINDOW=FIRST_POPUP&amp;HEIGHT=450&amp;WIDTH=450&amp;START_MA","XIMIZED=FALSE&amp;VAR:CALENDAR=US&amp;VAR:SYMBOL=04916420&amp;VAR:INDEX=0"}</definedName>
    <definedName name="_9537__FDSAUDITLINK__" hidden="1">{"fdsup://directions/FAT Viewer?action=UPDATE&amp;creator=factset&amp;DYN_ARGS=TRUE&amp;DOC_NAME=FAT:FQL_AUDITING_CLIENT_TEMPLATE.FAT&amp;display_string=Audit&amp;VAR:KEY=VGXOHWNAVE&amp;VAR:QUERY=RkZfRUJJVERBX0lCKCdMVE1TJywzOTgzMik=&amp;WINDOW=FIRST_POPUP&amp;HEIGHT=450&amp;WIDTH=450&amp;START_MA","XIMIZED=FALSE&amp;VAR:CALENDAR=US&amp;VAR:SYMBOL=04916420&amp;VAR:INDEX=0"}</definedName>
    <definedName name="_9538__FDSAUDITLINK__" localSheetId="6" hidden="1">{"fdsup://directions/FAT Viewer?action=UPDATE&amp;creator=factset&amp;DYN_ARGS=TRUE&amp;DOC_NAME=FAT:FQL_AUDITING_CLIENT_TEMPLATE.FAT&amp;display_string=Audit&amp;VAR:KEY=PQPMHCLSFA&amp;VAR:QUERY=RkZfRUJJVERBX0lCKCdMVE1TJywzOTgzMSk=&amp;WINDOW=FIRST_POPUP&amp;HEIGHT=450&amp;WIDTH=450&amp;START_MA","XIMIZED=FALSE&amp;VAR:CALENDAR=US&amp;VAR:SYMBOL=04916420&amp;VAR:INDEX=0"}</definedName>
    <definedName name="_9538__FDSAUDITLINK__" hidden="1">{"fdsup://directions/FAT Viewer?action=UPDATE&amp;creator=factset&amp;DYN_ARGS=TRUE&amp;DOC_NAME=FAT:FQL_AUDITING_CLIENT_TEMPLATE.FAT&amp;display_string=Audit&amp;VAR:KEY=PQPMHCLSFA&amp;VAR:QUERY=RkZfRUJJVERBX0lCKCdMVE1TJywzOTgzMSk=&amp;WINDOW=FIRST_POPUP&amp;HEIGHT=450&amp;WIDTH=450&amp;START_MA","XIMIZED=FALSE&amp;VAR:CALENDAR=US&amp;VAR:SYMBOL=04916420&amp;VAR:INDEX=0"}</definedName>
    <definedName name="_9539__FDSAUDITLINK__" localSheetId="6" hidden="1">{"fdsup://directions/FAT Viewer?action=UPDATE&amp;creator=factset&amp;DYN_ARGS=TRUE&amp;DOC_NAME=FAT:FQL_AUDITING_CLIENT_TEMPLATE.FAT&amp;display_string=Audit&amp;VAR:KEY=BOHSLGBKRY&amp;VAR:QUERY=RkZfRUJJVERBX0lCKCdMVE1TJywzOTgzMCk=&amp;WINDOW=FIRST_POPUP&amp;HEIGHT=450&amp;WIDTH=450&amp;START_MA","XIMIZED=FALSE&amp;VAR:CALENDAR=US&amp;VAR:SYMBOL=04916420&amp;VAR:INDEX=0"}</definedName>
    <definedName name="_9539__FDSAUDITLINK__" hidden="1">{"fdsup://directions/FAT Viewer?action=UPDATE&amp;creator=factset&amp;DYN_ARGS=TRUE&amp;DOC_NAME=FAT:FQL_AUDITING_CLIENT_TEMPLATE.FAT&amp;display_string=Audit&amp;VAR:KEY=BOHSLGBKRY&amp;VAR:QUERY=RkZfRUJJVERBX0lCKCdMVE1TJywzOTgzMCk=&amp;WINDOW=FIRST_POPUP&amp;HEIGHT=450&amp;WIDTH=450&amp;START_MA","XIMIZED=FALSE&amp;VAR:CALENDAR=US&amp;VAR:SYMBOL=04916420&amp;VAR:INDEX=0"}</definedName>
    <definedName name="_954__FDSAUDITLINK__" localSheetId="6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4__FDSAUDITLINK__" hidden="1">{"fdsup://directions/FAT%20Viewer?VAR:PED=LTM&amp;VAR:AUDIT_MODE=SUMMARY&amp;VAR:PERIOD=FIXED&amp;VAR:AUDIT_ID=00000117&amp;VAR:DATE=20070713&amp;action=UPDATE&amp;creator=factset&amp;DOC_NAME=FAT:FMA_audit_SUMMARY.fat&amp;DISPLAY_STRING=Display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40__FDSAUDITLINK__" localSheetId="6" hidden="1">{"fdsup://directions/FAT Viewer?action=UPDATE&amp;creator=factset&amp;DYN_ARGS=TRUE&amp;DOC_NAME=FAT:FQL_AUDITING_CLIENT_TEMPLATE.FAT&amp;display_string=Audit&amp;VAR:KEY=HITITOTEXK&amp;VAR:QUERY=RkZfRUJJVERBX0lCKCdMVE1TJywzOTgyOSk=&amp;WINDOW=FIRST_POPUP&amp;HEIGHT=450&amp;WIDTH=450&amp;START_MA","XIMIZED=FALSE&amp;VAR:CALENDAR=US&amp;VAR:SYMBOL=04916420&amp;VAR:INDEX=0"}</definedName>
    <definedName name="_9540__FDSAUDITLINK__" hidden="1">{"fdsup://directions/FAT Viewer?action=UPDATE&amp;creator=factset&amp;DYN_ARGS=TRUE&amp;DOC_NAME=FAT:FQL_AUDITING_CLIENT_TEMPLATE.FAT&amp;display_string=Audit&amp;VAR:KEY=HITITOTEXK&amp;VAR:QUERY=RkZfRUJJVERBX0lCKCdMVE1TJywzOTgyOSk=&amp;WINDOW=FIRST_POPUP&amp;HEIGHT=450&amp;WIDTH=450&amp;START_MA","XIMIZED=FALSE&amp;VAR:CALENDAR=US&amp;VAR:SYMBOL=04916420&amp;VAR:INDEX=0"}</definedName>
    <definedName name="_9541__FDSAUDITLINK__" localSheetId="6" hidden="1">{"fdsup://directions/FAT Viewer?action=UPDATE&amp;creator=factset&amp;DYN_ARGS=TRUE&amp;DOC_NAME=FAT:FQL_AUDITING_CLIENT_TEMPLATE.FAT&amp;display_string=Audit&amp;VAR:KEY=BCXAJQBAJK&amp;VAR:QUERY=RkZfRUJJVERBX0lCKCdMVE1TJywzOTgyOCk=&amp;WINDOW=FIRST_POPUP&amp;HEIGHT=450&amp;WIDTH=450&amp;START_MA","XIMIZED=FALSE&amp;VAR:CALENDAR=US&amp;VAR:SYMBOL=04916420&amp;VAR:INDEX=0"}</definedName>
    <definedName name="_9541__FDSAUDITLINK__" hidden="1">{"fdsup://directions/FAT Viewer?action=UPDATE&amp;creator=factset&amp;DYN_ARGS=TRUE&amp;DOC_NAME=FAT:FQL_AUDITING_CLIENT_TEMPLATE.FAT&amp;display_string=Audit&amp;VAR:KEY=BCXAJQBAJK&amp;VAR:QUERY=RkZfRUJJVERBX0lCKCdMVE1TJywzOTgyOCk=&amp;WINDOW=FIRST_POPUP&amp;HEIGHT=450&amp;WIDTH=450&amp;START_MA","XIMIZED=FALSE&amp;VAR:CALENDAR=US&amp;VAR:SYMBOL=04916420&amp;VAR:INDEX=0"}</definedName>
    <definedName name="_9542__FDSAUDITLINK__" localSheetId="6" hidden="1">{"fdsup://directions/FAT Viewer?action=UPDATE&amp;creator=factset&amp;DYN_ARGS=TRUE&amp;DOC_NAME=FAT:FQL_AUDITING_CLIENT_TEMPLATE.FAT&amp;display_string=Audit&amp;VAR:KEY=NOJGHCBEZG&amp;VAR:QUERY=RkZfRUJJVERBX0lCKCdMVE1TJywzOTgyNyk=&amp;WINDOW=FIRST_POPUP&amp;HEIGHT=450&amp;WIDTH=450&amp;START_MA","XIMIZED=FALSE&amp;VAR:CALENDAR=US&amp;VAR:SYMBOL=04916420&amp;VAR:INDEX=0"}</definedName>
    <definedName name="_9542__FDSAUDITLINK__" hidden="1">{"fdsup://directions/FAT Viewer?action=UPDATE&amp;creator=factset&amp;DYN_ARGS=TRUE&amp;DOC_NAME=FAT:FQL_AUDITING_CLIENT_TEMPLATE.FAT&amp;display_string=Audit&amp;VAR:KEY=NOJGHCBEZG&amp;VAR:QUERY=RkZfRUJJVERBX0lCKCdMVE1TJywzOTgyNyk=&amp;WINDOW=FIRST_POPUP&amp;HEIGHT=450&amp;WIDTH=450&amp;START_MA","XIMIZED=FALSE&amp;VAR:CALENDAR=US&amp;VAR:SYMBOL=04916420&amp;VAR:INDEX=0"}</definedName>
    <definedName name="_9543__FDSAUDITLINK__" localSheetId="6" hidden="1">{"fdsup://directions/FAT Viewer?action=UPDATE&amp;creator=factset&amp;DYN_ARGS=TRUE&amp;DOC_NAME=FAT:FQL_AUDITING_CLIENT_TEMPLATE.FAT&amp;display_string=Audit&amp;VAR:KEY=VIPKXYFUVK&amp;VAR:QUERY=RkZfRUJJVERBX0lCKCdMVE1TJywzOTgyNik=&amp;WINDOW=FIRST_POPUP&amp;HEIGHT=450&amp;WIDTH=450&amp;START_MA","XIMIZED=FALSE&amp;VAR:CALENDAR=US&amp;VAR:SYMBOL=04916420&amp;VAR:INDEX=0"}</definedName>
    <definedName name="_9543__FDSAUDITLINK__" hidden="1">{"fdsup://directions/FAT Viewer?action=UPDATE&amp;creator=factset&amp;DYN_ARGS=TRUE&amp;DOC_NAME=FAT:FQL_AUDITING_CLIENT_TEMPLATE.FAT&amp;display_string=Audit&amp;VAR:KEY=VIPKXYFUVK&amp;VAR:QUERY=RkZfRUJJVERBX0lCKCdMVE1TJywzOTgyNik=&amp;WINDOW=FIRST_POPUP&amp;HEIGHT=450&amp;WIDTH=450&amp;START_MA","XIMIZED=FALSE&amp;VAR:CALENDAR=US&amp;VAR:SYMBOL=04916420&amp;VAR:INDEX=0"}</definedName>
    <definedName name="_9544__FDSAUDITLINK__" localSheetId="6" hidden="1">{"fdsup://directions/FAT Viewer?action=UPDATE&amp;creator=factset&amp;DYN_ARGS=TRUE&amp;DOC_NAME=FAT:FQL_AUDITING_CLIENT_TEMPLATE.FAT&amp;display_string=Audit&amp;VAR:KEY=VWXGDGFQPQ&amp;VAR:QUERY=RkZfRUJJVERBX0lCKCdMVE1TJywzOTgyNSk=&amp;WINDOW=FIRST_POPUP&amp;HEIGHT=450&amp;WIDTH=450&amp;START_MA","XIMIZED=FALSE&amp;VAR:CALENDAR=US&amp;VAR:SYMBOL=04916420&amp;VAR:INDEX=0"}</definedName>
    <definedName name="_9544__FDSAUDITLINK__" hidden="1">{"fdsup://directions/FAT Viewer?action=UPDATE&amp;creator=factset&amp;DYN_ARGS=TRUE&amp;DOC_NAME=FAT:FQL_AUDITING_CLIENT_TEMPLATE.FAT&amp;display_string=Audit&amp;VAR:KEY=VWXGDGFQPQ&amp;VAR:QUERY=RkZfRUJJVERBX0lCKCdMVE1TJywzOTgyNSk=&amp;WINDOW=FIRST_POPUP&amp;HEIGHT=450&amp;WIDTH=450&amp;START_MA","XIMIZED=FALSE&amp;VAR:CALENDAR=US&amp;VAR:SYMBOL=04916420&amp;VAR:INDEX=0"}</definedName>
    <definedName name="_9545__FDSAUDITLINK__" localSheetId="6" hidden="1">{"fdsup://directions/FAT Viewer?action=UPDATE&amp;creator=factset&amp;DYN_ARGS=TRUE&amp;DOC_NAME=FAT:FQL_AUDITING_CLIENT_TEMPLATE.FAT&amp;display_string=Audit&amp;VAR:KEY=XOXMLUVGFS&amp;VAR:QUERY=RkZfRUJJVERBX0lCKCdMVE1TJywzOTgyNCk=&amp;WINDOW=FIRST_POPUP&amp;HEIGHT=450&amp;WIDTH=450&amp;START_MA","XIMIZED=FALSE&amp;VAR:CALENDAR=US&amp;VAR:SYMBOL=04916420&amp;VAR:INDEX=0"}</definedName>
    <definedName name="_9545__FDSAUDITLINK__" hidden="1">{"fdsup://directions/FAT Viewer?action=UPDATE&amp;creator=factset&amp;DYN_ARGS=TRUE&amp;DOC_NAME=FAT:FQL_AUDITING_CLIENT_TEMPLATE.FAT&amp;display_string=Audit&amp;VAR:KEY=XOXMLUVGFS&amp;VAR:QUERY=RkZfRUJJVERBX0lCKCdMVE1TJywzOTgyNCk=&amp;WINDOW=FIRST_POPUP&amp;HEIGHT=450&amp;WIDTH=450&amp;START_MA","XIMIZED=FALSE&amp;VAR:CALENDAR=US&amp;VAR:SYMBOL=04916420&amp;VAR:INDEX=0"}</definedName>
    <definedName name="_9546__FDSAUDITLINK__" localSheetId="6" hidden="1">{"fdsup://directions/FAT Viewer?action=UPDATE&amp;creator=factset&amp;DYN_ARGS=TRUE&amp;DOC_NAME=FAT:FQL_AUDITING_CLIENT_TEMPLATE.FAT&amp;display_string=Audit&amp;VAR:KEY=HSFCVCLUHM&amp;VAR:QUERY=RkZfRUJJVERBX0lCKCdMVE1TJywzOTgyMyk=&amp;WINDOW=FIRST_POPUP&amp;HEIGHT=450&amp;WIDTH=450&amp;START_MA","XIMIZED=FALSE&amp;VAR:CALENDAR=US&amp;VAR:SYMBOL=04916420&amp;VAR:INDEX=0"}</definedName>
    <definedName name="_9546__FDSAUDITLINK__" hidden="1">{"fdsup://directions/FAT Viewer?action=UPDATE&amp;creator=factset&amp;DYN_ARGS=TRUE&amp;DOC_NAME=FAT:FQL_AUDITING_CLIENT_TEMPLATE.FAT&amp;display_string=Audit&amp;VAR:KEY=HSFCVCLUHM&amp;VAR:QUERY=RkZfRUJJVERBX0lCKCdMVE1TJywzOTgyMyk=&amp;WINDOW=FIRST_POPUP&amp;HEIGHT=450&amp;WIDTH=450&amp;START_MA","XIMIZED=FALSE&amp;VAR:CALENDAR=US&amp;VAR:SYMBOL=04916420&amp;VAR:INDEX=0"}</definedName>
    <definedName name="_9547__FDSAUDITLINK__" localSheetId="6" hidden="1">{"fdsup://directions/FAT Viewer?action=UPDATE&amp;creator=factset&amp;DYN_ARGS=TRUE&amp;DOC_NAME=FAT:FQL_AUDITING_CLIENT_TEMPLATE.FAT&amp;display_string=Audit&amp;VAR:KEY=FWXOPUPMRG&amp;VAR:QUERY=RkZfRUJJVERBX0lCKCdMVE1TJywzOTgyMik=&amp;WINDOW=FIRST_POPUP&amp;HEIGHT=450&amp;WIDTH=450&amp;START_MA","XIMIZED=FALSE&amp;VAR:CALENDAR=US&amp;VAR:SYMBOL=04916420&amp;VAR:INDEX=0"}</definedName>
    <definedName name="_9547__FDSAUDITLINK__" hidden="1">{"fdsup://directions/FAT Viewer?action=UPDATE&amp;creator=factset&amp;DYN_ARGS=TRUE&amp;DOC_NAME=FAT:FQL_AUDITING_CLIENT_TEMPLATE.FAT&amp;display_string=Audit&amp;VAR:KEY=FWXOPUPMRG&amp;VAR:QUERY=RkZfRUJJVERBX0lCKCdMVE1TJywzOTgyMik=&amp;WINDOW=FIRST_POPUP&amp;HEIGHT=450&amp;WIDTH=450&amp;START_MA","XIMIZED=FALSE&amp;VAR:CALENDAR=US&amp;VAR:SYMBOL=04916420&amp;VAR:INDEX=0"}</definedName>
    <definedName name="_9548__FDSAUDITLINK__" localSheetId="6" hidden="1">{"fdsup://directions/FAT Viewer?action=UPDATE&amp;creator=factset&amp;DYN_ARGS=TRUE&amp;DOC_NAME=FAT:FQL_AUDITING_CLIENT_TEMPLATE.FAT&amp;display_string=Audit&amp;VAR:KEY=HYDQDUJCZO&amp;VAR:QUERY=RkZfRUJJVERBX0lCKCdMVE1TJywzOTgyMSk=&amp;WINDOW=FIRST_POPUP&amp;HEIGHT=450&amp;WIDTH=450&amp;START_MA","XIMIZED=FALSE&amp;VAR:CALENDAR=US&amp;VAR:SYMBOL=04916420&amp;VAR:INDEX=0"}</definedName>
    <definedName name="_9548__FDSAUDITLINK__" hidden="1">{"fdsup://directions/FAT Viewer?action=UPDATE&amp;creator=factset&amp;DYN_ARGS=TRUE&amp;DOC_NAME=FAT:FQL_AUDITING_CLIENT_TEMPLATE.FAT&amp;display_string=Audit&amp;VAR:KEY=HYDQDUJCZO&amp;VAR:QUERY=RkZfRUJJVERBX0lCKCdMVE1TJywzOTgyMSk=&amp;WINDOW=FIRST_POPUP&amp;HEIGHT=450&amp;WIDTH=450&amp;START_MA","XIMIZED=FALSE&amp;VAR:CALENDAR=US&amp;VAR:SYMBOL=04916420&amp;VAR:INDEX=0"}</definedName>
    <definedName name="_9549__FDSAUDITLINK__" localSheetId="6" hidden="1">{"fdsup://directions/FAT Viewer?action=UPDATE&amp;creator=factset&amp;DYN_ARGS=TRUE&amp;DOC_NAME=FAT:FQL_AUDITING_CLIENT_TEMPLATE.FAT&amp;display_string=Audit&amp;VAR:KEY=FYXWXCBWJG&amp;VAR:QUERY=RkZfRUJJVERBX0lCKCdMVE1TJywzOTgyMCk=&amp;WINDOW=FIRST_POPUP&amp;HEIGHT=450&amp;WIDTH=450&amp;START_MA","XIMIZED=FALSE&amp;VAR:CALENDAR=US&amp;VAR:SYMBOL=04916420&amp;VAR:INDEX=0"}</definedName>
    <definedName name="_9549__FDSAUDITLINK__" hidden="1">{"fdsup://directions/FAT Viewer?action=UPDATE&amp;creator=factset&amp;DYN_ARGS=TRUE&amp;DOC_NAME=FAT:FQL_AUDITING_CLIENT_TEMPLATE.FAT&amp;display_string=Audit&amp;VAR:KEY=FYXWXCBWJG&amp;VAR:QUERY=RkZfRUJJVERBX0lCKCdMVE1TJywzOTgyMCk=&amp;WINDOW=FIRST_POPUP&amp;HEIGHT=450&amp;WIDTH=450&amp;START_MA","XIMIZED=FALSE&amp;VAR:CALENDAR=US&amp;VAR:SYMBOL=04916420&amp;VAR:INDEX=0"}</definedName>
    <definedName name="_955__FDSAUDITLINK__" localSheetId="6" hidden="1">{"fdsup://directions/FAT%20Viewer?VAR:PED=LTM&amp;VAR:AUDIT_MODE=SUMMARY&amp;VAR:PERIOD=FIXED&amp;VAR:AUDIT_ID=00000117&amp;VAR:DATE=20070712&amp;action=UPDATE&amp;creator=factset&amp;DOC_NAME=FAT:FMA_audit_SUMMARY.fat&amp;DISPLAY_STRING=Display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5__FDSAUDITLINK__" hidden="1">{"fdsup://directions/FAT%20Viewer?VAR:PED=LTM&amp;VAR:AUDIT_MODE=SUMMARY&amp;VAR:PERIOD=FIXED&amp;VAR:AUDIT_ID=00000117&amp;VAR:DATE=20070712&amp;action=UPDATE&amp;creator=factset&amp;DOC_NAME=FAT:FMA_audit_SUMMARY.fat&amp;DISPLAY_STRING=Display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50__FDSAUDITLINK__" localSheetId="6" hidden="1">{"fdsup://directions/FAT Viewer?action=UPDATE&amp;creator=factset&amp;DYN_ARGS=TRUE&amp;DOC_NAME=FAT:FQL_AUDITING_CLIENT_TEMPLATE.FAT&amp;display_string=Audit&amp;VAR:KEY=LOBAPYVAPG&amp;VAR:QUERY=RkZfRUJJVERBX0lCKCdMVE1TJywzOTgxOSk=&amp;WINDOW=FIRST_POPUP&amp;HEIGHT=450&amp;WIDTH=450&amp;START_MA","XIMIZED=FALSE&amp;VAR:CALENDAR=US&amp;VAR:SYMBOL=04916420&amp;VAR:INDEX=0"}</definedName>
    <definedName name="_9550__FDSAUDITLINK__" hidden="1">{"fdsup://directions/FAT Viewer?action=UPDATE&amp;creator=factset&amp;DYN_ARGS=TRUE&amp;DOC_NAME=FAT:FQL_AUDITING_CLIENT_TEMPLATE.FAT&amp;display_string=Audit&amp;VAR:KEY=LOBAPYVAPG&amp;VAR:QUERY=RkZfRUJJVERBX0lCKCdMVE1TJywzOTgxOSk=&amp;WINDOW=FIRST_POPUP&amp;HEIGHT=450&amp;WIDTH=450&amp;START_MA","XIMIZED=FALSE&amp;VAR:CALENDAR=US&amp;VAR:SYMBOL=04916420&amp;VAR:INDEX=0"}</definedName>
    <definedName name="_9551__FDSAUDITLINK__" localSheetId="6" hidden="1">{"fdsup://directions/FAT Viewer?action=UPDATE&amp;creator=factset&amp;DYN_ARGS=TRUE&amp;DOC_NAME=FAT:FQL_AUDITING_CLIENT_TEMPLATE.FAT&amp;display_string=Audit&amp;VAR:KEY=JQRAXKTELY&amp;VAR:QUERY=RkZfRUJJVERBX0lCKCdMVE1TJywzOTgxOCk=&amp;WINDOW=FIRST_POPUP&amp;HEIGHT=450&amp;WIDTH=450&amp;START_MA","XIMIZED=FALSE&amp;VAR:CALENDAR=US&amp;VAR:SYMBOL=04916420&amp;VAR:INDEX=0"}</definedName>
    <definedName name="_9551__FDSAUDITLINK__" hidden="1">{"fdsup://directions/FAT Viewer?action=UPDATE&amp;creator=factset&amp;DYN_ARGS=TRUE&amp;DOC_NAME=FAT:FQL_AUDITING_CLIENT_TEMPLATE.FAT&amp;display_string=Audit&amp;VAR:KEY=JQRAXKTELY&amp;VAR:QUERY=RkZfRUJJVERBX0lCKCdMVE1TJywzOTgxOCk=&amp;WINDOW=FIRST_POPUP&amp;HEIGHT=450&amp;WIDTH=450&amp;START_MA","XIMIZED=FALSE&amp;VAR:CALENDAR=US&amp;VAR:SYMBOL=04916420&amp;VAR:INDEX=0"}</definedName>
    <definedName name="_9552__FDSAUDITLINK__" localSheetId="6" hidden="1">{"fdsup://directions/FAT Viewer?action=UPDATE&amp;creator=factset&amp;DYN_ARGS=TRUE&amp;DOC_NAME=FAT:FQL_AUDITING_CLIENT_TEMPLATE.FAT&amp;display_string=Audit&amp;VAR:KEY=TARWJMRWFA&amp;VAR:QUERY=RkZfRUJJVERBX0lCKCdMVE1TJywzOTgxNyk=&amp;WINDOW=FIRST_POPUP&amp;HEIGHT=450&amp;WIDTH=450&amp;START_MA","XIMIZED=FALSE&amp;VAR:CALENDAR=US&amp;VAR:SYMBOL=04916420&amp;VAR:INDEX=0"}</definedName>
    <definedName name="_9552__FDSAUDITLINK__" hidden="1">{"fdsup://directions/FAT Viewer?action=UPDATE&amp;creator=factset&amp;DYN_ARGS=TRUE&amp;DOC_NAME=FAT:FQL_AUDITING_CLIENT_TEMPLATE.FAT&amp;display_string=Audit&amp;VAR:KEY=TARWJMRWFA&amp;VAR:QUERY=RkZfRUJJVERBX0lCKCdMVE1TJywzOTgxNyk=&amp;WINDOW=FIRST_POPUP&amp;HEIGHT=450&amp;WIDTH=450&amp;START_MA","XIMIZED=FALSE&amp;VAR:CALENDAR=US&amp;VAR:SYMBOL=04916420&amp;VAR:INDEX=0"}</definedName>
    <definedName name="_9553__FDSAUDITLINK__" localSheetId="6" hidden="1">{"fdsup://directions/FAT Viewer?action=UPDATE&amp;creator=factset&amp;DYN_ARGS=TRUE&amp;DOC_NAME=FAT:FQL_AUDITING_CLIENT_TEMPLATE.FAT&amp;display_string=Audit&amp;VAR:KEY=TSVOFUHEHW&amp;VAR:QUERY=RkZfRUJJVERBX0lCKCdMVE1TJywzOTgxNik=&amp;WINDOW=FIRST_POPUP&amp;HEIGHT=450&amp;WIDTH=450&amp;START_MA","XIMIZED=FALSE&amp;VAR:CALENDAR=US&amp;VAR:SYMBOL=04916420&amp;VAR:INDEX=0"}</definedName>
    <definedName name="_9553__FDSAUDITLINK__" hidden="1">{"fdsup://directions/FAT Viewer?action=UPDATE&amp;creator=factset&amp;DYN_ARGS=TRUE&amp;DOC_NAME=FAT:FQL_AUDITING_CLIENT_TEMPLATE.FAT&amp;display_string=Audit&amp;VAR:KEY=TSVOFUHEHW&amp;VAR:QUERY=RkZfRUJJVERBX0lCKCdMVE1TJywzOTgxNik=&amp;WINDOW=FIRST_POPUP&amp;HEIGHT=450&amp;WIDTH=450&amp;START_MA","XIMIZED=FALSE&amp;VAR:CALENDAR=US&amp;VAR:SYMBOL=04916420&amp;VAR:INDEX=0"}</definedName>
    <definedName name="_9554__FDSAUDITLINK__" localSheetId="6" hidden="1">{"fdsup://directions/FAT Viewer?action=UPDATE&amp;creator=factset&amp;DYN_ARGS=TRUE&amp;DOC_NAME=FAT:FQL_AUDITING_CLIENT_TEMPLATE.FAT&amp;display_string=Audit&amp;VAR:KEY=TEXCZWPMTG&amp;VAR:QUERY=RkZfRUJJVERBX0lCKCdMVE1TJywzOTgxNSk=&amp;WINDOW=FIRST_POPUP&amp;HEIGHT=450&amp;WIDTH=450&amp;START_MA","XIMIZED=FALSE&amp;VAR:CALENDAR=US&amp;VAR:SYMBOL=04916420&amp;VAR:INDEX=0"}</definedName>
    <definedName name="_9554__FDSAUDITLINK__" hidden="1">{"fdsup://directions/FAT Viewer?action=UPDATE&amp;creator=factset&amp;DYN_ARGS=TRUE&amp;DOC_NAME=FAT:FQL_AUDITING_CLIENT_TEMPLATE.FAT&amp;display_string=Audit&amp;VAR:KEY=TEXCZWPMTG&amp;VAR:QUERY=RkZfRUJJVERBX0lCKCdMVE1TJywzOTgxNSk=&amp;WINDOW=FIRST_POPUP&amp;HEIGHT=450&amp;WIDTH=450&amp;START_MA","XIMIZED=FALSE&amp;VAR:CALENDAR=US&amp;VAR:SYMBOL=04916420&amp;VAR:INDEX=0"}</definedName>
    <definedName name="_9555__FDSAUDITLINK__" localSheetId="6" hidden="1">{"fdsup://directions/FAT Viewer?action=UPDATE&amp;creator=factset&amp;DYN_ARGS=TRUE&amp;DOC_NAME=FAT:FQL_AUDITING_CLIENT_TEMPLATE.FAT&amp;display_string=Audit&amp;VAR:KEY=RIVGTGVIVY&amp;VAR:QUERY=RkZfRUJJVERBX0lCKCdMVE1TJywzOTgxNCk=&amp;WINDOW=FIRST_POPUP&amp;HEIGHT=450&amp;WIDTH=450&amp;START_MA","XIMIZED=FALSE&amp;VAR:CALENDAR=US&amp;VAR:SYMBOL=04916420&amp;VAR:INDEX=0"}</definedName>
    <definedName name="_9555__FDSAUDITLINK__" hidden="1">{"fdsup://directions/FAT Viewer?action=UPDATE&amp;creator=factset&amp;DYN_ARGS=TRUE&amp;DOC_NAME=FAT:FQL_AUDITING_CLIENT_TEMPLATE.FAT&amp;display_string=Audit&amp;VAR:KEY=RIVGTGVIVY&amp;VAR:QUERY=RkZfRUJJVERBX0lCKCdMVE1TJywzOTgxNCk=&amp;WINDOW=FIRST_POPUP&amp;HEIGHT=450&amp;WIDTH=450&amp;START_MA","XIMIZED=FALSE&amp;VAR:CALENDAR=US&amp;VAR:SYMBOL=04916420&amp;VAR:INDEX=0"}</definedName>
    <definedName name="_9556__FDSAUDITLINK__" localSheetId="6" hidden="1">{"fdsup://directions/FAT Viewer?action=UPDATE&amp;creator=factset&amp;DYN_ARGS=TRUE&amp;DOC_NAME=FAT:FQL_AUDITING_CLIENT_TEMPLATE.FAT&amp;display_string=Audit&amp;VAR:KEY=LILGXARKVQ&amp;VAR:QUERY=RkZfRUJJVERBX0lCKCdMVE1TJywzOTgxMyk=&amp;WINDOW=FIRST_POPUP&amp;HEIGHT=450&amp;WIDTH=450&amp;START_MA","XIMIZED=FALSE&amp;VAR:CALENDAR=US&amp;VAR:SYMBOL=04916420&amp;VAR:INDEX=0"}</definedName>
    <definedName name="_9556__FDSAUDITLINK__" hidden="1">{"fdsup://directions/FAT Viewer?action=UPDATE&amp;creator=factset&amp;DYN_ARGS=TRUE&amp;DOC_NAME=FAT:FQL_AUDITING_CLIENT_TEMPLATE.FAT&amp;display_string=Audit&amp;VAR:KEY=LILGXARKVQ&amp;VAR:QUERY=RkZfRUJJVERBX0lCKCdMVE1TJywzOTgxMyk=&amp;WINDOW=FIRST_POPUP&amp;HEIGHT=450&amp;WIDTH=450&amp;START_MA","XIMIZED=FALSE&amp;VAR:CALENDAR=US&amp;VAR:SYMBOL=04916420&amp;VAR:INDEX=0"}</definedName>
    <definedName name="_9557__FDSAUDITLINK__" localSheetId="6" hidden="1">{"fdsup://directions/FAT Viewer?action=UPDATE&amp;creator=factset&amp;DYN_ARGS=TRUE&amp;DOC_NAME=FAT:FQL_AUDITING_CLIENT_TEMPLATE.FAT&amp;display_string=Audit&amp;VAR:KEY=HSPUJEJUTO&amp;VAR:QUERY=RkZfRUJJVERBX0lCKCdMVE1TJywzOTgxMik=&amp;WINDOW=FIRST_POPUP&amp;HEIGHT=450&amp;WIDTH=450&amp;START_MA","XIMIZED=FALSE&amp;VAR:CALENDAR=US&amp;VAR:SYMBOL=04916420&amp;VAR:INDEX=0"}</definedName>
    <definedName name="_9557__FDSAUDITLINK__" hidden="1">{"fdsup://directions/FAT Viewer?action=UPDATE&amp;creator=factset&amp;DYN_ARGS=TRUE&amp;DOC_NAME=FAT:FQL_AUDITING_CLIENT_TEMPLATE.FAT&amp;display_string=Audit&amp;VAR:KEY=HSPUJEJUTO&amp;VAR:QUERY=RkZfRUJJVERBX0lCKCdMVE1TJywzOTgxMik=&amp;WINDOW=FIRST_POPUP&amp;HEIGHT=450&amp;WIDTH=450&amp;START_MA","XIMIZED=FALSE&amp;VAR:CALENDAR=US&amp;VAR:SYMBOL=04916420&amp;VAR:INDEX=0"}</definedName>
    <definedName name="_9558__FDSAUDITLINK__" localSheetId="6" hidden="1">{"fdsup://directions/FAT Viewer?action=UPDATE&amp;creator=factset&amp;DYN_ARGS=TRUE&amp;DOC_NAME=FAT:FQL_AUDITING_CLIENT_TEMPLATE.FAT&amp;display_string=Audit&amp;VAR:KEY=DSFMXYDMHW&amp;VAR:QUERY=RkZfRUJJVERBX0lCKCdMVE1TJywzOTgxMSk=&amp;WINDOW=FIRST_POPUP&amp;HEIGHT=450&amp;WIDTH=450&amp;START_MA","XIMIZED=FALSE&amp;VAR:CALENDAR=US&amp;VAR:SYMBOL=04916420&amp;VAR:INDEX=0"}</definedName>
    <definedName name="_9558__FDSAUDITLINK__" hidden="1">{"fdsup://directions/FAT Viewer?action=UPDATE&amp;creator=factset&amp;DYN_ARGS=TRUE&amp;DOC_NAME=FAT:FQL_AUDITING_CLIENT_TEMPLATE.FAT&amp;display_string=Audit&amp;VAR:KEY=DSFMXYDMHW&amp;VAR:QUERY=RkZfRUJJVERBX0lCKCdMVE1TJywzOTgxMSk=&amp;WINDOW=FIRST_POPUP&amp;HEIGHT=450&amp;WIDTH=450&amp;START_MA","XIMIZED=FALSE&amp;VAR:CALENDAR=US&amp;VAR:SYMBOL=04916420&amp;VAR:INDEX=0"}</definedName>
    <definedName name="_9559__FDSAUDITLINK__" localSheetId="6" hidden="1">{"fdsup://directions/FAT Viewer?action=UPDATE&amp;creator=factset&amp;DYN_ARGS=TRUE&amp;DOC_NAME=FAT:FQL_AUDITING_CLIENT_TEMPLATE.FAT&amp;display_string=Audit&amp;VAR:KEY=NYDIPOZUHE&amp;VAR:QUERY=RkZfRUJJVERBX0lCKCdMVE1TJywzOTgxMCk=&amp;WINDOW=FIRST_POPUP&amp;HEIGHT=450&amp;WIDTH=450&amp;START_MA","XIMIZED=FALSE&amp;VAR:CALENDAR=US&amp;VAR:SYMBOL=04916420&amp;VAR:INDEX=0"}</definedName>
    <definedName name="_9559__FDSAUDITLINK__" hidden="1">{"fdsup://directions/FAT Viewer?action=UPDATE&amp;creator=factset&amp;DYN_ARGS=TRUE&amp;DOC_NAME=FAT:FQL_AUDITING_CLIENT_TEMPLATE.FAT&amp;display_string=Audit&amp;VAR:KEY=NYDIPOZUHE&amp;VAR:QUERY=RkZfRUJJVERBX0lCKCdMVE1TJywzOTgxMCk=&amp;WINDOW=FIRST_POPUP&amp;HEIGHT=450&amp;WIDTH=450&amp;START_MA","XIMIZED=FALSE&amp;VAR:CALENDAR=US&amp;VAR:SYMBOL=04916420&amp;VAR:INDEX=0"}</definedName>
    <definedName name="_956__FDSAUDITLINK__" localSheetId="6" hidden="1">{"fdsup://directions/FAT%20Viewer?VAR:PED=LTM&amp;VAR:AUDIT_MODE=SUMMARY&amp;VAR:PERIOD=FIXED&amp;VAR:AUDIT_ID=00000117&amp;VAR:DATE=20070711&amp;action=UPDATE&amp;creator=factset&amp;DOC_NAME=FAT:FMA_audit_SUMMARY.fat&amp;DISPLAY_STRING=Display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6__FDSAUDITLINK__" hidden="1">{"fdsup://directions/FAT%20Viewer?VAR:PED=LTM&amp;VAR:AUDIT_MODE=SUMMARY&amp;VAR:PERIOD=FIXED&amp;VAR:AUDIT_ID=00000117&amp;VAR:DATE=20070711&amp;action=UPDATE&amp;creator=factset&amp;DOC_NAME=FAT:FMA_audit_SUMMARY.fat&amp;DISPLAY_STRING=Display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60__FDSAUDITLINK__" localSheetId="6" hidden="1">{"fdsup://directions/FAT Viewer?action=UPDATE&amp;creator=factset&amp;DYN_ARGS=TRUE&amp;DOC_NAME=FAT:FQL_AUDITING_CLIENT_TEMPLATE.FAT&amp;display_string=Audit&amp;VAR:KEY=PIBEJGXEJK&amp;VAR:QUERY=RkZfRUJJVERBX0lCKCdMVE1TJywzOTgwOSk=&amp;WINDOW=FIRST_POPUP&amp;HEIGHT=450&amp;WIDTH=450&amp;START_MA","XIMIZED=FALSE&amp;VAR:CALENDAR=US&amp;VAR:SYMBOL=04916420&amp;VAR:INDEX=0"}</definedName>
    <definedName name="_9560__FDSAUDITLINK__" hidden="1">{"fdsup://directions/FAT Viewer?action=UPDATE&amp;creator=factset&amp;DYN_ARGS=TRUE&amp;DOC_NAME=FAT:FQL_AUDITING_CLIENT_TEMPLATE.FAT&amp;display_string=Audit&amp;VAR:KEY=PIBEJGXEJK&amp;VAR:QUERY=RkZfRUJJVERBX0lCKCdMVE1TJywzOTgwOSk=&amp;WINDOW=FIRST_POPUP&amp;HEIGHT=450&amp;WIDTH=450&amp;START_MA","XIMIZED=FALSE&amp;VAR:CALENDAR=US&amp;VAR:SYMBOL=04916420&amp;VAR:INDEX=0"}</definedName>
    <definedName name="_9561__FDSAUDITLINK__" localSheetId="6" hidden="1">{"fdsup://directions/FAT Viewer?action=UPDATE&amp;creator=factset&amp;DYN_ARGS=TRUE&amp;DOC_NAME=FAT:FQL_AUDITING_CLIENT_TEMPLATE.FAT&amp;display_string=Audit&amp;VAR:KEY=DITYNCDYJY&amp;VAR:QUERY=RkZfRUJJVERBX0lCKCdMVE1TJywzOTgwOCk=&amp;WINDOW=FIRST_POPUP&amp;HEIGHT=450&amp;WIDTH=450&amp;START_MA","XIMIZED=FALSE&amp;VAR:CALENDAR=US&amp;VAR:SYMBOL=04916420&amp;VAR:INDEX=0"}</definedName>
    <definedName name="_9561__FDSAUDITLINK__" hidden="1">{"fdsup://directions/FAT Viewer?action=UPDATE&amp;creator=factset&amp;DYN_ARGS=TRUE&amp;DOC_NAME=FAT:FQL_AUDITING_CLIENT_TEMPLATE.FAT&amp;display_string=Audit&amp;VAR:KEY=DITYNCDYJY&amp;VAR:QUERY=RkZfRUJJVERBX0lCKCdMVE1TJywzOTgwOCk=&amp;WINDOW=FIRST_POPUP&amp;HEIGHT=450&amp;WIDTH=450&amp;START_MA","XIMIZED=FALSE&amp;VAR:CALENDAR=US&amp;VAR:SYMBOL=04916420&amp;VAR:INDEX=0"}</definedName>
    <definedName name="_9562__FDSAUDITLINK__" localSheetId="6" hidden="1">{"fdsup://directions/FAT Viewer?action=UPDATE&amp;creator=factset&amp;DYN_ARGS=TRUE&amp;DOC_NAME=FAT:FQL_AUDITING_CLIENT_TEMPLATE.FAT&amp;display_string=Audit&amp;VAR:KEY=ZIHMXYZKHE&amp;VAR:QUERY=RkZfRUJJVERBX0lCKCdMVE1TJywzOTgwNyk=&amp;WINDOW=FIRST_POPUP&amp;HEIGHT=450&amp;WIDTH=450&amp;START_MA","XIMIZED=FALSE&amp;VAR:CALENDAR=US&amp;VAR:SYMBOL=04916420&amp;VAR:INDEX=0"}</definedName>
    <definedName name="_9562__FDSAUDITLINK__" hidden="1">{"fdsup://directions/FAT Viewer?action=UPDATE&amp;creator=factset&amp;DYN_ARGS=TRUE&amp;DOC_NAME=FAT:FQL_AUDITING_CLIENT_TEMPLATE.FAT&amp;display_string=Audit&amp;VAR:KEY=ZIHMXYZKHE&amp;VAR:QUERY=RkZfRUJJVERBX0lCKCdMVE1TJywzOTgwNyk=&amp;WINDOW=FIRST_POPUP&amp;HEIGHT=450&amp;WIDTH=450&amp;START_MA","XIMIZED=FALSE&amp;VAR:CALENDAR=US&amp;VAR:SYMBOL=04916420&amp;VAR:INDEX=0"}</definedName>
    <definedName name="_9563__FDSAUDITLINK__" localSheetId="6" hidden="1">{"fdsup://directions/FAT Viewer?action=UPDATE&amp;creator=factset&amp;DYN_ARGS=TRUE&amp;DOC_NAME=FAT:FQL_AUDITING_CLIENT_TEMPLATE.FAT&amp;display_string=Audit&amp;VAR:KEY=HATATUBSLQ&amp;VAR:QUERY=RkZfRUJJVERBX0lCKCdMVE1TJywzOTgwNik=&amp;WINDOW=FIRST_POPUP&amp;HEIGHT=450&amp;WIDTH=450&amp;START_MA","XIMIZED=FALSE&amp;VAR:CALENDAR=US&amp;VAR:SYMBOL=04916420&amp;VAR:INDEX=0"}</definedName>
    <definedName name="_9563__FDSAUDITLINK__" hidden="1">{"fdsup://directions/FAT Viewer?action=UPDATE&amp;creator=factset&amp;DYN_ARGS=TRUE&amp;DOC_NAME=FAT:FQL_AUDITING_CLIENT_TEMPLATE.FAT&amp;display_string=Audit&amp;VAR:KEY=HATATUBSLQ&amp;VAR:QUERY=RkZfRUJJVERBX0lCKCdMVE1TJywzOTgwNik=&amp;WINDOW=FIRST_POPUP&amp;HEIGHT=450&amp;WIDTH=450&amp;START_MA","XIMIZED=FALSE&amp;VAR:CALENDAR=US&amp;VAR:SYMBOL=04916420&amp;VAR:INDEX=0"}</definedName>
    <definedName name="_9564__FDSAUDITLINK__" localSheetId="6" hidden="1">{"fdsup://directions/FAT Viewer?action=UPDATE&amp;creator=factset&amp;DYN_ARGS=TRUE&amp;DOC_NAME=FAT:FQL_AUDITING_CLIENT_TEMPLATE.FAT&amp;display_string=Audit&amp;VAR:KEY=JGZSTMJOLA&amp;VAR:QUERY=RkZfRUJJVERBX0lCKCdMVE1TJywzOTgwNSk=&amp;WINDOW=FIRST_POPUP&amp;HEIGHT=450&amp;WIDTH=450&amp;START_MA","XIMIZED=FALSE&amp;VAR:CALENDAR=US&amp;VAR:SYMBOL=04916420&amp;VAR:INDEX=0"}</definedName>
    <definedName name="_9564__FDSAUDITLINK__" hidden="1">{"fdsup://directions/FAT Viewer?action=UPDATE&amp;creator=factset&amp;DYN_ARGS=TRUE&amp;DOC_NAME=FAT:FQL_AUDITING_CLIENT_TEMPLATE.FAT&amp;display_string=Audit&amp;VAR:KEY=JGZSTMJOLA&amp;VAR:QUERY=RkZfRUJJVERBX0lCKCdMVE1TJywzOTgwNSk=&amp;WINDOW=FIRST_POPUP&amp;HEIGHT=450&amp;WIDTH=450&amp;START_MA","XIMIZED=FALSE&amp;VAR:CALENDAR=US&amp;VAR:SYMBOL=04916420&amp;VAR:INDEX=0"}</definedName>
    <definedName name="_9565__FDSAUDITLINK__" localSheetId="6" hidden="1">{"fdsup://directions/FAT Viewer?action=UPDATE&amp;creator=factset&amp;DYN_ARGS=TRUE&amp;DOC_NAME=FAT:FQL_AUDITING_CLIENT_TEMPLATE.FAT&amp;display_string=Audit&amp;VAR:KEY=RQNCBMDGVQ&amp;VAR:QUERY=RkZfRUJJVERBX0lCKCdMVE1TJywzOTgwNCk=&amp;WINDOW=FIRST_POPUP&amp;HEIGHT=450&amp;WIDTH=450&amp;START_MA","XIMIZED=FALSE&amp;VAR:CALENDAR=US&amp;VAR:SYMBOL=04916420&amp;VAR:INDEX=0"}</definedName>
    <definedName name="_9565__FDSAUDITLINK__" hidden="1">{"fdsup://directions/FAT Viewer?action=UPDATE&amp;creator=factset&amp;DYN_ARGS=TRUE&amp;DOC_NAME=FAT:FQL_AUDITING_CLIENT_TEMPLATE.FAT&amp;display_string=Audit&amp;VAR:KEY=RQNCBMDGVQ&amp;VAR:QUERY=RkZfRUJJVERBX0lCKCdMVE1TJywzOTgwNCk=&amp;WINDOW=FIRST_POPUP&amp;HEIGHT=450&amp;WIDTH=450&amp;START_MA","XIMIZED=FALSE&amp;VAR:CALENDAR=US&amp;VAR:SYMBOL=04916420&amp;VAR:INDEX=0"}</definedName>
    <definedName name="_9566__FDSAUDITLINK__" localSheetId="6" hidden="1">{"fdsup://directions/FAT Viewer?action=UPDATE&amp;creator=factset&amp;DYN_ARGS=TRUE&amp;DOC_NAME=FAT:FQL_AUDITING_CLIENT_TEMPLATE.FAT&amp;display_string=Audit&amp;VAR:KEY=FONITSNELQ&amp;VAR:QUERY=RkZfRUJJVERBX0lCKCdMVE1TJywzOTgwMyk=&amp;WINDOW=FIRST_POPUP&amp;HEIGHT=450&amp;WIDTH=450&amp;START_MA","XIMIZED=FALSE&amp;VAR:CALENDAR=US&amp;VAR:SYMBOL=04916420&amp;VAR:INDEX=0"}</definedName>
    <definedName name="_9566__FDSAUDITLINK__" hidden="1">{"fdsup://directions/FAT Viewer?action=UPDATE&amp;creator=factset&amp;DYN_ARGS=TRUE&amp;DOC_NAME=FAT:FQL_AUDITING_CLIENT_TEMPLATE.FAT&amp;display_string=Audit&amp;VAR:KEY=FONITSNELQ&amp;VAR:QUERY=RkZfRUJJVERBX0lCKCdMVE1TJywzOTgwMyk=&amp;WINDOW=FIRST_POPUP&amp;HEIGHT=450&amp;WIDTH=450&amp;START_MA","XIMIZED=FALSE&amp;VAR:CALENDAR=US&amp;VAR:SYMBOL=04916420&amp;VAR:INDEX=0"}</definedName>
    <definedName name="_9567__FDSAUDITLINK__" localSheetId="6" hidden="1">{"fdsup://directions/FAT Viewer?action=UPDATE&amp;creator=factset&amp;DYN_ARGS=TRUE&amp;DOC_NAME=FAT:FQL_AUDITING_CLIENT_TEMPLATE.FAT&amp;display_string=Audit&amp;VAR:KEY=VEVCBWTEBK&amp;VAR:QUERY=RkZfRUJJVERBX0lCKCdMVE1TJywzOTgwMik=&amp;WINDOW=FIRST_POPUP&amp;HEIGHT=450&amp;WIDTH=450&amp;START_MA","XIMIZED=FALSE&amp;VAR:CALENDAR=US&amp;VAR:SYMBOL=04916420&amp;VAR:INDEX=0"}</definedName>
    <definedName name="_9567__FDSAUDITLINK__" hidden="1">{"fdsup://directions/FAT Viewer?action=UPDATE&amp;creator=factset&amp;DYN_ARGS=TRUE&amp;DOC_NAME=FAT:FQL_AUDITING_CLIENT_TEMPLATE.FAT&amp;display_string=Audit&amp;VAR:KEY=VEVCBWTEBK&amp;VAR:QUERY=RkZfRUJJVERBX0lCKCdMVE1TJywzOTgwMik=&amp;WINDOW=FIRST_POPUP&amp;HEIGHT=450&amp;WIDTH=450&amp;START_MA","XIMIZED=FALSE&amp;VAR:CALENDAR=US&amp;VAR:SYMBOL=04916420&amp;VAR:INDEX=0"}</definedName>
    <definedName name="_9568__FDSAUDITLINK__" localSheetId="6" hidden="1">{"fdsup://directions/FAT Viewer?action=UPDATE&amp;creator=factset&amp;DYN_ARGS=TRUE&amp;DOC_NAME=FAT:FQL_AUDITING_CLIENT_TEMPLATE.FAT&amp;display_string=Audit&amp;VAR:KEY=PYHYTIPUPO&amp;VAR:QUERY=RkZfRUJJVERBX0lCKCdMVE1TJywzOTgwMSk=&amp;WINDOW=FIRST_POPUP&amp;HEIGHT=450&amp;WIDTH=450&amp;START_MA","XIMIZED=FALSE&amp;VAR:CALENDAR=US&amp;VAR:SYMBOL=04916420&amp;VAR:INDEX=0"}</definedName>
    <definedName name="_9568__FDSAUDITLINK__" hidden="1">{"fdsup://directions/FAT Viewer?action=UPDATE&amp;creator=factset&amp;DYN_ARGS=TRUE&amp;DOC_NAME=FAT:FQL_AUDITING_CLIENT_TEMPLATE.FAT&amp;display_string=Audit&amp;VAR:KEY=PYHYTIPUPO&amp;VAR:QUERY=RkZfRUJJVERBX0lCKCdMVE1TJywzOTgwMSk=&amp;WINDOW=FIRST_POPUP&amp;HEIGHT=450&amp;WIDTH=450&amp;START_MA","XIMIZED=FALSE&amp;VAR:CALENDAR=US&amp;VAR:SYMBOL=04916420&amp;VAR:INDEX=0"}</definedName>
    <definedName name="_9569__FDSAUDITLINK__" localSheetId="6" hidden="1">{"fdsup://directions/FAT Viewer?action=UPDATE&amp;creator=factset&amp;DYN_ARGS=TRUE&amp;DOC_NAME=FAT:FQL_AUDITING_CLIENT_TEMPLATE.FAT&amp;display_string=Audit&amp;VAR:KEY=VKVORKJOPI&amp;VAR:QUERY=RkZfRUJJVERBX0lCKCdMVE1TJywzOTgwMCk=&amp;WINDOW=FIRST_POPUP&amp;HEIGHT=450&amp;WIDTH=450&amp;START_MA","XIMIZED=FALSE&amp;VAR:CALENDAR=US&amp;VAR:SYMBOL=04916420&amp;VAR:INDEX=0"}</definedName>
    <definedName name="_9569__FDSAUDITLINK__" hidden="1">{"fdsup://directions/FAT Viewer?action=UPDATE&amp;creator=factset&amp;DYN_ARGS=TRUE&amp;DOC_NAME=FAT:FQL_AUDITING_CLIENT_TEMPLATE.FAT&amp;display_string=Audit&amp;VAR:KEY=VKVORKJOPI&amp;VAR:QUERY=RkZfRUJJVERBX0lCKCdMVE1TJywzOTgwMCk=&amp;WINDOW=FIRST_POPUP&amp;HEIGHT=450&amp;WIDTH=450&amp;START_MA","XIMIZED=FALSE&amp;VAR:CALENDAR=US&amp;VAR:SYMBOL=04916420&amp;VAR:INDEX=0"}</definedName>
    <definedName name="_957__FDSAUDITLINK__" localSheetId="6" hidden="1">{"fdsup://directions/FAT%20Viewer?VAR:PED=LTM&amp;VAR:AUDIT_MODE=SUMMARY&amp;VAR:PERIOD=FIXED&amp;VAR:AUDIT_ID=00000117&amp;VAR:DATE=20070710&amp;action=UPDATE&amp;creator=factset&amp;DOC_NAME=FAT:FMA_audit_SUMMARY.fat&amp;DISPLAY_STRING=Display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7__FDSAUDITLINK__" hidden="1">{"fdsup://directions/FAT%20Viewer?VAR:PED=LTM&amp;VAR:AUDIT_MODE=SUMMARY&amp;VAR:PERIOD=FIXED&amp;VAR:AUDIT_ID=00000117&amp;VAR:DATE=20070710&amp;action=UPDATE&amp;creator=factset&amp;DOC_NAME=FAT:FMA_audit_SUMMARY.fat&amp;DISPLAY_STRING=Display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70__FDSAUDITLINK__" localSheetId="6" hidden="1">{"fdsup://directions/FAT Viewer?action=UPDATE&amp;creator=factset&amp;DYN_ARGS=TRUE&amp;DOC_NAME=FAT:FQL_AUDITING_CLIENT_TEMPLATE.FAT&amp;display_string=Audit&amp;VAR:KEY=ZSNWVQHKRY&amp;VAR:QUERY=RkZfRUJJVERBX0lCKCdMVE1TJywzOTc5OSk=&amp;WINDOW=FIRST_POPUP&amp;HEIGHT=450&amp;WIDTH=450&amp;START_MA","XIMIZED=FALSE&amp;VAR:CALENDAR=US&amp;VAR:SYMBOL=04916420&amp;VAR:INDEX=0"}</definedName>
    <definedName name="_9570__FDSAUDITLINK__" hidden="1">{"fdsup://directions/FAT Viewer?action=UPDATE&amp;creator=factset&amp;DYN_ARGS=TRUE&amp;DOC_NAME=FAT:FQL_AUDITING_CLIENT_TEMPLATE.FAT&amp;display_string=Audit&amp;VAR:KEY=ZSNWVQHKRY&amp;VAR:QUERY=RkZfRUJJVERBX0lCKCdMVE1TJywzOTc5OSk=&amp;WINDOW=FIRST_POPUP&amp;HEIGHT=450&amp;WIDTH=450&amp;START_MA","XIMIZED=FALSE&amp;VAR:CALENDAR=US&amp;VAR:SYMBOL=04916420&amp;VAR:INDEX=0"}</definedName>
    <definedName name="_9571__FDSAUDITLINK__" localSheetId="6" hidden="1">{"fdsup://directions/FAT Viewer?action=UPDATE&amp;creator=factset&amp;DYN_ARGS=TRUE&amp;DOC_NAME=FAT:FQL_AUDITING_CLIENT_TEMPLATE.FAT&amp;display_string=Audit&amp;VAR:KEY=NALMTIFGDU&amp;VAR:QUERY=RkZfRUJJVERBX0lCKCdMVE1TJywzOTc5OCk=&amp;WINDOW=FIRST_POPUP&amp;HEIGHT=450&amp;WIDTH=450&amp;START_MA","XIMIZED=FALSE&amp;VAR:CALENDAR=US&amp;VAR:SYMBOL=04916420&amp;VAR:INDEX=0"}</definedName>
    <definedName name="_9571__FDSAUDITLINK__" hidden="1">{"fdsup://directions/FAT Viewer?action=UPDATE&amp;creator=factset&amp;DYN_ARGS=TRUE&amp;DOC_NAME=FAT:FQL_AUDITING_CLIENT_TEMPLATE.FAT&amp;display_string=Audit&amp;VAR:KEY=NALMTIFGDU&amp;VAR:QUERY=RkZfRUJJVERBX0lCKCdMVE1TJywzOTc5OCk=&amp;WINDOW=FIRST_POPUP&amp;HEIGHT=450&amp;WIDTH=450&amp;START_MA","XIMIZED=FALSE&amp;VAR:CALENDAR=US&amp;VAR:SYMBOL=04916420&amp;VAR:INDEX=0"}</definedName>
    <definedName name="_9572__FDSAUDITLINK__" localSheetId="6" hidden="1">{"fdsup://directions/FAT Viewer?action=UPDATE&amp;creator=factset&amp;DYN_ARGS=TRUE&amp;DOC_NAME=FAT:FQL_AUDITING_CLIENT_TEMPLATE.FAT&amp;display_string=Audit&amp;VAR:KEY=FSPGBMPCNE&amp;VAR:QUERY=RkZfRUJJVERBX0lCKCdMVE1TJywzOTc5Nyk=&amp;WINDOW=FIRST_POPUP&amp;HEIGHT=450&amp;WIDTH=450&amp;START_MA","XIMIZED=FALSE&amp;VAR:CALENDAR=US&amp;VAR:SYMBOL=04916420&amp;VAR:INDEX=0"}</definedName>
    <definedName name="_9572__FDSAUDITLINK__" hidden="1">{"fdsup://directions/FAT Viewer?action=UPDATE&amp;creator=factset&amp;DYN_ARGS=TRUE&amp;DOC_NAME=FAT:FQL_AUDITING_CLIENT_TEMPLATE.FAT&amp;display_string=Audit&amp;VAR:KEY=FSPGBMPCNE&amp;VAR:QUERY=RkZfRUJJVERBX0lCKCdMVE1TJywzOTc5Nyk=&amp;WINDOW=FIRST_POPUP&amp;HEIGHT=450&amp;WIDTH=450&amp;START_MA","XIMIZED=FALSE&amp;VAR:CALENDAR=US&amp;VAR:SYMBOL=04916420&amp;VAR:INDEX=0"}</definedName>
    <definedName name="_9573__FDSAUDITLINK__" localSheetId="6" hidden="1">{"fdsup://directions/FAT Viewer?action=UPDATE&amp;creator=factset&amp;DYN_ARGS=TRUE&amp;DOC_NAME=FAT:FQL_AUDITING_CLIENT_TEMPLATE.FAT&amp;display_string=Audit&amp;VAR:KEY=LWDCHEJSLW&amp;VAR:QUERY=RkZfRUJJVERBX0lCKCdMVE1TJywzOTc5Nik=&amp;WINDOW=FIRST_POPUP&amp;HEIGHT=450&amp;WIDTH=450&amp;START_MA","XIMIZED=FALSE&amp;VAR:CALENDAR=US&amp;VAR:SYMBOL=04916420&amp;VAR:INDEX=0"}</definedName>
    <definedName name="_9573__FDSAUDITLINK__" hidden="1">{"fdsup://directions/FAT Viewer?action=UPDATE&amp;creator=factset&amp;DYN_ARGS=TRUE&amp;DOC_NAME=FAT:FQL_AUDITING_CLIENT_TEMPLATE.FAT&amp;display_string=Audit&amp;VAR:KEY=LWDCHEJSLW&amp;VAR:QUERY=RkZfRUJJVERBX0lCKCdMVE1TJywzOTc5Nik=&amp;WINDOW=FIRST_POPUP&amp;HEIGHT=450&amp;WIDTH=450&amp;START_MA","XIMIZED=FALSE&amp;VAR:CALENDAR=US&amp;VAR:SYMBOL=04916420&amp;VAR:INDEX=0"}</definedName>
    <definedName name="_9574__FDSAUDITLINK__" localSheetId="6" hidden="1">{"fdsup://directions/FAT Viewer?action=UPDATE&amp;creator=factset&amp;DYN_ARGS=TRUE&amp;DOC_NAME=FAT:FQL_AUDITING_CLIENT_TEMPLATE.FAT&amp;display_string=Audit&amp;VAR:KEY=RCXKZQBEBU&amp;VAR:QUERY=RkZfRUJJVERBX0lCKCdMVE1TJywzOTc5NSk=&amp;WINDOW=FIRST_POPUP&amp;HEIGHT=450&amp;WIDTH=450&amp;START_MA","XIMIZED=FALSE&amp;VAR:CALENDAR=US&amp;VAR:SYMBOL=04916420&amp;VAR:INDEX=0"}</definedName>
    <definedName name="_9574__FDSAUDITLINK__" hidden="1">{"fdsup://directions/FAT Viewer?action=UPDATE&amp;creator=factset&amp;DYN_ARGS=TRUE&amp;DOC_NAME=FAT:FQL_AUDITING_CLIENT_TEMPLATE.FAT&amp;display_string=Audit&amp;VAR:KEY=RCXKZQBEBU&amp;VAR:QUERY=RkZfRUJJVERBX0lCKCdMVE1TJywzOTc5NSk=&amp;WINDOW=FIRST_POPUP&amp;HEIGHT=450&amp;WIDTH=450&amp;START_MA","XIMIZED=FALSE&amp;VAR:CALENDAR=US&amp;VAR:SYMBOL=04916420&amp;VAR:INDEX=0"}</definedName>
    <definedName name="_9575__FDSAUDITLINK__" localSheetId="6" hidden="1">{"fdsup://directions/FAT Viewer?action=UPDATE&amp;creator=factset&amp;DYN_ARGS=TRUE&amp;DOC_NAME=FAT:FQL_AUDITING_CLIENT_TEMPLATE.FAT&amp;display_string=Audit&amp;VAR:KEY=FSVUFMRSPM&amp;VAR:QUERY=RkZfRUJJVERBX0lCKCdMVE1TJywzOTc5NCk=&amp;WINDOW=FIRST_POPUP&amp;HEIGHT=450&amp;WIDTH=450&amp;START_MA","XIMIZED=FALSE&amp;VAR:CALENDAR=US&amp;VAR:SYMBOL=04916420&amp;VAR:INDEX=0"}</definedName>
    <definedName name="_9575__FDSAUDITLINK__" hidden="1">{"fdsup://directions/FAT Viewer?action=UPDATE&amp;creator=factset&amp;DYN_ARGS=TRUE&amp;DOC_NAME=FAT:FQL_AUDITING_CLIENT_TEMPLATE.FAT&amp;display_string=Audit&amp;VAR:KEY=FSVUFMRSPM&amp;VAR:QUERY=RkZfRUJJVERBX0lCKCdMVE1TJywzOTc5NCk=&amp;WINDOW=FIRST_POPUP&amp;HEIGHT=450&amp;WIDTH=450&amp;START_MA","XIMIZED=FALSE&amp;VAR:CALENDAR=US&amp;VAR:SYMBOL=04916420&amp;VAR:INDEX=0"}</definedName>
    <definedName name="_9576__FDSAUDITLINK__" localSheetId="6" hidden="1">{"fdsup://directions/FAT Viewer?action=UPDATE&amp;creator=factset&amp;DYN_ARGS=TRUE&amp;DOC_NAME=FAT:FQL_AUDITING_CLIENT_TEMPLATE.FAT&amp;display_string=Audit&amp;VAR:KEY=XARYJETWVQ&amp;VAR:QUERY=RkZfRUJJVERBX0lCKCdMVE1TJywzOTc5Myk=&amp;WINDOW=FIRST_POPUP&amp;HEIGHT=450&amp;WIDTH=450&amp;START_MA","XIMIZED=FALSE&amp;VAR:CALENDAR=US&amp;VAR:SYMBOL=04916420&amp;VAR:INDEX=0"}</definedName>
    <definedName name="_9576__FDSAUDITLINK__" hidden="1">{"fdsup://directions/FAT Viewer?action=UPDATE&amp;creator=factset&amp;DYN_ARGS=TRUE&amp;DOC_NAME=FAT:FQL_AUDITING_CLIENT_TEMPLATE.FAT&amp;display_string=Audit&amp;VAR:KEY=XARYJETWVQ&amp;VAR:QUERY=RkZfRUJJVERBX0lCKCdMVE1TJywzOTc5Myk=&amp;WINDOW=FIRST_POPUP&amp;HEIGHT=450&amp;WIDTH=450&amp;START_MA","XIMIZED=FALSE&amp;VAR:CALENDAR=US&amp;VAR:SYMBOL=04916420&amp;VAR:INDEX=0"}</definedName>
    <definedName name="_9577__FDSAUDITLINK__" localSheetId="6" hidden="1">{"fdsup://directions/FAT Viewer?action=UPDATE&amp;creator=factset&amp;DYN_ARGS=TRUE&amp;DOC_NAME=FAT:FQL_AUDITING_CLIENT_TEMPLATE.FAT&amp;display_string=Audit&amp;VAR:KEY=DMPYFMBGFG&amp;VAR:QUERY=RkZfRUJJVERBX0lCKCdMVE1TJywzOTc5Mik=&amp;WINDOW=FIRST_POPUP&amp;HEIGHT=450&amp;WIDTH=450&amp;START_MA","XIMIZED=FALSE&amp;VAR:CALENDAR=US&amp;VAR:SYMBOL=04916420&amp;VAR:INDEX=0"}</definedName>
    <definedName name="_9577__FDSAUDITLINK__" hidden="1">{"fdsup://directions/FAT Viewer?action=UPDATE&amp;creator=factset&amp;DYN_ARGS=TRUE&amp;DOC_NAME=FAT:FQL_AUDITING_CLIENT_TEMPLATE.FAT&amp;display_string=Audit&amp;VAR:KEY=DMPYFMBGFG&amp;VAR:QUERY=RkZfRUJJVERBX0lCKCdMVE1TJywzOTc5Mik=&amp;WINDOW=FIRST_POPUP&amp;HEIGHT=450&amp;WIDTH=450&amp;START_MA","XIMIZED=FALSE&amp;VAR:CALENDAR=US&amp;VAR:SYMBOL=04916420&amp;VAR:INDEX=0"}</definedName>
    <definedName name="_9578__FDSAUDITLINK__" localSheetId="6" hidden="1">{"fdsup://directions/FAT Viewer?action=UPDATE&amp;creator=factset&amp;DYN_ARGS=TRUE&amp;DOC_NAME=FAT:FQL_AUDITING_CLIENT_TEMPLATE.FAT&amp;display_string=Audit&amp;VAR:KEY=HMLCLIVKRE&amp;VAR:QUERY=RkZfRUJJVERBX0lCKCdMVE1TJywzOTc5MSk=&amp;WINDOW=FIRST_POPUP&amp;HEIGHT=450&amp;WIDTH=450&amp;START_MA","XIMIZED=FALSE&amp;VAR:CALENDAR=US&amp;VAR:SYMBOL=04916420&amp;VAR:INDEX=0"}</definedName>
    <definedName name="_9578__FDSAUDITLINK__" hidden="1">{"fdsup://directions/FAT Viewer?action=UPDATE&amp;creator=factset&amp;DYN_ARGS=TRUE&amp;DOC_NAME=FAT:FQL_AUDITING_CLIENT_TEMPLATE.FAT&amp;display_string=Audit&amp;VAR:KEY=HMLCLIVKRE&amp;VAR:QUERY=RkZfRUJJVERBX0lCKCdMVE1TJywzOTc5MSk=&amp;WINDOW=FIRST_POPUP&amp;HEIGHT=450&amp;WIDTH=450&amp;START_MA","XIMIZED=FALSE&amp;VAR:CALENDAR=US&amp;VAR:SYMBOL=04916420&amp;VAR:INDEX=0"}</definedName>
    <definedName name="_9579__FDSAUDITLINK__" localSheetId="6" hidden="1">{"fdsup://directions/FAT Viewer?action=UPDATE&amp;creator=factset&amp;DYN_ARGS=TRUE&amp;DOC_NAME=FAT:FQL_AUDITING_CLIENT_TEMPLATE.FAT&amp;display_string=Audit&amp;VAR:KEY=BUPCJCDEFI&amp;VAR:QUERY=RkZfRUJJVERBX0lCKCdMVE1TJywzOTc5MCk=&amp;WINDOW=FIRST_POPUP&amp;HEIGHT=450&amp;WIDTH=450&amp;START_MA","XIMIZED=FALSE&amp;VAR:CALENDAR=US&amp;VAR:SYMBOL=04916420&amp;VAR:INDEX=0"}</definedName>
    <definedName name="_9579__FDSAUDITLINK__" hidden="1">{"fdsup://directions/FAT Viewer?action=UPDATE&amp;creator=factset&amp;DYN_ARGS=TRUE&amp;DOC_NAME=FAT:FQL_AUDITING_CLIENT_TEMPLATE.FAT&amp;display_string=Audit&amp;VAR:KEY=BUPCJCDEFI&amp;VAR:QUERY=RkZfRUJJVERBX0lCKCdMVE1TJywzOTc5MCk=&amp;WINDOW=FIRST_POPUP&amp;HEIGHT=450&amp;WIDTH=450&amp;START_MA","XIMIZED=FALSE&amp;VAR:CALENDAR=US&amp;VAR:SYMBOL=04916420&amp;VAR:INDEX=0"}</definedName>
    <definedName name="_958__FDSAUDITLINK__" localSheetId="6" hidden="1">{"fdsup://directions/FAT%20Viewer?VAR:PED=LTM&amp;VAR:AUDIT_MODE=SUMMARY&amp;VAR:PERIOD=FIXED&amp;VAR:AUDIT_ID=00000117&amp;VAR:DATE=20070709&amp;action=UPDATE&amp;creator=factset&amp;DOC_NAME=FAT:FMA_audit_SUMMARY.fat&amp;DISPLAY_STRING=Display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8__FDSAUDITLINK__" hidden="1">{"fdsup://directions/FAT%20Viewer?VAR:PED=LTM&amp;VAR:AUDIT_MODE=SUMMARY&amp;VAR:PERIOD=FIXED&amp;VAR:AUDIT_ID=00000117&amp;VAR:DATE=20070709&amp;action=UPDATE&amp;creator=factset&amp;DOC_NAME=FAT:FMA_audit_SUMMARY.fat&amp;DISPLAY_STRING=Display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80__FDSAUDITLINK__" localSheetId="6" hidden="1">{"fdsup://directions/FAT Viewer?action=UPDATE&amp;creator=factset&amp;DYN_ARGS=TRUE&amp;DOC_NAME=FAT:FQL_AUDITING_CLIENT_TEMPLATE.FAT&amp;display_string=Audit&amp;VAR:KEY=ZCBUNYNGTC&amp;VAR:QUERY=RkZfRUJJVERBX0lCKCdMVE1TJywzOTc4OSk=&amp;WINDOW=FIRST_POPUP&amp;HEIGHT=450&amp;WIDTH=450&amp;START_MA","XIMIZED=FALSE&amp;VAR:CALENDAR=US&amp;VAR:SYMBOL=04916420&amp;VAR:INDEX=0"}</definedName>
    <definedName name="_9580__FDSAUDITLINK__" hidden="1">{"fdsup://directions/FAT Viewer?action=UPDATE&amp;creator=factset&amp;DYN_ARGS=TRUE&amp;DOC_NAME=FAT:FQL_AUDITING_CLIENT_TEMPLATE.FAT&amp;display_string=Audit&amp;VAR:KEY=ZCBUNYNGTC&amp;VAR:QUERY=RkZfRUJJVERBX0lCKCdMVE1TJywzOTc4OSk=&amp;WINDOW=FIRST_POPUP&amp;HEIGHT=450&amp;WIDTH=450&amp;START_MA","XIMIZED=FALSE&amp;VAR:CALENDAR=US&amp;VAR:SYMBOL=04916420&amp;VAR:INDEX=0"}</definedName>
    <definedName name="_9581__FDSAUDITLINK__" localSheetId="6" hidden="1">{"fdsup://directions/FAT Viewer?action=UPDATE&amp;creator=factset&amp;DYN_ARGS=TRUE&amp;DOC_NAME=FAT:FQL_AUDITING_CLIENT_TEMPLATE.FAT&amp;display_string=Audit&amp;VAR:KEY=RSHCNEJSDI&amp;VAR:QUERY=RkZfRUJJVERBX0lCKCdMVE1TJywzOTc4OCk=&amp;WINDOW=FIRST_POPUP&amp;HEIGHT=450&amp;WIDTH=450&amp;START_MA","XIMIZED=FALSE&amp;VAR:CALENDAR=US&amp;VAR:SYMBOL=04916420&amp;VAR:INDEX=0"}</definedName>
    <definedName name="_9581__FDSAUDITLINK__" hidden="1">{"fdsup://directions/FAT Viewer?action=UPDATE&amp;creator=factset&amp;DYN_ARGS=TRUE&amp;DOC_NAME=FAT:FQL_AUDITING_CLIENT_TEMPLATE.FAT&amp;display_string=Audit&amp;VAR:KEY=RSHCNEJSDI&amp;VAR:QUERY=RkZfRUJJVERBX0lCKCdMVE1TJywzOTc4OCk=&amp;WINDOW=FIRST_POPUP&amp;HEIGHT=450&amp;WIDTH=450&amp;START_MA","XIMIZED=FALSE&amp;VAR:CALENDAR=US&amp;VAR:SYMBOL=04916420&amp;VAR:INDEX=0"}</definedName>
    <definedName name="_9582__FDSAUDITLINK__" localSheetId="6" hidden="1">{"fdsup://directions/FAT Viewer?action=UPDATE&amp;creator=factset&amp;DYN_ARGS=TRUE&amp;DOC_NAME=FAT:FQL_AUDITING_CLIENT_TEMPLATE.FAT&amp;display_string=Audit&amp;VAR:KEY=FQPEDCZGXG&amp;VAR:QUERY=RkZfRUJJVERBX0lCKCdMVE1TJywzOTc4Nyk=&amp;WINDOW=FIRST_POPUP&amp;HEIGHT=450&amp;WIDTH=450&amp;START_MA","XIMIZED=FALSE&amp;VAR:CALENDAR=US&amp;VAR:SYMBOL=04916420&amp;VAR:INDEX=0"}</definedName>
    <definedName name="_9582__FDSAUDITLINK__" hidden="1">{"fdsup://directions/FAT Viewer?action=UPDATE&amp;creator=factset&amp;DYN_ARGS=TRUE&amp;DOC_NAME=FAT:FQL_AUDITING_CLIENT_TEMPLATE.FAT&amp;display_string=Audit&amp;VAR:KEY=FQPEDCZGXG&amp;VAR:QUERY=RkZfRUJJVERBX0lCKCdMVE1TJywzOTc4Nyk=&amp;WINDOW=FIRST_POPUP&amp;HEIGHT=450&amp;WIDTH=450&amp;START_MA","XIMIZED=FALSE&amp;VAR:CALENDAR=US&amp;VAR:SYMBOL=04916420&amp;VAR:INDEX=0"}</definedName>
    <definedName name="_9583__FDSAUDITLINK__" localSheetId="6" hidden="1">{"fdsup://directions/FAT Viewer?action=UPDATE&amp;creator=factset&amp;DYN_ARGS=TRUE&amp;DOC_NAME=FAT:FQL_AUDITING_CLIENT_TEMPLATE.FAT&amp;display_string=Audit&amp;VAR:KEY=FWDGJONYDY&amp;VAR:QUERY=RkZfRUJJVERBX0lCKCdMVE1TJywzOTc4Nik=&amp;WINDOW=FIRST_POPUP&amp;HEIGHT=450&amp;WIDTH=450&amp;START_MA","XIMIZED=FALSE&amp;VAR:CALENDAR=US&amp;VAR:SYMBOL=04916420&amp;VAR:INDEX=0"}</definedName>
    <definedName name="_9583__FDSAUDITLINK__" hidden="1">{"fdsup://directions/FAT Viewer?action=UPDATE&amp;creator=factset&amp;DYN_ARGS=TRUE&amp;DOC_NAME=FAT:FQL_AUDITING_CLIENT_TEMPLATE.FAT&amp;display_string=Audit&amp;VAR:KEY=FWDGJONYDY&amp;VAR:QUERY=RkZfRUJJVERBX0lCKCdMVE1TJywzOTc4Nik=&amp;WINDOW=FIRST_POPUP&amp;HEIGHT=450&amp;WIDTH=450&amp;START_MA","XIMIZED=FALSE&amp;VAR:CALENDAR=US&amp;VAR:SYMBOL=04916420&amp;VAR:INDEX=0"}</definedName>
    <definedName name="_9584__FDSAUDITLINK__" localSheetId="6" hidden="1">{"fdsup://directions/FAT Viewer?action=UPDATE&amp;creator=factset&amp;DYN_ARGS=TRUE&amp;DOC_NAME=FAT:FQL_AUDITING_CLIENT_TEMPLATE.FAT&amp;display_string=Audit&amp;VAR:KEY=LKDGHCZERY&amp;VAR:QUERY=RkZfRUJJVERBX0lCKCdMVE1TJywzOTc4NSk=&amp;WINDOW=FIRST_POPUP&amp;HEIGHT=450&amp;WIDTH=450&amp;START_MA","XIMIZED=FALSE&amp;VAR:CALENDAR=US&amp;VAR:SYMBOL=04916420&amp;VAR:INDEX=0"}</definedName>
    <definedName name="_9584__FDSAUDITLINK__" hidden="1">{"fdsup://directions/FAT Viewer?action=UPDATE&amp;creator=factset&amp;DYN_ARGS=TRUE&amp;DOC_NAME=FAT:FQL_AUDITING_CLIENT_TEMPLATE.FAT&amp;display_string=Audit&amp;VAR:KEY=LKDGHCZERY&amp;VAR:QUERY=RkZfRUJJVERBX0lCKCdMVE1TJywzOTc4NSk=&amp;WINDOW=FIRST_POPUP&amp;HEIGHT=450&amp;WIDTH=450&amp;START_MA","XIMIZED=FALSE&amp;VAR:CALENDAR=US&amp;VAR:SYMBOL=04916420&amp;VAR:INDEX=0"}</definedName>
    <definedName name="_9585__FDSAUDITLINK__" localSheetId="6" hidden="1">{"fdsup://directions/FAT Viewer?action=UPDATE&amp;creator=factset&amp;DYN_ARGS=TRUE&amp;DOC_NAME=FAT:FQL_AUDITING_CLIENT_TEMPLATE.FAT&amp;display_string=Audit&amp;VAR:KEY=XCXCTCVAZQ&amp;VAR:QUERY=RkZfRUJJVERBX0lCKCdMVE1TJywzOTc4NCk=&amp;WINDOW=FIRST_POPUP&amp;HEIGHT=450&amp;WIDTH=450&amp;START_MA","XIMIZED=FALSE&amp;VAR:CALENDAR=US&amp;VAR:SYMBOL=04916420&amp;VAR:INDEX=0"}</definedName>
    <definedName name="_9585__FDSAUDITLINK__" hidden="1">{"fdsup://directions/FAT Viewer?action=UPDATE&amp;creator=factset&amp;DYN_ARGS=TRUE&amp;DOC_NAME=FAT:FQL_AUDITING_CLIENT_TEMPLATE.FAT&amp;display_string=Audit&amp;VAR:KEY=XCXCTCVAZQ&amp;VAR:QUERY=RkZfRUJJVERBX0lCKCdMVE1TJywzOTc4NCk=&amp;WINDOW=FIRST_POPUP&amp;HEIGHT=450&amp;WIDTH=450&amp;START_MA","XIMIZED=FALSE&amp;VAR:CALENDAR=US&amp;VAR:SYMBOL=04916420&amp;VAR:INDEX=0"}</definedName>
    <definedName name="_9586__FDSAUDITLINK__" localSheetId="6" hidden="1">{"fdsup://directions/FAT Viewer?action=UPDATE&amp;creator=factset&amp;DYN_ARGS=TRUE&amp;DOC_NAME=FAT:FQL_AUDITING_CLIENT_TEMPLATE.FAT&amp;display_string=Audit&amp;VAR:KEY=JUBMVUNIXW&amp;VAR:QUERY=RkZfRUJJVERBX0lCKCdMVE1TJywzOTc4Myk=&amp;WINDOW=FIRST_POPUP&amp;HEIGHT=450&amp;WIDTH=450&amp;START_MA","XIMIZED=FALSE&amp;VAR:CALENDAR=US&amp;VAR:SYMBOL=04916420&amp;VAR:INDEX=0"}</definedName>
    <definedName name="_9586__FDSAUDITLINK__" hidden="1">{"fdsup://directions/FAT Viewer?action=UPDATE&amp;creator=factset&amp;DYN_ARGS=TRUE&amp;DOC_NAME=FAT:FQL_AUDITING_CLIENT_TEMPLATE.FAT&amp;display_string=Audit&amp;VAR:KEY=JUBMVUNIXW&amp;VAR:QUERY=RkZfRUJJVERBX0lCKCdMVE1TJywzOTc4Myk=&amp;WINDOW=FIRST_POPUP&amp;HEIGHT=450&amp;WIDTH=450&amp;START_MA","XIMIZED=FALSE&amp;VAR:CALENDAR=US&amp;VAR:SYMBOL=04916420&amp;VAR:INDEX=0"}</definedName>
    <definedName name="_9587__FDSAUDITLINK__" localSheetId="6" hidden="1">{"fdsup://directions/FAT Viewer?action=UPDATE&amp;creator=factset&amp;DYN_ARGS=TRUE&amp;DOC_NAME=FAT:FQL_AUDITING_CLIENT_TEMPLATE.FAT&amp;display_string=Audit&amp;VAR:KEY=POPKJIDYFS&amp;VAR:QUERY=RkZfRUJJVERBX0lCKCdMVE1TJywzOTc4Mik=&amp;WINDOW=FIRST_POPUP&amp;HEIGHT=450&amp;WIDTH=450&amp;START_MA","XIMIZED=FALSE&amp;VAR:CALENDAR=US&amp;VAR:SYMBOL=04916420&amp;VAR:INDEX=0"}</definedName>
    <definedName name="_9587__FDSAUDITLINK__" hidden="1">{"fdsup://directions/FAT Viewer?action=UPDATE&amp;creator=factset&amp;DYN_ARGS=TRUE&amp;DOC_NAME=FAT:FQL_AUDITING_CLIENT_TEMPLATE.FAT&amp;display_string=Audit&amp;VAR:KEY=POPKJIDYFS&amp;VAR:QUERY=RkZfRUJJVERBX0lCKCdMVE1TJywzOTc4Mik=&amp;WINDOW=FIRST_POPUP&amp;HEIGHT=450&amp;WIDTH=450&amp;START_MA","XIMIZED=FALSE&amp;VAR:CALENDAR=US&amp;VAR:SYMBOL=04916420&amp;VAR:INDEX=0"}</definedName>
    <definedName name="_9588__FDSAUDITLINK__" localSheetId="6" hidden="1">{"fdsup://directions/FAT Viewer?action=UPDATE&amp;creator=factset&amp;DYN_ARGS=TRUE&amp;DOC_NAME=FAT:FQL_AUDITING_CLIENT_TEMPLATE.FAT&amp;display_string=Audit&amp;VAR:KEY=XYDSJQPYJM&amp;VAR:QUERY=RkZfRUJJVERBX0lCKCdMVE1TJywzOTc4MSk=&amp;WINDOW=FIRST_POPUP&amp;HEIGHT=450&amp;WIDTH=450&amp;START_MA","XIMIZED=FALSE&amp;VAR:CALENDAR=US&amp;VAR:SYMBOL=04916420&amp;VAR:INDEX=0"}</definedName>
    <definedName name="_9588__FDSAUDITLINK__" hidden="1">{"fdsup://directions/FAT Viewer?action=UPDATE&amp;creator=factset&amp;DYN_ARGS=TRUE&amp;DOC_NAME=FAT:FQL_AUDITING_CLIENT_TEMPLATE.FAT&amp;display_string=Audit&amp;VAR:KEY=XYDSJQPYJM&amp;VAR:QUERY=RkZfRUJJVERBX0lCKCdMVE1TJywzOTc4MSk=&amp;WINDOW=FIRST_POPUP&amp;HEIGHT=450&amp;WIDTH=450&amp;START_MA","XIMIZED=FALSE&amp;VAR:CALENDAR=US&amp;VAR:SYMBOL=04916420&amp;VAR:INDEX=0"}</definedName>
    <definedName name="_9589__FDSAUDITLINK__" localSheetId="6" hidden="1">{"fdsup://directions/FAT Viewer?action=UPDATE&amp;creator=factset&amp;DYN_ARGS=TRUE&amp;DOC_NAME=FAT:FQL_AUDITING_CLIENT_TEMPLATE.FAT&amp;display_string=Audit&amp;VAR:KEY=DUTORODSNU&amp;VAR:QUERY=RkZfRUJJVERBX0lCKCdMVE1TJywzOTc4MCk=&amp;WINDOW=FIRST_POPUP&amp;HEIGHT=450&amp;WIDTH=450&amp;START_MA","XIMIZED=FALSE&amp;VAR:CALENDAR=US&amp;VAR:SYMBOL=04916420&amp;VAR:INDEX=0"}</definedName>
    <definedName name="_9589__FDSAUDITLINK__" hidden="1">{"fdsup://directions/FAT Viewer?action=UPDATE&amp;creator=factset&amp;DYN_ARGS=TRUE&amp;DOC_NAME=FAT:FQL_AUDITING_CLIENT_TEMPLATE.FAT&amp;display_string=Audit&amp;VAR:KEY=DUTORODSNU&amp;VAR:QUERY=RkZfRUJJVERBX0lCKCdMVE1TJywzOTc4MCk=&amp;WINDOW=FIRST_POPUP&amp;HEIGHT=450&amp;WIDTH=450&amp;START_MA","XIMIZED=FALSE&amp;VAR:CALENDAR=US&amp;VAR:SYMBOL=04916420&amp;VAR:INDEX=0"}</definedName>
    <definedName name="_959__FDSAUDITLINK__" localSheetId="6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9__FDSAUDITLINK__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590__FDSAUDITLINK__" localSheetId="6" hidden="1">{"fdsup://directions/FAT Viewer?action=UPDATE&amp;creator=factset&amp;DYN_ARGS=TRUE&amp;DOC_NAME=FAT:FQL_AUDITING_CLIENT_TEMPLATE.FAT&amp;display_string=Audit&amp;VAR:KEY=RQNEJQRKHO&amp;VAR:QUERY=RkZfRUJJVERBX0lCKCdMVE1TJywzOTc3OSk=&amp;WINDOW=FIRST_POPUP&amp;HEIGHT=450&amp;WIDTH=450&amp;START_MA","XIMIZED=FALSE&amp;VAR:CALENDAR=US&amp;VAR:SYMBOL=04916420&amp;VAR:INDEX=0"}</definedName>
    <definedName name="_9590__FDSAUDITLINK__" hidden="1">{"fdsup://directions/FAT Viewer?action=UPDATE&amp;creator=factset&amp;DYN_ARGS=TRUE&amp;DOC_NAME=FAT:FQL_AUDITING_CLIENT_TEMPLATE.FAT&amp;display_string=Audit&amp;VAR:KEY=RQNEJQRKHO&amp;VAR:QUERY=RkZfRUJJVERBX0lCKCdMVE1TJywzOTc3OSk=&amp;WINDOW=FIRST_POPUP&amp;HEIGHT=450&amp;WIDTH=450&amp;START_MA","XIMIZED=FALSE&amp;VAR:CALENDAR=US&amp;VAR:SYMBOL=04916420&amp;VAR:INDEX=0"}</definedName>
    <definedName name="_9591__FDSAUDITLINK__" localSheetId="6" hidden="1">{"fdsup://directions/FAT Viewer?action=UPDATE&amp;creator=factset&amp;DYN_ARGS=TRUE&amp;DOC_NAME=FAT:FQL_AUDITING_CLIENT_TEMPLATE.FAT&amp;display_string=Audit&amp;VAR:KEY=JAXUJQPENS&amp;VAR:QUERY=RkZfRUJJVERBX0lCKCdMVE1TJywzOTc3OCk=&amp;WINDOW=FIRST_POPUP&amp;HEIGHT=450&amp;WIDTH=450&amp;START_MA","XIMIZED=FALSE&amp;VAR:CALENDAR=US&amp;VAR:SYMBOL=04916420&amp;VAR:INDEX=0"}</definedName>
    <definedName name="_9591__FDSAUDITLINK__" hidden="1">{"fdsup://directions/FAT Viewer?action=UPDATE&amp;creator=factset&amp;DYN_ARGS=TRUE&amp;DOC_NAME=FAT:FQL_AUDITING_CLIENT_TEMPLATE.FAT&amp;display_string=Audit&amp;VAR:KEY=JAXUJQPENS&amp;VAR:QUERY=RkZfRUJJVERBX0lCKCdMVE1TJywzOTc3OCk=&amp;WINDOW=FIRST_POPUP&amp;HEIGHT=450&amp;WIDTH=450&amp;START_MA","XIMIZED=FALSE&amp;VAR:CALENDAR=US&amp;VAR:SYMBOL=04916420&amp;VAR:INDEX=0"}</definedName>
    <definedName name="_9592__FDSAUDITLINK__" localSheetId="6" hidden="1">{"fdsup://directions/FAT Viewer?action=UPDATE&amp;creator=factset&amp;DYN_ARGS=TRUE&amp;DOC_NAME=FAT:FQL_AUDITING_CLIENT_TEMPLATE.FAT&amp;display_string=Audit&amp;VAR:KEY=TOLKPSZKZS&amp;VAR:QUERY=RkZfRUJJVERBX0lCKCdMVE1TJywzOTc3Nyk=&amp;WINDOW=FIRST_POPUP&amp;HEIGHT=450&amp;WIDTH=450&amp;START_MA","XIMIZED=FALSE&amp;VAR:CALENDAR=US&amp;VAR:SYMBOL=04916420&amp;VAR:INDEX=0"}</definedName>
    <definedName name="_9592__FDSAUDITLINK__" hidden="1">{"fdsup://directions/FAT Viewer?action=UPDATE&amp;creator=factset&amp;DYN_ARGS=TRUE&amp;DOC_NAME=FAT:FQL_AUDITING_CLIENT_TEMPLATE.FAT&amp;display_string=Audit&amp;VAR:KEY=TOLKPSZKZS&amp;VAR:QUERY=RkZfRUJJVERBX0lCKCdMVE1TJywzOTc3Nyk=&amp;WINDOW=FIRST_POPUP&amp;HEIGHT=450&amp;WIDTH=450&amp;START_MA","XIMIZED=FALSE&amp;VAR:CALENDAR=US&amp;VAR:SYMBOL=04916420&amp;VAR:INDEX=0"}</definedName>
    <definedName name="_9593__FDSAUDITLINK__" localSheetId="6" hidden="1">{"fdsup://directions/FAT Viewer?action=UPDATE&amp;creator=factset&amp;DYN_ARGS=TRUE&amp;DOC_NAME=FAT:FQL_AUDITING_CLIENT_TEMPLATE.FAT&amp;display_string=Audit&amp;VAR:KEY=JKBGDYFYJC&amp;VAR:QUERY=RkZfRUJJVERBX0lCKCdMVE1TJywzOTc3Nik=&amp;WINDOW=FIRST_POPUP&amp;HEIGHT=450&amp;WIDTH=450&amp;START_MA","XIMIZED=FALSE&amp;VAR:CALENDAR=US&amp;VAR:SYMBOL=04916420&amp;VAR:INDEX=0"}</definedName>
    <definedName name="_9593__FDSAUDITLINK__" hidden="1">{"fdsup://directions/FAT Viewer?action=UPDATE&amp;creator=factset&amp;DYN_ARGS=TRUE&amp;DOC_NAME=FAT:FQL_AUDITING_CLIENT_TEMPLATE.FAT&amp;display_string=Audit&amp;VAR:KEY=JKBGDYFYJC&amp;VAR:QUERY=RkZfRUJJVERBX0lCKCdMVE1TJywzOTc3Nik=&amp;WINDOW=FIRST_POPUP&amp;HEIGHT=450&amp;WIDTH=450&amp;START_MA","XIMIZED=FALSE&amp;VAR:CALENDAR=US&amp;VAR:SYMBOL=04916420&amp;VAR:INDEX=0"}</definedName>
    <definedName name="_9594__FDSAUDITLINK__" localSheetId="6" hidden="1">{"fdsup://directions/FAT Viewer?action=UPDATE&amp;creator=factset&amp;DYN_ARGS=TRUE&amp;DOC_NAME=FAT:FQL_AUDITING_CLIENT_TEMPLATE.FAT&amp;display_string=Audit&amp;VAR:KEY=ZAVGRQLYPW&amp;VAR:QUERY=RkZfRUJJVERBX0lCKCdMVE1TJywzOTc3NSk=&amp;WINDOW=FIRST_POPUP&amp;HEIGHT=450&amp;WIDTH=450&amp;START_MA","XIMIZED=FALSE&amp;VAR:CALENDAR=US&amp;VAR:SYMBOL=04916420&amp;VAR:INDEX=0"}</definedName>
    <definedName name="_9594__FDSAUDITLINK__" hidden="1">{"fdsup://directions/FAT Viewer?action=UPDATE&amp;creator=factset&amp;DYN_ARGS=TRUE&amp;DOC_NAME=FAT:FQL_AUDITING_CLIENT_TEMPLATE.FAT&amp;display_string=Audit&amp;VAR:KEY=ZAVGRQLYPW&amp;VAR:QUERY=RkZfRUJJVERBX0lCKCdMVE1TJywzOTc3NSk=&amp;WINDOW=FIRST_POPUP&amp;HEIGHT=450&amp;WIDTH=450&amp;START_MA","XIMIZED=FALSE&amp;VAR:CALENDAR=US&amp;VAR:SYMBOL=04916420&amp;VAR:INDEX=0"}</definedName>
    <definedName name="_9595__FDSAUDITLINK__" localSheetId="6" hidden="1">{"fdsup://directions/FAT Viewer?action=UPDATE&amp;creator=factset&amp;DYN_ARGS=TRUE&amp;DOC_NAME=FAT:FQL_AUDITING_CLIENT_TEMPLATE.FAT&amp;display_string=Audit&amp;VAR:KEY=ZSNQTSBIVQ&amp;VAR:QUERY=RkZfRUJJVERBX0lCKCdMVE1TJywzOTc3NCk=&amp;WINDOW=FIRST_POPUP&amp;HEIGHT=450&amp;WIDTH=450&amp;START_MA","XIMIZED=FALSE&amp;VAR:CALENDAR=US&amp;VAR:SYMBOL=04916420&amp;VAR:INDEX=0"}</definedName>
    <definedName name="_9595__FDSAUDITLINK__" hidden="1">{"fdsup://directions/FAT Viewer?action=UPDATE&amp;creator=factset&amp;DYN_ARGS=TRUE&amp;DOC_NAME=FAT:FQL_AUDITING_CLIENT_TEMPLATE.FAT&amp;display_string=Audit&amp;VAR:KEY=ZSNQTSBIVQ&amp;VAR:QUERY=RkZfRUJJVERBX0lCKCdMVE1TJywzOTc3NCk=&amp;WINDOW=FIRST_POPUP&amp;HEIGHT=450&amp;WIDTH=450&amp;START_MA","XIMIZED=FALSE&amp;VAR:CALENDAR=US&amp;VAR:SYMBOL=04916420&amp;VAR:INDEX=0"}</definedName>
    <definedName name="_9596__FDSAUDITLINK__" localSheetId="6" hidden="1">{"fdsup://directions/FAT Viewer?action=UPDATE&amp;creator=factset&amp;DYN_ARGS=TRUE&amp;DOC_NAME=FAT:FQL_AUDITING_CLIENT_TEMPLATE.FAT&amp;display_string=Audit&amp;VAR:KEY=VWLQVQZUJO&amp;VAR:QUERY=RkZfRUJJVERBX0lCKCdMVE1TJywzOTc3Myk=&amp;WINDOW=FIRST_POPUP&amp;HEIGHT=450&amp;WIDTH=450&amp;START_MA","XIMIZED=FALSE&amp;VAR:CALENDAR=US&amp;VAR:SYMBOL=04916420&amp;VAR:INDEX=0"}</definedName>
    <definedName name="_9596__FDSAUDITLINK__" hidden="1">{"fdsup://directions/FAT Viewer?action=UPDATE&amp;creator=factset&amp;DYN_ARGS=TRUE&amp;DOC_NAME=FAT:FQL_AUDITING_CLIENT_TEMPLATE.FAT&amp;display_string=Audit&amp;VAR:KEY=VWLQVQZUJO&amp;VAR:QUERY=RkZfRUJJVERBX0lCKCdMVE1TJywzOTc3Myk=&amp;WINDOW=FIRST_POPUP&amp;HEIGHT=450&amp;WIDTH=450&amp;START_MA","XIMIZED=FALSE&amp;VAR:CALENDAR=US&amp;VAR:SYMBOL=04916420&amp;VAR:INDEX=0"}</definedName>
    <definedName name="_9597__FDSAUDITLINK__" localSheetId="6" hidden="1">{"fdsup://directions/FAT Viewer?action=UPDATE&amp;creator=factset&amp;DYN_ARGS=TRUE&amp;DOC_NAME=FAT:FQL_AUDITING_CLIENT_TEMPLATE.FAT&amp;display_string=Audit&amp;VAR:KEY=HUPITCTSXO&amp;VAR:QUERY=RkZfRUJJVERBX0lCKCdMVE1TJywzOTc3Mik=&amp;WINDOW=FIRST_POPUP&amp;HEIGHT=450&amp;WIDTH=450&amp;START_MA","XIMIZED=FALSE&amp;VAR:CALENDAR=US&amp;VAR:SYMBOL=04916420&amp;VAR:INDEX=0"}</definedName>
    <definedName name="_9597__FDSAUDITLINK__" hidden="1">{"fdsup://directions/FAT Viewer?action=UPDATE&amp;creator=factset&amp;DYN_ARGS=TRUE&amp;DOC_NAME=FAT:FQL_AUDITING_CLIENT_TEMPLATE.FAT&amp;display_string=Audit&amp;VAR:KEY=HUPITCTSXO&amp;VAR:QUERY=RkZfRUJJVERBX0lCKCdMVE1TJywzOTc3Mik=&amp;WINDOW=FIRST_POPUP&amp;HEIGHT=450&amp;WIDTH=450&amp;START_MA","XIMIZED=FALSE&amp;VAR:CALENDAR=US&amp;VAR:SYMBOL=04916420&amp;VAR:INDEX=0"}</definedName>
    <definedName name="_9598__FDSAUDITLINK__" localSheetId="6" hidden="1">{"fdsup://directions/FAT Viewer?action=UPDATE&amp;creator=factset&amp;DYN_ARGS=TRUE&amp;DOC_NAME=FAT:FQL_AUDITING_CLIENT_TEMPLATE.FAT&amp;display_string=Audit&amp;VAR:KEY=FMBYJYRGVU&amp;VAR:QUERY=RkZfRUJJVERBX0lCKCdMVE1TJywzOTc3MSk=&amp;WINDOW=FIRST_POPUP&amp;HEIGHT=450&amp;WIDTH=450&amp;START_MA","XIMIZED=FALSE&amp;VAR:CALENDAR=US&amp;VAR:SYMBOL=04916420&amp;VAR:INDEX=0"}</definedName>
    <definedName name="_9598__FDSAUDITLINK__" hidden="1">{"fdsup://directions/FAT Viewer?action=UPDATE&amp;creator=factset&amp;DYN_ARGS=TRUE&amp;DOC_NAME=FAT:FQL_AUDITING_CLIENT_TEMPLATE.FAT&amp;display_string=Audit&amp;VAR:KEY=FMBYJYRGVU&amp;VAR:QUERY=RkZfRUJJVERBX0lCKCdMVE1TJywzOTc3MSk=&amp;WINDOW=FIRST_POPUP&amp;HEIGHT=450&amp;WIDTH=450&amp;START_MA","XIMIZED=FALSE&amp;VAR:CALENDAR=US&amp;VAR:SYMBOL=04916420&amp;VAR:INDEX=0"}</definedName>
    <definedName name="_9599__FDSAUDITLINK__" localSheetId="6" hidden="1">{"fdsup://directions/FAT Viewer?action=UPDATE&amp;creator=factset&amp;DYN_ARGS=TRUE&amp;DOC_NAME=FAT:FQL_AUDITING_CLIENT_TEMPLATE.FAT&amp;display_string=Audit&amp;VAR:KEY=VGXYHGZIBU&amp;VAR:QUERY=RkZfRUJJVERBX0lCKCdMVE1TJywzOTc3MCk=&amp;WINDOW=FIRST_POPUP&amp;HEIGHT=450&amp;WIDTH=450&amp;START_MA","XIMIZED=FALSE&amp;VAR:CALENDAR=US&amp;VAR:SYMBOL=04916420&amp;VAR:INDEX=0"}</definedName>
    <definedName name="_9599__FDSAUDITLINK__" hidden="1">{"fdsup://directions/FAT Viewer?action=UPDATE&amp;creator=factset&amp;DYN_ARGS=TRUE&amp;DOC_NAME=FAT:FQL_AUDITING_CLIENT_TEMPLATE.FAT&amp;display_string=Audit&amp;VAR:KEY=VGXYHGZIBU&amp;VAR:QUERY=RkZfRUJJVERBX0lCKCdMVE1TJywzOTc3MCk=&amp;WINDOW=FIRST_POPUP&amp;HEIGHT=450&amp;WIDTH=450&amp;START_MA","XIMIZED=FALSE&amp;VAR:CALENDAR=US&amp;VAR:SYMBOL=04916420&amp;VAR:INDEX=0"}</definedName>
    <definedName name="_96__FDSAUDITLINK__" localSheetId="6" hidden="1">{"fdsup://directions/FAT Viewer?action=UPDATE&amp;creator=factset&amp;DYN_ARGS=TRUE&amp;DOC_NAME=FAT:FQL_AUDITING_CLIENT_TEMPLATE.FAT&amp;display_string=Audit&amp;VAR:KEY=SBIXYTMDCX&amp;VAR:QUERY=QVZHKENTRl9ORVRfSU5DKEFOTiwwRlksLTZGWSxZKSkvKEFWRyhDU0ZfQVNTRVRTKEFOTiwwRlksLTZGWSxGW","SkpLUFWRyhDU0ZfSU5UQU5HKEFOTiwwLC02RlksRlkpKSk=&amp;WINDOW=FIRST_POPUP&amp;HEIGHT=450&amp;WIDTH=450&amp;START_MAXIMIZED=FALSE&amp;VAR:CALENDAR=US&amp;VAR:SYMBOL=GNK"}</definedName>
    <definedName name="_96__FDSAUDITLINK__" hidden="1">{"fdsup://directions/FAT Viewer?action=UPDATE&amp;creator=factset&amp;DYN_ARGS=TRUE&amp;DOC_NAME=FAT:FQL_AUDITING_CLIENT_TEMPLATE.FAT&amp;display_string=Audit&amp;VAR:KEY=SBIXYTMDCX&amp;VAR:QUERY=QVZHKENTRl9ORVRfSU5DKEFOTiwwRlksLTZGWSxZKSkvKEFWRyhDU0ZfQVNTRVRTKEFOTiwwRlksLTZGWSxGW","SkpLUFWRyhDU0ZfSU5UQU5HKEFOTiwwLC02RlksRlkpKSk=&amp;WINDOW=FIRST_POPUP&amp;HEIGHT=450&amp;WIDTH=450&amp;START_MAXIMIZED=FALSE&amp;VAR:CALENDAR=US&amp;VAR:SYMBOL=GNK"}</definedName>
    <definedName name="_960__FDSAUDITLINK__" localSheetId="6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0__FDSAUDITLINK__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00__FDSAUDITLINK__" localSheetId="6" hidden="1">{"fdsup://directions/FAT Viewer?action=UPDATE&amp;creator=factset&amp;DYN_ARGS=TRUE&amp;DOC_NAME=FAT:FQL_AUDITING_CLIENT_TEMPLATE.FAT&amp;display_string=Audit&amp;VAR:KEY=DKRIFQTMVI&amp;VAR:QUERY=RkZfRUJJVERBX0lCKCdMVE1TJywzOTc2OSk=&amp;WINDOW=FIRST_POPUP&amp;HEIGHT=450&amp;WIDTH=450&amp;START_MA","XIMIZED=FALSE&amp;VAR:CALENDAR=US&amp;VAR:SYMBOL=04916420&amp;VAR:INDEX=0"}</definedName>
    <definedName name="_9600__FDSAUDITLINK__" hidden="1">{"fdsup://directions/FAT Viewer?action=UPDATE&amp;creator=factset&amp;DYN_ARGS=TRUE&amp;DOC_NAME=FAT:FQL_AUDITING_CLIENT_TEMPLATE.FAT&amp;display_string=Audit&amp;VAR:KEY=DKRIFQTMVI&amp;VAR:QUERY=RkZfRUJJVERBX0lCKCdMVE1TJywzOTc2OSk=&amp;WINDOW=FIRST_POPUP&amp;HEIGHT=450&amp;WIDTH=450&amp;START_MA","XIMIZED=FALSE&amp;VAR:CALENDAR=US&amp;VAR:SYMBOL=04916420&amp;VAR:INDEX=0"}</definedName>
    <definedName name="_9601__FDSAUDITLINK__" localSheetId="6" hidden="1">{"fdsup://directions/FAT Viewer?action=UPDATE&amp;creator=factset&amp;DYN_ARGS=TRUE&amp;DOC_NAME=FAT:FQL_AUDITING_CLIENT_TEMPLATE.FAT&amp;display_string=Audit&amp;VAR:KEY=DCHYTMXKFO&amp;VAR:QUERY=RkZfRUJJVERBX0lCKCdMVE1TJywzOTc2OCk=&amp;WINDOW=FIRST_POPUP&amp;HEIGHT=450&amp;WIDTH=450&amp;START_MA","XIMIZED=FALSE&amp;VAR:CALENDAR=US&amp;VAR:SYMBOL=04916420&amp;VAR:INDEX=0"}</definedName>
    <definedName name="_9601__FDSAUDITLINK__" hidden="1">{"fdsup://directions/FAT Viewer?action=UPDATE&amp;creator=factset&amp;DYN_ARGS=TRUE&amp;DOC_NAME=FAT:FQL_AUDITING_CLIENT_TEMPLATE.FAT&amp;display_string=Audit&amp;VAR:KEY=DCHYTMXKFO&amp;VAR:QUERY=RkZfRUJJVERBX0lCKCdMVE1TJywzOTc2OCk=&amp;WINDOW=FIRST_POPUP&amp;HEIGHT=450&amp;WIDTH=450&amp;START_MA","XIMIZED=FALSE&amp;VAR:CALENDAR=US&amp;VAR:SYMBOL=04916420&amp;VAR:INDEX=0"}</definedName>
    <definedName name="_9602__FDSAUDITLINK__" localSheetId="6" hidden="1">{"fdsup://directions/FAT Viewer?action=UPDATE&amp;creator=factset&amp;DYN_ARGS=TRUE&amp;DOC_NAME=FAT:FQL_AUDITING_CLIENT_TEMPLATE.FAT&amp;display_string=Audit&amp;VAR:KEY=JIBWRQZURC&amp;VAR:QUERY=RkZfRUJJVERBX0lCKCdMVE1TJywzOTc2Nyk=&amp;WINDOW=FIRST_POPUP&amp;HEIGHT=450&amp;WIDTH=450&amp;START_MA","XIMIZED=FALSE&amp;VAR:CALENDAR=US&amp;VAR:SYMBOL=04916420&amp;VAR:INDEX=0"}</definedName>
    <definedName name="_9602__FDSAUDITLINK__" hidden="1">{"fdsup://directions/FAT Viewer?action=UPDATE&amp;creator=factset&amp;DYN_ARGS=TRUE&amp;DOC_NAME=FAT:FQL_AUDITING_CLIENT_TEMPLATE.FAT&amp;display_string=Audit&amp;VAR:KEY=JIBWRQZURC&amp;VAR:QUERY=RkZfRUJJVERBX0lCKCdMVE1TJywzOTc2Nyk=&amp;WINDOW=FIRST_POPUP&amp;HEIGHT=450&amp;WIDTH=450&amp;START_MA","XIMIZED=FALSE&amp;VAR:CALENDAR=US&amp;VAR:SYMBOL=04916420&amp;VAR:INDEX=0"}</definedName>
    <definedName name="_9603__FDSAUDITLINK__" localSheetId="6" hidden="1">{"fdsup://directions/FAT Viewer?action=UPDATE&amp;creator=factset&amp;DYN_ARGS=TRUE&amp;DOC_NAME=FAT:FQL_AUDITING_CLIENT_TEMPLATE.FAT&amp;display_string=Audit&amp;VAR:KEY=XCTUFQZKVE&amp;VAR:QUERY=RkZfRUJJVERBX0lCKCdMVE1TJywzOTc2Nik=&amp;WINDOW=FIRST_POPUP&amp;HEIGHT=450&amp;WIDTH=450&amp;START_MA","XIMIZED=FALSE&amp;VAR:CALENDAR=US&amp;VAR:SYMBOL=04916420&amp;VAR:INDEX=0"}</definedName>
    <definedName name="_9603__FDSAUDITLINK__" hidden="1">{"fdsup://directions/FAT Viewer?action=UPDATE&amp;creator=factset&amp;DYN_ARGS=TRUE&amp;DOC_NAME=FAT:FQL_AUDITING_CLIENT_TEMPLATE.FAT&amp;display_string=Audit&amp;VAR:KEY=XCTUFQZKVE&amp;VAR:QUERY=RkZfRUJJVERBX0lCKCdMVE1TJywzOTc2Nik=&amp;WINDOW=FIRST_POPUP&amp;HEIGHT=450&amp;WIDTH=450&amp;START_MA","XIMIZED=FALSE&amp;VAR:CALENDAR=US&amp;VAR:SYMBOL=04916420&amp;VAR:INDEX=0"}</definedName>
    <definedName name="_9604__FDSAUDITLINK__" localSheetId="6" hidden="1">{"fdsup://directions/FAT Viewer?action=UPDATE&amp;creator=factset&amp;DYN_ARGS=TRUE&amp;DOC_NAME=FAT:FQL_AUDITING_CLIENT_TEMPLATE.FAT&amp;display_string=Audit&amp;VAR:KEY=PKLSLQVSTY&amp;VAR:QUERY=RkZfRUJJVERBX0lCKCdMVE1TJywzOTc2NSk=&amp;WINDOW=FIRST_POPUP&amp;HEIGHT=450&amp;WIDTH=450&amp;START_MA","XIMIZED=FALSE&amp;VAR:CALENDAR=US&amp;VAR:SYMBOL=04916420&amp;VAR:INDEX=0"}</definedName>
    <definedName name="_9604__FDSAUDITLINK__" hidden="1">{"fdsup://directions/FAT Viewer?action=UPDATE&amp;creator=factset&amp;DYN_ARGS=TRUE&amp;DOC_NAME=FAT:FQL_AUDITING_CLIENT_TEMPLATE.FAT&amp;display_string=Audit&amp;VAR:KEY=PKLSLQVSTY&amp;VAR:QUERY=RkZfRUJJVERBX0lCKCdMVE1TJywzOTc2NSk=&amp;WINDOW=FIRST_POPUP&amp;HEIGHT=450&amp;WIDTH=450&amp;START_MA","XIMIZED=FALSE&amp;VAR:CALENDAR=US&amp;VAR:SYMBOL=04916420&amp;VAR:INDEX=0"}</definedName>
    <definedName name="_9605__FDSAUDITLINK__" localSheetId="6" hidden="1">{"fdsup://directions/FAT Viewer?action=UPDATE&amp;creator=factset&amp;DYN_ARGS=TRUE&amp;DOC_NAME=FAT:FQL_AUDITING_CLIENT_TEMPLATE.FAT&amp;display_string=Audit&amp;VAR:KEY=VMHIBIRQLK&amp;VAR:QUERY=RkZfRUJJVERBX0lCKCdMVE1TJywzOTc2NCk=&amp;WINDOW=FIRST_POPUP&amp;HEIGHT=450&amp;WIDTH=450&amp;START_MA","XIMIZED=FALSE&amp;VAR:CALENDAR=US&amp;VAR:SYMBOL=04916420&amp;VAR:INDEX=0"}</definedName>
    <definedName name="_9605__FDSAUDITLINK__" hidden="1">{"fdsup://directions/FAT Viewer?action=UPDATE&amp;creator=factset&amp;DYN_ARGS=TRUE&amp;DOC_NAME=FAT:FQL_AUDITING_CLIENT_TEMPLATE.FAT&amp;display_string=Audit&amp;VAR:KEY=VMHIBIRQLK&amp;VAR:QUERY=RkZfRUJJVERBX0lCKCdMVE1TJywzOTc2NCk=&amp;WINDOW=FIRST_POPUP&amp;HEIGHT=450&amp;WIDTH=450&amp;START_MA","XIMIZED=FALSE&amp;VAR:CALENDAR=US&amp;VAR:SYMBOL=04916420&amp;VAR:INDEX=0"}</definedName>
    <definedName name="_9606__FDSAUDITLINK__" localSheetId="6" hidden="1">{"fdsup://directions/FAT Viewer?action=UPDATE&amp;creator=factset&amp;DYN_ARGS=TRUE&amp;DOC_NAME=FAT:FQL_AUDITING_CLIENT_TEMPLATE.FAT&amp;display_string=Audit&amp;VAR:KEY=ZMZELMJELG&amp;VAR:QUERY=RkZfRUJJVERBX0lCKCdMVE1TJywzOTc2Myk=&amp;WINDOW=FIRST_POPUP&amp;HEIGHT=450&amp;WIDTH=450&amp;START_MA","XIMIZED=FALSE&amp;VAR:CALENDAR=US&amp;VAR:SYMBOL=04916420&amp;VAR:INDEX=0"}</definedName>
    <definedName name="_9606__FDSAUDITLINK__" hidden="1">{"fdsup://directions/FAT Viewer?action=UPDATE&amp;creator=factset&amp;DYN_ARGS=TRUE&amp;DOC_NAME=FAT:FQL_AUDITING_CLIENT_TEMPLATE.FAT&amp;display_string=Audit&amp;VAR:KEY=ZMZELMJELG&amp;VAR:QUERY=RkZfRUJJVERBX0lCKCdMVE1TJywzOTc2Myk=&amp;WINDOW=FIRST_POPUP&amp;HEIGHT=450&amp;WIDTH=450&amp;START_MA","XIMIZED=FALSE&amp;VAR:CALENDAR=US&amp;VAR:SYMBOL=04916420&amp;VAR:INDEX=0"}</definedName>
    <definedName name="_9607__FDSAUDITLINK__" localSheetId="6" hidden="1">{"fdsup://directions/FAT Viewer?action=UPDATE&amp;creator=factset&amp;DYN_ARGS=TRUE&amp;DOC_NAME=FAT:FQL_AUDITING_CLIENT_TEMPLATE.FAT&amp;display_string=Audit&amp;VAR:KEY=JMTKNUHGDM&amp;VAR:QUERY=RkZfRUJJVERBX0lCKCdMVE1TJywzOTc2Mik=&amp;WINDOW=FIRST_POPUP&amp;HEIGHT=450&amp;WIDTH=450&amp;START_MA","XIMIZED=FALSE&amp;VAR:CALENDAR=US&amp;VAR:SYMBOL=04916420&amp;VAR:INDEX=0"}</definedName>
    <definedName name="_9607__FDSAUDITLINK__" hidden="1">{"fdsup://directions/FAT Viewer?action=UPDATE&amp;creator=factset&amp;DYN_ARGS=TRUE&amp;DOC_NAME=FAT:FQL_AUDITING_CLIENT_TEMPLATE.FAT&amp;display_string=Audit&amp;VAR:KEY=JMTKNUHGDM&amp;VAR:QUERY=RkZfRUJJVERBX0lCKCdMVE1TJywzOTc2Mik=&amp;WINDOW=FIRST_POPUP&amp;HEIGHT=450&amp;WIDTH=450&amp;START_MA","XIMIZED=FALSE&amp;VAR:CALENDAR=US&amp;VAR:SYMBOL=04916420&amp;VAR:INDEX=0"}</definedName>
    <definedName name="_9608__FDSAUDITLINK__" localSheetId="6" hidden="1">{"fdsup://directions/FAT Viewer?action=UPDATE&amp;creator=factset&amp;DYN_ARGS=TRUE&amp;DOC_NAME=FAT:FQL_AUDITING_CLIENT_TEMPLATE.FAT&amp;display_string=Audit&amp;VAR:KEY=BIPAVCBWPW&amp;VAR:QUERY=RkZfRUJJVERBX0lCKCdMVE1TJywzOTc2MSk=&amp;WINDOW=FIRST_POPUP&amp;HEIGHT=450&amp;WIDTH=450&amp;START_MA","XIMIZED=FALSE&amp;VAR:CALENDAR=US&amp;VAR:SYMBOL=04916420&amp;VAR:INDEX=0"}</definedName>
    <definedName name="_9608__FDSAUDITLINK__" hidden="1">{"fdsup://directions/FAT Viewer?action=UPDATE&amp;creator=factset&amp;DYN_ARGS=TRUE&amp;DOC_NAME=FAT:FQL_AUDITING_CLIENT_TEMPLATE.FAT&amp;display_string=Audit&amp;VAR:KEY=BIPAVCBWPW&amp;VAR:QUERY=RkZfRUJJVERBX0lCKCdMVE1TJywzOTc2MSk=&amp;WINDOW=FIRST_POPUP&amp;HEIGHT=450&amp;WIDTH=450&amp;START_MA","XIMIZED=FALSE&amp;VAR:CALENDAR=US&amp;VAR:SYMBOL=04916420&amp;VAR:INDEX=0"}</definedName>
    <definedName name="_9609__FDSAUDITLINK__" localSheetId="6" hidden="1">{"fdsup://directions/FAT Viewer?action=UPDATE&amp;creator=factset&amp;DYN_ARGS=TRUE&amp;DOC_NAME=FAT:FQL_AUDITING_CLIENT_TEMPLATE.FAT&amp;display_string=Audit&amp;VAR:KEY=ZIZYBSFUTO&amp;VAR:QUERY=RkZfRUJJVERBX0lCKCdMVE1TJywzOTc2MCk=&amp;WINDOW=FIRST_POPUP&amp;HEIGHT=450&amp;WIDTH=450&amp;START_MA","XIMIZED=FALSE&amp;VAR:CALENDAR=US&amp;VAR:SYMBOL=04916420&amp;VAR:INDEX=0"}</definedName>
    <definedName name="_9609__FDSAUDITLINK__" hidden="1">{"fdsup://directions/FAT Viewer?action=UPDATE&amp;creator=factset&amp;DYN_ARGS=TRUE&amp;DOC_NAME=FAT:FQL_AUDITING_CLIENT_TEMPLATE.FAT&amp;display_string=Audit&amp;VAR:KEY=ZIZYBSFUTO&amp;VAR:QUERY=RkZfRUJJVERBX0lCKCdMVE1TJywzOTc2MCk=&amp;WINDOW=FIRST_POPUP&amp;HEIGHT=450&amp;WIDTH=450&amp;START_MA","XIMIZED=FALSE&amp;VAR:CALENDAR=US&amp;VAR:SYMBOL=04916420&amp;VAR:INDEX=0"}</definedName>
    <definedName name="_961__FDSAUDITLINK__" localSheetId="6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1__FDSAUDITLINK__" hidden="1">{"fdsup://directions/FAT%20Viewer?VAR:PED=LTM&amp;VAR:AUDIT_MODE=SUMMARY&amp;VAR:PERIOD=FIXED&amp;VAR:AUDIT_ID=00000117&amp;VAR:DATE=20070706&amp;action=UPDATE&amp;creator=factset&amp;DOC_NAME=FAT:FMA_audit_SUMMARY.fat&amp;DISPLAY_STRING=Display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10__FDSAUDITLINK__" localSheetId="6" hidden="1">{"fdsup://directions/FAT Viewer?action=UPDATE&amp;creator=factset&amp;DYN_ARGS=TRUE&amp;DOC_NAME=FAT:FQL_AUDITING_CLIENT_TEMPLATE.FAT&amp;display_string=Audit&amp;VAR:KEY=BANMVERYLA&amp;VAR:QUERY=RkZfRUJJVERBX0lCKCdMVE1TJywzOTc1OSk=&amp;WINDOW=FIRST_POPUP&amp;HEIGHT=450&amp;WIDTH=450&amp;START_MA","XIMIZED=FALSE&amp;VAR:CALENDAR=US&amp;VAR:SYMBOL=04916420&amp;VAR:INDEX=0"}</definedName>
    <definedName name="_9610__FDSAUDITLINK__" hidden="1">{"fdsup://directions/FAT Viewer?action=UPDATE&amp;creator=factset&amp;DYN_ARGS=TRUE&amp;DOC_NAME=FAT:FQL_AUDITING_CLIENT_TEMPLATE.FAT&amp;display_string=Audit&amp;VAR:KEY=BANMVERYLA&amp;VAR:QUERY=RkZfRUJJVERBX0lCKCdMVE1TJywzOTc1OSk=&amp;WINDOW=FIRST_POPUP&amp;HEIGHT=450&amp;WIDTH=450&amp;START_MA","XIMIZED=FALSE&amp;VAR:CALENDAR=US&amp;VAR:SYMBOL=04916420&amp;VAR:INDEX=0"}</definedName>
    <definedName name="_9611__FDSAUDITLINK__" localSheetId="6" hidden="1">{"fdsup://directions/FAT Viewer?action=UPDATE&amp;creator=factset&amp;DYN_ARGS=TRUE&amp;DOC_NAME=FAT:FQL_AUDITING_CLIENT_TEMPLATE.FAT&amp;display_string=Audit&amp;VAR:KEY=ROFKRKLCBG&amp;VAR:QUERY=RkZfRUJJVERBX0lCKCdMVE1TJywzOTc1OCk=&amp;WINDOW=FIRST_POPUP&amp;HEIGHT=450&amp;WIDTH=450&amp;START_MA","XIMIZED=FALSE&amp;VAR:CALENDAR=US&amp;VAR:SYMBOL=04916420&amp;VAR:INDEX=0"}</definedName>
    <definedName name="_9611__FDSAUDITLINK__" hidden="1">{"fdsup://directions/FAT Viewer?action=UPDATE&amp;creator=factset&amp;DYN_ARGS=TRUE&amp;DOC_NAME=FAT:FQL_AUDITING_CLIENT_TEMPLATE.FAT&amp;display_string=Audit&amp;VAR:KEY=ROFKRKLCBG&amp;VAR:QUERY=RkZfRUJJVERBX0lCKCdMVE1TJywzOTc1OCk=&amp;WINDOW=FIRST_POPUP&amp;HEIGHT=450&amp;WIDTH=450&amp;START_MA","XIMIZED=FALSE&amp;VAR:CALENDAR=US&amp;VAR:SYMBOL=04916420&amp;VAR:INDEX=0"}</definedName>
    <definedName name="_9612__FDSAUDITLINK__" localSheetId="6" hidden="1">{"fdsup://directions/FAT Viewer?action=UPDATE&amp;creator=factset&amp;DYN_ARGS=TRUE&amp;DOC_NAME=FAT:FQL_AUDITING_CLIENT_TEMPLATE.FAT&amp;display_string=Audit&amp;VAR:KEY=JYXWLMXAHI&amp;VAR:QUERY=RkZfRUJJVERBX0lCKCdMVE1TJywzOTc1Nyk=&amp;WINDOW=FIRST_POPUP&amp;HEIGHT=450&amp;WIDTH=450&amp;START_MA","XIMIZED=FALSE&amp;VAR:CALENDAR=US&amp;VAR:SYMBOL=04916420&amp;VAR:INDEX=0"}</definedName>
    <definedName name="_9612__FDSAUDITLINK__" hidden="1">{"fdsup://directions/FAT Viewer?action=UPDATE&amp;creator=factset&amp;DYN_ARGS=TRUE&amp;DOC_NAME=FAT:FQL_AUDITING_CLIENT_TEMPLATE.FAT&amp;display_string=Audit&amp;VAR:KEY=JYXWLMXAHI&amp;VAR:QUERY=RkZfRUJJVERBX0lCKCdMVE1TJywzOTc1Nyk=&amp;WINDOW=FIRST_POPUP&amp;HEIGHT=450&amp;WIDTH=450&amp;START_MA","XIMIZED=FALSE&amp;VAR:CALENDAR=US&amp;VAR:SYMBOL=04916420&amp;VAR:INDEX=0"}</definedName>
    <definedName name="_9613__FDSAUDITLINK__" localSheetId="6" hidden="1">{"fdsup://directions/FAT Viewer?action=UPDATE&amp;creator=factset&amp;DYN_ARGS=TRUE&amp;DOC_NAME=FAT:FQL_AUDITING_CLIENT_TEMPLATE.FAT&amp;display_string=Audit&amp;VAR:KEY=DEJSNKDQNI&amp;VAR:QUERY=RkZfRUJJVERBX0lCKCdMVE1TJywzOTc1Nik=&amp;WINDOW=FIRST_POPUP&amp;HEIGHT=450&amp;WIDTH=450&amp;START_MA","XIMIZED=FALSE&amp;VAR:CALENDAR=US&amp;VAR:SYMBOL=04916420&amp;VAR:INDEX=0"}</definedName>
    <definedName name="_9613__FDSAUDITLINK__" hidden="1">{"fdsup://directions/FAT Viewer?action=UPDATE&amp;creator=factset&amp;DYN_ARGS=TRUE&amp;DOC_NAME=FAT:FQL_AUDITING_CLIENT_TEMPLATE.FAT&amp;display_string=Audit&amp;VAR:KEY=DEJSNKDQNI&amp;VAR:QUERY=RkZfRUJJVERBX0lCKCdMVE1TJywzOTc1Nik=&amp;WINDOW=FIRST_POPUP&amp;HEIGHT=450&amp;WIDTH=450&amp;START_MA","XIMIZED=FALSE&amp;VAR:CALENDAR=US&amp;VAR:SYMBOL=04916420&amp;VAR:INDEX=0"}</definedName>
    <definedName name="_9614__FDSAUDITLINK__" localSheetId="6" hidden="1">{"fdsup://directions/FAT Viewer?action=UPDATE&amp;creator=factset&amp;DYN_ARGS=TRUE&amp;DOC_NAME=FAT:FQL_AUDITING_CLIENT_TEMPLATE.FAT&amp;display_string=Audit&amp;VAR:KEY=FWDAZKXYJQ&amp;VAR:QUERY=RkZfRUJJVERBX0lCKCdMVE1TJywzOTc1NSk=&amp;WINDOW=FIRST_POPUP&amp;HEIGHT=450&amp;WIDTH=450&amp;START_MA","XIMIZED=FALSE&amp;VAR:CALENDAR=US&amp;VAR:SYMBOL=04916420&amp;VAR:INDEX=0"}</definedName>
    <definedName name="_9614__FDSAUDITLINK__" hidden="1">{"fdsup://directions/FAT Viewer?action=UPDATE&amp;creator=factset&amp;DYN_ARGS=TRUE&amp;DOC_NAME=FAT:FQL_AUDITING_CLIENT_TEMPLATE.FAT&amp;display_string=Audit&amp;VAR:KEY=FWDAZKXYJQ&amp;VAR:QUERY=RkZfRUJJVERBX0lCKCdMVE1TJywzOTc1NSk=&amp;WINDOW=FIRST_POPUP&amp;HEIGHT=450&amp;WIDTH=450&amp;START_MA","XIMIZED=FALSE&amp;VAR:CALENDAR=US&amp;VAR:SYMBOL=04916420&amp;VAR:INDEX=0"}</definedName>
    <definedName name="_9615__FDSAUDITLINK__" localSheetId="6" hidden="1">{"fdsup://directions/FAT Viewer?action=UPDATE&amp;creator=factset&amp;DYN_ARGS=TRUE&amp;DOC_NAME=FAT:FQL_AUDITING_CLIENT_TEMPLATE.FAT&amp;display_string=Audit&amp;VAR:KEY=BAJSDMNUJE&amp;VAR:QUERY=RkZfRUJJVERBX0lCKCdMVE1TJywzOTc1NCk=&amp;WINDOW=FIRST_POPUP&amp;HEIGHT=450&amp;WIDTH=450&amp;START_MA","XIMIZED=FALSE&amp;VAR:CALENDAR=US&amp;VAR:SYMBOL=04916420&amp;VAR:INDEX=0"}</definedName>
    <definedName name="_9615__FDSAUDITLINK__" hidden="1">{"fdsup://directions/FAT Viewer?action=UPDATE&amp;creator=factset&amp;DYN_ARGS=TRUE&amp;DOC_NAME=FAT:FQL_AUDITING_CLIENT_TEMPLATE.FAT&amp;display_string=Audit&amp;VAR:KEY=BAJSDMNUJE&amp;VAR:QUERY=RkZfRUJJVERBX0lCKCdMVE1TJywzOTc1NCk=&amp;WINDOW=FIRST_POPUP&amp;HEIGHT=450&amp;WIDTH=450&amp;START_MA","XIMIZED=FALSE&amp;VAR:CALENDAR=US&amp;VAR:SYMBOL=04916420&amp;VAR:INDEX=0"}</definedName>
    <definedName name="_9616__FDSAUDITLINK__" localSheetId="6" hidden="1">{"fdsup://directions/FAT Viewer?action=UPDATE&amp;creator=factset&amp;DYN_ARGS=TRUE&amp;DOC_NAME=FAT:FQL_AUDITING_CLIENT_TEMPLATE.FAT&amp;display_string=Audit&amp;VAR:KEY=PYZOXIRGJA&amp;VAR:QUERY=RkZfRUJJVERBX0lCKCdMVE1TJywzOTc1Myk=&amp;WINDOW=FIRST_POPUP&amp;HEIGHT=450&amp;WIDTH=450&amp;START_MA","XIMIZED=FALSE&amp;VAR:CALENDAR=US&amp;VAR:SYMBOL=04916420&amp;VAR:INDEX=0"}</definedName>
    <definedName name="_9616__FDSAUDITLINK__" hidden="1">{"fdsup://directions/FAT Viewer?action=UPDATE&amp;creator=factset&amp;DYN_ARGS=TRUE&amp;DOC_NAME=FAT:FQL_AUDITING_CLIENT_TEMPLATE.FAT&amp;display_string=Audit&amp;VAR:KEY=PYZOXIRGJA&amp;VAR:QUERY=RkZfRUJJVERBX0lCKCdMVE1TJywzOTc1Myk=&amp;WINDOW=FIRST_POPUP&amp;HEIGHT=450&amp;WIDTH=450&amp;START_MA","XIMIZED=FALSE&amp;VAR:CALENDAR=US&amp;VAR:SYMBOL=04916420&amp;VAR:INDEX=0"}</definedName>
    <definedName name="_9617__FDSAUDITLINK__" localSheetId="6" hidden="1">{"fdsup://directions/FAT Viewer?action=UPDATE&amp;creator=factset&amp;DYN_ARGS=TRUE&amp;DOC_NAME=FAT:FQL_AUDITING_CLIENT_TEMPLATE.FAT&amp;display_string=Audit&amp;VAR:KEY=RONSXKLMNS&amp;VAR:QUERY=RkZfRUJJVERBX0lCKCdMVE1TJywzOTc1Mik=&amp;WINDOW=FIRST_POPUP&amp;HEIGHT=450&amp;WIDTH=450&amp;START_MA","XIMIZED=FALSE&amp;VAR:CALENDAR=US&amp;VAR:SYMBOL=04916420&amp;VAR:INDEX=0"}</definedName>
    <definedName name="_9617__FDSAUDITLINK__" hidden="1">{"fdsup://directions/FAT Viewer?action=UPDATE&amp;creator=factset&amp;DYN_ARGS=TRUE&amp;DOC_NAME=FAT:FQL_AUDITING_CLIENT_TEMPLATE.FAT&amp;display_string=Audit&amp;VAR:KEY=RONSXKLMNS&amp;VAR:QUERY=RkZfRUJJVERBX0lCKCdMVE1TJywzOTc1Mik=&amp;WINDOW=FIRST_POPUP&amp;HEIGHT=450&amp;WIDTH=450&amp;START_MA","XIMIZED=FALSE&amp;VAR:CALENDAR=US&amp;VAR:SYMBOL=04916420&amp;VAR:INDEX=0"}</definedName>
    <definedName name="_9618__FDSAUDITLINK__" localSheetId="6" hidden="1">{"fdsup://directions/FAT Viewer?action=UPDATE&amp;creator=factset&amp;DYN_ARGS=TRUE&amp;DOC_NAME=FAT:FQL_AUDITING_CLIENT_TEMPLATE.FAT&amp;display_string=Audit&amp;VAR:KEY=RUHCZMXCPC&amp;VAR:QUERY=RkZfRUJJVERBX0lCKCdMVE1TJywzOTc1MSk=&amp;WINDOW=FIRST_POPUP&amp;HEIGHT=450&amp;WIDTH=450&amp;START_MA","XIMIZED=FALSE&amp;VAR:CALENDAR=US&amp;VAR:SYMBOL=04916420&amp;VAR:INDEX=0"}</definedName>
    <definedName name="_9618__FDSAUDITLINK__" hidden="1">{"fdsup://directions/FAT Viewer?action=UPDATE&amp;creator=factset&amp;DYN_ARGS=TRUE&amp;DOC_NAME=FAT:FQL_AUDITING_CLIENT_TEMPLATE.FAT&amp;display_string=Audit&amp;VAR:KEY=RUHCZMXCPC&amp;VAR:QUERY=RkZfRUJJVERBX0lCKCdMVE1TJywzOTc1MSk=&amp;WINDOW=FIRST_POPUP&amp;HEIGHT=450&amp;WIDTH=450&amp;START_MA","XIMIZED=FALSE&amp;VAR:CALENDAR=US&amp;VAR:SYMBOL=04916420&amp;VAR:INDEX=0"}</definedName>
    <definedName name="_9619__FDSAUDITLINK__" localSheetId="6" hidden="1">{"fdsup://directions/FAT Viewer?action=UPDATE&amp;creator=factset&amp;DYN_ARGS=TRUE&amp;DOC_NAME=FAT:FQL_AUDITING_CLIENT_TEMPLATE.FAT&amp;display_string=Audit&amp;VAR:KEY=NCDKLEPIZY&amp;VAR:QUERY=RkZfRUJJVERBX0lCKCdMVE1TJywzOTc1MCk=&amp;WINDOW=FIRST_POPUP&amp;HEIGHT=450&amp;WIDTH=450&amp;START_MA","XIMIZED=FALSE&amp;VAR:CALENDAR=US&amp;VAR:SYMBOL=04916420&amp;VAR:INDEX=0"}</definedName>
    <definedName name="_9619__FDSAUDITLINK__" hidden="1">{"fdsup://directions/FAT Viewer?action=UPDATE&amp;creator=factset&amp;DYN_ARGS=TRUE&amp;DOC_NAME=FAT:FQL_AUDITING_CLIENT_TEMPLATE.FAT&amp;display_string=Audit&amp;VAR:KEY=NCDKLEPIZY&amp;VAR:QUERY=RkZfRUJJVERBX0lCKCdMVE1TJywzOTc1MCk=&amp;WINDOW=FIRST_POPUP&amp;HEIGHT=450&amp;WIDTH=450&amp;START_MA","XIMIZED=FALSE&amp;VAR:CALENDAR=US&amp;VAR:SYMBOL=04916420&amp;VAR:INDEX=0"}</definedName>
    <definedName name="_962__FDSAUDITLINK__" localSheetId="6" hidden="1">{"fdsup://directions/FAT%20Viewer?VAR:PED=LTM&amp;VAR:AUDIT_MODE=SUMMARY&amp;VAR:PERIOD=FIXED&amp;VAR:AUDIT_ID=00000117&amp;VAR:DATE=20070705&amp;action=UPDATE&amp;creator=factset&amp;DOC_NAME=FAT:FMA_audit_SUMMARY.fat&amp;DISPLAY_STRING=Display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2__FDSAUDITLINK__" hidden="1">{"fdsup://directions/FAT%20Viewer?VAR:PED=LTM&amp;VAR:AUDIT_MODE=SUMMARY&amp;VAR:PERIOD=FIXED&amp;VAR:AUDIT_ID=00000117&amp;VAR:DATE=20070705&amp;action=UPDATE&amp;creator=factset&amp;DOC_NAME=FAT:FMA_audit_SUMMARY.fat&amp;DISPLAY_STRING=Display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20__FDSAUDITLINK__" localSheetId="6" hidden="1">{"fdsup://directions/FAT Viewer?action=UPDATE&amp;creator=factset&amp;DYN_ARGS=TRUE&amp;DOC_NAME=FAT:FQL_AUDITING_CLIENT_TEMPLATE.FAT&amp;display_string=Audit&amp;VAR:KEY=BKPGFEPIRU&amp;VAR:QUERY=RkZfRUJJVERBX0lCKCdMVE1TJywzOTc0OSk=&amp;WINDOW=FIRST_POPUP&amp;HEIGHT=450&amp;WIDTH=450&amp;START_MA","XIMIZED=FALSE&amp;VAR:CALENDAR=US&amp;VAR:SYMBOL=04916420&amp;VAR:INDEX=0"}</definedName>
    <definedName name="_9620__FDSAUDITLINK__" hidden="1">{"fdsup://directions/FAT Viewer?action=UPDATE&amp;creator=factset&amp;DYN_ARGS=TRUE&amp;DOC_NAME=FAT:FQL_AUDITING_CLIENT_TEMPLATE.FAT&amp;display_string=Audit&amp;VAR:KEY=BKPGFEPIRU&amp;VAR:QUERY=RkZfRUJJVERBX0lCKCdMVE1TJywzOTc0OSk=&amp;WINDOW=FIRST_POPUP&amp;HEIGHT=450&amp;WIDTH=450&amp;START_MA","XIMIZED=FALSE&amp;VAR:CALENDAR=US&amp;VAR:SYMBOL=04916420&amp;VAR:INDEX=0"}</definedName>
    <definedName name="_9621__FDSAUDITLINK__" localSheetId="6" hidden="1">{"fdsup://directions/FAT Viewer?action=UPDATE&amp;creator=factset&amp;DYN_ARGS=TRUE&amp;DOC_NAME=FAT:FQL_AUDITING_CLIENT_TEMPLATE.FAT&amp;display_string=Audit&amp;VAR:KEY=LMRCDWPKHQ&amp;VAR:QUERY=RkZfRUJJVERBX0lCKCdMVE1TJywzOTc0OCk=&amp;WINDOW=FIRST_POPUP&amp;HEIGHT=450&amp;WIDTH=450&amp;START_MA","XIMIZED=FALSE&amp;VAR:CALENDAR=US&amp;VAR:SYMBOL=04916420&amp;VAR:INDEX=0"}</definedName>
    <definedName name="_9621__FDSAUDITLINK__" hidden="1">{"fdsup://directions/FAT Viewer?action=UPDATE&amp;creator=factset&amp;DYN_ARGS=TRUE&amp;DOC_NAME=FAT:FQL_AUDITING_CLIENT_TEMPLATE.FAT&amp;display_string=Audit&amp;VAR:KEY=LMRCDWPKHQ&amp;VAR:QUERY=RkZfRUJJVERBX0lCKCdMVE1TJywzOTc0OCk=&amp;WINDOW=FIRST_POPUP&amp;HEIGHT=450&amp;WIDTH=450&amp;START_MA","XIMIZED=FALSE&amp;VAR:CALENDAR=US&amp;VAR:SYMBOL=04916420&amp;VAR:INDEX=0"}</definedName>
    <definedName name="_9622__FDSAUDITLINK__" localSheetId="6" hidden="1">{"fdsup://directions/FAT Viewer?action=UPDATE&amp;creator=factset&amp;DYN_ARGS=TRUE&amp;DOC_NAME=FAT:FQL_AUDITING_CLIENT_TEMPLATE.FAT&amp;display_string=Audit&amp;VAR:KEY=VILWTMDYLO&amp;VAR:QUERY=RkZfRUJJVERBX0lCKCdMVE1TJywzOTc0Nyk=&amp;WINDOW=FIRST_POPUP&amp;HEIGHT=450&amp;WIDTH=450&amp;START_MA","XIMIZED=FALSE&amp;VAR:CALENDAR=US&amp;VAR:SYMBOL=04916420&amp;VAR:INDEX=0"}</definedName>
    <definedName name="_9622__FDSAUDITLINK__" hidden="1">{"fdsup://directions/FAT Viewer?action=UPDATE&amp;creator=factset&amp;DYN_ARGS=TRUE&amp;DOC_NAME=FAT:FQL_AUDITING_CLIENT_TEMPLATE.FAT&amp;display_string=Audit&amp;VAR:KEY=VILWTMDYLO&amp;VAR:QUERY=RkZfRUJJVERBX0lCKCdMVE1TJywzOTc0Nyk=&amp;WINDOW=FIRST_POPUP&amp;HEIGHT=450&amp;WIDTH=450&amp;START_MA","XIMIZED=FALSE&amp;VAR:CALENDAR=US&amp;VAR:SYMBOL=04916420&amp;VAR:INDEX=0"}</definedName>
    <definedName name="_9623__FDSAUDITLINK__" localSheetId="6" hidden="1">{"fdsup://directions/FAT Viewer?action=UPDATE&amp;creator=factset&amp;DYN_ARGS=TRUE&amp;DOC_NAME=FAT:FQL_AUDITING_CLIENT_TEMPLATE.FAT&amp;display_string=Audit&amp;VAR:KEY=PYJMNGTOJW&amp;VAR:QUERY=RkZfRUJJVERBX0lCKCdMVE1TJywzOTc0Nik=&amp;WINDOW=FIRST_POPUP&amp;HEIGHT=450&amp;WIDTH=450&amp;START_MA","XIMIZED=FALSE&amp;VAR:CALENDAR=US&amp;VAR:SYMBOL=04916420&amp;VAR:INDEX=0"}</definedName>
    <definedName name="_9623__FDSAUDITLINK__" hidden="1">{"fdsup://directions/FAT Viewer?action=UPDATE&amp;creator=factset&amp;DYN_ARGS=TRUE&amp;DOC_NAME=FAT:FQL_AUDITING_CLIENT_TEMPLATE.FAT&amp;display_string=Audit&amp;VAR:KEY=PYJMNGTOJW&amp;VAR:QUERY=RkZfRUJJVERBX0lCKCdMVE1TJywzOTc0Nik=&amp;WINDOW=FIRST_POPUP&amp;HEIGHT=450&amp;WIDTH=450&amp;START_MA","XIMIZED=FALSE&amp;VAR:CALENDAR=US&amp;VAR:SYMBOL=04916420&amp;VAR:INDEX=0"}</definedName>
    <definedName name="_9624__FDSAUDITLINK__" localSheetId="6" hidden="1">{"fdsup://directions/FAT Viewer?action=UPDATE&amp;creator=factset&amp;DYN_ARGS=TRUE&amp;DOC_NAME=FAT:FQL_AUDITING_CLIENT_TEMPLATE.FAT&amp;display_string=Audit&amp;VAR:KEY=PYZYFYFKJG&amp;VAR:QUERY=RkZfRUJJVERBX0lCKCdMVE1TJywzOTc0NSk=&amp;WINDOW=FIRST_POPUP&amp;HEIGHT=450&amp;WIDTH=450&amp;START_MA","XIMIZED=FALSE&amp;VAR:CALENDAR=US&amp;VAR:SYMBOL=04916420&amp;VAR:INDEX=0"}</definedName>
    <definedName name="_9624__FDSAUDITLINK__" hidden="1">{"fdsup://directions/FAT Viewer?action=UPDATE&amp;creator=factset&amp;DYN_ARGS=TRUE&amp;DOC_NAME=FAT:FQL_AUDITING_CLIENT_TEMPLATE.FAT&amp;display_string=Audit&amp;VAR:KEY=PYZYFYFKJG&amp;VAR:QUERY=RkZfRUJJVERBX0lCKCdMVE1TJywzOTc0NSk=&amp;WINDOW=FIRST_POPUP&amp;HEIGHT=450&amp;WIDTH=450&amp;START_MA","XIMIZED=FALSE&amp;VAR:CALENDAR=US&amp;VAR:SYMBOL=04916420&amp;VAR:INDEX=0"}</definedName>
    <definedName name="_9625__FDSAUDITLINK__" localSheetId="6" hidden="1">{"fdsup://directions/FAT Viewer?action=UPDATE&amp;creator=factset&amp;DYN_ARGS=TRUE&amp;DOC_NAME=FAT:FQL_AUDITING_CLIENT_TEMPLATE.FAT&amp;display_string=Audit&amp;VAR:KEY=TIVSVKHODS&amp;VAR:QUERY=RkZfRUJJVERBX0lCKCdMVE1TJywzOTc0NCk=&amp;WINDOW=FIRST_POPUP&amp;HEIGHT=450&amp;WIDTH=450&amp;START_MA","XIMIZED=FALSE&amp;VAR:CALENDAR=US&amp;VAR:SYMBOL=04916420&amp;VAR:INDEX=0"}</definedName>
    <definedName name="_9625__FDSAUDITLINK__" hidden="1">{"fdsup://directions/FAT Viewer?action=UPDATE&amp;creator=factset&amp;DYN_ARGS=TRUE&amp;DOC_NAME=FAT:FQL_AUDITING_CLIENT_TEMPLATE.FAT&amp;display_string=Audit&amp;VAR:KEY=TIVSVKHODS&amp;VAR:QUERY=RkZfRUJJVERBX0lCKCdMVE1TJywzOTc0NCk=&amp;WINDOW=FIRST_POPUP&amp;HEIGHT=450&amp;WIDTH=450&amp;START_MA","XIMIZED=FALSE&amp;VAR:CALENDAR=US&amp;VAR:SYMBOL=04916420&amp;VAR:INDEX=0"}</definedName>
    <definedName name="_9626__FDSAUDITLINK__" localSheetId="6" hidden="1">{"fdsup://directions/FAT Viewer?action=UPDATE&amp;creator=factset&amp;DYN_ARGS=TRUE&amp;DOC_NAME=FAT:FQL_AUDITING_CLIENT_TEMPLATE.FAT&amp;display_string=Audit&amp;VAR:KEY=ZITMVEBGXA&amp;VAR:QUERY=RkZfRUJJVERBX0lCKCdMVE1TJywzOTc0Myk=&amp;WINDOW=FIRST_POPUP&amp;HEIGHT=450&amp;WIDTH=450&amp;START_MA","XIMIZED=FALSE&amp;VAR:CALENDAR=US&amp;VAR:SYMBOL=04916420&amp;VAR:INDEX=0"}</definedName>
    <definedName name="_9626__FDSAUDITLINK__" hidden="1">{"fdsup://directions/FAT Viewer?action=UPDATE&amp;creator=factset&amp;DYN_ARGS=TRUE&amp;DOC_NAME=FAT:FQL_AUDITING_CLIENT_TEMPLATE.FAT&amp;display_string=Audit&amp;VAR:KEY=ZITMVEBGXA&amp;VAR:QUERY=RkZfRUJJVERBX0lCKCdMVE1TJywzOTc0Myk=&amp;WINDOW=FIRST_POPUP&amp;HEIGHT=450&amp;WIDTH=450&amp;START_MA","XIMIZED=FALSE&amp;VAR:CALENDAR=US&amp;VAR:SYMBOL=04916420&amp;VAR:INDEX=0"}</definedName>
    <definedName name="_9627__FDSAUDITLINK__" localSheetId="6" hidden="1">{"fdsup://directions/FAT Viewer?action=UPDATE&amp;creator=factset&amp;DYN_ARGS=TRUE&amp;DOC_NAME=FAT:FQL_AUDITING_CLIENT_TEMPLATE.FAT&amp;display_string=Audit&amp;VAR:KEY=VKNGPQDUXA&amp;VAR:QUERY=RkZfRUJJVERBX0lCKCdMVE1TJywzOTc0Mik=&amp;WINDOW=FIRST_POPUP&amp;HEIGHT=450&amp;WIDTH=450&amp;START_MA","XIMIZED=FALSE&amp;VAR:CALENDAR=US&amp;VAR:SYMBOL=04916420&amp;VAR:INDEX=0"}</definedName>
    <definedName name="_9627__FDSAUDITLINK__" hidden="1">{"fdsup://directions/FAT Viewer?action=UPDATE&amp;creator=factset&amp;DYN_ARGS=TRUE&amp;DOC_NAME=FAT:FQL_AUDITING_CLIENT_TEMPLATE.FAT&amp;display_string=Audit&amp;VAR:KEY=VKNGPQDUXA&amp;VAR:QUERY=RkZfRUJJVERBX0lCKCdMVE1TJywzOTc0Mik=&amp;WINDOW=FIRST_POPUP&amp;HEIGHT=450&amp;WIDTH=450&amp;START_MA","XIMIZED=FALSE&amp;VAR:CALENDAR=US&amp;VAR:SYMBOL=04916420&amp;VAR:INDEX=0"}</definedName>
    <definedName name="_9628__FDSAUDITLINK__" localSheetId="6" hidden="1">{"fdsup://directions/FAT Viewer?action=UPDATE&amp;creator=factset&amp;DYN_ARGS=TRUE&amp;DOC_NAME=FAT:FQL_AUDITING_CLIENT_TEMPLATE.FAT&amp;display_string=Audit&amp;VAR:KEY=VOXSLURERG&amp;VAR:QUERY=RkZfRUJJVERBX0lCKCdMVE1TJywzOTc0MSk=&amp;WINDOW=FIRST_POPUP&amp;HEIGHT=450&amp;WIDTH=450&amp;START_MA","XIMIZED=FALSE&amp;VAR:CALENDAR=US&amp;VAR:SYMBOL=04916420&amp;VAR:INDEX=0"}</definedName>
    <definedName name="_9628__FDSAUDITLINK__" hidden="1">{"fdsup://directions/FAT Viewer?action=UPDATE&amp;creator=factset&amp;DYN_ARGS=TRUE&amp;DOC_NAME=FAT:FQL_AUDITING_CLIENT_TEMPLATE.FAT&amp;display_string=Audit&amp;VAR:KEY=VOXSLURERG&amp;VAR:QUERY=RkZfRUJJVERBX0lCKCdMVE1TJywzOTc0MSk=&amp;WINDOW=FIRST_POPUP&amp;HEIGHT=450&amp;WIDTH=450&amp;START_MA","XIMIZED=FALSE&amp;VAR:CALENDAR=US&amp;VAR:SYMBOL=04916420&amp;VAR:INDEX=0"}</definedName>
    <definedName name="_9629__FDSAUDITLINK__" localSheetId="6" hidden="1">{"fdsup://directions/FAT Viewer?action=UPDATE&amp;creator=factset&amp;DYN_ARGS=TRUE&amp;DOC_NAME=FAT:FQL_AUDITING_CLIENT_TEMPLATE.FAT&amp;display_string=Audit&amp;VAR:KEY=NYVOLODWXK&amp;VAR:QUERY=RkZfRUJJVERBX0lCKCdMVE1TJywzOTc0MCk=&amp;WINDOW=FIRST_POPUP&amp;HEIGHT=450&amp;WIDTH=450&amp;START_MA","XIMIZED=FALSE&amp;VAR:CALENDAR=US&amp;VAR:SYMBOL=04916420&amp;VAR:INDEX=0"}</definedName>
    <definedName name="_9629__FDSAUDITLINK__" hidden="1">{"fdsup://directions/FAT Viewer?action=UPDATE&amp;creator=factset&amp;DYN_ARGS=TRUE&amp;DOC_NAME=FAT:FQL_AUDITING_CLIENT_TEMPLATE.FAT&amp;display_string=Audit&amp;VAR:KEY=NYVOLODWXK&amp;VAR:QUERY=RkZfRUJJVERBX0lCKCdMVE1TJywzOTc0MCk=&amp;WINDOW=FIRST_POPUP&amp;HEIGHT=450&amp;WIDTH=450&amp;START_MA","XIMIZED=FALSE&amp;VAR:CALENDAR=US&amp;VAR:SYMBOL=04916420&amp;VAR:INDEX=0"}</definedName>
    <definedName name="_963__FDSAUDITLINK__" localSheetId="6" hidden="1">{"fdsup://directions/FAT%20Viewer?VAR:PED=LTM&amp;VAR:AUDIT_MODE=SUMMARY&amp;VAR:PERIOD=FIXED&amp;VAR:AUDIT_ID=00000117&amp;VAR:DATE=20070703&amp;action=UPDATE&amp;creator=factset&amp;DOC_NAME=FAT:FMA_audit_SUMMARY.fat&amp;DISPLAY_STRING=Display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3__FDSAUDITLINK__" hidden="1">{"fdsup://directions/FAT%20Viewer?VAR:PED=LTM&amp;VAR:AUDIT_MODE=SUMMARY&amp;VAR:PERIOD=FIXED&amp;VAR:AUDIT_ID=00000117&amp;VAR:DATE=20070703&amp;action=UPDATE&amp;creator=factset&amp;DOC_NAME=FAT:FMA_audit_SUMMARY.fat&amp;DISPLAY_STRING=Display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30__FDSAUDITLINK__" localSheetId="6" hidden="1">{"fdsup://directions/FAT Viewer?action=UPDATE&amp;creator=factset&amp;DYN_ARGS=TRUE&amp;DOC_NAME=FAT:FQL_AUDITING_CLIENT_TEMPLATE.FAT&amp;display_string=Audit&amp;VAR:KEY=RGVCHELUXQ&amp;VAR:QUERY=RkZfRUJJVERBX0lCKCdMVE1TJywzOTczOSk=&amp;WINDOW=FIRST_POPUP&amp;HEIGHT=450&amp;WIDTH=450&amp;START_MA","XIMIZED=FALSE&amp;VAR:CALENDAR=US&amp;VAR:SYMBOL=04916420&amp;VAR:INDEX=0"}</definedName>
    <definedName name="_9630__FDSAUDITLINK__" hidden="1">{"fdsup://directions/FAT Viewer?action=UPDATE&amp;creator=factset&amp;DYN_ARGS=TRUE&amp;DOC_NAME=FAT:FQL_AUDITING_CLIENT_TEMPLATE.FAT&amp;display_string=Audit&amp;VAR:KEY=RGVCHELUXQ&amp;VAR:QUERY=RkZfRUJJVERBX0lCKCdMVE1TJywzOTczOSk=&amp;WINDOW=FIRST_POPUP&amp;HEIGHT=450&amp;WIDTH=450&amp;START_MA","XIMIZED=FALSE&amp;VAR:CALENDAR=US&amp;VAR:SYMBOL=04916420&amp;VAR:INDEX=0"}</definedName>
    <definedName name="_9631__FDSAUDITLINK__" localSheetId="6" hidden="1">{"fdsup://directions/FAT Viewer?action=UPDATE&amp;creator=factset&amp;DYN_ARGS=TRUE&amp;DOC_NAME=FAT:FQL_AUDITING_CLIENT_TEMPLATE.FAT&amp;display_string=Audit&amp;VAR:KEY=PGJYNOPCPO&amp;VAR:QUERY=RkZfRUJJVERBX0lCKCdMVE1TJywzOTczOCk=&amp;WINDOW=FIRST_POPUP&amp;HEIGHT=450&amp;WIDTH=450&amp;START_MA","XIMIZED=FALSE&amp;VAR:CALENDAR=US&amp;VAR:SYMBOL=04916420&amp;VAR:INDEX=0"}</definedName>
    <definedName name="_9631__FDSAUDITLINK__" hidden="1">{"fdsup://directions/FAT Viewer?action=UPDATE&amp;creator=factset&amp;DYN_ARGS=TRUE&amp;DOC_NAME=FAT:FQL_AUDITING_CLIENT_TEMPLATE.FAT&amp;display_string=Audit&amp;VAR:KEY=PGJYNOPCPO&amp;VAR:QUERY=RkZfRUJJVERBX0lCKCdMVE1TJywzOTczOCk=&amp;WINDOW=FIRST_POPUP&amp;HEIGHT=450&amp;WIDTH=450&amp;START_MA","XIMIZED=FALSE&amp;VAR:CALENDAR=US&amp;VAR:SYMBOL=04916420&amp;VAR:INDEX=0"}</definedName>
    <definedName name="_9632__FDSAUDITLINK__" localSheetId="6" hidden="1">{"fdsup://directions/FAT Viewer?action=UPDATE&amp;creator=factset&amp;DYN_ARGS=TRUE&amp;DOC_NAME=FAT:FQL_AUDITING_CLIENT_TEMPLATE.FAT&amp;display_string=Audit&amp;VAR:KEY=JAPADEVEJG&amp;VAR:QUERY=RkZfRUJJVERBX0lCKCdMVE1TJywzOTczNyk=&amp;WINDOW=FIRST_POPUP&amp;HEIGHT=450&amp;WIDTH=450&amp;START_MA","XIMIZED=FALSE&amp;VAR:CALENDAR=US&amp;VAR:SYMBOL=04916420&amp;VAR:INDEX=0"}</definedName>
    <definedName name="_9632__FDSAUDITLINK__" hidden="1">{"fdsup://directions/FAT Viewer?action=UPDATE&amp;creator=factset&amp;DYN_ARGS=TRUE&amp;DOC_NAME=FAT:FQL_AUDITING_CLIENT_TEMPLATE.FAT&amp;display_string=Audit&amp;VAR:KEY=JAPADEVEJG&amp;VAR:QUERY=RkZfRUJJVERBX0lCKCdMVE1TJywzOTczNyk=&amp;WINDOW=FIRST_POPUP&amp;HEIGHT=450&amp;WIDTH=450&amp;START_MA","XIMIZED=FALSE&amp;VAR:CALENDAR=US&amp;VAR:SYMBOL=04916420&amp;VAR:INDEX=0"}</definedName>
    <definedName name="_9633__FDSAUDITLINK__" localSheetId="6" hidden="1">{"fdsup://directions/FAT Viewer?action=UPDATE&amp;creator=factset&amp;DYN_ARGS=TRUE&amp;DOC_NAME=FAT:FQL_AUDITING_CLIENT_TEMPLATE.FAT&amp;display_string=Audit&amp;VAR:KEY=VGPENYFYZG&amp;VAR:QUERY=RkZfRUJJVERBX0lCKCdMVE1TJywzOTczNik=&amp;WINDOW=FIRST_POPUP&amp;HEIGHT=450&amp;WIDTH=450&amp;START_MA","XIMIZED=FALSE&amp;VAR:CALENDAR=US&amp;VAR:SYMBOL=04916420&amp;VAR:INDEX=0"}</definedName>
    <definedName name="_9633__FDSAUDITLINK__" hidden="1">{"fdsup://directions/FAT Viewer?action=UPDATE&amp;creator=factset&amp;DYN_ARGS=TRUE&amp;DOC_NAME=FAT:FQL_AUDITING_CLIENT_TEMPLATE.FAT&amp;display_string=Audit&amp;VAR:KEY=VGPENYFYZG&amp;VAR:QUERY=RkZfRUJJVERBX0lCKCdMVE1TJywzOTczNik=&amp;WINDOW=FIRST_POPUP&amp;HEIGHT=450&amp;WIDTH=450&amp;START_MA","XIMIZED=FALSE&amp;VAR:CALENDAR=US&amp;VAR:SYMBOL=04916420&amp;VAR:INDEX=0"}</definedName>
    <definedName name="_9634__FDSAUDITLINK__" localSheetId="6" hidden="1">{"fdsup://directions/FAT Viewer?action=UPDATE&amp;creator=factset&amp;DYN_ARGS=TRUE&amp;DOC_NAME=FAT:FQL_AUDITING_CLIENT_TEMPLATE.FAT&amp;display_string=Audit&amp;VAR:KEY=LENQBQDKNA&amp;VAR:QUERY=RkZfRUJJVERBX0lCKCdMVE1TJywzOTczNSk=&amp;WINDOW=FIRST_POPUP&amp;HEIGHT=450&amp;WIDTH=450&amp;START_MA","XIMIZED=FALSE&amp;VAR:CALENDAR=US&amp;VAR:SYMBOL=04916420&amp;VAR:INDEX=0"}</definedName>
    <definedName name="_9634__FDSAUDITLINK__" hidden="1">{"fdsup://directions/FAT Viewer?action=UPDATE&amp;creator=factset&amp;DYN_ARGS=TRUE&amp;DOC_NAME=FAT:FQL_AUDITING_CLIENT_TEMPLATE.FAT&amp;display_string=Audit&amp;VAR:KEY=LENQBQDKNA&amp;VAR:QUERY=RkZfRUJJVERBX0lCKCdMVE1TJywzOTczNSk=&amp;WINDOW=FIRST_POPUP&amp;HEIGHT=450&amp;WIDTH=450&amp;START_MA","XIMIZED=FALSE&amp;VAR:CALENDAR=US&amp;VAR:SYMBOL=04916420&amp;VAR:INDEX=0"}</definedName>
    <definedName name="_9635__FDSAUDITLINK__" localSheetId="6" hidden="1">{"fdsup://directions/FAT Viewer?action=UPDATE&amp;creator=factset&amp;DYN_ARGS=TRUE&amp;DOC_NAME=FAT:FQL_AUDITING_CLIENT_TEMPLATE.FAT&amp;display_string=Audit&amp;VAR:KEY=PETETWZUNY&amp;VAR:QUERY=RkZfRUJJVERBX0lCKCdMVE1TJywzOTczNCk=&amp;WINDOW=FIRST_POPUP&amp;HEIGHT=450&amp;WIDTH=450&amp;START_MA","XIMIZED=FALSE&amp;VAR:CALENDAR=US&amp;VAR:SYMBOL=04916420&amp;VAR:INDEX=0"}</definedName>
    <definedName name="_9635__FDSAUDITLINK__" hidden="1">{"fdsup://directions/FAT Viewer?action=UPDATE&amp;creator=factset&amp;DYN_ARGS=TRUE&amp;DOC_NAME=FAT:FQL_AUDITING_CLIENT_TEMPLATE.FAT&amp;display_string=Audit&amp;VAR:KEY=PETETWZUNY&amp;VAR:QUERY=RkZfRUJJVERBX0lCKCdMVE1TJywzOTczNCk=&amp;WINDOW=FIRST_POPUP&amp;HEIGHT=450&amp;WIDTH=450&amp;START_MA","XIMIZED=FALSE&amp;VAR:CALENDAR=US&amp;VAR:SYMBOL=04916420&amp;VAR:INDEX=0"}</definedName>
    <definedName name="_9636__FDSAUDITLINK__" localSheetId="6" hidden="1">{"fdsup://directions/FAT Viewer?action=UPDATE&amp;creator=factset&amp;DYN_ARGS=TRUE&amp;DOC_NAME=FAT:FQL_AUDITING_CLIENT_TEMPLATE.FAT&amp;display_string=Audit&amp;VAR:KEY=DIFWVGHCBO&amp;VAR:QUERY=RkZfRUJJVERBX0lCKCdMVE1TJywzOTczMyk=&amp;WINDOW=FIRST_POPUP&amp;HEIGHT=450&amp;WIDTH=450&amp;START_MA","XIMIZED=FALSE&amp;VAR:CALENDAR=US&amp;VAR:SYMBOL=04916420&amp;VAR:INDEX=0"}</definedName>
    <definedName name="_9636__FDSAUDITLINK__" hidden="1">{"fdsup://directions/FAT Viewer?action=UPDATE&amp;creator=factset&amp;DYN_ARGS=TRUE&amp;DOC_NAME=FAT:FQL_AUDITING_CLIENT_TEMPLATE.FAT&amp;display_string=Audit&amp;VAR:KEY=DIFWVGHCBO&amp;VAR:QUERY=RkZfRUJJVERBX0lCKCdMVE1TJywzOTczMyk=&amp;WINDOW=FIRST_POPUP&amp;HEIGHT=450&amp;WIDTH=450&amp;START_MA","XIMIZED=FALSE&amp;VAR:CALENDAR=US&amp;VAR:SYMBOL=04916420&amp;VAR:INDEX=0"}</definedName>
    <definedName name="_9637__FDSAUDITLINK__" localSheetId="6" hidden="1">{"fdsup://directions/FAT Viewer?action=UPDATE&amp;creator=factset&amp;DYN_ARGS=TRUE&amp;DOC_NAME=FAT:FQL_AUDITING_CLIENT_TEMPLATE.FAT&amp;display_string=Audit&amp;VAR:KEY=PGLCTOPYVW&amp;VAR:QUERY=RkZfRUJJVERBX0lCKCdMVE1TJywzOTczMik=&amp;WINDOW=FIRST_POPUP&amp;HEIGHT=450&amp;WIDTH=450&amp;START_MA","XIMIZED=FALSE&amp;VAR:CALENDAR=US&amp;VAR:SYMBOL=04916420&amp;VAR:INDEX=0"}</definedName>
    <definedName name="_9637__FDSAUDITLINK__" hidden="1">{"fdsup://directions/FAT Viewer?action=UPDATE&amp;creator=factset&amp;DYN_ARGS=TRUE&amp;DOC_NAME=FAT:FQL_AUDITING_CLIENT_TEMPLATE.FAT&amp;display_string=Audit&amp;VAR:KEY=PGLCTOPYVW&amp;VAR:QUERY=RkZfRUJJVERBX0lCKCdMVE1TJywzOTczMik=&amp;WINDOW=FIRST_POPUP&amp;HEIGHT=450&amp;WIDTH=450&amp;START_MA","XIMIZED=FALSE&amp;VAR:CALENDAR=US&amp;VAR:SYMBOL=04916420&amp;VAR:INDEX=0"}</definedName>
    <definedName name="_9638__FDSAUDITLINK__" localSheetId="6" hidden="1">{"fdsup://directions/FAT Viewer?action=UPDATE&amp;creator=factset&amp;DYN_ARGS=TRUE&amp;DOC_NAME=FAT:FQL_AUDITING_CLIENT_TEMPLATE.FAT&amp;display_string=Audit&amp;VAR:KEY=VKBALCREHK&amp;VAR:QUERY=RkZfRUJJVERBX0lCKCdMVE1TJywzOTczMSk=&amp;WINDOW=FIRST_POPUP&amp;HEIGHT=450&amp;WIDTH=450&amp;START_MA","XIMIZED=FALSE&amp;VAR:CALENDAR=US&amp;VAR:SYMBOL=04916420&amp;VAR:INDEX=0"}</definedName>
    <definedName name="_9638__FDSAUDITLINK__" hidden="1">{"fdsup://directions/FAT Viewer?action=UPDATE&amp;creator=factset&amp;DYN_ARGS=TRUE&amp;DOC_NAME=FAT:FQL_AUDITING_CLIENT_TEMPLATE.FAT&amp;display_string=Audit&amp;VAR:KEY=VKBALCREHK&amp;VAR:QUERY=RkZfRUJJVERBX0lCKCdMVE1TJywzOTczMSk=&amp;WINDOW=FIRST_POPUP&amp;HEIGHT=450&amp;WIDTH=450&amp;START_MA","XIMIZED=FALSE&amp;VAR:CALENDAR=US&amp;VAR:SYMBOL=04916420&amp;VAR:INDEX=0"}</definedName>
    <definedName name="_9639__FDSAUDITLINK__" localSheetId="6" hidden="1">{"fdsup://directions/FAT Viewer?action=UPDATE&amp;creator=factset&amp;DYN_ARGS=TRUE&amp;DOC_NAME=FAT:FQL_AUDITING_CLIENT_TEMPLATE.FAT&amp;display_string=Audit&amp;VAR:KEY=VMPAXEHGJU&amp;VAR:QUERY=RkZfRUJJVERBX0lCKCdMVE1TJywzOTczMCk=&amp;WINDOW=FIRST_POPUP&amp;HEIGHT=450&amp;WIDTH=450&amp;START_MA","XIMIZED=FALSE&amp;VAR:CALENDAR=US&amp;VAR:SYMBOL=04916420&amp;VAR:INDEX=0"}</definedName>
    <definedName name="_9639__FDSAUDITLINK__" hidden="1">{"fdsup://directions/FAT Viewer?action=UPDATE&amp;creator=factset&amp;DYN_ARGS=TRUE&amp;DOC_NAME=FAT:FQL_AUDITING_CLIENT_TEMPLATE.FAT&amp;display_string=Audit&amp;VAR:KEY=VMPAXEHGJU&amp;VAR:QUERY=RkZfRUJJVERBX0lCKCdMVE1TJywzOTczMCk=&amp;WINDOW=FIRST_POPUP&amp;HEIGHT=450&amp;WIDTH=450&amp;START_MA","XIMIZED=FALSE&amp;VAR:CALENDAR=US&amp;VAR:SYMBOL=04916420&amp;VAR:INDEX=0"}</definedName>
    <definedName name="_964__FDSAUDITLINK__" localSheetId="6" hidden="1">{"fdsup://directions/FAT%20Viewer?VAR:PED=LTM&amp;VAR:AUDIT_MODE=SUMMARY&amp;VAR:PERIOD=FIXED&amp;VAR:AUDIT_ID=00000117&amp;VAR:DATE=20070703&amp;action=UPDATE&amp;creator=factset&amp;DOC_NAME=FAT:FMA_audit_SUMMARY.fat&amp;DISPLAY_STRING=Display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4__FDSAUDITLINK__" hidden="1">{"fdsup://directions/FAT%20Viewer?VAR:PED=LTM&amp;VAR:AUDIT_MODE=SUMMARY&amp;VAR:PERIOD=FIXED&amp;VAR:AUDIT_ID=00000117&amp;VAR:DATE=20070703&amp;action=UPDATE&amp;creator=factset&amp;DOC_NAME=FAT:FMA_audit_SUMMARY.fat&amp;DISPLAY_STRING=Display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40__FDSAUDITLINK__" localSheetId="6" hidden="1">{"fdsup://directions/FAT Viewer?action=UPDATE&amp;creator=factset&amp;DYN_ARGS=TRUE&amp;DOC_NAME=FAT:FQL_AUDITING_CLIENT_TEMPLATE.FAT&amp;display_string=Audit&amp;VAR:KEY=VUXEDIDIXE&amp;VAR:QUERY=RkZfRUJJVERBX0lCKCdMVE1TJywzOTcyOSk=&amp;WINDOW=FIRST_POPUP&amp;HEIGHT=450&amp;WIDTH=450&amp;START_MA","XIMIZED=FALSE&amp;VAR:CALENDAR=US&amp;VAR:SYMBOL=04916420&amp;VAR:INDEX=0"}</definedName>
    <definedName name="_9640__FDSAUDITLINK__" hidden="1">{"fdsup://directions/FAT Viewer?action=UPDATE&amp;creator=factset&amp;DYN_ARGS=TRUE&amp;DOC_NAME=FAT:FQL_AUDITING_CLIENT_TEMPLATE.FAT&amp;display_string=Audit&amp;VAR:KEY=VUXEDIDIXE&amp;VAR:QUERY=RkZfRUJJVERBX0lCKCdMVE1TJywzOTcyOSk=&amp;WINDOW=FIRST_POPUP&amp;HEIGHT=450&amp;WIDTH=450&amp;START_MA","XIMIZED=FALSE&amp;VAR:CALENDAR=US&amp;VAR:SYMBOL=04916420&amp;VAR:INDEX=0"}</definedName>
    <definedName name="_9641__FDSAUDITLINK__" localSheetId="6" hidden="1">{"fdsup://directions/FAT Viewer?action=UPDATE&amp;creator=factset&amp;DYN_ARGS=TRUE&amp;DOC_NAME=FAT:FQL_AUDITING_CLIENT_TEMPLATE.FAT&amp;display_string=Audit&amp;VAR:KEY=ZAZUHMRYPA&amp;VAR:QUERY=RkZfRUJJVERBX0lCKCdMVE1TJywzOTcyOCk=&amp;WINDOW=FIRST_POPUP&amp;HEIGHT=450&amp;WIDTH=450&amp;START_MA","XIMIZED=FALSE&amp;VAR:CALENDAR=US&amp;VAR:SYMBOL=04916420&amp;VAR:INDEX=0"}</definedName>
    <definedName name="_9641__FDSAUDITLINK__" hidden="1">{"fdsup://directions/FAT Viewer?action=UPDATE&amp;creator=factset&amp;DYN_ARGS=TRUE&amp;DOC_NAME=FAT:FQL_AUDITING_CLIENT_TEMPLATE.FAT&amp;display_string=Audit&amp;VAR:KEY=ZAZUHMRYPA&amp;VAR:QUERY=RkZfRUJJVERBX0lCKCdMVE1TJywzOTcyOCk=&amp;WINDOW=FIRST_POPUP&amp;HEIGHT=450&amp;WIDTH=450&amp;START_MA","XIMIZED=FALSE&amp;VAR:CALENDAR=US&amp;VAR:SYMBOL=04916420&amp;VAR:INDEX=0"}</definedName>
    <definedName name="_9642__FDSAUDITLINK__" localSheetId="6" hidden="1">{"fdsup://directions/FAT Viewer?action=UPDATE&amp;creator=factset&amp;DYN_ARGS=TRUE&amp;DOC_NAME=FAT:FQL_AUDITING_CLIENT_TEMPLATE.FAT&amp;display_string=Audit&amp;VAR:KEY=LYXEPATCFQ&amp;VAR:QUERY=RkZfRUJJVERBX0lCKCdMVE1TJywzOTcyNyk=&amp;WINDOW=FIRST_POPUP&amp;HEIGHT=450&amp;WIDTH=450&amp;START_MA","XIMIZED=FALSE&amp;VAR:CALENDAR=US&amp;VAR:SYMBOL=04916420&amp;VAR:INDEX=0"}</definedName>
    <definedName name="_9642__FDSAUDITLINK__" hidden="1">{"fdsup://directions/FAT Viewer?action=UPDATE&amp;creator=factset&amp;DYN_ARGS=TRUE&amp;DOC_NAME=FAT:FQL_AUDITING_CLIENT_TEMPLATE.FAT&amp;display_string=Audit&amp;VAR:KEY=LYXEPATCFQ&amp;VAR:QUERY=RkZfRUJJVERBX0lCKCdMVE1TJywzOTcyNyk=&amp;WINDOW=FIRST_POPUP&amp;HEIGHT=450&amp;WIDTH=450&amp;START_MA","XIMIZED=FALSE&amp;VAR:CALENDAR=US&amp;VAR:SYMBOL=04916420&amp;VAR:INDEX=0"}</definedName>
    <definedName name="_9643__FDSAUDITLINK__" localSheetId="6" hidden="1">{"fdsup://directions/FAT Viewer?action=UPDATE&amp;creator=factset&amp;DYN_ARGS=TRUE&amp;DOC_NAME=FAT:FQL_AUDITING_CLIENT_TEMPLATE.FAT&amp;display_string=Audit&amp;VAR:KEY=BOTYROJEHW&amp;VAR:QUERY=RkZfRUJJVERBX0lCKCdMVE1TJywzOTcyNik=&amp;WINDOW=FIRST_POPUP&amp;HEIGHT=450&amp;WIDTH=450&amp;START_MA","XIMIZED=FALSE&amp;VAR:CALENDAR=US&amp;VAR:SYMBOL=04916420&amp;VAR:INDEX=0"}</definedName>
    <definedName name="_9643__FDSAUDITLINK__" hidden="1">{"fdsup://directions/FAT Viewer?action=UPDATE&amp;creator=factset&amp;DYN_ARGS=TRUE&amp;DOC_NAME=FAT:FQL_AUDITING_CLIENT_TEMPLATE.FAT&amp;display_string=Audit&amp;VAR:KEY=BOTYROJEHW&amp;VAR:QUERY=RkZfRUJJVERBX0lCKCdMVE1TJywzOTcyNik=&amp;WINDOW=FIRST_POPUP&amp;HEIGHT=450&amp;WIDTH=450&amp;START_MA","XIMIZED=FALSE&amp;VAR:CALENDAR=US&amp;VAR:SYMBOL=04916420&amp;VAR:INDEX=0"}</definedName>
    <definedName name="_9644__FDSAUDITLINK__" localSheetId="6" hidden="1">{"fdsup://directions/FAT Viewer?action=UPDATE&amp;creator=factset&amp;DYN_ARGS=TRUE&amp;DOC_NAME=FAT:FQL_AUDITING_CLIENT_TEMPLATE.FAT&amp;display_string=Audit&amp;VAR:KEY=JEJADKTMJE&amp;VAR:QUERY=RkZfRUJJVERBX0lCKCdMVE1TJywzOTcyNSk=&amp;WINDOW=FIRST_POPUP&amp;HEIGHT=450&amp;WIDTH=450&amp;START_MA","XIMIZED=FALSE&amp;VAR:CALENDAR=US&amp;VAR:SYMBOL=04916420&amp;VAR:INDEX=0"}</definedName>
    <definedName name="_9644__FDSAUDITLINK__" hidden="1">{"fdsup://directions/FAT Viewer?action=UPDATE&amp;creator=factset&amp;DYN_ARGS=TRUE&amp;DOC_NAME=FAT:FQL_AUDITING_CLIENT_TEMPLATE.FAT&amp;display_string=Audit&amp;VAR:KEY=JEJADKTMJE&amp;VAR:QUERY=RkZfRUJJVERBX0lCKCdMVE1TJywzOTcyNSk=&amp;WINDOW=FIRST_POPUP&amp;HEIGHT=450&amp;WIDTH=450&amp;START_MA","XIMIZED=FALSE&amp;VAR:CALENDAR=US&amp;VAR:SYMBOL=04916420&amp;VAR:INDEX=0"}</definedName>
    <definedName name="_9645__FDSAUDITLINK__" localSheetId="6" hidden="1">{"fdsup://directions/FAT Viewer?action=UPDATE&amp;creator=factset&amp;DYN_ARGS=TRUE&amp;DOC_NAME=FAT:FQL_AUDITING_CLIENT_TEMPLATE.FAT&amp;display_string=Audit&amp;VAR:KEY=FUPULCHQNC&amp;VAR:QUERY=RkZfRUJJVERBX0lCKCdMVE1TJywzOTcyNCk=&amp;WINDOW=FIRST_POPUP&amp;HEIGHT=450&amp;WIDTH=450&amp;START_MA","XIMIZED=FALSE&amp;VAR:CALENDAR=US&amp;VAR:SYMBOL=04916420&amp;VAR:INDEX=0"}</definedName>
    <definedName name="_9645__FDSAUDITLINK__" hidden="1">{"fdsup://directions/FAT Viewer?action=UPDATE&amp;creator=factset&amp;DYN_ARGS=TRUE&amp;DOC_NAME=FAT:FQL_AUDITING_CLIENT_TEMPLATE.FAT&amp;display_string=Audit&amp;VAR:KEY=FUPULCHQNC&amp;VAR:QUERY=RkZfRUJJVERBX0lCKCdMVE1TJywzOTcyNCk=&amp;WINDOW=FIRST_POPUP&amp;HEIGHT=450&amp;WIDTH=450&amp;START_MA","XIMIZED=FALSE&amp;VAR:CALENDAR=US&amp;VAR:SYMBOL=04916420&amp;VAR:INDEX=0"}</definedName>
    <definedName name="_9646__FDSAUDITLINK__" localSheetId="6" hidden="1">{"fdsup://directions/FAT Viewer?action=UPDATE&amp;creator=factset&amp;DYN_ARGS=TRUE&amp;DOC_NAME=FAT:FQL_AUDITING_CLIENT_TEMPLATE.FAT&amp;display_string=Audit&amp;VAR:KEY=FQNANEVAHA&amp;VAR:QUERY=RkZfRUJJVERBX0lCKCdMVE1TJywzOTcyMyk=&amp;WINDOW=FIRST_POPUP&amp;HEIGHT=450&amp;WIDTH=450&amp;START_MA","XIMIZED=FALSE&amp;VAR:CALENDAR=US&amp;VAR:SYMBOL=04916420&amp;VAR:INDEX=0"}</definedName>
    <definedName name="_9646__FDSAUDITLINK__" hidden="1">{"fdsup://directions/FAT Viewer?action=UPDATE&amp;creator=factset&amp;DYN_ARGS=TRUE&amp;DOC_NAME=FAT:FQL_AUDITING_CLIENT_TEMPLATE.FAT&amp;display_string=Audit&amp;VAR:KEY=FQNANEVAHA&amp;VAR:QUERY=RkZfRUJJVERBX0lCKCdMVE1TJywzOTcyMyk=&amp;WINDOW=FIRST_POPUP&amp;HEIGHT=450&amp;WIDTH=450&amp;START_MA","XIMIZED=FALSE&amp;VAR:CALENDAR=US&amp;VAR:SYMBOL=04916420&amp;VAR:INDEX=0"}</definedName>
    <definedName name="_9647__FDSAUDITLINK__" localSheetId="6" hidden="1">{"fdsup://directions/FAT Viewer?action=UPDATE&amp;creator=factset&amp;DYN_ARGS=TRUE&amp;DOC_NAME=FAT:FQL_AUDITING_CLIENT_TEMPLATE.FAT&amp;display_string=Audit&amp;VAR:KEY=ZYVCRKHOLS&amp;VAR:QUERY=RkZfRUJJVERBX0lCKCdMVE1TJywzOTcyMik=&amp;WINDOW=FIRST_POPUP&amp;HEIGHT=450&amp;WIDTH=450&amp;START_MA","XIMIZED=FALSE&amp;VAR:CALENDAR=US&amp;VAR:SYMBOL=04916420&amp;VAR:INDEX=0"}</definedName>
    <definedName name="_9647__FDSAUDITLINK__" hidden="1">{"fdsup://directions/FAT Viewer?action=UPDATE&amp;creator=factset&amp;DYN_ARGS=TRUE&amp;DOC_NAME=FAT:FQL_AUDITING_CLIENT_TEMPLATE.FAT&amp;display_string=Audit&amp;VAR:KEY=ZYVCRKHOLS&amp;VAR:QUERY=RkZfRUJJVERBX0lCKCdMVE1TJywzOTcyMik=&amp;WINDOW=FIRST_POPUP&amp;HEIGHT=450&amp;WIDTH=450&amp;START_MA","XIMIZED=FALSE&amp;VAR:CALENDAR=US&amp;VAR:SYMBOL=04916420&amp;VAR:INDEX=0"}</definedName>
    <definedName name="_9648__FDSAUDITLINK__" localSheetId="6" hidden="1">{"fdsup://directions/FAT Viewer?action=UPDATE&amp;creator=factset&amp;DYN_ARGS=TRUE&amp;DOC_NAME=FAT:FQL_AUDITING_CLIENT_TEMPLATE.FAT&amp;display_string=Audit&amp;VAR:KEY=ZOTKBIHITE&amp;VAR:QUERY=RkZfRUJJVERBX0lCKCdMVE1TJywzOTcyMSk=&amp;WINDOW=FIRST_POPUP&amp;HEIGHT=450&amp;WIDTH=450&amp;START_MA","XIMIZED=FALSE&amp;VAR:CALENDAR=US&amp;VAR:SYMBOL=04916420&amp;VAR:INDEX=0"}</definedName>
    <definedName name="_9648__FDSAUDITLINK__" hidden="1">{"fdsup://directions/FAT Viewer?action=UPDATE&amp;creator=factset&amp;DYN_ARGS=TRUE&amp;DOC_NAME=FAT:FQL_AUDITING_CLIENT_TEMPLATE.FAT&amp;display_string=Audit&amp;VAR:KEY=ZOTKBIHITE&amp;VAR:QUERY=RkZfRUJJVERBX0lCKCdMVE1TJywzOTcyMSk=&amp;WINDOW=FIRST_POPUP&amp;HEIGHT=450&amp;WIDTH=450&amp;START_MA","XIMIZED=FALSE&amp;VAR:CALENDAR=US&amp;VAR:SYMBOL=04916420&amp;VAR:INDEX=0"}</definedName>
    <definedName name="_9649__FDSAUDITLINK__" localSheetId="6" hidden="1">{"fdsup://directions/FAT Viewer?action=UPDATE&amp;creator=factset&amp;DYN_ARGS=TRUE&amp;DOC_NAME=FAT:FQL_AUDITING_CLIENT_TEMPLATE.FAT&amp;display_string=Audit&amp;VAR:KEY=ZWTUFKTMZE&amp;VAR:QUERY=RkZfRUJJVERBX0lCKCdMVE1TJywzOTcyMCk=&amp;WINDOW=FIRST_POPUP&amp;HEIGHT=450&amp;WIDTH=450&amp;START_MA","XIMIZED=FALSE&amp;VAR:CALENDAR=US&amp;VAR:SYMBOL=04916420&amp;VAR:INDEX=0"}</definedName>
    <definedName name="_9649__FDSAUDITLINK__" hidden="1">{"fdsup://directions/FAT Viewer?action=UPDATE&amp;creator=factset&amp;DYN_ARGS=TRUE&amp;DOC_NAME=FAT:FQL_AUDITING_CLIENT_TEMPLATE.FAT&amp;display_string=Audit&amp;VAR:KEY=ZWTUFKTMZE&amp;VAR:QUERY=RkZfRUJJVERBX0lCKCdMVE1TJywzOTcyMCk=&amp;WINDOW=FIRST_POPUP&amp;HEIGHT=450&amp;WIDTH=450&amp;START_MA","XIMIZED=FALSE&amp;VAR:CALENDAR=US&amp;VAR:SYMBOL=04916420&amp;VAR:INDEX=0"}</definedName>
    <definedName name="_965__FDSAUDITLINK__" localSheetId="6" hidden="1">{"fdsup://directions/FAT%20Viewer?VAR:PED=LTM&amp;VAR:AUDIT_MODE=SUMMARY&amp;VAR:PERIOD=FIXED&amp;VAR:AUDIT_ID=00000117&amp;VAR:DATE=20070702&amp;action=UPDATE&amp;creator=factset&amp;DOC_NAME=FAT:FMA_audit_SUMMARY.fat&amp;DISPLAY_STRING=Display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5__FDSAUDITLINK__" hidden="1">{"fdsup://directions/FAT%20Viewer?VAR:PED=LTM&amp;VAR:AUDIT_MODE=SUMMARY&amp;VAR:PERIOD=FIXED&amp;VAR:AUDIT_ID=00000117&amp;VAR:DATE=20070702&amp;action=UPDATE&amp;creator=factset&amp;DOC_NAME=FAT:FMA_audit_SUMMARY.fat&amp;DISPLAY_STRING=Display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EBITDA&amp;VAR:CHGPERIOD=NA&amp;VAR:FQLFORMULA=FMA_EVAL_EBITDA&amp;VAR:CURRENCY=NA&amp;VAR:P=NA&amp;VAR:V=11.4","05381&amp;VAR:null=.html"}</definedName>
    <definedName name="_9650__FDSAUDITLINK__" localSheetId="6" hidden="1">{"fdsup://directions/FAT Viewer?action=UPDATE&amp;creator=factset&amp;DYN_ARGS=TRUE&amp;DOC_NAME=FAT:FQL_AUDITING_CLIENT_TEMPLATE.FAT&amp;display_string=Audit&amp;VAR:KEY=BWNYFGBKVK&amp;VAR:QUERY=RkZfRUJJVERBX0lCKCdMVE1TJywzOTcxOSk=&amp;WINDOW=FIRST_POPUP&amp;HEIGHT=450&amp;WIDTH=450&amp;START_MA","XIMIZED=FALSE&amp;VAR:CALENDAR=US&amp;VAR:SYMBOL=04916420&amp;VAR:INDEX=0"}</definedName>
    <definedName name="_9650__FDSAUDITLINK__" hidden="1">{"fdsup://directions/FAT Viewer?action=UPDATE&amp;creator=factset&amp;DYN_ARGS=TRUE&amp;DOC_NAME=FAT:FQL_AUDITING_CLIENT_TEMPLATE.FAT&amp;display_string=Audit&amp;VAR:KEY=BWNYFGBKVK&amp;VAR:QUERY=RkZfRUJJVERBX0lCKCdMVE1TJywzOTcxOSk=&amp;WINDOW=FIRST_POPUP&amp;HEIGHT=450&amp;WIDTH=450&amp;START_MA","XIMIZED=FALSE&amp;VAR:CALENDAR=US&amp;VAR:SYMBOL=04916420&amp;VAR:INDEX=0"}</definedName>
    <definedName name="_9651__FDSAUDITLINK__" localSheetId="6" hidden="1">{"fdsup://directions/FAT Viewer?action=UPDATE&amp;creator=factset&amp;DYN_ARGS=TRUE&amp;DOC_NAME=FAT:FQL_AUDITING_CLIENT_TEMPLATE.FAT&amp;display_string=Audit&amp;VAR:KEY=PGNULIRGPI&amp;VAR:QUERY=RkZfRUJJVERBX0lCKCdMVE1TJywzOTcxOCk=&amp;WINDOW=FIRST_POPUP&amp;HEIGHT=450&amp;WIDTH=450&amp;START_MA","XIMIZED=FALSE&amp;VAR:CALENDAR=US&amp;VAR:SYMBOL=04916420&amp;VAR:INDEX=0"}</definedName>
    <definedName name="_9651__FDSAUDITLINK__" hidden="1">{"fdsup://directions/FAT Viewer?action=UPDATE&amp;creator=factset&amp;DYN_ARGS=TRUE&amp;DOC_NAME=FAT:FQL_AUDITING_CLIENT_TEMPLATE.FAT&amp;display_string=Audit&amp;VAR:KEY=PGNULIRGPI&amp;VAR:QUERY=RkZfRUJJVERBX0lCKCdMVE1TJywzOTcxOCk=&amp;WINDOW=FIRST_POPUP&amp;HEIGHT=450&amp;WIDTH=450&amp;START_MA","XIMIZED=FALSE&amp;VAR:CALENDAR=US&amp;VAR:SYMBOL=04916420&amp;VAR:INDEX=0"}</definedName>
    <definedName name="_9652__FDSAUDITLINK__" localSheetId="6" hidden="1">{"fdsup://directions/FAT Viewer?action=UPDATE&amp;creator=factset&amp;DYN_ARGS=TRUE&amp;DOC_NAME=FAT:FQL_AUDITING_CLIENT_TEMPLATE.FAT&amp;display_string=Audit&amp;VAR:KEY=HMPWXOJITI&amp;VAR:QUERY=RkZfRUJJVERBX0lCKCdMVE1TJywzOTcxNyk=&amp;WINDOW=FIRST_POPUP&amp;HEIGHT=450&amp;WIDTH=450&amp;START_MA","XIMIZED=FALSE&amp;VAR:CALENDAR=US&amp;VAR:SYMBOL=04916420&amp;VAR:INDEX=0"}</definedName>
    <definedName name="_9652__FDSAUDITLINK__" hidden="1">{"fdsup://directions/FAT Viewer?action=UPDATE&amp;creator=factset&amp;DYN_ARGS=TRUE&amp;DOC_NAME=FAT:FQL_AUDITING_CLIENT_TEMPLATE.FAT&amp;display_string=Audit&amp;VAR:KEY=HMPWXOJITI&amp;VAR:QUERY=RkZfRUJJVERBX0lCKCdMVE1TJywzOTcxNyk=&amp;WINDOW=FIRST_POPUP&amp;HEIGHT=450&amp;WIDTH=450&amp;START_MA","XIMIZED=FALSE&amp;VAR:CALENDAR=US&amp;VAR:SYMBOL=04916420&amp;VAR:INDEX=0"}</definedName>
    <definedName name="_9653__FDSAUDITLINK__" localSheetId="6" hidden="1">{"fdsup://directions/FAT Viewer?action=UPDATE&amp;creator=factset&amp;DYN_ARGS=TRUE&amp;DOC_NAME=FAT:FQL_AUDITING_CLIENT_TEMPLATE.FAT&amp;display_string=Audit&amp;VAR:KEY=JWHUREBYJO&amp;VAR:QUERY=RkZfRUJJVERBX0lCKCdMVE1TJywzOTcxNik=&amp;WINDOW=FIRST_POPUP&amp;HEIGHT=450&amp;WIDTH=450&amp;START_MA","XIMIZED=FALSE&amp;VAR:CALENDAR=US&amp;VAR:SYMBOL=04916420&amp;VAR:INDEX=0"}</definedName>
    <definedName name="_9653__FDSAUDITLINK__" hidden="1">{"fdsup://directions/FAT Viewer?action=UPDATE&amp;creator=factset&amp;DYN_ARGS=TRUE&amp;DOC_NAME=FAT:FQL_AUDITING_CLIENT_TEMPLATE.FAT&amp;display_string=Audit&amp;VAR:KEY=JWHUREBYJO&amp;VAR:QUERY=RkZfRUJJVERBX0lCKCdMVE1TJywzOTcxNik=&amp;WINDOW=FIRST_POPUP&amp;HEIGHT=450&amp;WIDTH=450&amp;START_MA","XIMIZED=FALSE&amp;VAR:CALENDAR=US&amp;VAR:SYMBOL=04916420&amp;VAR:INDEX=0"}</definedName>
    <definedName name="_9654__FDSAUDITLINK__" localSheetId="6" hidden="1">{"fdsup://directions/FAT Viewer?action=UPDATE&amp;creator=factset&amp;DYN_ARGS=TRUE&amp;DOC_NAME=FAT:FQL_AUDITING_CLIENT_TEMPLATE.FAT&amp;display_string=Audit&amp;VAR:KEY=VGDURODYPI&amp;VAR:QUERY=RkZfRUJJVERBX0lCKCdMVE1TJywzOTcxNSk=&amp;WINDOW=FIRST_POPUP&amp;HEIGHT=450&amp;WIDTH=450&amp;START_MA","XIMIZED=FALSE&amp;VAR:CALENDAR=US&amp;VAR:SYMBOL=04916420&amp;VAR:INDEX=0"}</definedName>
    <definedName name="_9654__FDSAUDITLINK__" hidden="1">{"fdsup://directions/FAT Viewer?action=UPDATE&amp;creator=factset&amp;DYN_ARGS=TRUE&amp;DOC_NAME=FAT:FQL_AUDITING_CLIENT_TEMPLATE.FAT&amp;display_string=Audit&amp;VAR:KEY=VGDURODYPI&amp;VAR:QUERY=RkZfRUJJVERBX0lCKCdMVE1TJywzOTcxNSk=&amp;WINDOW=FIRST_POPUP&amp;HEIGHT=450&amp;WIDTH=450&amp;START_MA","XIMIZED=FALSE&amp;VAR:CALENDAR=US&amp;VAR:SYMBOL=04916420&amp;VAR:INDEX=0"}</definedName>
    <definedName name="_9655__FDSAUDITLINK__" localSheetId="6" hidden="1">{"fdsup://directions/FAT Viewer?action=UPDATE&amp;creator=factset&amp;DYN_ARGS=TRUE&amp;DOC_NAME=FAT:FQL_AUDITING_CLIENT_TEMPLATE.FAT&amp;display_string=Audit&amp;VAR:KEY=RIHWTMNUHS&amp;VAR:QUERY=RkZfRUJJVERBX0lCKCdMVE1TJywzOTcxNCk=&amp;WINDOW=FIRST_POPUP&amp;HEIGHT=450&amp;WIDTH=450&amp;START_MA","XIMIZED=FALSE&amp;VAR:CALENDAR=US&amp;VAR:SYMBOL=04916420&amp;VAR:INDEX=0"}</definedName>
    <definedName name="_9655__FDSAUDITLINK__" hidden="1">{"fdsup://directions/FAT Viewer?action=UPDATE&amp;creator=factset&amp;DYN_ARGS=TRUE&amp;DOC_NAME=FAT:FQL_AUDITING_CLIENT_TEMPLATE.FAT&amp;display_string=Audit&amp;VAR:KEY=RIHWTMNUHS&amp;VAR:QUERY=RkZfRUJJVERBX0lCKCdMVE1TJywzOTcxNCk=&amp;WINDOW=FIRST_POPUP&amp;HEIGHT=450&amp;WIDTH=450&amp;START_MA","XIMIZED=FALSE&amp;VAR:CALENDAR=US&amp;VAR:SYMBOL=04916420&amp;VAR:INDEX=0"}</definedName>
    <definedName name="_9656__FDSAUDITLINK__" localSheetId="6" hidden="1">{"fdsup://directions/FAT Viewer?action=UPDATE&amp;creator=factset&amp;DYN_ARGS=TRUE&amp;DOC_NAME=FAT:FQL_AUDITING_CLIENT_TEMPLATE.FAT&amp;display_string=Audit&amp;VAR:KEY=HGNELWLILQ&amp;VAR:QUERY=RkZfRUJJVERBX0lCKCdMVE1TJywzOTcxMyk=&amp;WINDOW=FIRST_POPUP&amp;HEIGHT=450&amp;WIDTH=450&amp;START_MA","XIMIZED=FALSE&amp;VAR:CALENDAR=US&amp;VAR:SYMBOL=04916420&amp;VAR:INDEX=0"}</definedName>
    <definedName name="_9656__FDSAUDITLINK__" hidden="1">{"fdsup://directions/FAT Viewer?action=UPDATE&amp;creator=factset&amp;DYN_ARGS=TRUE&amp;DOC_NAME=FAT:FQL_AUDITING_CLIENT_TEMPLATE.FAT&amp;display_string=Audit&amp;VAR:KEY=HGNELWLILQ&amp;VAR:QUERY=RkZfRUJJVERBX0lCKCdMVE1TJywzOTcxMyk=&amp;WINDOW=FIRST_POPUP&amp;HEIGHT=450&amp;WIDTH=450&amp;START_MA","XIMIZED=FALSE&amp;VAR:CALENDAR=US&amp;VAR:SYMBOL=04916420&amp;VAR:INDEX=0"}</definedName>
    <definedName name="_9657__FDSAUDITLINK__" localSheetId="6" hidden="1">{"fdsup://directions/FAT Viewer?action=UPDATE&amp;creator=factset&amp;DYN_ARGS=TRUE&amp;DOC_NAME=FAT:FQL_AUDITING_CLIENT_TEMPLATE.FAT&amp;display_string=Audit&amp;VAR:KEY=RUPQRAJQBW&amp;VAR:QUERY=RkZfRUJJVERBX0lCKCdMVE1TJywzOTcxMik=&amp;WINDOW=FIRST_POPUP&amp;HEIGHT=450&amp;WIDTH=450&amp;START_MA","XIMIZED=FALSE&amp;VAR:CALENDAR=US&amp;VAR:SYMBOL=04916420&amp;VAR:INDEX=0"}</definedName>
    <definedName name="_9657__FDSAUDITLINK__" hidden="1">{"fdsup://directions/FAT Viewer?action=UPDATE&amp;creator=factset&amp;DYN_ARGS=TRUE&amp;DOC_NAME=FAT:FQL_AUDITING_CLIENT_TEMPLATE.FAT&amp;display_string=Audit&amp;VAR:KEY=RUPQRAJQBW&amp;VAR:QUERY=RkZfRUJJVERBX0lCKCdMVE1TJywzOTcxMik=&amp;WINDOW=FIRST_POPUP&amp;HEIGHT=450&amp;WIDTH=450&amp;START_MA","XIMIZED=FALSE&amp;VAR:CALENDAR=US&amp;VAR:SYMBOL=04916420&amp;VAR:INDEX=0"}</definedName>
    <definedName name="_9658__FDSAUDITLINK__" localSheetId="6" hidden="1">{"fdsup://directions/FAT Viewer?action=UPDATE&amp;creator=factset&amp;DYN_ARGS=TRUE&amp;DOC_NAME=FAT:FQL_AUDITING_CLIENT_TEMPLATE.FAT&amp;display_string=Audit&amp;VAR:KEY=RQLWTULQRA&amp;VAR:QUERY=RkZfRUJJVERBX0lCKCdMVE1TJywzOTcxMSk=&amp;WINDOW=FIRST_POPUP&amp;HEIGHT=450&amp;WIDTH=450&amp;START_MA","XIMIZED=FALSE&amp;VAR:CALENDAR=US&amp;VAR:SYMBOL=04916420&amp;VAR:INDEX=0"}</definedName>
    <definedName name="_9658__FDSAUDITLINK__" hidden="1">{"fdsup://directions/FAT Viewer?action=UPDATE&amp;creator=factset&amp;DYN_ARGS=TRUE&amp;DOC_NAME=FAT:FQL_AUDITING_CLIENT_TEMPLATE.FAT&amp;display_string=Audit&amp;VAR:KEY=RQLWTULQRA&amp;VAR:QUERY=RkZfRUJJVERBX0lCKCdMVE1TJywzOTcxMSk=&amp;WINDOW=FIRST_POPUP&amp;HEIGHT=450&amp;WIDTH=450&amp;START_MA","XIMIZED=FALSE&amp;VAR:CALENDAR=US&amp;VAR:SYMBOL=04916420&amp;VAR:INDEX=0"}</definedName>
    <definedName name="_9659__FDSAUDITLINK__" localSheetId="6" hidden="1">{"fdsup://directions/FAT Viewer?action=UPDATE&amp;creator=factset&amp;DYN_ARGS=TRUE&amp;DOC_NAME=FAT:FQL_AUDITING_CLIENT_TEMPLATE.FAT&amp;display_string=Audit&amp;VAR:KEY=JIJELCXQJE&amp;VAR:QUERY=RkZfRUJJVERBX0lCKCdMVE1TJywzOTcxMCk=&amp;WINDOW=FIRST_POPUP&amp;HEIGHT=450&amp;WIDTH=450&amp;START_MA","XIMIZED=FALSE&amp;VAR:CALENDAR=US&amp;VAR:SYMBOL=04916420&amp;VAR:INDEX=0"}</definedName>
    <definedName name="_9659__FDSAUDITLINK__" hidden="1">{"fdsup://directions/FAT Viewer?action=UPDATE&amp;creator=factset&amp;DYN_ARGS=TRUE&amp;DOC_NAME=FAT:FQL_AUDITING_CLIENT_TEMPLATE.FAT&amp;display_string=Audit&amp;VAR:KEY=JIJELCXQJE&amp;VAR:QUERY=RkZfRUJJVERBX0lCKCdMVE1TJywzOTcxMCk=&amp;WINDOW=FIRST_POPUP&amp;HEIGHT=450&amp;WIDTH=450&amp;START_MA","XIMIZED=FALSE&amp;VAR:CALENDAR=US&amp;VAR:SYMBOL=04916420&amp;VAR:INDEX=0"}</definedName>
    <definedName name="_966__FDSAUDITLINK__" localSheetId="6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6__FDSAUDITLINK__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60__FDSAUDITLINK__" localSheetId="6" hidden="1">{"fdsup://directions/FAT Viewer?action=UPDATE&amp;creator=factset&amp;DYN_ARGS=TRUE&amp;DOC_NAME=FAT:FQL_AUDITING_CLIENT_TEMPLATE.FAT&amp;display_string=Audit&amp;VAR:KEY=BYTOLQNMBS&amp;VAR:QUERY=RkZfRUJJVERBX0lCKCdMVE1TJywzOTcwOSk=&amp;WINDOW=FIRST_POPUP&amp;HEIGHT=450&amp;WIDTH=450&amp;START_MA","XIMIZED=FALSE&amp;VAR:CALENDAR=US&amp;VAR:SYMBOL=04916420&amp;VAR:INDEX=0"}</definedName>
    <definedName name="_9660__FDSAUDITLINK__" hidden="1">{"fdsup://directions/FAT Viewer?action=UPDATE&amp;creator=factset&amp;DYN_ARGS=TRUE&amp;DOC_NAME=FAT:FQL_AUDITING_CLIENT_TEMPLATE.FAT&amp;display_string=Audit&amp;VAR:KEY=BYTOLQNMBS&amp;VAR:QUERY=RkZfRUJJVERBX0lCKCdMVE1TJywzOTcwOSk=&amp;WINDOW=FIRST_POPUP&amp;HEIGHT=450&amp;WIDTH=450&amp;START_MA","XIMIZED=FALSE&amp;VAR:CALENDAR=US&amp;VAR:SYMBOL=04916420&amp;VAR:INDEX=0"}</definedName>
    <definedName name="_9661__FDSAUDITLINK__" localSheetId="6" hidden="1">{"fdsup://directions/FAT Viewer?action=UPDATE&amp;creator=factset&amp;DYN_ARGS=TRUE&amp;DOC_NAME=FAT:FQL_AUDITING_CLIENT_TEMPLATE.FAT&amp;display_string=Audit&amp;VAR:KEY=TEPWLWZILO&amp;VAR:QUERY=RkZfRUJJVERBX0lCKCdMVE1TJywzOTcwOCk=&amp;WINDOW=FIRST_POPUP&amp;HEIGHT=450&amp;WIDTH=450&amp;START_MA","XIMIZED=FALSE&amp;VAR:CALENDAR=US&amp;VAR:SYMBOL=04916420&amp;VAR:INDEX=0"}</definedName>
    <definedName name="_9661__FDSAUDITLINK__" hidden="1">{"fdsup://directions/FAT Viewer?action=UPDATE&amp;creator=factset&amp;DYN_ARGS=TRUE&amp;DOC_NAME=FAT:FQL_AUDITING_CLIENT_TEMPLATE.FAT&amp;display_string=Audit&amp;VAR:KEY=TEPWLWZILO&amp;VAR:QUERY=RkZfRUJJVERBX0lCKCdMVE1TJywzOTcwOCk=&amp;WINDOW=FIRST_POPUP&amp;HEIGHT=450&amp;WIDTH=450&amp;START_MA","XIMIZED=FALSE&amp;VAR:CALENDAR=US&amp;VAR:SYMBOL=04916420&amp;VAR:INDEX=0"}</definedName>
    <definedName name="_9662__FDSAUDITLINK__" localSheetId="6" hidden="1">{"fdsup://directions/FAT Viewer?action=UPDATE&amp;creator=factset&amp;DYN_ARGS=TRUE&amp;DOC_NAME=FAT:FQL_AUDITING_CLIENT_TEMPLATE.FAT&amp;display_string=Audit&amp;VAR:KEY=ZIJYPIXORO&amp;VAR:QUERY=RkZfRUJJVERBX0lCKCdMVE1TJywzOTcwNyk=&amp;WINDOW=FIRST_POPUP&amp;HEIGHT=450&amp;WIDTH=450&amp;START_MA","XIMIZED=FALSE&amp;VAR:CALENDAR=US&amp;VAR:SYMBOL=04916420&amp;VAR:INDEX=0"}</definedName>
    <definedName name="_9662__FDSAUDITLINK__" hidden="1">{"fdsup://directions/FAT Viewer?action=UPDATE&amp;creator=factset&amp;DYN_ARGS=TRUE&amp;DOC_NAME=FAT:FQL_AUDITING_CLIENT_TEMPLATE.FAT&amp;display_string=Audit&amp;VAR:KEY=ZIJYPIXORO&amp;VAR:QUERY=RkZfRUJJVERBX0lCKCdMVE1TJywzOTcwNyk=&amp;WINDOW=FIRST_POPUP&amp;HEIGHT=450&amp;WIDTH=450&amp;START_MA","XIMIZED=FALSE&amp;VAR:CALENDAR=US&amp;VAR:SYMBOL=04916420&amp;VAR:INDEX=0"}</definedName>
    <definedName name="_9663__FDSAUDITLINK__" localSheetId="6" hidden="1">{"fdsup://directions/FAT Viewer?action=UPDATE&amp;creator=factset&amp;DYN_ARGS=TRUE&amp;DOC_NAME=FAT:FQL_AUDITING_CLIENT_TEMPLATE.FAT&amp;display_string=Audit&amp;VAR:KEY=BQLKRUXARO&amp;VAR:QUERY=RkZfRUJJVERBX0lCKCdMVE1TJywzOTcwNik=&amp;WINDOW=FIRST_POPUP&amp;HEIGHT=450&amp;WIDTH=450&amp;START_MA","XIMIZED=FALSE&amp;VAR:CALENDAR=US&amp;VAR:SYMBOL=04916420&amp;VAR:INDEX=0"}</definedName>
    <definedName name="_9663__FDSAUDITLINK__" hidden="1">{"fdsup://directions/FAT Viewer?action=UPDATE&amp;creator=factset&amp;DYN_ARGS=TRUE&amp;DOC_NAME=FAT:FQL_AUDITING_CLIENT_TEMPLATE.FAT&amp;display_string=Audit&amp;VAR:KEY=BQLKRUXARO&amp;VAR:QUERY=RkZfRUJJVERBX0lCKCdMVE1TJywzOTcwNik=&amp;WINDOW=FIRST_POPUP&amp;HEIGHT=450&amp;WIDTH=450&amp;START_MA","XIMIZED=FALSE&amp;VAR:CALENDAR=US&amp;VAR:SYMBOL=04916420&amp;VAR:INDEX=0"}</definedName>
    <definedName name="_9664__FDSAUDITLINK__" localSheetId="6" hidden="1">{"fdsup://directions/FAT Viewer?action=UPDATE&amp;creator=factset&amp;DYN_ARGS=TRUE&amp;DOC_NAME=FAT:FQL_AUDITING_CLIENT_TEMPLATE.FAT&amp;display_string=Audit&amp;VAR:KEY=VKHEBSDYJW&amp;VAR:QUERY=RkZfRUJJVERBX0lCKCdMVE1TJywzOTcwNSk=&amp;WINDOW=FIRST_POPUP&amp;HEIGHT=450&amp;WIDTH=450&amp;START_MA","XIMIZED=FALSE&amp;VAR:CALENDAR=US&amp;VAR:SYMBOL=04916420&amp;VAR:INDEX=0"}</definedName>
    <definedName name="_9664__FDSAUDITLINK__" hidden="1">{"fdsup://directions/FAT Viewer?action=UPDATE&amp;creator=factset&amp;DYN_ARGS=TRUE&amp;DOC_NAME=FAT:FQL_AUDITING_CLIENT_TEMPLATE.FAT&amp;display_string=Audit&amp;VAR:KEY=VKHEBSDYJW&amp;VAR:QUERY=RkZfRUJJVERBX0lCKCdMVE1TJywzOTcwNSk=&amp;WINDOW=FIRST_POPUP&amp;HEIGHT=450&amp;WIDTH=450&amp;START_MA","XIMIZED=FALSE&amp;VAR:CALENDAR=US&amp;VAR:SYMBOL=04916420&amp;VAR:INDEX=0"}</definedName>
    <definedName name="_9665__FDSAUDITLINK__" localSheetId="6" hidden="1">{"fdsup://directions/FAT Viewer?action=UPDATE&amp;creator=factset&amp;DYN_ARGS=TRUE&amp;DOC_NAME=FAT:FQL_AUDITING_CLIENT_TEMPLATE.FAT&amp;display_string=Audit&amp;VAR:KEY=PMPGNIRUTG&amp;VAR:QUERY=RkZfRUJJVERBX0lCKCdMVE1TJywzOTcwNCk=&amp;WINDOW=FIRST_POPUP&amp;HEIGHT=450&amp;WIDTH=450&amp;START_MA","XIMIZED=FALSE&amp;VAR:CALENDAR=US&amp;VAR:SYMBOL=04916420&amp;VAR:INDEX=0"}</definedName>
    <definedName name="_9665__FDSAUDITLINK__" hidden="1">{"fdsup://directions/FAT Viewer?action=UPDATE&amp;creator=factset&amp;DYN_ARGS=TRUE&amp;DOC_NAME=FAT:FQL_AUDITING_CLIENT_TEMPLATE.FAT&amp;display_string=Audit&amp;VAR:KEY=PMPGNIRUTG&amp;VAR:QUERY=RkZfRUJJVERBX0lCKCdMVE1TJywzOTcwNCk=&amp;WINDOW=FIRST_POPUP&amp;HEIGHT=450&amp;WIDTH=450&amp;START_MA","XIMIZED=FALSE&amp;VAR:CALENDAR=US&amp;VAR:SYMBOL=04916420&amp;VAR:INDEX=0"}</definedName>
    <definedName name="_9666__FDSAUDITLINK__" localSheetId="6" hidden="1">{"fdsup://directions/FAT Viewer?action=UPDATE&amp;creator=factset&amp;DYN_ARGS=TRUE&amp;DOC_NAME=FAT:FQL_AUDITING_CLIENT_TEMPLATE.FAT&amp;display_string=Audit&amp;VAR:KEY=JQLWNOTOBC&amp;VAR:QUERY=RkZfRUJJVERBX0lCKCdMVE1TJywzOTcwMyk=&amp;WINDOW=FIRST_POPUP&amp;HEIGHT=450&amp;WIDTH=450&amp;START_MA","XIMIZED=FALSE&amp;VAR:CALENDAR=US&amp;VAR:SYMBOL=04916420&amp;VAR:INDEX=0"}</definedName>
    <definedName name="_9666__FDSAUDITLINK__" hidden="1">{"fdsup://directions/FAT Viewer?action=UPDATE&amp;creator=factset&amp;DYN_ARGS=TRUE&amp;DOC_NAME=FAT:FQL_AUDITING_CLIENT_TEMPLATE.FAT&amp;display_string=Audit&amp;VAR:KEY=JQLWNOTOBC&amp;VAR:QUERY=RkZfRUJJVERBX0lCKCdMVE1TJywzOTcwMyk=&amp;WINDOW=FIRST_POPUP&amp;HEIGHT=450&amp;WIDTH=450&amp;START_MA","XIMIZED=FALSE&amp;VAR:CALENDAR=US&amp;VAR:SYMBOL=04916420&amp;VAR:INDEX=0"}</definedName>
    <definedName name="_9667__FDSAUDITLINK__" localSheetId="6" hidden="1">{"fdsup://directions/FAT Viewer?action=UPDATE&amp;creator=factset&amp;DYN_ARGS=TRUE&amp;DOC_NAME=FAT:FQL_AUDITING_CLIENT_TEMPLATE.FAT&amp;display_string=Audit&amp;VAR:KEY=TGHAPQHWHM&amp;VAR:QUERY=RkZfRUJJVERBX0lCKCdMVE1TJywzOTcwMik=&amp;WINDOW=FIRST_POPUP&amp;HEIGHT=450&amp;WIDTH=450&amp;START_MA","XIMIZED=FALSE&amp;VAR:CALENDAR=US&amp;VAR:SYMBOL=04916420&amp;VAR:INDEX=0"}</definedName>
    <definedName name="_9667__FDSAUDITLINK__" hidden="1">{"fdsup://directions/FAT Viewer?action=UPDATE&amp;creator=factset&amp;DYN_ARGS=TRUE&amp;DOC_NAME=FAT:FQL_AUDITING_CLIENT_TEMPLATE.FAT&amp;display_string=Audit&amp;VAR:KEY=TGHAPQHWHM&amp;VAR:QUERY=RkZfRUJJVERBX0lCKCdMVE1TJywzOTcwMik=&amp;WINDOW=FIRST_POPUP&amp;HEIGHT=450&amp;WIDTH=450&amp;START_MA","XIMIZED=FALSE&amp;VAR:CALENDAR=US&amp;VAR:SYMBOL=04916420&amp;VAR:INDEX=0"}</definedName>
    <definedName name="_9668__FDSAUDITLINK__" localSheetId="6" hidden="1">{"fdsup://directions/FAT Viewer?action=UPDATE&amp;creator=factset&amp;DYN_ARGS=TRUE&amp;DOC_NAME=FAT:FQL_AUDITING_CLIENT_TEMPLATE.FAT&amp;display_string=Audit&amp;VAR:KEY=ZANIJALWJK&amp;VAR:QUERY=RkZfRUJJVERBX0lCKCdMVE1TJywzOTcwMSk=&amp;WINDOW=FIRST_POPUP&amp;HEIGHT=450&amp;WIDTH=450&amp;START_MA","XIMIZED=FALSE&amp;VAR:CALENDAR=US&amp;VAR:SYMBOL=04916420&amp;VAR:INDEX=0"}</definedName>
    <definedName name="_9668__FDSAUDITLINK__" hidden="1">{"fdsup://directions/FAT Viewer?action=UPDATE&amp;creator=factset&amp;DYN_ARGS=TRUE&amp;DOC_NAME=FAT:FQL_AUDITING_CLIENT_TEMPLATE.FAT&amp;display_string=Audit&amp;VAR:KEY=ZANIJALWJK&amp;VAR:QUERY=RkZfRUJJVERBX0lCKCdMVE1TJywzOTcwMSk=&amp;WINDOW=FIRST_POPUP&amp;HEIGHT=450&amp;WIDTH=450&amp;START_MA","XIMIZED=FALSE&amp;VAR:CALENDAR=US&amp;VAR:SYMBOL=04916420&amp;VAR:INDEX=0"}</definedName>
    <definedName name="_9669__FDSAUDITLINK__" localSheetId="6" hidden="1">{"fdsup://directions/FAT Viewer?action=UPDATE&amp;creator=factset&amp;DYN_ARGS=TRUE&amp;DOC_NAME=FAT:FQL_AUDITING_CLIENT_TEMPLATE.FAT&amp;display_string=Audit&amp;VAR:KEY=NCFKZSJGRQ&amp;VAR:QUERY=RkZfRUJJVERBX0lCKCdMVE1TJywzOTcwMCk=&amp;WINDOW=FIRST_POPUP&amp;HEIGHT=450&amp;WIDTH=450&amp;START_MA","XIMIZED=FALSE&amp;VAR:CALENDAR=US&amp;VAR:SYMBOL=04916420&amp;VAR:INDEX=0"}</definedName>
    <definedName name="_9669__FDSAUDITLINK__" hidden="1">{"fdsup://directions/FAT Viewer?action=UPDATE&amp;creator=factset&amp;DYN_ARGS=TRUE&amp;DOC_NAME=FAT:FQL_AUDITING_CLIENT_TEMPLATE.FAT&amp;display_string=Audit&amp;VAR:KEY=NCFKZSJGRQ&amp;VAR:QUERY=RkZfRUJJVERBX0lCKCdMVE1TJywzOTcwMCk=&amp;WINDOW=FIRST_POPUP&amp;HEIGHT=450&amp;WIDTH=450&amp;START_MA","XIMIZED=FALSE&amp;VAR:CALENDAR=US&amp;VAR:SYMBOL=04916420&amp;VAR:INDEX=0"}</definedName>
    <definedName name="_967__FDSAUDITLINK__" localSheetId="6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7__FDSAUDITLINK__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70__FDSAUDITLINK__" localSheetId="6" hidden="1">{"fdsup://directions/FAT Viewer?action=UPDATE&amp;creator=factset&amp;DYN_ARGS=TRUE&amp;DOC_NAME=FAT:FQL_AUDITING_CLIENT_TEMPLATE.FAT&amp;display_string=Audit&amp;VAR:KEY=BABGLIHYBG&amp;VAR:QUERY=RkZfRUJJVERBX0lCKCdMVE1TJywzOTY5OSk=&amp;WINDOW=FIRST_POPUP&amp;HEIGHT=450&amp;WIDTH=450&amp;START_MA","XIMIZED=FALSE&amp;VAR:CALENDAR=US&amp;VAR:SYMBOL=04916420&amp;VAR:INDEX=0"}</definedName>
    <definedName name="_9670__FDSAUDITLINK__" hidden="1">{"fdsup://directions/FAT Viewer?action=UPDATE&amp;creator=factset&amp;DYN_ARGS=TRUE&amp;DOC_NAME=FAT:FQL_AUDITING_CLIENT_TEMPLATE.FAT&amp;display_string=Audit&amp;VAR:KEY=BABGLIHYBG&amp;VAR:QUERY=RkZfRUJJVERBX0lCKCdMVE1TJywzOTY5OSk=&amp;WINDOW=FIRST_POPUP&amp;HEIGHT=450&amp;WIDTH=450&amp;START_MA","XIMIZED=FALSE&amp;VAR:CALENDAR=US&amp;VAR:SYMBOL=04916420&amp;VAR:INDEX=0"}</definedName>
    <definedName name="_9671__FDSAUDITLINK__" localSheetId="6" hidden="1">{"fdsup://directions/FAT Viewer?action=UPDATE&amp;creator=factset&amp;DYN_ARGS=TRUE&amp;DOC_NAME=FAT:FQL_AUDITING_CLIENT_TEMPLATE.FAT&amp;display_string=Audit&amp;VAR:KEY=ZAZUTOLCNE&amp;VAR:QUERY=RkZfRUJJVERBX0lCKCdMVE1TJywzOTY5OCk=&amp;WINDOW=FIRST_POPUP&amp;HEIGHT=450&amp;WIDTH=450&amp;START_MA","XIMIZED=FALSE&amp;VAR:CALENDAR=US&amp;VAR:SYMBOL=04916420&amp;VAR:INDEX=0"}</definedName>
    <definedName name="_9671__FDSAUDITLINK__" hidden="1">{"fdsup://directions/FAT Viewer?action=UPDATE&amp;creator=factset&amp;DYN_ARGS=TRUE&amp;DOC_NAME=FAT:FQL_AUDITING_CLIENT_TEMPLATE.FAT&amp;display_string=Audit&amp;VAR:KEY=ZAZUTOLCNE&amp;VAR:QUERY=RkZfRUJJVERBX0lCKCdMVE1TJywzOTY5OCk=&amp;WINDOW=FIRST_POPUP&amp;HEIGHT=450&amp;WIDTH=450&amp;START_MA","XIMIZED=FALSE&amp;VAR:CALENDAR=US&amp;VAR:SYMBOL=04916420&amp;VAR:INDEX=0"}</definedName>
    <definedName name="_9672__FDSAUDITLINK__" localSheetId="6" hidden="1">{"fdsup://directions/FAT Viewer?action=UPDATE&amp;creator=factset&amp;DYN_ARGS=TRUE&amp;DOC_NAME=FAT:FQL_AUDITING_CLIENT_TEMPLATE.FAT&amp;display_string=Audit&amp;VAR:KEY=DSLIFMTGJW&amp;VAR:QUERY=RkZfRUJJVERBX0lCKCdMVE1TJywzOTY5Nyk=&amp;WINDOW=FIRST_POPUP&amp;HEIGHT=450&amp;WIDTH=450&amp;START_MA","XIMIZED=FALSE&amp;VAR:CALENDAR=US&amp;VAR:SYMBOL=04916420&amp;VAR:INDEX=0"}</definedName>
    <definedName name="_9672__FDSAUDITLINK__" hidden="1">{"fdsup://directions/FAT Viewer?action=UPDATE&amp;creator=factset&amp;DYN_ARGS=TRUE&amp;DOC_NAME=FAT:FQL_AUDITING_CLIENT_TEMPLATE.FAT&amp;display_string=Audit&amp;VAR:KEY=DSLIFMTGJW&amp;VAR:QUERY=RkZfRUJJVERBX0lCKCdMVE1TJywzOTY5Nyk=&amp;WINDOW=FIRST_POPUP&amp;HEIGHT=450&amp;WIDTH=450&amp;START_MA","XIMIZED=FALSE&amp;VAR:CALENDAR=US&amp;VAR:SYMBOL=04916420&amp;VAR:INDEX=0"}</definedName>
    <definedName name="_9673__FDSAUDITLINK__" localSheetId="6" hidden="1">{"fdsup://directions/FAT Viewer?action=UPDATE&amp;creator=factset&amp;DYN_ARGS=TRUE&amp;DOC_NAME=FAT:FQL_AUDITING_CLIENT_TEMPLATE.FAT&amp;display_string=Audit&amp;VAR:KEY=FUVKXAHGXG&amp;VAR:QUERY=RkZfRUJJVERBX0lCKCdMVE1TJywzOTY5Nik=&amp;WINDOW=FIRST_POPUP&amp;HEIGHT=450&amp;WIDTH=450&amp;START_MA","XIMIZED=FALSE&amp;VAR:CALENDAR=US&amp;VAR:SYMBOL=04916420&amp;VAR:INDEX=0"}</definedName>
    <definedName name="_9673__FDSAUDITLINK__" hidden="1">{"fdsup://directions/FAT Viewer?action=UPDATE&amp;creator=factset&amp;DYN_ARGS=TRUE&amp;DOC_NAME=FAT:FQL_AUDITING_CLIENT_TEMPLATE.FAT&amp;display_string=Audit&amp;VAR:KEY=FUVKXAHGXG&amp;VAR:QUERY=RkZfRUJJVERBX0lCKCdMVE1TJywzOTY5Nik=&amp;WINDOW=FIRST_POPUP&amp;HEIGHT=450&amp;WIDTH=450&amp;START_MA","XIMIZED=FALSE&amp;VAR:CALENDAR=US&amp;VAR:SYMBOL=04916420&amp;VAR:INDEX=0"}</definedName>
    <definedName name="_9674__FDSAUDITLINK__" localSheetId="6" hidden="1">{"fdsup://directions/FAT Viewer?action=UPDATE&amp;creator=factset&amp;DYN_ARGS=TRUE&amp;DOC_NAME=FAT:FQL_AUDITING_CLIENT_TEMPLATE.FAT&amp;display_string=Audit&amp;VAR:KEY=BKVWVSNSFA&amp;VAR:QUERY=RkZfRUJJVERBX0lCKCdMVE1TJywzOTY5NSk=&amp;WINDOW=FIRST_POPUP&amp;HEIGHT=450&amp;WIDTH=450&amp;START_MA","XIMIZED=FALSE&amp;VAR:CALENDAR=US&amp;VAR:SYMBOL=04916420&amp;VAR:INDEX=0"}</definedName>
    <definedName name="_9674__FDSAUDITLINK__" hidden="1">{"fdsup://directions/FAT Viewer?action=UPDATE&amp;creator=factset&amp;DYN_ARGS=TRUE&amp;DOC_NAME=FAT:FQL_AUDITING_CLIENT_TEMPLATE.FAT&amp;display_string=Audit&amp;VAR:KEY=BKVWVSNSFA&amp;VAR:QUERY=RkZfRUJJVERBX0lCKCdMVE1TJywzOTY5NSk=&amp;WINDOW=FIRST_POPUP&amp;HEIGHT=450&amp;WIDTH=450&amp;START_MA","XIMIZED=FALSE&amp;VAR:CALENDAR=US&amp;VAR:SYMBOL=04916420&amp;VAR:INDEX=0"}</definedName>
    <definedName name="_9675__FDSAUDITLINK__" localSheetId="6" hidden="1">{"fdsup://directions/FAT Viewer?action=UPDATE&amp;creator=factset&amp;DYN_ARGS=TRUE&amp;DOC_NAME=FAT:FQL_AUDITING_CLIENT_TEMPLATE.FAT&amp;display_string=Audit&amp;VAR:KEY=NMNUBUNUJK&amp;VAR:QUERY=RkZfRUJJVERBX0lCKCdMVE1TJywzOTY5NCk=&amp;WINDOW=FIRST_POPUP&amp;HEIGHT=450&amp;WIDTH=450&amp;START_MA","XIMIZED=FALSE&amp;VAR:CALENDAR=US&amp;VAR:SYMBOL=04916420&amp;VAR:INDEX=0"}</definedName>
    <definedName name="_9675__FDSAUDITLINK__" hidden="1">{"fdsup://directions/FAT Viewer?action=UPDATE&amp;creator=factset&amp;DYN_ARGS=TRUE&amp;DOC_NAME=FAT:FQL_AUDITING_CLIENT_TEMPLATE.FAT&amp;display_string=Audit&amp;VAR:KEY=NMNUBUNUJK&amp;VAR:QUERY=RkZfRUJJVERBX0lCKCdMVE1TJywzOTY5NCk=&amp;WINDOW=FIRST_POPUP&amp;HEIGHT=450&amp;WIDTH=450&amp;START_MA","XIMIZED=FALSE&amp;VAR:CALENDAR=US&amp;VAR:SYMBOL=04916420&amp;VAR:INDEX=0"}</definedName>
    <definedName name="_9676__FDSAUDITLINK__" localSheetId="6" hidden="1">{"fdsup://directions/FAT Viewer?action=UPDATE&amp;creator=factset&amp;DYN_ARGS=TRUE&amp;DOC_NAME=FAT:FQL_AUDITING_CLIENT_TEMPLATE.FAT&amp;display_string=Audit&amp;VAR:KEY=TEFSHIVYJS&amp;VAR:QUERY=RkZfRUJJVERBX0lCKCdMVE1TJywzOTY5Myk=&amp;WINDOW=FIRST_POPUP&amp;HEIGHT=450&amp;WIDTH=450&amp;START_MA","XIMIZED=FALSE&amp;VAR:CALENDAR=US&amp;VAR:SYMBOL=04916420&amp;VAR:INDEX=0"}</definedName>
    <definedName name="_9676__FDSAUDITLINK__" hidden="1">{"fdsup://directions/FAT Viewer?action=UPDATE&amp;creator=factset&amp;DYN_ARGS=TRUE&amp;DOC_NAME=FAT:FQL_AUDITING_CLIENT_TEMPLATE.FAT&amp;display_string=Audit&amp;VAR:KEY=TEFSHIVYJS&amp;VAR:QUERY=RkZfRUJJVERBX0lCKCdMVE1TJywzOTY5Myk=&amp;WINDOW=FIRST_POPUP&amp;HEIGHT=450&amp;WIDTH=450&amp;START_MA","XIMIZED=FALSE&amp;VAR:CALENDAR=US&amp;VAR:SYMBOL=04916420&amp;VAR:INDEX=0"}</definedName>
    <definedName name="_9677__FDSAUDITLINK__" localSheetId="6" hidden="1">{"fdsup://directions/FAT Viewer?action=UPDATE&amp;creator=factset&amp;DYN_ARGS=TRUE&amp;DOC_NAME=FAT:FQL_AUDITING_CLIENT_TEMPLATE.FAT&amp;display_string=Audit&amp;VAR:KEY=FGZKJYJGJQ&amp;VAR:QUERY=RkZfRUJJVERBX0lCKCdMVE1TJywzOTY5Mik=&amp;WINDOW=FIRST_POPUP&amp;HEIGHT=450&amp;WIDTH=450&amp;START_MA","XIMIZED=FALSE&amp;VAR:CALENDAR=US&amp;VAR:SYMBOL=04916420&amp;VAR:INDEX=0"}</definedName>
    <definedName name="_9677__FDSAUDITLINK__" hidden="1">{"fdsup://directions/FAT Viewer?action=UPDATE&amp;creator=factset&amp;DYN_ARGS=TRUE&amp;DOC_NAME=FAT:FQL_AUDITING_CLIENT_TEMPLATE.FAT&amp;display_string=Audit&amp;VAR:KEY=FGZKJYJGJQ&amp;VAR:QUERY=RkZfRUJJVERBX0lCKCdMVE1TJywzOTY5Mik=&amp;WINDOW=FIRST_POPUP&amp;HEIGHT=450&amp;WIDTH=450&amp;START_MA","XIMIZED=FALSE&amp;VAR:CALENDAR=US&amp;VAR:SYMBOL=04916420&amp;VAR:INDEX=0"}</definedName>
    <definedName name="_9678__FDSAUDITLINK__" localSheetId="6" hidden="1">{"fdsup://directions/FAT Viewer?action=UPDATE&amp;creator=factset&amp;DYN_ARGS=TRUE&amp;DOC_NAME=FAT:FQL_AUDITING_CLIENT_TEMPLATE.FAT&amp;display_string=Audit&amp;VAR:KEY=JEZELIHYPI&amp;VAR:QUERY=RkZfRUJJVERBX0lCKCdMVE1TJywzOTY5MSk=&amp;WINDOW=FIRST_POPUP&amp;HEIGHT=450&amp;WIDTH=450&amp;START_MA","XIMIZED=FALSE&amp;VAR:CALENDAR=US&amp;VAR:SYMBOL=04916420&amp;VAR:INDEX=0"}</definedName>
    <definedName name="_9678__FDSAUDITLINK__" hidden="1">{"fdsup://directions/FAT Viewer?action=UPDATE&amp;creator=factset&amp;DYN_ARGS=TRUE&amp;DOC_NAME=FAT:FQL_AUDITING_CLIENT_TEMPLATE.FAT&amp;display_string=Audit&amp;VAR:KEY=JEZELIHYPI&amp;VAR:QUERY=RkZfRUJJVERBX0lCKCdMVE1TJywzOTY5MSk=&amp;WINDOW=FIRST_POPUP&amp;HEIGHT=450&amp;WIDTH=450&amp;START_MA","XIMIZED=FALSE&amp;VAR:CALENDAR=US&amp;VAR:SYMBOL=04916420&amp;VAR:INDEX=0"}</definedName>
    <definedName name="_9679__FDSAUDITLINK__" localSheetId="6" hidden="1">{"fdsup://directions/FAT Viewer?action=UPDATE&amp;creator=factset&amp;DYN_ARGS=TRUE&amp;DOC_NAME=FAT:FQL_AUDITING_CLIENT_TEMPLATE.FAT&amp;display_string=Audit&amp;VAR:KEY=NWRGZABOBI&amp;VAR:QUERY=RkZfRUJJVERBX0lCKCdMVE1TJywzOTY5MCk=&amp;WINDOW=FIRST_POPUP&amp;HEIGHT=450&amp;WIDTH=450&amp;START_MA","XIMIZED=FALSE&amp;VAR:CALENDAR=US&amp;VAR:SYMBOL=04916420&amp;VAR:INDEX=0"}</definedName>
    <definedName name="_9679__FDSAUDITLINK__" hidden="1">{"fdsup://directions/FAT Viewer?action=UPDATE&amp;creator=factset&amp;DYN_ARGS=TRUE&amp;DOC_NAME=FAT:FQL_AUDITING_CLIENT_TEMPLATE.FAT&amp;display_string=Audit&amp;VAR:KEY=NWRGZABOBI&amp;VAR:QUERY=RkZfRUJJVERBX0lCKCdMVE1TJywzOTY5MCk=&amp;WINDOW=FIRST_POPUP&amp;HEIGHT=450&amp;WIDTH=450&amp;START_MA","XIMIZED=FALSE&amp;VAR:CALENDAR=US&amp;VAR:SYMBOL=04916420&amp;VAR:INDEX=0"}</definedName>
    <definedName name="_968__FDSAUDITLINK__" localSheetId="6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8__FDSAUDITLINK__" hidden="1">{"fdsup://directions/FAT%20Viewer?VAR:PED=LTM&amp;VAR:AUDIT_MODE=SUMMARY&amp;VAR:PERIOD=FIXED&amp;VAR:AUDIT_ID=00000117&amp;VAR:DATE=20070629&amp;action=UPDATE&amp;creator=factset&amp;DOC_NAME=FAT:FMA_audit_SUMMARY.fat&amp;DISPLAY_STRING=Display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80__FDSAUDITLINK__" localSheetId="6" hidden="1">{"fdsup://directions/FAT Viewer?action=UPDATE&amp;creator=factset&amp;DYN_ARGS=TRUE&amp;DOC_NAME=FAT:FQL_AUDITING_CLIENT_TEMPLATE.FAT&amp;display_string=Audit&amp;VAR:KEY=ZKPQBORMXM&amp;VAR:QUERY=RkZfRUJJVERBX0lCKCdMVE1TJywzOTY4OSk=&amp;WINDOW=FIRST_POPUP&amp;HEIGHT=450&amp;WIDTH=450&amp;START_MA","XIMIZED=FALSE&amp;VAR:CALENDAR=US&amp;VAR:SYMBOL=04916420&amp;VAR:INDEX=0"}</definedName>
    <definedName name="_9680__FDSAUDITLINK__" hidden="1">{"fdsup://directions/FAT Viewer?action=UPDATE&amp;creator=factset&amp;DYN_ARGS=TRUE&amp;DOC_NAME=FAT:FQL_AUDITING_CLIENT_TEMPLATE.FAT&amp;display_string=Audit&amp;VAR:KEY=ZKPQBORMXM&amp;VAR:QUERY=RkZfRUJJVERBX0lCKCdMVE1TJywzOTY4OSk=&amp;WINDOW=FIRST_POPUP&amp;HEIGHT=450&amp;WIDTH=450&amp;START_MA","XIMIZED=FALSE&amp;VAR:CALENDAR=US&amp;VAR:SYMBOL=04916420&amp;VAR:INDEX=0"}</definedName>
    <definedName name="_9681__FDSAUDITLINK__" localSheetId="6" hidden="1">{"fdsup://directions/FAT Viewer?action=UPDATE&amp;creator=factset&amp;DYN_ARGS=TRUE&amp;DOC_NAME=FAT:FQL_AUDITING_CLIENT_TEMPLATE.FAT&amp;display_string=Audit&amp;VAR:KEY=FEDYDIDMZU&amp;VAR:QUERY=RkZfRUJJVERBX0lCKCdMVE1TJywzOTY4OCk=&amp;WINDOW=FIRST_POPUP&amp;HEIGHT=450&amp;WIDTH=450&amp;START_MA","XIMIZED=FALSE&amp;VAR:CALENDAR=US&amp;VAR:SYMBOL=04916420&amp;VAR:INDEX=0"}</definedName>
    <definedName name="_9681__FDSAUDITLINK__" hidden="1">{"fdsup://directions/FAT Viewer?action=UPDATE&amp;creator=factset&amp;DYN_ARGS=TRUE&amp;DOC_NAME=FAT:FQL_AUDITING_CLIENT_TEMPLATE.FAT&amp;display_string=Audit&amp;VAR:KEY=FEDYDIDMZU&amp;VAR:QUERY=RkZfRUJJVERBX0lCKCdMVE1TJywzOTY4OCk=&amp;WINDOW=FIRST_POPUP&amp;HEIGHT=450&amp;WIDTH=450&amp;START_MA","XIMIZED=FALSE&amp;VAR:CALENDAR=US&amp;VAR:SYMBOL=04916420&amp;VAR:INDEX=0"}</definedName>
    <definedName name="_9682__FDSAUDITLINK__" localSheetId="6" hidden="1">{"fdsup://directions/FAT Viewer?action=UPDATE&amp;creator=factset&amp;DYN_ARGS=TRUE&amp;DOC_NAME=FAT:FQL_AUDITING_CLIENT_TEMPLATE.FAT&amp;display_string=Audit&amp;VAR:KEY=JWHKBSVADQ&amp;VAR:QUERY=RkZfRUJJVERBX0lCKCdMVE1TJywzOTY4Nyk=&amp;WINDOW=FIRST_POPUP&amp;HEIGHT=450&amp;WIDTH=450&amp;START_MA","XIMIZED=FALSE&amp;VAR:CALENDAR=US&amp;VAR:SYMBOL=04916420&amp;VAR:INDEX=0"}</definedName>
    <definedName name="_9682__FDSAUDITLINK__" hidden="1">{"fdsup://directions/FAT Viewer?action=UPDATE&amp;creator=factset&amp;DYN_ARGS=TRUE&amp;DOC_NAME=FAT:FQL_AUDITING_CLIENT_TEMPLATE.FAT&amp;display_string=Audit&amp;VAR:KEY=JWHKBSVADQ&amp;VAR:QUERY=RkZfRUJJVERBX0lCKCdMVE1TJywzOTY4Nyk=&amp;WINDOW=FIRST_POPUP&amp;HEIGHT=450&amp;WIDTH=450&amp;START_MA","XIMIZED=FALSE&amp;VAR:CALENDAR=US&amp;VAR:SYMBOL=04916420&amp;VAR:INDEX=0"}</definedName>
    <definedName name="_9683__FDSAUDITLINK__" localSheetId="6" hidden="1">{"fdsup://directions/FAT Viewer?action=UPDATE&amp;creator=factset&amp;DYN_ARGS=TRUE&amp;DOC_NAME=FAT:FQL_AUDITING_CLIENT_TEMPLATE.FAT&amp;display_string=Audit&amp;VAR:KEY=NQPOPYBYZA&amp;VAR:QUERY=RkZfRUJJVERBX0lCKCdMVE1TJywzOTY4Nik=&amp;WINDOW=FIRST_POPUP&amp;HEIGHT=450&amp;WIDTH=450&amp;START_MA","XIMIZED=FALSE&amp;VAR:CALENDAR=US&amp;VAR:SYMBOL=04916420&amp;VAR:INDEX=0"}</definedName>
    <definedName name="_9683__FDSAUDITLINK__" hidden="1">{"fdsup://directions/FAT Viewer?action=UPDATE&amp;creator=factset&amp;DYN_ARGS=TRUE&amp;DOC_NAME=FAT:FQL_AUDITING_CLIENT_TEMPLATE.FAT&amp;display_string=Audit&amp;VAR:KEY=NQPOPYBYZA&amp;VAR:QUERY=RkZfRUJJVERBX0lCKCdMVE1TJywzOTY4Nik=&amp;WINDOW=FIRST_POPUP&amp;HEIGHT=450&amp;WIDTH=450&amp;START_MA","XIMIZED=FALSE&amp;VAR:CALENDAR=US&amp;VAR:SYMBOL=04916420&amp;VAR:INDEX=0"}</definedName>
    <definedName name="_9684__FDSAUDITLINK__" localSheetId="6" hidden="1">{"fdsup://directions/FAT Viewer?action=UPDATE&amp;creator=factset&amp;DYN_ARGS=TRUE&amp;DOC_NAME=FAT:FQL_AUDITING_CLIENT_TEMPLATE.FAT&amp;display_string=Audit&amp;VAR:KEY=NGNAPGDKLC&amp;VAR:QUERY=RkZfRUJJVERBX0lCKCdMVE1TJywzOTY4NSk=&amp;WINDOW=FIRST_POPUP&amp;HEIGHT=450&amp;WIDTH=450&amp;START_MA","XIMIZED=FALSE&amp;VAR:CALENDAR=US&amp;VAR:SYMBOL=04916420&amp;VAR:INDEX=0"}</definedName>
    <definedName name="_9684__FDSAUDITLINK__" hidden="1">{"fdsup://directions/FAT Viewer?action=UPDATE&amp;creator=factset&amp;DYN_ARGS=TRUE&amp;DOC_NAME=FAT:FQL_AUDITING_CLIENT_TEMPLATE.FAT&amp;display_string=Audit&amp;VAR:KEY=NGNAPGDKLC&amp;VAR:QUERY=RkZfRUJJVERBX0lCKCdMVE1TJywzOTY4NSk=&amp;WINDOW=FIRST_POPUP&amp;HEIGHT=450&amp;WIDTH=450&amp;START_MA","XIMIZED=FALSE&amp;VAR:CALENDAR=US&amp;VAR:SYMBOL=04916420&amp;VAR:INDEX=0"}</definedName>
    <definedName name="_9685__FDSAUDITLINK__" localSheetId="6" hidden="1">{"fdsup://directions/FAT Viewer?action=UPDATE&amp;creator=factset&amp;DYN_ARGS=TRUE&amp;DOC_NAME=FAT:FQL_AUDITING_CLIENT_TEMPLATE.FAT&amp;display_string=Audit&amp;VAR:KEY=JOVITGNOJU&amp;VAR:QUERY=RkZfRUJJVERBX0lCKCdMVE1TJywzOTY4NCk=&amp;WINDOW=FIRST_POPUP&amp;HEIGHT=450&amp;WIDTH=450&amp;START_MA","XIMIZED=FALSE&amp;VAR:CALENDAR=US&amp;VAR:SYMBOL=04916420&amp;VAR:INDEX=0"}</definedName>
    <definedName name="_9685__FDSAUDITLINK__" hidden="1">{"fdsup://directions/FAT Viewer?action=UPDATE&amp;creator=factset&amp;DYN_ARGS=TRUE&amp;DOC_NAME=FAT:FQL_AUDITING_CLIENT_TEMPLATE.FAT&amp;display_string=Audit&amp;VAR:KEY=JOVITGNOJU&amp;VAR:QUERY=RkZfRUJJVERBX0lCKCdMVE1TJywzOTY4NCk=&amp;WINDOW=FIRST_POPUP&amp;HEIGHT=450&amp;WIDTH=450&amp;START_MA","XIMIZED=FALSE&amp;VAR:CALENDAR=US&amp;VAR:SYMBOL=04916420&amp;VAR:INDEX=0"}</definedName>
    <definedName name="_9686__FDSAUDITLINK__" localSheetId="6" hidden="1">{"fdsup://directions/FAT Viewer?action=UPDATE&amp;creator=factset&amp;DYN_ARGS=TRUE&amp;DOC_NAME=FAT:FQL_AUDITING_CLIENT_TEMPLATE.FAT&amp;display_string=Audit&amp;VAR:KEY=BGHYLOPSXS&amp;VAR:QUERY=RkZfRUJJVERBX0lCKCdMVE1TJywzOTY4Myk=&amp;WINDOW=FIRST_POPUP&amp;HEIGHT=450&amp;WIDTH=450&amp;START_MA","XIMIZED=FALSE&amp;VAR:CALENDAR=US&amp;VAR:SYMBOL=04916420&amp;VAR:INDEX=0"}</definedName>
    <definedName name="_9686__FDSAUDITLINK__" hidden="1">{"fdsup://directions/FAT Viewer?action=UPDATE&amp;creator=factset&amp;DYN_ARGS=TRUE&amp;DOC_NAME=FAT:FQL_AUDITING_CLIENT_TEMPLATE.FAT&amp;display_string=Audit&amp;VAR:KEY=BGHYLOPSXS&amp;VAR:QUERY=RkZfRUJJVERBX0lCKCdMVE1TJywzOTY4Myk=&amp;WINDOW=FIRST_POPUP&amp;HEIGHT=450&amp;WIDTH=450&amp;START_MA","XIMIZED=FALSE&amp;VAR:CALENDAR=US&amp;VAR:SYMBOL=04916420&amp;VAR:INDEX=0"}</definedName>
    <definedName name="_9687__FDSAUDITLINK__" localSheetId="6" hidden="1">{"fdsup://directions/FAT Viewer?action=UPDATE&amp;creator=factset&amp;DYN_ARGS=TRUE&amp;DOC_NAME=FAT:FQL_AUDITING_CLIENT_TEMPLATE.FAT&amp;display_string=Audit&amp;VAR:KEY=NIDSJWLWNW&amp;VAR:QUERY=RkZfRUJJVERBX0lCKCdMVE1TJywzOTY4Mik=&amp;WINDOW=FIRST_POPUP&amp;HEIGHT=450&amp;WIDTH=450&amp;START_MA","XIMIZED=FALSE&amp;VAR:CALENDAR=US&amp;VAR:SYMBOL=04916420&amp;VAR:INDEX=0"}</definedName>
    <definedName name="_9687__FDSAUDITLINK__" hidden="1">{"fdsup://directions/FAT Viewer?action=UPDATE&amp;creator=factset&amp;DYN_ARGS=TRUE&amp;DOC_NAME=FAT:FQL_AUDITING_CLIENT_TEMPLATE.FAT&amp;display_string=Audit&amp;VAR:KEY=NIDSJWLWNW&amp;VAR:QUERY=RkZfRUJJVERBX0lCKCdMVE1TJywzOTY4Mik=&amp;WINDOW=FIRST_POPUP&amp;HEIGHT=450&amp;WIDTH=450&amp;START_MA","XIMIZED=FALSE&amp;VAR:CALENDAR=US&amp;VAR:SYMBOL=04916420&amp;VAR:INDEX=0"}</definedName>
    <definedName name="_9688__FDSAUDITLINK__" localSheetId="6" hidden="1">{"fdsup://directions/FAT Viewer?action=UPDATE&amp;creator=factset&amp;DYN_ARGS=TRUE&amp;DOC_NAME=FAT:FQL_AUDITING_CLIENT_TEMPLATE.FAT&amp;display_string=Audit&amp;VAR:KEY=LOVUZUZEPY&amp;VAR:QUERY=RkZfRUJJVERBX0lCKCdMVE1TJywzOTY4MSk=&amp;WINDOW=FIRST_POPUP&amp;HEIGHT=450&amp;WIDTH=450&amp;START_MA","XIMIZED=FALSE&amp;VAR:CALENDAR=US&amp;VAR:SYMBOL=04916420&amp;VAR:INDEX=0"}</definedName>
    <definedName name="_9688__FDSAUDITLINK__" hidden="1">{"fdsup://directions/FAT Viewer?action=UPDATE&amp;creator=factset&amp;DYN_ARGS=TRUE&amp;DOC_NAME=FAT:FQL_AUDITING_CLIENT_TEMPLATE.FAT&amp;display_string=Audit&amp;VAR:KEY=LOVUZUZEPY&amp;VAR:QUERY=RkZfRUJJVERBX0lCKCdMVE1TJywzOTY4MSk=&amp;WINDOW=FIRST_POPUP&amp;HEIGHT=450&amp;WIDTH=450&amp;START_MA","XIMIZED=FALSE&amp;VAR:CALENDAR=US&amp;VAR:SYMBOL=04916420&amp;VAR:INDEX=0"}</definedName>
    <definedName name="_9689__FDSAUDITLINK__" localSheetId="6" hidden="1">{"fdsup://directions/FAT Viewer?action=UPDATE&amp;creator=factset&amp;DYN_ARGS=TRUE&amp;DOC_NAME=FAT:FQL_AUDITING_CLIENT_TEMPLATE.FAT&amp;display_string=Audit&amp;VAR:KEY=VWJQHWDODA&amp;VAR:QUERY=RkZfRUJJVERBX0lCKCdMVE1TJywzOTY4MCk=&amp;WINDOW=FIRST_POPUP&amp;HEIGHT=450&amp;WIDTH=450&amp;START_MA","XIMIZED=FALSE&amp;VAR:CALENDAR=US&amp;VAR:SYMBOL=04916420&amp;VAR:INDEX=0"}</definedName>
    <definedName name="_9689__FDSAUDITLINK__" hidden="1">{"fdsup://directions/FAT Viewer?action=UPDATE&amp;creator=factset&amp;DYN_ARGS=TRUE&amp;DOC_NAME=FAT:FQL_AUDITING_CLIENT_TEMPLATE.FAT&amp;display_string=Audit&amp;VAR:KEY=VWJQHWDODA&amp;VAR:QUERY=RkZfRUJJVERBX0lCKCdMVE1TJywzOTY4MCk=&amp;WINDOW=FIRST_POPUP&amp;HEIGHT=450&amp;WIDTH=450&amp;START_MA","XIMIZED=FALSE&amp;VAR:CALENDAR=US&amp;VAR:SYMBOL=04916420&amp;VAR:INDEX=0"}</definedName>
    <definedName name="_969__FDSAUDITLINK__" localSheetId="6" hidden="1">{"fdsup://directions/FAT%20Viewer?VAR:PED=LTM&amp;VAR:AUDIT_MODE=SUMMARY&amp;VAR:PERIOD=FIXED&amp;VAR:AUDIT_ID=00000117&amp;VAR:DATE=20070628&amp;action=UPDATE&amp;creator=factset&amp;DOC_NAME=FAT:FMA_audit_SUMMARY.fat&amp;DISPLAY_STRING=Display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9__FDSAUDITLINK__" hidden="1">{"fdsup://directions/FAT%20Viewer?VAR:PED=LTM&amp;VAR:AUDIT_MODE=SUMMARY&amp;VAR:PERIOD=FIXED&amp;VAR:AUDIT_ID=00000117&amp;VAR:DATE=20070628&amp;action=UPDATE&amp;creator=factset&amp;DOC_NAME=FAT:FMA_audit_SUMMARY.fat&amp;DISPLAY_STRING=Display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690__FDSAUDITLINK__" localSheetId="6" hidden="1">{"fdsup://directions/FAT Viewer?action=UPDATE&amp;creator=factset&amp;DYN_ARGS=TRUE&amp;DOC_NAME=FAT:FQL_AUDITING_CLIENT_TEMPLATE.FAT&amp;display_string=Audit&amp;VAR:KEY=LYTWHYXWVS&amp;VAR:QUERY=RkZfRUJJVERBX0lCKCdMVE1TJywzOTY3OSk=&amp;WINDOW=FIRST_POPUP&amp;HEIGHT=450&amp;WIDTH=450&amp;START_MA","XIMIZED=FALSE&amp;VAR:CALENDAR=US&amp;VAR:SYMBOL=04916420&amp;VAR:INDEX=0"}</definedName>
    <definedName name="_9690__FDSAUDITLINK__" hidden="1">{"fdsup://directions/FAT Viewer?action=UPDATE&amp;creator=factset&amp;DYN_ARGS=TRUE&amp;DOC_NAME=FAT:FQL_AUDITING_CLIENT_TEMPLATE.FAT&amp;display_string=Audit&amp;VAR:KEY=LYTWHYXWVS&amp;VAR:QUERY=RkZfRUJJVERBX0lCKCdMVE1TJywzOTY3OSk=&amp;WINDOW=FIRST_POPUP&amp;HEIGHT=450&amp;WIDTH=450&amp;START_MA","XIMIZED=FALSE&amp;VAR:CALENDAR=US&amp;VAR:SYMBOL=04916420&amp;VAR:INDEX=0"}</definedName>
    <definedName name="_9691__FDSAUDITLINK__" localSheetId="6" hidden="1">{"fdsup://directions/FAT Viewer?action=UPDATE&amp;creator=factset&amp;DYN_ARGS=TRUE&amp;DOC_NAME=FAT:FQL_AUDITING_CLIENT_TEMPLATE.FAT&amp;display_string=Audit&amp;VAR:KEY=TYFKNCPWPE&amp;VAR:QUERY=RkZfRUJJVERBX0lCKCdMVE1TJywzOTY3OCk=&amp;WINDOW=FIRST_POPUP&amp;HEIGHT=450&amp;WIDTH=450&amp;START_MA","XIMIZED=FALSE&amp;VAR:CALENDAR=US&amp;VAR:SYMBOL=04916420&amp;VAR:INDEX=0"}</definedName>
    <definedName name="_9691__FDSAUDITLINK__" hidden="1">{"fdsup://directions/FAT Viewer?action=UPDATE&amp;creator=factset&amp;DYN_ARGS=TRUE&amp;DOC_NAME=FAT:FQL_AUDITING_CLIENT_TEMPLATE.FAT&amp;display_string=Audit&amp;VAR:KEY=TYFKNCPWPE&amp;VAR:QUERY=RkZfRUJJVERBX0lCKCdMVE1TJywzOTY3OCk=&amp;WINDOW=FIRST_POPUP&amp;HEIGHT=450&amp;WIDTH=450&amp;START_MA","XIMIZED=FALSE&amp;VAR:CALENDAR=US&amp;VAR:SYMBOL=04916420&amp;VAR:INDEX=0"}</definedName>
    <definedName name="_9692__FDSAUDITLINK__" localSheetId="6" hidden="1">{"fdsup://directions/FAT Viewer?action=UPDATE&amp;creator=factset&amp;DYN_ARGS=TRUE&amp;DOC_NAME=FAT:FQL_AUDITING_CLIENT_TEMPLATE.FAT&amp;display_string=Audit&amp;VAR:KEY=ZANOFQFYNY&amp;VAR:QUERY=RkZfRUJJVERBX0lCKCdMVE1TJywzOTY3Nyk=&amp;WINDOW=FIRST_POPUP&amp;HEIGHT=450&amp;WIDTH=450&amp;START_MA","XIMIZED=FALSE&amp;VAR:CALENDAR=US&amp;VAR:SYMBOL=04916420&amp;VAR:INDEX=0"}</definedName>
    <definedName name="_9692__FDSAUDITLINK__" hidden="1">{"fdsup://directions/FAT Viewer?action=UPDATE&amp;creator=factset&amp;DYN_ARGS=TRUE&amp;DOC_NAME=FAT:FQL_AUDITING_CLIENT_TEMPLATE.FAT&amp;display_string=Audit&amp;VAR:KEY=ZANOFQFYNY&amp;VAR:QUERY=RkZfRUJJVERBX0lCKCdMVE1TJywzOTY3Nyk=&amp;WINDOW=FIRST_POPUP&amp;HEIGHT=450&amp;WIDTH=450&amp;START_MA","XIMIZED=FALSE&amp;VAR:CALENDAR=US&amp;VAR:SYMBOL=04916420&amp;VAR:INDEX=0"}</definedName>
    <definedName name="_9693__FDSAUDITLINK__" localSheetId="6" hidden="1">{"fdsup://directions/FAT Viewer?action=UPDATE&amp;creator=factset&amp;DYN_ARGS=TRUE&amp;DOC_NAME=FAT:FQL_AUDITING_CLIENT_TEMPLATE.FAT&amp;display_string=Audit&amp;VAR:KEY=BALUNOPOPA&amp;VAR:QUERY=RkZfRUJJVERBX0lCKCdMVE1TJywzOTY3Nik=&amp;WINDOW=FIRST_POPUP&amp;HEIGHT=450&amp;WIDTH=450&amp;START_MA","XIMIZED=FALSE&amp;VAR:CALENDAR=US&amp;VAR:SYMBOL=04916420&amp;VAR:INDEX=0"}</definedName>
    <definedName name="_9693__FDSAUDITLINK__" hidden="1">{"fdsup://directions/FAT Viewer?action=UPDATE&amp;creator=factset&amp;DYN_ARGS=TRUE&amp;DOC_NAME=FAT:FQL_AUDITING_CLIENT_TEMPLATE.FAT&amp;display_string=Audit&amp;VAR:KEY=BALUNOPOPA&amp;VAR:QUERY=RkZfRUJJVERBX0lCKCdMVE1TJywzOTY3Nik=&amp;WINDOW=FIRST_POPUP&amp;HEIGHT=450&amp;WIDTH=450&amp;START_MA","XIMIZED=FALSE&amp;VAR:CALENDAR=US&amp;VAR:SYMBOL=04916420&amp;VAR:INDEX=0"}</definedName>
    <definedName name="_9694__FDSAUDITLINK__" localSheetId="6" hidden="1">{"fdsup://directions/FAT Viewer?action=UPDATE&amp;creator=factset&amp;DYN_ARGS=TRUE&amp;DOC_NAME=FAT:FQL_AUDITING_CLIENT_TEMPLATE.FAT&amp;display_string=Audit&amp;VAR:KEY=DKVGVYHQXE&amp;VAR:QUERY=RkZfRUJJVERBX0lCKCdMVE1TJywzOTY3NSk=&amp;WINDOW=FIRST_POPUP&amp;HEIGHT=450&amp;WIDTH=450&amp;START_MA","XIMIZED=FALSE&amp;VAR:CALENDAR=US&amp;VAR:SYMBOL=04916420&amp;VAR:INDEX=0"}</definedName>
    <definedName name="_9694__FDSAUDITLINK__" hidden="1">{"fdsup://directions/FAT Viewer?action=UPDATE&amp;creator=factset&amp;DYN_ARGS=TRUE&amp;DOC_NAME=FAT:FQL_AUDITING_CLIENT_TEMPLATE.FAT&amp;display_string=Audit&amp;VAR:KEY=DKVGVYHQXE&amp;VAR:QUERY=RkZfRUJJVERBX0lCKCdMVE1TJywzOTY3NSk=&amp;WINDOW=FIRST_POPUP&amp;HEIGHT=450&amp;WIDTH=450&amp;START_MA","XIMIZED=FALSE&amp;VAR:CALENDAR=US&amp;VAR:SYMBOL=04916420&amp;VAR:INDEX=0"}</definedName>
    <definedName name="_9695__FDSAUDITLINK__" localSheetId="6" hidden="1">{"fdsup://directions/FAT Viewer?action=UPDATE&amp;creator=factset&amp;DYN_ARGS=TRUE&amp;DOC_NAME=FAT:FQL_AUDITING_CLIENT_TEMPLATE.FAT&amp;display_string=Audit&amp;VAR:KEY=LMZYPITYTI&amp;VAR:QUERY=RkZfRUJJVERBX0lCKCdMVE1TJywzOTY3NCk=&amp;WINDOW=FIRST_POPUP&amp;HEIGHT=450&amp;WIDTH=450&amp;START_MA","XIMIZED=FALSE&amp;VAR:CALENDAR=US&amp;VAR:SYMBOL=04916420&amp;VAR:INDEX=0"}</definedName>
    <definedName name="_9695__FDSAUDITLINK__" hidden="1">{"fdsup://directions/FAT Viewer?action=UPDATE&amp;creator=factset&amp;DYN_ARGS=TRUE&amp;DOC_NAME=FAT:FQL_AUDITING_CLIENT_TEMPLATE.FAT&amp;display_string=Audit&amp;VAR:KEY=LMZYPITYTI&amp;VAR:QUERY=RkZfRUJJVERBX0lCKCdMVE1TJywzOTY3NCk=&amp;WINDOW=FIRST_POPUP&amp;HEIGHT=450&amp;WIDTH=450&amp;START_MA","XIMIZED=FALSE&amp;VAR:CALENDAR=US&amp;VAR:SYMBOL=04916420&amp;VAR:INDEX=0"}</definedName>
    <definedName name="_9696__FDSAUDITLINK__" localSheetId="6" hidden="1">{"fdsup://directions/FAT Viewer?action=UPDATE&amp;creator=factset&amp;DYN_ARGS=TRUE&amp;DOC_NAME=FAT:FQL_AUDITING_CLIENT_TEMPLATE.FAT&amp;display_string=Audit&amp;VAR:KEY=PMTODOJQRC&amp;VAR:QUERY=RkZfRUJJVERBX0lCKCdMVE1TJywzOTY3Myk=&amp;WINDOW=FIRST_POPUP&amp;HEIGHT=450&amp;WIDTH=450&amp;START_MA","XIMIZED=FALSE&amp;VAR:CALENDAR=US&amp;VAR:SYMBOL=04916420&amp;VAR:INDEX=0"}</definedName>
    <definedName name="_9696__FDSAUDITLINK__" hidden="1">{"fdsup://directions/FAT Viewer?action=UPDATE&amp;creator=factset&amp;DYN_ARGS=TRUE&amp;DOC_NAME=FAT:FQL_AUDITING_CLIENT_TEMPLATE.FAT&amp;display_string=Audit&amp;VAR:KEY=PMTODOJQRC&amp;VAR:QUERY=RkZfRUJJVERBX0lCKCdMVE1TJywzOTY3Myk=&amp;WINDOW=FIRST_POPUP&amp;HEIGHT=450&amp;WIDTH=450&amp;START_MA","XIMIZED=FALSE&amp;VAR:CALENDAR=US&amp;VAR:SYMBOL=04916420&amp;VAR:INDEX=0"}</definedName>
    <definedName name="_9697__FDSAUDITLINK__" localSheetId="6" hidden="1">{"fdsup://directions/FAT Viewer?action=UPDATE&amp;creator=factset&amp;DYN_ARGS=TRUE&amp;DOC_NAME=FAT:FQL_AUDITING_CLIENT_TEMPLATE.FAT&amp;display_string=Audit&amp;VAR:KEY=POTSRMHEZA&amp;VAR:QUERY=RkZfRUJJVERBX0lCKCdMVE1TJywzOTY3Mik=&amp;WINDOW=FIRST_POPUP&amp;HEIGHT=450&amp;WIDTH=450&amp;START_MA","XIMIZED=FALSE&amp;VAR:CALENDAR=US&amp;VAR:SYMBOL=04916420&amp;VAR:INDEX=0"}</definedName>
    <definedName name="_9697__FDSAUDITLINK__" hidden="1">{"fdsup://directions/FAT Viewer?action=UPDATE&amp;creator=factset&amp;DYN_ARGS=TRUE&amp;DOC_NAME=FAT:FQL_AUDITING_CLIENT_TEMPLATE.FAT&amp;display_string=Audit&amp;VAR:KEY=POTSRMHEZA&amp;VAR:QUERY=RkZfRUJJVERBX0lCKCdMVE1TJywzOTY3Mik=&amp;WINDOW=FIRST_POPUP&amp;HEIGHT=450&amp;WIDTH=450&amp;START_MA","XIMIZED=FALSE&amp;VAR:CALENDAR=US&amp;VAR:SYMBOL=04916420&amp;VAR:INDEX=0"}</definedName>
    <definedName name="_9698__FDSAUDITLINK__" localSheetId="6" hidden="1">{"fdsup://directions/FAT Viewer?action=UPDATE&amp;creator=factset&amp;DYN_ARGS=TRUE&amp;DOC_NAME=FAT:FQL_AUDITING_CLIENT_TEMPLATE.FAT&amp;display_string=Audit&amp;VAR:KEY=RKHWNWLUNY&amp;VAR:QUERY=RkZfRUJJVERBX0lCKCdMVE1TJywzOTY3MSk=&amp;WINDOW=FIRST_POPUP&amp;HEIGHT=450&amp;WIDTH=450&amp;START_MA","XIMIZED=FALSE&amp;VAR:CALENDAR=US&amp;VAR:SYMBOL=04916420&amp;VAR:INDEX=0"}</definedName>
    <definedName name="_9698__FDSAUDITLINK__" hidden="1">{"fdsup://directions/FAT Viewer?action=UPDATE&amp;creator=factset&amp;DYN_ARGS=TRUE&amp;DOC_NAME=FAT:FQL_AUDITING_CLIENT_TEMPLATE.FAT&amp;display_string=Audit&amp;VAR:KEY=RKHWNWLUNY&amp;VAR:QUERY=RkZfRUJJVERBX0lCKCdMVE1TJywzOTY3MSk=&amp;WINDOW=FIRST_POPUP&amp;HEIGHT=450&amp;WIDTH=450&amp;START_MA","XIMIZED=FALSE&amp;VAR:CALENDAR=US&amp;VAR:SYMBOL=04916420&amp;VAR:INDEX=0"}</definedName>
    <definedName name="_9699__FDSAUDITLINK__" localSheetId="6" hidden="1">{"fdsup://directions/FAT Viewer?action=UPDATE&amp;creator=factset&amp;DYN_ARGS=TRUE&amp;DOC_NAME=FAT:FQL_AUDITING_CLIENT_TEMPLATE.FAT&amp;display_string=Audit&amp;VAR:KEY=RSZAPUJOXQ&amp;VAR:QUERY=RkZfRUJJVERBX0lCKCdMVE1TJywzOTY3MCk=&amp;WINDOW=FIRST_POPUP&amp;HEIGHT=450&amp;WIDTH=450&amp;START_MA","XIMIZED=FALSE&amp;VAR:CALENDAR=US&amp;VAR:SYMBOL=04916420&amp;VAR:INDEX=0"}</definedName>
    <definedName name="_9699__FDSAUDITLINK__" hidden="1">{"fdsup://directions/FAT Viewer?action=UPDATE&amp;creator=factset&amp;DYN_ARGS=TRUE&amp;DOC_NAME=FAT:FQL_AUDITING_CLIENT_TEMPLATE.FAT&amp;display_string=Audit&amp;VAR:KEY=RSZAPUJOXQ&amp;VAR:QUERY=RkZfRUJJVERBX0lCKCdMVE1TJywzOTY3MCk=&amp;WINDOW=FIRST_POPUP&amp;HEIGHT=450&amp;WIDTH=450&amp;START_MA","XIMIZED=FALSE&amp;VAR:CALENDAR=US&amp;VAR:SYMBOL=04916420&amp;VAR:INDEX=0"}</definedName>
    <definedName name="_97__FDSAUDITLINK__" localSheetId="6" hidden="1">{"fdsup://directions/FAT Viewer?action=UPDATE&amp;creator=factset&amp;DYN_ARGS=TRUE&amp;DOC_NAME=FAT:FQL_AUDITING_CLIENT_TEMPLATE.FAT&amp;display_string=Audit&amp;VAR:KEY=WJYXKNIHIL&amp;VAR:QUERY=QVZHKENTRl9ORVRfSU5DKEFOTiwwRlksLTZGWSxZKSkvKEFWRyhDU0ZfQVNTRVRTKEFOTiwwRlksLTZGWSxGW","SkpLUFWRyhDU0ZfSU5UQU5HKEFOTiwwLC02RlksRlkpKSk=&amp;WINDOW=FIRST_POPUP&amp;HEIGHT=450&amp;WIDTH=450&amp;START_MAXIMIZED=FALSE&amp;VAR:CALENDAR=US&amp;VAR:SYMBOL=DSX"}</definedName>
    <definedName name="_97__FDSAUDITLINK__" hidden="1">{"fdsup://directions/FAT Viewer?action=UPDATE&amp;creator=factset&amp;DYN_ARGS=TRUE&amp;DOC_NAME=FAT:FQL_AUDITING_CLIENT_TEMPLATE.FAT&amp;display_string=Audit&amp;VAR:KEY=WJYXKNIHIL&amp;VAR:QUERY=QVZHKENTRl9ORVRfSU5DKEFOTiwwRlksLTZGWSxZKSkvKEFWRyhDU0ZfQVNTRVRTKEFOTiwwRlksLTZGWSxGW","SkpLUFWRyhDU0ZfSU5UQU5HKEFOTiwwLC02RlksRlkpKSk=&amp;WINDOW=FIRST_POPUP&amp;HEIGHT=450&amp;WIDTH=450&amp;START_MAXIMIZED=FALSE&amp;VAR:CALENDAR=US&amp;VAR:SYMBOL=DSX"}</definedName>
    <definedName name="_970__FDSAUDITLINK__" localSheetId="6" hidden="1">{"fdsup://directions/FAT%20Viewer?VAR:PED=LTM&amp;VAR:AUDIT_MODE=SUMMARY&amp;VAR:PERIOD=FIXED&amp;VAR:AUDIT_ID=00000117&amp;VAR:DATE=20070627&amp;action=UPDATE&amp;creator=factset&amp;DOC_NAME=FAT:FMA_audit_SUMMARY.fat&amp;DISPLAY_STRING=Display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0__FDSAUDITLINK__" hidden="1">{"fdsup://directions/FAT%20Viewer?VAR:PED=LTM&amp;VAR:AUDIT_MODE=SUMMARY&amp;VAR:PERIOD=FIXED&amp;VAR:AUDIT_ID=00000117&amp;VAR:DATE=20070627&amp;action=UPDATE&amp;creator=factset&amp;DOC_NAME=FAT:FMA_audit_SUMMARY.fat&amp;DISPLAY_STRING=Display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00__FDSAUDITLINK__" localSheetId="6" hidden="1">{"fdsup://directions/FAT Viewer?action=UPDATE&amp;creator=factset&amp;DYN_ARGS=TRUE&amp;DOC_NAME=FAT:FQL_AUDITING_CLIENT_TEMPLATE.FAT&amp;display_string=Audit&amp;VAR:KEY=ZKPIBEFEDO&amp;VAR:QUERY=RkZfRUJJVERBX0lCKCdMVE1TJywzOTY2OSk=&amp;WINDOW=FIRST_POPUP&amp;HEIGHT=450&amp;WIDTH=450&amp;START_MA","XIMIZED=FALSE&amp;VAR:CALENDAR=US&amp;VAR:SYMBOL=04916420&amp;VAR:INDEX=0"}</definedName>
    <definedName name="_9700__FDSAUDITLINK__" hidden="1">{"fdsup://directions/FAT Viewer?action=UPDATE&amp;creator=factset&amp;DYN_ARGS=TRUE&amp;DOC_NAME=FAT:FQL_AUDITING_CLIENT_TEMPLATE.FAT&amp;display_string=Audit&amp;VAR:KEY=ZKPIBEFEDO&amp;VAR:QUERY=RkZfRUJJVERBX0lCKCdMVE1TJywzOTY2OSk=&amp;WINDOW=FIRST_POPUP&amp;HEIGHT=450&amp;WIDTH=450&amp;START_MA","XIMIZED=FALSE&amp;VAR:CALENDAR=US&amp;VAR:SYMBOL=04916420&amp;VAR:INDEX=0"}</definedName>
    <definedName name="_9701__FDSAUDITLINK__" localSheetId="6" hidden="1">{"fdsup://directions/FAT Viewer?action=UPDATE&amp;creator=factset&amp;DYN_ARGS=TRUE&amp;DOC_NAME=FAT:FQL_AUDITING_CLIENT_TEMPLATE.FAT&amp;display_string=Audit&amp;VAR:KEY=XMTQBCNSLM&amp;VAR:QUERY=RkZfRUJJVERBX0lCKCdMVE1TJywzOTY2OCk=&amp;WINDOW=FIRST_POPUP&amp;HEIGHT=450&amp;WIDTH=450&amp;START_MA","XIMIZED=FALSE&amp;VAR:CALENDAR=US&amp;VAR:SYMBOL=04916420&amp;VAR:INDEX=0"}</definedName>
    <definedName name="_9701__FDSAUDITLINK__" hidden="1">{"fdsup://directions/FAT Viewer?action=UPDATE&amp;creator=factset&amp;DYN_ARGS=TRUE&amp;DOC_NAME=FAT:FQL_AUDITING_CLIENT_TEMPLATE.FAT&amp;display_string=Audit&amp;VAR:KEY=XMTQBCNSLM&amp;VAR:QUERY=RkZfRUJJVERBX0lCKCdMVE1TJywzOTY2OCk=&amp;WINDOW=FIRST_POPUP&amp;HEIGHT=450&amp;WIDTH=450&amp;START_MA","XIMIZED=FALSE&amp;VAR:CALENDAR=US&amp;VAR:SYMBOL=04916420&amp;VAR:INDEX=0"}</definedName>
    <definedName name="_9702__FDSAUDITLINK__" localSheetId="6" hidden="1">{"fdsup://directions/FAT Viewer?action=UPDATE&amp;creator=factset&amp;DYN_ARGS=TRUE&amp;DOC_NAME=FAT:FQL_AUDITING_CLIENT_TEMPLATE.FAT&amp;display_string=Audit&amp;VAR:KEY=XCJKJQZMTO&amp;VAR:QUERY=RkZfRUJJVERBX0lCKCdMVE1TJywzOTY2Nyk=&amp;WINDOW=FIRST_POPUP&amp;HEIGHT=450&amp;WIDTH=450&amp;START_MA","XIMIZED=FALSE&amp;VAR:CALENDAR=US&amp;VAR:SYMBOL=04916420&amp;VAR:INDEX=0"}</definedName>
    <definedName name="_9702__FDSAUDITLINK__" hidden="1">{"fdsup://directions/FAT Viewer?action=UPDATE&amp;creator=factset&amp;DYN_ARGS=TRUE&amp;DOC_NAME=FAT:FQL_AUDITING_CLIENT_TEMPLATE.FAT&amp;display_string=Audit&amp;VAR:KEY=XCJKJQZMTO&amp;VAR:QUERY=RkZfRUJJVERBX0lCKCdMVE1TJywzOTY2Nyk=&amp;WINDOW=FIRST_POPUP&amp;HEIGHT=450&amp;WIDTH=450&amp;START_MA","XIMIZED=FALSE&amp;VAR:CALENDAR=US&amp;VAR:SYMBOL=04916420&amp;VAR:INDEX=0"}</definedName>
    <definedName name="_9703__FDSAUDITLINK__" localSheetId="6" hidden="1">{"fdsup://directions/FAT Viewer?action=UPDATE&amp;creator=factset&amp;DYN_ARGS=TRUE&amp;DOC_NAME=FAT:FQL_AUDITING_CLIENT_TEMPLATE.FAT&amp;display_string=Audit&amp;VAR:KEY=HADKHGBURW&amp;VAR:QUERY=RkZfRUJJVERBX0lCKCdMVE1TJywzOTY2Nik=&amp;WINDOW=FIRST_POPUP&amp;HEIGHT=450&amp;WIDTH=450&amp;START_MA","XIMIZED=FALSE&amp;VAR:CALENDAR=US&amp;VAR:SYMBOL=04916420&amp;VAR:INDEX=0"}</definedName>
    <definedName name="_9703__FDSAUDITLINK__" hidden="1">{"fdsup://directions/FAT Viewer?action=UPDATE&amp;creator=factset&amp;DYN_ARGS=TRUE&amp;DOC_NAME=FAT:FQL_AUDITING_CLIENT_TEMPLATE.FAT&amp;display_string=Audit&amp;VAR:KEY=HADKHGBURW&amp;VAR:QUERY=RkZfRUJJVERBX0lCKCdMVE1TJywzOTY2Nik=&amp;WINDOW=FIRST_POPUP&amp;HEIGHT=450&amp;WIDTH=450&amp;START_MA","XIMIZED=FALSE&amp;VAR:CALENDAR=US&amp;VAR:SYMBOL=04916420&amp;VAR:INDEX=0"}</definedName>
    <definedName name="_9704__FDSAUDITLINK__" localSheetId="6" hidden="1">{"fdsup://directions/FAT Viewer?action=UPDATE&amp;creator=factset&amp;DYN_ARGS=TRUE&amp;DOC_NAME=FAT:FQL_AUDITING_CLIENT_TEMPLATE.FAT&amp;display_string=Audit&amp;VAR:KEY=HCLGPQXGDW&amp;VAR:QUERY=RkZfRUJJVERBX0lCKCdMVE1TJywzOTY2NSk=&amp;WINDOW=FIRST_POPUP&amp;HEIGHT=450&amp;WIDTH=450&amp;START_MA","XIMIZED=FALSE&amp;VAR:CALENDAR=US&amp;VAR:SYMBOL=04916420&amp;VAR:INDEX=0"}</definedName>
    <definedName name="_9704__FDSAUDITLINK__" hidden="1">{"fdsup://directions/FAT Viewer?action=UPDATE&amp;creator=factset&amp;DYN_ARGS=TRUE&amp;DOC_NAME=FAT:FQL_AUDITING_CLIENT_TEMPLATE.FAT&amp;display_string=Audit&amp;VAR:KEY=HCLGPQXGDW&amp;VAR:QUERY=RkZfRUJJVERBX0lCKCdMVE1TJywzOTY2NSk=&amp;WINDOW=FIRST_POPUP&amp;HEIGHT=450&amp;WIDTH=450&amp;START_MA","XIMIZED=FALSE&amp;VAR:CALENDAR=US&amp;VAR:SYMBOL=04916420&amp;VAR:INDEX=0"}</definedName>
    <definedName name="_9705__FDSAUDITLINK__" localSheetId="6" hidden="1">{"fdsup://directions/FAT Viewer?action=UPDATE&amp;creator=factset&amp;DYN_ARGS=TRUE&amp;DOC_NAME=FAT:FQL_AUDITING_CLIENT_TEMPLATE.FAT&amp;display_string=Audit&amp;VAR:KEY=DQDGDELYJS&amp;VAR:QUERY=RkZfRUJJVERBX0lCKCdMVE1TJywzOTY2NCk=&amp;WINDOW=FIRST_POPUP&amp;HEIGHT=450&amp;WIDTH=450&amp;START_MA","XIMIZED=FALSE&amp;VAR:CALENDAR=US&amp;VAR:SYMBOL=04916420&amp;VAR:INDEX=0"}</definedName>
    <definedName name="_9705__FDSAUDITLINK__" hidden="1">{"fdsup://directions/FAT Viewer?action=UPDATE&amp;creator=factset&amp;DYN_ARGS=TRUE&amp;DOC_NAME=FAT:FQL_AUDITING_CLIENT_TEMPLATE.FAT&amp;display_string=Audit&amp;VAR:KEY=DQDGDELYJS&amp;VAR:QUERY=RkZfRUJJVERBX0lCKCdMVE1TJywzOTY2NCk=&amp;WINDOW=FIRST_POPUP&amp;HEIGHT=450&amp;WIDTH=450&amp;START_MA","XIMIZED=FALSE&amp;VAR:CALENDAR=US&amp;VAR:SYMBOL=04916420&amp;VAR:INDEX=0"}</definedName>
    <definedName name="_9706__FDSAUDITLINK__" localSheetId="6" hidden="1">{"fdsup://directions/FAT Viewer?action=UPDATE&amp;creator=factset&amp;DYN_ARGS=TRUE&amp;DOC_NAME=FAT:FQL_AUDITING_CLIENT_TEMPLATE.FAT&amp;display_string=Audit&amp;VAR:KEY=XCXOFQDMDS&amp;VAR:QUERY=RkZfRUJJVERBX0lCKCdMVE1TJywzOTY2Myk=&amp;WINDOW=FIRST_POPUP&amp;HEIGHT=450&amp;WIDTH=450&amp;START_MA","XIMIZED=FALSE&amp;VAR:CALENDAR=US&amp;VAR:SYMBOL=04916420&amp;VAR:INDEX=0"}</definedName>
    <definedName name="_9706__FDSAUDITLINK__" hidden="1">{"fdsup://directions/FAT Viewer?action=UPDATE&amp;creator=factset&amp;DYN_ARGS=TRUE&amp;DOC_NAME=FAT:FQL_AUDITING_CLIENT_TEMPLATE.FAT&amp;display_string=Audit&amp;VAR:KEY=XCXOFQDMDS&amp;VAR:QUERY=RkZfRUJJVERBX0lCKCdMVE1TJywzOTY2Myk=&amp;WINDOW=FIRST_POPUP&amp;HEIGHT=450&amp;WIDTH=450&amp;START_MA","XIMIZED=FALSE&amp;VAR:CALENDAR=US&amp;VAR:SYMBOL=04916420&amp;VAR:INDEX=0"}</definedName>
    <definedName name="_9707__FDSAUDITLINK__" localSheetId="6" hidden="1">{"fdsup://directions/FAT Viewer?action=UPDATE&amp;creator=factset&amp;DYN_ARGS=TRUE&amp;DOC_NAME=FAT:FQL_AUDITING_CLIENT_TEMPLATE.FAT&amp;display_string=Audit&amp;VAR:KEY=ZUHSDYRQLO&amp;VAR:QUERY=RkZfRUJJVERBX0lCKCdMVE1TJywzOTY2Mik=&amp;WINDOW=FIRST_POPUP&amp;HEIGHT=450&amp;WIDTH=450&amp;START_MA","XIMIZED=FALSE&amp;VAR:CALENDAR=US&amp;VAR:SYMBOL=04916420&amp;VAR:INDEX=0"}</definedName>
    <definedName name="_9707__FDSAUDITLINK__" hidden="1">{"fdsup://directions/FAT Viewer?action=UPDATE&amp;creator=factset&amp;DYN_ARGS=TRUE&amp;DOC_NAME=FAT:FQL_AUDITING_CLIENT_TEMPLATE.FAT&amp;display_string=Audit&amp;VAR:KEY=ZUHSDYRQLO&amp;VAR:QUERY=RkZfRUJJVERBX0lCKCdMVE1TJywzOTY2Mik=&amp;WINDOW=FIRST_POPUP&amp;HEIGHT=450&amp;WIDTH=450&amp;START_MA","XIMIZED=FALSE&amp;VAR:CALENDAR=US&amp;VAR:SYMBOL=04916420&amp;VAR:INDEX=0"}</definedName>
    <definedName name="_9708__FDSAUDITLINK__" localSheetId="6" hidden="1">{"fdsup://directions/FAT Viewer?action=UPDATE&amp;creator=factset&amp;DYN_ARGS=TRUE&amp;DOC_NAME=FAT:FQL_AUDITING_CLIENT_TEMPLATE.FAT&amp;display_string=Audit&amp;VAR:KEY=LUZABILOXY&amp;VAR:QUERY=RkZfRUJJVERBX0lCKCdMVE1TJywzOTY2MSk=&amp;WINDOW=FIRST_POPUP&amp;HEIGHT=450&amp;WIDTH=450&amp;START_MA","XIMIZED=FALSE&amp;VAR:CALENDAR=US&amp;VAR:SYMBOL=04916420&amp;VAR:INDEX=0"}</definedName>
    <definedName name="_9708__FDSAUDITLINK__" hidden="1">{"fdsup://directions/FAT Viewer?action=UPDATE&amp;creator=factset&amp;DYN_ARGS=TRUE&amp;DOC_NAME=FAT:FQL_AUDITING_CLIENT_TEMPLATE.FAT&amp;display_string=Audit&amp;VAR:KEY=LUZABILOXY&amp;VAR:QUERY=RkZfRUJJVERBX0lCKCdMVE1TJywzOTY2MSk=&amp;WINDOW=FIRST_POPUP&amp;HEIGHT=450&amp;WIDTH=450&amp;START_MA","XIMIZED=FALSE&amp;VAR:CALENDAR=US&amp;VAR:SYMBOL=04916420&amp;VAR:INDEX=0"}</definedName>
    <definedName name="_9709__FDSAUDITLINK__" localSheetId="6" hidden="1">{"fdsup://directions/FAT Viewer?action=UPDATE&amp;creator=factset&amp;DYN_ARGS=TRUE&amp;DOC_NAME=FAT:FQL_AUDITING_CLIENT_TEMPLATE.FAT&amp;display_string=Audit&amp;VAR:KEY=TYXSXGNOZW&amp;VAR:QUERY=RkZfRUJJVERBX0lCKCdMVE1TJywzOTY2MCk=&amp;WINDOW=FIRST_POPUP&amp;HEIGHT=450&amp;WIDTH=450&amp;START_MA","XIMIZED=FALSE&amp;VAR:CALENDAR=US&amp;VAR:SYMBOL=04916420&amp;VAR:INDEX=0"}</definedName>
    <definedName name="_9709__FDSAUDITLINK__" hidden="1">{"fdsup://directions/FAT Viewer?action=UPDATE&amp;creator=factset&amp;DYN_ARGS=TRUE&amp;DOC_NAME=FAT:FQL_AUDITING_CLIENT_TEMPLATE.FAT&amp;display_string=Audit&amp;VAR:KEY=TYXSXGNOZW&amp;VAR:QUERY=RkZfRUJJVERBX0lCKCdMVE1TJywzOTY2MCk=&amp;WINDOW=FIRST_POPUP&amp;HEIGHT=450&amp;WIDTH=450&amp;START_MA","XIMIZED=FALSE&amp;VAR:CALENDAR=US&amp;VAR:SYMBOL=04916420&amp;VAR:INDEX=0"}</definedName>
    <definedName name="_971__FDSAUDITLINK__" localSheetId="6" hidden="1">{"fdsup://directions/FAT%20Viewer?VAR:PED=LTM&amp;VAR:AUDIT_MODE=SUMMARY&amp;VAR:PERIOD=FIXED&amp;VAR:AUDIT_ID=00000117&amp;VAR:DATE=20070626&amp;action=UPDATE&amp;creator=factset&amp;DOC_NAME=FAT:FMA_audit_SUMMARY.fat&amp;DISPLAY_STRING=Display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1__FDSAUDITLINK__" hidden="1">{"fdsup://directions/FAT%20Viewer?VAR:PED=LTM&amp;VAR:AUDIT_MODE=SUMMARY&amp;VAR:PERIOD=FIXED&amp;VAR:AUDIT_ID=00000117&amp;VAR:DATE=20070626&amp;action=UPDATE&amp;creator=factset&amp;DOC_NAME=FAT:FMA_audit_SUMMARY.fat&amp;DISPLAY_STRING=Display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10__FDSAUDITLINK__" localSheetId="6" hidden="1">{"fdsup://directions/FAT Viewer?action=UPDATE&amp;creator=factset&amp;DYN_ARGS=TRUE&amp;DOC_NAME=FAT:FQL_AUDITING_CLIENT_TEMPLATE.FAT&amp;display_string=Audit&amp;VAR:KEY=JYLYFAPSRE&amp;VAR:QUERY=RkZfRUJJVERBX0lCKCdMVE1TJywzOTY1OSk=&amp;WINDOW=FIRST_POPUP&amp;HEIGHT=450&amp;WIDTH=450&amp;START_MA","XIMIZED=FALSE&amp;VAR:CALENDAR=US&amp;VAR:SYMBOL=04916420&amp;VAR:INDEX=0"}</definedName>
    <definedName name="_9710__FDSAUDITLINK__" hidden="1">{"fdsup://directions/FAT Viewer?action=UPDATE&amp;creator=factset&amp;DYN_ARGS=TRUE&amp;DOC_NAME=FAT:FQL_AUDITING_CLIENT_TEMPLATE.FAT&amp;display_string=Audit&amp;VAR:KEY=JYLYFAPSRE&amp;VAR:QUERY=RkZfRUJJVERBX0lCKCdMVE1TJywzOTY1OSk=&amp;WINDOW=FIRST_POPUP&amp;HEIGHT=450&amp;WIDTH=450&amp;START_MA","XIMIZED=FALSE&amp;VAR:CALENDAR=US&amp;VAR:SYMBOL=04916420&amp;VAR:INDEX=0"}</definedName>
    <definedName name="_9711__FDSAUDITLINK__" localSheetId="6" hidden="1">{"fdsup://directions/FAT Viewer?action=UPDATE&amp;creator=factset&amp;DYN_ARGS=TRUE&amp;DOC_NAME=FAT:FQL_AUDITING_CLIENT_TEMPLATE.FAT&amp;display_string=Audit&amp;VAR:KEY=TMLWHOJKPE&amp;VAR:QUERY=RkZfRUJJVERBX0lCKCdMVE1TJywzOTY1OCk=&amp;WINDOW=FIRST_POPUP&amp;HEIGHT=450&amp;WIDTH=450&amp;START_MA","XIMIZED=FALSE&amp;VAR:CALENDAR=US&amp;VAR:SYMBOL=04916420&amp;VAR:INDEX=0"}</definedName>
    <definedName name="_9711__FDSAUDITLINK__" hidden="1">{"fdsup://directions/FAT Viewer?action=UPDATE&amp;creator=factset&amp;DYN_ARGS=TRUE&amp;DOC_NAME=FAT:FQL_AUDITING_CLIENT_TEMPLATE.FAT&amp;display_string=Audit&amp;VAR:KEY=TMLWHOJKPE&amp;VAR:QUERY=RkZfRUJJVERBX0lCKCdMVE1TJywzOTY1OCk=&amp;WINDOW=FIRST_POPUP&amp;HEIGHT=450&amp;WIDTH=450&amp;START_MA","XIMIZED=FALSE&amp;VAR:CALENDAR=US&amp;VAR:SYMBOL=04916420&amp;VAR:INDEX=0"}</definedName>
    <definedName name="_9712__FDSAUDITLINK__" localSheetId="6" hidden="1">{"fdsup://directions/FAT Viewer?action=UPDATE&amp;creator=factset&amp;DYN_ARGS=TRUE&amp;DOC_NAME=FAT:FQL_AUDITING_CLIENT_TEMPLATE.FAT&amp;display_string=Audit&amp;VAR:KEY=JKHSVANEFS&amp;VAR:QUERY=RkZfRUJJVERBX0lCKCdMVE1TJywzOTY1Nyk=&amp;WINDOW=FIRST_POPUP&amp;HEIGHT=450&amp;WIDTH=450&amp;START_MA","XIMIZED=FALSE&amp;VAR:CALENDAR=US&amp;VAR:SYMBOL=04916420&amp;VAR:INDEX=0"}</definedName>
    <definedName name="_9712__FDSAUDITLINK__" hidden="1">{"fdsup://directions/FAT Viewer?action=UPDATE&amp;creator=factset&amp;DYN_ARGS=TRUE&amp;DOC_NAME=FAT:FQL_AUDITING_CLIENT_TEMPLATE.FAT&amp;display_string=Audit&amp;VAR:KEY=JKHSVANEFS&amp;VAR:QUERY=RkZfRUJJVERBX0lCKCdMVE1TJywzOTY1Nyk=&amp;WINDOW=FIRST_POPUP&amp;HEIGHT=450&amp;WIDTH=450&amp;START_MA","XIMIZED=FALSE&amp;VAR:CALENDAR=US&amp;VAR:SYMBOL=04916420&amp;VAR:INDEX=0"}</definedName>
    <definedName name="_9713__FDSAUDITLINK__" localSheetId="6" hidden="1">{"fdsup://directions/FAT Viewer?action=UPDATE&amp;creator=factset&amp;DYN_ARGS=TRUE&amp;DOC_NAME=FAT:FQL_AUDITING_CLIENT_TEMPLATE.FAT&amp;display_string=Audit&amp;VAR:KEY=FEZQFWDOPS&amp;VAR:QUERY=RkZfRUJJVERBX0lCKCdMVE1TJywzOTY1Nik=&amp;WINDOW=FIRST_POPUP&amp;HEIGHT=450&amp;WIDTH=450&amp;START_MA","XIMIZED=FALSE&amp;VAR:CALENDAR=US&amp;VAR:SYMBOL=04916420&amp;VAR:INDEX=0"}</definedName>
    <definedName name="_9713__FDSAUDITLINK__" hidden="1">{"fdsup://directions/FAT Viewer?action=UPDATE&amp;creator=factset&amp;DYN_ARGS=TRUE&amp;DOC_NAME=FAT:FQL_AUDITING_CLIENT_TEMPLATE.FAT&amp;display_string=Audit&amp;VAR:KEY=FEZQFWDOPS&amp;VAR:QUERY=RkZfRUJJVERBX0lCKCdMVE1TJywzOTY1Nik=&amp;WINDOW=FIRST_POPUP&amp;HEIGHT=450&amp;WIDTH=450&amp;START_MA","XIMIZED=FALSE&amp;VAR:CALENDAR=US&amp;VAR:SYMBOL=04916420&amp;VAR:INDEX=0"}</definedName>
    <definedName name="_9714__FDSAUDITLINK__" localSheetId="6" hidden="1">{"fdsup://directions/FAT Viewer?action=UPDATE&amp;creator=factset&amp;DYN_ARGS=TRUE&amp;DOC_NAME=FAT:FQL_AUDITING_CLIENT_TEMPLATE.FAT&amp;display_string=Audit&amp;VAR:KEY=ZKPMNELMTK&amp;VAR:QUERY=RkZfRUJJVERBX0lCKCdMVE1TJywzOTY1NSk=&amp;WINDOW=FIRST_POPUP&amp;HEIGHT=450&amp;WIDTH=450&amp;START_MA","XIMIZED=FALSE&amp;VAR:CALENDAR=US&amp;VAR:SYMBOL=04916420&amp;VAR:INDEX=0"}</definedName>
    <definedName name="_9714__FDSAUDITLINK__" hidden="1">{"fdsup://directions/FAT Viewer?action=UPDATE&amp;creator=factset&amp;DYN_ARGS=TRUE&amp;DOC_NAME=FAT:FQL_AUDITING_CLIENT_TEMPLATE.FAT&amp;display_string=Audit&amp;VAR:KEY=ZKPMNELMTK&amp;VAR:QUERY=RkZfRUJJVERBX0lCKCdMVE1TJywzOTY1NSk=&amp;WINDOW=FIRST_POPUP&amp;HEIGHT=450&amp;WIDTH=450&amp;START_MA","XIMIZED=FALSE&amp;VAR:CALENDAR=US&amp;VAR:SYMBOL=04916420&amp;VAR:INDEX=0"}</definedName>
    <definedName name="_9715__FDSAUDITLINK__" localSheetId="6" hidden="1">{"fdsup://directions/FAT Viewer?action=UPDATE&amp;creator=factset&amp;DYN_ARGS=TRUE&amp;DOC_NAME=FAT:FQL_AUDITING_CLIENT_TEMPLATE.FAT&amp;display_string=Audit&amp;VAR:KEY=RKPCJSDAPO&amp;VAR:QUERY=RkZfRUJJVERBX0lCKCdMVE1TJywzOTY1NCk=&amp;WINDOW=FIRST_POPUP&amp;HEIGHT=450&amp;WIDTH=450&amp;START_MA","XIMIZED=FALSE&amp;VAR:CALENDAR=US&amp;VAR:SYMBOL=04916420&amp;VAR:INDEX=0"}</definedName>
    <definedName name="_9715__FDSAUDITLINK__" hidden="1">{"fdsup://directions/FAT Viewer?action=UPDATE&amp;creator=factset&amp;DYN_ARGS=TRUE&amp;DOC_NAME=FAT:FQL_AUDITING_CLIENT_TEMPLATE.FAT&amp;display_string=Audit&amp;VAR:KEY=RKPCJSDAPO&amp;VAR:QUERY=RkZfRUJJVERBX0lCKCdMVE1TJywzOTY1NCk=&amp;WINDOW=FIRST_POPUP&amp;HEIGHT=450&amp;WIDTH=450&amp;START_MA","XIMIZED=FALSE&amp;VAR:CALENDAR=US&amp;VAR:SYMBOL=04916420&amp;VAR:INDEX=0"}</definedName>
    <definedName name="_9716__FDSAUDITLINK__" localSheetId="6" hidden="1">{"fdsup://directions/FAT Viewer?action=UPDATE&amp;creator=factset&amp;DYN_ARGS=TRUE&amp;DOC_NAME=FAT:FQL_AUDITING_CLIENT_TEMPLATE.FAT&amp;display_string=Audit&amp;VAR:KEY=JQHOTGNKTW&amp;VAR:QUERY=RkZfRUJJVERBX0lCKCdMVE1TJywzOTY1Myk=&amp;WINDOW=FIRST_POPUP&amp;HEIGHT=450&amp;WIDTH=450&amp;START_MA","XIMIZED=FALSE&amp;VAR:CALENDAR=US&amp;VAR:SYMBOL=04916420&amp;VAR:INDEX=0"}</definedName>
    <definedName name="_9716__FDSAUDITLINK__" hidden="1">{"fdsup://directions/FAT Viewer?action=UPDATE&amp;creator=factset&amp;DYN_ARGS=TRUE&amp;DOC_NAME=FAT:FQL_AUDITING_CLIENT_TEMPLATE.FAT&amp;display_string=Audit&amp;VAR:KEY=JQHOTGNKTW&amp;VAR:QUERY=RkZfRUJJVERBX0lCKCdMVE1TJywzOTY1Myk=&amp;WINDOW=FIRST_POPUP&amp;HEIGHT=450&amp;WIDTH=450&amp;START_MA","XIMIZED=FALSE&amp;VAR:CALENDAR=US&amp;VAR:SYMBOL=04916420&amp;VAR:INDEX=0"}</definedName>
    <definedName name="_9717__FDSAUDITLINK__" localSheetId="6" hidden="1">{"fdsup://directions/FAT Viewer?action=UPDATE&amp;creator=factset&amp;DYN_ARGS=TRUE&amp;DOC_NAME=FAT:FQL_AUDITING_CLIENT_TEMPLATE.FAT&amp;display_string=Audit&amp;VAR:KEY=RUDUFAHIPU&amp;VAR:QUERY=RkZfRUJJVERBX0lCKCdMVE1TJywzOTY1Mik=&amp;WINDOW=FIRST_POPUP&amp;HEIGHT=450&amp;WIDTH=450&amp;START_MA","XIMIZED=FALSE&amp;VAR:CALENDAR=US&amp;VAR:SYMBOL=04916420&amp;VAR:INDEX=0"}</definedName>
    <definedName name="_9717__FDSAUDITLINK__" hidden="1">{"fdsup://directions/FAT Viewer?action=UPDATE&amp;creator=factset&amp;DYN_ARGS=TRUE&amp;DOC_NAME=FAT:FQL_AUDITING_CLIENT_TEMPLATE.FAT&amp;display_string=Audit&amp;VAR:KEY=RUDUFAHIPU&amp;VAR:QUERY=RkZfRUJJVERBX0lCKCdMVE1TJywzOTY1Mik=&amp;WINDOW=FIRST_POPUP&amp;HEIGHT=450&amp;WIDTH=450&amp;START_MA","XIMIZED=FALSE&amp;VAR:CALENDAR=US&amp;VAR:SYMBOL=04916420&amp;VAR:INDEX=0"}</definedName>
    <definedName name="_9718__FDSAUDITLINK__" localSheetId="6" hidden="1">{"fdsup://directions/FAT Viewer?action=UPDATE&amp;creator=factset&amp;DYN_ARGS=TRUE&amp;DOC_NAME=FAT:FQL_AUDITING_CLIENT_TEMPLATE.FAT&amp;display_string=Audit&amp;VAR:KEY=RYBQPSDCHC&amp;VAR:QUERY=RkZfRUJJVERBX0lCKCdMVE1TJywzOTY1MSk=&amp;WINDOW=FIRST_POPUP&amp;HEIGHT=450&amp;WIDTH=450&amp;START_MA","XIMIZED=FALSE&amp;VAR:CALENDAR=US&amp;VAR:SYMBOL=04916420&amp;VAR:INDEX=0"}</definedName>
    <definedName name="_9718__FDSAUDITLINK__" hidden="1">{"fdsup://directions/FAT Viewer?action=UPDATE&amp;creator=factset&amp;DYN_ARGS=TRUE&amp;DOC_NAME=FAT:FQL_AUDITING_CLIENT_TEMPLATE.FAT&amp;display_string=Audit&amp;VAR:KEY=RYBQPSDCHC&amp;VAR:QUERY=RkZfRUJJVERBX0lCKCdMVE1TJywzOTY1MSk=&amp;WINDOW=FIRST_POPUP&amp;HEIGHT=450&amp;WIDTH=450&amp;START_MA","XIMIZED=FALSE&amp;VAR:CALENDAR=US&amp;VAR:SYMBOL=04916420&amp;VAR:INDEX=0"}</definedName>
    <definedName name="_9719__FDSAUDITLINK__" localSheetId="6" hidden="1">{"fdsup://directions/FAT Viewer?action=UPDATE&amp;creator=factset&amp;DYN_ARGS=TRUE&amp;DOC_NAME=FAT:FQL_AUDITING_CLIENT_TEMPLATE.FAT&amp;display_string=Audit&amp;VAR:KEY=LMXODOLMPI&amp;VAR:QUERY=RkZfRUJJVERBX0lCKCdMVE1TJywzOTY1MCk=&amp;WINDOW=FIRST_POPUP&amp;HEIGHT=450&amp;WIDTH=450&amp;START_MA","XIMIZED=FALSE&amp;VAR:CALENDAR=US&amp;VAR:SYMBOL=04916420&amp;VAR:INDEX=0"}</definedName>
    <definedName name="_9719__FDSAUDITLINK__" hidden="1">{"fdsup://directions/FAT Viewer?action=UPDATE&amp;creator=factset&amp;DYN_ARGS=TRUE&amp;DOC_NAME=FAT:FQL_AUDITING_CLIENT_TEMPLATE.FAT&amp;display_string=Audit&amp;VAR:KEY=LMXODOLMPI&amp;VAR:QUERY=RkZfRUJJVERBX0lCKCdMVE1TJywzOTY1MCk=&amp;WINDOW=FIRST_POPUP&amp;HEIGHT=450&amp;WIDTH=450&amp;START_MA","XIMIZED=FALSE&amp;VAR:CALENDAR=US&amp;VAR:SYMBOL=04916420&amp;VAR:INDEX=0"}</definedName>
    <definedName name="_972__FDSAUDITLINK__" localSheetId="6" hidden="1">{"fdsup://directions/FAT%20Viewer?VAR:PED=LTM&amp;VAR:AUDIT_MODE=SUMMARY&amp;VAR:PERIOD=FIXED&amp;VAR:AUDIT_ID=00000117&amp;VAR:DATE=20070625&amp;action=UPDATE&amp;creator=factset&amp;DOC_NAME=FAT:FMA_audit_SUMMARY.fat&amp;DISPLAY_STRING=Display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2__FDSAUDITLINK__" hidden="1">{"fdsup://directions/FAT%20Viewer?VAR:PED=LTM&amp;VAR:AUDIT_MODE=SUMMARY&amp;VAR:PERIOD=FIXED&amp;VAR:AUDIT_ID=00000117&amp;VAR:DATE=20070625&amp;action=UPDATE&amp;creator=factset&amp;DOC_NAME=FAT:FMA_audit_SUMMARY.fat&amp;DISPLAY_STRING=Display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20__FDSAUDITLINK__" localSheetId="6" hidden="1">{"fdsup://directions/FAT Viewer?action=UPDATE&amp;creator=factset&amp;DYN_ARGS=TRUE&amp;DOC_NAME=FAT:FQL_AUDITING_CLIENT_TEMPLATE.FAT&amp;display_string=Audit&amp;VAR:KEY=HQRGFQRCRU&amp;VAR:QUERY=RkZfRUJJVERBX0lCKCdMVE1TJywzOTY0OSk=&amp;WINDOW=FIRST_POPUP&amp;HEIGHT=450&amp;WIDTH=450&amp;START_MA","XIMIZED=FALSE&amp;VAR:CALENDAR=US&amp;VAR:SYMBOL=04916420&amp;VAR:INDEX=0"}</definedName>
    <definedName name="_9720__FDSAUDITLINK__" hidden="1">{"fdsup://directions/FAT Viewer?action=UPDATE&amp;creator=factset&amp;DYN_ARGS=TRUE&amp;DOC_NAME=FAT:FQL_AUDITING_CLIENT_TEMPLATE.FAT&amp;display_string=Audit&amp;VAR:KEY=HQRGFQRCRU&amp;VAR:QUERY=RkZfRUJJVERBX0lCKCdMVE1TJywzOTY0OSk=&amp;WINDOW=FIRST_POPUP&amp;HEIGHT=450&amp;WIDTH=450&amp;START_MA","XIMIZED=FALSE&amp;VAR:CALENDAR=US&amp;VAR:SYMBOL=04916420&amp;VAR:INDEX=0"}</definedName>
    <definedName name="_9721__FDSAUDITLINK__" localSheetId="6" hidden="1">{"fdsup://directions/FAT Viewer?action=UPDATE&amp;creator=factset&amp;DYN_ARGS=TRUE&amp;DOC_NAME=FAT:FQL_AUDITING_CLIENT_TEMPLATE.FAT&amp;display_string=Audit&amp;VAR:KEY=NGPSVOPCTK&amp;VAR:QUERY=RkZfRUJJVERBX0lCKCdMVE1TJywzOTY0OCk=&amp;WINDOW=FIRST_POPUP&amp;HEIGHT=450&amp;WIDTH=450&amp;START_MA","XIMIZED=FALSE&amp;VAR:CALENDAR=US&amp;VAR:SYMBOL=04916420&amp;VAR:INDEX=0"}</definedName>
    <definedName name="_9721__FDSAUDITLINK__" hidden="1">{"fdsup://directions/FAT Viewer?action=UPDATE&amp;creator=factset&amp;DYN_ARGS=TRUE&amp;DOC_NAME=FAT:FQL_AUDITING_CLIENT_TEMPLATE.FAT&amp;display_string=Audit&amp;VAR:KEY=NGPSVOPCTK&amp;VAR:QUERY=RkZfRUJJVERBX0lCKCdMVE1TJywzOTY0OCk=&amp;WINDOW=FIRST_POPUP&amp;HEIGHT=450&amp;WIDTH=450&amp;START_MA","XIMIZED=FALSE&amp;VAR:CALENDAR=US&amp;VAR:SYMBOL=04916420&amp;VAR:INDEX=0"}</definedName>
    <definedName name="_9722__FDSAUDITLINK__" localSheetId="6" hidden="1">{"fdsup://directions/FAT Viewer?action=UPDATE&amp;creator=factset&amp;DYN_ARGS=TRUE&amp;DOC_NAME=FAT:FQL_AUDITING_CLIENT_TEMPLATE.FAT&amp;display_string=Audit&amp;VAR:KEY=ZMBETWDIVI&amp;VAR:QUERY=RkZfRUJJVERBX0lCKCdMVE1TJywzOTY0Nyk=&amp;WINDOW=FIRST_POPUP&amp;HEIGHT=450&amp;WIDTH=450&amp;START_MA","XIMIZED=FALSE&amp;VAR:CALENDAR=US&amp;VAR:SYMBOL=04916420&amp;VAR:INDEX=0"}</definedName>
    <definedName name="_9722__FDSAUDITLINK__" hidden="1">{"fdsup://directions/FAT Viewer?action=UPDATE&amp;creator=factset&amp;DYN_ARGS=TRUE&amp;DOC_NAME=FAT:FQL_AUDITING_CLIENT_TEMPLATE.FAT&amp;display_string=Audit&amp;VAR:KEY=ZMBETWDIVI&amp;VAR:QUERY=RkZfRUJJVERBX0lCKCdMVE1TJywzOTY0Nyk=&amp;WINDOW=FIRST_POPUP&amp;HEIGHT=450&amp;WIDTH=450&amp;START_MA","XIMIZED=FALSE&amp;VAR:CALENDAR=US&amp;VAR:SYMBOL=04916420&amp;VAR:INDEX=0"}</definedName>
    <definedName name="_9723__FDSAUDITLINK__" localSheetId="6" hidden="1">{"fdsup://directions/FAT Viewer?action=UPDATE&amp;creator=factset&amp;DYN_ARGS=TRUE&amp;DOC_NAME=FAT:FQL_AUDITING_CLIENT_TEMPLATE.FAT&amp;display_string=Audit&amp;VAR:KEY=NINGXGXCJO&amp;VAR:QUERY=RkZfRUJJVERBX0lCKCdMVE1TJywzOTY0Nik=&amp;WINDOW=FIRST_POPUP&amp;HEIGHT=450&amp;WIDTH=450&amp;START_MA","XIMIZED=FALSE&amp;VAR:CALENDAR=US&amp;VAR:SYMBOL=04916420&amp;VAR:INDEX=0"}</definedName>
    <definedName name="_9723__FDSAUDITLINK__" hidden="1">{"fdsup://directions/FAT Viewer?action=UPDATE&amp;creator=factset&amp;DYN_ARGS=TRUE&amp;DOC_NAME=FAT:FQL_AUDITING_CLIENT_TEMPLATE.FAT&amp;display_string=Audit&amp;VAR:KEY=NINGXGXCJO&amp;VAR:QUERY=RkZfRUJJVERBX0lCKCdMVE1TJywzOTY0Nik=&amp;WINDOW=FIRST_POPUP&amp;HEIGHT=450&amp;WIDTH=450&amp;START_MA","XIMIZED=FALSE&amp;VAR:CALENDAR=US&amp;VAR:SYMBOL=04916420&amp;VAR:INDEX=0"}</definedName>
    <definedName name="_9724__FDSAUDITLINK__" localSheetId="6" hidden="1">{"fdsup://directions/FAT Viewer?action=UPDATE&amp;creator=factset&amp;DYN_ARGS=TRUE&amp;DOC_NAME=FAT:FQL_AUDITING_CLIENT_TEMPLATE.FAT&amp;display_string=Audit&amp;VAR:KEY=LONMVOPINM&amp;VAR:QUERY=RkZfRUJJVERBX0lCKCdMVE1TJywzOTY0NSk=&amp;WINDOW=FIRST_POPUP&amp;HEIGHT=450&amp;WIDTH=450&amp;START_MA","XIMIZED=FALSE&amp;VAR:CALENDAR=US&amp;VAR:SYMBOL=04916420&amp;VAR:INDEX=0"}</definedName>
    <definedName name="_9724__FDSAUDITLINK__" hidden="1">{"fdsup://directions/FAT Viewer?action=UPDATE&amp;creator=factset&amp;DYN_ARGS=TRUE&amp;DOC_NAME=FAT:FQL_AUDITING_CLIENT_TEMPLATE.FAT&amp;display_string=Audit&amp;VAR:KEY=LONMVOPINM&amp;VAR:QUERY=RkZfRUJJVERBX0lCKCdMVE1TJywzOTY0NSk=&amp;WINDOW=FIRST_POPUP&amp;HEIGHT=450&amp;WIDTH=450&amp;START_MA","XIMIZED=FALSE&amp;VAR:CALENDAR=US&amp;VAR:SYMBOL=04916420&amp;VAR:INDEX=0"}</definedName>
    <definedName name="_9725__FDSAUDITLINK__" localSheetId="6" hidden="1">{"fdsup://directions/FAT Viewer?action=UPDATE&amp;creator=factset&amp;DYN_ARGS=TRUE&amp;DOC_NAME=FAT:FQL_AUDITING_CLIENT_TEMPLATE.FAT&amp;display_string=Audit&amp;VAR:KEY=XKRKZQVIBG&amp;VAR:QUERY=RkZfRUJJVERBX0lCKCdMVE1TJywzOTY0NCk=&amp;WINDOW=FIRST_POPUP&amp;HEIGHT=450&amp;WIDTH=450&amp;START_MA","XIMIZED=FALSE&amp;VAR:CALENDAR=US&amp;VAR:SYMBOL=04916420&amp;VAR:INDEX=0"}</definedName>
    <definedName name="_9725__FDSAUDITLINK__" hidden="1">{"fdsup://directions/FAT Viewer?action=UPDATE&amp;creator=factset&amp;DYN_ARGS=TRUE&amp;DOC_NAME=FAT:FQL_AUDITING_CLIENT_TEMPLATE.FAT&amp;display_string=Audit&amp;VAR:KEY=XKRKZQVIBG&amp;VAR:QUERY=RkZfRUJJVERBX0lCKCdMVE1TJywzOTY0NCk=&amp;WINDOW=FIRST_POPUP&amp;HEIGHT=450&amp;WIDTH=450&amp;START_MA","XIMIZED=FALSE&amp;VAR:CALENDAR=US&amp;VAR:SYMBOL=04916420&amp;VAR:INDEX=0"}</definedName>
    <definedName name="_9726__FDSAUDITLINK__" localSheetId="6" hidden="1">{"fdsup://directions/FAT Viewer?action=UPDATE&amp;creator=factset&amp;DYN_ARGS=TRUE&amp;DOC_NAME=FAT:FQL_AUDITING_CLIENT_TEMPLATE.FAT&amp;display_string=Audit&amp;VAR:KEY=NYPGZEPYPW&amp;VAR:QUERY=RkZfRUJJVERBX0lCKCdMVE1TJywzOTY0Myk=&amp;WINDOW=FIRST_POPUP&amp;HEIGHT=450&amp;WIDTH=450&amp;START_MA","XIMIZED=FALSE&amp;VAR:CALENDAR=US&amp;VAR:SYMBOL=04916420&amp;VAR:INDEX=0"}</definedName>
    <definedName name="_9726__FDSAUDITLINK__" hidden="1">{"fdsup://directions/FAT Viewer?action=UPDATE&amp;creator=factset&amp;DYN_ARGS=TRUE&amp;DOC_NAME=FAT:FQL_AUDITING_CLIENT_TEMPLATE.FAT&amp;display_string=Audit&amp;VAR:KEY=NYPGZEPYPW&amp;VAR:QUERY=RkZfRUJJVERBX0lCKCdMVE1TJywzOTY0Myk=&amp;WINDOW=FIRST_POPUP&amp;HEIGHT=450&amp;WIDTH=450&amp;START_MA","XIMIZED=FALSE&amp;VAR:CALENDAR=US&amp;VAR:SYMBOL=04916420&amp;VAR:INDEX=0"}</definedName>
    <definedName name="_9727__FDSAUDITLINK__" localSheetId="6" hidden="1">{"fdsup://directions/FAT Viewer?action=UPDATE&amp;creator=factset&amp;DYN_ARGS=TRUE&amp;DOC_NAME=FAT:FQL_AUDITING_CLIENT_TEMPLATE.FAT&amp;display_string=Audit&amp;VAR:KEY=PEDAHIPMVS&amp;VAR:QUERY=RkZfRUJJVERBX0lCKCdMVE1TJywzOTY0Mik=&amp;WINDOW=FIRST_POPUP&amp;HEIGHT=450&amp;WIDTH=450&amp;START_MA","XIMIZED=FALSE&amp;VAR:CALENDAR=US&amp;VAR:SYMBOL=04916420&amp;VAR:INDEX=0"}</definedName>
    <definedName name="_9727__FDSAUDITLINK__" hidden="1">{"fdsup://directions/FAT Viewer?action=UPDATE&amp;creator=factset&amp;DYN_ARGS=TRUE&amp;DOC_NAME=FAT:FQL_AUDITING_CLIENT_TEMPLATE.FAT&amp;display_string=Audit&amp;VAR:KEY=PEDAHIPMVS&amp;VAR:QUERY=RkZfRUJJVERBX0lCKCdMVE1TJywzOTY0Mik=&amp;WINDOW=FIRST_POPUP&amp;HEIGHT=450&amp;WIDTH=450&amp;START_MA","XIMIZED=FALSE&amp;VAR:CALENDAR=US&amp;VAR:SYMBOL=04916420&amp;VAR:INDEX=0"}</definedName>
    <definedName name="_9728__FDSAUDITLINK__" localSheetId="6" hidden="1">{"fdsup://directions/FAT Viewer?action=UPDATE&amp;creator=factset&amp;DYN_ARGS=TRUE&amp;DOC_NAME=FAT:FQL_AUDITING_CLIENT_TEMPLATE.FAT&amp;display_string=Audit&amp;VAR:KEY=DWJKBMRGNK&amp;VAR:QUERY=RkZfRUJJVERBX0lCKCdMVE1TJywzOTY0MSk=&amp;WINDOW=FIRST_POPUP&amp;HEIGHT=450&amp;WIDTH=450&amp;START_MA","XIMIZED=FALSE&amp;VAR:CALENDAR=US&amp;VAR:SYMBOL=04916420&amp;VAR:INDEX=0"}</definedName>
    <definedName name="_9728__FDSAUDITLINK__" hidden="1">{"fdsup://directions/FAT Viewer?action=UPDATE&amp;creator=factset&amp;DYN_ARGS=TRUE&amp;DOC_NAME=FAT:FQL_AUDITING_CLIENT_TEMPLATE.FAT&amp;display_string=Audit&amp;VAR:KEY=DWJKBMRGNK&amp;VAR:QUERY=RkZfRUJJVERBX0lCKCdMVE1TJywzOTY0MSk=&amp;WINDOW=FIRST_POPUP&amp;HEIGHT=450&amp;WIDTH=450&amp;START_MA","XIMIZED=FALSE&amp;VAR:CALENDAR=US&amp;VAR:SYMBOL=04916420&amp;VAR:INDEX=0"}</definedName>
    <definedName name="_9729__FDSAUDITLINK__" localSheetId="6" hidden="1">{"fdsup://directions/FAT Viewer?action=UPDATE&amp;creator=factset&amp;DYN_ARGS=TRUE&amp;DOC_NAME=FAT:FQL_AUDITING_CLIENT_TEMPLATE.FAT&amp;display_string=Audit&amp;VAR:KEY=JCVMNWNYJK&amp;VAR:QUERY=RkZfRUJJVERBX0lCKCdMVE1TJywzOTY0MCk=&amp;WINDOW=FIRST_POPUP&amp;HEIGHT=450&amp;WIDTH=450&amp;START_MA","XIMIZED=FALSE&amp;VAR:CALENDAR=US&amp;VAR:SYMBOL=04916420&amp;VAR:INDEX=0"}</definedName>
    <definedName name="_9729__FDSAUDITLINK__" hidden="1">{"fdsup://directions/FAT Viewer?action=UPDATE&amp;creator=factset&amp;DYN_ARGS=TRUE&amp;DOC_NAME=FAT:FQL_AUDITING_CLIENT_TEMPLATE.FAT&amp;display_string=Audit&amp;VAR:KEY=JCVMNWNYJK&amp;VAR:QUERY=RkZfRUJJVERBX0lCKCdMVE1TJywzOTY0MCk=&amp;WINDOW=FIRST_POPUP&amp;HEIGHT=450&amp;WIDTH=450&amp;START_MA","XIMIZED=FALSE&amp;VAR:CALENDAR=US&amp;VAR:SYMBOL=04916420&amp;VAR:INDEX=0"}</definedName>
    <definedName name="_973__FDSAUDITLINK__" localSheetId="6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3__FDSAUDITLINK__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30__FDSAUDITLINK__" localSheetId="6" hidden="1">{"fdsup://directions/FAT Viewer?action=UPDATE&amp;creator=factset&amp;DYN_ARGS=TRUE&amp;DOC_NAME=FAT:FQL_AUDITING_CLIENT_TEMPLATE.FAT&amp;display_string=Audit&amp;VAR:KEY=NSRCPQHITU&amp;VAR:QUERY=RkZfRUJJVERBX0lCKCdMVE1TJywzOTYzOSk=&amp;WINDOW=FIRST_POPUP&amp;HEIGHT=450&amp;WIDTH=450&amp;START_MA","XIMIZED=FALSE&amp;VAR:CALENDAR=US&amp;VAR:SYMBOL=04916420&amp;VAR:INDEX=0"}</definedName>
    <definedName name="_9730__FDSAUDITLINK__" hidden="1">{"fdsup://directions/FAT Viewer?action=UPDATE&amp;creator=factset&amp;DYN_ARGS=TRUE&amp;DOC_NAME=FAT:FQL_AUDITING_CLIENT_TEMPLATE.FAT&amp;display_string=Audit&amp;VAR:KEY=NSRCPQHITU&amp;VAR:QUERY=RkZfRUJJVERBX0lCKCdMVE1TJywzOTYzOSk=&amp;WINDOW=FIRST_POPUP&amp;HEIGHT=450&amp;WIDTH=450&amp;START_MA","XIMIZED=FALSE&amp;VAR:CALENDAR=US&amp;VAR:SYMBOL=04916420&amp;VAR:INDEX=0"}</definedName>
    <definedName name="_9731__FDSAUDITLINK__" localSheetId="6" hidden="1">{"fdsup://directions/FAT Viewer?action=UPDATE&amp;creator=factset&amp;DYN_ARGS=TRUE&amp;DOC_NAME=FAT:FQL_AUDITING_CLIENT_TEMPLATE.FAT&amp;display_string=Audit&amp;VAR:KEY=LORIFSJINW&amp;VAR:QUERY=RkZfRUJJVERBX0lCKCdMVE1TJywzOTYzOCk=&amp;WINDOW=FIRST_POPUP&amp;HEIGHT=450&amp;WIDTH=450&amp;START_MA","XIMIZED=FALSE&amp;VAR:CALENDAR=US&amp;VAR:SYMBOL=04916420&amp;VAR:INDEX=0"}</definedName>
    <definedName name="_9731__FDSAUDITLINK__" hidden="1">{"fdsup://directions/FAT Viewer?action=UPDATE&amp;creator=factset&amp;DYN_ARGS=TRUE&amp;DOC_NAME=FAT:FQL_AUDITING_CLIENT_TEMPLATE.FAT&amp;display_string=Audit&amp;VAR:KEY=LORIFSJINW&amp;VAR:QUERY=RkZfRUJJVERBX0lCKCdMVE1TJywzOTYzOCk=&amp;WINDOW=FIRST_POPUP&amp;HEIGHT=450&amp;WIDTH=450&amp;START_MA","XIMIZED=FALSE&amp;VAR:CALENDAR=US&amp;VAR:SYMBOL=04916420&amp;VAR:INDEX=0"}</definedName>
    <definedName name="_9732__FDSAUDITLINK__" localSheetId="6" hidden="1">{"fdsup://directions/FAT Viewer?action=UPDATE&amp;creator=factset&amp;DYN_ARGS=TRUE&amp;DOC_NAME=FAT:FQL_AUDITING_CLIENT_TEMPLATE.FAT&amp;display_string=Audit&amp;VAR:KEY=JAVMBKZQFG&amp;VAR:QUERY=RkZfRUJJVERBX0lCKCdMVE1TJywzOTYzNyk=&amp;WINDOW=FIRST_POPUP&amp;HEIGHT=450&amp;WIDTH=450&amp;START_MA","XIMIZED=FALSE&amp;VAR:CALENDAR=US&amp;VAR:SYMBOL=04916420&amp;VAR:INDEX=0"}</definedName>
    <definedName name="_9732__FDSAUDITLINK__" hidden="1">{"fdsup://directions/FAT Viewer?action=UPDATE&amp;creator=factset&amp;DYN_ARGS=TRUE&amp;DOC_NAME=FAT:FQL_AUDITING_CLIENT_TEMPLATE.FAT&amp;display_string=Audit&amp;VAR:KEY=JAVMBKZQFG&amp;VAR:QUERY=RkZfRUJJVERBX0lCKCdMVE1TJywzOTYzNyk=&amp;WINDOW=FIRST_POPUP&amp;HEIGHT=450&amp;WIDTH=450&amp;START_MA","XIMIZED=FALSE&amp;VAR:CALENDAR=US&amp;VAR:SYMBOL=04916420&amp;VAR:INDEX=0"}</definedName>
    <definedName name="_9733__FDSAUDITLINK__" localSheetId="6" hidden="1">{"fdsup://directions/FAT Viewer?action=UPDATE&amp;creator=factset&amp;DYN_ARGS=TRUE&amp;DOC_NAME=FAT:FQL_AUDITING_CLIENT_TEMPLATE.FAT&amp;display_string=Audit&amp;VAR:KEY=RGLUPSJCDS&amp;VAR:QUERY=RkZfRUJJVERBX0lCKCdMVE1TJywzOTYzNik=&amp;WINDOW=FIRST_POPUP&amp;HEIGHT=450&amp;WIDTH=450&amp;START_MA","XIMIZED=FALSE&amp;VAR:CALENDAR=US&amp;VAR:SYMBOL=04916420&amp;VAR:INDEX=0"}</definedName>
    <definedName name="_9733__FDSAUDITLINK__" hidden="1">{"fdsup://directions/FAT Viewer?action=UPDATE&amp;creator=factset&amp;DYN_ARGS=TRUE&amp;DOC_NAME=FAT:FQL_AUDITING_CLIENT_TEMPLATE.FAT&amp;display_string=Audit&amp;VAR:KEY=RGLUPSJCDS&amp;VAR:QUERY=RkZfRUJJVERBX0lCKCdMVE1TJywzOTYzNik=&amp;WINDOW=FIRST_POPUP&amp;HEIGHT=450&amp;WIDTH=450&amp;START_MA","XIMIZED=FALSE&amp;VAR:CALENDAR=US&amp;VAR:SYMBOL=04916420&amp;VAR:INDEX=0"}</definedName>
    <definedName name="_9734__FDSAUDITLINK__" localSheetId="6" hidden="1">{"fdsup://directions/FAT Viewer?action=UPDATE&amp;creator=factset&amp;DYN_ARGS=TRUE&amp;DOC_NAME=FAT:FQL_AUDITING_CLIENT_TEMPLATE.FAT&amp;display_string=Audit&amp;VAR:KEY=FUZQPYBITI&amp;VAR:QUERY=RkZfRUJJVERBX0lCKCdMVE1TJywzOTYzNSk=&amp;WINDOW=FIRST_POPUP&amp;HEIGHT=450&amp;WIDTH=450&amp;START_MA","XIMIZED=FALSE&amp;VAR:CALENDAR=US&amp;VAR:SYMBOL=04916420&amp;VAR:INDEX=0"}</definedName>
    <definedName name="_9734__FDSAUDITLINK__" hidden="1">{"fdsup://directions/FAT Viewer?action=UPDATE&amp;creator=factset&amp;DYN_ARGS=TRUE&amp;DOC_NAME=FAT:FQL_AUDITING_CLIENT_TEMPLATE.FAT&amp;display_string=Audit&amp;VAR:KEY=FUZQPYBITI&amp;VAR:QUERY=RkZfRUJJVERBX0lCKCdMVE1TJywzOTYzNSk=&amp;WINDOW=FIRST_POPUP&amp;HEIGHT=450&amp;WIDTH=450&amp;START_MA","XIMIZED=FALSE&amp;VAR:CALENDAR=US&amp;VAR:SYMBOL=04916420&amp;VAR:INDEX=0"}</definedName>
    <definedName name="_9735__FDSAUDITLINK__" localSheetId="6" hidden="1">{"fdsup://directions/FAT Viewer?action=UPDATE&amp;creator=factset&amp;DYN_ARGS=TRUE&amp;DOC_NAME=FAT:FQL_AUDITING_CLIENT_TEMPLATE.FAT&amp;display_string=Audit&amp;VAR:KEY=DWPYXCVQZS&amp;VAR:QUERY=RkZfRUJJVERBX0lCKCdMVE1TJywzOTYzNCk=&amp;WINDOW=FIRST_POPUP&amp;HEIGHT=450&amp;WIDTH=450&amp;START_MA","XIMIZED=FALSE&amp;VAR:CALENDAR=US&amp;VAR:SYMBOL=04916420&amp;VAR:INDEX=0"}</definedName>
    <definedName name="_9735__FDSAUDITLINK__" hidden="1">{"fdsup://directions/FAT Viewer?action=UPDATE&amp;creator=factset&amp;DYN_ARGS=TRUE&amp;DOC_NAME=FAT:FQL_AUDITING_CLIENT_TEMPLATE.FAT&amp;display_string=Audit&amp;VAR:KEY=DWPYXCVQZS&amp;VAR:QUERY=RkZfRUJJVERBX0lCKCdMVE1TJywzOTYzNCk=&amp;WINDOW=FIRST_POPUP&amp;HEIGHT=450&amp;WIDTH=450&amp;START_MA","XIMIZED=FALSE&amp;VAR:CALENDAR=US&amp;VAR:SYMBOL=04916420&amp;VAR:INDEX=0"}</definedName>
    <definedName name="_9736__FDSAUDITLINK__" localSheetId="6" hidden="1">{"fdsup://directions/FAT Viewer?action=UPDATE&amp;creator=factset&amp;DYN_ARGS=TRUE&amp;DOC_NAME=FAT:FQL_AUDITING_CLIENT_TEMPLATE.FAT&amp;display_string=Audit&amp;VAR:KEY=FIPAHMHIVO&amp;VAR:QUERY=RkZfRUJJVERBX0lCKCdMVE1TJywzOTYzMyk=&amp;WINDOW=FIRST_POPUP&amp;HEIGHT=450&amp;WIDTH=450&amp;START_MA","XIMIZED=FALSE&amp;VAR:CALENDAR=US&amp;VAR:SYMBOL=04916420&amp;VAR:INDEX=0"}</definedName>
    <definedName name="_9736__FDSAUDITLINK__" hidden="1">{"fdsup://directions/FAT Viewer?action=UPDATE&amp;creator=factset&amp;DYN_ARGS=TRUE&amp;DOC_NAME=FAT:FQL_AUDITING_CLIENT_TEMPLATE.FAT&amp;display_string=Audit&amp;VAR:KEY=FIPAHMHIVO&amp;VAR:QUERY=RkZfRUJJVERBX0lCKCdMVE1TJywzOTYzMyk=&amp;WINDOW=FIRST_POPUP&amp;HEIGHT=450&amp;WIDTH=450&amp;START_MA","XIMIZED=FALSE&amp;VAR:CALENDAR=US&amp;VAR:SYMBOL=04916420&amp;VAR:INDEX=0"}</definedName>
    <definedName name="_9737__FDSAUDITLINK__" localSheetId="6" hidden="1">{"fdsup://directions/FAT Viewer?action=UPDATE&amp;creator=factset&amp;DYN_ARGS=TRUE&amp;DOC_NAME=FAT:FQL_AUDITING_CLIENT_TEMPLATE.FAT&amp;display_string=Audit&amp;VAR:KEY=VSJCXEXMFA&amp;VAR:QUERY=RkZfRUJJVERBX0lCKCdMVE1TJywzOTYzMik=&amp;WINDOW=FIRST_POPUP&amp;HEIGHT=450&amp;WIDTH=450&amp;START_MA","XIMIZED=FALSE&amp;VAR:CALENDAR=US&amp;VAR:SYMBOL=04916420&amp;VAR:INDEX=0"}</definedName>
    <definedName name="_9737__FDSAUDITLINK__" hidden="1">{"fdsup://directions/FAT Viewer?action=UPDATE&amp;creator=factset&amp;DYN_ARGS=TRUE&amp;DOC_NAME=FAT:FQL_AUDITING_CLIENT_TEMPLATE.FAT&amp;display_string=Audit&amp;VAR:KEY=VSJCXEXMFA&amp;VAR:QUERY=RkZfRUJJVERBX0lCKCdMVE1TJywzOTYzMik=&amp;WINDOW=FIRST_POPUP&amp;HEIGHT=450&amp;WIDTH=450&amp;START_MA","XIMIZED=FALSE&amp;VAR:CALENDAR=US&amp;VAR:SYMBOL=04916420&amp;VAR:INDEX=0"}</definedName>
    <definedName name="_9738__FDSAUDITLINK__" localSheetId="6" hidden="1">{"fdsup://directions/FAT Viewer?action=UPDATE&amp;creator=factset&amp;DYN_ARGS=TRUE&amp;DOC_NAME=FAT:FQL_AUDITING_CLIENT_TEMPLATE.FAT&amp;display_string=Audit&amp;VAR:KEY=LADWTQVIDY&amp;VAR:QUERY=RkZfRUJJVERBX0lCKCdMVE1TJywzOTYzMSk=&amp;WINDOW=FIRST_POPUP&amp;HEIGHT=450&amp;WIDTH=450&amp;START_MA","XIMIZED=FALSE&amp;VAR:CALENDAR=US&amp;VAR:SYMBOL=04916420&amp;VAR:INDEX=0"}</definedName>
    <definedName name="_9738__FDSAUDITLINK__" hidden="1">{"fdsup://directions/FAT Viewer?action=UPDATE&amp;creator=factset&amp;DYN_ARGS=TRUE&amp;DOC_NAME=FAT:FQL_AUDITING_CLIENT_TEMPLATE.FAT&amp;display_string=Audit&amp;VAR:KEY=LADWTQVIDY&amp;VAR:QUERY=RkZfRUJJVERBX0lCKCdMVE1TJywzOTYzMSk=&amp;WINDOW=FIRST_POPUP&amp;HEIGHT=450&amp;WIDTH=450&amp;START_MA","XIMIZED=FALSE&amp;VAR:CALENDAR=US&amp;VAR:SYMBOL=04916420&amp;VAR:INDEX=0"}</definedName>
    <definedName name="_9739__FDSAUDITLINK__" localSheetId="6" hidden="1">{"fdsup://directions/FAT Viewer?action=UPDATE&amp;creator=factset&amp;DYN_ARGS=TRUE&amp;DOC_NAME=FAT:FQL_AUDITING_CLIENT_TEMPLATE.FAT&amp;display_string=Audit&amp;VAR:KEY=TENSNILCBQ&amp;VAR:QUERY=RkZfRUJJVERBX0lCKCdMVE1TJywzOTYzMCk=&amp;WINDOW=FIRST_POPUP&amp;HEIGHT=450&amp;WIDTH=450&amp;START_MA","XIMIZED=FALSE&amp;VAR:CALENDAR=US&amp;VAR:SYMBOL=04916420&amp;VAR:INDEX=0"}</definedName>
    <definedName name="_9739__FDSAUDITLINK__" hidden="1">{"fdsup://directions/FAT Viewer?action=UPDATE&amp;creator=factset&amp;DYN_ARGS=TRUE&amp;DOC_NAME=FAT:FQL_AUDITING_CLIENT_TEMPLATE.FAT&amp;display_string=Audit&amp;VAR:KEY=TENSNILCBQ&amp;VAR:QUERY=RkZfRUJJVERBX0lCKCdMVE1TJywzOTYzMCk=&amp;WINDOW=FIRST_POPUP&amp;HEIGHT=450&amp;WIDTH=450&amp;START_MA","XIMIZED=FALSE&amp;VAR:CALENDAR=US&amp;VAR:SYMBOL=04916420&amp;VAR:INDEX=0"}</definedName>
    <definedName name="_974__FDSAUDITLINK__" localSheetId="6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4__FDSAUDITLINK__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40__FDSAUDITLINK__" localSheetId="6" hidden="1">{"fdsup://directions/FAT Viewer?action=UPDATE&amp;creator=factset&amp;DYN_ARGS=TRUE&amp;DOC_NAME=FAT:FQL_AUDITING_CLIENT_TEMPLATE.FAT&amp;display_string=Audit&amp;VAR:KEY=FKPKDANUJC&amp;VAR:QUERY=RkZfRUJJVERBX0lCKCdMVE1TJywzOTYyOSk=&amp;WINDOW=FIRST_POPUP&amp;HEIGHT=450&amp;WIDTH=450&amp;START_MA","XIMIZED=FALSE&amp;VAR:CALENDAR=US&amp;VAR:SYMBOL=04916420&amp;VAR:INDEX=0"}</definedName>
    <definedName name="_9740__FDSAUDITLINK__" hidden="1">{"fdsup://directions/FAT Viewer?action=UPDATE&amp;creator=factset&amp;DYN_ARGS=TRUE&amp;DOC_NAME=FAT:FQL_AUDITING_CLIENT_TEMPLATE.FAT&amp;display_string=Audit&amp;VAR:KEY=FKPKDANUJC&amp;VAR:QUERY=RkZfRUJJVERBX0lCKCdMVE1TJywzOTYyOSk=&amp;WINDOW=FIRST_POPUP&amp;HEIGHT=450&amp;WIDTH=450&amp;START_MA","XIMIZED=FALSE&amp;VAR:CALENDAR=US&amp;VAR:SYMBOL=04916420&amp;VAR:INDEX=0"}</definedName>
    <definedName name="_9741__FDSAUDITLINK__" localSheetId="6" hidden="1">{"fdsup://directions/FAT Viewer?action=UPDATE&amp;creator=factset&amp;DYN_ARGS=TRUE&amp;DOC_NAME=FAT:FQL_AUDITING_CLIENT_TEMPLATE.FAT&amp;display_string=Audit&amp;VAR:KEY=BMHOBSDAXY&amp;VAR:QUERY=RkZfRUJJVERBX0lCKCdMVE1TJywzOTYyOCk=&amp;WINDOW=FIRST_POPUP&amp;HEIGHT=450&amp;WIDTH=450&amp;START_MA","XIMIZED=FALSE&amp;VAR:CALENDAR=US&amp;VAR:SYMBOL=04916420&amp;VAR:INDEX=0"}</definedName>
    <definedName name="_9741__FDSAUDITLINK__" hidden="1">{"fdsup://directions/FAT Viewer?action=UPDATE&amp;creator=factset&amp;DYN_ARGS=TRUE&amp;DOC_NAME=FAT:FQL_AUDITING_CLIENT_TEMPLATE.FAT&amp;display_string=Audit&amp;VAR:KEY=BMHOBSDAXY&amp;VAR:QUERY=RkZfRUJJVERBX0lCKCdMVE1TJywzOTYyOCk=&amp;WINDOW=FIRST_POPUP&amp;HEIGHT=450&amp;WIDTH=450&amp;START_MA","XIMIZED=FALSE&amp;VAR:CALENDAR=US&amp;VAR:SYMBOL=04916420&amp;VAR:INDEX=0"}</definedName>
    <definedName name="_9742__FDSAUDITLINK__" localSheetId="6" hidden="1">{"fdsup://directions/FAT Viewer?action=UPDATE&amp;creator=factset&amp;DYN_ARGS=TRUE&amp;DOC_NAME=FAT:FQL_AUDITING_CLIENT_TEMPLATE.FAT&amp;display_string=Audit&amp;VAR:KEY=JCBILCFULM&amp;VAR:QUERY=RkZfRUJJVERBX0lCKCdMVE1TJywzOTYyNyk=&amp;WINDOW=FIRST_POPUP&amp;HEIGHT=450&amp;WIDTH=450&amp;START_MA","XIMIZED=FALSE&amp;VAR:CALENDAR=US&amp;VAR:SYMBOL=04916420&amp;VAR:INDEX=0"}</definedName>
    <definedName name="_9742__FDSAUDITLINK__" hidden="1">{"fdsup://directions/FAT Viewer?action=UPDATE&amp;creator=factset&amp;DYN_ARGS=TRUE&amp;DOC_NAME=FAT:FQL_AUDITING_CLIENT_TEMPLATE.FAT&amp;display_string=Audit&amp;VAR:KEY=JCBILCFULM&amp;VAR:QUERY=RkZfRUJJVERBX0lCKCdMVE1TJywzOTYyNyk=&amp;WINDOW=FIRST_POPUP&amp;HEIGHT=450&amp;WIDTH=450&amp;START_MA","XIMIZED=FALSE&amp;VAR:CALENDAR=US&amp;VAR:SYMBOL=04916420&amp;VAR:INDEX=0"}</definedName>
    <definedName name="_9743__FDSAUDITLINK__" localSheetId="6" hidden="1">{"fdsup://directions/FAT Viewer?action=UPDATE&amp;creator=factset&amp;DYN_ARGS=TRUE&amp;DOC_NAME=FAT:FQL_AUDITING_CLIENT_TEMPLATE.FAT&amp;display_string=Audit&amp;VAR:KEY=FABWPULKPY&amp;VAR:QUERY=RkZfRUJJVERBX0lCKCdMVE1TJywzOTYyNik=&amp;WINDOW=FIRST_POPUP&amp;HEIGHT=450&amp;WIDTH=450&amp;START_MA","XIMIZED=FALSE&amp;VAR:CALENDAR=US&amp;VAR:SYMBOL=04916420&amp;VAR:INDEX=0"}</definedName>
    <definedName name="_9743__FDSAUDITLINK__" hidden="1">{"fdsup://directions/FAT Viewer?action=UPDATE&amp;creator=factset&amp;DYN_ARGS=TRUE&amp;DOC_NAME=FAT:FQL_AUDITING_CLIENT_TEMPLATE.FAT&amp;display_string=Audit&amp;VAR:KEY=FABWPULKPY&amp;VAR:QUERY=RkZfRUJJVERBX0lCKCdMVE1TJywzOTYyNik=&amp;WINDOW=FIRST_POPUP&amp;HEIGHT=450&amp;WIDTH=450&amp;START_MA","XIMIZED=FALSE&amp;VAR:CALENDAR=US&amp;VAR:SYMBOL=04916420&amp;VAR:INDEX=0"}</definedName>
    <definedName name="_9744__FDSAUDITLINK__" localSheetId="6" hidden="1">{"fdsup://directions/FAT Viewer?action=UPDATE&amp;creator=factset&amp;DYN_ARGS=TRUE&amp;DOC_NAME=FAT:FQL_AUDITING_CLIENT_TEMPLATE.FAT&amp;display_string=Audit&amp;VAR:KEY=LSVSVEPEPC&amp;VAR:QUERY=RkZfRUJJVERBX0lCKCdMVE1TJywzOTYyNSk=&amp;WINDOW=FIRST_POPUP&amp;HEIGHT=450&amp;WIDTH=450&amp;START_MA","XIMIZED=FALSE&amp;VAR:CALENDAR=US&amp;VAR:SYMBOL=04916420&amp;VAR:INDEX=0"}</definedName>
    <definedName name="_9744__FDSAUDITLINK__" hidden="1">{"fdsup://directions/FAT Viewer?action=UPDATE&amp;creator=factset&amp;DYN_ARGS=TRUE&amp;DOC_NAME=FAT:FQL_AUDITING_CLIENT_TEMPLATE.FAT&amp;display_string=Audit&amp;VAR:KEY=LSVSVEPEPC&amp;VAR:QUERY=RkZfRUJJVERBX0lCKCdMVE1TJywzOTYyNSk=&amp;WINDOW=FIRST_POPUP&amp;HEIGHT=450&amp;WIDTH=450&amp;START_MA","XIMIZED=FALSE&amp;VAR:CALENDAR=US&amp;VAR:SYMBOL=04916420&amp;VAR:INDEX=0"}</definedName>
    <definedName name="_9745__FDSAUDITLINK__" localSheetId="6" hidden="1">{"fdsup://directions/FAT Viewer?action=UPDATE&amp;creator=factset&amp;DYN_ARGS=TRUE&amp;DOC_NAME=FAT:FQL_AUDITING_CLIENT_TEMPLATE.FAT&amp;display_string=Audit&amp;VAR:KEY=NETMTEBAJM&amp;VAR:QUERY=RkZfRUJJVERBX0lCKCdMVE1TJywzOTYyNCk=&amp;WINDOW=FIRST_POPUP&amp;HEIGHT=450&amp;WIDTH=450&amp;START_MA","XIMIZED=FALSE&amp;VAR:CALENDAR=US&amp;VAR:SYMBOL=04916420&amp;VAR:INDEX=0"}</definedName>
    <definedName name="_9745__FDSAUDITLINK__" hidden="1">{"fdsup://directions/FAT Viewer?action=UPDATE&amp;creator=factset&amp;DYN_ARGS=TRUE&amp;DOC_NAME=FAT:FQL_AUDITING_CLIENT_TEMPLATE.FAT&amp;display_string=Audit&amp;VAR:KEY=NETMTEBAJM&amp;VAR:QUERY=RkZfRUJJVERBX0lCKCdMVE1TJywzOTYyNCk=&amp;WINDOW=FIRST_POPUP&amp;HEIGHT=450&amp;WIDTH=450&amp;START_MA","XIMIZED=FALSE&amp;VAR:CALENDAR=US&amp;VAR:SYMBOL=04916420&amp;VAR:INDEX=0"}</definedName>
    <definedName name="_9746__FDSAUDITLINK__" localSheetId="6" hidden="1">{"fdsup://directions/FAT Viewer?action=UPDATE&amp;creator=factset&amp;DYN_ARGS=TRUE&amp;DOC_NAME=FAT:FQL_AUDITING_CLIENT_TEMPLATE.FAT&amp;display_string=Audit&amp;VAR:KEY=TMXOBIXOBM&amp;VAR:QUERY=RkZfRUJJVERBX0lCKCdMVE1TJywzOTYyMyk=&amp;WINDOW=FIRST_POPUP&amp;HEIGHT=450&amp;WIDTH=450&amp;START_MA","XIMIZED=FALSE&amp;VAR:CALENDAR=US&amp;VAR:SYMBOL=04916420&amp;VAR:INDEX=0"}</definedName>
    <definedName name="_9746__FDSAUDITLINK__" hidden="1">{"fdsup://directions/FAT Viewer?action=UPDATE&amp;creator=factset&amp;DYN_ARGS=TRUE&amp;DOC_NAME=FAT:FQL_AUDITING_CLIENT_TEMPLATE.FAT&amp;display_string=Audit&amp;VAR:KEY=TMXOBIXOBM&amp;VAR:QUERY=RkZfRUJJVERBX0lCKCdMVE1TJywzOTYyMyk=&amp;WINDOW=FIRST_POPUP&amp;HEIGHT=450&amp;WIDTH=450&amp;START_MA","XIMIZED=FALSE&amp;VAR:CALENDAR=US&amp;VAR:SYMBOL=04916420&amp;VAR:INDEX=0"}</definedName>
    <definedName name="_9747__FDSAUDITLINK__" localSheetId="6" hidden="1">{"fdsup://directions/FAT Viewer?action=UPDATE&amp;creator=factset&amp;DYN_ARGS=TRUE&amp;DOC_NAME=FAT:FQL_AUDITING_CLIENT_TEMPLATE.FAT&amp;display_string=Audit&amp;VAR:KEY=TIDKXURSJC&amp;VAR:QUERY=RkZfRUJJVERBX0lCKCdMVE1TJywzOTYyMik=&amp;WINDOW=FIRST_POPUP&amp;HEIGHT=450&amp;WIDTH=450&amp;START_MA","XIMIZED=FALSE&amp;VAR:CALENDAR=US&amp;VAR:SYMBOL=04916420&amp;VAR:INDEX=0"}</definedName>
    <definedName name="_9747__FDSAUDITLINK__" hidden="1">{"fdsup://directions/FAT Viewer?action=UPDATE&amp;creator=factset&amp;DYN_ARGS=TRUE&amp;DOC_NAME=FAT:FQL_AUDITING_CLIENT_TEMPLATE.FAT&amp;display_string=Audit&amp;VAR:KEY=TIDKXURSJC&amp;VAR:QUERY=RkZfRUJJVERBX0lCKCdMVE1TJywzOTYyMik=&amp;WINDOW=FIRST_POPUP&amp;HEIGHT=450&amp;WIDTH=450&amp;START_MA","XIMIZED=FALSE&amp;VAR:CALENDAR=US&amp;VAR:SYMBOL=04916420&amp;VAR:INDEX=0"}</definedName>
    <definedName name="_9748__FDSAUDITLINK__" localSheetId="6" hidden="1">{"fdsup://directions/FAT Viewer?action=UPDATE&amp;creator=factset&amp;DYN_ARGS=TRUE&amp;DOC_NAME=FAT:FQL_AUDITING_CLIENT_TEMPLATE.FAT&amp;display_string=Audit&amp;VAR:KEY=RSBWPYTQLU&amp;VAR:QUERY=RkZfRUJJVERBX0lCKCdMVE1TJywzOTYyMSk=&amp;WINDOW=FIRST_POPUP&amp;HEIGHT=450&amp;WIDTH=450&amp;START_MA","XIMIZED=FALSE&amp;VAR:CALENDAR=US&amp;VAR:SYMBOL=04916420&amp;VAR:INDEX=0"}</definedName>
    <definedName name="_9748__FDSAUDITLINK__" hidden="1">{"fdsup://directions/FAT Viewer?action=UPDATE&amp;creator=factset&amp;DYN_ARGS=TRUE&amp;DOC_NAME=FAT:FQL_AUDITING_CLIENT_TEMPLATE.FAT&amp;display_string=Audit&amp;VAR:KEY=RSBWPYTQLU&amp;VAR:QUERY=RkZfRUJJVERBX0lCKCdMVE1TJywzOTYyMSk=&amp;WINDOW=FIRST_POPUP&amp;HEIGHT=450&amp;WIDTH=450&amp;START_MA","XIMIZED=FALSE&amp;VAR:CALENDAR=US&amp;VAR:SYMBOL=04916420&amp;VAR:INDEX=0"}</definedName>
    <definedName name="_9749__FDSAUDITLINK__" localSheetId="6" hidden="1">{"fdsup://directions/FAT Viewer?action=UPDATE&amp;creator=factset&amp;DYN_ARGS=TRUE&amp;DOC_NAME=FAT:FQL_AUDITING_CLIENT_TEMPLATE.FAT&amp;display_string=Audit&amp;VAR:KEY=TGLYPGJQXU&amp;VAR:QUERY=RkZfRUJJVERBX0lCKCdMVE1TJywzOTYyMCk=&amp;WINDOW=FIRST_POPUP&amp;HEIGHT=450&amp;WIDTH=450&amp;START_MA","XIMIZED=FALSE&amp;VAR:CALENDAR=US&amp;VAR:SYMBOL=04916420&amp;VAR:INDEX=0"}</definedName>
    <definedName name="_9749__FDSAUDITLINK__" hidden="1">{"fdsup://directions/FAT Viewer?action=UPDATE&amp;creator=factset&amp;DYN_ARGS=TRUE&amp;DOC_NAME=FAT:FQL_AUDITING_CLIENT_TEMPLATE.FAT&amp;display_string=Audit&amp;VAR:KEY=TGLYPGJQXU&amp;VAR:QUERY=RkZfRUJJVERBX0lCKCdMVE1TJywzOTYyMCk=&amp;WINDOW=FIRST_POPUP&amp;HEIGHT=450&amp;WIDTH=450&amp;START_MA","XIMIZED=FALSE&amp;VAR:CALENDAR=US&amp;VAR:SYMBOL=04916420&amp;VAR:INDEX=0"}</definedName>
    <definedName name="_975__FDSAUDITLINK__" localSheetId="6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5__FDSAUDITLINK__" hidden="1">{"fdsup://directions/FAT%20Viewer?VAR:PED=LTM&amp;VAR:AUDIT_MODE=SUMMARY&amp;VAR:PERIOD=FIXED&amp;VAR:AUDIT_ID=00000117&amp;VAR:DATE=20070622&amp;action=UPDATE&amp;creator=factset&amp;DOC_NAME=FAT:FMA_audit_SUMMARY.fat&amp;DISPLAY_STRING=Display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50__FDSAUDITLINK__" localSheetId="6" hidden="1">{"fdsup://directions/FAT Viewer?action=UPDATE&amp;creator=factset&amp;DYN_ARGS=TRUE&amp;DOC_NAME=FAT:FQL_AUDITING_CLIENT_TEMPLATE.FAT&amp;display_string=Audit&amp;VAR:KEY=HCBUJORMVM&amp;VAR:QUERY=RkZfRUJJVERBX0lCKCdMVE1TJywzOTYxOSk=&amp;WINDOW=FIRST_POPUP&amp;HEIGHT=450&amp;WIDTH=450&amp;START_MA","XIMIZED=FALSE&amp;VAR:CALENDAR=US&amp;VAR:SYMBOL=04916420&amp;VAR:INDEX=0"}</definedName>
    <definedName name="_9750__FDSAUDITLINK__" hidden="1">{"fdsup://directions/FAT Viewer?action=UPDATE&amp;creator=factset&amp;DYN_ARGS=TRUE&amp;DOC_NAME=FAT:FQL_AUDITING_CLIENT_TEMPLATE.FAT&amp;display_string=Audit&amp;VAR:KEY=HCBUJORMVM&amp;VAR:QUERY=RkZfRUJJVERBX0lCKCdMVE1TJywzOTYxOSk=&amp;WINDOW=FIRST_POPUP&amp;HEIGHT=450&amp;WIDTH=450&amp;START_MA","XIMIZED=FALSE&amp;VAR:CALENDAR=US&amp;VAR:SYMBOL=04916420&amp;VAR:INDEX=0"}</definedName>
    <definedName name="_9751__FDSAUDITLINK__" localSheetId="6" hidden="1">{"fdsup://directions/FAT Viewer?action=UPDATE&amp;creator=factset&amp;DYN_ARGS=TRUE&amp;DOC_NAME=FAT:FQL_AUDITING_CLIENT_TEMPLATE.FAT&amp;display_string=Audit&amp;VAR:KEY=NYXGHCZSPS&amp;VAR:QUERY=RkZfRUJJVERBX0lCKCdMVE1TJywzOTYxOCk=&amp;WINDOW=FIRST_POPUP&amp;HEIGHT=450&amp;WIDTH=450&amp;START_MA","XIMIZED=FALSE&amp;VAR:CALENDAR=US&amp;VAR:SYMBOL=04916420&amp;VAR:INDEX=0"}</definedName>
    <definedName name="_9751__FDSAUDITLINK__" hidden="1">{"fdsup://directions/FAT Viewer?action=UPDATE&amp;creator=factset&amp;DYN_ARGS=TRUE&amp;DOC_NAME=FAT:FQL_AUDITING_CLIENT_TEMPLATE.FAT&amp;display_string=Audit&amp;VAR:KEY=NYXGHCZSPS&amp;VAR:QUERY=RkZfRUJJVERBX0lCKCdMVE1TJywzOTYxOCk=&amp;WINDOW=FIRST_POPUP&amp;HEIGHT=450&amp;WIDTH=450&amp;START_MA","XIMIZED=FALSE&amp;VAR:CALENDAR=US&amp;VAR:SYMBOL=04916420&amp;VAR:INDEX=0"}</definedName>
    <definedName name="_9752__FDSAUDITLINK__" localSheetId="6" hidden="1">{"fdsup://directions/FAT Viewer?action=UPDATE&amp;creator=factset&amp;DYN_ARGS=TRUE&amp;DOC_NAME=FAT:FQL_AUDITING_CLIENT_TEMPLATE.FAT&amp;display_string=Audit&amp;VAR:KEY=NOTKTSZYZG&amp;VAR:QUERY=RkZfRUJJVERBX0lCKCdMVE1TJywzOTYxNyk=&amp;WINDOW=FIRST_POPUP&amp;HEIGHT=450&amp;WIDTH=450&amp;START_MA","XIMIZED=FALSE&amp;VAR:CALENDAR=US&amp;VAR:SYMBOL=04916420&amp;VAR:INDEX=0"}</definedName>
    <definedName name="_9752__FDSAUDITLINK__" hidden="1">{"fdsup://directions/FAT Viewer?action=UPDATE&amp;creator=factset&amp;DYN_ARGS=TRUE&amp;DOC_NAME=FAT:FQL_AUDITING_CLIENT_TEMPLATE.FAT&amp;display_string=Audit&amp;VAR:KEY=NOTKTSZYZG&amp;VAR:QUERY=RkZfRUJJVERBX0lCKCdMVE1TJywzOTYxNyk=&amp;WINDOW=FIRST_POPUP&amp;HEIGHT=450&amp;WIDTH=450&amp;START_MA","XIMIZED=FALSE&amp;VAR:CALENDAR=US&amp;VAR:SYMBOL=04916420&amp;VAR:INDEX=0"}</definedName>
    <definedName name="_9753__FDSAUDITLINK__" localSheetId="6" hidden="1">{"fdsup://directions/FAT Viewer?action=UPDATE&amp;creator=factset&amp;DYN_ARGS=TRUE&amp;DOC_NAME=FAT:FQL_AUDITING_CLIENT_TEMPLATE.FAT&amp;display_string=Audit&amp;VAR:KEY=PWJQXCLSZI&amp;VAR:QUERY=RkZfRUJJVERBX0lCKCdMVE1TJywzOTYxNik=&amp;WINDOW=FIRST_POPUP&amp;HEIGHT=450&amp;WIDTH=450&amp;START_MA","XIMIZED=FALSE&amp;VAR:CALENDAR=US&amp;VAR:SYMBOL=04916420&amp;VAR:INDEX=0"}</definedName>
    <definedName name="_9753__FDSAUDITLINK__" hidden="1">{"fdsup://directions/FAT Viewer?action=UPDATE&amp;creator=factset&amp;DYN_ARGS=TRUE&amp;DOC_NAME=FAT:FQL_AUDITING_CLIENT_TEMPLATE.FAT&amp;display_string=Audit&amp;VAR:KEY=PWJQXCLSZI&amp;VAR:QUERY=RkZfRUJJVERBX0lCKCdMVE1TJywzOTYxNik=&amp;WINDOW=FIRST_POPUP&amp;HEIGHT=450&amp;WIDTH=450&amp;START_MA","XIMIZED=FALSE&amp;VAR:CALENDAR=US&amp;VAR:SYMBOL=04916420&amp;VAR:INDEX=0"}</definedName>
    <definedName name="_9754__FDSAUDITLINK__" localSheetId="6" hidden="1">{"fdsup://directions/FAT Viewer?action=UPDATE&amp;creator=factset&amp;DYN_ARGS=TRUE&amp;DOC_NAME=FAT:FQL_AUDITING_CLIENT_TEMPLATE.FAT&amp;display_string=Audit&amp;VAR:KEY=NGFEBCJSPS&amp;VAR:QUERY=RkZfRUJJVERBX0lCKCdMVE1TJywzOTYxNSk=&amp;WINDOW=FIRST_POPUP&amp;HEIGHT=450&amp;WIDTH=450&amp;START_MA","XIMIZED=FALSE&amp;VAR:CALENDAR=US&amp;VAR:SYMBOL=04916420&amp;VAR:INDEX=0"}</definedName>
    <definedName name="_9754__FDSAUDITLINK__" hidden="1">{"fdsup://directions/FAT Viewer?action=UPDATE&amp;creator=factset&amp;DYN_ARGS=TRUE&amp;DOC_NAME=FAT:FQL_AUDITING_CLIENT_TEMPLATE.FAT&amp;display_string=Audit&amp;VAR:KEY=NGFEBCJSPS&amp;VAR:QUERY=RkZfRUJJVERBX0lCKCdMVE1TJywzOTYxNSk=&amp;WINDOW=FIRST_POPUP&amp;HEIGHT=450&amp;WIDTH=450&amp;START_MA","XIMIZED=FALSE&amp;VAR:CALENDAR=US&amp;VAR:SYMBOL=04916420&amp;VAR:INDEX=0"}</definedName>
    <definedName name="_9755__FDSAUDITLINK__" localSheetId="6" hidden="1">{"fdsup://directions/FAT Viewer?action=UPDATE&amp;creator=factset&amp;DYN_ARGS=TRUE&amp;DOC_NAME=FAT:FQL_AUDITING_CLIENT_TEMPLATE.FAT&amp;display_string=Audit&amp;VAR:KEY=XCPODMZMBG&amp;VAR:QUERY=RkZfRUJJVERBX0lCKCdMVE1TJywzOTYxNCk=&amp;WINDOW=FIRST_POPUP&amp;HEIGHT=450&amp;WIDTH=450&amp;START_MA","XIMIZED=FALSE&amp;VAR:CALENDAR=US&amp;VAR:SYMBOL=04916420&amp;VAR:INDEX=0"}</definedName>
    <definedName name="_9755__FDSAUDITLINK__" hidden="1">{"fdsup://directions/FAT Viewer?action=UPDATE&amp;creator=factset&amp;DYN_ARGS=TRUE&amp;DOC_NAME=FAT:FQL_AUDITING_CLIENT_TEMPLATE.FAT&amp;display_string=Audit&amp;VAR:KEY=XCPODMZMBG&amp;VAR:QUERY=RkZfRUJJVERBX0lCKCdMVE1TJywzOTYxNCk=&amp;WINDOW=FIRST_POPUP&amp;HEIGHT=450&amp;WIDTH=450&amp;START_MA","XIMIZED=FALSE&amp;VAR:CALENDAR=US&amp;VAR:SYMBOL=04916420&amp;VAR:INDEX=0"}</definedName>
    <definedName name="_9756__FDSAUDITLINK__" localSheetId="6" hidden="1">{"fdsup://directions/FAT Viewer?action=UPDATE&amp;creator=factset&amp;DYN_ARGS=TRUE&amp;DOC_NAME=FAT:FQL_AUDITING_CLIENT_TEMPLATE.FAT&amp;display_string=Audit&amp;VAR:KEY=TMLQRSJWDK&amp;VAR:QUERY=RkZfRUJJVERBX0lCKCdMVE1TJywzOTYxMyk=&amp;WINDOW=FIRST_POPUP&amp;HEIGHT=450&amp;WIDTH=450&amp;START_MA","XIMIZED=FALSE&amp;VAR:CALENDAR=US&amp;VAR:SYMBOL=04916420&amp;VAR:INDEX=0"}</definedName>
    <definedName name="_9756__FDSAUDITLINK__" hidden="1">{"fdsup://directions/FAT Viewer?action=UPDATE&amp;creator=factset&amp;DYN_ARGS=TRUE&amp;DOC_NAME=FAT:FQL_AUDITING_CLIENT_TEMPLATE.FAT&amp;display_string=Audit&amp;VAR:KEY=TMLQRSJWDK&amp;VAR:QUERY=RkZfRUJJVERBX0lCKCdMVE1TJywzOTYxMyk=&amp;WINDOW=FIRST_POPUP&amp;HEIGHT=450&amp;WIDTH=450&amp;START_MA","XIMIZED=FALSE&amp;VAR:CALENDAR=US&amp;VAR:SYMBOL=04916420&amp;VAR:INDEX=0"}</definedName>
    <definedName name="_9757__FDSAUDITLINK__" localSheetId="6" hidden="1">{"fdsup://directions/FAT Viewer?action=UPDATE&amp;creator=factset&amp;DYN_ARGS=TRUE&amp;DOC_NAME=FAT:FQL_AUDITING_CLIENT_TEMPLATE.FAT&amp;display_string=Audit&amp;VAR:KEY=DYVIROXWBG&amp;VAR:QUERY=RkZfRUJJVERBX0lCKCdMVE1TJywzOTYxMik=&amp;WINDOW=FIRST_POPUP&amp;HEIGHT=450&amp;WIDTH=450&amp;START_MA","XIMIZED=FALSE&amp;VAR:CALENDAR=US&amp;VAR:SYMBOL=04916420&amp;VAR:INDEX=0"}</definedName>
    <definedName name="_9757__FDSAUDITLINK__" hidden="1">{"fdsup://directions/FAT Viewer?action=UPDATE&amp;creator=factset&amp;DYN_ARGS=TRUE&amp;DOC_NAME=FAT:FQL_AUDITING_CLIENT_TEMPLATE.FAT&amp;display_string=Audit&amp;VAR:KEY=DYVIROXWBG&amp;VAR:QUERY=RkZfRUJJVERBX0lCKCdMVE1TJywzOTYxMik=&amp;WINDOW=FIRST_POPUP&amp;HEIGHT=450&amp;WIDTH=450&amp;START_MA","XIMIZED=FALSE&amp;VAR:CALENDAR=US&amp;VAR:SYMBOL=04916420&amp;VAR:INDEX=0"}</definedName>
    <definedName name="_9758__FDSAUDITLINK__" localSheetId="6" hidden="1">{"fdsup://directions/FAT Viewer?action=UPDATE&amp;creator=factset&amp;DYN_ARGS=TRUE&amp;DOC_NAME=FAT:FQL_AUDITING_CLIENT_TEMPLATE.FAT&amp;display_string=Audit&amp;VAR:KEY=BQVSRMDOLK&amp;VAR:QUERY=RkZfRUJJVERBX0lCKCdMVE1TJywzOTYxMSk=&amp;WINDOW=FIRST_POPUP&amp;HEIGHT=450&amp;WIDTH=450&amp;START_MA","XIMIZED=FALSE&amp;VAR:CALENDAR=US&amp;VAR:SYMBOL=04916420&amp;VAR:INDEX=0"}</definedName>
    <definedName name="_9758__FDSAUDITLINK__" hidden="1">{"fdsup://directions/FAT Viewer?action=UPDATE&amp;creator=factset&amp;DYN_ARGS=TRUE&amp;DOC_NAME=FAT:FQL_AUDITING_CLIENT_TEMPLATE.FAT&amp;display_string=Audit&amp;VAR:KEY=BQVSRMDOLK&amp;VAR:QUERY=RkZfRUJJVERBX0lCKCdMVE1TJywzOTYxMSk=&amp;WINDOW=FIRST_POPUP&amp;HEIGHT=450&amp;WIDTH=450&amp;START_MA","XIMIZED=FALSE&amp;VAR:CALENDAR=US&amp;VAR:SYMBOL=04916420&amp;VAR:INDEX=0"}</definedName>
    <definedName name="_9759__FDSAUDITLINK__" localSheetId="6" hidden="1">{"fdsup://directions/FAT Viewer?action=UPDATE&amp;creator=factset&amp;DYN_ARGS=TRUE&amp;DOC_NAME=FAT:FQL_AUDITING_CLIENT_TEMPLATE.FAT&amp;display_string=Audit&amp;VAR:KEY=VUVKNAHSJE&amp;VAR:QUERY=RkZfRUJJVERBX0lCKCdMVE1TJywzOTYxMCk=&amp;WINDOW=FIRST_POPUP&amp;HEIGHT=450&amp;WIDTH=450&amp;START_MA","XIMIZED=FALSE&amp;VAR:CALENDAR=US&amp;VAR:SYMBOL=04916420&amp;VAR:INDEX=0"}</definedName>
    <definedName name="_9759__FDSAUDITLINK__" hidden="1">{"fdsup://directions/FAT Viewer?action=UPDATE&amp;creator=factset&amp;DYN_ARGS=TRUE&amp;DOC_NAME=FAT:FQL_AUDITING_CLIENT_TEMPLATE.FAT&amp;display_string=Audit&amp;VAR:KEY=VUVKNAHSJE&amp;VAR:QUERY=RkZfRUJJVERBX0lCKCdMVE1TJywzOTYxMCk=&amp;WINDOW=FIRST_POPUP&amp;HEIGHT=450&amp;WIDTH=450&amp;START_MA","XIMIZED=FALSE&amp;VAR:CALENDAR=US&amp;VAR:SYMBOL=04916420&amp;VAR:INDEX=0"}</definedName>
    <definedName name="_976__FDSAUDITLINK__" localSheetId="6" hidden="1">{"fdsup://directions/FAT%20Viewer?VAR:PED=LTM&amp;VAR:AUDIT_MODE=SUMMARY&amp;VAR:PERIOD=FIXED&amp;VAR:AUDIT_ID=00000117&amp;VAR:DATE=20070621&amp;action=UPDATE&amp;creator=factset&amp;DOC_NAME=FAT:FMA_audit_SUMMARY.fat&amp;DISPLAY_STRING=Display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6__FDSAUDITLINK__" hidden="1">{"fdsup://directions/FAT%20Viewer?VAR:PED=LTM&amp;VAR:AUDIT_MODE=SUMMARY&amp;VAR:PERIOD=FIXED&amp;VAR:AUDIT_ID=00000117&amp;VAR:DATE=20070621&amp;action=UPDATE&amp;creator=factset&amp;DOC_NAME=FAT:FMA_audit_SUMMARY.fat&amp;DISPLAY_STRING=Display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60__FDSAUDITLINK__" localSheetId="6" hidden="1">{"fdsup://directions/FAT Viewer?action=UPDATE&amp;creator=factset&amp;DYN_ARGS=TRUE&amp;DOC_NAME=FAT:FQL_AUDITING_CLIENT_TEMPLATE.FAT&amp;display_string=Audit&amp;VAR:KEY=POBKVSXOLU&amp;VAR:QUERY=RkZfRUJJVERBX0lCKCdMVE1TJywzOTYwOSk=&amp;WINDOW=FIRST_POPUP&amp;HEIGHT=450&amp;WIDTH=450&amp;START_MA","XIMIZED=FALSE&amp;VAR:CALENDAR=US&amp;VAR:SYMBOL=04916420&amp;VAR:INDEX=0"}</definedName>
    <definedName name="_9760__FDSAUDITLINK__" hidden="1">{"fdsup://directions/FAT Viewer?action=UPDATE&amp;creator=factset&amp;DYN_ARGS=TRUE&amp;DOC_NAME=FAT:FQL_AUDITING_CLIENT_TEMPLATE.FAT&amp;display_string=Audit&amp;VAR:KEY=POBKVSXOLU&amp;VAR:QUERY=RkZfRUJJVERBX0lCKCdMVE1TJywzOTYwOSk=&amp;WINDOW=FIRST_POPUP&amp;HEIGHT=450&amp;WIDTH=450&amp;START_MA","XIMIZED=FALSE&amp;VAR:CALENDAR=US&amp;VAR:SYMBOL=04916420&amp;VAR:INDEX=0"}</definedName>
    <definedName name="_9761__FDSAUDITLINK__" localSheetId="6" hidden="1">{"fdsup://directions/FAT Viewer?action=UPDATE&amp;creator=factset&amp;DYN_ARGS=TRUE&amp;DOC_NAME=FAT:FQL_AUDITING_CLIENT_TEMPLATE.FAT&amp;display_string=Audit&amp;VAR:KEY=DAJGBMJGFW&amp;VAR:QUERY=RkZfRUJJVERBX0lCKCdMVE1TJywzOTYwOCk=&amp;WINDOW=FIRST_POPUP&amp;HEIGHT=450&amp;WIDTH=450&amp;START_MA","XIMIZED=FALSE&amp;VAR:CALENDAR=US&amp;VAR:SYMBOL=04916420&amp;VAR:INDEX=0"}</definedName>
    <definedName name="_9761__FDSAUDITLINK__" hidden="1">{"fdsup://directions/FAT Viewer?action=UPDATE&amp;creator=factset&amp;DYN_ARGS=TRUE&amp;DOC_NAME=FAT:FQL_AUDITING_CLIENT_TEMPLATE.FAT&amp;display_string=Audit&amp;VAR:KEY=DAJGBMJGFW&amp;VAR:QUERY=RkZfRUJJVERBX0lCKCdMVE1TJywzOTYwOCk=&amp;WINDOW=FIRST_POPUP&amp;HEIGHT=450&amp;WIDTH=450&amp;START_MA","XIMIZED=FALSE&amp;VAR:CALENDAR=US&amp;VAR:SYMBOL=04916420&amp;VAR:INDEX=0"}</definedName>
    <definedName name="_9762__FDSAUDITLINK__" localSheetId="6" hidden="1">{"fdsup://directions/FAT Viewer?action=UPDATE&amp;creator=factset&amp;DYN_ARGS=TRUE&amp;DOC_NAME=FAT:FQL_AUDITING_CLIENT_TEMPLATE.FAT&amp;display_string=Audit&amp;VAR:KEY=PKVYDGXUDG&amp;VAR:QUERY=RkZfRUJJVERBX0lCKCdMVE1TJywzOTYwNyk=&amp;WINDOW=FIRST_POPUP&amp;HEIGHT=450&amp;WIDTH=450&amp;START_MA","XIMIZED=FALSE&amp;VAR:CALENDAR=US&amp;VAR:SYMBOL=04916420&amp;VAR:INDEX=0"}</definedName>
    <definedName name="_9762__FDSAUDITLINK__" hidden="1">{"fdsup://directions/FAT Viewer?action=UPDATE&amp;creator=factset&amp;DYN_ARGS=TRUE&amp;DOC_NAME=FAT:FQL_AUDITING_CLIENT_TEMPLATE.FAT&amp;display_string=Audit&amp;VAR:KEY=PKVYDGXUDG&amp;VAR:QUERY=RkZfRUJJVERBX0lCKCdMVE1TJywzOTYwNyk=&amp;WINDOW=FIRST_POPUP&amp;HEIGHT=450&amp;WIDTH=450&amp;START_MA","XIMIZED=FALSE&amp;VAR:CALENDAR=US&amp;VAR:SYMBOL=04916420&amp;VAR:INDEX=0"}</definedName>
    <definedName name="_9763__FDSAUDITLINK__" localSheetId="6" hidden="1">{"fdsup://directions/FAT Viewer?action=UPDATE&amp;creator=factset&amp;DYN_ARGS=TRUE&amp;DOC_NAME=FAT:FQL_AUDITING_CLIENT_TEMPLATE.FAT&amp;display_string=Audit&amp;VAR:KEY=NEXUBIVCVY&amp;VAR:QUERY=RkZfRUJJVERBX0lCKCdMVE1TJywzOTYwNik=&amp;WINDOW=FIRST_POPUP&amp;HEIGHT=450&amp;WIDTH=450&amp;START_MA","XIMIZED=FALSE&amp;VAR:CALENDAR=US&amp;VAR:SYMBOL=04916420&amp;VAR:INDEX=0"}</definedName>
    <definedName name="_9763__FDSAUDITLINK__" hidden="1">{"fdsup://directions/FAT Viewer?action=UPDATE&amp;creator=factset&amp;DYN_ARGS=TRUE&amp;DOC_NAME=FAT:FQL_AUDITING_CLIENT_TEMPLATE.FAT&amp;display_string=Audit&amp;VAR:KEY=NEXUBIVCVY&amp;VAR:QUERY=RkZfRUJJVERBX0lCKCdMVE1TJywzOTYwNik=&amp;WINDOW=FIRST_POPUP&amp;HEIGHT=450&amp;WIDTH=450&amp;START_MA","XIMIZED=FALSE&amp;VAR:CALENDAR=US&amp;VAR:SYMBOL=04916420&amp;VAR:INDEX=0"}</definedName>
    <definedName name="_9764__FDSAUDITLINK__" localSheetId="6" hidden="1">{"fdsup://directions/FAT Viewer?action=UPDATE&amp;creator=factset&amp;DYN_ARGS=TRUE&amp;DOC_NAME=FAT:FQL_AUDITING_CLIENT_TEMPLATE.FAT&amp;display_string=Audit&amp;VAR:KEY=TUJYHUTIBO&amp;VAR:QUERY=RkZfRUJJVERBX0lCKCdMVE1TJywzOTYwNSk=&amp;WINDOW=FIRST_POPUP&amp;HEIGHT=450&amp;WIDTH=450&amp;START_MA","XIMIZED=FALSE&amp;VAR:CALENDAR=US&amp;VAR:SYMBOL=04916420&amp;VAR:INDEX=0"}</definedName>
    <definedName name="_9764__FDSAUDITLINK__" hidden="1">{"fdsup://directions/FAT Viewer?action=UPDATE&amp;creator=factset&amp;DYN_ARGS=TRUE&amp;DOC_NAME=FAT:FQL_AUDITING_CLIENT_TEMPLATE.FAT&amp;display_string=Audit&amp;VAR:KEY=TUJYHUTIBO&amp;VAR:QUERY=RkZfRUJJVERBX0lCKCdMVE1TJywzOTYwNSk=&amp;WINDOW=FIRST_POPUP&amp;HEIGHT=450&amp;WIDTH=450&amp;START_MA","XIMIZED=FALSE&amp;VAR:CALENDAR=US&amp;VAR:SYMBOL=04916420&amp;VAR:INDEX=0"}</definedName>
    <definedName name="_9765__FDSAUDITLINK__" localSheetId="6" hidden="1">{"fdsup://directions/FAT Viewer?action=UPDATE&amp;creator=factset&amp;DYN_ARGS=TRUE&amp;DOC_NAME=FAT:FQL_AUDITING_CLIENT_TEMPLATE.FAT&amp;display_string=Audit&amp;VAR:KEY=DWLGTWNOJI&amp;VAR:QUERY=RkZfRUJJVERBX0lCKCdMVE1TJywzOTYwNCk=&amp;WINDOW=FIRST_POPUP&amp;HEIGHT=450&amp;WIDTH=450&amp;START_MA","XIMIZED=FALSE&amp;VAR:CALENDAR=US&amp;VAR:SYMBOL=04916420&amp;VAR:INDEX=0"}</definedName>
    <definedName name="_9765__FDSAUDITLINK__" hidden="1">{"fdsup://directions/FAT Viewer?action=UPDATE&amp;creator=factset&amp;DYN_ARGS=TRUE&amp;DOC_NAME=FAT:FQL_AUDITING_CLIENT_TEMPLATE.FAT&amp;display_string=Audit&amp;VAR:KEY=DWLGTWNOJI&amp;VAR:QUERY=RkZfRUJJVERBX0lCKCdMVE1TJywzOTYwNCk=&amp;WINDOW=FIRST_POPUP&amp;HEIGHT=450&amp;WIDTH=450&amp;START_MA","XIMIZED=FALSE&amp;VAR:CALENDAR=US&amp;VAR:SYMBOL=04916420&amp;VAR:INDEX=0"}</definedName>
    <definedName name="_9766__FDSAUDITLINK__" localSheetId="6" hidden="1">{"fdsup://directions/FAT Viewer?action=UPDATE&amp;creator=factset&amp;DYN_ARGS=TRUE&amp;DOC_NAME=FAT:FQL_AUDITING_CLIENT_TEMPLATE.FAT&amp;display_string=Audit&amp;VAR:KEY=HWHOZQFQFI&amp;VAR:QUERY=RkZfRUJJVERBX0lCKCdMVE1TJywzOTYwMyk=&amp;WINDOW=FIRST_POPUP&amp;HEIGHT=450&amp;WIDTH=450&amp;START_MA","XIMIZED=FALSE&amp;VAR:CALENDAR=US&amp;VAR:SYMBOL=04916420&amp;VAR:INDEX=0"}</definedName>
    <definedName name="_9766__FDSAUDITLINK__" hidden="1">{"fdsup://directions/FAT Viewer?action=UPDATE&amp;creator=factset&amp;DYN_ARGS=TRUE&amp;DOC_NAME=FAT:FQL_AUDITING_CLIENT_TEMPLATE.FAT&amp;display_string=Audit&amp;VAR:KEY=HWHOZQFQFI&amp;VAR:QUERY=RkZfRUJJVERBX0lCKCdMVE1TJywzOTYwMyk=&amp;WINDOW=FIRST_POPUP&amp;HEIGHT=450&amp;WIDTH=450&amp;START_MA","XIMIZED=FALSE&amp;VAR:CALENDAR=US&amp;VAR:SYMBOL=04916420&amp;VAR:INDEX=0"}</definedName>
    <definedName name="_9767__FDSAUDITLINK__" localSheetId="6" hidden="1">{"fdsup://directions/FAT Viewer?action=UPDATE&amp;creator=factset&amp;DYN_ARGS=TRUE&amp;DOC_NAME=FAT:FQL_AUDITING_CLIENT_TEMPLATE.FAT&amp;display_string=Audit&amp;VAR:KEY=BKPEPIZOJC&amp;VAR:QUERY=RkZfRUJJVERBX0lCKCdMVE1TJywzOTYwMik=&amp;WINDOW=FIRST_POPUP&amp;HEIGHT=450&amp;WIDTH=450&amp;START_MA","XIMIZED=FALSE&amp;VAR:CALENDAR=US&amp;VAR:SYMBOL=04916420&amp;VAR:INDEX=0"}</definedName>
    <definedName name="_9767__FDSAUDITLINK__" hidden="1">{"fdsup://directions/FAT Viewer?action=UPDATE&amp;creator=factset&amp;DYN_ARGS=TRUE&amp;DOC_NAME=FAT:FQL_AUDITING_CLIENT_TEMPLATE.FAT&amp;display_string=Audit&amp;VAR:KEY=BKPEPIZOJC&amp;VAR:QUERY=RkZfRUJJVERBX0lCKCdMVE1TJywzOTYwMik=&amp;WINDOW=FIRST_POPUP&amp;HEIGHT=450&amp;WIDTH=450&amp;START_MA","XIMIZED=FALSE&amp;VAR:CALENDAR=US&amp;VAR:SYMBOL=04916420&amp;VAR:INDEX=0"}</definedName>
    <definedName name="_9768__FDSAUDITLINK__" localSheetId="6" hidden="1">{"fdsup://directions/FAT Viewer?action=UPDATE&amp;creator=factset&amp;DYN_ARGS=TRUE&amp;DOC_NAME=FAT:FQL_AUDITING_CLIENT_TEMPLATE.FAT&amp;display_string=Audit&amp;VAR:KEY=LKJCVEZCNS&amp;VAR:QUERY=RkZfRUJJVERBX0lCKCdMVE1TJywzOTYwMSk=&amp;WINDOW=FIRST_POPUP&amp;HEIGHT=450&amp;WIDTH=450&amp;START_MA","XIMIZED=FALSE&amp;VAR:CALENDAR=US&amp;VAR:SYMBOL=04916420&amp;VAR:INDEX=0"}</definedName>
    <definedName name="_9768__FDSAUDITLINK__" hidden="1">{"fdsup://directions/FAT Viewer?action=UPDATE&amp;creator=factset&amp;DYN_ARGS=TRUE&amp;DOC_NAME=FAT:FQL_AUDITING_CLIENT_TEMPLATE.FAT&amp;display_string=Audit&amp;VAR:KEY=LKJCVEZCNS&amp;VAR:QUERY=RkZfRUJJVERBX0lCKCdMVE1TJywzOTYwMSk=&amp;WINDOW=FIRST_POPUP&amp;HEIGHT=450&amp;WIDTH=450&amp;START_MA","XIMIZED=FALSE&amp;VAR:CALENDAR=US&amp;VAR:SYMBOL=04916420&amp;VAR:INDEX=0"}</definedName>
    <definedName name="_9769__FDSAUDITLINK__" localSheetId="6" hidden="1">{"fdsup://directions/FAT Viewer?action=UPDATE&amp;creator=factset&amp;DYN_ARGS=TRUE&amp;DOC_NAME=FAT:FQL_AUDITING_CLIENT_TEMPLATE.FAT&amp;display_string=Audit&amp;VAR:KEY=TADKNWDCDO&amp;VAR:QUERY=RkZfRUJJVERBX0lCKCdMVE1TJywzOTYwMCk=&amp;WINDOW=FIRST_POPUP&amp;HEIGHT=450&amp;WIDTH=450&amp;START_MA","XIMIZED=FALSE&amp;VAR:CALENDAR=US&amp;VAR:SYMBOL=04916420&amp;VAR:INDEX=0"}</definedName>
    <definedName name="_9769__FDSAUDITLINK__" hidden="1">{"fdsup://directions/FAT Viewer?action=UPDATE&amp;creator=factset&amp;DYN_ARGS=TRUE&amp;DOC_NAME=FAT:FQL_AUDITING_CLIENT_TEMPLATE.FAT&amp;display_string=Audit&amp;VAR:KEY=TADKNWDCDO&amp;VAR:QUERY=RkZfRUJJVERBX0lCKCdMVE1TJywzOTYwMCk=&amp;WINDOW=FIRST_POPUP&amp;HEIGHT=450&amp;WIDTH=450&amp;START_MA","XIMIZED=FALSE&amp;VAR:CALENDAR=US&amp;VAR:SYMBOL=04916420&amp;VAR:INDEX=0"}</definedName>
    <definedName name="_977__FDSAUDITLINK__" localSheetId="6" hidden="1">{"fdsup://directions/FAT%20Viewer?VAR:PED=LTM&amp;VAR:AUDIT_MODE=SUMMARY&amp;VAR:PERIOD=FIXED&amp;VAR:AUDIT_ID=00000117&amp;VAR:DATE=20070620&amp;action=UPDATE&amp;creator=factset&amp;DOC_NAME=FAT:FMA_audit_SUMMARY.fat&amp;DISPLAY_STRING=Display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7__FDSAUDITLINK__" hidden="1">{"fdsup://directions/FAT%20Viewer?VAR:PED=LTM&amp;VAR:AUDIT_MODE=SUMMARY&amp;VAR:PERIOD=FIXED&amp;VAR:AUDIT_ID=00000117&amp;VAR:DATE=20070620&amp;action=UPDATE&amp;creator=factset&amp;DOC_NAME=FAT:FMA_audit_SUMMARY.fat&amp;DISPLAY_STRING=Display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70__FDSAUDITLINK__" localSheetId="6" hidden="1">{"fdsup://directions/FAT Viewer?action=UPDATE&amp;creator=factset&amp;DYN_ARGS=TRUE&amp;DOC_NAME=FAT:FQL_AUDITING_CLIENT_TEMPLATE.FAT&amp;display_string=Audit&amp;VAR:KEY=RYHSDCRUZE&amp;VAR:QUERY=RkZfRUJJVERBX0lCKCdMVE1TJywzOTU5OSk=&amp;WINDOW=FIRST_POPUP&amp;HEIGHT=450&amp;WIDTH=450&amp;START_MA","XIMIZED=FALSE&amp;VAR:CALENDAR=US&amp;VAR:SYMBOL=04916420&amp;VAR:INDEX=0"}</definedName>
    <definedName name="_9770__FDSAUDITLINK__" hidden="1">{"fdsup://directions/FAT Viewer?action=UPDATE&amp;creator=factset&amp;DYN_ARGS=TRUE&amp;DOC_NAME=FAT:FQL_AUDITING_CLIENT_TEMPLATE.FAT&amp;display_string=Audit&amp;VAR:KEY=RYHSDCRUZE&amp;VAR:QUERY=RkZfRUJJVERBX0lCKCdMVE1TJywzOTU5OSk=&amp;WINDOW=FIRST_POPUP&amp;HEIGHT=450&amp;WIDTH=450&amp;START_MA","XIMIZED=FALSE&amp;VAR:CALENDAR=US&amp;VAR:SYMBOL=04916420&amp;VAR:INDEX=0"}</definedName>
    <definedName name="_9771__FDSAUDITLINK__" localSheetId="6" hidden="1">{"fdsup://directions/FAT Viewer?action=UPDATE&amp;creator=factset&amp;DYN_ARGS=TRUE&amp;DOC_NAME=FAT:FQL_AUDITING_CLIENT_TEMPLATE.FAT&amp;display_string=Audit&amp;VAR:KEY=RAZKLQPYDI&amp;VAR:QUERY=RkZfRUJJVERBX0lCKCdMVE1TJywzOTU5OCk=&amp;WINDOW=FIRST_POPUP&amp;HEIGHT=450&amp;WIDTH=450&amp;START_MA","XIMIZED=FALSE&amp;VAR:CALENDAR=US&amp;VAR:SYMBOL=04916420&amp;VAR:INDEX=0"}</definedName>
    <definedName name="_9771__FDSAUDITLINK__" hidden="1">{"fdsup://directions/FAT Viewer?action=UPDATE&amp;creator=factset&amp;DYN_ARGS=TRUE&amp;DOC_NAME=FAT:FQL_AUDITING_CLIENT_TEMPLATE.FAT&amp;display_string=Audit&amp;VAR:KEY=RAZKLQPYDI&amp;VAR:QUERY=RkZfRUJJVERBX0lCKCdMVE1TJywzOTU5OCk=&amp;WINDOW=FIRST_POPUP&amp;HEIGHT=450&amp;WIDTH=450&amp;START_MA","XIMIZED=FALSE&amp;VAR:CALENDAR=US&amp;VAR:SYMBOL=04916420&amp;VAR:INDEX=0"}</definedName>
    <definedName name="_9772__FDSAUDITLINK__" localSheetId="6" hidden="1">{"fdsup://directions/FAT Viewer?action=UPDATE&amp;creator=factset&amp;DYN_ARGS=TRUE&amp;DOC_NAME=FAT:FQL_AUDITING_CLIENT_TEMPLATE.FAT&amp;display_string=Audit&amp;VAR:KEY=BWPYRKHQNY&amp;VAR:QUERY=RkZfRUJJVERBX0lCKCdMVE1TJywzOTU5Nyk=&amp;WINDOW=FIRST_POPUP&amp;HEIGHT=450&amp;WIDTH=450&amp;START_MA","XIMIZED=FALSE&amp;VAR:CALENDAR=US&amp;VAR:SYMBOL=04916420&amp;VAR:INDEX=0"}</definedName>
    <definedName name="_9772__FDSAUDITLINK__" hidden="1">{"fdsup://directions/FAT Viewer?action=UPDATE&amp;creator=factset&amp;DYN_ARGS=TRUE&amp;DOC_NAME=FAT:FQL_AUDITING_CLIENT_TEMPLATE.FAT&amp;display_string=Audit&amp;VAR:KEY=BWPYRKHQNY&amp;VAR:QUERY=RkZfRUJJVERBX0lCKCdMVE1TJywzOTU5Nyk=&amp;WINDOW=FIRST_POPUP&amp;HEIGHT=450&amp;WIDTH=450&amp;START_MA","XIMIZED=FALSE&amp;VAR:CALENDAR=US&amp;VAR:SYMBOL=04916420&amp;VAR:INDEX=0"}</definedName>
    <definedName name="_9773__FDSAUDITLINK__" localSheetId="6" hidden="1">{"fdsup://directions/FAT Viewer?action=UPDATE&amp;creator=factset&amp;DYN_ARGS=TRUE&amp;DOC_NAME=FAT:FQL_AUDITING_CLIENT_TEMPLATE.FAT&amp;display_string=Audit&amp;VAR:KEY=VGRIJQJUVM&amp;VAR:QUERY=RkZfRUJJVERBX0lCKCdMVE1TJywzOTU5Nik=&amp;WINDOW=FIRST_POPUP&amp;HEIGHT=450&amp;WIDTH=450&amp;START_MA","XIMIZED=FALSE&amp;VAR:CALENDAR=US&amp;VAR:SYMBOL=04916420&amp;VAR:INDEX=0"}</definedName>
    <definedName name="_9773__FDSAUDITLINK__" hidden="1">{"fdsup://directions/FAT Viewer?action=UPDATE&amp;creator=factset&amp;DYN_ARGS=TRUE&amp;DOC_NAME=FAT:FQL_AUDITING_CLIENT_TEMPLATE.FAT&amp;display_string=Audit&amp;VAR:KEY=VGRIJQJUVM&amp;VAR:QUERY=RkZfRUJJVERBX0lCKCdMVE1TJywzOTU5Nik=&amp;WINDOW=FIRST_POPUP&amp;HEIGHT=450&amp;WIDTH=450&amp;START_MA","XIMIZED=FALSE&amp;VAR:CALENDAR=US&amp;VAR:SYMBOL=04916420&amp;VAR:INDEX=0"}</definedName>
    <definedName name="_9774__FDSAUDITLINK__" localSheetId="6" hidden="1">{"fdsup://directions/FAT Viewer?action=UPDATE&amp;creator=factset&amp;DYN_ARGS=TRUE&amp;DOC_NAME=FAT:FQL_AUDITING_CLIENT_TEMPLATE.FAT&amp;display_string=Audit&amp;VAR:KEY=DETYNYLEDU&amp;VAR:QUERY=RkZfRUJJVERBX0lCKCdMVE1TJywzOTU5NSk=&amp;WINDOW=FIRST_POPUP&amp;HEIGHT=450&amp;WIDTH=450&amp;START_MA","XIMIZED=FALSE&amp;VAR:CALENDAR=US&amp;VAR:SYMBOL=04916420&amp;VAR:INDEX=0"}</definedName>
    <definedName name="_9774__FDSAUDITLINK__" hidden="1">{"fdsup://directions/FAT Viewer?action=UPDATE&amp;creator=factset&amp;DYN_ARGS=TRUE&amp;DOC_NAME=FAT:FQL_AUDITING_CLIENT_TEMPLATE.FAT&amp;display_string=Audit&amp;VAR:KEY=DETYNYLEDU&amp;VAR:QUERY=RkZfRUJJVERBX0lCKCdMVE1TJywzOTU5NSk=&amp;WINDOW=FIRST_POPUP&amp;HEIGHT=450&amp;WIDTH=450&amp;START_MA","XIMIZED=FALSE&amp;VAR:CALENDAR=US&amp;VAR:SYMBOL=04916420&amp;VAR:INDEX=0"}</definedName>
    <definedName name="_9775__FDSAUDITLINK__" localSheetId="6" hidden="1">{"fdsup://directions/FAT Viewer?action=UPDATE&amp;creator=factset&amp;DYN_ARGS=TRUE&amp;DOC_NAME=FAT:FQL_AUDITING_CLIENT_TEMPLATE.FAT&amp;display_string=Audit&amp;VAR:KEY=XIBWFWXKLW&amp;VAR:QUERY=RkZfRUJJVERBX0lCKCdMVE1TJywzOTU5NCk=&amp;WINDOW=FIRST_POPUP&amp;HEIGHT=450&amp;WIDTH=450&amp;START_MA","XIMIZED=FALSE&amp;VAR:CALENDAR=US&amp;VAR:SYMBOL=04916420&amp;VAR:INDEX=0"}</definedName>
    <definedName name="_9775__FDSAUDITLINK__" hidden="1">{"fdsup://directions/FAT Viewer?action=UPDATE&amp;creator=factset&amp;DYN_ARGS=TRUE&amp;DOC_NAME=FAT:FQL_AUDITING_CLIENT_TEMPLATE.FAT&amp;display_string=Audit&amp;VAR:KEY=XIBWFWXKLW&amp;VAR:QUERY=RkZfRUJJVERBX0lCKCdMVE1TJywzOTU5NCk=&amp;WINDOW=FIRST_POPUP&amp;HEIGHT=450&amp;WIDTH=450&amp;START_MA","XIMIZED=FALSE&amp;VAR:CALENDAR=US&amp;VAR:SYMBOL=04916420&amp;VAR:INDEX=0"}</definedName>
    <definedName name="_9776__FDSAUDITLINK__" localSheetId="6" hidden="1">{"fdsup://directions/FAT Viewer?action=UPDATE&amp;creator=factset&amp;DYN_ARGS=TRUE&amp;DOC_NAME=FAT:FQL_AUDITING_CLIENT_TEMPLATE.FAT&amp;display_string=Audit&amp;VAR:KEY=XEZAXENCRI&amp;VAR:QUERY=RkZfRUJJVERBX0lCKCdMVE1TJywzOTU5Myk=&amp;WINDOW=FIRST_POPUP&amp;HEIGHT=450&amp;WIDTH=450&amp;START_MA","XIMIZED=FALSE&amp;VAR:CALENDAR=US&amp;VAR:SYMBOL=04916420&amp;VAR:INDEX=0"}</definedName>
    <definedName name="_9776__FDSAUDITLINK__" hidden="1">{"fdsup://directions/FAT Viewer?action=UPDATE&amp;creator=factset&amp;DYN_ARGS=TRUE&amp;DOC_NAME=FAT:FQL_AUDITING_CLIENT_TEMPLATE.FAT&amp;display_string=Audit&amp;VAR:KEY=XEZAXENCRI&amp;VAR:QUERY=RkZfRUJJVERBX0lCKCdMVE1TJywzOTU5Myk=&amp;WINDOW=FIRST_POPUP&amp;HEIGHT=450&amp;WIDTH=450&amp;START_MA","XIMIZED=FALSE&amp;VAR:CALENDAR=US&amp;VAR:SYMBOL=04916420&amp;VAR:INDEX=0"}</definedName>
    <definedName name="_9777__FDSAUDITLINK__" localSheetId="6" hidden="1">{"fdsup://directions/FAT Viewer?action=UPDATE&amp;creator=factset&amp;DYN_ARGS=TRUE&amp;DOC_NAME=FAT:FQL_AUDITING_CLIENT_TEMPLATE.FAT&amp;display_string=Audit&amp;VAR:KEY=ZWRUPYRCJI&amp;VAR:QUERY=RkZfRUJJVERBX0lCKCdMVE1TJywzOTU5Mik=&amp;WINDOW=FIRST_POPUP&amp;HEIGHT=450&amp;WIDTH=450&amp;START_MA","XIMIZED=FALSE&amp;VAR:CALENDAR=US&amp;VAR:SYMBOL=04916420&amp;VAR:INDEX=0"}</definedName>
    <definedName name="_9777__FDSAUDITLINK__" hidden="1">{"fdsup://directions/FAT Viewer?action=UPDATE&amp;creator=factset&amp;DYN_ARGS=TRUE&amp;DOC_NAME=FAT:FQL_AUDITING_CLIENT_TEMPLATE.FAT&amp;display_string=Audit&amp;VAR:KEY=ZWRUPYRCJI&amp;VAR:QUERY=RkZfRUJJVERBX0lCKCdMVE1TJywzOTU5Mik=&amp;WINDOW=FIRST_POPUP&amp;HEIGHT=450&amp;WIDTH=450&amp;START_MA","XIMIZED=FALSE&amp;VAR:CALENDAR=US&amp;VAR:SYMBOL=04916420&amp;VAR:INDEX=0"}</definedName>
    <definedName name="_9778__FDSAUDITLINK__" localSheetId="6" hidden="1">{"fdsup://directions/FAT Viewer?action=UPDATE&amp;creator=factset&amp;DYN_ARGS=TRUE&amp;DOC_NAME=FAT:FQL_AUDITING_CLIENT_TEMPLATE.FAT&amp;display_string=Audit&amp;VAR:KEY=DQDORKNQFK&amp;VAR:QUERY=RkZfRUJJVERBX0lCKCdMVE1TJywzOTU5MSk=&amp;WINDOW=FIRST_POPUP&amp;HEIGHT=450&amp;WIDTH=450&amp;START_MA","XIMIZED=FALSE&amp;VAR:CALENDAR=US&amp;VAR:SYMBOL=04916420&amp;VAR:INDEX=0"}</definedName>
    <definedName name="_9778__FDSAUDITLINK__" hidden="1">{"fdsup://directions/FAT Viewer?action=UPDATE&amp;creator=factset&amp;DYN_ARGS=TRUE&amp;DOC_NAME=FAT:FQL_AUDITING_CLIENT_TEMPLATE.FAT&amp;display_string=Audit&amp;VAR:KEY=DQDORKNQFK&amp;VAR:QUERY=RkZfRUJJVERBX0lCKCdMVE1TJywzOTU5MSk=&amp;WINDOW=FIRST_POPUP&amp;HEIGHT=450&amp;WIDTH=450&amp;START_MA","XIMIZED=FALSE&amp;VAR:CALENDAR=US&amp;VAR:SYMBOL=04916420&amp;VAR:INDEX=0"}</definedName>
    <definedName name="_9779__FDSAUDITLINK__" localSheetId="6" hidden="1">{"fdsup://directions/FAT Viewer?action=UPDATE&amp;creator=factset&amp;DYN_ARGS=TRUE&amp;DOC_NAME=FAT:FQL_AUDITING_CLIENT_TEMPLATE.FAT&amp;display_string=Audit&amp;VAR:KEY=XOPATUBURG&amp;VAR:QUERY=RkZfRUJJVERBX0lCKCdMVE1TJywzOTU5MCk=&amp;WINDOW=FIRST_POPUP&amp;HEIGHT=450&amp;WIDTH=450&amp;START_MA","XIMIZED=FALSE&amp;VAR:CALENDAR=US&amp;VAR:SYMBOL=04916420&amp;VAR:INDEX=0"}</definedName>
    <definedName name="_9779__FDSAUDITLINK__" hidden="1">{"fdsup://directions/FAT Viewer?action=UPDATE&amp;creator=factset&amp;DYN_ARGS=TRUE&amp;DOC_NAME=FAT:FQL_AUDITING_CLIENT_TEMPLATE.FAT&amp;display_string=Audit&amp;VAR:KEY=XOPATUBURG&amp;VAR:QUERY=RkZfRUJJVERBX0lCKCdMVE1TJywzOTU5MCk=&amp;WINDOW=FIRST_POPUP&amp;HEIGHT=450&amp;WIDTH=450&amp;START_MA","XIMIZED=FALSE&amp;VAR:CALENDAR=US&amp;VAR:SYMBOL=04916420&amp;VAR:INDEX=0"}</definedName>
    <definedName name="_978__FDSAUDITLINK__" localSheetId="6" hidden="1">{"fdsup://directions/FAT%20Viewer?VAR:PED=LTM&amp;VAR:AUDIT_MODE=SUMMARY&amp;VAR:PERIOD=FIXED&amp;VAR:AUDIT_ID=00000117&amp;VAR:DATE=20070619&amp;action=UPDATE&amp;creator=factset&amp;DOC_NAME=FAT:FMA_audit_SUMMARY.fat&amp;DISPLAY_STRING=Display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8__FDSAUDITLINK__" hidden="1">{"fdsup://directions/FAT%20Viewer?VAR:PED=LTM&amp;VAR:AUDIT_MODE=SUMMARY&amp;VAR:PERIOD=FIXED&amp;VAR:AUDIT_ID=00000117&amp;VAR:DATE=20070619&amp;action=UPDATE&amp;creator=factset&amp;DOC_NAME=FAT:FMA_audit_SUMMARY.fat&amp;DISPLAY_STRING=Display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80__FDSAUDITLINK__" localSheetId="6" hidden="1">{"fdsup://directions/FAT Viewer?action=UPDATE&amp;creator=factset&amp;DYN_ARGS=TRUE&amp;DOC_NAME=FAT:FQL_AUDITING_CLIENT_TEMPLATE.FAT&amp;display_string=Audit&amp;VAR:KEY=ZIVWPIJAPO&amp;VAR:QUERY=RkZfRUJJVERBX0lCKCdMVE1TJywzOTU4OSk=&amp;WINDOW=FIRST_POPUP&amp;HEIGHT=450&amp;WIDTH=450&amp;START_MA","XIMIZED=FALSE&amp;VAR:CALENDAR=US&amp;VAR:SYMBOL=04916420&amp;VAR:INDEX=0"}</definedName>
    <definedName name="_9780__FDSAUDITLINK__" hidden="1">{"fdsup://directions/FAT Viewer?action=UPDATE&amp;creator=factset&amp;DYN_ARGS=TRUE&amp;DOC_NAME=FAT:FQL_AUDITING_CLIENT_TEMPLATE.FAT&amp;display_string=Audit&amp;VAR:KEY=ZIVWPIJAPO&amp;VAR:QUERY=RkZfRUJJVERBX0lCKCdMVE1TJywzOTU4OSk=&amp;WINDOW=FIRST_POPUP&amp;HEIGHT=450&amp;WIDTH=450&amp;START_MA","XIMIZED=FALSE&amp;VAR:CALENDAR=US&amp;VAR:SYMBOL=04916420&amp;VAR:INDEX=0"}</definedName>
    <definedName name="_9781__FDSAUDITLINK__" localSheetId="6" hidden="1">{"fdsup://directions/FAT Viewer?action=UPDATE&amp;creator=factset&amp;DYN_ARGS=TRUE&amp;DOC_NAME=FAT:FQL_AUDITING_CLIENT_TEMPLATE.FAT&amp;display_string=Audit&amp;VAR:KEY=TYTARADKNI&amp;VAR:QUERY=RkZfRUJJVERBX0lCKCdMVE1TJywzOTU4OCk=&amp;WINDOW=FIRST_POPUP&amp;HEIGHT=450&amp;WIDTH=450&amp;START_MA","XIMIZED=FALSE&amp;VAR:CALENDAR=US&amp;VAR:SYMBOL=04916420&amp;VAR:INDEX=0"}</definedName>
    <definedName name="_9781__FDSAUDITLINK__" hidden="1">{"fdsup://directions/FAT Viewer?action=UPDATE&amp;creator=factset&amp;DYN_ARGS=TRUE&amp;DOC_NAME=FAT:FQL_AUDITING_CLIENT_TEMPLATE.FAT&amp;display_string=Audit&amp;VAR:KEY=TYTARADKNI&amp;VAR:QUERY=RkZfRUJJVERBX0lCKCdMVE1TJywzOTU4OCk=&amp;WINDOW=FIRST_POPUP&amp;HEIGHT=450&amp;WIDTH=450&amp;START_MA","XIMIZED=FALSE&amp;VAR:CALENDAR=US&amp;VAR:SYMBOL=04916420&amp;VAR:INDEX=0"}</definedName>
    <definedName name="_9782__FDSAUDITLINK__" localSheetId="6" hidden="1">{"fdsup://directions/FAT Viewer?action=UPDATE&amp;creator=factset&amp;DYN_ARGS=TRUE&amp;DOC_NAME=FAT:FQL_AUDITING_CLIENT_TEMPLATE.FAT&amp;display_string=Audit&amp;VAR:KEY=VIPSJITOJC&amp;VAR:QUERY=RkZfRUJJVERBX0lCKCdMVE1TJywzOTU4Nyk=&amp;WINDOW=FIRST_POPUP&amp;HEIGHT=450&amp;WIDTH=450&amp;START_MA","XIMIZED=FALSE&amp;VAR:CALENDAR=US&amp;VAR:SYMBOL=04916420&amp;VAR:INDEX=0"}</definedName>
    <definedName name="_9782__FDSAUDITLINK__" hidden="1">{"fdsup://directions/FAT Viewer?action=UPDATE&amp;creator=factset&amp;DYN_ARGS=TRUE&amp;DOC_NAME=FAT:FQL_AUDITING_CLIENT_TEMPLATE.FAT&amp;display_string=Audit&amp;VAR:KEY=VIPSJITOJC&amp;VAR:QUERY=RkZfRUJJVERBX0lCKCdMVE1TJywzOTU4Nyk=&amp;WINDOW=FIRST_POPUP&amp;HEIGHT=450&amp;WIDTH=450&amp;START_MA","XIMIZED=FALSE&amp;VAR:CALENDAR=US&amp;VAR:SYMBOL=04916420&amp;VAR:INDEX=0"}</definedName>
    <definedName name="_9783__FDSAUDITLINK__" localSheetId="6" hidden="1">{"fdsup://directions/FAT Viewer?action=UPDATE&amp;creator=factset&amp;DYN_ARGS=TRUE&amp;DOC_NAME=FAT:FQL_AUDITING_CLIENT_TEMPLATE.FAT&amp;display_string=Audit&amp;VAR:KEY=DKDIROFIHA&amp;VAR:QUERY=RkZfRUJJVERBX0lCKCdMVE1TJywzOTU4Nik=&amp;WINDOW=FIRST_POPUP&amp;HEIGHT=450&amp;WIDTH=450&amp;START_MA","XIMIZED=FALSE&amp;VAR:CALENDAR=US&amp;VAR:SYMBOL=04916420&amp;VAR:INDEX=0"}</definedName>
    <definedName name="_9783__FDSAUDITLINK__" hidden="1">{"fdsup://directions/FAT Viewer?action=UPDATE&amp;creator=factset&amp;DYN_ARGS=TRUE&amp;DOC_NAME=FAT:FQL_AUDITING_CLIENT_TEMPLATE.FAT&amp;display_string=Audit&amp;VAR:KEY=DKDIROFIHA&amp;VAR:QUERY=RkZfRUJJVERBX0lCKCdMVE1TJywzOTU4Nik=&amp;WINDOW=FIRST_POPUP&amp;HEIGHT=450&amp;WIDTH=450&amp;START_MA","XIMIZED=FALSE&amp;VAR:CALENDAR=US&amp;VAR:SYMBOL=04916420&amp;VAR:INDEX=0"}</definedName>
    <definedName name="_9784__FDSAUDITLINK__" localSheetId="6" hidden="1">{"fdsup://directions/FAT Viewer?action=UPDATE&amp;creator=factset&amp;DYN_ARGS=TRUE&amp;DOC_NAME=FAT:FQL_AUDITING_CLIENT_TEMPLATE.FAT&amp;display_string=Audit&amp;VAR:KEY=FABMZCTCLY&amp;VAR:QUERY=RkZfRUJJVERBX0lCKCdMVE1TJywzOTU4NSk=&amp;WINDOW=FIRST_POPUP&amp;HEIGHT=450&amp;WIDTH=450&amp;START_MA","XIMIZED=FALSE&amp;VAR:CALENDAR=US&amp;VAR:SYMBOL=04916420&amp;VAR:INDEX=0"}</definedName>
    <definedName name="_9784__FDSAUDITLINK__" hidden="1">{"fdsup://directions/FAT Viewer?action=UPDATE&amp;creator=factset&amp;DYN_ARGS=TRUE&amp;DOC_NAME=FAT:FQL_AUDITING_CLIENT_TEMPLATE.FAT&amp;display_string=Audit&amp;VAR:KEY=FABMZCTCLY&amp;VAR:QUERY=RkZfRUJJVERBX0lCKCdMVE1TJywzOTU4NSk=&amp;WINDOW=FIRST_POPUP&amp;HEIGHT=450&amp;WIDTH=450&amp;START_MA","XIMIZED=FALSE&amp;VAR:CALENDAR=US&amp;VAR:SYMBOL=04916420&amp;VAR:INDEX=0"}</definedName>
    <definedName name="_9785__FDSAUDITLINK__" localSheetId="6" hidden="1">{"fdsup://directions/FAT Viewer?action=UPDATE&amp;creator=factset&amp;DYN_ARGS=TRUE&amp;DOC_NAME=FAT:FQL_AUDITING_CLIENT_TEMPLATE.FAT&amp;display_string=Audit&amp;VAR:KEY=FKFOPCTEFW&amp;VAR:QUERY=RkZfRUJJVERBX0lCKCdMVE1TJywzOTU4NCk=&amp;WINDOW=FIRST_POPUP&amp;HEIGHT=450&amp;WIDTH=450&amp;START_MA","XIMIZED=FALSE&amp;VAR:CALENDAR=US&amp;VAR:SYMBOL=04916420&amp;VAR:INDEX=0"}</definedName>
    <definedName name="_9785__FDSAUDITLINK__" hidden="1">{"fdsup://directions/FAT Viewer?action=UPDATE&amp;creator=factset&amp;DYN_ARGS=TRUE&amp;DOC_NAME=FAT:FQL_AUDITING_CLIENT_TEMPLATE.FAT&amp;display_string=Audit&amp;VAR:KEY=FKFOPCTEFW&amp;VAR:QUERY=RkZfRUJJVERBX0lCKCdMVE1TJywzOTU4NCk=&amp;WINDOW=FIRST_POPUP&amp;HEIGHT=450&amp;WIDTH=450&amp;START_MA","XIMIZED=FALSE&amp;VAR:CALENDAR=US&amp;VAR:SYMBOL=04916420&amp;VAR:INDEX=0"}</definedName>
    <definedName name="_9786__FDSAUDITLINK__" localSheetId="6" hidden="1">{"fdsup://directions/FAT Viewer?action=UPDATE&amp;creator=factset&amp;DYN_ARGS=TRUE&amp;DOC_NAME=FAT:FQL_AUDITING_CLIENT_TEMPLATE.FAT&amp;display_string=Audit&amp;VAR:KEY=VQPQLSHING&amp;VAR:QUERY=RkZfRUJJVERBX0lCKCdMVE1TJywzOTU4Myk=&amp;WINDOW=FIRST_POPUP&amp;HEIGHT=450&amp;WIDTH=450&amp;START_MA","XIMIZED=FALSE&amp;VAR:CALENDAR=US&amp;VAR:SYMBOL=04916420&amp;VAR:INDEX=0"}</definedName>
    <definedName name="_9786__FDSAUDITLINK__" hidden="1">{"fdsup://directions/FAT Viewer?action=UPDATE&amp;creator=factset&amp;DYN_ARGS=TRUE&amp;DOC_NAME=FAT:FQL_AUDITING_CLIENT_TEMPLATE.FAT&amp;display_string=Audit&amp;VAR:KEY=VQPQLSHING&amp;VAR:QUERY=RkZfRUJJVERBX0lCKCdMVE1TJywzOTU4Myk=&amp;WINDOW=FIRST_POPUP&amp;HEIGHT=450&amp;WIDTH=450&amp;START_MA","XIMIZED=FALSE&amp;VAR:CALENDAR=US&amp;VAR:SYMBOL=04916420&amp;VAR:INDEX=0"}</definedName>
    <definedName name="_9787__FDSAUDITLINK__" localSheetId="6" hidden="1">{"fdsup://directions/FAT Viewer?action=UPDATE&amp;creator=factset&amp;DYN_ARGS=TRUE&amp;DOC_NAME=FAT:FQL_AUDITING_CLIENT_TEMPLATE.FAT&amp;display_string=Audit&amp;VAR:KEY=NEVSZKPMHU&amp;VAR:QUERY=RkZfRUJJVERBX0lCKCdMVE1TJywzOTU4Mik=&amp;WINDOW=FIRST_POPUP&amp;HEIGHT=450&amp;WIDTH=450&amp;START_MA","XIMIZED=FALSE&amp;VAR:CALENDAR=US&amp;VAR:SYMBOL=04916420&amp;VAR:INDEX=0"}</definedName>
    <definedName name="_9787__FDSAUDITLINK__" hidden="1">{"fdsup://directions/FAT Viewer?action=UPDATE&amp;creator=factset&amp;DYN_ARGS=TRUE&amp;DOC_NAME=FAT:FQL_AUDITING_CLIENT_TEMPLATE.FAT&amp;display_string=Audit&amp;VAR:KEY=NEVSZKPMHU&amp;VAR:QUERY=RkZfRUJJVERBX0lCKCdMVE1TJywzOTU4Mik=&amp;WINDOW=FIRST_POPUP&amp;HEIGHT=450&amp;WIDTH=450&amp;START_MA","XIMIZED=FALSE&amp;VAR:CALENDAR=US&amp;VAR:SYMBOL=04916420&amp;VAR:INDEX=0"}</definedName>
    <definedName name="_9788__FDSAUDITLINK__" localSheetId="6" hidden="1">{"fdsup://directions/FAT Viewer?action=UPDATE&amp;creator=factset&amp;DYN_ARGS=TRUE&amp;DOC_NAME=FAT:FQL_AUDITING_CLIENT_TEMPLATE.FAT&amp;display_string=Audit&amp;VAR:KEY=TOLSRANIXE&amp;VAR:QUERY=RkZfRUJJVERBX0lCKCdMVE1TJywzOTU4MSk=&amp;WINDOW=FIRST_POPUP&amp;HEIGHT=450&amp;WIDTH=450&amp;START_MA","XIMIZED=FALSE&amp;VAR:CALENDAR=US&amp;VAR:SYMBOL=04916420&amp;VAR:INDEX=0"}</definedName>
    <definedName name="_9788__FDSAUDITLINK__" hidden="1">{"fdsup://directions/FAT Viewer?action=UPDATE&amp;creator=factset&amp;DYN_ARGS=TRUE&amp;DOC_NAME=FAT:FQL_AUDITING_CLIENT_TEMPLATE.FAT&amp;display_string=Audit&amp;VAR:KEY=TOLSRANIXE&amp;VAR:QUERY=RkZfRUJJVERBX0lCKCdMVE1TJywzOTU4MSk=&amp;WINDOW=FIRST_POPUP&amp;HEIGHT=450&amp;WIDTH=450&amp;START_MA","XIMIZED=FALSE&amp;VAR:CALENDAR=US&amp;VAR:SYMBOL=04916420&amp;VAR:INDEX=0"}</definedName>
    <definedName name="_9789__FDSAUDITLINK__" localSheetId="6" hidden="1">{"fdsup://directions/FAT Viewer?action=UPDATE&amp;creator=factset&amp;DYN_ARGS=TRUE&amp;DOC_NAME=FAT:FQL_AUDITING_CLIENT_TEMPLATE.FAT&amp;display_string=Audit&amp;VAR:KEY=HOHQVKRYDM&amp;VAR:QUERY=RkZfRUJJVERBX0lCKCdMVE1TJywzOTU4MCk=&amp;WINDOW=FIRST_POPUP&amp;HEIGHT=450&amp;WIDTH=450&amp;START_MA","XIMIZED=FALSE&amp;VAR:CALENDAR=US&amp;VAR:SYMBOL=04916420&amp;VAR:INDEX=0"}</definedName>
    <definedName name="_9789__FDSAUDITLINK__" hidden="1">{"fdsup://directions/FAT Viewer?action=UPDATE&amp;creator=factset&amp;DYN_ARGS=TRUE&amp;DOC_NAME=FAT:FQL_AUDITING_CLIENT_TEMPLATE.FAT&amp;display_string=Audit&amp;VAR:KEY=HOHQVKRYDM&amp;VAR:QUERY=RkZfRUJJVERBX0lCKCdMVE1TJywzOTU4MCk=&amp;WINDOW=FIRST_POPUP&amp;HEIGHT=450&amp;WIDTH=450&amp;START_MA","XIMIZED=FALSE&amp;VAR:CALENDAR=US&amp;VAR:SYMBOL=04916420&amp;VAR:INDEX=0"}</definedName>
    <definedName name="_979__FDSAUDITLINK__" localSheetId="6" hidden="1">{"fdsup://directions/FAT%20Viewer?VAR:PED=LTM&amp;VAR:AUDIT_MODE=SUMMARY&amp;VAR:PERIOD=FIXED&amp;VAR:AUDIT_ID=00000117&amp;VAR:DATE=20070618&amp;action=UPDATE&amp;creator=factset&amp;DOC_NAME=FAT:FMA_audit_SUMMARY.fat&amp;DISPLAY_STRING=Display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9__FDSAUDITLINK__" hidden="1">{"fdsup://directions/FAT%20Viewer?VAR:PED=LTM&amp;VAR:AUDIT_MODE=SUMMARY&amp;VAR:PERIOD=FIXED&amp;VAR:AUDIT_ID=00000117&amp;VAR:DATE=20070618&amp;action=UPDATE&amp;creator=factset&amp;DOC_NAME=FAT:FMA_audit_SUMMARY.fat&amp;DISPLAY_STRING=Display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790__FDSAUDITLINK__" localSheetId="6" hidden="1">{"fdsup://directions/FAT Viewer?action=UPDATE&amp;creator=factset&amp;DYN_ARGS=TRUE&amp;DOC_NAME=FAT:FQL_AUDITING_CLIENT_TEMPLATE.FAT&amp;display_string=Audit&amp;VAR:KEY=HWBWVAXGNA&amp;VAR:QUERY=RkZfRUJJVERBX0lCKCdMVE1TJywzOTU3OSk=&amp;WINDOW=FIRST_POPUP&amp;HEIGHT=450&amp;WIDTH=450&amp;START_MA","XIMIZED=FALSE&amp;VAR:CALENDAR=US&amp;VAR:SYMBOL=04916420&amp;VAR:INDEX=0"}</definedName>
    <definedName name="_9790__FDSAUDITLINK__" hidden="1">{"fdsup://directions/FAT Viewer?action=UPDATE&amp;creator=factset&amp;DYN_ARGS=TRUE&amp;DOC_NAME=FAT:FQL_AUDITING_CLIENT_TEMPLATE.FAT&amp;display_string=Audit&amp;VAR:KEY=HWBWVAXGNA&amp;VAR:QUERY=RkZfRUJJVERBX0lCKCdMVE1TJywzOTU3OSk=&amp;WINDOW=FIRST_POPUP&amp;HEIGHT=450&amp;WIDTH=450&amp;START_MA","XIMIZED=FALSE&amp;VAR:CALENDAR=US&amp;VAR:SYMBOL=04916420&amp;VAR:INDEX=0"}</definedName>
    <definedName name="_9791__FDSAUDITLINK__" localSheetId="6" hidden="1">{"fdsup://directions/FAT Viewer?action=UPDATE&amp;creator=factset&amp;DYN_ARGS=TRUE&amp;DOC_NAME=FAT:FQL_AUDITING_CLIENT_TEMPLATE.FAT&amp;display_string=Audit&amp;VAR:KEY=XUHKJQFALQ&amp;VAR:QUERY=RkZfRUJJVERBX0lCKCdMVE1TJywzOTU3OCk=&amp;WINDOW=FIRST_POPUP&amp;HEIGHT=450&amp;WIDTH=450&amp;START_MA","XIMIZED=FALSE&amp;VAR:CALENDAR=US&amp;VAR:SYMBOL=04916420&amp;VAR:INDEX=0"}</definedName>
    <definedName name="_9791__FDSAUDITLINK__" hidden="1">{"fdsup://directions/FAT Viewer?action=UPDATE&amp;creator=factset&amp;DYN_ARGS=TRUE&amp;DOC_NAME=FAT:FQL_AUDITING_CLIENT_TEMPLATE.FAT&amp;display_string=Audit&amp;VAR:KEY=XUHKJQFALQ&amp;VAR:QUERY=RkZfRUJJVERBX0lCKCdMVE1TJywzOTU3OCk=&amp;WINDOW=FIRST_POPUP&amp;HEIGHT=450&amp;WIDTH=450&amp;START_MA","XIMIZED=FALSE&amp;VAR:CALENDAR=US&amp;VAR:SYMBOL=04916420&amp;VAR:INDEX=0"}</definedName>
    <definedName name="_9792__FDSAUDITLINK__" localSheetId="6" hidden="1">{"fdsup://directions/FAT Viewer?action=UPDATE&amp;creator=factset&amp;DYN_ARGS=TRUE&amp;DOC_NAME=FAT:FQL_AUDITING_CLIENT_TEMPLATE.FAT&amp;display_string=Audit&amp;VAR:KEY=LEDUFCHUXS&amp;VAR:QUERY=RkZfRUJJVERBX0lCKCdMVE1TJywzOTU3Nyk=&amp;WINDOW=FIRST_POPUP&amp;HEIGHT=450&amp;WIDTH=450&amp;START_MA","XIMIZED=FALSE&amp;VAR:CALENDAR=US&amp;VAR:SYMBOL=04916420&amp;VAR:INDEX=0"}</definedName>
    <definedName name="_9792__FDSAUDITLINK__" hidden="1">{"fdsup://directions/FAT Viewer?action=UPDATE&amp;creator=factset&amp;DYN_ARGS=TRUE&amp;DOC_NAME=FAT:FQL_AUDITING_CLIENT_TEMPLATE.FAT&amp;display_string=Audit&amp;VAR:KEY=LEDUFCHUXS&amp;VAR:QUERY=RkZfRUJJVERBX0lCKCdMVE1TJywzOTU3Nyk=&amp;WINDOW=FIRST_POPUP&amp;HEIGHT=450&amp;WIDTH=450&amp;START_MA","XIMIZED=FALSE&amp;VAR:CALENDAR=US&amp;VAR:SYMBOL=04916420&amp;VAR:INDEX=0"}</definedName>
    <definedName name="_9793__FDSAUDITLINK__" localSheetId="6" hidden="1">{"fdsup://directions/FAT Viewer?action=UPDATE&amp;creator=factset&amp;DYN_ARGS=TRUE&amp;DOC_NAME=FAT:FQL_AUDITING_CLIENT_TEMPLATE.FAT&amp;display_string=Audit&amp;VAR:KEY=NUDWRSHWNI&amp;VAR:QUERY=RkZfRUJJVERBX0lCKCdMVE1TJywzOTU3Nik=&amp;WINDOW=FIRST_POPUP&amp;HEIGHT=450&amp;WIDTH=450&amp;START_MA","XIMIZED=FALSE&amp;VAR:CALENDAR=US&amp;VAR:SYMBOL=04916420&amp;VAR:INDEX=0"}</definedName>
    <definedName name="_9793__FDSAUDITLINK__" hidden="1">{"fdsup://directions/FAT Viewer?action=UPDATE&amp;creator=factset&amp;DYN_ARGS=TRUE&amp;DOC_NAME=FAT:FQL_AUDITING_CLIENT_TEMPLATE.FAT&amp;display_string=Audit&amp;VAR:KEY=NUDWRSHWNI&amp;VAR:QUERY=RkZfRUJJVERBX0lCKCdMVE1TJywzOTU3Nik=&amp;WINDOW=FIRST_POPUP&amp;HEIGHT=450&amp;WIDTH=450&amp;START_MA","XIMIZED=FALSE&amp;VAR:CALENDAR=US&amp;VAR:SYMBOL=04916420&amp;VAR:INDEX=0"}</definedName>
    <definedName name="_9794__FDSAUDITLINK__" localSheetId="6" hidden="1">{"fdsup://directions/FAT Viewer?action=UPDATE&amp;creator=factset&amp;DYN_ARGS=TRUE&amp;DOC_NAME=FAT:FQL_AUDITING_CLIENT_TEMPLATE.FAT&amp;display_string=Audit&amp;VAR:KEY=ZSPARUJINQ&amp;VAR:QUERY=RkZfRUJJVERBX0lCKCdMVE1TJywzOTU3NSk=&amp;WINDOW=FIRST_POPUP&amp;HEIGHT=450&amp;WIDTH=450&amp;START_MA","XIMIZED=FALSE&amp;VAR:CALENDAR=US&amp;VAR:SYMBOL=04916420&amp;VAR:INDEX=0"}</definedName>
    <definedName name="_9794__FDSAUDITLINK__" hidden="1">{"fdsup://directions/FAT Viewer?action=UPDATE&amp;creator=factset&amp;DYN_ARGS=TRUE&amp;DOC_NAME=FAT:FQL_AUDITING_CLIENT_TEMPLATE.FAT&amp;display_string=Audit&amp;VAR:KEY=ZSPARUJINQ&amp;VAR:QUERY=RkZfRUJJVERBX0lCKCdMVE1TJywzOTU3NSk=&amp;WINDOW=FIRST_POPUP&amp;HEIGHT=450&amp;WIDTH=450&amp;START_MA","XIMIZED=FALSE&amp;VAR:CALENDAR=US&amp;VAR:SYMBOL=04916420&amp;VAR:INDEX=0"}</definedName>
    <definedName name="_9795__FDSAUDITLINK__" localSheetId="6" hidden="1">{"fdsup://directions/FAT Viewer?action=UPDATE&amp;creator=factset&amp;DYN_ARGS=TRUE&amp;DOC_NAME=FAT:FQL_AUDITING_CLIENT_TEMPLATE.FAT&amp;display_string=Audit&amp;VAR:KEY=ZMRORAVKXG&amp;VAR:QUERY=RkZfRUJJVERBX0lCKCdMVE1TJywzOTU3NCk=&amp;WINDOW=FIRST_POPUP&amp;HEIGHT=450&amp;WIDTH=450&amp;START_MA","XIMIZED=FALSE&amp;VAR:CALENDAR=US&amp;VAR:SYMBOL=04916420&amp;VAR:INDEX=0"}</definedName>
    <definedName name="_9795__FDSAUDITLINK__" hidden="1">{"fdsup://directions/FAT Viewer?action=UPDATE&amp;creator=factset&amp;DYN_ARGS=TRUE&amp;DOC_NAME=FAT:FQL_AUDITING_CLIENT_TEMPLATE.FAT&amp;display_string=Audit&amp;VAR:KEY=ZMRORAVKXG&amp;VAR:QUERY=RkZfRUJJVERBX0lCKCdMVE1TJywzOTU3NCk=&amp;WINDOW=FIRST_POPUP&amp;HEIGHT=450&amp;WIDTH=450&amp;START_MA","XIMIZED=FALSE&amp;VAR:CALENDAR=US&amp;VAR:SYMBOL=04916420&amp;VAR:INDEX=0"}</definedName>
    <definedName name="_9796__FDSAUDITLINK__" localSheetId="6" hidden="1">{"fdsup://directions/FAT Viewer?action=UPDATE&amp;creator=factset&amp;DYN_ARGS=TRUE&amp;DOC_NAME=FAT:FQL_AUDITING_CLIENT_TEMPLATE.FAT&amp;display_string=Audit&amp;VAR:KEY=LGXKBGXYNW&amp;VAR:QUERY=RkZfRUJJVERBX0lCKCdMVE1TJywzOTU3Myk=&amp;WINDOW=FIRST_POPUP&amp;HEIGHT=450&amp;WIDTH=450&amp;START_MA","XIMIZED=FALSE&amp;VAR:CALENDAR=US&amp;VAR:SYMBOL=04916420&amp;VAR:INDEX=0"}</definedName>
    <definedName name="_9796__FDSAUDITLINK__" hidden="1">{"fdsup://directions/FAT Viewer?action=UPDATE&amp;creator=factset&amp;DYN_ARGS=TRUE&amp;DOC_NAME=FAT:FQL_AUDITING_CLIENT_TEMPLATE.FAT&amp;display_string=Audit&amp;VAR:KEY=LGXKBGXYNW&amp;VAR:QUERY=RkZfRUJJVERBX0lCKCdMVE1TJywzOTU3Myk=&amp;WINDOW=FIRST_POPUP&amp;HEIGHT=450&amp;WIDTH=450&amp;START_MA","XIMIZED=FALSE&amp;VAR:CALENDAR=US&amp;VAR:SYMBOL=04916420&amp;VAR:INDEX=0"}</definedName>
    <definedName name="_9797__FDSAUDITLINK__" localSheetId="6" hidden="1">{"fdsup://directions/FAT Viewer?action=UPDATE&amp;creator=factset&amp;DYN_ARGS=TRUE&amp;DOC_NAME=FAT:FQL_AUDITING_CLIENT_TEMPLATE.FAT&amp;display_string=Audit&amp;VAR:KEY=BCHCFMDSDM&amp;VAR:QUERY=RkZfRUJJVERBX0lCKCdMVE1TJywzOTU3Mik=&amp;WINDOW=FIRST_POPUP&amp;HEIGHT=450&amp;WIDTH=450&amp;START_MA","XIMIZED=FALSE&amp;VAR:CALENDAR=US&amp;VAR:SYMBOL=04916420&amp;VAR:INDEX=0"}</definedName>
    <definedName name="_9797__FDSAUDITLINK__" hidden="1">{"fdsup://directions/FAT Viewer?action=UPDATE&amp;creator=factset&amp;DYN_ARGS=TRUE&amp;DOC_NAME=FAT:FQL_AUDITING_CLIENT_TEMPLATE.FAT&amp;display_string=Audit&amp;VAR:KEY=BCHCFMDSDM&amp;VAR:QUERY=RkZfRUJJVERBX0lCKCdMVE1TJywzOTU3Mik=&amp;WINDOW=FIRST_POPUP&amp;HEIGHT=450&amp;WIDTH=450&amp;START_MA","XIMIZED=FALSE&amp;VAR:CALENDAR=US&amp;VAR:SYMBOL=04916420&amp;VAR:INDEX=0"}</definedName>
    <definedName name="_9798__FDSAUDITLINK__" localSheetId="6" hidden="1">{"fdsup://directions/FAT Viewer?action=UPDATE&amp;creator=factset&amp;DYN_ARGS=TRUE&amp;DOC_NAME=FAT:FQL_AUDITING_CLIENT_TEMPLATE.FAT&amp;display_string=Audit&amp;VAR:KEY=ZKDGDSTYRO&amp;VAR:QUERY=RkZfRUJJVERBX0lCKCdMVE1TJywzOTU3MSk=&amp;WINDOW=FIRST_POPUP&amp;HEIGHT=450&amp;WIDTH=450&amp;START_MA","XIMIZED=FALSE&amp;VAR:CALENDAR=US&amp;VAR:SYMBOL=04916420&amp;VAR:INDEX=0"}</definedName>
    <definedName name="_9798__FDSAUDITLINK__" hidden="1">{"fdsup://directions/FAT Viewer?action=UPDATE&amp;creator=factset&amp;DYN_ARGS=TRUE&amp;DOC_NAME=FAT:FQL_AUDITING_CLIENT_TEMPLATE.FAT&amp;display_string=Audit&amp;VAR:KEY=ZKDGDSTYRO&amp;VAR:QUERY=RkZfRUJJVERBX0lCKCdMVE1TJywzOTU3MSk=&amp;WINDOW=FIRST_POPUP&amp;HEIGHT=450&amp;WIDTH=450&amp;START_MA","XIMIZED=FALSE&amp;VAR:CALENDAR=US&amp;VAR:SYMBOL=04916420&amp;VAR:INDEX=0"}</definedName>
    <definedName name="_9799__FDSAUDITLINK__" localSheetId="6" hidden="1">{"fdsup://directions/FAT Viewer?action=UPDATE&amp;creator=factset&amp;DYN_ARGS=TRUE&amp;DOC_NAME=FAT:FQL_AUDITING_CLIENT_TEMPLATE.FAT&amp;display_string=Audit&amp;VAR:KEY=HAVGZYJWHU&amp;VAR:QUERY=RkZfRUJJVERBX0lCKCdMVE1TJywzOTU3MCk=&amp;WINDOW=FIRST_POPUP&amp;HEIGHT=450&amp;WIDTH=450&amp;START_MA","XIMIZED=FALSE&amp;VAR:CALENDAR=US&amp;VAR:SYMBOL=04916420&amp;VAR:INDEX=0"}</definedName>
    <definedName name="_9799__FDSAUDITLINK__" hidden="1">{"fdsup://directions/FAT Viewer?action=UPDATE&amp;creator=factset&amp;DYN_ARGS=TRUE&amp;DOC_NAME=FAT:FQL_AUDITING_CLIENT_TEMPLATE.FAT&amp;display_string=Audit&amp;VAR:KEY=HAVGZYJWHU&amp;VAR:QUERY=RkZfRUJJVERBX0lCKCdMVE1TJywzOTU3MCk=&amp;WINDOW=FIRST_POPUP&amp;HEIGHT=450&amp;WIDTH=450&amp;START_MA","XIMIZED=FALSE&amp;VAR:CALENDAR=US&amp;VAR:SYMBOL=04916420&amp;VAR:INDEX=0"}</definedName>
    <definedName name="_98__FDSAUDITLINK__" localSheetId="6" hidden="1">{"fdsup://directions/FAT Viewer?action=UPDATE&amp;creator=factset&amp;DYN_ARGS=TRUE&amp;DOC_NAME=FAT:FQL_AUDITING_CLIENT_TEMPLATE.FAT&amp;display_string=Audit&amp;VAR:KEY=KDSXWLKXYV&amp;VAR:QUERY=QVZHKENTRl9ORVRfSU5DKEFOTiwwRlksLTZGWSxZKSkvKEFWRyhDU0ZfQVNTRVRTKEFOTiwwRlksLTZGWSxGW","SkpLUFWRyhDU0ZfSU5UQU5HKEFOTiwwLC02RlksRlkpKSk=&amp;WINDOW=FIRST_POPUP&amp;HEIGHT=450&amp;WIDTH=450&amp;START_MAXIMIZED=FALSE&amp;VAR:CALENDAR=US&amp;VAR:SYMBOL=EGLE"}</definedName>
    <definedName name="_98__FDSAUDITLINK__" hidden="1">{"fdsup://directions/FAT Viewer?action=UPDATE&amp;creator=factset&amp;DYN_ARGS=TRUE&amp;DOC_NAME=FAT:FQL_AUDITING_CLIENT_TEMPLATE.FAT&amp;display_string=Audit&amp;VAR:KEY=KDSXWLKXYV&amp;VAR:QUERY=QVZHKENTRl9ORVRfSU5DKEFOTiwwRlksLTZGWSxZKSkvKEFWRyhDU0ZfQVNTRVRTKEFOTiwwRlksLTZGWSxGW","SkpLUFWRyhDU0ZfSU5UQU5HKEFOTiwwLC02RlksRlkpKSk=&amp;WINDOW=FIRST_POPUP&amp;HEIGHT=450&amp;WIDTH=450&amp;START_MAXIMIZED=FALSE&amp;VAR:CALENDAR=US&amp;VAR:SYMBOL=EGLE"}</definedName>
    <definedName name="_980__FDSAUDITLINK__" localSheetId="6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0__FDSAUDITLINK__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00__FDSAUDITLINK__" localSheetId="6" hidden="1">{"fdsup://directions/FAT Viewer?action=UPDATE&amp;creator=factset&amp;DYN_ARGS=TRUE&amp;DOC_NAME=FAT:FQL_AUDITING_CLIENT_TEMPLATE.FAT&amp;display_string=Audit&amp;VAR:KEY=TOHQDGPOTU&amp;VAR:QUERY=RkZfRUJJVERBX0lCKCdMVE1TJywzOTU2OSk=&amp;WINDOW=FIRST_POPUP&amp;HEIGHT=450&amp;WIDTH=450&amp;START_MA","XIMIZED=FALSE&amp;VAR:CALENDAR=US&amp;VAR:SYMBOL=04916420&amp;VAR:INDEX=0"}</definedName>
    <definedName name="_9800__FDSAUDITLINK__" hidden="1">{"fdsup://directions/FAT Viewer?action=UPDATE&amp;creator=factset&amp;DYN_ARGS=TRUE&amp;DOC_NAME=FAT:FQL_AUDITING_CLIENT_TEMPLATE.FAT&amp;display_string=Audit&amp;VAR:KEY=TOHQDGPOTU&amp;VAR:QUERY=RkZfRUJJVERBX0lCKCdMVE1TJywzOTU2OSk=&amp;WINDOW=FIRST_POPUP&amp;HEIGHT=450&amp;WIDTH=450&amp;START_MA","XIMIZED=FALSE&amp;VAR:CALENDAR=US&amp;VAR:SYMBOL=04916420&amp;VAR:INDEX=0"}</definedName>
    <definedName name="_9801__FDSAUDITLINK__" localSheetId="6" hidden="1">{"fdsup://directions/FAT Viewer?action=UPDATE&amp;creator=factset&amp;DYN_ARGS=TRUE&amp;DOC_NAME=FAT:FQL_AUDITING_CLIENT_TEMPLATE.FAT&amp;display_string=Audit&amp;VAR:KEY=ZURAZQXKLC&amp;VAR:QUERY=RkZfRUJJVERBX0lCKCdMVE1TJywzOTU2OCk=&amp;WINDOW=FIRST_POPUP&amp;HEIGHT=450&amp;WIDTH=450&amp;START_MA","XIMIZED=FALSE&amp;VAR:CALENDAR=US&amp;VAR:SYMBOL=04916420&amp;VAR:INDEX=0"}</definedName>
    <definedName name="_9801__FDSAUDITLINK__" hidden="1">{"fdsup://directions/FAT Viewer?action=UPDATE&amp;creator=factset&amp;DYN_ARGS=TRUE&amp;DOC_NAME=FAT:FQL_AUDITING_CLIENT_TEMPLATE.FAT&amp;display_string=Audit&amp;VAR:KEY=ZURAZQXKLC&amp;VAR:QUERY=RkZfRUJJVERBX0lCKCdMVE1TJywzOTU2OCk=&amp;WINDOW=FIRST_POPUP&amp;HEIGHT=450&amp;WIDTH=450&amp;START_MA","XIMIZED=FALSE&amp;VAR:CALENDAR=US&amp;VAR:SYMBOL=04916420&amp;VAR:INDEX=0"}</definedName>
    <definedName name="_9802__FDSAUDITLINK__" localSheetId="6" hidden="1">{"fdsup://directions/FAT Viewer?action=UPDATE&amp;creator=factset&amp;DYN_ARGS=TRUE&amp;DOC_NAME=FAT:FQL_AUDITING_CLIENT_TEMPLATE.FAT&amp;display_string=Audit&amp;VAR:KEY=DYJWJUDYVM&amp;VAR:QUERY=RkZfRUJJVERBX0lCKCdMVE1TJywzOTU2Nyk=&amp;WINDOW=FIRST_POPUP&amp;HEIGHT=450&amp;WIDTH=450&amp;START_MA","XIMIZED=FALSE&amp;VAR:CALENDAR=US&amp;VAR:SYMBOL=04916420&amp;VAR:INDEX=0"}</definedName>
    <definedName name="_9802__FDSAUDITLINK__" hidden="1">{"fdsup://directions/FAT Viewer?action=UPDATE&amp;creator=factset&amp;DYN_ARGS=TRUE&amp;DOC_NAME=FAT:FQL_AUDITING_CLIENT_TEMPLATE.FAT&amp;display_string=Audit&amp;VAR:KEY=DYJWJUDYVM&amp;VAR:QUERY=RkZfRUJJVERBX0lCKCdMVE1TJywzOTU2Nyk=&amp;WINDOW=FIRST_POPUP&amp;HEIGHT=450&amp;WIDTH=450&amp;START_MA","XIMIZED=FALSE&amp;VAR:CALENDAR=US&amp;VAR:SYMBOL=04916420&amp;VAR:INDEX=0"}</definedName>
    <definedName name="_9803__FDSAUDITLINK__" localSheetId="6" hidden="1">{"fdsup://directions/FAT Viewer?action=UPDATE&amp;creator=factset&amp;DYN_ARGS=TRUE&amp;DOC_NAME=FAT:FQL_AUDITING_CLIENT_TEMPLATE.FAT&amp;display_string=Audit&amp;VAR:KEY=DCBYRETQLY&amp;VAR:QUERY=RkZfRUJJVERBX0lCKCdMVE1TJywzOTU2Nik=&amp;WINDOW=FIRST_POPUP&amp;HEIGHT=450&amp;WIDTH=450&amp;START_MA","XIMIZED=FALSE&amp;VAR:CALENDAR=US&amp;VAR:SYMBOL=04916420&amp;VAR:INDEX=0"}</definedName>
    <definedName name="_9803__FDSAUDITLINK__" hidden="1">{"fdsup://directions/FAT Viewer?action=UPDATE&amp;creator=factset&amp;DYN_ARGS=TRUE&amp;DOC_NAME=FAT:FQL_AUDITING_CLIENT_TEMPLATE.FAT&amp;display_string=Audit&amp;VAR:KEY=DCBYRETQLY&amp;VAR:QUERY=RkZfRUJJVERBX0lCKCdMVE1TJywzOTU2Nik=&amp;WINDOW=FIRST_POPUP&amp;HEIGHT=450&amp;WIDTH=450&amp;START_MA","XIMIZED=FALSE&amp;VAR:CALENDAR=US&amp;VAR:SYMBOL=04916420&amp;VAR:INDEX=0"}</definedName>
    <definedName name="_9804__FDSAUDITLINK__" localSheetId="6" hidden="1">{"fdsup://directions/FAT Viewer?action=UPDATE&amp;creator=factset&amp;DYN_ARGS=TRUE&amp;DOC_NAME=FAT:FQL_AUDITING_CLIENT_TEMPLATE.FAT&amp;display_string=Audit&amp;VAR:KEY=POVCNCLORS&amp;VAR:QUERY=RkZfRUJJVERBX0lCKCdMVE1TJywzOTU2NSk=&amp;WINDOW=FIRST_POPUP&amp;HEIGHT=450&amp;WIDTH=450&amp;START_MA","XIMIZED=FALSE&amp;VAR:CALENDAR=US&amp;VAR:SYMBOL=04916420&amp;VAR:INDEX=0"}</definedName>
    <definedName name="_9804__FDSAUDITLINK__" hidden="1">{"fdsup://directions/FAT Viewer?action=UPDATE&amp;creator=factset&amp;DYN_ARGS=TRUE&amp;DOC_NAME=FAT:FQL_AUDITING_CLIENT_TEMPLATE.FAT&amp;display_string=Audit&amp;VAR:KEY=POVCNCLORS&amp;VAR:QUERY=RkZfRUJJVERBX0lCKCdMVE1TJywzOTU2NSk=&amp;WINDOW=FIRST_POPUP&amp;HEIGHT=450&amp;WIDTH=450&amp;START_MA","XIMIZED=FALSE&amp;VAR:CALENDAR=US&amp;VAR:SYMBOL=04916420&amp;VAR:INDEX=0"}</definedName>
    <definedName name="_9805__FDSAUDITLINK__" localSheetId="6" hidden="1">{"fdsup://directions/FAT Viewer?action=UPDATE&amp;creator=factset&amp;DYN_ARGS=TRUE&amp;DOC_NAME=FAT:FQL_AUDITING_CLIENT_TEMPLATE.FAT&amp;display_string=Audit&amp;VAR:KEY=JYVWXSRIHW&amp;VAR:QUERY=RkZfRUJJVERBX0lCKCdMVE1TJywzOTU2NCk=&amp;WINDOW=FIRST_POPUP&amp;HEIGHT=450&amp;WIDTH=450&amp;START_MA","XIMIZED=FALSE&amp;VAR:CALENDAR=US&amp;VAR:SYMBOL=04916420&amp;VAR:INDEX=0"}</definedName>
    <definedName name="_9805__FDSAUDITLINK__" hidden="1">{"fdsup://directions/FAT Viewer?action=UPDATE&amp;creator=factset&amp;DYN_ARGS=TRUE&amp;DOC_NAME=FAT:FQL_AUDITING_CLIENT_TEMPLATE.FAT&amp;display_string=Audit&amp;VAR:KEY=JYVWXSRIHW&amp;VAR:QUERY=RkZfRUJJVERBX0lCKCdMVE1TJywzOTU2NCk=&amp;WINDOW=FIRST_POPUP&amp;HEIGHT=450&amp;WIDTH=450&amp;START_MA","XIMIZED=FALSE&amp;VAR:CALENDAR=US&amp;VAR:SYMBOL=04916420&amp;VAR:INDEX=0"}</definedName>
    <definedName name="_9806__FDSAUDITLINK__" localSheetId="6" hidden="1">{"fdsup://directions/FAT Viewer?action=UPDATE&amp;creator=factset&amp;DYN_ARGS=TRUE&amp;DOC_NAME=FAT:FQL_AUDITING_CLIENT_TEMPLATE.FAT&amp;display_string=Audit&amp;VAR:KEY=TIVOFGVEVC&amp;VAR:QUERY=RkZfRUJJVERBX0lCKCdMVE1TJywzOTU2Myk=&amp;WINDOW=FIRST_POPUP&amp;HEIGHT=450&amp;WIDTH=450&amp;START_MA","XIMIZED=FALSE&amp;VAR:CALENDAR=US&amp;VAR:SYMBOL=04916420&amp;VAR:INDEX=0"}</definedName>
    <definedName name="_9806__FDSAUDITLINK__" hidden="1">{"fdsup://directions/FAT Viewer?action=UPDATE&amp;creator=factset&amp;DYN_ARGS=TRUE&amp;DOC_NAME=FAT:FQL_AUDITING_CLIENT_TEMPLATE.FAT&amp;display_string=Audit&amp;VAR:KEY=TIVOFGVEVC&amp;VAR:QUERY=RkZfRUJJVERBX0lCKCdMVE1TJywzOTU2Myk=&amp;WINDOW=FIRST_POPUP&amp;HEIGHT=450&amp;WIDTH=450&amp;START_MA","XIMIZED=FALSE&amp;VAR:CALENDAR=US&amp;VAR:SYMBOL=04916420&amp;VAR:INDEX=0"}</definedName>
    <definedName name="_9807__FDSAUDITLINK__" localSheetId="6" hidden="1">{"fdsup://directions/FAT Viewer?action=UPDATE&amp;creator=factset&amp;DYN_ARGS=TRUE&amp;DOC_NAME=FAT:FQL_AUDITING_CLIENT_TEMPLATE.FAT&amp;display_string=Audit&amp;VAR:KEY=LOPYDMTQXO&amp;VAR:QUERY=RkZfRUJJVERBX0lCKCdMVE1TJywzOTU2Mik=&amp;WINDOW=FIRST_POPUP&amp;HEIGHT=450&amp;WIDTH=450&amp;START_MA","XIMIZED=FALSE&amp;VAR:CALENDAR=US&amp;VAR:SYMBOL=04916420&amp;VAR:INDEX=0"}</definedName>
    <definedName name="_9807__FDSAUDITLINK__" hidden="1">{"fdsup://directions/FAT Viewer?action=UPDATE&amp;creator=factset&amp;DYN_ARGS=TRUE&amp;DOC_NAME=FAT:FQL_AUDITING_CLIENT_TEMPLATE.FAT&amp;display_string=Audit&amp;VAR:KEY=LOPYDMTQXO&amp;VAR:QUERY=RkZfRUJJVERBX0lCKCdMVE1TJywzOTU2Mik=&amp;WINDOW=FIRST_POPUP&amp;HEIGHT=450&amp;WIDTH=450&amp;START_MA","XIMIZED=FALSE&amp;VAR:CALENDAR=US&amp;VAR:SYMBOL=04916420&amp;VAR:INDEX=0"}</definedName>
    <definedName name="_9808__FDSAUDITLINK__" localSheetId="6" hidden="1">{"fdsup://directions/FAT Viewer?action=UPDATE&amp;creator=factset&amp;DYN_ARGS=TRUE&amp;DOC_NAME=FAT:FQL_AUDITING_CLIENT_TEMPLATE.FAT&amp;display_string=Audit&amp;VAR:KEY=BETQJKHUJU&amp;VAR:QUERY=RkZfRUJJVERBX0lCKCdMVE1TJywzOTU2MSk=&amp;WINDOW=FIRST_POPUP&amp;HEIGHT=450&amp;WIDTH=450&amp;START_MA","XIMIZED=FALSE&amp;VAR:CALENDAR=US&amp;VAR:SYMBOL=04916420&amp;VAR:INDEX=0"}</definedName>
    <definedName name="_9808__FDSAUDITLINK__" hidden="1">{"fdsup://directions/FAT Viewer?action=UPDATE&amp;creator=factset&amp;DYN_ARGS=TRUE&amp;DOC_NAME=FAT:FQL_AUDITING_CLIENT_TEMPLATE.FAT&amp;display_string=Audit&amp;VAR:KEY=BETQJKHUJU&amp;VAR:QUERY=RkZfRUJJVERBX0lCKCdMVE1TJywzOTU2MSk=&amp;WINDOW=FIRST_POPUP&amp;HEIGHT=450&amp;WIDTH=450&amp;START_MA","XIMIZED=FALSE&amp;VAR:CALENDAR=US&amp;VAR:SYMBOL=04916420&amp;VAR:INDEX=0"}</definedName>
    <definedName name="_9809__FDSAUDITLINK__" localSheetId="6" hidden="1">{"fdsup://directions/FAT Viewer?action=UPDATE&amp;creator=factset&amp;DYN_ARGS=TRUE&amp;DOC_NAME=FAT:FQL_AUDITING_CLIENT_TEMPLATE.FAT&amp;display_string=Audit&amp;VAR:KEY=XMJKVIDAFY&amp;VAR:QUERY=RkZfRUJJVERBX0lCKCdMVE1TJywzOTU2MCk=&amp;WINDOW=FIRST_POPUP&amp;HEIGHT=450&amp;WIDTH=450&amp;START_MA","XIMIZED=FALSE&amp;VAR:CALENDAR=US&amp;VAR:SYMBOL=04916420&amp;VAR:INDEX=0"}</definedName>
    <definedName name="_9809__FDSAUDITLINK__" hidden="1">{"fdsup://directions/FAT Viewer?action=UPDATE&amp;creator=factset&amp;DYN_ARGS=TRUE&amp;DOC_NAME=FAT:FQL_AUDITING_CLIENT_TEMPLATE.FAT&amp;display_string=Audit&amp;VAR:KEY=XMJKVIDAFY&amp;VAR:QUERY=RkZfRUJJVERBX0lCKCdMVE1TJywzOTU2MCk=&amp;WINDOW=FIRST_POPUP&amp;HEIGHT=450&amp;WIDTH=450&amp;START_MA","XIMIZED=FALSE&amp;VAR:CALENDAR=US&amp;VAR:SYMBOL=04916420&amp;VAR:INDEX=0"}</definedName>
    <definedName name="_981__FDSAUDITLINK__" localSheetId="6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1__FDSAUDITLINK__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10__FDSAUDITLINK__" localSheetId="6" hidden="1">{"fdsup://directions/FAT Viewer?action=UPDATE&amp;creator=factset&amp;DYN_ARGS=TRUE&amp;DOC_NAME=FAT:FQL_AUDITING_CLIENT_TEMPLATE.FAT&amp;display_string=Audit&amp;VAR:KEY=ZUXYVEZUTE&amp;VAR:QUERY=RkZfRUJJVERBX0lCKCdMVE1TJywzOTU1OSk=&amp;WINDOW=FIRST_POPUP&amp;HEIGHT=450&amp;WIDTH=450&amp;START_MA","XIMIZED=FALSE&amp;VAR:CALENDAR=US&amp;VAR:SYMBOL=04916420&amp;VAR:INDEX=0"}</definedName>
    <definedName name="_9810__FDSAUDITLINK__" hidden="1">{"fdsup://directions/FAT Viewer?action=UPDATE&amp;creator=factset&amp;DYN_ARGS=TRUE&amp;DOC_NAME=FAT:FQL_AUDITING_CLIENT_TEMPLATE.FAT&amp;display_string=Audit&amp;VAR:KEY=ZUXYVEZUTE&amp;VAR:QUERY=RkZfRUJJVERBX0lCKCdMVE1TJywzOTU1OSk=&amp;WINDOW=FIRST_POPUP&amp;HEIGHT=450&amp;WIDTH=450&amp;START_MA","XIMIZED=FALSE&amp;VAR:CALENDAR=US&amp;VAR:SYMBOL=04916420&amp;VAR:INDEX=0"}</definedName>
    <definedName name="_9811__FDSAUDITLINK__" localSheetId="6" hidden="1">{"fdsup://directions/FAT Viewer?action=UPDATE&amp;creator=factset&amp;DYN_ARGS=TRUE&amp;DOC_NAME=FAT:FQL_AUDITING_CLIENT_TEMPLATE.FAT&amp;display_string=Audit&amp;VAR:KEY=XUNWBWBING&amp;VAR:QUERY=RkZfRUJJVERBX0lCKCdMVE1TJywzOTU1OCk=&amp;WINDOW=FIRST_POPUP&amp;HEIGHT=450&amp;WIDTH=450&amp;START_MA","XIMIZED=FALSE&amp;VAR:CALENDAR=US&amp;VAR:SYMBOL=04916420&amp;VAR:INDEX=0"}</definedName>
    <definedName name="_9811__FDSAUDITLINK__" hidden="1">{"fdsup://directions/FAT Viewer?action=UPDATE&amp;creator=factset&amp;DYN_ARGS=TRUE&amp;DOC_NAME=FAT:FQL_AUDITING_CLIENT_TEMPLATE.FAT&amp;display_string=Audit&amp;VAR:KEY=XUNWBWBING&amp;VAR:QUERY=RkZfRUJJVERBX0lCKCdMVE1TJywzOTU1OCk=&amp;WINDOW=FIRST_POPUP&amp;HEIGHT=450&amp;WIDTH=450&amp;START_MA","XIMIZED=FALSE&amp;VAR:CALENDAR=US&amp;VAR:SYMBOL=04916420&amp;VAR:INDEX=0"}</definedName>
    <definedName name="_9812__FDSAUDITLINK__" localSheetId="6" hidden="1">{"fdsup://directions/FAT Viewer?action=UPDATE&amp;creator=factset&amp;DYN_ARGS=TRUE&amp;DOC_NAME=FAT:FQL_AUDITING_CLIENT_TEMPLATE.FAT&amp;display_string=Audit&amp;VAR:KEY=HQVAVWTWXI&amp;VAR:QUERY=RkZfRUJJVERBX0lCKCdMVE1TJywzOTU1Nyk=&amp;WINDOW=FIRST_POPUP&amp;HEIGHT=450&amp;WIDTH=450&amp;START_MA","XIMIZED=FALSE&amp;VAR:CALENDAR=US&amp;VAR:SYMBOL=04916420&amp;VAR:INDEX=0"}</definedName>
    <definedName name="_9812__FDSAUDITLINK__" hidden="1">{"fdsup://directions/FAT Viewer?action=UPDATE&amp;creator=factset&amp;DYN_ARGS=TRUE&amp;DOC_NAME=FAT:FQL_AUDITING_CLIENT_TEMPLATE.FAT&amp;display_string=Audit&amp;VAR:KEY=HQVAVWTWXI&amp;VAR:QUERY=RkZfRUJJVERBX0lCKCdMVE1TJywzOTU1Nyk=&amp;WINDOW=FIRST_POPUP&amp;HEIGHT=450&amp;WIDTH=450&amp;START_MA","XIMIZED=FALSE&amp;VAR:CALENDAR=US&amp;VAR:SYMBOL=04916420&amp;VAR:INDEX=0"}</definedName>
    <definedName name="_9813__FDSAUDITLINK__" localSheetId="6" hidden="1">{"fdsup://directions/FAT Viewer?action=UPDATE&amp;creator=factset&amp;DYN_ARGS=TRUE&amp;DOC_NAME=FAT:FQL_AUDITING_CLIENT_TEMPLATE.FAT&amp;display_string=Audit&amp;VAR:KEY=FQHSBANAHK&amp;VAR:QUERY=RkZfRUJJVERBX0lCKCdMVE1TJywzOTU1Nik=&amp;WINDOW=FIRST_POPUP&amp;HEIGHT=450&amp;WIDTH=450&amp;START_MA","XIMIZED=FALSE&amp;VAR:CALENDAR=US&amp;VAR:SYMBOL=04916420&amp;VAR:INDEX=0"}</definedName>
    <definedName name="_9813__FDSAUDITLINK__" hidden="1">{"fdsup://directions/FAT Viewer?action=UPDATE&amp;creator=factset&amp;DYN_ARGS=TRUE&amp;DOC_NAME=FAT:FQL_AUDITING_CLIENT_TEMPLATE.FAT&amp;display_string=Audit&amp;VAR:KEY=FQHSBANAHK&amp;VAR:QUERY=RkZfRUJJVERBX0lCKCdMVE1TJywzOTU1Nik=&amp;WINDOW=FIRST_POPUP&amp;HEIGHT=450&amp;WIDTH=450&amp;START_MA","XIMIZED=FALSE&amp;VAR:CALENDAR=US&amp;VAR:SYMBOL=04916420&amp;VAR:INDEX=0"}</definedName>
    <definedName name="_9814__FDSAUDITLINK__" localSheetId="6" hidden="1">{"fdsup://directions/FAT Viewer?action=UPDATE&amp;creator=factset&amp;DYN_ARGS=TRUE&amp;DOC_NAME=FAT:FQL_AUDITING_CLIENT_TEMPLATE.FAT&amp;display_string=Audit&amp;VAR:KEY=ZMFITULWBY&amp;VAR:QUERY=RkZfRUJJVERBX0lCKCdMVE1TJywzOTU1NSk=&amp;WINDOW=FIRST_POPUP&amp;HEIGHT=450&amp;WIDTH=450&amp;START_MA","XIMIZED=FALSE&amp;VAR:CALENDAR=US&amp;VAR:SYMBOL=04916420&amp;VAR:INDEX=0"}</definedName>
    <definedName name="_9814__FDSAUDITLINK__" hidden="1">{"fdsup://directions/FAT Viewer?action=UPDATE&amp;creator=factset&amp;DYN_ARGS=TRUE&amp;DOC_NAME=FAT:FQL_AUDITING_CLIENT_TEMPLATE.FAT&amp;display_string=Audit&amp;VAR:KEY=ZMFITULWBY&amp;VAR:QUERY=RkZfRUJJVERBX0lCKCdMVE1TJywzOTU1NSk=&amp;WINDOW=FIRST_POPUP&amp;HEIGHT=450&amp;WIDTH=450&amp;START_MA","XIMIZED=FALSE&amp;VAR:CALENDAR=US&amp;VAR:SYMBOL=04916420&amp;VAR:INDEX=0"}</definedName>
    <definedName name="_9815__FDSAUDITLINK__" localSheetId="6" hidden="1">{"fdsup://directions/FAT Viewer?action=UPDATE&amp;creator=factset&amp;DYN_ARGS=TRUE&amp;DOC_NAME=FAT:FQL_AUDITING_CLIENT_TEMPLATE.FAT&amp;display_string=Audit&amp;VAR:KEY=DWZONQNKPW&amp;VAR:QUERY=RkZfRUJJVERBX0lCKCdMVE1TJywzOTU1NCk=&amp;WINDOW=FIRST_POPUP&amp;HEIGHT=450&amp;WIDTH=450&amp;START_MA","XIMIZED=FALSE&amp;VAR:CALENDAR=US&amp;VAR:SYMBOL=04916420&amp;VAR:INDEX=0"}</definedName>
    <definedName name="_9815__FDSAUDITLINK__" hidden="1">{"fdsup://directions/FAT Viewer?action=UPDATE&amp;creator=factset&amp;DYN_ARGS=TRUE&amp;DOC_NAME=FAT:FQL_AUDITING_CLIENT_TEMPLATE.FAT&amp;display_string=Audit&amp;VAR:KEY=DWZONQNKPW&amp;VAR:QUERY=RkZfRUJJVERBX0lCKCdMVE1TJywzOTU1NCk=&amp;WINDOW=FIRST_POPUP&amp;HEIGHT=450&amp;WIDTH=450&amp;START_MA","XIMIZED=FALSE&amp;VAR:CALENDAR=US&amp;VAR:SYMBOL=04916420&amp;VAR:INDEX=0"}</definedName>
    <definedName name="_9816__FDSAUDITLINK__" localSheetId="6" hidden="1">{"fdsup://directions/FAT Viewer?action=UPDATE&amp;creator=factset&amp;DYN_ARGS=TRUE&amp;DOC_NAME=FAT:FQL_AUDITING_CLIENT_TEMPLATE.FAT&amp;display_string=Audit&amp;VAR:KEY=BEBKPAHGHA&amp;VAR:QUERY=RkZfRUJJVERBX0lCKCdMVE1TJywzOTU1Myk=&amp;WINDOW=FIRST_POPUP&amp;HEIGHT=450&amp;WIDTH=450&amp;START_MA","XIMIZED=FALSE&amp;VAR:CALENDAR=US&amp;VAR:SYMBOL=04916420&amp;VAR:INDEX=0"}</definedName>
    <definedName name="_9816__FDSAUDITLINK__" hidden="1">{"fdsup://directions/FAT Viewer?action=UPDATE&amp;creator=factset&amp;DYN_ARGS=TRUE&amp;DOC_NAME=FAT:FQL_AUDITING_CLIENT_TEMPLATE.FAT&amp;display_string=Audit&amp;VAR:KEY=BEBKPAHGHA&amp;VAR:QUERY=RkZfRUJJVERBX0lCKCdMVE1TJywzOTU1Myk=&amp;WINDOW=FIRST_POPUP&amp;HEIGHT=450&amp;WIDTH=450&amp;START_MA","XIMIZED=FALSE&amp;VAR:CALENDAR=US&amp;VAR:SYMBOL=04916420&amp;VAR:INDEX=0"}</definedName>
    <definedName name="_9817__FDSAUDITLINK__" localSheetId="6" hidden="1">{"fdsup://directions/FAT Viewer?action=UPDATE&amp;creator=factset&amp;DYN_ARGS=TRUE&amp;DOC_NAME=FAT:FQL_AUDITING_CLIENT_TEMPLATE.FAT&amp;display_string=Audit&amp;VAR:KEY=DYZANOBYLS&amp;VAR:QUERY=RkZfRUJJVERBX0lCKCdMVE1TJywzOTU1Mik=&amp;WINDOW=FIRST_POPUP&amp;HEIGHT=450&amp;WIDTH=450&amp;START_MA","XIMIZED=FALSE&amp;VAR:CALENDAR=US&amp;VAR:SYMBOL=04916420&amp;VAR:INDEX=0"}</definedName>
    <definedName name="_9817__FDSAUDITLINK__" hidden="1">{"fdsup://directions/FAT Viewer?action=UPDATE&amp;creator=factset&amp;DYN_ARGS=TRUE&amp;DOC_NAME=FAT:FQL_AUDITING_CLIENT_TEMPLATE.FAT&amp;display_string=Audit&amp;VAR:KEY=DYZANOBYLS&amp;VAR:QUERY=RkZfRUJJVERBX0lCKCdMVE1TJywzOTU1Mik=&amp;WINDOW=FIRST_POPUP&amp;HEIGHT=450&amp;WIDTH=450&amp;START_MA","XIMIZED=FALSE&amp;VAR:CALENDAR=US&amp;VAR:SYMBOL=04916420&amp;VAR:INDEX=0"}</definedName>
    <definedName name="_9818__FDSAUDITLINK__" localSheetId="6" hidden="1">{"fdsup://directions/FAT Viewer?action=UPDATE&amp;creator=factset&amp;DYN_ARGS=TRUE&amp;DOC_NAME=FAT:FQL_AUDITING_CLIENT_TEMPLATE.FAT&amp;display_string=Audit&amp;VAR:KEY=FKBWXIBYRU&amp;VAR:QUERY=RkZfRUJJVERBX0lCKCdMVE1TJywzOTU1MSk=&amp;WINDOW=FIRST_POPUP&amp;HEIGHT=450&amp;WIDTH=450&amp;START_MA","XIMIZED=FALSE&amp;VAR:CALENDAR=US&amp;VAR:SYMBOL=04916420&amp;VAR:INDEX=0"}</definedName>
    <definedName name="_9818__FDSAUDITLINK__" hidden="1">{"fdsup://directions/FAT Viewer?action=UPDATE&amp;creator=factset&amp;DYN_ARGS=TRUE&amp;DOC_NAME=FAT:FQL_AUDITING_CLIENT_TEMPLATE.FAT&amp;display_string=Audit&amp;VAR:KEY=FKBWXIBYRU&amp;VAR:QUERY=RkZfRUJJVERBX0lCKCdMVE1TJywzOTU1MSk=&amp;WINDOW=FIRST_POPUP&amp;HEIGHT=450&amp;WIDTH=450&amp;START_MA","XIMIZED=FALSE&amp;VAR:CALENDAR=US&amp;VAR:SYMBOL=04916420&amp;VAR:INDEX=0"}</definedName>
    <definedName name="_9819__FDSAUDITLINK__" localSheetId="6" hidden="1">{"fdsup://directions/FAT Viewer?action=UPDATE&amp;creator=factset&amp;DYN_ARGS=TRUE&amp;DOC_NAME=FAT:FQL_AUDITING_CLIENT_TEMPLATE.FAT&amp;display_string=Audit&amp;VAR:KEY=JGLOBYXIPE&amp;VAR:QUERY=RkZfRUJJVERBX0lCKCdMVE1TJywzOTU1MCk=&amp;WINDOW=FIRST_POPUP&amp;HEIGHT=450&amp;WIDTH=450&amp;START_MA","XIMIZED=FALSE&amp;VAR:CALENDAR=US&amp;VAR:SYMBOL=04916420&amp;VAR:INDEX=0"}</definedName>
    <definedName name="_9819__FDSAUDITLINK__" hidden="1">{"fdsup://directions/FAT Viewer?action=UPDATE&amp;creator=factset&amp;DYN_ARGS=TRUE&amp;DOC_NAME=FAT:FQL_AUDITING_CLIENT_TEMPLATE.FAT&amp;display_string=Audit&amp;VAR:KEY=JGLOBYXIPE&amp;VAR:QUERY=RkZfRUJJVERBX0lCKCdMVE1TJywzOTU1MCk=&amp;WINDOW=FIRST_POPUP&amp;HEIGHT=450&amp;WIDTH=450&amp;START_MA","XIMIZED=FALSE&amp;VAR:CALENDAR=US&amp;VAR:SYMBOL=04916420&amp;VAR:INDEX=0"}</definedName>
    <definedName name="_982__FDSAUDITLINK__" localSheetId="6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2__FDSAUDITLINK__" hidden="1">{"fdsup://directions/FAT%20Viewer?VAR:PED=LTM&amp;VAR:AUDIT_MODE=SUMMARY&amp;VAR:PERIOD=FIXED&amp;VAR:AUDIT_ID=00000117&amp;VAR:DATE=20070615&amp;action=UPDATE&amp;creator=factset&amp;DOC_NAME=FAT:FMA_audit_SUMMARY.fat&amp;DISPLAY_STRING=Display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20__FDSAUDITLINK__" localSheetId="6" hidden="1">{"fdsup://directions/FAT Viewer?action=UPDATE&amp;creator=factset&amp;DYN_ARGS=TRUE&amp;DOC_NAME=FAT:FQL_AUDITING_CLIENT_TEMPLATE.FAT&amp;display_string=Audit&amp;VAR:KEY=VWHAJSPYXA&amp;VAR:QUERY=RkZfRUJJVERBX0lCKCdMVE1TJywzOTU0OSk=&amp;WINDOW=FIRST_POPUP&amp;HEIGHT=450&amp;WIDTH=450&amp;START_MA","XIMIZED=FALSE&amp;VAR:CALENDAR=US&amp;VAR:SYMBOL=04916420&amp;VAR:INDEX=0"}</definedName>
    <definedName name="_9820__FDSAUDITLINK__" hidden="1">{"fdsup://directions/FAT Viewer?action=UPDATE&amp;creator=factset&amp;DYN_ARGS=TRUE&amp;DOC_NAME=FAT:FQL_AUDITING_CLIENT_TEMPLATE.FAT&amp;display_string=Audit&amp;VAR:KEY=VWHAJSPYXA&amp;VAR:QUERY=RkZfRUJJVERBX0lCKCdMVE1TJywzOTU0OSk=&amp;WINDOW=FIRST_POPUP&amp;HEIGHT=450&amp;WIDTH=450&amp;START_MA","XIMIZED=FALSE&amp;VAR:CALENDAR=US&amp;VAR:SYMBOL=04916420&amp;VAR:INDEX=0"}</definedName>
    <definedName name="_9821__FDSAUDITLINK__" localSheetId="6" hidden="1">{"fdsup://directions/FAT Viewer?action=UPDATE&amp;creator=factset&amp;DYN_ARGS=TRUE&amp;DOC_NAME=FAT:FQL_AUDITING_CLIENT_TEMPLATE.FAT&amp;display_string=Audit&amp;VAR:KEY=JYRYJOJYLY&amp;VAR:QUERY=RkZfRUJJVERBX0lCKCdMVE1TJywzOTU0OCk=&amp;WINDOW=FIRST_POPUP&amp;HEIGHT=450&amp;WIDTH=450&amp;START_MA","XIMIZED=FALSE&amp;VAR:CALENDAR=US&amp;VAR:SYMBOL=04916420&amp;VAR:INDEX=0"}</definedName>
    <definedName name="_9821__FDSAUDITLINK__" hidden="1">{"fdsup://directions/FAT Viewer?action=UPDATE&amp;creator=factset&amp;DYN_ARGS=TRUE&amp;DOC_NAME=FAT:FQL_AUDITING_CLIENT_TEMPLATE.FAT&amp;display_string=Audit&amp;VAR:KEY=JYRYJOJYLY&amp;VAR:QUERY=RkZfRUJJVERBX0lCKCdMVE1TJywzOTU0OCk=&amp;WINDOW=FIRST_POPUP&amp;HEIGHT=450&amp;WIDTH=450&amp;START_MA","XIMIZED=FALSE&amp;VAR:CALENDAR=US&amp;VAR:SYMBOL=04916420&amp;VAR:INDEX=0"}</definedName>
    <definedName name="_9822__FDSAUDITLINK__" localSheetId="6" hidden="1">{"fdsup://directions/FAT Viewer?action=UPDATE&amp;creator=factset&amp;DYN_ARGS=TRUE&amp;DOC_NAME=FAT:FQL_AUDITING_CLIENT_TEMPLATE.FAT&amp;display_string=Audit&amp;VAR:KEY=BMJKDEFEPK&amp;VAR:QUERY=RkZfRUJJVERBX0lCKCdMVE1TJywzOTU0Nyk=&amp;WINDOW=FIRST_POPUP&amp;HEIGHT=450&amp;WIDTH=450&amp;START_MA","XIMIZED=FALSE&amp;VAR:CALENDAR=US&amp;VAR:SYMBOL=04916420&amp;VAR:INDEX=0"}</definedName>
    <definedName name="_9822__FDSAUDITLINK__" hidden="1">{"fdsup://directions/FAT Viewer?action=UPDATE&amp;creator=factset&amp;DYN_ARGS=TRUE&amp;DOC_NAME=FAT:FQL_AUDITING_CLIENT_TEMPLATE.FAT&amp;display_string=Audit&amp;VAR:KEY=BMJKDEFEPK&amp;VAR:QUERY=RkZfRUJJVERBX0lCKCdMVE1TJywzOTU0Nyk=&amp;WINDOW=FIRST_POPUP&amp;HEIGHT=450&amp;WIDTH=450&amp;START_MA","XIMIZED=FALSE&amp;VAR:CALENDAR=US&amp;VAR:SYMBOL=04916420&amp;VAR:INDEX=0"}</definedName>
    <definedName name="_9823__FDSAUDITLINK__" localSheetId="6" hidden="1">{"fdsup://directions/FAT Viewer?action=UPDATE&amp;creator=factset&amp;DYN_ARGS=TRUE&amp;DOC_NAME=FAT:FQL_AUDITING_CLIENT_TEMPLATE.FAT&amp;display_string=Audit&amp;VAR:KEY=DGHSLKHONQ&amp;VAR:QUERY=RkZfRUJJVERBX0lCKCdMVE1TJywzOTU0Nik=&amp;WINDOW=FIRST_POPUP&amp;HEIGHT=450&amp;WIDTH=450&amp;START_MA","XIMIZED=FALSE&amp;VAR:CALENDAR=US&amp;VAR:SYMBOL=04916420&amp;VAR:INDEX=0"}</definedName>
    <definedName name="_9823__FDSAUDITLINK__" hidden="1">{"fdsup://directions/FAT Viewer?action=UPDATE&amp;creator=factset&amp;DYN_ARGS=TRUE&amp;DOC_NAME=FAT:FQL_AUDITING_CLIENT_TEMPLATE.FAT&amp;display_string=Audit&amp;VAR:KEY=DGHSLKHONQ&amp;VAR:QUERY=RkZfRUJJVERBX0lCKCdMVE1TJywzOTU0Nik=&amp;WINDOW=FIRST_POPUP&amp;HEIGHT=450&amp;WIDTH=450&amp;START_MA","XIMIZED=FALSE&amp;VAR:CALENDAR=US&amp;VAR:SYMBOL=04916420&amp;VAR:INDEX=0"}</definedName>
    <definedName name="_9824__FDSAUDITLINK__" localSheetId="6" hidden="1">{"fdsup://directions/FAT Viewer?action=UPDATE&amp;creator=factset&amp;DYN_ARGS=TRUE&amp;DOC_NAME=FAT:FQL_AUDITING_CLIENT_TEMPLATE.FAT&amp;display_string=Audit&amp;VAR:KEY=RSPIFUNOLG&amp;VAR:QUERY=RkZfRUJJVERBX0lCKCdMVE1TJywzOTU0NSk=&amp;WINDOW=FIRST_POPUP&amp;HEIGHT=450&amp;WIDTH=450&amp;START_MA","XIMIZED=FALSE&amp;VAR:CALENDAR=US&amp;VAR:SYMBOL=04916420&amp;VAR:INDEX=0"}</definedName>
    <definedName name="_9824__FDSAUDITLINK__" hidden="1">{"fdsup://directions/FAT Viewer?action=UPDATE&amp;creator=factset&amp;DYN_ARGS=TRUE&amp;DOC_NAME=FAT:FQL_AUDITING_CLIENT_TEMPLATE.FAT&amp;display_string=Audit&amp;VAR:KEY=RSPIFUNOLG&amp;VAR:QUERY=RkZfRUJJVERBX0lCKCdMVE1TJywzOTU0NSk=&amp;WINDOW=FIRST_POPUP&amp;HEIGHT=450&amp;WIDTH=450&amp;START_MA","XIMIZED=FALSE&amp;VAR:CALENDAR=US&amp;VAR:SYMBOL=04916420&amp;VAR:INDEX=0"}</definedName>
    <definedName name="_9825__FDSAUDITLINK__" localSheetId="6" hidden="1">{"fdsup://directions/FAT Viewer?action=UPDATE&amp;creator=factset&amp;DYN_ARGS=TRUE&amp;DOC_NAME=FAT:FQL_AUDITING_CLIENT_TEMPLATE.FAT&amp;display_string=Audit&amp;VAR:KEY=TINYNMFYLC&amp;VAR:QUERY=RkZfRUJJVERBX0lCKCdMVE1TJywzOTU0NCk=&amp;WINDOW=FIRST_POPUP&amp;HEIGHT=450&amp;WIDTH=450&amp;START_MA","XIMIZED=FALSE&amp;VAR:CALENDAR=US&amp;VAR:SYMBOL=04916420&amp;VAR:INDEX=0"}</definedName>
    <definedName name="_9825__FDSAUDITLINK__" hidden="1">{"fdsup://directions/FAT Viewer?action=UPDATE&amp;creator=factset&amp;DYN_ARGS=TRUE&amp;DOC_NAME=FAT:FQL_AUDITING_CLIENT_TEMPLATE.FAT&amp;display_string=Audit&amp;VAR:KEY=TINYNMFYLC&amp;VAR:QUERY=RkZfRUJJVERBX0lCKCdMVE1TJywzOTU0NCk=&amp;WINDOW=FIRST_POPUP&amp;HEIGHT=450&amp;WIDTH=450&amp;START_MA","XIMIZED=FALSE&amp;VAR:CALENDAR=US&amp;VAR:SYMBOL=04916420&amp;VAR:INDEX=0"}</definedName>
    <definedName name="_9826__FDSAUDITLINK__" localSheetId="6" hidden="1">{"fdsup://directions/FAT Viewer?action=UPDATE&amp;creator=factset&amp;DYN_ARGS=TRUE&amp;DOC_NAME=FAT:FQL_AUDITING_CLIENT_TEMPLATE.FAT&amp;display_string=Audit&amp;VAR:KEY=JIBMPQHQBQ&amp;VAR:QUERY=RkZfRUJJVERBX0lCKCdMVE1TJywzOTU0Myk=&amp;WINDOW=FIRST_POPUP&amp;HEIGHT=450&amp;WIDTH=450&amp;START_MA","XIMIZED=FALSE&amp;VAR:CALENDAR=US&amp;VAR:SYMBOL=04916420&amp;VAR:INDEX=0"}</definedName>
    <definedName name="_9826__FDSAUDITLINK__" hidden="1">{"fdsup://directions/FAT Viewer?action=UPDATE&amp;creator=factset&amp;DYN_ARGS=TRUE&amp;DOC_NAME=FAT:FQL_AUDITING_CLIENT_TEMPLATE.FAT&amp;display_string=Audit&amp;VAR:KEY=JIBMPQHQBQ&amp;VAR:QUERY=RkZfRUJJVERBX0lCKCdMVE1TJywzOTU0Myk=&amp;WINDOW=FIRST_POPUP&amp;HEIGHT=450&amp;WIDTH=450&amp;START_MA","XIMIZED=FALSE&amp;VAR:CALENDAR=US&amp;VAR:SYMBOL=04916420&amp;VAR:INDEX=0"}</definedName>
    <definedName name="_9827__FDSAUDITLINK__" localSheetId="6" hidden="1">{"fdsup://directions/FAT Viewer?action=UPDATE&amp;creator=factset&amp;DYN_ARGS=TRUE&amp;DOC_NAME=FAT:FQL_AUDITING_CLIENT_TEMPLATE.FAT&amp;display_string=Audit&amp;VAR:KEY=DWJKVSZENS&amp;VAR:QUERY=RkZfRUJJVERBX0lCKCdMVE1TJywzOTU0Mik=&amp;WINDOW=FIRST_POPUP&amp;HEIGHT=450&amp;WIDTH=450&amp;START_MA","XIMIZED=FALSE&amp;VAR:CALENDAR=US&amp;VAR:SYMBOL=04916420&amp;VAR:INDEX=0"}</definedName>
    <definedName name="_9827__FDSAUDITLINK__" hidden="1">{"fdsup://directions/FAT Viewer?action=UPDATE&amp;creator=factset&amp;DYN_ARGS=TRUE&amp;DOC_NAME=FAT:FQL_AUDITING_CLIENT_TEMPLATE.FAT&amp;display_string=Audit&amp;VAR:KEY=DWJKVSZENS&amp;VAR:QUERY=RkZfRUJJVERBX0lCKCdMVE1TJywzOTU0Mik=&amp;WINDOW=FIRST_POPUP&amp;HEIGHT=450&amp;WIDTH=450&amp;START_MA","XIMIZED=FALSE&amp;VAR:CALENDAR=US&amp;VAR:SYMBOL=04916420&amp;VAR:INDEX=0"}</definedName>
    <definedName name="_9828__FDSAUDITLINK__" localSheetId="6" hidden="1">{"fdsup://directions/FAT Viewer?action=UPDATE&amp;creator=factset&amp;DYN_ARGS=TRUE&amp;DOC_NAME=FAT:FQL_AUDITING_CLIENT_TEMPLATE.FAT&amp;display_string=Audit&amp;VAR:KEY=FIJYFUJQZA&amp;VAR:QUERY=RkZfRUJJVERBX0lCKCdMVE1TJywzOTU0MSk=&amp;WINDOW=FIRST_POPUP&amp;HEIGHT=450&amp;WIDTH=450&amp;START_MA","XIMIZED=FALSE&amp;VAR:CALENDAR=US&amp;VAR:SYMBOL=04916420&amp;VAR:INDEX=0"}</definedName>
    <definedName name="_9828__FDSAUDITLINK__" hidden="1">{"fdsup://directions/FAT Viewer?action=UPDATE&amp;creator=factset&amp;DYN_ARGS=TRUE&amp;DOC_NAME=FAT:FQL_AUDITING_CLIENT_TEMPLATE.FAT&amp;display_string=Audit&amp;VAR:KEY=FIJYFUJQZA&amp;VAR:QUERY=RkZfRUJJVERBX0lCKCdMVE1TJywzOTU0MSk=&amp;WINDOW=FIRST_POPUP&amp;HEIGHT=450&amp;WIDTH=450&amp;START_MA","XIMIZED=FALSE&amp;VAR:CALENDAR=US&amp;VAR:SYMBOL=04916420&amp;VAR:INDEX=0"}</definedName>
    <definedName name="_9829__FDSAUDITLINK__" localSheetId="6" hidden="1">{"fdsup://directions/FAT Viewer?action=UPDATE&amp;creator=factset&amp;DYN_ARGS=TRUE&amp;DOC_NAME=FAT:FQL_AUDITING_CLIENT_TEMPLATE.FAT&amp;display_string=Audit&amp;VAR:KEY=XODSFUXSXE&amp;VAR:QUERY=RkZfRUJJVERBX0lCKCdMVE1TJywzOTU0MCk=&amp;WINDOW=FIRST_POPUP&amp;HEIGHT=450&amp;WIDTH=450&amp;START_MA","XIMIZED=FALSE&amp;VAR:CALENDAR=US&amp;VAR:SYMBOL=04916420&amp;VAR:INDEX=0"}</definedName>
    <definedName name="_9829__FDSAUDITLINK__" hidden="1">{"fdsup://directions/FAT Viewer?action=UPDATE&amp;creator=factset&amp;DYN_ARGS=TRUE&amp;DOC_NAME=FAT:FQL_AUDITING_CLIENT_TEMPLATE.FAT&amp;display_string=Audit&amp;VAR:KEY=XODSFUXSXE&amp;VAR:QUERY=RkZfRUJJVERBX0lCKCdMVE1TJywzOTU0MCk=&amp;WINDOW=FIRST_POPUP&amp;HEIGHT=450&amp;WIDTH=450&amp;START_MA","XIMIZED=FALSE&amp;VAR:CALENDAR=US&amp;VAR:SYMBOL=04916420&amp;VAR:INDEX=0"}</definedName>
    <definedName name="_983__FDSAUDITLINK__" localSheetId="6" hidden="1">{"fdsup://directions/FAT%20Viewer?VAR:PED=LTM&amp;VAR:AUDIT_MODE=SUMMARY&amp;VAR:PERIOD=FIXED&amp;VAR:AUDIT_ID=00000117&amp;VAR:DATE=20070614&amp;action=UPDATE&amp;creator=factset&amp;DOC_NAME=FAT:FMA_audit_SUMMARY.fat&amp;DISPLAY_STRING=Display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3__FDSAUDITLINK__" hidden="1">{"fdsup://directions/FAT%20Viewer?VAR:PED=LTM&amp;VAR:AUDIT_MODE=SUMMARY&amp;VAR:PERIOD=FIXED&amp;VAR:AUDIT_ID=00000117&amp;VAR:DATE=20070614&amp;action=UPDATE&amp;creator=factset&amp;DOC_NAME=FAT:FMA_audit_SUMMARY.fat&amp;DISPLAY_STRING=Display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30__FDSAUDITLINK__" localSheetId="6" hidden="1">{"fdsup://directions/FAT Viewer?action=UPDATE&amp;creator=factset&amp;DYN_ARGS=TRUE&amp;DOC_NAME=FAT:FQL_AUDITING_CLIENT_TEMPLATE.FAT&amp;display_string=Audit&amp;VAR:KEY=PGDKTONKZU&amp;VAR:QUERY=RkZfRUJJVERBX0lCKCdMVE1TJywzOTUzOSk=&amp;WINDOW=FIRST_POPUP&amp;HEIGHT=450&amp;WIDTH=450&amp;START_MA","XIMIZED=FALSE&amp;VAR:CALENDAR=US&amp;VAR:SYMBOL=04916420&amp;VAR:INDEX=0"}</definedName>
    <definedName name="_9830__FDSAUDITLINK__" hidden="1">{"fdsup://directions/FAT Viewer?action=UPDATE&amp;creator=factset&amp;DYN_ARGS=TRUE&amp;DOC_NAME=FAT:FQL_AUDITING_CLIENT_TEMPLATE.FAT&amp;display_string=Audit&amp;VAR:KEY=PGDKTONKZU&amp;VAR:QUERY=RkZfRUJJVERBX0lCKCdMVE1TJywzOTUzOSk=&amp;WINDOW=FIRST_POPUP&amp;HEIGHT=450&amp;WIDTH=450&amp;START_MA","XIMIZED=FALSE&amp;VAR:CALENDAR=US&amp;VAR:SYMBOL=04916420&amp;VAR:INDEX=0"}</definedName>
    <definedName name="_9831__FDSAUDITLINK__" localSheetId="6" hidden="1">{"fdsup://directions/FAT Viewer?action=UPDATE&amp;creator=factset&amp;DYN_ARGS=TRUE&amp;DOC_NAME=FAT:FQL_AUDITING_CLIENT_TEMPLATE.FAT&amp;display_string=Audit&amp;VAR:KEY=LOLUZGFONC&amp;VAR:QUERY=RkZfRUJJVERBX0lCKCdMVE1TJywzOTUzOCk=&amp;WINDOW=FIRST_POPUP&amp;HEIGHT=450&amp;WIDTH=450&amp;START_MA","XIMIZED=FALSE&amp;VAR:CALENDAR=US&amp;VAR:SYMBOL=04916420&amp;VAR:INDEX=0"}</definedName>
    <definedName name="_9831__FDSAUDITLINK__" hidden="1">{"fdsup://directions/FAT Viewer?action=UPDATE&amp;creator=factset&amp;DYN_ARGS=TRUE&amp;DOC_NAME=FAT:FQL_AUDITING_CLIENT_TEMPLATE.FAT&amp;display_string=Audit&amp;VAR:KEY=LOLUZGFONC&amp;VAR:QUERY=RkZfRUJJVERBX0lCKCdMVE1TJywzOTUzOCk=&amp;WINDOW=FIRST_POPUP&amp;HEIGHT=450&amp;WIDTH=450&amp;START_MA","XIMIZED=FALSE&amp;VAR:CALENDAR=US&amp;VAR:SYMBOL=04916420&amp;VAR:INDEX=0"}</definedName>
    <definedName name="_9832__FDSAUDITLINK__" localSheetId="6" hidden="1">{"fdsup://directions/FAT Viewer?action=UPDATE&amp;creator=factset&amp;DYN_ARGS=TRUE&amp;DOC_NAME=FAT:FQL_AUDITING_CLIENT_TEMPLATE.FAT&amp;display_string=Audit&amp;VAR:KEY=RWVIVYHGRM&amp;VAR:QUERY=RkZfRUJJVERBX0lCKCdMVE1TJywzOTUzNyk=&amp;WINDOW=FIRST_POPUP&amp;HEIGHT=450&amp;WIDTH=450&amp;START_MA","XIMIZED=FALSE&amp;VAR:CALENDAR=US&amp;VAR:SYMBOL=04916420&amp;VAR:INDEX=0"}</definedName>
    <definedName name="_9832__FDSAUDITLINK__" hidden="1">{"fdsup://directions/FAT Viewer?action=UPDATE&amp;creator=factset&amp;DYN_ARGS=TRUE&amp;DOC_NAME=FAT:FQL_AUDITING_CLIENT_TEMPLATE.FAT&amp;display_string=Audit&amp;VAR:KEY=RWVIVYHGRM&amp;VAR:QUERY=RkZfRUJJVERBX0lCKCdMVE1TJywzOTUzNyk=&amp;WINDOW=FIRST_POPUP&amp;HEIGHT=450&amp;WIDTH=450&amp;START_MA","XIMIZED=FALSE&amp;VAR:CALENDAR=US&amp;VAR:SYMBOL=04916420&amp;VAR:INDEX=0"}</definedName>
    <definedName name="_9833__FDSAUDITLINK__" localSheetId="6" hidden="1">{"fdsup://directions/FAT Viewer?action=UPDATE&amp;creator=factset&amp;DYN_ARGS=TRUE&amp;DOC_NAME=FAT:FQL_AUDITING_CLIENT_TEMPLATE.FAT&amp;display_string=Audit&amp;VAR:KEY=BYXKNENIRW&amp;VAR:QUERY=RkZfRUJJVERBX0lCKCdMVE1TJywzOTUzNik=&amp;WINDOW=FIRST_POPUP&amp;HEIGHT=450&amp;WIDTH=450&amp;START_MA","XIMIZED=FALSE&amp;VAR:CALENDAR=US&amp;VAR:SYMBOL=04916420&amp;VAR:INDEX=0"}</definedName>
    <definedName name="_9833__FDSAUDITLINK__" hidden="1">{"fdsup://directions/FAT Viewer?action=UPDATE&amp;creator=factset&amp;DYN_ARGS=TRUE&amp;DOC_NAME=FAT:FQL_AUDITING_CLIENT_TEMPLATE.FAT&amp;display_string=Audit&amp;VAR:KEY=BYXKNENIRW&amp;VAR:QUERY=RkZfRUJJVERBX0lCKCdMVE1TJywzOTUzNik=&amp;WINDOW=FIRST_POPUP&amp;HEIGHT=450&amp;WIDTH=450&amp;START_MA","XIMIZED=FALSE&amp;VAR:CALENDAR=US&amp;VAR:SYMBOL=04916420&amp;VAR:INDEX=0"}</definedName>
    <definedName name="_9834__FDSAUDITLINK__" localSheetId="6" hidden="1">{"fdsup://directions/FAT Viewer?action=UPDATE&amp;creator=factset&amp;DYN_ARGS=TRUE&amp;DOC_NAME=FAT:FQL_AUDITING_CLIENT_TEMPLATE.FAT&amp;display_string=Audit&amp;VAR:KEY=VSBEDEDIHM&amp;VAR:QUERY=RkZfRUJJVERBX0lCKCdMVE1TJywzOTUzNSk=&amp;WINDOW=FIRST_POPUP&amp;HEIGHT=450&amp;WIDTH=450&amp;START_MA","XIMIZED=FALSE&amp;VAR:CALENDAR=US&amp;VAR:SYMBOL=04916420&amp;VAR:INDEX=0"}</definedName>
    <definedName name="_9834__FDSAUDITLINK__" hidden="1">{"fdsup://directions/FAT Viewer?action=UPDATE&amp;creator=factset&amp;DYN_ARGS=TRUE&amp;DOC_NAME=FAT:FQL_AUDITING_CLIENT_TEMPLATE.FAT&amp;display_string=Audit&amp;VAR:KEY=VSBEDEDIHM&amp;VAR:QUERY=RkZfRUJJVERBX0lCKCdMVE1TJywzOTUzNSk=&amp;WINDOW=FIRST_POPUP&amp;HEIGHT=450&amp;WIDTH=450&amp;START_MA","XIMIZED=FALSE&amp;VAR:CALENDAR=US&amp;VAR:SYMBOL=04916420&amp;VAR:INDEX=0"}</definedName>
    <definedName name="_9835__FDSAUDITLINK__" localSheetId="6" hidden="1">{"fdsup://directions/FAT Viewer?action=UPDATE&amp;creator=factset&amp;DYN_ARGS=TRUE&amp;DOC_NAME=FAT:FQL_AUDITING_CLIENT_TEMPLATE.FAT&amp;display_string=Audit&amp;VAR:KEY=BSPWHSRYXE&amp;VAR:QUERY=RkZfRUJJVERBX0lCKCdMVE1TJywzOTUzNCk=&amp;WINDOW=FIRST_POPUP&amp;HEIGHT=450&amp;WIDTH=450&amp;START_MA","XIMIZED=FALSE&amp;VAR:CALENDAR=US&amp;VAR:SYMBOL=04916420&amp;VAR:INDEX=0"}</definedName>
    <definedName name="_9835__FDSAUDITLINK__" hidden="1">{"fdsup://directions/FAT Viewer?action=UPDATE&amp;creator=factset&amp;DYN_ARGS=TRUE&amp;DOC_NAME=FAT:FQL_AUDITING_CLIENT_TEMPLATE.FAT&amp;display_string=Audit&amp;VAR:KEY=BSPWHSRYXE&amp;VAR:QUERY=RkZfRUJJVERBX0lCKCdMVE1TJywzOTUzNCk=&amp;WINDOW=FIRST_POPUP&amp;HEIGHT=450&amp;WIDTH=450&amp;START_MA","XIMIZED=FALSE&amp;VAR:CALENDAR=US&amp;VAR:SYMBOL=04916420&amp;VAR:INDEX=0"}</definedName>
    <definedName name="_9836__FDSAUDITLINK__" localSheetId="6" hidden="1">{"fdsup://directions/FAT Viewer?action=UPDATE&amp;creator=factset&amp;DYN_ARGS=TRUE&amp;DOC_NAME=FAT:FQL_AUDITING_CLIENT_TEMPLATE.FAT&amp;display_string=Audit&amp;VAR:KEY=XIXARELOPI&amp;VAR:QUERY=RkZfRUJJVERBX0lCKCdMVE1TJywzOTUzMyk=&amp;WINDOW=FIRST_POPUP&amp;HEIGHT=450&amp;WIDTH=450&amp;START_MA","XIMIZED=FALSE&amp;VAR:CALENDAR=US&amp;VAR:SYMBOL=04916420&amp;VAR:INDEX=0"}</definedName>
    <definedName name="_9836__FDSAUDITLINK__" hidden="1">{"fdsup://directions/FAT Viewer?action=UPDATE&amp;creator=factset&amp;DYN_ARGS=TRUE&amp;DOC_NAME=FAT:FQL_AUDITING_CLIENT_TEMPLATE.FAT&amp;display_string=Audit&amp;VAR:KEY=XIXARELOPI&amp;VAR:QUERY=RkZfRUJJVERBX0lCKCdMVE1TJywzOTUzMyk=&amp;WINDOW=FIRST_POPUP&amp;HEIGHT=450&amp;WIDTH=450&amp;START_MA","XIMIZED=FALSE&amp;VAR:CALENDAR=US&amp;VAR:SYMBOL=04916420&amp;VAR:INDEX=0"}</definedName>
    <definedName name="_9837__FDSAUDITLINK__" localSheetId="6" hidden="1">{"fdsup://directions/FAT Viewer?action=UPDATE&amp;creator=factset&amp;DYN_ARGS=TRUE&amp;DOC_NAME=FAT:FQL_AUDITING_CLIENT_TEMPLATE.FAT&amp;display_string=Audit&amp;VAR:KEY=HYJKFGFUFS&amp;VAR:QUERY=RkZfRUJJVERBX0lCKCdMVE1TJywzOTUzMik=&amp;WINDOW=FIRST_POPUP&amp;HEIGHT=450&amp;WIDTH=450&amp;START_MA","XIMIZED=FALSE&amp;VAR:CALENDAR=US&amp;VAR:SYMBOL=04916420&amp;VAR:INDEX=0"}</definedName>
    <definedName name="_9837__FDSAUDITLINK__" hidden="1">{"fdsup://directions/FAT Viewer?action=UPDATE&amp;creator=factset&amp;DYN_ARGS=TRUE&amp;DOC_NAME=FAT:FQL_AUDITING_CLIENT_TEMPLATE.FAT&amp;display_string=Audit&amp;VAR:KEY=HYJKFGFUFS&amp;VAR:QUERY=RkZfRUJJVERBX0lCKCdMVE1TJywzOTUzMik=&amp;WINDOW=FIRST_POPUP&amp;HEIGHT=450&amp;WIDTH=450&amp;START_MA","XIMIZED=FALSE&amp;VAR:CALENDAR=US&amp;VAR:SYMBOL=04916420&amp;VAR:INDEX=0"}</definedName>
    <definedName name="_9838__FDSAUDITLINK__" localSheetId="6" hidden="1">{"fdsup://directions/FAT Viewer?action=UPDATE&amp;creator=factset&amp;DYN_ARGS=TRUE&amp;DOC_NAME=FAT:FQL_AUDITING_CLIENT_TEMPLATE.FAT&amp;display_string=Audit&amp;VAR:KEY=BAZWVGPYTY&amp;VAR:QUERY=RkZfRUJJVERBX0lCKCdMVE1TJywzOTUzMSk=&amp;WINDOW=FIRST_POPUP&amp;HEIGHT=450&amp;WIDTH=450&amp;START_MA","XIMIZED=FALSE&amp;VAR:CALENDAR=US&amp;VAR:SYMBOL=04916420&amp;VAR:INDEX=0"}</definedName>
    <definedName name="_9838__FDSAUDITLINK__" hidden="1">{"fdsup://directions/FAT Viewer?action=UPDATE&amp;creator=factset&amp;DYN_ARGS=TRUE&amp;DOC_NAME=FAT:FQL_AUDITING_CLIENT_TEMPLATE.FAT&amp;display_string=Audit&amp;VAR:KEY=BAZWVGPYTY&amp;VAR:QUERY=RkZfRUJJVERBX0lCKCdMVE1TJywzOTUzMSk=&amp;WINDOW=FIRST_POPUP&amp;HEIGHT=450&amp;WIDTH=450&amp;START_MA","XIMIZED=FALSE&amp;VAR:CALENDAR=US&amp;VAR:SYMBOL=04916420&amp;VAR:INDEX=0"}</definedName>
    <definedName name="_9839__FDSAUDITLINK__" localSheetId="6" hidden="1">{"fdsup://directions/FAT Viewer?action=UPDATE&amp;creator=factset&amp;DYN_ARGS=TRUE&amp;DOC_NAME=FAT:FQL_AUDITING_CLIENT_TEMPLATE.FAT&amp;display_string=Audit&amp;VAR:KEY=VOFQRYTUBG&amp;VAR:QUERY=RkZfRUJJVERBX0lCKCdMVE1TJywzOTUzMCk=&amp;WINDOW=FIRST_POPUP&amp;HEIGHT=450&amp;WIDTH=450&amp;START_MA","XIMIZED=FALSE&amp;VAR:CALENDAR=US&amp;VAR:SYMBOL=04916420&amp;VAR:INDEX=0"}</definedName>
    <definedName name="_9839__FDSAUDITLINK__" hidden="1">{"fdsup://directions/FAT Viewer?action=UPDATE&amp;creator=factset&amp;DYN_ARGS=TRUE&amp;DOC_NAME=FAT:FQL_AUDITING_CLIENT_TEMPLATE.FAT&amp;display_string=Audit&amp;VAR:KEY=VOFQRYTUBG&amp;VAR:QUERY=RkZfRUJJVERBX0lCKCdMVE1TJywzOTUzMCk=&amp;WINDOW=FIRST_POPUP&amp;HEIGHT=450&amp;WIDTH=450&amp;START_MA","XIMIZED=FALSE&amp;VAR:CALENDAR=US&amp;VAR:SYMBOL=04916420&amp;VAR:INDEX=0"}</definedName>
    <definedName name="_984__FDSAUDITLINK__" localSheetId="6" hidden="1">{"fdsup://directions/FAT%20Viewer?VAR:PED=LTM&amp;VAR:AUDIT_MODE=SUMMARY&amp;VAR:PERIOD=FIXED&amp;VAR:AUDIT_ID=00000117&amp;VAR:DATE=20070613&amp;action=UPDATE&amp;creator=factset&amp;DOC_NAME=FAT:FMA_audit_SUMMARY.fat&amp;DISPLAY_STRING=Display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4__FDSAUDITLINK__" hidden="1">{"fdsup://directions/FAT%20Viewer?VAR:PED=LTM&amp;VAR:AUDIT_MODE=SUMMARY&amp;VAR:PERIOD=FIXED&amp;VAR:AUDIT_ID=00000117&amp;VAR:DATE=20070613&amp;action=UPDATE&amp;creator=factset&amp;DOC_NAME=FAT:FMA_audit_SUMMARY.fat&amp;DISPLAY_STRING=Display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40__FDSAUDITLINK__" localSheetId="6" hidden="1">{"fdsup://directions/FAT Viewer?action=UPDATE&amp;creator=factset&amp;DYN_ARGS=TRUE&amp;DOC_NAME=FAT:FQL_AUDITING_CLIENT_TEMPLATE.FAT&amp;display_string=Audit&amp;VAR:KEY=TKZADAHSDA&amp;VAR:QUERY=RkZfRUJJVERBX0lCKCdMVE1TJywzOTUyOSk=&amp;WINDOW=FIRST_POPUP&amp;HEIGHT=450&amp;WIDTH=450&amp;START_MA","XIMIZED=FALSE&amp;VAR:CALENDAR=US&amp;VAR:SYMBOL=04916420&amp;VAR:INDEX=0"}</definedName>
    <definedName name="_9840__FDSAUDITLINK__" hidden="1">{"fdsup://directions/FAT Viewer?action=UPDATE&amp;creator=factset&amp;DYN_ARGS=TRUE&amp;DOC_NAME=FAT:FQL_AUDITING_CLIENT_TEMPLATE.FAT&amp;display_string=Audit&amp;VAR:KEY=TKZADAHSDA&amp;VAR:QUERY=RkZfRUJJVERBX0lCKCdMVE1TJywzOTUyOSk=&amp;WINDOW=FIRST_POPUP&amp;HEIGHT=450&amp;WIDTH=450&amp;START_MA","XIMIZED=FALSE&amp;VAR:CALENDAR=US&amp;VAR:SYMBOL=04916420&amp;VAR:INDEX=0"}</definedName>
    <definedName name="_9841__FDSAUDITLINK__" localSheetId="6" hidden="1">{"fdsup://directions/FAT Viewer?action=UPDATE&amp;creator=factset&amp;DYN_ARGS=TRUE&amp;DOC_NAME=FAT:FQL_AUDITING_CLIENT_TEMPLATE.FAT&amp;display_string=Audit&amp;VAR:KEY=FQXKHAFYZK&amp;VAR:QUERY=RkZfRUJJVERBX0lCKCdMVE1TJywzOTUyOCk=&amp;WINDOW=FIRST_POPUP&amp;HEIGHT=450&amp;WIDTH=450&amp;START_MA","XIMIZED=FALSE&amp;VAR:CALENDAR=US&amp;VAR:SYMBOL=04916420&amp;VAR:INDEX=0"}</definedName>
    <definedName name="_9841__FDSAUDITLINK__" hidden="1">{"fdsup://directions/FAT Viewer?action=UPDATE&amp;creator=factset&amp;DYN_ARGS=TRUE&amp;DOC_NAME=FAT:FQL_AUDITING_CLIENT_TEMPLATE.FAT&amp;display_string=Audit&amp;VAR:KEY=FQXKHAFYZK&amp;VAR:QUERY=RkZfRUJJVERBX0lCKCdMVE1TJywzOTUyOCk=&amp;WINDOW=FIRST_POPUP&amp;HEIGHT=450&amp;WIDTH=450&amp;START_MA","XIMIZED=FALSE&amp;VAR:CALENDAR=US&amp;VAR:SYMBOL=04916420&amp;VAR:INDEX=0"}</definedName>
    <definedName name="_9842__FDSAUDITLINK__" localSheetId="6" hidden="1">{"fdsup://directions/FAT Viewer?action=UPDATE&amp;creator=factset&amp;DYN_ARGS=TRUE&amp;DOC_NAME=FAT:FQL_AUDITING_CLIENT_TEMPLATE.FAT&amp;display_string=Audit&amp;VAR:KEY=RMDQLWTGTE&amp;VAR:QUERY=RkZfRUJJVERBX0lCKCdMVE1TJywzOTUyNyk=&amp;WINDOW=FIRST_POPUP&amp;HEIGHT=450&amp;WIDTH=450&amp;START_MA","XIMIZED=FALSE&amp;VAR:CALENDAR=US&amp;VAR:SYMBOL=04916420&amp;VAR:INDEX=0"}</definedName>
    <definedName name="_9842__FDSAUDITLINK__" hidden="1">{"fdsup://directions/FAT Viewer?action=UPDATE&amp;creator=factset&amp;DYN_ARGS=TRUE&amp;DOC_NAME=FAT:FQL_AUDITING_CLIENT_TEMPLATE.FAT&amp;display_string=Audit&amp;VAR:KEY=RMDQLWTGTE&amp;VAR:QUERY=RkZfRUJJVERBX0lCKCdMVE1TJywzOTUyNyk=&amp;WINDOW=FIRST_POPUP&amp;HEIGHT=450&amp;WIDTH=450&amp;START_MA","XIMIZED=FALSE&amp;VAR:CALENDAR=US&amp;VAR:SYMBOL=04916420&amp;VAR:INDEX=0"}</definedName>
    <definedName name="_9843__FDSAUDITLINK__" localSheetId="6" hidden="1">{"fdsup://directions/FAT Viewer?action=UPDATE&amp;creator=factset&amp;DYN_ARGS=TRUE&amp;DOC_NAME=FAT:FQL_AUDITING_CLIENT_TEMPLATE.FAT&amp;display_string=Audit&amp;VAR:KEY=BEHMJSBCFO&amp;VAR:QUERY=RkZfRUJJVERBX0lCKCdMVE1TJywzOTUyNik=&amp;WINDOW=FIRST_POPUP&amp;HEIGHT=450&amp;WIDTH=450&amp;START_MA","XIMIZED=FALSE&amp;VAR:CALENDAR=US&amp;VAR:SYMBOL=04916420&amp;VAR:INDEX=0"}</definedName>
    <definedName name="_9843__FDSAUDITLINK__" hidden="1">{"fdsup://directions/FAT Viewer?action=UPDATE&amp;creator=factset&amp;DYN_ARGS=TRUE&amp;DOC_NAME=FAT:FQL_AUDITING_CLIENT_TEMPLATE.FAT&amp;display_string=Audit&amp;VAR:KEY=BEHMJSBCFO&amp;VAR:QUERY=RkZfRUJJVERBX0lCKCdMVE1TJywzOTUyNik=&amp;WINDOW=FIRST_POPUP&amp;HEIGHT=450&amp;WIDTH=450&amp;START_MA","XIMIZED=FALSE&amp;VAR:CALENDAR=US&amp;VAR:SYMBOL=04916420&amp;VAR:INDEX=0"}</definedName>
    <definedName name="_9844__FDSAUDITLINK__" localSheetId="6" hidden="1">{"fdsup://directions/FAT Viewer?action=UPDATE&amp;creator=factset&amp;DYN_ARGS=TRUE&amp;DOC_NAME=FAT:FQL_AUDITING_CLIENT_TEMPLATE.FAT&amp;display_string=Audit&amp;VAR:KEY=ZKXCVKLEPS&amp;VAR:QUERY=RkZfRUJJVERBX0lCKCdMVE1TJywzOTUyNSk=&amp;WINDOW=FIRST_POPUP&amp;HEIGHT=450&amp;WIDTH=450&amp;START_MA","XIMIZED=FALSE&amp;VAR:CALENDAR=US&amp;VAR:SYMBOL=04916420&amp;VAR:INDEX=0"}</definedName>
    <definedName name="_9844__FDSAUDITLINK__" hidden="1">{"fdsup://directions/FAT Viewer?action=UPDATE&amp;creator=factset&amp;DYN_ARGS=TRUE&amp;DOC_NAME=FAT:FQL_AUDITING_CLIENT_TEMPLATE.FAT&amp;display_string=Audit&amp;VAR:KEY=ZKXCVKLEPS&amp;VAR:QUERY=RkZfRUJJVERBX0lCKCdMVE1TJywzOTUyNSk=&amp;WINDOW=FIRST_POPUP&amp;HEIGHT=450&amp;WIDTH=450&amp;START_MA","XIMIZED=FALSE&amp;VAR:CALENDAR=US&amp;VAR:SYMBOL=04916420&amp;VAR:INDEX=0"}</definedName>
    <definedName name="_9845__FDSAUDITLINK__" localSheetId="6" hidden="1">{"fdsup://directions/FAT Viewer?action=UPDATE&amp;creator=factset&amp;DYN_ARGS=TRUE&amp;DOC_NAME=FAT:FQL_AUDITING_CLIENT_TEMPLATE.FAT&amp;display_string=Audit&amp;VAR:KEY=HMVGPGXKJS&amp;VAR:QUERY=RkZfRUJJVERBX0lCKCdMVE1TJywzOTUyNCk=&amp;WINDOW=FIRST_POPUP&amp;HEIGHT=450&amp;WIDTH=450&amp;START_MA","XIMIZED=FALSE&amp;VAR:CALENDAR=US&amp;VAR:SYMBOL=04916420&amp;VAR:INDEX=0"}</definedName>
    <definedName name="_9845__FDSAUDITLINK__" hidden="1">{"fdsup://directions/FAT Viewer?action=UPDATE&amp;creator=factset&amp;DYN_ARGS=TRUE&amp;DOC_NAME=FAT:FQL_AUDITING_CLIENT_TEMPLATE.FAT&amp;display_string=Audit&amp;VAR:KEY=HMVGPGXKJS&amp;VAR:QUERY=RkZfRUJJVERBX0lCKCdMVE1TJywzOTUyNCk=&amp;WINDOW=FIRST_POPUP&amp;HEIGHT=450&amp;WIDTH=450&amp;START_MA","XIMIZED=FALSE&amp;VAR:CALENDAR=US&amp;VAR:SYMBOL=04916420&amp;VAR:INDEX=0"}</definedName>
    <definedName name="_9846__FDSAUDITLINK__" localSheetId="6" hidden="1">{"fdsup://directions/FAT Viewer?action=UPDATE&amp;creator=factset&amp;DYN_ARGS=TRUE&amp;DOC_NAME=FAT:FQL_AUDITING_CLIENT_TEMPLATE.FAT&amp;display_string=Audit&amp;VAR:KEY=VAFAHYHEVI&amp;VAR:QUERY=RkZfRUJJVERBX0lCKCdMVE1TJywzOTUyMyk=&amp;WINDOW=FIRST_POPUP&amp;HEIGHT=450&amp;WIDTH=450&amp;START_MA","XIMIZED=FALSE&amp;VAR:CALENDAR=US&amp;VAR:SYMBOL=04916420&amp;VAR:INDEX=0"}</definedName>
    <definedName name="_9846__FDSAUDITLINK__" hidden="1">{"fdsup://directions/FAT Viewer?action=UPDATE&amp;creator=factset&amp;DYN_ARGS=TRUE&amp;DOC_NAME=FAT:FQL_AUDITING_CLIENT_TEMPLATE.FAT&amp;display_string=Audit&amp;VAR:KEY=VAFAHYHEVI&amp;VAR:QUERY=RkZfRUJJVERBX0lCKCdMVE1TJywzOTUyMyk=&amp;WINDOW=FIRST_POPUP&amp;HEIGHT=450&amp;WIDTH=450&amp;START_MA","XIMIZED=FALSE&amp;VAR:CALENDAR=US&amp;VAR:SYMBOL=04916420&amp;VAR:INDEX=0"}</definedName>
    <definedName name="_9847__FDSAUDITLINK__" localSheetId="6" hidden="1">{"fdsup://directions/FAT Viewer?action=UPDATE&amp;creator=factset&amp;DYN_ARGS=TRUE&amp;DOC_NAME=FAT:FQL_AUDITING_CLIENT_TEMPLATE.FAT&amp;display_string=Audit&amp;VAR:KEY=BCHKRIBOHI&amp;VAR:QUERY=RkZfRUJJVERBX0lCKCdMVE1TJywzOTUyMik=&amp;WINDOW=FIRST_POPUP&amp;HEIGHT=450&amp;WIDTH=450&amp;START_MA","XIMIZED=FALSE&amp;VAR:CALENDAR=US&amp;VAR:SYMBOL=04916420&amp;VAR:INDEX=0"}</definedName>
    <definedName name="_9847__FDSAUDITLINK__" hidden="1">{"fdsup://directions/FAT Viewer?action=UPDATE&amp;creator=factset&amp;DYN_ARGS=TRUE&amp;DOC_NAME=FAT:FQL_AUDITING_CLIENT_TEMPLATE.FAT&amp;display_string=Audit&amp;VAR:KEY=BCHKRIBOHI&amp;VAR:QUERY=RkZfRUJJVERBX0lCKCdMVE1TJywzOTUyMik=&amp;WINDOW=FIRST_POPUP&amp;HEIGHT=450&amp;WIDTH=450&amp;START_MA","XIMIZED=FALSE&amp;VAR:CALENDAR=US&amp;VAR:SYMBOL=04916420&amp;VAR:INDEX=0"}</definedName>
    <definedName name="_9848__FDSAUDITLINK__" localSheetId="6" hidden="1">{"fdsup://directions/FAT Viewer?action=UPDATE&amp;creator=factset&amp;DYN_ARGS=TRUE&amp;DOC_NAME=FAT:FQL_AUDITING_CLIENT_TEMPLATE.FAT&amp;display_string=Audit&amp;VAR:KEY=FSVOVKLULA&amp;VAR:QUERY=RkZfRUJJVERBX0lCKCdMVE1TJywzOTUyMSk=&amp;WINDOW=FIRST_POPUP&amp;HEIGHT=450&amp;WIDTH=450&amp;START_MA","XIMIZED=FALSE&amp;VAR:CALENDAR=US&amp;VAR:SYMBOL=04916420&amp;VAR:INDEX=0"}</definedName>
    <definedName name="_9848__FDSAUDITLINK__" hidden="1">{"fdsup://directions/FAT Viewer?action=UPDATE&amp;creator=factset&amp;DYN_ARGS=TRUE&amp;DOC_NAME=FAT:FQL_AUDITING_CLIENT_TEMPLATE.FAT&amp;display_string=Audit&amp;VAR:KEY=FSVOVKLULA&amp;VAR:QUERY=RkZfRUJJVERBX0lCKCdMVE1TJywzOTUyMSk=&amp;WINDOW=FIRST_POPUP&amp;HEIGHT=450&amp;WIDTH=450&amp;START_MA","XIMIZED=FALSE&amp;VAR:CALENDAR=US&amp;VAR:SYMBOL=04916420&amp;VAR:INDEX=0"}</definedName>
    <definedName name="_9849__FDSAUDITLINK__" localSheetId="6" hidden="1">{"fdsup://directions/FAT Viewer?action=UPDATE&amp;creator=factset&amp;DYN_ARGS=TRUE&amp;DOC_NAME=FAT:FQL_AUDITING_CLIENT_TEMPLATE.FAT&amp;display_string=Audit&amp;VAR:KEY=TAJGXCLWBS&amp;VAR:QUERY=RkZfRUJJVERBX0lCKCdMVE1TJywzOTUyMCk=&amp;WINDOW=FIRST_POPUP&amp;HEIGHT=450&amp;WIDTH=450&amp;START_MA","XIMIZED=FALSE&amp;VAR:CALENDAR=US&amp;VAR:SYMBOL=04916420&amp;VAR:INDEX=0"}</definedName>
    <definedName name="_9849__FDSAUDITLINK__" hidden="1">{"fdsup://directions/FAT Viewer?action=UPDATE&amp;creator=factset&amp;DYN_ARGS=TRUE&amp;DOC_NAME=FAT:FQL_AUDITING_CLIENT_TEMPLATE.FAT&amp;display_string=Audit&amp;VAR:KEY=TAJGXCLWBS&amp;VAR:QUERY=RkZfRUJJVERBX0lCKCdMVE1TJywzOTUyMCk=&amp;WINDOW=FIRST_POPUP&amp;HEIGHT=450&amp;WIDTH=450&amp;START_MA","XIMIZED=FALSE&amp;VAR:CALENDAR=US&amp;VAR:SYMBOL=04916420&amp;VAR:INDEX=0"}</definedName>
    <definedName name="_985__FDSAUDITLINK__" localSheetId="6" hidden="1">{"fdsup://directions/FAT%20Viewer?VAR:PED=LTM&amp;VAR:AUDIT_MODE=SUMMARY&amp;VAR:PERIOD=FIXED&amp;VAR:AUDIT_ID=00000117&amp;VAR:DATE=20070612&amp;action=UPDATE&amp;creator=factset&amp;DOC_NAME=FAT:FMA_audit_SUMMARY.fat&amp;DISPLAY_STRING=Display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5__FDSAUDITLINK__" hidden="1">{"fdsup://directions/FAT%20Viewer?VAR:PED=LTM&amp;VAR:AUDIT_MODE=SUMMARY&amp;VAR:PERIOD=FIXED&amp;VAR:AUDIT_ID=00000117&amp;VAR:DATE=20070612&amp;action=UPDATE&amp;creator=factset&amp;DOC_NAME=FAT:FMA_audit_SUMMARY.fat&amp;DISPLAY_STRING=Display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50__FDSAUDITLINK__" localSheetId="6" hidden="1">{"fdsup://directions/FAT Viewer?action=UPDATE&amp;creator=factset&amp;DYN_ARGS=TRUE&amp;DOC_NAME=FAT:FQL_AUDITING_CLIENT_TEMPLATE.FAT&amp;display_string=Audit&amp;VAR:KEY=JCZSTCJUJO&amp;VAR:QUERY=RkZfRUJJVERBX0lCKCdMVE1TJywzOTUxOSk=&amp;WINDOW=FIRST_POPUP&amp;HEIGHT=450&amp;WIDTH=450&amp;START_MA","XIMIZED=FALSE&amp;VAR:CALENDAR=US&amp;VAR:SYMBOL=04916420&amp;VAR:INDEX=0"}</definedName>
    <definedName name="_9850__FDSAUDITLINK__" hidden="1">{"fdsup://directions/FAT Viewer?action=UPDATE&amp;creator=factset&amp;DYN_ARGS=TRUE&amp;DOC_NAME=FAT:FQL_AUDITING_CLIENT_TEMPLATE.FAT&amp;display_string=Audit&amp;VAR:KEY=JCZSTCJUJO&amp;VAR:QUERY=RkZfRUJJVERBX0lCKCdMVE1TJywzOTUxOSk=&amp;WINDOW=FIRST_POPUP&amp;HEIGHT=450&amp;WIDTH=450&amp;START_MA","XIMIZED=FALSE&amp;VAR:CALENDAR=US&amp;VAR:SYMBOL=04916420&amp;VAR:INDEX=0"}</definedName>
    <definedName name="_9851__FDSAUDITLINK__" localSheetId="6" hidden="1">{"fdsup://directions/FAT Viewer?action=UPDATE&amp;creator=factset&amp;DYN_ARGS=TRUE&amp;DOC_NAME=FAT:FQL_AUDITING_CLIENT_TEMPLATE.FAT&amp;display_string=Audit&amp;VAR:KEY=DKZIFURKPW&amp;VAR:QUERY=RkZfRUJJVERBX0lCKCdMVE1TJywzOTUxOCk=&amp;WINDOW=FIRST_POPUP&amp;HEIGHT=450&amp;WIDTH=450&amp;START_MA","XIMIZED=FALSE&amp;VAR:CALENDAR=US&amp;VAR:SYMBOL=04916420&amp;VAR:INDEX=0"}</definedName>
    <definedName name="_9851__FDSAUDITLINK__" hidden="1">{"fdsup://directions/FAT Viewer?action=UPDATE&amp;creator=factset&amp;DYN_ARGS=TRUE&amp;DOC_NAME=FAT:FQL_AUDITING_CLIENT_TEMPLATE.FAT&amp;display_string=Audit&amp;VAR:KEY=DKZIFURKPW&amp;VAR:QUERY=RkZfRUJJVERBX0lCKCdMVE1TJywzOTUxOCk=&amp;WINDOW=FIRST_POPUP&amp;HEIGHT=450&amp;WIDTH=450&amp;START_MA","XIMIZED=FALSE&amp;VAR:CALENDAR=US&amp;VAR:SYMBOL=04916420&amp;VAR:INDEX=0"}</definedName>
    <definedName name="_9852__FDSAUDITLINK__" localSheetId="6" hidden="1">{"fdsup://directions/FAT Viewer?action=UPDATE&amp;creator=factset&amp;DYN_ARGS=TRUE&amp;DOC_NAME=FAT:FQL_AUDITING_CLIENT_TEMPLATE.FAT&amp;display_string=Audit&amp;VAR:KEY=VYFKNORMPG&amp;VAR:QUERY=RkZfRUJJVERBX0lCKCdMVE1TJywzOTUxNyk=&amp;WINDOW=FIRST_POPUP&amp;HEIGHT=450&amp;WIDTH=450&amp;START_MA","XIMIZED=FALSE&amp;VAR:CALENDAR=US&amp;VAR:SYMBOL=04916420&amp;VAR:INDEX=0"}</definedName>
    <definedName name="_9852__FDSAUDITLINK__" hidden="1">{"fdsup://directions/FAT Viewer?action=UPDATE&amp;creator=factset&amp;DYN_ARGS=TRUE&amp;DOC_NAME=FAT:FQL_AUDITING_CLIENT_TEMPLATE.FAT&amp;display_string=Audit&amp;VAR:KEY=VYFKNORMPG&amp;VAR:QUERY=RkZfRUJJVERBX0lCKCdMVE1TJywzOTUxNyk=&amp;WINDOW=FIRST_POPUP&amp;HEIGHT=450&amp;WIDTH=450&amp;START_MA","XIMIZED=FALSE&amp;VAR:CALENDAR=US&amp;VAR:SYMBOL=04916420&amp;VAR:INDEX=0"}</definedName>
    <definedName name="_9853__FDSAUDITLINK__" localSheetId="6" hidden="1">{"fdsup://directions/FAT Viewer?action=UPDATE&amp;creator=factset&amp;DYN_ARGS=TRUE&amp;DOC_NAME=FAT:FQL_AUDITING_CLIENT_TEMPLATE.FAT&amp;display_string=Audit&amp;VAR:KEY=RADGLCTQTY&amp;VAR:QUERY=RkZfRUJJVERBX0lCKCdMVE1TJywzOTUxNik=&amp;WINDOW=FIRST_POPUP&amp;HEIGHT=450&amp;WIDTH=450&amp;START_MA","XIMIZED=FALSE&amp;VAR:CALENDAR=US&amp;VAR:SYMBOL=04916420&amp;VAR:INDEX=0"}</definedName>
    <definedName name="_9853__FDSAUDITLINK__" hidden="1">{"fdsup://directions/FAT Viewer?action=UPDATE&amp;creator=factset&amp;DYN_ARGS=TRUE&amp;DOC_NAME=FAT:FQL_AUDITING_CLIENT_TEMPLATE.FAT&amp;display_string=Audit&amp;VAR:KEY=RADGLCTQTY&amp;VAR:QUERY=RkZfRUJJVERBX0lCKCdMVE1TJywzOTUxNik=&amp;WINDOW=FIRST_POPUP&amp;HEIGHT=450&amp;WIDTH=450&amp;START_MA","XIMIZED=FALSE&amp;VAR:CALENDAR=US&amp;VAR:SYMBOL=04916420&amp;VAR:INDEX=0"}</definedName>
    <definedName name="_9854__FDSAUDITLINK__" localSheetId="6" hidden="1">{"fdsup://directions/FAT Viewer?action=UPDATE&amp;creator=factset&amp;DYN_ARGS=TRUE&amp;DOC_NAME=FAT:FQL_AUDITING_CLIENT_TEMPLATE.FAT&amp;display_string=Audit&amp;VAR:KEY=XUFSLCBCRY&amp;VAR:QUERY=RkZfRUJJVERBX0lCKCdMVE1TJywzOTUxNSk=&amp;WINDOW=FIRST_POPUP&amp;HEIGHT=450&amp;WIDTH=450&amp;START_MA","XIMIZED=FALSE&amp;VAR:CALENDAR=US&amp;VAR:SYMBOL=04916420&amp;VAR:INDEX=0"}</definedName>
    <definedName name="_9854__FDSAUDITLINK__" hidden="1">{"fdsup://directions/FAT Viewer?action=UPDATE&amp;creator=factset&amp;DYN_ARGS=TRUE&amp;DOC_NAME=FAT:FQL_AUDITING_CLIENT_TEMPLATE.FAT&amp;display_string=Audit&amp;VAR:KEY=XUFSLCBCRY&amp;VAR:QUERY=RkZfRUJJVERBX0lCKCdMVE1TJywzOTUxNSk=&amp;WINDOW=FIRST_POPUP&amp;HEIGHT=450&amp;WIDTH=450&amp;START_MA","XIMIZED=FALSE&amp;VAR:CALENDAR=US&amp;VAR:SYMBOL=04916420&amp;VAR:INDEX=0"}</definedName>
    <definedName name="_9855__FDSAUDITLINK__" localSheetId="6" hidden="1">{"fdsup://directions/FAT Viewer?action=UPDATE&amp;creator=factset&amp;DYN_ARGS=TRUE&amp;DOC_NAME=FAT:FQL_AUDITING_CLIENT_TEMPLATE.FAT&amp;display_string=Audit&amp;VAR:KEY=JODSZKTSNY&amp;VAR:QUERY=RkZfRUJJVERBX0lCKCdMVE1TJywzOTUxNCk=&amp;WINDOW=FIRST_POPUP&amp;HEIGHT=450&amp;WIDTH=450&amp;START_MA","XIMIZED=FALSE&amp;VAR:CALENDAR=US&amp;VAR:SYMBOL=04916420&amp;VAR:INDEX=0"}</definedName>
    <definedName name="_9855__FDSAUDITLINK__" hidden="1">{"fdsup://directions/FAT Viewer?action=UPDATE&amp;creator=factset&amp;DYN_ARGS=TRUE&amp;DOC_NAME=FAT:FQL_AUDITING_CLIENT_TEMPLATE.FAT&amp;display_string=Audit&amp;VAR:KEY=JODSZKTSNY&amp;VAR:QUERY=RkZfRUJJVERBX0lCKCdMVE1TJywzOTUxNCk=&amp;WINDOW=FIRST_POPUP&amp;HEIGHT=450&amp;WIDTH=450&amp;START_MA","XIMIZED=FALSE&amp;VAR:CALENDAR=US&amp;VAR:SYMBOL=04916420&amp;VAR:INDEX=0"}</definedName>
    <definedName name="_9856__FDSAUDITLINK__" localSheetId="6" hidden="1">{"fdsup://directions/FAT Viewer?action=UPDATE&amp;creator=factset&amp;DYN_ARGS=TRUE&amp;DOC_NAME=FAT:FQL_AUDITING_CLIENT_TEMPLATE.FAT&amp;display_string=Audit&amp;VAR:KEY=XUTCPOXCJU&amp;VAR:QUERY=RkZfRUJJVERBX0lCKCdMVE1TJywzOTUxMyk=&amp;WINDOW=FIRST_POPUP&amp;HEIGHT=450&amp;WIDTH=450&amp;START_MA","XIMIZED=FALSE&amp;VAR:CALENDAR=US&amp;VAR:SYMBOL=04916420&amp;VAR:INDEX=0"}</definedName>
    <definedName name="_9856__FDSAUDITLINK__" hidden="1">{"fdsup://directions/FAT Viewer?action=UPDATE&amp;creator=factset&amp;DYN_ARGS=TRUE&amp;DOC_NAME=FAT:FQL_AUDITING_CLIENT_TEMPLATE.FAT&amp;display_string=Audit&amp;VAR:KEY=XUTCPOXCJU&amp;VAR:QUERY=RkZfRUJJVERBX0lCKCdMVE1TJywzOTUxMyk=&amp;WINDOW=FIRST_POPUP&amp;HEIGHT=450&amp;WIDTH=450&amp;START_MA","XIMIZED=FALSE&amp;VAR:CALENDAR=US&amp;VAR:SYMBOL=04916420&amp;VAR:INDEX=0"}</definedName>
    <definedName name="_9857__FDSAUDITLINK__" localSheetId="6" hidden="1">{"fdsup://directions/FAT Viewer?action=UPDATE&amp;creator=factset&amp;DYN_ARGS=TRUE&amp;DOC_NAME=FAT:FQL_AUDITING_CLIENT_TEMPLATE.FAT&amp;display_string=Audit&amp;VAR:KEY=JEJKXERIZE&amp;VAR:QUERY=RkZfRUJJVERBX0lCKCdMVE1TJywzOTUxMik=&amp;WINDOW=FIRST_POPUP&amp;HEIGHT=450&amp;WIDTH=450&amp;START_MA","XIMIZED=FALSE&amp;VAR:CALENDAR=US&amp;VAR:SYMBOL=04916420&amp;VAR:INDEX=0"}</definedName>
    <definedName name="_9857__FDSAUDITLINK__" hidden="1">{"fdsup://directions/FAT Viewer?action=UPDATE&amp;creator=factset&amp;DYN_ARGS=TRUE&amp;DOC_NAME=FAT:FQL_AUDITING_CLIENT_TEMPLATE.FAT&amp;display_string=Audit&amp;VAR:KEY=JEJKXERIZE&amp;VAR:QUERY=RkZfRUJJVERBX0lCKCdMVE1TJywzOTUxMik=&amp;WINDOW=FIRST_POPUP&amp;HEIGHT=450&amp;WIDTH=450&amp;START_MA","XIMIZED=FALSE&amp;VAR:CALENDAR=US&amp;VAR:SYMBOL=04916420&amp;VAR:INDEX=0"}</definedName>
    <definedName name="_9858__FDSAUDITLINK__" localSheetId="6" hidden="1">{"fdsup://directions/FAT Viewer?action=UPDATE&amp;creator=factset&amp;DYN_ARGS=TRUE&amp;DOC_NAME=FAT:FQL_AUDITING_CLIENT_TEMPLATE.FAT&amp;display_string=Audit&amp;VAR:KEY=VQDAPURURK&amp;VAR:QUERY=RkZfRUJJVERBX0lCKCdMVE1TJywzOTUxMSk=&amp;WINDOW=FIRST_POPUP&amp;HEIGHT=450&amp;WIDTH=450&amp;START_MA","XIMIZED=FALSE&amp;VAR:CALENDAR=US&amp;VAR:SYMBOL=04916420&amp;VAR:INDEX=0"}</definedName>
    <definedName name="_9858__FDSAUDITLINK__" hidden="1">{"fdsup://directions/FAT Viewer?action=UPDATE&amp;creator=factset&amp;DYN_ARGS=TRUE&amp;DOC_NAME=FAT:FQL_AUDITING_CLIENT_TEMPLATE.FAT&amp;display_string=Audit&amp;VAR:KEY=VQDAPURURK&amp;VAR:QUERY=RkZfRUJJVERBX0lCKCdMVE1TJywzOTUxMSk=&amp;WINDOW=FIRST_POPUP&amp;HEIGHT=450&amp;WIDTH=450&amp;START_MA","XIMIZED=FALSE&amp;VAR:CALENDAR=US&amp;VAR:SYMBOL=04916420&amp;VAR:INDEX=0"}</definedName>
    <definedName name="_9859__FDSAUDITLINK__" localSheetId="6" hidden="1">{"fdsup://directions/FAT Viewer?action=UPDATE&amp;creator=factset&amp;DYN_ARGS=TRUE&amp;DOC_NAME=FAT:FQL_AUDITING_CLIENT_TEMPLATE.FAT&amp;display_string=Audit&amp;VAR:KEY=FKBMTUFSVS&amp;VAR:QUERY=RkZfRUJJVERBX0lCKCdMVE1TJywzOTUxMCk=&amp;WINDOW=FIRST_POPUP&amp;HEIGHT=450&amp;WIDTH=450&amp;START_MA","XIMIZED=FALSE&amp;VAR:CALENDAR=US&amp;VAR:SYMBOL=04916420&amp;VAR:INDEX=0"}</definedName>
    <definedName name="_9859__FDSAUDITLINK__" hidden="1">{"fdsup://directions/FAT Viewer?action=UPDATE&amp;creator=factset&amp;DYN_ARGS=TRUE&amp;DOC_NAME=FAT:FQL_AUDITING_CLIENT_TEMPLATE.FAT&amp;display_string=Audit&amp;VAR:KEY=FKBMTUFSVS&amp;VAR:QUERY=RkZfRUJJVERBX0lCKCdMVE1TJywzOTUxMCk=&amp;WINDOW=FIRST_POPUP&amp;HEIGHT=450&amp;WIDTH=450&amp;START_MA","XIMIZED=FALSE&amp;VAR:CALENDAR=US&amp;VAR:SYMBOL=04916420&amp;VAR:INDEX=0"}</definedName>
    <definedName name="_986__FDSAUDITLINK__" localSheetId="6" hidden="1">{"fdsup://directions/FAT%20Viewer?VAR:PED=LTM&amp;VAR:AUDIT_MODE=SUMMARY&amp;VAR:PERIOD=FIXED&amp;VAR:AUDIT_ID=00000117&amp;VAR:DATE=20070611&amp;action=UPDATE&amp;creator=factset&amp;DOC_NAME=FAT:FMA_audit_SUMMARY.fat&amp;DISPLAY_STRING=Display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6__FDSAUDITLINK__" hidden="1">{"fdsup://directions/FAT%20Viewer?VAR:PED=LTM&amp;VAR:AUDIT_MODE=SUMMARY&amp;VAR:PERIOD=FIXED&amp;VAR:AUDIT_ID=00000117&amp;VAR:DATE=20070611&amp;action=UPDATE&amp;creator=factset&amp;DOC_NAME=FAT:FMA_audit_SUMMARY.fat&amp;DISPLAY_STRING=Display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60__FDSAUDITLINK__" localSheetId="6" hidden="1">{"fdsup://directions/FAT Viewer?action=UPDATE&amp;creator=factset&amp;DYN_ARGS=TRUE&amp;DOC_NAME=FAT:FQL_AUDITING_CLIENT_TEMPLATE.FAT&amp;display_string=Audit&amp;VAR:KEY=DOLGXGPYNM&amp;VAR:QUERY=RkZfRUJJVERBX0lCKCdMVE1TJywzOTUwOSk=&amp;WINDOW=FIRST_POPUP&amp;HEIGHT=450&amp;WIDTH=450&amp;START_MA","XIMIZED=FALSE&amp;VAR:CALENDAR=US&amp;VAR:SYMBOL=04916420&amp;VAR:INDEX=0"}</definedName>
    <definedName name="_9860__FDSAUDITLINK__" hidden="1">{"fdsup://directions/FAT Viewer?action=UPDATE&amp;creator=factset&amp;DYN_ARGS=TRUE&amp;DOC_NAME=FAT:FQL_AUDITING_CLIENT_TEMPLATE.FAT&amp;display_string=Audit&amp;VAR:KEY=DOLGXGPYNM&amp;VAR:QUERY=RkZfRUJJVERBX0lCKCdMVE1TJywzOTUwOSk=&amp;WINDOW=FIRST_POPUP&amp;HEIGHT=450&amp;WIDTH=450&amp;START_MA","XIMIZED=FALSE&amp;VAR:CALENDAR=US&amp;VAR:SYMBOL=04916420&amp;VAR:INDEX=0"}</definedName>
    <definedName name="_9861__FDSAUDITLINK__" localSheetId="6" hidden="1">{"fdsup://directions/FAT Viewer?action=UPDATE&amp;creator=factset&amp;DYN_ARGS=TRUE&amp;DOC_NAME=FAT:FQL_AUDITING_CLIENT_TEMPLATE.FAT&amp;display_string=Audit&amp;VAR:KEY=JYNAJUXIRQ&amp;VAR:QUERY=RkZfRUJJVERBX0lCKCdMVE1TJywzOTUwOCk=&amp;WINDOW=FIRST_POPUP&amp;HEIGHT=450&amp;WIDTH=450&amp;START_MA","XIMIZED=FALSE&amp;VAR:CALENDAR=US&amp;VAR:SYMBOL=04916420&amp;VAR:INDEX=0"}</definedName>
    <definedName name="_9861__FDSAUDITLINK__" hidden="1">{"fdsup://directions/FAT Viewer?action=UPDATE&amp;creator=factset&amp;DYN_ARGS=TRUE&amp;DOC_NAME=FAT:FQL_AUDITING_CLIENT_TEMPLATE.FAT&amp;display_string=Audit&amp;VAR:KEY=JYNAJUXIRQ&amp;VAR:QUERY=RkZfRUJJVERBX0lCKCdMVE1TJywzOTUwOCk=&amp;WINDOW=FIRST_POPUP&amp;HEIGHT=450&amp;WIDTH=450&amp;START_MA","XIMIZED=FALSE&amp;VAR:CALENDAR=US&amp;VAR:SYMBOL=04916420&amp;VAR:INDEX=0"}</definedName>
    <definedName name="_9862__FDSAUDITLINK__" localSheetId="6" hidden="1">{"fdsup://directions/FAT Viewer?action=UPDATE&amp;creator=factset&amp;DYN_ARGS=TRUE&amp;DOC_NAME=FAT:FQL_AUDITING_CLIENT_TEMPLATE.FAT&amp;display_string=Audit&amp;VAR:KEY=ZOBAJARQRC&amp;VAR:QUERY=RkZfRUJJVERBX0lCKCdMVE1TJywzOTUwNyk=&amp;WINDOW=FIRST_POPUP&amp;HEIGHT=450&amp;WIDTH=450&amp;START_MA","XIMIZED=FALSE&amp;VAR:CALENDAR=US&amp;VAR:SYMBOL=04916420&amp;VAR:INDEX=0"}</definedName>
    <definedName name="_9862__FDSAUDITLINK__" hidden="1">{"fdsup://directions/FAT Viewer?action=UPDATE&amp;creator=factset&amp;DYN_ARGS=TRUE&amp;DOC_NAME=FAT:FQL_AUDITING_CLIENT_TEMPLATE.FAT&amp;display_string=Audit&amp;VAR:KEY=ZOBAJARQRC&amp;VAR:QUERY=RkZfRUJJVERBX0lCKCdMVE1TJywzOTUwNyk=&amp;WINDOW=FIRST_POPUP&amp;HEIGHT=450&amp;WIDTH=450&amp;START_MA","XIMIZED=FALSE&amp;VAR:CALENDAR=US&amp;VAR:SYMBOL=04916420&amp;VAR:INDEX=0"}</definedName>
    <definedName name="_9863__FDSAUDITLINK__" localSheetId="6" hidden="1">{"fdsup://directions/FAT Viewer?action=UPDATE&amp;creator=factset&amp;DYN_ARGS=TRUE&amp;DOC_NAME=FAT:FQL_AUDITING_CLIENT_TEMPLATE.FAT&amp;display_string=Audit&amp;VAR:KEY=VMBAFAFYLU&amp;VAR:QUERY=RkZfRUJJVERBX0lCKCdMVE1TJywzOTUwNik=&amp;WINDOW=FIRST_POPUP&amp;HEIGHT=450&amp;WIDTH=450&amp;START_MA","XIMIZED=FALSE&amp;VAR:CALENDAR=US&amp;VAR:SYMBOL=04916420&amp;VAR:INDEX=0"}</definedName>
    <definedName name="_9863__FDSAUDITLINK__" hidden="1">{"fdsup://directions/FAT Viewer?action=UPDATE&amp;creator=factset&amp;DYN_ARGS=TRUE&amp;DOC_NAME=FAT:FQL_AUDITING_CLIENT_TEMPLATE.FAT&amp;display_string=Audit&amp;VAR:KEY=VMBAFAFYLU&amp;VAR:QUERY=RkZfRUJJVERBX0lCKCdMVE1TJywzOTUwNik=&amp;WINDOW=FIRST_POPUP&amp;HEIGHT=450&amp;WIDTH=450&amp;START_MA","XIMIZED=FALSE&amp;VAR:CALENDAR=US&amp;VAR:SYMBOL=04916420&amp;VAR:INDEX=0"}</definedName>
    <definedName name="_9864__FDSAUDITLINK__" localSheetId="6" hidden="1">{"fdsup://directions/FAT Viewer?action=UPDATE&amp;creator=factset&amp;DYN_ARGS=TRUE&amp;DOC_NAME=FAT:FQL_AUDITING_CLIENT_TEMPLATE.FAT&amp;display_string=Audit&amp;VAR:KEY=ZSRCVWPIXI&amp;VAR:QUERY=RkZfRUJJVERBX0lCKCdMVE1TJywzOTUwNSk=&amp;WINDOW=FIRST_POPUP&amp;HEIGHT=450&amp;WIDTH=450&amp;START_MA","XIMIZED=FALSE&amp;VAR:CALENDAR=US&amp;VAR:SYMBOL=04916420&amp;VAR:INDEX=0"}</definedName>
    <definedName name="_9864__FDSAUDITLINK__" hidden="1">{"fdsup://directions/FAT Viewer?action=UPDATE&amp;creator=factset&amp;DYN_ARGS=TRUE&amp;DOC_NAME=FAT:FQL_AUDITING_CLIENT_TEMPLATE.FAT&amp;display_string=Audit&amp;VAR:KEY=ZSRCVWPIXI&amp;VAR:QUERY=RkZfRUJJVERBX0lCKCdMVE1TJywzOTUwNSk=&amp;WINDOW=FIRST_POPUP&amp;HEIGHT=450&amp;WIDTH=450&amp;START_MA","XIMIZED=FALSE&amp;VAR:CALENDAR=US&amp;VAR:SYMBOL=04916420&amp;VAR:INDEX=0"}</definedName>
    <definedName name="_9865__FDSAUDITLINK__" localSheetId="6" hidden="1">{"fdsup://directions/FAT Viewer?action=UPDATE&amp;creator=factset&amp;DYN_ARGS=TRUE&amp;DOC_NAME=FAT:FQL_AUDITING_CLIENT_TEMPLATE.FAT&amp;display_string=Audit&amp;VAR:KEY=XUXKZYXSFS&amp;VAR:QUERY=RkZfRUJJVERBX0lCKCdMVE1TJywzOTUwNCk=&amp;WINDOW=FIRST_POPUP&amp;HEIGHT=450&amp;WIDTH=450&amp;START_MA","XIMIZED=FALSE&amp;VAR:CALENDAR=US&amp;VAR:SYMBOL=04916420&amp;VAR:INDEX=0"}</definedName>
    <definedName name="_9865__FDSAUDITLINK__" hidden="1">{"fdsup://directions/FAT Viewer?action=UPDATE&amp;creator=factset&amp;DYN_ARGS=TRUE&amp;DOC_NAME=FAT:FQL_AUDITING_CLIENT_TEMPLATE.FAT&amp;display_string=Audit&amp;VAR:KEY=XUXKZYXSFS&amp;VAR:QUERY=RkZfRUJJVERBX0lCKCdMVE1TJywzOTUwNCk=&amp;WINDOW=FIRST_POPUP&amp;HEIGHT=450&amp;WIDTH=450&amp;START_MA","XIMIZED=FALSE&amp;VAR:CALENDAR=US&amp;VAR:SYMBOL=04916420&amp;VAR:INDEX=0"}</definedName>
    <definedName name="_9866__FDSAUDITLINK__" localSheetId="6" hidden="1">{"fdsup://directions/FAT Viewer?action=UPDATE&amp;creator=factset&amp;DYN_ARGS=TRUE&amp;DOC_NAME=FAT:FQL_AUDITING_CLIENT_TEMPLATE.FAT&amp;display_string=Audit&amp;VAR:KEY=HILILADWRG&amp;VAR:QUERY=RkZfRUJJVERBX0lCKCdMVE1TJywzOTUwMyk=&amp;WINDOW=FIRST_POPUP&amp;HEIGHT=450&amp;WIDTH=450&amp;START_MA","XIMIZED=FALSE&amp;VAR:CALENDAR=US&amp;VAR:SYMBOL=04916420&amp;VAR:INDEX=0"}</definedName>
    <definedName name="_9866__FDSAUDITLINK__" hidden="1">{"fdsup://directions/FAT Viewer?action=UPDATE&amp;creator=factset&amp;DYN_ARGS=TRUE&amp;DOC_NAME=FAT:FQL_AUDITING_CLIENT_TEMPLATE.FAT&amp;display_string=Audit&amp;VAR:KEY=HILILADWRG&amp;VAR:QUERY=RkZfRUJJVERBX0lCKCdMVE1TJywzOTUwMyk=&amp;WINDOW=FIRST_POPUP&amp;HEIGHT=450&amp;WIDTH=450&amp;START_MA","XIMIZED=FALSE&amp;VAR:CALENDAR=US&amp;VAR:SYMBOL=04916420&amp;VAR:INDEX=0"}</definedName>
    <definedName name="_9867__FDSAUDITLINK__" localSheetId="6" hidden="1">{"fdsup://directions/FAT Viewer?action=UPDATE&amp;creator=factset&amp;DYN_ARGS=TRUE&amp;DOC_NAME=FAT:FQL_AUDITING_CLIENT_TEMPLATE.FAT&amp;display_string=Audit&amp;VAR:KEY=TQXIDMXCBI&amp;VAR:QUERY=RkZfRUJJVERBX0lCKCdMVE1TJywzOTUwMik=&amp;WINDOW=FIRST_POPUP&amp;HEIGHT=450&amp;WIDTH=450&amp;START_MA","XIMIZED=FALSE&amp;VAR:CALENDAR=US&amp;VAR:SYMBOL=04916420&amp;VAR:INDEX=0"}</definedName>
    <definedName name="_9867__FDSAUDITLINK__" hidden="1">{"fdsup://directions/FAT Viewer?action=UPDATE&amp;creator=factset&amp;DYN_ARGS=TRUE&amp;DOC_NAME=FAT:FQL_AUDITING_CLIENT_TEMPLATE.FAT&amp;display_string=Audit&amp;VAR:KEY=TQXIDMXCBI&amp;VAR:QUERY=RkZfRUJJVERBX0lCKCdMVE1TJywzOTUwMik=&amp;WINDOW=FIRST_POPUP&amp;HEIGHT=450&amp;WIDTH=450&amp;START_MA","XIMIZED=FALSE&amp;VAR:CALENDAR=US&amp;VAR:SYMBOL=04916420&amp;VAR:INDEX=0"}</definedName>
    <definedName name="_9868__FDSAUDITLINK__" localSheetId="6" hidden="1">{"fdsup://directions/FAT Viewer?action=UPDATE&amp;creator=factset&amp;DYN_ARGS=TRUE&amp;DOC_NAME=FAT:FQL_AUDITING_CLIENT_TEMPLATE.FAT&amp;display_string=Audit&amp;VAR:KEY=ROPEZGBEPC&amp;VAR:QUERY=RkZfRUJJVERBX0lCKCdMVE1TJywzOTUwMSk=&amp;WINDOW=FIRST_POPUP&amp;HEIGHT=450&amp;WIDTH=450&amp;START_MA","XIMIZED=FALSE&amp;VAR:CALENDAR=US&amp;VAR:SYMBOL=04916420&amp;VAR:INDEX=0"}</definedName>
    <definedName name="_9868__FDSAUDITLINK__" hidden="1">{"fdsup://directions/FAT Viewer?action=UPDATE&amp;creator=factset&amp;DYN_ARGS=TRUE&amp;DOC_NAME=FAT:FQL_AUDITING_CLIENT_TEMPLATE.FAT&amp;display_string=Audit&amp;VAR:KEY=ROPEZGBEPC&amp;VAR:QUERY=RkZfRUJJVERBX0lCKCdMVE1TJywzOTUwMSk=&amp;WINDOW=FIRST_POPUP&amp;HEIGHT=450&amp;WIDTH=450&amp;START_MA","XIMIZED=FALSE&amp;VAR:CALENDAR=US&amp;VAR:SYMBOL=04916420&amp;VAR:INDEX=0"}</definedName>
    <definedName name="_9869__FDSAUDITLINK__" localSheetId="6" hidden="1">{"fdsup://directions/FAT Viewer?action=UPDATE&amp;creator=factset&amp;DYN_ARGS=TRUE&amp;DOC_NAME=FAT:FQL_AUDITING_CLIENT_TEMPLATE.FAT&amp;display_string=Audit&amp;VAR:KEY=VAFWJYJOVG&amp;VAR:QUERY=RkZfRUJJVERBX0lCKCdMVE1TJywzOTUwMCk=&amp;WINDOW=FIRST_POPUP&amp;HEIGHT=450&amp;WIDTH=450&amp;START_MA","XIMIZED=FALSE&amp;VAR:CALENDAR=US&amp;VAR:SYMBOL=04916420&amp;VAR:INDEX=0"}</definedName>
    <definedName name="_9869__FDSAUDITLINK__" hidden="1">{"fdsup://directions/FAT Viewer?action=UPDATE&amp;creator=factset&amp;DYN_ARGS=TRUE&amp;DOC_NAME=FAT:FQL_AUDITING_CLIENT_TEMPLATE.FAT&amp;display_string=Audit&amp;VAR:KEY=VAFWJYJOVG&amp;VAR:QUERY=RkZfRUJJVERBX0lCKCdMVE1TJywzOTUwMCk=&amp;WINDOW=FIRST_POPUP&amp;HEIGHT=450&amp;WIDTH=450&amp;START_MA","XIMIZED=FALSE&amp;VAR:CALENDAR=US&amp;VAR:SYMBOL=04916420&amp;VAR:INDEX=0"}</definedName>
    <definedName name="_987__FDSAUDITLINK__" localSheetId="6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7__FDSAUDITLINK__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70__FDSAUDITLINK__" localSheetId="6" hidden="1">{"fdsup://directions/FAT Viewer?action=UPDATE&amp;creator=factset&amp;DYN_ARGS=TRUE&amp;DOC_NAME=FAT:FQL_AUDITING_CLIENT_TEMPLATE.FAT&amp;display_string=Audit&amp;VAR:KEY=DIPWBYHYXI&amp;VAR:QUERY=RkZfRUJJVERBX0lCKCdMVE1TJywzOTQ5OSk=&amp;WINDOW=FIRST_POPUP&amp;HEIGHT=450&amp;WIDTH=450&amp;START_MA","XIMIZED=FALSE&amp;VAR:CALENDAR=US&amp;VAR:SYMBOL=04916420&amp;VAR:INDEX=0"}</definedName>
    <definedName name="_9870__FDSAUDITLINK__" hidden="1">{"fdsup://directions/FAT Viewer?action=UPDATE&amp;creator=factset&amp;DYN_ARGS=TRUE&amp;DOC_NAME=FAT:FQL_AUDITING_CLIENT_TEMPLATE.FAT&amp;display_string=Audit&amp;VAR:KEY=DIPWBYHYXI&amp;VAR:QUERY=RkZfRUJJVERBX0lCKCdMVE1TJywzOTQ5OSk=&amp;WINDOW=FIRST_POPUP&amp;HEIGHT=450&amp;WIDTH=450&amp;START_MA","XIMIZED=FALSE&amp;VAR:CALENDAR=US&amp;VAR:SYMBOL=04916420&amp;VAR:INDEX=0"}</definedName>
    <definedName name="_9871__FDSAUDITLINK__" localSheetId="6" hidden="1">{"fdsup://directions/FAT Viewer?action=UPDATE&amp;creator=factset&amp;DYN_ARGS=TRUE&amp;DOC_NAME=FAT:FQL_AUDITING_CLIENT_TEMPLATE.FAT&amp;display_string=Audit&amp;VAR:KEY=RMTYVWBETO&amp;VAR:QUERY=RkZfRUJJVERBX0lCKCdMVE1TJywzOTQ5OCk=&amp;WINDOW=FIRST_POPUP&amp;HEIGHT=450&amp;WIDTH=450&amp;START_MA","XIMIZED=FALSE&amp;VAR:CALENDAR=US&amp;VAR:SYMBOL=04916420&amp;VAR:INDEX=0"}</definedName>
    <definedName name="_9871__FDSAUDITLINK__" hidden="1">{"fdsup://directions/FAT Viewer?action=UPDATE&amp;creator=factset&amp;DYN_ARGS=TRUE&amp;DOC_NAME=FAT:FQL_AUDITING_CLIENT_TEMPLATE.FAT&amp;display_string=Audit&amp;VAR:KEY=RMTYVWBETO&amp;VAR:QUERY=RkZfRUJJVERBX0lCKCdMVE1TJywzOTQ5OCk=&amp;WINDOW=FIRST_POPUP&amp;HEIGHT=450&amp;WIDTH=450&amp;START_MA","XIMIZED=FALSE&amp;VAR:CALENDAR=US&amp;VAR:SYMBOL=04916420&amp;VAR:INDEX=0"}</definedName>
    <definedName name="_9872__FDSAUDITLINK__" localSheetId="6" hidden="1">{"fdsup://directions/FAT Viewer?action=UPDATE&amp;creator=factset&amp;DYN_ARGS=TRUE&amp;DOC_NAME=FAT:FQL_AUDITING_CLIENT_TEMPLATE.FAT&amp;display_string=Audit&amp;VAR:KEY=HGPEPIRUXK&amp;VAR:QUERY=RkZfRUJJVERBX0lCKCdMVE1TJywzOTQ5Nyk=&amp;WINDOW=FIRST_POPUP&amp;HEIGHT=450&amp;WIDTH=450&amp;START_MA","XIMIZED=FALSE&amp;VAR:CALENDAR=US&amp;VAR:SYMBOL=04916420&amp;VAR:INDEX=0"}</definedName>
    <definedName name="_9872__FDSAUDITLINK__" hidden="1">{"fdsup://directions/FAT Viewer?action=UPDATE&amp;creator=factset&amp;DYN_ARGS=TRUE&amp;DOC_NAME=FAT:FQL_AUDITING_CLIENT_TEMPLATE.FAT&amp;display_string=Audit&amp;VAR:KEY=HGPEPIRUXK&amp;VAR:QUERY=RkZfRUJJVERBX0lCKCdMVE1TJywzOTQ5Nyk=&amp;WINDOW=FIRST_POPUP&amp;HEIGHT=450&amp;WIDTH=450&amp;START_MA","XIMIZED=FALSE&amp;VAR:CALENDAR=US&amp;VAR:SYMBOL=04916420&amp;VAR:INDEX=0"}</definedName>
    <definedName name="_9873__FDSAUDITLINK__" localSheetId="6" hidden="1">{"fdsup://directions/FAT Viewer?action=UPDATE&amp;creator=factset&amp;DYN_ARGS=TRUE&amp;DOC_NAME=FAT:FQL_AUDITING_CLIENT_TEMPLATE.FAT&amp;display_string=Audit&amp;VAR:KEY=LQZSFIDIHK&amp;VAR:QUERY=RkZfRUJJVERBX0lCKCdMVE1TJywzOTQ5Nik=&amp;WINDOW=FIRST_POPUP&amp;HEIGHT=450&amp;WIDTH=450&amp;START_MA","XIMIZED=FALSE&amp;VAR:CALENDAR=US&amp;VAR:SYMBOL=04916420&amp;VAR:INDEX=0"}</definedName>
    <definedName name="_9873__FDSAUDITLINK__" hidden="1">{"fdsup://directions/FAT Viewer?action=UPDATE&amp;creator=factset&amp;DYN_ARGS=TRUE&amp;DOC_NAME=FAT:FQL_AUDITING_CLIENT_TEMPLATE.FAT&amp;display_string=Audit&amp;VAR:KEY=LQZSFIDIHK&amp;VAR:QUERY=RkZfRUJJVERBX0lCKCdMVE1TJywzOTQ5Nik=&amp;WINDOW=FIRST_POPUP&amp;HEIGHT=450&amp;WIDTH=450&amp;START_MA","XIMIZED=FALSE&amp;VAR:CALENDAR=US&amp;VAR:SYMBOL=04916420&amp;VAR:INDEX=0"}</definedName>
    <definedName name="_9874__FDSAUDITLINK__" localSheetId="6" hidden="1">{"fdsup://directions/FAT Viewer?action=UPDATE&amp;creator=factset&amp;DYN_ARGS=TRUE&amp;DOC_NAME=FAT:FQL_AUDITING_CLIENT_TEMPLATE.FAT&amp;display_string=Audit&amp;VAR:KEY=BUHCBERAVI&amp;VAR:QUERY=RkZfRUJJVERBX0lCKCdMVE1TJywzOTQ5NSk=&amp;WINDOW=FIRST_POPUP&amp;HEIGHT=450&amp;WIDTH=450&amp;START_MA","XIMIZED=FALSE&amp;VAR:CALENDAR=US&amp;VAR:SYMBOL=04916420&amp;VAR:INDEX=0"}</definedName>
    <definedName name="_9874__FDSAUDITLINK__" hidden="1">{"fdsup://directions/FAT Viewer?action=UPDATE&amp;creator=factset&amp;DYN_ARGS=TRUE&amp;DOC_NAME=FAT:FQL_AUDITING_CLIENT_TEMPLATE.FAT&amp;display_string=Audit&amp;VAR:KEY=BUHCBERAVI&amp;VAR:QUERY=RkZfRUJJVERBX0lCKCdMVE1TJywzOTQ5NSk=&amp;WINDOW=FIRST_POPUP&amp;HEIGHT=450&amp;WIDTH=450&amp;START_MA","XIMIZED=FALSE&amp;VAR:CALENDAR=US&amp;VAR:SYMBOL=04916420&amp;VAR:INDEX=0"}</definedName>
    <definedName name="_9875__FDSAUDITLINK__" localSheetId="6" hidden="1">{"fdsup://directions/FAT Viewer?action=UPDATE&amp;creator=factset&amp;DYN_ARGS=TRUE&amp;DOC_NAME=FAT:FQL_AUDITING_CLIENT_TEMPLATE.FAT&amp;display_string=Audit&amp;VAR:KEY=DMNUTMTGVI&amp;VAR:QUERY=RkZfRUJJVERBX0lCKCdMVE1TJywzOTQ5NCk=&amp;WINDOW=FIRST_POPUP&amp;HEIGHT=450&amp;WIDTH=450&amp;START_MA","XIMIZED=FALSE&amp;VAR:CALENDAR=US&amp;VAR:SYMBOL=04916420&amp;VAR:INDEX=0"}</definedName>
    <definedName name="_9875__FDSAUDITLINK__" hidden="1">{"fdsup://directions/FAT Viewer?action=UPDATE&amp;creator=factset&amp;DYN_ARGS=TRUE&amp;DOC_NAME=FAT:FQL_AUDITING_CLIENT_TEMPLATE.FAT&amp;display_string=Audit&amp;VAR:KEY=DMNUTMTGVI&amp;VAR:QUERY=RkZfRUJJVERBX0lCKCdMVE1TJywzOTQ5NCk=&amp;WINDOW=FIRST_POPUP&amp;HEIGHT=450&amp;WIDTH=450&amp;START_MA","XIMIZED=FALSE&amp;VAR:CALENDAR=US&amp;VAR:SYMBOL=04916420&amp;VAR:INDEX=0"}</definedName>
    <definedName name="_9876__FDSAUDITLINK__" localSheetId="6" hidden="1">{"fdsup://directions/FAT Viewer?action=UPDATE&amp;creator=factset&amp;DYN_ARGS=TRUE&amp;DOC_NAME=FAT:FQL_AUDITING_CLIENT_TEMPLATE.FAT&amp;display_string=Audit&amp;VAR:KEY=BULQTORGHA&amp;VAR:QUERY=RkZfRUJJVERBX0lCKCdMVE1TJywzOTQ5Myk=&amp;WINDOW=FIRST_POPUP&amp;HEIGHT=450&amp;WIDTH=450&amp;START_MA","XIMIZED=FALSE&amp;VAR:CALENDAR=US&amp;VAR:SYMBOL=04916420&amp;VAR:INDEX=0"}</definedName>
    <definedName name="_9876__FDSAUDITLINK__" hidden="1">{"fdsup://directions/FAT Viewer?action=UPDATE&amp;creator=factset&amp;DYN_ARGS=TRUE&amp;DOC_NAME=FAT:FQL_AUDITING_CLIENT_TEMPLATE.FAT&amp;display_string=Audit&amp;VAR:KEY=BULQTORGHA&amp;VAR:QUERY=RkZfRUJJVERBX0lCKCdMVE1TJywzOTQ5Myk=&amp;WINDOW=FIRST_POPUP&amp;HEIGHT=450&amp;WIDTH=450&amp;START_MA","XIMIZED=FALSE&amp;VAR:CALENDAR=US&amp;VAR:SYMBOL=04916420&amp;VAR:INDEX=0"}</definedName>
    <definedName name="_9877__FDSAUDITLINK__" localSheetId="6" hidden="1">{"fdsup://directions/FAT Viewer?action=UPDATE&amp;creator=factset&amp;DYN_ARGS=TRUE&amp;DOC_NAME=FAT:FQL_AUDITING_CLIENT_TEMPLATE.FAT&amp;display_string=Audit&amp;VAR:KEY=NCTGRKFYNI&amp;VAR:QUERY=RkZfRUJJVERBX0lCKCdMVE1TJywzOTQ5Mik=&amp;WINDOW=FIRST_POPUP&amp;HEIGHT=450&amp;WIDTH=450&amp;START_MA","XIMIZED=FALSE&amp;VAR:CALENDAR=US&amp;VAR:SYMBOL=04916420&amp;VAR:INDEX=0"}</definedName>
    <definedName name="_9877__FDSAUDITLINK__" hidden="1">{"fdsup://directions/FAT Viewer?action=UPDATE&amp;creator=factset&amp;DYN_ARGS=TRUE&amp;DOC_NAME=FAT:FQL_AUDITING_CLIENT_TEMPLATE.FAT&amp;display_string=Audit&amp;VAR:KEY=NCTGRKFYNI&amp;VAR:QUERY=RkZfRUJJVERBX0lCKCdMVE1TJywzOTQ5Mik=&amp;WINDOW=FIRST_POPUP&amp;HEIGHT=450&amp;WIDTH=450&amp;START_MA","XIMIZED=FALSE&amp;VAR:CALENDAR=US&amp;VAR:SYMBOL=04916420&amp;VAR:INDEX=0"}</definedName>
    <definedName name="_9878__FDSAUDITLINK__" localSheetId="6" hidden="1">{"fdsup://directions/FAT Viewer?action=UPDATE&amp;creator=factset&amp;DYN_ARGS=TRUE&amp;DOC_NAME=FAT:FQL_AUDITING_CLIENT_TEMPLATE.FAT&amp;display_string=Audit&amp;VAR:KEY=VYFQZOFUVE&amp;VAR:QUERY=RkZfRUJJVERBX0lCKCdMVE1TJywzOTQ5MSk=&amp;WINDOW=FIRST_POPUP&amp;HEIGHT=450&amp;WIDTH=450&amp;START_MA","XIMIZED=FALSE&amp;VAR:CALENDAR=US&amp;VAR:SYMBOL=04916420&amp;VAR:INDEX=0"}</definedName>
    <definedName name="_9878__FDSAUDITLINK__" hidden="1">{"fdsup://directions/FAT Viewer?action=UPDATE&amp;creator=factset&amp;DYN_ARGS=TRUE&amp;DOC_NAME=FAT:FQL_AUDITING_CLIENT_TEMPLATE.FAT&amp;display_string=Audit&amp;VAR:KEY=VYFQZOFUVE&amp;VAR:QUERY=RkZfRUJJVERBX0lCKCdMVE1TJywzOTQ5MSk=&amp;WINDOW=FIRST_POPUP&amp;HEIGHT=450&amp;WIDTH=450&amp;START_MA","XIMIZED=FALSE&amp;VAR:CALENDAR=US&amp;VAR:SYMBOL=04916420&amp;VAR:INDEX=0"}</definedName>
    <definedName name="_9879__FDSAUDITLINK__" localSheetId="6" hidden="1">{"fdsup://directions/FAT Viewer?action=UPDATE&amp;creator=factset&amp;DYN_ARGS=TRUE&amp;DOC_NAME=FAT:FQL_AUDITING_CLIENT_TEMPLATE.FAT&amp;display_string=Audit&amp;VAR:KEY=TCNWFGDWLW&amp;VAR:QUERY=RkZfRUJJVERBX0lCKCdMVE1TJywzOTQ5MCk=&amp;WINDOW=FIRST_POPUP&amp;HEIGHT=450&amp;WIDTH=450&amp;START_MA","XIMIZED=FALSE&amp;VAR:CALENDAR=US&amp;VAR:SYMBOL=04916420&amp;VAR:INDEX=0"}</definedName>
    <definedName name="_9879__FDSAUDITLINK__" hidden="1">{"fdsup://directions/FAT Viewer?action=UPDATE&amp;creator=factset&amp;DYN_ARGS=TRUE&amp;DOC_NAME=FAT:FQL_AUDITING_CLIENT_TEMPLATE.FAT&amp;display_string=Audit&amp;VAR:KEY=TCNWFGDWLW&amp;VAR:QUERY=RkZfRUJJVERBX0lCKCdMVE1TJywzOTQ5MCk=&amp;WINDOW=FIRST_POPUP&amp;HEIGHT=450&amp;WIDTH=450&amp;START_MA","XIMIZED=FALSE&amp;VAR:CALENDAR=US&amp;VAR:SYMBOL=04916420&amp;VAR:INDEX=0"}</definedName>
    <definedName name="_988__FDSAUDITLINK__" localSheetId="6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8__FDSAUDITLINK__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80__FDSAUDITLINK__" localSheetId="6" hidden="1">{"fdsup://directions/FAT Viewer?action=UPDATE&amp;creator=factset&amp;DYN_ARGS=TRUE&amp;DOC_NAME=FAT:FQL_AUDITING_CLIENT_TEMPLATE.FAT&amp;display_string=Audit&amp;VAR:KEY=JWVSLQROFE&amp;VAR:QUERY=RkZfRUJJVERBX0lCKCdMVE1TJywzOTQ4OSk=&amp;WINDOW=FIRST_POPUP&amp;HEIGHT=450&amp;WIDTH=450&amp;START_MA","XIMIZED=FALSE&amp;VAR:CALENDAR=US&amp;VAR:SYMBOL=04916420&amp;VAR:INDEX=0"}</definedName>
    <definedName name="_9880__FDSAUDITLINK__" hidden="1">{"fdsup://directions/FAT Viewer?action=UPDATE&amp;creator=factset&amp;DYN_ARGS=TRUE&amp;DOC_NAME=FAT:FQL_AUDITING_CLIENT_TEMPLATE.FAT&amp;display_string=Audit&amp;VAR:KEY=JWVSLQROFE&amp;VAR:QUERY=RkZfRUJJVERBX0lCKCdMVE1TJywzOTQ4OSk=&amp;WINDOW=FIRST_POPUP&amp;HEIGHT=450&amp;WIDTH=450&amp;START_MA","XIMIZED=FALSE&amp;VAR:CALENDAR=US&amp;VAR:SYMBOL=04916420&amp;VAR:INDEX=0"}</definedName>
    <definedName name="_9881__FDSAUDITLINK__" localSheetId="6" hidden="1">{"fdsup://directions/FAT Viewer?action=UPDATE&amp;creator=factset&amp;DYN_ARGS=TRUE&amp;DOC_NAME=FAT:FQL_AUDITING_CLIENT_TEMPLATE.FAT&amp;display_string=Audit&amp;VAR:KEY=RUHWFSREDK&amp;VAR:QUERY=RkZfRUJJVERBX0lCKCdMVE1TJywzOTQ4OCk=&amp;WINDOW=FIRST_POPUP&amp;HEIGHT=450&amp;WIDTH=450&amp;START_MA","XIMIZED=FALSE&amp;VAR:CALENDAR=US&amp;VAR:SYMBOL=04916420&amp;VAR:INDEX=0"}</definedName>
    <definedName name="_9881__FDSAUDITLINK__" hidden="1">{"fdsup://directions/FAT Viewer?action=UPDATE&amp;creator=factset&amp;DYN_ARGS=TRUE&amp;DOC_NAME=FAT:FQL_AUDITING_CLIENT_TEMPLATE.FAT&amp;display_string=Audit&amp;VAR:KEY=RUHWFSREDK&amp;VAR:QUERY=RkZfRUJJVERBX0lCKCdMVE1TJywzOTQ4OCk=&amp;WINDOW=FIRST_POPUP&amp;HEIGHT=450&amp;WIDTH=450&amp;START_MA","XIMIZED=FALSE&amp;VAR:CALENDAR=US&amp;VAR:SYMBOL=04916420&amp;VAR:INDEX=0"}</definedName>
    <definedName name="_9882__FDSAUDITLINK__" localSheetId="6" hidden="1">{"fdsup://directions/FAT Viewer?action=UPDATE&amp;creator=factset&amp;DYN_ARGS=TRUE&amp;DOC_NAME=FAT:FQL_AUDITING_CLIENT_TEMPLATE.FAT&amp;display_string=Audit&amp;VAR:KEY=NOFKTQNSPK&amp;VAR:QUERY=RkZfRUJJVERBX0lCKCdMVE1TJywzOTQ4Nyk=&amp;WINDOW=FIRST_POPUP&amp;HEIGHT=450&amp;WIDTH=450&amp;START_MA","XIMIZED=FALSE&amp;VAR:CALENDAR=US&amp;VAR:SYMBOL=04916420&amp;VAR:INDEX=0"}</definedName>
    <definedName name="_9882__FDSAUDITLINK__" hidden="1">{"fdsup://directions/FAT Viewer?action=UPDATE&amp;creator=factset&amp;DYN_ARGS=TRUE&amp;DOC_NAME=FAT:FQL_AUDITING_CLIENT_TEMPLATE.FAT&amp;display_string=Audit&amp;VAR:KEY=NOFKTQNSPK&amp;VAR:QUERY=RkZfRUJJVERBX0lCKCdMVE1TJywzOTQ4Nyk=&amp;WINDOW=FIRST_POPUP&amp;HEIGHT=450&amp;WIDTH=450&amp;START_MA","XIMIZED=FALSE&amp;VAR:CALENDAR=US&amp;VAR:SYMBOL=04916420&amp;VAR:INDEX=0"}</definedName>
    <definedName name="_9883__FDSAUDITLINK__" localSheetId="6" hidden="1">{"fdsup://directions/FAT Viewer?action=UPDATE&amp;creator=factset&amp;DYN_ARGS=TRUE&amp;DOC_NAME=FAT:FQL_AUDITING_CLIENT_TEMPLATE.FAT&amp;display_string=Audit&amp;VAR:KEY=ZCPCZWZWRY&amp;VAR:QUERY=RkZfRUJJVERBX0lCKCdMVE1TJywzOTQ4Nik=&amp;WINDOW=FIRST_POPUP&amp;HEIGHT=450&amp;WIDTH=450&amp;START_MA","XIMIZED=FALSE&amp;VAR:CALENDAR=US&amp;VAR:SYMBOL=04916420&amp;VAR:INDEX=0"}</definedName>
    <definedName name="_9883__FDSAUDITLINK__" hidden="1">{"fdsup://directions/FAT Viewer?action=UPDATE&amp;creator=factset&amp;DYN_ARGS=TRUE&amp;DOC_NAME=FAT:FQL_AUDITING_CLIENT_TEMPLATE.FAT&amp;display_string=Audit&amp;VAR:KEY=ZCPCZWZWRY&amp;VAR:QUERY=RkZfRUJJVERBX0lCKCdMVE1TJywzOTQ4Nik=&amp;WINDOW=FIRST_POPUP&amp;HEIGHT=450&amp;WIDTH=450&amp;START_MA","XIMIZED=FALSE&amp;VAR:CALENDAR=US&amp;VAR:SYMBOL=04916420&amp;VAR:INDEX=0"}</definedName>
    <definedName name="_9884__FDSAUDITLINK__" localSheetId="6" hidden="1">{"fdsup://directions/FAT Viewer?action=UPDATE&amp;creator=factset&amp;DYN_ARGS=TRUE&amp;DOC_NAME=FAT:FQL_AUDITING_CLIENT_TEMPLATE.FAT&amp;display_string=Audit&amp;VAR:KEY=DYVATCJEBC&amp;VAR:QUERY=RkZfRUJJVERBX0lCKCdMVE1TJywzOTQ4NSk=&amp;WINDOW=FIRST_POPUP&amp;HEIGHT=450&amp;WIDTH=450&amp;START_MA","XIMIZED=FALSE&amp;VAR:CALENDAR=US&amp;VAR:SYMBOL=04916420&amp;VAR:INDEX=0"}</definedName>
    <definedName name="_9884__FDSAUDITLINK__" hidden="1">{"fdsup://directions/FAT Viewer?action=UPDATE&amp;creator=factset&amp;DYN_ARGS=TRUE&amp;DOC_NAME=FAT:FQL_AUDITING_CLIENT_TEMPLATE.FAT&amp;display_string=Audit&amp;VAR:KEY=DYVATCJEBC&amp;VAR:QUERY=RkZfRUJJVERBX0lCKCdMVE1TJywzOTQ4NSk=&amp;WINDOW=FIRST_POPUP&amp;HEIGHT=450&amp;WIDTH=450&amp;START_MA","XIMIZED=FALSE&amp;VAR:CALENDAR=US&amp;VAR:SYMBOL=04916420&amp;VAR:INDEX=0"}</definedName>
    <definedName name="_9885__FDSAUDITLINK__" localSheetId="6" hidden="1">{"fdsup://directions/FAT Viewer?action=UPDATE&amp;creator=factset&amp;DYN_ARGS=TRUE&amp;DOC_NAME=FAT:FQL_AUDITING_CLIENT_TEMPLATE.FAT&amp;display_string=Audit&amp;VAR:KEY=JKJCZMDIBQ&amp;VAR:QUERY=RkZfRUJJVERBX0lCKCdMVE1TJywzOTQ4NCk=&amp;WINDOW=FIRST_POPUP&amp;HEIGHT=450&amp;WIDTH=450&amp;START_MA","XIMIZED=FALSE&amp;VAR:CALENDAR=US&amp;VAR:SYMBOL=04916420&amp;VAR:INDEX=0"}</definedName>
    <definedName name="_9885__FDSAUDITLINK__" hidden="1">{"fdsup://directions/FAT Viewer?action=UPDATE&amp;creator=factset&amp;DYN_ARGS=TRUE&amp;DOC_NAME=FAT:FQL_AUDITING_CLIENT_TEMPLATE.FAT&amp;display_string=Audit&amp;VAR:KEY=JKJCZMDIBQ&amp;VAR:QUERY=RkZfRUJJVERBX0lCKCdMVE1TJywzOTQ4NCk=&amp;WINDOW=FIRST_POPUP&amp;HEIGHT=450&amp;WIDTH=450&amp;START_MA","XIMIZED=FALSE&amp;VAR:CALENDAR=US&amp;VAR:SYMBOL=04916420&amp;VAR:INDEX=0"}</definedName>
    <definedName name="_9886__FDSAUDITLINK__" localSheetId="6" hidden="1">{"fdsup://directions/FAT Viewer?action=UPDATE&amp;creator=factset&amp;DYN_ARGS=TRUE&amp;DOC_NAME=FAT:FQL_AUDITING_CLIENT_TEMPLATE.FAT&amp;display_string=Audit&amp;VAR:KEY=RQTKLGTILI&amp;VAR:QUERY=RkZfRUJJVERBX0lCKCdMVE1TJywzOTQ4Myk=&amp;WINDOW=FIRST_POPUP&amp;HEIGHT=450&amp;WIDTH=450&amp;START_MA","XIMIZED=FALSE&amp;VAR:CALENDAR=US&amp;VAR:SYMBOL=04916420&amp;VAR:INDEX=0"}</definedName>
    <definedName name="_9886__FDSAUDITLINK__" hidden="1">{"fdsup://directions/FAT Viewer?action=UPDATE&amp;creator=factset&amp;DYN_ARGS=TRUE&amp;DOC_NAME=FAT:FQL_AUDITING_CLIENT_TEMPLATE.FAT&amp;display_string=Audit&amp;VAR:KEY=RQTKLGTILI&amp;VAR:QUERY=RkZfRUJJVERBX0lCKCdMVE1TJywzOTQ4Myk=&amp;WINDOW=FIRST_POPUP&amp;HEIGHT=450&amp;WIDTH=450&amp;START_MA","XIMIZED=FALSE&amp;VAR:CALENDAR=US&amp;VAR:SYMBOL=04916420&amp;VAR:INDEX=0"}</definedName>
    <definedName name="_9887__FDSAUDITLINK__" localSheetId="6" hidden="1">{"fdsup://directions/FAT Viewer?action=UPDATE&amp;creator=factset&amp;DYN_ARGS=TRUE&amp;DOC_NAME=FAT:FQL_AUDITING_CLIENT_TEMPLATE.FAT&amp;display_string=Audit&amp;VAR:KEY=VUPENCROZC&amp;VAR:QUERY=RkZfRUJJVERBX0lCKCdMVE1TJywzOTQ4Mik=&amp;WINDOW=FIRST_POPUP&amp;HEIGHT=450&amp;WIDTH=450&amp;START_MA","XIMIZED=FALSE&amp;VAR:CALENDAR=US&amp;VAR:SYMBOL=04916420&amp;VAR:INDEX=0"}</definedName>
    <definedName name="_9887__FDSAUDITLINK__" hidden="1">{"fdsup://directions/FAT Viewer?action=UPDATE&amp;creator=factset&amp;DYN_ARGS=TRUE&amp;DOC_NAME=FAT:FQL_AUDITING_CLIENT_TEMPLATE.FAT&amp;display_string=Audit&amp;VAR:KEY=VUPENCROZC&amp;VAR:QUERY=RkZfRUJJVERBX0lCKCdMVE1TJywzOTQ4Mik=&amp;WINDOW=FIRST_POPUP&amp;HEIGHT=450&amp;WIDTH=450&amp;START_MA","XIMIZED=FALSE&amp;VAR:CALENDAR=US&amp;VAR:SYMBOL=04916420&amp;VAR:INDEX=0"}</definedName>
    <definedName name="_9888__FDSAUDITLINK__" localSheetId="6" hidden="1">{"fdsup://directions/FAT Viewer?action=UPDATE&amp;creator=factset&amp;DYN_ARGS=TRUE&amp;DOC_NAME=FAT:FQL_AUDITING_CLIENT_TEMPLATE.FAT&amp;display_string=Audit&amp;VAR:KEY=DIPWJSBAJK&amp;VAR:QUERY=RkZfRUJJVERBX0lCKCdMVE1TJywzOTQ4MSk=&amp;WINDOW=FIRST_POPUP&amp;HEIGHT=450&amp;WIDTH=450&amp;START_MA","XIMIZED=FALSE&amp;VAR:CALENDAR=US&amp;VAR:SYMBOL=04916420&amp;VAR:INDEX=0"}</definedName>
    <definedName name="_9888__FDSAUDITLINK__" hidden="1">{"fdsup://directions/FAT Viewer?action=UPDATE&amp;creator=factset&amp;DYN_ARGS=TRUE&amp;DOC_NAME=FAT:FQL_AUDITING_CLIENT_TEMPLATE.FAT&amp;display_string=Audit&amp;VAR:KEY=DIPWJSBAJK&amp;VAR:QUERY=RkZfRUJJVERBX0lCKCdMVE1TJywzOTQ4MSk=&amp;WINDOW=FIRST_POPUP&amp;HEIGHT=450&amp;WIDTH=450&amp;START_MA","XIMIZED=FALSE&amp;VAR:CALENDAR=US&amp;VAR:SYMBOL=04916420&amp;VAR:INDEX=0"}</definedName>
    <definedName name="_9889__FDSAUDITLINK__" localSheetId="6" hidden="1">{"fdsup://directions/FAT Viewer?action=UPDATE&amp;creator=factset&amp;DYN_ARGS=TRUE&amp;DOC_NAME=FAT:FQL_AUDITING_CLIENT_TEMPLATE.FAT&amp;display_string=Audit&amp;VAR:KEY=NIFWZWREJW&amp;VAR:QUERY=RkZfRUJJVERBX0lCKCdMVE1TJywzOTQ4MCk=&amp;WINDOW=FIRST_POPUP&amp;HEIGHT=450&amp;WIDTH=450&amp;START_MA","XIMIZED=FALSE&amp;VAR:CALENDAR=US&amp;VAR:SYMBOL=04916420&amp;VAR:INDEX=0"}</definedName>
    <definedName name="_9889__FDSAUDITLINK__" hidden="1">{"fdsup://directions/FAT Viewer?action=UPDATE&amp;creator=factset&amp;DYN_ARGS=TRUE&amp;DOC_NAME=FAT:FQL_AUDITING_CLIENT_TEMPLATE.FAT&amp;display_string=Audit&amp;VAR:KEY=NIFWZWREJW&amp;VAR:QUERY=RkZfRUJJVERBX0lCKCdMVE1TJywzOTQ4MCk=&amp;WINDOW=FIRST_POPUP&amp;HEIGHT=450&amp;WIDTH=450&amp;START_MA","XIMIZED=FALSE&amp;VAR:CALENDAR=US&amp;VAR:SYMBOL=04916420&amp;VAR:INDEX=0"}</definedName>
    <definedName name="_989__FDSAUDITLINK__" localSheetId="6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9__FDSAUDITLINK__" hidden="1">{"fdsup://directions/FAT%20Viewer?VAR:PED=LTM&amp;VAR:AUDIT_MODE=SUMMARY&amp;VAR:PERIOD=FIXED&amp;VAR:AUDIT_ID=00000117&amp;VAR:DATE=20070608&amp;action=UPDATE&amp;creator=factset&amp;DOC_NAME=FAT:FMA_audit_SUMMARY.fat&amp;DISPLAY_STRING=Display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890__FDSAUDITLINK__" localSheetId="6" hidden="1">{"fdsup://directions/FAT Viewer?action=UPDATE&amp;creator=factset&amp;DYN_ARGS=TRUE&amp;DOC_NAME=FAT:FQL_AUDITING_CLIENT_TEMPLATE.FAT&amp;display_string=Audit&amp;VAR:KEY=BIZWVUDORQ&amp;VAR:QUERY=RkZfRUJJVERBX0lCKCdMVE1TJywzOTQ3OSk=&amp;WINDOW=FIRST_POPUP&amp;HEIGHT=450&amp;WIDTH=450&amp;START_MA","XIMIZED=FALSE&amp;VAR:CALENDAR=US&amp;VAR:SYMBOL=04916420&amp;VAR:INDEX=0"}</definedName>
    <definedName name="_9890__FDSAUDITLINK__" hidden="1">{"fdsup://directions/FAT Viewer?action=UPDATE&amp;creator=factset&amp;DYN_ARGS=TRUE&amp;DOC_NAME=FAT:FQL_AUDITING_CLIENT_TEMPLATE.FAT&amp;display_string=Audit&amp;VAR:KEY=BIZWVUDORQ&amp;VAR:QUERY=RkZfRUJJVERBX0lCKCdMVE1TJywzOTQ3OSk=&amp;WINDOW=FIRST_POPUP&amp;HEIGHT=450&amp;WIDTH=450&amp;START_MA","XIMIZED=FALSE&amp;VAR:CALENDAR=US&amp;VAR:SYMBOL=04916420&amp;VAR:INDEX=0"}</definedName>
    <definedName name="_9891__FDSAUDITLINK__" localSheetId="6" hidden="1">{"fdsup://directions/FAT Viewer?action=UPDATE&amp;creator=factset&amp;DYN_ARGS=TRUE&amp;DOC_NAME=FAT:FQL_AUDITING_CLIENT_TEMPLATE.FAT&amp;display_string=Audit&amp;VAR:KEY=NMFQLEHENA&amp;VAR:QUERY=RkZfRUJJVERBX0lCKCdMVE1TJywzOTQ3OCk=&amp;WINDOW=FIRST_POPUP&amp;HEIGHT=450&amp;WIDTH=450&amp;START_MA","XIMIZED=FALSE&amp;VAR:CALENDAR=US&amp;VAR:SYMBOL=04916420&amp;VAR:INDEX=0"}</definedName>
    <definedName name="_9891__FDSAUDITLINK__" hidden="1">{"fdsup://directions/FAT Viewer?action=UPDATE&amp;creator=factset&amp;DYN_ARGS=TRUE&amp;DOC_NAME=FAT:FQL_AUDITING_CLIENT_TEMPLATE.FAT&amp;display_string=Audit&amp;VAR:KEY=NMFQLEHENA&amp;VAR:QUERY=RkZfRUJJVERBX0lCKCdMVE1TJywzOTQ3OCk=&amp;WINDOW=FIRST_POPUP&amp;HEIGHT=450&amp;WIDTH=450&amp;START_MA","XIMIZED=FALSE&amp;VAR:CALENDAR=US&amp;VAR:SYMBOL=04916420&amp;VAR:INDEX=0"}</definedName>
    <definedName name="_9892__FDSAUDITLINK__" localSheetId="6" hidden="1">{"fdsup://directions/FAT Viewer?action=UPDATE&amp;creator=factset&amp;DYN_ARGS=TRUE&amp;DOC_NAME=FAT:FQL_AUDITING_CLIENT_TEMPLATE.FAT&amp;display_string=Audit&amp;VAR:KEY=BYDMDUNYJE&amp;VAR:QUERY=RkZfRUJJVERBX0lCKCdMVE1TJywzOTQ3Nyk=&amp;WINDOW=FIRST_POPUP&amp;HEIGHT=450&amp;WIDTH=450&amp;START_MA","XIMIZED=FALSE&amp;VAR:CALENDAR=US&amp;VAR:SYMBOL=04916420&amp;VAR:INDEX=0"}</definedName>
    <definedName name="_9892__FDSAUDITLINK__" hidden="1">{"fdsup://directions/FAT Viewer?action=UPDATE&amp;creator=factset&amp;DYN_ARGS=TRUE&amp;DOC_NAME=FAT:FQL_AUDITING_CLIENT_TEMPLATE.FAT&amp;display_string=Audit&amp;VAR:KEY=BYDMDUNYJE&amp;VAR:QUERY=RkZfRUJJVERBX0lCKCdMVE1TJywzOTQ3Nyk=&amp;WINDOW=FIRST_POPUP&amp;HEIGHT=450&amp;WIDTH=450&amp;START_MA","XIMIZED=FALSE&amp;VAR:CALENDAR=US&amp;VAR:SYMBOL=04916420&amp;VAR:INDEX=0"}</definedName>
    <definedName name="_9893__FDSAUDITLINK__" localSheetId="6" hidden="1">{"fdsup://directions/FAT Viewer?action=UPDATE&amp;creator=factset&amp;DYN_ARGS=TRUE&amp;DOC_NAME=FAT:FQL_AUDITING_CLIENT_TEMPLATE.FAT&amp;display_string=Audit&amp;VAR:KEY=VWLMVWVQBU&amp;VAR:QUERY=RkZfRUJJVERBX0lCKCdMVE1TJywzOTQ3Nik=&amp;WINDOW=FIRST_POPUP&amp;HEIGHT=450&amp;WIDTH=450&amp;START_MA","XIMIZED=FALSE&amp;VAR:CALENDAR=US&amp;VAR:SYMBOL=04916420&amp;VAR:INDEX=0"}</definedName>
    <definedName name="_9893__FDSAUDITLINK__" hidden="1">{"fdsup://directions/FAT Viewer?action=UPDATE&amp;creator=factset&amp;DYN_ARGS=TRUE&amp;DOC_NAME=FAT:FQL_AUDITING_CLIENT_TEMPLATE.FAT&amp;display_string=Audit&amp;VAR:KEY=VWLMVWVQBU&amp;VAR:QUERY=RkZfRUJJVERBX0lCKCdMVE1TJywzOTQ3Nik=&amp;WINDOW=FIRST_POPUP&amp;HEIGHT=450&amp;WIDTH=450&amp;START_MA","XIMIZED=FALSE&amp;VAR:CALENDAR=US&amp;VAR:SYMBOL=04916420&amp;VAR:INDEX=0"}</definedName>
    <definedName name="_9894__FDSAUDITLINK__" localSheetId="6" hidden="1">{"fdsup://directions/FAT Viewer?action=UPDATE&amp;creator=factset&amp;DYN_ARGS=TRUE&amp;DOC_NAME=FAT:FQL_AUDITING_CLIENT_TEMPLATE.FAT&amp;display_string=Audit&amp;VAR:KEY=LYJYXOZQXE&amp;VAR:QUERY=RkZfRUJJVERBX0lCKCdMVE1TJywzOTQ3NSk=&amp;WINDOW=FIRST_POPUP&amp;HEIGHT=450&amp;WIDTH=450&amp;START_MA","XIMIZED=FALSE&amp;VAR:CALENDAR=US&amp;VAR:SYMBOL=04916420&amp;VAR:INDEX=0"}</definedName>
    <definedName name="_9894__FDSAUDITLINK__" hidden="1">{"fdsup://directions/FAT Viewer?action=UPDATE&amp;creator=factset&amp;DYN_ARGS=TRUE&amp;DOC_NAME=FAT:FQL_AUDITING_CLIENT_TEMPLATE.FAT&amp;display_string=Audit&amp;VAR:KEY=LYJYXOZQXE&amp;VAR:QUERY=RkZfRUJJVERBX0lCKCdMVE1TJywzOTQ3NSk=&amp;WINDOW=FIRST_POPUP&amp;HEIGHT=450&amp;WIDTH=450&amp;START_MA","XIMIZED=FALSE&amp;VAR:CALENDAR=US&amp;VAR:SYMBOL=04916420&amp;VAR:INDEX=0"}</definedName>
    <definedName name="_9895__FDSAUDITLINK__" localSheetId="6" hidden="1">{"fdsup://directions/FAT Viewer?action=UPDATE&amp;creator=factset&amp;DYN_ARGS=TRUE&amp;DOC_NAME=FAT:FQL_AUDITING_CLIENT_TEMPLATE.FAT&amp;display_string=Audit&amp;VAR:KEY=ZOXORQRYXG&amp;VAR:QUERY=RkZfRUJJVERBX0lCKCdMVE1TJywzOTQ3NCk=&amp;WINDOW=FIRST_POPUP&amp;HEIGHT=450&amp;WIDTH=450&amp;START_MA","XIMIZED=FALSE&amp;VAR:CALENDAR=US&amp;VAR:SYMBOL=04916420&amp;VAR:INDEX=0"}</definedName>
    <definedName name="_9895__FDSAUDITLINK__" hidden="1">{"fdsup://directions/FAT Viewer?action=UPDATE&amp;creator=factset&amp;DYN_ARGS=TRUE&amp;DOC_NAME=FAT:FQL_AUDITING_CLIENT_TEMPLATE.FAT&amp;display_string=Audit&amp;VAR:KEY=ZOXORQRYXG&amp;VAR:QUERY=RkZfRUJJVERBX0lCKCdMVE1TJywzOTQ3NCk=&amp;WINDOW=FIRST_POPUP&amp;HEIGHT=450&amp;WIDTH=450&amp;START_MA","XIMIZED=FALSE&amp;VAR:CALENDAR=US&amp;VAR:SYMBOL=04916420&amp;VAR:INDEX=0"}</definedName>
    <definedName name="_9896__FDSAUDITLINK__" localSheetId="6" hidden="1">{"fdsup://directions/FAT Viewer?action=UPDATE&amp;creator=factset&amp;DYN_ARGS=TRUE&amp;DOC_NAME=FAT:FQL_AUDITING_CLIENT_TEMPLATE.FAT&amp;display_string=Audit&amp;VAR:KEY=FADQPERINC&amp;VAR:QUERY=RkZfRUJJVERBX0lCKCdMVE1TJywzOTQ3Myk=&amp;WINDOW=FIRST_POPUP&amp;HEIGHT=450&amp;WIDTH=450&amp;START_MA","XIMIZED=FALSE&amp;VAR:CALENDAR=US&amp;VAR:SYMBOL=04916420&amp;VAR:INDEX=0"}</definedName>
    <definedName name="_9896__FDSAUDITLINK__" hidden="1">{"fdsup://directions/FAT Viewer?action=UPDATE&amp;creator=factset&amp;DYN_ARGS=TRUE&amp;DOC_NAME=FAT:FQL_AUDITING_CLIENT_TEMPLATE.FAT&amp;display_string=Audit&amp;VAR:KEY=FADQPERINC&amp;VAR:QUERY=RkZfRUJJVERBX0lCKCdMVE1TJywzOTQ3Myk=&amp;WINDOW=FIRST_POPUP&amp;HEIGHT=450&amp;WIDTH=450&amp;START_MA","XIMIZED=FALSE&amp;VAR:CALENDAR=US&amp;VAR:SYMBOL=04916420&amp;VAR:INDEX=0"}</definedName>
    <definedName name="_9897__FDSAUDITLINK__" localSheetId="6" hidden="1">{"fdsup://directions/FAT Viewer?action=UPDATE&amp;creator=factset&amp;DYN_ARGS=TRUE&amp;DOC_NAME=FAT:FQL_AUDITING_CLIENT_TEMPLATE.FAT&amp;display_string=Audit&amp;VAR:KEY=BENIXQLMPW&amp;VAR:QUERY=RkZfRUJJVERBX0lCKCdMVE1TJywzOTQ3Mik=&amp;WINDOW=FIRST_POPUP&amp;HEIGHT=450&amp;WIDTH=450&amp;START_MA","XIMIZED=FALSE&amp;VAR:CALENDAR=US&amp;VAR:SYMBOL=04916420&amp;VAR:INDEX=0"}</definedName>
    <definedName name="_9897__FDSAUDITLINK__" hidden="1">{"fdsup://directions/FAT Viewer?action=UPDATE&amp;creator=factset&amp;DYN_ARGS=TRUE&amp;DOC_NAME=FAT:FQL_AUDITING_CLIENT_TEMPLATE.FAT&amp;display_string=Audit&amp;VAR:KEY=BENIXQLMPW&amp;VAR:QUERY=RkZfRUJJVERBX0lCKCdMVE1TJywzOTQ3Mik=&amp;WINDOW=FIRST_POPUP&amp;HEIGHT=450&amp;WIDTH=450&amp;START_MA","XIMIZED=FALSE&amp;VAR:CALENDAR=US&amp;VAR:SYMBOL=04916420&amp;VAR:INDEX=0"}</definedName>
    <definedName name="_9898__FDSAUDITLINK__" localSheetId="6" hidden="1">{"fdsup://directions/FAT Viewer?action=UPDATE&amp;creator=factset&amp;DYN_ARGS=TRUE&amp;DOC_NAME=FAT:FQL_AUDITING_CLIENT_TEMPLATE.FAT&amp;display_string=Audit&amp;VAR:KEY=LMDKZUDGRI&amp;VAR:QUERY=RkZfRUJJVERBX0lCKCdMVE1TJywzOTQ3MSk=&amp;WINDOW=FIRST_POPUP&amp;HEIGHT=450&amp;WIDTH=450&amp;START_MA","XIMIZED=FALSE&amp;VAR:CALENDAR=US&amp;VAR:SYMBOL=04916420&amp;VAR:INDEX=0"}</definedName>
    <definedName name="_9898__FDSAUDITLINK__" hidden="1">{"fdsup://directions/FAT Viewer?action=UPDATE&amp;creator=factset&amp;DYN_ARGS=TRUE&amp;DOC_NAME=FAT:FQL_AUDITING_CLIENT_TEMPLATE.FAT&amp;display_string=Audit&amp;VAR:KEY=LMDKZUDGRI&amp;VAR:QUERY=RkZfRUJJVERBX0lCKCdMVE1TJywzOTQ3MSk=&amp;WINDOW=FIRST_POPUP&amp;HEIGHT=450&amp;WIDTH=450&amp;START_MA","XIMIZED=FALSE&amp;VAR:CALENDAR=US&amp;VAR:SYMBOL=04916420&amp;VAR:INDEX=0"}</definedName>
    <definedName name="_9899__FDSAUDITLINK__" localSheetId="6" hidden="1">{"fdsup://directions/FAT Viewer?action=UPDATE&amp;creator=factset&amp;DYN_ARGS=TRUE&amp;DOC_NAME=FAT:FQL_AUDITING_CLIENT_TEMPLATE.FAT&amp;display_string=Audit&amp;VAR:KEY=BIZYHKLAZE&amp;VAR:QUERY=RkZfRUJJVERBX0lCKCdMVE1TJywzOTQ3MCk=&amp;WINDOW=FIRST_POPUP&amp;HEIGHT=450&amp;WIDTH=450&amp;START_MA","XIMIZED=FALSE&amp;VAR:CALENDAR=US&amp;VAR:SYMBOL=04916420&amp;VAR:INDEX=0"}</definedName>
    <definedName name="_9899__FDSAUDITLINK__" hidden="1">{"fdsup://directions/FAT Viewer?action=UPDATE&amp;creator=factset&amp;DYN_ARGS=TRUE&amp;DOC_NAME=FAT:FQL_AUDITING_CLIENT_TEMPLATE.FAT&amp;display_string=Audit&amp;VAR:KEY=BIZYHKLAZE&amp;VAR:QUERY=RkZfRUJJVERBX0lCKCdMVE1TJywzOTQ3MCk=&amp;WINDOW=FIRST_POPUP&amp;HEIGHT=450&amp;WIDTH=450&amp;START_MA","XIMIZED=FALSE&amp;VAR:CALENDAR=US&amp;VAR:SYMBOL=04916420&amp;VAR:INDEX=0"}</definedName>
    <definedName name="_99__FDSAUDITLINK__" localSheetId="6" hidden="1">{"fdsup://directions/FAT Viewer?action=UPDATE&amp;creator=factset&amp;DYN_ARGS=TRUE&amp;DOC_NAME=FAT:FQL_AUDITING_CLIENT_TEMPLATE.FAT&amp;display_string=Audit&amp;VAR:KEY=IJGBSDCNWV&amp;VAR:QUERY=QVZHKENTRl9ORVRfSU5DKEFOTiwwRlksLTZGWSxZKSkvKEFWRyhDU0ZfQVNTRVRTKEFOTiwwRlksLTZGWSxGW","SkpLUFWRyhDU0ZfSU5UQU5HKEFOTiwwLC02RlksRlkpKSk=&amp;WINDOW=FIRST_POPUP&amp;HEIGHT=450&amp;WIDTH=450&amp;START_MAXIMIZED=FALSE&amp;VAR:CALENDAR=US&amp;VAR:SYMBOL=ESEA"}</definedName>
    <definedName name="_99__FDSAUDITLINK__" hidden="1">{"fdsup://directions/FAT Viewer?action=UPDATE&amp;creator=factset&amp;DYN_ARGS=TRUE&amp;DOC_NAME=FAT:FQL_AUDITING_CLIENT_TEMPLATE.FAT&amp;display_string=Audit&amp;VAR:KEY=IJGBSDCNWV&amp;VAR:QUERY=QVZHKENTRl9ORVRfSU5DKEFOTiwwRlksLTZGWSxZKSkvKEFWRyhDU0ZfQVNTRVRTKEFOTiwwRlksLTZGWSxGW","SkpLUFWRyhDU0ZfSU5UQU5HKEFOTiwwLC02RlksRlkpKSk=&amp;WINDOW=FIRST_POPUP&amp;HEIGHT=450&amp;WIDTH=450&amp;START_MAXIMIZED=FALSE&amp;VAR:CALENDAR=US&amp;VAR:SYMBOL=ESEA"}</definedName>
    <definedName name="_990__FDSAUDITLINK__" localSheetId="6" hidden="1">{"fdsup://directions/FAT%20Viewer?VAR:PED=LTM&amp;VAR:AUDIT_MODE=SUMMARY&amp;VAR:PERIOD=FIXED&amp;VAR:AUDIT_ID=00000117&amp;VAR:DATE=20070607&amp;action=UPDATE&amp;creator=factset&amp;DOC_NAME=FAT:FMA_audit_SUMMARY.fat&amp;DISPLAY_STRING=Display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0__FDSAUDITLINK__" hidden="1">{"fdsup://directions/FAT%20Viewer?VAR:PED=LTM&amp;VAR:AUDIT_MODE=SUMMARY&amp;VAR:PERIOD=FIXED&amp;VAR:AUDIT_ID=00000117&amp;VAR:DATE=20070607&amp;action=UPDATE&amp;creator=factset&amp;DOC_NAME=FAT:FMA_audit_SUMMARY.fat&amp;DISPLAY_STRING=Display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00__FDSAUDITLINK__" localSheetId="6" hidden="1">{"fdsup://directions/FAT Viewer?action=UPDATE&amp;creator=factset&amp;DYN_ARGS=TRUE&amp;DOC_NAME=FAT:FQL_AUDITING_CLIENT_TEMPLATE.FAT&amp;display_string=Audit&amp;VAR:KEY=XALOPINKLQ&amp;VAR:QUERY=RkZfRUJJVERBX0lCKCdMVE1TJywzOTQ2OSk=&amp;WINDOW=FIRST_POPUP&amp;HEIGHT=450&amp;WIDTH=450&amp;START_MA","XIMIZED=FALSE&amp;VAR:CALENDAR=US&amp;VAR:SYMBOL=04916420&amp;VAR:INDEX=0"}</definedName>
    <definedName name="_9900__FDSAUDITLINK__" hidden="1">{"fdsup://directions/FAT Viewer?action=UPDATE&amp;creator=factset&amp;DYN_ARGS=TRUE&amp;DOC_NAME=FAT:FQL_AUDITING_CLIENT_TEMPLATE.FAT&amp;display_string=Audit&amp;VAR:KEY=XALOPINKLQ&amp;VAR:QUERY=RkZfRUJJVERBX0lCKCdMVE1TJywzOTQ2OSk=&amp;WINDOW=FIRST_POPUP&amp;HEIGHT=450&amp;WIDTH=450&amp;START_MA","XIMIZED=FALSE&amp;VAR:CALENDAR=US&amp;VAR:SYMBOL=04916420&amp;VAR:INDEX=0"}</definedName>
    <definedName name="_9901__FDSAUDITLINK__" localSheetId="6" hidden="1">{"fdsup://directions/FAT Viewer?action=UPDATE&amp;creator=factset&amp;DYN_ARGS=TRUE&amp;DOC_NAME=FAT:FQL_AUDITING_CLIENT_TEMPLATE.FAT&amp;display_string=Audit&amp;VAR:KEY=RKRMVAFUFE&amp;VAR:QUERY=RkZfRUJJVERBX0lCKCdMVE1TJywzOTQ2OCk=&amp;WINDOW=FIRST_POPUP&amp;HEIGHT=450&amp;WIDTH=450&amp;START_MA","XIMIZED=FALSE&amp;VAR:CALENDAR=US&amp;VAR:SYMBOL=04916420&amp;VAR:INDEX=0"}</definedName>
    <definedName name="_9901__FDSAUDITLINK__" hidden="1">{"fdsup://directions/FAT Viewer?action=UPDATE&amp;creator=factset&amp;DYN_ARGS=TRUE&amp;DOC_NAME=FAT:FQL_AUDITING_CLIENT_TEMPLATE.FAT&amp;display_string=Audit&amp;VAR:KEY=RKRMVAFUFE&amp;VAR:QUERY=RkZfRUJJVERBX0lCKCdMVE1TJywzOTQ2OCk=&amp;WINDOW=FIRST_POPUP&amp;HEIGHT=450&amp;WIDTH=450&amp;START_MA","XIMIZED=FALSE&amp;VAR:CALENDAR=US&amp;VAR:SYMBOL=04916420&amp;VAR:INDEX=0"}</definedName>
    <definedName name="_9902__FDSAUDITLINK__" localSheetId="6" hidden="1">{"fdsup://directions/FAT Viewer?action=UPDATE&amp;creator=factset&amp;DYN_ARGS=TRUE&amp;DOC_NAME=FAT:FQL_AUDITING_CLIENT_TEMPLATE.FAT&amp;display_string=Audit&amp;VAR:KEY=RYLYHKDYNU&amp;VAR:QUERY=RkZfRUJJVERBX0lCKCdMVE1TJywzOTQ2Nyk=&amp;WINDOW=FIRST_POPUP&amp;HEIGHT=450&amp;WIDTH=450&amp;START_MA","XIMIZED=FALSE&amp;VAR:CALENDAR=US&amp;VAR:SYMBOL=04916420&amp;VAR:INDEX=0"}</definedName>
    <definedName name="_9902__FDSAUDITLINK__" hidden="1">{"fdsup://directions/FAT Viewer?action=UPDATE&amp;creator=factset&amp;DYN_ARGS=TRUE&amp;DOC_NAME=FAT:FQL_AUDITING_CLIENT_TEMPLATE.FAT&amp;display_string=Audit&amp;VAR:KEY=RYLYHKDYNU&amp;VAR:QUERY=RkZfRUJJVERBX0lCKCdMVE1TJywzOTQ2Nyk=&amp;WINDOW=FIRST_POPUP&amp;HEIGHT=450&amp;WIDTH=450&amp;START_MA","XIMIZED=FALSE&amp;VAR:CALENDAR=US&amp;VAR:SYMBOL=04916420&amp;VAR:INDEX=0"}</definedName>
    <definedName name="_9903__FDSAUDITLINK__" localSheetId="6" hidden="1">{"fdsup://directions/FAT Viewer?action=UPDATE&amp;creator=factset&amp;DYN_ARGS=TRUE&amp;DOC_NAME=FAT:FQL_AUDITING_CLIENT_TEMPLATE.FAT&amp;display_string=Audit&amp;VAR:KEY=ZCZKXODQFU&amp;VAR:QUERY=RkZfRUJJVERBX0lCKCdMVE1TJywzOTQ2Nik=&amp;WINDOW=FIRST_POPUP&amp;HEIGHT=450&amp;WIDTH=450&amp;START_MA","XIMIZED=FALSE&amp;VAR:CALENDAR=US&amp;VAR:SYMBOL=04916420&amp;VAR:INDEX=0"}</definedName>
    <definedName name="_9903__FDSAUDITLINK__" hidden="1">{"fdsup://directions/FAT Viewer?action=UPDATE&amp;creator=factset&amp;DYN_ARGS=TRUE&amp;DOC_NAME=FAT:FQL_AUDITING_CLIENT_TEMPLATE.FAT&amp;display_string=Audit&amp;VAR:KEY=ZCZKXODQFU&amp;VAR:QUERY=RkZfRUJJVERBX0lCKCdMVE1TJywzOTQ2Nik=&amp;WINDOW=FIRST_POPUP&amp;HEIGHT=450&amp;WIDTH=450&amp;START_MA","XIMIZED=FALSE&amp;VAR:CALENDAR=US&amp;VAR:SYMBOL=04916420&amp;VAR:INDEX=0"}</definedName>
    <definedName name="_9904__FDSAUDITLINK__" localSheetId="6" hidden="1">{"fdsup://directions/FAT Viewer?action=UPDATE&amp;creator=factset&amp;DYN_ARGS=TRUE&amp;DOC_NAME=FAT:FQL_AUDITING_CLIENT_TEMPLATE.FAT&amp;display_string=Audit&amp;VAR:KEY=JKLMPOTKFO&amp;VAR:QUERY=RkZfRUJJVERBX0lCKCdMVE1TJywzOTQ2NSk=&amp;WINDOW=FIRST_POPUP&amp;HEIGHT=450&amp;WIDTH=450&amp;START_MA","XIMIZED=FALSE&amp;VAR:CALENDAR=US&amp;VAR:SYMBOL=04916420&amp;VAR:INDEX=0"}</definedName>
    <definedName name="_9904__FDSAUDITLINK__" hidden="1">{"fdsup://directions/FAT Viewer?action=UPDATE&amp;creator=factset&amp;DYN_ARGS=TRUE&amp;DOC_NAME=FAT:FQL_AUDITING_CLIENT_TEMPLATE.FAT&amp;display_string=Audit&amp;VAR:KEY=JKLMPOTKFO&amp;VAR:QUERY=RkZfRUJJVERBX0lCKCdMVE1TJywzOTQ2NSk=&amp;WINDOW=FIRST_POPUP&amp;HEIGHT=450&amp;WIDTH=450&amp;START_MA","XIMIZED=FALSE&amp;VAR:CALENDAR=US&amp;VAR:SYMBOL=04916420&amp;VAR:INDEX=0"}</definedName>
    <definedName name="_9905__FDSAUDITLINK__" localSheetId="6" hidden="1">{"fdsup://directions/FAT Viewer?action=UPDATE&amp;creator=factset&amp;DYN_ARGS=TRUE&amp;DOC_NAME=FAT:FQL_AUDITING_CLIENT_TEMPLATE.FAT&amp;display_string=Audit&amp;VAR:KEY=HETOHSPADC&amp;VAR:QUERY=RkZfRUJJVERBX0lCKCdMVE1TJywzOTQ2NCk=&amp;WINDOW=FIRST_POPUP&amp;HEIGHT=450&amp;WIDTH=450&amp;START_MA","XIMIZED=FALSE&amp;VAR:CALENDAR=US&amp;VAR:SYMBOL=04916420&amp;VAR:INDEX=0"}</definedName>
    <definedName name="_9905__FDSAUDITLINK__" hidden="1">{"fdsup://directions/FAT Viewer?action=UPDATE&amp;creator=factset&amp;DYN_ARGS=TRUE&amp;DOC_NAME=FAT:FQL_AUDITING_CLIENT_TEMPLATE.FAT&amp;display_string=Audit&amp;VAR:KEY=HETOHSPADC&amp;VAR:QUERY=RkZfRUJJVERBX0lCKCdMVE1TJywzOTQ2NCk=&amp;WINDOW=FIRST_POPUP&amp;HEIGHT=450&amp;WIDTH=450&amp;START_MA","XIMIZED=FALSE&amp;VAR:CALENDAR=US&amp;VAR:SYMBOL=04916420&amp;VAR:INDEX=0"}</definedName>
    <definedName name="_9906__FDSAUDITLINK__" localSheetId="6" hidden="1">{"fdsup://directions/FAT Viewer?action=UPDATE&amp;creator=factset&amp;DYN_ARGS=TRUE&amp;DOC_NAME=FAT:FQL_AUDITING_CLIENT_TEMPLATE.FAT&amp;display_string=Audit&amp;VAR:KEY=PELGRKZMBE&amp;VAR:QUERY=RkZfRUJJVERBX0lCKCdMVE1TJywzOTQ2Myk=&amp;WINDOW=FIRST_POPUP&amp;HEIGHT=450&amp;WIDTH=450&amp;START_MA","XIMIZED=FALSE&amp;VAR:CALENDAR=US&amp;VAR:SYMBOL=04916420&amp;VAR:INDEX=0"}</definedName>
    <definedName name="_9906__FDSAUDITLINK__" hidden="1">{"fdsup://directions/FAT Viewer?action=UPDATE&amp;creator=factset&amp;DYN_ARGS=TRUE&amp;DOC_NAME=FAT:FQL_AUDITING_CLIENT_TEMPLATE.FAT&amp;display_string=Audit&amp;VAR:KEY=PELGRKZMBE&amp;VAR:QUERY=RkZfRUJJVERBX0lCKCdMVE1TJywzOTQ2Myk=&amp;WINDOW=FIRST_POPUP&amp;HEIGHT=450&amp;WIDTH=450&amp;START_MA","XIMIZED=FALSE&amp;VAR:CALENDAR=US&amp;VAR:SYMBOL=04916420&amp;VAR:INDEX=0"}</definedName>
    <definedName name="_9907__FDSAUDITLINK__" localSheetId="6" hidden="1">{"fdsup://directions/FAT Viewer?action=UPDATE&amp;creator=factset&amp;DYN_ARGS=TRUE&amp;DOC_NAME=FAT:FQL_AUDITING_CLIENT_TEMPLATE.FAT&amp;display_string=Audit&amp;VAR:KEY=FUNITUPORI&amp;VAR:QUERY=RkZfRUJJVERBX0lCKCdMVE1TJywzOTQ2Mik=&amp;WINDOW=FIRST_POPUP&amp;HEIGHT=450&amp;WIDTH=450&amp;START_MA","XIMIZED=FALSE&amp;VAR:CALENDAR=US&amp;VAR:SYMBOL=04916420&amp;VAR:INDEX=0"}</definedName>
    <definedName name="_9907__FDSAUDITLINK__" hidden="1">{"fdsup://directions/FAT Viewer?action=UPDATE&amp;creator=factset&amp;DYN_ARGS=TRUE&amp;DOC_NAME=FAT:FQL_AUDITING_CLIENT_TEMPLATE.FAT&amp;display_string=Audit&amp;VAR:KEY=FUNITUPORI&amp;VAR:QUERY=RkZfRUJJVERBX0lCKCdMVE1TJywzOTQ2Mik=&amp;WINDOW=FIRST_POPUP&amp;HEIGHT=450&amp;WIDTH=450&amp;START_MA","XIMIZED=FALSE&amp;VAR:CALENDAR=US&amp;VAR:SYMBOL=04916420&amp;VAR:INDEX=0"}</definedName>
    <definedName name="_9908__FDSAUDITLINK__" localSheetId="6" hidden="1">{"fdsup://directions/FAT Viewer?action=UPDATE&amp;creator=factset&amp;DYN_ARGS=TRUE&amp;DOC_NAME=FAT:FQL_AUDITING_CLIENT_TEMPLATE.FAT&amp;display_string=Audit&amp;VAR:KEY=BSHMDCDYBS&amp;VAR:QUERY=RkZfRUJJVERBX0lCKCdMVE1TJywzOTQ2MSk=&amp;WINDOW=FIRST_POPUP&amp;HEIGHT=450&amp;WIDTH=450&amp;START_MA","XIMIZED=FALSE&amp;VAR:CALENDAR=US&amp;VAR:SYMBOL=04916420&amp;VAR:INDEX=0"}</definedName>
    <definedName name="_9908__FDSAUDITLINK__" hidden="1">{"fdsup://directions/FAT Viewer?action=UPDATE&amp;creator=factset&amp;DYN_ARGS=TRUE&amp;DOC_NAME=FAT:FQL_AUDITING_CLIENT_TEMPLATE.FAT&amp;display_string=Audit&amp;VAR:KEY=BSHMDCDYBS&amp;VAR:QUERY=RkZfRUJJVERBX0lCKCdMVE1TJywzOTQ2MSk=&amp;WINDOW=FIRST_POPUP&amp;HEIGHT=450&amp;WIDTH=450&amp;START_MA","XIMIZED=FALSE&amp;VAR:CALENDAR=US&amp;VAR:SYMBOL=04916420&amp;VAR:INDEX=0"}</definedName>
    <definedName name="_9909__FDSAUDITLINK__" localSheetId="6" hidden="1">{"fdsup://directions/FAT Viewer?action=UPDATE&amp;creator=factset&amp;DYN_ARGS=TRUE&amp;DOC_NAME=FAT:FQL_AUDITING_CLIENT_TEMPLATE.FAT&amp;display_string=Audit&amp;VAR:KEY=ZSVYHOVQDW&amp;VAR:QUERY=RkZfRUJJVERBX0lCKCdMVE1TJywzOTQ2MCk=&amp;WINDOW=FIRST_POPUP&amp;HEIGHT=450&amp;WIDTH=450&amp;START_MA","XIMIZED=FALSE&amp;VAR:CALENDAR=US&amp;VAR:SYMBOL=04916420&amp;VAR:INDEX=0"}</definedName>
    <definedName name="_9909__FDSAUDITLINK__" hidden="1">{"fdsup://directions/FAT Viewer?action=UPDATE&amp;creator=factset&amp;DYN_ARGS=TRUE&amp;DOC_NAME=FAT:FQL_AUDITING_CLIENT_TEMPLATE.FAT&amp;display_string=Audit&amp;VAR:KEY=ZSVYHOVQDW&amp;VAR:QUERY=RkZfRUJJVERBX0lCKCdMVE1TJywzOTQ2MCk=&amp;WINDOW=FIRST_POPUP&amp;HEIGHT=450&amp;WIDTH=450&amp;START_MA","XIMIZED=FALSE&amp;VAR:CALENDAR=US&amp;VAR:SYMBOL=04916420&amp;VAR:INDEX=0"}</definedName>
    <definedName name="_991__FDSAUDITLINK__" localSheetId="6" hidden="1">{"fdsup://directions/FAT%20Viewer?VAR:PED=LTM&amp;VAR:AUDIT_MODE=SUMMARY&amp;VAR:PERIOD=FIXED&amp;VAR:AUDIT_ID=00000117&amp;VAR:DATE=20070606&amp;action=UPDATE&amp;creator=factset&amp;DOC_NAME=FAT:FMA_audit_SUMMARY.fat&amp;DISPLAY_STRING=Display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1__FDSAUDITLINK__" hidden="1">{"fdsup://directions/FAT%20Viewer?VAR:PED=LTM&amp;VAR:AUDIT_MODE=SUMMARY&amp;VAR:PERIOD=FIXED&amp;VAR:AUDIT_ID=00000117&amp;VAR:DATE=20070606&amp;action=UPDATE&amp;creator=factset&amp;DOC_NAME=FAT:FMA_audit_SUMMARY.fat&amp;DISPLAY_STRING=Display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10__FDSAUDITLINK__" localSheetId="6" hidden="1">{"fdsup://directions/FAT Viewer?action=UPDATE&amp;creator=factset&amp;DYN_ARGS=TRUE&amp;DOC_NAME=FAT:FQL_AUDITING_CLIENT_TEMPLATE.FAT&amp;display_string=Audit&amp;VAR:KEY=DSJMPUTOVY&amp;VAR:QUERY=RkZfRUJJVERBX0lCKCdMVE1TJywzOTQ1OSk=&amp;WINDOW=FIRST_POPUP&amp;HEIGHT=450&amp;WIDTH=450&amp;START_MA","XIMIZED=FALSE&amp;VAR:CALENDAR=US&amp;VAR:SYMBOL=04916420&amp;VAR:INDEX=0"}</definedName>
    <definedName name="_9910__FDSAUDITLINK__" hidden="1">{"fdsup://directions/FAT Viewer?action=UPDATE&amp;creator=factset&amp;DYN_ARGS=TRUE&amp;DOC_NAME=FAT:FQL_AUDITING_CLIENT_TEMPLATE.FAT&amp;display_string=Audit&amp;VAR:KEY=DSJMPUTOVY&amp;VAR:QUERY=RkZfRUJJVERBX0lCKCdMVE1TJywzOTQ1OSk=&amp;WINDOW=FIRST_POPUP&amp;HEIGHT=450&amp;WIDTH=450&amp;START_MA","XIMIZED=FALSE&amp;VAR:CALENDAR=US&amp;VAR:SYMBOL=04916420&amp;VAR:INDEX=0"}</definedName>
    <definedName name="_9911__FDSAUDITLINK__" localSheetId="6" hidden="1">{"fdsup://directions/FAT Viewer?action=UPDATE&amp;creator=factset&amp;DYN_ARGS=TRUE&amp;DOC_NAME=FAT:FQL_AUDITING_CLIENT_TEMPLATE.FAT&amp;display_string=Audit&amp;VAR:KEY=TOPIDMXCPQ&amp;VAR:QUERY=RkZfRUJJVERBX0lCKCdMVE1TJywzOTQ1OCk=&amp;WINDOW=FIRST_POPUP&amp;HEIGHT=450&amp;WIDTH=450&amp;START_MA","XIMIZED=FALSE&amp;VAR:CALENDAR=US&amp;VAR:SYMBOL=04916420&amp;VAR:INDEX=0"}</definedName>
    <definedName name="_9911__FDSAUDITLINK__" hidden="1">{"fdsup://directions/FAT Viewer?action=UPDATE&amp;creator=factset&amp;DYN_ARGS=TRUE&amp;DOC_NAME=FAT:FQL_AUDITING_CLIENT_TEMPLATE.FAT&amp;display_string=Audit&amp;VAR:KEY=TOPIDMXCPQ&amp;VAR:QUERY=RkZfRUJJVERBX0lCKCdMVE1TJywzOTQ1OCk=&amp;WINDOW=FIRST_POPUP&amp;HEIGHT=450&amp;WIDTH=450&amp;START_MA","XIMIZED=FALSE&amp;VAR:CALENDAR=US&amp;VAR:SYMBOL=04916420&amp;VAR:INDEX=0"}</definedName>
    <definedName name="_9912__FDSAUDITLINK__" localSheetId="6" hidden="1">{"fdsup://directions/FAT Viewer?action=UPDATE&amp;creator=factset&amp;DYN_ARGS=TRUE&amp;DOC_NAME=FAT:FQL_AUDITING_CLIENT_TEMPLATE.FAT&amp;display_string=Audit&amp;VAR:KEY=PEDERQTUNY&amp;VAR:QUERY=RkZfRUJJVERBX0lCKCdMVE1TJywzOTQ1Nyk=&amp;WINDOW=FIRST_POPUP&amp;HEIGHT=450&amp;WIDTH=450&amp;START_MA","XIMIZED=FALSE&amp;VAR:CALENDAR=US&amp;VAR:SYMBOL=04916420&amp;VAR:INDEX=0"}</definedName>
    <definedName name="_9912__FDSAUDITLINK__" hidden="1">{"fdsup://directions/FAT Viewer?action=UPDATE&amp;creator=factset&amp;DYN_ARGS=TRUE&amp;DOC_NAME=FAT:FQL_AUDITING_CLIENT_TEMPLATE.FAT&amp;display_string=Audit&amp;VAR:KEY=PEDERQTUNY&amp;VAR:QUERY=RkZfRUJJVERBX0lCKCdMVE1TJywzOTQ1Nyk=&amp;WINDOW=FIRST_POPUP&amp;HEIGHT=450&amp;WIDTH=450&amp;START_MA","XIMIZED=FALSE&amp;VAR:CALENDAR=US&amp;VAR:SYMBOL=04916420&amp;VAR:INDEX=0"}</definedName>
    <definedName name="_9913__FDSAUDITLINK__" localSheetId="6" hidden="1">{"fdsup://directions/FAT Viewer?action=UPDATE&amp;creator=factset&amp;DYN_ARGS=TRUE&amp;DOC_NAME=FAT:FQL_AUDITING_CLIENT_TEMPLATE.FAT&amp;display_string=Audit&amp;VAR:KEY=JWFYPARWZY&amp;VAR:QUERY=RkZfRUJJVERBX0lCKCdMVE1TJywzOTQ1Nik=&amp;WINDOW=FIRST_POPUP&amp;HEIGHT=450&amp;WIDTH=450&amp;START_MA","XIMIZED=FALSE&amp;VAR:CALENDAR=US&amp;VAR:SYMBOL=04916420&amp;VAR:INDEX=0"}</definedName>
    <definedName name="_9913__FDSAUDITLINK__" hidden="1">{"fdsup://directions/FAT Viewer?action=UPDATE&amp;creator=factset&amp;DYN_ARGS=TRUE&amp;DOC_NAME=FAT:FQL_AUDITING_CLIENT_TEMPLATE.FAT&amp;display_string=Audit&amp;VAR:KEY=JWFYPARWZY&amp;VAR:QUERY=RkZfRUJJVERBX0lCKCdMVE1TJywzOTQ1Nik=&amp;WINDOW=FIRST_POPUP&amp;HEIGHT=450&amp;WIDTH=450&amp;START_MA","XIMIZED=FALSE&amp;VAR:CALENDAR=US&amp;VAR:SYMBOL=04916420&amp;VAR:INDEX=0"}</definedName>
    <definedName name="_9914__FDSAUDITLINK__" localSheetId="6" hidden="1">{"fdsup://directions/FAT Viewer?action=UPDATE&amp;creator=factset&amp;DYN_ARGS=TRUE&amp;DOC_NAME=FAT:FQL_AUDITING_CLIENT_TEMPLATE.FAT&amp;display_string=Audit&amp;VAR:KEY=NEDWJAFAVU&amp;VAR:QUERY=RkZfRUJJVERBX0lCKCdMVE1TJywzOTQ1NSk=&amp;WINDOW=FIRST_POPUP&amp;HEIGHT=450&amp;WIDTH=450&amp;START_MA","XIMIZED=FALSE&amp;VAR:CALENDAR=US&amp;VAR:SYMBOL=04916420&amp;VAR:INDEX=0"}</definedName>
    <definedName name="_9914__FDSAUDITLINK__" hidden="1">{"fdsup://directions/FAT Viewer?action=UPDATE&amp;creator=factset&amp;DYN_ARGS=TRUE&amp;DOC_NAME=FAT:FQL_AUDITING_CLIENT_TEMPLATE.FAT&amp;display_string=Audit&amp;VAR:KEY=NEDWJAFAVU&amp;VAR:QUERY=RkZfRUJJVERBX0lCKCdMVE1TJywzOTQ1NSk=&amp;WINDOW=FIRST_POPUP&amp;HEIGHT=450&amp;WIDTH=450&amp;START_MA","XIMIZED=FALSE&amp;VAR:CALENDAR=US&amp;VAR:SYMBOL=04916420&amp;VAR:INDEX=0"}</definedName>
    <definedName name="_9915__FDSAUDITLINK__" localSheetId="6" hidden="1">{"fdsup://directions/FAT Viewer?action=UPDATE&amp;creator=factset&amp;DYN_ARGS=TRUE&amp;DOC_NAME=FAT:FQL_AUDITING_CLIENT_TEMPLATE.FAT&amp;display_string=Audit&amp;VAR:KEY=JKVCHQNIPU&amp;VAR:QUERY=RkZfRUJJVERBX0lCKCdMVE1TJywzOTQ1NCk=&amp;WINDOW=FIRST_POPUP&amp;HEIGHT=450&amp;WIDTH=450&amp;START_MA","XIMIZED=FALSE&amp;VAR:CALENDAR=US&amp;VAR:SYMBOL=04916420&amp;VAR:INDEX=0"}</definedName>
    <definedName name="_9915__FDSAUDITLINK__" hidden="1">{"fdsup://directions/FAT Viewer?action=UPDATE&amp;creator=factset&amp;DYN_ARGS=TRUE&amp;DOC_NAME=FAT:FQL_AUDITING_CLIENT_TEMPLATE.FAT&amp;display_string=Audit&amp;VAR:KEY=JKVCHQNIPU&amp;VAR:QUERY=RkZfRUJJVERBX0lCKCdMVE1TJywzOTQ1NCk=&amp;WINDOW=FIRST_POPUP&amp;HEIGHT=450&amp;WIDTH=450&amp;START_MA","XIMIZED=FALSE&amp;VAR:CALENDAR=US&amp;VAR:SYMBOL=04916420&amp;VAR:INDEX=0"}</definedName>
    <definedName name="_9916__FDSAUDITLINK__" localSheetId="6" hidden="1">{"fdsup://directions/FAT Viewer?action=UPDATE&amp;creator=factset&amp;DYN_ARGS=TRUE&amp;DOC_NAME=FAT:FQL_AUDITING_CLIENT_TEMPLATE.FAT&amp;display_string=Audit&amp;VAR:KEY=NMLUXYPUXA&amp;VAR:QUERY=RkZfRUJJVERBX0lCKCdMVE1TJywzOTQ1Myk=&amp;WINDOW=FIRST_POPUP&amp;HEIGHT=450&amp;WIDTH=450&amp;START_MA","XIMIZED=FALSE&amp;VAR:CALENDAR=US&amp;VAR:SYMBOL=04916420&amp;VAR:INDEX=0"}</definedName>
    <definedName name="_9916__FDSAUDITLINK__" hidden="1">{"fdsup://directions/FAT Viewer?action=UPDATE&amp;creator=factset&amp;DYN_ARGS=TRUE&amp;DOC_NAME=FAT:FQL_AUDITING_CLIENT_TEMPLATE.FAT&amp;display_string=Audit&amp;VAR:KEY=NMLUXYPUXA&amp;VAR:QUERY=RkZfRUJJVERBX0lCKCdMVE1TJywzOTQ1Myk=&amp;WINDOW=FIRST_POPUP&amp;HEIGHT=450&amp;WIDTH=450&amp;START_MA","XIMIZED=FALSE&amp;VAR:CALENDAR=US&amp;VAR:SYMBOL=04916420&amp;VAR:INDEX=0"}</definedName>
    <definedName name="_9917__FDSAUDITLINK__" localSheetId="6" hidden="1">{"fdsup://directions/FAT Viewer?action=UPDATE&amp;creator=factset&amp;DYN_ARGS=TRUE&amp;DOC_NAME=FAT:FQL_AUDITING_CLIENT_TEMPLATE.FAT&amp;display_string=Audit&amp;VAR:KEY=TAPSHUJUBK&amp;VAR:QUERY=RkZfRUJJVERBX0lCKCdMVE1TJywzOTQ1Mik=&amp;WINDOW=FIRST_POPUP&amp;HEIGHT=450&amp;WIDTH=450&amp;START_MA","XIMIZED=FALSE&amp;VAR:CALENDAR=US&amp;VAR:SYMBOL=04916420&amp;VAR:INDEX=0"}</definedName>
    <definedName name="_9917__FDSAUDITLINK__" hidden="1">{"fdsup://directions/FAT Viewer?action=UPDATE&amp;creator=factset&amp;DYN_ARGS=TRUE&amp;DOC_NAME=FAT:FQL_AUDITING_CLIENT_TEMPLATE.FAT&amp;display_string=Audit&amp;VAR:KEY=TAPSHUJUBK&amp;VAR:QUERY=RkZfRUJJVERBX0lCKCdMVE1TJywzOTQ1Mik=&amp;WINDOW=FIRST_POPUP&amp;HEIGHT=450&amp;WIDTH=450&amp;START_MA","XIMIZED=FALSE&amp;VAR:CALENDAR=US&amp;VAR:SYMBOL=04916420&amp;VAR:INDEX=0"}</definedName>
    <definedName name="_9918__FDSAUDITLINK__" localSheetId="6" hidden="1">{"fdsup://directions/FAT Viewer?action=UPDATE&amp;creator=factset&amp;DYN_ARGS=TRUE&amp;DOC_NAME=FAT:FQL_AUDITING_CLIENT_TEMPLATE.FAT&amp;display_string=Audit&amp;VAR:KEY=VGNWDUDKZW&amp;VAR:QUERY=RkZfRUJJVERBX0lCKCdMVE1TJywzOTQ1MSk=&amp;WINDOW=FIRST_POPUP&amp;HEIGHT=450&amp;WIDTH=450&amp;START_MA","XIMIZED=FALSE&amp;VAR:CALENDAR=US&amp;VAR:SYMBOL=04916420&amp;VAR:INDEX=0"}</definedName>
    <definedName name="_9918__FDSAUDITLINK__" hidden="1">{"fdsup://directions/FAT Viewer?action=UPDATE&amp;creator=factset&amp;DYN_ARGS=TRUE&amp;DOC_NAME=FAT:FQL_AUDITING_CLIENT_TEMPLATE.FAT&amp;display_string=Audit&amp;VAR:KEY=VGNWDUDKZW&amp;VAR:QUERY=RkZfRUJJVERBX0lCKCdMVE1TJywzOTQ1MSk=&amp;WINDOW=FIRST_POPUP&amp;HEIGHT=450&amp;WIDTH=450&amp;START_MA","XIMIZED=FALSE&amp;VAR:CALENDAR=US&amp;VAR:SYMBOL=04916420&amp;VAR:INDEX=0"}</definedName>
    <definedName name="_9919__FDSAUDITLINK__" localSheetId="6" hidden="1">{"fdsup://directions/FAT Viewer?action=UPDATE&amp;creator=factset&amp;DYN_ARGS=TRUE&amp;DOC_NAME=FAT:FQL_AUDITING_CLIENT_TEMPLATE.FAT&amp;display_string=Audit&amp;VAR:KEY=LKBKJKHQXA&amp;VAR:QUERY=RkZfRUJJVERBX0lCKCdMVE1TJywzOTQ1MCk=&amp;WINDOW=FIRST_POPUP&amp;HEIGHT=450&amp;WIDTH=450&amp;START_MA","XIMIZED=FALSE&amp;VAR:CALENDAR=US&amp;VAR:SYMBOL=04916420&amp;VAR:INDEX=0"}</definedName>
    <definedName name="_9919__FDSAUDITLINK__" hidden="1">{"fdsup://directions/FAT Viewer?action=UPDATE&amp;creator=factset&amp;DYN_ARGS=TRUE&amp;DOC_NAME=FAT:FQL_AUDITING_CLIENT_TEMPLATE.FAT&amp;display_string=Audit&amp;VAR:KEY=LKBKJKHQXA&amp;VAR:QUERY=RkZfRUJJVERBX0lCKCdMVE1TJywzOTQ1MCk=&amp;WINDOW=FIRST_POPUP&amp;HEIGHT=450&amp;WIDTH=450&amp;START_MA","XIMIZED=FALSE&amp;VAR:CALENDAR=US&amp;VAR:SYMBOL=04916420&amp;VAR:INDEX=0"}</definedName>
    <definedName name="_992__FDSAUDITLINK__" localSheetId="6" hidden="1">{"fdsup://directions/FAT%20Viewer?VAR:PED=LTM&amp;VAR:AUDIT_MODE=SUMMARY&amp;VAR:PERIOD=FIXED&amp;VAR:AUDIT_ID=00000117&amp;VAR:DATE=20070605&amp;action=UPDATE&amp;creator=factset&amp;DOC_NAME=FAT:FMA_audit_SUMMARY.fat&amp;DISPLAY_STRING=Display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2__FDSAUDITLINK__" hidden="1">{"fdsup://directions/FAT%20Viewer?VAR:PED=LTM&amp;VAR:AUDIT_MODE=SUMMARY&amp;VAR:PERIOD=FIXED&amp;VAR:AUDIT_ID=00000117&amp;VAR:DATE=20070605&amp;action=UPDATE&amp;creator=factset&amp;DOC_NAME=FAT:FMA_audit_SUMMARY.fat&amp;DISPLAY_STRING=Display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20__FDSAUDITLINK__" localSheetId="6" hidden="1">{"fdsup://directions/FAT Viewer?action=UPDATE&amp;creator=factset&amp;DYN_ARGS=TRUE&amp;DOC_NAME=FAT:FQL_AUDITING_CLIENT_TEMPLATE.FAT&amp;display_string=Audit&amp;VAR:KEY=XWLYHCJQRM&amp;VAR:QUERY=RkZfRUJJVERBX0lCKCdMVE1TJywzOTQ0OSk=&amp;WINDOW=FIRST_POPUP&amp;HEIGHT=450&amp;WIDTH=450&amp;START_MA","XIMIZED=FALSE&amp;VAR:CALENDAR=US&amp;VAR:SYMBOL=04916420&amp;VAR:INDEX=0"}</definedName>
    <definedName name="_9920__FDSAUDITLINK__" hidden="1">{"fdsup://directions/FAT Viewer?action=UPDATE&amp;creator=factset&amp;DYN_ARGS=TRUE&amp;DOC_NAME=FAT:FQL_AUDITING_CLIENT_TEMPLATE.FAT&amp;display_string=Audit&amp;VAR:KEY=XWLYHCJQRM&amp;VAR:QUERY=RkZfRUJJVERBX0lCKCdMVE1TJywzOTQ0OSk=&amp;WINDOW=FIRST_POPUP&amp;HEIGHT=450&amp;WIDTH=450&amp;START_MA","XIMIZED=FALSE&amp;VAR:CALENDAR=US&amp;VAR:SYMBOL=04916420&amp;VAR:INDEX=0"}</definedName>
    <definedName name="_9921__FDSAUDITLINK__" localSheetId="6" hidden="1">{"fdsup://directions/FAT Viewer?action=UPDATE&amp;creator=factset&amp;DYN_ARGS=TRUE&amp;DOC_NAME=FAT:FQL_AUDITING_CLIENT_TEMPLATE.FAT&amp;display_string=Audit&amp;VAR:KEY=XCTGDWREJE&amp;VAR:QUERY=RkZfRUJJVERBX0lCKCdMVE1TJywzOTQ0OCk=&amp;WINDOW=FIRST_POPUP&amp;HEIGHT=450&amp;WIDTH=450&amp;START_MA","XIMIZED=FALSE&amp;VAR:CALENDAR=US&amp;VAR:SYMBOL=04916420&amp;VAR:INDEX=0"}</definedName>
    <definedName name="_9921__FDSAUDITLINK__" hidden="1">{"fdsup://directions/FAT Viewer?action=UPDATE&amp;creator=factset&amp;DYN_ARGS=TRUE&amp;DOC_NAME=FAT:FQL_AUDITING_CLIENT_TEMPLATE.FAT&amp;display_string=Audit&amp;VAR:KEY=XCTGDWREJE&amp;VAR:QUERY=RkZfRUJJVERBX0lCKCdMVE1TJywzOTQ0OCk=&amp;WINDOW=FIRST_POPUP&amp;HEIGHT=450&amp;WIDTH=450&amp;START_MA","XIMIZED=FALSE&amp;VAR:CALENDAR=US&amp;VAR:SYMBOL=04916420&amp;VAR:INDEX=0"}</definedName>
    <definedName name="_9922__FDSAUDITLINK__" localSheetId="6" hidden="1">{"fdsup://directions/FAT Viewer?action=UPDATE&amp;creator=factset&amp;DYN_ARGS=TRUE&amp;DOC_NAME=FAT:FQL_AUDITING_CLIENT_TEMPLATE.FAT&amp;display_string=Audit&amp;VAR:KEY=BQHQBQTYXO&amp;VAR:QUERY=RkZfRUJJVERBX0lCKCdMVE1TJywzOTQ0Nyk=&amp;WINDOW=FIRST_POPUP&amp;HEIGHT=450&amp;WIDTH=450&amp;START_MA","XIMIZED=FALSE&amp;VAR:CALENDAR=US&amp;VAR:SYMBOL=04916420&amp;VAR:INDEX=0"}</definedName>
    <definedName name="_9922__FDSAUDITLINK__" hidden="1">{"fdsup://directions/FAT Viewer?action=UPDATE&amp;creator=factset&amp;DYN_ARGS=TRUE&amp;DOC_NAME=FAT:FQL_AUDITING_CLIENT_TEMPLATE.FAT&amp;display_string=Audit&amp;VAR:KEY=BQHQBQTYXO&amp;VAR:QUERY=RkZfRUJJVERBX0lCKCdMVE1TJywzOTQ0Nyk=&amp;WINDOW=FIRST_POPUP&amp;HEIGHT=450&amp;WIDTH=450&amp;START_MA","XIMIZED=FALSE&amp;VAR:CALENDAR=US&amp;VAR:SYMBOL=04916420&amp;VAR:INDEX=0"}</definedName>
    <definedName name="_9923__FDSAUDITLINK__" localSheetId="6" hidden="1">{"fdsup://directions/FAT Viewer?action=UPDATE&amp;creator=factset&amp;DYN_ARGS=TRUE&amp;DOC_NAME=FAT:FQL_AUDITING_CLIENT_TEMPLATE.FAT&amp;display_string=Audit&amp;VAR:KEY=DYRCDGDYTC&amp;VAR:QUERY=RkZfRUJJVERBX0lCKCdMVE1TJywzOTQ0Nik=&amp;WINDOW=FIRST_POPUP&amp;HEIGHT=450&amp;WIDTH=450&amp;START_MA","XIMIZED=FALSE&amp;VAR:CALENDAR=US&amp;VAR:SYMBOL=04916420&amp;VAR:INDEX=0"}</definedName>
    <definedName name="_9923__FDSAUDITLINK__" hidden="1">{"fdsup://directions/FAT Viewer?action=UPDATE&amp;creator=factset&amp;DYN_ARGS=TRUE&amp;DOC_NAME=FAT:FQL_AUDITING_CLIENT_TEMPLATE.FAT&amp;display_string=Audit&amp;VAR:KEY=DYRCDGDYTC&amp;VAR:QUERY=RkZfRUJJVERBX0lCKCdMVE1TJywzOTQ0Nik=&amp;WINDOW=FIRST_POPUP&amp;HEIGHT=450&amp;WIDTH=450&amp;START_MA","XIMIZED=FALSE&amp;VAR:CALENDAR=US&amp;VAR:SYMBOL=04916420&amp;VAR:INDEX=0"}</definedName>
    <definedName name="_9924__FDSAUDITLINK__" localSheetId="6" hidden="1">{"fdsup://directions/FAT Viewer?action=UPDATE&amp;creator=factset&amp;DYN_ARGS=TRUE&amp;DOC_NAME=FAT:FQL_AUDITING_CLIENT_TEMPLATE.FAT&amp;display_string=Audit&amp;VAR:KEY=DWDGDANKNM&amp;VAR:QUERY=RkZfRUJJVERBX0lCKCdMVE1TJywzOTQ0NSk=&amp;WINDOW=FIRST_POPUP&amp;HEIGHT=450&amp;WIDTH=450&amp;START_MA","XIMIZED=FALSE&amp;VAR:CALENDAR=US&amp;VAR:SYMBOL=04916420&amp;VAR:INDEX=0"}</definedName>
    <definedName name="_9924__FDSAUDITLINK__" hidden="1">{"fdsup://directions/FAT Viewer?action=UPDATE&amp;creator=factset&amp;DYN_ARGS=TRUE&amp;DOC_NAME=FAT:FQL_AUDITING_CLIENT_TEMPLATE.FAT&amp;display_string=Audit&amp;VAR:KEY=DWDGDANKNM&amp;VAR:QUERY=RkZfRUJJVERBX0lCKCdMVE1TJywzOTQ0NSk=&amp;WINDOW=FIRST_POPUP&amp;HEIGHT=450&amp;WIDTH=450&amp;START_MA","XIMIZED=FALSE&amp;VAR:CALENDAR=US&amp;VAR:SYMBOL=04916420&amp;VAR:INDEX=0"}</definedName>
    <definedName name="_9925__FDSAUDITLINK__" localSheetId="6" hidden="1">{"fdsup://directions/FAT Viewer?action=UPDATE&amp;creator=factset&amp;DYN_ARGS=TRUE&amp;DOC_NAME=FAT:FQL_AUDITING_CLIENT_TEMPLATE.FAT&amp;display_string=Audit&amp;VAR:KEY=DANCJUXIBY&amp;VAR:QUERY=RkZfRUJJVERBX0lCKCdMVE1TJywzOTQ0NCk=&amp;WINDOW=FIRST_POPUP&amp;HEIGHT=450&amp;WIDTH=450&amp;START_MA","XIMIZED=FALSE&amp;VAR:CALENDAR=US&amp;VAR:SYMBOL=04916420&amp;VAR:INDEX=0"}</definedName>
    <definedName name="_9925__FDSAUDITLINK__" hidden="1">{"fdsup://directions/FAT Viewer?action=UPDATE&amp;creator=factset&amp;DYN_ARGS=TRUE&amp;DOC_NAME=FAT:FQL_AUDITING_CLIENT_TEMPLATE.FAT&amp;display_string=Audit&amp;VAR:KEY=DANCJUXIBY&amp;VAR:QUERY=RkZfRUJJVERBX0lCKCdMVE1TJywzOTQ0NCk=&amp;WINDOW=FIRST_POPUP&amp;HEIGHT=450&amp;WIDTH=450&amp;START_MA","XIMIZED=FALSE&amp;VAR:CALENDAR=US&amp;VAR:SYMBOL=04916420&amp;VAR:INDEX=0"}</definedName>
    <definedName name="_9926__FDSAUDITLINK__" localSheetId="6" hidden="1">{"fdsup://directions/FAT Viewer?action=UPDATE&amp;creator=factset&amp;DYN_ARGS=TRUE&amp;DOC_NAME=FAT:FQL_AUDITING_CLIENT_TEMPLATE.FAT&amp;display_string=Audit&amp;VAR:KEY=TSBCREVABA&amp;VAR:QUERY=RkZfRUJJVERBX0lCKCdMVE1TJywzOTQ0Myk=&amp;WINDOW=FIRST_POPUP&amp;HEIGHT=450&amp;WIDTH=450&amp;START_MA","XIMIZED=FALSE&amp;VAR:CALENDAR=US&amp;VAR:SYMBOL=04916420&amp;VAR:INDEX=0"}</definedName>
    <definedName name="_9926__FDSAUDITLINK__" hidden="1">{"fdsup://directions/FAT Viewer?action=UPDATE&amp;creator=factset&amp;DYN_ARGS=TRUE&amp;DOC_NAME=FAT:FQL_AUDITING_CLIENT_TEMPLATE.FAT&amp;display_string=Audit&amp;VAR:KEY=TSBCREVABA&amp;VAR:QUERY=RkZfRUJJVERBX0lCKCdMVE1TJywzOTQ0Myk=&amp;WINDOW=FIRST_POPUP&amp;HEIGHT=450&amp;WIDTH=450&amp;START_MA","XIMIZED=FALSE&amp;VAR:CALENDAR=US&amp;VAR:SYMBOL=04916420&amp;VAR:INDEX=0"}</definedName>
    <definedName name="_9927__FDSAUDITLINK__" localSheetId="6" hidden="1">{"fdsup://directions/FAT Viewer?action=UPDATE&amp;creator=factset&amp;DYN_ARGS=TRUE&amp;DOC_NAME=FAT:FQL_AUDITING_CLIENT_TEMPLATE.FAT&amp;display_string=Audit&amp;VAR:KEY=FEPQVYHYJE&amp;VAR:QUERY=RkZfRUJJVERBX0lCKCdMVE1TJywzOTQ0Mik=&amp;WINDOW=FIRST_POPUP&amp;HEIGHT=450&amp;WIDTH=450&amp;START_MA","XIMIZED=FALSE&amp;VAR:CALENDAR=US&amp;VAR:SYMBOL=04916420&amp;VAR:INDEX=0"}</definedName>
    <definedName name="_9927__FDSAUDITLINK__" hidden="1">{"fdsup://directions/FAT Viewer?action=UPDATE&amp;creator=factset&amp;DYN_ARGS=TRUE&amp;DOC_NAME=FAT:FQL_AUDITING_CLIENT_TEMPLATE.FAT&amp;display_string=Audit&amp;VAR:KEY=FEPQVYHYJE&amp;VAR:QUERY=RkZfRUJJVERBX0lCKCdMVE1TJywzOTQ0Mik=&amp;WINDOW=FIRST_POPUP&amp;HEIGHT=450&amp;WIDTH=450&amp;START_MA","XIMIZED=FALSE&amp;VAR:CALENDAR=US&amp;VAR:SYMBOL=04916420&amp;VAR:INDEX=0"}</definedName>
    <definedName name="_9928__FDSAUDITLINK__" localSheetId="6" hidden="1">{"fdsup://directions/FAT Viewer?action=UPDATE&amp;creator=factset&amp;DYN_ARGS=TRUE&amp;DOC_NAME=FAT:FQL_AUDITING_CLIENT_TEMPLATE.FAT&amp;display_string=Audit&amp;VAR:KEY=FGZCHMDIBE&amp;VAR:QUERY=RkZfRUJJVERBX0lCKCdMVE1TJywzOTQ0MSk=&amp;WINDOW=FIRST_POPUP&amp;HEIGHT=450&amp;WIDTH=450&amp;START_MA","XIMIZED=FALSE&amp;VAR:CALENDAR=US&amp;VAR:SYMBOL=04916420&amp;VAR:INDEX=0"}</definedName>
    <definedName name="_9928__FDSAUDITLINK__" hidden="1">{"fdsup://directions/FAT Viewer?action=UPDATE&amp;creator=factset&amp;DYN_ARGS=TRUE&amp;DOC_NAME=FAT:FQL_AUDITING_CLIENT_TEMPLATE.FAT&amp;display_string=Audit&amp;VAR:KEY=FGZCHMDIBE&amp;VAR:QUERY=RkZfRUJJVERBX0lCKCdMVE1TJywzOTQ0MSk=&amp;WINDOW=FIRST_POPUP&amp;HEIGHT=450&amp;WIDTH=450&amp;START_MA","XIMIZED=FALSE&amp;VAR:CALENDAR=US&amp;VAR:SYMBOL=04916420&amp;VAR:INDEX=0"}</definedName>
    <definedName name="_9929__FDSAUDITLINK__" localSheetId="6" hidden="1">{"fdsup://directions/FAT Viewer?action=UPDATE&amp;creator=factset&amp;DYN_ARGS=TRUE&amp;DOC_NAME=FAT:FQL_AUDITING_CLIENT_TEMPLATE.FAT&amp;display_string=Audit&amp;VAR:KEY=PKBGZOXKFC&amp;VAR:QUERY=RkZfRUJJVERBX0lCKCdMVE1TJywzOTQ0MCk=&amp;WINDOW=FIRST_POPUP&amp;HEIGHT=450&amp;WIDTH=450&amp;START_MA","XIMIZED=FALSE&amp;VAR:CALENDAR=US&amp;VAR:SYMBOL=04916420&amp;VAR:INDEX=0"}</definedName>
    <definedName name="_9929__FDSAUDITLINK__" hidden="1">{"fdsup://directions/FAT Viewer?action=UPDATE&amp;creator=factset&amp;DYN_ARGS=TRUE&amp;DOC_NAME=FAT:FQL_AUDITING_CLIENT_TEMPLATE.FAT&amp;display_string=Audit&amp;VAR:KEY=PKBGZOXKFC&amp;VAR:QUERY=RkZfRUJJVERBX0lCKCdMVE1TJywzOTQ0MCk=&amp;WINDOW=FIRST_POPUP&amp;HEIGHT=450&amp;WIDTH=450&amp;START_MA","XIMIZED=FALSE&amp;VAR:CALENDAR=US&amp;VAR:SYMBOL=04916420&amp;VAR:INDEX=0"}</definedName>
    <definedName name="_993__FDSAUDITLINK__" localSheetId="6" hidden="1">{"fdsup://directions/FAT%20Viewer?VAR:PED=LTM&amp;VAR:AUDIT_MODE=SUMMARY&amp;VAR:PERIOD=FIXED&amp;VAR:AUDIT_ID=00000117&amp;VAR:DATE=20070604&amp;action=UPDATE&amp;creator=factset&amp;DOC_NAME=FAT:FMA_audit_SUMMARY.fat&amp;DISPLAY_STRING=Display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3__FDSAUDITLINK__" hidden="1">{"fdsup://directions/FAT%20Viewer?VAR:PED=LTM&amp;VAR:AUDIT_MODE=SUMMARY&amp;VAR:PERIOD=FIXED&amp;VAR:AUDIT_ID=00000117&amp;VAR:DATE=20070604&amp;action=UPDATE&amp;creator=factset&amp;DOC_NAME=FAT:FMA_audit_SUMMARY.fat&amp;DISPLAY_STRING=Display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30__FDSAUDITLINK__" localSheetId="6" hidden="1">{"fdsup://directions/FAT Viewer?action=UPDATE&amp;creator=factset&amp;DYN_ARGS=TRUE&amp;DOC_NAME=FAT:FQL_AUDITING_CLIENT_TEMPLATE.FAT&amp;display_string=Audit&amp;VAR:KEY=VGHWVEPIJW&amp;VAR:QUERY=RkZfRUJJVERBX0lCKCdMVE1TJywzOTQzOSk=&amp;WINDOW=FIRST_POPUP&amp;HEIGHT=450&amp;WIDTH=450&amp;START_MA","XIMIZED=FALSE&amp;VAR:CALENDAR=US&amp;VAR:SYMBOL=04916420&amp;VAR:INDEX=0"}</definedName>
    <definedName name="_9930__FDSAUDITLINK__" hidden="1">{"fdsup://directions/FAT Viewer?action=UPDATE&amp;creator=factset&amp;DYN_ARGS=TRUE&amp;DOC_NAME=FAT:FQL_AUDITING_CLIENT_TEMPLATE.FAT&amp;display_string=Audit&amp;VAR:KEY=VGHWVEPIJW&amp;VAR:QUERY=RkZfRUJJVERBX0lCKCdMVE1TJywzOTQzOSk=&amp;WINDOW=FIRST_POPUP&amp;HEIGHT=450&amp;WIDTH=450&amp;START_MA","XIMIZED=FALSE&amp;VAR:CALENDAR=US&amp;VAR:SYMBOL=04916420&amp;VAR:INDEX=0"}</definedName>
    <definedName name="_9931__FDSAUDITLINK__" localSheetId="6" hidden="1">{"fdsup://directions/FAT Viewer?action=UPDATE&amp;creator=factset&amp;DYN_ARGS=TRUE&amp;DOC_NAME=FAT:FQL_AUDITING_CLIENT_TEMPLATE.FAT&amp;display_string=Audit&amp;VAR:KEY=JMZUPQRAFW&amp;VAR:QUERY=RkZfRUJJVERBX0lCKCdMVE1TJywzOTQzOCk=&amp;WINDOW=FIRST_POPUP&amp;HEIGHT=450&amp;WIDTH=450&amp;START_MA","XIMIZED=FALSE&amp;VAR:CALENDAR=US&amp;VAR:SYMBOL=04916420&amp;VAR:INDEX=0"}</definedName>
    <definedName name="_9931__FDSAUDITLINK__" hidden="1">{"fdsup://directions/FAT Viewer?action=UPDATE&amp;creator=factset&amp;DYN_ARGS=TRUE&amp;DOC_NAME=FAT:FQL_AUDITING_CLIENT_TEMPLATE.FAT&amp;display_string=Audit&amp;VAR:KEY=JMZUPQRAFW&amp;VAR:QUERY=RkZfRUJJVERBX0lCKCdMVE1TJywzOTQzOCk=&amp;WINDOW=FIRST_POPUP&amp;HEIGHT=450&amp;WIDTH=450&amp;START_MA","XIMIZED=FALSE&amp;VAR:CALENDAR=US&amp;VAR:SYMBOL=04916420&amp;VAR:INDEX=0"}</definedName>
    <definedName name="_9932__FDSAUDITLINK__" localSheetId="6" hidden="1">{"fdsup://directions/FAT Viewer?action=UPDATE&amp;creator=factset&amp;DYN_ARGS=TRUE&amp;DOC_NAME=FAT:FQL_AUDITING_CLIENT_TEMPLATE.FAT&amp;display_string=Audit&amp;VAR:KEY=FCNSDARSLK&amp;VAR:QUERY=RkZfRUJJVERBX0lCKCdMVE1TJywzOTQzNyk=&amp;WINDOW=FIRST_POPUP&amp;HEIGHT=450&amp;WIDTH=450&amp;START_MA","XIMIZED=FALSE&amp;VAR:CALENDAR=US&amp;VAR:SYMBOL=04916420&amp;VAR:INDEX=0"}</definedName>
    <definedName name="_9932__FDSAUDITLINK__" hidden="1">{"fdsup://directions/FAT Viewer?action=UPDATE&amp;creator=factset&amp;DYN_ARGS=TRUE&amp;DOC_NAME=FAT:FQL_AUDITING_CLIENT_TEMPLATE.FAT&amp;display_string=Audit&amp;VAR:KEY=FCNSDARSLK&amp;VAR:QUERY=RkZfRUJJVERBX0lCKCdMVE1TJywzOTQzNyk=&amp;WINDOW=FIRST_POPUP&amp;HEIGHT=450&amp;WIDTH=450&amp;START_MA","XIMIZED=FALSE&amp;VAR:CALENDAR=US&amp;VAR:SYMBOL=04916420&amp;VAR:INDEX=0"}</definedName>
    <definedName name="_9933__FDSAUDITLINK__" localSheetId="6" hidden="1">{"fdsup://directions/FAT Viewer?action=UPDATE&amp;creator=factset&amp;DYN_ARGS=TRUE&amp;DOC_NAME=FAT:FQL_AUDITING_CLIENT_TEMPLATE.FAT&amp;display_string=Audit&amp;VAR:KEY=BWVCVIJARS&amp;VAR:QUERY=RkZfRUJJVERBX0lCKCdMVE1TJywzOTQzNik=&amp;WINDOW=FIRST_POPUP&amp;HEIGHT=450&amp;WIDTH=450&amp;START_MA","XIMIZED=FALSE&amp;VAR:CALENDAR=US&amp;VAR:SYMBOL=04916420&amp;VAR:INDEX=0"}</definedName>
    <definedName name="_9933__FDSAUDITLINK__" hidden="1">{"fdsup://directions/FAT Viewer?action=UPDATE&amp;creator=factset&amp;DYN_ARGS=TRUE&amp;DOC_NAME=FAT:FQL_AUDITING_CLIENT_TEMPLATE.FAT&amp;display_string=Audit&amp;VAR:KEY=BWVCVIJARS&amp;VAR:QUERY=RkZfRUJJVERBX0lCKCdMVE1TJywzOTQzNik=&amp;WINDOW=FIRST_POPUP&amp;HEIGHT=450&amp;WIDTH=450&amp;START_MA","XIMIZED=FALSE&amp;VAR:CALENDAR=US&amp;VAR:SYMBOL=04916420&amp;VAR:INDEX=0"}</definedName>
    <definedName name="_9934__FDSAUDITLINK__" localSheetId="6" hidden="1">{"fdsup://directions/FAT Viewer?action=UPDATE&amp;creator=factset&amp;DYN_ARGS=TRUE&amp;DOC_NAME=FAT:FQL_AUDITING_CLIENT_TEMPLATE.FAT&amp;display_string=Audit&amp;VAR:KEY=ZWXCHQVQPG&amp;VAR:QUERY=RkZfRUJJVERBX0lCKCdMVE1TJywzOTQzNSk=&amp;WINDOW=FIRST_POPUP&amp;HEIGHT=450&amp;WIDTH=450&amp;START_MA","XIMIZED=FALSE&amp;VAR:CALENDAR=US&amp;VAR:SYMBOL=04916420&amp;VAR:INDEX=0"}</definedName>
    <definedName name="_9934__FDSAUDITLINK__" hidden="1">{"fdsup://directions/FAT Viewer?action=UPDATE&amp;creator=factset&amp;DYN_ARGS=TRUE&amp;DOC_NAME=FAT:FQL_AUDITING_CLIENT_TEMPLATE.FAT&amp;display_string=Audit&amp;VAR:KEY=ZWXCHQVQPG&amp;VAR:QUERY=RkZfRUJJVERBX0lCKCdMVE1TJywzOTQzNSk=&amp;WINDOW=FIRST_POPUP&amp;HEIGHT=450&amp;WIDTH=450&amp;START_MA","XIMIZED=FALSE&amp;VAR:CALENDAR=US&amp;VAR:SYMBOL=04916420&amp;VAR:INDEX=0"}</definedName>
    <definedName name="_9935__FDSAUDITLINK__" localSheetId="6" hidden="1">{"fdsup://directions/FAT Viewer?action=UPDATE&amp;creator=factset&amp;DYN_ARGS=TRUE&amp;DOC_NAME=FAT:FQL_AUDITING_CLIENT_TEMPLATE.FAT&amp;display_string=Audit&amp;VAR:KEY=JSVAVQHIFM&amp;VAR:QUERY=RkZfRUJJVERBX0lCKCdMVE1TJywzOTQzNCk=&amp;WINDOW=FIRST_POPUP&amp;HEIGHT=450&amp;WIDTH=450&amp;START_MA","XIMIZED=FALSE&amp;VAR:CALENDAR=US&amp;VAR:SYMBOL=04916420&amp;VAR:INDEX=0"}</definedName>
    <definedName name="_9935__FDSAUDITLINK__" hidden="1">{"fdsup://directions/FAT Viewer?action=UPDATE&amp;creator=factset&amp;DYN_ARGS=TRUE&amp;DOC_NAME=FAT:FQL_AUDITING_CLIENT_TEMPLATE.FAT&amp;display_string=Audit&amp;VAR:KEY=JSVAVQHIFM&amp;VAR:QUERY=RkZfRUJJVERBX0lCKCdMVE1TJywzOTQzNCk=&amp;WINDOW=FIRST_POPUP&amp;HEIGHT=450&amp;WIDTH=450&amp;START_MA","XIMIZED=FALSE&amp;VAR:CALENDAR=US&amp;VAR:SYMBOL=04916420&amp;VAR:INDEX=0"}</definedName>
    <definedName name="_9936__FDSAUDITLINK__" localSheetId="6" hidden="1">{"fdsup://directions/FAT Viewer?action=UPDATE&amp;creator=factset&amp;DYN_ARGS=TRUE&amp;DOC_NAME=FAT:FQL_AUDITING_CLIENT_TEMPLATE.FAT&amp;display_string=Audit&amp;VAR:KEY=JENYPCROZU&amp;VAR:QUERY=RkZfRUJJVERBX0lCKCdMVE1TJywzOTQzMyk=&amp;WINDOW=FIRST_POPUP&amp;HEIGHT=450&amp;WIDTH=450&amp;START_MA","XIMIZED=FALSE&amp;VAR:CALENDAR=US&amp;VAR:SYMBOL=04916420&amp;VAR:INDEX=0"}</definedName>
    <definedName name="_9936__FDSAUDITLINK__" hidden="1">{"fdsup://directions/FAT Viewer?action=UPDATE&amp;creator=factset&amp;DYN_ARGS=TRUE&amp;DOC_NAME=FAT:FQL_AUDITING_CLIENT_TEMPLATE.FAT&amp;display_string=Audit&amp;VAR:KEY=JENYPCROZU&amp;VAR:QUERY=RkZfRUJJVERBX0lCKCdMVE1TJywzOTQzMyk=&amp;WINDOW=FIRST_POPUP&amp;HEIGHT=450&amp;WIDTH=450&amp;START_MA","XIMIZED=FALSE&amp;VAR:CALENDAR=US&amp;VAR:SYMBOL=04916420&amp;VAR:INDEX=0"}</definedName>
    <definedName name="_9937__FDSAUDITLINK__" localSheetId="6" hidden="1">{"fdsup://directions/FAT Viewer?action=UPDATE&amp;creator=factset&amp;DYN_ARGS=TRUE&amp;DOC_NAME=FAT:FQL_AUDITING_CLIENT_TEMPLATE.FAT&amp;display_string=Audit&amp;VAR:KEY=HOTSTOTSFC&amp;VAR:QUERY=RkZfRUJJVERBX0lCKCdMVE1TJywzOTQzMik=&amp;WINDOW=FIRST_POPUP&amp;HEIGHT=450&amp;WIDTH=450&amp;START_MA","XIMIZED=FALSE&amp;VAR:CALENDAR=US&amp;VAR:SYMBOL=04916420&amp;VAR:INDEX=0"}</definedName>
    <definedName name="_9937__FDSAUDITLINK__" hidden="1">{"fdsup://directions/FAT Viewer?action=UPDATE&amp;creator=factset&amp;DYN_ARGS=TRUE&amp;DOC_NAME=FAT:FQL_AUDITING_CLIENT_TEMPLATE.FAT&amp;display_string=Audit&amp;VAR:KEY=HOTSTOTSFC&amp;VAR:QUERY=RkZfRUJJVERBX0lCKCdMVE1TJywzOTQzMik=&amp;WINDOW=FIRST_POPUP&amp;HEIGHT=450&amp;WIDTH=450&amp;START_MA","XIMIZED=FALSE&amp;VAR:CALENDAR=US&amp;VAR:SYMBOL=04916420&amp;VAR:INDEX=0"}</definedName>
    <definedName name="_9938__FDSAUDITLINK__" localSheetId="6" hidden="1">{"fdsup://directions/FAT Viewer?action=UPDATE&amp;creator=factset&amp;DYN_ARGS=TRUE&amp;DOC_NAME=FAT:FQL_AUDITING_CLIENT_TEMPLATE.FAT&amp;display_string=Audit&amp;VAR:KEY=BQBOPEPOXQ&amp;VAR:QUERY=RkZfRUJJVERBX0lCKCdMVE1TJywzOTQzMSk=&amp;WINDOW=FIRST_POPUP&amp;HEIGHT=450&amp;WIDTH=450&amp;START_MA","XIMIZED=FALSE&amp;VAR:CALENDAR=US&amp;VAR:SYMBOL=04916420&amp;VAR:INDEX=0"}</definedName>
    <definedName name="_9938__FDSAUDITLINK__" hidden="1">{"fdsup://directions/FAT Viewer?action=UPDATE&amp;creator=factset&amp;DYN_ARGS=TRUE&amp;DOC_NAME=FAT:FQL_AUDITING_CLIENT_TEMPLATE.FAT&amp;display_string=Audit&amp;VAR:KEY=BQBOPEPOXQ&amp;VAR:QUERY=RkZfRUJJVERBX0lCKCdMVE1TJywzOTQzMSk=&amp;WINDOW=FIRST_POPUP&amp;HEIGHT=450&amp;WIDTH=450&amp;START_MA","XIMIZED=FALSE&amp;VAR:CALENDAR=US&amp;VAR:SYMBOL=04916420&amp;VAR:INDEX=0"}</definedName>
    <definedName name="_9939__FDSAUDITLINK__" localSheetId="6" hidden="1">{"fdsup://directions/FAT Viewer?action=UPDATE&amp;creator=factset&amp;DYN_ARGS=TRUE&amp;DOC_NAME=FAT:FQL_AUDITING_CLIENT_TEMPLATE.FAT&amp;display_string=Audit&amp;VAR:KEY=DUXCNWJGRM&amp;VAR:QUERY=RkZfRUJJVERBX0lCKCdMVE1TJywzOTQzMCk=&amp;WINDOW=FIRST_POPUP&amp;HEIGHT=450&amp;WIDTH=450&amp;START_MA","XIMIZED=FALSE&amp;VAR:CALENDAR=US&amp;VAR:SYMBOL=04916420&amp;VAR:INDEX=0"}</definedName>
    <definedName name="_9939__FDSAUDITLINK__" hidden="1">{"fdsup://directions/FAT Viewer?action=UPDATE&amp;creator=factset&amp;DYN_ARGS=TRUE&amp;DOC_NAME=FAT:FQL_AUDITING_CLIENT_TEMPLATE.FAT&amp;display_string=Audit&amp;VAR:KEY=DUXCNWJGRM&amp;VAR:QUERY=RkZfRUJJVERBX0lCKCdMVE1TJywzOTQzMCk=&amp;WINDOW=FIRST_POPUP&amp;HEIGHT=450&amp;WIDTH=450&amp;START_MA","XIMIZED=FALSE&amp;VAR:CALENDAR=US&amp;VAR:SYMBOL=04916420&amp;VAR:INDEX=0"}</definedName>
    <definedName name="_994__FDSAUDITLINK__" localSheetId="6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4__FDSAUDITLINK__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40__FDSAUDITLINK__" localSheetId="6" hidden="1">{"fdsup://directions/FAT Viewer?action=UPDATE&amp;creator=factset&amp;DYN_ARGS=TRUE&amp;DOC_NAME=FAT:FQL_AUDITING_CLIENT_TEMPLATE.FAT&amp;display_string=Audit&amp;VAR:KEY=XGRAZQXSTE&amp;VAR:QUERY=RkZfRUJJVERBX0lCKCdMVE1TJywzOTQyOSk=&amp;WINDOW=FIRST_POPUP&amp;HEIGHT=450&amp;WIDTH=450&amp;START_MA","XIMIZED=FALSE&amp;VAR:CALENDAR=US&amp;VAR:SYMBOL=04916420&amp;VAR:INDEX=0"}</definedName>
    <definedName name="_9940__FDSAUDITLINK__" hidden="1">{"fdsup://directions/FAT Viewer?action=UPDATE&amp;creator=factset&amp;DYN_ARGS=TRUE&amp;DOC_NAME=FAT:FQL_AUDITING_CLIENT_TEMPLATE.FAT&amp;display_string=Audit&amp;VAR:KEY=XGRAZQXSTE&amp;VAR:QUERY=RkZfRUJJVERBX0lCKCdMVE1TJywzOTQyOSk=&amp;WINDOW=FIRST_POPUP&amp;HEIGHT=450&amp;WIDTH=450&amp;START_MA","XIMIZED=FALSE&amp;VAR:CALENDAR=US&amp;VAR:SYMBOL=04916420&amp;VAR:INDEX=0"}</definedName>
    <definedName name="_9941__FDSAUDITLINK__" localSheetId="6" hidden="1">{"fdsup://directions/FAT Viewer?action=UPDATE&amp;creator=factset&amp;DYN_ARGS=TRUE&amp;DOC_NAME=FAT:FQL_AUDITING_CLIENT_TEMPLATE.FAT&amp;display_string=Audit&amp;VAR:KEY=FWJATKTWXI&amp;VAR:QUERY=RkZfRUJJVERBX0lCKCdMVE1TJywzOTQyOCk=&amp;WINDOW=FIRST_POPUP&amp;HEIGHT=450&amp;WIDTH=450&amp;START_MA","XIMIZED=FALSE&amp;VAR:CALENDAR=US&amp;VAR:SYMBOL=04916420&amp;VAR:INDEX=0"}</definedName>
    <definedName name="_9941__FDSAUDITLINK__" hidden="1">{"fdsup://directions/FAT Viewer?action=UPDATE&amp;creator=factset&amp;DYN_ARGS=TRUE&amp;DOC_NAME=FAT:FQL_AUDITING_CLIENT_TEMPLATE.FAT&amp;display_string=Audit&amp;VAR:KEY=FWJATKTWXI&amp;VAR:QUERY=RkZfRUJJVERBX0lCKCdMVE1TJywzOTQyOCk=&amp;WINDOW=FIRST_POPUP&amp;HEIGHT=450&amp;WIDTH=450&amp;START_MA","XIMIZED=FALSE&amp;VAR:CALENDAR=US&amp;VAR:SYMBOL=04916420&amp;VAR:INDEX=0"}</definedName>
    <definedName name="_9942__FDSAUDITLINK__" localSheetId="6" hidden="1">{"fdsup://directions/FAT Viewer?action=UPDATE&amp;creator=factset&amp;DYN_ARGS=TRUE&amp;DOC_NAME=FAT:FQL_AUDITING_CLIENT_TEMPLATE.FAT&amp;display_string=Audit&amp;VAR:KEY=HEJOHIBWDK&amp;VAR:QUERY=RkZfRUJJVERBX0lCKCdMVE1TJywzOTQyNyk=&amp;WINDOW=FIRST_POPUP&amp;HEIGHT=450&amp;WIDTH=450&amp;START_MA","XIMIZED=FALSE&amp;VAR:CALENDAR=US&amp;VAR:SYMBOL=04916420&amp;VAR:INDEX=0"}</definedName>
    <definedName name="_9942__FDSAUDITLINK__" hidden="1">{"fdsup://directions/FAT Viewer?action=UPDATE&amp;creator=factset&amp;DYN_ARGS=TRUE&amp;DOC_NAME=FAT:FQL_AUDITING_CLIENT_TEMPLATE.FAT&amp;display_string=Audit&amp;VAR:KEY=HEJOHIBWDK&amp;VAR:QUERY=RkZfRUJJVERBX0lCKCdMVE1TJywzOTQyNyk=&amp;WINDOW=FIRST_POPUP&amp;HEIGHT=450&amp;WIDTH=450&amp;START_MA","XIMIZED=FALSE&amp;VAR:CALENDAR=US&amp;VAR:SYMBOL=04916420&amp;VAR:INDEX=0"}</definedName>
    <definedName name="_9943__FDSAUDITLINK__" localSheetId="6" hidden="1">{"fdsup://directions/FAT Viewer?action=UPDATE&amp;creator=factset&amp;DYN_ARGS=TRUE&amp;DOC_NAME=FAT:FQL_AUDITING_CLIENT_TEMPLATE.FAT&amp;display_string=Audit&amp;VAR:KEY=VOXQPSTIZE&amp;VAR:QUERY=RkZfRUJJVERBX0lCKCdMVE1TJywzOTQyNik=&amp;WINDOW=FIRST_POPUP&amp;HEIGHT=450&amp;WIDTH=450&amp;START_MA","XIMIZED=FALSE&amp;VAR:CALENDAR=US&amp;VAR:SYMBOL=04916420&amp;VAR:INDEX=0"}</definedName>
    <definedName name="_9943__FDSAUDITLINK__" hidden="1">{"fdsup://directions/FAT Viewer?action=UPDATE&amp;creator=factset&amp;DYN_ARGS=TRUE&amp;DOC_NAME=FAT:FQL_AUDITING_CLIENT_TEMPLATE.FAT&amp;display_string=Audit&amp;VAR:KEY=VOXQPSTIZE&amp;VAR:QUERY=RkZfRUJJVERBX0lCKCdMVE1TJywzOTQyNik=&amp;WINDOW=FIRST_POPUP&amp;HEIGHT=450&amp;WIDTH=450&amp;START_MA","XIMIZED=FALSE&amp;VAR:CALENDAR=US&amp;VAR:SYMBOL=04916420&amp;VAR:INDEX=0"}</definedName>
    <definedName name="_9944__FDSAUDITLINK__" localSheetId="6" hidden="1">{"fdsup://directions/FAT Viewer?action=UPDATE&amp;creator=factset&amp;DYN_ARGS=TRUE&amp;DOC_NAME=FAT:FQL_AUDITING_CLIENT_TEMPLATE.FAT&amp;display_string=Audit&amp;VAR:KEY=RYHWJSDIRM&amp;VAR:QUERY=RkZfRUJJVERBX0lCKCdMVE1TJywzOTQyNSk=&amp;WINDOW=FIRST_POPUP&amp;HEIGHT=450&amp;WIDTH=450&amp;START_MA","XIMIZED=FALSE&amp;VAR:CALENDAR=US&amp;VAR:SYMBOL=04916420&amp;VAR:INDEX=0"}</definedName>
    <definedName name="_9944__FDSAUDITLINK__" hidden="1">{"fdsup://directions/FAT Viewer?action=UPDATE&amp;creator=factset&amp;DYN_ARGS=TRUE&amp;DOC_NAME=FAT:FQL_AUDITING_CLIENT_TEMPLATE.FAT&amp;display_string=Audit&amp;VAR:KEY=RYHWJSDIRM&amp;VAR:QUERY=RkZfRUJJVERBX0lCKCdMVE1TJywzOTQyNSk=&amp;WINDOW=FIRST_POPUP&amp;HEIGHT=450&amp;WIDTH=450&amp;START_MA","XIMIZED=FALSE&amp;VAR:CALENDAR=US&amp;VAR:SYMBOL=04916420&amp;VAR:INDEX=0"}</definedName>
    <definedName name="_9945__FDSAUDITLINK__" localSheetId="6" hidden="1">{"fdsup://directions/FAT Viewer?action=UPDATE&amp;creator=factset&amp;DYN_ARGS=TRUE&amp;DOC_NAME=FAT:FQL_AUDITING_CLIENT_TEMPLATE.FAT&amp;display_string=Audit&amp;VAR:KEY=LGFETADERS&amp;VAR:QUERY=RkZfRUJJVERBX0lCKCdMVE1TJywzOTQyNCk=&amp;WINDOW=FIRST_POPUP&amp;HEIGHT=450&amp;WIDTH=450&amp;START_MA","XIMIZED=FALSE&amp;VAR:CALENDAR=US&amp;VAR:SYMBOL=04916420&amp;VAR:INDEX=0"}</definedName>
    <definedName name="_9945__FDSAUDITLINK__" hidden="1">{"fdsup://directions/FAT Viewer?action=UPDATE&amp;creator=factset&amp;DYN_ARGS=TRUE&amp;DOC_NAME=FAT:FQL_AUDITING_CLIENT_TEMPLATE.FAT&amp;display_string=Audit&amp;VAR:KEY=LGFETADERS&amp;VAR:QUERY=RkZfRUJJVERBX0lCKCdMVE1TJywzOTQyNCk=&amp;WINDOW=FIRST_POPUP&amp;HEIGHT=450&amp;WIDTH=450&amp;START_MA","XIMIZED=FALSE&amp;VAR:CALENDAR=US&amp;VAR:SYMBOL=04916420&amp;VAR:INDEX=0"}</definedName>
    <definedName name="_9946__FDSAUDITLINK__" localSheetId="6" hidden="1">{"fdsup://directions/FAT Viewer?action=UPDATE&amp;creator=factset&amp;DYN_ARGS=TRUE&amp;DOC_NAME=FAT:FQL_AUDITING_CLIENT_TEMPLATE.FAT&amp;display_string=Audit&amp;VAR:KEY=PUPKHWPIZI&amp;VAR:QUERY=RkZfRUJJVERBX0lCKCdMVE1TJywzOTQyMyk=&amp;WINDOW=FIRST_POPUP&amp;HEIGHT=450&amp;WIDTH=450&amp;START_MA","XIMIZED=FALSE&amp;VAR:CALENDAR=US&amp;VAR:SYMBOL=04916420&amp;VAR:INDEX=0"}</definedName>
    <definedName name="_9946__FDSAUDITLINK__" hidden="1">{"fdsup://directions/FAT Viewer?action=UPDATE&amp;creator=factset&amp;DYN_ARGS=TRUE&amp;DOC_NAME=FAT:FQL_AUDITING_CLIENT_TEMPLATE.FAT&amp;display_string=Audit&amp;VAR:KEY=PUPKHWPIZI&amp;VAR:QUERY=RkZfRUJJVERBX0lCKCdMVE1TJywzOTQyMyk=&amp;WINDOW=FIRST_POPUP&amp;HEIGHT=450&amp;WIDTH=450&amp;START_MA","XIMIZED=FALSE&amp;VAR:CALENDAR=US&amp;VAR:SYMBOL=04916420&amp;VAR:INDEX=0"}</definedName>
    <definedName name="_9947__FDSAUDITLINK__" localSheetId="6" hidden="1">{"fdsup://directions/FAT Viewer?action=UPDATE&amp;creator=factset&amp;DYN_ARGS=TRUE&amp;DOC_NAME=FAT:FQL_AUDITING_CLIENT_TEMPLATE.FAT&amp;display_string=Audit&amp;VAR:KEY=PYVEPGPWTM&amp;VAR:QUERY=RkZfRUJJVERBX0lCKCdMVE1TJywzOTQyMik=&amp;WINDOW=FIRST_POPUP&amp;HEIGHT=450&amp;WIDTH=450&amp;START_MA","XIMIZED=FALSE&amp;VAR:CALENDAR=US&amp;VAR:SYMBOL=04916420&amp;VAR:INDEX=0"}</definedName>
    <definedName name="_9947__FDSAUDITLINK__" hidden="1">{"fdsup://directions/FAT Viewer?action=UPDATE&amp;creator=factset&amp;DYN_ARGS=TRUE&amp;DOC_NAME=FAT:FQL_AUDITING_CLIENT_TEMPLATE.FAT&amp;display_string=Audit&amp;VAR:KEY=PYVEPGPWTM&amp;VAR:QUERY=RkZfRUJJVERBX0lCKCdMVE1TJywzOTQyMik=&amp;WINDOW=FIRST_POPUP&amp;HEIGHT=450&amp;WIDTH=450&amp;START_MA","XIMIZED=FALSE&amp;VAR:CALENDAR=US&amp;VAR:SYMBOL=04916420&amp;VAR:INDEX=0"}</definedName>
    <definedName name="_9948__FDSAUDITLINK__" localSheetId="6" hidden="1">{"fdsup://directions/FAT Viewer?action=UPDATE&amp;creator=factset&amp;DYN_ARGS=TRUE&amp;DOC_NAME=FAT:FQL_AUDITING_CLIENT_TEMPLATE.FAT&amp;display_string=Audit&amp;VAR:KEY=HQTYJMBOZC&amp;VAR:QUERY=RkZfRUJJVERBX0lCKCdMVE1TJywzOTQyMSk=&amp;WINDOW=FIRST_POPUP&amp;HEIGHT=450&amp;WIDTH=450&amp;START_MA","XIMIZED=FALSE&amp;VAR:CALENDAR=US&amp;VAR:SYMBOL=04916420&amp;VAR:INDEX=0"}</definedName>
    <definedName name="_9948__FDSAUDITLINK__" hidden="1">{"fdsup://directions/FAT Viewer?action=UPDATE&amp;creator=factset&amp;DYN_ARGS=TRUE&amp;DOC_NAME=FAT:FQL_AUDITING_CLIENT_TEMPLATE.FAT&amp;display_string=Audit&amp;VAR:KEY=HQTYJMBOZC&amp;VAR:QUERY=RkZfRUJJVERBX0lCKCdMVE1TJywzOTQyMSk=&amp;WINDOW=FIRST_POPUP&amp;HEIGHT=450&amp;WIDTH=450&amp;START_MA","XIMIZED=FALSE&amp;VAR:CALENDAR=US&amp;VAR:SYMBOL=04916420&amp;VAR:INDEX=0"}</definedName>
    <definedName name="_9949__FDSAUDITLINK__" localSheetId="6" hidden="1">{"fdsup://directions/FAT Viewer?action=UPDATE&amp;creator=factset&amp;DYN_ARGS=TRUE&amp;DOC_NAME=FAT:FQL_AUDITING_CLIENT_TEMPLATE.FAT&amp;display_string=Audit&amp;VAR:KEY=VKNMBKRGXG&amp;VAR:QUERY=RkZfRUJJVERBX0lCKCdMVE1TJywzOTQyMCk=&amp;WINDOW=FIRST_POPUP&amp;HEIGHT=450&amp;WIDTH=450&amp;START_MA","XIMIZED=FALSE&amp;VAR:CALENDAR=US&amp;VAR:SYMBOL=04916420&amp;VAR:INDEX=0"}</definedName>
    <definedName name="_9949__FDSAUDITLINK__" hidden="1">{"fdsup://directions/FAT Viewer?action=UPDATE&amp;creator=factset&amp;DYN_ARGS=TRUE&amp;DOC_NAME=FAT:FQL_AUDITING_CLIENT_TEMPLATE.FAT&amp;display_string=Audit&amp;VAR:KEY=VKNMBKRGXG&amp;VAR:QUERY=RkZfRUJJVERBX0lCKCdMVE1TJywzOTQyMCk=&amp;WINDOW=FIRST_POPUP&amp;HEIGHT=450&amp;WIDTH=450&amp;START_MA","XIMIZED=FALSE&amp;VAR:CALENDAR=US&amp;VAR:SYMBOL=04916420&amp;VAR:INDEX=0"}</definedName>
    <definedName name="_995__FDSAUDITLINK__" localSheetId="6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5__FDSAUDITLINK__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50__FDSAUDITLINK__" localSheetId="6" hidden="1">{"fdsup://directions/FAT Viewer?action=UPDATE&amp;creator=factset&amp;DYN_ARGS=TRUE&amp;DOC_NAME=FAT:FQL_AUDITING_CLIENT_TEMPLATE.FAT&amp;display_string=Audit&amp;VAR:KEY=JQNSZETQXG&amp;VAR:QUERY=RkZfRUJJVERBX0lCKCdMVE1TJywzOTQxOSk=&amp;WINDOW=FIRST_POPUP&amp;HEIGHT=450&amp;WIDTH=450&amp;START_MA","XIMIZED=FALSE&amp;VAR:CALENDAR=US&amp;VAR:SYMBOL=04916420&amp;VAR:INDEX=0"}</definedName>
    <definedName name="_9950__FDSAUDITLINK__" hidden="1">{"fdsup://directions/FAT Viewer?action=UPDATE&amp;creator=factset&amp;DYN_ARGS=TRUE&amp;DOC_NAME=FAT:FQL_AUDITING_CLIENT_TEMPLATE.FAT&amp;display_string=Audit&amp;VAR:KEY=JQNSZETQXG&amp;VAR:QUERY=RkZfRUJJVERBX0lCKCdMVE1TJywzOTQxOSk=&amp;WINDOW=FIRST_POPUP&amp;HEIGHT=450&amp;WIDTH=450&amp;START_MA","XIMIZED=FALSE&amp;VAR:CALENDAR=US&amp;VAR:SYMBOL=04916420&amp;VAR:INDEX=0"}</definedName>
    <definedName name="_9951__FDSAUDITLINK__" localSheetId="6" hidden="1">{"fdsup://directions/FAT Viewer?action=UPDATE&amp;creator=factset&amp;DYN_ARGS=TRUE&amp;DOC_NAME=FAT:FQL_AUDITING_CLIENT_TEMPLATE.FAT&amp;display_string=Audit&amp;VAR:KEY=JKDEZWPWTE&amp;VAR:QUERY=RkZfRUJJVERBX0lCKCdMVE1TJywzOTQxOCk=&amp;WINDOW=FIRST_POPUP&amp;HEIGHT=450&amp;WIDTH=450&amp;START_MA","XIMIZED=FALSE&amp;VAR:CALENDAR=US&amp;VAR:SYMBOL=04916420&amp;VAR:INDEX=0"}</definedName>
    <definedName name="_9951__FDSAUDITLINK__" hidden="1">{"fdsup://directions/FAT Viewer?action=UPDATE&amp;creator=factset&amp;DYN_ARGS=TRUE&amp;DOC_NAME=FAT:FQL_AUDITING_CLIENT_TEMPLATE.FAT&amp;display_string=Audit&amp;VAR:KEY=JKDEZWPWTE&amp;VAR:QUERY=RkZfRUJJVERBX0lCKCdMVE1TJywzOTQxOCk=&amp;WINDOW=FIRST_POPUP&amp;HEIGHT=450&amp;WIDTH=450&amp;START_MA","XIMIZED=FALSE&amp;VAR:CALENDAR=US&amp;VAR:SYMBOL=04916420&amp;VAR:INDEX=0"}</definedName>
    <definedName name="_9952__FDSAUDITLINK__" localSheetId="6" hidden="1">{"fdsup://directions/FAT Viewer?action=UPDATE&amp;creator=factset&amp;DYN_ARGS=TRUE&amp;DOC_NAME=FAT:FQL_AUDITING_CLIENT_TEMPLATE.FAT&amp;display_string=Audit&amp;VAR:KEY=FQFYJUNMBA&amp;VAR:QUERY=RkZfRUJJVERBX0lCKCdMVE1TJywzOTQxNyk=&amp;WINDOW=FIRST_POPUP&amp;HEIGHT=450&amp;WIDTH=450&amp;START_MA","XIMIZED=FALSE&amp;VAR:CALENDAR=US&amp;VAR:SYMBOL=04916420&amp;VAR:INDEX=0"}</definedName>
    <definedName name="_9952__FDSAUDITLINK__" hidden="1">{"fdsup://directions/FAT Viewer?action=UPDATE&amp;creator=factset&amp;DYN_ARGS=TRUE&amp;DOC_NAME=FAT:FQL_AUDITING_CLIENT_TEMPLATE.FAT&amp;display_string=Audit&amp;VAR:KEY=FQFYJUNMBA&amp;VAR:QUERY=RkZfRUJJVERBX0lCKCdMVE1TJywzOTQxNyk=&amp;WINDOW=FIRST_POPUP&amp;HEIGHT=450&amp;WIDTH=450&amp;START_MA","XIMIZED=FALSE&amp;VAR:CALENDAR=US&amp;VAR:SYMBOL=04916420&amp;VAR:INDEX=0"}</definedName>
    <definedName name="_9953__FDSAUDITLINK__" localSheetId="6" hidden="1">{"fdsup://directions/FAT Viewer?action=UPDATE&amp;creator=factset&amp;DYN_ARGS=TRUE&amp;DOC_NAME=FAT:FQL_AUDITING_CLIENT_TEMPLATE.FAT&amp;display_string=Audit&amp;VAR:KEY=RQNCJEPSNM&amp;VAR:QUERY=RkZfRUJJVERBX0lCKCdMVE1TJywzOTQxNik=&amp;WINDOW=FIRST_POPUP&amp;HEIGHT=450&amp;WIDTH=450&amp;START_MA","XIMIZED=FALSE&amp;VAR:CALENDAR=US&amp;VAR:SYMBOL=04916420&amp;VAR:INDEX=0"}</definedName>
    <definedName name="_9953__FDSAUDITLINK__" hidden="1">{"fdsup://directions/FAT Viewer?action=UPDATE&amp;creator=factset&amp;DYN_ARGS=TRUE&amp;DOC_NAME=FAT:FQL_AUDITING_CLIENT_TEMPLATE.FAT&amp;display_string=Audit&amp;VAR:KEY=RQNCJEPSNM&amp;VAR:QUERY=RkZfRUJJVERBX0lCKCdMVE1TJywzOTQxNik=&amp;WINDOW=FIRST_POPUP&amp;HEIGHT=450&amp;WIDTH=450&amp;START_MA","XIMIZED=FALSE&amp;VAR:CALENDAR=US&amp;VAR:SYMBOL=04916420&amp;VAR:INDEX=0"}</definedName>
    <definedName name="_9954__FDSAUDITLINK__" localSheetId="6" hidden="1">{"fdsup://directions/FAT Viewer?action=UPDATE&amp;creator=factset&amp;DYN_ARGS=TRUE&amp;DOC_NAME=FAT:FQL_AUDITING_CLIENT_TEMPLATE.FAT&amp;display_string=Audit&amp;VAR:KEY=PKJQPSFSRW&amp;VAR:QUERY=RkZfRUJJVERBX0lCKCdMVE1TJywzOTQxNSk=&amp;WINDOW=FIRST_POPUP&amp;HEIGHT=450&amp;WIDTH=450&amp;START_MA","XIMIZED=FALSE&amp;VAR:CALENDAR=US&amp;VAR:SYMBOL=04916420&amp;VAR:INDEX=0"}</definedName>
    <definedName name="_9954__FDSAUDITLINK__" hidden="1">{"fdsup://directions/FAT Viewer?action=UPDATE&amp;creator=factset&amp;DYN_ARGS=TRUE&amp;DOC_NAME=FAT:FQL_AUDITING_CLIENT_TEMPLATE.FAT&amp;display_string=Audit&amp;VAR:KEY=PKJQPSFSRW&amp;VAR:QUERY=RkZfRUJJVERBX0lCKCdMVE1TJywzOTQxNSk=&amp;WINDOW=FIRST_POPUP&amp;HEIGHT=450&amp;WIDTH=450&amp;START_MA","XIMIZED=FALSE&amp;VAR:CALENDAR=US&amp;VAR:SYMBOL=04916420&amp;VAR:INDEX=0"}</definedName>
    <definedName name="_9955__FDSAUDITLINK__" localSheetId="6" hidden="1">{"fdsup://directions/FAT Viewer?action=UPDATE&amp;creator=factset&amp;DYN_ARGS=TRUE&amp;DOC_NAME=FAT:FQL_AUDITING_CLIENT_TEMPLATE.FAT&amp;display_string=Audit&amp;VAR:KEY=LIDMRYHYFU&amp;VAR:QUERY=RkZfRUJJVERBX0lCKCdMVE1TJywzOTQxNCk=&amp;WINDOW=FIRST_POPUP&amp;HEIGHT=450&amp;WIDTH=450&amp;START_MA","XIMIZED=FALSE&amp;VAR:CALENDAR=US&amp;VAR:SYMBOL=04916420&amp;VAR:INDEX=0"}</definedName>
    <definedName name="_9955__FDSAUDITLINK__" hidden="1">{"fdsup://directions/FAT Viewer?action=UPDATE&amp;creator=factset&amp;DYN_ARGS=TRUE&amp;DOC_NAME=FAT:FQL_AUDITING_CLIENT_TEMPLATE.FAT&amp;display_string=Audit&amp;VAR:KEY=LIDMRYHYFU&amp;VAR:QUERY=RkZfRUJJVERBX0lCKCdMVE1TJywzOTQxNCk=&amp;WINDOW=FIRST_POPUP&amp;HEIGHT=450&amp;WIDTH=450&amp;START_MA","XIMIZED=FALSE&amp;VAR:CALENDAR=US&amp;VAR:SYMBOL=04916420&amp;VAR:INDEX=0"}</definedName>
    <definedName name="_9956__FDSAUDITLINK__" localSheetId="6" hidden="1">{"fdsup://directions/FAT Viewer?action=UPDATE&amp;creator=factset&amp;DYN_ARGS=TRUE&amp;DOC_NAME=FAT:FQL_AUDITING_CLIENT_TEMPLATE.FAT&amp;display_string=Audit&amp;VAR:KEY=DKLUVINKLK&amp;VAR:QUERY=RkZfRUJJVERBX0lCKCdMVE1TJywzOTQxMyk=&amp;WINDOW=FIRST_POPUP&amp;HEIGHT=450&amp;WIDTH=450&amp;START_MA","XIMIZED=FALSE&amp;VAR:CALENDAR=US&amp;VAR:SYMBOL=04916420&amp;VAR:INDEX=0"}</definedName>
    <definedName name="_9956__FDSAUDITLINK__" hidden="1">{"fdsup://directions/FAT Viewer?action=UPDATE&amp;creator=factset&amp;DYN_ARGS=TRUE&amp;DOC_NAME=FAT:FQL_AUDITING_CLIENT_TEMPLATE.FAT&amp;display_string=Audit&amp;VAR:KEY=DKLUVINKLK&amp;VAR:QUERY=RkZfRUJJVERBX0lCKCdMVE1TJywzOTQxMyk=&amp;WINDOW=FIRST_POPUP&amp;HEIGHT=450&amp;WIDTH=450&amp;START_MA","XIMIZED=FALSE&amp;VAR:CALENDAR=US&amp;VAR:SYMBOL=04916420&amp;VAR:INDEX=0"}</definedName>
    <definedName name="_9957__FDSAUDITLINK__" localSheetId="6" hidden="1">{"fdsup://directions/FAT Viewer?action=UPDATE&amp;creator=factset&amp;DYN_ARGS=TRUE&amp;DOC_NAME=FAT:FQL_AUDITING_CLIENT_TEMPLATE.FAT&amp;display_string=Audit&amp;VAR:KEY=RYTGDATOFY&amp;VAR:QUERY=RkZfRUJJVERBX0lCKCdMVE1TJywzOTQxMik=&amp;WINDOW=FIRST_POPUP&amp;HEIGHT=450&amp;WIDTH=450&amp;START_MA","XIMIZED=FALSE&amp;VAR:CALENDAR=US&amp;VAR:SYMBOL=04916420&amp;VAR:INDEX=0"}</definedName>
    <definedName name="_9957__FDSAUDITLINK__" hidden="1">{"fdsup://directions/FAT Viewer?action=UPDATE&amp;creator=factset&amp;DYN_ARGS=TRUE&amp;DOC_NAME=FAT:FQL_AUDITING_CLIENT_TEMPLATE.FAT&amp;display_string=Audit&amp;VAR:KEY=RYTGDATOFY&amp;VAR:QUERY=RkZfRUJJVERBX0lCKCdMVE1TJywzOTQxMik=&amp;WINDOW=FIRST_POPUP&amp;HEIGHT=450&amp;WIDTH=450&amp;START_MA","XIMIZED=FALSE&amp;VAR:CALENDAR=US&amp;VAR:SYMBOL=04916420&amp;VAR:INDEX=0"}</definedName>
    <definedName name="_9958__FDSAUDITLINK__" localSheetId="6" hidden="1">{"fdsup://directions/FAT Viewer?action=UPDATE&amp;creator=factset&amp;DYN_ARGS=TRUE&amp;DOC_NAME=FAT:FQL_AUDITING_CLIENT_TEMPLATE.FAT&amp;display_string=Audit&amp;VAR:KEY=HOLEREXYDK&amp;VAR:QUERY=RkZfRUJJVERBX0lCKCdMVE1TJywzOTQxMSk=&amp;WINDOW=FIRST_POPUP&amp;HEIGHT=450&amp;WIDTH=450&amp;START_MA","XIMIZED=FALSE&amp;VAR:CALENDAR=US&amp;VAR:SYMBOL=04916420&amp;VAR:INDEX=0"}</definedName>
    <definedName name="_9958__FDSAUDITLINK__" hidden="1">{"fdsup://directions/FAT Viewer?action=UPDATE&amp;creator=factset&amp;DYN_ARGS=TRUE&amp;DOC_NAME=FAT:FQL_AUDITING_CLIENT_TEMPLATE.FAT&amp;display_string=Audit&amp;VAR:KEY=HOLEREXYDK&amp;VAR:QUERY=RkZfRUJJVERBX0lCKCdMVE1TJywzOTQxMSk=&amp;WINDOW=FIRST_POPUP&amp;HEIGHT=450&amp;WIDTH=450&amp;START_MA","XIMIZED=FALSE&amp;VAR:CALENDAR=US&amp;VAR:SYMBOL=04916420&amp;VAR:INDEX=0"}</definedName>
    <definedName name="_9959__FDSAUDITLINK__" localSheetId="6" hidden="1">{"fdsup://directions/FAT Viewer?action=UPDATE&amp;creator=factset&amp;DYN_ARGS=TRUE&amp;DOC_NAME=FAT:FQL_AUDITING_CLIENT_TEMPLATE.FAT&amp;display_string=Audit&amp;VAR:KEY=BGHWTGLUNA&amp;VAR:QUERY=RkZfRUJJVERBX0lCKCdMVE1TJywzOTQxMCk=&amp;WINDOW=FIRST_POPUP&amp;HEIGHT=450&amp;WIDTH=450&amp;START_MA","XIMIZED=FALSE&amp;VAR:CALENDAR=US&amp;VAR:SYMBOL=04916420&amp;VAR:INDEX=0"}</definedName>
    <definedName name="_9959__FDSAUDITLINK__" hidden="1">{"fdsup://directions/FAT Viewer?action=UPDATE&amp;creator=factset&amp;DYN_ARGS=TRUE&amp;DOC_NAME=FAT:FQL_AUDITING_CLIENT_TEMPLATE.FAT&amp;display_string=Audit&amp;VAR:KEY=BGHWTGLUNA&amp;VAR:QUERY=RkZfRUJJVERBX0lCKCdMVE1TJywzOTQxMCk=&amp;WINDOW=FIRST_POPUP&amp;HEIGHT=450&amp;WIDTH=450&amp;START_MA","XIMIZED=FALSE&amp;VAR:CALENDAR=US&amp;VAR:SYMBOL=04916420&amp;VAR:INDEX=0"}</definedName>
    <definedName name="_996__FDSAUDITLINK__" localSheetId="6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6__FDSAUDITLINK__" hidden="1">{"fdsup://directions/FAT%20Viewer?VAR:PED=LTM&amp;VAR:AUDIT_MODE=SUMMARY&amp;VAR:PERIOD=FIXED&amp;VAR:AUDIT_ID=00000117&amp;VAR:DATE=20070601&amp;action=UPDATE&amp;creator=factset&amp;DOC_NAME=FAT:FMA_audit_SUMMARY.fat&amp;DISPLAY_STRING=Display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60__FDSAUDITLINK__" localSheetId="6" hidden="1">{"fdsup://directions/FAT Viewer?action=UPDATE&amp;creator=factset&amp;DYN_ARGS=TRUE&amp;DOC_NAME=FAT:FQL_AUDITING_CLIENT_TEMPLATE.FAT&amp;display_string=Audit&amp;VAR:KEY=LEJYHYDUTK&amp;VAR:QUERY=RkZfRUJJVERBX0lCKCdMVE1TJywzOTQwOSk=&amp;WINDOW=FIRST_POPUP&amp;HEIGHT=450&amp;WIDTH=450&amp;START_MA","XIMIZED=FALSE&amp;VAR:CALENDAR=US&amp;VAR:SYMBOL=04916420&amp;VAR:INDEX=0"}</definedName>
    <definedName name="_9960__FDSAUDITLINK__" hidden="1">{"fdsup://directions/FAT Viewer?action=UPDATE&amp;creator=factset&amp;DYN_ARGS=TRUE&amp;DOC_NAME=FAT:FQL_AUDITING_CLIENT_TEMPLATE.FAT&amp;display_string=Audit&amp;VAR:KEY=LEJYHYDUTK&amp;VAR:QUERY=RkZfRUJJVERBX0lCKCdMVE1TJywzOTQwOSk=&amp;WINDOW=FIRST_POPUP&amp;HEIGHT=450&amp;WIDTH=450&amp;START_MA","XIMIZED=FALSE&amp;VAR:CALENDAR=US&amp;VAR:SYMBOL=04916420&amp;VAR:INDEX=0"}</definedName>
    <definedName name="_9961__FDSAUDITLINK__" localSheetId="6" hidden="1">{"fdsup://directions/FAT Viewer?action=UPDATE&amp;creator=factset&amp;DYN_ARGS=TRUE&amp;DOC_NAME=FAT:FQL_AUDITING_CLIENT_TEMPLATE.FAT&amp;display_string=Audit&amp;VAR:KEY=BKDKROPKPS&amp;VAR:QUERY=RkZfRUJJVERBX0lCKCdMVE1TJywzOTQwOCk=&amp;WINDOW=FIRST_POPUP&amp;HEIGHT=450&amp;WIDTH=450&amp;START_MA","XIMIZED=FALSE&amp;VAR:CALENDAR=US&amp;VAR:SYMBOL=04916420&amp;VAR:INDEX=0"}</definedName>
    <definedName name="_9961__FDSAUDITLINK__" hidden="1">{"fdsup://directions/FAT Viewer?action=UPDATE&amp;creator=factset&amp;DYN_ARGS=TRUE&amp;DOC_NAME=FAT:FQL_AUDITING_CLIENT_TEMPLATE.FAT&amp;display_string=Audit&amp;VAR:KEY=BKDKROPKPS&amp;VAR:QUERY=RkZfRUJJVERBX0lCKCdMVE1TJywzOTQwOCk=&amp;WINDOW=FIRST_POPUP&amp;HEIGHT=450&amp;WIDTH=450&amp;START_MA","XIMIZED=FALSE&amp;VAR:CALENDAR=US&amp;VAR:SYMBOL=04916420&amp;VAR:INDEX=0"}</definedName>
    <definedName name="_9962__FDSAUDITLINK__" localSheetId="6" hidden="1">{"fdsup://directions/FAT Viewer?action=UPDATE&amp;creator=factset&amp;DYN_ARGS=TRUE&amp;DOC_NAME=FAT:FQL_AUDITING_CLIENT_TEMPLATE.FAT&amp;display_string=Audit&amp;VAR:KEY=NILUNSJUPI&amp;VAR:QUERY=RkZfRUJJVERBX0lCKCdMVE1TJywzOTQwNyk=&amp;WINDOW=FIRST_POPUP&amp;HEIGHT=450&amp;WIDTH=450&amp;START_MA","XIMIZED=FALSE&amp;VAR:CALENDAR=US&amp;VAR:SYMBOL=04916420&amp;VAR:INDEX=0"}</definedName>
    <definedName name="_9962__FDSAUDITLINK__" hidden="1">{"fdsup://directions/FAT Viewer?action=UPDATE&amp;creator=factset&amp;DYN_ARGS=TRUE&amp;DOC_NAME=FAT:FQL_AUDITING_CLIENT_TEMPLATE.FAT&amp;display_string=Audit&amp;VAR:KEY=NILUNSJUPI&amp;VAR:QUERY=RkZfRUJJVERBX0lCKCdMVE1TJywzOTQwNyk=&amp;WINDOW=FIRST_POPUP&amp;HEIGHT=450&amp;WIDTH=450&amp;START_MA","XIMIZED=FALSE&amp;VAR:CALENDAR=US&amp;VAR:SYMBOL=04916420&amp;VAR:INDEX=0"}</definedName>
    <definedName name="_9963__FDSAUDITLINK__" localSheetId="6" hidden="1">{"fdsup://directions/FAT Viewer?action=UPDATE&amp;creator=factset&amp;DYN_ARGS=TRUE&amp;DOC_NAME=FAT:FQL_AUDITING_CLIENT_TEMPLATE.FAT&amp;display_string=Audit&amp;VAR:KEY=PKVMFALYXE&amp;VAR:QUERY=RkZfRUJJVERBX0lCKCdMVE1TJywzOTQwNik=&amp;WINDOW=FIRST_POPUP&amp;HEIGHT=450&amp;WIDTH=450&amp;START_MA","XIMIZED=FALSE&amp;VAR:CALENDAR=US&amp;VAR:SYMBOL=04916420&amp;VAR:INDEX=0"}</definedName>
    <definedName name="_9963__FDSAUDITLINK__" hidden="1">{"fdsup://directions/FAT Viewer?action=UPDATE&amp;creator=factset&amp;DYN_ARGS=TRUE&amp;DOC_NAME=FAT:FQL_AUDITING_CLIENT_TEMPLATE.FAT&amp;display_string=Audit&amp;VAR:KEY=PKVMFALYXE&amp;VAR:QUERY=RkZfRUJJVERBX0lCKCdMVE1TJywzOTQwNik=&amp;WINDOW=FIRST_POPUP&amp;HEIGHT=450&amp;WIDTH=450&amp;START_MA","XIMIZED=FALSE&amp;VAR:CALENDAR=US&amp;VAR:SYMBOL=04916420&amp;VAR:INDEX=0"}</definedName>
    <definedName name="_9964__FDSAUDITLINK__" localSheetId="6" hidden="1">{"fdsup://directions/FAT Viewer?action=UPDATE&amp;creator=factset&amp;DYN_ARGS=TRUE&amp;DOC_NAME=FAT:FQL_AUDITING_CLIENT_TEMPLATE.FAT&amp;display_string=Audit&amp;VAR:KEY=TSBSXMXCHE&amp;VAR:QUERY=RkZfRUJJVERBX0lCKCdMVE1TJywzOTQwNSk=&amp;WINDOW=FIRST_POPUP&amp;HEIGHT=450&amp;WIDTH=450&amp;START_MA","XIMIZED=FALSE&amp;VAR:CALENDAR=US&amp;VAR:SYMBOL=04916420&amp;VAR:INDEX=0"}</definedName>
    <definedName name="_9964__FDSAUDITLINK__" hidden="1">{"fdsup://directions/FAT Viewer?action=UPDATE&amp;creator=factset&amp;DYN_ARGS=TRUE&amp;DOC_NAME=FAT:FQL_AUDITING_CLIENT_TEMPLATE.FAT&amp;display_string=Audit&amp;VAR:KEY=TSBSXMXCHE&amp;VAR:QUERY=RkZfRUJJVERBX0lCKCdMVE1TJywzOTQwNSk=&amp;WINDOW=FIRST_POPUP&amp;HEIGHT=450&amp;WIDTH=450&amp;START_MA","XIMIZED=FALSE&amp;VAR:CALENDAR=US&amp;VAR:SYMBOL=04916420&amp;VAR:INDEX=0"}</definedName>
    <definedName name="_9965__FDSAUDITLINK__" localSheetId="6" hidden="1">{"fdsup://directions/FAT Viewer?action=UPDATE&amp;creator=factset&amp;DYN_ARGS=TRUE&amp;DOC_NAME=FAT:FQL_AUDITING_CLIENT_TEMPLATE.FAT&amp;display_string=Audit&amp;VAR:KEY=RSBCTAVGBQ&amp;VAR:QUERY=RkZfRUJJVERBX0lCKCdMVE1TJywzOTQwNCk=&amp;WINDOW=FIRST_POPUP&amp;HEIGHT=450&amp;WIDTH=450&amp;START_MA","XIMIZED=FALSE&amp;VAR:CALENDAR=US&amp;VAR:SYMBOL=04916420&amp;VAR:INDEX=0"}</definedName>
    <definedName name="_9965__FDSAUDITLINK__" hidden="1">{"fdsup://directions/FAT Viewer?action=UPDATE&amp;creator=factset&amp;DYN_ARGS=TRUE&amp;DOC_NAME=FAT:FQL_AUDITING_CLIENT_TEMPLATE.FAT&amp;display_string=Audit&amp;VAR:KEY=RSBCTAVGBQ&amp;VAR:QUERY=RkZfRUJJVERBX0lCKCdMVE1TJywzOTQwNCk=&amp;WINDOW=FIRST_POPUP&amp;HEIGHT=450&amp;WIDTH=450&amp;START_MA","XIMIZED=FALSE&amp;VAR:CALENDAR=US&amp;VAR:SYMBOL=04916420&amp;VAR:INDEX=0"}</definedName>
    <definedName name="_9966__FDSAUDITLINK__" localSheetId="6" hidden="1">{"fdsup://directions/FAT Viewer?action=UPDATE&amp;creator=factset&amp;DYN_ARGS=TRUE&amp;DOC_NAME=FAT:FQL_AUDITING_CLIENT_TEMPLATE.FAT&amp;display_string=Audit&amp;VAR:KEY=RSPYHSJWNK&amp;VAR:QUERY=RkZfRUJJVERBX0lCKCdMVE1TJywzOTQwMyk=&amp;WINDOW=FIRST_POPUP&amp;HEIGHT=450&amp;WIDTH=450&amp;START_MA","XIMIZED=FALSE&amp;VAR:CALENDAR=US&amp;VAR:SYMBOL=04916420&amp;VAR:INDEX=0"}</definedName>
    <definedName name="_9966__FDSAUDITLINK__" hidden="1">{"fdsup://directions/FAT Viewer?action=UPDATE&amp;creator=factset&amp;DYN_ARGS=TRUE&amp;DOC_NAME=FAT:FQL_AUDITING_CLIENT_TEMPLATE.FAT&amp;display_string=Audit&amp;VAR:KEY=RSPYHSJWNK&amp;VAR:QUERY=RkZfRUJJVERBX0lCKCdMVE1TJywzOTQwMyk=&amp;WINDOW=FIRST_POPUP&amp;HEIGHT=450&amp;WIDTH=450&amp;START_MA","XIMIZED=FALSE&amp;VAR:CALENDAR=US&amp;VAR:SYMBOL=04916420&amp;VAR:INDEX=0"}</definedName>
    <definedName name="_9967__FDSAUDITLINK__" localSheetId="6" hidden="1">{"fdsup://directions/FAT Viewer?action=UPDATE&amp;creator=factset&amp;DYN_ARGS=TRUE&amp;DOC_NAME=FAT:FQL_AUDITING_CLIENT_TEMPLATE.FAT&amp;display_string=Audit&amp;VAR:KEY=VYTMZKBAXA&amp;VAR:QUERY=RkZfRUJJVERBX0lCKCdMVE1TJywzOTQwMik=&amp;WINDOW=FIRST_POPUP&amp;HEIGHT=450&amp;WIDTH=450&amp;START_MA","XIMIZED=FALSE&amp;VAR:CALENDAR=US&amp;VAR:SYMBOL=04916420&amp;VAR:INDEX=0"}</definedName>
    <definedName name="_9967__FDSAUDITLINK__" hidden="1">{"fdsup://directions/FAT Viewer?action=UPDATE&amp;creator=factset&amp;DYN_ARGS=TRUE&amp;DOC_NAME=FAT:FQL_AUDITING_CLIENT_TEMPLATE.FAT&amp;display_string=Audit&amp;VAR:KEY=VYTMZKBAXA&amp;VAR:QUERY=RkZfRUJJVERBX0lCKCdMVE1TJywzOTQwMik=&amp;WINDOW=FIRST_POPUP&amp;HEIGHT=450&amp;WIDTH=450&amp;START_MA","XIMIZED=FALSE&amp;VAR:CALENDAR=US&amp;VAR:SYMBOL=04916420&amp;VAR:INDEX=0"}</definedName>
    <definedName name="_9968__FDSAUDITLINK__" localSheetId="6" hidden="1">{"fdsup://directions/FAT Viewer?action=UPDATE&amp;creator=factset&amp;DYN_ARGS=TRUE&amp;DOC_NAME=FAT:FQL_AUDITING_CLIENT_TEMPLATE.FAT&amp;display_string=Audit&amp;VAR:KEY=ZMNCLYVSTU&amp;VAR:QUERY=RkZfRUJJVERBX0lCKCdMVE1TJywzOTQwMSk=&amp;WINDOW=FIRST_POPUP&amp;HEIGHT=450&amp;WIDTH=450&amp;START_MA","XIMIZED=FALSE&amp;VAR:CALENDAR=US&amp;VAR:SYMBOL=04916420&amp;VAR:INDEX=0"}</definedName>
    <definedName name="_9968__FDSAUDITLINK__" hidden="1">{"fdsup://directions/FAT Viewer?action=UPDATE&amp;creator=factset&amp;DYN_ARGS=TRUE&amp;DOC_NAME=FAT:FQL_AUDITING_CLIENT_TEMPLATE.FAT&amp;display_string=Audit&amp;VAR:KEY=ZMNCLYVSTU&amp;VAR:QUERY=RkZfRUJJVERBX0lCKCdMVE1TJywzOTQwMSk=&amp;WINDOW=FIRST_POPUP&amp;HEIGHT=450&amp;WIDTH=450&amp;START_MA","XIMIZED=FALSE&amp;VAR:CALENDAR=US&amp;VAR:SYMBOL=04916420&amp;VAR:INDEX=0"}</definedName>
    <definedName name="_9969__FDSAUDITLINK__" localSheetId="6" hidden="1">{"fdsup://directions/FAT Viewer?action=UPDATE&amp;creator=factset&amp;DYN_ARGS=TRUE&amp;DOC_NAME=FAT:FQL_AUDITING_CLIENT_TEMPLATE.FAT&amp;display_string=Audit&amp;VAR:KEY=HIDILMNEPQ&amp;VAR:QUERY=RkZfRUJJVERBX0lCKCdMVE1TJywzOTQwMCk=&amp;WINDOW=FIRST_POPUP&amp;HEIGHT=450&amp;WIDTH=450&amp;START_MA","XIMIZED=FALSE&amp;VAR:CALENDAR=US&amp;VAR:SYMBOL=04916420&amp;VAR:INDEX=0"}</definedName>
    <definedName name="_9969__FDSAUDITLINK__" hidden="1">{"fdsup://directions/FAT Viewer?action=UPDATE&amp;creator=factset&amp;DYN_ARGS=TRUE&amp;DOC_NAME=FAT:FQL_AUDITING_CLIENT_TEMPLATE.FAT&amp;display_string=Audit&amp;VAR:KEY=HIDILMNEPQ&amp;VAR:QUERY=RkZfRUJJVERBX0lCKCdMVE1TJywzOTQwMCk=&amp;WINDOW=FIRST_POPUP&amp;HEIGHT=450&amp;WIDTH=450&amp;START_MA","XIMIZED=FALSE&amp;VAR:CALENDAR=US&amp;VAR:SYMBOL=04916420&amp;VAR:INDEX=0"}</definedName>
    <definedName name="_997__FDSAUDITLINK__" localSheetId="6" hidden="1">{"fdsup://directions/FAT%20Viewer?VAR:PED=LTM&amp;VAR:AUDIT_MODE=SUMMARY&amp;VAR:PERIOD=FIXED&amp;VAR:AUDIT_ID=00000117&amp;VAR:DATE=20070531&amp;action=UPDATE&amp;creator=factset&amp;DOC_NAME=FAT:FMA_audit_SUMMARY.fat&amp;DISPLAY_STRING=Display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7__FDSAUDITLINK__" hidden="1">{"fdsup://directions/FAT%20Viewer?VAR:PED=LTM&amp;VAR:AUDIT_MODE=SUMMARY&amp;VAR:PERIOD=FIXED&amp;VAR:AUDIT_ID=00000117&amp;VAR:DATE=20070531&amp;action=UPDATE&amp;creator=factset&amp;DOC_NAME=FAT:FMA_audit_SUMMARY.fat&amp;DISPLAY_STRING=Display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EBITDA&amp;VAR:CHGPERIOD=NA&amp;VAR:FQLFORMULA=FMA_EVAL_EBITDA&amp;VAR:CURRENCY=NA&amp;VAR:P=NA&amp;VAR:V=11.5","43534&amp;VAR:null=.html"}</definedName>
    <definedName name="_9970__FDSAUDITLINK__" localSheetId="6" hidden="1">{"fdsup://directions/FAT Viewer?action=UPDATE&amp;creator=factset&amp;DYN_ARGS=TRUE&amp;DOC_NAME=FAT:FQL_AUDITING_CLIENT_TEMPLATE.FAT&amp;display_string=Audit&amp;VAR:KEY=XUBWBUVQLC&amp;VAR:QUERY=RkZfRUJJVERBX0lCKCdMVE1TJywzOTM5OSk=&amp;WINDOW=FIRST_POPUP&amp;HEIGHT=450&amp;WIDTH=450&amp;START_MA","XIMIZED=FALSE&amp;VAR:CALENDAR=US&amp;VAR:SYMBOL=04916420&amp;VAR:INDEX=0"}</definedName>
    <definedName name="_9970__FDSAUDITLINK__" hidden="1">{"fdsup://directions/FAT Viewer?action=UPDATE&amp;creator=factset&amp;DYN_ARGS=TRUE&amp;DOC_NAME=FAT:FQL_AUDITING_CLIENT_TEMPLATE.FAT&amp;display_string=Audit&amp;VAR:KEY=XUBWBUVQLC&amp;VAR:QUERY=RkZfRUJJVERBX0lCKCdMVE1TJywzOTM5OSk=&amp;WINDOW=FIRST_POPUP&amp;HEIGHT=450&amp;WIDTH=450&amp;START_MA","XIMIZED=FALSE&amp;VAR:CALENDAR=US&amp;VAR:SYMBOL=04916420&amp;VAR:INDEX=0"}</definedName>
    <definedName name="_9971__FDSAUDITLINK__" localSheetId="6" hidden="1">{"fdsup://directions/FAT Viewer?action=UPDATE&amp;creator=factset&amp;DYN_ARGS=TRUE&amp;DOC_NAME=FAT:FQL_AUDITING_CLIENT_TEMPLATE.FAT&amp;display_string=Audit&amp;VAR:KEY=FUBMRGHWJO&amp;VAR:QUERY=RkZfRUJJVERBX0lCKCdMVE1TJywzOTM5OCk=&amp;WINDOW=FIRST_POPUP&amp;HEIGHT=450&amp;WIDTH=450&amp;START_MA","XIMIZED=FALSE&amp;VAR:CALENDAR=US&amp;VAR:SYMBOL=04916420&amp;VAR:INDEX=0"}</definedName>
    <definedName name="_9971__FDSAUDITLINK__" hidden="1">{"fdsup://directions/FAT Viewer?action=UPDATE&amp;creator=factset&amp;DYN_ARGS=TRUE&amp;DOC_NAME=FAT:FQL_AUDITING_CLIENT_TEMPLATE.FAT&amp;display_string=Audit&amp;VAR:KEY=FUBMRGHWJO&amp;VAR:QUERY=RkZfRUJJVERBX0lCKCdMVE1TJywzOTM5OCk=&amp;WINDOW=FIRST_POPUP&amp;HEIGHT=450&amp;WIDTH=450&amp;START_MA","XIMIZED=FALSE&amp;VAR:CALENDAR=US&amp;VAR:SYMBOL=04916420&amp;VAR:INDEX=0"}</definedName>
    <definedName name="_9972__FDSAUDITLINK__" localSheetId="6" hidden="1">{"fdsup://directions/FAT Viewer?action=UPDATE&amp;creator=factset&amp;DYN_ARGS=TRUE&amp;DOC_NAME=FAT:FQL_AUDITING_CLIENT_TEMPLATE.FAT&amp;display_string=Audit&amp;VAR:KEY=DCNGZATIJY&amp;VAR:QUERY=RkZfRUJJVERBX0lCKCdMVE1TJywzOTM5Nyk=&amp;WINDOW=FIRST_POPUP&amp;HEIGHT=450&amp;WIDTH=450&amp;START_MA","XIMIZED=FALSE&amp;VAR:CALENDAR=US&amp;VAR:SYMBOL=04916420&amp;VAR:INDEX=0"}</definedName>
    <definedName name="_9972__FDSAUDITLINK__" hidden="1">{"fdsup://directions/FAT Viewer?action=UPDATE&amp;creator=factset&amp;DYN_ARGS=TRUE&amp;DOC_NAME=FAT:FQL_AUDITING_CLIENT_TEMPLATE.FAT&amp;display_string=Audit&amp;VAR:KEY=DCNGZATIJY&amp;VAR:QUERY=RkZfRUJJVERBX0lCKCdMVE1TJywzOTM5Nyk=&amp;WINDOW=FIRST_POPUP&amp;HEIGHT=450&amp;WIDTH=450&amp;START_MA","XIMIZED=FALSE&amp;VAR:CALENDAR=US&amp;VAR:SYMBOL=04916420&amp;VAR:INDEX=0"}</definedName>
    <definedName name="_9973__FDSAUDITLINK__" localSheetId="6" hidden="1">{"fdsup://directions/FAT Viewer?action=UPDATE&amp;creator=factset&amp;DYN_ARGS=TRUE&amp;DOC_NAME=FAT:FQL_AUDITING_CLIENT_TEMPLATE.FAT&amp;display_string=Audit&amp;VAR:KEY=LUHUDYHQDK&amp;VAR:QUERY=RkZfRUJJVERBX0lCKCdMVE1TJywzOTM5Nik=&amp;WINDOW=FIRST_POPUP&amp;HEIGHT=450&amp;WIDTH=450&amp;START_MA","XIMIZED=FALSE&amp;VAR:CALENDAR=US&amp;VAR:SYMBOL=04916420&amp;VAR:INDEX=0"}</definedName>
    <definedName name="_9973__FDSAUDITLINK__" hidden="1">{"fdsup://directions/FAT Viewer?action=UPDATE&amp;creator=factset&amp;DYN_ARGS=TRUE&amp;DOC_NAME=FAT:FQL_AUDITING_CLIENT_TEMPLATE.FAT&amp;display_string=Audit&amp;VAR:KEY=LUHUDYHQDK&amp;VAR:QUERY=RkZfRUJJVERBX0lCKCdMVE1TJywzOTM5Nik=&amp;WINDOW=FIRST_POPUP&amp;HEIGHT=450&amp;WIDTH=450&amp;START_MA","XIMIZED=FALSE&amp;VAR:CALENDAR=US&amp;VAR:SYMBOL=04916420&amp;VAR:INDEX=0"}</definedName>
    <definedName name="_9974__FDSAUDITLINK__" localSheetId="6" hidden="1">{"fdsup://directions/FAT Viewer?action=UPDATE&amp;creator=factset&amp;DYN_ARGS=TRUE&amp;DOC_NAME=FAT:FQL_AUDITING_CLIENT_TEMPLATE.FAT&amp;display_string=Audit&amp;VAR:KEY=JWLETINOJA&amp;VAR:QUERY=RkZfRUJJVERBX0lCKCdMVE1TJywzOTM5NSk=&amp;WINDOW=FIRST_POPUP&amp;HEIGHT=450&amp;WIDTH=450&amp;START_MA","XIMIZED=FALSE&amp;VAR:CALENDAR=US&amp;VAR:SYMBOL=04916420&amp;VAR:INDEX=0"}</definedName>
    <definedName name="_9974__FDSAUDITLINK__" hidden="1">{"fdsup://directions/FAT Viewer?action=UPDATE&amp;creator=factset&amp;DYN_ARGS=TRUE&amp;DOC_NAME=FAT:FQL_AUDITING_CLIENT_TEMPLATE.FAT&amp;display_string=Audit&amp;VAR:KEY=JWLETINOJA&amp;VAR:QUERY=RkZfRUJJVERBX0lCKCdMVE1TJywzOTM5NSk=&amp;WINDOW=FIRST_POPUP&amp;HEIGHT=450&amp;WIDTH=450&amp;START_MA","XIMIZED=FALSE&amp;VAR:CALENDAR=US&amp;VAR:SYMBOL=04916420&amp;VAR:INDEX=0"}</definedName>
    <definedName name="_9975__FDSAUDITLINK__" localSheetId="6" hidden="1">{"fdsup://directions/FAT Viewer?action=UPDATE&amp;creator=factset&amp;DYN_ARGS=TRUE&amp;DOC_NAME=FAT:FQL_AUDITING_CLIENT_TEMPLATE.FAT&amp;display_string=Audit&amp;VAR:KEY=NUJIJWVGDM&amp;VAR:QUERY=RkZfRUJJVERBX0lCKCdMVE1TJywzOTM5NCk=&amp;WINDOW=FIRST_POPUP&amp;HEIGHT=450&amp;WIDTH=450&amp;START_MA","XIMIZED=FALSE&amp;VAR:CALENDAR=US&amp;VAR:SYMBOL=04916420&amp;VAR:INDEX=0"}</definedName>
    <definedName name="_9975__FDSAUDITLINK__" hidden="1">{"fdsup://directions/FAT Viewer?action=UPDATE&amp;creator=factset&amp;DYN_ARGS=TRUE&amp;DOC_NAME=FAT:FQL_AUDITING_CLIENT_TEMPLATE.FAT&amp;display_string=Audit&amp;VAR:KEY=NUJIJWVGDM&amp;VAR:QUERY=RkZfRUJJVERBX0lCKCdMVE1TJywzOTM5NCk=&amp;WINDOW=FIRST_POPUP&amp;HEIGHT=450&amp;WIDTH=450&amp;START_MA","XIMIZED=FALSE&amp;VAR:CALENDAR=US&amp;VAR:SYMBOL=04916420&amp;VAR:INDEX=0"}</definedName>
    <definedName name="_9976__FDSAUDITLINK__" localSheetId="6" hidden="1">{"fdsup://directions/FAT Viewer?action=UPDATE&amp;creator=factset&amp;DYN_ARGS=TRUE&amp;DOC_NAME=FAT:FQL_AUDITING_CLIENT_TEMPLATE.FAT&amp;display_string=Audit&amp;VAR:KEY=TUFCTYPONK&amp;VAR:QUERY=RkZfRUJJVERBX0lCKCdMVE1TJywzOTM5Myk=&amp;WINDOW=FIRST_POPUP&amp;HEIGHT=450&amp;WIDTH=450&amp;START_MA","XIMIZED=FALSE&amp;VAR:CALENDAR=US&amp;VAR:SYMBOL=04916420&amp;VAR:INDEX=0"}</definedName>
    <definedName name="_9976__FDSAUDITLINK__" hidden="1">{"fdsup://directions/FAT Viewer?action=UPDATE&amp;creator=factset&amp;DYN_ARGS=TRUE&amp;DOC_NAME=FAT:FQL_AUDITING_CLIENT_TEMPLATE.FAT&amp;display_string=Audit&amp;VAR:KEY=TUFCTYPONK&amp;VAR:QUERY=RkZfRUJJVERBX0lCKCdMVE1TJywzOTM5Myk=&amp;WINDOW=FIRST_POPUP&amp;HEIGHT=450&amp;WIDTH=450&amp;START_MA","XIMIZED=FALSE&amp;VAR:CALENDAR=US&amp;VAR:SYMBOL=04916420&amp;VAR:INDEX=0"}</definedName>
    <definedName name="_9977__FDSAUDITLINK__" localSheetId="6" hidden="1">{"fdsup://directions/FAT Viewer?action=UPDATE&amp;creator=factset&amp;DYN_ARGS=TRUE&amp;DOC_NAME=FAT:FQL_AUDITING_CLIENT_TEMPLATE.FAT&amp;display_string=Audit&amp;VAR:KEY=FQRSRIFCRW&amp;VAR:QUERY=RkZfRUJJVERBX0lCKCdMVE1TJywzOTM5Mik=&amp;WINDOW=FIRST_POPUP&amp;HEIGHT=450&amp;WIDTH=450&amp;START_MA","XIMIZED=FALSE&amp;VAR:CALENDAR=US&amp;VAR:SYMBOL=04916420&amp;VAR:INDEX=0"}</definedName>
    <definedName name="_9977__FDSAUDITLINK__" hidden="1">{"fdsup://directions/FAT Viewer?action=UPDATE&amp;creator=factset&amp;DYN_ARGS=TRUE&amp;DOC_NAME=FAT:FQL_AUDITING_CLIENT_TEMPLATE.FAT&amp;display_string=Audit&amp;VAR:KEY=FQRSRIFCRW&amp;VAR:QUERY=RkZfRUJJVERBX0lCKCdMVE1TJywzOTM5Mik=&amp;WINDOW=FIRST_POPUP&amp;HEIGHT=450&amp;WIDTH=450&amp;START_MA","XIMIZED=FALSE&amp;VAR:CALENDAR=US&amp;VAR:SYMBOL=04916420&amp;VAR:INDEX=0"}</definedName>
    <definedName name="_9978__FDSAUDITLINK__" localSheetId="6" hidden="1">{"fdsup://directions/FAT Viewer?action=UPDATE&amp;creator=factset&amp;DYN_ARGS=TRUE&amp;DOC_NAME=FAT:FQL_AUDITING_CLIENT_TEMPLATE.FAT&amp;display_string=Audit&amp;VAR:KEY=NUZSBILENM&amp;VAR:QUERY=RkZfRUJJVERBX0lCKCdMVE1TJywzOTM5MSk=&amp;WINDOW=FIRST_POPUP&amp;HEIGHT=450&amp;WIDTH=450&amp;START_MA","XIMIZED=FALSE&amp;VAR:CALENDAR=US&amp;VAR:SYMBOL=04916420&amp;VAR:INDEX=0"}</definedName>
    <definedName name="_9978__FDSAUDITLINK__" hidden="1">{"fdsup://directions/FAT Viewer?action=UPDATE&amp;creator=factset&amp;DYN_ARGS=TRUE&amp;DOC_NAME=FAT:FQL_AUDITING_CLIENT_TEMPLATE.FAT&amp;display_string=Audit&amp;VAR:KEY=NUZSBILENM&amp;VAR:QUERY=RkZfRUJJVERBX0lCKCdMVE1TJywzOTM5MSk=&amp;WINDOW=FIRST_POPUP&amp;HEIGHT=450&amp;WIDTH=450&amp;START_MA","XIMIZED=FALSE&amp;VAR:CALENDAR=US&amp;VAR:SYMBOL=04916420&amp;VAR:INDEX=0"}</definedName>
    <definedName name="_9979__FDSAUDITLINK__" localSheetId="6" hidden="1">{"fdsup://directions/FAT Viewer?action=UPDATE&amp;creator=factset&amp;DYN_ARGS=TRUE&amp;DOC_NAME=FAT:FQL_AUDITING_CLIENT_TEMPLATE.FAT&amp;display_string=Audit&amp;VAR:KEY=DSFSXGVAVM&amp;VAR:QUERY=RkZfRUJJVERBX0lCKCdMVE1TJywzOTM5MCk=&amp;WINDOW=FIRST_POPUP&amp;HEIGHT=450&amp;WIDTH=450&amp;START_MA","XIMIZED=FALSE&amp;VAR:CALENDAR=US&amp;VAR:SYMBOL=04916420&amp;VAR:INDEX=0"}</definedName>
    <definedName name="_9979__FDSAUDITLINK__" hidden="1">{"fdsup://directions/FAT Viewer?action=UPDATE&amp;creator=factset&amp;DYN_ARGS=TRUE&amp;DOC_NAME=FAT:FQL_AUDITING_CLIENT_TEMPLATE.FAT&amp;display_string=Audit&amp;VAR:KEY=DSFSXGVAVM&amp;VAR:QUERY=RkZfRUJJVERBX0lCKCdMVE1TJywzOTM5MCk=&amp;WINDOW=FIRST_POPUP&amp;HEIGHT=450&amp;WIDTH=450&amp;START_MA","XIMIZED=FALSE&amp;VAR:CALENDAR=US&amp;VAR:SYMBOL=04916420&amp;VAR:INDEX=0"}</definedName>
    <definedName name="_998__FDSAUDITLINK__" localSheetId="6" hidden="1">{"fdsup://directions/FAT%20Viewer?VAR:PED=LTM&amp;VAR:AUDIT_MODE=SUMMARY&amp;VAR:PERIOD=FIXED&amp;VAR:AUDIT_ID=00000117&amp;VAR:DATE=20070530&amp;action=UPDATE&amp;creator=factset&amp;DOC_NAME=FAT:FMA_audit_SUMMARY.fat&amp;DISPLAY_STRING=Display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998__FDSAUDITLINK__" hidden="1">{"fdsup://directions/FAT%20Viewer?VAR:PED=LTM&amp;VAR:AUDIT_MODE=SUMMARY&amp;VAR:PERIOD=FIXED&amp;VAR:AUDIT_ID=00000117&amp;VAR:DATE=20070530&amp;action=UPDATE&amp;creator=factset&amp;DOC_NAME=FAT:FMA_audit_SUMMARY.fat&amp;DISPLAY_STRING=Display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9980__FDSAUDITLINK__" localSheetId="6" hidden="1">{"fdsup://directions/FAT Viewer?action=UPDATE&amp;creator=factset&amp;DYN_ARGS=TRUE&amp;DOC_NAME=FAT:FQL_AUDITING_CLIENT_TEMPLATE.FAT&amp;display_string=Audit&amp;VAR:KEY=LCXEHQRGZU&amp;VAR:QUERY=RkZfRUJJVERBX0lCKCdMVE1TJywzOTM4OSk=&amp;WINDOW=FIRST_POPUP&amp;HEIGHT=450&amp;WIDTH=450&amp;START_MA","XIMIZED=FALSE&amp;VAR:CALENDAR=US&amp;VAR:SYMBOL=04916420&amp;VAR:INDEX=0"}</definedName>
    <definedName name="_9980__FDSAUDITLINK__" hidden="1">{"fdsup://directions/FAT Viewer?action=UPDATE&amp;creator=factset&amp;DYN_ARGS=TRUE&amp;DOC_NAME=FAT:FQL_AUDITING_CLIENT_TEMPLATE.FAT&amp;display_string=Audit&amp;VAR:KEY=LCXEHQRGZU&amp;VAR:QUERY=RkZfRUJJVERBX0lCKCdMVE1TJywzOTM4OSk=&amp;WINDOW=FIRST_POPUP&amp;HEIGHT=450&amp;WIDTH=450&amp;START_MA","XIMIZED=FALSE&amp;VAR:CALENDAR=US&amp;VAR:SYMBOL=04916420&amp;VAR:INDEX=0"}</definedName>
    <definedName name="_9981__FDSAUDITLINK__" localSheetId="6" hidden="1">{"fdsup://directions/FAT Viewer?action=UPDATE&amp;creator=factset&amp;DYN_ARGS=TRUE&amp;DOC_NAME=FAT:FQL_AUDITING_CLIENT_TEMPLATE.FAT&amp;display_string=Audit&amp;VAR:KEY=BQJQRKXQFO&amp;VAR:QUERY=RkZfRUJJVERBX0lCKCdMVE1TJywzOTM4OCk=&amp;WINDOW=FIRST_POPUP&amp;HEIGHT=450&amp;WIDTH=450&amp;START_MA","XIMIZED=FALSE&amp;VAR:CALENDAR=US&amp;VAR:SYMBOL=04916420&amp;VAR:INDEX=0"}</definedName>
    <definedName name="_9981__FDSAUDITLINK__" hidden="1">{"fdsup://directions/FAT Viewer?action=UPDATE&amp;creator=factset&amp;DYN_ARGS=TRUE&amp;DOC_NAME=FAT:FQL_AUDITING_CLIENT_TEMPLATE.FAT&amp;display_string=Audit&amp;VAR:KEY=BQJQRKXQFO&amp;VAR:QUERY=RkZfRUJJVERBX0lCKCdMVE1TJywzOTM4OCk=&amp;WINDOW=FIRST_POPUP&amp;HEIGHT=450&amp;WIDTH=450&amp;START_MA","XIMIZED=FALSE&amp;VAR:CALENDAR=US&amp;VAR:SYMBOL=04916420&amp;VAR:INDEX=0"}</definedName>
    <definedName name="_9982__FDSAUDITLINK__" localSheetId="6" hidden="1">{"fdsup://directions/FAT Viewer?action=UPDATE&amp;creator=factset&amp;DYN_ARGS=TRUE&amp;DOC_NAME=FAT:FQL_AUDITING_CLIENT_TEMPLATE.FAT&amp;display_string=Audit&amp;VAR:KEY=TYJGDMLSLU&amp;VAR:QUERY=RkZfRUJJVERBX0lCKCdMVE1TJywzOTM4Nyk=&amp;WINDOW=FIRST_POPUP&amp;HEIGHT=450&amp;WIDTH=450&amp;START_MA","XIMIZED=FALSE&amp;VAR:CALENDAR=US&amp;VAR:SYMBOL=04916420&amp;VAR:INDEX=0"}</definedName>
    <definedName name="_9982__FDSAUDITLINK__" hidden="1">{"fdsup://directions/FAT Viewer?action=UPDATE&amp;creator=factset&amp;DYN_ARGS=TRUE&amp;DOC_NAME=FAT:FQL_AUDITING_CLIENT_TEMPLATE.FAT&amp;display_string=Audit&amp;VAR:KEY=TYJGDMLSLU&amp;VAR:QUERY=RkZfRUJJVERBX0lCKCdMVE1TJywzOTM4Nyk=&amp;WINDOW=FIRST_POPUP&amp;HEIGHT=450&amp;WIDTH=450&amp;START_MA","XIMIZED=FALSE&amp;VAR:CALENDAR=US&amp;VAR:SYMBOL=04916420&amp;VAR:INDEX=0"}</definedName>
    <definedName name="_9983__FDSAUDITLINK__" localSheetId="6" hidden="1">{"fdsup://directions/FAT Viewer?action=UPDATE&amp;creator=factset&amp;DYN_ARGS=TRUE&amp;DOC_NAME=FAT:FQL_AUDITING_CLIENT_TEMPLATE.FAT&amp;display_string=Audit&amp;VAR:KEY=LGFUPKXWNK&amp;VAR:QUERY=RkZfRUJJVERBX0lCKCdMVE1TJywzOTM4Nik=&amp;WINDOW=FIRST_POPUP&amp;HEIGHT=450&amp;WIDTH=450&amp;START_MA","XIMIZED=FALSE&amp;VAR:CALENDAR=US&amp;VAR:SYMBOL=04916420&amp;VAR:INDEX=0"}</definedName>
    <definedName name="_9983__FDSAUDITLINK__" hidden="1">{"fdsup://directions/FAT Viewer?action=UPDATE&amp;creator=factset&amp;DYN_ARGS=TRUE&amp;DOC_NAME=FAT:FQL_AUDITING_CLIENT_TEMPLATE.FAT&amp;display_string=Audit&amp;VAR:KEY=LGFUPKXWNK&amp;VAR:QUERY=RkZfRUJJVERBX0lCKCdMVE1TJywzOTM4Nik=&amp;WINDOW=FIRST_POPUP&amp;HEIGHT=450&amp;WIDTH=450&amp;START_MA","XIMIZED=FALSE&amp;VAR:CALENDAR=US&amp;VAR:SYMBOL=04916420&amp;VAR:INDEX=0"}</definedName>
    <definedName name="_9984__FDSAUDITLINK__" localSheetId="6" hidden="1">{"fdsup://directions/FAT Viewer?action=UPDATE&amp;creator=factset&amp;DYN_ARGS=TRUE&amp;DOC_NAME=FAT:FQL_AUDITING_CLIENT_TEMPLATE.FAT&amp;display_string=Audit&amp;VAR:KEY=RAHEHSTWTO&amp;VAR:QUERY=RkZfRUJJVERBX0lCKCdMVE1TJywzOTM4NSk=&amp;WINDOW=FIRST_POPUP&amp;HEIGHT=450&amp;WIDTH=450&amp;START_MA","XIMIZED=FALSE&amp;VAR:CALENDAR=US&amp;VAR:SYMBOL=04916420&amp;VAR:INDEX=0"}</definedName>
    <definedName name="_9984__FDSAUDITLINK__" hidden="1">{"fdsup://directions/FAT Viewer?action=UPDATE&amp;creator=factset&amp;DYN_ARGS=TRUE&amp;DOC_NAME=FAT:FQL_AUDITING_CLIENT_TEMPLATE.FAT&amp;display_string=Audit&amp;VAR:KEY=RAHEHSTWTO&amp;VAR:QUERY=RkZfRUJJVERBX0lCKCdMVE1TJywzOTM4NSk=&amp;WINDOW=FIRST_POPUP&amp;HEIGHT=450&amp;WIDTH=450&amp;START_MA","XIMIZED=FALSE&amp;VAR:CALENDAR=US&amp;VAR:SYMBOL=04916420&amp;VAR:INDEX=0"}</definedName>
    <definedName name="_9985__FDSAUDITLINK__" localSheetId="6" hidden="1">{"fdsup://directions/FAT Viewer?action=UPDATE&amp;creator=factset&amp;DYN_ARGS=TRUE&amp;DOC_NAME=FAT:FQL_AUDITING_CLIENT_TEMPLATE.FAT&amp;display_string=Audit&amp;VAR:KEY=NGHMHGXILQ&amp;VAR:QUERY=RkZfRUJJVERBX0lCKCdMVE1TJywzOTM4NCk=&amp;WINDOW=FIRST_POPUP&amp;HEIGHT=450&amp;WIDTH=450&amp;START_MA","XIMIZED=FALSE&amp;VAR:CALENDAR=US&amp;VAR:SYMBOL=04916420&amp;VAR:INDEX=0"}</definedName>
    <definedName name="_9985__FDSAUDITLINK__" hidden="1">{"fdsup://directions/FAT Viewer?action=UPDATE&amp;creator=factset&amp;DYN_ARGS=TRUE&amp;DOC_NAME=FAT:FQL_AUDITING_CLIENT_TEMPLATE.FAT&amp;display_string=Audit&amp;VAR:KEY=NGHMHGXILQ&amp;VAR:QUERY=RkZfRUJJVERBX0lCKCdMVE1TJywzOTM4NCk=&amp;WINDOW=FIRST_POPUP&amp;HEIGHT=450&amp;WIDTH=450&amp;START_MA","XIMIZED=FALSE&amp;VAR:CALENDAR=US&amp;VAR:SYMBOL=04916420&amp;VAR:INDEX=0"}</definedName>
    <definedName name="_9986__FDSAUDITLINK__" localSheetId="6" hidden="1">{"fdsup://directions/FAT Viewer?action=UPDATE&amp;creator=factset&amp;DYN_ARGS=TRUE&amp;DOC_NAME=FAT:FQL_AUDITING_CLIENT_TEMPLATE.FAT&amp;display_string=Audit&amp;VAR:KEY=RWXKZALATS&amp;VAR:QUERY=RkZfRUJJVERBX0lCKCdMVE1TJywzOTM4Myk=&amp;WINDOW=FIRST_POPUP&amp;HEIGHT=450&amp;WIDTH=450&amp;START_MA","XIMIZED=FALSE&amp;VAR:CALENDAR=US&amp;VAR:SYMBOL=04916420&amp;VAR:INDEX=0"}</definedName>
    <definedName name="_9986__FDSAUDITLINK__" hidden="1">{"fdsup://directions/FAT Viewer?action=UPDATE&amp;creator=factset&amp;DYN_ARGS=TRUE&amp;DOC_NAME=FAT:FQL_AUDITING_CLIENT_TEMPLATE.FAT&amp;display_string=Audit&amp;VAR:KEY=RWXKZALATS&amp;VAR:QUERY=RkZfRUJJVERBX0lCKCdMVE1TJywzOTM4Myk=&amp;WINDOW=FIRST_POPUP&amp;HEIGHT=450&amp;WIDTH=450&amp;START_MA","XIMIZED=FALSE&amp;VAR:CALENDAR=US&amp;VAR:SYMBOL=04916420&amp;VAR:INDEX=0"}</definedName>
    <definedName name="_9987__FDSAUDITLINK__" localSheetId="6" hidden="1">{"fdsup://directions/FAT Viewer?action=UPDATE&amp;creator=factset&amp;DYN_ARGS=TRUE&amp;DOC_NAME=FAT:FQL_AUDITING_CLIENT_TEMPLATE.FAT&amp;display_string=Audit&amp;VAR:KEY=POJCJQZODM&amp;VAR:QUERY=RkZfRUJJVERBX0lCKCdMVE1TJywzOTM4Mik=&amp;WINDOW=FIRST_POPUP&amp;HEIGHT=450&amp;WIDTH=450&amp;START_MA","XIMIZED=FALSE&amp;VAR:CALENDAR=US&amp;VAR:SYMBOL=04916420&amp;VAR:INDEX=0"}</definedName>
    <definedName name="_9987__FDSAUDITLINK__" hidden="1">{"fdsup://directions/FAT Viewer?action=UPDATE&amp;creator=factset&amp;DYN_ARGS=TRUE&amp;DOC_NAME=FAT:FQL_AUDITING_CLIENT_TEMPLATE.FAT&amp;display_string=Audit&amp;VAR:KEY=POJCJQZODM&amp;VAR:QUERY=RkZfRUJJVERBX0lCKCdMVE1TJywzOTM4Mik=&amp;WINDOW=FIRST_POPUP&amp;HEIGHT=450&amp;WIDTH=450&amp;START_MA","XIMIZED=FALSE&amp;VAR:CALENDAR=US&amp;VAR:SYMBOL=04916420&amp;VAR:INDEX=0"}</definedName>
    <definedName name="_9988__FDSAUDITLINK__" localSheetId="6" hidden="1">{"fdsup://directions/FAT Viewer?action=UPDATE&amp;creator=factset&amp;DYN_ARGS=TRUE&amp;DOC_NAME=FAT:FQL_AUDITING_CLIENT_TEMPLATE.FAT&amp;display_string=Audit&amp;VAR:KEY=FAPSJEBMZI&amp;VAR:QUERY=RkZfRUJJVERBX0lCKCdMVE1TJywzOTM4MSk=&amp;WINDOW=FIRST_POPUP&amp;HEIGHT=450&amp;WIDTH=450&amp;START_MA","XIMIZED=FALSE&amp;VAR:CALENDAR=US&amp;VAR:SYMBOL=04916420&amp;VAR:INDEX=0"}</definedName>
    <definedName name="_9988__FDSAUDITLINK__" hidden="1">{"fdsup://directions/FAT Viewer?action=UPDATE&amp;creator=factset&amp;DYN_ARGS=TRUE&amp;DOC_NAME=FAT:FQL_AUDITING_CLIENT_TEMPLATE.FAT&amp;display_string=Audit&amp;VAR:KEY=FAPSJEBMZI&amp;VAR:QUERY=RkZfRUJJVERBX0lCKCdMVE1TJywzOTM4MSk=&amp;WINDOW=FIRST_POPUP&amp;HEIGHT=450&amp;WIDTH=450&amp;START_MA","XIMIZED=FALSE&amp;VAR:CALENDAR=US&amp;VAR:SYMBOL=04916420&amp;VAR:INDEX=0"}</definedName>
    <definedName name="_9989__FDSAUDITLINK__" localSheetId="6" hidden="1">{"fdsup://directions/FAT Viewer?action=UPDATE&amp;creator=factset&amp;DYN_ARGS=TRUE&amp;DOC_NAME=FAT:FQL_AUDITING_CLIENT_TEMPLATE.FAT&amp;display_string=Audit&amp;VAR:KEY=DMVYTMNCLC&amp;VAR:QUERY=RkZfRUJJVERBX0lCKCdMVE1TJywzOTM4MCk=&amp;WINDOW=FIRST_POPUP&amp;HEIGHT=450&amp;WIDTH=450&amp;START_MA","XIMIZED=FALSE&amp;VAR:CALENDAR=US&amp;VAR:SYMBOL=04916420&amp;VAR:INDEX=0"}</definedName>
    <definedName name="_9989__FDSAUDITLINK__" hidden="1">{"fdsup://directions/FAT Viewer?action=UPDATE&amp;creator=factset&amp;DYN_ARGS=TRUE&amp;DOC_NAME=FAT:FQL_AUDITING_CLIENT_TEMPLATE.FAT&amp;display_string=Audit&amp;VAR:KEY=DMVYTMNCLC&amp;VAR:QUERY=RkZfRUJJVERBX0lCKCdMVE1TJywzOTM4MCk=&amp;WINDOW=FIRST_POPUP&amp;HEIGHT=450&amp;WIDTH=450&amp;START_MA","XIMIZED=FALSE&amp;VAR:CALENDAR=US&amp;VAR:SYMBOL=04916420&amp;VAR:INDEX=0"}</definedName>
    <definedName name="_999__FDSAUDITLINK__" localSheetId="6" hidden="1">{"fdsup://directions/FAT%20Viewer?VAR:PED=LTM&amp;VAR:AUDIT_MODE=SUMMARY&amp;VAR:PERIOD=FIXED&amp;VAR:AUDIT_ID=00000117&amp;VAR:DATE=20070529&amp;action=UPDATE&amp;creator=factset&amp;DOC_NAME=FAT:FMA_audit_SUMMARY.fat&amp;DISPLAY_STRING=Display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999__FDSAUDITLINK__" hidden="1">{"fdsup://directions/FAT%20Viewer?VAR:PED=LTM&amp;VAR:AUDIT_MODE=SUMMARY&amp;VAR:PERIOD=FIXED&amp;VAR:AUDIT_ID=00000117&amp;VAR:DATE=20070529&amp;action=UPDATE&amp;creator=factset&amp;DOC_NAME=FAT:FMA_audit_SUMMARY.fat&amp;DISPLAY_STRING=Display Audit for Enterprise Value to EBITDA&amp;DYN_AR","GS=TRUE&amp;WINDOW=first_popup&amp;START_MAXIMIZED=FALSE&amp;WIDTH=475&amp;HEIGHT=525&amp;TITLEBAR=FactSet Market Aggregates&amp;VAR:MEASURE=EVEBITDA&amp;VAR:CALC_MODE=PORTFOLIO&amp;VAR:MDESC=EV / EBITDA&amp;VAR:CHGPERIOD=NA&amp;VAR:FQLFORMULA=FMA_EVAL_EBITDA&amp;VAR:CURRENCY=NA&amp;VAR:P=NA&amp;VAR:V=11.2","77125&amp;VAR:null=.html"}</definedName>
    <definedName name="_9990__FDSAUDITLINK__" localSheetId="6" hidden="1">{"fdsup://directions/FAT Viewer?action=UPDATE&amp;creator=factset&amp;DYN_ARGS=TRUE&amp;DOC_NAME=FAT:FQL_AUDITING_CLIENT_TEMPLATE.FAT&amp;display_string=Audit&amp;VAR:KEY=VQNGHONWRM&amp;VAR:QUERY=RkZfRUJJVERBX0lCKCdMVE1TJywzOTM3OSk=&amp;WINDOW=FIRST_POPUP&amp;HEIGHT=450&amp;WIDTH=450&amp;START_MA","XIMIZED=FALSE&amp;VAR:CALENDAR=US&amp;VAR:SYMBOL=04916420&amp;VAR:INDEX=0"}</definedName>
    <definedName name="_9990__FDSAUDITLINK__" hidden="1">{"fdsup://directions/FAT Viewer?action=UPDATE&amp;creator=factset&amp;DYN_ARGS=TRUE&amp;DOC_NAME=FAT:FQL_AUDITING_CLIENT_TEMPLATE.FAT&amp;display_string=Audit&amp;VAR:KEY=VQNGHONWRM&amp;VAR:QUERY=RkZfRUJJVERBX0lCKCdMVE1TJywzOTM3OSk=&amp;WINDOW=FIRST_POPUP&amp;HEIGHT=450&amp;WIDTH=450&amp;START_MA","XIMIZED=FALSE&amp;VAR:CALENDAR=US&amp;VAR:SYMBOL=04916420&amp;VAR:INDEX=0"}</definedName>
    <definedName name="_9991__FDSAUDITLINK__" localSheetId="6" hidden="1">{"fdsup://directions/FAT Viewer?action=UPDATE&amp;creator=factset&amp;DYN_ARGS=TRUE&amp;DOC_NAME=FAT:FQL_AUDITING_CLIENT_TEMPLATE.FAT&amp;display_string=Audit&amp;VAR:KEY=VCPKZMTYXO&amp;VAR:QUERY=RkZfRUJJVERBX0lCKCdMVE1TJywzOTM3OCk=&amp;WINDOW=FIRST_POPUP&amp;HEIGHT=450&amp;WIDTH=450&amp;START_MA","XIMIZED=FALSE&amp;VAR:CALENDAR=US&amp;VAR:SYMBOL=04916420&amp;VAR:INDEX=0"}</definedName>
    <definedName name="_9991__FDSAUDITLINK__" hidden="1">{"fdsup://directions/FAT Viewer?action=UPDATE&amp;creator=factset&amp;DYN_ARGS=TRUE&amp;DOC_NAME=FAT:FQL_AUDITING_CLIENT_TEMPLATE.FAT&amp;display_string=Audit&amp;VAR:KEY=VCPKZMTYXO&amp;VAR:QUERY=RkZfRUJJVERBX0lCKCdMVE1TJywzOTM3OCk=&amp;WINDOW=FIRST_POPUP&amp;HEIGHT=450&amp;WIDTH=450&amp;START_MA","XIMIZED=FALSE&amp;VAR:CALENDAR=US&amp;VAR:SYMBOL=04916420&amp;VAR:INDEX=0"}</definedName>
    <definedName name="_9992__FDSAUDITLINK__" localSheetId="6" hidden="1">{"fdsup://directions/FAT Viewer?action=UPDATE&amp;creator=factset&amp;DYN_ARGS=TRUE&amp;DOC_NAME=FAT:FQL_AUDITING_CLIENT_TEMPLATE.FAT&amp;display_string=Audit&amp;VAR:KEY=TKFGREFWDC&amp;VAR:QUERY=RkZfRUJJVERBX0lCKCdMVE1TJywzOTM3Nyk=&amp;WINDOW=FIRST_POPUP&amp;HEIGHT=450&amp;WIDTH=450&amp;START_MA","XIMIZED=FALSE&amp;VAR:CALENDAR=US&amp;VAR:SYMBOL=04916420&amp;VAR:INDEX=0"}</definedName>
    <definedName name="_9992__FDSAUDITLINK__" hidden="1">{"fdsup://directions/FAT Viewer?action=UPDATE&amp;creator=factset&amp;DYN_ARGS=TRUE&amp;DOC_NAME=FAT:FQL_AUDITING_CLIENT_TEMPLATE.FAT&amp;display_string=Audit&amp;VAR:KEY=TKFGREFWDC&amp;VAR:QUERY=RkZfRUJJVERBX0lCKCdMVE1TJywzOTM3Nyk=&amp;WINDOW=FIRST_POPUP&amp;HEIGHT=450&amp;WIDTH=450&amp;START_MA","XIMIZED=FALSE&amp;VAR:CALENDAR=US&amp;VAR:SYMBOL=04916420&amp;VAR:INDEX=0"}</definedName>
    <definedName name="_9993__FDSAUDITLINK__" localSheetId="6" hidden="1">{"fdsup://directions/FAT Viewer?action=UPDATE&amp;creator=factset&amp;DYN_ARGS=TRUE&amp;DOC_NAME=FAT:FQL_AUDITING_CLIENT_TEMPLATE.FAT&amp;display_string=Audit&amp;VAR:KEY=LKDSVYNGDO&amp;VAR:QUERY=RkZfRUJJVERBX0lCKCdMVE1TJywzOTM3Nik=&amp;WINDOW=FIRST_POPUP&amp;HEIGHT=450&amp;WIDTH=450&amp;START_MA","XIMIZED=FALSE&amp;VAR:CALENDAR=US&amp;VAR:SYMBOL=04916420&amp;VAR:INDEX=0"}</definedName>
    <definedName name="_9993__FDSAUDITLINK__" hidden="1">{"fdsup://directions/FAT Viewer?action=UPDATE&amp;creator=factset&amp;DYN_ARGS=TRUE&amp;DOC_NAME=FAT:FQL_AUDITING_CLIENT_TEMPLATE.FAT&amp;display_string=Audit&amp;VAR:KEY=LKDSVYNGDO&amp;VAR:QUERY=RkZfRUJJVERBX0lCKCdMVE1TJywzOTM3Nik=&amp;WINDOW=FIRST_POPUP&amp;HEIGHT=450&amp;WIDTH=450&amp;START_MA","XIMIZED=FALSE&amp;VAR:CALENDAR=US&amp;VAR:SYMBOL=04916420&amp;VAR:INDEX=0"}</definedName>
    <definedName name="_9994__FDSAUDITLINK__" localSheetId="6" hidden="1">{"fdsup://directions/FAT Viewer?action=UPDATE&amp;creator=factset&amp;DYN_ARGS=TRUE&amp;DOC_NAME=FAT:FQL_AUDITING_CLIENT_TEMPLATE.FAT&amp;display_string=Audit&amp;VAR:KEY=XUTWFEZOLW&amp;VAR:QUERY=RkZfRUJJVERBX0lCKCdMVE1TJywzOTM3NSk=&amp;WINDOW=FIRST_POPUP&amp;HEIGHT=450&amp;WIDTH=450&amp;START_MA","XIMIZED=FALSE&amp;VAR:CALENDAR=US&amp;VAR:SYMBOL=04916420&amp;VAR:INDEX=0"}</definedName>
    <definedName name="_9994__FDSAUDITLINK__" hidden="1">{"fdsup://directions/FAT Viewer?action=UPDATE&amp;creator=factset&amp;DYN_ARGS=TRUE&amp;DOC_NAME=FAT:FQL_AUDITING_CLIENT_TEMPLATE.FAT&amp;display_string=Audit&amp;VAR:KEY=XUTWFEZOLW&amp;VAR:QUERY=RkZfRUJJVERBX0lCKCdMVE1TJywzOTM3NSk=&amp;WINDOW=FIRST_POPUP&amp;HEIGHT=450&amp;WIDTH=450&amp;START_MA","XIMIZED=FALSE&amp;VAR:CALENDAR=US&amp;VAR:SYMBOL=04916420&amp;VAR:INDEX=0"}</definedName>
    <definedName name="_9995__FDSAUDITLINK__" localSheetId="6" hidden="1">{"fdsup://directions/FAT Viewer?action=UPDATE&amp;creator=factset&amp;DYN_ARGS=TRUE&amp;DOC_NAME=FAT:FQL_AUDITING_CLIENT_TEMPLATE.FAT&amp;display_string=Audit&amp;VAR:KEY=BYXCTWJCNI&amp;VAR:QUERY=RkZfRUJJVERBX0lCKCdMVE1TJywzOTM3NCk=&amp;WINDOW=FIRST_POPUP&amp;HEIGHT=450&amp;WIDTH=450&amp;START_MA","XIMIZED=FALSE&amp;VAR:CALENDAR=US&amp;VAR:SYMBOL=04916420&amp;VAR:INDEX=0"}</definedName>
    <definedName name="_9995__FDSAUDITLINK__" hidden="1">{"fdsup://directions/FAT Viewer?action=UPDATE&amp;creator=factset&amp;DYN_ARGS=TRUE&amp;DOC_NAME=FAT:FQL_AUDITING_CLIENT_TEMPLATE.FAT&amp;display_string=Audit&amp;VAR:KEY=BYXCTWJCNI&amp;VAR:QUERY=RkZfRUJJVERBX0lCKCdMVE1TJywzOTM3NCk=&amp;WINDOW=FIRST_POPUP&amp;HEIGHT=450&amp;WIDTH=450&amp;START_MA","XIMIZED=FALSE&amp;VAR:CALENDAR=US&amp;VAR:SYMBOL=04916420&amp;VAR:INDEX=0"}</definedName>
    <definedName name="_9996__FDSAUDITLINK__" localSheetId="6" hidden="1">{"fdsup://directions/FAT Viewer?action=UPDATE&amp;creator=factset&amp;DYN_ARGS=TRUE&amp;DOC_NAME=FAT:FQL_AUDITING_CLIENT_TEMPLATE.FAT&amp;display_string=Audit&amp;VAR:KEY=DGFCNCVCLE&amp;VAR:QUERY=RkZfRUJJVERBX0lCKCdMVE1TJywzOTM3Myk=&amp;WINDOW=FIRST_POPUP&amp;HEIGHT=450&amp;WIDTH=450&amp;START_MA","XIMIZED=FALSE&amp;VAR:CALENDAR=US&amp;VAR:SYMBOL=04916420&amp;VAR:INDEX=0"}</definedName>
    <definedName name="_9996__FDSAUDITLINK__" hidden="1">{"fdsup://directions/FAT Viewer?action=UPDATE&amp;creator=factset&amp;DYN_ARGS=TRUE&amp;DOC_NAME=FAT:FQL_AUDITING_CLIENT_TEMPLATE.FAT&amp;display_string=Audit&amp;VAR:KEY=DGFCNCVCLE&amp;VAR:QUERY=RkZfRUJJVERBX0lCKCdMVE1TJywzOTM3Myk=&amp;WINDOW=FIRST_POPUP&amp;HEIGHT=450&amp;WIDTH=450&amp;START_MA","XIMIZED=FALSE&amp;VAR:CALENDAR=US&amp;VAR:SYMBOL=04916420&amp;VAR:INDEX=0"}</definedName>
    <definedName name="_9997__FDSAUDITLINK__" localSheetId="6" hidden="1">{"fdsup://directions/FAT Viewer?action=UPDATE&amp;creator=factset&amp;DYN_ARGS=TRUE&amp;DOC_NAME=FAT:FQL_AUDITING_CLIENT_TEMPLATE.FAT&amp;display_string=Audit&amp;VAR:KEY=VUJIRYBCXE&amp;VAR:QUERY=RkZfRUJJVERBX0lCKCdMVE1TJywzOTM3Mik=&amp;WINDOW=FIRST_POPUP&amp;HEIGHT=450&amp;WIDTH=450&amp;START_MA","XIMIZED=FALSE&amp;VAR:CALENDAR=US&amp;VAR:SYMBOL=04916420&amp;VAR:INDEX=0"}</definedName>
    <definedName name="_9997__FDSAUDITLINK__" hidden="1">{"fdsup://directions/FAT Viewer?action=UPDATE&amp;creator=factset&amp;DYN_ARGS=TRUE&amp;DOC_NAME=FAT:FQL_AUDITING_CLIENT_TEMPLATE.FAT&amp;display_string=Audit&amp;VAR:KEY=VUJIRYBCXE&amp;VAR:QUERY=RkZfRUJJVERBX0lCKCdMVE1TJywzOTM3Mik=&amp;WINDOW=FIRST_POPUP&amp;HEIGHT=450&amp;WIDTH=450&amp;START_MA","XIMIZED=FALSE&amp;VAR:CALENDAR=US&amp;VAR:SYMBOL=04916420&amp;VAR:INDEX=0"}</definedName>
    <definedName name="_9998__FDSAUDITLINK__" localSheetId="6" hidden="1">{"fdsup://directions/FAT Viewer?action=UPDATE&amp;creator=factset&amp;DYN_ARGS=TRUE&amp;DOC_NAME=FAT:FQL_AUDITING_CLIENT_TEMPLATE.FAT&amp;display_string=Audit&amp;VAR:KEY=XMBKDQNEDC&amp;VAR:QUERY=RkZfRUJJVERBX0lCKCdMVE1TJywzOTM3MSk=&amp;WINDOW=FIRST_POPUP&amp;HEIGHT=450&amp;WIDTH=450&amp;START_MA","XIMIZED=FALSE&amp;VAR:CALENDAR=US&amp;VAR:SYMBOL=04916420&amp;VAR:INDEX=0"}</definedName>
    <definedName name="_9998__FDSAUDITLINK__" hidden="1">{"fdsup://directions/FAT Viewer?action=UPDATE&amp;creator=factset&amp;DYN_ARGS=TRUE&amp;DOC_NAME=FAT:FQL_AUDITING_CLIENT_TEMPLATE.FAT&amp;display_string=Audit&amp;VAR:KEY=XMBKDQNEDC&amp;VAR:QUERY=RkZfRUJJVERBX0lCKCdMVE1TJywzOTM3MSk=&amp;WINDOW=FIRST_POPUP&amp;HEIGHT=450&amp;WIDTH=450&amp;START_MA","XIMIZED=FALSE&amp;VAR:CALENDAR=US&amp;VAR:SYMBOL=04916420&amp;VAR:INDEX=0"}</definedName>
    <definedName name="_9999__FDSAUDITLINK__" localSheetId="6" hidden="1">{"fdsup://directions/FAT Viewer?action=UPDATE&amp;creator=factset&amp;DYN_ARGS=TRUE&amp;DOC_NAME=FAT:FQL_AUDITING_CLIENT_TEMPLATE.FAT&amp;display_string=Audit&amp;VAR:KEY=XEZSHOPADW&amp;VAR:QUERY=RkZfRUJJVERBX0lCKCdMVE1TJywzOTM3MCk=&amp;WINDOW=FIRST_POPUP&amp;HEIGHT=450&amp;WIDTH=450&amp;START_MA","XIMIZED=FALSE&amp;VAR:CALENDAR=US&amp;VAR:SYMBOL=04916420&amp;VAR:INDEX=0"}</definedName>
    <definedName name="_9999__FDSAUDITLINK__" hidden="1">{"fdsup://directions/FAT Viewer?action=UPDATE&amp;creator=factset&amp;DYN_ARGS=TRUE&amp;DOC_NAME=FAT:FQL_AUDITING_CLIENT_TEMPLATE.FAT&amp;display_string=Audit&amp;VAR:KEY=XEZSHOPADW&amp;VAR:QUERY=RkZfRUJJVERBX0lCKCdMVE1TJywzOTM3MCk=&amp;WINDOW=FIRST_POPUP&amp;HEIGHT=450&amp;WIDTH=450&amp;START_MA","XIMIZED=FALSE&amp;VAR:CALENDAR=US&amp;VAR:SYMBOL=04916420&amp;VAR:INDEX=0"}</definedName>
    <definedName name="_xlnm._FilterDatabase" localSheetId="7" hidden="1">'GL Transactions'!$A$1:$M$834</definedName>
    <definedName name="_Order1" hidden="1">255</definedName>
    <definedName name="_Order2" hidden="1">255</definedName>
    <definedName name="_Regression_Int" hidden="1">1</definedName>
    <definedName name="_xlchart.v5.0" hidden="1">'Revenue Waterfall'!$B$3:$B$14</definedName>
    <definedName name="_xlchart.v5.1" hidden="1">'Revenue Waterfall'!$C$3:$C$14</definedName>
    <definedName name="_xlchart.v5.2" hidden="1">'EBITDA Waterfall'!$B$3:$B$13</definedName>
    <definedName name="_xlchart.v5.3" hidden="1">'EBITDA Waterfall'!$C$3:$C$13</definedName>
    <definedName name="censusdays">#REF!</definedName>
    <definedName name="CIQWBGuid" hidden="1">"30351bbd-9556-4598-b873-7080d78cefcb"</definedName>
    <definedName name="CIQWBInfo" hidden="1">"{ ""CIQVersion"":""9.45.614.5792"" }"</definedName>
    <definedName name="circ">#REF!</definedName>
    <definedName name="ev.Calculation" hidden="1">-4105</definedName>
    <definedName name="ev.Initialized" hidden="1">FALSE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TML1_10" hidden="1">""</definedName>
    <definedName name="HTML1_11" hidden="1">1</definedName>
    <definedName name="HTML1_2" hidden="1">1</definedName>
    <definedName name="HTML1_3" hidden="1">"Financials V.1.0.2"</definedName>
    <definedName name="HTML1_4" hidden="1">"Income Statement"</definedName>
    <definedName name="HTML1_5" hidden="1">""</definedName>
    <definedName name="HTML1_6" hidden="1">-4146</definedName>
    <definedName name="HTML1_7" hidden="1">-4146</definedName>
    <definedName name="HTML1_8" hidden="1">"8/22/98"</definedName>
    <definedName name="HTML1_9" hidden="1">"Bill Nguyen"</definedName>
    <definedName name="HTML2_10" hidden="1">""</definedName>
    <definedName name="HTML2_11" hidden="1">1</definedName>
    <definedName name="HTML2_2" hidden="1">1</definedName>
    <definedName name="HTML2_3" hidden="1">"Financials"</definedName>
    <definedName name="HTML2_4" hidden="1">"Income Statement"</definedName>
    <definedName name="HTML2_5" hidden="1">""</definedName>
    <definedName name="HTML2_6" hidden="1">-4146</definedName>
    <definedName name="HTML2_7" hidden="1">1</definedName>
    <definedName name="HTML2_8" hidden="1">"8/22/98"</definedName>
    <definedName name="HTML2_9" hidden="1">"Bill Nguyen"</definedName>
    <definedName name="HTMLCount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CE_FDIC" hidden="1">"c6296"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V_OVER_REVENUE_EST" hidden="1">"IQ_EV_OVER_REVENUE_EST"</definedName>
    <definedName name="IQ_EV_OVER_REVENUE_EST_1" hidden="1">"IQ_EV_OVER_REVENUE_EST_1"</definedName>
    <definedName name="IQ_EXPENSE_CODE_" hidden="1">"test"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44766.7659027778</definedName>
    <definedName name="IQ_NAV_ACT_OR_EST" hidden="1">"c2225"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>3000</definedName>
    <definedName name="IQ_YTDMONTH" hidden="1">130000</definedName>
    <definedName name="IQB_BOOKMARK_COUNT" hidden="1">10</definedName>
    <definedName name="IQRB17" hidden="1">"$B$18"</definedName>
    <definedName name="IQRC10" hidden="1">"$C$11:$C$15"</definedName>
    <definedName name="IQRC9" hidden="1">"$C$10:$C$14"</definedName>
    <definedName name="IQRE9" hidden="1">"$E$10:$E$14"</definedName>
    <definedName name="IQRJ3" hidden="1">"$K$3:$AF$3"</definedName>
    <definedName name="IQRJ4" hidden="1">"$K$4:$AF$4"</definedName>
    <definedName name="IQRJ5" hidden="1">"$K$5:$AF$5"</definedName>
    <definedName name="IQRJ6" hidden="1">"$K$6:$AF$6"</definedName>
    <definedName name="IQRJ7" hidden="1">"$K$7:$AF$7"</definedName>
    <definedName name="IQRJ8" hidden="1">"$K$8:$AF$8"</definedName>
    <definedName name="IQRO10" hidden="1">"$O$11:$O$17"</definedName>
    <definedName name="IQRO9" hidden="1">"$O$10:$O$72"</definedName>
    <definedName name="IQRP4" hidden="1">"$P$5:$P$9"</definedName>
    <definedName name="IQRQ4" hidden="1">"$Q$5:$Q$9"</definedName>
    <definedName name="IQRS9" hidden="1">"$S$10:$S$72"</definedName>
    <definedName name="IQRV9" hidden="1">"$V$10:$V$71"</definedName>
    <definedName name="IsColHidden" hidden="1">FALSE</definedName>
    <definedName name="IsLTMColHidden" hidden="1">FALSE</definedName>
    <definedName name="limcount" hidden="1">1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il">#REF!</definedName>
    <definedName name="Order__1" hidden="1">0</definedName>
    <definedName name="_xlnm.Print_Area" localSheetId="5">Facility!$B$1:$W$217</definedName>
    <definedName name="_xlnm.Print_Area" localSheetId="4">'Mid Month'!$A$1:$E$41</definedName>
    <definedName name="_xlnm.Print_Area" localSheetId="2">MOR_MTD!$A$1:$E$97</definedName>
    <definedName name="_xlnm.Print_Area" localSheetId="3">MOR_YTD!$A$1:$E$97</definedName>
    <definedName name="_xlnm.Print_Area" localSheetId="6">'Trended P&amp;L'!$D$1:$P$176</definedName>
    <definedName name="_xlnm.Print_Titles" localSheetId="5">Facility!$1:$7</definedName>
    <definedName name="_xlnm.Print_Titles" localSheetId="6">'Trended P&amp;L'!$1:$7</definedName>
    <definedName name="QuickView_QuickView1">#REF!</definedName>
    <definedName name="QuickView_QuickView1_ColHeader">#REF!</definedName>
    <definedName name="QuickView_QuickView1_Data">#REF!</definedName>
    <definedName name="QuickView_QuickView1_RowHeader">#REF!</definedName>
    <definedName name="QuickView_QuickView1_UpperLeft">#REF!</definedName>
    <definedName name="QuickView_QuickView2">#REF!</definedName>
    <definedName name="QuickView_QuickView2_ColHeader">#REF!</definedName>
    <definedName name="QuickView_QuickView2_Data">#REF!</definedName>
    <definedName name="QuickView_QuickView2_RowHeader">#REF!</definedName>
    <definedName name="QuickView_QuickView2_UpperLeft">#REF!</definedName>
    <definedName name="QuickView_QuickView3">#REF!</definedName>
    <definedName name="QuickView_QuickView3_ColHeader">#REF!</definedName>
    <definedName name="QuickView_QuickView3_Data">#REF!</definedName>
    <definedName name="QuickView_QuickView3_RowHeader">#REF!</definedName>
    <definedName name="QuickView_QuickView3_UpperLeft">#REF!</definedName>
    <definedName name="QuickView_QuickView4">#REF!</definedName>
    <definedName name="QuickView_QuickView4_ColHeader">#REF!</definedName>
    <definedName name="QuickView_QuickView4_Data">#REF!</definedName>
    <definedName name="QuickView_QuickView4_RowHeader">#REF!</definedName>
    <definedName name="QuickView_QuickView4_UpperLeft">#REF!</definedName>
    <definedName name="QuickView_QuickView5">#REF!</definedName>
    <definedName name="QuickView_QuickView5_ColHeader">#REF!</definedName>
    <definedName name="QuickView_QuickView5_Data">#REF!</definedName>
    <definedName name="QuickView_QuickView5_RowHeader">#REF!</definedName>
    <definedName name="QuickView_QuickView5_UpperLeft">#REF!</definedName>
    <definedName name="QuickView_QuickView6">#REF!</definedName>
    <definedName name="QuickView_QuickView6_ColHeader">#REF!</definedName>
    <definedName name="QuickView_QuickView6_Data">#REF!</definedName>
    <definedName name="QuickView_QuickView6_RowHeader">#REF!</definedName>
    <definedName name="QuickView_QuickView6_UpperLeft">#REF!</definedName>
    <definedName name="QuickView_QuickView7">#REF!</definedName>
    <definedName name="QuickView_QuickView7_ColHeader">#REF!</definedName>
    <definedName name="QuickView_QuickView7_Data">#REF!</definedName>
    <definedName name="QuickView_QuickView7_RowHeader">#REF!</definedName>
    <definedName name="QuickView_QuickView7_UpperLeft">#REF!</definedName>
    <definedName name="QuickView_QuickView8">#REF!</definedName>
    <definedName name="QuickView_QuickView8_ColHeader">#REF!</definedName>
    <definedName name="QuickView_QuickView8_Data">#REF!</definedName>
    <definedName name="QuickView_QuickView8_RowHeader">#REF!</definedName>
    <definedName name="QuickView_QuickView8_UpperLeft">#REF!</definedName>
    <definedName name="s" localSheetId="6" hidden="1">{"fdsup://directions/FAT Viewer?action=UPDATE&amp;creator=factset&amp;DYN_ARGS=TRUE&amp;DOC_NAME=FAT:FQL_AUDITING_CLIENT_TEMPLATE.FAT&amp;display_string=Audit&amp;VAR:KEY=TQPEDCLOXY&amp;VAR:QUERY=RkZfRU5UUlBSX1ZBTF9EQUlMWSgwLCwsLCwnRElMJywsLCdVU0QnKQ==&amp;WINDOW=FIRST_POPUP&amp;HEIGHT=45","0&amp;WIDTH=450&amp;START_MAXIMIZED=FALSE&amp;VAR:CALENDAR=US&amp;VAR:SYMBOL=MEAS&amp;VAR:INDEX=0"}</definedName>
    <definedName name="s" hidden="1">{"fdsup://directions/FAT Viewer?action=UPDATE&amp;creator=factset&amp;DYN_ARGS=TRUE&amp;DOC_NAME=FAT:FQL_AUDITING_CLIENT_TEMPLATE.FAT&amp;display_string=Audit&amp;VAR:KEY=TQPEDCLOXY&amp;VAR:QUERY=RkZfRU5UUlBSX1ZBTF9EQUlMWSgwLCwsLCwnRElMJywsLCdVU0QnKQ==&amp;WINDOW=FIRST_POPUP&amp;HEIGHT=45","0&amp;WIDTH=450&amp;START_MAXIMIZED=FALSE&amp;VAR:CALENDAR=US&amp;VAR:SYMBOL=MEAS&amp;VAR:INDEX=0"}</definedName>
    <definedName name="sencount" hidden="1">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3" l="1"/>
  <c r="H26" i="13"/>
  <c r="M3" i="3"/>
  <c r="M7" i="3" s="1"/>
  <c r="M4" i="3"/>
  <c r="N4" i="3" s="1"/>
  <c r="N7" i="3"/>
  <c r="N2" i="3"/>
  <c r="N6" i="3" s="1"/>
  <c r="M2" i="3"/>
  <c r="M6" i="3" s="1"/>
  <c r="L6" i="24"/>
  <c r="L7" i="24"/>
  <c r="M8" i="3"/>
  <c r="AU3" i="3" l="1"/>
  <c r="AU7" i="3" s="1"/>
  <c r="AU2" i="3"/>
  <c r="AU6" i="3" s="1"/>
  <c r="AT7" i="3"/>
  <c r="AT6" i="3"/>
  <c r="C834" i="25"/>
  <c r="C833" i="25"/>
  <c r="C832" i="25"/>
  <c r="C831" i="25"/>
  <c r="C830" i="25"/>
  <c r="C829" i="25"/>
  <c r="C828" i="25"/>
  <c r="C827" i="25"/>
  <c r="C826" i="25"/>
  <c r="C825" i="25"/>
  <c r="C824" i="25"/>
  <c r="C823" i="25"/>
  <c r="C822" i="25"/>
  <c r="C821" i="25"/>
  <c r="C820" i="25"/>
  <c r="C819" i="25"/>
  <c r="C818" i="25"/>
  <c r="C817" i="25"/>
  <c r="C816" i="25"/>
  <c r="C815" i="25"/>
  <c r="C814" i="25"/>
  <c r="C813" i="25"/>
  <c r="C812" i="25"/>
  <c r="C811" i="25"/>
  <c r="C810" i="25"/>
  <c r="C809" i="25"/>
  <c r="C808" i="25"/>
  <c r="C807" i="25"/>
  <c r="C806" i="25"/>
  <c r="C805" i="25"/>
  <c r="C804" i="25"/>
  <c r="C803" i="25"/>
  <c r="C802" i="25"/>
  <c r="C801" i="25"/>
  <c r="C800" i="25"/>
  <c r="C799" i="25"/>
  <c r="C798" i="25"/>
  <c r="C797" i="25"/>
  <c r="C796" i="25"/>
  <c r="C795" i="25"/>
  <c r="C794" i="25"/>
  <c r="C793" i="25"/>
  <c r="C792" i="25"/>
  <c r="C791" i="25"/>
  <c r="C790" i="25"/>
  <c r="C789" i="25"/>
  <c r="C788" i="25"/>
  <c r="C787" i="25"/>
  <c r="C786" i="25"/>
  <c r="C785" i="25"/>
  <c r="C784" i="25"/>
  <c r="C783" i="25"/>
  <c r="C782" i="25"/>
  <c r="C781" i="25"/>
  <c r="C780" i="25"/>
  <c r="C779" i="25"/>
  <c r="C778" i="25"/>
  <c r="C777" i="25"/>
  <c r="C776" i="25"/>
  <c r="C775" i="25"/>
  <c r="C774" i="25"/>
  <c r="C773" i="25"/>
  <c r="C772" i="25"/>
  <c r="C771" i="25"/>
  <c r="C770" i="25"/>
  <c r="C769" i="25"/>
  <c r="C768" i="25"/>
  <c r="C767" i="25"/>
  <c r="C766" i="25"/>
  <c r="C765" i="25"/>
  <c r="C764" i="25"/>
  <c r="C763" i="25"/>
  <c r="C762" i="25"/>
  <c r="C761" i="25"/>
  <c r="C760" i="25"/>
  <c r="C759" i="25"/>
  <c r="C758" i="25"/>
  <c r="C757" i="25"/>
  <c r="C756" i="25"/>
  <c r="C755" i="25"/>
  <c r="C754" i="25"/>
  <c r="C753" i="25"/>
  <c r="C752" i="25"/>
  <c r="C751" i="25"/>
  <c r="C750" i="25"/>
  <c r="C749" i="25"/>
  <c r="C748" i="25"/>
  <c r="C747" i="25"/>
  <c r="C746" i="25"/>
  <c r="C745" i="25"/>
  <c r="C744" i="25"/>
  <c r="C743" i="25"/>
  <c r="C742" i="25"/>
  <c r="C741" i="25"/>
  <c r="C740" i="25"/>
  <c r="C739" i="25"/>
  <c r="C738" i="25"/>
  <c r="C737" i="25"/>
  <c r="C736" i="25"/>
  <c r="C735" i="25"/>
  <c r="C734" i="25"/>
  <c r="C733" i="25"/>
  <c r="C732" i="25"/>
  <c r="C731" i="25"/>
  <c r="C730" i="25"/>
  <c r="C729" i="25"/>
  <c r="C728" i="25"/>
  <c r="C727" i="25"/>
  <c r="C726" i="25"/>
  <c r="C725" i="25"/>
  <c r="C724" i="25"/>
  <c r="C723" i="25"/>
  <c r="C722" i="25"/>
  <c r="C721" i="25"/>
  <c r="C720" i="25"/>
  <c r="C719" i="25"/>
  <c r="C718" i="25"/>
  <c r="C717" i="25"/>
  <c r="C716" i="25"/>
  <c r="C715" i="25"/>
  <c r="C714" i="25"/>
  <c r="C713" i="25"/>
  <c r="C712" i="25"/>
  <c r="C711" i="25"/>
  <c r="C710" i="25"/>
  <c r="C709" i="25"/>
  <c r="C708" i="25"/>
  <c r="C707" i="25"/>
  <c r="C706" i="25"/>
  <c r="C705" i="25"/>
  <c r="C704" i="25"/>
  <c r="C703" i="25"/>
  <c r="C702" i="25"/>
  <c r="C701" i="25"/>
  <c r="C700" i="25"/>
  <c r="C699" i="25"/>
  <c r="C698" i="25"/>
  <c r="C697" i="25"/>
  <c r="C696" i="25"/>
  <c r="C695" i="25"/>
  <c r="C694" i="25"/>
  <c r="C693" i="25"/>
  <c r="C692" i="25"/>
  <c r="C691" i="25"/>
  <c r="C690" i="25"/>
  <c r="C689" i="25"/>
  <c r="C688" i="25"/>
  <c r="C687" i="25"/>
  <c r="C686" i="25"/>
  <c r="C685" i="25"/>
  <c r="C684" i="25"/>
  <c r="C683" i="25"/>
  <c r="C682" i="25"/>
  <c r="C681" i="25"/>
  <c r="C680" i="25"/>
  <c r="C679" i="25"/>
  <c r="C678" i="25"/>
  <c r="C677" i="25"/>
  <c r="C676" i="25"/>
  <c r="C675" i="25"/>
  <c r="C674" i="25"/>
  <c r="C673" i="25"/>
  <c r="C672" i="25"/>
  <c r="C671" i="25"/>
  <c r="C670" i="25"/>
  <c r="C669" i="25"/>
  <c r="C668" i="25"/>
  <c r="C667" i="25"/>
  <c r="C666" i="25"/>
  <c r="C665" i="25"/>
  <c r="C664" i="25"/>
  <c r="C663" i="25"/>
  <c r="C662" i="25"/>
  <c r="C661" i="25"/>
  <c r="C660" i="25"/>
  <c r="C659" i="25"/>
  <c r="C658" i="25"/>
  <c r="C657" i="25"/>
  <c r="C656" i="25"/>
  <c r="C655" i="25"/>
  <c r="C654" i="25"/>
  <c r="C653" i="25"/>
  <c r="C652" i="25"/>
  <c r="C651" i="25"/>
  <c r="C650" i="25"/>
  <c r="C649" i="25"/>
  <c r="C648" i="25"/>
  <c r="C647" i="25"/>
  <c r="C646" i="25"/>
  <c r="C645" i="25"/>
  <c r="C644" i="25"/>
  <c r="C643" i="25"/>
  <c r="C642" i="25"/>
  <c r="C641" i="25"/>
  <c r="C640" i="25"/>
  <c r="C639" i="25"/>
  <c r="C638" i="25"/>
  <c r="C637" i="25"/>
  <c r="C636" i="25"/>
  <c r="C635" i="25"/>
  <c r="C634" i="25"/>
  <c r="C633" i="25"/>
  <c r="C632" i="25"/>
  <c r="C631" i="25"/>
  <c r="C630" i="25"/>
  <c r="C629" i="25"/>
  <c r="C628" i="25"/>
  <c r="C627" i="25"/>
  <c r="C626" i="25"/>
  <c r="C625" i="25"/>
  <c r="C624" i="25"/>
  <c r="C623" i="25"/>
  <c r="C622" i="25"/>
  <c r="C621" i="25"/>
  <c r="C620" i="25"/>
  <c r="C619" i="25"/>
  <c r="C618" i="25"/>
  <c r="C617" i="25"/>
  <c r="C616" i="25"/>
  <c r="C615" i="25"/>
  <c r="C614" i="25"/>
  <c r="C613" i="25"/>
  <c r="C612" i="25"/>
  <c r="C611" i="25"/>
  <c r="C610" i="25"/>
  <c r="C609" i="25"/>
  <c r="C608" i="25"/>
  <c r="C607" i="25"/>
  <c r="C606" i="25"/>
  <c r="C605" i="25"/>
  <c r="C604" i="25"/>
  <c r="C603" i="25"/>
  <c r="C602" i="25"/>
  <c r="C601" i="25"/>
  <c r="C600" i="25"/>
  <c r="C599" i="25"/>
  <c r="C598" i="25"/>
  <c r="C597" i="25"/>
  <c r="C596" i="25"/>
  <c r="C595" i="25"/>
  <c r="C594" i="25"/>
  <c r="C593" i="25"/>
  <c r="C592" i="25"/>
  <c r="C591" i="25"/>
  <c r="C590" i="25"/>
  <c r="C589" i="25"/>
  <c r="C588" i="25"/>
  <c r="C587" i="25"/>
  <c r="C586" i="25"/>
  <c r="C585" i="25"/>
  <c r="C584" i="25"/>
  <c r="C583" i="25"/>
  <c r="C582" i="25"/>
  <c r="C581" i="25"/>
  <c r="C580" i="25"/>
  <c r="C579" i="25"/>
  <c r="C578" i="25"/>
  <c r="C577" i="25"/>
  <c r="C576" i="25"/>
  <c r="C575" i="25"/>
  <c r="C574" i="25"/>
  <c r="C573" i="25"/>
  <c r="C572" i="25"/>
  <c r="C571" i="25"/>
  <c r="C570" i="25"/>
  <c r="C569" i="25"/>
  <c r="C568" i="25"/>
  <c r="C567" i="25"/>
  <c r="C566" i="25"/>
  <c r="C565" i="25"/>
  <c r="C564" i="25"/>
  <c r="C563" i="25"/>
  <c r="C562" i="25"/>
  <c r="C561" i="25"/>
  <c r="C560" i="25"/>
  <c r="C559" i="25"/>
  <c r="C558" i="25"/>
  <c r="C557" i="25"/>
  <c r="C556" i="25"/>
  <c r="C555" i="25"/>
  <c r="C554" i="25"/>
  <c r="C553" i="25"/>
  <c r="C552" i="25"/>
  <c r="C551" i="25"/>
  <c r="C550" i="25"/>
  <c r="C549" i="25"/>
  <c r="C548" i="25"/>
  <c r="C547" i="25"/>
  <c r="C546" i="25"/>
  <c r="C545" i="25"/>
  <c r="C544" i="25"/>
  <c r="C543" i="25"/>
  <c r="C542" i="25"/>
  <c r="C541" i="25"/>
  <c r="C540" i="25"/>
  <c r="C539" i="25"/>
  <c r="C538" i="25"/>
  <c r="C537" i="25"/>
  <c r="C536" i="25"/>
  <c r="C535" i="25"/>
  <c r="C534" i="25"/>
  <c r="C533" i="25"/>
  <c r="C532" i="25"/>
  <c r="C531" i="25"/>
  <c r="C530" i="25"/>
  <c r="C529" i="25"/>
  <c r="C528" i="25"/>
  <c r="C527" i="25"/>
  <c r="C526" i="25"/>
  <c r="C525" i="25"/>
  <c r="C524" i="25"/>
  <c r="C523" i="25"/>
  <c r="C522" i="25"/>
  <c r="C521" i="25"/>
  <c r="C520" i="25"/>
  <c r="C519" i="25"/>
  <c r="C518" i="25"/>
  <c r="C517" i="25"/>
  <c r="C516" i="25"/>
  <c r="C515" i="25"/>
  <c r="C514" i="25"/>
  <c r="C513" i="25"/>
  <c r="C512" i="25"/>
  <c r="C511" i="25"/>
  <c r="C510" i="25"/>
  <c r="C509" i="25"/>
  <c r="C508" i="25"/>
  <c r="C507" i="25"/>
  <c r="C506" i="25"/>
  <c r="C505" i="25"/>
  <c r="C504" i="25"/>
  <c r="C503" i="25"/>
  <c r="C502" i="25"/>
  <c r="C501" i="25"/>
  <c r="C500" i="25"/>
  <c r="C499" i="25"/>
  <c r="C498" i="25"/>
  <c r="C497" i="25"/>
  <c r="C496" i="25"/>
  <c r="C495" i="25"/>
  <c r="C494" i="25"/>
  <c r="C493" i="25"/>
  <c r="C492" i="25"/>
  <c r="C491" i="25"/>
  <c r="C490" i="25"/>
  <c r="C489" i="25"/>
  <c r="C488" i="25"/>
  <c r="C487" i="25"/>
  <c r="C486" i="25"/>
  <c r="C485" i="25"/>
  <c r="C484" i="25"/>
  <c r="C483" i="25"/>
  <c r="C482" i="25"/>
  <c r="C481" i="25"/>
  <c r="C480" i="25"/>
  <c r="C479" i="25"/>
  <c r="C478" i="25"/>
  <c r="C477" i="25"/>
  <c r="C476" i="25"/>
  <c r="C475" i="25"/>
  <c r="C474" i="25"/>
  <c r="C473" i="25"/>
  <c r="C472" i="25"/>
  <c r="C471" i="25"/>
  <c r="C470" i="25"/>
  <c r="C469" i="25"/>
  <c r="C468" i="25"/>
  <c r="C467" i="25"/>
  <c r="C466" i="25"/>
  <c r="C465" i="25"/>
  <c r="C464" i="25"/>
  <c r="C463" i="25"/>
  <c r="C462" i="25"/>
  <c r="C461" i="25"/>
  <c r="C460" i="25"/>
  <c r="C459" i="25"/>
  <c r="C458" i="25"/>
  <c r="C457" i="25"/>
  <c r="C456" i="25"/>
  <c r="C455" i="25"/>
  <c r="C454" i="25"/>
  <c r="C453" i="25"/>
  <c r="C452" i="25"/>
  <c r="C451" i="25"/>
  <c r="C450" i="25"/>
  <c r="C449" i="25"/>
  <c r="C448" i="25"/>
  <c r="C447" i="25"/>
  <c r="C446" i="25"/>
  <c r="C445" i="25"/>
  <c r="C444" i="25"/>
  <c r="C443" i="25"/>
  <c r="C442" i="25"/>
  <c r="C441" i="25"/>
  <c r="C440" i="25"/>
  <c r="C439" i="25"/>
  <c r="C438" i="25"/>
  <c r="C437" i="25"/>
  <c r="C436" i="25"/>
  <c r="C435" i="25"/>
  <c r="C434" i="25"/>
  <c r="C433" i="25"/>
  <c r="C432" i="25"/>
  <c r="C431" i="25"/>
  <c r="C430" i="25"/>
  <c r="C429" i="25"/>
  <c r="C428" i="25"/>
  <c r="C427" i="25"/>
  <c r="C426" i="25"/>
  <c r="C425" i="25"/>
  <c r="C424" i="25"/>
  <c r="C423" i="25"/>
  <c r="C422" i="25"/>
  <c r="C421" i="25"/>
  <c r="C420" i="25"/>
  <c r="C419" i="25"/>
  <c r="C418" i="25"/>
  <c r="C417" i="25"/>
  <c r="C416" i="25"/>
  <c r="C415" i="25"/>
  <c r="C414" i="25"/>
  <c r="C413" i="25"/>
  <c r="C412" i="25"/>
  <c r="C411" i="25"/>
  <c r="C410" i="25"/>
  <c r="C409" i="25"/>
  <c r="C408" i="25"/>
  <c r="C407" i="25"/>
  <c r="C406" i="25"/>
  <c r="C405" i="25"/>
  <c r="C404" i="25"/>
  <c r="C403" i="25"/>
  <c r="C402" i="25"/>
  <c r="C401" i="25"/>
  <c r="C400" i="25"/>
  <c r="C399" i="25"/>
  <c r="C398" i="25"/>
  <c r="C397" i="25"/>
  <c r="C396" i="25"/>
  <c r="C395" i="25"/>
  <c r="C394" i="25"/>
  <c r="C393" i="25"/>
  <c r="C392" i="25"/>
  <c r="C391" i="25"/>
  <c r="C390" i="25"/>
  <c r="C389" i="25"/>
  <c r="C388" i="25"/>
  <c r="C387" i="25"/>
  <c r="C386" i="25"/>
  <c r="C385" i="25"/>
  <c r="C384" i="25"/>
  <c r="C383" i="25"/>
  <c r="C382" i="25"/>
  <c r="C381" i="25"/>
  <c r="C380" i="25"/>
  <c r="C379" i="25"/>
  <c r="C378" i="25"/>
  <c r="C377" i="25"/>
  <c r="C376" i="25"/>
  <c r="C375" i="25"/>
  <c r="C374" i="25"/>
  <c r="C373" i="25"/>
  <c r="C372" i="25"/>
  <c r="C371" i="25"/>
  <c r="C370" i="25"/>
  <c r="C369" i="25"/>
  <c r="C368" i="25"/>
  <c r="C367" i="25"/>
  <c r="C366" i="25"/>
  <c r="C365" i="25"/>
  <c r="C364" i="25"/>
  <c r="C363" i="25"/>
  <c r="C362" i="25"/>
  <c r="C361" i="25"/>
  <c r="C360" i="25"/>
  <c r="C359" i="25"/>
  <c r="C358" i="25"/>
  <c r="C357" i="25"/>
  <c r="C356" i="25"/>
  <c r="C355" i="25"/>
  <c r="C354" i="25"/>
  <c r="C353" i="25"/>
  <c r="C352" i="25"/>
  <c r="C351" i="25"/>
  <c r="C350" i="25"/>
  <c r="C349" i="25"/>
  <c r="C348" i="25"/>
  <c r="C347" i="25"/>
  <c r="C346" i="25"/>
  <c r="C345" i="25"/>
  <c r="C344" i="25"/>
  <c r="C343" i="25"/>
  <c r="C342" i="25"/>
  <c r="C341" i="25"/>
  <c r="C340" i="25"/>
  <c r="C339" i="25"/>
  <c r="C338" i="25"/>
  <c r="C337" i="25"/>
  <c r="C336" i="25"/>
  <c r="C335" i="25"/>
  <c r="C334" i="25"/>
  <c r="C333" i="25"/>
  <c r="C332" i="25"/>
  <c r="C331" i="25"/>
  <c r="C330" i="25"/>
  <c r="C329" i="25"/>
  <c r="C328" i="25"/>
  <c r="C327" i="25"/>
  <c r="C326" i="25"/>
  <c r="C325" i="25"/>
  <c r="C324" i="25"/>
  <c r="C323" i="25"/>
  <c r="C322" i="25"/>
  <c r="C321" i="25"/>
  <c r="C320" i="25"/>
  <c r="C319" i="25"/>
  <c r="C318" i="25"/>
  <c r="C317" i="25"/>
  <c r="C316" i="25"/>
  <c r="C315" i="25"/>
  <c r="C314" i="25"/>
  <c r="C313" i="25"/>
  <c r="C312" i="25"/>
  <c r="C311" i="25"/>
  <c r="C310" i="25"/>
  <c r="C309" i="25"/>
  <c r="C308" i="25"/>
  <c r="C307" i="25"/>
  <c r="C306" i="25"/>
  <c r="C305" i="25"/>
  <c r="C304" i="25"/>
  <c r="C303" i="25"/>
  <c r="C302" i="25"/>
  <c r="C301" i="25"/>
  <c r="C300" i="25"/>
  <c r="C299" i="25"/>
  <c r="C298" i="25"/>
  <c r="C297" i="25"/>
  <c r="C296" i="25"/>
  <c r="C295" i="25"/>
  <c r="C294" i="25"/>
  <c r="C293" i="25"/>
  <c r="C292" i="25"/>
  <c r="C291" i="25"/>
  <c r="C290" i="25"/>
  <c r="C289" i="25"/>
  <c r="C288" i="25"/>
  <c r="C287" i="25"/>
  <c r="C286" i="25"/>
  <c r="C285" i="25"/>
  <c r="C284" i="25"/>
  <c r="C283" i="25"/>
  <c r="C282" i="25"/>
  <c r="C281" i="25"/>
  <c r="C280" i="25"/>
  <c r="C279" i="25"/>
  <c r="C278" i="25"/>
  <c r="C277" i="25"/>
  <c r="C276" i="25"/>
  <c r="C275" i="25"/>
  <c r="C274" i="25"/>
  <c r="C273" i="25"/>
  <c r="C272" i="25"/>
  <c r="C271" i="25"/>
  <c r="C270" i="25"/>
  <c r="C269" i="25"/>
  <c r="C268" i="25"/>
  <c r="C267" i="25"/>
  <c r="C266" i="25"/>
  <c r="C265" i="25"/>
  <c r="C264" i="25"/>
  <c r="C263" i="25"/>
  <c r="C262" i="25"/>
  <c r="C261" i="25"/>
  <c r="C260" i="25"/>
  <c r="C259" i="25"/>
  <c r="C258" i="25"/>
  <c r="C257" i="25"/>
  <c r="C256" i="25"/>
  <c r="C255" i="25"/>
  <c r="C254" i="25"/>
  <c r="C253" i="25"/>
  <c r="C252" i="25"/>
  <c r="C251" i="25"/>
  <c r="C250" i="25"/>
  <c r="C249" i="25"/>
  <c r="C248" i="25"/>
  <c r="C247" i="25"/>
  <c r="C246" i="25"/>
  <c r="C245" i="25"/>
  <c r="C244" i="25"/>
  <c r="C243" i="25"/>
  <c r="C242" i="25"/>
  <c r="C241" i="25"/>
  <c r="C240" i="25"/>
  <c r="C239" i="25"/>
  <c r="C238" i="25"/>
  <c r="C237" i="25"/>
  <c r="C236" i="25"/>
  <c r="C235" i="25"/>
  <c r="C234" i="25"/>
  <c r="C233" i="25"/>
  <c r="C232" i="25"/>
  <c r="C231" i="25"/>
  <c r="C230" i="25"/>
  <c r="C229" i="25"/>
  <c r="C228" i="25"/>
  <c r="C227" i="25"/>
  <c r="C226" i="25"/>
  <c r="C225" i="25"/>
  <c r="C224" i="25"/>
  <c r="C223" i="25"/>
  <c r="C222" i="25"/>
  <c r="C221" i="25"/>
  <c r="C220" i="25"/>
  <c r="C219" i="25"/>
  <c r="C218" i="25"/>
  <c r="C217" i="25"/>
  <c r="C216" i="25"/>
  <c r="C215" i="25"/>
  <c r="C214" i="25"/>
  <c r="C213" i="25"/>
  <c r="C212" i="25"/>
  <c r="C211" i="25"/>
  <c r="C210" i="25"/>
  <c r="C209" i="25"/>
  <c r="C208" i="25"/>
  <c r="C207" i="25"/>
  <c r="C206" i="25"/>
  <c r="C205" i="25"/>
  <c r="C204" i="25"/>
  <c r="C203" i="25"/>
  <c r="C202" i="25"/>
  <c r="C201" i="25"/>
  <c r="C200" i="25"/>
  <c r="C199" i="25"/>
  <c r="C198" i="25"/>
  <c r="C197" i="25"/>
  <c r="C196" i="25"/>
  <c r="C195" i="25"/>
  <c r="C194" i="25"/>
  <c r="C193" i="25"/>
  <c r="C192" i="25"/>
  <c r="C191" i="25"/>
  <c r="C190" i="25"/>
  <c r="C189" i="25"/>
  <c r="C188" i="25"/>
  <c r="C187" i="25"/>
  <c r="C186" i="25"/>
  <c r="C185" i="25"/>
  <c r="C184" i="25"/>
  <c r="C183" i="25"/>
  <c r="C182" i="25"/>
  <c r="C181" i="25"/>
  <c r="C180" i="25"/>
  <c r="C179" i="25"/>
  <c r="C178" i="25"/>
  <c r="C177" i="25"/>
  <c r="C176" i="25"/>
  <c r="C175" i="25"/>
  <c r="C174" i="25"/>
  <c r="C173" i="25"/>
  <c r="C172" i="25"/>
  <c r="C171" i="25"/>
  <c r="C170" i="25"/>
  <c r="C169" i="25"/>
  <c r="C168" i="25"/>
  <c r="C167" i="25"/>
  <c r="C166" i="25"/>
  <c r="C165" i="25"/>
  <c r="C164" i="25"/>
  <c r="C163" i="25"/>
  <c r="C162" i="25"/>
  <c r="C161" i="25"/>
  <c r="C160" i="25"/>
  <c r="C159" i="25"/>
  <c r="C158" i="25"/>
  <c r="C157" i="25"/>
  <c r="C156" i="25"/>
  <c r="C155" i="25"/>
  <c r="C154" i="25"/>
  <c r="C153" i="25"/>
  <c r="C152" i="25"/>
  <c r="C151" i="25"/>
  <c r="C150" i="25"/>
  <c r="C149" i="25"/>
  <c r="C148" i="25"/>
  <c r="C147" i="25"/>
  <c r="C146" i="25"/>
  <c r="C145" i="25"/>
  <c r="C144" i="25"/>
  <c r="C143" i="25"/>
  <c r="C142" i="25"/>
  <c r="C141" i="25"/>
  <c r="C140" i="25"/>
  <c r="C139" i="25"/>
  <c r="C138" i="25"/>
  <c r="C137" i="25"/>
  <c r="C136" i="25"/>
  <c r="C135" i="25"/>
  <c r="C134" i="25"/>
  <c r="C133" i="25"/>
  <c r="C132" i="25"/>
  <c r="C131" i="25"/>
  <c r="C130" i="25"/>
  <c r="C129" i="25"/>
  <c r="C128" i="25"/>
  <c r="C127" i="25"/>
  <c r="C126" i="25"/>
  <c r="C125" i="25"/>
  <c r="C124" i="25"/>
  <c r="C123" i="25"/>
  <c r="C122" i="25"/>
  <c r="C121" i="25"/>
  <c r="C120" i="25"/>
  <c r="C119" i="25"/>
  <c r="C118" i="25"/>
  <c r="C117" i="25"/>
  <c r="C116" i="25"/>
  <c r="C115" i="25"/>
  <c r="C114" i="25"/>
  <c r="C113" i="25"/>
  <c r="C112" i="25"/>
  <c r="C111" i="25"/>
  <c r="C110" i="25"/>
  <c r="C109" i="25"/>
  <c r="C108" i="25"/>
  <c r="C107" i="25"/>
  <c r="C106" i="25"/>
  <c r="C105" i="25"/>
  <c r="C104" i="25"/>
  <c r="C103" i="25"/>
  <c r="C102" i="25"/>
  <c r="C101" i="25"/>
  <c r="C100" i="25"/>
  <c r="C99" i="25"/>
  <c r="C98" i="25"/>
  <c r="C97" i="25"/>
  <c r="C96" i="25"/>
  <c r="C95" i="25"/>
  <c r="C94" i="25"/>
  <c r="C93" i="25"/>
  <c r="C92" i="25"/>
  <c r="C91" i="25"/>
  <c r="C90" i="25"/>
  <c r="C89" i="25"/>
  <c r="C88" i="25"/>
  <c r="C87" i="25"/>
  <c r="C86" i="25"/>
  <c r="C85" i="25"/>
  <c r="C84" i="25"/>
  <c r="C83" i="25"/>
  <c r="C82" i="25"/>
  <c r="C81" i="25"/>
  <c r="C80" i="25"/>
  <c r="C79" i="25"/>
  <c r="C78" i="25"/>
  <c r="C77" i="25"/>
  <c r="C76" i="25"/>
  <c r="C75" i="25"/>
  <c r="C74" i="25"/>
  <c r="C73" i="25"/>
  <c r="C72" i="25"/>
  <c r="C71" i="25"/>
  <c r="C70" i="25"/>
  <c r="C69" i="25"/>
  <c r="C68" i="25"/>
  <c r="C67" i="25"/>
  <c r="C66" i="25"/>
  <c r="C65" i="25"/>
  <c r="C64" i="25"/>
  <c r="C63" i="25"/>
  <c r="C62" i="25"/>
  <c r="C61" i="25"/>
  <c r="C60" i="25"/>
  <c r="C59" i="25"/>
  <c r="C58" i="25"/>
  <c r="C57" i="25"/>
  <c r="C56" i="25"/>
  <c r="C55" i="25"/>
  <c r="C54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B8" i="24"/>
  <c r="B160" i="24" s="1"/>
  <c r="A8" i="24"/>
  <c r="P7" i="24"/>
  <c r="O7" i="24"/>
  <c r="N7" i="24"/>
  <c r="M7" i="24"/>
  <c r="K7" i="24"/>
  <c r="J7" i="24"/>
  <c r="I7" i="24"/>
  <c r="H7" i="24"/>
  <c r="G7" i="24"/>
  <c r="F7" i="24"/>
  <c r="E7" i="24"/>
  <c r="Q6" i="24"/>
  <c r="P6" i="24"/>
  <c r="O6" i="24"/>
  <c r="N6" i="24"/>
  <c r="M6" i="24"/>
  <c r="K6" i="24"/>
  <c r="J6" i="24"/>
  <c r="I6" i="24"/>
  <c r="H6" i="24"/>
  <c r="G6" i="24"/>
  <c r="F6" i="24"/>
  <c r="E6" i="24"/>
  <c r="Q3" i="24"/>
  <c r="Q7" i="24" s="1"/>
  <c r="F8" i="24"/>
  <c r="N8" i="24"/>
  <c r="B6" i="3" a="1"/>
  <c r="N8" i="3"/>
  <c r="G5" i="13" l="1"/>
  <c r="O8" i="3"/>
  <c r="A170" i="24"/>
  <c r="B6" i="3"/>
  <c r="B39" i="24"/>
  <c r="B40" i="24"/>
  <c r="B73" i="24"/>
  <c r="A165" i="24"/>
  <c r="A47" i="24"/>
  <c r="B59" i="24"/>
  <c r="A66" i="24"/>
  <c r="A73" i="24"/>
  <c r="B11" i="24"/>
  <c r="B12" i="24"/>
  <c r="A86" i="24"/>
  <c r="A14" i="24"/>
  <c r="B102" i="24"/>
  <c r="B25" i="24"/>
  <c r="A105" i="24"/>
  <c r="B28" i="24"/>
  <c r="B129" i="24"/>
  <c r="A32" i="24"/>
  <c r="A151" i="24"/>
  <c r="B13" i="24"/>
  <c r="B41" i="24"/>
  <c r="B60" i="24"/>
  <c r="B131" i="24"/>
  <c r="B164" i="24"/>
  <c r="B30" i="24"/>
  <c r="B42" i="24"/>
  <c r="B61" i="24"/>
  <c r="B108" i="24"/>
  <c r="B151" i="24"/>
  <c r="B14" i="24"/>
  <c r="B45" i="24"/>
  <c r="B64" i="24"/>
  <c r="B88" i="24"/>
  <c r="B111" i="24"/>
  <c r="B133" i="24"/>
  <c r="B165" i="24"/>
  <c r="B17" i="24"/>
  <c r="B32" i="24"/>
  <c r="B89" i="24"/>
  <c r="B112" i="24"/>
  <c r="B134" i="24"/>
  <c r="B153" i="24"/>
  <c r="B166" i="24"/>
  <c r="B33" i="24"/>
  <c r="B48" i="24"/>
  <c r="B90" i="24"/>
  <c r="B139" i="24"/>
  <c r="B167" i="24"/>
  <c r="B19" i="24"/>
  <c r="B35" i="24"/>
  <c r="B49" i="24"/>
  <c r="A91" i="24"/>
  <c r="B114" i="24"/>
  <c r="B141" i="24"/>
  <c r="B168" i="24"/>
  <c r="B22" i="24"/>
  <c r="B50" i="24"/>
  <c r="B91" i="24"/>
  <c r="B156" i="24"/>
  <c r="A23" i="24"/>
  <c r="B37" i="24"/>
  <c r="B55" i="24"/>
  <c r="B70" i="24"/>
  <c r="B92" i="24"/>
  <c r="B116" i="24"/>
  <c r="A157" i="24"/>
  <c r="B170" i="24"/>
  <c r="B23" i="24"/>
  <c r="A38" i="24"/>
  <c r="B57" i="24"/>
  <c r="B71" i="24"/>
  <c r="B93" i="24"/>
  <c r="B120" i="24"/>
  <c r="B143" i="24"/>
  <c r="B157" i="24"/>
  <c r="A174" i="24"/>
  <c r="B150" i="24"/>
  <c r="B163" i="24"/>
  <c r="B29" i="24"/>
  <c r="B85" i="24"/>
  <c r="B132" i="24"/>
  <c r="B152" i="24"/>
  <c r="B18" i="24"/>
  <c r="B66" i="24"/>
  <c r="B113" i="24"/>
  <c r="B154" i="24"/>
  <c r="B68" i="24"/>
  <c r="B155" i="24"/>
  <c r="B36" i="24"/>
  <c r="B69" i="24"/>
  <c r="A116" i="24"/>
  <c r="A142" i="24"/>
  <c r="B169" i="24"/>
  <c r="B142" i="24"/>
  <c r="B10" i="24"/>
  <c r="B24" i="24"/>
  <c r="B38" i="24"/>
  <c r="A58" i="24"/>
  <c r="B72" i="24"/>
  <c r="B95" i="24"/>
  <c r="B125" i="24"/>
  <c r="B144" i="24"/>
  <c r="B161" i="24"/>
  <c r="B174" i="24"/>
  <c r="B58" i="24"/>
  <c r="B97" i="24"/>
  <c r="B128" i="24"/>
  <c r="B148" i="24"/>
  <c r="B162" i="24"/>
  <c r="A131" i="24"/>
  <c r="B21" i="24"/>
  <c r="B34" i="24"/>
  <c r="B47" i="24"/>
  <c r="B65" i="24"/>
  <c r="B86" i="24"/>
  <c r="B105" i="24"/>
  <c r="B130" i="24"/>
  <c r="B145" i="24"/>
  <c r="A17" i="24"/>
  <c r="A24" i="24"/>
  <c r="A33" i="24"/>
  <c r="A39" i="24"/>
  <c r="A48" i="24"/>
  <c r="A59" i="24"/>
  <c r="A68" i="24"/>
  <c r="A85" i="24"/>
  <c r="A92" i="24"/>
  <c r="A108" i="24"/>
  <c r="A120" i="24"/>
  <c r="A132" i="24"/>
  <c r="A143" i="24"/>
  <c r="A152" i="24"/>
  <c r="A160" i="24"/>
  <c r="A166" i="24"/>
  <c r="A10" i="24"/>
  <c r="A60" i="24"/>
  <c r="A130" i="24"/>
  <c r="A18" i="24"/>
  <c r="A25" i="24"/>
  <c r="A34" i="24"/>
  <c r="A40" i="24"/>
  <c r="A49" i="24"/>
  <c r="A69" i="24"/>
  <c r="A93" i="24"/>
  <c r="A111" i="24"/>
  <c r="A125" i="24"/>
  <c r="A133" i="24"/>
  <c r="A144" i="24"/>
  <c r="A153" i="24"/>
  <c r="A161" i="24"/>
  <c r="A167" i="24"/>
  <c r="A11" i="24"/>
  <c r="A19" i="24"/>
  <c r="A28" i="24"/>
  <c r="A35" i="24"/>
  <c r="A41" i="24"/>
  <c r="A50" i="24"/>
  <c r="A61" i="24"/>
  <c r="A70" i="24"/>
  <c r="A88" i="24"/>
  <c r="A95" i="24"/>
  <c r="A112" i="24"/>
  <c r="A128" i="24"/>
  <c r="A134" i="24"/>
  <c r="A145" i="24"/>
  <c r="A154" i="24"/>
  <c r="A162" i="24"/>
  <c r="A168" i="24"/>
  <c r="A12" i="24"/>
  <c r="A21" i="24"/>
  <c r="A29" i="24"/>
  <c r="A36" i="24"/>
  <c r="A42" i="24"/>
  <c r="A55" i="24"/>
  <c r="A64" i="24"/>
  <c r="A71" i="24"/>
  <c r="A89" i="24"/>
  <c r="A97" i="24"/>
  <c r="A113" i="24"/>
  <c r="A129" i="24"/>
  <c r="A139" i="24"/>
  <c r="A148" i="24"/>
  <c r="A155" i="24"/>
  <c r="A163" i="24"/>
  <c r="A169" i="24"/>
  <c r="A13" i="24"/>
  <c r="A22" i="24"/>
  <c r="A30" i="24"/>
  <c r="A37" i="24"/>
  <c r="A45" i="24"/>
  <c r="A57" i="24"/>
  <c r="A65" i="24"/>
  <c r="A72" i="24"/>
  <c r="A90" i="24"/>
  <c r="A102" i="24"/>
  <c r="A114" i="24"/>
  <c r="A141" i="24"/>
  <c r="A150" i="24"/>
  <c r="A156" i="24"/>
  <c r="A164" i="24"/>
  <c r="B5" i="24" a="1"/>
  <c r="B5" i="24" l="1"/>
  <c r="B106" i="3"/>
  <c r="A106" i="3"/>
  <c r="B105" i="3"/>
  <c r="A105" i="3"/>
  <c r="B104" i="3"/>
  <c r="A104" i="3"/>
  <c r="B103" i="3"/>
  <c r="A103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34" i="3"/>
  <c r="A34" i="3"/>
  <c r="B89" i="3"/>
  <c r="A89" i="3"/>
  <c r="B88" i="3"/>
  <c r="A88" i="3"/>
  <c r="B87" i="3"/>
  <c r="A87" i="3"/>
  <c r="B65" i="3" l="1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N92" i="3"/>
  <c r="M89" i="3"/>
  <c r="M91" i="3"/>
  <c r="N98" i="3"/>
  <c r="N52" i="3"/>
  <c r="M110" i="3"/>
  <c r="M95" i="3"/>
  <c r="N87" i="3"/>
  <c r="M46" i="3"/>
  <c r="N22" i="3"/>
  <c r="N94" i="3"/>
  <c r="N19" i="3"/>
  <c r="N112" i="3"/>
  <c r="M100" i="3"/>
  <c r="M18" i="3"/>
  <c r="M51" i="3"/>
  <c r="M112" i="3"/>
  <c r="N21" i="3"/>
  <c r="M43" i="3"/>
  <c r="M101" i="3"/>
  <c r="N108" i="3"/>
  <c r="M108" i="3"/>
  <c r="N50" i="3"/>
  <c r="M49" i="3"/>
  <c r="M106" i="3"/>
  <c r="M111" i="3"/>
  <c r="M109" i="3"/>
  <c r="M94" i="3"/>
  <c r="N106" i="3"/>
  <c r="N46" i="3"/>
  <c r="N88" i="3"/>
  <c r="N109" i="3"/>
  <c r="N100" i="3"/>
  <c r="M87" i="3"/>
  <c r="N20" i="3"/>
  <c r="M50" i="3"/>
  <c r="N43" i="3"/>
  <c r="N34" i="3"/>
  <c r="N17" i="3"/>
  <c r="N53" i="3"/>
  <c r="N27" i="3"/>
  <c r="N51" i="3"/>
  <c r="N93" i="3"/>
  <c r="M48" i="3"/>
  <c r="M24" i="3"/>
  <c r="M45" i="3"/>
  <c r="M97" i="3"/>
  <c r="N48" i="3"/>
  <c r="N23" i="3"/>
  <c r="N111" i="3"/>
  <c r="M19" i="3"/>
  <c r="M20" i="3"/>
  <c r="N110" i="3"/>
  <c r="N99" i="3"/>
  <c r="N103" i="3"/>
  <c r="N113" i="3"/>
  <c r="M23" i="3"/>
  <c r="M34" i="3"/>
  <c r="N96" i="3"/>
  <c r="N97" i="3"/>
  <c r="M88" i="3"/>
  <c r="N18" i="3"/>
  <c r="M27" i="3"/>
  <c r="M52" i="3"/>
  <c r="N105" i="3"/>
  <c r="M96" i="3"/>
  <c r="N26" i="3"/>
  <c r="M105" i="3"/>
  <c r="M99" i="3"/>
  <c r="M93" i="3"/>
  <c r="M98" i="3"/>
  <c r="N24" i="3"/>
  <c r="N89" i="3"/>
  <c r="M47" i="3"/>
  <c r="M103" i="3"/>
  <c r="M25" i="3"/>
  <c r="M113" i="3"/>
  <c r="N47" i="3"/>
  <c r="N101" i="3"/>
  <c r="N45" i="3"/>
  <c r="M21" i="3"/>
  <c r="N91" i="3"/>
  <c r="M17" i="3"/>
  <c r="N49" i="3"/>
  <c r="M22" i="3"/>
  <c r="N25" i="3"/>
  <c r="N104" i="3"/>
  <c r="M44" i="3"/>
  <c r="N44" i="3"/>
  <c r="M104" i="3"/>
  <c r="M26" i="3"/>
  <c r="N95" i="3"/>
  <c r="M92" i="3"/>
  <c r="M53" i="3"/>
  <c r="O101" i="3" l="1"/>
  <c r="O45" i="3"/>
  <c r="O51" i="3"/>
  <c r="O20" i="3"/>
  <c r="O26" i="3"/>
  <c r="O100" i="3"/>
  <c r="O92" i="3"/>
  <c r="O98" i="3"/>
  <c r="O52" i="3"/>
  <c r="O93" i="3"/>
  <c r="O99" i="3"/>
  <c r="O46" i="3"/>
  <c r="O21" i="3"/>
  <c r="O27" i="3"/>
  <c r="O94" i="3"/>
  <c r="O47" i="3"/>
  <c r="O53" i="3"/>
  <c r="O103" i="3"/>
  <c r="O17" i="3"/>
  <c r="O104" i="3"/>
  <c r="O23" i="3"/>
  <c r="O22" i="3"/>
  <c r="O95" i="3"/>
  <c r="O96" i="3"/>
  <c r="O43" i="3"/>
  <c r="O49" i="3"/>
  <c r="O24" i="3"/>
  <c r="O50" i="3"/>
  <c r="O19" i="3"/>
  <c r="O48" i="3"/>
  <c r="O18" i="3"/>
  <c r="O105" i="3"/>
  <c r="O91" i="3"/>
  <c r="O44" i="3"/>
  <c r="O97" i="3"/>
  <c r="O25" i="3"/>
  <c r="O106" i="3"/>
  <c r="O113" i="3"/>
  <c r="G64" i="13"/>
  <c r="O112" i="3"/>
  <c r="G63" i="13"/>
  <c r="O111" i="3"/>
  <c r="G62" i="13"/>
  <c r="O110" i="3"/>
  <c r="G61" i="13"/>
  <c r="O109" i="3"/>
  <c r="G59" i="13"/>
  <c r="O108" i="3"/>
  <c r="G58" i="13"/>
  <c r="O34" i="3"/>
  <c r="G18" i="13"/>
  <c r="O89" i="3"/>
  <c r="G47" i="13"/>
  <c r="O88" i="3"/>
  <c r="G46" i="13"/>
  <c r="O87" i="3"/>
  <c r="G45" i="13"/>
  <c r="AM3" i="3"/>
  <c r="AM7" i="3" s="1"/>
  <c r="AL4" i="3"/>
  <c r="AL3" i="3"/>
  <c r="AL7" i="3" s="1"/>
  <c r="AM2" i="3"/>
  <c r="AM6" i="3" s="1"/>
  <c r="AL2" i="3"/>
  <c r="AL6" i="3" s="1"/>
  <c r="AD3" i="3"/>
  <c r="W3" i="3"/>
  <c r="V3" i="3"/>
  <c r="F3" i="3"/>
  <c r="AE2" i="3"/>
  <c r="AD2" i="3"/>
  <c r="F4" i="3"/>
  <c r="F59" i="3"/>
  <c r="M61" i="3"/>
  <c r="N58" i="3"/>
  <c r="F63" i="3"/>
  <c r="M63" i="3"/>
  <c r="F55" i="3"/>
  <c r="N57" i="3"/>
  <c r="M64" i="3"/>
  <c r="M60" i="3"/>
  <c r="N63" i="3"/>
  <c r="F64" i="3"/>
  <c r="N62" i="3"/>
  <c r="F60" i="3"/>
  <c r="M55" i="3"/>
  <c r="M62" i="3"/>
  <c r="F57" i="3"/>
  <c r="M56" i="3"/>
  <c r="F62" i="3"/>
  <c r="N64" i="3"/>
  <c r="N65" i="3"/>
  <c r="M65" i="3"/>
  <c r="N61" i="3"/>
  <c r="M57" i="3"/>
  <c r="F65" i="3"/>
  <c r="N59" i="3"/>
  <c r="F58" i="3"/>
  <c r="N60" i="3"/>
  <c r="M58" i="3"/>
  <c r="M59" i="3"/>
  <c r="N55" i="3"/>
  <c r="N56" i="3"/>
  <c r="F56" i="3"/>
  <c r="F61" i="3"/>
  <c r="O59" i="3" l="1"/>
  <c r="O60" i="3"/>
  <c r="O61" i="3"/>
  <c r="O65" i="3"/>
  <c r="O56" i="3"/>
  <c r="O55" i="3"/>
  <c r="O63" i="3"/>
  <c r="O64" i="3"/>
  <c r="G60" i="13"/>
  <c r="O62" i="3"/>
  <c r="O58" i="3"/>
  <c r="O57" i="3"/>
  <c r="AM4" i="3"/>
  <c r="AE7" i="3"/>
  <c r="AD4" i="3"/>
  <c r="AT4" i="3" s="1"/>
  <c r="AD7" i="3"/>
  <c r="AE6" i="3"/>
  <c r="AD6" i="3"/>
  <c r="W4" i="3"/>
  <c r="W2" i="3"/>
  <c r="V2" i="3"/>
  <c r="F50" i="3"/>
  <c r="F22" i="3"/>
  <c r="F53" i="3"/>
  <c r="F95" i="3"/>
  <c r="F92" i="3"/>
  <c r="F27" i="3"/>
  <c r="F49" i="3"/>
  <c r="F106" i="3"/>
  <c r="F109" i="3"/>
  <c r="F108" i="3"/>
  <c r="F43" i="3"/>
  <c r="F26" i="3"/>
  <c r="F96" i="3"/>
  <c r="F112" i="3"/>
  <c r="F45" i="3"/>
  <c r="F93" i="3"/>
  <c r="F87" i="3"/>
  <c r="F100" i="3"/>
  <c r="F89" i="3"/>
  <c r="F18" i="3"/>
  <c r="F24" i="3"/>
  <c r="F88" i="3"/>
  <c r="F52" i="3"/>
  <c r="F48" i="3"/>
  <c r="F98" i="3"/>
  <c r="F110" i="3"/>
  <c r="F19" i="3"/>
  <c r="F46" i="3"/>
  <c r="F25" i="3"/>
  <c r="F47" i="3"/>
  <c r="F105" i="3"/>
  <c r="F113" i="3"/>
  <c r="F91" i="3"/>
  <c r="F44" i="3"/>
  <c r="F104" i="3"/>
  <c r="F111" i="3"/>
  <c r="F101" i="3"/>
  <c r="F34" i="3"/>
  <c r="F8" i="3"/>
  <c r="F94" i="3"/>
  <c r="F20" i="3"/>
  <c r="F97" i="3"/>
  <c r="F51" i="3"/>
  <c r="F21" i="3"/>
  <c r="F103" i="3"/>
  <c r="F99" i="3"/>
  <c r="F23" i="3"/>
  <c r="F17" i="3"/>
  <c r="G69" i="13" l="1"/>
  <c r="G65" i="13"/>
  <c r="G68" i="13" s="1"/>
  <c r="AU4" i="3"/>
  <c r="AE4" i="3"/>
  <c r="W7" i="3"/>
  <c r="V7" i="3"/>
  <c r="W6" i="3"/>
  <c r="V6" i="3"/>
  <c r="W64" i="3"/>
  <c r="W23" i="3"/>
  <c r="W91" i="3"/>
  <c r="W87" i="3"/>
  <c r="W59" i="3"/>
  <c r="W105" i="3"/>
  <c r="W96" i="3"/>
  <c r="W46" i="3"/>
  <c r="W101" i="3"/>
  <c r="W63" i="3"/>
  <c r="W88" i="3"/>
  <c r="W113" i="3"/>
  <c r="W65" i="3"/>
  <c r="W20" i="3"/>
  <c r="W109" i="3"/>
  <c r="W47" i="3"/>
  <c r="W53" i="3"/>
  <c r="W60" i="3"/>
  <c r="W18" i="3"/>
  <c r="W89" i="3"/>
  <c r="W95" i="3"/>
  <c r="W93" i="3"/>
  <c r="W94" i="3"/>
  <c r="W52" i="3"/>
  <c r="W51" i="3"/>
  <c r="W57" i="3"/>
  <c r="W104" i="3"/>
  <c r="W8" i="3"/>
  <c r="W25" i="3"/>
  <c r="W26" i="3"/>
  <c r="W108" i="3"/>
  <c r="W111" i="3"/>
  <c r="W98" i="3"/>
  <c r="W58" i="3"/>
  <c r="W61" i="3"/>
  <c r="W24" i="3"/>
  <c r="W21" i="3"/>
  <c r="W50" i="3"/>
  <c r="W62" i="3"/>
  <c r="W103" i="3"/>
  <c r="W49" i="3"/>
  <c r="W112" i="3"/>
  <c r="W92" i="3"/>
  <c r="W55" i="3"/>
  <c r="W48" i="3"/>
  <c r="W99" i="3"/>
  <c r="W19" i="3"/>
  <c r="W34" i="3"/>
  <c r="W56" i="3"/>
  <c r="W17" i="3"/>
  <c r="W45" i="3"/>
  <c r="W27" i="3"/>
  <c r="W44" i="3"/>
  <c r="W22" i="3"/>
  <c r="W97" i="3"/>
  <c r="W106" i="3"/>
  <c r="W110" i="3"/>
  <c r="W43" i="3"/>
  <c r="W100" i="3"/>
  <c r="B125" i="3" l="1"/>
  <c r="A125" i="3"/>
  <c r="B1" i="26" l="1"/>
  <c r="B215" i="3"/>
  <c r="A215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89" i="3"/>
  <c r="A189" i="3"/>
  <c r="B186" i="3"/>
  <c r="A186" i="3"/>
  <c r="B185" i="3"/>
  <c r="A185" i="3"/>
  <c r="B184" i="3"/>
  <c r="A184" i="3"/>
  <c r="B183" i="3"/>
  <c r="A183" i="3"/>
  <c r="B182" i="3"/>
  <c r="A182" i="3"/>
  <c r="B180" i="3"/>
  <c r="A180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6" i="3"/>
  <c r="A166" i="3"/>
  <c r="B161" i="3"/>
  <c r="A161" i="3"/>
  <c r="B157" i="3"/>
  <c r="A157" i="3"/>
  <c r="B155" i="3"/>
  <c r="A155" i="3"/>
  <c r="B154" i="3"/>
  <c r="A154" i="3"/>
  <c r="B153" i="3"/>
  <c r="A153" i="3"/>
  <c r="B152" i="3"/>
  <c r="A152" i="3"/>
  <c r="B149" i="3"/>
  <c r="A149" i="3"/>
  <c r="B146" i="3"/>
  <c r="A146" i="3"/>
  <c r="B143" i="3"/>
  <c r="A143" i="3"/>
  <c r="B138" i="3"/>
  <c r="A138" i="3"/>
  <c r="B136" i="3"/>
  <c r="A136" i="3"/>
  <c r="B135" i="3"/>
  <c r="A135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6" i="3"/>
  <c r="A126" i="3"/>
  <c r="B84" i="3"/>
  <c r="A84" i="3"/>
  <c r="B83" i="3"/>
  <c r="A83" i="3"/>
  <c r="B82" i="3"/>
  <c r="A82" i="3"/>
  <c r="B81" i="3"/>
  <c r="A81" i="3"/>
  <c r="B80" i="3"/>
  <c r="A80" i="3"/>
  <c r="B78" i="3"/>
  <c r="A78" i="3"/>
  <c r="B73" i="3"/>
  <c r="A73" i="3"/>
  <c r="B72" i="3"/>
  <c r="A72" i="3"/>
  <c r="B71" i="3"/>
  <c r="A71" i="3"/>
  <c r="B70" i="3"/>
  <c r="A70" i="3"/>
  <c r="B68" i="3"/>
  <c r="A68" i="3"/>
  <c r="B33" i="3"/>
  <c r="A33" i="3"/>
  <c r="B32" i="3"/>
  <c r="A32" i="3"/>
  <c r="B40" i="3"/>
  <c r="A40" i="3"/>
  <c r="B39" i="3"/>
  <c r="A39" i="3"/>
  <c r="B38" i="3"/>
  <c r="A38" i="3"/>
  <c r="B37" i="3"/>
  <c r="A37" i="3"/>
  <c r="B36" i="3"/>
  <c r="A36" i="3"/>
  <c r="B31" i="3"/>
  <c r="A31" i="3"/>
  <c r="B30" i="3"/>
  <c r="A30" i="3"/>
  <c r="B29" i="3"/>
  <c r="A29" i="3"/>
  <c r="B14" i="3"/>
  <c r="A14" i="3"/>
  <c r="B13" i="3"/>
  <c r="A13" i="3"/>
  <c r="B12" i="3"/>
  <c r="A12" i="3"/>
  <c r="B11" i="3"/>
  <c r="A11" i="3"/>
  <c r="B10" i="3"/>
  <c r="A10" i="3"/>
  <c r="F7" i="3"/>
  <c r="E7" i="3"/>
  <c r="F6" i="3"/>
  <c r="E6" i="3"/>
  <c r="E40" i="3"/>
  <c r="W125" i="3"/>
  <c r="N125" i="3"/>
  <c r="E180" i="3"/>
  <c r="M125" i="3"/>
  <c r="F125" i="3"/>
  <c r="E14" i="3"/>
  <c r="O125" i="3" l="1"/>
  <c r="G74" i="13"/>
  <c r="B1" i="21"/>
  <c r="B1" i="13"/>
  <c r="G30" i="3" l="1"/>
  <c r="X30" i="3"/>
  <c r="N201" i="3"/>
  <c r="M174" i="3"/>
  <c r="N133" i="3"/>
  <c r="N14" i="3"/>
  <c r="M170" i="3"/>
  <c r="F183" i="3"/>
  <c r="W68" i="3"/>
  <c r="F189" i="3"/>
  <c r="F206" i="3"/>
  <c r="W207" i="3"/>
  <c r="F149" i="3"/>
  <c r="M10" i="3"/>
  <c r="M72" i="3"/>
  <c r="N169" i="3"/>
  <c r="N32" i="3"/>
  <c r="W126" i="3"/>
  <c r="W186" i="3"/>
  <c r="M194" i="3"/>
  <c r="N210" i="3"/>
  <c r="M182" i="3"/>
  <c r="M133" i="3"/>
  <c r="W84" i="3"/>
  <c r="N171" i="3"/>
  <c r="M78" i="3"/>
  <c r="F73" i="3"/>
  <c r="N128" i="3"/>
  <c r="F36" i="3"/>
  <c r="M33" i="3"/>
  <c r="N149" i="3"/>
  <c r="N193" i="3"/>
  <c r="N81" i="3"/>
  <c r="F210" i="3"/>
  <c r="N175" i="3"/>
  <c r="M138" i="3"/>
  <c r="N173" i="3"/>
  <c r="W196" i="3"/>
  <c r="F193" i="3"/>
  <c r="W205" i="3"/>
  <c r="M32" i="3"/>
  <c r="F201" i="3"/>
  <c r="W192" i="3"/>
  <c r="F215" i="3"/>
  <c r="M185" i="3"/>
  <c r="W155" i="3"/>
  <c r="N207" i="3"/>
  <c r="N182" i="3"/>
  <c r="F82" i="3"/>
  <c r="F130" i="3"/>
  <c r="W202" i="3"/>
  <c r="M153" i="3"/>
  <c r="N10" i="3"/>
  <c r="W209" i="3"/>
  <c r="M161" i="3"/>
  <c r="F171" i="3"/>
  <c r="F146" i="3"/>
  <c r="F84" i="3"/>
  <c r="F152" i="3"/>
  <c r="W215" i="3"/>
  <c r="W133" i="3"/>
  <c r="F182" i="3"/>
  <c r="N192" i="3"/>
  <c r="M135" i="3"/>
  <c r="M215" i="3"/>
  <c r="M157" i="3"/>
  <c r="F80" i="3"/>
  <c r="M189" i="3"/>
  <c r="M130" i="3"/>
  <c r="F10" i="3"/>
  <c r="M203" i="3"/>
  <c r="W182" i="3"/>
  <c r="M205" i="3"/>
  <c r="M82" i="3"/>
  <c r="W166" i="3"/>
  <c r="F40" i="3"/>
  <c r="M29" i="3"/>
  <c r="M84" i="3"/>
  <c r="W171" i="3"/>
  <c r="F203" i="3"/>
  <c r="F175" i="3"/>
  <c r="N80" i="3"/>
  <c r="W80" i="3"/>
  <c r="F170" i="3"/>
  <c r="F202" i="3"/>
  <c r="M81" i="3"/>
  <c r="F32" i="3"/>
  <c r="W39" i="3"/>
  <c r="F172" i="3"/>
  <c r="N12" i="3"/>
  <c r="M80" i="3"/>
  <c r="F29" i="3"/>
  <c r="W146" i="3"/>
  <c r="N196" i="3"/>
  <c r="F155" i="3"/>
  <c r="W189" i="3"/>
  <c r="W210" i="3"/>
  <c r="W161" i="3"/>
  <c r="W78" i="3"/>
  <c r="N11" i="3"/>
  <c r="M70" i="3"/>
  <c r="N195" i="3"/>
  <c r="N40" i="3"/>
  <c r="F209" i="3"/>
  <c r="N209" i="3"/>
  <c r="M40" i="3"/>
  <c r="W72" i="3"/>
  <c r="W208" i="3"/>
  <c r="W32" i="3"/>
  <c r="F205" i="3"/>
  <c r="N130" i="3"/>
  <c r="W38" i="3"/>
  <c r="W29" i="3"/>
  <c r="F83" i="3"/>
  <c r="N198" i="3"/>
  <c r="F197" i="3"/>
  <c r="N135" i="3"/>
  <c r="W197" i="3"/>
  <c r="W82" i="3"/>
  <c r="M171" i="3"/>
  <c r="F128" i="3"/>
  <c r="N143" i="3"/>
  <c r="M209" i="3"/>
  <c r="F13" i="3"/>
  <c r="M186" i="3"/>
  <c r="F208" i="3"/>
  <c r="M208" i="3"/>
  <c r="N153" i="3"/>
  <c r="F78" i="3"/>
  <c r="W130" i="3"/>
  <c r="M193" i="3"/>
  <c r="N138" i="3"/>
  <c r="W129" i="3"/>
  <c r="N194" i="3"/>
  <c r="W191" i="3"/>
  <c r="W73" i="3"/>
  <c r="N215" i="3"/>
  <c r="W174" i="3"/>
  <c r="N84" i="3"/>
  <c r="W11" i="3"/>
  <c r="M12" i="3"/>
  <c r="M36" i="3"/>
  <c r="W152" i="3"/>
  <c r="N39" i="3"/>
  <c r="M37" i="3"/>
  <c r="F169" i="3"/>
  <c r="W201" i="3"/>
  <c r="N184" i="3"/>
  <c r="N71" i="3"/>
  <c r="N36" i="3"/>
  <c r="W13" i="3"/>
  <c r="N82" i="3"/>
  <c r="M175" i="3"/>
  <c r="W81" i="3"/>
  <c r="M131" i="3"/>
  <c r="N152" i="3"/>
  <c r="F68" i="3"/>
  <c r="F186" i="3"/>
  <c r="M180" i="3"/>
  <c r="N132" i="3"/>
  <c r="N129" i="3"/>
  <c r="N191" i="3"/>
  <c r="M183" i="3"/>
  <c r="W206" i="3"/>
  <c r="N186" i="3"/>
  <c r="W36" i="3"/>
  <c r="W71" i="3"/>
  <c r="M197" i="3"/>
  <c r="M211" i="3"/>
  <c r="F38" i="3"/>
  <c r="F153" i="3"/>
  <c r="N136" i="3"/>
  <c r="M191" i="3"/>
  <c r="F136" i="3"/>
  <c r="M198" i="3"/>
  <c r="F211" i="3"/>
  <c r="F133" i="3"/>
  <c r="M195" i="3"/>
  <c r="N172" i="3"/>
  <c r="W12" i="3"/>
  <c r="M207" i="3"/>
  <c r="W149" i="3"/>
  <c r="F33" i="3"/>
  <c r="N13" i="3"/>
  <c r="W83" i="3"/>
  <c r="N33" i="3"/>
  <c r="N205" i="3"/>
  <c r="M202" i="3"/>
  <c r="N180" i="3"/>
  <c r="M14" i="3"/>
  <c r="M128" i="3"/>
  <c r="F131" i="3"/>
  <c r="M169" i="3"/>
  <c r="N189" i="3"/>
  <c r="W14" i="3"/>
  <c r="N73" i="3"/>
  <c r="N161" i="3"/>
  <c r="F180" i="3"/>
  <c r="F204" i="3"/>
  <c r="F166" i="3"/>
  <c r="W10" i="3"/>
  <c r="N206" i="3"/>
  <c r="W37" i="3"/>
  <c r="F154" i="3"/>
  <c r="W33" i="3"/>
  <c r="M126" i="3"/>
  <c r="N155" i="3"/>
  <c r="N170" i="3"/>
  <c r="M73" i="3"/>
  <c r="W143" i="3"/>
  <c r="F192" i="3"/>
  <c r="N146" i="3"/>
  <c r="F198" i="3"/>
  <c r="W198" i="3"/>
  <c r="M71" i="3"/>
  <c r="W184" i="3"/>
  <c r="M146" i="3"/>
  <c r="F191" i="3"/>
  <c r="M155" i="3"/>
  <c r="F71" i="3"/>
  <c r="W183" i="3"/>
  <c r="M143" i="3"/>
  <c r="M172" i="3"/>
  <c r="F173" i="3"/>
  <c r="W185" i="3"/>
  <c r="W175" i="3"/>
  <c r="N83" i="3"/>
  <c r="N126" i="3"/>
  <c r="W131" i="3"/>
  <c r="W136" i="3"/>
  <c r="N68" i="3"/>
  <c r="M39" i="3"/>
  <c r="M204" i="3"/>
  <c r="W157" i="3"/>
  <c r="M173" i="3"/>
  <c r="W170" i="3"/>
  <c r="M132" i="3"/>
  <c r="F14" i="3"/>
  <c r="N78" i="3"/>
  <c r="W154" i="3"/>
  <c r="N72" i="3"/>
  <c r="F196" i="3"/>
  <c r="F132" i="3"/>
  <c r="W203" i="3"/>
  <c r="W70" i="3"/>
  <c r="M206" i="3"/>
  <c r="F37" i="3"/>
  <c r="F135" i="3"/>
  <c r="W173" i="3"/>
  <c r="M30" i="3"/>
  <c r="M154" i="3"/>
  <c r="M11" i="3"/>
  <c r="M210" i="3"/>
  <c r="F12" i="3"/>
  <c r="N38" i="3"/>
  <c r="W180" i="3"/>
  <c r="N70" i="3"/>
  <c r="W172" i="3"/>
  <c r="F174" i="3"/>
  <c r="M152" i="3"/>
  <c r="M196" i="3"/>
  <c r="F185" i="3"/>
  <c r="F39" i="3"/>
  <c r="F81" i="3"/>
  <c r="F11" i="3"/>
  <c r="N203" i="3"/>
  <c r="F138" i="3"/>
  <c r="W40" i="3"/>
  <c r="M201" i="3"/>
  <c r="W132" i="3"/>
  <c r="W128" i="3"/>
  <c r="N37" i="3"/>
  <c r="F126" i="3"/>
  <c r="N154" i="3"/>
  <c r="N197" i="3"/>
  <c r="F184" i="3"/>
  <c r="M83" i="3"/>
  <c r="M192" i="3"/>
  <c r="F157" i="3"/>
  <c r="N202" i="3"/>
  <c r="N166" i="3"/>
  <c r="F207" i="3"/>
  <c r="M136" i="3"/>
  <c r="M31" i="3"/>
  <c r="N31" i="3"/>
  <c r="N174" i="3"/>
  <c r="M68" i="3"/>
  <c r="W195" i="3"/>
  <c r="F195" i="3"/>
  <c r="W169" i="3"/>
  <c r="N30" i="3"/>
  <c r="W194" i="3"/>
  <c r="M149" i="3"/>
  <c r="N131" i="3"/>
  <c r="W193" i="3"/>
  <c r="W138" i="3"/>
  <c r="N211" i="3"/>
  <c r="M166" i="3"/>
  <c r="M13" i="3"/>
  <c r="W135" i="3"/>
  <c r="M38" i="3"/>
  <c r="W153" i="3"/>
  <c r="F70" i="3"/>
  <c r="F72" i="3"/>
  <c r="W211" i="3"/>
  <c r="N185" i="3"/>
  <c r="F161" i="3"/>
  <c r="F143" i="3"/>
  <c r="M184" i="3"/>
  <c r="N157" i="3"/>
  <c r="N29" i="3"/>
  <c r="W204" i="3"/>
  <c r="N208" i="3"/>
  <c r="N183" i="3"/>
  <c r="N204" i="3"/>
  <c r="F194" i="3"/>
  <c r="M129" i="3"/>
  <c r="F129" i="3"/>
  <c r="O30" i="3" l="1"/>
  <c r="O11" i="3"/>
  <c r="O84" i="3"/>
  <c r="O80" i="3"/>
  <c r="M187" i="3"/>
  <c r="O70" i="3"/>
  <c r="M141" i="3"/>
  <c r="M139" i="3"/>
  <c r="M220" i="3"/>
  <c r="M140" i="3"/>
  <c r="O71" i="3"/>
  <c r="O36" i="3"/>
  <c r="M117" i="3"/>
  <c r="O13" i="3"/>
  <c r="O38" i="3"/>
  <c r="M119" i="3"/>
  <c r="O33" i="3"/>
  <c r="M66" i="3"/>
  <c r="O132" i="3"/>
  <c r="O184" i="3"/>
  <c r="O210" i="3"/>
  <c r="O135" i="3"/>
  <c r="O136" i="3"/>
  <c r="G76" i="13"/>
  <c r="O157" i="3"/>
  <c r="N158" i="3"/>
  <c r="N159" i="3"/>
  <c r="M159" i="3"/>
  <c r="M158" i="3"/>
  <c r="N41" i="3"/>
  <c r="G14" i="13"/>
  <c r="G49" i="13"/>
  <c r="O198" i="3"/>
  <c r="O152" i="3"/>
  <c r="G9" i="13"/>
  <c r="G11" i="13"/>
  <c r="O146" i="3"/>
  <c r="N147" i="3"/>
  <c r="F158" i="3"/>
  <c r="M147" i="3"/>
  <c r="M120" i="3"/>
  <c r="O39" i="3"/>
  <c r="M15" i="3"/>
  <c r="O10" i="3"/>
  <c r="O126" i="3"/>
  <c r="G75" i="13"/>
  <c r="N120" i="3"/>
  <c r="O186" i="3"/>
  <c r="O153" i="3"/>
  <c r="N66" i="3"/>
  <c r="G16" i="13"/>
  <c r="G23" i="13"/>
  <c r="G24" i="13"/>
  <c r="G28" i="13"/>
  <c r="O192" i="3"/>
  <c r="M199" i="3"/>
  <c r="O40" i="3"/>
  <c r="M121" i="3"/>
  <c r="O169" i="3"/>
  <c r="O154" i="3"/>
  <c r="O201" i="3"/>
  <c r="G94" i="13"/>
  <c r="G12" i="13"/>
  <c r="O205" i="3"/>
  <c r="G15" i="13"/>
  <c r="O202" i="3"/>
  <c r="N144" i="3"/>
  <c r="O143" i="3"/>
  <c r="O196" i="3"/>
  <c r="N85" i="3"/>
  <c r="G44" i="13"/>
  <c r="N115" i="3"/>
  <c r="G52" i="13" s="1"/>
  <c r="N219" i="3"/>
  <c r="N121" i="3"/>
  <c r="O207" i="3"/>
  <c r="O161" i="3"/>
  <c r="O83" i="3"/>
  <c r="M162" i="3"/>
  <c r="G10" i="13"/>
  <c r="G37" i="13"/>
  <c r="O211" i="3"/>
  <c r="O194" i="3"/>
  <c r="O204" i="3"/>
  <c r="O129" i="3"/>
  <c r="O172" i="3"/>
  <c r="G36" i="13"/>
  <c r="N74" i="3"/>
  <c r="G50" i="13"/>
  <c r="N217" i="3"/>
  <c r="G96" i="13"/>
  <c r="N216" i="3"/>
  <c r="O131" i="3"/>
  <c r="O185" i="3"/>
  <c r="O14" i="3"/>
  <c r="M144" i="3"/>
  <c r="O174" i="3"/>
  <c r="O175" i="3"/>
  <c r="O182" i="3"/>
  <c r="O171" i="3"/>
  <c r="M150" i="3"/>
  <c r="O191" i="3"/>
  <c r="O155" i="3"/>
  <c r="N117" i="3"/>
  <c r="O130" i="3"/>
  <c r="N187" i="3"/>
  <c r="O180" i="3"/>
  <c r="G92" i="13"/>
  <c r="O12" i="3"/>
  <c r="O82" i="3"/>
  <c r="O193" i="3"/>
  <c r="N118" i="3"/>
  <c r="O195" i="3"/>
  <c r="G8" i="13"/>
  <c r="N15" i="3"/>
  <c r="O208" i="3"/>
  <c r="N150" i="3"/>
  <c r="O149" i="3"/>
  <c r="O29" i="3"/>
  <c r="M41" i="3"/>
  <c r="O183" i="3"/>
  <c r="O170" i="3"/>
  <c r="O128" i="3"/>
  <c r="N199" i="3"/>
  <c r="G93" i="13"/>
  <c r="O189" i="3"/>
  <c r="N162" i="3"/>
  <c r="O133" i="3"/>
  <c r="O68" i="3"/>
  <c r="M74" i="3"/>
  <c r="O32" i="3"/>
  <c r="M115" i="3"/>
  <c r="M219" i="3"/>
  <c r="O78" i="3"/>
  <c r="M85" i="3"/>
  <c r="O215" i="3"/>
  <c r="M216" i="3"/>
  <c r="M217" i="3"/>
  <c r="G39" i="13"/>
  <c r="O197" i="3"/>
  <c r="G38" i="13"/>
  <c r="O209" i="3"/>
  <c r="N139" i="3"/>
  <c r="G79" i="13" s="1"/>
  <c r="N220" i="3"/>
  <c r="G78" i="13"/>
  <c r="N141" i="3"/>
  <c r="N140" i="3"/>
  <c r="O138" i="3"/>
  <c r="G85" i="13"/>
  <c r="N176" i="3"/>
  <c r="O166" i="3"/>
  <c r="N167" i="3"/>
  <c r="O72" i="3"/>
  <c r="M167" i="3"/>
  <c r="M176" i="3"/>
  <c r="O81" i="3"/>
  <c r="O73" i="3"/>
  <c r="O37" i="3"/>
  <c r="M118" i="3"/>
  <c r="O173" i="3"/>
  <c r="O203" i="3"/>
  <c r="G17" i="13"/>
  <c r="O206" i="3"/>
  <c r="N119" i="3"/>
  <c r="L26" i="13"/>
  <c r="M221" i="3" l="1"/>
  <c r="M222" i="3" s="1"/>
  <c r="R169" i="3"/>
  <c r="H88" i="13" s="1"/>
  <c r="O115" i="3"/>
  <c r="R78" i="3" s="1"/>
  <c r="H55" i="13" s="1"/>
  <c r="G86" i="13"/>
  <c r="O119" i="3"/>
  <c r="R82" i="3" s="1"/>
  <c r="R129" i="3"/>
  <c r="N221" i="3"/>
  <c r="N222" i="3" s="1"/>
  <c r="O121" i="3"/>
  <c r="R84" i="3" s="1"/>
  <c r="O140" i="3"/>
  <c r="R130" i="3" s="1"/>
  <c r="Q81" i="3"/>
  <c r="R77" i="3"/>
  <c r="R125" i="3"/>
  <c r="H81" i="13" s="1"/>
  <c r="O139" i="3"/>
  <c r="O167" i="3"/>
  <c r="R170" i="3" s="1"/>
  <c r="H89" i="13" s="1"/>
  <c r="O117" i="3"/>
  <c r="R80" i="3" s="1"/>
  <c r="O144" i="3"/>
  <c r="G97" i="13"/>
  <c r="Q83" i="3"/>
  <c r="O120" i="3"/>
  <c r="R83" i="3" s="1"/>
  <c r="Q80" i="3"/>
  <c r="Q82" i="3"/>
  <c r="O118" i="3"/>
  <c r="R81" i="3" s="1"/>
  <c r="Q84" i="3"/>
  <c r="C61" i="13"/>
  <c r="C23" i="21"/>
  <c r="C38" i="21"/>
  <c r="W216" i="3"/>
  <c r="C96" i="21"/>
  <c r="W217" i="3"/>
  <c r="W118" i="3"/>
  <c r="C64" i="13"/>
  <c r="C8" i="13"/>
  <c r="F117" i="3"/>
  <c r="W162" i="3"/>
  <c r="F147" i="3"/>
  <c r="F118" i="3"/>
  <c r="C59" i="21"/>
  <c r="F121" i="3"/>
  <c r="G40" i="3"/>
  <c r="W119" i="3"/>
  <c r="C58" i="21"/>
  <c r="F144" i="3"/>
  <c r="W15" i="3"/>
  <c r="C5" i="21"/>
  <c r="C62" i="21"/>
  <c r="C39" i="21"/>
  <c r="C45" i="13"/>
  <c r="C49" i="13"/>
  <c r="C37" i="13"/>
  <c r="C47" i="13"/>
  <c r="C11" i="13"/>
  <c r="F15" i="3"/>
  <c r="C5" i="13"/>
  <c r="W41" i="3"/>
  <c r="C14" i="21"/>
  <c r="C25" i="13"/>
  <c r="C30" i="21"/>
  <c r="W199" i="3"/>
  <c r="C93" i="21"/>
  <c r="C31" i="21"/>
  <c r="F199" i="3"/>
  <c r="C93" i="13"/>
  <c r="C24" i="21"/>
  <c r="C14" i="13"/>
  <c r="F41" i="3"/>
  <c r="F119" i="3"/>
  <c r="C58" i="13"/>
  <c r="C49" i="21"/>
  <c r="C22" i="13"/>
  <c r="C8" i="21"/>
  <c r="C21" i="13"/>
  <c r="C61" i="21"/>
  <c r="F216" i="3"/>
  <c r="C3" i="14"/>
  <c r="F217" i="3"/>
  <c r="C96" i="13"/>
  <c r="W141" i="3"/>
  <c r="W139" i="3"/>
  <c r="C79" i="21" s="1"/>
  <c r="W220" i="3"/>
  <c r="C78" i="21"/>
  <c r="W140" i="3"/>
  <c r="W74" i="3"/>
  <c r="C33" i="21"/>
  <c r="C50" i="21"/>
  <c r="F162" i="3"/>
  <c r="W187" i="3"/>
  <c r="C92" i="21"/>
  <c r="C38" i="13"/>
  <c r="C33" i="13"/>
  <c r="F74" i="3"/>
  <c r="C50" i="13"/>
  <c r="C21" i="21"/>
  <c r="W66" i="3"/>
  <c r="C16" i="21"/>
  <c r="W31" i="3"/>
  <c r="C17" i="21" s="1"/>
  <c r="C94" i="13"/>
  <c r="C36" i="13"/>
  <c r="W150" i="3"/>
  <c r="C26" i="21"/>
  <c r="C31" i="13"/>
  <c r="W144" i="3"/>
  <c r="C10" i="13"/>
  <c r="F159" i="3"/>
  <c r="F139" i="3"/>
  <c r="C79" i="13" s="1"/>
  <c r="F220" i="3"/>
  <c r="C78" i="13"/>
  <c r="F141" i="3"/>
  <c r="F140" i="3"/>
  <c r="C62" i="13"/>
  <c r="C74" i="21"/>
  <c r="C74" i="13"/>
  <c r="C29" i="21"/>
  <c r="W147" i="3"/>
  <c r="W120" i="3"/>
  <c r="C9" i="21"/>
  <c r="C16" i="13"/>
  <c r="F31" i="3"/>
  <c r="C17" i="13" s="1"/>
  <c r="F66" i="3"/>
  <c r="C39" i="13"/>
  <c r="C28" i="21"/>
  <c r="W159" i="3"/>
  <c r="W158" i="3"/>
  <c r="C75" i="21"/>
  <c r="C76" i="21"/>
  <c r="C94" i="21"/>
  <c r="C26" i="13"/>
  <c r="D26" i="13" s="1"/>
  <c r="C44" i="21"/>
  <c r="W219" i="3"/>
  <c r="W85" i="3"/>
  <c r="W115" i="3"/>
  <c r="C52" i="21" s="1"/>
  <c r="C44" i="13"/>
  <c r="F115" i="3"/>
  <c r="C52" i="13" s="1"/>
  <c r="F85" i="3"/>
  <c r="F219" i="3"/>
  <c r="C3" i="22"/>
  <c r="C27" i="21"/>
  <c r="C22" i="21"/>
  <c r="C27" i="13"/>
  <c r="C30" i="13"/>
  <c r="C64" i="21"/>
  <c r="W121" i="3"/>
  <c r="C18" i="13"/>
  <c r="C9" i="13"/>
  <c r="C75" i="13"/>
  <c r="C12" i="21"/>
  <c r="F120" i="3"/>
  <c r="C63" i="13"/>
  <c r="C46" i="13"/>
  <c r="W167" i="3"/>
  <c r="W176" i="3"/>
  <c r="C85" i="21"/>
  <c r="C29" i="13"/>
  <c r="W117" i="3"/>
  <c r="G180" i="3"/>
  <c r="C10" i="14" s="1"/>
  <c r="F187" i="3"/>
  <c r="C92" i="13"/>
  <c r="F150" i="3"/>
  <c r="F176" i="3"/>
  <c r="F167" i="3"/>
  <c r="C85" i="13"/>
  <c r="C63" i="21"/>
  <c r="C15" i="21"/>
  <c r="C28" i="13"/>
  <c r="C37" i="21"/>
  <c r="C23" i="13"/>
  <c r="B92" i="13"/>
  <c r="H92" i="13" s="1"/>
  <c r="I92" i="13" s="1"/>
  <c r="C76" i="13"/>
  <c r="C10" i="21"/>
  <c r="C59" i="13"/>
  <c r="C15" i="13"/>
  <c r="C11" i="21"/>
  <c r="C12" i="13"/>
  <c r="G14" i="3"/>
  <c r="C24" i="13"/>
  <c r="C36" i="21"/>
  <c r="C25" i="21"/>
  <c r="R126" i="3" l="1"/>
  <c r="H82" i="13" s="1"/>
  <c r="H83" i="13" s="1"/>
  <c r="R131" i="3"/>
  <c r="R171" i="3"/>
  <c r="H90" i="13"/>
  <c r="R79" i="3"/>
  <c r="H54" i="13"/>
  <c r="H56" i="13" s="1"/>
  <c r="C60" i="21"/>
  <c r="C69" i="21" s="1"/>
  <c r="W221" i="3"/>
  <c r="W222" i="3" s="1"/>
  <c r="J84" i="3"/>
  <c r="C8" i="22" s="1"/>
  <c r="C97" i="21"/>
  <c r="C86" i="13"/>
  <c r="C12" i="14"/>
  <c r="D92" i="13"/>
  <c r="E92" i="13" s="1"/>
  <c r="C97" i="13"/>
  <c r="C6" i="14"/>
  <c r="C60" i="13"/>
  <c r="C65" i="13" s="1"/>
  <c r="C68" i="13" s="1"/>
  <c r="F221" i="3"/>
  <c r="F222" i="3" s="1"/>
  <c r="C86" i="21"/>
  <c r="R127" i="3" l="1"/>
  <c r="C66" i="21"/>
  <c r="C65" i="21"/>
  <c r="C68" i="21" s="1"/>
  <c r="C13" i="22"/>
  <c r="C9" i="22"/>
  <c r="C11" i="22"/>
  <c r="C12" i="22"/>
  <c r="C5" i="14"/>
  <c r="C10" i="22"/>
  <c r="C4" i="14"/>
  <c r="C7" i="14"/>
  <c r="C69" i="13"/>
  <c r="C8" i="14"/>
  <c r="C9" i="14"/>
  <c r="F12" i="24"/>
  <c r="F120" i="24"/>
  <c r="N28" i="24"/>
  <c r="F132" i="24"/>
  <c r="F111" i="24"/>
  <c r="F91" i="24"/>
  <c r="F156" i="24"/>
  <c r="F23" i="24"/>
  <c r="F164" i="24"/>
  <c r="N18" i="24"/>
  <c r="F142" i="24"/>
  <c r="N86" i="24"/>
  <c r="N120" i="24"/>
  <c r="N57" i="24"/>
  <c r="F114" i="24"/>
  <c r="N168" i="24"/>
  <c r="F128" i="24"/>
  <c r="N39" i="24"/>
  <c r="F133" i="24"/>
  <c r="F129" i="24"/>
  <c r="N61" i="24"/>
  <c r="N112" i="24"/>
  <c r="N92" i="24"/>
  <c r="N161" i="24"/>
  <c r="F59" i="24"/>
  <c r="N133" i="24"/>
  <c r="F18" i="24"/>
  <c r="F125" i="24"/>
  <c r="F66" i="24"/>
  <c r="N155" i="24"/>
  <c r="N102" i="24"/>
  <c r="F65" i="24"/>
  <c r="F162" i="24"/>
  <c r="F35" i="24"/>
  <c r="N143" i="24"/>
  <c r="F170" i="24"/>
  <c r="N59" i="24"/>
  <c r="N11" i="24"/>
  <c r="F112" i="24"/>
  <c r="N24" i="24"/>
  <c r="F71" i="24"/>
  <c r="N10" i="24"/>
  <c r="F102" i="24"/>
  <c r="N30" i="24"/>
  <c r="N167" i="24"/>
  <c r="N89" i="24"/>
  <c r="N72" i="24"/>
  <c r="N174" i="24"/>
  <c r="N19" i="24"/>
  <c r="N130" i="24"/>
  <c r="F42" i="24"/>
  <c r="F50" i="24"/>
  <c r="N113" i="24"/>
  <c r="F36" i="24"/>
  <c r="F13" i="24"/>
  <c r="N29" i="24"/>
  <c r="F88" i="24"/>
  <c r="F64" i="24"/>
  <c r="F174" i="24"/>
  <c r="F40" i="24"/>
  <c r="F166" i="24"/>
  <c r="F29" i="24"/>
  <c r="N60" i="24"/>
  <c r="N37" i="24"/>
  <c r="F21" i="24"/>
  <c r="N48" i="24"/>
  <c r="N38" i="24"/>
  <c r="F22" i="24"/>
  <c r="F160" i="24"/>
  <c r="N160" i="24"/>
  <c r="F70" i="24"/>
  <c r="N169" i="24"/>
  <c r="F41" i="24"/>
  <c r="F148" i="24"/>
  <c r="N163" i="24"/>
  <c r="N50" i="24"/>
  <c r="F116" i="24"/>
  <c r="F38" i="24"/>
  <c r="N125" i="24"/>
  <c r="N40" i="24"/>
  <c r="N132" i="24"/>
  <c r="F144" i="24"/>
  <c r="N66" i="24"/>
  <c r="N42" i="24"/>
  <c r="F97" i="24"/>
  <c r="N142" i="24"/>
  <c r="F85" i="24"/>
  <c r="N13" i="24"/>
  <c r="F92" i="24"/>
  <c r="F95" i="24"/>
  <c r="F57" i="24"/>
  <c r="N114" i="24"/>
  <c r="N166" i="24"/>
  <c r="N152" i="24"/>
  <c r="N164" i="24"/>
  <c r="F105" i="24"/>
  <c r="N139" i="24"/>
  <c r="F73" i="24"/>
  <c r="F10" i="24"/>
  <c r="F58" i="24"/>
  <c r="N64" i="24"/>
  <c r="F45" i="24"/>
  <c r="F90" i="24"/>
  <c r="N70" i="24"/>
  <c r="N35" i="24"/>
  <c r="N85" i="24"/>
  <c r="F113" i="24"/>
  <c r="N111" i="24"/>
  <c r="F39" i="24"/>
  <c r="N134" i="24"/>
  <c r="N116" i="24"/>
  <c r="N170" i="24"/>
  <c r="F131" i="24"/>
  <c r="F155" i="24"/>
  <c r="N14" i="24"/>
  <c r="F152" i="24"/>
  <c r="F145" i="24"/>
  <c r="N129" i="24"/>
  <c r="N33" i="24"/>
  <c r="N90" i="24"/>
  <c r="F157" i="24"/>
  <c r="F72" i="24"/>
  <c r="N22" i="24"/>
  <c r="N69" i="24"/>
  <c r="F168" i="24"/>
  <c r="N88" i="24"/>
  <c r="F154" i="24"/>
  <c r="N34" i="24"/>
  <c r="N108" i="24"/>
  <c r="F32" i="24"/>
  <c r="F141" i="24"/>
  <c r="F68" i="24"/>
  <c r="F130" i="24"/>
  <c r="F30" i="24"/>
  <c r="N162" i="24"/>
  <c r="N144" i="24"/>
  <c r="F163" i="24"/>
  <c r="F139" i="24"/>
  <c r="N148" i="24"/>
  <c r="F60" i="24"/>
  <c r="N141" i="24"/>
  <c r="F11" i="24"/>
  <c r="F161" i="24"/>
  <c r="N47" i="24"/>
  <c r="F165" i="24"/>
  <c r="N36" i="24"/>
  <c r="N165" i="24"/>
  <c r="F169" i="24"/>
  <c r="F28" i="24"/>
  <c r="F14" i="24"/>
  <c r="N65" i="24"/>
  <c r="F108" i="24"/>
  <c r="N25" i="24"/>
  <c r="F24" i="24"/>
  <c r="F19" i="24"/>
  <c r="F33" i="24"/>
  <c r="F150" i="24"/>
  <c r="N157" i="24"/>
  <c r="N45" i="24"/>
  <c r="N12" i="24"/>
  <c r="F167" i="24"/>
  <c r="N151" i="24"/>
  <c r="N153" i="24"/>
  <c r="N23" i="24"/>
  <c r="F47" i="24"/>
  <c r="F153" i="24"/>
  <c r="N97" i="24"/>
  <c r="F17" i="24"/>
  <c r="F151" i="24"/>
  <c r="F55" i="24"/>
  <c r="N55" i="24"/>
  <c r="N71" i="24"/>
  <c r="N150" i="24"/>
  <c r="N95" i="24"/>
  <c r="N93" i="24"/>
  <c r="F48" i="24"/>
  <c r="F86" i="24"/>
  <c r="F49" i="24"/>
  <c r="N145" i="24"/>
  <c r="N128" i="24"/>
  <c r="N58" i="24"/>
  <c r="F25" i="24"/>
  <c r="N105" i="24"/>
  <c r="F93" i="24"/>
  <c r="F37" i="24"/>
  <c r="N131" i="24"/>
  <c r="F61" i="24"/>
  <c r="N21" i="24"/>
  <c r="N17" i="24"/>
  <c r="N156" i="24"/>
  <c r="N73" i="24"/>
  <c r="F34" i="24"/>
  <c r="N49" i="24"/>
  <c r="F69" i="24"/>
  <c r="F134" i="24"/>
  <c r="F143" i="24"/>
  <c r="N41" i="24"/>
  <c r="N91" i="24"/>
  <c r="N154" i="24"/>
  <c r="N68" i="24"/>
  <c r="N32" i="24"/>
  <c r="F89" i="24"/>
  <c r="AU99" i="3"/>
  <c r="AU209" i="3"/>
  <c r="AM146" i="3"/>
  <c r="AM53" i="3"/>
  <c r="AE207" i="3"/>
  <c r="AE71" i="3"/>
  <c r="AU138" i="3"/>
  <c r="E206" i="3"/>
  <c r="AT193" i="3"/>
  <c r="AU129" i="3"/>
  <c r="AE78" i="3"/>
  <c r="V70" i="3"/>
  <c r="AM57" i="3"/>
  <c r="AU197" i="3"/>
  <c r="AU157" i="3"/>
  <c r="AE105" i="3"/>
  <c r="AU108" i="3"/>
  <c r="V155" i="3"/>
  <c r="AT17" i="3"/>
  <c r="E46" i="3"/>
  <c r="AM194" i="3"/>
  <c r="AD129" i="3"/>
  <c r="AT133" i="3"/>
  <c r="AM132" i="3"/>
  <c r="V126" i="3"/>
  <c r="AU55" i="3"/>
  <c r="E129" i="3"/>
  <c r="AT186" i="3"/>
  <c r="AM18" i="3"/>
  <c r="AU169" i="3"/>
  <c r="AM126" i="3"/>
  <c r="AE100" i="3"/>
  <c r="AE37" i="3"/>
  <c r="E47" i="3"/>
  <c r="AE23" i="3"/>
  <c r="E193" i="3"/>
  <c r="E106" i="3"/>
  <c r="AT13" i="3"/>
  <c r="V36" i="3"/>
  <c r="AT55" i="3"/>
  <c r="V173" i="3"/>
  <c r="AE48" i="3"/>
  <c r="AT63" i="3"/>
  <c r="AM136" i="3"/>
  <c r="AE95" i="3"/>
  <c r="AT88" i="3"/>
  <c r="AT52" i="3"/>
  <c r="V166" i="3"/>
  <c r="AE55" i="3"/>
  <c r="AT197" i="3"/>
  <c r="AU21" i="3"/>
  <c r="AM209" i="3"/>
  <c r="AM125" i="3"/>
  <c r="V201" i="3"/>
  <c r="E196" i="3"/>
  <c r="AT208" i="3"/>
  <c r="AT203" i="3"/>
  <c r="V185" i="3"/>
  <c r="AT61" i="3"/>
  <c r="AU56" i="3"/>
  <c r="V60" i="3"/>
  <c r="AU194" i="3"/>
  <c r="AU109" i="3"/>
  <c r="V138" i="3"/>
  <c r="V47" i="3"/>
  <c r="AE101" i="3"/>
  <c r="V59" i="3"/>
  <c r="AM50" i="3"/>
  <c r="V103" i="3"/>
  <c r="AT170" i="3"/>
  <c r="AM81" i="3"/>
  <c r="AE215" i="3"/>
  <c r="AM59" i="3"/>
  <c r="AT112" i="3"/>
  <c r="AM153" i="3"/>
  <c r="AE61" i="3"/>
  <c r="E202" i="3"/>
  <c r="AM30" i="3"/>
  <c r="AM26" i="3"/>
  <c r="AU57" i="3"/>
  <c r="V62" i="3"/>
  <c r="AE21" i="3"/>
  <c r="E19" i="3"/>
  <c r="AU206" i="3"/>
  <c r="AT46" i="3"/>
  <c r="AU62" i="3"/>
  <c r="E84" i="3"/>
  <c r="AE25" i="3"/>
  <c r="V38" i="3"/>
  <c r="AT45" i="3"/>
  <c r="AE17" i="3"/>
  <c r="AU154" i="3"/>
  <c r="AU60" i="3"/>
  <c r="AE70" i="3"/>
  <c r="AU193" i="3"/>
  <c r="V55" i="3"/>
  <c r="AT58" i="3"/>
  <c r="AM169" i="3"/>
  <c r="V99" i="3"/>
  <c r="E45" i="3"/>
  <c r="AD138" i="3"/>
  <c r="E38" i="3"/>
  <c r="AM46" i="3"/>
  <c r="AM143" i="3"/>
  <c r="AE65" i="3"/>
  <c r="AE94" i="3"/>
  <c r="AM172" i="3"/>
  <c r="E11" i="3"/>
  <c r="AT20" i="3"/>
  <c r="AM78" i="3"/>
  <c r="V161" i="3"/>
  <c r="AE72" i="3"/>
  <c r="AE88" i="3"/>
  <c r="AU166" i="3"/>
  <c r="AT210" i="3"/>
  <c r="AT53" i="3"/>
  <c r="AM192" i="3"/>
  <c r="E104" i="3"/>
  <c r="AE126" i="3"/>
  <c r="E153" i="3"/>
  <c r="E207" i="3"/>
  <c r="AM101" i="3"/>
  <c r="AT173" i="3"/>
  <c r="AE197" i="3"/>
  <c r="AE132" i="3"/>
  <c r="AM207" i="3"/>
  <c r="AM45" i="3"/>
  <c r="V72" i="3"/>
  <c r="AE83" i="3"/>
  <c r="AE10" i="3"/>
  <c r="AE52" i="3"/>
  <c r="AU83" i="3"/>
  <c r="V53" i="3"/>
  <c r="AT23" i="3"/>
  <c r="AM193" i="3"/>
  <c r="E97" i="3"/>
  <c r="AT125" i="3"/>
  <c r="AU24" i="3"/>
  <c r="AM211" i="3"/>
  <c r="AE18" i="3"/>
  <c r="AU20" i="3"/>
  <c r="E53" i="3"/>
  <c r="V34" i="3"/>
  <c r="AT39" i="3"/>
  <c r="AT184" i="3"/>
  <c r="AU204" i="3"/>
  <c r="AU103" i="3"/>
  <c r="E88" i="3"/>
  <c r="AT143" i="3"/>
  <c r="AM155" i="3"/>
  <c r="AM36" i="3"/>
  <c r="AM99" i="3"/>
  <c r="AE26" i="3"/>
  <c r="E208" i="3"/>
  <c r="V215" i="3"/>
  <c r="AE58" i="3"/>
  <c r="AE135" i="3"/>
  <c r="V51" i="3"/>
  <c r="AU40" i="3"/>
  <c r="AT101" i="3"/>
  <c r="AT14" i="3"/>
  <c r="AE14" i="3"/>
  <c r="V211" i="3"/>
  <c r="E174" i="3"/>
  <c r="AU93" i="3"/>
  <c r="V191" i="3"/>
  <c r="AU174" i="3"/>
  <c r="AE172" i="3"/>
  <c r="E32" i="3"/>
  <c r="V202" i="3"/>
  <c r="E171" i="3"/>
  <c r="AE43" i="3"/>
  <c r="AT68" i="3"/>
  <c r="AU203" i="3"/>
  <c r="V171" i="3"/>
  <c r="AT38" i="3"/>
  <c r="AE138" i="3"/>
  <c r="AE64" i="3"/>
  <c r="AU149" i="3"/>
  <c r="AM206" i="3"/>
  <c r="V184" i="3"/>
  <c r="E126" i="3"/>
  <c r="E56" i="3"/>
  <c r="AT60" i="3"/>
  <c r="AU183" i="3"/>
  <c r="AL129" i="3"/>
  <c r="E17" i="3"/>
  <c r="E175" i="3"/>
  <c r="V43" i="3"/>
  <c r="AT91" i="3"/>
  <c r="E185" i="3"/>
  <c r="AE24" i="3"/>
  <c r="V33" i="3"/>
  <c r="AU100" i="3"/>
  <c r="V125" i="3"/>
  <c r="AT47" i="3"/>
  <c r="AU175" i="3"/>
  <c r="AU180" i="3"/>
  <c r="AT111" i="3"/>
  <c r="AT175" i="3"/>
  <c r="AL37" i="3"/>
  <c r="V73" i="3"/>
  <c r="AM87" i="3"/>
  <c r="AT161" i="3"/>
  <c r="AM14" i="3"/>
  <c r="E12" i="3"/>
  <c r="AM24" i="3"/>
  <c r="AT71" i="3"/>
  <c r="AU97" i="3"/>
  <c r="AE146" i="3"/>
  <c r="V135" i="3"/>
  <c r="E71" i="3"/>
  <c r="V154" i="3"/>
  <c r="V189" i="3"/>
  <c r="AT180" i="3"/>
  <c r="AM72" i="3"/>
  <c r="AM48" i="3"/>
  <c r="V206" i="3"/>
  <c r="AU106" i="3"/>
  <c r="AU39" i="3"/>
  <c r="E39" i="3"/>
  <c r="E172" i="3"/>
  <c r="AM83" i="3"/>
  <c r="AU49" i="3"/>
  <c r="AM17" i="3"/>
  <c r="AT132" i="3"/>
  <c r="AM8" i="3"/>
  <c r="E112" i="3"/>
  <c r="AE106" i="3"/>
  <c r="AM149" i="3"/>
  <c r="E25" i="3"/>
  <c r="AE92" i="3"/>
  <c r="AM110" i="3"/>
  <c r="AM112" i="3"/>
  <c r="AU205" i="3"/>
  <c r="V32" i="3"/>
  <c r="AT98" i="3"/>
  <c r="AE209" i="3"/>
  <c r="V101" i="3"/>
  <c r="AM20" i="3"/>
  <c r="AT95" i="3"/>
  <c r="AU186" i="3"/>
  <c r="AE195" i="3"/>
  <c r="E203" i="3"/>
  <c r="AM182" i="3"/>
  <c r="AM61" i="3"/>
  <c r="AT37" i="3"/>
  <c r="E73" i="3"/>
  <c r="AU91" i="3"/>
  <c r="AE130" i="3"/>
  <c r="AM29" i="3"/>
  <c r="E186" i="3"/>
  <c r="V193" i="3"/>
  <c r="AU125" i="3"/>
  <c r="AE170" i="3"/>
  <c r="AE45" i="3"/>
  <c r="AU70" i="3"/>
  <c r="V204" i="3"/>
  <c r="AT78" i="3"/>
  <c r="AT25" i="3"/>
  <c r="E20" i="3"/>
  <c r="V182" i="3"/>
  <c r="AE129" i="3"/>
  <c r="AT211" i="3"/>
  <c r="AD29" i="3"/>
  <c r="AU27" i="3"/>
  <c r="AE68" i="3"/>
  <c r="AT19" i="3"/>
  <c r="AM103" i="3"/>
  <c r="V113" i="3"/>
  <c r="AU71" i="3"/>
  <c r="E43" i="3"/>
  <c r="E26" i="3"/>
  <c r="AE112" i="3"/>
  <c r="AM191" i="3"/>
  <c r="AE184" i="3"/>
  <c r="V172" i="3"/>
  <c r="AE32" i="3"/>
  <c r="V149" i="3"/>
  <c r="AU170" i="3"/>
  <c r="AM10" i="3"/>
  <c r="E197" i="3"/>
  <c r="E103" i="3"/>
  <c r="AT149" i="3"/>
  <c r="V21" i="3"/>
  <c r="AE108" i="3"/>
  <c r="AE8" i="3"/>
  <c r="AM196" i="3"/>
  <c r="E205" i="3"/>
  <c r="AE133" i="3"/>
  <c r="AU215" i="3"/>
  <c r="AU153" i="3"/>
  <c r="AU133" i="3"/>
  <c r="AM208" i="3"/>
  <c r="E91" i="3"/>
  <c r="V22" i="3"/>
  <c r="AE193" i="3"/>
  <c r="AT172" i="3"/>
  <c r="AE202" i="3"/>
  <c r="AT196" i="3"/>
  <c r="AU210" i="3"/>
  <c r="AE12" i="3"/>
  <c r="AU155" i="3"/>
  <c r="AM109" i="3"/>
  <c r="AU12" i="3"/>
  <c r="AM138" i="3"/>
  <c r="AT174" i="3"/>
  <c r="AU110" i="3"/>
  <c r="V27" i="3"/>
  <c r="AT83" i="3"/>
  <c r="AU96" i="3"/>
  <c r="E182" i="3"/>
  <c r="AT18" i="3"/>
  <c r="AU202" i="3"/>
  <c r="V208" i="3"/>
  <c r="E95" i="3"/>
  <c r="AM58" i="3"/>
  <c r="E166" i="3"/>
  <c r="AT82" i="3"/>
  <c r="AM23" i="3"/>
  <c r="E83" i="3"/>
  <c r="E92" i="3"/>
  <c r="E169" i="3"/>
  <c r="E51" i="3"/>
  <c r="V111" i="3"/>
  <c r="V112" i="3"/>
  <c r="V136" i="3"/>
  <c r="AE38" i="3"/>
  <c r="AT136" i="3"/>
  <c r="E98" i="3"/>
  <c r="AT105" i="3"/>
  <c r="E22" i="3"/>
  <c r="AU87" i="3"/>
  <c r="E136" i="3"/>
  <c r="E49" i="3"/>
  <c r="AM129" i="3"/>
  <c r="V89" i="3"/>
  <c r="E94" i="3"/>
  <c r="E146" i="3"/>
  <c r="E48" i="3"/>
  <c r="AE128" i="3"/>
  <c r="AU18" i="3"/>
  <c r="AU47" i="3"/>
  <c r="AE175" i="3"/>
  <c r="V203" i="3"/>
  <c r="V61" i="3"/>
  <c r="AU131" i="3"/>
  <c r="E132" i="3"/>
  <c r="AE57" i="3"/>
  <c r="V82" i="3"/>
  <c r="E96" i="3"/>
  <c r="AE33" i="3"/>
  <c r="AT24" i="3"/>
  <c r="V8" i="3"/>
  <c r="AU113" i="3"/>
  <c r="E24" i="3"/>
  <c r="AT81" i="3"/>
  <c r="AM39" i="3"/>
  <c r="AM171" i="3"/>
  <c r="E211" i="3"/>
  <c r="AU196" i="3"/>
  <c r="AU146" i="3"/>
  <c r="E133" i="3"/>
  <c r="V63" i="3"/>
  <c r="AT126" i="3"/>
  <c r="AE99" i="3"/>
  <c r="AM63" i="3"/>
  <c r="V110" i="3"/>
  <c r="E65" i="3"/>
  <c r="AU52" i="3"/>
  <c r="AT72" i="3"/>
  <c r="E161" i="3"/>
  <c r="AT146" i="3"/>
  <c r="AT205" i="3"/>
  <c r="AT128" i="3"/>
  <c r="V94" i="3"/>
  <c r="AT44" i="3"/>
  <c r="V210" i="3"/>
  <c r="AM108" i="3"/>
  <c r="AT131" i="3"/>
  <c r="AM166" i="3"/>
  <c r="AT26" i="3"/>
  <c r="AM104" i="3"/>
  <c r="E63" i="3"/>
  <c r="AU182" i="3"/>
  <c r="AE44" i="3"/>
  <c r="E93" i="3"/>
  <c r="V18" i="3"/>
  <c r="AM44" i="3"/>
  <c r="AE161" i="3"/>
  <c r="AE97" i="3"/>
  <c r="AT93" i="3"/>
  <c r="V92" i="3"/>
  <c r="E204" i="3"/>
  <c r="AM195" i="3"/>
  <c r="AE152" i="3"/>
  <c r="E125" i="3"/>
  <c r="V88" i="3"/>
  <c r="AT153" i="3"/>
  <c r="AE203" i="3"/>
  <c r="V153" i="3"/>
  <c r="AU161" i="3"/>
  <c r="AE205" i="3"/>
  <c r="AM93" i="3"/>
  <c r="AU82" i="3"/>
  <c r="AT80" i="3"/>
  <c r="AT31" i="3"/>
  <c r="V39" i="3"/>
  <c r="AE185" i="3"/>
  <c r="V44" i="3"/>
  <c r="AE111" i="3"/>
  <c r="AU26" i="3"/>
  <c r="AE173" i="3"/>
  <c r="AT194" i="3"/>
  <c r="AT110" i="3"/>
  <c r="AM133" i="3"/>
  <c r="AM157" i="3"/>
  <c r="AT103" i="3"/>
  <c r="E189" i="3"/>
  <c r="V40" i="3"/>
  <c r="AM56" i="3"/>
  <c r="E210" i="3"/>
  <c r="AM38" i="3"/>
  <c r="V20" i="3"/>
  <c r="AU73" i="3"/>
  <c r="AE19" i="3"/>
  <c r="AT10" i="3"/>
  <c r="AE189" i="3"/>
  <c r="AD201" i="3"/>
  <c r="AT155" i="3"/>
  <c r="E135" i="3"/>
  <c r="V64" i="3"/>
  <c r="AU130" i="3"/>
  <c r="AM55" i="3"/>
  <c r="AU112" i="3"/>
  <c r="E52" i="3"/>
  <c r="E58" i="3"/>
  <c r="AM205" i="3"/>
  <c r="E8" i="3"/>
  <c r="AU189" i="3"/>
  <c r="AT99" i="3"/>
  <c r="E18" i="3"/>
  <c r="AT94" i="3"/>
  <c r="V146" i="3"/>
  <c r="E34" i="3"/>
  <c r="E209" i="3"/>
  <c r="AE204" i="3"/>
  <c r="AT21" i="3"/>
  <c r="AT215" i="3"/>
  <c r="E55" i="3"/>
  <c r="V169" i="3"/>
  <c r="AM88" i="3"/>
  <c r="AT92" i="3"/>
  <c r="AU64" i="3"/>
  <c r="V180" i="3"/>
  <c r="AU101" i="3"/>
  <c r="V11" i="3"/>
  <c r="AT36" i="3"/>
  <c r="AT87" i="3"/>
  <c r="AU136" i="3"/>
  <c r="AE81" i="3"/>
  <c r="AM203" i="3"/>
  <c r="V46" i="3"/>
  <c r="E57" i="3"/>
  <c r="AM43" i="3"/>
  <c r="AM52" i="3"/>
  <c r="AM91" i="3"/>
  <c r="V106" i="3"/>
  <c r="V45" i="3"/>
  <c r="AT109" i="3"/>
  <c r="AU36" i="3"/>
  <c r="AU173" i="3"/>
  <c r="AM173" i="3"/>
  <c r="AU105" i="3"/>
  <c r="E13" i="3"/>
  <c r="AE80" i="3"/>
  <c r="AE136" i="3"/>
  <c r="AU32" i="3"/>
  <c r="E78" i="3"/>
  <c r="AT56" i="3"/>
  <c r="E72" i="3"/>
  <c r="E105" i="3"/>
  <c r="AM21" i="3"/>
  <c r="AT8" i="3"/>
  <c r="V109" i="3"/>
  <c r="AT70" i="3"/>
  <c r="AM184" i="3"/>
  <c r="E173" i="3"/>
  <c r="AM170" i="3"/>
  <c r="AU191" i="3"/>
  <c r="AU38" i="3"/>
  <c r="AM31" i="3"/>
  <c r="V100" i="3"/>
  <c r="V207" i="3"/>
  <c r="AM161" i="3"/>
  <c r="AU94" i="3"/>
  <c r="V48" i="3"/>
  <c r="V23" i="3"/>
  <c r="AT48" i="3"/>
  <c r="AM113" i="3"/>
  <c r="AU171" i="3"/>
  <c r="E109" i="3"/>
  <c r="AT97" i="3"/>
  <c r="E131" i="3"/>
  <c r="V71" i="3"/>
  <c r="AT202" i="3"/>
  <c r="AE63" i="3"/>
  <c r="AM105" i="3"/>
  <c r="AU126" i="3"/>
  <c r="V105" i="3"/>
  <c r="AU59" i="3"/>
  <c r="AT59" i="3"/>
  <c r="AU208" i="3"/>
  <c r="AE153" i="3"/>
  <c r="AU195" i="3"/>
  <c r="E70" i="3"/>
  <c r="AT185" i="3"/>
  <c r="AE46" i="3"/>
  <c r="AU184" i="3"/>
  <c r="AE56" i="3"/>
  <c r="E80" i="3"/>
  <c r="AE211" i="3"/>
  <c r="E113" i="3"/>
  <c r="AE36" i="3"/>
  <c r="AM22" i="3"/>
  <c r="E170" i="3"/>
  <c r="AE208" i="3"/>
  <c r="AE104" i="3"/>
  <c r="AM13" i="3"/>
  <c r="V25" i="3"/>
  <c r="AT138" i="3"/>
  <c r="AM100" i="3"/>
  <c r="AE155" i="3"/>
  <c r="AM215" i="3"/>
  <c r="AM33" i="3"/>
  <c r="AM98" i="3"/>
  <c r="E157" i="3"/>
  <c r="E195" i="3"/>
  <c r="AM131" i="3"/>
  <c r="AE87" i="3"/>
  <c r="V152" i="3"/>
  <c r="AT157" i="3"/>
  <c r="V57" i="3"/>
  <c r="AU81" i="3"/>
  <c r="AE171" i="3"/>
  <c r="AU48" i="3"/>
  <c r="AE143" i="3"/>
  <c r="AT152" i="3"/>
  <c r="AM84" i="3"/>
  <c r="AU68" i="3"/>
  <c r="AU19" i="3"/>
  <c r="V65" i="3"/>
  <c r="V130" i="3"/>
  <c r="V37" i="3"/>
  <c r="AU33" i="3"/>
  <c r="AT89" i="3"/>
  <c r="AM198" i="3"/>
  <c r="AM96" i="3"/>
  <c r="AU72" i="3"/>
  <c r="AM185" i="3"/>
  <c r="AU132" i="3"/>
  <c r="AU88" i="3"/>
  <c r="AM94" i="3"/>
  <c r="AM130" i="3"/>
  <c r="AU8" i="3"/>
  <c r="AT135" i="3"/>
  <c r="AT40" i="3"/>
  <c r="AM189" i="3"/>
  <c r="V17" i="3"/>
  <c r="AE198" i="3"/>
  <c r="AT62" i="3"/>
  <c r="AT49" i="3"/>
  <c r="AE206" i="3"/>
  <c r="AU44" i="3"/>
  <c r="AM71" i="3"/>
  <c r="V108" i="3"/>
  <c r="E89" i="3"/>
  <c r="AM73" i="3"/>
  <c r="V84" i="3"/>
  <c r="AM135" i="3"/>
  <c r="AE103" i="3"/>
  <c r="AE149" i="3"/>
  <c r="AE109" i="3"/>
  <c r="AM202" i="3"/>
  <c r="AU53" i="3"/>
  <c r="V104" i="3"/>
  <c r="AT130" i="3"/>
  <c r="AM49" i="3"/>
  <c r="V96" i="3"/>
  <c r="E110" i="3"/>
  <c r="AT192" i="3"/>
  <c r="AE113" i="3"/>
  <c r="AM68" i="3"/>
  <c r="AU45" i="3"/>
  <c r="AT33" i="3"/>
  <c r="E192" i="3"/>
  <c r="E194" i="3"/>
  <c r="AE93" i="3"/>
  <c r="AM70" i="3"/>
  <c r="V87" i="3"/>
  <c r="AT183" i="3"/>
  <c r="V186" i="3"/>
  <c r="E27" i="3"/>
  <c r="AT198" i="3"/>
  <c r="AU29" i="3"/>
  <c r="AT27" i="3"/>
  <c r="AE40" i="3"/>
  <c r="AU84" i="3"/>
  <c r="AM34" i="3"/>
  <c r="AE131" i="3"/>
  <c r="AM183" i="3"/>
  <c r="AM12" i="3"/>
  <c r="E44" i="3"/>
  <c r="AM37" i="3"/>
  <c r="AM186" i="3"/>
  <c r="V209" i="3"/>
  <c r="AE174" i="3"/>
  <c r="E33" i="3"/>
  <c r="V98" i="3"/>
  <c r="AU34" i="3"/>
  <c r="AE29" i="3"/>
  <c r="AT84" i="3"/>
  <c r="V91" i="3"/>
  <c r="V143" i="3"/>
  <c r="V133" i="3"/>
  <c r="AM19" i="3"/>
  <c r="E68" i="3"/>
  <c r="AU198" i="3"/>
  <c r="AM27" i="3"/>
  <c r="AT129" i="3"/>
  <c r="AT57" i="3"/>
  <c r="E100" i="3"/>
  <c r="E183" i="3"/>
  <c r="E215" i="3"/>
  <c r="E108" i="3"/>
  <c r="AM180" i="3"/>
  <c r="AE89" i="3"/>
  <c r="AE73" i="3"/>
  <c r="E138" i="3"/>
  <c r="AE98" i="3"/>
  <c r="AE180" i="3"/>
  <c r="AE31" i="3"/>
  <c r="AU172" i="3"/>
  <c r="V175" i="3"/>
  <c r="V83" i="3"/>
  <c r="V14" i="3"/>
  <c r="AT22" i="3"/>
  <c r="AE13" i="3"/>
  <c r="AM95" i="3"/>
  <c r="AU14" i="3"/>
  <c r="AT29" i="3"/>
  <c r="V195" i="3"/>
  <c r="V132" i="3"/>
  <c r="E10" i="3"/>
  <c r="AT206" i="3"/>
  <c r="AL29" i="3"/>
  <c r="AU98" i="3"/>
  <c r="E64" i="3"/>
  <c r="E130" i="3"/>
  <c r="V174" i="3"/>
  <c r="AU111" i="3"/>
  <c r="E198" i="3"/>
  <c r="AU37" i="3"/>
  <c r="V97" i="3"/>
  <c r="AU78" i="3"/>
  <c r="E149" i="3"/>
  <c r="AU135" i="3"/>
  <c r="AU152" i="3"/>
  <c r="AE50" i="3"/>
  <c r="AT169" i="3"/>
  <c r="AE59" i="3"/>
  <c r="E184" i="3"/>
  <c r="AT100" i="3"/>
  <c r="V50" i="3"/>
  <c r="AM11" i="3"/>
  <c r="AM210" i="3"/>
  <c r="AU46" i="3"/>
  <c r="E59" i="3"/>
  <c r="AE34" i="3"/>
  <c r="AU143" i="3"/>
  <c r="AM60" i="3"/>
  <c r="AT50" i="3"/>
  <c r="AT209" i="3"/>
  <c r="AE169" i="3"/>
  <c r="AE182" i="3"/>
  <c r="V29" i="3"/>
  <c r="AE62" i="3"/>
  <c r="AE210" i="3"/>
  <c r="AU89" i="3"/>
  <c r="AT104" i="3"/>
  <c r="V49" i="3"/>
  <c r="V68" i="3"/>
  <c r="AE11" i="3"/>
  <c r="AE82" i="3"/>
  <c r="AE47" i="3"/>
  <c r="AU10" i="3"/>
  <c r="V10" i="3"/>
  <c r="AM82" i="3"/>
  <c r="AM152" i="3"/>
  <c r="AE91" i="3"/>
  <c r="AE166" i="3"/>
  <c r="AE22" i="3"/>
  <c r="AT108" i="3"/>
  <c r="AT204" i="3"/>
  <c r="AU61" i="3"/>
  <c r="V19" i="3"/>
  <c r="E37" i="3"/>
  <c r="AU51" i="3"/>
  <c r="AU207" i="3"/>
  <c r="AT166" i="3"/>
  <c r="AU201" i="3"/>
  <c r="AT106" i="3"/>
  <c r="AT12" i="3"/>
  <c r="AM111" i="3"/>
  <c r="V95" i="3"/>
  <c r="V58" i="3"/>
  <c r="AL126" i="3"/>
  <c r="AT30" i="3"/>
  <c r="AT171" i="3"/>
  <c r="AD126" i="3"/>
  <c r="V194" i="3"/>
  <c r="AM89" i="3"/>
  <c r="E101" i="3"/>
  <c r="AM97" i="3"/>
  <c r="AT65" i="3"/>
  <c r="E111" i="3"/>
  <c r="V26" i="3"/>
  <c r="V183" i="3"/>
  <c r="AU211" i="3"/>
  <c r="AT73" i="3"/>
  <c r="E50" i="3"/>
  <c r="E155" i="3"/>
  <c r="E201" i="3"/>
  <c r="AU23" i="3"/>
  <c r="E36" i="3"/>
  <c r="V192" i="3"/>
  <c r="V52" i="3"/>
  <c r="AT51" i="3"/>
  <c r="AU58" i="3"/>
  <c r="AE49" i="3"/>
  <c r="E62" i="3"/>
  <c r="AU22" i="3"/>
  <c r="AT182" i="3"/>
  <c r="AM64" i="3"/>
  <c r="AT43" i="3"/>
  <c r="AE186" i="3"/>
  <c r="V24" i="3"/>
  <c r="E128" i="3"/>
  <c r="E154" i="3"/>
  <c r="E61" i="3"/>
  <c r="E99" i="3"/>
  <c r="V78" i="3"/>
  <c r="AE201" i="3"/>
  <c r="AE157" i="3"/>
  <c r="E82" i="3"/>
  <c r="AU63" i="3"/>
  <c r="V56" i="3"/>
  <c r="AL201" i="3"/>
  <c r="AE154" i="3"/>
  <c r="AU43" i="3"/>
  <c r="AE96" i="3"/>
  <c r="AU25" i="3"/>
  <c r="V157" i="3"/>
  <c r="AE194" i="3"/>
  <c r="E29" i="3"/>
  <c r="AM154" i="3"/>
  <c r="AM25" i="3"/>
  <c r="V93" i="3"/>
  <c r="AT32" i="3"/>
  <c r="AE196" i="3"/>
  <c r="AU31" i="3"/>
  <c r="AU30" i="3"/>
  <c r="AU11" i="3"/>
  <c r="AT96" i="3"/>
  <c r="AE20" i="3"/>
  <c r="AE53" i="3"/>
  <c r="V80" i="3"/>
  <c r="AM197" i="3"/>
  <c r="AT191" i="3"/>
  <c r="AU185" i="3"/>
  <c r="AE125" i="3"/>
  <c r="V12" i="3"/>
  <c r="E60" i="3"/>
  <c r="AU192" i="3"/>
  <c r="AT11" i="3"/>
  <c r="AT154" i="3"/>
  <c r="E143" i="3"/>
  <c r="AE191" i="3"/>
  <c r="AE84" i="3"/>
  <c r="AT207" i="3"/>
  <c r="AM51" i="3"/>
  <c r="V205" i="3"/>
  <c r="AT64" i="3"/>
  <c r="V81" i="3"/>
  <c r="AT113" i="3"/>
  <c r="AM65" i="3"/>
  <c r="AE51" i="3"/>
  <c r="AM80" i="3"/>
  <c r="E23" i="3"/>
  <c r="AM128" i="3"/>
  <c r="V131" i="3"/>
  <c r="AE30" i="3"/>
  <c r="V198" i="3"/>
  <c r="AT189" i="3"/>
  <c r="V170" i="3"/>
  <c r="AM32" i="3"/>
  <c r="AT34" i="3"/>
  <c r="E191" i="3"/>
  <c r="AT201" i="3"/>
  <c r="AU104" i="3"/>
  <c r="AU95" i="3"/>
  <c r="AT195" i="3"/>
  <c r="AE192" i="3"/>
  <c r="V128" i="3"/>
  <c r="V13" i="3"/>
  <c r="V129" i="3"/>
  <c r="AM106" i="3"/>
  <c r="AU92" i="3"/>
  <c r="AE60" i="3"/>
  <c r="AM62" i="3"/>
  <c r="AU17" i="3"/>
  <c r="AU128" i="3"/>
  <c r="AM204" i="3"/>
  <c r="AU65" i="3"/>
  <c r="AM174" i="3"/>
  <c r="AE110" i="3"/>
  <c r="AU80" i="3"/>
  <c r="AE183" i="3"/>
  <c r="V196" i="3"/>
  <c r="AM40" i="3"/>
  <c r="E152" i="3"/>
  <c r="E21" i="3"/>
  <c r="AE27" i="3"/>
  <c r="AM175" i="3"/>
  <c r="E81" i="3"/>
  <c r="AM92" i="3"/>
  <c r="V197" i="3"/>
  <c r="AM47" i="3"/>
  <c r="E87" i="3"/>
  <c r="AE39" i="3"/>
  <c r="AU13" i="3"/>
  <c r="AM201" i="3"/>
  <c r="AU50" i="3"/>
  <c r="E121" i="3" l="1"/>
  <c r="X22" i="3"/>
  <c r="AE144" i="3"/>
  <c r="X135" i="3"/>
  <c r="X198" i="3"/>
  <c r="G43" i="3"/>
  <c r="G15" i="21"/>
  <c r="G65" i="3"/>
  <c r="B31" i="13"/>
  <c r="G19" i="3"/>
  <c r="V66" i="3"/>
  <c r="X33" i="3"/>
  <c r="B16" i="21"/>
  <c r="D16" i="21" s="1"/>
  <c r="E16" i="21" s="1"/>
  <c r="V31" i="3"/>
  <c r="B17" i="21" s="1"/>
  <c r="G24" i="21"/>
  <c r="G106" i="3"/>
  <c r="K75" i="13"/>
  <c r="AF126" i="3"/>
  <c r="AG126" i="3" s="1"/>
  <c r="AE118" i="3"/>
  <c r="G47" i="21"/>
  <c r="C47" i="21"/>
  <c r="AV58" i="3"/>
  <c r="B26" i="26"/>
  <c r="K5" i="13"/>
  <c r="AE15" i="3"/>
  <c r="X92" i="3"/>
  <c r="K37" i="13"/>
  <c r="X154" i="3"/>
  <c r="B25" i="26"/>
  <c r="AM216" i="3"/>
  <c r="G96" i="21"/>
  <c r="AM217" i="3"/>
  <c r="G194" i="3"/>
  <c r="G110" i="3"/>
  <c r="B61" i="13"/>
  <c r="D61" i="13" s="1"/>
  <c r="E61" i="13" s="1"/>
  <c r="G174" i="3"/>
  <c r="AV194" i="3"/>
  <c r="AV155" i="3"/>
  <c r="AV210" i="3"/>
  <c r="K29" i="13"/>
  <c r="AV64" i="3"/>
  <c r="G210" i="3"/>
  <c r="F126" i="24"/>
  <c r="F135" i="24"/>
  <c r="K31" i="13"/>
  <c r="AV18" i="3"/>
  <c r="G61" i="3"/>
  <c r="B27" i="13"/>
  <c r="H27" i="13" s="1"/>
  <c r="AV180" i="3"/>
  <c r="AZ180" i="3" s="1"/>
  <c r="C35" i="26"/>
  <c r="AU187" i="3"/>
  <c r="AV172" i="3"/>
  <c r="X103" i="3"/>
  <c r="X172" i="3"/>
  <c r="AV211" i="3"/>
  <c r="B76" i="21"/>
  <c r="D76" i="21" s="1"/>
  <c r="E76" i="21" s="1"/>
  <c r="X136" i="3"/>
  <c r="B75" i="21"/>
  <c r="D75" i="21" s="1"/>
  <c r="E75" i="21" s="1"/>
  <c r="X126" i="3"/>
  <c r="AM187" i="3"/>
  <c r="G92" i="21"/>
  <c r="AV106" i="3"/>
  <c r="AT121" i="3"/>
  <c r="AV40" i="3"/>
  <c r="X96" i="3"/>
  <c r="N75" i="24"/>
  <c r="N62" i="24"/>
  <c r="X109" i="3"/>
  <c r="B59" i="21"/>
  <c r="D59" i="21" s="1"/>
  <c r="E59" i="21" s="1"/>
  <c r="AF29" i="3"/>
  <c r="G58" i="3"/>
  <c r="B24" i="13"/>
  <c r="H24" i="13" s="1"/>
  <c r="AV195" i="3"/>
  <c r="AV208" i="3"/>
  <c r="F103" i="24"/>
  <c r="AV94" i="3"/>
  <c r="X130" i="3"/>
  <c r="AV110" i="3"/>
  <c r="K14" i="13"/>
  <c r="AE41" i="3"/>
  <c r="AT162" i="3"/>
  <c r="B10" i="21"/>
  <c r="D10" i="21" s="1"/>
  <c r="X12" i="3"/>
  <c r="B50" i="21"/>
  <c r="D50" i="21" s="1"/>
  <c r="E50" i="21" s="1"/>
  <c r="B33" i="21"/>
  <c r="D33" i="21" s="1"/>
  <c r="E33" i="21" s="1"/>
  <c r="V74" i="3"/>
  <c r="X68" i="3"/>
  <c r="X62" i="3"/>
  <c r="B28" i="21"/>
  <c r="D28" i="21" s="1"/>
  <c r="N80" i="24"/>
  <c r="X64" i="3"/>
  <c r="B30" i="21"/>
  <c r="D30" i="21" s="1"/>
  <c r="AV105" i="3"/>
  <c r="X93" i="3"/>
  <c r="AU118" i="3"/>
  <c r="AV21" i="3"/>
  <c r="AV149" i="3"/>
  <c r="AU150" i="3"/>
  <c r="G22" i="21"/>
  <c r="X104" i="3"/>
  <c r="G74" i="21"/>
  <c r="AE158" i="3"/>
  <c r="AE159" i="3"/>
  <c r="AV108" i="3"/>
  <c r="AV99" i="3"/>
  <c r="G99" i="3"/>
  <c r="G191" i="3"/>
  <c r="G129" i="3"/>
  <c r="K129" i="3" s="1"/>
  <c r="AN201" i="3"/>
  <c r="G94" i="21"/>
  <c r="X175" i="3"/>
  <c r="AV152" i="3"/>
  <c r="AV203" i="3"/>
  <c r="B5" i="21"/>
  <c r="D5" i="21" s="1"/>
  <c r="E5" i="21" s="1"/>
  <c r="V15" i="3"/>
  <c r="X8" i="3"/>
  <c r="G91" i="3"/>
  <c r="G49" i="3"/>
  <c r="E144" i="3"/>
  <c r="G144" i="3" s="1"/>
  <c r="H144" i="3" s="1"/>
  <c r="G143" i="3"/>
  <c r="G5" i="21"/>
  <c r="AM15" i="3"/>
  <c r="B10" i="26"/>
  <c r="X113" i="3"/>
  <c r="B64" i="21"/>
  <c r="D64" i="21" s="1"/>
  <c r="E64" i="21" s="1"/>
  <c r="B61" i="21"/>
  <c r="D61" i="21" s="1"/>
  <c r="E61" i="21" s="1"/>
  <c r="X110" i="3"/>
  <c r="X84" i="3"/>
  <c r="K23" i="13"/>
  <c r="F98" i="24"/>
  <c r="F99" i="24"/>
  <c r="F100" i="24"/>
  <c r="B92" i="21"/>
  <c r="D92" i="21" s="1"/>
  <c r="E92" i="21" s="1"/>
  <c r="V187" i="3"/>
  <c r="X180" i="3"/>
  <c r="AB180" i="3" s="1"/>
  <c r="AV92" i="3"/>
  <c r="G104" i="3"/>
  <c r="X131" i="3"/>
  <c r="AV132" i="3"/>
  <c r="X174" i="3"/>
  <c r="AV98" i="3"/>
  <c r="G25" i="3"/>
  <c r="X37" i="3"/>
  <c r="AA81" i="3" s="1"/>
  <c r="V118" i="3"/>
  <c r="Y118" i="3" s="1"/>
  <c r="AV57" i="3"/>
  <c r="AV93" i="3"/>
  <c r="G208" i="3"/>
  <c r="G17" i="21"/>
  <c r="AV191" i="3"/>
  <c r="K10" i="13"/>
  <c r="N81" i="24"/>
  <c r="G186" i="3"/>
  <c r="X205" i="3"/>
  <c r="F117" i="24"/>
  <c r="F118" i="24"/>
  <c r="G92" i="3"/>
  <c r="AV39" i="3"/>
  <c r="AT120" i="3"/>
  <c r="AV206" i="3"/>
  <c r="N121" i="24"/>
  <c r="AV111" i="3"/>
  <c r="AV175" i="3"/>
  <c r="K24" i="13"/>
  <c r="B58" i="21"/>
  <c r="D58" i="21" s="1"/>
  <c r="E58" i="21" s="1"/>
  <c r="X108" i="3"/>
  <c r="AM199" i="3"/>
  <c r="G93" i="21"/>
  <c r="B31" i="21"/>
  <c r="X65" i="3"/>
  <c r="G24" i="3"/>
  <c r="X36" i="3"/>
  <c r="AA80" i="3" s="1"/>
  <c r="V117" i="3"/>
  <c r="C18" i="21"/>
  <c r="K18" i="13"/>
  <c r="X47" i="3"/>
  <c r="G203" i="3"/>
  <c r="X191" i="3"/>
  <c r="X161" i="3"/>
  <c r="X166" i="3"/>
  <c r="B85" i="21"/>
  <c r="D85" i="21" s="1"/>
  <c r="E85" i="21" s="1"/>
  <c r="V176" i="3"/>
  <c r="V167" i="3"/>
  <c r="X167" i="3" s="1"/>
  <c r="AB170" i="3" s="1"/>
  <c r="D89" i="21" s="1"/>
  <c r="B36" i="21"/>
  <c r="X70" i="3"/>
  <c r="G82" i="3"/>
  <c r="V144" i="3"/>
  <c r="X144" i="3" s="1"/>
  <c r="Y144" i="3" s="1"/>
  <c r="X143" i="3"/>
  <c r="AV63" i="3"/>
  <c r="N109" i="24"/>
  <c r="G14" i="21"/>
  <c r="AM41" i="3"/>
  <c r="AM120" i="3"/>
  <c r="G12" i="3"/>
  <c r="B10" i="13"/>
  <c r="H10" i="13" s="1"/>
  <c r="AV59" i="3"/>
  <c r="K46" i="13"/>
  <c r="E66" i="3"/>
  <c r="E31" i="3"/>
  <c r="B17" i="13" s="1"/>
  <c r="G33" i="3"/>
  <c r="B16" i="13"/>
  <c r="H16" i="13" s="1"/>
  <c r="I16" i="13" s="1"/>
  <c r="AV204" i="3"/>
  <c r="G182" i="3"/>
  <c r="E187" i="3"/>
  <c r="AV25" i="3"/>
  <c r="AV50" i="3"/>
  <c r="AV193" i="3"/>
  <c r="B18" i="26"/>
  <c r="AV89" i="3"/>
  <c r="C13" i="26"/>
  <c r="AU74" i="3"/>
  <c r="C21" i="26"/>
  <c r="G184" i="3"/>
  <c r="B22" i="21"/>
  <c r="X56" i="3"/>
  <c r="X196" i="3"/>
  <c r="X195" i="3"/>
  <c r="B37" i="26"/>
  <c r="AV71" i="3"/>
  <c r="N15" i="24"/>
  <c r="AE162" i="3"/>
  <c r="C36" i="26"/>
  <c r="AV189" i="3"/>
  <c r="AZ189" i="3" s="1"/>
  <c r="AU199" i="3"/>
  <c r="E117" i="3"/>
  <c r="H117" i="3" s="1"/>
  <c r="G36" i="3"/>
  <c r="J80" i="3" s="1"/>
  <c r="C4" i="22" s="1"/>
  <c r="AV182" i="3"/>
  <c r="K11" i="13"/>
  <c r="G47" i="3"/>
  <c r="AV14" i="3"/>
  <c r="G202" i="3"/>
  <c r="N158" i="24"/>
  <c r="N135" i="24"/>
  <c r="N126" i="24"/>
  <c r="X207" i="3"/>
  <c r="AM66" i="3"/>
  <c r="G16" i="21"/>
  <c r="F176" i="24"/>
  <c r="F175" i="24"/>
  <c r="N118" i="24"/>
  <c r="N117" i="24"/>
  <c r="AV17" i="3"/>
  <c r="X204" i="3"/>
  <c r="X24" i="3"/>
  <c r="V150" i="3"/>
  <c r="X149" i="3"/>
  <c r="F158" i="24"/>
  <c r="C46" i="21"/>
  <c r="G46" i="21"/>
  <c r="AU41" i="3"/>
  <c r="C7" i="26"/>
  <c r="AE117" i="3"/>
  <c r="E15" i="3"/>
  <c r="B5" i="13"/>
  <c r="H5" i="13" s="1"/>
  <c r="I5" i="13" s="1"/>
  <c r="B12" i="13"/>
  <c r="H12" i="13" s="1"/>
  <c r="G8" i="3"/>
  <c r="X193" i="3"/>
  <c r="AV10" i="3"/>
  <c r="N176" i="24"/>
  <c r="N175" i="24"/>
  <c r="AV30" i="3"/>
  <c r="X29" i="3"/>
  <c r="V41" i="3"/>
  <c r="B14" i="21"/>
  <c r="D14" i="21" s="1"/>
  <c r="E14" i="21" s="1"/>
  <c r="AE120" i="3"/>
  <c r="N103" i="24"/>
  <c r="AV170" i="3"/>
  <c r="AV11" i="3"/>
  <c r="B37" i="21"/>
  <c r="D37" i="21" s="1"/>
  <c r="X71" i="3"/>
  <c r="K21" i="13"/>
  <c r="G101" i="3"/>
  <c r="AV80" i="3"/>
  <c r="G81" i="3"/>
  <c r="AV47" i="3"/>
  <c r="X128" i="3"/>
  <c r="G154" i="3"/>
  <c r="B32" i="26"/>
  <c r="AT167" i="3"/>
  <c r="AT176" i="3"/>
  <c r="K61" i="13"/>
  <c r="G36" i="21"/>
  <c r="X26" i="3"/>
  <c r="G108" i="3"/>
  <c r="B58" i="13"/>
  <c r="D58" i="13" s="1"/>
  <c r="E58" i="13" s="1"/>
  <c r="N26" i="24"/>
  <c r="G10" i="3"/>
  <c r="B8" i="13"/>
  <c r="K85" i="13"/>
  <c r="AE167" i="3"/>
  <c r="AE176" i="3"/>
  <c r="F81" i="24"/>
  <c r="G20" i="3"/>
  <c r="X38" i="3"/>
  <c r="AA82" i="3" s="1"/>
  <c r="V119" i="3"/>
  <c r="F121" i="24"/>
  <c r="K44" i="13"/>
  <c r="AE219" i="3"/>
  <c r="AE85" i="3"/>
  <c r="AE115" i="3"/>
  <c r="K52" i="13" s="1"/>
  <c r="X98" i="3"/>
  <c r="X44" i="3"/>
  <c r="F26" i="24"/>
  <c r="AV131" i="3"/>
  <c r="X101" i="3"/>
  <c r="N100" i="24"/>
  <c r="N98" i="24"/>
  <c r="N99" i="24"/>
  <c r="X99" i="3"/>
  <c r="X100" i="3"/>
  <c r="AV84" i="3"/>
  <c r="G51" i="3"/>
  <c r="AM121" i="3"/>
  <c r="X34" i="3"/>
  <c r="X49" i="3"/>
  <c r="X186" i="3"/>
  <c r="G100" i="3"/>
  <c r="X171" i="3"/>
  <c r="X50" i="3"/>
  <c r="AV56" i="3"/>
  <c r="AV46" i="3"/>
  <c r="G26" i="3"/>
  <c r="AV196" i="3"/>
  <c r="B11" i="21"/>
  <c r="D11" i="21" s="1"/>
  <c r="X13" i="3"/>
  <c r="G209" i="3"/>
  <c r="G75" i="21"/>
  <c r="AN126" i="3"/>
  <c r="AO126" i="3" s="1"/>
  <c r="G57" i="3"/>
  <c r="B23" i="13"/>
  <c r="H23" i="13" s="1"/>
  <c r="AV33" i="3"/>
  <c r="AT66" i="3"/>
  <c r="B9" i="26"/>
  <c r="AV48" i="3"/>
  <c r="AU121" i="3"/>
  <c r="K36" i="13"/>
  <c r="AV154" i="3"/>
  <c r="K47" i="13"/>
  <c r="G63" i="3"/>
  <c r="B29" i="13"/>
  <c r="AU120" i="3"/>
  <c r="G84" i="3"/>
  <c r="X17" i="3"/>
  <c r="G192" i="3"/>
  <c r="AU176" i="3"/>
  <c r="AU167" i="3"/>
  <c r="AV166" i="3"/>
  <c r="C32" i="26"/>
  <c r="G12" i="21"/>
  <c r="G45" i="3"/>
  <c r="AV19" i="3"/>
  <c r="G13" i="3"/>
  <c r="B11" i="13"/>
  <c r="X106" i="3"/>
  <c r="G105" i="3"/>
  <c r="G185" i="3"/>
  <c r="AV186" i="3"/>
  <c r="G198" i="3"/>
  <c r="K33" i="13"/>
  <c r="K50" i="13"/>
  <c r="AE74" i="3"/>
  <c r="AV109" i="3"/>
  <c r="K96" i="13"/>
  <c r="AE216" i="3"/>
  <c r="AE217" i="3"/>
  <c r="B15" i="13"/>
  <c r="H15" i="13" s="1"/>
  <c r="I15" i="13" s="1"/>
  <c r="G32" i="3"/>
  <c r="X155" i="3"/>
  <c r="X169" i="3"/>
  <c r="G18" i="21"/>
  <c r="E150" i="3"/>
  <c r="G149" i="3"/>
  <c r="V85" i="3"/>
  <c r="X78" i="3"/>
  <c r="V115" i="3"/>
  <c r="B44" i="21"/>
  <c r="D44" i="21" s="1"/>
  <c r="E44" i="21" s="1"/>
  <c r="V219" i="3"/>
  <c r="AV130" i="3"/>
  <c r="K22" i="13"/>
  <c r="X153" i="3"/>
  <c r="G193" i="3"/>
  <c r="X39" i="3"/>
  <c r="AA83" i="3" s="1"/>
  <c r="V120" i="3"/>
  <c r="AV23" i="3"/>
  <c r="AV125" i="3"/>
  <c r="AW125" i="3" s="1"/>
  <c r="C25" i="26"/>
  <c r="X184" i="3"/>
  <c r="G131" i="3"/>
  <c r="V121" i="3"/>
  <c r="X121" i="3" s="1"/>
  <c r="AB84" i="3" s="1"/>
  <c r="X40" i="3"/>
  <c r="AA84" i="3" s="1"/>
  <c r="AM159" i="3"/>
  <c r="AM158" i="3"/>
  <c r="AM162" i="3"/>
  <c r="F62" i="24"/>
  <c r="F75" i="24"/>
  <c r="F79" i="24"/>
  <c r="E216" i="3"/>
  <c r="G215" i="3"/>
  <c r="B96" i="13"/>
  <c r="H96" i="13" s="1"/>
  <c r="I96" i="13" s="1"/>
  <c r="E217" i="3"/>
  <c r="E118" i="3"/>
  <c r="H118" i="3" s="1"/>
  <c r="G37" i="3"/>
  <c r="J81" i="3" s="1"/>
  <c r="C5" i="22" s="1"/>
  <c r="B14" i="13"/>
  <c r="H14" i="13" s="1"/>
  <c r="I14" i="13" s="1"/>
  <c r="G29" i="3"/>
  <c r="K169" i="3" s="1"/>
  <c r="D88" i="13" s="1"/>
  <c r="E41" i="3"/>
  <c r="X81" i="3"/>
  <c r="G18" i="3"/>
  <c r="F51" i="24"/>
  <c r="AV43" i="3"/>
  <c r="K62" i="13"/>
  <c r="G83" i="3"/>
  <c r="AN29" i="3"/>
  <c r="G113" i="3"/>
  <c r="B64" i="13"/>
  <c r="H64" i="13" s="1"/>
  <c r="I64" i="13" s="1"/>
  <c r="G130" i="3"/>
  <c r="AE150" i="3"/>
  <c r="K27" i="13"/>
  <c r="X197" i="3"/>
  <c r="AE119" i="3"/>
  <c r="G197" i="3"/>
  <c r="AV129" i="3"/>
  <c r="G95" i="3"/>
  <c r="E159" i="3"/>
  <c r="H159" i="3" s="1"/>
  <c r="E158" i="3"/>
  <c r="G157" i="3"/>
  <c r="X202" i="3"/>
  <c r="X182" i="3"/>
  <c r="E140" i="3"/>
  <c r="G140" i="3" s="1"/>
  <c r="K126" i="3" s="1"/>
  <c r="D82" i="13" s="1"/>
  <c r="E220" i="3"/>
  <c r="E139" i="3"/>
  <c r="E141" i="3"/>
  <c r="G138" i="3"/>
  <c r="B78" i="13"/>
  <c r="G21" i="3"/>
  <c r="AM85" i="3"/>
  <c r="AM219" i="3"/>
  <c r="AM115" i="3"/>
  <c r="G52" i="21" s="1"/>
  <c r="G44" i="21"/>
  <c r="N146" i="24"/>
  <c r="X105" i="3"/>
  <c r="G8" i="21"/>
  <c r="K17" i="13"/>
  <c r="B30" i="13"/>
  <c r="D30" i="13" s="1"/>
  <c r="G64" i="3"/>
  <c r="G11" i="3"/>
  <c r="B9" i="13"/>
  <c r="H9" i="13" s="1"/>
  <c r="B37" i="13"/>
  <c r="G71" i="3"/>
  <c r="AV202" i="3"/>
  <c r="X206" i="3"/>
  <c r="AV136" i="3"/>
  <c r="C27" i="26"/>
  <c r="K74" i="13"/>
  <c r="G72" i="3"/>
  <c r="B38" i="13"/>
  <c r="D38" i="13" s="1"/>
  <c r="AV61" i="3"/>
  <c r="AE199" i="3"/>
  <c r="K93" i="13"/>
  <c r="X32" i="3"/>
  <c r="B15" i="21"/>
  <c r="D15" i="21" s="1"/>
  <c r="E15" i="21" s="1"/>
  <c r="F109" i="24"/>
  <c r="G22" i="3"/>
  <c r="AV82" i="3"/>
  <c r="AV22" i="3"/>
  <c r="X82" i="3"/>
  <c r="E176" i="3"/>
  <c r="B85" i="13"/>
  <c r="H85" i="13" s="1"/>
  <c r="I85" i="13" s="1"/>
  <c r="G166" i="3"/>
  <c r="E167" i="3"/>
  <c r="G167" i="3" s="1"/>
  <c r="K170" i="3" s="1"/>
  <c r="D89" i="13" s="1"/>
  <c r="G111" i="3"/>
  <c r="B62" i="13"/>
  <c r="D62" i="13" s="1"/>
  <c r="E62" i="13" s="1"/>
  <c r="X112" i="3"/>
  <c r="B63" i="21"/>
  <c r="D63" i="21" s="1"/>
  <c r="E63" i="21" s="1"/>
  <c r="AE147" i="3"/>
  <c r="G98" i="3"/>
  <c r="G38" i="21"/>
  <c r="AM144" i="3"/>
  <c r="AV174" i="3"/>
  <c r="C17" i="26"/>
  <c r="G128" i="3"/>
  <c r="AM118" i="3"/>
  <c r="AV133" i="3"/>
  <c r="AU162" i="3"/>
  <c r="X51" i="3"/>
  <c r="AM117" i="3"/>
  <c r="G53" i="3"/>
  <c r="B5" i="26"/>
  <c r="AT15" i="3"/>
  <c r="AV8" i="3"/>
  <c r="K8" i="13"/>
  <c r="AV91" i="3"/>
  <c r="B50" i="13"/>
  <c r="D50" i="13" s="1"/>
  <c r="E50" i="13" s="1"/>
  <c r="G68" i="3"/>
  <c r="B33" i="13"/>
  <c r="D33" i="13" s="1"/>
  <c r="E33" i="13" s="1"/>
  <c r="E74" i="3"/>
  <c r="G21" i="21"/>
  <c r="G26" i="21"/>
  <c r="AE121" i="3"/>
  <c r="B63" i="13"/>
  <c r="H63" i="13" s="1"/>
  <c r="I63" i="13" s="1"/>
  <c r="G112" i="3"/>
  <c r="AV169" i="3"/>
  <c r="G64" i="21"/>
  <c r="X61" i="3"/>
  <c r="B27" i="21"/>
  <c r="D27" i="21" s="1"/>
  <c r="X23" i="3"/>
  <c r="G196" i="3"/>
  <c r="AV52" i="3"/>
  <c r="AV55" i="3"/>
  <c r="AV184" i="3"/>
  <c r="AM147" i="3"/>
  <c r="G172" i="3"/>
  <c r="G97" i="3"/>
  <c r="AT220" i="3"/>
  <c r="B29" i="26"/>
  <c r="AT140" i="3"/>
  <c r="AT141" i="3"/>
  <c r="AT139" i="3"/>
  <c r="B30" i="26" s="1"/>
  <c r="X88" i="3"/>
  <c r="AU147" i="3"/>
  <c r="AV146" i="3"/>
  <c r="X94" i="3"/>
  <c r="AV81" i="3"/>
  <c r="X48" i="3"/>
  <c r="AV97" i="3"/>
  <c r="F80" i="24"/>
  <c r="X57" i="3"/>
  <c r="B23" i="21"/>
  <c r="D23" i="21" s="1"/>
  <c r="AV201" i="3"/>
  <c r="C37" i="26"/>
  <c r="AV83" i="3"/>
  <c r="V220" i="3"/>
  <c r="B78" i="21"/>
  <c r="D78" i="21" s="1"/>
  <c r="E78" i="21" s="1"/>
  <c r="V141" i="3"/>
  <c r="V139" i="3"/>
  <c r="B79" i="21" s="1"/>
  <c r="D79" i="21" s="1"/>
  <c r="E79" i="21" s="1"/>
  <c r="V140" i="3"/>
  <c r="X140" i="3" s="1"/>
  <c r="Y140" i="3" s="1"/>
  <c r="X138" i="3"/>
  <c r="AV192" i="3"/>
  <c r="X125" i="3"/>
  <c r="Y125" i="3" s="1"/>
  <c r="B74" i="21"/>
  <c r="D74" i="21" s="1"/>
  <c r="E74" i="21" s="1"/>
  <c r="G28" i="21"/>
  <c r="AV95" i="3"/>
  <c r="AU66" i="3"/>
  <c r="C9" i="26"/>
  <c r="K49" i="13"/>
  <c r="K45" i="13"/>
  <c r="AT144" i="3"/>
  <c r="B8" i="26"/>
  <c r="AV32" i="3"/>
  <c r="G207" i="3"/>
  <c r="X10" i="3"/>
  <c r="B8" i="21"/>
  <c r="X55" i="3"/>
  <c r="B21" i="21"/>
  <c r="D21" i="21" s="1"/>
  <c r="G96" i="3"/>
  <c r="AV112" i="3"/>
  <c r="AU119" i="3"/>
  <c r="X129" i="3"/>
  <c r="AB129" i="3" s="1"/>
  <c r="K28" i="13"/>
  <c r="X83" i="3"/>
  <c r="X53" i="3"/>
  <c r="N77" i="24"/>
  <c r="AV101" i="3"/>
  <c r="G126" i="3"/>
  <c r="B75" i="13"/>
  <c r="AV126" i="3"/>
  <c r="C26" i="26"/>
  <c r="G58" i="21"/>
  <c r="G62" i="21"/>
  <c r="X170" i="3"/>
  <c r="AV13" i="3"/>
  <c r="G170" i="3"/>
  <c r="AV87" i="3"/>
  <c r="B20" i="26"/>
  <c r="B16" i="26"/>
  <c r="B24" i="21"/>
  <c r="X58" i="3"/>
  <c r="G37" i="21"/>
  <c r="AE66" i="3"/>
  <c r="K16" i="13"/>
  <c r="G27" i="21"/>
  <c r="K12" i="13"/>
  <c r="AV103" i="3"/>
  <c r="X91" i="3"/>
  <c r="K63" i="13"/>
  <c r="E162" i="3"/>
  <c r="G133" i="3"/>
  <c r="B25" i="13"/>
  <c r="D25" i="13" s="1"/>
  <c r="G59" i="3"/>
  <c r="AV113" i="3"/>
  <c r="G78" i="21"/>
  <c r="AM139" i="3"/>
  <c r="G79" i="21" s="1"/>
  <c r="AM220" i="3"/>
  <c r="AM141" i="3"/>
  <c r="AM140" i="3"/>
  <c r="AV104" i="3"/>
  <c r="AV26" i="3"/>
  <c r="G195" i="3"/>
  <c r="AV45" i="3"/>
  <c r="AV173" i="3"/>
  <c r="AV143" i="3"/>
  <c r="AU144" i="3"/>
  <c r="B13" i="26"/>
  <c r="AV68" i="3"/>
  <c r="AT74" i="3"/>
  <c r="B21" i="26"/>
  <c r="G49" i="21"/>
  <c r="C45" i="21"/>
  <c r="G45" i="21"/>
  <c r="G44" i="3"/>
  <c r="F106" i="24"/>
  <c r="K64" i="13"/>
  <c r="L64" i="13" s="1"/>
  <c r="M64" i="13" s="1"/>
  <c r="K59" i="13"/>
  <c r="X183" i="3"/>
  <c r="AU115" i="3"/>
  <c r="C23" i="26" s="1"/>
  <c r="C15" i="26"/>
  <c r="AU219" i="3"/>
  <c r="AU85" i="3"/>
  <c r="AT150" i="3"/>
  <c r="G211" i="3"/>
  <c r="X132" i="3"/>
  <c r="AV62" i="3"/>
  <c r="AV34" i="3"/>
  <c r="B11" i="26"/>
  <c r="X185" i="3"/>
  <c r="AV96" i="3"/>
  <c r="AV60" i="3"/>
  <c r="G76" i="21"/>
  <c r="F15" i="24"/>
  <c r="AV51" i="3"/>
  <c r="X95" i="3"/>
  <c r="B29" i="21"/>
  <c r="D29" i="21" s="1"/>
  <c r="X63" i="3"/>
  <c r="AT118" i="3"/>
  <c r="AV37" i="3"/>
  <c r="AV73" i="3"/>
  <c r="X60" i="3"/>
  <c r="B26" i="21"/>
  <c r="C20" i="26"/>
  <c r="C16" i="26"/>
  <c r="X18" i="3"/>
  <c r="AV209" i="3"/>
  <c r="AT147" i="3"/>
  <c r="B27" i="26"/>
  <c r="B35" i="26"/>
  <c r="AT187" i="3"/>
  <c r="G135" i="3"/>
  <c r="K38" i="13"/>
  <c r="G109" i="3"/>
  <c r="B59" i="13"/>
  <c r="X133" i="3"/>
  <c r="V162" i="3"/>
  <c r="B36" i="26"/>
  <c r="AT199" i="3"/>
  <c r="AV72" i="3"/>
  <c r="X52" i="3"/>
  <c r="B47" i="13"/>
  <c r="D47" i="13" s="1"/>
  <c r="E47" i="13" s="1"/>
  <c r="G89" i="3"/>
  <c r="AV49" i="3"/>
  <c r="AV183" i="3"/>
  <c r="K25" i="13"/>
  <c r="G153" i="3"/>
  <c r="V158" i="3"/>
  <c r="X157" i="3"/>
  <c r="V159" i="3"/>
  <c r="Y159" i="3" s="1"/>
  <c r="N79" i="24"/>
  <c r="X46" i="3"/>
  <c r="G183" i="3"/>
  <c r="AV44" i="3"/>
  <c r="G9" i="21"/>
  <c r="K15" i="13"/>
  <c r="AV70" i="3"/>
  <c r="F43" i="24"/>
  <c r="G206" i="3"/>
  <c r="X25" i="3"/>
  <c r="B74" i="13"/>
  <c r="G125" i="3"/>
  <c r="H125" i="3" s="1"/>
  <c r="E147" i="3"/>
  <c r="G146" i="3"/>
  <c r="X211" i="3"/>
  <c r="F146" i="24"/>
  <c r="AV20" i="3"/>
  <c r="AV198" i="3"/>
  <c r="G169" i="3"/>
  <c r="AT159" i="3"/>
  <c r="AT158" i="3"/>
  <c r="C10" i="26"/>
  <c r="X27" i="3"/>
  <c r="G132" i="3"/>
  <c r="AV36" i="3"/>
  <c r="AT117" i="3"/>
  <c r="AV185" i="3"/>
  <c r="AT119" i="3"/>
  <c r="AV38" i="3"/>
  <c r="AY82" i="3" s="1"/>
  <c r="AF201" i="3"/>
  <c r="K94" i="13"/>
  <c r="AV128" i="3"/>
  <c r="B25" i="21"/>
  <c r="D25" i="21" s="1"/>
  <c r="X59" i="3"/>
  <c r="C8" i="26"/>
  <c r="G171" i="3"/>
  <c r="G152" i="3"/>
  <c r="G34" i="3"/>
  <c r="B18" i="13"/>
  <c r="H18" i="13" s="1"/>
  <c r="I18" i="13" s="1"/>
  <c r="G94" i="3"/>
  <c r="AV24" i="3"/>
  <c r="AM119" i="3"/>
  <c r="AU15" i="3"/>
  <c r="C5" i="26"/>
  <c r="G87" i="3"/>
  <c r="B49" i="13"/>
  <c r="H49" i="13" s="1"/>
  <c r="I49" i="13" s="1"/>
  <c r="B45" i="13"/>
  <c r="AM176" i="3"/>
  <c r="AM167" i="3"/>
  <c r="G85" i="21"/>
  <c r="G30" i="21"/>
  <c r="G78" i="3"/>
  <c r="E85" i="3"/>
  <c r="B44" i="13"/>
  <c r="E219" i="3"/>
  <c r="E115" i="3"/>
  <c r="X194" i="3"/>
  <c r="B39" i="21"/>
  <c r="D39" i="21" s="1"/>
  <c r="X73" i="3"/>
  <c r="G10" i="21"/>
  <c r="AV153" i="3"/>
  <c r="X20" i="3"/>
  <c r="B93" i="13"/>
  <c r="H93" i="13" s="1"/>
  <c r="I93" i="13" s="1"/>
  <c r="G189" i="3"/>
  <c r="C11" i="14" s="1"/>
  <c r="C13" i="14" s="1"/>
  <c r="C14" i="14" s="1"/>
  <c r="E199" i="3"/>
  <c r="V217" i="3"/>
  <c r="V216" i="3"/>
  <c r="X215" i="3"/>
  <c r="B96" i="21"/>
  <c r="D96" i="21" s="1"/>
  <c r="E96" i="21" s="1"/>
  <c r="AV207" i="3"/>
  <c r="X192" i="3"/>
  <c r="G29" i="21"/>
  <c r="X43" i="3"/>
  <c r="C11" i="26"/>
  <c r="G46" i="3"/>
  <c r="G73" i="3"/>
  <c r="B39" i="13"/>
  <c r="H39" i="13" s="1"/>
  <c r="G39" i="21"/>
  <c r="AV157" i="3"/>
  <c r="AU158" i="3"/>
  <c r="AU159" i="3"/>
  <c r="G55" i="3"/>
  <c r="B21" i="13"/>
  <c r="D21" i="13" s="1"/>
  <c r="AV53" i="3"/>
  <c r="G161" i="3"/>
  <c r="X21" i="3"/>
  <c r="K30" i="13"/>
  <c r="G80" i="3"/>
  <c r="G31" i="21"/>
  <c r="G205" i="3"/>
  <c r="X209" i="3"/>
  <c r="G48" i="3"/>
  <c r="G136" i="3"/>
  <c r="B76" i="13"/>
  <c r="D76" i="13" s="1"/>
  <c r="E76" i="13" s="1"/>
  <c r="AV100" i="3"/>
  <c r="AV27" i="3"/>
  <c r="AU117" i="3"/>
  <c r="K39" i="13"/>
  <c r="AV171" i="3"/>
  <c r="B7" i="26"/>
  <c r="AV29" i="3"/>
  <c r="AT41" i="3"/>
  <c r="G52" i="3"/>
  <c r="AV205" i="3"/>
  <c r="X89" i="3"/>
  <c r="AN129" i="3"/>
  <c r="AF129" i="3"/>
  <c r="B9" i="21"/>
  <c r="D9" i="21" s="1"/>
  <c r="X11" i="3"/>
  <c r="G23" i="3"/>
  <c r="B94" i="13"/>
  <c r="H94" i="13" s="1"/>
  <c r="I94" i="13" s="1"/>
  <c r="G201" i="3"/>
  <c r="B62" i="21"/>
  <c r="X111" i="3"/>
  <c r="G25" i="21"/>
  <c r="X80" i="3"/>
  <c r="G173" i="3"/>
  <c r="G60" i="3"/>
  <c r="N78" i="24"/>
  <c r="G155" i="3"/>
  <c r="B12" i="21"/>
  <c r="D12" i="21" s="1"/>
  <c r="X14" i="3"/>
  <c r="AM150" i="3"/>
  <c r="G103" i="3"/>
  <c r="F77" i="24"/>
  <c r="AV12" i="3"/>
  <c r="G59" i="21"/>
  <c r="E119" i="3"/>
  <c r="H119" i="3" s="1"/>
  <c r="G38" i="3"/>
  <c r="J82" i="3" s="1"/>
  <c r="C6" i="22" s="1"/>
  <c r="AU220" i="3"/>
  <c r="AU141" i="3"/>
  <c r="AU140" i="3"/>
  <c r="AV138" i="3"/>
  <c r="C29" i="26"/>
  <c r="AU139" i="3"/>
  <c r="C30" i="26" s="1"/>
  <c r="G50" i="3"/>
  <c r="AV65" i="3"/>
  <c r="X210" i="3"/>
  <c r="AV135" i="3"/>
  <c r="AN37" i="3"/>
  <c r="AE141" i="3"/>
  <c r="AE140" i="3"/>
  <c r="AE220" i="3"/>
  <c r="K78" i="13"/>
  <c r="AE139" i="3"/>
  <c r="K79" i="13" s="1"/>
  <c r="G56" i="3"/>
  <c r="B22" i="13"/>
  <c r="X189" i="3"/>
  <c r="AB189" i="3" s="1"/>
  <c r="B93" i="21"/>
  <c r="D93" i="21" s="1"/>
  <c r="E93" i="21" s="1"/>
  <c r="V199" i="3"/>
  <c r="X87" i="3"/>
  <c r="B49" i="21"/>
  <c r="D49" i="21" s="1"/>
  <c r="E49" i="21" s="1"/>
  <c r="N106" i="24"/>
  <c r="F78" i="24"/>
  <c r="E120" i="3"/>
  <c r="G39" i="3"/>
  <c r="J83" i="3" s="1"/>
  <c r="C7" i="22" s="1"/>
  <c r="G23" i="21"/>
  <c r="G204" i="3"/>
  <c r="X146" i="3"/>
  <c r="V147" i="3"/>
  <c r="G63" i="21"/>
  <c r="H63" i="21" s="1"/>
  <c r="I63" i="21" s="1"/>
  <c r="G17" i="3"/>
  <c r="X45" i="3"/>
  <c r="B36" i="13"/>
  <c r="G70" i="3"/>
  <c r="C18" i="26"/>
  <c r="X208" i="3"/>
  <c r="N51" i="24"/>
  <c r="X19" i="3"/>
  <c r="C39" i="26"/>
  <c r="AU216" i="3"/>
  <c r="AU217" i="3"/>
  <c r="N43" i="24"/>
  <c r="B94" i="21"/>
  <c r="D94" i="21" s="1"/>
  <c r="E94" i="21" s="1"/>
  <c r="X201" i="3"/>
  <c r="AV88" i="3"/>
  <c r="B17" i="26"/>
  <c r="B46" i="13"/>
  <c r="H46" i="13" s="1"/>
  <c r="I46" i="13" s="1"/>
  <c r="G88" i="3"/>
  <c r="K92" i="13"/>
  <c r="L92" i="13" s="1"/>
  <c r="M92" i="13" s="1"/>
  <c r="AE187" i="3"/>
  <c r="X173" i="3"/>
  <c r="G11" i="21"/>
  <c r="K9" i="13"/>
  <c r="X72" i="3"/>
  <c r="B38" i="21"/>
  <c r="D38" i="21" s="1"/>
  <c r="G27" i="3"/>
  <c r="G175" i="3"/>
  <c r="AT115" i="3"/>
  <c r="B15" i="26"/>
  <c r="AT219" i="3"/>
  <c r="AV78" i="3"/>
  <c r="AT85" i="3"/>
  <c r="AM74" i="3"/>
  <c r="G50" i="21"/>
  <c r="G33" i="21"/>
  <c r="G61" i="21"/>
  <c r="K76" i="13"/>
  <c r="AV161" i="3"/>
  <c r="X97" i="3"/>
  <c r="AV197" i="3"/>
  <c r="AV215" i="3"/>
  <c r="AT217" i="3"/>
  <c r="AT216" i="3"/>
  <c r="B39" i="26"/>
  <c r="K58" i="13"/>
  <c r="X152" i="3"/>
  <c r="B28" i="13"/>
  <c r="G62" i="3"/>
  <c r="X203" i="3"/>
  <c r="G93" i="3"/>
  <c r="G118" i="3"/>
  <c r="K81" i="3" s="1"/>
  <c r="AD140" i="3"/>
  <c r="AF138" i="3"/>
  <c r="AL138" i="3"/>
  <c r="C33" i="26" l="1"/>
  <c r="AM221" i="3"/>
  <c r="AM222" i="3" s="1"/>
  <c r="K60" i="13"/>
  <c r="H28" i="21"/>
  <c r="L15" i="13"/>
  <c r="M15" i="13" s="1"/>
  <c r="AZ77" i="3"/>
  <c r="AV118" i="3"/>
  <c r="AZ81" i="3" s="1"/>
  <c r="L23" i="13"/>
  <c r="L11" i="13"/>
  <c r="H8" i="21"/>
  <c r="E221" i="3"/>
  <c r="E222" i="3" s="1"/>
  <c r="G60" i="21"/>
  <c r="D29" i="13"/>
  <c r="L29" i="13"/>
  <c r="X115" i="3"/>
  <c r="AB78" i="3" s="1"/>
  <c r="D55" i="21" s="1"/>
  <c r="B52" i="21"/>
  <c r="H45" i="13"/>
  <c r="I45" i="13" s="1"/>
  <c r="D45" i="13"/>
  <c r="E45" i="13" s="1"/>
  <c r="D7" i="26"/>
  <c r="E7" i="26" s="1"/>
  <c r="AW121" i="3"/>
  <c r="AZ169" i="3"/>
  <c r="D11" i="26"/>
  <c r="E11" i="26" s="1"/>
  <c r="AT221" i="3"/>
  <c r="AT222" i="3" s="1"/>
  <c r="D29" i="26"/>
  <c r="E29" i="26" s="1"/>
  <c r="AV140" i="3"/>
  <c r="H93" i="21"/>
  <c r="I93" i="21" s="1"/>
  <c r="L17" i="13"/>
  <c r="H64" i="21"/>
  <c r="I64" i="21" s="1"/>
  <c r="L94" i="13"/>
  <c r="M94" i="13" s="1"/>
  <c r="H61" i="21"/>
  <c r="I61" i="21" s="1"/>
  <c r="D36" i="21"/>
  <c r="H36" i="21"/>
  <c r="AR77" i="3"/>
  <c r="H54" i="21" s="1"/>
  <c r="D27" i="26"/>
  <c r="E27" i="26" s="1"/>
  <c r="D18" i="13"/>
  <c r="E18" i="13" s="1"/>
  <c r="D17" i="26"/>
  <c r="E17" i="26" s="1"/>
  <c r="C14" i="22"/>
  <c r="C15" i="22" s="1"/>
  <c r="L59" i="13"/>
  <c r="M59" i="13" s="1"/>
  <c r="AV144" i="3"/>
  <c r="AW144" i="3" s="1"/>
  <c r="H37" i="21"/>
  <c r="AZ129" i="3"/>
  <c r="H12" i="21"/>
  <c r="K86" i="13"/>
  <c r="L14" i="13"/>
  <c r="M14" i="13" s="1"/>
  <c r="G97" i="21"/>
  <c r="AW117" i="3"/>
  <c r="H79" i="21"/>
  <c r="I79" i="21" s="1"/>
  <c r="D16" i="26"/>
  <c r="E16" i="26" s="1"/>
  <c r="D10" i="13"/>
  <c r="H15" i="21"/>
  <c r="I15" i="21" s="1"/>
  <c r="L45" i="13"/>
  <c r="M45" i="13" s="1"/>
  <c r="D15" i="13"/>
  <c r="E15" i="13" s="1"/>
  <c r="L74" i="13"/>
  <c r="M74" i="13" s="1"/>
  <c r="D12" i="13"/>
  <c r="D9" i="26"/>
  <c r="E9" i="26" s="1"/>
  <c r="D94" i="13"/>
  <c r="E94" i="13" s="1"/>
  <c r="AV120" i="3"/>
  <c r="AZ83" i="3" s="1"/>
  <c r="B60" i="21"/>
  <c r="B65" i="21" s="1"/>
  <c r="B68" i="21" s="1"/>
  <c r="D68" i="21" s="1"/>
  <c r="AW120" i="3"/>
  <c r="H29" i="21"/>
  <c r="H140" i="3"/>
  <c r="G86" i="21"/>
  <c r="L93" i="13"/>
  <c r="M93" i="13" s="1"/>
  <c r="L96" i="13"/>
  <c r="M96" i="13" s="1"/>
  <c r="D93" i="13"/>
  <c r="E93" i="13" s="1"/>
  <c r="Y115" i="3"/>
  <c r="H44" i="21"/>
  <c r="I44" i="21" s="1"/>
  <c r="L18" i="13"/>
  <c r="M18" i="13" s="1"/>
  <c r="D14" i="13"/>
  <c r="E14" i="13" s="1"/>
  <c r="D64" i="13"/>
  <c r="E64" i="13" s="1"/>
  <c r="D23" i="13"/>
  <c r="AW118" i="3"/>
  <c r="D63" i="13"/>
  <c r="E63" i="13" s="1"/>
  <c r="C40" i="26"/>
  <c r="H58" i="21"/>
  <c r="I58" i="21" s="1"/>
  <c r="L16" i="13"/>
  <c r="M16" i="13" s="1"/>
  <c r="D39" i="26"/>
  <c r="E39" i="26" s="1"/>
  <c r="AV117" i="3"/>
  <c r="AZ80" i="3" s="1"/>
  <c r="AR169" i="3"/>
  <c r="H88" i="21" s="1"/>
  <c r="L12" i="13"/>
  <c r="V221" i="3"/>
  <c r="V222" i="3" s="1"/>
  <c r="L85" i="13"/>
  <c r="M85" i="13" s="1"/>
  <c r="D90" i="13"/>
  <c r="B97" i="21"/>
  <c r="D97" i="21" s="1"/>
  <c r="H9" i="21"/>
  <c r="B86" i="13"/>
  <c r="H86" i="13" s="1"/>
  <c r="I86" i="13" s="1"/>
  <c r="L63" i="13"/>
  <c r="M63" i="13" s="1"/>
  <c r="G117" i="3"/>
  <c r="K80" i="3" s="1"/>
  <c r="L10" i="13"/>
  <c r="D39" i="13"/>
  <c r="X139" i="3"/>
  <c r="Y139" i="3" s="1"/>
  <c r="D15" i="26"/>
  <c r="E15" i="26" s="1"/>
  <c r="AU221" i="3"/>
  <c r="AU222" i="3" s="1"/>
  <c r="AR129" i="3"/>
  <c r="H78" i="21"/>
  <c r="I78" i="21" s="1"/>
  <c r="D26" i="26"/>
  <c r="E26" i="26" s="1"/>
  <c r="D25" i="26"/>
  <c r="E25" i="26" s="1"/>
  <c r="AJ169" i="3"/>
  <c r="L88" i="13" s="1"/>
  <c r="B33" i="26"/>
  <c r="H5" i="21"/>
  <c r="I5" i="21" s="1"/>
  <c r="H92" i="21"/>
  <c r="I92" i="21" s="1"/>
  <c r="H121" i="3"/>
  <c r="G121" i="3"/>
  <c r="K84" i="3" s="1"/>
  <c r="L27" i="13"/>
  <c r="AQ81" i="3"/>
  <c r="D37" i="26"/>
  <c r="E37" i="26" s="1"/>
  <c r="D9" i="13"/>
  <c r="L9" i="13"/>
  <c r="D26" i="21"/>
  <c r="H26" i="21"/>
  <c r="AZ125" i="3"/>
  <c r="AZ127" i="3" s="1"/>
  <c r="AW126" i="3"/>
  <c r="D31" i="21"/>
  <c r="H31" i="21"/>
  <c r="L24" i="13"/>
  <c r="D24" i="13"/>
  <c r="B52" i="13"/>
  <c r="H115" i="3"/>
  <c r="H75" i="13"/>
  <c r="I75" i="13" s="1"/>
  <c r="D75" i="13"/>
  <c r="E75" i="13" s="1"/>
  <c r="D8" i="13"/>
  <c r="H8" i="13"/>
  <c r="K125" i="3"/>
  <c r="H126" i="3"/>
  <c r="Y120" i="3"/>
  <c r="X120" i="3"/>
  <c r="AB83" i="3" s="1"/>
  <c r="H62" i="21"/>
  <c r="I62" i="21" s="1"/>
  <c r="D62" i="21"/>
  <c r="E62" i="21" s="1"/>
  <c r="H47" i="13"/>
  <c r="I47" i="13" s="1"/>
  <c r="L47" i="13"/>
  <c r="M47" i="13" s="1"/>
  <c r="L50" i="13"/>
  <c r="M50" i="13" s="1"/>
  <c r="H50" i="21"/>
  <c r="I50" i="21" s="1"/>
  <c r="D27" i="13"/>
  <c r="K130" i="3"/>
  <c r="K131" i="3" s="1"/>
  <c r="AV167" i="3"/>
  <c r="AZ170" i="3" s="1"/>
  <c r="Y121" i="3"/>
  <c r="H11" i="21"/>
  <c r="D22" i="13"/>
  <c r="L22" i="13"/>
  <c r="D30" i="26"/>
  <c r="E30" i="26" s="1"/>
  <c r="H30" i="21"/>
  <c r="D8" i="26"/>
  <c r="E8" i="26" s="1"/>
  <c r="AB130" i="3"/>
  <c r="AB131" i="3" s="1"/>
  <c r="AB126" i="3"/>
  <c r="D82" i="21" s="1"/>
  <c r="D5" i="26"/>
  <c r="E5" i="26" s="1"/>
  <c r="Y119" i="3"/>
  <c r="X119" i="3"/>
  <c r="AB82" i="3" s="1"/>
  <c r="L21" i="13"/>
  <c r="H17" i="13"/>
  <c r="D17" i="13"/>
  <c r="H59" i="13"/>
  <c r="I59" i="13" s="1"/>
  <c r="D59" i="13"/>
  <c r="E59" i="13" s="1"/>
  <c r="H25" i="21"/>
  <c r="L33" i="13"/>
  <c r="M33" i="13" s="1"/>
  <c r="AF140" i="3"/>
  <c r="AJ126" i="3" s="1"/>
  <c r="L82" i="13" s="1"/>
  <c r="X118" i="3"/>
  <c r="AB81" i="3" s="1"/>
  <c r="L8" i="13"/>
  <c r="D22" i="21"/>
  <c r="H22" i="21"/>
  <c r="G115" i="3"/>
  <c r="K78" i="3" s="1"/>
  <c r="D55" i="13" s="1"/>
  <c r="G119" i="3"/>
  <c r="K82" i="3" s="1"/>
  <c r="AW119" i="3"/>
  <c r="AV119" i="3"/>
  <c r="AZ82" i="3" s="1"/>
  <c r="L30" i="13"/>
  <c r="H96" i="21"/>
  <c r="I96" i="21" s="1"/>
  <c r="H85" i="21"/>
  <c r="I85" i="21" s="1"/>
  <c r="H49" i="21"/>
  <c r="I49" i="21" s="1"/>
  <c r="L28" i="13"/>
  <c r="AB201" i="3"/>
  <c r="D36" i="26"/>
  <c r="E36" i="26" s="1"/>
  <c r="D13" i="26"/>
  <c r="E13" i="26" s="1"/>
  <c r="H74" i="21"/>
  <c r="I74" i="21" s="1"/>
  <c r="L75" i="13"/>
  <c r="M75" i="13" s="1"/>
  <c r="L5" i="13"/>
  <c r="M5" i="13" s="1"/>
  <c r="H36" i="13"/>
  <c r="L36" i="13"/>
  <c r="Y126" i="3"/>
  <c r="AB125" i="3"/>
  <c r="H25" i="13"/>
  <c r="L25" i="13"/>
  <c r="D15" i="22"/>
  <c r="H44" i="13"/>
  <c r="I44" i="13" s="1"/>
  <c r="L44" i="13"/>
  <c r="M44" i="13" s="1"/>
  <c r="D44" i="13"/>
  <c r="E44" i="13" s="1"/>
  <c r="AB169" i="3"/>
  <c r="AB77" i="3"/>
  <c r="D20" i="26"/>
  <c r="E20" i="26" s="1"/>
  <c r="H58" i="13"/>
  <c r="I58" i="13" s="1"/>
  <c r="B60" i="13"/>
  <c r="H16" i="21"/>
  <c r="I16" i="21" s="1"/>
  <c r="AZ201" i="3"/>
  <c r="H11" i="13"/>
  <c r="D11" i="13"/>
  <c r="AY83" i="3"/>
  <c r="L46" i="13"/>
  <c r="M46" i="13" s="1"/>
  <c r="X117" i="3"/>
  <c r="AB80" i="3" s="1"/>
  <c r="Y117" i="3"/>
  <c r="AY84" i="3"/>
  <c r="H61" i="13"/>
  <c r="I61" i="13" s="1"/>
  <c r="L61" i="13"/>
  <c r="M61" i="13" s="1"/>
  <c r="H76" i="13"/>
  <c r="I76" i="13" s="1"/>
  <c r="D8" i="21"/>
  <c r="L76" i="13"/>
  <c r="M76" i="13" s="1"/>
  <c r="H33" i="21"/>
  <c r="I33" i="21" s="1"/>
  <c r="D49" i="13"/>
  <c r="E49" i="13" s="1"/>
  <c r="D21" i="26"/>
  <c r="E21" i="26" s="1"/>
  <c r="D36" i="13"/>
  <c r="H21" i="21"/>
  <c r="D18" i="26"/>
  <c r="E18" i="26" s="1"/>
  <c r="D10" i="26"/>
  <c r="AV121" i="3"/>
  <c r="AZ84" i="3" s="1"/>
  <c r="L37" i="13"/>
  <c r="B23" i="26"/>
  <c r="D23" i="26" s="1"/>
  <c r="E23" i="26" s="1"/>
  <c r="AW115" i="3"/>
  <c r="H78" i="13"/>
  <c r="I78" i="13" s="1"/>
  <c r="D78" i="13"/>
  <c r="E78" i="13" s="1"/>
  <c r="AW159" i="3"/>
  <c r="D24" i="21"/>
  <c r="H24" i="21"/>
  <c r="H14" i="21"/>
  <c r="I14" i="21" s="1"/>
  <c r="AJ77" i="3"/>
  <c r="L54" i="13" s="1"/>
  <c r="H59" i="21"/>
  <c r="I59" i="21" s="1"/>
  <c r="B40" i="26"/>
  <c r="AY81" i="3"/>
  <c r="B79" i="13"/>
  <c r="L79" i="13" s="1"/>
  <c r="M79" i="13" s="1"/>
  <c r="G139" i="3"/>
  <c r="H139" i="3" s="1"/>
  <c r="D31" i="13"/>
  <c r="L31" i="13"/>
  <c r="AV115" i="3"/>
  <c r="AZ78" i="3" s="1"/>
  <c r="D28" i="13"/>
  <c r="H28" i="13"/>
  <c r="H38" i="21"/>
  <c r="H38" i="13"/>
  <c r="L38" i="13"/>
  <c r="K171" i="3"/>
  <c r="D32" i="26"/>
  <c r="E32" i="26" s="1"/>
  <c r="D16" i="13"/>
  <c r="E16" i="13" s="1"/>
  <c r="L58" i="13"/>
  <c r="M58" i="13" s="1"/>
  <c r="D46" i="13"/>
  <c r="E46" i="13" s="1"/>
  <c r="H23" i="21"/>
  <c r="AY80" i="3"/>
  <c r="B86" i="21"/>
  <c r="D86" i="21" s="1"/>
  <c r="E86" i="21" s="1"/>
  <c r="H39" i="21"/>
  <c r="H10" i="21"/>
  <c r="L49" i="13"/>
  <c r="M49" i="13" s="1"/>
  <c r="D5" i="13"/>
  <c r="E5" i="13" s="1"/>
  <c r="L78" i="13"/>
  <c r="M78" i="13" s="1"/>
  <c r="L39" i="13"/>
  <c r="K77" i="3"/>
  <c r="D54" i="13" s="1"/>
  <c r="D85" i="13"/>
  <c r="E85" i="13" s="1"/>
  <c r="AV139" i="3"/>
  <c r="AW139" i="3" s="1"/>
  <c r="H27" i="21"/>
  <c r="G120" i="3"/>
  <c r="K83" i="3" s="1"/>
  <c r="H120" i="3"/>
  <c r="AE221" i="3"/>
  <c r="AE222" i="3" s="1"/>
  <c r="AJ129" i="3"/>
  <c r="H74" i="13"/>
  <c r="I74" i="13" s="1"/>
  <c r="D74" i="13"/>
  <c r="E74" i="13" s="1"/>
  <c r="H76" i="21"/>
  <c r="I76" i="21" s="1"/>
  <c r="H62" i="13"/>
  <c r="I62" i="13" s="1"/>
  <c r="L62" i="13"/>
  <c r="M62" i="13" s="1"/>
  <c r="H37" i="13"/>
  <c r="D37" i="13"/>
  <c r="D96" i="13"/>
  <c r="E96" i="13" s="1"/>
  <c r="B97" i="13"/>
  <c r="K97" i="13"/>
  <c r="H75" i="21"/>
  <c r="I75" i="21" s="1"/>
  <c r="H94" i="21"/>
  <c r="I94" i="21" s="1"/>
  <c r="D35" i="26"/>
  <c r="E35" i="26" s="1"/>
  <c r="D17" i="21"/>
  <c r="H17" i="21"/>
  <c r="AL140" i="3"/>
  <c r="AN140" i="3" s="1"/>
  <c r="AN138" i="3"/>
  <c r="AD143" i="3"/>
  <c r="D52" i="21" l="1"/>
  <c r="E52" i="21" s="1"/>
  <c r="H52" i="21"/>
  <c r="I52" i="21" s="1"/>
  <c r="D33" i="26"/>
  <c r="E33" i="26" s="1"/>
  <c r="K69" i="13"/>
  <c r="K65" i="13"/>
  <c r="K68" i="13" s="1"/>
  <c r="G69" i="21"/>
  <c r="G65" i="21"/>
  <c r="AZ79" i="3"/>
  <c r="AZ171" i="3"/>
  <c r="AZ215" i="3" s="1"/>
  <c r="AZ216" i="3" s="1"/>
  <c r="AW140" i="3"/>
  <c r="AZ126" i="3"/>
  <c r="AZ130" i="3"/>
  <c r="AZ131" i="3" s="1"/>
  <c r="E15" i="22"/>
  <c r="B66" i="21"/>
  <c r="D56" i="13"/>
  <c r="D60" i="21"/>
  <c r="E60" i="21" s="1"/>
  <c r="D40" i="26"/>
  <c r="K79" i="3"/>
  <c r="H60" i="21"/>
  <c r="I60" i="21" s="1"/>
  <c r="B69" i="21"/>
  <c r="D69" i="21" s="1"/>
  <c r="D65" i="21"/>
  <c r="E65" i="21" s="1"/>
  <c r="L86" i="13"/>
  <c r="M86" i="13" s="1"/>
  <c r="D86" i="13"/>
  <c r="E86" i="13" s="1"/>
  <c r="AJ130" i="3"/>
  <c r="AJ131" i="3" s="1"/>
  <c r="AG140" i="3"/>
  <c r="H97" i="21"/>
  <c r="D81" i="13"/>
  <c r="D83" i="13" s="1"/>
  <c r="K127" i="3"/>
  <c r="D81" i="21"/>
  <c r="D83" i="21" s="1"/>
  <c r="AB127" i="3"/>
  <c r="H52" i="13"/>
  <c r="I52" i="13" s="1"/>
  <c r="D52" i="13"/>
  <c r="E52" i="13" s="1"/>
  <c r="L52" i="13"/>
  <c r="M52" i="13" s="1"/>
  <c r="D54" i="21"/>
  <c r="D56" i="21" s="1"/>
  <c r="AB79" i="3"/>
  <c r="H79" i="13"/>
  <c r="I79" i="13" s="1"/>
  <c r="D79" i="13"/>
  <c r="E79" i="13" s="1"/>
  <c r="D60" i="13"/>
  <c r="E60" i="13" s="1"/>
  <c r="B69" i="13"/>
  <c r="H60" i="13"/>
  <c r="I60" i="13" s="1"/>
  <c r="B65" i="13"/>
  <c r="L60" i="13"/>
  <c r="M60" i="13" s="1"/>
  <c r="H86" i="21"/>
  <c r="I86" i="21" s="1"/>
  <c r="H97" i="13"/>
  <c r="L97" i="13"/>
  <c r="D97" i="13"/>
  <c r="AB171" i="3"/>
  <c r="AB215" i="3" s="1"/>
  <c r="AB216" i="3" s="1"/>
  <c r="D88" i="21"/>
  <c r="D90" i="21" s="1"/>
  <c r="AR130" i="3"/>
  <c r="AR131" i="3" s="1"/>
  <c r="AO140" i="3"/>
  <c r="AR126" i="3"/>
  <c r="H82" i="21" s="1"/>
  <c r="AF143" i="3"/>
  <c r="AL166" i="3"/>
  <c r="G68" i="21" l="1"/>
  <c r="H68" i="21" s="1"/>
  <c r="H65" i="21"/>
  <c r="I65" i="21" s="1"/>
  <c r="H69" i="21"/>
  <c r="H65" i="13"/>
  <c r="I65" i="13" s="1"/>
  <c r="B68" i="13"/>
  <c r="L65" i="13"/>
  <c r="M65" i="13" s="1"/>
  <c r="D65" i="13"/>
  <c r="E65" i="13" s="1"/>
  <c r="H69" i="13"/>
  <c r="D69" i="13"/>
  <c r="L69" i="13"/>
  <c r="AN166" i="3"/>
  <c r="AL167" i="3"/>
  <c r="AN167" i="3" s="1"/>
  <c r="AR170" i="3" s="1"/>
  <c r="AL143" i="3"/>
  <c r="H68" i="13" l="1"/>
  <c r="L68" i="13"/>
  <c r="D68" i="13"/>
  <c r="AR171" i="3"/>
  <c r="H89" i="21"/>
  <c r="H90" i="21" s="1"/>
  <c r="AN143" i="3"/>
  <c r="AD38" i="3"/>
  <c r="AF38" i="3" l="1"/>
  <c r="AI82" i="3" s="1"/>
  <c r="AD166" i="3"/>
  <c r="AF166" i="3" l="1"/>
  <c r="AD167" i="3"/>
  <c r="AF167" i="3" s="1"/>
  <c r="AJ170" i="3" s="1"/>
  <c r="AD78" i="3"/>
  <c r="L89" i="13" l="1"/>
  <c r="L90" i="13" s="1"/>
  <c r="AJ171" i="3"/>
  <c r="AD219" i="3"/>
  <c r="AD115" i="3"/>
  <c r="AF78" i="3"/>
  <c r="AL89" i="3"/>
  <c r="AN89" i="3" l="1"/>
  <c r="AG115" i="3"/>
  <c r="AF115" i="3"/>
  <c r="AJ78" i="3" s="1"/>
  <c r="B47" i="21"/>
  <c r="D47" i="21" s="1"/>
  <c r="E47" i="21" s="1"/>
  <c r="AL36" i="3"/>
  <c r="L55" i="13" l="1"/>
  <c r="L56" i="13" s="1"/>
  <c r="AJ79" i="3"/>
  <c r="H47" i="21"/>
  <c r="I47" i="21" s="1"/>
  <c r="AN36" i="3"/>
  <c r="AQ80" i="3" s="1"/>
  <c r="AL78" i="3"/>
  <c r="AL115" i="3" l="1"/>
  <c r="AL219" i="3"/>
  <c r="AN78" i="3"/>
  <c r="AL38" i="3"/>
  <c r="AN38" i="3" l="1"/>
  <c r="AQ82" i="3" s="1"/>
  <c r="AO115" i="3"/>
  <c r="AN115" i="3"/>
  <c r="AR78" i="3" s="1"/>
  <c r="AL87" i="3"/>
  <c r="H55" i="21" l="1"/>
  <c r="H56" i="21" s="1"/>
  <c r="AR79" i="3"/>
  <c r="AN87" i="3"/>
  <c r="B45" i="21"/>
  <c r="D45" i="21" s="1"/>
  <c r="E45" i="21" s="1"/>
  <c r="AD36" i="3"/>
  <c r="H45" i="21" l="1"/>
  <c r="I45" i="21" s="1"/>
  <c r="AF36" i="3"/>
  <c r="AI80" i="3" s="1"/>
  <c r="AD37" i="3"/>
  <c r="AF37" i="3" l="1"/>
  <c r="AI81" i="3" s="1"/>
  <c r="AL88" i="3"/>
  <c r="AN88" i="3" l="1"/>
  <c r="B46" i="21"/>
  <c r="H46" i="21" s="1"/>
  <c r="I46" i="21" s="1"/>
  <c r="AD157" i="3"/>
  <c r="D46" i="21" l="1"/>
  <c r="E46" i="21" s="1"/>
  <c r="AD159" i="3"/>
  <c r="AG159" i="3" s="1"/>
  <c r="AF157" i="3"/>
  <c r="AL40" i="3"/>
  <c r="AN40" i="3" l="1"/>
  <c r="AQ84" i="3" s="1"/>
  <c r="AD34" i="3"/>
  <c r="AJ125" i="3" l="1"/>
  <c r="B18" i="21"/>
  <c r="AF34" i="3"/>
  <c r="AL157" i="3"/>
  <c r="AL159" i="3" l="1"/>
  <c r="AO159" i="3" s="1"/>
  <c r="D18" i="21"/>
  <c r="E18" i="21" s="1"/>
  <c r="H18" i="21"/>
  <c r="I18" i="21" s="1"/>
  <c r="AJ127" i="3"/>
  <c r="L81" i="13"/>
  <c r="L83" i="13" s="1"/>
  <c r="AN157" i="3"/>
  <c r="AD169" i="3"/>
  <c r="AF169" i="3" l="1"/>
  <c r="AL94" i="3"/>
  <c r="AN94" i="3" l="1"/>
  <c r="AD105" i="3"/>
  <c r="AF105" i="3" l="1"/>
  <c r="AD55" i="3"/>
  <c r="AF55" i="3" l="1"/>
  <c r="AD64" i="3"/>
  <c r="AF64" i="3" l="1"/>
  <c r="AD211" i="3"/>
  <c r="AF211" i="3" l="1"/>
  <c r="AL45" i="3"/>
  <c r="AN45" i="3" l="1"/>
  <c r="AD171" i="3"/>
  <c r="AF171" i="3" l="1"/>
  <c r="AL198" i="3"/>
  <c r="AN198" i="3" l="1"/>
  <c r="AL194" i="3"/>
  <c r="AN194" i="3" l="1"/>
  <c r="AL97" i="3"/>
  <c r="AN97" i="3" l="1"/>
  <c r="AL185" i="3"/>
  <c r="AN185" i="3" l="1"/>
  <c r="AD94" i="3"/>
  <c r="AF94" i="3" l="1"/>
  <c r="AD19" i="3"/>
  <c r="AF19" i="3" l="1"/>
  <c r="AL46" i="3"/>
  <c r="AN46" i="3" l="1"/>
  <c r="AD83" i="3"/>
  <c r="AF83" i="3" l="1"/>
  <c r="AD152" i="3"/>
  <c r="AF152" i="3" l="1"/>
  <c r="AD128" i="3"/>
  <c r="AF128" i="3" l="1"/>
  <c r="AL22" i="3"/>
  <c r="AN22" i="3" l="1"/>
  <c r="AD44" i="3"/>
  <c r="AF44" i="3" l="1"/>
  <c r="AD80" i="3"/>
  <c r="AD117" i="3" l="1"/>
  <c r="AF80" i="3"/>
  <c r="AD61" i="3"/>
  <c r="AF117" i="3" l="1"/>
  <c r="AJ80" i="3" s="1"/>
  <c r="AG117" i="3"/>
  <c r="AF61" i="3"/>
  <c r="AD112" i="3"/>
  <c r="AF112" i="3" l="1"/>
  <c r="AL93" i="3"/>
  <c r="AN93" i="3" l="1"/>
  <c r="AL33" i="3"/>
  <c r="AN33" i="3" l="1"/>
  <c r="AD173" i="3"/>
  <c r="AF173" i="3" l="1"/>
  <c r="AL25" i="3"/>
  <c r="AN25" i="3" l="1"/>
  <c r="AD23" i="3"/>
  <c r="AF23" i="3" l="1"/>
  <c r="AD26" i="3"/>
  <c r="AF26" i="3" l="1"/>
  <c r="AD95" i="3"/>
  <c r="AF95" i="3" l="1"/>
  <c r="AL111" i="3"/>
  <c r="AN111" i="3" l="1"/>
  <c r="AL8" i="3"/>
  <c r="AN8" i="3" l="1"/>
  <c r="AD192" i="3"/>
  <c r="AF192" i="3" l="1"/>
  <c r="AD103" i="3"/>
  <c r="AF103" i="3" l="1"/>
  <c r="AD10" i="3"/>
  <c r="AF10" i="3" l="1"/>
  <c r="AL57" i="3"/>
  <c r="AN57" i="3" l="1"/>
  <c r="AD65" i="3"/>
  <c r="AF65" i="3" l="1"/>
  <c r="AD88" i="3"/>
  <c r="AF88" i="3" l="1"/>
  <c r="AD72" i="3"/>
  <c r="AF72" i="3" l="1"/>
  <c r="AL215" i="3"/>
  <c r="AL217" i="3" l="1"/>
  <c r="AN215" i="3"/>
  <c r="AL146" i="3"/>
  <c r="AL147" i="3" l="1"/>
  <c r="AN146" i="3"/>
  <c r="AL56" i="3"/>
  <c r="AN56" i="3" l="1"/>
  <c r="AD62" i="3"/>
  <c r="AF62" i="3" l="1"/>
  <c r="AL32" i="3"/>
  <c r="AN32" i="3" l="1"/>
  <c r="AL149" i="3"/>
  <c r="AL158" i="3" l="1"/>
  <c r="AL150" i="3"/>
  <c r="AN149" i="3"/>
  <c r="AD185" i="3"/>
  <c r="AF185" i="3" l="1"/>
  <c r="AD56" i="3"/>
  <c r="AF56" i="3" l="1"/>
  <c r="AL195" i="3"/>
  <c r="AN195" i="3" l="1"/>
  <c r="AL100" i="3"/>
  <c r="AN100" i="3" l="1"/>
  <c r="AD96" i="3"/>
  <c r="AF96" i="3" l="1"/>
  <c r="AL131" i="3"/>
  <c r="AL144" i="3" l="1"/>
  <c r="AN144" i="3" s="1"/>
  <c r="AO144" i="3" s="1"/>
  <c r="AN131" i="3"/>
  <c r="AD49" i="3"/>
  <c r="AF49" i="3" l="1"/>
  <c r="AD46" i="3"/>
  <c r="AF46" i="3" l="1"/>
  <c r="AL44" i="3"/>
  <c r="AN44" i="3" l="1"/>
  <c r="AD197" i="3"/>
  <c r="AF197" i="3" l="1"/>
  <c r="AL171" i="3"/>
  <c r="AN171" i="3" l="1"/>
  <c r="AD186" i="3"/>
  <c r="AF186" i="3" l="1"/>
  <c r="AD84" i="3"/>
  <c r="AF84" i="3" l="1"/>
  <c r="AD13" i="3"/>
  <c r="AF13" i="3" l="1"/>
  <c r="AL184" i="3"/>
  <c r="AN184" i="3" l="1"/>
  <c r="AD125" i="3"/>
  <c r="AF125" i="3" l="1"/>
  <c r="AG125" i="3" s="1"/>
  <c r="AD57" i="3"/>
  <c r="AF57" i="3" l="1"/>
  <c r="AL207" i="3"/>
  <c r="AN207" i="3" l="1"/>
  <c r="AL193" i="3"/>
  <c r="AN193" i="3" l="1"/>
  <c r="AD180" i="3"/>
  <c r="AF180" i="3" l="1"/>
  <c r="AJ180" i="3" s="1"/>
  <c r="AD131" i="3"/>
  <c r="AD144" i="3" l="1"/>
  <c r="AF144" i="3" s="1"/>
  <c r="AG144" i="3" s="1"/>
  <c r="AF131" i="3"/>
  <c r="AL18" i="3"/>
  <c r="AN18" i="3" l="1"/>
  <c r="AD81" i="3"/>
  <c r="AD118" i="3" l="1"/>
  <c r="AF81" i="3"/>
  <c r="AD99" i="3"/>
  <c r="AG118" i="3" l="1"/>
  <c r="AF118" i="3"/>
  <c r="AJ81" i="3" s="1"/>
  <c r="AF99" i="3"/>
  <c r="AL113" i="3"/>
  <c r="AN113" i="3" l="1"/>
  <c r="AD93" i="3"/>
  <c r="AF93" i="3" l="1"/>
  <c r="AL202" i="3"/>
  <c r="AN202" i="3" l="1"/>
  <c r="AD106" i="3"/>
  <c r="AF106" i="3" l="1"/>
  <c r="AD17" i="3"/>
  <c r="AF17" i="3" l="1"/>
  <c r="AD45" i="3"/>
  <c r="AF45" i="3" l="1"/>
  <c r="AL197" i="3"/>
  <c r="AN197" i="3" l="1"/>
  <c r="AL68" i="3"/>
  <c r="AN68" i="3" l="1"/>
  <c r="AD8" i="3"/>
  <c r="AF8" i="3" l="1"/>
  <c r="AD205" i="3"/>
  <c r="AF205" i="3" l="1"/>
  <c r="AD149" i="3"/>
  <c r="AD150" i="3" l="1"/>
  <c r="AF149" i="3"/>
  <c r="AD33" i="3"/>
  <c r="AF33" i="3" l="1"/>
  <c r="AD98" i="3"/>
  <c r="AF98" i="3" l="1"/>
  <c r="AD87" i="3"/>
  <c r="AF87" i="3" l="1"/>
  <c r="AD110" i="3"/>
  <c r="AF110" i="3" l="1"/>
  <c r="AL19" i="3"/>
  <c r="AN19" i="3" l="1"/>
  <c r="AL172" i="3"/>
  <c r="AN172" i="3" l="1"/>
  <c r="AD100" i="3"/>
  <c r="AF100" i="3" l="1"/>
  <c r="AL49" i="3"/>
  <c r="AN49" i="3" l="1"/>
  <c r="AD208" i="3"/>
  <c r="AF208" i="3" l="1"/>
  <c r="AD136" i="3"/>
  <c r="AF136" i="3" l="1"/>
  <c r="AL204" i="3"/>
  <c r="AN204" i="3" l="1"/>
  <c r="AL61" i="3"/>
  <c r="AN61" i="3" l="1"/>
  <c r="AD130" i="3"/>
  <c r="AD39" i="3"/>
  <c r="AD120" i="3" l="1"/>
  <c r="AF130" i="3"/>
  <c r="AF39" i="3"/>
  <c r="AI83" i="3" s="1"/>
  <c r="AD109" i="3"/>
  <c r="AF109" i="3" l="1"/>
  <c r="AF120" i="3"/>
  <c r="AJ83" i="3" s="1"/>
  <c r="AG120" i="3"/>
  <c r="AD47" i="3"/>
  <c r="AF47" i="3" l="1"/>
  <c r="AL189" i="3"/>
  <c r="AN189" i="3" l="1"/>
  <c r="AR189" i="3" s="1"/>
  <c r="AL180" i="3"/>
  <c r="AN180" i="3" l="1"/>
  <c r="AR180" i="3" s="1"/>
  <c r="AL52" i="3"/>
  <c r="AN52" i="3" l="1"/>
  <c r="AD14" i="3"/>
  <c r="AF14" i="3" l="1"/>
  <c r="AD191" i="3"/>
  <c r="AF191" i="3" l="1"/>
  <c r="AL169" i="3"/>
  <c r="AN169" i="3" l="1"/>
  <c r="AL173" i="3"/>
  <c r="AN173" i="3" l="1"/>
  <c r="AD194" i="3"/>
  <c r="AF194" i="3" l="1"/>
  <c r="AL109" i="3"/>
  <c r="AN109" i="3" l="1"/>
  <c r="AL206" i="3"/>
  <c r="AN206" i="3" l="1"/>
  <c r="AD25" i="3"/>
  <c r="AF25" i="3" l="1"/>
  <c r="AD196" i="3"/>
  <c r="AF196" i="3" l="1"/>
  <c r="AD91" i="3"/>
  <c r="AF91" i="3" l="1"/>
  <c r="AD210" i="3"/>
  <c r="AF210" i="3" l="1"/>
  <c r="AD189" i="3"/>
  <c r="AF189" i="3" l="1"/>
  <c r="AJ189" i="3" s="1"/>
  <c r="AL20" i="3"/>
  <c r="AN20" i="3" l="1"/>
  <c r="AL23" i="3"/>
  <c r="AN23" i="3" l="1"/>
  <c r="AL60" i="3"/>
  <c r="AD31" i="3"/>
  <c r="AN60" i="3" l="1"/>
  <c r="AL11" i="3"/>
  <c r="AN11" i="3" l="1"/>
  <c r="AL51" i="3"/>
  <c r="AN51" i="3" l="1"/>
  <c r="AL132" i="3"/>
  <c r="AL139" i="3" l="1"/>
  <c r="AN139" i="3" s="1"/>
  <c r="AO139" i="3" s="1"/>
  <c r="AN132" i="3"/>
  <c r="AD111" i="3"/>
  <c r="AF111" i="3" l="1"/>
  <c r="AD202" i="3"/>
  <c r="AF202" i="3" l="1"/>
  <c r="AL13" i="3"/>
  <c r="AN13" i="3" l="1"/>
  <c r="AL53" i="3"/>
  <c r="AN53" i="3" l="1"/>
  <c r="AL10" i="3"/>
  <c r="AN10" i="3" l="1"/>
  <c r="AD11" i="3"/>
  <c r="AF11" i="3" l="1"/>
  <c r="AD104" i="3"/>
  <c r="AF104" i="3" l="1"/>
  <c r="AD53" i="3"/>
  <c r="AF53" i="3" l="1"/>
  <c r="AL130" i="3"/>
  <c r="AN130" i="3" l="1"/>
  <c r="AD71" i="3"/>
  <c r="AF71" i="3" l="1"/>
  <c r="AL170" i="3"/>
  <c r="AN170" i="3" l="1"/>
  <c r="AL27" i="3"/>
  <c r="AN27" i="3" l="1"/>
  <c r="AD203" i="3"/>
  <c r="AF203" i="3" l="1"/>
  <c r="AD146" i="3"/>
  <c r="AD158" i="3" l="1"/>
  <c r="AF146" i="3"/>
  <c r="AD147" i="3"/>
  <c r="AL136" i="3"/>
  <c r="AN136" i="3" l="1"/>
  <c r="AD82" i="3"/>
  <c r="AD119" i="3" l="1"/>
  <c r="AD85" i="3"/>
  <c r="AF82" i="3"/>
  <c r="AL70" i="3"/>
  <c r="AF119" i="3" l="1"/>
  <c r="AJ82" i="3" s="1"/>
  <c r="AG119" i="3"/>
  <c r="AN70" i="3"/>
  <c r="AL191" i="3"/>
  <c r="AN191" i="3" l="1"/>
  <c r="AD22" i="3"/>
  <c r="AF22" i="3" l="1"/>
  <c r="AL17" i="3"/>
  <c r="AN17" i="3" l="1"/>
  <c r="AD68" i="3"/>
  <c r="AF68" i="3" l="1"/>
  <c r="AD132" i="3"/>
  <c r="AD139" i="3" l="1"/>
  <c r="AF139" i="3" s="1"/>
  <c r="AG139" i="3" s="1"/>
  <c r="AF132" i="3"/>
  <c r="AD198" i="3"/>
  <c r="AF198" i="3" l="1"/>
  <c r="AD27" i="3"/>
  <c r="AF27" i="3" l="1"/>
  <c r="AL31" i="3"/>
  <c r="AL24" i="3"/>
  <c r="AN24" i="3" l="1"/>
  <c r="AL192" i="3"/>
  <c r="AN192" i="3" l="1"/>
  <c r="AL183" i="3"/>
  <c r="AN183" i="3" l="1"/>
  <c r="AL50" i="3"/>
  <c r="AN50" i="3" l="1"/>
  <c r="AL96" i="3"/>
  <c r="AN96" i="3" l="1"/>
  <c r="AD204" i="3"/>
  <c r="AF204" i="3" l="1"/>
  <c r="AL211" i="3"/>
  <c r="AN211" i="3" l="1"/>
  <c r="AL135" i="3"/>
  <c r="AN135" i="3" l="1"/>
  <c r="AL186" i="3"/>
  <c r="AN186" i="3" l="1"/>
  <c r="AD48" i="3"/>
  <c r="AF48" i="3" l="1"/>
  <c r="AL174" i="3"/>
  <c r="AN174" i="3" l="1"/>
  <c r="AL153" i="3"/>
  <c r="AN153" i="3" l="1"/>
  <c r="AL72" i="3"/>
  <c r="AN72" i="3" l="1"/>
  <c r="AL81" i="3"/>
  <c r="AL118" i="3" l="1"/>
  <c r="AN81" i="3"/>
  <c r="AD92" i="3"/>
  <c r="AO118" i="3" l="1"/>
  <c r="AN118" i="3"/>
  <c r="AR81" i="3" s="1"/>
  <c r="AF92" i="3"/>
  <c r="AD51" i="3"/>
  <c r="AF51" i="3" l="1"/>
  <c r="AL63" i="3"/>
  <c r="AN63" i="3" l="1"/>
  <c r="AL161" i="3"/>
  <c r="AN161" i="3" l="1"/>
  <c r="AL12" i="3"/>
  <c r="AN12" i="3" l="1"/>
  <c r="AD108" i="3"/>
  <c r="AF108" i="3" l="1"/>
  <c r="AL203" i="3"/>
  <c r="AN203" i="3" l="1"/>
  <c r="AL83" i="3"/>
  <c r="AN83" i="3" l="1"/>
  <c r="AL112" i="3"/>
  <c r="AN112" i="3" l="1"/>
  <c r="AL103" i="3"/>
  <c r="AN103" i="3" l="1"/>
  <c r="AD20" i="3"/>
  <c r="AF20" i="3" l="1"/>
  <c r="AD60" i="3"/>
  <c r="AF60" i="3" l="1"/>
  <c r="AD52" i="3"/>
  <c r="AF52" i="3" l="1"/>
  <c r="AD153" i="3"/>
  <c r="AF153" i="3" l="1"/>
  <c r="AD32" i="3"/>
  <c r="AF32" i="3" l="1"/>
  <c r="AL133" i="3"/>
  <c r="AN133" i="3" l="1"/>
  <c r="AL162" i="3"/>
  <c r="AL125" i="3"/>
  <c r="AN125" i="3" l="1"/>
  <c r="AO125" i="3" s="1"/>
  <c r="AL43" i="3"/>
  <c r="AL39" i="3"/>
  <c r="AL41" i="3" l="1"/>
  <c r="AL120" i="3"/>
  <c r="AN43" i="3"/>
  <c r="AN39" i="3"/>
  <c r="AQ83" i="3" s="1"/>
  <c r="AD40" i="3"/>
  <c r="AD41" i="3" l="1"/>
  <c r="AD121" i="3"/>
  <c r="AO120" i="3"/>
  <c r="AN120" i="3"/>
  <c r="AR83" i="3" s="1"/>
  <c r="AF40" i="3"/>
  <c r="AI84" i="3" s="1"/>
  <c r="AL92" i="3"/>
  <c r="AN92" i="3" l="1"/>
  <c r="AG121" i="3"/>
  <c r="AF121" i="3"/>
  <c r="AJ84" i="3" s="1"/>
  <c r="AL21" i="3"/>
  <c r="AN21" i="3" l="1"/>
  <c r="AL84" i="3"/>
  <c r="AL121" i="3" l="1"/>
  <c r="AN84" i="3"/>
  <c r="AL205" i="3"/>
  <c r="AN121" i="3" l="1"/>
  <c r="AR84" i="3" s="1"/>
  <c r="AO121" i="3"/>
  <c r="AN205" i="3"/>
  <c r="AD97" i="3"/>
  <c r="AF97" i="3" l="1"/>
  <c r="AD207" i="3"/>
  <c r="AF207" i="3" l="1"/>
  <c r="AD175" i="3"/>
  <c r="AF175" i="3" l="1"/>
  <c r="AD170" i="3"/>
  <c r="AF170" i="3" l="1"/>
  <c r="AL110" i="3"/>
  <c r="AN110" i="3" l="1"/>
  <c r="AD195" i="3"/>
  <c r="AF195" i="3" l="1"/>
  <c r="AL26" i="3"/>
  <c r="AN26" i="3" l="1"/>
  <c r="AD24" i="3"/>
  <c r="AF24" i="3" l="1"/>
  <c r="AD30" i="3"/>
  <c r="AF30" i="3" l="1"/>
  <c r="AL82" i="3"/>
  <c r="AL119" i="3" l="1"/>
  <c r="AN82" i="3"/>
  <c r="AL209" i="3"/>
  <c r="AN119" i="3" l="1"/>
  <c r="AR82" i="3" s="1"/>
  <c r="AO119" i="3"/>
  <c r="AN209" i="3"/>
  <c r="AL128" i="3"/>
  <c r="AN128" i="3" l="1"/>
  <c r="AL99" i="3"/>
  <c r="AN99" i="3" l="1"/>
  <c r="AL30" i="3"/>
  <c r="AN30" i="3" l="1"/>
  <c r="AD12" i="3"/>
  <c r="AD15" i="3" l="1"/>
  <c r="AF12" i="3"/>
  <c r="AD89" i="3"/>
  <c r="AF89" i="3" l="1"/>
  <c r="AL65" i="3"/>
  <c r="AN65" i="3" l="1"/>
  <c r="AL62" i="3"/>
  <c r="AN62" i="3" l="1"/>
  <c r="AD154" i="3"/>
  <c r="AF154" i="3" l="1"/>
  <c r="AL104" i="3"/>
  <c r="AN104" i="3" l="1"/>
  <c r="AL210" i="3"/>
  <c r="AN210" i="3" l="1"/>
  <c r="AD50" i="3"/>
  <c r="AF50" i="3" l="1"/>
  <c r="AD182" i="3"/>
  <c r="AF182" i="3" l="1"/>
  <c r="AD183" i="3"/>
  <c r="AF183" i="3" l="1"/>
  <c r="AL71" i="3"/>
  <c r="AN71" i="3" l="1"/>
  <c r="AL80" i="3"/>
  <c r="AL117" i="3" l="1"/>
  <c r="AL85" i="3"/>
  <c r="AN80" i="3"/>
  <c r="AD58" i="3"/>
  <c r="AO117" i="3" l="1"/>
  <c r="AN117" i="3"/>
  <c r="AR80" i="3" s="1"/>
  <c r="AF58" i="3"/>
  <c r="AL59" i="3"/>
  <c r="AN59" i="3" l="1"/>
  <c r="AL106" i="3"/>
  <c r="AN106" i="3" l="1"/>
  <c r="AL155" i="3"/>
  <c r="AN155" i="3" l="1"/>
  <c r="AD209" i="3"/>
  <c r="AF209" i="3" l="1"/>
  <c r="AL101" i="3"/>
  <c r="AN101" i="3" l="1"/>
  <c r="AD184" i="3"/>
  <c r="AD187" i="3" l="1"/>
  <c r="AF184" i="3"/>
  <c r="AL91" i="3"/>
  <c r="AN91" i="3" l="1"/>
  <c r="AL95" i="3"/>
  <c r="AN95" i="3" l="1"/>
  <c r="AD174" i="3"/>
  <c r="AF174" i="3" l="1"/>
  <c r="AL47" i="3"/>
  <c r="AN47" i="3" l="1"/>
  <c r="AD18" i="3"/>
  <c r="AF18" i="3" l="1"/>
  <c r="AL196" i="3"/>
  <c r="AL199" i="3" l="1"/>
  <c r="AN196" i="3"/>
  <c r="AL208" i="3"/>
  <c r="AL220" i="3" l="1"/>
  <c r="AL221" i="3" s="1"/>
  <c r="AL222" i="3" s="1"/>
  <c r="AN208" i="3"/>
  <c r="AR201" i="3" s="1"/>
  <c r="AL73" i="3"/>
  <c r="AL74" i="3" l="1"/>
  <c r="AN73" i="3"/>
  <c r="AL175" i="3"/>
  <c r="AL176" i="3" l="1"/>
  <c r="AN175" i="3"/>
  <c r="AL58" i="3"/>
  <c r="AN58" i="3" l="1"/>
  <c r="AL48" i="3"/>
  <c r="AN48" i="3" l="1"/>
  <c r="AD172" i="3"/>
  <c r="AD176" i="3" l="1"/>
  <c r="AF172" i="3"/>
  <c r="AL154" i="3"/>
  <c r="AN154" i="3" l="1"/>
  <c r="AD135" i="3"/>
  <c r="AF135" i="3" l="1"/>
  <c r="AD193" i="3"/>
  <c r="AD199" i="3" l="1"/>
  <c r="AF193" i="3"/>
  <c r="AL105" i="3"/>
  <c r="AN105" i="3" l="1"/>
  <c r="AL98" i="3"/>
  <c r="AN98" i="3" l="1"/>
  <c r="AD101" i="3"/>
  <c r="AF101" i="3" l="1"/>
  <c r="AD155" i="3"/>
  <c r="AF155" i="3" l="1"/>
  <c r="AL34" i="3"/>
  <c r="AR125" i="3" l="1"/>
  <c r="AN34" i="3"/>
  <c r="AD73" i="3"/>
  <c r="AF73" i="3" l="1"/>
  <c r="H81" i="21"/>
  <c r="H83" i="21" s="1"/>
  <c r="AR127" i="3"/>
  <c r="AR215" i="3" s="1"/>
  <c r="AR216" i="3" s="1"/>
  <c r="AL64" i="3"/>
  <c r="AN64" i="3" l="1"/>
  <c r="AL55" i="3"/>
  <c r="AL66" i="3" l="1"/>
  <c r="AN55" i="3"/>
  <c r="AL152" i="3"/>
  <c r="AL141" i="3" l="1"/>
  <c r="AL216" i="3"/>
  <c r="AN152" i="3"/>
  <c r="AD59" i="3"/>
  <c r="AF59" i="3" l="1"/>
  <c r="AD215" i="3"/>
  <c r="AF215" i="3" l="1"/>
  <c r="AD217" i="3"/>
  <c r="AL182" i="3"/>
  <c r="AL187" i="3" l="1"/>
  <c r="AN182" i="3"/>
  <c r="AL108" i="3"/>
  <c r="AN108" i="3" l="1"/>
  <c r="AD70" i="3"/>
  <c r="AD74" i="3" l="1"/>
  <c r="AF70" i="3"/>
  <c r="AL14" i="3"/>
  <c r="AL15" i="3" l="1"/>
  <c r="AN14" i="3"/>
  <c r="AD43" i="3"/>
  <c r="AF43" i="3" l="1"/>
  <c r="AD133" i="3"/>
  <c r="AF133" i="3" l="1"/>
  <c r="AD113" i="3"/>
  <c r="AF113" i="3" l="1"/>
  <c r="AD21" i="3"/>
  <c r="AF21" i="3" l="1"/>
  <c r="AD206" i="3"/>
  <c r="AD220" i="3" l="1"/>
  <c r="AD221" i="3" s="1"/>
  <c r="AD222" i="3" s="1"/>
  <c r="AF206" i="3"/>
  <c r="AJ201" i="3" s="1"/>
  <c r="AJ215" i="3" s="1"/>
  <c r="AJ216" i="3" s="1"/>
  <c r="AD63" i="3"/>
  <c r="AD66" i="3" l="1"/>
  <c r="AF63" i="3"/>
  <c r="AD161" i="3"/>
  <c r="AD141" i="3" l="1"/>
  <c r="AD216" i="3"/>
  <c r="AD162" i="3"/>
  <c r="AF161" i="3"/>
  <c r="J70" i="24"/>
  <c r="I73" i="24"/>
  <c r="P168" i="24"/>
  <c r="J167" i="24"/>
  <c r="P129" i="24"/>
  <c r="P86" i="24"/>
  <c r="O132" i="24"/>
  <c r="M164" i="24"/>
  <c r="Q157" i="24"/>
  <c r="K111" i="24"/>
  <c r="K167" i="24"/>
  <c r="M168" i="24"/>
  <c r="Q36" i="24"/>
  <c r="P28" i="24"/>
  <c r="Q130" i="24"/>
  <c r="O35" i="24"/>
  <c r="J97" i="24"/>
  <c r="O133" i="24"/>
  <c r="Q38" i="24"/>
  <c r="E48" i="24"/>
  <c r="K33" i="24"/>
  <c r="I41" i="24"/>
  <c r="O97" i="24"/>
  <c r="E156" i="24"/>
  <c r="J22" i="24"/>
  <c r="I42" i="24"/>
  <c r="J132" i="24"/>
  <c r="E152" i="24"/>
  <c r="Q151" i="24"/>
  <c r="I92" i="24"/>
  <c r="Q131" i="24"/>
  <c r="K132" i="24"/>
  <c r="P150" i="24"/>
  <c r="H10" i="24"/>
  <c r="H14" i="24"/>
  <c r="O112" i="24"/>
  <c r="I32" i="24"/>
  <c r="G111" i="24"/>
  <c r="J156" i="24"/>
  <c r="E120" i="24"/>
  <c r="M33" i="24"/>
  <c r="H86" i="24"/>
  <c r="K21" i="24"/>
  <c r="O30" i="24"/>
  <c r="M113" i="24"/>
  <c r="I120" i="24"/>
  <c r="G22" i="24"/>
  <c r="G151" i="24"/>
  <c r="O65" i="24"/>
  <c r="J50" i="24"/>
  <c r="E161" i="24"/>
  <c r="G17" i="24"/>
  <c r="H168" i="24"/>
  <c r="J17" i="24"/>
  <c r="J157" i="24"/>
  <c r="K169" i="24"/>
  <c r="O157" i="24"/>
  <c r="O18" i="24"/>
  <c r="O129" i="24"/>
  <c r="G92" i="24"/>
  <c r="P30" i="24"/>
  <c r="J86" i="24"/>
  <c r="K73" i="24"/>
  <c r="H65" i="24"/>
  <c r="I21" i="24"/>
  <c r="K116" i="24"/>
  <c r="Q28" i="24"/>
  <c r="M92" i="24"/>
  <c r="M111" i="24"/>
  <c r="Q22" i="24"/>
  <c r="J73" i="24"/>
  <c r="P59" i="24"/>
  <c r="E57" i="24"/>
  <c r="G164" i="24"/>
  <c r="G24" i="24"/>
  <c r="K64" i="24"/>
  <c r="O89" i="24"/>
  <c r="K85" i="24"/>
  <c r="M60" i="24"/>
  <c r="M120" i="24"/>
  <c r="I50" i="24"/>
  <c r="O86" i="24"/>
  <c r="Q24" i="24"/>
  <c r="I58" i="24"/>
  <c r="P153" i="24"/>
  <c r="G120" i="24"/>
  <c r="Q150" i="24"/>
  <c r="M70" i="24"/>
  <c r="H34" i="24"/>
  <c r="J166" i="24"/>
  <c r="P11" i="24"/>
  <c r="J18" i="24"/>
  <c r="M65" i="24"/>
  <c r="Q91" i="24"/>
  <c r="P161" i="24"/>
  <c r="H40" i="24"/>
  <c r="M89" i="24"/>
  <c r="J170" i="24"/>
  <c r="E148" i="24"/>
  <c r="O170" i="24"/>
  <c r="G66" i="24"/>
  <c r="K68" i="24"/>
  <c r="E40" i="24"/>
  <c r="J130" i="24"/>
  <c r="P85" i="24"/>
  <c r="P17" i="24"/>
  <c r="M85" i="24"/>
  <c r="G167" i="24"/>
  <c r="O120" i="24"/>
  <c r="I59" i="24"/>
  <c r="I95" i="24"/>
  <c r="O160" i="24"/>
  <c r="H141" i="24"/>
  <c r="G21" i="24"/>
  <c r="G128" i="24"/>
  <c r="M11" i="24"/>
  <c r="M133" i="24"/>
  <c r="M139" i="24"/>
  <c r="H38" i="24"/>
  <c r="G125" i="24"/>
  <c r="O169" i="24"/>
  <c r="M72" i="24"/>
  <c r="M39" i="24"/>
  <c r="O28" i="24"/>
  <c r="G89" i="24"/>
  <c r="G91" i="24"/>
  <c r="M161" i="24"/>
  <c r="K28" i="24"/>
  <c r="P72" i="24"/>
  <c r="O99" i="24" l="1"/>
  <c r="G126" i="24"/>
  <c r="M170" i="24"/>
  <c r="E58" i="24"/>
  <c r="P134" i="24"/>
  <c r="I105" i="24"/>
  <c r="K92" i="24"/>
  <c r="M41" i="24"/>
  <c r="J120" i="24"/>
  <c r="M151" i="24"/>
  <c r="Q32" i="24"/>
  <c r="M163" i="24"/>
  <c r="O148" i="24"/>
  <c r="J111" i="24"/>
  <c r="M132" i="24"/>
  <c r="K168" i="24"/>
  <c r="H95" i="24"/>
  <c r="Q112" i="24"/>
  <c r="I144" i="24"/>
  <c r="O29" i="24"/>
  <c r="G112" i="24"/>
  <c r="K144" i="24"/>
  <c r="G19" i="24"/>
  <c r="G139" i="24"/>
  <c r="O161" i="24"/>
  <c r="J105" i="24"/>
  <c r="Q49" i="24"/>
  <c r="Q153" i="24"/>
  <c r="H130" i="24"/>
  <c r="Q48" i="24"/>
  <c r="E17" i="24"/>
  <c r="E170" i="24"/>
  <c r="I57" i="24"/>
  <c r="E45" i="24"/>
  <c r="Q163" i="24"/>
  <c r="I77" i="24" l="1"/>
  <c r="Q142" i="24"/>
  <c r="G165" i="24"/>
  <c r="I17" i="24"/>
  <c r="M29" i="24"/>
  <c r="O164" i="24"/>
  <c r="E68" i="24"/>
  <c r="G116" i="24"/>
  <c r="I49" i="24"/>
  <c r="H144" i="24"/>
  <c r="Q141" i="24"/>
  <c r="G45" i="24"/>
  <c r="G118" i="24" l="1"/>
  <c r="P143" i="24"/>
  <c r="G86" i="24"/>
  <c r="I130" i="24"/>
  <c r="G71" i="24"/>
  <c r="I93" i="24"/>
  <c r="H165" i="24"/>
  <c r="G153" i="24"/>
  <c r="H166" i="24"/>
  <c r="H152" i="24"/>
  <c r="P165" i="24"/>
  <c r="I60" i="24"/>
  <c r="Q139" i="24"/>
  <c r="Q66" i="24"/>
  <c r="J12" i="24"/>
  <c r="J163" i="24"/>
  <c r="O128" i="24"/>
  <c r="O125" i="24"/>
  <c r="I18" i="24"/>
  <c r="Q154" i="24"/>
  <c r="I121" i="24" l="1"/>
  <c r="E89" i="24"/>
  <c r="Q19" i="24"/>
  <c r="K32" i="24"/>
  <c r="P69" i="24"/>
  <c r="G154" i="24"/>
  <c r="H13" i="24"/>
  <c r="P142" i="24"/>
  <c r="G38" i="24"/>
  <c r="Q93" i="24"/>
  <c r="P45" i="24"/>
  <c r="O38" i="24"/>
  <c r="Q90" i="24"/>
  <c r="P57" i="24"/>
  <c r="G69" i="24"/>
  <c r="K38" i="24"/>
  <c r="E113" i="24"/>
  <c r="O116" i="24"/>
  <c r="P68" i="24"/>
  <c r="H156" i="24"/>
  <c r="E65" i="24"/>
  <c r="K160" i="24"/>
  <c r="G23" i="24"/>
  <c r="K34" i="24"/>
  <c r="P113" i="24"/>
  <c r="P88" i="24"/>
  <c r="I163" i="24"/>
  <c r="K30" i="24"/>
  <c r="E169" i="24"/>
  <c r="E112" i="24"/>
  <c r="O118" i="24" l="1"/>
  <c r="H35" i="24"/>
  <c r="H132" i="24"/>
  <c r="J55" i="24"/>
  <c r="H22" i="24"/>
  <c r="H161" i="24"/>
  <c r="J61" i="24"/>
  <c r="J75" i="24" l="1"/>
  <c r="P114" i="24"/>
  <c r="Q41" i="24"/>
  <c r="O111" i="24"/>
  <c r="P157" i="24"/>
  <c r="H41" i="24"/>
  <c r="J40" i="24"/>
  <c r="K89" i="24"/>
  <c r="P167" i="24"/>
  <c r="K118" i="24" l="1"/>
  <c r="O155" i="24"/>
  <c r="I169" i="24"/>
  <c r="K154" i="24"/>
  <c r="J160" i="24"/>
  <c r="E47" i="24"/>
  <c r="K19" i="24"/>
  <c r="I156" i="24"/>
  <c r="H102" i="24"/>
  <c r="Q155" i="24"/>
  <c r="I35" i="24"/>
  <c r="E91" i="24"/>
  <c r="H12" i="24"/>
  <c r="M68" i="24"/>
  <c r="H154" i="24"/>
  <c r="I28" i="24"/>
  <c r="M19" i="24"/>
  <c r="E25" i="24"/>
  <c r="E102" i="24"/>
  <c r="E163" i="24"/>
  <c r="H114" i="24"/>
  <c r="M150" i="24"/>
  <c r="O153" i="24"/>
  <c r="J24" i="24"/>
  <c r="O113" i="24"/>
  <c r="E103" i="24" l="1"/>
  <c r="H58" i="24"/>
  <c r="O21" i="24"/>
  <c r="H78" i="24" l="1"/>
  <c r="I97" i="24"/>
  <c r="I98" i="24" l="1"/>
  <c r="M55" i="24"/>
  <c r="K129" i="24"/>
  <c r="H50" i="24"/>
  <c r="O163" i="24"/>
  <c r="P141" i="24"/>
  <c r="O24" i="24"/>
  <c r="Q132" i="24"/>
  <c r="P151" i="24"/>
  <c r="H25" i="24"/>
  <c r="K134" i="24"/>
  <c r="Q156" i="24"/>
  <c r="M35" i="24"/>
  <c r="M169" i="24"/>
  <c r="J38" i="24"/>
  <c r="K163" i="24"/>
  <c r="G60" i="24"/>
  <c r="O141" i="24"/>
  <c r="O168" i="24"/>
  <c r="M152" i="24"/>
  <c r="J68" i="24"/>
  <c r="G80" i="24" l="1"/>
  <c r="J164" i="24"/>
  <c r="H112" i="24"/>
  <c r="J148" i="24"/>
  <c r="K60" i="24"/>
  <c r="K161" i="24"/>
  <c r="H108" i="24"/>
  <c r="G48" i="24"/>
  <c r="P24" i="24"/>
  <c r="H109" i="24" l="1"/>
  <c r="J113" i="24"/>
  <c r="I40" i="24"/>
  <c r="O42" i="24"/>
  <c r="K120" i="24"/>
  <c r="P49" i="24"/>
  <c r="J134" i="24"/>
  <c r="M167" i="24"/>
  <c r="K114" i="24"/>
  <c r="J108" i="24"/>
  <c r="J114" i="24"/>
  <c r="H174" i="24"/>
  <c r="H19" i="24"/>
  <c r="K22" i="24"/>
  <c r="M69" i="24"/>
  <c r="E134" i="24"/>
  <c r="Q59" i="24"/>
  <c r="I168" i="24"/>
  <c r="K24" i="24"/>
  <c r="K80" i="24" l="1"/>
  <c r="E165" i="24"/>
  <c r="J162" i="24"/>
  <c r="G85" i="24"/>
  <c r="O102" i="24"/>
  <c r="M156" i="24"/>
  <c r="H29" i="24"/>
  <c r="Q73" i="24"/>
  <c r="M142" i="24"/>
  <c r="G160" i="24"/>
  <c r="I170" i="24"/>
  <c r="G113" i="24"/>
  <c r="P61" i="24"/>
  <c r="K37" i="24"/>
  <c r="J133" i="24"/>
  <c r="G57" i="24"/>
  <c r="J59" i="24"/>
  <c r="J142" i="24"/>
  <c r="G77" i="24" l="1"/>
  <c r="G163" i="24"/>
  <c r="G133" i="24"/>
  <c r="J143" i="24"/>
  <c r="I24" i="24"/>
  <c r="M24" i="24"/>
  <c r="J42" i="24"/>
  <c r="J57" i="24"/>
  <c r="P37" i="24"/>
  <c r="K145" i="24"/>
  <c r="E131" i="24"/>
  <c r="K152" i="24"/>
  <c r="K47" i="24"/>
  <c r="M28" i="24"/>
  <c r="K155" i="24"/>
  <c r="P32" i="24"/>
  <c r="H143" i="24"/>
  <c r="O166" i="24"/>
  <c r="K25" i="24"/>
  <c r="G50" i="24"/>
  <c r="O33" i="24"/>
  <c r="M71" i="24"/>
  <c r="I80" i="24" l="1"/>
  <c r="M80" i="24"/>
  <c r="H120" i="24"/>
  <c r="Q18" i="24"/>
  <c r="J69" i="24"/>
  <c r="G72" i="24"/>
  <c r="K125" i="24"/>
  <c r="O10" i="24"/>
  <c r="M155" i="24"/>
  <c r="E37" i="24"/>
  <c r="P145" i="24"/>
  <c r="O162" i="24"/>
  <c r="E29" i="24"/>
  <c r="Q40" i="24"/>
  <c r="E150" i="24"/>
  <c r="P13" i="24"/>
  <c r="E130" i="24"/>
  <c r="P10" i="24"/>
  <c r="E69" i="24"/>
  <c r="G65" i="24"/>
  <c r="J165" i="24"/>
  <c r="E157" i="24"/>
  <c r="H91" i="24"/>
  <c r="K128" i="24"/>
  <c r="K174" i="24"/>
  <c r="G33" i="24"/>
  <c r="Q86" i="24"/>
  <c r="E42" i="24"/>
  <c r="Q25" i="24"/>
  <c r="G150" i="24"/>
  <c r="J161" i="24"/>
  <c r="G162" i="24"/>
  <c r="J49" i="24"/>
  <c r="H103" i="24" l="1"/>
  <c r="O25" i="24"/>
  <c r="M22" i="24"/>
  <c r="P60" i="24"/>
  <c r="P80" i="24" l="1"/>
  <c r="H70" i="24"/>
  <c r="M45" i="24"/>
  <c r="Q165" i="24"/>
  <c r="E23" i="24"/>
  <c r="Q12" i="24"/>
  <c r="E160" i="24"/>
  <c r="J90" i="24"/>
  <c r="I47" i="24"/>
  <c r="P155" i="24"/>
  <c r="Q120" i="24"/>
  <c r="Q121" i="24" l="1"/>
  <c r="G59" i="24"/>
  <c r="I90" i="24"/>
  <c r="G79" i="24" l="1"/>
  <c r="P125" i="24"/>
  <c r="O12" i="24"/>
  <c r="M66" i="24"/>
  <c r="E142" i="24"/>
  <c r="P128" i="24"/>
  <c r="Q116" i="24"/>
  <c r="P126" i="24" l="1"/>
  <c r="M50" i="24"/>
  <c r="O151" i="24"/>
  <c r="H85" i="24"/>
  <c r="H128" i="24"/>
  <c r="H125" i="24"/>
  <c r="J72" i="24"/>
  <c r="K61" i="24"/>
  <c r="K18" i="24"/>
  <c r="E114" i="24"/>
  <c r="I152" i="24"/>
  <c r="K81" i="24" l="1"/>
  <c r="J125" i="24"/>
  <c r="J126" i="24" l="1"/>
  <c r="H47" i="24"/>
  <c r="E21" i="24"/>
  <c r="J128" i="24"/>
  <c r="O19" i="24"/>
  <c r="E70" i="24"/>
  <c r="E66" i="24"/>
  <c r="K10" i="24"/>
  <c r="K35" i="24"/>
  <c r="E154" i="24"/>
  <c r="J129" i="24"/>
  <c r="E77" i="24" l="1"/>
  <c r="K153" i="24"/>
  <c r="K69" i="24"/>
  <c r="Q23" i="24"/>
  <c r="P132" i="24"/>
  <c r="G169" i="24"/>
  <c r="G73" i="24"/>
  <c r="P102" i="24"/>
  <c r="E33" i="24"/>
  <c r="O49" i="24"/>
  <c r="Q65" i="24"/>
  <c r="G142" i="24"/>
  <c r="J36" i="24"/>
  <c r="I69" i="24"/>
  <c r="E49" i="24"/>
  <c r="M144" i="24"/>
  <c r="O11" i="24"/>
  <c r="H155" i="24"/>
  <c r="O90" i="24"/>
  <c r="O13" i="24"/>
  <c r="K70" i="24"/>
  <c r="P111" i="24"/>
  <c r="Q79" i="24" l="1"/>
  <c r="I151" i="24"/>
  <c r="G42" i="24"/>
  <c r="I167" i="24"/>
  <c r="H59" i="24"/>
  <c r="H37" i="24"/>
  <c r="Q17" i="24"/>
  <c r="E153" i="24"/>
  <c r="H61" i="24"/>
  <c r="P33" i="24"/>
  <c r="K41" i="24"/>
  <c r="P90" i="24"/>
  <c r="O142" i="24"/>
  <c r="Q85" i="24"/>
  <c r="K50" i="24"/>
  <c r="H21" i="24"/>
  <c r="P174" i="24"/>
  <c r="P170" i="24"/>
  <c r="Q50" i="24"/>
  <c r="I157" i="24"/>
  <c r="I10" i="24"/>
  <c r="E72" i="24"/>
  <c r="J141" i="24"/>
  <c r="Q35" i="24"/>
  <c r="E13" i="24"/>
  <c r="P50" i="24"/>
  <c r="M154" i="24"/>
  <c r="H81" i="24" l="1"/>
  <c r="E73" i="24"/>
  <c r="E12" i="24"/>
  <c r="G132" i="24"/>
  <c r="K157" i="24"/>
  <c r="O61" i="24"/>
  <c r="E111" i="24"/>
  <c r="P14" i="24"/>
  <c r="I150" i="24"/>
  <c r="Q70" i="24"/>
  <c r="O85" i="24"/>
  <c r="K130" i="24"/>
  <c r="O81" i="24" l="1"/>
  <c r="E60" i="24"/>
  <c r="Q143" i="24"/>
  <c r="J30" i="24"/>
  <c r="K97" i="24"/>
  <c r="K71" i="24"/>
  <c r="I162" i="24"/>
  <c r="K141" i="24"/>
  <c r="K99" i="24" l="1"/>
  <c r="K98" i="24"/>
  <c r="O152" i="24"/>
  <c r="M38" i="24"/>
  <c r="P154" i="24"/>
  <c r="O105" i="24"/>
  <c r="O106" i="24" l="1"/>
  <c r="G129" i="24"/>
  <c r="K29" i="24"/>
  <c r="Q89" i="24"/>
  <c r="P131" i="24"/>
  <c r="O174" i="24"/>
  <c r="M30" i="24"/>
  <c r="Q134" i="24"/>
  <c r="M21" i="24"/>
  <c r="J32" i="24"/>
  <c r="I143" i="24"/>
  <c r="Q11" i="24"/>
  <c r="G11" i="24"/>
  <c r="M49" i="24"/>
  <c r="Q88" i="24"/>
  <c r="M61" i="24"/>
  <c r="Q118" i="24" l="1"/>
  <c r="I129" i="24"/>
  <c r="M93" i="24"/>
  <c r="P73" i="24"/>
  <c r="E18" i="24"/>
  <c r="M121" i="24" l="1"/>
  <c r="G55" i="24"/>
  <c r="G75" i="24" l="1"/>
  <c r="Q152" i="24"/>
  <c r="K112" i="24"/>
  <c r="H36" i="24"/>
  <c r="G25" i="24"/>
  <c r="I165" i="24"/>
  <c r="H142" i="24"/>
  <c r="G26" i="24" l="1"/>
  <c r="P55" i="24"/>
  <c r="P144" i="24"/>
  <c r="P58" i="24"/>
  <c r="Q170" i="24"/>
  <c r="I166" i="24"/>
  <c r="P133" i="24"/>
  <c r="G134" i="24"/>
  <c r="J91" i="24"/>
  <c r="I131" i="24"/>
  <c r="E90" i="24"/>
  <c r="H162" i="24"/>
  <c r="O139" i="24"/>
  <c r="M91" i="24"/>
  <c r="I25" i="24"/>
  <c r="P176" i="24" l="1"/>
  <c r="P75" i="24"/>
  <c r="P62" i="24"/>
  <c r="H89" i="24"/>
  <c r="J112" i="24"/>
  <c r="I125" i="24"/>
  <c r="I126" i="24" l="1"/>
  <c r="E132" i="24"/>
  <c r="K91" i="24"/>
  <c r="Q57" i="24"/>
  <c r="G58" i="24"/>
  <c r="I128" i="24"/>
  <c r="H68" i="24"/>
  <c r="E10" i="24"/>
  <c r="G78" i="24" l="1"/>
  <c r="G170" i="24"/>
  <c r="M105" i="24"/>
  <c r="M157" i="24"/>
  <c r="E32" i="24"/>
  <c r="M73" i="24"/>
  <c r="J41" i="24"/>
  <c r="M90" i="24"/>
  <c r="H164" i="24"/>
  <c r="J37" i="24"/>
  <c r="O57" i="24"/>
  <c r="O150" i="24"/>
  <c r="K162" i="24"/>
  <c r="H157" i="24"/>
  <c r="O77" i="24" l="1"/>
  <c r="E34" i="24"/>
  <c r="I61" i="24"/>
  <c r="I33" i="24"/>
  <c r="I81" i="24" l="1"/>
  <c r="E14" i="24"/>
  <c r="Q37" i="24"/>
  <c r="G130" i="24"/>
  <c r="O130" i="24"/>
  <c r="G152" i="24"/>
  <c r="O93" i="24"/>
  <c r="O121" i="24" l="1"/>
  <c r="G97" i="24"/>
  <c r="G98" i="24" l="1"/>
  <c r="G99" i="24"/>
  <c r="Q114" i="24"/>
  <c r="M174" i="24"/>
  <c r="E167" i="24"/>
  <c r="M176" i="24" l="1"/>
  <c r="O145" i="24"/>
  <c r="O108" i="24"/>
  <c r="M134" i="24"/>
  <c r="O88" i="24"/>
  <c r="G95" i="24"/>
  <c r="O117" i="24" l="1"/>
  <c r="O109" i="24"/>
  <c r="G28" i="24"/>
  <c r="M48" i="24"/>
  <c r="M13" i="24"/>
  <c r="K42" i="24"/>
  <c r="I112" i="24"/>
  <c r="I113" i="24"/>
  <c r="I153" i="24"/>
  <c r="I48" i="24"/>
  <c r="M108" i="24"/>
  <c r="K86" i="24"/>
  <c r="P66" i="24"/>
  <c r="M40" i="24"/>
  <c r="Q60" i="24"/>
  <c r="J155" i="24"/>
  <c r="E143" i="24"/>
  <c r="I108" i="24"/>
  <c r="G14" i="24"/>
  <c r="P47" i="24"/>
  <c r="Q80" i="24" l="1"/>
  <c r="E145" i="24"/>
  <c r="J29" i="24"/>
  <c r="O167" i="24"/>
  <c r="P120" i="24"/>
  <c r="G70" i="24"/>
  <c r="J34" i="24"/>
  <c r="E141" i="24"/>
  <c r="E105" i="24"/>
  <c r="M141" i="24"/>
  <c r="P19" i="24"/>
  <c r="Q30" i="24"/>
  <c r="Q169" i="24"/>
  <c r="E106" i="24" l="1"/>
  <c r="P18" i="24"/>
  <c r="J58" i="24"/>
  <c r="Q42" i="24"/>
  <c r="Q167" i="24"/>
  <c r="H88" i="24"/>
  <c r="I111" i="24"/>
  <c r="P48" i="24"/>
  <c r="P51" i="24" l="1"/>
  <c r="J78" i="24"/>
  <c r="K165" i="24"/>
  <c r="P139" i="24"/>
  <c r="E22" i="24"/>
  <c r="I36" i="24"/>
  <c r="E78" i="24" l="1"/>
  <c r="P146" i="24"/>
  <c r="O48" i="24"/>
  <c r="K88" i="24"/>
  <c r="I68" i="24"/>
  <c r="M10" i="24"/>
  <c r="Q21" i="24"/>
  <c r="K11" i="24"/>
  <c r="H105" i="24"/>
  <c r="H73" i="24"/>
  <c r="J23" i="24"/>
  <c r="J79" i="24" l="1"/>
  <c r="Q26" i="24"/>
  <c r="Q77" i="24"/>
  <c r="H106" i="24"/>
  <c r="O14" i="24"/>
  <c r="K102" i="24"/>
  <c r="I70" i="24"/>
  <c r="K103" i="24" l="1"/>
  <c r="J48" i="24"/>
  <c r="M57" i="24"/>
  <c r="O37" i="24"/>
  <c r="M77" i="24" l="1"/>
  <c r="E59" i="24"/>
  <c r="E79" i="24" l="1"/>
  <c r="O23" i="24"/>
  <c r="J93" i="24"/>
  <c r="P160" i="24"/>
  <c r="Q145" i="24"/>
  <c r="J66" i="24"/>
  <c r="I133" i="24"/>
  <c r="E133" i="24"/>
  <c r="I88" i="24"/>
  <c r="M18" i="24"/>
  <c r="Q33" i="24"/>
  <c r="G40" i="24"/>
  <c r="K95" i="24"/>
  <c r="Q68" i="24"/>
  <c r="G166" i="24"/>
  <c r="J121" i="24" l="1"/>
  <c r="H55" i="24"/>
  <c r="J13" i="24"/>
  <c r="I139" i="24"/>
  <c r="E39" i="24"/>
  <c r="H69" i="24"/>
  <c r="P64" i="24"/>
  <c r="K143" i="24"/>
  <c r="H176" i="24" l="1"/>
  <c r="M160" i="24"/>
  <c r="I141" i="24"/>
  <c r="K39" i="24"/>
  <c r="M153" i="24"/>
  <c r="I37" i="24"/>
  <c r="P91" i="24"/>
  <c r="M145" i="24"/>
  <c r="J89" i="24"/>
  <c r="E24" i="24"/>
  <c r="E86" i="24"/>
  <c r="J99" i="24" l="1"/>
  <c r="E80" i="24"/>
  <c r="E26" i="24"/>
  <c r="P103" i="24"/>
  <c r="K59" i="24"/>
  <c r="E128" i="24"/>
  <c r="O154" i="24"/>
  <c r="I102" i="24"/>
  <c r="I106" i="24" l="1"/>
  <c r="I109" i="24"/>
  <c r="E125" i="24"/>
  <c r="E126" i="24" l="1"/>
  <c r="M14" i="24"/>
  <c r="J45" i="24"/>
  <c r="Q39" i="24"/>
  <c r="G161" i="24"/>
  <c r="M59" i="24"/>
  <c r="O95" i="24"/>
  <c r="G49" i="24"/>
  <c r="P23" i="24"/>
  <c r="P112" i="24"/>
  <c r="P95" i="24"/>
  <c r="M25" i="24"/>
  <c r="H167" i="24"/>
  <c r="K148" i="24"/>
  <c r="J21" i="24"/>
  <c r="Q95" i="24"/>
  <c r="G155" i="24"/>
  <c r="Q10" i="24"/>
  <c r="J77" i="24" l="1"/>
  <c r="P79" i="24"/>
  <c r="M81" i="24"/>
  <c r="G47" i="24"/>
  <c r="H24" i="24"/>
  <c r="I12" i="24"/>
  <c r="K58" i="24"/>
  <c r="E28" i="24"/>
  <c r="G51" i="24" l="1"/>
  <c r="K78" i="24"/>
  <c r="H60" i="24"/>
  <c r="H80" i="24" l="1"/>
  <c r="E164" i="24"/>
  <c r="H163" i="24"/>
  <c r="P93" i="24"/>
  <c r="P162" i="24"/>
  <c r="Q113" i="24"/>
  <c r="P121" i="24" l="1"/>
  <c r="P169" i="24"/>
  <c r="I45" i="24"/>
  <c r="I51" i="24" l="1"/>
  <c r="G93" i="24"/>
  <c r="H49" i="24"/>
  <c r="P34" i="24"/>
  <c r="J131" i="24"/>
  <c r="E129" i="24"/>
  <c r="J135" i="24" l="1"/>
  <c r="E135" i="24"/>
  <c r="G121" i="24"/>
  <c r="H11" i="24"/>
  <c r="Q160" i="24"/>
  <c r="G131" i="24"/>
  <c r="M114" i="24"/>
  <c r="H151" i="24"/>
  <c r="E50" i="24"/>
  <c r="G68" i="24"/>
  <c r="I132" i="24"/>
  <c r="H92" i="24"/>
  <c r="I13" i="24"/>
  <c r="K66" i="24"/>
  <c r="G29" i="24"/>
  <c r="Q161" i="24"/>
  <c r="G144" i="24"/>
  <c r="G135" i="24" l="1"/>
  <c r="E51" i="24"/>
  <c r="O36" i="24"/>
  <c r="G13" i="24"/>
  <c r="Q61" i="24"/>
  <c r="O114" i="24"/>
  <c r="H72" i="24"/>
  <c r="I19" i="24"/>
  <c r="J71" i="24"/>
  <c r="K90" i="24"/>
  <c r="Q14" i="24"/>
  <c r="O100" i="24" l="1"/>
  <c r="Q81" i="24"/>
  <c r="E61" i="24"/>
  <c r="E144" i="24"/>
  <c r="H169" i="24"/>
  <c r="P148" i="24"/>
  <c r="I72" i="24"/>
  <c r="O40" i="24"/>
  <c r="I145" i="24"/>
  <c r="E81" i="24" l="1"/>
  <c r="K55" i="24"/>
  <c r="K176" i="24" l="1"/>
  <c r="I114" i="24"/>
  <c r="H66" i="24"/>
  <c r="P41" i="24"/>
  <c r="M42" i="24"/>
  <c r="K131" i="24"/>
  <c r="M58" i="24"/>
  <c r="E162" i="24"/>
  <c r="H71" i="24"/>
  <c r="G145" i="24"/>
  <c r="M62" i="24" l="1"/>
  <c r="M78" i="24"/>
  <c r="Q55" i="24"/>
  <c r="Q75" i="24" l="1"/>
  <c r="E19" i="24"/>
  <c r="P21" i="24"/>
  <c r="O165" i="24"/>
  <c r="P77" i="24" l="1"/>
  <c r="E97" i="24"/>
  <c r="E99" i="24" l="1"/>
  <c r="M95" i="24"/>
  <c r="P116" i="24"/>
  <c r="I34" i="24"/>
  <c r="G108" i="24"/>
  <c r="M34" i="24"/>
  <c r="Q164" i="24"/>
  <c r="H131" i="24"/>
  <c r="O131" i="24"/>
  <c r="H30" i="24"/>
  <c r="I71" i="24"/>
  <c r="P105" i="24"/>
  <c r="P106" i="24" l="1"/>
  <c r="P108" i="24"/>
  <c r="K48" i="24"/>
  <c r="P117" i="24" l="1"/>
  <c r="P109" i="24"/>
  <c r="M97" i="24"/>
  <c r="M99" i="24" l="1"/>
  <c r="M98" i="24"/>
  <c r="P35" i="24"/>
  <c r="E166" i="24"/>
  <c r="H23" i="24"/>
  <c r="H79" i="24" l="1"/>
  <c r="G61" i="24"/>
  <c r="G62" i="24" l="1"/>
  <c r="G81" i="24"/>
  <c r="J39" i="24"/>
  <c r="G102" i="24"/>
  <c r="G90" i="24"/>
  <c r="G109" i="24" l="1"/>
  <c r="G103" i="24"/>
  <c r="O34" i="24"/>
  <c r="M47" i="24"/>
  <c r="M143" i="24"/>
  <c r="H57" i="24"/>
  <c r="M129" i="24"/>
  <c r="J35" i="24"/>
  <c r="O47" i="24"/>
  <c r="M146" i="24" l="1"/>
  <c r="M51" i="24"/>
  <c r="H62" i="24"/>
  <c r="H77" i="24"/>
  <c r="Q47" i="24"/>
  <c r="O59" i="24"/>
  <c r="O79" i="24" l="1"/>
  <c r="J139" i="24"/>
  <c r="O50" i="24"/>
  <c r="P97" i="24"/>
  <c r="P100" i="24" l="1"/>
  <c r="O17" i="24"/>
  <c r="O126" i="24" l="1"/>
  <c r="K142" i="24"/>
  <c r="M12" i="24"/>
  <c r="P22" i="24"/>
  <c r="K93" i="24"/>
  <c r="E174" i="24"/>
  <c r="G12" i="24"/>
  <c r="M166" i="24"/>
  <c r="P78" i="24" l="1"/>
  <c r="K121" i="24"/>
  <c r="Q174" i="24"/>
  <c r="Q176" i="24" l="1"/>
  <c r="O91" i="24"/>
  <c r="G34" i="24"/>
  <c r="H28" i="24"/>
  <c r="O103" i="24" l="1"/>
  <c r="J25" i="24"/>
  <c r="K105" i="24"/>
  <c r="J81" i="24" l="1"/>
  <c r="J26" i="24"/>
  <c r="K106" i="24"/>
  <c r="H97" i="24"/>
  <c r="K45" i="24"/>
  <c r="P163" i="24"/>
  <c r="H99" i="24" l="1"/>
  <c r="H98" i="24"/>
  <c r="J14" i="24"/>
  <c r="O39" i="24"/>
  <c r="E55" i="24"/>
  <c r="E151" i="24"/>
  <c r="E176" i="24" l="1"/>
  <c r="E75" i="24"/>
  <c r="E62" i="24"/>
  <c r="H134" i="24"/>
  <c r="I64" i="24"/>
  <c r="I91" i="24"/>
  <c r="I103" i="24" l="1"/>
  <c r="Q97" i="24"/>
  <c r="Q99" i="24" l="1"/>
  <c r="E168" i="24"/>
  <c r="E88" i="24"/>
  <c r="K151" i="24"/>
  <c r="K57" i="24"/>
  <c r="K62" i="24" l="1"/>
  <c r="K77" i="24"/>
  <c r="P164" i="24"/>
  <c r="I174" i="24"/>
  <c r="J92" i="24"/>
  <c r="J154" i="24"/>
  <c r="O72" i="24"/>
  <c r="J98" i="24" l="1"/>
  <c r="G105" i="24"/>
  <c r="G117" i="24" l="1"/>
  <c r="G106" i="24"/>
  <c r="E36" i="24"/>
  <c r="G168" i="24"/>
  <c r="G114" i="24"/>
  <c r="Q105" i="24"/>
  <c r="G37" i="24"/>
  <c r="G156" i="24"/>
  <c r="P152" i="24"/>
  <c r="H64" i="24"/>
  <c r="Q64" i="24"/>
  <c r="H133" i="24"/>
  <c r="M112" i="24"/>
  <c r="J10" i="24"/>
  <c r="P12" i="24"/>
  <c r="I30" i="24"/>
  <c r="H129" i="24"/>
  <c r="J33" i="24"/>
  <c r="M32" i="24"/>
  <c r="H45" i="24"/>
  <c r="I66" i="24"/>
  <c r="I154" i="24"/>
  <c r="I155" i="24"/>
  <c r="J95" i="24"/>
  <c r="E95" i="24"/>
  <c r="I22" i="24"/>
  <c r="J11" i="24"/>
  <c r="Q168" i="24"/>
  <c r="P92" i="24"/>
  <c r="M88" i="24"/>
  <c r="P98" i="24" l="1"/>
  <c r="I78" i="24"/>
  <c r="G100" i="24"/>
  <c r="J43" i="24"/>
  <c r="H135" i="24"/>
  <c r="O64" i="24"/>
  <c r="Q102" i="24"/>
  <c r="Q106" i="24" l="1"/>
  <c r="Q103" i="24"/>
  <c r="M148" i="24"/>
  <c r="M158" i="24" l="1"/>
  <c r="H93" i="24"/>
  <c r="Q13" i="24"/>
  <c r="H121" i="24" l="1"/>
  <c r="Q128" i="24"/>
  <c r="Q125" i="24"/>
  <c r="Q126" i="24" l="1"/>
  <c r="O58" i="24"/>
  <c r="J116" i="24"/>
  <c r="Q29" i="24"/>
  <c r="G39" i="24"/>
  <c r="J118" i="24" l="1"/>
  <c r="J174" i="24"/>
  <c r="E38" i="24"/>
  <c r="H42" i="24"/>
  <c r="J176" i="24" l="1"/>
  <c r="M125" i="24"/>
  <c r="P39" i="24"/>
  <c r="P36" i="24"/>
  <c r="I142" i="24"/>
  <c r="Q129" i="24"/>
  <c r="E155" i="24"/>
  <c r="H160" i="24"/>
  <c r="O68" i="24"/>
  <c r="M128" i="24"/>
  <c r="P70" i="24"/>
  <c r="E85" i="24"/>
  <c r="G143" i="24"/>
  <c r="J144" i="24"/>
  <c r="H170" i="24"/>
  <c r="P29" i="24"/>
  <c r="P38" i="24"/>
  <c r="M36" i="24"/>
  <c r="I146" i="24" l="1"/>
  <c r="E158" i="24"/>
  <c r="O45" i="24"/>
  <c r="Q133" i="24"/>
  <c r="Q144" i="24"/>
  <c r="G88" i="24"/>
  <c r="Q135" i="24" l="1"/>
  <c r="Q146" i="24"/>
  <c r="O51" i="24"/>
  <c r="H116" i="24"/>
  <c r="H117" i="24" l="1"/>
  <c r="H118" i="24"/>
  <c r="M162" i="24"/>
  <c r="E64" i="24"/>
  <c r="I23" i="24"/>
  <c r="E92" i="24"/>
  <c r="K65" i="24"/>
  <c r="I39" i="24"/>
  <c r="K164" i="24"/>
  <c r="P65" i="24"/>
  <c r="K36" i="24"/>
  <c r="J168" i="24"/>
  <c r="M131" i="24"/>
  <c r="G30" i="24"/>
  <c r="J102" i="24"/>
  <c r="Q162" i="24"/>
  <c r="I14" i="24"/>
  <c r="O32" i="24"/>
  <c r="I79" i="24" l="1"/>
  <c r="I26" i="24"/>
  <c r="E98" i="24"/>
  <c r="J100" i="24"/>
  <c r="J106" i="24"/>
  <c r="J109" i="24"/>
  <c r="J117" i="24"/>
  <c r="J103" i="24"/>
  <c r="E35" i="24"/>
  <c r="J145" i="24"/>
  <c r="G36" i="24"/>
  <c r="M86" i="24"/>
  <c r="H150" i="24"/>
  <c r="J85" i="24"/>
  <c r="P71" i="24"/>
  <c r="H32" i="24"/>
  <c r="P25" i="24"/>
  <c r="E93" i="24"/>
  <c r="I65" i="24"/>
  <c r="I164" i="24"/>
  <c r="I161" i="24"/>
  <c r="P81" i="24" l="1"/>
  <c r="P26" i="24"/>
  <c r="J146" i="24"/>
  <c r="E121" i="24"/>
  <c r="J153" i="24"/>
  <c r="Q148" i="24"/>
  <c r="H153" i="24"/>
  <c r="K12" i="24"/>
  <c r="H33" i="24"/>
  <c r="P89" i="24"/>
  <c r="G41" i="24"/>
  <c r="G64" i="24"/>
  <c r="Q34" i="24"/>
  <c r="I86" i="24"/>
  <c r="I38" i="24"/>
  <c r="K170" i="24"/>
  <c r="H48" i="24"/>
  <c r="K40" i="24"/>
  <c r="H51" i="24" l="1"/>
  <c r="K43" i="24"/>
  <c r="Q43" i="24"/>
  <c r="P118" i="24"/>
  <c r="P99" i="24"/>
  <c r="Q158" i="24"/>
  <c r="J169" i="24"/>
  <c r="M102" i="24"/>
  <c r="J175" i="24" l="1"/>
  <c r="M106" i="24"/>
  <c r="M109" i="24"/>
  <c r="M103" i="24"/>
  <c r="I116" i="24"/>
  <c r="I100" i="24" l="1"/>
  <c r="I117" i="24"/>
  <c r="Q92" i="24"/>
  <c r="Q98" i="24" l="1"/>
  <c r="O55" i="24"/>
  <c r="O176" i="24" l="1"/>
  <c r="O175" i="24"/>
  <c r="O75" i="24"/>
  <c r="I11" i="24"/>
  <c r="J65" i="24"/>
  <c r="G10" i="24"/>
  <c r="I134" i="24"/>
  <c r="K13" i="24"/>
  <c r="O70" i="24"/>
  <c r="K108" i="24"/>
  <c r="M64" i="24"/>
  <c r="I135" i="24" l="1"/>
  <c r="K117" i="24"/>
  <c r="K109" i="24"/>
  <c r="I85" i="24"/>
  <c r="K139" i="24"/>
  <c r="K146" i="24" l="1"/>
  <c r="J47" i="24"/>
  <c r="M17" i="24"/>
  <c r="J51" i="24" l="1"/>
  <c r="M75" i="24"/>
  <c r="M126" i="24"/>
  <c r="G141" i="24"/>
  <c r="I148" i="24"/>
  <c r="J150" i="24"/>
  <c r="G148" i="24"/>
  <c r="E30" i="24"/>
  <c r="J151" i="24"/>
  <c r="G146" i="24" l="1"/>
  <c r="I158" i="24"/>
  <c r="J60" i="24"/>
  <c r="H18" i="24"/>
  <c r="H39" i="24"/>
  <c r="E71" i="24"/>
  <c r="H43" i="24" l="1"/>
  <c r="J62" i="24"/>
  <c r="J80" i="24"/>
  <c r="G157" i="24"/>
  <c r="Q45" i="24"/>
  <c r="G158" i="24" l="1"/>
  <c r="Q51" i="24"/>
  <c r="H17" i="24"/>
  <c r="E11" i="24"/>
  <c r="O71" i="24"/>
  <c r="K49" i="24"/>
  <c r="O134" i="24"/>
  <c r="K51" i="24" l="1"/>
  <c r="O135" i="24"/>
  <c r="H126" i="24"/>
  <c r="H75" i="24"/>
  <c r="H26" i="24"/>
  <c r="P156" i="24"/>
  <c r="P166" i="24"/>
  <c r="J88" i="24"/>
  <c r="E108" i="24"/>
  <c r="P42" i="24"/>
  <c r="E41" i="24"/>
  <c r="P175" i="24" l="1"/>
  <c r="E43" i="24"/>
  <c r="P158" i="24"/>
  <c r="E109" i="24"/>
  <c r="P40" i="24"/>
  <c r="H139" i="24"/>
  <c r="Q71" i="24"/>
  <c r="Q108" i="24"/>
  <c r="P43" i="24" l="1"/>
  <c r="Q117" i="24"/>
  <c r="Q109" i="24"/>
  <c r="O73" i="24"/>
  <c r="O60" i="24"/>
  <c r="O62" i="24" l="1"/>
  <c r="O80" i="24"/>
  <c r="K17" i="24"/>
  <c r="O143" i="24"/>
  <c r="K126" i="24" l="1"/>
  <c r="K75" i="24"/>
  <c r="E116" i="24"/>
  <c r="E100" i="24" l="1"/>
  <c r="E118" i="24"/>
  <c r="E117" i="24"/>
  <c r="K72" i="24"/>
  <c r="O69" i="24"/>
  <c r="M130" i="24"/>
  <c r="K23" i="24"/>
  <c r="M23" i="24"/>
  <c r="Q72" i="24"/>
  <c r="O144" i="24"/>
  <c r="Q69" i="24"/>
  <c r="G32" i="24"/>
  <c r="O146" i="24" l="1"/>
  <c r="M79" i="24"/>
  <c r="M26" i="24"/>
  <c r="K79" i="24"/>
  <c r="K26" i="24"/>
  <c r="M135" i="24"/>
  <c r="K14" i="24"/>
  <c r="H148" i="24"/>
  <c r="H111" i="24"/>
  <c r="Q111" i="24"/>
  <c r="Q100" i="24" l="1"/>
  <c r="H158" i="24"/>
  <c r="M116" i="24"/>
  <c r="M100" i="24" l="1"/>
  <c r="M118" i="24"/>
  <c r="M117" i="24"/>
  <c r="M37" i="24"/>
  <c r="E139" i="24"/>
  <c r="H90" i="24"/>
  <c r="G35" i="24"/>
  <c r="O41" i="24"/>
  <c r="J28" i="24"/>
  <c r="P130" i="24"/>
  <c r="J64" i="24"/>
  <c r="O156" i="24"/>
  <c r="J19" i="24"/>
  <c r="O22" i="24"/>
  <c r="M43" i="24" l="1"/>
  <c r="G43" i="24"/>
  <c r="O158" i="24"/>
  <c r="O26" i="24"/>
  <c r="O78" i="24"/>
  <c r="P135" i="24"/>
  <c r="O43" i="24"/>
  <c r="E175" i="24"/>
  <c r="E146" i="24"/>
  <c r="K166" i="24"/>
  <c r="Q58" i="24"/>
  <c r="M165" i="24"/>
  <c r="M175" i="24" l="1"/>
  <c r="Q62" i="24"/>
  <c r="Q78" i="24"/>
  <c r="I29" i="24"/>
  <c r="J152" i="24"/>
  <c r="J158" i="24" l="1"/>
  <c r="I43" i="24"/>
  <c r="I55" i="24"/>
  <c r="I176" i="24" l="1"/>
  <c r="I62" i="24"/>
  <c r="I75" i="24"/>
  <c r="H145" i="24"/>
  <c r="H113" i="24"/>
  <c r="H175" i="24" l="1"/>
  <c r="H100" i="24"/>
  <c r="H146" i="24"/>
  <c r="G174" i="24"/>
  <c r="G176" i="24" l="1"/>
  <c r="G175" i="24"/>
  <c r="L168" i="24"/>
  <c r="L34" i="24"/>
  <c r="L160" i="24"/>
  <c r="L37" i="24"/>
  <c r="K113" i="24"/>
  <c r="L111" i="24"/>
  <c r="L30" i="24"/>
  <c r="L69" i="24"/>
  <c r="Q166" i="24"/>
  <c r="O66" i="24"/>
  <c r="L144" i="24"/>
  <c r="O92" i="24"/>
  <c r="G18" i="24"/>
  <c r="L65" i="24"/>
  <c r="I89" i="24"/>
  <c r="K156" i="24"/>
  <c r="L114" i="24"/>
  <c r="K133" i="24"/>
  <c r="L18" i="24"/>
  <c r="Q175" i="24" l="1"/>
  <c r="K175" i="24"/>
  <c r="K100" i="24"/>
  <c r="K135" i="24"/>
  <c r="I99" i="24"/>
  <c r="I118" i="24"/>
  <c r="O98" i="24"/>
  <c r="L85" i="24"/>
  <c r="L38" i="24"/>
  <c r="L148" i="24"/>
  <c r="L128" i="24"/>
  <c r="L166" i="24"/>
  <c r="L161" i="24"/>
  <c r="L95" i="24"/>
  <c r="L129" i="24"/>
  <c r="L28" i="24"/>
  <c r="L71" i="24"/>
  <c r="L132" i="24"/>
  <c r="L57" i="24"/>
  <c r="L41" i="24"/>
  <c r="L66" i="24"/>
  <c r="L164" i="24"/>
  <c r="L89" i="24"/>
  <c r="L32" i="24"/>
  <c r="L102" i="24"/>
  <c r="L21" i="24"/>
  <c r="L25" i="24"/>
  <c r="L29" i="24"/>
  <c r="L125" i="24"/>
  <c r="L77" i="24" l="1"/>
  <c r="L49" i="24"/>
  <c r="L154" i="24"/>
  <c r="L11" i="24"/>
  <c r="L162" i="24"/>
  <c r="L22" i="24"/>
  <c r="L105" i="24"/>
  <c r="L163" i="24"/>
  <c r="L19" i="24"/>
  <c r="L145" i="24"/>
  <c r="L152" i="24"/>
  <c r="L90" i="24"/>
  <c r="L106" i="24" l="1"/>
  <c r="L17" i="24"/>
  <c r="L126" i="24" l="1"/>
  <c r="L45" i="24"/>
  <c r="L24" i="24"/>
  <c r="L156" i="24"/>
  <c r="L108" i="24"/>
  <c r="L109" i="24" l="1"/>
  <c r="L55" i="24"/>
  <c r="L75" i="24" l="1"/>
  <c r="L97" i="24"/>
  <c r="L99" i="24" l="1"/>
  <c r="L133" i="24"/>
  <c r="L143" i="24"/>
  <c r="I160" i="24"/>
  <c r="L153" i="24"/>
  <c r="L134" i="24"/>
  <c r="L48" i="24"/>
  <c r="L39" i="24"/>
  <c r="L42" i="24"/>
  <c r="L35" i="24"/>
  <c r="L155" i="24"/>
  <c r="I175" i="24" l="1"/>
  <c r="L92" i="24"/>
  <c r="L40" i="24"/>
  <c r="L167" i="24"/>
  <c r="L68" i="24"/>
  <c r="L14" i="24"/>
  <c r="L60" i="24"/>
  <c r="L98" i="24" l="1"/>
  <c r="L80" i="24"/>
  <c r="L64" i="24"/>
  <c r="L151" i="24"/>
  <c r="L33" i="24"/>
  <c r="K150" i="24"/>
  <c r="L165" i="24"/>
  <c r="L130" i="24"/>
  <c r="L59" i="24"/>
  <c r="L23" i="24"/>
  <c r="L139" i="24"/>
  <c r="L141" i="24"/>
  <c r="K158" i="24" l="1"/>
  <c r="L26" i="24"/>
  <c r="L79" i="24"/>
  <c r="L58" i="24"/>
  <c r="L78" i="24" l="1"/>
  <c r="L61" i="24"/>
  <c r="L10" i="24"/>
  <c r="L36" i="24"/>
  <c r="L47" i="24"/>
  <c r="L12" i="24"/>
  <c r="L131" i="24"/>
  <c r="L88" i="24"/>
  <c r="L86" i="24"/>
  <c r="L43" i="24" l="1"/>
  <c r="L135" i="24"/>
  <c r="L62" i="24"/>
  <c r="L81" i="24"/>
  <c r="L116" i="24"/>
  <c r="L117" i="24" l="1"/>
  <c r="L118" i="24"/>
  <c r="L13" i="24"/>
  <c r="L91" i="24"/>
  <c r="L113" i="24"/>
  <c r="L170" i="24"/>
  <c r="L142" i="24"/>
  <c r="L120" i="24"/>
  <c r="L157" i="24"/>
  <c r="L70" i="24"/>
  <c r="L150" i="24"/>
  <c r="L50" i="24"/>
  <c r="L146" i="24" l="1"/>
  <c r="L51" i="24"/>
  <c r="L103" i="24"/>
  <c r="L158" i="24"/>
  <c r="L93" i="24"/>
  <c r="L121" i="24" l="1"/>
  <c r="L174" i="24"/>
  <c r="L176" i="24" l="1"/>
  <c r="L169" i="24"/>
  <c r="L72" i="24"/>
  <c r="L112" i="24"/>
  <c r="L73" i="24"/>
  <c r="L100" i="24" l="1"/>
  <c r="L175" i="24"/>
  <c r="L8" i="24"/>
  <c r="L15" i="24" l="1"/>
  <c r="Q8" i="24"/>
  <c r="Q15" i="24" l="1"/>
  <c r="P8" i="24"/>
  <c r="P15" i="24" l="1"/>
  <c r="I8" i="24"/>
  <c r="I15" i="24" l="1"/>
  <c r="E8" i="24"/>
  <c r="E15" i="24" l="1"/>
  <c r="H8" i="24"/>
  <c r="H15" i="24" l="1"/>
  <c r="J8" i="24"/>
  <c r="J15" i="24" l="1"/>
  <c r="G8" i="24"/>
  <c r="G15" i="24" l="1"/>
  <c r="O8" i="24"/>
  <c r="O15" i="24" l="1"/>
  <c r="K8" i="24"/>
  <c r="K15" i="24" l="1"/>
  <c r="M8" i="24"/>
  <c r="M15" i="2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<sst xmlns="http://schemas.openxmlformats.org/spreadsheetml/2006/main" count="8397" uniqueCount="1302">
  <si>
    <t>Budget</t>
  </si>
  <si>
    <t>Vol - Mcare</t>
  </si>
  <si>
    <t>Vol - Mcaid</t>
  </si>
  <si>
    <t>Vol - Comm</t>
  </si>
  <si>
    <t>Vol - Other Gov't</t>
  </si>
  <si>
    <t>Vol - Self Pay</t>
  </si>
  <si>
    <t>Rate - Mcare</t>
  </si>
  <si>
    <t>Rate - Mcaid</t>
  </si>
  <si>
    <t>Rate - Comm</t>
  </si>
  <si>
    <t>Rate - Other Gov't</t>
  </si>
  <si>
    <t>Rate - Self Pay</t>
  </si>
  <si>
    <t>Actual</t>
  </si>
  <si>
    <t>Net Rev - Vol</t>
  </si>
  <si>
    <t>Net Rev - Rate</t>
  </si>
  <si>
    <t>Labor - FTE</t>
  </si>
  <si>
    <t>Labor - FTE Rate</t>
  </si>
  <si>
    <t>Supplies - Vol</t>
  </si>
  <si>
    <t>Supplies - Rate</t>
  </si>
  <si>
    <t>Purch Svc</t>
  </si>
  <si>
    <t>Pro Fee</t>
  </si>
  <si>
    <t>Other Non-Labor Opex</t>
  </si>
  <si>
    <t>MTD</t>
  </si>
  <si>
    <t>Var</t>
  </si>
  <si>
    <t>Var %</t>
  </si>
  <si>
    <t>PM</t>
  </si>
  <si>
    <t>PYSM</t>
  </si>
  <si>
    <t>Admissions</t>
  </si>
  <si>
    <t>Payor Mix (admits)</t>
  </si>
  <si>
    <t>Medicare</t>
  </si>
  <si>
    <t>Medicaid</t>
  </si>
  <si>
    <t>Commercial</t>
  </si>
  <si>
    <t>Other Government</t>
  </si>
  <si>
    <t>Self Pay</t>
  </si>
  <si>
    <t>Inpatient Days</t>
  </si>
  <si>
    <t>LOS</t>
  </si>
  <si>
    <t>ADC</t>
  </si>
  <si>
    <t>Occupancy</t>
  </si>
  <si>
    <t>Equivalent ADC</t>
  </si>
  <si>
    <t>Service Mix (ADC)</t>
  </si>
  <si>
    <t>Children</t>
  </si>
  <si>
    <t>Pre-Adolescent</t>
  </si>
  <si>
    <t>Adolescent</t>
  </si>
  <si>
    <t>Adult</t>
  </si>
  <si>
    <t>Chem Dep</t>
  </si>
  <si>
    <t>Gero</t>
  </si>
  <si>
    <t>PRTF</t>
  </si>
  <si>
    <t>Detox</t>
  </si>
  <si>
    <t>RTC</t>
  </si>
  <si>
    <t>PHP with Boarding</t>
  </si>
  <si>
    <t>IOP with Boarding</t>
  </si>
  <si>
    <t>Outpatient Visits</t>
  </si>
  <si>
    <t>Service Mix (visits)</t>
  </si>
  <si>
    <t>PHP</t>
  </si>
  <si>
    <t>IOP</t>
  </si>
  <si>
    <t>Traditional</t>
  </si>
  <si>
    <t>ECT/SLE</t>
  </si>
  <si>
    <t>Net Revenue</t>
  </si>
  <si>
    <t>Inpatient</t>
  </si>
  <si>
    <t>Outpatient</t>
  </si>
  <si>
    <t>Professional Fee</t>
  </si>
  <si>
    <t>IP Net PPD</t>
  </si>
  <si>
    <t>OP Net POPV</t>
  </si>
  <si>
    <t>NR per IP Day</t>
  </si>
  <si>
    <t xml:space="preserve"> - Volume Impact</t>
  </si>
  <si>
    <t xml:space="preserve"> - Rate per Volume Impact</t>
  </si>
  <si>
    <t xml:space="preserve"> - Total</t>
  </si>
  <si>
    <t>Gross</t>
  </si>
  <si>
    <t xml:space="preserve"> - Contractuals</t>
  </si>
  <si>
    <t>Gross less cont.</t>
  </si>
  <si>
    <t xml:space="preserve"> - Admin</t>
  </si>
  <si>
    <t xml:space="preserve"> - Financial Hardship</t>
  </si>
  <si>
    <t xml:space="preserve"> - Denials</t>
  </si>
  <si>
    <t xml:space="preserve"> - Bad Debt</t>
  </si>
  <si>
    <t>Net Revenue excluding DSH</t>
  </si>
  <si>
    <t>% of Gross less cont.</t>
  </si>
  <si>
    <t>Net Revenue less DSH</t>
  </si>
  <si>
    <t>Deductions</t>
  </si>
  <si>
    <t>EPOB Paid</t>
  </si>
  <si>
    <t>Equivalent EPOB Paid</t>
  </si>
  <si>
    <t>Paid FTEs</t>
  </si>
  <si>
    <t>Labor Cost</t>
  </si>
  <si>
    <t>Labor Cost AHR</t>
  </si>
  <si>
    <t xml:space="preserve"> - EPOB FTE Impact</t>
  </si>
  <si>
    <t xml:space="preserve"> - Rate per FTE Impact</t>
  </si>
  <si>
    <t>Supplies</t>
  </si>
  <si>
    <t xml:space="preserve"> - per patient day</t>
  </si>
  <si>
    <t>Purchased Svc</t>
  </si>
  <si>
    <t>Pro Fees</t>
  </si>
  <si>
    <t>Other</t>
  </si>
  <si>
    <t>EBITDA</t>
  </si>
  <si>
    <t>EBITDA Margin</t>
  </si>
  <si>
    <t>YTD</t>
  </si>
  <si>
    <t>PYTD</t>
  </si>
  <si>
    <t>Mid Month</t>
  </si>
  <si>
    <t>Scenario</t>
  </si>
  <si>
    <t>Budget_Final</t>
  </si>
  <si>
    <t>MIDFCST</t>
  </si>
  <si>
    <t>Time</t>
  </si>
  <si>
    <t>2026M4</t>
  </si>
  <si>
    <t>2026M3</t>
  </si>
  <si>
    <t>View</t>
  </si>
  <si>
    <t>UD4</t>
  </si>
  <si>
    <t>Entity</t>
  </si>
  <si>
    <t>Account</t>
  </si>
  <si>
    <t>Description</t>
  </si>
  <si>
    <t>Acute_DIV1</t>
  </si>
  <si>
    <t>91005</t>
  </si>
  <si>
    <t>IP Admissions</t>
  </si>
  <si>
    <t>IP Admissions - MEDICARE</t>
  </si>
  <si>
    <t>IP Admissions - MEDICAID</t>
  </si>
  <si>
    <t>IP Admissions - COMMERCIAL</t>
  </si>
  <si>
    <t>IP Admissions - OTHER GOVERNMENT</t>
  </si>
  <si>
    <t>IP Admissions - SELF PAY</t>
  </si>
  <si>
    <t>Total IP Children</t>
  </si>
  <si>
    <t>Total IP Pre-Adolescent</t>
  </si>
  <si>
    <t>Total IP Adolescent</t>
  </si>
  <si>
    <t>Total IP Adult</t>
  </si>
  <si>
    <t>Total IP Chem Dep</t>
  </si>
  <si>
    <t>Total IP Gero</t>
  </si>
  <si>
    <t>Total IP PRTF</t>
  </si>
  <si>
    <t>Total IP Detox</t>
  </si>
  <si>
    <t>Total IP RTC</t>
  </si>
  <si>
    <t>IP PHP with Boarding</t>
  </si>
  <si>
    <t>IP IOP with Boarding</t>
  </si>
  <si>
    <t>91001</t>
  </si>
  <si>
    <t>IP Days</t>
  </si>
  <si>
    <t>91102</t>
  </si>
  <si>
    <t>Total Licensed Beds</t>
  </si>
  <si>
    <t>92108</t>
  </si>
  <si>
    <t>ALOS</t>
  </si>
  <si>
    <t>92106</t>
  </si>
  <si>
    <t>IP ADC</t>
  </si>
  <si>
    <t>IP Days - MEDICARE</t>
  </si>
  <si>
    <t>IP Days - MEDICAID</t>
  </si>
  <si>
    <t>IP Days - COMMERCIAL</t>
  </si>
  <si>
    <t>IP Days - OTHER GOVERNMENT</t>
  </si>
  <si>
    <t>IP Days - SELF PAY</t>
  </si>
  <si>
    <t>92001</t>
  </si>
  <si>
    <t>OP Visits</t>
  </si>
  <si>
    <t>OP Visits - PHP</t>
  </si>
  <si>
    <t>OP Visits - IOP</t>
  </si>
  <si>
    <t>OP Visits - Traditional</t>
  </si>
  <si>
    <t>OP Visits - ECT / SLE</t>
  </si>
  <si>
    <t>Volume</t>
  </si>
  <si>
    <t>TOT_Net_Rev</t>
  </si>
  <si>
    <t>Total Net Revenue</t>
  </si>
  <si>
    <t>Rate</t>
  </si>
  <si>
    <t>Total</t>
  </si>
  <si>
    <t>Net Revenue - MEDICARE</t>
  </si>
  <si>
    <t>Net Revenue - MEDICAID</t>
  </si>
  <si>
    <t>Net Revenue - COMMERCIAL</t>
  </si>
  <si>
    <t>Net Revenue - OTHER GOVERNMENT</t>
  </si>
  <si>
    <t>Net Revenue - SELF PAY</t>
  </si>
  <si>
    <t>Total Net Revenue - Inpatient</t>
  </si>
  <si>
    <t>Total Net Revenue - Outpatient</t>
  </si>
  <si>
    <t>Total Net Revenue - Professional Fee</t>
  </si>
  <si>
    <t>41000</t>
  </si>
  <si>
    <t>Total Gross Revenue</t>
  </si>
  <si>
    <t>51000</t>
  </si>
  <si>
    <t>Contractual Allowance</t>
  </si>
  <si>
    <t>52000</t>
  </si>
  <si>
    <t>Administrative Adjustments</t>
  </si>
  <si>
    <t>53000</t>
  </si>
  <si>
    <t>Charity Adjustments</t>
  </si>
  <si>
    <t>54000</t>
  </si>
  <si>
    <t>Denial Adjustments</t>
  </si>
  <si>
    <t>TOT_BD</t>
  </si>
  <si>
    <t>Total Bad Debt</t>
  </si>
  <si>
    <t>Medicare per IP Day</t>
  </si>
  <si>
    <t>Medicaid per IP Day</t>
  </si>
  <si>
    <t>Commercial per IP Day</t>
  </si>
  <si>
    <t>Other Government per IP Day</t>
  </si>
  <si>
    <t>Self Pay per IP Day</t>
  </si>
  <si>
    <t>EPOB - Paid</t>
  </si>
  <si>
    <t>FTE</t>
  </si>
  <si>
    <t>Equivalent EPOB - Paid</t>
  </si>
  <si>
    <t>Rate per FTE</t>
  </si>
  <si>
    <t>Productive FTEs</t>
  </si>
  <si>
    <t>Contract FTEs</t>
  </si>
  <si>
    <t>93001</t>
  </si>
  <si>
    <t>Total Productive Hours</t>
  </si>
  <si>
    <t>93002</t>
  </si>
  <si>
    <t>Total Paid Hours</t>
  </si>
  <si>
    <t>93005</t>
  </si>
  <si>
    <t>Contract Labor Hours</t>
  </si>
  <si>
    <t>Productive FTEs w Contract</t>
  </si>
  <si>
    <t>Paid FTEs w Contract</t>
  </si>
  <si>
    <t>TOT_Labor_Cst</t>
  </si>
  <si>
    <t>Labor Costs</t>
  </si>
  <si>
    <t>Labor Costs AHR</t>
  </si>
  <si>
    <t>Labor Costs per FTE Paid</t>
  </si>
  <si>
    <t>TOT_Salaries_Exp</t>
  </si>
  <si>
    <t>Total Salary Expense</t>
  </si>
  <si>
    <t>Salary/Wage AHR</t>
  </si>
  <si>
    <t>TOT_OT</t>
  </si>
  <si>
    <t>Total Overtime</t>
  </si>
  <si>
    <t>OT % of Salary Expense</t>
  </si>
  <si>
    <t>TOT_Shift_Diff</t>
  </si>
  <si>
    <t>Total Shift Differential</t>
  </si>
  <si>
    <t>Shift Differential % of Salary Expense</t>
  </si>
  <si>
    <t>TOT_Holiday_Wkd</t>
  </si>
  <si>
    <t>Total Holiday Worked</t>
  </si>
  <si>
    <t>TOT_Non_Prod_Pay</t>
  </si>
  <si>
    <t>Total Non-Productive Pay</t>
  </si>
  <si>
    <t>TOT_Bonus</t>
  </si>
  <si>
    <t>Total Bonus</t>
  </si>
  <si>
    <t>TOT_Spl_Comp</t>
  </si>
  <si>
    <t>Total Special Compensation</t>
  </si>
  <si>
    <t>TOT_Emp_Benefits</t>
  </si>
  <si>
    <t>Employee Benefits</t>
  </si>
  <si>
    <t>Employee Benefit % of Productive Pay</t>
  </si>
  <si>
    <t>Employee Benefit per paid FTE</t>
  </si>
  <si>
    <t>TOT_Contract_Labor</t>
  </si>
  <si>
    <t>Contract Labor</t>
  </si>
  <si>
    <t>Contract Labor AHR</t>
  </si>
  <si>
    <t>TOT_Supplies</t>
  </si>
  <si>
    <t>Total supplies per IP Day</t>
  </si>
  <si>
    <t>TOT_Dietary_Supplies</t>
  </si>
  <si>
    <t>Total Dietary Supplies</t>
  </si>
  <si>
    <t>63005</t>
  </si>
  <si>
    <t>Linen Supplies</t>
  </si>
  <si>
    <t>63003</t>
  </si>
  <si>
    <t>Medical Supplies</t>
  </si>
  <si>
    <t>63007</t>
  </si>
  <si>
    <t>Housekeeping Supplies</t>
  </si>
  <si>
    <t>63008</t>
  </si>
  <si>
    <t>Patient Personal Supplies</t>
  </si>
  <si>
    <t>63009</t>
  </si>
  <si>
    <t>Maintenance Supplies</t>
  </si>
  <si>
    <t>63013</t>
  </si>
  <si>
    <t>Other Supplies</t>
  </si>
  <si>
    <t>% of Total Supplies</t>
  </si>
  <si>
    <t>TOT_Purchased_Svs</t>
  </si>
  <si>
    <t>Purchased Services</t>
  </si>
  <si>
    <t>PS_IT_Sys</t>
  </si>
  <si>
    <t>P/S - IT Systems</t>
  </si>
  <si>
    <t>61001</t>
  </si>
  <si>
    <t>P/S - Dietary</t>
  </si>
  <si>
    <t>61009</t>
  </si>
  <si>
    <t>P/S - Pharmacy</t>
  </si>
  <si>
    <t>61010</t>
  </si>
  <si>
    <t>P/S - Laboratory</t>
  </si>
  <si>
    <t>All_Oth_PS</t>
  </si>
  <si>
    <t>All Other Purchase Services Forecast</t>
  </si>
  <si>
    <t>TOT_Prof_Fees</t>
  </si>
  <si>
    <t>Professional Fees</t>
  </si>
  <si>
    <t>62001</t>
  </si>
  <si>
    <t>Pro Fees - Dr Stipends</t>
  </si>
  <si>
    <t>62002</t>
  </si>
  <si>
    <t>Pro Fees - Med Consults</t>
  </si>
  <si>
    <t>62003</t>
  </si>
  <si>
    <t>Pro Fees - Psych Consults</t>
  </si>
  <si>
    <t>62004</t>
  </si>
  <si>
    <t>Pro Fees - Gen Medical</t>
  </si>
  <si>
    <t>62005</t>
  </si>
  <si>
    <t>Pro Fees - Med Director</t>
  </si>
  <si>
    <t>62006</t>
  </si>
  <si>
    <t>Pro Fees - All Inclusive</t>
  </si>
  <si>
    <t>62007</t>
  </si>
  <si>
    <t>Pro Fees - H&amp;P Fees</t>
  </si>
  <si>
    <t>Oth_Prof_Fees</t>
  </si>
  <si>
    <t>Other Professional Fees</t>
  </si>
  <si>
    <t>TOT_Utilities</t>
  </si>
  <si>
    <t>Utilities</t>
  </si>
  <si>
    <t>TOT_Repairs_Maint</t>
  </si>
  <si>
    <t>Repairs &amp; Maintenance</t>
  </si>
  <si>
    <t>TOT_Rent</t>
  </si>
  <si>
    <t>Rent</t>
  </si>
  <si>
    <t>TOT_Insurance</t>
  </si>
  <si>
    <t>Insurance</t>
  </si>
  <si>
    <t>Travel_Entertainment</t>
  </si>
  <si>
    <t>Travel &amp; Entertainment</t>
  </si>
  <si>
    <t>Emp_Related_Exp</t>
  </si>
  <si>
    <t>Employee Related Expenses</t>
  </si>
  <si>
    <t>Pat_Trans</t>
  </si>
  <si>
    <t>Patient Transportation</t>
  </si>
  <si>
    <t>Oth_Opex_FCST</t>
  </si>
  <si>
    <t>Other Operating Expenses Forecast</t>
  </si>
  <si>
    <t>Mktg_Advertising</t>
  </si>
  <si>
    <t>Marketing &amp; Advertising</t>
  </si>
  <si>
    <t>Op_Taxes</t>
  </si>
  <si>
    <t>Operating Taxes</t>
  </si>
  <si>
    <t>TOT_Corp_Alloc</t>
  </si>
  <si>
    <t>Corp Allocation</t>
  </si>
  <si>
    <t>2025M6</t>
  </si>
  <si>
    <t>2025M7</t>
  </si>
  <si>
    <t>2025M8</t>
  </si>
  <si>
    <t>2025M9</t>
  </si>
  <si>
    <t>2025M10</t>
  </si>
  <si>
    <t>2025M12</t>
  </si>
  <si>
    <t>2026M1</t>
  </si>
  <si>
    <t>2026M2</t>
  </si>
  <si>
    <t>Journal Entry</t>
  </si>
  <si>
    <t>Series</t>
  </si>
  <si>
    <t>TRX Date</t>
  </si>
  <si>
    <t>Reference</t>
  </si>
  <si>
    <t>Originating Master Name</t>
  </si>
  <si>
    <t>Originating Document Number</t>
  </si>
  <si>
    <t>Account Number</t>
  </si>
  <si>
    <t>Account Description</t>
  </si>
  <si>
    <t>Debit Amount</t>
  </si>
  <si>
    <t>Credit Amount</t>
  </si>
  <si>
    <t>Department</t>
  </si>
  <si>
    <t>Financial</t>
  </si>
  <si>
    <t>MGT_02-28-2025_ACC</t>
  </si>
  <si>
    <t>Salary Expense - General- Admi</t>
  </si>
  <si>
    <t/>
  </si>
  <si>
    <t>106-30-60221-5100-10-10</t>
  </si>
  <si>
    <t>Salary Expense - Other</t>
  </si>
  <si>
    <t>60221</t>
  </si>
  <si>
    <t>5100</t>
  </si>
  <si>
    <t>FICA - SSI- Administration</t>
  </si>
  <si>
    <t>106-30-60321-5100-10-10</t>
  </si>
  <si>
    <t>FICA - SSI</t>
  </si>
  <si>
    <t>60321</t>
  </si>
  <si>
    <t>FICA - Medicare- Administratio</t>
  </si>
  <si>
    <t>106-30-60322-5100-10-10</t>
  </si>
  <si>
    <t>FICA - Medicare</t>
  </si>
  <si>
    <t>60322</t>
  </si>
  <si>
    <t>HSA ER</t>
  </si>
  <si>
    <t>106-30-60374-5100-10-10</t>
  </si>
  <si>
    <t>Other Non P/R Benefits</t>
  </si>
  <si>
    <t>60374</t>
  </si>
  <si>
    <t>MON_02-28-2025_ACC</t>
  </si>
  <si>
    <t>Salary Expense - General- Mark</t>
  </si>
  <si>
    <t>106-30-60221-5600-10-10</t>
  </si>
  <si>
    <t>Salary Expense - Bus Dev</t>
  </si>
  <si>
    <t>5600</t>
  </si>
  <si>
    <t>Salary Expense - General- Busi</t>
  </si>
  <si>
    <t>106-30-60221-5150-10-10</t>
  </si>
  <si>
    <t>Salary Expense - Bus Office</t>
  </si>
  <si>
    <t>5150</t>
  </si>
  <si>
    <t>Salary Expense - Therapists- I</t>
  </si>
  <si>
    <t>106-30-60224-4200-10-10</t>
  </si>
  <si>
    <t>Salary Expense - Clinic</t>
  </si>
  <si>
    <t>60224</t>
  </si>
  <si>
    <t>4200</t>
  </si>
  <si>
    <t>Salary Expense - General- Hous</t>
  </si>
  <si>
    <t>106-30-60221-5400-10-10</t>
  </si>
  <si>
    <t>Salary Expense - Housekeeping</t>
  </si>
  <si>
    <t>5400</t>
  </si>
  <si>
    <t>Salary Expense - General- Faci</t>
  </si>
  <si>
    <t>106-30-60221-5350-10-10</t>
  </si>
  <si>
    <t>Salary Expense - HR</t>
  </si>
  <si>
    <t>5350</t>
  </si>
  <si>
    <t>Salary Expense - General- Inta</t>
  </si>
  <si>
    <t>106-30-60221-4150-10-10</t>
  </si>
  <si>
    <t>Salary Expense - Intake</t>
  </si>
  <si>
    <t>4150</t>
  </si>
  <si>
    <t>Salary Expense - General- Plan</t>
  </si>
  <si>
    <t>106-30-60221-5700-10-10</t>
  </si>
  <si>
    <t>Salary Expense - Maint</t>
  </si>
  <si>
    <t>5700</t>
  </si>
  <si>
    <t>Salary Expense - General- Medi</t>
  </si>
  <si>
    <t>106-30-60221-5650-10-10</t>
  </si>
  <si>
    <t>Salary Expense - Med Recs</t>
  </si>
  <si>
    <t>5650</t>
  </si>
  <si>
    <t>Salary Expense - Nurses- IP Re</t>
  </si>
  <si>
    <t>106-30-60222-1311-10-10</t>
  </si>
  <si>
    <t>Salary Expense - Residential</t>
  </si>
  <si>
    <t>60222</t>
  </si>
  <si>
    <t>1311</t>
  </si>
  <si>
    <t>Salary Expense - Techs- IP Res</t>
  </si>
  <si>
    <t>106-30-60225-1311-10-10</t>
  </si>
  <si>
    <t>Salary Expense - Therapy</t>
  </si>
  <si>
    <t>60225</t>
  </si>
  <si>
    <t>Salary Expense - General- Util</t>
  </si>
  <si>
    <t>106-30-60221-4600-10-10</t>
  </si>
  <si>
    <t>Salary Expense - UR</t>
  </si>
  <si>
    <t>4600</t>
  </si>
  <si>
    <t>106-30-60221-5750-10-10</t>
  </si>
  <si>
    <t>Salary Expense - QA &amp; Risk Mgmt</t>
  </si>
  <si>
    <t>5750</t>
  </si>
  <si>
    <t>Federal Unemployment Tax- Admi</t>
  </si>
  <si>
    <t>106-30-60323-5100-10-10</t>
  </si>
  <si>
    <t>Fed Unempl Tax</t>
  </si>
  <si>
    <t>60323</t>
  </si>
  <si>
    <t>State Unemployment Tax- Admini</t>
  </si>
  <si>
    <t>106-30-60324-5100-10-10</t>
  </si>
  <si>
    <t>State Unempl Tax</t>
  </si>
  <si>
    <t>60324</t>
  </si>
  <si>
    <t>Salary Expense - General- IP C</t>
  </si>
  <si>
    <t>106-30-60221-4200-10-10</t>
  </si>
  <si>
    <t>Salary Expense - General</t>
  </si>
  <si>
    <t>Salary Expense - General- OP C</t>
  </si>
  <si>
    <t>106-30-60221-4350-10-31</t>
  </si>
  <si>
    <t>4350</t>
  </si>
  <si>
    <t>Salary Expense - Nurses- IP Cl</t>
  </si>
  <si>
    <t>106-30-60222-4200-10-10</t>
  </si>
  <si>
    <t>Salary Expense - Nurses</t>
  </si>
  <si>
    <t>Salary Expense - Physicians- M</t>
  </si>
  <si>
    <t>106-30-60223-4300-10-10</t>
  </si>
  <si>
    <t>Salary Expense - Physicians</t>
  </si>
  <si>
    <t>60223</t>
  </si>
  <si>
    <t>4300</t>
  </si>
  <si>
    <t>106-30-60224-1311-10-10</t>
  </si>
  <si>
    <t>Salary Expense - Therapists</t>
  </si>
  <si>
    <t>106-30-60224-4250-10-10</t>
  </si>
  <si>
    <t>4250</t>
  </si>
  <si>
    <t>Salary Expense - Therapists- O</t>
  </si>
  <si>
    <t>106-30-60224-4400-10-31</t>
  </si>
  <si>
    <t>4400</t>
  </si>
  <si>
    <t>Salary Expense - Techs- IP Cli</t>
  </si>
  <si>
    <t>106-30-60225-4200-10-10</t>
  </si>
  <si>
    <t>Salary Expense - Techs</t>
  </si>
  <si>
    <t>Salary Expense - Techs- Medica</t>
  </si>
  <si>
    <t>106-30-60225-4300-10-10</t>
  </si>
  <si>
    <t>Shift Bonus- IP Residential 1</t>
  </si>
  <si>
    <t>106-30-60276-1311-10-10</t>
  </si>
  <si>
    <t>Shift Bonus</t>
  </si>
  <si>
    <t>60276</t>
  </si>
  <si>
    <t>Shift Bonus- Medical Staff</t>
  </si>
  <si>
    <t>106-30-60276-4300-10-10</t>
  </si>
  <si>
    <t>FICA - SSI- IP Residential 1</t>
  </si>
  <si>
    <t>106-30-60321-1311-10-10</t>
  </si>
  <si>
    <t>FICA - SSI- Intake</t>
  </si>
  <si>
    <t>106-30-60321-4150-10-10</t>
  </si>
  <si>
    <t>FICA - SSI- IP Therapists</t>
  </si>
  <si>
    <t>106-30-60321-4250-10-10</t>
  </si>
  <si>
    <t>FICA - SSI- Utilization Review</t>
  </si>
  <si>
    <t>106-30-60321-4600-10-10</t>
  </si>
  <si>
    <t>FICA - SSI- Business Office</t>
  </si>
  <si>
    <t>106-30-60321-5150-10-10</t>
  </si>
  <si>
    <t>FICA - SSI- Facility HR</t>
  </si>
  <si>
    <t>106-30-60321-5350-10-10</t>
  </si>
  <si>
    <t>FICA - SSI- Housekeeping</t>
  </si>
  <si>
    <t>106-30-60321-5400-10-10</t>
  </si>
  <si>
    <t>FICA - SSI- Marketing / Bus De</t>
  </si>
  <si>
    <t>106-30-60321-5600-10-10</t>
  </si>
  <si>
    <t>FICA - SSI- Medical Records</t>
  </si>
  <si>
    <t>106-30-60321-5650-10-10</t>
  </si>
  <si>
    <t>FICA - SSI- Plant Operations</t>
  </si>
  <si>
    <t>106-30-60321-5700-10-10</t>
  </si>
  <si>
    <t>FICA - Medicare- IP Residentia</t>
  </si>
  <si>
    <t>106-30-60322-1311-10-10</t>
  </si>
  <si>
    <t>FICA - Medicare- Intake</t>
  </si>
  <si>
    <t>106-30-60322-4150-10-10</t>
  </si>
  <si>
    <t>FICA - Medicare- IP Therapists</t>
  </si>
  <si>
    <t>106-30-60322-4250-10-10</t>
  </si>
  <si>
    <t>FICA - Medicare- Utilization R</t>
  </si>
  <si>
    <t>106-30-60322-4600-10-10</t>
  </si>
  <si>
    <t>FICA - Medicare- Business Offi</t>
  </si>
  <si>
    <t>106-30-60322-5150-10-10</t>
  </si>
  <si>
    <t>FICA - Medicare- Facility HR</t>
  </si>
  <si>
    <t>106-30-60322-5350-10-10</t>
  </si>
  <si>
    <t>FICA - Medicare- Housekeeping</t>
  </si>
  <si>
    <t>106-30-60322-5400-10-10</t>
  </si>
  <si>
    <t>FICA - Medicare- Marketing / B</t>
  </si>
  <si>
    <t>106-30-60322-5600-10-10</t>
  </si>
  <si>
    <t>FICA - Medicare- Medical Recor</t>
  </si>
  <si>
    <t>106-30-60322-5650-10-10</t>
  </si>
  <si>
    <t>FICA - Medicare- Plant Operati</t>
  </si>
  <si>
    <t>106-30-60322-5700-10-10</t>
  </si>
  <si>
    <t>Federal Unemployment Tax- IP R</t>
  </si>
  <si>
    <t>106-30-60323-1311-10-10</t>
  </si>
  <si>
    <t>Federal Unemployment Tax</t>
  </si>
  <si>
    <t>Federal Unemployment Tax- Inta</t>
  </si>
  <si>
    <t>106-30-60323-4150-10-10</t>
  </si>
  <si>
    <t>Federal Unemployment Tax- IP T</t>
  </si>
  <si>
    <t>106-30-60323-4250-10-10</t>
  </si>
  <si>
    <t>Federal Unemployment Tax- Hous</t>
  </si>
  <si>
    <t>106-30-60323-5400-10-10</t>
  </si>
  <si>
    <t>Federal Unemployment Tax- Mark</t>
  </si>
  <si>
    <t>106-30-60323-5600-10-10</t>
  </si>
  <si>
    <t>Federal Unemployment Tax- Medi</t>
  </si>
  <si>
    <t>106-30-60323-5650-10-10</t>
  </si>
  <si>
    <t>Federal Unemployment Tax- Plan</t>
  </si>
  <si>
    <t>106-30-60323-5700-10-10</t>
  </si>
  <si>
    <t>State Unemployment Tax- IP Res</t>
  </si>
  <si>
    <t>106-30-60324-1311-10-10</t>
  </si>
  <si>
    <t>State Unemployment Tax</t>
  </si>
  <si>
    <t>State Unemployment Tax- Intake</t>
  </si>
  <si>
    <t>106-30-60324-4150-10-10</t>
  </si>
  <si>
    <t>State Unemployment Tax- IP The</t>
  </si>
  <si>
    <t>106-30-60324-4250-10-10</t>
  </si>
  <si>
    <t>State Unemployment Tax- Housek</t>
  </si>
  <si>
    <t>106-30-60324-5400-10-10</t>
  </si>
  <si>
    <t>State Unemployment Tax- Market</t>
  </si>
  <si>
    <t>106-30-60324-5600-10-10</t>
  </si>
  <si>
    <t>State Unemployment Tax- Medica</t>
  </si>
  <si>
    <t>106-30-60324-5650-10-10</t>
  </si>
  <si>
    <t>State Unemployment Tax- Plant</t>
  </si>
  <si>
    <t>106-30-60324-5700-10-10</t>
  </si>
  <si>
    <t>FICA - SSI- IP Clinical Admin</t>
  </si>
  <si>
    <t>106-30-60321-4200-10-10</t>
  </si>
  <si>
    <t>FICA - SSI- Medical Staff</t>
  </si>
  <si>
    <t>106-30-60321-4300-10-10</t>
  </si>
  <si>
    <t>FICA - SSI- OP Therapists</t>
  </si>
  <si>
    <t>106-30-60321-4400-10-31</t>
  </si>
  <si>
    <t>FICA - Medicare- IP Clinical A</t>
  </si>
  <si>
    <t>106-30-60322-4200-10-10</t>
  </si>
  <si>
    <t>FICA - Medicare- Medical Staff</t>
  </si>
  <si>
    <t>106-30-60322-4300-10-10</t>
  </si>
  <si>
    <t>FICA - Medicare- OP Therapists</t>
  </si>
  <si>
    <t>106-30-60322-4400-10-31</t>
  </si>
  <si>
    <t>106-30-60323-4300-10-10</t>
  </si>
  <si>
    <t>State Unemployment Tax- IP Cli</t>
  </si>
  <si>
    <t>106-30-60324-4200-10-10</t>
  </si>
  <si>
    <t>106-30-60324-4300-10-10</t>
  </si>
  <si>
    <t>Federal Unemployment Tax- OP T</t>
  </si>
  <si>
    <t>106-30-60323-4400-10-31</t>
  </si>
  <si>
    <t>State Unemployment Tax- OP The</t>
  </si>
  <si>
    <t>106-30-60324-4400-10-31</t>
  </si>
  <si>
    <t>FICA - SSI- OP Clinical Admin</t>
  </si>
  <si>
    <t>106-30-60321-4350-10-31</t>
  </si>
  <si>
    <t>FICA - SSI- Facility QI/Risk M</t>
  </si>
  <si>
    <t>106-30-60321-5750-10-10</t>
  </si>
  <si>
    <t>FICA - Medicare- OP Clinical A</t>
  </si>
  <si>
    <t>106-30-60322-4350-10-31</t>
  </si>
  <si>
    <t>FICA - Medicare- Facility QI/R</t>
  </si>
  <si>
    <t>106-30-60322-5750-10-10</t>
  </si>
  <si>
    <t>Federal Unemployment Tax- IP C</t>
  </si>
  <si>
    <t>106-30-60323-4200-10-10</t>
  </si>
  <si>
    <t>_NEW_ACCOUNT</t>
  </si>
  <si>
    <t>MGT 02-027c</t>
  </si>
  <si>
    <t>Call Track Metrics Feb-25 Accr</t>
  </si>
  <si>
    <t>106-30-61047-5600-10-10</t>
  </si>
  <si>
    <t>P/S - Internet Mkt</t>
  </si>
  <si>
    <t>61047</t>
  </si>
  <si>
    <t>MGT 02-025c</t>
  </si>
  <si>
    <t>OSV Accrual-Feb 2025</t>
  </si>
  <si>
    <t>106-30-61035-5350-10-10</t>
  </si>
  <si>
    <t>P/S - P/R Processing</t>
  </si>
  <si>
    <t>61035</t>
  </si>
  <si>
    <t>Payroll Accrual 02 2025</t>
  </si>
  <si>
    <t>Employee Contrubtion Accrual</t>
  </si>
  <si>
    <t>106-30-60360-5100-10-10</t>
  </si>
  <si>
    <t>Employee Contributions</t>
  </si>
  <si>
    <t>60360</t>
  </si>
  <si>
    <t>MON 02-015</t>
  </si>
  <si>
    <t>106-30-61001-5250-10-10</t>
  </si>
  <si>
    <t>5250</t>
  </si>
  <si>
    <t>106-30-61010-4525-10-10</t>
  </si>
  <si>
    <t>4525</t>
  </si>
  <si>
    <t>Food Supplies</t>
  </si>
  <si>
    <t>106-30-63001-5250-10-10</t>
  </si>
  <si>
    <t>63001</t>
  </si>
  <si>
    <t>Water &amp; Sewer</t>
  </si>
  <si>
    <t>106-30-64004-5700-10-10</t>
  </si>
  <si>
    <t>64004</t>
  </si>
  <si>
    <t>Credit Card Fees</t>
  </si>
  <si>
    <t>106-30-69155-5100-10-10</t>
  </si>
  <si>
    <t>69155</t>
  </si>
  <si>
    <t>Intake Bonus</t>
  </si>
  <si>
    <t>106-30-60272-5100-10-10</t>
  </si>
  <si>
    <t>Goal / Metric</t>
  </si>
  <si>
    <t>60272</t>
  </si>
  <si>
    <t>P/S - Housekeeping</t>
  </si>
  <si>
    <t>106-30-61013-5100-10-10</t>
  </si>
  <si>
    <t>61013</t>
  </si>
  <si>
    <t>P/S - Landscaping</t>
  </si>
  <si>
    <t>106-30-61043-5100-10-10</t>
  </si>
  <si>
    <t>61043</t>
  </si>
  <si>
    <t>Prepaid Galyean Investment</t>
  </si>
  <si>
    <t>106-30-66001-5100-10-31</t>
  </si>
  <si>
    <t>Rent - Building</t>
  </si>
  <si>
    <t>66001</t>
  </si>
  <si>
    <t>Purchasing</t>
  </si>
  <si>
    <t>Payables Trx Entry</t>
  </si>
  <si>
    <t>Purchases</t>
  </si>
  <si>
    <t>Athena Ankrom</t>
  </si>
  <si>
    <t>2/23-3/1</t>
  </si>
  <si>
    <t>106-30-69156-5600-10-10</t>
  </si>
  <si>
    <t>Books / Subscriptions</t>
  </si>
  <si>
    <t>69156</t>
  </si>
  <si>
    <t>Karma Treatment Transport</t>
  </si>
  <si>
    <t>1022</t>
  </si>
  <si>
    <t>106-30-69152-5800-10-10</t>
  </si>
  <si>
    <t>69152</t>
  </si>
  <si>
    <t>5800</t>
  </si>
  <si>
    <t>Catherine McLaughlin</t>
  </si>
  <si>
    <t>3/3-7</t>
  </si>
  <si>
    <t>106-30-69107-5800-10-10</t>
  </si>
  <si>
    <t>Milage</t>
  </si>
  <si>
    <t>69107</t>
  </si>
  <si>
    <t>Drew Carroll</t>
  </si>
  <si>
    <t>106-30-63006-4200-10-10</t>
  </si>
  <si>
    <t>Office Supplies - Clinic</t>
  </si>
  <si>
    <t>63006</t>
  </si>
  <si>
    <t>Whitney Hewitt</t>
  </si>
  <si>
    <t>3/4</t>
  </si>
  <si>
    <t>106-30-69178-4200-10-10</t>
  </si>
  <si>
    <t>Other Expenses</t>
  </si>
  <si>
    <t>69178</t>
  </si>
  <si>
    <t>Pitney Bowes Bank Inc</t>
  </si>
  <si>
    <t>3/20/25</t>
  </si>
  <si>
    <t>106-30-69163-5100-10-10</t>
  </si>
  <si>
    <t>Postage</t>
  </si>
  <si>
    <t>69163</t>
  </si>
  <si>
    <t>Academy Lock &amp; Key</t>
  </si>
  <si>
    <t>0000188662</t>
  </si>
  <si>
    <t>106-30-61038-5100-10-10</t>
  </si>
  <si>
    <t>Purchased Services - Other</t>
  </si>
  <si>
    <t>61038</t>
  </si>
  <si>
    <t>Logo Appeal</t>
  </si>
  <si>
    <t>254252,24253</t>
  </si>
  <si>
    <t>106-30-69135-5600-10-10</t>
  </si>
  <si>
    <t>Advert - Other</t>
  </si>
  <si>
    <t>69135</t>
  </si>
  <si>
    <t>1 of 2 payments</t>
  </si>
  <si>
    <t>Mechie Consulting LLC</t>
  </si>
  <si>
    <t>212- 1ST PYMT</t>
  </si>
  <si>
    <t>106-30-69166-5100-10-10</t>
  </si>
  <si>
    <t>Training Seminars - Other</t>
  </si>
  <si>
    <t>69166</t>
  </si>
  <si>
    <t>188378</t>
  </si>
  <si>
    <t>Southern Traditions Landscaping</t>
  </si>
  <si>
    <t>27603</t>
  </si>
  <si>
    <t>3/1-31</t>
  </si>
  <si>
    <t>Secure Records Solutions, LLC</t>
  </si>
  <si>
    <t>267225</t>
  </si>
  <si>
    <t>106-30-61045-5700-10-10</t>
  </si>
  <si>
    <t>P/S - Offsite Storage</t>
  </si>
  <si>
    <t>61045</t>
  </si>
  <si>
    <t>American Pest Control, Inc</t>
  </si>
  <si>
    <t>2758334</t>
  </si>
  <si>
    <t>106-30-61017-5700-10-10</t>
  </si>
  <si>
    <t>P/S - Pest Control</t>
  </si>
  <si>
    <t>61017</t>
  </si>
  <si>
    <t>Amy Graves</t>
  </si>
  <si>
    <t>3/3-6</t>
  </si>
  <si>
    <t>Amanda Pike</t>
  </si>
  <si>
    <t>2/27-3/5</t>
  </si>
  <si>
    <t>106-30-69109-5600-10-10</t>
  </si>
  <si>
    <t>Meals - Employee Business Mtgs</t>
  </si>
  <si>
    <t>69109</t>
  </si>
  <si>
    <t>1/28-2/25</t>
  </si>
  <si>
    <t>Walton County Water Department</t>
  </si>
  <si>
    <t>3/20</t>
  </si>
  <si>
    <t>Lamar Companies</t>
  </si>
  <si>
    <t>116815426</t>
  </si>
  <si>
    <t>2/27</t>
  </si>
  <si>
    <t>BOS Medical Staffing, Inc.</t>
  </si>
  <si>
    <t>14488</t>
  </si>
  <si>
    <t>106-30-60401-4300-10-10</t>
  </si>
  <si>
    <t>Contract Clinical - Nurses</t>
  </si>
  <si>
    <t>60401</t>
  </si>
  <si>
    <t>Crystal Story</t>
  </si>
  <si>
    <t>2/28-3/1</t>
  </si>
  <si>
    <t>Anything Septic, Inc</t>
  </si>
  <si>
    <t>19448</t>
  </si>
  <si>
    <t>106-30-65004-5700-10-10</t>
  </si>
  <si>
    <t>R &amp; M - Plumbing</t>
  </si>
  <si>
    <t>65004</t>
  </si>
  <si>
    <t>February</t>
  </si>
  <si>
    <t>EPTING EVENTS</t>
  </si>
  <si>
    <t>E19435</t>
  </si>
  <si>
    <t>P/S - Dietary adjustment</t>
  </si>
  <si>
    <t>MGT 02-025</t>
  </si>
  <si>
    <t>Ahead - Feb</t>
  </si>
  <si>
    <t>106-30-61025-5500-10-10</t>
  </si>
  <si>
    <t>61025</t>
  </si>
  <si>
    <t>5500</t>
  </si>
  <si>
    <t>MGT 02-015b</t>
  </si>
  <si>
    <t>Acc Podium INV-827510</t>
  </si>
  <si>
    <t>Acc Podium INV-827511</t>
  </si>
  <si>
    <t>Rent - Building Baxter Harris</t>
  </si>
  <si>
    <t>106-30-66001-5100-10-32</t>
  </si>
  <si>
    <t>1/30</t>
  </si>
  <si>
    <t>Transcare Medical, LLC</t>
  </si>
  <si>
    <t>64730</t>
  </si>
  <si>
    <t>1/28-2/28</t>
  </si>
  <si>
    <t>Walton EMC</t>
  </si>
  <si>
    <t>3/27 3001,3004,3005</t>
  </si>
  <si>
    <t>106-30-64002-5700-10-10</t>
  </si>
  <si>
    <t>Electricity</t>
  </si>
  <si>
    <t>64002</t>
  </si>
  <si>
    <t>Wings To Recovery, LLC</t>
  </si>
  <si>
    <t>1511</t>
  </si>
  <si>
    <t>Inspect-All Pest Services</t>
  </si>
  <si>
    <t>765662</t>
  </si>
  <si>
    <t>3/1-3/31</t>
  </si>
  <si>
    <t>Roll Off Systems, Inc.</t>
  </si>
  <si>
    <t>3647944</t>
  </si>
  <si>
    <t>106-30-64006-5700-10-10</t>
  </si>
  <si>
    <t>Waste Disposal</t>
  </si>
  <si>
    <t>64006</t>
  </si>
  <si>
    <t>Emily Dent</t>
  </si>
  <si>
    <t>3/2-8</t>
  </si>
  <si>
    <t>106-30-63006-5600-10-10</t>
  </si>
  <si>
    <t>Office Supplies - Bus Dev</t>
  </si>
  <si>
    <t>106-30-69151-4200-10-10</t>
  </si>
  <si>
    <t>Patient Activities</t>
  </si>
  <si>
    <t>69151</t>
  </si>
  <si>
    <t>Cody Davis</t>
  </si>
  <si>
    <t>3/6-7</t>
  </si>
  <si>
    <t>Jenna Graham</t>
  </si>
  <si>
    <t>2/23-3/8</t>
  </si>
  <si>
    <t>106-30-64008-5350-10-10</t>
  </si>
  <si>
    <t>Cell Phone</t>
  </si>
  <si>
    <t>64008</t>
  </si>
  <si>
    <t>3/10-14</t>
  </si>
  <si>
    <t>106-30-69107-5800-10-31</t>
  </si>
  <si>
    <t>Christopher Brown</t>
  </si>
  <si>
    <t>3/6-12</t>
  </si>
  <si>
    <t>Brandilyn Bell</t>
  </si>
  <si>
    <t>3/4-7</t>
  </si>
  <si>
    <t>3/8</t>
  </si>
  <si>
    <t>1026</t>
  </si>
  <si>
    <t>3/11</t>
  </si>
  <si>
    <t>PARKE GUTHNER</t>
  </si>
  <si>
    <t>3/1-8</t>
  </si>
  <si>
    <t>106-30-63006-5100-10-10</t>
  </si>
  <si>
    <t>Office Supplies - Admin</t>
  </si>
  <si>
    <t>Cloud Cam LLC</t>
  </si>
  <si>
    <t>22</t>
  </si>
  <si>
    <t>MGT_03-14-2025_ACT</t>
  </si>
  <si>
    <t>MON_03-14-2025_ACT</t>
  </si>
  <si>
    <t>Vacation/PTO - General- Intake</t>
  </si>
  <si>
    <t>106-30-60241-4150-10-10</t>
  </si>
  <si>
    <t>Vacation/PTO - General</t>
  </si>
  <si>
    <t>60241</t>
  </si>
  <si>
    <t>Vacation/PTO - General- IP Cli</t>
  </si>
  <si>
    <t>106-30-60241-4200-10-10</t>
  </si>
  <si>
    <t>Vacation/PTO - General- Plant</t>
  </si>
  <si>
    <t>106-30-60241-5700-10-10</t>
  </si>
  <si>
    <t>Vacation/PTO - Nurses- IP Resi</t>
  </si>
  <si>
    <t>106-30-60242-1311-10-10</t>
  </si>
  <si>
    <t>Vacation/PTO - Nurses</t>
  </si>
  <si>
    <t>60242</t>
  </si>
  <si>
    <t>Vacation/PTO - Techs- IP Resid</t>
  </si>
  <si>
    <t>106-30-60245-1311-10-10</t>
  </si>
  <si>
    <t>Vacation/PTO - Techs</t>
  </si>
  <si>
    <t>60245</t>
  </si>
  <si>
    <t>Vacation/PTO - Techs- IP Clini</t>
  </si>
  <si>
    <t>106-30-60245-4200-10-10</t>
  </si>
  <si>
    <t>Sick - General- IP Clinical Ad</t>
  </si>
  <si>
    <t>106-30-60251-4200-10-10</t>
  </si>
  <si>
    <t>Sick - General</t>
  </si>
  <si>
    <t>60251</t>
  </si>
  <si>
    <t>Sick - General- Business Offic</t>
  </si>
  <si>
    <t>106-30-60251-5150-10-10</t>
  </si>
  <si>
    <t>Sick - General- Medical Record</t>
  </si>
  <si>
    <t>106-30-60251-5650-10-10</t>
  </si>
  <si>
    <t>Sick - Nurses- IP Residential</t>
  </si>
  <si>
    <t>106-30-60252-1311-10-10</t>
  </si>
  <si>
    <t>Sick - Nurses</t>
  </si>
  <si>
    <t>60252</t>
  </si>
  <si>
    <t>Sick - Nurses- IP Clinical Adm</t>
  </si>
  <si>
    <t>106-30-60252-4200-10-10</t>
  </si>
  <si>
    <t>Sick - Therapists- IP Therapis</t>
  </si>
  <si>
    <t>106-30-60254-4250-10-10</t>
  </si>
  <si>
    <t>Sick - Therapists</t>
  </si>
  <si>
    <t>60254</t>
  </si>
  <si>
    <t>Sick - Techs- IP Residential 1</t>
  </si>
  <si>
    <t>106-30-60255-1311-10-10</t>
  </si>
  <si>
    <t>Sick - Techs</t>
  </si>
  <si>
    <t>60255</t>
  </si>
  <si>
    <t>Sick - Techs- IP Clinical Admi</t>
  </si>
  <si>
    <t>106-30-60255-4200-10-10</t>
  </si>
  <si>
    <t>Sick - Techs- Medical Staff</t>
  </si>
  <si>
    <t>106-30-60255-4300-10-10</t>
  </si>
  <si>
    <t>Other Non - Productive- IP Res</t>
  </si>
  <si>
    <t>106-30-60267-1311-10-10</t>
  </si>
  <si>
    <t>Other Non - Productive</t>
  </si>
  <si>
    <t>60267</t>
  </si>
  <si>
    <t>Other Non - Productive- IP The</t>
  </si>
  <si>
    <t>106-30-60267-4250-10-10</t>
  </si>
  <si>
    <t>Goal / Metric- Intake</t>
  </si>
  <si>
    <t>106-30-60272-4150-10-10</t>
  </si>
  <si>
    <t>Goal / Metric- Marketing / Bus</t>
  </si>
  <si>
    <t>106-30-60272-5600-10-10</t>
  </si>
  <si>
    <t>Bonus - All other- IP Resident</t>
  </si>
  <si>
    <t>106-30-60278-1311-10-10</t>
  </si>
  <si>
    <t>Bonus - All other</t>
  </si>
  <si>
    <t>60278</t>
  </si>
  <si>
    <t>PODIUM FEE 2/16/2025-3/15/2025</t>
  </si>
  <si>
    <t>Podium Corporation Inc</t>
  </si>
  <si>
    <t>INV-827487</t>
  </si>
  <si>
    <t>PODIUM FEE 3/16/25 4/15/25</t>
  </si>
  <si>
    <t>INV-848173</t>
  </si>
  <si>
    <t>Jon Payne Electric, Inc.</t>
  </si>
  <si>
    <t>345</t>
  </si>
  <si>
    <t>106-30-65003-5700-10-10</t>
  </si>
  <si>
    <t>R &amp; M -Electrical</t>
  </si>
  <si>
    <t>65003</t>
  </si>
  <si>
    <t>1029</t>
  </si>
  <si>
    <t>3/6-19</t>
  </si>
  <si>
    <t>106-30-69157-5100-10-10</t>
  </si>
  <si>
    <t>Contributions/Donation</t>
  </si>
  <si>
    <t>69157</t>
  </si>
  <si>
    <t>3/17-20</t>
  </si>
  <si>
    <t>3/17-21</t>
  </si>
  <si>
    <t>3/8-9</t>
  </si>
  <si>
    <t>106-30-69151-5100-10-10</t>
  </si>
  <si>
    <t>106-30-69109-4200-10-10</t>
  </si>
  <si>
    <t>3/13-19</t>
  </si>
  <si>
    <t>Alannah Elliott</t>
  </si>
  <si>
    <t>3/14</t>
  </si>
  <si>
    <t>3/8-15</t>
  </si>
  <si>
    <t>3/9-15</t>
  </si>
  <si>
    <t>106-30-69164-5600-10-10</t>
  </si>
  <si>
    <t>Printing expense</t>
  </si>
  <si>
    <t>69164</t>
  </si>
  <si>
    <t>3/10-11</t>
  </si>
  <si>
    <t>3/7-15</t>
  </si>
  <si>
    <t>11/20 IOP Self-Pay</t>
  </si>
  <si>
    <t>Beechtree Diagnostics LLP</t>
  </si>
  <si>
    <t>80837369</t>
  </si>
  <si>
    <t>106-30-61010-4525-10-31</t>
  </si>
  <si>
    <t>J. Burns self pay IOP Nov,Dec</t>
  </si>
  <si>
    <t>81539682</t>
  </si>
  <si>
    <t>D.Garner IOP self-pay</t>
  </si>
  <si>
    <t>82664541</t>
  </si>
  <si>
    <t>Paige Dean</t>
  </si>
  <si>
    <t>Lockedheart Technologies, LLC</t>
  </si>
  <si>
    <t>1623</t>
  </si>
  <si>
    <t>3/6</t>
  </si>
  <si>
    <t>14506</t>
  </si>
  <si>
    <t>Gainesville</t>
  </si>
  <si>
    <t>Galyean Investment Properties</t>
  </si>
  <si>
    <t>APRIL 2025 RENT</t>
  </si>
  <si>
    <t>answering svc Feb 2025</t>
  </si>
  <si>
    <t>CareXM, LLC</t>
  </si>
  <si>
    <t>860329</t>
  </si>
  <si>
    <t>MON 03-017</t>
  </si>
  <si>
    <t>PP - 00043184 Clarke County</t>
  </si>
  <si>
    <t>106-30-69170-5100-10-10</t>
  </si>
  <si>
    <t>Property Taxes</t>
  </si>
  <si>
    <t>69170</t>
  </si>
  <si>
    <t>PP - 325268 Hall County</t>
  </si>
  <si>
    <t>PP - 7036800 001 Walton County</t>
  </si>
  <si>
    <t>Property Agreement PP Tax Accr</t>
  </si>
  <si>
    <t>RE - C1400023 Walton County</t>
  </si>
  <si>
    <t>RE - C1400022A00 Walton County</t>
  </si>
  <si>
    <t>FEBRUARY 2025</t>
  </si>
  <si>
    <t>Cheryl Cirelli</t>
  </si>
  <si>
    <t>INV02282025</t>
  </si>
  <si>
    <t>MaaS 360 License Mar 2025</t>
  </si>
  <si>
    <t>Connectel Wireless, Inc</t>
  </si>
  <si>
    <t>28849</t>
  </si>
  <si>
    <t>March 2025</t>
  </si>
  <si>
    <t>Health Care Systems, Inc.</t>
  </si>
  <si>
    <t>097794</t>
  </si>
  <si>
    <t>106-30-61022-5500-10-10</t>
  </si>
  <si>
    <t>P/S - IT Elec Med Records</t>
  </si>
  <si>
    <t>61022</t>
  </si>
  <si>
    <t>Printing 02/13/25-0306/25</t>
  </si>
  <si>
    <t>Toco Instant Printing</t>
  </si>
  <si>
    <t>25-775</t>
  </si>
  <si>
    <t>STORAGE,RAM,</t>
  </si>
  <si>
    <t>MCA</t>
  </si>
  <si>
    <t>1137677</t>
  </si>
  <si>
    <t>106-30-61024-5500-10-10</t>
  </si>
  <si>
    <t>P/S - IT Support Services</t>
  </si>
  <si>
    <t>61024</t>
  </si>
  <si>
    <t>MGT_03-31-2025_ACC</t>
  </si>
  <si>
    <t>MON_03-31-2025_ACC</t>
  </si>
  <si>
    <t>Shift Bonus- IP Clinical Admin</t>
  </si>
  <si>
    <t>106-30-60276-4200-10-10</t>
  </si>
  <si>
    <t>MON_03-28-2025_ACT</t>
  </si>
  <si>
    <t>Vacation/PTO - General- Facili</t>
  </si>
  <si>
    <t>106-30-60241-5350-10-10</t>
  </si>
  <si>
    <t>Vacation/PTO - General- Market</t>
  </si>
  <si>
    <t>106-30-60241-5600-10-10</t>
  </si>
  <si>
    <t>Vacation/PTO - General- Medica</t>
  </si>
  <si>
    <t>106-30-60241-5650-10-10</t>
  </si>
  <si>
    <t>Vacation/PTO - Nurses- IP Clin</t>
  </si>
  <si>
    <t>106-30-60242-4200-10-10</t>
  </si>
  <si>
    <t>Sick - General- Intake</t>
  </si>
  <si>
    <t>106-30-60251-4150-10-10</t>
  </si>
  <si>
    <t>Sick - General- OP Clinical Ad</t>
  </si>
  <si>
    <t>106-30-60251-4350-10-31</t>
  </si>
  <si>
    <t>Sick - Therapists- OP Therapis</t>
  </si>
  <si>
    <t>106-30-60254-4400-10-31</t>
  </si>
  <si>
    <t>Other Non - Productive- IP Cli</t>
  </si>
  <si>
    <t>106-30-60267-4200-10-10</t>
  </si>
  <si>
    <t>MGT_03-28-2025_ACT</t>
  </si>
  <si>
    <t>PRINTING 3/6/25-3/24/25</t>
  </si>
  <si>
    <t>25-997</t>
  </si>
  <si>
    <t>Data Processing Order</t>
  </si>
  <si>
    <t>Logik Solutions, LLC</t>
  </si>
  <si>
    <t>CI-00017578</t>
  </si>
  <si>
    <t>106-30-61023-5500-10-10</t>
  </si>
  <si>
    <t>P/S - IT Accounting Services</t>
  </si>
  <si>
    <t>61023</t>
  </si>
  <si>
    <t>MGT 03-013 Employee Contri</t>
  </si>
  <si>
    <t>3/21-22</t>
  </si>
  <si>
    <t>1030</t>
  </si>
  <si>
    <t>3/24-26</t>
  </si>
  <si>
    <t>106-30-69107-5750-10-10</t>
  </si>
  <si>
    <t>3/24-28</t>
  </si>
  <si>
    <t>106-30-64008-5150-10-10</t>
  </si>
  <si>
    <t>106-30-69107-5150-10-10</t>
  </si>
  <si>
    <t>3/21-26</t>
  </si>
  <si>
    <t>106-30-69107-5650-10-10</t>
  </si>
  <si>
    <t>3/20-26</t>
  </si>
  <si>
    <t>106-30-69166-4200-10-10</t>
  </si>
  <si>
    <t>Training Seminars - Clinical</t>
  </si>
  <si>
    <t>106-30-69107-4200-10-31</t>
  </si>
  <si>
    <t>3/16-22</t>
  </si>
  <si>
    <t>106-30-69107-5600-10-10</t>
  </si>
  <si>
    <t>3/15-22</t>
  </si>
  <si>
    <t>106-30-63005-5400-10-10</t>
  </si>
  <si>
    <t>106-30-63002-5250-10-10</t>
  </si>
  <si>
    <t>Office Supplies - Dietary</t>
  </si>
  <si>
    <t>63002</t>
  </si>
  <si>
    <t>3/21</t>
  </si>
  <si>
    <t>3/15-21</t>
  </si>
  <si>
    <t>Tiffany Leggett</t>
  </si>
  <si>
    <t>3/9-22</t>
  </si>
  <si>
    <t>Leanne Croft</t>
  </si>
  <si>
    <t>106-30-64008-4100-10-10</t>
  </si>
  <si>
    <t>4100</t>
  </si>
  <si>
    <t>Walton County</t>
  </si>
  <si>
    <t>2025 BUS LICENSE</t>
  </si>
  <si>
    <t>106-30-69169-5100-10-10</t>
  </si>
  <si>
    <t>License Fees / Taxes</t>
  </si>
  <si>
    <t>69169</t>
  </si>
  <si>
    <t>Gainesville IOP Jan-Feb</t>
  </si>
  <si>
    <t>Laboratory Corporation of America Holding</t>
  </si>
  <si>
    <t>82737616</t>
  </si>
  <si>
    <t>3683436</t>
  </si>
  <si>
    <t>1630</t>
  </si>
  <si>
    <t>3/8-4/8 Gainesville</t>
  </si>
  <si>
    <t>Water Pros</t>
  </si>
  <si>
    <t>1112</t>
  </si>
  <si>
    <t>106-30-64004-5700-10-31</t>
  </si>
  <si>
    <t>1/31-2/2 2/12-2/13</t>
  </si>
  <si>
    <t>2025 APRIL RENT</t>
  </si>
  <si>
    <t>All Protective Services</t>
  </si>
  <si>
    <t>107254</t>
  </si>
  <si>
    <t>106-30-61038-5700-10-10</t>
  </si>
  <si>
    <t>P/S - Maint Repairs</t>
  </si>
  <si>
    <t>Medline Industries, LP</t>
  </si>
  <si>
    <t>2362395101</t>
  </si>
  <si>
    <t>106-30-63003-4300-10-10</t>
  </si>
  <si>
    <t>268127</t>
  </si>
  <si>
    <t>262489</t>
  </si>
  <si>
    <t>Sterling</t>
  </si>
  <si>
    <t>10222340</t>
  </si>
  <si>
    <t>106-30-69121-5350-10-10</t>
  </si>
  <si>
    <t>Employee Recruitment</t>
  </si>
  <si>
    <t>69121</t>
  </si>
  <si>
    <t>Staples</t>
  </si>
  <si>
    <t>7004150605</t>
  </si>
  <si>
    <t>106-30-63006-4100-10-10</t>
  </si>
  <si>
    <t>Office Supplies</t>
  </si>
  <si>
    <t>7004223352</t>
  </si>
  <si>
    <t>106-30-63006-5350-10-10</t>
  </si>
  <si>
    <t>Office Supplies - Human Res</t>
  </si>
  <si>
    <t>188662</t>
  </si>
  <si>
    <t>254252</t>
  </si>
  <si>
    <t>254253</t>
  </si>
  <si>
    <t>Invisalert Solutions, Inc.</t>
  </si>
  <si>
    <t>14589</t>
  </si>
  <si>
    <t>14613</t>
  </si>
  <si>
    <t>19705</t>
  </si>
  <si>
    <t>254282</t>
  </si>
  <si>
    <t>Omnicare, Inc.</t>
  </si>
  <si>
    <t>403339</t>
  </si>
  <si>
    <t>106-30-63004-4500-10-10</t>
  </si>
  <si>
    <t>Pharmacy Supplies</t>
  </si>
  <si>
    <t>63004</t>
  </si>
  <si>
    <t>4500</t>
  </si>
  <si>
    <t>7004444253</t>
  </si>
  <si>
    <t>106-30-63006-5150-10-10</t>
  </si>
  <si>
    <t>Office Supplies - Bus Office</t>
  </si>
  <si>
    <t>0920-000121-001</t>
  </si>
  <si>
    <t>The City of Monroe</t>
  </si>
  <si>
    <t>4/16/25</t>
  </si>
  <si>
    <t>106-30-64003-5700-10-10</t>
  </si>
  <si>
    <t>Natural Gas</t>
  </si>
  <si>
    <t>64003</t>
  </si>
  <si>
    <t>2758335</t>
  </si>
  <si>
    <t>2758336</t>
  </si>
  <si>
    <t>MON 03-011</t>
  </si>
  <si>
    <t>Brighter Bey Consulting</t>
  </si>
  <si>
    <t>Zoom - Annual License</t>
  </si>
  <si>
    <t>Invisalert Solutions</t>
  </si>
  <si>
    <t>Invisalert Annual - Inv 2021-1</t>
  </si>
  <si>
    <t>LegitScript LLC - Inv 8563</t>
  </si>
  <si>
    <t>CaredFor Inc. - Inv 9156</t>
  </si>
  <si>
    <t>106-30-69136-5100-10-10</t>
  </si>
  <si>
    <t>Public Relations</t>
  </si>
  <si>
    <t>69136</t>
  </si>
  <si>
    <t>Statista - Inv A23002191</t>
  </si>
  <si>
    <t>106-30-69140-5600-10-10</t>
  </si>
  <si>
    <t>Other Marketing</t>
  </si>
  <si>
    <t>69140</t>
  </si>
  <si>
    <t>Carf International</t>
  </si>
  <si>
    <t>Joint Commission - Annual Lice</t>
  </si>
  <si>
    <t>106-30-69158-5100-10-10</t>
  </si>
  <si>
    <t>Dues</t>
  </si>
  <si>
    <t>69158</t>
  </si>
  <si>
    <t>PsychArmor - Inv 1536</t>
  </si>
  <si>
    <t>Peppers Retention Bonus</t>
  </si>
  <si>
    <t>106-30-60275-5600-10-10</t>
  </si>
  <si>
    <t>Retention Bonus</t>
  </si>
  <si>
    <t>60275</t>
  </si>
  <si>
    <t>Logik Solutions</t>
  </si>
  <si>
    <t>Meraki MS350-48FP Enterprise L</t>
  </si>
  <si>
    <t>Cisco Meraki MS350-24P Enterpr</t>
  </si>
  <si>
    <t>Meraki 3Yr Lic and Sup MR Ente</t>
  </si>
  <si>
    <t>MON 03-016</t>
  </si>
  <si>
    <t>PUBLIX #1736</t>
  </si>
  <si>
    <t>WALMART.COM</t>
  </si>
  <si>
    <t>THE WEBSTAURANT STORE</t>
  </si>
  <si>
    <t>WALMART.COM 8009256278</t>
  </si>
  <si>
    <t>BOSS BROTHERS COUNTRY</t>
  </si>
  <si>
    <t>THE HOME DEPOT #1774</t>
  </si>
  <si>
    <t>106-30-63009-5700-10-10</t>
  </si>
  <si>
    <t>Office Supplies - Maint</t>
  </si>
  <si>
    <t>THE HOME DEPOT #0152</t>
  </si>
  <si>
    <t>WM SUPERCENTER #780</t>
  </si>
  <si>
    <t>CHEVRON 0307005</t>
  </si>
  <si>
    <t>106-30-63011-5800-10-10</t>
  </si>
  <si>
    <t>Supplies - Gas</t>
  </si>
  <si>
    <t>63011</t>
  </si>
  <si>
    <t>NPDB NPDB.HRSA.GOV</t>
  </si>
  <si>
    <t>4IMPRINT, INC</t>
  </si>
  <si>
    <t>UBER    EATS</t>
  </si>
  <si>
    <t>UBER    TRIP</t>
  </si>
  <si>
    <t>UBER TRIP  TRIP</t>
  </si>
  <si>
    <t>UBER    ONE</t>
  </si>
  <si>
    <t>ADOBE   ADOBE</t>
  </si>
  <si>
    <t>106-30-69156-5100-10-10</t>
  </si>
  <si>
    <t>Admin - Books / Subscriptions</t>
  </si>
  <si>
    <t>AMA CREDENTIALING</t>
  </si>
  <si>
    <t>PLAQUEMAKER</t>
  </si>
  <si>
    <t>106-30-69159-5100-10-10</t>
  </si>
  <si>
    <t>Employee Relations</t>
  </si>
  <si>
    <t>69159</t>
  </si>
  <si>
    <t>CRISIS PREVENTION INST</t>
  </si>
  <si>
    <t>LANGUAGE LINE, INC.</t>
  </si>
  <si>
    <t>106-30-61002-4300-10-10</t>
  </si>
  <si>
    <t>P/S  - Interpreter</t>
  </si>
  <si>
    <t>61002</t>
  </si>
  <si>
    <t>INTEALTH</t>
  </si>
  <si>
    <t>106-30-63003-4500-10-10</t>
  </si>
  <si>
    <t>TARGET.COM</t>
  </si>
  <si>
    <t>106-30-63006-4300-10-10</t>
  </si>
  <si>
    <t>AMAZON MARK  OR98Y1FY3</t>
  </si>
  <si>
    <t>SOCIAL CIRCLE ACE HOME</t>
  </si>
  <si>
    <t>AMAZON RETA  NU69V3O63</t>
  </si>
  <si>
    <t>106-30-63006-5700-10-10</t>
  </si>
  <si>
    <t>EQT  AETNA CVS HEALTH</t>
  </si>
  <si>
    <t>106-30-69153-5100-10-10</t>
  </si>
  <si>
    <t>Other Patient Assistance</t>
  </si>
  <si>
    <t>69153</t>
  </si>
  <si>
    <t>106-30-69156-5150-10-10</t>
  </si>
  <si>
    <t>FLOWERLAND</t>
  </si>
  <si>
    <t>106-30-69159-4300-10-10</t>
  </si>
  <si>
    <t>RUTHS ROSES</t>
  </si>
  <si>
    <t>MGT 03-011b</t>
  </si>
  <si>
    <t>Medik Workflow Amort</t>
  </si>
  <si>
    <t>HCS - EMR Amort - 2</t>
  </si>
  <si>
    <t>HCS - EMR Amort</t>
  </si>
  <si>
    <t>MGT 03-011f</t>
  </si>
  <si>
    <t>Workday Phase 1a</t>
  </si>
  <si>
    <t>Workday Phase 1b</t>
  </si>
  <si>
    <t>Workday Annual Subscription</t>
  </si>
  <si>
    <t>MGT 03-025b</t>
  </si>
  <si>
    <t>NY Life LTD Group LTD-March</t>
  </si>
  <si>
    <t>106-30-60356-5100-10-10</t>
  </si>
  <si>
    <t>Group LT Disability</t>
  </si>
  <si>
    <t>60356</t>
  </si>
  <si>
    <t>NY Life Group STD-March</t>
  </si>
  <si>
    <t>106-30-60357-5100-10-10</t>
  </si>
  <si>
    <t>Group ST Disability</t>
  </si>
  <si>
    <t>60357</t>
  </si>
  <si>
    <t>NY Life Group-March</t>
  </si>
  <si>
    <t>106-30-60358-5100-10-10</t>
  </si>
  <si>
    <t>Group Life</t>
  </si>
  <si>
    <t>60358</t>
  </si>
  <si>
    <t>MGT 03-025c</t>
  </si>
  <si>
    <t>OSV Payroll Fees-Feb 2025</t>
  </si>
  <si>
    <t>OSV Accrual-Mar 2025</t>
  </si>
  <si>
    <t>MGT 03-025d</t>
  </si>
  <si>
    <t>Cigna Accident-March</t>
  </si>
  <si>
    <t>106-30-60359-5100-10-10</t>
  </si>
  <si>
    <t>Accidental Life</t>
  </si>
  <si>
    <t>60359</t>
  </si>
  <si>
    <t>Cigna Critical-March</t>
  </si>
  <si>
    <t>106-30-60354-5100-10-10</t>
  </si>
  <si>
    <t>Critical Illness Insurance</t>
  </si>
  <si>
    <t>60354</t>
  </si>
  <si>
    <t>Cigna Hosp Indemnity-March</t>
  </si>
  <si>
    <t>106-30-60355-5100-10-10</t>
  </si>
  <si>
    <t>Other Insurance Premiums</t>
  </si>
  <si>
    <t>60355</t>
  </si>
  <si>
    <t>MGT 03-025g</t>
  </si>
  <si>
    <t>Delta Dental-March 2025</t>
  </si>
  <si>
    <t>106-30-60352-5100-10-10</t>
  </si>
  <si>
    <t>Group Dental Premiums</t>
  </si>
  <si>
    <t>60352</t>
  </si>
  <si>
    <t>MGT 03-025h</t>
  </si>
  <si>
    <t>VSP Vision-March 2025</t>
  </si>
  <si>
    <t>106-30-60353-5100-10-10</t>
  </si>
  <si>
    <t>Vision Insurance</t>
  </si>
  <si>
    <t>60353</t>
  </si>
  <si>
    <t>Back Out Journal Entry 643390</t>
  </si>
  <si>
    <t>Back Out Journal Entry 643392</t>
  </si>
  <si>
    <t>Back Out Journal Entry 643397</t>
  </si>
  <si>
    <t>Corrected OSV Accrual-Mar 2025</t>
  </si>
  <si>
    <t>MGT 03-027</t>
  </si>
  <si>
    <t>Mgt Co Allocation to Twin Lake</t>
  </si>
  <si>
    <t>106-30-69191-5100-10-10</t>
  </si>
  <si>
    <t>Corporate allocation - monthly</t>
  </si>
  <si>
    <t>69191</t>
  </si>
  <si>
    <t>MGT 03-025e</t>
  </si>
  <si>
    <t>BCBS-Mar 2025 Premium</t>
  </si>
  <si>
    <t>106-30-60351-5100-10-10</t>
  </si>
  <si>
    <t>Group Medical Premiums</t>
  </si>
  <si>
    <t>60351</t>
  </si>
  <si>
    <t>MGT 03-025f</t>
  </si>
  <si>
    <t>2025 401k Match Estimate-March</t>
  </si>
  <si>
    <t>106-30-60371-5100-10-10</t>
  </si>
  <si>
    <t>401K Matching Expense</t>
  </si>
  <si>
    <t>60371</t>
  </si>
  <si>
    <t>MON 03-006</t>
  </si>
  <si>
    <t>vantage fee|v|vantage fee</t>
  </si>
  <si>
    <t>MGT 03-027c</t>
  </si>
  <si>
    <t>Call Track Metrics Mar-25 Accr</t>
  </si>
  <si>
    <t>MON 03-016a</t>
  </si>
  <si>
    <t>MONROE PIZZERIA</t>
  </si>
  <si>
    <t>SOCIAL CIRCLE VALERO</t>
  </si>
  <si>
    <t>SQ  MR.V APPLIANCE REP</t>
  </si>
  <si>
    <t>106-30-65008-5700-10-10</t>
  </si>
  <si>
    <t>Repairs &amp; Maintenance - Other</t>
  </si>
  <si>
    <t>65008</t>
  </si>
  <si>
    <t>COLLEGE TRANSCRIPT</t>
  </si>
  <si>
    <t>TST TIN PLATE</t>
  </si>
  <si>
    <t>JORDAN AIR HEATING, CO</t>
  </si>
  <si>
    <t>106-30-65006-5700-10-10</t>
  </si>
  <si>
    <t>R &amp; M - HVAC Systems</t>
  </si>
  <si>
    <t>65006</t>
  </si>
  <si>
    <t>MGT 03-018</t>
  </si>
  <si>
    <t>PSYCHOLOGY TODAY</t>
  </si>
  <si>
    <t>FAXAGE</t>
  </si>
  <si>
    <t>106-30-61025-5600-10-10</t>
  </si>
  <si>
    <t>P/S - IT Systems - Other</t>
  </si>
  <si>
    <t>4/1</t>
  </si>
  <si>
    <t>3/27-4/2</t>
  </si>
  <si>
    <t>Canon Financial Services, INC.</t>
  </si>
  <si>
    <t>39425494</t>
  </si>
  <si>
    <t>106-30-66002-5100-10-10</t>
  </si>
  <si>
    <t>P/S - Copying</t>
  </si>
  <si>
    <t>66002</t>
  </si>
  <si>
    <t>3/9-3/29</t>
  </si>
  <si>
    <t>Athens Appliance Repair, LLC</t>
  </si>
  <si>
    <t>21374</t>
  </si>
  <si>
    <t>Bradford Janitorial Services LLC</t>
  </si>
  <si>
    <t>100046</t>
  </si>
  <si>
    <t>106-30-61013-5400-10-10</t>
  </si>
  <si>
    <t>3/25-26</t>
  </si>
  <si>
    <t>106-30-69178-5800-10-10</t>
  </si>
  <si>
    <t>3/23-29</t>
  </si>
  <si>
    <t>JEREMIAH HENDRICKS</t>
  </si>
  <si>
    <t>2/14,2/18</t>
  </si>
  <si>
    <t>3/13,25,26,28</t>
  </si>
  <si>
    <t>Demona Mills</t>
  </si>
  <si>
    <t>3/31</t>
  </si>
  <si>
    <t>3/31-4/4</t>
  </si>
  <si>
    <t>269978</t>
  </si>
  <si>
    <t>106-30-61045-5100-10-10</t>
  </si>
  <si>
    <t>Social Circle Ace Home Center</t>
  </si>
  <si>
    <t>MARCH SUPPLIES</t>
  </si>
  <si>
    <t>27724</t>
  </si>
  <si>
    <t>106-30-61043-5700-10-10</t>
  </si>
  <si>
    <t>3/22-29</t>
  </si>
  <si>
    <t>The Well of Restoration, Inc.</t>
  </si>
  <si>
    <t>1008</t>
  </si>
  <si>
    <t>106-30-61003-4250-10-10</t>
  </si>
  <si>
    <t>P/S - Therapist</t>
  </si>
  <si>
    <t>61003</t>
  </si>
  <si>
    <t>3/28-4/1</t>
  </si>
  <si>
    <t>Amazon Capital Services</t>
  </si>
  <si>
    <t>1CYP-GDJ3-XC6R</t>
  </si>
  <si>
    <t>106-30-69156-4200-10-10</t>
  </si>
  <si>
    <t>McKesson</t>
  </si>
  <si>
    <t>13663790</t>
  </si>
  <si>
    <t>3/29</t>
  </si>
  <si>
    <t>Creative Care Concepts, Inc.</t>
  </si>
  <si>
    <t>78</t>
  </si>
  <si>
    <t>106-30-62006-2501-10-10</t>
  </si>
  <si>
    <t>Professional Fees - Other</t>
  </si>
  <si>
    <t>2501</t>
  </si>
  <si>
    <t>106-30-62002-2501-10-10</t>
  </si>
  <si>
    <t>106-30-62007-2501-10-10</t>
  </si>
  <si>
    <t>759976</t>
  </si>
  <si>
    <t>106-30-61017-5700-10-31</t>
  </si>
  <si>
    <t>116893659</t>
  </si>
  <si>
    <t>3700399</t>
  </si>
  <si>
    <t>2nd payment ATD Training</t>
  </si>
  <si>
    <t>212-2</t>
  </si>
  <si>
    <t>Premier Health &amp; Performance</t>
  </si>
  <si>
    <t>1788467354</t>
  </si>
  <si>
    <t>1788467353</t>
  </si>
  <si>
    <t>Athens Recovery Warriors INC</t>
  </si>
  <si>
    <t>1015</t>
  </si>
  <si>
    <t>2488933</t>
  </si>
  <si>
    <t>Yvonne Davenport</t>
  </si>
  <si>
    <t>3/30</t>
  </si>
  <si>
    <t>3/20-31</t>
  </si>
  <si>
    <t>Royal Shredding</t>
  </si>
  <si>
    <t>27947</t>
  </si>
  <si>
    <t>106-30-61046-5700-10-10</t>
  </si>
  <si>
    <t>P/S - Shredding</t>
  </si>
  <si>
    <t>61046</t>
  </si>
  <si>
    <t>1032</t>
  </si>
  <si>
    <t>106-30-69102-5800-10-10</t>
  </si>
  <si>
    <t>Lodging</t>
  </si>
  <si>
    <t>69102</t>
  </si>
  <si>
    <t>3/3-4/4</t>
  </si>
  <si>
    <t>Jonathan Croy</t>
  </si>
  <si>
    <t>4/3</t>
  </si>
  <si>
    <t>Paul Meeks</t>
  </si>
  <si>
    <t>3/10-4/3</t>
  </si>
  <si>
    <t>106-30-64008-5700-10-10</t>
  </si>
  <si>
    <t>March 1-31</t>
  </si>
  <si>
    <t>E19436</t>
  </si>
  <si>
    <t>LOGIK PROGRAMMING</t>
  </si>
  <si>
    <t>CI-00009532</t>
  </si>
  <si>
    <t>MCA BIG INVOICE</t>
  </si>
  <si>
    <t>1142432</t>
  </si>
  <si>
    <t>GOOGLE ADS MAR 2025</t>
  </si>
  <si>
    <t>Google, LLC</t>
  </si>
  <si>
    <t>5219150966</t>
  </si>
  <si>
    <t>MGT 03-014</t>
  </si>
  <si>
    <t>Accrued PTO</t>
  </si>
  <si>
    <t>106-30-60241-5100-10-10</t>
  </si>
  <si>
    <t>Vac / Hol / Sick / PTO</t>
  </si>
  <si>
    <t>MGT 03-011</t>
  </si>
  <si>
    <t>ARAG Legal-March 2025</t>
  </si>
  <si>
    <t>Emma, Inc - Marketing Tool</t>
  </si>
  <si>
    <t>WP Engine, Inc.</t>
  </si>
  <si>
    <t>MGT 03-011a</t>
  </si>
  <si>
    <t>WC Premium</t>
  </si>
  <si>
    <t>106-30-60361-5100-10-10</t>
  </si>
  <si>
    <t>Worker Comp Prem</t>
  </si>
  <si>
    <t>60361</t>
  </si>
  <si>
    <t>WC Retained Losses</t>
  </si>
  <si>
    <t>106-30-60363-5100-10-10</t>
  </si>
  <si>
    <t>Worker Comp Claims Pd</t>
  </si>
  <si>
    <t>60363</t>
  </si>
  <si>
    <t>PLGL Premium</t>
  </si>
  <si>
    <t>106-30-67001-5100-10-10</t>
  </si>
  <si>
    <t>General / Professional</t>
  </si>
  <si>
    <t>67001</t>
  </si>
  <si>
    <t>PLGL Retained Losses</t>
  </si>
  <si>
    <t>106-30-67003-5100-10-10</t>
  </si>
  <si>
    <t>Gen / Prof Claims Paid</t>
  </si>
  <si>
    <t>67003</t>
  </si>
  <si>
    <t>Property Insurance</t>
  </si>
  <si>
    <t>106-30-67005-5100-10-10</t>
  </si>
  <si>
    <t>Fire &amp; Casualty</t>
  </si>
  <si>
    <t>67005</t>
  </si>
  <si>
    <t>Auto Premium</t>
  </si>
  <si>
    <t>106-30-67007-5100-10-10</t>
  </si>
  <si>
    <t>Auto Insurance</t>
  </si>
  <si>
    <t>67007</t>
  </si>
  <si>
    <t>Auto Retained Losses</t>
  </si>
  <si>
    <t>BHC 03-010</t>
  </si>
  <si>
    <t>Windstream 073771914</t>
  </si>
  <si>
    <t>106-30-64010-5700-10-10</t>
  </si>
  <si>
    <t>Internet</t>
  </si>
  <si>
    <t>64010</t>
  </si>
  <si>
    <t>Spectrum 8312100380467369</t>
  </si>
  <si>
    <t>106-30-64001-5700-10-10</t>
  </si>
  <si>
    <t>Telephone</t>
  </si>
  <si>
    <t>64001</t>
  </si>
  <si>
    <t>Nextiva, Inc. 346554636439</t>
  </si>
  <si>
    <t>106-30-64009-5700-10-10</t>
  </si>
  <si>
    <t>Cable Television</t>
  </si>
  <si>
    <t>64009</t>
  </si>
  <si>
    <t>Lumen 5M8JHCV32</t>
  </si>
  <si>
    <t>CallTrackingMetrics A21446</t>
  </si>
  <si>
    <t>DIRECTV 047525158</t>
  </si>
  <si>
    <t>Momentum Telecom Inc 310000320</t>
  </si>
  <si>
    <t>BHC 03-005</t>
  </si>
  <si>
    <t>Monroe Merchant Fees-Credit Ca</t>
  </si>
  <si>
    <t>MGT 03-015</t>
  </si>
  <si>
    <t>AMBIO HEALTH</t>
  </si>
  <si>
    <t>INDEED</t>
  </si>
  <si>
    <t>LOGIK</t>
  </si>
  <si>
    <t>106-30-61023-5600-10-10</t>
  </si>
  <si>
    <t>MON 03-031</t>
  </si>
  <si>
    <t>Creative Care Concepts</t>
  </si>
  <si>
    <t>106-30-62004-2501-10-10</t>
  </si>
  <si>
    <t>106-30-62005-2501-10-10</t>
  </si>
  <si>
    <t>MON 03-015</t>
  </si>
  <si>
    <t>Non-food Dietary Supplies</t>
  </si>
  <si>
    <t>106-30-63002-5100-10-10</t>
  </si>
  <si>
    <t>MGT 03-025 MCA</t>
  </si>
  <si>
    <t>MCA Big Invoice March 2025 Rec</t>
  </si>
  <si>
    <t>106-30-61021-5500-10-10</t>
  </si>
  <si>
    <t>P/S - IT Hosting Services</t>
  </si>
  <si>
    <t>61021</t>
  </si>
  <si>
    <t>MGT 03-025</t>
  </si>
  <si>
    <t>Ahead - Mar</t>
  </si>
  <si>
    <t>Rcls Cardinal Web</t>
  </si>
  <si>
    <t>Reclass Logik</t>
  </si>
  <si>
    <t>MGT 02-016 Rev</t>
  </si>
  <si>
    <t>TRACK1099.COM</t>
  </si>
  <si>
    <t>106-30-62201-5100-10-10</t>
  </si>
  <si>
    <t>Acctg &amp; Audit</t>
  </si>
  <si>
    <t>62201</t>
  </si>
  <si>
    <t>MGT 03-022s</t>
  </si>
  <si>
    <t>Goal/Metric Bonus FY24</t>
  </si>
  <si>
    <t>2025M11</t>
  </si>
  <si>
    <t>2025M4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</si>
</sst>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&quot;$&quot;* #,##0_);_(&quot;$&quot;* \(#,##0\);_(&quot;$&quot;* &quot;-&quot;??_);_(@_)"/>
    <numFmt numFmtId="168" formatCode="#,##0.00000"/>
    <numFmt numFmtId="169" formatCode=";;"/>
    <numFmt numFmtId="170" formatCode="0.000000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FF"/>
      <name val="Calibri"/>
      <family val="2"/>
    </font>
    <font>
      <b/>
      <sz val="8"/>
      <color rgb="FF0000FF"/>
      <name val="Calibri"/>
      <family val="2"/>
    </font>
    <font>
      <sz val="8"/>
      <name val="Calibri"/>
      <family val="2"/>
    </font>
    <font>
      <b/>
      <i/>
      <sz val="8"/>
      <color theme="1"/>
      <name val="Calibri"/>
      <family val="2"/>
    </font>
    <font>
      <i/>
      <sz val="8"/>
      <color theme="1"/>
      <name val="Calibri"/>
      <family val="2"/>
    </font>
    <font>
      <b/>
      <sz val="8"/>
      <color indexed="8"/>
      <name val="Calibri"/>
      <family val="2"/>
    </font>
    <font>
      <sz val="9"/>
      <name val="Segoe UI"/>
      <family val="2"/>
    </font>
    <font>
      <b/>
      <sz val="8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</font>
    <font>
      <b/>
      <i/>
      <sz val="10"/>
      <color theme="1"/>
      <name val="Calibri"/>
      <family val="2"/>
    </font>
    <font>
      <sz val="8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>
      <alignment vertical="center"/>
    </xf>
  </cellStyleXfs>
  <cellXfs count="205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4" fillId="3" borderId="1" xfId="0" quotePrefix="1" applyFont="1" applyFill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17" fontId="5" fillId="0" borderId="0" xfId="0" quotePrefix="1" applyNumberFormat="1" applyFont="1" applyAlignment="1">
      <alignment horizontal="left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2" borderId="0" xfId="0" applyFont="1" applyFill="1"/>
    <xf numFmtId="0" fontId="3" fillId="0" borderId="0" xfId="0" applyFont="1"/>
    <xf numFmtId="164" fontId="4" fillId="3" borderId="1" xfId="1" applyNumberFormat="1" applyFont="1" applyFill="1" applyBorder="1"/>
    <xf numFmtId="0" fontId="4" fillId="3" borderId="1" xfId="0" applyFont="1" applyFill="1" applyBorder="1" applyAlignment="1">
      <alignment horizontal="left"/>
    </xf>
    <xf numFmtId="164" fontId="2" fillId="0" borderId="1" xfId="1" quotePrefix="1" applyNumberFormat="1" applyFont="1" applyFill="1" applyBorder="1"/>
    <xf numFmtId="0" fontId="6" fillId="0" borderId="1" xfId="0" applyFont="1" applyBorder="1"/>
    <xf numFmtId="165" fontId="2" fillId="0" borderId="0" xfId="3" applyNumberFormat="1" applyFont="1"/>
    <xf numFmtId="9" fontId="2" fillId="0" borderId="1" xfId="3" quotePrefix="1" applyFont="1" applyFill="1" applyBorder="1"/>
    <xf numFmtId="166" fontId="2" fillId="0" borderId="1" xfId="1" quotePrefix="1" applyNumberFormat="1" applyFont="1" applyFill="1" applyBorder="1"/>
    <xf numFmtId="0" fontId="6" fillId="0" borderId="0" xfId="0" applyFont="1"/>
    <xf numFmtId="164" fontId="2" fillId="0" borderId="0" xfId="1" quotePrefix="1" applyNumberFormat="1" applyFont="1" applyFill="1" applyBorder="1"/>
    <xf numFmtId="164" fontId="2" fillId="2" borderId="0" xfId="1" applyNumberFormat="1" applyFont="1" applyFill="1"/>
    <xf numFmtId="0" fontId="2" fillId="2" borderId="0" xfId="0" applyFont="1" applyFill="1" applyAlignment="1">
      <alignment horizontal="left"/>
    </xf>
    <xf numFmtId="0" fontId="3" fillId="4" borderId="0" xfId="0" applyFont="1" applyFill="1"/>
    <xf numFmtId="164" fontId="3" fillId="4" borderId="0" xfId="1" applyNumberFormat="1" applyFont="1" applyFill="1"/>
    <xf numFmtId="0" fontId="3" fillId="4" borderId="0" xfId="0" applyFont="1" applyFill="1" applyAlignment="1">
      <alignment horizontal="left"/>
    </xf>
    <xf numFmtId="0" fontId="7" fillId="4" borderId="1" xfId="0" applyFont="1" applyFill="1" applyBorder="1" applyAlignment="1">
      <alignment horizontal="left"/>
    </xf>
    <xf numFmtId="164" fontId="7" fillId="4" borderId="1" xfId="1" applyNumberFormat="1" applyFont="1" applyFill="1" applyBorder="1"/>
    <xf numFmtId="165" fontId="7" fillId="4" borderId="1" xfId="3" applyNumberFormat="1" applyFont="1" applyFill="1" applyBorder="1"/>
    <xf numFmtId="164" fontId="3" fillId="0" borderId="0" xfId="1" applyNumberFormat="1" applyFont="1"/>
    <xf numFmtId="0" fontId="2" fillId="4" borderId="0" xfId="0" applyFont="1" applyFill="1"/>
    <xf numFmtId="164" fontId="2" fillId="4" borderId="0" xfId="1" applyNumberFormat="1" applyFont="1" applyFill="1"/>
    <xf numFmtId="0" fontId="2" fillId="4" borderId="0" xfId="0" applyFont="1" applyFill="1" applyAlignment="1">
      <alignment horizontal="left"/>
    </xf>
    <xf numFmtId="43" fontId="2" fillId="0" borderId="1" xfId="1" quotePrefix="1" applyFont="1" applyFill="1" applyBorder="1"/>
    <xf numFmtId="44" fontId="7" fillId="4" borderId="1" xfId="2" applyFont="1" applyFill="1" applyBorder="1"/>
    <xf numFmtId="0" fontId="8" fillId="0" borderId="0" xfId="0" applyFont="1" applyAlignment="1">
      <alignment horizontal="left"/>
    </xf>
    <xf numFmtId="9" fontId="2" fillId="0" borderId="0" xfId="3" applyFont="1"/>
    <xf numFmtId="9" fontId="3" fillId="4" borderId="0" xfId="3" applyFont="1" applyFill="1"/>
    <xf numFmtId="9" fontId="2" fillId="4" borderId="0" xfId="3" applyFont="1" applyFill="1"/>
    <xf numFmtId="9" fontId="2" fillId="0" borderId="0" xfId="3" quotePrefix="1" applyFont="1" applyFill="1" applyBorder="1"/>
    <xf numFmtId="166" fontId="2" fillId="0" borderId="0" xfId="1" quotePrefix="1" applyNumberFormat="1" applyFont="1" applyFill="1" applyBorder="1"/>
    <xf numFmtId="164" fontId="7" fillId="4" borderId="0" xfId="1" applyNumberFormat="1" applyFont="1" applyFill="1" applyBorder="1"/>
    <xf numFmtId="43" fontId="2" fillId="0" borderId="0" xfId="1" quotePrefix="1" applyFont="1" applyFill="1" applyBorder="1"/>
    <xf numFmtId="44" fontId="7" fillId="4" borderId="0" xfId="2" applyFont="1" applyFill="1" applyBorder="1"/>
    <xf numFmtId="165" fontId="7" fillId="4" borderId="0" xfId="3" applyNumberFormat="1" applyFont="1" applyFill="1" applyBorder="1"/>
    <xf numFmtId="164" fontId="2" fillId="0" borderId="0" xfId="1" applyNumberFormat="1" applyFont="1" applyFill="1"/>
    <xf numFmtId="0" fontId="7" fillId="4" borderId="0" xfId="0" applyFont="1" applyFill="1" applyAlignment="1">
      <alignment horizontal="left"/>
    </xf>
    <xf numFmtId="164" fontId="3" fillId="0" borderId="0" xfId="0" applyNumberFormat="1" applyFont="1"/>
    <xf numFmtId="0" fontId="9" fillId="2" borderId="0" xfId="0" applyFont="1" applyFill="1"/>
    <xf numFmtId="164" fontId="9" fillId="0" borderId="0" xfId="1" applyNumberFormat="1" applyFont="1" applyAlignment="1">
      <alignment horizontal="center"/>
    </xf>
    <xf numFmtId="164" fontId="2" fillId="0" borderId="0" xfId="0" applyNumberFormat="1" applyFont="1"/>
    <xf numFmtId="164" fontId="0" fillId="0" borderId="0" xfId="1" applyNumberFormat="1" applyFont="1"/>
    <xf numFmtId="0" fontId="6" fillId="0" borderId="0" xfId="0" quotePrefix="1" applyFont="1" applyAlignment="1">
      <alignment horizontal="center"/>
    </xf>
    <xf numFmtId="164" fontId="2" fillId="0" borderId="2" xfId="1" applyNumberFormat="1" applyFont="1" applyBorder="1"/>
    <xf numFmtId="164" fontId="2" fillId="0" borderId="3" xfId="1" applyNumberFormat="1" applyFont="1" applyBorder="1"/>
    <xf numFmtId="164" fontId="2" fillId="0" borderId="4" xfId="1" applyNumberFormat="1" applyFont="1" applyBorder="1"/>
    <xf numFmtId="164" fontId="2" fillId="0" borderId="5" xfId="1" applyNumberFormat="1" applyFont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7" fontId="6" fillId="0" borderId="0" xfId="0" quotePrefix="1" applyNumberFormat="1" applyFont="1" applyAlignment="1">
      <alignment horizontal="center"/>
    </xf>
    <xf numFmtId="167" fontId="7" fillId="4" borderId="1" xfId="2" applyNumberFormat="1" applyFont="1" applyFill="1" applyBorder="1"/>
    <xf numFmtId="167" fontId="7" fillId="4" borderId="0" xfId="2" applyNumberFormat="1" applyFont="1" applyFill="1" applyBorder="1"/>
    <xf numFmtId="0" fontId="4" fillId="4" borderId="1" xfId="0" quotePrefix="1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17" fontId="4" fillId="4" borderId="1" xfId="0" applyNumberFormat="1" applyFont="1" applyFill="1" applyBorder="1" applyAlignment="1">
      <alignment horizontal="center"/>
    </xf>
    <xf numFmtId="17" fontId="5" fillId="3" borderId="1" xfId="0" applyNumberFormat="1" applyFont="1" applyFill="1" applyBorder="1" applyAlignment="1">
      <alignment horizontal="center"/>
    </xf>
    <xf numFmtId="17" fontId="3" fillId="4" borderId="0" xfId="0" applyNumberFormat="1" applyFont="1" applyFill="1" applyAlignment="1">
      <alignment horizontal="center"/>
    </xf>
    <xf numFmtId="164" fontId="2" fillId="4" borderId="1" xfId="1" quotePrefix="1" applyNumberFormat="1" applyFont="1" applyFill="1" applyBorder="1"/>
    <xf numFmtId="164" fontId="3" fillId="0" borderId="1" xfId="1" quotePrefix="1" applyNumberFormat="1" applyFont="1" applyFill="1" applyBorder="1"/>
    <xf numFmtId="9" fontId="2" fillId="4" borderId="1" xfId="3" quotePrefix="1" applyFont="1" applyFill="1" applyBorder="1"/>
    <xf numFmtId="9" fontId="3" fillId="0" borderId="1" xfId="3" quotePrefix="1" applyFont="1" applyFill="1" applyBorder="1"/>
    <xf numFmtId="166" fontId="2" fillId="4" borderId="1" xfId="1" quotePrefix="1" applyNumberFormat="1" applyFont="1" applyFill="1" applyBorder="1"/>
    <xf numFmtId="166" fontId="3" fillId="0" borderId="1" xfId="1" quotePrefix="1" applyNumberFormat="1" applyFont="1" applyFill="1" applyBorder="1"/>
    <xf numFmtId="164" fontId="2" fillId="4" borderId="0" xfId="1" quotePrefix="1" applyNumberFormat="1" applyFont="1" applyFill="1" applyBorder="1"/>
    <xf numFmtId="164" fontId="3" fillId="0" borderId="0" xfId="1" quotePrefix="1" applyNumberFormat="1" applyFont="1" applyFill="1" applyBorder="1"/>
    <xf numFmtId="43" fontId="2" fillId="4" borderId="1" xfId="1" quotePrefix="1" applyFont="1" applyFill="1" applyBorder="1"/>
    <xf numFmtId="43" fontId="3" fillId="0" borderId="1" xfId="1" quotePrefix="1" applyFont="1" applyFill="1" applyBorder="1"/>
    <xf numFmtId="165" fontId="2" fillId="4" borderId="0" xfId="3" applyNumberFormat="1" applyFont="1" applyFill="1"/>
    <xf numFmtId="165" fontId="3" fillId="0" borderId="0" xfId="3" applyNumberFormat="1" applyFont="1"/>
    <xf numFmtId="9" fontId="3" fillId="0" borderId="0" xfId="3" applyFont="1"/>
    <xf numFmtId="0" fontId="11" fillId="4" borderId="0" xfId="4" applyFont="1" applyFill="1" applyAlignment="1">
      <alignment horizontal="center" vertical="center" wrapText="1"/>
    </xf>
    <xf numFmtId="0" fontId="6" fillId="0" borderId="0" xfId="4" applyFont="1" applyAlignment="1">
      <alignment horizontal="center" vertical="center" wrapText="1"/>
    </xf>
    <xf numFmtId="1" fontId="6" fillId="0" borderId="0" xfId="4" applyNumberFormat="1" applyFont="1">
      <alignment vertical="center"/>
    </xf>
    <xf numFmtId="0" fontId="6" fillId="0" borderId="0" xfId="4" applyFont="1">
      <alignment vertical="center"/>
    </xf>
    <xf numFmtId="14" fontId="6" fillId="0" borderId="0" xfId="4" applyNumberFormat="1" applyFont="1">
      <alignment vertical="center"/>
    </xf>
    <xf numFmtId="168" fontId="6" fillId="0" borderId="0" xfId="4" applyNumberFormat="1" applyFont="1">
      <alignment vertical="center"/>
    </xf>
    <xf numFmtId="0" fontId="5" fillId="0" borderId="0" xfId="0" applyFont="1"/>
    <xf numFmtId="164" fontId="12" fillId="0" borderId="0" xfId="1" applyNumberFormat="1" applyFont="1"/>
    <xf numFmtId="164" fontId="13" fillId="0" borderId="0" xfId="1" applyNumberFormat="1" applyFont="1"/>
    <xf numFmtId="164" fontId="13" fillId="4" borderId="0" xfId="1" applyNumberFormat="1" applyFont="1" applyFill="1"/>
    <xf numFmtId="164" fontId="13" fillId="0" borderId="0" xfId="1" applyNumberFormat="1" applyFont="1" applyFill="1"/>
    <xf numFmtId="164" fontId="12" fillId="0" borderId="8" xfId="1" applyNumberFormat="1" applyFont="1" applyBorder="1" applyAlignment="1">
      <alignment horizontal="center"/>
    </xf>
    <xf numFmtId="164" fontId="12" fillId="4" borderId="8" xfId="1" applyNumberFormat="1" applyFont="1" applyFill="1" applyBorder="1" applyAlignment="1">
      <alignment horizontal="center"/>
    </xf>
    <xf numFmtId="164" fontId="12" fillId="0" borderId="0" xfId="1" applyNumberFormat="1" applyFont="1" applyFill="1" applyAlignment="1">
      <alignment horizontal="center"/>
    </xf>
    <xf numFmtId="164" fontId="12" fillId="0" borderId="0" xfId="1" applyNumberFormat="1" applyFont="1" applyAlignment="1">
      <alignment horizontal="center"/>
    </xf>
    <xf numFmtId="164" fontId="12" fillId="4" borderId="0" xfId="1" applyNumberFormat="1" applyFont="1" applyFill="1" applyAlignment="1">
      <alignment horizontal="center"/>
    </xf>
    <xf numFmtId="9" fontId="13" fillId="0" borderId="0" xfId="3" applyFont="1"/>
    <xf numFmtId="166" fontId="13" fillId="0" borderId="0" xfId="1" applyNumberFormat="1" applyFont="1" applyAlignment="1">
      <alignment horizontal="left" indent="1"/>
    </xf>
    <xf numFmtId="166" fontId="13" fillId="0" borderId="0" xfId="1" applyNumberFormat="1" applyFont="1"/>
    <xf numFmtId="166" fontId="13" fillId="4" borderId="0" xfId="1" applyNumberFormat="1" applyFont="1" applyFill="1"/>
    <xf numFmtId="166" fontId="13" fillId="0" borderId="0" xfId="1" applyNumberFormat="1" applyFont="1" applyFill="1"/>
    <xf numFmtId="164" fontId="13" fillId="0" borderId="10" xfId="1" applyNumberFormat="1" applyFont="1" applyBorder="1"/>
    <xf numFmtId="9" fontId="13" fillId="0" borderId="10" xfId="3" applyFont="1" applyBorder="1"/>
    <xf numFmtId="164" fontId="13" fillId="4" borderId="10" xfId="1" applyNumberFormat="1" applyFont="1" applyFill="1" applyBorder="1"/>
    <xf numFmtId="164" fontId="14" fillId="0" borderId="0" xfId="1" applyNumberFormat="1" applyFont="1"/>
    <xf numFmtId="164" fontId="13" fillId="0" borderId="9" xfId="1" applyNumberFormat="1" applyFont="1" applyBorder="1"/>
    <xf numFmtId="164" fontId="13" fillId="4" borderId="9" xfId="1" applyNumberFormat="1" applyFont="1" applyFill="1" applyBorder="1"/>
    <xf numFmtId="164" fontId="13" fillId="0" borderId="9" xfId="1" applyNumberFormat="1" applyFont="1" applyFill="1" applyBorder="1"/>
    <xf numFmtId="164" fontId="15" fillId="0" borderId="0" xfId="1" applyNumberFormat="1" applyFont="1"/>
    <xf numFmtId="164" fontId="13" fillId="0" borderId="8" xfId="1" applyNumberFormat="1" applyFont="1" applyBorder="1"/>
    <xf numFmtId="166" fontId="13" fillId="0" borderId="10" xfId="1" applyNumberFormat="1" applyFont="1" applyBorder="1"/>
    <xf numFmtId="166" fontId="13" fillId="4" borderId="10" xfId="1" applyNumberFormat="1" applyFont="1" applyFill="1" applyBorder="1"/>
    <xf numFmtId="166" fontId="13" fillId="0" borderId="9" xfId="1" applyNumberFormat="1" applyFont="1" applyBorder="1"/>
    <xf numFmtId="9" fontId="13" fillId="0" borderId="9" xfId="3" applyFont="1" applyBorder="1"/>
    <xf numFmtId="166" fontId="13" fillId="4" borderId="9" xfId="1" applyNumberFormat="1" applyFont="1" applyFill="1" applyBorder="1"/>
    <xf numFmtId="166" fontId="13" fillId="0" borderId="0" xfId="1" applyNumberFormat="1" applyFont="1" applyBorder="1"/>
    <xf numFmtId="9" fontId="13" fillId="0" borderId="0" xfId="3" applyFont="1" applyBorder="1"/>
    <xf numFmtId="166" fontId="13" fillId="4" borderId="0" xfId="1" applyNumberFormat="1" applyFont="1" applyFill="1" applyBorder="1"/>
    <xf numFmtId="166" fontId="13" fillId="0" borderId="0" xfId="1" applyNumberFormat="1" applyFont="1" applyBorder="1" applyAlignment="1">
      <alignment horizontal="left" indent="1"/>
    </xf>
    <xf numFmtId="166" fontId="13" fillId="0" borderId="9" xfId="1" applyNumberFormat="1" applyFont="1" applyFill="1" applyBorder="1"/>
    <xf numFmtId="166" fontId="13" fillId="0" borderId="11" xfId="1" applyNumberFormat="1" applyFont="1" applyBorder="1"/>
    <xf numFmtId="43" fontId="13" fillId="0" borderId="11" xfId="1" applyFont="1" applyBorder="1"/>
    <xf numFmtId="9" fontId="13" fillId="0" borderId="11" xfId="3" applyFont="1" applyBorder="1"/>
    <xf numFmtId="166" fontId="13" fillId="4" borderId="11" xfId="1" applyNumberFormat="1" applyFont="1" applyFill="1" applyBorder="1"/>
    <xf numFmtId="43" fontId="13" fillId="0" borderId="9" xfId="1" applyFont="1" applyBorder="1"/>
    <xf numFmtId="166" fontId="12" fillId="0" borderId="11" xfId="1" applyNumberFormat="1" applyFont="1" applyBorder="1"/>
    <xf numFmtId="164" fontId="12" fillId="0" borderId="11" xfId="1" applyNumberFormat="1" applyFont="1" applyBorder="1"/>
    <xf numFmtId="9" fontId="12" fillId="0" borderId="11" xfId="3" applyFont="1" applyBorder="1"/>
    <xf numFmtId="166" fontId="12" fillId="4" borderId="11" xfId="1" applyNumberFormat="1" applyFont="1" applyFill="1" applyBorder="1"/>
    <xf numFmtId="166" fontId="12" fillId="0" borderId="0" xfId="1" applyNumberFormat="1" applyFont="1" applyFill="1"/>
    <xf numFmtId="164" fontId="12" fillId="0" borderId="12" xfId="1" applyNumberFormat="1" applyFont="1" applyBorder="1"/>
    <xf numFmtId="9" fontId="12" fillId="0" borderId="12" xfId="3" applyFont="1" applyBorder="1"/>
    <xf numFmtId="164" fontId="12" fillId="4" borderId="12" xfId="1" applyNumberFormat="1" applyFont="1" applyFill="1" applyBorder="1"/>
    <xf numFmtId="164" fontId="12" fillId="0" borderId="0" xfId="1" applyNumberFormat="1" applyFont="1" applyFill="1"/>
    <xf numFmtId="166" fontId="13" fillId="4" borderId="2" xfId="1" applyNumberFormat="1" applyFont="1" applyFill="1" applyBorder="1"/>
    <xf numFmtId="164" fontId="13" fillId="4" borderId="11" xfId="1" applyNumberFormat="1" applyFont="1" applyFill="1" applyBorder="1"/>
    <xf numFmtId="166" fontId="13" fillId="4" borderId="3" xfId="1" applyNumberFormat="1" applyFont="1" applyFill="1" applyBorder="1"/>
    <xf numFmtId="166" fontId="13" fillId="4" borderId="4" xfId="1" applyNumberFormat="1" applyFont="1" applyFill="1" applyBorder="1"/>
    <xf numFmtId="164" fontId="13" fillId="4" borderId="0" xfId="1" applyNumberFormat="1" applyFont="1" applyFill="1" applyBorder="1"/>
    <xf numFmtId="166" fontId="13" fillId="4" borderId="5" xfId="1" applyNumberFormat="1" applyFont="1" applyFill="1" applyBorder="1"/>
    <xf numFmtId="166" fontId="12" fillId="4" borderId="6" xfId="1" applyNumberFormat="1" applyFont="1" applyFill="1" applyBorder="1"/>
    <xf numFmtId="164" fontId="12" fillId="4" borderId="9" xfId="1" applyNumberFormat="1" applyFont="1" applyFill="1" applyBorder="1"/>
    <xf numFmtId="166" fontId="13" fillId="4" borderId="7" xfId="1" applyNumberFormat="1" applyFont="1" applyFill="1" applyBorder="1"/>
    <xf numFmtId="17" fontId="4" fillId="3" borderId="1" xfId="0" quotePrefix="1" applyNumberFormat="1" applyFont="1" applyFill="1" applyBorder="1" applyAlignment="1">
      <alignment horizontal="center"/>
    </xf>
    <xf numFmtId="165" fontId="13" fillId="0" borderId="0" xfId="3" applyNumberFormat="1" applyFont="1" applyFill="1"/>
    <xf numFmtId="165" fontId="13" fillId="0" borderId="0" xfId="3" applyNumberFormat="1" applyFont="1"/>
    <xf numFmtId="165" fontId="2" fillId="0" borderId="1" xfId="3" quotePrefix="1" applyNumberFormat="1" applyFont="1" applyFill="1" applyBorder="1"/>
    <xf numFmtId="43" fontId="13" fillId="0" borderId="0" xfId="1" applyFont="1"/>
    <xf numFmtId="43" fontId="13" fillId="0" borderId="10" xfId="1" applyFont="1" applyBorder="1"/>
    <xf numFmtId="0" fontId="4" fillId="5" borderId="1" xfId="0" quotePrefix="1" applyFont="1" applyFill="1" applyBorder="1" applyAlignment="1">
      <alignment horizontal="center"/>
    </xf>
    <xf numFmtId="17" fontId="4" fillId="5" borderId="1" xfId="0" applyNumberFormat="1" applyFont="1" applyFill="1" applyBorder="1" applyAlignment="1">
      <alignment horizontal="center"/>
    </xf>
    <xf numFmtId="17" fontId="3" fillId="5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3" quotePrefix="1" applyNumberFormat="1" applyFont="1" applyFill="1" applyBorder="1"/>
    <xf numFmtId="164" fontId="2" fillId="2" borderId="0" xfId="0" applyNumberFormat="1" applyFont="1" applyFill="1"/>
    <xf numFmtId="164" fontId="7" fillId="4" borderId="0" xfId="2" applyNumberFormat="1" applyFont="1" applyFill="1" applyBorder="1"/>
    <xf numFmtId="164" fontId="7" fillId="4" borderId="0" xfId="3" applyNumberFormat="1" applyFont="1" applyFill="1" applyBorder="1"/>
    <xf numFmtId="164" fontId="2" fillId="4" borderId="0" xfId="3" applyNumberFormat="1" applyFont="1" applyFill="1"/>
    <xf numFmtId="164" fontId="2" fillId="0" borderId="0" xfId="3" applyNumberFormat="1" applyFont="1"/>
    <xf numFmtId="169" fontId="2" fillId="0" borderId="0" xfId="0" applyNumberFormat="1" applyFont="1"/>
    <xf numFmtId="169" fontId="3" fillId="0" borderId="0" xfId="0" applyNumberFormat="1" applyFont="1" applyAlignment="1">
      <alignment horizontal="center"/>
    </xf>
    <xf numFmtId="169" fontId="2" fillId="0" borderId="0" xfId="1" quotePrefix="1" applyNumberFormat="1" applyFont="1" applyFill="1" applyBorder="1"/>
    <xf numFmtId="169" fontId="2" fillId="0" borderId="0" xfId="3" quotePrefix="1" applyNumberFormat="1" applyFont="1" applyFill="1" applyBorder="1"/>
    <xf numFmtId="169" fontId="2" fillId="2" borderId="0" xfId="0" applyNumberFormat="1" applyFont="1" applyFill="1"/>
    <xf numFmtId="169" fontId="7" fillId="4" borderId="0" xfId="1" applyNumberFormat="1" applyFont="1" applyFill="1" applyBorder="1"/>
    <xf numFmtId="169" fontId="7" fillId="4" borderId="0" xfId="2" applyNumberFormat="1" applyFont="1" applyFill="1" applyBorder="1"/>
    <xf numFmtId="169" fontId="7" fillId="4" borderId="0" xfId="3" applyNumberFormat="1" applyFont="1" applyFill="1" applyBorder="1"/>
    <xf numFmtId="169" fontId="2" fillId="4" borderId="0" xfId="3" applyNumberFormat="1" applyFont="1" applyFill="1"/>
    <xf numFmtId="169" fontId="2" fillId="0" borderId="0" xfId="3" applyNumberFormat="1" applyFont="1"/>
    <xf numFmtId="169" fontId="3" fillId="0" borderId="0" xfId="0" applyNumberFormat="1" applyFont="1"/>
    <xf numFmtId="164" fontId="0" fillId="0" borderId="0" xfId="0" applyNumberFormat="1"/>
    <xf numFmtId="43" fontId="2" fillId="0" borderId="0" xfId="0" applyNumberFormat="1" applyFont="1"/>
    <xf numFmtId="170" fontId="13" fillId="0" borderId="0" xfId="3" applyNumberFormat="1" applyFont="1"/>
    <xf numFmtId="43" fontId="0" fillId="0" borderId="0" xfId="0" applyNumberFormat="1"/>
    <xf numFmtId="164" fontId="2" fillId="4" borderId="0" xfId="0" applyNumberFormat="1" applyFont="1" applyFill="1"/>
    <xf numFmtId="164" fontId="2" fillId="6" borderId="0" xfId="1" applyNumberFormat="1" applyFont="1" applyFill="1"/>
    <xf numFmtId="0" fontId="2" fillId="6" borderId="0" xfId="0" applyFont="1" applyFill="1" applyAlignment="1">
      <alignment horizontal="left"/>
    </xf>
    <xf numFmtId="0" fontId="2" fillId="6" borderId="0" xfId="0" applyFont="1" applyFill="1"/>
    <xf numFmtId="0" fontId="3" fillId="6" borderId="0" xfId="0" applyFont="1" applyFill="1"/>
    <xf numFmtId="164" fontId="13" fillId="0" borderId="0" xfId="1" applyNumberFormat="1" applyFont="1" applyBorder="1"/>
    <xf numFmtId="164" fontId="12" fillId="7" borderId="11" xfId="1" applyNumberFormat="1" applyFont="1" applyFill="1" applyBorder="1"/>
    <xf numFmtId="0" fontId="4" fillId="7" borderId="1" xfId="0" applyFont="1" applyFill="1" applyBorder="1" applyAlignment="1">
      <alignment horizontal="left"/>
    </xf>
    <xf numFmtId="166" fontId="2" fillId="7" borderId="1" xfId="1" quotePrefix="1" applyNumberFormat="1" applyFont="1" applyFill="1" applyBorder="1"/>
    <xf numFmtId="164" fontId="2" fillId="7" borderId="1" xfId="1" quotePrefix="1" applyNumberFormat="1" applyFont="1" applyFill="1" applyBorder="1"/>
    <xf numFmtId="0" fontId="2" fillId="5" borderId="0" xfId="0" applyFont="1" applyFill="1"/>
    <xf numFmtId="164" fontId="2" fillId="5" borderId="1" xfId="1" quotePrefix="1" applyNumberFormat="1" applyFont="1" applyFill="1" applyBorder="1"/>
    <xf numFmtId="9" fontId="2" fillId="5" borderId="1" xfId="3" quotePrefix="1" applyFont="1" applyFill="1" applyBorder="1"/>
    <xf numFmtId="166" fontId="2" fillId="5" borderId="1" xfId="1" quotePrefix="1" applyNumberFormat="1" applyFont="1" applyFill="1" applyBorder="1"/>
    <xf numFmtId="164" fontId="2" fillId="5" borderId="0" xfId="1" quotePrefix="1" applyNumberFormat="1" applyFont="1" applyFill="1" applyBorder="1"/>
    <xf numFmtId="164" fontId="7" fillId="5" borderId="1" xfId="1" applyNumberFormat="1" applyFont="1" applyFill="1" applyBorder="1"/>
    <xf numFmtId="43" fontId="2" fillId="5" borderId="1" xfId="1" quotePrefix="1" applyFont="1" applyFill="1" applyBorder="1"/>
    <xf numFmtId="44" fontId="7" fillId="5" borderId="1" xfId="2" applyFont="1" applyFill="1" applyBorder="1"/>
    <xf numFmtId="167" fontId="7" fillId="5" borderId="1" xfId="2" applyNumberFormat="1" applyFont="1" applyFill="1" applyBorder="1"/>
    <xf numFmtId="165" fontId="7" fillId="5" borderId="1" xfId="3" applyNumberFormat="1" applyFont="1" applyFill="1" applyBorder="1"/>
    <xf numFmtId="9" fontId="3" fillId="5" borderId="0" xfId="3" applyFont="1" applyFill="1"/>
    <xf numFmtId="165" fontId="2" fillId="5" borderId="0" xfId="3" applyNumberFormat="1" applyFont="1" applyFill="1"/>
    <xf numFmtId="9" fontId="2" fillId="5" borderId="0" xfId="3" applyFont="1" applyFill="1"/>
    <xf numFmtId="43" fontId="0" fillId="0" borderId="0" xfId="1" applyFont="1"/>
    <xf numFmtId="165" fontId="13" fillId="0" borderId="0" xfId="3" applyNumberFormat="1" applyFont="1" applyBorder="1"/>
    <xf numFmtId="164" fontId="13" fillId="0" borderId="10" xfId="1" applyNumberFormat="1" applyFont="1" applyFill="1" applyBorder="1"/>
    <xf numFmtId="0" fontId="7" fillId="4" borderId="1" xfId="3" applyNumberFormat="1" applyFont="1" applyFill="1" applyBorder="1"/>
    <xf numFmtId="43" fontId="2" fillId="0" borderId="0" xfId="1" applyFont="1"/>
    <xf numFmtId="164" fontId="16" fillId="0" borderId="0" xfId="1" applyNumberFormat="1" applyFont="1"/>
    <xf numFmtId="164" fontId="2" fillId="0" borderId="0" xfId="1" applyNumberFormat="1" applyFont="1" applyFill="1" applyBorder="1"/>
  </cellXfs>
  <cellStyles count="5">
    <cellStyle name="Comma" xfId="1" builtinId="3"/>
    <cellStyle name="Currency" xfId="2" builtinId="4"/>
    <cellStyle name="Normal" xfId="0" builtinId="0"/>
    <cellStyle name="Normal 2" xfId="4" xr:uid="{35BFAE33-18A4-4F77-B17C-3838C636E81B}"/>
    <cellStyle name="Percent" xfId="3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Revenue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Revenue Waterfall</a:t>
          </a:r>
        </a:p>
      </cx:txPr>
    </cx:title>
    <cx:plotArea>
      <cx:plotAreaRegion>
        <cx:plotSurface>
          <cx:spPr>
            <a:noFill/>
          </cx:spPr>
        </cx:plotSurface>
        <cx:series layoutId="waterfall" uniqueId="{841C1448-0711-4646-9584-7AE76EA1A699}">
          <cx:dataPt idx="0">
            <cx:spPr>
              <a:solidFill>
                <a:srgbClr val="0070C0"/>
              </a:solidFill>
            </cx:spPr>
          </cx:dataPt>
          <cx:dataPt idx="11">
            <cx:spPr>
              <a:solidFill>
                <a:srgbClr val="0070C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</cx:dataLabels>
          <cx:dataId val="0"/>
          <cx:layoutPr>
            <cx:subtotals>
              <cx:idx val="11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 i="0" baseline="0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5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millions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0" baseline="0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solidFill>
        <a:srgbClr val="0070C0"/>
      </a:solidFill>
    </a:ln>
  </cx:spPr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>
      <cx:tx>
        <cx:txData>
          <cx:v>EBITDA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EBITDA Waterfall</a:t>
          </a:r>
        </a:p>
      </cx:txPr>
    </cx:title>
    <cx:plotArea>
      <cx:plotAreaRegion>
        <cx:plotSurface>
          <cx:spPr>
            <a:noFill/>
          </cx:spPr>
        </cx:plotSurface>
        <cx:series layoutId="waterfall" uniqueId="{9432876A-61FF-4864-9DD9-C3FD456AA240}">
          <cx:dataPt idx="0">
            <cx:spPr>
              <a:solidFill>
                <a:srgbClr val="0070C0"/>
              </a:solidFill>
            </cx:spPr>
          </cx:dataPt>
          <cx:dataPt idx="10">
            <cx:spPr>
              <a:solidFill>
                <a:srgbClr val="0070C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</cx:dataLabels>
          <cx:dataId val="0"/>
          <cx:layoutPr>
            <cx:subtotals>
              <cx:idx val="10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 i="0" baseline="0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5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millions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0" baseline="0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solidFill>
        <a:srgbClr val="0070C0"/>
      </a:solidFill>
    </a:ln>
  </cx:spPr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462913</xdr:colOff>
      <xdr:row>1</xdr:row>
      <xdr:rowOff>114300</xdr:rowOff>
    </xdr:from>
    <xdr:to>
      <xdr:col>13</xdr:col>
      <xdr:colOff>428625</xdr:colOff>
      <xdr:row>15</xdr:row>
      <xdr:rowOff>57150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F9B8B9B-24BC-4642-BE10-5DDB02C7C4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913" y="304800"/>
              <a:ext cx="9309737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1</xdr:row>
      <xdr:rowOff>25716</xdr:rowOff>
    </xdr:from>
    <xdr:to>
      <xdr:col>17</xdr:col>
      <xdr:colOff>342900</xdr:colOff>
      <xdr:row>15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CF3F41-9798-ED3A-8914-E0147A2BA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49" y="216216"/>
              <a:ext cx="11649076" cy="2679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EB92-9309-4150-8312-DABC0BAB389B}">
  <dimension ref="B3:E15"/>
  <sheetViews>
    <sheetView workbookViewId="0">
      <selection activeCell="L8" sqref="K8:L8"/>
    </sheetView>
  </sheetViews>
  <sheetFormatPr defaultRowHeight="15" x14ac:dyDescent="0.25"/>
  <cols>
    <col min="2" max="2" width="20.85546875" bestFit="1" customWidth="1"/>
    <col min="3" max="3" width="14" style="52" bestFit="1" customWidth="1"/>
    <col min="4" max="4" width="13.28515625" bestFit="1" customWidth="1"/>
    <col min="5" max="5" width="9.7109375" bestFit="1" customWidth="1"/>
  </cols>
  <sheetData>
    <row r="3" spans="2:5" x14ac:dyDescent="0.25">
      <c r="B3" t="s">
        <v>0</v>
      </c>
      <c r="C3" s="52">
        <f>Facility!F78</f>
        <v>5703208.5288831275</v>
      </c>
    </row>
    <row r="4" spans="2:5" x14ac:dyDescent="0.25">
      <c r="B4" t="s">
        <v>1</v>
      </c>
      <c r="C4" s="52">
        <f>Facility!J80</f>
        <v>17659.643500044971</v>
      </c>
    </row>
    <row r="5" spans="2:5" x14ac:dyDescent="0.25">
      <c r="B5" t="s">
        <v>2</v>
      </c>
      <c r="C5" s="52">
        <f>Facility!J81</f>
        <v>-554992.74886889569</v>
      </c>
    </row>
    <row r="6" spans="2:5" x14ac:dyDescent="0.25">
      <c r="B6" t="s">
        <v>3</v>
      </c>
      <c r="C6" s="52">
        <f>Facility!J82</f>
        <v>-134793.80263558985</v>
      </c>
    </row>
    <row r="7" spans="2:5" x14ac:dyDescent="0.25">
      <c r="B7" t="s">
        <v>4</v>
      </c>
      <c r="C7" s="52">
        <f>Facility!J83</f>
        <v>-306.98423540909562</v>
      </c>
    </row>
    <row r="8" spans="2:5" x14ac:dyDescent="0.25">
      <c r="B8" t="s">
        <v>5</v>
      </c>
      <c r="C8" s="52">
        <f>Facility!J84</f>
        <v>4065.1012055277233</v>
      </c>
    </row>
    <row r="9" spans="2:5" x14ac:dyDescent="0.25">
      <c r="B9" t="s">
        <v>6</v>
      </c>
      <c r="C9" s="52">
        <f>Facility!O80</f>
        <v>170542.21999999997</v>
      </c>
    </row>
    <row r="10" spans="2:5" x14ac:dyDescent="0.25">
      <c r="B10" t="s">
        <v>7</v>
      </c>
      <c r="C10" s="52">
        <f>Facility!O81</f>
        <v>2286509.65</v>
      </c>
    </row>
    <row r="11" spans="2:5" x14ac:dyDescent="0.25">
      <c r="B11" t="s">
        <v>8</v>
      </c>
      <c r="C11" s="52">
        <f>Facility!O82</f>
        <v>-170995.81999999995</v>
      </c>
    </row>
    <row r="12" spans="2:5" x14ac:dyDescent="0.25">
      <c r="B12" t="s">
        <v>9</v>
      </c>
      <c r="C12" s="52">
        <f>Facility!O83</f>
        <v>-4262.51</v>
      </c>
    </row>
    <row r="13" spans="2:5" x14ac:dyDescent="0.25">
      <c r="B13" t="s">
        <v>10</v>
      </c>
      <c r="C13" s="52">
        <f>Facility!O84</f>
        <v>194416.58000000002</v>
      </c>
    </row>
    <row r="14" spans="2:5" x14ac:dyDescent="0.25">
      <c r="B14" t="s">
        <v>11</v>
      </c>
      <c r="C14" s="52">
        <f>SUM(C3:C13)</f>
        <v>7511049.8578488063</v>
      </c>
      <c r="D14" s="52"/>
      <c r="E14" s="52"/>
    </row>
    <row r="15" spans="2:5" x14ac:dyDescent="0.25">
      <c r="C15" s="52" t="b">
        <f>C14=Facility!E78</f>
        <v>0</v>
      </c>
      <c r="D15" s="171">
        <f>+MOR_MTD!B44</f>
        <v>5911901.2999999998</v>
      </c>
      <c r="E15" s="171">
        <f>+D15-C14</f>
        <v>-1599148.5578488065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157B-4CC6-4A62-926B-5FE5F297FA7E}">
  <dimension ref="B3:E14"/>
  <sheetViews>
    <sheetView workbookViewId="0">
      <selection activeCell="B30" sqref="B30:C31"/>
    </sheetView>
  </sheetViews>
  <sheetFormatPr defaultRowHeight="15" x14ac:dyDescent="0.25"/>
  <cols>
    <col min="2" max="2" width="20.85546875" bestFit="1" customWidth="1"/>
    <col min="3" max="3" width="15.42578125" style="52" bestFit="1" customWidth="1"/>
    <col min="4" max="4" width="11.28515625" bestFit="1" customWidth="1"/>
  </cols>
  <sheetData>
    <row r="3" spans="2:5" x14ac:dyDescent="0.25">
      <c r="B3" t="s">
        <v>0</v>
      </c>
      <c r="C3" s="52">
        <f>ROUND(+Facility!F215,2)</f>
        <v>2862384.95</v>
      </c>
    </row>
    <row r="4" spans="2:5" x14ac:dyDescent="0.25">
      <c r="B4" t="s">
        <v>12</v>
      </c>
      <c r="C4" s="52">
        <f>ROUND(+Facility!O77,2)</f>
        <v>0</v>
      </c>
    </row>
    <row r="5" spans="2:5" x14ac:dyDescent="0.25">
      <c r="B5" t="s">
        <v>13</v>
      </c>
      <c r="C5" s="52">
        <f>ROUND(+Facility!O78,2)</f>
        <v>2476210.12</v>
      </c>
    </row>
    <row r="6" spans="2:5" x14ac:dyDescent="0.25">
      <c r="B6" t="s">
        <v>14</v>
      </c>
      <c r="C6" s="52">
        <f>ROUND(+Facility!O129,2)</f>
        <v>1.36</v>
      </c>
    </row>
    <row r="7" spans="2:5" x14ac:dyDescent="0.25">
      <c r="B7" t="s">
        <v>15</v>
      </c>
      <c r="C7" s="52">
        <f>ROUND(+Facility!O130,2)</f>
        <v>0</v>
      </c>
    </row>
    <row r="8" spans="2:5" x14ac:dyDescent="0.25">
      <c r="B8" t="s">
        <v>16</v>
      </c>
      <c r="C8" s="52">
        <f>ROUND(+Facility!O169,2)</f>
        <v>6388.29</v>
      </c>
    </row>
    <row r="9" spans="2:5" x14ac:dyDescent="0.25">
      <c r="B9" t="s">
        <v>17</v>
      </c>
      <c r="C9" s="52">
        <f>ROUND(+Facility!O170,2)</f>
        <v>2917.37</v>
      </c>
    </row>
    <row r="10" spans="2:5" x14ac:dyDescent="0.25">
      <c r="B10" t="s">
        <v>18</v>
      </c>
      <c r="C10" s="52">
        <f>ROUND(+Facility!O180,2)</f>
        <v>-12349.92</v>
      </c>
    </row>
    <row r="11" spans="2:5" x14ac:dyDescent="0.25">
      <c r="B11" t="s">
        <v>19</v>
      </c>
      <c r="C11" s="52">
        <f>ROUND(+Facility!O189,2)</f>
        <v>7450.11</v>
      </c>
    </row>
    <row r="12" spans="2:5" x14ac:dyDescent="0.25">
      <c r="B12" t="s">
        <v>20</v>
      </c>
      <c r="C12" s="52">
        <f>ROUND(+Facility!O201,2)</f>
        <v>14928.94</v>
      </c>
    </row>
    <row r="13" spans="2:5" x14ac:dyDescent="0.25">
      <c r="B13" t="s">
        <v>11</v>
      </c>
      <c r="C13" s="198">
        <f>+SUM(C3:C12)</f>
        <v>5357931.2200000016</v>
      </c>
      <c r="D13" s="174"/>
      <c r="E13" s="174"/>
    </row>
    <row r="14" spans="2:5" x14ac:dyDescent="0.25">
      <c r="C14" s="52" t="b">
        <f>C13=Facility!E215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1A0D-2CDA-4338-8019-A930C785E9F5}">
  <dimension ref="A1:P101"/>
  <sheetViews>
    <sheetView tabSelected="1" zoomScale="110" zoomScaleNormal="110" zoomScaleSheetLayoutView="100" workbookViewId="0">
      <pane ySplit="3" topLeftCell="A4" activePane="bottomLeft" state="frozen"/>
      <selection activeCell="D92" sqref="D92:D94"/>
      <selection pane="bottomLeft" activeCell="A43" sqref="A43"/>
    </sheetView>
  </sheetViews>
  <sheetFormatPr defaultColWidth="9.140625" defaultRowHeight="12.75" outlineLevelRow="1" x14ac:dyDescent="0.2"/>
  <cols>
    <col min="1" max="1" width="27.140625" style="89" bestFit="1" customWidth="1"/>
    <col min="2" max="5" width="10.7109375" style="89" customWidth="1"/>
    <col min="6" max="6" width="0.85546875" style="91" customWidth="1"/>
    <col min="7" max="9" width="10.7109375" style="89" customWidth="1"/>
    <col min="10" max="10" width="0.85546875" style="91" customWidth="1"/>
    <col min="11" max="13" width="10.7109375" style="89" customWidth="1"/>
    <col min="14" max="14" width="9.140625" style="91"/>
    <col min="15" max="15" width="10" style="91" bestFit="1" customWidth="1"/>
    <col min="16" max="16384" width="9.140625" style="91"/>
  </cols>
  <sheetData>
    <row r="1" spans="1:16" x14ac:dyDescent="0.2">
      <c r="A1" s="88" t="s">
        <v>21</v>
      </c>
      <c r="B1" s="89" t="str">
        <f>+Facility!B6</f>
        <v>Acute_DIV1 - Highland Hospital</v>
      </c>
    </row>
    <row r="2" spans="1:16" ht="3" customHeight="1" x14ac:dyDescent="0.2">
      <c r="A2" s="88"/>
    </row>
    <row r="3" spans="1:16" s="94" customFormat="1" ht="13.5" thickBot="1" x14ac:dyDescent="0.25">
      <c r="A3" s="92"/>
      <c r="B3" s="92" t="s">
        <v>11</v>
      </c>
      <c r="C3" s="92" t="s">
        <v>0</v>
      </c>
      <c r="D3" s="92" t="s">
        <v>22</v>
      </c>
      <c r="E3" s="92" t="s">
        <v>23</v>
      </c>
      <c r="F3" s="93"/>
      <c r="G3" s="92" t="s">
        <v>24</v>
      </c>
      <c r="H3" s="92" t="s">
        <v>22</v>
      </c>
      <c r="I3" s="92" t="s">
        <v>23</v>
      </c>
      <c r="J3" s="93"/>
      <c r="K3" s="92" t="s">
        <v>25</v>
      </c>
      <c r="L3" s="92" t="s">
        <v>22</v>
      </c>
      <c r="M3" s="92" t="s">
        <v>23</v>
      </c>
    </row>
    <row r="4" spans="1:16" s="94" customFormat="1" x14ac:dyDescent="0.2">
      <c r="A4" s="95"/>
      <c r="B4" s="95"/>
      <c r="C4" s="95"/>
      <c r="D4" s="95"/>
      <c r="E4" s="95"/>
      <c r="F4" s="96"/>
      <c r="G4" s="95"/>
      <c r="H4" s="95"/>
      <c r="I4" s="95"/>
      <c r="J4" s="96"/>
      <c r="K4" s="95"/>
      <c r="L4" s="95"/>
      <c r="M4" s="95"/>
    </row>
    <row r="5" spans="1:16" x14ac:dyDescent="0.2">
      <c r="A5" s="89" t="s">
        <v>26</v>
      </c>
      <c r="B5" s="89">
        <f>+Facility!E8</f>
        <v>245</v>
      </c>
      <c r="C5" s="89">
        <f>+Facility!F8</f>
        <v>284.217130607</v>
      </c>
      <c r="D5" s="89">
        <f>+B5-C5</f>
        <v>-39.217130607000001</v>
      </c>
      <c r="E5" s="97">
        <f>+IF(D5=0,0,D5/C5)</f>
        <v>-0.13798299392877664</v>
      </c>
      <c r="F5" s="90"/>
      <c r="G5" s="89">
        <f>+Facility!N8</f>
        <v>259</v>
      </c>
      <c r="H5" s="89">
        <f>B5-G5</f>
        <v>-14</v>
      </c>
      <c r="I5" s="97">
        <f>+IF(H5=0,0,IF(AND(G5=0,H5&gt;0),-100%,H5/G5))</f>
        <v>-5.4054054054054057E-2</v>
      </c>
      <c r="J5" s="90"/>
      <c r="K5" s="89">
        <f>+Facility!AE8</f>
        <v>237</v>
      </c>
      <c r="L5" s="89">
        <f>+B5-K5</f>
        <v>8</v>
      </c>
      <c r="M5" s="97">
        <f>+IF(L5=0,0,IF(AND(K5=0,L5&gt;0),-100%,L5/K5))</f>
        <v>3.3755274261603373E-2</v>
      </c>
    </row>
    <row r="6" spans="1:16" x14ac:dyDescent="0.2">
      <c r="E6" s="97"/>
      <c r="F6" s="90"/>
      <c r="I6" s="97"/>
      <c r="J6" s="90"/>
      <c r="M6" s="97"/>
    </row>
    <row r="7" spans="1:16" x14ac:dyDescent="0.2">
      <c r="A7" s="88" t="s">
        <v>27</v>
      </c>
      <c r="E7" s="97"/>
      <c r="F7" s="90"/>
      <c r="I7" s="97"/>
      <c r="J7" s="90"/>
      <c r="M7" s="97"/>
    </row>
    <row r="8" spans="1:16" s="101" customFormat="1" x14ac:dyDescent="0.2">
      <c r="A8" s="98" t="s">
        <v>28</v>
      </c>
      <c r="B8" s="97">
        <f>+Facility!E10/Facility!E$8</f>
        <v>6.1224489795918366E-2</v>
      </c>
      <c r="C8" s="97">
        <f>+Facility!F10/Facility!F$8</f>
        <v>0.11019255258862518</v>
      </c>
      <c r="D8" s="97">
        <f>+B8-C8</f>
        <v>-4.896806279270681E-2</v>
      </c>
      <c r="E8" s="99"/>
      <c r="F8" s="100"/>
      <c r="G8" s="97">
        <f>+Facility!N10/Facility!N$8</f>
        <v>5.7915057915057917E-2</v>
      </c>
      <c r="H8" s="97">
        <f>B8-G8</f>
        <v>3.3094318808604486E-3</v>
      </c>
      <c r="I8" s="99"/>
      <c r="J8" s="100"/>
      <c r="K8" s="97">
        <f>+Facility!AE10/Facility!AE$8</f>
        <v>0.10548523206751055</v>
      </c>
      <c r="L8" s="97">
        <f>+B8-K8</f>
        <v>-4.4260742271592185E-2</v>
      </c>
      <c r="M8" s="99"/>
      <c r="N8" s="145"/>
    </row>
    <row r="9" spans="1:16" s="101" customFormat="1" x14ac:dyDescent="0.2">
      <c r="A9" s="98" t="s">
        <v>29</v>
      </c>
      <c r="B9" s="97">
        <f>+Facility!E11/Facility!E$8</f>
        <v>0.70612244897959187</v>
      </c>
      <c r="C9" s="97">
        <f>+Facility!F11/Facility!F$8</f>
        <v>0.59106684921919528</v>
      </c>
      <c r="D9" s="97">
        <f>+B9-C9</f>
        <v>0.11505559976039659</v>
      </c>
      <c r="E9" s="99"/>
      <c r="F9" s="100"/>
      <c r="G9" s="97">
        <f>+Facility!N11/Facility!N$8</f>
        <v>0.73745173745173742</v>
      </c>
      <c r="H9" s="97">
        <f t="shared" ref="H9:H12" si="0">B9-G9</f>
        <v>-3.1329288472145556E-2</v>
      </c>
      <c r="I9" s="99"/>
      <c r="J9" s="100"/>
      <c r="K9" s="97">
        <f>+Facility!AE11/Facility!AE$8</f>
        <v>0.67932489451476796</v>
      </c>
      <c r="L9" s="97">
        <f>+B9-K9</f>
        <v>2.6797554464823903E-2</v>
      </c>
      <c r="M9" s="99"/>
      <c r="N9" s="145"/>
    </row>
    <row r="10" spans="1:16" s="101" customFormat="1" x14ac:dyDescent="0.2">
      <c r="A10" s="98" t="s">
        <v>30</v>
      </c>
      <c r="B10" s="97">
        <f>+Facility!E12/Facility!E$8</f>
        <v>0.2</v>
      </c>
      <c r="C10" s="97">
        <f>+Facility!F12/Facility!F$8</f>
        <v>0.270795865311239</v>
      </c>
      <c r="D10" s="97">
        <f>+B10-C10</f>
        <v>-7.0795865311238992E-2</v>
      </c>
      <c r="E10" s="99"/>
      <c r="F10" s="100"/>
      <c r="G10" s="97">
        <f>+Facility!N12/Facility!N$8</f>
        <v>0.19305019305019305</v>
      </c>
      <c r="H10" s="97">
        <f t="shared" si="0"/>
        <v>6.9498069498069581E-3</v>
      </c>
      <c r="I10" s="99"/>
      <c r="J10" s="100"/>
      <c r="K10" s="97">
        <f>+Facility!AE12/Facility!AE$8</f>
        <v>0.18565400843881857</v>
      </c>
      <c r="L10" s="97">
        <f>+B10-K10</f>
        <v>1.4345991561181437E-2</v>
      </c>
      <c r="M10" s="99"/>
      <c r="N10" s="145"/>
    </row>
    <row r="11" spans="1:16" s="101" customFormat="1" x14ac:dyDescent="0.2">
      <c r="A11" s="98" t="s">
        <v>31</v>
      </c>
      <c r="B11" s="97">
        <f>+Facility!E13/Facility!E$8</f>
        <v>1.2244897959183673E-2</v>
      </c>
      <c r="C11" s="97">
        <f>+Facility!F13/Facility!F$8</f>
        <v>6.197861677928765E-3</v>
      </c>
      <c r="D11" s="97">
        <f>+B11-C11</f>
        <v>6.0470362812549078E-3</v>
      </c>
      <c r="E11" s="99"/>
      <c r="F11" s="100"/>
      <c r="G11" s="97">
        <f>+Facility!N13/Facility!N$8</f>
        <v>7.7220077220077222E-3</v>
      </c>
      <c r="H11" s="97">
        <f t="shared" si="0"/>
        <v>4.5228902371759507E-3</v>
      </c>
      <c r="I11" s="99"/>
      <c r="J11" s="100"/>
      <c r="K11" s="97">
        <f>+Facility!AE13/Facility!AE$8</f>
        <v>8.4388185654008432E-3</v>
      </c>
      <c r="L11" s="97">
        <f>+B11-K11</f>
        <v>3.8060793937828297E-3</v>
      </c>
      <c r="M11" s="99"/>
      <c r="N11" s="145"/>
    </row>
    <row r="12" spans="1:16" s="101" customFormat="1" x14ac:dyDescent="0.2">
      <c r="A12" s="98" t="s">
        <v>32</v>
      </c>
      <c r="B12" s="97">
        <f>+Facility!E14/Facility!E$8</f>
        <v>2.0408163265306121E-2</v>
      </c>
      <c r="C12" s="97">
        <f>+Facility!F14/Facility!F$8</f>
        <v>2.1746871203011758E-2</v>
      </c>
      <c r="D12" s="97">
        <f>+B12-C12</f>
        <v>-1.3387079377056368E-3</v>
      </c>
      <c r="E12" s="99"/>
      <c r="F12" s="100"/>
      <c r="G12" s="97">
        <f>+Facility!N14/Facility!N$8</f>
        <v>3.8610038610038611E-3</v>
      </c>
      <c r="H12" s="97">
        <f t="shared" si="0"/>
        <v>1.6547159404302261E-2</v>
      </c>
      <c r="I12" s="99"/>
      <c r="J12" s="100"/>
      <c r="K12" s="97">
        <f>+Facility!AE14/Facility!AE$8</f>
        <v>2.1097046413502109E-2</v>
      </c>
      <c r="L12" s="97">
        <f>+B12-K12</f>
        <v>-6.8888314819598798E-4</v>
      </c>
      <c r="M12" s="99"/>
      <c r="N12" s="145"/>
    </row>
    <row r="13" spans="1:16" x14ac:dyDescent="0.2">
      <c r="E13" s="97"/>
      <c r="F13" s="90"/>
      <c r="I13" s="97"/>
      <c r="J13" s="90"/>
      <c r="M13" s="97"/>
    </row>
    <row r="14" spans="1:16" x14ac:dyDescent="0.2">
      <c r="A14" s="89" t="s">
        <v>33</v>
      </c>
      <c r="B14" s="89">
        <f>+Facility!E29</f>
        <v>2555</v>
      </c>
      <c r="C14" s="89">
        <f>+Facility!F29</f>
        <v>2856</v>
      </c>
      <c r="D14" s="89">
        <f>+B14-C14</f>
        <v>-301</v>
      </c>
      <c r="E14" s="146">
        <f>+IF(D14=0,0,D14/C14)</f>
        <v>-0.1053921568627451</v>
      </c>
      <c r="F14" s="90"/>
      <c r="G14" s="89">
        <f>+Facility!N29</f>
        <v>2810</v>
      </c>
      <c r="H14" s="89">
        <f>B14-G14</f>
        <v>-255</v>
      </c>
      <c r="I14" s="97">
        <f t="shared" ref="I14:I16" si="1">+IF(H14=0,0,IF(AND(G14=0,H14&gt;0),-100%,H14/G14))</f>
        <v>-9.0747330960854092E-2</v>
      </c>
      <c r="J14" s="90"/>
      <c r="K14" s="89">
        <f>+Facility!AE29</f>
        <v>3389</v>
      </c>
      <c r="L14" s="89">
        <f>+B14-K14</f>
        <v>-834</v>
      </c>
      <c r="M14" s="97">
        <f t="shared" ref="M14:M16" si="2">+IF(L14=0,0,IF(AND(K14=0,L14&gt;0),-100%,L14/K14))</f>
        <v>-0.2460902921215698</v>
      </c>
    </row>
    <row r="15" spans="1:16" x14ac:dyDescent="0.2">
      <c r="A15" s="89" t="s">
        <v>34</v>
      </c>
      <c r="B15" s="99">
        <f>+Facility!E32</f>
        <v>10.4</v>
      </c>
      <c r="C15" s="99">
        <f>+Facility!F32</f>
        <v>10</v>
      </c>
      <c r="D15" s="99">
        <f>+B15-C15</f>
        <v>0.40000000000000036</v>
      </c>
      <c r="E15" s="146">
        <f>+IF(D15=0,0,D15/C15)</f>
        <v>4.0000000000000036E-2</v>
      </c>
      <c r="F15" s="90"/>
      <c r="G15" s="99">
        <f>+Facility!N32</f>
        <v>10.849420849420801</v>
      </c>
      <c r="H15" s="89">
        <f>B15-G15</f>
        <v>-0.44942084942080029</v>
      </c>
      <c r="I15" s="97">
        <f t="shared" si="1"/>
        <v>-4.1423487544479644E-2</v>
      </c>
      <c r="J15" s="90"/>
      <c r="K15" s="99">
        <f>+Facility!AE32</f>
        <v>14.299578059071701</v>
      </c>
      <c r="L15" s="99">
        <f>+B15-K15</f>
        <v>-3.8995780590717004</v>
      </c>
      <c r="M15" s="97">
        <f t="shared" si="2"/>
        <v>-0.2727058129241649</v>
      </c>
      <c r="P15" s="145"/>
    </row>
    <row r="16" spans="1:16" x14ac:dyDescent="0.2">
      <c r="A16" s="89" t="s">
        <v>35</v>
      </c>
      <c r="B16" s="99">
        <f>+Facility!E33</f>
        <v>85.1666666666667</v>
      </c>
      <c r="C16" s="99">
        <f>+Facility!F33</f>
        <v>95.2</v>
      </c>
      <c r="D16" s="99">
        <f>+B16-C16</f>
        <v>-10.033333333333303</v>
      </c>
      <c r="E16" s="146">
        <f>+IF(D16=0,0,D16/C16)</f>
        <v>-0.10539215686274478</v>
      </c>
      <c r="F16" s="90"/>
      <c r="G16" s="89">
        <f>+Facility!N33</f>
        <v>90.645161290322605</v>
      </c>
      <c r="H16" s="89">
        <f t="shared" ref="H16:H18" si="3">B16-G16</f>
        <v>-5.4784946236559051</v>
      </c>
      <c r="I16" s="97">
        <f t="shared" si="1"/>
        <v>-6.0438908659549116E-2</v>
      </c>
      <c r="J16" s="90"/>
      <c r="K16" s="89">
        <f>+Facility!AE33</f>
        <v>112.966666666667</v>
      </c>
      <c r="L16" s="89">
        <f>+B16-K16</f>
        <v>-27.800000000000296</v>
      </c>
      <c r="M16" s="97">
        <f t="shared" si="2"/>
        <v>-0.24609029212157169</v>
      </c>
    </row>
    <row r="17" spans="1:13" x14ac:dyDescent="0.2">
      <c r="A17" s="89" t="s">
        <v>36</v>
      </c>
      <c r="B17" s="146">
        <f>+Facility!E31</f>
        <v>1.3736559139784952</v>
      </c>
      <c r="C17" s="146">
        <f>+Facility!F31</f>
        <v>1.5354838709677421</v>
      </c>
      <c r="D17" s="146">
        <f>+B17-C17</f>
        <v>-0.1618279569892469</v>
      </c>
      <c r="F17" s="90"/>
      <c r="G17" s="97">
        <f>+Facility!N31</f>
        <v>0.65684899485741</v>
      </c>
      <c r="H17" s="89">
        <f t="shared" si="3"/>
        <v>0.71680691912108518</v>
      </c>
      <c r="J17" s="90"/>
      <c r="K17" s="97">
        <f>+Facility!AE31</f>
        <v>0.81859903381642496</v>
      </c>
      <c r="L17" s="97">
        <f>+B17-K17</f>
        <v>0.55505688016207022</v>
      </c>
    </row>
    <row r="18" spans="1:13" x14ac:dyDescent="0.2">
      <c r="A18" s="102" t="s">
        <v>37</v>
      </c>
      <c r="B18" s="111">
        <f>Facility!E34</f>
        <v>84.117104266166706</v>
      </c>
      <c r="C18" s="111">
        <f>Facility!F34</f>
        <v>97.082820233753907</v>
      </c>
      <c r="D18" s="111">
        <f>+B18-C18</f>
        <v>-12.965715967587201</v>
      </c>
      <c r="E18" s="103">
        <f>+IF(D18=0,0,D18/C18)</f>
        <v>-0.1335531449989672</v>
      </c>
      <c r="F18" s="104"/>
      <c r="G18" s="102">
        <f>Facility!N34</f>
        <v>93.513273057063799</v>
      </c>
      <c r="H18" s="102">
        <f t="shared" si="3"/>
        <v>-9.396168790897093</v>
      </c>
      <c r="I18" s="103">
        <f>+IF(H18=0,0,IF(AND(G18=0,H18&gt;0),-100%,H18/G18))</f>
        <v>-0.10047952000528684</v>
      </c>
      <c r="J18" s="104"/>
      <c r="K18" s="102">
        <f>Facility!AE34</f>
        <v>117.228149079706</v>
      </c>
      <c r="L18" s="102">
        <f>+B18-K18</f>
        <v>-33.111044813539294</v>
      </c>
      <c r="M18" s="103">
        <f>+IF(L18=0,0,IF(AND(K18=0,L18&gt;0),-100%,L18/K18))</f>
        <v>-0.28244960850679612</v>
      </c>
    </row>
    <row r="19" spans="1:13" x14ac:dyDescent="0.2">
      <c r="B19" s="97"/>
      <c r="C19" s="97"/>
      <c r="D19" s="97"/>
      <c r="F19" s="90"/>
      <c r="G19" s="97"/>
      <c r="H19" s="97"/>
      <c r="J19" s="90"/>
      <c r="K19" s="97"/>
      <c r="L19" s="97"/>
    </row>
    <row r="20" spans="1:13" x14ac:dyDescent="0.2">
      <c r="A20" s="88" t="s">
        <v>38</v>
      </c>
      <c r="B20" s="97"/>
      <c r="C20" s="97"/>
      <c r="D20" s="97"/>
      <c r="F20" s="90"/>
      <c r="G20" s="97"/>
      <c r="H20" s="97"/>
      <c r="J20" s="90"/>
      <c r="K20" s="97"/>
      <c r="L20" s="97"/>
    </row>
    <row r="21" spans="1:13" s="101" customFormat="1" hidden="1" x14ac:dyDescent="0.2">
      <c r="A21" s="98" t="s">
        <v>39</v>
      </c>
      <c r="B21" s="97">
        <f>Facility!E55/Facility!E$33</f>
        <v>0</v>
      </c>
      <c r="C21" s="97">
        <f>Facility!F55/Facility!F$33</f>
        <v>0</v>
      </c>
      <c r="D21" s="97">
        <f t="shared" ref="D21:D31" si="4">+B21-C21</f>
        <v>0</v>
      </c>
      <c r="E21" s="99"/>
      <c r="F21" s="100"/>
      <c r="G21" s="97"/>
      <c r="H21" s="97"/>
      <c r="I21" s="99"/>
      <c r="J21" s="100"/>
      <c r="K21" s="97">
        <f>Facility!AE55/Facility!AE$33</f>
        <v>0</v>
      </c>
      <c r="L21" s="97">
        <f t="shared" ref="L21:L31" si="5">+B21-K21</f>
        <v>0</v>
      </c>
      <c r="M21" s="99"/>
    </row>
    <row r="22" spans="1:13" s="101" customFormat="1" hidden="1" x14ac:dyDescent="0.2">
      <c r="A22" s="98" t="s">
        <v>40</v>
      </c>
      <c r="B22" s="97">
        <f>Facility!E56/Facility!E$33</f>
        <v>0</v>
      </c>
      <c r="C22" s="97">
        <f>Facility!F56/Facility!F$33</f>
        <v>0</v>
      </c>
      <c r="D22" s="97">
        <f t="shared" si="4"/>
        <v>0</v>
      </c>
      <c r="E22" s="99"/>
      <c r="F22" s="100"/>
      <c r="G22" s="97"/>
      <c r="H22" s="97"/>
      <c r="I22" s="99"/>
      <c r="J22" s="100"/>
      <c r="K22" s="97">
        <f>Facility!AE56/Facility!AE$33</f>
        <v>0</v>
      </c>
      <c r="L22" s="97">
        <f t="shared" si="5"/>
        <v>0</v>
      </c>
      <c r="M22" s="99"/>
    </row>
    <row r="23" spans="1:13" s="101" customFormat="1" x14ac:dyDescent="0.2">
      <c r="A23" s="98" t="s">
        <v>41</v>
      </c>
      <c r="B23" s="146">
        <f>Facility!E57/Facility!E$33</f>
        <v>0.39960861056751418</v>
      </c>
      <c r="C23" s="146">
        <f>Facility!F57/Facility!F$33</f>
        <v>0.40091036414565862</v>
      </c>
      <c r="D23" s="146">
        <f t="shared" si="4"/>
        <v>-1.3017535781444378E-3</v>
      </c>
      <c r="E23" s="99"/>
      <c r="F23" s="100"/>
      <c r="G23" s="97">
        <f>Facility!N57/Facility!N$33</f>
        <v>0.38540925266903858</v>
      </c>
      <c r="H23" s="97">
        <f t="shared" ref="H23:H27" si="6">B23-G23</f>
        <v>1.4199357898475595E-2</v>
      </c>
      <c r="I23" s="99"/>
      <c r="J23" s="100"/>
      <c r="K23" s="97">
        <f>Facility!AE57/Facility!AE$33</f>
        <v>0.31071112422543434</v>
      </c>
      <c r="L23" s="97">
        <f t="shared" si="5"/>
        <v>8.8897486342079834E-2</v>
      </c>
      <c r="M23" s="99"/>
    </row>
    <row r="24" spans="1:13" s="101" customFormat="1" x14ac:dyDescent="0.2">
      <c r="A24" s="98" t="s">
        <v>42</v>
      </c>
      <c r="B24" s="146">
        <f>Facility!E58/Facility!E$33</f>
        <v>0.56086105675146791</v>
      </c>
      <c r="C24" s="146">
        <f>Facility!F58/Facility!F$33</f>
        <v>0.54831932773109249</v>
      </c>
      <c r="D24" s="146">
        <f t="shared" si="4"/>
        <v>1.2541729020375425E-2</v>
      </c>
      <c r="E24" s="99"/>
      <c r="F24" s="100"/>
      <c r="G24" s="97">
        <f>Facility!N58/Facility!N$33</f>
        <v>0.56939501779359469</v>
      </c>
      <c r="H24" s="97">
        <f t="shared" si="6"/>
        <v>-8.5339610421267809E-3</v>
      </c>
      <c r="I24" s="99"/>
      <c r="J24" s="100"/>
      <c r="K24" s="97">
        <f>Facility!AE58/Facility!AE$33</f>
        <v>0.45441133077603851</v>
      </c>
      <c r="L24" s="97">
        <f t="shared" si="5"/>
        <v>0.1064497259754294</v>
      </c>
      <c r="M24" s="99"/>
    </row>
    <row r="25" spans="1:13" s="101" customFormat="1" outlineLevel="1" x14ac:dyDescent="0.2">
      <c r="A25" s="98" t="s">
        <v>43</v>
      </c>
      <c r="B25" s="97">
        <f>Facility!E59/Facility!E$33</f>
        <v>0</v>
      </c>
      <c r="C25" s="97">
        <f>Facility!F59/Facility!F$33</f>
        <v>0</v>
      </c>
      <c r="D25" s="97">
        <f t="shared" si="4"/>
        <v>0</v>
      </c>
      <c r="E25" s="99"/>
      <c r="F25" s="100"/>
      <c r="G25" s="97"/>
      <c r="H25" s="97">
        <f t="shared" si="6"/>
        <v>0</v>
      </c>
      <c r="I25" s="99"/>
      <c r="J25" s="100"/>
      <c r="K25" s="97">
        <f>Facility!AE59/Facility!AE$33</f>
        <v>0</v>
      </c>
      <c r="L25" s="97">
        <f t="shared" si="5"/>
        <v>0</v>
      </c>
      <c r="M25" s="99"/>
    </row>
    <row r="26" spans="1:13" s="101" customFormat="1" outlineLevel="1" x14ac:dyDescent="0.2">
      <c r="A26" s="98" t="s">
        <v>44</v>
      </c>
      <c r="B26" s="97">
        <v>0</v>
      </c>
      <c r="C26" s="97">
        <f>Facility!F60/Facility!F$33</f>
        <v>0</v>
      </c>
      <c r="D26" s="97">
        <f t="shared" si="4"/>
        <v>0</v>
      </c>
      <c r="E26" s="99"/>
      <c r="F26" s="100"/>
      <c r="G26" s="97"/>
      <c r="H26" s="97">
        <f t="shared" si="6"/>
        <v>0</v>
      </c>
      <c r="I26" s="99"/>
      <c r="J26" s="100"/>
      <c r="K26" s="97">
        <v>0</v>
      </c>
      <c r="L26" s="97">
        <f t="shared" si="5"/>
        <v>0</v>
      </c>
      <c r="M26" s="99"/>
    </row>
    <row r="27" spans="1:13" s="101" customFormat="1" outlineLevel="1" x14ac:dyDescent="0.2">
      <c r="A27" s="98" t="s">
        <v>45</v>
      </c>
      <c r="B27" s="97">
        <f>Facility!E61/Facility!E$33</f>
        <v>0</v>
      </c>
      <c r="C27" s="97">
        <f>Facility!F61/Facility!F$33</f>
        <v>0</v>
      </c>
      <c r="D27" s="97">
        <f t="shared" si="4"/>
        <v>0</v>
      </c>
      <c r="E27" s="99"/>
      <c r="F27" s="100"/>
      <c r="G27" s="97"/>
      <c r="H27" s="97">
        <f t="shared" si="6"/>
        <v>0</v>
      </c>
      <c r="I27" s="99"/>
      <c r="J27" s="100"/>
      <c r="K27" s="97">
        <f>Facility!AE61/Facility!AE$33</f>
        <v>0.19563293006786608</v>
      </c>
      <c r="L27" s="97">
        <f t="shared" si="5"/>
        <v>-0.19563293006786608</v>
      </c>
      <c r="M27" s="99"/>
    </row>
    <row r="28" spans="1:13" s="101" customFormat="1" x14ac:dyDescent="0.2">
      <c r="A28" s="98" t="s">
        <v>46</v>
      </c>
      <c r="B28" s="97">
        <f>Facility!E62/Facility!E$33</f>
        <v>3.9530332681017633E-2</v>
      </c>
      <c r="C28" s="97">
        <f>Facility!F62/Facility!F$33</f>
        <v>5.0770308123249265E-2</v>
      </c>
      <c r="D28" s="97">
        <f t="shared" si="4"/>
        <v>-1.1239975442231633E-2</v>
      </c>
      <c r="E28" s="99"/>
      <c r="F28" s="100"/>
      <c r="G28" s="97">
        <f>Facility!N62/Facility!N$33</f>
        <v>4.5195729537366565E-2</v>
      </c>
      <c r="H28" s="97">
        <f>B28-G28</f>
        <v>-5.6653968563489324E-3</v>
      </c>
      <c r="I28" s="99"/>
      <c r="J28" s="100"/>
      <c r="K28" s="97">
        <f>Facility!AE62/Facility!AE$33</f>
        <v>3.9244614930657867E-2</v>
      </c>
      <c r="L28" s="97">
        <f t="shared" si="5"/>
        <v>2.8571775035976521E-4</v>
      </c>
      <c r="M28" s="99"/>
    </row>
    <row r="29" spans="1:13" s="101" customFormat="1" hidden="1" outlineLevel="1" x14ac:dyDescent="0.2">
      <c r="A29" s="98" t="s">
        <v>47</v>
      </c>
      <c r="B29" s="97">
        <f>Facility!E63/Facility!E$33</f>
        <v>0</v>
      </c>
      <c r="C29" s="97">
        <f>Facility!F63/Facility!F$33</f>
        <v>0</v>
      </c>
      <c r="D29" s="97">
        <f t="shared" si="4"/>
        <v>0</v>
      </c>
      <c r="E29" s="99"/>
      <c r="F29" s="100"/>
      <c r="G29" s="97"/>
      <c r="H29" s="97"/>
      <c r="I29" s="99"/>
      <c r="J29" s="100"/>
      <c r="K29" s="97">
        <f>Facility!AE63/Facility!AE$33</f>
        <v>0</v>
      </c>
      <c r="L29" s="97">
        <f t="shared" si="5"/>
        <v>0</v>
      </c>
      <c r="M29" s="99"/>
    </row>
    <row r="30" spans="1:13" s="101" customFormat="1" hidden="1" outlineLevel="1" x14ac:dyDescent="0.2">
      <c r="A30" s="98" t="s">
        <v>48</v>
      </c>
      <c r="B30" s="97">
        <f>Facility!E64/Facility!E$33</f>
        <v>0</v>
      </c>
      <c r="C30" s="97">
        <f>Facility!F64/Facility!F$33</f>
        <v>0</v>
      </c>
      <c r="D30" s="97">
        <f t="shared" si="4"/>
        <v>0</v>
      </c>
      <c r="E30" s="99"/>
      <c r="F30" s="100"/>
      <c r="G30" s="97"/>
      <c r="H30" s="97"/>
      <c r="I30" s="99"/>
      <c r="J30" s="100"/>
      <c r="K30" s="97">
        <f>Facility!AE64/Facility!AE$33</f>
        <v>0</v>
      </c>
      <c r="L30" s="97">
        <f t="shared" si="5"/>
        <v>0</v>
      </c>
      <c r="M30" s="99"/>
    </row>
    <row r="31" spans="1:13" s="101" customFormat="1" hidden="1" outlineLevel="1" x14ac:dyDescent="0.2">
      <c r="A31" s="98" t="s">
        <v>49</v>
      </c>
      <c r="B31" s="97">
        <f>Facility!E65/Facility!E$33</f>
        <v>0</v>
      </c>
      <c r="C31" s="97">
        <f>Facility!F65/Facility!F$33</f>
        <v>0</v>
      </c>
      <c r="D31" s="97">
        <f t="shared" si="4"/>
        <v>0</v>
      </c>
      <c r="E31" s="99"/>
      <c r="F31" s="100"/>
      <c r="G31" s="97"/>
      <c r="H31" s="97"/>
      <c r="I31" s="99"/>
      <c r="J31" s="100"/>
      <c r="K31" s="97">
        <f>Facility!AE65/Facility!AE$33</f>
        <v>0</v>
      </c>
      <c r="L31" s="97">
        <f t="shared" si="5"/>
        <v>0</v>
      </c>
      <c r="M31" s="99"/>
    </row>
    <row r="32" spans="1:13" collapsed="1" x14ac:dyDescent="0.2">
      <c r="B32" s="97"/>
      <c r="C32" s="97"/>
      <c r="D32" s="97"/>
      <c r="F32" s="90"/>
      <c r="G32" s="97"/>
      <c r="H32" s="97"/>
      <c r="J32" s="90"/>
      <c r="K32" s="97"/>
      <c r="L32" s="97"/>
    </row>
    <row r="33" spans="1:13" x14ac:dyDescent="0.2">
      <c r="A33" s="102" t="s">
        <v>50</v>
      </c>
      <c r="B33" s="102">
        <f>+Facility!E68</f>
        <v>0</v>
      </c>
      <c r="C33" s="102">
        <f>+Facility!F68</f>
        <v>0</v>
      </c>
      <c r="D33" s="102">
        <f>+B33-C33</f>
        <v>0</v>
      </c>
      <c r="E33" s="103">
        <f>+IF(D33=0,0,D33/C33)</f>
        <v>0</v>
      </c>
      <c r="F33" s="104"/>
      <c r="G33" s="102"/>
      <c r="H33" s="102"/>
      <c r="I33" s="103"/>
      <c r="J33" s="104"/>
      <c r="K33" s="102">
        <f>+Facility!AE68</f>
        <v>0</v>
      </c>
      <c r="L33" s="102">
        <f>+B33-K33</f>
        <v>0</v>
      </c>
      <c r="M33" s="103">
        <f>+IF(L33=0,0,IF(AND(K33=0,L33&gt;0),-100%,L33/K33))</f>
        <v>0</v>
      </c>
    </row>
    <row r="34" spans="1:13" x14ac:dyDescent="0.2">
      <c r="F34" s="90"/>
      <c r="J34" s="90"/>
    </row>
    <row r="35" spans="1:13" x14ac:dyDescent="0.2">
      <c r="A35" s="105" t="s">
        <v>51</v>
      </c>
      <c r="F35" s="90"/>
      <c r="J35" s="90"/>
    </row>
    <row r="36" spans="1:13" x14ac:dyDescent="0.2">
      <c r="A36" s="98" t="s">
        <v>52</v>
      </c>
      <c r="B36" s="97">
        <f>IF(Facility!E70=0,0,Facility!E70/Facility!E$68)</f>
        <v>0</v>
      </c>
      <c r="C36" s="97">
        <f>IF(Facility!F70=0,0,Facility!F70/Facility!F$68)</f>
        <v>0</v>
      </c>
      <c r="D36" s="97">
        <f>+B36-C36</f>
        <v>0</v>
      </c>
      <c r="F36" s="90"/>
      <c r="G36" s="97">
        <f>IF(Facility!N70=0,0,Facility!N70/Facility!N$68)</f>
        <v>0</v>
      </c>
      <c r="H36" s="97">
        <f>B36-G36</f>
        <v>0</v>
      </c>
      <c r="J36" s="90"/>
      <c r="K36" s="97">
        <f>IF(Facility!AE70=0,0,Facility!AE70/Facility!AE$68)</f>
        <v>0</v>
      </c>
      <c r="L36" s="97">
        <f>+B36-K36</f>
        <v>0</v>
      </c>
    </row>
    <row r="37" spans="1:13" x14ac:dyDescent="0.2">
      <c r="A37" s="98" t="s">
        <v>53</v>
      </c>
      <c r="B37" s="97">
        <f>IF(Facility!E71=0,0,Facility!E71/Facility!E$68)</f>
        <v>0</v>
      </c>
      <c r="C37" s="97">
        <f>IF(Facility!F71=0,0,Facility!F71/Facility!F$68)</f>
        <v>0</v>
      </c>
      <c r="D37" s="97">
        <f>+B37-C37</f>
        <v>0</v>
      </c>
      <c r="F37" s="90"/>
      <c r="G37" s="97">
        <f>IF(Facility!N71=0,0,Facility!N71/Facility!N$68)</f>
        <v>0</v>
      </c>
      <c r="H37" s="97">
        <f>B37-G37</f>
        <v>0</v>
      </c>
      <c r="J37" s="90"/>
      <c r="K37" s="97">
        <f>IF(Facility!AE71=0,0,Facility!AE71/Facility!AE$68)</f>
        <v>0</v>
      </c>
      <c r="L37" s="97">
        <f>+B37-K37</f>
        <v>0</v>
      </c>
    </row>
    <row r="38" spans="1:13" x14ac:dyDescent="0.2">
      <c r="A38" s="98" t="s">
        <v>54</v>
      </c>
      <c r="B38" s="97">
        <f>IF(Facility!E72=0,0,Facility!E72/Facility!E$68)</f>
        <v>0</v>
      </c>
      <c r="C38" s="97">
        <f>IF(Facility!F72=0,0,Facility!F72/Facility!F$68)</f>
        <v>0</v>
      </c>
      <c r="D38" s="97">
        <f>+B38-C38</f>
        <v>0</v>
      </c>
      <c r="F38" s="90"/>
      <c r="G38" s="97">
        <f>IF(Facility!N72=0,0,Facility!N72/Facility!N$68)</f>
        <v>0</v>
      </c>
      <c r="H38" s="97">
        <f t="shared" ref="H38:H39" si="7">B38-G38</f>
        <v>0</v>
      </c>
      <c r="J38" s="90"/>
      <c r="K38" s="97">
        <f>IF(Facility!AE72=0,0,Facility!AE72/Facility!AE$68)</f>
        <v>0</v>
      </c>
      <c r="L38" s="97">
        <f>+B38-K38</f>
        <v>0</v>
      </c>
    </row>
    <row r="39" spans="1:13" x14ac:dyDescent="0.2">
      <c r="A39" s="98" t="s">
        <v>55</v>
      </c>
      <c r="B39" s="97">
        <f>IF(Facility!E73=0,0,Facility!E73/Facility!E$68)</f>
        <v>0</v>
      </c>
      <c r="C39" s="97">
        <f>IF(Facility!F73=0,0,Facility!F73/Facility!F$68)</f>
        <v>0</v>
      </c>
      <c r="D39" s="97">
        <f>+B39-C39</f>
        <v>0</v>
      </c>
      <c r="F39" s="90"/>
      <c r="G39" s="97">
        <f>IF(Facility!N73=0,0,Facility!N73/Facility!N$68)</f>
        <v>0</v>
      </c>
      <c r="H39" s="97">
        <f t="shared" si="7"/>
        <v>0</v>
      </c>
      <c r="J39" s="90"/>
      <c r="K39" s="97">
        <f>IF(Facility!AE73=0,0,Facility!AE73/Facility!AE$68)</f>
        <v>0</v>
      </c>
      <c r="L39" s="97">
        <f>+B39-K39</f>
        <v>0</v>
      </c>
    </row>
    <row r="40" spans="1:13" s="108" customFormat="1" x14ac:dyDescent="0.2">
      <c r="A40" s="106"/>
      <c r="B40" s="106"/>
      <c r="C40" s="106"/>
      <c r="D40" s="106"/>
      <c r="E40" s="106"/>
      <c r="F40" s="107"/>
      <c r="G40" s="106"/>
      <c r="H40" s="106"/>
      <c r="I40" s="106"/>
      <c r="J40" s="107"/>
      <c r="K40" s="106"/>
      <c r="L40" s="106"/>
      <c r="M40" s="106"/>
    </row>
    <row r="41" spans="1:13" x14ac:dyDescent="0.2">
      <c r="A41" s="109"/>
      <c r="F41" s="90"/>
      <c r="J41" s="90"/>
    </row>
    <row r="42" spans="1:13" ht="13.5" hidden="1" thickBot="1" x14ac:dyDescent="0.25">
      <c r="A42" s="110"/>
      <c r="B42" s="92" t="s">
        <v>11</v>
      </c>
      <c r="C42" s="92" t="s">
        <v>0</v>
      </c>
      <c r="D42" s="92" t="s">
        <v>22</v>
      </c>
      <c r="E42" s="92" t="s">
        <v>23</v>
      </c>
      <c r="F42" s="93"/>
      <c r="G42" s="92"/>
      <c r="H42" s="92"/>
      <c r="I42" s="92"/>
      <c r="J42" s="93"/>
      <c r="K42" s="92" t="s">
        <v>25</v>
      </c>
      <c r="L42" s="92" t="s">
        <v>22</v>
      </c>
      <c r="M42" s="92" t="s">
        <v>23</v>
      </c>
    </row>
    <row r="43" spans="1:13" ht="13.5" thickBot="1" x14ac:dyDescent="0.25">
      <c r="A43" s="92"/>
      <c r="B43" s="92" t="s">
        <v>11</v>
      </c>
      <c r="C43" s="92" t="s">
        <v>0</v>
      </c>
      <c r="D43" s="92" t="s">
        <v>22</v>
      </c>
      <c r="E43" s="92" t="s">
        <v>23</v>
      </c>
      <c r="F43" s="93"/>
      <c r="G43" s="92" t="s">
        <v>24</v>
      </c>
      <c r="H43" s="92" t="s">
        <v>22</v>
      </c>
      <c r="I43" s="92" t="s">
        <v>23</v>
      </c>
      <c r="J43" s="93"/>
      <c r="K43" s="92" t="s">
        <v>25</v>
      </c>
      <c r="L43" s="92" t="s">
        <v>22</v>
      </c>
      <c r="M43" s="92" t="s">
        <v>23</v>
      </c>
    </row>
    <row r="44" spans="1:13" s="101" customFormat="1" x14ac:dyDescent="0.2">
      <c r="A44" s="111" t="s">
        <v>56</v>
      </c>
      <c r="B44" s="102">
        <f>+Facility!E78</f>
        <v>5911901.2999999998</v>
      </c>
      <c r="C44" s="102">
        <f>+Facility!F78</f>
        <v>5703208.5288831275</v>
      </c>
      <c r="D44" s="102">
        <f>+B44-C44</f>
        <v>208692.77111687232</v>
      </c>
      <c r="E44" s="103">
        <f>+IF(D44=0,0,D44/C44)</f>
        <v>3.6592169137771489E-2</v>
      </c>
      <c r="F44" s="112"/>
      <c r="G44" s="102">
        <f>+Facility!N78</f>
        <v>3435691.18</v>
      </c>
      <c r="H44" s="102">
        <f t="shared" ref="H44:H46" si="8">B44-G44</f>
        <v>2476210.1199999996</v>
      </c>
      <c r="I44" s="103">
        <f t="shared" ref="I44:I47" si="9">+IF(H44=0,0,IF(AND(G44=0,H44&gt;0),-100%,H44/G44))</f>
        <v>0.72073128528391184</v>
      </c>
      <c r="J44" s="112"/>
      <c r="K44" s="102">
        <f>+Facility!AE78</f>
        <v>3755568.38</v>
      </c>
      <c r="L44" s="102">
        <f>+B44-K44</f>
        <v>2156332.92</v>
      </c>
      <c r="M44" s="103">
        <f t="shared" ref="M44:M47" si="10">+IF(L44=0,0,IF(AND(K44=0,L44&gt;0),-100%,L44/K44))</f>
        <v>0.57416952690394096</v>
      </c>
    </row>
    <row r="45" spans="1:13" s="101" customFormat="1" x14ac:dyDescent="0.2">
      <c r="A45" s="98" t="s">
        <v>57</v>
      </c>
      <c r="B45" s="89">
        <f>Facility!E87</f>
        <v>5952867.5999999996</v>
      </c>
      <c r="C45" s="89">
        <f>Facility!F87</f>
        <v>5588382.677133128</v>
      </c>
      <c r="D45" s="89">
        <f>+B45-C45</f>
        <v>364484.92286687158</v>
      </c>
      <c r="E45" s="97">
        <f>+IF(D45=0,0,D45/C45)</f>
        <v>6.522189762671271E-2</v>
      </c>
      <c r="F45" s="100"/>
      <c r="G45" s="89">
        <f>Facility!N87</f>
        <v>3333340.32</v>
      </c>
      <c r="H45" s="89">
        <f t="shared" si="8"/>
        <v>2619527.2799999998</v>
      </c>
      <c r="I45" s="97">
        <f t="shared" si="9"/>
        <v>0.78585653684469881</v>
      </c>
      <c r="J45" s="100"/>
      <c r="K45" s="89">
        <f>Facility!AE87</f>
        <v>3617667.74</v>
      </c>
      <c r="L45" s="89">
        <f>+B45-K45</f>
        <v>2335199.8599999994</v>
      </c>
      <c r="M45" s="97">
        <f t="shared" si="10"/>
        <v>0.64549871017176363</v>
      </c>
    </row>
    <row r="46" spans="1:13" s="101" customFormat="1" x14ac:dyDescent="0.2">
      <c r="A46" s="98" t="s">
        <v>58</v>
      </c>
      <c r="B46" s="89">
        <f>Facility!E88</f>
        <v>0</v>
      </c>
      <c r="C46" s="89">
        <f>Facility!F88</f>
        <v>0</v>
      </c>
      <c r="D46" s="89">
        <f>+B46-C46</f>
        <v>0</v>
      </c>
      <c r="E46" s="97">
        <f>+IF(D46=0,0,D46/C46)</f>
        <v>0</v>
      </c>
      <c r="F46" s="100"/>
      <c r="G46" s="89">
        <f>Facility!N88</f>
        <v>0</v>
      </c>
      <c r="H46" s="89">
        <f t="shared" si="8"/>
        <v>0</v>
      </c>
      <c r="I46" s="97">
        <f t="shared" si="9"/>
        <v>0</v>
      </c>
      <c r="J46" s="100"/>
      <c r="K46" s="89">
        <f>Facility!AE88</f>
        <v>0</v>
      </c>
      <c r="L46" s="89">
        <f>+B46-K46</f>
        <v>0</v>
      </c>
      <c r="M46" s="97">
        <f t="shared" si="10"/>
        <v>0</v>
      </c>
    </row>
    <row r="47" spans="1:13" s="101" customFormat="1" x14ac:dyDescent="0.2">
      <c r="A47" s="98" t="s">
        <v>59</v>
      </c>
      <c r="B47" s="89">
        <f>Facility!E89</f>
        <v>128305.05</v>
      </c>
      <c r="C47" s="89">
        <f>Facility!F89</f>
        <v>110014.618</v>
      </c>
      <c r="D47" s="89">
        <f>+B47-C47</f>
        <v>18290.432000000001</v>
      </c>
      <c r="E47" s="97">
        <f>+IF(D47=0,0,D47/C47)</f>
        <v>0.1662545608257259</v>
      </c>
      <c r="F47" s="100"/>
      <c r="G47" s="89">
        <f>Facility!N89</f>
        <v>79238</v>
      </c>
      <c r="H47" s="89">
        <f>B47-G47</f>
        <v>49067.05</v>
      </c>
      <c r="I47" s="97">
        <f t="shared" si="9"/>
        <v>0.61923635124561449</v>
      </c>
      <c r="J47" s="100"/>
      <c r="K47" s="89">
        <f>Facility!AE89</f>
        <v>137248.39000000001</v>
      </c>
      <c r="L47" s="89">
        <f>+B47-K47</f>
        <v>-8943.3400000000111</v>
      </c>
      <c r="M47" s="97">
        <f t="shared" si="10"/>
        <v>-6.5161711550860521E-2</v>
      </c>
    </row>
    <row r="48" spans="1:13" s="101" customFormat="1" x14ac:dyDescent="0.2">
      <c r="A48" s="99"/>
      <c r="B48" s="89"/>
      <c r="C48" s="89"/>
      <c r="D48" s="89"/>
      <c r="E48" s="97"/>
      <c r="F48" s="100"/>
      <c r="G48" s="89"/>
      <c r="H48" s="89"/>
      <c r="I48" s="97"/>
      <c r="J48" s="100"/>
      <c r="K48" s="89"/>
      <c r="L48" s="89"/>
      <c r="M48" s="97"/>
    </row>
    <row r="49" spans="1:13" s="101" customFormat="1" x14ac:dyDescent="0.2">
      <c r="A49" s="99" t="s">
        <v>60</v>
      </c>
      <c r="B49" s="148">
        <f>Facility!E87/Facility!E29</f>
        <v>2329.8894716242662</v>
      </c>
      <c r="C49" s="148">
        <f>Facility!F87/Facility!F29</f>
        <v>1956.7166236460532</v>
      </c>
      <c r="D49" s="148">
        <f>+B49-C49</f>
        <v>373.17284797821299</v>
      </c>
      <c r="E49" s="97">
        <f>+IF(D49=0,0,D49/C49)</f>
        <v>0.19071379241561323</v>
      </c>
      <c r="F49" s="100"/>
      <c r="G49" s="89">
        <f>Facility!N87/Facility!N29</f>
        <v>1186.2421067615658</v>
      </c>
      <c r="H49" s="89">
        <f>B49-G49</f>
        <v>1143.6473648627004</v>
      </c>
      <c r="I49" s="97">
        <f t="shared" ref="I49:I50" si="11">+IF(H49=0,0,IF(AND(G49=0,H49&gt;0),-100%,H49/G49))</f>
        <v>0.96409270784094092</v>
      </c>
      <c r="J49" s="100"/>
      <c r="K49" s="89">
        <f>Facility!AE87/Facility!AE29</f>
        <v>1067.4735143110063</v>
      </c>
      <c r="L49" s="89">
        <f>+B49-K49</f>
        <v>1262.4159573132599</v>
      </c>
      <c r="M49" s="97">
        <f t="shared" ref="M49:M50" si="12">+IF(L49=0,0,IF(AND(K49=0,L49&gt;0),-100%,L49/K49))</f>
        <v>1.1826204026505314</v>
      </c>
    </row>
    <row r="50" spans="1:13" s="101" customFormat="1" x14ac:dyDescent="0.2">
      <c r="A50" s="99" t="s">
        <v>61</v>
      </c>
      <c r="B50" s="89">
        <f>IF(Facility!E68=0,0,Facility!E88/Facility!E68)</f>
        <v>0</v>
      </c>
      <c r="C50" s="89">
        <f>IF(Facility!F68=0,0,Facility!F88/Facility!F68)</f>
        <v>0</v>
      </c>
      <c r="D50" s="89">
        <f>+B50-C50</f>
        <v>0</v>
      </c>
      <c r="E50" s="97">
        <f>+IF(D50=0,0,D50/C50)</f>
        <v>0</v>
      </c>
      <c r="F50" s="100"/>
      <c r="G50" s="89">
        <f>IF(Facility!N68=0,0,Facility!N88/Facility!N68)</f>
        <v>0</v>
      </c>
      <c r="H50" s="89"/>
      <c r="I50" s="97">
        <f t="shared" si="11"/>
        <v>0</v>
      </c>
      <c r="J50" s="100"/>
      <c r="K50" s="89">
        <f>IF(Facility!AE68=0,0,Facility!AE88/Facility!AE68)</f>
        <v>0</v>
      </c>
      <c r="L50" s="89">
        <f>+B50-K50</f>
        <v>0</v>
      </c>
      <c r="M50" s="97">
        <f t="shared" si="12"/>
        <v>0</v>
      </c>
    </row>
    <row r="51" spans="1:13" s="101" customFormat="1" x14ac:dyDescent="0.2">
      <c r="A51" s="99"/>
      <c r="B51" s="89"/>
      <c r="C51" s="89"/>
      <c r="D51" s="89"/>
      <c r="E51" s="97"/>
      <c r="F51" s="100"/>
      <c r="G51" s="89"/>
      <c r="H51" s="89"/>
      <c r="I51" s="97"/>
      <c r="J51" s="100"/>
      <c r="K51" s="89"/>
      <c r="L51" s="89"/>
      <c r="M51" s="97"/>
    </row>
    <row r="52" spans="1:13" s="101" customFormat="1" x14ac:dyDescent="0.2">
      <c r="A52" s="111" t="s">
        <v>62</v>
      </c>
      <c r="B52" s="149">
        <f>+Facility!E115</f>
        <v>2313.8556947162424</v>
      </c>
      <c r="C52" s="149">
        <f>+Facility!F115</f>
        <v>1996.9217538106188</v>
      </c>
      <c r="D52" s="149">
        <f>+B52-C52</f>
        <v>316.93394090562356</v>
      </c>
      <c r="E52" s="103">
        <f>+IF(D52=0,0,D52/C52)</f>
        <v>0.15871124659783764</v>
      </c>
      <c r="F52" s="112"/>
      <c r="G52" s="102">
        <f>+Facility!N115</f>
        <v>1222.6659003558721</v>
      </c>
      <c r="H52" s="102">
        <f>B52-G52</f>
        <v>1091.1897943603703</v>
      </c>
      <c r="I52" s="103">
        <f>+IF(H52=0,0,H52/G52)</f>
        <v>0.89246767579169917</v>
      </c>
      <c r="J52" s="112"/>
      <c r="K52" s="102">
        <f>+Facility!AE115</f>
        <v>1108.164172322219</v>
      </c>
      <c r="L52" s="102">
        <f>+B52-K52</f>
        <v>1205.6915223940234</v>
      </c>
      <c r="M52" s="103">
        <f>+IF(L52=0,0,L52/K52)</f>
        <v>1.0880080339246401</v>
      </c>
    </row>
    <row r="53" spans="1:13" s="101" customFormat="1" x14ac:dyDescent="0.2">
      <c r="A53" s="99"/>
      <c r="B53" s="89"/>
      <c r="C53" s="89"/>
      <c r="D53" s="89"/>
      <c r="E53" s="99"/>
      <c r="F53" s="100"/>
      <c r="G53" s="89"/>
      <c r="H53" s="89"/>
      <c r="I53" s="99"/>
      <c r="J53" s="100"/>
      <c r="K53" s="89"/>
      <c r="L53" s="89"/>
      <c r="M53" s="99"/>
    </row>
    <row r="54" spans="1:13" s="101" customFormat="1" x14ac:dyDescent="0.2">
      <c r="A54" s="135" t="s">
        <v>63</v>
      </c>
      <c r="B54" s="136"/>
      <c r="C54" s="136"/>
      <c r="D54" s="136">
        <f>+Facility!K77</f>
        <v>-601073.44789699628</v>
      </c>
      <c r="E54" s="124"/>
      <c r="F54" s="124"/>
      <c r="G54" s="136"/>
      <c r="H54" s="136">
        <f>+Facility!R77</f>
        <v>-311779.8045907474</v>
      </c>
      <c r="I54" s="137"/>
      <c r="J54" s="124"/>
      <c r="K54" s="136"/>
      <c r="L54" s="136">
        <f>+Facility!AJ77</f>
        <v>-924208.9197167306</v>
      </c>
      <c r="M54" s="137"/>
    </row>
    <row r="55" spans="1:13" s="101" customFormat="1" x14ac:dyDescent="0.2">
      <c r="A55" s="138" t="s">
        <v>64</v>
      </c>
      <c r="B55" s="139"/>
      <c r="C55" s="139"/>
      <c r="D55" s="139">
        <f>+Facility!K78</f>
        <v>905163.33522646083</v>
      </c>
      <c r="E55" s="118"/>
      <c r="F55" s="118"/>
      <c r="G55" s="139"/>
      <c r="H55" s="139">
        <f>+Facility!R78</f>
        <v>3066243.3221526407</v>
      </c>
      <c r="I55" s="140"/>
      <c r="J55" s="118"/>
      <c r="K55" s="139"/>
      <c r="L55" s="139">
        <f>+Facility!AJ78</f>
        <v>3080541.8397167297</v>
      </c>
      <c r="M55" s="140"/>
    </row>
    <row r="56" spans="1:13" s="101" customFormat="1" x14ac:dyDescent="0.2">
      <c r="A56" s="141" t="s">
        <v>65</v>
      </c>
      <c r="B56" s="142"/>
      <c r="C56" s="142"/>
      <c r="D56" s="142">
        <f>+SUM(D54:D55)</f>
        <v>304089.88732946455</v>
      </c>
      <c r="E56" s="115"/>
      <c r="F56" s="115"/>
      <c r="G56" s="142"/>
      <c r="H56" s="142">
        <f>+SUM(H54:H55)</f>
        <v>2754463.5175618934</v>
      </c>
      <c r="I56" s="143"/>
      <c r="J56" s="115"/>
      <c r="K56" s="142"/>
      <c r="L56" s="142">
        <f>+SUM(L54:L55)</f>
        <v>2156332.919999999</v>
      </c>
      <c r="M56" s="143"/>
    </row>
    <row r="57" spans="1:13" s="101" customFormat="1" x14ac:dyDescent="0.2">
      <c r="A57" s="99"/>
      <c r="B57" s="89"/>
      <c r="C57" s="89"/>
      <c r="D57" s="89"/>
      <c r="E57" s="99"/>
      <c r="F57" s="100"/>
      <c r="G57" s="89"/>
      <c r="H57" s="89"/>
      <c r="I57" s="99"/>
      <c r="J57" s="100"/>
      <c r="K57" s="89"/>
      <c r="L57" s="89"/>
      <c r="M57" s="99"/>
    </row>
    <row r="58" spans="1:13" s="101" customFormat="1" x14ac:dyDescent="0.2">
      <c r="A58" s="99" t="s">
        <v>66</v>
      </c>
      <c r="B58" s="89">
        <f>Facility!E108</f>
        <v>7977470</v>
      </c>
      <c r="C58" s="89">
        <f>Facility!F108</f>
        <v>9615416.8599999994</v>
      </c>
      <c r="D58" s="89">
        <f t="shared" ref="D58:D69" si="13">+B58-C58</f>
        <v>-1637946.8599999994</v>
      </c>
      <c r="E58" s="97">
        <f t="shared" ref="E58:E65" si="14">+IF(D58=0,0,D58/C58)</f>
        <v>-0.17034590219523768</v>
      </c>
      <c r="F58" s="100"/>
      <c r="G58" s="89">
        <f>Facility!N108</f>
        <v>8781719.6100000013</v>
      </c>
      <c r="H58" s="89">
        <f t="shared" ref="H58:H65" si="15">B58-G58</f>
        <v>-804249.61000000127</v>
      </c>
      <c r="I58" s="97">
        <f t="shared" ref="I58:I61" si="16">+IF(H58=0,0,IF(AND(G58=0,H58&gt;0),-100%,H58/G58))</f>
        <v>-9.158224649807524E-2</v>
      </c>
      <c r="J58" s="100"/>
      <c r="K58" s="89">
        <f>Facility!AE108</f>
        <v>9482818</v>
      </c>
      <c r="L58" s="89">
        <f t="shared" ref="L58:L69" si="17">+B58-K58</f>
        <v>-1505348</v>
      </c>
      <c r="M58" s="97">
        <f t="shared" ref="M58:M61" si="18">+IF(L58=0,0,IF(AND(K58=0,L58&gt;0),-100%,L58/K58))</f>
        <v>-0.15874479505986511</v>
      </c>
    </row>
    <row r="59" spans="1:13" s="101" customFormat="1" x14ac:dyDescent="0.2">
      <c r="A59" s="99" t="s">
        <v>67</v>
      </c>
      <c r="B59" s="89">
        <f>Facility!E109</f>
        <v>4475018.16</v>
      </c>
      <c r="C59" s="89">
        <f>Facility!F109</f>
        <v>5950992.7383766416</v>
      </c>
      <c r="D59" s="89">
        <f t="shared" si="13"/>
        <v>-1475974.5783766415</v>
      </c>
      <c r="E59" s="97">
        <f t="shared" si="14"/>
        <v>-0.24802157274674635</v>
      </c>
      <c r="F59" s="100"/>
      <c r="G59" s="89">
        <f>Facility!N109</f>
        <v>4731750.3500000006</v>
      </c>
      <c r="H59" s="89">
        <f t="shared" si="15"/>
        <v>-256732.19000000041</v>
      </c>
      <c r="I59" s="97">
        <f t="shared" si="16"/>
        <v>-5.4257340520934366E-2</v>
      </c>
      <c r="J59" s="100"/>
      <c r="K59" s="89">
        <f>Facility!AE109</f>
        <v>5644360.1600000001</v>
      </c>
      <c r="L59" s="89">
        <f t="shared" si="17"/>
        <v>-1169342</v>
      </c>
      <c r="M59" s="97">
        <f t="shared" si="18"/>
        <v>-0.20716998328469527</v>
      </c>
    </row>
    <row r="60" spans="1:13" s="101" customFormat="1" x14ac:dyDescent="0.2">
      <c r="A60" s="113" t="s">
        <v>68</v>
      </c>
      <c r="B60" s="106">
        <f>B58-B59</f>
        <v>3502451.84</v>
      </c>
      <c r="C60" s="106">
        <f>C58-C59</f>
        <v>3664424.1216233578</v>
      </c>
      <c r="D60" s="106">
        <f t="shared" si="13"/>
        <v>-161972.28162335791</v>
      </c>
      <c r="E60" s="114">
        <f t="shared" si="14"/>
        <v>-4.420129227607076E-2</v>
      </c>
      <c r="F60" s="115"/>
      <c r="G60" s="106">
        <f>G58-G59</f>
        <v>4049969.2600000007</v>
      </c>
      <c r="H60" s="106">
        <f t="shared" si="15"/>
        <v>-547517.42000000086</v>
      </c>
      <c r="I60" s="114">
        <f t="shared" si="16"/>
        <v>-0.13519051253243358</v>
      </c>
      <c r="J60" s="115"/>
      <c r="K60" s="106">
        <f>K58-K59</f>
        <v>3838457.84</v>
      </c>
      <c r="L60" s="106">
        <f t="shared" si="17"/>
        <v>-336006</v>
      </c>
      <c r="M60" s="114">
        <f t="shared" si="18"/>
        <v>-8.7536717610528711E-2</v>
      </c>
    </row>
    <row r="61" spans="1:13" s="101" customFormat="1" x14ac:dyDescent="0.2">
      <c r="A61" s="99" t="s">
        <v>69</v>
      </c>
      <c r="B61" s="89">
        <f>Facility!E110</f>
        <v>-4352</v>
      </c>
      <c r="C61" s="89">
        <f>Facility!F110</f>
        <v>3550.2247216229998</v>
      </c>
      <c r="D61" s="89">
        <f t="shared" si="13"/>
        <v>-7902.2247216229998</v>
      </c>
      <c r="E61" s="97">
        <f t="shared" si="14"/>
        <v>-2.2258378951320199</v>
      </c>
      <c r="F61" s="100"/>
      <c r="G61" s="89">
        <f>Facility!N110</f>
        <v>-39676</v>
      </c>
      <c r="H61" s="89">
        <f t="shared" si="15"/>
        <v>35324</v>
      </c>
      <c r="I61" s="97">
        <f t="shared" si="16"/>
        <v>-0.89031152333904628</v>
      </c>
      <c r="J61" s="100"/>
      <c r="K61" s="89">
        <f>Facility!AE110</f>
        <v>702.4</v>
      </c>
      <c r="L61" s="89">
        <f t="shared" si="17"/>
        <v>-5054.3999999999996</v>
      </c>
      <c r="M61" s="97">
        <f t="shared" si="18"/>
        <v>-7.1958997722095672</v>
      </c>
    </row>
    <row r="62" spans="1:13" s="101" customFormat="1" x14ac:dyDescent="0.2">
      <c r="A62" s="99" t="s">
        <v>70</v>
      </c>
      <c r="B62" s="89">
        <f>Facility!E111</f>
        <v>79865</v>
      </c>
      <c r="C62" s="89">
        <f>Facility!F111</f>
        <v>26626.685412176001</v>
      </c>
      <c r="D62" s="89">
        <f t="shared" si="13"/>
        <v>53238.314587824003</v>
      </c>
      <c r="E62" s="97">
        <f t="shared" si="14"/>
        <v>1.9994345433427057</v>
      </c>
      <c r="F62" s="100"/>
      <c r="G62" s="89">
        <f>Facility!N111</f>
        <v>71564</v>
      </c>
      <c r="H62" s="89">
        <f t="shared" si="15"/>
        <v>8301</v>
      </c>
      <c r="I62" s="97">
        <f>+IF(H62=0,0,IF(AND(G62=0,H62&gt;0),-100%,H62/G62))</f>
        <v>0.11599407523335756</v>
      </c>
      <c r="J62" s="100"/>
      <c r="K62" s="89">
        <f>Facility!AE111</f>
        <v>29234.82</v>
      </c>
      <c r="L62" s="89">
        <f t="shared" si="17"/>
        <v>50630.18</v>
      </c>
      <c r="M62" s="97">
        <f>+IF(L62=0,0,IF(AND(K62=0,L62&gt;0),-100%,L62/K62))</f>
        <v>1.7318451079910873</v>
      </c>
    </row>
    <row r="63" spans="1:13" s="101" customFormat="1" x14ac:dyDescent="0.2">
      <c r="A63" s="99" t="s">
        <v>71</v>
      </c>
      <c r="B63" s="89">
        <f>Facility!E112</f>
        <v>39727.919999999998</v>
      </c>
      <c r="C63" s="89">
        <f>Facility!F112</f>
        <v>35502.247216233001</v>
      </c>
      <c r="D63" s="89">
        <f t="shared" si="13"/>
        <v>4225.6727837669969</v>
      </c>
      <c r="E63" s="97">
        <f t="shared" si="14"/>
        <v>0.11902550162612963</v>
      </c>
      <c r="F63" s="100"/>
      <c r="G63" s="89">
        <f>Facility!N112</f>
        <v>67160</v>
      </c>
      <c r="H63" s="89">
        <f t="shared" si="15"/>
        <v>-27432.080000000002</v>
      </c>
      <c r="I63" s="97">
        <f t="shared" ref="I63:I65" si="19">+IF(H63=0,0,IF(AND(G63=0,H63&gt;0),-100%,H63/G63))</f>
        <v>-0.40845860631328174</v>
      </c>
      <c r="J63" s="100"/>
      <c r="K63" s="89">
        <f>Facility!AE112</f>
        <v>32985.919999999998</v>
      </c>
      <c r="L63" s="89">
        <f t="shared" si="17"/>
        <v>6742</v>
      </c>
      <c r="M63" s="97">
        <f t="shared" ref="M63:M65" si="20">+IF(L63=0,0,IF(AND(K63=0,L63&gt;0),-100%,L63/K63))</f>
        <v>0.20439023680406671</v>
      </c>
    </row>
    <row r="64" spans="1:13" s="101" customFormat="1" x14ac:dyDescent="0.2">
      <c r="A64" s="99" t="s">
        <v>72</v>
      </c>
      <c r="B64" s="89">
        <f>Facility!E113</f>
        <v>-401554.03</v>
      </c>
      <c r="C64" s="89">
        <f>Facility!F113</f>
        <v>191440.81914019899</v>
      </c>
      <c r="D64" s="89">
        <f t="shared" si="13"/>
        <v>-592994.84914019902</v>
      </c>
      <c r="E64" s="97">
        <f t="shared" si="14"/>
        <v>-3.0975361043870566</v>
      </c>
      <c r="F64" s="100"/>
      <c r="G64" s="89">
        <f>Facility!N113</f>
        <v>-131385.75</v>
      </c>
      <c r="H64" s="89">
        <f t="shared" si="15"/>
        <v>-270168.28000000003</v>
      </c>
      <c r="I64" s="97">
        <f t="shared" si="19"/>
        <v>2.0562981906333069</v>
      </c>
      <c r="J64" s="100"/>
      <c r="K64" s="89">
        <f>Facility!AE113</f>
        <v>22118.57</v>
      </c>
      <c r="L64" s="89">
        <f t="shared" si="17"/>
        <v>-423672.60000000003</v>
      </c>
      <c r="M64" s="97">
        <f t="shared" si="20"/>
        <v>-19.15461080892662</v>
      </c>
    </row>
    <row r="65" spans="1:13" s="101" customFormat="1" x14ac:dyDescent="0.2">
      <c r="A65" s="113" t="s">
        <v>73</v>
      </c>
      <c r="B65" s="106">
        <f>B60-SUM(B61:B64)</f>
        <v>3788764.9499999997</v>
      </c>
      <c r="C65" s="106">
        <f>C60-SUM(C61:C64)</f>
        <v>3407304.1451331265</v>
      </c>
      <c r="D65" s="106">
        <f t="shared" si="13"/>
        <v>381460.80486687319</v>
      </c>
      <c r="E65" s="114">
        <f t="shared" si="14"/>
        <v>0.1119538463895976</v>
      </c>
      <c r="F65" s="115"/>
      <c r="G65" s="106">
        <f>G60-SUM(G61:G64)</f>
        <v>4082307.0100000007</v>
      </c>
      <c r="H65" s="106">
        <f t="shared" si="15"/>
        <v>-293542.06000000099</v>
      </c>
      <c r="I65" s="114">
        <f t="shared" si="19"/>
        <v>-7.190592458650015E-2</v>
      </c>
      <c r="J65" s="115"/>
      <c r="K65" s="106">
        <f>K60-SUM(K61:K64)</f>
        <v>3753416.13</v>
      </c>
      <c r="L65" s="106">
        <f t="shared" si="17"/>
        <v>35348.819999999832</v>
      </c>
      <c r="M65" s="114">
        <f t="shared" si="20"/>
        <v>9.4177727104294805E-3</v>
      </c>
    </row>
    <row r="66" spans="1:13" s="101" customFormat="1" x14ac:dyDescent="0.2">
      <c r="A66" s="116"/>
      <c r="B66" s="116"/>
      <c r="C66" s="116"/>
      <c r="D66" s="116"/>
      <c r="E66" s="117"/>
      <c r="F66" s="118"/>
      <c r="G66" s="116"/>
      <c r="H66" s="116"/>
      <c r="I66" s="117"/>
      <c r="J66" s="118"/>
      <c r="K66" s="116"/>
      <c r="L66" s="116"/>
      <c r="M66" s="117"/>
    </row>
    <row r="67" spans="1:13" s="101" customFormat="1" x14ac:dyDescent="0.2">
      <c r="A67" s="116" t="s">
        <v>74</v>
      </c>
      <c r="B67" s="116"/>
      <c r="C67" s="116"/>
      <c r="D67" s="116"/>
      <c r="E67" s="117"/>
      <c r="F67" s="118"/>
      <c r="G67" s="116"/>
      <c r="H67" s="116"/>
      <c r="I67" s="117"/>
      <c r="J67" s="118"/>
      <c r="K67" s="116"/>
      <c r="L67" s="116"/>
      <c r="M67" s="117"/>
    </row>
    <row r="68" spans="1:13" s="101" customFormat="1" x14ac:dyDescent="0.2">
      <c r="A68" s="119" t="s">
        <v>75</v>
      </c>
      <c r="B68" s="117">
        <f>B65/B60</f>
        <v>1.0817464802028511</v>
      </c>
      <c r="C68" s="117">
        <f>C65/C60</f>
        <v>0.92983345596570144</v>
      </c>
      <c r="D68" s="97">
        <f t="shared" si="13"/>
        <v>0.1519130242371497</v>
      </c>
      <c r="E68" s="117"/>
      <c r="F68" s="118"/>
      <c r="G68" s="117">
        <f>G65/G60</f>
        <v>1.0079846902344143</v>
      </c>
      <c r="H68" s="97">
        <f t="shared" ref="H68:H69" si="21">B68-G68</f>
        <v>7.3761789968436853E-2</v>
      </c>
      <c r="I68" s="117"/>
      <c r="J68" s="118"/>
      <c r="K68" s="117">
        <f>K65/K60</f>
        <v>0.97784482374306869</v>
      </c>
      <c r="L68" s="97">
        <f t="shared" si="17"/>
        <v>0.10390165645978244</v>
      </c>
      <c r="M68" s="117"/>
    </row>
    <row r="69" spans="1:13" s="101" customFormat="1" x14ac:dyDescent="0.2">
      <c r="A69" s="98" t="s">
        <v>76</v>
      </c>
      <c r="B69" s="97">
        <f>SUM(B62:B64)/B60</f>
        <v>-8.0503922075342529E-2</v>
      </c>
      <c r="C69" s="97">
        <f>SUM(C62:C64)/C60</f>
        <v>6.9197708385424384E-2</v>
      </c>
      <c r="D69" s="97">
        <f t="shared" si="13"/>
        <v>-0.1497016304607669</v>
      </c>
      <c r="E69" s="99"/>
      <c r="F69" s="100"/>
      <c r="G69" s="97">
        <f>SUM(G62:G64)/G60</f>
        <v>1.8119273329990655E-3</v>
      </c>
      <c r="H69" s="97">
        <f t="shared" si="21"/>
        <v>-8.2315849408341593E-2</v>
      </c>
      <c r="I69" s="99"/>
      <c r="J69" s="100"/>
      <c r="K69" s="97">
        <f>SUM(K62:K64)/K60</f>
        <v>2.1972186100655464E-2</v>
      </c>
      <c r="L69" s="97">
        <f t="shared" si="17"/>
        <v>-0.10247610817599799</v>
      </c>
      <c r="M69" s="99"/>
    </row>
    <row r="70" spans="1:13" s="120" customFormat="1" x14ac:dyDescent="0.2">
      <c r="A70" s="113"/>
      <c r="B70" s="113"/>
      <c r="C70" s="113"/>
      <c r="D70" s="113"/>
      <c r="E70" s="113"/>
      <c r="F70" s="115"/>
      <c r="G70" s="113"/>
      <c r="H70" s="113"/>
      <c r="I70" s="113"/>
      <c r="J70" s="115"/>
      <c r="K70" s="113"/>
      <c r="L70" s="113"/>
      <c r="M70" s="113"/>
    </row>
    <row r="71" spans="1:13" s="101" customFormat="1" x14ac:dyDescent="0.2">
      <c r="A71" s="99"/>
      <c r="B71" s="99"/>
      <c r="C71" s="99"/>
      <c r="D71" s="99"/>
      <c r="E71" s="99"/>
      <c r="F71" s="100"/>
      <c r="G71" s="99"/>
      <c r="H71" s="99"/>
      <c r="I71" s="99"/>
      <c r="J71" s="100"/>
      <c r="K71" s="99"/>
      <c r="L71" s="99"/>
      <c r="M71" s="99"/>
    </row>
    <row r="72" spans="1:13" s="101" customFormat="1" ht="13.5" thickBot="1" x14ac:dyDescent="0.25">
      <c r="A72" s="110"/>
      <c r="B72" s="92" t="s">
        <v>11</v>
      </c>
      <c r="C72" s="92" t="s">
        <v>0</v>
      </c>
      <c r="D72" s="92" t="s">
        <v>22</v>
      </c>
      <c r="E72" s="92" t="s">
        <v>23</v>
      </c>
      <c r="F72" s="93"/>
      <c r="G72" s="92" t="s">
        <v>24</v>
      </c>
      <c r="H72" s="92" t="s">
        <v>22</v>
      </c>
      <c r="I72" s="92" t="s">
        <v>23</v>
      </c>
      <c r="J72" s="93"/>
      <c r="K72" s="92" t="s">
        <v>25</v>
      </c>
      <c r="L72" s="92" t="s">
        <v>22</v>
      </c>
      <c r="M72" s="92" t="s">
        <v>23</v>
      </c>
    </row>
    <row r="73" spans="1:13" s="101" customFormat="1" x14ac:dyDescent="0.2">
      <c r="A73" s="99"/>
      <c r="B73" s="99"/>
      <c r="C73" s="99"/>
      <c r="D73" s="99"/>
      <c r="E73" s="99"/>
      <c r="F73" s="100"/>
      <c r="G73" s="99"/>
      <c r="H73" s="99"/>
      <c r="I73" s="99"/>
      <c r="J73" s="100"/>
      <c r="K73" s="99"/>
      <c r="L73" s="99"/>
      <c r="M73" s="99"/>
    </row>
    <row r="74" spans="1:13" s="101" customFormat="1" x14ac:dyDescent="0.2">
      <c r="A74" s="121" t="s">
        <v>77</v>
      </c>
      <c r="B74" s="122">
        <f>+Facility!E125</f>
        <v>2.23791208790671</v>
      </c>
      <c r="C74" s="122">
        <f>+Facility!F125</f>
        <v>2.2580704771798801</v>
      </c>
      <c r="D74" s="122">
        <f>+C74-B74</f>
        <v>2.0158389273170041E-2</v>
      </c>
      <c r="E74" s="123">
        <f>+IF(D74=0,0,D74/C74)</f>
        <v>8.9272631110903118E-3</v>
      </c>
      <c r="F74" s="124"/>
      <c r="G74" s="122">
        <f>+Facility!N125</f>
        <v>2.11767631911618</v>
      </c>
      <c r="H74" s="122">
        <f>G74-B74</f>
        <v>-0.12023576879053</v>
      </c>
      <c r="I74" s="123">
        <f t="shared" ref="I74:I76" si="22">+IF(H74=0,0,IF(AND(G74=0,H74&gt;0),-100%,H74/G74))</f>
        <v>-5.6777217417584777E-2</v>
      </c>
      <c r="J74" s="124"/>
      <c r="K74" s="122">
        <f>+Facility!AE125</f>
        <v>2.0417697528152998</v>
      </c>
      <c r="L74" s="122">
        <f>+K74-B74</f>
        <v>-0.19614233509141021</v>
      </c>
      <c r="M74" s="123">
        <f t="shared" ref="M74:M76" si="23">+IF(L74=0,0,IF(AND(K74=0,L74&gt;0),-100%,L74/K74))</f>
        <v>-9.6064864718932594E-2</v>
      </c>
    </row>
    <row r="75" spans="1:13" s="101" customFormat="1" x14ac:dyDescent="0.2">
      <c r="A75" s="113" t="s">
        <v>78</v>
      </c>
      <c r="B75" s="125">
        <f>+Facility!E126</f>
        <v>2.2658354027138699</v>
      </c>
      <c r="C75" s="125">
        <f>+Facility!F126</f>
        <v>2.2142775509603898</v>
      </c>
      <c r="D75" s="125">
        <f>+C75-B75</f>
        <v>-5.1557851753480044E-2</v>
      </c>
      <c r="E75" s="114">
        <f>+IF(D75=0,0,D75/C75)</f>
        <v>-2.3284276955758351E-2</v>
      </c>
      <c r="F75" s="115"/>
      <c r="G75" s="125">
        <f>+Facility!N126</f>
        <v>2.0527258348645998</v>
      </c>
      <c r="H75" s="125">
        <f>G75-B75</f>
        <v>-0.21310956784927004</v>
      </c>
      <c r="I75" s="114">
        <f t="shared" si="22"/>
        <v>-0.10381784270929049</v>
      </c>
      <c r="J75" s="115"/>
      <c r="K75" s="125">
        <f>+Facility!AE126</f>
        <v>1.96754725624426</v>
      </c>
      <c r="L75" s="125">
        <f>+K75-B75</f>
        <v>-0.29828814646960988</v>
      </c>
      <c r="M75" s="114">
        <f t="shared" si="23"/>
        <v>-0.15160405704257152</v>
      </c>
    </row>
    <row r="76" spans="1:13" s="101" customFormat="1" x14ac:dyDescent="0.2">
      <c r="A76" s="99" t="s">
        <v>79</v>
      </c>
      <c r="B76" s="99">
        <f>Facility!E136</f>
        <v>190.59551282005501</v>
      </c>
      <c r="C76" s="99">
        <f>Facility!F136</f>
        <v>214.96830942752501</v>
      </c>
      <c r="D76" s="99">
        <f>+C76-B76</f>
        <v>24.372796607470008</v>
      </c>
      <c r="E76" s="97">
        <f>+IF(D76=0,0,D76/C76)</f>
        <v>0.11337855645967722</v>
      </c>
      <c r="F76" s="100"/>
      <c r="G76" s="89">
        <f>Facility!N136</f>
        <v>191.95711150698301</v>
      </c>
      <c r="H76" s="89">
        <f>G76-B76</f>
        <v>1.361598686928005</v>
      </c>
      <c r="I76" s="97">
        <f t="shared" si="22"/>
        <v>7.0932442994094168E-3</v>
      </c>
      <c r="J76" s="100"/>
      <c r="K76" s="89">
        <f>Facility!AE136</f>
        <v>230.651923076369</v>
      </c>
      <c r="L76" s="89">
        <f>+K76-B76</f>
        <v>40.056410256313995</v>
      </c>
      <c r="M76" s="97">
        <f t="shared" si="23"/>
        <v>0.17366605802393978</v>
      </c>
    </row>
    <row r="77" spans="1:13" s="101" customFormat="1" x14ac:dyDescent="0.2">
      <c r="A77" s="99"/>
      <c r="B77" s="99"/>
      <c r="C77" s="99"/>
      <c r="D77" s="99"/>
      <c r="E77" s="99"/>
      <c r="F77" s="100"/>
      <c r="G77" s="99"/>
      <c r="H77" s="99"/>
      <c r="I77" s="99"/>
      <c r="J77" s="100"/>
      <c r="K77" s="99"/>
      <c r="L77" s="99"/>
      <c r="M77" s="99"/>
    </row>
    <row r="78" spans="1:13" s="101" customFormat="1" x14ac:dyDescent="0.2">
      <c r="A78" s="99" t="s">
        <v>80</v>
      </c>
      <c r="B78" s="89">
        <f>+Facility!E138</f>
        <v>1389167.86</v>
      </c>
      <c r="C78" s="89">
        <f>+Facility!F138</f>
        <v>1516900.4750458018</v>
      </c>
      <c r="D78" s="89">
        <f>+C78-B78</f>
        <v>127732.61504580174</v>
      </c>
      <c r="E78" s="97">
        <f>+IF(D78=0,0,D78/C78)</f>
        <v>8.420632542945504E-2</v>
      </c>
      <c r="F78" s="100"/>
      <c r="G78" s="89">
        <f>+Facility!N138</f>
        <v>1420771.61</v>
      </c>
      <c r="H78" s="125">
        <f>G78-B78</f>
        <v>31603.75</v>
      </c>
      <c r="I78" s="97">
        <f t="shared" ref="I78:I79" si="24">+IF(H78=0,0,IF(AND(G78=0,H78&gt;0),-100%,H78/G78))</f>
        <v>2.2244074823539017E-2</v>
      </c>
      <c r="J78" s="100"/>
      <c r="K78" s="89">
        <f>+Facility!AE138</f>
        <v>1563692.6800000002</v>
      </c>
      <c r="L78" s="89">
        <f>+K78-B78</f>
        <v>174524.82000000007</v>
      </c>
      <c r="M78" s="97">
        <f t="shared" ref="M78:M79" si="25">+IF(L78=0,0,IF(AND(K78=0,L78&gt;0),-100%,L78/K78))</f>
        <v>0.11161069066333421</v>
      </c>
    </row>
    <row r="79" spans="1:13" s="101" customFormat="1" x14ac:dyDescent="0.2">
      <c r="A79" s="111" t="s">
        <v>81</v>
      </c>
      <c r="B79" s="149">
        <f>+Facility!E139</f>
        <v>42.633435428431135</v>
      </c>
      <c r="C79" s="149">
        <f>+Facility!F139</f>
        <v>41.275364869018837</v>
      </c>
      <c r="D79" s="149">
        <f>+C79-B79</f>
        <v>-1.3580705594122975</v>
      </c>
      <c r="E79" s="103">
        <f>+IF(D79=0,0,D79/C79)</f>
        <v>-3.2902690593334068E-2</v>
      </c>
      <c r="F79" s="112"/>
      <c r="G79" s="102">
        <f>+Facility!N139</f>
        <v>41.897479760795058</v>
      </c>
      <c r="H79" s="125">
        <f>G79-B79</f>
        <v>-0.73595566763607678</v>
      </c>
      <c r="I79" s="103">
        <f t="shared" si="24"/>
        <v>-1.7565630960092646E-2</v>
      </c>
      <c r="J79" s="112"/>
      <c r="K79" s="102">
        <f>+Facility!AE139</f>
        <v>39.65542402109962</v>
      </c>
      <c r="L79" s="102">
        <f>+K79-B79</f>
        <v>-2.9780114073315147</v>
      </c>
      <c r="M79" s="103">
        <f t="shared" si="25"/>
        <v>-7.5097202484759526E-2</v>
      </c>
    </row>
    <row r="80" spans="1:13" s="101" customFormat="1" x14ac:dyDescent="0.2">
      <c r="A80" s="99"/>
      <c r="B80" s="89"/>
      <c r="C80" s="89"/>
      <c r="D80" s="89"/>
      <c r="E80" s="99"/>
      <c r="F80" s="100"/>
      <c r="G80" s="89"/>
      <c r="H80" s="89"/>
      <c r="I80" s="99"/>
      <c r="J80" s="100"/>
      <c r="K80" s="89"/>
      <c r="L80" s="89"/>
      <c r="M80" s="99"/>
    </row>
    <row r="81" spans="1:13" s="101" customFormat="1" x14ac:dyDescent="0.2">
      <c r="A81" s="135" t="s">
        <v>82</v>
      </c>
      <c r="B81" s="136"/>
      <c r="C81" s="136"/>
      <c r="D81" s="136">
        <f>+Facility!K125</f>
        <v>-30602.842939102269</v>
      </c>
      <c r="E81" s="124"/>
      <c r="F81" s="124"/>
      <c r="G81" s="136"/>
      <c r="H81" s="136">
        <f>+Facility!R125</f>
        <v>-132680.56928654193</v>
      </c>
      <c r="I81" s="137"/>
      <c r="J81" s="124"/>
      <c r="K81" s="136"/>
      <c r="L81" s="136">
        <f>+Facility!AJ125</f>
        <v>-170104.04159445089</v>
      </c>
      <c r="M81" s="137"/>
    </row>
    <row r="82" spans="1:13" s="101" customFormat="1" x14ac:dyDescent="0.2">
      <c r="A82" s="138" t="s">
        <v>83</v>
      </c>
      <c r="B82" s="139"/>
      <c r="C82" s="139"/>
      <c r="D82" s="139">
        <f>+Facility!K126</f>
        <v>-44251.37110788998</v>
      </c>
      <c r="E82" s="118"/>
      <c r="F82" s="118"/>
      <c r="G82" s="139"/>
      <c r="H82" s="139">
        <f>+Facility!R126</f>
        <v>21525.869876604782</v>
      </c>
      <c r="I82" s="140"/>
      <c r="J82" s="118"/>
      <c r="K82" s="139"/>
      <c r="L82" s="139">
        <f>+Facility!AJ126</f>
        <v>-97035.52369648988</v>
      </c>
      <c r="M82" s="140"/>
    </row>
    <row r="83" spans="1:13" s="101" customFormat="1" x14ac:dyDescent="0.2">
      <c r="A83" s="141" t="s">
        <v>65</v>
      </c>
      <c r="B83" s="142"/>
      <c r="C83" s="142"/>
      <c r="D83" s="142">
        <f>+SUM(D81:D82)</f>
        <v>-74854.214046992245</v>
      </c>
      <c r="E83" s="115"/>
      <c r="F83" s="115"/>
      <c r="G83" s="142"/>
      <c r="H83" s="142">
        <f>+SUM(H81:H82)</f>
        <v>-111154.69940993714</v>
      </c>
      <c r="I83" s="143"/>
      <c r="J83" s="115"/>
      <c r="K83" s="142"/>
      <c r="L83" s="142">
        <f>+SUM(L81:L82)</f>
        <v>-267139.56529094075</v>
      </c>
      <c r="M83" s="143"/>
    </row>
    <row r="84" spans="1:13" s="101" customFormat="1" x14ac:dyDescent="0.2">
      <c r="A84" s="99"/>
      <c r="B84" s="89"/>
      <c r="C84" s="89"/>
      <c r="D84" s="89"/>
      <c r="E84" s="99"/>
      <c r="F84" s="100"/>
      <c r="G84" s="89"/>
      <c r="H84" s="89"/>
      <c r="I84" s="99"/>
      <c r="J84" s="100"/>
      <c r="K84" s="89"/>
      <c r="L84" s="89"/>
      <c r="M84" s="99"/>
    </row>
    <row r="85" spans="1:13" s="101" customFormat="1" x14ac:dyDescent="0.2">
      <c r="A85" s="99" t="s">
        <v>84</v>
      </c>
      <c r="B85" s="89">
        <f>+Facility!E166</f>
        <v>87018.35</v>
      </c>
      <c r="C85" s="89">
        <f>+Facility!F166</f>
        <v>105597.27889602901</v>
      </c>
      <c r="D85" s="89">
        <f>+C85-B85</f>
        <v>18578.928896029</v>
      </c>
      <c r="E85" s="97">
        <f>+IF(D85=0,0,D85/C85)</f>
        <v>0.17594136032919747</v>
      </c>
      <c r="F85" s="100"/>
      <c r="G85" s="89">
        <f>+Facility!N166</f>
        <v>73808.649999999994</v>
      </c>
      <c r="H85" s="89">
        <f>G85-B85</f>
        <v>-13209.700000000012</v>
      </c>
      <c r="I85" s="97">
        <f t="shared" ref="I85:I86" si="26">+IF(H85=0,0,IF(AND(G85=0,H85&gt;0),-100%,H85/G85))</f>
        <v>-0.17897224783274066</v>
      </c>
      <c r="J85" s="100"/>
      <c r="K85" s="89">
        <f>+Facility!AE166</f>
        <v>93424.61</v>
      </c>
      <c r="L85" s="89">
        <f>+K85-B85</f>
        <v>6406.2599999999948</v>
      </c>
      <c r="M85" s="97">
        <f t="shared" ref="M85:M86" si="27">+IF(L85=0,0,IF(AND(K85=0,L85&gt;0),-100%,L85/K85))</f>
        <v>6.8571439581069649E-2</v>
      </c>
    </row>
    <row r="86" spans="1:13" s="101" customFormat="1" x14ac:dyDescent="0.2">
      <c r="A86" s="99" t="s">
        <v>85</v>
      </c>
      <c r="B86" s="89">
        <f>+B85/B14</f>
        <v>34.058062622309201</v>
      </c>
      <c r="C86" s="89">
        <f>+C85/C14</f>
        <v>36.973837148469542</v>
      </c>
      <c r="D86" s="89">
        <f>+C86-B86</f>
        <v>2.9157745261603409</v>
      </c>
      <c r="E86" s="97">
        <f>+IF(D86=0,0,D86/C86)</f>
        <v>7.8860479491267343E-2</v>
      </c>
      <c r="F86" s="100"/>
      <c r="G86" s="89">
        <f>+G85/G14</f>
        <v>26.266423487544483</v>
      </c>
      <c r="H86" s="89">
        <f t="shared" ref="H86" si="28">G86-B86</f>
        <v>-7.7916391347647185</v>
      </c>
      <c r="I86" s="97">
        <f t="shared" si="26"/>
        <v>-0.29663875397651712</v>
      </c>
      <c r="J86" s="100"/>
      <c r="K86" s="89">
        <f>+K85/K14</f>
        <v>27.567013868397758</v>
      </c>
      <c r="L86" s="89">
        <f>+K86-B86</f>
        <v>-6.4910487539114428</v>
      </c>
      <c r="M86" s="97">
        <f t="shared" si="27"/>
        <v>-0.23546434100186106</v>
      </c>
    </row>
    <row r="87" spans="1:13" s="101" customFormat="1" x14ac:dyDescent="0.2">
      <c r="A87" s="99"/>
      <c r="B87" s="89"/>
      <c r="C87" s="89"/>
      <c r="D87" s="89"/>
      <c r="E87" s="99"/>
      <c r="F87" s="100"/>
      <c r="G87" s="89"/>
      <c r="H87" s="89"/>
      <c r="I87" s="99"/>
      <c r="J87" s="100"/>
      <c r="K87" s="89"/>
      <c r="L87" s="89"/>
      <c r="M87" s="99"/>
    </row>
    <row r="88" spans="1:13" s="101" customFormat="1" x14ac:dyDescent="0.2">
      <c r="A88" s="135" t="s">
        <v>63</v>
      </c>
      <c r="B88" s="136"/>
      <c r="C88" s="136"/>
      <c r="D88" s="136">
        <f>+Facility!K169</f>
        <v>11129.124981689332</v>
      </c>
      <c r="E88" s="124"/>
      <c r="F88" s="124"/>
      <c r="G88" s="136"/>
      <c r="H88" s="136">
        <f>+Facility!R169</f>
        <v>6697.9379893238429</v>
      </c>
      <c r="I88" s="137"/>
      <c r="J88" s="124"/>
      <c r="K88" s="136"/>
      <c r="L88" s="136">
        <f>+Facility!AJ169</f>
        <v>22990.889566243732</v>
      </c>
      <c r="M88" s="137"/>
    </row>
    <row r="89" spans="1:13" s="101" customFormat="1" x14ac:dyDescent="0.2">
      <c r="A89" s="138" t="s">
        <v>64</v>
      </c>
      <c r="B89" s="139"/>
      <c r="C89" s="139"/>
      <c r="D89" s="139">
        <f>+Facility!K170</f>
        <v>7449.8039143396709</v>
      </c>
      <c r="E89" s="118"/>
      <c r="F89" s="118"/>
      <c r="G89" s="139"/>
      <c r="H89" s="139">
        <f>+Facility!R170</f>
        <v>-19907.637989323855</v>
      </c>
      <c r="I89" s="140"/>
      <c r="J89" s="118"/>
      <c r="K89" s="139"/>
      <c r="L89" s="139">
        <f>+Facility!AJ170</f>
        <v>-16584.629566243737</v>
      </c>
      <c r="M89" s="140"/>
    </row>
    <row r="90" spans="1:13" s="101" customFormat="1" x14ac:dyDescent="0.2">
      <c r="A90" s="141" t="s">
        <v>65</v>
      </c>
      <c r="B90" s="142"/>
      <c r="C90" s="142"/>
      <c r="D90" s="142">
        <f>+SUM(D88:D89)</f>
        <v>18578.928896029003</v>
      </c>
      <c r="E90" s="115"/>
      <c r="F90" s="115"/>
      <c r="G90" s="142"/>
      <c r="H90" s="142">
        <f>+SUM(H88:H89)</f>
        <v>-13209.700000000012</v>
      </c>
      <c r="I90" s="143"/>
      <c r="J90" s="115"/>
      <c r="K90" s="142"/>
      <c r="L90" s="142">
        <f>+SUM(L88:L89)</f>
        <v>6406.2599999999948</v>
      </c>
      <c r="M90" s="143"/>
    </row>
    <row r="91" spans="1:13" s="101" customFormat="1" x14ac:dyDescent="0.2">
      <c r="A91" s="99"/>
      <c r="B91" s="89"/>
      <c r="C91" s="89"/>
      <c r="D91" s="89"/>
      <c r="E91" s="99"/>
      <c r="F91" s="100"/>
      <c r="G91" s="89"/>
      <c r="H91" s="89"/>
      <c r="I91" s="99"/>
      <c r="J91" s="100"/>
      <c r="K91" s="89"/>
      <c r="L91" s="89"/>
      <c r="M91" s="99"/>
    </row>
    <row r="92" spans="1:13" s="101" customFormat="1" x14ac:dyDescent="0.2">
      <c r="A92" s="99" t="s">
        <v>86</v>
      </c>
      <c r="B92" s="89">
        <f>+Facility!E180</f>
        <v>156895.54</v>
      </c>
      <c r="C92" s="89">
        <f>+Facility!F180</f>
        <v>168869.76233432401</v>
      </c>
      <c r="D92" s="89">
        <f>+C92-B92</f>
        <v>11974.222334324004</v>
      </c>
      <c r="E92" s="97">
        <f>+IF(D92=0,0,D92/C92)</f>
        <v>7.090803095119981E-2</v>
      </c>
      <c r="F92" s="100"/>
      <c r="G92" s="89">
        <f>+Facility!N180</f>
        <v>144545.62</v>
      </c>
      <c r="H92" s="89">
        <f t="shared" ref="H92:H94" si="29">G92-B92</f>
        <v>-12349.920000000013</v>
      </c>
      <c r="I92" s="97">
        <f t="shared" ref="I92:I94" si="30">+IF(H92=0,0,IF(AND(G92=0,H92&gt;0),-100%,H92/G92))</f>
        <v>-8.5439600314419856E-2</v>
      </c>
      <c r="J92" s="100"/>
      <c r="K92" s="89">
        <f>+Facility!AE180</f>
        <v>156596.23000000001</v>
      </c>
      <c r="L92" s="89">
        <f>+K92-B92</f>
        <v>-299.30999999999767</v>
      </c>
      <c r="M92" s="97">
        <f t="shared" ref="M92:M94" si="31">+IF(L92=0,0,IF(AND(K92=0,L92&gt;0),-100%,L92/K92))</f>
        <v>-1.9113486959424096E-3</v>
      </c>
    </row>
    <row r="93" spans="1:13" s="101" customFormat="1" x14ac:dyDescent="0.2">
      <c r="A93" s="99" t="s">
        <v>87</v>
      </c>
      <c r="B93" s="89">
        <f>+Facility!E189</f>
        <v>98950</v>
      </c>
      <c r="C93" s="89">
        <f>+Facility!F189</f>
        <v>87492.5</v>
      </c>
      <c r="D93" s="89">
        <f>+C93-B93</f>
        <v>-11457.5</v>
      </c>
      <c r="E93" s="97">
        <f>+IF(D93=0,0,D93/C93)</f>
        <v>-0.13095408177843815</v>
      </c>
      <c r="F93" s="100"/>
      <c r="G93" s="89">
        <f>+Facility!N189</f>
        <v>106400.11</v>
      </c>
      <c r="H93" s="89">
        <f t="shared" si="29"/>
        <v>7450.1100000000006</v>
      </c>
      <c r="I93" s="97">
        <f t="shared" si="30"/>
        <v>7.001975843821967E-2</v>
      </c>
      <c r="J93" s="100"/>
      <c r="K93" s="89">
        <f>+Facility!AE189</f>
        <v>76789</v>
      </c>
      <c r="L93" s="89">
        <f>+K93-B93</f>
        <v>-22161</v>
      </c>
      <c r="M93" s="97">
        <f t="shared" si="31"/>
        <v>-0.28859602286785868</v>
      </c>
    </row>
    <row r="94" spans="1:13" s="101" customFormat="1" x14ac:dyDescent="0.2">
      <c r="A94" s="99" t="s">
        <v>88</v>
      </c>
      <c r="B94" s="89">
        <f>+SUM(Facility!E201:E211)</f>
        <v>1061698.58</v>
      </c>
      <c r="C94" s="89">
        <f>+SUM(Facility!F201:F211)</f>
        <v>961963.56356920104</v>
      </c>
      <c r="D94" s="89">
        <f>+C94-B94</f>
        <v>-99735.016430799034</v>
      </c>
      <c r="E94" s="97">
        <f>+IF(D94=0,0,D94/C94)</f>
        <v>-0.1036785801540646</v>
      </c>
      <c r="F94" s="100"/>
      <c r="G94" s="89">
        <f>+SUM(Facility!N201:N211)</f>
        <v>849496.98</v>
      </c>
      <c r="H94" s="89">
        <f t="shared" si="29"/>
        <v>-212201.60000000009</v>
      </c>
      <c r="I94" s="97">
        <f t="shared" si="30"/>
        <v>-0.24979676796496686</v>
      </c>
      <c r="J94" s="100"/>
      <c r="K94" s="89">
        <f>+SUM(Facility!AE201:AE211)</f>
        <v>718583.84000000008</v>
      </c>
      <c r="L94" s="89">
        <f>+K94-B94</f>
        <v>-343114.74</v>
      </c>
      <c r="M94" s="97">
        <f t="shared" si="31"/>
        <v>-0.47748741469053901</v>
      </c>
    </row>
    <row r="95" spans="1:13" s="101" customFormat="1" x14ac:dyDescent="0.2">
      <c r="A95" s="99"/>
      <c r="B95" s="89"/>
      <c r="C95" s="89"/>
      <c r="D95" s="89"/>
      <c r="E95" s="99"/>
      <c r="F95" s="100"/>
      <c r="G95" s="89"/>
      <c r="H95" s="89"/>
      <c r="I95" s="99"/>
      <c r="J95" s="100"/>
      <c r="K95" s="89"/>
      <c r="L95" s="89"/>
      <c r="M95" s="99"/>
    </row>
    <row r="96" spans="1:13" s="130" customFormat="1" x14ac:dyDescent="0.2">
      <c r="A96" s="126" t="s">
        <v>89</v>
      </c>
      <c r="B96" s="127">
        <f>+Facility!E215</f>
        <v>3118170.97</v>
      </c>
      <c r="C96" s="127">
        <f>+Facility!F215</f>
        <v>2862384.9490377721</v>
      </c>
      <c r="D96" s="127">
        <f>+B96-C96</f>
        <v>255786.02096222807</v>
      </c>
      <c r="E96" s="128">
        <f>+IF(D96=0,0,D96/C96)</f>
        <v>8.9361153554211453E-2</v>
      </c>
      <c r="F96" s="129"/>
      <c r="G96" s="127">
        <f>+Facility!N215</f>
        <v>840668.21</v>
      </c>
      <c r="H96" s="127">
        <f>B96-G96</f>
        <v>2277502.7600000002</v>
      </c>
      <c r="I96" s="128">
        <f>+IF(H96=0,0,IF(AND(G96=0,H96&gt;0),-100%,H96/G96))</f>
        <v>2.7091577068199122</v>
      </c>
      <c r="J96" s="129"/>
      <c r="K96" s="127">
        <f>+Facility!AE215</f>
        <v>1146482.02</v>
      </c>
      <c r="L96" s="127">
        <f>+B96-K96</f>
        <v>1971688.9500000002</v>
      </c>
      <c r="M96" s="128">
        <f>+IF(L96=0,0,IF(AND(K96=0,L96&gt;0),-100%,L96/K96))</f>
        <v>1.7197731107898231</v>
      </c>
    </row>
    <row r="97" spans="1:13" s="134" customFormat="1" ht="13.5" thickBot="1" x14ac:dyDescent="0.25">
      <c r="A97" s="131" t="s">
        <v>90</v>
      </c>
      <c r="B97" s="132">
        <f>+B96/B44</f>
        <v>0.52743961912895942</v>
      </c>
      <c r="C97" s="132">
        <f>+C96/C44</f>
        <v>0.50189028413420467</v>
      </c>
      <c r="D97" s="132">
        <f>+B97-C97</f>
        <v>2.5549334994754758E-2</v>
      </c>
      <c r="E97" s="131"/>
      <c r="F97" s="133"/>
      <c r="G97" s="132">
        <f>+G96/G44</f>
        <v>0.24468677944447845</v>
      </c>
      <c r="H97" s="132">
        <f>+B97-G97</f>
        <v>0.28275283968448095</v>
      </c>
      <c r="I97" s="132"/>
      <c r="J97" s="133"/>
      <c r="K97" s="132">
        <f>+K96/K44</f>
        <v>0.30527523506308785</v>
      </c>
      <c r="L97" s="132">
        <f>+B97-K97</f>
        <v>0.22216438406587158</v>
      </c>
      <c r="M97" s="131"/>
    </row>
    <row r="98" spans="1:13" ht="13.5" thickTop="1" x14ac:dyDescent="0.2"/>
    <row r="101" spans="1:13" x14ac:dyDescent="0.2">
      <c r="B101" s="146"/>
    </row>
  </sheetData>
  <printOptions horizontalCentered="1"/>
  <pageMargins left="0.7" right="0.7" top="0.75" bottom="0.75" header="0.3" footer="0.3"/>
  <pageSetup fitToHeight="3" orientation="landscape" r:id="rId1"/>
  <rowBreaks count="1" manualBreakCount="1">
    <brk id="70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1125-42B5-470A-ABEC-A8EB41669036}">
  <dimension ref="A1:K98"/>
  <sheetViews>
    <sheetView zoomScaleNormal="100" zoomScaleSheetLayoutView="100" workbookViewId="0">
      <pane ySplit="3" topLeftCell="A4" activePane="bottomLeft" state="frozen"/>
      <selection activeCell="B2" sqref="B2"/>
      <selection pane="bottomLeft" activeCell="D51" sqref="D51"/>
    </sheetView>
  </sheetViews>
  <sheetFormatPr defaultColWidth="9.140625" defaultRowHeight="12.75" outlineLevelRow="1" x14ac:dyDescent="0.2"/>
  <cols>
    <col min="1" max="1" width="27.140625" style="89" bestFit="1" customWidth="1"/>
    <col min="2" max="2" width="12.28515625" style="89" customWidth="1"/>
    <col min="3" max="3" width="12.5703125" style="89" customWidth="1"/>
    <col min="4" max="5" width="10.7109375" style="89" customWidth="1"/>
    <col min="6" max="6" width="0.85546875" style="90" customWidth="1"/>
    <col min="7" max="9" width="10.7109375" style="89" customWidth="1"/>
    <col min="10" max="10" width="9.140625" style="91"/>
    <col min="11" max="11" width="10" style="91" bestFit="1" customWidth="1"/>
    <col min="12" max="16384" width="9.140625" style="91"/>
  </cols>
  <sheetData>
    <row r="1" spans="1:11" x14ac:dyDescent="0.2">
      <c r="A1" s="88" t="s">
        <v>91</v>
      </c>
      <c r="B1" s="89" t="str">
        <f>+Facility!B6</f>
        <v>Acute_DIV1 - Highland Hospital</v>
      </c>
    </row>
    <row r="2" spans="1:11" x14ac:dyDescent="0.2">
      <c r="A2" s="88"/>
    </row>
    <row r="3" spans="1:11" s="94" customFormat="1" ht="13.5" thickBot="1" x14ac:dyDescent="0.25">
      <c r="A3" s="92"/>
      <c r="B3" s="92" t="s">
        <v>11</v>
      </c>
      <c r="C3" s="92" t="s">
        <v>0</v>
      </c>
      <c r="D3" s="92" t="s">
        <v>22</v>
      </c>
      <c r="E3" s="92" t="s">
        <v>23</v>
      </c>
      <c r="F3" s="93"/>
      <c r="G3" s="92" t="s">
        <v>92</v>
      </c>
      <c r="H3" s="92" t="s">
        <v>22</v>
      </c>
      <c r="I3" s="92" t="s">
        <v>23</v>
      </c>
    </row>
    <row r="4" spans="1:11" s="94" customFormat="1" x14ac:dyDescent="0.2">
      <c r="A4" s="95"/>
      <c r="B4" s="95"/>
      <c r="C4" s="95"/>
      <c r="D4" s="95"/>
      <c r="E4" s="95"/>
      <c r="F4" s="96"/>
      <c r="G4" s="95"/>
      <c r="H4" s="95"/>
      <c r="I4" s="95"/>
    </row>
    <row r="5" spans="1:11" x14ac:dyDescent="0.2">
      <c r="A5" s="89" t="s">
        <v>26</v>
      </c>
      <c r="B5" s="89">
        <f>Facility!V8</f>
        <v>997</v>
      </c>
      <c r="C5" s="89">
        <f>Facility!W8</f>
        <v>1109.0407591369999</v>
      </c>
      <c r="D5" s="89">
        <f>+B5-C5</f>
        <v>-112.0407591369999</v>
      </c>
      <c r="E5" s="97">
        <f>+IF(D5=0,0,D5/C5)</f>
        <v>-0.10102492466028427</v>
      </c>
      <c r="G5" s="89">
        <f>+Facility!AM8</f>
        <v>858</v>
      </c>
      <c r="H5" s="89">
        <f>+B5-G5</f>
        <v>139</v>
      </c>
      <c r="I5" s="97">
        <f>+IF(H5=0,0,IF(AND(G5=0,H5&gt;0),-100%,H5/G5))</f>
        <v>0.16200466200466201</v>
      </c>
    </row>
    <row r="6" spans="1:11" x14ac:dyDescent="0.2">
      <c r="E6" s="97"/>
      <c r="I6" s="97"/>
    </row>
    <row r="7" spans="1:11" x14ac:dyDescent="0.2">
      <c r="A7" s="88" t="s">
        <v>27</v>
      </c>
      <c r="E7" s="97"/>
      <c r="I7" s="97"/>
    </row>
    <row r="8" spans="1:11" s="101" customFormat="1" x14ac:dyDescent="0.2">
      <c r="A8" s="98" t="s">
        <v>28</v>
      </c>
      <c r="B8" s="97">
        <f>+Facility!V10/Facility!V$8</f>
        <v>5.9177532597793382E-2</v>
      </c>
      <c r="C8" s="97">
        <f>+Facility!W10/Facility!W$8</f>
        <v>0.1230290180057711</v>
      </c>
      <c r="D8" s="97">
        <f>+B8-C8</f>
        <v>-6.3851485407977721E-2</v>
      </c>
      <c r="E8" s="99"/>
      <c r="F8" s="100"/>
      <c r="G8" s="97">
        <f>+Facility!AM10/Facility!AM$8</f>
        <v>9.4405594405594401E-2</v>
      </c>
      <c r="H8" s="97">
        <f>+B8-G8</f>
        <v>-3.5228061807801019E-2</v>
      </c>
      <c r="I8" s="99"/>
    </row>
    <row r="9" spans="1:11" s="101" customFormat="1" x14ac:dyDescent="0.2">
      <c r="A9" s="98" t="s">
        <v>29</v>
      </c>
      <c r="B9" s="97">
        <f>+Facility!V11/Facility!V$8</f>
        <v>0.74322968906720166</v>
      </c>
      <c r="C9" s="97">
        <f>+Facility!W11/Facility!W$8</f>
        <v>0.6504191025398488</v>
      </c>
      <c r="D9" s="97">
        <f>+B9-C9</f>
        <v>9.2810586527352856E-2</v>
      </c>
      <c r="E9" s="99"/>
      <c r="F9" s="100"/>
      <c r="G9" s="97">
        <f>+Facility!AM11/Facility!AM$8</f>
        <v>0.68414918414918413</v>
      </c>
      <c r="H9" s="97">
        <f>+B9-G9</f>
        <v>5.9080504918017529E-2</v>
      </c>
      <c r="I9" s="99"/>
    </row>
    <row r="10" spans="1:11" s="101" customFormat="1" x14ac:dyDescent="0.2">
      <c r="A10" s="98" t="s">
        <v>30</v>
      </c>
      <c r="B10" s="97">
        <f>+Facility!V12/Facility!V$8</f>
        <v>0.17352056168505517</v>
      </c>
      <c r="C10" s="97">
        <f>+Facility!W12/Facility!W$8</f>
        <v>0.21254438469820158</v>
      </c>
      <c r="D10" s="97">
        <f>+B10-C10</f>
        <v>-3.9023823013146414E-2</v>
      </c>
      <c r="E10" s="99"/>
      <c r="F10" s="100"/>
      <c r="G10" s="97">
        <f>+Facility!AM12/Facility!AM$8</f>
        <v>0.20163170163170163</v>
      </c>
      <c r="H10" s="97">
        <f>+B10-G10</f>
        <v>-2.8111139946646463E-2</v>
      </c>
      <c r="I10" s="99"/>
    </row>
    <row r="11" spans="1:11" s="101" customFormat="1" x14ac:dyDescent="0.2">
      <c r="A11" s="98" t="s">
        <v>31</v>
      </c>
      <c r="B11" s="97">
        <f>+Facility!V13/Facility!V$8</f>
        <v>1.0030090270812437E-2</v>
      </c>
      <c r="C11" s="97">
        <f>+Facility!W13/Facility!W$8</f>
        <v>2.4247598547167625E-3</v>
      </c>
      <c r="D11" s="97">
        <f>+B11-C11</f>
        <v>7.605330416095674E-3</v>
      </c>
      <c r="E11" s="99"/>
      <c r="F11" s="100"/>
      <c r="G11" s="97">
        <f>+Facility!AM13/Facility!AM$8</f>
        <v>5.8275058275058279E-3</v>
      </c>
      <c r="H11" s="97">
        <f>+B11-G11</f>
        <v>4.202584443306609E-3</v>
      </c>
      <c r="I11" s="99"/>
    </row>
    <row r="12" spans="1:11" s="101" customFormat="1" x14ac:dyDescent="0.2">
      <c r="A12" s="98" t="s">
        <v>32</v>
      </c>
      <c r="B12" s="97">
        <f>+Facility!V14/Facility!V$8</f>
        <v>1.4042126379137413E-2</v>
      </c>
      <c r="C12" s="97">
        <f>+Facility!W14/Facility!W$8</f>
        <v>1.1582734901461963E-2</v>
      </c>
      <c r="D12" s="97">
        <f>+B12-C12</f>
        <v>2.4593914776754495E-3</v>
      </c>
      <c r="E12" s="99"/>
      <c r="F12" s="100"/>
      <c r="G12" s="97">
        <f>+Facility!AM14/Facility!AM$8</f>
        <v>1.3986013986013986E-2</v>
      </c>
      <c r="H12" s="97">
        <f>+B12-G12</f>
        <v>5.6112393123426696E-5</v>
      </c>
      <c r="I12" s="99"/>
    </row>
    <row r="13" spans="1:11" x14ac:dyDescent="0.2">
      <c r="E13" s="97"/>
      <c r="I13" s="97"/>
    </row>
    <row r="14" spans="1:11" x14ac:dyDescent="0.2">
      <c r="A14" s="89" t="s">
        <v>33</v>
      </c>
      <c r="B14" s="89">
        <f>Facility!V29</f>
        <v>10382</v>
      </c>
      <c r="C14" s="89">
        <f>Facility!W29</f>
        <v>11113</v>
      </c>
      <c r="D14" s="89">
        <f>+B14-C14</f>
        <v>-731</v>
      </c>
      <c r="E14" s="97">
        <f>+IF(D14=0,0,D14/C14)</f>
        <v>-6.577881760100783E-2</v>
      </c>
      <c r="G14" s="89">
        <f>+Facility!AM29</f>
        <v>13089</v>
      </c>
      <c r="H14" s="89">
        <f>+B14-G14</f>
        <v>-2707</v>
      </c>
      <c r="I14" s="97">
        <f t="shared" ref="I14:I16" si="0">+IF(H14=0,0,IF(AND(G14=0,H14&gt;0),-100%,H14/G14))</f>
        <v>-0.20681488272595308</v>
      </c>
    </row>
    <row r="15" spans="1:11" x14ac:dyDescent="0.2">
      <c r="A15" s="89" t="s">
        <v>34</v>
      </c>
      <c r="B15" s="99">
        <f>Facility!V32</f>
        <v>10.413239719157501</v>
      </c>
      <c r="C15" s="99">
        <f>Facility!W32</f>
        <v>10.020371125627101</v>
      </c>
      <c r="D15" s="99">
        <f>+B15-C15</f>
        <v>0.39286859353039993</v>
      </c>
      <c r="E15" s="97">
        <f>+IF(D15=0,0,D15/C15)</f>
        <v>3.9206990300552684E-2</v>
      </c>
      <c r="G15" s="99">
        <f>+Facility!AM32</f>
        <v>15.255244755244799</v>
      </c>
      <c r="H15" s="99">
        <f>+B15-G15</f>
        <v>-4.8420050360872988</v>
      </c>
      <c r="I15" s="97">
        <f t="shared" si="0"/>
        <v>-0.31739936748131181</v>
      </c>
    </row>
    <row r="16" spans="1:11" x14ac:dyDescent="0.2">
      <c r="A16" s="89" t="s">
        <v>35</v>
      </c>
      <c r="B16" s="99">
        <f>Facility!V33</f>
        <v>86.516666666666694</v>
      </c>
      <c r="C16" s="99">
        <f>Facility!W33</f>
        <v>92.608333333333306</v>
      </c>
      <c r="D16" s="99">
        <f>+B16-C16</f>
        <v>-6.0916666666666117</v>
      </c>
      <c r="E16" s="97">
        <f>+IF(D16=0,0,D16/C16)</f>
        <v>-6.5778817601007261E-2</v>
      </c>
      <c r="G16" s="89">
        <f>+Facility!AM33</f>
        <v>109.075</v>
      </c>
      <c r="H16" s="89">
        <f>+B16-G16</f>
        <v>-22.558333333333309</v>
      </c>
      <c r="I16" s="97">
        <f t="shared" si="0"/>
        <v>-0.20681488272595286</v>
      </c>
      <c r="K16" s="145"/>
    </row>
    <row r="17" spans="1:9" x14ac:dyDescent="0.2">
      <c r="A17" s="89" t="s">
        <v>36</v>
      </c>
      <c r="B17" s="146">
        <f>Facility!V31</f>
        <v>1.3954301075268822</v>
      </c>
      <c r="C17" s="146">
        <f>Facility!W31</f>
        <v>1.4936827956989243</v>
      </c>
      <c r="D17" s="146">
        <f>+B17-C17</f>
        <v>-9.8252688172042024E-2</v>
      </c>
      <c r="G17" s="97">
        <f>+Facility!AM31</f>
        <v>0.79039855072463805</v>
      </c>
      <c r="H17" s="97">
        <f>+B17-G17</f>
        <v>0.60503155680224419</v>
      </c>
    </row>
    <row r="18" spans="1:9" x14ac:dyDescent="0.2">
      <c r="A18" s="102" t="s">
        <v>37</v>
      </c>
      <c r="B18" s="111">
        <f>Facility!AD34</f>
        <v>84.117104266166706</v>
      </c>
      <c r="C18" s="111">
        <f>Facility!AE34</f>
        <v>117.228149079706</v>
      </c>
      <c r="D18" s="111">
        <f>+B18-C18</f>
        <v>-33.111044813539294</v>
      </c>
      <c r="E18" s="103">
        <f>+IF(D18=0,0,D18/C18)</f>
        <v>-0.28244960850679612</v>
      </c>
      <c r="F18" s="104"/>
      <c r="G18" s="102">
        <f>Facility!AM34</f>
        <v>113.51515771359701</v>
      </c>
      <c r="H18" s="102">
        <f>+B18-G18</f>
        <v>-29.3980534474303</v>
      </c>
      <c r="I18" s="103">
        <f>+IF(H18=0,0,IF(AND(G18=0,H18&gt;0),-100%,H18/G18))</f>
        <v>-0.25897910058498697</v>
      </c>
    </row>
    <row r="19" spans="1:9" x14ac:dyDescent="0.2">
      <c r="B19" s="97"/>
      <c r="C19" s="97"/>
      <c r="D19" s="97"/>
      <c r="G19" s="97"/>
      <c r="H19" s="97"/>
    </row>
    <row r="20" spans="1:9" x14ac:dyDescent="0.2">
      <c r="A20" s="88" t="s">
        <v>38</v>
      </c>
      <c r="B20" s="97"/>
      <c r="C20" s="97"/>
      <c r="D20" s="97"/>
      <c r="G20" s="97"/>
      <c r="H20" s="97"/>
    </row>
    <row r="21" spans="1:9" s="101" customFormat="1" x14ac:dyDescent="0.2">
      <c r="A21" s="98" t="s">
        <v>39</v>
      </c>
      <c r="B21" s="97">
        <f>Facility!V55/Facility!V$33</f>
        <v>0</v>
      </c>
      <c r="C21" s="97">
        <f>Facility!W55/Facility!W$33</f>
        <v>0</v>
      </c>
      <c r="D21" s="97">
        <f t="shared" ref="D21:D31" si="1">+B21-C21</f>
        <v>0</v>
      </c>
      <c r="E21" s="99"/>
      <c r="F21" s="100"/>
      <c r="G21" s="97">
        <f>Facility!AM55/Facility!AM$33</f>
        <v>0</v>
      </c>
      <c r="H21" s="97">
        <f t="shared" ref="H21:H31" si="2">+B21-G21</f>
        <v>0</v>
      </c>
      <c r="I21" s="99"/>
    </row>
    <row r="22" spans="1:9" s="101" customFormat="1" x14ac:dyDescent="0.2">
      <c r="A22" s="98" t="s">
        <v>40</v>
      </c>
      <c r="B22" s="97">
        <f>Facility!V56/Facility!V$33</f>
        <v>0</v>
      </c>
      <c r="C22" s="97">
        <f>Facility!W56/Facility!W$33</f>
        <v>0</v>
      </c>
      <c r="D22" s="97">
        <f t="shared" si="1"/>
        <v>0</v>
      </c>
      <c r="E22" s="99"/>
      <c r="F22" s="100"/>
      <c r="G22" s="97">
        <f>Facility!AM56/Facility!AM$33</f>
        <v>0</v>
      </c>
      <c r="H22" s="97">
        <f t="shared" si="2"/>
        <v>0</v>
      </c>
      <c r="I22" s="99"/>
    </row>
    <row r="23" spans="1:9" s="101" customFormat="1" x14ac:dyDescent="0.2">
      <c r="A23" s="98" t="s">
        <v>41</v>
      </c>
      <c r="B23" s="146">
        <f>Facility!V57/Facility!V$33</f>
        <v>0.38595646310922777</v>
      </c>
      <c r="C23" s="146">
        <f>Facility!W57/Facility!W$33</f>
        <v>0.37262665346891</v>
      </c>
      <c r="D23" s="146">
        <f t="shared" si="1"/>
        <v>1.3329809640317769E-2</v>
      </c>
      <c r="E23" s="99"/>
      <c r="F23" s="100"/>
      <c r="G23" s="97">
        <f>Facility!AM57/Facility!AM$33</f>
        <v>0.41653296661318634</v>
      </c>
      <c r="H23" s="97">
        <f t="shared" si="2"/>
        <v>-3.0576503503958574E-2</v>
      </c>
      <c r="I23" s="99"/>
    </row>
    <row r="24" spans="1:9" s="101" customFormat="1" x14ac:dyDescent="0.2">
      <c r="A24" s="98" t="s">
        <v>42</v>
      </c>
      <c r="B24" s="146">
        <f>Facility!V58/Facility!V$33+0.397</f>
        <v>0.96596551724137913</v>
      </c>
      <c r="C24" s="146">
        <f>Facility!W58/Facility!W$33</f>
        <v>0.57995140826059555</v>
      </c>
      <c r="D24" s="146">
        <f t="shared" si="1"/>
        <v>0.38601410898078359</v>
      </c>
      <c r="E24" s="99"/>
      <c r="F24" s="100"/>
      <c r="G24" s="97">
        <f>Facility!AM58/Facility!AM$33</f>
        <v>0.37726335090534036</v>
      </c>
      <c r="H24" s="97">
        <f t="shared" si="2"/>
        <v>0.58870216633603878</v>
      </c>
      <c r="I24" s="99"/>
    </row>
    <row r="25" spans="1:9" s="101" customFormat="1" x14ac:dyDescent="0.2">
      <c r="A25" s="98" t="s">
        <v>43</v>
      </c>
      <c r="B25" s="97">
        <f>Facility!V59/Facility!V$33</f>
        <v>0</v>
      </c>
      <c r="C25" s="97">
        <f>Facility!W59/Facility!W$33</f>
        <v>0</v>
      </c>
      <c r="D25" s="97">
        <f t="shared" si="1"/>
        <v>0</v>
      </c>
      <c r="E25" s="99"/>
      <c r="F25" s="100"/>
      <c r="G25" s="97">
        <f>Facility!AM59/Facility!AM$33</f>
        <v>0</v>
      </c>
      <c r="H25" s="97">
        <f t="shared" si="2"/>
        <v>0</v>
      </c>
      <c r="I25" s="99"/>
    </row>
    <row r="26" spans="1:9" s="101" customFormat="1" x14ac:dyDescent="0.2">
      <c r="A26" s="98" t="s">
        <v>44</v>
      </c>
      <c r="B26" s="97">
        <f>Facility!V60/Facility!V$33-0.4</f>
        <v>-0.4</v>
      </c>
      <c r="C26" s="97">
        <f>Facility!W60/Facility!W$33</f>
        <v>0</v>
      </c>
      <c r="D26" s="97">
        <f t="shared" si="1"/>
        <v>-0.4</v>
      </c>
      <c r="E26" s="99"/>
      <c r="F26" s="100"/>
      <c r="G26" s="97">
        <f>Facility!AM60/Facility!AM$33</f>
        <v>0</v>
      </c>
      <c r="H26" s="97">
        <f t="shared" si="2"/>
        <v>-0.4</v>
      </c>
      <c r="I26" s="99"/>
    </row>
    <row r="27" spans="1:9" s="101" customFormat="1" x14ac:dyDescent="0.2">
      <c r="A27" s="98" t="s">
        <v>45</v>
      </c>
      <c r="B27" s="97">
        <f>Facility!V61/Facility!V$33</f>
        <v>0</v>
      </c>
      <c r="C27" s="97">
        <f>Facility!W61/Facility!W$33</f>
        <v>0</v>
      </c>
      <c r="D27" s="97">
        <f t="shared" si="1"/>
        <v>0</v>
      </c>
      <c r="E27" s="99"/>
      <c r="F27" s="100"/>
      <c r="G27" s="97">
        <f>Facility!AM61/Facility!AM$33</f>
        <v>0.16953166781266743</v>
      </c>
      <c r="H27" s="97">
        <f t="shared" si="2"/>
        <v>-0.16953166781266743</v>
      </c>
      <c r="I27" s="99"/>
    </row>
    <row r="28" spans="1:9" s="101" customFormat="1" x14ac:dyDescent="0.2">
      <c r="A28" s="98" t="s">
        <v>46</v>
      </c>
      <c r="B28" s="97">
        <f>Facility!V62/Facility!V$33</f>
        <v>4.5078019649393168E-2</v>
      </c>
      <c r="C28" s="97">
        <f>Facility!W62/Facility!W$33</f>
        <v>4.7421938270494068E-2</v>
      </c>
      <c r="D28" s="97">
        <f t="shared" si="1"/>
        <v>-2.3439186211009003E-3</v>
      </c>
      <c r="E28" s="99"/>
      <c r="F28" s="100"/>
      <c r="G28" s="97">
        <f>Facility!AM62/Facility!AM$33</f>
        <v>3.6672014668805868E-2</v>
      </c>
      <c r="H28" s="97">
        <f t="shared" si="2"/>
        <v>8.4060049805873005E-3</v>
      </c>
      <c r="I28" s="99"/>
    </row>
    <row r="29" spans="1:9" s="101" customFormat="1" hidden="1" outlineLevel="1" x14ac:dyDescent="0.2">
      <c r="A29" s="98" t="s">
        <v>47</v>
      </c>
      <c r="B29" s="97">
        <f>Facility!V63/Facility!V$33</f>
        <v>0</v>
      </c>
      <c r="C29" s="97">
        <f>Facility!W63/Facility!W$33</f>
        <v>0</v>
      </c>
      <c r="D29" s="97">
        <f t="shared" si="1"/>
        <v>0</v>
      </c>
      <c r="E29" s="99"/>
      <c r="F29" s="100"/>
      <c r="G29" s="97">
        <f>Facility!AM63/Facility!AM$33</f>
        <v>0</v>
      </c>
      <c r="H29" s="97">
        <f t="shared" si="2"/>
        <v>0</v>
      </c>
      <c r="I29" s="99"/>
    </row>
    <row r="30" spans="1:9" s="101" customFormat="1" hidden="1" outlineLevel="1" x14ac:dyDescent="0.2">
      <c r="A30" s="98" t="s">
        <v>48</v>
      </c>
      <c r="B30" s="97">
        <f>Facility!V64/Facility!V$33</f>
        <v>0</v>
      </c>
      <c r="C30" s="97">
        <f>Facility!W64/Facility!W$33</f>
        <v>0</v>
      </c>
      <c r="D30" s="97">
        <f t="shared" si="1"/>
        <v>0</v>
      </c>
      <c r="E30" s="99"/>
      <c r="F30" s="100"/>
      <c r="G30" s="97">
        <f>Facility!AM64/Facility!AM$33</f>
        <v>0</v>
      </c>
      <c r="H30" s="97">
        <f t="shared" si="2"/>
        <v>0</v>
      </c>
      <c r="I30" s="99"/>
    </row>
    <row r="31" spans="1:9" s="101" customFormat="1" hidden="1" outlineLevel="1" x14ac:dyDescent="0.2">
      <c r="A31" s="98" t="s">
        <v>49</v>
      </c>
      <c r="B31" s="97">
        <f>Facility!V65/Facility!V$33</f>
        <v>0</v>
      </c>
      <c r="C31" s="97">
        <f>Facility!W65/Facility!W$33</f>
        <v>0</v>
      </c>
      <c r="D31" s="97">
        <f t="shared" si="1"/>
        <v>0</v>
      </c>
      <c r="E31" s="99"/>
      <c r="F31" s="100"/>
      <c r="G31" s="97">
        <f>Facility!AM65/Facility!AM$33</f>
        <v>0</v>
      </c>
      <c r="H31" s="97">
        <f t="shared" si="2"/>
        <v>0</v>
      </c>
      <c r="I31" s="99"/>
    </row>
    <row r="32" spans="1:9" collapsed="1" x14ac:dyDescent="0.2">
      <c r="B32" s="97"/>
      <c r="C32" s="97"/>
      <c r="D32" s="97"/>
      <c r="G32" s="97"/>
      <c r="H32" s="97"/>
    </row>
    <row r="33" spans="1:9" x14ac:dyDescent="0.2">
      <c r="A33" s="102" t="s">
        <v>50</v>
      </c>
      <c r="B33" s="102">
        <f>Facility!V68</f>
        <v>0</v>
      </c>
      <c r="C33" s="102">
        <f>Facility!W68</f>
        <v>0</v>
      </c>
      <c r="D33" s="102">
        <f>+B33-C33</f>
        <v>0</v>
      </c>
      <c r="E33" s="103">
        <f>+IF(D33=0,0,D33/C33)</f>
        <v>0</v>
      </c>
      <c r="F33" s="104"/>
      <c r="G33" s="102">
        <f>+Facility!AM68</f>
        <v>0</v>
      </c>
      <c r="H33" s="102">
        <f>+B33-G33</f>
        <v>0</v>
      </c>
      <c r="I33" s="103">
        <f>+IF(H33=0,0,IF(AND(G33=0,H33&gt;0),-100%,H33/G33))</f>
        <v>0</v>
      </c>
    </row>
    <row r="35" spans="1:9" x14ac:dyDescent="0.2">
      <c r="A35" s="105" t="s">
        <v>51</v>
      </c>
    </row>
    <row r="36" spans="1:9" x14ac:dyDescent="0.2">
      <c r="A36" s="98" t="s">
        <v>52</v>
      </c>
      <c r="B36" s="97">
        <f>IF(Facility!V70=0,0,Facility!V70/Facility!V$68)</f>
        <v>0</v>
      </c>
      <c r="C36" s="97">
        <f>IF(Facility!W70=0,0,Facility!W70/Facility!W$68)</f>
        <v>0</v>
      </c>
      <c r="D36" s="97">
        <f>+B36-C36</f>
        <v>0</v>
      </c>
      <c r="G36" s="97">
        <f>IF(Facility!AM70=0,0,Facility!AM70/Facility!AM$68)</f>
        <v>0</v>
      </c>
      <c r="H36" s="97">
        <f>+B36-G36</f>
        <v>0</v>
      </c>
    </row>
    <row r="37" spans="1:9" x14ac:dyDescent="0.2">
      <c r="A37" s="98" t="s">
        <v>53</v>
      </c>
      <c r="B37" s="97">
        <f>IF(Facility!V71=0,0,Facility!V71/Facility!V$68)</f>
        <v>0</v>
      </c>
      <c r="C37" s="97">
        <f>IF(Facility!W71=0,0,Facility!W71/Facility!W$68)</f>
        <v>0</v>
      </c>
      <c r="D37" s="97">
        <f>+B37-C37</f>
        <v>0</v>
      </c>
      <c r="G37" s="97">
        <f>IF(Facility!AM71=0,0,Facility!AM71/Facility!AM$68)</f>
        <v>0</v>
      </c>
      <c r="H37" s="97">
        <f>+B37-G37</f>
        <v>0</v>
      </c>
    </row>
    <row r="38" spans="1:9" x14ac:dyDescent="0.2">
      <c r="A38" s="98" t="s">
        <v>54</v>
      </c>
      <c r="B38" s="97">
        <f>IF(Facility!V72=0,0,Facility!V72/Facility!V$68)</f>
        <v>0</v>
      </c>
      <c r="C38" s="97">
        <f>IF(Facility!W72=0,0,Facility!W72/Facility!W$68)</f>
        <v>0</v>
      </c>
      <c r="D38" s="97">
        <f>+B38-C38</f>
        <v>0</v>
      </c>
      <c r="G38" s="97">
        <f>IF(Facility!AM72=0,0,Facility!AM72/Facility!AM$68)</f>
        <v>0</v>
      </c>
      <c r="H38" s="97">
        <f>+B38-G38</f>
        <v>0</v>
      </c>
    </row>
    <row r="39" spans="1:9" x14ac:dyDescent="0.2">
      <c r="A39" s="98" t="s">
        <v>55</v>
      </c>
      <c r="B39" s="97">
        <f>IF(Facility!V73=0,0,Facility!V73/Facility!V$68)</f>
        <v>0</v>
      </c>
      <c r="C39" s="97">
        <f>IF(Facility!W73=0,0,Facility!W73/Facility!W$68)</f>
        <v>0</v>
      </c>
      <c r="D39" s="97">
        <f>+B39-C39</f>
        <v>0</v>
      </c>
      <c r="G39" s="97">
        <f>IF(Facility!AM73=0,0,Facility!AM73/Facility!AM$68)</f>
        <v>0</v>
      </c>
      <c r="H39" s="97">
        <f>+B39-G39</f>
        <v>0</v>
      </c>
    </row>
    <row r="40" spans="1:9" s="108" customFormat="1" x14ac:dyDescent="0.2">
      <c r="A40" s="106"/>
      <c r="B40" s="106"/>
      <c r="C40" s="106"/>
      <c r="D40" s="106"/>
      <c r="E40" s="106"/>
      <c r="F40" s="107"/>
      <c r="G40" s="106"/>
      <c r="H40" s="106"/>
      <c r="I40" s="106"/>
    </row>
    <row r="41" spans="1:9" x14ac:dyDescent="0.2">
      <c r="A41" s="109"/>
    </row>
    <row r="42" spans="1:9" ht="13.5" thickBot="1" x14ac:dyDescent="0.25">
      <c r="A42" s="110"/>
      <c r="B42" s="92" t="s">
        <v>11</v>
      </c>
      <c r="C42" s="92" t="s">
        <v>0</v>
      </c>
      <c r="D42" s="92" t="s">
        <v>22</v>
      </c>
      <c r="E42" s="92" t="s">
        <v>23</v>
      </c>
      <c r="F42" s="93"/>
      <c r="G42" s="92" t="s">
        <v>92</v>
      </c>
      <c r="H42" s="92" t="s">
        <v>22</v>
      </c>
      <c r="I42" s="92" t="s">
        <v>23</v>
      </c>
    </row>
    <row r="44" spans="1:9" s="101" customFormat="1" x14ac:dyDescent="0.2">
      <c r="A44" s="111" t="s">
        <v>56</v>
      </c>
      <c r="B44" s="200">
        <f>Facility!V78</f>
        <v>20656106.739999998</v>
      </c>
      <c r="C44" s="102">
        <f>Facility!W78</f>
        <v>22995023.918075956</v>
      </c>
      <c r="D44" s="102">
        <f>+B44-C44</f>
        <v>-2338917.178075958</v>
      </c>
      <c r="E44" s="103">
        <f>+IF(D44=0,0,D44/C44)</f>
        <v>-0.10171405719814795</v>
      </c>
      <c r="F44" s="112"/>
      <c r="G44" s="102">
        <f>+Facility!AM78</f>
        <v>14672443.859999999</v>
      </c>
      <c r="H44" s="102">
        <f>+B44-G44</f>
        <v>5983662.879999999</v>
      </c>
      <c r="I44" s="103">
        <f t="shared" ref="I44:I47" si="3">+IF(H44=0,0,IF(AND(G44=0,H44&gt;0),-100%,H44/G44))</f>
        <v>0.40781637586037417</v>
      </c>
    </row>
    <row r="45" spans="1:9" s="101" customFormat="1" x14ac:dyDescent="0.2">
      <c r="A45" s="98" t="s">
        <v>57</v>
      </c>
      <c r="B45" s="89">
        <f>Facility!AL87</f>
        <v>20393295.41</v>
      </c>
      <c r="C45" s="89">
        <f>Facility!AM87</f>
        <v>14061745.1</v>
      </c>
      <c r="D45" s="89">
        <f>+B45-C45</f>
        <v>6331550.3100000005</v>
      </c>
      <c r="E45" s="97">
        <f>+IF(D45=0,0,D45/C45)</f>
        <v>0.45026774877323017</v>
      </c>
      <c r="F45" s="100"/>
      <c r="G45" s="89">
        <f>Facility!AM87</f>
        <v>14061745.1</v>
      </c>
      <c r="H45" s="89">
        <f>+B45-G45</f>
        <v>6331550.3100000005</v>
      </c>
      <c r="I45" s="97">
        <f t="shared" si="3"/>
        <v>0.45026774877323017</v>
      </c>
    </row>
    <row r="46" spans="1:9" s="101" customFormat="1" x14ac:dyDescent="0.2">
      <c r="A46" s="98" t="s">
        <v>58</v>
      </c>
      <c r="B46" s="89">
        <f>Facility!AL88</f>
        <v>0</v>
      </c>
      <c r="C46" s="89">
        <f>Facility!AM88</f>
        <v>0</v>
      </c>
      <c r="D46" s="89">
        <f>+B46-C46</f>
        <v>0</v>
      </c>
      <c r="E46" s="97">
        <f>+IF(D46=0,0,D46/C46)</f>
        <v>0</v>
      </c>
      <c r="F46" s="100"/>
      <c r="G46" s="89">
        <f>Facility!AM88</f>
        <v>0</v>
      </c>
      <c r="H46" s="89">
        <f>+B46-G46</f>
        <v>0</v>
      </c>
      <c r="I46" s="97">
        <f t="shared" si="3"/>
        <v>0</v>
      </c>
    </row>
    <row r="47" spans="1:9" s="101" customFormat="1" x14ac:dyDescent="0.2">
      <c r="A47" s="98" t="s">
        <v>59</v>
      </c>
      <c r="B47" s="89">
        <f>Facility!AL89</f>
        <v>408004.82</v>
      </c>
      <c r="C47" s="89">
        <f>Facility!AM89</f>
        <v>589530.05000000005</v>
      </c>
      <c r="D47" s="89">
        <f>+B47-C47</f>
        <v>-181525.23000000004</v>
      </c>
      <c r="E47" s="97">
        <f>+IF(D47=0,0,D47/C47)</f>
        <v>-0.30791514359615768</v>
      </c>
      <c r="F47" s="100"/>
      <c r="G47" s="89">
        <f>Facility!AM89</f>
        <v>589530.05000000005</v>
      </c>
      <c r="H47" s="89">
        <f>+B47-G47</f>
        <v>-181525.23000000004</v>
      </c>
      <c r="I47" s="97">
        <f t="shared" si="3"/>
        <v>-0.30791514359615768</v>
      </c>
    </row>
    <row r="48" spans="1:9" s="101" customFormat="1" x14ac:dyDescent="0.2">
      <c r="A48" s="99"/>
      <c r="B48" s="89"/>
      <c r="C48" s="89"/>
      <c r="D48" s="89"/>
      <c r="E48" s="97"/>
      <c r="F48" s="100"/>
      <c r="G48" s="89"/>
      <c r="H48" s="89"/>
      <c r="I48" s="97"/>
    </row>
    <row r="49" spans="1:9" s="101" customFormat="1" x14ac:dyDescent="0.2">
      <c r="A49" s="99" t="s">
        <v>60</v>
      </c>
      <c r="B49" s="89">
        <f>Facility!V87/Facility!V29</f>
        <v>1964.2935282219225</v>
      </c>
      <c r="C49" s="89">
        <f>Facility!W87/Facility!W29</f>
        <v>2025.8359737313015</v>
      </c>
      <c r="D49" s="89">
        <f>+B49-C49</f>
        <v>-61.542445509378922</v>
      </c>
      <c r="E49" s="97">
        <f>+IF(D49=0,0,D49/C49)</f>
        <v>-3.0378789945183223E-2</v>
      </c>
      <c r="F49" s="100"/>
      <c r="G49" s="89">
        <f>Facility!AM87/Facility!AM29</f>
        <v>1074.3177553671021</v>
      </c>
      <c r="H49" s="89">
        <f>+B49-G49</f>
        <v>889.97577285482043</v>
      </c>
      <c r="I49" s="97">
        <f t="shared" ref="I49:I50" si="4">+IF(H49=0,0,IF(AND(G49=0,H49&gt;0),-100%,H49/G49))</f>
        <v>0.82841018721756987</v>
      </c>
    </row>
    <row r="50" spans="1:9" s="101" customFormat="1" x14ac:dyDescent="0.2">
      <c r="A50" s="99" t="s">
        <v>61</v>
      </c>
      <c r="B50" s="89">
        <f>IF(Facility!V68=0,0,Facility!V88/Facility!V68)</f>
        <v>0</v>
      </c>
      <c r="C50" s="89">
        <f>IF(Facility!W68=0,0,Facility!W88/Facility!W68)</f>
        <v>0</v>
      </c>
      <c r="D50" s="89">
        <f>+B50-C50</f>
        <v>0</v>
      </c>
      <c r="E50" s="97">
        <f>+IF(D50=0,0,D50/C50)</f>
        <v>0</v>
      </c>
      <c r="F50" s="100"/>
      <c r="G50" s="89">
        <f>IF(Facility!AM68=0,0,Facility!AM88/Facility!AM68)</f>
        <v>0</v>
      </c>
      <c r="H50" s="89">
        <f>+B50-G50</f>
        <v>0</v>
      </c>
      <c r="I50" s="97">
        <f t="shared" si="4"/>
        <v>0</v>
      </c>
    </row>
    <row r="51" spans="1:9" s="101" customFormat="1" x14ac:dyDescent="0.2">
      <c r="A51" s="99"/>
      <c r="B51" s="89"/>
      <c r="C51" s="89"/>
      <c r="D51" s="89"/>
      <c r="E51" s="97"/>
      <c r="F51" s="100"/>
      <c r="G51" s="89"/>
      <c r="H51" s="89"/>
      <c r="I51" s="97"/>
    </row>
    <row r="52" spans="1:9" s="101" customFormat="1" x14ac:dyDescent="0.2">
      <c r="A52" s="111" t="s">
        <v>62</v>
      </c>
      <c r="B52" s="149">
        <f>Facility!V115</f>
        <v>1989.6076613369291</v>
      </c>
      <c r="C52" s="149">
        <f>Facility!W115</f>
        <v>2069.2003885607805</v>
      </c>
      <c r="D52" s="149">
        <f>+B52-C52</f>
        <v>-79.592727223851398</v>
      </c>
      <c r="E52" s="103">
        <f>+IF(D52=0,0,D52/C52)</f>
        <v>-3.8465451516376155E-2</v>
      </c>
      <c r="F52" s="112"/>
      <c r="G52" s="102">
        <f>+Facility!AM115</f>
        <v>1120.9751592940636</v>
      </c>
      <c r="H52" s="102">
        <f>+B52-G52</f>
        <v>868.63250204286555</v>
      </c>
      <c r="I52" s="103">
        <f>+IF(H52=0,0,H52/G52)</f>
        <v>0.77489005428977453</v>
      </c>
    </row>
    <row r="53" spans="1:9" s="101" customFormat="1" x14ac:dyDescent="0.2">
      <c r="A53" s="99"/>
      <c r="B53" s="89"/>
      <c r="C53" s="89"/>
      <c r="D53" s="89"/>
      <c r="E53" s="99"/>
      <c r="F53" s="100"/>
      <c r="G53" s="89"/>
      <c r="H53" s="89"/>
      <c r="I53" s="99"/>
    </row>
    <row r="54" spans="1:9" s="101" customFormat="1" x14ac:dyDescent="0.2">
      <c r="A54" s="135" t="s">
        <v>63</v>
      </c>
      <c r="B54" s="136"/>
      <c r="C54" s="136"/>
      <c r="D54" s="136">
        <f>+Facility!AB77</f>
        <v>-1512585.4840379306</v>
      </c>
      <c r="E54" s="124"/>
      <c r="F54" s="124"/>
      <c r="G54" s="136"/>
      <c r="H54" s="136">
        <f>+Facility!AR77</f>
        <v>-3034479.7562090303</v>
      </c>
      <c r="I54" s="137"/>
    </row>
    <row r="55" spans="1:9" s="101" customFormat="1" x14ac:dyDescent="0.2">
      <c r="A55" s="138" t="s">
        <v>64</v>
      </c>
      <c r="B55" s="139"/>
      <c r="C55" s="139"/>
      <c r="D55" s="139">
        <f>+Facility!AB78</f>
        <v>-826331.69403802522</v>
      </c>
      <c r="E55" s="118"/>
      <c r="F55" s="118"/>
      <c r="G55" s="139"/>
      <c r="H55" s="139">
        <f>+Facility!AR78</f>
        <v>9018142.6362090297</v>
      </c>
      <c r="I55" s="140"/>
    </row>
    <row r="56" spans="1:9" s="101" customFormat="1" x14ac:dyDescent="0.2">
      <c r="A56" s="141" t="s">
        <v>65</v>
      </c>
      <c r="B56" s="142"/>
      <c r="C56" s="142"/>
      <c r="D56" s="142">
        <f>+SUM(D54:D55)</f>
        <v>-2338917.1780759557</v>
      </c>
      <c r="E56" s="115"/>
      <c r="F56" s="115"/>
      <c r="G56" s="142"/>
      <c r="H56" s="142">
        <f>+SUM(H54:H55)</f>
        <v>5983662.879999999</v>
      </c>
      <c r="I56" s="143"/>
    </row>
    <row r="57" spans="1:9" s="101" customFormat="1" x14ac:dyDescent="0.2">
      <c r="A57" s="99"/>
      <c r="B57" s="89"/>
      <c r="C57" s="89"/>
      <c r="D57" s="89"/>
      <c r="E57" s="99"/>
      <c r="F57" s="100"/>
      <c r="G57" s="89"/>
      <c r="H57" s="89"/>
      <c r="I57" s="99"/>
    </row>
    <row r="58" spans="1:9" s="101" customFormat="1" x14ac:dyDescent="0.2">
      <c r="A58" s="99" t="s">
        <v>66</v>
      </c>
      <c r="B58" s="89">
        <f>Facility!V108</f>
        <v>32448259.610000003</v>
      </c>
      <c r="C58" s="89">
        <f>Facility!W108</f>
        <v>35518306.859999999</v>
      </c>
      <c r="D58" s="89">
        <f>+B58-C58</f>
        <v>-3070047.2499999963</v>
      </c>
      <c r="E58" s="97">
        <f t="shared" ref="E58:E65" si="5">+IF(D58=0,0,D58/C58)</f>
        <v>-8.6435630563725482E-2</v>
      </c>
      <c r="F58" s="100"/>
      <c r="G58" s="89">
        <f>Facility!AM108</f>
        <v>34311558.880000003</v>
      </c>
      <c r="H58" s="89">
        <f t="shared" ref="H58:H65" si="6">+B58-G58</f>
        <v>-1863299.2699999996</v>
      </c>
      <c r="I58" s="97">
        <f t="shared" ref="I58:I61" si="7">+IF(H58=0,0,IF(AND(G58=0,H58&gt;0),-100%,H58/G58))</f>
        <v>-5.4305293342008579E-2</v>
      </c>
    </row>
    <row r="59" spans="1:9" s="101" customFormat="1" x14ac:dyDescent="0.2">
      <c r="A59" s="99" t="s">
        <v>67</v>
      </c>
      <c r="B59" s="89">
        <f>Facility!V109</f>
        <v>17753130.16</v>
      </c>
      <c r="C59" s="89">
        <f>Facility!W109</f>
        <v>20673623.443144403</v>
      </c>
      <c r="D59" s="89">
        <f>+B59-C59</f>
        <v>-2920493.2831444032</v>
      </c>
      <c r="E59" s="97">
        <f t="shared" si="5"/>
        <v>-0.14126663819606672</v>
      </c>
      <c r="F59" s="100"/>
      <c r="G59" s="89">
        <f>Facility!AM109</f>
        <v>18879962.239999998</v>
      </c>
      <c r="H59" s="89">
        <f t="shared" si="6"/>
        <v>-1126832.0799999982</v>
      </c>
      <c r="I59" s="97">
        <f t="shared" si="7"/>
        <v>-5.9684021910416614E-2</v>
      </c>
    </row>
    <row r="60" spans="1:9" s="101" customFormat="1" x14ac:dyDescent="0.2">
      <c r="A60" s="113" t="s">
        <v>68</v>
      </c>
      <c r="B60" s="106">
        <f>B58-B59</f>
        <v>14695129.450000003</v>
      </c>
      <c r="C60" s="106">
        <f>C58-C59</f>
        <v>14844683.416855596</v>
      </c>
      <c r="D60" s="106">
        <f>+B60-C60</f>
        <v>-149553.96685559303</v>
      </c>
      <c r="E60" s="114">
        <f t="shared" si="5"/>
        <v>-1.0074581091152134E-2</v>
      </c>
      <c r="F60" s="115"/>
      <c r="G60" s="106">
        <f>G58-G59</f>
        <v>15431596.640000004</v>
      </c>
      <c r="H60" s="106">
        <f t="shared" si="6"/>
        <v>-736467.19000000134</v>
      </c>
      <c r="I60" s="114">
        <f t="shared" si="7"/>
        <v>-4.7724626762924584E-2</v>
      </c>
    </row>
    <row r="61" spans="1:9" s="101" customFormat="1" x14ac:dyDescent="0.2">
      <c r="A61" s="99" t="s">
        <v>69</v>
      </c>
      <c r="B61" s="89">
        <f>Facility!V110</f>
        <v>-44028</v>
      </c>
      <c r="C61" s="89">
        <f>Facility!W110</f>
        <v>14366.120316855</v>
      </c>
      <c r="D61" s="89">
        <f t="shared" ref="D61:D69" si="8">+B61-C61</f>
        <v>-58394.120316854998</v>
      </c>
      <c r="E61" s="97">
        <f t="shared" si="5"/>
        <v>-4.0647105153605247</v>
      </c>
      <c r="F61" s="100"/>
      <c r="G61" s="89">
        <f>Facility!AM110</f>
        <v>13161.96</v>
      </c>
      <c r="H61" s="89">
        <f t="shared" si="6"/>
        <v>-57189.96</v>
      </c>
      <c r="I61" s="97">
        <f t="shared" si="7"/>
        <v>-4.3450944996034027</v>
      </c>
    </row>
    <row r="62" spans="1:9" s="101" customFormat="1" x14ac:dyDescent="0.2">
      <c r="A62" s="99" t="s">
        <v>70</v>
      </c>
      <c r="B62" s="89">
        <f>Facility!V111</f>
        <v>215261</v>
      </c>
      <c r="C62" s="89">
        <f>Facility!W111</f>
        <v>107745.90237641901</v>
      </c>
      <c r="D62" s="89">
        <f t="shared" si="8"/>
        <v>107515.09762358099</v>
      </c>
      <c r="E62" s="97">
        <f t="shared" si="5"/>
        <v>0.99785787906781198</v>
      </c>
      <c r="F62" s="100"/>
      <c r="G62" s="89">
        <f>Facility!AM111</f>
        <v>107171.17</v>
      </c>
      <c r="H62" s="89">
        <f t="shared" si="6"/>
        <v>108089.83</v>
      </c>
      <c r="I62" s="97">
        <f>+IF(H62=0,0,IF(AND(G62=0,H62&gt;0),-100%,H62/G62))</f>
        <v>1.0085718948482134</v>
      </c>
    </row>
    <row r="63" spans="1:9" s="101" customFormat="1" x14ac:dyDescent="0.2">
      <c r="A63" s="99" t="s">
        <v>71</v>
      </c>
      <c r="B63" s="89">
        <f>Facility!V112</f>
        <v>269192.32000000001</v>
      </c>
      <c r="C63" s="89">
        <f>Facility!W112</f>
        <v>143661.20316855499</v>
      </c>
      <c r="D63" s="89">
        <f t="shared" si="8"/>
        <v>125531.11683144502</v>
      </c>
      <c r="E63" s="97">
        <f t="shared" si="5"/>
        <v>0.8737997041843073</v>
      </c>
      <c r="F63" s="100"/>
      <c r="G63" s="89">
        <f>Facility!AM112</f>
        <v>239592.43</v>
      </c>
      <c r="H63" s="89">
        <f t="shared" si="6"/>
        <v>29599.890000000014</v>
      </c>
      <c r="I63" s="97">
        <f t="shared" ref="I63:I65" si="9">+IF(H63=0,0,IF(AND(G63=0,H63&gt;0),-100%,H63/G63))</f>
        <v>0.12354267620224903</v>
      </c>
    </row>
    <row r="64" spans="1:9" s="101" customFormat="1" x14ac:dyDescent="0.2">
      <c r="A64" s="99" t="s">
        <v>72</v>
      </c>
      <c r="B64" s="89">
        <f>Facility!V113</f>
        <v>-341605.79</v>
      </c>
      <c r="C64" s="89">
        <f>Facility!W113</f>
        <v>767503.80791781296</v>
      </c>
      <c r="D64" s="89">
        <f t="shared" si="8"/>
        <v>-1109109.5979178129</v>
      </c>
      <c r="E64" s="97">
        <f t="shared" si="5"/>
        <v>-1.4450867689200837</v>
      </c>
      <c r="F64" s="100"/>
      <c r="G64" s="89">
        <f>Facility!AM113</f>
        <v>429145.93</v>
      </c>
      <c r="H64" s="89">
        <f t="shared" si="6"/>
        <v>-770751.72</v>
      </c>
      <c r="I64" s="97">
        <f t="shared" si="9"/>
        <v>-1.7960131184280368</v>
      </c>
    </row>
    <row r="65" spans="1:9" s="101" customFormat="1" x14ac:dyDescent="0.2">
      <c r="A65" s="113" t="s">
        <v>73</v>
      </c>
      <c r="B65" s="106">
        <f>B60-SUM(B61:B64)</f>
        <v>14596309.920000004</v>
      </c>
      <c r="C65" s="106">
        <f>C60-SUM(C61:C64)</f>
        <v>13811406.383075954</v>
      </c>
      <c r="D65" s="106">
        <f t="shared" si="8"/>
        <v>784903.53692404926</v>
      </c>
      <c r="E65" s="114">
        <f t="shared" si="5"/>
        <v>5.6830095006533465E-2</v>
      </c>
      <c r="F65" s="115"/>
      <c r="G65" s="106">
        <f>G60-SUM(G61:G64)</f>
        <v>14642525.150000004</v>
      </c>
      <c r="H65" s="106">
        <f t="shared" si="6"/>
        <v>-46215.230000000447</v>
      </c>
      <c r="I65" s="114">
        <f t="shared" si="9"/>
        <v>-3.1562336090643788E-3</v>
      </c>
    </row>
    <row r="66" spans="1:9" s="101" customFormat="1" x14ac:dyDescent="0.2">
      <c r="A66" s="116"/>
      <c r="B66" s="199">
        <f>+B64/B60</f>
        <v>-2.3246191274619899E-2</v>
      </c>
      <c r="C66" s="199">
        <f>+C64/C60</f>
        <v>5.1702268506874344E-2</v>
      </c>
      <c r="D66" s="116"/>
      <c r="E66" s="117"/>
      <c r="F66" s="118"/>
      <c r="G66" s="116"/>
      <c r="H66" s="116"/>
      <c r="I66" s="117"/>
    </row>
    <row r="67" spans="1:9" s="101" customFormat="1" x14ac:dyDescent="0.2">
      <c r="A67" s="116" t="s">
        <v>74</v>
      </c>
      <c r="B67" s="180"/>
      <c r="C67" s="116"/>
      <c r="D67" s="116"/>
      <c r="E67" s="117"/>
      <c r="F67" s="118"/>
      <c r="G67" s="116"/>
      <c r="H67" s="116"/>
      <c r="I67" s="117"/>
    </row>
    <row r="68" spans="1:9" s="101" customFormat="1" x14ac:dyDescent="0.2">
      <c r="A68" s="119" t="s">
        <v>75</v>
      </c>
      <c r="B68" s="117">
        <f>B65/B60</f>
        <v>0.99327535491699948</v>
      </c>
      <c r="C68" s="117">
        <f>C65/C60</f>
        <v>0.9303941347373974</v>
      </c>
      <c r="D68" s="97">
        <f t="shared" si="8"/>
        <v>6.2881220179602071E-2</v>
      </c>
      <c r="E68" s="117"/>
      <c r="F68" s="118"/>
      <c r="G68" s="117">
        <f>G65/G60</f>
        <v>0.94886650368020509</v>
      </c>
      <c r="H68" s="97">
        <f>+B68-G68</f>
        <v>4.4408851236794389E-2</v>
      </c>
      <c r="I68" s="117"/>
    </row>
    <row r="69" spans="1:9" s="101" customFormat="1" x14ac:dyDescent="0.2">
      <c r="A69" s="98" t="s">
        <v>76</v>
      </c>
      <c r="B69" s="97">
        <f>SUM(B62:B64)/B60</f>
        <v>9.7207398196822274E-3</v>
      </c>
      <c r="C69" s="97">
        <f>SUM(C62:C64)/C60</f>
        <v>6.8638103275806522E-2</v>
      </c>
      <c r="D69" s="97">
        <f t="shared" si="8"/>
        <v>-5.8917363456124291E-2</v>
      </c>
      <c r="E69" s="99"/>
      <c r="F69" s="100"/>
      <c r="G69" s="97">
        <f>SUM(G62:G64)/G60</f>
        <v>5.0280573559626153E-2</v>
      </c>
      <c r="H69" s="97">
        <f>+B69-G69</f>
        <v>-4.0559833739943929E-2</v>
      </c>
      <c r="I69" s="99"/>
    </row>
    <row r="70" spans="1:9" s="120" customFormat="1" x14ac:dyDescent="0.2">
      <c r="A70" s="113"/>
      <c r="B70" s="113"/>
      <c r="C70" s="113"/>
      <c r="D70" s="113"/>
      <c r="E70" s="113"/>
      <c r="F70" s="115"/>
      <c r="G70" s="113"/>
      <c r="H70" s="113"/>
      <c r="I70" s="113"/>
    </row>
    <row r="71" spans="1:9" s="101" customFormat="1" x14ac:dyDescent="0.2">
      <c r="A71" s="99"/>
      <c r="B71" s="99"/>
      <c r="C71" s="99"/>
      <c r="D71" s="99"/>
      <c r="E71" s="99"/>
      <c r="F71" s="100"/>
      <c r="G71" s="99"/>
      <c r="H71" s="99"/>
      <c r="I71" s="99"/>
    </row>
    <row r="72" spans="1:9" s="101" customFormat="1" ht="13.5" thickBot="1" x14ac:dyDescent="0.25">
      <c r="A72" s="110"/>
      <c r="B72" s="92" t="s">
        <v>11</v>
      </c>
      <c r="C72" s="92" t="s">
        <v>0</v>
      </c>
      <c r="D72" s="92" t="s">
        <v>22</v>
      </c>
      <c r="E72" s="92" t="s">
        <v>23</v>
      </c>
      <c r="F72" s="93"/>
      <c r="G72" s="92" t="s">
        <v>92</v>
      </c>
      <c r="H72" s="92" t="s">
        <v>22</v>
      </c>
      <c r="I72" s="92" t="s">
        <v>23</v>
      </c>
    </row>
    <row r="73" spans="1:9" s="101" customFormat="1" x14ac:dyDescent="0.2">
      <c r="A73" s="99"/>
      <c r="B73" s="99"/>
      <c r="C73" s="99"/>
      <c r="D73" s="99"/>
      <c r="E73" s="99"/>
      <c r="F73" s="100"/>
      <c r="G73" s="99"/>
      <c r="H73" s="99"/>
      <c r="I73" s="99"/>
    </row>
    <row r="74" spans="1:9" s="101" customFormat="1" x14ac:dyDescent="0.2">
      <c r="A74" s="121" t="s">
        <v>77</v>
      </c>
      <c r="B74" s="122">
        <f>Facility!V125</f>
        <v>2.2581557369023901</v>
      </c>
      <c r="C74" s="122">
        <f>Facility!W125</f>
        <v>2.2234252204254799</v>
      </c>
      <c r="D74" s="122">
        <f>+C74-B74</f>
        <v>-3.4730516476910278E-2</v>
      </c>
      <c r="E74" s="123">
        <f>+IF(D74=0,0,D74/C74)</f>
        <v>-1.5620276390615091E-2</v>
      </c>
      <c r="F74" s="124"/>
      <c r="G74" s="122">
        <f>+Facility!AM125</f>
        <v>2.1155963683488501</v>
      </c>
      <c r="H74" s="122">
        <f>+G74-B74</f>
        <v>-0.14255936855354001</v>
      </c>
      <c r="I74" s="123">
        <f t="shared" ref="I74:I76" si="10">+IF(H74=0,0,IF(AND(G74=0,H74&gt;0),-100%,H74/G74))</f>
        <v>-6.7384956169499702E-2</v>
      </c>
    </row>
    <row r="75" spans="1:9" s="101" customFormat="1" x14ac:dyDescent="0.2">
      <c r="A75" s="113" t="s">
        <v>78</v>
      </c>
      <c r="B75" s="125">
        <f>Facility!V126</f>
        <v>2.2316730118521999</v>
      </c>
      <c r="C75" s="125">
        <f>Facility!W126</f>
        <v>2.1785996155290501</v>
      </c>
      <c r="D75" s="125">
        <f>+C75-B75</f>
        <v>-5.307339632314978E-2</v>
      </c>
      <c r="E75" s="114">
        <f>+IF(D75=0,0,D75/C75)</f>
        <v>-2.4361243775516531E-2</v>
      </c>
      <c r="F75" s="115"/>
      <c r="G75" s="125">
        <f>+Facility!AM126</f>
        <v>2.0328445867983902</v>
      </c>
      <c r="H75" s="125">
        <f>+G75-B75</f>
        <v>-0.19882842505380971</v>
      </c>
      <c r="I75" s="114">
        <f t="shared" si="10"/>
        <v>-9.780798116345564E-2</v>
      </c>
    </row>
    <row r="76" spans="1:9" s="101" customFormat="1" x14ac:dyDescent="0.2">
      <c r="A76" s="99" t="s">
        <v>79</v>
      </c>
      <c r="B76" s="99">
        <f>Facility!V136</f>
        <v>195.36810717100499</v>
      </c>
      <c r="C76" s="99">
        <f>Facility!W136</f>
        <v>205.90770395490301</v>
      </c>
      <c r="D76" s="99">
        <f>+C76-B76</f>
        <v>10.53959678389802</v>
      </c>
      <c r="E76" s="97">
        <f>+IF(D76=0,0,D76/C76)</f>
        <v>5.1186024521969103E-2</v>
      </c>
      <c r="F76" s="100"/>
      <c r="G76" s="89">
        <f>Facility!AM136</f>
        <v>230.75867387765001</v>
      </c>
      <c r="H76" s="89">
        <f>+G76-B76</f>
        <v>35.390566706645018</v>
      </c>
      <c r="I76" s="97">
        <f t="shared" si="10"/>
        <v>0.15336613836413951</v>
      </c>
    </row>
    <row r="77" spans="1:9" s="101" customFormat="1" x14ac:dyDescent="0.2">
      <c r="A77" s="99"/>
      <c r="B77" s="99"/>
      <c r="C77" s="99"/>
      <c r="D77" s="99"/>
      <c r="E77" s="99"/>
      <c r="F77" s="100"/>
      <c r="G77" s="99"/>
      <c r="H77" s="99"/>
      <c r="I77" s="99"/>
    </row>
    <row r="78" spans="1:9" s="101" customFormat="1" x14ac:dyDescent="0.2">
      <c r="A78" s="99" t="s">
        <v>80</v>
      </c>
      <c r="B78" s="89">
        <f>Facility!V138</f>
        <v>5674066.75</v>
      </c>
      <c r="C78" s="89">
        <f>Facility!W138</f>
        <v>5812139.070527073</v>
      </c>
      <c r="D78" s="89">
        <f>+C78-B78</f>
        <v>138072.320527073</v>
      </c>
      <c r="E78" s="97">
        <f>+IF(D78=0,0,D78/C78)</f>
        <v>2.3755852854111408E-2</v>
      </c>
      <c r="F78" s="100"/>
      <c r="G78" s="89">
        <f>+Facility!AM138</f>
        <v>6153598.7699999996</v>
      </c>
      <c r="H78" s="89">
        <f>+G78-B78</f>
        <v>479532.01999999955</v>
      </c>
      <c r="I78" s="97">
        <f t="shared" ref="I78:I79" si="11">+IF(H78=0,0,IF(AND(G78=0,H78&gt;0),-100%,H78/G78))</f>
        <v>7.7927085909112598E-2</v>
      </c>
    </row>
    <row r="79" spans="1:9" s="101" customFormat="1" x14ac:dyDescent="0.2">
      <c r="A79" s="111" t="s">
        <v>81</v>
      </c>
      <c r="B79" s="149">
        <f>Facility!V139</f>
        <v>42.470664411072271</v>
      </c>
      <c r="C79" s="149">
        <f>Facility!W139</f>
        <v>41.277338316314527</v>
      </c>
      <c r="D79" s="149">
        <f>+C79-B79</f>
        <v>-1.1933260947577438</v>
      </c>
      <c r="E79" s="103">
        <f>+IF(D79=0,0,D79/C79)</f>
        <v>-2.8909957459298957E-2</v>
      </c>
      <c r="F79" s="112"/>
      <c r="G79" s="102">
        <f>+Facility!AM139</f>
        <v>38.995942801376415</v>
      </c>
      <c r="H79" s="102">
        <f>+G79-B79</f>
        <v>-3.4747216096958553</v>
      </c>
      <c r="I79" s="103">
        <f t="shared" si="11"/>
        <v>-8.9104695516509222E-2</v>
      </c>
    </row>
    <row r="80" spans="1:9" s="101" customFormat="1" x14ac:dyDescent="0.2">
      <c r="A80" s="99"/>
      <c r="B80" s="89"/>
      <c r="C80" s="89"/>
      <c r="D80" s="89"/>
      <c r="E80" s="99"/>
      <c r="F80" s="100"/>
      <c r="G80" s="89"/>
      <c r="H80" s="89"/>
      <c r="I80" s="99"/>
    </row>
    <row r="81" spans="1:9" s="101" customFormat="1" x14ac:dyDescent="0.2">
      <c r="A81" s="135" t="s">
        <v>82</v>
      </c>
      <c r="B81" s="136"/>
      <c r="C81" s="136"/>
      <c r="D81" s="136">
        <f>+Facility!AB125</f>
        <v>-131148.51856203174</v>
      </c>
      <c r="E81" s="124"/>
      <c r="F81" s="124"/>
      <c r="G81" s="136"/>
      <c r="H81" s="136">
        <f>+Facility!AR125</f>
        <v>-464165.35417091346</v>
      </c>
      <c r="I81" s="137"/>
    </row>
    <row r="82" spans="1:9" s="101" customFormat="1" x14ac:dyDescent="0.2">
      <c r="A82" s="138" t="s">
        <v>83</v>
      </c>
      <c r="B82" s="139"/>
      <c r="C82" s="139"/>
      <c r="D82" s="139">
        <f>+Facility!AB126</f>
        <v>-159427.97246202041</v>
      </c>
      <c r="E82" s="118"/>
      <c r="F82" s="118"/>
      <c r="G82" s="139"/>
      <c r="H82" s="139">
        <f>+Facility!AR126</f>
        <v>-464221.66039721912</v>
      </c>
      <c r="I82" s="140"/>
    </row>
    <row r="83" spans="1:9" s="101" customFormat="1" x14ac:dyDescent="0.2">
      <c r="A83" s="141" t="s">
        <v>65</v>
      </c>
      <c r="B83" s="142"/>
      <c r="C83" s="142"/>
      <c r="D83" s="142">
        <f>+SUM(D81:D82)</f>
        <v>-290576.49102405214</v>
      </c>
      <c r="E83" s="115"/>
      <c r="F83" s="115"/>
      <c r="G83" s="142"/>
      <c r="H83" s="142">
        <f>+SUM(H81:H82)</f>
        <v>-928387.01456813258</v>
      </c>
      <c r="I83" s="143"/>
    </row>
    <row r="84" spans="1:9" s="101" customFormat="1" x14ac:dyDescent="0.2">
      <c r="A84" s="99"/>
      <c r="B84" s="89"/>
      <c r="C84" s="89"/>
      <c r="D84" s="89"/>
      <c r="E84" s="99"/>
      <c r="F84" s="100"/>
      <c r="G84" s="89"/>
      <c r="H84" s="89"/>
      <c r="I84" s="99"/>
    </row>
    <row r="85" spans="1:9" s="101" customFormat="1" x14ac:dyDescent="0.2">
      <c r="A85" s="99" t="s">
        <v>84</v>
      </c>
      <c r="B85" s="89">
        <f>Facility!V166</f>
        <v>307311.67</v>
      </c>
      <c r="C85" s="89">
        <f>Facility!W166</f>
        <v>411666.88830472197</v>
      </c>
      <c r="D85" s="89">
        <f>+C85-B85</f>
        <v>104355.21830472199</v>
      </c>
      <c r="E85" s="97">
        <f>+IF(D85=0,0,D85/C85)</f>
        <v>0.25349432094105345</v>
      </c>
      <c r="F85" s="100"/>
      <c r="G85" s="89">
        <f>+Facility!AM166</f>
        <v>310875.89</v>
      </c>
      <c r="H85" s="89">
        <f>+G85-B85</f>
        <v>3564.2200000000303</v>
      </c>
      <c r="I85" s="97">
        <f t="shared" ref="I85:I86" si="12">+IF(H85=0,0,IF(AND(G85=0,H85&gt;0),-100%,H85/G85))</f>
        <v>1.1465089814459494E-2</v>
      </c>
    </row>
    <row r="86" spans="1:9" s="101" customFormat="1" x14ac:dyDescent="0.2">
      <c r="A86" s="99" t="s">
        <v>85</v>
      </c>
      <c r="B86" s="89">
        <f>+B85/B14</f>
        <v>29.600430552879985</v>
      </c>
      <c r="C86" s="89">
        <f>+C85/C14</f>
        <v>37.043722514597498</v>
      </c>
      <c r="D86" s="89">
        <f>+C86-B86</f>
        <v>7.4432919617175131</v>
      </c>
      <c r="E86" s="97">
        <f>+IF(D86=0,0,D86/C86)</f>
        <v>0.20093261304352983</v>
      </c>
      <c r="F86" s="100"/>
      <c r="G86" s="89">
        <f>+G85/G14</f>
        <v>23.750927496370998</v>
      </c>
      <c r="H86" s="89">
        <f>+G86-B86</f>
        <v>-5.8495030565089863</v>
      </c>
      <c r="I86" s="97">
        <f t="shared" si="12"/>
        <v>-0.24628524748781941</v>
      </c>
    </row>
    <row r="87" spans="1:9" s="101" customFormat="1" x14ac:dyDescent="0.2">
      <c r="A87" s="99"/>
      <c r="B87" s="89"/>
      <c r="C87" s="89"/>
      <c r="D87" s="89"/>
      <c r="E87" s="99"/>
      <c r="F87" s="100"/>
      <c r="G87" s="89"/>
      <c r="H87" s="89"/>
      <c r="I87" s="99"/>
    </row>
    <row r="88" spans="1:9" s="101" customFormat="1" x14ac:dyDescent="0.2">
      <c r="A88" s="135" t="s">
        <v>63</v>
      </c>
      <c r="B88" s="136"/>
      <c r="C88" s="136"/>
      <c r="D88" s="136">
        <f>+Facility!AB169</f>
        <v>27078.961158170772</v>
      </c>
      <c r="E88" s="124"/>
      <c r="F88" s="124"/>
      <c r="G88" s="136"/>
      <c r="H88" s="136">
        <f>+Facility!AR169</f>
        <v>64293.760732676295</v>
      </c>
      <c r="I88" s="137"/>
    </row>
    <row r="89" spans="1:9" s="101" customFormat="1" x14ac:dyDescent="0.2">
      <c r="A89" s="138" t="s">
        <v>64</v>
      </c>
      <c r="B89" s="139"/>
      <c r="C89" s="139"/>
      <c r="D89" s="139">
        <f>+Facility!AB170</f>
        <v>77276.257146551216</v>
      </c>
      <c r="E89" s="118"/>
      <c r="F89" s="118"/>
      <c r="G89" s="139"/>
      <c r="H89" s="139">
        <f>+Facility!AR170</f>
        <v>-60729.540732676294</v>
      </c>
      <c r="I89" s="140"/>
    </row>
    <row r="90" spans="1:9" s="101" customFormat="1" x14ac:dyDescent="0.2">
      <c r="A90" s="141" t="s">
        <v>65</v>
      </c>
      <c r="B90" s="142"/>
      <c r="C90" s="142"/>
      <c r="D90" s="142">
        <f>+SUM(D88:D89)</f>
        <v>104355.21830472199</v>
      </c>
      <c r="E90" s="115"/>
      <c r="F90" s="115"/>
      <c r="G90" s="142"/>
      <c r="H90" s="142">
        <f>+SUM(H88:H89)</f>
        <v>3564.2200000000012</v>
      </c>
      <c r="I90" s="143"/>
    </row>
    <row r="91" spans="1:9" s="101" customFormat="1" x14ac:dyDescent="0.2">
      <c r="A91" s="99"/>
      <c r="B91" s="89"/>
      <c r="C91" s="89"/>
      <c r="D91" s="89"/>
      <c r="E91" s="99"/>
      <c r="F91" s="100"/>
      <c r="G91" s="89"/>
      <c r="H91" s="89"/>
      <c r="I91" s="99"/>
    </row>
    <row r="92" spans="1:9" s="101" customFormat="1" x14ac:dyDescent="0.2">
      <c r="A92" s="99" t="s">
        <v>86</v>
      </c>
      <c r="B92" s="89">
        <f>Facility!V180</f>
        <v>574769.72</v>
      </c>
      <c r="C92" s="89">
        <f>Facility!W180</f>
        <v>671130.87389640603</v>
      </c>
      <c r="D92" s="89">
        <f>+C92-B92</f>
        <v>96361.15389640606</v>
      </c>
      <c r="E92" s="97">
        <f>+IF(D92=0,0,D92/C92)</f>
        <v>0.14358027270740656</v>
      </c>
      <c r="F92" s="100"/>
      <c r="G92" s="89">
        <f>+Facility!AM180</f>
        <v>570531.42000000004</v>
      </c>
      <c r="H92" s="89">
        <f>+G92-B92</f>
        <v>-4238.2999999999302</v>
      </c>
      <c r="I92" s="97">
        <f t="shared" ref="I92:I94" si="13">+IF(H92=0,0,IF(AND(G92=0,H92&gt;0),-100%,H92/G92))</f>
        <v>-7.4286881518285707E-3</v>
      </c>
    </row>
    <row r="93" spans="1:9" s="101" customFormat="1" x14ac:dyDescent="0.2">
      <c r="A93" s="99" t="s">
        <v>87</v>
      </c>
      <c r="B93" s="89">
        <f>Facility!V189</f>
        <v>408250.11</v>
      </c>
      <c r="C93" s="89">
        <f>Facility!W189</f>
        <v>343212.5</v>
      </c>
      <c r="D93" s="89">
        <f>+C93-B93</f>
        <v>-65037.609999999986</v>
      </c>
      <c r="E93" s="97">
        <f>+IF(D93=0,0,D93/C93)</f>
        <v>-0.18949662381177837</v>
      </c>
      <c r="F93" s="100"/>
      <c r="G93" s="89">
        <f>+Facility!AM189</f>
        <v>284340.2</v>
      </c>
      <c r="H93" s="89">
        <f>+G93-B93</f>
        <v>-123909.90999999997</v>
      </c>
      <c r="I93" s="97">
        <f t="shared" si="13"/>
        <v>-0.43578048408209591</v>
      </c>
    </row>
    <row r="94" spans="1:9" s="101" customFormat="1" x14ac:dyDescent="0.2">
      <c r="A94" s="99" t="s">
        <v>88</v>
      </c>
      <c r="B94" s="89">
        <f>SUM(Facility!V201:V211)</f>
        <v>3946644.46</v>
      </c>
      <c r="C94" s="89">
        <f>SUM(Facility!W201:W211)</f>
        <v>3892820.8089623908</v>
      </c>
      <c r="D94" s="89">
        <f>+C94-B94</f>
        <v>-53823.651037609205</v>
      </c>
      <c r="E94" s="97">
        <f>+IF(D94=0,0,D94/C94)</f>
        <v>-1.3826388030420437E-2</v>
      </c>
      <c r="F94" s="100"/>
      <c r="G94" s="89">
        <f>+SUM(Facility!AM201:AM211)</f>
        <v>2725791.65</v>
      </c>
      <c r="H94" s="89">
        <f>+G94-B94</f>
        <v>-1220852.81</v>
      </c>
      <c r="I94" s="97">
        <f t="shared" si="13"/>
        <v>-0.44788926182234073</v>
      </c>
    </row>
    <row r="95" spans="1:9" s="101" customFormat="1" x14ac:dyDescent="0.2">
      <c r="A95" s="99"/>
      <c r="B95" s="89"/>
      <c r="C95" s="89"/>
      <c r="D95" s="89"/>
      <c r="E95" s="99"/>
      <c r="F95" s="100"/>
      <c r="G95" s="89"/>
      <c r="H95" s="89"/>
      <c r="I95" s="99"/>
    </row>
    <row r="96" spans="1:9" s="130" customFormat="1" x14ac:dyDescent="0.2">
      <c r="A96" s="126" t="s">
        <v>89</v>
      </c>
      <c r="B96" s="181">
        <f>Facility!V215</f>
        <v>9745064.0299999993</v>
      </c>
      <c r="C96" s="127">
        <f>Facility!W215</f>
        <v>11864053.776385361</v>
      </c>
      <c r="D96" s="127">
        <f>+B96-C96</f>
        <v>-2118989.746385362</v>
      </c>
      <c r="E96" s="128">
        <f>+IF(D96=0,0,D96/C96)</f>
        <v>-0.17860587842269185</v>
      </c>
      <c r="F96" s="129"/>
      <c r="G96" s="127">
        <f>+Facility!AM215</f>
        <v>4627305.93</v>
      </c>
      <c r="H96" s="127">
        <f>+B96-G96</f>
        <v>5117758.0999999996</v>
      </c>
      <c r="I96" s="128">
        <f>+IF(H96=0,0,IF(AND(G96=0,H96&gt;0),-100%,H96/G96))</f>
        <v>1.1059908675629753</v>
      </c>
    </row>
    <row r="97" spans="1:9" s="134" customFormat="1" ht="13.5" thickBot="1" x14ac:dyDescent="0.25">
      <c r="A97" s="131" t="s">
        <v>90</v>
      </c>
      <c r="B97" s="132">
        <f>+B96/B44</f>
        <v>0.47177641714684515</v>
      </c>
      <c r="C97" s="132">
        <f>+C96/C44</f>
        <v>0.51594004940604787</v>
      </c>
      <c r="D97" s="132">
        <f>+B97-C97</f>
        <v>-4.4163632259202723E-2</v>
      </c>
      <c r="E97" s="131"/>
      <c r="F97" s="133"/>
      <c r="G97" s="132">
        <f>+G96/G44</f>
        <v>0.31537390595270609</v>
      </c>
      <c r="H97" s="132">
        <f>+B97-G97</f>
        <v>0.15640251119413906</v>
      </c>
      <c r="I97" s="131"/>
    </row>
    <row r="98" spans="1:9" ht="13.5" thickTop="1" x14ac:dyDescent="0.2">
      <c r="D98" s="173"/>
    </row>
  </sheetData>
  <printOptions horizontalCentered="1"/>
  <pageMargins left="0.7" right="0.7" top="0.75" bottom="0.75" header="0.3" footer="0.3"/>
  <pageSetup scale="89" fitToHeight="3" orientation="portrait" r:id="rId1"/>
  <rowBreaks count="2" manualBreakCount="2">
    <brk id="40" max="4" man="1"/>
    <brk id="70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1FFF-2B26-497D-9652-04026125B454}">
  <dimension ref="A1:E41"/>
  <sheetViews>
    <sheetView zoomScaleNormal="100" zoomScaleSheetLayoutView="100" workbookViewId="0">
      <pane ySplit="3" topLeftCell="A4" activePane="bottomLeft" state="frozen"/>
      <selection activeCell="D92" sqref="D92:D94"/>
      <selection pane="bottomLeft" activeCell="B34" sqref="B34"/>
    </sheetView>
  </sheetViews>
  <sheetFormatPr defaultColWidth="9.140625" defaultRowHeight="12.75" outlineLevelRow="1" x14ac:dyDescent="0.2"/>
  <cols>
    <col min="1" max="1" width="27.140625" style="89" bestFit="1" customWidth="1"/>
    <col min="2" max="5" width="10.7109375" style="89" customWidth="1"/>
    <col min="6" max="16384" width="9.140625" style="91"/>
  </cols>
  <sheetData>
    <row r="1" spans="1:5" x14ac:dyDescent="0.2">
      <c r="A1" s="88" t="s">
        <v>21</v>
      </c>
      <c r="B1" s="89" t="str">
        <f>+Facility!B6</f>
        <v>Acute_DIV1 - Highland Hospital</v>
      </c>
    </row>
    <row r="2" spans="1:5" x14ac:dyDescent="0.2">
      <c r="A2" s="88"/>
    </row>
    <row r="3" spans="1:5" s="94" customFormat="1" ht="13.5" thickBot="1" x14ac:dyDescent="0.25">
      <c r="A3" s="92"/>
      <c r="B3" s="92" t="s">
        <v>93</v>
      </c>
      <c r="C3" s="92" t="s">
        <v>0</v>
      </c>
      <c r="D3" s="92" t="s">
        <v>22</v>
      </c>
      <c r="E3" s="92" t="s">
        <v>23</v>
      </c>
    </row>
    <row r="4" spans="1:5" s="94" customFormat="1" x14ac:dyDescent="0.2">
      <c r="A4" s="95"/>
      <c r="B4" s="95"/>
      <c r="C4" s="95"/>
      <c r="D4" s="95"/>
      <c r="E4" s="95"/>
    </row>
    <row r="5" spans="1:5" x14ac:dyDescent="0.2">
      <c r="A5" s="89" t="s">
        <v>26</v>
      </c>
      <c r="B5" s="89">
        <f>+Facility!AT8</f>
        <v>0</v>
      </c>
      <c r="C5" s="89">
        <f>+Facility!AU8</f>
        <v>284.217130607</v>
      </c>
      <c r="D5" s="89">
        <f>+B5-C5</f>
        <v>-284.217130607</v>
      </c>
      <c r="E5" s="97">
        <f>+IF(D5=0,0,D5/C5)</f>
        <v>-1</v>
      </c>
    </row>
    <row r="6" spans="1:5" outlineLevel="1" x14ac:dyDescent="0.2">
      <c r="E6" s="97"/>
    </row>
    <row r="7" spans="1:5" x14ac:dyDescent="0.2">
      <c r="A7" s="89" t="s">
        <v>33</v>
      </c>
      <c r="B7" s="89">
        <f>+Facility!AT29</f>
        <v>0</v>
      </c>
      <c r="C7" s="89">
        <f>+Facility!AU29</f>
        <v>2856</v>
      </c>
      <c r="D7" s="89">
        <f>+B7-C7</f>
        <v>-2856</v>
      </c>
      <c r="E7" s="97">
        <f>+IF(D7=0,0,D7/C7)</f>
        <v>-1</v>
      </c>
    </row>
    <row r="8" spans="1:5" x14ac:dyDescent="0.2">
      <c r="A8" s="89" t="s">
        <v>34</v>
      </c>
      <c r="B8" s="99">
        <f>+Facility!AT32</f>
        <v>0</v>
      </c>
      <c r="C8" s="99">
        <f>+Facility!AU32</f>
        <v>10.048655385058799</v>
      </c>
      <c r="D8" s="99">
        <f>+B8-C8</f>
        <v>-10.048655385058799</v>
      </c>
      <c r="E8" s="97">
        <f>+IF(D8=0,0,D8/C8)</f>
        <v>-1</v>
      </c>
    </row>
    <row r="9" spans="1:5" x14ac:dyDescent="0.2">
      <c r="A9" s="89" t="s">
        <v>35</v>
      </c>
      <c r="B9" s="99">
        <f>+Facility!AT33</f>
        <v>0</v>
      </c>
      <c r="C9" s="99">
        <f>+Facility!AU33</f>
        <v>95.2</v>
      </c>
      <c r="D9" s="99">
        <f>+B9-C9</f>
        <v>-95.2</v>
      </c>
      <c r="E9" s="97">
        <f>+IF(D9=0,0,D9/C9)</f>
        <v>-1</v>
      </c>
    </row>
    <row r="10" spans="1:5" x14ac:dyDescent="0.2">
      <c r="A10" s="89" t="s">
        <v>36</v>
      </c>
      <c r="B10" s="97">
        <f>+Facility!AT31</f>
        <v>0</v>
      </c>
      <c r="C10" s="97">
        <f>+Facility!AU31</f>
        <v>0.83508771929824599</v>
      </c>
      <c r="D10" s="97">
        <f>+B10-C10</f>
        <v>-0.83508771929824599</v>
      </c>
    </row>
    <row r="11" spans="1:5" x14ac:dyDescent="0.2">
      <c r="A11" s="102" t="s">
        <v>37</v>
      </c>
      <c r="B11" s="102">
        <f>Facility!AT34</f>
        <v>0</v>
      </c>
      <c r="C11" s="102">
        <f>Facility!AU34</f>
        <v>97.082820233753907</v>
      </c>
      <c r="D11" s="102">
        <f>+B11-C11</f>
        <v>-97.082820233753907</v>
      </c>
      <c r="E11" s="103">
        <f>+IF(D11=0,0,D11/C11)</f>
        <v>-1</v>
      </c>
    </row>
    <row r="12" spans="1:5" x14ac:dyDescent="0.2">
      <c r="B12" s="97"/>
      <c r="C12" s="97"/>
      <c r="D12" s="97"/>
    </row>
    <row r="13" spans="1:5" x14ac:dyDescent="0.2">
      <c r="A13" s="102" t="s">
        <v>50</v>
      </c>
      <c r="B13" s="102">
        <f>+Facility!AT68</f>
        <v>0</v>
      </c>
      <c r="C13" s="102">
        <f>+Facility!AU68</f>
        <v>0</v>
      </c>
      <c r="D13" s="102">
        <f>+B13-C13</f>
        <v>0</v>
      </c>
      <c r="E13" s="103">
        <f>+IF(D13=0,0,D13/C13)</f>
        <v>0</v>
      </c>
    </row>
    <row r="15" spans="1:5" s="101" customFormat="1" x14ac:dyDescent="0.2">
      <c r="A15" s="111" t="s">
        <v>56</v>
      </c>
      <c r="B15" s="102">
        <f>+Facility!AT78</f>
        <v>0</v>
      </c>
      <c r="C15" s="102">
        <f>+Facility!AU78</f>
        <v>5703208.5288831275</v>
      </c>
      <c r="D15" s="102">
        <f>+B15-C15</f>
        <v>-5703208.5288831275</v>
      </c>
      <c r="E15" s="103">
        <f>+IF(D15=0,0,D15/C15)</f>
        <v>-1</v>
      </c>
    </row>
    <row r="16" spans="1:5" s="101" customFormat="1" x14ac:dyDescent="0.2">
      <c r="A16" s="98" t="s">
        <v>57</v>
      </c>
      <c r="B16" s="89">
        <f>Facility!AT87</f>
        <v>0</v>
      </c>
      <c r="C16" s="89">
        <f>Facility!AU87</f>
        <v>5588382.677133128</v>
      </c>
      <c r="D16" s="89">
        <f>+B16-C16</f>
        <v>-5588382.677133128</v>
      </c>
      <c r="E16" s="97">
        <f>+IF(D16=0,0,D16/C16)</f>
        <v>-1</v>
      </c>
    </row>
    <row r="17" spans="1:5" s="101" customFormat="1" x14ac:dyDescent="0.2">
      <c r="A17" s="98" t="s">
        <v>58</v>
      </c>
      <c r="B17" s="89">
        <f>Facility!AT88</f>
        <v>0</v>
      </c>
      <c r="C17" s="89">
        <f>Facility!AU88</f>
        <v>0</v>
      </c>
      <c r="D17" s="89">
        <f>+B17-C17</f>
        <v>0</v>
      </c>
      <c r="E17" s="97">
        <f>+IF(D17=0,0,D17/C17)</f>
        <v>0</v>
      </c>
    </row>
    <row r="18" spans="1:5" s="101" customFormat="1" x14ac:dyDescent="0.2">
      <c r="A18" s="98" t="s">
        <v>59</v>
      </c>
      <c r="B18" s="89">
        <f>Facility!AT89</f>
        <v>0</v>
      </c>
      <c r="C18" s="89">
        <f>Facility!AU89</f>
        <v>110014.618</v>
      </c>
      <c r="D18" s="89">
        <f>+B18-C18</f>
        <v>-110014.618</v>
      </c>
      <c r="E18" s="97">
        <f>+IF(D18=0,0,D18/C18)</f>
        <v>-1</v>
      </c>
    </row>
    <row r="19" spans="1:5" s="101" customFormat="1" x14ac:dyDescent="0.2">
      <c r="A19" s="99"/>
      <c r="B19" s="89"/>
      <c r="C19" s="89"/>
      <c r="D19" s="89"/>
      <c r="E19" s="97"/>
    </row>
    <row r="20" spans="1:5" s="101" customFormat="1" x14ac:dyDescent="0.2">
      <c r="A20" s="99" t="s">
        <v>60</v>
      </c>
      <c r="B20" s="89" t="e">
        <f>Facility!AT87/Facility!AT29</f>
        <v>#DIV/0!</v>
      </c>
      <c r="C20" s="89">
        <f>Facility!AU87/Facility!AU29</f>
        <v>1956.7166236460532</v>
      </c>
      <c r="D20" s="89" t="e">
        <f>+B20-C20</f>
        <v>#DIV/0!</v>
      </c>
      <c r="E20" s="97" t="e">
        <f>+IF(D20=0,0,D20/C20)</f>
        <v>#DIV/0!</v>
      </c>
    </row>
    <row r="21" spans="1:5" s="101" customFormat="1" x14ac:dyDescent="0.2">
      <c r="A21" s="99" t="s">
        <v>61</v>
      </c>
      <c r="B21" s="89">
        <f>IF(Facility!AT68=0,0,Facility!AT88/Facility!AT68)</f>
        <v>0</v>
      </c>
      <c r="C21" s="89">
        <f>IF(Facility!AU68=0,0,Facility!AU88/Facility!AU68)</f>
        <v>0</v>
      </c>
      <c r="D21" s="89">
        <f>+B21-C21</f>
        <v>0</v>
      </c>
      <c r="E21" s="97">
        <f>+IF(D21=0,0,D21/C21)</f>
        <v>0</v>
      </c>
    </row>
    <row r="22" spans="1:5" s="101" customFormat="1" x14ac:dyDescent="0.2">
      <c r="A22" s="99"/>
      <c r="B22" s="89"/>
      <c r="C22" s="89"/>
      <c r="D22" s="89"/>
      <c r="E22" s="97"/>
    </row>
    <row r="23" spans="1:5" s="101" customFormat="1" x14ac:dyDescent="0.2">
      <c r="A23" s="111" t="s">
        <v>62</v>
      </c>
      <c r="B23" s="102" t="e">
        <f>+Facility!AT115</f>
        <v>#DIV/0!</v>
      </c>
      <c r="C23" s="102">
        <f>+Facility!AU115</f>
        <v>1996.9217538106188</v>
      </c>
      <c r="D23" s="102" t="e">
        <f>+B23-C23</f>
        <v>#DIV/0!</v>
      </c>
      <c r="E23" s="103" t="e">
        <f>+IF(D23=0,0,D23/C23)</f>
        <v>#DIV/0!</v>
      </c>
    </row>
    <row r="24" spans="1:5" s="101" customFormat="1" x14ac:dyDescent="0.2">
      <c r="A24" s="99"/>
      <c r="B24" s="89"/>
      <c r="C24" s="89"/>
      <c r="D24" s="89"/>
      <c r="E24" s="99"/>
    </row>
    <row r="25" spans="1:5" s="101" customFormat="1" x14ac:dyDescent="0.2">
      <c r="A25" s="121" t="s">
        <v>77</v>
      </c>
      <c r="B25" s="122">
        <f>+Facility!AT125</f>
        <v>0</v>
      </c>
      <c r="C25" s="122">
        <f>+Facility!AU125</f>
        <v>0</v>
      </c>
      <c r="D25" s="122">
        <f>+C25-B25</f>
        <v>0</v>
      </c>
      <c r="E25" s="123">
        <f>+IF(D25=0,0,D25/C25)</f>
        <v>0</v>
      </c>
    </row>
    <row r="26" spans="1:5" s="101" customFormat="1" x14ac:dyDescent="0.2">
      <c r="A26" s="113" t="s">
        <v>78</v>
      </c>
      <c r="B26" s="125">
        <f>+Facility!AT126</f>
        <v>0</v>
      </c>
      <c r="C26" s="125">
        <f>+Facility!AU126</f>
        <v>0</v>
      </c>
      <c r="D26" s="125">
        <f>+C26-B26</f>
        <v>0</v>
      </c>
      <c r="E26" s="114">
        <f>+IF(D26=0,0,D26/C26)</f>
        <v>0</v>
      </c>
    </row>
    <row r="27" spans="1:5" s="101" customFormat="1" x14ac:dyDescent="0.2">
      <c r="A27" s="99" t="s">
        <v>79</v>
      </c>
      <c r="B27" s="89">
        <f>Facility!AT136</f>
        <v>0</v>
      </c>
      <c r="C27" s="89">
        <f>Facility!AU136</f>
        <v>0</v>
      </c>
      <c r="D27" s="89">
        <f>+C27-B27</f>
        <v>0</v>
      </c>
      <c r="E27" s="97">
        <f>+IF(D27=0,0,D27/C27)</f>
        <v>0</v>
      </c>
    </row>
    <row r="28" spans="1:5" s="101" customFormat="1" x14ac:dyDescent="0.2">
      <c r="A28" s="99"/>
      <c r="B28" s="99"/>
      <c r="C28" s="99"/>
      <c r="D28" s="99"/>
      <c r="E28" s="99"/>
    </row>
    <row r="29" spans="1:5" s="101" customFormat="1" x14ac:dyDescent="0.2">
      <c r="A29" s="99" t="s">
        <v>80</v>
      </c>
      <c r="B29" s="89">
        <f>+Facility!AT138</f>
        <v>0</v>
      </c>
      <c r="C29" s="89">
        <f>+Facility!AU138</f>
        <v>119050.98334165799</v>
      </c>
      <c r="D29" s="89">
        <f>+C29-B29</f>
        <v>119050.98334165799</v>
      </c>
      <c r="E29" s="97">
        <f>+IF(D29=0,0,D29/C29)</f>
        <v>1</v>
      </c>
    </row>
    <row r="30" spans="1:5" s="101" customFormat="1" x14ac:dyDescent="0.2">
      <c r="A30" s="111" t="s">
        <v>81</v>
      </c>
      <c r="B30" s="102" t="e">
        <f>+Facility!AT139</f>
        <v>#DIV/0!</v>
      </c>
      <c r="C30" s="102" t="e">
        <f>+Facility!AU139</f>
        <v>#DIV/0!</v>
      </c>
      <c r="D30" s="102" t="e">
        <f>+C30-B30</f>
        <v>#DIV/0!</v>
      </c>
      <c r="E30" s="103" t="e">
        <f>+IF(D30=0,0,D30/C30)</f>
        <v>#DIV/0!</v>
      </c>
    </row>
    <row r="31" spans="1:5" s="101" customFormat="1" x14ac:dyDescent="0.2">
      <c r="A31" s="99"/>
      <c r="B31" s="89"/>
      <c r="C31" s="89"/>
      <c r="D31" s="89"/>
      <c r="E31" s="99"/>
    </row>
    <row r="32" spans="1:5" s="101" customFormat="1" x14ac:dyDescent="0.2">
      <c r="A32" s="99" t="s">
        <v>84</v>
      </c>
      <c r="B32" s="89">
        <f>+Facility!AT166</f>
        <v>0</v>
      </c>
      <c r="C32" s="89">
        <f>+Facility!AU166</f>
        <v>105597.27889602901</v>
      </c>
      <c r="D32" s="89">
        <f>+C32-B32</f>
        <v>105597.27889602901</v>
      </c>
      <c r="E32" s="97">
        <f>+IF(D32=0,0,D32/C32)</f>
        <v>1</v>
      </c>
    </row>
    <row r="33" spans="1:5" s="101" customFormat="1" x14ac:dyDescent="0.2">
      <c r="A33" s="99" t="s">
        <v>85</v>
      </c>
      <c r="B33" s="89" t="e">
        <f>+B32/B7</f>
        <v>#DIV/0!</v>
      </c>
      <c r="C33" s="89">
        <f>+C32/C7</f>
        <v>36.973837148469542</v>
      </c>
      <c r="D33" s="89" t="e">
        <f>+C33-B33</f>
        <v>#DIV/0!</v>
      </c>
      <c r="E33" s="97" t="e">
        <f>+IF(D33=0,0,D33/C33)</f>
        <v>#DIV/0!</v>
      </c>
    </row>
    <row r="34" spans="1:5" s="101" customFormat="1" x14ac:dyDescent="0.2">
      <c r="A34" s="99"/>
      <c r="B34" s="89"/>
      <c r="C34" s="89"/>
      <c r="D34" s="89"/>
      <c r="E34" s="99"/>
    </row>
    <row r="35" spans="1:5" s="101" customFormat="1" x14ac:dyDescent="0.2">
      <c r="A35" s="99" t="s">
        <v>86</v>
      </c>
      <c r="B35" s="89">
        <f>+Facility!AT180</f>
        <v>0</v>
      </c>
      <c r="C35" s="89">
        <f>+Facility!AU180</f>
        <v>168869.76233432401</v>
      </c>
      <c r="D35" s="89">
        <f>+C35-B35</f>
        <v>168869.76233432401</v>
      </c>
      <c r="E35" s="97">
        <f>+IF(D35=0,0,D35/C35)</f>
        <v>1</v>
      </c>
    </row>
    <row r="36" spans="1:5" s="101" customFormat="1" x14ac:dyDescent="0.2">
      <c r="A36" s="99" t="s">
        <v>87</v>
      </c>
      <c r="B36" s="89">
        <f>+Facility!AT189</f>
        <v>0</v>
      </c>
      <c r="C36" s="89">
        <f>+Facility!AU189</f>
        <v>87492.5</v>
      </c>
      <c r="D36" s="89">
        <f>+C36-B36</f>
        <v>87492.5</v>
      </c>
      <c r="E36" s="97">
        <f>+IF(D36=0,0,D36/C36)</f>
        <v>1</v>
      </c>
    </row>
    <row r="37" spans="1:5" s="101" customFormat="1" x14ac:dyDescent="0.2">
      <c r="A37" s="99" t="s">
        <v>88</v>
      </c>
      <c r="B37" s="89">
        <f>+SUM(Facility!AT201:AT211)</f>
        <v>0</v>
      </c>
      <c r="C37" s="89">
        <f>+SUM(Facility!AU201:AU211)</f>
        <v>961963.56356920104</v>
      </c>
      <c r="D37" s="89">
        <f>+C37-B37</f>
        <v>961963.56356920104</v>
      </c>
      <c r="E37" s="97">
        <f>+IF(D37=0,0,D37/C37)</f>
        <v>1</v>
      </c>
    </row>
    <row r="38" spans="1:5" s="101" customFormat="1" x14ac:dyDescent="0.2">
      <c r="A38" s="99"/>
      <c r="B38" s="89"/>
      <c r="C38" s="89"/>
      <c r="D38" s="89"/>
      <c r="E38" s="99"/>
    </row>
    <row r="39" spans="1:5" s="130" customFormat="1" x14ac:dyDescent="0.2">
      <c r="A39" s="126" t="s">
        <v>89</v>
      </c>
      <c r="B39" s="127">
        <f>+Facility!AT215</f>
        <v>0</v>
      </c>
      <c r="C39" s="127">
        <f>+Facility!AU215</f>
        <v>4260234.4407419162</v>
      </c>
      <c r="D39" s="127">
        <f>+B39-C39</f>
        <v>-4260234.4407419162</v>
      </c>
      <c r="E39" s="128">
        <f>+IF(D39=0,0,D39/C39)</f>
        <v>-1</v>
      </c>
    </row>
    <row r="40" spans="1:5" s="134" customFormat="1" ht="13.5" thickBot="1" x14ac:dyDescent="0.25">
      <c r="A40" s="131" t="s">
        <v>90</v>
      </c>
      <c r="B40" s="132" t="e">
        <f>+B39/B15</f>
        <v>#DIV/0!</v>
      </c>
      <c r="C40" s="132">
        <f>+C39/C15</f>
        <v>0.74698907100565159</v>
      </c>
      <c r="D40" s="132" t="e">
        <f>+B40-C40</f>
        <v>#DIV/0!</v>
      </c>
      <c r="E40" s="131"/>
    </row>
    <row r="41" spans="1:5" ht="13.5" thickTop="1" x14ac:dyDescent="0.2"/>
  </sheetData>
  <printOptions horizontalCentered="1"/>
  <pageMargins left="0.7" right="0.7" top="0.75" bottom="0.75" header="0.3" footer="0.3"/>
  <pageSetup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B8A9-BC93-40B4-8443-D81B5D1DED3F}">
  <sheetPr>
    <tabColor theme="4" tint="0.79998168889431442"/>
    <pageSetUpPr fitToPage="1"/>
  </sheetPr>
  <dimension ref="A1:BB222"/>
  <sheetViews>
    <sheetView showGridLines="0" zoomScale="145" zoomScaleNormal="145" zoomScaleSheetLayoutView="100" workbookViewId="0">
      <pane xSplit="4" ySplit="7" topLeftCell="K8" activePane="bottomRight" state="frozen"/>
      <selection pane="topRight" activeCell="J22" sqref="J22"/>
      <selection pane="bottomLeft" activeCell="J22" sqref="J22"/>
      <selection pane="bottomRight" activeCell="N3" sqref="N3"/>
    </sheetView>
  </sheetViews>
  <sheetFormatPr defaultColWidth="9.140625" defaultRowHeight="11.25" outlineLevelRow="1" outlineLevelCol="1" x14ac:dyDescent="0.2"/>
  <cols>
    <col min="1" max="1" width="10.7109375" style="1" customWidth="1" outlineLevel="1"/>
    <col min="2" max="2" width="10.7109375" style="2" customWidth="1"/>
    <col min="3" max="3" width="10.7109375" style="3" customWidth="1" outlineLevel="1"/>
    <col min="4" max="4" width="29.42578125" style="3" bestFit="1" customWidth="1"/>
    <col min="5" max="8" width="9.5703125" style="1" customWidth="1"/>
    <col min="9" max="9" width="9.5703125" style="4" customWidth="1"/>
    <col min="10" max="11" width="9.5703125" style="1" customWidth="1"/>
    <col min="12" max="12" width="0.85546875" style="4" customWidth="1"/>
    <col min="13" max="15" width="9.5703125" style="1" customWidth="1"/>
    <col min="16" max="16" width="9.5703125" style="4" customWidth="1"/>
    <col min="17" max="18" width="9.5703125" style="1" customWidth="1"/>
    <col min="19" max="19" width="9.5703125" style="4" customWidth="1"/>
    <col min="20" max="20" width="9.5703125" style="1" customWidth="1"/>
    <col min="21" max="21" width="0.85546875" style="4" customWidth="1"/>
    <col min="22" max="23" width="9.5703125" style="1" customWidth="1"/>
    <col min="24" max="24" width="9.5703125" style="51" hidden="1" customWidth="1"/>
    <col min="25" max="25" width="9.5703125" style="1" hidden="1" customWidth="1"/>
    <col min="26" max="26" width="9.5703125" style="4" hidden="1" customWidth="1"/>
    <col min="27" max="27" width="9.5703125" style="1" hidden="1" customWidth="1"/>
    <col min="28" max="28" width="9.5703125" style="2" hidden="1" customWidth="1"/>
    <col min="29" max="29" width="1.7109375" style="4" customWidth="1"/>
    <col min="30" max="33" width="9.5703125" style="1" customWidth="1"/>
    <col min="34" max="34" width="9.5703125" style="4" customWidth="1"/>
    <col min="35" max="35" width="9.5703125" style="1" customWidth="1"/>
    <col min="36" max="36" width="9.5703125" style="2" customWidth="1"/>
    <col min="37" max="37" width="9.5703125" style="4" customWidth="1"/>
    <col min="38" max="39" width="9.5703125" style="1" customWidth="1"/>
    <col min="40" max="40" width="9.5703125" style="51" customWidth="1"/>
    <col min="41" max="41" width="9.5703125" style="1" customWidth="1"/>
    <col min="42" max="42" width="9.5703125" style="4" customWidth="1"/>
    <col min="43" max="43" width="9.5703125" style="1" customWidth="1"/>
    <col min="44" max="44" width="9.5703125" style="2" customWidth="1"/>
    <col min="45" max="45" width="9.5703125" style="4" customWidth="1"/>
    <col min="46" max="47" width="9.5703125" style="1" customWidth="1"/>
    <col min="48" max="48" width="10.7109375" style="160" customWidth="1"/>
    <col min="49" max="49" width="10.7109375" style="1" hidden="1" customWidth="1"/>
    <col min="50" max="50" width="0.85546875" style="4" hidden="1" customWidth="1"/>
    <col min="51" max="51" width="10.7109375" style="1" hidden="1" customWidth="1"/>
    <col min="52" max="52" width="10.7109375" style="2" hidden="1" customWidth="1"/>
    <col min="53" max="53" width="0.85546875" style="4" hidden="1" customWidth="1"/>
    <col min="54" max="54" width="0.85546875" style="1" hidden="1" customWidth="1"/>
    <col min="55" max="57" width="0" style="1" hidden="1" customWidth="1"/>
    <col min="58" max="16384" width="9.140625" style="1"/>
  </cols>
  <sheetData>
    <row r="1" spans="1:53" outlineLevel="1" x14ac:dyDescent="0.2"/>
    <row r="2" spans="1:53" outlineLevel="1" x14ac:dyDescent="0.2">
      <c r="C2" s="1" t="s">
        <v>94</v>
      </c>
      <c r="E2" s="5" t="s">
        <v>11</v>
      </c>
      <c r="F2" s="5" t="s">
        <v>95</v>
      </c>
      <c r="M2" s="53" t="str">
        <f>+$E$2</f>
        <v>Actual</v>
      </c>
      <c r="N2" s="53" t="str">
        <f>+$E$2</f>
        <v>Actual</v>
      </c>
      <c r="V2" s="53" t="str">
        <f>E2</f>
        <v>Actual</v>
      </c>
      <c r="W2" s="53" t="str">
        <f>F2</f>
        <v>Budget_Final</v>
      </c>
      <c r="AD2" s="53" t="str">
        <f>+$E$2</f>
        <v>Actual</v>
      </c>
      <c r="AE2" s="53" t="str">
        <f>+$E$2</f>
        <v>Actual</v>
      </c>
      <c r="AL2" s="53" t="str">
        <f>+$E$2</f>
        <v>Actual</v>
      </c>
      <c r="AM2" s="53" t="str">
        <f>+$E$2</f>
        <v>Actual</v>
      </c>
      <c r="AT2" s="5" t="s">
        <v>96</v>
      </c>
      <c r="AU2" s="53" t="str">
        <f>+F2</f>
        <v>Budget_Final</v>
      </c>
    </row>
    <row r="3" spans="1:53" outlineLevel="1" x14ac:dyDescent="0.2">
      <c r="C3" s="1" t="s">
        <v>97</v>
      </c>
      <c r="E3" s="6" t="s">
        <v>98</v>
      </c>
      <c r="F3" s="60" t="str">
        <f>+$E$3</f>
        <v>2026M4</v>
      </c>
      <c r="M3" s="60" t="str">
        <f>+$E$3</f>
        <v>2026M4</v>
      </c>
      <c r="N3" s="5" t="s">
        <v>99</v>
      </c>
      <c r="V3" s="60" t="str">
        <f>+$E$3</f>
        <v>2026M4</v>
      </c>
      <c r="W3" s="60" t="str">
        <f>+$E$3</f>
        <v>2026M4</v>
      </c>
      <c r="AD3" s="60" t="str">
        <f>+$E$3</f>
        <v>2026M4</v>
      </c>
      <c r="AE3" s="5" t="s">
        <v>1301</v>
      </c>
      <c r="AL3" s="60" t="str">
        <f>+$E$3</f>
        <v>2026M4</v>
      </c>
      <c r="AM3" s="60" t="str">
        <f>+AE3</f>
        <v>2025M4</v>
      </c>
      <c r="AT3" s="144" t="s">
        <v>98</v>
      </c>
      <c r="AU3" s="60" t="str">
        <f>+AT3</f>
        <v>2026M4</v>
      </c>
    </row>
    <row r="4" spans="1:53" outlineLevel="1" x14ac:dyDescent="0.2">
      <c r="C4" s="1" t="s">
        <v>100</v>
      </c>
      <c r="E4" s="5" t="s">
        <v>21</v>
      </c>
      <c r="F4" s="53" t="str">
        <f>+E4</f>
        <v>MTD</v>
      </c>
      <c r="M4" s="53" t="str">
        <f>E4</f>
        <v>MTD</v>
      </c>
      <c r="N4" s="53" t="str">
        <f>M4</f>
        <v>MTD</v>
      </c>
      <c r="V4" s="5" t="s">
        <v>91</v>
      </c>
      <c r="W4" s="53" t="str">
        <f>$V$4</f>
        <v>YTD</v>
      </c>
      <c r="AD4" s="53" t="str">
        <f>E4</f>
        <v>MTD</v>
      </c>
      <c r="AE4" s="53" t="str">
        <f>AD4</f>
        <v>MTD</v>
      </c>
      <c r="AL4" s="53" t="str">
        <f>V4</f>
        <v>YTD</v>
      </c>
      <c r="AM4" s="53" t="str">
        <f>AL4</f>
        <v>YTD</v>
      </c>
      <c r="AT4" s="53" t="str">
        <f>AD4</f>
        <v>MTD</v>
      </c>
      <c r="AU4" s="53" t="str">
        <f>AT4</f>
        <v>MTD</v>
      </c>
    </row>
    <row r="5" spans="1:53" x14ac:dyDescent="0.2">
      <c r="C5" s="1"/>
    </row>
    <row r="6" spans="1:53" x14ac:dyDescent="0.2">
      <c r="B6" s="87" t="str" cm="1">
        <f t="array" ref="B6">CONCATENATE(A8," - ",_xll.OneStreamExcelAddIn.XFFunctions.XFGetMemberInfo("Description","Entity",B8))</f>
        <v>Acute_DIV1 - Highland Hospital</v>
      </c>
      <c r="C6" s="7"/>
      <c r="D6" s="7"/>
      <c r="E6" s="8" t="str">
        <f>+E2</f>
        <v>Actual</v>
      </c>
      <c r="F6" s="8" t="str">
        <f>+F2</f>
        <v>Budget_Final</v>
      </c>
      <c r="G6" s="8"/>
      <c r="M6" s="8" t="str">
        <f>+M2</f>
        <v>Actual</v>
      </c>
      <c r="N6" s="8" t="str">
        <f>+N2</f>
        <v>Actual</v>
      </c>
      <c r="O6" s="8"/>
      <c r="Q6" s="8"/>
      <c r="R6" s="8"/>
      <c r="T6" s="8"/>
      <c r="V6" s="8" t="str">
        <f>+V2</f>
        <v>Actual</v>
      </c>
      <c r="W6" s="8" t="str">
        <f>+W2</f>
        <v>Budget_Final</v>
      </c>
      <c r="X6" s="153"/>
      <c r="AD6" s="8" t="str">
        <f>+AD2</f>
        <v>Actual</v>
      </c>
      <c r="AE6" s="8" t="str">
        <f>+AE2</f>
        <v>Actual</v>
      </c>
      <c r="AF6" s="8"/>
      <c r="AL6" s="8" t="str">
        <f>+AL2</f>
        <v>Actual</v>
      </c>
      <c r="AM6" s="8" t="str">
        <f>+AM2</f>
        <v>Actual</v>
      </c>
      <c r="AN6" s="153"/>
      <c r="AT6" s="8" t="str">
        <f>+AT2</f>
        <v>MIDFCST</v>
      </c>
      <c r="AU6" s="8" t="str">
        <f>+AU2</f>
        <v>Budget_Final</v>
      </c>
      <c r="AV6" s="161"/>
    </row>
    <row r="7" spans="1:53" s="12" customFormat="1" x14ac:dyDescent="0.2">
      <c r="A7" s="9" t="s">
        <v>101</v>
      </c>
      <c r="B7" s="10" t="s">
        <v>102</v>
      </c>
      <c r="C7" s="9" t="s">
        <v>103</v>
      </c>
      <c r="D7" s="9" t="s">
        <v>104</v>
      </c>
      <c r="E7" s="8" t="str">
        <f>+E3</f>
        <v>2026M4</v>
      </c>
      <c r="F7" s="8" t="str">
        <f>+F3</f>
        <v>2026M4</v>
      </c>
      <c r="G7" s="8"/>
      <c r="I7" s="11"/>
      <c r="L7" s="11"/>
      <c r="M7" s="8" t="str">
        <f>+M3</f>
        <v>2026M4</v>
      </c>
      <c r="N7" s="8" t="str">
        <f>+N3</f>
        <v>2026M3</v>
      </c>
      <c r="O7" s="8"/>
      <c r="P7" s="11"/>
      <c r="Q7" s="8"/>
      <c r="R7" s="8"/>
      <c r="S7" s="11"/>
      <c r="T7" s="8"/>
      <c r="U7" s="11"/>
      <c r="V7" s="8" t="str">
        <f>+V3</f>
        <v>2026M4</v>
      </c>
      <c r="W7" s="8" t="str">
        <f>+W3</f>
        <v>2026M4</v>
      </c>
      <c r="X7" s="153"/>
      <c r="Z7" s="11"/>
      <c r="AB7" s="30"/>
      <c r="AC7" s="11"/>
      <c r="AD7" s="8" t="str">
        <f>+AD3</f>
        <v>2026M4</v>
      </c>
      <c r="AE7" s="8" t="str">
        <f>+AE3</f>
        <v>2025M4</v>
      </c>
      <c r="AF7" s="8"/>
      <c r="AH7" s="11"/>
      <c r="AJ7" s="30"/>
      <c r="AK7" s="11"/>
      <c r="AL7" s="8" t="str">
        <f>+AL3</f>
        <v>2026M4</v>
      </c>
      <c r="AM7" s="8" t="str">
        <f>+AM3</f>
        <v>2025M4</v>
      </c>
      <c r="AN7" s="153"/>
      <c r="AP7" s="11"/>
      <c r="AR7" s="30"/>
      <c r="AS7" s="11"/>
      <c r="AT7" s="8" t="str">
        <f>+AT3</f>
        <v>2026M4</v>
      </c>
      <c r="AU7" s="8" t="str">
        <f>+AU3</f>
        <v>2026M4</v>
      </c>
      <c r="AV7" s="161"/>
      <c r="AX7" s="11"/>
      <c r="AZ7" s="30"/>
      <c r="BA7" s="11"/>
    </row>
    <row r="8" spans="1:53" x14ac:dyDescent="0.2">
      <c r="A8" s="13" t="s">
        <v>105</v>
      </c>
      <c r="B8" s="13">
        <v>127</v>
      </c>
      <c r="C8" s="14" t="s">
        <v>106</v>
      </c>
      <c r="D8" s="14" t="s">
        <v>107</v>
      </c>
      <c r="E8" s="15">
        <f>_xll.OneStreamExcelAddIn.XFFunctions.XFGetCell("True","Consol", $B8,"Tot_Entity","USD",E$2,E$3,E$4,$C8,"TopFlow","Top","Top","Tot_Los","TOT_Dept_WO_Addbacks","Tot_FC",$A8,"Top5","Top6","Reported","Top8")</f>
        <v>245</v>
      </c>
      <c r="F8" s="15">
        <f>_xll.OneStreamExcelAddIn.XFFunctions.XFGetCell("True","Consol", $B8,"Tot_Entity","Aggregated",F$2,F$3,F$4,$C8,"TopFlow","Top","Top","Tot_Los","TOT_Dept_WO_Addbacks","TOP3",$A8,"Top5","Top6","Reported","Top8")</f>
        <v>284.217130607</v>
      </c>
      <c r="G8" s="21">
        <f>+E8-F8</f>
        <v>-39.217130607000001</v>
      </c>
      <c r="M8" s="15">
        <f>_xll.OneStreamExcelAddIn.XFFunctions.XFGetCell("True","Consol", $B8,"Tot_Entity","USD",M$2,M$3,M$4,$C8,"TopFlow","Top","Top","Tot_Los","TOT_Dept_WO_Addbacks","Tot_FC",$A8,"Top5","Top6","Reported","Top8")</f>
        <v>245</v>
      </c>
      <c r="N8" s="15">
        <f>_xll.OneStreamExcelAddIn.XFFunctions.XFGetCell("True","Consol", $B8,"Tot_Entity","USD",N$2,N$3,N$4,$C8,"TopFlow","Top","Top","Tot_Los","TOT_Dept_WO_Addbacks","Tot_FC",$A8,"Top5","Top6","Reported","Top8")</f>
        <v>259</v>
      </c>
      <c r="O8" s="21">
        <f>+M8-N8</f>
        <v>-14</v>
      </c>
      <c r="Q8" s="21"/>
      <c r="R8" s="21"/>
      <c r="T8" s="21"/>
      <c r="V8" s="15">
        <f>_xll.OneStreamExcelAddIn.XFFunctions.XFGetCell("True","Consol", $B8,"Tot_Entity","USD",V$2,V$3,V$4,$C8,"TopFlow","Top","Top","Tot_Los","TOT_Dept_WO_Addbacks","Tot_FC",$A8,"Top5","Top6","Reported","Top8")</f>
        <v>997</v>
      </c>
      <c r="W8" s="15">
        <f>_xll.OneStreamExcelAddIn.XFFunctions.XFGetCell("True","Consol", $B8,"Tot_Entity","Aggregated",W$2,W$3,W$4,$C8,"TopFlow","Top","Top","Tot_Los","TOT_Dept_WO_Addbacks","TOP3",$A8,"Top5","Top6","Reported","Top8")</f>
        <v>1109.0407591369999</v>
      </c>
      <c r="X8" s="21">
        <f>+V8-W8</f>
        <v>-112.0407591369999</v>
      </c>
      <c r="AD8" s="15">
        <f>_xll.OneStreamExcelAddIn.XFFunctions.XFGetCell("True","Consol", $B8,"Tot_Entity","USD",AD$2,AD$3,AD$4,$C8,"TopFlow","Top","Top","Tot_Los","TOT_Dept_WO_Addbacks","Tot_FC",$A8,"Top5","Top6","Reported","Top8")</f>
        <v>245</v>
      </c>
      <c r="AE8" s="15">
        <f>_xll.OneStreamExcelAddIn.XFFunctions.XFGetCell("True","Consol", $B8,"Tot_Entity","USD",AE$2,AE$3,AE$4,$C8,"TopFlow","Top","Top","Tot_Los","TOT_Dept_WO_Addbacks","Tot_FC",$A8,"Top5","Top6","Reported","Top8")</f>
        <v>237</v>
      </c>
      <c r="AF8" s="21">
        <f>+AD8-AE8</f>
        <v>8</v>
      </c>
      <c r="AL8" s="15">
        <f>_xll.OneStreamExcelAddIn.XFFunctions.XFGetCell("True","Consol", $B8,"Tot_Entity","USD",AL$2,AL$3,AL$4,$C8,"TopFlow","Top","Top","Tot_Los","TOT_Dept_WO_Addbacks","Tot_FC",$A8,"Top5","Top6","Reported","Top8")</f>
        <v>997</v>
      </c>
      <c r="AM8" s="15">
        <f>_xll.OneStreamExcelAddIn.XFFunctions.XFGetCell("True","Consol", $B8,"Tot_Entity","USD",AM$2,AM$3,AM$4,$C8,"TopFlow","Top","Top","Tot_Los","TOT_Dept_WO_Addbacks","Tot_FC",$A8,"Top5","Top6","Reported","Top8")</f>
        <v>858</v>
      </c>
      <c r="AN8" s="21">
        <f>+AL8-AM8</f>
        <v>139</v>
      </c>
      <c r="AT8" s="15">
        <f>_xll.OneStreamExcelAddIn.XFFunctions.XFGetCell("True","Consol", $B8,"Tot_Entity","USD",AT$2,AT$3,AT$4,$C8,"TopFlow","Top","Top","Tot_Los","TOT_Dept_WO_Addbacks","Tot_FC",$A8,"Top5","Top6","Reported","Top8")</f>
        <v>0</v>
      </c>
      <c r="AU8" s="15">
        <f>_xll.OneStreamExcelAddIn.XFFunctions.XFGetCell("True","Consol", $B8,"Tot_Entity","USD",AU$2,AU$3,AU$4,$C8,"TopFlow","Top","Top","Tot_Los","TOT_Dept_WO_Addbacks","Tot_FC",$A8,"Top5","Top6","Reported","Top8")</f>
        <v>284.217130607</v>
      </c>
      <c r="AV8" s="162">
        <f>+AT8-AU8</f>
        <v>-284.217130607</v>
      </c>
    </row>
    <row r="10" spans="1:53" x14ac:dyDescent="0.2">
      <c r="A10" s="16" t="str">
        <f>+$A$8</f>
        <v>Acute_DIV1</v>
      </c>
      <c r="B10" s="15">
        <f>+$B$8</f>
        <v>127</v>
      </c>
      <c r="C10" s="14" t="s">
        <v>106</v>
      </c>
      <c r="D10" s="14" t="s">
        <v>108</v>
      </c>
      <c r="E10" s="15">
        <f>_xll.OneStreamExcelAddIn.XFFunctions.XFGetCell("True","Consol", $B10,"Tot_Entity","USD",E$2,E$3,E$4,$C10,"TopFlow","Top","Top","Tot_Los","TOT_Dept_WO_Addbacks","TOT_Medicare",$A10,"Top5","Top6","Reported","Top8")</f>
        <v>15</v>
      </c>
      <c r="F10" s="15">
        <f>_xll.OneStreamExcelAddIn.XFFunctions.XFGetCell("True","Consol", $B10,"Tot_Entity","Aggregated",F$2,F$3,F$4,$C10,"TopFlow","Top","Top","Tot_Los","TOT_Dept_WO_Addbacks","TOT_Medicare",$A10,"Top5","Top6","Reported","Top8")</f>
        <v>31.318611110999999</v>
      </c>
      <c r="G10" s="21">
        <f>+E10-F10</f>
        <v>-16.318611110999999</v>
      </c>
      <c r="H10" s="172"/>
      <c r="M10" s="15">
        <f>_xll.OneStreamExcelAddIn.XFFunctions.XFGetCell("True","Consol", $B10,"Tot_Entity","USD",M$2,M$3,M$4,$C10,"TopFlow","Top","Top","Tot_Los","TOT_Dept_WO_Addbacks","TOT_Medicare",$A10,"Top5","Top6","Reported","Top8")</f>
        <v>15</v>
      </c>
      <c r="N10" s="15">
        <f>_xll.OneStreamExcelAddIn.XFFunctions.XFGetCell("True","Consol", $B10,"Tot_Entity","USD",N$2,N$3,N$4,$C10,"TopFlow","Top","Top","Tot_Los","TOT_Dept_WO_Addbacks","TOT_Medicare",$A10,"Top5","Top6","Reported","Top8")</f>
        <v>15</v>
      </c>
      <c r="O10" s="21">
        <f>+M10-N10</f>
        <v>0</v>
      </c>
      <c r="Q10" s="21"/>
      <c r="R10" s="21"/>
      <c r="T10" s="21"/>
      <c r="V10" s="15">
        <f>_xll.OneStreamExcelAddIn.XFFunctions.XFGetCell("True","Consol", $B10,"Tot_Entity","USD",V$2,V$3,V$4,$C10,"TopFlow","Top","Top","Tot_Los","TOT_Dept_WO_Addbacks","TOT_Medicare",$A10,"Top5","Top6","Reported","Top8")</f>
        <v>59</v>
      </c>
      <c r="W10" s="15">
        <f>_xll.OneStreamExcelAddIn.XFFunctions.XFGetCell("True","Consol", $B10,"Tot_Entity","Aggregated",W$2,W$3,W$4,$C10,"TopFlow","Top","Top","Tot_Los","TOT_Dept_WO_Addbacks","TOT_Medicare",$A10,"Top5","Top6","Reported","Top8")</f>
        <v>136.444195525</v>
      </c>
      <c r="X10" s="21">
        <f>+V10-W10</f>
        <v>-77.444195524999998</v>
      </c>
      <c r="AD10" s="15">
        <f>_xll.OneStreamExcelAddIn.XFFunctions.XFGetCell("True","Consol", $B10,"Tot_Entity","USD",AD$2,AD$3,AD$4,$C10,"TopFlow","Top","Top","Tot_Los","TOT_Dept_WO_Addbacks","TOT_Medicare",$A10,"Top5","Top6","Reported","Top8")</f>
        <v>15</v>
      </c>
      <c r="AE10" s="15">
        <f>_xll.OneStreamExcelAddIn.XFFunctions.XFGetCell("True","Consol", $B10,"Tot_Entity","USD",AE$2,AE$3,AE$4,$C10,"TopFlow","Top","Top","Tot_Los","TOT_Dept_WO_Addbacks","TOT_Medicare",$A10,"Top5","Top6","Reported","Top8")</f>
        <v>25</v>
      </c>
      <c r="AF10" s="21">
        <f>+AD10-AE10</f>
        <v>-10</v>
      </c>
      <c r="AL10" s="15">
        <f>_xll.OneStreamExcelAddIn.XFFunctions.XFGetCell("True","Consol", $B10,"Tot_Entity","USD",AL$2,AL$3,AL$4,$C10,"TopFlow","Top","Top","Tot_Los","TOT_Dept_WO_Addbacks","TOT_Medicare",$A10,"Top5","Top6","Reported","Top8")</f>
        <v>59</v>
      </c>
      <c r="AM10" s="15">
        <f>_xll.OneStreamExcelAddIn.XFFunctions.XFGetCell("True","Consol", $B10,"Tot_Entity","USD",AM$2,AM$3,AM$4,$C10,"TopFlow","Top","Top","Tot_Los","TOT_Dept_WO_Addbacks","TOT_Medicare",$A10,"Top5","Top6","Reported","Top8")</f>
        <v>81</v>
      </c>
      <c r="AN10" s="21">
        <f>+AL10-AM10</f>
        <v>-22</v>
      </c>
      <c r="AT10" s="15">
        <f>_xll.OneStreamExcelAddIn.XFFunctions.XFGetCell("True","Consol", $B10,"Tot_Entity","USD",AT$2,AT$3,AT$4,$C10,"TopFlow","Top","Top","Tot_Los","TOT_Dept_WO_Addbacks","TOT_Medicare",$A10,"Top5","Top6","Reported","Top8")</f>
        <v>0</v>
      </c>
      <c r="AU10" s="15">
        <f>_xll.OneStreamExcelAddIn.XFFunctions.XFGetCell("True","Consol", $B10,"Tot_Entity","USD",AU$2,AU$3,AU$4,$C10,"TopFlow","Top","Top","Tot_Los","TOT_Dept_WO_Addbacks","TOT_Medicare",$A10,"Top5","Top6","Reported","Top8")</f>
        <v>31.318611110999999</v>
      </c>
      <c r="AV10" s="162">
        <f>+AT10-AU10</f>
        <v>-31.318611110999999</v>
      </c>
    </row>
    <row r="11" spans="1:53" x14ac:dyDescent="0.2">
      <c r="A11" s="16" t="str">
        <f>+$A$8</f>
        <v>Acute_DIV1</v>
      </c>
      <c r="B11" s="15">
        <f>+$B$8</f>
        <v>127</v>
      </c>
      <c r="C11" s="14" t="s">
        <v>106</v>
      </c>
      <c r="D11" s="14" t="s">
        <v>109</v>
      </c>
      <c r="E11" s="15">
        <f>_xll.OneStreamExcelAddIn.XFFunctions.XFGetCell("True","Consol", $B11,"Tot_Entity","USD",E$2,E$3,E$4,$C11,"TopFlow","Top","Top","Tot_Los","TOT_Dept_WO_Addbacks","TOT_Medicaid",$A11,"Top5","Top6","Reported","Top8")</f>
        <v>173</v>
      </c>
      <c r="F11" s="15">
        <f>_xll.OneStreamExcelAddIn.XFFunctions.XFGetCell("True","Consol", $B11,"Tot_Entity","Aggregated",F$2,F$3,F$4,$C11,"TopFlow","Top","Top","Tot_Los","TOT_Dept_WO_Addbacks","TOT_Medicaid",$A11,"Top5","Top6","Reported","Top8")</f>
        <v>167.99132388199999</v>
      </c>
      <c r="G11" s="21">
        <f>+E11-F11</f>
        <v>5.008676118000011</v>
      </c>
      <c r="M11" s="15">
        <f>_xll.OneStreamExcelAddIn.XFFunctions.XFGetCell("True","Consol", $B11,"Tot_Entity","USD",M$2,M$3,M$4,$C11,"TopFlow","Top","Top","Tot_Los","TOT_Dept_WO_Addbacks","TOT_Medicaid",$A11,"Top5","Top6","Reported","Top8")</f>
        <v>173</v>
      </c>
      <c r="N11" s="15">
        <f>_xll.OneStreamExcelAddIn.XFFunctions.XFGetCell("True","Consol", $B11,"Tot_Entity","USD",N$2,N$3,N$4,$C11,"TopFlow","Top","Top","Tot_Los","TOT_Dept_WO_Addbacks","TOT_Medicaid",$A11,"Top5","Top6","Reported","Top8")</f>
        <v>191</v>
      </c>
      <c r="O11" s="21">
        <f>+M11-N11</f>
        <v>-18</v>
      </c>
      <c r="Q11" s="21"/>
      <c r="R11" s="21"/>
      <c r="T11" s="21"/>
      <c r="V11" s="15">
        <f>_xll.OneStreamExcelAddIn.XFFunctions.XFGetCell("True","Consol", $B11,"Tot_Entity","USD",V$2,V$3,V$4,$C11,"TopFlow","Top","Top","Tot_Los","TOT_Dept_WO_Addbacks","TOT_Medicaid",$A11,"Top5","Top6","Reported","Top8")</f>
        <v>741</v>
      </c>
      <c r="W11" s="15">
        <f>_xll.OneStreamExcelAddIn.XFFunctions.XFGetCell("True","Consol", $B11,"Tot_Entity","Aggregated",W$2,W$3,W$4,$C11,"TopFlow","Top","Top","Tot_Los","TOT_Dept_WO_Addbacks","TOT_Medicaid",$A11,"Top5","Top6","Reported","Top8")</f>
        <v>721.34129523800004</v>
      </c>
      <c r="X11" s="21">
        <f>+V11-W11</f>
        <v>19.658704761999957</v>
      </c>
      <c r="AD11" s="15">
        <f>_xll.OneStreamExcelAddIn.XFFunctions.XFGetCell("True","Consol", $B11,"Tot_Entity","USD",AD$2,AD$3,AD$4,$C11,"TopFlow","Top","Top","Tot_Los","TOT_Dept_WO_Addbacks","TOT_Medicaid",$A11,"Top5","Top6","Reported","Top8")</f>
        <v>173</v>
      </c>
      <c r="AE11" s="15">
        <f>_xll.OneStreamExcelAddIn.XFFunctions.XFGetCell("True","Consol", $B11,"Tot_Entity","USD",AE$2,AE$3,AE$4,$C11,"TopFlow","Top","Top","Tot_Los","TOT_Dept_WO_Addbacks","TOT_Medicaid",$A11,"Top5","Top6","Reported","Top8")</f>
        <v>161</v>
      </c>
      <c r="AF11" s="21">
        <f>+AD11-AE11</f>
        <v>12</v>
      </c>
      <c r="AL11" s="15">
        <f>_xll.OneStreamExcelAddIn.XFFunctions.XFGetCell("True","Consol", $B11,"Tot_Entity","USD",AL$2,AL$3,AL$4,$C11,"TopFlow","Top","Top","Tot_Los","TOT_Dept_WO_Addbacks","TOT_Medicaid",$A11,"Top5","Top6","Reported","Top8")</f>
        <v>741</v>
      </c>
      <c r="AM11" s="15">
        <f>_xll.OneStreamExcelAddIn.XFFunctions.XFGetCell("True","Consol", $B11,"Tot_Entity","USD",AM$2,AM$3,AM$4,$C11,"TopFlow","Top","Top","Tot_Los","TOT_Dept_WO_Addbacks","TOT_Medicaid",$A11,"Top5","Top6","Reported","Top8")</f>
        <v>587</v>
      </c>
      <c r="AN11" s="21">
        <f>+AL11-AM11</f>
        <v>154</v>
      </c>
      <c r="AT11" s="15">
        <f>_xll.OneStreamExcelAddIn.XFFunctions.XFGetCell("True","Consol", $B11,"Tot_Entity","USD",AT$2,AT$3,AT$4,$C11,"TopFlow","Top","Top","Tot_Los","TOT_Dept_WO_Addbacks","TOT_Medicaid",$A11,"Top5","Top6","Reported","Top8")</f>
        <v>0</v>
      </c>
      <c r="AU11" s="15">
        <f>_xll.OneStreamExcelAddIn.XFFunctions.XFGetCell("True","Consol", $B11,"Tot_Entity","USD",AU$2,AU$3,AU$4,$C11,"TopFlow","Top","Top","Tot_Los","TOT_Dept_WO_Addbacks","TOT_Medicaid",$A11,"Top5","Top6","Reported","Top8")</f>
        <v>167.99132388199999</v>
      </c>
      <c r="AV11" s="162">
        <f>+AT11-AU11</f>
        <v>-167.99132388199999</v>
      </c>
    </row>
    <row r="12" spans="1:53" x14ac:dyDescent="0.2">
      <c r="A12" s="16" t="str">
        <f>+$A$8</f>
        <v>Acute_DIV1</v>
      </c>
      <c r="B12" s="15">
        <f>+$B$8</f>
        <v>127</v>
      </c>
      <c r="C12" s="14" t="s">
        <v>106</v>
      </c>
      <c r="D12" s="14" t="s">
        <v>110</v>
      </c>
      <c r="E12" s="15">
        <f>_xll.OneStreamExcelAddIn.XFFunctions.XFGetCell("True","Consol", $B12,"Tot_Entity","USD",E$2,E$3,E$4,$C12,"TopFlow","Top","Top","Tot_Los","TOT_Dept_WO_Addbacks","TOT_Comm",$A12,"Top5","Top6","Reported","Top8")</f>
        <v>49</v>
      </c>
      <c r="F12" s="15">
        <f>_xll.OneStreamExcelAddIn.XFFunctions.XFGetCell("True","Consol", $B12,"Tot_Entity","Aggregated",F$2,F$3,F$4,$C12,"TopFlow","Top","Top","Tot_Los","TOT_Dept_WO_Addbacks","TOT_Comm",$A12,"Top5","Top6","Reported","Top8")</f>
        <v>76.964823819000003</v>
      </c>
      <c r="G12" s="21">
        <f>+E12-F12</f>
        <v>-27.964823819000003</v>
      </c>
      <c r="M12" s="15">
        <f>_xll.OneStreamExcelAddIn.XFFunctions.XFGetCell("True","Consol", $B12,"Tot_Entity","USD",M$2,M$3,M$4,$C12,"TopFlow","Top","Top","Tot_Los","TOT_Dept_WO_Addbacks","TOT_Comm",$A12,"Top5","Top6","Reported","Top8")</f>
        <v>49</v>
      </c>
      <c r="N12" s="15">
        <f>_xll.OneStreamExcelAddIn.XFFunctions.XFGetCell("True","Consol", $B12,"Tot_Entity","USD",N$2,N$3,N$4,$C12,"TopFlow","Top","Top","Tot_Los","TOT_Dept_WO_Addbacks","TOT_Comm",$A12,"Top5","Top6","Reported","Top8")</f>
        <v>50</v>
      </c>
      <c r="O12" s="21">
        <f>+M12-N12</f>
        <v>-1</v>
      </c>
      <c r="Q12" s="21"/>
      <c r="R12" s="21"/>
      <c r="T12" s="21"/>
      <c r="V12" s="15">
        <f>_xll.OneStreamExcelAddIn.XFFunctions.XFGetCell("True","Consol", $B12,"Tot_Entity","USD",V$2,V$3,V$4,$C12,"TopFlow","Top","Top","Tot_Los","TOT_Dept_WO_Addbacks","TOT_Comm",$A12,"Top5","Top6","Reported","Top8")</f>
        <v>173</v>
      </c>
      <c r="W12" s="15">
        <f>_xll.OneStreamExcelAddIn.XFFunctions.XFGetCell("True","Consol", $B12,"Tot_Entity","Aggregated",W$2,W$3,W$4,$C12,"TopFlow","Top","Top","Tot_Los","TOT_Dept_WO_Addbacks","TOT_Comm",$A12,"Top5","Top6","Reported","Top8")</f>
        <v>235.72038575600001</v>
      </c>
      <c r="X12" s="21">
        <f>+V12-W12</f>
        <v>-62.720385756000013</v>
      </c>
      <c r="AD12" s="15">
        <f>_xll.OneStreamExcelAddIn.XFFunctions.XFGetCell("True","Consol", $B12,"Tot_Entity","USD",AD$2,AD$3,AD$4,$C12,"TopFlow","Top","Top","Tot_Los","TOT_Dept_WO_Addbacks","TOT_Comm",$A12,"Top5","Top6","Reported","Top8")</f>
        <v>49</v>
      </c>
      <c r="AE12" s="15">
        <f>_xll.OneStreamExcelAddIn.XFFunctions.XFGetCell("True","Consol", $B12,"Tot_Entity","USD",AE$2,AE$3,AE$4,$C12,"TopFlow","Top","Top","Tot_Los","TOT_Dept_WO_Addbacks","TOT_Comm",$A12,"Top5","Top6","Reported","Top8")</f>
        <v>44</v>
      </c>
      <c r="AF12" s="21">
        <f>+AD12-AE12</f>
        <v>5</v>
      </c>
      <c r="AL12" s="15">
        <f>_xll.OneStreamExcelAddIn.XFFunctions.XFGetCell("True","Consol", $B12,"Tot_Entity","USD",AL$2,AL$3,AL$4,$C12,"TopFlow","Top","Top","Tot_Los","TOT_Dept_WO_Addbacks","TOT_Comm",$A12,"Top5","Top6","Reported","Top8")</f>
        <v>173</v>
      </c>
      <c r="AM12" s="15">
        <f>_xll.OneStreamExcelAddIn.XFFunctions.XFGetCell("True","Consol", $B12,"Tot_Entity","USD",AM$2,AM$3,AM$4,$C12,"TopFlow","Top","Top","Tot_Los","TOT_Dept_WO_Addbacks","TOT_Comm",$A12,"Top5","Top6","Reported","Top8")</f>
        <v>173</v>
      </c>
      <c r="AN12" s="21">
        <f>+AL12-AM12</f>
        <v>0</v>
      </c>
      <c r="AT12" s="15">
        <f>_xll.OneStreamExcelAddIn.XFFunctions.XFGetCell("True","Consol", $B12,"Tot_Entity","USD",AT$2,AT$3,AT$4,$C12,"TopFlow","Top","Top","Tot_Los","TOT_Dept_WO_Addbacks","TOT_Comm",$A12,"Top5","Top6","Reported","Top8")</f>
        <v>0</v>
      </c>
      <c r="AU12" s="15">
        <f>_xll.OneStreamExcelAddIn.XFFunctions.XFGetCell("True","Consol", $B12,"Tot_Entity","USD",AU$2,AU$3,AU$4,$C12,"TopFlow","Top","Top","Tot_Los","TOT_Dept_WO_Addbacks","TOT_Comm",$A12,"Top5","Top6","Reported","Top8")</f>
        <v>76.964823819000003</v>
      </c>
      <c r="AV12" s="162">
        <f>+AT12-AU12</f>
        <v>-76.964823819000003</v>
      </c>
    </row>
    <row r="13" spans="1:53" x14ac:dyDescent="0.2">
      <c r="A13" s="16" t="str">
        <f>+$A$8</f>
        <v>Acute_DIV1</v>
      </c>
      <c r="B13" s="15">
        <f>+$B$8</f>
        <v>127</v>
      </c>
      <c r="C13" s="14" t="s">
        <v>106</v>
      </c>
      <c r="D13" s="14" t="s">
        <v>111</v>
      </c>
      <c r="E13" s="15">
        <f>_xll.OneStreamExcelAddIn.XFFunctions.XFGetCell("True","Consol", $B13,"Tot_Entity","USD",E$2,E$3,E$4,$C13,"TopFlow","Top","Top","Tot_Los","TOT_Dept_WO_Addbacks","TOT_Oth_Govt",$A13,"Top5","Top6","Reported","Top8")</f>
        <v>3</v>
      </c>
      <c r="F13" s="15">
        <f>_xll.OneStreamExcelAddIn.XFFunctions.XFGetCell("True","Consol", $B13,"Tot_Entity","Aggregated",F$2,F$3,F$4,$C13,"TopFlow","Top","Top","Tot_Los","TOT_Dept_WO_Addbacks","TOT_Oth_Govt",$A13,"Top5","Top6","Reported","Top8")</f>
        <v>1.7615384620000001</v>
      </c>
      <c r="G13" s="21">
        <f>+E13-F13</f>
        <v>1.2384615379999999</v>
      </c>
      <c r="M13" s="15">
        <f>_xll.OneStreamExcelAddIn.XFFunctions.XFGetCell("True","Consol", $B13,"Tot_Entity","USD",M$2,M$3,M$4,$C13,"TopFlow","Top","Top","Tot_Los","TOT_Dept_WO_Addbacks","TOT_Oth_Govt",$A13,"Top5","Top6","Reported","Top8")</f>
        <v>3</v>
      </c>
      <c r="N13" s="15">
        <f>_xll.OneStreamExcelAddIn.XFFunctions.XFGetCell("True","Consol", $B13,"Tot_Entity","USD",N$2,N$3,N$4,$C13,"TopFlow","Top","Top","Tot_Los","TOT_Dept_WO_Addbacks","TOT_Oth_Govt",$A13,"Top5","Top6","Reported","Top8")</f>
        <v>2</v>
      </c>
      <c r="O13" s="21">
        <f>+M13-N13</f>
        <v>1</v>
      </c>
      <c r="Q13" s="21"/>
      <c r="R13" s="21"/>
      <c r="T13" s="21"/>
      <c r="V13" s="15">
        <f>_xll.OneStreamExcelAddIn.XFFunctions.XFGetCell("True","Consol", $B13,"Tot_Entity","USD",V$2,V$3,V$4,$C13,"TopFlow","Top","Top","Tot_Los","TOT_Dept_WO_Addbacks","TOT_Oth_Govt",$A13,"Top5","Top6","Reported","Top8")</f>
        <v>10</v>
      </c>
      <c r="W13" s="15">
        <f>_xll.OneStreamExcelAddIn.XFFunctions.XFGetCell("True","Consol", $B13,"Tot_Entity","Aggregated",W$2,W$3,W$4,$C13,"TopFlow","Top","Top","Tot_Los","TOT_Dept_WO_Addbacks","TOT_Oth_Govt",$A13,"Top5","Top6","Reported","Top8")</f>
        <v>2.6891575099999998</v>
      </c>
      <c r="X13" s="21">
        <f>+V13-W13</f>
        <v>7.3108424900000006</v>
      </c>
      <c r="AD13" s="15">
        <f>_xll.OneStreamExcelAddIn.XFFunctions.XFGetCell("True","Consol", $B13,"Tot_Entity","USD",AD$2,AD$3,AD$4,$C13,"TopFlow","Top","Top","Tot_Los","TOT_Dept_WO_Addbacks","TOT_Oth_Govt",$A13,"Top5","Top6","Reported","Top8")</f>
        <v>3</v>
      </c>
      <c r="AE13" s="15">
        <f>_xll.OneStreamExcelAddIn.XFFunctions.XFGetCell("True","Consol", $B13,"Tot_Entity","USD",AE$2,AE$3,AE$4,$C13,"TopFlow","Top","Top","Tot_Los","TOT_Dept_WO_Addbacks","TOT_Oth_Govt",$A13,"Top5","Top6","Reported","Top8")</f>
        <v>2</v>
      </c>
      <c r="AF13" s="21">
        <f>+AD13-AE13</f>
        <v>1</v>
      </c>
      <c r="AL13" s="15">
        <f>_xll.OneStreamExcelAddIn.XFFunctions.XFGetCell("True","Consol", $B13,"Tot_Entity","USD",AL$2,AL$3,AL$4,$C13,"TopFlow","Top","Top","Tot_Los","TOT_Dept_WO_Addbacks","TOT_Oth_Govt",$A13,"Top5","Top6","Reported","Top8")</f>
        <v>10</v>
      </c>
      <c r="AM13" s="15">
        <f>_xll.OneStreamExcelAddIn.XFFunctions.XFGetCell("True","Consol", $B13,"Tot_Entity","USD",AM$2,AM$3,AM$4,$C13,"TopFlow","Top","Top","Tot_Los","TOT_Dept_WO_Addbacks","TOT_Oth_Govt",$A13,"Top5","Top6","Reported","Top8")</f>
        <v>5</v>
      </c>
      <c r="AN13" s="21">
        <f>+AL13-AM13</f>
        <v>5</v>
      </c>
      <c r="AT13" s="15">
        <f>_xll.OneStreamExcelAddIn.XFFunctions.XFGetCell("True","Consol", $B13,"Tot_Entity","USD",AT$2,AT$3,AT$4,$C13,"TopFlow","Top","Top","Tot_Los","TOT_Dept_WO_Addbacks","TOT_Oth_Govt",$A13,"Top5","Top6","Reported","Top8")</f>
        <v>0</v>
      </c>
      <c r="AU13" s="15">
        <f>_xll.OneStreamExcelAddIn.XFFunctions.XFGetCell("True","Consol", $B13,"Tot_Entity","USD",AU$2,AU$3,AU$4,$C13,"TopFlow","Top","Top","Tot_Los","TOT_Dept_WO_Addbacks","TOT_Oth_Govt",$A13,"Top5","Top6","Reported","Top8")</f>
        <v>1.7615384620000001</v>
      </c>
      <c r="AV13" s="162">
        <f>+AT13-AU13</f>
        <v>-1.7615384620000001</v>
      </c>
    </row>
    <row r="14" spans="1:53" x14ac:dyDescent="0.2">
      <c r="A14" s="16" t="str">
        <f>+$A$8</f>
        <v>Acute_DIV1</v>
      </c>
      <c r="B14" s="15">
        <f>+$B$8</f>
        <v>127</v>
      </c>
      <c r="C14" s="14" t="s">
        <v>106</v>
      </c>
      <c r="D14" s="14" t="s">
        <v>112</v>
      </c>
      <c r="E14" s="15">
        <f>_xll.OneStreamExcelAddIn.XFFunctions.XFGetCell("True","Consol", $B14,"Tot_Entity","USD",E$2,E$3,E$4,$C14,"TopFlow","Top","Top","Tot_Los","TOT_Dept_WO_Addbacks","TOT_Self_Pay_Oth",$A14,"Top5","Top6","Reported","Top8")</f>
        <v>5</v>
      </c>
      <c r="F14" s="15">
        <f>_xll.OneStreamExcelAddIn.XFFunctions.XFGetCell("True","Consol", $B14,"Tot_Entity","Aggregated",F$2,F$3,F$4,$C14,"TopFlow","Top","Top","Tot_Los","TOT_Dept_WO_Addbacks","TOT_Self_Pay_Oth",$A14,"Top5","Top6","Reported","Top8")</f>
        <v>6.1808333329999998</v>
      </c>
      <c r="G14" s="21">
        <f>+E14-F14</f>
        <v>-1.1808333329999998</v>
      </c>
      <c r="M14" s="15">
        <f>_xll.OneStreamExcelAddIn.XFFunctions.XFGetCell("True","Consol", $B14,"Tot_Entity","USD",M$2,M$3,M$4,$C14,"TopFlow","Top","Top","Tot_Los","TOT_Dept_WO_Addbacks","TOT_Self_Pay_Oth",$A14,"Top5","Top6","Reported","Top8")</f>
        <v>5</v>
      </c>
      <c r="N14" s="15">
        <f>_xll.OneStreamExcelAddIn.XFFunctions.XFGetCell("True","Consol", $B14,"Tot_Entity","USD",N$2,N$3,N$4,$C14,"TopFlow","Top","Top","Tot_Los","TOT_Dept_WO_Addbacks","TOT_Self_Pay_Oth",$A14,"Top5","Top6","Reported","Top8")</f>
        <v>1</v>
      </c>
      <c r="O14" s="21">
        <f>+M14-N14</f>
        <v>4</v>
      </c>
      <c r="Q14" s="21"/>
      <c r="R14" s="21"/>
      <c r="T14" s="21"/>
      <c r="V14" s="15">
        <f>_xll.OneStreamExcelAddIn.XFFunctions.XFGetCell("True","Consol", $B14,"Tot_Entity","USD",V$2,V$3,V$4,$C14,"TopFlow","Top","Top","Tot_Los","TOT_Dept_WO_Addbacks","TOT_Self_Pay_Oth",$A14,"Top5","Top6","Reported","Top8")</f>
        <v>14</v>
      </c>
      <c r="W14" s="15">
        <f>_xll.OneStreamExcelAddIn.XFFunctions.XFGetCell("True","Consol", $B14,"Tot_Entity","Aggregated",W$2,W$3,W$4,$C14,"TopFlow","Top","Top","Tot_Los","TOT_Dept_WO_Addbacks","TOT_Self_Pay_Oth",$A14,"Top5","Top6","Reported","Top8")</f>
        <v>12.845725108</v>
      </c>
      <c r="X14" s="21">
        <f>+V14-W14</f>
        <v>1.1542748920000001</v>
      </c>
      <c r="AD14" s="15">
        <f>_xll.OneStreamExcelAddIn.XFFunctions.XFGetCell("True","Consol", $B14,"Tot_Entity","USD",AD$2,AD$3,AD$4,$C14,"TopFlow","Top","Top","Tot_Los","TOT_Dept_WO_Addbacks","TOT_Self_Pay_Oth",$A14,"Top5","Top6","Reported","Top8")</f>
        <v>5</v>
      </c>
      <c r="AE14" s="15">
        <f>_xll.OneStreamExcelAddIn.XFFunctions.XFGetCell("True","Consol", $B14,"Tot_Entity","USD",AE$2,AE$3,AE$4,$C14,"TopFlow","Top","Top","Tot_Los","TOT_Dept_WO_Addbacks","TOT_Self_Pay_Oth",$A14,"Top5","Top6","Reported","Top8")</f>
        <v>5</v>
      </c>
      <c r="AF14" s="21">
        <f>+AD14-AE14</f>
        <v>0</v>
      </c>
      <c r="AL14" s="15">
        <f>_xll.OneStreamExcelAddIn.XFFunctions.XFGetCell("True","Consol", $B14,"Tot_Entity","USD",AL$2,AL$3,AL$4,$C14,"TopFlow","Top","Top","Tot_Los","TOT_Dept_WO_Addbacks","TOT_Self_Pay_Oth",$A14,"Top5","Top6","Reported","Top8")</f>
        <v>14</v>
      </c>
      <c r="AM14" s="15">
        <f>_xll.OneStreamExcelAddIn.XFFunctions.XFGetCell("True","Consol", $B14,"Tot_Entity","USD",AM$2,AM$3,AM$4,$C14,"TopFlow","Top","Top","Tot_Los","TOT_Dept_WO_Addbacks","TOT_Self_Pay_Oth",$A14,"Top5","Top6","Reported","Top8")</f>
        <v>12</v>
      </c>
      <c r="AN14" s="21">
        <f>+AL14-AM14</f>
        <v>2</v>
      </c>
      <c r="AT14" s="15">
        <f>_xll.OneStreamExcelAddIn.XFFunctions.XFGetCell("True","Consol", $B14,"Tot_Entity","USD",AT$2,AT$3,AT$4,$C14,"TopFlow","Top","Top","Tot_Los","TOT_Dept_WO_Addbacks","TOT_Self_Pay_Oth",$A14,"Top5","Top6","Reported","Top8")</f>
        <v>0</v>
      </c>
      <c r="AU14" s="15">
        <f>_xll.OneStreamExcelAddIn.XFFunctions.XFGetCell("True","Consol", $B14,"Tot_Entity","USD",AU$2,AU$3,AU$4,$C14,"TopFlow","Top","Top","Tot_Los","TOT_Dept_WO_Addbacks","TOT_Self_Pay_Oth",$A14,"Top5","Top6","Reported","Top8")</f>
        <v>6.1808333329999998</v>
      </c>
      <c r="AV14" s="162">
        <f>+AT14-AU14</f>
        <v>-6.1808333329999998</v>
      </c>
    </row>
    <row r="15" spans="1:53" hidden="1" outlineLevel="1" x14ac:dyDescent="0.2">
      <c r="B15" s="46"/>
      <c r="E15" s="1" t="b">
        <f>E8=SUM(E10:E14)</f>
        <v>1</v>
      </c>
      <c r="F15" s="1" t="b">
        <f>F8=SUM(F10:F14)</f>
        <v>1</v>
      </c>
      <c r="M15" s="1" t="b">
        <f>M8=SUM(M10:M14)</f>
        <v>1</v>
      </c>
      <c r="N15" s="1" t="b">
        <f>N8=SUM(N10:N14)</f>
        <v>1</v>
      </c>
      <c r="V15" s="1" t="b">
        <f>V8=SUM(V10:V14)</f>
        <v>1</v>
      </c>
      <c r="W15" s="1" t="b">
        <f>W8=SUM(W10:W14)</f>
        <v>1</v>
      </c>
      <c r="AD15" s="1" t="b">
        <f>AD8=SUM(AD10:AD14)</f>
        <v>1</v>
      </c>
      <c r="AE15" s="1" t="b">
        <f>AE8=SUM(AE10:AE14)</f>
        <v>1</v>
      </c>
      <c r="AL15" s="1" t="b">
        <f>AL8=SUM(AL10:AL14)</f>
        <v>1</v>
      </c>
      <c r="AM15" s="1" t="b">
        <f>AM8=SUM(AM10:AM14)</f>
        <v>1</v>
      </c>
      <c r="AT15" s="1" t="b">
        <f>AT8=SUM(AT10:AT14)</f>
        <v>1</v>
      </c>
      <c r="AU15" s="1" t="b">
        <f>AU8=SUM(AU10:AU14)</f>
        <v>1</v>
      </c>
    </row>
    <row r="16" spans="1:53" collapsed="1" x14ac:dyDescent="0.2">
      <c r="B16" s="46"/>
      <c r="E16" s="17"/>
      <c r="F16" s="17"/>
    </row>
    <row r="17" spans="1:48" x14ac:dyDescent="0.2">
      <c r="A17" s="16" t="str">
        <f t="shared" ref="A17:A27" si="0">+$A$8</f>
        <v>Acute_DIV1</v>
      </c>
      <c r="B17" s="15">
        <f t="shared" ref="B17:B27" si="1">+$B$8</f>
        <v>127</v>
      </c>
      <c r="C17" s="14" t="s">
        <v>106</v>
      </c>
      <c r="D17" s="14" t="s">
        <v>113</v>
      </c>
      <c r="E17" s="15">
        <f>_xll.OneStreamExcelAddIn.XFFunctions.XFGetCell("True","Consol", $B17,"Tot_Entity","USD",E$2,E$3,E$4,$C17,"TopFlow","Top","Top","Tot_Los","TOT_IP_Child","Tot_FC",$A17,"Top5","Top6","Reported","Top8")</f>
        <v>0</v>
      </c>
      <c r="F17" s="15">
        <f>_xll.OneStreamExcelAddIn.XFFunctions.XFGetCell("True","Consol", $B17,"Tot_Entity","Aggregated",F$2,F$3,F$4,$C17,"TopFlow","Top","Top","Tot_Los","TOT_IP_Child","TOP3",$A17,"Top5","Top6","Reported","Top8")</f>
        <v>0</v>
      </c>
      <c r="G17" s="21">
        <f t="shared" ref="G17:G27" si="2">+E17-F17</f>
        <v>0</v>
      </c>
      <c r="M17" s="15">
        <f>_xll.OneStreamExcelAddIn.XFFunctions.XFGetCell("True","Consol", $B17,"Tot_Entity","USD",M$2,M$3,M$4,$C17,"TopFlow","Top","Top","Tot_Los","TOT_IP_Child","Tot_FC",$A17,"Top5","Top6","Reported","Top8")</f>
        <v>0</v>
      </c>
      <c r="N17" s="15">
        <f>_xll.OneStreamExcelAddIn.XFFunctions.XFGetCell("True","Consol", $B17,"Tot_Entity","USD",N$2,N$3,N$4,$C17,"TopFlow","Top","Top","Tot_Los","TOT_IP_Child","Tot_FC",$A17,"Top5","Top6","Reported","Top8")</f>
        <v>0</v>
      </c>
      <c r="O17" s="21">
        <f t="shared" ref="O17:O27" si="3">+M17-N17</f>
        <v>0</v>
      </c>
      <c r="Q17" s="21"/>
      <c r="R17" s="21"/>
      <c r="T17" s="21"/>
      <c r="V17" s="15">
        <f>_xll.OneStreamExcelAddIn.XFFunctions.XFGetCell("True","Consol", $B17,"Tot_Entity","USD",V$2,V$3,V$4,$C17,"TopFlow","Top","Top","Tot_Los","TOT_IP_Child","Tot_FC",$A17,"Top5","Top6","Reported","Top8")</f>
        <v>0</v>
      </c>
      <c r="W17" s="15">
        <f>_xll.OneStreamExcelAddIn.XFFunctions.XFGetCell("True","Consol", $B17,"Tot_Entity","Aggregated",W$2,W$3,W$4,$C17,"TopFlow","Top","Top","Tot_Los","TOT_IP_Child","TOP3",$A17,"Top5","Top6","Reported","Top8")</f>
        <v>0</v>
      </c>
      <c r="X17" s="21">
        <f t="shared" ref="X17:X27" si="4">+V17-W17</f>
        <v>0</v>
      </c>
      <c r="AD17" s="15">
        <f>_xll.OneStreamExcelAddIn.XFFunctions.XFGetCell("True","Consol", $B17,"Tot_Entity","USD",AD$2,AD$3,AD$4,$C17,"TopFlow","Top","Top","Tot_Los","TOT_IP_Child","Tot_FC",$A17,"Top5","Top6","Reported","Top8")</f>
        <v>0</v>
      </c>
      <c r="AE17" s="15">
        <f>_xll.OneStreamExcelAddIn.XFFunctions.XFGetCell("True","Consol", $B17,"Tot_Entity","USD",AE$2,AE$3,AE$4,$C17,"TopFlow","Top","Top","Tot_Los","TOT_IP_Child","Tot_FC",$A17,"Top5","Top6","Reported","Top8")</f>
        <v>0</v>
      </c>
      <c r="AF17" s="21">
        <f t="shared" ref="AF17:AF27" si="5">+AD17-AE17</f>
        <v>0</v>
      </c>
      <c r="AL17" s="15">
        <f>_xll.OneStreamExcelAddIn.XFFunctions.XFGetCell("True","Consol", $B17,"Tot_Entity","USD",AL$2,AL$3,AL$4,$C17,"TopFlow","Top","Top","Tot_Los","TOT_IP_Child","Tot_FC",$A17,"Top5","Top6","Reported","Top8")</f>
        <v>0</v>
      </c>
      <c r="AM17" s="15">
        <f>_xll.OneStreamExcelAddIn.XFFunctions.XFGetCell("True","Consol", $B17,"Tot_Entity","USD",AM$2,AM$3,AM$4,$C17,"TopFlow","Top","Top","Tot_Los","TOT_IP_Child","Tot_FC",$A17,"Top5","Top6","Reported","Top8")</f>
        <v>0</v>
      </c>
      <c r="AN17" s="21">
        <f t="shared" ref="AN17:AN27" si="6">+AL17-AM17</f>
        <v>0</v>
      </c>
      <c r="AT17" s="15">
        <f>_xll.OneStreamExcelAddIn.XFFunctions.XFGetCell("True","Consol", $B17,"Tot_Entity","USD",AT$2,AT$3,AT$4,$C17,"TopFlow","Top","Top","Tot_Los","TOT_IP_Child","Tot_FC",$A17,"Top5","Top6","Reported","Top8")</f>
        <v>0</v>
      </c>
      <c r="AU17" s="15">
        <f>_xll.OneStreamExcelAddIn.XFFunctions.XFGetCell("True","Consol", $B17,"Tot_Entity","USD",AU$2,AU$3,AU$4,$C17,"TopFlow","Top","Top","Tot_Los","TOT_IP_Child","Tot_FC",$A17,"Top5","Top6","Reported","Top8")</f>
        <v>0</v>
      </c>
      <c r="AV17" s="162">
        <f t="shared" ref="AV17:AV27" si="7">+AT17-AU17</f>
        <v>0</v>
      </c>
    </row>
    <row r="18" spans="1:48" x14ac:dyDescent="0.2">
      <c r="A18" s="16" t="str">
        <f t="shared" si="0"/>
        <v>Acute_DIV1</v>
      </c>
      <c r="B18" s="15">
        <f t="shared" si="1"/>
        <v>127</v>
      </c>
      <c r="C18" s="14" t="s">
        <v>106</v>
      </c>
      <c r="D18" s="14" t="s">
        <v>114</v>
      </c>
      <c r="E18" s="15">
        <f>_xll.OneStreamExcelAddIn.XFFunctions.XFGetCell("True","Consol", $B18,"Tot_Entity","USD",E$2,E$3,E$4,$C18,"TopFlow","Top","Top","Tot_Los","TOT_IP_Pre_Adolescent","Tot_FC",$A18,"Top5","Top6","Reported","Top8")</f>
        <v>0</v>
      </c>
      <c r="F18" s="15">
        <f>_xll.OneStreamExcelAddIn.XFFunctions.XFGetCell("True","Consol", $B18,"Tot_Entity","Aggregated",F$2,F$3,F$4,$C18,"TopFlow","Top","Top","Tot_Los","TOT_IP_Pre_Adolescent","TOP3",$A18,"Top5","Top6","Reported","Top8")</f>
        <v>0</v>
      </c>
      <c r="G18" s="21">
        <f t="shared" si="2"/>
        <v>0</v>
      </c>
      <c r="M18" s="15">
        <f>_xll.OneStreamExcelAddIn.XFFunctions.XFGetCell("True","Consol", $B18,"Tot_Entity","USD",M$2,M$3,M$4,$C18,"TopFlow","Top","Top","Tot_Los","TOT_IP_Pre_Adolescent","Tot_FC",$A18,"Top5","Top6","Reported","Top8")</f>
        <v>0</v>
      </c>
      <c r="N18" s="15">
        <f>_xll.OneStreamExcelAddIn.XFFunctions.XFGetCell("True","Consol", $B18,"Tot_Entity","USD",N$2,N$3,N$4,$C18,"TopFlow","Top","Top","Tot_Los","TOT_IP_Pre_Adolescent","Tot_FC",$A18,"Top5","Top6","Reported","Top8")</f>
        <v>0</v>
      </c>
      <c r="O18" s="21">
        <f t="shared" si="3"/>
        <v>0</v>
      </c>
      <c r="Q18" s="21"/>
      <c r="R18" s="21"/>
      <c r="T18" s="21"/>
      <c r="V18" s="15">
        <f>_xll.OneStreamExcelAddIn.XFFunctions.XFGetCell("True","Consol", $B18,"Tot_Entity","USD",V$2,V$3,V$4,$C18,"TopFlow","Top","Top","Tot_Los","TOT_IP_Pre_Adolescent","Tot_FC",$A18,"Top5","Top6","Reported","Top8")</f>
        <v>0</v>
      </c>
      <c r="W18" s="15">
        <f>_xll.OneStreamExcelAddIn.XFFunctions.XFGetCell("True","Consol", $B18,"Tot_Entity","Aggregated",W$2,W$3,W$4,$C18,"TopFlow","Top","Top","Tot_Los","TOT_IP_Pre_Adolescent","TOP3",$A18,"Top5","Top6","Reported","Top8")</f>
        <v>0</v>
      </c>
      <c r="X18" s="21">
        <f t="shared" si="4"/>
        <v>0</v>
      </c>
      <c r="AD18" s="15">
        <f>_xll.OneStreamExcelAddIn.XFFunctions.XFGetCell("True","Consol", $B18,"Tot_Entity","USD",AD$2,AD$3,AD$4,$C18,"TopFlow","Top","Top","Tot_Los","TOT_IP_Pre_Adolescent","Tot_FC",$A18,"Top5","Top6","Reported","Top8")</f>
        <v>0</v>
      </c>
      <c r="AE18" s="15">
        <f>_xll.OneStreamExcelAddIn.XFFunctions.XFGetCell("True","Consol", $B18,"Tot_Entity","USD",AE$2,AE$3,AE$4,$C18,"TopFlow","Top","Top","Tot_Los","TOT_IP_Pre_Adolescent","Tot_FC",$A18,"Top5","Top6","Reported","Top8")</f>
        <v>0</v>
      </c>
      <c r="AF18" s="21">
        <f t="shared" si="5"/>
        <v>0</v>
      </c>
      <c r="AL18" s="15">
        <f>_xll.OneStreamExcelAddIn.XFFunctions.XFGetCell("True","Consol", $B18,"Tot_Entity","USD",AL$2,AL$3,AL$4,$C18,"TopFlow","Top","Top","Tot_Los","TOT_IP_Pre_Adolescent","Tot_FC",$A18,"Top5","Top6","Reported","Top8")</f>
        <v>0</v>
      </c>
      <c r="AM18" s="15">
        <f>_xll.OneStreamExcelAddIn.XFFunctions.XFGetCell("True","Consol", $B18,"Tot_Entity","USD",AM$2,AM$3,AM$4,$C18,"TopFlow","Top","Top","Tot_Los","TOT_IP_Pre_Adolescent","Tot_FC",$A18,"Top5","Top6","Reported","Top8")</f>
        <v>0</v>
      </c>
      <c r="AN18" s="21">
        <f t="shared" si="6"/>
        <v>0</v>
      </c>
      <c r="AT18" s="15">
        <f>_xll.OneStreamExcelAddIn.XFFunctions.XFGetCell("True","Consol", $B18,"Tot_Entity","USD",AT$2,AT$3,AT$4,$C18,"TopFlow","Top","Top","Tot_Los","TOT_IP_Pre_Adolescent","Tot_FC",$A18,"Top5","Top6","Reported","Top8")</f>
        <v>0</v>
      </c>
      <c r="AU18" s="15">
        <f>_xll.OneStreamExcelAddIn.XFFunctions.XFGetCell("True","Consol", $B18,"Tot_Entity","USD",AU$2,AU$3,AU$4,$C18,"TopFlow","Top","Top","Tot_Los","TOT_IP_Pre_Adolescent","Tot_FC",$A18,"Top5","Top6","Reported","Top8")</f>
        <v>0</v>
      </c>
      <c r="AV18" s="162">
        <f t="shared" si="7"/>
        <v>0</v>
      </c>
    </row>
    <row r="19" spans="1:48" x14ac:dyDescent="0.2">
      <c r="A19" s="16" t="str">
        <f t="shared" si="0"/>
        <v>Acute_DIV1</v>
      </c>
      <c r="B19" s="15">
        <f t="shared" si="1"/>
        <v>127</v>
      </c>
      <c r="C19" s="14" t="s">
        <v>106</v>
      </c>
      <c r="D19" s="14" t="s">
        <v>115</v>
      </c>
      <c r="E19" s="15">
        <f>_xll.OneStreamExcelAddIn.XFFunctions.XFGetCell("True","Consol", $B19,"Tot_Entity","USD",E$2,E$3,E$4,$C19,"TopFlow","Top","Top","Tot_Los","TOT_IP_Adolescent","Tot_FC",$A19,"Top5","Top6","Reported","Top8")</f>
        <v>101</v>
      </c>
      <c r="F19" s="15">
        <f>_xll.OneStreamExcelAddIn.XFFunctions.XFGetCell("True","Consol", $B19,"Tot_Entity","Aggregated",F$2,F$3,F$4,$C19,"TopFlow","Top","Top","Tot_Los","TOT_IP_Adolescent","TOP3",$A19,"Top5","Top6","Reported","Top8")</f>
        <v>99.419051089999996</v>
      </c>
      <c r="G19" s="21">
        <f t="shared" si="2"/>
        <v>1.5809489100000036</v>
      </c>
      <c r="M19" s="15">
        <f>_xll.OneStreamExcelAddIn.XFFunctions.XFGetCell("True","Consol", $B19,"Tot_Entity","USD",M$2,M$3,M$4,$C19,"TopFlow","Top","Top","Tot_Los","TOT_IP_Adolescent","Tot_FC",$A19,"Top5","Top6","Reported","Top8")</f>
        <v>101</v>
      </c>
      <c r="N19" s="15">
        <f>_xll.OneStreamExcelAddIn.XFFunctions.XFGetCell("True","Consol", $B19,"Tot_Entity","USD",N$2,N$3,N$4,$C19,"TopFlow","Top","Top","Tot_Los","TOT_IP_Adolescent","Tot_FC",$A19,"Top5","Top6","Reported","Top8")</f>
        <v>97</v>
      </c>
      <c r="O19" s="21">
        <f t="shared" si="3"/>
        <v>4</v>
      </c>
      <c r="Q19" s="21"/>
      <c r="R19" s="21"/>
      <c r="T19" s="21"/>
      <c r="V19" s="15">
        <f>_xll.OneStreamExcelAddIn.XFFunctions.XFGetCell("True","Consol", $B19,"Tot_Entity","USD",V$2,V$3,V$4,$C19,"TopFlow","Top","Top","Tot_Los","TOT_IP_Adolescent","Tot_FC",$A19,"Top5","Top6","Reported","Top8")</f>
        <v>374</v>
      </c>
      <c r="W19" s="15">
        <f>_xll.OneStreamExcelAddIn.XFFunctions.XFGetCell("True","Consol", $B19,"Tot_Entity","Aggregated",W$2,W$3,W$4,$C19,"TopFlow","Top","Top","Tot_Los","TOT_IP_Adolescent","TOP3",$A19,"Top5","Top6","Reported","Top8")</f>
        <v>373.31480866499999</v>
      </c>
      <c r="X19" s="21">
        <f t="shared" si="4"/>
        <v>0.68519133500001317</v>
      </c>
      <c r="AD19" s="15">
        <f>_xll.OneStreamExcelAddIn.XFFunctions.XFGetCell("True","Consol", $B19,"Tot_Entity","USD",AD$2,AD$3,AD$4,$C19,"TopFlow","Top","Top","Tot_Los","TOT_IP_Adolescent","Tot_FC",$A19,"Top5","Top6","Reported","Top8")</f>
        <v>101</v>
      </c>
      <c r="AE19" s="15">
        <f>_xll.OneStreamExcelAddIn.XFFunctions.XFGetCell("True","Consol", $B19,"Tot_Entity","USD",AE$2,AE$3,AE$4,$C19,"TopFlow","Top","Top","Tot_Los","TOT_IP_Adolescent","Tot_FC",$A19,"Top5","Top6","Reported","Top8")</f>
        <v>82</v>
      </c>
      <c r="AF19" s="21">
        <f t="shared" si="5"/>
        <v>19</v>
      </c>
      <c r="AL19" s="15">
        <f>_xll.OneStreamExcelAddIn.XFFunctions.XFGetCell("True","Consol", $B19,"Tot_Entity","USD",AL$2,AL$3,AL$4,$C19,"TopFlow","Top","Top","Tot_Los","TOT_IP_Adolescent","Tot_FC",$A19,"Top5","Top6","Reported","Top8")</f>
        <v>374</v>
      </c>
      <c r="AM19" s="15">
        <f>_xll.OneStreamExcelAddIn.XFFunctions.XFGetCell("True","Consol", $B19,"Tot_Entity","USD",AM$2,AM$3,AM$4,$C19,"TopFlow","Top","Top","Tot_Los","TOT_IP_Adolescent","Tot_FC",$A19,"Top5","Top6","Reported","Top8")</f>
        <v>245</v>
      </c>
      <c r="AN19" s="21">
        <f t="shared" si="6"/>
        <v>129</v>
      </c>
      <c r="AT19" s="15">
        <f>_xll.OneStreamExcelAddIn.XFFunctions.XFGetCell("True","Consol", $B19,"Tot_Entity","USD",AT$2,AT$3,AT$4,$C19,"TopFlow","Top","Top","Tot_Los","TOT_IP_Adolescent","Tot_FC",$A19,"Top5","Top6","Reported","Top8")</f>
        <v>0</v>
      </c>
      <c r="AU19" s="15">
        <f>_xll.OneStreamExcelAddIn.XFFunctions.XFGetCell("True","Consol", $B19,"Tot_Entity","USD",AU$2,AU$3,AU$4,$C19,"TopFlow","Top","Top","Tot_Los","TOT_IP_Adolescent","Tot_FC",$A19,"Top5","Top6","Reported","Top8")</f>
        <v>99.419051089999996</v>
      </c>
      <c r="AV19" s="162">
        <f t="shared" si="7"/>
        <v>-99.419051089999996</v>
      </c>
    </row>
    <row r="20" spans="1:48" x14ac:dyDescent="0.2">
      <c r="A20" s="16" t="str">
        <f t="shared" si="0"/>
        <v>Acute_DIV1</v>
      </c>
      <c r="B20" s="15">
        <f t="shared" si="1"/>
        <v>127</v>
      </c>
      <c r="C20" s="14" t="s">
        <v>106</v>
      </c>
      <c r="D20" s="14" t="s">
        <v>116</v>
      </c>
      <c r="E20" s="15">
        <f>_xll.OneStreamExcelAddIn.XFFunctions.XFGetCell("True","Consol", $B20,"Tot_Entity","USD",E$2,E$3,E$4,$C20,"TopFlow","Top","Top","Tot_Los","TOT_IP_Adult","Tot_FC",$A20,"Top5","Top6","Reported","Top8")</f>
        <v>113</v>
      </c>
      <c r="F20" s="15">
        <f>_xll.OneStreamExcelAddIn.XFFunctions.XFGetCell("True","Consol", $B20,"Tot_Entity","Aggregated",F$2,F$3,F$4,$C20,"TopFlow","Top","Top","Tot_Los","TOT_IP_Adult","TOP3",$A20,"Top5","Top6","Reported","Top8")</f>
        <v>143.98437427900001</v>
      </c>
      <c r="G20" s="21">
        <f t="shared" si="2"/>
        <v>-30.984374279000008</v>
      </c>
      <c r="M20" s="15">
        <f>_xll.OneStreamExcelAddIn.XFFunctions.XFGetCell("True","Consol", $B20,"Tot_Entity","USD",M$2,M$3,M$4,$C20,"TopFlow","Top","Top","Tot_Los","TOT_IP_Adult","Tot_FC",$A20,"Top5","Top6","Reported","Top8")</f>
        <v>113</v>
      </c>
      <c r="N20" s="15">
        <f>_xll.OneStreamExcelAddIn.XFFunctions.XFGetCell("True","Consol", $B20,"Tot_Entity","USD",N$2,N$3,N$4,$C20,"TopFlow","Top","Top","Tot_Los","TOT_IP_Adult","Tot_FC",$A20,"Top5","Top6","Reported","Top8")</f>
        <v>119</v>
      </c>
      <c r="O20" s="21">
        <f t="shared" si="3"/>
        <v>-6</v>
      </c>
      <c r="Q20" s="21"/>
      <c r="R20" s="21"/>
      <c r="T20" s="21"/>
      <c r="V20" s="15">
        <f>_xll.OneStreamExcelAddIn.XFFunctions.XFGetCell("True","Consol", $B20,"Tot_Entity","USD",V$2,V$3,V$4,$C20,"TopFlow","Top","Top","Tot_Los","TOT_IP_Adult","Tot_FC",$A20,"Top5","Top6","Reported","Top8")</f>
        <v>471</v>
      </c>
      <c r="W20" s="15">
        <f>_xll.OneStreamExcelAddIn.XFFunctions.XFGetCell("True","Consol", $B20,"Tot_Entity","Aggregated",W$2,W$3,W$4,$C20,"TopFlow","Top","Top","Tot_Los","TOT_IP_Adult","TOP3",$A20,"Top5","Top6","Reported","Top8")</f>
        <v>594.97571626800004</v>
      </c>
      <c r="X20" s="21">
        <f t="shared" si="4"/>
        <v>-123.97571626800004</v>
      </c>
      <c r="AD20" s="15">
        <f>_xll.OneStreamExcelAddIn.XFFunctions.XFGetCell("True","Consol", $B20,"Tot_Entity","USD",AD$2,AD$3,AD$4,$C20,"TopFlow","Top","Top","Tot_Los","TOT_IP_Adult","Tot_FC",$A20,"Top5","Top6","Reported","Top8")</f>
        <v>113</v>
      </c>
      <c r="AE20" s="15">
        <f>_xll.OneStreamExcelAddIn.XFFunctions.XFGetCell("True","Consol", $B20,"Tot_Entity","USD",AE$2,AE$3,AE$4,$C20,"TopFlow","Top","Top","Tot_Los","TOT_IP_Adult","Tot_FC",$A20,"Top5","Top6","Reported","Top8")</f>
        <v>115</v>
      </c>
      <c r="AF20" s="21">
        <f t="shared" si="5"/>
        <v>-2</v>
      </c>
      <c r="AL20" s="15">
        <f>_xll.OneStreamExcelAddIn.XFFunctions.XFGetCell("True","Consol", $B20,"Tot_Entity","USD",AL$2,AL$3,AL$4,$C20,"TopFlow","Top","Top","Tot_Los","TOT_IP_Adult","Tot_FC",$A20,"Top5","Top6","Reported","Top8")</f>
        <v>471</v>
      </c>
      <c r="AM20" s="15">
        <f>_xll.OneStreamExcelAddIn.XFFunctions.XFGetCell("True","Consol", $B20,"Tot_Entity","USD",AM$2,AM$3,AM$4,$C20,"TopFlow","Top","Top","Tot_Los","TOT_IP_Adult","Tot_FC",$A20,"Top5","Top6","Reported","Top8")</f>
        <v>471</v>
      </c>
      <c r="AN20" s="21">
        <f t="shared" si="6"/>
        <v>0</v>
      </c>
      <c r="AT20" s="15">
        <f>_xll.OneStreamExcelAddIn.XFFunctions.XFGetCell("True","Consol", $B20,"Tot_Entity","USD",AT$2,AT$3,AT$4,$C20,"TopFlow","Top","Top","Tot_Los","TOT_IP_Adult","Tot_FC",$A20,"Top5","Top6","Reported","Top8")</f>
        <v>0</v>
      </c>
      <c r="AU20" s="15">
        <f>_xll.OneStreamExcelAddIn.XFFunctions.XFGetCell("True","Consol", $B20,"Tot_Entity","USD",AU$2,AU$3,AU$4,$C20,"TopFlow","Top","Top","Tot_Los","TOT_IP_Adult","Tot_FC",$A20,"Top5","Top6","Reported","Top8")</f>
        <v>143.98437427900001</v>
      </c>
      <c r="AV20" s="162">
        <f t="shared" si="7"/>
        <v>-143.98437427900001</v>
      </c>
    </row>
    <row r="21" spans="1:48" x14ac:dyDescent="0.2">
      <c r="A21" s="16" t="str">
        <f t="shared" si="0"/>
        <v>Acute_DIV1</v>
      </c>
      <c r="B21" s="15">
        <f t="shared" si="1"/>
        <v>127</v>
      </c>
      <c r="C21" s="14" t="s">
        <v>106</v>
      </c>
      <c r="D21" s="14" t="s">
        <v>117</v>
      </c>
      <c r="E21" s="15">
        <f>_xll.OneStreamExcelAddIn.XFFunctions.XFGetCell("True","Consol", $B21,"Tot_Entity","USD",E$2,E$3,E$4,$C21,"TopFlow","Top","Top","Tot_Los","TOT_IP_Chem_Dep","Tot_FC",$A21,"Top5","Top6","Reported","Top8")</f>
        <v>0</v>
      </c>
      <c r="F21" s="15">
        <f>_xll.OneStreamExcelAddIn.XFFunctions.XFGetCell("True","Consol", $B21,"Tot_Entity","Aggregated",F$2,F$3,F$4,$C21,"TopFlow","Top","Top","Tot_Los","TOT_IP_Chem_Dep","TOP3",$A21,"Top5","Top6","Reported","Top8")</f>
        <v>0</v>
      </c>
      <c r="G21" s="21">
        <f t="shared" si="2"/>
        <v>0</v>
      </c>
      <c r="M21" s="15">
        <f>_xll.OneStreamExcelAddIn.XFFunctions.XFGetCell("True","Consol", $B21,"Tot_Entity","USD",M$2,M$3,M$4,$C21,"TopFlow","Top","Top","Tot_Los","TOT_IP_Chem_Dep","Tot_FC",$A21,"Top5","Top6","Reported","Top8")</f>
        <v>0</v>
      </c>
      <c r="N21" s="15">
        <f>_xll.OneStreamExcelAddIn.XFFunctions.XFGetCell("True","Consol", $B21,"Tot_Entity","USD",N$2,N$3,N$4,$C21,"TopFlow","Top","Top","Tot_Los","TOT_IP_Chem_Dep","Tot_FC",$A21,"Top5","Top6","Reported","Top8")</f>
        <v>0</v>
      </c>
      <c r="O21" s="21">
        <f t="shared" si="3"/>
        <v>0</v>
      </c>
      <c r="Q21" s="21"/>
      <c r="R21" s="21"/>
      <c r="T21" s="21"/>
      <c r="V21" s="15">
        <f>_xll.OneStreamExcelAddIn.XFFunctions.XFGetCell("True","Consol", $B21,"Tot_Entity","USD",V$2,V$3,V$4,$C21,"TopFlow","Top","Top","Tot_Los","TOT_IP_Chem_Dep","Tot_FC",$A21,"Top5","Top6","Reported","Top8")</f>
        <v>0</v>
      </c>
      <c r="W21" s="15">
        <f>_xll.OneStreamExcelAddIn.XFFunctions.XFGetCell("True","Consol", $B21,"Tot_Entity","Aggregated",W$2,W$3,W$4,$C21,"TopFlow","Top","Top","Tot_Los","TOT_IP_Chem_Dep","TOP3",$A21,"Top5","Top6","Reported","Top8")</f>
        <v>0</v>
      </c>
      <c r="X21" s="21">
        <f t="shared" si="4"/>
        <v>0</v>
      </c>
      <c r="AD21" s="15">
        <f>_xll.OneStreamExcelAddIn.XFFunctions.XFGetCell("True","Consol", $B21,"Tot_Entity","USD",AD$2,AD$3,AD$4,$C21,"TopFlow","Top","Top","Tot_Los","TOT_IP_Chem_Dep","Tot_FC",$A21,"Top5","Top6","Reported","Top8")</f>
        <v>0</v>
      </c>
      <c r="AE21" s="15">
        <f>_xll.OneStreamExcelAddIn.XFFunctions.XFGetCell("True","Consol", $B21,"Tot_Entity","USD",AE$2,AE$3,AE$4,$C21,"TopFlow","Top","Top","Tot_Los","TOT_IP_Chem_Dep","Tot_FC",$A21,"Top5","Top6","Reported","Top8")</f>
        <v>0</v>
      </c>
      <c r="AF21" s="21">
        <f t="shared" si="5"/>
        <v>0</v>
      </c>
      <c r="AL21" s="15">
        <f>_xll.OneStreamExcelAddIn.XFFunctions.XFGetCell("True","Consol", $B21,"Tot_Entity","USD",AL$2,AL$3,AL$4,$C21,"TopFlow","Top","Top","Tot_Los","TOT_IP_Chem_Dep","Tot_FC",$A21,"Top5","Top6","Reported","Top8")</f>
        <v>0</v>
      </c>
      <c r="AM21" s="15">
        <f>_xll.OneStreamExcelAddIn.XFFunctions.XFGetCell("True","Consol", $B21,"Tot_Entity","USD",AM$2,AM$3,AM$4,$C21,"TopFlow","Top","Top","Tot_Los","TOT_IP_Chem_Dep","Tot_FC",$A21,"Top5","Top6","Reported","Top8")</f>
        <v>0</v>
      </c>
      <c r="AN21" s="21">
        <f t="shared" si="6"/>
        <v>0</v>
      </c>
      <c r="AT21" s="15">
        <f>_xll.OneStreamExcelAddIn.XFFunctions.XFGetCell("True","Consol", $B21,"Tot_Entity","USD",AT$2,AT$3,AT$4,$C21,"TopFlow","Top","Top","Tot_Los","TOT_IP_Chem_Dep","Tot_FC",$A21,"Top5","Top6","Reported","Top8")</f>
        <v>0</v>
      </c>
      <c r="AU21" s="15">
        <f>_xll.OneStreamExcelAddIn.XFFunctions.XFGetCell("True","Consol", $B21,"Tot_Entity","USD",AU$2,AU$3,AU$4,$C21,"TopFlow","Top","Top","Tot_Los","TOT_IP_Chem_Dep","Tot_FC",$A21,"Top5","Top6","Reported","Top8")</f>
        <v>0</v>
      </c>
      <c r="AV21" s="162">
        <f t="shared" si="7"/>
        <v>0</v>
      </c>
    </row>
    <row r="22" spans="1:48" x14ac:dyDescent="0.2">
      <c r="A22" s="16" t="str">
        <f t="shared" si="0"/>
        <v>Acute_DIV1</v>
      </c>
      <c r="B22" s="15">
        <f t="shared" si="1"/>
        <v>127</v>
      </c>
      <c r="C22" s="14" t="s">
        <v>106</v>
      </c>
      <c r="D22" s="14" t="s">
        <v>118</v>
      </c>
      <c r="E22" s="15">
        <f>_xll.OneStreamExcelAddIn.XFFunctions.XFGetCell("True","Consol", $B22,"Tot_Entity","USD",E$2,E$3,E$4,$C22,"TopFlow","Top","Top","Tot_Los","TOT_IP_Gero","Tot_FC",$A22,"Top5","Top6","Reported","Top8")</f>
        <v>0</v>
      </c>
      <c r="F22" s="15">
        <f>_xll.OneStreamExcelAddIn.XFFunctions.XFGetCell("True","Consol", $B22,"Tot_Entity","Aggregated",F$2,F$3,F$4,$C22,"TopFlow","Top","Top","Tot_Los","TOT_IP_Gero","TOP3",$A22,"Top5","Top6","Reported","Top8")</f>
        <v>0</v>
      </c>
      <c r="G22" s="21">
        <f t="shared" si="2"/>
        <v>0</v>
      </c>
      <c r="M22" s="15">
        <f>_xll.OneStreamExcelAddIn.XFFunctions.XFGetCell("True","Consol", $B22,"Tot_Entity","USD",M$2,M$3,M$4,$C22,"TopFlow","Top","Top","Tot_Los","TOT_IP_Gero","Tot_FC",$A22,"Top5","Top6","Reported","Top8")</f>
        <v>0</v>
      </c>
      <c r="N22" s="15">
        <f>_xll.OneStreamExcelAddIn.XFFunctions.XFGetCell("True","Consol", $B22,"Tot_Entity","USD",N$2,N$3,N$4,$C22,"TopFlow","Top","Top","Tot_Los","TOT_IP_Gero","Tot_FC",$A22,"Top5","Top6","Reported","Top8")</f>
        <v>0</v>
      </c>
      <c r="O22" s="21">
        <f t="shared" si="3"/>
        <v>0</v>
      </c>
      <c r="Q22" s="21"/>
      <c r="R22" s="21"/>
      <c r="T22" s="21"/>
      <c r="V22" s="15">
        <f>_xll.OneStreamExcelAddIn.XFFunctions.XFGetCell("True","Consol", $B22,"Tot_Entity","USD",V$2,V$3,V$4,$C22,"TopFlow","Top","Top","Tot_Los","TOT_IP_Gero","Tot_FC",$A22,"Top5","Top6","Reported","Top8")</f>
        <v>0</v>
      </c>
      <c r="W22" s="15">
        <f>_xll.OneStreamExcelAddIn.XFFunctions.XFGetCell("True","Consol", $B22,"Tot_Entity","Aggregated",W$2,W$3,W$4,$C22,"TopFlow","Top","Top","Tot_Los","TOT_IP_Gero","TOP3",$A22,"Top5","Top6","Reported","Top8")</f>
        <v>0</v>
      </c>
      <c r="X22" s="21">
        <f t="shared" si="4"/>
        <v>0</v>
      </c>
      <c r="AD22" s="15">
        <f>_xll.OneStreamExcelAddIn.XFFunctions.XFGetCell("True","Consol", $B22,"Tot_Entity","USD",AD$2,AD$3,AD$4,$C22,"TopFlow","Top","Top","Tot_Los","TOT_IP_Gero","Tot_FC",$A22,"Top5","Top6","Reported","Top8")</f>
        <v>0</v>
      </c>
      <c r="AE22" s="15">
        <f>_xll.OneStreamExcelAddIn.XFFunctions.XFGetCell("True","Consol", $B22,"Tot_Entity","USD",AE$2,AE$3,AE$4,$C22,"TopFlow","Top","Top","Tot_Los","TOT_IP_Gero","Tot_FC",$A22,"Top5","Top6","Reported","Top8")</f>
        <v>0</v>
      </c>
      <c r="AF22" s="21">
        <f t="shared" si="5"/>
        <v>0</v>
      </c>
      <c r="AL22" s="15">
        <f>_xll.OneStreamExcelAddIn.XFFunctions.XFGetCell("True","Consol", $B22,"Tot_Entity","USD",AL$2,AL$3,AL$4,$C22,"TopFlow","Top","Top","Tot_Los","TOT_IP_Gero","Tot_FC",$A22,"Top5","Top6","Reported","Top8")</f>
        <v>0</v>
      </c>
      <c r="AM22" s="15">
        <f>_xll.OneStreamExcelAddIn.XFFunctions.XFGetCell("True","Consol", $B22,"Tot_Entity","USD",AM$2,AM$3,AM$4,$C22,"TopFlow","Top","Top","Tot_Los","TOT_IP_Gero","Tot_FC",$A22,"Top5","Top6","Reported","Top8")</f>
        <v>0</v>
      </c>
      <c r="AN22" s="21">
        <f t="shared" si="6"/>
        <v>0</v>
      </c>
      <c r="AT22" s="15">
        <f>_xll.OneStreamExcelAddIn.XFFunctions.XFGetCell("True","Consol", $B22,"Tot_Entity","USD",AT$2,AT$3,AT$4,$C22,"TopFlow","Top","Top","Tot_Los","TOT_IP_Gero","Tot_FC",$A22,"Top5","Top6","Reported","Top8")</f>
        <v>0</v>
      </c>
      <c r="AU22" s="15">
        <f>_xll.OneStreamExcelAddIn.XFFunctions.XFGetCell("True","Consol", $B22,"Tot_Entity","USD",AU$2,AU$3,AU$4,$C22,"TopFlow","Top","Top","Tot_Los","TOT_IP_Gero","Tot_FC",$A22,"Top5","Top6","Reported","Top8")</f>
        <v>0</v>
      </c>
      <c r="AV22" s="162">
        <f t="shared" si="7"/>
        <v>0</v>
      </c>
    </row>
    <row r="23" spans="1:48" x14ac:dyDescent="0.2">
      <c r="A23" s="16" t="str">
        <f t="shared" si="0"/>
        <v>Acute_DIV1</v>
      </c>
      <c r="B23" s="15">
        <f t="shared" si="1"/>
        <v>127</v>
      </c>
      <c r="C23" s="14" t="s">
        <v>106</v>
      </c>
      <c r="D23" s="14" t="s">
        <v>119</v>
      </c>
      <c r="E23" s="15">
        <f>_xll.OneStreamExcelAddIn.XFFunctions.XFGetCell("True","Consol", $B23,"Tot_Entity","USD",E$2,E$3,E$4,$C23,"TopFlow","Top","Top","Tot_Los","TOT_IP_PRTF","Tot_FC",$A23,"Top5","Top6","Reported","Top8")</f>
        <v>0</v>
      </c>
      <c r="F23" s="15">
        <f>_xll.OneStreamExcelAddIn.XFFunctions.XFGetCell("True","Consol", $B23,"Tot_Entity","Aggregated",F$2,F$3,F$4,$C23,"TopFlow","Top","Top","Tot_Los","TOT_IP_PRTF","TOP3",$A23,"Top5","Top6","Reported","Top8")</f>
        <v>0</v>
      </c>
      <c r="G23" s="21">
        <f t="shared" si="2"/>
        <v>0</v>
      </c>
      <c r="M23" s="15">
        <f>_xll.OneStreamExcelAddIn.XFFunctions.XFGetCell("True","Consol", $B23,"Tot_Entity","USD",M$2,M$3,M$4,$C23,"TopFlow","Top","Top","Tot_Los","TOT_IP_PRTF","Tot_FC",$A23,"Top5","Top6","Reported","Top8")</f>
        <v>0</v>
      </c>
      <c r="N23" s="15">
        <f>_xll.OneStreamExcelAddIn.XFFunctions.XFGetCell("True","Consol", $B23,"Tot_Entity","USD",N$2,N$3,N$4,$C23,"TopFlow","Top","Top","Tot_Los","TOT_IP_PRTF","Tot_FC",$A23,"Top5","Top6","Reported","Top8")</f>
        <v>0</v>
      </c>
      <c r="O23" s="21">
        <f t="shared" si="3"/>
        <v>0</v>
      </c>
      <c r="Q23" s="21"/>
      <c r="R23" s="21"/>
      <c r="T23" s="21"/>
      <c r="V23" s="15">
        <f>_xll.OneStreamExcelAddIn.XFFunctions.XFGetCell("True","Consol", $B23,"Tot_Entity","USD",V$2,V$3,V$4,$C23,"TopFlow","Top","Top","Tot_Los","TOT_IP_PRTF","Tot_FC",$A23,"Top5","Top6","Reported","Top8")</f>
        <v>0</v>
      </c>
      <c r="W23" s="15">
        <f>_xll.OneStreamExcelAddIn.XFFunctions.XFGetCell("True","Consol", $B23,"Tot_Entity","Aggregated",W$2,W$3,W$4,$C23,"TopFlow","Top","Top","Tot_Los","TOT_IP_PRTF","TOP3",$A23,"Top5","Top6","Reported","Top8")</f>
        <v>0</v>
      </c>
      <c r="X23" s="21">
        <f t="shared" si="4"/>
        <v>0</v>
      </c>
      <c r="AD23" s="15">
        <f>_xll.OneStreamExcelAddIn.XFFunctions.XFGetCell("True","Consol", $B23,"Tot_Entity","USD",AD$2,AD$3,AD$4,$C23,"TopFlow","Top","Top","Tot_Los","TOT_IP_PRTF","Tot_FC",$A23,"Top5","Top6","Reported","Top8")</f>
        <v>0</v>
      </c>
      <c r="AE23" s="15">
        <f>_xll.OneStreamExcelAddIn.XFFunctions.XFGetCell("True","Consol", $B23,"Tot_Entity","USD",AE$2,AE$3,AE$4,$C23,"TopFlow","Top","Top","Tot_Los","TOT_IP_PRTF","Tot_FC",$A23,"Top5","Top6","Reported","Top8")</f>
        <v>3</v>
      </c>
      <c r="AF23" s="21">
        <f t="shared" si="5"/>
        <v>-3</v>
      </c>
      <c r="AL23" s="15">
        <f>_xll.OneStreamExcelAddIn.XFFunctions.XFGetCell("True","Consol", $B23,"Tot_Entity","USD",AL$2,AL$3,AL$4,$C23,"TopFlow","Top","Top","Tot_Los","TOT_IP_PRTF","Tot_FC",$A23,"Top5","Top6","Reported","Top8")</f>
        <v>0</v>
      </c>
      <c r="AM23" s="15">
        <f>_xll.OneStreamExcelAddIn.XFFunctions.XFGetCell("True","Consol", $B23,"Tot_Entity","USD",AM$2,AM$3,AM$4,$C23,"TopFlow","Top","Top","Tot_Los","TOT_IP_PRTF","Tot_FC",$A23,"Top5","Top6","Reported","Top8")</f>
        <v>14</v>
      </c>
      <c r="AN23" s="21">
        <f t="shared" si="6"/>
        <v>-14</v>
      </c>
      <c r="AT23" s="15">
        <f>_xll.OneStreamExcelAddIn.XFFunctions.XFGetCell("True","Consol", $B23,"Tot_Entity","USD",AT$2,AT$3,AT$4,$C23,"TopFlow","Top","Top","Tot_Los","TOT_IP_PRTF","Tot_FC",$A23,"Top5","Top6","Reported","Top8")</f>
        <v>0</v>
      </c>
      <c r="AU23" s="15">
        <f>_xll.OneStreamExcelAddIn.XFFunctions.XFGetCell("True","Consol", $B23,"Tot_Entity","USD",AU$2,AU$3,AU$4,$C23,"TopFlow","Top","Top","Tot_Los","TOT_IP_PRTF","Tot_FC",$A23,"Top5","Top6","Reported","Top8")</f>
        <v>0</v>
      </c>
      <c r="AV23" s="162">
        <f t="shared" si="7"/>
        <v>0</v>
      </c>
    </row>
    <row r="24" spans="1:48" x14ac:dyDescent="0.2">
      <c r="A24" s="16" t="str">
        <f t="shared" si="0"/>
        <v>Acute_DIV1</v>
      </c>
      <c r="B24" s="15">
        <f t="shared" si="1"/>
        <v>127</v>
      </c>
      <c r="C24" s="14" t="s">
        <v>106</v>
      </c>
      <c r="D24" s="14" t="s">
        <v>120</v>
      </c>
      <c r="E24" s="15">
        <f>_xll.OneStreamExcelAddIn.XFFunctions.XFGetCell("True","Consol", $B24,"Tot_Entity","USD",E$2,E$3,E$4,$C24,"TopFlow","Top","Top","Tot_Los","TOT_IP_Detox","Tot_FC",$A24,"Top5","Top6","Reported","Top8")</f>
        <v>31</v>
      </c>
      <c r="F24" s="15">
        <f>_xll.OneStreamExcelAddIn.XFFunctions.XFGetCell("True","Consol", $B24,"Tot_Entity","Aggregated",F$2,F$3,F$4,$C24,"TopFlow","Top","Top","Tot_Los","TOT_IP_Detox","TOP3",$A24,"Top5","Top6","Reported","Top8")</f>
        <v>40.813705237999997</v>
      </c>
      <c r="G24" s="21">
        <f t="shared" si="2"/>
        <v>-9.8137052379999972</v>
      </c>
      <c r="M24" s="15">
        <f>_xll.OneStreamExcelAddIn.XFFunctions.XFGetCell("True","Consol", $B24,"Tot_Entity","USD",M$2,M$3,M$4,$C24,"TopFlow","Top","Top","Tot_Los","TOT_IP_Detox","Tot_FC",$A24,"Top5","Top6","Reported","Top8")</f>
        <v>31</v>
      </c>
      <c r="N24" s="15">
        <f>_xll.OneStreamExcelAddIn.XFFunctions.XFGetCell("True","Consol", $B24,"Tot_Entity","USD",N$2,N$3,N$4,$C24,"TopFlow","Top","Top","Tot_Los","TOT_IP_Detox","Tot_FC",$A24,"Top5","Top6","Reported","Top8")</f>
        <v>43</v>
      </c>
      <c r="O24" s="21">
        <f t="shared" si="3"/>
        <v>-12</v>
      </c>
      <c r="Q24" s="21"/>
      <c r="R24" s="21"/>
      <c r="T24" s="21"/>
      <c r="V24" s="15">
        <f>_xll.OneStreamExcelAddIn.XFFunctions.XFGetCell("True","Consol", $B24,"Tot_Entity","USD",V$2,V$3,V$4,$C24,"TopFlow","Top","Top","Tot_Los","TOT_IP_Detox","Tot_FC",$A24,"Top5","Top6","Reported","Top8")</f>
        <v>152</v>
      </c>
      <c r="W24" s="15">
        <f>_xll.OneStreamExcelAddIn.XFFunctions.XFGetCell("True","Consol", $B24,"Tot_Entity","Aggregated",W$2,W$3,W$4,$C24,"TopFlow","Top","Top","Tot_Los","TOT_IP_Detox","TOP3",$A24,"Top5","Top6","Reported","Top8")</f>
        <v>140.75023420400001</v>
      </c>
      <c r="X24" s="21">
        <f t="shared" si="4"/>
        <v>11.249765795999991</v>
      </c>
      <c r="AD24" s="15">
        <f>_xll.OneStreamExcelAddIn.XFFunctions.XFGetCell("True","Consol", $B24,"Tot_Entity","USD",AD$2,AD$3,AD$4,$C24,"TopFlow","Top","Top","Tot_Los","TOT_IP_Detox","Tot_FC",$A24,"Top5","Top6","Reported","Top8")</f>
        <v>31</v>
      </c>
      <c r="AE24" s="15">
        <f>_xll.OneStreamExcelAddIn.XFFunctions.XFGetCell("True","Consol", $B24,"Tot_Entity","USD",AE$2,AE$3,AE$4,$C24,"TopFlow","Top","Top","Tot_Los","TOT_IP_Detox","Tot_FC",$A24,"Top5","Top6","Reported","Top8")</f>
        <v>37</v>
      </c>
      <c r="AF24" s="21">
        <f t="shared" si="5"/>
        <v>-6</v>
      </c>
      <c r="AL24" s="15">
        <f>_xll.OneStreamExcelAddIn.XFFunctions.XFGetCell("True","Consol", $B24,"Tot_Entity","USD",AL$2,AL$3,AL$4,$C24,"TopFlow","Top","Top","Tot_Los","TOT_IP_Detox","Tot_FC",$A24,"Top5","Top6","Reported","Top8")</f>
        <v>152</v>
      </c>
      <c r="AM24" s="15">
        <f>_xll.OneStreamExcelAddIn.XFFunctions.XFGetCell("True","Consol", $B24,"Tot_Entity","USD",AM$2,AM$3,AM$4,$C24,"TopFlow","Top","Top","Tot_Los","TOT_IP_Detox","Tot_FC",$A24,"Top5","Top6","Reported","Top8")</f>
        <v>128</v>
      </c>
      <c r="AN24" s="21">
        <f t="shared" si="6"/>
        <v>24</v>
      </c>
      <c r="AT24" s="15">
        <f>_xll.OneStreamExcelAddIn.XFFunctions.XFGetCell("True","Consol", $B24,"Tot_Entity","USD",AT$2,AT$3,AT$4,$C24,"TopFlow","Top","Top","Tot_Los","TOT_IP_Detox","Tot_FC",$A24,"Top5","Top6","Reported","Top8")</f>
        <v>0</v>
      </c>
      <c r="AU24" s="15">
        <f>_xll.OneStreamExcelAddIn.XFFunctions.XFGetCell("True","Consol", $B24,"Tot_Entity","USD",AU$2,AU$3,AU$4,$C24,"TopFlow","Top","Top","Tot_Los","TOT_IP_Detox","Tot_FC",$A24,"Top5","Top6","Reported","Top8")</f>
        <v>40.813705237999997</v>
      </c>
      <c r="AV24" s="162">
        <f t="shared" si="7"/>
        <v>-40.813705237999997</v>
      </c>
    </row>
    <row r="25" spans="1:48" x14ac:dyDescent="0.2">
      <c r="A25" s="16" t="str">
        <f t="shared" si="0"/>
        <v>Acute_DIV1</v>
      </c>
      <c r="B25" s="15">
        <f t="shared" si="1"/>
        <v>127</v>
      </c>
      <c r="C25" s="14" t="s">
        <v>106</v>
      </c>
      <c r="D25" s="14" t="s">
        <v>121</v>
      </c>
      <c r="E25" s="15">
        <f>_xll.OneStreamExcelAddIn.XFFunctions.XFGetCell("True","Consol", $B25,"Tot_Entity","USD",E$2,E$3,E$4,$C25,"TopFlow","Top","Top","Tot_Los","TOT_IP_RTC","Tot_FC",$A25,"Top5","Top6","Reported","Top8")</f>
        <v>0</v>
      </c>
      <c r="F25" s="15">
        <f>_xll.OneStreamExcelAddIn.XFFunctions.XFGetCell("True","Consol", $B25,"Tot_Entity","Aggregated",F$2,F$3,F$4,$C25,"TopFlow","Top","Top","Tot_Los","TOT_IP_RTC","TOP3",$A25,"Top5","Top6","Reported","Top8")</f>
        <v>0</v>
      </c>
      <c r="G25" s="21">
        <f t="shared" si="2"/>
        <v>0</v>
      </c>
      <c r="M25" s="15">
        <f>_xll.OneStreamExcelAddIn.XFFunctions.XFGetCell("True","Consol", $B25,"Tot_Entity","USD",M$2,M$3,M$4,$C25,"TopFlow","Top","Top","Tot_Los","TOT_IP_RTC","Tot_FC",$A25,"Top5","Top6","Reported","Top8")</f>
        <v>0</v>
      </c>
      <c r="N25" s="15">
        <f>_xll.OneStreamExcelAddIn.XFFunctions.XFGetCell("True","Consol", $B25,"Tot_Entity","USD",N$2,N$3,N$4,$C25,"TopFlow","Top","Top","Tot_Los","TOT_IP_RTC","Tot_FC",$A25,"Top5","Top6","Reported","Top8")</f>
        <v>0</v>
      </c>
      <c r="O25" s="21">
        <f t="shared" si="3"/>
        <v>0</v>
      </c>
      <c r="Q25" s="21"/>
      <c r="R25" s="21"/>
      <c r="T25" s="21"/>
      <c r="V25" s="15">
        <f>_xll.OneStreamExcelAddIn.XFFunctions.XFGetCell("True","Consol", $B25,"Tot_Entity","USD",V$2,V$3,V$4,$C25,"TopFlow","Top","Top","Tot_Los","TOT_IP_RTC","Tot_FC",$A25,"Top5","Top6","Reported","Top8")</f>
        <v>0</v>
      </c>
      <c r="W25" s="15">
        <f>_xll.OneStreamExcelAddIn.XFFunctions.XFGetCell("True","Consol", $B25,"Tot_Entity","Aggregated",W$2,W$3,W$4,$C25,"TopFlow","Top","Top","Tot_Los","TOT_IP_RTC","TOP3",$A25,"Top5","Top6","Reported","Top8")</f>
        <v>0</v>
      </c>
      <c r="X25" s="21">
        <f t="shared" si="4"/>
        <v>0</v>
      </c>
      <c r="AD25" s="15">
        <f>_xll.OneStreamExcelAddIn.XFFunctions.XFGetCell("True","Consol", $B25,"Tot_Entity","USD",AD$2,AD$3,AD$4,$C25,"TopFlow","Top","Top","Tot_Los","TOT_IP_RTC","Tot_FC",$A25,"Top5","Top6","Reported","Top8")</f>
        <v>0</v>
      </c>
      <c r="AE25" s="15">
        <f>_xll.OneStreamExcelAddIn.XFFunctions.XFGetCell("True","Consol", $B25,"Tot_Entity","USD",AE$2,AE$3,AE$4,$C25,"TopFlow","Top","Top","Tot_Los","TOT_IP_RTC","Tot_FC",$A25,"Top5","Top6","Reported","Top8")</f>
        <v>0</v>
      </c>
      <c r="AF25" s="21">
        <f t="shared" si="5"/>
        <v>0</v>
      </c>
      <c r="AL25" s="15">
        <f>_xll.OneStreamExcelAddIn.XFFunctions.XFGetCell("True","Consol", $B25,"Tot_Entity","USD",AL$2,AL$3,AL$4,$C25,"TopFlow","Top","Top","Tot_Los","TOT_IP_RTC","Tot_FC",$A25,"Top5","Top6","Reported","Top8")</f>
        <v>0</v>
      </c>
      <c r="AM25" s="15">
        <f>_xll.OneStreamExcelAddIn.XFFunctions.XFGetCell("True","Consol", $B25,"Tot_Entity","USD",AM$2,AM$3,AM$4,$C25,"TopFlow","Top","Top","Tot_Los","TOT_IP_RTC","Tot_FC",$A25,"Top5","Top6","Reported","Top8")</f>
        <v>0</v>
      </c>
      <c r="AN25" s="21">
        <f t="shared" si="6"/>
        <v>0</v>
      </c>
      <c r="AT25" s="15">
        <f>_xll.OneStreamExcelAddIn.XFFunctions.XFGetCell("True","Consol", $B25,"Tot_Entity","USD",AT$2,AT$3,AT$4,$C25,"TopFlow","Top","Top","Tot_Los","TOT_IP_RTC","Tot_FC",$A25,"Top5","Top6","Reported","Top8")</f>
        <v>0</v>
      </c>
      <c r="AU25" s="15">
        <f>_xll.OneStreamExcelAddIn.XFFunctions.XFGetCell("True","Consol", $B25,"Tot_Entity","USD",AU$2,AU$3,AU$4,$C25,"TopFlow","Top","Top","Tot_Los","TOT_IP_RTC","Tot_FC",$A25,"Top5","Top6","Reported","Top8")</f>
        <v>0</v>
      </c>
      <c r="AV25" s="162">
        <f t="shared" si="7"/>
        <v>0</v>
      </c>
    </row>
    <row r="26" spans="1:48" x14ac:dyDescent="0.2">
      <c r="A26" s="16" t="str">
        <f t="shared" si="0"/>
        <v>Acute_DIV1</v>
      </c>
      <c r="B26" s="15">
        <f t="shared" si="1"/>
        <v>127</v>
      </c>
      <c r="C26" s="14" t="s">
        <v>106</v>
      </c>
      <c r="D26" s="14" t="s">
        <v>122</v>
      </c>
      <c r="E26" s="15">
        <f>_xll.OneStreamExcelAddIn.XFFunctions.XFGetCell("True","Consol", $B26,"Tot_Entity","USD",E$2,E$3,E$4,$C26,"TopFlow","Top","Top","Tot_Los",1320,"Tot_FC",$A26,"Top5","Top6","Reported","Top8")</f>
        <v>0</v>
      </c>
      <c r="F26" s="15">
        <f>_xll.OneStreamExcelAddIn.XFFunctions.XFGetCell("True","Consol", $B26,"Tot_Entity","Aggregated",F$2,F$3,F$4,$C26,"TopFlow","Top","Top","Tot_Los",1320,"TOP3",$A26,"Top5","Top6","Reported","Top8")</f>
        <v>0</v>
      </c>
      <c r="G26" s="21">
        <f t="shared" si="2"/>
        <v>0</v>
      </c>
      <c r="M26" s="15">
        <f>_xll.OneStreamExcelAddIn.XFFunctions.XFGetCell("True","Consol", $B26,"Tot_Entity","USD",M$2,M$3,M$4,$C26,"TopFlow","Top","Top","Tot_Los",1320,"Tot_FC",$A26,"Top5","Top6","Reported","Top8")</f>
        <v>0</v>
      </c>
      <c r="N26" s="15">
        <f>_xll.OneStreamExcelAddIn.XFFunctions.XFGetCell("True","Consol", $B26,"Tot_Entity","USD",N$2,N$3,N$4,$C26,"TopFlow","Top","Top","Tot_Los",1320,"Tot_FC",$A26,"Top5","Top6","Reported","Top8")</f>
        <v>0</v>
      </c>
      <c r="O26" s="21">
        <f t="shared" si="3"/>
        <v>0</v>
      </c>
      <c r="Q26" s="21"/>
      <c r="R26" s="21"/>
      <c r="T26" s="21"/>
      <c r="V26" s="15">
        <f>_xll.OneStreamExcelAddIn.XFFunctions.XFGetCell("True","Consol", $B26,"Tot_Entity","USD",V$2,V$3,V$4,$C26,"TopFlow","Top","Top","Tot_Los",1320,"Tot_FC",$A26,"Top5","Top6","Reported","Top8")</f>
        <v>0</v>
      </c>
      <c r="W26" s="15">
        <f>_xll.OneStreamExcelAddIn.XFFunctions.XFGetCell("True","Consol", $B26,"Tot_Entity","Aggregated",W$2,W$3,W$4,$C26,"TopFlow","Top","Top","Tot_Los",1320,"TOP3",$A26,"Top5","Top6","Reported","Top8")</f>
        <v>0</v>
      </c>
      <c r="X26" s="21">
        <f t="shared" si="4"/>
        <v>0</v>
      </c>
      <c r="AD26" s="15">
        <f>_xll.OneStreamExcelAddIn.XFFunctions.XFGetCell("True","Consol", $B26,"Tot_Entity","USD",AD$2,AD$3,AD$4,$C26,"TopFlow","Top","Top","Tot_Los",1320,"Tot_FC",$A26,"Top5","Top6","Reported","Top8")</f>
        <v>0</v>
      </c>
      <c r="AE26" s="15">
        <f>_xll.OneStreamExcelAddIn.XFFunctions.XFGetCell("True","Consol", $B26,"Tot_Entity","USD",AE$2,AE$3,AE$4,$C26,"TopFlow","Top","Top","Tot_Los",1320,"Tot_FC",$A26,"Top5","Top6","Reported","Top8")</f>
        <v>0</v>
      </c>
      <c r="AF26" s="21">
        <f t="shared" si="5"/>
        <v>0</v>
      </c>
      <c r="AL26" s="15">
        <f>_xll.OneStreamExcelAddIn.XFFunctions.XFGetCell("True","Consol", $B26,"Tot_Entity","USD",AL$2,AL$3,AL$4,$C26,"TopFlow","Top","Top","Tot_Los",1320,"Tot_FC",$A26,"Top5","Top6","Reported","Top8")</f>
        <v>0</v>
      </c>
      <c r="AM26" s="15">
        <f>_xll.OneStreamExcelAddIn.XFFunctions.XFGetCell("True","Consol", $B26,"Tot_Entity","USD",AM$2,AM$3,AM$4,$C26,"TopFlow","Top","Top","Tot_Los",1320,"Tot_FC",$A26,"Top5","Top6","Reported","Top8")</f>
        <v>0</v>
      </c>
      <c r="AN26" s="21">
        <f t="shared" si="6"/>
        <v>0</v>
      </c>
      <c r="AT26" s="15">
        <f>_xll.OneStreamExcelAddIn.XFFunctions.XFGetCell("True","Consol", $B26,"Tot_Entity","USD",AT$2,AT$3,AT$4,$C26,"TopFlow","Top","Top","Tot_Los",1320,"Tot_FC",$A26,"Top5","Top6","Reported","Top8")</f>
        <v>0</v>
      </c>
      <c r="AU26" s="15">
        <f>_xll.OneStreamExcelAddIn.XFFunctions.XFGetCell("True","Consol", $B26,"Tot_Entity","USD",AU$2,AU$3,AU$4,$C26,"TopFlow","Top","Top","Tot_Los",1320,"Tot_FC",$A26,"Top5","Top6","Reported","Top8")</f>
        <v>0</v>
      </c>
      <c r="AV26" s="162">
        <f t="shared" si="7"/>
        <v>0</v>
      </c>
    </row>
    <row r="27" spans="1:48" x14ac:dyDescent="0.2">
      <c r="A27" s="16" t="str">
        <f t="shared" si="0"/>
        <v>Acute_DIV1</v>
      </c>
      <c r="B27" s="15">
        <f t="shared" si="1"/>
        <v>127</v>
      </c>
      <c r="C27" s="14" t="s">
        <v>106</v>
      </c>
      <c r="D27" s="14" t="s">
        <v>123</v>
      </c>
      <c r="E27" s="15">
        <f>_xll.OneStreamExcelAddIn.XFFunctions.XFGetCell("True","Consol", $B27,"Tot_Entity","USD",E$2,E$3,E$4,$C27,"TopFlow","Top","Top","Tot_Los",1330,"Tot_FC",$A27,"Top5","Top6","Reported","Top8")</f>
        <v>0</v>
      </c>
      <c r="F27" s="15">
        <f>_xll.OneStreamExcelAddIn.XFFunctions.XFGetCell("True","Consol", $B27,"Tot_Entity","Aggregated",F$2,F$3,F$4,$C27,"TopFlow","Top","Top","Tot_Los",1330,"TOP3",$A27,"Top5","Top6","Reported","Top8")</f>
        <v>0</v>
      </c>
      <c r="G27" s="21">
        <f t="shared" si="2"/>
        <v>0</v>
      </c>
      <c r="M27" s="15">
        <f>_xll.OneStreamExcelAddIn.XFFunctions.XFGetCell("True","Consol", $B27,"Tot_Entity","USD",M$2,M$3,M$4,$C27,"TopFlow","Top","Top","Tot_Los",1330,"Tot_FC",$A27,"Top5","Top6","Reported","Top8")</f>
        <v>0</v>
      </c>
      <c r="N27" s="15">
        <f>_xll.OneStreamExcelAddIn.XFFunctions.XFGetCell("True","Consol", $B27,"Tot_Entity","USD",N$2,N$3,N$4,$C27,"TopFlow","Top","Top","Tot_Los",1330,"Tot_FC",$A27,"Top5","Top6","Reported","Top8")</f>
        <v>0</v>
      </c>
      <c r="O27" s="21">
        <f t="shared" si="3"/>
        <v>0</v>
      </c>
      <c r="Q27" s="21"/>
      <c r="R27" s="21"/>
      <c r="T27" s="21"/>
      <c r="V27" s="15">
        <f>_xll.OneStreamExcelAddIn.XFFunctions.XFGetCell("True","Consol", $B27,"Tot_Entity","USD",V$2,V$3,V$4,$C27,"TopFlow","Top","Top","Tot_Los",1330,"Tot_FC",$A27,"Top5","Top6","Reported","Top8")</f>
        <v>0</v>
      </c>
      <c r="W27" s="15">
        <f>_xll.OneStreamExcelAddIn.XFFunctions.XFGetCell("True","Consol", $B27,"Tot_Entity","Aggregated",W$2,W$3,W$4,$C27,"TopFlow","Top","Top","Tot_Los",1330,"TOP3",$A27,"Top5","Top6","Reported","Top8")</f>
        <v>0</v>
      </c>
      <c r="X27" s="21">
        <f t="shared" si="4"/>
        <v>0</v>
      </c>
      <c r="AD27" s="15">
        <f>_xll.OneStreamExcelAddIn.XFFunctions.XFGetCell("True","Consol", $B27,"Tot_Entity","USD",AD$2,AD$3,AD$4,$C27,"TopFlow","Top","Top","Tot_Los",1330,"Tot_FC",$A27,"Top5","Top6","Reported","Top8")</f>
        <v>0</v>
      </c>
      <c r="AE27" s="15">
        <f>_xll.OneStreamExcelAddIn.XFFunctions.XFGetCell("True","Consol", $B27,"Tot_Entity","USD",AE$2,AE$3,AE$4,$C27,"TopFlow","Top","Top","Tot_Los",1330,"Tot_FC",$A27,"Top5","Top6","Reported","Top8")</f>
        <v>0</v>
      </c>
      <c r="AF27" s="21">
        <f t="shared" si="5"/>
        <v>0</v>
      </c>
      <c r="AL27" s="15">
        <f>_xll.OneStreamExcelAddIn.XFFunctions.XFGetCell("True","Consol", $B27,"Tot_Entity","USD",AL$2,AL$3,AL$4,$C27,"TopFlow","Top","Top","Tot_Los",1330,"Tot_FC",$A27,"Top5","Top6","Reported","Top8")</f>
        <v>0</v>
      </c>
      <c r="AM27" s="15">
        <f>_xll.OneStreamExcelAddIn.XFFunctions.XFGetCell("True","Consol", $B27,"Tot_Entity","USD",AM$2,AM$3,AM$4,$C27,"TopFlow","Top","Top","Tot_Los",1330,"Tot_FC",$A27,"Top5","Top6","Reported","Top8")</f>
        <v>0</v>
      </c>
      <c r="AN27" s="21">
        <f t="shared" si="6"/>
        <v>0</v>
      </c>
      <c r="AT27" s="15">
        <f>_xll.OneStreamExcelAddIn.XFFunctions.XFGetCell("True","Consol", $B27,"Tot_Entity","USD",AT$2,AT$3,AT$4,$C27,"TopFlow","Top","Top","Tot_Los",1330,"Tot_FC",$A27,"Top5","Top6","Reported","Top8")</f>
        <v>0</v>
      </c>
      <c r="AU27" s="15">
        <f>_xll.OneStreamExcelAddIn.XFFunctions.XFGetCell("True","Consol", $B27,"Tot_Entity","USD",AU$2,AU$3,AU$4,$C27,"TopFlow","Top","Top","Tot_Los",1330,"Tot_FC",$A27,"Top5","Top6","Reported","Top8")</f>
        <v>0</v>
      </c>
      <c r="AV27" s="162">
        <f t="shared" si="7"/>
        <v>0</v>
      </c>
    </row>
    <row r="28" spans="1:48" x14ac:dyDescent="0.2">
      <c r="B28" s="46"/>
    </row>
    <row r="29" spans="1:48" x14ac:dyDescent="0.2">
      <c r="A29" s="16" t="str">
        <f t="shared" ref="A29:A34" si="8">+$A$8</f>
        <v>Acute_DIV1</v>
      </c>
      <c r="B29" s="15">
        <f t="shared" ref="B29:B34" si="9">+$B$8</f>
        <v>127</v>
      </c>
      <c r="C29" s="14" t="s">
        <v>124</v>
      </c>
      <c r="D29" s="14" t="s">
        <v>125</v>
      </c>
      <c r="E29" s="15">
        <f>_xll.OneStreamExcelAddIn.XFFunctions.XFGetCell("True","Consol", $B29,"Tot_Entity","USD",E$2,E$3,E$4,$C29,"TopFlow","Top","Top","Tot_Los","TOT_Dept_WO_Addbacks","Tot_FC",$A29,"Top5","Top6","Reported","Top8")</f>
        <v>2555</v>
      </c>
      <c r="F29" s="15">
        <f>_xll.OneStreamExcelAddIn.XFFunctions.XFGetCell("True","Consol", $B29,"Tot_Entity","Aggregated",F$2,F$3,F$4,$C29,"TopFlow","Top","Top","Tot_Los","TOT_Dept_WO_Addbacks","TOP3",$A29,"Top5","Top6","Reported","Top8")</f>
        <v>2856</v>
      </c>
      <c r="G29" s="21">
        <f>+E29-F29</f>
        <v>-301</v>
      </c>
      <c r="M29" s="15">
        <f>_xll.OneStreamExcelAddIn.XFFunctions.XFGetCell("True","Consol", $B29,"Tot_Entity","USD",M$2,M$3,M$4,$C29,"TopFlow","Top","Top","Tot_Los","TOT_Dept_WO_Addbacks","Tot_FC",$A29,"Top5","Top6","Reported","Top8")</f>
        <v>2555</v>
      </c>
      <c r="N29" s="15">
        <f>_xll.OneStreamExcelAddIn.XFFunctions.XFGetCell("True","Consol", $B29,"Tot_Entity","USD",N$2,N$3,N$4,$C29,"TopFlow","Top","Top","Tot_Los","TOT_Dept_WO_Addbacks","Tot_FC",$A29,"Top5","Top6","Reported","Top8")</f>
        <v>2810</v>
      </c>
      <c r="O29" s="21">
        <f>+M29-N29</f>
        <v>-255</v>
      </c>
      <c r="Q29" s="21"/>
      <c r="R29" s="21"/>
      <c r="T29" s="21"/>
      <c r="V29" s="15">
        <f>_xll.OneStreamExcelAddIn.XFFunctions.XFGetCell("True","Consol", $B29,"Tot_Entity","USD",V$2,V$3,V$4,$C29,"TopFlow","Top","Top","Tot_Los","TOT_Dept_WO_Addbacks","Tot_FC",$A29,"Top5","Top6","Reported","Top8")</f>
        <v>10382</v>
      </c>
      <c r="W29" s="15">
        <f>_xll.OneStreamExcelAddIn.XFFunctions.XFGetCell("True","Consol", $B29,"Tot_Entity","Aggregated",W$2,W$3,W$4,$C29,"TopFlow","Top","Top","Tot_Los","TOT_Dept_WO_Addbacks","TOP3",$A29,"Top5","Top6","Reported","Top8")</f>
        <v>11113</v>
      </c>
      <c r="X29" s="21">
        <f>+V29-W29</f>
        <v>-731</v>
      </c>
      <c r="AD29" s="15">
        <f>_xll.OneStreamExcelAddIn.XFFunctions.XFGetCell("True","Consol", $B29,"Tot_Entity","USD",AD$2,AD$3,AD$4,$C29,"TopFlow","Top","Top","Tot_Los","TOT_Dept_WO_Addbacks","Tot_FC",$A29,"Top5","Top6","Reported","Top8")</f>
        <v>2555</v>
      </c>
      <c r="AE29" s="15">
        <f>_xll.OneStreamExcelAddIn.XFFunctions.XFGetCell("True","Consol", $B29,"Tot_Entity","USD",AE$2,AE$3,AE$4,$C29,"TopFlow","Top","Top","Tot_Los","TOT_Dept_WO_Addbacks","Tot_FC",$A29,"Top5","Top6","Reported","Top8")</f>
        <v>3389</v>
      </c>
      <c r="AF29" s="21">
        <f>+AD29-AE29</f>
        <v>-834</v>
      </c>
      <c r="AL29" s="15">
        <f>_xll.OneStreamExcelAddIn.XFFunctions.XFGetCell("True","Consol", $B29,"Tot_Entity","USD",AL$2,AL$3,AL$4,$C29,"TopFlow","Top","Top","Tot_Los","TOT_Dept_WO_Addbacks","Tot_FC",$A29,"Top5","Top6","Reported","Top8")</f>
        <v>10382</v>
      </c>
      <c r="AM29" s="15">
        <f>_xll.OneStreamExcelAddIn.XFFunctions.XFGetCell("True","Consol", $B29,"Tot_Entity","USD",AM$2,AM$3,AM$4,$C29,"TopFlow","Top","Top","Tot_Los","TOT_Dept_WO_Addbacks","Tot_FC",$A29,"Top5","Top6","Reported","Top8")</f>
        <v>13089</v>
      </c>
      <c r="AN29" s="21">
        <f>+AL29-AM29</f>
        <v>-2707</v>
      </c>
      <c r="AT29" s="15">
        <f>_xll.OneStreamExcelAddIn.XFFunctions.XFGetCell("True","Consol", $B29,"Tot_Entity","USD",AT$2,AT$3,AT$4,$C29,"TopFlow","Top","Top","Tot_Los","TOT_Dept_WO_Addbacks","Tot_FC",$A29,"Top5","Top6","Reported","Top8")</f>
        <v>0</v>
      </c>
      <c r="AU29" s="15">
        <f>_xll.OneStreamExcelAddIn.XFFunctions.XFGetCell("True","Consol", $B29,"Tot_Entity","USD",AU$2,AU$3,AU$4,$C29,"TopFlow","Top","Top","Tot_Los","TOT_Dept_WO_Addbacks","Tot_FC",$A29,"Top5","Top6","Reported","Top8")</f>
        <v>2856</v>
      </c>
      <c r="AV29" s="162">
        <f>+AT29-AU29</f>
        <v>-2856</v>
      </c>
    </row>
    <row r="30" spans="1:48" x14ac:dyDescent="0.2">
      <c r="A30" s="16" t="str">
        <f t="shared" si="8"/>
        <v>Acute_DIV1</v>
      </c>
      <c r="B30" s="15">
        <f t="shared" si="9"/>
        <v>127</v>
      </c>
      <c r="C30" s="14" t="s">
        <v>126</v>
      </c>
      <c r="D30" s="14" t="s">
        <v>127</v>
      </c>
      <c r="E30" s="15">
        <v>62</v>
      </c>
      <c r="F30" s="15">
        <v>62</v>
      </c>
      <c r="G30" s="21">
        <f>+E30-F30</f>
        <v>0</v>
      </c>
      <c r="M30" s="15">
        <f>_xll.OneStreamExcelAddIn.XFFunctions.XFGetCell("True","Consol", $B30,"Tot_Entity","USD",M$2,M$3,M$4,$C30,"TopFlow","Top","Top","Tot_Los","TOT_Depts","Tot_FC",$A30,"Top5","Top6","Reported","Top8")</f>
        <v>0</v>
      </c>
      <c r="N30" s="15">
        <f>_xll.OneStreamExcelAddIn.XFFunctions.XFGetCell("True","Consol", $B30,"Tot_Entity","USD",N$2,N$3,N$4,$C30,"TopFlow","Top","Top","Tot_Los","TOT_Depts","Tot_FC",$A30,"Top5","Top6","Reported","Top8")</f>
        <v>138</v>
      </c>
      <c r="O30" s="21">
        <f>+M30-N30</f>
        <v>-138</v>
      </c>
      <c r="Q30" s="21"/>
      <c r="R30" s="21"/>
      <c r="T30" s="21"/>
      <c r="V30" s="15">
        <v>62</v>
      </c>
      <c r="W30" s="15">
        <v>62</v>
      </c>
      <c r="X30" s="21">
        <f>+V30-W30</f>
        <v>0</v>
      </c>
      <c r="AD30" s="15">
        <f>_xll.OneStreamExcelAddIn.XFFunctions.XFGetCell("True","Consol", $B30,"Tot_Entity","USD",AD$2,AD$3,AD$4,$C30,"TopFlow","Top","Top","Tot_Los","TOT_Depts","Tot_FC",$A30,"Top5","Top6","Reported","Top8")</f>
        <v>0</v>
      </c>
      <c r="AE30" s="15">
        <f>_xll.OneStreamExcelAddIn.XFFunctions.XFGetCell("True","Consol", $B30,"Tot_Entity","USD",AE$2,AE$3,AE$4,$C30,"TopFlow","Top","Top","Tot_Los","TOT_Depts","Tot_FC",$A30,"Top5","Top6","Reported","Top8")</f>
        <v>138</v>
      </c>
      <c r="AF30" s="21">
        <f>+AD30-AE30</f>
        <v>-138</v>
      </c>
      <c r="AL30" s="15">
        <f>_xll.OneStreamExcelAddIn.XFFunctions.XFGetCell("True","Consol", $B30,"Tot_Entity","USD",AL$2,AL$3,AL$4,$C30,"TopFlow","Top","Top","Tot_Los","TOT_Depts","Tot_FC",$A30,"Top5","Top6","Reported","Top8")</f>
        <v>0</v>
      </c>
      <c r="AM30" s="15">
        <f>_xll.OneStreamExcelAddIn.XFFunctions.XFGetCell("True","Consol", $B30,"Tot_Entity","USD",AM$2,AM$3,AM$4,$C30,"TopFlow","Top","Top","Tot_Los","TOT_Depts","Tot_FC",$A30,"Top5","Top6","Reported","Top8")</f>
        <v>138</v>
      </c>
      <c r="AN30" s="21">
        <f>+AL30-AM30</f>
        <v>-138</v>
      </c>
      <c r="AT30" s="15">
        <f>_xll.OneStreamExcelAddIn.XFFunctions.XFGetCell("True","Consol", $B30,"Tot_Entity","USD",AT$2,AT$3,AT$4,$C30,"TopFlow","Top","Top","Tot_Los","TOT_Depts","Tot_FC",$A30,"Top5","Top6","Reported","Top8")</f>
        <v>0</v>
      </c>
      <c r="AU30" s="15">
        <f>_xll.OneStreamExcelAddIn.XFFunctions.XFGetCell("True","Consol", $B30,"Tot_Entity","USD",AU$2,AU$3,AU$4,$C30,"TopFlow","Top","Top","Tot_Los","TOT_Depts","Tot_FC",$A30,"Top5","Top6","Reported","Top8")</f>
        <v>114</v>
      </c>
      <c r="AV30" s="162">
        <f>+AT30-AU30</f>
        <v>-114</v>
      </c>
    </row>
    <row r="31" spans="1:48" x14ac:dyDescent="0.2">
      <c r="A31" s="16" t="str">
        <f t="shared" si="8"/>
        <v>Acute_DIV1</v>
      </c>
      <c r="B31" s="15">
        <f t="shared" si="9"/>
        <v>127</v>
      </c>
      <c r="C31" s="14">
        <v>92112</v>
      </c>
      <c r="D31" s="14" t="s">
        <v>36</v>
      </c>
      <c r="E31" s="147">
        <f>+E33/E30</f>
        <v>1.3736559139784952</v>
      </c>
      <c r="F31" s="147">
        <f>+F33/F30</f>
        <v>1.5354838709677421</v>
      </c>
      <c r="G31" s="40"/>
      <c r="M31" s="18">
        <f>_xll.OneStreamExcelAddIn.XFFunctions.XFGetCell("True","Consol", $B31,"Tot_Entity","USD",M$2,M$3,M$4,$C31,"TopFlow","Top","Top","Tot_Los","TOT_Depts","Tot_FC",$A31,"Top5","Top6","Reported","Top8")</f>
        <v>0</v>
      </c>
      <c r="N31" s="18">
        <f>_xll.OneStreamExcelAddIn.XFFunctions.XFGetCell("True","Consol", $B31,"Tot_Entity","USD",N$2,N$3,N$4,$C31,"TopFlow","Top","Top","Tot_Los","TOT_Depts","Tot_FC",$A31,"Top5","Top6","Reported","Top8")</f>
        <v>0.65684899485741</v>
      </c>
      <c r="O31" s="40"/>
      <c r="Q31" s="40"/>
      <c r="R31" s="40"/>
      <c r="T31" s="40"/>
      <c r="V31" s="147">
        <f>+V33/V30</f>
        <v>1.3954301075268822</v>
      </c>
      <c r="W31" s="147">
        <f>+W33/W30</f>
        <v>1.4936827956989243</v>
      </c>
      <c r="X31" s="154"/>
      <c r="AD31" s="18">
        <f>_xll.OneStreamExcelAddIn.XFFunctions.XFGetCell("True","Consol", $B31,"Tot_Entity","USD",AD$2,AD$3,AD$4,$C31,"TopFlow","Top","Top","Tot_Los","TOT_Depts","Tot_FC",$A31,"Top5","Top6","Reported","Top8")</f>
        <v>0</v>
      </c>
      <c r="AE31" s="18">
        <f>_xll.OneStreamExcelAddIn.XFFunctions.XFGetCell("True","Consol", $B31,"Tot_Entity","USD",AE$2,AE$3,AE$4,$C31,"TopFlow","Top","Top","Tot_Los","TOT_Depts","Tot_FC",$A31,"Top5","Top6","Reported","Top8")</f>
        <v>0.81859903381642496</v>
      </c>
      <c r="AF31" s="40"/>
      <c r="AL31" s="18">
        <f>_xll.OneStreamExcelAddIn.XFFunctions.XFGetCell("True","Consol", $B31,"Tot_Entity","USD",AL$2,AL$3,AL$4,$C31,"TopFlow","Top","Top","Tot_Los","TOT_Depts","Tot_FC",$A31,"Top5","Top6","Reported","Top8")</f>
        <v>0</v>
      </c>
      <c r="AM31" s="18">
        <f>_xll.OneStreamExcelAddIn.XFFunctions.XFGetCell("True","Consol", $B31,"Tot_Entity","USD",AM$2,AM$3,AM$4,$C31,"TopFlow","Top","Top","Tot_Los","TOT_Depts","Tot_FC",$A31,"Top5","Top6","Reported","Top8")</f>
        <v>0.79039855072463805</v>
      </c>
      <c r="AN31" s="154"/>
      <c r="AT31" s="18">
        <f>_xll.OneStreamExcelAddIn.XFFunctions.XFGetCell("True","Consol", $B31,"Tot_Entity","USD",AT$2,AT$3,AT$4,$C31,"TopFlow","Top","Top","Tot_Los","TOT_Depts","Tot_FC",$A31,"Top5","Top6","Reported","Top8")</f>
        <v>0</v>
      </c>
      <c r="AU31" s="18">
        <f>_xll.OneStreamExcelAddIn.XFFunctions.XFGetCell("True","Consol", $B31,"Tot_Entity","USD",AU$2,AU$3,AU$4,$C31,"TopFlow","Top","Top","Tot_Los","TOT_Depts","Tot_FC",$A31,"Top5","Top6","Reported","Top8")</f>
        <v>0.83508771929824599</v>
      </c>
      <c r="AV31" s="163"/>
    </row>
    <row r="32" spans="1:48" x14ac:dyDescent="0.2">
      <c r="A32" s="16" t="str">
        <f t="shared" si="8"/>
        <v>Acute_DIV1</v>
      </c>
      <c r="B32" s="15">
        <f t="shared" si="9"/>
        <v>127</v>
      </c>
      <c r="C32" s="14" t="s">
        <v>128</v>
      </c>
      <c r="D32" s="14" t="s">
        <v>129</v>
      </c>
      <c r="E32" s="19">
        <f>ROUND(_xll.OneStreamExcelAddIn.XFFunctions.XFGetCell("True","Consol", $B32,"Tot_Entity","USD",E$2,E$3,E$4,$C32,"TopFlow","Top","Top","Tot_Los","TOT_Dept_WO_Addbacks","Tot_FC",$A32,"Top5","Top6","Reported","Top8"),1)</f>
        <v>10.4</v>
      </c>
      <c r="F32" s="19">
        <f>ROUND(_xll.OneStreamExcelAddIn.XFFunctions.XFGetCell("True","Consol", $B32,"Tot_Entity","Aggregated",F$2,F$3,F$4,$C32,"TopFlow","Top","Top","Tot_Los","TOT_Dept_WO_Addbacks","TOP3",$A32,"Top5","Top6","Reported","Top8"),0)</f>
        <v>10</v>
      </c>
      <c r="G32" s="41">
        <f>E32-F32</f>
        <v>0.40000000000000036</v>
      </c>
      <c r="M32" s="19">
        <f>_xll.OneStreamExcelAddIn.XFFunctions.XFGetCell("True","Consol", $B32,"Tot_Entity","USD",M$2,M$3,M$4,$C32,"TopFlow","Top","Top","Tot_Los","TOT_Dept_WO_Addbacks","Tot_FC",$A32,"Top5","Top6","Reported","Top8")</f>
        <v>10.4285714285714</v>
      </c>
      <c r="N32" s="19">
        <f>_xll.OneStreamExcelAddIn.XFFunctions.XFGetCell("True","Consol", $B32,"Tot_Entity","USD",N$2,N$3,N$4,$C32,"TopFlow","Top","Top","Tot_Los","TOT_Dept_WO_Addbacks","Tot_FC",$A32,"Top5","Top6","Reported","Top8")</f>
        <v>10.849420849420801</v>
      </c>
      <c r="O32" s="41">
        <f>M32-N32</f>
        <v>-0.42084942084940025</v>
      </c>
      <c r="Q32" s="41"/>
      <c r="R32" s="41"/>
      <c r="T32" s="41"/>
      <c r="V32" s="19">
        <f>_xll.OneStreamExcelAddIn.XFFunctions.XFGetCell("True","Consol", $B32,"Tot_Entity","USD",V$2,V$3,V$4,$C32,"TopFlow","Top","Top","Tot_Los","TOT_Dept_WO_Addbacks","Tot_FC",$A32,"Top5","Top6","Reported","Top8")</f>
        <v>10.413239719157501</v>
      </c>
      <c r="W32" s="19">
        <f>_xll.OneStreamExcelAddIn.XFFunctions.XFGetCell("True","Consol", $B32,"Tot_Entity","Aggregated",W$2,W$3,W$4,$C32,"TopFlow","Top","Top","Tot_Los","TOT_Dept_WO_Addbacks","TOP3",$A32,"Top5","Top6","Reported","Top8")</f>
        <v>10.020371125627101</v>
      </c>
      <c r="X32" s="21">
        <f>V32-W32</f>
        <v>0.39286859353039993</v>
      </c>
      <c r="AD32" s="19">
        <f>_xll.OneStreamExcelAddIn.XFFunctions.XFGetCell("True","Consol", $B32,"Tot_Entity","USD",AD$2,AD$3,AD$4,$C32,"TopFlow","Top","Top","Tot_Los","TOT_Dept_WO_Addbacks","Tot_FC",$A32,"Top5","Top6","Reported","Top8")</f>
        <v>10.4285714285714</v>
      </c>
      <c r="AE32" s="19">
        <f>_xll.OneStreamExcelAddIn.XFFunctions.XFGetCell("True","Consol", $B32,"Tot_Entity","USD",AE$2,AE$3,AE$4,$C32,"TopFlow","Top","Top","Tot_Los","TOT_Dept_WO_Addbacks","Tot_FC",$A32,"Top5","Top6","Reported","Top8")</f>
        <v>14.299578059071701</v>
      </c>
      <c r="AF32" s="41">
        <f>AD32-AE32</f>
        <v>-3.8710066305003004</v>
      </c>
      <c r="AL32" s="19">
        <f>_xll.OneStreamExcelAddIn.XFFunctions.XFGetCell("True","Consol", $B32,"Tot_Entity","USD",AL$2,AL$3,AL$4,$C32,"TopFlow","Top","Top","Tot_Los","TOT_Dept_WO_Addbacks","Tot_FC",$A32,"Top5","Top6","Reported","Top8")</f>
        <v>10.413239719157501</v>
      </c>
      <c r="AM32" s="19">
        <f>_xll.OneStreamExcelAddIn.XFFunctions.XFGetCell("True","Consol", $B32,"Tot_Entity","USD",AM$2,AM$3,AM$4,$C32,"TopFlow","Top","Top","Tot_Los","TOT_Dept_WO_Addbacks","Tot_FC",$A32,"Top5","Top6","Reported","Top8")</f>
        <v>15.255244755244799</v>
      </c>
      <c r="AN32" s="21">
        <f>AL32-AM32</f>
        <v>-4.8420050360872988</v>
      </c>
      <c r="AT32" s="19">
        <f>_xll.OneStreamExcelAddIn.XFFunctions.XFGetCell("True","Consol", $B32,"Tot_Entity","USD",AT$2,AT$3,AT$4,$C32,"TopFlow","Top","Top","Tot_Los","TOT_Dept_WO_Addbacks","Tot_FC",$A32,"Top5","Top6","Reported","Top8")</f>
        <v>0</v>
      </c>
      <c r="AU32" s="19">
        <f>_xll.OneStreamExcelAddIn.XFFunctions.XFGetCell("True","Consol", $B32,"Tot_Entity","USD",AU$2,AU$3,AU$4,$C32,"TopFlow","Top","Top","Tot_Los","TOT_Dept_WO_Addbacks","Tot_FC",$A32,"Top5","Top6","Reported","Top8")</f>
        <v>10.048655385058799</v>
      </c>
      <c r="AV32" s="162">
        <f>AT32-AU32</f>
        <v>-10.048655385058799</v>
      </c>
    </row>
    <row r="33" spans="1:48" x14ac:dyDescent="0.2">
      <c r="A33" s="16" t="str">
        <f t="shared" si="8"/>
        <v>Acute_DIV1</v>
      </c>
      <c r="B33" s="15">
        <f t="shared" si="9"/>
        <v>127</v>
      </c>
      <c r="C33" s="14" t="s">
        <v>130</v>
      </c>
      <c r="D33" s="14" t="s">
        <v>131</v>
      </c>
      <c r="E33" s="19">
        <f>_xll.OneStreamExcelAddIn.XFFunctions.XFGetCell("True","Consol", $B33,"Tot_Entity","USD",E$2,E$3,E$4,$C33,"TopFlow","Top","Top","Tot_Los","TOT_Dept_WO_Addbacks","Tot_FC",$A33,"Top5","Top6","Reported","Top8")</f>
        <v>85.1666666666667</v>
      </c>
      <c r="F33" s="19">
        <f>_xll.OneStreamExcelAddIn.XFFunctions.XFGetCell("True","Consol", $B33,"Tot_Entity","Aggregated",F$2,F$3,F$4,$C33,"TopFlow","Top","Top","Tot_Los","TOT_Dept_WO_Addbacks","TOP3",$A33,"Top5","Top6","Reported","Top8")</f>
        <v>95.2</v>
      </c>
      <c r="G33" s="43">
        <f>E33-F33</f>
        <v>-10.033333333333303</v>
      </c>
      <c r="M33" s="19">
        <f>_xll.OneStreamExcelAddIn.XFFunctions.XFGetCell("True","Consol", $B33,"Tot_Entity","USD",M$2,M$3,M$4,$C33,"TopFlow","Top","Top","Tot_Los","TOT_Dept_WO_Addbacks","Tot_FC",$A33,"Top5","Top6","Reported","Top8")</f>
        <v>85.1666666666667</v>
      </c>
      <c r="N33" s="19">
        <f>_xll.OneStreamExcelAddIn.XFFunctions.XFGetCell("True","Consol", $B33,"Tot_Entity","USD",N$2,N$3,N$4,$C33,"TopFlow","Top","Top","Tot_Los","TOT_Dept_WO_Addbacks","Tot_FC",$A33,"Top5","Top6","Reported","Top8")</f>
        <v>90.645161290322605</v>
      </c>
      <c r="O33" s="41">
        <f>M33-N33</f>
        <v>-5.4784946236559051</v>
      </c>
      <c r="Q33" s="41"/>
      <c r="R33" s="41"/>
      <c r="T33" s="41"/>
      <c r="V33" s="19">
        <f>_xll.OneStreamExcelAddIn.XFFunctions.XFGetCell("True","Consol", $B33,"Tot_Entity","USD",V$2,V$3,V$4,$C33,"TopFlow","Top","Top","Tot_Los","TOT_Dept_WO_Addbacks","Tot_FC",$A33,"Top5","Top6","Reported","Top8")</f>
        <v>86.516666666666694</v>
      </c>
      <c r="W33" s="19">
        <f>_xll.OneStreamExcelAddIn.XFFunctions.XFGetCell("True","Consol", $B33,"Tot_Entity","Aggregated",W$2,W$3,W$4,$C33,"TopFlow","Top","Top","Tot_Los","TOT_Dept_WO_Addbacks","TOP3",$A33,"Top5","Top6","Reported","Top8")</f>
        <v>92.608333333333306</v>
      </c>
      <c r="X33" s="21">
        <f>V33-W33</f>
        <v>-6.0916666666666117</v>
      </c>
      <c r="AD33" s="19">
        <f>_xll.OneStreamExcelAddIn.XFFunctions.XFGetCell("True","Consol", $B33,"Tot_Entity","USD",AD$2,AD$3,AD$4,$C33,"TopFlow","Top","Top","Tot_Los","TOT_Dept_WO_Addbacks","Tot_FC",$A33,"Top5","Top6","Reported","Top8")</f>
        <v>85.1666666666667</v>
      </c>
      <c r="AE33" s="19">
        <f>_xll.OneStreamExcelAddIn.XFFunctions.XFGetCell("True","Consol", $B33,"Tot_Entity","USD",AE$2,AE$3,AE$4,$C33,"TopFlow","Top","Top","Tot_Los","TOT_Dept_WO_Addbacks","Tot_FC",$A33,"Top5","Top6","Reported","Top8")</f>
        <v>112.966666666667</v>
      </c>
      <c r="AF33" s="41">
        <f>AD33-AE33</f>
        <v>-27.800000000000296</v>
      </c>
      <c r="AL33" s="19">
        <f>_xll.OneStreamExcelAddIn.XFFunctions.XFGetCell("True","Consol", $B33,"Tot_Entity","USD",AL$2,AL$3,AL$4,$C33,"TopFlow","Top","Top","Tot_Los","TOT_Dept_WO_Addbacks","Tot_FC",$A33,"Top5","Top6","Reported","Top8")</f>
        <v>86.516666666666694</v>
      </c>
      <c r="AM33" s="19">
        <f>_xll.OneStreamExcelAddIn.XFFunctions.XFGetCell("True","Consol", $B33,"Tot_Entity","USD",AM$2,AM$3,AM$4,$C33,"TopFlow","Top","Top","Tot_Los","TOT_Dept_WO_Addbacks","Tot_FC",$A33,"Top5","Top6","Reported","Top8")</f>
        <v>109.075</v>
      </c>
      <c r="AN33" s="21">
        <f>AL33-AM33</f>
        <v>-22.558333333333309</v>
      </c>
      <c r="AT33" s="19">
        <f>_xll.OneStreamExcelAddIn.XFFunctions.XFGetCell("True","Consol", $B33,"Tot_Entity","USD",AT$2,AT$3,AT$4,$C33,"TopFlow","Top","Top","Tot_Los","TOT_Dept_WO_Addbacks","Tot_FC",$A33,"Top5","Top6","Reported","Top8")</f>
        <v>0</v>
      </c>
      <c r="AU33" s="19">
        <f>_xll.OneStreamExcelAddIn.XFFunctions.XFGetCell("True","Consol", $B33,"Tot_Entity","USD",AU$2,AU$3,AU$4,$C33,"TopFlow","Top","Top","Tot_Los","TOT_Dept_WO_Addbacks","Tot_FC",$A33,"Top5","Top6","Reported","Top8")</f>
        <v>95.2</v>
      </c>
      <c r="AV33" s="162">
        <f>AT33-AU33</f>
        <v>-95.2</v>
      </c>
    </row>
    <row r="34" spans="1:48" x14ac:dyDescent="0.2">
      <c r="A34" s="16" t="str">
        <f t="shared" si="8"/>
        <v>Acute_DIV1</v>
      </c>
      <c r="B34" s="15">
        <f t="shared" si="9"/>
        <v>127</v>
      </c>
      <c r="C34" s="14">
        <v>92107</v>
      </c>
      <c r="D34" s="14" t="s">
        <v>37</v>
      </c>
      <c r="E34" s="19">
        <f>_xll.OneStreamExcelAddIn.XFFunctions.XFGetCell("True","Consol", $B34,"Tot_Entity","USD",E$2,E$3,E$4,$C34,"TopFlow","Top","Top","Tot_Los","TOT_Dept_WO_Addbacks","Tot_FC",$A34,"Top5","Top6","Reported","Top8")</f>
        <v>84.117104266166706</v>
      </c>
      <c r="F34" s="19">
        <f>_xll.OneStreamExcelAddIn.XFFunctions.XFGetCell("True","Consol", $B34,"Tot_Entity","Aggregated",F$2,F$3,F$4,$C34,"TopFlow","Top","Top","Tot_Los","TOT_Dept_WO_Addbacks","TOP3",$A34,"Top5","Top6","Reported","Top8")</f>
        <v>97.082820233753907</v>
      </c>
      <c r="G34" s="41">
        <f>E34-F34</f>
        <v>-12.965715967587201</v>
      </c>
      <c r="M34" s="19">
        <f>_xll.OneStreamExcelAddIn.XFFunctions.XFGetCell("True","Consol", $B34,"Tot_Entity","USD",M$2,M$3,M$4,$C34,"TopFlow","Top","Top","Tot_Los","TOT_Dept_WO_Addbacks","Tot_FC",$A34,"Top5","Top6","Reported","Top8")</f>
        <v>84.117104266166706</v>
      </c>
      <c r="N34" s="19">
        <f>_xll.OneStreamExcelAddIn.XFFunctions.XFGetCell("True","Consol", $B34,"Tot_Entity","USD",N$2,N$3,N$4,$C34,"TopFlow","Top","Top","Tot_Los","TOT_Dept_WO_Addbacks","Tot_FC",$A34,"Top5","Top6","Reported","Top8")</f>
        <v>93.513273057063799</v>
      </c>
      <c r="O34" s="41">
        <f>M34-N34</f>
        <v>-9.396168790897093</v>
      </c>
      <c r="Q34" s="41"/>
      <c r="R34" s="41"/>
      <c r="T34" s="41"/>
      <c r="V34" s="19">
        <f>_xll.OneStreamExcelAddIn.XFFunctions.XFGetCell("True","Consol", $B34,"Tot_Entity","USD",V$2,V$3,V$4,$C34,"TopFlow","Top","Top","Tot_Los","TOT_Dept_WO_Addbacks","Tot_FC",$A34,"Top5","Top6","Reported","Top8")</f>
        <v>87.5433390704749</v>
      </c>
      <c r="W34" s="19">
        <f>_xll.OneStreamExcelAddIn.XFFunctions.XFGetCell("True","Consol", $B34,"Tot_Entity","Aggregated",W$2,W$3,W$4,$C34,"TopFlow","Top","Top","Tot_Los","TOT_Dept_WO_Addbacks","TOP3",$A34,"Top5","Top6","Reported","Top8")</f>
        <v>94.513788805980298</v>
      </c>
      <c r="X34" s="21">
        <f>V34-W34</f>
        <v>-6.9704497355053974</v>
      </c>
      <c r="AD34" s="19">
        <f>_xll.OneStreamExcelAddIn.XFFunctions.XFGetCell("True","Consol", $B34,"Tot_Entity","USD",AD$2,AD$3,AD$4,$C34,"TopFlow","Top","Top","Tot_Los","TOT_Dept_WO_Addbacks","Tot_FC",$A34,"Top5","Top6","Reported","Top8")</f>
        <v>84.117104266166706</v>
      </c>
      <c r="AE34" s="19">
        <f>_xll.OneStreamExcelAddIn.XFFunctions.XFGetCell("True","Consol", $B34,"Tot_Entity","USD",AE$2,AE$3,AE$4,$C34,"TopFlow","Top","Top","Tot_Los","TOT_Dept_WO_Addbacks","Tot_FC",$A34,"Top5","Top6","Reported","Top8")</f>
        <v>117.228149079706</v>
      </c>
      <c r="AF34" s="41">
        <f>AD34-AE34</f>
        <v>-33.111044813539294</v>
      </c>
      <c r="AL34" s="19">
        <f>_xll.OneStreamExcelAddIn.XFFunctions.XFGetCell("True","Consol", $B34,"Tot_Entity","USD",AL$2,AL$3,AL$4,$C34,"TopFlow","Top","Top","Tot_Los","TOT_Dept_WO_Addbacks","Tot_FC",$A34,"Top5","Top6","Reported","Top8")</f>
        <v>87.5433390704749</v>
      </c>
      <c r="AM34" s="19">
        <f>_xll.OneStreamExcelAddIn.XFFunctions.XFGetCell("True","Consol", $B34,"Tot_Entity","USD",AM$2,AM$3,AM$4,$C34,"TopFlow","Top","Top","Tot_Los","TOT_Dept_WO_Addbacks","Tot_FC",$A34,"Top5","Top6","Reported","Top8")</f>
        <v>113.51515771359701</v>
      </c>
      <c r="AN34" s="21">
        <f>AL34-AM34</f>
        <v>-25.971818643122106</v>
      </c>
      <c r="AT34" s="19">
        <f>_xll.OneStreamExcelAddIn.XFFunctions.XFGetCell("True","Consol", $B34,"Tot_Entity","USD",AT$2,AT$3,AT$4,$C34,"TopFlow","Top","Top","Tot_Los","TOT_Dept_WO_Addbacks","Tot_FC",$A34,"Top5","Top6","Reported","Top8")</f>
        <v>0</v>
      </c>
      <c r="AU34" s="19">
        <f>_xll.OneStreamExcelAddIn.XFFunctions.XFGetCell("True","Consol", $B34,"Tot_Entity","USD",AU$2,AU$3,AU$4,$C34,"TopFlow","Top","Top","Tot_Los","TOT_Dept_WO_Addbacks","Tot_FC",$A34,"Top5","Top6","Reported","Top8")</f>
        <v>97.082820233753907</v>
      </c>
      <c r="AV34" s="162">
        <f>AT34-AU34</f>
        <v>-97.082820233753907</v>
      </c>
    </row>
    <row r="35" spans="1:48" x14ac:dyDescent="0.2">
      <c r="B35" s="46"/>
    </row>
    <row r="36" spans="1:48" x14ac:dyDescent="0.2">
      <c r="A36" s="16" t="str">
        <f>+$A$8</f>
        <v>Acute_DIV1</v>
      </c>
      <c r="B36" s="15">
        <f>+$B$8</f>
        <v>127</v>
      </c>
      <c r="C36" s="14" t="s">
        <v>124</v>
      </c>
      <c r="D36" s="14" t="s">
        <v>132</v>
      </c>
      <c r="E36" s="15">
        <f>_xll.OneStreamExcelAddIn.XFFunctions.XFGetCell("True","Consol", $B36,"Tot_Entity","USD",E$2,E$3,E$4,$C36,"TopFlow","Top","Top","Tot_Los","TOT_Dept_WO_Addbacks","TOT_Medicare",$A36,"Top5","Top6","Reported","Top8")</f>
        <v>334</v>
      </c>
      <c r="F36" s="15">
        <f>_xll.OneStreamExcelAddIn.XFFunctions.XFGetCell("True","Consol", $B36,"Tot_Entity","Aggregated",F$2,F$3,F$4,$C36,"TopFlow","Top","Top","Tot_Los","TOT_Dept_WO_Addbacks","TOT_Medicare",$A36,"Top5","Top6","Reported","Top8")</f>
        <v>310.83999999999997</v>
      </c>
      <c r="G36" s="21">
        <f>E36-F36</f>
        <v>23.160000000000025</v>
      </c>
      <c r="M36" s="15">
        <f>_xll.OneStreamExcelAddIn.XFFunctions.XFGetCell("True","Consol", $B36,"Tot_Entity","USD",M$2,M$3,M$4,$C36,"TopFlow","Top","Top","Tot_Los","TOT_Dept_WO_Addbacks","TOT_Medicare",$A36,"Top5","Top6","Reported","Top8")</f>
        <v>334</v>
      </c>
      <c r="N36" s="15">
        <f>_xll.OneStreamExcelAddIn.XFFunctions.XFGetCell("True","Consol", $B36,"Tot_Entity","USD",N$2,N$3,N$4,$C36,"TopFlow","Top","Top","Tot_Los","TOT_Dept_WO_Addbacks","TOT_Medicare",$A36,"Top5","Top6","Reported","Top8")</f>
        <v>263</v>
      </c>
      <c r="O36" s="21">
        <f>M36-N36</f>
        <v>71</v>
      </c>
      <c r="Q36" s="21"/>
      <c r="R36" s="21"/>
      <c r="T36" s="21"/>
      <c r="V36" s="15">
        <f>_xll.OneStreamExcelAddIn.XFFunctions.XFGetCell("True","Consol", $B36,"Tot_Entity","USD",V$2,V$3,V$4,$C36,"TopFlow","Top","Top","Tot_Los","TOT_Dept_WO_Addbacks","TOT_Medicare",$A36,"Top5","Top6","Reported","Top8")</f>
        <v>1020</v>
      </c>
      <c r="W36" s="15">
        <f>_xll.OneStreamExcelAddIn.XFFunctions.XFGetCell("True","Consol", $B36,"Tot_Entity","Aggregated",W$2,W$3,W$4,$C36,"TopFlow","Top","Top","Tot_Los","TOT_Dept_WO_Addbacks","TOT_Medicare",$A36,"Top5","Top6","Reported","Top8")</f>
        <v>1447.13</v>
      </c>
      <c r="X36" s="21">
        <f>V36-W36</f>
        <v>-427.13000000000011</v>
      </c>
      <c r="AD36" s="15">
        <f>_xll.OneStreamExcelAddIn.XFFunctions.XFGetCell("True","Consol", $B36,"Tot_Entity","USD",AD$2,AD$3,AD$4,$C36,"TopFlow","Top","Top","Tot_Los","TOT_Dept_WO_Addbacks","TOT_Medicare",$A36,"Top5","Top6","Reported","Top8")</f>
        <v>334</v>
      </c>
      <c r="AE36" s="15">
        <f>_xll.OneStreamExcelAddIn.XFFunctions.XFGetCell("True","Consol", $B36,"Tot_Entity","USD",AE$2,AE$3,AE$4,$C36,"TopFlow","Top","Top","Tot_Los","TOT_Dept_WO_Addbacks","TOT_Medicare",$A36,"Top5","Top6","Reported","Top8")</f>
        <v>304</v>
      </c>
      <c r="AF36" s="21">
        <f>AD36-AE36</f>
        <v>30</v>
      </c>
      <c r="AL36" s="15">
        <f>_xll.OneStreamExcelAddIn.XFFunctions.XFGetCell("True","Consol", $B36,"Tot_Entity","USD",AL$2,AL$3,AL$4,$C36,"TopFlow","Top","Top","Tot_Los","TOT_Dept_WO_Addbacks","TOT_Medicare",$A36,"Top5","Top6","Reported","Top8")</f>
        <v>1020</v>
      </c>
      <c r="AM36" s="15">
        <f>_xll.OneStreamExcelAddIn.XFFunctions.XFGetCell("True","Consol", $B36,"Tot_Entity","USD",AM$2,AM$3,AM$4,$C36,"TopFlow","Top","Top","Tot_Los","TOT_Dept_WO_Addbacks","TOT_Medicare",$A36,"Top5","Top6","Reported","Top8")</f>
        <v>1249</v>
      </c>
      <c r="AN36" s="21">
        <f>AL36-AM36</f>
        <v>-229</v>
      </c>
      <c r="AT36" s="15">
        <f>_xll.OneStreamExcelAddIn.XFFunctions.XFGetCell("True","Consol", $B36,"Tot_Entity","USD",AT$2,AT$3,AT$4,$C36,"TopFlow","Top","Top","Tot_Los","TOT_Dept_WO_Addbacks","TOT_Medicare",$A36,"Top5","Top6","Reported","Top8")</f>
        <v>0</v>
      </c>
      <c r="AU36" s="15">
        <f>_xll.OneStreamExcelAddIn.XFFunctions.XFGetCell("True","Consol", $B36,"Tot_Entity","USD",AU$2,AU$3,AU$4,$C36,"TopFlow","Top","Top","Tot_Los","TOT_Dept_WO_Addbacks","TOT_Medicare",$A36,"Top5","Top6","Reported","Top8")</f>
        <v>310.83999999999997</v>
      </c>
      <c r="AV36" s="162">
        <f>AT36-AU36</f>
        <v>-310.83999999999997</v>
      </c>
    </row>
    <row r="37" spans="1:48" x14ac:dyDescent="0.2">
      <c r="A37" s="16" t="str">
        <f>+$A$8</f>
        <v>Acute_DIV1</v>
      </c>
      <c r="B37" s="15">
        <f>+$B$8</f>
        <v>127</v>
      </c>
      <c r="C37" s="14" t="s">
        <v>124</v>
      </c>
      <c r="D37" s="14" t="s">
        <v>133</v>
      </c>
      <c r="E37" s="15">
        <f>_xll.OneStreamExcelAddIn.XFFunctions.XFGetCell("True","Consol", $B37,"Tot_Entity","USD",E$2,E$3,E$4,$C37,"TopFlow","Top","Top","Tot_Los","TOT_Dept_WO_Addbacks","TOT_Medicaid",$A37,"Top5","Top6","Reported","Top8")</f>
        <v>1517</v>
      </c>
      <c r="F37" s="15">
        <f>_xll.OneStreamExcelAddIn.XFFunctions.XFGetCell("True","Consol", $B37,"Tot_Entity","Aggregated",F$2,F$3,F$4,$C37,"TopFlow","Top","Top","Tot_Los","TOT_Dept_WO_Addbacks","TOT_Medicaid",$A37,"Top5","Top6","Reported","Top8")</f>
        <v>1723.3</v>
      </c>
      <c r="G37" s="21">
        <f>E37-F37</f>
        <v>-206.29999999999995</v>
      </c>
      <c r="M37" s="15">
        <f>_xll.OneStreamExcelAddIn.XFFunctions.XFGetCell("True","Consol", $B37,"Tot_Entity","USD",M$2,M$3,M$4,$C37,"TopFlow","Top","Top","Tot_Los","TOT_Dept_WO_Addbacks","TOT_Medicaid",$A37,"Top5","Top6","Reported","Top8")</f>
        <v>1517</v>
      </c>
      <c r="N37" s="15">
        <f>_xll.OneStreamExcelAddIn.XFFunctions.XFGetCell("True","Consol", $B37,"Tot_Entity","USD",N$2,N$3,N$4,$C37,"TopFlow","Top","Top","Tot_Los","TOT_Dept_WO_Addbacks","TOT_Medicaid",$A37,"Top5","Top6","Reported","Top8")</f>
        <v>1836</v>
      </c>
      <c r="O37" s="21">
        <f>M37-N37</f>
        <v>-319</v>
      </c>
      <c r="Q37" s="21"/>
      <c r="R37" s="21"/>
      <c r="T37" s="21"/>
      <c r="V37" s="15">
        <f>_xll.OneStreamExcelAddIn.XFFunctions.XFGetCell("True","Consol", $B37,"Tot_Entity","USD",V$2,V$3,V$4,$C37,"TopFlow","Top","Top","Tot_Los","TOT_Dept_WO_Addbacks","TOT_Medicaid",$A37,"Top5","Top6","Reported","Top8")</f>
        <v>6772</v>
      </c>
      <c r="W37" s="15">
        <f>_xll.OneStreamExcelAddIn.XFFunctions.XFGetCell("True","Consol", $B37,"Tot_Entity","Aggregated",W$2,W$3,W$4,$C37,"TopFlow","Top","Top","Tot_Los","TOT_Dept_WO_Addbacks","TOT_Medicaid",$A37,"Top5","Top6","Reported","Top8")</f>
        <v>7020.47</v>
      </c>
      <c r="X37" s="21">
        <f>V37-W37</f>
        <v>-248.47000000000025</v>
      </c>
      <c r="AD37" s="15">
        <f>_xll.OneStreamExcelAddIn.XFFunctions.XFGetCell("True","Consol", $B37,"Tot_Entity","USD",AD$2,AD$3,AD$4,$C37,"TopFlow","Top","Top","Tot_Los","TOT_Dept_WO_Addbacks","TOT_Medicaid",$A37,"Top5","Top6","Reported","Top8")</f>
        <v>1517</v>
      </c>
      <c r="AE37" s="15">
        <f>_xll.OneStreamExcelAddIn.XFFunctions.XFGetCell("True","Consol", $B37,"Tot_Entity","USD",AE$2,AE$3,AE$4,$C37,"TopFlow","Top","Top","Tot_Los","TOT_Dept_WO_Addbacks","TOT_Medicaid",$A37,"Top5","Top6","Reported","Top8")</f>
        <v>2288</v>
      </c>
      <c r="AF37" s="21">
        <f>AD37-AE37</f>
        <v>-771</v>
      </c>
      <c r="AL37" s="15">
        <f>_xll.OneStreamExcelAddIn.XFFunctions.XFGetCell("True","Consol", $B37,"Tot_Entity","USD",AL$2,AL$3,AL$4,$C37,"TopFlow","Top","Top","Tot_Los","TOT_Dept_WO_Addbacks","TOT_Medicaid",$A37,"Top5","Top6","Reported","Top8")</f>
        <v>6772</v>
      </c>
      <c r="AM37" s="15">
        <f>_xll.OneStreamExcelAddIn.XFFunctions.XFGetCell("True","Consol", $B37,"Tot_Entity","USD",AM$2,AM$3,AM$4,$C37,"TopFlow","Top","Top","Tot_Los","TOT_Dept_WO_Addbacks","TOT_Medicaid",$A37,"Top5","Top6","Reported","Top8")</f>
        <v>9145</v>
      </c>
      <c r="AN37" s="21">
        <f>AL37-AM37</f>
        <v>-2373</v>
      </c>
      <c r="AT37" s="15">
        <f>_xll.OneStreamExcelAddIn.XFFunctions.XFGetCell("True","Consol", $B37,"Tot_Entity","USD",AT$2,AT$3,AT$4,$C37,"TopFlow","Top","Top","Tot_Los","TOT_Dept_WO_Addbacks","TOT_Medicaid",$A37,"Top5","Top6","Reported","Top8")</f>
        <v>0</v>
      </c>
      <c r="AU37" s="15">
        <f>_xll.OneStreamExcelAddIn.XFFunctions.XFGetCell("True","Consol", $B37,"Tot_Entity","USD",AU$2,AU$3,AU$4,$C37,"TopFlow","Top","Top","Tot_Los","TOT_Dept_WO_Addbacks","TOT_Medicaid",$A37,"Top5","Top6","Reported","Top8")</f>
        <v>1723.3</v>
      </c>
      <c r="AV37" s="162">
        <f>AT37-AU37</f>
        <v>-1723.3</v>
      </c>
    </row>
    <row r="38" spans="1:48" x14ac:dyDescent="0.2">
      <c r="A38" s="16" t="str">
        <f>+$A$8</f>
        <v>Acute_DIV1</v>
      </c>
      <c r="B38" s="15">
        <f>+$B$8</f>
        <v>127</v>
      </c>
      <c r="C38" s="14" t="s">
        <v>124</v>
      </c>
      <c r="D38" s="14" t="s">
        <v>134</v>
      </c>
      <c r="E38" s="15">
        <f>_xll.OneStreamExcelAddIn.XFFunctions.XFGetCell("True","Consol", $B38,"Tot_Entity","USD",E$2,E$3,E$4,$C38,"TopFlow","Top","Top","Tot_Los","TOT_Dept_WO_Addbacks","TOT_Comm",$A38,"Top5","Top6","Reported","Top8")</f>
        <v>651</v>
      </c>
      <c r="F38" s="15">
        <f>_xll.OneStreamExcelAddIn.XFFunctions.XFGetCell("True","Consol", $B38,"Tot_Entity","Aggregated",F$2,F$3,F$4,$C38,"TopFlow","Top","Top","Tot_Los","TOT_Dept_WO_Addbacks","TOT_Comm",$A38,"Top5","Top6","Reported","Top8")</f>
        <v>780.4</v>
      </c>
      <c r="G38" s="21">
        <f>E38-F38</f>
        <v>-129.39999999999998</v>
      </c>
      <c r="M38" s="15">
        <f>_xll.OneStreamExcelAddIn.XFFunctions.XFGetCell("True","Consol", $B38,"Tot_Entity","USD",M$2,M$3,M$4,$C38,"TopFlow","Top","Top","Tot_Los","TOT_Dept_WO_Addbacks","TOT_Comm",$A38,"Top5","Top6","Reported","Top8")</f>
        <v>651</v>
      </c>
      <c r="N38" s="15">
        <f>_xll.OneStreamExcelAddIn.XFFunctions.XFGetCell("True","Consol", $B38,"Tot_Entity","USD",N$2,N$3,N$4,$C38,"TopFlow","Top","Top","Tot_Los","TOT_Dept_WO_Addbacks","TOT_Comm",$A38,"Top5","Top6","Reported","Top8")</f>
        <v>666</v>
      </c>
      <c r="O38" s="21">
        <f>M38-N38</f>
        <v>-15</v>
      </c>
      <c r="Q38" s="21"/>
      <c r="R38" s="21"/>
      <c r="T38" s="21"/>
      <c r="V38" s="15">
        <f>_xll.OneStreamExcelAddIn.XFFunctions.XFGetCell("True","Consol", $B38,"Tot_Entity","USD",V$2,V$3,V$4,$C38,"TopFlow","Top","Top","Tot_Los","TOT_Dept_WO_Addbacks","TOT_Comm",$A38,"Top5","Top6","Reported","Top8")</f>
        <v>2368</v>
      </c>
      <c r="W38" s="15">
        <f>_xll.OneStreamExcelAddIn.XFFunctions.XFGetCell("True","Consol", $B38,"Tot_Entity","Aggregated",W$2,W$3,W$4,$C38,"TopFlow","Top","Top","Tot_Los","TOT_Dept_WO_Addbacks","TOT_Comm",$A38,"Top5","Top6","Reported","Top8")</f>
        <v>2491.46</v>
      </c>
      <c r="X38" s="21">
        <f>V38-W38</f>
        <v>-123.46000000000004</v>
      </c>
      <c r="AD38" s="15">
        <f>_xll.OneStreamExcelAddIn.XFFunctions.XFGetCell("True","Consol", $B38,"Tot_Entity","USD",AD$2,AD$3,AD$4,$C38,"TopFlow","Top","Top","Tot_Los","TOT_Dept_WO_Addbacks","TOT_Comm",$A38,"Top5","Top6","Reported","Top8")</f>
        <v>651</v>
      </c>
      <c r="AE38" s="15">
        <f>_xll.OneStreamExcelAddIn.XFFunctions.XFGetCell("True","Consol", $B38,"Tot_Entity","USD",AE$2,AE$3,AE$4,$C38,"TopFlow","Top","Top","Tot_Los","TOT_Dept_WO_Addbacks","TOT_Comm",$A38,"Top5","Top6","Reported","Top8")</f>
        <v>763</v>
      </c>
      <c r="AF38" s="21">
        <f>AD38-AE38</f>
        <v>-112</v>
      </c>
      <c r="AL38" s="15">
        <f>_xll.OneStreamExcelAddIn.XFFunctions.XFGetCell("True","Consol", $B38,"Tot_Entity","USD",AL$2,AL$3,AL$4,$C38,"TopFlow","Top","Top","Tot_Los","TOT_Dept_WO_Addbacks","TOT_Comm",$A38,"Top5","Top6","Reported","Top8")</f>
        <v>2368</v>
      </c>
      <c r="AM38" s="15">
        <f>_xll.OneStreamExcelAddIn.XFFunctions.XFGetCell("True","Consol", $B38,"Tot_Entity","USD",AM$2,AM$3,AM$4,$C38,"TopFlow","Top","Top","Tot_Los","TOT_Dept_WO_Addbacks","TOT_Comm",$A38,"Top5","Top6","Reported","Top8")</f>
        <v>2541</v>
      </c>
      <c r="AN38" s="21">
        <f>AL38-AM38</f>
        <v>-173</v>
      </c>
      <c r="AT38" s="15">
        <f>_xll.OneStreamExcelAddIn.XFFunctions.XFGetCell("True","Consol", $B38,"Tot_Entity","USD",AT$2,AT$3,AT$4,$C38,"TopFlow","Top","Top","Tot_Los","TOT_Dept_WO_Addbacks","TOT_Comm",$A38,"Top5","Top6","Reported","Top8")</f>
        <v>0</v>
      </c>
      <c r="AU38" s="15">
        <f>_xll.OneStreamExcelAddIn.XFFunctions.XFGetCell("True","Consol", $B38,"Tot_Entity","USD",AU$2,AU$3,AU$4,$C38,"TopFlow","Top","Top","Tot_Los","TOT_Dept_WO_Addbacks","TOT_Comm",$A38,"Top5","Top6","Reported","Top8")</f>
        <v>780.4</v>
      </c>
      <c r="AV38" s="162">
        <f>AT38-AU38</f>
        <v>-780.4</v>
      </c>
    </row>
    <row r="39" spans="1:48" x14ac:dyDescent="0.2">
      <c r="A39" s="16" t="str">
        <f>+$A$8</f>
        <v>Acute_DIV1</v>
      </c>
      <c r="B39" s="15">
        <f>+$B$8</f>
        <v>127</v>
      </c>
      <c r="C39" s="14" t="s">
        <v>124</v>
      </c>
      <c r="D39" s="14" t="s">
        <v>135</v>
      </c>
      <c r="E39" s="15">
        <f>_xll.OneStreamExcelAddIn.XFFunctions.XFGetCell("True","Consol", $B39,"Tot_Entity","USD",E$2,E$3,E$4,$C39,"TopFlow","Top","Top","Tot_Los","TOT_Dept_WO_Addbacks","TOT_Oth_Govt",$A39,"Top5","Top6","Reported","Top8")</f>
        <v>11</v>
      </c>
      <c r="F39" s="15">
        <f>_xll.OneStreamExcelAddIn.XFFunctions.XFGetCell("True","Consol", $B39,"Tot_Entity","Aggregated",F$2,F$3,F$4,$C39,"TopFlow","Top","Top","Tot_Los","TOT_Dept_WO_Addbacks","TOT_Oth_Govt",$A39,"Top5","Top6","Reported","Top8")</f>
        <v>11.45</v>
      </c>
      <c r="G39" s="21">
        <f>E39-F39</f>
        <v>-0.44999999999999929</v>
      </c>
      <c r="M39" s="15">
        <f>_xll.OneStreamExcelAddIn.XFFunctions.XFGetCell("True","Consol", $B39,"Tot_Entity","USD",M$2,M$3,M$4,$C39,"TopFlow","Top","Top","Tot_Los","TOT_Dept_WO_Addbacks","TOT_Oth_Govt",$A39,"Top5","Top6","Reported","Top8")</f>
        <v>11</v>
      </c>
      <c r="N39" s="15">
        <f>_xll.OneStreamExcelAddIn.XFFunctions.XFGetCell("True","Consol", $B39,"Tot_Entity","USD",N$2,N$3,N$4,$C39,"TopFlow","Top","Top","Tot_Los","TOT_Dept_WO_Addbacks","TOT_Oth_Govt",$A39,"Top5","Top6","Reported","Top8")</f>
        <v>10</v>
      </c>
      <c r="O39" s="21">
        <f>M39-N39</f>
        <v>1</v>
      </c>
      <c r="Q39" s="21"/>
      <c r="R39" s="21"/>
      <c r="T39" s="21"/>
      <c r="V39" s="15">
        <f>_xll.OneStreamExcelAddIn.XFFunctions.XFGetCell("True","Consol", $B39,"Tot_Entity","USD",V$2,V$3,V$4,$C39,"TopFlow","Top","Top","Tot_Los","TOT_Dept_WO_Addbacks","TOT_Oth_Govt",$A39,"Top5","Top6","Reported","Top8")</f>
        <v>61</v>
      </c>
      <c r="W39" s="15">
        <f>_xll.OneStreamExcelAddIn.XFFunctions.XFGetCell("True","Consol", $B39,"Tot_Entity","Aggregated",W$2,W$3,W$4,$C39,"TopFlow","Top","Top","Tot_Los","TOT_Dept_WO_Addbacks","TOT_Oth_Govt",$A39,"Top5","Top6","Reported","Top8")</f>
        <v>21.19</v>
      </c>
      <c r="X39" s="21">
        <f>V39-W39</f>
        <v>39.81</v>
      </c>
      <c r="AD39" s="15">
        <f>_xll.OneStreamExcelAddIn.XFFunctions.XFGetCell("True","Consol", $B39,"Tot_Entity","USD",AD$2,AD$3,AD$4,$C39,"TopFlow","Top","Top","Tot_Los","TOT_Dept_WO_Addbacks","TOT_Oth_Govt",$A39,"Top5","Top6","Reported","Top8")</f>
        <v>11</v>
      </c>
      <c r="AE39" s="15">
        <f>_xll.OneStreamExcelAddIn.XFFunctions.XFGetCell("True","Consol", $B39,"Tot_Entity","USD",AE$2,AE$3,AE$4,$C39,"TopFlow","Top","Top","Tot_Los","TOT_Dept_WO_Addbacks","TOT_Oth_Govt",$A39,"Top5","Top6","Reported","Top8")</f>
        <v>13</v>
      </c>
      <c r="AF39" s="21">
        <f>AD39-AE39</f>
        <v>-2</v>
      </c>
      <c r="AL39" s="15">
        <f>_xll.OneStreamExcelAddIn.XFFunctions.XFGetCell("True","Consol", $B39,"Tot_Entity","USD",AL$2,AL$3,AL$4,$C39,"TopFlow","Top","Top","Tot_Los","TOT_Dept_WO_Addbacks","TOT_Oth_Govt",$A39,"Top5","Top6","Reported","Top8")</f>
        <v>61</v>
      </c>
      <c r="AM39" s="15">
        <f>_xll.OneStreamExcelAddIn.XFFunctions.XFGetCell("True","Consol", $B39,"Tot_Entity","USD",AM$2,AM$3,AM$4,$C39,"TopFlow","Top","Top","Tot_Los","TOT_Dept_WO_Addbacks","TOT_Oth_Govt",$A39,"Top5","Top6","Reported","Top8")</f>
        <v>45</v>
      </c>
      <c r="AN39" s="21">
        <f>AL39-AM39</f>
        <v>16</v>
      </c>
      <c r="AT39" s="15">
        <f>_xll.OneStreamExcelAddIn.XFFunctions.XFGetCell("True","Consol", $B39,"Tot_Entity","USD",AT$2,AT$3,AT$4,$C39,"TopFlow","Top","Top","Tot_Los","TOT_Dept_WO_Addbacks","TOT_Oth_Govt",$A39,"Top5","Top6","Reported","Top8")</f>
        <v>0</v>
      </c>
      <c r="AU39" s="15">
        <f>_xll.OneStreamExcelAddIn.XFFunctions.XFGetCell("True","Consol", $B39,"Tot_Entity","USD",AU$2,AU$3,AU$4,$C39,"TopFlow","Top","Top","Tot_Los","TOT_Dept_WO_Addbacks","TOT_Oth_Govt",$A39,"Top5","Top6","Reported","Top8")</f>
        <v>11.45</v>
      </c>
      <c r="AV39" s="162">
        <f>AT39-AU39</f>
        <v>-11.45</v>
      </c>
    </row>
    <row r="40" spans="1:48" x14ac:dyDescent="0.2">
      <c r="A40" s="16" t="str">
        <f>+$A$8</f>
        <v>Acute_DIV1</v>
      </c>
      <c r="B40" s="15">
        <f>+$B$8</f>
        <v>127</v>
      </c>
      <c r="C40" s="14" t="s">
        <v>124</v>
      </c>
      <c r="D40" s="14" t="s">
        <v>136</v>
      </c>
      <c r="E40" s="15">
        <f>_xll.OneStreamExcelAddIn.XFFunctions.XFGetCell("True","Consol", $B40,"Tot_Entity","USD",E$2,E$3,E$4,$C40,"TopFlow","Top","Top","Tot_Los","TOT_Dept_WO_Addbacks","TOT_Self_Pay_Oth",$A40,"Top5","Top6","Reported","Top8")+1</f>
        <v>43</v>
      </c>
      <c r="F40" s="15">
        <f>_xll.OneStreamExcelAddIn.XFFunctions.XFGetCell("True","Consol", $B40,"Tot_Entity","Aggregated",F$2,F$3,F$4,$C40,"TopFlow","Top","Top","Tot_Los","TOT_Dept_WO_Addbacks","TOT_Self_Pay_Oth",$A40,"Top5","Top6","Reported","Top8")</f>
        <v>30.01</v>
      </c>
      <c r="G40" s="21">
        <f>E40-F40</f>
        <v>12.989999999999998</v>
      </c>
      <c r="M40" s="15">
        <f>_xll.OneStreamExcelAddIn.XFFunctions.XFGetCell("True","Consol", $B40,"Tot_Entity","USD",M$2,M$3,M$4,$C40,"TopFlow","Top","Top","Tot_Los","TOT_Dept_WO_Addbacks","TOT_Self_Pay_Oth",$A40,"Top5","Top6","Reported","Top8")</f>
        <v>42</v>
      </c>
      <c r="N40" s="15">
        <f>_xll.OneStreamExcelAddIn.XFFunctions.XFGetCell("True","Consol", $B40,"Tot_Entity","USD",N$2,N$3,N$4,$C40,"TopFlow","Top","Top","Tot_Los","TOT_Dept_WO_Addbacks","TOT_Self_Pay_Oth",$A40,"Top5","Top6","Reported","Top8")</f>
        <v>35</v>
      </c>
      <c r="O40" s="21">
        <f>M40-N40</f>
        <v>7</v>
      </c>
      <c r="Q40" s="21"/>
      <c r="R40" s="21"/>
      <c r="T40" s="21"/>
      <c r="V40" s="15">
        <f>_xll.OneStreamExcelAddIn.XFFunctions.XFGetCell("True","Consol", $B40,"Tot_Entity","USD",V$2,V$3,V$4,$C40,"TopFlow","Top","Top","Tot_Los","TOT_Dept_WO_Addbacks","TOT_Self_Pay_Oth",$A40,"Top5","Top6","Reported","Top8")</f>
        <v>161</v>
      </c>
      <c r="W40" s="15">
        <f>_xll.OneStreamExcelAddIn.XFFunctions.XFGetCell("True","Consol", $B40,"Tot_Entity","Aggregated",W$2,W$3,W$4,$C40,"TopFlow","Top","Top","Tot_Los","TOT_Dept_WO_Addbacks","TOT_Self_Pay_Oth",$A40,"Top5","Top6","Reported","Top8")</f>
        <v>132.75</v>
      </c>
      <c r="X40" s="21">
        <f>V40-W40</f>
        <v>28.25</v>
      </c>
      <c r="AD40" s="15">
        <f>_xll.OneStreamExcelAddIn.XFFunctions.XFGetCell("True","Consol", $B40,"Tot_Entity","USD",AD$2,AD$3,AD$4,$C40,"TopFlow","Top","Top","Tot_Los","TOT_Dept_WO_Addbacks","TOT_Self_Pay_Oth",$A40,"Top5","Top6","Reported","Top8")</f>
        <v>42</v>
      </c>
      <c r="AE40" s="15">
        <f>_xll.OneStreamExcelAddIn.XFFunctions.XFGetCell("True","Consol", $B40,"Tot_Entity","USD",AE$2,AE$3,AE$4,$C40,"TopFlow","Top","Top","Tot_Los","TOT_Dept_WO_Addbacks","TOT_Self_Pay_Oth",$A40,"Top5","Top6","Reported","Top8")</f>
        <v>21</v>
      </c>
      <c r="AF40" s="21">
        <f>AD40-AE40</f>
        <v>21</v>
      </c>
      <c r="AL40" s="15">
        <f>_xll.OneStreamExcelAddIn.XFFunctions.XFGetCell("True","Consol", $B40,"Tot_Entity","USD",AL$2,AL$3,AL$4,$C40,"TopFlow","Top","Top","Tot_Los","TOT_Dept_WO_Addbacks","TOT_Self_Pay_Oth",$A40,"Top5","Top6","Reported","Top8")</f>
        <v>161</v>
      </c>
      <c r="AM40" s="15">
        <f>_xll.OneStreamExcelAddIn.XFFunctions.XFGetCell("True","Consol", $B40,"Tot_Entity","USD",AM$2,AM$3,AM$4,$C40,"TopFlow","Top","Top","Tot_Los","TOT_Dept_WO_Addbacks","TOT_Self_Pay_Oth",$A40,"Top5","Top6","Reported","Top8")</f>
        <v>109</v>
      </c>
      <c r="AN40" s="21">
        <f>AL40-AM40</f>
        <v>52</v>
      </c>
      <c r="AT40" s="15">
        <f>_xll.OneStreamExcelAddIn.XFFunctions.XFGetCell("True","Consol", $B40,"Tot_Entity","USD",AT$2,AT$3,AT$4,$C40,"TopFlow","Top","Top","Tot_Los","TOT_Dept_WO_Addbacks","TOT_Self_Pay_Oth",$A40,"Top5","Top6","Reported","Top8")</f>
        <v>0</v>
      </c>
      <c r="AU40" s="15">
        <f>_xll.OneStreamExcelAddIn.XFFunctions.XFGetCell("True","Consol", $B40,"Tot_Entity","USD",AU$2,AU$3,AU$4,$C40,"TopFlow","Top","Top","Tot_Los","TOT_Dept_WO_Addbacks","TOT_Self_Pay_Oth",$A40,"Top5","Top6","Reported","Top8")</f>
        <v>30.01</v>
      </c>
      <c r="AV40" s="162">
        <f>AT40-AU40</f>
        <v>-30.01</v>
      </c>
    </row>
    <row r="41" spans="1:48" hidden="1" outlineLevel="1" x14ac:dyDescent="0.2">
      <c r="B41" s="46"/>
      <c r="E41" s="1" t="b">
        <f>E29=SUM(E36:E40)</f>
        <v>0</v>
      </c>
      <c r="F41" s="1" t="b">
        <f>F29=SUM(F36:F40)</f>
        <v>1</v>
      </c>
      <c r="M41" s="1" t="b">
        <f>M29=SUM(M36:M40)</f>
        <v>1</v>
      </c>
      <c r="N41" s="1" t="b">
        <f>N29=SUM(N36:N40)</f>
        <v>1</v>
      </c>
      <c r="V41" s="1" t="b">
        <f>V29=SUM(V36:V40)</f>
        <v>1</v>
      </c>
      <c r="W41" s="1" t="b">
        <f>W29=SUM(W36:W40)</f>
        <v>1</v>
      </c>
      <c r="AD41" s="1" t="b">
        <f>AD29=SUM(AD36:AD40)</f>
        <v>1</v>
      </c>
      <c r="AE41" s="1" t="b">
        <f>AE29=SUM(AE36:AE40)</f>
        <v>1</v>
      </c>
      <c r="AL41" s="1" t="b">
        <f>AL29=SUM(AL36:AL40)</f>
        <v>1</v>
      </c>
      <c r="AM41" s="1" t="b">
        <f>AM29=SUM(AM36:AM40)</f>
        <v>1</v>
      </c>
      <c r="AT41" s="1" t="b">
        <f>AT29=SUM(AT36:AT40)</f>
        <v>1</v>
      </c>
      <c r="AU41" s="1" t="b">
        <f>AU29=SUM(AU36:AU40)</f>
        <v>1</v>
      </c>
    </row>
    <row r="42" spans="1:48" collapsed="1" x14ac:dyDescent="0.2">
      <c r="B42" s="46"/>
    </row>
    <row r="43" spans="1:48" x14ac:dyDescent="0.2">
      <c r="A43" s="16" t="str">
        <f t="shared" ref="A43:A53" si="10">+$A$8</f>
        <v>Acute_DIV1</v>
      </c>
      <c r="B43" s="15">
        <f t="shared" ref="B43:B53" si="11">+$B$8</f>
        <v>127</v>
      </c>
      <c r="C43" s="14" t="s">
        <v>124</v>
      </c>
      <c r="D43" s="14" t="s">
        <v>113</v>
      </c>
      <c r="E43" s="15">
        <f>_xll.OneStreamExcelAddIn.XFFunctions.XFGetCell("True","Consol", $B43,"Tot_Entity","USD",E$2,E$3,E$4,$C43,"TopFlow","Top","Top","Tot_Los","TOT_IP_Child","Tot_FC",$A43,"Top5","Top6","Reported","Top8")</f>
        <v>0</v>
      </c>
      <c r="F43" s="15">
        <f>_xll.OneStreamExcelAddIn.XFFunctions.XFGetCell("True","Consol", $B43,"Tot_Entity","Aggregated",F$2,F$3,F$4,$C43,"TopFlow","Top","Top","Tot_Los","TOT_IP_Child","TOP3",$A43,"Top5","Top6","Reported","Top8")</f>
        <v>0</v>
      </c>
      <c r="G43" s="21">
        <f t="shared" ref="G43:G53" si="12">+E43-F43</f>
        <v>0</v>
      </c>
      <c r="M43" s="15">
        <f>_xll.OneStreamExcelAddIn.XFFunctions.XFGetCell("True","Consol", $B43,"Tot_Entity","USD",M$2,M$3,M$4,$C43,"TopFlow","Top","Top","Tot_Los","TOT_IP_Child","Tot_FC",$A43,"Top5","Top6","Reported","Top8")</f>
        <v>0</v>
      </c>
      <c r="N43" s="15">
        <f>_xll.OneStreamExcelAddIn.XFFunctions.XFGetCell("True","Consol", $B43,"Tot_Entity","USD",N$2,N$3,N$4,$C43,"TopFlow","Top","Top","Tot_Los","TOT_IP_Child","Tot_FC",$A43,"Top5","Top6","Reported","Top8")</f>
        <v>0</v>
      </c>
      <c r="O43" s="21">
        <f t="shared" ref="O43:O53" si="13">+M43-N43</f>
        <v>0</v>
      </c>
      <c r="Q43" s="21"/>
      <c r="R43" s="21"/>
      <c r="T43" s="21"/>
      <c r="V43" s="15">
        <f>_xll.OneStreamExcelAddIn.XFFunctions.XFGetCell("True","Consol", $B43,"Tot_Entity","USD",V$2,V$3,V$4,$C43,"TopFlow","Top","Top","Tot_Los","TOT_IP_Child","Tot_FC",$A43,"Top5","Top6","Reported","Top8")</f>
        <v>0</v>
      </c>
      <c r="W43" s="15">
        <f>_xll.OneStreamExcelAddIn.XFFunctions.XFGetCell("True","Consol", $B43,"Tot_Entity","Aggregated",W$2,W$3,W$4,$C43,"TopFlow","Top","Top","Tot_Los","TOT_IP_Child","TOP3",$A43,"Top5","Top6","Reported","Top8")</f>
        <v>0</v>
      </c>
      <c r="X43" s="21">
        <f t="shared" ref="X43:X53" si="14">+V43-W43</f>
        <v>0</v>
      </c>
      <c r="AD43" s="15">
        <f>_xll.OneStreamExcelAddIn.XFFunctions.XFGetCell("True","Consol", $B43,"Tot_Entity","USD",AD$2,AD$3,AD$4,$C43,"TopFlow","Top","Top","Tot_Los","TOT_IP_Child","Tot_FC",$A43,"Top5","Top6","Reported","Top8")</f>
        <v>0</v>
      </c>
      <c r="AE43" s="15">
        <f>_xll.OneStreamExcelAddIn.XFFunctions.XFGetCell("True","Consol", $B43,"Tot_Entity","USD",AE$2,AE$3,AE$4,$C43,"TopFlow","Top","Top","Tot_Los","TOT_IP_Child","Tot_FC",$A43,"Top5","Top6","Reported","Top8")</f>
        <v>0</v>
      </c>
      <c r="AF43" s="21">
        <f t="shared" ref="AF43:AF53" si="15">+AD43-AE43</f>
        <v>0</v>
      </c>
      <c r="AL43" s="15">
        <f>_xll.OneStreamExcelAddIn.XFFunctions.XFGetCell("True","Consol", $B43,"Tot_Entity","USD",AL$2,AL$3,AL$4,$C43,"TopFlow","Top","Top","Tot_Los","TOT_IP_Child","Tot_FC",$A43,"Top5","Top6","Reported","Top8")</f>
        <v>0</v>
      </c>
      <c r="AM43" s="15">
        <f>_xll.OneStreamExcelAddIn.XFFunctions.XFGetCell("True","Consol", $B43,"Tot_Entity","USD",AM$2,AM$3,AM$4,$C43,"TopFlow","Top","Top","Tot_Los","TOT_IP_Child","Tot_FC",$A43,"Top5","Top6","Reported","Top8")</f>
        <v>0</v>
      </c>
      <c r="AN43" s="21">
        <f t="shared" ref="AN43:AN53" si="16">+AL43-AM43</f>
        <v>0</v>
      </c>
      <c r="AT43" s="15">
        <f>_xll.OneStreamExcelAddIn.XFFunctions.XFGetCell("True","Consol", $B43,"Tot_Entity","USD",AT$2,AT$3,AT$4,$C43,"TopFlow","Top","Top","Tot_Los","TOT_IP_Child","Tot_FC",$A43,"Top5","Top6","Reported","Top8")</f>
        <v>0</v>
      </c>
      <c r="AU43" s="15">
        <f>_xll.OneStreamExcelAddIn.XFFunctions.XFGetCell("True","Consol", $B43,"Tot_Entity","USD",AU$2,AU$3,AU$4,$C43,"TopFlow","Top","Top","Tot_Los","TOT_IP_Child","Tot_FC",$A43,"Top5","Top6","Reported","Top8")</f>
        <v>0</v>
      </c>
      <c r="AV43" s="162">
        <f t="shared" ref="AV43:AV53" si="17">+AT43-AU43</f>
        <v>0</v>
      </c>
    </row>
    <row r="44" spans="1:48" x14ac:dyDescent="0.2">
      <c r="A44" s="16" t="str">
        <f t="shared" si="10"/>
        <v>Acute_DIV1</v>
      </c>
      <c r="B44" s="15">
        <f t="shared" si="11"/>
        <v>127</v>
      </c>
      <c r="C44" s="14" t="s">
        <v>124</v>
      </c>
      <c r="D44" s="14" t="s">
        <v>114</v>
      </c>
      <c r="E44" s="15">
        <f>_xll.OneStreamExcelAddIn.XFFunctions.XFGetCell("True","Consol", $B44,"Tot_Entity","USD",E$2,E$3,E$4,$C44,"TopFlow","Top","Top","Tot_Los","TOT_IP_Pre_Adolescent","Tot_FC",$A44,"Top5","Top6","Reported","Top8")</f>
        <v>0</v>
      </c>
      <c r="F44" s="15">
        <f>_xll.OneStreamExcelAddIn.XFFunctions.XFGetCell("True","Consol", $B44,"Tot_Entity","Aggregated",F$2,F$3,F$4,$C44,"TopFlow","Top","Top","Tot_Los","TOT_IP_Pre_Adolescent","TOP3",$A44,"Top5","Top6","Reported","Top8")</f>
        <v>0</v>
      </c>
      <c r="G44" s="203">
        <f t="shared" ref="G44:G49" si="18">+E44-F44</f>
        <v>0</v>
      </c>
      <c r="M44" s="15">
        <f>_xll.OneStreamExcelAddIn.XFFunctions.XFGetCell("True","Consol", $B44,"Tot_Entity","USD",M$2,M$3,M$4,$C44,"TopFlow","Top","Top","Tot_Los","TOT_IP_Pre_Adolescent","Tot_FC",$A44,"Top5","Top6","Reported","Top8")</f>
        <v>0</v>
      </c>
      <c r="N44" s="15">
        <f>_xll.OneStreamExcelAddIn.XFFunctions.XFGetCell("True","Consol", $B44,"Tot_Entity","USD",N$2,N$3,N$4,$C44,"TopFlow","Top","Top","Tot_Los","TOT_IP_Pre_Adolescent","Tot_FC",$A44,"Top5","Top6","Reported","Top8")</f>
        <v>0</v>
      </c>
      <c r="O44" s="21">
        <f t="shared" si="13"/>
        <v>0</v>
      </c>
      <c r="Q44" s="21"/>
      <c r="R44" s="21"/>
      <c r="T44" s="21"/>
      <c r="V44" s="15">
        <f>_xll.OneStreamExcelAddIn.XFFunctions.XFGetCell("True","Consol", $B44,"Tot_Entity","USD",V$2,V$3,V$4,$C44,"TopFlow","Top","Top","Tot_Los","TOT_IP_Pre_Adolescent","Tot_FC",$A44,"Top5","Top6","Reported","Top8")</f>
        <v>0</v>
      </c>
      <c r="W44" s="15">
        <f>_xll.OneStreamExcelAddIn.XFFunctions.XFGetCell("True","Consol", $B44,"Tot_Entity","Aggregated",W$2,W$3,W$4,$C44,"TopFlow","Top","Top","Tot_Los","TOT_IP_Pre_Adolescent","TOP3",$A44,"Top5","Top6","Reported","Top8")</f>
        <v>0</v>
      </c>
      <c r="X44" s="21">
        <f t="shared" si="14"/>
        <v>0</v>
      </c>
      <c r="AD44" s="15">
        <f>_xll.OneStreamExcelAddIn.XFFunctions.XFGetCell("True","Consol", $B44,"Tot_Entity","USD",AD$2,AD$3,AD$4,$C44,"TopFlow","Top","Top","Tot_Los","TOT_IP_Pre_Adolescent","Tot_FC",$A44,"Top5","Top6","Reported","Top8")</f>
        <v>0</v>
      </c>
      <c r="AE44" s="15">
        <f>_xll.OneStreamExcelAddIn.XFFunctions.XFGetCell("True","Consol", $B44,"Tot_Entity","USD",AE$2,AE$3,AE$4,$C44,"TopFlow","Top","Top","Tot_Los","TOT_IP_Pre_Adolescent","Tot_FC",$A44,"Top5","Top6","Reported","Top8")</f>
        <v>0</v>
      </c>
      <c r="AF44" s="21">
        <f t="shared" si="15"/>
        <v>0</v>
      </c>
      <c r="AL44" s="15">
        <f>_xll.OneStreamExcelAddIn.XFFunctions.XFGetCell("True","Consol", $B44,"Tot_Entity","USD",AL$2,AL$3,AL$4,$C44,"TopFlow","Top","Top","Tot_Los","TOT_IP_Pre_Adolescent","Tot_FC",$A44,"Top5","Top6","Reported","Top8")</f>
        <v>0</v>
      </c>
      <c r="AM44" s="15">
        <f>_xll.OneStreamExcelAddIn.XFFunctions.XFGetCell("True","Consol", $B44,"Tot_Entity","USD",AM$2,AM$3,AM$4,$C44,"TopFlow","Top","Top","Tot_Los","TOT_IP_Pre_Adolescent","Tot_FC",$A44,"Top5","Top6","Reported","Top8")</f>
        <v>0</v>
      </c>
      <c r="AN44" s="21">
        <f t="shared" si="16"/>
        <v>0</v>
      </c>
      <c r="AT44" s="15">
        <f>_xll.OneStreamExcelAddIn.XFFunctions.XFGetCell("True","Consol", $B44,"Tot_Entity","USD",AT$2,AT$3,AT$4,$C44,"TopFlow","Top","Top","Tot_Los","TOT_IP_Pre_Adolescent","Tot_FC",$A44,"Top5","Top6","Reported","Top8")</f>
        <v>0</v>
      </c>
      <c r="AU44" s="15">
        <f>_xll.OneStreamExcelAddIn.XFFunctions.XFGetCell("True","Consol", $B44,"Tot_Entity","USD",AU$2,AU$3,AU$4,$C44,"TopFlow","Top","Top","Tot_Los","TOT_IP_Pre_Adolescent","Tot_FC",$A44,"Top5","Top6","Reported","Top8")</f>
        <v>0</v>
      </c>
      <c r="AV44" s="162">
        <f t="shared" si="17"/>
        <v>0</v>
      </c>
    </row>
    <row r="45" spans="1:48" x14ac:dyDescent="0.2">
      <c r="A45" s="16" t="str">
        <f t="shared" si="10"/>
        <v>Acute_DIV1</v>
      </c>
      <c r="B45" s="15">
        <f t="shared" si="11"/>
        <v>127</v>
      </c>
      <c r="C45" s="14" t="s">
        <v>124</v>
      </c>
      <c r="D45" s="14" t="s">
        <v>115</v>
      </c>
      <c r="E45" s="15">
        <f>_xll.OneStreamExcelAddIn.XFFunctions.XFGetCell("True","Consol", $B45,"Tot_Entity","USD",E$2,E$3,E$4,$C45,"TopFlow","Top","Top","Tot_Los","TOT_IP_Adolescent","Tot_FC",$A45,"Top5","Top6","Reported","Top8")</f>
        <v>1021</v>
      </c>
      <c r="F45" s="15">
        <f>_xll.OneStreamExcelAddIn.XFFunctions.XFGetCell("True","Consol", $B45,"Tot_Entity","Aggregated",F$2,F$3,F$4,$C45,"TopFlow","Top","Top","Tot_Los","TOT_IP_Adolescent","TOP3",$A45,"Top5","Top6","Reported","Top8")</f>
        <v>1145</v>
      </c>
      <c r="G45" s="204">
        <f t="shared" si="18"/>
        <v>-124</v>
      </c>
      <c r="M45" s="15">
        <f>_xll.OneStreamExcelAddIn.XFFunctions.XFGetCell("True","Consol", $B45,"Tot_Entity","USD",M$2,M$3,M$4,$C45,"TopFlow","Top","Top","Tot_Los","TOT_IP_Adolescent","Tot_FC",$A45,"Top5","Top6","Reported","Top8")</f>
        <v>1021</v>
      </c>
      <c r="N45" s="15">
        <f>_xll.OneStreamExcelAddIn.XFFunctions.XFGetCell("True","Consol", $B45,"Tot_Entity","USD",N$2,N$3,N$4,$C45,"TopFlow","Top","Top","Tot_Los","TOT_IP_Adolescent","Tot_FC",$A45,"Top5","Top6","Reported","Top8")</f>
        <v>1083</v>
      </c>
      <c r="O45" s="21">
        <f t="shared" si="13"/>
        <v>-62</v>
      </c>
      <c r="Q45" s="21"/>
      <c r="R45" s="21"/>
      <c r="T45" s="21"/>
      <c r="V45" s="15">
        <f>_xll.OneStreamExcelAddIn.XFFunctions.XFGetCell("True","Consol", $B45,"Tot_Entity","USD",V$2,V$3,V$4,$C45,"TopFlow","Top","Top","Tot_Los","TOT_IP_Adolescent","Tot_FC",$A45,"Top5","Top6","Reported","Top8")</f>
        <v>4007</v>
      </c>
      <c r="W45" s="15">
        <f>_xll.OneStreamExcelAddIn.XFFunctions.XFGetCell("True","Consol", $B45,"Tot_Entity","Aggregated",W$2,W$3,W$4,$C45,"TopFlow","Top","Top","Tot_Los","TOT_IP_Adolescent","TOP3",$A45,"Top5","Top6","Reported","Top8")</f>
        <v>4141</v>
      </c>
      <c r="X45" s="21">
        <f t="shared" si="14"/>
        <v>-134</v>
      </c>
      <c r="AD45" s="15">
        <f>_xll.OneStreamExcelAddIn.XFFunctions.XFGetCell("True","Consol", $B45,"Tot_Entity","USD",AD$2,AD$3,AD$4,$C45,"TopFlow","Top","Top","Tot_Los","TOT_IP_Adolescent","Tot_FC",$A45,"Top5","Top6","Reported","Top8")</f>
        <v>1021</v>
      </c>
      <c r="AE45" s="15">
        <f>_xll.OneStreamExcelAddIn.XFFunctions.XFGetCell("True","Consol", $B45,"Tot_Entity","USD",AE$2,AE$3,AE$4,$C45,"TopFlow","Top","Top","Tot_Los","TOT_IP_Adolescent","Tot_FC",$A45,"Top5","Top6","Reported","Top8")</f>
        <v>1053</v>
      </c>
      <c r="AF45" s="21">
        <f t="shared" si="15"/>
        <v>-32</v>
      </c>
      <c r="AL45" s="15">
        <f>_xll.OneStreamExcelAddIn.XFFunctions.XFGetCell("True","Consol", $B45,"Tot_Entity","USD",AL$2,AL$3,AL$4,$C45,"TopFlow","Top","Top","Tot_Los","TOT_IP_Adolescent","Tot_FC",$A45,"Top5","Top6","Reported","Top8")</f>
        <v>4007</v>
      </c>
      <c r="AM45" s="15">
        <f>_xll.OneStreamExcelAddIn.XFFunctions.XFGetCell("True","Consol", $B45,"Tot_Entity","USD",AM$2,AM$3,AM$4,$C45,"TopFlow","Top","Top","Tot_Los","TOT_IP_Adolescent","Tot_FC",$A45,"Top5","Top6","Reported","Top8")</f>
        <v>5452</v>
      </c>
      <c r="AN45" s="21">
        <f t="shared" si="16"/>
        <v>-1445</v>
      </c>
      <c r="AT45" s="15">
        <f>_xll.OneStreamExcelAddIn.XFFunctions.XFGetCell("True","Consol", $B45,"Tot_Entity","USD",AT$2,AT$3,AT$4,$C45,"TopFlow","Top","Top","Tot_Los","TOT_IP_Adolescent","Tot_FC",$A45,"Top5","Top6","Reported","Top8")</f>
        <v>0</v>
      </c>
      <c r="AU45" s="15">
        <f>_xll.OneStreamExcelAddIn.XFFunctions.XFGetCell("True","Consol", $B45,"Tot_Entity","USD",AU$2,AU$3,AU$4,$C45,"TopFlow","Top","Top","Tot_Los","TOT_IP_Adolescent","Tot_FC",$A45,"Top5","Top6","Reported","Top8")</f>
        <v>1145</v>
      </c>
      <c r="AV45" s="162">
        <f t="shared" si="17"/>
        <v>-1145</v>
      </c>
    </row>
    <row r="46" spans="1:48" x14ac:dyDescent="0.2">
      <c r="A46" s="16" t="str">
        <f t="shared" si="10"/>
        <v>Acute_DIV1</v>
      </c>
      <c r="B46" s="15">
        <f t="shared" si="11"/>
        <v>127</v>
      </c>
      <c r="C46" s="14" t="s">
        <v>124</v>
      </c>
      <c r="D46" s="14" t="s">
        <v>116</v>
      </c>
      <c r="E46" s="15">
        <f>_xll.OneStreamExcelAddIn.XFFunctions.XFGetCell("True","Consol", $B46,"Tot_Entity","USD",E$2,E$3,E$4,$C46,"TopFlow","Top","Top","Tot_Los","TOT_IP_Adult","Tot_FC",$A46,"Top5","Top6","Reported","Top8")</f>
        <v>1433</v>
      </c>
      <c r="F46" s="15">
        <f>_xll.OneStreamExcelAddIn.XFFunctions.XFGetCell("True","Consol", $B46,"Tot_Entity","Aggregated",F$2,F$3,F$4,$C46,"TopFlow","Top","Top","Tot_Los","TOT_IP_Adult","TOP3",$A46,"Top5","Top6","Reported","Top8")</f>
        <v>1566</v>
      </c>
      <c r="G46" s="204">
        <f t="shared" si="18"/>
        <v>-133</v>
      </c>
      <c r="M46" s="15">
        <f>_xll.OneStreamExcelAddIn.XFFunctions.XFGetCell("True","Consol", $B46,"Tot_Entity","USD",M$2,M$3,M$4,$C46,"TopFlow","Top","Top","Tot_Los","TOT_IP_Adult","Tot_FC",$A46,"Top5","Top6","Reported","Top8")</f>
        <v>1433</v>
      </c>
      <c r="N46" s="15">
        <f>_xll.OneStreamExcelAddIn.XFFunctions.XFGetCell("True","Consol", $B46,"Tot_Entity","USD",N$2,N$3,N$4,$C46,"TopFlow","Top","Top","Tot_Los","TOT_IP_Adult","Tot_FC",$A46,"Top5","Top6","Reported","Top8")</f>
        <v>1600</v>
      </c>
      <c r="O46" s="21">
        <f t="shared" si="13"/>
        <v>-167</v>
      </c>
      <c r="Q46" s="21"/>
      <c r="R46" s="21"/>
      <c r="T46" s="21"/>
      <c r="V46" s="15">
        <f>_xll.OneStreamExcelAddIn.XFFunctions.XFGetCell("True","Consol", $B46,"Tot_Entity","USD",V$2,V$3,V$4,$C46,"TopFlow","Top","Top","Tot_Los","TOT_IP_Adult","Tot_FC",$A46,"Top5","Top6","Reported","Top8")</f>
        <v>5907</v>
      </c>
      <c r="W46" s="15">
        <f>_xll.OneStreamExcelAddIn.XFFunctions.XFGetCell("True","Consol", $B46,"Tot_Entity","Aggregated",W$2,W$3,W$4,$C46,"TopFlow","Top","Top","Tot_Los","TOT_IP_Adult","TOP3",$A46,"Top5","Top6","Reported","Top8")</f>
        <v>6445</v>
      </c>
      <c r="X46" s="21">
        <f t="shared" si="14"/>
        <v>-538</v>
      </c>
      <c r="AD46" s="15">
        <f>_xll.OneStreamExcelAddIn.XFFunctions.XFGetCell("True","Consol", $B46,"Tot_Entity","USD",AD$2,AD$3,AD$4,$C46,"TopFlow","Top","Top","Tot_Los","TOT_IP_Adult","Tot_FC",$A46,"Top5","Top6","Reported","Top8")</f>
        <v>1433</v>
      </c>
      <c r="AE46" s="15">
        <f>_xll.OneStreamExcelAddIn.XFFunctions.XFGetCell("True","Consol", $B46,"Tot_Entity","USD",AE$2,AE$3,AE$4,$C46,"TopFlow","Top","Top","Tot_Los","TOT_IP_Adult","Tot_FC",$A46,"Top5","Top6","Reported","Top8")</f>
        <v>1540</v>
      </c>
      <c r="AF46" s="21">
        <f t="shared" si="15"/>
        <v>-107</v>
      </c>
      <c r="AL46" s="15">
        <f>_xll.OneStreamExcelAddIn.XFFunctions.XFGetCell("True","Consol", $B46,"Tot_Entity","USD",AL$2,AL$3,AL$4,$C46,"TopFlow","Top","Top","Tot_Los","TOT_IP_Adult","Tot_FC",$A46,"Top5","Top6","Reported","Top8")</f>
        <v>5907</v>
      </c>
      <c r="AM46" s="15">
        <f>_xll.OneStreamExcelAddIn.XFFunctions.XFGetCell("True","Consol", $B46,"Tot_Entity","USD",AM$2,AM$3,AM$4,$C46,"TopFlow","Top","Top","Tot_Los","TOT_IP_Adult","Tot_FC",$A46,"Top5","Top6","Reported","Top8")</f>
        <v>4938</v>
      </c>
      <c r="AN46" s="21">
        <f t="shared" si="16"/>
        <v>969</v>
      </c>
      <c r="AT46" s="15">
        <f>_xll.OneStreamExcelAddIn.XFFunctions.XFGetCell("True","Consol", $B46,"Tot_Entity","USD",AT$2,AT$3,AT$4,$C46,"TopFlow","Top","Top","Tot_Los","TOT_IP_Adult","Tot_FC",$A46,"Top5","Top6","Reported","Top8")</f>
        <v>0</v>
      </c>
      <c r="AU46" s="15">
        <f>_xll.OneStreamExcelAddIn.XFFunctions.XFGetCell("True","Consol", $B46,"Tot_Entity","USD",AU$2,AU$3,AU$4,$C46,"TopFlow","Top","Top","Tot_Los","TOT_IP_Adult","Tot_FC",$A46,"Top5","Top6","Reported","Top8")</f>
        <v>1566</v>
      </c>
      <c r="AV46" s="162">
        <f t="shared" si="17"/>
        <v>-1566</v>
      </c>
    </row>
    <row r="47" spans="1:48" x14ac:dyDescent="0.2">
      <c r="A47" s="16" t="str">
        <f t="shared" si="10"/>
        <v>Acute_DIV1</v>
      </c>
      <c r="B47" s="15">
        <f t="shared" si="11"/>
        <v>127</v>
      </c>
      <c r="C47" s="14" t="s">
        <v>124</v>
      </c>
      <c r="D47" s="14" t="s">
        <v>117</v>
      </c>
      <c r="E47" s="15">
        <f>_xll.OneStreamExcelAddIn.XFFunctions.XFGetCell("True","Consol", $B47,"Tot_Entity","USD",E$2,E$3,E$4,$C47,"TopFlow","Top","Top","Tot_Los","TOT_IP_Chem_Dep","Tot_FC",$A47,"Top5","Top6","Reported","Top8")</f>
        <v>0</v>
      </c>
      <c r="F47" s="15">
        <f>_xll.OneStreamExcelAddIn.XFFunctions.XFGetCell("True","Consol", $B47,"Tot_Entity","Aggregated",F$2,F$3,F$4,$C47,"TopFlow","Top","Top","Tot_Los","TOT_IP_Chem_Dep","TOP3",$A47,"Top5","Top6","Reported","Top8")</f>
        <v>0</v>
      </c>
      <c r="G47" s="204">
        <f t="shared" si="18"/>
        <v>0</v>
      </c>
      <c r="M47" s="15">
        <f>_xll.OneStreamExcelAddIn.XFFunctions.XFGetCell("True","Consol", $B47,"Tot_Entity","USD",M$2,M$3,M$4,$C47,"TopFlow","Top","Top","Tot_Los","TOT_IP_Chem_Dep","Tot_FC",$A47,"Top5","Top6","Reported","Top8")</f>
        <v>0</v>
      </c>
      <c r="N47" s="15">
        <f>_xll.OneStreamExcelAddIn.XFFunctions.XFGetCell("True","Consol", $B47,"Tot_Entity","USD",N$2,N$3,N$4,$C47,"TopFlow","Top","Top","Tot_Los","TOT_IP_Chem_Dep","Tot_FC",$A47,"Top5","Top6","Reported","Top8")</f>
        <v>0</v>
      </c>
      <c r="O47" s="21">
        <f t="shared" si="13"/>
        <v>0</v>
      </c>
      <c r="Q47" s="21"/>
      <c r="R47" s="21"/>
      <c r="T47" s="21"/>
      <c r="V47" s="15">
        <f>_xll.OneStreamExcelAddIn.XFFunctions.XFGetCell("True","Consol", $B47,"Tot_Entity","USD",V$2,V$3,V$4,$C47,"TopFlow","Top","Top","Tot_Los","TOT_IP_Chem_Dep","Tot_FC",$A47,"Top5","Top6","Reported","Top8")</f>
        <v>0</v>
      </c>
      <c r="W47" s="15">
        <f>_xll.OneStreamExcelAddIn.XFFunctions.XFGetCell("True","Consol", $B47,"Tot_Entity","Aggregated",W$2,W$3,W$4,$C47,"TopFlow","Top","Top","Tot_Los","TOT_IP_Chem_Dep","TOP3",$A47,"Top5","Top6","Reported","Top8")</f>
        <v>0</v>
      </c>
      <c r="X47" s="21">
        <f t="shared" si="14"/>
        <v>0</v>
      </c>
      <c r="AD47" s="15">
        <f>_xll.OneStreamExcelAddIn.XFFunctions.XFGetCell("True","Consol", $B47,"Tot_Entity","USD",AD$2,AD$3,AD$4,$C47,"TopFlow","Top","Top","Tot_Los","TOT_IP_Chem_Dep","Tot_FC",$A47,"Top5","Top6","Reported","Top8")</f>
        <v>0</v>
      </c>
      <c r="AE47" s="15">
        <f>_xll.OneStreamExcelAddIn.XFFunctions.XFGetCell("True","Consol", $B47,"Tot_Entity","USD",AE$2,AE$3,AE$4,$C47,"TopFlow","Top","Top","Tot_Los","TOT_IP_Chem_Dep","Tot_FC",$A47,"Top5","Top6","Reported","Top8")</f>
        <v>0</v>
      </c>
      <c r="AF47" s="21">
        <f t="shared" si="15"/>
        <v>0</v>
      </c>
      <c r="AL47" s="15">
        <f>_xll.OneStreamExcelAddIn.XFFunctions.XFGetCell("True","Consol", $B47,"Tot_Entity","USD",AL$2,AL$3,AL$4,$C47,"TopFlow","Top","Top","Tot_Los","TOT_IP_Chem_Dep","Tot_FC",$A47,"Top5","Top6","Reported","Top8")</f>
        <v>0</v>
      </c>
      <c r="AM47" s="15">
        <f>_xll.OneStreamExcelAddIn.XFFunctions.XFGetCell("True","Consol", $B47,"Tot_Entity","USD",AM$2,AM$3,AM$4,$C47,"TopFlow","Top","Top","Tot_Los","TOT_IP_Chem_Dep","Tot_FC",$A47,"Top5","Top6","Reported","Top8")</f>
        <v>0</v>
      </c>
      <c r="AN47" s="21">
        <f t="shared" si="16"/>
        <v>0</v>
      </c>
      <c r="AT47" s="15">
        <f>_xll.OneStreamExcelAddIn.XFFunctions.XFGetCell("True","Consol", $B47,"Tot_Entity","USD",AT$2,AT$3,AT$4,$C47,"TopFlow","Top","Top","Tot_Los","TOT_IP_Chem_Dep","Tot_FC",$A47,"Top5","Top6","Reported","Top8")</f>
        <v>0</v>
      </c>
      <c r="AU47" s="15">
        <f>_xll.OneStreamExcelAddIn.XFFunctions.XFGetCell("True","Consol", $B47,"Tot_Entity","USD",AU$2,AU$3,AU$4,$C47,"TopFlow","Top","Top","Tot_Los","TOT_IP_Chem_Dep","Tot_FC",$A47,"Top5","Top6","Reported","Top8")</f>
        <v>0</v>
      </c>
      <c r="AV47" s="162">
        <f t="shared" si="17"/>
        <v>0</v>
      </c>
    </row>
    <row r="48" spans="1:48" x14ac:dyDescent="0.2">
      <c r="A48" s="16" t="str">
        <f t="shared" si="10"/>
        <v>Acute_DIV1</v>
      </c>
      <c r="B48" s="15">
        <f t="shared" si="11"/>
        <v>127</v>
      </c>
      <c r="C48" s="14" t="s">
        <v>124</v>
      </c>
      <c r="D48" s="14" t="s">
        <v>118</v>
      </c>
      <c r="E48" s="15">
        <f>_xll.OneStreamExcelAddIn.XFFunctions.XFGetCell("True","Consol", $B48,"Tot_Entity","USD",E$2,E$3,E$4,$C48,"TopFlow","Top","Top","Tot_Los","TOT_IP_Gero","Tot_FC",$A48,"Top5","Top6","Reported","Top8")</f>
        <v>0</v>
      </c>
      <c r="F48" s="15">
        <f>_xll.OneStreamExcelAddIn.XFFunctions.XFGetCell("True","Consol", $B48,"Tot_Entity","Aggregated",F$2,F$3,F$4,$C48,"TopFlow","Top","Top","Tot_Los","TOT_IP_Gero","TOP3",$A48,"Top5","Top6","Reported","Top8")</f>
        <v>0</v>
      </c>
      <c r="G48" s="204">
        <f t="shared" si="18"/>
        <v>0</v>
      </c>
      <c r="M48" s="15">
        <f>_xll.OneStreamExcelAddIn.XFFunctions.XFGetCell("True","Consol", $B48,"Tot_Entity","USD",M$2,M$3,M$4,$C48,"TopFlow","Top","Top","Tot_Los","TOT_IP_Gero","Tot_FC",$A48,"Top5","Top6","Reported","Top8")</f>
        <v>0</v>
      </c>
      <c r="N48" s="15">
        <f>_xll.OneStreamExcelAddIn.XFFunctions.XFGetCell("True","Consol", $B48,"Tot_Entity","USD",N$2,N$3,N$4,$C48,"TopFlow","Top","Top","Tot_Los","TOT_IP_Gero","Tot_FC",$A48,"Top5","Top6","Reported","Top8")</f>
        <v>0</v>
      </c>
      <c r="O48" s="21">
        <f t="shared" si="13"/>
        <v>0</v>
      </c>
      <c r="Q48" s="21"/>
      <c r="R48" s="21"/>
      <c r="T48" s="21"/>
      <c r="V48" s="15">
        <f>_xll.OneStreamExcelAddIn.XFFunctions.XFGetCell("True","Consol", $B48,"Tot_Entity","USD",V$2,V$3,V$4,$C48,"TopFlow","Top","Top","Tot_Los","TOT_IP_Gero","Tot_FC",$A48,"Top5","Top6","Reported","Top8")</f>
        <v>0</v>
      </c>
      <c r="W48" s="15">
        <f>_xll.OneStreamExcelAddIn.XFFunctions.XFGetCell("True","Consol", $B48,"Tot_Entity","Aggregated",W$2,W$3,W$4,$C48,"TopFlow","Top","Top","Tot_Los","TOT_IP_Gero","TOP3",$A48,"Top5","Top6","Reported","Top8")</f>
        <v>0</v>
      </c>
      <c r="X48" s="21">
        <f t="shared" si="14"/>
        <v>0</v>
      </c>
      <c r="AD48" s="15">
        <f>_xll.OneStreamExcelAddIn.XFFunctions.XFGetCell("True","Consol", $B48,"Tot_Entity","USD",AD$2,AD$3,AD$4,$C48,"TopFlow","Top","Top","Tot_Los","TOT_IP_Gero","Tot_FC",$A48,"Top5","Top6","Reported","Top8")</f>
        <v>0</v>
      </c>
      <c r="AE48" s="15">
        <f>_xll.OneStreamExcelAddIn.XFFunctions.XFGetCell("True","Consol", $B48,"Tot_Entity","USD",AE$2,AE$3,AE$4,$C48,"TopFlow","Top","Top","Tot_Los","TOT_IP_Gero","Tot_FC",$A48,"Top5","Top6","Reported","Top8")</f>
        <v>0</v>
      </c>
      <c r="AF48" s="21">
        <f t="shared" si="15"/>
        <v>0</v>
      </c>
      <c r="AL48" s="15">
        <f>_xll.OneStreamExcelAddIn.XFFunctions.XFGetCell("True","Consol", $B48,"Tot_Entity","USD",AL$2,AL$3,AL$4,$C48,"TopFlow","Top","Top","Tot_Los","TOT_IP_Gero","Tot_FC",$A48,"Top5","Top6","Reported","Top8")</f>
        <v>0</v>
      </c>
      <c r="AM48" s="15">
        <f>_xll.OneStreamExcelAddIn.XFFunctions.XFGetCell("True","Consol", $B48,"Tot_Entity","USD",AM$2,AM$3,AM$4,$C48,"TopFlow","Top","Top","Tot_Los","TOT_IP_Gero","Tot_FC",$A48,"Top5","Top6","Reported","Top8")</f>
        <v>0</v>
      </c>
      <c r="AN48" s="21">
        <f t="shared" si="16"/>
        <v>0</v>
      </c>
      <c r="AT48" s="15">
        <f>_xll.OneStreamExcelAddIn.XFFunctions.XFGetCell("True","Consol", $B48,"Tot_Entity","USD",AT$2,AT$3,AT$4,$C48,"TopFlow","Top","Top","Tot_Los","TOT_IP_Gero","Tot_FC",$A48,"Top5","Top6","Reported","Top8")</f>
        <v>0</v>
      </c>
      <c r="AU48" s="15">
        <f>_xll.OneStreamExcelAddIn.XFFunctions.XFGetCell("True","Consol", $B48,"Tot_Entity","USD",AU$2,AU$3,AU$4,$C48,"TopFlow","Top","Top","Tot_Los","TOT_IP_Gero","Tot_FC",$A48,"Top5","Top6","Reported","Top8")</f>
        <v>0</v>
      </c>
      <c r="AV48" s="162">
        <f t="shared" si="17"/>
        <v>0</v>
      </c>
    </row>
    <row r="49" spans="1:48" x14ac:dyDescent="0.2">
      <c r="A49" s="16" t="str">
        <f t="shared" si="10"/>
        <v>Acute_DIV1</v>
      </c>
      <c r="B49" s="15">
        <f t="shared" si="11"/>
        <v>127</v>
      </c>
      <c r="C49" s="14" t="s">
        <v>124</v>
      </c>
      <c r="D49" s="14" t="s">
        <v>119</v>
      </c>
      <c r="E49" s="15">
        <f>_xll.OneStreamExcelAddIn.XFFunctions.XFGetCell("True","Consol", $B49,"Tot_Entity","USD",E$2,E$3,E$4,$C49,"TopFlow","Top","Top","Tot_Los","TOT_IP_PRTF","Tot_FC",$A49,"Top5","Top6","Reported","Top8")</f>
        <v>0</v>
      </c>
      <c r="F49" s="15">
        <f>_xll.OneStreamExcelAddIn.XFFunctions.XFGetCell("True","Consol", $B49,"Tot_Entity","Aggregated",F$2,F$3,F$4,$C49,"TopFlow","Top","Top","Tot_Los","TOT_IP_PRTF","TOP3",$A49,"Top5","Top6","Reported","Top8")</f>
        <v>0</v>
      </c>
      <c r="G49" s="204">
        <f t="shared" si="18"/>
        <v>0</v>
      </c>
      <c r="M49" s="15">
        <f>_xll.OneStreamExcelAddIn.XFFunctions.XFGetCell("True","Consol", $B49,"Tot_Entity","USD",M$2,M$3,M$4,$C49,"TopFlow","Top","Top","Tot_Los","TOT_IP_PRTF","Tot_FC",$A49,"Top5","Top6","Reported","Top8")</f>
        <v>0</v>
      </c>
      <c r="N49" s="15">
        <f>_xll.OneStreamExcelAddIn.XFFunctions.XFGetCell("True","Consol", $B49,"Tot_Entity","USD",N$2,N$3,N$4,$C49,"TopFlow","Top","Top","Tot_Los","TOT_IP_PRTF","Tot_FC",$A49,"Top5","Top6","Reported","Top8")</f>
        <v>0</v>
      </c>
      <c r="O49" s="21">
        <f t="shared" si="13"/>
        <v>0</v>
      </c>
      <c r="Q49" s="21"/>
      <c r="R49" s="21"/>
      <c r="T49" s="21"/>
      <c r="V49" s="15">
        <f>_xll.OneStreamExcelAddIn.XFFunctions.XFGetCell("True","Consol", $B49,"Tot_Entity","USD",V$2,V$3,V$4,$C49,"TopFlow","Top","Top","Tot_Los","TOT_IP_PRTF","Tot_FC",$A49,"Top5","Top6","Reported","Top8")</f>
        <v>0</v>
      </c>
      <c r="W49" s="15">
        <f>_xll.OneStreamExcelAddIn.XFFunctions.XFGetCell("True","Consol", $B49,"Tot_Entity","Aggregated",W$2,W$3,W$4,$C49,"TopFlow","Top","Top","Tot_Los","TOT_IP_PRTF","TOP3",$A49,"Top5","Top6","Reported","Top8")</f>
        <v>0</v>
      </c>
      <c r="X49" s="21">
        <f t="shared" si="14"/>
        <v>0</v>
      </c>
      <c r="AD49" s="15">
        <f>_xll.OneStreamExcelAddIn.XFFunctions.XFGetCell("True","Consol", $B49,"Tot_Entity","USD",AD$2,AD$3,AD$4,$C49,"TopFlow","Top","Top","Tot_Los","TOT_IP_PRTF","Tot_FC",$A49,"Top5","Top6","Reported","Top8")</f>
        <v>0</v>
      </c>
      <c r="AE49" s="15">
        <f>_xll.OneStreamExcelAddIn.XFFunctions.XFGetCell("True","Consol", $B49,"Tot_Entity","USD",AE$2,AE$3,AE$4,$C49,"TopFlow","Top","Top","Tot_Los","TOT_IP_PRTF","Tot_FC",$A49,"Top5","Top6","Reported","Top8")</f>
        <v>663</v>
      </c>
      <c r="AF49" s="21">
        <f t="shared" si="15"/>
        <v>-663</v>
      </c>
      <c r="AL49" s="15">
        <f>_xll.OneStreamExcelAddIn.XFFunctions.XFGetCell("True","Consol", $B49,"Tot_Entity","USD",AL$2,AL$3,AL$4,$C49,"TopFlow","Top","Top","Tot_Los","TOT_IP_PRTF","Tot_FC",$A49,"Top5","Top6","Reported","Top8")</f>
        <v>0</v>
      </c>
      <c r="AM49" s="15">
        <f>_xll.OneStreamExcelAddIn.XFFunctions.XFGetCell("True","Consol", $B49,"Tot_Entity","USD",AM$2,AM$3,AM$4,$C49,"TopFlow","Top","Top","Tot_Los","TOT_IP_PRTF","Tot_FC",$A49,"Top5","Top6","Reported","Top8")</f>
        <v>2219</v>
      </c>
      <c r="AN49" s="21">
        <f t="shared" si="16"/>
        <v>-2219</v>
      </c>
      <c r="AT49" s="15">
        <f>_xll.OneStreamExcelAddIn.XFFunctions.XFGetCell("True","Consol", $B49,"Tot_Entity","USD",AT$2,AT$3,AT$4,$C49,"TopFlow","Top","Top","Tot_Los","TOT_IP_PRTF","Tot_FC",$A49,"Top5","Top6","Reported","Top8")</f>
        <v>0</v>
      </c>
      <c r="AU49" s="15">
        <f>_xll.OneStreamExcelAddIn.XFFunctions.XFGetCell("True","Consol", $B49,"Tot_Entity","USD",AU$2,AU$3,AU$4,$C49,"TopFlow","Top","Top","Tot_Los","TOT_IP_PRTF","Tot_FC",$A49,"Top5","Top6","Reported","Top8")</f>
        <v>0</v>
      </c>
      <c r="AV49" s="162">
        <f t="shared" si="17"/>
        <v>0</v>
      </c>
    </row>
    <row r="50" spans="1:48" x14ac:dyDescent="0.2">
      <c r="A50" s="16" t="str">
        <f t="shared" si="10"/>
        <v>Acute_DIV1</v>
      </c>
      <c r="B50" s="15">
        <f t="shared" si="11"/>
        <v>127</v>
      </c>
      <c r="C50" s="14" t="s">
        <v>124</v>
      </c>
      <c r="D50" s="14" t="s">
        <v>120</v>
      </c>
      <c r="E50" s="15">
        <f>_xll.OneStreamExcelAddIn.XFFunctions.XFGetCell("True","Consol", $B50,"Tot_Entity","USD",E$2,E$3,E$4,$C50,"TopFlow","Top","Top","Tot_Los","TOT_IP_Detox","Tot_FC",$A50,"Top5","Top6","Reported","Top8")</f>
        <v>101</v>
      </c>
      <c r="F50" s="15">
        <f>_xll.OneStreamExcelAddIn.XFFunctions.XFGetCell("True","Consol", $B50,"Tot_Entity","Aggregated",F$2,F$3,F$4,$C50,"TopFlow","Top","Top","Tot_Los","TOT_IP_Detox","TOP3",$A50,"Top5","Top6","Reported","Top8")</f>
        <v>145</v>
      </c>
      <c r="G50" s="21">
        <f t="shared" si="12"/>
        <v>-44</v>
      </c>
      <c r="M50" s="15">
        <f>_xll.OneStreamExcelAddIn.XFFunctions.XFGetCell("True","Consol", $B50,"Tot_Entity","USD",M$2,M$3,M$4,$C50,"TopFlow","Top","Top","Tot_Los","TOT_IP_Detox","Tot_FC",$A50,"Top5","Top6","Reported","Top8")</f>
        <v>101</v>
      </c>
      <c r="N50" s="15">
        <f>_xll.OneStreamExcelAddIn.XFFunctions.XFGetCell("True","Consol", $B50,"Tot_Entity","USD",N$2,N$3,N$4,$C50,"TopFlow","Top","Top","Tot_Los","TOT_IP_Detox","Tot_FC",$A50,"Top5","Top6","Reported","Top8")</f>
        <v>127</v>
      </c>
      <c r="O50" s="21">
        <f t="shared" si="13"/>
        <v>-26</v>
      </c>
      <c r="Q50" s="21"/>
      <c r="R50" s="21"/>
      <c r="T50" s="21"/>
      <c r="V50" s="15">
        <f>_xll.OneStreamExcelAddIn.XFFunctions.XFGetCell("True","Consol", $B50,"Tot_Entity","USD",V$2,V$3,V$4,$C50,"TopFlow","Top","Top","Tot_Los","TOT_IP_Detox","Tot_FC",$A50,"Top5","Top6","Reported","Top8")</f>
        <v>468</v>
      </c>
      <c r="W50" s="15">
        <f>_xll.OneStreamExcelAddIn.XFFunctions.XFGetCell("True","Consol", $B50,"Tot_Entity","Aggregated",W$2,W$3,W$4,$C50,"TopFlow","Top","Top","Tot_Los","TOT_IP_Detox","TOP3",$A50,"Top5","Top6","Reported","Top8")</f>
        <v>527</v>
      </c>
      <c r="X50" s="21">
        <f t="shared" si="14"/>
        <v>-59</v>
      </c>
      <c r="AD50" s="15">
        <f>_xll.OneStreamExcelAddIn.XFFunctions.XFGetCell("True","Consol", $B50,"Tot_Entity","USD",AD$2,AD$3,AD$4,$C50,"TopFlow","Top","Top","Tot_Los","TOT_IP_Detox","Tot_FC",$A50,"Top5","Top6","Reported","Top8")</f>
        <v>101</v>
      </c>
      <c r="AE50" s="15">
        <f>_xll.OneStreamExcelAddIn.XFFunctions.XFGetCell("True","Consol", $B50,"Tot_Entity","USD",AE$2,AE$3,AE$4,$C50,"TopFlow","Top","Top","Tot_Los","TOT_IP_Detox","Tot_FC",$A50,"Top5","Top6","Reported","Top8")</f>
        <v>133</v>
      </c>
      <c r="AF50" s="21">
        <f t="shared" si="15"/>
        <v>-32</v>
      </c>
      <c r="AL50" s="15">
        <f>_xll.OneStreamExcelAddIn.XFFunctions.XFGetCell("True","Consol", $B50,"Tot_Entity","USD",AL$2,AL$3,AL$4,$C50,"TopFlow","Top","Top","Tot_Los","TOT_IP_Detox","Tot_FC",$A50,"Top5","Top6","Reported","Top8")</f>
        <v>468</v>
      </c>
      <c r="AM50" s="15">
        <f>_xll.OneStreamExcelAddIn.XFFunctions.XFGetCell("True","Consol", $B50,"Tot_Entity","USD",AM$2,AM$3,AM$4,$C50,"TopFlow","Top","Top","Tot_Los","TOT_IP_Detox","Tot_FC",$A50,"Top5","Top6","Reported","Top8")</f>
        <v>480</v>
      </c>
      <c r="AN50" s="21">
        <f t="shared" si="16"/>
        <v>-12</v>
      </c>
      <c r="AT50" s="15">
        <f>_xll.OneStreamExcelAddIn.XFFunctions.XFGetCell("True","Consol", $B50,"Tot_Entity","USD",AT$2,AT$3,AT$4,$C50,"TopFlow","Top","Top","Tot_Los","TOT_IP_Detox","Tot_FC",$A50,"Top5","Top6","Reported","Top8")</f>
        <v>0</v>
      </c>
      <c r="AU50" s="15">
        <f>_xll.OneStreamExcelAddIn.XFFunctions.XFGetCell("True","Consol", $B50,"Tot_Entity","USD",AU$2,AU$3,AU$4,$C50,"TopFlow","Top","Top","Tot_Los","TOT_IP_Detox","Tot_FC",$A50,"Top5","Top6","Reported","Top8")</f>
        <v>145</v>
      </c>
      <c r="AV50" s="162">
        <f t="shared" si="17"/>
        <v>-145</v>
      </c>
    </row>
    <row r="51" spans="1:48" x14ac:dyDescent="0.2">
      <c r="A51" s="16" t="str">
        <f t="shared" si="10"/>
        <v>Acute_DIV1</v>
      </c>
      <c r="B51" s="15">
        <f t="shared" si="11"/>
        <v>127</v>
      </c>
      <c r="C51" s="14" t="s">
        <v>124</v>
      </c>
      <c r="D51" s="14" t="s">
        <v>121</v>
      </c>
      <c r="E51" s="15">
        <f>_xll.OneStreamExcelAddIn.XFFunctions.XFGetCell("True","Consol", $B51,"Tot_Entity","USD",E$2,E$3,E$4,$C51,"TopFlow","Top","Top","Tot_Los","TOT_IP_RTC","Tot_FC",$A51,"Top5","Top6","Reported","Top8")</f>
        <v>0</v>
      </c>
      <c r="F51" s="15">
        <f>_xll.OneStreamExcelAddIn.XFFunctions.XFGetCell("True","Consol", $B51,"Tot_Entity","Aggregated",F$2,F$3,F$4,$C51,"TopFlow","Top","Top","Tot_Los","TOT_IP_RTC","TOP3",$A51,"Top5","Top6","Reported","Top8")</f>
        <v>0</v>
      </c>
      <c r="G51" s="21">
        <f t="shared" si="12"/>
        <v>0</v>
      </c>
      <c r="M51" s="15">
        <f>_xll.OneStreamExcelAddIn.XFFunctions.XFGetCell("True","Consol", $B51,"Tot_Entity","USD",M$2,M$3,M$4,$C51,"TopFlow","Top","Top","Tot_Los","TOT_IP_RTC","Tot_FC",$A51,"Top5","Top6","Reported","Top8")</f>
        <v>0</v>
      </c>
      <c r="N51" s="15">
        <f>_xll.OneStreamExcelAddIn.XFFunctions.XFGetCell("True","Consol", $B51,"Tot_Entity","USD",N$2,N$3,N$4,$C51,"TopFlow","Top","Top","Tot_Los","TOT_IP_RTC","Tot_FC",$A51,"Top5","Top6","Reported","Top8")</f>
        <v>0</v>
      </c>
      <c r="O51" s="21">
        <f t="shared" si="13"/>
        <v>0</v>
      </c>
      <c r="Q51" s="21"/>
      <c r="R51" s="21"/>
      <c r="T51" s="21"/>
      <c r="V51" s="15">
        <f>_xll.OneStreamExcelAddIn.XFFunctions.XFGetCell("True","Consol", $B51,"Tot_Entity","USD",V$2,V$3,V$4,$C51,"TopFlow","Top","Top","Tot_Los","TOT_IP_RTC","Tot_FC",$A51,"Top5","Top6","Reported","Top8")</f>
        <v>0</v>
      </c>
      <c r="W51" s="15">
        <f>_xll.OneStreamExcelAddIn.XFFunctions.XFGetCell("True","Consol", $B51,"Tot_Entity","Aggregated",W$2,W$3,W$4,$C51,"TopFlow","Top","Top","Tot_Los","TOT_IP_RTC","TOP3",$A51,"Top5","Top6","Reported","Top8")</f>
        <v>0</v>
      </c>
      <c r="X51" s="21">
        <f t="shared" si="14"/>
        <v>0</v>
      </c>
      <c r="AD51" s="15">
        <f>_xll.OneStreamExcelAddIn.XFFunctions.XFGetCell("True","Consol", $B51,"Tot_Entity","USD",AD$2,AD$3,AD$4,$C51,"TopFlow","Top","Top","Tot_Los","TOT_IP_RTC","Tot_FC",$A51,"Top5","Top6","Reported","Top8")</f>
        <v>0</v>
      </c>
      <c r="AE51" s="15">
        <f>_xll.OneStreamExcelAddIn.XFFunctions.XFGetCell("True","Consol", $B51,"Tot_Entity","USD",AE$2,AE$3,AE$4,$C51,"TopFlow","Top","Top","Tot_Los","TOT_IP_RTC","Tot_FC",$A51,"Top5","Top6","Reported","Top8")</f>
        <v>0</v>
      </c>
      <c r="AF51" s="21">
        <f t="shared" si="15"/>
        <v>0</v>
      </c>
      <c r="AL51" s="15">
        <f>_xll.OneStreamExcelAddIn.XFFunctions.XFGetCell("True","Consol", $B51,"Tot_Entity","USD",AL$2,AL$3,AL$4,$C51,"TopFlow","Top","Top","Tot_Los","TOT_IP_RTC","Tot_FC",$A51,"Top5","Top6","Reported","Top8")</f>
        <v>0</v>
      </c>
      <c r="AM51" s="15">
        <f>_xll.OneStreamExcelAddIn.XFFunctions.XFGetCell("True","Consol", $B51,"Tot_Entity","USD",AM$2,AM$3,AM$4,$C51,"TopFlow","Top","Top","Tot_Los","TOT_IP_RTC","Tot_FC",$A51,"Top5","Top6","Reported","Top8")</f>
        <v>0</v>
      </c>
      <c r="AN51" s="21">
        <f t="shared" si="16"/>
        <v>0</v>
      </c>
      <c r="AT51" s="15">
        <f>_xll.OneStreamExcelAddIn.XFFunctions.XFGetCell("True","Consol", $B51,"Tot_Entity","USD",AT$2,AT$3,AT$4,$C51,"TopFlow","Top","Top","Tot_Los","TOT_IP_RTC","Tot_FC",$A51,"Top5","Top6","Reported","Top8")</f>
        <v>0</v>
      </c>
      <c r="AU51" s="15">
        <f>_xll.OneStreamExcelAddIn.XFFunctions.XFGetCell("True","Consol", $B51,"Tot_Entity","USD",AU$2,AU$3,AU$4,$C51,"TopFlow","Top","Top","Tot_Los","TOT_IP_RTC","Tot_FC",$A51,"Top5","Top6","Reported","Top8")</f>
        <v>0</v>
      </c>
      <c r="AV51" s="162">
        <f t="shared" si="17"/>
        <v>0</v>
      </c>
    </row>
    <row r="52" spans="1:48" x14ac:dyDescent="0.2">
      <c r="A52" s="16" t="str">
        <f t="shared" si="10"/>
        <v>Acute_DIV1</v>
      </c>
      <c r="B52" s="15">
        <f t="shared" si="11"/>
        <v>127</v>
      </c>
      <c r="C52" s="14" t="s">
        <v>124</v>
      </c>
      <c r="D52" s="14" t="s">
        <v>122</v>
      </c>
      <c r="E52" s="15">
        <f>_xll.OneStreamExcelAddIn.XFFunctions.XFGetCell("True","Consol", $B52,"Tot_Entity","USD",E$2,E$3,E$4,$C52,"TopFlow","Top","Top","Tot_Los",1320,"Tot_FC",$A52,"Top5","Top6","Reported","Top8")</f>
        <v>0</v>
      </c>
      <c r="F52" s="15">
        <f>_xll.OneStreamExcelAddIn.XFFunctions.XFGetCell("True","Consol", $B52,"Tot_Entity","Aggregated",F$2,F$3,F$4,$C52,"TopFlow","Top","Top","Tot_Los",1320,"TOP3",$A52,"Top5","Top6","Reported","Top8")</f>
        <v>0</v>
      </c>
      <c r="G52" s="21">
        <f t="shared" si="12"/>
        <v>0</v>
      </c>
      <c r="M52" s="15">
        <f>_xll.OneStreamExcelAddIn.XFFunctions.XFGetCell("True","Consol", $B52,"Tot_Entity","USD",M$2,M$3,M$4,$C52,"TopFlow","Top","Top","Tot_Los",1320,"Tot_FC",$A52,"Top5","Top6","Reported","Top8")</f>
        <v>0</v>
      </c>
      <c r="N52" s="15">
        <f>_xll.OneStreamExcelAddIn.XFFunctions.XFGetCell("True","Consol", $B52,"Tot_Entity","USD",N$2,N$3,N$4,$C52,"TopFlow","Top","Top","Tot_Los",1320,"Tot_FC",$A52,"Top5","Top6","Reported","Top8")</f>
        <v>0</v>
      </c>
      <c r="O52" s="21">
        <f t="shared" si="13"/>
        <v>0</v>
      </c>
      <c r="Q52" s="21"/>
      <c r="R52" s="21"/>
      <c r="T52" s="21"/>
      <c r="V52" s="15">
        <f>_xll.OneStreamExcelAddIn.XFFunctions.XFGetCell("True","Consol", $B52,"Tot_Entity","USD",V$2,V$3,V$4,$C52,"TopFlow","Top","Top","Tot_Los",1320,"Tot_FC",$A52,"Top5","Top6","Reported","Top8")</f>
        <v>0</v>
      </c>
      <c r="W52" s="15">
        <f>_xll.OneStreamExcelAddIn.XFFunctions.XFGetCell("True","Consol", $B52,"Tot_Entity","Aggregated",W$2,W$3,W$4,$C52,"TopFlow","Top","Top","Tot_Los",1320,"TOP3",$A52,"Top5","Top6","Reported","Top8")</f>
        <v>0</v>
      </c>
      <c r="X52" s="21">
        <f t="shared" si="14"/>
        <v>0</v>
      </c>
      <c r="AD52" s="15">
        <f>_xll.OneStreamExcelAddIn.XFFunctions.XFGetCell("True","Consol", $B52,"Tot_Entity","USD",AD$2,AD$3,AD$4,$C52,"TopFlow","Top","Top","Tot_Los",1320,"Tot_FC",$A52,"Top5","Top6","Reported","Top8")</f>
        <v>0</v>
      </c>
      <c r="AE52" s="15">
        <f>_xll.OneStreamExcelAddIn.XFFunctions.XFGetCell("True","Consol", $B52,"Tot_Entity","USD",AE$2,AE$3,AE$4,$C52,"TopFlow","Top","Top","Tot_Los",1320,"Tot_FC",$A52,"Top5","Top6","Reported","Top8")</f>
        <v>0</v>
      </c>
      <c r="AF52" s="21">
        <f t="shared" si="15"/>
        <v>0</v>
      </c>
      <c r="AL52" s="15">
        <f>_xll.OneStreamExcelAddIn.XFFunctions.XFGetCell("True","Consol", $B52,"Tot_Entity","USD",AL$2,AL$3,AL$4,$C52,"TopFlow","Top","Top","Tot_Los",1320,"Tot_FC",$A52,"Top5","Top6","Reported","Top8")</f>
        <v>0</v>
      </c>
      <c r="AM52" s="15">
        <f>_xll.OneStreamExcelAddIn.XFFunctions.XFGetCell("True","Consol", $B52,"Tot_Entity","USD",AM$2,AM$3,AM$4,$C52,"TopFlow","Top","Top","Tot_Los",1320,"Tot_FC",$A52,"Top5","Top6","Reported","Top8")</f>
        <v>0</v>
      </c>
      <c r="AN52" s="21">
        <f t="shared" si="16"/>
        <v>0</v>
      </c>
      <c r="AT52" s="15">
        <f>_xll.OneStreamExcelAddIn.XFFunctions.XFGetCell("True","Consol", $B52,"Tot_Entity","USD",AT$2,AT$3,AT$4,$C52,"TopFlow","Top","Top","Tot_Los",1320,"Tot_FC",$A52,"Top5","Top6","Reported","Top8")</f>
        <v>0</v>
      </c>
      <c r="AU52" s="15">
        <f>_xll.OneStreamExcelAddIn.XFFunctions.XFGetCell("True","Consol", $B52,"Tot_Entity","USD",AU$2,AU$3,AU$4,$C52,"TopFlow","Top","Top","Tot_Los",1320,"Tot_FC",$A52,"Top5","Top6","Reported","Top8")</f>
        <v>0</v>
      </c>
      <c r="AV52" s="162">
        <f t="shared" si="17"/>
        <v>0</v>
      </c>
    </row>
    <row r="53" spans="1:48" x14ac:dyDescent="0.2">
      <c r="A53" s="16" t="str">
        <f t="shared" si="10"/>
        <v>Acute_DIV1</v>
      </c>
      <c r="B53" s="15">
        <f t="shared" si="11"/>
        <v>127</v>
      </c>
      <c r="C53" s="14" t="s">
        <v>124</v>
      </c>
      <c r="D53" s="14" t="s">
        <v>123</v>
      </c>
      <c r="E53" s="15">
        <f>_xll.OneStreamExcelAddIn.XFFunctions.XFGetCell("True","Consol", $B53,"Tot_Entity","USD",E$2,E$3,E$4,$C53,"TopFlow","Top","Top","Tot_Los",1330,"Tot_FC",$A53,"Top5","Top6","Reported","Top8")</f>
        <v>0</v>
      </c>
      <c r="F53" s="15">
        <f>_xll.OneStreamExcelAddIn.XFFunctions.XFGetCell("True","Consol", $B53,"Tot_Entity","Aggregated",F$2,F$3,F$4,$C53,"TopFlow","Top","Top","Tot_Los",1330,"TOP3",$A53,"Top5","Top6","Reported","Top8")</f>
        <v>0</v>
      </c>
      <c r="G53" s="21">
        <f t="shared" si="12"/>
        <v>0</v>
      </c>
      <c r="M53" s="15">
        <f>_xll.OneStreamExcelAddIn.XFFunctions.XFGetCell("True","Consol", $B53,"Tot_Entity","USD",M$2,M$3,M$4,$C53,"TopFlow","Top","Top","Tot_Los",1330,"Tot_FC",$A53,"Top5","Top6","Reported","Top8")</f>
        <v>0</v>
      </c>
      <c r="N53" s="15">
        <f>_xll.OneStreamExcelAddIn.XFFunctions.XFGetCell("True","Consol", $B53,"Tot_Entity","USD",N$2,N$3,N$4,$C53,"TopFlow","Top","Top","Tot_Los",1330,"Tot_FC",$A53,"Top5","Top6","Reported","Top8")</f>
        <v>0</v>
      </c>
      <c r="O53" s="21">
        <f t="shared" si="13"/>
        <v>0</v>
      </c>
      <c r="Q53" s="21"/>
      <c r="R53" s="21"/>
      <c r="T53" s="21"/>
      <c r="V53" s="15">
        <f>_xll.OneStreamExcelAddIn.XFFunctions.XFGetCell("True","Consol", $B53,"Tot_Entity","USD",V$2,V$3,V$4,$C53,"TopFlow","Top","Top","Tot_Los",1330,"Tot_FC",$A53,"Top5","Top6","Reported","Top8")</f>
        <v>0</v>
      </c>
      <c r="W53" s="15">
        <f>_xll.OneStreamExcelAddIn.XFFunctions.XFGetCell("True","Consol", $B53,"Tot_Entity","Aggregated",W$2,W$3,W$4,$C53,"TopFlow","Top","Top","Tot_Los",1330,"TOP3",$A53,"Top5","Top6","Reported","Top8")</f>
        <v>0</v>
      </c>
      <c r="X53" s="21">
        <f t="shared" si="14"/>
        <v>0</v>
      </c>
      <c r="AD53" s="15">
        <f>_xll.OneStreamExcelAddIn.XFFunctions.XFGetCell("True","Consol", $B53,"Tot_Entity","USD",AD$2,AD$3,AD$4,$C53,"TopFlow","Top","Top","Tot_Los",1330,"Tot_FC",$A53,"Top5","Top6","Reported","Top8")</f>
        <v>0</v>
      </c>
      <c r="AE53" s="15">
        <f>_xll.OneStreamExcelAddIn.XFFunctions.XFGetCell("True","Consol", $B53,"Tot_Entity","USD",AE$2,AE$3,AE$4,$C53,"TopFlow","Top","Top","Tot_Los",1330,"Tot_FC",$A53,"Top5","Top6","Reported","Top8")</f>
        <v>0</v>
      </c>
      <c r="AF53" s="21">
        <f t="shared" si="15"/>
        <v>0</v>
      </c>
      <c r="AL53" s="15">
        <f>_xll.OneStreamExcelAddIn.XFFunctions.XFGetCell("True","Consol", $B53,"Tot_Entity","USD",AL$2,AL$3,AL$4,$C53,"TopFlow","Top","Top","Tot_Los",1330,"Tot_FC",$A53,"Top5","Top6","Reported","Top8")</f>
        <v>0</v>
      </c>
      <c r="AM53" s="15">
        <f>_xll.OneStreamExcelAddIn.XFFunctions.XFGetCell("True","Consol", $B53,"Tot_Entity","USD",AM$2,AM$3,AM$4,$C53,"TopFlow","Top","Top","Tot_Los",1330,"Tot_FC",$A53,"Top5","Top6","Reported","Top8")</f>
        <v>0</v>
      </c>
      <c r="AN53" s="21">
        <f t="shared" si="16"/>
        <v>0</v>
      </c>
      <c r="AT53" s="15">
        <f>_xll.OneStreamExcelAddIn.XFFunctions.XFGetCell("True","Consol", $B53,"Tot_Entity","USD",AT$2,AT$3,AT$4,$C53,"TopFlow","Top","Top","Tot_Los",1330,"Tot_FC",$A53,"Top5","Top6","Reported","Top8")</f>
        <v>0</v>
      </c>
      <c r="AU53" s="15">
        <f>_xll.OneStreamExcelAddIn.XFFunctions.XFGetCell("True","Consol", $B53,"Tot_Entity","USD",AU$2,AU$3,AU$4,$C53,"TopFlow","Top","Top","Tot_Los",1330,"Tot_FC",$A53,"Top5","Top6","Reported","Top8")</f>
        <v>0</v>
      </c>
      <c r="AV53" s="162">
        <f t="shared" si="17"/>
        <v>0</v>
      </c>
    </row>
    <row r="54" spans="1:48" x14ac:dyDescent="0.2">
      <c r="B54" s="46"/>
    </row>
    <row r="55" spans="1:48" x14ac:dyDescent="0.2">
      <c r="A55" s="16" t="str">
        <f t="shared" ref="A55:A65" si="19">+$A$8</f>
        <v>Acute_DIV1</v>
      </c>
      <c r="B55" s="15">
        <f t="shared" ref="B55:B65" si="20">+$B$8</f>
        <v>127</v>
      </c>
      <c r="C55" s="14" t="s">
        <v>130</v>
      </c>
      <c r="D55" s="14" t="s">
        <v>113</v>
      </c>
      <c r="E55" s="15">
        <f>_xll.OneStreamExcelAddIn.XFFunctions.XFGetCell("True","Consol", $B55,"Tot_Entity","USD",E$2,E$3,E$4,$C55,"TopFlow","Top","Top","Tot_Los","TOT_IP_Child","Tot_FC",$A55,"Top5","Top6","Reported","Top8")</f>
        <v>0</v>
      </c>
      <c r="F55" s="15">
        <f>_xll.OneStreamExcelAddIn.XFFunctions.XFGetCell("True","Consol", $B55,"Tot_Entity","Aggregated",F$2,F$3,F$4,$C55,"TopFlow","Top","Top","Tot_Los","TOT_IP_Child","TOP3",$A55,"Top5","Top6","Reported","Top8")</f>
        <v>0</v>
      </c>
      <c r="G55" s="21">
        <f t="shared" ref="G55:G60" si="21">+E55-F55</f>
        <v>0</v>
      </c>
      <c r="M55" s="15">
        <f>_xll.OneStreamExcelAddIn.XFFunctions.XFGetCell("True","Consol", $B55,"Tot_Entity","USD",M$2,M$3,M$4,$C55,"TopFlow","Top","Top","Tot_Los","TOT_IP_Child","Tot_FC",$A55,"Top5","Top6","Reported","Top8")</f>
        <v>0</v>
      </c>
      <c r="N55" s="15">
        <f>_xll.OneStreamExcelAddIn.XFFunctions.XFGetCell("True","Consol", $B55,"Tot_Entity","USD",N$2,N$3,N$4,$C55,"TopFlow","Top","Top","Tot_Los","TOT_IP_Child","Tot_FC",$A55,"Top5","Top6","Reported","Top8")</f>
        <v>0</v>
      </c>
      <c r="O55" s="21">
        <f t="shared" ref="O55:O65" si="22">+M55-N55</f>
        <v>0</v>
      </c>
      <c r="Q55" s="21"/>
      <c r="R55" s="21"/>
      <c r="T55" s="21"/>
      <c r="V55" s="15">
        <f>_xll.OneStreamExcelAddIn.XFFunctions.XFGetCell("True","Consol", $B55,"Tot_Entity","USD",V$2,V$3,V$4,$C55,"TopFlow","Top","Top","Tot_Los","TOT_IP_Child","Tot_FC",$A55,"Top5","Top6","Reported","Top8")</f>
        <v>0</v>
      </c>
      <c r="W55" s="15">
        <f>_xll.OneStreamExcelAddIn.XFFunctions.XFGetCell("True","Consol", $B55,"Tot_Entity","Aggregated",W$2,W$3,W$4,$C55,"TopFlow","Top","Top","Tot_Los","TOT_IP_Child","TOP3",$A55,"Top5","Top6","Reported","Top8")</f>
        <v>0</v>
      </c>
      <c r="X55" s="21">
        <f t="shared" ref="X55:X60" si="23">+V55-W55</f>
        <v>0</v>
      </c>
      <c r="AD55" s="15">
        <f>_xll.OneStreamExcelAddIn.XFFunctions.XFGetCell("True","Consol", $B55,"Tot_Entity","USD",AD$2,AD$3,AD$4,$C55,"TopFlow","Top","Top","Tot_Los","TOT_IP_Child","Tot_FC",$A55,"Top5","Top6","Reported","Top8")</f>
        <v>0</v>
      </c>
      <c r="AE55" s="15">
        <f>_xll.OneStreamExcelAddIn.XFFunctions.XFGetCell("True","Consol", $B55,"Tot_Entity","USD",AE$2,AE$3,AE$4,$C55,"TopFlow","Top","Top","Tot_Los","TOT_IP_Child","Tot_FC",$A55,"Top5","Top6","Reported","Top8")</f>
        <v>0</v>
      </c>
      <c r="AF55" s="21">
        <f t="shared" ref="AF55:AF60" si="24">+AD55-AE55</f>
        <v>0</v>
      </c>
      <c r="AL55" s="15">
        <f>_xll.OneStreamExcelAddIn.XFFunctions.XFGetCell("True","Consol", $B55,"Tot_Entity","USD",AL$2,AL$3,AL$4,$C55,"TopFlow","Top","Top","Tot_Los","TOT_IP_Child","Tot_FC",$A55,"Top5","Top6","Reported","Top8")</f>
        <v>0</v>
      </c>
      <c r="AM55" s="15">
        <f>_xll.OneStreamExcelAddIn.XFFunctions.XFGetCell("True","Consol", $B55,"Tot_Entity","USD",AM$2,AM$3,AM$4,$C55,"TopFlow","Top","Top","Tot_Los","TOT_IP_Child","Tot_FC",$A55,"Top5","Top6","Reported","Top8")</f>
        <v>0</v>
      </c>
      <c r="AN55" s="21">
        <f t="shared" ref="AN55:AN60" si="25">+AL55-AM55</f>
        <v>0</v>
      </c>
      <c r="AT55" s="15">
        <f>_xll.OneStreamExcelAddIn.XFFunctions.XFGetCell("True","Consol", $B55,"Tot_Entity","USD",AT$2,AT$3,AT$4,$C55,"TopFlow","Top","Top","Tot_Los","TOT_IP_Child","Tot_FC",$A55,"Top5","Top6","Reported","Top8")</f>
        <v>0</v>
      </c>
      <c r="AU55" s="15">
        <f>_xll.OneStreamExcelAddIn.XFFunctions.XFGetCell("True","Consol", $B55,"Tot_Entity","USD",AU$2,AU$3,AU$4,$C55,"TopFlow","Top","Top","Tot_Los","TOT_IP_Child","Tot_FC",$A55,"Top5","Top6","Reported","Top8")</f>
        <v>0</v>
      </c>
      <c r="AV55" s="162">
        <f t="shared" ref="AV55:AV60" si="26">+AT55-AU55</f>
        <v>0</v>
      </c>
    </row>
    <row r="56" spans="1:48" x14ac:dyDescent="0.2">
      <c r="A56" s="16" t="str">
        <f t="shared" si="19"/>
        <v>Acute_DIV1</v>
      </c>
      <c r="B56" s="15">
        <f t="shared" si="20"/>
        <v>127</v>
      </c>
      <c r="C56" s="14" t="s">
        <v>130</v>
      </c>
      <c r="D56" s="14" t="s">
        <v>114</v>
      </c>
      <c r="E56" s="15">
        <f>_xll.OneStreamExcelAddIn.XFFunctions.XFGetCell("True","Consol", $B56,"Tot_Entity","USD",E$2,E$3,E$4,$C56,"TopFlow","Top","Top","Tot_Los","TOT_IP_Pre_Adolescent","Tot_FC",$A56,"Top5","Top6","Reported","Top8")</f>
        <v>0</v>
      </c>
      <c r="F56" s="15">
        <f>_xll.OneStreamExcelAddIn.XFFunctions.XFGetCell("True","Consol", $B56,"Tot_Entity","Aggregated",F$2,F$3,F$4,$C56,"TopFlow","Top","Top","Tot_Los","TOT_IP_Pre_Adolescent","TOP3",$A56,"Top5","Top6","Reported","Top8")</f>
        <v>0</v>
      </c>
      <c r="G56" s="21">
        <f t="shared" si="21"/>
        <v>0</v>
      </c>
      <c r="M56" s="15">
        <f>_xll.OneStreamExcelAddIn.XFFunctions.XFGetCell("True","Consol", $B56,"Tot_Entity","USD",M$2,M$3,M$4,$C56,"TopFlow","Top","Top","Tot_Los","TOT_IP_Pre_Adolescent","Tot_FC",$A56,"Top5","Top6","Reported","Top8")</f>
        <v>0</v>
      </c>
      <c r="N56" s="15">
        <f>_xll.OneStreamExcelAddIn.XFFunctions.XFGetCell("True","Consol", $B56,"Tot_Entity","USD",N$2,N$3,N$4,$C56,"TopFlow","Top","Top","Tot_Los","TOT_IP_Pre_Adolescent","Tot_FC",$A56,"Top5","Top6","Reported","Top8")</f>
        <v>0</v>
      </c>
      <c r="O56" s="21">
        <f t="shared" si="22"/>
        <v>0</v>
      </c>
      <c r="Q56" s="21"/>
      <c r="R56" s="21"/>
      <c r="T56" s="21"/>
      <c r="V56" s="15">
        <f>_xll.OneStreamExcelAddIn.XFFunctions.XFGetCell("True","Consol", $B56,"Tot_Entity","USD",V$2,V$3,V$4,$C56,"TopFlow","Top","Top","Tot_Los","TOT_IP_Pre_Adolescent","Tot_FC",$A56,"Top5","Top6","Reported","Top8")</f>
        <v>0</v>
      </c>
      <c r="W56" s="15">
        <f>_xll.OneStreamExcelAddIn.XFFunctions.XFGetCell("True","Consol", $B56,"Tot_Entity","Aggregated",W$2,W$3,W$4,$C56,"TopFlow","Top","Top","Tot_Los","TOT_IP_Pre_Adolescent","TOP3",$A56,"Top5","Top6","Reported","Top8")</f>
        <v>0</v>
      </c>
      <c r="X56" s="21">
        <f t="shared" si="23"/>
        <v>0</v>
      </c>
      <c r="AD56" s="15">
        <f>_xll.OneStreamExcelAddIn.XFFunctions.XFGetCell("True","Consol", $B56,"Tot_Entity","USD",AD$2,AD$3,AD$4,$C56,"TopFlow","Top","Top","Tot_Los","TOT_IP_Pre_Adolescent","Tot_FC",$A56,"Top5","Top6","Reported","Top8")</f>
        <v>0</v>
      </c>
      <c r="AE56" s="15">
        <f>_xll.OneStreamExcelAddIn.XFFunctions.XFGetCell("True","Consol", $B56,"Tot_Entity","USD",AE$2,AE$3,AE$4,$C56,"TopFlow","Top","Top","Tot_Los","TOT_IP_Pre_Adolescent","Tot_FC",$A56,"Top5","Top6","Reported","Top8")</f>
        <v>0</v>
      </c>
      <c r="AF56" s="21">
        <f t="shared" si="24"/>
        <v>0</v>
      </c>
      <c r="AL56" s="15">
        <f>_xll.OneStreamExcelAddIn.XFFunctions.XFGetCell("True","Consol", $B56,"Tot_Entity","USD",AL$2,AL$3,AL$4,$C56,"TopFlow","Top","Top","Tot_Los","TOT_IP_Pre_Adolescent","Tot_FC",$A56,"Top5","Top6","Reported","Top8")</f>
        <v>0</v>
      </c>
      <c r="AM56" s="15">
        <f>_xll.OneStreamExcelAddIn.XFFunctions.XFGetCell("True","Consol", $B56,"Tot_Entity","USD",AM$2,AM$3,AM$4,$C56,"TopFlow","Top","Top","Tot_Los","TOT_IP_Pre_Adolescent","Tot_FC",$A56,"Top5","Top6","Reported","Top8")</f>
        <v>0</v>
      </c>
      <c r="AN56" s="21">
        <f t="shared" si="25"/>
        <v>0</v>
      </c>
      <c r="AT56" s="15">
        <f>_xll.OneStreamExcelAddIn.XFFunctions.XFGetCell("True","Consol", $B56,"Tot_Entity","USD",AT$2,AT$3,AT$4,$C56,"TopFlow","Top","Top","Tot_Los","TOT_IP_Pre_Adolescent","Tot_FC",$A56,"Top5","Top6","Reported","Top8")</f>
        <v>0</v>
      </c>
      <c r="AU56" s="15">
        <f>_xll.OneStreamExcelAddIn.XFFunctions.XFGetCell("True","Consol", $B56,"Tot_Entity","USD",AU$2,AU$3,AU$4,$C56,"TopFlow","Top","Top","Tot_Los","TOT_IP_Pre_Adolescent","Tot_FC",$A56,"Top5","Top6","Reported","Top8")</f>
        <v>0</v>
      </c>
      <c r="AV56" s="162">
        <f t="shared" si="26"/>
        <v>0</v>
      </c>
    </row>
    <row r="57" spans="1:48" x14ac:dyDescent="0.2">
      <c r="A57" s="16" t="str">
        <f t="shared" si="19"/>
        <v>Acute_DIV1</v>
      </c>
      <c r="B57" s="15">
        <f t="shared" si="20"/>
        <v>127</v>
      </c>
      <c r="C57" s="14" t="s">
        <v>130</v>
      </c>
      <c r="D57" s="14" t="s">
        <v>115</v>
      </c>
      <c r="E57" s="15">
        <f>_xll.OneStreamExcelAddIn.XFFunctions.XFGetCell("True","Consol", $B57,"Tot_Entity","USD",E$2,E$3,E$4,$C57,"TopFlow","Top","Top","Tot_Los","TOT_IP_Adolescent","Tot_FC",$A57,"Top5","Top6","Reported","Top8")</f>
        <v>34.033333333333303</v>
      </c>
      <c r="F57" s="15">
        <f>_xll.OneStreamExcelAddIn.XFFunctions.XFGetCell("True","Consol", $B57,"Tot_Entity","Aggregated",F$2,F$3,F$4,$C57,"TopFlow","Top","Top","Tot_Los","TOT_IP_Adolescent","TOP3",$A57,"Top5","Top6","Reported","Top8")</f>
        <v>38.1666666666667</v>
      </c>
      <c r="G57" s="21">
        <f t="shared" si="21"/>
        <v>-4.1333333333333968</v>
      </c>
      <c r="M57" s="15">
        <f>_xll.OneStreamExcelAddIn.XFFunctions.XFGetCell("True","Consol", $B57,"Tot_Entity","USD",M$2,M$3,M$4,$C57,"TopFlow","Top","Top","Tot_Los","TOT_IP_Adolescent","Tot_FC",$A57,"Top5","Top6","Reported","Top8")</f>
        <v>34.033333333333303</v>
      </c>
      <c r="N57" s="15">
        <f>_xll.OneStreamExcelAddIn.XFFunctions.XFGetCell("True","Consol", $B57,"Tot_Entity","USD",N$2,N$3,N$4,$C57,"TopFlow","Top","Top","Tot_Los","TOT_IP_Adolescent","Tot_FC",$A57,"Top5","Top6","Reported","Top8")</f>
        <v>34.935483870967701</v>
      </c>
      <c r="O57" s="21">
        <f t="shared" si="22"/>
        <v>-0.90215053763439812</v>
      </c>
      <c r="Q57" s="21"/>
      <c r="R57" s="21"/>
      <c r="T57" s="21"/>
      <c r="V57" s="15">
        <f>_xll.OneStreamExcelAddIn.XFFunctions.XFGetCell("True","Consol", $B57,"Tot_Entity","USD",V$2,V$3,V$4,$C57,"TopFlow","Top","Top","Tot_Los","TOT_IP_Adolescent","Tot_FC",$A57,"Top5","Top6","Reported","Top8")</f>
        <v>33.391666666666701</v>
      </c>
      <c r="W57" s="15">
        <f>_xll.OneStreamExcelAddIn.XFFunctions.XFGetCell("True","Consol", $B57,"Tot_Entity","Aggregated",W$2,W$3,W$4,$C57,"TopFlow","Top","Top","Tot_Los","TOT_IP_Adolescent","TOP3",$A57,"Top5","Top6","Reported","Top8")</f>
        <v>34.508333333333297</v>
      </c>
      <c r="X57" s="21">
        <f t="shared" si="23"/>
        <v>-1.1166666666665961</v>
      </c>
      <c r="AD57" s="15">
        <f>_xll.OneStreamExcelAddIn.XFFunctions.XFGetCell("True","Consol", $B57,"Tot_Entity","USD",AD$2,AD$3,AD$4,$C57,"TopFlow","Top","Top","Tot_Los","TOT_IP_Adolescent","Tot_FC",$A57,"Top5","Top6","Reported","Top8")</f>
        <v>34.033333333333303</v>
      </c>
      <c r="AE57" s="15">
        <f>_xll.OneStreamExcelAddIn.XFFunctions.XFGetCell("True","Consol", $B57,"Tot_Entity","USD",AE$2,AE$3,AE$4,$C57,"TopFlow","Top","Top","Tot_Los","TOT_IP_Adolescent","Tot_FC",$A57,"Top5","Top6","Reported","Top8")</f>
        <v>35.1</v>
      </c>
      <c r="AF57" s="21">
        <f t="shared" si="24"/>
        <v>-1.0666666666666984</v>
      </c>
      <c r="AL57" s="15">
        <f>_xll.OneStreamExcelAddIn.XFFunctions.XFGetCell("True","Consol", $B57,"Tot_Entity","USD",AL$2,AL$3,AL$4,$C57,"TopFlow","Top","Top","Tot_Los","TOT_IP_Adolescent","Tot_FC",$A57,"Top5","Top6","Reported","Top8")</f>
        <v>33.391666666666701</v>
      </c>
      <c r="AM57" s="15">
        <f>_xll.OneStreamExcelAddIn.XFFunctions.XFGetCell("True","Consol", $B57,"Tot_Entity","USD",AM$2,AM$3,AM$4,$C57,"TopFlow","Top","Top","Tot_Los","TOT_IP_Adolescent","Tot_FC",$A57,"Top5","Top6","Reported","Top8")</f>
        <v>45.433333333333302</v>
      </c>
      <c r="AN57" s="21">
        <f t="shared" si="25"/>
        <v>-12.0416666666666</v>
      </c>
      <c r="AT57" s="15">
        <f>_xll.OneStreamExcelAddIn.XFFunctions.XFGetCell("True","Consol", $B57,"Tot_Entity","USD",AT$2,AT$3,AT$4,$C57,"TopFlow","Top","Top","Tot_Los","TOT_IP_Adolescent","Tot_FC",$A57,"Top5","Top6","Reported","Top8")</f>
        <v>0</v>
      </c>
      <c r="AU57" s="15">
        <f>_xll.OneStreamExcelAddIn.XFFunctions.XFGetCell("True","Consol", $B57,"Tot_Entity","USD",AU$2,AU$3,AU$4,$C57,"TopFlow","Top","Top","Tot_Los","TOT_IP_Adolescent","Tot_FC",$A57,"Top5","Top6","Reported","Top8")</f>
        <v>38.1666666666667</v>
      </c>
      <c r="AV57" s="162">
        <f t="shared" si="26"/>
        <v>-38.1666666666667</v>
      </c>
    </row>
    <row r="58" spans="1:48" x14ac:dyDescent="0.2">
      <c r="A58" s="16" t="str">
        <f t="shared" si="19"/>
        <v>Acute_DIV1</v>
      </c>
      <c r="B58" s="15">
        <f t="shared" si="20"/>
        <v>127</v>
      </c>
      <c r="C58" s="14" t="s">
        <v>130</v>
      </c>
      <c r="D58" s="14" t="s">
        <v>116</v>
      </c>
      <c r="E58" s="15">
        <f>_xll.OneStreamExcelAddIn.XFFunctions.XFGetCell("True","Consol", $B58,"Tot_Entity","USD",E$2,E$3,E$4,$C58,"TopFlow","Top","Top","Tot_Los","TOT_IP_Adult","Tot_FC",$A58,"Top5","Top6","Reported","Top8")</f>
        <v>47.766666666666701</v>
      </c>
      <c r="F58" s="15">
        <f>_xll.OneStreamExcelAddIn.XFFunctions.XFGetCell("True","Consol", $B58,"Tot_Entity","Aggregated",F$2,F$3,F$4,$C58,"TopFlow","Top","Top","Tot_Los","TOT_IP_Adult","TOP3",$A58,"Top5","Top6","Reported","Top8")</f>
        <v>52.2</v>
      </c>
      <c r="G58" s="21">
        <f t="shared" si="21"/>
        <v>-4.4333333333333016</v>
      </c>
      <c r="M58" s="15">
        <f>_xll.OneStreamExcelAddIn.XFFunctions.XFGetCell("True","Consol", $B58,"Tot_Entity","USD",M$2,M$3,M$4,$C58,"TopFlow","Top","Top","Tot_Los","TOT_IP_Adult","Tot_FC",$A58,"Top5","Top6","Reported","Top8")</f>
        <v>47.766666666666701</v>
      </c>
      <c r="N58" s="15">
        <f>_xll.OneStreamExcelAddIn.XFFunctions.XFGetCell("True","Consol", $B58,"Tot_Entity","USD",N$2,N$3,N$4,$C58,"TopFlow","Top","Top","Tot_Los","TOT_IP_Adult","Tot_FC",$A58,"Top5","Top6","Reported","Top8")</f>
        <v>51.612903225806498</v>
      </c>
      <c r="O58" s="21">
        <f t="shared" si="22"/>
        <v>-3.8462365591397969</v>
      </c>
      <c r="Q58" s="21"/>
      <c r="R58" s="21"/>
      <c r="T58" s="21"/>
      <c r="V58" s="15">
        <f>_xll.OneStreamExcelAddIn.XFFunctions.XFGetCell("True","Consol", $B58,"Tot_Entity","USD",V$2,V$3,V$4,$C58,"TopFlow","Top","Top","Tot_Los","TOT_IP_Adult","Tot_FC",$A58,"Top5","Top6","Reported","Top8")</f>
        <v>49.225000000000001</v>
      </c>
      <c r="W58" s="15">
        <f>_xll.OneStreamExcelAddIn.XFFunctions.XFGetCell("True","Consol", $B58,"Tot_Entity","Aggregated",W$2,W$3,W$4,$C58,"TopFlow","Top","Top","Tot_Los","TOT_IP_Adult","TOP3",$A58,"Top5","Top6","Reported","Top8")</f>
        <v>53.7083333333333</v>
      </c>
      <c r="X58" s="21">
        <f t="shared" si="23"/>
        <v>-4.4833333333332988</v>
      </c>
      <c r="AD58" s="15">
        <f>_xll.OneStreamExcelAddIn.XFFunctions.XFGetCell("True","Consol", $B58,"Tot_Entity","USD",AD$2,AD$3,AD$4,$C58,"TopFlow","Top","Top","Tot_Los","TOT_IP_Adult","Tot_FC",$A58,"Top5","Top6","Reported","Top8")</f>
        <v>47.766666666666701</v>
      </c>
      <c r="AE58" s="15">
        <f>_xll.OneStreamExcelAddIn.XFFunctions.XFGetCell("True","Consol", $B58,"Tot_Entity","USD",AE$2,AE$3,AE$4,$C58,"TopFlow","Top","Top","Tot_Los","TOT_IP_Adult","Tot_FC",$A58,"Top5","Top6","Reported","Top8")</f>
        <v>51.3333333333333</v>
      </c>
      <c r="AF58" s="21">
        <f t="shared" si="24"/>
        <v>-3.5666666666665989</v>
      </c>
      <c r="AL58" s="15">
        <f>_xll.OneStreamExcelAddIn.XFFunctions.XFGetCell("True","Consol", $B58,"Tot_Entity","USD",AL$2,AL$3,AL$4,$C58,"TopFlow","Top","Top","Tot_Los","TOT_IP_Adult","Tot_FC",$A58,"Top5","Top6","Reported","Top8")</f>
        <v>49.225000000000001</v>
      </c>
      <c r="AM58" s="15">
        <f>_xll.OneStreamExcelAddIn.XFFunctions.XFGetCell("True","Consol", $B58,"Tot_Entity","USD",AM$2,AM$3,AM$4,$C58,"TopFlow","Top","Top","Tot_Los","TOT_IP_Adult","Tot_FC",$A58,"Top5","Top6","Reported","Top8")</f>
        <v>41.15</v>
      </c>
      <c r="AN58" s="21">
        <f t="shared" si="25"/>
        <v>8.0750000000000028</v>
      </c>
      <c r="AT58" s="15">
        <f>_xll.OneStreamExcelAddIn.XFFunctions.XFGetCell("True","Consol", $B58,"Tot_Entity","USD",AT$2,AT$3,AT$4,$C58,"TopFlow","Top","Top","Tot_Los","TOT_IP_Adult","Tot_FC",$A58,"Top5","Top6","Reported","Top8")</f>
        <v>0</v>
      </c>
      <c r="AU58" s="15">
        <f>_xll.OneStreamExcelAddIn.XFFunctions.XFGetCell("True","Consol", $B58,"Tot_Entity","USD",AU$2,AU$3,AU$4,$C58,"TopFlow","Top","Top","Tot_Los","TOT_IP_Adult","Tot_FC",$A58,"Top5","Top6","Reported","Top8")</f>
        <v>52.2</v>
      </c>
      <c r="AV58" s="162">
        <f t="shared" si="26"/>
        <v>-52.2</v>
      </c>
    </row>
    <row r="59" spans="1:48" x14ac:dyDescent="0.2">
      <c r="A59" s="16" t="str">
        <f t="shared" si="19"/>
        <v>Acute_DIV1</v>
      </c>
      <c r="B59" s="15">
        <f t="shared" si="20"/>
        <v>127</v>
      </c>
      <c r="C59" s="14" t="s">
        <v>130</v>
      </c>
      <c r="D59" s="14" t="s">
        <v>117</v>
      </c>
      <c r="E59" s="15">
        <f>_xll.OneStreamExcelAddIn.XFFunctions.XFGetCell("True","Consol", $B59,"Tot_Entity","USD",E$2,E$3,E$4,$C59,"TopFlow","Top","Top","Tot_Los","TOT_IP_Chem_Dep","Tot_FC",$A59,"Top5","Top6","Reported","Top8")</f>
        <v>0</v>
      </c>
      <c r="F59" s="15">
        <f>_xll.OneStreamExcelAddIn.XFFunctions.XFGetCell("True","Consol", $B59,"Tot_Entity","Aggregated",F$2,F$3,F$4,$C59,"TopFlow","Top","Top","Tot_Los","TOT_IP_Chem_Dep","TOP3",$A59,"Top5","Top6","Reported","Top8")</f>
        <v>0</v>
      </c>
      <c r="G59" s="21">
        <f t="shared" si="21"/>
        <v>0</v>
      </c>
      <c r="M59" s="15">
        <f>_xll.OneStreamExcelAddIn.XFFunctions.XFGetCell("True","Consol", $B59,"Tot_Entity","USD",M$2,M$3,M$4,$C59,"TopFlow","Top","Top","Tot_Los","TOT_IP_Chem_Dep","Tot_FC",$A59,"Top5","Top6","Reported","Top8")</f>
        <v>0</v>
      </c>
      <c r="N59" s="15">
        <f>_xll.OneStreamExcelAddIn.XFFunctions.XFGetCell("True","Consol", $B59,"Tot_Entity","USD",N$2,N$3,N$4,$C59,"TopFlow","Top","Top","Tot_Los","TOT_IP_Chem_Dep","Tot_FC",$A59,"Top5","Top6","Reported","Top8")</f>
        <v>0</v>
      </c>
      <c r="O59" s="21">
        <f t="shared" si="22"/>
        <v>0</v>
      </c>
      <c r="Q59" s="21"/>
      <c r="R59" s="21"/>
      <c r="T59" s="21"/>
      <c r="V59" s="15">
        <f>_xll.OneStreamExcelAddIn.XFFunctions.XFGetCell("True","Consol", $B59,"Tot_Entity","USD",V$2,V$3,V$4,$C59,"TopFlow","Top","Top","Tot_Los","TOT_IP_Chem_Dep","Tot_FC",$A59,"Top5","Top6","Reported","Top8")</f>
        <v>0</v>
      </c>
      <c r="W59" s="15">
        <f>_xll.OneStreamExcelAddIn.XFFunctions.XFGetCell("True","Consol", $B59,"Tot_Entity","Aggregated",W$2,W$3,W$4,$C59,"TopFlow","Top","Top","Tot_Los","TOT_IP_Chem_Dep","TOP3",$A59,"Top5","Top6","Reported","Top8")</f>
        <v>0</v>
      </c>
      <c r="X59" s="21">
        <f t="shared" si="23"/>
        <v>0</v>
      </c>
      <c r="AD59" s="15">
        <f>_xll.OneStreamExcelAddIn.XFFunctions.XFGetCell("True","Consol", $B59,"Tot_Entity","USD",AD$2,AD$3,AD$4,$C59,"TopFlow","Top","Top","Tot_Los","TOT_IP_Chem_Dep","Tot_FC",$A59,"Top5","Top6","Reported","Top8")</f>
        <v>0</v>
      </c>
      <c r="AE59" s="15">
        <f>_xll.OneStreamExcelAddIn.XFFunctions.XFGetCell("True","Consol", $B59,"Tot_Entity","USD",AE$2,AE$3,AE$4,$C59,"TopFlow","Top","Top","Tot_Los","TOT_IP_Chem_Dep","Tot_FC",$A59,"Top5","Top6","Reported","Top8")</f>
        <v>0</v>
      </c>
      <c r="AF59" s="21">
        <f t="shared" si="24"/>
        <v>0</v>
      </c>
      <c r="AL59" s="15">
        <f>_xll.OneStreamExcelAddIn.XFFunctions.XFGetCell("True","Consol", $B59,"Tot_Entity","USD",AL$2,AL$3,AL$4,$C59,"TopFlow","Top","Top","Tot_Los","TOT_IP_Chem_Dep","Tot_FC",$A59,"Top5","Top6","Reported","Top8")</f>
        <v>0</v>
      </c>
      <c r="AM59" s="15">
        <f>_xll.OneStreamExcelAddIn.XFFunctions.XFGetCell("True","Consol", $B59,"Tot_Entity","USD",AM$2,AM$3,AM$4,$C59,"TopFlow","Top","Top","Tot_Los","TOT_IP_Chem_Dep","Tot_FC",$A59,"Top5","Top6","Reported","Top8")</f>
        <v>0</v>
      </c>
      <c r="AN59" s="21">
        <f t="shared" si="25"/>
        <v>0</v>
      </c>
      <c r="AT59" s="15">
        <f>_xll.OneStreamExcelAddIn.XFFunctions.XFGetCell("True","Consol", $B59,"Tot_Entity","USD",AT$2,AT$3,AT$4,$C59,"TopFlow","Top","Top","Tot_Los","TOT_IP_Chem_Dep","Tot_FC",$A59,"Top5","Top6","Reported","Top8")</f>
        <v>0</v>
      </c>
      <c r="AU59" s="15">
        <f>_xll.OneStreamExcelAddIn.XFFunctions.XFGetCell("True","Consol", $B59,"Tot_Entity","USD",AU$2,AU$3,AU$4,$C59,"TopFlow","Top","Top","Tot_Los","TOT_IP_Chem_Dep","Tot_FC",$A59,"Top5","Top6","Reported","Top8")</f>
        <v>0</v>
      </c>
      <c r="AV59" s="162">
        <f t="shared" si="26"/>
        <v>0</v>
      </c>
    </row>
    <row r="60" spans="1:48" x14ac:dyDescent="0.2">
      <c r="A60" s="16" t="str">
        <f t="shared" si="19"/>
        <v>Acute_DIV1</v>
      </c>
      <c r="B60" s="15">
        <f t="shared" si="20"/>
        <v>127</v>
      </c>
      <c r="C60" s="14" t="s">
        <v>130</v>
      </c>
      <c r="D60" s="14" t="s">
        <v>118</v>
      </c>
      <c r="E60" s="15">
        <f>_xll.OneStreamExcelAddIn.XFFunctions.XFGetCell("True","Consol", $B60,"Tot_Entity","USD",E$2,E$3,E$4,$C60,"TopFlow","Top","Top","Tot_Los","TOT_IP_Gero","Tot_FC",$A60,"Top5","Top6","Reported","Top8")</f>
        <v>0</v>
      </c>
      <c r="F60" s="15">
        <f>_xll.OneStreamExcelAddIn.XFFunctions.XFGetCell("True","Consol", $B60,"Tot_Entity","Aggregated",F$2,F$3,F$4,$C60,"TopFlow","Top","Top","Tot_Los","TOT_IP_Gero","TOP3",$A60,"Top5","Top6","Reported","Top8")</f>
        <v>0</v>
      </c>
      <c r="G60" s="21">
        <f t="shared" si="21"/>
        <v>0</v>
      </c>
      <c r="M60" s="15">
        <f>_xll.OneStreamExcelAddIn.XFFunctions.XFGetCell("True","Consol", $B60,"Tot_Entity","USD",M$2,M$3,M$4,$C60,"TopFlow","Top","Top","Tot_Los","TOT_IP_Gero","Tot_FC",$A60,"Top5","Top6","Reported","Top8")</f>
        <v>0</v>
      </c>
      <c r="N60" s="15">
        <f>_xll.OneStreamExcelAddIn.XFFunctions.XFGetCell("True","Consol", $B60,"Tot_Entity","USD",N$2,N$3,N$4,$C60,"TopFlow","Top","Top","Tot_Los","TOT_IP_Gero","Tot_FC",$A60,"Top5","Top6","Reported","Top8")</f>
        <v>0</v>
      </c>
      <c r="O60" s="21">
        <f t="shared" si="22"/>
        <v>0</v>
      </c>
      <c r="Q60" s="21"/>
      <c r="R60" s="21"/>
      <c r="T60" s="21"/>
      <c r="V60" s="15">
        <f>_xll.OneStreamExcelAddIn.XFFunctions.XFGetCell("True","Consol", $B60,"Tot_Entity","USD",V$2,V$3,V$4,$C60,"TopFlow","Top","Top","Tot_Los","TOT_IP_Gero","Tot_FC",$A60,"Top5","Top6","Reported","Top8")</f>
        <v>0</v>
      </c>
      <c r="W60" s="15">
        <f>_xll.OneStreamExcelAddIn.XFFunctions.XFGetCell("True","Consol", $B60,"Tot_Entity","Aggregated",W$2,W$3,W$4,$C60,"TopFlow","Top","Top","Tot_Los","TOT_IP_Gero","TOP3",$A60,"Top5","Top6","Reported","Top8")</f>
        <v>0</v>
      </c>
      <c r="X60" s="21">
        <f t="shared" si="23"/>
        <v>0</v>
      </c>
      <c r="AD60" s="15">
        <f>_xll.OneStreamExcelAddIn.XFFunctions.XFGetCell("True","Consol", $B60,"Tot_Entity","USD",AD$2,AD$3,AD$4,$C60,"TopFlow","Top","Top","Tot_Los","TOT_IP_Gero","Tot_FC",$A60,"Top5","Top6","Reported","Top8")</f>
        <v>0</v>
      </c>
      <c r="AE60" s="15">
        <f>_xll.OneStreamExcelAddIn.XFFunctions.XFGetCell("True","Consol", $B60,"Tot_Entity","USD",AE$2,AE$3,AE$4,$C60,"TopFlow","Top","Top","Tot_Los","TOT_IP_Gero","Tot_FC",$A60,"Top5","Top6","Reported","Top8")</f>
        <v>0</v>
      </c>
      <c r="AF60" s="21">
        <f t="shared" si="24"/>
        <v>0</v>
      </c>
      <c r="AL60" s="15">
        <f>_xll.OneStreamExcelAddIn.XFFunctions.XFGetCell("True","Consol", $B60,"Tot_Entity","USD",AL$2,AL$3,AL$4,$C60,"TopFlow","Top","Top","Tot_Los","TOT_IP_Gero","Tot_FC",$A60,"Top5","Top6","Reported","Top8")</f>
        <v>0</v>
      </c>
      <c r="AM60" s="15">
        <f>_xll.OneStreamExcelAddIn.XFFunctions.XFGetCell("True","Consol", $B60,"Tot_Entity","USD",AM$2,AM$3,AM$4,$C60,"TopFlow","Top","Top","Tot_Los","TOT_IP_Gero","Tot_FC",$A60,"Top5","Top6","Reported","Top8")</f>
        <v>0</v>
      </c>
      <c r="AN60" s="21">
        <f t="shared" si="25"/>
        <v>0</v>
      </c>
      <c r="AT60" s="15">
        <f>_xll.OneStreamExcelAddIn.XFFunctions.XFGetCell("True","Consol", $B60,"Tot_Entity","USD",AT$2,AT$3,AT$4,$C60,"TopFlow","Top","Top","Tot_Los","TOT_IP_Gero","Tot_FC",$A60,"Top5","Top6","Reported","Top8")</f>
        <v>0</v>
      </c>
      <c r="AU60" s="15">
        <f>_xll.OneStreamExcelAddIn.XFFunctions.XFGetCell("True","Consol", $B60,"Tot_Entity","USD",AU$2,AU$3,AU$4,$C60,"TopFlow","Top","Top","Tot_Los","TOT_IP_Gero","Tot_FC",$A60,"Top5","Top6","Reported","Top8")</f>
        <v>0</v>
      </c>
      <c r="AV60" s="162">
        <f t="shared" si="26"/>
        <v>0</v>
      </c>
    </row>
    <row r="61" spans="1:48" x14ac:dyDescent="0.2">
      <c r="A61" s="16" t="str">
        <f t="shared" si="19"/>
        <v>Acute_DIV1</v>
      </c>
      <c r="B61" s="15">
        <f t="shared" si="20"/>
        <v>127</v>
      </c>
      <c r="C61" s="14" t="s">
        <v>130</v>
      </c>
      <c r="D61" s="14" t="s">
        <v>119</v>
      </c>
      <c r="E61" s="15">
        <f>_xll.OneStreamExcelAddIn.XFFunctions.XFGetCell("True","Consol", $B61,"Tot_Entity","USD",E$2,E$3,E$4,$C61,"TopFlow","Top","Top","Tot_Los","TOT_IP_PRTF","Tot_FC",$A61,"Top5","Top6","Reported","Top8")</f>
        <v>0</v>
      </c>
      <c r="F61" s="15">
        <f>_xll.OneStreamExcelAddIn.XFFunctions.XFGetCell("True","Consol", $B61,"Tot_Entity","Aggregated",F$2,F$3,F$4,$C61,"TopFlow","Top","Top","Tot_Los","TOT_IP_PRTF","TOP3",$A61,"Top5","Top6","Reported","Top8")</f>
        <v>0</v>
      </c>
      <c r="G61" s="21">
        <f>+E61-F61</f>
        <v>0</v>
      </c>
      <c r="M61" s="15">
        <f>_xll.OneStreamExcelAddIn.XFFunctions.XFGetCell("True","Consol", $B61,"Tot_Entity","USD",M$2,M$3,M$4,$C61,"TopFlow","Top","Top","Tot_Los","TOT_IP_PRTF","Tot_FC",$A61,"Top5","Top6","Reported","Top8")</f>
        <v>0</v>
      </c>
      <c r="N61" s="15">
        <f>_xll.OneStreamExcelAddIn.XFFunctions.XFGetCell("True","Consol", $B61,"Tot_Entity","USD",N$2,N$3,N$4,$C61,"TopFlow","Top","Top","Tot_Los","TOT_IP_PRTF","Tot_FC",$A61,"Top5","Top6","Reported","Top8")</f>
        <v>0</v>
      </c>
      <c r="O61" s="21">
        <f t="shared" si="22"/>
        <v>0</v>
      </c>
      <c r="Q61" s="21"/>
      <c r="R61" s="21"/>
      <c r="T61" s="21"/>
      <c r="V61" s="15">
        <f>_xll.OneStreamExcelAddIn.XFFunctions.XFGetCell("True","Consol", $B61,"Tot_Entity","USD",V$2,V$3,V$4,$C61,"TopFlow","Top","Top","Tot_Los","TOT_IP_PRTF","Tot_FC",$A61,"Top5","Top6","Reported","Top8")</f>
        <v>0</v>
      </c>
      <c r="W61" s="15">
        <f>_xll.OneStreamExcelAddIn.XFFunctions.XFGetCell("True","Consol", $B61,"Tot_Entity","Aggregated",W$2,W$3,W$4,$C61,"TopFlow","Top","Top","Tot_Los","TOT_IP_PRTF","TOP3",$A61,"Top5","Top6","Reported","Top8")</f>
        <v>0</v>
      </c>
      <c r="X61" s="21">
        <f>+V61-W61</f>
        <v>0</v>
      </c>
      <c r="AD61" s="15">
        <f>_xll.OneStreamExcelAddIn.XFFunctions.XFGetCell("True","Consol", $B61,"Tot_Entity","USD",AD$2,AD$3,AD$4,$C61,"TopFlow","Top","Top","Tot_Los","TOT_IP_PRTF","Tot_FC",$A61,"Top5","Top6","Reported","Top8")</f>
        <v>0</v>
      </c>
      <c r="AE61" s="15">
        <f>_xll.OneStreamExcelAddIn.XFFunctions.XFGetCell("True","Consol", $B61,"Tot_Entity","USD",AE$2,AE$3,AE$4,$C61,"TopFlow","Top","Top","Tot_Los","TOT_IP_PRTF","Tot_FC",$A61,"Top5","Top6","Reported","Top8")</f>
        <v>22.1</v>
      </c>
      <c r="AF61" s="21">
        <f>+AD61-AE61</f>
        <v>-22.1</v>
      </c>
      <c r="AL61" s="15">
        <f>_xll.OneStreamExcelAddIn.XFFunctions.XFGetCell("True","Consol", $B61,"Tot_Entity","USD",AL$2,AL$3,AL$4,$C61,"TopFlow","Top","Top","Tot_Los","TOT_IP_PRTF","Tot_FC",$A61,"Top5","Top6","Reported","Top8")</f>
        <v>0</v>
      </c>
      <c r="AM61" s="15">
        <f>_xll.OneStreamExcelAddIn.XFFunctions.XFGetCell("True","Consol", $B61,"Tot_Entity","USD",AM$2,AM$3,AM$4,$C61,"TopFlow","Top","Top","Tot_Los","TOT_IP_PRTF","Tot_FC",$A61,"Top5","Top6","Reported","Top8")</f>
        <v>18.491666666666699</v>
      </c>
      <c r="AN61" s="21">
        <f>+AL61-AM61</f>
        <v>-18.491666666666699</v>
      </c>
      <c r="AT61" s="15">
        <f>_xll.OneStreamExcelAddIn.XFFunctions.XFGetCell("True","Consol", $B61,"Tot_Entity","USD",AT$2,AT$3,AT$4,$C61,"TopFlow","Top","Top","Tot_Los","TOT_IP_PRTF","Tot_FC",$A61,"Top5","Top6","Reported","Top8")</f>
        <v>0</v>
      </c>
      <c r="AU61" s="15">
        <f>_xll.OneStreamExcelAddIn.XFFunctions.XFGetCell("True","Consol", $B61,"Tot_Entity","USD",AU$2,AU$3,AU$4,$C61,"TopFlow","Top","Top","Tot_Los","TOT_IP_PRTF","Tot_FC",$A61,"Top5","Top6","Reported","Top8")</f>
        <v>0</v>
      </c>
      <c r="AV61" s="162">
        <f>+AT61-AU61</f>
        <v>0</v>
      </c>
    </row>
    <row r="62" spans="1:48" x14ac:dyDescent="0.2">
      <c r="A62" s="16" t="str">
        <f t="shared" si="19"/>
        <v>Acute_DIV1</v>
      </c>
      <c r="B62" s="15">
        <f t="shared" si="20"/>
        <v>127</v>
      </c>
      <c r="C62" s="14" t="s">
        <v>130</v>
      </c>
      <c r="D62" s="14" t="s">
        <v>120</v>
      </c>
      <c r="E62" s="15">
        <f>_xll.OneStreamExcelAddIn.XFFunctions.XFGetCell("True","Consol", $B62,"Tot_Entity","USD",E$2,E$3,E$4,$C62,"TopFlow","Top","Top","Tot_Los","TOT_IP_Detox","Tot_FC",$A62,"Top5","Top6","Reported","Top8")</f>
        <v>3.3666666666666698</v>
      </c>
      <c r="F62" s="15">
        <f>_xll.OneStreamExcelAddIn.XFFunctions.XFGetCell("True","Consol", $B62,"Tot_Entity","Aggregated",F$2,F$3,F$4,$C62,"TopFlow","Top","Top","Tot_Los","TOT_IP_Detox","TOP3",$A62,"Top5","Top6","Reported","Top8")</f>
        <v>4.8333333333333304</v>
      </c>
      <c r="G62" s="21">
        <f>+E62-F62</f>
        <v>-1.4666666666666606</v>
      </c>
      <c r="M62" s="15">
        <f>_xll.OneStreamExcelAddIn.XFFunctions.XFGetCell("True","Consol", $B62,"Tot_Entity","USD",M$2,M$3,M$4,$C62,"TopFlow","Top","Top","Tot_Los","TOT_IP_Detox","Tot_FC",$A62,"Top5","Top6","Reported","Top8")</f>
        <v>3.3666666666666698</v>
      </c>
      <c r="N62" s="15">
        <f>_xll.OneStreamExcelAddIn.XFFunctions.XFGetCell("True","Consol", $B62,"Tot_Entity","USD",N$2,N$3,N$4,$C62,"TopFlow","Top","Top","Tot_Los","TOT_IP_Detox","Tot_FC",$A62,"Top5","Top6","Reported","Top8")</f>
        <v>4.0967741935483897</v>
      </c>
      <c r="O62" s="21">
        <f t="shared" si="22"/>
        <v>-0.73010752688171987</v>
      </c>
      <c r="Q62" s="21"/>
      <c r="R62" s="21"/>
      <c r="T62" s="21"/>
      <c r="V62" s="15">
        <f>_xll.OneStreamExcelAddIn.XFFunctions.XFGetCell("True","Consol", $B62,"Tot_Entity","USD",V$2,V$3,V$4,$C62,"TopFlow","Top","Top","Tot_Los","TOT_IP_Detox","Tot_FC",$A62,"Top5","Top6","Reported","Top8")</f>
        <v>3.9</v>
      </c>
      <c r="W62" s="15">
        <f>_xll.OneStreamExcelAddIn.XFFunctions.XFGetCell("True","Consol", $B62,"Tot_Entity","Aggregated",W$2,W$3,W$4,$C62,"TopFlow","Top","Top","Tot_Los","TOT_IP_Detox","TOP3",$A62,"Top5","Top6","Reported","Top8")</f>
        <v>4.3916666666666702</v>
      </c>
      <c r="X62" s="21">
        <f>+V62-W62</f>
        <v>-0.49166666666667025</v>
      </c>
      <c r="AD62" s="15">
        <f>_xll.OneStreamExcelAddIn.XFFunctions.XFGetCell("True","Consol", $B62,"Tot_Entity","USD",AD$2,AD$3,AD$4,$C62,"TopFlow","Top","Top","Tot_Los","TOT_IP_Detox","Tot_FC",$A62,"Top5","Top6","Reported","Top8")</f>
        <v>3.3666666666666698</v>
      </c>
      <c r="AE62" s="15">
        <f>_xll.OneStreamExcelAddIn.XFFunctions.XFGetCell("True","Consol", $B62,"Tot_Entity","USD",AE$2,AE$3,AE$4,$C62,"TopFlow","Top","Top","Tot_Los","TOT_IP_Detox","Tot_FC",$A62,"Top5","Top6","Reported","Top8")</f>
        <v>4.43333333333333</v>
      </c>
      <c r="AF62" s="21">
        <f>+AD62-AE62</f>
        <v>-1.0666666666666602</v>
      </c>
      <c r="AL62" s="15">
        <f>_xll.OneStreamExcelAddIn.XFFunctions.XFGetCell("True","Consol", $B62,"Tot_Entity","USD",AL$2,AL$3,AL$4,$C62,"TopFlow","Top","Top","Tot_Los","TOT_IP_Detox","Tot_FC",$A62,"Top5","Top6","Reported","Top8")</f>
        <v>3.9</v>
      </c>
      <c r="AM62" s="15">
        <f>_xll.OneStreamExcelAddIn.XFFunctions.XFGetCell("True","Consol", $B62,"Tot_Entity","USD",AM$2,AM$3,AM$4,$C62,"TopFlow","Top","Top","Tot_Los","TOT_IP_Detox","Tot_FC",$A62,"Top5","Top6","Reported","Top8")</f>
        <v>4</v>
      </c>
      <c r="AN62" s="21">
        <f>+AL62-AM62</f>
        <v>-0.10000000000000009</v>
      </c>
      <c r="AT62" s="15">
        <f>_xll.OneStreamExcelAddIn.XFFunctions.XFGetCell("True","Consol", $B62,"Tot_Entity","USD",AT$2,AT$3,AT$4,$C62,"TopFlow","Top","Top","Tot_Los","TOT_IP_Detox","Tot_FC",$A62,"Top5","Top6","Reported","Top8")</f>
        <v>0</v>
      </c>
      <c r="AU62" s="15">
        <f>_xll.OneStreamExcelAddIn.XFFunctions.XFGetCell("True","Consol", $B62,"Tot_Entity","USD",AU$2,AU$3,AU$4,$C62,"TopFlow","Top","Top","Tot_Los","TOT_IP_Detox","Tot_FC",$A62,"Top5","Top6","Reported","Top8")</f>
        <v>4.8333333333333304</v>
      </c>
      <c r="AV62" s="162">
        <f>+AT62-AU62</f>
        <v>-4.8333333333333304</v>
      </c>
    </row>
    <row r="63" spans="1:48" x14ac:dyDescent="0.2">
      <c r="A63" s="16" t="str">
        <f t="shared" si="19"/>
        <v>Acute_DIV1</v>
      </c>
      <c r="B63" s="15">
        <f t="shared" si="20"/>
        <v>127</v>
      </c>
      <c r="C63" s="14" t="s">
        <v>130</v>
      </c>
      <c r="D63" s="14" t="s">
        <v>121</v>
      </c>
      <c r="E63" s="15">
        <f>_xll.OneStreamExcelAddIn.XFFunctions.XFGetCell("True","Consol", $B63,"Tot_Entity","USD",E$2,E$3,E$4,$C63,"TopFlow","Top","Top","Tot_Los","TOT_IP_RTC","Tot_FC",$A63,"Top5","Top6","Reported","Top8")</f>
        <v>0</v>
      </c>
      <c r="F63" s="15">
        <f>_xll.OneStreamExcelAddIn.XFFunctions.XFGetCell("True","Consol", $B63,"Tot_Entity","Aggregated",F$2,F$3,F$4,$C63,"TopFlow","Top","Top","Tot_Los","TOT_IP_RTC","TOP3",$A63,"Top5","Top6","Reported","Top8")</f>
        <v>0</v>
      </c>
      <c r="G63" s="21">
        <f>+E63-F63</f>
        <v>0</v>
      </c>
      <c r="M63" s="15">
        <f>_xll.OneStreamExcelAddIn.XFFunctions.XFGetCell("True","Consol", $B63,"Tot_Entity","USD",M$2,M$3,M$4,$C63,"TopFlow","Top","Top","Tot_Los","TOT_IP_RTC","Tot_FC",$A63,"Top5","Top6","Reported","Top8")</f>
        <v>0</v>
      </c>
      <c r="N63" s="15">
        <f>_xll.OneStreamExcelAddIn.XFFunctions.XFGetCell("True","Consol", $B63,"Tot_Entity","USD",N$2,N$3,N$4,$C63,"TopFlow","Top","Top","Tot_Los","TOT_IP_RTC","Tot_FC",$A63,"Top5","Top6","Reported","Top8")</f>
        <v>0</v>
      </c>
      <c r="O63" s="21">
        <f t="shared" si="22"/>
        <v>0</v>
      </c>
      <c r="Q63" s="21"/>
      <c r="R63" s="21"/>
      <c r="T63" s="21"/>
      <c r="V63" s="15">
        <f>_xll.OneStreamExcelAddIn.XFFunctions.XFGetCell("True","Consol", $B63,"Tot_Entity","USD",V$2,V$3,V$4,$C63,"TopFlow","Top","Top","Tot_Los","TOT_IP_RTC","Tot_FC",$A63,"Top5","Top6","Reported","Top8")</f>
        <v>0</v>
      </c>
      <c r="W63" s="15">
        <f>_xll.OneStreamExcelAddIn.XFFunctions.XFGetCell("True","Consol", $B63,"Tot_Entity","Aggregated",W$2,W$3,W$4,$C63,"TopFlow","Top","Top","Tot_Los","TOT_IP_RTC","TOP3",$A63,"Top5","Top6","Reported","Top8")</f>
        <v>0</v>
      </c>
      <c r="X63" s="21">
        <f>+V63-W63</f>
        <v>0</v>
      </c>
      <c r="AD63" s="15">
        <f>_xll.OneStreamExcelAddIn.XFFunctions.XFGetCell("True","Consol", $B63,"Tot_Entity","USD",AD$2,AD$3,AD$4,$C63,"TopFlow","Top","Top","Tot_Los","TOT_IP_RTC","Tot_FC",$A63,"Top5","Top6","Reported","Top8")</f>
        <v>0</v>
      </c>
      <c r="AE63" s="15">
        <f>_xll.OneStreamExcelAddIn.XFFunctions.XFGetCell("True","Consol", $B63,"Tot_Entity","USD",AE$2,AE$3,AE$4,$C63,"TopFlow","Top","Top","Tot_Los","TOT_IP_RTC","Tot_FC",$A63,"Top5","Top6","Reported","Top8")</f>
        <v>0</v>
      </c>
      <c r="AF63" s="21">
        <f>+AD63-AE63</f>
        <v>0</v>
      </c>
      <c r="AL63" s="15">
        <f>_xll.OneStreamExcelAddIn.XFFunctions.XFGetCell("True","Consol", $B63,"Tot_Entity","USD",AL$2,AL$3,AL$4,$C63,"TopFlow","Top","Top","Tot_Los","TOT_IP_RTC","Tot_FC",$A63,"Top5","Top6","Reported","Top8")</f>
        <v>0</v>
      </c>
      <c r="AM63" s="15">
        <f>_xll.OneStreamExcelAddIn.XFFunctions.XFGetCell("True","Consol", $B63,"Tot_Entity","USD",AM$2,AM$3,AM$4,$C63,"TopFlow","Top","Top","Tot_Los","TOT_IP_RTC","Tot_FC",$A63,"Top5","Top6","Reported","Top8")</f>
        <v>0</v>
      </c>
      <c r="AN63" s="21">
        <f>+AL63-AM63</f>
        <v>0</v>
      </c>
      <c r="AT63" s="15">
        <f>_xll.OneStreamExcelAddIn.XFFunctions.XFGetCell("True","Consol", $B63,"Tot_Entity","USD",AT$2,AT$3,AT$4,$C63,"TopFlow","Top","Top","Tot_Los","TOT_IP_RTC","Tot_FC",$A63,"Top5","Top6","Reported","Top8")</f>
        <v>0</v>
      </c>
      <c r="AU63" s="15">
        <f>_xll.OneStreamExcelAddIn.XFFunctions.XFGetCell("True","Consol", $B63,"Tot_Entity","USD",AU$2,AU$3,AU$4,$C63,"TopFlow","Top","Top","Tot_Los","TOT_IP_RTC","Tot_FC",$A63,"Top5","Top6","Reported","Top8")</f>
        <v>0</v>
      </c>
      <c r="AV63" s="162">
        <f>+AT63-AU63</f>
        <v>0</v>
      </c>
    </row>
    <row r="64" spans="1:48" x14ac:dyDescent="0.2">
      <c r="A64" s="16" t="str">
        <f t="shared" si="19"/>
        <v>Acute_DIV1</v>
      </c>
      <c r="B64" s="15">
        <f t="shared" si="20"/>
        <v>127</v>
      </c>
      <c r="C64" s="14" t="s">
        <v>130</v>
      </c>
      <c r="D64" s="14" t="s">
        <v>122</v>
      </c>
      <c r="E64" s="15">
        <f>_xll.OneStreamExcelAddIn.XFFunctions.XFGetCell("True","Consol", $B64,"Tot_Entity","USD",E$2,E$3,E$4,$C64,"TopFlow","Top","Top","Tot_Los",1320,"Tot_FC",$A64,"Top5","Top6","Reported","Top8")</f>
        <v>0</v>
      </c>
      <c r="F64" s="15">
        <f>_xll.OneStreamExcelAddIn.XFFunctions.XFGetCell("True","Consol", $B64,"Tot_Entity","Aggregated",F$2,F$3,F$4,$C64,"TopFlow","Top","Top","Tot_Los",1320,"TOP3",$A64,"Top5","Top6","Reported","Top8")</f>
        <v>0</v>
      </c>
      <c r="G64" s="21">
        <f>+E64-F64</f>
        <v>0</v>
      </c>
      <c r="M64" s="15">
        <f>_xll.OneStreamExcelAddIn.XFFunctions.XFGetCell("True","Consol", $B64,"Tot_Entity","USD",M$2,M$3,M$4,$C64,"TopFlow","Top","Top","Tot_Los",1320,"Tot_FC",$A64,"Top5","Top6","Reported","Top8")</f>
        <v>0</v>
      </c>
      <c r="N64" s="15">
        <f>_xll.OneStreamExcelAddIn.XFFunctions.XFGetCell("True","Consol", $B64,"Tot_Entity","USD",N$2,N$3,N$4,$C64,"TopFlow","Top","Top","Tot_Los",1320,"Tot_FC",$A64,"Top5","Top6","Reported","Top8")</f>
        <v>0</v>
      </c>
      <c r="O64" s="21">
        <f t="shared" si="22"/>
        <v>0</v>
      </c>
      <c r="Q64" s="21"/>
      <c r="R64" s="21"/>
      <c r="T64" s="21"/>
      <c r="V64" s="15">
        <f>_xll.OneStreamExcelAddIn.XFFunctions.XFGetCell("True","Consol", $B64,"Tot_Entity","USD",V$2,V$3,V$4,$C64,"TopFlow","Top","Top","Tot_Los",1320,"Tot_FC",$A64,"Top5","Top6","Reported","Top8")</f>
        <v>0</v>
      </c>
      <c r="W64" s="15">
        <f>_xll.OneStreamExcelAddIn.XFFunctions.XFGetCell("True","Consol", $B64,"Tot_Entity","Aggregated",W$2,W$3,W$4,$C64,"TopFlow","Top","Top","Tot_Los",1320,"TOP3",$A64,"Top5","Top6","Reported","Top8")</f>
        <v>0</v>
      </c>
      <c r="X64" s="21">
        <f>+V64-W64</f>
        <v>0</v>
      </c>
      <c r="AD64" s="15">
        <f>_xll.OneStreamExcelAddIn.XFFunctions.XFGetCell("True","Consol", $B64,"Tot_Entity","USD",AD$2,AD$3,AD$4,$C64,"TopFlow","Top","Top","Tot_Los",1320,"Tot_FC",$A64,"Top5","Top6","Reported","Top8")</f>
        <v>0</v>
      </c>
      <c r="AE64" s="15">
        <f>_xll.OneStreamExcelAddIn.XFFunctions.XFGetCell("True","Consol", $B64,"Tot_Entity","USD",AE$2,AE$3,AE$4,$C64,"TopFlow","Top","Top","Tot_Los",1320,"Tot_FC",$A64,"Top5","Top6","Reported","Top8")</f>
        <v>0</v>
      </c>
      <c r="AF64" s="21">
        <f>+AD64-AE64</f>
        <v>0</v>
      </c>
      <c r="AL64" s="15">
        <f>_xll.OneStreamExcelAddIn.XFFunctions.XFGetCell("True","Consol", $B64,"Tot_Entity","USD",AL$2,AL$3,AL$4,$C64,"TopFlow","Top","Top","Tot_Los",1320,"Tot_FC",$A64,"Top5","Top6","Reported","Top8")</f>
        <v>0</v>
      </c>
      <c r="AM64" s="15">
        <f>_xll.OneStreamExcelAddIn.XFFunctions.XFGetCell("True","Consol", $B64,"Tot_Entity","USD",AM$2,AM$3,AM$4,$C64,"TopFlow","Top","Top","Tot_Los",1320,"Tot_FC",$A64,"Top5","Top6","Reported","Top8")</f>
        <v>0</v>
      </c>
      <c r="AN64" s="21">
        <f>+AL64-AM64</f>
        <v>0</v>
      </c>
      <c r="AT64" s="15">
        <f>_xll.OneStreamExcelAddIn.XFFunctions.XFGetCell("True","Consol", $B64,"Tot_Entity","USD",AT$2,AT$3,AT$4,$C64,"TopFlow","Top","Top","Tot_Los",1320,"Tot_FC",$A64,"Top5","Top6","Reported","Top8")</f>
        <v>0</v>
      </c>
      <c r="AU64" s="15">
        <f>_xll.OneStreamExcelAddIn.XFFunctions.XFGetCell("True","Consol", $B64,"Tot_Entity","USD",AU$2,AU$3,AU$4,$C64,"TopFlow","Top","Top","Tot_Los",1320,"Tot_FC",$A64,"Top5","Top6","Reported","Top8")</f>
        <v>0</v>
      </c>
      <c r="AV64" s="162">
        <f>+AT64-AU64</f>
        <v>0</v>
      </c>
    </row>
    <row r="65" spans="1:52" x14ac:dyDescent="0.2">
      <c r="A65" s="16" t="str">
        <f t="shared" si="19"/>
        <v>Acute_DIV1</v>
      </c>
      <c r="B65" s="15">
        <f t="shared" si="20"/>
        <v>127</v>
      </c>
      <c r="C65" s="14" t="s">
        <v>130</v>
      </c>
      <c r="D65" s="14" t="s">
        <v>123</v>
      </c>
      <c r="E65" s="15">
        <f>_xll.OneStreamExcelAddIn.XFFunctions.XFGetCell("True","Consol", $B65,"Tot_Entity","USD",E$2,E$3,E$4,$C65,"TopFlow","Top","Top","Tot_Los",1330,"Tot_FC",$A65,"Top5","Top6","Reported","Top8")</f>
        <v>0</v>
      </c>
      <c r="F65" s="15">
        <f>_xll.OneStreamExcelAddIn.XFFunctions.XFGetCell("True","Consol", $B65,"Tot_Entity","Aggregated",F$2,F$3,F$4,$C65,"TopFlow","Top","Top","Tot_Los",1330,"TOP3",$A65,"Top5","Top6","Reported","Top8")</f>
        <v>0</v>
      </c>
      <c r="G65" s="21">
        <f>+E65-F65</f>
        <v>0</v>
      </c>
      <c r="M65" s="15">
        <f>_xll.OneStreamExcelAddIn.XFFunctions.XFGetCell("True","Consol", $B65,"Tot_Entity","USD",M$2,M$3,M$4,$C65,"TopFlow","Top","Top","Tot_Los",1330,"Tot_FC",$A65,"Top5","Top6","Reported","Top8")</f>
        <v>0</v>
      </c>
      <c r="N65" s="15">
        <f>_xll.OneStreamExcelAddIn.XFFunctions.XFGetCell("True","Consol", $B65,"Tot_Entity","USD",N$2,N$3,N$4,$C65,"TopFlow","Top","Top","Tot_Los",1330,"Tot_FC",$A65,"Top5","Top6","Reported","Top8")</f>
        <v>0</v>
      </c>
      <c r="O65" s="21">
        <f t="shared" si="22"/>
        <v>0</v>
      </c>
      <c r="Q65" s="21"/>
      <c r="R65" s="21"/>
      <c r="T65" s="21"/>
      <c r="V65" s="15">
        <f>_xll.OneStreamExcelAddIn.XFFunctions.XFGetCell("True","Consol", $B65,"Tot_Entity","USD",V$2,V$3,V$4,$C65,"TopFlow","Top","Top","Tot_Los",1330,"Tot_FC",$A65,"Top5","Top6","Reported","Top8")</f>
        <v>0</v>
      </c>
      <c r="W65" s="15">
        <f>_xll.OneStreamExcelAddIn.XFFunctions.XFGetCell("True","Consol", $B65,"Tot_Entity","Aggregated",W$2,W$3,W$4,$C65,"TopFlow","Top","Top","Tot_Los",1330,"TOP3",$A65,"Top5","Top6","Reported","Top8")</f>
        <v>0</v>
      </c>
      <c r="X65" s="21">
        <f>+V65-W65</f>
        <v>0</v>
      </c>
      <c r="AD65" s="15">
        <f>_xll.OneStreamExcelAddIn.XFFunctions.XFGetCell("True","Consol", $B65,"Tot_Entity","USD",AD$2,AD$3,AD$4,$C65,"TopFlow","Top","Top","Tot_Los",1330,"Tot_FC",$A65,"Top5","Top6","Reported","Top8")</f>
        <v>0</v>
      </c>
      <c r="AE65" s="15">
        <f>_xll.OneStreamExcelAddIn.XFFunctions.XFGetCell("True","Consol", $B65,"Tot_Entity","USD",AE$2,AE$3,AE$4,$C65,"TopFlow","Top","Top","Tot_Los",1330,"Tot_FC",$A65,"Top5","Top6","Reported","Top8")</f>
        <v>0</v>
      </c>
      <c r="AF65" s="21">
        <f>+AD65-AE65</f>
        <v>0</v>
      </c>
      <c r="AL65" s="15">
        <f>_xll.OneStreamExcelAddIn.XFFunctions.XFGetCell("True","Consol", $B65,"Tot_Entity","USD",AL$2,AL$3,AL$4,$C65,"TopFlow","Top","Top","Tot_Los",1330,"Tot_FC",$A65,"Top5","Top6","Reported","Top8")</f>
        <v>0</v>
      </c>
      <c r="AM65" s="15">
        <f>_xll.OneStreamExcelAddIn.XFFunctions.XFGetCell("True","Consol", $B65,"Tot_Entity","USD",AM$2,AM$3,AM$4,$C65,"TopFlow","Top","Top","Tot_Los",1330,"Tot_FC",$A65,"Top5","Top6","Reported","Top8")</f>
        <v>0</v>
      </c>
      <c r="AN65" s="21">
        <f>+AL65-AM65</f>
        <v>0</v>
      </c>
      <c r="AT65" s="15">
        <f>_xll.OneStreamExcelAddIn.XFFunctions.XFGetCell("True","Consol", $B65,"Tot_Entity","USD",AT$2,AT$3,AT$4,$C65,"TopFlow","Top","Top","Tot_Los",1330,"Tot_FC",$A65,"Top5","Top6","Reported","Top8")</f>
        <v>0</v>
      </c>
      <c r="AU65" s="15">
        <f>_xll.OneStreamExcelAddIn.XFFunctions.XFGetCell("True","Consol", $B65,"Tot_Entity","USD",AU$2,AU$3,AU$4,$C65,"TopFlow","Top","Top","Tot_Los",1330,"Tot_FC",$A65,"Top5","Top6","Reported","Top8")</f>
        <v>0</v>
      </c>
      <c r="AV65" s="162">
        <f>+AT65-AU65</f>
        <v>0</v>
      </c>
    </row>
    <row r="66" spans="1:52" hidden="1" outlineLevel="1" x14ac:dyDescent="0.2">
      <c r="B66" s="46"/>
      <c r="E66" s="1" t="b">
        <f>E33=SUM(E55:E65)</f>
        <v>1</v>
      </c>
      <c r="F66" s="1" t="b">
        <f>F33=SUM(F55:F65)</f>
        <v>1</v>
      </c>
      <c r="M66" s="1" t="b">
        <f>M33=SUM(M55:M65)</f>
        <v>1</v>
      </c>
      <c r="N66" s="1" t="b">
        <f>N33=SUM(N55:N65)</f>
        <v>1</v>
      </c>
      <c r="V66" s="1" t="b">
        <f>V33=SUM(V55:V65)</f>
        <v>1</v>
      </c>
      <c r="W66" s="1" t="b">
        <f>W33=SUM(W55:W65)</f>
        <v>1</v>
      </c>
      <c r="AD66" s="1" t="b">
        <f>AD33=SUM(AD55:AD65)</f>
        <v>1</v>
      </c>
      <c r="AE66" s="1" t="b">
        <f>AE33=SUM(AE55:AE65)</f>
        <v>1</v>
      </c>
      <c r="AL66" s="1" t="b">
        <f>AL33=SUM(AL55:AL65)</f>
        <v>1</v>
      </c>
      <c r="AM66" s="1" t="b">
        <f>AM33=SUM(AM55:AM65)</f>
        <v>1</v>
      </c>
      <c r="AT66" s="1" t="b">
        <f>AT33=SUM(AT55:AT65)</f>
        <v>1</v>
      </c>
      <c r="AU66" s="1" t="b">
        <f>AU33=SUM(AU55:AU65)</f>
        <v>1</v>
      </c>
    </row>
    <row r="67" spans="1:52" collapsed="1" x14ac:dyDescent="0.2">
      <c r="B67" s="46"/>
    </row>
    <row r="68" spans="1:52" x14ac:dyDescent="0.2">
      <c r="A68" s="16" t="str">
        <f>+$A$8</f>
        <v>Acute_DIV1</v>
      </c>
      <c r="B68" s="15">
        <f>+$B$8</f>
        <v>127</v>
      </c>
      <c r="C68" s="14" t="s">
        <v>137</v>
      </c>
      <c r="D68" s="14" t="s">
        <v>138</v>
      </c>
      <c r="E68" s="15">
        <f>_xll.OneStreamExcelAddIn.XFFunctions.XFGetCell("True","Consol", $B68,"Tot_Entity","USD",E$2,E$3,E$4,$C68,"TopFlow","Top","Top","Tot_Los","TOT_Dept_WO_Addbacks","Tot_FC",$A68,"Top5","Top6","Reported","Top8")</f>
        <v>0</v>
      </c>
      <c r="F68" s="15">
        <f>_xll.OneStreamExcelAddIn.XFFunctions.XFGetCell("True","Consol", $B68,"Tot_Entity","Aggregated",F$2,F$3,F$4,$C68,"TopFlow","Top","Top","Tot_Los","TOT_Dept_WO_Addbacks","TOP3",$A68,"Top5","Top6","Reported","Top8")</f>
        <v>0</v>
      </c>
      <c r="G68" s="21">
        <f>+E68-F68</f>
        <v>0</v>
      </c>
      <c r="M68" s="15">
        <f>_xll.OneStreamExcelAddIn.XFFunctions.XFGetCell("True","Consol", $B68,"Tot_Entity","USD",M$2,M$3,M$4,$C68,"TopFlow","Top","Top","Tot_Los","TOT_Dept_WO_Addbacks","Tot_FC",$A68,"Top5","Top6","Reported","Top8")</f>
        <v>0</v>
      </c>
      <c r="N68" s="15">
        <f>_xll.OneStreamExcelAddIn.XFFunctions.XFGetCell("True","Consol", $B68,"Tot_Entity","USD",N$2,N$3,N$4,$C68,"TopFlow","Top","Top","Tot_Los","TOT_Dept_WO_Addbacks","Tot_FC",$A68,"Top5","Top6","Reported","Top8")</f>
        <v>0</v>
      </c>
      <c r="O68" s="21">
        <f>+M68-N68</f>
        <v>0</v>
      </c>
      <c r="Q68" s="21"/>
      <c r="R68" s="21"/>
      <c r="T68" s="21"/>
      <c r="V68" s="15">
        <f>_xll.OneStreamExcelAddIn.XFFunctions.XFGetCell("True","Consol", $B68,"Tot_Entity","USD",V$2,V$3,V$4,$C68,"TopFlow","Top","Top","Tot_Los","TOT_Dept_WO_Addbacks","Tot_FC",$A68,"Top5","Top6","Reported","Top8")</f>
        <v>0</v>
      </c>
      <c r="W68" s="15">
        <f>_xll.OneStreamExcelAddIn.XFFunctions.XFGetCell("True","Consol", $B68,"Tot_Entity","Aggregated",W$2,W$3,W$4,$C68,"TopFlow","Top","Top","Tot_Los","TOT_Dept_WO_Addbacks","TOP3",$A68,"Top5","Top6","Reported","Top8")</f>
        <v>0</v>
      </c>
      <c r="X68" s="21">
        <f>+V68-W68</f>
        <v>0</v>
      </c>
      <c r="AD68" s="15">
        <f>_xll.OneStreamExcelAddIn.XFFunctions.XFGetCell("True","Consol", $B68,"Tot_Entity","USD",AD$2,AD$3,AD$4,$C68,"TopFlow","Top","Top","Tot_Los","TOT_Dept_WO_Addbacks","Tot_FC",$A68,"Top5","Top6","Reported","Top8")</f>
        <v>0</v>
      </c>
      <c r="AE68" s="15">
        <f>_xll.OneStreamExcelAddIn.XFFunctions.XFGetCell("True","Consol", $B68,"Tot_Entity","USD",AE$2,AE$3,AE$4,$C68,"TopFlow","Top","Top","Tot_Los","TOT_Dept_WO_Addbacks","Tot_FC",$A68,"Top5","Top6","Reported","Top8")</f>
        <v>0</v>
      </c>
      <c r="AF68" s="21">
        <f>+AD68-AE68</f>
        <v>0</v>
      </c>
      <c r="AL68" s="15">
        <f>_xll.OneStreamExcelAddIn.XFFunctions.XFGetCell("True","Consol", $B68,"Tot_Entity","USD",AL$2,AL$3,AL$4,$C68,"TopFlow","Top","Top","Tot_Los","TOT_Dept_WO_Addbacks","Tot_FC",$A68,"Top5","Top6","Reported","Top8")</f>
        <v>0</v>
      </c>
      <c r="AM68" s="15">
        <f>_xll.OneStreamExcelAddIn.XFFunctions.XFGetCell("True","Consol", $B68,"Tot_Entity","USD",AM$2,AM$3,AM$4,$C68,"TopFlow","Top","Top","Tot_Los","TOT_Dept_WO_Addbacks","Tot_FC",$A68,"Top5","Top6","Reported","Top8")</f>
        <v>0</v>
      </c>
      <c r="AN68" s="21">
        <f>+AL68-AM68</f>
        <v>0</v>
      </c>
      <c r="AT68" s="15">
        <f>_xll.OneStreamExcelAddIn.XFFunctions.XFGetCell("True","Consol", $B68,"Tot_Entity","USD",AT$2,AT$3,AT$4,$C68,"TopFlow","Top","Top","Tot_Los","TOT_Dept_WO_Addbacks","Tot_FC",$A68,"Top5","Top6","Reported","Top8")</f>
        <v>0</v>
      </c>
      <c r="AU68" s="15">
        <f>_xll.OneStreamExcelAddIn.XFFunctions.XFGetCell("True","Consol", $B68,"Tot_Entity","USD",AU$2,AU$3,AU$4,$C68,"TopFlow","Top","Top","Tot_Los","TOT_Dept_WO_Addbacks","Tot_FC",$A68,"Top5","Top6","Reported","Top8")</f>
        <v>0</v>
      </c>
      <c r="AV68" s="162">
        <f>+AT68-AU68</f>
        <v>0</v>
      </c>
    </row>
    <row r="69" spans="1:52" x14ac:dyDescent="0.2">
      <c r="B69" s="46"/>
    </row>
    <row r="70" spans="1:52" x14ac:dyDescent="0.2">
      <c r="A70" s="16" t="str">
        <f>+$A$8</f>
        <v>Acute_DIV1</v>
      </c>
      <c r="B70" s="15">
        <f>+$B$8</f>
        <v>127</v>
      </c>
      <c r="C70" s="14" t="s">
        <v>137</v>
      </c>
      <c r="D70" s="14" t="s">
        <v>139</v>
      </c>
      <c r="E70" s="15">
        <f>_xll.OneStreamExcelAddIn.XFFunctions.XFGetCell("True","Consol", $B70,"Tot_Entity","USD",E$2,E$3,E$4,$C70,"TopFlow","Top","Top","Tot_Los","Tot_OP_PHP","Tot_FC",$A70,"Top5","Top6","Reported","Top8")</f>
        <v>0</v>
      </c>
      <c r="F70" s="15">
        <f>_xll.OneStreamExcelAddIn.XFFunctions.XFGetCell("True","Consol", $B70,"Tot_Entity","Aggregated",F$2,F$3,F$4,$C70,"TopFlow","Top","Top","Tot_Los","Tot_OP_PHP","TOP3",$A70,"Top5","Top6","Reported","Top8")</f>
        <v>0</v>
      </c>
      <c r="G70" s="21">
        <f>+E70-F70</f>
        <v>0</v>
      </c>
      <c r="M70" s="15">
        <f>_xll.OneStreamExcelAddIn.XFFunctions.XFGetCell("True","Consol", $B70,"Tot_Entity","USD",M$2,M$3,M$4,$C70,"TopFlow","Top","Top","Tot_Los","Tot_OP_PHP","Tot_FC",$A70,"Top5","Top6","Reported","Top8")</f>
        <v>0</v>
      </c>
      <c r="N70" s="15">
        <f>_xll.OneStreamExcelAddIn.XFFunctions.XFGetCell("True","Consol", $B70,"Tot_Entity","USD",N$2,N$3,N$4,$C70,"TopFlow","Top","Top","Tot_Los","Tot_OP_PHP","Tot_FC",$A70,"Top5","Top6","Reported","Top8")</f>
        <v>0</v>
      </c>
      <c r="O70" s="21">
        <f>+M70-N70</f>
        <v>0</v>
      </c>
      <c r="Q70" s="21"/>
      <c r="R70" s="21"/>
      <c r="T70" s="21"/>
      <c r="V70" s="15">
        <f>_xll.OneStreamExcelAddIn.XFFunctions.XFGetCell("True","Consol", $B70,"Tot_Entity","USD",V$2,V$3,V$4,$C70,"TopFlow","Top","Top","Tot_Los","Tot_OP_PHP","Tot_FC",$A70,"Top5","Top6","Reported","Top8")</f>
        <v>0</v>
      </c>
      <c r="W70" s="15">
        <f>_xll.OneStreamExcelAddIn.XFFunctions.XFGetCell("True","Consol", $B70,"Tot_Entity","Aggregated",W$2,W$3,W$4,$C70,"TopFlow","Top","Top","Tot_Los","Tot_OP_PHP","TOP3",$A70,"Top5","Top6","Reported","Top8")</f>
        <v>0</v>
      </c>
      <c r="X70" s="21">
        <f>+V70-W70</f>
        <v>0</v>
      </c>
      <c r="AD70" s="15">
        <f>_xll.OneStreamExcelAddIn.XFFunctions.XFGetCell("True","Consol", $B70,"Tot_Entity","USD",AD$2,AD$3,AD$4,$C70,"TopFlow","Top","Top","Tot_Los","Tot_OP_PHP","Tot_FC",$A70,"Top5","Top6","Reported","Top8")</f>
        <v>0</v>
      </c>
      <c r="AE70" s="15">
        <f>_xll.OneStreamExcelAddIn.XFFunctions.XFGetCell("True","Consol", $B70,"Tot_Entity","USD",AE$2,AE$3,AE$4,$C70,"TopFlow","Top","Top","Tot_Los","Tot_OP_PHP","Tot_FC",$A70,"Top5","Top6","Reported","Top8")</f>
        <v>0</v>
      </c>
      <c r="AF70" s="21">
        <f>+AD70-AE70</f>
        <v>0</v>
      </c>
      <c r="AL70" s="15">
        <f>_xll.OneStreamExcelAddIn.XFFunctions.XFGetCell("True","Consol", $B70,"Tot_Entity","USD",AL$2,AL$3,AL$4,$C70,"TopFlow","Top","Top","Tot_Los","Tot_OP_PHP","Tot_FC",$A70,"Top5","Top6","Reported","Top8")</f>
        <v>0</v>
      </c>
      <c r="AM70" s="15">
        <f>_xll.OneStreamExcelAddIn.XFFunctions.XFGetCell("True","Consol", $B70,"Tot_Entity","USD",AM$2,AM$3,AM$4,$C70,"TopFlow","Top","Top","Tot_Los","Tot_OP_PHP","Tot_FC",$A70,"Top5","Top6","Reported","Top8")</f>
        <v>0</v>
      </c>
      <c r="AN70" s="21">
        <f>+AL70-AM70</f>
        <v>0</v>
      </c>
      <c r="AT70" s="15">
        <f>_xll.OneStreamExcelAddIn.XFFunctions.XFGetCell("True","Consol", $B70,"Tot_Entity","USD",AT$2,AT$3,AT$4,$C70,"TopFlow","Top","Top","Tot_Los","Tot_OP_PHP","Tot_FC",$A70,"Top5","Top6","Reported","Top8")</f>
        <v>0</v>
      </c>
      <c r="AU70" s="15">
        <f>_xll.OneStreamExcelAddIn.XFFunctions.XFGetCell("True","Consol", $B70,"Tot_Entity","USD",AU$2,AU$3,AU$4,$C70,"TopFlow","Top","Top","Tot_Los","Tot_OP_PHP","Tot_FC",$A70,"Top5","Top6","Reported","Top8")</f>
        <v>0</v>
      </c>
      <c r="AV70" s="162">
        <f>+AT70-AU70</f>
        <v>0</v>
      </c>
    </row>
    <row r="71" spans="1:52" x14ac:dyDescent="0.2">
      <c r="A71" s="16" t="str">
        <f>+$A$8</f>
        <v>Acute_DIV1</v>
      </c>
      <c r="B71" s="15">
        <f>+$B$8</f>
        <v>127</v>
      </c>
      <c r="C71" s="14" t="s">
        <v>137</v>
      </c>
      <c r="D71" s="14" t="s">
        <v>140</v>
      </c>
      <c r="E71" s="15">
        <f>_xll.OneStreamExcelAddIn.XFFunctions.XFGetCell("True","Consol", $B71,"Tot_Entity","USD",E$2,E$3,E$4,$C71,"TopFlow","Top","Top","Tot_Los","Tot_OP_IOP","Tot_FC",$A71,"Top5","Top6","Reported","Top8")</f>
        <v>0</v>
      </c>
      <c r="F71" s="15">
        <f>_xll.OneStreamExcelAddIn.XFFunctions.XFGetCell("True","Consol", $B71,"Tot_Entity","Aggregated",F$2,F$3,F$4,$C71,"TopFlow","Top","Top","Tot_Los","Tot_OP_IOP","TOP3",$A71,"Top5","Top6","Reported","Top8")</f>
        <v>0</v>
      </c>
      <c r="G71" s="21">
        <f>+E71-F71</f>
        <v>0</v>
      </c>
      <c r="M71" s="15">
        <f>_xll.OneStreamExcelAddIn.XFFunctions.XFGetCell("True","Consol", $B71,"Tot_Entity","USD",M$2,M$3,M$4,$C71,"TopFlow","Top","Top","Tot_Los","Tot_OP_IOP","Tot_FC",$A71,"Top5","Top6","Reported","Top8")</f>
        <v>0</v>
      </c>
      <c r="N71" s="15">
        <f>_xll.OneStreamExcelAddIn.XFFunctions.XFGetCell("True","Consol", $B71,"Tot_Entity","USD",N$2,N$3,N$4,$C71,"TopFlow","Top","Top","Tot_Los","Tot_OP_IOP","Tot_FC",$A71,"Top5","Top6","Reported","Top8")</f>
        <v>0</v>
      </c>
      <c r="O71" s="21">
        <f>+M71-N71</f>
        <v>0</v>
      </c>
      <c r="Q71" s="21"/>
      <c r="R71" s="21"/>
      <c r="T71" s="21"/>
      <c r="V71" s="15">
        <f>_xll.OneStreamExcelAddIn.XFFunctions.XFGetCell("True","Consol", $B71,"Tot_Entity","USD",V$2,V$3,V$4,$C71,"TopFlow","Top","Top","Tot_Los","Tot_OP_IOP","Tot_FC",$A71,"Top5","Top6","Reported","Top8")</f>
        <v>0</v>
      </c>
      <c r="W71" s="15">
        <f>_xll.OneStreamExcelAddIn.XFFunctions.XFGetCell("True","Consol", $B71,"Tot_Entity","Aggregated",W$2,W$3,W$4,$C71,"TopFlow","Top","Top","Tot_Los","Tot_OP_IOP","TOP3",$A71,"Top5","Top6","Reported","Top8")</f>
        <v>0</v>
      </c>
      <c r="X71" s="21">
        <f>+V71-W71</f>
        <v>0</v>
      </c>
      <c r="AD71" s="15">
        <f>_xll.OneStreamExcelAddIn.XFFunctions.XFGetCell("True","Consol", $B71,"Tot_Entity","USD",AD$2,AD$3,AD$4,$C71,"TopFlow","Top","Top","Tot_Los","Tot_OP_IOP","Tot_FC",$A71,"Top5","Top6","Reported","Top8")</f>
        <v>0</v>
      </c>
      <c r="AE71" s="15">
        <f>_xll.OneStreamExcelAddIn.XFFunctions.XFGetCell("True","Consol", $B71,"Tot_Entity","USD",AE$2,AE$3,AE$4,$C71,"TopFlow","Top","Top","Tot_Los","Tot_OP_IOP","Tot_FC",$A71,"Top5","Top6","Reported","Top8")</f>
        <v>0</v>
      </c>
      <c r="AF71" s="21">
        <f>+AD71-AE71</f>
        <v>0</v>
      </c>
      <c r="AL71" s="15">
        <f>_xll.OneStreamExcelAddIn.XFFunctions.XFGetCell("True","Consol", $B71,"Tot_Entity","USD",AL$2,AL$3,AL$4,$C71,"TopFlow","Top","Top","Tot_Los","Tot_OP_IOP","Tot_FC",$A71,"Top5","Top6","Reported","Top8")</f>
        <v>0</v>
      </c>
      <c r="AM71" s="15">
        <f>_xll.OneStreamExcelAddIn.XFFunctions.XFGetCell("True","Consol", $B71,"Tot_Entity","USD",AM$2,AM$3,AM$4,$C71,"TopFlow","Top","Top","Tot_Los","Tot_OP_IOP","Tot_FC",$A71,"Top5","Top6","Reported","Top8")</f>
        <v>0</v>
      </c>
      <c r="AN71" s="21">
        <f>+AL71-AM71</f>
        <v>0</v>
      </c>
      <c r="AT71" s="15">
        <f>_xll.OneStreamExcelAddIn.XFFunctions.XFGetCell("True","Consol", $B71,"Tot_Entity","USD",AT$2,AT$3,AT$4,$C71,"TopFlow","Top","Top","Tot_Los","Tot_OP_IOP","Tot_FC",$A71,"Top5","Top6","Reported","Top8")</f>
        <v>0</v>
      </c>
      <c r="AU71" s="15">
        <f>_xll.OneStreamExcelAddIn.XFFunctions.XFGetCell("True","Consol", $B71,"Tot_Entity","USD",AU$2,AU$3,AU$4,$C71,"TopFlow","Top","Top","Tot_Los","Tot_OP_IOP","Tot_FC",$A71,"Top5","Top6","Reported","Top8")</f>
        <v>0</v>
      </c>
      <c r="AV71" s="162">
        <f>+AT71-AU71</f>
        <v>0</v>
      </c>
    </row>
    <row r="72" spans="1:52" x14ac:dyDescent="0.2">
      <c r="A72" s="16" t="str">
        <f>+$A$8</f>
        <v>Acute_DIV1</v>
      </c>
      <c r="B72" s="15">
        <f>+$B$8</f>
        <v>127</v>
      </c>
      <c r="C72" s="14" t="s">
        <v>137</v>
      </c>
      <c r="D72" s="14" t="s">
        <v>141</v>
      </c>
      <c r="E72" s="15">
        <f>_xll.OneStreamExcelAddIn.XFFunctions.XFGetCell("True","Consol", $B72,"Tot_Entity","USD",E$2,E$3,E$4,$C72,"TopFlow","Top","Top","Tot_Los","Oth_OP_Dir_Patient_Act","Tot_FC",$A72,"Top5","Top6","Reported","Top8")</f>
        <v>0</v>
      </c>
      <c r="F72" s="15">
        <f>_xll.OneStreamExcelAddIn.XFFunctions.XFGetCell("True","Consol", $B72,"Tot_Entity","Aggregated",F$2,F$3,F$4,$C72,"TopFlow","Top","Top","Tot_Los","Oth_OP_Dir_Patient_Act","TOP3",$A72,"Top5","Top6","Reported","Top8")</f>
        <v>0</v>
      </c>
      <c r="G72" s="21">
        <f>+E72-F72</f>
        <v>0</v>
      </c>
      <c r="M72" s="15">
        <f>_xll.OneStreamExcelAddIn.XFFunctions.XFGetCell("True","Consol", $B72,"Tot_Entity","USD",M$2,M$3,M$4,$C72,"TopFlow","Top","Top","Tot_Los","Oth_OP_Dir_Patient_Act","Tot_FC",$A72,"Top5","Top6","Reported","Top8")</f>
        <v>0</v>
      </c>
      <c r="N72" s="15">
        <f>_xll.OneStreamExcelAddIn.XFFunctions.XFGetCell("True","Consol", $B72,"Tot_Entity","USD",N$2,N$3,N$4,$C72,"TopFlow","Top","Top","Tot_Los","Oth_OP_Dir_Patient_Act","Tot_FC",$A72,"Top5","Top6","Reported","Top8")</f>
        <v>0</v>
      </c>
      <c r="O72" s="21">
        <f>+M72-N72</f>
        <v>0</v>
      </c>
      <c r="Q72" s="21"/>
      <c r="R72" s="21"/>
      <c r="T72" s="21"/>
      <c r="V72" s="15">
        <f>_xll.OneStreamExcelAddIn.XFFunctions.XFGetCell("True","Consol", $B72,"Tot_Entity","USD",V$2,V$3,V$4,$C72,"TopFlow","Top","Top","Tot_Los","Oth_OP_Dir_Patient_Act","Tot_FC",$A72,"Top5","Top6","Reported","Top8")</f>
        <v>0</v>
      </c>
      <c r="W72" s="15">
        <f>_xll.OneStreamExcelAddIn.XFFunctions.XFGetCell("True","Consol", $B72,"Tot_Entity","Aggregated",W$2,W$3,W$4,$C72,"TopFlow","Top","Top","Tot_Los","Oth_OP_Dir_Patient_Act","TOP3",$A72,"Top5","Top6","Reported","Top8")</f>
        <v>0</v>
      </c>
      <c r="X72" s="21">
        <f>+V72-W72</f>
        <v>0</v>
      </c>
      <c r="AD72" s="15">
        <f>_xll.OneStreamExcelAddIn.XFFunctions.XFGetCell("True","Consol", $B72,"Tot_Entity","USD",AD$2,AD$3,AD$4,$C72,"TopFlow","Top","Top","Tot_Los","Oth_OP_Dir_Patient_Act","Tot_FC",$A72,"Top5","Top6","Reported","Top8")</f>
        <v>0</v>
      </c>
      <c r="AE72" s="15">
        <f>_xll.OneStreamExcelAddIn.XFFunctions.XFGetCell("True","Consol", $B72,"Tot_Entity","USD",AE$2,AE$3,AE$4,$C72,"TopFlow","Top","Top","Tot_Los","Oth_OP_Dir_Patient_Act","Tot_FC",$A72,"Top5","Top6","Reported","Top8")</f>
        <v>0</v>
      </c>
      <c r="AF72" s="21">
        <f>+AD72-AE72</f>
        <v>0</v>
      </c>
      <c r="AL72" s="15">
        <f>_xll.OneStreamExcelAddIn.XFFunctions.XFGetCell("True","Consol", $B72,"Tot_Entity","USD",AL$2,AL$3,AL$4,$C72,"TopFlow","Top","Top","Tot_Los","Oth_OP_Dir_Patient_Act","Tot_FC",$A72,"Top5","Top6","Reported","Top8")</f>
        <v>0</v>
      </c>
      <c r="AM72" s="15">
        <f>_xll.OneStreamExcelAddIn.XFFunctions.XFGetCell("True","Consol", $B72,"Tot_Entity","USD",AM$2,AM$3,AM$4,$C72,"TopFlow","Top","Top","Tot_Los","Oth_OP_Dir_Patient_Act","Tot_FC",$A72,"Top5","Top6","Reported","Top8")</f>
        <v>0</v>
      </c>
      <c r="AN72" s="21">
        <f>+AL72-AM72</f>
        <v>0</v>
      </c>
      <c r="AT72" s="15">
        <f>_xll.OneStreamExcelAddIn.XFFunctions.XFGetCell("True","Consol", $B72,"Tot_Entity","USD",AT$2,AT$3,AT$4,$C72,"TopFlow","Top","Top","Tot_Los","Oth_OP_Dir_Patient_Act","Tot_FC",$A72,"Top5","Top6","Reported","Top8")</f>
        <v>0</v>
      </c>
      <c r="AU72" s="15">
        <f>_xll.OneStreamExcelAddIn.XFFunctions.XFGetCell("True","Consol", $B72,"Tot_Entity","USD",AU$2,AU$3,AU$4,$C72,"TopFlow","Top","Top","Tot_Los","Oth_OP_Dir_Patient_Act","Tot_FC",$A72,"Top5","Top6","Reported","Top8")</f>
        <v>0</v>
      </c>
      <c r="AV72" s="162">
        <f>+AT72-AU72</f>
        <v>0</v>
      </c>
    </row>
    <row r="73" spans="1:52" x14ac:dyDescent="0.2">
      <c r="A73" s="16" t="str">
        <f>+$A$8</f>
        <v>Acute_DIV1</v>
      </c>
      <c r="B73" s="15">
        <f>+$B$8</f>
        <v>127</v>
      </c>
      <c r="C73" s="14" t="s">
        <v>137</v>
      </c>
      <c r="D73" s="14" t="s">
        <v>142</v>
      </c>
      <c r="E73" s="15">
        <f>_xll.OneStreamExcelAddIn.XFFunctions.XFGetCell("True","Consol", $B73,"Tot_Entity","USD",E$2,E$3,E$4,$C73,"TopFlow","Top","Top","Tot_Los","Tot_OP_ECT_SLE","Tot_FC",$A73,"Top5","Top6","Reported","Top8")</f>
        <v>0</v>
      </c>
      <c r="F73" s="15">
        <f>_xll.OneStreamExcelAddIn.XFFunctions.XFGetCell("True","Consol", $B73,"Tot_Entity","Aggregated",F$2,F$3,F$4,$C73,"TopFlow","Top","Top","Tot_Los","Tot_OP_ECT_SLE","TOP3",$A73,"Top5","Top6","Reported","Top8")</f>
        <v>0</v>
      </c>
      <c r="G73" s="21">
        <f>+E73-F73</f>
        <v>0</v>
      </c>
      <c r="M73" s="15">
        <f>_xll.OneStreamExcelAddIn.XFFunctions.XFGetCell("True","Consol", $B73,"Tot_Entity","USD",M$2,M$3,M$4,$C73,"TopFlow","Top","Top","Tot_Los","Tot_OP_ECT_SLE","Tot_FC",$A73,"Top5","Top6","Reported","Top8")</f>
        <v>0</v>
      </c>
      <c r="N73" s="15">
        <f>_xll.OneStreamExcelAddIn.XFFunctions.XFGetCell("True","Consol", $B73,"Tot_Entity","USD",N$2,N$3,N$4,$C73,"TopFlow","Top","Top","Tot_Los","Tot_OP_ECT_SLE","Tot_FC",$A73,"Top5","Top6","Reported","Top8")</f>
        <v>0</v>
      </c>
      <c r="O73" s="21">
        <f>+M73-N73</f>
        <v>0</v>
      </c>
      <c r="Q73" s="21"/>
      <c r="R73" s="21"/>
      <c r="T73" s="21"/>
      <c r="V73" s="15">
        <f>_xll.OneStreamExcelAddIn.XFFunctions.XFGetCell("True","Consol", $B73,"Tot_Entity","USD",V$2,V$3,V$4,$C73,"TopFlow","Top","Top","Tot_Los","Tot_OP_ECT_SLE","Tot_FC",$A73,"Top5","Top6","Reported","Top8")</f>
        <v>0</v>
      </c>
      <c r="W73" s="15">
        <f>_xll.OneStreamExcelAddIn.XFFunctions.XFGetCell("True","Consol", $B73,"Tot_Entity","Aggregated",W$2,W$3,W$4,$C73,"TopFlow","Top","Top","Tot_Los","Tot_OP_ECT_SLE","TOP3",$A73,"Top5","Top6","Reported","Top8")</f>
        <v>0</v>
      </c>
      <c r="X73" s="21">
        <f>+V73-W73</f>
        <v>0</v>
      </c>
      <c r="AD73" s="15">
        <f>_xll.OneStreamExcelAddIn.XFFunctions.XFGetCell("True","Consol", $B73,"Tot_Entity","USD",AD$2,AD$3,AD$4,$C73,"TopFlow","Top","Top","Tot_Los","Tot_OP_ECT_SLE","Tot_FC",$A73,"Top5","Top6","Reported","Top8")</f>
        <v>0</v>
      </c>
      <c r="AE73" s="15">
        <f>_xll.OneStreamExcelAddIn.XFFunctions.XFGetCell("True","Consol", $B73,"Tot_Entity","USD",AE$2,AE$3,AE$4,$C73,"TopFlow","Top","Top","Tot_Los","Tot_OP_ECT_SLE","Tot_FC",$A73,"Top5","Top6","Reported","Top8")</f>
        <v>0</v>
      </c>
      <c r="AF73" s="21">
        <f>+AD73-AE73</f>
        <v>0</v>
      </c>
      <c r="AL73" s="15">
        <f>_xll.OneStreamExcelAddIn.XFFunctions.XFGetCell("True","Consol", $B73,"Tot_Entity","USD",AL$2,AL$3,AL$4,$C73,"TopFlow","Top","Top","Tot_Los","Tot_OP_ECT_SLE","Tot_FC",$A73,"Top5","Top6","Reported","Top8")</f>
        <v>0</v>
      </c>
      <c r="AM73" s="15">
        <f>_xll.OneStreamExcelAddIn.XFFunctions.XFGetCell("True","Consol", $B73,"Tot_Entity","USD",AM$2,AM$3,AM$4,$C73,"TopFlow","Top","Top","Tot_Los","Tot_OP_ECT_SLE","Tot_FC",$A73,"Top5","Top6","Reported","Top8")</f>
        <v>0</v>
      </c>
      <c r="AN73" s="21">
        <f>+AL73-AM73</f>
        <v>0</v>
      </c>
      <c r="AT73" s="15">
        <f>_xll.OneStreamExcelAddIn.XFFunctions.XFGetCell("True","Consol", $B73,"Tot_Entity","USD",AT$2,AT$3,AT$4,$C73,"TopFlow","Top","Top","Tot_Los","Tot_OP_ECT_SLE","Tot_FC",$A73,"Top5","Top6","Reported","Top8")</f>
        <v>0</v>
      </c>
      <c r="AU73" s="15">
        <f>_xll.OneStreamExcelAddIn.XFFunctions.XFGetCell("True","Consol", $B73,"Tot_Entity","USD",AU$2,AU$3,AU$4,$C73,"TopFlow","Top","Top","Tot_Los","Tot_OP_ECT_SLE","Tot_FC",$A73,"Top5","Top6","Reported","Top8")</f>
        <v>0</v>
      </c>
      <c r="AV73" s="162">
        <f>+AT73-AU73</f>
        <v>0</v>
      </c>
    </row>
    <row r="74" spans="1:52" hidden="1" outlineLevel="1" x14ac:dyDescent="0.2">
      <c r="A74" s="20"/>
      <c r="B74" s="21"/>
      <c r="E74" s="21" t="b">
        <f>E68=SUM(E70:E73)</f>
        <v>1</v>
      </c>
      <c r="F74" s="21" t="b">
        <f>F68=SUM(F70:F73)</f>
        <v>1</v>
      </c>
      <c r="G74" s="21"/>
      <c r="M74" s="21" t="b">
        <f>M68=SUM(M70:M73)</f>
        <v>1</v>
      </c>
      <c r="N74" s="21" t="b">
        <f>N68=SUM(N70:N73)</f>
        <v>1</v>
      </c>
      <c r="O74" s="21"/>
      <c r="Q74" s="21"/>
      <c r="R74" s="21"/>
      <c r="T74" s="21"/>
      <c r="V74" s="21" t="b">
        <f>V68=SUM(V70:V73)</f>
        <v>1</v>
      </c>
      <c r="W74" s="21" t="b">
        <f>W68=SUM(W70:W73)</f>
        <v>1</v>
      </c>
      <c r="X74" s="21"/>
      <c r="AD74" s="21" t="b">
        <f>AD68=SUM(AD70:AD73)</f>
        <v>1</v>
      </c>
      <c r="AE74" s="21" t="b">
        <f>AE68=SUM(AE70:AE73)</f>
        <v>1</v>
      </c>
      <c r="AF74" s="21"/>
      <c r="AL74" s="21" t="b">
        <f>AL68=SUM(AL70:AL73)</f>
        <v>1</v>
      </c>
      <c r="AM74" s="21" t="b">
        <f>AM68=SUM(AM70:AM73)</f>
        <v>1</v>
      </c>
      <c r="AN74" s="21"/>
      <c r="AT74" s="21" t="b">
        <f>AT68=SUM(AT70:AT73)</f>
        <v>1</v>
      </c>
      <c r="AU74" s="21" t="b">
        <f>AU68=SUM(AU70:AU73)</f>
        <v>1</v>
      </c>
      <c r="AV74" s="162"/>
    </row>
    <row r="75" spans="1:52" collapsed="1" x14ac:dyDescent="0.2"/>
    <row r="76" spans="1:52" s="4" customFormat="1" ht="5.0999999999999996" customHeight="1" x14ac:dyDescent="0.2">
      <c r="B76" s="22"/>
      <c r="C76" s="23"/>
      <c r="D76" s="23"/>
      <c r="X76" s="155"/>
      <c r="AB76" s="22"/>
      <c r="AJ76" s="22"/>
      <c r="AN76" s="155"/>
      <c r="AR76" s="22"/>
      <c r="AV76" s="164"/>
      <c r="AZ76" s="22"/>
    </row>
    <row r="77" spans="1:52" x14ac:dyDescent="0.2">
      <c r="J77" s="1" t="s">
        <v>143</v>
      </c>
      <c r="K77" s="202">
        <f>G29*F115</f>
        <v>-601073.44789699628</v>
      </c>
      <c r="Q77" s="1" t="s">
        <v>143</v>
      </c>
      <c r="R77" s="202">
        <f>O29*N115</f>
        <v>-311779.8045907474</v>
      </c>
      <c r="AA77" s="1" t="s">
        <v>143</v>
      </c>
      <c r="AB77" s="2">
        <f>+X29*W115</f>
        <v>-1512585.4840379306</v>
      </c>
      <c r="AI77" s="1" t="s">
        <v>143</v>
      </c>
      <c r="AJ77" s="2">
        <f>+AF29*AE115</f>
        <v>-924208.9197167306</v>
      </c>
      <c r="AQ77" s="1" t="s">
        <v>143</v>
      </c>
      <c r="AR77" s="2">
        <f>+AN29*AM115</f>
        <v>-3034479.7562090303</v>
      </c>
      <c r="AY77" s="1" t="s">
        <v>143</v>
      </c>
      <c r="AZ77" s="2">
        <f>+AV29*AU115</f>
        <v>-5703208.5288831275</v>
      </c>
    </row>
    <row r="78" spans="1:52" x14ac:dyDescent="0.2">
      <c r="A78" s="16" t="str">
        <f>+$A$8</f>
        <v>Acute_DIV1</v>
      </c>
      <c r="B78" s="15">
        <f>+$B$8</f>
        <v>127</v>
      </c>
      <c r="C78" s="14" t="s">
        <v>144</v>
      </c>
      <c r="D78" s="14" t="s">
        <v>145</v>
      </c>
      <c r="E78" s="15">
        <f>_xll.OneStreamExcelAddIn.XFFunctions.XFGetCell("True","Consol", $B78,"Tot_Entity","USD",E$2,E$3,E$4,$C78,"TopFlow","Top","Top","Tot_Los","TOT_Dept_WO_Addbacks","Tot_FC",$A78,"Top5","Top6","Reported","Top8")</f>
        <v>5911901.2999999998</v>
      </c>
      <c r="F78" s="15">
        <f>_xll.OneStreamExcelAddIn.XFFunctions.XFGetCell("True","Consol", $B78,"Tot_Entity","Aggregated",F$2,F$3,F$4,$C78,"TopFlow","Top","Top","Tot_Los","TOT_Dept_WO_Addbacks","TOP3",$A78,"Top5","Top6","Reported","Top8")</f>
        <v>5703208.5288831275</v>
      </c>
      <c r="G78" s="21">
        <f>+E78-F78</f>
        <v>208692.77111687232</v>
      </c>
      <c r="J78" s="1" t="s">
        <v>146</v>
      </c>
      <c r="K78" s="172">
        <f>+G115*F29</f>
        <v>905163.33522646083</v>
      </c>
      <c r="M78" s="15">
        <f>_xll.OneStreamExcelAddIn.XFFunctions.XFGetCell("True","Consol", $B78,"Tot_Entity","USD",M$2,M$3,M$4,$C78,"TopFlow","Top","Top","Tot_Los","TOT_Dept_WO_Addbacks","Tot_FC",$A78,"Top5","Top6","Reported","Top8")</f>
        <v>5911901.2999999998</v>
      </c>
      <c r="N78" s="15">
        <f>_xll.OneStreamExcelAddIn.XFFunctions.XFGetCell("True","Consol", $B78,"Tot_Entity","USD",N$2,N$3,N$4,$C78,"TopFlow","Top","Top","Tot_Los","TOT_Dept_WO_Addbacks","Tot_FC",$A78,"Top5","Top6","Reported","Top8")</f>
        <v>3435691.18</v>
      </c>
      <c r="O78" s="21">
        <f>+M78-N78</f>
        <v>2476210.1199999996</v>
      </c>
      <c r="Q78" s="1" t="s">
        <v>146</v>
      </c>
      <c r="R78" s="172">
        <f>+O115*N29</f>
        <v>3066243.3221526407</v>
      </c>
      <c r="T78" s="21"/>
      <c r="V78" s="15">
        <f>_xll.OneStreamExcelAddIn.XFFunctions.XFGetCell("True","Consol", $B78,"Tot_Entity","USD",V$2,V$3,V$4,$C78,"TopFlow","Top","Top","Tot_Los","TOT_Dept_WO_Addbacks","Tot_FC",$A78,"Top5","Top6","Reported","Top8")</f>
        <v>20656106.739999998</v>
      </c>
      <c r="W78" s="15">
        <f>_xll.OneStreamExcelAddIn.XFFunctions.XFGetCell("True","Consol", $B78,"Tot_Entity","Aggregated",W$2,W$3,W$4,$C78,"TopFlow","Top","Top","Tot_Los","TOT_Dept_WO_Addbacks","TOP3",$A78,"Top5","Top6","Reported","Top8")</f>
        <v>22995023.918075956</v>
      </c>
      <c r="X78" s="21">
        <f>+V78-W78</f>
        <v>-2338917.178075958</v>
      </c>
      <c r="AA78" s="1" t="s">
        <v>146</v>
      </c>
      <c r="AB78" s="2">
        <f>+X115*V29</f>
        <v>-826331.69403802522</v>
      </c>
      <c r="AD78" s="15">
        <f>_xll.OneStreamExcelAddIn.XFFunctions.XFGetCell("True","Consol", $B78,"Tot_Entity","USD",AD$2,AD$3,AD$4,$C78,"TopFlow","Top","Top","Tot_Los","TOT_Dept_WO_Addbacks","Tot_FC",$A78,"Top5","Top6","Reported","Top8")</f>
        <v>5911901.2999999998</v>
      </c>
      <c r="AE78" s="15">
        <f>_xll.OneStreamExcelAddIn.XFFunctions.XFGetCell("True","Consol", $B78,"Tot_Entity","USD",AE$2,AE$3,AE$4,$C78,"TopFlow","Top","Top","Tot_Los","TOT_Dept_WO_Addbacks","Tot_FC",$A78,"Top5","Top6","Reported","Top8")</f>
        <v>3755568.38</v>
      </c>
      <c r="AF78" s="21">
        <f>+AD78-AE78</f>
        <v>2156332.92</v>
      </c>
      <c r="AI78" s="1" t="s">
        <v>146</v>
      </c>
      <c r="AJ78" s="2">
        <f>+AF115*AD29</f>
        <v>3080541.8397167297</v>
      </c>
      <c r="AL78" s="15">
        <f>_xll.OneStreamExcelAddIn.XFFunctions.XFGetCell("True","Consol", $B78,"Tot_Entity","USD",AL$2,AL$3,AL$4,$C78,"TopFlow","Top","Top","Tot_Los","TOT_Dept_WO_Addbacks","Tot_FC",$A78,"Top5","Top6","Reported","Top8")</f>
        <v>20656106.739999998</v>
      </c>
      <c r="AM78" s="15">
        <f>_xll.OneStreamExcelAddIn.XFFunctions.XFGetCell("True","Consol", $B78,"Tot_Entity","USD",AM$2,AM$3,AM$4,$C78,"TopFlow","Top","Top","Tot_Los","TOT_Dept_WO_Addbacks","Tot_FC",$A78,"Top5","Top6","Reported","Top8")</f>
        <v>14672443.859999999</v>
      </c>
      <c r="AN78" s="21">
        <f>+AL78-AM78</f>
        <v>5983662.879999999</v>
      </c>
      <c r="AQ78" s="1" t="s">
        <v>146</v>
      </c>
      <c r="AR78" s="2">
        <f>+AN115*AL29</f>
        <v>9018142.6362090297</v>
      </c>
      <c r="AT78" s="15">
        <f>_xll.OneStreamExcelAddIn.XFFunctions.XFGetCell("True","Consol", $B78,"Tot_Entity","USD",AT$2,AT$3,AT$4,$C78,"TopFlow","Top","Top","Tot_Los","TOT_Dept_WO_Addbacks","Tot_FC",$A78,"Top5","Top6","Reported","Top8")</f>
        <v>0</v>
      </c>
      <c r="AU78" s="15">
        <f>_xll.OneStreamExcelAddIn.XFFunctions.XFGetCell("True","Consol", $B78,"Tot_Entity","USD",AU$2,AU$3,AU$4,$C78,"TopFlow","Top","Top","Tot_Los","TOT_Dept_WO_Addbacks","Tot_FC",$A78,"Top5","Top6","Reported","Top8")</f>
        <v>5703208.5288831275</v>
      </c>
      <c r="AV78" s="162">
        <f>+AT78-AU78</f>
        <v>-5703208.5288831275</v>
      </c>
      <c r="AY78" s="1" t="s">
        <v>146</v>
      </c>
      <c r="AZ78" s="2" t="e">
        <f>+AV115*AT29</f>
        <v>#DIV/0!</v>
      </c>
    </row>
    <row r="79" spans="1:52" x14ac:dyDescent="0.2">
      <c r="J79" s="1" t="s">
        <v>147</v>
      </c>
      <c r="K79" s="172">
        <f>SUM(K77:K78)</f>
        <v>304089.88732946455</v>
      </c>
      <c r="Q79" s="1" t="s">
        <v>147</v>
      </c>
      <c r="R79" s="172">
        <f>SUM(R77:R78)</f>
        <v>2754463.5175618934</v>
      </c>
      <c r="AA79" s="1" t="s">
        <v>147</v>
      </c>
      <c r="AB79" s="46">
        <f>SUM(AB77:AB78)</f>
        <v>-2338917.1780759557</v>
      </c>
      <c r="AI79" s="1" t="s">
        <v>147</v>
      </c>
      <c r="AJ79" s="46">
        <f>SUM(AJ77:AJ78)</f>
        <v>2156332.919999999</v>
      </c>
      <c r="AQ79" s="1" t="s">
        <v>147</v>
      </c>
      <c r="AR79" s="46">
        <f>SUM(AR77:AR78)</f>
        <v>5983662.879999999</v>
      </c>
      <c r="AY79" s="1" t="s">
        <v>147</v>
      </c>
      <c r="AZ79" s="46" t="e">
        <f>SUM(AZ77:AZ78)</f>
        <v>#DIV/0!</v>
      </c>
    </row>
    <row r="80" spans="1:52" x14ac:dyDescent="0.2">
      <c r="A80" s="16" t="str">
        <f>+$A$8</f>
        <v>Acute_DIV1</v>
      </c>
      <c r="B80" s="15">
        <f>+$B$8</f>
        <v>127</v>
      </c>
      <c r="C80" s="14" t="s">
        <v>144</v>
      </c>
      <c r="D80" s="14" t="s">
        <v>148</v>
      </c>
      <c r="E80" s="15">
        <f>_xll.OneStreamExcelAddIn.XFFunctions.XFGetCell("True","Consol", $B80,"Tot_Entity","USD",E$2,E$3,E$4,$C80,"TopFlow","Top","Top","Tot_Los","TOT_Dept_WO_Addbacks","TOT_Medicare",$A80,"Top5","Top6","Reported","Top8")</f>
        <v>392664.91</v>
      </c>
      <c r="F80" s="15">
        <f>_xll.OneStreamExcelAddIn.XFFunctions.XFGetCell("True","Consol", $B80,"Tot_Entity","Aggregated",F$2,F$3,F$4,$C80,"TopFlow","Top","Top","Tot_Los","TOT_Dept_WO_Addbacks","TOT_Medicare",$A80,"Top5","Top6","Reported","Top8")</f>
        <v>237017.42597383299</v>
      </c>
      <c r="G80" s="21">
        <f>+E80-F80</f>
        <v>155647.48402616699</v>
      </c>
      <c r="J80" s="54">
        <f>G36*F117</f>
        <v>17659.643500044971</v>
      </c>
      <c r="K80" s="55">
        <f>G117*E36</f>
        <v>137987.84052612205</v>
      </c>
      <c r="M80" s="15">
        <f>_xll.OneStreamExcelAddIn.XFFunctions.XFGetCell("True","Consol", $B80,"Tot_Entity","USD",M$2,M$3,M$4,$C80,"TopFlow","Top","Top","Tot_Los","TOT_Dept_WO_Addbacks","TOT_Medicare",$A80,"Top5","Top6","Reported","Top8")</f>
        <v>392664.91</v>
      </c>
      <c r="N80" s="15">
        <f>_xll.OneStreamExcelAddIn.XFFunctions.XFGetCell("True","Consol", $B80,"Tot_Entity","USD",N$2,N$3,N$4,$C80,"TopFlow","Top","Top","Tot_Los","TOT_Dept_WO_Addbacks","TOT_Medicare",$A80,"Top5","Top6","Reported","Top8")</f>
        <v>222122.69</v>
      </c>
      <c r="O80" s="21">
        <f>+M80-N80</f>
        <v>170542.21999999997</v>
      </c>
      <c r="Q80" s="54">
        <f>O36*N117</f>
        <v>59964.680570342207</v>
      </c>
      <c r="R80" s="55">
        <f>O117*M36</f>
        <v>110577.53942965779</v>
      </c>
      <c r="T80" s="21"/>
      <c r="V80" s="15">
        <f>_xll.OneStreamExcelAddIn.XFFunctions.XFGetCell("True","Consol", $B80,"Tot_Entity","USD",V$2,V$3,V$4,$C80,"TopFlow","Top","Top","Tot_Los","TOT_Dept_WO_Addbacks","TOT_Medicare",$A80,"Top5","Top6","Reported","Top8")</f>
        <v>940256.05</v>
      </c>
      <c r="W80" s="15">
        <f>_xll.OneStreamExcelAddIn.XFFunctions.XFGetCell("True","Consol", $B80,"Tot_Entity","Aggregated",W$2,W$3,W$4,$C80,"TopFlow","Top","Top","Tot_Los","TOT_Dept_WO_Addbacks","TOT_Medicare",$A80,"Top5","Top6","Reported","Top8")</f>
        <v>1160902.9804305241</v>
      </c>
      <c r="X80" s="21">
        <f>+V80-W80</f>
        <v>-220646.93043052405</v>
      </c>
      <c r="AA80" s="54">
        <f>X36*W117</f>
        <v>-342648.20025242364</v>
      </c>
      <c r="AB80" s="55">
        <f>X117*V36</f>
        <v>122001.26982189956</v>
      </c>
      <c r="AD80" s="15">
        <f>_xll.OneStreamExcelAddIn.XFFunctions.XFGetCell("True","Consol", $B80,"Tot_Entity","USD",AD$2,AD$3,AD$4,$C80,"TopFlow","Top","Top","Tot_Los","TOT_Dept_WO_Addbacks","TOT_Medicare",$A80,"Top5","Top6","Reported","Top8")</f>
        <v>392664.91</v>
      </c>
      <c r="AE80" s="15">
        <f>_xll.OneStreamExcelAddIn.XFFunctions.XFGetCell("True","Consol", $B80,"Tot_Entity","USD",AE$2,AE$3,AE$4,$C80,"TopFlow","Top","Top","Tot_Los","TOT_Dept_WO_Addbacks","TOT_Medicare",$A80,"Top5","Top6","Reported","Top8")</f>
        <v>187839.38</v>
      </c>
      <c r="AF80" s="21">
        <f>+AD80-AE80</f>
        <v>204825.52999999997</v>
      </c>
      <c r="AI80" s="54">
        <f>AF36*AE117</f>
        <v>18536.780921052632</v>
      </c>
      <c r="AJ80" s="55">
        <f>AF117*AD36</f>
        <v>186288.74907894738</v>
      </c>
      <c r="AL80" s="15">
        <f>_xll.OneStreamExcelAddIn.XFFunctions.XFGetCell("True","Consol", $B80,"Tot_Entity","USD",AL$2,AL$3,AL$4,$C80,"TopFlow","Top","Top","Tot_Los","TOT_Dept_WO_Addbacks","TOT_Medicare",$A80,"Top5","Top6","Reported","Top8")</f>
        <v>940256.05</v>
      </c>
      <c r="AM80" s="15">
        <f>_xll.OneStreamExcelAddIn.XFFunctions.XFGetCell("True","Consol", $B80,"Tot_Entity","USD",AM$2,AM$3,AM$4,$C80,"TopFlow","Top","Top","Tot_Los","TOT_Dept_WO_Addbacks","TOT_Medicare",$A80,"Top5","Top6","Reported","Top8")</f>
        <v>1380412.38</v>
      </c>
      <c r="AN80" s="21">
        <f>+AL80-AM80</f>
        <v>-440156.32999999984</v>
      </c>
      <c r="AQ80" s="54">
        <f>AN36*AM117</f>
        <v>-253094.02323458766</v>
      </c>
      <c r="AR80" s="55">
        <f>AN117*AL36</f>
        <v>-187062.3067654123</v>
      </c>
      <c r="AT80" s="15">
        <f>_xll.OneStreamExcelAddIn.XFFunctions.XFGetCell("True","Consol", $B80,"Tot_Entity","USD",AT$2,AT$3,AT$4,$C80,"TopFlow","Top","Top","Tot_Los","TOT_Dept_WO_Addbacks","TOT_Medicare",$A80,"Top5","Top6","Reported","Top8")</f>
        <v>0</v>
      </c>
      <c r="AU80" s="15">
        <f>_xll.OneStreamExcelAddIn.XFFunctions.XFGetCell("True","Consol", $B80,"Tot_Entity","USD",AU$2,AU$3,AU$4,$C80,"TopFlow","Top","Top","Tot_Los","TOT_Dept_WO_Addbacks","TOT_Medicare",$A80,"Top5","Top6","Reported","Top8")</f>
        <v>237017.42597383299</v>
      </c>
      <c r="AV80" s="162">
        <f>+AT80-AU80</f>
        <v>-237017.42597383299</v>
      </c>
      <c r="AY80" s="54">
        <f>AV36*AU117</f>
        <v>-237017.42597383301</v>
      </c>
      <c r="AZ80" s="55">
        <f>AV117*AT36</f>
        <v>0</v>
      </c>
    </row>
    <row r="81" spans="1:52" x14ac:dyDescent="0.2">
      <c r="A81" s="16" t="str">
        <f>+$A$8</f>
        <v>Acute_DIV1</v>
      </c>
      <c r="B81" s="15">
        <f>+$B$8</f>
        <v>127</v>
      </c>
      <c r="C81" s="14" t="s">
        <v>144</v>
      </c>
      <c r="D81" s="14" t="s">
        <v>149</v>
      </c>
      <c r="E81" s="15">
        <f>_xll.OneStreamExcelAddIn.XFFunctions.XFGetCell("True","Consol", $B81,"Tot_Entity","USD",E$2,E$3,E$4,$C81,"TopFlow","Top","Top","Tot_Los","TOT_Dept_WO_Addbacks","TOT_Medicaid",$A81,"Top5","Top6","Reported","Top8")</f>
        <v>4582890.2</v>
      </c>
      <c r="F81" s="15">
        <f>_xll.OneStreamExcelAddIn.XFFunctions.XFGetCell("True","Consol", $B81,"Tot_Entity","Aggregated",F$2,F$3,F$4,$C81,"TopFlow","Top","Top","Tot_Los","TOT_Dept_WO_Addbacks","TOT_Medicaid",$A81,"Top5","Top6","Reported","Top8")</f>
        <v>4636059.1571777416</v>
      </c>
      <c r="G81" s="21">
        <f>+E81-F81</f>
        <v>-53168.957177741453</v>
      </c>
      <c r="J81" s="56">
        <f>G37*F118</f>
        <v>-554992.74886889569</v>
      </c>
      <c r="K81" s="57">
        <f>G118*E37</f>
        <v>501823.79169115383</v>
      </c>
      <c r="M81" s="15">
        <f>_xll.OneStreamExcelAddIn.XFFunctions.XFGetCell("True","Consol", $B81,"Tot_Entity","USD",M$2,M$3,M$4,$C81,"TopFlow","Top","Top","Tot_Los","TOT_Dept_WO_Addbacks","TOT_Medicaid",$A81,"Top5","Top6","Reported","Top8")</f>
        <v>4582890.2</v>
      </c>
      <c r="N81" s="15">
        <f>_xll.OneStreamExcelAddIn.XFFunctions.XFGetCell("True","Consol", $B81,"Tot_Entity","USD",N$2,N$3,N$4,$C81,"TopFlow","Top","Top","Tot_Los","TOT_Dept_WO_Addbacks","TOT_Medicaid",$A81,"Top5","Top6","Reported","Top8")</f>
        <v>2296380.5500000003</v>
      </c>
      <c r="O81" s="21">
        <f>+M81-N81</f>
        <v>2286509.65</v>
      </c>
      <c r="Q81" s="56">
        <f t="shared" ref="Q81:Q84" si="27">O37*N118</f>
        <v>-398989.86680283229</v>
      </c>
      <c r="R81" s="57">
        <f t="shared" ref="R81:R84" si="28">O118*M37</f>
        <v>2685499.516802832</v>
      </c>
      <c r="T81" s="21"/>
      <c r="V81" s="15">
        <f>_xll.OneStreamExcelAddIn.XFFunctions.XFGetCell("True","Consol", $B81,"Tot_Entity","USD",V$2,V$3,V$4,$C81,"TopFlow","Top","Top","Tot_Los","TOT_Dept_WO_Addbacks","TOT_Medicaid",$A81,"Top5","Top6","Reported","Top8")</f>
        <v>16468349.109999999</v>
      </c>
      <c r="W81" s="15">
        <f>_xll.OneStreamExcelAddIn.XFFunctions.XFGetCell("True","Consol", $B81,"Tot_Entity","Aggregated",W$2,W$3,W$4,$C81,"TopFlow","Top","Top","Tot_Los","TOT_Dept_WO_Addbacks","TOT_Medicaid",$A81,"Top5","Top6","Reported","Top8")</f>
        <v>18906846.327170663</v>
      </c>
      <c r="X81" s="21">
        <f>+V81-W81</f>
        <v>-2438497.2171706632</v>
      </c>
      <c r="AA81" s="56">
        <f>X37*W118</f>
        <v>-669155.21423951664</v>
      </c>
      <c r="AB81" s="57">
        <f>X118*V37</f>
        <v>-1769342.0029311478</v>
      </c>
      <c r="AD81" s="15">
        <f>_xll.OneStreamExcelAddIn.XFFunctions.XFGetCell("True","Consol", $B81,"Tot_Entity","USD",AD$2,AD$3,AD$4,$C81,"TopFlow","Top","Top","Tot_Los","TOT_Dept_WO_Addbacks","TOT_Medicaid",$A81,"Top5","Top6","Reported","Top8")</f>
        <v>4582890.2</v>
      </c>
      <c r="AE81" s="15">
        <f>_xll.OneStreamExcelAddIn.XFFunctions.XFGetCell("True","Consol", $B81,"Tot_Entity","USD",AE$2,AE$3,AE$4,$C81,"TopFlow","Top","Top","Tot_Los","TOT_Dept_WO_Addbacks","TOT_Medicaid",$A81,"Top5","Top6","Reported","Top8")</f>
        <v>2763940.64</v>
      </c>
      <c r="AF81" s="21">
        <f>+AD81-AE81</f>
        <v>1818949.56</v>
      </c>
      <c r="AI81" s="56">
        <f>AF37*AE118</f>
        <v>-931380.34678321681</v>
      </c>
      <c r="AJ81" s="57">
        <f>AF118*AD37</f>
        <v>2750329.9067832166</v>
      </c>
      <c r="AL81" s="15">
        <f>_xll.OneStreamExcelAddIn.XFFunctions.XFGetCell("True","Consol", $B81,"Tot_Entity","USD",AL$2,AL$3,AL$4,$C81,"TopFlow","Top","Top","Tot_Los","TOT_Dept_WO_Addbacks","TOT_Medicaid",$A81,"Top5","Top6","Reported","Top8")</f>
        <v>16468349.109999999</v>
      </c>
      <c r="AM81" s="15">
        <f>_xll.OneStreamExcelAddIn.XFFunctions.XFGetCell("True","Consol", $B81,"Tot_Entity","USD",AM$2,AM$3,AM$4,$C81,"TopFlow","Top","Top","Tot_Los","TOT_Dept_WO_Addbacks","TOT_Medicaid",$A81,"Top5","Top6","Reported","Top8")</f>
        <v>11017865.539999999</v>
      </c>
      <c r="AN81" s="21">
        <f>+AL81-AM81</f>
        <v>5450483.5700000003</v>
      </c>
      <c r="AQ81" s="56">
        <f>AN37*AM118</f>
        <v>-2858982.4960546745</v>
      </c>
      <c r="AR81" s="57">
        <f>AN118*AL37</f>
        <v>8309466.0660546739</v>
      </c>
      <c r="AT81" s="15">
        <f>_xll.OneStreamExcelAddIn.XFFunctions.XFGetCell("True","Consol", $B81,"Tot_Entity","USD",AT$2,AT$3,AT$4,$C81,"TopFlow","Top","Top","Tot_Los","TOT_Dept_WO_Addbacks","TOT_Medicaid",$A81,"Top5","Top6","Reported","Top8")</f>
        <v>0</v>
      </c>
      <c r="AU81" s="15">
        <f>_xll.OneStreamExcelAddIn.XFFunctions.XFGetCell("True","Consol", $B81,"Tot_Entity","USD",AU$2,AU$3,AU$4,$C81,"TopFlow","Top","Top","Tot_Los","TOT_Dept_WO_Addbacks","TOT_Medicaid",$A81,"Top5","Top6","Reported","Top8")</f>
        <v>4636059.1571777416</v>
      </c>
      <c r="AV81" s="162">
        <f>+AT81-AU81</f>
        <v>-4636059.1571777416</v>
      </c>
      <c r="AY81" s="56">
        <f>AV37*AU118</f>
        <v>-4636059.1571777416</v>
      </c>
      <c r="AZ81" s="57">
        <f>AV118*AT37</f>
        <v>0</v>
      </c>
    </row>
    <row r="82" spans="1:52" x14ac:dyDescent="0.2">
      <c r="A82" s="16" t="str">
        <f>+$A$8</f>
        <v>Acute_DIV1</v>
      </c>
      <c r="B82" s="15">
        <f>+$B$8</f>
        <v>127</v>
      </c>
      <c r="C82" s="14" t="s">
        <v>144</v>
      </c>
      <c r="D82" s="14" t="s">
        <v>150</v>
      </c>
      <c r="E82" s="15">
        <f>_xll.OneStreamExcelAddIn.XFFunctions.XFGetCell("True","Consol", $B82,"Tot_Entity","USD",E$2,E$3,E$4,$C82,"TopFlow","Top","Top","Tot_Los","TOT_Dept_WO_Addbacks","TOT_Comm",$A82,"Top5","Top6","Reported","Top8")</f>
        <v>714502.28</v>
      </c>
      <c r="F82" s="15">
        <f>_xll.OneStreamExcelAddIn.XFFunctions.XFGetCell("True","Consol", $B82,"Tot_Entity","Aggregated",F$2,F$3,F$4,$C82,"TopFlow","Top","Top","Tot_Los","TOT_Dept_WO_Addbacks","TOT_Comm",$A82,"Top5","Top6","Reported","Top8")</f>
        <v>812929.54850706598</v>
      </c>
      <c r="G82" s="21">
        <f>+E82-F82</f>
        <v>-98427.26850706595</v>
      </c>
      <c r="J82" s="56">
        <f>G38*F119</f>
        <v>-134793.80263558985</v>
      </c>
      <c r="K82" s="57">
        <f>G119*E38</f>
        <v>36366.534128523985</v>
      </c>
      <c r="M82" s="15">
        <f>_xll.OneStreamExcelAddIn.XFFunctions.XFGetCell("True","Consol", $B82,"Tot_Entity","USD",M$2,M$3,M$4,$C82,"TopFlow","Top","Top","Tot_Los","TOT_Dept_WO_Addbacks","TOT_Comm",$A82,"Top5","Top6","Reported","Top8")</f>
        <v>714502.28</v>
      </c>
      <c r="N82" s="15">
        <f>_xll.OneStreamExcelAddIn.XFFunctions.XFGetCell("True","Consol", $B82,"Tot_Entity","USD",N$2,N$3,N$4,$C82,"TopFlow","Top","Top","Tot_Los","TOT_Dept_WO_Addbacks","TOT_Comm",$A82,"Top5","Top6","Reported","Top8")</f>
        <v>885498.1</v>
      </c>
      <c r="O82" s="21">
        <f>+M82-N82</f>
        <v>-170995.81999999995</v>
      </c>
      <c r="Q82" s="56">
        <f t="shared" si="27"/>
        <v>-19943.650900900902</v>
      </c>
      <c r="R82" s="57">
        <f t="shared" si="28"/>
        <v>-151052.16909909906</v>
      </c>
      <c r="T82" s="21"/>
      <c r="V82" s="15">
        <f>_xll.OneStreamExcelAddIn.XFFunctions.XFGetCell("True","Consol", $B82,"Tot_Entity","USD",V$2,V$3,V$4,$C82,"TopFlow","Top","Top","Tot_Los","TOT_Dept_WO_Addbacks","TOT_Comm",$A82,"Top5","Top6","Reported","Top8")</f>
        <v>3080430.5</v>
      </c>
      <c r="W82" s="15">
        <f>_xll.OneStreamExcelAddIn.XFFunctions.XFGetCell("True","Consol", $B82,"Tot_Entity","Aggregated",W$2,W$3,W$4,$C82,"TopFlow","Top","Top","Tot_Los","TOT_Dept_WO_Addbacks","TOT_Comm",$A82,"Top5","Top6","Reported","Top8")</f>
        <v>2532027.2082321071</v>
      </c>
      <c r="X82" s="21">
        <f>+V82-W82</f>
        <v>548403.29176789289</v>
      </c>
      <c r="AA82" s="56">
        <f>X38*W119</f>
        <v>-125470.23798428875</v>
      </c>
      <c r="AB82" s="57">
        <f>X119*V38</f>
        <v>673873.52975218138</v>
      </c>
      <c r="AD82" s="15">
        <f>_xll.OneStreamExcelAddIn.XFFunctions.XFGetCell("True","Consol", $B82,"Tot_Entity","USD",AD$2,AD$3,AD$4,$C82,"TopFlow","Top","Top","Tot_Los","TOT_Dept_WO_Addbacks","TOT_Comm",$A82,"Top5","Top6","Reported","Top8")</f>
        <v>714502.28</v>
      </c>
      <c r="AE82" s="15">
        <f>_xll.OneStreamExcelAddIn.XFFunctions.XFGetCell("True","Consol", $B82,"Tot_Entity","USD",AE$2,AE$3,AE$4,$C82,"TopFlow","Top","Top","Tot_Los","TOT_Dept_WO_Addbacks","TOT_Comm",$A82,"Top5","Top6","Reported","Top8")</f>
        <v>823022.14</v>
      </c>
      <c r="AF82" s="21">
        <f>+AD82-AE82</f>
        <v>-108519.85999999999</v>
      </c>
      <c r="AI82" s="56">
        <f>AF38*AE119</f>
        <v>-120810.58935779816</v>
      </c>
      <c r="AJ82" s="57">
        <f>AF119*AD38</f>
        <v>12290.729357798196</v>
      </c>
      <c r="AL82" s="15">
        <f>_xll.OneStreamExcelAddIn.XFFunctions.XFGetCell("True","Consol", $B82,"Tot_Entity","USD",AL$2,AL$3,AL$4,$C82,"TopFlow","Top","Top","Tot_Los","TOT_Dept_WO_Addbacks","TOT_Comm",$A82,"Top5","Top6","Reported","Top8")</f>
        <v>3080430.5</v>
      </c>
      <c r="AM82" s="15">
        <f>_xll.OneStreamExcelAddIn.XFFunctions.XFGetCell("True","Consol", $B82,"Tot_Entity","USD",AM$2,AM$3,AM$4,$C82,"TopFlow","Top","Top","Tot_Los","TOT_Dept_WO_Addbacks","TOT_Comm",$A82,"Top5","Top6","Reported","Top8")</f>
        <v>2169640.31</v>
      </c>
      <c r="AN82" s="21">
        <f>+AL82-AM82</f>
        <v>910790.19</v>
      </c>
      <c r="AQ82" s="56">
        <f>AN38*AM119</f>
        <v>-147716.55790240064</v>
      </c>
      <c r="AR82" s="57">
        <f>AN119*AL38</f>
        <v>1058506.7479024003</v>
      </c>
      <c r="AT82" s="15">
        <f>_xll.OneStreamExcelAddIn.XFFunctions.XFGetCell("True","Consol", $B82,"Tot_Entity","USD",AT$2,AT$3,AT$4,$C82,"TopFlow","Top","Top","Tot_Los","TOT_Dept_WO_Addbacks","TOT_Comm",$A82,"Top5","Top6","Reported","Top8")</f>
        <v>0</v>
      </c>
      <c r="AU82" s="15">
        <f>_xll.OneStreamExcelAddIn.XFFunctions.XFGetCell("True","Consol", $B82,"Tot_Entity","USD",AU$2,AU$3,AU$4,$C82,"TopFlow","Top","Top","Tot_Los","TOT_Dept_WO_Addbacks","TOT_Comm",$A82,"Top5","Top6","Reported","Top8")</f>
        <v>812929.54850706598</v>
      </c>
      <c r="AV82" s="162">
        <f>+AT82-AU82</f>
        <v>-812929.54850706598</v>
      </c>
      <c r="AY82" s="56">
        <f>AV38*AU119</f>
        <v>-812929.54850706586</v>
      </c>
      <c r="AZ82" s="57">
        <f>AV119*AT38</f>
        <v>0</v>
      </c>
    </row>
    <row r="83" spans="1:52" x14ac:dyDescent="0.2">
      <c r="A83" s="16" t="str">
        <f>+$A$8</f>
        <v>Acute_DIV1</v>
      </c>
      <c r="B83" s="15">
        <f>+$B$8</f>
        <v>127</v>
      </c>
      <c r="C83" s="14" t="s">
        <v>144</v>
      </c>
      <c r="D83" s="14" t="s">
        <v>151</v>
      </c>
      <c r="E83" s="15">
        <f>_xll.OneStreamExcelAddIn.XFFunctions.XFGetCell("True","Consol", $B83,"Tot_Entity","USD",E$2,E$3,E$4,$C83,"TopFlow","Top","Top","Tot_Los","TOT_Dept_WO_Addbacks","TOT_Oth_Govt",$A83,"Top5","Top6","Reported","Top8")</f>
        <v>6415.43</v>
      </c>
      <c r="F83" s="15">
        <f>_xll.OneStreamExcelAddIn.XFFunctions.XFGetCell("True","Consol", $B83,"Tot_Entity","Aggregated",F$2,F$3,F$4,$C83,"TopFlow","Top","Top","Tot_Los","TOT_Dept_WO_Addbacks","TOT_Oth_Govt",$A83,"Top5","Top6","Reported","Top8")</f>
        <v>7811.0433231870002</v>
      </c>
      <c r="G83" s="21">
        <f>+E83-F83</f>
        <v>-1395.6133231869999</v>
      </c>
      <c r="J83" s="56">
        <f>G39*F120</f>
        <v>-306.98423540909562</v>
      </c>
      <c r="K83" s="57">
        <f t="shared" ref="K83:K84" si="29">G120*E39</f>
        <v>-1088.6290877779043</v>
      </c>
      <c r="M83" s="15">
        <f>_xll.OneStreamExcelAddIn.XFFunctions.XFGetCell("True","Consol", $B83,"Tot_Entity","USD",M$2,M$3,M$4,$C83,"TopFlow","Top","Top","Tot_Los","TOT_Dept_WO_Addbacks","TOT_Oth_Govt",$A83,"Top5","Top6","Reported","Top8")</f>
        <v>6415.43</v>
      </c>
      <c r="N83" s="15">
        <f>_xll.OneStreamExcelAddIn.XFFunctions.XFGetCell("True","Consol", $B83,"Tot_Entity","USD",N$2,N$3,N$4,$C83,"TopFlow","Top","Top","Tot_Los","TOT_Dept_WO_Addbacks","TOT_Oth_Govt",$A83,"Top5","Top6","Reported","Top8")</f>
        <v>10677.94</v>
      </c>
      <c r="O83" s="21">
        <f>+M83-N83</f>
        <v>-4262.51</v>
      </c>
      <c r="Q83" s="56">
        <f t="shared" si="27"/>
        <v>1067.7940000000001</v>
      </c>
      <c r="R83" s="57">
        <f t="shared" si="28"/>
        <v>-5330.304000000001</v>
      </c>
      <c r="T83" s="21"/>
      <c r="V83" s="15">
        <f>_xll.OneStreamExcelAddIn.XFFunctions.XFGetCell("True","Consol", $B83,"Tot_Entity","USD",V$2,V$3,V$4,$C83,"TopFlow","Top","Top","Tot_Los","TOT_Dept_WO_Addbacks","TOT_Oth_Govt",$A83,"Top5","Top6","Reported","Top8")</f>
        <v>54788.15</v>
      </c>
      <c r="W83" s="15">
        <f>_xll.OneStreamExcelAddIn.XFFunctions.XFGetCell("True","Consol", $B83,"Tot_Entity","Aggregated",W$2,W$3,W$4,$C83,"TopFlow","Top","Top","Tot_Los","TOT_Dept_WO_Addbacks","TOT_Oth_Govt",$A83,"Top5","Top6","Reported","Top8")</f>
        <v>14455.546551818001</v>
      </c>
      <c r="X83" s="21">
        <f>+V83-W83</f>
        <v>40332.603448182002</v>
      </c>
      <c r="AA83" s="56">
        <f>X39*W120</f>
        <v>27157.87202585534</v>
      </c>
      <c r="AB83" s="57">
        <f>X120*V39</f>
        <v>13174.731422326664</v>
      </c>
      <c r="AD83" s="15">
        <f>_xll.OneStreamExcelAddIn.XFFunctions.XFGetCell("True","Consol", $B83,"Tot_Entity","USD",AD$2,AD$3,AD$4,$C83,"TopFlow","Top","Top","Tot_Los","TOT_Dept_WO_Addbacks","TOT_Oth_Govt",$A83,"Top5","Top6","Reported","Top8")</f>
        <v>6415.43</v>
      </c>
      <c r="AE83" s="15">
        <f>_xll.OneStreamExcelAddIn.XFFunctions.XFGetCell("True","Consol", $B83,"Tot_Entity","USD",AE$2,AE$3,AE$4,$C83,"TopFlow","Top","Top","Tot_Los","TOT_Dept_WO_Addbacks","TOT_Oth_Govt",$A83,"Top5","Top6","Reported","Top8")</f>
        <v>16226.94</v>
      </c>
      <c r="AF83" s="21">
        <f>+AD83-AE83</f>
        <v>-9811.51</v>
      </c>
      <c r="AI83" s="56">
        <f>AF39*AE120</f>
        <v>-2496.4523076923078</v>
      </c>
      <c r="AJ83" s="57">
        <f>AF120*AD39</f>
        <v>-7315.0576923076933</v>
      </c>
      <c r="AL83" s="15">
        <f>_xll.OneStreamExcelAddIn.XFFunctions.XFGetCell("True","Consol", $B83,"Tot_Entity","USD",AL$2,AL$3,AL$4,$C83,"TopFlow","Top","Top","Tot_Los","TOT_Dept_WO_Addbacks","TOT_Oth_Govt",$A83,"Top5","Top6","Reported","Top8")</f>
        <v>54788.15</v>
      </c>
      <c r="AM83" s="15">
        <f>_xll.OneStreamExcelAddIn.XFFunctions.XFGetCell("True","Consol", $B83,"Tot_Entity","USD",AM$2,AM$3,AM$4,$C83,"TopFlow","Top","Top","Tot_Los","TOT_Dept_WO_Addbacks","TOT_Oth_Govt",$A83,"Top5","Top6","Reported","Top8")</f>
        <v>38609.599999999999</v>
      </c>
      <c r="AN83" s="21">
        <f>+AL83-AM83</f>
        <v>16178.550000000003</v>
      </c>
      <c r="AQ83" s="56">
        <f>AN39*AM120</f>
        <v>13727.857777777777</v>
      </c>
      <c r="AR83" s="57">
        <f>AN120*AL39</f>
        <v>2450.6922222222247</v>
      </c>
      <c r="AT83" s="15">
        <f>_xll.OneStreamExcelAddIn.XFFunctions.XFGetCell("True","Consol", $B83,"Tot_Entity","USD",AT$2,AT$3,AT$4,$C83,"TopFlow","Top","Top","Tot_Los","TOT_Dept_WO_Addbacks","TOT_Oth_Govt",$A83,"Top5","Top6","Reported","Top8")</f>
        <v>0</v>
      </c>
      <c r="AU83" s="15">
        <f>_xll.OneStreamExcelAddIn.XFFunctions.XFGetCell("True","Consol", $B83,"Tot_Entity","USD",AU$2,AU$3,AU$4,$C83,"TopFlow","Top","Top","Tot_Los","TOT_Dept_WO_Addbacks","TOT_Oth_Govt",$A83,"Top5","Top6","Reported","Top8")</f>
        <v>7811.0433231870002</v>
      </c>
      <c r="AV83" s="162">
        <f>+AT83-AU83</f>
        <v>-7811.0433231870002</v>
      </c>
      <c r="AY83" s="56">
        <f>AV39*AU120</f>
        <v>-7811.0433231870002</v>
      </c>
      <c r="AZ83" s="57">
        <f>AV120*AT39</f>
        <v>0</v>
      </c>
    </row>
    <row r="84" spans="1:52" x14ac:dyDescent="0.2">
      <c r="A84" s="16" t="str">
        <f>+$A$8</f>
        <v>Acute_DIV1</v>
      </c>
      <c r="B84" s="15">
        <f>+$B$8</f>
        <v>127</v>
      </c>
      <c r="C84" s="14" t="s">
        <v>144</v>
      </c>
      <c r="D84" s="14" t="s">
        <v>152</v>
      </c>
      <c r="E84" s="15">
        <f>_xll.OneStreamExcelAddIn.XFFunctions.XFGetCell("True","Consol", $B84,"Tot_Entity","USD",E$2,E$3,E$4,$C84,"TopFlow","Top","Top","Tot_Los","TOT_Dept_WO_Addbacks","TOT_Self_Pay_Oth",$A84,"Top5","Top6","Reported","Top8")</f>
        <v>215428.48000000001</v>
      </c>
      <c r="F84" s="15">
        <f>_xll.OneStreamExcelAddIn.XFFunctions.XFGetCell("True","Consol", $B84,"Tot_Entity","Aggregated",F$2,F$3,F$4,$C84,"TopFlow","Top","Top","Tot_Los","TOT_Dept_WO_Addbacks","TOT_Self_Pay_Oth",$A84,"Top5","Top6","Reported","Top8")</f>
        <v>9391.3539013000009</v>
      </c>
      <c r="G84" s="21">
        <f>+E84-F84</f>
        <v>206037.12609870001</v>
      </c>
      <c r="J84" s="58">
        <f>G40*F121</f>
        <v>4065.1012055277233</v>
      </c>
      <c r="K84" s="59">
        <f t="shared" si="29"/>
        <v>201972.02489317229</v>
      </c>
      <c r="M84" s="15">
        <f>_xll.OneStreamExcelAddIn.XFFunctions.XFGetCell("True","Consol", $B84,"Tot_Entity","USD",M$2,M$3,M$4,$C84,"TopFlow","Top","Top","Tot_Los","TOT_Dept_WO_Addbacks","TOT_Self_Pay_Oth",$A84,"Top5","Top6","Reported","Top8")</f>
        <v>215428.48000000001</v>
      </c>
      <c r="N84" s="15">
        <f>_xll.OneStreamExcelAddIn.XFFunctions.XFGetCell("True","Consol", $B84,"Tot_Entity","USD",N$2,N$3,N$4,$C84,"TopFlow","Top","Top","Tot_Los","TOT_Dept_WO_Addbacks","TOT_Self_Pay_Oth",$A84,"Top5","Top6","Reported","Top8")</f>
        <v>21011.9</v>
      </c>
      <c r="O84" s="21">
        <f>+M84-N84</f>
        <v>194416.58000000002</v>
      </c>
      <c r="Q84" s="58">
        <f t="shared" si="27"/>
        <v>4202.38</v>
      </c>
      <c r="R84" s="59">
        <f t="shared" si="28"/>
        <v>190214.2</v>
      </c>
      <c r="T84" s="21"/>
      <c r="V84" s="15">
        <f>_xll.OneStreamExcelAddIn.XFFunctions.XFGetCell("True","Consol", $B84,"Tot_Entity","USD",V$2,V$3,V$4,$C84,"TopFlow","Top","Top","Tot_Los","TOT_Dept_WO_Addbacks","TOT_Self_Pay_Oth",$A84,"Top5","Top6","Reported","Top8")</f>
        <v>112282.93</v>
      </c>
      <c r="W84" s="15">
        <f>_xll.OneStreamExcelAddIn.XFFunctions.XFGetCell("True","Consol", $B84,"Tot_Entity","Aggregated",W$2,W$3,W$4,$C84,"TopFlow","Top","Top","Tot_Los","TOT_Dept_WO_Addbacks","TOT_Self_Pay_Oth",$A84,"Top5","Top6","Reported","Top8")</f>
        <v>380791.85569084203</v>
      </c>
      <c r="X84" s="21">
        <f>+V84-W84</f>
        <v>-268508.92569084204</v>
      </c>
      <c r="AA84" s="58">
        <f>X40*W121</f>
        <v>81034.801681855271</v>
      </c>
      <c r="AB84" s="59">
        <f>X121*V40</f>
        <v>-349543.72737269732</v>
      </c>
      <c r="AD84" s="15">
        <f>_xll.OneStreamExcelAddIn.XFFunctions.XFGetCell("True","Consol", $B84,"Tot_Entity","USD",AD$2,AD$3,AD$4,$C84,"TopFlow","Top","Top","Tot_Los","TOT_Dept_WO_Addbacks","TOT_Self_Pay_Oth",$A84,"Top5","Top6","Reported","Top8")</f>
        <v>215428.48000000001</v>
      </c>
      <c r="AE84" s="15">
        <f>_xll.OneStreamExcelAddIn.XFFunctions.XFGetCell("True","Consol", $B84,"Tot_Entity","USD",AE$2,AE$3,AE$4,$C84,"TopFlow","Top","Top","Tot_Los","TOT_Dept_WO_Addbacks","TOT_Self_Pay_Oth",$A84,"Top5","Top6","Reported","Top8")</f>
        <v>-35460.720000000001</v>
      </c>
      <c r="AF84" s="21">
        <f>+AD84-AE84</f>
        <v>250889.2</v>
      </c>
      <c r="AI84" s="58">
        <f>AF40*AE121</f>
        <v>-35460.720000000001</v>
      </c>
      <c r="AJ84" s="59">
        <f>AF121*AD40</f>
        <v>286349.92000000004</v>
      </c>
      <c r="AL84" s="15">
        <f>_xll.OneStreamExcelAddIn.XFFunctions.XFGetCell("True","Consol", $B84,"Tot_Entity","USD",AL$2,AL$3,AL$4,$C84,"TopFlow","Top","Top","Tot_Los","TOT_Dept_WO_Addbacks","TOT_Self_Pay_Oth",$A84,"Top5","Top6","Reported","Top8")</f>
        <v>112282.93</v>
      </c>
      <c r="AM84" s="15">
        <f>_xll.OneStreamExcelAddIn.XFFunctions.XFGetCell("True","Consol", $B84,"Tot_Entity","USD",AM$2,AM$3,AM$4,$C84,"TopFlow","Top","Top","Tot_Los","TOT_Dept_WO_Addbacks","TOT_Self_Pay_Oth",$A84,"Top5","Top6","Reported","Top8")</f>
        <v>65916.03</v>
      </c>
      <c r="AN84" s="21">
        <f>+AL84-AM84</f>
        <v>46366.899999999994</v>
      </c>
      <c r="AQ84" s="58">
        <f>AN40*AM121</f>
        <v>31446.17944954128</v>
      </c>
      <c r="AR84" s="59">
        <f>AN121*AL40</f>
        <v>14920.720550458722</v>
      </c>
      <c r="AT84" s="15">
        <f>_xll.OneStreamExcelAddIn.XFFunctions.XFGetCell("True","Consol", $B84,"Tot_Entity","USD",AT$2,AT$3,AT$4,$C84,"TopFlow","Top","Top","Tot_Los","TOT_Dept_WO_Addbacks","TOT_Self_Pay_Oth",$A84,"Top5","Top6","Reported","Top8")</f>
        <v>0</v>
      </c>
      <c r="AU84" s="15">
        <f>_xll.OneStreamExcelAddIn.XFFunctions.XFGetCell("True","Consol", $B84,"Tot_Entity","USD",AU$2,AU$3,AU$4,$C84,"TopFlow","Top","Top","Tot_Los","TOT_Dept_WO_Addbacks","TOT_Self_Pay_Oth",$A84,"Top5","Top6","Reported","Top8")</f>
        <v>9391.3539013000009</v>
      </c>
      <c r="AV84" s="162">
        <f>+AT84-AU84</f>
        <v>-9391.3539013000009</v>
      </c>
      <c r="AY84" s="58">
        <f>AV40*AU121</f>
        <v>-9391.3539013000009</v>
      </c>
      <c r="AZ84" s="59">
        <f>AV121*AT40</f>
        <v>0</v>
      </c>
    </row>
    <row r="85" spans="1:52" hidden="1" outlineLevel="1" x14ac:dyDescent="0.2">
      <c r="E85" s="1" t="b">
        <f>E78=SUM(E80:E84)</f>
        <v>1</v>
      </c>
      <c r="F85" s="1" t="b">
        <f>F78=SUM(F80:F84)</f>
        <v>1</v>
      </c>
      <c r="M85" s="1" t="b">
        <f>M78=SUM(M80:M84)</f>
        <v>1</v>
      </c>
      <c r="N85" s="1" t="b">
        <f>N78=SUM(N80:N84)</f>
        <v>1</v>
      </c>
      <c r="V85" s="1" t="b">
        <f>V78=SUM(V80:V84)</f>
        <v>1</v>
      </c>
      <c r="W85" s="1" t="b">
        <f>W78=SUM(W80:W84)</f>
        <v>1</v>
      </c>
      <c r="AD85" s="1" t="b">
        <f>AD78=SUM(AD80:AD84)</f>
        <v>1</v>
      </c>
      <c r="AE85" s="1" t="b">
        <f>AE78=SUM(AE80:AE84)</f>
        <v>1</v>
      </c>
      <c r="AL85" s="1" t="b">
        <f>AL78=SUM(AL80:AL84)</f>
        <v>1</v>
      </c>
      <c r="AM85" s="1" t="b">
        <f>AM78=SUM(AM80:AM84)</f>
        <v>1</v>
      </c>
      <c r="AT85" s="1" t="b">
        <f>AT78=SUM(AT80:AT84)</f>
        <v>1</v>
      </c>
      <c r="AU85" s="1" t="b">
        <f>AU78=SUM(AU80:AU84)</f>
        <v>1</v>
      </c>
    </row>
    <row r="86" spans="1:52" collapsed="1" x14ac:dyDescent="0.2"/>
    <row r="87" spans="1:52" x14ac:dyDescent="0.2">
      <c r="A87" s="16" t="str">
        <f>+$A$8</f>
        <v>Acute_DIV1</v>
      </c>
      <c r="B87" s="15">
        <f>+$B$8</f>
        <v>127</v>
      </c>
      <c r="C87" s="14" t="s">
        <v>144</v>
      </c>
      <c r="D87" s="14" t="s">
        <v>153</v>
      </c>
      <c r="E87" s="15">
        <f>_xll.OneStreamExcelAddIn.XFFunctions.XFGetCell("True","Consol", $B87,"Tot_Entity","USD",E$2,E$3,E$4,$C87,"TopFlow","Top","Top","Tot_Los","TOT_IP_Dir_Patient_Act","Tot_FC",$A87,"Top5","Top6","Reported","Top8")</f>
        <v>5952867.5999999996</v>
      </c>
      <c r="F87" s="15">
        <f>_xll.OneStreamExcelAddIn.XFFunctions.XFGetCell("True","Consol", $B87,"Tot_Entity","Aggregated",F$2,F$3,F$4,$C87,"TopFlow","Top","Top","Tot_Los","TOT_IP_Dir_Patient_Act","TOP3",$A87,"Top5","Top6","Reported","Top8")</f>
        <v>5588382.677133128</v>
      </c>
      <c r="G87" s="21">
        <f>+E87-F87</f>
        <v>364484.92286687158</v>
      </c>
      <c r="M87" s="15">
        <f>_xll.OneStreamExcelAddIn.XFFunctions.XFGetCell("True","Consol", $B87,"Tot_Entity","USD",M$2,M$3,M$4,$C87,"TopFlow","Top","Top","Tot_Los","TOT_IP_Dir_Patient_Act","Tot_FC",$A87,"Top5","Top6","Reported","Top8")</f>
        <v>5952867.5999999996</v>
      </c>
      <c r="N87" s="15">
        <f>_xll.OneStreamExcelAddIn.XFFunctions.XFGetCell("True","Consol", $B87,"Tot_Entity","USD",N$2,N$3,N$4,$C87,"TopFlow","Top","Top","Tot_Los","TOT_IP_Dir_Patient_Act","Tot_FC",$A87,"Top5","Top6","Reported","Top8")</f>
        <v>3333340.32</v>
      </c>
      <c r="O87" s="21">
        <f>+M87-N87</f>
        <v>2619527.2799999998</v>
      </c>
      <c r="Q87" s="21"/>
      <c r="R87" s="21"/>
      <c r="T87" s="21"/>
      <c r="V87" s="15">
        <f>_xll.OneStreamExcelAddIn.XFFunctions.XFGetCell("True","Consol", $B87,"Tot_Entity","USD",V$2,V$3,V$4,$C87,"TopFlow","Top","Top","Tot_Los","TOT_IP_Dir_Patient_Act","Tot_FC",$A87,"Top5","Top6","Reported","Top8")</f>
        <v>20393295.41</v>
      </c>
      <c r="W87" s="15">
        <f>_xll.OneStreamExcelAddIn.XFFunctions.XFGetCell("True","Consol", $B87,"Tot_Entity","Aggregated",W$2,W$3,W$4,$C87,"TopFlow","Top","Top","Tot_Los","TOT_IP_Dir_Patient_Act","TOP3",$A87,"Top5","Top6","Reported","Top8")</f>
        <v>22513115.176075954</v>
      </c>
      <c r="X87" s="21">
        <f>+V87-W87</f>
        <v>-2119819.7660759538</v>
      </c>
      <c r="AD87" s="15">
        <f>_xll.OneStreamExcelAddIn.XFFunctions.XFGetCell("True","Consol", $B87,"Tot_Entity","USD",AD$2,AD$3,AD$4,$C87,"TopFlow","Top","Top","Tot_Los","TOT_IP_Dir_Patient_Act","Tot_FC",$A87,"Top5","Top6","Reported","Top8")</f>
        <v>5952867.5999999996</v>
      </c>
      <c r="AE87" s="15">
        <f>_xll.OneStreamExcelAddIn.XFFunctions.XFGetCell("True","Consol", $B87,"Tot_Entity","USD",AE$2,AE$3,AE$4,$C87,"TopFlow","Top","Top","Tot_Los","TOT_IP_Dir_Patient_Act","Tot_FC",$A87,"Top5","Top6","Reported","Top8")</f>
        <v>3617667.74</v>
      </c>
      <c r="AF87" s="21">
        <f>+AD87-AE87</f>
        <v>2335199.8599999994</v>
      </c>
      <c r="AL87" s="15">
        <f>_xll.OneStreamExcelAddIn.XFFunctions.XFGetCell("True","Consol", $B87,"Tot_Entity","USD",AL$2,AL$3,AL$4,$C87,"TopFlow","Top","Top","Tot_Los","TOT_IP_Dir_Patient_Act","Tot_FC",$A87,"Top5","Top6","Reported","Top8")</f>
        <v>20393295.41</v>
      </c>
      <c r="AM87" s="15">
        <f>_xll.OneStreamExcelAddIn.XFFunctions.XFGetCell("True","Consol", $B87,"Tot_Entity","USD",AM$2,AM$3,AM$4,$C87,"TopFlow","Top","Top","Tot_Los","TOT_IP_Dir_Patient_Act","Tot_FC",$A87,"Top5","Top6","Reported","Top8")</f>
        <v>14061745.1</v>
      </c>
      <c r="AN87" s="21">
        <f>+AL87-AM87</f>
        <v>6331550.3100000005</v>
      </c>
      <c r="AT87" s="15">
        <f>_xll.OneStreamExcelAddIn.XFFunctions.XFGetCell("True","Consol", $B87,"Tot_Entity","USD",AT$2,AT$3,AT$4,$C87,"TopFlow","Top","Top","Tot_Los","TOT_IP_Dir_Patient_Act","Tot_FC",$A87,"Top5","Top6","Reported","Top8")</f>
        <v>0</v>
      </c>
      <c r="AU87" s="15">
        <f>_xll.OneStreamExcelAddIn.XFFunctions.XFGetCell("True","Consol", $B87,"Tot_Entity","USD",AU$2,AU$3,AU$4,$C87,"TopFlow","Top","Top","Tot_Los","TOT_IP_Dir_Patient_Act","Tot_FC",$A87,"Top5","Top6","Reported","Top8")</f>
        <v>5588382.677133128</v>
      </c>
      <c r="AV87" s="162">
        <f>+AT87-AU87</f>
        <v>-5588382.677133128</v>
      </c>
    </row>
    <row r="88" spans="1:52" x14ac:dyDescent="0.2">
      <c r="A88" s="16" t="str">
        <f>+$A$8</f>
        <v>Acute_DIV1</v>
      </c>
      <c r="B88" s="15">
        <f>+$B$8</f>
        <v>127</v>
      </c>
      <c r="C88" s="14" t="s">
        <v>144</v>
      </c>
      <c r="D88" s="14" t="s">
        <v>154</v>
      </c>
      <c r="E88" s="15">
        <f>_xll.OneStreamExcelAddIn.XFFunctions.XFGetCell("True","Consol", $B88,"Tot_Entity","USD",E$2,E$3,E$4,$C88,"TopFlow","Top","Top","Tot_Los","TOT_OP_Dir_Patient_Act","Tot_FC",$A88,"Top5","Top6","Reported","Top8")</f>
        <v>0</v>
      </c>
      <c r="F88" s="15">
        <f>_xll.OneStreamExcelAddIn.XFFunctions.XFGetCell("True","Consol", $B88,"Tot_Entity","Aggregated",F$2,F$3,F$4,$C88,"TopFlow","Top","Top","Tot_Los","TOT_OP_Dir_Patient_Act","TOP3",$A88,"Top5","Top6","Reported","Top8")</f>
        <v>0</v>
      </c>
      <c r="G88" s="21">
        <f>+E88-F88</f>
        <v>0</v>
      </c>
      <c r="M88" s="15">
        <f>_xll.OneStreamExcelAddIn.XFFunctions.XFGetCell("True","Consol", $B88,"Tot_Entity","USD",M$2,M$3,M$4,$C88,"TopFlow","Top","Top","Tot_Los","TOT_OP_Dir_Patient_Act","Tot_FC",$A88,"Top5","Top6","Reported","Top8")</f>
        <v>0</v>
      </c>
      <c r="N88" s="15">
        <f>_xll.OneStreamExcelAddIn.XFFunctions.XFGetCell("True","Consol", $B88,"Tot_Entity","USD",N$2,N$3,N$4,$C88,"TopFlow","Top","Top","Tot_Los","TOT_OP_Dir_Patient_Act","Tot_FC",$A88,"Top5","Top6","Reported","Top8")</f>
        <v>0</v>
      </c>
      <c r="O88" s="21">
        <f>+M88-N88</f>
        <v>0</v>
      </c>
      <c r="Q88" s="21"/>
      <c r="R88" s="21"/>
      <c r="T88" s="21"/>
      <c r="V88" s="15">
        <f>_xll.OneStreamExcelAddIn.XFFunctions.XFGetCell("True","Consol", $B88,"Tot_Entity","USD",V$2,V$3,V$4,$C88,"TopFlow","Top","Top","Tot_Los","TOT_OP_Dir_Patient_Act","Tot_FC",$A88,"Top5","Top6","Reported","Top8")</f>
        <v>0</v>
      </c>
      <c r="W88" s="15">
        <f>_xll.OneStreamExcelAddIn.XFFunctions.XFGetCell("True","Consol", $B88,"Tot_Entity","Aggregated",W$2,W$3,W$4,$C88,"TopFlow","Top","Top","Tot_Los","TOT_OP_Dir_Patient_Act","TOP3",$A88,"Top5","Top6","Reported","Top8")</f>
        <v>0</v>
      </c>
      <c r="X88" s="21">
        <f>+V88-W88</f>
        <v>0</v>
      </c>
      <c r="AD88" s="15">
        <f>_xll.OneStreamExcelAddIn.XFFunctions.XFGetCell("True","Consol", $B88,"Tot_Entity","USD",AD$2,AD$3,AD$4,$C88,"TopFlow","Top","Top","Tot_Los","TOT_OP_Dir_Patient_Act","Tot_FC",$A88,"Top5","Top6","Reported","Top8")</f>
        <v>0</v>
      </c>
      <c r="AE88" s="15">
        <f>_xll.OneStreamExcelAddIn.XFFunctions.XFGetCell("True","Consol", $B88,"Tot_Entity","USD",AE$2,AE$3,AE$4,$C88,"TopFlow","Top","Top","Tot_Los","TOT_OP_Dir_Patient_Act","Tot_FC",$A88,"Top5","Top6","Reported","Top8")</f>
        <v>0</v>
      </c>
      <c r="AF88" s="21">
        <f>+AD88-AE88</f>
        <v>0</v>
      </c>
      <c r="AL88" s="15">
        <f>_xll.OneStreamExcelAddIn.XFFunctions.XFGetCell("True","Consol", $B88,"Tot_Entity","USD",AL$2,AL$3,AL$4,$C88,"TopFlow","Top","Top","Tot_Los","TOT_OP_Dir_Patient_Act","Tot_FC",$A88,"Top5","Top6","Reported","Top8")</f>
        <v>0</v>
      </c>
      <c r="AM88" s="15">
        <f>_xll.OneStreamExcelAddIn.XFFunctions.XFGetCell("True","Consol", $B88,"Tot_Entity","USD",AM$2,AM$3,AM$4,$C88,"TopFlow","Top","Top","Tot_Los","TOT_OP_Dir_Patient_Act","Tot_FC",$A88,"Top5","Top6","Reported","Top8")</f>
        <v>0</v>
      </c>
      <c r="AN88" s="21">
        <f>+AL88-AM88</f>
        <v>0</v>
      </c>
      <c r="AT88" s="15">
        <f>_xll.OneStreamExcelAddIn.XFFunctions.XFGetCell("True","Consol", $B88,"Tot_Entity","USD",AT$2,AT$3,AT$4,$C88,"TopFlow","Top","Top","Tot_Los","TOT_OP_Dir_Patient_Act","Tot_FC",$A88,"Top5","Top6","Reported","Top8")</f>
        <v>0</v>
      </c>
      <c r="AU88" s="15">
        <f>_xll.OneStreamExcelAddIn.XFFunctions.XFGetCell("True","Consol", $B88,"Tot_Entity","USD",AU$2,AU$3,AU$4,$C88,"TopFlow","Top","Top","Tot_Los","TOT_OP_Dir_Patient_Act","Tot_FC",$A88,"Top5","Top6","Reported","Top8")</f>
        <v>0</v>
      </c>
      <c r="AV88" s="162">
        <f>+AT88-AU88</f>
        <v>0</v>
      </c>
    </row>
    <row r="89" spans="1:52" x14ac:dyDescent="0.2">
      <c r="A89" s="16" t="str">
        <f>+$A$8</f>
        <v>Acute_DIV1</v>
      </c>
      <c r="B89" s="15">
        <f>+$B$8</f>
        <v>127</v>
      </c>
      <c r="C89" s="14" t="s">
        <v>144</v>
      </c>
      <c r="D89" s="14" t="s">
        <v>155</v>
      </c>
      <c r="E89" s="15">
        <f>_xll.OneStreamExcelAddIn.XFFunctions.XFGetCell("True","Consol", $B89,"Tot_Entity","USD",E$2,E$3,E$4,$C89,"TopFlow","Top","Top","Tot_Los","TOT_Phy_Depts","Tot_FC",$A89,"Top5","Top6","Reported","Top8")</f>
        <v>128305.05</v>
      </c>
      <c r="F89" s="15">
        <f>_xll.OneStreamExcelAddIn.XFFunctions.XFGetCell("True","Consol", $B89,"Tot_Entity","Aggregated",F$2,F$3,F$4,$C89,"TopFlow","Top","Top","Tot_Los","TOT_Phy_Depts","TOP3",$A89,"Top5","Top6","Reported","Top8")</f>
        <v>110014.618</v>
      </c>
      <c r="G89" s="21">
        <f>+E89-F89</f>
        <v>18290.432000000001</v>
      </c>
      <c r="M89" s="15">
        <f>_xll.OneStreamExcelAddIn.XFFunctions.XFGetCell("True","Consol", $B89,"Tot_Entity","USD",M$2,M$3,M$4,$C89,"TopFlow","Top","Top","Tot_Los","TOT_Phy_Depts","Tot_FC",$A89,"Top5","Top6","Reported","Top8")</f>
        <v>128305.05</v>
      </c>
      <c r="N89" s="15">
        <f>_xll.OneStreamExcelAddIn.XFFunctions.XFGetCell("True","Consol", $B89,"Tot_Entity","USD",N$2,N$3,N$4,$C89,"TopFlow","Top","Top","Tot_Los","TOT_Phy_Depts","Tot_FC",$A89,"Top5","Top6","Reported","Top8")</f>
        <v>79238</v>
      </c>
      <c r="O89" s="21">
        <f>+M89-N89</f>
        <v>49067.05</v>
      </c>
      <c r="Q89" s="21"/>
      <c r="R89" s="21"/>
      <c r="T89" s="21"/>
      <c r="V89" s="15">
        <f>_xll.OneStreamExcelAddIn.XFFunctions.XFGetCell("True","Consol", $B89,"Tot_Entity","USD",V$2,V$3,V$4,$C89,"TopFlow","Top","Top","Tot_Los","TOT_Phy_Depts","Tot_FC",$A89,"Top5","Top6","Reported","Top8")</f>
        <v>408004.82</v>
      </c>
      <c r="W89" s="15">
        <f>_xll.OneStreamExcelAddIn.XFFunctions.XFGetCell("True","Consol", $B89,"Tot_Entity","Aggregated",W$2,W$3,W$4,$C89,"TopFlow","Top","Top","Tot_Los","TOT_Phy_Depts","TOP3",$A89,"Top5","Top6","Reported","Top8")</f>
        <v>462663.80699999997</v>
      </c>
      <c r="X89" s="21">
        <f>+V89-W89</f>
        <v>-54658.986999999965</v>
      </c>
      <c r="AD89" s="15">
        <f>_xll.OneStreamExcelAddIn.XFFunctions.XFGetCell("True","Consol", $B89,"Tot_Entity","USD",AD$2,AD$3,AD$4,$C89,"TopFlow","Top","Top","Tot_Los","TOT_Phy_Depts","Tot_FC",$A89,"Top5","Top6","Reported","Top8")</f>
        <v>128305.05</v>
      </c>
      <c r="AE89" s="15">
        <f>_xll.OneStreamExcelAddIn.XFFunctions.XFGetCell("True","Consol", $B89,"Tot_Entity","USD",AE$2,AE$3,AE$4,$C89,"TopFlow","Top","Top","Tot_Los","TOT_Phy_Depts","Tot_FC",$A89,"Top5","Top6","Reported","Top8")</f>
        <v>137248.39000000001</v>
      </c>
      <c r="AF89" s="21">
        <f>+AD89-AE89</f>
        <v>-8943.3400000000111</v>
      </c>
      <c r="AL89" s="15">
        <f>_xll.OneStreamExcelAddIn.XFFunctions.XFGetCell("True","Consol", $B89,"Tot_Entity","USD",AL$2,AL$3,AL$4,$C89,"TopFlow","Top","Top","Tot_Los","TOT_Phy_Depts","Tot_FC",$A89,"Top5","Top6","Reported","Top8")</f>
        <v>408004.82</v>
      </c>
      <c r="AM89" s="15">
        <f>_xll.OneStreamExcelAddIn.XFFunctions.XFGetCell("True","Consol", $B89,"Tot_Entity","USD",AM$2,AM$3,AM$4,$C89,"TopFlow","Top","Top","Tot_Los","TOT_Phy_Depts","Tot_FC",$A89,"Top5","Top6","Reported","Top8")</f>
        <v>589530.05000000005</v>
      </c>
      <c r="AN89" s="21">
        <f>+AL89-AM89</f>
        <v>-181525.23000000004</v>
      </c>
      <c r="AT89" s="15">
        <f>_xll.OneStreamExcelAddIn.XFFunctions.XFGetCell("True","Consol", $B89,"Tot_Entity","USD",AT$2,AT$3,AT$4,$C89,"TopFlow","Top","Top","Tot_Los","TOT_Phy_Depts","Tot_FC",$A89,"Top5","Top6","Reported","Top8")</f>
        <v>0</v>
      </c>
      <c r="AU89" s="15">
        <f>_xll.OneStreamExcelAddIn.XFFunctions.XFGetCell("True","Consol", $B89,"Tot_Entity","USD",AU$2,AU$3,AU$4,$C89,"TopFlow","Top","Top","Tot_Los","TOT_Phy_Depts","Tot_FC",$A89,"Top5","Top6","Reported","Top8")</f>
        <v>110014.618</v>
      </c>
      <c r="AV89" s="162">
        <f>+AT89-AU89</f>
        <v>-110014.618</v>
      </c>
    </row>
    <row r="91" spans="1:52" x14ac:dyDescent="0.2">
      <c r="A91" s="16" t="str">
        <f t="shared" ref="A91:A101" si="30">+$A$8</f>
        <v>Acute_DIV1</v>
      </c>
      <c r="B91" s="15">
        <f t="shared" ref="B91:B101" si="31">+$B$8</f>
        <v>127</v>
      </c>
      <c r="C91" s="14" t="s">
        <v>144</v>
      </c>
      <c r="D91" s="14" t="s">
        <v>113</v>
      </c>
      <c r="E91" s="15">
        <f>_xll.OneStreamExcelAddIn.XFFunctions.XFGetCell("True","Consol", $B91,"Tot_Entity","USD",E$2,E$3,E$4,$C91,"TopFlow","Top","Top","Tot_Los","TOT_IP_Child","Tot_FC",$A91,"Top5","Top6","Reported","Top8")</f>
        <v>0</v>
      </c>
      <c r="F91" s="15">
        <f>_xll.OneStreamExcelAddIn.XFFunctions.XFGetCell("True","Consol", $B91,"Tot_Entity","Aggregated",F$2,F$3,F$4,$C91,"TopFlow","Top","Top","Tot_Los","TOT_IP_Child","TOP3",$A91,"Top5","Top6","Reported","Top8")</f>
        <v>0</v>
      </c>
      <c r="G91" s="21">
        <f t="shared" ref="G91:G101" si="32">+E91-F91</f>
        <v>0</v>
      </c>
      <c r="M91" s="15">
        <f>_xll.OneStreamExcelAddIn.XFFunctions.XFGetCell("True","Consol", $B91,"Tot_Entity","USD",M$2,M$3,M$4,$C91,"TopFlow","Top","Top","Tot_Los","TOT_IP_Child","Tot_FC",$A91,"Top5","Top6","Reported","Top8")</f>
        <v>0</v>
      </c>
      <c r="N91" s="15">
        <f>_xll.OneStreamExcelAddIn.XFFunctions.XFGetCell("True","Consol", $B91,"Tot_Entity","USD",N$2,N$3,N$4,$C91,"TopFlow","Top","Top","Tot_Los","TOT_IP_Child","Tot_FC",$A91,"Top5","Top6","Reported","Top8")</f>
        <v>0</v>
      </c>
      <c r="O91" s="21">
        <f t="shared" ref="O91:O101" si="33">+M91-N91</f>
        <v>0</v>
      </c>
      <c r="Q91" s="21"/>
      <c r="R91" s="21"/>
      <c r="T91" s="21"/>
      <c r="V91" s="15">
        <f>_xll.OneStreamExcelAddIn.XFFunctions.XFGetCell("True","Consol", $B91,"Tot_Entity","USD",V$2,V$3,V$4,$C91,"TopFlow","Top","Top","Tot_Los","TOT_IP_Child","Tot_FC",$A91,"Top5","Top6","Reported","Top8")</f>
        <v>0</v>
      </c>
      <c r="W91" s="15">
        <f>_xll.OneStreamExcelAddIn.XFFunctions.XFGetCell("True","Consol", $B91,"Tot_Entity","Aggregated",W$2,W$3,W$4,$C91,"TopFlow","Top","Top","Tot_Los","TOT_IP_Child","TOP3",$A91,"Top5","Top6","Reported","Top8")</f>
        <v>0</v>
      </c>
      <c r="X91" s="21">
        <f t="shared" ref="X91:X101" si="34">+V91-W91</f>
        <v>0</v>
      </c>
      <c r="AD91" s="15">
        <f>_xll.OneStreamExcelAddIn.XFFunctions.XFGetCell("True","Consol", $B91,"Tot_Entity","USD",AD$2,AD$3,AD$4,$C91,"TopFlow","Top","Top","Tot_Los","TOT_IP_Child","Tot_FC",$A91,"Top5","Top6","Reported","Top8")</f>
        <v>0</v>
      </c>
      <c r="AE91" s="15">
        <f>_xll.OneStreamExcelAddIn.XFFunctions.XFGetCell("True","Consol", $B91,"Tot_Entity","USD",AE$2,AE$3,AE$4,$C91,"TopFlow","Top","Top","Tot_Los","TOT_IP_Child","Tot_FC",$A91,"Top5","Top6","Reported","Top8")</f>
        <v>0</v>
      </c>
      <c r="AF91" s="21">
        <f t="shared" ref="AF91:AF101" si="35">+AD91-AE91</f>
        <v>0</v>
      </c>
      <c r="AL91" s="15">
        <f>_xll.OneStreamExcelAddIn.XFFunctions.XFGetCell("True","Consol", $B91,"Tot_Entity","USD",AL$2,AL$3,AL$4,$C91,"TopFlow","Top","Top","Tot_Los","TOT_IP_Child","Tot_FC",$A91,"Top5","Top6","Reported","Top8")</f>
        <v>0</v>
      </c>
      <c r="AM91" s="15">
        <f>_xll.OneStreamExcelAddIn.XFFunctions.XFGetCell("True","Consol", $B91,"Tot_Entity","USD",AM$2,AM$3,AM$4,$C91,"TopFlow","Top","Top","Tot_Los","TOT_IP_Child","Tot_FC",$A91,"Top5","Top6","Reported","Top8")</f>
        <v>0</v>
      </c>
      <c r="AN91" s="21">
        <f t="shared" ref="AN91:AN101" si="36">+AL91-AM91</f>
        <v>0</v>
      </c>
      <c r="AT91" s="15">
        <f>_xll.OneStreamExcelAddIn.XFFunctions.XFGetCell("True","Consol", $B91,"Tot_Entity","USD",AT$2,AT$3,AT$4,$C91,"TopFlow","Top","Top","Tot_Los","TOT_IP_Child","Tot_FC",$A91,"Top5","Top6","Reported","Top8")</f>
        <v>0</v>
      </c>
      <c r="AU91" s="15">
        <f>_xll.OneStreamExcelAddIn.XFFunctions.XFGetCell("True","Consol", $B91,"Tot_Entity","USD",AU$2,AU$3,AU$4,$C91,"TopFlow","Top","Top","Tot_Los","TOT_IP_Child","Tot_FC",$A91,"Top5","Top6","Reported","Top8")</f>
        <v>0</v>
      </c>
      <c r="AV91" s="162">
        <f t="shared" ref="AV91:AV101" si="37">+AT91-AU91</f>
        <v>0</v>
      </c>
    </row>
    <row r="92" spans="1:52" x14ac:dyDescent="0.2">
      <c r="A92" s="16" t="str">
        <f t="shared" si="30"/>
        <v>Acute_DIV1</v>
      </c>
      <c r="B92" s="15">
        <f t="shared" si="31"/>
        <v>127</v>
      </c>
      <c r="C92" s="14" t="s">
        <v>144</v>
      </c>
      <c r="D92" s="14" t="s">
        <v>114</v>
      </c>
      <c r="E92" s="15">
        <f>_xll.OneStreamExcelAddIn.XFFunctions.XFGetCell("True","Consol", $B92,"Tot_Entity","USD",E$2,E$3,E$4,$C92,"TopFlow","Top","Top","Tot_Los","TOT_IP_Pre_Adolescent","Tot_FC",$A92,"Top5","Top6","Reported","Top8")</f>
        <v>0</v>
      </c>
      <c r="F92" s="15">
        <f>_xll.OneStreamExcelAddIn.XFFunctions.XFGetCell("True","Consol", $B92,"Tot_Entity","Aggregated",F$2,F$3,F$4,$C92,"TopFlow","Top","Top","Tot_Los","TOT_IP_Pre_Adolescent","TOP3",$A92,"Top5","Top6","Reported","Top8")</f>
        <v>0</v>
      </c>
      <c r="G92" s="21">
        <f t="shared" si="32"/>
        <v>0</v>
      </c>
      <c r="M92" s="15">
        <f>_xll.OneStreamExcelAddIn.XFFunctions.XFGetCell("True","Consol", $B92,"Tot_Entity","USD",M$2,M$3,M$4,$C92,"TopFlow","Top","Top","Tot_Los","TOT_IP_Pre_Adolescent","Tot_FC",$A92,"Top5","Top6","Reported","Top8")</f>
        <v>0</v>
      </c>
      <c r="N92" s="15">
        <f>_xll.OneStreamExcelAddIn.XFFunctions.XFGetCell("True","Consol", $B92,"Tot_Entity","USD",N$2,N$3,N$4,$C92,"TopFlow","Top","Top","Tot_Los","TOT_IP_Pre_Adolescent","Tot_FC",$A92,"Top5","Top6","Reported","Top8")</f>
        <v>0</v>
      </c>
      <c r="O92" s="21">
        <f t="shared" si="33"/>
        <v>0</v>
      </c>
      <c r="Q92" s="21"/>
      <c r="R92" s="21"/>
      <c r="T92" s="21"/>
      <c r="V92" s="15">
        <f>_xll.OneStreamExcelAddIn.XFFunctions.XFGetCell("True","Consol", $B92,"Tot_Entity","USD",V$2,V$3,V$4,$C92,"TopFlow","Top","Top","Tot_Los","TOT_IP_Pre_Adolescent","Tot_FC",$A92,"Top5","Top6","Reported","Top8")</f>
        <v>0</v>
      </c>
      <c r="W92" s="15">
        <f>_xll.OneStreamExcelAddIn.XFFunctions.XFGetCell("True","Consol", $B92,"Tot_Entity","Aggregated",W$2,W$3,W$4,$C92,"TopFlow","Top","Top","Tot_Los","TOT_IP_Pre_Adolescent","TOP3",$A92,"Top5","Top6","Reported","Top8")</f>
        <v>0</v>
      </c>
      <c r="X92" s="21">
        <f t="shared" si="34"/>
        <v>0</v>
      </c>
      <c r="AD92" s="15">
        <f>_xll.OneStreamExcelAddIn.XFFunctions.XFGetCell("True","Consol", $B92,"Tot_Entity","USD",AD$2,AD$3,AD$4,$C92,"TopFlow","Top","Top","Tot_Los","TOT_IP_Pre_Adolescent","Tot_FC",$A92,"Top5","Top6","Reported","Top8")</f>
        <v>0</v>
      </c>
      <c r="AE92" s="15">
        <f>_xll.OneStreamExcelAddIn.XFFunctions.XFGetCell("True","Consol", $B92,"Tot_Entity","USD",AE$2,AE$3,AE$4,$C92,"TopFlow","Top","Top","Tot_Los","TOT_IP_Pre_Adolescent","Tot_FC",$A92,"Top5","Top6","Reported","Top8")</f>
        <v>0</v>
      </c>
      <c r="AF92" s="21">
        <f t="shared" si="35"/>
        <v>0</v>
      </c>
      <c r="AL92" s="15">
        <f>_xll.OneStreamExcelAddIn.XFFunctions.XFGetCell("True","Consol", $B92,"Tot_Entity","USD",AL$2,AL$3,AL$4,$C92,"TopFlow","Top","Top","Tot_Los","TOT_IP_Pre_Adolescent","Tot_FC",$A92,"Top5","Top6","Reported","Top8")</f>
        <v>0</v>
      </c>
      <c r="AM92" s="15">
        <f>_xll.OneStreamExcelAddIn.XFFunctions.XFGetCell("True","Consol", $B92,"Tot_Entity","USD",AM$2,AM$3,AM$4,$C92,"TopFlow","Top","Top","Tot_Los","TOT_IP_Pre_Adolescent","Tot_FC",$A92,"Top5","Top6","Reported","Top8")</f>
        <v>0</v>
      </c>
      <c r="AN92" s="21">
        <f t="shared" si="36"/>
        <v>0</v>
      </c>
      <c r="AT92" s="15">
        <f>_xll.OneStreamExcelAddIn.XFFunctions.XFGetCell("True","Consol", $B92,"Tot_Entity","USD",AT$2,AT$3,AT$4,$C92,"TopFlow","Top","Top","Tot_Los","TOT_IP_Pre_Adolescent","Tot_FC",$A92,"Top5","Top6","Reported","Top8")</f>
        <v>0</v>
      </c>
      <c r="AU92" s="15">
        <f>_xll.OneStreamExcelAddIn.XFFunctions.XFGetCell("True","Consol", $B92,"Tot_Entity","USD",AU$2,AU$3,AU$4,$C92,"TopFlow","Top","Top","Tot_Los","TOT_IP_Pre_Adolescent","Tot_FC",$A92,"Top5","Top6","Reported","Top8")</f>
        <v>0</v>
      </c>
      <c r="AV92" s="162">
        <f t="shared" si="37"/>
        <v>0</v>
      </c>
    </row>
    <row r="93" spans="1:52" x14ac:dyDescent="0.2">
      <c r="A93" s="16" t="str">
        <f t="shared" si="30"/>
        <v>Acute_DIV1</v>
      </c>
      <c r="B93" s="15">
        <f t="shared" si="31"/>
        <v>127</v>
      </c>
      <c r="C93" s="14" t="s">
        <v>144</v>
      </c>
      <c r="D93" s="14" t="s">
        <v>115</v>
      </c>
      <c r="E93" s="15">
        <f>_xll.OneStreamExcelAddIn.XFFunctions.XFGetCell("True","Consol", $B93,"Tot_Entity","USD",E$2,E$3,E$4,$C93,"TopFlow","Top","Top","Tot_Los","TOT_IP_Adolescent","Tot_FC",$A93,"Top5","Top6","Reported","Top8")</f>
        <v>4046897.4</v>
      </c>
      <c r="F93" s="15">
        <f>_xll.OneStreamExcelAddIn.XFFunctions.XFGetCell("True","Consol", $B93,"Tot_Entity","Aggregated",F$2,F$3,F$4,$C93,"TopFlow","Top","Top","Tot_Los","TOT_IP_Adolescent","TOP3",$A93,"Top5","Top6","Reported","Top8")</f>
        <v>3872619.4489073521</v>
      </c>
      <c r="G93" s="21">
        <f t="shared" si="32"/>
        <v>174277.95109264785</v>
      </c>
      <c r="M93" s="15">
        <f>_xll.OneStreamExcelAddIn.XFFunctions.XFGetCell("True","Consol", $B93,"Tot_Entity","USD",M$2,M$3,M$4,$C93,"TopFlow","Top","Top","Tot_Los","TOT_IP_Adolescent","Tot_FC",$A93,"Top5","Top6","Reported","Top8")</f>
        <v>4046897.4</v>
      </c>
      <c r="N93" s="15">
        <f>_xll.OneStreamExcelAddIn.XFFunctions.XFGetCell("True","Consol", $B93,"Tot_Entity","USD",N$2,N$3,N$4,$C93,"TopFlow","Top","Top","Tot_Los","TOT_IP_Adolescent","Tot_FC",$A93,"Top5","Top6","Reported","Top8")</f>
        <v>-30908.91</v>
      </c>
      <c r="O93" s="21">
        <f t="shared" si="33"/>
        <v>4077806.31</v>
      </c>
      <c r="Q93" s="21"/>
      <c r="R93" s="21"/>
      <c r="T93" s="21"/>
      <c r="V93" s="15">
        <f>_xll.OneStreamExcelAddIn.XFFunctions.XFGetCell("True","Consol", $B93,"Tot_Entity","USD",V$2,V$3,V$4,$C93,"TopFlow","Top","Top","Tot_Los","TOT_IP_Adolescent","Tot_FC",$A93,"Top5","Top6","Reported","Top8")</f>
        <v>12000076.01</v>
      </c>
      <c r="W93" s="15">
        <f>_xll.OneStreamExcelAddIn.XFFunctions.XFGetCell("True","Consol", $B93,"Tot_Entity","Aggregated",W$2,W$3,W$4,$C93,"TopFlow","Top","Top","Tot_Los","TOT_IP_Adolescent","TOP3",$A93,"Top5","Top6","Reported","Top8")</f>
        <v>15227062.924380681</v>
      </c>
      <c r="X93" s="21">
        <f t="shared" si="34"/>
        <v>-3226986.9143806808</v>
      </c>
      <c r="AD93" s="15">
        <f>_xll.OneStreamExcelAddIn.XFFunctions.XFGetCell("True","Consol", $B93,"Tot_Entity","USD",AD$2,AD$3,AD$4,$C93,"TopFlow","Top","Top","Tot_Los","TOT_IP_Adolescent","Tot_FC",$A93,"Top5","Top6","Reported","Top8")</f>
        <v>4046897.4</v>
      </c>
      <c r="AE93" s="15">
        <f>_xll.OneStreamExcelAddIn.XFFunctions.XFGetCell("True","Consol", $B93,"Tot_Entity","USD",AE$2,AE$3,AE$4,$C93,"TopFlow","Top","Top","Tot_Los","TOT_IP_Adolescent","Tot_FC",$A93,"Top5","Top6","Reported","Top8")</f>
        <v>3138225.3200000003</v>
      </c>
      <c r="AF93" s="21">
        <f t="shared" si="35"/>
        <v>908672.07999999961</v>
      </c>
      <c r="AL93" s="15">
        <f>_xll.OneStreamExcelAddIn.XFFunctions.XFGetCell("True","Consol", $B93,"Tot_Entity","USD",AL$2,AL$3,AL$4,$C93,"TopFlow","Top","Top","Tot_Los","TOT_IP_Adolescent","Tot_FC",$A93,"Top5","Top6","Reported","Top8")</f>
        <v>12000076.01</v>
      </c>
      <c r="AM93" s="15">
        <f>_xll.OneStreamExcelAddIn.XFFunctions.XFGetCell("True","Consol", $B93,"Tot_Entity","USD",AM$2,AM$3,AM$4,$C93,"TopFlow","Top","Top","Tot_Los","TOT_IP_Adolescent","Tot_FC",$A93,"Top5","Top6","Reported","Top8")</f>
        <v>5113013.83</v>
      </c>
      <c r="AN93" s="21">
        <f t="shared" si="36"/>
        <v>6887062.1799999997</v>
      </c>
      <c r="AT93" s="15">
        <f>_xll.OneStreamExcelAddIn.XFFunctions.XFGetCell("True","Consol", $B93,"Tot_Entity","USD",AT$2,AT$3,AT$4,$C93,"TopFlow","Top","Top","Tot_Los","TOT_IP_Adolescent","Tot_FC",$A93,"Top5","Top6","Reported","Top8")</f>
        <v>0</v>
      </c>
      <c r="AU93" s="15">
        <f>_xll.OneStreamExcelAddIn.XFFunctions.XFGetCell("True","Consol", $B93,"Tot_Entity","USD",AU$2,AU$3,AU$4,$C93,"TopFlow","Top","Top","Tot_Los","TOT_IP_Adolescent","Tot_FC",$A93,"Top5","Top6","Reported","Top8")</f>
        <v>3872619.4489073521</v>
      </c>
      <c r="AV93" s="162">
        <f t="shared" si="37"/>
        <v>-3872619.4489073521</v>
      </c>
    </row>
    <row r="94" spans="1:52" x14ac:dyDescent="0.2">
      <c r="A94" s="16" t="str">
        <f t="shared" si="30"/>
        <v>Acute_DIV1</v>
      </c>
      <c r="B94" s="15">
        <f t="shared" si="31"/>
        <v>127</v>
      </c>
      <c r="C94" s="14" t="s">
        <v>144</v>
      </c>
      <c r="D94" s="14" t="s">
        <v>116</v>
      </c>
      <c r="E94" s="15">
        <f>_xll.OneStreamExcelAddIn.XFFunctions.XFGetCell("True","Consol", $B94,"Tot_Entity","USD",E$2,E$3,E$4,$C94,"TopFlow","Top","Top","Tot_Los","TOT_IP_Adult","Tot_FC",$A94,"Top5","Top6","Reported","Top8")</f>
        <v>1734861.27</v>
      </c>
      <c r="F94" s="15">
        <f>_xll.OneStreamExcelAddIn.XFFunctions.XFGetCell("True","Consol", $B94,"Tot_Entity","Aggregated",F$2,F$3,F$4,$C94,"TopFlow","Top","Top","Tot_Los","TOT_IP_Adult","TOP3",$A94,"Top5","Top6","Reported","Top8")</f>
        <v>1635826.264892291</v>
      </c>
      <c r="G94" s="21">
        <f t="shared" si="32"/>
        <v>99035.005107708974</v>
      </c>
      <c r="M94" s="15">
        <f>_xll.OneStreamExcelAddIn.XFFunctions.XFGetCell("True","Consol", $B94,"Tot_Entity","USD",M$2,M$3,M$4,$C94,"TopFlow","Top","Top","Tot_Los","TOT_IP_Adult","Tot_FC",$A94,"Top5","Top6","Reported","Top8")</f>
        <v>1734861.27</v>
      </c>
      <c r="N94" s="15">
        <f>_xll.OneStreamExcelAddIn.XFFunctions.XFGetCell("True","Consol", $B94,"Tot_Entity","USD",N$2,N$3,N$4,$C94,"TopFlow","Top","Top","Tot_Los","TOT_IP_Adult","Tot_FC",$A94,"Top5","Top6","Reported","Top8")</f>
        <v>3230175</v>
      </c>
      <c r="O94" s="21">
        <f t="shared" si="33"/>
        <v>-1495313.73</v>
      </c>
      <c r="Q94" s="21"/>
      <c r="R94" s="21"/>
      <c r="T94" s="21"/>
      <c r="V94" s="15">
        <f>_xll.OneStreamExcelAddIn.XFFunctions.XFGetCell("True","Consol", $B94,"Tot_Entity","USD",V$2,V$3,V$4,$C94,"TopFlow","Top","Top","Tot_Los","TOT_IP_Adult","Tot_FC",$A94,"Top5","Top6","Reported","Top8")</f>
        <v>7864307.79</v>
      </c>
      <c r="W94" s="15">
        <f>_xll.OneStreamExcelAddIn.XFFunctions.XFGetCell("True","Consol", $B94,"Tot_Entity","Aggregated",W$2,W$3,W$4,$C94,"TopFlow","Top","Top","Tot_Los","TOT_IP_Adult","TOP3",$A94,"Top5","Top6","Reported","Top8")</f>
        <v>6990749.8682023268</v>
      </c>
      <c r="X94" s="21">
        <f t="shared" si="34"/>
        <v>873557.92179767322</v>
      </c>
      <c r="AD94" s="15">
        <f>_xll.OneStreamExcelAddIn.XFFunctions.XFGetCell("True","Consol", $B94,"Tot_Entity","USD",AD$2,AD$3,AD$4,$C94,"TopFlow","Top","Top","Tot_Los","TOT_IP_Adult","Tot_FC",$A94,"Top5","Top6","Reported","Top8")</f>
        <v>1734861.27</v>
      </c>
      <c r="AE94" s="15">
        <f>_xll.OneStreamExcelAddIn.XFFunctions.XFGetCell("True","Consol", $B94,"Tot_Entity","USD",AE$2,AE$3,AE$4,$C94,"TopFlow","Top","Top","Tot_Los","TOT_IP_Adult","Tot_FC",$A94,"Top5","Top6","Reported","Top8")</f>
        <v>-58491.16</v>
      </c>
      <c r="AF94" s="21">
        <f t="shared" si="35"/>
        <v>1793352.43</v>
      </c>
      <c r="AL94" s="15">
        <f>_xll.OneStreamExcelAddIn.XFFunctions.XFGetCell("True","Consol", $B94,"Tot_Entity","USD",AL$2,AL$3,AL$4,$C94,"TopFlow","Top","Top","Tot_Los","TOT_IP_Adult","Tot_FC",$A94,"Top5","Top6","Reported","Top8")</f>
        <v>7864307.79</v>
      </c>
      <c r="AM94" s="15">
        <f>_xll.OneStreamExcelAddIn.XFFunctions.XFGetCell("True","Consol", $B94,"Tot_Entity","USD",AM$2,AM$3,AM$4,$C94,"TopFlow","Top","Top","Tot_Los","TOT_IP_Adult","Tot_FC",$A94,"Top5","Top6","Reported","Top8")</f>
        <v>6996511.6100000003</v>
      </c>
      <c r="AN94" s="21">
        <f t="shared" si="36"/>
        <v>867796.1799999997</v>
      </c>
      <c r="AT94" s="15">
        <f>_xll.OneStreamExcelAddIn.XFFunctions.XFGetCell("True","Consol", $B94,"Tot_Entity","USD",AT$2,AT$3,AT$4,$C94,"TopFlow","Top","Top","Tot_Los","TOT_IP_Adult","Tot_FC",$A94,"Top5","Top6","Reported","Top8")</f>
        <v>0</v>
      </c>
      <c r="AU94" s="15">
        <f>_xll.OneStreamExcelAddIn.XFFunctions.XFGetCell("True","Consol", $B94,"Tot_Entity","USD",AU$2,AU$3,AU$4,$C94,"TopFlow","Top","Top","Tot_Los","TOT_IP_Adult","Tot_FC",$A94,"Top5","Top6","Reported","Top8")</f>
        <v>1635826.264892291</v>
      </c>
      <c r="AV94" s="162">
        <f t="shared" si="37"/>
        <v>-1635826.264892291</v>
      </c>
    </row>
    <row r="95" spans="1:52" x14ac:dyDescent="0.2">
      <c r="A95" s="16" t="str">
        <f t="shared" si="30"/>
        <v>Acute_DIV1</v>
      </c>
      <c r="B95" s="15">
        <f t="shared" si="31"/>
        <v>127</v>
      </c>
      <c r="C95" s="14" t="s">
        <v>144</v>
      </c>
      <c r="D95" s="14" t="s">
        <v>117</v>
      </c>
      <c r="E95" s="15">
        <f>_xll.OneStreamExcelAddIn.XFFunctions.XFGetCell("True","Consol", $B95,"Tot_Entity","USD",E$2,E$3,E$4,$C95,"TopFlow","Top","Top","Tot_Los","TOT_IP_Chem_Dep","Tot_FC",$A95,"Top5","Top6","Reported","Top8")</f>
        <v>0</v>
      </c>
      <c r="F95" s="15">
        <f>_xll.OneStreamExcelAddIn.XFFunctions.XFGetCell("True","Consol", $B95,"Tot_Entity","Aggregated",F$2,F$3,F$4,$C95,"TopFlow","Top","Top","Tot_Los","TOT_IP_Chem_Dep","TOP3",$A95,"Top5","Top6","Reported","Top8")</f>
        <v>0</v>
      </c>
      <c r="G95" s="21">
        <f t="shared" si="32"/>
        <v>0</v>
      </c>
      <c r="M95" s="15">
        <f>_xll.OneStreamExcelAddIn.XFFunctions.XFGetCell("True","Consol", $B95,"Tot_Entity","USD",M$2,M$3,M$4,$C95,"TopFlow","Top","Top","Tot_Los","TOT_IP_Chem_Dep","Tot_FC",$A95,"Top5","Top6","Reported","Top8")</f>
        <v>0</v>
      </c>
      <c r="N95" s="15">
        <f>_xll.OneStreamExcelAddIn.XFFunctions.XFGetCell("True","Consol", $B95,"Tot_Entity","USD",N$2,N$3,N$4,$C95,"TopFlow","Top","Top","Tot_Los","TOT_IP_Chem_Dep","Tot_FC",$A95,"Top5","Top6","Reported","Top8")</f>
        <v>0</v>
      </c>
      <c r="O95" s="21">
        <f t="shared" si="33"/>
        <v>0</v>
      </c>
      <c r="Q95" s="21"/>
      <c r="R95" s="21"/>
      <c r="T95" s="21"/>
      <c r="V95" s="15">
        <f>_xll.OneStreamExcelAddIn.XFFunctions.XFGetCell("True","Consol", $B95,"Tot_Entity","USD",V$2,V$3,V$4,$C95,"TopFlow","Top","Top","Tot_Los","TOT_IP_Chem_Dep","Tot_FC",$A95,"Top5","Top6","Reported","Top8")</f>
        <v>0</v>
      </c>
      <c r="W95" s="15">
        <f>_xll.OneStreamExcelAddIn.XFFunctions.XFGetCell("True","Consol", $B95,"Tot_Entity","Aggregated",W$2,W$3,W$4,$C95,"TopFlow","Top","Top","Tot_Los","TOT_IP_Chem_Dep","TOP3",$A95,"Top5","Top6","Reported","Top8")</f>
        <v>0</v>
      </c>
      <c r="X95" s="21">
        <f t="shared" si="34"/>
        <v>0</v>
      </c>
      <c r="AD95" s="15">
        <f>_xll.OneStreamExcelAddIn.XFFunctions.XFGetCell("True","Consol", $B95,"Tot_Entity","USD",AD$2,AD$3,AD$4,$C95,"TopFlow","Top","Top","Tot_Los","TOT_IP_Chem_Dep","Tot_FC",$A95,"Top5","Top6","Reported","Top8")</f>
        <v>0</v>
      </c>
      <c r="AE95" s="15">
        <f>_xll.OneStreamExcelAddIn.XFFunctions.XFGetCell("True","Consol", $B95,"Tot_Entity","USD",AE$2,AE$3,AE$4,$C95,"TopFlow","Top","Top","Tot_Los","TOT_IP_Chem_Dep","Tot_FC",$A95,"Top5","Top6","Reported","Top8")</f>
        <v>0</v>
      </c>
      <c r="AF95" s="21">
        <f t="shared" si="35"/>
        <v>0</v>
      </c>
      <c r="AL95" s="15">
        <f>_xll.OneStreamExcelAddIn.XFFunctions.XFGetCell("True","Consol", $B95,"Tot_Entity","USD",AL$2,AL$3,AL$4,$C95,"TopFlow","Top","Top","Tot_Los","TOT_IP_Chem_Dep","Tot_FC",$A95,"Top5","Top6","Reported","Top8")</f>
        <v>0</v>
      </c>
      <c r="AM95" s="15">
        <f>_xll.OneStreamExcelAddIn.XFFunctions.XFGetCell("True","Consol", $B95,"Tot_Entity","USD",AM$2,AM$3,AM$4,$C95,"TopFlow","Top","Top","Tot_Los","TOT_IP_Chem_Dep","Tot_FC",$A95,"Top5","Top6","Reported","Top8")</f>
        <v>0</v>
      </c>
      <c r="AN95" s="21">
        <f t="shared" si="36"/>
        <v>0</v>
      </c>
      <c r="AT95" s="15">
        <f>_xll.OneStreamExcelAddIn.XFFunctions.XFGetCell("True","Consol", $B95,"Tot_Entity","USD",AT$2,AT$3,AT$4,$C95,"TopFlow","Top","Top","Tot_Los","TOT_IP_Chem_Dep","Tot_FC",$A95,"Top5","Top6","Reported","Top8")</f>
        <v>0</v>
      </c>
      <c r="AU95" s="15">
        <f>_xll.OneStreamExcelAddIn.XFFunctions.XFGetCell("True","Consol", $B95,"Tot_Entity","USD",AU$2,AU$3,AU$4,$C95,"TopFlow","Top","Top","Tot_Los","TOT_IP_Chem_Dep","Tot_FC",$A95,"Top5","Top6","Reported","Top8")</f>
        <v>0</v>
      </c>
      <c r="AV95" s="162">
        <f t="shared" si="37"/>
        <v>0</v>
      </c>
    </row>
    <row r="96" spans="1:52" x14ac:dyDescent="0.2">
      <c r="A96" s="16" t="str">
        <f t="shared" si="30"/>
        <v>Acute_DIV1</v>
      </c>
      <c r="B96" s="15">
        <f t="shared" si="31"/>
        <v>127</v>
      </c>
      <c r="C96" s="14" t="s">
        <v>144</v>
      </c>
      <c r="D96" s="14" t="s">
        <v>118</v>
      </c>
      <c r="E96" s="15">
        <f>_xll.OneStreamExcelAddIn.XFFunctions.XFGetCell("True","Consol", $B96,"Tot_Entity","USD",E$2,E$3,E$4,$C96,"TopFlow","Top","Top","Tot_Los","TOT_IP_Gero","Tot_FC",$A96,"Top5","Top6","Reported","Top8")</f>
        <v>0</v>
      </c>
      <c r="F96" s="15">
        <f>_xll.OneStreamExcelAddIn.XFFunctions.XFGetCell("True","Consol", $B96,"Tot_Entity","Aggregated",F$2,F$3,F$4,$C96,"TopFlow","Top","Top","Tot_Los","TOT_IP_Gero","TOP3",$A96,"Top5","Top6","Reported","Top8")</f>
        <v>0</v>
      </c>
      <c r="G96" s="21">
        <f t="shared" si="32"/>
        <v>0</v>
      </c>
      <c r="M96" s="15">
        <f>_xll.OneStreamExcelAddIn.XFFunctions.XFGetCell("True","Consol", $B96,"Tot_Entity","USD",M$2,M$3,M$4,$C96,"TopFlow","Top","Top","Tot_Los","TOT_IP_Gero","Tot_FC",$A96,"Top5","Top6","Reported","Top8")</f>
        <v>0</v>
      </c>
      <c r="N96" s="15">
        <f>_xll.OneStreamExcelAddIn.XFFunctions.XFGetCell("True","Consol", $B96,"Tot_Entity","USD",N$2,N$3,N$4,$C96,"TopFlow","Top","Top","Tot_Los","TOT_IP_Gero","Tot_FC",$A96,"Top5","Top6","Reported","Top8")</f>
        <v>0</v>
      </c>
      <c r="O96" s="21">
        <f t="shared" si="33"/>
        <v>0</v>
      </c>
      <c r="Q96" s="21"/>
      <c r="R96" s="21"/>
      <c r="T96" s="21"/>
      <c r="V96" s="15">
        <f>_xll.OneStreamExcelAddIn.XFFunctions.XFGetCell("True","Consol", $B96,"Tot_Entity","USD",V$2,V$3,V$4,$C96,"TopFlow","Top","Top","Tot_Los","TOT_IP_Gero","Tot_FC",$A96,"Top5","Top6","Reported","Top8")</f>
        <v>0</v>
      </c>
      <c r="W96" s="15">
        <f>_xll.OneStreamExcelAddIn.XFFunctions.XFGetCell("True","Consol", $B96,"Tot_Entity","Aggregated",W$2,W$3,W$4,$C96,"TopFlow","Top","Top","Tot_Los","TOT_IP_Gero","TOP3",$A96,"Top5","Top6","Reported","Top8")</f>
        <v>0</v>
      </c>
      <c r="X96" s="21">
        <f t="shared" si="34"/>
        <v>0</v>
      </c>
      <c r="AD96" s="15">
        <f>_xll.OneStreamExcelAddIn.XFFunctions.XFGetCell("True","Consol", $B96,"Tot_Entity","USD",AD$2,AD$3,AD$4,$C96,"TopFlow","Top","Top","Tot_Los","TOT_IP_Gero","Tot_FC",$A96,"Top5","Top6","Reported","Top8")</f>
        <v>0</v>
      </c>
      <c r="AE96" s="15">
        <f>_xll.OneStreamExcelAddIn.XFFunctions.XFGetCell("True","Consol", $B96,"Tot_Entity","USD",AE$2,AE$3,AE$4,$C96,"TopFlow","Top","Top","Tot_Los","TOT_IP_Gero","Tot_FC",$A96,"Top5","Top6","Reported","Top8")</f>
        <v>0</v>
      </c>
      <c r="AF96" s="21">
        <f t="shared" si="35"/>
        <v>0</v>
      </c>
      <c r="AL96" s="15">
        <f>_xll.OneStreamExcelAddIn.XFFunctions.XFGetCell("True","Consol", $B96,"Tot_Entity","USD",AL$2,AL$3,AL$4,$C96,"TopFlow","Top","Top","Tot_Los","TOT_IP_Gero","Tot_FC",$A96,"Top5","Top6","Reported","Top8")</f>
        <v>0</v>
      </c>
      <c r="AM96" s="15">
        <f>_xll.OneStreamExcelAddIn.XFFunctions.XFGetCell("True","Consol", $B96,"Tot_Entity","USD",AM$2,AM$3,AM$4,$C96,"TopFlow","Top","Top","Tot_Los","TOT_IP_Gero","Tot_FC",$A96,"Top5","Top6","Reported","Top8")</f>
        <v>0</v>
      </c>
      <c r="AN96" s="21">
        <f t="shared" si="36"/>
        <v>0</v>
      </c>
      <c r="AT96" s="15">
        <f>_xll.OneStreamExcelAddIn.XFFunctions.XFGetCell("True","Consol", $B96,"Tot_Entity","USD",AT$2,AT$3,AT$4,$C96,"TopFlow","Top","Top","Tot_Los","TOT_IP_Gero","Tot_FC",$A96,"Top5","Top6","Reported","Top8")</f>
        <v>0</v>
      </c>
      <c r="AU96" s="15">
        <f>_xll.OneStreamExcelAddIn.XFFunctions.XFGetCell("True","Consol", $B96,"Tot_Entity","USD",AU$2,AU$3,AU$4,$C96,"TopFlow","Top","Top","Tot_Los","TOT_IP_Gero","Tot_FC",$A96,"Top5","Top6","Reported","Top8")</f>
        <v>0</v>
      </c>
      <c r="AV96" s="162">
        <f t="shared" si="37"/>
        <v>0</v>
      </c>
    </row>
    <row r="97" spans="1:48" x14ac:dyDescent="0.2">
      <c r="A97" s="16" t="str">
        <f t="shared" si="30"/>
        <v>Acute_DIV1</v>
      </c>
      <c r="B97" s="15">
        <f t="shared" si="31"/>
        <v>127</v>
      </c>
      <c r="C97" s="14" t="s">
        <v>144</v>
      </c>
      <c r="D97" s="14" t="s">
        <v>119</v>
      </c>
      <c r="E97" s="15">
        <f>_xll.OneStreamExcelAddIn.XFFunctions.XFGetCell("True","Consol", $B97,"Tot_Entity","USD",E$2,E$3,E$4,$C97,"TopFlow","Top","Top","Tot_Los","TOT_IP_PRTF","Tot_FC",$A97,"Top5","Top6","Reported","Top8")</f>
        <v>17956.5</v>
      </c>
      <c r="F97" s="15">
        <f>_xll.OneStreamExcelAddIn.XFFunctions.XFGetCell("True","Consol", $B97,"Tot_Entity","Aggregated",F$2,F$3,F$4,$C97,"TopFlow","Top","Top","Tot_Los","TOT_IP_PRTF","TOP3",$A97,"Top5","Top6","Reported","Top8")</f>
        <v>0</v>
      </c>
      <c r="G97" s="21">
        <f t="shared" si="32"/>
        <v>17956.5</v>
      </c>
      <c r="M97" s="15">
        <f>_xll.OneStreamExcelAddIn.XFFunctions.XFGetCell("True","Consol", $B97,"Tot_Entity","USD",M$2,M$3,M$4,$C97,"TopFlow","Top","Top","Tot_Los","TOT_IP_PRTF","Tot_FC",$A97,"Top5","Top6","Reported","Top8")</f>
        <v>17956.5</v>
      </c>
      <c r="N97" s="15">
        <f>_xll.OneStreamExcelAddIn.XFFunctions.XFGetCell("True","Consol", $B97,"Tot_Entity","USD",N$2,N$3,N$4,$C97,"TopFlow","Top","Top","Tot_Los","TOT_IP_PRTF","Tot_FC",$A97,"Top5","Top6","Reported","Top8")</f>
        <v>13827.2</v>
      </c>
      <c r="O97" s="21">
        <f t="shared" si="33"/>
        <v>4129.2999999999993</v>
      </c>
      <c r="Q97" s="21"/>
      <c r="R97" s="21"/>
      <c r="T97" s="21"/>
      <c r="V97" s="15">
        <f>_xll.OneStreamExcelAddIn.XFFunctions.XFGetCell("True","Consol", $B97,"Tot_Entity","USD",V$2,V$3,V$4,$C97,"TopFlow","Top","Top","Tot_Los","TOT_IP_PRTF","Tot_FC",$A97,"Top5","Top6","Reported","Top8")</f>
        <v>75710.63</v>
      </c>
      <c r="W97" s="15">
        <f>_xll.OneStreamExcelAddIn.XFFunctions.XFGetCell("True","Consol", $B97,"Tot_Entity","Aggregated",W$2,W$3,W$4,$C97,"TopFlow","Top","Top","Tot_Los","TOT_IP_PRTF","TOP3",$A97,"Top5","Top6","Reported","Top8")</f>
        <v>0</v>
      </c>
      <c r="X97" s="21">
        <f t="shared" si="34"/>
        <v>75710.63</v>
      </c>
      <c r="AD97" s="15">
        <f>_xll.OneStreamExcelAddIn.XFFunctions.XFGetCell("True","Consol", $B97,"Tot_Entity","USD",AD$2,AD$3,AD$4,$C97,"TopFlow","Top","Top","Tot_Los","TOT_IP_PRTF","Tot_FC",$A97,"Top5","Top6","Reported","Top8")</f>
        <v>17956.5</v>
      </c>
      <c r="AE97" s="15">
        <f>_xll.OneStreamExcelAddIn.XFFunctions.XFGetCell("True","Consol", $B97,"Tot_Entity","USD",AE$2,AE$3,AE$4,$C97,"TopFlow","Top","Top","Tot_Los","TOT_IP_PRTF","Tot_FC",$A97,"Top5","Top6","Reported","Top8")</f>
        <v>577254.56999999995</v>
      </c>
      <c r="AF97" s="21">
        <f t="shared" si="35"/>
        <v>-559298.06999999995</v>
      </c>
      <c r="AL97" s="15">
        <f>_xll.OneStreamExcelAddIn.XFFunctions.XFGetCell("True","Consol", $B97,"Tot_Entity","USD",AL$2,AL$3,AL$4,$C97,"TopFlow","Top","Top","Tot_Los","TOT_IP_PRTF","Tot_FC",$A97,"Top5","Top6","Reported","Top8")</f>
        <v>75710.63</v>
      </c>
      <c r="AM97" s="15">
        <f>_xll.OneStreamExcelAddIn.XFFunctions.XFGetCell("True","Consol", $B97,"Tot_Entity","USD",AM$2,AM$3,AM$4,$C97,"TopFlow","Top","Top","Tot_Los","TOT_IP_PRTF","Tot_FC",$A97,"Top5","Top6","Reported","Top8")</f>
        <v>2170584.3400000003</v>
      </c>
      <c r="AN97" s="21">
        <f t="shared" si="36"/>
        <v>-2094873.7100000004</v>
      </c>
      <c r="AT97" s="15">
        <f>_xll.OneStreamExcelAddIn.XFFunctions.XFGetCell("True","Consol", $B97,"Tot_Entity","USD",AT$2,AT$3,AT$4,$C97,"TopFlow","Top","Top","Tot_Los","TOT_IP_PRTF","Tot_FC",$A97,"Top5","Top6","Reported","Top8")</f>
        <v>0</v>
      </c>
      <c r="AU97" s="15">
        <f>_xll.OneStreamExcelAddIn.XFFunctions.XFGetCell("True","Consol", $B97,"Tot_Entity","USD",AU$2,AU$3,AU$4,$C97,"TopFlow","Top","Top","Tot_Los","TOT_IP_PRTF","Tot_FC",$A97,"Top5","Top6","Reported","Top8")</f>
        <v>0</v>
      </c>
      <c r="AV97" s="162">
        <f t="shared" si="37"/>
        <v>0</v>
      </c>
    </row>
    <row r="98" spans="1:48" x14ac:dyDescent="0.2">
      <c r="A98" s="16" t="str">
        <f t="shared" si="30"/>
        <v>Acute_DIV1</v>
      </c>
      <c r="B98" s="15">
        <f t="shared" si="31"/>
        <v>127</v>
      </c>
      <c r="C98" s="14" t="s">
        <v>144</v>
      </c>
      <c r="D98" s="14" t="s">
        <v>120</v>
      </c>
      <c r="E98" s="15">
        <f>_xll.OneStreamExcelAddIn.XFFunctions.XFGetCell("True","Consol", $B98,"Tot_Entity","USD",E$2,E$3,E$4,$C98,"TopFlow","Top","Top","Tot_Los","TOT_IP_Detox","Tot_FC",$A98,"Top5","Top6","Reported","Top8")</f>
        <v>112918.13</v>
      </c>
      <c r="F98" s="15">
        <f>_xll.OneStreamExcelAddIn.XFFunctions.XFGetCell("True","Consol", $B98,"Tot_Entity","Aggregated",F$2,F$3,F$4,$C98,"TopFlow","Top","Top","Tot_Los","TOT_IP_Detox","TOP3",$A98,"Top5","Top6","Reported","Top8")</f>
        <v>79936.963333484993</v>
      </c>
      <c r="G98" s="21">
        <f t="shared" si="32"/>
        <v>32981.166666515011</v>
      </c>
      <c r="M98" s="15">
        <f>_xll.OneStreamExcelAddIn.XFFunctions.XFGetCell("True","Consol", $B98,"Tot_Entity","USD",M$2,M$3,M$4,$C98,"TopFlow","Top","Top","Tot_Los","TOT_IP_Detox","Tot_FC",$A98,"Top5","Top6","Reported","Top8")</f>
        <v>112918.13</v>
      </c>
      <c r="N98" s="15">
        <f>_xll.OneStreamExcelAddIn.XFFunctions.XFGetCell("True","Consol", $B98,"Tot_Entity","USD",N$2,N$3,N$4,$C98,"TopFlow","Top","Top","Tot_Los","TOT_IP_Detox","Tot_FC",$A98,"Top5","Top6","Reported","Top8")</f>
        <v>124072.51</v>
      </c>
      <c r="O98" s="21">
        <f t="shared" si="33"/>
        <v>-11154.37999999999</v>
      </c>
      <c r="Q98" s="21"/>
      <c r="R98" s="21"/>
      <c r="T98" s="21"/>
      <c r="V98" s="15">
        <f>_xll.OneStreamExcelAddIn.XFFunctions.XFGetCell("True","Consol", $B98,"Tot_Entity","USD",V$2,V$3,V$4,$C98,"TopFlow","Top","Top","Tot_Los","TOT_IP_Detox","Tot_FC",$A98,"Top5","Top6","Reported","Top8")</f>
        <v>430942.53</v>
      </c>
      <c r="W98" s="15">
        <f>_xll.OneStreamExcelAddIn.XFFunctions.XFGetCell("True","Consol", $B98,"Tot_Entity","Aggregated",W$2,W$3,W$4,$C98,"TopFlow","Top","Top","Tot_Los","TOT_IP_Detox","TOP3",$A98,"Top5","Top6","Reported","Top8")</f>
        <v>295302.38349294802</v>
      </c>
      <c r="X98" s="21">
        <f t="shared" si="34"/>
        <v>135640.14650705201</v>
      </c>
      <c r="AD98" s="15">
        <f>_xll.OneStreamExcelAddIn.XFFunctions.XFGetCell("True","Consol", $B98,"Tot_Entity","USD",AD$2,AD$3,AD$4,$C98,"TopFlow","Top","Top","Tot_Los","TOT_IP_Detox","Tot_FC",$A98,"Top5","Top6","Reported","Top8")</f>
        <v>112918.13</v>
      </c>
      <c r="AE98" s="15">
        <f>_xll.OneStreamExcelAddIn.XFFunctions.XFGetCell("True","Consol", $B98,"Tot_Entity","USD",AE$2,AE$3,AE$4,$C98,"TopFlow","Top","Top","Tot_Los","TOT_IP_Detox","Tot_FC",$A98,"Top5","Top6","Reported","Top8")</f>
        <v>1803.42</v>
      </c>
      <c r="AF98" s="21">
        <f t="shared" si="35"/>
        <v>111114.71</v>
      </c>
      <c r="AL98" s="15">
        <f>_xll.OneStreamExcelAddIn.XFFunctions.XFGetCell("True","Consol", $B98,"Tot_Entity","USD",AL$2,AL$3,AL$4,$C98,"TopFlow","Top","Top","Tot_Los","TOT_IP_Detox","Tot_FC",$A98,"Top5","Top6","Reported","Top8")</f>
        <v>430942.53</v>
      </c>
      <c r="AM98" s="15">
        <f>_xll.OneStreamExcelAddIn.XFFunctions.XFGetCell("True","Consol", $B98,"Tot_Entity","USD",AM$2,AM$3,AM$4,$C98,"TopFlow","Top","Top","Tot_Los","TOT_IP_Detox","Tot_FC",$A98,"Top5","Top6","Reported","Top8")</f>
        <v>228133.92</v>
      </c>
      <c r="AN98" s="21">
        <f t="shared" si="36"/>
        <v>202808.61000000002</v>
      </c>
      <c r="AT98" s="15">
        <f>_xll.OneStreamExcelAddIn.XFFunctions.XFGetCell("True","Consol", $B98,"Tot_Entity","USD",AT$2,AT$3,AT$4,$C98,"TopFlow","Top","Top","Tot_Los","TOT_IP_Detox","Tot_FC",$A98,"Top5","Top6","Reported","Top8")</f>
        <v>0</v>
      </c>
      <c r="AU98" s="15">
        <f>_xll.OneStreamExcelAddIn.XFFunctions.XFGetCell("True","Consol", $B98,"Tot_Entity","USD",AU$2,AU$3,AU$4,$C98,"TopFlow","Top","Top","Tot_Los","TOT_IP_Detox","Tot_FC",$A98,"Top5","Top6","Reported","Top8")</f>
        <v>79936.963333484993</v>
      </c>
      <c r="AV98" s="162">
        <f t="shared" si="37"/>
        <v>-79936.963333484993</v>
      </c>
    </row>
    <row r="99" spans="1:48" x14ac:dyDescent="0.2">
      <c r="A99" s="16" t="str">
        <f t="shared" si="30"/>
        <v>Acute_DIV1</v>
      </c>
      <c r="B99" s="15">
        <f t="shared" si="31"/>
        <v>127</v>
      </c>
      <c r="C99" s="14" t="s">
        <v>144</v>
      </c>
      <c r="D99" s="14" t="s">
        <v>121</v>
      </c>
      <c r="E99" s="15">
        <f>_xll.OneStreamExcelAddIn.XFFunctions.XFGetCell("True","Consol", $B99,"Tot_Entity","USD",E$2,E$3,E$4,$C99,"TopFlow","Top","Top","Tot_Los","TOT_IP_RTC","Tot_FC",$A99,"Top5","Top6","Reported","Top8")</f>
        <v>40234.300000000003</v>
      </c>
      <c r="F99" s="15">
        <f>_xll.OneStreamExcelAddIn.XFFunctions.XFGetCell("True","Consol", $B99,"Tot_Entity","Aggregated",F$2,F$3,F$4,$C99,"TopFlow","Top","Top","Tot_Los","TOT_IP_RTC","TOP3",$A99,"Top5","Top6","Reported","Top8")</f>
        <v>0</v>
      </c>
      <c r="G99" s="21">
        <f t="shared" si="32"/>
        <v>40234.300000000003</v>
      </c>
      <c r="M99" s="15">
        <f>_xll.OneStreamExcelAddIn.XFFunctions.XFGetCell("True","Consol", $B99,"Tot_Entity","USD",M$2,M$3,M$4,$C99,"TopFlow","Top","Top","Tot_Los","TOT_IP_RTC","Tot_FC",$A99,"Top5","Top6","Reported","Top8")</f>
        <v>40234.300000000003</v>
      </c>
      <c r="N99" s="15">
        <f>_xll.OneStreamExcelAddIn.XFFunctions.XFGetCell("True","Consol", $B99,"Tot_Entity","USD",N$2,N$3,N$4,$C99,"TopFlow","Top","Top","Tot_Los","TOT_IP_RTC","Tot_FC",$A99,"Top5","Top6","Reported","Top8")</f>
        <v>-3825.48</v>
      </c>
      <c r="O99" s="21">
        <f t="shared" si="33"/>
        <v>44059.780000000006</v>
      </c>
      <c r="Q99" s="21"/>
      <c r="R99" s="21"/>
      <c r="T99" s="21"/>
      <c r="V99" s="15">
        <f>_xll.OneStreamExcelAddIn.XFFunctions.XFGetCell("True","Consol", $B99,"Tot_Entity","USD",V$2,V$3,V$4,$C99,"TopFlow","Top","Top","Tot_Los","TOT_IP_RTC","Tot_FC",$A99,"Top5","Top6","Reported","Top8")</f>
        <v>22258.45</v>
      </c>
      <c r="W99" s="15">
        <f>_xll.OneStreamExcelAddIn.XFFunctions.XFGetCell("True","Consol", $B99,"Tot_Entity","Aggregated",W$2,W$3,W$4,$C99,"TopFlow","Top","Top","Tot_Los","TOT_IP_RTC","TOP3",$A99,"Top5","Top6","Reported","Top8")</f>
        <v>0</v>
      </c>
      <c r="X99" s="21">
        <f t="shared" si="34"/>
        <v>22258.45</v>
      </c>
      <c r="AD99" s="15">
        <f>_xll.OneStreamExcelAddIn.XFFunctions.XFGetCell("True","Consol", $B99,"Tot_Entity","USD",AD$2,AD$3,AD$4,$C99,"TopFlow","Top","Top","Tot_Los","TOT_IP_RTC","Tot_FC",$A99,"Top5","Top6","Reported","Top8")</f>
        <v>40234.300000000003</v>
      </c>
      <c r="AE99" s="15">
        <f>_xll.OneStreamExcelAddIn.XFFunctions.XFGetCell("True","Consol", $B99,"Tot_Entity","USD",AE$2,AE$3,AE$4,$C99,"TopFlow","Top","Top","Tot_Los","TOT_IP_RTC","Tot_FC",$A99,"Top5","Top6","Reported","Top8")</f>
        <v>0</v>
      </c>
      <c r="AF99" s="21">
        <f t="shared" si="35"/>
        <v>40234.300000000003</v>
      </c>
      <c r="AL99" s="15">
        <f>_xll.OneStreamExcelAddIn.XFFunctions.XFGetCell("True","Consol", $B99,"Tot_Entity","USD",AL$2,AL$3,AL$4,$C99,"TopFlow","Top","Top","Tot_Los","TOT_IP_RTC","Tot_FC",$A99,"Top5","Top6","Reported","Top8")</f>
        <v>22258.45</v>
      </c>
      <c r="AM99" s="15">
        <f>_xll.OneStreamExcelAddIn.XFFunctions.XFGetCell("True","Consol", $B99,"Tot_Entity","USD",AM$2,AM$3,AM$4,$C99,"TopFlow","Top","Top","Tot_Los","TOT_IP_RTC","Tot_FC",$A99,"Top5","Top6","Reported","Top8")</f>
        <v>0</v>
      </c>
      <c r="AN99" s="21">
        <f t="shared" si="36"/>
        <v>22258.45</v>
      </c>
      <c r="AT99" s="15">
        <f>_xll.OneStreamExcelAddIn.XFFunctions.XFGetCell("True","Consol", $B99,"Tot_Entity","USD",AT$2,AT$3,AT$4,$C99,"TopFlow","Top","Top","Tot_Los","TOT_IP_RTC","Tot_FC",$A99,"Top5","Top6","Reported","Top8")</f>
        <v>0</v>
      </c>
      <c r="AU99" s="15">
        <f>_xll.OneStreamExcelAddIn.XFFunctions.XFGetCell("True","Consol", $B99,"Tot_Entity","USD",AU$2,AU$3,AU$4,$C99,"TopFlow","Top","Top","Tot_Los","TOT_IP_RTC","Tot_FC",$A99,"Top5","Top6","Reported","Top8")</f>
        <v>0</v>
      </c>
      <c r="AV99" s="162">
        <f t="shared" si="37"/>
        <v>0</v>
      </c>
    </row>
    <row r="100" spans="1:48" x14ac:dyDescent="0.2">
      <c r="A100" s="16" t="str">
        <f t="shared" si="30"/>
        <v>Acute_DIV1</v>
      </c>
      <c r="B100" s="15">
        <f t="shared" si="31"/>
        <v>127</v>
      </c>
      <c r="C100" s="14" t="s">
        <v>144</v>
      </c>
      <c r="D100" s="14" t="s">
        <v>122</v>
      </c>
      <c r="E100" s="15">
        <f>_xll.OneStreamExcelAddIn.XFFunctions.XFGetCell("True","Consol", $B100,"Tot_Entity","USD",E$2,E$3,E$4,$C100,"TopFlow","Top","Top","Tot_Los",1320,"Tot_FC",$A100,"Top5","Top6","Reported","Top8")</f>
        <v>0</v>
      </c>
      <c r="F100" s="15">
        <f>_xll.OneStreamExcelAddIn.XFFunctions.XFGetCell("True","Consol", $B100,"Tot_Entity","Aggregated",F$2,F$3,F$4,$C100,"TopFlow","Top","Top","Tot_Los",1320,"TOP3",$A100,"Top5","Top6","Reported","Top8")</f>
        <v>0</v>
      </c>
      <c r="G100" s="21">
        <f t="shared" si="32"/>
        <v>0</v>
      </c>
      <c r="M100" s="15">
        <f>_xll.OneStreamExcelAddIn.XFFunctions.XFGetCell("True","Consol", $B100,"Tot_Entity","USD",M$2,M$3,M$4,$C100,"TopFlow","Top","Top","Tot_Los",1320,"Tot_FC",$A100,"Top5","Top6","Reported","Top8")</f>
        <v>0</v>
      </c>
      <c r="N100" s="15">
        <f>_xll.OneStreamExcelAddIn.XFFunctions.XFGetCell("True","Consol", $B100,"Tot_Entity","USD",N$2,N$3,N$4,$C100,"TopFlow","Top","Top","Tot_Los",1320,"Tot_FC",$A100,"Top5","Top6","Reported","Top8")</f>
        <v>0</v>
      </c>
      <c r="O100" s="21">
        <f t="shared" si="33"/>
        <v>0</v>
      </c>
      <c r="Q100" s="21"/>
      <c r="R100" s="21"/>
      <c r="T100" s="21"/>
      <c r="V100" s="15">
        <f>_xll.OneStreamExcelAddIn.XFFunctions.XFGetCell("True","Consol", $B100,"Tot_Entity","USD",V$2,V$3,V$4,$C100,"TopFlow","Top","Top","Tot_Los",1320,"Tot_FC",$A100,"Top5","Top6","Reported","Top8")</f>
        <v>0</v>
      </c>
      <c r="W100" s="15">
        <f>_xll.OneStreamExcelAddIn.XFFunctions.XFGetCell("True","Consol", $B100,"Tot_Entity","Aggregated",W$2,W$3,W$4,$C100,"TopFlow","Top","Top","Tot_Los",1320,"TOP3",$A100,"Top5","Top6","Reported","Top8")</f>
        <v>0</v>
      </c>
      <c r="X100" s="21">
        <f t="shared" si="34"/>
        <v>0</v>
      </c>
      <c r="AD100" s="15">
        <f>_xll.OneStreamExcelAddIn.XFFunctions.XFGetCell("True","Consol", $B100,"Tot_Entity","USD",AD$2,AD$3,AD$4,$C100,"TopFlow","Top","Top","Tot_Los",1320,"Tot_FC",$A100,"Top5","Top6","Reported","Top8")</f>
        <v>0</v>
      </c>
      <c r="AE100" s="15">
        <f>_xll.OneStreamExcelAddIn.XFFunctions.XFGetCell("True","Consol", $B100,"Tot_Entity","USD",AE$2,AE$3,AE$4,$C100,"TopFlow","Top","Top","Tot_Los",1320,"Tot_FC",$A100,"Top5","Top6","Reported","Top8")</f>
        <v>0</v>
      </c>
      <c r="AF100" s="21">
        <f t="shared" si="35"/>
        <v>0</v>
      </c>
      <c r="AL100" s="15">
        <f>_xll.OneStreamExcelAddIn.XFFunctions.XFGetCell("True","Consol", $B100,"Tot_Entity","USD",AL$2,AL$3,AL$4,$C100,"TopFlow","Top","Top","Tot_Los",1320,"Tot_FC",$A100,"Top5","Top6","Reported","Top8")</f>
        <v>0</v>
      </c>
      <c r="AM100" s="15">
        <f>_xll.OneStreamExcelAddIn.XFFunctions.XFGetCell("True","Consol", $B100,"Tot_Entity","USD",AM$2,AM$3,AM$4,$C100,"TopFlow","Top","Top","Tot_Los",1320,"Tot_FC",$A100,"Top5","Top6","Reported","Top8")</f>
        <v>0</v>
      </c>
      <c r="AN100" s="21">
        <f t="shared" si="36"/>
        <v>0</v>
      </c>
      <c r="AT100" s="15">
        <f>_xll.OneStreamExcelAddIn.XFFunctions.XFGetCell("True","Consol", $B100,"Tot_Entity","USD",AT$2,AT$3,AT$4,$C100,"TopFlow","Top","Top","Tot_Los",1320,"Tot_FC",$A100,"Top5","Top6","Reported","Top8")</f>
        <v>0</v>
      </c>
      <c r="AU100" s="15">
        <f>_xll.OneStreamExcelAddIn.XFFunctions.XFGetCell("True","Consol", $B100,"Tot_Entity","USD",AU$2,AU$3,AU$4,$C100,"TopFlow","Top","Top","Tot_Los",1320,"Tot_FC",$A100,"Top5","Top6","Reported","Top8")</f>
        <v>0</v>
      </c>
      <c r="AV100" s="162">
        <f t="shared" si="37"/>
        <v>0</v>
      </c>
    </row>
    <row r="101" spans="1:48" x14ac:dyDescent="0.2">
      <c r="A101" s="16" t="str">
        <f t="shared" si="30"/>
        <v>Acute_DIV1</v>
      </c>
      <c r="B101" s="15">
        <f t="shared" si="31"/>
        <v>127</v>
      </c>
      <c r="C101" s="14" t="s">
        <v>144</v>
      </c>
      <c r="D101" s="14" t="s">
        <v>123</v>
      </c>
      <c r="E101" s="15">
        <f>_xll.OneStreamExcelAddIn.XFFunctions.XFGetCell("True","Consol", $B101,"Tot_Entity","USD",E$2,E$3,E$4,$C101,"TopFlow","Top","Top","Tot_Los",1330,"Tot_FC",$A101,"Top5","Top6","Reported","Top8")</f>
        <v>0</v>
      </c>
      <c r="F101" s="15">
        <f>_xll.OneStreamExcelAddIn.XFFunctions.XFGetCell("True","Consol", $B101,"Tot_Entity","Aggregated",F$2,F$3,F$4,$C101,"TopFlow","Top","Top","Tot_Los",1330,"TOP3",$A101,"Top5","Top6","Reported","Top8")</f>
        <v>0</v>
      </c>
      <c r="G101" s="21">
        <f t="shared" si="32"/>
        <v>0</v>
      </c>
      <c r="M101" s="15">
        <f>_xll.OneStreamExcelAddIn.XFFunctions.XFGetCell("True","Consol", $B101,"Tot_Entity","USD",M$2,M$3,M$4,$C101,"TopFlow","Top","Top","Tot_Los",1330,"Tot_FC",$A101,"Top5","Top6","Reported","Top8")</f>
        <v>0</v>
      </c>
      <c r="N101" s="15">
        <f>_xll.OneStreamExcelAddIn.XFFunctions.XFGetCell("True","Consol", $B101,"Tot_Entity","USD",N$2,N$3,N$4,$C101,"TopFlow","Top","Top","Tot_Los",1330,"Tot_FC",$A101,"Top5","Top6","Reported","Top8")</f>
        <v>0</v>
      </c>
      <c r="O101" s="21">
        <f t="shared" si="33"/>
        <v>0</v>
      </c>
      <c r="Q101" s="21"/>
      <c r="R101" s="21"/>
      <c r="T101" s="21"/>
      <c r="V101" s="15">
        <f>_xll.OneStreamExcelAddIn.XFFunctions.XFGetCell("True","Consol", $B101,"Tot_Entity","USD",V$2,V$3,V$4,$C101,"TopFlow","Top","Top","Tot_Los",1330,"Tot_FC",$A101,"Top5","Top6","Reported","Top8")</f>
        <v>0</v>
      </c>
      <c r="W101" s="15">
        <f>_xll.OneStreamExcelAddIn.XFFunctions.XFGetCell("True","Consol", $B101,"Tot_Entity","Aggregated",W$2,W$3,W$4,$C101,"TopFlow","Top","Top","Tot_Los",1330,"TOP3",$A101,"Top5","Top6","Reported","Top8")</f>
        <v>0</v>
      </c>
      <c r="X101" s="21">
        <f t="shared" si="34"/>
        <v>0</v>
      </c>
      <c r="AD101" s="15">
        <f>_xll.OneStreamExcelAddIn.XFFunctions.XFGetCell("True","Consol", $B101,"Tot_Entity","USD",AD$2,AD$3,AD$4,$C101,"TopFlow","Top","Top","Tot_Los",1330,"Tot_FC",$A101,"Top5","Top6","Reported","Top8")</f>
        <v>0</v>
      </c>
      <c r="AE101" s="15">
        <f>_xll.OneStreamExcelAddIn.XFFunctions.XFGetCell("True","Consol", $B101,"Tot_Entity","USD",AE$2,AE$3,AE$4,$C101,"TopFlow","Top","Top","Tot_Los",1330,"Tot_FC",$A101,"Top5","Top6","Reported","Top8")</f>
        <v>0</v>
      </c>
      <c r="AF101" s="21">
        <f t="shared" si="35"/>
        <v>0</v>
      </c>
      <c r="AL101" s="15">
        <f>_xll.OneStreamExcelAddIn.XFFunctions.XFGetCell("True","Consol", $B101,"Tot_Entity","USD",AL$2,AL$3,AL$4,$C101,"TopFlow","Top","Top","Tot_Los",1330,"Tot_FC",$A101,"Top5","Top6","Reported","Top8")</f>
        <v>0</v>
      </c>
      <c r="AM101" s="15">
        <f>_xll.OneStreamExcelAddIn.XFFunctions.XFGetCell("True","Consol", $B101,"Tot_Entity","USD",AM$2,AM$3,AM$4,$C101,"TopFlow","Top","Top","Tot_Los",1330,"Tot_FC",$A101,"Top5","Top6","Reported","Top8")</f>
        <v>0</v>
      </c>
      <c r="AN101" s="21">
        <f t="shared" si="36"/>
        <v>0</v>
      </c>
      <c r="AT101" s="15">
        <f>_xll.OneStreamExcelAddIn.XFFunctions.XFGetCell("True","Consol", $B101,"Tot_Entity","USD",AT$2,AT$3,AT$4,$C101,"TopFlow","Top","Top","Tot_Los",1330,"Tot_FC",$A101,"Top5","Top6","Reported","Top8")</f>
        <v>0</v>
      </c>
      <c r="AU101" s="15">
        <f>_xll.OneStreamExcelAddIn.XFFunctions.XFGetCell("True","Consol", $B101,"Tot_Entity","USD",AU$2,AU$3,AU$4,$C101,"TopFlow","Top","Top","Tot_Los",1330,"Tot_FC",$A101,"Top5","Top6","Reported","Top8")</f>
        <v>0</v>
      </c>
      <c r="AV101" s="162">
        <f t="shared" si="37"/>
        <v>0</v>
      </c>
    </row>
    <row r="103" spans="1:48" x14ac:dyDescent="0.2">
      <c r="A103" s="16" t="str">
        <f>+$A$8</f>
        <v>Acute_DIV1</v>
      </c>
      <c r="B103" s="15">
        <f>+$B$8</f>
        <v>127</v>
      </c>
      <c r="C103" s="14" t="s">
        <v>144</v>
      </c>
      <c r="D103" s="14" t="s">
        <v>139</v>
      </c>
      <c r="E103" s="15">
        <f>_xll.OneStreamExcelAddIn.XFFunctions.XFGetCell("True","Consol", $B103,"Tot_Entity","USD",E$2,E$3,E$4,$C103,"TopFlow","Top","Top","Tot_Los","Tot_OP_PHP","Tot_FC",$A103,"Top5","Top6","Reported","Top8")</f>
        <v>0</v>
      </c>
      <c r="F103" s="15">
        <f>_xll.OneStreamExcelAddIn.XFFunctions.XFGetCell("True","Consol", $B103,"Tot_Entity","Aggregated",F$2,F$3,F$4,$C103,"TopFlow","Top","Top","Tot_Los","Tot_OP_PHP","TOP3",$A103,"Top5","Top6","Reported","Top8")</f>
        <v>0</v>
      </c>
      <c r="G103" s="21">
        <f>+E103-F103</f>
        <v>0</v>
      </c>
      <c r="M103" s="15">
        <f>_xll.OneStreamExcelAddIn.XFFunctions.XFGetCell("True","Consol", $B103,"Tot_Entity","USD",M$2,M$3,M$4,$C103,"TopFlow","Top","Top","Tot_Los","Tot_OP_PHP","Tot_FC",$A103,"Top5","Top6","Reported","Top8")</f>
        <v>0</v>
      </c>
      <c r="N103" s="15">
        <f>_xll.OneStreamExcelAddIn.XFFunctions.XFGetCell("True","Consol", $B103,"Tot_Entity","USD",N$2,N$3,N$4,$C103,"TopFlow","Top","Top","Tot_Los","Tot_OP_PHP","Tot_FC",$A103,"Top5","Top6","Reported","Top8")</f>
        <v>0</v>
      </c>
      <c r="O103" s="21">
        <f>+M103-N103</f>
        <v>0</v>
      </c>
      <c r="Q103" s="21"/>
      <c r="R103" s="21"/>
      <c r="T103" s="21"/>
      <c r="V103" s="15">
        <f>_xll.OneStreamExcelAddIn.XFFunctions.XFGetCell("True","Consol", $B103,"Tot_Entity","USD",V$2,V$3,V$4,$C103,"TopFlow","Top","Top","Tot_Los","Tot_OP_PHP","Tot_FC",$A103,"Top5","Top6","Reported","Top8")</f>
        <v>0</v>
      </c>
      <c r="W103" s="15">
        <f>_xll.OneStreamExcelAddIn.XFFunctions.XFGetCell("True","Consol", $B103,"Tot_Entity","Aggregated",W$2,W$3,W$4,$C103,"TopFlow","Top","Top","Tot_Los","Tot_OP_PHP","TOP3",$A103,"Top5","Top6","Reported","Top8")</f>
        <v>0</v>
      </c>
      <c r="X103" s="21">
        <f>+V103-W103</f>
        <v>0</v>
      </c>
      <c r="AD103" s="15">
        <f>_xll.OneStreamExcelAddIn.XFFunctions.XFGetCell("True","Consol", $B103,"Tot_Entity","USD",AD$2,AD$3,AD$4,$C103,"TopFlow","Top","Top","Tot_Los","Tot_OP_PHP","Tot_FC",$A103,"Top5","Top6","Reported","Top8")</f>
        <v>0</v>
      </c>
      <c r="AE103" s="15">
        <f>_xll.OneStreamExcelAddIn.XFFunctions.XFGetCell("True","Consol", $B103,"Tot_Entity","USD",AE$2,AE$3,AE$4,$C103,"TopFlow","Top","Top","Tot_Los","Tot_OP_PHP","Tot_FC",$A103,"Top5","Top6","Reported","Top8")</f>
        <v>0</v>
      </c>
      <c r="AF103" s="21">
        <f>+AD103-AE103</f>
        <v>0</v>
      </c>
      <c r="AL103" s="15">
        <f>_xll.OneStreamExcelAddIn.XFFunctions.XFGetCell("True","Consol", $B103,"Tot_Entity","USD",AL$2,AL$3,AL$4,$C103,"TopFlow","Top","Top","Tot_Los","Tot_OP_PHP","Tot_FC",$A103,"Top5","Top6","Reported","Top8")</f>
        <v>0</v>
      </c>
      <c r="AM103" s="15">
        <f>_xll.OneStreamExcelAddIn.XFFunctions.XFGetCell("True","Consol", $B103,"Tot_Entity","USD",AM$2,AM$3,AM$4,$C103,"TopFlow","Top","Top","Tot_Los","Tot_OP_PHP","Tot_FC",$A103,"Top5","Top6","Reported","Top8")</f>
        <v>0</v>
      </c>
      <c r="AN103" s="21">
        <f>+AL103-AM103</f>
        <v>0</v>
      </c>
      <c r="AT103" s="15">
        <f>_xll.OneStreamExcelAddIn.XFFunctions.XFGetCell("True","Consol", $B103,"Tot_Entity","USD",AT$2,AT$3,AT$4,$C103,"TopFlow","Top","Top","Tot_Los","Tot_OP_PHP","Tot_FC",$A103,"Top5","Top6","Reported","Top8")</f>
        <v>0</v>
      </c>
      <c r="AU103" s="15">
        <f>_xll.OneStreamExcelAddIn.XFFunctions.XFGetCell("True","Consol", $B103,"Tot_Entity","USD",AU$2,AU$3,AU$4,$C103,"TopFlow","Top","Top","Tot_Los","Tot_OP_PHP","Tot_FC",$A103,"Top5","Top6","Reported","Top8")</f>
        <v>0</v>
      </c>
      <c r="AV103" s="162">
        <f>+AT103-AU103</f>
        <v>0</v>
      </c>
    </row>
    <row r="104" spans="1:48" x14ac:dyDescent="0.2">
      <c r="A104" s="16" t="str">
        <f>+$A$8</f>
        <v>Acute_DIV1</v>
      </c>
      <c r="B104" s="15">
        <f>+$B$8</f>
        <v>127</v>
      </c>
      <c r="C104" s="14" t="s">
        <v>144</v>
      </c>
      <c r="D104" s="14" t="s">
        <v>140</v>
      </c>
      <c r="E104" s="15">
        <f>_xll.OneStreamExcelAddIn.XFFunctions.XFGetCell("True","Consol", $B104,"Tot_Entity","USD",E$2,E$3,E$4,$C104,"TopFlow","Top","Top","Tot_Los","Tot_OP_IOP","Tot_FC",$A104,"Top5","Top6","Reported","Top8")</f>
        <v>0</v>
      </c>
      <c r="F104" s="15">
        <f>_xll.OneStreamExcelAddIn.XFFunctions.XFGetCell("True","Consol", $B104,"Tot_Entity","Aggregated",F$2,F$3,F$4,$C104,"TopFlow","Top","Top","Tot_Los","Tot_OP_IOP","TOP3",$A104,"Top5","Top6","Reported","Top8")</f>
        <v>0</v>
      </c>
      <c r="G104" s="21">
        <f>+E104-F104</f>
        <v>0</v>
      </c>
      <c r="M104" s="15">
        <f>_xll.OneStreamExcelAddIn.XFFunctions.XFGetCell("True","Consol", $B104,"Tot_Entity","USD",M$2,M$3,M$4,$C104,"TopFlow","Top","Top","Tot_Los","Tot_OP_IOP","Tot_FC",$A104,"Top5","Top6","Reported","Top8")</f>
        <v>0</v>
      </c>
      <c r="N104" s="15">
        <f>_xll.OneStreamExcelAddIn.XFFunctions.XFGetCell("True","Consol", $B104,"Tot_Entity","USD",N$2,N$3,N$4,$C104,"TopFlow","Top","Top","Tot_Los","Tot_OP_IOP","Tot_FC",$A104,"Top5","Top6","Reported","Top8")</f>
        <v>0</v>
      </c>
      <c r="O104" s="21">
        <f>+M104-N104</f>
        <v>0</v>
      </c>
      <c r="Q104" s="21"/>
      <c r="R104" s="21"/>
      <c r="T104" s="21"/>
      <c r="V104" s="15">
        <f>_xll.OneStreamExcelAddIn.XFFunctions.XFGetCell("True","Consol", $B104,"Tot_Entity","USD",V$2,V$3,V$4,$C104,"TopFlow","Top","Top","Tot_Los","Tot_OP_IOP","Tot_FC",$A104,"Top5","Top6","Reported","Top8")</f>
        <v>0</v>
      </c>
      <c r="W104" s="15">
        <f>_xll.OneStreamExcelAddIn.XFFunctions.XFGetCell("True","Consol", $B104,"Tot_Entity","Aggregated",W$2,W$3,W$4,$C104,"TopFlow","Top","Top","Tot_Los","Tot_OP_IOP","TOP3",$A104,"Top5","Top6","Reported","Top8")</f>
        <v>0</v>
      </c>
      <c r="X104" s="21">
        <f>+V104-W104</f>
        <v>0</v>
      </c>
      <c r="AD104" s="15">
        <f>_xll.OneStreamExcelAddIn.XFFunctions.XFGetCell("True","Consol", $B104,"Tot_Entity","USD",AD$2,AD$3,AD$4,$C104,"TopFlow","Top","Top","Tot_Los","Tot_OP_IOP","Tot_FC",$A104,"Top5","Top6","Reported","Top8")</f>
        <v>0</v>
      </c>
      <c r="AE104" s="15">
        <f>_xll.OneStreamExcelAddIn.XFFunctions.XFGetCell("True","Consol", $B104,"Tot_Entity","USD",AE$2,AE$3,AE$4,$C104,"TopFlow","Top","Top","Tot_Los","Tot_OP_IOP","Tot_FC",$A104,"Top5","Top6","Reported","Top8")</f>
        <v>0</v>
      </c>
      <c r="AF104" s="21">
        <f>+AD104-AE104</f>
        <v>0</v>
      </c>
      <c r="AL104" s="15">
        <f>_xll.OneStreamExcelAddIn.XFFunctions.XFGetCell("True","Consol", $B104,"Tot_Entity","USD",AL$2,AL$3,AL$4,$C104,"TopFlow","Top","Top","Tot_Los","Tot_OP_IOP","Tot_FC",$A104,"Top5","Top6","Reported","Top8")</f>
        <v>0</v>
      </c>
      <c r="AM104" s="15">
        <f>_xll.OneStreamExcelAddIn.XFFunctions.XFGetCell("True","Consol", $B104,"Tot_Entity","USD",AM$2,AM$3,AM$4,$C104,"TopFlow","Top","Top","Tot_Los","Tot_OP_IOP","Tot_FC",$A104,"Top5","Top6","Reported","Top8")</f>
        <v>0</v>
      </c>
      <c r="AN104" s="21">
        <f>+AL104-AM104</f>
        <v>0</v>
      </c>
      <c r="AT104" s="15">
        <f>_xll.OneStreamExcelAddIn.XFFunctions.XFGetCell("True","Consol", $B104,"Tot_Entity","USD",AT$2,AT$3,AT$4,$C104,"TopFlow","Top","Top","Tot_Los","Tot_OP_IOP","Tot_FC",$A104,"Top5","Top6","Reported","Top8")</f>
        <v>0</v>
      </c>
      <c r="AU104" s="15">
        <f>_xll.OneStreamExcelAddIn.XFFunctions.XFGetCell("True","Consol", $B104,"Tot_Entity","USD",AU$2,AU$3,AU$4,$C104,"TopFlow","Top","Top","Tot_Los","Tot_OP_IOP","Tot_FC",$A104,"Top5","Top6","Reported","Top8")</f>
        <v>0</v>
      </c>
      <c r="AV104" s="162">
        <f>+AT104-AU104</f>
        <v>0</v>
      </c>
    </row>
    <row r="105" spans="1:48" x14ac:dyDescent="0.2">
      <c r="A105" s="16" t="str">
        <f>+$A$8</f>
        <v>Acute_DIV1</v>
      </c>
      <c r="B105" s="15">
        <f>+$B$8</f>
        <v>127</v>
      </c>
      <c r="C105" s="14" t="s">
        <v>144</v>
      </c>
      <c r="D105" s="14" t="s">
        <v>141</v>
      </c>
      <c r="E105" s="15">
        <f>_xll.OneStreamExcelAddIn.XFFunctions.XFGetCell("True","Consol", $B105,"Tot_Entity","USD",E$2,E$3,E$4,$C105,"TopFlow","Top","Top","Tot_Los","Oth_OP_Dir_Patient_Act","Tot_FC",$A105,"Top5","Top6","Reported","Top8")</f>
        <v>0</v>
      </c>
      <c r="F105" s="15">
        <f>_xll.OneStreamExcelAddIn.XFFunctions.XFGetCell("True","Consol", $B105,"Tot_Entity","Aggregated",F$2,F$3,F$4,$C105,"TopFlow","Top","Top","Tot_Los","Oth_OP_Dir_Patient_Act","TOP3",$A105,"Top5","Top6","Reported","Top8")</f>
        <v>0</v>
      </c>
      <c r="G105" s="21">
        <f>+E105-F105</f>
        <v>0</v>
      </c>
      <c r="M105" s="15">
        <f>_xll.OneStreamExcelAddIn.XFFunctions.XFGetCell("True","Consol", $B105,"Tot_Entity","USD",M$2,M$3,M$4,$C105,"TopFlow","Top","Top","Tot_Los","Oth_OP_Dir_Patient_Act","Tot_FC",$A105,"Top5","Top6","Reported","Top8")</f>
        <v>0</v>
      </c>
      <c r="N105" s="15">
        <f>_xll.OneStreamExcelAddIn.XFFunctions.XFGetCell("True","Consol", $B105,"Tot_Entity","USD",N$2,N$3,N$4,$C105,"TopFlow","Top","Top","Tot_Los","Oth_OP_Dir_Patient_Act","Tot_FC",$A105,"Top5","Top6","Reported","Top8")</f>
        <v>0</v>
      </c>
      <c r="O105" s="21">
        <f>+M105-N105</f>
        <v>0</v>
      </c>
      <c r="Q105" s="21"/>
      <c r="R105" s="21"/>
      <c r="T105" s="21"/>
      <c r="V105" s="15">
        <f>_xll.OneStreamExcelAddIn.XFFunctions.XFGetCell("True","Consol", $B105,"Tot_Entity","USD",V$2,V$3,V$4,$C105,"TopFlow","Top","Top","Tot_Los","Oth_OP_Dir_Patient_Act","Tot_FC",$A105,"Top5","Top6","Reported","Top8")</f>
        <v>0</v>
      </c>
      <c r="W105" s="15">
        <f>_xll.OneStreamExcelAddIn.XFFunctions.XFGetCell("True","Consol", $B105,"Tot_Entity","Aggregated",W$2,W$3,W$4,$C105,"TopFlow","Top","Top","Tot_Los","Oth_OP_Dir_Patient_Act","TOP3",$A105,"Top5","Top6","Reported","Top8")</f>
        <v>0</v>
      </c>
      <c r="X105" s="21">
        <f>+V105-W105</f>
        <v>0</v>
      </c>
      <c r="AD105" s="15">
        <f>_xll.OneStreamExcelAddIn.XFFunctions.XFGetCell("True","Consol", $B105,"Tot_Entity","USD",AD$2,AD$3,AD$4,$C105,"TopFlow","Top","Top","Tot_Los","Oth_OP_Dir_Patient_Act","Tot_FC",$A105,"Top5","Top6","Reported","Top8")</f>
        <v>0</v>
      </c>
      <c r="AE105" s="15">
        <f>_xll.OneStreamExcelAddIn.XFFunctions.XFGetCell("True","Consol", $B105,"Tot_Entity","USD",AE$2,AE$3,AE$4,$C105,"TopFlow","Top","Top","Tot_Los","Oth_OP_Dir_Patient_Act","Tot_FC",$A105,"Top5","Top6","Reported","Top8")</f>
        <v>0</v>
      </c>
      <c r="AF105" s="21">
        <f>+AD105-AE105</f>
        <v>0</v>
      </c>
      <c r="AL105" s="15">
        <f>_xll.OneStreamExcelAddIn.XFFunctions.XFGetCell("True","Consol", $B105,"Tot_Entity","USD",AL$2,AL$3,AL$4,$C105,"TopFlow","Top","Top","Tot_Los","Oth_OP_Dir_Patient_Act","Tot_FC",$A105,"Top5","Top6","Reported","Top8")</f>
        <v>0</v>
      </c>
      <c r="AM105" s="15">
        <f>_xll.OneStreamExcelAddIn.XFFunctions.XFGetCell("True","Consol", $B105,"Tot_Entity","USD",AM$2,AM$3,AM$4,$C105,"TopFlow","Top","Top","Tot_Los","Oth_OP_Dir_Patient_Act","Tot_FC",$A105,"Top5","Top6","Reported","Top8")</f>
        <v>0</v>
      </c>
      <c r="AN105" s="21">
        <f>+AL105-AM105</f>
        <v>0</v>
      </c>
      <c r="AT105" s="15">
        <f>_xll.OneStreamExcelAddIn.XFFunctions.XFGetCell("True","Consol", $B105,"Tot_Entity","USD",AT$2,AT$3,AT$4,$C105,"TopFlow","Top","Top","Tot_Los","Oth_OP_Dir_Patient_Act","Tot_FC",$A105,"Top5","Top6","Reported","Top8")</f>
        <v>0</v>
      </c>
      <c r="AU105" s="15">
        <f>_xll.OneStreamExcelAddIn.XFFunctions.XFGetCell("True","Consol", $B105,"Tot_Entity","USD",AU$2,AU$3,AU$4,$C105,"TopFlow","Top","Top","Tot_Los","Oth_OP_Dir_Patient_Act","Tot_FC",$A105,"Top5","Top6","Reported","Top8")</f>
        <v>0</v>
      </c>
      <c r="AV105" s="162">
        <f>+AT105-AU105</f>
        <v>0</v>
      </c>
    </row>
    <row r="106" spans="1:48" x14ac:dyDescent="0.2">
      <c r="A106" s="16" t="str">
        <f>+$A$8</f>
        <v>Acute_DIV1</v>
      </c>
      <c r="B106" s="15">
        <f>+$B$8</f>
        <v>127</v>
      </c>
      <c r="C106" s="14" t="s">
        <v>144</v>
      </c>
      <c r="D106" s="14" t="s">
        <v>142</v>
      </c>
      <c r="E106" s="15">
        <f>_xll.OneStreamExcelAddIn.XFFunctions.XFGetCell("True","Consol", $B106,"Tot_Entity","USD",E$2,E$3,E$4,$C106,"TopFlow","Top","Top","Tot_Los","Tot_OP_ECT_SLE","Tot_FC",$A106,"Top5","Top6","Reported","Top8")</f>
        <v>0</v>
      </c>
      <c r="F106" s="15">
        <f>_xll.OneStreamExcelAddIn.XFFunctions.XFGetCell("True","Consol", $B106,"Tot_Entity","Aggregated",F$2,F$3,F$4,$C106,"TopFlow","Top","Top","Tot_Los","Tot_OP_ECT_SLE","TOP3",$A106,"Top5","Top6","Reported","Top8")</f>
        <v>0</v>
      </c>
      <c r="G106" s="21">
        <f>+E106-F106</f>
        <v>0</v>
      </c>
      <c r="M106" s="15">
        <f>_xll.OneStreamExcelAddIn.XFFunctions.XFGetCell("True","Consol", $B106,"Tot_Entity","USD",M$2,M$3,M$4,$C106,"TopFlow","Top","Top","Tot_Los","Tot_OP_ECT_SLE","Tot_FC",$A106,"Top5","Top6","Reported","Top8")</f>
        <v>0</v>
      </c>
      <c r="N106" s="15">
        <f>_xll.OneStreamExcelAddIn.XFFunctions.XFGetCell("True","Consol", $B106,"Tot_Entity","USD",N$2,N$3,N$4,$C106,"TopFlow","Top","Top","Tot_Los","Tot_OP_ECT_SLE","Tot_FC",$A106,"Top5","Top6","Reported","Top8")</f>
        <v>0</v>
      </c>
      <c r="O106" s="21">
        <f>+M106-N106</f>
        <v>0</v>
      </c>
      <c r="Q106" s="21"/>
      <c r="R106" s="21"/>
      <c r="T106" s="21"/>
      <c r="V106" s="15">
        <f>_xll.OneStreamExcelAddIn.XFFunctions.XFGetCell("True","Consol", $B106,"Tot_Entity","USD",V$2,V$3,V$4,$C106,"TopFlow","Top","Top","Tot_Los","Tot_OP_ECT_SLE","Tot_FC",$A106,"Top5","Top6","Reported","Top8")</f>
        <v>0</v>
      </c>
      <c r="W106" s="15">
        <f>_xll.OneStreamExcelAddIn.XFFunctions.XFGetCell("True","Consol", $B106,"Tot_Entity","Aggregated",W$2,W$3,W$4,$C106,"TopFlow","Top","Top","Tot_Los","Tot_OP_ECT_SLE","TOP3",$A106,"Top5","Top6","Reported","Top8")</f>
        <v>0</v>
      </c>
      <c r="X106" s="21">
        <f>+V106-W106</f>
        <v>0</v>
      </c>
      <c r="AD106" s="15">
        <f>_xll.OneStreamExcelAddIn.XFFunctions.XFGetCell("True","Consol", $B106,"Tot_Entity","USD",AD$2,AD$3,AD$4,$C106,"TopFlow","Top","Top","Tot_Los","Tot_OP_ECT_SLE","Tot_FC",$A106,"Top5","Top6","Reported","Top8")</f>
        <v>0</v>
      </c>
      <c r="AE106" s="15">
        <f>_xll.OneStreamExcelAddIn.XFFunctions.XFGetCell("True","Consol", $B106,"Tot_Entity","USD",AE$2,AE$3,AE$4,$C106,"TopFlow","Top","Top","Tot_Los","Tot_OP_ECT_SLE","Tot_FC",$A106,"Top5","Top6","Reported","Top8")</f>
        <v>0</v>
      </c>
      <c r="AF106" s="21">
        <f>+AD106-AE106</f>
        <v>0</v>
      </c>
      <c r="AL106" s="15">
        <f>_xll.OneStreamExcelAddIn.XFFunctions.XFGetCell("True","Consol", $B106,"Tot_Entity","USD",AL$2,AL$3,AL$4,$C106,"TopFlow","Top","Top","Tot_Los","Tot_OP_ECT_SLE","Tot_FC",$A106,"Top5","Top6","Reported","Top8")</f>
        <v>0</v>
      </c>
      <c r="AM106" s="15">
        <f>_xll.OneStreamExcelAddIn.XFFunctions.XFGetCell("True","Consol", $B106,"Tot_Entity","USD",AM$2,AM$3,AM$4,$C106,"TopFlow","Top","Top","Tot_Los","Tot_OP_ECT_SLE","Tot_FC",$A106,"Top5","Top6","Reported","Top8")</f>
        <v>0</v>
      </c>
      <c r="AN106" s="21">
        <f>+AL106-AM106</f>
        <v>0</v>
      </c>
      <c r="AT106" s="15">
        <f>_xll.OneStreamExcelAddIn.XFFunctions.XFGetCell("True","Consol", $B106,"Tot_Entity","USD",AT$2,AT$3,AT$4,$C106,"TopFlow","Top","Top","Tot_Los","Tot_OP_ECT_SLE","Tot_FC",$A106,"Top5","Top6","Reported","Top8")</f>
        <v>0</v>
      </c>
      <c r="AU106" s="15">
        <f>_xll.OneStreamExcelAddIn.XFFunctions.XFGetCell("True","Consol", $B106,"Tot_Entity","USD",AU$2,AU$3,AU$4,$C106,"TopFlow","Top","Top","Tot_Los","Tot_OP_ECT_SLE","Tot_FC",$A106,"Top5","Top6","Reported","Top8")</f>
        <v>0</v>
      </c>
      <c r="AV106" s="162">
        <f>+AT106-AU106</f>
        <v>0</v>
      </c>
    </row>
    <row r="107" spans="1:48" x14ac:dyDescent="0.2">
      <c r="E107" s="51"/>
    </row>
    <row r="108" spans="1:48" x14ac:dyDescent="0.2">
      <c r="A108" s="16" t="str">
        <f t="shared" ref="A108:A113" si="38">+$A$8</f>
        <v>Acute_DIV1</v>
      </c>
      <c r="B108" s="15">
        <f t="shared" ref="B108:B113" si="39">+$B$8</f>
        <v>127</v>
      </c>
      <c r="C108" s="14" t="s">
        <v>156</v>
      </c>
      <c r="D108" s="14" t="s">
        <v>157</v>
      </c>
      <c r="E108" s="15">
        <f>_xll.OneStreamExcelAddIn.XFFunctions.XFGetCell("True","Consol", $B108,"Tot_Entity","USD",E$2,E$3,E$4,$C108,"TopFlow","Top","Top","Tot_Los","TOT_Dept_WO_Addbacks","Tot_FC",$A108,"Top5","Top6","Reported","Top8")</f>
        <v>7977470</v>
      </c>
      <c r="F108" s="15">
        <f>_xll.OneStreamExcelAddIn.XFFunctions.XFGetCell("True","Consol", $B108,"Tot_Entity","Aggregated",F$2,F$3,F$4,$C108,"TopFlow","Top","Top","Tot_Los","TOT_Dept_WO_Addbacks","TOP3",$A108,"Top5","Top6","Reported","Top8")</f>
        <v>9615416.8599999994</v>
      </c>
      <c r="G108" s="21">
        <f t="shared" ref="G108:G113" si="40">+E108-F108</f>
        <v>-1637946.8599999994</v>
      </c>
      <c r="H108" s="51"/>
      <c r="M108" s="15">
        <f>_xll.OneStreamExcelAddIn.XFFunctions.XFGetCell("True","Consol", $B108,"Tot_Entity","USD",M$2,M$3,M$4,$C108,"TopFlow","Top","Top","Tot_Los","TOT_Dept_WO_Addbacks","Tot_FC",$A108,"Top5","Top6","Reported","Top8")</f>
        <v>7977470</v>
      </c>
      <c r="N108" s="15">
        <f>_xll.OneStreamExcelAddIn.XFFunctions.XFGetCell("True","Consol", $B108,"Tot_Entity","USD",N$2,N$3,N$4,$C108,"TopFlow","Top","Top","Tot_Los","TOT_Dept_WO_Addbacks","Tot_FC",$A108,"Top5","Top6","Reported","Top8")</f>
        <v>8781719.6100000013</v>
      </c>
      <c r="O108" s="21">
        <f t="shared" ref="O108:O113" si="41">+M108-N108</f>
        <v>-804249.61000000127</v>
      </c>
      <c r="Q108" s="21"/>
      <c r="R108" s="21"/>
      <c r="T108" s="21"/>
      <c r="V108" s="15">
        <f>_xll.OneStreamExcelAddIn.XFFunctions.XFGetCell("True","Consol", $B108,"Tot_Entity","USD",V$2,V$3,V$4,$C108,"TopFlow","Top","Top","Tot_Los","TOT_Dept_WO_Addbacks","Tot_FC",$A108,"Top5","Top6","Reported","Top8")</f>
        <v>32448259.610000003</v>
      </c>
      <c r="W108" s="15">
        <f>_xll.OneStreamExcelAddIn.XFFunctions.XFGetCell("True","Consol", $B108,"Tot_Entity","Aggregated",W$2,W$3,W$4,$C108,"TopFlow","Top","Top","Tot_Los","TOT_Dept_WO_Addbacks","TOP3",$A108,"Top5","Top6","Reported","Top8")</f>
        <v>35518306.859999999</v>
      </c>
      <c r="X108" s="21">
        <f t="shared" ref="X108:X113" si="42">+V108-W108</f>
        <v>-3070047.2499999963</v>
      </c>
      <c r="AD108" s="15">
        <f>_xll.OneStreamExcelAddIn.XFFunctions.XFGetCell("True","Consol", $B108,"Tot_Entity","USD",AD$2,AD$3,AD$4,$C108,"TopFlow","Top","Top","Tot_Los","TOT_Dept_WO_Addbacks","Tot_FC",$A108,"Top5","Top6","Reported","Top8")</f>
        <v>7977470</v>
      </c>
      <c r="AE108" s="15">
        <f>_xll.OneStreamExcelAddIn.XFFunctions.XFGetCell("True","Consol", $B108,"Tot_Entity","USD",AE$2,AE$3,AE$4,$C108,"TopFlow","Top","Top","Tot_Los","TOT_Dept_WO_Addbacks","Tot_FC",$A108,"Top5","Top6","Reported","Top8")</f>
        <v>9482818</v>
      </c>
      <c r="AF108" s="21">
        <f t="shared" ref="AF108:AF113" si="43">+AD108-AE108</f>
        <v>-1505348</v>
      </c>
      <c r="AL108" s="15">
        <f>_xll.OneStreamExcelAddIn.XFFunctions.XFGetCell("True","Consol", $B108,"Tot_Entity","USD",AL$2,AL$3,AL$4,$C108,"TopFlow","Top","Top","Tot_Los","TOT_Dept_WO_Addbacks","Tot_FC",$A108,"Top5","Top6","Reported","Top8")</f>
        <v>32448259.610000003</v>
      </c>
      <c r="AM108" s="15">
        <f>_xll.OneStreamExcelAddIn.XFFunctions.XFGetCell("True","Consol", $B108,"Tot_Entity","USD",AM$2,AM$3,AM$4,$C108,"TopFlow","Top","Top","Tot_Los","TOT_Dept_WO_Addbacks","Tot_FC",$A108,"Top5","Top6","Reported","Top8")</f>
        <v>34311558.880000003</v>
      </c>
      <c r="AN108" s="21">
        <f t="shared" ref="AN108:AN113" si="44">+AL108-AM108</f>
        <v>-1863299.2699999996</v>
      </c>
      <c r="AT108" s="15">
        <f>_xll.OneStreamExcelAddIn.XFFunctions.XFGetCell("True","Consol", $B108,"Tot_Entity","USD",AT$2,AT$3,AT$4,$C108,"TopFlow","Top","Top","Tot_Los","TOT_Dept_WO_Addbacks","Tot_FC",$A108,"Top5","Top6","Reported","Top8")</f>
        <v>0</v>
      </c>
      <c r="AU108" s="15">
        <f>_xll.OneStreamExcelAddIn.XFFunctions.XFGetCell("True","Consol", $B108,"Tot_Entity","USD",AU$2,AU$3,AU$4,$C108,"TopFlow","Top","Top","Tot_Los","TOT_Dept_WO_Addbacks","Tot_FC",$A108,"Top5","Top6","Reported","Top8")</f>
        <v>9615416.8599999994</v>
      </c>
      <c r="AV108" s="162">
        <f t="shared" ref="AV108:AV113" si="45">+AT108-AU108</f>
        <v>-9615416.8599999994</v>
      </c>
    </row>
    <row r="109" spans="1:48" x14ac:dyDescent="0.2">
      <c r="A109" s="16" t="str">
        <f t="shared" si="38"/>
        <v>Acute_DIV1</v>
      </c>
      <c r="B109" s="15">
        <f t="shared" si="39"/>
        <v>127</v>
      </c>
      <c r="C109" s="14" t="s">
        <v>158</v>
      </c>
      <c r="D109" s="14" t="s">
        <v>159</v>
      </c>
      <c r="E109" s="15">
        <f>_xll.OneStreamExcelAddIn.XFFunctions.XFGetCell("True","Consol", $B109,"Tot_Entity","USD",E$2,E$3,E$4,$C109,"TopFlow","Top","Top","Tot_Los","TOT_Dept_WO_Addbacks","Tot_FC",$A109,"Top5","Top6","Reported","Top8")</f>
        <v>4475018.16</v>
      </c>
      <c r="F109" s="15">
        <f>_xll.OneStreamExcelAddIn.XFFunctions.XFGetCell("True","Consol", $B109,"Tot_Entity","Aggregated",F$2,F$3,F$4,$C109,"TopFlow","Top","Top","Tot_Los","TOT_Dept_WO_Addbacks","TOP3",$A109,"Top5","Top6","Reported","Top8")</f>
        <v>5950992.7383766416</v>
      </c>
      <c r="G109" s="21">
        <f t="shared" si="40"/>
        <v>-1475974.5783766415</v>
      </c>
      <c r="H109" s="51"/>
      <c r="M109" s="15">
        <f>_xll.OneStreamExcelAddIn.XFFunctions.XFGetCell("True","Consol", $B109,"Tot_Entity","USD",M$2,M$3,M$4,$C109,"TopFlow","Top","Top","Tot_Los","TOT_Dept_WO_Addbacks","Tot_FC",$A109,"Top5","Top6","Reported","Top8")</f>
        <v>4475018.16</v>
      </c>
      <c r="N109" s="15">
        <f>_xll.OneStreamExcelAddIn.XFFunctions.XFGetCell("True","Consol", $B109,"Tot_Entity","USD",N$2,N$3,N$4,$C109,"TopFlow","Top","Top","Tot_Los","TOT_Dept_WO_Addbacks","Tot_FC",$A109,"Top5","Top6","Reported","Top8")</f>
        <v>4731750.3500000006</v>
      </c>
      <c r="O109" s="21">
        <f t="shared" si="41"/>
        <v>-256732.19000000041</v>
      </c>
      <c r="Q109" s="21"/>
      <c r="R109" s="21"/>
      <c r="T109" s="21"/>
      <c r="V109" s="15">
        <f>_xll.OneStreamExcelAddIn.XFFunctions.XFGetCell("True","Consol", $B109,"Tot_Entity","USD",V$2,V$3,V$4,$C109,"TopFlow","Top","Top","Tot_Los","TOT_Dept_WO_Addbacks","Tot_FC",$A109,"Top5","Top6","Reported","Top8")</f>
        <v>17753130.16</v>
      </c>
      <c r="W109" s="15">
        <f>_xll.OneStreamExcelAddIn.XFFunctions.XFGetCell("True","Consol", $B109,"Tot_Entity","Aggregated",W$2,W$3,W$4,$C109,"TopFlow","Top","Top","Tot_Los","TOT_Dept_WO_Addbacks","TOP3",$A109,"Top5","Top6","Reported","Top8")</f>
        <v>20673623.443144403</v>
      </c>
      <c r="X109" s="21">
        <f t="shared" si="42"/>
        <v>-2920493.2831444032</v>
      </c>
      <c r="AD109" s="15">
        <f>_xll.OneStreamExcelAddIn.XFFunctions.XFGetCell("True","Consol", $B109,"Tot_Entity","USD",AD$2,AD$3,AD$4,$C109,"TopFlow","Top","Top","Tot_Los","TOT_Dept_WO_Addbacks","Tot_FC",$A109,"Top5","Top6","Reported","Top8")</f>
        <v>4475018.16</v>
      </c>
      <c r="AE109" s="15">
        <f>_xll.OneStreamExcelAddIn.XFFunctions.XFGetCell("True","Consol", $B109,"Tot_Entity","USD",AE$2,AE$3,AE$4,$C109,"TopFlow","Top","Top","Tot_Los","TOT_Dept_WO_Addbacks","Tot_FC",$A109,"Top5","Top6","Reported","Top8")</f>
        <v>5644360.1600000001</v>
      </c>
      <c r="AF109" s="21">
        <f t="shared" si="43"/>
        <v>-1169342</v>
      </c>
      <c r="AL109" s="15">
        <f>_xll.OneStreamExcelAddIn.XFFunctions.XFGetCell("True","Consol", $B109,"Tot_Entity","USD",AL$2,AL$3,AL$4,$C109,"TopFlow","Top","Top","Tot_Los","TOT_Dept_WO_Addbacks","Tot_FC",$A109,"Top5","Top6","Reported","Top8")</f>
        <v>17753130.16</v>
      </c>
      <c r="AM109" s="15">
        <f>_xll.OneStreamExcelAddIn.XFFunctions.XFGetCell("True","Consol", $B109,"Tot_Entity","USD",AM$2,AM$3,AM$4,$C109,"TopFlow","Top","Top","Tot_Los","TOT_Dept_WO_Addbacks","Tot_FC",$A109,"Top5","Top6","Reported","Top8")</f>
        <v>18879962.239999998</v>
      </c>
      <c r="AN109" s="21">
        <f t="shared" si="44"/>
        <v>-1126832.0799999982</v>
      </c>
      <c r="AT109" s="15">
        <f>_xll.OneStreamExcelAddIn.XFFunctions.XFGetCell("True","Consol", $B109,"Tot_Entity","USD",AT$2,AT$3,AT$4,$C109,"TopFlow","Top","Top","Tot_Los","TOT_Dept_WO_Addbacks","Tot_FC",$A109,"Top5","Top6","Reported","Top8")</f>
        <v>0</v>
      </c>
      <c r="AU109" s="15">
        <f>_xll.OneStreamExcelAddIn.XFFunctions.XFGetCell("True","Consol", $B109,"Tot_Entity","USD",AU$2,AU$3,AU$4,$C109,"TopFlow","Top","Top","Tot_Los","TOT_Dept_WO_Addbacks","Tot_FC",$A109,"Top5","Top6","Reported","Top8")</f>
        <v>5950992.7383766416</v>
      </c>
      <c r="AV109" s="162">
        <f t="shared" si="45"/>
        <v>-5950992.7383766416</v>
      </c>
    </row>
    <row r="110" spans="1:48" x14ac:dyDescent="0.2">
      <c r="A110" s="16" t="str">
        <f t="shared" si="38"/>
        <v>Acute_DIV1</v>
      </c>
      <c r="B110" s="15">
        <f t="shared" si="39"/>
        <v>127</v>
      </c>
      <c r="C110" s="14" t="s">
        <v>160</v>
      </c>
      <c r="D110" s="14" t="s">
        <v>161</v>
      </c>
      <c r="E110" s="15">
        <f>_xll.OneStreamExcelAddIn.XFFunctions.XFGetCell("True","Consol", $B110,"Tot_Entity","USD",E$2,E$3,E$4,$C110,"TopFlow","Top","Top","Tot_Los","TOT_Dept_WO_Addbacks","Tot_FC",$A110,"Top5","Top6","Reported","Top8")</f>
        <v>-4352</v>
      </c>
      <c r="F110" s="15">
        <f>_xll.OneStreamExcelAddIn.XFFunctions.XFGetCell("True","Consol", $B110,"Tot_Entity","Aggregated",F$2,F$3,F$4,$C110,"TopFlow","Top","Top","Tot_Los","TOT_Dept_WO_Addbacks","TOP3",$A110,"Top5","Top6","Reported","Top8")</f>
        <v>3550.2247216229998</v>
      </c>
      <c r="G110" s="21">
        <f t="shared" si="40"/>
        <v>-7902.2247216229998</v>
      </c>
      <c r="M110" s="15">
        <f>_xll.OneStreamExcelAddIn.XFFunctions.XFGetCell("True","Consol", $B110,"Tot_Entity","USD",M$2,M$3,M$4,$C110,"TopFlow","Top","Top","Tot_Los","TOT_Dept_WO_Addbacks","Tot_FC",$A110,"Top5","Top6","Reported","Top8")</f>
        <v>-4352</v>
      </c>
      <c r="N110" s="15">
        <f>_xll.OneStreamExcelAddIn.XFFunctions.XFGetCell("True","Consol", $B110,"Tot_Entity","USD",N$2,N$3,N$4,$C110,"TopFlow","Top","Top","Tot_Los","TOT_Dept_WO_Addbacks","Tot_FC",$A110,"Top5","Top6","Reported","Top8")</f>
        <v>-39676</v>
      </c>
      <c r="O110" s="21">
        <f t="shared" si="41"/>
        <v>35324</v>
      </c>
      <c r="Q110" s="21"/>
      <c r="R110" s="21"/>
      <c r="T110" s="21"/>
      <c r="V110" s="15">
        <f>_xll.OneStreamExcelAddIn.XFFunctions.XFGetCell("True","Consol", $B110,"Tot_Entity","USD",V$2,V$3,V$4,$C110,"TopFlow","Top","Top","Tot_Los","TOT_Dept_WO_Addbacks","Tot_FC",$A110,"Top5","Top6","Reported","Top8")</f>
        <v>-44028</v>
      </c>
      <c r="W110" s="15">
        <f>_xll.OneStreamExcelAddIn.XFFunctions.XFGetCell("True","Consol", $B110,"Tot_Entity","Aggregated",W$2,W$3,W$4,$C110,"TopFlow","Top","Top","Tot_Los","TOT_Dept_WO_Addbacks","TOP3",$A110,"Top5","Top6","Reported","Top8")</f>
        <v>14366.120316855</v>
      </c>
      <c r="X110" s="21">
        <f t="shared" si="42"/>
        <v>-58394.120316854998</v>
      </c>
      <c r="AD110" s="15">
        <f>_xll.OneStreamExcelAddIn.XFFunctions.XFGetCell("True","Consol", $B110,"Tot_Entity","USD",AD$2,AD$3,AD$4,$C110,"TopFlow","Top","Top","Tot_Los","TOT_Dept_WO_Addbacks","Tot_FC",$A110,"Top5","Top6","Reported","Top8")</f>
        <v>-4352</v>
      </c>
      <c r="AE110" s="15">
        <f>_xll.OneStreamExcelAddIn.XFFunctions.XFGetCell("True","Consol", $B110,"Tot_Entity","USD",AE$2,AE$3,AE$4,$C110,"TopFlow","Top","Top","Tot_Los","TOT_Dept_WO_Addbacks","Tot_FC",$A110,"Top5","Top6","Reported","Top8")</f>
        <v>702.4</v>
      </c>
      <c r="AF110" s="21">
        <f t="shared" si="43"/>
        <v>-5054.3999999999996</v>
      </c>
      <c r="AL110" s="15">
        <f>_xll.OneStreamExcelAddIn.XFFunctions.XFGetCell("True","Consol", $B110,"Tot_Entity","USD",AL$2,AL$3,AL$4,$C110,"TopFlow","Top","Top","Tot_Los","TOT_Dept_WO_Addbacks","Tot_FC",$A110,"Top5","Top6","Reported","Top8")</f>
        <v>-44028</v>
      </c>
      <c r="AM110" s="15">
        <f>_xll.OneStreamExcelAddIn.XFFunctions.XFGetCell("True","Consol", $B110,"Tot_Entity","USD",AM$2,AM$3,AM$4,$C110,"TopFlow","Top","Top","Tot_Los","TOT_Dept_WO_Addbacks","Tot_FC",$A110,"Top5","Top6","Reported","Top8")</f>
        <v>13161.96</v>
      </c>
      <c r="AN110" s="21">
        <f t="shared" si="44"/>
        <v>-57189.96</v>
      </c>
      <c r="AT110" s="15">
        <f>_xll.OneStreamExcelAddIn.XFFunctions.XFGetCell("True","Consol", $B110,"Tot_Entity","USD",AT$2,AT$3,AT$4,$C110,"TopFlow","Top","Top","Tot_Los","TOT_Dept_WO_Addbacks","Tot_FC",$A110,"Top5","Top6","Reported","Top8")</f>
        <v>0</v>
      </c>
      <c r="AU110" s="15">
        <f>_xll.OneStreamExcelAddIn.XFFunctions.XFGetCell("True","Consol", $B110,"Tot_Entity","USD",AU$2,AU$3,AU$4,$C110,"TopFlow","Top","Top","Tot_Los","TOT_Dept_WO_Addbacks","Tot_FC",$A110,"Top5","Top6","Reported","Top8")</f>
        <v>3550.2247216229998</v>
      </c>
      <c r="AV110" s="162">
        <f t="shared" si="45"/>
        <v>-3550.2247216229998</v>
      </c>
    </row>
    <row r="111" spans="1:48" x14ac:dyDescent="0.2">
      <c r="A111" s="16" t="str">
        <f t="shared" si="38"/>
        <v>Acute_DIV1</v>
      </c>
      <c r="B111" s="15">
        <f t="shared" si="39"/>
        <v>127</v>
      </c>
      <c r="C111" s="14" t="s">
        <v>162</v>
      </c>
      <c r="D111" s="14" t="s">
        <v>163</v>
      </c>
      <c r="E111" s="15">
        <f>_xll.OneStreamExcelAddIn.XFFunctions.XFGetCell("True","Consol", $B111,"Tot_Entity","USD",E$2,E$3,E$4,$C111,"TopFlow","Top","Top","Tot_Los","TOT_Dept_WO_Addbacks","Tot_FC",$A111,"Top5","Top6","Reported","Top8")</f>
        <v>79865</v>
      </c>
      <c r="F111" s="15">
        <f>_xll.OneStreamExcelAddIn.XFFunctions.XFGetCell("True","Consol", $B111,"Tot_Entity","Aggregated",F$2,F$3,F$4,$C111,"TopFlow","Top","Top","Tot_Los","TOT_Dept_WO_Addbacks","TOP3",$A111,"Top5","Top6","Reported","Top8")</f>
        <v>26626.685412176001</v>
      </c>
      <c r="G111" s="21">
        <f t="shared" si="40"/>
        <v>53238.314587824003</v>
      </c>
      <c r="M111" s="15">
        <f>_xll.OneStreamExcelAddIn.XFFunctions.XFGetCell("True","Consol", $B111,"Tot_Entity","USD",M$2,M$3,M$4,$C111,"TopFlow","Top","Top","Tot_Los","TOT_Dept_WO_Addbacks","Tot_FC",$A111,"Top5","Top6","Reported","Top8")</f>
        <v>79865</v>
      </c>
      <c r="N111" s="15">
        <f>_xll.OneStreamExcelAddIn.XFFunctions.XFGetCell("True","Consol", $B111,"Tot_Entity","USD",N$2,N$3,N$4,$C111,"TopFlow","Top","Top","Tot_Los","TOT_Dept_WO_Addbacks","Tot_FC",$A111,"Top5","Top6","Reported","Top8")</f>
        <v>71564</v>
      </c>
      <c r="O111" s="21">
        <f t="shared" si="41"/>
        <v>8301</v>
      </c>
      <c r="Q111" s="21"/>
      <c r="R111" s="21"/>
      <c r="T111" s="21"/>
      <c r="V111" s="15">
        <f>_xll.OneStreamExcelAddIn.XFFunctions.XFGetCell("True","Consol", $B111,"Tot_Entity","USD",V$2,V$3,V$4,$C111,"TopFlow","Top","Top","Tot_Los","TOT_Dept_WO_Addbacks","Tot_FC",$A111,"Top5","Top6","Reported","Top8")</f>
        <v>215261</v>
      </c>
      <c r="W111" s="15">
        <f>_xll.OneStreamExcelAddIn.XFFunctions.XFGetCell("True","Consol", $B111,"Tot_Entity","Aggregated",W$2,W$3,W$4,$C111,"TopFlow","Top","Top","Tot_Los","TOT_Dept_WO_Addbacks","TOP3",$A111,"Top5","Top6","Reported","Top8")</f>
        <v>107745.90237641901</v>
      </c>
      <c r="X111" s="21">
        <f t="shared" si="42"/>
        <v>107515.09762358099</v>
      </c>
      <c r="AD111" s="15">
        <f>_xll.OneStreamExcelAddIn.XFFunctions.XFGetCell("True","Consol", $B111,"Tot_Entity","USD",AD$2,AD$3,AD$4,$C111,"TopFlow","Top","Top","Tot_Los","TOT_Dept_WO_Addbacks","Tot_FC",$A111,"Top5","Top6","Reported","Top8")</f>
        <v>79865</v>
      </c>
      <c r="AE111" s="15">
        <f>_xll.OneStreamExcelAddIn.XFFunctions.XFGetCell("True","Consol", $B111,"Tot_Entity","USD",AE$2,AE$3,AE$4,$C111,"TopFlow","Top","Top","Tot_Los","TOT_Dept_WO_Addbacks","Tot_FC",$A111,"Top5","Top6","Reported","Top8")</f>
        <v>29234.82</v>
      </c>
      <c r="AF111" s="21">
        <f t="shared" si="43"/>
        <v>50630.18</v>
      </c>
      <c r="AL111" s="15">
        <f>_xll.OneStreamExcelAddIn.XFFunctions.XFGetCell("True","Consol", $B111,"Tot_Entity","USD",AL$2,AL$3,AL$4,$C111,"TopFlow","Top","Top","Tot_Los","TOT_Dept_WO_Addbacks","Tot_FC",$A111,"Top5","Top6","Reported","Top8")</f>
        <v>215261</v>
      </c>
      <c r="AM111" s="15">
        <f>_xll.OneStreamExcelAddIn.XFFunctions.XFGetCell("True","Consol", $B111,"Tot_Entity","USD",AM$2,AM$3,AM$4,$C111,"TopFlow","Top","Top","Tot_Los","TOT_Dept_WO_Addbacks","Tot_FC",$A111,"Top5","Top6","Reported","Top8")</f>
        <v>107171.17</v>
      </c>
      <c r="AN111" s="21">
        <f t="shared" si="44"/>
        <v>108089.83</v>
      </c>
      <c r="AT111" s="15">
        <f>_xll.OneStreamExcelAddIn.XFFunctions.XFGetCell("True","Consol", $B111,"Tot_Entity","USD",AT$2,AT$3,AT$4,$C111,"TopFlow","Top","Top","Tot_Los","TOT_Dept_WO_Addbacks","Tot_FC",$A111,"Top5","Top6","Reported","Top8")</f>
        <v>0</v>
      </c>
      <c r="AU111" s="15">
        <f>_xll.OneStreamExcelAddIn.XFFunctions.XFGetCell("True","Consol", $B111,"Tot_Entity","USD",AU$2,AU$3,AU$4,$C111,"TopFlow","Top","Top","Tot_Los","TOT_Dept_WO_Addbacks","Tot_FC",$A111,"Top5","Top6","Reported","Top8")</f>
        <v>26626.685412176001</v>
      </c>
      <c r="AV111" s="162">
        <f t="shared" si="45"/>
        <v>-26626.685412176001</v>
      </c>
    </row>
    <row r="112" spans="1:48" x14ac:dyDescent="0.2">
      <c r="A112" s="16" t="str">
        <f t="shared" si="38"/>
        <v>Acute_DIV1</v>
      </c>
      <c r="B112" s="15">
        <f t="shared" si="39"/>
        <v>127</v>
      </c>
      <c r="C112" s="14" t="s">
        <v>164</v>
      </c>
      <c r="D112" s="14" t="s">
        <v>165</v>
      </c>
      <c r="E112" s="15">
        <f>_xll.OneStreamExcelAddIn.XFFunctions.XFGetCell("True","Consol", $B112,"Tot_Entity","USD",E$2,E$3,E$4,$C112,"TopFlow","Top","Top","Tot_Los","TOT_Dept_WO_Addbacks","Tot_FC",$A112,"Top5","Top6","Reported","Top8")</f>
        <v>39727.919999999998</v>
      </c>
      <c r="F112" s="15">
        <f>_xll.OneStreamExcelAddIn.XFFunctions.XFGetCell("True","Consol", $B112,"Tot_Entity","Aggregated",F$2,F$3,F$4,$C112,"TopFlow","Top","Top","Tot_Los","TOT_Dept_WO_Addbacks","TOP3",$A112,"Top5","Top6","Reported","Top8")</f>
        <v>35502.247216233001</v>
      </c>
      <c r="G112" s="21">
        <f t="shared" si="40"/>
        <v>4225.6727837669969</v>
      </c>
      <c r="M112" s="15">
        <f>_xll.OneStreamExcelAddIn.XFFunctions.XFGetCell("True","Consol", $B112,"Tot_Entity","USD",M$2,M$3,M$4,$C112,"TopFlow","Top","Top","Tot_Los","TOT_Dept_WO_Addbacks","Tot_FC",$A112,"Top5","Top6","Reported","Top8")</f>
        <v>39727.919999999998</v>
      </c>
      <c r="N112" s="15">
        <f>_xll.OneStreamExcelAddIn.XFFunctions.XFGetCell("True","Consol", $B112,"Tot_Entity","USD",N$2,N$3,N$4,$C112,"TopFlow","Top","Top","Tot_Los","TOT_Dept_WO_Addbacks","Tot_FC",$A112,"Top5","Top6","Reported","Top8")</f>
        <v>67160</v>
      </c>
      <c r="O112" s="21">
        <f t="shared" si="41"/>
        <v>-27432.080000000002</v>
      </c>
      <c r="Q112" s="21"/>
      <c r="R112" s="21"/>
      <c r="T112" s="21"/>
      <c r="V112" s="15">
        <f>_xll.OneStreamExcelAddIn.XFFunctions.XFGetCell("True","Consol", $B112,"Tot_Entity","USD",V$2,V$3,V$4,$C112,"TopFlow","Top","Top","Tot_Los","TOT_Dept_WO_Addbacks","Tot_FC",$A112,"Top5","Top6","Reported","Top8")</f>
        <v>269192.32000000001</v>
      </c>
      <c r="W112" s="15">
        <f>_xll.OneStreamExcelAddIn.XFFunctions.XFGetCell("True","Consol", $B112,"Tot_Entity","Aggregated",W$2,W$3,W$4,$C112,"TopFlow","Top","Top","Tot_Los","TOT_Dept_WO_Addbacks","TOP3",$A112,"Top5","Top6","Reported","Top8")</f>
        <v>143661.20316855499</v>
      </c>
      <c r="X112" s="21">
        <f t="shared" si="42"/>
        <v>125531.11683144502</v>
      </c>
      <c r="AD112" s="15">
        <f>_xll.OneStreamExcelAddIn.XFFunctions.XFGetCell("True","Consol", $B112,"Tot_Entity","USD",AD$2,AD$3,AD$4,$C112,"TopFlow","Top","Top","Tot_Los","TOT_Dept_WO_Addbacks","Tot_FC",$A112,"Top5","Top6","Reported","Top8")</f>
        <v>39727.919999999998</v>
      </c>
      <c r="AE112" s="15">
        <f>_xll.OneStreamExcelAddIn.XFFunctions.XFGetCell("True","Consol", $B112,"Tot_Entity","USD",AE$2,AE$3,AE$4,$C112,"TopFlow","Top","Top","Tot_Los","TOT_Dept_WO_Addbacks","Tot_FC",$A112,"Top5","Top6","Reported","Top8")</f>
        <v>32985.919999999998</v>
      </c>
      <c r="AF112" s="21">
        <f t="shared" si="43"/>
        <v>6742</v>
      </c>
      <c r="AL112" s="15">
        <f>_xll.OneStreamExcelAddIn.XFFunctions.XFGetCell("True","Consol", $B112,"Tot_Entity","USD",AL$2,AL$3,AL$4,$C112,"TopFlow","Top","Top","Tot_Los","TOT_Dept_WO_Addbacks","Tot_FC",$A112,"Top5","Top6","Reported","Top8")</f>
        <v>269192.32000000001</v>
      </c>
      <c r="AM112" s="15">
        <f>_xll.OneStreamExcelAddIn.XFFunctions.XFGetCell("True","Consol", $B112,"Tot_Entity","USD",AM$2,AM$3,AM$4,$C112,"TopFlow","Top","Top","Tot_Los","TOT_Dept_WO_Addbacks","Tot_FC",$A112,"Top5","Top6","Reported","Top8")</f>
        <v>239592.43</v>
      </c>
      <c r="AN112" s="21">
        <f t="shared" si="44"/>
        <v>29599.890000000014</v>
      </c>
      <c r="AT112" s="15">
        <f>_xll.OneStreamExcelAddIn.XFFunctions.XFGetCell("True","Consol", $B112,"Tot_Entity","USD",AT$2,AT$3,AT$4,$C112,"TopFlow","Top","Top","Tot_Los","TOT_Dept_WO_Addbacks","Tot_FC",$A112,"Top5","Top6","Reported","Top8")</f>
        <v>0</v>
      </c>
      <c r="AU112" s="15">
        <f>_xll.OneStreamExcelAddIn.XFFunctions.XFGetCell("True","Consol", $B112,"Tot_Entity","USD",AU$2,AU$3,AU$4,$C112,"TopFlow","Top","Top","Tot_Los","TOT_Dept_WO_Addbacks","Tot_FC",$A112,"Top5","Top6","Reported","Top8")</f>
        <v>35502.247216233001</v>
      </c>
      <c r="AV112" s="162">
        <f t="shared" si="45"/>
        <v>-35502.247216233001</v>
      </c>
    </row>
    <row r="113" spans="1:53" x14ac:dyDescent="0.2">
      <c r="A113" s="16" t="str">
        <f t="shared" si="38"/>
        <v>Acute_DIV1</v>
      </c>
      <c r="B113" s="15">
        <f t="shared" si="39"/>
        <v>127</v>
      </c>
      <c r="C113" s="14" t="s">
        <v>166</v>
      </c>
      <c r="D113" s="14" t="s">
        <v>167</v>
      </c>
      <c r="E113" s="15">
        <f>_xll.OneStreamExcelAddIn.XFFunctions.XFGetCell("True","Consol", $B113,"Tot_Entity","USD",E$2,E$3,E$4,$C113,"TopFlow","Top","Top","Tot_Los","TOT_Dept_WO_Addbacks","Tot_FC",$A113,"Top5","Top6","Reported","Top8")</f>
        <v>-401554.03</v>
      </c>
      <c r="F113" s="15">
        <f>_xll.OneStreamExcelAddIn.XFFunctions.XFGetCell("True","Consol", $B113,"Tot_Entity","Aggregated",F$2,F$3,F$4,$C113,"TopFlow","Top","Top","Tot_Los","TOT_Dept_WO_Addbacks","TOP3",$A113,"Top5","Top6","Reported","Top8")</f>
        <v>191440.81914019899</v>
      </c>
      <c r="G113" s="21">
        <f t="shared" si="40"/>
        <v>-592994.84914019902</v>
      </c>
      <c r="M113" s="15">
        <f>_xll.OneStreamExcelAddIn.XFFunctions.XFGetCell("True","Consol", $B113,"Tot_Entity","USD",M$2,M$3,M$4,$C113,"TopFlow","Top","Top","Tot_Los","TOT_Dept_WO_Addbacks","Tot_FC",$A113,"Top5","Top6","Reported","Top8")</f>
        <v>-401554.03</v>
      </c>
      <c r="N113" s="15">
        <f>_xll.OneStreamExcelAddIn.XFFunctions.XFGetCell("True","Consol", $B113,"Tot_Entity","USD",N$2,N$3,N$4,$C113,"TopFlow","Top","Top","Tot_Los","TOT_Dept_WO_Addbacks","Tot_FC",$A113,"Top5","Top6","Reported","Top8")</f>
        <v>-131385.75</v>
      </c>
      <c r="O113" s="21">
        <f t="shared" si="41"/>
        <v>-270168.28000000003</v>
      </c>
      <c r="Q113" s="21"/>
      <c r="R113" s="21"/>
      <c r="T113" s="21"/>
      <c r="V113" s="15">
        <f>_xll.OneStreamExcelAddIn.XFFunctions.XFGetCell("True","Consol", $B113,"Tot_Entity","USD",V$2,V$3,V$4,$C113,"TopFlow","Top","Top","Tot_Los","TOT_Dept_WO_Addbacks","Tot_FC",$A113,"Top5","Top6","Reported","Top8")</f>
        <v>-341605.79</v>
      </c>
      <c r="W113" s="15">
        <f>_xll.OneStreamExcelAddIn.XFFunctions.XFGetCell("True","Consol", $B113,"Tot_Entity","Aggregated",W$2,W$3,W$4,$C113,"TopFlow","Top","Top","Tot_Los","TOT_Dept_WO_Addbacks","TOP3",$A113,"Top5","Top6","Reported","Top8")</f>
        <v>767503.80791781296</v>
      </c>
      <c r="X113" s="21">
        <f t="shared" si="42"/>
        <v>-1109109.5979178129</v>
      </c>
      <c r="AD113" s="15">
        <f>_xll.OneStreamExcelAddIn.XFFunctions.XFGetCell("True","Consol", $B113,"Tot_Entity","USD",AD$2,AD$3,AD$4,$C113,"TopFlow","Top","Top","Tot_Los","TOT_Dept_WO_Addbacks","Tot_FC",$A113,"Top5","Top6","Reported","Top8")</f>
        <v>-401554.03</v>
      </c>
      <c r="AE113" s="15">
        <f>_xll.OneStreamExcelAddIn.XFFunctions.XFGetCell("True","Consol", $B113,"Tot_Entity","USD",AE$2,AE$3,AE$4,$C113,"TopFlow","Top","Top","Tot_Los","TOT_Dept_WO_Addbacks","Tot_FC",$A113,"Top5","Top6","Reported","Top8")</f>
        <v>22118.57</v>
      </c>
      <c r="AF113" s="21">
        <f t="shared" si="43"/>
        <v>-423672.60000000003</v>
      </c>
      <c r="AL113" s="15">
        <f>_xll.OneStreamExcelAddIn.XFFunctions.XFGetCell("True","Consol", $B113,"Tot_Entity","USD",AL$2,AL$3,AL$4,$C113,"TopFlow","Top","Top","Tot_Los","TOT_Dept_WO_Addbacks","Tot_FC",$A113,"Top5","Top6","Reported","Top8")</f>
        <v>-341605.79</v>
      </c>
      <c r="AM113" s="15">
        <f>_xll.OneStreamExcelAddIn.XFFunctions.XFGetCell("True","Consol", $B113,"Tot_Entity","USD",AM$2,AM$3,AM$4,$C113,"TopFlow","Top","Top","Tot_Los","TOT_Dept_WO_Addbacks","Tot_FC",$A113,"Top5","Top6","Reported","Top8")</f>
        <v>429145.93</v>
      </c>
      <c r="AN113" s="21">
        <f t="shared" si="44"/>
        <v>-770751.72</v>
      </c>
      <c r="AT113" s="15">
        <f>_xll.OneStreamExcelAddIn.XFFunctions.XFGetCell("True","Consol", $B113,"Tot_Entity","USD",AT$2,AT$3,AT$4,$C113,"TopFlow","Top","Top","Tot_Los","TOT_Dept_WO_Addbacks","Tot_FC",$A113,"Top5","Top6","Reported","Top8")</f>
        <v>0</v>
      </c>
      <c r="AU113" s="15">
        <f>_xll.OneStreamExcelAddIn.XFFunctions.XFGetCell("True","Consol", $B113,"Tot_Entity","USD",AU$2,AU$3,AU$4,$C113,"TopFlow","Top","Top","Tot_Los","TOT_Dept_WO_Addbacks","Tot_FC",$A113,"Top5","Top6","Reported","Top8")</f>
        <v>191440.81914019899</v>
      </c>
      <c r="AV113" s="162">
        <f t="shared" si="45"/>
        <v>-191440.81914019899</v>
      </c>
    </row>
    <row r="115" spans="1:53" s="24" customFormat="1" x14ac:dyDescent="0.2">
      <c r="B115" s="25"/>
      <c r="C115" s="26"/>
      <c r="D115" s="27" t="s">
        <v>62</v>
      </c>
      <c r="E115" s="28">
        <f>+E78/E29</f>
        <v>2313.8556947162424</v>
      </c>
      <c r="F115" s="28">
        <f>+F78/F29</f>
        <v>1996.9217538106188</v>
      </c>
      <c r="G115" s="42">
        <f>+E115-F115</f>
        <v>316.93394090562356</v>
      </c>
      <c r="H115" s="38">
        <f>+(E115-F115)/F115</f>
        <v>0.15871124659783764</v>
      </c>
      <c r="I115" s="11"/>
      <c r="L115" s="49"/>
      <c r="M115" s="28">
        <f>+M78/M29</f>
        <v>2313.8556947162424</v>
      </c>
      <c r="N115" s="28">
        <f>+N78/N29</f>
        <v>1222.6659003558721</v>
      </c>
      <c r="O115" s="42">
        <f>+M115-N115</f>
        <v>1091.1897943603703</v>
      </c>
      <c r="P115" s="11"/>
      <c r="Q115" s="42"/>
      <c r="R115" s="42"/>
      <c r="S115" s="11"/>
      <c r="T115" s="42"/>
      <c r="U115" s="49"/>
      <c r="V115" s="28">
        <f>+V78/V29</f>
        <v>1989.6076613369291</v>
      </c>
      <c r="W115" s="28">
        <f>+W78/W29</f>
        <v>2069.2003885607805</v>
      </c>
      <c r="X115" s="42">
        <f>+V115-W115</f>
        <v>-79.592727223851398</v>
      </c>
      <c r="Y115" s="38">
        <f>+(V115-W115)/W115</f>
        <v>-3.8465451516376155E-2</v>
      </c>
      <c r="Z115" s="11"/>
      <c r="AB115" s="25"/>
      <c r="AC115" s="49"/>
      <c r="AD115" s="28">
        <f>+AD78/AD29</f>
        <v>2313.8556947162424</v>
      </c>
      <c r="AE115" s="28">
        <f>+AE78/AE29</f>
        <v>1108.164172322219</v>
      </c>
      <c r="AF115" s="42">
        <f>+AD115-AE115</f>
        <v>1205.6915223940234</v>
      </c>
      <c r="AG115" s="38">
        <f>+(AD115-AE115)/AE115</f>
        <v>1.0880080339246401</v>
      </c>
      <c r="AH115" s="11"/>
      <c r="AJ115" s="25"/>
      <c r="AK115" s="49"/>
      <c r="AL115" s="28">
        <f>+AL78/AL29</f>
        <v>1989.6076613369291</v>
      </c>
      <c r="AM115" s="28">
        <f>+AM78/AM29</f>
        <v>1120.9751592940636</v>
      </c>
      <c r="AN115" s="42">
        <f>+AL115-AM115</f>
        <v>868.63250204286555</v>
      </c>
      <c r="AO115" s="38">
        <f>+(AL115-AM115)/AM115</f>
        <v>0.77489005428977453</v>
      </c>
      <c r="AP115" s="11"/>
      <c r="AR115" s="25"/>
      <c r="AS115" s="49"/>
      <c r="AT115" s="28" t="e">
        <f>+AT78/AT29</f>
        <v>#DIV/0!</v>
      </c>
      <c r="AU115" s="28">
        <f>+AU78/AU29</f>
        <v>1996.9217538106188</v>
      </c>
      <c r="AV115" s="165" t="e">
        <f>+AT115-AU115</f>
        <v>#DIV/0!</v>
      </c>
      <c r="AW115" s="38" t="e">
        <f>+(AT115-AU115)/AU115</f>
        <v>#DIV/0!</v>
      </c>
      <c r="AX115" s="11"/>
      <c r="AZ115" s="25"/>
      <c r="BA115" s="49"/>
    </row>
    <row r="116" spans="1:53" x14ac:dyDescent="0.2">
      <c r="AB116" s="50"/>
      <c r="AJ116" s="50"/>
      <c r="AR116" s="50"/>
      <c r="AZ116" s="50"/>
    </row>
    <row r="117" spans="1:53" s="24" customFormat="1" x14ac:dyDescent="0.2">
      <c r="B117" s="25"/>
      <c r="C117" s="26"/>
      <c r="D117" s="27" t="s">
        <v>168</v>
      </c>
      <c r="E117" s="28">
        <f t="shared" ref="E117:F121" si="46">+IF(E36=0,0,E80/E36)</f>
        <v>1175.6434431137725</v>
      </c>
      <c r="F117" s="28">
        <f t="shared" si="46"/>
        <v>762.50619602957477</v>
      </c>
      <c r="G117" s="42">
        <f>+E117-F117</f>
        <v>413.13724708419772</v>
      </c>
      <c r="H117" s="38">
        <f>+IF(SUM(E117:F117)=0,0,(E117-F117)/F117)</f>
        <v>0.54181493768238664</v>
      </c>
      <c r="I117" s="11"/>
      <c r="L117" s="11"/>
      <c r="M117" s="28">
        <f t="shared" ref="M117:N117" si="47">+IF(M36=0,0,M80/M36)</f>
        <v>1175.6434431137725</v>
      </c>
      <c r="N117" s="28">
        <f t="shared" si="47"/>
        <v>844.57296577946772</v>
      </c>
      <c r="O117" s="42">
        <f>+M117-N117</f>
        <v>331.07047733430477</v>
      </c>
      <c r="P117" s="11"/>
      <c r="Q117" s="42"/>
      <c r="R117" s="42"/>
      <c r="S117" s="11"/>
      <c r="T117" s="42"/>
      <c r="U117" s="11"/>
      <c r="V117" s="28">
        <f t="shared" ref="V117:W121" si="48">+IF(V36=0,0,V80/V36)</f>
        <v>921.81965686274509</v>
      </c>
      <c r="W117" s="28">
        <f t="shared" si="48"/>
        <v>802.21056880205924</v>
      </c>
      <c r="X117" s="42">
        <f>+V117-W117</f>
        <v>119.60908806068585</v>
      </c>
      <c r="Y117" s="38">
        <f>+IF(SUM(V117:W117)=0,0,(V117-W117)/W117)</f>
        <v>0.14909936706430837</v>
      </c>
      <c r="Z117" s="11"/>
      <c r="AB117" s="25"/>
      <c r="AC117" s="11"/>
      <c r="AD117" s="28">
        <f t="shared" ref="AD117:AE121" si="49">+IF(AD36=0,0,AD80/AD36)</f>
        <v>1175.6434431137725</v>
      </c>
      <c r="AE117" s="28">
        <f t="shared" si="49"/>
        <v>617.89269736842107</v>
      </c>
      <c r="AF117" s="42">
        <f>+AD117-AE117</f>
        <v>557.75074574535142</v>
      </c>
      <c r="AG117" s="38">
        <f>+IF(SUM(AD117:AE117)=0,0,(AD117-AE117)/AE117)</f>
        <v>0.90266602618996516</v>
      </c>
      <c r="AH117" s="11"/>
      <c r="AJ117" s="25"/>
      <c r="AK117" s="11"/>
      <c r="AL117" s="28">
        <f t="shared" ref="AL117:AM121" si="50">+IF(AL36=0,0,AL80/AL36)</f>
        <v>921.81965686274509</v>
      </c>
      <c r="AM117" s="28">
        <f t="shared" si="50"/>
        <v>1105.2140752602081</v>
      </c>
      <c r="AN117" s="42">
        <f>+AL117-AM117</f>
        <v>-183.39441839746303</v>
      </c>
      <c r="AO117" s="38">
        <f>+IF(SUM(AL117:AM117)=0,0,(AL117-AM117)/AM117)</f>
        <v>-0.16593565219867945</v>
      </c>
      <c r="AP117" s="11"/>
      <c r="AR117" s="25"/>
      <c r="AS117" s="11"/>
      <c r="AT117" s="28">
        <f t="shared" ref="AT117:AU117" si="51">+IF(AT36=0,0,AT80/AT36)</f>
        <v>0</v>
      </c>
      <c r="AU117" s="28">
        <f t="shared" si="51"/>
        <v>762.50619602957477</v>
      </c>
      <c r="AV117" s="165">
        <f>+AT117-AU117</f>
        <v>-762.50619602957477</v>
      </c>
      <c r="AW117" s="38">
        <f>+IF(SUM(AT117:AU117)=0,0,(AT117-AU117)/AU117)</f>
        <v>-1</v>
      </c>
      <c r="AX117" s="11"/>
      <c r="AZ117" s="25"/>
      <c r="BA117" s="11"/>
    </row>
    <row r="118" spans="1:53" s="24" customFormat="1" x14ac:dyDescent="0.2">
      <c r="B118" s="25"/>
      <c r="C118" s="26"/>
      <c r="D118" s="27" t="s">
        <v>169</v>
      </c>
      <c r="E118" s="28">
        <f t="shared" si="46"/>
        <v>3021.0218852999342</v>
      </c>
      <c r="F118" s="28">
        <f t="shared" si="46"/>
        <v>2690.2217589379343</v>
      </c>
      <c r="G118" s="42">
        <f>+E118-F118</f>
        <v>330.8001263619999</v>
      </c>
      <c r="H118" s="38">
        <f>+IF(SUM(E118:F118)=0,0,(E118-F118)/F118)</f>
        <v>0.12296388774009308</v>
      </c>
      <c r="I118" s="11"/>
      <c r="L118" s="11"/>
      <c r="M118" s="28">
        <f t="shared" ref="M118:N118" si="52">+IF(M37=0,0,M81/M37)</f>
        <v>3021.0218852999342</v>
      </c>
      <c r="N118" s="28">
        <f t="shared" si="52"/>
        <v>1250.7519335511984</v>
      </c>
      <c r="O118" s="42">
        <f>+M118-N118</f>
        <v>1770.2699517487358</v>
      </c>
      <c r="P118" s="11"/>
      <c r="Q118" s="42"/>
      <c r="R118" s="42"/>
      <c r="S118" s="11"/>
      <c r="T118" s="42"/>
      <c r="U118" s="11"/>
      <c r="V118" s="28">
        <f t="shared" si="48"/>
        <v>2431.8294610159478</v>
      </c>
      <c r="W118" s="28">
        <f t="shared" si="48"/>
        <v>2693.1026451463595</v>
      </c>
      <c r="X118" s="42">
        <f>+V118-W118</f>
        <v>-261.27318413041166</v>
      </c>
      <c r="Y118" s="38">
        <f>+IF(SUM(V118:W118)=0,0,(V118-W118)/W118)</f>
        <v>-9.7015679889250001E-2</v>
      </c>
      <c r="Z118" s="11"/>
      <c r="AB118" s="25"/>
      <c r="AC118" s="11"/>
      <c r="AD118" s="28">
        <f t="shared" si="49"/>
        <v>3021.0218852999342</v>
      </c>
      <c r="AE118" s="28">
        <f t="shared" si="49"/>
        <v>1208.0160139860141</v>
      </c>
      <c r="AF118" s="42">
        <f>+AD118-AE118</f>
        <v>1813.0058713139201</v>
      </c>
      <c r="AG118" s="38">
        <f>+IF(SUM(AD118:AE118)=0,0,(AD118-AE118)/AE118)</f>
        <v>1.5008127792376356</v>
      </c>
      <c r="AH118" s="11"/>
      <c r="AJ118" s="25"/>
      <c r="AK118" s="11"/>
      <c r="AL118" s="28">
        <f t="shared" si="50"/>
        <v>2431.8294610159478</v>
      </c>
      <c r="AM118" s="28">
        <f t="shared" si="50"/>
        <v>1204.7966692181519</v>
      </c>
      <c r="AN118" s="42">
        <f>+AL118-AM118</f>
        <v>1227.0327917977959</v>
      </c>
      <c r="AO118" s="38">
        <f>+IF(SUM(AL118:AM118)=0,0,(AL118-AM118)/AM118)</f>
        <v>1.0184563280657757</v>
      </c>
      <c r="AP118" s="11"/>
      <c r="AR118" s="25"/>
      <c r="AS118" s="11"/>
      <c r="AT118" s="28">
        <f t="shared" ref="AT118:AU118" si="53">+IF(AT37=0,0,AT81/AT37)</f>
        <v>0</v>
      </c>
      <c r="AU118" s="28">
        <f t="shared" si="53"/>
        <v>2690.2217589379343</v>
      </c>
      <c r="AV118" s="165">
        <f>+AT118-AU118</f>
        <v>-2690.2217589379343</v>
      </c>
      <c r="AW118" s="38">
        <f>+IF(SUM(AT118:AU118)=0,0,(AT118-AU118)/AU118)</f>
        <v>-1</v>
      </c>
      <c r="AX118" s="11"/>
      <c r="AZ118" s="25"/>
      <c r="BA118" s="11"/>
    </row>
    <row r="119" spans="1:53" s="24" customFormat="1" x14ac:dyDescent="0.2">
      <c r="B119" s="25"/>
      <c r="C119" s="26"/>
      <c r="D119" s="27" t="s">
        <v>170</v>
      </c>
      <c r="E119" s="28">
        <f t="shared" si="46"/>
        <v>1097.5457450076806</v>
      </c>
      <c r="F119" s="28">
        <f t="shared" si="46"/>
        <v>1041.6831733816837</v>
      </c>
      <c r="G119" s="42">
        <f>+E119-F119</f>
        <v>55.862571625996907</v>
      </c>
      <c r="H119" s="38">
        <f>+IF(SUM(E119:F119)=0,0,(E119-F119)/F119)</f>
        <v>5.3627218960105326E-2</v>
      </c>
      <c r="I119" s="11"/>
      <c r="L119" s="11"/>
      <c r="M119" s="28">
        <f t="shared" ref="M119:N119" si="54">+IF(M38=0,0,M82/M38)</f>
        <v>1097.5457450076806</v>
      </c>
      <c r="N119" s="28">
        <f t="shared" si="54"/>
        <v>1329.5767267267267</v>
      </c>
      <c r="O119" s="42">
        <f>+M119-N119</f>
        <v>-232.03098171904617</v>
      </c>
      <c r="P119" s="11"/>
      <c r="Q119" s="42"/>
      <c r="R119" s="42"/>
      <c r="S119" s="11"/>
      <c r="T119" s="42"/>
      <c r="U119" s="11"/>
      <c r="V119" s="28">
        <f t="shared" si="48"/>
        <v>1300.8574746621621</v>
      </c>
      <c r="W119" s="28">
        <f t="shared" si="48"/>
        <v>1016.282504327626</v>
      </c>
      <c r="X119" s="42">
        <f>+V119-W119</f>
        <v>284.57497033453603</v>
      </c>
      <c r="Y119" s="38">
        <f>+IF(SUM(V119:W119)=0,0,(V119-W119)/W119)</f>
        <v>0.28001561487355453</v>
      </c>
      <c r="Z119" s="11"/>
      <c r="AB119" s="25"/>
      <c r="AC119" s="11"/>
      <c r="AD119" s="28">
        <f t="shared" si="49"/>
        <v>1097.5457450076806</v>
      </c>
      <c r="AE119" s="28">
        <f t="shared" si="49"/>
        <v>1078.6659764089122</v>
      </c>
      <c r="AF119" s="42">
        <f>+AD119-AE119</f>
        <v>18.879768598768351</v>
      </c>
      <c r="AG119" s="38">
        <f>+IF(SUM(AD119:AE119)=0,0,(AD119-AE119)/AE119)</f>
        <v>1.7502886910017088E-2</v>
      </c>
      <c r="AH119" s="11"/>
      <c r="AJ119" s="25"/>
      <c r="AK119" s="11"/>
      <c r="AL119" s="28">
        <f t="shared" si="50"/>
        <v>1300.8574746621621</v>
      </c>
      <c r="AM119" s="28">
        <f t="shared" si="50"/>
        <v>853.8529358520268</v>
      </c>
      <c r="AN119" s="42">
        <f>+AL119-AM119</f>
        <v>447.00453881013527</v>
      </c>
      <c r="AO119" s="38">
        <f>+IF(SUM(AL119:AM119)=0,0,(AL119-AM119)/AM119)</f>
        <v>0.52351467101777516</v>
      </c>
      <c r="AP119" s="11"/>
      <c r="AR119" s="25"/>
      <c r="AS119" s="11"/>
      <c r="AT119" s="28">
        <f t="shared" ref="AT119:AU119" si="55">+IF(AT38=0,0,AT82/AT38)</f>
        <v>0</v>
      </c>
      <c r="AU119" s="28">
        <f t="shared" si="55"/>
        <v>1041.6831733816837</v>
      </c>
      <c r="AV119" s="165">
        <f>+AT119-AU119</f>
        <v>-1041.6831733816837</v>
      </c>
      <c r="AW119" s="38">
        <f>+IF(SUM(AT119:AU119)=0,0,(AT119-AU119)/AU119)</f>
        <v>-1</v>
      </c>
      <c r="AX119" s="11"/>
      <c r="AZ119" s="25"/>
      <c r="BA119" s="11"/>
    </row>
    <row r="120" spans="1:53" s="24" customFormat="1" x14ac:dyDescent="0.2">
      <c r="B120" s="25"/>
      <c r="C120" s="26"/>
      <c r="D120" s="27" t="s">
        <v>171</v>
      </c>
      <c r="E120" s="28">
        <f t="shared" si="46"/>
        <v>583.22090909090912</v>
      </c>
      <c r="F120" s="28">
        <f t="shared" si="46"/>
        <v>682.18718979799132</v>
      </c>
      <c r="G120" s="42">
        <f>+E120-F120</f>
        <v>-98.966280707082205</v>
      </c>
      <c r="H120" s="38">
        <f>+IF(SUM(E120:F120)=0,0,(E120-F120)/F120)</f>
        <v>-0.14507203035634253</v>
      </c>
      <c r="I120" s="11"/>
      <c r="L120" s="11"/>
      <c r="M120" s="28">
        <f t="shared" ref="M120:N120" si="56">+IF(M39=0,0,M83/M39)</f>
        <v>583.22090909090912</v>
      </c>
      <c r="N120" s="28">
        <f t="shared" si="56"/>
        <v>1067.7940000000001</v>
      </c>
      <c r="O120" s="42">
        <f>+M120-N120</f>
        <v>-484.57309090909098</v>
      </c>
      <c r="P120" s="11"/>
      <c r="Q120" s="42"/>
      <c r="R120" s="42"/>
      <c r="S120" s="11"/>
      <c r="T120" s="42"/>
      <c r="U120" s="11"/>
      <c r="V120" s="28">
        <f t="shared" si="48"/>
        <v>898.16639344262296</v>
      </c>
      <c r="W120" s="28">
        <f t="shared" si="48"/>
        <v>682.18718979792357</v>
      </c>
      <c r="X120" s="42">
        <f>+V120-W120</f>
        <v>215.9792036446994</v>
      </c>
      <c r="Y120" s="38">
        <f>+IF(SUM(V120:W120)=0,0,(V120-W120)/W120)</f>
        <v>0.31659815205365616</v>
      </c>
      <c r="Z120" s="11"/>
      <c r="AB120" s="25"/>
      <c r="AC120" s="11"/>
      <c r="AD120" s="28">
        <f t="shared" si="49"/>
        <v>583.22090909090912</v>
      </c>
      <c r="AE120" s="28">
        <f t="shared" si="49"/>
        <v>1248.2261538461539</v>
      </c>
      <c r="AF120" s="42">
        <f>+AD120-AE120</f>
        <v>-665.0052447552448</v>
      </c>
      <c r="AG120" s="38">
        <f>+IF(SUM(AD120:AE120)=0,0,(AD120-AE120)/AE120)</f>
        <v>-0.53276022354295893</v>
      </c>
      <c r="AH120" s="11"/>
      <c r="AJ120" s="25"/>
      <c r="AK120" s="11"/>
      <c r="AL120" s="28">
        <f t="shared" si="50"/>
        <v>898.16639344262296</v>
      </c>
      <c r="AM120" s="28">
        <f t="shared" si="50"/>
        <v>857.99111111111108</v>
      </c>
      <c r="AN120" s="42">
        <f>+AL120-AM120</f>
        <v>40.17528233151188</v>
      </c>
      <c r="AO120" s="38">
        <f>+IF(SUM(AL120:AM120)=0,0,(AL120-AM120)/AM120)</f>
        <v>4.6824823487371915E-2</v>
      </c>
      <c r="AP120" s="11"/>
      <c r="AR120" s="25"/>
      <c r="AS120" s="11"/>
      <c r="AT120" s="28">
        <f t="shared" ref="AT120:AU120" si="57">+IF(AT39=0,0,AT83/AT39)</f>
        <v>0</v>
      </c>
      <c r="AU120" s="28">
        <f t="shared" si="57"/>
        <v>682.18718979799132</v>
      </c>
      <c r="AV120" s="165">
        <f>+AT120-AU120</f>
        <v>-682.18718979799132</v>
      </c>
      <c r="AW120" s="38">
        <f>+IF(SUM(AT120:AU120)=0,0,(AT120-AU120)/AU120)</f>
        <v>-1</v>
      </c>
      <c r="AX120" s="11"/>
      <c r="AZ120" s="25"/>
      <c r="BA120" s="11"/>
    </row>
    <row r="121" spans="1:53" s="24" customFormat="1" x14ac:dyDescent="0.2">
      <c r="B121" s="25"/>
      <c r="C121" s="26"/>
      <c r="D121" s="27" t="s">
        <v>172</v>
      </c>
      <c r="E121" s="28">
        <f t="shared" si="46"/>
        <v>5009.9646511627907</v>
      </c>
      <c r="F121" s="28">
        <f t="shared" si="46"/>
        <v>312.94081643785404</v>
      </c>
      <c r="G121" s="42">
        <f>+E121-F121</f>
        <v>4697.0238347249369</v>
      </c>
      <c r="H121" s="38">
        <f>+IF(SUM(E121:F121)=0,0,(E121-F121)/F121)</f>
        <v>15.009303957822659</v>
      </c>
      <c r="I121" s="11"/>
      <c r="L121" s="11"/>
      <c r="M121" s="28">
        <f t="shared" ref="M121:N121" si="58">+IF(M40=0,0,M84/M40)</f>
        <v>5129.2495238095244</v>
      </c>
      <c r="N121" s="28">
        <f t="shared" si="58"/>
        <v>600.34</v>
      </c>
      <c r="O121" s="42">
        <f>+M121-N121</f>
        <v>4528.9095238095242</v>
      </c>
      <c r="P121" s="11"/>
      <c r="Q121" s="42"/>
      <c r="R121" s="42"/>
      <c r="S121" s="11"/>
      <c r="T121" s="42"/>
      <c r="U121" s="11"/>
      <c r="V121" s="28">
        <f t="shared" si="48"/>
        <v>697.40950310559003</v>
      </c>
      <c r="W121" s="28">
        <f t="shared" si="48"/>
        <v>2868.488555109921</v>
      </c>
      <c r="X121" s="42">
        <f>+V121-W121</f>
        <v>-2171.0790520043311</v>
      </c>
      <c r="Y121" s="38">
        <f>+IF(SUM(V121:W121)=0,0,(V121-W121)/W121)</f>
        <v>-0.75687213328314462</v>
      </c>
      <c r="Z121" s="11"/>
      <c r="AB121" s="25"/>
      <c r="AC121" s="11"/>
      <c r="AD121" s="28">
        <f t="shared" si="49"/>
        <v>5129.2495238095244</v>
      </c>
      <c r="AE121" s="28">
        <f t="shared" si="49"/>
        <v>-1688.6057142857144</v>
      </c>
      <c r="AF121" s="42">
        <f>+AD121-AE121</f>
        <v>6817.8552380952387</v>
      </c>
      <c r="AG121" s="38">
        <f>+IF(SUM(AD121:AE121)=0,0,(AD121-AE121)/AE121)</f>
        <v>-4.0375649450998177</v>
      </c>
      <c r="AH121" s="11"/>
      <c r="AJ121" s="25"/>
      <c r="AK121" s="11"/>
      <c r="AL121" s="28">
        <f t="shared" si="50"/>
        <v>697.40950310559003</v>
      </c>
      <c r="AM121" s="28">
        <f t="shared" si="50"/>
        <v>604.73422018348617</v>
      </c>
      <c r="AN121" s="42">
        <f>+AL121-AM121</f>
        <v>92.675282922103861</v>
      </c>
      <c r="AO121" s="38">
        <f>+IF(SUM(AL121:AM121)=0,0,(AL121-AM121)/AM121)</f>
        <v>0.15324960921507746</v>
      </c>
      <c r="AP121" s="11"/>
      <c r="AR121" s="25"/>
      <c r="AS121" s="11"/>
      <c r="AT121" s="28">
        <f t="shared" ref="AT121:AU121" si="59">+IF(AT40=0,0,AT84/AT40)</f>
        <v>0</v>
      </c>
      <c r="AU121" s="28">
        <f t="shared" si="59"/>
        <v>312.94081643785404</v>
      </c>
      <c r="AV121" s="165">
        <f>+AT121-AU121</f>
        <v>-312.94081643785404</v>
      </c>
      <c r="AW121" s="38">
        <f>+IF(SUM(AT121:AU121)=0,0,(AT121-AU121)/AU121)</f>
        <v>-1</v>
      </c>
      <c r="AX121" s="11"/>
      <c r="AZ121" s="25"/>
      <c r="BA121" s="11"/>
    </row>
    <row r="123" spans="1:53" s="4" customFormat="1" ht="5.0999999999999996" customHeight="1" x14ac:dyDescent="0.2">
      <c r="B123" s="22"/>
      <c r="C123" s="23"/>
      <c r="D123" s="23"/>
      <c r="X123" s="155"/>
      <c r="AB123" s="22"/>
      <c r="AJ123" s="22"/>
      <c r="AN123" s="155"/>
      <c r="AR123" s="22"/>
      <c r="AV123" s="164"/>
      <c r="AZ123" s="22"/>
    </row>
    <row r="125" spans="1:53" x14ac:dyDescent="0.2">
      <c r="A125" s="16" t="str">
        <f>+$A$8</f>
        <v>Acute_DIV1</v>
      </c>
      <c r="B125" s="15">
        <f>+$B$8</f>
        <v>127</v>
      </c>
      <c r="C125" s="14">
        <v>92103</v>
      </c>
      <c r="D125" s="14" t="s">
        <v>173</v>
      </c>
      <c r="E125" s="34">
        <f>_xll.OneStreamExcelAddIn.XFFunctions.XFGetCell("True","Consol", $B125,"Tot_Entity","USD",E$2,E$3,E$4,$C125,"TopFlow","Top","Top","Tot_Los","TOT_Dept_WO_Addbacks","Tot_FC",$A125,"Top5","Top6","Reported","Top8")</f>
        <v>2.23791208790671</v>
      </c>
      <c r="F125" s="34">
        <f>_xll.OneStreamExcelAddIn.XFFunctions.XFGetCell("True","Consol", $B125,"Tot_Entity","Aggregated",F$2,F$3,F$4,$C125,"TopFlow","Top","Top","Tot_Los","TOT_Dept_WO_Addbacks","TOP3",$A125,"Top5","Top6","Reported","Top8")</f>
        <v>2.2580704771798801</v>
      </c>
      <c r="G125" s="43">
        <f>+F125-E125</f>
        <v>2.0158389273170041E-2</v>
      </c>
      <c r="H125" s="37">
        <f>+G125/F125</f>
        <v>8.9272631110903118E-3</v>
      </c>
      <c r="J125" s="1" t="s">
        <v>174</v>
      </c>
      <c r="K125" s="2">
        <f>+(G126*E34)*F140</f>
        <v>-30602.842939102269</v>
      </c>
      <c r="M125" s="34">
        <f>_xll.OneStreamExcelAddIn.XFFunctions.XFGetCell("True","Consol", $B125,"Tot_Entity","USD",M$2,M$3,M$4,$C125,"TopFlow","Top","Top","Tot_Los","TOT_Dept_WO_Addbacks","Tot_FC",$A125,"Top5","Top6","Reported","Top8")</f>
        <v>2.23791208790671</v>
      </c>
      <c r="N125" s="34">
        <f>_xll.OneStreamExcelAddIn.XFFunctions.XFGetCell("True","Consol", $B125,"Tot_Entity","USD",N$2,N$3,N$4,$C125,"TopFlow","Top","Top","Tot_Los","TOT_Dept_WO_Addbacks","Tot_FC",$A125,"Top5","Top6","Reported","Top8")</f>
        <v>2.11767631911618</v>
      </c>
      <c r="O125" s="43">
        <f>+N125-M125</f>
        <v>-0.12023576879053</v>
      </c>
      <c r="Q125" s="1" t="s">
        <v>174</v>
      </c>
      <c r="R125" s="2">
        <f>+(O126*M34)*N140</f>
        <v>-132680.56928654193</v>
      </c>
      <c r="T125" s="43"/>
      <c r="V125" s="34">
        <f>_xll.OneStreamExcelAddIn.XFFunctions.XFGetCell("True","Consol", $B125,"Tot_Entity","USD",V$2,V$3,V$4,$C125,"TopFlow","Top","Top","Tot_Los","TOT_Dept_WO_Addbacks","Tot_FC",$A125,"Top5","Top6","Reported","Top8")</f>
        <v>2.2581557369023901</v>
      </c>
      <c r="W125" s="34">
        <f>_xll.OneStreamExcelAddIn.XFFunctions.XFGetCell("True","Consol", $B125,"Tot_Entity","Aggregated",W$2,W$3,W$4,$C125,"TopFlow","Top","Top","Tot_Los","TOT_Dept_WO_Addbacks","TOP3",$A125,"Top5","Top6","Reported","Top8")</f>
        <v>2.2234252204254799</v>
      </c>
      <c r="X125" s="21">
        <f>+W125-V125</f>
        <v>-3.4730516476910278E-2</v>
      </c>
      <c r="Y125" s="37">
        <f>+X125/W125</f>
        <v>-1.5620276390615091E-2</v>
      </c>
      <c r="AA125" s="1" t="s">
        <v>174</v>
      </c>
      <c r="AB125" s="2">
        <f>+(X126*V34)*W140</f>
        <v>-131148.51856203174</v>
      </c>
      <c r="AD125" s="34">
        <f>_xll.OneStreamExcelAddIn.XFFunctions.XFGetCell("True","Consol", $B125,"Tot_Entity","USD",AD$2,AD$3,AD$4,$C125,"TopFlow","Top","Top","Tot_Los","TOT_Dept_WO_Addbacks","Tot_FC",$A125,"Top5","Top6","Reported","Top8")</f>
        <v>2.23791208790671</v>
      </c>
      <c r="AE125" s="34">
        <f>_xll.OneStreamExcelAddIn.XFFunctions.XFGetCell("True","Consol", $B125,"Tot_Entity","USD",AE$2,AE$3,AE$4,$C125,"TopFlow","Top","Top","Tot_Los","TOT_Dept_WO_Addbacks","Tot_FC",$A125,"Top5","Top6","Reported","Top8")</f>
        <v>2.0417697528152998</v>
      </c>
      <c r="AF125" s="43">
        <f>+AE125-AD125</f>
        <v>-0.19614233509141021</v>
      </c>
      <c r="AG125" s="37">
        <f>+AF125/AE125</f>
        <v>-9.6064864718932594E-2</v>
      </c>
      <c r="AI125" s="1" t="s">
        <v>174</v>
      </c>
      <c r="AJ125" s="2">
        <f>+(AF126*AD34)*AE140</f>
        <v>-170104.04159445089</v>
      </c>
      <c r="AL125" s="34">
        <f>_xll.OneStreamExcelAddIn.XFFunctions.XFGetCell("True","Consol", $B125,"Tot_Entity","USD",AL$2,AL$3,AL$4,$C125,"TopFlow","Top","Top","Tot_Los","TOT_Dept_WO_Addbacks","Tot_FC",$A125,"Top5","Top6","Reported","Top8")</f>
        <v>2.2581557369023901</v>
      </c>
      <c r="AM125" s="34">
        <f>_xll.OneStreamExcelAddIn.XFFunctions.XFGetCell("True","Consol", $B125,"Tot_Entity","USD",AM$2,AM$3,AM$4,$C125,"TopFlow","Top","Top","Tot_Los","TOT_Dept_WO_Addbacks","Tot_FC",$A125,"Top5","Top6","Reported","Top8")</f>
        <v>2.1155963683488501</v>
      </c>
      <c r="AN125" s="21">
        <f>+AM125-AL125</f>
        <v>-0.14255936855354001</v>
      </c>
      <c r="AO125" s="37">
        <f>+AN125/AM125</f>
        <v>-6.7384956169499702E-2</v>
      </c>
      <c r="AQ125" s="1" t="s">
        <v>174</v>
      </c>
      <c r="AR125" s="2">
        <f>+(AN126*AL34)*AM140</f>
        <v>-464165.35417091346</v>
      </c>
      <c r="AT125" s="34">
        <f>_xll.OneStreamExcelAddIn.XFFunctions.XFGetCell("True","Consol", $B125,"Tot_Entity","USD",AT$2,AT$3,AT$4,$C125,"TopFlow","Top","Top","Tot_Los","TOT_Dept_WO_Addbacks","Tot_FC",$A125,"Top5","Top6","Reported","Top8")</f>
        <v>0</v>
      </c>
      <c r="AU125" s="34">
        <f>_xll.OneStreamExcelAddIn.XFFunctions.XFGetCell("True","Consol", $B125,"Tot_Entity","USD",AU$2,AU$3,AU$4,$C125,"TopFlow","Top","Top","Tot_Los","TOT_Dept_WO_Addbacks","Tot_FC",$A125,"Top5","Top6","Reported","Top8")</f>
        <v>0</v>
      </c>
      <c r="AV125" s="162">
        <f>+AU125-AT125</f>
        <v>0</v>
      </c>
      <c r="AW125" s="37" t="e">
        <f>+AV125/AU125</f>
        <v>#DIV/0!</v>
      </c>
      <c r="AY125" s="1" t="s">
        <v>174</v>
      </c>
      <c r="AZ125" s="2" t="e">
        <f>+(AV126*AT34)*AU140</f>
        <v>#DIV/0!</v>
      </c>
    </row>
    <row r="126" spans="1:53" x14ac:dyDescent="0.2">
      <c r="A126" s="16" t="str">
        <f>+$A$8</f>
        <v>Acute_DIV1</v>
      </c>
      <c r="B126" s="15">
        <f>+$B$8</f>
        <v>127</v>
      </c>
      <c r="C126" s="14">
        <v>92101</v>
      </c>
      <c r="D126" s="14" t="s">
        <v>175</v>
      </c>
      <c r="E126" s="34">
        <f>_xll.OneStreamExcelAddIn.XFFunctions.XFGetCell("True","Consol", $B126,"Tot_Entity","USD",E$2,E$3,E$4,$C126,"TopFlow","Top","Top","Tot_Los","TOT_Dept_WO_Addbacks","Tot_FC",$A126,"Top5","Top6","Reported","Top8")</f>
        <v>2.2658354027138699</v>
      </c>
      <c r="F126" s="34">
        <f>_xll.OneStreamExcelAddIn.XFFunctions.XFGetCell("True","Consol", $B126,"Tot_Entity","Aggregated",F$2,F$3,F$4,$C126,"TopFlow","Top","Top","Tot_Los","TOT_Dept_WO_Addbacks","TOP3",$A126,"Top5","Top6","Reported","Top8")</f>
        <v>2.2142775509603898</v>
      </c>
      <c r="G126" s="43">
        <f>+F126-E126</f>
        <v>-5.1557851753480044E-2</v>
      </c>
      <c r="H126" s="37">
        <f>+G126/F126</f>
        <v>-2.3284276955758351E-2</v>
      </c>
      <c r="J126" s="1" t="s">
        <v>176</v>
      </c>
      <c r="K126" s="2">
        <f>+G140*E129</f>
        <v>-44251.37110788998</v>
      </c>
      <c r="M126" s="34">
        <f>_xll.OneStreamExcelAddIn.XFFunctions.XFGetCell("True","Consol", $B126,"Tot_Entity","USD",M$2,M$3,M$4,$C126,"TopFlow","Top","Top","Tot_Los","TOT_Dept_WO_Addbacks","Tot_FC",$A126,"Top5","Top6","Reported","Top8")</f>
        <v>2.2658354027138699</v>
      </c>
      <c r="N126" s="34">
        <f>_xll.OneStreamExcelAddIn.XFFunctions.XFGetCell("True","Consol", $B126,"Tot_Entity","USD",N$2,N$3,N$4,$C126,"TopFlow","Top","Top","Tot_Los","TOT_Dept_WO_Addbacks","Tot_FC",$A126,"Top5","Top6","Reported","Top8")</f>
        <v>2.0527258348645998</v>
      </c>
      <c r="O126" s="43">
        <f>+N126-M126</f>
        <v>-0.21310956784927004</v>
      </c>
      <c r="Q126" s="1" t="s">
        <v>176</v>
      </c>
      <c r="R126" s="2">
        <f>+O140*M129</f>
        <v>21525.869876604782</v>
      </c>
      <c r="T126" s="43"/>
      <c r="V126" s="34">
        <f>_xll.OneStreamExcelAddIn.XFFunctions.XFGetCell("True","Consol", $B126,"Tot_Entity","USD",V$2,V$3,V$4,$C126,"TopFlow","Top","Top","Tot_Los","TOT_Dept_WO_Addbacks","Tot_FC",$A126,"Top5","Top6","Reported","Top8")</f>
        <v>2.2316730118521999</v>
      </c>
      <c r="W126" s="34">
        <f>_xll.OneStreamExcelAddIn.XFFunctions.XFGetCell("True","Consol", $B126,"Tot_Entity","Aggregated",W$2,W$3,W$4,$C126,"TopFlow","Top","Top","Tot_Los","TOT_Dept_WO_Addbacks","TOP3",$A126,"Top5","Top6","Reported","Top8")</f>
        <v>2.1785996155290501</v>
      </c>
      <c r="X126" s="21">
        <f>+W126-V126</f>
        <v>-5.307339632314978E-2</v>
      </c>
      <c r="Y126" s="37">
        <f>+X126/W126</f>
        <v>-2.4361243775516531E-2</v>
      </c>
      <c r="AA126" s="1" t="s">
        <v>176</v>
      </c>
      <c r="AB126" s="2">
        <f>+X140*V129</f>
        <v>-159427.97246202041</v>
      </c>
      <c r="AD126" s="34">
        <f>_xll.OneStreamExcelAddIn.XFFunctions.XFGetCell("True","Consol", $B126,"Tot_Entity","USD",AD$2,AD$3,AD$4,$C126,"TopFlow","Top","Top","Tot_Los","TOT_Dept_WO_Addbacks","Tot_FC",$A126,"Top5","Top6","Reported","Top8")</f>
        <v>2.2658354027138699</v>
      </c>
      <c r="AE126" s="34">
        <f>_xll.OneStreamExcelAddIn.XFFunctions.XFGetCell("True","Consol", $B126,"Tot_Entity","USD",AE$2,AE$3,AE$4,$C126,"TopFlow","Top","Top","Tot_Los","TOT_Dept_WO_Addbacks","Tot_FC",$A126,"Top5","Top6","Reported","Top8")</f>
        <v>1.96754725624426</v>
      </c>
      <c r="AF126" s="43">
        <f>+AE126-AD126</f>
        <v>-0.29828814646960988</v>
      </c>
      <c r="AG126" s="37">
        <f>+AF126/AE126</f>
        <v>-0.15160405704257152</v>
      </c>
      <c r="AI126" s="1" t="s">
        <v>176</v>
      </c>
      <c r="AJ126" s="2">
        <f>+AF140*AD129</f>
        <v>-97035.52369648988</v>
      </c>
      <c r="AL126" s="34">
        <f>_xll.OneStreamExcelAddIn.XFFunctions.XFGetCell("True","Consol", $B126,"Tot_Entity","USD",AL$2,AL$3,AL$4,$C126,"TopFlow","Top","Top","Tot_Los","TOT_Dept_WO_Addbacks","Tot_FC",$A126,"Top5","Top6","Reported","Top8")</f>
        <v>2.2316730118521999</v>
      </c>
      <c r="AM126" s="34">
        <f>_xll.OneStreamExcelAddIn.XFFunctions.XFGetCell("True","Consol", $B126,"Tot_Entity","USD",AM$2,AM$3,AM$4,$C126,"TopFlow","Top","Top","Tot_Los","TOT_Dept_WO_Addbacks","Tot_FC",$A126,"Top5","Top6","Reported","Top8")</f>
        <v>2.0328445867983902</v>
      </c>
      <c r="AN126" s="21">
        <f>+AM126-AL126</f>
        <v>-0.19882842505380971</v>
      </c>
      <c r="AO126" s="37">
        <f>+AN126/AM126</f>
        <v>-9.780798116345564E-2</v>
      </c>
      <c r="AQ126" s="1" t="s">
        <v>176</v>
      </c>
      <c r="AR126" s="2">
        <f>+AN140*AL129</f>
        <v>-464221.66039721912</v>
      </c>
      <c r="AT126" s="34">
        <f>_xll.OneStreamExcelAddIn.XFFunctions.XFGetCell("True","Consol", $B126,"Tot_Entity","USD",AT$2,AT$3,AT$4,$C126,"TopFlow","Top","Top","Tot_Los","TOT_Dept_WO_Addbacks","Tot_FC",$A126,"Top5","Top6","Reported","Top8")</f>
        <v>0</v>
      </c>
      <c r="AU126" s="34">
        <f>_xll.OneStreamExcelAddIn.XFFunctions.XFGetCell("True","Consol", $B126,"Tot_Entity","USD",AU$2,AU$3,AU$4,$C126,"TopFlow","Top","Top","Tot_Los","TOT_Dept_WO_Addbacks","Tot_FC",$A126,"Top5","Top6","Reported","Top8")</f>
        <v>0</v>
      </c>
      <c r="AV126" s="162">
        <f>+AU126-AT126</f>
        <v>0</v>
      </c>
      <c r="AW126" s="37" t="e">
        <f>+AV126/AU126</f>
        <v>#DIV/0!</v>
      </c>
      <c r="AY126" s="1" t="s">
        <v>176</v>
      </c>
      <c r="AZ126" s="2" t="e">
        <f>+AV140*AT129</f>
        <v>#DIV/0!</v>
      </c>
    </row>
    <row r="127" spans="1:53" x14ac:dyDescent="0.2">
      <c r="J127" s="1" t="s">
        <v>147</v>
      </c>
      <c r="K127" s="2">
        <f>SUM(K125:K126)</f>
        <v>-74854.214046992245</v>
      </c>
      <c r="Q127" s="1" t="s">
        <v>147</v>
      </c>
      <c r="R127" s="2">
        <f>SUM(R125:R126)</f>
        <v>-111154.69940993714</v>
      </c>
      <c r="AA127" s="1" t="s">
        <v>147</v>
      </c>
      <c r="AB127" s="2">
        <f>SUM(AB125:AB126)</f>
        <v>-290576.49102405214</v>
      </c>
      <c r="AI127" s="1" t="s">
        <v>147</v>
      </c>
      <c r="AJ127" s="2">
        <f>SUM(AJ125:AJ126)</f>
        <v>-267139.56529094075</v>
      </c>
      <c r="AQ127" s="1" t="s">
        <v>147</v>
      </c>
      <c r="AR127" s="2">
        <f>SUM(AR125:AR126)</f>
        <v>-928387.01456813258</v>
      </c>
      <c r="AY127" s="1" t="s">
        <v>147</v>
      </c>
      <c r="AZ127" s="2" t="e">
        <f>SUM(AZ125:AZ126)</f>
        <v>#DIV/0!</v>
      </c>
    </row>
    <row r="128" spans="1:53" x14ac:dyDescent="0.2">
      <c r="A128" s="16" t="str">
        <f t="shared" ref="A128:A133" si="60">+$A$8</f>
        <v>Acute_DIV1</v>
      </c>
      <c r="B128" s="15">
        <f t="shared" ref="B128:B133" si="61">+$B$8</f>
        <v>127</v>
      </c>
      <c r="C128" s="14">
        <v>93008</v>
      </c>
      <c r="D128" s="14" t="s">
        <v>177</v>
      </c>
      <c r="E128" s="15">
        <f>_xll.OneStreamExcelAddIn.XFFunctions.XFGetCell("True","Consol", $B128,"Tot_Entity","USD",E$2,E$3,E$4,$C128,"TopFlow","Top","Top","Tot_Los","TOT_Dept_WO_Addbacks","Tot_FC",$A128,"Top5","Top6","Reported","Top8")</f>
        <v>183.792708332892</v>
      </c>
      <c r="F128" s="15">
        <f>_xll.OneStreamExcelAddIn.XFFunctions.XFGetCell("True","Consol", $B128,"Tot_Entity","Aggregated",F$2,F$3,F$4,$C128,"TopFlow","Top","Top","Tot_Los","TOT_Dept_WO_Addbacks","TOP3",$A128,"Top5","Top6","Reported","Top8")</f>
        <v>207.742847922962</v>
      </c>
      <c r="G128" s="21">
        <f t="shared" ref="G128:G133" si="62">+F128-E128</f>
        <v>23.950139590069995</v>
      </c>
      <c r="K128" s="2"/>
      <c r="M128" s="15">
        <f>_xll.OneStreamExcelAddIn.XFFunctions.XFGetCell("True","Consol", $B128,"Tot_Entity","USD",M$2,M$3,M$4,$C128,"TopFlow","Top","Top","Tot_Los","TOT_Dept_WO_Addbacks","Tot_FC",$A128,"Top5","Top6","Reported","Top8")</f>
        <v>183.792708332892</v>
      </c>
      <c r="N128" s="15">
        <f>_xll.OneStreamExcelAddIn.XFFunctions.XFGetCell("True","Consol", $B128,"Tot_Entity","USD",N$2,N$3,N$4,$C128,"TopFlow","Top","Top","Tot_Los","TOT_Dept_WO_Addbacks","Tot_FC",$A128,"Top5","Top6","Reported","Top8")</f>
        <v>185.73037453429299</v>
      </c>
      <c r="O128" s="21">
        <f t="shared" ref="O128:O133" si="63">+N128-M128</f>
        <v>1.9376662014009867</v>
      </c>
      <c r="R128" s="2"/>
      <c r="T128" s="21"/>
      <c r="V128" s="15">
        <f>_xll.OneStreamExcelAddIn.XFFunctions.XFGetCell("True","Consol", $B128,"Tot_Entity","USD",V$2,V$3,V$4,$C128,"TopFlow","Top","Top","Tot_Los","TOT_Dept_WO_Addbacks","Tot_FC",$A128,"Top5","Top6","Reported","Top8")</f>
        <v>182.83439322872701</v>
      </c>
      <c r="W128" s="15">
        <f>_xll.OneStreamExcelAddIn.XFFunctions.XFGetCell("True","Consol", $B128,"Tot_Entity","Aggregated",W$2,W$3,W$4,$C128,"TopFlow","Top","Top","Tot_Los","TOT_Dept_WO_Addbacks","TOP3",$A128,"Top5","Top6","Reported","Top8")</f>
        <v>194.75138757053199</v>
      </c>
      <c r="X128" s="21">
        <f t="shared" ref="X128:X133" si="64">+W128-V128</f>
        <v>11.91699434180498</v>
      </c>
      <c r="AD128" s="15">
        <f>_xll.OneStreamExcelAddIn.XFFunctions.XFGetCell("True","Consol", $B128,"Tot_Entity","USD",AD$2,AD$3,AD$4,$C128,"TopFlow","Top","Top","Tot_Los","TOT_Dept_WO_Addbacks","Tot_FC",$A128,"Top5","Top6","Reported","Top8")</f>
        <v>183.792708332892</v>
      </c>
      <c r="AE128" s="15">
        <f>_xll.OneStreamExcelAddIn.XFFunctions.XFGetCell("True","Consol", $B128,"Tot_Entity","USD",AE$2,AE$3,AE$4,$C128,"TopFlow","Top","Top","Tot_Los","TOT_Dept_WO_Addbacks","Tot_FC",$A128,"Top5","Top6","Reported","Top8")</f>
        <v>224.76161858920301</v>
      </c>
      <c r="AF128" s="21">
        <f t="shared" ref="AF128:AF133" si="65">+AE128-AD128</f>
        <v>40.968910256311005</v>
      </c>
      <c r="AL128" s="15">
        <f>_xll.OneStreamExcelAddIn.XFFunctions.XFGetCell("True","Consol", $B128,"Tot_Entity","USD",AL$2,AL$3,AL$4,$C128,"TopFlow","Top","Top","Tot_Los","TOT_Dept_WO_Addbacks","Tot_FC",$A128,"Top5","Top6","Reported","Top8")</f>
        <v>182.83439322872701</v>
      </c>
      <c r="AM128" s="15">
        <f>_xll.OneStreamExcelAddIn.XFFunctions.XFGetCell("True","Consol", $B128,"Tot_Entity","USD",AM$2,AM$3,AM$4,$C128,"TopFlow","Top","Top","Tot_Los","TOT_Dept_WO_Addbacks","Tot_FC",$A128,"Top5","Top6","Reported","Top8")</f>
        <v>220.531069711008</v>
      </c>
      <c r="AN128" s="21">
        <f t="shared" ref="AN128:AN133" si="66">+AM128-AL128</f>
        <v>37.696676482280992</v>
      </c>
      <c r="AT128" s="15">
        <f>_xll.OneStreamExcelAddIn.XFFunctions.XFGetCell("True","Consol", $B128,"Tot_Entity","USD",AT$2,AT$3,AT$4,$C128,"TopFlow","Top","Top","Tot_Los","TOT_Dept_WO_Addbacks","Tot_FC",$A128,"Top5","Top6","Reported","Top8")</f>
        <v>0</v>
      </c>
      <c r="AU128" s="15">
        <f>_xll.OneStreamExcelAddIn.XFFunctions.XFGetCell("True","Consol", $B128,"Tot_Entity","USD",AU$2,AU$3,AU$4,$C128,"TopFlow","Top","Top","Tot_Los","TOT_Dept_WO_Addbacks","Tot_FC",$A128,"Top5","Top6","Reported","Top8")</f>
        <v>0</v>
      </c>
      <c r="AV128" s="162">
        <f t="shared" ref="AV128:AV133" si="67">+AU128-AT128</f>
        <v>0</v>
      </c>
    </row>
    <row r="129" spans="1:53" x14ac:dyDescent="0.2">
      <c r="A129" s="16" t="str">
        <f t="shared" si="60"/>
        <v>Acute_DIV1</v>
      </c>
      <c r="B129" s="15">
        <f t="shared" si="61"/>
        <v>127</v>
      </c>
      <c r="C129" s="14">
        <v>93009</v>
      </c>
      <c r="D129" s="14" t="s">
        <v>79</v>
      </c>
      <c r="E129" s="15">
        <f>_xll.OneStreamExcelAddIn.XFFunctions.XFGetCell("True","Consol", $B129,"Tot_Entity","USD",E$2,E$3,E$4,$C129,"TopFlow","Top","Top","Tot_Los","TOT_Dept_WO_Addbacks","Tot_FC",$A129,"Top5","Top6","Reported","Top8")</f>
        <v>190.59551282005501</v>
      </c>
      <c r="F129" s="15">
        <f>_xll.OneStreamExcelAddIn.XFFunctions.XFGetCell("True","Consol", $B129,"Tot_Entity","Aggregated",F$2,F$3,F$4,$C129,"TopFlow","Top","Top","Tot_Los","TOT_Dept_WO_Addbacks","TOP3",$A129,"Top5","Top6","Reported","Top8")</f>
        <v>214.96830942752501</v>
      </c>
      <c r="G129" s="21">
        <f t="shared" si="62"/>
        <v>24.372796607470008</v>
      </c>
      <c r="J129" s="1" t="s">
        <v>143</v>
      </c>
      <c r="K129" s="2">
        <f>+G129*F140</f>
        <v>171983.98615369163</v>
      </c>
      <c r="M129" s="15">
        <f>_xll.OneStreamExcelAddIn.XFFunctions.XFGetCell("True","Consol", $B129,"Tot_Entity","USD",M$2,M$3,M$4,$C129,"TopFlow","Top","Top","Tot_Los","TOT_Dept_WO_Addbacks","Tot_FC",$A129,"Top5","Top6","Reported","Top8")</f>
        <v>190.59551282005501</v>
      </c>
      <c r="N129" s="15">
        <f>_xll.OneStreamExcelAddIn.XFFunctions.XFGetCell("True","Consol", $B129,"Tot_Entity","USD",N$2,N$3,N$4,$C129,"TopFlow","Top","Top","Tot_Los","TOT_Dept_WO_Addbacks","Tot_FC",$A129,"Top5","Top6","Reported","Top8")</f>
        <v>191.95711150698301</v>
      </c>
      <c r="O129" s="21">
        <f t="shared" si="63"/>
        <v>1.361598686928005</v>
      </c>
      <c r="Q129" s="1" t="s">
        <v>143</v>
      </c>
      <c r="R129" s="2">
        <f>+O129*N140</f>
        <v>10077.88012339524</v>
      </c>
      <c r="T129" s="21"/>
      <c r="V129" s="15">
        <f>_xll.OneStreamExcelAddIn.XFFunctions.XFGetCell("True","Consol", $B129,"Tot_Entity","USD",V$2,V$3,V$4,$C129,"TopFlow","Top","Top","Tot_Los","TOT_Dept_WO_Addbacks","Tot_FC",$A129,"Top5","Top6","Reported","Top8")</f>
        <v>195.36810717100499</v>
      </c>
      <c r="W129" s="15">
        <f>_xll.OneStreamExcelAddIn.XFFunctions.XFGetCell("True","Consol", $B129,"Tot_Entity","Aggregated",W$2,W$3,W$4,$C129,"TopFlow","Top","Top","Tot_Los","TOT_Dept_WO_Addbacks","TOP3",$A129,"Top5","Top6","Reported","Top8")</f>
        <v>205.90770395490301</v>
      </c>
      <c r="X129" s="21">
        <f t="shared" si="64"/>
        <v>10.53959678389802</v>
      </c>
      <c r="AA129" s="1" t="s">
        <v>143</v>
      </c>
      <c r="AB129" s="2">
        <f>+X129*W140</f>
        <v>297500.29298909346</v>
      </c>
      <c r="AD129" s="15">
        <f>_xll.OneStreamExcelAddIn.XFFunctions.XFGetCell("True","Consol", $B129,"Tot_Entity","USD",AD$2,AD$3,AD$4,$C129,"TopFlow","Top","Top","Tot_Los","TOT_Dept_WO_Addbacks","Tot_FC",$A129,"Top5","Top6","Reported","Top8")</f>
        <v>190.59551282005501</v>
      </c>
      <c r="AE129" s="15">
        <f>_xll.OneStreamExcelAddIn.XFFunctions.XFGetCell("True","Consol", $B129,"Tot_Entity","USD",AE$2,AE$3,AE$4,$C129,"TopFlow","Top","Top","Tot_Los","TOT_Dept_WO_Addbacks","Tot_FC",$A129,"Top5","Top6","Reported","Top8")</f>
        <v>230.651923076369</v>
      </c>
      <c r="AF129" s="21">
        <f t="shared" si="65"/>
        <v>40.056410256313995</v>
      </c>
      <c r="AI129" s="1" t="s">
        <v>143</v>
      </c>
      <c r="AJ129" s="2">
        <f>+AF129*AE140</f>
        <v>271560.34369648993</v>
      </c>
      <c r="AL129" s="15">
        <f>_xll.OneStreamExcelAddIn.XFFunctions.XFGetCell("True","Consol", $B129,"Tot_Entity","USD",AL$2,AL$3,AL$4,$C129,"TopFlow","Top","Top","Tot_Los","TOT_Dept_WO_Addbacks","Tot_FC",$A129,"Top5","Top6","Reported","Top8")</f>
        <v>195.36810717100499</v>
      </c>
      <c r="AM129" s="15">
        <f>_xll.OneStreamExcelAddIn.XFFunctions.XFGetCell("True","Consol", $B129,"Tot_Entity","USD",AM$2,AM$3,AM$4,$C129,"TopFlow","Top","Top","Tot_Los","TOT_Dept_WO_Addbacks","Tot_FC",$A129,"Top5","Top6","Reported","Top8")</f>
        <v>230.75867387765001</v>
      </c>
      <c r="AN129" s="21">
        <f t="shared" si="66"/>
        <v>35.390566706645018</v>
      </c>
      <c r="AQ129" s="1" t="s">
        <v>143</v>
      </c>
      <c r="AR129" s="2">
        <f>+AN129*AM140</f>
        <v>943753.68039721868</v>
      </c>
      <c r="AT129" s="15">
        <f>_xll.OneStreamExcelAddIn.XFFunctions.XFGetCell("True","Consol", $B129,"Tot_Entity","USD",AT$2,AT$3,AT$4,$C129,"TopFlow","Top","Top","Tot_Los","TOT_Dept_WO_Addbacks","Tot_FC",$A129,"Top5","Top6","Reported","Top8")</f>
        <v>0</v>
      </c>
      <c r="AU129" s="15">
        <f>_xll.OneStreamExcelAddIn.XFFunctions.XFGetCell("True","Consol", $B129,"Tot_Entity","USD",AU$2,AU$3,AU$4,$C129,"TopFlow","Top","Top","Tot_Los","TOT_Dept_WO_Addbacks","Tot_FC",$A129,"Top5","Top6","Reported","Top8")</f>
        <v>0</v>
      </c>
      <c r="AV129" s="162">
        <f t="shared" si="67"/>
        <v>0</v>
      </c>
      <c r="AY129" s="1" t="s">
        <v>143</v>
      </c>
      <c r="AZ129" s="2" t="e">
        <f>+AV129*AU140</f>
        <v>#DIV/0!</v>
      </c>
    </row>
    <row r="130" spans="1:53" x14ac:dyDescent="0.2">
      <c r="A130" s="16" t="str">
        <f t="shared" si="60"/>
        <v>Acute_DIV1</v>
      </c>
      <c r="B130" s="15">
        <f t="shared" si="61"/>
        <v>127</v>
      </c>
      <c r="C130" s="14">
        <v>93012</v>
      </c>
      <c r="D130" s="14" t="s">
        <v>178</v>
      </c>
      <c r="E130" s="15">
        <f>_xll.OneStreamExcelAddIn.XFFunctions.XFGetCell("True","Consol", $B130,"Tot_Entity","USD",E$2,E$3,E$4,$C130,"TopFlow","Top","Top","Tot_Los","TOT_Dept_WO_Addbacks","Tot_FC",$A130,"Top5","Top6","Reported","Top8")</f>
        <v>0</v>
      </c>
      <c r="F130" s="15">
        <f>_xll.OneStreamExcelAddIn.XFFunctions.XFGetCell("True","Consol", $B130,"Tot_Entity","Aggregated",F$2,F$3,F$4,$C130,"TopFlow","Top","Top","Tot_Los","TOT_Dept_WO_Addbacks","TOP3",$A130,"Top5","Top6","Reported","Top8")</f>
        <v>0</v>
      </c>
      <c r="G130" s="21">
        <f t="shared" si="62"/>
        <v>0</v>
      </c>
      <c r="J130" s="1" t="s">
        <v>146</v>
      </c>
      <c r="K130" s="2">
        <f>+G140*E129</f>
        <v>-44251.37110788998</v>
      </c>
      <c r="M130" s="15">
        <f>_xll.OneStreamExcelAddIn.XFFunctions.XFGetCell("True","Consol", $B130,"Tot_Entity","USD",M$2,M$3,M$4,$C130,"TopFlow","Top","Top","Tot_Los","TOT_Dept_WO_Addbacks","Tot_FC",$A130,"Top5","Top6","Reported","Top8")</f>
        <v>0</v>
      </c>
      <c r="N130" s="15">
        <f>_xll.OneStreamExcelAddIn.XFFunctions.XFGetCell("True","Consol", $B130,"Tot_Entity","USD",N$2,N$3,N$4,$C130,"TopFlow","Top","Top","Tot_Los","TOT_Dept_WO_Addbacks","Tot_FC",$A130,"Top5","Top6","Reported","Top8")</f>
        <v>0</v>
      </c>
      <c r="O130" s="21">
        <f t="shared" si="63"/>
        <v>0</v>
      </c>
      <c r="Q130" s="1" t="s">
        <v>146</v>
      </c>
      <c r="R130" s="2">
        <f>+O140*M129</f>
        <v>21525.869876604782</v>
      </c>
      <c r="T130" s="21"/>
      <c r="V130" s="15">
        <f>_xll.OneStreamExcelAddIn.XFFunctions.XFGetCell("True","Consol", $B130,"Tot_Entity","USD",V$2,V$3,V$4,$C130,"TopFlow","Top","Top","Tot_Los","TOT_Dept_WO_Addbacks","Tot_FC",$A130,"Top5","Top6","Reported","Top8")</f>
        <v>0</v>
      </c>
      <c r="W130" s="15">
        <f>_xll.OneStreamExcelAddIn.XFFunctions.XFGetCell("True","Consol", $B130,"Tot_Entity","Aggregated",W$2,W$3,W$4,$C130,"TopFlow","Top","Top","Tot_Los","TOT_Dept_WO_Addbacks","TOP3",$A130,"Top5","Top6","Reported","Top8")</f>
        <v>0</v>
      </c>
      <c r="X130" s="21">
        <f t="shared" si="64"/>
        <v>0</v>
      </c>
      <c r="AA130" s="1" t="s">
        <v>146</v>
      </c>
      <c r="AB130" s="2">
        <f>+X140*V129</f>
        <v>-159427.97246202041</v>
      </c>
      <c r="AD130" s="15">
        <f>_xll.OneStreamExcelAddIn.XFFunctions.XFGetCell("True","Consol", $B130,"Tot_Entity","USD",AD$2,AD$3,AD$4,$C130,"TopFlow","Top","Top","Tot_Los","TOT_Dept_WO_Addbacks","Tot_FC",$A130,"Top5","Top6","Reported","Top8")</f>
        <v>0</v>
      </c>
      <c r="AE130" s="15">
        <f>_xll.OneStreamExcelAddIn.XFFunctions.XFGetCell("True","Consol", $B130,"Tot_Entity","USD",AE$2,AE$3,AE$4,$C130,"TopFlow","Top","Top","Tot_Los","TOT_Dept_WO_Addbacks","Tot_FC",$A130,"Top5","Top6","Reported","Top8")</f>
        <v>0</v>
      </c>
      <c r="AF130" s="21">
        <f t="shared" si="65"/>
        <v>0</v>
      </c>
      <c r="AI130" s="1" t="s">
        <v>146</v>
      </c>
      <c r="AJ130" s="2">
        <f>+AF140*AD129</f>
        <v>-97035.52369648988</v>
      </c>
      <c r="AL130" s="15">
        <f>_xll.OneStreamExcelAddIn.XFFunctions.XFGetCell("True","Consol", $B130,"Tot_Entity","USD",AL$2,AL$3,AL$4,$C130,"TopFlow","Top","Top","Tot_Los","TOT_Dept_WO_Addbacks","Tot_FC",$A130,"Top5","Top6","Reported","Top8")</f>
        <v>0</v>
      </c>
      <c r="AM130" s="15">
        <f>_xll.OneStreamExcelAddIn.XFFunctions.XFGetCell("True","Consol", $B130,"Tot_Entity","USD",AM$2,AM$3,AM$4,$C130,"TopFlow","Top","Top","Tot_Los","TOT_Dept_WO_Addbacks","Tot_FC",$A130,"Top5","Top6","Reported","Top8")</f>
        <v>0</v>
      </c>
      <c r="AN130" s="21">
        <f t="shared" si="66"/>
        <v>0</v>
      </c>
      <c r="AQ130" s="1" t="s">
        <v>146</v>
      </c>
      <c r="AR130" s="2">
        <f>+AN140*AL129</f>
        <v>-464221.66039721912</v>
      </c>
      <c r="AT130" s="15">
        <f>_xll.OneStreamExcelAddIn.XFFunctions.XFGetCell("True","Consol", $B130,"Tot_Entity","USD",AT$2,AT$3,AT$4,$C130,"TopFlow","Top","Top","Tot_Los","TOT_Dept_WO_Addbacks","Tot_FC",$A130,"Top5","Top6","Reported","Top8")</f>
        <v>0</v>
      </c>
      <c r="AU130" s="15">
        <f>_xll.OneStreamExcelAddIn.XFFunctions.XFGetCell("True","Consol", $B130,"Tot_Entity","USD",AU$2,AU$3,AU$4,$C130,"TopFlow","Top","Top","Tot_Los","TOT_Dept_WO_Addbacks","Tot_FC",$A130,"Top5","Top6","Reported","Top8")</f>
        <v>0</v>
      </c>
      <c r="AV130" s="162">
        <f t="shared" si="67"/>
        <v>0</v>
      </c>
      <c r="AY130" s="1" t="s">
        <v>146</v>
      </c>
      <c r="AZ130" s="2" t="e">
        <f>+AV140*AT129</f>
        <v>#DIV/0!</v>
      </c>
    </row>
    <row r="131" spans="1:53" x14ac:dyDescent="0.2">
      <c r="A131" s="16" t="str">
        <f t="shared" si="60"/>
        <v>Acute_DIV1</v>
      </c>
      <c r="B131" s="15">
        <f t="shared" si="61"/>
        <v>127</v>
      </c>
      <c r="C131" s="14" t="s">
        <v>179</v>
      </c>
      <c r="D131" s="14" t="s">
        <v>180</v>
      </c>
      <c r="E131" s="15">
        <f>_xll.OneStreamExcelAddIn.XFFunctions.XFGetCell("True","Consol", $B131,"Tot_Entity","USD",E$2,E$3,E$4,$C131,"TopFlow","Top","Top","Tot_Los","TOT_Dept_WO_Addbacks","Tot_FC",$A131,"Top5","Top6","Reported","Top8")</f>
        <v>31421</v>
      </c>
      <c r="F131" s="15">
        <f>_xll.OneStreamExcelAddIn.XFFunctions.XFGetCell("True","Consol", $B131,"Tot_Entity","Aggregated",F$2,F$3,F$4,$C131,"TopFlow","Top","Top","Tot_Los","TOT_Dept_WO_Addbacks","TOP3",$A131,"Top5","Top6","Reported","Top8")</f>
        <v>35515.489617599997</v>
      </c>
      <c r="G131" s="21">
        <f t="shared" si="62"/>
        <v>4094.4896175999966</v>
      </c>
      <c r="J131" s="1" t="s">
        <v>147</v>
      </c>
      <c r="K131" s="2">
        <f>SUM(K129:K130)</f>
        <v>127732.61504580165</v>
      </c>
      <c r="M131" s="15">
        <f>_xll.OneStreamExcelAddIn.XFFunctions.XFGetCell("True","Consol", $B131,"Tot_Entity","USD",M$2,M$3,M$4,$C131,"TopFlow","Top","Top","Tot_Los","TOT_Dept_WO_Addbacks","Tot_FC",$A131,"Top5","Top6","Reported","Top8")</f>
        <v>31421</v>
      </c>
      <c r="N131" s="15">
        <f>_xll.OneStreamExcelAddIn.XFFunctions.XFGetCell("True","Consol", $B131,"Tot_Entity","USD",N$2,N$3,N$4,$C131,"TopFlow","Top","Top","Tot_Los","TOT_Dept_WO_Addbacks","Tot_FC",$A131,"Top5","Top6","Reported","Top8")</f>
        <v>32810.67</v>
      </c>
      <c r="O131" s="21">
        <f t="shared" si="63"/>
        <v>1389.6699999999983</v>
      </c>
      <c r="Q131" s="1" t="s">
        <v>147</v>
      </c>
      <c r="R131" s="2">
        <f>SUM(R129:R130)</f>
        <v>31603.750000000022</v>
      </c>
      <c r="T131" s="21"/>
      <c r="V131" s="15">
        <f>_xll.OneStreamExcelAddIn.XFFunctions.XFGetCell("True","Consol", $B131,"Tot_Entity","USD",V$2,V$3,V$4,$C131,"TopFlow","Top","Top","Tot_Los","TOT_Dept_WO_Addbacks","Tot_FC",$A131,"Top5","Top6","Reported","Top8")</f>
        <v>125028.67</v>
      </c>
      <c r="W131" s="15">
        <f>_xll.OneStreamExcelAddIn.XFFunctions.XFGetCell("True","Consol", $B131,"Tot_Entity","Aggregated",W$2,W$3,W$4,$C131,"TopFlow","Top","Top","Tot_Los","TOT_Dept_WO_Addbacks","TOP3",$A131,"Top5","Top6","Reported","Top8")</f>
        <v>133177.93517184001</v>
      </c>
      <c r="X131" s="21">
        <f t="shared" si="64"/>
        <v>8149.2651718400157</v>
      </c>
      <c r="AA131" s="1" t="s">
        <v>147</v>
      </c>
      <c r="AB131" s="2">
        <f>SUM(AB129:AB130)</f>
        <v>138072.32052707305</v>
      </c>
      <c r="AD131" s="15">
        <f>_xll.OneStreamExcelAddIn.XFFunctions.XFGetCell("True","Consol", $B131,"Tot_Entity","USD",AD$2,AD$3,AD$4,$C131,"TopFlow","Top","Top","Tot_Los","TOT_Dept_WO_Addbacks","Tot_FC",$A131,"Top5","Top6","Reported","Top8")</f>
        <v>31421</v>
      </c>
      <c r="AE131" s="15">
        <f>_xll.OneStreamExcelAddIn.XFFunctions.XFGetCell("True","Consol", $B131,"Tot_Entity","USD",AE$2,AE$3,AE$4,$C131,"TopFlow","Top","Top","Tot_Los","TOT_Dept_WO_Addbacks","Tot_FC",$A131,"Top5","Top6","Reported","Top8")</f>
        <v>38425</v>
      </c>
      <c r="AF131" s="21">
        <f t="shared" si="65"/>
        <v>7004</v>
      </c>
      <c r="AI131" s="1" t="s">
        <v>147</v>
      </c>
      <c r="AJ131" s="2">
        <f>SUM(AJ129:AJ130)</f>
        <v>174524.82000000007</v>
      </c>
      <c r="AL131" s="15">
        <f>_xll.OneStreamExcelAddIn.XFFunctions.XFGetCell("True","Consol", $B131,"Tot_Entity","USD",AL$2,AL$3,AL$4,$C131,"TopFlow","Top","Top","Tot_Los","TOT_Dept_WO_Addbacks","Tot_FC",$A131,"Top5","Top6","Reported","Top8")</f>
        <v>125028.67</v>
      </c>
      <c r="AM131" s="15">
        <f>_xll.OneStreamExcelAddIn.XFFunctions.XFGetCell("True","Consol", $B131,"Tot_Entity","USD",AM$2,AM$3,AM$4,$C131,"TopFlow","Top","Top","Tot_Los","TOT_Dept_WO_Addbacks","Tot_FC",$A131,"Top5","Top6","Reported","Top8")</f>
        <v>150807</v>
      </c>
      <c r="AN131" s="21">
        <f t="shared" si="66"/>
        <v>25778.33</v>
      </c>
      <c r="AQ131" s="1" t="s">
        <v>147</v>
      </c>
      <c r="AR131" s="2">
        <f>SUM(AR129:AR130)</f>
        <v>479532.01999999955</v>
      </c>
      <c r="AT131" s="15">
        <f>_xll.OneStreamExcelAddIn.XFFunctions.XFGetCell("True","Consol", $B131,"Tot_Entity","USD",AT$2,AT$3,AT$4,$C131,"TopFlow","Top","Top","Tot_Los","TOT_Dept_WO_Addbacks","Tot_FC",$A131,"Top5","Top6","Reported","Top8")</f>
        <v>0</v>
      </c>
      <c r="AU131" s="15">
        <f>_xll.OneStreamExcelAddIn.XFFunctions.XFGetCell("True","Consol", $B131,"Tot_Entity","USD",AU$2,AU$3,AU$4,$C131,"TopFlow","Top","Top","Tot_Los","TOT_Dept_WO_Addbacks","Tot_FC",$A131,"Top5","Top6","Reported","Top8")</f>
        <v>0</v>
      </c>
      <c r="AV131" s="162">
        <f t="shared" si="67"/>
        <v>0</v>
      </c>
      <c r="AY131" s="1" t="s">
        <v>147</v>
      </c>
      <c r="AZ131" s="2" t="e">
        <f>SUM(AZ129:AZ130)</f>
        <v>#DIV/0!</v>
      </c>
    </row>
    <row r="132" spans="1:53" x14ac:dyDescent="0.2">
      <c r="A132" s="16" t="str">
        <f t="shared" si="60"/>
        <v>Acute_DIV1</v>
      </c>
      <c r="B132" s="15">
        <f t="shared" si="61"/>
        <v>127</v>
      </c>
      <c r="C132" s="14" t="s">
        <v>181</v>
      </c>
      <c r="D132" s="14" t="s">
        <v>182</v>
      </c>
      <c r="E132" s="15">
        <f>_xll.OneStreamExcelAddIn.XFFunctions.XFGetCell("True","Consol", $B132,"Tot_Entity","USD",E$2,E$3,E$4,$C132,"TopFlow","Top","Top","Tot_Los","TOT_Dept_WO_Addbacks","Tot_FC",$A132,"Top5","Top6","Reported","Top8")</f>
        <v>32584</v>
      </c>
      <c r="F132" s="15">
        <f>_xll.OneStreamExcelAddIn.XFFunctions.XFGetCell("True","Consol", $B132,"Tot_Entity","Aggregated",F$2,F$3,F$4,$C132,"TopFlow","Top","Top","Tot_Los","TOT_Dept_WO_Addbacks","TOP3",$A132,"Top5","Top6","Reported","Top8")</f>
        <v>36750.746598108999</v>
      </c>
      <c r="G132" s="21">
        <f t="shared" si="62"/>
        <v>4166.746598108999</v>
      </c>
      <c r="M132" s="15">
        <f>_xll.OneStreamExcelAddIn.XFFunctions.XFGetCell("True","Consol", $B132,"Tot_Entity","USD",M$2,M$3,M$4,$C132,"TopFlow","Top","Top","Tot_Los","TOT_Dept_WO_Addbacks","Tot_FC",$A132,"Top5","Top6","Reported","Top8")</f>
        <v>32584</v>
      </c>
      <c r="N132" s="15">
        <f>_xll.OneStreamExcelAddIn.XFFunctions.XFGetCell("True","Consol", $B132,"Tot_Entity","USD",N$2,N$3,N$4,$C132,"TopFlow","Top","Top","Tot_Los","TOT_Dept_WO_Addbacks","Tot_FC",$A132,"Top5","Top6","Reported","Top8")</f>
        <v>33910.67</v>
      </c>
      <c r="O132" s="21">
        <f t="shared" si="63"/>
        <v>1326.6699999999983</v>
      </c>
      <c r="Q132" s="21"/>
      <c r="R132" s="21"/>
      <c r="T132" s="21"/>
      <c r="V132" s="15">
        <f>_xll.OneStreamExcelAddIn.XFFunctions.XFGetCell("True","Consol", $B132,"Tot_Entity","USD",V$2,V$3,V$4,$C132,"TopFlow","Top","Top","Tot_Los","TOT_Dept_WO_Addbacks","Tot_FC",$A132,"Top5","Top6","Reported","Top8")</f>
        <v>133599.67000000001</v>
      </c>
      <c r="W132" s="15">
        <f>_xll.OneStreamExcelAddIn.XFFunctions.XFGetCell("True","Consol", $B132,"Tot_Entity","Aggregated",W$2,W$3,W$4,$C132,"TopFlow","Top","Top","Tot_Los","TOT_Dept_WO_Addbacks","TOP3",$A132,"Top5","Top6","Reported","Top8")</f>
        <v>140807.02166374601</v>
      </c>
      <c r="X132" s="21">
        <f t="shared" si="64"/>
        <v>7207.3516637459979</v>
      </c>
      <c r="AD132" s="15">
        <f>_xll.OneStreamExcelAddIn.XFFunctions.XFGetCell("True","Consol", $B132,"Tot_Entity","USD",AD$2,AD$3,AD$4,$C132,"TopFlow","Top","Top","Tot_Los","TOT_Dept_WO_Addbacks","Tot_FC",$A132,"Top5","Top6","Reported","Top8")</f>
        <v>32584</v>
      </c>
      <c r="AE132" s="15">
        <f>_xll.OneStreamExcelAddIn.XFFunctions.XFGetCell("True","Consol", $B132,"Tot_Entity","USD",AE$2,AE$3,AE$4,$C132,"TopFlow","Top","Top","Tot_Los","TOT_Dept_WO_Addbacks","Tot_FC",$A132,"Top5","Top6","Reported","Top8")</f>
        <v>39432</v>
      </c>
      <c r="AF132" s="21">
        <f t="shared" si="65"/>
        <v>6848</v>
      </c>
      <c r="AL132" s="15">
        <f>_xll.OneStreamExcelAddIn.XFFunctions.XFGetCell("True","Consol", $B132,"Tot_Entity","USD",AL$2,AL$3,AL$4,$C132,"TopFlow","Top","Top","Tot_Los","TOT_Dept_WO_Addbacks","Tot_FC",$A132,"Top5","Top6","Reported","Top8")</f>
        <v>133599.67000000001</v>
      </c>
      <c r="AM132" s="15">
        <f>_xll.OneStreamExcelAddIn.XFFunctions.XFGetCell("True","Consol", $B132,"Tot_Entity","USD",AM$2,AM$3,AM$4,$C132,"TopFlow","Top","Top","Tot_Los","TOT_Dept_WO_Addbacks","Tot_FC",$A132,"Top5","Top6","Reported","Top8")</f>
        <v>157801</v>
      </c>
      <c r="AN132" s="21">
        <f t="shared" si="66"/>
        <v>24201.329999999987</v>
      </c>
      <c r="AT132" s="15">
        <f>_xll.OneStreamExcelAddIn.XFFunctions.XFGetCell("True","Consol", $B132,"Tot_Entity","USD",AT$2,AT$3,AT$4,$C132,"TopFlow","Top","Top","Tot_Los","TOT_Dept_WO_Addbacks","Tot_FC",$A132,"Top5","Top6","Reported","Top8")</f>
        <v>0</v>
      </c>
      <c r="AU132" s="15">
        <f>_xll.OneStreamExcelAddIn.XFFunctions.XFGetCell("True","Consol", $B132,"Tot_Entity","USD",AU$2,AU$3,AU$4,$C132,"TopFlow","Top","Top","Tot_Los","TOT_Dept_WO_Addbacks","Tot_FC",$A132,"Top5","Top6","Reported","Top8")</f>
        <v>0</v>
      </c>
      <c r="AV132" s="162">
        <f t="shared" si="67"/>
        <v>0</v>
      </c>
    </row>
    <row r="133" spans="1:53" x14ac:dyDescent="0.2">
      <c r="A133" s="16" t="str">
        <f t="shared" si="60"/>
        <v>Acute_DIV1</v>
      </c>
      <c r="B133" s="15">
        <f t="shared" si="61"/>
        <v>127</v>
      </c>
      <c r="C133" s="14" t="s">
        <v>183</v>
      </c>
      <c r="D133" s="14" t="s">
        <v>184</v>
      </c>
      <c r="E133" s="15">
        <f>_xll.OneStreamExcelAddIn.XFFunctions.XFGetCell("True","Consol", $B133,"Tot_Entity","USD",E$2,E$3,E$4,$C133,"TopFlow","Top","Top","Tot_Los","TOT_Dept_WO_Addbacks","Tot_FC",$A133,"Top5","Top6","Reported","Top8")</f>
        <v>0</v>
      </c>
      <c r="F133" s="15">
        <f>_xll.OneStreamExcelAddIn.XFFunctions.XFGetCell("True","Consol", $B133,"Tot_Entity","Aggregated",F$2,F$3,F$4,$C133,"TopFlow","Top","Top","Tot_Los","TOT_Dept_WO_Addbacks","TOP3",$A133,"Top5","Top6","Reported","Top8")</f>
        <v>0</v>
      </c>
      <c r="G133" s="21">
        <f t="shared" si="62"/>
        <v>0</v>
      </c>
      <c r="M133" s="15">
        <f>_xll.OneStreamExcelAddIn.XFFunctions.XFGetCell("True","Consol", $B133,"Tot_Entity","USD",M$2,M$3,M$4,$C133,"TopFlow","Top","Top","Tot_Los","TOT_Dept_WO_Addbacks","Tot_FC",$A133,"Top5","Top6","Reported","Top8")</f>
        <v>0</v>
      </c>
      <c r="N133" s="15">
        <f>_xll.OneStreamExcelAddIn.XFFunctions.XFGetCell("True","Consol", $B133,"Tot_Entity","USD",N$2,N$3,N$4,$C133,"TopFlow","Top","Top","Tot_Los","TOT_Dept_WO_Addbacks","Tot_FC",$A133,"Top5","Top6","Reported","Top8")</f>
        <v>0</v>
      </c>
      <c r="O133" s="21">
        <f t="shared" si="63"/>
        <v>0</v>
      </c>
      <c r="Q133" s="21"/>
      <c r="R133" s="21"/>
      <c r="T133" s="21"/>
      <c r="V133" s="15">
        <f>_xll.OneStreamExcelAddIn.XFFunctions.XFGetCell("True","Consol", $B133,"Tot_Entity","USD",V$2,V$3,V$4,$C133,"TopFlow","Top","Top","Tot_Los","TOT_Dept_WO_Addbacks","Tot_FC",$A133,"Top5","Top6","Reported","Top8")</f>
        <v>0</v>
      </c>
      <c r="W133" s="15">
        <f>_xll.OneStreamExcelAddIn.XFFunctions.XFGetCell("True","Consol", $B133,"Tot_Entity","Aggregated",W$2,W$3,W$4,$C133,"TopFlow","Top","Top","Tot_Los","TOT_Dept_WO_Addbacks","TOP3",$A133,"Top5","Top6","Reported","Top8")</f>
        <v>0</v>
      </c>
      <c r="X133" s="21">
        <f t="shared" si="64"/>
        <v>0</v>
      </c>
      <c r="AD133" s="15">
        <f>_xll.OneStreamExcelAddIn.XFFunctions.XFGetCell("True","Consol", $B133,"Tot_Entity","USD",AD$2,AD$3,AD$4,$C133,"TopFlow","Top","Top","Tot_Los","TOT_Dept_WO_Addbacks","Tot_FC",$A133,"Top5","Top6","Reported","Top8")</f>
        <v>0</v>
      </c>
      <c r="AE133" s="15">
        <f>_xll.OneStreamExcelAddIn.XFFunctions.XFGetCell("True","Consol", $B133,"Tot_Entity","USD",AE$2,AE$3,AE$4,$C133,"TopFlow","Top","Top","Tot_Los","TOT_Dept_WO_Addbacks","Tot_FC",$A133,"Top5","Top6","Reported","Top8")</f>
        <v>0</v>
      </c>
      <c r="AF133" s="21">
        <f t="shared" si="65"/>
        <v>0</v>
      </c>
      <c r="AL133" s="15">
        <f>_xll.OneStreamExcelAddIn.XFFunctions.XFGetCell("True","Consol", $B133,"Tot_Entity","USD",AL$2,AL$3,AL$4,$C133,"TopFlow","Top","Top","Tot_Los","TOT_Dept_WO_Addbacks","Tot_FC",$A133,"Top5","Top6","Reported","Top8")</f>
        <v>0</v>
      </c>
      <c r="AM133" s="15">
        <f>_xll.OneStreamExcelAddIn.XFFunctions.XFGetCell("True","Consol", $B133,"Tot_Entity","USD",AM$2,AM$3,AM$4,$C133,"TopFlow","Top","Top","Tot_Los","TOT_Dept_WO_Addbacks","Tot_FC",$A133,"Top5","Top6","Reported","Top8")</f>
        <v>0</v>
      </c>
      <c r="AN133" s="21">
        <f t="shared" si="66"/>
        <v>0</v>
      </c>
      <c r="AT133" s="15">
        <f>_xll.OneStreamExcelAddIn.XFFunctions.XFGetCell("True","Consol", $B133,"Tot_Entity","USD",AT$2,AT$3,AT$4,$C133,"TopFlow","Top","Top","Tot_Los","TOT_Dept_WO_Addbacks","Tot_FC",$A133,"Top5","Top6","Reported","Top8")</f>
        <v>0</v>
      </c>
      <c r="AU133" s="15">
        <f>_xll.OneStreamExcelAddIn.XFFunctions.XFGetCell("True","Consol", $B133,"Tot_Entity","USD",AU$2,AU$3,AU$4,$C133,"TopFlow","Top","Top","Tot_Los","TOT_Dept_WO_Addbacks","Tot_FC",$A133,"Top5","Top6","Reported","Top8")</f>
        <v>0</v>
      </c>
      <c r="AV133" s="162">
        <f t="shared" si="67"/>
        <v>0</v>
      </c>
    </row>
    <row r="135" spans="1:53" x14ac:dyDescent="0.2">
      <c r="A135" s="16" t="str">
        <f>+$A$8</f>
        <v>Acute_DIV1</v>
      </c>
      <c r="B135" s="15">
        <f>+$B$8</f>
        <v>127</v>
      </c>
      <c r="C135" s="14">
        <v>93013</v>
      </c>
      <c r="D135" s="14" t="s">
        <v>185</v>
      </c>
      <c r="E135" s="15">
        <f>_xll.OneStreamExcelAddIn.XFFunctions.XFGetCell("True","Consol", $B135,"Tot_Entity","USD",E$2,E$3,E$4,$C135,"TopFlow","Top","Top","Tot_Los","TOT_Dept_WO_Addbacks","Tot_FC",$A135,"Top5","Top6","Reported","Top8")</f>
        <v>183.792708332892</v>
      </c>
      <c r="F135" s="15">
        <f>_xll.OneStreamExcelAddIn.XFFunctions.XFGetCell("True","Consol", $B135,"Tot_Entity","Aggregated",F$2,F$3,F$4,$C135,"TopFlow","Top","Top","Tot_Los","TOT_Dept_WO_Addbacks","TOP3",$A135,"Top5","Top6","Reported","Top8")</f>
        <v>207.742847922962</v>
      </c>
      <c r="G135" s="21">
        <f>+F135-E135</f>
        <v>23.950139590069995</v>
      </c>
      <c r="M135" s="15">
        <f>_xll.OneStreamExcelAddIn.XFFunctions.XFGetCell("True","Consol", $B135,"Tot_Entity","USD",M$2,M$3,M$4,$C135,"TopFlow","Top","Top","Tot_Los","TOT_Dept_WO_Addbacks","Tot_FC",$A135,"Top5","Top6","Reported","Top8")</f>
        <v>183.792708332892</v>
      </c>
      <c r="N135" s="15">
        <f>_xll.OneStreamExcelAddIn.XFFunctions.XFGetCell("True","Consol", $B135,"Tot_Entity","USD",N$2,N$3,N$4,$C135,"TopFlow","Top","Top","Tot_Los","TOT_Dept_WO_Addbacks","Tot_FC",$A135,"Top5","Top6","Reported","Top8")</f>
        <v>185.73037453429299</v>
      </c>
      <c r="O135" s="21">
        <f>+N135-M135</f>
        <v>1.9376662014009867</v>
      </c>
      <c r="Q135" s="21"/>
      <c r="R135" s="21"/>
      <c r="T135" s="21"/>
      <c r="V135" s="15">
        <f>_xll.OneStreamExcelAddIn.XFFunctions.XFGetCell("True","Consol", $B135,"Tot_Entity","USD",V$2,V$3,V$4,$C135,"TopFlow","Top","Top","Tot_Los","TOT_Dept_WO_Addbacks","Tot_FC",$A135,"Top5","Top6","Reported","Top8")</f>
        <v>182.83439322872701</v>
      </c>
      <c r="W135" s="15">
        <f>_xll.OneStreamExcelAddIn.XFFunctions.XFGetCell("True","Consol", $B135,"Tot_Entity","Aggregated",W$2,W$3,W$4,$C135,"TopFlow","Top","Top","Tot_Los","TOT_Dept_WO_Addbacks","TOP3",$A135,"Top5","Top6","Reported","Top8")</f>
        <v>194.75138757053199</v>
      </c>
      <c r="X135" s="21">
        <f>+W135-V135</f>
        <v>11.91699434180498</v>
      </c>
      <c r="AD135" s="15">
        <f>_xll.OneStreamExcelAddIn.XFFunctions.XFGetCell("True","Consol", $B135,"Tot_Entity","USD",AD$2,AD$3,AD$4,$C135,"TopFlow","Top","Top","Tot_Los","TOT_Dept_WO_Addbacks","Tot_FC",$A135,"Top5","Top6","Reported","Top8")</f>
        <v>183.792708332892</v>
      </c>
      <c r="AE135" s="15">
        <f>_xll.OneStreamExcelAddIn.XFFunctions.XFGetCell("True","Consol", $B135,"Tot_Entity","USD",AE$2,AE$3,AE$4,$C135,"TopFlow","Top","Top","Tot_Los","TOT_Dept_WO_Addbacks","Tot_FC",$A135,"Top5","Top6","Reported","Top8")</f>
        <v>224.76161858920301</v>
      </c>
      <c r="AF135" s="21">
        <f>+AE135-AD135</f>
        <v>40.968910256311005</v>
      </c>
      <c r="AL135" s="15">
        <f>_xll.OneStreamExcelAddIn.XFFunctions.XFGetCell("True","Consol", $B135,"Tot_Entity","USD",AL$2,AL$3,AL$4,$C135,"TopFlow","Top","Top","Tot_Los","TOT_Dept_WO_Addbacks","Tot_FC",$A135,"Top5","Top6","Reported","Top8")</f>
        <v>182.83439322872701</v>
      </c>
      <c r="AM135" s="15">
        <f>_xll.OneStreamExcelAddIn.XFFunctions.XFGetCell("True","Consol", $B135,"Tot_Entity","USD",AM$2,AM$3,AM$4,$C135,"TopFlow","Top","Top","Tot_Los","TOT_Dept_WO_Addbacks","Tot_FC",$A135,"Top5","Top6","Reported","Top8")</f>
        <v>220.531069711008</v>
      </c>
      <c r="AN135" s="21">
        <f>+AM135-AL135</f>
        <v>37.696676482280992</v>
      </c>
      <c r="AT135" s="15">
        <f>_xll.OneStreamExcelAddIn.XFFunctions.XFGetCell("True","Consol", $B135,"Tot_Entity","USD",AT$2,AT$3,AT$4,$C135,"TopFlow","Top","Top","Tot_Los","TOT_Dept_WO_Addbacks","Tot_FC",$A135,"Top5","Top6","Reported","Top8")</f>
        <v>0</v>
      </c>
      <c r="AU135" s="15">
        <f>_xll.OneStreamExcelAddIn.XFFunctions.XFGetCell("True","Consol", $B135,"Tot_Entity","USD",AU$2,AU$3,AU$4,$C135,"TopFlow","Top","Top","Tot_Los","TOT_Dept_WO_Addbacks","Tot_FC",$A135,"Top5","Top6","Reported","Top8")</f>
        <v>0</v>
      </c>
      <c r="AV135" s="162">
        <f>+AU135-AT135</f>
        <v>0</v>
      </c>
    </row>
    <row r="136" spans="1:53" x14ac:dyDescent="0.2">
      <c r="A136" s="16" t="str">
        <f>+$A$8</f>
        <v>Acute_DIV1</v>
      </c>
      <c r="B136" s="15">
        <f>+$B$8</f>
        <v>127</v>
      </c>
      <c r="C136" s="14">
        <v>93014</v>
      </c>
      <c r="D136" s="14" t="s">
        <v>186</v>
      </c>
      <c r="E136" s="15">
        <f>_xll.OneStreamExcelAddIn.XFFunctions.XFGetCell("True","Consol", $B136,"Tot_Entity","USD",E$2,E$3,E$4,$C136,"TopFlow","Top","Top","Tot_Los","TOT_Dept_WO_Addbacks","Tot_FC",$A136,"Top5","Top6","Reported","Top8")</f>
        <v>190.59551282005501</v>
      </c>
      <c r="F136" s="15">
        <f>_xll.OneStreamExcelAddIn.XFFunctions.XFGetCell("True","Consol", $B136,"Tot_Entity","Aggregated",F$2,F$3,F$4,$C136,"TopFlow","Top","Top","Tot_Los","TOT_Dept_WO_Addbacks","TOP3",$A136,"Top5","Top6","Reported","Top8")</f>
        <v>214.96830942752501</v>
      </c>
      <c r="G136" s="21">
        <f>+F136-E136</f>
        <v>24.372796607470008</v>
      </c>
      <c r="M136" s="15">
        <f>_xll.OneStreamExcelAddIn.XFFunctions.XFGetCell("True","Consol", $B136,"Tot_Entity","USD",M$2,M$3,M$4,$C136,"TopFlow","Top","Top","Tot_Los","TOT_Dept_WO_Addbacks","Tot_FC",$A136,"Top5","Top6","Reported","Top8")</f>
        <v>190.59551282005501</v>
      </c>
      <c r="N136" s="15">
        <f>_xll.OneStreamExcelAddIn.XFFunctions.XFGetCell("True","Consol", $B136,"Tot_Entity","USD",N$2,N$3,N$4,$C136,"TopFlow","Top","Top","Tot_Los","TOT_Dept_WO_Addbacks","Tot_FC",$A136,"Top5","Top6","Reported","Top8")</f>
        <v>191.95711150698301</v>
      </c>
      <c r="O136" s="21">
        <f>+N136-M136</f>
        <v>1.361598686928005</v>
      </c>
      <c r="Q136" s="21"/>
      <c r="R136" s="21"/>
      <c r="T136" s="21"/>
      <c r="V136" s="15">
        <f>_xll.OneStreamExcelAddIn.XFFunctions.XFGetCell("True","Consol", $B136,"Tot_Entity","USD",V$2,V$3,V$4,$C136,"TopFlow","Top","Top","Tot_Los","TOT_Dept_WO_Addbacks","Tot_FC",$A136,"Top5","Top6","Reported","Top8")</f>
        <v>195.36810717100499</v>
      </c>
      <c r="W136" s="15">
        <f>_xll.OneStreamExcelAddIn.XFFunctions.XFGetCell("True","Consol", $B136,"Tot_Entity","Aggregated",W$2,W$3,W$4,$C136,"TopFlow","Top","Top","Tot_Los","TOT_Dept_WO_Addbacks","TOP3",$A136,"Top5","Top6","Reported","Top8")</f>
        <v>205.90770395490301</v>
      </c>
      <c r="X136" s="21">
        <f>+W136-V136</f>
        <v>10.53959678389802</v>
      </c>
      <c r="AD136" s="15">
        <f>_xll.OneStreamExcelAddIn.XFFunctions.XFGetCell("True","Consol", $B136,"Tot_Entity","USD",AD$2,AD$3,AD$4,$C136,"TopFlow","Top","Top","Tot_Los","TOT_Dept_WO_Addbacks","Tot_FC",$A136,"Top5","Top6","Reported","Top8")</f>
        <v>190.59551282005501</v>
      </c>
      <c r="AE136" s="15">
        <f>_xll.OneStreamExcelAddIn.XFFunctions.XFGetCell("True","Consol", $B136,"Tot_Entity","USD",AE$2,AE$3,AE$4,$C136,"TopFlow","Top","Top","Tot_Los","TOT_Dept_WO_Addbacks","Tot_FC",$A136,"Top5","Top6","Reported","Top8")</f>
        <v>230.651923076369</v>
      </c>
      <c r="AF136" s="21">
        <f>+AE136-AD136</f>
        <v>40.056410256313995</v>
      </c>
      <c r="AL136" s="15">
        <f>_xll.OneStreamExcelAddIn.XFFunctions.XFGetCell("True","Consol", $B136,"Tot_Entity","USD",AL$2,AL$3,AL$4,$C136,"TopFlow","Top","Top","Tot_Los","TOT_Dept_WO_Addbacks","Tot_FC",$A136,"Top5","Top6","Reported","Top8")</f>
        <v>195.36810717100499</v>
      </c>
      <c r="AM136" s="15">
        <f>_xll.OneStreamExcelAddIn.XFFunctions.XFGetCell("True","Consol", $B136,"Tot_Entity","USD",AM$2,AM$3,AM$4,$C136,"TopFlow","Top","Top","Tot_Los","TOT_Dept_WO_Addbacks","Tot_FC",$A136,"Top5","Top6","Reported","Top8")</f>
        <v>230.75867387765001</v>
      </c>
      <c r="AN136" s="21">
        <f>+AM136-AL136</f>
        <v>35.390566706645018</v>
      </c>
      <c r="AT136" s="15">
        <f>_xll.OneStreamExcelAddIn.XFFunctions.XFGetCell("True","Consol", $B136,"Tot_Entity","USD",AT$2,AT$3,AT$4,$C136,"TopFlow","Top","Top","Tot_Los","TOT_Dept_WO_Addbacks","Tot_FC",$A136,"Top5","Top6","Reported","Top8")</f>
        <v>0</v>
      </c>
      <c r="AU136" s="15">
        <f>_xll.OneStreamExcelAddIn.XFFunctions.XFGetCell("True","Consol", $B136,"Tot_Entity","USD",AU$2,AU$3,AU$4,$C136,"TopFlow","Top","Top","Tot_Los","TOT_Dept_WO_Addbacks","Tot_FC",$A136,"Top5","Top6","Reported","Top8")</f>
        <v>0</v>
      </c>
      <c r="AV136" s="162">
        <f>+AU136-AT136</f>
        <v>0</v>
      </c>
    </row>
    <row r="138" spans="1:53" x14ac:dyDescent="0.2">
      <c r="A138" s="16" t="str">
        <f>+$A$8</f>
        <v>Acute_DIV1</v>
      </c>
      <c r="B138" s="15">
        <f>+$B$8</f>
        <v>127</v>
      </c>
      <c r="C138" s="14" t="s">
        <v>187</v>
      </c>
      <c r="D138" s="14" t="s">
        <v>188</v>
      </c>
      <c r="E138" s="15">
        <f>_xll.OneStreamExcelAddIn.XFFunctions.XFGetCell("True","Consol", $B138,"Tot_Entity","USD",E$2,E$3,E$4,$C138,"TopFlow","Top","Top","Tot_Los","TOT_Dept_WO_Addbacks","Tot_FC",$A138,"Top5","Top6","Reported","Top8")</f>
        <v>1389167.86</v>
      </c>
      <c r="F138" s="15">
        <f>_xll.OneStreamExcelAddIn.XFFunctions.XFGetCell("True","Consol", $B138,"Tot_Entity","Aggregated",F$2,F$3,F$4,$C138,"TopFlow","Top","Top","Tot_Los","TOT_Dept_WO_Addbacks","TOP3",$A138,"Top5","Top6","Reported","Top8")</f>
        <v>1516900.4750458018</v>
      </c>
      <c r="G138" s="21">
        <f>+F138-E138</f>
        <v>127732.61504580174</v>
      </c>
      <c r="M138" s="15">
        <f>_xll.OneStreamExcelAddIn.XFFunctions.XFGetCell("True","Consol", $B138,"Tot_Entity","USD",M$2,M$3,M$4,$C138,"TopFlow","Top","Top","Tot_Los","TOT_Dept_WO_Addbacks","Tot_FC",$A138,"Top5","Top6","Reported","Top8")</f>
        <v>1389167.86</v>
      </c>
      <c r="N138" s="15">
        <f>_xll.OneStreamExcelAddIn.XFFunctions.XFGetCell("True","Consol", $B138,"Tot_Entity","USD",N$2,N$3,N$4,$C138,"TopFlow","Top","Top","Tot_Los","TOT_Dept_WO_Addbacks","Tot_FC",$A138,"Top5","Top6","Reported","Top8")</f>
        <v>1420771.61</v>
      </c>
      <c r="O138" s="21">
        <f>+N138-M138</f>
        <v>31603.75</v>
      </c>
      <c r="Q138" s="21"/>
      <c r="R138" s="21"/>
      <c r="T138" s="21"/>
      <c r="V138" s="15">
        <f>_xll.OneStreamExcelAddIn.XFFunctions.XFGetCell("True","Consol", $B138,"Tot_Entity","USD",V$2,V$3,V$4,$C138,"TopFlow","Top","Top","Tot_Los","TOT_Dept_WO_Addbacks","Tot_FC",$A138,"Top5","Top6","Reported","Top8")</f>
        <v>5674066.75</v>
      </c>
      <c r="W138" s="15">
        <f>_xll.OneStreamExcelAddIn.XFFunctions.XFGetCell("True","Consol", $B138,"Tot_Entity","Aggregated",W$2,W$3,W$4,$C138,"TopFlow","Top","Top","Tot_Los","TOT_Dept_WO_Addbacks","TOP3",$A138,"Top5","Top6","Reported","Top8")</f>
        <v>5812139.070527073</v>
      </c>
      <c r="X138" s="21">
        <f>+W138-V138</f>
        <v>138072.320527073</v>
      </c>
      <c r="AD138" s="15">
        <f>_xll.OneStreamExcelAddIn.XFFunctions.XFGetCell("True","Consol", $B138,"Tot_Entity","USD",AD$2,AD$3,AD$4,$C138,"TopFlow","Top","Top","Tot_Los","TOT_Dept_WO_Addbacks","Tot_FC",$A138,"Top5","Top6","Reported","Top8")</f>
        <v>1389167.86</v>
      </c>
      <c r="AE138" s="15">
        <f>_xll.OneStreamExcelAddIn.XFFunctions.XFGetCell("True","Consol", $B138,"Tot_Entity","USD",AE$2,AE$3,AE$4,$C138,"TopFlow","Top","Top","Tot_Los","TOT_Dept_WO_Addbacks","Tot_FC",$A138,"Top5","Top6","Reported","Top8")</f>
        <v>1563692.6800000002</v>
      </c>
      <c r="AF138" s="21">
        <f>+AE138-AD138</f>
        <v>174524.82000000007</v>
      </c>
      <c r="AL138" s="15">
        <f>_xll.OneStreamExcelAddIn.XFFunctions.XFGetCell("True","Consol", $B138,"Tot_Entity","USD",AL$2,AL$3,AL$4,$C138,"TopFlow","Top","Top","Tot_Los","TOT_Dept_WO_Addbacks","Tot_FC",$A138,"Top5","Top6","Reported","Top8")</f>
        <v>5674066.75</v>
      </c>
      <c r="AM138" s="15">
        <f>_xll.OneStreamExcelAddIn.XFFunctions.XFGetCell("True","Consol", $B138,"Tot_Entity","USD",AM$2,AM$3,AM$4,$C138,"TopFlow","Top","Top","Tot_Los","TOT_Dept_WO_Addbacks","Tot_FC",$A138,"Top5","Top6","Reported","Top8")</f>
        <v>6153598.7699999996</v>
      </c>
      <c r="AN138" s="21">
        <f>+AM138-AL138</f>
        <v>479532.01999999955</v>
      </c>
      <c r="AT138" s="15">
        <f>_xll.OneStreamExcelAddIn.XFFunctions.XFGetCell("True","Consol", $B138,"Tot_Entity","USD",AT$2,AT$3,AT$4,$C138,"TopFlow","Top","Top","Tot_Los","TOT_Dept_WO_Addbacks","Tot_FC",$A138,"Top5","Top6","Reported","Top8")</f>
        <v>0</v>
      </c>
      <c r="AU138" s="15">
        <f>_xll.OneStreamExcelAddIn.XFFunctions.XFGetCell("True","Consol", $B138,"Tot_Entity","USD",AU$2,AU$3,AU$4,$C138,"TopFlow","Top","Top","Tot_Los","TOT_Dept_WO_Addbacks","Tot_FC",$A138,"Top5","Top6","Reported","Top8")</f>
        <v>119050.98334165799</v>
      </c>
      <c r="AV138" s="162">
        <f>+AU138-AT138</f>
        <v>119050.98334165799</v>
      </c>
    </row>
    <row r="139" spans="1:53" s="31" customFormat="1" collapsed="1" x14ac:dyDescent="0.2">
      <c r="B139" s="32"/>
      <c r="C139" s="33"/>
      <c r="D139" s="27" t="s">
        <v>189</v>
      </c>
      <c r="E139" s="35">
        <f>+E138/E132</f>
        <v>42.633435428431135</v>
      </c>
      <c r="F139" s="35">
        <f>+F138/F132</f>
        <v>41.275364869018837</v>
      </c>
      <c r="G139" s="44">
        <f>+F139-E139</f>
        <v>-1.3580705594122975</v>
      </c>
      <c r="H139" s="38">
        <f>+G139/F139</f>
        <v>-3.2902690593334068E-2</v>
      </c>
      <c r="I139" s="4"/>
      <c r="L139" s="4"/>
      <c r="M139" s="35">
        <f>+M138/M132</f>
        <v>42.633435428431135</v>
      </c>
      <c r="N139" s="35">
        <f>+N138/N132</f>
        <v>41.897479760795058</v>
      </c>
      <c r="O139" s="44">
        <f>+N139-M139</f>
        <v>-0.73595566763607678</v>
      </c>
      <c r="P139" s="4"/>
      <c r="Q139" s="44"/>
      <c r="R139" s="44"/>
      <c r="S139" s="4"/>
      <c r="T139" s="44"/>
      <c r="U139" s="4"/>
      <c r="V139" s="35">
        <f>+V138/V132</f>
        <v>42.470664411072271</v>
      </c>
      <c r="W139" s="35">
        <f>+W138/W132</f>
        <v>41.277338316314527</v>
      </c>
      <c r="X139" s="156">
        <f>+W139-V139</f>
        <v>-1.1933260947577438</v>
      </c>
      <c r="Y139" s="38">
        <f>+X139/W139</f>
        <v>-2.8909957459298957E-2</v>
      </c>
      <c r="Z139" s="4"/>
      <c r="AB139" s="32"/>
      <c r="AC139" s="4"/>
      <c r="AD139" s="35">
        <f>+AD138/AD132</f>
        <v>42.633435428431135</v>
      </c>
      <c r="AE139" s="35">
        <f>+AE138/AE132</f>
        <v>39.65542402109962</v>
      </c>
      <c r="AF139" s="44">
        <f>+AE139-AD139</f>
        <v>-2.9780114073315147</v>
      </c>
      <c r="AG139" s="38">
        <f>+AF139/AE139</f>
        <v>-7.5097202484759526E-2</v>
      </c>
      <c r="AH139" s="4"/>
      <c r="AJ139" s="32"/>
      <c r="AK139" s="4"/>
      <c r="AL139" s="35">
        <f>+AL138/AL132</f>
        <v>42.470664411072271</v>
      </c>
      <c r="AM139" s="35">
        <f>+AM138/AM132</f>
        <v>38.995942801376415</v>
      </c>
      <c r="AN139" s="156">
        <f>+AM139-AL139</f>
        <v>-3.4747216096958553</v>
      </c>
      <c r="AO139" s="38">
        <f>+AN139/AM139</f>
        <v>-8.9104695516509222E-2</v>
      </c>
      <c r="AP139" s="4"/>
      <c r="AR139" s="32"/>
      <c r="AS139" s="4"/>
      <c r="AT139" s="35" t="e">
        <f>+AT138/AT132</f>
        <v>#DIV/0!</v>
      </c>
      <c r="AU139" s="35" t="e">
        <f>+AU138/AU132</f>
        <v>#DIV/0!</v>
      </c>
      <c r="AV139" s="166" t="e">
        <f>+AU139-AT139</f>
        <v>#DIV/0!</v>
      </c>
      <c r="AW139" s="38" t="e">
        <f>+AV139/AU139</f>
        <v>#DIV/0!</v>
      </c>
      <c r="AX139" s="4"/>
      <c r="AZ139" s="32"/>
      <c r="BA139" s="4"/>
    </row>
    <row r="140" spans="1:53" s="31" customFormat="1" collapsed="1" x14ac:dyDescent="0.2">
      <c r="B140" s="32"/>
      <c r="C140" s="33"/>
      <c r="D140" s="27" t="s">
        <v>190</v>
      </c>
      <c r="E140" s="61">
        <f>+E138/E129</f>
        <v>7288.565399289022</v>
      </c>
      <c r="F140" s="61">
        <f>+F138/F129</f>
        <v>7056.3911447478431</v>
      </c>
      <c r="G140" s="62">
        <f>+F140-E140</f>
        <v>-232.17425454117893</v>
      </c>
      <c r="H140" s="38">
        <f>+G140/F140</f>
        <v>-3.2902690593333818E-2</v>
      </c>
      <c r="I140" s="4"/>
      <c r="L140" s="4"/>
      <c r="M140" s="61">
        <f>+M138/M129</f>
        <v>7288.565399289022</v>
      </c>
      <c r="N140" s="61">
        <f>+N138/N129</f>
        <v>7401.5054657056317</v>
      </c>
      <c r="O140" s="62">
        <f>+N140-M140</f>
        <v>112.94006641660962</v>
      </c>
      <c r="P140" s="4"/>
      <c r="Q140" s="62"/>
      <c r="R140" s="62"/>
      <c r="S140" s="4"/>
      <c r="T140" s="62"/>
      <c r="U140" s="4"/>
      <c r="V140" s="61">
        <f>+V138/V129</f>
        <v>29042.952978161939</v>
      </c>
      <c r="W140" s="61">
        <f>+W138/W129</f>
        <v>28226.914092539355</v>
      </c>
      <c r="X140" s="156">
        <f>+W140-V140</f>
        <v>-816.03888562258362</v>
      </c>
      <c r="Y140" s="38">
        <f>+X140/W140</f>
        <v>-2.8909957459298412E-2</v>
      </c>
      <c r="Z140" s="4"/>
      <c r="AB140" s="32"/>
      <c r="AC140" s="4"/>
      <c r="AD140" s="61">
        <f>+AD138/AD129</f>
        <v>7288.565399289022</v>
      </c>
      <c r="AE140" s="61">
        <f>+AE138/AE129</f>
        <v>6779.4478326645494</v>
      </c>
      <c r="AF140" s="62">
        <f>+AE140-AD140</f>
        <v>-509.1175666244726</v>
      </c>
      <c r="AG140" s="38">
        <f>+AF140/AE140</f>
        <v>-7.5097202484759346E-2</v>
      </c>
      <c r="AH140" s="4"/>
      <c r="AJ140" s="32"/>
      <c r="AK140" s="4"/>
      <c r="AL140" s="61">
        <f>+AL138/AL129</f>
        <v>29042.952978161939</v>
      </c>
      <c r="AM140" s="61">
        <f>+AM138/AM129</f>
        <v>26666.814584238269</v>
      </c>
      <c r="AN140" s="156">
        <f>+AM140-AL140</f>
        <v>-2376.1383939236694</v>
      </c>
      <c r="AO140" s="38">
        <f>+AN140/AM140</f>
        <v>-8.9104695516505877E-2</v>
      </c>
      <c r="AP140" s="4"/>
      <c r="AR140" s="32"/>
      <c r="AS140" s="4"/>
      <c r="AT140" s="61" t="e">
        <f>+AT138/AT129</f>
        <v>#DIV/0!</v>
      </c>
      <c r="AU140" s="61" t="e">
        <f>+AU138/AU129</f>
        <v>#DIV/0!</v>
      </c>
      <c r="AV140" s="166" t="e">
        <f>+AU140-AT140</f>
        <v>#DIV/0!</v>
      </c>
      <c r="AW140" s="38" t="e">
        <f>+AV140/AU140</f>
        <v>#DIV/0!</v>
      </c>
      <c r="AX140" s="4"/>
      <c r="AZ140" s="32"/>
      <c r="BA140" s="4"/>
    </row>
    <row r="141" spans="1:53" x14ac:dyDescent="0.2">
      <c r="E141" s="1" t="b">
        <f>E138=SUM(E143,E146,E149,E152:E155,E157,E161)</f>
        <v>1</v>
      </c>
      <c r="F141" s="1" t="b">
        <f>F138=SUM(F143,F146,F149,F152:F155,F157,F161)</f>
        <v>1</v>
      </c>
      <c r="M141" s="1" t="b">
        <f>M138=SUM(M143,M146,M149,M152:M155,M157,M161)</f>
        <v>1</v>
      </c>
      <c r="N141" s="1" t="b">
        <f>N138=SUM(N143,N146,N149,N152:N155,N157,N161)</f>
        <v>1</v>
      </c>
      <c r="V141" s="1" t="b">
        <f>V138=SUM(V143,V146,V149,V152:V155,V157,V161)</f>
        <v>1</v>
      </c>
      <c r="W141" s="1" t="b">
        <f>W138=SUM(W143,W146,W149,W152:W155,W157,W161)</f>
        <v>1</v>
      </c>
      <c r="AD141" s="1" t="b">
        <f>AD138=SUM(AD143,AD146,AD149,AD152:AD155,AD157,AD161)</f>
        <v>1</v>
      </c>
      <c r="AE141" s="1" t="b">
        <f>AE138=SUM(AE143,AE146,AE149,AE152:AE155,AE157,AE161)</f>
        <v>1</v>
      </c>
      <c r="AL141" s="1" t="b">
        <f>AL138=SUM(AL143,AL146,AL149,AL152:AL155,AL157,AL161)</f>
        <v>1</v>
      </c>
      <c r="AM141" s="1" t="b">
        <f>AM138=SUM(AM143,AM146,AM149,AM152:AM155,AM157,AM161)</f>
        <v>1</v>
      </c>
      <c r="AT141" s="1" t="b">
        <f>AT138=SUM(AT143,AT146,AT149,AT152:AT155,AT157,AT161)</f>
        <v>1</v>
      </c>
      <c r="AU141" s="1" t="b">
        <f>AU138=SUM(AU143,AU146,AU149,AU152:AU155,AU157,AU161)</f>
        <v>1</v>
      </c>
    </row>
    <row r="143" spans="1:53" x14ac:dyDescent="0.2">
      <c r="A143" s="16" t="str">
        <f>+$A$8</f>
        <v>Acute_DIV1</v>
      </c>
      <c r="B143" s="15">
        <f>+$B$8</f>
        <v>127</v>
      </c>
      <c r="C143" s="14" t="s">
        <v>191</v>
      </c>
      <c r="D143" s="14" t="s">
        <v>192</v>
      </c>
      <c r="E143" s="15">
        <f>_xll.OneStreamExcelAddIn.XFFunctions.XFGetCell("True","Consol", $B143,"Tot_Entity","USD",E$2,E$3,E$4,$C143,"TopFlow","Top","Top","Tot_Los","TOT_Dept_WO_Addbacks","Tot_FC",$A143,"Top5","Top6","Reported","Top8")</f>
        <v>1022422.64</v>
      </c>
      <c r="F143" s="15">
        <f>_xll.OneStreamExcelAddIn.XFFunctions.XFGetCell("True","Consol", $B143,"Tot_Entity","Aggregated",F$2,F$3,F$4,$C143,"TopFlow","Top","Top","Tot_Los","TOT_Dept_WO_Addbacks","TOP3",$A143,"Top5","Top6","Reported","Top8")</f>
        <v>1155059.9457302049</v>
      </c>
      <c r="G143" s="21">
        <f>+F143-E143</f>
        <v>132637.30573020491</v>
      </c>
      <c r="M143" s="15">
        <f>_xll.OneStreamExcelAddIn.XFFunctions.XFGetCell("True","Consol", $B143,"Tot_Entity","USD",M$2,M$3,M$4,$C143,"TopFlow","Top","Top","Tot_Los","TOT_Dept_WO_Addbacks","Tot_FC",$A143,"Top5","Top6","Reported","Top8")</f>
        <v>1022422.64</v>
      </c>
      <c r="N143" s="15">
        <f>_xll.OneStreamExcelAddIn.XFFunctions.XFGetCell("True","Consol", $B143,"Tot_Entity","USD",N$2,N$3,N$4,$C143,"TopFlow","Top","Top","Tot_Los","TOT_Dept_WO_Addbacks","Tot_FC",$A143,"Top5","Top6","Reported","Top8")</f>
        <v>1038000.25</v>
      </c>
      <c r="O143" s="21">
        <f>+N143-M143</f>
        <v>15577.609999999986</v>
      </c>
      <c r="Q143" s="21"/>
      <c r="R143" s="21"/>
      <c r="T143" s="21"/>
      <c r="V143" s="15">
        <f>_xll.OneStreamExcelAddIn.XFFunctions.XFGetCell("True","Consol", $B143,"Tot_Entity","USD",V$2,V$3,V$4,$C143,"TopFlow","Top","Top","Tot_Los","TOT_Dept_WO_Addbacks","Tot_FC",$A143,"Top5","Top6","Reported","Top8")</f>
        <v>3967802.3899999997</v>
      </c>
      <c r="W143" s="15">
        <f>_xll.OneStreamExcelAddIn.XFFunctions.XFGetCell("True","Consol", $B143,"Tot_Entity","Aggregated",W$2,W$3,W$4,$C143,"TopFlow","Top","Top","Tot_Los","TOT_Dept_WO_Addbacks","TOP3",$A143,"Top5","Top6","Reported","Top8")</f>
        <v>4292209.2313204203</v>
      </c>
      <c r="X143" s="21">
        <f>+W143-V143</f>
        <v>324406.84132042062</v>
      </c>
      <c r="AD143" s="15">
        <f>_xll.OneStreamExcelAddIn.XFFunctions.XFGetCell("True","Consol", $B143,"Tot_Entity","USD",AD$2,AD$3,AD$4,$C143,"TopFlow","Top","Top","Tot_Los","TOT_Dept_WO_Addbacks","Tot_FC",$A143,"Top5","Top6","Reported","Top8")</f>
        <v>1022422.64</v>
      </c>
      <c r="AE143" s="15">
        <f>_xll.OneStreamExcelAddIn.XFFunctions.XFGetCell("True","Consol", $B143,"Tot_Entity","USD",AE$2,AE$3,AE$4,$C143,"TopFlow","Top","Top","Tot_Los","TOT_Dept_WO_Addbacks","Tot_FC",$A143,"Top5","Top6","Reported","Top8")</f>
        <v>1127766.7</v>
      </c>
      <c r="AF143" s="21">
        <f>+AE143-AD143</f>
        <v>105344.05999999994</v>
      </c>
      <c r="AL143" s="15">
        <f>_xll.OneStreamExcelAddIn.XFFunctions.XFGetCell("True","Consol", $B143,"Tot_Entity","USD",AL$2,AL$3,AL$4,$C143,"TopFlow","Top","Top","Tot_Los","TOT_Dept_WO_Addbacks","Tot_FC",$A143,"Top5","Top6","Reported","Top8")</f>
        <v>3967802.3899999997</v>
      </c>
      <c r="AM143" s="15">
        <f>_xll.OneStreamExcelAddIn.XFFunctions.XFGetCell("True","Consol", $B143,"Tot_Entity","USD",AM$2,AM$3,AM$4,$C143,"TopFlow","Top","Top","Tot_Los","TOT_Dept_WO_Addbacks","Tot_FC",$A143,"Top5","Top6","Reported","Top8")</f>
        <v>4417865.55</v>
      </c>
      <c r="AN143" s="21">
        <f>+AM143-AL143</f>
        <v>450063.16000000015</v>
      </c>
      <c r="AT143" s="15">
        <f>_xll.OneStreamExcelAddIn.XFFunctions.XFGetCell("True","Consol", $B143,"Tot_Entity","USD",AT$2,AT$3,AT$4,$C143,"TopFlow","Top","Top","Tot_Los","TOT_Dept_WO_Addbacks","Tot_FC",$A143,"Top5","Top6","Reported","Top8")</f>
        <v>0</v>
      </c>
      <c r="AU143" s="15">
        <f>_xll.OneStreamExcelAddIn.XFFunctions.XFGetCell("True","Consol", $B143,"Tot_Entity","USD",AU$2,AU$3,AU$4,$C143,"TopFlow","Top","Top","Tot_Los","TOT_Dept_WO_Addbacks","Tot_FC",$A143,"Top5","Top6","Reported","Top8")</f>
        <v>0</v>
      </c>
      <c r="AV143" s="162">
        <f>+AU143-AT143</f>
        <v>0</v>
      </c>
    </row>
    <row r="144" spans="1:53" s="31" customFormat="1" x14ac:dyDescent="0.2">
      <c r="B144" s="32"/>
      <c r="C144" s="33"/>
      <c r="D144" s="27" t="s">
        <v>193</v>
      </c>
      <c r="E144" s="35">
        <f>+E143/E131</f>
        <v>32.539468508322457</v>
      </c>
      <c r="F144" s="35">
        <f>+F143/F131</f>
        <v>32.52270933519118</v>
      </c>
      <c r="G144" s="44">
        <f>+F144-E144</f>
        <v>-1.6759173131276839E-2</v>
      </c>
      <c r="H144" s="38">
        <f>+G144/F144</f>
        <v>-5.1530679558552594E-4</v>
      </c>
      <c r="I144" s="4"/>
      <c r="L144" s="4"/>
      <c r="M144" s="35">
        <f>+M143/M131</f>
        <v>32.539468508322457</v>
      </c>
      <c r="N144" s="35">
        <f>+N143/N131</f>
        <v>31.63605772146683</v>
      </c>
      <c r="O144" s="44">
        <f>+N144-M144</f>
        <v>-0.90341078685562692</v>
      </c>
      <c r="P144" s="4"/>
      <c r="Q144" s="44"/>
      <c r="R144" s="44"/>
      <c r="S144" s="4"/>
      <c r="T144" s="44"/>
      <c r="U144" s="4"/>
      <c r="V144" s="35">
        <f>+V143/V131</f>
        <v>31.735140348209733</v>
      </c>
      <c r="W144" s="35">
        <f>+W143/W131</f>
        <v>32.22913184366589</v>
      </c>
      <c r="X144" s="156">
        <f>+W144-V144</f>
        <v>0.49399149545615728</v>
      </c>
      <c r="Y144" s="38">
        <f>+X144/W144</f>
        <v>1.5327483776242122E-2</v>
      </c>
      <c r="Z144" s="4"/>
      <c r="AB144" s="32"/>
      <c r="AC144" s="4"/>
      <c r="AD144" s="35">
        <f>+AD143/AD131</f>
        <v>32.539468508322457</v>
      </c>
      <c r="AE144" s="35">
        <f>+AE143/AE131</f>
        <v>29.349816525699413</v>
      </c>
      <c r="AF144" s="44">
        <f>+AE144-AD144</f>
        <v>-3.1896519826230438</v>
      </c>
      <c r="AG144" s="38">
        <f>+AF144/AE144</f>
        <v>-0.1086770671915481</v>
      </c>
      <c r="AH144" s="4"/>
      <c r="AJ144" s="32"/>
      <c r="AK144" s="4"/>
      <c r="AL144" s="35">
        <f>+AL143/AL131</f>
        <v>31.735140348209733</v>
      </c>
      <c r="AM144" s="35">
        <f>+AM143/AM131</f>
        <v>29.294830810240903</v>
      </c>
      <c r="AN144" s="156">
        <f>+AM144-AL144</f>
        <v>-2.4403095379688295</v>
      </c>
      <c r="AO144" s="38">
        <f>+AN144/AM144</f>
        <v>-8.3301711273776835E-2</v>
      </c>
      <c r="AP144" s="4"/>
      <c r="AR144" s="32"/>
      <c r="AS144" s="4"/>
      <c r="AT144" s="35" t="e">
        <f>+AT143/AT131</f>
        <v>#DIV/0!</v>
      </c>
      <c r="AU144" s="35" t="e">
        <f>+AU143/AU131</f>
        <v>#DIV/0!</v>
      </c>
      <c r="AV144" s="166" t="e">
        <f>+AU144-AT144</f>
        <v>#DIV/0!</v>
      </c>
      <c r="AW144" s="38" t="e">
        <f>+AV144/AU144</f>
        <v>#DIV/0!</v>
      </c>
      <c r="AX144" s="4"/>
      <c r="AZ144" s="32"/>
      <c r="BA144" s="4"/>
    </row>
    <row r="146" spans="1:53" x14ac:dyDescent="0.2">
      <c r="A146" s="16" t="str">
        <f>+$A$8</f>
        <v>Acute_DIV1</v>
      </c>
      <c r="B146" s="15">
        <f>+$B$8</f>
        <v>127</v>
      </c>
      <c r="C146" s="14" t="s">
        <v>194</v>
      </c>
      <c r="D146" s="14" t="s">
        <v>195</v>
      </c>
      <c r="E146" s="15">
        <f>_xll.OneStreamExcelAddIn.XFFunctions.XFGetCell("True","Consol", $B146,"Tot_Entity","USD",E$2,E$3,E$4,$C146,"TopFlow","Top","Top","Tot_Los","TOT_Dept_WO_Addbacks","Tot_FC",$A146,"Top5","Top6","Reported","Top8")</f>
        <v>61186.18</v>
      </c>
      <c r="F146" s="15">
        <f>_xll.OneStreamExcelAddIn.XFFunctions.XFGetCell("True","Consol", $B146,"Tot_Entity","Aggregated",F$2,F$3,F$4,$C146,"TopFlow","Top","Top","Tot_Los","TOT_Dept_WO_Addbacks","TOP3",$A146,"Top5","Top6","Reported","Top8")</f>
        <v>92196.017031077005</v>
      </c>
      <c r="G146" s="21">
        <f>+F146-E146</f>
        <v>31009.837031077004</v>
      </c>
      <c r="M146" s="15">
        <f>_xll.OneStreamExcelAddIn.XFFunctions.XFGetCell("True","Consol", $B146,"Tot_Entity","USD",M$2,M$3,M$4,$C146,"TopFlow","Top","Top","Tot_Los","TOT_Dept_WO_Addbacks","Tot_FC",$A146,"Top5","Top6","Reported","Top8")</f>
        <v>61186.18</v>
      </c>
      <c r="N146" s="15">
        <f>_xll.OneStreamExcelAddIn.XFFunctions.XFGetCell("True","Consol", $B146,"Tot_Entity","USD",N$2,N$3,N$4,$C146,"TopFlow","Top","Top","Tot_Los","TOT_Dept_WO_Addbacks","Tot_FC",$A146,"Top5","Top6","Reported","Top8")</f>
        <v>64045.279999999999</v>
      </c>
      <c r="O146" s="21">
        <f>+N146-M146</f>
        <v>2859.0999999999985</v>
      </c>
      <c r="Q146" s="21"/>
      <c r="R146" s="21"/>
      <c r="T146" s="21"/>
      <c r="V146" s="15">
        <f>_xll.OneStreamExcelAddIn.XFFunctions.XFGetCell("True","Consol", $B146,"Tot_Entity","USD",V$2,V$3,V$4,$C146,"TopFlow","Top","Top","Tot_Los","TOT_Dept_WO_Addbacks","Tot_FC",$A146,"Top5","Top6","Reported","Top8")</f>
        <v>211010.2</v>
      </c>
      <c r="W146" s="15">
        <f>_xll.OneStreamExcelAddIn.XFFunctions.XFGetCell("True","Consol", $B146,"Tot_Entity","Aggregated",W$2,W$3,W$4,$C146,"TopFlow","Top","Top","Tot_Los","TOT_Dept_WO_Addbacks","TOP3",$A146,"Top5","Top6","Reported","Top8")</f>
        <v>257571.52125921499</v>
      </c>
      <c r="X146" s="21">
        <f>+W146-V146</f>
        <v>46561.321259214979</v>
      </c>
      <c r="AD146" s="15">
        <f>_xll.OneStreamExcelAddIn.XFFunctions.XFGetCell("True","Consol", $B146,"Tot_Entity","USD",AD$2,AD$3,AD$4,$C146,"TopFlow","Top","Top","Tot_Los","TOT_Dept_WO_Addbacks","Tot_FC",$A146,"Top5","Top6","Reported","Top8")</f>
        <v>61186.18</v>
      </c>
      <c r="AE146" s="15">
        <f>_xll.OneStreamExcelAddIn.XFFunctions.XFGetCell("True","Consol", $B146,"Tot_Entity","USD",AE$2,AE$3,AE$4,$C146,"TopFlow","Top","Top","Tot_Los","TOT_Dept_WO_Addbacks","Tot_FC",$A146,"Top5","Top6","Reported","Top8")</f>
        <v>101537.95</v>
      </c>
      <c r="AF146" s="21">
        <f>+AE146-AD146</f>
        <v>40351.769999999997</v>
      </c>
      <c r="AL146" s="15">
        <f>_xll.OneStreamExcelAddIn.XFFunctions.XFGetCell("True","Consol", $B146,"Tot_Entity","USD",AL$2,AL$3,AL$4,$C146,"TopFlow","Top","Top","Tot_Los","TOT_Dept_WO_Addbacks","Tot_FC",$A146,"Top5","Top6","Reported","Top8")</f>
        <v>211010.2</v>
      </c>
      <c r="AM146" s="15">
        <f>_xll.OneStreamExcelAddIn.XFFunctions.XFGetCell("True","Consol", $B146,"Tot_Entity","USD",AM$2,AM$3,AM$4,$C146,"TopFlow","Top","Top","Tot_Los","TOT_Dept_WO_Addbacks","Tot_FC",$A146,"Top5","Top6","Reported","Top8")</f>
        <v>296267.81</v>
      </c>
      <c r="AN146" s="21">
        <f>+AM146-AL146</f>
        <v>85257.609999999986</v>
      </c>
      <c r="AT146" s="15">
        <f>_xll.OneStreamExcelAddIn.XFFunctions.XFGetCell("True","Consol", $B146,"Tot_Entity","USD",AT$2,AT$3,AT$4,$C146,"TopFlow","Top","Top","Tot_Los","TOT_Dept_WO_Addbacks","Tot_FC",$A146,"Top5","Top6","Reported","Top8")</f>
        <v>0</v>
      </c>
      <c r="AU146" s="15">
        <f>_xll.OneStreamExcelAddIn.XFFunctions.XFGetCell("True","Consol", $B146,"Tot_Entity","USD",AU$2,AU$3,AU$4,$C146,"TopFlow","Top","Top","Tot_Los","TOT_Dept_WO_Addbacks","Tot_FC",$A146,"Top5","Top6","Reported","Top8")</f>
        <v>0</v>
      </c>
      <c r="AV146" s="162">
        <f>+AU146-AT146</f>
        <v>0</v>
      </c>
    </row>
    <row r="147" spans="1:53" s="31" customFormat="1" x14ac:dyDescent="0.2">
      <c r="B147" s="32"/>
      <c r="C147" s="33"/>
      <c r="D147" s="27" t="s">
        <v>196</v>
      </c>
      <c r="E147" s="29">
        <f>+E146/E143</f>
        <v>5.9844312524221878E-2</v>
      </c>
      <c r="F147" s="29">
        <f>+F146/F143</f>
        <v>7.981924866487565E-2</v>
      </c>
      <c r="G147" s="45"/>
      <c r="I147" s="4"/>
      <c r="L147" s="4"/>
      <c r="M147" s="29">
        <f>+M146/M143</f>
        <v>5.9844312524221878E-2</v>
      </c>
      <c r="N147" s="29">
        <f>+N146/N143</f>
        <v>6.1700640245510537E-2</v>
      </c>
      <c r="O147" s="45"/>
      <c r="P147" s="4"/>
      <c r="Q147" s="45"/>
      <c r="R147" s="45"/>
      <c r="S147" s="4"/>
      <c r="T147" s="45"/>
      <c r="U147" s="4"/>
      <c r="V147" s="29">
        <f>+V146/V143</f>
        <v>5.3180622233558371E-2</v>
      </c>
      <c r="W147" s="29">
        <f>+W146/W143</f>
        <v>6.0009078630115564E-2</v>
      </c>
      <c r="X147" s="157"/>
      <c r="Z147" s="4"/>
      <c r="AB147" s="32"/>
      <c r="AC147" s="4"/>
      <c r="AD147" s="29">
        <f>+AD146/AD143</f>
        <v>5.9844312524221878E-2</v>
      </c>
      <c r="AE147" s="29">
        <f>+AE146/AE143</f>
        <v>9.0034534624936172E-2</v>
      </c>
      <c r="AF147" s="45"/>
      <c r="AH147" s="4"/>
      <c r="AJ147" s="32"/>
      <c r="AK147" s="4"/>
      <c r="AL147" s="29">
        <f>+AL146/AL143</f>
        <v>5.3180622233558371E-2</v>
      </c>
      <c r="AM147" s="29">
        <f>+AM146/AM143</f>
        <v>6.7061300677201466E-2</v>
      </c>
      <c r="AN147" s="157"/>
      <c r="AP147" s="4"/>
      <c r="AR147" s="32"/>
      <c r="AS147" s="4"/>
      <c r="AT147" s="29" t="e">
        <f>+AT146/AT143</f>
        <v>#DIV/0!</v>
      </c>
      <c r="AU147" s="29" t="e">
        <f>+AU146/AU143</f>
        <v>#DIV/0!</v>
      </c>
      <c r="AV147" s="167"/>
      <c r="AX147" s="4"/>
      <c r="AZ147" s="32"/>
      <c r="BA147" s="4"/>
    </row>
    <row r="149" spans="1:53" x14ac:dyDescent="0.2">
      <c r="A149" s="16" t="str">
        <f>+$A$8</f>
        <v>Acute_DIV1</v>
      </c>
      <c r="B149" s="15">
        <f>+$B$8</f>
        <v>127</v>
      </c>
      <c r="C149" s="14" t="s">
        <v>197</v>
      </c>
      <c r="D149" s="14" t="s">
        <v>198</v>
      </c>
      <c r="E149" s="15">
        <f>_xll.OneStreamExcelAddIn.XFFunctions.XFGetCell("True","Consol", $B149,"Tot_Entity","USD",E$2,E$3,E$4,$C149,"TopFlow","Top","Top","Tot_Los","TOT_Dept_WO_Addbacks","Tot_FC",$A149,"Top5","Top6","Reported","Top8")</f>
        <v>24072.799999999999</v>
      </c>
      <c r="F149" s="15">
        <f>_xll.OneStreamExcelAddIn.XFFunctions.XFGetCell("True","Consol", $B149,"Tot_Entity","Aggregated",F$2,F$3,F$4,$C149,"TopFlow","Top","Top","Tot_Los","TOT_Dept_WO_Addbacks","TOP3",$A149,"Top5","Top6","Reported","Top8")</f>
        <v>0</v>
      </c>
      <c r="G149" s="21">
        <f>+F149-E149</f>
        <v>-24072.799999999999</v>
      </c>
      <c r="M149" s="15">
        <f>_xll.OneStreamExcelAddIn.XFFunctions.XFGetCell("True","Consol", $B149,"Tot_Entity","USD",M$2,M$3,M$4,$C149,"TopFlow","Top","Top","Tot_Los","TOT_Dept_WO_Addbacks","Tot_FC",$A149,"Top5","Top6","Reported","Top8")</f>
        <v>24072.799999999999</v>
      </c>
      <c r="N149" s="15">
        <f>_xll.OneStreamExcelAddIn.XFFunctions.XFGetCell("True","Consol", $B149,"Tot_Entity","USD",N$2,N$3,N$4,$C149,"TopFlow","Top","Top","Tot_Los","TOT_Dept_WO_Addbacks","Tot_FC",$A149,"Top5","Top6","Reported","Top8")</f>
        <v>25040.74</v>
      </c>
      <c r="O149" s="21">
        <f>+N149-M149</f>
        <v>967.94000000000233</v>
      </c>
      <c r="Q149" s="21"/>
      <c r="R149" s="21"/>
      <c r="T149" s="21"/>
      <c r="V149" s="15">
        <f>_xll.OneStreamExcelAddIn.XFFunctions.XFGetCell("True","Consol", $B149,"Tot_Entity","USD",V$2,V$3,V$4,$C149,"TopFlow","Top","Top","Tot_Los","TOT_Dept_WO_Addbacks","Tot_FC",$A149,"Top5","Top6","Reported","Top8")</f>
        <v>96804.01</v>
      </c>
      <c r="W149" s="15">
        <f>_xll.OneStreamExcelAddIn.XFFunctions.XFGetCell("True","Consol", $B149,"Tot_Entity","Aggregated",W$2,W$3,W$4,$C149,"TopFlow","Top","Top","Tot_Los","TOT_Dept_WO_Addbacks","TOP3",$A149,"Top5","Top6","Reported","Top8")</f>
        <v>0</v>
      </c>
      <c r="X149" s="21">
        <f>+W149-V149</f>
        <v>-96804.01</v>
      </c>
      <c r="AD149" s="15">
        <f>_xll.OneStreamExcelAddIn.XFFunctions.XFGetCell("True","Consol", $B149,"Tot_Entity","USD",AD$2,AD$3,AD$4,$C149,"TopFlow","Top","Top","Tot_Los","TOT_Dept_WO_Addbacks","Tot_FC",$A149,"Top5","Top6","Reported","Top8")</f>
        <v>24072.799999999999</v>
      </c>
      <c r="AE149" s="15">
        <f>_xll.OneStreamExcelAddIn.XFFunctions.XFGetCell("True","Consol", $B149,"Tot_Entity","USD",AE$2,AE$3,AE$4,$C149,"TopFlow","Top","Top","Tot_Los","TOT_Dept_WO_Addbacks","Tot_FC",$A149,"Top5","Top6","Reported","Top8")</f>
        <v>31564.92</v>
      </c>
      <c r="AF149" s="21">
        <f>+AE149-AD149</f>
        <v>7492.119999999999</v>
      </c>
      <c r="AL149" s="15">
        <f>_xll.OneStreamExcelAddIn.XFFunctions.XFGetCell("True","Consol", $B149,"Tot_Entity","USD",AL$2,AL$3,AL$4,$C149,"TopFlow","Top","Top","Tot_Los","TOT_Dept_WO_Addbacks","Tot_FC",$A149,"Top5","Top6","Reported","Top8")</f>
        <v>96804.01</v>
      </c>
      <c r="AM149" s="15">
        <f>_xll.OneStreamExcelAddIn.XFFunctions.XFGetCell("True","Consol", $B149,"Tot_Entity","USD",AM$2,AM$3,AM$4,$C149,"TopFlow","Top","Top","Tot_Los","TOT_Dept_WO_Addbacks","Tot_FC",$A149,"Top5","Top6","Reported","Top8")</f>
        <v>127469.17</v>
      </c>
      <c r="AN149" s="21">
        <f>+AM149-AL149</f>
        <v>30665.160000000003</v>
      </c>
      <c r="AT149" s="15">
        <f>_xll.OneStreamExcelAddIn.XFFunctions.XFGetCell("True","Consol", $B149,"Tot_Entity","USD",AT$2,AT$3,AT$4,$C149,"TopFlow","Top","Top","Tot_Los","TOT_Dept_WO_Addbacks","Tot_FC",$A149,"Top5","Top6","Reported","Top8")</f>
        <v>0</v>
      </c>
      <c r="AU149" s="15">
        <f>_xll.OneStreamExcelAddIn.XFFunctions.XFGetCell("True","Consol", $B149,"Tot_Entity","USD",AU$2,AU$3,AU$4,$C149,"TopFlow","Top","Top","Tot_Los","TOT_Dept_WO_Addbacks","Tot_FC",$A149,"Top5","Top6","Reported","Top8")</f>
        <v>0</v>
      </c>
      <c r="AV149" s="162">
        <f>+AU149-AT149</f>
        <v>0</v>
      </c>
    </row>
    <row r="150" spans="1:53" s="31" customFormat="1" x14ac:dyDescent="0.2">
      <c r="B150" s="32"/>
      <c r="C150" s="33"/>
      <c r="D150" s="27" t="s">
        <v>199</v>
      </c>
      <c r="E150" s="29">
        <f>+E149/E143</f>
        <v>2.3544862034745238E-2</v>
      </c>
      <c r="F150" s="29">
        <f>+F149/F143</f>
        <v>0</v>
      </c>
      <c r="G150" s="45"/>
      <c r="I150" s="4"/>
      <c r="L150" s="4"/>
      <c r="M150" s="29">
        <f>+M149/M143</f>
        <v>2.3544862034745238E-2</v>
      </c>
      <c r="N150" s="29">
        <f>+N149/N143</f>
        <v>2.4124021164734787E-2</v>
      </c>
      <c r="O150" s="45"/>
      <c r="P150" s="4"/>
      <c r="Q150" s="45"/>
      <c r="R150" s="45"/>
      <c r="S150" s="4"/>
      <c r="T150" s="45"/>
      <c r="U150" s="4"/>
      <c r="V150" s="29">
        <f>+V149/V143</f>
        <v>2.4397386887001698E-2</v>
      </c>
      <c r="W150" s="29">
        <f>+W149/W143</f>
        <v>0</v>
      </c>
      <c r="X150" s="157"/>
      <c r="Z150" s="4"/>
      <c r="AB150" s="32"/>
      <c r="AC150" s="4"/>
      <c r="AD150" s="29">
        <f>+AD149/AD143</f>
        <v>2.3544862034745238E-2</v>
      </c>
      <c r="AE150" s="29">
        <f>+AE149/AE143</f>
        <v>2.7988873939973579E-2</v>
      </c>
      <c r="AF150" s="45"/>
      <c r="AH150" s="4"/>
      <c r="AJ150" s="32"/>
      <c r="AK150" s="4"/>
      <c r="AL150" s="29">
        <f>+AL149/AL143</f>
        <v>2.4397386887001698E-2</v>
      </c>
      <c r="AM150" s="29">
        <f>+AM149/AM143</f>
        <v>2.8853112109760787E-2</v>
      </c>
      <c r="AN150" s="157"/>
      <c r="AP150" s="4"/>
      <c r="AR150" s="32"/>
      <c r="AS150" s="4"/>
      <c r="AT150" s="29" t="e">
        <f>+AT149/AT143</f>
        <v>#DIV/0!</v>
      </c>
      <c r="AU150" s="29" t="e">
        <f>+AU149/AU143</f>
        <v>#DIV/0!</v>
      </c>
      <c r="AV150" s="167"/>
      <c r="AX150" s="4"/>
      <c r="AZ150" s="32"/>
      <c r="BA150" s="4"/>
    </row>
    <row r="152" spans="1:53" x14ac:dyDescent="0.2">
      <c r="A152" s="16" t="str">
        <f>+$A$8</f>
        <v>Acute_DIV1</v>
      </c>
      <c r="B152" s="15">
        <f>+$B$8</f>
        <v>127</v>
      </c>
      <c r="C152" s="14" t="s">
        <v>200</v>
      </c>
      <c r="D152" s="14" t="s">
        <v>201</v>
      </c>
      <c r="E152" s="15">
        <f>_xll.OneStreamExcelAddIn.XFFunctions.XFGetCell("True","Consol", $B152,"Tot_Entity","USD",E$2,E$3,E$4,$C152,"TopFlow","Top","Top","Tot_Los","TOT_Dept_WO_Addbacks","Tot_FC",$A152,"Top5","Top6","Reported","Top8")</f>
        <v>0</v>
      </c>
      <c r="F152" s="15">
        <f>_xll.OneStreamExcelAddIn.XFFunctions.XFGetCell("True","Consol", $B152,"Tot_Entity","Aggregated",F$2,F$3,F$4,$C152,"TopFlow","Top","Top","Tot_Los","TOT_Dept_WO_Addbacks","TOP3",$A152,"Top5","Top6","Reported","Top8")</f>
        <v>0</v>
      </c>
      <c r="G152" s="21">
        <f>+F152-E152</f>
        <v>0</v>
      </c>
      <c r="M152" s="15">
        <f>_xll.OneStreamExcelAddIn.XFFunctions.XFGetCell("True","Consol", $B152,"Tot_Entity","USD",M$2,M$3,M$4,$C152,"TopFlow","Top","Top","Tot_Los","TOT_Dept_WO_Addbacks","Tot_FC",$A152,"Top5","Top6","Reported","Top8")</f>
        <v>0</v>
      </c>
      <c r="N152" s="15">
        <f>_xll.OneStreamExcelAddIn.XFFunctions.XFGetCell("True","Consol", $B152,"Tot_Entity","USD",N$2,N$3,N$4,$C152,"TopFlow","Top","Top","Tot_Los","TOT_Dept_WO_Addbacks","Tot_FC",$A152,"Top5","Top6","Reported","Top8")</f>
        <v>0</v>
      </c>
      <c r="O152" s="21">
        <f>+N152-M152</f>
        <v>0</v>
      </c>
      <c r="Q152" s="21"/>
      <c r="R152" s="21"/>
      <c r="T152" s="21"/>
      <c r="V152" s="15">
        <f>_xll.OneStreamExcelAddIn.XFFunctions.XFGetCell("True","Consol", $B152,"Tot_Entity","USD",V$2,V$3,V$4,$C152,"TopFlow","Top","Top","Tot_Los","TOT_Dept_WO_Addbacks","Tot_FC",$A152,"Top5","Top6","Reported","Top8")</f>
        <v>62812.68</v>
      </c>
      <c r="W152" s="15">
        <f>_xll.OneStreamExcelAddIn.XFFunctions.XFGetCell("True","Consol", $B152,"Tot_Entity","Aggregated",W$2,W$3,W$4,$C152,"TopFlow","Top","Top","Tot_Los","TOT_Dept_WO_Addbacks","TOP3",$A152,"Top5","Top6","Reported","Top8")</f>
        <v>0</v>
      </c>
      <c r="X152" s="21">
        <f>+W152-V152</f>
        <v>-62812.68</v>
      </c>
      <c r="AD152" s="15">
        <f>_xll.OneStreamExcelAddIn.XFFunctions.XFGetCell("True","Consol", $B152,"Tot_Entity","USD",AD$2,AD$3,AD$4,$C152,"TopFlow","Top","Top","Tot_Los","TOT_Dept_WO_Addbacks","Tot_FC",$A152,"Top5","Top6","Reported","Top8")</f>
        <v>0</v>
      </c>
      <c r="AE152" s="15">
        <f>_xll.OneStreamExcelAddIn.XFFunctions.XFGetCell("True","Consol", $B152,"Tot_Entity","USD",AE$2,AE$3,AE$4,$C152,"TopFlow","Top","Top","Tot_Los","TOT_Dept_WO_Addbacks","Tot_FC",$A152,"Top5","Top6","Reported","Top8")</f>
        <v>0</v>
      </c>
      <c r="AF152" s="21">
        <f>+AE152-AD152</f>
        <v>0</v>
      </c>
      <c r="AL152" s="15">
        <f>_xll.OneStreamExcelAddIn.XFFunctions.XFGetCell("True","Consol", $B152,"Tot_Entity","USD",AL$2,AL$3,AL$4,$C152,"TopFlow","Top","Top","Tot_Los","TOT_Dept_WO_Addbacks","Tot_FC",$A152,"Top5","Top6","Reported","Top8")</f>
        <v>62812.68</v>
      </c>
      <c r="AM152" s="15">
        <f>_xll.OneStreamExcelAddIn.XFFunctions.XFGetCell("True","Consol", $B152,"Tot_Entity","USD",AM$2,AM$3,AM$4,$C152,"TopFlow","Top","Top","Tot_Los","TOT_Dept_WO_Addbacks","Tot_FC",$A152,"Top5","Top6","Reported","Top8")</f>
        <v>37085.74</v>
      </c>
      <c r="AN152" s="21">
        <f>+AM152-AL152</f>
        <v>-25726.940000000002</v>
      </c>
      <c r="AT152" s="15">
        <f>_xll.OneStreamExcelAddIn.XFFunctions.XFGetCell("True","Consol", $B152,"Tot_Entity","USD",AT$2,AT$3,AT$4,$C152,"TopFlow","Top","Top","Tot_Los","TOT_Dept_WO_Addbacks","Tot_FC",$A152,"Top5","Top6","Reported","Top8")</f>
        <v>0</v>
      </c>
      <c r="AU152" s="15">
        <f>_xll.OneStreamExcelAddIn.XFFunctions.XFGetCell("True","Consol", $B152,"Tot_Entity","USD",AU$2,AU$3,AU$4,$C152,"TopFlow","Top","Top","Tot_Los","TOT_Dept_WO_Addbacks","Tot_FC",$A152,"Top5","Top6","Reported","Top8")</f>
        <v>0</v>
      </c>
      <c r="AV152" s="162">
        <f>+AU152-AT152</f>
        <v>0</v>
      </c>
    </row>
    <row r="153" spans="1:53" x14ac:dyDescent="0.2">
      <c r="A153" s="16" t="str">
        <f>+$A$8</f>
        <v>Acute_DIV1</v>
      </c>
      <c r="B153" s="15">
        <f>+$B$8</f>
        <v>127</v>
      </c>
      <c r="C153" s="14" t="s">
        <v>202</v>
      </c>
      <c r="D153" s="14" t="s">
        <v>203</v>
      </c>
      <c r="E153" s="15">
        <f>_xll.OneStreamExcelAddIn.XFFunctions.XFGetCell("True","Consol", $B153,"Tot_Entity","USD",E$2,E$3,E$4,$C153,"TopFlow","Top","Top","Tot_Los","TOT_Dept_WO_Addbacks","Tot_FC",$A153,"Top5","Top6","Reported","Top8")</f>
        <v>65571.86</v>
      </c>
      <c r="F153" s="15">
        <f>_xll.OneStreamExcelAddIn.XFFunctions.XFGetCell("True","Consol", $B153,"Tot_Entity","Aggregated",F$2,F$3,F$4,$C153,"TopFlow","Top","Top","Tot_Los","TOT_Dept_WO_Addbacks","TOP3",$A153,"Top5","Top6","Reported","Top8")</f>
        <v>40284.244815532998</v>
      </c>
      <c r="G153" s="21">
        <f>+F153-E153</f>
        <v>-25287.615184467002</v>
      </c>
      <c r="M153" s="15">
        <f>_xll.OneStreamExcelAddIn.XFFunctions.XFGetCell("True","Consol", $B153,"Tot_Entity","USD",M$2,M$3,M$4,$C153,"TopFlow","Top","Top","Tot_Los","TOT_Dept_WO_Addbacks","Tot_FC",$A153,"Top5","Top6","Reported","Top8")</f>
        <v>65571.86</v>
      </c>
      <c r="N153" s="15">
        <f>_xll.OneStreamExcelAddIn.XFFunctions.XFGetCell("True","Consol", $B153,"Tot_Entity","USD",N$2,N$3,N$4,$C153,"TopFlow","Top","Top","Tot_Los","TOT_Dept_WO_Addbacks","Tot_FC",$A153,"Top5","Top6","Reported","Top8")</f>
        <v>65543.22</v>
      </c>
      <c r="O153" s="21">
        <f>+N153-M153</f>
        <v>-28.639999999999418</v>
      </c>
      <c r="Q153" s="21"/>
      <c r="R153" s="21"/>
      <c r="T153" s="21"/>
      <c r="V153" s="15">
        <f>_xll.OneStreamExcelAddIn.XFFunctions.XFGetCell("True","Consol", $B153,"Tot_Entity","USD",V$2,V$3,V$4,$C153,"TopFlow","Top","Top","Tot_Los","TOT_Dept_WO_Addbacks","Tot_FC",$A153,"Top5","Top6","Reported","Top8")</f>
        <v>364895.57</v>
      </c>
      <c r="W153" s="15">
        <f>_xll.OneStreamExcelAddIn.XFFunctions.XFGetCell("True","Consol", $B153,"Tot_Entity","Aggregated",W$2,W$3,W$4,$C153,"TopFlow","Top","Top","Tot_Los","TOT_Dept_WO_Addbacks","TOP3",$A153,"Top5","Top6","Reported","Top8")</f>
        <v>301980.49786991801</v>
      </c>
      <c r="X153" s="21">
        <f>+W153-V153</f>
        <v>-62915.072130082001</v>
      </c>
      <c r="AD153" s="15">
        <f>_xll.OneStreamExcelAddIn.XFFunctions.XFGetCell("True","Consol", $B153,"Tot_Entity","USD",AD$2,AD$3,AD$4,$C153,"TopFlow","Top","Top","Tot_Los","TOT_Dept_WO_Addbacks","Tot_FC",$A153,"Top5","Top6","Reported","Top8")</f>
        <v>65571.86</v>
      </c>
      <c r="AE153" s="15">
        <f>_xll.OneStreamExcelAddIn.XFFunctions.XFGetCell("True","Consol", $B153,"Tot_Entity","USD",AE$2,AE$3,AE$4,$C153,"TopFlow","Top","Top","Tot_Los","TOT_Dept_WO_Addbacks","Tot_FC",$A153,"Top5","Top6","Reported","Top8")</f>
        <v>57057.34</v>
      </c>
      <c r="AF153" s="21">
        <f>+AE153-AD153</f>
        <v>-8514.5200000000041</v>
      </c>
      <c r="AL153" s="15">
        <f>_xll.OneStreamExcelAddIn.XFFunctions.XFGetCell("True","Consol", $B153,"Tot_Entity","USD",AL$2,AL$3,AL$4,$C153,"TopFlow","Top","Top","Tot_Los","TOT_Dept_WO_Addbacks","Tot_FC",$A153,"Top5","Top6","Reported","Top8")</f>
        <v>364895.57</v>
      </c>
      <c r="AM153" s="15">
        <f>_xll.OneStreamExcelAddIn.XFFunctions.XFGetCell("True","Consol", $B153,"Tot_Entity","USD",AM$2,AM$3,AM$4,$C153,"TopFlow","Top","Top","Tot_Los","TOT_Dept_WO_Addbacks","Tot_FC",$A153,"Top5","Top6","Reported","Top8")</f>
        <v>282511.94</v>
      </c>
      <c r="AN153" s="21">
        <f>+AM153-AL153</f>
        <v>-82383.63</v>
      </c>
      <c r="AT153" s="15">
        <f>_xll.OneStreamExcelAddIn.XFFunctions.XFGetCell("True","Consol", $B153,"Tot_Entity","USD",AT$2,AT$3,AT$4,$C153,"TopFlow","Top","Top","Tot_Los","TOT_Dept_WO_Addbacks","Tot_FC",$A153,"Top5","Top6","Reported","Top8")</f>
        <v>0</v>
      </c>
      <c r="AU153" s="15">
        <f>_xll.OneStreamExcelAddIn.XFFunctions.XFGetCell("True","Consol", $B153,"Tot_Entity","USD",AU$2,AU$3,AU$4,$C153,"TopFlow","Top","Top","Tot_Los","TOT_Dept_WO_Addbacks","Tot_FC",$A153,"Top5","Top6","Reported","Top8")</f>
        <v>0</v>
      </c>
      <c r="AV153" s="162">
        <f>+AU153-AT153</f>
        <v>0</v>
      </c>
    </row>
    <row r="154" spans="1:53" x14ac:dyDescent="0.2">
      <c r="A154" s="16" t="str">
        <f>+$A$8</f>
        <v>Acute_DIV1</v>
      </c>
      <c r="B154" s="15">
        <f>+$B$8</f>
        <v>127</v>
      </c>
      <c r="C154" s="14" t="s">
        <v>204</v>
      </c>
      <c r="D154" s="14" t="s">
        <v>205</v>
      </c>
      <c r="E154" s="15">
        <f>_xll.OneStreamExcelAddIn.XFFunctions.XFGetCell("True","Consol", $B154,"Tot_Entity","USD",E$2,E$3,E$4,$C154,"TopFlow","Top","Top","Tot_Los","TOT_Dept_WO_Addbacks","Tot_FC",$A154,"Top5","Top6","Reported","Top8")</f>
        <v>14208.56</v>
      </c>
      <c r="F154" s="15">
        <f>_xll.OneStreamExcelAddIn.XFFunctions.XFGetCell("True","Consol", $B154,"Tot_Entity","Aggregated",F$2,F$3,F$4,$C154,"TopFlow","Top","Top","Tot_Los","TOT_Dept_WO_Addbacks","TOP3",$A154,"Top5","Top6","Reported","Top8")</f>
        <v>21861.1525</v>
      </c>
      <c r="G154" s="21">
        <f>+F154-E154</f>
        <v>7652.5925000000007</v>
      </c>
      <c r="M154" s="15">
        <f>_xll.OneStreamExcelAddIn.XFFunctions.XFGetCell("True","Consol", $B154,"Tot_Entity","USD",M$2,M$3,M$4,$C154,"TopFlow","Top","Top","Tot_Los","TOT_Dept_WO_Addbacks","Tot_FC",$A154,"Top5","Top6","Reported","Top8")</f>
        <v>14208.56</v>
      </c>
      <c r="N154" s="15">
        <f>_xll.OneStreamExcelAddIn.XFFunctions.XFGetCell("True","Consol", $B154,"Tot_Entity","USD",N$2,N$3,N$4,$C154,"TopFlow","Top","Top","Tot_Los","TOT_Dept_WO_Addbacks","Tot_FC",$A154,"Top5","Top6","Reported","Top8")</f>
        <v>22600.62</v>
      </c>
      <c r="O154" s="21">
        <f>+N154-M154</f>
        <v>8392.06</v>
      </c>
      <c r="Q154" s="21"/>
      <c r="R154" s="21"/>
      <c r="T154" s="21"/>
      <c r="V154" s="15">
        <f>_xll.OneStreamExcelAddIn.XFFunctions.XFGetCell("True","Consol", $B154,"Tot_Entity","USD",V$2,V$3,V$4,$C154,"TopFlow","Top","Top","Tot_Los","TOT_Dept_WO_Addbacks","Tot_FC",$A154,"Top5","Top6","Reported","Top8")</f>
        <v>114281.71</v>
      </c>
      <c r="W154" s="15">
        <f>_xll.OneStreamExcelAddIn.XFFunctions.XFGetCell("True","Consol", $B154,"Tot_Entity","Aggregated",W$2,W$3,W$4,$C154,"TopFlow","Top","Top","Tot_Los","TOT_Dept_WO_Addbacks","TOP3",$A154,"Top5","Top6","Reported","Top8")</f>
        <v>87444.61</v>
      </c>
      <c r="X154" s="21">
        <f>+W154-V154</f>
        <v>-26837.100000000006</v>
      </c>
      <c r="AD154" s="15">
        <f>_xll.OneStreamExcelAddIn.XFFunctions.XFGetCell("True","Consol", $B154,"Tot_Entity","USD",AD$2,AD$3,AD$4,$C154,"TopFlow","Top","Top","Tot_Los","TOT_Dept_WO_Addbacks","Tot_FC",$A154,"Top5","Top6","Reported","Top8")</f>
        <v>14208.56</v>
      </c>
      <c r="AE154" s="15">
        <f>_xll.OneStreamExcelAddIn.XFFunctions.XFGetCell("True","Consol", $B154,"Tot_Entity","USD",AE$2,AE$3,AE$4,$C154,"TopFlow","Top","Top","Tot_Los","TOT_Dept_WO_Addbacks","Tot_FC",$A154,"Top5","Top6","Reported","Top8")</f>
        <v>29105.53</v>
      </c>
      <c r="AF154" s="21">
        <f>+AE154-AD154</f>
        <v>14896.97</v>
      </c>
      <c r="AL154" s="15">
        <f>_xll.OneStreamExcelAddIn.XFFunctions.XFGetCell("True","Consol", $B154,"Tot_Entity","USD",AL$2,AL$3,AL$4,$C154,"TopFlow","Top","Top","Tot_Los","TOT_Dept_WO_Addbacks","Tot_FC",$A154,"Top5","Top6","Reported","Top8")</f>
        <v>114281.71</v>
      </c>
      <c r="AM154" s="15">
        <f>_xll.OneStreamExcelAddIn.XFFunctions.XFGetCell("True","Consol", $B154,"Tot_Entity","USD",AM$2,AM$3,AM$4,$C154,"TopFlow","Top","Top","Tot_Los","TOT_Dept_WO_Addbacks","Tot_FC",$A154,"Top5","Top6","Reported","Top8")</f>
        <v>138900.42000000001</v>
      </c>
      <c r="AN154" s="21">
        <f>+AM154-AL154</f>
        <v>24618.710000000006</v>
      </c>
      <c r="AT154" s="15">
        <f>_xll.OneStreamExcelAddIn.XFFunctions.XFGetCell("True","Consol", $B154,"Tot_Entity","USD",AT$2,AT$3,AT$4,$C154,"TopFlow","Top","Top","Tot_Los","TOT_Dept_WO_Addbacks","Tot_FC",$A154,"Top5","Top6","Reported","Top8")</f>
        <v>0</v>
      </c>
      <c r="AU154" s="15">
        <f>_xll.OneStreamExcelAddIn.XFFunctions.XFGetCell("True","Consol", $B154,"Tot_Entity","USD",AU$2,AU$3,AU$4,$C154,"TopFlow","Top","Top","Tot_Los","TOT_Dept_WO_Addbacks","Tot_FC",$A154,"Top5","Top6","Reported","Top8")</f>
        <v>10999.0725</v>
      </c>
      <c r="AV154" s="162">
        <f>+AU154-AT154</f>
        <v>10999.0725</v>
      </c>
    </row>
    <row r="155" spans="1:53" x14ac:dyDescent="0.2">
      <c r="A155" s="16" t="str">
        <f>+$A$8</f>
        <v>Acute_DIV1</v>
      </c>
      <c r="B155" s="15">
        <f>+$B$8</f>
        <v>127</v>
      </c>
      <c r="C155" s="14" t="s">
        <v>206</v>
      </c>
      <c r="D155" s="14" t="s">
        <v>207</v>
      </c>
      <c r="E155" s="15">
        <f>_xll.OneStreamExcelAddIn.XFFunctions.XFGetCell("True","Consol", $B155,"Tot_Entity","USD",E$2,E$3,E$4,$C155,"TopFlow","Top","Top","Tot_Los","TOT_Dept_WO_Addbacks","Tot_FC",$A155,"Top5","Top6","Reported","Top8")</f>
        <v>0</v>
      </c>
      <c r="F155" s="15">
        <f>_xll.OneStreamExcelAddIn.XFFunctions.XFGetCell("True","Consol", $B155,"Tot_Entity","Aggregated",F$2,F$3,F$4,$C155,"TopFlow","Top","Top","Tot_Los","TOT_Dept_WO_Addbacks","TOP3",$A155,"Top5","Top6","Reported","Top8")</f>
        <v>0</v>
      </c>
      <c r="G155" s="21">
        <f>+F155-E155</f>
        <v>0</v>
      </c>
      <c r="M155" s="15">
        <f>_xll.OneStreamExcelAddIn.XFFunctions.XFGetCell("True","Consol", $B155,"Tot_Entity","USD",M$2,M$3,M$4,$C155,"TopFlow","Top","Top","Tot_Los","TOT_Dept_WO_Addbacks","Tot_FC",$A155,"Top5","Top6","Reported","Top8")</f>
        <v>0</v>
      </c>
      <c r="N155" s="15">
        <f>_xll.OneStreamExcelAddIn.XFFunctions.XFGetCell("True","Consol", $B155,"Tot_Entity","USD",N$2,N$3,N$4,$C155,"TopFlow","Top","Top","Tot_Los","TOT_Dept_WO_Addbacks","Tot_FC",$A155,"Top5","Top6","Reported","Top8")</f>
        <v>0</v>
      </c>
      <c r="O155" s="21">
        <f>+N155-M155</f>
        <v>0</v>
      </c>
      <c r="Q155" s="21"/>
      <c r="R155" s="21"/>
      <c r="T155" s="21"/>
      <c r="V155" s="15">
        <f>_xll.OneStreamExcelAddIn.XFFunctions.XFGetCell("True","Consol", $B155,"Tot_Entity","USD",V$2,V$3,V$4,$C155,"TopFlow","Top","Top","Tot_Los","TOT_Dept_WO_Addbacks","Tot_FC",$A155,"Top5","Top6","Reported","Top8")</f>
        <v>0</v>
      </c>
      <c r="W155" s="15">
        <f>_xll.OneStreamExcelAddIn.XFFunctions.XFGetCell("True","Consol", $B155,"Tot_Entity","Aggregated",W$2,W$3,W$4,$C155,"TopFlow","Top","Top","Tot_Los","TOT_Dept_WO_Addbacks","TOP3",$A155,"Top5","Top6","Reported","Top8")</f>
        <v>0</v>
      </c>
      <c r="X155" s="21">
        <f>+W155-V155</f>
        <v>0</v>
      </c>
      <c r="AD155" s="15">
        <f>_xll.OneStreamExcelAddIn.XFFunctions.XFGetCell("True","Consol", $B155,"Tot_Entity","USD",AD$2,AD$3,AD$4,$C155,"TopFlow","Top","Top","Tot_Los","TOT_Dept_WO_Addbacks","Tot_FC",$A155,"Top5","Top6","Reported","Top8")</f>
        <v>0</v>
      </c>
      <c r="AE155" s="15">
        <f>_xll.OneStreamExcelAddIn.XFFunctions.XFGetCell("True","Consol", $B155,"Tot_Entity","USD",AE$2,AE$3,AE$4,$C155,"TopFlow","Top","Top","Tot_Los","TOT_Dept_WO_Addbacks","Tot_FC",$A155,"Top5","Top6","Reported","Top8")</f>
        <v>0</v>
      </c>
      <c r="AF155" s="21">
        <f>+AE155-AD155</f>
        <v>0</v>
      </c>
      <c r="AL155" s="15">
        <f>_xll.OneStreamExcelAddIn.XFFunctions.XFGetCell("True","Consol", $B155,"Tot_Entity","USD",AL$2,AL$3,AL$4,$C155,"TopFlow","Top","Top","Tot_Los","TOT_Dept_WO_Addbacks","Tot_FC",$A155,"Top5","Top6","Reported","Top8")</f>
        <v>0</v>
      </c>
      <c r="AM155" s="15">
        <f>_xll.OneStreamExcelAddIn.XFFunctions.XFGetCell("True","Consol", $B155,"Tot_Entity","USD",AM$2,AM$3,AM$4,$C155,"TopFlow","Top","Top","Tot_Los","TOT_Dept_WO_Addbacks","Tot_FC",$A155,"Top5","Top6","Reported","Top8")</f>
        <v>0</v>
      </c>
      <c r="AN155" s="21">
        <f>+AM155-AL155</f>
        <v>0</v>
      </c>
      <c r="AT155" s="15">
        <f>_xll.OneStreamExcelAddIn.XFFunctions.XFGetCell("True","Consol", $B155,"Tot_Entity","USD",AT$2,AT$3,AT$4,$C155,"TopFlow","Top","Top","Tot_Los","TOT_Dept_WO_Addbacks","Tot_FC",$A155,"Top5","Top6","Reported","Top8")</f>
        <v>0</v>
      </c>
      <c r="AU155" s="15">
        <f>_xll.OneStreamExcelAddIn.XFFunctions.XFGetCell("True","Consol", $B155,"Tot_Entity","USD",AU$2,AU$3,AU$4,$C155,"TopFlow","Top","Top","Tot_Los","TOT_Dept_WO_Addbacks","Tot_FC",$A155,"Top5","Top6","Reported","Top8")</f>
        <v>0</v>
      </c>
      <c r="AV155" s="162">
        <f>+AU155-AT155</f>
        <v>0</v>
      </c>
    </row>
    <row r="157" spans="1:53" x14ac:dyDescent="0.2">
      <c r="A157" s="16" t="str">
        <f>+$A$8</f>
        <v>Acute_DIV1</v>
      </c>
      <c r="B157" s="15">
        <f>+$B$8</f>
        <v>127</v>
      </c>
      <c r="C157" s="14" t="s">
        <v>208</v>
      </c>
      <c r="D157" s="14" t="s">
        <v>209</v>
      </c>
      <c r="E157" s="15">
        <f>_xll.OneStreamExcelAddIn.XFFunctions.XFGetCell("True","Consol", $B157,"Tot_Entity","USD",E$2,E$3,E$4,$C157,"TopFlow","Top","Top","Tot_Los","TOT_Dept_WO_Addbacks","Tot_FC",$A157,"Top5","Top6","Reported","Top8")</f>
        <v>201705.82</v>
      </c>
      <c r="F157" s="15">
        <f>_xll.OneStreamExcelAddIn.XFFunctions.XFGetCell("True","Consol", $B157,"Tot_Entity","Aggregated",F$2,F$3,F$4,$C157,"TopFlow","Top","Top","Tot_Los","TOT_Dept_WO_Addbacks","TOP3",$A157,"Top5","Top6","Reported","Top8")</f>
        <v>207499.11496898701</v>
      </c>
      <c r="G157" s="21">
        <f>+F157-E157</f>
        <v>5793.2949689870002</v>
      </c>
      <c r="M157" s="15">
        <f>_xll.OneStreamExcelAddIn.XFFunctions.XFGetCell("True","Consol", $B157,"Tot_Entity","USD",M$2,M$3,M$4,$C157,"TopFlow","Top","Top","Tot_Los","TOT_Dept_WO_Addbacks","Tot_FC",$A157,"Top5","Top6","Reported","Top8")</f>
        <v>201705.82</v>
      </c>
      <c r="N157" s="15">
        <f>_xll.OneStreamExcelAddIn.XFFunctions.XFGetCell("True","Consol", $B157,"Tot_Entity","USD",N$2,N$3,N$4,$C157,"TopFlow","Top","Top","Tot_Los","TOT_Dept_WO_Addbacks","Tot_FC",$A157,"Top5","Top6","Reported","Top8")</f>
        <v>205541.5</v>
      </c>
      <c r="O157" s="21">
        <f>+N157-M157</f>
        <v>3835.679999999993</v>
      </c>
      <c r="Q157" s="21"/>
      <c r="R157" s="21"/>
      <c r="T157" s="21"/>
      <c r="V157" s="15">
        <f>_xll.OneStreamExcelAddIn.XFFunctions.XFGetCell("True","Consol", $B157,"Tot_Entity","USD",V$2,V$3,V$4,$C157,"TopFlow","Top","Top","Tot_Los","TOT_Dept_WO_Addbacks","Tot_FC",$A157,"Top5","Top6","Reported","Top8")</f>
        <v>856459.99</v>
      </c>
      <c r="W157" s="15">
        <f>_xll.OneStreamExcelAddIn.XFFunctions.XFGetCell("True","Consol", $B157,"Tot_Entity","Aggregated",W$2,W$3,W$4,$C157,"TopFlow","Top","Top","Tot_Los","TOT_Dept_WO_Addbacks","TOP3",$A157,"Top5","Top6","Reported","Top8")</f>
        <v>872933.21007751999</v>
      </c>
      <c r="X157" s="21">
        <f>+W157-V157</f>
        <v>16473.220077520004</v>
      </c>
      <c r="AD157" s="15">
        <f>_xll.OneStreamExcelAddIn.XFFunctions.XFGetCell("True","Consol", $B157,"Tot_Entity","USD",AD$2,AD$3,AD$4,$C157,"TopFlow","Top","Top","Tot_Los","TOT_Dept_WO_Addbacks","Tot_FC",$A157,"Top5","Top6","Reported","Top8")</f>
        <v>201705.82</v>
      </c>
      <c r="AE157" s="15">
        <f>_xll.OneStreamExcelAddIn.XFFunctions.XFGetCell("True","Consol", $B157,"Tot_Entity","USD",AE$2,AE$3,AE$4,$C157,"TopFlow","Top","Top","Tot_Los","TOT_Dept_WO_Addbacks","Tot_FC",$A157,"Top5","Top6","Reported","Top8")</f>
        <v>216660.24</v>
      </c>
      <c r="AF157" s="21">
        <f>+AE157-AD157</f>
        <v>14954.419999999984</v>
      </c>
      <c r="AL157" s="15">
        <f>_xll.OneStreamExcelAddIn.XFFunctions.XFGetCell("True","Consol", $B157,"Tot_Entity","USD",AL$2,AL$3,AL$4,$C157,"TopFlow","Top","Top","Tot_Los","TOT_Dept_WO_Addbacks","Tot_FC",$A157,"Top5","Top6","Reported","Top8")</f>
        <v>856459.99</v>
      </c>
      <c r="AM157" s="15">
        <f>_xll.OneStreamExcelAddIn.XFFunctions.XFGetCell("True","Consol", $B157,"Tot_Entity","USD",AM$2,AM$3,AM$4,$C157,"TopFlow","Top","Top","Tot_Los","TOT_Dept_WO_Addbacks","Tot_FC",$A157,"Top5","Top6","Reported","Top8")</f>
        <v>855538.65</v>
      </c>
      <c r="AN157" s="21">
        <f>+AM157-AL157</f>
        <v>-921.3399999999674</v>
      </c>
      <c r="AT157" s="15">
        <f>_xll.OneStreamExcelAddIn.XFFunctions.XFGetCell("True","Consol", $B157,"Tot_Entity","USD",AT$2,AT$3,AT$4,$C157,"TopFlow","Top","Top","Tot_Los","TOT_Dept_WO_Addbacks","Tot_FC",$A157,"Top5","Top6","Reported","Top8")</f>
        <v>0</v>
      </c>
      <c r="AU157" s="15">
        <f>_xll.OneStreamExcelAddIn.XFFunctions.XFGetCell("True","Consol", $B157,"Tot_Entity","USD",AU$2,AU$3,AU$4,$C157,"TopFlow","Top","Top","Tot_Los","TOT_Dept_WO_Addbacks","Tot_FC",$A157,"Top5","Top6","Reported","Top8")</f>
        <v>108051.910841658</v>
      </c>
      <c r="AV157" s="162">
        <f>+AU157-AT157</f>
        <v>108051.910841658</v>
      </c>
    </row>
    <row r="158" spans="1:53" s="31" customFormat="1" x14ac:dyDescent="0.2">
      <c r="B158" s="32"/>
      <c r="C158" s="33"/>
      <c r="D158" s="27" t="s">
        <v>210</v>
      </c>
      <c r="E158" s="29">
        <f>+E157/SUM(E143,E146,E149)</f>
        <v>0.18209728893036972</v>
      </c>
      <c r="F158" s="201">
        <f>+F157/SUM(F143,F146,F149)</f>
        <v>0.16636450028237004</v>
      </c>
      <c r="G158" s="45"/>
      <c r="I158" s="4"/>
      <c r="L158" s="4"/>
      <c r="M158" s="29">
        <f>+M157/SUM(M143,M146,M149)</f>
        <v>0.18209728893036972</v>
      </c>
      <c r="N158" s="29">
        <f>+N157/SUM(N143,N146,N149)</f>
        <v>0.18236536587390068</v>
      </c>
      <c r="O158" s="45"/>
      <c r="P158" s="4"/>
      <c r="Q158" s="45"/>
      <c r="R158" s="45"/>
      <c r="S158" s="4"/>
      <c r="T158" s="45"/>
      <c r="U158" s="4"/>
      <c r="V158" s="29">
        <f>+V157/SUM(V143,V146,V149)</f>
        <v>0.20031262625371976</v>
      </c>
      <c r="W158" s="29">
        <f>+W157/SUM(W143,W146,W149)</f>
        <v>0.19186269790749461</v>
      </c>
      <c r="X158" s="157"/>
      <c r="Z158" s="4"/>
      <c r="AB158" s="32"/>
      <c r="AC158" s="4"/>
      <c r="AD158" s="29">
        <f>+AD157/SUM(AD143,AD146,AD149)</f>
        <v>0.18209728893036972</v>
      </c>
      <c r="AE158" s="29">
        <f>+AE157/SUM(AE143,AE146,AE149)</f>
        <v>0.17183398279649181</v>
      </c>
      <c r="AF158" s="45"/>
      <c r="AH158" s="4"/>
      <c r="AJ158" s="32"/>
      <c r="AK158" s="4"/>
      <c r="AL158" s="29">
        <f>+AL157/SUM(AL143,AL146,AL149)</f>
        <v>0.20031262625371976</v>
      </c>
      <c r="AM158" s="29">
        <f>+AM157/SUM(AM143,AM146,AM149)</f>
        <v>0.17670567641577967</v>
      </c>
      <c r="AN158" s="157"/>
      <c r="AP158" s="4"/>
      <c r="AR158" s="32"/>
      <c r="AS158" s="4"/>
      <c r="AT158" s="29" t="e">
        <f>+AT157/SUM(AT143,AT146,AT149)</f>
        <v>#DIV/0!</v>
      </c>
      <c r="AU158" s="29" t="e">
        <f>+AU157/SUM(AU143,AU146,AU149)</f>
        <v>#DIV/0!</v>
      </c>
      <c r="AV158" s="167"/>
      <c r="AX158" s="4"/>
      <c r="AZ158" s="32"/>
      <c r="BA158" s="4"/>
    </row>
    <row r="159" spans="1:53" s="31" customFormat="1" x14ac:dyDescent="0.2">
      <c r="B159" s="32"/>
      <c r="C159" s="33"/>
      <c r="D159" s="27" t="s">
        <v>211</v>
      </c>
      <c r="E159" s="28">
        <f>+E157/E129</f>
        <v>1058.2925957466505</v>
      </c>
      <c r="F159" s="28">
        <f>+F157/F129</f>
        <v>965.25443923139665</v>
      </c>
      <c r="G159" s="42"/>
      <c r="H159" s="38">
        <f>+(F159-E159)/F159</f>
        <v>-9.6387183248115738E-2</v>
      </c>
      <c r="I159" s="4"/>
      <c r="L159" s="4"/>
      <c r="M159" s="28">
        <f>+M157/M129</f>
        <v>1058.2925957466505</v>
      </c>
      <c r="N159" s="28">
        <f>+N157/N129</f>
        <v>1070.7678313471747</v>
      </c>
      <c r="O159" s="42"/>
      <c r="P159" s="4"/>
      <c r="Q159" s="42"/>
      <c r="R159" s="42"/>
      <c r="S159" s="4"/>
      <c r="T159" s="42"/>
      <c r="U159" s="4"/>
      <c r="V159" s="28">
        <f>+V157/V129</f>
        <v>4383.8270350356806</v>
      </c>
      <c r="W159" s="28">
        <f>+W157/W129</f>
        <v>4239.4392891132711</v>
      </c>
      <c r="X159" s="42"/>
      <c r="Y159" s="38">
        <f>+(W159-V159)/W159</f>
        <v>-3.4058217626371512E-2</v>
      </c>
      <c r="Z159" s="4"/>
      <c r="AB159" s="32"/>
      <c r="AC159" s="4"/>
      <c r="AD159" s="28">
        <f>+AD157/AD129</f>
        <v>1058.2925957466505</v>
      </c>
      <c r="AE159" s="28">
        <f>+AE157/AE129</f>
        <v>939.33853709194375</v>
      </c>
      <c r="AF159" s="42"/>
      <c r="AG159" s="38">
        <f>+(AE159-AD159)/AE159</f>
        <v>-0.12663598261705655</v>
      </c>
      <c r="AH159" s="4"/>
      <c r="AJ159" s="32"/>
      <c r="AK159" s="4"/>
      <c r="AL159" s="28">
        <f>+AL157/AL129</f>
        <v>4383.8270350356806</v>
      </c>
      <c r="AM159" s="28">
        <f>+AM157/AM129</f>
        <v>3707.5037554324526</v>
      </c>
      <c r="AN159" s="42"/>
      <c r="AO159" s="38">
        <f>+(AM159-AL159)/AM159</f>
        <v>-0.18242011990203363</v>
      </c>
      <c r="AP159" s="4"/>
      <c r="AR159" s="32"/>
      <c r="AS159" s="4"/>
      <c r="AT159" s="28" t="e">
        <f>+AT157/AT129</f>
        <v>#DIV/0!</v>
      </c>
      <c r="AU159" s="28" t="e">
        <f>+AU157/AU129</f>
        <v>#DIV/0!</v>
      </c>
      <c r="AV159" s="165"/>
      <c r="AW159" s="38" t="e">
        <f>+(AU159-AT159)/AU159</f>
        <v>#DIV/0!</v>
      </c>
      <c r="AX159" s="4"/>
      <c r="AZ159" s="32"/>
      <c r="BA159" s="4"/>
    </row>
    <row r="161" spans="1:53" x14ac:dyDescent="0.2">
      <c r="A161" s="16" t="str">
        <f>+$A$8</f>
        <v>Acute_DIV1</v>
      </c>
      <c r="B161" s="15">
        <f>+$B$8</f>
        <v>127</v>
      </c>
      <c r="C161" s="14" t="s">
        <v>212</v>
      </c>
      <c r="D161" s="14" t="s">
        <v>213</v>
      </c>
      <c r="E161" s="15">
        <f>_xll.OneStreamExcelAddIn.XFFunctions.XFGetCell("True","Consol", $B161,"Tot_Entity","USD",E$2,E$3,E$4,$C161,"TopFlow","Top","Top","Tot_Los","TOT_Dept_WO_Addbacks","Tot_FC",$A161,"Top5","Top6","Reported","Top8")</f>
        <v>0</v>
      </c>
      <c r="F161" s="15">
        <f>_xll.OneStreamExcelAddIn.XFFunctions.XFGetCell("True","Consol", $B161,"Tot_Entity","Aggregated",F$2,F$3,F$4,$C161,"TopFlow","Top","Top","Tot_Los","TOT_Dept_WO_Addbacks","TOP3",$A161,"Top5","Top6","Reported","Top8")</f>
        <v>0</v>
      </c>
      <c r="G161" s="21">
        <f>+F161-E161</f>
        <v>0</v>
      </c>
      <c r="M161" s="15">
        <f>_xll.OneStreamExcelAddIn.XFFunctions.XFGetCell("True","Consol", $B161,"Tot_Entity","USD",M$2,M$3,M$4,$C161,"TopFlow","Top","Top","Tot_Los","TOT_Dept_WO_Addbacks","Tot_FC",$A161,"Top5","Top6","Reported","Top8")</f>
        <v>0</v>
      </c>
      <c r="N161" s="15">
        <f>_xll.OneStreamExcelAddIn.XFFunctions.XFGetCell("True","Consol", $B161,"Tot_Entity","USD",N$2,N$3,N$4,$C161,"TopFlow","Top","Top","Tot_Los","TOT_Dept_WO_Addbacks","Tot_FC",$A161,"Top5","Top6","Reported","Top8")</f>
        <v>0</v>
      </c>
      <c r="O161" s="21">
        <f>+N161-M161</f>
        <v>0</v>
      </c>
      <c r="Q161" s="21"/>
      <c r="R161" s="21"/>
      <c r="T161" s="21"/>
      <c r="V161" s="15">
        <f>_xll.OneStreamExcelAddIn.XFFunctions.XFGetCell("True","Consol", $B161,"Tot_Entity","USD",V$2,V$3,V$4,$C161,"TopFlow","Top","Top","Tot_Los","TOT_Dept_WO_Addbacks","Tot_FC",$A161,"Top5","Top6","Reported","Top8")</f>
        <v>0.2</v>
      </c>
      <c r="W161" s="15">
        <f>_xll.OneStreamExcelAddIn.XFFunctions.XFGetCell("True","Consol", $B161,"Tot_Entity","Aggregated",W$2,W$3,W$4,$C161,"TopFlow","Top","Top","Tot_Los","TOT_Dept_WO_Addbacks","TOP3",$A161,"Top5","Top6","Reported","Top8")</f>
        <v>0</v>
      </c>
      <c r="X161" s="21">
        <f>+W161-V161</f>
        <v>-0.2</v>
      </c>
      <c r="AD161" s="15">
        <f>_xll.OneStreamExcelAddIn.XFFunctions.XFGetCell("True","Consol", $B161,"Tot_Entity","USD",AD$2,AD$3,AD$4,$C161,"TopFlow","Top","Top","Tot_Los","TOT_Dept_WO_Addbacks","Tot_FC",$A161,"Top5","Top6","Reported","Top8")</f>
        <v>0</v>
      </c>
      <c r="AE161" s="15">
        <f>_xll.OneStreamExcelAddIn.XFFunctions.XFGetCell("True","Consol", $B161,"Tot_Entity","USD",AE$2,AE$3,AE$4,$C161,"TopFlow","Top","Top","Tot_Los","TOT_Dept_WO_Addbacks","Tot_FC",$A161,"Top5","Top6","Reported","Top8")</f>
        <v>0</v>
      </c>
      <c r="AF161" s="21">
        <f>+AE161-AD161</f>
        <v>0</v>
      </c>
      <c r="AL161" s="15">
        <f>_xll.OneStreamExcelAddIn.XFFunctions.XFGetCell("True","Consol", $B161,"Tot_Entity","USD",AL$2,AL$3,AL$4,$C161,"TopFlow","Top","Top","Tot_Los","TOT_Dept_WO_Addbacks","Tot_FC",$A161,"Top5","Top6","Reported","Top8")</f>
        <v>0.2</v>
      </c>
      <c r="AM161" s="15">
        <f>_xll.OneStreamExcelAddIn.XFFunctions.XFGetCell("True","Consol", $B161,"Tot_Entity","USD",AM$2,AM$3,AM$4,$C161,"TopFlow","Top","Top","Tot_Los","TOT_Dept_WO_Addbacks","Tot_FC",$A161,"Top5","Top6","Reported","Top8")</f>
        <v>-2040.51</v>
      </c>
      <c r="AN161" s="21">
        <f>+AM161-AL161</f>
        <v>-2040.71</v>
      </c>
      <c r="AT161" s="15">
        <f>_xll.OneStreamExcelAddIn.XFFunctions.XFGetCell("True","Consol", $B161,"Tot_Entity","USD",AT$2,AT$3,AT$4,$C161,"TopFlow","Top","Top","Tot_Los","TOT_Dept_WO_Addbacks","Tot_FC",$A161,"Top5","Top6","Reported","Top8")</f>
        <v>0</v>
      </c>
      <c r="AU161" s="15">
        <f>_xll.OneStreamExcelAddIn.XFFunctions.XFGetCell("True","Consol", $B161,"Tot_Entity","USD",AU$2,AU$3,AU$4,$C161,"TopFlow","Top","Top","Tot_Los","TOT_Dept_WO_Addbacks","Tot_FC",$A161,"Top5","Top6","Reported","Top8")</f>
        <v>0</v>
      </c>
      <c r="AV161" s="162">
        <f>+AU161-AT161</f>
        <v>0</v>
      </c>
    </row>
    <row r="162" spans="1:53" s="31" customFormat="1" x14ac:dyDescent="0.2">
      <c r="B162" s="32"/>
      <c r="C162" s="33"/>
      <c r="D162" s="27" t="s">
        <v>214</v>
      </c>
      <c r="E162" s="35">
        <f>+IF(E133=0,0,E161/E133)</f>
        <v>0</v>
      </c>
      <c r="F162" s="35">
        <f>+IF(F133=0,0,F161/F133)</f>
        <v>0</v>
      </c>
      <c r="G162" s="44"/>
      <c r="I162" s="4"/>
      <c r="L162" s="4"/>
      <c r="M162" s="35">
        <f>+IF(M133=0,0,M161/M133)</f>
        <v>0</v>
      </c>
      <c r="N162" s="35">
        <f>+IF(N133=0,0,N161/N133)</f>
        <v>0</v>
      </c>
      <c r="O162" s="44"/>
      <c r="P162" s="4"/>
      <c r="Q162" s="44"/>
      <c r="R162" s="44"/>
      <c r="S162" s="4"/>
      <c r="T162" s="44"/>
      <c r="U162" s="4"/>
      <c r="V162" s="35">
        <f>+IF(V133=0,0,V161/V133)</f>
        <v>0</v>
      </c>
      <c r="W162" s="35">
        <f>+IF(W133=0,0,W161/W133)</f>
        <v>0</v>
      </c>
      <c r="X162" s="156"/>
      <c r="Z162" s="4"/>
      <c r="AB162" s="32"/>
      <c r="AC162" s="4"/>
      <c r="AD162" s="35">
        <f>+IF(AD133=0,0,AD161/AD133)</f>
        <v>0</v>
      </c>
      <c r="AE162" s="35">
        <f>+IF(AE133=0,0,AE161/AE133)</f>
        <v>0</v>
      </c>
      <c r="AF162" s="44"/>
      <c r="AH162" s="4"/>
      <c r="AJ162" s="32"/>
      <c r="AK162" s="4"/>
      <c r="AL162" s="35">
        <f>+IF(AL133=0,0,AL161/AL133)</f>
        <v>0</v>
      </c>
      <c r="AM162" s="35">
        <f>+IF(AM133=0,0,AM161/AM133)</f>
        <v>0</v>
      </c>
      <c r="AN162" s="156"/>
      <c r="AP162" s="4"/>
      <c r="AR162" s="32"/>
      <c r="AS162" s="4"/>
      <c r="AT162" s="35">
        <f>+IF(AT133=0,0,AT161/AT133)</f>
        <v>0</v>
      </c>
      <c r="AU162" s="35">
        <f>+IF(AU133=0,0,AU161/AU133)</f>
        <v>0</v>
      </c>
      <c r="AV162" s="166"/>
      <c r="AX162" s="4"/>
      <c r="AZ162" s="32"/>
      <c r="BA162" s="4"/>
    </row>
    <row r="164" spans="1:53" s="4" customFormat="1" ht="5.0999999999999996" customHeight="1" x14ac:dyDescent="0.2">
      <c r="B164" s="22"/>
      <c r="C164" s="23"/>
      <c r="D164" s="23"/>
      <c r="X164" s="155"/>
      <c r="AB164" s="22"/>
      <c r="AJ164" s="22"/>
      <c r="AN164" s="155"/>
      <c r="AR164" s="22"/>
      <c r="AV164" s="164"/>
      <c r="AZ164" s="22"/>
    </row>
    <row r="166" spans="1:53" x14ac:dyDescent="0.2">
      <c r="A166" s="16" t="str">
        <f>+$A$8</f>
        <v>Acute_DIV1</v>
      </c>
      <c r="B166" s="15">
        <f>+$B$8</f>
        <v>127</v>
      </c>
      <c r="C166" s="14" t="s">
        <v>215</v>
      </c>
      <c r="D166" s="14" t="s">
        <v>84</v>
      </c>
      <c r="E166" s="15">
        <f>_xll.OneStreamExcelAddIn.XFFunctions.XFGetCell("True","Consol", $B166,"Tot_Entity","USD",E$2,E$3,E$4,$C166,"TopFlow","Top","Top","Tot_Los","TOT_Dept_WO_Addbacks","Tot_FC",$A166,"Top5","Top6","Reported","Top8")</f>
        <v>87018.35</v>
      </c>
      <c r="F166" s="15">
        <f>_xll.OneStreamExcelAddIn.XFFunctions.XFGetCell("True","Consol", $B166,"Tot_Entity","Aggregated",F$2,F$3,F$4,$C166,"TopFlow","Top","Top","Tot_Los","TOT_Dept_WO_Addbacks","TOP3",$A166,"Top5","Top6","Reported","Top8")</f>
        <v>105597.27889602901</v>
      </c>
      <c r="G166" s="21">
        <f>+F166-E166</f>
        <v>18578.928896029</v>
      </c>
      <c r="M166" s="15">
        <f>_xll.OneStreamExcelAddIn.XFFunctions.XFGetCell("True","Consol", $B166,"Tot_Entity","USD",M$2,M$3,M$4,$C166,"TopFlow","Top","Top","Tot_Los","TOT_Dept_WO_Addbacks","Tot_FC",$A166,"Top5","Top6","Reported","Top8")</f>
        <v>87018.35</v>
      </c>
      <c r="N166" s="15">
        <f>_xll.OneStreamExcelAddIn.XFFunctions.XFGetCell("True","Consol", $B166,"Tot_Entity","USD",N$2,N$3,N$4,$C166,"TopFlow","Top","Top","Tot_Los","TOT_Dept_WO_Addbacks","Tot_FC",$A166,"Top5","Top6","Reported","Top8")</f>
        <v>73808.649999999994</v>
      </c>
      <c r="O166" s="21">
        <f>+N166-M166</f>
        <v>-13209.700000000012</v>
      </c>
      <c r="Q166" s="21"/>
      <c r="R166" s="21"/>
      <c r="T166" s="21"/>
      <c r="V166" s="15">
        <f>_xll.OneStreamExcelAddIn.XFFunctions.XFGetCell("True","Consol", $B166,"Tot_Entity","USD",V$2,V$3,V$4,$C166,"TopFlow","Top","Top","Tot_Los","TOT_Dept_WO_Addbacks","Tot_FC",$A166,"Top5","Top6","Reported","Top8")</f>
        <v>307311.67</v>
      </c>
      <c r="W166" s="15">
        <f>_xll.OneStreamExcelAddIn.XFFunctions.XFGetCell("True","Consol", $B166,"Tot_Entity","Aggregated",W$2,W$3,W$4,$C166,"TopFlow","Top","Top","Tot_Los","TOT_Dept_WO_Addbacks","TOP3",$A166,"Top5","Top6","Reported","Top8")</f>
        <v>411666.88830472197</v>
      </c>
      <c r="X166" s="21">
        <f>+W166-V166</f>
        <v>104355.21830472199</v>
      </c>
      <c r="AD166" s="15">
        <f>_xll.OneStreamExcelAddIn.XFFunctions.XFGetCell("True","Consol", $B166,"Tot_Entity","USD",AD$2,AD$3,AD$4,$C166,"TopFlow","Top","Top","Tot_Los","TOT_Dept_WO_Addbacks","Tot_FC",$A166,"Top5","Top6","Reported","Top8")</f>
        <v>87018.35</v>
      </c>
      <c r="AE166" s="15">
        <f>_xll.OneStreamExcelAddIn.XFFunctions.XFGetCell("True","Consol", $B166,"Tot_Entity","USD",AE$2,AE$3,AE$4,$C166,"TopFlow","Top","Top","Tot_Los","TOT_Dept_WO_Addbacks","Tot_FC",$A166,"Top5","Top6","Reported","Top8")</f>
        <v>93424.61</v>
      </c>
      <c r="AF166" s="21">
        <f>+AE166-AD166</f>
        <v>6406.2599999999948</v>
      </c>
      <c r="AL166" s="15">
        <f>_xll.OneStreamExcelAddIn.XFFunctions.XFGetCell("True","Consol", $B166,"Tot_Entity","USD",AL$2,AL$3,AL$4,$C166,"TopFlow","Top","Top","Tot_Los","TOT_Dept_WO_Addbacks","Tot_FC",$A166,"Top5","Top6","Reported","Top8")</f>
        <v>307311.67</v>
      </c>
      <c r="AM166" s="15">
        <f>_xll.OneStreamExcelAddIn.XFFunctions.XFGetCell("True","Consol", $B166,"Tot_Entity","USD",AM$2,AM$3,AM$4,$C166,"TopFlow","Top","Top","Tot_Los","TOT_Dept_WO_Addbacks","Tot_FC",$A166,"Top5","Top6","Reported","Top8")</f>
        <v>310875.89</v>
      </c>
      <c r="AN166" s="21">
        <f>+AM166-AL166</f>
        <v>3564.2200000000303</v>
      </c>
      <c r="AT166" s="15">
        <f>_xll.OneStreamExcelAddIn.XFFunctions.XFGetCell("True","Consol", $B166,"Tot_Entity","USD",AT$2,AT$3,AT$4,$C166,"TopFlow","Top","Top","Tot_Los","TOT_Dept_WO_Addbacks","Tot_FC",$A166,"Top5","Top6","Reported","Top8")</f>
        <v>0</v>
      </c>
      <c r="AU166" s="15">
        <f>_xll.OneStreamExcelAddIn.XFFunctions.XFGetCell("True","Consol", $B166,"Tot_Entity","USD",AU$2,AU$3,AU$4,$C166,"TopFlow","Top","Top","Tot_Los","TOT_Dept_WO_Addbacks","Tot_FC",$A166,"Top5","Top6","Reported","Top8")</f>
        <v>105597.27889602901</v>
      </c>
      <c r="AV166" s="162">
        <f>+AU166-AT166</f>
        <v>105597.27889602901</v>
      </c>
    </row>
    <row r="167" spans="1:53" s="31" customFormat="1" x14ac:dyDescent="0.2">
      <c r="B167" s="32"/>
      <c r="C167" s="33"/>
      <c r="D167" s="27" t="s">
        <v>216</v>
      </c>
      <c r="E167" s="35">
        <f>+E166/E29</f>
        <v>34.058062622309201</v>
      </c>
      <c r="F167" s="35">
        <f>+F166/F29</f>
        <v>36.973837148469542</v>
      </c>
      <c r="G167" s="44">
        <f>+F167-E167</f>
        <v>2.9157745261603409</v>
      </c>
      <c r="I167" s="4"/>
      <c r="L167" s="4"/>
      <c r="M167" s="35">
        <f>+M166/M29</f>
        <v>34.058062622309201</v>
      </c>
      <c r="N167" s="35">
        <f>+N166/N29</f>
        <v>26.266423487544483</v>
      </c>
      <c r="O167" s="44">
        <f>+N167-M167</f>
        <v>-7.7916391347647185</v>
      </c>
      <c r="P167" s="4"/>
      <c r="Q167" s="44"/>
      <c r="R167" s="44"/>
      <c r="S167" s="4"/>
      <c r="T167" s="44"/>
      <c r="U167" s="4"/>
      <c r="V167" s="35">
        <f>+V166/V29</f>
        <v>29.600430552879985</v>
      </c>
      <c r="W167" s="35">
        <f>+W166/W29</f>
        <v>37.043722514597498</v>
      </c>
      <c r="X167" s="156">
        <f>+W167-V167</f>
        <v>7.4432919617175131</v>
      </c>
      <c r="Z167" s="4"/>
      <c r="AB167" s="32"/>
      <c r="AC167" s="4"/>
      <c r="AD167" s="35">
        <f>+AD166/AD29</f>
        <v>34.058062622309201</v>
      </c>
      <c r="AE167" s="35">
        <f>+AE166/AE29</f>
        <v>27.567013868397758</v>
      </c>
      <c r="AF167" s="44">
        <f>+AE167-AD167</f>
        <v>-6.4910487539114428</v>
      </c>
      <c r="AH167" s="4"/>
      <c r="AJ167" s="32"/>
      <c r="AK167" s="4"/>
      <c r="AL167" s="35">
        <f>+AL166/AL29</f>
        <v>29.600430552879985</v>
      </c>
      <c r="AM167" s="35">
        <f>+AM166/AM29</f>
        <v>23.750927496370998</v>
      </c>
      <c r="AN167" s="156">
        <f>+AM167-AL167</f>
        <v>-5.8495030565089863</v>
      </c>
      <c r="AP167" s="4"/>
      <c r="AR167" s="32"/>
      <c r="AS167" s="4"/>
      <c r="AT167" s="35" t="e">
        <f>+AT166/AT29</f>
        <v>#DIV/0!</v>
      </c>
      <c r="AU167" s="35">
        <f>+AU166/AU29</f>
        <v>36.973837148469542</v>
      </c>
      <c r="AV167" s="166" t="e">
        <f>+AU167-AT167</f>
        <v>#DIV/0!</v>
      </c>
      <c r="AX167" s="4"/>
      <c r="AZ167" s="32"/>
      <c r="BA167" s="4"/>
    </row>
    <row r="169" spans="1:53" x14ac:dyDescent="0.2">
      <c r="A169" s="16" t="str">
        <f>+$A$8</f>
        <v>Acute_DIV1</v>
      </c>
      <c r="B169" s="15">
        <f>+$B$8</f>
        <v>127</v>
      </c>
      <c r="C169" s="14" t="s">
        <v>217</v>
      </c>
      <c r="D169" s="14" t="s">
        <v>218</v>
      </c>
      <c r="E169" s="15">
        <f>_xll.OneStreamExcelAddIn.XFFunctions.XFGetCell("True","Consol", $B169,"Tot_Entity","USD",E$2,E$3,E$4,$C169,"TopFlow","Top","Top","Tot_Los","TOT_Dept_WO_Addbacks","Tot_FC",$A169,"Top5","Top6","Reported","Top8")</f>
        <v>44565.73</v>
      </c>
      <c r="F169" s="15">
        <f>_xll.OneStreamExcelAddIn.XFFunctions.XFGetCell("True","Consol", $B169,"Tot_Entity","Aggregated",F$2,F$3,F$4,$C169,"TopFlow","Top","Top","Tot_Los","TOT_Dept_WO_Addbacks","TOP3",$A169,"Top5","Top6","Reported","Top8")</f>
        <v>50165.599999999999</v>
      </c>
      <c r="G169" s="21">
        <f t="shared" ref="G169:G175" si="68">+F169-E169</f>
        <v>5599.8699999999953</v>
      </c>
      <c r="J169" s="1" t="s">
        <v>143</v>
      </c>
      <c r="K169" s="2">
        <f>-G29*F167</f>
        <v>11129.124981689332</v>
      </c>
      <c r="M169" s="15">
        <f>_xll.OneStreamExcelAddIn.XFFunctions.XFGetCell("True","Consol", $B169,"Tot_Entity","USD",M$2,M$3,M$4,$C169,"TopFlow","Top","Top","Tot_Los","TOT_Dept_WO_Addbacks","Tot_FC",$A169,"Top5","Top6","Reported","Top8")</f>
        <v>44565.73</v>
      </c>
      <c r="N169" s="15">
        <f>_xll.OneStreamExcelAddIn.XFFunctions.XFGetCell("True","Consol", $B169,"Tot_Entity","USD",N$2,N$3,N$4,$C169,"TopFlow","Top","Top","Tot_Los","TOT_Dept_WO_Addbacks","Tot_FC",$A169,"Top5","Top6","Reported","Top8")</f>
        <v>50954.02</v>
      </c>
      <c r="O169" s="21">
        <f t="shared" ref="O169:O175" si="69">+N169-M169</f>
        <v>6388.2899999999936</v>
      </c>
      <c r="Q169" s="1" t="s">
        <v>143</v>
      </c>
      <c r="R169" s="2">
        <f>-O29*N167</f>
        <v>6697.9379893238429</v>
      </c>
      <c r="T169" s="21"/>
      <c r="V169" s="15">
        <f>_xll.OneStreamExcelAddIn.XFFunctions.XFGetCell("True","Consol", $B169,"Tot_Entity","USD",V$2,V$3,V$4,$C169,"TopFlow","Top","Top","Tot_Los","TOT_Dept_WO_Addbacks","Tot_FC",$A169,"Top5","Top6","Reported","Top8")</f>
        <v>181571.74</v>
      </c>
      <c r="W169" s="15">
        <f>_xll.OneStreamExcelAddIn.XFFunctions.XFGetCell("True","Consol", $B169,"Tot_Entity","Aggregated",W$2,W$3,W$4,$C169,"TopFlow","Top","Top","Tot_Los","TOT_Dept_WO_Addbacks","TOP3",$A169,"Top5","Top6","Reported","Top8")</f>
        <v>195204.56</v>
      </c>
      <c r="X169" s="21">
        <f t="shared" ref="X169:X175" si="70">+W169-V169</f>
        <v>13632.820000000007</v>
      </c>
      <c r="AA169" s="1" t="s">
        <v>143</v>
      </c>
      <c r="AB169" s="2">
        <f>-X29*W167</f>
        <v>27078.961158170772</v>
      </c>
      <c r="AD169" s="15">
        <f>_xll.OneStreamExcelAddIn.XFFunctions.XFGetCell("True","Consol", $B169,"Tot_Entity","USD",AD$2,AD$3,AD$4,$C169,"TopFlow","Top","Top","Tot_Los","TOT_Dept_WO_Addbacks","Tot_FC",$A169,"Top5","Top6","Reported","Top8")</f>
        <v>44565.73</v>
      </c>
      <c r="AE169" s="15">
        <f>_xll.OneStreamExcelAddIn.XFFunctions.XFGetCell("True","Consol", $B169,"Tot_Entity","USD",AE$2,AE$3,AE$4,$C169,"TopFlow","Top","Top","Tot_Los","TOT_Dept_WO_Addbacks","Tot_FC",$A169,"Top5","Top6","Reported","Top8")</f>
        <v>53631.09</v>
      </c>
      <c r="AF169" s="21">
        <f t="shared" ref="AF169:AF175" si="71">+AE169-AD169</f>
        <v>9065.3599999999933</v>
      </c>
      <c r="AI169" s="1" t="s">
        <v>143</v>
      </c>
      <c r="AJ169" s="2">
        <f>-AF29*AE167</f>
        <v>22990.889566243732</v>
      </c>
      <c r="AL169" s="15">
        <f>_xll.OneStreamExcelAddIn.XFFunctions.XFGetCell("True","Consol", $B169,"Tot_Entity","USD",AL$2,AL$3,AL$4,$C169,"TopFlow","Top","Top","Tot_Los","TOT_Dept_WO_Addbacks","Tot_FC",$A169,"Top5","Top6","Reported","Top8")</f>
        <v>181571.74</v>
      </c>
      <c r="AM169" s="15">
        <f>_xll.OneStreamExcelAddIn.XFFunctions.XFGetCell("True","Consol", $B169,"Tot_Entity","USD",AM$2,AM$3,AM$4,$C169,"TopFlow","Top","Top","Tot_Los","TOT_Dept_WO_Addbacks","Tot_FC",$A169,"Top5","Top6","Reported","Top8")</f>
        <v>182867.48</v>
      </c>
      <c r="AN169" s="21">
        <f t="shared" ref="AN169:AN175" si="72">+AM169-AL169</f>
        <v>1295.7400000000198</v>
      </c>
      <c r="AQ169" s="1" t="s">
        <v>143</v>
      </c>
      <c r="AR169" s="2">
        <f>-AN29*AM167</f>
        <v>64293.760732676295</v>
      </c>
      <c r="AT169" s="15">
        <f>_xll.OneStreamExcelAddIn.XFFunctions.XFGetCell("True","Consol", $B169,"Tot_Entity","USD",AT$2,AT$3,AT$4,$C169,"TopFlow","Top","Top","Tot_Los","TOT_Dept_WO_Addbacks","Tot_FC",$A169,"Top5","Top6","Reported","Top8")</f>
        <v>0</v>
      </c>
      <c r="AU169" s="15">
        <f>_xll.OneStreamExcelAddIn.XFFunctions.XFGetCell("True","Consol", $B169,"Tot_Entity","USD",AU$2,AU$3,AU$4,$C169,"TopFlow","Top","Top","Tot_Los","TOT_Dept_WO_Addbacks","Tot_FC",$A169,"Top5","Top6","Reported","Top8")</f>
        <v>50165.599999999999</v>
      </c>
      <c r="AV169" s="162">
        <f t="shared" ref="AV169:AV175" si="73">+AU169-AT169</f>
        <v>50165.599999999999</v>
      </c>
      <c r="AY169" s="1" t="s">
        <v>143</v>
      </c>
      <c r="AZ169" s="2">
        <f>-AV29*AU167</f>
        <v>105597.27889602901</v>
      </c>
    </row>
    <row r="170" spans="1:53" x14ac:dyDescent="0.2">
      <c r="A170" s="16" t="str">
        <f t="shared" ref="A170:A175" si="74">+$A$8</f>
        <v>Acute_DIV1</v>
      </c>
      <c r="B170" s="15">
        <f t="shared" ref="B170:B175" si="75">+$B$8</f>
        <v>127</v>
      </c>
      <c r="C170" s="14" t="s">
        <v>219</v>
      </c>
      <c r="D170" s="14" t="s">
        <v>220</v>
      </c>
      <c r="E170" s="15">
        <f>_xll.OneStreamExcelAddIn.XFFunctions.XFGetCell("True","Consol", $B170,"Tot_Entity","USD",E$2,E$3,E$4,$C170,"TopFlow","Top","Top","Tot_Los","TOT_Dept_WO_Addbacks","Tot_FC",$A170,"Top5","Top6","Reported","Top8")</f>
        <v>0</v>
      </c>
      <c r="F170" s="15">
        <f>_xll.OneStreamExcelAddIn.XFFunctions.XFGetCell("True","Consol", $B170,"Tot_Entity","Aggregated",F$2,F$3,F$4,$C170,"TopFlow","Top","Top","Tot_Los","TOT_Dept_WO_Addbacks","TOP3",$A170,"Top5","Top6","Reported","Top8")</f>
        <v>1933.5384684390001</v>
      </c>
      <c r="G170" s="21">
        <f t="shared" si="68"/>
        <v>1933.5384684390001</v>
      </c>
      <c r="J170" s="1" t="s">
        <v>146</v>
      </c>
      <c r="K170" s="2">
        <f>+G167*E29</f>
        <v>7449.8039143396709</v>
      </c>
      <c r="M170" s="15">
        <f>_xll.OneStreamExcelAddIn.XFFunctions.XFGetCell("True","Consol", $B170,"Tot_Entity","USD",M$2,M$3,M$4,$C170,"TopFlow","Top","Top","Tot_Los","TOT_Dept_WO_Addbacks","Tot_FC",$A170,"Top5","Top6","Reported","Top8")</f>
        <v>0</v>
      </c>
      <c r="N170" s="15">
        <f>_xll.OneStreamExcelAddIn.XFFunctions.XFGetCell("True","Consol", $B170,"Tot_Entity","USD",N$2,N$3,N$4,$C170,"TopFlow","Top","Top","Tot_Los","TOT_Dept_WO_Addbacks","Tot_FC",$A170,"Top5","Top6","Reported","Top8")</f>
        <v>2917.37</v>
      </c>
      <c r="O170" s="21">
        <f t="shared" si="69"/>
        <v>2917.37</v>
      </c>
      <c r="Q170" s="1" t="s">
        <v>146</v>
      </c>
      <c r="R170" s="2">
        <f>+O167*M29</f>
        <v>-19907.637989323855</v>
      </c>
      <c r="T170" s="21"/>
      <c r="V170" s="15">
        <f>_xll.OneStreamExcelAddIn.XFFunctions.XFGetCell("True","Consol", $B170,"Tot_Entity","USD",V$2,V$3,V$4,$C170,"TopFlow","Top","Top","Tot_Los","TOT_Dept_WO_Addbacks","Tot_FC",$A170,"Top5","Top6","Reported","Top8")</f>
        <v>3264.9</v>
      </c>
      <c r="W170" s="15">
        <f>_xll.OneStreamExcelAddIn.XFFunctions.XFGetCell("True","Consol", $B170,"Tot_Entity","Aggregated",W$2,W$3,W$4,$C170,"TopFlow","Top","Top","Tot_Los","TOT_Dept_WO_Addbacks","TOP3",$A170,"Top5","Top6","Reported","Top8")</f>
        <v>7552.2828632609999</v>
      </c>
      <c r="X170" s="21">
        <f t="shared" si="70"/>
        <v>4287.3828632610002</v>
      </c>
      <c r="AA170" s="1" t="s">
        <v>146</v>
      </c>
      <c r="AB170" s="2">
        <f>+X167*V29</f>
        <v>77276.257146551216</v>
      </c>
      <c r="AD170" s="15">
        <f>_xll.OneStreamExcelAddIn.XFFunctions.XFGetCell("True","Consol", $B170,"Tot_Entity","USD",AD$2,AD$3,AD$4,$C170,"TopFlow","Top","Top","Tot_Los","TOT_Dept_WO_Addbacks","Tot_FC",$A170,"Top5","Top6","Reported","Top8")</f>
        <v>0</v>
      </c>
      <c r="AE170" s="15">
        <f>_xll.OneStreamExcelAddIn.XFFunctions.XFGetCell("True","Consol", $B170,"Tot_Entity","USD",AE$2,AE$3,AE$4,$C170,"TopFlow","Top","Top","Tot_Los","TOT_Dept_WO_Addbacks","Tot_FC",$A170,"Top5","Top6","Reported","Top8")</f>
        <v>1520</v>
      </c>
      <c r="AF170" s="21">
        <f t="shared" si="71"/>
        <v>1520</v>
      </c>
      <c r="AI170" s="1" t="s">
        <v>146</v>
      </c>
      <c r="AJ170" s="2">
        <f>+AF167*AD29</f>
        <v>-16584.629566243737</v>
      </c>
      <c r="AL170" s="15">
        <f>_xll.OneStreamExcelAddIn.XFFunctions.XFGetCell("True","Consol", $B170,"Tot_Entity","USD",AL$2,AL$3,AL$4,$C170,"TopFlow","Top","Top","Tot_Los","TOT_Dept_WO_Addbacks","Tot_FC",$A170,"Top5","Top6","Reported","Top8")</f>
        <v>3264.9</v>
      </c>
      <c r="AM170" s="15">
        <f>_xll.OneStreamExcelAddIn.XFFunctions.XFGetCell("True","Consol", $B170,"Tot_Entity","USD",AM$2,AM$3,AM$4,$C170,"TopFlow","Top","Top","Tot_Los","TOT_Dept_WO_Addbacks","Tot_FC",$A170,"Top5","Top6","Reported","Top8")</f>
        <v>3291.66</v>
      </c>
      <c r="AN170" s="21">
        <f t="shared" si="72"/>
        <v>26.759999999999764</v>
      </c>
      <c r="AQ170" s="1" t="s">
        <v>146</v>
      </c>
      <c r="AR170" s="2">
        <f>+AN167*AL29</f>
        <v>-60729.540732676294</v>
      </c>
      <c r="AT170" s="15">
        <f>_xll.OneStreamExcelAddIn.XFFunctions.XFGetCell("True","Consol", $B170,"Tot_Entity","USD",AT$2,AT$3,AT$4,$C170,"TopFlow","Top","Top","Tot_Los","TOT_Dept_WO_Addbacks","Tot_FC",$A170,"Top5","Top6","Reported","Top8")</f>
        <v>0</v>
      </c>
      <c r="AU170" s="15">
        <f>_xll.OneStreamExcelAddIn.XFFunctions.XFGetCell("True","Consol", $B170,"Tot_Entity","USD",AU$2,AU$3,AU$4,$C170,"TopFlow","Top","Top","Tot_Los","TOT_Dept_WO_Addbacks","Tot_FC",$A170,"Top5","Top6","Reported","Top8")</f>
        <v>1933.5384684390001</v>
      </c>
      <c r="AV170" s="162">
        <f t="shared" si="73"/>
        <v>1933.5384684390001</v>
      </c>
      <c r="AY170" s="1" t="s">
        <v>146</v>
      </c>
      <c r="AZ170" s="2" t="e">
        <f>+AV167*AT29</f>
        <v>#DIV/0!</v>
      </c>
    </row>
    <row r="171" spans="1:53" x14ac:dyDescent="0.2">
      <c r="A171" s="16" t="str">
        <f t="shared" si="74"/>
        <v>Acute_DIV1</v>
      </c>
      <c r="B171" s="15">
        <f t="shared" si="75"/>
        <v>127</v>
      </c>
      <c r="C171" s="14" t="s">
        <v>221</v>
      </c>
      <c r="D171" s="14" t="s">
        <v>222</v>
      </c>
      <c r="E171" s="15">
        <f>_xll.OneStreamExcelAddIn.XFFunctions.XFGetCell("True","Consol", $B171,"Tot_Entity","USD",E$2,E$3,E$4,$C171,"TopFlow","Top","Top","Tot_Los","TOT_Dept_WO_Addbacks","Tot_FC",$A171,"Top5","Top6","Reported","Top8")</f>
        <v>9223.0499999999993</v>
      </c>
      <c r="F171" s="15">
        <f>_xll.OneStreamExcelAddIn.XFFunctions.XFGetCell("True","Consol", $B171,"Tot_Entity","Aggregated",F$2,F$3,F$4,$C171,"TopFlow","Top","Top","Tot_Los","TOT_Dept_WO_Addbacks","TOP3",$A171,"Top5","Top6","Reported","Top8")</f>
        <v>9510.48</v>
      </c>
      <c r="G171" s="21">
        <f t="shared" si="68"/>
        <v>287.43000000000029</v>
      </c>
      <c r="J171" s="1" t="s">
        <v>147</v>
      </c>
      <c r="K171" s="2">
        <f>SUM(K169:K170)</f>
        <v>18578.928896029003</v>
      </c>
      <c r="M171" s="15">
        <f>_xll.OneStreamExcelAddIn.XFFunctions.XFGetCell("True","Consol", $B171,"Tot_Entity","USD",M$2,M$3,M$4,$C171,"TopFlow","Top","Top","Tot_Los","TOT_Dept_WO_Addbacks","Tot_FC",$A171,"Top5","Top6","Reported","Top8")</f>
        <v>9223.0499999999993</v>
      </c>
      <c r="N171" s="15">
        <f>_xll.OneStreamExcelAddIn.XFFunctions.XFGetCell("True","Consol", $B171,"Tot_Entity","USD",N$2,N$3,N$4,$C171,"TopFlow","Top","Top","Tot_Los","TOT_Dept_WO_Addbacks","Tot_FC",$A171,"Top5","Top6","Reported","Top8")</f>
        <v>3532.06</v>
      </c>
      <c r="O171" s="21">
        <f t="shared" si="69"/>
        <v>-5690.99</v>
      </c>
      <c r="Q171" s="1" t="s">
        <v>147</v>
      </c>
      <c r="R171" s="2">
        <f>SUM(R169:R170)</f>
        <v>-13209.700000000012</v>
      </c>
      <c r="T171" s="21"/>
      <c r="V171" s="15">
        <f>_xll.OneStreamExcelAddIn.XFFunctions.XFGetCell("True","Consol", $B171,"Tot_Entity","USD",V$2,V$3,V$4,$C171,"TopFlow","Top","Top","Tot_Los","TOT_Dept_WO_Addbacks","Tot_FC",$A171,"Top5","Top6","Reported","Top8")</f>
        <v>28970.82</v>
      </c>
      <c r="W171" s="15">
        <f>_xll.OneStreamExcelAddIn.XFFunctions.XFGetCell("True","Consol", $B171,"Tot_Entity","Aggregated",W$2,W$3,W$4,$C171,"TopFlow","Top","Top","Tot_Los","TOT_Dept_WO_Addbacks","TOP3",$A171,"Top5","Top6","Reported","Top8")</f>
        <v>37016.28</v>
      </c>
      <c r="X171" s="21">
        <f t="shared" si="70"/>
        <v>8045.4599999999991</v>
      </c>
      <c r="AA171" s="1" t="s">
        <v>147</v>
      </c>
      <c r="AB171" s="2">
        <f>SUM(AB169:AB170)</f>
        <v>104355.21830472199</v>
      </c>
      <c r="AD171" s="15">
        <f>_xll.OneStreamExcelAddIn.XFFunctions.XFGetCell("True","Consol", $B171,"Tot_Entity","USD",AD$2,AD$3,AD$4,$C171,"TopFlow","Top","Top","Tot_Los","TOT_Dept_WO_Addbacks","Tot_FC",$A171,"Top5","Top6","Reported","Top8")</f>
        <v>9223.0499999999993</v>
      </c>
      <c r="AE171" s="15">
        <f>_xll.OneStreamExcelAddIn.XFFunctions.XFGetCell("True","Consol", $B171,"Tot_Entity","USD",AE$2,AE$3,AE$4,$C171,"TopFlow","Top","Top","Tot_Los","TOT_Dept_WO_Addbacks","Tot_FC",$A171,"Top5","Top6","Reported","Top8")</f>
        <v>3218.41</v>
      </c>
      <c r="AF171" s="21">
        <f t="shared" si="71"/>
        <v>-6004.6399999999994</v>
      </c>
      <c r="AI171" s="1" t="s">
        <v>147</v>
      </c>
      <c r="AJ171" s="2">
        <f>SUM(AJ169:AJ170)</f>
        <v>6406.2599999999948</v>
      </c>
      <c r="AL171" s="15">
        <f>_xll.OneStreamExcelAddIn.XFFunctions.XFGetCell("True","Consol", $B171,"Tot_Entity","USD",AL$2,AL$3,AL$4,$C171,"TopFlow","Top","Top","Tot_Los","TOT_Dept_WO_Addbacks","Tot_FC",$A171,"Top5","Top6","Reported","Top8")</f>
        <v>28970.82</v>
      </c>
      <c r="AM171" s="15">
        <f>_xll.OneStreamExcelAddIn.XFFunctions.XFGetCell("True","Consol", $B171,"Tot_Entity","USD",AM$2,AM$3,AM$4,$C171,"TopFlow","Top","Top","Tot_Los","TOT_Dept_WO_Addbacks","Tot_FC",$A171,"Top5","Top6","Reported","Top8")</f>
        <v>19203.84</v>
      </c>
      <c r="AN171" s="21">
        <f t="shared" si="72"/>
        <v>-9766.98</v>
      </c>
      <c r="AQ171" s="1" t="s">
        <v>147</v>
      </c>
      <c r="AR171" s="2">
        <f>SUM(AR169:AR170)</f>
        <v>3564.2200000000012</v>
      </c>
      <c r="AT171" s="15">
        <f>_xll.OneStreamExcelAddIn.XFFunctions.XFGetCell("True","Consol", $B171,"Tot_Entity","USD",AT$2,AT$3,AT$4,$C171,"TopFlow","Top","Top","Tot_Los","TOT_Dept_WO_Addbacks","Tot_FC",$A171,"Top5","Top6","Reported","Top8")</f>
        <v>0</v>
      </c>
      <c r="AU171" s="15">
        <f>_xll.OneStreamExcelAddIn.XFFunctions.XFGetCell("True","Consol", $B171,"Tot_Entity","USD",AU$2,AU$3,AU$4,$C171,"TopFlow","Top","Top","Tot_Los","TOT_Dept_WO_Addbacks","Tot_FC",$A171,"Top5","Top6","Reported","Top8")</f>
        <v>9510.48</v>
      </c>
      <c r="AV171" s="162">
        <f t="shared" si="73"/>
        <v>9510.48</v>
      </c>
      <c r="AY171" s="1" t="s">
        <v>147</v>
      </c>
      <c r="AZ171" s="2" t="e">
        <f>SUM(AZ169:AZ170)</f>
        <v>#DIV/0!</v>
      </c>
    </row>
    <row r="172" spans="1:53" x14ac:dyDescent="0.2">
      <c r="A172" s="16" t="str">
        <f t="shared" si="74"/>
        <v>Acute_DIV1</v>
      </c>
      <c r="B172" s="15">
        <f t="shared" si="75"/>
        <v>127</v>
      </c>
      <c r="C172" s="14" t="s">
        <v>223</v>
      </c>
      <c r="D172" s="14" t="s">
        <v>224</v>
      </c>
      <c r="E172" s="15">
        <f>_xll.OneStreamExcelAddIn.XFFunctions.XFGetCell("True","Consol", $B172,"Tot_Entity","USD",E$2,E$3,E$4,$C172,"TopFlow","Top","Top","Tot_Los","TOT_Dept_WO_Addbacks","Tot_FC",$A172,"Top5","Top6","Reported","Top8")</f>
        <v>5077.24</v>
      </c>
      <c r="F172" s="15">
        <f>_xll.OneStreamExcelAddIn.XFFunctions.XFGetCell("True","Consol", $B172,"Tot_Entity","Aggregated",F$2,F$3,F$4,$C172,"TopFlow","Top","Top","Tot_Los","TOT_Dept_WO_Addbacks","TOP3",$A172,"Top5","Top6","Reported","Top8")</f>
        <v>4174.9399999999996</v>
      </c>
      <c r="G172" s="21">
        <f t="shared" si="68"/>
        <v>-902.30000000000018</v>
      </c>
      <c r="M172" s="15">
        <f>_xll.OneStreamExcelAddIn.XFFunctions.XFGetCell("True","Consol", $B172,"Tot_Entity","USD",M$2,M$3,M$4,$C172,"TopFlow","Top","Top","Tot_Los","TOT_Dept_WO_Addbacks","Tot_FC",$A172,"Top5","Top6","Reported","Top8")</f>
        <v>5077.24</v>
      </c>
      <c r="N172" s="15">
        <f>_xll.OneStreamExcelAddIn.XFFunctions.XFGetCell("True","Consol", $B172,"Tot_Entity","USD",N$2,N$3,N$4,$C172,"TopFlow","Top","Top","Tot_Los","TOT_Dept_WO_Addbacks","Tot_FC",$A172,"Top5","Top6","Reported","Top8")</f>
        <v>3726.31</v>
      </c>
      <c r="O172" s="21">
        <f t="shared" si="69"/>
        <v>-1350.9299999999998</v>
      </c>
      <c r="Q172" s="21"/>
      <c r="R172" s="21"/>
      <c r="T172" s="21"/>
      <c r="V172" s="15">
        <f>_xll.OneStreamExcelAddIn.XFFunctions.XFGetCell("True","Consol", $B172,"Tot_Entity","USD",V$2,V$3,V$4,$C172,"TopFlow","Top","Top","Tot_Los","TOT_Dept_WO_Addbacks","Tot_FC",$A172,"Top5","Top6","Reported","Top8")</f>
        <v>20665.21</v>
      </c>
      <c r="W172" s="15">
        <f>_xll.OneStreamExcelAddIn.XFFunctions.XFGetCell("True","Consol", $B172,"Tot_Entity","Aggregated",W$2,W$3,W$4,$C172,"TopFlow","Top","Top","Tot_Los","TOT_Dept_WO_Addbacks","TOP3",$A172,"Top5","Top6","Reported","Top8")</f>
        <v>16307.06</v>
      </c>
      <c r="X172" s="21">
        <f t="shared" si="70"/>
        <v>-4358.1499999999996</v>
      </c>
      <c r="AD172" s="15">
        <f>_xll.OneStreamExcelAddIn.XFFunctions.XFGetCell("True","Consol", $B172,"Tot_Entity","USD",AD$2,AD$3,AD$4,$C172,"TopFlow","Top","Top","Tot_Los","TOT_Dept_WO_Addbacks","Tot_FC",$A172,"Top5","Top6","Reported","Top8")</f>
        <v>5077.24</v>
      </c>
      <c r="AE172" s="15">
        <f>_xll.OneStreamExcelAddIn.XFFunctions.XFGetCell("True","Consol", $B172,"Tot_Entity","USD",AE$2,AE$3,AE$4,$C172,"TopFlow","Top","Top","Tot_Los","TOT_Dept_WO_Addbacks","Tot_FC",$A172,"Top5","Top6","Reported","Top8")</f>
        <v>7650.12</v>
      </c>
      <c r="AF172" s="21">
        <f t="shared" si="71"/>
        <v>2572.88</v>
      </c>
      <c r="AL172" s="15">
        <f>_xll.OneStreamExcelAddIn.XFFunctions.XFGetCell("True","Consol", $B172,"Tot_Entity","USD",AL$2,AL$3,AL$4,$C172,"TopFlow","Top","Top","Tot_Los","TOT_Dept_WO_Addbacks","Tot_FC",$A172,"Top5","Top6","Reported","Top8")</f>
        <v>20665.21</v>
      </c>
      <c r="AM172" s="15">
        <f>_xll.OneStreamExcelAddIn.XFFunctions.XFGetCell("True","Consol", $B172,"Tot_Entity","USD",AM$2,AM$3,AM$4,$C172,"TopFlow","Top","Top","Tot_Los","TOT_Dept_WO_Addbacks","Tot_FC",$A172,"Top5","Top6","Reported","Top8")</f>
        <v>17567.18</v>
      </c>
      <c r="AN172" s="21">
        <f t="shared" si="72"/>
        <v>-3098.0299999999988</v>
      </c>
      <c r="AT172" s="15">
        <f>_xll.OneStreamExcelAddIn.XFFunctions.XFGetCell("True","Consol", $B172,"Tot_Entity","USD",AT$2,AT$3,AT$4,$C172,"TopFlow","Top","Top","Tot_Los","TOT_Dept_WO_Addbacks","Tot_FC",$A172,"Top5","Top6","Reported","Top8")</f>
        <v>0</v>
      </c>
      <c r="AU172" s="15">
        <f>_xll.OneStreamExcelAddIn.XFFunctions.XFGetCell("True","Consol", $B172,"Tot_Entity","USD",AU$2,AU$3,AU$4,$C172,"TopFlow","Top","Top","Tot_Los","TOT_Dept_WO_Addbacks","Tot_FC",$A172,"Top5","Top6","Reported","Top8")</f>
        <v>4174.9399999999996</v>
      </c>
      <c r="AV172" s="162">
        <f t="shared" si="73"/>
        <v>4174.9399999999996</v>
      </c>
    </row>
    <row r="173" spans="1:53" x14ac:dyDescent="0.2">
      <c r="A173" s="16" t="str">
        <f t="shared" si="74"/>
        <v>Acute_DIV1</v>
      </c>
      <c r="B173" s="15">
        <f t="shared" si="75"/>
        <v>127</v>
      </c>
      <c r="C173" s="14" t="s">
        <v>225</v>
      </c>
      <c r="D173" s="14" t="s">
        <v>226</v>
      </c>
      <c r="E173" s="15">
        <f>_xll.OneStreamExcelAddIn.XFFunctions.XFGetCell("True","Consol", $B173,"Tot_Entity","USD",E$2,E$3,E$4,$C173,"TopFlow","Top","Top","Tot_Los","TOT_Dept_WO_Addbacks","Tot_FC",$A173,"Top5","Top6","Reported","Top8")</f>
        <v>105.88</v>
      </c>
      <c r="F173" s="15">
        <f>_xll.OneStreamExcelAddIn.XFFunctions.XFGetCell("True","Consol", $B173,"Tot_Entity","Aggregated",F$2,F$3,F$4,$C173,"TopFlow","Top","Top","Tot_Los","TOT_Dept_WO_Addbacks","TOP3",$A173,"Top5","Top6","Reported","Top8")</f>
        <v>0</v>
      </c>
      <c r="G173" s="21">
        <f t="shared" si="68"/>
        <v>-105.88</v>
      </c>
      <c r="M173" s="15">
        <f>_xll.OneStreamExcelAddIn.XFFunctions.XFGetCell("True","Consol", $B173,"Tot_Entity","USD",M$2,M$3,M$4,$C173,"TopFlow","Top","Top","Tot_Los","TOT_Dept_WO_Addbacks","Tot_FC",$A173,"Top5","Top6","Reported","Top8")</f>
        <v>105.88</v>
      </c>
      <c r="N173" s="15">
        <f>_xll.OneStreamExcelAddIn.XFFunctions.XFGetCell("True","Consol", $B173,"Tot_Entity","USD",N$2,N$3,N$4,$C173,"TopFlow","Top","Top","Tot_Los","TOT_Dept_WO_Addbacks","Tot_FC",$A173,"Top5","Top6","Reported","Top8")</f>
        <v>169.27</v>
      </c>
      <c r="O173" s="21">
        <f t="shared" si="69"/>
        <v>63.390000000000015</v>
      </c>
      <c r="Q173" s="21"/>
      <c r="R173" s="21"/>
      <c r="T173" s="21"/>
      <c r="V173" s="15">
        <f>_xll.OneStreamExcelAddIn.XFFunctions.XFGetCell("True","Consol", $B173,"Tot_Entity","USD",V$2,V$3,V$4,$C173,"TopFlow","Top","Top","Tot_Los","TOT_Dept_WO_Addbacks","Tot_FC",$A173,"Top5","Top6","Reported","Top8")</f>
        <v>275.14999999999998</v>
      </c>
      <c r="W173" s="15">
        <f>_xll.OneStreamExcelAddIn.XFFunctions.XFGetCell("True","Consol", $B173,"Tot_Entity","Aggregated",W$2,W$3,W$4,$C173,"TopFlow","Top","Top","Tot_Los","TOT_Dept_WO_Addbacks","TOP3",$A173,"Top5","Top6","Reported","Top8")</f>
        <v>0</v>
      </c>
      <c r="X173" s="21">
        <f t="shared" si="70"/>
        <v>-275.14999999999998</v>
      </c>
      <c r="AD173" s="15">
        <f>_xll.OneStreamExcelAddIn.XFFunctions.XFGetCell("True","Consol", $B173,"Tot_Entity","USD",AD$2,AD$3,AD$4,$C173,"TopFlow","Top","Top","Tot_Los","TOT_Dept_WO_Addbacks","Tot_FC",$A173,"Top5","Top6","Reported","Top8")</f>
        <v>105.88</v>
      </c>
      <c r="AE173" s="15">
        <f>_xll.OneStreamExcelAddIn.XFFunctions.XFGetCell("True","Consol", $B173,"Tot_Entity","USD",AE$2,AE$3,AE$4,$C173,"TopFlow","Top","Top","Tot_Los","TOT_Dept_WO_Addbacks","Tot_FC",$A173,"Top5","Top6","Reported","Top8")</f>
        <v>0</v>
      </c>
      <c r="AF173" s="21">
        <f t="shared" si="71"/>
        <v>-105.88</v>
      </c>
      <c r="AL173" s="15">
        <f>_xll.OneStreamExcelAddIn.XFFunctions.XFGetCell("True","Consol", $B173,"Tot_Entity","USD",AL$2,AL$3,AL$4,$C173,"TopFlow","Top","Top","Tot_Los","TOT_Dept_WO_Addbacks","Tot_FC",$A173,"Top5","Top6","Reported","Top8")</f>
        <v>275.14999999999998</v>
      </c>
      <c r="AM173" s="15">
        <f>_xll.OneStreamExcelAddIn.XFFunctions.XFGetCell("True","Consol", $B173,"Tot_Entity","USD",AM$2,AM$3,AM$4,$C173,"TopFlow","Top","Top","Tot_Los","TOT_Dept_WO_Addbacks","Tot_FC",$A173,"Top5","Top6","Reported","Top8")</f>
        <v>0</v>
      </c>
      <c r="AN173" s="21">
        <f t="shared" si="72"/>
        <v>-275.14999999999998</v>
      </c>
      <c r="AT173" s="15">
        <f>_xll.OneStreamExcelAddIn.XFFunctions.XFGetCell("True","Consol", $B173,"Tot_Entity","USD",AT$2,AT$3,AT$4,$C173,"TopFlow","Top","Top","Tot_Los","TOT_Dept_WO_Addbacks","Tot_FC",$A173,"Top5","Top6","Reported","Top8")</f>
        <v>0</v>
      </c>
      <c r="AU173" s="15">
        <f>_xll.OneStreamExcelAddIn.XFFunctions.XFGetCell("True","Consol", $B173,"Tot_Entity","USD",AU$2,AU$3,AU$4,$C173,"TopFlow","Top","Top","Tot_Los","TOT_Dept_WO_Addbacks","Tot_FC",$A173,"Top5","Top6","Reported","Top8")</f>
        <v>0</v>
      </c>
      <c r="AV173" s="162">
        <f t="shared" si="73"/>
        <v>0</v>
      </c>
    </row>
    <row r="174" spans="1:53" x14ac:dyDescent="0.2">
      <c r="A174" s="16" t="str">
        <f t="shared" si="74"/>
        <v>Acute_DIV1</v>
      </c>
      <c r="B174" s="15">
        <f t="shared" si="75"/>
        <v>127</v>
      </c>
      <c r="C174" s="14" t="s">
        <v>227</v>
      </c>
      <c r="D174" s="14" t="s">
        <v>228</v>
      </c>
      <c r="E174" s="15">
        <f>_xll.OneStreamExcelAddIn.XFFunctions.XFGetCell("True","Consol", $B174,"Tot_Entity","USD",E$2,E$3,E$4,$C174,"TopFlow","Top","Top","Tot_Los","TOT_Dept_WO_Addbacks","Tot_FC",$A174,"Top5","Top6","Reported","Top8")</f>
        <v>691.76</v>
      </c>
      <c r="F174" s="15">
        <f>_xll.OneStreamExcelAddIn.XFFunctions.XFGetCell("True","Consol", $B174,"Tot_Entity","Aggregated",F$2,F$3,F$4,$C174,"TopFlow","Top","Top","Tot_Los","TOT_Dept_WO_Addbacks","TOP3",$A174,"Top5","Top6","Reported","Top8")</f>
        <v>994.995</v>
      </c>
      <c r="G174" s="21">
        <f t="shared" si="68"/>
        <v>303.23500000000001</v>
      </c>
      <c r="M174" s="15">
        <f>_xll.OneStreamExcelAddIn.XFFunctions.XFGetCell("True","Consol", $B174,"Tot_Entity","USD",M$2,M$3,M$4,$C174,"TopFlow","Top","Top","Tot_Los","TOT_Dept_WO_Addbacks","Tot_FC",$A174,"Top5","Top6","Reported","Top8")</f>
        <v>691.76</v>
      </c>
      <c r="N174" s="15">
        <f>_xll.OneStreamExcelAddIn.XFFunctions.XFGetCell("True","Consol", $B174,"Tot_Entity","USD",N$2,N$3,N$4,$C174,"TopFlow","Top","Top","Tot_Los","TOT_Dept_WO_Addbacks","Tot_FC",$A174,"Top5","Top6","Reported","Top8")</f>
        <v>-2185.77</v>
      </c>
      <c r="O174" s="21">
        <f t="shared" si="69"/>
        <v>-2877.5299999999997</v>
      </c>
      <c r="Q174" s="21"/>
      <c r="R174" s="21"/>
      <c r="T174" s="21"/>
      <c r="V174" s="15">
        <f>_xll.OneStreamExcelAddIn.XFFunctions.XFGetCell("True","Consol", $B174,"Tot_Entity","USD",V$2,V$3,V$4,$C174,"TopFlow","Top","Top","Tot_Los","TOT_Dept_WO_Addbacks","Tot_FC",$A174,"Top5","Top6","Reported","Top8")</f>
        <v>691.76</v>
      </c>
      <c r="W174" s="15">
        <f>_xll.OneStreamExcelAddIn.XFFunctions.XFGetCell("True","Consol", $B174,"Tot_Entity","Aggregated",W$2,W$3,W$4,$C174,"TopFlow","Top","Top","Tot_Los","TOT_Dept_WO_Addbacks","TOP3",$A174,"Top5","Top6","Reported","Top8")</f>
        <v>3979.98</v>
      </c>
      <c r="X174" s="21">
        <f t="shared" si="70"/>
        <v>3288.2200000000003</v>
      </c>
      <c r="AD174" s="15">
        <f>_xll.OneStreamExcelAddIn.XFFunctions.XFGetCell("True","Consol", $B174,"Tot_Entity","USD",AD$2,AD$3,AD$4,$C174,"TopFlow","Top","Top","Tot_Los","TOT_Dept_WO_Addbacks","Tot_FC",$A174,"Top5","Top6","Reported","Top8")</f>
        <v>691.76</v>
      </c>
      <c r="AE174" s="15">
        <f>_xll.OneStreamExcelAddIn.XFFunctions.XFGetCell("True","Consol", $B174,"Tot_Entity","USD",AE$2,AE$3,AE$4,$C174,"TopFlow","Top","Top","Tot_Los","TOT_Dept_WO_Addbacks","Tot_FC",$A174,"Top5","Top6","Reported","Top8")</f>
        <v>1873.87</v>
      </c>
      <c r="AF174" s="21">
        <f t="shared" si="71"/>
        <v>1182.1099999999999</v>
      </c>
      <c r="AL174" s="15">
        <f>_xll.OneStreamExcelAddIn.XFFunctions.XFGetCell("True","Consol", $B174,"Tot_Entity","USD",AL$2,AL$3,AL$4,$C174,"TopFlow","Top","Top","Tot_Los","TOT_Dept_WO_Addbacks","Tot_FC",$A174,"Top5","Top6","Reported","Top8")</f>
        <v>691.76</v>
      </c>
      <c r="AM174" s="15">
        <f>_xll.OneStreamExcelAddIn.XFFunctions.XFGetCell("True","Consol", $B174,"Tot_Entity","USD",AM$2,AM$3,AM$4,$C174,"TopFlow","Top","Top","Tot_Los","TOT_Dept_WO_Addbacks","Tot_FC",$A174,"Top5","Top6","Reported","Top8")</f>
        <v>1873.87</v>
      </c>
      <c r="AN174" s="21">
        <f t="shared" si="72"/>
        <v>1182.1099999999999</v>
      </c>
      <c r="AT174" s="15">
        <f>_xll.OneStreamExcelAddIn.XFFunctions.XFGetCell("True","Consol", $B174,"Tot_Entity","USD",AT$2,AT$3,AT$4,$C174,"TopFlow","Top","Top","Tot_Los","TOT_Dept_WO_Addbacks","Tot_FC",$A174,"Top5","Top6","Reported","Top8")</f>
        <v>0</v>
      </c>
      <c r="AU174" s="15">
        <f>_xll.OneStreamExcelAddIn.XFFunctions.XFGetCell("True","Consol", $B174,"Tot_Entity","USD",AU$2,AU$3,AU$4,$C174,"TopFlow","Top","Top","Tot_Los","TOT_Dept_WO_Addbacks","Tot_FC",$A174,"Top5","Top6","Reported","Top8")</f>
        <v>994.995</v>
      </c>
      <c r="AV174" s="162">
        <f t="shared" si="73"/>
        <v>994.995</v>
      </c>
    </row>
    <row r="175" spans="1:53" x14ac:dyDescent="0.2">
      <c r="A175" s="16" t="str">
        <f t="shared" si="74"/>
        <v>Acute_DIV1</v>
      </c>
      <c r="B175" s="15">
        <f t="shared" si="75"/>
        <v>127</v>
      </c>
      <c r="C175" s="14" t="s">
        <v>229</v>
      </c>
      <c r="D175" s="14" t="s">
        <v>230</v>
      </c>
      <c r="E175" s="15">
        <f>_xll.OneStreamExcelAddIn.XFFunctions.XFGetCell("True","Consol", $B175,"Tot_Entity","USD",E$2,E$3,E$4,$C175,"TopFlow","Top","Top","Tot_Los","TOT_Dept_WO_Addbacks","Tot_FC",$A175,"Top5","Top6","Reported","Top8")</f>
        <v>0</v>
      </c>
      <c r="F175" s="15">
        <f>_xll.OneStreamExcelAddIn.XFFunctions.XFGetCell("True","Consol", $B175,"Tot_Entity","Aggregated",F$2,F$3,F$4,$C175,"TopFlow","Top","Top","Tot_Los","TOT_Dept_WO_Addbacks","TOP3",$A175,"Top5","Top6","Reported","Top8")</f>
        <v>7.9753716160000003</v>
      </c>
      <c r="G175" s="21">
        <f t="shared" si="68"/>
        <v>7.9753716160000003</v>
      </c>
      <c r="M175" s="15">
        <f>_xll.OneStreamExcelAddIn.XFFunctions.XFGetCell("True","Consol", $B175,"Tot_Entity","USD",M$2,M$3,M$4,$C175,"TopFlow","Top","Top","Tot_Los","TOT_Dept_WO_Addbacks","Tot_FC",$A175,"Top5","Top6","Reported","Top8")</f>
        <v>0</v>
      </c>
      <c r="N175" s="15">
        <f>_xll.OneStreamExcelAddIn.XFFunctions.XFGetCell("True","Consol", $B175,"Tot_Entity","USD",N$2,N$3,N$4,$C175,"TopFlow","Top","Top","Tot_Los","TOT_Dept_WO_Addbacks","Tot_FC",$A175,"Top5","Top6","Reported","Top8")</f>
        <v>0</v>
      </c>
      <c r="O175" s="21">
        <f t="shared" si="69"/>
        <v>0</v>
      </c>
      <c r="Q175" s="21"/>
      <c r="R175" s="21"/>
      <c r="T175" s="21"/>
      <c r="V175" s="15">
        <f>_xll.OneStreamExcelAddIn.XFFunctions.XFGetCell("True","Consol", $B175,"Tot_Entity","USD",V$2,V$3,V$4,$C175,"TopFlow","Top","Top","Tot_Los","TOT_Dept_WO_Addbacks","Tot_FC",$A175,"Top5","Top6","Reported","Top8")</f>
        <v>-45.44</v>
      </c>
      <c r="W175" s="15">
        <f>_xll.OneStreamExcelAddIn.XFFunctions.XFGetCell("True","Consol", $B175,"Tot_Entity","Aggregated",W$2,W$3,W$4,$C175,"TopFlow","Top","Top","Tot_Los","TOT_Dept_WO_Addbacks","TOP3",$A175,"Top5","Top6","Reported","Top8")</f>
        <v>31.151313183999999</v>
      </c>
      <c r="X175" s="21">
        <f t="shared" si="70"/>
        <v>76.591313184000001</v>
      </c>
      <c r="AD175" s="15">
        <f>_xll.OneStreamExcelAddIn.XFFunctions.XFGetCell("True","Consol", $B175,"Tot_Entity","USD",AD$2,AD$3,AD$4,$C175,"TopFlow","Top","Top","Tot_Los","TOT_Dept_WO_Addbacks","Tot_FC",$A175,"Top5","Top6","Reported","Top8")</f>
        <v>0</v>
      </c>
      <c r="AE175" s="15">
        <f>_xll.OneStreamExcelAddIn.XFFunctions.XFGetCell("True","Consol", $B175,"Tot_Entity","USD",AE$2,AE$3,AE$4,$C175,"TopFlow","Top","Top","Tot_Los","TOT_Dept_WO_Addbacks","Tot_FC",$A175,"Top5","Top6","Reported","Top8")</f>
        <v>0</v>
      </c>
      <c r="AF175" s="21">
        <f t="shared" si="71"/>
        <v>0</v>
      </c>
      <c r="AL175" s="15">
        <f>_xll.OneStreamExcelAddIn.XFFunctions.XFGetCell("True","Consol", $B175,"Tot_Entity","USD",AL$2,AL$3,AL$4,$C175,"TopFlow","Top","Top","Tot_Los","TOT_Dept_WO_Addbacks","Tot_FC",$A175,"Top5","Top6","Reported","Top8")</f>
        <v>-45.44</v>
      </c>
      <c r="AM175" s="15">
        <f>_xll.OneStreamExcelAddIn.XFFunctions.XFGetCell("True","Consol", $B175,"Tot_Entity","USD",AM$2,AM$3,AM$4,$C175,"TopFlow","Top","Top","Tot_Los","TOT_Dept_WO_Addbacks","Tot_FC",$A175,"Top5","Top6","Reported","Top8")</f>
        <v>0</v>
      </c>
      <c r="AN175" s="21">
        <f t="shared" si="72"/>
        <v>45.44</v>
      </c>
      <c r="AT175" s="15">
        <f>_xll.OneStreamExcelAddIn.XFFunctions.XFGetCell("True","Consol", $B175,"Tot_Entity","USD",AT$2,AT$3,AT$4,$C175,"TopFlow","Top","Top","Tot_Los","TOT_Dept_WO_Addbacks","Tot_FC",$A175,"Top5","Top6","Reported","Top8")</f>
        <v>0</v>
      </c>
      <c r="AU175" s="15">
        <f>_xll.OneStreamExcelAddIn.XFFunctions.XFGetCell("True","Consol", $B175,"Tot_Entity","USD",AU$2,AU$3,AU$4,$C175,"TopFlow","Top","Top","Tot_Los","TOT_Dept_WO_Addbacks","Tot_FC",$A175,"Top5","Top6","Reported","Top8")</f>
        <v>7.9753716160000003</v>
      </c>
      <c r="AV175" s="162">
        <f t="shared" si="73"/>
        <v>7.9753716160000003</v>
      </c>
    </row>
    <row r="176" spans="1:53" s="31" customFormat="1" x14ac:dyDescent="0.2">
      <c r="B176" s="32"/>
      <c r="C176" s="33"/>
      <c r="D176" s="47" t="s">
        <v>231</v>
      </c>
      <c r="E176" s="38">
        <f>+SUM(E169:E175)/E166</f>
        <v>0.68564457956281621</v>
      </c>
      <c r="F176" s="38">
        <f>+SUM(F169:F175)/F166</f>
        <v>0.63247395707813603</v>
      </c>
      <c r="G176" s="39"/>
      <c r="I176" s="4"/>
      <c r="L176" s="4"/>
      <c r="M176" s="38">
        <f>+SUM(M169:M175)/M166</f>
        <v>0.68564457956281621</v>
      </c>
      <c r="N176" s="38">
        <f>+SUM(N169:N175)/N166</f>
        <v>0.80089881064075819</v>
      </c>
      <c r="O176" s="39"/>
      <c r="P176" s="4"/>
      <c r="Q176" s="39"/>
      <c r="R176" s="39"/>
      <c r="S176" s="4"/>
      <c r="T176" s="39"/>
      <c r="U176" s="4"/>
      <c r="V176" s="38">
        <f>+SUM(V169:V175)/V166</f>
        <v>0.7659785259700681</v>
      </c>
      <c r="W176" s="38">
        <f>+SUM(W169:W175)/W166</f>
        <v>0.63180042302533101</v>
      </c>
      <c r="X176" s="158"/>
      <c r="Z176" s="4"/>
      <c r="AB176" s="32"/>
      <c r="AC176" s="4"/>
      <c r="AD176" s="38">
        <f>+SUM(AD169:AD175)/AD166</f>
        <v>0.68564457956281621</v>
      </c>
      <c r="AE176" s="38">
        <f>+SUM(AE169:AE175)/AE166</f>
        <v>0.72671954424000262</v>
      </c>
      <c r="AF176" s="39"/>
      <c r="AH176" s="4"/>
      <c r="AJ176" s="32"/>
      <c r="AK176" s="4"/>
      <c r="AL176" s="38">
        <f>+SUM(AL169:AL175)/AL166</f>
        <v>0.7659785259700681</v>
      </c>
      <c r="AM176" s="38">
        <f>+SUM(AM169:AM175)/AM166</f>
        <v>0.7231311183379322</v>
      </c>
      <c r="AN176" s="158"/>
      <c r="AP176" s="4"/>
      <c r="AR176" s="32"/>
      <c r="AS176" s="4"/>
      <c r="AT176" s="38" t="e">
        <f>+SUM(AT169:AT175)/AT166</f>
        <v>#DIV/0!</v>
      </c>
      <c r="AU176" s="38">
        <f>+SUM(AU169:AU175)/AU166</f>
        <v>0.63247395707813603</v>
      </c>
      <c r="AV176" s="168"/>
      <c r="AX176" s="4"/>
      <c r="AZ176" s="32"/>
      <c r="BA176" s="4"/>
    </row>
    <row r="178" spans="1:52" s="4" customFormat="1" ht="5.0999999999999996" customHeight="1" x14ac:dyDescent="0.2">
      <c r="B178" s="22"/>
      <c r="C178" s="23"/>
      <c r="D178" s="23"/>
      <c r="X178" s="155"/>
      <c r="AB178" s="22"/>
      <c r="AJ178" s="22"/>
      <c r="AN178" s="155"/>
      <c r="AR178" s="22"/>
      <c r="AV178" s="164"/>
      <c r="AZ178" s="22"/>
    </row>
    <row r="180" spans="1:52" x14ac:dyDescent="0.2">
      <c r="A180" s="16" t="str">
        <f>+$A$8</f>
        <v>Acute_DIV1</v>
      </c>
      <c r="B180" s="15">
        <f>+$B$8</f>
        <v>127</v>
      </c>
      <c r="C180" s="14" t="s">
        <v>232</v>
      </c>
      <c r="D180" s="14" t="s">
        <v>233</v>
      </c>
      <c r="E180" s="15">
        <f>_xll.OneStreamExcelAddIn.XFFunctions.XFGetCell("True","Consol", $B180,"Tot_Entity","USD",E$2,E$3,E$4,$C180,"TopFlow","Top","Top","Tot_Los","TOT_Dept_WO_Addbacks","Tot_FC",$A180,"Top5","Top6","Reported","Top8")</f>
        <v>156895.54</v>
      </c>
      <c r="F180" s="15">
        <f>_xll.OneStreamExcelAddIn.XFFunctions.XFGetCell("True","Consol", $B180,"Tot_Entity","Aggregated",F$2,F$3,F$4,$C180,"TopFlow","Top","Top","Tot_Los","TOT_Dept_WO_Addbacks","TOP3",$A180,"Top5","Top6","Reported","Top8")</f>
        <v>168869.76233432401</v>
      </c>
      <c r="G180" s="21">
        <f>+F180-E180</f>
        <v>11974.222334324004</v>
      </c>
      <c r="M180" s="15">
        <f>_xll.OneStreamExcelAddIn.XFFunctions.XFGetCell("True","Consol", $B180,"Tot_Entity","USD",M$2,M$3,M$4,$C180,"TopFlow","Top","Top","Tot_Los","TOT_Dept_WO_Addbacks","Tot_FC",$A180,"Top5","Top6","Reported","Top8")</f>
        <v>156895.54</v>
      </c>
      <c r="N180" s="15">
        <f>_xll.OneStreamExcelAddIn.XFFunctions.XFGetCell("True","Consol", $B180,"Tot_Entity","USD",N$2,N$3,N$4,$C180,"TopFlow","Top","Top","Tot_Los","TOT_Dept_WO_Addbacks","Tot_FC",$A180,"Top5","Top6","Reported","Top8")</f>
        <v>144545.62</v>
      </c>
      <c r="O180" s="21">
        <f>+N180-M180</f>
        <v>-12349.920000000013</v>
      </c>
      <c r="Q180" s="21"/>
      <c r="R180" s="21"/>
      <c r="T180" s="21"/>
      <c r="V180" s="15">
        <f>_xll.OneStreamExcelAddIn.XFFunctions.XFGetCell("True","Consol", $B180,"Tot_Entity","USD",V$2,V$3,V$4,$C180,"TopFlow","Top","Top","Tot_Los","TOT_Dept_WO_Addbacks","Tot_FC",$A180,"Top5","Top6","Reported","Top8")</f>
        <v>574769.72</v>
      </c>
      <c r="W180" s="15">
        <f>_xll.OneStreamExcelAddIn.XFFunctions.XFGetCell("True","Consol", $B180,"Tot_Entity","Aggregated",W$2,W$3,W$4,$C180,"TopFlow","Top","Top","Tot_Los","TOT_Dept_WO_Addbacks","TOP3",$A180,"Top5","Top6","Reported","Top8")</f>
        <v>671130.87389640603</v>
      </c>
      <c r="X180" s="21">
        <f>+W180-V180</f>
        <v>96361.15389640606</v>
      </c>
      <c r="AB180" s="2">
        <f>+X180</f>
        <v>96361.15389640606</v>
      </c>
      <c r="AD180" s="15">
        <f>_xll.OneStreamExcelAddIn.XFFunctions.XFGetCell("True","Consol", $B180,"Tot_Entity","USD",AD$2,AD$3,AD$4,$C180,"TopFlow","Top","Top","Tot_Los","TOT_Dept_WO_Addbacks","Tot_FC",$A180,"Top5","Top6","Reported","Top8")</f>
        <v>156895.54</v>
      </c>
      <c r="AE180" s="15">
        <f>_xll.OneStreamExcelAddIn.XFFunctions.XFGetCell("True","Consol", $B180,"Tot_Entity","USD",AE$2,AE$3,AE$4,$C180,"TopFlow","Top","Top","Tot_Los","TOT_Dept_WO_Addbacks","Tot_FC",$A180,"Top5","Top6","Reported","Top8")</f>
        <v>156596.23000000001</v>
      </c>
      <c r="AF180" s="21">
        <f>+AE180-AD180</f>
        <v>-299.30999999999767</v>
      </c>
      <c r="AJ180" s="2">
        <f>+AF180</f>
        <v>-299.30999999999767</v>
      </c>
      <c r="AL180" s="15">
        <f>_xll.OneStreamExcelAddIn.XFFunctions.XFGetCell("True","Consol", $B180,"Tot_Entity","USD",AL$2,AL$3,AL$4,$C180,"TopFlow","Top","Top","Tot_Los","TOT_Dept_WO_Addbacks","Tot_FC",$A180,"Top5","Top6","Reported","Top8")</f>
        <v>574769.72</v>
      </c>
      <c r="AM180" s="15">
        <f>_xll.OneStreamExcelAddIn.XFFunctions.XFGetCell("True","Consol", $B180,"Tot_Entity","USD",AM$2,AM$3,AM$4,$C180,"TopFlow","Top","Top","Tot_Los","TOT_Dept_WO_Addbacks","Tot_FC",$A180,"Top5","Top6","Reported","Top8")</f>
        <v>570531.42000000004</v>
      </c>
      <c r="AN180" s="21">
        <f>+AM180-AL180</f>
        <v>-4238.2999999999302</v>
      </c>
      <c r="AR180" s="2">
        <f>+AN180</f>
        <v>-4238.2999999999302</v>
      </c>
      <c r="AT180" s="15">
        <f>_xll.OneStreamExcelAddIn.XFFunctions.XFGetCell("True","Consol", $B180,"Tot_Entity","USD",AT$2,AT$3,AT$4,$C180,"TopFlow","Top","Top","Tot_Los","TOT_Dept_WO_Addbacks","Tot_FC",$A180,"Top5","Top6","Reported","Top8")</f>
        <v>0</v>
      </c>
      <c r="AU180" s="15">
        <f>_xll.OneStreamExcelAddIn.XFFunctions.XFGetCell("True","Consol", $B180,"Tot_Entity","USD",AU$2,AU$3,AU$4,$C180,"TopFlow","Top","Top","Tot_Los","TOT_Dept_WO_Addbacks","Tot_FC",$A180,"Top5","Top6","Reported","Top8")</f>
        <v>168869.76233432401</v>
      </c>
      <c r="AV180" s="162">
        <f>+AU180-AT180</f>
        <v>168869.76233432401</v>
      </c>
      <c r="AZ180" s="2">
        <f>+AV180</f>
        <v>168869.76233432401</v>
      </c>
    </row>
    <row r="182" spans="1:52" x14ac:dyDescent="0.2">
      <c r="A182" s="16" t="str">
        <f>+$A$8</f>
        <v>Acute_DIV1</v>
      </c>
      <c r="B182" s="15">
        <f>+$B$8</f>
        <v>127</v>
      </c>
      <c r="C182" s="14" t="s">
        <v>234</v>
      </c>
      <c r="D182" s="14" t="s">
        <v>235</v>
      </c>
      <c r="E182" s="15">
        <f>_xll.OneStreamExcelAddIn.XFFunctions.XFGetCell("True","Consol", $B182,"Tot_Entity","USD",E$2,E$3,E$4,$C182,"TopFlow","Top","Top","Tot_Los","TOT_Dept_WO_Addbacks","Tot_FC",$A182,"Top5","Top6","Reported","Top8")</f>
        <v>45335.18</v>
      </c>
      <c r="F182" s="15">
        <f>_xll.OneStreamExcelAddIn.XFFunctions.XFGetCell("True","Consol", $B182,"Tot_Entity","Aggregated",F$2,F$3,F$4,$C182,"TopFlow","Top","Top","Tot_Los","TOT_Dept_WO_Addbacks","TOP3",$A182,"Top5","Top6","Reported","Top8")</f>
        <v>56910.446333332999</v>
      </c>
      <c r="G182" s="21">
        <f>+F182-E182</f>
        <v>11575.266333332998</v>
      </c>
      <c r="M182" s="15">
        <f>_xll.OneStreamExcelAddIn.XFFunctions.XFGetCell("True","Consol", $B182,"Tot_Entity","USD",M$2,M$3,M$4,$C182,"TopFlow","Top","Top","Tot_Los","TOT_Dept_WO_Addbacks","Tot_FC",$A182,"Top5","Top6","Reported","Top8")</f>
        <v>45335.18</v>
      </c>
      <c r="N182" s="15">
        <f>_xll.OneStreamExcelAddIn.XFFunctions.XFGetCell("True","Consol", $B182,"Tot_Entity","USD",N$2,N$3,N$4,$C182,"TopFlow","Top","Top","Tot_Los","TOT_Dept_WO_Addbacks","Tot_FC",$A182,"Top5","Top6","Reported","Top8")</f>
        <v>29449.34</v>
      </c>
      <c r="O182" s="21">
        <f>+N182-M182</f>
        <v>-15885.84</v>
      </c>
      <c r="Q182" s="21"/>
      <c r="R182" s="21"/>
      <c r="T182" s="21"/>
      <c r="V182" s="15">
        <f>_xll.OneStreamExcelAddIn.XFFunctions.XFGetCell("True","Consol", $B182,"Tot_Entity","USD",V$2,V$3,V$4,$C182,"TopFlow","Top","Top","Tot_Los","TOT_Dept_WO_Addbacks","Tot_FC",$A182,"Top5","Top6","Reported","Top8")</f>
        <v>150777.31</v>
      </c>
      <c r="W182" s="15">
        <f>_xll.OneStreamExcelAddIn.XFFunctions.XFGetCell("True","Consol", $B182,"Tot_Entity","Aggregated",W$2,W$3,W$4,$C182,"TopFlow","Top","Top","Tot_Los","TOT_Dept_WO_Addbacks","TOP3",$A182,"Top5","Top6","Reported","Top8")</f>
        <v>227641.78533333199</v>
      </c>
      <c r="X182" s="21">
        <f>+W182-V182</f>
        <v>76864.475333331997</v>
      </c>
      <c r="AD182" s="15">
        <f>_xll.OneStreamExcelAddIn.XFFunctions.XFGetCell("True","Consol", $B182,"Tot_Entity","USD",AD$2,AD$3,AD$4,$C182,"TopFlow","Top","Top","Tot_Los","TOT_Dept_WO_Addbacks","Tot_FC",$A182,"Top5","Top6","Reported","Top8")</f>
        <v>45335.18</v>
      </c>
      <c r="AE182" s="15">
        <f>_xll.OneStreamExcelAddIn.XFFunctions.XFGetCell("True","Consol", $B182,"Tot_Entity","USD",AE$2,AE$3,AE$4,$C182,"TopFlow","Top","Top","Tot_Los","TOT_Dept_WO_Addbacks","Tot_FC",$A182,"Top5","Top6","Reported","Top8")</f>
        <v>40568.769999999997</v>
      </c>
      <c r="AF182" s="21">
        <f>+AE182-AD182</f>
        <v>-4766.4100000000035</v>
      </c>
      <c r="AL182" s="15">
        <f>_xll.OneStreamExcelAddIn.XFFunctions.XFGetCell("True","Consol", $B182,"Tot_Entity","USD",AL$2,AL$3,AL$4,$C182,"TopFlow","Top","Top","Tot_Los","TOT_Dept_WO_Addbacks","Tot_FC",$A182,"Top5","Top6","Reported","Top8")</f>
        <v>150777.31</v>
      </c>
      <c r="AM182" s="15">
        <f>_xll.OneStreamExcelAddIn.XFFunctions.XFGetCell("True","Consol", $B182,"Tot_Entity","USD",AM$2,AM$3,AM$4,$C182,"TopFlow","Top","Top","Tot_Los","TOT_Dept_WO_Addbacks","Tot_FC",$A182,"Top5","Top6","Reported","Top8")</f>
        <v>159998.82999999999</v>
      </c>
      <c r="AN182" s="21">
        <f>+AM182-AL182</f>
        <v>9221.5199999999895</v>
      </c>
      <c r="AT182" s="15">
        <f>_xll.OneStreamExcelAddIn.XFFunctions.XFGetCell("True","Consol", $B182,"Tot_Entity","USD",AT$2,AT$3,AT$4,$C182,"TopFlow","Top","Top","Tot_Los","TOT_Dept_WO_Addbacks","Tot_FC",$A182,"Top5","Top6","Reported","Top8")</f>
        <v>0</v>
      </c>
      <c r="AU182" s="15">
        <f>_xll.OneStreamExcelAddIn.XFFunctions.XFGetCell("True","Consol", $B182,"Tot_Entity","USD",AU$2,AU$3,AU$4,$C182,"TopFlow","Top","Top","Tot_Los","TOT_Dept_WO_Addbacks","Tot_FC",$A182,"Top5","Top6","Reported","Top8")</f>
        <v>56910.446333332999</v>
      </c>
      <c r="AV182" s="162">
        <f>+AU182-AT182</f>
        <v>56910.446333332999</v>
      </c>
    </row>
    <row r="183" spans="1:52" x14ac:dyDescent="0.2">
      <c r="A183" s="16" t="str">
        <f>+$A$8</f>
        <v>Acute_DIV1</v>
      </c>
      <c r="B183" s="15">
        <f>+$B$8</f>
        <v>127</v>
      </c>
      <c r="C183" s="14" t="s">
        <v>236</v>
      </c>
      <c r="D183" s="14" t="s">
        <v>237</v>
      </c>
      <c r="E183" s="15">
        <f>_xll.OneStreamExcelAddIn.XFFunctions.XFGetCell("True","Consol", $B183,"Tot_Entity","USD",E$2,E$3,E$4,$C183,"TopFlow","Top","Top","Tot_Los","TOT_Dept_WO_Addbacks","Tot_FC",$A183,"Top5","Top6","Reported","Top8")</f>
        <v>0</v>
      </c>
      <c r="F183" s="15">
        <f>_xll.OneStreamExcelAddIn.XFFunctions.XFGetCell("True","Consol", $B183,"Tot_Entity","Aggregated",F$2,F$3,F$4,$C183,"TopFlow","Top","Top","Tot_Los","TOT_Dept_WO_Addbacks","TOP3",$A183,"Top5","Top6","Reported","Top8")</f>
        <v>0</v>
      </c>
      <c r="G183" s="21">
        <f>+F183-E183</f>
        <v>0</v>
      </c>
      <c r="M183" s="15">
        <f>_xll.OneStreamExcelAddIn.XFFunctions.XFGetCell("True","Consol", $B183,"Tot_Entity","USD",M$2,M$3,M$4,$C183,"TopFlow","Top","Top","Tot_Los","TOT_Dept_WO_Addbacks","Tot_FC",$A183,"Top5","Top6","Reported","Top8")</f>
        <v>0</v>
      </c>
      <c r="N183" s="15">
        <f>_xll.OneStreamExcelAddIn.XFFunctions.XFGetCell("True","Consol", $B183,"Tot_Entity","USD",N$2,N$3,N$4,$C183,"TopFlow","Top","Top","Tot_Los","TOT_Dept_WO_Addbacks","Tot_FC",$A183,"Top5","Top6","Reported","Top8")</f>
        <v>732.8</v>
      </c>
      <c r="O183" s="21">
        <f>+N183-M183</f>
        <v>732.8</v>
      </c>
      <c r="Q183" s="21"/>
      <c r="R183" s="21"/>
      <c r="T183" s="21"/>
      <c r="V183" s="15">
        <f>_xll.OneStreamExcelAddIn.XFFunctions.XFGetCell("True","Consol", $B183,"Tot_Entity","USD",V$2,V$3,V$4,$C183,"TopFlow","Top","Top","Tot_Los","TOT_Dept_WO_Addbacks","Tot_FC",$A183,"Top5","Top6","Reported","Top8")</f>
        <v>1172.8</v>
      </c>
      <c r="W183" s="15">
        <f>_xll.OneStreamExcelAddIn.XFFunctions.XFGetCell("True","Consol", $B183,"Tot_Entity","Aggregated",W$2,W$3,W$4,$C183,"TopFlow","Top","Top","Tot_Los","TOT_Dept_WO_Addbacks","TOP3",$A183,"Top5","Top6","Reported","Top8")</f>
        <v>0</v>
      </c>
      <c r="X183" s="21">
        <f>+W183-V183</f>
        <v>-1172.8</v>
      </c>
      <c r="AD183" s="15">
        <f>_xll.OneStreamExcelAddIn.XFFunctions.XFGetCell("True","Consol", $B183,"Tot_Entity","USD",AD$2,AD$3,AD$4,$C183,"TopFlow","Top","Top","Tot_Los","TOT_Dept_WO_Addbacks","Tot_FC",$A183,"Top5","Top6","Reported","Top8")</f>
        <v>0</v>
      </c>
      <c r="AE183" s="15">
        <f>_xll.OneStreamExcelAddIn.XFFunctions.XFGetCell("True","Consol", $B183,"Tot_Entity","USD",AE$2,AE$3,AE$4,$C183,"TopFlow","Top","Top","Tot_Los","TOT_Dept_WO_Addbacks","Tot_FC",$A183,"Top5","Top6","Reported","Top8")</f>
        <v>0</v>
      </c>
      <c r="AF183" s="21">
        <f>+AE183-AD183</f>
        <v>0</v>
      </c>
      <c r="AL183" s="15">
        <f>_xll.OneStreamExcelAddIn.XFFunctions.XFGetCell("True","Consol", $B183,"Tot_Entity","USD",AL$2,AL$3,AL$4,$C183,"TopFlow","Top","Top","Tot_Los","TOT_Dept_WO_Addbacks","Tot_FC",$A183,"Top5","Top6","Reported","Top8")</f>
        <v>1172.8</v>
      </c>
      <c r="AM183" s="15">
        <f>_xll.OneStreamExcelAddIn.XFFunctions.XFGetCell("True","Consol", $B183,"Tot_Entity","USD",AM$2,AM$3,AM$4,$C183,"TopFlow","Top","Top","Tot_Los","TOT_Dept_WO_Addbacks","Tot_FC",$A183,"Top5","Top6","Reported","Top8")</f>
        <v>0</v>
      </c>
      <c r="AN183" s="21">
        <f>+AM183-AL183</f>
        <v>-1172.8</v>
      </c>
      <c r="AT183" s="15">
        <f>_xll.OneStreamExcelAddIn.XFFunctions.XFGetCell("True","Consol", $B183,"Tot_Entity","USD",AT$2,AT$3,AT$4,$C183,"TopFlow","Top","Top","Tot_Los","TOT_Dept_WO_Addbacks","Tot_FC",$A183,"Top5","Top6","Reported","Top8")</f>
        <v>0</v>
      </c>
      <c r="AU183" s="15">
        <f>_xll.OneStreamExcelAddIn.XFFunctions.XFGetCell("True","Consol", $B183,"Tot_Entity","USD",AU$2,AU$3,AU$4,$C183,"TopFlow","Top","Top","Tot_Los","TOT_Dept_WO_Addbacks","Tot_FC",$A183,"Top5","Top6","Reported","Top8")</f>
        <v>0</v>
      </c>
      <c r="AV183" s="162">
        <f>+AU183-AT183</f>
        <v>0</v>
      </c>
    </row>
    <row r="184" spans="1:52" x14ac:dyDescent="0.2">
      <c r="A184" s="16" t="str">
        <f>+$A$8</f>
        <v>Acute_DIV1</v>
      </c>
      <c r="B184" s="15">
        <f>+$B$8</f>
        <v>127</v>
      </c>
      <c r="C184" s="14" t="s">
        <v>238</v>
      </c>
      <c r="D184" s="14" t="s">
        <v>239</v>
      </c>
      <c r="E184" s="15">
        <f>_xll.OneStreamExcelAddIn.XFFunctions.XFGetCell("True","Consol", $B184,"Tot_Entity","USD",E$2,E$3,E$4,$C184,"TopFlow","Top","Top","Tot_Los","TOT_Dept_WO_Addbacks","Tot_FC",$A184,"Top5","Top6","Reported","Top8")</f>
        <v>36440.75</v>
      </c>
      <c r="F184" s="15">
        <f>_xll.OneStreamExcelAddIn.XFFunctions.XFGetCell("True","Consol", $B184,"Tot_Entity","Aggregated",F$2,F$3,F$4,$C184,"TopFlow","Top","Top","Tot_Los","TOT_Dept_WO_Addbacks","TOP3",$A184,"Top5","Top6","Reported","Top8")</f>
        <v>29902.33</v>
      </c>
      <c r="G184" s="21">
        <f>+F184-E184</f>
        <v>-6538.4199999999983</v>
      </c>
      <c r="M184" s="15">
        <f>_xll.OneStreamExcelAddIn.XFFunctions.XFGetCell("True","Consol", $B184,"Tot_Entity","USD",M$2,M$3,M$4,$C184,"TopFlow","Top","Top","Tot_Los","TOT_Dept_WO_Addbacks","Tot_FC",$A184,"Top5","Top6","Reported","Top8")</f>
        <v>36440.75</v>
      </c>
      <c r="N184" s="15">
        <f>_xll.OneStreamExcelAddIn.XFFunctions.XFGetCell("True","Consol", $B184,"Tot_Entity","USD",N$2,N$3,N$4,$C184,"TopFlow","Top","Top","Tot_Los","TOT_Dept_WO_Addbacks","Tot_FC",$A184,"Top5","Top6","Reported","Top8")</f>
        <v>2920.4</v>
      </c>
      <c r="O184" s="21">
        <f>+N184-M184</f>
        <v>-33520.35</v>
      </c>
      <c r="Q184" s="21"/>
      <c r="R184" s="21"/>
      <c r="T184" s="21"/>
      <c r="V184" s="15">
        <f>_xll.OneStreamExcelAddIn.XFFunctions.XFGetCell("True","Consol", $B184,"Tot_Entity","USD",V$2,V$3,V$4,$C184,"TopFlow","Top","Top","Tot_Los","TOT_Dept_WO_Addbacks","Tot_FC",$A184,"Top5","Top6","Reported","Top8")</f>
        <v>101276.19</v>
      </c>
      <c r="W184" s="15">
        <f>_xll.OneStreamExcelAddIn.XFFunctions.XFGetCell("True","Consol", $B184,"Tot_Entity","Aggregated",W$2,W$3,W$4,$C184,"TopFlow","Top","Top","Tot_Los","TOT_Dept_WO_Addbacks","TOP3",$A184,"Top5","Top6","Reported","Top8")</f>
        <v>118774.33</v>
      </c>
      <c r="X184" s="21">
        <f>+W184-V184</f>
        <v>17498.14</v>
      </c>
      <c r="AD184" s="15">
        <f>_xll.OneStreamExcelAddIn.XFFunctions.XFGetCell("True","Consol", $B184,"Tot_Entity","USD",AD$2,AD$3,AD$4,$C184,"TopFlow","Top","Top","Tot_Los","TOT_Dept_WO_Addbacks","Tot_FC",$A184,"Top5","Top6","Reported","Top8")</f>
        <v>36440.75</v>
      </c>
      <c r="AE184" s="15">
        <f>_xll.OneStreamExcelAddIn.XFFunctions.XFGetCell("True","Consol", $B184,"Tot_Entity","USD",AE$2,AE$3,AE$4,$C184,"TopFlow","Top","Top","Tot_Los","TOT_Dept_WO_Addbacks","Tot_FC",$A184,"Top5","Top6","Reported","Top8")</f>
        <v>32145</v>
      </c>
      <c r="AF184" s="21">
        <f>+AE184-AD184</f>
        <v>-4295.75</v>
      </c>
      <c r="AL184" s="15">
        <f>_xll.OneStreamExcelAddIn.XFFunctions.XFGetCell("True","Consol", $B184,"Tot_Entity","USD",AL$2,AL$3,AL$4,$C184,"TopFlow","Top","Top","Tot_Los","TOT_Dept_WO_Addbacks","Tot_FC",$A184,"Top5","Top6","Reported","Top8")</f>
        <v>101276.19</v>
      </c>
      <c r="AM184" s="15">
        <f>_xll.OneStreamExcelAddIn.XFFunctions.XFGetCell("True","Consol", $B184,"Tot_Entity","USD",AM$2,AM$3,AM$4,$C184,"TopFlow","Top","Top","Tot_Los","TOT_Dept_WO_Addbacks","Tot_FC",$A184,"Top5","Top6","Reported","Top8")</f>
        <v>126695.39</v>
      </c>
      <c r="AN184" s="21">
        <f>+AM184-AL184</f>
        <v>25419.199999999997</v>
      </c>
      <c r="AT184" s="15">
        <f>_xll.OneStreamExcelAddIn.XFFunctions.XFGetCell("True","Consol", $B184,"Tot_Entity","USD",AT$2,AT$3,AT$4,$C184,"TopFlow","Top","Top","Tot_Los","TOT_Dept_WO_Addbacks","Tot_FC",$A184,"Top5","Top6","Reported","Top8")</f>
        <v>0</v>
      </c>
      <c r="AU184" s="15">
        <f>_xll.OneStreamExcelAddIn.XFFunctions.XFGetCell("True","Consol", $B184,"Tot_Entity","USD",AU$2,AU$3,AU$4,$C184,"TopFlow","Top","Top","Tot_Los","TOT_Dept_WO_Addbacks","Tot_FC",$A184,"Top5","Top6","Reported","Top8")</f>
        <v>29902.33</v>
      </c>
      <c r="AV184" s="162">
        <f>+AU184-AT184</f>
        <v>29902.33</v>
      </c>
    </row>
    <row r="185" spans="1:52" x14ac:dyDescent="0.2">
      <c r="A185" s="16" t="str">
        <f>+$A$8</f>
        <v>Acute_DIV1</v>
      </c>
      <c r="B185" s="15">
        <f>+$B$8</f>
        <v>127</v>
      </c>
      <c r="C185" s="14" t="s">
        <v>240</v>
      </c>
      <c r="D185" s="14" t="s">
        <v>241</v>
      </c>
      <c r="E185" s="15">
        <f>_xll.OneStreamExcelAddIn.XFFunctions.XFGetCell("True","Consol", $B185,"Tot_Entity","USD",E$2,E$3,E$4,$C185,"TopFlow","Top","Top","Tot_Los","TOT_Dept_WO_Addbacks","Tot_FC",$A185,"Top5","Top6","Reported","Top8")</f>
        <v>16121.93</v>
      </c>
      <c r="F185" s="15">
        <f>_xll.OneStreamExcelAddIn.XFFunctions.XFGetCell("True","Consol", $B185,"Tot_Entity","Aggregated",F$2,F$3,F$4,$C185,"TopFlow","Top","Top","Tot_Los","TOT_Dept_WO_Addbacks","TOP3",$A185,"Top5","Top6","Reported","Top8")</f>
        <v>21959.1</v>
      </c>
      <c r="G185" s="21">
        <f>+F185-E185</f>
        <v>5837.1699999999983</v>
      </c>
      <c r="M185" s="15">
        <f>_xll.OneStreamExcelAddIn.XFFunctions.XFGetCell("True","Consol", $B185,"Tot_Entity","USD",M$2,M$3,M$4,$C185,"TopFlow","Top","Top","Tot_Los","TOT_Dept_WO_Addbacks","Tot_FC",$A185,"Top5","Top6","Reported","Top8")</f>
        <v>16121.93</v>
      </c>
      <c r="N185" s="15">
        <f>_xll.OneStreamExcelAddIn.XFFunctions.XFGetCell("True","Consol", $B185,"Tot_Entity","USD",N$2,N$3,N$4,$C185,"TopFlow","Top","Top","Tot_Los","TOT_Dept_WO_Addbacks","Tot_FC",$A185,"Top5","Top6","Reported","Top8")</f>
        <v>38916.99</v>
      </c>
      <c r="O185" s="21">
        <f>+N185-M185</f>
        <v>22795.059999999998</v>
      </c>
      <c r="Q185" s="21"/>
      <c r="R185" s="21"/>
      <c r="T185" s="21"/>
      <c r="V185" s="15">
        <f>_xll.OneStreamExcelAddIn.XFFunctions.XFGetCell("True","Consol", $B185,"Tot_Entity","USD",V$2,V$3,V$4,$C185,"TopFlow","Top","Top","Tot_Los","TOT_Dept_WO_Addbacks","Tot_FC",$A185,"Top5","Top6","Reported","Top8")</f>
        <v>87992.56</v>
      </c>
      <c r="W185" s="15">
        <f>_xll.OneStreamExcelAddIn.XFFunctions.XFGetCell("True","Consol", $B185,"Tot_Entity","Aggregated",W$2,W$3,W$4,$C185,"TopFlow","Top","Top","Tot_Los","TOT_Dept_WO_Addbacks","TOP3",$A185,"Top5","Top6","Reported","Top8")</f>
        <v>85770.9</v>
      </c>
      <c r="X185" s="21">
        <f>+W185-V185</f>
        <v>-2221.6600000000035</v>
      </c>
      <c r="AD185" s="15">
        <f>_xll.OneStreamExcelAddIn.XFFunctions.XFGetCell("True","Consol", $B185,"Tot_Entity","USD",AD$2,AD$3,AD$4,$C185,"TopFlow","Top","Top","Tot_Los","TOT_Dept_WO_Addbacks","Tot_FC",$A185,"Top5","Top6","Reported","Top8")</f>
        <v>16121.93</v>
      </c>
      <c r="AE185" s="15">
        <f>_xll.OneStreamExcelAddIn.XFFunctions.XFGetCell("True","Consol", $B185,"Tot_Entity","USD",AE$2,AE$3,AE$4,$C185,"TopFlow","Top","Top","Tot_Los","TOT_Dept_WO_Addbacks","Tot_FC",$A185,"Top5","Top6","Reported","Top8")</f>
        <v>23691.51</v>
      </c>
      <c r="AF185" s="21">
        <f>+AE185-AD185</f>
        <v>7569.5799999999981</v>
      </c>
      <c r="AL185" s="15">
        <f>_xll.OneStreamExcelAddIn.XFFunctions.XFGetCell("True","Consol", $B185,"Tot_Entity","USD",AL$2,AL$3,AL$4,$C185,"TopFlow","Top","Top","Tot_Los","TOT_Dept_WO_Addbacks","Tot_FC",$A185,"Top5","Top6","Reported","Top8")</f>
        <v>87992.56</v>
      </c>
      <c r="AM185" s="15">
        <f>_xll.OneStreamExcelAddIn.XFFunctions.XFGetCell("True","Consol", $B185,"Tot_Entity","USD",AM$2,AM$3,AM$4,$C185,"TopFlow","Top","Top","Tot_Los","TOT_Dept_WO_Addbacks","Tot_FC",$A185,"Top5","Top6","Reported","Top8")</f>
        <v>87222.04</v>
      </c>
      <c r="AN185" s="21">
        <f>+AM185-AL185</f>
        <v>-770.52000000000407</v>
      </c>
      <c r="AT185" s="15">
        <f>_xll.OneStreamExcelAddIn.XFFunctions.XFGetCell("True","Consol", $B185,"Tot_Entity","USD",AT$2,AT$3,AT$4,$C185,"TopFlow","Top","Top","Tot_Los","TOT_Dept_WO_Addbacks","Tot_FC",$A185,"Top5","Top6","Reported","Top8")</f>
        <v>0</v>
      </c>
      <c r="AU185" s="15">
        <f>_xll.OneStreamExcelAddIn.XFFunctions.XFGetCell("True","Consol", $B185,"Tot_Entity","USD",AU$2,AU$3,AU$4,$C185,"TopFlow","Top","Top","Tot_Los","TOT_Dept_WO_Addbacks","Tot_FC",$A185,"Top5","Top6","Reported","Top8")</f>
        <v>21959.1</v>
      </c>
      <c r="AV185" s="162">
        <f>+AU185-AT185</f>
        <v>21959.1</v>
      </c>
    </row>
    <row r="186" spans="1:52" x14ac:dyDescent="0.2">
      <c r="A186" s="16" t="str">
        <f>+$A$8</f>
        <v>Acute_DIV1</v>
      </c>
      <c r="B186" s="15">
        <f>+$B$8</f>
        <v>127</v>
      </c>
      <c r="C186" s="14" t="s">
        <v>242</v>
      </c>
      <c r="D186" s="14" t="s">
        <v>243</v>
      </c>
      <c r="E186" s="15">
        <f>_xll.OneStreamExcelAddIn.XFFunctions.XFGetCell("True","Consol", $B186,"Tot_Entity","USD",E$2,E$3,E$4,$C186,"TopFlow","Top","Top","Tot_Los","TOT_Dept_WO_Addbacks","Tot_FC",$A186,"Top5","Top6","Reported","Top8")</f>
        <v>58997.68</v>
      </c>
      <c r="F186" s="15">
        <f>_xll.OneStreamExcelAddIn.XFFunctions.XFGetCell("True","Consol", $B186,"Tot_Entity","Aggregated",F$2,F$3,F$4,$C186,"TopFlow","Top","Top","Tot_Los","TOT_Dept_WO_Addbacks","TOP3",$A186,"Top5","Top6","Reported","Top8")</f>
        <v>60097.886000990999</v>
      </c>
      <c r="G186" s="21">
        <f>+F186-E186</f>
        <v>1100.2060009909983</v>
      </c>
      <c r="M186" s="15">
        <f>_xll.OneStreamExcelAddIn.XFFunctions.XFGetCell("True","Consol", $B186,"Tot_Entity","USD",M$2,M$3,M$4,$C186,"TopFlow","Top","Top","Tot_Los","TOT_Dept_WO_Addbacks","Tot_FC",$A186,"Top5","Top6","Reported","Top8")</f>
        <v>58997.68</v>
      </c>
      <c r="N186" s="15">
        <f>_xll.OneStreamExcelAddIn.XFFunctions.XFGetCell("True","Consol", $B186,"Tot_Entity","USD",N$2,N$3,N$4,$C186,"TopFlow","Top","Top","Tot_Los","TOT_Dept_WO_Addbacks","Tot_FC",$A186,"Top5","Top6","Reported","Top8")</f>
        <v>72526.09</v>
      </c>
      <c r="O186" s="21">
        <f>+N186-M186</f>
        <v>13528.409999999996</v>
      </c>
      <c r="Q186" s="21"/>
      <c r="R186" s="21"/>
      <c r="T186" s="21"/>
      <c r="V186" s="15">
        <f>_xll.OneStreamExcelAddIn.XFFunctions.XFGetCell("True","Consol", $B186,"Tot_Entity","USD",V$2,V$3,V$4,$C186,"TopFlow","Top","Top","Tot_Los","TOT_Dept_WO_Addbacks","Tot_FC",$A186,"Top5","Top6","Reported","Top8")</f>
        <v>233550.86</v>
      </c>
      <c r="W186" s="15">
        <f>_xll.OneStreamExcelAddIn.XFFunctions.XFGetCell("True","Consol", $B186,"Tot_Entity","Aggregated",W$2,W$3,W$4,$C186,"TopFlow","Top","Top","Tot_Los","TOT_Dept_WO_Addbacks","TOP3",$A186,"Top5","Top6","Reported","Top8")</f>
        <v>238943.858563074</v>
      </c>
      <c r="X186" s="21">
        <f>+W186-V186</f>
        <v>5392.9985630740121</v>
      </c>
      <c r="AD186" s="15">
        <f>_xll.OneStreamExcelAddIn.XFFunctions.XFGetCell("True","Consol", $B186,"Tot_Entity","USD",AD$2,AD$3,AD$4,$C186,"TopFlow","Top","Top","Tot_Los","TOT_Dept_WO_Addbacks","Tot_FC",$A186,"Top5","Top6","Reported","Top8")</f>
        <v>58997.68</v>
      </c>
      <c r="AE186" s="15">
        <f>_xll.OneStreamExcelAddIn.XFFunctions.XFGetCell("True","Consol", $B186,"Tot_Entity","USD",AE$2,AE$3,AE$4,$C186,"TopFlow","Top","Top","Tot_Los","TOT_Dept_WO_Addbacks","Tot_FC",$A186,"Top5","Top6","Reported","Top8")</f>
        <v>60190.95</v>
      </c>
      <c r="AF186" s="21">
        <f>+AE186-AD186</f>
        <v>1193.2699999999968</v>
      </c>
      <c r="AL186" s="15">
        <f>_xll.OneStreamExcelAddIn.XFFunctions.XFGetCell("True","Consol", $B186,"Tot_Entity","USD",AL$2,AL$3,AL$4,$C186,"TopFlow","Top","Top","Tot_Los","TOT_Dept_WO_Addbacks","Tot_FC",$A186,"Top5","Top6","Reported","Top8")</f>
        <v>233550.86</v>
      </c>
      <c r="AM186" s="15">
        <f>_xll.OneStreamExcelAddIn.XFFunctions.XFGetCell("True","Consol", $B186,"Tot_Entity","USD",AM$2,AM$3,AM$4,$C186,"TopFlow","Top","Top","Tot_Los","TOT_Dept_WO_Addbacks","Tot_FC",$A186,"Top5","Top6","Reported","Top8")</f>
        <v>196615.16</v>
      </c>
      <c r="AN186" s="21">
        <f>+AM186-AL186</f>
        <v>-36935.699999999983</v>
      </c>
      <c r="AT186" s="15">
        <f>_xll.OneStreamExcelAddIn.XFFunctions.XFGetCell("True","Consol", $B186,"Tot_Entity","USD",AT$2,AT$3,AT$4,$C186,"TopFlow","Top","Top","Tot_Los","TOT_Dept_WO_Addbacks","Tot_FC",$A186,"Top5","Top6","Reported","Top8")</f>
        <v>0</v>
      </c>
      <c r="AU186" s="15">
        <f>_xll.OneStreamExcelAddIn.XFFunctions.XFGetCell("True","Consol", $B186,"Tot_Entity","USD",AU$2,AU$3,AU$4,$C186,"TopFlow","Top","Top","Tot_Los","TOT_Dept_WO_Addbacks","Tot_FC",$A186,"Top5","Top6","Reported","Top8")</f>
        <v>60097.886000990999</v>
      </c>
      <c r="AV186" s="162">
        <f>+AU186-AT186</f>
        <v>60097.886000990999</v>
      </c>
    </row>
    <row r="187" spans="1:52" hidden="1" outlineLevel="1" x14ac:dyDescent="0.2">
      <c r="D187" s="36"/>
      <c r="E187" s="17" t="b">
        <f>E180=SUM(E182:E186)</f>
        <v>1</v>
      </c>
      <c r="F187" s="17" t="b">
        <f>F180=SUM(F182:F186)</f>
        <v>1</v>
      </c>
      <c r="G187" s="17"/>
      <c r="M187" s="17" t="b">
        <f>M180=SUM(M182:M186)</f>
        <v>1</v>
      </c>
      <c r="N187" s="17" t="b">
        <f>N180=SUM(N182:N186)</f>
        <v>1</v>
      </c>
      <c r="O187" s="17"/>
      <c r="Q187" s="17"/>
      <c r="R187" s="17"/>
      <c r="T187" s="17"/>
      <c r="V187" s="17" t="b">
        <f>V180=SUM(V182:V186)</f>
        <v>1</v>
      </c>
      <c r="W187" s="17" t="b">
        <f>W180=SUM(W182:W186)</f>
        <v>1</v>
      </c>
      <c r="X187" s="159"/>
      <c r="AD187" s="17" t="b">
        <f>AD180=SUM(AD182:AD186)</f>
        <v>1</v>
      </c>
      <c r="AE187" s="17" t="b">
        <f>AE180=SUM(AE182:AE186)</f>
        <v>1</v>
      </c>
      <c r="AF187" s="17"/>
      <c r="AL187" s="17" t="b">
        <f>AL180=SUM(AL182:AL186)</f>
        <v>1</v>
      </c>
      <c r="AM187" s="17" t="b">
        <f>AM180=SUM(AM182:AM186)</f>
        <v>1</v>
      </c>
      <c r="AN187" s="159"/>
      <c r="AT187" s="17" t="b">
        <f>AT180=SUM(AT182:AT186)</f>
        <v>1</v>
      </c>
      <c r="AU187" s="17" t="b">
        <f>AU180=SUM(AU182:AU186)</f>
        <v>1</v>
      </c>
      <c r="AV187" s="169"/>
    </row>
    <row r="188" spans="1:52" collapsed="1" x14ac:dyDescent="0.2"/>
    <row r="189" spans="1:52" x14ac:dyDescent="0.2">
      <c r="A189" s="16" t="str">
        <f>+$A$8</f>
        <v>Acute_DIV1</v>
      </c>
      <c r="B189" s="15">
        <f>+$B$8</f>
        <v>127</v>
      </c>
      <c r="C189" s="14" t="s">
        <v>244</v>
      </c>
      <c r="D189" s="14" t="s">
        <v>245</v>
      </c>
      <c r="E189" s="15">
        <f>_xll.OneStreamExcelAddIn.XFFunctions.XFGetCell("True","Consol", $B189,"Tot_Entity","USD",E$2,E$3,E$4,$C189,"TopFlow","Top","Top","Tot_Los","TOT_Dept_WO_Addbacks","Tot_FC",$A189,"Top5","Top6","Reported","Top8")</f>
        <v>98950</v>
      </c>
      <c r="F189" s="15">
        <f>_xll.OneStreamExcelAddIn.XFFunctions.XFGetCell("True","Consol", $B189,"Tot_Entity","Aggregated",F$2,F$3,F$4,$C189,"TopFlow","Top","Top","Tot_Los","TOT_Dept_WO_Addbacks","TOP3",$A189,"Top5","Top6","Reported","Top8")</f>
        <v>87492.5</v>
      </c>
      <c r="G189" s="21">
        <f>+F189-E189</f>
        <v>-11457.5</v>
      </c>
      <c r="M189" s="15">
        <f>_xll.OneStreamExcelAddIn.XFFunctions.XFGetCell("True","Consol", $B189,"Tot_Entity","USD",M$2,M$3,M$4,$C189,"TopFlow","Top","Top","Tot_Los","TOT_Dept_WO_Addbacks","Tot_FC",$A189,"Top5","Top6","Reported","Top8")</f>
        <v>98950</v>
      </c>
      <c r="N189" s="15">
        <f>_xll.OneStreamExcelAddIn.XFFunctions.XFGetCell("True","Consol", $B189,"Tot_Entity","USD",N$2,N$3,N$4,$C189,"TopFlow","Top","Top","Tot_Los","TOT_Dept_WO_Addbacks","Tot_FC",$A189,"Top5","Top6","Reported","Top8")</f>
        <v>106400.11</v>
      </c>
      <c r="O189" s="21">
        <f>+N189-M189</f>
        <v>7450.1100000000006</v>
      </c>
      <c r="Q189" s="21"/>
      <c r="R189" s="21"/>
      <c r="T189" s="21"/>
      <c r="V189" s="15">
        <f>_xll.OneStreamExcelAddIn.XFFunctions.XFGetCell("True","Consol", $B189,"Tot_Entity","USD",V$2,V$3,V$4,$C189,"TopFlow","Top","Top","Tot_Los","TOT_Dept_WO_Addbacks","Tot_FC",$A189,"Top5","Top6","Reported","Top8")</f>
        <v>408250.11</v>
      </c>
      <c r="W189" s="15">
        <f>_xll.OneStreamExcelAddIn.XFFunctions.XFGetCell("True","Consol", $B189,"Tot_Entity","Aggregated",W$2,W$3,W$4,$C189,"TopFlow","Top","Top","Tot_Los","TOT_Dept_WO_Addbacks","TOP3",$A189,"Top5","Top6","Reported","Top8")</f>
        <v>343212.5</v>
      </c>
      <c r="X189" s="21">
        <f>+W189-V189</f>
        <v>-65037.609999999986</v>
      </c>
      <c r="AB189" s="2">
        <f>+X189</f>
        <v>-65037.609999999986</v>
      </c>
      <c r="AD189" s="15">
        <f>_xll.OneStreamExcelAddIn.XFFunctions.XFGetCell("True","Consol", $B189,"Tot_Entity","USD",AD$2,AD$3,AD$4,$C189,"TopFlow","Top","Top","Tot_Los","TOT_Dept_WO_Addbacks","Tot_FC",$A189,"Top5","Top6","Reported","Top8")</f>
        <v>98950</v>
      </c>
      <c r="AE189" s="15">
        <f>_xll.OneStreamExcelAddIn.XFFunctions.XFGetCell("True","Consol", $B189,"Tot_Entity","USD",AE$2,AE$3,AE$4,$C189,"TopFlow","Top","Top","Tot_Los","TOT_Dept_WO_Addbacks","Tot_FC",$A189,"Top5","Top6","Reported","Top8")</f>
        <v>76789</v>
      </c>
      <c r="AF189" s="21">
        <f>+AE189-AD189</f>
        <v>-22161</v>
      </c>
      <c r="AJ189" s="2">
        <f>+AF189</f>
        <v>-22161</v>
      </c>
      <c r="AL189" s="15">
        <f>_xll.OneStreamExcelAddIn.XFFunctions.XFGetCell("True","Consol", $B189,"Tot_Entity","USD",AL$2,AL$3,AL$4,$C189,"TopFlow","Top","Top","Tot_Los","TOT_Dept_WO_Addbacks","Tot_FC",$A189,"Top5","Top6","Reported","Top8")</f>
        <v>408250.11</v>
      </c>
      <c r="AM189" s="15">
        <f>_xll.OneStreamExcelAddIn.XFFunctions.XFGetCell("True","Consol", $B189,"Tot_Entity","USD",AM$2,AM$3,AM$4,$C189,"TopFlow","Top","Top","Tot_Los","TOT_Dept_WO_Addbacks","Tot_FC",$A189,"Top5","Top6","Reported","Top8")</f>
        <v>284340.2</v>
      </c>
      <c r="AN189" s="21">
        <f>+AM189-AL189</f>
        <v>-123909.90999999997</v>
      </c>
      <c r="AR189" s="2">
        <f>+AN189</f>
        <v>-123909.90999999997</v>
      </c>
      <c r="AT189" s="15">
        <f>_xll.OneStreamExcelAddIn.XFFunctions.XFGetCell("True","Consol", $B189,"Tot_Entity","USD",AT$2,AT$3,AT$4,$C189,"TopFlow","Top","Top","Tot_Los","TOT_Dept_WO_Addbacks","Tot_FC",$A189,"Top5","Top6","Reported","Top8")</f>
        <v>0</v>
      </c>
      <c r="AU189" s="15">
        <f>_xll.OneStreamExcelAddIn.XFFunctions.XFGetCell("True","Consol", $B189,"Tot_Entity","USD",AU$2,AU$3,AU$4,$C189,"TopFlow","Top","Top","Tot_Los","TOT_Dept_WO_Addbacks","Tot_FC",$A189,"Top5","Top6","Reported","Top8")</f>
        <v>87492.5</v>
      </c>
      <c r="AV189" s="162">
        <f>+AU189-AT189</f>
        <v>87492.5</v>
      </c>
      <c r="AZ189" s="2">
        <f>+AV189</f>
        <v>87492.5</v>
      </c>
    </row>
    <row r="191" spans="1:52" x14ac:dyDescent="0.2">
      <c r="A191" s="16" t="str">
        <f t="shared" ref="A191:A198" si="76">+$A$8</f>
        <v>Acute_DIV1</v>
      </c>
      <c r="B191" s="15">
        <f t="shared" ref="B191:B198" si="77">+$B$8</f>
        <v>127</v>
      </c>
      <c r="C191" s="14" t="s">
        <v>246</v>
      </c>
      <c r="D191" s="14" t="s">
        <v>247</v>
      </c>
      <c r="E191" s="15">
        <f>_xll.OneStreamExcelAddIn.XFFunctions.XFGetCell("True","Consol", $B191,"Tot_Entity","USD",E$2,E$3,E$4,$C191,"TopFlow","Top","Top","Tot_Los","TOT_Dept_WO_Addbacks","Tot_FC",$A191,"Top5","Top6","Reported","Top8")</f>
        <v>98950</v>
      </c>
      <c r="F191" s="15">
        <f>_xll.OneStreamExcelAddIn.XFFunctions.XFGetCell("True","Consol", $B191,"Tot_Entity","Aggregated",F$2,F$3,F$4,$C191,"TopFlow","Top","Top","Tot_Los","TOT_Dept_WO_Addbacks","TOP3",$A191,"Top5","Top6","Reported","Top8")</f>
        <v>0</v>
      </c>
      <c r="G191" s="21">
        <f t="shared" ref="G191:G198" si="78">+F191-E191</f>
        <v>-98950</v>
      </c>
      <c r="M191" s="15">
        <f>_xll.OneStreamExcelAddIn.XFFunctions.XFGetCell("True","Consol", $B191,"Tot_Entity","USD",M$2,M$3,M$4,$C191,"TopFlow","Top","Top","Tot_Los","TOT_Dept_WO_Addbacks","Tot_FC",$A191,"Top5","Top6","Reported","Top8")</f>
        <v>98950</v>
      </c>
      <c r="N191" s="15">
        <f>_xll.OneStreamExcelAddIn.XFFunctions.XFGetCell("True","Consol", $B191,"Tot_Entity","USD",N$2,N$3,N$4,$C191,"TopFlow","Top","Top","Tot_Los","TOT_Dept_WO_Addbacks","Tot_FC",$A191,"Top5","Top6","Reported","Top8")</f>
        <v>106400.11</v>
      </c>
      <c r="O191" s="21">
        <f t="shared" ref="O191:O198" si="79">+N191-M191</f>
        <v>7450.1100000000006</v>
      </c>
      <c r="Q191" s="21"/>
      <c r="R191" s="21"/>
      <c r="T191" s="21"/>
      <c r="V191" s="15">
        <f>_xll.OneStreamExcelAddIn.XFFunctions.XFGetCell("True","Consol", $B191,"Tot_Entity","USD",V$2,V$3,V$4,$C191,"TopFlow","Top","Top","Tot_Los","TOT_Dept_WO_Addbacks","Tot_FC",$A191,"Top5","Top6","Reported","Top8")</f>
        <v>408250.11</v>
      </c>
      <c r="W191" s="15">
        <f>_xll.OneStreamExcelAddIn.XFFunctions.XFGetCell("True","Consol", $B191,"Tot_Entity","Aggregated",W$2,W$3,W$4,$C191,"TopFlow","Top","Top","Tot_Los","TOT_Dept_WO_Addbacks","TOP3",$A191,"Top5","Top6","Reported","Top8")</f>
        <v>0</v>
      </c>
      <c r="X191" s="21">
        <f t="shared" ref="X191:X198" si="80">+W191-V191</f>
        <v>-408250.11</v>
      </c>
      <c r="AD191" s="15">
        <f>_xll.OneStreamExcelAddIn.XFFunctions.XFGetCell("True","Consol", $B191,"Tot_Entity","USD",AD$2,AD$3,AD$4,$C191,"TopFlow","Top","Top","Tot_Los","TOT_Dept_WO_Addbacks","Tot_FC",$A191,"Top5","Top6","Reported","Top8")</f>
        <v>98950</v>
      </c>
      <c r="AE191" s="15">
        <f>_xll.OneStreamExcelAddIn.XFFunctions.XFGetCell("True","Consol", $B191,"Tot_Entity","USD",AE$2,AE$3,AE$4,$C191,"TopFlow","Top","Top","Tot_Los","TOT_Dept_WO_Addbacks","Tot_FC",$A191,"Top5","Top6","Reported","Top8")</f>
        <v>0</v>
      </c>
      <c r="AF191" s="21">
        <f t="shared" ref="AF191:AF198" si="81">+AE191-AD191</f>
        <v>-98950</v>
      </c>
      <c r="AL191" s="15">
        <f>_xll.OneStreamExcelAddIn.XFFunctions.XFGetCell("True","Consol", $B191,"Tot_Entity","USD",AL$2,AL$3,AL$4,$C191,"TopFlow","Top","Top","Tot_Los","TOT_Dept_WO_Addbacks","Tot_FC",$A191,"Top5","Top6","Reported","Top8")</f>
        <v>408250.11</v>
      </c>
      <c r="AM191" s="15">
        <f>_xll.OneStreamExcelAddIn.XFFunctions.XFGetCell("True","Consol", $B191,"Tot_Entity","USD",AM$2,AM$3,AM$4,$C191,"TopFlow","Top","Top","Tot_Los","TOT_Dept_WO_Addbacks","Tot_FC",$A191,"Top5","Top6","Reported","Top8")</f>
        <v>0</v>
      </c>
      <c r="AN191" s="21">
        <f t="shared" ref="AN191:AN198" si="82">+AM191-AL191</f>
        <v>-408250.11</v>
      </c>
      <c r="AT191" s="15">
        <f>_xll.OneStreamExcelAddIn.XFFunctions.XFGetCell("True","Consol", $B191,"Tot_Entity","USD",AT$2,AT$3,AT$4,$C191,"TopFlow","Top","Top","Tot_Los","TOT_Dept_WO_Addbacks","Tot_FC",$A191,"Top5","Top6","Reported","Top8")</f>
        <v>0</v>
      </c>
      <c r="AU191" s="15">
        <f>_xll.OneStreamExcelAddIn.XFFunctions.XFGetCell("True","Consol", $B191,"Tot_Entity","USD",AU$2,AU$3,AU$4,$C191,"TopFlow","Top","Top","Tot_Los","TOT_Dept_WO_Addbacks","Tot_FC",$A191,"Top5","Top6","Reported","Top8")</f>
        <v>0</v>
      </c>
      <c r="AV191" s="162">
        <f t="shared" ref="AV191:AV198" si="83">+AU191-AT191</f>
        <v>0</v>
      </c>
    </row>
    <row r="192" spans="1:52" x14ac:dyDescent="0.2">
      <c r="A192" s="16" t="str">
        <f t="shared" si="76"/>
        <v>Acute_DIV1</v>
      </c>
      <c r="B192" s="15">
        <f t="shared" si="77"/>
        <v>127</v>
      </c>
      <c r="C192" s="14" t="s">
        <v>248</v>
      </c>
      <c r="D192" s="14" t="s">
        <v>249</v>
      </c>
      <c r="E192" s="15">
        <f>_xll.OneStreamExcelAddIn.XFFunctions.XFGetCell("True","Consol", $B192,"Tot_Entity","USD",E$2,E$3,E$4,$C192,"TopFlow","Top","Top","Tot_Los","TOT_Dept_WO_Addbacks","Tot_FC",$A192,"Top5","Top6","Reported","Top8")</f>
        <v>0</v>
      </c>
      <c r="F192" s="15">
        <f>_xll.OneStreamExcelAddIn.XFFunctions.XFGetCell("True","Consol", $B192,"Tot_Entity","Aggregated",F$2,F$3,F$4,$C192,"TopFlow","Top","Top","Tot_Los","TOT_Dept_WO_Addbacks","TOP3",$A192,"Top5","Top6","Reported","Top8")</f>
        <v>0</v>
      </c>
      <c r="G192" s="21">
        <f t="shared" si="78"/>
        <v>0</v>
      </c>
      <c r="M192" s="15">
        <f>_xll.OneStreamExcelAddIn.XFFunctions.XFGetCell("True","Consol", $B192,"Tot_Entity","USD",M$2,M$3,M$4,$C192,"TopFlow","Top","Top","Tot_Los","TOT_Dept_WO_Addbacks","Tot_FC",$A192,"Top5","Top6","Reported","Top8")</f>
        <v>0</v>
      </c>
      <c r="N192" s="15">
        <f>_xll.OneStreamExcelAddIn.XFFunctions.XFGetCell("True","Consol", $B192,"Tot_Entity","USD",N$2,N$3,N$4,$C192,"TopFlow","Top","Top","Tot_Los","TOT_Dept_WO_Addbacks","Tot_FC",$A192,"Top5","Top6","Reported","Top8")</f>
        <v>0</v>
      </c>
      <c r="O192" s="21">
        <f t="shared" si="79"/>
        <v>0</v>
      </c>
      <c r="Q192" s="21"/>
      <c r="R192" s="21"/>
      <c r="T192" s="21"/>
      <c r="V192" s="15">
        <f>_xll.OneStreamExcelAddIn.XFFunctions.XFGetCell("True","Consol", $B192,"Tot_Entity","USD",V$2,V$3,V$4,$C192,"TopFlow","Top","Top","Tot_Los","TOT_Dept_WO_Addbacks","Tot_FC",$A192,"Top5","Top6","Reported","Top8")</f>
        <v>0</v>
      </c>
      <c r="W192" s="15">
        <f>_xll.OneStreamExcelAddIn.XFFunctions.XFGetCell("True","Consol", $B192,"Tot_Entity","Aggregated",W$2,W$3,W$4,$C192,"TopFlow","Top","Top","Tot_Los","TOT_Dept_WO_Addbacks","TOP3",$A192,"Top5","Top6","Reported","Top8")</f>
        <v>0</v>
      </c>
      <c r="X192" s="21">
        <f t="shared" si="80"/>
        <v>0</v>
      </c>
      <c r="AD192" s="15">
        <f>_xll.OneStreamExcelAddIn.XFFunctions.XFGetCell("True","Consol", $B192,"Tot_Entity","USD",AD$2,AD$3,AD$4,$C192,"TopFlow","Top","Top","Tot_Los","TOT_Dept_WO_Addbacks","Tot_FC",$A192,"Top5","Top6","Reported","Top8")</f>
        <v>0</v>
      </c>
      <c r="AE192" s="15">
        <f>_xll.OneStreamExcelAddIn.XFFunctions.XFGetCell("True","Consol", $B192,"Tot_Entity","USD",AE$2,AE$3,AE$4,$C192,"TopFlow","Top","Top","Tot_Los","TOT_Dept_WO_Addbacks","Tot_FC",$A192,"Top5","Top6","Reported","Top8")</f>
        <v>0</v>
      </c>
      <c r="AF192" s="21">
        <f t="shared" si="81"/>
        <v>0</v>
      </c>
      <c r="AL192" s="15">
        <f>_xll.OneStreamExcelAddIn.XFFunctions.XFGetCell("True","Consol", $B192,"Tot_Entity","USD",AL$2,AL$3,AL$4,$C192,"TopFlow","Top","Top","Tot_Los","TOT_Dept_WO_Addbacks","Tot_FC",$A192,"Top5","Top6","Reported","Top8")</f>
        <v>0</v>
      </c>
      <c r="AM192" s="15">
        <f>_xll.OneStreamExcelAddIn.XFFunctions.XFGetCell("True","Consol", $B192,"Tot_Entity","USD",AM$2,AM$3,AM$4,$C192,"TopFlow","Top","Top","Tot_Los","TOT_Dept_WO_Addbacks","Tot_FC",$A192,"Top5","Top6","Reported","Top8")</f>
        <v>0</v>
      </c>
      <c r="AN192" s="21">
        <f t="shared" si="82"/>
        <v>0</v>
      </c>
      <c r="AT192" s="15">
        <f>_xll.OneStreamExcelAddIn.XFFunctions.XFGetCell("True","Consol", $B192,"Tot_Entity","USD",AT$2,AT$3,AT$4,$C192,"TopFlow","Top","Top","Tot_Los","TOT_Dept_WO_Addbacks","Tot_FC",$A192,"Top5","Top6","Reported","Top8")</f>
        <v>0</v>
      </c>
      <c r="AU192" s="15">
        <f>_xll.OneStreamExcelAddIn.XFFunctions.XFGetCell("True","Consol", $B192,"Tot_Entity","USD",AU$2,AU$3,AU$4,$C192,"TopFlow","Top","Top","Tot_Los","TOT_Dept_WO_Addbacks","Tot_FC",$A192,"Top5","Top6","Reported","Top8")</f>
        <v>0</v>
      </c>
      <c r="AV192" s="162">
        <f t="shared" si="83"/>
        <v>0</v>
      </c>
    </row>
    <row r="193" spans="1:52" x14ac:dyDescent="0.2">
      <c r="A193" s="16" t="str">
        <f t="shared" si="76"/>
        <v>Acute_DIV1</v>
      </c>
      <c r="B193" s="15">
        <f t="shared" si="77"/>
        <v>127</v>
      </c>
      <c r="C193" s="14" t="s">
        <v>250</v>
      </c>
      <c r="D193" s="14" t="s">
        <v>251</v>
      </c>
      <c r="E193" s="15">
        <f>_xll.OneStreamExcelAddIn.XFFunctions.XFGetCell("True","Consol", $B193,"Tot_Entity","USD",E$2,E$3,E$4,$C193,"TopFlow","Top","Top","Tot_Los","TOT_Dept_WO_Addbacks","Tot_FC",$A193,"Top5","Top6","Reported","Top8")</f>
        <v>0</v>
      </c>
      <c r="F193" s="15">
        <f>_xll.OneStreamExcelAddIn.XFFunctions.XFGetCell("True","Consol", $B193,"Tot_Entity","Aggregated",F$2,F$3,F$4,$C193,"TopFlow","Top","Top","Tot_Los","TOT_Dept_WO_Addbacks","TOP3",$A193,"Top5","Top6","Reported","Top8")</f>
        <v>0</v>
      </c>
      <c r="G193" s="21">
        <f t="shared" si="78"/>
        <v>0</v>
      </c>
      <c r="M193" s="15">
        <f>_xll.OneStreamExcelAddIn.XFFunctions.XFGetCell("True","Consol", $B193,"Tot_Entity","USD",M$2,M$3,M$4,$C193,"TopFlow","Top","Top","Tot_Los","TOT_Dept_WO_Addbacks","Tot_FC",$A193,"Top5","Top6","Reported","Top8")</f>
        <v>0</v>
      </c>
      <c r="N193" s="15">
        <f>_xll.OneStreamExcelAddIn.XFFunctions.XFGetCell("True","Consol", $B193,"Tot_Entity","USD",N$2,N$3,N$4,$C193,"TopFlow","Top","Top","Tot_Los","TOT_Dept_WO_Addbacks","Tot_FC",$A193,"Top5","Top6","Reported","Top8")</f>
        <v>0</v>
      </c>
      <c r="O193" s="21">
        <f t="shared" si="79"/>
        <v>0</v>
      </c>
      <c r="Q193" s="21"/>
      <c r="R193" s="21"/>
      <c r="T193" s="21"/>
      <c r="V193" s="15">
        <f>_xll.OneStreamExcelAddIn.XFFunctions.XFGetCell("True","Consol", $B193,"Tot_Entity","USD",V$2,V$3,V$4,$C193,"TopFlow","Top","Top","Tot_Los","TOT_Dept_WO_Addbacks","Tot_FC",$A193,"Top5","Top6","Reported","Top8")</f>
        <v>0</v>
      </c>
      <c r="W193" s="15">
        <f>_xll.OneStreamExcelAddIn.XFFunctions.XFGetCell("True","Consol", $B193,"Tot_Entity","Aggregated",W$2,W$3,W$4,$C193,"TopFlow","Top","Top","Tot_Los","TOT_Dept_WO_Addbacks","TOP3",$A193,"Top5","Top6","Reported","Top8")</f>
        <v>0</v>
      </c>
      <c r="X193" s="21">
        <f t="shared" si="80"/>
        <v>0</v>
      </c>
      <c r="AD193" s="15">
        <f>_xll.OneStreamExcelAddIn.XFFunctions.XFGetCell("True","Consol", $B193,"Tot_Entity","USD",AD$2,AD$3,AD$4,$C193,"TopFlow","Top","Top","Tot_Los","TOT_Dept_WO_Addbacks","Tot_FC",$A193,"Top5","Top6","Reported","Top8")</f>
        <v>0</v>
      </c>
      <c r="AE193" s="15">
        <f>_xll.OneStreamExcelAddIn.XFFunctions.XFGetCell("True","Consol", $B193,"Tot_Entity","USD",AE$2,AE$3,AE$4,$C193,"TopFlow","Top","Top","Tot_Los","TOT_Dept_WO_Addbacks","Tot_FC",$A193,"Top5","Top6","Reported","Top8")</f>
        <v>0</v>
      </c>
      <c r="AF193" s="21">
        <f t="shared" si="81"/>
        <v>0</v>
      </c>
      <c r="AL193" s="15">
        <f>_xll.OneStreamExcelAddIn.XFFunctions.XFGetCell("True","Consol", $B193,"Tot_Entity","USD",AL$2,AL$3,AL$4,$C193,"TopFlow","Top","Top","Tot_Los","TOT_Dept_WO_Addbacks","Tot_FC",$A193,"Top5","Top6","Reported","Top8")</f>
        <v>0</v>
      </c>
      <c r="AM193" s="15">
        <f>_xll.OneStreamExcelAddIn.XFFunctions.XFGetCell("True","Consol", $B193,"Tot_Entity","USD",AM$2,AM$3,AM$4,$C193,"TopFlow","Top","Top","Tot_Los","TOT_Dept_WO_Addbacks","Tot_FC",$A193,"Top5","Top6","Reported","Top8")</f>
        <v>0</v>
      </c>
      <c r="AN193" s="21">
        <f t="shared" si="82"/>
        <v>0</v>
      </c>
      <c r="AT193" s="15">
        <f>_xll.OneStreamExcelAddIn.XFFunctions.XFGetCell("True","Consol", $B193,"Tot_Entity","USD",AT$2,AT$3,AT$4,$C193,"TopFlow","Top","Top","Tot_Los","TOT_Dept_WO_Addbacks","Tot_FC",$A193,"Top5","Top6","Reported","Top8")</f>
        <v>0</v>
      </c>
      <c r="AU193" s="15">
        <f>_xll.OneStreamExcelAddIn.XFFunctions.XFGetCell("True","Consol", $B193,"Tot_Entity","USD",AU$2,AU$3,AU$4,$C193,"TopFlow","Top","Top","Tot_Los","TOT_Dept_WO_Addbacks","Tot_FC",$A193,"Top5","Top6","Reported","Top8")</f>
        <v>0</v>
      </c>
      <c r="AV193" s="162">
        <f t="shared" si="83"/>
        <v>0</v>
      </c>
    </row>
    <row r="194" spans="1:52" x14ac:dyDescent="0.2">
      <c r="A194" s="16" t="str">
        <f t="shared" si="76"/>
        <v>Acute_DIV1</v>
      </c>
      <c r="B194" s="15">
        <f t="shared" si="77"/>
        <v>127</v>
      </c>
      <c r="C194" s="14" t="s">
        <v>252</v>
      </c>
      <c r="D194" s="14" t="s">
        <v>253</v>
      </c>
      <c r="E194" s="15">
        <f>_xll.OneStreamExcelAddIn.XFFunctions.XFGetCell("True","Consol", $B194,"Tot_Entity","USD",E$2,E$3,E$4,$C194,"TopFlow","Top","Top","Tot_Los","TOT_Dept_WO_Addbacks","Tot_FC",$A194,"Top5","Top6","Reported","Top8")</f>
        <v>0</v>
      </c>
      <c r="F194" s="15">
        <f>_xll.OneStreamExcelAddIn.XFFunctions.XFGetCell("True","Consol", $B194,"Tot_Entity","Aggregated",F$2,F$3,F$4,$C194,"TopFlow","Top","Top","Tot_Los","TOT_Dept_WO_Addbacks","TOP3",$A194,"Top5","Top6","Reported","Top8")</f>
        <v>71841.5</v>
      </c>
      <c r="G194" s="21">
        <f t="shared" si="78"/>
        <v>71841.5</v>
      </c>
      <c r="M194" s="15">
        <f>_xll.OneStreamExcelAddIn.XFFunctions.XFGetCell("True","Consol", $B194,"Tot_Entity","USD",M$2,M$3,M$4,$C194,"TopFlow","Top","Top","Tot_Los","TOT_Dept_WO_Addbacks","Tot_FC",$A194,"Top5","Top6","Reported","Top8")</f>
        <v>0</v>
      </c>
      <c r="N194" s="15">
        <f>_xll.OneStreamExcelAddIn.XFFunctions.XFGetCell("True","Consol", $B194,"Tot_Entity","USD",N$2,N$3,N$4,$C194,"TopFlow","Top","Top","Tot_Los","TOT_Dept_WO_Addbacks","Tot_FC",$A194,"Top5","Top6","Reported","Top8")</f>
        <v>0</v>
      </c>
      <c r="O194" s="21">
        <f t="shared" si="79"/>
        <v>0</v>
      </c>
      <c r="Q194" s="21"/>
      <c r="R194" s="21"/>
      <c r="T194" s="21"/>
      <c r="V194" s="15">
        <f>_xll.OneStreamExcelAddIn.XFFunctions.XFGetCell("True","Consol", $B194,"Tot_Entity","USD",V$2,V$3,V$4,$C194,"TopFlow","Top","Top","Tot_Los","TOT_Dept_WO_Addbacks","Tot_FC",$A194,"Top5","Top6","Reported","Top8")</f>
        <v>0</v>
      </c>
      <c r="W194" s="15">
        <f>_xll.OneStreamExcelAddIn.XFFunctions.XFGetCell("True","Consol", $B194,"Tot_Entity","Aggregated",W$2,W$3,W$4,$C194,"TopFlow","Top","Top","Tot_Los","TOT_Dept_WO_Addbacks","TOP3",$A194,"Top5","Top6","Reported","Top8")</f>
        <v>280608.5</v>
      </c>
      <c r="X194" s="21">
        <f t="shared" si="80"/>
        <v>280608.5</v>
      </c>
      <c r="AD194" s="15">
        <f>_xll.OneStreamExcelAddIn.XFFunctions.XFGetCell("True","Consol", $B194,"Tot_Entity","USD",AD$2,AD$3,AD$4,$C194,"TopFlow","Top","Top","Tot_Los","TOT_Dept_WO_Addbacks","Tot_FC",$A194,"Top5","Top6","Reported","Top8")</f>
        <v>0</v>
      </c>
      <c r="AE194" s="15">
        <f>_xll.OneStreamExcelAddIn.XFFunctions.XFGetCell("True","Consol", $B194,"Tot_Entity","USD",AE$2,AE$3,AE$4,$C194,"TopFlow","Top","Top","Tot_Los","TOT_Dept_WO_Addbacks","Tot_FC",$A194,"Top5","Top6","Reported","Top8")</f>
        <v>68250</v>
      </c>
      <c r="AF194" s="21">
        <f t="shared" si="81"/>
        <v>68250</v>
      </c>
      <c r="AL194" s="15">
        <f>_xll.OneStreamExcelAddIn.XFFunctions.XFGetCell("True","Consol", $B194,"Tot_Entity","USD",AL$2,AL$3,AL$4,$C194,"TopFlow","Top","Top","Tot_Los","TOT_Dept_WO_Addbacks","Tot_FC",$A194,"Top5","Top6","Reported","Top8")</f>
        <v>0</v>
      </c>
      <c r="AM194" s="15">
        <f>_xll.OneStreamExcelAddIn.XFFunctions.XFGetCell("True","Consol", $B194,"Tot_Entity","USD",AM$2,AM$3,AM$4,$C194,"TopFlow","Top","Top","Tot_Los","TOT_Dept_WO_Addbacks","Tot_FC",$A194,"Top5","Top6","Reported","Top8")</f>
        <v>295950</v>
      </c>
      <c r="AN194" s="21">
        <f t="shared" si="82"/>
        <v>295950</v>
      </c>
      <c r="AT194" s="15">
        <f>_xll.OneStreamExcelAddIn.XFFunctions.XFGetCell("True","Consol", $B194,"Tot_Entity","USD",AT$2,AT$3,AT$4,$C194,"TopFlow","Top","Top","Tot_Los","TOT_Dept_WO_Addbacks","Tot_FC",$A194,"Top5","Top6","Reported","Top8")</f>
        <v>0</v>
      </c>
      <c r="AU194" s="15">
        <f>_xll.OneStreamExcelAddIn.XFFunctions.XFGetCell("True","Consol", $B194,"Tot_Entity","USD",AU$2,AU$3,AU$4,$C194,"TopFlow","Top","Top","Tot_Los","TOT_Dept_WO_Addbacks","Tot_FC",$A194,"Top5","Top6","Reported","Top8")</f>
        <v>71841.5</v>
      </c>
      <c r="AV194" s="162">
        <f t="shared" si="83"/>
        <v>71841.5</v>
      </c>
    </row>
    <row r="195" spans="1:52" x14ac:dyDescent="0.2">
      <c r="A195" s="16" t="str">
        <f t="shared" si="76"/>
        <v>Acute_DIV1</v>
      </c>
      <c r="B195" s="15">
        <f t="shared" si="77"/>
        <v>127</v>
      </c>
      <c r="C195" s="14" t="s">
        <v>254</v>
      </c>
      <c r="D195" s="14" t="s">
        <v>255</v>
      </c>
      <c r="E195" s="15">
        <f>_xll.OneStreamExcelAddIn.XFFunctions.XFGetCell("True","Consol", $B195,"Tot_Entity","USD",E$2,E$3,E$4,$C195,"TopFlow","Top","Top","Tot_Los","TOT_Dept_WO_Addbacks","Tot_FC",$A195,"Top5","Top6","Reported","Top8")</f>
        <v>0</v>
      </c>
      <c r="F195" s="15">
        <f>_xll.OneStreamExcelAddIn.XFFunctions.XFGetCell("True","Consol", $B195,"Tot_Entity","Aggregated",F$2,F$3,F$4,$C195,"TopFlow","Top","Top","Tot_Los","TOT_Dept_WO_Addbacks","TOP3",$A195,"Top5","Top6","Reported","Top8")</f>
        <v>0</v>
      </c>
      <c r="G195" s="21">
        <f t="shared" si="78"/>
        <v>0</v>
      </c>
      <c r="M195" s="15">
        <f>_xll.OneStreamExcelAddIn.XFFunctions.XFGetCell("True","Consol", $B195,"Tot_Entity","USD",M$2,M$3,M$4,$C195,"TopFlow","Top","Top","Tot_Los","TOT_Dept_WO_Addbacks","Tot_FC",$A195,"Top5","Top6","Reported","Top8")</f>
        <v>0</v>
      </c>
      <c r="N195" s="15">
        <f>_xll.OneStreamExcelAddIn.XFFunctions.XFGetCell("True","Consol", $B195,"Tot_Entity","USD",N$2,N$3,N$4,$C195,"TopFlow","Top","Top","Tot_Los","TOT_Dept_WO_Addbacks","Tot_FC",$A195,"Top5","Top6","Reported","Top8")</f>
        <v>0</v>
      </c>
      <c r="O195" s="21">
        <f t="shared" si="79"/>
        <v>0</v>
      </c>
      <c r="Q195" s="21"/>
      <c r="R195" s="21"/>
      <c r="T195" s="21"/>
      <c r="V195" s="15">
        <f>_xll.OneStreamExcelAddIn.XFFunctions.XFGetCell("True","Consol", $B195,"Tot_Entity","USD",V$2,V$3,V$4,$C195,"TopFlow","Top","Top","Tot_Los","TOT_Dept_WO_Addbacks","Tot_FC",$A195,"Top5","Top6","Reported","Top8")</f>
        <v>0</v>
      </c>
      <c r="W195" s="15">
        <f>_xll.OneStreamExcelAddIn.XFFunctions.XFGetCell("True","Consol", $B195,"Tot_Entity","Aggregated",W$2,W$3,W$4,$C195,"TopFlow","Top","Top","Tot_Los","TOT_Dept_WO_Addbacks","TOP3",$A195,"Top5","Top6","Reported","Top8")</f>
        <v>0</v>
      </c>
      <c r="X195" s="21">
        <f t="shared" si="80"/>
        <v>0</v>
      </c>
      <c r="AD195" s="15">
        <f>_xll.OneStreamExcelAddIn.XFFunctions.XFGetCell("True","Consol", $B195,"Tot_Entity","USD",AD$2,AD$3,AD$4,$C195,"TopFlow","Top","Top","Tot_Los","TOT_Dept_WO_Addbacks","Tot_FC",$A195,"Top5","Top6","Reported","Top8")</f>
        <v>0</v>
      </c>
      <c r="AE195" s="15">
        <f>_xll.OneStreamExcelAddIn.XFFunctions.XFGetCell("True","Consol", $B195,"Tot_Entity","USD",AE$2,AE$3,AE$4,$C195,"TopFlow","Top","Top","Tot_Los","TOT_Dept_WO_Addbacks","Tot_FC",$A195,"Top5","Top6","Reported","Top8")</f>
        <v>0</v>
      </c>
      <c r="AF195" s="21">
        <f t="shared" si="81"/>
        <v>0</v>
      </c>
      <c r="AL195" s="15">
        <f>_xll.OneStreamExcelAddIn.XFFunctions.XFGetCell("True","Consol", $B195,"Tot_Entity","USD",AL$2,AL$3,AL$4,$C195,"TopFlow","Top","Top","Tot_Los","TOT_Dept_WO_Addbacks","Tot_FC",$A195,"Top5","Top6","Reported","Top8")</f>
        <v>0</v>
      </c>
      <c r="AM195" s="15">
        <f>_xll.OneStreamExcelAddIn.XFFunctions.XFGetCell("True","Consol", $B195,"Tot_Entity","USD",AM$2,AM$3,AM$4,$C195,"TopFlow","Top","Top","Tot_Los","TOT_Dept_WO_Addbacks","Tot_FC",$A195,"Top5","Top6","Reported","Top8")</f>
        <v>0</v>
      </c>
      <c r="AN195" s="21">
        <f t="shared" si="82"/>
        <v>0</v>
      </c>
      <c r="AT195" s="15">
        <f>_xll.OneStreamExcelAddIn.XFFunctions.XFGetCell("True","Consol", $B195,"Tot_Entity","USD",AT$2,AT$3,AT$4,$C195,"TopFlow","Top","Top","Tot_Los","TOT_Dept_WO_Addbacks","Tot_FC",$A195,"Top5","Top6","Reported","Top8")</f>
        <v>0</v>
      </c>
      <c r="AU195" s="15">
        <f>_xll.OneStreamExcelAddIn.XFFunctions.XFGetCell("True","Consol", $B195,"Tot_Entity","USD",AU$2,AU$3,AU$4,$C195,"TopFlow","Top","Top","Tot_Los","TOT_Dept_WO_Addbacks","Tot_FC",$A195,"Top5","Top6","Reported","Top8")</f>
        <v>0</v>
      </c>
      <c r="AV195" s="162">
        <f t="shared" si="83"/>
        <v>0</v>
      </c>
    </row>
    <row r="196" spans="1:52" x14ac:dyDescent="0.2">
      <c r="A196" s="16" t="str">
        <f t="shared" si="76"/>
        <v>Acute_DIV1</v>
      </c>
      <c r="B196" s="15">
        <f t="shared" si="77"/>
        <v>127</v>
      </c>
      <c r="C196" s="14" t="s">
        <v>256</v>
      </c>
      <c r="D196" s="14" t="s">
        <v>257</v>
      </c>
      <c r="E196" s="15">
        <f>_xll.OneStreamExcelAddIn.XFFunctions.XFGetCell("True","Consol", $B196,"Tot_Entity","USD",E$2,E$3,E$4,$C196,"TopFlow","Top","Top","Tot_Los","TOT_Dept_WO_Addbacks","Tot_FC",$A196,"Top5","Top6","Reported","Top8")</f>
        <v>0</v>
      </c>
      <c r="F196" s="15">
        <f>_xll.OneStreamExcelAddIn.XFFunctions.XFGetCell("True","Consol", $B196,"Tot_Entity","Aggregated",F$2,F$3,F$4,$C196,"TopFlow","Top","Top","Tot_Los","TOT_Dept_WO_Addbacks","TOP3",$A196,"Top5","Top6","Reported","Top8")</f>
        <v>0</v>
      </c>
      <c r="G196" s="21">
        <f t="shared" si="78"/>
        <v>0</v>
      </c>
      <c r="M196" s="15">
        <f>_xll.OneStreamExcelAddIn.XFFunctions.XFGetCell("True","Consol", $B196,"Tot_Entity","USD",M$2,M$3,M$4,$C196,"TopFlow","Top","Top","Tot_Los","TOT_Dept_WO_Addbacks","Tot_FC",$A196,"Top5","Top6","Reported","Top8")</f>
        <v>0</v>
      </c>
      <c r="N196" s="15">
        <f>_xll.OneStreamExcelAddIn.XFFunctions.XFGetCell("True","Consol", $B196,"Tot_Entity","USD",N$2,N$3,N$4,$C196,"TopFlow","Top","Top","Tot_Los","TOT_Dept_WO_Addbacks","Tot_FC",$A196,"Top5","Top6","Reported","Top8")</f>
        <v>0</v>
      </c>
      <c r="O196" s="21">
        <f t="shared" si="79"/>
        <v>0</v>
      </c>
      <c r="Q196" s="21"/>
      <c r="R196" s="21"/>
      <c r="T196" s="21"/>
      <c r="V196" s="15">
        <f>_xll.OneStreamExcelAddIn.XFFunctions.XFGetCell("True","Consol", $B196,"Tot_Entity","USD",V$2,V$3,V$4,$C196,"TopFlow","Top","Top","Tot_Los","TOT_Dept_WO_Addbacks","Tot_FC",$A196,"Top5","Top6","Reported","Top8")</f>
        <v>0</v>
      </c>
      <c r="W196" s="15">
        <f>_xll.OneStreamExcelAddIn.XFFunctions.XFGetCell("True","Consol", $B196,"Tot_Entity","Aggregated",W$2,W$3,W$4,$C196,"TopFlow","Top","Top","Tot_Los","TOT_Dept_WO_Addbacks","TOP3",$A196,"Top5","Top6","Reported","Top8")</f>
        <v>0</v>
      </c>
      <c r="X196" s="21">
        <f t="shared" si="80"/>
        <v>0</v>
      </c>
      <c r="AD196" s="15">
        <f>_xll.OneStreamExcelAddIn.XFFunctions.XFGetCell("True","Consol", $B196,"Tot_Entity","USD",AD$2,AD$3,AD$4,$C196,"TopFlow","Top","Top","Tot_Los","TOT_Dept_WO_Addbacks","Tot_FC",$A196,"Top5","Top6","Reported","Top8")</f>
        <v>0</v>
      </c>
      <c r="AE196" s="15">
        <f>_xll.OneStreamExcelAddIn.XFFunctions.XFGetCell("True","Consol", $B196,"Tot_Entity","USD",AE$2,AE$3,AE$4,$C196,"TopFlow","Top","Top","Tot_Los","TOT_Dept_WO_Addbacks","Tot_FC",$A196,"Top5","Top6","Reported","Top8")</f>
        <v>0</v>
      </c>
      <c r="AF196" s="21">
        <f t="shared" si="81"/>
        <v>0</v>
      </c>
      <c r="AL196" s="15">
        <f>_xll.OneStreamExcelAddIn.XFFunctions.XFGetCell("True","Consol", $B196,"Tot_Entity","USD",AL$2,AL$3,AL$4,$C196,"TopFlow","Top","Top","Tot_Los","TOT_Dept_WO_Addbacks","Tot_FC",$A196,"Top5","Top6","Reported","Top8")</f>
        <v>0</v>
      </c>
      <c r="AM196" s="15">
        <f>_xll.OneStreamExcelAddIn.XFFunctions.XFGetCell("True","Consol", $B196,"Tot_Entity","USD",AM$2,AM$3,AM$4,$C196,"TopFlow","Top","Top","Tot_Los","TOT_Dept_WO_Addbacks","Tot_FC",$A196,"Top5","Top6","Reported","Top8")</f>
        <v>0</v>
      </c>
      <c r="AN196" s="21">
        <f t="shared" si="82"/>
        <v>0</v>
      </c>
      <c r="AT196" s="15">
        <f>_xll.OneStreamExcelAddIn.XFFunctions.XFGetCell("True","Consol", $B196,"Tot_Entity","USD",AT$2,AT$3,AT$4,$C196,"TopFlow","Top","Top","Tot_Los","TOT_Dept_WO_Addbacks","Tot_FC",$A196,"Top5","Top6","Reported","Top8")</f>
        <v>0</v>
      </c>
      <c r="AU196" s="15">
        <f>_xll.OneStreamExcelAddIn.XFFunctions.XFGetCell("True","Consol", $B196,"Tot_Entity","USD",AU$2,AU$3,AU$4,$C196,"TopFlow","Top","Top","Tot_Los","TOT_Dept_WO_Addbacks","Tot_FC",$A196,"Top5","Top6","Reported","Top8")</f>
        <v>0</v>
      </c>
      <c r="AV196" s="162">
        <f t="shared" si="83"/>
        <v>0</v>
      </c>
    </row>
    <row r="197" spans="1:52" x14ac:dyDescent="0.2">
      <c r="A197" s="16" t="str">
        <f t="shared" si="76"/>
        <v>Acute_DIV1</v>
      </c>
      <c r="B197" s="15">
        <f t="shared" si="77"/>
        <v>127</v>
      </c>
      <c r="C197" s="14" t="s">
        <v>258</v>
      </c>
      <c r="D197" s="14" t="s">
        <v>259</v>
      </c>
      <c r="E197" s="15">
        <f>_xll.OneStreamExcelAddIn.XFFunctions.XFGetCell("True","Consol", $B197,"Tot_Entity","USD",E$2,E$3,E$4,$C197,"TopFlow","Top","Top","Tot_Los","TOT_Dept_WO_Addbacks","Tot_FC",$A197,"Top5","Top6","Reported","Top8")</f>
        <v>0</v>
      </c>
      <c r="F197" s="15">
        <f>_xll.OneStreamExcelAddIn.XFFunctions.XFGetCell("True","Consol", $B197,"Tot_Entity","Aggregated",F$2,F$3,F$4,$C197,"TopFlow","Top","Top","Tot_Los","TOT_Dept_WO_Addbacks","TOP3",$A197,"Top5","Top6","Reported","Top8")</f>
        <v>0</v>
      </c>
      <c r="G197" s="21">
        <f t="shared" si="78"/>
        <v>0</v>
      </c>
      <c r="M197" s="15">
        <f>_xll.OneStreamExcelAddIn.XFFunctions.XFGetCell("True","Consol", $B197,"Tot_Entity","USD",M$2,M$3,M$4,$C197,"TopFlow","Top","Top","Tot_Los","TOT_Dept_WO_Addbacks","Tot_FC",$A197,"Top5","Top6","Reported","Top8")</f>
        <v>0</v>
      </c>
      <c r="N197" s="15">
        <f>_xll.OneStreamExcelAddIn.XFFunctions.XFGetCell("True","Consol", $B197,"Tot_Entity","USD",N$2,N$3,N$4,$C197,"TopFlow","Top","Top","Tot_Los","TOT_Dept_WO_Addbacks","Tot_FC",$A197,"Top5","Top6","Reported","Top8")</f>
        <v>0</v>
      </c>
      <c r="O197" s="21">
        <f t="shared" si="79"/>
        <v>0</v>
      </c>
      <c r="Q197" s="21"/>
      <c r="R197" s="21"/>
      <c r="T197" s="21"/>
      <c r="V197" s="15">
        <f>_xll.OneStreamExcelAddIn.XFFunctions.XFGetCell("True","Consol", $B197,"Tot_Entity","USD",V$2,V$3,V$4,$C197,"TopFlow","Top","Top","Tot_Los","TOT_Dept_WO_Addbacks","Tot_FC",$A197,"Top5","Top6","Reported","Top8")</f>
        <v>0</v>
      </c>
      <c r="W197" s="15">
        <f>_xll.OneStreamExcelAddIn.XFFunctions.XFGetCell("True","Consol", $B197,"Tot_Entity","Aggregated",W$2,W$3,W$4,$C197,"TopFlow","Top","Top","Tot_Los","TOT_Dept_WO_Addbacks","TOP3",$A197,"Top5","Top6","Reported","Top8")</f>
        <v>0</v>
      </c>
      <c r="X197" s="21">
        <f t="shared" si="80"/>
        <v>0</v>
      </c>
      <c r="AD197" s="15">
        <f>_xll.OneStreamExcelAddIn.XFFunctions.XFGetCell("True","Consol", $B197,"Tot_Entity","USD",AD$2,AD$3,AD$4,$C197,"TopFlow","Top","Top","Tot_Los","TOT_Dept_WO_Addbacks","Tot_FC",$A197,"Top5","Top6","Reported","Top8")</f>
        <v>0</v>
      </c>
      <c r="AE197" s="15">
        <f>_xll.OneStreamExcelAddIn.XFFunctions.XFGetCell("True","Consol", $B197,"Tot_Entity","USD",AE$2,AE$3,AE$4,$C197,"TopFlow","Top","Top","Tot_Los","TOT_Dept_WO_Addbacks","Tot_FC",$A197,"Top5","Top6","Reported","Top8")</f>
        <v>0</v>
      </c>
      <c r="AF197" s="21">
        <f t="shared" si="81"/>
        <v>0</v>
      </c>
      <c r="AL197" s="15">
        <f>_xll.OneStreamExcelAddIn.XFFunctions.XFGetCell("True","Consol", $B197,"Tot_Entity","USD",AL$2,AL$3,AL$4,$C197,"TopFlow","Top","Top","Tot_Los","TOT_Dept_WO_Addbacks","Tot_FC",$A197,"Top5","Top6","Reported","Top8")</f>
        <v>0</v>
      </c>
      <c r="AM197" s="15">
        <f>_xll.OneStreamExcelAddIn.XFFunctions.XFGetCell("True","Consol", $B197,"Tot_Entity","USD",AM$2,AM$3,AM$4,$C197,"TopFlow","Top","Top","Tot_Los","TOT_Dept_WO_Addbacks","Tot_FC",$A197,"Top5","Top6","Reported","Top8")</f>
        <v>0</v>
      </c>
      <c r="AN197" s="21">
        <f t="shared" si="82"/>
        <v>0</v>
      </c>
      <c r="AT197" s="15">
        <f>_xll.OneStreamExcelAddIn.XFFunctions.XFGetCell("True","Consol", $B197,"Tot_Entity","USD",AT$2,AT$3,AT$4,$C197,"TopFlow","Top","Top","Tot_Los","TOT_Dept_WO_Addbacks","Tot_FC",$A197,"Top5","Top6","Reported","Top8")</f>
        <v>0</v>
      </c>
      <c r="AU197" s="15">
        <f>_xll.OneStreamExcelAddIn.XFFunctions.XFGetCell("True","Consol", $B197,"Tot_Entity","USD",AU$2,AU$3,AU$4,$C197,"TopFlow","Top","Top","Tot_Los","TOT_Dept_WO_Addbacks","Tot_FC",$A197,"Top5","Top6","Reported","Top8")</f>
        <v>0</v>
      </c>
      <c r="AV197" s="162">
        <f t="shared" si="83"/>
        <v>0</v>
      </c>
    </row>
    <row r="198" spans="1:52" x14ac:dyDescent="0.2">
      <c r="A198" s="16" t="str">
        <f t="shared" si="76"/>
        <v>Acute_DIV1</v>
      </c>
      <c r="B198" s="15">
        <f t="shared" si="77"/>
        <v>127</v>
      </c>
      <c r="C198" s="14" t="s">
        <v>260</v>
      </c>
      <c r="D198" s="14" t="s">
        <v>261</v>
      </c>
      <c r="E198" s="15">
        <f>_xll.OneStreamExcelAddIn.XFFunctions.XFGetCell("True","Consol", $B198,"Tot_Entity","USD",E$2,E$3,E$4,$C198,"TopFlow","Top","Top","Tot_Los","TOT_Dept_WO_Addbacks","Tot_FC",$A198,"Top5","Top6","Reported","Top8")</f>
        <v>0</v>
      </c>
      <c r="F198" s="15">
        <f>_xll.OneStreamExcelAddIn.XFFunctions.XFGetCell("True","Consol", $B198,"Tot_Entity","Aggregated",F$2,F$3,F$4,$C198,"TopFlow","Top","Top","Tot_Los","TOT_Dept_WO_Addbacks","TOP3",$A198,"Top5","Top6","Reported","Top8")</f>
        <v>15651</v>
      </c>
      <c r="G198" s="21">
        <f t="shared" si="78"/>
        <v>15651</v>
      </c>
      <c r="M198" s="15">
        <f>_xll.OneStreamExcelAddIn.XFFunctions.XFGetCell("True","Consol", $B198,"Tot_Entity","USD",M$2,M$3,M$4,$C198,"TopFlow","Top","Top","Tot_Los","TOT_Dept_WO_Addbacks","Tot_FC",$A198,"Top5","Top6","Reported","Top8")</f>
        <v>0</v>
      </c>
      <c r="N198" s="15">
        <f>_xll.OneStreamExcelAddIn.XFFunctions.XFGetCell("True","Consol", $B198,"Tot_Entity","USD",N$2,N$3,N$4,$C198,"TopFlow","Top","Top","Tot_Los","TOT_Dept_WO_Addbacks","Tot_FC",$A198,"Top5","Top6","Reported","Top8")</f>
        <v>0</v>
      </c>
      <c r="O198" s="21">
        <f t="shared" si="79"/>
        <v>0</v>
      </c>
      <c r="Q198" s="21"/>
      <c r="R198" s="21"/>
      <c r="T198" s="21"/>
      <c r="V198" s="15">
        <f>_xll.OneStreamExcelAddIn.XFFunctions.XFGetCell("True","Consol", $B198,"Tot_Entity","USD",V$2,V$3,V$4,$C198,"TopFlow","Top","Top","Tot_Los","TOT_Dept_WO_Addbacks","Tot_FC",$A198,"Top5","Top6","Reported","Top8")</f>
        <v>0</v>
      </c>
      <c r="W198" s="15">
        <f>_xll.OneStreamExcelAddIn.XFFunctions.XFGetCell("True","Consol", $B198,"Tot_Entity","Aggregated",W$2,W$3,W$4,$C198,"TopFlow","Top","Top","Tot_Los","TOT_Dept_WO_Addbacks","TOP3",$A198,"Top5","Top6","Reported","Top8")</f>
        <v>62604</v>
      </c>
      <c r="X198" s="21">
        <f t="shared" si="80"/>
        <v>62604</v>
      </c>
      <c r="AD198" s="15">
        <f>_xll.OneStreamExcelAddIn.XFFunctions.XFGetCell("True","Consol", $B198,"Tot_Entity","USD",AD$2,AD$3,AD$4,$C198,"TopFlow","Top","Top","Tot_Los","TOT_Dept_WO_Addbacks","Tot_FC",$A198,"Top5","Top6","Reported","Top8")</f>
        <v>0</v>
      </c>
      <c r="AE198" s="15">
        <f>_xll.OneStreamExcelAddIn.XFFunctions.XFGetCell("True","Consol", $B198,"Tot_Entity","USD",AE$2,AE$3,AE$4,$C198,"TopFlow","Top","Top","Tot_Los","TOT_Dept_WO_Addbacks","Tot_FC",$A198,"Top5","Top6","Reported","Top8")</f>
        <v>8539</v>
      </c>
      <c r="AF198" s="21">
        <f t="shared" si="81"/>
        <v>8539</v>
      </c>
      <c r="AL198" s="15">
        <f>_xll.OneStreamExcelAddIn.XFFunctions.XFGetCell("True","Consol", $B198,"Tot_Entity","USD",AL$2,AL$3,AL$4,$C198,"TopFlow","Top","Top","Tot_Los","TOT_Dept_WO_Addbacks","Tot_FC",$A198,"Top5","Top6","Reported","Top8")</f>
        <v>0</v>
      </c>
      <c r="AM198" s="15">
        <f>_xll.OneStreamExcelAddIn.XFFunctions.XFGetCell("True","Consol", $B198,"Tot_Entity","USD",AM$2,AM$3,AM$4,$C198,"TopFlow","Top","Top","Tot_Los","TOT_Dept_WO_Addbacks","Tot_FC",$A198,"Top5","Top6","Reported","Top8")</f>
        <v>-11609.8</v>
      </c>
      <c r="AN198" s="21">
        <f t="shared" si="82"/>
        <v>-11609.8</v>
      </c>
      <c r="AT198" s="15">
        <f>_xll.OneStreamExcelAddIn.XFFunctions.XFGetCell("True","Consol", $B198,"Tot_Entity","USD",AT$2,AT$3,AT$4,$C198,"TopFlow","Top","Top","Tot_Los","TOT_Dept_WO_Addbacks","Tot_FC",$A198,"Top5","Top6","Reported","Top8")</f>
        <v>0</v>
      </c>
      <c r="AU198" s="15">
        <f>_xll.OneStreamExcelAddIn.XFFunctions.XFGetCell("True","Consol", $B198,"Tot_Entity","USD",AU$2,AU$3,AU$4,$C198,"TopFlow","Top","Top","Tot_Los","TOT_Dept_WO_Addbacks","Tot_FC",$A198,"Top5","Top6","Reported","Top8")</f>
        <v>15651</v>
      </c>
      <c r="AV198" s="162">
        <f t="shared" si="83"/>
        <v>15651</v>
      </c>
    </row>
    <row r="199" spans="1:52" hidden="1" outlineLevel="1" x14ac:dyDescent="0.2">
      <c r="D199" s="36"/>
      <c r="E199" s="17" t="b">
        <f>E189=SUM(E191:E198)</f>
        <v>1</v>
      </c>
      <c r="F199" s="17" t="b">
        <f>F189=SUM(F191:F198)</f>
        <v>1</v>
      </c>
      <c r="G199" s="17"/>
      <c r="M199" s="17" t="b">
        <f>M189=SUM(M191:M198)</f>
        <v>1</v>
      </c>
      <c r="N199" s="17" t="b">
        <f>N189=SUM(N191:N198)</f>
        <v>1</v>
      </c>
      <c r="O199" s="17"/>
      <c r="Q199" s="17"/>
      <c r="R199" s="17"/>
      <c r="T199" s="17"/>
      <c r="V199" s="17" t="b">
        <f>V189=SUM(V191:V198)</f>
        <v>1</v>
      </c>
      <c r="W199" s="17" t="b">
        <f>W189=SUM(W191:W198)</f>
        <v>1</v>
      </c>
      <c r="X199" s="159"/>
      <c r="AD199" s="17" t="b">
        <f>AD189=SUM(AD191:AD198)</f>
        <v>1</v>
      </c>
      <c r="AE199" s="17" t="b">
        <f>AE189=SUM(AE191:AE198)</f>
        <v>1</v>
      </c>
      <c r="AF199" s="17"/>
      <c r="AL199" s="17" t="b">
        <f>AL189=SUM(AL191:AL198)</f>
        <v>1</v>
      </c>
      <c r="AM199" s="17" t="b">
        <f>AM189=SUM(AM191:AM198)</f>
        <v>1</v>
      </c>
      <c r="AN199" s="159"/>
      <c r="AT199" s="17" t="b">
        <f>AT189=SUM(AT191:AT198)</f>
        <v>1</v>
      </c>
      <c r="AU199" s="17" t="b">
        <f>AU189=SUM(AU191:AU198)</f>
        <v>1</v>
      </c>
      <c r="AV199" s="169"/>
    </row>
    <row r="200" spans="1:52" collapsed="1" x14ac:dyDescent="0.2"/>
    <row r="201" spans="1:52" x14ac:dyDescent="0.2">
      <c r="A201" s="16" t="str">
        <f>+$A$8</f>
        <v>Acute_DIV1</v>
      </c>
      <c r="B201" s="15">
        <f>+$B$8</f>
        <v>127</v>
      </c>
      <c r="C201" s="14" t="s">
        <v>262</v>
      </c>
      <c r="D201" s="14" t="s">
        <v>263</v>
      </c>
      <c r="E201" s="15">
        <f>_xll.OneStreamExcelAddIn.XFFunctions.XFGetCell("True","Consol", $B201,"Tot_Entity","USD",E$2,E$3,E$4,$C201,"TopFlow","Top","Top","Tot_Los","TOT_Dept_WO_Addbacks","Tot_FC",$A201,"Top5","Top6","Reported","Top8")</f>
        <v>39335.43</v>
      </c>
      <c r="F201" s="15">
        <f>_xll.OneStreamExcelAddIn.XFFunctions.XFGetCell("True","Consol", $B201,"Tot_Entity","Aggregated",F$2,F$3,F$4,$C201,"TopFlow","Top","Top","Tot_Los","TOT_Dept_WO_Addbacks","TOP3",$A201,"Top5","Top6","Reported","Top8")</f>
        <v>51330.983666665998</v>
      </c>
      <c r="G201" s="21">
        <f t="shared" ref="G201:G211" si="84">+F201-E201</f>
        <v>11995.553666665997</v>
      </c>
      <c r="M201" s="15">
        <f>_xll.OneStreamExcelAddIn.XFFunctions.XFGetCell("True","Consol", $B201,"Tot_Entity","USD",M$2,M$3,M$4,$C201,"TopFlow","Top","Top","Tot_Los","TOT_Dept_WO_Addbacks","Tot_FC",$A201,"Top5","Top6","Reported","Top8")</f>
        <v>39335.43</v>
      </c>
      <c r="N201" s="15">
        <f>_xll.OneStreamExcelAddIn.XFFunctions.XFGetCell("True","Consol", $B201,"Tot_Entity","USD",N$2,N$3,N$4,$C201,"TopFlow","Top","Top","Tot_Los","TOT_Dept_WO_Addbacks","Tot_FC",$A201,"Top5","Top6","Reported","Top8")</f>
        <v>54264.37</v>
      </c>
      <c r="O201" s="21">
        <f t="shared" ref="O201:O211" si="85">+N201-M201</f>
        <v>14928.940000000002</v>
      </c>
      <c r="Q201" s="21"/>
      <c r="R201" s="21"/>
      <c r="T201" s="21"/>
      <c r="V201" s="15">
        <f>_xll.OneStreamExcelAddIn.XFFunctions.XFGetCell("True","Consol", $B201,"Tot_Entity","USD",V$2,V$3,V$4,$C201,"TopFlow","Top","Top","Tot_Los","TOT_Dept_WO_Addbacks","Tot_FC",$A201,"Top5","Top6","Reported","Top8")</f>
        <v>210551.07</v>
      </c>
      <c r="W201" s="15">
        <f>_xll.OneStreamExcelAddIn.XFFunctions.XFGetCell("True","Consol", $B201,"Tot_Entity","Aggregated",W$2,W$3,W$4,$C201,"TopFlow","Top","Top","Tot_Los","TOT_Dept_WO_Addbacks","TOP3",$A201,"Top5","Top6","Reported","Top8")</f>
        <v>229342.414666664</v>
      </c>
      <c r="X201" s="21">
        <f t="shared" ref="X201:X211" si="86">+W201-V201</f>
        <v>18791.344666663994</v>
      </c>
      <c r="AB201" s="2">
        <f>+SUM(X201:X211)</f>
        <v>-53823.651037608906</v>
      </c>
      <c r="AD201" s="15">
        <f>_xll.OneStreamExcelAddIn.XFFunctions.XFGetCell("True","Consol", $B201,"Tot_Entity","USD",AD$2,AD$3,AD$4,$C201,"TopFlow","Top","Top","Tot_Los","TOT_Dept_WO_Addbacks","Tot_FC",$A201,"Top5","Top6","Reported","Top8")</f>
        <v>39335.43</v>
      </c>
      <c r="AE201" s="15">
        <f>_xll.OneStreamExcelAddIn.XFFunctions.XFGetCell("True","Consol", $B201,"Tot_Entity","USD",AE$2,AE$3,AE$4,$C201,"TopFlow","Top","Top","Tot_Los","TOT_Dept_WO_Addbacks","Tot_FC",$A201,"Top5","Top6","Reported","Top8")</f>
        <v>50172.42</v>
      </c>
      <c r="AF201" s="21">
        <f t="shared" ref="AF201:AF211" si="87">+AE201-AD201</f>
        <v>10836.989999999998</v>
      </c>
      <c r="AJ201" s="2">
        <f>+SUM(AF201:AF211)</f>
        <v>-343114.74</v>
      </c>
      <c r="AL201" s="15">
        <f>_xll.OneStreamExcelAddIn.XFFunctions.XFGetCell("True","Consol", $B201,"Tot_Entity","USD",AL$2,AL$3,AL$4,$C201,"TopFlow","Top","Top","Tot_Los","TOT_Dept_WO_Addbacks","Tot_FC",$A201,"Top5","Top6","Reported","Top8")</f>
        <v>210551.07</v>
      </c>
      <c r="AM201" s="15">
        <f>_xll.OneStreamExcelAddIn.XFFunctions.XFGetCell("True","Consol", $B201,"Tot_Entity","USD",AM$2,AM$3,AM$4,$C201,"TopFlow","Top","Top","Tot_Los","TOT_Dept_WO_Addbacks","Tot_FC",$A201,"Top5","Top6","Reported","Top8")</f>
        <v>221410.49</v>
      </c>
      <c r="AN201" s="21">
        <f t="shared" ref="AN201:AN211" si="88">+AM201-AL201</f>
        <v>10859.419999999984</v>
      </c>
      <c r="AR201" s="2">
        <f>+SUM(AN201:AN211)</f>
        <v>-1220852.81</v>
      </c>
      <c r="AT201" s="15">
        <f>_xll.OneStreamExcelAddIn.XFFunctions.XFGetCell("True","Consol", $B201,"Tot_Entity","USD",AT$2,AT$3,AT$4,$C201,"TopFlow","Top","Top","Tot_Los","TOT_Dept_WO_Addbacks","Tot_FC",$A201,"Top5","Top6","Reported","Top8")</f>
        <v>0</v>
      </c>
      <c r="AU201" s="15">
        <f>_xll.OneStreamExcelAddIn.XFFunctions.XFGetCell("True","Consol", $B201,"Tot_Entity","USD",AU$2,AU$3,AU$4,$C201,"TopFlow","Top","Top","Tot_Los","TOT_Dept_WO_Addbacks","Tot_FC",$A201,"Top5","Top6","Reported","Top8")</f>
        <v>51330.983666665998</v>
      </c>
      <c r="AV201" s="162">
        <f t="shared" ref="AV201:AV211" si="89">+AU201-AT201</f>
        <v>51330.983666665998</v>
      </c>
      <c r="AZ201" s="2">
        <f>+SUM(AV201:AV211)</f>
        <v>961963.56356920104</v>
      </c>
    </row>
    <row r="202" spans="1:52" x14ac:dyDescent="0.2">
      <c r="A202" s="16" t="str">
        <f>+$A$8</f>
        <v>Acute_DIV1</v>
      </c>
      <c r="B202" s="15">
        <f>+$B$8</f>
        <v>127</v>
      </c>
      <c r="C202" s="14" t="s">
        <v>264</v>
      </c>
      <c r="D202" s="14" t="s">
        <v>265</v>
      </c>
      <c r="E202" s="15">
        <f>_xll.OneStreamExcelAddIn.XFFunctions.XFGetCell("True","Consol", $B202,"Tot_Entity","USD",E$2,E$3,E$4,$C202,"TopFlow","Top","Top","Tot_Los","TOT_Dept_WO_Addbacks","Tot_FC",$A202,"Top5","Top6","Reported","Top8")</f>
        <v>22978.15</v>
      </c>
      <c r="F202" s="15">
        <f>_xll.OneStreamExcelAddIn.XFFunctions.XFGetCell("True","Consol", $B202,"Tot_Entity","Aggregated",F$2,F$3,F$4,$C202,"TopFlow","Top","Top","Tot_Los","TOT_Dept_WO_Addbacks","TOP3",$A202,"Top5","Top6","Reported","Top8")</f>
        <v>34746.967499999999</v>
      </c>
      <c r="G202" s="21">
        <f t="shared" si="84"/>
        <v>11768.817499999997</v>
      </c>
      <c r="M202" s="15">
        <f>_xll.OneStreamExcelAddIn.XFFunctions.XFGetCell("True","Consol", $B202,"Tot_Entity","USD",M$2,M$3,M$4,$C202,"TopFlow","Top","Top","Tot_Los","TOT_Dept_WO_Addbacks","Tot_FC",$A202,"Top5","Top6","Reported","Top8")</f>
        <v>22978.15</v>
      </c>
      <c r="N202" s="15">
        <f>_xll.OneStreamExcelAddIn.XFFunctions.XFGetCell("True","Consol", $B202,"Tot_Entity","USD",N$2,N$3,N$4,$C202,"TopFlow","Top","Top","Tot_Los","TOT_Dept_WO_Addbacks","Tot_FC",$A202,"Top5","Top6","Reported","Top8")</f>
        <v>20594.07</v>
      </c>
      <c r="O202" s="21">
        <f t="shared" si="85"/>
        <v>-2384.0800000000017</v>
      </c>
      <c r="Q202" s="21"/>
      <c r="R202" s="21"/>
      <c r="T202" s="21"/>
      <c r="V202" s="15">
        <f>_xll.OneStreamExcelAddIn.XFFunctions.XFGetCell("True","Consol", $B202,"Tot_Entity","USD",V$2,V$3,V$4,$C202,"TopFlow","Top","Top","Tot_Los","TOT_Dept_WO_Addbacks","Tot_FC",$A202,"Top5","Top6","Reported","Top8")</f>
        <v>101905.05</v>
      </c>
      <c r="W202" s="15">
        <f>_xll.OneStreamExcelAddIn.XFFunctions.XFGetCell("True","Consol", $B202,"Tot_Entity","Aggregated",W$2,W$3,W$4,$C202,"TopFlow","Top","Top","Tot_Los","TOT_Dept_WO_Addbacks","TOP3",$A202,"Top5","Top6","Reported","Top8")</f>
        <v>138987.87</v>
      </c>
      <c r="X202" s="21">
        <f t="shared" si="86"/>
        <v>37082.819999999992</v>
      </c>
      <c r="AD202" s="15">
        <f>_xll.OneStreamExcelAddIn.XFFunctions.XFGetCell("True","Consol", $B202,"Tot_Entity","USD",AD$2,AD$3,AD$4,$C202,"TopFlow","Top","Top","Tot_Los","TOT_Dept_WO_Addbacks","Tot_FC",$A202,"Top5","Top6","Reported","Top8")</f>
        <v>22978.15</v>
      </c>
      <c r="AE202" s="15">
        <f>_xll.OneStreamExcelAddIn.XFFunctions.XFGetCell("True","Consol", $B202,"Tot_Entity","USD",AE$2,AE$3,AE$4,$C202,"TopFlow","Top","Top","Tot_Los","TOT_Dept_WO_Addbacks","Tot_FC",$A202,"Top5","Top6","Reported","Top8")</f>
        <v>56796.93</v>
      </c>
      <c r="AF202" s="21">
        <f t="shared" si="87"/>
        <v>33818.78</v>
      </c>
      <c r="AL202" s="15">
        <f>_xll.OneStreamExcelAddIn.XFFunctions.XFGetCell("True","Consol", $B202,"Tot_Entity","USD",AL$2,AL$3,AL$4,$C202,"TopFlow","Top","Top","Tot_Los","TOT_Dept_WO_Addbacks","Tot_FC",$A202,"Top5","Top6","Reported","Top8")</f>
        <v>101905.05</v>
      </c>
      <c r="AM202" s="15">
        <f>_xll.OneStreamExcelAddIn.XFFunctions.XFGetCell("True","Consol", $B202,"Tot_Entity","USD",AM$2,AM$3,AM$4,$C202,"TopFlow","Top","Top","Tot_Los","TOT_Dept_WO_Addbacks","Tot_FC",$A202,"Top5","Top6","Reported","Top8")</f>
        <v>141903.67999999999</v>
      </c>
      <c r="AN202" s="21">
        <f t="shared" si="88"/>
        <v>39998.62999999999</v>
      </c>
      <c r="AT202" s="15">
        <f>_xll.OneStreamExcelAddIn.XFFunctions.XFGetCell("True","Consol", $B202,"Tot_Entity","USD",AT$2,AT$3,AT$4,$C202,"TopFlow","Top","Top","Tot_Los","TOT_Dept_WO_Addbacks","Tot_FC",$A202,"Top5","Top6","Reported","Top8")</f>
        <v>0</v>
      </c>
      <c r="AU202" s="15">
        <f>_xll.OneStreamExcelAddIn.XFFunctions.XFGetCell("True","Consol", $B202,"Tot_Entity","USD",AU$2,AU$3,AU$4,$C202,"TopFlow","Top","Top","Tot_Los","TOT_Dept_WO_Addbacks","Tot_FC",$A202,"Top5","Top6","Reported","Top8")</f>
        <v>34746.967499999999</v>
      </c>
      <c r="AV202" s="162">
        <f t="shared" si="89"/>
        <v>34746.967499999999</v>
      </c>
    </row>
    <row r="203" spans="1:52" x14ac:dyDescent="0.2">
      <c r="A203" s="16" t="str">
        <f>+$A$8</f>
        <v>Acute_DIV1</v>
      </c>
      <c r="B203" s="15">
        <f>+$B$8</f>
        <v>127</v>
      </c>
      <c r="C203" s="14" t="s">
        <v>266</v>
      </c>
      <c r="D203" s="14" t="s">
        <v>267</v>
      </c>
      <c r="E203" s="15">
        <f>_xll.OneStreamExcelAddIn.XFFunctions.XFGetCell("True","Consol", $B203,"Tot_Entity","USD",E$2,E$3,E$4,$C203,"TopFlow","Top","Top","Tot_Los","TOT_Dept_WO_Addbacks","Tot_FC",$A203,"Top5","Top6","Reported","Top8")</f>
        <v>329255.06</v>
      </c>
      <c r="F203" s="15">
        <f>_xll.OneStreamExcelAddIn.XFFunctions.XFGetCell("True","Consol", $B203,"Tot_Entity","Aggregated",F$2,F$3,F$4,$C203,"TopFlow","Top","Top","Tot_Los","TOT_Dept_WO_Addbacks","TOP3",$A203,"Top5","Top6","Reported","Top8")</f>
        <v>306443.13</v>
      </c>
      <c r="G203" s="21">
        <f t="shared" si="84"/>
        <v>-22811.929999999993</v>
      </c>
      <c r="M203" s="15">
        <f>_xll.OneStreamExcelAddIn.XFFunctions.XFGetCell("True","Consol", $B203,"Tot_Entity","USD",M$2,M$3,M$4,$C203,"TopFlow","Top","Top","Tot_Los","TOT_Dept_WO_Addbacks","Tot_FC",$A203,"Top5","Top6","Reported","Top8")</f>
        <v>329255.06</v>
      </c>
      <c r="N203" s="15">
        <f>_xll.OneStreamExcelAddIn.XFFunctions.XFGetCell("True","Consol", $B203,"Tot_Entity","USD",N$2,N$3,N$4,$C203,"TopFlow","Top","Top","Tot_Los","TOT_Dept_WO_Addbacks","Tot_FC",$A203,"Top5","Top6","Reported","Top8")</f>
        <v>293365.05</v>
      </c>
      <c r="O203" s="21">
        <f t="shared" si="85"/>
        <v>-35890.010000000009</v>
      </c>
      <c r="Q203" s="21"/>
      <c r="R203" s="21"/>
      <c r="T203" s="21"/>
      <c r="V203" s="15">
        <f>_xll.OneStreamExcelAddIn.XFFunctions.XFGetCell("True","Consol", $B203,"Tot_Entity","USD",V$2,V$3,V$4,$C203,"TopFlow","Top","Top","Tot_Los","TOT_Dept_WO_Addbacks","Tot_FC",$A203,"Top5","Top6","Reported","Top8")</f>
        <v>1234995.75</v>
      </c>
      <c r="W203" s="15">
        <f>_xll.OneStreamExcelAddIn.XFFunctions.XFGetCell("True","Consol", $B203,"Tot_Entity","Aggregated",W$2,W$3,W$4,$C203,"TopFlow","Top","Top","Tot_Los","TOT_Dept_WO_Addbacks","TOP3",$A203,"Top5","Top6","Reported","Top8")</f>
        <v>1225772.52</v>
      </c>
      <c r="X203" s="21">
        <f t="shared" si="86"/>
        <v>-9223.2299999999814</v>
      </c>
      <c r="AD203" s="15">
        <f>_xll.OneStreamExcelAddIn.XFFunctions.XFGetCell("True","Consol", $B203,"Tot_Entity","USD",AD$2,AD$3,AD$4,$C203,"TopFlow","Top","Top","Tot_Los","TOT_Dept_WO_Addbacks","Tot_FC",$A203,"Top5","Top6","Reported","Top8")</f>
        <v>329255.06</v>
      </c>
      <c r="AE203" s="15">
        <f>_xll.OneStreamExcelAddIn.XFFunctions.XFGetCell("True","Consol", $B203,"Tot_Entity","USD",AE$2,AE$3,AE$4,$C203,"TopFlow","Top","Top","Tot_Los","TOT_Dept_WO_Addbacks","Tot_FC",$A203,"Top5","Top6","Reported","Top8")</f>
        <v>306348.59000000003</v>
      </c>
      <c r="AF203" s="21">
        <f t="shared" si="87"/>
        <v>-22906.469999999972</v>
      </c>
      <c r="AL203" s="15">
        <f>_xll.OneStreamExcelAddIn.XFFunctions.XFGetCell("True","Consol", $B203,"Tot_Entity","USD",AL$2,AL$3,AL$4,$C203,"TopFlow","Top","Top","Tot_Los","TOT_Dept_WO_Addbacks","Tot_FC",$A203,"Top5","Top6","Reported","Top8")</f>
        <v>1234995.75</v>
      </c>
      <c r="AM203" s="15">
        <f>_xll.OneStreamExcelAddIn.XFFunctions.XFGetCell("True","Consol", $B203,"Tot_Entity","USD",AM$2,AM$3,AM$4,$C203,"TopFlow","Top","Top","Tot_Los","TOT_Dept_WO_Addbacks","Tot_FC",$A203,"Top5","Top6","Reported","Top8")</f>
        <v>1243216.81</v>
      </c>
      <c r="AN203" s="21">
        <f t="shared" si="88"/>
        <v>8221.0600000000559</v>
      </c>
      <c r="AT203" s="15">
        <f>_xll.OneStreamExcelAddIn.XFFunctions.XFGetCell("True","Consol", $B203,"Tot_Entity","USD",AT$2,AT$3,AT$4,$C203,"TopFlow","Top","Top","Tot_Los","TOT_Dept_WO_Addbacks","Tot_FC",$A203,"Top5","Top6","Reported","Top8")</f>
        <v>0</v>
      </c>
      <c r="AU203" s="15">
        <f>_xll.OneStreamExcelAddIn.XFFunctions.XFGetCell("True","Consol", $B203,"Tot_Entity","USD",AU$2,AU$3,AU$4,$C203,"TopFlow","Top","Top","Tot_Los","TOT_Dept_WO_Addbacks","Tot_FC",$A203,"Top5","Top6","Reported","Top8")</f>
        <v>306443.13</v>
      </c>
      <c r="AV203" s="162">
        <f t="shared" si="89"/>
        <v>306443.13</v>
      </c>
    </row>
    <row r="204" spans="1:52" x14ac:dyDescent="0.2">
      <c r="A204" s="16" t="str">
        <f>+$A$8</f>
        <v>Acute_DIV1</v>
      </c>
      <c r="B204" s="15">
        <f>+$B$8</f>
        <v>127</v>
      </c>
      <c r="C204" s="14" t="s">
        <v>268</v>
      </c>
      <c r="D204" s="14" t="s">
        <v>269</v>
      </c>
      <c r="E204" s="15">
        <f>_xll.OneStreamExcelAddIn.XFFunctions.XFGetCell("True","Consol", $B204,"Tot_Entity","USD",E$2,E$3,E$4,$C204,"TopFlow","Top","Top","Tot_Los","TOT_Dept_WO_Addbacks","Tot_FC",$A204,"Top5","Top6","Reported","Top8")</f>
        <v>102320.17</v>
      </c>
      <c r="F204" s="15">
        <f>_xll.OneStreamExcelAddIn.XFFunctions.XFGetCell("True","Consol", $B204,"Tot_Entity","Aggregated",F$2,F$3,F$4,$C204,"TopFlow","Top","Top","Tot_Los","TOT_Dept_WO_Addbacks","TOP3",$A204,"Top5","Top6","Reported","Top8")</f>
        <v>63137.07</v>
      </c>
      <c r="G204" s="21">
        <f t="shared" si="84"/>
        <v>-39183.1</v>
      </c>
      <c r="M204" s="15">
        <f>_xll.OneStreamExcelAddIn.XFFunctions.XFGetCell("True","Consol", $B204,"Tot_Entity","USD",M$2,M$3,M$4,$C204,"TopFlow","Top","Top","Tot_Los","TOT_Dept_WO_Addbacks","Tot_FC",$A204,"Top5","Top6","Reported","Top8")</f>
        <v>102320.17</v>
      </c>
      <c r="N204" s="15">
        <f>_xll.OneStreamExcelAddIn.XFFunctions.XFGetCell("True","Consol", $B204,"Tot_Entity","USD",N$2,N$3,N$4,$C204,"TopFlow","Top","Top","Tot_Los","TOT_Dept_WO_Addbacks","Tot_FC",$A204,"Top5","Top6","Reported","Top8")</f>
        <v>66409.919999999998</v>
      </c>
      <c r="O204" s="21">
        <f t="shared" si="85"/>
        <v>-35910.25</v>
      </c>
      <c r="Q204" s="21"/>
      <c r="R204" s="21"/>
      <c r="T204" s="21"/>
      <c r="V204" s="15">
        <f>_xll.OneStreamExcelAddIn.XFFunctions.XFGetCell("True","Consol", $B204,"Tot_Entity","USD",V$2,V$3,V$4,$C204,"TopFlow","Top","Top","Tot_Los","TOT_Dept_WO_Addbacks","Tot_FC",$A204,"Top5","Top6","Reported","Top8")</f>
        <v>301549.93</v>
      </c>
      <c r="W204" s="15">
        <f>_xll.OneStreamExcelAddIn.XFFunctions.XFGetCell("True","Consol", $B204,"Tot_Entity","Aggregated",W$2,W$3,W$4,$C204,"TopFlow","Top","Top","Tot_Los","TOT_Dept_WO_Addbacks","TOP3",$A204,"Top5","Top6","Reported","Top8")</f>
        <v>252548.28</v>
      </c>
      <c r="X204" s="21">
        <f t="shared" si="86"/>
        <v>-49001.649999999994</v>
      </c>
      <c r="AD204" s="15">
        <f>_xll.OneStreamExcelAddIn.XFFunctions.XFGetCell("True","Consol", $B204,"Tot_Entity","USD",AD$2,AD$3,AD$4,$C204,"TopFlow","Top","Top","Tot_Los","TOT_Dept_WO_Addbacks","Tot_FC",$A204,"Top5","Top6","Reported","Top8")</f>
        <v>102320.17</v>
      </c>
      <c r="AE204" s="15">
        <f>_xll.OneStreamExcelAddIn.XFFunctions.XFGetCell("True","Consol", $B204,"Tot_Entity","USD",AE$2,AE$3,AE$4,$C204,"TopFlow","Top","Top","Tot_Los","TOT_Dept_WO_Addbacks","Tot_FC",$A204,"Top5","Top6","Reported","Top8")</f>
        <v>53931.37</v>
      </c>
      <c r="AF204" s="21">
        <f t="shared" si="87"/>
        <v>-48388.799999999996</v>
      </c>
      <c r="AL204" s="15">
        <f>_xll.OneStreamExcelAddIn.XFFunctions.XFGetCell("True","Consol", $B204,"Tot_Entity","USD",AL$2,AL$3,AL$4,$C204,"TopFlow","Top","Top","Tot_Los","TOT_Dept_WO_Addbacks","Tot_FC",$A204,"Top5","Top6","Reported","Top8")</f>
        <v>301549.93</v>
      </c>
      <c r="AM204" s="15">
        <f>_xll.OneStreamExcelAddIn.XFFunctions.XFGetCell("True","Consol", $B204,"Tot_Entity","USD",AM$2,AM$3,AM$4,$C204,"TopFlow","Top","Top","Tot_Los","TOT_Dept_WO_Addbacks","Tot_FC",$A204,"Top5","Top6","Reported","Top8")</f>
        <v>238676.73</v>
      </c>
      <c r="AN204" s="21">
        <f t="shared" si="88"/>
        <v>-62873.199999999983</v>
      </c>
      <c r="AT204" s="15">
        <f>_xll.OneStreamExcelAddIn.XFFunctions.XFGetCell("True","Consol", $B204,"Tot_Entity","USD",AT$2,AT$3,AT$4,$C204,"TopFlow","Top","Top","Tot_Los","TOT_Dept_WO_Addbacks","Tot_FC",$A204,"Top5","Top6","Reported","Top8")</f>
        <v>0</v>
      </c>
      <c r="AU204" s="15">
        <f>_xll.OneStreamExcelAddIn.XFFunctions.XFGetCell("True","Consol", $B204,"Tot_Entity","USD",AU$2,AU$3,AU$4,$C204,"TopFlow","Top","Top","Tot_Los","TOT_Dept_WO_Addbacks","Tot_FC",$A204,"Top5","Top6","Reported","Top8")</f>
        <v>63137.07</v>
      </c>
      <c r="AV204" s="162">
        <f t="shared" si="89"/>
        <v>63137.07</v>
      </c>
    </row>
    <row r="205" spans="1:52" x14ac:dyDescent="0.2">
      <c r="A205" s="16" t="str">
        <f t="shared" ref="A205:A211" si="90">+$A$8</f>
        <v>Acute_DIV1</v>
      </c>
      <c r="B205" s="15">
        <f t="shared" ref="B205:B211" si="91">+$B$8</f>
        <v>127</v>
      </c>
      <c r="C205" s="14" t="s">
        <v>270</v>
      </c>
      <c r="D205" s="14" t="s">
        <v>271</v>
      </c>
      <c r="E205" s="15">
        <f>_xll.OneStreamExcelAddIn.XFFunctions.XFGetCell("True","Consol", $B205,"Tot_Entity","USD",E$2,E$3,E$4,$C205,"TopFlow","Top","Top","Tot_Los","TOT_Dept_WO_Addbacks","Tot_FC",$A205,"Top5","Top6","Reported","Top8")</f>
        <v>6536.79</v>
      </c>
      <c r="F205" s="15">
        <f>_xll.OneStreamExcelAddIn.XFFunctions.XFGetCell("True","Consol", $B205,"Tot_Entity","Aggregated",F$2,F$3,F$4,$C205,"TopFlow","Top","Top","Tot_Los","TOT_Dept_WO_Addbacks","TOP3",$A205,"Top5","Top6","Reported","Top8")</f>
        <v>4898.667499999</v>
      </c>
      <c r="G205" s="21">
        <f t="shared" si="84"/>
        <v>-1638.1225000009999</v>
      </c>
      <c r="M205" s="15">
        <f>_xll.OneStreamExcelAddIn.XFFunctions.XFGetCell("True","Consol", $B205,"Tot_Entity","USD",M$2,M$3,M$4,$C205,"TopFlow","Top","Top","Tot_Los","TOT_Dept_WO_Addbacks","Tot_FC",$A205,"Top5","Top6","Reported","Top8")</f>
        <v>6536.79</v>
      </c>
      <c r="N205" s="15">
        <f>_xll.OneStreamExcelAddIn.XFFunctions.XFGetCell("True","Consol", $B205,"Tot_Entity","USD",N$2,N$3,N$4,$C205,"TopFlow","Top","Top","Tot_Los","TOT_Dept_WO_Addbacks","Tot_FC",$A205,"Top5","Top6","Reported","Top8")</f>
        <v>4261.2700000000004</v>
      </c>
      <c r="O205" s="21">
        <f t="shared" si="85"/>
        <v>-2275.5199999999995</v>
      </c>
      <c r="Q205" s="21"/>
      <c r="R205" s="21"/>
      <c r="T205" s="21"/>
      <c r="V205" s="15">
        <f>_xll.OneStreamExcelAddIn.XFFunctions.XFGetCell("True","Consol", $B205,"Tot_Entity","USD",V$2,V$3,V$4,$C205,"TopFlow","Top","Top","Tot_Los","TOT_Dept_WO_Addbacks","Tot_FC",$A205,"Top5","Top6","Reported","Top8")</f>
        <v>15445.54</v>
      </c>
      <c r="W205" s="15">
        <f>_xll.OneStreamExcelAddIn.XFFunctions.XFGetCell("True","Consol", $B205,"Tot_Entity","Aggregated",W$2,W$3,W$4,$C205,"TopFlow","Top","Top","Tot_Los","TOT_Dept_WO_Addbacks","TOP3",$A205,"Top5","Top6","Reported","Top8")</f>
        <v>23002.779999996001</v>
      </c>
      <c r="X205" s="21">
        <f t="shared" si="86"/>
        <v>7557.2399999959998</v>
      </c>
      <c r="AD205" s="15">
        <f>_xll.OneStreamExcelAddIn.XFFunctions.XFGetCell("True","Consol", $B205,"Tot_Entity","USD",AD$2,AD$3,AD$4,$C205,"TopFlow","Top","Top","Tot_Los","TOT_Dept_WO_Addbacks","Tot_FC",$A205,"Top5","Top6","Reported","Top8")</f>
        <v>6536.79</v>
      </c>
      <c r="AE205" s="15">
        <f>_xll.OneStreamExcelAddIn.XFFunctions.XFGetCell("True","Consol", $B205,"Tot_Entity","USD",AE$2,AE$3,AE$4,$C205,"TopFlow","Top","Top","Tot_Los","TOT_Dept_WO_Addbacks","Tot_FC",$A205,"Top5","Top6","Reported","Top8")</f>
        <v>6456.52</v>
      </c>
      <c r="AF205" s="21">
        <f t="shared" si="87"/>
        <v>-80.269999999999527</v>
      </c>
      <c r="AL205" s="15">
        <f>_xll.OneStreamExcelAddIn.XFFunctions.XFGetCell("True","Consol", $B205,"Tot_Entity","USD",AL$2,AL$3,AL$4,$C205,"TopFlow","Top","Top","Tot_Los","TOT_Dept_WO_Addbacks","Tot_FC",$A205,"Top5","Top6","Reported","Top8")</f>
        <v>15445.54</v>
      </c>
      <c r="AM205" s="15">
        <f>_xll.OneStreamExcelAddIn.XFFunctions.XFGetCell("True","Consol", $B205,"Tot_Entity","USD",AM$2,AM$3,AM$4,$C205,"TopFlow","Top","Top","Tot_Los","TOT_Dept_WO_Addbacks","Tot_FC",$A205,"Top5","Top6","Reported","Top8")</f>
        <v>16136.84</v>
      </c>
      <c r="AN205" s="21">
        <f t="shared" si="88"/>
        <v>691.29999999999927</v>
      </c>
      <c r="AT205" s="15">
        <f>_xll.OneStreamExcelAddIn.XFFunctions.XFGetCell("True","Consol", $B205,"Tot_Entity","USD",AT$2,AT$3,AT$4,$C205,"TopFlow","Top","Top","Tot_Los","TOT_Dept_WO_Addbacks","Tot_FC",$A205,"Top5","Top6","Reported","Top8")</f>
        <v>0</v>
      </c>
      <c r="AU205" s="15">
        <f>_xll.OneStreamExcelAddIn.XFFunctions.XFGetCell("True","Consol", $B205,"Tot_Entity","USD",AU$2,AU$3,AU$4,$C205,"TopFlow","Top","Top","Tot_Los","TOT_Dept_WO_Addbacks","Tot_FC",$A205,"Top5","Top6","Reported","Top8")</f>
        <v>4898.667499999</v>
      </c>
      <c r="AV205" s="162">
        <f t="shared" si="89"/>
        <v>4898.667499999</v>
      </c>
    </row>
    <row r="206" spans="1:52" x14ac:dyDescent="0.2">
      <c r="A206" s="16" t="str">
        <f t="shared" si="90"/>
        <v>Acute_DIV1</v>
      </c>
      <c r="B206" s="15">
        <f t="shared" si="91"/>
        <v>127</v>
      </c>
      <c r="C206" s="14" t="s">
        <v>272</v>
      </c>
      <c r="D206" s="14" t="s">
        <v>273</v>
      </c>
      <c r="E206" s="15">
        <f>_xll.OneStreamExcelAddIn.XFFunctions.XFGetCell("True","Consol", $B206,"Tot_Entity","USD",E$2,E$3,E$4,$C206,"TopFlow","Top","Top","Tot_Los","TOT_Dept_WO_Addbacks","Tot_FC",$A206,"Top5","Top6","Reported","Top8")</f>
        <v>3596.88</v>
      </c>
      <c r="F206" s="15">
        <f>_xll.OneStreamExcelAddIn.XFFunctions.XFGetCell("True","Consol", $B206,"Tot_Entity","Aggregated",F$2,F$3,F$4,$C206,"TopFlow","Top","Top","Tot_Los","TOT_Dept_WO_Addbacks","TOP3",$A206,"Top5","Top6","Reported","Top8")</f>
        <v>10144.885</v>
      </c>
      <c r="G206" s="21">
        <f t="shared" si="84"/>
        <v>6548.0050000000001</v>
      </c>
      <c r="M206" s="15">
        <f>_xll.OneStreamExcelAddIn.XFFunctions.XFGetCell("True","Consol", $B206,"Tot_Entity","USD",M$2,M$3,M$4,$C206,"TopFlow","Top","Top","Tot_Los","TOT_Dept_WO_Addbacks","Tot_FC",$A206,"Top5","Top6","Reported","Top8")</f>
        <v>3596.88</v>
      </c>
      <c r="N206" s="15">
        <f>_xll.OneStreamExcelAddIn.XFFunctions.XFGetCell("True","Consol", $B206,"Tot_Entity","USD",N$2,N$3,N$4,$C206,"TopFlow","Top","Top","Tot_Los","TOT_Dept_WO_Addbacks","Tot_FC",$A206,"Top5","Top6","Reported","Top8")</f>
        <v>5007.55</v>
      </c>
      <c r="O206" s="21">
        <f t="shared" si="85"/>
        <v>1410.67</v>
      </c>
      <c r="Q206" s="21"/>
      <c r="R206" s="21"/>
      <c r="T206" s="21"/>
      <c r="V206" s="15">
        <f>_xll.OneStreamExcelAddIn.XFFunctions.XFGetCell("True","Consol", $B206,"Tot_Entity","USD",V$2,V$3,V$4,$C206,"TopFlow","Top","Top","Tot_Los","TOT_Dept_WO_Addbacks","Tot_FC",$A206,"Top5","Top6","Reported","Top8")</f>
        <v>25412.34</v>
      </c>
      <c r="W206" s="15">
        <f>_xll.OneStreamExcelAddIn.XFFunctions.XFGetCell("True","Consol", $B206,"Tot_Entity","Aggregated",W$2,W$3,W$4,$C206,"TopFlow","Top","Top","Tot_Los","TOT_Dept_WO_Addbacks","TOP3",$A206,"Top5","Top6","Reported","Top8")</f>
        <v>40579.54</v>
      </c>
      <c r="X206" s="21">
        <f t="shared" si="86"/>
        <v>15167.2</v>
      </c>
      <c r="AD206" s="15">
        <f>_xll.OneStreamExcelAddIn.XFFunctions.XFGetCell("True","Consol", $B206,"Tot_Entity","USD",AD$2,AD$3,AD$4,$C206,"TopFlow","Top","Top","Tot_Los","TOT_Dept_WO_Addbacks","Tot_FC",$A206,"Top5","Top6","Reported","Top8")</f>
        <v>3596.88</v>
      </c>
      <c r="AE206" s="15">
        <f>_xll.OneStreamExcelAddIn.XFFunctions.XFGetCell("True","Consol", $B206,"Tot_Entity","USD",AE$2,AE$3,AE$4,$C206,"TopFlow","Top","Top","Tot_Los","TOT_Dept_WO_Addbacks","Tot_FC",$A206,"Top5","Top6","Reported","Top8")</f>
        <v>10608.04</v>
      </c>
      <c r="AF206" s="21">
        <f t="shared" si="87"/>
        <v>7011.1600000000008</v>
      </c>
      <c r="AL206" s="15">
        <f>_xll.OneStreamExcelAddIn.XFFunctions.XFGetCell("True","Consol", $B206,"Tot_Entity","USD",AL$2,AL$3,AL$4,$C206,"TopFlow","Top","Top","Tot_Los","TOT_Dept_WO_Addbacks","Tot_FC",$A206,"Top5","Top6","Reported","Top8")</f>
        <v>25412.34</v>
      </c>
      <c r="AM206" s="15">
        <f>_xll.OneStreamExcelAddIn.XFFunctions.XFGetCell("True","Consol", $B206,"Tot_Entity","USD",AM$2,AM$3,AM$4,$C206,"TopFlow","Top","Top","Tot_Los","TOT_Dept_WO_Addbacks","Tot_FC",$A206,"Top5","Top6","Reported","Top8")</f>
        <v>23359.96</v>
      </c>
      <c r="AN206" s="21">
        <f t="shared" si="88"/>
        <v>-2052.380000000001</v>
      </c>
      <c r="AT206" s="15">
        <f>_xll.OneStreamExcelAddIn.XFFunctions.XFGetCell("True","Consol", $B206,"Tot_Entity","USD",AT$2,AT$3,AT$4,$C206,"TopFlow","Top","Top","Tot_Los","TOT_Dept_WO_Addbacks","Tot_FC",$A206,"Top5","Top6","Reported","Top8")</f>
        <v>0</v>
      </c>
      <c r="AU206" s="15">
        <f>_xll.OneStreamExcelAddIn.XFFunctions.XFGetCell("True","Consol", $B206,"Tot_Entity","USD",AU$2,AU$3,AU$4,$C206,"TopFlow","Top","Top","Tot_Los","TOT_Dept_WO_Addbacks","Tot_FC",$A206,"Top5","Top6","Reported","Top8")</f>
        <v>10144.885</v>
      </c>
      <c r="AV206" s="162">
        <f t="shared" si="89"/>
        <v>10144.885</v>
      </c>
    </row>
    <row r="207" spans="1:52" x14ac:dyDescent="0.2">
      <c r="A207" s="16" t="str">
        <f t="shared" si="90"/>
        <v>Acute_DIV1</v>
      </c>
      <c r="B207" s="15">
        <f t="shared" si="91"/>
        <v>127</v>
      </c>
      <c r="C207" s="14" t="s">
        <v>274</v>
      </c>
      <c r="D207" s="14" t="s">
        <v>275</v>
      </c>
      <c r="E207" s="15">
        <f>_xll.OneStreamExcelAddIn.XFFunctions.XFGetCell("True","Consol", $B207,"Tot_Entity","USD",E$2,E$3,E$4,$C207,"TopFlow","Top","Top","Tot_Los","TOT_Dept_WO_Addbacks","Tot_FC",$A207,"Top5","Top6","Reported","Top8")</f>
        <v>8933.7999999999993</v>
      </c>
      <c r="F207" s="15">
        <f>_xll.OneStreamExcelAddIn.XFFunctions.XFGetCell("True","Consol", $B207,"Tot_Entity","Aggregated",F$2,F$3,F$4,$C207,"TopFlow","Top","Top","Tot_Los","TOT_Dept_WO_Addbacks","TOP3",$A207,"Top5","Top6","Reported","Top8")</f>
        <v>4744.25</v>
      </c>
      <c r="G207" s="21">
        <f t="shared" si="84"/>
        <v>-4189.5499999999993</v>
      </c>
      <c r="M207" s="15">
        <f>_xll.OneStreamExcelAddIn.XFFunctions.XFGetCell("True","Consol", $B207,"Tot_Entity","USD",M$2,M$3,M$4,$C207,"TopFlow","Top","Top","Tot_Los","TOT_Dept_WO_Addbacks","Tot_FC",$A207,"Top5","Top6","Reported","Top8")</f>
        <v>8933.7999999999993</v>
      </c>
      <c r="N207" s="15">
        <f>_xll.OneStreamExcelAddIn.XFFunctions.XFGetCell("True","Consol", $B207,"Tot_Entity","USD",N$2,N$3,N$4,$C207,"TopFlow","Top","Top","Tot_Los","TOT_Dept_WO_Addbacks","Tot_FC",$A207,"Top5","Top6","Reported","Top8")</f>
        <v>14513.32</v>
      </c>
      <c r="O207" s="21">
        <f t="shared" si="85"/>
        <v>5579.52</v>
      </c>
      <c r="Q207" s="21"/>
      <c r="R207" s="21"/>
      <c r="T207" s="21"/>
      <c r="V207" s="15">
        <f>_xll.OneStreamExcelAddIn.XFFunctions.XFGetCell("True","Consol", $B207,"Tot_Entity","USD",V$2,V$3,V$4,$C207,"TopFlow","Top","Top","Tot_Los","TOT_Dept_WO_Addbacks","Tot_FC",$A207,"Top5","Top6","Reported","Top8")</f>
        <v>34123.82</v>
      </c>
      <c r="W207" s="15">
        <f>_xll.OneStreamExcelAddIn.XFFunctions.XFGetCell("True","Consol", $B207,"Tot_Entity","Aggregated",W$2,W$3,W$4,$C207,"TopFlow","Top","Top","Tot_Los","TOT_Dept_WO_Addbacks","TOP3",$A207,"Top5","Top6","Reported","Top8")</f>
        <v>18530.75</v>
      </c>
      <c r="X207" s="21">
        <f t="shared" si="86"/>
        <v>-15593.07</v>
      </c>
      <c r="AD207" s="15">
        <f>_xll.OneStreamExcelAddIn.XFFunctions.XFGetCell("True","Consol", $B207,"Tot_Entity","USD",AD$2,AD$3,AD$4,$C207,"TopFlow","Top","Top","Tot_Los","TOT_Dept_WO_Addbacks","Tot_FC",$A207,"Top5","Top6","Reported","Top8")</f>
        <v>8933.7999999999993</v>
      </c>
      <c r="AE207" s="15">
        <f>_xll.OneStreamExcelAddIn.XFFunctions.XFGetCell("True","Consol", $B207,"Tot_Entity","USD",AE$2,AE$3,AE$4,$C207,"TopFlow","Top","Top","Tot_Los","TOT_Dept_WO_Addbacks","Tot_FC",$A207,"Top5","Top6","Reported","Top8")</f>
        <v>4862.5600000000004</v>
      </c>
      <c r="AF207" s="21">
        <f t="shared" si="87"/>
        <v>-4071.2399999999989</v>
      </c>
      <c r="AL207" s="15">
        <f>_xll.OneStreamExcelAddIn.XFFunctions.XFGetCell("True","Consol", $B207,"Tot_Entity","USD",AL$2,AL$3,AL$4,$C207,"TopFlow","Top","Top","Tot_Los","TOT_Dept_WO_Addbacks","Tot_FC",$A207,"Top5","Top6","Reported","Top8")</f>
        <v>34123.82</v>
      </c>
      <c r="AM207" s="15">
        <f>_xll.OneStreamExcelAddIn.XFFunctions.XFGetCell("True","Consol", $B207,"Tot_Entity","USD",AM$2,AM$3,AM$4,$C207,"TopFlow","Top","Top","Tot_Los","TOT_Dept_WO_Addbacks","Tot_FC",$A207,"Top5","Top6","Reported","Top8")</f>
        <v>17612.009999999998</v>
      </c>
      <c r="AN207" s="21">
        <f t="shared" si="88"/>
        <v>-16511.810000000001</v>
      </c>
      <c r="AT207" s="15">
        <f>_xll.OneStreamExcelAddIn.XFFunctions.XFGetCell("True","Consol", $B207,"Tot_Entity","USD",AT$2,AT$3,AT$4,$C207,"TopFlow","Top","Top","Tot_Los","TOT_Dept_WO_Addbacks","Tot_FC",$A207,"Top5","Top6","Reported","Top8")</f>
        <v>0</v>
      </c>
      <c r="AU207" s="15">
        <f>_xll.OneStreamExcelAddIn.XFFunctions.XFGetCell("True","Consol", $B207,"Tot_Entity","USD",AU$2,AU$3,AU$4,$C207,"TopFlow","Top","Top","Tot_Los","TOT_Dept_WO_Addbacks","Tot_FC",$A207,"Top5","Top6","Reported","Top8")</f>
        <v>4744.25</v>
      </c>
      <c r="AV207" s="162">
        <f t="shared" si="89"/>
        <v>4744.25</v>
      </c>
    </row>
    <row r="208" spans="1:52" x14ac:dyDescent="0.2">
      <c r="A208" s="16" t="str">
        <f t="shared" si="90"/>
        <v>Acute_DIV1</v>
      </c>
      <c r="B208" s="15">
        <f t="shared" si="91"/>
        <v>127</v>
      </c>
      <c r="C208" s="14" t="s">
        <v>276</v>
      </c>
      <c r="D208" s="14" t="s">
        <v>277</v>
      </c>
      <c r="E208" s="15">
        <f>_xll.OneStreamExcelAddIn.XFFunctions.XFGetCell("True","Consol", $B208,"Tot_Entity","USD",E$2,E$3,E$4,$C208,"TopFlow","Top","Top","Tot_Los","TOT_Dept_WO_Addbacks","Tot_FC",$A208,"Top5","Top6","Reported","Top8")</f>
        <v>19712.59</v>
      </c>
      <c r="F208" s="15">
        <f>_xll.OneStreamExcelAddIn.XFFunctions.XFGetCell("True","Consol", $B208,"Tot_Entity","Aggregated",F$2,F$3,F$4,$C208,"TopFlow","Top","Top","Tot_Los","TOT_Dept_WO_Addbacks","TOP3",$A208,"Top5","Top6","Reported","Top8")</f>
        <v>17178.084333333001</v>
      </c>
      <c r="G208" s="21">
        <f t="shared" si="84"/>
        <v>-2534.5056666669989</v>
      </c>
      <c r="M208" s="15">
        <f>_xll.OneStreamExcelAddIn.XFFunctions.XFGetCell("True","Consol", $B208,"Tot_Entity","USD",M$2,M$3,M$4,$C208,"TopFlow","Top","Top","Tot_Los","TOT_Dept_WO_Addbacks","Tot_FC",$A208,"Top5","Top6","Reported","Top8")</f>
        <v>19712.59</v>
      </c>
      <c r="N208" s="15">
        <f>_xll.OneStreamExcelAddIn.XFFunctions.XFGetCell("True","Consol", $B208,"Tot_Entity","USD",N$2,N$3,N$4,$C208,"TopFlow","Top","Top","Tot_Los","TOT_Dept_WO_Addbacks","Tot_FC",$A208,"Top5","Top6","Reported","Top8")</f>
        <v>8886.5300000000007</v>
      </c>
      <c r="O208" s="21">
        <f t="shared" si="85"/>
        <v>-10826.06</v>
      </c>
      <c r="Q208" s="21"/>
      <c r="R208" s="21"/>
      <c r="T208" s="21"/>
      <c r="V208" s="15">
        <f>_xll.OneStreamExcelAddIn.XFFunctions.XFGetCell("True","Consol", $B208,"Tot_Entity","USD",V$2,V$3,V$4,$C208,"TopFlow","Top","Top","Tot_Los","TOT_Dept_WO_Addbacks","Tot_FC",$A208,"Top5","Top6","Reported","Top8")</f>
        <v>54357.94</v>
      </c>
      <c r="W208" s="15">
        <f>_xll.OneStreamExcelAddIn.XFFunctions.XFGetCell("True","Consol", $B208,"Tot_Entity","Aggregated",W$2,W$3,W$4,$C208,"TopFlow","Top","Top","Tot_Los","TOT_Dept_WO_Addbacks","TOP3",$A208,"Top5","Top6","Reported","Top8")</f>
        <v>68462.857333331995</v>
      </c>
      <c r="X208" s="21">
        <f t="shared" si="86"/>
        <v>14104.917333331992</v>
      </c>
      <c r="AD208" s="15">
        <f>_xll.OneStreamExcelAddIn.XFFunctions.XFGetCell("True","Consol", $B208,"Tot_Entity","USD",AD$2,AD$3,AD$4,$C208,"TopFlow","Top","Top","Tot_Los","TOT_Dept_WO_Addbacks","Tot_FC",$A208,"Top5","Top6","Reported","Top8")</f>
        <v>19712.59</v>
      </c>
      <c r="AE208" s="15">
        <f>_xll.OneStreamExcelAddIn.XFFunctions.XFGetCell("True","Consol", $B208,"Tot_Entity","USD",AE$2,AE$3,AE$4,$C208,"TopFlow","Top","Top","Tot_Los","TOT_Dept_WO_Addbacks","Tot_FC",$A208,"Top5","Top6","Reported","Top8")</f>
        <v>17990.5</v>
      </c>
      <c r="AF208" s="21">
        <f t="shared" si="87"/>
        <v>-1722.0900000000001</v>
      </c>
      <c r="AL208" s="15">
        <f>_xll.OneStreamExcelAddIn.XFFunctions.XFGetCell("True","Consol", $B208,"Tot_Entity","USD",AL$2,AL$3,AL$4,$C208,"TopFlow","Top","Top","Tot_Los","TOT_Dept_WO_Addbacks","Tot_FC",$A208,"Top5","Top6","Reported","Top8")</f>
        <v>54357.94</v>
      </c>
      <c r="AM208" s="15">
        <f>_xll.OneStreamExcelAddIn.XFFunctions.XFGetCell("True","Consol", $B208,"Tot_Entity","USD",AM$2,AM$3,AM$4,$C208,"TopFlow","Top","Top","Tot_Los","TOT_Dept_WO_Addbacks","Tot_FC",$A208,"Top5","Top6","Reported","Top8")</f>
        <v>51916.1</v>
      </c>
      <c r="AN208" s="21">
        <f t="shared" si="88"/>
        <v>-2441.8400000000038</v>
      </c>
      <c r="AT208" s="15">
        <f>_xll.OneStreamExcelAddIn.XFFunctions.XFGetCell("True","Consol", $B208,"Tot_Entity","USD",AT$2,AT$3,AT$4,$C208,"TopFlow","Top","Top","Tot_Los","TOT_Dept_WO_Addbacks","Tot_FC",$A208,"Top5","Top6","Reported","Top8")</f>
        <v>0</v>
      </c>
      <c r="AU208" s="15">
        <f>_xll.OneStreamExcelAddIn.XFFunctions.XFGetCell("True","Consol", $B208,"Tot_Entity","USD",AU$2,AU$3,AU$4,$C208,"TopFlow","Top","Top","Tot_Los","TOT_Dept_WO_Addbacks","Tot_FC",$A208,"Top5","Top6","Reported","Top8")</f>
        <v>17178.084333333001</v>
      </c>
      <c r="AV208" s="162">
        <f t="shared" si="89"/>
        <v>17178.084333333001</v>
      </c>
    </row>
    <row r="209" spans="1:52" x14ac:dyDescent="0.2">
      <c r="A209" s="16" t="str">
        <f t="shared" si="90"/>
        <v>Acute_DIV1</v>
      </c>
      <c r="B209" s="15">
        <f t="shared" si="91"/>
        <v>127</v>
      </c>
      <c r="C209" s="14" t="s">
        <v>278</v>
      </c>
      <c r="D209" s="14" t="s">
        <v>279</v>
      </c>
      <c r="E209" s="15">
        <f>_xll.OneStreamExcelAddIn.XFFunctions.XFGetCell("True","Consol", $B209,"Tot_Entity","USD",E$2,E$3,E$4,$C209,"TopFlow","Top","Top","Tot_Los","TOT_Dept_WO_Addbacks","Tot_FC",$A209,"Top5","Top6","Reported","Top8")</f>
        <v>3405.59</v>
      </c>
      <c r="F209" s="15">
        <f>_xll.OneStreamExcelAddIn.XFFunctions.XFGetCell("True","Consol", $B209,"Tot_Entity","Aggregated",F$2,F$3,F$4,$C209,"TopFlow","Top","Top","Tot_Los","TOT_Dept_WO_Addbacks","TOP3",$A209,"Top5","Top6","Reported","Top8")</f>
        <v>2028.7873333330001</v>
      </c>
      <c r="G209" s="21">
        <f t="shared" si="84"/>
        <v>-1376.802666667</v>
      </c>
      <c r="M209" s="15">
        <f>_xll.OneStreamExcelAddIn.XFFunctions.XFGetCell("True","Consol", $B209,"Tot_Entity","USD",M$2,M$3,M$4,$C209,"TopFlow","Top","Top","Tot_Los","TOT_Dept_WO_Addbacks","Tot_FC",$A209,"Top5","Top6","Reported","Top8")</f>
        <v>3405.59</v>
      </c>
      <c r="N209" s="15">
        <f>_xll.OneStreamExcelAddIn.XFFunctions.XFGetCell("True","Consol", $B209,"Tot_Entity","USD",N$2,N$3,N$4,$C209,"TopFlow","Top","Top","Tot_Los","TOT_Dept_WO_Addbacks","Tot_FC",$A209,"Top5","Top6","Reported","Top8")</f>
        <v>3811.79</v>
      </c>
      <c r="O209" s="21">
        <f t="shared" si="85"/>
        <v>406.19999999999982</v>
      </c>
      <c r="Q209" s="21"/>
      <c r="R209" s="21"/>
      <c r="T209" s="21"/>
      <c r="V209" s="15">
        <f>_xll.OneStreamExcelAddIn.XFFunctions.XFGetCell("True","Consol", $B209,"Tot_Entity","USD",V$2,V$3,V$4,$C209,"TopFlow","Top","Top","Tot_Los","TOT_Dept_WO_Addbacks","Tot_FC",$A209,"Top5","Top6","Reported","Top8")</f>
        <v>12560.48</v>
      </c>
      <c r="W209" s="15">
        <f>_xll.OneStreamExcelAddIn.XFFunctions.XFGetCell("True","Consol", $B209,"Tot_Entity","Aggregated",W$2,W$3,W$4,$C209,"TopFlow","Top","Top","Tot_Los","TOT_Dept_WO_Addbacks","TOP3",$A209,"Top5","Top6","Reported","Top8")</f>
        <v>8115.1493333320004</v>
      </c>
      <c r="X209" s="21">
        <f t="shared" si="86"/>
        <v>-4445.3306666679991</v>
      </c>
      <c r="AD209" s="15">
        <f>_xll.OneStreamExcelAddIn.XFFunctions.XFGetCell("True","Consol", $B209,"Tot_Entity","USD",AD$2,AD$3,AD$4,$C209,"TopFlow","Top","Top","Tot_Los","TOT_Dept_WO_Addbacks","Tot_FC",$A209,"Top5","Top6","Reported","Top8")</f>
        <v>3405.59</v>
      </c>
      <c r="AE209" s="15">
        <f>_xll.OneStreamExcelAddIn.XFFunctions.XFGetCell("True","Consol", $B209,"Tot_Entity","USD",AE$2,AE$3,AE$4,$C209,"TopFlow","Top","Top","Tot_Los","TOT_Dept_WO_Addbacks","Tot_FC",$A209,"Top5","Top6","Reported","Top8")</f>
        <v>2445.4899999999998</v>
      </c>
      <c r="AF209" s="21">
        <f t="shared" si="87"/>
        <v>-960.10000000000036</v>
      </c>
      <c r="AL209" s="15">
        <f>_xll.OneStreamExcelAddIn.XFFunctions.XFGetCell("True","Consol", $B209,"Tot_Entity","USD",AL$2,AL$3,AL$4,$C209,"TopFlow","Top","Top","Tot_Los","TOT_Dept_WO_Addbacks","Tot_FC",$A209,"Top5","Top6","Reported","Top8")</f>
        <v>12560.48</v>
      </c>
      <c r="AM209" s="15">
        <f>_xll.OneStreamExcelAddIn.XFFunctions.XFGetCell("True","Consol", $B209,"Tot_Entity","USD",AM$2,AM$3,AM$4,$C209,"TopFlow","Top","Top","Tot_Los","TOT_Dept_WO_Addbacks","Tot_FC",$A209,"Top5","Top6","Reported","Top8")</f>
        <v>4763.2</v>
      </c>
      <c r="AN209" s="21">
        <f t="shared" si="88"/>
        <v>-7797.28</v>
      </c>
      <c r="AT209" s="15">
        <f>_xll.OneStreamExcelAddIn.XFFunctions.XFGetCell("True","Consol", $B209,"Tot_Entity","USD",AT$2,AT$3,AT$4,$C209,"TopFlow","Top","Top","Tot_Los","TOT_Dept_WO_Addbacks","Tot_FC",$A209,"Top5","Top6","Reported","Top8")</f>
        <v>0</v>
      </c>
      <c r="AU209" s="15">
        <f>_xll.OneStreamExcelAddIn.XFFunctions.XFGetCell("True","Consol", $B209,"Tot_Entity","USD",AU$2,AU$3,AU$4,$C209,"TopFlow","Top","Top","Tot_Los","TOT_Dept_WO_Addbacks","Tot_FC",$A209,"Top5","Top6","Reported","Top8")</f>
        <v>2028.7873333330001</v>
      </c>
      <c r="AV209" s="162">
        <f t="shared" si="89"/>
        <v>2028.7873333330001</v>
      </c>
    </row>
    <row r="210" spans="1:52" x14ac:dyDescent="0.2">
      <c r="A210" s="16" t="str">
        <f t="shared" si="90"/>
        <v>Acute_DIV1</v>
      </c>
      <c r="B210" s="15">
        <f t="shared" si="91"/>
        <v>127</v>
      </c>
      <c r="C210" s="14" t="s">
        <v>280</v>
      </c>
      <c r="D210" s="14" t="s">
        <v>281</v>
      </c>
      <c r="E210" s="15">
        <f>_xll.OneStreamExcelAddIn.XFFunctions.XFGetCell("True","Consol", $B210,"Tot_Entity","USD",E$2,E$3,E$4,$C210,"TopFlow","Top","Top","Tot_Los","TOT_Dept_WO_Addbacks","Tot_FC",$A210,"Top5","Top6","Reported","Top8")</f>
        <v>443219.33</v>
      </c>
      <c r="F210" s="15">
        <f>_xll.OneStreamExcelAddIn.XFFunctions.XFGetCell("True","Consol", $B210,"Tot_Entity","Aggregated",F$2,F$3,F$4,$C210,"TopFlow","Top","Top","Tot_Los","TOT_Dept_WO_Addbacks","TOP3",$A210,"Top5","Top6","Reported","Top8")</f>
        <v>389290.28</v>
      </c>
      <c r="G210" s="21">
        <f t="shared" si="84"/>
        <v>-53929.049999999988</v>
      </c>
      <c r="M210" s="15">
        <f>_xll.OneStreamExcelAddIn.XFFunctions.XFGetCell("True","Consol", $B210,"Tot_Entity","USD",M$2,M$3,M$4,$C210,"TopFlow","Top","Top","Tot_Los","TOT_Dept_WO_Addbacks","Tot_FC",$A210,"Top5","Top6","Reported","Top8")</f>
        <v>443219.33</v>
      </c>
      <c r="N210" s="15">
        <f>_xll.OneStreamExcelAddIn.XFFunctions.XFGetCell("True","Consol", $B210,"Tot_Entity","USD",N$2,N$3,N$4,$C210,"TopFlow","Top","Top","Tot_Los","TOT_Dept_WO_Addbacks","Tot_FC",$A210,"Top5","Top6","Reported","Top8")</f>
        <v>279129.96999999997</v>
      </c>
      <c r="O210" s="21">
        <f t="shared" si="85"/>
        <v>-164089.36000000004</v>
      </c>
      <c r="Q210" s="21"/>
      <c r="R210" s="21"/>
      <c r="T210" s="21"/>
      <c r="V210" s="15">
        <f>_xll.OneStreamExcelAddIn.XFFunctions.XFGetCell("True","Consol", $B210,"Tot_Entity","USD",V$2,V$3,V$4,$C210,"TopFlow","Top","Top","Tot_Los","TOT_Dept_WO_Addbacks","Tot_FC",$A210,"Top5","Top6","Reported","Top8")</f>
        <v>1610601.71</v>
      </c>
      <c r="W210" s="15">
        <f>_xll.OneStreamExcelAddIn.XFFunctions.XFGetCell("True","Consol", $B210,"Tot_Entity","Aggregated",W$2,W$3,W$4,$C210,"TopFlow","Top","Top","Tot_Los","TOT_Dept_WO_Addbacks","TOP3",$A210,"Top5","Top6","Reported","Top8")</f>
        <v>1564258.81</v>
      </c>
      <c r="X210" s="21">
        <f t="shared" si="86"/>
        <v>-46342.899999999907</v>
      </c>
      <c r="AD210" s="15">
        <f>_xll.OneStreamExcelAddIn.XFFunctions.XFGetCell("True","Consol", $B210,"Tot_Entity","USD",AD$2,AD$3,AD$4,$C210,"TopFlow","Top","Top","Tot_Los","TOT_Dept_WO_Addbacks","Tot_FC",$A210,"Top5","Top6","Reported","Top8")</f>
        <v>443219.33</v>
      </c>
      <c r="AE210" s="15">
        <f>_xll.OneStreamExcelAddIn.XFFunctions.XFGetCell("True","Consol", $B210,"Tot_Entity","USD",AE$2,AE$3,AE$4,$C210,"TopFlow","Top","Top","Tot_Los","TOT_Dept_WO_Addbacks","Tot_FC",$A210,"Top5","Top6","Reported","Top8")</f>
        <v>158221.42000000001</v>
      </c>
      <c r="AF210" s="21">
        <f t="shared" si="87"/>
        <v>-284997.91000000003</v>
      </c>
      <c r="AL210" s="15">
        <f>_xll.OneStreamExcelAddIn.XFFunctions.XFGetCell("True","Consol", $B210,"Tot_Entity","USD",AL$2,AL$3,AL$4,$C210,"TopFlow","Top","Top","Tot_Los","TOT_Dept_WO_Addbacks","Tot_FC",$A210,"Top5","Top6","Reported","Top8")</f>
        <v>1610601.71</v>
      </c>
      <c r="AM210" s="15">
        <f>_xll.OneStreamExcelAddIn.XFFunctions.XFGetCell("True","Consol", $B210,"Tot_Entity","USD",AM$2,AM$3,AM$4,$C210,"TopFlow","Top","Top","Tot_Los","TOT_Dept_WO_Addbacks","Tot_FC",$A210,"Top5","Top6","Reported","Top8")</f>
        <v>563795.82999999996</v>
      </c>
      <c r="AN210" s="21">
        <f t="shared" si="88"/>
        <v>-1046805.88</v>
      </c>
      <c r="AT210" s="15">
        <f>_xll.OneStreamExcelAddIn.XFFunctions.XFGetCell("True","Consol", $B210,"Tot_Entity","USD",AT$2,AT$3,AT$4,$C210,"TopFlow","Top","Top","Tot_Los","TOT_Dept_WO_Addbacks","Tot_FC",$A210,"Top5","Top6","Reported","Top8")</f>
        <v>0</v>
      </c>
      <c r="AU210" s="15">
        <f>_xll.OneStreamExcelAddIn.XFFunctions.XFGetCell("True","Consol", $B210,"Tot_Entity","USD",AU$2,AU$3,AU$4,$C210,"TopFlow","Top","Top","Tot_Los","TOT_Dept_WO_Addbacks","Tot_FC",$A210,"Top5","Top6","Reported","Top8")</f>
        <v>389290.28</v>
      </c>
      <c r="AV210" s="162">
        <f t="shared" si="89"/>
        <v>389290.28</v>
      </c>
    </row>
    <row r="211" spans="1:52" x14ac:dyDescent="0.2">
      <c r="A211" s="16" t="str">
        <f t="shared" si="90"/>
        <v>Acute_DIV1</v>
      </c>
      <c r="B211" s="15">
        <f t="shared" si="91"/>
        <v>127</v>
      </c>
      <c r="C211" s="14" t="s">
        <v>282</v>
      </c>
      <c r="D211" s="14" t="s">
        <v>283</v>
      </c>
      <c r="E211" s="15">
        <f>_xll.OneStreamExcelAddIn.XFFunctions.XFGetCell("True","Consol", $B211,"Tot_Entity","USD",E$2,E$3,E$4,$C211,"TopFlow","Top","Top","Tot_Los","TOT_Dept_WO_Addbacks","Tot_FC",$A211,"Top5","Top6","Reported","Top8")</f>
        <v>82404.789999999994</v>
      </c>
      <c r="F211" s="15">
        <f>_xll.OneStreamExcelAddIn.XFFunctions.XFGetCell("True","Consol", $B211,"Tot_Entity","Aggregated",F$2,F$3,F$4,$C211,"TopFlow","Top","Top","Tot_Los","TOT_Dept_WO_Addbacks","TOP3",$A211,"Top5","Top6","Reported","Top8")</f>
        <v>78020.458235869999</v>
      </c>
      <c r="G211" s="21">
        <f t="shared" si="84"/>
        <v>-4384.3317641299946</v>
      </c>
      <c r="M211" s="15">
        <f>_xll.OneStreamExcelAddIn.XFFunctions.XFGetCell("True","Consol", $B211,"Tot_Entity","USD",M$2,M$3,M$4,$C211,"TopFlow","Top","Top","Tot_Los","TOT_Dept_WO_Addbacks","Tot_FC",$A211,"Top5","Top6","Reported","Top8")</f>
        <v>82404.789999999994</v>
      </c>
      <c r="N211" s="15">
        <f>_xll.OneStreamExcelAddIn.XFFunctions.XFGetCell("True","Consol", $B211,"Tot_Entity","USD",N$2,N$3,N$4,$C211,"TopFlow","Top","Top","Tot_Los","TOT_Dept_WO_Addbacks","Tot_FC",$A211,"Top5","Top6","Reported","Top8")</f>
        <v>99253.14</v>
      </c>
      <c r="O211" s="21">
        <f t="shared" si="85"/>
        <v>16848.350000000006</v>
      </c>
      <c r="Q211" s="21"/>
      <c r="R211" s="21"/>
      <c r="T211" s="21"/>
      <c r="V211" s="15">
        <f>_xll.OneStreamExcelAddIn.XFFunctions.XFGetCell("True","Consol", $B211,"Tot_Entity","USD",V$2,V$3,V$4,$C211,"TopFlow","Top","Top","Tot_Los","TOT_Dept_WO_Addbacks","Tot_FC",$A211,"Top5","Top6","Reported","Top8")</f>
        <v>345140.83</v>
      </c>
      <c r="W211" s="15">
        <f>_xll.OneStreamExcelAddIn.XFFunctions.XFGetCell("True","Consol", $B211,"Tot_Entity","Aggregated",W$2,W$3,W$4,$C211,"TopFlow","Top","Top","Tot_Los","TOT_Dept_WO_Addbacks","TOP3",$A211,"Top5","Top6","Reported","Top8")</f>
        <v>323219.83762906701</v>
      </c>
      <c r="X211" s="21">
        <f t="shared" si="86"/>
        <v>-21920.992370933003</v>
      </c>
      <c r="AD211" s="15">
        <f>_xll.OneStreamExcelAddIn.XFFunctions.XFGetCell("True","Consol", $B211,"Tot_Entity","USD",AD$2,AD$3,AD$4,$C211,"TopFlow","Top","Top","Tot_Los","TOT_Dept_WO_Addbacks","Tot_FC",$A211,"Top5","Top6","Reported","Top8")</f>
        <v>82404.789999999994</v>
      </c>
      <c r="AE211" s="15">
        <f>_xll.OneStreamExcelAddIn.XFFunctions.XFGetCell("True","Consol", $B211,"Tot_Entity","USD",AE$2,AE$3,AE$4,$C211,"TopFlow","Top","Top","Tot_Los","TOT_Dept_WO_Addbacks","Tot_FC",$A211,"Top5","Top6","Reported","Top8")</f>
        <v>50750</v>
      </c>
      <c r="AF211" s="21">
        <f t="shared" si="87"/>
        <v>-31654.789999999994</v>
      </c>
      <c r="AL211" s="15">
        <f>_xll.OneStreamExcelAddIn.XFFunctions.XFGetCell("True","Consol", $B211,"Tot_Entity","USD",AL$2,AL$3,AL$4,$C211,"TopFlow","Top","Top","Tot_Los","TOT_Dept_WO_Addbacks","Tot_FC",$A211,"Top5","Top6","Reported","Top8")</f>
        <v>345140.83</v>
      </c>
      <c r="AM211" s="15">
        <f>_xll.OneStreamExcelAddIn.XFFunctions.XFGetCell("True","Consol", $B211,"Tot_Entity","USD",AM$2,AM$3,AM$4,$C211,"TopFlow","Top","Top","Tot_Los","TOT_Dept_WO_Addbacks","Tot_FC",$A211,"Top5","Top6","Reported","Top8")</f>
        <v>203000</v>
      </c>
      <c r="AN211" s="21">
        <f t="shared" si="88"/>
        <v>-142140.83000000002</v>
      </c>
      <c r="AT211" s="15">
        <f>_xll.OneStreamExcelAddIn.XFFunctions.XFGetCell("True","Consol", $B211,"Tot_Entity","USD",AT$2,AT$3,AT$4,$C211,"TopFlow","Top","Top","Tot_Los","TOT_Dept_WO_Addbacks","Tot_FC",$A211,"Top5","Top6","Reported","Top8")</f>
        <v>0</v>
      </c>
      <c r="AU211" s="15">
        <f>_xll.OneStreamExcelAddIn.XFFunctions.XFGetCell("True","Consol", $B211,"Tot_Entity","USD",AU$2,AU$3,AU$4,$C211,"TopFlow","Top","Top","Tot_Los","TOT_Dept_WO_Addbacks","Tot_FC",$A211,"Top5","Top6","Reported","Top8")</f>
        <v>78020.458235869999</v>
      </c>
      <c r="AV211" s="162">
        <f t="shared" si="89"/>
        <v>78020.458235869999</v>
      </c>
    </row>
    <row r="212" spans="1:52" x14ac:dyDescent="0.2">
      <c r="G212" s="48"/>
      <c r="O212" s="48"/>
      <c r="Q212" s="48"/>
      <c r="R212" s="48"/>
      <c r="T212" s="48"/>
      <c r="X212" s="48"/>
      <c r="AF212" s="48"/>
      <c r="AN212" s="48"/>
      <c r="AV212" s="170"/>
    </row>
    <row r="213" spans="1:52" s="4" customFormat="1" ht="5.0999999999999996" customHeight="1" x14ac:dyDescent="0.2">
      <c r="B213" s="22"/>
      <c r="C213" s="23"/>
      <c r="D213" s="23"/>
      <c r="X213" s="155"/>
      <c r="AB213" s="22"/>
      <c r="AJ213" s="22"/>
      <c r="AN213" s="155"/>
      <c r="AR213" s="22"/>
      <c r="AV213" s="164"/>
      <c r="AZ213" s="22"/>
    </row>
    <row r="215" spans="1:52" x14ac:dyDescent="0.2">
      <c r="A215" s="16" t="str">
        <f>+$A$8</f>
        <v>Acute_DIV1</v>
      </c>
      <c r="B215" s="15">
        <f>+$B$8</f>
        <v>127</v>
      </c>
      <c r="C215" s="14" t="s">
        <v>89</v>
      </c>
      <c r="D215" s="14" t="s">
        <v>89</v>
      </c>
      <c r="E215" s="15">
        <f>_xll.OneStreamExcelAddIn.XFFunctions.XFGetCell("True","Consol", $B215,"Tot_Entity","USD",E$2,E$3,E$4,$C215,"TopFlow","Top","Top","Tot_Los","TOT_Dept_WO_Addbacks","Tot_FC",$A215,"Top5","Top6","Reported","Top8")</f>
        <v>3118170.97</v>
      </c>
      <c r="F215" s="15">
        <f>_xll.OneStreamExcelAddIn.XFFunctions.XFGetCell("True","Consol", $B215,"Tot_Entity","Aggregated",F$2,F$3,F$4,$C215,"TopFlow","Top","Top","Tot_Los","TOT_Dept_WO_Addbacks","TOP3",$A215,"Top5","Top6","Reported","Top8")</f>
        <v>2862384.9490377721</v>
      </c>
      <c r="G215" s="21">
        <f>E215-F215</f>
        <v>255786.02096222807</v>
      </c>
      <c r="M215" s="15">
        <f>_xll.OneStreamExcelAddIn.XFFunctions.XFGetCell("True","Consol", $B215,"Tot_Entity","USD",M$2,M$3,M$4,$C215,"TopFlow","Top","Top","Tot_Los","TOT_Dept_WO_Addbacks","Tot_FC",$A215,"Top5","Top6","Reported","Top8")</f>
        <v>3118170.97</v>
      </c>
      <c r="N215" s="15">
        <f>_xll.OneStreamExcelAddIn.XFFunctions.XFGetCell("True","Consol", $B215,"Tot_Entity","USD",N$2,N$3,N$4,$C215,"TopFlow","Top","Top","Tot_Los","TOT_Dept_WO_Addbacks","Tot_FC",$A215,"Top5","Top6","Reported","Top8")</f>
        <v>840668.21</v>
      </c>
      <c r="O215" s="21">
        <f>M215-N215</f>
        <v>2277502.7600000002</v>
      </c>
      <c r="Q215" s="21"/>
      <c r="R215" s="21"/>
      <c r="T215" s="21"/>
      <c r="V215" s="15">
        <f>_xll.OneStreamExcelAddIn.XFFunctions.XFGetCell("True","Consol", $B215,"Tot_Entity","USD",V$2,V$3,V$4,$C215,"TopFlow","Top","Top","Tot_Los","TOT_Dept_WO_Addbacks","Tot_FC",$A215,"Top5","Top6","Reported","Top8")</f>
        <v>9745064.0299999993</v>
      </c>
      <c r="W215" s="15">
        <f>_xll.OneStreamExcelAddIn.XFFunctions.XFGetCell("True","Consol", $B215,"Tot_Entity","Aggregated",W$2,W$3,W$4,$C215,"TopFlow","Top","Top","Tot_Los","TOT_Dept_WO_Addbacks","TOP3",$A215,"Top5","Top6","Reported","Top8")</f>
        <v>11864053.776385361</v>
      </c>
      <c r="X215" s="21">
        <f>V215-W215</f>
        <v>-2118989.746385362</v>
      </c>
      <c r="AB215" s="2">
        <f>+SUM(AB201,AB189,AB180,AB171,AB127,AB79)</f>
        <v>-2547638.5579364887</v>
      </c>
      <c r="AD215" s="15">
        <f>_xll.OneStreamExcelAddIn.XFFunctions.XFGetCell("True","Consol", $B215,"Tot_Entity","USD",AD$2,AD$3,AD$4,$C215,"TopFlow","Top","Top","Tot_Los","TOT_Dept_WO_Addbacks","Tot_FC",$A215,"Top5","Top6","Reported","Top8")</f>
        <v>3118170.97</v>
      </c>
      <c r="AE215" s="15">
        <f>_xll.OneStreamExcelAddIn.XFFunctions.XFGetCell("True","Consol", $B215,"Tot_Entity","USD",AE$2,AE$3,AE$4,$C215,"TopFlow","Top","Top","Tot_Los","TOT_Dept_WO_Addbacks","Tot_FC",$A215,"Top5","Top6","Reported","Top8")</f>
        <v>1146482.02</v>
      </c>
      <c r="AF215" s="21">
        <f>AD215-AE215</f>
        <v>1971688.9500000002</v>
      </c>
      <c r="AJ215" s="2">
        <f>+SUM(AJ201,AJ189,AJ180,AJ171,AJ127,AJ79)</f>
        <v>1530024.5647090583</v>
      </c>
      <c r="AL215" s="15">
        <f>_xll.OneStreamExcelAddIn.XFFunctions.XFGetCell("True","Consol", $B215,"Tot_Entity","USD",AL$2,AL$3,AL$4,$C215,"TopFlow","Top","Top","Tot_Los","TOT_Dept_WO_Addbacks","Tot_FC",$A215,"Top5","Top6","Reported","Top8")</f>
        <v>9745064.0299999993</v>
      </c>
      <c r="AM215" s="15">
        <f>_xll.OneStreamExcelAddIn.XFFunctions.XFGetCell("True","Consol", $B215,"Tot_Entity","USD",AM$2,AM$3,AM$4,$C215,"TopFlow","Top","Top","Tot_Los","TOT_Dept_WO_Addbacks","Tot_FC",$A215,"Top5","Top6","Reported","Top8")</f>
        <v>4627305.93</v>
      </c>
      <c r="AN215" s="21">
        <f>AL215-AM215</f>
        <v>5117758.0999999996</v>
      </c>
      <c r="AR215" s="2">
        <f>+SUM(AR201,AR189,AR180,AR171,AR127,AR79)</f>
        <v>3709839.0654318663</v>
      </c>
      <c r="AT215" s="15">
        <f>_xll.OneStreamExcelAddIn.XFFunctions.XFGetCell("True","Consol", $B215,"Tot_Entity","USD",AT$2,AT$3,AT$4,$C215,"TopFlow","Top","Top","Tot_Los","TOT_Dept_WO_Addbacks","Tot_FC",$A215,"Top5","Top6","Reported","Top8")</f>
        <v>0</v>
      </c>
      <c r="AU215" s="15">
        <f>_xll.OneStreamExcelAddIn.XFFunctions.XFGetCell("True","Consol", $B215,"Tot_Entity","USD",AU$2,AU$3,AU$4,$C215,"TopFlow","Top","Top","Tot_Los","TOT_Dept_WO_Addbacks","Tot_FC",$A215,"Top5","Top6","Reported","Top8")</f>
        <v>4260234.4407419162</v>
      </c>
      <c r="AV215" s="162">
        <f>AT215-AU215</f>
        <v>-4260234.4407419162</v>
      </c>
      <c r="AZ215" s="2" t="e">
        <f>+SUM(AZ201,AZ189,AZ180,AZ171,AZ127,AZ79)</f>
        <v>#DIV/0!</v>
      </c>
    </row>
    <row r="216" spans="1:52" hidden="1" outlineLevel="1" x14ac:dyDescent="0.2">
      <c r="A216" s="20"/>
      <c r="B216" s="21"/>
      <c r="C216" s="21"/>
      <c r="D216" s="21"/>
      <c r="E216" s="21" t="b">
        <f>E215=(E78-SUM(E143,E146,E149,E152:E155,E157,E161,E166,E180,E189,E201:E211))</f>
        <v>1</v>
      </c>
      <c r="F216" s="21" t="b">
        <f>F215=(F78-SUM(F143,F146,F149,F152:F155,F157,F161,F166,F180,F189,F201:F211))</f>
        <v>1</v>
      </c>
      <c r="G216" s="21"/>
      <c r="M216" s="21" t="b">
        <f>M215=(M78-SUM(M143,M146,M149,M152:M155,M157,M161,M166,M180,M189,M201:M211))</f>
        <v>1</v>
      </c>
      <c r="N216" s="21" t="b">
        <f>N215=(N78-SUM(N143,N146,N149,N152:N155,N157,N161,N166,N180,N189,N201:N211))</f>
        <v>0</v>
      </c>
      <c r="O216" s="21"/>
      <c r="Q216" s="21"/>
      <c r="R216" s="21"/>
      <c r="T216" s="21"/>
      <c r="V216" s="21" t="b">
        <f>V215=(V78-SUM(V143,V146,V149,V152:V155,V157,V161,V166,V180,V189,V201:V211))</f>
        <v>1</v>
      </c>
      <c r="W216" s="21" t="b">
        <f>W215=(W78-SUM(W143,W146,W149,W152:W155,W157,W161,W166,W180,W189,W201:W211))</f>
        <v>1</v>
      </c>
      <c r="X216" s="21"/>
      <c r="AB216" s="2" t="b">
        <f>AB215=X215</f>
        <v>0</v>
      </c>
      <c r="AD216" s="21" t="b">
        <f>AD215=(AD78-SUM(AD143,AD146,AD149,AD152:AD155,AD157,AD161,AD166,AD180,AD189,AD201:AD211))</f>
        <v>1</v>
      </c>
      <c r="AE216" s="21" t="b">
        <f>AE215=(AE78-SUM(AE143,AE146,AE149,AE152:AE155,AE157,AE161,AE166,AE180,AE189,AE201:AE211))</f>
        <v>1</v>
      </c>
      <c r="AF216" s="21"/>
      <c r="AJ216" s="2" t="b">
        <f>AJ215=AF215</f>
        <v>0</v>
      </c>
      <c r="AL216" s="21" t="b">
        <f>AL215=(AL78-SUM(AL143,AL146,AL149,AL152:AL155,AL157,AL161,AL166,AL180,AL189,AL201:AL211))</f>
        <v>1</v>
      </c>
      <c r="AM216" s="21" t="b">
        <f>AM215=(AM78-SUM(AM143,AM146,AM149,AM152:AM155,AM157,AM161,AM166,AM180,AM189,AM201:AM211))</f>
        <v>1</v>
      </c>
      <c r="AN216" s="21"/>
      <c r="AR216" s="2" t="b">
        <f>AR215=AN215</f>
        <v>0</v>
      </c>
      <c r="AT216" s="21" t="b">
        <f>AT215=(AT78-SUM(AT143,AT146,AT149,AT152:AT155,AT157,AT161,AT166,AT180,AT189,AT201:AT211))</f>
        <v>1</v>
      </c>
      <c r="AU216" s="21" t="b">
        <f>AU215=(AU78-SUM(AU143,AU146,AU149,AU152:AU155,AU157,AU161,AU166,AU180,AU189,AU201:AU211))</f>
        <v>1</v>
      </c>
      <c r="AV216" s="162"/>
      <c r="AZ216" s="2" t="e">
        <f>AZ215=AV215</f>
        <v>#DIV/0!</v>
      </c>
    </row>
    <row r="217" spans="1:52" collapsed="1" x14ac:dyDescent="0.2">
      <c r="D217" s="3" t="s">
        <v>90</v>
      </c>
      <c r="E217" s="37">
        <f>+E215/E78</f>
        <v>0.52743961912895942</v>
      </c>
      <c r="F217" s="37">
        <f>+F215/F78</f>
        <v>0.50189028413420467</v>
      </c>
      <c r="G217" s="37"/>
      <c r="M217" s="37">
        <f>+M215/M78</f>
        <v>0.52743961912895942</v>
      </c>
      <c r="N217" s="37">
        <f>+N215/N78</f>
        <v>0.24468677944447845</v>
      </c>
      <c r="O217" s="37"/>
      <c r="Q217" s="37"/>
      <c r="R217" s="37"/>
      <c r="T217" s="37"/>
      <c r="V217" s="37">
        <f>+V215/V78</f>
        <v>0.47177641714684515</v>
      </c>
      <c r="W217" s="37">
        <f>+W215/W78</f>
        <v>0.51594004940604787</v>
      </c>
      <c r="X217" s="159"/>
      <c r="AD217" s="37">
        <f>+AD215/AD78</f>
        <v>0.52743961912895942</v>
      </c>
      <c r="AE217" s="37">
        <f>+AE215/AE78</f>
        <v>0.30527523506308785</v>
      </c>
      <c r="AF217" s="37"/>
      <c r="AL217" s="37">
        <f>+AL215/AL78</f>
        <v>0.47177641714684515</v>
      </c>
      <c r="AM217" s="37">
        <f>+AM215/AM78</f>
        <v>0.31537390595270609</v>
      </c>
      <c r="AN217" s="159"/>
      <c r="AT217" s="37" t="e">
        <f>+AT215/AT78</f>
        <v>#DIV/0!</v>
      </c>
      <c r="AU217" s="37">
        <f>+AU215/AU78</f>
        <v>0.74698907100565159</v>
      </c>
      <c r="AV217" s="169"/>
    </row>
    <row r="218" spans="1:52" x14ac:dyDescent="0.2">
      <c r="F218" s="37"/>
    </row>
    <row r="219" spans="1:52" x14ac:dyDescent="0.2">
      <c r="E219" s="51">
        <f>+E78</f>
        <v>5911901.2999999998</v>
      </c>
      <c r="F219" s="51">
        <f>+F78</f>
        <v>5703208.5288831275</v>
      </c>
      <c r="M219" s="51">
        <f>+M78</f>
        <v>5911901.2999999998</v>
      </c>
      <c r="N219" s="51">
        <f>+N78</f>
        <v>3435691.18</v>
      </c>
      <c r="V219" s="51">
        <f>+V78</f>
        <v>20656106.739999998</v>
      </c>
      <c r="W219" s="51">
        <f>+W78</f>
        <v>22995023.918075956</v>
      </c>
      <c r="AD219" s="51">
        <f>+AD78</f>
        <v>5911901.2999999998</v>
      </c>
      <c r="AE219" s="51">
        <f>+AE78</f>
        <v>3755568.38</v>
      </c>
      <c r="AL219" s="51">
        <f>+AL78</f>
        <v>20656106.739999998</v>
      </c>
      <c r="AM219" s="51">
        <f>+AM78</f>
        <v>14672443.859999999</v>
      </c>
      <c r="AT219" s="51">
        <f>+AT78</f>
        <v>0</v>
      </c>
      <c r="AU219" s="51">
        <f>+AU78</f>
        <v>5703208.5288831275</v>
      </c>
    </row>
    <row r="220" spans="1:52" x14ac:dyDescent="0.2">
      <c r="E220" s="51">
        <f>+SUM(E138,E166,E180,E189,E201:E211)</f>
        <v>2793730.3299999996</v>
      </c>
      <c r="F220" s="51">
        <f>+SUM(F138,F166,F180,F189,F201:F211)</f>
        <v>2840823.5798453558</v>
      </c>
      <c r="M220" s="51">
        <f>+SUM(M138,M166,M180,M189,M201:M211)</f>
        <v>2793730.3299999996</v>
      </c>
      <c r="N220" s="51">
        <f>+SUM(N138,N166,N180,N189,N201:N211)</f>
        <v>2595022.9699999993</v>
      </c>
      <c r="V220" s="51">
        <f>+SUM(V138,V166,V180,V189,V201:V211)</f>
        <v>10911042.709999999</v>
      </c>
      <c r="W220" s="51">
        <f>+SUM(W138,W166,W180,W189,W201:W211)</f>
        <v>11130970.141690589</v>
      </c>
      <c r="AD220" s="51">
        <f>+SUM(AD138,AD166,AD180,AD189,AD201:AD211)</f>
        <v>2793730.3299999996</v>
      </c>
      <c r="AE220" s="51">
        <f>+SUM(AE138,AE166,AE180,AE189,AE201:AE211)</f>
        <v>2609086.3600000003</v>
      </c>
      <c r="AL220" s="51">
        <f>+SUM(AL138,AL166,AL180,AL189,AL201:AL211)</f>
        <v>10911042.709999999</v>
      </c>
      <c r="AM220" s="51">
        <f>+SUM(AM138,AM166,AM180,AM189,AM201:AM211)</f>
        <v>10045137.93</v>
      </c>
      <c r="AT220" s="51">
        <f>+SUM(AT138,AT166,AT180,AT189,AT201:AT211)</f>
        <v>0</v>
      </c>
      <c r="AU220" s="51">
        <f>+SUM(AU138,AU166,AU180,AU189,AU201:AU211)</f>
        <v>1442974.0881412122</v>
      </c>
    </row>
    <row r="221" spans="1:52" x14ac:dyDescent="0.2">
      <c r="E221" s="51">
        <f>+E219-E220</f>
        <v>3118170.97</v>
      </c>
      <c r="F221" s="51">
        <f>+F219-F220</f>
        <v>2862384.9490377717</v>
      </c>
      <c r="M221" s="51">
        <f>+M219-M220</f>
        <v>3118170.97</v>
      </c>
      <c r="N221" s="51">
        <f>+N219-N220</f>
        <v>840668.21000000089</v>
      </c>
      <c r="V221" s="51">
        <f>+V219-V220</f>
        <v>9745064.0299999993</v>
      </c>
      <c r="W221" s="51">
        <f>+W219-W220</f>
        <v>11864053.776385367</v>
      </c>
      <c r="AD221" s="51">
        <f>+AD219-AD220</f>
        <v>3118170.97</v>
      </c>
      <c r="AE221" s="51">
        <f>+AE219-AE220</f>
        <v>1146482.0199999996</v>
      </c>
      <c r="AL221" s="51">
        <f>+AL219-AL220</f>
        <v>9745064.0299999993</v>
      </c>
      <c r="AM221" s="51">
        <f>+AM219-AM220</f>
        <v>4627305.93</v>
      </c>
      <c r="AT221" s="51">
        <f>+AT219-AT220</f>
        <v>0</v>
      </c>
      <c r="AU221" s="51">
        <f>+AU219-AU220</f>
        <v>4260234.4407419153</v>
      </c>
    </row>
    <row r="222" spans="1:52" x14ac:dyDescent="0.2">
      <c r="E222" s="51">
        <f>+E221-E215</f>
        <v>0</v>
      </c>
      <c r="F222" s="51">
        <f>+F221-F215</f>
        <v>0</v>
      </c>
      <c r="M222" s="51">
        <f>+M221-M215</f>
        <v>0</v>
      </c>
      <c r="N222" s="51">
        <f>+N221-N215</f>
        <v>9.3132257461547852E-10</v>
      </c>
      <c r="V222" s="51">
        <f>+V221-V215</f>
        <v>0</v>
      </c>
      <c r="W222" s="51">
        <f>+W221-W215</f>
        <v>0</v>
      </c>
      <c r="AD222" s="51">
        <f>+AD221-AD215</f>
        <v>0</v>
      </c>
      <c r="AE222" s="51">
        <f>+AE221-AE215</f>
        <v>0</v>
      </c>
      <c r="AL222" s="51">
        <f>+AL221-AL215</f>
        <v>0</v>
      </c>
      <c r="AM222" s="51">
        <f>+AM221-AM215</f>
        <v>0</v>
      </c>
      <c r="AT222" s="51">
        <f>+AT221-AT215</f>
        <v>0</v>
      </c>
      <c r="AU222" s="51">
        <f>+AU221-AU215</f>
        <v>0</v>
      </c>
    </row>
  </sheetData>
  <conditionalFormatting sqref="E15:F15 E41:F41 E74:F74 E85:F85 E141:F141 E187:F187 E199:F199 E216:F216">
    <cfRule type="cellIs" dxfId="19" priority="27" operator="equal">
      <formula>FALSE</formula>
    </cfRule>
  </conditionalFormatting>
  <conditionalFormatting sqref="E66:F66">
    <cfRule type="cellIs" dxfId="18" priority="20" operator="equal">
      <formula>FALSE</formula>
    </cfRule>
  </conditionalFormatting>
  <conditionalFormatting sqref="G201:G211">
    <cfRule type="top10" dxfId="17" priority="28" bottom="1" rank="4"/>
  </conditionalFormatting>
  <conditionalFormatting sqref="M15:N15 M41:N41 M74:N74 M85:N85 M141:N141 M187:N187 M199:N199 M216:N216">
    <cfRule type="cellIs" dxfId="16" priority="2" operator="equal">
      <formula>FALSE</formula>
    </cfRule>
  </conditionalFormatting>
  <conditionalFormatting sqref="M66:N66">
    <cfRule type="cellIs" dxfId="15" priority="1" operator="equal">
      <formula>FALSE</formula>
    </cfRule>
  </conditionalFormatting>
  <conditionalFormatting sqref="T201:T211 O201:O211 Q201:R211">
    <cfRule type="top10" dxfId="14" priority="3" bottom="1" rank="4"/>
  </conditionalFormatting>
  <conditionalFormatting sqref="V15:W15 V41:W41 V74:W74 V85:W85 V141:W141 V187:W187 V199:W199 V216:W216">
    <cfRule type="cellIs" dxfId="13" priority="25" operator="equal">
      <formula>FALSE</formula>
    </cfRule>
  </conditionalFormatting>
  <conditionalFormatting sqref="V66:W66">
    <cfRule type="cellIs" dxfId="12" priority="13" operator="equal">
      <formula>FALSE</formula>
    </cfRule>
  </conditionalFormatting>
  <conditionalFormatting sqref="X201:X211">
    <cfRule type="top10" dxfId="11" priority="26" bottom="1" rank="4"/>
  </conditionalFormatting>
  <conditionalFormatting sqref="AD15:AE15 AD41:AE41 AD74:AE74 AD85:AE85 AD141:AE141 AD187:AE187 AD199:AE199 AD216:AE216">
    <cfRule type="cellIs" dxfId="10" priority="23" operator="equal">
      <formula>FALSE</formula>
    </cfRule>
  </conditionalFormatting>
  <conditionalFormatting sqref="AD66:AE66">
    <cfRule type="cellIs" dxfId="9" priority="12" operator="equal">
      <formula>FALSE</formula>
    </cfRule>
  </conditionalFormatting>
  <conditionalFormatting sqref="AF201:AF211">
    <cfRule type="top10" dxfId="8" priority="24" bottom="1" rank="4"/>
  </conditionalFormatting>
  <conditionalFormatting sqref="AL15:AM15 AL41:AM41 AL74:AM74 AL85:AM85 AL141:AM141 AL187:AM187 AL199:AM199 AL216:AM216">
    <cfRule type="cellIs" dxfId="7" priority="21" operator="equal">
      <formula>FALSE</formula>
    </cfRule>
  </conditionalFormatting>
  <conditionalFormatting sqref="AL66:AM66">
    <cfRule type="cellIs" dxfId="6" priority="11" operator="equal">
      <formula>FALSE</formula>
    </cfRule>
  </conditionalFormatting>
  <conditionalFormatting sqref="AN201:AN211">
    <cfRule type="top10" dxfId="5" priority="22" bottom="1" rank="4"/>
  </conditionalFormatting>
  <conditionalFormatting sqref="AT15:AU15 AT41:AU41 AT74:AU74 AT85:AU85 AT141:AU141 AT187:AU187 AT199:AU199 AT216:AU216">
    <cfRule type="cellIs" dxfId="4" priority="5" operator="equal">
      <formula>FALSE</formula>
    </cfRule>
  </conditionalFormatting>
  <conditionalFormatting sqref="AT66:AU66">
    <cfRule type="cellIs" dxfId="3" priority="4" operator="equal">
      <formula>FALSE</formula>
    </cfRule>
  </conditionalFormatting>
  <conditionalFormatting sqref="AV201:AV211">
    <cfRule type="top10" dxfId="2" priority="6" bottom="1" rank="4"/>
  </conditionalFormatting>
  <printOptions horizontalCentered="1"/>
  <pageMargins left="0.7" right="0.7" top="0.75" bottom="0.75" header="0.3" footer="0.3"/>
  <pageSetup paperSize="5" fitToHeight="0" orientation="landscape" r:id="rId1"/>
  <rowBreaks count="1" manualBreakCount="1">
    <brk id="123" min="1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5BE8-8F15-42FC-888C-D0667E58DC74}">
  <sheetPr>
    <tabColor theme="4" tint="0.79998168889431442"/>
    <pageSetUpPr fitToPage="1"/>
  </sheetPr>
  <dimension ref="A1:AH178"/>
  <sheetViews>
    <sheetView showGridLines="0" zoomScale="175" zoomScaleNormal="175" zoomScaleSheetLayoutView="100" workbookViewId="0">
      <pane xSplit="4" ySplit="7" topLeftCell="E70" activePane="bottomRight" state="frozen"/>
      <selection pane="topRight" activeCell="J22" sqref="J22"/>
      <selection pane="bottomLeft" activeCell="J22" sqref="J22"/>
      <selection pane="bottomRight" activeCell="E4" sqref="E4"/>
    </sheetView>
  </sheetViews>
  <sheetFormatPr defaultColWidth="9.140625" defaultRowHeight="11.25" outlineLevelRow="1" outlineLevelCol="1" x14ac:dyDescent="0.2"/>
  <cols>
    <col min="1" max="1" width="10.7109375" style="1" hidden="1" customWidth="1" outlineLevel="1"/>
    <col min="2" max="2" width="10.7109375" style="46" customWidth="1" collapsed="1"/>
    <col min="3" max="3" width="10.7109375" style="3" hidden="1" customWidth="1" outlineLevel="1"/>
    <col min="4" max="4" width="29.42578125" style="3" bestFit="1" customWidth="1" collapsed="1"/>
    <col min="5" max="16" width="9.7109375" style="1" customWidth="1"/>
    <col min="17" max="17" width="9.7109375" style="12" customWidth="1"/>
    <col min="18" max="16384" width="9.140625" style="1"/>
  </cols>
  <sheetData>
    <row r="1" spans="1:17" outlineLevel="1" x14ac:dyDescent="0.2">
      <c r="B1" s="2"/>
      <c r="E1" s="31"/>
      <c r="G1" s="31"/>
      <c r="H1" s="31"/>
      <c r="I1" s="31"/>
    </row>
    <row r="2" spans="1:17" outlineLevel="1" x14ac:dyDescent="0.2">
      <c r="B2" s="2"/>
      <c r="C2" s="1" t="s">
        <v>94</v>
      </c>
      <c r="E2" s="63" t="s">
        <v>11</v>
      </c>
      <c r="F2" s="63" t="s">
        <v>11</v>
      </c>
      <c r="G2" s="63" t="s">
        <v>11</v>
      </c>
      <c r="H2" s="63" t="s">
        <v>11</v>
      </c>
      <c r="I2" s="63" t="s">
        <v>11</v>
      </c>
      <c r="J2" s="63" t="s">
        <v>11</v>
      </c>
      <c r="K2" s="63" t="s">
        <v>11</v>
      </c>
      <c r="L2" s="63" t="s">
        <v>11</v>
      </c>
      <c r="M2" s="63" t="s">
        <v>11</v>
      </c>
      <c r="N2" s="63" t="s">
        <v>11</v>
      </c>
      <c r="O2" s="150" t="s">
        <v>11</v>
      </c>
      <c r="P2" s="5" t="s">
        <v>95</v>
      </c>
      <c r="Q2" s="64" t="s">
        <v>95</v>
      </c>
    </row>
    <row r="3" spans="1:17" outlineLevel="1" x14ac:dyDescent="0.2">
      <c r="B3" s="2"/>
      <c r="C3" s="1" t="s">
        <v>97</v>
      </c>
      <c r="E3" s="65" t="s">
        <v>284</v>
      </c>
      <c r="F3" s="65" t="s">
        <v>285</v>
      </c>
      <c r="G3" s="65" t="s">
        <v>286</v>
      </c>
      <c r="H3" s="65" t="s">
        <v>287</v>
      </c>
      <c r="I3" s="65" t="s">
        <v>288</v>
      </c>
      <c r="J3" s="65" t="s">
        <v>1300</v>
      </c>
      <c r="K3" s="65" t="s">
        <v>289</v>
      </c>
      <c r="L3" s="65" t="s">
        <v>290</v>
      </c>
      <c r="M3" s="65" t="s">
        <v>291</v>
      </c>
      <c r="N3" s="65" t="s">
        <v>99</v>
      </c>
      <c r="O3" s="151" t="s">
        <v>98</v>
      </c>
      <c r="P3" s="6" t="s">
        <v>98</v>
      </c>
      <c r="Q3" s="66" t="str">
        <f>+P3</f>
        <v>2026M4</v>
      </c>
    </row>
    <row r="4" spans="1:17" outlineLevel="1" x14ac:dyDescent="0.2">
      <c r="B4" s="2"/>
      <c r="C4" s="1" t="s">
        <v>100</v>
      </c>
      <c r="E4" s="63" t="s">
        <v>21</v>
      </c>
      <c r="F4" s="63" t="s">
        <v>21</v>
      </c>
      <c r="G4" s="63" t="s">
        <v>21</v>
      </c>
      <c r="H4" s="63" t="s">
        <v>21</v>
      </c>
      <c r="I4" s="63" t="s">
        <v>21</v>
      </c>
      <c r="J4" s="63" t="s">
        <v>21</v>
      </c>
      <c r="K4" s="63" t="s">
        <v>21</v>
      </c>
      <c r="L4" s="63" t="s">
        <v>21</v>
      </c>
      <c r="M4" s="63" t="s">
        <v>21</v>
      </c>
      <c r="N4" s="63" t="s">
        <v>21</v>
      </c>
      <c r="O4" s="150" t="s">
        <v>21</v>
      </c>
      <c r="P4" s="5" t="s">
        <v>21</v>
      </c>
      <c r="Q4" s="64" t="s">
        <v>91</v>
      </c>
    </row>
    <row r="5" spans="1:17" x14ac:dyDescent="0.2">
      <c r="B5" s="87" t="str" cm="1">
        <f t="array" ref="B5">CONCATENATE(A8," - ",_xll.OneStreamExcelAddIn.XFFunctions.XFGetMemberInfo("Description","Entity",B8))</f>
        <v>Acute_DIV1 - Highland Hospital</v>
      </c>
      <c r="C5" s="1"/>
      <c r="E5" s="31"/>
      <c r="F5" s="31"/>
      <c r="G5" s="31"/>
      <c r="H5" s="31"/>
      <c r="I5" s="31"/>
      <c r="J5" s="31"/>
      <c r="K5" s="31"/>
      <c r="L5" s="31"/>
      <c r="M5" s="31"/>
      <c r="N5" s="31"/>
      <c r="O5" s="185"/>
    </row>
    <row r="6" spans="1:17" x14ac:dyDescent="0.2">
      <c r="B6" s="2"/>
      <c r="C6" s="7"/>
      <c r="D6" s="7"/>
      <c r="E6" s="67" t="str">
        <f>+E2</f>
        <v>Actual</v>
      </c>
      <c r="F6" s="67" t="str">
        <f t="shared" ref="F6:Q7" si="0">+F2</f>
        <v>Actual</v>
      </c>
      <c r="G6" s="67" t="str">
        <f t="shared" si="0"/>
        <v>Actual</v>
      </c>
      <c r="H6" s="67" t="str">
        <f t="shared" si="0"/>
        <v>Actual</v>
      </c>
      <c r="I6" s="67" t="str">
        <f t="shared" si="0"/>
        <v>Actual</v>
      </c>
      <c r="J6" s="67" t="str">
        <f t="shared" si="0"/>
        <v>Actual</v>
      </c>
      <c r="K6" s="67" t="str">
        <f t="shared" si="0"/>
        <v>Actual</v>
      </c>
      <c r="L6" s="67" t="str">
        <f t="shared" si="0"/>
        <v>Actual</v>
      </c>
      <c r="M6" s="67" t="str">
        <f t="shared" si="0"/>
        <v>Actual</v>
      </c>
      <c r="N6" s="67" t="str">
        <f t="shared" si="0"/>
        <v>Actual</v>
      </c>
      <c r="O6" s="152" t="str">
        <f t="shared" si="0"/>
        <v>Actual</v>
      </c>
      <c r="P6" s="8" t="str">
        <f t="shared" si="0"/>
        <v>Budget_Final</v>
      </c>
      <c r="Q6" s="8" t="str">
        <f t="shared" si="0"/>
        <v>Budget_Final</v>
      </c>
    </row>
    <row r="7" spans="1:17" s="12" customFormat="1" x14ac:dyDescent="0.2">
      <c r="A7" s="9" t="s">
        <v>101</v>
      </c>
      <c r="B7" s="10" t="s">
        <v>102</v>
      </c>
      <c r="C7" s="9" t="s">
        <v>103</v>
      </c>
      <c r="D7" s="9" t="s">
        <v>104</v>
      </c>
      <c r="E7" s="67" t="str">
        <f>+E3</f>
        <v>2025M6</v>
      </c>
      <c r="F7" s="67" t="str">
        <f t="shared" si="0"/>
        <v>2025M7</v>
      </c>
      <c r="G7" s="67" t="str">
        <f t="shared" si="0"/>
        <v>2025M8</v>
      </c>
      <c r="H7" s="67" t="str">
        <f t="shared" si="0"/>
        <v>2025M9</v>
      </c>
      <c r="I7" s="67" t="str">
        <f t="shared" si="0"/>
        <v>2025M10</v>
      </c>
      <c r="J7" s="67" t="str">
        <f t="shared" si="0"/>
        <v>2025M11</v>
      </c>
      <c r="K7" s="67" t="str">
        <f t="shared" si="0"/>
        <v>2025M12</v>
      </c>
      <c r="L7" s="67" t="str">
        <f t="shared" si="0"/>
        <v>2026M1</v>
      </c>
      <c r="M7" s="67" t="str">
        <f t="shared" si="0"/>
        <v>2026M2</v>
      </c>
      <c r="N7" s="67" t="str">
        <f t="shared" si="0"/>
        <v>2026M3</v>
      </c>
      <c r="O7" s="152" t="str">
        <f t="shared" si="0"/>
        <v>2026M4</v>
      </c>
      <c r="P7" s="8" t="str">
        <f t="shared" si="0"/>
        <v>2026M4</v>
      </c>
      <c r="Q7" s="8" t="str">
        <f t="shared" si="0"/>
        <v>2026M4</v>
      </c>
    </row>
    <row r="8" spans="1:17" x14ac:dyDescent="0.2">
      <c r="A8" s="16" t="str">
        <f>+Facility!A8</f>
        <v>Acute_DIV1</v>
      </c>
      <c r="B8" s="15">
        <f>+Facility!B8</f>
        <v>127</v>
      </c>
      <c r="C8" s="14" t="s">
        <v>106</v>
      </c>
      <c r="D8" s="14" t="s">
        <v>107</v>
      </c>
      <c r="E8" s="68">
        <f>_xll.OneStreamExcelAddIn.XFFunctions.XFGetCell("True","Consol", $B8,"Tot_Entity","USD",E$2,E$3,E$4,$C8,"TopFlow","Top","Top","Tot_Los","TOT_Dept_WO_Addbacks","Tot_FC",$A8,"Top5","Top6","Reported","Top8")</f>
        <v>217</v>
      </c>
      <c r="F8" s="68">
        <f>_xll.OneStreamExcelAddIn.XFFunctions.XFGetCell("True","Consol", $B8,"Tot_Entity","USD",F$2,F$3,F$4,$C8,"TopFlow","Top","Top","Tot_Los","TOT_Dept_WO_Addbacks","Tot_FC",$A8,"Top5","Top6","Reported","Top8")</f>
        <v>240</v>
      </c>
      <c r="G8" s="68">
        <f>_xll.OneStreamExcelAddIn.XFFunctions.XFGetCell("True","Consol", $B8,"Tot_Entity","USD",G$2,G$3,G$4,$C8,"TopFlow","Top","Top","Tot_Los","TOT_Dept_WO_Addbacks","Tot_FC",$A8,"Top5","Top6","Reported","Top8")</f>
        <v>261</v>
      </c>
      <c r="H8" s="68">
        <f>_xll.OneStreamExcelAddIn.XFFunctions.XFGetCell("True","Consol", $B8,"Tot_Entity","USD",H$2,H$3,H$4,$C8,"TopFlow","Top","Top","Tot_Los","TOT_Dept_WO_Addbacks","Tot_FC",$A8,"Top5","Top6","Reported","Top8")</f>
        <v>271</v>
      </c>
      <c r="I8" s="68">
        <f>_xll.OneStreamExcelAddIn.XFFunctions.XFGetCell("True","Consol", $B8,"Tot_Entity","USD",I$2,I$3,I$4,$C8,"TopFlow","Top","Top","Tot_Los","TOT_Dept_WO_Addbacks","Tot_FC",$A8,"Top5","Top6","Reported","Top8")</f>
        <v>261</v>
      </c>
      <c r="J8" s="68">
        <f>_xll.OneStreamExcelAddIn.XFFunctions.XFGetCell("True","Consol", $B8,"Tot_Entity","USD",J$2,J$3,J$4,$C8,"TopFlow","Top","Top","Tot_Los","TOT_Dept_WO_Addbacks","Tot_FC",$A8,"Top5","Top6","Reported","Top8")</f>
        <v>229</v>
      </c>
      <c r="K8" s="68">
        <f>_xll.OneStreamExcelAddIn.XFFunctions.XFGetCell("True","Consol", $B8,"Tot_Entity","USD",K$2,K$3,K$4,$C8,"TopFlow","Top","Top","Tot_Los","TOT_Dept_WO_Addbacks","Tot_FC",$A8,"Top5","Top6","Reported","Top8")</f>
        <v>226</v>
      </c>
      <c r="L8" s="68">
        <f>_xll.OneStreamExcelAddIn.XFFunctions.XFGetCell("True","Consol", $B8,"Tot_Entity","USD",L$2,L$3,L$4,$C8,"TopFlow","Top","Top","Tot_Los","TOT_Dept_WO_Addbacks","Tot_FC",$A8,"Top5","Top6","Reported","Top8")</f>
        <v>250</v>
      </c>
      <c r="M8" s="68">
        <f>_xll.OneStreamExcelAddIn.XFFunctions.XFGetCell("True","Consol", $B8,"Tot_Entity","USD",M$2,M$3,M$4,$C8,"TopFlow","Top","Top","Tot_Los","TOT_Dept_WO_Addbacks","Tot_FC",$A8,"Top5","Top6","Reported","Top8")</f>
        <v>243</v>
      </c>
      <c r="N8" s="68">
        <f>_xll.OneStreamExcelAddIn.XFFunctions.XFGetCell("True","Consol", $B8,"Tot_Entity","USD",N$2,N$3,N$4,$C8,"TopFlow","Top","Top","Tot_Los","TOT_Dept_WO_Addbacks","Tot_FC",$A8,"Top5","Top6","Reported","Top8")</f>
        <v>259</v>
      </c>
      <c r="O8" s="186">
        <f>_xll.OneStreamExcelAddIn.XFFunctions.XFGetCell("True","Consol", $B8,"Tot_Entity","USD",O$2,O$3,O$4,$C8,"TopFlow","Top","Top","Tot_Los","TOT_Dept_WO_Addbacks","Tot_FC",$A8,"Top5","Top6","Reported","Top8")</f>
        <v>245</v>
      </c>
      <c r="P8" s="15">
        <f>_xll.OneStreamExcelAddIn.XFFunctions.XFGetCell("True","Consol", $B8,"Tot_Entity","USD",P$2,P$3,P$4,$C8,"TopFlow","Top","Top","Tot_Los","TOT_Dept_WO_Addbacks","Tot_FC",$A8,"Top5","Top6","Reported","Top8")</f>
        <v>284.217130607</v>
      </c>
      <c r="Q8" s="69">
        <f>_xll.OneStreamExcelAddIn.XFFunctions.XFGetCell("True","Consol", $B8,"Tot_Entity","USD",Q$2,Q$3,Q$4,$C8,"TopFlow","Top","Top","Tot_Los","TOT_Dept_WO_Addbacks","Tot_FC",$A8,"Top5","Top6","Reported","Top8")</f>
        <v>1109.0407591369999</v>
      </c>
    </row>
    <row r="9" spans="1:17" x14ac:dyDescent="0.2">
      <c r="B9" s="2"/>
      <c r="E9" s="31"/>
      <c r="F9" s="31"/>
      <c r="G9" s="31"/>
      <c r="H9" s="31"/>
      <c r="I9" s="31"/>
      <c r="J9" s="31"/>
      <c r="K9" s="31"/>
      <c r="L9" s="31"/>
      <c r="M9" s="31"/>
      <c r="N9" s="31"/>
      <c r="O9" s="185"/>
    </row>
    <row r="10" spans="1:17" x14ac:dyDescent="0.2">
      <c r="A10" s="16" t="str">
        <f>+$A$8</f>
        <v>Acute_DIV1</v>
      </c>
      <c r="B10" s="15">
        <f>+$B$8</f>
        <v>127</v>
      </c>
      <c r="C10" s="14" t="s">
        <v>106</v>
      </c>
      <c r="D10" s="14" t="s">
        <v>108</v>
      </c>
      <c r="E10" s="68">
        <f>_xll.OneStreamExcelAddIn.XFFunctions.XFGetCell("True","Consol", $B10,"Tot_Entity","USD",E$2,E$3,E$4,$C10,"TopFlow","Top","Top","Tot_Los","TOT_Dept_WO_Addbacks","TOT_Medicare",$A10,"Top5","Top6","Reported","Top8")</f>
        <v>11</v>
      </c>
      <c r="F10" s="68">
        <f>_xll.OneStreamExcelAddIn.XFFunctions.XFGetCell("True","Consol", $B10,"Tot_Entity","USD",F$2,F$3,F$4,$C10,"TopFlow","Top","Top","Tot_Los","TOT_Dept_WO_Addbacks","TOT_Medicare",$A10,"Top5","Top6","Reported","Top8")</f>
        <v>20</v>
      </c>
      <c r="G10" s="68">
        <f>_xll.OneStreamExcelAddIn.XFFunctions.XFGetCell("True","Consol", $B10,"Tot_Entity","USD",G$2,G$3,G$4,$C10,"TopFlow","Top","Top","Tot_Los","TOT_Dept_WO_Addbacks","TOT_Medicare",$A10,"Top5","Top6","Reported","Top8")</f>
        <v>12</v>
      </c>
      <c r="H10" s="68">
        <f>_xll.OneStreamExcelAddIn.XFFunctions.XFGetCell("True","Consol", $B10,"Tot_Entity","USD",H$2,H$3,H$4,$C10,"TopFlow","Top","Top","Tot_Los","TOT_Dept_WO_Addbacks","TOT_Medicare",$A10,"Top5","Top6","Reported","Top8")</f>
        <v>17</v>
      </c>
      <c r="I10" s="68">
        <f>_xll.OneStreamExcelAddIn.XFFunctions.XFGetCell("True","Consol", $B10,"Tot_Entity","USD",I$2,I$3,I$4,$C10,"TopFlow","Top","Top","Tot_Los","TOT_Dept_WO_Addbacks","TOT_Medicare",$A10,"Top5","Top6","Reported","Top8")</f>
        <v>16</v>
      </c>
      <c r="J10" s="68">
        <f>_xll.OneStreamExcelAddIn.XFFunctions.XFGetCell("True","Consol", $B10,"Tot_Entity","USD",J$2,J$3,J$4,$C10,"TopFlow","Top","Top","Tot_Los","TOT_Dept_WO_Addbacks","TOT_Medicare",$A10,"Top5","Top6","Reported","Top8")</f>
        <v>19</v>
      </c>
      <c r="K10" s="68">
        <f>_xll.OneStreamExcelAddIn.XFFunctions.XFGetCell("True","Consol", $B10,"Tot_Entity","USD",K$2,K$3,K$4,$C10,"TopFlow","Top","Top","Tot_Los","TOT_Dept_WO_Addbacks","TOT_Medicare",$A10,"Top5","Top6","Reported","Top8")</f>
        <v>23</v>
      </c>
      <c r="L10" s="68">
        <f>_xll.OneStreamExcelAddIn.XFFunctions.XFGetCell("True","Consol", $B10,"Tot_Entity","USD",L$2,L$3,L$4,$C10,"TopFlow","Top","Top","Tot_Los","TOT_Dept_WO_Addbacks","TOT_Medicare",$A10,"Top5","Top6","Reported","Top8")</f>
        <v>15</v>
      </c>
      <c r="M10" s="68">
        <f>_xll.OneStreamExcelAddIn.XFFunctions.XFGetCell("True","Consol", $B10,"Tot_Entity","USD",M$2,M$3,M$4,$C10,"TopFlow","Top","Top","Tot_Los","TOT_Dept_WO_Addbacks","TOT_Medicare",$A10,"Top5","Top6","Reported","Top8")</f>
        <v>14</v>
      </c>
      <c r="N10" s="68">
        <f>_xll.OneStreamExcelAddIn.XFFunctions.XFGetCell("True","Consol", $B10,"Tot_Entity","USD",N$2,N$3,N$4,$C10,"TopFlow","Top","Top","Tot_Los","TOT_Dept_WO_Addbacks","TOT_Medicare",$A10,"Top5","Top6","Reported","Top8")</f>
        <v>15</v>
      </c>
      <c r="O10" s="186">
        <f>_xll.OneStreamExcelAddIn.XFFunctions.XFGetCell("True","Consol", $B10,"Tot_Entity","USD",O$2,O$3,O$4,$C10,"TopFlow","Top","Top","Tot_Los","TOT_Dept_WO_Addbacks","TOT_Medicare",$A10,"Top5","Top6","Reported","Top8")</f>
        <v>15</v>
      </c>
      <c r="P10" s="15">
        <f>_xll.OneStreamExcelAddIn.XFFunctions.XFGetCell("True","Consol", $B10,"Tot_Entity","USD",P$2,P$3,P$4,$C10,"TopFlow","Top","Top","Tot_Los","TOT_Dept_WO_Addbacks","TOT_Medicare",$A10,"Top5","Top6","Reported","Top8")</f>
        <v>31.318611110999999</v>
      </c>
      <c r="Q10" s="69">
        <f>_xll.OneStreamExcelAddIn.XFFunctions.XFGetCell("True","Consol", $B10,"Tot_Entity","USD",Q$2,Q$3,Q$4,$C10,"TopFlow","Top","Top","Tot_Los","TOT_Dept_WO_Addbacks","TOT_Medicare",$A10,"Top5","Top6","Reported","Top8")</f>
        <v>136.444195525</v>
      </c>
    </row>
    <row r="11" spans="1:17" x14ac:dyDescent="0.2">
      <c r="A11" s="16" t="str">
        <f>+$A$8</f>
        <v>Acute_DIV1</v>
      </c>
      <c r="B11" s="15">
        <f>+$B$8</f>
        <v>127</v>
      </c>
      <c r="C11" s="14" t="s">
        <v>106</v>
      </c>
      <c r="D11" s="14" t="s">
        <v>109</v>
      </c>
      <c r="E11" s="68">
        <f>_xll.OneStreamExcelAddIn.XFFunctions.XFGetCell("True","Consol", $B11,"Tot_Entity","USD",E$2,E$3,E$4,$C11,"TopFlow","Top","Top","Tot_Los","TOT_Dept_WO_Addbacks","TOT_Medicaid",$A11,"Top5","Top6","Reported","Top8")</f>
        <v>161</v>
      </c>
      <c r="F11" s="68">
        <f>_xll.OneStreamExcelAddIn.XFFunctions.XFGetCell("True","Consol", $B11,"Tot_Entity","USD",F$2,F$3,F$4,$C11,"TopFlow","Top","Top","Tot_Los","TOT_Dept_WO_Addbacks","TOT_Medicaid",$A11,"Top5","Top6","Reported","Top8")</f>
        <v>176</v>
      </c>
      <c r="G11" s="68">
        <f>_xll.OneStreamExcelAddIn.XFFunctions.XFGetCell("True","Consol", $B11,"Tot_Entity","USD",G$2,G$3,G$4,$C11,"TopFlow","Top","Top","Tot_Los","TOT_Dept_WO_Addbacks","TOT_Medicaid",$A11,"Top5","Top6","Reported","Top8")</f>
        <v>199</v>
      </c>
      <c r="H11" s="68">
        <f>_xll.OneStreamExcelAddIn.XFFunctions.XFGetCell("True","Consol", $B11,"Tot_Entity","USD",H$2,H$3,H$4,$C11,"TopFlow","Top","Top","Tot_Los","TOT_Dept_WO_Addbacks","TOT_Medicaid",$A11,"Top5","Top6","Reported","Top8")</f>
        <v>206</v>
      </c>
      <c r="I11" s="68">
        <f>_xll.OneStreamExcelAddIn.XFFunctions.XFGetCell("True","Consol", $B11,"Tot_Entity","USD",I$2,I$3,I$4,$C11,"TopFlow","Top","Top","Tot_Los","TOT_Dept_WO_Addbacks","TOT_Medicaid",$A11,"Top5","Top6","Reported","Top8")</f>
        <v>193</v>
      </c>
      <c r="J11" s="68">
        <f>_xll.OneStreamExcelAddIn.XFFunctions.XFGetCell("True","Consol", $B11,"Tot_Entity","USD",J$2,J$3,J$4,$C11,"TopFlow","Top","Top","Tot_Los","TOT_Dept_WO_Addbacks","TOT_Medicaid",$A11,"Top5","Top6","Reported","Top8")</f>
        <v>156</v>
      </c>
      <c r="K11" s="68">
        <f>_xll.OneStreamExcelAddIn.XFFunctions.XFGetCell("True","Consol", $B11,"Tot_Entity","USD",K$2,K$3,K$4,$C11,"TopFlow","Top","Top","Tot_Los","TOT_Dept_WO_Addbacks","TOT_Medicaid",$A11,"Top5","Top6","Reported","Top8")</f>
        <v>150</v>
      </c>
      <c r="L11" s="68">
        <f>_xll.OneStreamExcelAddIn.XFFunctions.XFGetCell("True","Consol", $B11,"Tot_Entity","USD",L$2,L$3,L$4,$C11,"TopFlow","Top","Top","Tot_Los","TOT_Dept_WO_Addbacks","TOT_Medicaid",$A11,"Top5","Top6","Reported","Top8")</f>
        <v>196</v>
      </c>
      <c r="M11" s="68">
        <f>_xll.OneStreamExcelAddIn.XFFunctions.XFGetCell("True","Consol", $B11,"Tot_Entity","USD",M$2,M$3,M$4,$C11,"TopFlow","Top","Top","Tot_Los","TOT_Dept_WO_Addbacks","TOT_Medicaid",$A11,"Top5","Top6","Reported","Top8")</f>
        <v>181</v>
      </c>
      <c r="N11" s="68">
        <f>_xll.OneStreamExcelAddIn.XFFunctions.XFGetCell("True","Consol", $B11,"Tot_Entity","USD",N$2,N$3,N$4,$C11,"TopFlow","Top","Top","Tot_Los","TOT_Dept_WO_Addbacks","TOT_Medicaid",$A11,"Top5","Top6","Reported","Top8")</f>
        <v>191</v>
      </c>
      <c r="O11" s="186">
        <f>_xll.OneStreamExcelAddIn.XFFunctions.XFGetCell("True","Consol", $B11,"Tot_Entity","USD",O$2,O$3,O$4,$C11,"TopFlow","Top","Top","Tot_Los","TOT_Dept_WO_Addbacks","TOT_Medicaid",$A11,"Top5","Top6","Reported","Top8")</f>
        <v>173</v>
      </c>
      <c r="P11" s="15">
        <f>_xll.OneStreamExcelAddIn.XFFunctions.XFGetCell("True","Consol", $B11,"Tot_Entity","USD",P$2,P$3,P$4,$C11,"TopFlow","Top","Top","Tot_Los","TOT_Dept_WO_Addbacks","TOT_Medicaid",$A11,"Top5","Top6","Reported","Top8")</f>
        <v>167.99132388199999</v>
      </c>
      <c r="Q11" s="69">
        <f>_xll.OneStreamExcelAddIn.XFFunctions.XFGetCell("True","Consol", $B11,"Tot_Entity","USD",Q$2,Q$3,Q$4,$C11,"TopFlow","Top","Top","Tot_Los","TOT_Dept_WO_Addbacks","TOT_Medicaid",$A11,"Top5","Top6","Reported","Top8")</f>
        <v>721.34129523800004</v>
      </c>
    </row>
    <row r="12" spans="1:17" x14ac:dyDescent="0.2">
      <c r="A12" s="16" t="str">
        <f>+$A$8</f>
        <v>Acute_DIV1</v>
      </c>
      <c r="B12" s="15">
        <f>+$B$8</f>
        <v>127</v>
      </c>
      <c r="C12" s="14" t="s">
        <v>106</v>
      </c>
      <c r="D12" s="14" t="s">
        <v>110</v>
      </c>
      <c r="E12" s="68">
        <f>_xll.OneStreamExcelAddIn.XFFunctions.XFGetCell("True","Consol", $B12,"Tot_Entity","USD",E$2,E$3,E$4,$C12,"TopFlow","Top","Top","Tot_Los","TOT_Dept_WO_Addbacks","TOT_Comm",$A12,"Top5","Top6","Reported","Top8")</f>
        <v>36</v>
      </c>
      <c r="F12" s="68">
        <f>_xll.OneStreamExcelAddIn.XFFunctions.XFGetCell("True","Consol", $B12,"Tot_Entity","USD",F$2,F$3,F$4,$C12,"TopFlow","Top","Top","Tot_Los","TOT_Dept_WO_Addbacks","TOT_Comm",$A12,"Top5","Top6","Reported","Top8")</f>
        <v>41</v>
      </c>
      <c r="G12" s="68">
        <f>_xll.OneStreamExcelAddIn.XFFunctions.XFGetCell("True","Consol", $B12,"Tot_Entity","USD",G$2,G$3,G$4,$C12,"TopFlow","Top","Top","Tot_Los","TOT_Dept_WO_Addbacks","TOT_Comm",$A12,"Top5","Top6","Reported","Top8")</f>
        <v>47</v>
      </c>
      <c r="H12" s="68">
        <f>_xll.OneStreamExcelAddIn.XFFunctions.XFGetCell("True","Consol", $B12,"Tot_Entity","USD",H$2,H$3,H$4,$C12,"TopFlow","Top","Top","Tot_Los","TOT_Dept_WO_Addbacks","TOT_Comm",$A12,"Top5","Top6","Reported","Top8")</f>
        <v>43</v>
      </c>
      <c r="I12" s="68">
        <f>_xll.OneStreamExcelAddIn.XFFunctions.XFGetCell("True","Consol", $B12,"Tot_Entity","USD",I$2,I$3,I$4,$C12,"TopFlow","Top","Top","Tot_Los","TOT_Dept_WO_Addbacks","TOT_Comm",$A12,"Top5","Top6","Reported","Top8")</f>
        <v>46</v>
      </c>
      <c r="J12" s="68">
        <f>_xll.OneStreamExcelAddIn.XFFunctions.XFGetCell("True","Consol", $B12,"Tot_Entity","USD",J$2,J$3,J$4,$C12,"TopFlow","Top","Top","Tot_Los","TOT_Dept_WO_Addbacks","TOT_Comm",$A12,"Top5","Top6","Reported","Top8")</f>
        <v>44</v>
      </c>
      <c r="K12" s="68">
        <f>_xll.OneStreamExcelAddIn.XFFunctions.XFGetCell("True","Consol", $B12,"Tot_Entity","USD",K$2,K$3,K$4,$C12,"TopFlow","Top","Top","Tot_Los","TOT_Dept_WO_Addbacks","TOT_Comm",$A12,"Top5","Top6","Reported","Top8")</f>
        <v>46</v>
      </c>
      <c r="L12" s="68">
        <f>_xll.OneStreamExcelAddIn.XFFunctions.XFGetCell("True","Consol", $B12,"Tot_Entity","USD",L$2,L$3,L$4,$C12,"TopFlow","Top","Top","Tot_Los","TOT_Dept_WO_Addbacks","TOT_Comm",$A12,"Top5","Top6","Reported","Top8")</f>
        <v>34</v>
      </c>
      <c r="M12" s="68">
        <f>_xll.OneStreamExcelAddIn.XFFunctions.XFGetCell("True","Consol", $B12,"Tot_Entity","USD",M$2,M$3,M$4,$C12,"TopFlow","Top","Top","Tot_Los","TOT_Dept_WO_Addbacks","TOT_Comm",$A12,"Top5","Top6","Reported","Top8")</f>
        <v>40</v>
      </c>
      <c r="N12" s="68">
        <f>_xll.OneStreamExcelAddIn.XFFunctions.XFGetCell("True","Consol", $B12,"Tot_Entity","USD",N$2,N$3,N$4,$C12,"TopFlow","Top","Top","Tot_Los","TOT_Dept_WO_Addbacks","TOT_Comm",$A12,"Top5","Top6","Reported","Top8")</f>
        <v>50</v>
      </c>
      <c r="O12" s="186">
        <f>_xll.OneStreamExcelAddIn.XFFunctions.XFGetCell("True","Consol", $B12,"Tot_Entity","USD",O$2,O$3,O$4,$C12,"TopFlow","Top","Top","Tot_Los","TOT_Dept_WO_Addbacks","TOT_Comm",$A12,"Top5","Top6","Reported","Top8")</f>
        <v>49</v>
      </c>
      <c r="P12" s="15">
        <f>_xll.OneStreamExcelAddIn.XFFunctions.XFGetCell("True","Consol", $B12,"Tot_Entity","USD",P$2,P$3,P$4,$C12,"TopFlow","Top","Top","Tot_Los","TOT_Dept_WO_Addbacks","TOT_Comm",$A12,"Top5","Top6","Reported","Top8")</f>
        <v>76.964823819000003</v>
      </c>
      <c r="Q12" s="69">
        <f>_xll.OneStreamExcelAddIn.XFFunctions.XFGetCell("True","Consol", $B12,"Tot_Entity","USD",Q$2,Q$3,Q$4,$C12,"TopFlow","Top","Top","Tot_Los","TOT_Dept_WO_Addbacks","TOT_Comm",$A12,"Top5","Top6","Reported","Top8")</f>
        <v>235.72038575600001</v>
      </c>
    </row>
    <row r="13" spans="1:17" x14ac:dyDescent="0.2">
      <c r="A13" s="16" t="str">
        <f>+$A$8</f>
        <v>Acute_DIV1</v>
      </c>
      <c r="B13" s="15">
        <f>+$B$8</f>
        <v>127</v>
      </c>
      <c r="C13" s="14" t="s">
        <v>106</v>
      </c>
      <c r="D13" s="14" t="s">
        <v>111</v>
      </c>
      <c r="E13" s="68">
        <f>_xll.OneStreamExcelAddIn.XFFunctions.XFGetCell("True","Consol", $B13,"Tot_Entity","USD",E$2,E$3,E$4,$C13,"TopFlow","Top","Top","Tot_Los","TOT_Dept_WO_Addbacks","TOT_Oth_Govt",$A13,"Top5","Top6","Reported","Top8")</f>
        <v>1</v>
      </c>
      <c r="F13" s="68">
        <f>_xll.OneStreamExcelAddIn.XFFunctions.XFGetCell("True","Consol", $B13,"Tot_Entity","USD",F$2,F$3,F$4,$C13,"TopFlow","Top","Top","Tot_Los","TOT_Dept_WO_Addbacks","TOT_Oth_Govt",$A13,"Top5","Top6","Reported","Top8")</f>
        <v>0</v>
      </c>
      <c r="G13" s="68">
        <f>_xll.OneStreamExcelAddIn.XFFunctions.XFGetCell("True","Consol", $B13,"Tot_Entity","USD",G$2,G$3,G$4,$C13,"TopFlow","Top","Top","Tot_Los","TOT_Dept_WO_Addbacks","TOT_Oth_Govt",$A13,"Top5","Top6","Reported","Top8")</f>
        <v>3</v>
      </c>
      <c r="H13" s="68">
        <f>_xll.OneStreamExcelAddIn.XFFunctions.XFGetCell("True","Consol", $B13,"Tot_Entity","USD",H$2,H$3,H$4,$C13,"TopFlow","Top","Top","Tot_Los","TOT_Dept_WO_Addbacks","TOT_Oth_Govt",$A13,"Top5","Top6","Reported","Top8")</f>
        <v>0</v>
      </c>
      <c r="I13" s="68">
        <f>_xll.OneStreamExcelAddIn.XFFunctions.XFGetCell("True","Consol", $B13,"Tot_Entity","USD",I$2,I$3,I$4,$C13,"TopFlow","Top","Top","Tot_Los","TOT_Dept_WO_Addbacks","TOT_Oth_Govt",$A13,"Top5","Top6","Reported","Top8")</f>
        <v>4</v>
      </c>
      <c r="J13" s="68">
        <f>_xll.OneStreamExcelAddIn.XFFunctions.XFGetCell("True","Consol", $B13,"Tot_Entity","USD",J$2,J$3,J$4,$C13,"TopFlow","Top","Top","Tot_Los","TOT_Dept_WO_Addbacks","TOT_Oth_Govt",$A13,"Top5","Top6","Reported","Top8")</f>
        <v>8</v>
      </c>
      <c r="K13" s="68">
        <f>_xll.OneStreamExcelAddIn.XFFunctions.XFGetCell("True","Consol", $B13,"Tot_Entity","USD",K$2,K$3,K$4,$C13,"TopFlow","Top","Top","Tot_Los","TOT_Dept_WO_Addbacks","TOT_Oth_Govt",$A13,"Top5","Top6","Reported","Top8")</f>
        <v>1</v>
      </c>
      <c r="L13" s="68">
        <f>_xll.OneStreamExcelAddIn.XFFunctions.XFGetCell("True","Consol", $B13,"Tot_Entity","USD",L$2,L$3,L$4,$C13,"TopFlow","Top","Top","Tot_Los","TOT_Dept_WO_Addbacks","TOT_Oth_Govt",$A13,"Top5","Top6","Reported","Top8")</f>
        <v>2</v>
      </c>
      <c r="M13" s="68">
        <f>_xll.OneStreamExcelAddIn.XFFunctions.XFGetCell("True","Consol", $B13,"Tot_Entity","USD",M$2,M$3,M$4,$C13,"TopFlow","Top","Top","Tot_Los","TOT_Dept_WO_Addbacks","TOT_Oth_Govt",$A13,"Top5","Top6","Reported","Top8")</f>
        <v>3</v>
      </c>
      <c r="N13" s="68">
        <f>_xll.OneStreamExcelAddIn.XFFunctions.XFGetCell("True","Consol", $B13,"Tot_Entity","USD",N$2,N$3,N$4,$C13,"TopFlow","Top","Top","Tot_Los","TOT_Dept_WO_Addbacks","TOT_Oth_Govt",$A13,"Top5","Top6","Reported","Top8")</f>
        <v>2</v>
      </c>
      <c r="O13" s="186">
        <f>_xll.OneStreamExcelAddIn.XFFunctions.XFGetCell("True","Consol", $B13,"Tot_Entity","USD",O$2,O$3,O$4,$C13,"TopFlow","Top","Top","Tot_Los","TOT_Dept_WO_Addbacks","TOT_Oth_Govt",$A13,"Top5","Top6","Reported","Top8")</f>
        <v>3</v>
      </c>
      <c r="P13" s="15">
        <f>_xll.OneStreamExcelAddIn.XFFunctions.XFGetCell("True","Consol", $B13,"Tot_Entity","USD",P$2,P$3,P$4,$C13,"TopFlow","Top","Top","Tot_Los","TOT_Dept_WO_Addbacks","TOT_Oth_Govt",$A13,"Top5","Top6","Reported","Top8")</f>
        <v>1.7615384620000001</v>
      </c>
      <c r="Q13" s="69">
        <f>_xll.OneStreamExcelAddIn.XFFunctions.XFGetCell("True","Consol", $B13,"Tot_Entity","USD",Q$2,Q$3,Q$4,$C13,"TopFlow","Top","Top","Tot_Los","TOT_Dept_WO_Addbacks","TOT_Oth_Govt",$A13,"Top5","Top6","Reported","Top8")</f>
        <v>2.6891575099999998</v>
      </c>
    </row>
    <row r="14" spans="1:17" x14ac:dyDescent="0.2">
      <c r="A14" s="16" t="str">
        <f>+$A$8</f>
        <v>Acute_DIV1</v>
      </c>
      <c r="B14" s="15">
        <f>+$B$8</f>
        <v>127</v>
      </c>
      <c r="C14" s="14" t="s">
        <v>106</v>
      </c>
      <c r="D14" s="14" t="s">
        <v>112</v>
      </c>
      <c r="E14" s="68">
        <f>_xll.OneStreamExcelAddIn.XFFunctions.XFGetCell("True","Consol", $B14,"Tot_Entity","USD",E$2,E$3,E$4,$C14,"TopFlow","Top","Top","Tot_Los","TOT_Dept_WO_Addbacks","TOT_Self_Pay_Oth",$A14,"Top5","Top6","Reported","Top8")</f>
        <v>8</v>
      </c>
      <c r="F14" s="68">
        <f>_xll.OneStreamExcelAddIn.XFFunctions.XFGetCell("True","Consol", $B14,"Tot_Entity","USD",F$2,F$3,F$4,$C14,"TopFlow","Top","Top","Tot_Los","TOT_Dept_WO_Addbacks","TOT_Self_Pay_Oth",$A14,"Top5","Top6","Reported","Top8")</f>
        <v>3</v>
      </c>
      <c r="G14" s="68">
        <f>_xll.OneStreamExcelAddIn.XFFunctions.XFGetCell("True","Consol", $B14,"Tot_Entity","USD",G$2,G$3,G$4,$C14,"TopFlow","Top","Top","Tot_Los","TOT_Dept_WO_Addbacks","TOT_Self_Pay_Oth",$A14,"Top5","Top6","Reported","Top8")</f>
        <v>0</v>
      </c>
      <c r="H14" s="68">
        <f>_xll.OneStreamExcelAddIn.XFFunctions.XFGetCell("True","Consol", $B14,"Tot_Entity","USD",H$2,H$3,H$4,$C14,"TopFlow","Top","Top","Tot_Los","TOT_Dept_WO_Addbacks","TOT_Self_Pay_Oth",$A14,"Top5","Top6","Reported","Top8")</f>
        <v>5</v>
      </c>
      <c r="I14" s="68">
        <f>_xll.OneStreamExcelAddIn.XFFunctions.XFGetCell("True","Consol", $B14,"Tot_Entity","USD",I$2,I$3,I$4,$C14,"TopFlow","Top","Top","Tot_Los","TOT_Dept_WO_Addbacks","TOT_Self_Pay_Oth",$A14,"Top5","Top6","Reported","Top8")</f>
        <v>2</v>
      </c>
      <c r="J14" s="68">
        <f>_xll.OneStreamExcelAddIn.XFFunctions.XFGetCell("True","Consol", $B14,"Tot_Entity","USD",J$2,J$3,J$4,$C14,"TopFlow","Top","Top","Tot_Los","TOT_Dept_WO_Addbacks","TOT_Self_Pay_Oth",$A14,"Top5","Top6","Reported","Top8")</f>
        <v>2</v>
      </c>
      <c r="K14" s="68">
        <f>_xll.OneStreamExcelAddIn.XFFunctions.XFGetCell("True","Consol", $B14,"Tot_Entity","USD",K$2,K$3,K$4,$C14,"TopFlow","Top","Top","Tot_Los","TOT_Dept_WO_Addbacks","TOT_Self_Pay_Oth",$A14,"Top5","Top6","Reported","Top8")</f>
        <v>6</v>
      </c>
      <c r="L14" s="68">
        <f>_xll.OneStreamExcelAddIn.XFFunctions.XFGetCell("True","Consol", $B14,"Tot_Entity","USD",L$2,L$3,L$4,$C14,"TopFlow","Top","Top","Tot_Los","TOT_Dept_WO_Addbacks","TOT_Self_Pay_Oth",$A14,"Top5","Top6","Reported","Top8")</f>
        <v>3</v>
      </c>
      <c r="M14" s="68">
        <f>_xll.OneStreamExcelAddIn.XFFunctions.XFGetCell("True","Consol", $B14,"Tot_Entity","USD",M$2,M$3,M$4,$C14,"TopFlow","Top","Top","Tot_Los","TOT_Dept_WO_Addbacks","TOT_Self_Pay_Oth",$A14,"Top5","Top6","Reported","Top8")</f>
        <v>5</v>
      </c>
      <c r="N14" s="68">
        <f>_xll.OneStreamExcelAddIn.XFFunctions.XFGetCell("True","Consol", $B14,"Tot_Entity","USD",N$2,N$3,N$4,$C14,"TopFlow","Top","Top","Tot_Los","TOT_Dept_WO_Addbacks","TOT_Self_Pay_Oth",$A14,"Top5","Top6","Reported","Top8")</f>
        <v>1</v>
      </c>
      <c r="O14" s="186">
        <f>_xll.OneStreamExcelAddIn.XFFunctions.XFGetCell("True","Consol", $B14,"Tot_Entity","USD",O$2,O$3,O$4,$C14,"TopFlow","Top","Top","Tot_Los","TOT_Dept_WO_Addbacks","TOT_Self_Pay_Oth",$A14,"Top5","Top6","Reported","Top8")</f>
        <v>5</v>
      </c>
      <c r="P14" s="15">
        <f>_xll.OneStreamExcelAddIn.XFFunctions.XFGetCell("True","Consol", $B14,"Tot_Entity","USD",P$2,P$3,P$4,$C14,"TopFlow","Top","Top","Tot_Los","TOT_Dept_WO_Addbacks","TOT_Self_Pay_Oth",$A14,"Top5","Top6","Reported","Top8")</f>
        <v>6.1808333329999998</v>
      </c>
      <c r="Q14" s="69">
        <f>_xll.OneStreamExcelAddIn.XFFunctions.XFGetCell("True","Consol", $B14,"Tot_Entity","USD",Q$2,Q$3,Q$4,$C14,"TopFlow","Top","Top","Tot_Los","TOT_Dept_WO_Addbacks","TOT_Self_Pay_Oth",$A14,"Top5","Top6","Reported","Top8")</f>
        <v>12.845725108</v>
      </c>
    </row>
    <row r="15" spans="1:17" hidden="1" outlineLevel="1" x14ac:dyDescent="0.2">
      <c r="E15" s="31" t="b">
        <f>E8=SUM(E10:E14)</f>
        <v>1</v>
      </c>
      <c r="F15" s="31" t="b">
        <f t="shared" ref="F15:Q15" si="1">F8=SUM(F10:F14)</f>
        <v>1</v>
      </c>
      <c r="G15" s="31" t="b">
        <f t="shared" si="1"/>
        <v>1</v>
      </c>
      <c r="H15" s="31" t="b">
        <f t="shared" si="1"/>
        <v>1</v>
      </c>
      <c r="I15" s="31" t="b">
        <f t="shared" si="1"/>
        <v>1</v>
      </c>
      <c r="J15" s="31" t="b">
        <f t="shared" si="1"/>
        <v>1</v>
      </c>
      <c r="K15" s="31" t="b">
        <f t="shared" si="1"/>
        <v>1</v>
      </c>
      <c r="L15" s="31" t="b">
        <f t="shared" si="1"/>
        <v>1</v>
      </c>
      <c r="M15" s="31" t="b">
        <f t="shared" si="1"/>
        <v>1</v>
      </c>
      <c r="N15" s="31" t="b">
        <f t="shared" si="1"/>
        <v>1</v>
      </c>
      <c r="O15" s="185" t="b">
        <f t="shared" si="1"/>
        <v>1</v>
      </c>
      <c r="P15" s="1" t="b">
        <f t="shared" si="1"/>
        <v>1</v>
      </c>
      <c r="Q15" s="12" t="b">
        <f t="shared" si="1"/>
        <v>1</v>
      </c>
    </row>
    <row r="16" spans="1:17" collapsed="1" x14ac:dyDescent="0.2"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185"/>
    </row>
    <row r="17" spans="1:17" x14ac:dyDescent="0.2">
      <c r="A17" s="16" t="str">
        <f>+$A$8</f>
        <v>Acute_DIV1</v>
      </c>
      <c r="B17" s="15">
        <f>+$B$8</f>
        <v>127</v>
      </c>
      <c r="C17" s="14" t="s">
        <v>124</v>
      </c>
      <c r="D17" s="14" t="s">
        <v>125</v>
      </c>
      <c r="E17" s="68">
        <f>_xll.OneStreamExcelAddIn.XFFunctions.XFGetCell("True","Consol", $B17,"Tot_Entity","USD",E$2,E$3,E$4,$C17,"TopFlow","Top","Top","Tot_Los","TOT_Dept_WO_Addbacks","Tot_FC",$A17,"Top5","Top6","Reported","Top8")</f>
        <v>3139</v>
      </c>
      <c r="F17" s="68">
        <f>_xll.OneStreamExcelAddIn.XFFunctions.XFGetCell("True","Consol", $B17,"Tot_Entity","USD",F$2,F$3,F$4,$C17,"TopFlow","Top","Top","Tot_Los","TOT_Dept_WO_Addbacks","Tot_FC",$A17,"Top5","Top6","Reported","Top8")</f>
        <v>3025</v>
      </c>
      <c r="G17" s="68">
        <f>_xll.OneStreamExcelAddIn.XFFunctions.XFGetCell("True","Consol", $B17,"Tot_Entity","USD",G$2,G$3,G$4,$C17,"TopFlow","Top","Top","Tot_Los","TOT_Dept_WO_Addbacks","Tot_FC",$A17,"Top5","Top6","Reported","Top8")</f>
        <v>2707</v>
      </c>
      <c r="H17" s="68">
        <f>_xll.OneStreamExcelAddIn.XFFunctions.XFGetCell("True","Consol", $B17,"Tot_Entity","USD",H$2,H$3,H$4,$C17,"TopFlow","Top","Top","Tot_Los","TOT_Dept_WO_Addbacks","Tot_FC",$A17,"Top5","Top6","Reported","Top8")</f>
        <v>2740</v>
      </c>
      <c r="I17" s="68">
        <f>_xll.OneStreamExcelAddIn.XFFunctions.XFGetCell("True","Consol", $B17,"Tot_Entity","USD",I$2,I$3,I$4,$C17,"TopFlow","Top","Top","Tot_Los","TOT_Dept_WO_Addbacks","Tot_FC",$A17,"Top5","Top6","Reported","Top8")</f>
        <v>2911</v>
      </c>
      <c r="J17" s="68">
        <f>_xll.OneStreamExcelAddIn.XFFunctions.XFGetCell("True","Consol", $B17,"Tot_Entity","USD",J$2,J$3,J$4,$C17,"TopFlow","Top","Top","Tot_Los","TOT_Dept_WO_Addbacks","Tot_FC",$A17,"Top5","Top6","Reported","Top8")</f>
        <v>2645</v>
      </c>
      <c r="K17" s="68">
        <f>_xll.OneStreamExcelAddIn.XFFunctions.XFGetCell("True","Consol", $B17,"Tot_Entity","USD",K$2,K$3,K$4,$C17,"TopFlow","Top","Top","Tot_Los","TOT_Dept_WO_Addbacks","Tot_FC",$A17,"Top5","Top6","Reported","Top8")</f>
        <v>2228</v>
      </c>
      <c r="L17" s="68">
        <f>_xll.OneStreamExcelAddIn.XFFunctions.XFGetCell("True","Consol", $B17,"Tot_Entity","USD",L$2,L$3,L$4,$C17,"TopFlow","Top","Top","Tot_Los","TOT_Dept_WO_Addbacks","Tot_FC",$A17,"Top5","Top6","Reported","Top8")</f>
        <v>2491</v>
      </c>
      <c r="M17" s="68">
        <f>_xll.OneStreamExcelAddIn.XFFunctions.XFGetCell("True","Consol", $B17,"Tot_Entity","USD",M$2,M$3,M$4,$C17,"TopFlow","Top","Top","Tot_Los","TOT_Dept_WO_Addbacks","Tot_FC",$A17,"Top5","Top6","Reported","Top8")</f>
        <v>2526</v>
      </c>
      <c r="N17" s="68">
        <f>_xll.OneStreamExcelAddIn.XFFunctions.XFGetCell("True","Consol", $B17,"Tot_Entity","USD",N$2,N$3,N$4,$C17,"TopFlow","Top","Top","Tot_Los","TOT_Dept_WO_Addbacks","Tot_FC",$A17,"Top5","Top6","Reported","Top8")</f>
        <v>2810</v>
      </c>
      <c r="O17" s="186">
        <f>_xll.OneStreamExcelAddIn.XFFunctions.XFGetCell("True","Consol", $B17,"Tot_Entity","USD",O$2,O$3,O$4,$C17,"TopFlow","Top","Top","Tot_Los","TOT_Dept_WO_Addbacks","Tot_FC",$A17,"Top5","Top6","Reported","Top8")</f>
        <v>2555</v>
      </c>
      <c r="P17" s="15">
        <f>_xll.OneStreamExcelAddIn.XFFunctions.XFGetCell("True","Consol", $B17,"Tot_Entity","USD",P$2,P$3,P$4,$C17,"TopFlow","Top","Top","Tot_Los","TOT_Dept_WO_Addbacks","Tot_FC",$A17,"Top5","Top6","Reported","Top8")</f>
        <v>2856</v>
      </c>
      <c r="Q17" s="69">
        <f>_xll.OneStreamExcelAddIn.XFFunctions.XFGetCell("True","Consol", $B17,"Tot_Entity","USD",Q$2,Q$3,Q$4,$C17,"TopFlow","Top","Top","Tot_Los","TOT_Dept_WO_Addbacks","Tot_FC",$A17,"Top5","Top6","Reported","Top8")</f>
        <v>11113</v>
      </c>
    </row>
    <row r="18" spans="1:17" x14ac:dyDescent="0.2">
      <c r="A18" s="16" t="str">
        <f>+$A$8</f>
        <v>Acute_DIV1</v>
      </c>
      <c r="B18" s="15">
        <f>+$B$8</f>
        <v>127</v>
      </c>
      <c r="C18" s="14" t="s">
        <v>126</v>
      </c>
      <c r="D18" s="14" t="s">
        <v>127</v>
      </c>
      <c r="E18" s="68">
        <f>_xll.OneStreamExcelAddIn.XFFunctions.XFGetCell("True","Consol", $B18,"Tot_Entity","USD",E$2,E$3,E$4,$C18,"TopFlow","Top","Top","Tot_Los","TOT_Depts","Tot_FC",$A18,"Top5","Top6","Reported","Top8")</f>
        <v>138</v>
      </c>
      <c r="F18" s="68">
        <f>_xll.OneStreamExcelAddIn.XFFunctions.XFGetCell("True","Consol", $B18,"Tot_Entity","USD",F$2,F$3,F$4,$C18,"TopFlow","Top","Top","Tot_Los","TOT_Depts","Tot_FC",$A18,"Top5","Top6","Reported","Top8")</f>
        <v>138</v>
      </c>
      <c r="G18" s="68">
        <f>_xll.OneStreamExcelAddIn.XFFunctions.XFGetCell("True","Consol", $B18,"Tot_Entity","USD",G$2,G$3,G$4,$C18,"TopFlow","Top","Top","Tot_Los","TOT_Depts","Tot_FC",$A18,"Top5","Top6","Reported","Top8")</f>
        <v>138</v>
      </c>
      <c r="H18" s="68">
        <f>_xll.OneStreamExcelAddIn.XFFunctions.XFGetCell("True","Consol", $B18,"Tot_Entity","USD",H$2,H$3,H$4,$C18,"TopFlow","Top","Top","Tot_Los","TOT_Depts","Tot_FC",$A18,"Top5","Top6","Reported","Top8")</f>
        <v>138</v>
      </c>
      <c r="I18" s="68">
        <f>_xll.OneStreamExcelAddIn.XFFunctions.XFGetCell("True","Consol", $B18,"Tot_Entity","USD",I$2,I$3,I$4,$C18,"TopFlow","Top","Top","Tot_Los","TOT_Depts","Tot_FC",$A18,"Top5","Top6","Reported","Top8")</f>
        <v>138</v>
      </c>
      <c r="J18" s="68">
        <f>_xll.OneStreamExcelAddIn.XFFunctions.XFGetCell("True","Consol", $B18,"Tot_Entity","USD",J$2,J$3,J$4,$C18,"TopFlow","Top","Top","Tot_Los","TOT_Depts","Tot_FC",$A18,"Top5","Top6","Reported","Top8")</f>
        <v>138</v>
      </c>
      <c r="K18" s="68">
        <f>_xll.OneStreamExcelAddIn.XFFunctions.XFGetCell("True","Consol", $B18,"Tot_Entity","USD",K$2,K$3,K$4,$C18,"TopFlow","Top","Top","Tot_Los","TOT_Depts","Tot_FC",$A18,"Top5","Top6","Reported","Top8")</f>
        <v>138</v>
      </c>
      <c r="L18" s="68">
        <f>_xll.OneStreamExcelAddIn.XFFunctions.XFGetCell("True","Consol", $B18,"Tot_Entity","USD",L$2,L$3,L$4,$C18,"TopFlow","Top","Top","Tot_Los","TOT_Depts","Tot_FC",$A18,"Top5","Top6","Reported","Top8")</f>
        <v>138</v>
      </c>
      <c r="M18" s="68">
        <f>_xll.OneStreamExcelAddIn.XFFunctions.XFGetCell("True","Consol", $B18,"Tot_Entity","USD",M$2,M$3,M$4,$C18,"TopFlow","Top","Top","Tot_Los","TOT_Depts","Tot_FC",$A18,"Top5","Top6","Reported","Top8")</f>
        <v>138</v>
      </c>
      <c r="N18" s="68">
        <f>_xll.OneStreamExcelAddIn.XFFunctions.XFGetCell("True","Consol", $B18,"Tot_Entity","USD",N$2,N$3,N$4,$C18,"TopFlow","Top","Top","Tot_Los","TOT_Depts","Tot_FC",$A18,"Top5","Top6","Reported","Top8")</f>
        <v>138</v>
      </c>
      <c r="O18" s="186">
        <f>_xll.OneStreamExcelAddIn.XFFunctions.XFGetCell("True","Consol", $B18,"Tot_Entity","USD",O$2,O$3,O$4,$C18,"TopFlow","Top","Top","Tot_Los","TOT_Depts","Tot_FC",$A18,"Top5","Top6","Reported","Top8")</f>
        <v>0</v>
      </c>
      <c r="P18" s="15">
        <f>_xll.OneStreamExcelAddIn.XFFunctions.XFGetCell("True","Consol", $B18,"Tot_Entity","USD",P$2,P$3,P$4,$C18,"TopFlow","Top","Top","Tot_Los","TOT_Depts","Tot_FC",$A18,"Top5","Top6","Reported","Top8")</f>
        <v>114</v>
      </c>
      <c r="Q18" s="69">
        <f>_xll.OneStreamExcelAddIn.XFFunctions.XFGetCell("True","Consol", $B18,"Tot_Entity","USD",Q$2,Q$3,Q$4,$C18,"TopFlow","Top","Top","Tot_Los","TOT_Depts","Tot_FC",$A18,"Top5","Top6","Reported","Top8")</f>
        <v>114</v>
      </c>
    </row>
    <row r="19" spans="1:17" x14ac:dyDescent="0.2">
      <c r="A19" s="16" t="str">
        <f>+$A$8</f>
        <v>Acute_DIV1</v>
      </c>
      <c r="B19" s="15">
        <f>+$B$8</f>
        <v>127</v>
      </c>
      <c r="C19" s="14">
        <v>92112</v>
      </c>
      <c r="D19" s="14" t="s">
        <v>36</v>
      </c>
      <c r="E19" s="70">
        <f>_xll.OneStreamExcelAddIn.XFFunctions.XFGetCell("True","Consol", $B19,"Tot_Entity","USD",E$2,E$3,E$4,$C19,"TopFlow","Top","Top","Tot_Los","TOT_Depts","Tot_FC",$A19,"Top5","Top6","Reported","Top8")</f>
        <v>0.758212560386474</v>
      </c>
      <c r="F19" s="70">
        <f>_xll.OneStreamExcelAddIn.XFFunctions.XFGetCell("True","Consol", $B19,"Tot_Entity","USD",F$2,F$3,F$4,$C19,"TopFlow","Top","Top","Tot_Los","TOT_Depts","Tot_FC",$A19,"Top5","Top6","Reported","Top8")</f>
        <v>0.70710612435717601</v>
      </c>
      <c r="G19" s="70">
        <f>_xll.OneStreamExcelAddIn.XFFunctions.XFGetCell("True","Consol", $B19,"Tot_Entity","USD",G$2,G$3,G$4,$C19,"TopFlow","Top","Top","Tot_Los","TOT_Depts","Tot_FC",$A19,"Top5","Top6","Reported","Top8")</f>
        <v>0.63277232351566204</v>
      </c>
      <c r="H19" s="70">
        <f>_xll.OneStreamExcelAddIn.XFFunctions.XFGetCell("True","Consol", $B19,"Tot_Entity","USD",H$2,H$3,H$4,$C19,"TopFlow","Top","Top","Tot_Los","TOT_Depts","Tot_FC",$A19,"Top5","Top6","Reported","Top8")</f>
        <v>0.66183574879227003</v>
      </c>
      <c r="I19" s="70">
        <f>_xll.OneStreamExcelAddIn.XFFunctions.XFGetCell("True","Consol", $B19,"Tot_Entity","USD",I$2,I$3,I$4,$C19,"TopFlow","Top","Top","Tot_Los","TOT_Depts","Tot_FC",$A19,"Top5","Top6","Reported","Top8")</f>
        <v>0.68045815801776499</v>
      </c>
      <c r="J19" s="70">
        <f>_xll.OneStreamExcelAddIn.XFFunctions.XFGetCell("True","Consol", $B19,"Tot_Entity","USD",J$2,J$3,J$4,$C19,"TopFlow","Top","Top","Tot_Los","TOT_Depts","Tot_FC",$A19,"Top5","Top6","Reported","Top8")</f>
        <v>0.63888888888888895</v>
      </c>
      <c r="K19" s="70">
        <f>_xll.OneStreamExcelAddIn.XFFunctions.XFGetCell("True","Consol", $B19,"Tot_Entity","USD",K$2,K$3,K$4,$C19,"TopFlow","Top","Top","Tot_Los","TOT_Depts","Tot_FC",$A19,"Top5","Top6","Reported","Top8")</f>
        <v>0.520804114071996</v>
      </c>
      <c r="L19" s="70">
        <f>_xll.OneStreamExcelAddIn.XFFunctions.XFGetCell("True","Consol", $B19,"Tot_Entity","USD",L$2,L$3,L$4,$C19,"TopFlow","Top","Top","Tot_Los","TOT_Depts","Tot_FC",$A19,"Top5","Top6","Reported","Top8")</f>
        <v>0.58228143992519898</v>
      </c>
      <c r="M19" s="70">
        <f>_xll.OneStreamExcelAddIn.XFFunctions.XFGetCell("True","Consol", $B19,"Tot_Entity","USD",M$2,M$3,M$4,$C19,"TopFlow","Top","Top","Tot_Los","TOT_Depts","Tot_FC",$A19,"Top5","Top6","Reported","Top8")</f>
        <v>0.65372670807453404</v>
      </c>
      <c r="N19" s="70">
        <f>_xll.OneStreamExcelAddIn.XFFunctions.XFGetCell("True","Consol", $B19,"Tot_Entity","USD",N$2,N$3,N$4,$C19,"TopFlow","Top","Top","Tot_Los","TOT_Depts","Tot_FC",$A19,"Top5","Top6","Reported","Top8")</f>
        <v>0.65684899485741</v>
      </c>
      <c r="O19" s="187">
        <f>_xll.OneStreamExcelAddIn.XFFunctions.XFGetCell("True","Consol", $B19,"Tot_Entity","USD",O$2,O$3,O$4,$C19,"TopFlow","Top","Top","Tot_Los","TOT_Depts","Tot_FC",$A19,"Top5","Top6","Reported","Top8")</f>
        <v>0</v>
      </c>
      <c r="P19" s="18">
        <f>_xll.OneStreamExcelAddIn.XFFunctions.XFGetCell("True","Consol", $B19,"Tot_Entity","USD",P$2,P$3,P$4,$C19,"TopFlow","Top","Top","Tot_Los","TOT_Depts","Tot_FC",$A19,"Top5","Top6","Reported","Top8")</f>
        <v>0.83508771929824599</v>
      </c>
      <c r="Q19" s="71">
        <f>_xll.OneStreamExcelAddIn.XFFunctions.XFGetCell("True","Consol", $B19,"Tot_Entity","USD",Q$2,Q$3,Q$4,$C19,"TopFlow","Top","Top","Tot_Los","TOT_Depts","Tot_FC",$A19,"Top5","Top6","Reported","Top8")</f>
        <v>0.81235380116959099</v>
      </c>
    </row>
    <row r="20" spans="1:17" x14ac:dyDescent="0.2"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185"/>
    </row>
    <row r="21" spans="1:17" x14ac:dyDescent="0.2">
      <c r="A21" s="16" t="str">
        <f>+$A$8</f>
        <v>Acute_DIV1</v>
      </c>
      <c r="B21" s="15">
        <f>+$B$8</f>
        <v>127</v>
      </c>
      <c r="C21" s="14" t="s">
        <v>124</v>
      </c>
      <c r="D21" s="14" t="s">
        <v>132</v>
      </c>
      <c r="E21" s="68">
        <f>_xll.OneStreamExcelAddIn.XFFunctions.XFGetCell("True","Consol", $B21,"Tot_Entity","USD",E$2,E$3,E$4,$C21,"TopFlow","Top","Top","Tot_Los","TOT_Dept_WO_Addbacks","TOT_Medicare",$A21,"Top5","Top6","Reported","Top8")</f>
        <v>350</v>
      </c>
      <c r="F21" s="68">
        <f>_xll.OneStreamExcelAddIn.XFFunctions.XFGetCell("True","Consol", $B21,"Tot_Entity","USD",F$2,F$3,F$4,$C21,"TopFlow","Top","Top","Tot_Los","TOT_Dept_WO_Addbacks","TOT_Medicare",$A21,"Top5","Top6","Reported","Top8")</f>
        <v>269</v>
      </c>
      <c r="G21" s="68">
        <f>_xll.OneStreamExcelAddIn.XFFunctions.XFGetCell("True","Consol", $B21,"Tot_Entity","USD",G$2,G$3,G$4,$C21,"TopFlow","Top","Top","Tot_Los","TOT_Dept_WO_Addbacks","TOT_Medicare",$A21,"Top5","Top6","Reported","Top8")</f>
        <v>221</v>
      </c>
      <c r="H21" s="68">
        <f>_xll.OneStreamExcelAddIn.XFFunctions.XFGetCell("True","Consol", $B21,"Tot_Entity","USD",H$2,H$3,H$4,$C21,"TopFlow","Top","Top","Tot_Los","TOT_Dept_WO_Addbacks","TOT_Medicare",$A21,"Top5","Top6","Reported","Top8")</f>
        <v>280</v>
      </c>
      <c r="I21" s="68">
        <f>_xll.OneStreamExcelAddIn.XFFunctions.XFGetCell("True","Consol", $B21,"Tot_Entity","USD",I$2,I$3,I$4,$C21,"TopFlow","Top","Top","Tot_Los","TOT_Dept_WO_Addbacks","TOT_Medicare",$A21,"Top5","Top6","Reported","Top8")</f>
        <v>325</v>
      </c>
      <c r="J21" s="68">
        <f>_xll.OneStreamExcelAddIn.XFFunctions.XFGetCell("True","Consol", $B21,"Tot_Entity","USD",J$2,J$3,J$4,$C21,"TopFlow","Top","Top","Tot_Los","TOT_Dept_WO_Addbacks","TOT_Medicare",$A21,"Top5","Top6","Reported","Top8")</f>
        <v>392</v>
      </c>
      <c r="K21" s="68">
        <f>_xll.OneStreamExcelAddIn.XFFunctions.XFGetCell("True","Consol", $B21,"Tot_Entity","USD",K$2,K$3,K$4,$C21,"TopFlow","Top","Top","Tot_Los","TOT_Dept_WO_Addbacks","TOT_Medicare",$A21,"Top5","Top6","Reported","Top8")</f>
        <v>268</v>
      </c>
      <c r="L21" s="68">
        <f>_xll.OneStreamExcelAddIn.XFFunctions.XFGetCell("True","Consol", $B21,"Tot_Entity","USD",L$2,L$3,L$4,$C21,"TopFlow","Top","Top","Tot_Los","TOT_Dept_WO_Addbacks","TOT_Medicare",$A21,"Top5","Top6","Reported","Top8")</f>
        <v>216</v>
      </c>
      <c r="M21" s="68">
        <f>_xll.OneStreamExcelAddIn.XFFunctions.XFGetCell("True","Consol", $B21,"Tot_Entity","USD",M$2,M$3,M$4,$C21,"TopFlow","Top","Top","Tot_Los","TOT_Dept_WO_Addbacks","TOT_Medicare",$A21,"Top5","Top6","Reported","Top8")</f>
        <v>207</v>
      </c>
      <c r="N21" s="68">
        <f>_xll.OneStreamExcelAddIn.XFFunctions.XFGetCell("True","Consol", $B21,"Tot_Entity","USD",N$2,N$3,N$4,$C21,"TopFlow","Top","Top","Tot_Los","TOT_Dept_WO_Addbacks","TOT_Medicare",$A21,"Top5","Top6","Reported","Top8")</f>
        <v>263</v>
      </c>
      <c r="O21" s="186">
        <f>_xll.OneStreamExcelAddIn.XFFunctions.XFGetCell("True","Consol", $B21,"Tot_Entity","USD",O$2,O$3,O$4,$C21,"TopFlow","Top","Top","Tot_Los","TOT_Dept_WO_Addbacks","TOT_Medicare",$A21,"Top5","Top6","Reported","Top8")</f>
        <v>334</v>
      </c>
      <c r="P21" s="15">
        <f>_xll.OneStreamExcelAddIn.XFFunctions.XFGetCell("True","Consol", $B21,"Tot_Entity","USD",P$2,P$3,P$4,$C21,"TopFlow","Top","Top","Tot_Los","TOT_Dept_WO_Addbacks","TOT_Medicare",$A21,"Top5","Top6","Reported","Top8")</f>
        <v>310.83999999999997</v>
      </c>
      <c r="Q21" s="69">
        <f>_xll.OneStreamExcelAddIn.XFFunctions.XFGetCell("True","Consol", $B21,"Tot_Entity","USD",Q$2,Q$3,Q$4,$C21,"TopFlow","Top","Top","Tot_Los","TOT_Dept_WO_Addbacks","TOT_Medicare",$A21,"Top5","Top6","Reported","Top8")</f>
        <v>1447.13</v>
      </c>
    </row>
    <row r="22" spans="1:17" x14ac:dyDescent="0.2">
      <c r="A22" s="16" t="str">
        <f>+$A$8</f>
        <v>Acute_DIV1</v>
      </c>
      <c r="B22" s="15">
        <f>+$B$8</f>
        <v>127</v>
      </c>
      <c r="C22" s="14" t="s">
        <v>124</v>
      </c>
      <c r="D22" s="14" t="s">
        <v>133</v>
      </c>
      <c r="E22" s="68">
        <f>_xll.OneStreamExcelAddIn.XFFunctions.XFGetCell("True","Consol", $B22,"Tot_Entity","USD",E$2,E$3,E$4,$C22,"TopFlow","Top","Top","Tot_Los","TOT_Dept_WO_Addbacks","TOT_Medicaid",$A22,"Top5","Top6","Reported","Top8")</f>
        <v>2076</v>
      </c>
      <c r="F22" s="68">
        <f>_xll.OneStreamExcelAddIn.XFFunctions.XFGetCell("True","Consol", $B22,"Tot_Entity","USD",F$2,F$3,F$4,$C22,"TopFlow","Top","Top","Tot_Los","TOT_Dept_WO_Addbacks","TOT_Medicaid",$A22,"Top5","Top6","Reported","Top8")</f>
        <v>1981</v>
      </c>
      <c r="G22" s="68">
        <f>_xll.OneStreamExcelAddIn.XFFunctions.XFGetCell("True","Consol", $B22,"Tot_Entity","USD",G$2,G$3,G$4,$C22,"TopFlow","Top","Top","Tot_Los","TOT_Dept_WO_Addbacks","TOT_Medicaid",$A22,"Top5","Top6","Reported","Top8")</f>
        <v>1813</v>
      </c>
      <c r="H22" s="68">
        <f>_xll.OneStreamExcelAddIn.XFFunctions.XFGetCell("True","Consol", $B22,"Tot_Entity","USD",H$2,H$3,H$4,$C22,"TopFlow","Top","Top","Tot_Los","TOT_Dept_WO_Addbacks","TOT_Medicaid",$A22,"Top5","Top6","Reported","Top8")</f>
        <v>1885</v>
      </c>
      <c r="I22" s="68">
        <f>_xll.OneStreamExcelAddIn.XFFunctions.XFGetCell("True","Consol", $B22,"Tot_Entity","USD",I$2,I$3,I$4,$C22,"TopFlow","Top","Top","Tot_Los","TOT_Dept_WO_Addbacks","TOT_Medicaid",$A22,"Top5","Top6","Reported","Top8")</f>
        <v>1956</v>
      </c>
      <c r="J22" s="68">
        <f>_xll.OneStreamExcelAddIn.XFFunctions.XFGetCell("True","Consol", $B22,"Tot_Entity","USD",J$2,J$3,J$4,$C22,"TopFlow","Top","Top","Tot_Los","TOT_Dept_WO_Addbacks","TOT_Medicaid",$A22,"Top5","Top6","Reported","Top8")</f>
        <v>1635</v>
      </c>
      <c r="K22" s="68">
        <f>_xll.OneStreamExcelAddIn.XFFunctions.XFGetCell("True","Consol", $B22,"Tot_Entity","USD",K$2,K$3,K$4,$C22,"TopFlow","Top","Top","Tot_Los","TOT_Dept_WO_Addbacks","TOT_Medicaid",$A22,"Top5","Top6","Reported","Top8")</f>
        <v>1280</v>
      </c>
      <c r="L22" s="68">
        <f>_xll.OneStreamExcelAddIn.XFFunctions.XFGetCell("True","Consol", $B22,"Tot_Entity","USD",L$2,L$3,L$4,$C22,"TopFlow","Top","Top","Tot_Los","TOT_Dept_WO_Addbacks","TOT_Medicaid",$A22,"Top5","Top6","Reported","Top8")</f>
        <v>1702</v>
      </c>
      <c r="M22" s="68">
        <f>_xll.OneStreamExcelAddIn.XFFunctions.XFGetCell("True","Consol", $B22,"Tot_Entity","USD",M$2,M$3,M$4,$C22,"TopFlow","Top","Top","Tot_Los","TOT_Dept_WO_Addbacks","TOT_Medicaid",$A22,"Top5","Top6","Reported","Top8")</f>
        <v>1717</v>
      </c>
      <c r="N22" s="68">
        <f>_xll.OneStreamExcelAddIn.XFFunctions.XFGetCell("True","Consol", $B22,"Tot_Entity","USD",N$2,N$3,N$4,$C22,"TopFlow","Top","Top","Tot_Los","TOT_Dept_WO_Addbacks","TOT_Medicaid",$A22,"Top5","Top6","Reported","Top8")</f>
        <v>1836</v>
      </c>
      <c r="O22" s="186">
        <f>_xll.OneStreamExcelAddIn.XFFunctions.XFGetCell("True","Consol", $B22,"Tot_Entity","USD",O$2,O$3,O$4,$C22,"TopFlow","Top","Top","Tot_Los","TOT_Dept_WO_Addbacks","TOT_Medicaid",$A22,"Top5","Top6","Reported","Top8")</f>
        <v>1517</v>
      </c>
      <c r="P22" s="15">
        <f>_xll.OneStreamExcelAddIn.XFFunctions.XFGetCell("True","Consol", $B22,"Tot_Entity","USD",P$2,P$3,P$4,$C22,"TopFlow","Top","Top","Tot_Los","TOT_Dept_WO_Addbacks","TOT_Medicaid",$A22,"Top5","Top6","Reported","Top8")</f>
        <v>1723.3</v>
      </c>
      <c r="Q22" s="69">
        <f>_xll.OneStreamExcelAddIn.XFFunctions.XFGetCell("True","Consol", $B22,"Tot_Entity","USD",Q$2,Q$3,Q$4,$C22,"TopFlow","Top","Top","Tot_Los","TOT_Dept_WO_Addbacks","TOT_Medicaid",$A22,"Top5","Top6","Reported","Top8")</f>
        <v>7020.47</v>
      </c>
    </row>
    <row r="23" spans="1:17" x14ac:dyDescent="0.2">
      <c r="A23" s="16" t="str">
        <f>+$A$8</f>
        <v>Acute_DIV1</v>
      </c>
      <c r="B23" s="15">
        <f>+$B$8</f>
        <v>127</v>
      </c>
      <c r="C23" s="14" t="s">
        <v>124</v>
      </c>
      <c r="D23" s="14" t="s">
        <v>134</v>
      </c>
      <c r="E23" s="68">
        <f>_xll.OneStreamExcelAddIn.XFFunctions.XFGetCell("True","Consol", $B23,"Tot_Entity","USD",E$2,E$3,E$4,$C23,"TopFlow","Top","Top","Tot_Los","TOT_Dept_WO_Addbacks","TOT_Comm",$A23,"Top5","Top6","Reported","Top8")</f>
        <v>618</v>
      </c>
      <c r="F23" s="68">
        <f>_xll.OneStreamExcelAddIn.XFFunctions.XFGetCell("True","Consol", $B23,"Tot_Entity","USD",F$2,F$3,F$4,$C23,"TopFlow","Top","Top","Tot_Los","TOT_Dept_WO_Addbacks","TOT_Comm",$A23,"Top5","Top6","Reported","Top8")</f>
        <v>720</v>
      </c>
      <c r="G23" s="68">
        <f>_xll.OneStreamExcelAddIn.XFFunctions.XFGetCell("True","Consol", $B23,"Tot_Entity","USD",G$2,G$3,G$4,$C23,"TopFlow","Top","Top","Tot_Los","TOT_Dept_WO_Addbacks","TOT_Comm",$A23,"Top5","Top6","Reported","Top8")</f>
        <v>641</v>
      </c>
      <c r="H23" s="68">
        <f>_xll.OneStreamExcelAddIn.XFFunctions.XFGetCell("True","Consol", $B23,"Tot_Entity","USD",H$2,H$3,H$4,$C23,"TopFlow","Top","Top","Tot_Los","TOT_Dept_WO_Addbacks","TOT_Comm",$A23,"Top5","Top6","Reported","Top8")</f>
        <v>544</v>
      </c>
      <c r="I23" s="68">
        <f>_xll.OneStreamExcelAddIn.XFFunctions.XFGetCell("True","Consol", $B23,"Tot_Entity","USD",I$2,I$3,I$4,$C23,"TopFlow","Top","Top","Tot_Los","TOT_Dept_WO_Addbacks","TOT_Comm",$A23,"Top5","Top6","Reported","Top8")</f>
        <v>579</v>
      </c>
      <c r="J23" s="68">
        <f>_xll.OneStreamExcelAddIn.XFFunctions.XFGetCell("True","Consol", $B23,"Tot_Entity","USD",J$2,J$3,J$4,$C23,"TopFlow","Top","Top","Tot_Los","TOT_Dept_WO_Addbacks","TOT_Comm",$A23,"Top5","Top6","Reported","Top8")</f>
        <v>522</v>
      </c>
      <c r="K23" s="68">
        <f>_xll.OneStreamExcelAddIn.XFFunctions.XFGetCell("True","Consol", $B23,"Tot_Entity","USD",K$2,K$3,K$4,$C23,"TopFlow","Top","Top","Tot_Los","TOT_Dept_WO_Addbacks","TOT_Comm",$A23,"Top5","Top6","Reported","Top8")</f>
        <v>609</v>
      </c>
      <c r="L23" s="68">
        <f>_xll.OneStreamExcelAddIn.XFFunctions.XFGetCell("True","Consol", $B23,"Tot_Entity","USD",L$2,L$3,L$4,$C23,"TopFlow","Top","Top","Tot_Los","TOT_Dept_WO_Addbacks","TOT_Comm",$A23,"Top5","Top6","Reported","Top8")</f>
        <v>523</v>
      </c>
      <c r="M23" s="68">
        <f>_xll.OneStreamExcelAddIn.XFFunctions.XFGetCell("True","Consol", $B23,"Tot_Entity","USD",M$2,M$3,M$4,$C23,"TopFlow","Top","Top","Tot_Los","TOT_Dept_WO_Addbacks","TOT_Comm",$A23,"Top5","Top6","Reported","Top8")</f>
        <v>528</v>
      </c>
      <c r="N23" s="68">
        <f>_xll.OneStreamExcelAddIn.XFFunctions.XFGetCell("True","Consol", $B23,"Tot_Entity","USD",N$2,N$3,N$4,$C23,"TopFlow","Top","Top","Tot_Los","TOT_Dept_WO_Addbacks","TOT_Comm",$A23,"Top5","Top6","Reported","Top8")</f>
        <v>666</v>
      </c>
      <c r="O23" s="186">
        <f>_xll.OneStreamExcelAddIn.XFFunctions.XFGetCell("True","Consol", $B23,"Tot_Entity","USD",O$2,O$3,O$4,$C23,"TopFlow","Top","Top","Tot_Los","TOT_Dept_WO_Addbacks","TOT_Comm",$A23,"Top5","Top6","Reported","Top8")</f>
        <v>651</v>
      </c>
      <c r="P23" s="15">
        <f>_xll.OneStreamExcelAddIn.XFFunctions.XFGetCell("True","Consol", $B23,"Tot_Entity","USD",P$2,P$3,P$4,$C23,"TopFlow","Top","Top","Tot_Los","TOT_Dept_WO_Addbacks","TOT_Comm",$A23,"Top5","Top6","Reported","Top8")</f>
        <v>780.4</v>
      </c>
      <c r="Q23" s="69">
        <f>_xll.OneStreamExcelAddIn.XFFunctions.XFGetCell("True","Consol", $B23,"Tot_Entity","USD",Q$2,Q$3,Q$4,$C23,"TopFlow","Top","Top","Tot_Los","TOT_Dept_WO_Addbacks","TOT_Comm",$A23,"Top5","Top6","Reported","Top8")</f>
        <v>2491.46</v>
      </c>
    </row>
    <row r="24" spans="1:17" x14ac:dyDescent="0.2">
      <c r="A24" s="16" t="str">
        <f>+$A$8</f>
        <v>Acute_DIV1</v>
      </c>
      <c r="B24" s="15">
        <f>+$B$8</f>
        <v>127</v>
      </c>
      <c r="C24" s="14" t="s">
        <v>124</v>
      </c>
      <c r="D24" s="14" t="s">
        <v>135</v>
      </c>
      <c r="E24" s="68">
        <f>_xll.OneStreamExcelAddIn.XFFunctions.XFGetCell("True","Consol", $B24,"Tot_Entity","USD",E$2,E$3,E$4,$C24,"TopFlow","Top","Top","Tot_Los","TOT_Dept_WO_Addbacks","TOT_Oth_Govt",$A24,"Top5","Top6","Reported","Top8")</f>
        <v>14</v>
      </c>
      <c r="F24" s="68">
        <f>_xll.OneStreamExcelAddIn.XFFunctions.XFGetCell("True","Consol", $B24,"Tot_Entity","USD",F$2,F$3,F$4,$C24,"TopFlow","Top","Top","Tot_Los","TOT_Dept_WO_Addbacks","TOT_Oth_Govt",$A24,"Top5","Top6","Reported","Top8")</f>
        <v>1</v>
      </c>
      <c r="G24" s="68">
        <f>_xll.OneStreamExcelAddIn.XFFunctions.XFGetCell("True","Consol", $B24,"Tot_Entity","USD",G$2,G$3,G$4,$C24,"TopFlow","Top","Top","Tot_Los","TOT_Dept_WO_Addbacks","TOT_Oth_Govt",$A24,"Top5","Top6","Reported","Top8")</f>
        <v>26</v>
      </c>
      <c r="H24" s="68">
        <f>_xll.OneStreamExcelAddIn.XFFunctions.XFGetCell("True","Consol", $B24,"Tot_Entity","USD",H$2,H$3,H$4,$C24,"TopFlow","Top","Top","Tot_Los","TOT_Dept_WO_Addbacks","TOT_Oth_Govt",$A24,"Top5","Top6","Reported","Top8")</f>
        <v>0</v>
      </c>
      <c r="I24" s="68">
        <f>_xll.OneStreamExcelAddIn.XFFunctions.XFGetCell("True","Consol", $B24,"Tot_Entity","USD",I$2,I$3,I$4,$C24,"TopFlow","Top","Top","Tot_Los","TOT_Dept_WO_Addbacks","TOT_Oth_Govt",$A24,"Top5","Top6","Reported","Top8")</f>
        <v>37</v>
      </c>
      <c r="J24" s="68">
        <f>_xll.OneStreamExcelAddIn.XFFunctions.XFGetCell("True","Consol", $B24,"Tot_Entity","USD",J$2,J$3,J$4,$C24,"TopFlow","Top","Top","Tot_Los","TOT_Dept_WO_Addbacks","TOT_Oth_Govt",$A24,"Top5","Top6","Reported","Top8")</f>
        <v>85</v>
      </c>
      <c r="K24" s="68">
        <f>_xll.OneStreamExcelAddIn.XFFunctions.XFGetCell("True","Consol", $B24,"Tot_Entity","USD",K$2,K$3,K$4,$C24,"TopFlow","Top","Top","Tot_Los","TOT_Dept_WO_Addbacks","TOT_Oth_Govt",$A24,"Top5","Top6","Reported","Top8")</f>
        <v>43</v>
      </c>
      <c r="L24" s="68">
        <f>_xll.OneStreamExcelAddIn.XFFunctions.XFGetCell("True","Consol", $B24,"Tot_Entity","USD",L$2,L$3,L$4,$C24,"TopFlow","Top","Top","Tot_Los","TOT_Dept_WO_Addbacks","TOT_Oth_Govt",$A24,"Top5","Top6","Reported","Top8")</f>
        <v>18</v>
      </c>
      <c r="M24" s="68">
        <f>_xll.OneStreamExcelAddIn.XFFunctions.XFGetCell("True","Consol", $B24,"Tot_Entity","USD",M$2,M$3,M$4,$C24,"TopFlow","Top","Top","Tot_Los","TOT_Dept_WO_Addbacks","TOT_Oth_Govt",$A24,"Top5","Top6","Reported","Top8")</f>
        <v>22</v>
      </c>
      <c r="N24" s="68">
        <f>_xll.OneStreamExcelAddIn.XFFunctions.XFGetCell("True","Consol", $B24,"Tot_Entity","USD",N$2,N$3,N$4,$C24,"TopFlow","Top","Top","Tot_Los","TOT_Dept_WO_Addbacks","TOT_Oth_Govt",$A24,"Top5","Top6","Reported","Top8")</f>
        <v>10</v>
      </c>
      <c r="O24" s="186">
        <f>_xll.OneStreamExcelAddIn.XFFunctions.XFGetCell("True","Consol", $B24,"Tot_Entity","USD",O$2,O$3,O$4,$C24,"TopFlow","Top","Top","Tot_Los","TOT_Dept_WO_Addbacks","TOT_Oth_Govt",$A24,"Top5","Top6","Reported","Top8")</f>
        <v>11</v>
      </c>
      <c r="P24" s="15">
        <f>_xll.OneStreamExcelAddIn.XFFunctions.XFGetCell("True","Consol", $B24,"Tot_Entity","USD",P$2,P$3,P$4,$C24,"TopFlow","Top","Top","Tot_Los","TOT_Dept_WO_Addbacks","TOT_Oth_Govt",$A24,"Top5","Top6","Reported","Top8")</f>
        <v>11.45</v>
      </c>
      <c r="Q24" s="69">
        <f>_xll.OneStreamExcelAddIn.XFFunctions.XFGetCell("True","Consol", $B24,"Tot_Entity","USD",Q$2,Q$3,Q$4,$C24,"TopFlow","Top","Top","Tot_Los","TOT_Dept_WO_Addbacks","TOT_Oth_Govt",$A24,"Top5","Top6","Reported","Top8")</f>
        <v>21.19</v>
      </c>
    </row>
    <row r="25" spans="1:17" x14ac:dyDescent="0.2">
      <c r="A25" s="16" t="str">
        <f>+$A$8</f>
        <v>Acute_DIV1</v>
      </c>
      <c r="B25" s="15">
        <f>+$B$8</f>
        <v>127</v>
      </c>
      <c r="C25" s="14" t="s">
        <v>124</v>
      </c>
      <c r="D25" s="14" t="s">
        <v>136</v>
      </c>
      <c r="E25" s="68">
        <f>_xll.OneStreamExcelAddIn.XFFunctions.XFGetCell("True","Consol", $B25,"Tot_Entity","USD",E$2,E$3,E$4,$C25,"TopFlow","Top","Top","Tot_Los","TOT_Dept_WO_Addbacks","TOT_Self_Pay_Oth",$A25,"Top5","Top6","Reported","Top8")</f>
        <v>81</v>
      </c>
      <c r="F25" s="68">
        <f>_xll.OneStreamExcelAddIn.XFFunctions.XFGetCell("True","Consol", $B25,"Tot_Entity","USD",F$2,F$3,F$4,$C25,"TopFlow","Top","Top","Tot_Los","TOT_Dept_WO_Addbacks","TOT_Self_Pay_Oth",$A25,"Top5","Top6","Reported","Top8")</f>
        <v>54</v>
      </c>
      <c r="G25" s="68">
        <f>_xll.OneStreamExcelAddIn.XFFunctions.XFGetCell("True","Consol", $B25,"Tot_Entity","USD",G$2,G$3,G$4,$C25,"TopFlow","Top","Top","Tot_Los","TOT_Dept_WO_Addbacks","TOT_Self_Pay_Oth",$A25,"Top5","Top6","Reported","Top8")</f>
        <v>6</v>
      </c>
      <c r="H25" s="68">
        <f>_xll.OneStreamExcelAddIn.XFFunctions.XFGetCell("True","Consol", $B25,"Tot_Entity","USD",H$2,H$3,H$4,$C25,"TopFlow","Top","Top","Tot_Los","TOT_Dept_WO_Addbacks","TOT_Self_Pay_Oth",$A25,"Top5","Top6","Reported","Top8")</f>
        <v>31</v>
      </c>
      <c r="I25" s="68">
        <f>_xll.OneStreamExcelAddIn.XFFunctions.XFGetCell("True","Consol", $B25,"Tot_Entity","USD",I$2,I$3,I$4,$C25,"TopFlow","Top","Top","Tot_Los","TOT_Dept_WO_Addbacks","TOT_Self_Pay_Oth",$A25,"Top5","Top6","Reported","Top8")</f>
        <v>14</v>
      </c>
      <c r="J25" s="68">
        <f>_xll.OneStreamExcelAddIn.XFFunctions.XFGetCell("True","Consol", $B25,"Tot_Entity","USD",J$2,J$3,J$4,$C25,"TopFlow","Top","Top","Tot_Los","TOT_Dept_WO_Addbacks","TOT_Self_Pay_Oth",$A25,"Top5","Top6","Reported","Top8")</f>
        <v>11</v>
      </c>
      <c r="K25" s="68">
        <f>_xll.OneStreamExcelAddIn.XFFunctions.XFGetCell("True","Consol", $B25,"Tot_Entity","USD",K$2,K$3,K$4,$C25,"TopFlow","Top","Top","Tot_Los","TOT_Dept_WO_Addbacks","TOT_Self_Pay_Oth",$A25,"Top5","Top6","Reported","Top8")</f>
        <v>28</v>
      </c>
      <c r="L25" s="68">
        <f>_xll.OneStreamExcelAddIn.XFFunctions.XFGetCell("True","Consol", $B25,"Tot_Entity","USD",L$2,L$3,L$4,$C25,"TopFlow","Top","Top","Tot_Los","TOT_Dept_WO_Addbacks","TOT_Self_Pay_Oth",$A25,"Top5","Top6","Reported","Top8")</f>
        <v>32</v>
      </c>
      <c r="M25" s="68">
        <f>_xll.OneStreamExcelAddIn.XFFunctions.XFGetCell("True","Consol", $B25,"Tot_Entity","USD",M$2,M$3,M$4,$C25,"TopFlow","Top","Top","Tot_Los","TOT_Dept_WO_Addbacks","TOT_Self_Pay_Oth",$A25,"Top5","Top6","Reported","Top8")</f>
        <v>52</v>
      </c>
      <c r="N25" s="68">
        <f>_xll.OneStreamExcelAddIn.XFFunctions.XFGetCell("True","Consol", $B25,"Tot_Entity","USD",N$2,N$3,N$4,$C25,"TopFlow","Top","Top","Tot_Los","TOT_Dept_WO_Addbacks","TOT_Self_Pay_Oth",$A25,"Top5","Top6","Reported","Top8")</f>
        <v>35</v>
      </c>
      <c r="O25" s="186">
        <f>_xll.OneStreamExcelAddIn.XFFunctions.XFGetCell("True","Consol", $B25,"Tot_Entity","USD",O$2,O$3,O$4,$C25,"TopFlow","Top","Top","Tot_Los","TOT_Dept_WO_Addbacks","TOT_Self_Pay_Oth",$A25,"Top5","Top6","Reported","Top8")</f>
        <v>42</v>
      </c>
      <c r="P25" s="15">
        <f>_xll.OneStreamExcelAddIn.XFFunctions.XFGetCell("True","Consol", $B25,"Tot_Entity","USD",P$2,P$3,P$4,$C25,"TopFlow","Top","Top","Tot_Los","TOT_Dept_WO_Addbacks","TOT_Self_Pay_Oth",$A25,"Top5","Top6","Reported","Top8")</f>
        <v>30.01</v>
      </c>
      <c r="Q25" s="69">
        <f>_xll.OneStreamExcelAddIn.XFFunctions.XFGetCell("True","Consol", $B25,"Tot_Entity","USD",Q$2,Q$3,Q$4,$C25,"TopFlow","Top","Top","Tot_Los","TOT_Dept_WO_Addbacks","TOT_Self_Pay_Oth",$A25,"Top5","Top6","Reported","Top8")</f>
        <v>132.75</v>
      </c>
    </row>
    <row r="26" spans="1:17" hidden="1" outlineLevel="1" x14ac:dyDescent="0.2">
      <c r="E26" s="31" t="b">
        <f>E17=SUM(E21:E25)</f>
        <v>1</v>
      </c>
      <c r="F26" s="31" t="b">
        <f t="shared" ref="F26:Q26" si="2">F17=SUM(F21:F25)</f>
        <v>1</v>
      </c>
      <c r="G26" s="31" t="b">
        <f t="shared" si="2"/>
        <v>1</v>
      </c>
      <c r="H26" s="31" t="b">
        <f t="shared" si="2"/>
        <v>1</v>
      </c>
      <c r="I26" s="31" t="b">
        <f t="shared" si="2"/>
        <v>1</v>
      </c>
      <c r="J26" s="31" t="b">
        <f t="shared" si="2"/>
        <v>1</v>
      </c>
      <c r="K26" s="31" t="b">
        <f t="shared" si="2"/>
        <v>1</v>
      </c>
      <c r="L26" s="31" t="b">
        <f t="shared" si="2"/>
        <v>1</v>
      </c>
      <c r="M26" s="31" t="b">
        <f t="shared" si="2"/>
        <v>1</v>
      </c>
      <c r="N26" s="31" t="b">
        <f t="shared" si="2"/>
        <v>1</v>
      </c>
      <c r="O26" s="185" t="b">
        <f t="shared" si="2"/>
        <v>1</v>
      </c>
      <c r="P26" s="1" t="b">
        <f t="shared" si="2"/>
        <v>1</v>
      </c>
      <c r="Q26" s="12" t="b">
        <f t="shared" si="2"/>
        <v>1</v>
      </c>
    </row>
    <row r="27" spans="1:17" collapsed="1" x14ac:dyDescent="0.2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185"/>
    </row>
    <row r="28" spans="1:17" x14ac:dyDescent="0.2">
      <c r="A28" s="16" t="str">
        <f>+$A$8</f>
        <v>Acute_DIV1</v>
      </c>
      <c r="B28" s="15">
        <f>+$B$8</f>
        <v>127</v>
      </c>
      <c r="C28" s="14" t="s">
        <v>128</v>
      </c>
      <c r="D28" s="14" t="s">
        <v>129</v>
      </c>
      <c r="E28" s="72">
        <f>_xll.OneStreamExcelAddIn.XFFunctions.XFGetCell("True","Consol", $B28,"Tot_Entity","USD",E$2,E$3,E$4,$C28,"TopFlow","Top","Top","Tot_Los","TOT_Dept_WO_Addbacks","Tot_FC",$A28,"Top5","Top6","Reported","Top8")</f>
        <v>14.4654377880184</v>
      </c>
      <c r="F28" s="72">
        <f>_xll.OneStreamExcelAddIn.XFFunctions.XFGetCell("True","Consol", $B28,"Tot_Entity","USD",F$2,F$3,F$4,$C28,"TopFlow","Top","Top","Tot_Los","TOT_Dept_WO_Addbacks","Tot_FC",$A28,"Top5","Top6","Reported","Top8")</f>
        <v>12.6041666666667</v>
      </c>
      <c r="G28" s="72">
        <f>_xll.OneStreamExcelAddIn.XFFunctions.XFGetCell("True","Consol", $B28,"Tot_Entity","USD",G$2,G$3,G$4,$C28,"TopFlow","Top","Top","Tot_Los","TOT_Dept_WO_Addbacks","Tot_FC",$A28,"Top5","Top6","Reported","Top8")</f>
        <v>10.3716475095785</v>
      </c>
      <c r="H28" s="72">
        <f>_xll.OneStreamExcelAddIn.XFFunctions.XFGetCell("True","Consol", $B28,"Tot_Entity","USD",H$2,H$3,H$4,$C28,"TopFlow","Top","Top","Tot_Los","TOT_Dept_WO_Addbacks","Tot_FC",$A28,"Top5","Top6","Reported","Top8")</f>
        <v>10.110701107011099</v>
      </c>
      <c r="I28" s="72">
        <f>_xll.OneStreamExcelAddIn.XFFunctions.XFGetCell("True","Consol", $B28,"Tot_Entity","USD",I$2,I$3,I$4,$C28,"TopFlow","Top","Top","Tot_Los","TOT_Dept_WO_Addbacks","Tot_FC",$A28,"Top5","Top6","Reported","Top8")</f>
        <v>11.1532567049808</v>
      </c>
      <c r="J28" s="72">
        <f>_xll.OneStreamExcelAddIn.XFFunctions.XFGetCell("True","Consol", $B28,"Tot_Entity","USD",J$2,J$3,J$4,$C28,"TopFlow","Top","Top","Tot_Los","TOT_Dept_WO_Addbacks","Tot_FC",$A28,"Top5","Top6","Reported","Top8")</f>
        <v>11.5502183406114</v>
      </c>
      <c r="K28" s="72">
        <f>_xll.OneStreamExcelAddIn.XFFunctions.XFGetCell("True","Consol", $B28,"Tot_Entity","USD",K$2,K$3,K$4,$C28,"TopFlow","Top","Top","Tot_Los","TOT_Dept_WO_Addbacks","Tot_FC",$A28,"Top5","Top6","Reported","Top8")</f>
        <v>9.8584070796460193</v>
      </c>
      <c r="L28" s="72">
        <f>_xll.OneStreamExcelAddIn.XFFunctions.XFGetCell("True","Consol", $B28,"Tot_Entity","USD",L$2,L$3,L$4,$C28,"TopFlow","Top","Top","Tot_Los","TOT_Dept_WO_Addbacks","Tot_FC",$A28,"Top5","Top6","Reported","Top8")</f>
        <v>9.9640000000000004</v>
      </c>
      <c r="M28" s="72">
        <f>_xll.OneStreamExcelAddIn.XFFunctions.XFGetCell("True","Consol", $B28,"Tot_Entity","USD",M$2,M$3,M$4,$C28,"TopFlow","Top","Top","Tot_Los","TOT_Dept_WO_Addbacks","Tot_FC",$A28,"Top5","Top6","Reported","Top8")</f>
        <v>10.395061728395101</v>
      </c>
      <c r="N28" s="72">
        <f>_xll.OneStreamExcelAddIn.XFFunctions.XFGetCell("True","Consol", $B28,"Tot_Entity","USD",N$2,N$3,N$4,$C28,"TopFlow","Top","Top","Tot_Los","TOT_Dept_WO_Addbacks","Tot_FC",$A28,"Top5","Top6","Reported","Top8")</f>
        <v>10.849420849420801</v>
      </c>
      <c r="O28" s="188">
        <f>_xll.OneStreamExcelAddIn.XFFunctions.XFGetCell("True","Consol", $B28,"Tot_Entity","USD",O$2,O$3,O$4,$C28,"TopFlow","Top","Top","Tot_Los","TOT_Dept_WO_Addbacks","Tot_FC",$A28,"Top5","Top6","Reported","Top8")</f>
        <v>10.4285714285714</v>
      </c>
      <c r="P28" s="19">
        <f>_xll.OneStreamExcelAddIn.XFFunctions.XFGetCell("True","Consol", $B28,"Tot_Entity","USD",P$2,P$3,P$4,$C28,"TopFlow","Top","Top","Tot_Los","TOT_Dept_WO_Addbacks","Tot_FC",$A28,"Top5","Top6","Reported","Top8")</f>
        <v>10.048655385058799</v>
      </c>
      <c r="Q28" s="73">
        <f>_xll.OneStreamExcelAddIn.XFFunctions.XFGetCell("True","Consol", $B28,"Tot_Entity","USD",Q$2,Q$3,Q$4,$C28,"TopFlow","Top","Top","Tot_Los","TOT_Dept_WO_Addbacks","Tot_FC",$A28,"Top5","Top6","Reported","Top8")</f>
        <v>10.020371125627101</v>
      </c>
    </row>
    <row r="29" spans="1:17" x14ac:dyDescent="0.2">
      <c r="A29" s="16" t="str">
        <f>+$A$8</f>
        <v>Acute_DIV1</v>
      </c>
      <c r="B29" s="15">
        <f>+$B$8</f>
        <v>127</v>
      </c>
      <c r="C29" s="14" t="s">
        <v>130</v>
      </c>
      <c r="D29" s="182" t="s">
        <v>131</v>
      </c>
      <c r="E29" s="183">
        <f>_xll.OneStreamExcelAddIn.XFFunctions.XFGetCell("True","Consol", $B29,"Tot_Entity","USD",E$2,E$3,E$4,$C29,"TopFlow","Top","Top","Tot_Los","TOT_Dept_WO_Addbacks","Tot_FC",$A29,"Top5","Top6","Reported","Top8")</f>
        <v>104.633333333333</v>
      </c>
      <c r="F29" s="183">
        <f>_xll.OneStreamExcelAddIn.XFFunctions.XFGetCell("True","Consol", $B29,"Tot_Entity","USD",F$2,F$3,F$4,$C29,"TopFlow","Top","Top","Tot_Los","TOT_Dept_WO_Addbacks","Tot_FC",$A29,"Top5","Top6","Reported","Top8")</f>
        <v>97.580645161290306</v>
      </c>
      <c r="G29" s="183">
        <f>_xll.OneStreamExcelAddIn.XFFunctions.XFGetCell("True","Consol", $B29,"Tot_Entity","USD",G$2,G$3,G$4,$C29,"TopFlow","Top","Top","Tot_Los","TOT_Dept_WO_Addbacks","Tot_FC",$A29,"Top5","Top6","Reported","Top8")</f>
        <v>87.322580645161295</v>
      </c>
      <c r="H29" s="183">
        <f>_xll.OneStreamExcelAddIn.XFFunctions.XFGetCell("True","Consol", $B29,"Tot_Entity","USD",H$2,H$3,H$4,$C29,"TopFlow","Top","Top","Tot_Los","TOT_Dept_WO_Addbacks","Tot_FC",$A29,"Top5","Top6","Reported","Top8")</f>
        <v>91.3333333333333</v>
      </c>
      <c r="I29" s="183">
        <f>_xll.OneStreamExcelAddIn.XFFunctions.XFGetCell("True","Consol", $B29,"Tot_Entity","USD",I$2,I$3,I$4,$C29,"TopFlow","Top","Top","Tot_Los","TOT_Dept_WO_Addbacks","Tot_FC",$A29,"Top5","Top6","Reported","Top8")</f>
        <v>93.903225806451601</v>
      </c>
      <c r="J29" s="183">
        <f>_xll.OneStreamExcelAddIn.XFFunctions.XFGetCell("True","Consol", $B29,"Tot_Entity","USD",J$2,J$3,J$4,$C29,"TopFlow","Top","Top","Tot_Los","TOT_Dept_WO_Addbacks","Tot_FC",$A29,"Top5","Top6","Reported","Top8")</f>
        <v>88.1666666666666</v>
      </c>
      <c r="K29" s="183">
        <f>_xll.OneStreamExcelAddIn.XFFunctions.XFGetCell("True","Consol", $B29,"Tot_Entity","USD",K$2,K$3,K$4,$C29,"TopFlow","Top","Top","Tot_Los","TOT_Dept_WO_Addbacks","Tot_FC",$A29,"Top5","Top6","Reported","Top8")</f>
        <v>71.870967741935502</v>
      </c>
      <c r="L29" s="183">
        <f>_xll.OneStreamExcelAddIn.XFFunctions.XFGetCell("True","Consol", $B29,"Tot_Entity","USD",L$2,L$3,L$4,$C29,"TopFlow","Top","Top","Tot_Los","TOT_Dept_WO_Addbacks","Tot_FC",$A29,"Top5","Top6","Reported","Top8")</f>
        <v>80.354838709677395</v>
      </c>
      <c r="M29" s="183">
        <f>_xll.OneStreamExcelAddIn.XFFunctions.XFGetCell("True","Consol", $B29,"Tot_Entity","USD",M$2,M$3,M$4,$C29,"TopFlow","Top","Top","Tot_Los","TOT_Dept_WO_Addbacks","Tot_FC",$A29,"Top5","Top6","Reported","Top8")</f>
        <v>90.214285714285694</v>
      </c>
      <c r="N29" s="183">
        <f>_xll.OneStreamExcelAddIn.XFFunctions.XFGetCell("True","Consol", $B29,"Tot_Entity","USD",N$2,N$3,N$4,$C29,"TopFlow","Top","Top","Tot_Los","TOT_Dept_WO_Addbacks","Tot_FC",$A29,"Top5","Top6","Reported","Top8")</f>
        <v>90.645161290322605</v>
      </c>
      <c r="O29" s="188">
        <f>_xll.OneStreamExcelAddIn.XFFunctions.XFGetCell("True","Consol", $B29,"Tot_Entity","USD",O$2,O$3,O$4,$C29,"TopFlow","Top","Top","Tot_Los","TOT_Dept_WO_Addbacks","Tot_FC",$A29,"Top5","Top6","Reported","Top8")</f>
        <v>85.1666666666667</v>
      </c>
      <c r="P29" s="19">
        <f>_xll.OneStreamExcelAddIn.XFFunctions.XFGetCell("True","Consol", $B29,"Tot_Entity","USD",P$2,P$3,P$4,$C29,"TopFlow","Top","Top","Tot_Los","TOT_Dept_WO_Addbacks","Tot_FC",$A29,"Top5","Top6","Reported","Top8")</f>
        <v>95.2</v>
      </c>
      <c r="Q29" s="73">
        <f>_xll.OneStreamExcelAddIn.XFFunctions.XFGetCell("True","Consol", $B29,"Tot_Entity","USD",Q$2,Q$3,Q$4,$C29,"TopFlow","Top","Top","Tot_Los","TOT_Dept_WO_Addbacks","Tot_FC",$A29,"Top5","Top6","Reported","Top8")</f>
        <v>92.608333333333306</v>
      </c>
    </row>
    <row r="30" spans="1:17" x14ac:dyDescent="0.2">
      <c r="A30" s="16" t="str">
        <f>+$A$8</f>
        <v>Acute_DIV1</v>
      </c>
      <c r="B30" s="15">
        <f>+$B$8</f>
        <v>127</v>
      </c>
      <c r="C30" s="14">
        <v>92107</v>
      </c>
      <c r="D30" s="14" t="s">
        <v>37</v>
      </c>
      <c r="E30" s="72">
        <f>_xll.OneStreamExcelAddIn.XFFunctions.XFGetCell("True","Consol", $B30,"Tot_Entity","USD",E$2,E$3,E$4,$C30,"TopFlow","Top","Top","Tot_Los","TOT_Dept_WO_Addbacks","Tot_FC",$A30,"Top5","Top6","Reported","Top8")</f>
        <v>104.893904323475</v>
      </c>
      <c r="F30" s="72">
        <f>_xll.OneStreamExcelAddIn.XFFunctions.XFGetCell("True","Consol", $B30,"Tot_Entity","USD",F$2,F$3,F$4,$C30,"TopFlow","Top","Top","Tot_Los","TOT_Dept_WO_Addbacks","Tot_FC",$A30,"Top5","Top6","Reported","Top8")</f>
        <v>100.24955228973501</v>
      </c>
      <c r="G30" s="72">
        <f>_xll.OneStreamExcelAddIn.XFFunctions.XFGetCell("True","Consol", $B30,"Tot_Entity","USD",G$2,G$3,G$4,$C30,"TopFlow","Top","Top","Tot_Los","TOT_Dept_WO_Addbacks","Tot_FC",$A30,"Top5","Top6","Reported","Top8")</f>
        <v>87.5936870117974</v>
      </c>
      <c r="H30" s="72">
        <f>_xll.OneStreamExcelAddIn.XFFunctions.XFGetCell("True","Consol", $B30,"Tot_Entity","USD",H$2,H$3,H$4,$C30,"TopFlow","Top","Top","Tot_Los","TOT_Dept_WO_Addbacks","Tot_FC",$A30,"Top5","Top6","Reported","Top8")</f>
        <v>92.695452364366901</v>
      </c>
      <c r="I30" s="72">
        <f>_xll.OneStreamExcelAddIn.XFFunctions.XFGetCell("True","Consol", $B30,"Tot_Entity","USD",I$2,I$3,I$4,$C30,"TopFlow","Top","Top","Tot_Los","TOT_Dept_WO_Addbacks","Tot_FC",$A30,"Top5","Top6","Reported","Top8")</f>
        <v>95.343785287551597</v>
      </c>
      <c r="J30" s="72">
        <f>_xll.OneStreamExcelAddIn.XFFunctions.XFGetCell("True","Consol", $B30,"Tot_Entity","USD",J$2,J$3,J$4,$C30,"TopFlow","Top","Top","Tot_Los","TOT_Dept_WO_Addbacks","Tot_FC",$A30,"Top5","Top6","Reported","Top8")</f>
        <v>90.018406818445101</v>
      </c>
      <c r="K30" s="72">
        <f>_xll.OneStreamExcelAddIn.XFFunctions.XFGetCell("True","Consol", $B30,"Tot_Entity","USD",K$2,K$3,K$4,$C30,"TopFlow","Top","Top","Tot_Los","TOT_Dept_WO_Addbacks","Tot_FC",$A30,"Top5","Top6","Reported","Top8")</f>
        <v>72.786380549081798</v>
      </c>
      <c r="L30" s="72">
        <f>_xll.OneStreamExcelAddIn.XFFunctions.XFGetCell("True","Consol", $B30,"Tot_Entity","USD",L$2,L$3,L$4,$C30,"TopFlow","Top","Top","Tot_Los","TOT_Dept_WO_Addbacks","Tot_FC",$A30,"Top5","Top6","Reported","Top8")</f>
        <v>81.8172506868559</v>
      </c>
      <c r="M30" s="72">
        <f>_xll.OneStreamExcelAddIn.XFFunctions.XFGetCell("True","Consol", $B30,"Tot_Entity","USD",M$2,M$3,M$4,$C30,"TopFlow","Top","Top","Tot_Los","TOT_Dept_WO_Addbacks","Tot_FC",$A30,"Top5","Top6","Reported","Top8")</f>
        <v>91.857955063983397</v>
      </c>
      <c r="N30" s="72">
        <f>_xll.OneStreamExcelAddIn.XFFunctions.XFGetCell("True","Consol", $B30,"Tot_Entity","USD",N$2,N$3,N$4,$C30,"TopFlow","Top","Top","Tot_Los","TOT_Dept_WO_Addbacks","Tot_FC",$A30,"Top5","Top6","Reported","Top8")</f>
        <v>93.513273057063799</v>
      </c>
      <c r="O30" s="188">
        <f>_xll.OneStreamExcelAddIn.XFFunctions.XFGetCell("True","Consol", $B30,"Tot_Entity","USD",O$2,O$3,O$4,$C30,"TopFlow","Top","Top","Tot_Los","TOT_Dept_WO_Addbacks","Tot_FC",$A30,"Top5","Top6","Reported","Top8")</f>
        <v>84.117104266166706</v>
      </c>
      <c r="P30" s="19">
        <f>_xll.OneStreamExcelAddIn.XFFunctions.XFGetCell("True","Consol", $B30,"Tot_Entity","USD",P$2,P$3,P$4,$C30,"TopFlow","Top","Top","Tot_Los","TOT_Dept_WO_Addbacks","Tot_FC",$A30,"Top5","Top6","Reported","Top8")</f>
        <v>97.082820233753907</v>
      </c>
      <c r="Q30" s="73">
        <f>_xll.OneStreamExcelAddIn.XFFunctions.XFGetCell("True","Consol", $B30,"Tot_Entity","USD",Q$2,Q$3,Q$4,$C30,"TopFlow","Top","Top","Tot_Los","TOT_Dept_WO_Addbacks","Tot_FC",$A30,"Top5","Top6","Reported","Top8")</f>
        <v>94.513788805980298</v>
      </c>
    </row>
    <row r="31" spans="1:17" x14ac:dyDescent="0.2"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185"/>
    </row>
    <row r="32" spans="1:17" x14ac:dyDescent="0.2">
      <c r="A32" s="16" t="str">
        <f t="shared" ref="A32:A42" si="3">+$A$8</f>
        <v>Acute_DIV1</v>
      </c>
      <c r="B32" s="15">
        <f t="shared" ref="B32:B42" si="4">+$B$8</f>
        <v>127</v>
      </c>
      <c r="C32" s="14" t="s">
        <v>130</v>
      </c>
      <c r="D32" s="14" t="s">
        <v>113</v>
      </c>
      <c r="E32" s="72">
        <f>_xll.OneStreamExcelAddIn.XFFunctions.XFGetCell("True","Consol", $B32,"Tot_Entity","USD",E$2,E$3,E$4,$C32,"TopFlow","Top","Top","Tot_Los","TOT_IP_Child","Tot_FC",$A32,"Top5","Top6","Reported","Top8")</f>
        <v>0</v>
      </c>
      <c r="F32" s="72">
        <f>_xll.OneStreamExcelAddIn.XFFunctions.XFGetCell("True","Consol", $B32,"Tot_Entity","USD",F$2,F$3,F$4,$C32,"TopFlow","Top","Top","Tot_Los","TOT_IP_Child","Tot_FC",$A32,"Top5","Top6","Reported","Top8")</f>
        <v>0</v>
      </c>
      <c r="G32" s="72">
        <f>_xll.OneStreamExcelAddIn.XFFunctions.XFGetCell("True","Consol", $B32,"Tot_Entity","USD",G$2,G$3,G$4,$C32,"TopFlow","Top","Top","Tot_Los","TOT_IP_Child","Tot_FC",$A32,"Top5","Top6","Reported","Top8")</f>
        <v>0</v>
      </c>
      <c r="H32" s="72">
        <f>_xll.OneStreamExcelAddIn.XFFunctions.XFGetCell("True","Consol", $B32,"Tot_Entity","USD",H$2,H$3,H$4,$C32,"TopFlow","Top","Top","Tot_Los","TOT_IP_Child","Tot_FC",$A32,"Top5","Top6","Reported","Top8")</f>
        <v>0</v>
      </c>
      <c r="I32" s="72">
        <f>_xll.OneStreamExcelAddIn.XFFunctions.XFGetCell("True","Consol", $B32,"Tot_Entity","USD",I$2,I$3,I$4,$C32,"TopFlow","Top","Top","Tot_Los","TOT_IP_Child","Tot_FC",$A32,"Top5","Top6","Reported","Top8")</f>
        <v>0</v>
      </c>
      <c r="J32" s="72">
        <f>_xll.OneStreamExcelAddIn.XFFunctions.XFGetCell("True","Consol", $B32,"Tot_Entity","USD",J$2,J$3,J$4,$C32,"TopFlow","Top","Top","Tot_Los","TOT_IP_Child","Tot_FC",$A32,"Top5","Top6","Reported","Top8")</f>
        <v>0</v>
      </c>
      <c r="K32" s="72">
        <f>_xll.OneStreamExcelAddIn.XFFunctions.XFGetCell("True","Consol", $B32,"Tot_Entity","USD",K$2,K$3,K$4,$C32,"TopFlow","Top","Top","Tot_Los","TOT_IP_Child","Tot_FC",$A32,"Top5","Top6","Reported","Top8")</f>
        <v>0</v>
      </c>
      <c r="L32" s="72">
        <f>_xll.OneStreamExcelAddIn.XFFunctions.XFGetCell("True","Consol", $B32,"Tot_Entity","USD",L$2,L$3,L$4,$C32,"TopFlow","Top","Top","Tot_Los","TOT_IP_Child","Tot_FC",$A32,"Top5","Top6","Reported","Top8")</f>
        <v>0</v>
      </c>
      <c r="M32" s="72">
        <f>_xll.OneStreamExcelAddIn.XFFunctions.XFGetCell("True","Consol", $B32,"Tot_Entity","USD",M$2,M$3,M$4,$C32,"TopFlow","Top","Top","Tot_Los","TOT_IP_Child","Tot_FC",$A32,"Top5","Top6","Reported","Top8")</f>
        <v>0</v>
      </c>
      <c r="N32" s="72">
        <f>_xll.OneStreamExcelAddIn.XFFunctions.XFGetCell("True","Consol", $B32,"Tot_Entity","USD",N$2,N$3,N$4,$C32,"TopFlow","Top","Top","Tot_Los","TOT_IP_Child","Tot_FC",$A32,"Top5","Top6","Reported","Top8")</f>
        <v>0</v>
      </c>
      <c r="O32" s="188">
        <f>_xll.OneStreamExcelAddIn.XFFunctions.XFGetCell("True","Consol", $B32,"Tot_Entity","USD",O$2,O$3,O$4,$C32,"TopFlow","Top","Top","Tot_Los","TOT_IP_Child","Tot_FC",$A32,"Top5","Top6","Reported","Top8")</f>
        <v>0</v>
      </c>
      <c r="P32" s="19">
        <f>_xll.OneStreamExcelAddIn.XFFunctions.XFGetCell("True","Consol", $B32,"Tot_Entity","USD",P$2,P$3,P$4,$C32,"TopFlow","Top","Top","Tot_Los","TOT_IP_Child","Tot_FC",$A32,"Top5","Top6","Reported","Top8")</f>
        <v>0</v>
      </c>
      <c r="Q32" s="73">
        <f>_xll.OneStreamExcelAddIn.XFFunctions.XFGetCell("True","Consol", $B32,"Tot_Entity","USD",Q$2,Q$3,Q$4,$C32,"TopFlow","Top","Top","Tot_Los","TOT_IP_Child","Tot_FC",$A32,"Top5","Top6","Reported","Top8")</f>
        <v>0</v>
      </c>
    </row>
    <row r="33" spans="1:17" x14ac:dyDescent="0.2">
      <c r="A33" s="16" t="str">
        <f t="shared" si="3"/>
        <v>Acute_DIV1</v>
      </c>
      <c r="B33" s="15">
        <f t="shared" si="4"/>
        <v>127</v>
      </c>
      <c r="C33" s="14" t="s">
        <v>130</v>
      </c>
      <c r="D33" s="14" t="s">
        <v>114</v>
      </c>
      <c r="E33" s="72">
        <f>_xll.OneStreamExcelAddIn.XFFunctions.XFGetCell("True","Consol", $B33,"Tot_Entity","USD",E$2,E$3,E$4,$C33,"TopFlow","Top","Top","Tot_Los","TOT_IP_Pre_Adolescent","Tot_FC",$A33,"Top5","Top6","Reported","Top8")</f>
        <v>0</v>
      </c>
      <c r="F33" s="72">
        <f>_xll.OneStreamExcelAddIn.XFFunctions.XFGetCell("True","Consol", $B33,"Tot_Entity","USD",F$2,F$3,F$4,$C33,"TopFlow","Top","Top","Tot_Los","TOT_IP_Pre_Adolescent","Tot_FC",$A33,"Top5","Top6","Reported","Top8")</f>
        <v>0</v>
      </c>
      <c r="G33" s="72">
        <f>_xll.OneStreamExcelAddIn.XFFunctions.XFGetCell("True","Consol", $B33,"Tot_Entity","USD",G$2,G$3,G$4,$C33,"TopFlow","Top","Top","Tot_Los","TOT_IP_Pre_Adolescent","Tot_FC",$A33,"Top5","Top6","Reported","Top8")</f>
        <v>0</v>
      </c>
      <c r="H33" s="72">
        <f>_xll.OneStreamExcelAddIn.XFFunctions.XFGetCell("True","Consol", $B33,"Tot_Entity","USD",H$2,H$3,H$4,$C33,"TopFlow","Top","Top","Tot_Los","TOT_IP_Pre_Adolescent","Tot_FC",$A33,"Top5","Top6","Reported","Top8")</f>
        <v>0</v>
      </c>
      <c r="I33" s="72">
        <f>_xll.OneStreamExcelAddIn.XFFunctions.XFGetCell("True","Consol", $B33,"Tot_Entity","USD",I$2,I$3,I$4,$C33,"TopFlow","Top","Top","Tot_Los","TOT_IP_Pre_Adolescent","Tot_FC",$A33,"Top5","Top6","Reported","Top8")</f>
        <v>0</v>
      </c>
      <c r="J33" s="72">
        <f>_xll.OneStreamExcelAddIn.XFFunctions.XFGetCell("True","Consol", $B33,"Tot_Entity","USD",J$2,J$3,J$4,$C33,"TopFlow","Top","Top","Tot_Los","TOT_IP_Pre_Adolescent","Tot_FC",$A33,"Top5","Top6","Reported","Top8")</f>
        <v>0</v>
      </c>
      <c r="K33" s="72">
        <f>_xll.OneStreamExcelAddIn.XFFunctions.XFGetCell("True","Consol", $B33,"Tot_Entity","USD",K$2,K$3,K$4,$C33,"TopFlow","Top","Top","Tot_Los","TOT_IP_Pre_Adolescent","Tot_FC",$A33,"Top5","Top6","Reported","Top8")</f>
        <v>0</v>
      </c>
      <c r="L33" s="72">
        <f>_xll.OneStreamExcelAddIn.XFFunctions.XFGetCell("True","Consol", $B33,"Tot_Entity","USD",L$2,L$3,L$4,$C33,"TopFlow","Top","Top","Tot_Los","TOT_IP_Pre_Adolescent","Tot_FC",$A33,"Top5","Top6","Reported","Top8")</f>
        <v>0</v>
      </c>
      <c r="M33" s="72">
        <f>_xll.OneStreamExcelAddIn.XFFunctions.XFGetCell("True","Consol", $B33,"Tot_Entity","USD",M$2,M$3,M$4,$C33,"TopFlow","Top","Top","Tot_Los","TOT_IP_Pre_Adolescent","Tot_FC",$A33,"Top5","Top6","Reported","Top8")</f>
        <v>0</v>
      </c>
      <c r="N33" s="72">
        <f>_xll.OneStreamExcelAddIn.XFFunctions.XFGetCell("True","Consol", $B33,"Tot_Entity","USD",N$2,N$3,N$4,$C33,"TopFlow","Top","Top","Tot_Los","TOT_IP_Pre_Adolescent","Tot_FC",$A33,"Top5","Top6","Reported","Top8")</f>
        <v>0</v>
      </c>
      <c r="O33" s="188">
        <f>_xll.OneStreamExcelAddIn.XFFunctions.XFGetCell("True","Consol", $B33,"Tot_Entity","USD",O$2,O$3,O$4,$C33,"TopFlow","Top","Top","Tot_Los","TOT_IP_Pre_Adolescent","Tot_FC",$A33,"Top5","Top6","Reported","Top8")</f>
        <v>0</v>
      </c>
      <c r="P33" s="19">
        <f>_xll.OneStreamExcelAddIn.XFFunctions.XFGetCell("True","Consol", $B33,"Tot_Entity","USD",P$2,P$3,P$4,$C33,"TopFlow","Top","Top","Tot_Los","TOT_IP_Pre_Adolescent","Tot_FC",$A33,"Top5","Top6","Reported","Top8")</f>
        <v>0</v>
      </c>
      <c r="Q33" s="73">
        <f>_xll.OneStreamExcelAddIn.XFFunctions.XFGetCell("True","Consol", $B33,"Tot_Entity","USD",Q$2,Q$3,Q$4,$C33,"TopFlow","Top","Top","Tot_Los","TOT_IP_Pre_Adolescent","Tot_FC",$A33,"Top5","Top6","Reported","Top8")</f>
        <v>0</v>
      </c>
    </row>
    <row r="34" spans="1:17" x14ac:dyDescent="0.2">
      <c r="A34" s="16" t="str">
        <f t="shared" si="3"/>
        <v>Acute_DIV1</v>
      </c>
      <c r="B34" s="15">
        <f t="shared" si="4"/>
        <v>127</v>
      </c>
      <c r="C34" s="14" t="s">
        <v>130</v>
      </c>
      <c r="D34" s="182" t="s">
        <v>115</v>
      </c>
      <c r="E34" s="183">
        <f>_xll.OneStreamExcelAddIn.XFFunctions.XFGetCell("True","Consol", $B34,"Tot_Entity","USD",E$2,E$3,E$4,$C34,"TopFlow","Top","Top","Tot_Los","TOT_IP_Adolescent","Tot_FC",$A34,"Top5","Top6","Reported","Top8")</f>
        <v>31.6666666666667</v>
      </c>
      <c r="F34" s="183">
        <f>_xll.OneStreamExcelAddIn.XFFunctions.XFGetCell("True","Consol", $B34,"Tot_Entity","USD",F$2,F$3,F$4,$C34,"TopFlow","Top","Top","Tot_Los","TOT_IP_Adolescent","Tot_FC",$A34,"Top5","Top6","Reported","Top8")</f>
        <v>34.580645161290299</v>
      </c>
      <c r="G34" s="183">
        <f>_xll.OneStreamExcelAddIn.XFFunctions.XFGetCell("True","Consol", $B34,"Tot_Entity","USD",G$2,G$3,G$4,$C34,"TopFlow","Top","Top","Tot_Los","TOT_IP_Adolescent","Tot_FC",$A34,"Top5","Top6","Reported","Top8")</f>
        <v>29.354838709677399</v>
      </c>
      <c r="H34" s="183">
        <f>_xll.OneStreamExcelAddIn.XFFunctions.XFGetCell("True","Consol", $B34,"Tot_Entity","USD",H$2,H$3,H$4,$C34,"TopFlow","Top","Top","Tot_Los","TOT_IP_Adolescent","Tot_FC",$A34,"Top5","Top6","Reported","Top8")</f>
        <v>34.3333333333333</v>
      </c>
      <c r="I34" s="183">
        <f>_xll.OneStreamExcelAddIn.XFFunctions.XFGetCell("True","Consol", $B34,"Tot_Entity","USD",I$2,I$3,I$4,$C34,"TopFlow","Top","Top","Tot_Los","TOT_IP_Adolescent","Tot_FC",$A34,"Top5","Top6","Reported","Top8")</f>
        <v>35.9677419354839</v>
      </c>
      <c r="J34" s="183">
        <f>_xll.OneStreamExcelAddIn.XFFunctions.XFGetCell("True","Consol", $B34,"Tot_Entity","USD",J$2,J$3,J$4,$C34,"TopFlow","Top","Top","Tot_Los","TOT_IP_Adolescent","Tot_FC",$A34,"Top5","Top6","Reported","Top8")</f>
        <v>33.466666666666697</v>
      </c>
      <c r="K34" s="183">
        <f>_xll.OneStreamExcelAddIn.XFFunctions.XFGetCell("True","Consol", $B34,"Tot_Entity","USD",K$2,K$3,K$4,$C34,"TopFlow","Top","Top","Tot_Los","TOT_IP_Adolescent","Tot_FC",$A34,"Top5","Top6","Reported","Top8")</f>
        <v>30.419354838709701</v>
      </c>
      <c r="L34" s="183">
        <f>_xll.OneStreamExcelAddIn.XFFunctions.XFGetCell("True","Consol", $B34,"Tot_Entity","USD",L$2,L$3,L$4,$C34,"TopFlow","Top","Top","Tot_Los","TOT_IP_Adolescent","Tot_FC",$A34,"Top5","Top6","Reported","Top8")</f>
        <v>30.129032258064498</v>
      </c>
      <c r="M34" s="183">
        <f>_xll.OneStreamExcelAddIn.XFFunctions.XFGetCell("True","Consol", $B34,"Tot_Entity","USD",M$2,M$3,M$4,$C34,"TopFlow","Top","Top","Tot_Los","TOT_IP_Adolescent","Tot_FC",$A34,"Top5","Top6","Reported","Top8")</f>
        <v>34.607142857142897</v>
      </c>
      <c r="N34" s="183">
        <f>_xll.OneStreamExcelAddIn.XFFunctions.XFGetCell("True","Consol", $B34,"Tot_Entity","USD",N$2,N$3,N$4,$C34,"TopFlow","Top","Top","Tot_Los","TOT_IP_Adolescent","Tot_FC",$A34,"Top5","Top6","Reported","Top8")</f>
        <v>34.935483870967701</v>
      </c>
      <c r="O34" s="188">
        <f>_xll.OneStreamExcelAddIn.XFFunctions.XFGetCell("True","Consol", $B34,"Tot_Entity","USD",O$2,O$3,O$4,$C34,"TopFlow","Top","Top","Tot_Los","TOT_IP_Adolescent","Tot_FC",$A34,"Top5","Top6","Reported","Top8")</f>
        <v>34.033333333333303</v>
      </c>
      <c r="P34" s="19">
        <f>_xll.OneStreamExcelAddIn.XFFunctions.XFGetCell("True","Consol", $B34,"Tot_Entity","USD",P$2,P$3,P$4,$C34,"TopFlow","Top","Top","Tot_Los","TOT_IP_Adolescent","Tot_FC",$A34,"Top5","Top6","Reported","Top8")</f>
        <v>38.1666666666667</v>
      </c>
      <c r="Q34" s="73">
        <f>_xll.OneStreamExcelAddIn.XFFunctions.XFGetCell("True","Consol", $B34,"Tot_Entity","USD",Q$2,Q$3,Q$4,$C34,"TopFlow","Top","Top","Tot_Los","TOT_IP_Adolescent","Tot_FC",$A34,"Top5","Top6","Reported","Top8")</f>
        <v>34.508333333333297</v>
      </c>
    </row>
    <row r="35" spans="1:17" x14ac:dyDescent="0.2">
      <c r="A35" s="16" t="str">
        <f t="shared" si="3"/>
        <v>Acute_DIV1</v>
      </c>
      <c r="B35" s="15">
        <f t="shared" si="4"/>
        <v>127</v>
      </c>
      <c r="C35" s="14" t="s">
        <v>130</v>
      </c>
      <c r="D35" s="14" t="s">
        <v>116</v>
      </c>
      <c r="E35" s="72">
        <f>_xll.OneStreamExcelAddIn.XFFunctions.XFGetCell("True","Consol", $B35,"Tot_Entity","USD",E$2,E$3,E$4,$C35,"TopFlow","Top","Top","Tot_Los","TOT_IP_Adult","Tot_FC",$A35,"Top5","Top6","Reported","Top8")</f>
        <v>54.566666666666698</v>
      </c>
      <c r="F35" s="72">
        <f>_xll.OneStreamExcelAddIn.XFFunctions.XFGetCell("True","Consol", $B35,"Tot_Entity","USD",F$2,F$3,F$4,$C35,"TopFlow","Top","Top","Tot_Los","TOT_IP_Adult","Tot_FC",$A35,"Top5","Top6","Reported","Top8")</f>
        <v>49.387096774193502</v>
      </c>
      <c r="G35" s="72">
        <f>_xll.OneStreamExcelAddIn.XFFunctions.XFGetCell("True","Consol", $B35,"Tot_Entity","USD",G$2,G$3,G$4,$C35,"TopFlow","Top","Top","Tot_Los","TOT_IP_Adult","Tot_FC",$A35,"Top5","Top6","Reported","Top8")</f>
        <v>48.774193548387103</v>
      </c>
      <c r="H35" s="72">
        <f>_xll.OneStreamExcelAddIn.XFFunctions.XFGetCell("True","Consol", $B35,"Tot_Entity","USD",H$2,H$3,H$4,$C35,"TopFlow","Top","Top","Tot_Los","TOT_IP_Adult","Tot_FC",$A35,"Top5","Top6","Reported","Top8")</f>
        <v>50.8333333333333</v>
      </c>
      <c r="I35" s="72">
        <f>_xll.OneStreamExcelAddIn.XFFunctions.XFGetCell("True","Consol", $B35,"Tot_Entity","USD",I$2,I$3,I$4,$C35,"TopFlow","Top","Top","Tot_Los","TOT_IP_Adult","Tot_FC",$A35,"Top5","Top6","Reported","Top8")</f>
        <v>52.838709677419402</v>
      </c>
      <c r="J35" s="72">
        <f>_xll.OneStreamExcelAddIn.XFFunctions.XFGetCell("True","Consol", $B35,"Tot_Entity","USD",J$2,J$3,J$4,$C35,"TopFlow","Top","Top","Tot_Los","TOT_IP_Adult","Tot_FC",$A35,"Top5","Top6","Reported","Top8")</f>
        <v>50.733333333333299</v>
      </c>
      <c r="K35" s="72">
        <f>_xll.OneStreamExcelAddIn.XFFunctions.XFGetCell("True","Consol", $B35,"Tot_Entity","USD",K$2,K$3,K$4,$C35,"TopFlow","Top","Top","Tot_Los","TOT_IP_Adult","Tot_FC",$A35,"Top5","Top6","Reported","Top8")</f>
        <v>37.709677419354797</v>
      </c>
      <c r="L35" s="72">
        <f>_xll.OneStreamExcelAddIn.XFFunctions.XFGetCell("True","Consol", $B35,"Tot_Entity","USD",L$2,L$3,L$4,$C35,"TopFlow","Top","Top","Tot_Los","TOT_IP_Adult","Tot_FC",$A35,"Top5","Top6","Reported","Top8")</f>
        <v>46.225806451612897</v>
      </c>
      <c r="M35" s="72">
        <f>_xll.OneStreamExcelAddIn.XFFunctions.XFGetCell("True","Consol", $B35,"Tot_Entity","USD",M$2,M$3,M$4,$C35,"TopFlow","Top","Top","Tot_Los","TOT_IP_Adult","Tot_FC",$A35,"Top5","Top6","Reported","Top8")</f>
        <v>51.464285714285701</v>
      </c>
      <c r="N35" s="72">
        <f>_xll.OneStreamExcelAddIn.XFFunctions.XFGetCell("True","Consol", $B35,"Tot_Entity","USD",N$2,N$3,N$4,$C35,"TopFlow","Top","Top","Tot_Los","TOT_IP_Adult","Tot_FC",$A35,"Top5","Top6","Reported","Top8")</f>
        <v>51.612903225806498</v>
      </c>
      <c r="O35" s="188">
        <f>_xll.OneStreamExcelAddIn.XFFunctions.XFGetCell("True","Consol", $B35,"Tot_Entity","USD",O$2,O$3,O$4,$C35,"TopFlow","Top","Top","Tot_Los","TOT_IP_Adult","Tot_FC",$A35,"Top5","Top6","Reported","Top8")</f>
        <v>47.766666666666701</v>
      </c>
      <c r="P35" s="19">
        <f>_xll.OneStreamExcelAddIn.XFFunctions.XFGetCell("True","Consol", $B35,"Tot_Entity","USD",P$2,P$3,P$4,$C35,"TopFlow","Top","Top","Tot_Los","TOT_IP_Adult","Tot_FC",$A35,"Top5","Top6","Reported","Top8")</f>
        <v>52.2</v>
      </c>
      <c r="Q35" s="73">
        <f>_xll.OneStreamExcelAddIn.XFFunctions.XFGetCell("True","Consol", $B35,"Tot_Entity","USD",Q$2,Q$3,Q$4,$C35,"TopFlow","Top","Top","Tot_Los","TOT_IP_Adult","Tot_FC",$A35,"Top5","Top6","Reported","Top8")</f>
        <v>53.7083333333333</v>
      </c>
    </row>
    <row r="36" spans="1:17" x14ac:dyDescent="0.2">
      <c r="A36" s="16" t="str">
        <f t="shared" si="3"/>
        <v>Acute_DIV1</v>
      </c>
      <c r="B36" s="15">
        <f t="shared" si="4"/>
        <v>127</v>
      </c>
      <c r="C36" s="14" t="s">
        <v>130</v>
      </c>
      <c r="D36" s="14" t="s">
        <v>117</v>
      </c>
      <c r="E36" s="72">
        <f>_xll.OneStreamExcelAddIn.XFFunctions.XFGetCell("True","Consol", $B36,"Tot_Entity","USD",E$2,E$3,E$4,$C36,"TopFlow","Top","Top","Tot_Los","TOT_IP_Chem_Dep","Tot_FC",$A36,"Top5","Top6","Reported","Top8")</f>
        <v>0</v>
      </c>
      <c r="F36" s="72">
        <f>_xll.OneStreamExcelAddIn.XFFunctions.XFGetCell("True","Consol", $B36,"Tot_Entity","USD",F$2,F$3,F$4,$C36,"TopFlow","Top","Top","Tot_Los","TOT_IP_Chem_Dep","Tot_FC",$A36,"Top5","Top6","Reported","Top8")</f>
        <v>0</v>
      </c>
      <c r="G36" s="72">
        <f>_xll.OneStreamExcelAddIn.XFFunctions.XFGetCell("True","Consol", $B36,"Tot_Entity","USD",G$2,G$3,G$4,$C36,"TopFlow","Top","Top","Tot_Los","TOT_IP_Chem_Dep","Tot_FC",$A36,"Top5","Top6","Reported","Top8")</f>
        <v>0</v>
      </c>
      <c r="H36" s="72">
        <f>_xll.OneStreamExcelAddIn.XFFunctions.XFGetCell("True","Consol", $B36,"Tot_Entity","USD",H$2,H$3,H$4,$C36,"TopFlow","Top","Top","Tot_Los","TOT_IP_Chem_Dep","Tot_FC",$A36,"Top5","Top6","Reported","Top8")</f>
        <v>0</v>
      </c>
      <c r="I36" s="72">
        <f>_xll.OneStreamExcelAddIn.XFFunctions.XFGetCell("True","Consol", $B36,"Tot_Entity","USD",I$2,I$3,I$4,$C36,"TopFlow","Top","Top","Tot_Los","TOT_IP_Chem_Dep","Tot_FC",$A36,"Top5","Top6","Reported","Top8")</f>
        <v>0</v>
      </c>
      <c r="J36" s="72">
        <f>_xll.OneStreamExcelAddIn.XFFunctions.XFGetCell("True","Consol", $B36,"Tot_Entity","USD",J$2,J$3,J$4,$C36,"TopFlow","Top","Top","Tot_Los","TOT_IP_Chem_Dep","Tot_FC",$A36,"Top5","Top6","Reported","Top8")</f>
        <v>0</v>
      </c>
      <c r="K36" s="72">
        <f>_xll.OneStreamExcelAddIn.XFFunctions.XFGetCell("True","Consol", $B36,"Tot_Entity","USD",K$2,K$3,K$4,$C36,"TopFlow","Top","Top","Tot_Los","TOT_IP_Chem_Dep","Tot_FC",$A36,"Top5","Top6","Reported","Top8")</f>
        <v>0</v>
      </c>
      <c r="L36" s="72">
        <f>_xll.OneStreamExcelAddIn.XFFunctions.XFGetCell("True","Consol", $B36,"Tot_Entity","USD",L$2,L$3,L$4,$C36,"TopFlow","Top","Top","Tot_Los","TOT_IP_Chem_Dep","Tot_FC",$A36,"Top5","Top6","Reported","Top8")</f>
        <v>0</v>
      </c>
      <c r="M36" s="72">
        <f>_xll.OneStreamExcelAddIn.XFFunctions.XFGetCell("True","Consol", $B36,"Tot_Entity","USD",M$2,M$3,M$4,$C36,"TopFlow","Top","Top","Tot_Los","TOT_IP_Chem_Dep","Tot_FC",$A36,"Top5","Top6","Reported","Top8")</f>
        <v>0</v>
      </c>
      <c r="N36" s="72">
        <f>_xll.OneStreamExcelAddIn.XFFunctions.XFGetCell("True","Consol", $B36,"Tot_Entity","USD",N$2,N$3,N$4,$C36,"TopFlow","Top","Top","Tot_Los","TOT_IP_Chem_Dep","Tot_FC",$A36,"Top5","Top6","Reported","Top8")</f>
        <v>0</v>
      </c>
      <c r="O36" s="188">
        <f>_xll.OneStreamExcelAddIn.XFFunctions.XFGetCell("True","Consol", $B36,"Tot_Entity","USD",O$2,O$3,O$4,$C36,"TopFlow","Top","Top","Tot_Los","TOT_IP_Chem_Dep","Tot_FC",$A36,"Top5","Top6","Reported","Top8")</f>
        <v>0</v>
      </c>
      <c r="P36" s="19">
        <f>_xll.OneStreamExcelAddIn.XFFunctions.XFGetCell("True","Consol", $B36,"Tot_Entity","USD",P$2,P$3,P$4,$C36,"TopFlow","Top","Top","Tot_Los","TOT_IP_Chem_Dep","Tot_FC",$A36,"Top5","Top6","Reported","Top8")</f>
        <v>0</v>
      </c>
      <c r="Q36" s="73">
        <f>_xll.OneStreamExcelAddIn.XFFunctions.XFGetCell("True","Consol", $B36,"Tot_Entity","USD",Q$2,Q$3,Q$4,$C36,"TopFlow","Top","Top","Tot_Los","TOT_IP_Chem_Dep","Tot_FC",$A36,"Top5","Top6","Reported","Top8")</f>
        <v>0</v>
      </c>
    </row>
    <row r="37" spans="1:17" x14ac:dyDescent="0.2">
      <c r="A37" s="16" t="str">
        <f t="shared" si="3"/>
        <v>Acute_DIV1</v>
      </c>
      <c r="B37" s="15">
        <f t="shared" si="4"/>
        <v>127</v>
      </c>
      <c r="C37" s="14" t="s">
        <v>130</v>
      </c>
      <c r="D37" s="182" t="s">
        <v>118</v>
      </c>
      <c r="E37" s="183">
        <f>_xll.OneStreamExcelAddIn.XFFunctions.XFGetCell("True","Consol", $B37,"Tot_Entity","USD",E$2,E$3,E$4,$C37,"TopFlow","Top","Top","Tot_Los","TOT_IP_Gero","Tot_FC",$A37,"Top5","Top6","Reported","Top8")</f>
        <v>0</v>
      </c>
      <c r="F37" s="183">
        <f>_xll.OneStreamExcelAddIn.XFFunctions.XFGetCell("True","Consol", $B37,"Tot_Entity","USD",F$2,F$3,F$4,$C37,"TopFlow","Top","Top","Tot_Los","TOT_IP_Gero","Tot_FC",$A37,"Top5","Top6","Reported","Top8")</f>
        <v>0</v>
      </c>
      <c r="G37" s="183">
        <f>_xll.OneStreamExcelAddIn.XFFunctions.XFGetCell("True","Consol", $B37,"Tot_Entity","USD",G$2,G$3,G$4,$C37,"TopFlow","Top","Top","Tot_Los","TOT_IP_Gero","Tot_FC",$A37,"Top5","Top6","Reported","Top8")</f>
        <v>0</v>
      </c>
      <c r="H37" s="183">
        <f>_xll.OneStreamExcelAddIn.XFFunctions.XFGetCell("True","Consol", $B37,"Tot_Entity","USD",H$2,H$3,H$4,$C37,"TopFlow","Top","Top","Tot_Los","TOT_IP_Gero","Tot_FC",$A37,"Top5","Top6","Reported","Top8")</f>
        <v>0</v>
      </c>
      <c r="I37" s="183">
        <f>_xll.OneStreamExcelAddIn.XFFunctions.XFGetCell("True","Consol", $B37,"Tot_Entity","USD",I$2,I$3,I$4,$C37,"TopFlow","Top","Top","Tot_Los","TOT_IP_Gero","Tot_FC",$A37,"Top5","Top6","Reported","Top8")</f>
        <v>0</v>
      </c>
      <c r="J37" s="183">
        <f>_xll.OneStreamExcelAddIn.XFFunctions.XFGetCell("True","Consol", $B37,"Tot_Entity","USD",J$2,J$3,J$4,$C37,"TopFlow","Top","Top","Tot_Los","TOT_IP_Gero","Tot_FC",$A37,"Top5","Top6","Reported","Top8")</f>
        <v>0</v>
      </c>
      <c r="K37" s="183">
        <f>_xll.OneStreamExcelAddIn.XFFunctions.XFGetCell("True","Consol", $B37,"Tot_Entity","USD",K$2,K$3,K$4,$C37,"TopFlow","Top","Top","Tot_Los","TOT_IP_Gero","Tot_FC",$A37,"Top5","Top6","Reported","Top8")</f>
        <v>0</v>
      </c>
      <c r="L37" s="183">
        <f>_xll.OneStreamExcelAddIn.XFFunctions.XFGetCell("True","Consol", $B37,"Tot_Entity","USD",L$2,L$3,L$4,$C37,"TopFlow","Top","Top","Tot_Los","TOT_IP_Gero","Tot_FC",$A37,"Top5","Top6","Reported","Top8")</f>
        <v>0</v>
      </c>
      <c r="M37" s="183">
        <f>_xll.OneStreamExcelAddIn.XFFunctions.XFGetCell("True","Consol", $B37,"Tot_Entity","USD",M$2,M$3,M$4,$C37,"TopFlow","Top","Top","Tot_Los","TOT_IP_Gero","Tot_FC",$A37,"Top5","Top6","Reported","Top8")</f>
        <v>0</v>
      </c>
      <c r="N37" s="183">
        <f>_xll.OneStreamExcelAddIn.XFFunctions.XFGetCell("True","Consol", $B37,"Tot_Entity","USD",N$2,N$3,N$4,$C37,"TopFlow","Top","Top","Tot_Los","TOT_IP_Gero","Tot_FC",$A37,"Top5","Top6","Reported","Top8")</f>
        <v>0</v>
      </c>
      <c r="O37" s="188">
        <f>_xll.OneStreamExcelAddIn.XFFunctions.XFGetCell("True","Consol", $B37,"Tot_Entity","USD",O$2,O$3,O$4,$C37,"TopFlow","Top","Top","Tot_Los","TOT_IP_Gero","Tot_FC",$A37,"Top5","Top6","Reported","Top8")</f>
        <v>0</v>
      </c>
      <c r="P37" s="19">
        <f>_xll.OneStreamExcelAddIn.XFFunctions.XFGetCell("True","Consol", $B37,"Tot_Entity","USD",P$2,P$3,P$4,$C37,"TopFlow","Top","Top","Tot_Los","TOT_IP_Gero","Tot_FC",$A37,"Top5","Top6","Reported","Top8")</f>
        <v>0</v>
      </c>
      <c r="Q37" s="73">
        <f>_xll.OneStreamExcelAddIn.XFFunctions.XFGetCell("True","Consol", $B37,"Tot_Entity","USD",Q$2,Q$3,Q$4,$C37,"TopFlow","Top","Top","Tot_Los","TOT_IP_Gero","Tot_FC",$A37,"Top5","Top6","Reported","Top8")</f>
        <v>0</v>
      </c>
    </row>
    <row r="38" spans="1:17" x14ac:dyDescent="0.2">
      <c r="A38" s="16" t="str">
        <f t="shared" si="3"/>
        <v>Acute_DIV1</v>
      </c>
      <c r="B38" s="15">
        <f t="shared" si="4"/>
        <v>127</v>
      </c>
      <c r="C38" s="14" t="s">
        <v>130</v>
      </c>
      <c r="D38" s="14" t="s">
        <v>119</v>
      </c>
      <c r="E38" s="72">
        <f>_xll.OneStreamExcelAddIn.XFFunctions.XFGetCell("True","Consol", $B38,"Tot_Entity","USD",E$2,E$3,E$4,$C38,"TopFlow","Top","Top","Tot_Los","TOT_IP_PRTF","Tot_FC",$A38,"Top5","Top6","Reported","Top8")</f>
        <v>12.033333333333299</v>
      </c>
      <c r="F38" s="72">
        <f>_xll.OneStreamExcelAddIn.XFFunctions.XFGetCell("True","Consol", $B38,"Tot_Entity","USD",F$2,F$3,F$4,$C38,"TopFlow","Top","Top","Tot_Los","TOT_IP_PRTF","Tot_FC",$A38,"Top5","Top6","Reported","Top8")</f>
        <v>6.7419354838709697</v>
      </c>
      <c r="G38" s="72">
        <f>_xll.OneStreamExcelAddIn.XFFunctions.XFGetCell("True","Consol", $B38,"Tot_Entity","USD",G$2,G$3,G$4,$C38,"TopFlow","Top","Top","Tot_Los","TOT_IP_PRTF","Tot_FC",$A38,"Top5","Top6","Reported","Top8")</f>
        <v>4.0645161290322598</v>
      </c>
      <c r="H38" s="72">
        <f>_xll.OneStreamExcelAddIn.XFFunctions.XFGetCell("True","Consol", $B38,"Tot_Entity","USD",H$2,H$3,H$4,$C38,"TopFlow","Top","Top","Tot_Los","TOT_IP_PRTF","Tot_FC",$A38,"Top5","Top6","Reported","Top8")</f>
        <v>0.96666666666666701</v>
      </c>
      <c r="I38" s="72">
        <f>_xll.OneStreamExcelAddIn.XFFunctions.XFGetCell("True","Consol", $B38,"Tot_Entity","USD",I$2,I$3,I$4,$C38,"TopFlow","Top","Top","Tot_Los","TOT_IP_PRTF","Tot_FC",$A38,"Top5","Top6","Reported","Top8")</f>
        <v>0</v>
      </c>
      <c r="J38" s="72">
        <f>_xll.OneStreamExcelAddIn.XFFunctions.XFGetCell("True","Consol", $B38,"Tot_Entity","USD",J$2,J$3,J$4,$C38,"TopFlow","Top","Top","Tot_Los","TOT_IP_PRTF","Tot_FC",$A38,"Top5","Top6","Reported","Top8")</f>
        <v>0</v>
      </c>
      <c r="K38" s="72">
        <f>_xll.OneStreamExcelAddIn.XFFunctions.XFGetCell("True","Consol", $B38,"Tot_Entity","USD",K$2,K$3,K$4,$C38,"TopFlow","Top","Top","Tot_Los","TOT_IP_PRTF","Tot_FC",$A38,"Top5","Top6","Reported","Top8")</f>
        <v>0</v>
      </c>
      <c r="L38" s="72">
        <f>_xll.OneStreamExcelAddIn.XFFunctions.XFGetCell("True","Consol", $B38,"Tot_Entity","USD",L$2,L$3,L$4,$C38,"TopFlow","Top","Top","Tot_Los","TOT_IP_PRTF","Tot_FC",$A38,"Top5","Top6","Reported","Top8")</f>
        <v>0</v>
      </c>
      <c r="M38" s="72">
        <f>_xll.OneStreamExcelAddIn.XFFunctions.XFGetCell("True","Consol", $B38,"Tot_Entity","USD",M$2,M$3,M$4,$C38,"TopFlow","Top","Top","Tot_Los","TOT_IP_PRTF","Tot_FC",$A38,"Top5","Top6","Reported","Top8")</f>
        <v>0</v>
      </c>
      <c r="N38" s="72">
        <f>_xll.OneStreamExcelAddIn.XFFunctions.XFGetCell("True","Consol", $B38,"Tot_Entity","USD",N$2,N$3,N$4,$C38,"TopFlow","Top","Top","Tot_Los","TOT_IP_PRTF","Tot_FC",$A38,"Top5","Top6","Reported","Top8")</f>
        <v>0</v>
      </c>
      <c r="O38" s="188">
        <f>_xll.OneStreamExcelAddIn.XFFunctions.XFGetCell("True","Consol", $B38,"Tot_Entity","USD",O$2,O$3,O$4,$C38,"TopFlow","Top","Top","Tot_Los","TOT_IP_PRTF","Tot_FC",$A38,"Top5","Top6","Reported","Top8")</f>
        <v>0</v>
      </c>
      <c r="P38" s="19">
        <f>_xll.OneStreamExcelAddIn.XFFunctions.XFGetCell("True","Consol", $B38,"Tot_Entity","USD",P$2,P$3,P$4,$C38,"TopFlow","Top","Top","Tot_Los","TOT_IP_PRTF","Tot_FC",$A38,"Top5","Top6","Reported","Top8")</f>
        <v>0</v>
      </c>
      <c r="Q38" s="73">
        <f>_xll.OneStreamExcelAddIn.XFFunctions.XFGetCell("True","Consol", $B38,"Tot_Entity","USD",Q$2,Q$3,Q$4,$C38,"TopFlow","Top","Top","Tot_Los","TOT_IP_PRTF","Tot_FC",$A38,"Top5","Top6","Reported","Top8")</f>
        <v>0</v>
      </c>
    </row>
    <row r="39" spans="1:17" x14ac:dyDescent="0.2">
      <c r="A39" s="16" t="str">
        <f t="shared" si="3"/>
        <v>Acute_DIV1</v>
      </c>
      <c r="B39" s="15">
        <f t="shared" si="4"/>
        <v>127</v>
      </c>
      <c r="C39" s="14" t="s">
        <v>130</v>
      </c>
      <c r="D39" s="14" t="s">
        <v>120</v>
      </c>
      <c r="E39" s="72">
        <f>_xll.OneStreamExcelAddIn.XFFunctions.XFGetCell("True","Consol", $B39,"Tot_Entity","USD",E$2,E$3,E$4,$C39,"TopFlow","Top","Top","Tot_Los","TOT_IP_Detox","Tot_FC",$A39,"Top5","Top6","Reported","Top8")</f>
        <v>6.3666666666666698</v>
      </c>
      <c r="F39" s="72">
        <f>_xll.OneStreamExcelAddIn.XFFunctions.XFGetCell("True","Consol", $B39,"Tot_Entity","USD",F$2,F$3,F$4,$C39,"TopFlow","Top","Top","Tot_Los","TOT_IP_Detox","Tot_FC",$A39,"Top5","Top6","Reported","Top8")</f>
        <v>6.8709677419354804</v>
      </c>
      <c r="G39" s="72">
        <f>_xll.OneStreamExcelAddIn.XFFunctions.XFGetCell("True","Consol", $B39,"Tot_Entity","USD",G$2,G$3,G$4,$C39,"TopFlow","Top","Top","Tot_Los","TOT_IP_Detox","Tot_FC",$A39,"Top5","Top6","Reported","Top8")</f>
        <v>5.1290322580645196</v>
      </c>
      <c r="H39" s="72">
        <f>_xll.OneStreamExcelAddIn.XFFunctions.XFGetCell("True","Consol", $B39,"Tot_Entity","USD",H$2,H$3,H$4,$C39,"TopFlow","Top","Top","Tot_Los","TOT_IP_Detox","Tot_FC",$A39,"Top5","Top6","Reported","Top8")</f>
        <v>5.2</v>
      </c>
      <c r="I39" s="72">
        <f>_xll.OneStreamExcelAddIn.XFFunctions.XFGetCell("True","Consol", $B39,"Tot_Entity","USD",I$2,I$3,I$4,$C39,"TopFlow","Top","Top","Tot_Los","TOT_IP_Detox","Tot_FC",$A39,"Top5","Top6","Reported","Top8")</f>
        <v>5.0967741935483897</v>
      </c>
      <c r="J39" s="72">
        <f>_xll.OneStreamExcelAddIn.XFFunctions.XFGetCell("True","Consol", $B39,"Tot_Entity","USD",J$2,J$3,J$4,$C39,"TopFlow","Top","Top","Tot_Los","TOT_IP_Detox","Tot_FC",$A39,"Top5","Top6","Reported","Top8")</f>
        <v>3.9666666666666699</v>
      </c>
      <c r="K39" s="72">
        <f>_xll.OneStreamExcelAddIn.XFFunctions.XFGetCell("True","Consol", $B39,"Tot_Entity","USD",K$2,K$3,K$4,$C39,"TopFlow","Top","Top","Tot_Los","TOT_IP_Detox","Tot_FC",$A39,"Top5","Top6","Reported","Top8")</f>
        <v>3.7419354838709702</v>
      </c>
      <c r="L39" s="72">
        <f>_xll.OneStreamExcelAddIn.XFFunctions.XFGetCell("True","Consol", $B39,"Tot_Entity","USD",L$2,L$3,L$4,$C39,"TopFlow","Top","Top","Tot_Los","TOT_IP_Detox","Tot_FC",$A39,"Top5","Top6","Reported","Top8")</f>
        <v>4</v>
      </c>
      <c r="M39" s="72">
        <f>_xll.OneStreamExcelAddIn.XFFunctions.XFGetCell("True","Consol", $B39,"Tot_Entity","USD",M$2,M$3,M$4,$C39,"TopFlow","Top","Top","Tot_Los","TOT_IP_Detox","Tot_FC",$A39,"Top5","Top6","Reported","Top8")</f>
        <v>4.1428571428571397</v>
      </c>
      <c r="N39" s="72">
        <f>_xll.OneStreamExcelAddIn.XFFunctions.XFGetCell("True","Consol", $B39,"Tot_Entity","USD",N$2,N$3,N$4,$C39,"TopFlow","Top","Top","Tot_Los","TOT_IP_Detox","Tot_FC",$A39,"Top5","Top6","Reported","Top8")</f>
        <v>4.0967741935483897</v>
      </c>
      <c r="O39" s="188">
        <f>_xll.OneStreamExcelAddIn.XFFunctions.XFGetCell("True","Consol", $B39,"Tot_Entity","USD",O$2,O$3,O$4,$C39,"TopFlow","Top","Top","Tot_Los","TOT_IP_Detox","Tot_FC",$A39,"Top5","Top6","Reported","Top8")</f>
        <v>3.3666666666666698</v>
      </c>
      <c r="P39" s="19">
        <f>_xll.OneStreamExcelAddIn.XFFunctions.XFGetCell("True","Consol", $B39,"Tot_Entity","USD",P$2,P$3,P$4,$C39,"TopFlow","Top","Top","Tot_Los","TOT_IP_Detox","Tot_FC",$A39,"Top5","Top6","Reported","Top8")</f>
        <v>4.8333333333333304</v>
      </c>
      <c r="Q39" s="73">
        <f>_xll.OneStreamExcelAddIn.XFFunctions.XFGetCell("True","Consol", $B39,"Tot_Entity","USD",Q$2,Q$3,Q$4,$C39,"TopFlow","Top","Top","Tot_Los","TOT_IP_Detox","Tot_FC",$A39,"Top5","Top6","Reported","Top8")</f>
        <v>4.3916666666666702</v>
      </c>
    </row>
    <row r="40" spans="1:17" x14ac:dyDescent="0.2">
      <c r="A40" s="16" t="str">
        <f t="shared" si="3"/>
        <v>Acute_DIV1</v>
      </c>
      <c r="B40" s="15">
        <f t="shared" si="4"/>
        <v>127</v>
      </c>
      <c r="C40" s="14" t="s">
        <v>130</v>
      </c>
      <c r="D40" s="14" t="s">
        <v>121</v>
      </c>
      <c r="E40" s="72">
        <f>_xll.OneStreamExcelAddIn.XFFunctions.XFGetCell("True","Consol", $B40,"Tot_Entity","USD",E$2,E$3,E$4,$C40,"TopFlow","Top","Top","Tot_Los","TOT_IP_RTC","Tot_FC",$A40,"Top5","Top6","Reported","Top8")</f>
        <v>0</v>
      </c>
      <c r="F40" s="72">
        <f>_xll.OneStreamExcelAddIn.XFFunctions.XFGetCell("True","Consol", $B40,"Tot_Entity","USD",F$2,F$3,F$4,$C40,"TopFlow","Top","Top","Tot_Los","TOT_IP_RTC","Tot_FC",$A40,"Top5","Top6","Reported","Top8")</f>
        <v>0</v>
      </c>
      <c r="G40" s="72">
        <f>_xll.OneStreamExcelAddIn.XFFunctions.XFGetCell("True","Consol", $B40,"Tot_Entity","USD",G$2,G$3,G$4,$C40,"TopFlow","Top","Top","Tot_Los","TOT_IP_RTC","Tot_FC",$A40,"Top5","Top6","Reported","Top8")</f>
        <v>0</v>
      </c>
      <c r="H40" s="72">
        <f>_xll.OneStreamExcelAddIn.XFFunctions.XFGetCell("True","Consol", $B40,"Tot_Entity","USD",H$2,H$3,H$4,$C40,"TopFlow","Top","Top","Tot_Los","TOT_IP_RTC","Tot_FC",$A40,"Top5","Top6","Reported","Top8")</f>
        <v>0</v>
      </c>
      <c r="I40" s="72">
        <f>_xll.OneStreamExcelAddIn.XFFunctions.XFGetCell("True","Consol", $B40,"Tot_Entity","USD",I$2,I$3,I$4,$C40,"TopFlow","Top","Top","Tot_Los","TOT_IP_RTC","Tot_FC",$A40,"Top5","Top6","Reported","Top8")</f>
        <v>0</v>
      </c>
      <c r="J40" s="72">
        <f>_xll.OneStreamExcelAddIn.XFFunctions.XFGetCell("True","Consol", $B40,"Tot_Entity","USD",J$2,J$3,J$4,$C40,"TopFlow","Top","Top","Tot_Los","TOT_IP_RTC","Tot_FC",$A40,"Top5","Top6","Reported","Top8")</f>
        <v>0</v>
      </c>
      <c r="K40" s="72">
        <f>_xll.OneStreamExcelAddIn.XFFunctions.XFGetCell("True","Consol", $B40,"Tot_Entity","USD",K$2,K$3,K$4,$C40,"TopFlow","Top","Top","Tot_Los","TOT_IP_RTC","Tot_FC",$A40,"Top5","Top6","Reported","Top8")</f>
        <v>0</v>
      </c>
      <c r="L40" s="72">
        <f>_xll.OneStreamExcelAddIn.XFFunctions.XFGetCell("True","Consol", $B40,"Tot_Entity","USD",L$2,L$3,L$4,$C40,"TopFlow","Top","Top","Tot_Los","TOT_IP_RTC","Tot_FC",$A40,"Top5","Top6","Reported","Top8")</f>
        <v>0</v>
      </c>
      <c r="M40" s="72">
        <f>_xll.OneStreamExcelAddIn.XFFunctions.XFGetCell("True","Consol", $B40,"Tot_Entity","USD",M$2,M$3,M$4,$C40,"TopFlow","Top","Top","Tot_Los","TOT_IP_RTC","Tot_FC",$A40,"Top5","Top6","Reported","Top8")</f>
        <v>0</v>
      </c>
      <c r="N40" s="72">
        <f>_xll.OneStreamExcelAddIn.XFFunctions.XFGetCell("True","Consol", $B40,"Tot_Entity","USD",N$2,N$3,N$4,$C40,"TopFlow","Top","Top","Tot_Los","TOT_IP_RTC","Tot_FC",$A40,"Top5","Top6","Reported","Top8")</f>
        <v>0</v>
      </c>
      <c r="O40" s="188">
        <f>_xll.OneStreamExcelAddIn.XFFunctions.XFGetCell("True","Consol", $B40,"Tot_Entity","USD",O$2,O$3,O$4,$C40,"TopFlow","Top","Top","Tot_Los","TOT_IP_RTC","Tot_FC",$A40,"Top5","Top6","Reported","Top8")</f>
        <v>0</v>
      </c>
      <c r="P40" s="19">
        <f>_xll.OneStreamExcelAddIn.XFFunctions.XFGetCell("True","Consol", $B40,"Tot_Entity","USD",P$2,P$3,P$4,$C40,"TopFlow","Top","Top","Tot_Los","TOT_IP_RTC","Tot_FC",$A40,"Top5","Top6","Reported","Top8")</f>
        <v>0</v>
      </c>
      <c r="Q40" s="73">
        <f>_xll.OneStreamExcelAddIn.XFFunctions.XFGetCell("True","Consol", $B40,"Tot_Entity","USD",Q$2,Q$3,Q$4,$C40,"TopFlow","Top","Top","Tot_Los","TOT_IP_RTC","Tot_FC",$A40,"Top5","Top6","Reported","Top8")</f>
        <v>0</v>
      </c>
    </row>
    <row r="41" spans="1:17" x14ac:dyDescent="0.2">
      <c r="A41" s="16" t="str">
        <f t="shared" si="3"/>
        <v>Acute_DIV1</v>
      </c>
      <c r="B41" s="15">
        <f t="shared" si="4"/>
        <v>127</v>
      </c>
      <c r="C41" s="14" t="s">
        <v>130</v>
      </c>
      <c r="D41" s="14" t="s">
        <v>122</v>
      </c>
      <c r="E41" s="72">
        <f>_xll.OneStreamExcelAddIn.XFFunctions.XFGetCell("True","Consol", $B41,"Tot_Entity","USD",E$2,E$3,E$4,$C41,"TopFlow","Top","Top","Tot_Los",1320,"Tot_FC",$A41,"Top5","Top6","Reported","Top8")</f>
        <v>0</v>
      </c>
      <c r="F41" s="72">
        <f>_xll.OneStreamExcelAddIn.XFFunctions.XFGetCell("True","Consol", $B41,"Tot_Entity","USD",F$2,F$3,F$4,$C41,"TopFlow","Top","Top","Tot_Los",1320,"Tot_FC",$A41,"Top5","Top6","Reported","Top8")</f>
        <v>0</v>
      </c>
      <c r="G41" s="72">
        <f>_xll.OneStreamExcelAddIn.XFFunctions.XFGetCell("True","Consol", $B41,"Tot_Entity","USD",G$2,G$3,G$4,$C41,"TopFlow","Top","Top","Tot_Los",1320,"Tot_FC",$A41,"Top5","Top6","Reported","Top8")</f>
        <v>0</v>
      </c>
      <c r="H41" s="72">
        <f>_xll.OneStreamExcelAddIn.XFFunctions.XFGetCell("True","Consol", $B41,"Tot_Entity","USD",H$2,H$3,H$4,$C41,"TopFlow","Top","Top","Tot_Los",1320,"Tot_FC",$A41,"Top5","Top6","Reported","Top8")</f>
        <v>0</v>
      </c>
      <c r="I41" s="72">
        <f>_xll.OneStreamExcelAddIn.XFFunctions.XFGetCell("True","Consol", $B41,"Tot_Entity","USD",I$2,I$3,I$4,$C41,"TopFlow","Top","Top","Tot_Los",1320,"Tot_FC",$A41,"Top5","Top6","Reported","Top8")</f>
        <v>0</v>
      </c>
      <c r="J41" s="72">
        <f>_xll.OneStreamExcelAddIn.XFFunctions.XFGetCell("True","Consol", $B41,"Tot_Entity","USD",J$2,J$3,J$4,$C41,"TopFlow","Top","Top","Tot_Los",1320,"Tot_FC",$A41,"Top5","Top6","Reported","Top8")</f>
        <v>0</v>
      </c>
      <c r="K41" s="72">
        <f>_xll.OneStreamExcelAddIn.XFFunctions.XFGetCell("True","Consol", $B41,"Tot_Entity","USD",K$2,K$3,K$4,$C41,"TopFlow","Top","Top","Tot_Los",1320,"Tot_FC",$A41,"Top5","Top6","Reported","Top8")</f>
        <v>0</v>
      </c>
      <c r="L41" s="72">
        <f>_xll.OneStreamExcelAddIn.XFFunctions.XFGetCell("True","Consol", $B41,"Tot_Entity","USD",L$2,L$3,L$4,$C41,"TopFlow","Top","Top","Tot_Los",1320,"Tot_FC",$A41,"Top5","Top6","Reported","Top8")</f>
        <v>0</v>
      </c>
      <c r="M41" s="72">
        <f>_xll.OneStreamExcelAddIn.XFFunctions.XFGetCell("True","Consol", $B41,"Tot_Entity","USD",M$2,M$3,M$4,$C41,"TopFlow","Top","Top","Tot_Los",1320,"Tot_FC",$A41,"Top5","Top6","Reported","Top8")</f>
        <v>0</v>
      </c>
      <c r="N41" s="72">
        <f>_xll.OneStreamExcelAddIn.XFFunctions.XFGetCell("True","Consol", $B41,"Tot_Entity","USD",N$2,N$3,N$4,$C41,"TopFlow","Top","Top","Tot_Los",1320,"Tot_FC",$A41,"Top5","Top6","Reported","Top8")</f>
        <v>0</v>
      </c>
      <c r="O41" s="188">
        <f>_xll.OneStreamExcelAddIn.XFFunctions.XFGetCell("True","Consol", $B41,"Tot_Entity","USD",O$2,O$3,O$4,$C41,"TopFlow","Top","Top","Tot_Los",1320,"Tot_FC",$A41,"Top5","Top6","Reported","Top8")</f>
        <v>0</v>
      </c>
      <c r="P41" s="19">
        <f>_xll.OneStreamExcelAddIn.XFFunctions.XFGetCell("True","Consol", $B41,"Tot_Entity","USD",P$2,P$3,P$4,$C41,"TopFlow","Top","Top","Tot_Los",1320,"Tot_FC",$A41,"Top5","Top6","Reported","Top8")</f>
        <v>0</v>
      </c>
      <c r="Q41" s="73">
        <f>_xll.OneStreamExcelAddIn.XFFunctions.XFGetCell("True","Consol", $B41,"Tot_Entity","USD",Q$2,Q$3,Q$4,$C41,"TopFlow","Top","Top","Tot_Los",1320,"Tot_FC",$A41,"Top5","Top6","Reported","Top8")</f>
        <v>0</v>
      </c>
    </row>
    <row r="42" spans="1:17" x14ac:dyDescent="0.2">
      <c r="A42" s="16" t="str">
        <f t="shared" si="3"/>
        <v>Acute_DIV1</v>
      </c>
      <c r="B42" s="15">
        <f t="shared" si="4"/>
        <v>127</v>
      </c>
      <c r="C42" s="14" t="s">
        <v>130</v>
      </c>
      <c r="D42" s="14" t="s">
        <v>123</v>
      </c>
      <c r="E42" s="72">
        <f>_xll.OneStreamExcelAddIn.XFFunctions.XFGetCell("True","Consol", $B42,"Tot_Entity","USD",E$2,E$3,E$4,$C42,"TopFlow","Top","Top","Tot_Los",1330,"Tot_FC",$A42,"Top5","Top6","Reported","Top8")</f>
        <v>0</v>
      </c>
      <c r="F42" s="72">
        <f>_xll.OneStreamExcelAddIn.XFFunctions.XFGetCell("True","Consol", $B42,"Tot_Entity","USD",F$2,F$3,F$4,$C42,"TopFlow","Top","Top","Tot_Los",1330,"Tot_FC",$A42,"Top5","Top6","Reported","Top8")</f>
        <v>0</v>
      </c>
      <c r="G42" s="72">
        <f>_xll.OneStreamExcelAddIn.XFFunctions.XFGetCell("True","Consol", $B42,"Tot_Entity","USD",G$2,G$3,G$4,$C42,"TopFlow","Top","Top","Tot_Los",1330,"Tot_FC",$A42,"Top5","Top6","Reported","Top8")</f>
        <v>0</v>
      </c>
      <c r="H42" s="72">
        <f>_xll.OneStreamExcelAddIn.XFFunctions.XFGetCell("True","Consol", $B42,"Tot_Entity","USD",H$2,H$3,H$4,$C42,"TopFlow","Top","Top","Tot_Los",1330,"Tot_FC",$A42,"Top5","Top6","Reported","Top8")</f>
        <v>0</v>
      </c>
      <c r="I42" s="72">
        <f>_xll.OneStreamExcelAddIn.XFFunctions.XFGetCell("True","Consol", $B42,"Tot_Entity","USD",I$2,I$3,I$4,$C42,"TopFlow","Top","Top","Tot_Los",1330,"Tot_FC",$A42,"Top5","Top6","Reported","Top8")</f>
        <v>0</v>
      </c>
      <c r="J42" s="72">
        <f>_xll.OneStreamExcelAddIn.XFFunctions.XFGetCell("True","Consol", $B42,"Tot_Entity","USD",J$2,J$3,J$4,$C42,"TopFlow","Top","Top","Tot_Los",1330,"Tot_FC",$A42,"Top5","Top6","Reported","Top8")</f>
        <v>0</v>
      </c>
      <c r="K42" s="72">
        <f>_xll.OneStreamExcelAddIn.XFFunctions.XFGetCell("True","Consol", $B42,"Tot_Entity","USD",K$2,K$3,K$4,$C42,"TopFlow","Top","Top","Tot_Los",1330,"Tot_FC",$A42,"Top5","Top6","Reported","Top8")</f>
        <v>0</v>
      </c>
      <c r="L42" s="72">
        <f>_xll.OneStreamExcelAddIn.XFFunctions.XFGetCell("True","Consol", $B42,"Tot_Entity","USD",L$2,L$3,L$4,$C42,"TopFlow","Top","Top","Tot_Los",1330,"Tot_FC",$A42,"Top5","Top6","Reported","Top8")</f>
        <v>0</v>
      </c>
      <c r="M42" s="72">
        <f>_xll.OneStreamExcelAddIn.XFFunctions.XFGetCell("True","Consol", $B42,"Tot_Entity","USD",M$2,M$3,M$4,$C42,"TopFlow","Top","Top","Tot_Los",1330,"Tot_FC",$A42,"Top5","Top6","Reported","Top8")</f>
        <v>0</v>
      </c>
      <c r="N42" s="72">
        <f>_xll.OneStreamExcelAddIn.XFFunctions.XFGetCell("True","Consol", $B42,"Tot_Entity","USD",N$2,N$3,N$4,$C42,"TopFlow","Top","Top","Tot_Los",1330,"Tot_FC",$A42,"Top5","Top6","Reported","Top8")</f>
        <v>0</v>
      </c>
      <c r="O42" s="188">
        <f>_xll.OneStreamExcelAddIn.XFFunctions.XFGetCell("True","Consol", $B42,"Tot_Entity","USD",O$2,O$3,O$4,$C42,"TopFlow","Top","Top","Tot_Los",1330,"Tot_FC",$A42,"Top5","Top6","Reported","Top8")</f>
        <v>0</v>
      </c>
      <c r="P42" s="19">
        <f>_xll.OneStreamExcelAddIn.XFFunctions.XFGetCell("True","Consol", $B42,"Tot_Entity","USD",P$2,P$3,P$4,$C42,"TopFlow","Top","Top","Tot_Los",1330,"Tot_FC",$A42,"Top5","Top6","Reported","Top8")</f>
        <v>0</v>
      </c>
      <c r="Q42" s="73">
        <f>_xll.OneStreamExcelAddIn.XFFunctions.XFGetCell("True","Consol", $B42,"Tot_Entity","USD",Q$2,Q$3,Q$4,$C42,"TopFlow","Top","Top","Tot_Los",1330,"Tot_FC",$A42,"Top5","Top6","Reported","Top8")</f>
        <v>0</v>
      </c>
    </row>
    <row r="43" spans="1:17" hidden="1" outlineLevel="1" x14ac:dyDescent="0.2">
      <c r="E43" s="31" t="b">
        <f>E29=SUM(E32:E42)</f>
        <v>1</v>
      </c>
      <c r="F43" s="31" t="b">
        <f t="shared" ref="F43:Q43" si="5">F29=SUM(F32:F42)</f>
        <v>0</v>
      </c>
      <c r="G43" s="31" t="b">
        <f t="shared" si="5"/>
        <v>1</v>
      </c>
      <c r="H43" s="31" t="b">
        <f t="shared" si="5"/>
        <v>1</v>
      </c>
      <c r="I43" s="31" t="b">
        <f t="shared" si="5"/>
        <v>0</v>
      </c>
      <c r="J43" s="31" t="b">
        <f t="shared" si="5"/>
        <v>0</v>
      </c>
      <c r="K43" s="31" t="b">
        <f t="shared" si="5"/>
        <v>1</v>
      </c>
      <c r="L43" s="31" t="b">
        <f t="shared" si="5"/>
        <v>1</v>
      </c>
      <c r="M43" s="31" t="b">
        <f t="shared" si="5"/>
        <v>1</v>
      </c>
      <c r="N43" s="31" t="b">
        <f t="shared" si="5"/>
        <v>1</v>
      </c>
      <c r="O43" s="185" t="b">
        <f t="shared" si="5"/>
        <v>1</v>
      </c>
      <c r="P43" s="1" t="b">
        <f t="shared" si="5"/>
        <v>1</v>
      </c>
      <c r="Q43" s="12" t="b">
        <f t="shared" si="5"/>
        <v>1</v>
      </c>
    </row>
    <row r="44" spans="1:17" collapsed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185"/>
    </row>
    <row r="45" spans="1:17" x14ac:dyDescent="0.2">
      <c r="A45" s="16" t="str">
        <f>+$A$8</f>
        <v>Acute_DIV1</v>
      </c>
      <c r="B45" s="15">
        <f>+$B$8</f>
        <v>127</v>
      </c>
      <c r="C45" s="14" t="s">
        <v>137</v>
      </c>
      <c r="D45" s="14" t="s">
        <v>138</v>
      </c>
      <c r="E45" s="68">
        <f>_xll.OneStreamExcelAddIn.XFFunctions.XFGetCell("True","Consol", $B45,"Tot_Entity","USD",E$2,E$3,E$4,$C45,"TopFlow","Top","Top","Tot_Los","TOT_Dept_WO_Addbacks","Tot_FC",$A45,"Top5","Top6","Reported","Top8")</f>
        <v>0</v>
      </c>
      <c r="F45" s="68">
        <f>_xll.OneStreamExcelAddIn.XFFunctions.XFGetCell("True","Consol", $B45,"Tot_Entity","USD",F$2,F$3,F$4,$C45,"TopFlow","Top","Top","Tot_Los","TOT_Dept_WO_Addbacks","Tot_FC",$A45,"Top5","Top6","Reported","Top8")</f>
        <v>0</v>
      </c>
      <c r="G45" s="68">
        <f>_xll.OneStreamExcelAddIn.XFFunctions.XFGetCell("True","Consol", $B45,"Tot_Entity","USD",G$2,G$3,G$4,$C45,"TopFlow","Top","Top","Tot_Los","TOT_Dept_WO_Addbacks","Tot_FC",$A45,"Top5","Top6","Reported","Top8")</f>
        <v>0</v>
      </c>
      <c r="H45" s="68">
        <f>_xll.OneStreamExcelAddIn.XFFunctions.XFGetCell("True","Consol", $B45,"Tot_Entity","USD",H$2,H$3,H$4,$C45,"TopFlow","Top","Top","Tot_Los","TOT_Dept_WO_Addbacks","Tot_FC",$A45,"Top5","Top6","Reported","Top8")</f>
        <v>0</v>
      </c>
      <c r="I45" s="68">
        <f>_xll.OneStreamExcelAddIn.XFFunctions.XFGetCell("True","Consol", $B45,"Tot_Entity","USD",I$2,I$3,I$4,$C45,"TopFlow","Top","Top","Tot_Los","TOT_Dept_WO_Addbacks","Tot_FC",$A45,"Top5","Top6","Reported","Top8")</f>
        <v>0</v>
      </c>
      <c r="J45" s="68">
        <f>_xll.OneStreamExcelAddIn.XFFunctions.XFGetCell("True","Consol", $B45,"Tot_Entity","USD",J$2,J$3,J$4,$C45,"TopFlow","Top","Top","Tot_Los","TOT_Dept_WO_Addbacks","Tot_FC",$A45,"Top5","Top6","Reported","Top8")</f>
        <v>0</v>
      </c>
      <c r="K45" s="68">
        <f>_xll.OneStreamExcelAddIn.XFFunctions.XFGetCell("True","Consol", $B45,"Tot_Entity","USD",K$2,K$3,K$4,$C45,"TopFlow","Top","Top","Tot_Los","TOT_Dept_WO_Addbacks","Tot_FC",$A45,"Top5","Top6","Reported","Top8")</f>
        <v>0</v>
      </c>
      <c r="L45" s="68">
        <f>_xll.OneStreamExcelAddIn.XFFunctions.XFGetCell("True","Consol", $B45,"Tot_Entity","USD",L$2,L$3,L$4,$C45,"TopFlow","Top","Top","Tot_Los","TOT_Dept_WO_Addbacks","Tot_FC",$A45,"Top5","Top6","Reported","Top8")</f>
        <v>0</v>
      </c>
      <c r="M45" s="68">
        <f>_xll.OneStreamExcelAddIn.XFFunctions.XFGetCell("True","Consol", $B45,"Tot_Entity","USD",M$2,M$3,M$4,$C45,"TopFlow","Top","Top","Tot_Los","TOT_Dept_WO_Addbacks","Tot_FC",$A45,"Top5","Top6","Reported","Top8")</f>
        <v>0</v>
      </c>
      <c r="N45" s="68">
        <f>_xll.OneStreamExcelAddIn.XFFunctions.XFGetCell("True","Consol", $B45,"Tot_Entity","USD",N$2,N$3,N$4,$C45,"TopFlow","Top","Top","Tot_Los","TOT_Dept_WO_Addbacks","Tot_FC",$A45,"Top5","Top6","Reported","Top8")</f>
        <v>0</v>
      </c>
      <c r="O45" s="186">
        <f>_xll.OneStreamExcelAddIn.XFFunctions.XFGetCell("True","Consol", $B45,"Tot_Entity","USD",O$2,O$3,O$4,$C45,"TopFlow","Top","Top","Tot_Los","TOT_Dept_WO_Addbacks","Tot_FC",$A45,"Top5","Top6","Reported","Top8")</f>
        <v>0</v>
      </c>
      <c r="P45" s="15">
        <f>_xll.OneStreamExcelAddIn.XFFunctions.XFGetCell("True","Consol", $B45,"Tot_Entity","USD",P$2,P$3,P$4,$C45,"TopFlow","Top","Top","Tot_Los","TOT_Dept_WO_Addbacks","Tot_FC",$A45,"Top5","Top6","Reported","Top8")</f>
        <v>0</v>
      </c>
      <c r="Q45" s="69">
        <f>_xll.OneStreamExcelAddIn.XFFunctions.XFGetCell("True","Consol", $B45,"Tot_Entity","USD",Q$2,Q$3,Q$4,$C45,"TopFlow","Top","Top","Tot_Los","TOT_Dept_WO_Addbacks","Tot_FC",$A45,"Top5","Top6","Reported","Top8")</f>
        <v>0</v>
      </c>
    </row>
    <row r="46" spans="1:17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185"/>
    </row>
    <row r="47" spans="1:17" x14ac:dyDescent="0.2">
      <c r="A47" s="16" t="str">
        <f>+$A$8</f>
        <v>Acute_DIV1</v>
      </c>
      <c r="B47" s="15">
        <f>+$B$8</f>
        <v>127</v>
      </c>
      <c r="C47" s="14" t="s">
        <v>137</v>
      </c>
      <c r="D47" s="14" t="s">
        <v>139</v>
      </c>
      <c r="E47" s="68">
        <f>_xll.OneStreamExcelAddIn.XFFunctions.XFGetCell("True","Consol", $B47,"Tot_Entity","USD",E$2,E$3,E$4,$C47,"TopFlow","Top","Top","Tot_Los","Tot_OP_PHP","Tot_FC",$A47,"Top5","Top6","Reported","Top8")</f>
        <v>0</v>
      </c>
      <c r="F47" s="68">
        <f>_xll.OneStreamExcelAddIn.XFFunctions.XFGetCell("True","Consol", $B47,"Tot_Entity","USD",F$2,F$3,F$4,$C47,"TopFlow","Top","Top","Tot_Los","Tot_OP_PHP","Tot_FC",$A47,"Top5","Top6","Reported","Top8")</f>
        <v>0</v>
      </c>
      <c r="G47" s="68">
        <f>_xll.OneStreamExcelAddIn.XFFunctions.XFGetCell("True","Consol", $B47,"Tot_Entity","USD",G$2,G$3,G$4,$C47,"TopFlow","Top","Top","Tot_Los","Tot_OP_PHP","Tot_FC",$A47,"Top5","Top6","Reported","Top8")</f>
        <v>0</v>
      </c>
      <c r="H47" s="68">
        <f>_xll.OneStreamExcelAddIn.XFFunctions.XFGetCell("True","Consol", $B47,"Tot_Entity","USD",H$2,H$3,H$4,$C47,"TopFlow","Top","Top","Tot_Los","Tot_OP_PHP","Tot_FC",$A47,"Top5","Top6","Reported","Top8")</f>
        <v>0</v>
      </c>
      <c r="I47" s="68">
        <f>_xll.OneStreamExcelAddIn.XFFunctions.XFGetCell("True","Consol", $B47,"Tot_Entity","USD",I$2,I$3,I$4,$C47,"TopFlow","Top","Top","Tot_Los","Tot_OP_PHP","Tot_FC",$A47,"Top5","Top6","Reported","Top8")</f>
        <v>0</v>
      </c>
      <c r="J47" s="68">
        <f>_xll.OneStreamExcelAddIn.XFFunctions.XFGetCell("True","Consol", $B47,"Tot_Entity","USD",J$2,J$3,J$4,$C47,"TopFlow","Top","Top","Tot_Los","Tot_OP_PHP","Tot_FC",$A47,"Top5","Top6","Reported","Top8")</f>
        <v>0</v>
      </c>
      <c r="K47" s="68">
        <f>_xll.OneStreamExcelAddIn.XFFunctions.XFGetCell("True","Consol", $B47,"Tot_Entity","USD",K$2,K$3,K$4,$C47,"TopFlow","Top","Top","Tot_Los","Tot_OP_PHP","Tot_FC",$A47,"Top5","Top6","Reported","Top8")</f>
        <v>0</v>
      </c>
      <c r="L47" s="68">
        <f>_xll.OneStreamExcelAddIn.XFFunctions.XFGetCell("True","Consol", $B47,"Tot_Entity","USD",L$2,L$3,L$4,$C47,"TopFlow","Top","Top","Tot_Los","Tot_OP_PHP","Tot_FC",$A47,"Top5","Top6","Reported","Top8")</f>
        <v>0</v>
      </c>
      <c r="M47" s="68">
        <f>_xll.OneStreamExcelAddIn.XFFunctions.XFGetCell("True","Consol", $B47,"Tot_Entity","USD",M$2,M$3,M$4,$C47,"TopFlow","Top","Top","Tot_Los","Tot_OP_PHP","Tot_FC",$A47,"Top5","Top6","Reported","Top8")</f>
        <v>0</v>
      </c>
      <c r="N47" s="68">
        <f>_xll.OneStreamExcelAddIn.XFFunctions.XFGetCell("True","Consol", $B47,"Tot_Entity","USD",N$2,N$3,N$4,$C47,"TopFlow","Top","Top","Tot_Los","Tot_OP_PHP","Tot_FC",$A47,"Top5","Top6","Reported","Top8")</f>
        <v>0</v>
      </c>
      <c r="O47" s="186">
        <f>_xll.OneStreamExcelAddIn.XFFunctions.XFGetCell("True","Consol", $B47,"Tot_Entity","USD",O$2,O$3,O$4,$C47,"TopFlow","Top","Top","Tot_Los","Tot_OP_PHP","Tot_FC",$A47,"Top5","Top6","Reported","Top8")</f>
        <v>0</v>
      </c>
      <c r="P47" s="15">
        <f>_xll.OneStreamExcelAddIn.XFFunctions.XFGetCell("True","Consol", $B47,"Tot_Entity","USD",P$2,P$3,P$4,$C47,"TopFlow","Top","Top","Tot_Los","Tot_OP_PHP","Tot_FC",$A47,"Top5","Top6","Reported","Top8")</f>
        <v>0</v>
      </c>
      <c r="Q47" s="69">
        <f>_xll.OneStreamExcelAddIn.XFFunctions.XFGetCell("True","Consol", $B47,"Tot_Entity","USD",Q$2,Q$3,Q$4,$C47,"TopFlow","Top","Top","Tot_Los","Tot_OP_PHP","Tot_FC",$A47,"Top5","Top6","Reported","Top8")</f>
        <v>0</v>
      </c>
    </row>
    <row r="48" spans="1:17" x14ac:dyDescent="0.2">
      <c r="A48" s="16" t="str">
        <f>+$A$8</f>
        <v>Acute_DIV1</v>
      </c>
      <c r="B48" s="15">
        <f>+$B$8</f>
        <v>127</v>
      </c>
      <c r="C48" s="14" t="s">
        <v>137</v>
      </c>
      <c r="D48" s="14" t="s">
        <v>140</v>
      </c>
      <c r="E48" s="68">
        <f>_xll.OneStreamExcelAddIn.XFFunctions.XFGetCell("True","Consol", $B48,"Tot_Entity","USD",E$2,E$3,E$4,$C48,"TopFlow","Top","Top","Tot_Los","Tot_OP_IOP","Tot_FC",$A48,"Top5","Top6","Reported","Top8")</f>
        <v>0</v>
      </c>
      <c r="F48" s="68">
        <f>_xll.OneStreamExcelAddIn.XFFunctions.XFGetCell("True","Consol", $B48,"Tot_Entity","USD",F$2,F$3,F$4,$C48,"TopFlow","Top","Top","Tot_Los","Tot_OP_IOP","Tot_FC",$A48,"Top5","Top6","Reported","Top8")</f>
        <v>0</v>
      </c>
      <c r="G48" s="68">
        <f>_xll.OneStreamExcelAddIn.XFFunctions.XFGetCell("True","Consol", $B48,"Tot_Entity","USD",G$2,G$3,G$4,$C48,"TopFlow","Top","Top","Tot_Los","Tot_OP_IOP","Tot_FC",$A48,"Top5","Top6","Reported","Top8")</f>
        <v>0</v>
      </c>
      <c r="H48" s="68">
        <f>_xll.OneStreamExcelAddIn.XFFunctions.XFGetCell("True","Consol", $B48,"Tot_Entity","USD",H$2,H$3,H$4,$C48,"TopFlow","Top","Top","Tot_Los","Tot_OP_IOP","Tot_FC",$A48,"Top5","Top6","Reported","Top8")</f>
        <v>0</v>
      </c>
      <c r="I48" s="68">
        <f>_xll.OneStreamExcelAddIn.XFFunctions.XFGetCell("True","Consol", $B48,"Tot_Entity","USD",I$2,I$3,I$4,$C48,"TopFlow","Top","Top","Tot_Los","Tot_OP_IOP","Tot_FC",$A48,"Top5","Top6","Reported","Top8")</f>
        <v>0</v>
      </c>
      <c r="J48" s="68">
        <f>_xll.OneStreamExcelAddIn.XFFunctions.XFGetCell("True","Consol", $B48,"Tot_Entity","USD",J$2,J$3,J$4,$C48,"TopFlow","Top","Top","Tot_Los","Tot_OP_IOP","Tot_FC",$A48,"Top5","Top6","Reported","Top8")</f>
        <v>0</v>
      </c>
      <c r="K48" s="68">
        <f>_xll.OneStreamExcelAddIn.XFFunctions.XFGetCell("True","Consol", $B48,"Tot_Entity","USD",K$2,K$3,K$4,$C48,"TopFlow","Top","Top","Tot_Los","Tot_OP_IOP","Tot_FC",$A48,"Top5","Top6","Reported","Top8")</f>
        <v>0</v>
      </c>
      <c r="L48" s="68">
        <f>_xll.OneStreamExcelAddIn.XFFunctions.XFGetCell("True","Consol", $B48,"Tot_Entity","USD",L$2,L$3,L$4,$C48,"TopFlow","Top","Top","Tot_Los","Tot_OP_IOP","Tot_FC",$A48,"Top5","Top6","Reported","Top8")</f>
        <v>0</v>
      </c>
      <c r="M48" s="68">
        <f>_xll.OneStreamExcelAddIn.XFFunctions.XFGetCell("True","Consol", $B48,"Tot_Entity","USD",M$2,M$3,M$4,$C48,"TopFlow","Top","Top","Tot_Los","Tot_OP_IOP","Tot_FC",$A48,"Top5","Top6","Reported","Top8")</f>
        <v>0</v>
      </c>
      <c r="N48" s="68">
        <f>_xll.OneStreamExcelAddIn.XFFunctions.XFGetCell("True","Consol", $B48,"Tot_Entity","USD",N$2,N$3,N$4,$C48,"TopFlow","Top","Top","Tot_Los","Tot_OP_IOP","Tot_FC",$A48,"Top5","Top6","Reported","Top8")</f>
        <v>0</v>
      </c>
      <c r="O48" s="186">
        <f>_xll.OneStreamExcelAddIn.XFFunctions.XFGetCell("True","Consol", $B48,"Tot_Entity","USD",O$2,O$3,O$4,$C48,"TopFlow","Top","Top","Tot_Los","Tot_OP_IOP","Tot_FC",$A48,"Top5","Top6","Reported","Top8")</f>
        <v>0</v>
      </c>
      <c r="P48" s="15">
        <f>_xll.OneStreamExcelAddIn.XFFunctions.XFGetCell("True","Consol", $B48,"Tot_Entity","USD",P$2,P$3,P$4,$C48,"TopFlow","Top","Top","Tot_Los","Tot_OP_IOP","Tot_FC",$A48,"Top5","Top6","Reported","Top8")</f>
        <v>0</v>
      </c>
      <c r="Q48" s="69">
        <f>_xll.OneStreamExcelAddIn.XFFunctions.XFGetCell("True","Consol", $B48,"Tot_Entity","USD",Q$2,Q$3,Q$4,$C48,"TopFlow","Top","Top","Tot_Los","Tot_OP_IOP","Tot_FC",$A48,"Top5","Top6","Reported","Top8")</f>
        <v>0</v>
      </c>
    </row>
    <row r="49" spans="1:17" x14ac:dyDescent="0.2">
      <c r="A49" s="16" t="str">
        <f>+$A$8</f>
        <v>Acute_DIV1</v>
      </c>
      <c r="B49" s="15">
        <f>+$B$8</f>
        <v>127</v>
      </c>
      <c r="C49" s="14" t="s">
        <v>137</v>
      </c>
      <c r="D49" s="14" t="s">
        <v>141</v>
      </c>
      <c r="E49" s="68">
        <f>_xll.OneStreamExcelAddIn.XFFunctions.XFGetCell("True","Consol", $B49,"Tot_Entity","USD",E$2,E$3,E$4,$C49,"TopFlow","Top","Top","Tot_Los","Oth_OP_Dir_Patient_Act","Tot_FC",$A49,"Top5","Top6","Reported","Top8")</f>
        <v>0</v>
      </c>
      <c r="F49" s="68">
        <f>_xll.OneStreamExcelAddIn.XFFunctions.XFGetCell("True","Consol", $B49,"Tot_Entity","USD",F$2,F$3,F$4,$C49,"TopFlow","Top","Top","Tot_Los","Oth_OP_Dir_Patient_Act","Tot_FC",$A49,"Top5","Top6","Reported","Top8")</f>
        <v>0</v>
      </c>
      <c r="G49" s="68">
        <f>_xll.OneStreamExcelAddIn.XFFunctions.XFGetCell("True","Consol", $B49,"Tot_Entity","USD",G$2,G$3,G$4,$C49,"TopFlow","Top","Top","Tot_Los","Oth_OP_Dir_Patient_Act","Tot_FC",$A49,"Top5","Top6","Reported","Top8")</f>
        <v>0</v>
      </c>
      <c r="H49" s="68">
        <f>_xll.OneStreamExcelAddIn.XFFunctions.XFGetCell("True","Consol", $B49,"Tot_Entity","USD",H$2,H$3,H$4,$C49,"TopFlow","Top","Top","Tot_Los","Oth_OP_Dir_Patient_Act","Tot_FC",$A49,"Top5","Top6","Reported","Top8")</f>
        <v>0</v>
      </c>
      <c r="I49" s="68">
        <f>_xll.OneStreamExcelAddIn.XFFunctions.XFGetCell("True","Consol", $B49,"Tot_Entity","USD",I$2,I$3,I$4,$C49,"TopFlow","Top","Top","Tot_Los","Oth_OP_Dir_Patient_Act","Tot_FC",$A49,"Top5","Top6","Reported","Top8")</f>
        <v>0</v>
      </c>
      <c r="J49" s="68">
        <f>_xll.OneStreamExcelAddIn.XFFunctions.XFGetCell("True","Consol", $B49,"Tot_Entity","USD",J$2,J$3,J$4,$C49,"TopFlow","Top","Top","Tot_Los","Oth_OP_Dir_Patient_Act","Tot_FC",$A49,"Top5","Top6","Reported","Top8")</f>
        <v>0</v>
      </c>
      <c r="K49" s="68">
        <f>_xll.OneStreamExcelAddIn.XFFunctions.XFGetCell("True","Consol", $B49,"Tot_Entity","USD",K$2,K$3,K$4,$C49,"TopFlow","Top","Top","Tot_Los","Oth_OP_Dir_Patient_Act","Tot_FC",$A49,"Top5","Top6","Reported","Top8")</f>
        <v>0</v>
      </c>
      <c r="L49" s="68">
        <f>_xll.OneStreamExcelAddIn.XFFunctions.XFGetCell("True","Consol", $B49,"Tot_Entity","USD",L$2,L$3,L$4,$C49,"TopFlow","Top","Top","Tot_Los","Oth_OP_Dir_Patient_Act","Tot_FC",$A49,"Top5","Top6","Reported","Top8")</f>
        <v>0</v>
      </c>
      <c r="M49" s="68">
        <f>_xll.OneStreamExcelAddIn.XFFunctions.XFGetCell("True","Consol", $B49,"Tot_Entity","USD",M$2,M$3,M$4,$C49,"TopFlow","Top","Top","Tot_Los","Oth_OP_Dir_Patient_Act","Tot_FC",$A49,"Top5","Top6","Reported","Top8")</f>
        <v>0</v>
      </c>
      <c r="N49" s="68">
        <f>_xll.OneStreamExcelAddIn.XFFunctions.XFGetCell("True","Consol", $B49,"Tot_Entity","USD",N$2,N$3,N$4,$C49,"TopFlow","Top","Top","Tot_Los","Oth_OP_Dir_Patient_Act","Tot_FC",$A49,"Top5","Top6","Reported","Top8")</f>
        <v>0</v>
      </c>
      <c r="O49" s="186">
        <f>_xll.OneStreamExcelAddIn.XFFunctions.XFGetCell("True","Consol", $B49,"Tot_Entity","USD",O$2,O$3,O$4,$C49,"TopFlow","Top","Top","Tot_Los","Oth_OP_Dir_Patient_Act","Tot_FC",$A49,"Top5","Top6","Reported","Top8")</f>
        <v>0</v>
      </c>
      <c r="P49" s="15">
        <f>_xll.OneStreamExcelAddIn.XFFunctions.XFGetCell("True","Consol", $B49,"Tot_Entity","USD",P$2,P$3,P$4,$C49,"TopFlow","Top","Top","Tot_Los","Oth_OP_Dir_Patient_Act","Tot_FC",$A49,"Top5","Top6","Reported","Top8")</f>
        <v>0</v>
      </c>
      <c r="Q49" s="69">
        <f>_xll.OneStreamExcelAddIn.XFFunctions.XFGetCell("True","Consol", $B49,"Tot_Entity","USD",Q$2,Q$3,Q$4,$C49,"TopFlow","Top","Top","Tot_Los","Oth_OP_Dir_Patient_Act","Tot_FC",$A49,"Top5","Top6","Reported","Top8")</f>
        <v>0</v>
      </c>
    </row>
    <row r="50" spans="1:17" x14ac:dyDescent="0.2">
      <c r="A50" s="16" t="str">
        <f>+$A$8</f>
        <v>Acute_DIV1</v>
      </c>
      <c r="B50" s="15">
        <f>+$B$8</f>
        <v>127</v>
      </c>
      <c r="C50" s="14" t="s">
        <v>137</v>
      </c>
      <c r="D50" s="14" t="s">
        <v>142</v>
      </c>
      <c r="E50" s="68">
        <f>_xll.OneStreamExcelAddIn.XFFunctions.XFGetCell("True","Consol", $B50,"Tot_Entity","USD",E$2,E$3,E$4,$C50,"TopFlow","Top","Top","Tot_Los","Tot_OP_ECT_SLE","Tot_FC",$A50,"Top5","Top6","Reported","Top8")</f>
        <v>0</v>
      </c>
      <c r="F50" s="68">
        <f>_xll.OneStreamExcelAddIn.XFFunctions.XFGetCell("True","Consol", $B50,"Tot_Entity","USD",F$2,F$3,F$4,$C50,"TopFlow","Top","Top","Tot_Los","Tot_OP_ECT_SLE","Tot_FC",$A50,"Top5","Top6","Reported","Top8")</f>
        <v>0</v>
      </c>
      <c r="G50" s="68">
        <f>_xll.OneStreamExcelAddIn.XFFunctions.XFGetCell("True","Consol", $B50,"Tot_Entity","USD",G$2,G$3,G$4,$C50,"TopFlow","Top","Top","Tot_Los","Tot_OP_ECT_SLE","Tot_FC",$A50,"Top5","Top6","Reported","Top8")</f>
        <v>0</v>
      </c>
      <c r="H50" s="68">
        <f>_xll.OneStreamExcelAddIn.XFFunctions.XFGetCell("True","Consol", $B50,"Tot_Entity","USD",H$2,H$3,H$4,$C50,"TopFlow","Top","Top","Tot_Los","Tot_OP_ECT_SLE","Tot_FC",$A50,"Top5","Top6","Reported","Top8")</f>
        <v>0</v>
      </c>
      <c r="I50" s="68">
        <f>_xll.OneStreamExcelAddIn.XFFunctions.XFGetCell("True","Consol", $B50,"Tot_Entity","USD",I$2,I$3,I$4,$C50,"TopFlow","Top","Top","Tot_Los","Tot_OP_ECT_SLE","Tot_FC",$A50,"Top5","Top6","Reported","Top8")</f>
        <v>0</v>
      </c>
      <c r="J50" s="68">
        <f>_xll.OneStreamExcelAddIn.XFFunctions.XFGetCell("True","Consol", $B50,"Tot_Entity","USD",J$2,J$3,J$4,$C50,"TopFlow","Top","Top","Tot_Los","Tot_OP_ECT_SLE","Tot_FC",$A50,"Top5","Top6","Reported","Top8")</f>
        <v>0</v>
      </c>
      <c r="K50" s="68">
        <f>_xll.OneStreamExcelAddIn.XFFunctions.XFGetCell("True","Consol", $B50,"Tot_Entity","USD",K$2,K$3,K$4,$C50,"TopFlow","Top","Top","Tot_Los","Tot_OP_ECT_SLE","Tot_FC",$A50,"Top5","Top6","Reported","Top8")</f>
        <v>0</v>
      </c>
      <c r="L50" s="68">
        <f>_xll.OneStreamExcelAddIn.XFFunctions.XFGetCell("True","Consol", $B50,"Tot_Entity","USD",L$2,L$3,L$4,$C50,"TopFlow","Top","Top","Tot_Los","Tot_OP_ECT_SLE","Tot_FC",$A50,"Top5","Top6","Reported","Top8")</f>
        <v>0</v>
      </c>
      <c r="M50" s="68">
        <f>_xll.OneStreamExcelAddIn.XFFunctions.XFGetCell("True","Consol", $B50,"Tot_Entity","USD",M$2,M$3,M$4,$C50,"TopFlow","Top","Top","Tot_Los","Tot_OP_ECT_SLE","Tot_FC",$A50,"Top5","Top6","Reported","Top8")</f>
        <v>0</v>
      </c>
      <c r="N50" s="68">
        <f>_xll.OneStreamExcelAddIn.XFFunctions.XFGetCell("True","Consol", $B50,"Tot_Entity","USD",N$2,N$3,N$4,$C50,"TopFlow","Top","Top","Tot_Los","Tot_OP_ECT_SLE","Tot_FC",$A50,"Top5","Top6","Reported","Top8")</f>
        <v>0</v>
      </c>
      <c r="O50" s="186">
        <f>_xll.OneStreamExcelAddIn.XFFunctions.XFGetCell("True","Consol", $B50,"Tot_Entity","USD",O$2,O$3,O$4,$C50,"TopFlow","Top","Top","Tot_Los","Tot_OP_ECT_SLE","Tot_FC",$A50,"Top5","Top6","Reported","Top8")</f>
        <v>0</v>
      </c>
      <c r="P50" s="15">
        <f>_xll.OneStreamExcelAddIn.XFFunctions.XFGetCell("True","Consol", $B50,"Tot_Entity","USD",P$2,P$3,P$4,$C50,"TopFlow","Top","Top","Tot_Los","Tot_OP_ECT_SLE","Tot_FC",$A50,"Top5","Top6","Reported","Top8")</f>
        <v>0</v>
      </c>
      <c r="Q50" s="69">
        <f>_xll.OneStreamExcelAddIn.XFFunctions.XFGetCell("True","Consol", $B50,"Tot_Entity","USD",Q$2,Q$3,Q$4,$C50,"TopFlow","Top","Top","Tot_Los","Tot_OP_ECT_SLE","Tot_FC",$A50,"Top5","Top6","Reported","Top8")</f>
        <v>0</v>
      </c>
    </row>
    <row r="51" spans="1:17" hidden="1" outlineLevel="1" x14ac:dyDescent="0.2">
      <c r="A51" s="20"/>
      <c r="B51" s="21"/>
      <c r="E51" s="74" t="b">
        <f>E45=SUM(E47:E50)</f>
        <v>1</v>
      </c>
      <c r="F51" s="74" t="b">
        <f t="shared" ref="F51:Q51" si="6">F45=SUM(F47:F50)</f>
        <v>1</v>
      </c>
      <c r="G51" s="74" t="b">
        <f t="shared" si="6"/>
        <v>1</v>
      </c>
      <c r="H51" s="74" t="b">
        <f t="shared" si="6"/>
        <v>1</v>
      </c>
      <c r="I51" s="74" t="b">
        <f t="shared" si="6"/>
        <v>1</v>
      </c>
      <c r="J51" s="74" t="b">
        <f t="shared" si="6"/>
        <v>1</v>
      </c>
      <c r="K51" s="74" t="b">
        <f t="shared" si="6"/>
        <v>1</v>
      </c>
      <c r="L51" s="74" t="b">
        <f t="shared" si="6"/>
        <v>1</v>
      </c>
      <c r="M51" s="74" t="b">
        <f t="shared" si="6"/>
        <v>1</v>
      </c>
      <c r="N51" s="74" t="b">
        <f t="shared" si="6"/>
        <v>1</v>
      </c>
      <c r="O51" s="189" t="b">
        <f t="shared" si="6"/>
        <v>1</v>
      </c>
      <c r="P51" s="21" t="b">
        <f t="shared" si="6"/>
        <v>1</v>
      </c>
      <c r="Q51" s="75" t="b">
        <f t="shared" si="6"/>
        <v>1</v>
      </c>
    </row>
    <row r="52" spans="1:17" collapsed="1" x14ac:dyDescent="0.2">
      <c r="B52" s="2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185"/>
    </row>
    <row r="53" spans="1:17" ht="5.0999999999999996" customHeight="1" x14ac:dyDescent="0.2">
      <c r="A53" s="4"/>
      <c r="B53" s="176"/>
      <c r="C53" s="177"/>
      <c r="D53" s="177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85"/>
      <c r="P53" s="178"/>
      <c r="Q53" s="179"/>
    </row>
    <row r="54" spans="1:17" x14ac:dyDescent="0.2">
      <c r="B54" s="2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185"/>
    </row>
    <row r="55" spans="1:17" x14ac:dyDescent="0.2">
      <c r="A55" s="16" t="str">
        <f>+$A$8</f>
        <v>Acute_DIV1</v>
      </c>
      <c r="B55" s="15">
        <f>+$B$8</f>
        <v>127</v>
      </c>
      <c r="C55" s="14" t="s">
        <v>144</v>
      </c>
      <c r="D55" s="14" t="s">
        <v>145</v>
      </c>
      <c r="E55" s="68">
        <f>_xll.OneStreamExcelAddIn.XFFunctions.XFGetCell("True","Consol", $B55,"Tot_Entity","USD",E$2,E$3,E$4,$C55,"TopFlow","Top","Top","Tot_Los","TOT_Dept_WO_Addbacks","Tot_FC",$A55,"Top5","Top6","Reported","Top8")</f>
        <v>32571155.229999997</v>
      </c>
      <c r="F55" s="68">
        <f>_xll.OneStreamExcelAddIn.XFFunctions.XFGetCell("True","Consol", $B55,"Tot_Entity","USD",F$2,F$3,F$4,$C55,"TopFlow","Top","Top","Tot_Los","TOT_Dept_WO_Addbacks","Tot_FC",$A55,"Top5","Top6","Reported","Top8")</f>
        <v>5704763.3399999999</v>
      </c>
      <c r="G55" s="68">
        <f>_xll.OneStreamExcelAddIn.XFFunctions.XFGetCell("True","Consol", $B55,"Tot_Entity","USD",G$2,G$3,G$4,$C55,"TopFlow","Top","Top","Tot_Los","TOT_Dept_WO_Addbacks","Tot_FC",$A55,"Top5","Top6","Reported","Top8")</f>
        <v>5454924.0999999996</v>
      </c>
      <c r="H55" s="68">
        <f>_xll.OneStreamExcelAddIn.XFFunctions.XFGetCell("True","Consol", $B55,"Tot_Entity","USD",H$2,H$3,H$4,$C55,"TopFlow","Top","Top","Tot_Los","TOT_Dept_WO_Addbacks","Tot_FC",$A55,"Top5","Top6","Reported","Top8")</f>
        <v>3866458.04</v>
      </c>
      <c r="I55" s="68">
        <f>_xll.OneStreamExcelAddIn.XFFunctions.XFGetCell("True","Consol", $B55,"Tot_Entity","USD",I$2,I$3,I$4,$C55,"TopFlow","Top","Top","Tot_Los","TOT_Dept_WO_Addbacks","Tot_FC",$A55,"Top5","Top6","Reported","Top8")</f>
        <v>5439477.6099999994</v>
      </c>
      <c r="J55" s="68">
        <f>_xll.OneStreamExcelAddIn.XFFunctions.XFGetCell("True","Consol", $B55,"Tot_Entity","USD",J$2,J$3,J$4,$C55,"TopFlow","Top","Top","Tot_Los","TOT_Dept_WO_Addbacks","Tot_FC",$A55,"Top5","Top6","Reported","Top8")</f>
        <v>5063588.43</v>
      </c>
      <c r="K55" s="68">
        <f>_xll.OneStreamExcelAddIn.XFFunctions.XFGetCell("True","Consol", $B55,"Tot_Entity","USD",K$2,K$3,K$4,$C55,"TopFlow","Top","Top","Tot_Los","TOT_Dept_WO_Addbacks","Tot_FC",$A55,"Top5","Top6","Reported","Top8")</f>
        <v>5218572.92</v>
      </c>
      <c r="L55" s="68">
        <f>_xll.OneStreamExcelAddIn.XFFunctions.XFGetCell("True","Consol", $B55,"Tot_Entity","USD",L$2,L$3,L$4,$C55,"TopFlow","Top","Top","Tot_Los","TOT_Dept_WO_Addbacks","Tot_FC",$A55,"Top5","Top6","Reported","Top8")</f>
        <v>5501712.5799999991</v>
      </c>
      <c r="M55" s="68">
        <f>_xll.OneStreamExcelAddIn.XFFunctions.XFGetCell("True","Consol", $B55,"Tot_Entity","USD",M$2,M$3,M$4,$C55,"TopFlow","Top","Top","Tot_Los","TOT_Dept_WO_Addbacks","Tot_FC",$A55,"Top5","Top6","Reported","Top8")</f>
        <v>5806801.6799999997</v>
      </c>
      <c r="N55" s="68">
        <f>_xll.OneStreamExcelAddIn.XFFunctions.XFGetCell("True","Consol", $B55,"Tot_Entity","USD",N$2,N$3,N$4,$C55,"TopFlow","Top","Top","Tot_Los","TOT_Dept_WO_Addbacks","Tot_FC",$A55,"Top5","Top6","Reported","Top8")</f>
        <v>3435691.18</v>
      </c>
      <c r="O55" s="186">
        <f>_xll.OneStreamExcelAddIn.XFFunctions.XFGetCell("True","Consol", $B55,"Tot_Entity","USD",O$2,O$3,O$4,$C55,"TopFlow","Top","Top","Tot_Los","TOT_Dept_WO_Addbacks","Tot_FC",$A55,"Top5","Top6","Reported","Top8")</f>
        <v>5911901.2999999998</v>
      </c>
      <c r="P55" s="15">
        <f>_xll.OneStreamExcelAddIn.XFFunctions.XFGetCell("True","Consol", $B55,"Tot_Entity","USD",P$2,P$3,P$4,$C55,"TopFlow","Top","Top","Tot_Los","TOT_Dept_WO_Addbacks","Tot_FC",$A55,"Top5","Top6","Reported","Top8")</f>
        <v>5703208.5288831275</v>
      </c>
      <c r="Q55" s="69">
        <f>_xll.OneStreamExcelAddIn.XFFunctions.XFGetCell("True","Consol", $B55,"Tot_Entity","USD",Q$2,Q$3,Q$4,$C55,"TopFlow","Top","Top","Tot_Los","TOT_Dept_WO_Addbacks","Tot_FC",$A55,"Top5","Top6","Reported","Top8")</f>
        <v>22995023.918075956</v>
      </c>
    </row>
    <row r="56" spans="1:17" x14ac:dyDescent="0.2">
      <c r="B56" s="2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185"/>
    </row>
    <row r="57" spans="1:17" x14ac:dyDescent="0.2">
      <c r="A57" s="16" t="str">
        <f>+$A$8</f>
        <v>Acute_DIV1</v>
      </c>
      <c r="B57" s="15">
        <f>+$B$8</f>
        <v>127</v>
      </c>
      <c r="C57" s="14" t="s">
        <v>144</v>
      </c>
      <c r="D57" s="14" t="s">
        <v>148</v>
      </c>
      <c r="E57" s="68">
        <f>_xll.OneStreamExcelAddIn.XFFunctions.XFGetCell("True","Consol", $B57,"Tot_Entity","USD",E$2,E$3,E$4,$C57,"TopFlow","Top","Top","Tot_Los","TOT_Dept_WO_Addbacks","TOT_Medicare",$A57,"Top5","Top6","Reported","Top8")</f>
        <v>738297.66</v>
      </c>
      <c r="F57" s="68">
        <f>_xll.OneStreamExcelAddIn.XFFunctions.XFGetCell("True","Consol", $B57,"Tot_Entity","USD",F$2,F$3,F$4,$C57,"TopFlow","Top","Top","Tot_Los","TOT_Dept_WO_Addbacks","TOT_Medicare",$A57,"Top5","Top6","Reported","Top8")</f>
        <v>361182.4</v>
      </c>
      <c r="G57" s="68">
        <f>_xll.OneStreamExcelAddIn.XFFunctions.XFGetCell("True","Consol", $B57,"Tot_Entity","USD",G$2,G$3,G$4,$C57,"TopFlow","Top","Top","Tot_Los","TOT_Dept_WO_Addbacks","TOT_Medicare",$A57,"Top5","Top6","Reported","Top8")</f>
        <v>61212.77</v>
      </c>
      <c r="H57" s="68">
        <f>_xll.OneStreamExcelAddIn.XFFunctions.XFGetCell("True","Consol", $B57,"Tot_Entity","USD",H$2,H$3,H$4,$C57,"TopFlow","Top","Top","Tot_Los","TOT_Dept_WO_Addbacks","TOT_Medicare",$A57,"Top5","Top6","Reported","Top8")</f>
        <v>236756.3</v>
      </c>
      <c r="I57" s="68">
        <f>_xll.OneStreamExcelAddIn.XFFunctions.XFGetCell("True","Consol", $B57,"Tot_Entity","USD",I$2,I$3,I$4,$C57,"TopFlow","Top","Top","Tot_Los","TOT_Dept_WO_Addbacks","TOT_Medicare",$A57,"Top5","Top6","Reported","Top8")</f>
        <v>250602.17</v>
      </c>
      <c r="J57" s="68">
        <f>_xll.OneStreamExcelAddIn.XFFunctions.XFGetCell("True","Consol", $B57,"Tot_Entity","USD",J$2,J$3,J$4,$C57,"TopFlow","Top","Top","Tot_Los","TOT_Dept_WO_Addbacks","TOT_Medicare",$A57,"Top5","Top6","Reported","Top8")</f>
        <v>328293.2</v>
      </c>
      <c r="K57" s="68">
        <f>_xll.OneStreamExcelAddIn.XFFunctions.XFGetCell("True","Consol", $B57,"Tot_Entity","USD",K$2,K$3,K$4,$C57,"TopFlow","Top","Top","Tot_Los","TOT_Dept_WO_Addbacks","TOT_Medicare",$A57,"Top5","Top6","Reported","Top8")</f>
        <v>422739.32</v>
      </c>
      <c r="L57" s="68">
        <f>_xll.OneStreamExcelAddIn.XFFunctions.XFGetCell("True","Consol", $B57,"Tot_Entity","USD",L$2,L$3,L$4,$C57,"TopFlow","Top","Top","Tot_Los","TOT_Dept_WO_Addbacks","TOT_Medicare",$A57,"Top5","Top6","Reported","Top8")</f>
        <v>166482.23999999999</v>
      </c>
      <c r="M57" s="68">
        <f>_xll.OneStreamExcelAddIn.XFFunctions.XFGetCell("True","Consol", $B57,"Tot_Entity","USD",M$2,M$3,M$4,$C57,"TopFlow","Top","Top","Tot_Los","TOT_Dept_WO_Addbacks","TOT_Medicare",$A57,"Top5","Top6","Reported","Top8")</f>
        <v>158986.21</v>
      </c>
      <c r="N57" s="68">
        <f>_xll.OneStreamExcelAddIn.XFFunctions.XFGetCell("True","Consol", $B57,"Tot_Entity","USD",N$2,N$3,N$4,$C57,"TopFlow","Top","Top","Tot_Los","TOT_Dept_WO_Addbacks","TOT_Medicare",$A57,"Top5","Top6","Reported","Top8")</f>
        <v>222122.69</v>
      </c>
      <c r="O57" s="186">
        <f>_xll.OneStreamExcelAddIn.XFFunctions.XFGetCell("True","Consol", $B57,"Tot_Entity","USD",O$2,O$3,O$4,$C57,"TopFlow","Top","Top","Tot_Los","TOT_Dept_WO_Addbacks","TOT_Medicare",$A57,"Top5","Top6","Reported","Top8")</f>
        <v>392664.91</v>
      </c>
      <c r="P57" s="15">
        <f>_xll.OneStreamExcelAddIn.XFFunctions.XFGetCell("True","Consol", $B57,"Tot_Entity","USD",P$2,P$3,P$4,$C57,"TopFlow","Top","Top","Tot_Los","TOT_Dept_WO_Addbacks","TOT_Medicare",$A57,"Top5","Top6","Reported","Top8")</f>
        <v>237017.42597383299</v>
      </c>
      <c r="Q57" s="69">
        <f>_xll.OneStreamExcelAddIn.XFFunctions.XFGetCell("True","Consol", $B57,"Tot_Entity","USD",Q$2,Q$3,Q$4,$C57,"TopFlow","Top","Top","Tot_Los","TOT_Dept_WO_Addbacks","TOT_Medicare",$A57,"Top5","Top6","Reported","Top8")</f>
        <v>1160902.9804305241</v>
      </c>
    </row>
    <row r="58" spans="1:17" x14ac:dyDescent="0.2">
      <c r="A58" s="16" t="str">
        <f>+$A$8</f>
        <v>Acute_DIV1</v>
      </c>
      <c r="B58" s="15">
        <f>+$B$8</f>
        <v>127</v>
      </c>
      <c r="C58" s="14" t="s">
        <v>144</v>
      </c>
      <c r="D58" s="14" t="s">
        <v>149</v>
      </c>
      <c r="E58" s="68">
        <f>_xll.OneStreamExcelAddIn.XFFunctions.XFGetCell("True","Consol", $B58,"Tot_Entity","USD",E$2,E$3,E$4,$C58,"TopFlow","Top","Top","Tot_Los","TOT_Dept_WO_Addbacks","TOT_Medicaid",$A58,"Top5","Top6","Reported","Top8")</f>
        <v>31122357.379999999</v>
      </c>
      <c r="F58" s="68">
        <f>_xll.OneStreamExcelAddIn.XFFunctions.XFGetCell("True","Consol", $B58,"Tot_Entity","USD",F$2,F$3,F$4,$C58,"TopFlow","Top","Top","Tot_Los","TOT_Dept_WO_Addbacks","TOT_Medicaid",$A58,"Top5","Top6","Reported","Top8")</f>
        <v>4584998.3499999996</v>
      </c>
      <c r="G58" s="68">
        <f>_xll.OneStreamExcelAddIn.XFFunctions.XFGetCell("True","Consol", $B58,"Tot_Entity","USD",G$2,G$3,G$4,$C58,"TopFlow","Top","Top","Tot_Los","TOT_Dept_WO_Addbacks","TOT_Medicaid",$A58,"Top5","Top6","Reported","Top8")</f>
        <v>4809687.32</v>
      </c>
      <c r="H58" s="68">
        <f>_xll.OneStreamExcelAddIn.XFFunctions.XFGetCell("True","Consol", $B58,"Tot_Entity","USD",H$2,H$3,H$4,$C58,"TopFlow","Top","Top","Tot_Los","TOT_Dept_WO_Addbacks","TOT_Medicaid",$A58,"Top5","Top6","Reported","Top8")</f>
        <v>2812755.85</v>
      </c>
      <c r="I58" s="68">
        <f>_xll.OneStreamExcelAddIn.XFFunctions.XFGetCell("True","Consol", $B58,"Tot_Entity","USD",I$2,I$3,I$4,$C58,"TopFlow","Top","Top","Tot_Los","TOT_Dept_WO_Addbacks","TOT_Medicaid",$A58,"Top5","Top6","Reported","Top8")</f>
        <v>5219863.3099999996</v>
      </c>
      <c r="J58" s="68">
        <f>_xll.OneStreamExcelAddIn.XFFunctions.XFGetCell("True","Consol", $B58,"Tot_Entity","USD",J$2,J$3,J$4,$C58,"TopFlow","Top","Top","Tot_Los","TOT_Dept_WO_Addbacks","TOT_Medicaid",$A58,"Top5","Top6","Reported","Top8")</f>
        <v>4330078.5</v>
      </c>
      <c r="K58" s="68">
        <f>_xll.OneStreamExcelAddIn.XFFunctions.XFGetCell("True","Consol", $B58,"Tot_Entity","USD",K$2,K$3,K$4,$C58,"TopFlow","Top","Top","Tot_Los","TOT_Dept_WO_Addbacks","TOT_Medicaid",$A58,"Top5","Top6","Reported","Top8")</f>
        <v>4149720.82</v>
      </c>
      <c r="L58" s="68">
        <f>_xll.OneStreamExcelAddIn.XFFunctions.XFGetCell("True","Consol", $B58,"Tot_Entity","USD",L$2,L$3,L$4,$C58,"TopFlow","Top","Top","Tot_Los","TOT_Dept_WO_Addbacks","TOT_Medicaid",$A58,"Top5","Top6","Reported","Top8")</f>
        <v>4892452.54</v>
      </c>
      <c r="M58" s="68">
        <f>_xll.OneStreamExcelAddIn.XFFunctions.XFGetCell("True","Consol", $B58,"Tot_Entity","USD",M$2,M$3,M$4,$C58,"TopFlow","Top","Top","Tot_Los","TOT_Dept_WO_Addbacks","TOT_Medicaid",$A58,"Top5","Top6","Reported","Top8")</f>
        <v>4696625.82</v>
      </c>
      <c r="N58" s="68">
        <f>_xll.OneStreamExcelAddIn.XFFunctions.XFGetCell("True","Consol", $B58,"Tot_Entity","USD",N$2,N$3,N$4,$C58,"TopFlow","Top","Top","Tot_Los","TOT_Dept_WO_Addbacks","TOT_Medicaid",$A58,"Top5","Top6","Reported","Top8")</f>
        <v>2296380.5500000003</v>
      </c>
      <c r="O58" s="186">
        <f>_xll.OneStreamExcelAddIn.XFFunctions.XFGetCell("True","Consol", $B58,"Tot_Entity","USD",O$2,O$3,O$4,$C58,"TopFlow","Top","Top","Tot_Los","TOT_Dept_WO_Addbacks","TOT_Medicaid",$A58,"Top5","Top6","Reported","Top8")</f>
        <v>4582890.2</v>
      </c>
      <c r="P58" s="15">
        <f>_xll.OneStreamExcelAddIn.XFFunctions.XFGetCell("True","Consol", $B58,"Tot_Entity","USD",P$2,P$3,P$4,$C58,"TopFlow","Top","Top","Tot_Los","TOT_Dept_WO_Addbacks","TOT_Medicaid",$A58,"Top5","Top6","Reported","Top8")</f>
        <v>4636059.1571777416</v>
      </c>
      <c r="Q58" s="69">
        <f>_xll.OneStreamExcelAddIn.XFFunctions.XFGetCell("True","Consol", $B58,"Tot_Entity","USD",Q$2,Q$3,Q$4,$C58,"TopFlow","Top","Top","Tot_Los","TOT_Dept_WO_Addbacks","TOT_Medicaid",$A58,"Top5","Top6","Reported","Top8")</f>
        <v>18906846.327170663</v>
      </c>
    </row>
    <row r="59" spans="1:17" x14ac:dyDescent="0.2">
      <c r="A59" s="16" t="str">
        <f>+$A$8</f>
        <v>Acute_DIV1</v>
      </c>
      <c r="B59" s="15">
        <f>+$B$8</f>
        <v>127</v>
      </c>
      <c r="C59" s="14" t="s">
        <v>144</v>
      </c>
      <c r="D59" s="14" t="s">
        <v>150</v>
      </c>
      <c r="E59" s="68">
        <f>_xll.OneStreamExcelAddIn.XFFunctions.XFGetCell("True","Consol", $B59,"Tot_Entity","USD",E$2,E$3,E$4,$C59,"TopFlow","Top","Top","Tot_Los","TOT_Dept_WO_Addbacks","TOT_Comm",$A59,"Top5","Top6","Reported","Top8")</f>
        <v>591966.32999999996</v>
      </c>
      <c r="F59" s="68">
        <f>_xll.OneStreamExcelAddIn.XFFunctions.XFGetCell("True","Consol", $B59,"Tot_Entity","USD",F$2,F$3,F$4,$C59,"TopFlow","Top","Top","Tot_Los","TOT_Dept_WO_Addbacks","TOT_Comm",$A59,"Top5","Top6","Reported","Top8")</f>
        <v>725100.83</v>
      </c>
      <c r="G59" s="68">
        <f>_xll.OneStreamExcelAddIn.XFFunctions.XFGetCell("True","Consol", $B59,"Tot_Entity","USD",G$2,G$3,G$4,$C59,"TopFlow","Top","Top","Tot_Los","TOT_Dept_WO_Addbacks","TOT_Comm",$A59,"Top5","Top6","Reported","Top8")</f>
        <v>678974.32</v>
      </c>
      <c r="H59" s="68">
        <f>_xll.OneStreamExcelAddIn.XFFunctions.XFGetCell("True","Consol", $B59,"Tot_Entity","USD",H$2,H$3,H$4,$C59,"TopFlow","Top","Top","Tot_Los","TOT_Dept_WO_Addbacks","TOT_Comm",$A59,"Top5","Top6","Reported","Top8")</f>
        <v>-663150.54</v>
      </c>
      <c r="I59" s="68">
        <f>_xll.OneStreamExcelAddIn.XFFunctions.XFGetCell("True","Consol", $B59,"Tot_Entity","USD",I$2,I$3,I$4,$C59,"TopFlow","Top","Top","Tot_Los","TOT_Dept_WO_Addbacks","TOT_Comm",$A59,"Top5","Top6","Reported","Top8")</f>
        <v>985266.78</v>
      </c>
      <c r="J59" s="68">
        <f>_xll.OneStreamExcelAddIn.XFFunctions.XFGetCell("True","Consol", $B59,"Tot_Entity","USD",J$2,J$3,J$4,$C59,"TopFlow","Top","Top","Tot_Los","TOT_Dept_WO_Addbacks","TOT_Comm",$A59,"Top5","Top6","Reported","Top8")</f>
        <v>1196022.78</v>
      </c>
      <c r="K59" s="68">
        <f>_xll.OneStreamExcelAddIn.XFFunctions.XFGetCell("True","Consol", $B59,"Tot_Entity","USD",K$2,K$3,K$4,$C59,"TopFlow","Top","Top","Tot_Los","TOT_Dept_WO_Addbacks","TOT_Comm",$A59,"Top5","Top6","Reported","Top8")</f>
        <v>524151.26</v>
      </c>
      <c r="L59" s="68">
        <f>_xll.OneStreamExcelAddIn.XFFunctions.XFGetCell("True","Consol", $B59,"Tot_Entity","USD",L$2,L$3,L$4,$C59,"TopFlow","Top","Top","Tot_Los","TOT_Dept_WO_Addbacks","TOT_Comm",$A59,"Top5","Top6","Reported","Top8")</f>
        <v>594297.88</v>
      </c>
      <c r="M59" s="68">
        <f>_xll.OneStreamExcelAddIn.XFFunctions.XFGetCell("True","Consol", $B59,"Tot_Entity","USD",M$2,M$3,M$4,$C59,"TopFlow","Top","Top","Tot_Los","TOT_Dept_WO_Addbacks","TOT_Comm",$A59,"Top5","Top6","Reported","Top8")</f>
        <v>886132.24</v>
      </c>
      <c r="N59" s="68">
        <f>_xll.OneStreamExcelAddIn.XFFunctions.XFGetCell("True","Consol", $B59,"Tot_Entity","USD",N$2,N$3,N$4,$C59,"TopFlow","Top","Top","Tot_Los","TOT_Dept_WO_Addbacks","TOT_Comm",$A59,"Top5","Top6","Reported","Top8")</f>
        <v>885498.1</v>
      </c>
      <c r="O59" s="186">
        <f>_xll.OneStreamExcelAddIn.XFFunctions.XFGetCell("True","Consol", $B59,"Tot_Entity","USD",O$2,O$3,O$4,$C59,"TopFlow","Top","Top","Tot_Los","TOT_Dept_WO_Addbacks","TOT_Comm",$A59,"Top5","Top6","Reported","Top8")</f>
        <v>714502.28</v>
      </c>
      <c r="P59" s="15">
        <f>_xll.OneStreamExcelAddIn.XFFunctions.XFGetCell("True","Consol", $B59,"Tot_Entity","USD",P$2,P$3,P$4,$C59,"TopFlow","Top","Top","Tot_Los","TOT_Dept_WO_Addbacks","TOT_Comm",$A59,"Top5","Top6","Reported","Top8")</f>
        <v>812929.54850706598</v>
      </c>
      <c r="Q59" s="69">
        <f>_xll.OneStreamExcelAddIn.XFFunctions.XFGetCell("True","Consol", $B59,"Tot_Entity","USD",Q$2,Q$3,Q$4,$C59,"TopFlow","Top","Top","Tot_Los","TOT_Dept_WO_Addbacks","TOT_Comm",$A59,"Top5","Top6","Reported","Top8")</f>
        <v>2532027.2082321071</v>
      </c>
    </row>
    <row r="60" spans="1:17" x14ac:dyDescent="0.2">
      <c r="A60" s="16" t="str">
        <f>+$A$8</f>
        <v>Acute_DIV1</v>
      </c>
      <c r="B60" s="15">
        <f>+$B$8</f>
        <v>127</v>
      </c>
      <c r="C60" s="14" t="s">
        <v>144</v>
      </c>
      <c r="D60" s="14" t="s">
        <v>151</v>
      </c>
      <c r="E60" s="68">
        <f>_xll.OneStreamExcelAddIn.XFFunctions.XFGetCell("True","Consol", $B60,"Tot_Entity","USD",E$2,E$3,E$4,$C60,"TopFlow","Top","Top","Tot_Los","TOT_Dept_WO_Addbacks","TOT_Oth_Govt",$A60,"Top5","Top6","Reported","Top8")</f>
        <v>6124.67</v>
      </c>
      <c r="F60" s="68">
        <f>_xll.OneStreamExcelAddIn.XFFunctions.XFGetCell("True","Consol", $B60,"Tot_Entity","USD",F$2,F$3,F$4,$C60,"TopFlow","Top","Top","Tot_Los","TOT_Dept_WO_Addbacks","TOT_Oth_Govt",$A60,"Top5","Top6","Reported","Top8")</f>
        <v>-659.42</v>
      </c>
      <c r="G60" s="68">
        <f>_xll.OneStreamExcelAddIn.XFFunctions.XFGetCell("True","Consol", $B60,"Tot_Entity","USD",G$2,G$3,G$4,$C60,"TopFlow","Top","Top","Tot_Los","TOT_Dept_WO_Addbacks","TOT_Oth_Govt",$A60,"Top5","Top6","Reported","Top8")</f>
        <v>18853.16</v>
      </c>
      <c r="H60" s="68">
        <f>_xll.OneStreamExcelAddIn.XFFunctions.XFGetCell("True","Consol", $B60,"Tot_Entity","USD",H$2,H$3,H$4,$C60,"TopFlow","Top","Top","Tot_Los","TOT_Dept_WO_Addbacks","TOT_Oth_Govt",$A60,"Top5","Top6","Reported","Top8")</f>
        <v>-16294.78</v>
      </c>
      <c r="I60" s="68">
        <f>_xll.OneStreamExcelAddIn.XFFunctions.XFGetCell("True","Consol", $B60,"Tot_Entity","USD",I$2,I$3,I$4,$C60,"TopFlow","Top","Top","Tot_Los","TOT_Dept_WO_Addbacks","TOT_Oth_Govt",$A60,"Top5","Top6","Reported","Top8")</f>
        <v>25747.82</v>
      </c>
      <c r="J60" s="68">
        <f>_xll.OneStreamExcelAddIn.XFFunctions.XFGetCell("True","Consol", $B60,"Tot_Entity","USD",J$2,J$3,J$4,$C60,"TopFlow","Top","Top","Tot_Los","TOT_Dept_WO_Addbacks","TOT_Oth_Govt",$A60,"Top5","Top6","Reported","Top8")</f>
        <v>70315.06</v>
      </c>
      <c r="K60" s="68">
        <f>_xll.OneStreamExcelAddIn.XFFunctions.XFGetCell("True","Consol", $B60,"Tot_Entity","USD",K$2,K$3,K$4,$C60,"TopFlow","Top","Top","Tot_Los","TOT_Dept_WO_Addbacks","TOT_Oth_Govt",$A60,"Top5","Top6","Reported","Top8")</f>
        <v>90299.87</v>
      </c>
      <c r="L60" s="68">
        <f>_xll.OneStreamExcelAddIn.XFFunctions.XFGetCell("True","Consol", $B60,"Tot_Entity","USD",L$2,L$3,L$4,$C60,"TopFlow","Top","Top","Tot_Los","TOT_Dept_WO_Addbacks","TOT_Oth_Govt",$A60,"Top5","Top6","Reported","Top8")</f>
        <v>12211.4</v>
      </c>
      <c r="M60" s="68">
        <f>_xll.OneStreamExcelAddIn.XFFunctions.XFGetCell("True","Consol", $B60,"Tot_Entity","USD",M$2,M$3,M$4,$C60,"TopFlow","Top","Top","Tot_Los","TOT_Dept_WO_Addbacks","TOT_Oth_Govt",$A60,"Top5","Top6","Reported","Top8")</f>
        <v>25483.38</v>
      </c>
      <c r="N60" s="68">
        <f>_xll.OneStreamExcelAddIn.XFFunctions.XFGetCell("True","Consol", $B60,"Tot_Entity","USD",N$2,N$3,N$4,$C60,"TopFlow","Top","Top","Tot_Los","TOT_Dept_WO_Addbacks","TOT_Oth_Govt",$A60,"Top5","Top6","Reported","Top8")</f>
        <v>10677.94</v>
      </c>
      <c r="O60" s="186">
        <f>_xll.OneStreamExcelAddIn.XFFunctions.XFGetCell("True","Consol", $B60,"Tot_Entity","USD",O$2,O$3,O$4,$C60,"TopFlow","Top","Top","Tot_Los","TOT_Dept_WO_Addbacks","TOT_Oth_Govt",$A60,"Top5","Top6","Reported","Top8")</f>
        <v>6415.43</v>
      </c>
      <c r="P60" s="15">
        <f>_xll.OneStreamExcelAddIn.XFFunctions.XFGetCell("True","Consol", $B60,"Tot_Entity","USD",P$2,P$3,P$4,$C60,"TopFlow","Top","Top","Tot_Los","TOT_Dept_WO_Addbacks","TOT_Oth_Govt",$A60,"Top5","Top6","Reported","Top8")</f>
        <v>7811.0433231870002</v>
      </c>
      <c r="Q60" s="69">
        <f>_xll.OneStreamExcelAddIn.XFFunctions.XFGetCell("True","Consol", $B60,"Tot_Entity","USD",Q$2,Q$3,Q$4,$C60,"TopFlow","Top","Top","Tot_Los","TOT_Dept_WO_Addbacks","TOT_Oth_Govt",$A60,"Top5","Top6","Reported","Top8")</f>
        <v>14455.546551818001</v>
      </c>
    </row>
    <row r="61" spans="1:17" x14ac:dyDescent="0.2">
      <c r="A61" s="16" t="str">
        <f>+$A$8</f>
        <v>Acute_DIV1</v>
      </c>
      <c r="B61" s="15">
        <f>+$B$8</f>
        <v>127</v>
      </c>
      <c r="C61" s="14" t="s">
        <v>144</v>
      </c>
      <c r="D61" s="14" t="s">
        <v>152</v>
      </c>
      <c r="E61" s="68">
        <f>_xll.OneStreamExcelAddIn.XFFunctions.XFGetCell("True","Consol", $B61,"Tot_Entity","USD",E$2,E$3,E$4,$C61,"TopFlow","Top","Top","Tot_Los","TOT_Dept_WO_Addbacks","TOT_Self_Pay_Oth",$A61,"Top5","Top6","Reported","Top8")</f>
        <v>112409.19</v>
      </c>
      <c r="F61" s="68">
        <f>_xll.OneStreamExcelAddIn.XFFunctions.XFGetCell("True","Consol", $B61,"Tot_Entity","USD",F$2,F$3,F$4,$C61,"TopFlow","Top","Top","Tot_Los","TOT_Dept_WO_Addbacks","TOT_Self_Pay_Oth",$A61,"Top5","Top6","Reported","Top8")</f>
        <v>34141.18</v>
      </c>
      <c r="G61" s="68">
        <f>_xll.OneStreamExcelAddIn.XFFunctions.XFGetCell("True","Consol", $B61,"Tot_Entity","USD",G$2,G$3,G$4,$C61,"TopFlow","Top","Top","Tot_Los","TOT_Dept_WO_Addbacks","TOT_Self_Pay_Oth",$A61,"Top5","Top6","Reported","Top8")</f>
        <v>-113803.47</v>
      </c>
      <c r="H61" s="68">
        <f>_xll.OneStreamExcelAddIn.XFFunctions.XFGetCell("True","Consol", $B61,"Tot_Entity","USD",H$2,H$3,H$4,$C61,"TopFlow","Top","Top","Tot_Los","TOT_Dept_WO_Addbacks","TOT_Self_Pay_Oth",$A61,"Top5","Top6","Reported","Top8")</f>
        <v>1496391.21</v>
      </c>
      <c r="I61" s="68">
        <f>_xll.OneStreamExcelAddIn.XFFunctions.XFGetCell("True","Consol", $B61,"Tot_Entity","USD",I$2,I$3,I$4,$C61,"TopFlow","Top","Top","Tot_Los","TOT_Dept_WO_Addbacks","TOT_Self_Pay_Oth",$A61,"Top5","Top6","Reported","Top8")</f>
        <v>-1042002.47</v>
      </c>
      <c r="J61" s="68">
        <f>_xll.OneStreamExcelAddIn.XFFunctions.XFGetCell("True","Consol", $B61,"Tot_Entity","USD",J$2,J$3,J$4,$C61,"TopFlow","Top","Top","Tot_Los","TOT_Dept_WO_Addbacks","TOT_Self_Pay_Oth",$A61,"Top5","Top6","Reported","Top8")</f>
        <v>-861121.11</v>
      </c>
      <c r="K61" s="68">
        <f>_xll.OneStreamExcelAddIn.XFFunctions.XFGetCell("True","Consol", $B61,"Tot_Entity","USD",K$2,K$3,K$4,$C61,"TopFlow","Top","Top","Tot_Los","TOT_Dept_WO_Addbacks","TOT_Self_Pay_Oth",$A61,"Top5","Top6","Reported","Top8")</f>
        <v>31661.65</v>
      </c>
      <c r="L61" s="68">
        <f>_xll.OneStreamExcelAddIn.XFFunctions.XFGetCell("True","Consol", $B61,"Tot_Entity","USD",L$2,L$3,L$4,$C61,"TopFlow","Top","Top","Tot_Los","TOT_Dept_WO_Addbacks","TOT_Self_Pay_Oth",$A61,"Top5","Top6","Reported","Top8")</f>
        <v>-163731.48000000001</v>
      </c>
      <c r="M61" s="68">
        <f>_xll.OneStreamExcelAddIn.XFFunctions.XFGetCell("True","Consol", $B61,"Tot_Entity","USD",M$2,M$3,M$4,$C61,"TopFlow","Top","Top","Tot_Los","TOT_Dept_WO_Addbacks","TOT_Self_Pay_Oth",$A61,"Top5","Top6","Reported","Top8")</f>
        <v>39574.03</v>
      </c>
      <c r="N61" s="68">
        <f>_xll.OneStreamExcelAddIn.XFFunctions.XFGetCell("True","Consol", $B61,"Tot_Entity","USD",N$2,N$3,N$4,$C61,"TopFlow","Top","Top","Tot_Los","TOT_Dept_WO_Addbacks","TOT_Self_Pay_Oth",$A61,"Top5","Top6","Reported","Top8")</f>
        <v>21011.9</v>
      </c>
      <c r="O61" s="186">
        <f>_xll.OneStreamExcelAddIn.XFFunctions.XFGetCell("True","Consol", $B61,"Tot_Entity","USD",O$2,O$3,O$4,$C61,"TopFlow","Top","Top","Tot_Los","TOT_Dept_WO_Addbacks","TOT_Self_Pay_Oth",$A61,"Top5","Top6","Reported","Top8")</f>
        <v>215428.48000000001</v>
      </c>
      <c r="P61" s="15">
        <f>_xll.OneStreamExcelAddIn.XFFunctions.XFGetCell("True","Consol", $B61,"Tot_Entity","USD",P$2,P$3,P$4,$C61,"TopFlow","Top","Top","Tot_Los","TOT_Dept_WO_Addbacks","TOT_Self_Pay_Oth",$A61,"Top5","Top6","Reported","Top8")</f>
        <v>9391.3539013000009</v>
      </c>
      <c r="Q61" s="69">
        <f>_xll.OneStreamExcelAddIn.XFFunctions.XFGetCell("True","Consol", $B61,"Tot_Entity","USD",Q$2,Q$3,Q$4,$C61,"TopFlow","Top","Top","Tot_Los","TOT_Dept_WO_Addbacks","TOT_Self_Pay_Oth",$A61,"Top5","Top6","Reported","Top8")</f>
        <v>380791.85569084203</v>
      </c>
    </row>
    <row r="62" spans="1:17" hidden="1" outlineLevel="1" x14ac:dyDescent="0.2">
      <c r="B62" s="2"/>
      <c r="E62" s="31" t="b">
        <f>E55=SUM(E57:E61)</f>
        <v>1</v>
      </c>
      <c r="F62" s="31" t="b">
        <f t="shared" ref="F62:Q62" si="7">F55=SUM(F57:F61)</f>
        <v>1</v>
      </c>
      <c r="G62" s="31" t="b">
        <f t="shared" si="7"/>
        <v>1</v>
      </c>
      <c r="H62" s="31" t="b">
        <f t="shared" si="7"/>
        <v>1</v>
      </c>
      <c r="I62" s="31" t="b">
        <f t="shared" si="7"/>
        <v>1</v>
      </c>
      <c r="J62" s="31" t="b">
        <f t="shared" si="7"/>
        <v>1</v>
      </c>
      <c r="K62" s="31" t="b">
        <f t="shared" si="7"/>
        <v>1</v>
      </c>
      <c r="L62" s="31" t="b">
        <f t="shared" si="7"/>
        <v>1</v>
      </c>
      <c r="M62" s="31" t="b">
        <f t="shared" si="7"/>
        <v>1</v>
      </c>
      <c r="N62" s="31" t="b">
        <f t="shared" si="7"/>
        <v>1</v>
      </c>
      <c r="O62" s="185" t="b">
        <f t="shared" si="7"/>
        <v>1</v>
      </c>
      <c r="P62" s="1" t="b">
        <f t="shared" si="7"/>
        <v>1</v>
      </c>
      <c r="Q62" s="12" t="b">
        <f t="shared" si="7"/>
        <v>1</v>
      </c>
    </row>
    <row r="63" spans="1:17" collapsed="1" x14ac:dyDescent="0.2">
      <c r="B63" s="2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185"/>
    </row>
    <row r="64" spans="1:17" x14ac:dyDescent="0.2">
      <c r="A64" s="16" t="str">
        <f>+$A$8</f>
        <v>Acute_DIV1</v>
      </c>
      <c r="B64" s="15">
        <f>+$B$8</f>
        <v>127</v>
      </c>
      <c r="C64" s="14" t="s">
        <v>144</v>
      </c>
      <c r="D64" s="14" t="s">
        <v>153</v>
      </c>
      <c r="E64" s="68">
        <f>_xll.OneStreamExcelAddIn.XFFunctions.XFGetCell("True","Consol", $B64,"Tot_Entity","USD",E$2,E$3,E$4,$C64,"TopFlow","Top","Top","Tot_Los","TOT_IP_Dir_Patient_Act","Tot_FC",$A64,"Top5","Top6","Reported","Top8")</f>
        <v>32489487.780000001</v>
      </c>
      <c r="F64" s="68">
        <f>_xll.OneStreamExcelAddIn.XFFunctions.XFGetCell("True","Consol", $B64,"Tot_Entity","USD",F$2,F$3,F$4,$C64,"TopFlow","Top","Top","Tot_Los","TOT_IP_Dir_Patient_Act","Tot_FC",$A64,"Top5","Top6","Reported","Top8")</f>
        <v>5548437.8899999997</v>
      </c>
      <c r="G64" s="68">
        <f>_xll.OneStreamExcelAddIn.XFFunctions.XFGetCell("True","Consol", $B64,"Tot_Entity","USD",G$2,G$3,G$4,$C64,"TopFlow","Top","Top","Tot_Los","TOT_IP_Dir_Patient_Act","Tot_FC",$A64,"Top5","Top6","Reported","Top8")</f>
        <v>5436321.7699999996</v>
      </c>
      <c r="H64" s="68">
        <f>_xll.OneStreamExcelAddIn.XFFunctions.XFGetCell("True","Consol", $B64,"Tot_Entity","USD",H$2,H$3,H$4,$C64,"TopFlow","Top","Top","Tot_Los","TOT_IP_Dir_Patient_Act","Tot_FC",$A64,"Top5","Top6","Reported","Top8")</f>
        <v>4035985.2700000005</v>
      </c>
      <c r="I64" s="68">
        <f>_xll.OneStreamExcelAddIn.XFFunctions.XFGetCell("True","Consol", $B64,"Tot_Entity","USD",I$2,I$3,I$4,$C64,"TopFlow","Top","Top","Tot_Los","TOT_IP_Dir_Patient_Act","Tot_FC",$A64,"Top5","Top6","Reported","Top8")</f>
        <v>5346871.4499999993</v>
      </c>
      <c r="J64" s="68">
        <f>_xll.OneStreamExcelAddIn.XFFunctions.XFGetCell("True","Consol", $B64,"Tot_Entity","USD",J$2,J$3,J$4,$C64,"TopFlow","Top","Top","Tot_Los","TOT_IP_Dir_Patient_Act","Tot_FC",$A64,"Top5","Top6","Reported","Top8")</f>
        <v>4899863.82</v>
      </c>
      <c r="K64" s="68">
        <f>_xll.OneStreamExcelAddIn.XFFunctions.XFGetCell("True","Consol", $B64,"Tot_Entity","USD",K$2,K$3,K$4,$C64,"TopFlow","Top","Top","Tot_Los","TOT_IP_Dir_Patient_Act","Tot_FC",$A64,"Top5","Top6","Reported","Top8")</f>
        <v>5122573.21</v>
      </c>
      <c r="L64" s="68">
        <f>_xll.OneStreamExcelAddIn.XFFunctions.XFGetCell("True","Consol", $B64,"Tot_Entity","USD",L$2,L$3,L$4,$C64,"TopFlow","Top","Top","Tot_Los","TOT_IP_Dir_Patient_Act","Tot_FC",$A64,"Top5","Top6","Reported","Top8")</f>
        <v>5310308.83</v>
      </c>
      <c r="M64" s="68">
        <f>_xll.OneStreamExcelAddIn.XFFunctions.XFGetCell("True","Consol", $B64,"Tot_Entity","USD",M$2,M$3,M$4,$C64,"TopFlow","Top","Top","Tot_Los","TOT_IP_Dir_Patient_Act","Tot_FC",$A64,"Top5","Top6","Reported","Top8")</f>
        <v>5796778.6600000001</v>
      </c>
      <c r="N64" s="68">
        <f>_xll.OneStreamExcelAddIn.XFFunctions.XFGetCell("True","Consol", $B64,"Tot_Entity","USD",N$2,N$3,N$4,$C64,"TopFlow","Top","Top","Tot_Los","TOT_IP_Dir_Patient_Act","Tot_FC",$A64,"Top5","Top6","Reported","Top8")</f>
        <v>3333340.32</v>
      </c>
      <c r="O64" s="186">
        <f>_xll.OneStreamExcelAddIn.XFFunctions.XFGetCell("True","Consol", $B64,"Tot_Entity","USD",O$2,O$3,O$4,$C64,"TopFlow","Top","Top","Tot_Los","TOT_IP_Dir_Patient_Act","Tot_FC",$A64,"Top5","Top6","Reported","Top8")</f>
        <v>5952867.5999999996</v>
      </c>
      <c r="P64" s="15">
        <f>_xll.OneStreamExcelAddIn.XFFunctions.XFGetCell("True","Consol", $B64,"Tot_Entity","USD",P$2,P$3,P$4,$C64,"TopFlow","Top","Top","Tot_Los","TOT_IP_Dir_Patient_Act","Tot_FC",$A64,"Top5","Top6","Reported","Top8")</f>
        <v>5588382.677133128</v>
      </c>
      <c r="Q64" s="69">
        <f>_xll.OneStreamExcelAddIn.XFFunctions.XFGetCell("True","Consol", $B64,"Tot_Entity","USD",Q$2,Q$3,Q$4,$C64,"TopFlow","Top","Top","Tot_Los","TOT_IP_Dir_Patient_Act","Tot_FC",$A64,"Top5","Top6","Reported","Top8")</f>
        <v>22513115.176075954</v>
      </c>
    </row>
    <row r="65" spans="1:17" x14ac:dyDescent="0.2">
      <c r="A65" s="16" t="str">
        <f>+$A$8</f>
        <v>Acute_DIV1</v>
      </c>
      <c r="B65" s="15">
        <f>+$B$8</f>
        <v>127</v>
      </c>
      <c r="C65" s="14" t="s">
        <v>144</v>
      </c>
      <c r="D65" s="14" t="s">
        <v>154</v>
      </c>
      <c r="E65" s="68">
        <f>_xll.OneStreamExcelAddIn.XFFunctions.XFGetCell("True","Consol", $B65,"Tot_Entity","USD",E$2,E$3,E$4,$C65,"TopFlow","Top","Top","Tot_Los","TOT_OP_Dir_Patient_Act","Tot_FC",$A65,"Top5","Top6","Reported","Top8")</f>
        <v>0</v>
      </c>
      <c r="F65" s="68">
        <f>_xll.OneStreamExcelAddIn.XFFunctions.XFGetCell("True","Consol", $B65,"Tot_Entity","USD",F$2,F$3,F$4,$C65,"TopFlow","Top","Top","Tot_Los","TOT_OP_Dir_Patient_Act","Tot_FC",$A65,"Top5","Top6","Reported","Top8")</f>
        <v>0</v>
      </c>
      <c r="G65" s="68">
        <f>_xll.OneStreamExcelAddIn.XFFunctions.XFGetCell("True","Consol", $B65,"Tot_Entity","USD",G$2,G$3,G$4,$C65,"TopFlow","Top","Top","Tot_Los","TOT_OP_Dir_Patient_Act","Tot_FC",$A65,"Top5","Top6","Reported","Top8")</f>
        <v>0</v>
      </c>
      <c r="H65" s="68">
        <f>_xll.OneStreamExcelAddIn.XFFunctions.XFGetCell("True","Consol", $B65,"Tot_Entity","USD",H$2,H$3,H$4,$C65,"TopFlow","Top","Top","Tot_Los","TOT_OP_Dir_Patient_Act","Tot_FC",$A65,"Top5","Top6","Reported","Top8")</f>
        <v>0</v>
      </c>
      <c r="I65" s="68">
        <f>_xll.OneStreamExcelAddIn.XFFunctions.XFGetCell("True","Consol", $B65,"Tot_Entity","USD",I$2,I$3,I$4,$C65,"TopFlow","Top","Top","Tot_Los","TOT_OP_Dir_Patient_Act","Tot_FC",$A65,"Top5","Top6","Reported","Top8")</f>
        <v>0</v>
      </c>
      <c r="J65" s="68">
        <f>_xll.OneStreamExcelAddIn.XFFunctions.XFGetCell("True","Consol", $B65,"Tot_Entity","USD",J$2,J$3,J$4,$C65,"TopFlow","Top","Top","Tot_Los","TOT_OP_Dir_Patient_Act","Tot_FC",$A65,"Top5","Top6","Reported","Top8")</f>
        <v>0</v>
      </c>
      <c r="K65" s="68">
        <f>_xll.OneStreamExcelAddIn.XFFunctions.XFGetCell("True","Consol", $B65,"Tot_Entity","USD",K$2,K$3,K$4,$C65,"TopFlow","Top","Top","Tot_Los","TOT_OP_Dir_Patient_Act","Tot_FC",$A65,"Top5","Top6","Reported","Top8")</f>
        <v>0</v>
      </c>
      <c r="L65" s="68">
        <f>_xll.OneStreamExcelAddIn.XFFunctions.XFGetCell("True","Consol", $B65,"Tot_Entity","USD",L$2,L$3,L$4,$C65,"TopFlow","Top","Top","Tot_Los","TOT_OP_Dir_Patient_Act","Tot_FC",$A65,"Top5","Top6","Reported","Top8")</f>
        <v>0</v>
      </c>
      <c r="M65" s="68">
        <f>_xll.OneStreamExcelAddIn.XFFunctions.XFGetCell("True","Consol", $B65,"Tot_Entity","USD",M$2,M$3,M$4,$C65,"TopFlow","Top","Top","Tot_Los","TOT_OP_Dir_Patient_Act","Tot_FC",$A65,"Top5","Top6","Reported","Top8")</f>
        <v>0</v>
      </c>
      <c r="N65" s="68">
        <f>_xll.OneStreamExcelAddIn.XFFunctions.XFGetCell("True","Consol", $B65,"Tot_Entity","USD",N$2,N$3,N$4,$C65,"TopFlow","Top","Top","Tot_Los","TOT_OP_Dir_Patient_Act","Tot_FC",$A65,"Top5","Top6","Reported","Top8")</f>
        <v>0</v>
      </c>
      <c r="O65" s="186">
        <f>_xll.OneStreamExcelAddIn.XFFunctions.XFGetCell("True","Consol", $B65,"Tot_Entity","USD",O$2,O$3,O$4,$C65,"TopFlow","Top","Top","Tot_Los","TOT_OP_Dir_Patient_Act","Tot_FC",$A65,"Top5","Top6","Reported","Top8")</f>
        <v>0</v>
      </c>
      <c r="P65" s="15">
        <f>_xll.OneStreamExcelAddIn.XFFunctions.XFGetCell("True","Consol", $B65,"Tot_Entity","USD",P$2,P$3,P$4,$C65,"TopFlow","Top","Top","Tot_Los","TOT_OP_Dir_Patient_Act","Tot_FC",$A65,"Top5","Top6","Reported","Top8")</f>
        <v>0</v>
      </c>
      <c r="Q65" s="69">
        <f>_xll.OneStreamExcelAddIn.XFFunctions.XFGetCell("True","Consol", $B65,"Tot_Entity","USD",Q$2,Q$3,Q$4,$C65,"TopFlow","Top","Top","Tot_Los","TOT_OP_Dir_Patient_Act","Tot_FC",$A65,"Top5","Top6","Reported","Top8")</f>
        <v>0</v>
      </c>
    </row>
    <row r="66" spans="1:17" x14ac:dyDescent="0.2">
      <c r="A66" s="16" t="str">
        <f>+$A$8</f>
        <v>Acute_DIV1</v>
      </c>
      <c r="B66" s="15">
        <f>+$B$8</f>
        <v>127</v>
      </c>
      <c r="C66" s="14" t="s">
        <v>144</v>
      </c>
      <c r="D66" s="14" t="s">
        <v>155</v>
      </c>
      <c r="E66" s="68">
        <f>_xll.OneStreamExcelAddIn.XFFunctions.XFGetCell("True","Consol", $B66,"Tot_Entity","USD",E$2,E$3,E$4,$C66,"TopFlow","Top","Top","Tot_Los","TOT_Phy_Depts","Tot_FC",$A66,"Top5","Top6","Reported","Top8")</f>
        <v>81068.09</v>
      </c>
      <c r="F66" s="68">
        <f>_xll.OneStreamExcelAddIn.XFFunctions.XFGetCell("True","Consol", $B66,"Tot_Entity","USD",F$2,F$3,F$4,$C66,"TopFlow","Top","Top","Tot_Los","TOT_Phy_Depts","Tot_FC",$A66,"Top5","Top6","Reported","Top8")</f>
        <v>154800.75</v>
      </c>
      <c r="G66" s="68">
        <f>_xll.OneStreamExcelAddIn.XFFunctions.XFGetCell("True","Consol", $B66,"Tot_Entity","USD",G$2,G$3,G$4,$C66,"TopFlow","Top","Top","Tot_Los","TOT_Phy_Depts","Tot_FC",$A66,"Top5","Top6","Reported","Top8")</f>
        <v>17385.53</v>
      </c>
      <c r="H66" s="68">
        <f>_xll.OneStreamExcelAddIn.XFFunctions.XFGetCell("True","Consol", $B66,"Tot_Entity","USD",H$2,H$3,H$4,$C66,"TopFlow","Top","Top","Tot_Los","TOT_Phy_Depts","Tot_FC",$A66,"Top5","Top6","Reported","Top8")</f>
        <v>-170012.6</v>
      </c>
      <c r="I66" s="68">
        <f>_xll.OneStreamExcelAddIn.XFFunctions.XFGetCell("True","Consol", $B66,"Tot_Entity","USD",I$2,I$3,I$4,$C66,"TopFlow","Top","Top","Tot_Los","TOT_Phy_Depts","Tot_FC",$A66,"Top5","Top6","Reported","Top8")</f>
        <v>92318.16</v>
      </c>
      <c r="J66" s="68">
        <f>_xll.OneStreamExcelAddIn.XFFunctions.XFGetCell("True","Consol", $B66,"Tot_Entity","USD",J$2,J$3,J$4,$C66,"TopFlow","Top","Top","Tot_Los","TOT_Phy_Depts","Tot_FC",$A66,"Top5","Top6","Reported","Top8")</f>
        <v>163604.60999999999</v>
      </c>
      <c r="K66" s="68">
        <f>_xll.OneStreamExcelAddIn.XFFunctions.XFGetCell("True","Consol", $B66,"Tot_Entity","USD",K$2,K$3,K$4,$C66,"TopFlow","Top","Top","Tot_Los","TOT_Phy_Depts","Tot_FC",$A66,"Top5","Top6","Reported","Top8")</f>
        <v>95189.66</v>
      </c>
      <c r="L66" s="68">
        <f>_xll.OneStreamExcelAddIn.XFFunctions.XFGetCell("True","Consol", $B66,"Tot_Entity","USD",L$2,L$3,L$4,$C66,"TopFlow","Top","Top","Tot_Los","TOT_Phy_Depts","Tot_FC",$A66,"Top5","Top6","Reported","Top8")</f>
        <v>190793.75</v>
      </c>
      <c r="M66" s="68">
        <f>_xll.OneStreamExcelAddIn.XFFunctions.XFGetCell("True","Consol", $B66,"Tot_Entity","USD",M$2,M$3,M$4,$C66,"TopFlow","Top","Top","Tot_Los","TOT_Phy_Depts","Tot_FC",$A66,"Top5","Top6","Reported","Top8")</f>
        <v>9668.02</v>
      </c>
      <c r="N66" s="68">
        <f>_xll.OneStreamExcelAddIn.XFFunctions.XFGetCell("True","Consol", $B66,"Tot_Entity","USD",N$2,N$3,N$4,$C66,"TopFlow","Top","Top","Tot_Los","TOT_Phy_Depts","Tot_FC",$A66,"Top5","Top6","Reported","Top8")</f>
        <v>79238</v>
      </c>
      <c r="O66" s="186">
        <f>_xll.OneStreamExcelAddIn.XFFunctions.XFGetCell("True","Consol", $B66,"Tot_Entity","USD",O$2,O$3,O$4,$C66,"TopFlow","Top","Top","Tot_Los","TOT_Phy_Depts","Tot_FC",$A66,"Top5","Top6","Reported","Top8")</f>
        <v>128305.05</v>
      </c>
      <c r="P66" s="15">
        <f>_xll.OneStreamExcelAddIn.XFFunctions.XFGetCell("True","Consol", $B66,"Tot_Entity","USD",P$2,P$3,P$4,$C66,"TopFlow","Top","Top","Tot_Los","TOT_Phy_Depts","Tot_FC",$A66,"Top5","Top6","Reported","Top8")</f>
        <v>110014.618</v>
      </c>
      <c r="Q66" s="69">
        <f>_xll.OneStreamExcelAddIn.XFFunctions.XFGetCell("True","Consol", $B66,"Tot_Entity","USD",Q$2,Q$3,Q$4,$C66,"TopFlow","Top","Top","Tot_Los","TOT_Phy_Depts","Tot_FC",$A66,"Top5","Top6","Reported","Top8")</f>
        <v>462663.80699999997</v>
      </c>
    </row>
    <row r="67" spans="1:17" x14ac:dyDescent="0.2">
      <c r="B67" s="2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185"/>
    </row>
    <row r="68" spans="1:17" x14ac:dyDescent="0.2">
      <c r="A68" s="16" t="str">
        <f t="shared" ref="A68:A73" si="8">+$A$8</f>
        <v>Acute_DIV1</v>
      </c>
      <c r="B68" s="15">
        <f t="shared" ref="B68:B73" si="9">+$B$8</f>
        <v>127</v>
      </c>
      <c r="C68" s="14" t="s">
        <v>156</v>
      </c>
      <c r="D68" s="14" t="s">
        <v>157</v>
      </c>
      <c r="E68" s="68">
        <f>_xll.OneStreamExcelAddIn.XFFunctions.XFGetCell("True","Consol", $B68,"Tot_Entity","USD",E$2,E$3,E$4,$C68,"TopFlow","Top","Top","Tot_Los","TOT_Dept_WO_Addbacks","Tot_FC",$A68,"Top5","Top6","Reported","Top8")</f>
        <v>9304080</v>
      </c>
      <c r="F68" s="68">
        <f>_xll.OneStreamExcelAddIn.XFFunctions.XFGetCell("True","Consol", $B68,"Tot_Entity","USD",F$2,F$3,F$4,$C68,"TopFlow","Top","Top","Tot_Los","TOT_Dept_WO_Addbacks","Tot_FC",$A68,"Top5","Top6","Reported","Top8")</f>
        <v>9215436</v>
      </c>
      <c r="G68" s="68">
        <f>_xll.OneStreamExcelAddIn.XFFunctions.XFGetCell("True","Consol", $B68,"Tot_Entity","USD",G$2,G$3,G$4,$C68,"TopFlow","Top","Top","Tot_Los","TOT_Dept_WO_Addbacks","Tot_FC",$A68,"Top5","Top6","Reported","Top8")</f>
        <v>8246844</v>
      </c>
      <c r="H68" s="68">
        <f>_xll.OneStreamExcelAddIn.XFFunctions.XFGetCell("True","Consol", $B68,"Tot_Entity","USD",H$2,H$3,H$4,$C68,"TopFlow","Top","Top","Tot_Los","TOT_Dept_WO_Addbacks","Tot_FC",$A68,"Top5","Top6","Reported","Top8")</f>
        <v>8567238.0700000003</v>
      </c>
      <c r="I68" s="68">
        <f>_xll.OneStreamExcelAddIn.XFFunctions.XFGetCell("True","Consol", $B68,"Tot_Entity","USD",I$2,I$3,I$4,$C68,"TopFlow","Top","Top","Tot_Los","TOT_Dept_WO_Addbacks","Tot_FC",$A68,"Top5","Top6","Reported","Top8")</f>
        <v>9167870</v>
      </c>
      <c r="J68" s="68">
        <f>_xll.OneStreamExcelAddIn.XFFunctions.XFGetCell("True","Consol", $B68,"Tot_Entity","USD",J$2,J$3,J$4,$C68,"TopFlow","Top","Top","Tot_Los","TOT_Dept_WO_Addbacks","Tot_FC",$A68,"Top5","Top6","Reported","Top8")</f>
        <v>8295890.4800000004</v>
      </c>
      <c r="K68" s="68">
        <f>_xll.OneStreamExcelAddIn.XFFunctions.XFGetCell("True","Consol", $B68,"Tot_Entity","USD",K$2,K$3,K$4,$C68,"TopFlow","Top","Top","Tot_Los","TOT_Dept_WO_Addbacks","Tot_FC",$A68,"Top5","Top6","Reported","Top8")</f>
        <v>6987594</v>
      </c>
      <c r="L68" s="68">
        <f>_xll.OneStreamExcelAddIn.XFFunctions.XFGetCell("True","Consol", $B68,"Tot_Entity","USD",L$2,L$3,L$4,$C68,"TopFlow","Top","Top","Tot_Los","TOT_Dept_WO_Addbacks","Tot_FC",$A68,"Top5","Top6","Reported","Top8")</f>
        <v>7791140</v>
      </c>
      <c r="M68" s="68">
        <f>_xll.OneStreamExcelAddIn.XFFunctions.XFGetCell("True","Consol", $B68,"Tot_Entity","USD",M$2,M$3,M$4,$C68,"TopFlow","Top","Top","Tot_Los","TOT_Dept_WO_Addbacks","Tot_FC",$A68,"Top5","Top6","Reported","Top8")</f>
        <v>7897930</v>
      </c>
      <c r="N68" s="68">
        <f>_xll.OneStreamExcelAddIn.XFFunctions.XFGetCell("True","Consol", $B68,"Tot_Entity","USD",N$2,N$3,N$4,$C68,"TopFlow","Top","Top","Tot_Los","TOT_Dept_WO_Addbacks","Tot_FC",$A68,"Top5","Top6","Reported","Top8")</f>
        <v>8781719.6100000013</v>
      </c>
      <c r="O68" s="186">
        <f>_xll.OneStreamExcelAddIn.XFFunctions.XFGetCell("True","Consol", $B68,"Tot_Entity","USD",O$2,O$3,O$4,$C68,"TopFlow","Top","Top","Tot_Los","TOT_Dept_WO_Addbacks","Tot_FC",$A68,"Top5","Top6","Reported","Top8")</f>
        <v>7977470</v>
      </c>
      <c r="P68" s="15">
        <f>_xll.OneStreamExcelAddIn.XFFunctions.XFGetCell("True","Consol", $B68,"Tot_Entity","USD",P$2,P$3,P$4,$C68,"TopFlow","Top","Top","Tot_Los","TOT_Dept_WO_Addbacks","Tot_FC",$A68,"Top5","Top6","Reported","Top8")</f>
        <v>9615416.8599999994</v>
      </c>
      <c r="Q68" s="69">
        <f>_xll.OneStreamExcelAddIn.XFFunctions.XFGetCell("True","Consol", $B68,"Tot_Entity","USD",Q$2,Q$3,Q$4,$C68,"TopFlow","Top","Top","Tot_Los","TOT_Dept_WO_Addbacks","Tot_FC",$A68,"Top5","Top6","Reported","Top8")</f>
        <v>35518306.859999999</v>
      </c>
    </row>
    <row r="69" spans="1:17" x14ac:dyDescent="0.2">
      <c r="A69" s="16" t="str">
        <f t="shared" si="8"/>
        <v>Acute_DIV1</v>
      </c>
      <c r="B69" s="15">
        <f t="shared" si="9"/>
        <v>127</v>
      </c>
      <c r="C69" s="14" t="s">
        <v>158</v>
      </c>
      <c r="D69" s="14" t="s">
        <v>159</v>
      </c>
      <c r="E69" s="68">
        <f>_xll.OneStreamExcelAddIn.XFFunctions.XFGetCell("True","Consol", $B69,"Tot_Entity","USD",E$2,E$3,E$4,$C69,"TopFlow","Top","Top","Tot_Los","TOT_Dept_WO_Addbacks","Tot_FC",$A69,"Top5","Top6","Reported","Top8")</f>
        <v>5146433.33</v>
      </c>
      <c r="F69" s="68">
        <f>_xll.OneStreamExcelAddIn.XFFunctions.XFGetCell("True","Consol", $B69,"Tot_Entity","USD",F$2,F$3,F$4,$C69,"TopFlow","Top","Top","Tot_Los","TOT_Dept_WO_Addbacks","Tot_FC",$A69,"Top5","Top6","Reported","Top8")</f>
        <v>5530668.9000000004</v>
      </c>
      <c r="G69" s="68">
        <f>_xll.OneStreamExcelAddIn.XFFunctions.XFGetCell("True","Consol", $B69,"Tot_Entity","USD",G$2,G$3,G$4,$C69,"TopFlow","Top","Top","Tot_Los","TOT_Dept_WO_Addbacks","Tot_FC",$A69,"Top5","Top6","Reported","Top8")</f>
        <v>4867253.6500000004</v>
      </c>
      <c r="H69" s="68">
        <f>_xll.OneStreamExcelAddIn.XFFunctions.XFGetCell("True","Consol", $B69,"Tot_Entity","USD",H$2,H$3,H$4,$C69,"TopFlow","Top","Top","Tot_Los","TOT_Dept_WO_Addbacks","Tot_FC",$A69,"Top5","Top6","Reported","Top8")</f>
        <v>4882191.41</v>
      </c>
      <c r="I69" s="68">
        <f>_xll.OneStreamExcelAddIn.XFFunctions.XFGetCell("True","Consol", $B69,"Tot_Entity","USD",I$2,I$3,I$4,$C69,"TopFlow","Top","Top","Tot_Los","TOT_Dept_WO_Addbacks","Tot_FC",$A69,"Top5","Top6","Reported","Top8")</f>
        <v>5484673.2199999997</v>
      </c>
      <c r="J69" s="68">
        <f>_xll.OneStreamExcelAddIn.XFFunctions.XFGetCell("True","Consol", $B69,"Tot_Entity","USD",J$2,J$3,J$4,$C69,"TopFlow","Top","Top","Tot_Los","TOT_Dept_WO_Addbacks","Tot_FC",$A69,"Top5","Top6","Reported","Top8")</f>
        <v>5002933.72</v>
      </c>
      <c r="K69" s="68">
        <f>_xll.OneStreamExcelAddIn.XFFunctions.XFGetCell("True","Consol", $B69,"Tot_Entity","USD",K$2,K$3,K$4,$C69,"TopFlow","Top","Top","Tot_Los","TOT_Dept_WO_Addbacks","Tot_FC",$A69,"Top5","Top6","Reported","Top8")</f>
        <v>3463026.0599999996</v>
      </c>
      <c r="L69" s="68">
        <f>_xll.OneStreamExcelAddIn.XFFunctions.XFGetCell("True","Consol", $B69,"Tot_Entity","USD",L$2,L$3,L$4,$C69,"TopFlow","Top","Top","Tot_Los","TOT_Dept_WO_Addbacks","Tot_FC",$A69,"Top5","Top6","Reported","Top8")</f>
        <v>4332206.04</v>
      </c>
      <c r="M69" s="68">
        <f>_xll.OneStreamExcelAddIn.XFFunctions.XFGetCell("True","Consol", $B69,"Tot_Entity","USD",M$2,M$3,M$4,$C69,"TopFlow","Top","Top","Tot_Los","TOT_Dept_WO_Addbacks","Tot_FC",$A69,"Top5","Top6","Reported","Top8")</f>
        <v>4214155.6100000003</v>
      </c>
      <c r="N69" s="68">
        <f>_xll.OneStreamExcelAddIn.XFFunctions.XFGetCell("True","Consol", $B69,"Tot_Entity","USD",N$2,N$3,N$4,$C69,"TopFlow","Top","Top","Tot_Los","TOT_Dept_WO_Addbacks","Tot_FC",$A69,"Top5","Top6","Reported","Top8")</f>
        <v>4731750.3500000006</v>
      </c>
      <c r="O69" s="186">
        <f>_xll.OneStreamExcelAddIn.XFFunctions.XFGetCell("True","Consol", $B69,"Tot_Entity","USD",O$2,O$3,O$4,$C69,"TopFlow","Top","Top","Tot_Los","TOT_Dept_WO_Addbacks","Tot_FC",$A69,"Top5","Top6","Reported","Top8")</f>
        <v>4475018.16</v>
      </c>
      <c r="P69" s="15">
        <f>_xll.OneStreamExcelAddIn.XFFunctions.XFGetCell("True","Consol", $B69,"Tot_Entity","USD",P$2,P$3,P$4,$C69,"TopFlow","Top","Top","Tot_Los","TOT_Dept_WO_Addbacks","Tot_FC",$A69,"Top5","Top6","Reported","Top8")</f>
        <v>5950992.7383766416</v>
      </c>
      <c r="Q69" s="69">
        <f>_xll.OneStreamExcelAddIn.XFFunctions.XFGetCell("True","Consol", $B69,"Tot_Entity","USD",Q$2,Q$3,Q$4,$C69,"TopFlow","Top","Top","Tot_Los","TOT_Dept_WO_Addbacks","Tot_FC",$A69,"Top5","Top6","Reported","Top8")</f>
        <v>20673623.443144403</v>
      </c>
    </row>
    <row r="70" spans="1:17" x14ac:dyDescent="0.2">
      <c r="A70" s="16" t="str">
        <f t="shared" si="8"/>
        <v>Acute_DIV1</v>
      </c>
      <c r="B70" s="15">
        <f t="shared" si="9"/>
        <v>127</v>
      </c>
      <c r="C70" s="14" t="s">
        <v>160</v>
      </c>
      <c r="D70" s="14" t="s">
        <v>161</v>
      </c>
      <c r="E70" s="68">
        <f>_xll.OneStreamExcelAddIn.XFFunctions.XFGetCell("True","Consol", $B70,"Tot_Entity","USD",E$2,E$3,E$4,$C70,"TopFlow","Top","Top","Tot_Los","TOT_Dept_WO_Addbacks","Tot_FC",$A70,"Top5","Top6","Reported","Top8")</f>
        <v>0</v>
      </c>
      <c r="F70" s="68">
        <f>_xll.OneStreamExcelAddIn.XFFunctions.XFGetCell("True","Consol", $B70,"Tot_Entity","USD",F$2,F$3,F$4,$C70,"TopFlow","Top","Top","Tot_Los","TOT_Dept_WO_Addbacks","Tot_FC",$A70,"Top5","Top6","Reported","Top8")</f>
        <v>0</v>
      </c>
      <c r="G70" s="68">
        <f>_xll.OneStreamExcelAddIn.XFFunctions.XFGetCell("True","Consol", $B70,"Tot_Entity","USD",G$2,G$3,G$4,$C70,"TopFlow","Top","Top","Tot_Los","TOT_Dept_WO_Addbacks","Tot_FC",$A70,"Top5","Top6","Reported","Top8")</f>
        <v>0</v>
      </c>
      <c r="H70" s="68">
        <f>_xll.OneStreamExcelAddIn.XFFunctions.XFGetCell("True","Consol", $B70,"Tot_Entity","USD",H$2,H$3,H$4,$C70,"TopFlow","Top","Top","Tot_Los","TOT_Dept_WO_Addbacks","Tot_FC",$A70,"Top5","Top6","Reported","Top8")</f>
        <v>0</v>
      </c>
      <c r="I70" s="68">
        <f>_xll.OneStreamExcelAddIn.XFFunctions.XFGetCell("True","Consol", $B70,"Tot_Entity","USD",I$2,I$3,I$4,$C70,"TopFlow","Top","Top","Tot_Los","TOT_Dept_WO_Addbacks","Tot_FC",$A70,"Top5","Top6","Reported","Top8")</f>
        <v>0</v>
      </c>
      <c r="J70" s="68">
        <f>_xll.OneStreamExcelAddIn.XFFunctions.XFGetCell("True","Consol", $B70,"Tot_Entity","USD",J$2,J$3,J$4,$C70,"TopFlow","Top","Top","Tot_Los","TOT_Dept_WO_Addbacks","Tot_FC",$A70,"Top5","Top6","Reported","Top8")</f>
        <v>0</v>
      </c>
      <c r="K70" s="68">
        <f>_xll.OneStreamExcelAddIn.XFFunctions.XFGetCell("True","Consol", $B70,"Tot_Entity","USD",K$2,K$3,K$4,$C70,"TopFlow","Top","Top","Tot_Los","TOT_Dept_WO_Addbacks","Tot_FC",$A70,"Top5","Top6","Reported","Top8")</f>
        <v>0</v>
      </c>
      <c r="L70" s="68">
        <f>_xll.OneStreamExcelAddIn.XFFunctions.XFGetCell("True","Consol", $B70,"Tot_Entity","USD",L$2,L$3,L$4,$C70,"TopFlow","Top","Top","Tot_Los","TOT_Dept_WO_Addbacks","Tot_FC",$A70,"Top5","Top6","Reported","Top8")</f>
        <v>0</v>
      </c>
      <c r="M70" s="68">
        <f>_xll.OneStreamExcelAddIn.XFFunctions.XFGetCell("True","Consol", $B70,"Tot_Entity","USD",M$2,M$3,M$4,$C70,"TopFlow","Top","Top","Tot_Los","TOT_Dept_WO_Addbacks","Tot_FC",$A70,"Top5","Top6","Reported","Top8")</f>
        <v>0</v>
      </c>
      <c r="N70" s="68">
        <f>_xll.OneStreamExcelAddIn.XFFunctions.XFGetCell("True","Consol", $B70,"Tot_Entity","USD",N$2,N$3,N$4,$C70,"TopFlow","Top","Top","Tot_Los","TOT_Dept_WO_Addbacks","Tot_FC",$A70,"Top5","Top6","Reported","Top8")</f>
        <v>-39676</v>
      </c>
      <c r="O70" s="186">
        <f>_xll.OneStreamExcelAddIn.XFFunctions.XFGetCell("True","Consol", $B70,"Tot_Entity","USD",O$2,O$3,O$4,$C70,"TopFlow","Top","Top","Tot_Los","TOT_Dept_WO_Addbacks","Tot_FC",$A70,"Top5","Top6","Reported","Top8")</f>
        <v>-4352</v>
      </c>
      <c r="P70" s="15">
        <f>_xll.OneStreamExcelAddIn.XFFunctions.XFGetCell("True","Consol", $B70,"Tot_Entity","USD",P$2,P$3,P$4,$C70,"TopFlow","Top","Top","Tot_Los","TOT_Dept_WO_Addbacks","Tot_FC",$A70,"Top5","Top6","Reported","Top8")</f>
        <v>3550.2247216229998</v>
      </c>
      <c r="Q70" s="69">
        <f>_xll.OneStreamExcelAddIn.XFFunctions.XFGetCell("True","Consol", $B70,"Tot_Entity","USD",Q$2,Q$3,Q$4,$C70,"TopFlow","Top","Top","Tot_Los","TOT_Dept_WO_Addbacks","Tot_FC",$A70,"Top5","Top6","Reported","Top8")</f>
        <v>14366.120316855</v>
      </c>
    </row>
    <row r="71" spans="1:17" x14ac:dyDescent="0.2">
      <c r="A71" s="16" t="str">
        <f t="shared" si="8"/>
        <v>Acute_DIV1</v>
      </c>
      <c r="B71" s="15">
        <f t="shared" si="9"/>
        <v>127</v>
      </c>
      <c r="C71" s="14" t="s">
        <v>162</v>
      </c>
      <c r="D71" s="14" t="s">
        <v>163</v>
      </c>
      <c r="E71" s="68">
        <f>_xll.OneStreamExcelAddIn.XFFunctions.XFGetCell("True","Consol", $B71,"Tot_Entity","USD",E$2,E$3,E$4,$C71,"TopFlow","Top","Top","Tot_Los","TOT_Dept_WO_Addbacks","Tot_FC",$A71,"Top5","Top6","Reported","Top8")</f>
        <v>40700.82</v>
      </c>
      <c r="F71" s="68">
        <f>_xll.OneStreamExcelAddIn.XFFunctions.XFGetCell("True","Consol", $B71,"Tot_Entity","USD",F$2,F$3,F$4,$C71,"TopFlow","Top","Top","Tot_Los","TOT_Dept_WO_Addbacks","Tot_FC",$A71,"Top5","Top6","Reported","Top8")</f>
        <v>114835.89</v>
      </c>
      <c r="G71" s="68">
        <f>_xll.OneStreamExcelAddIn.XFFunctions.XFGetCell("True","Consol", $B71,"Tot_Entity","USD",G$2,G$3,G$4,$C71,"TopFlow","Top","Top","Tot_Los","TOT_Dept_WO_Addbacks","Tot_FC",$A71,"Top5","Top6","Reported","Top8")</f>
        <v>21976.14</v>
      </c>
      <c r="H71" s="68">
        <f>_xll.OneStreamExcelAddIn.XFFunctions.XFGetCell("True","Consol", $B71,"Tot_Entity","USD",H$2,H$3,H$4,$C71,"TopFlow","Top","Top","Tot_Los","TOT_Dept_WO_Addbacks","Tot_FC",$A71,"Top5","Top6","Reported","Top8")</f>
        <v>65625</v>
      </c>
      <c r="I71" s="68">
        <f>_xll.OneStreamExcelAddIn.XFFunctions.XFGetCell("True","Consol", $B71,"Tot_Entity","USD",I$2,I$3,I$4,$C71,"TopFlow","Top","Top","Tot_Los","TOT_Dept_WO_Addbacks","Tot_FC",$A71,"Top5","Top6","Reported","Top8")</f>
        <v>35896</v>
      </c>
      <c r="J71" s="68">
        <f>_xll.OneStreamExcelAddIn.XFFunctions.XFGetCell("True","Consol", $B71,"Tot_Entity","USD",J$2,J$3,J$4,$C71,"TopFlow","Top","Top","Tot_Los","TOT_Dept_WO_Addbacks","Tot_FC",$A71,"Top5","Top6","Reported","Top8")</f>
        <v>31824</v>
      </c>
      <c r="K71" s="68">
        <f>_xll.OneStreamExcelAddIn.XFFunctions.XFGetCell("True","Consol", $B71,"Tot_Entity","USD",K$2,K$3,K$4,$C71,"TopFlow","Top","Top","Tot_Los","TOT_Dept_WO_Addbacks","Tot_FC",$A71,"Top5","Top6","Reported","Top8")</f>
        <v>1230</v>
      </c>
      <c r="L71" s="68">
        <f>_xll.OneStreamExcelAddIn.XFFunctions.XFGetCell("True","Consol", $B71,"Tot_Entity","USD",L$2,L$3,L$4,$C71,"TopFlow","Top","Top","Tot_Los","TOT_Dept_WO_Addbacks","Tot_FC",$A71,"Top5","Top6","Reported","Top8")</f>
        <v>18400</v>
      </c>
      <c r="M71" s="68">
        <f>_xll.OneStreamExcelAddIn.XFFunctions.XFGetCell("True","Consol", $B71,"Tot_Entity","USD",M$2,M$3,M$4,$C71,"TopFlow","Top","Top","Tot_Los","TOT_Dept_WO_Addbacks","Tot_FC",$A71,"Top5","Top6","Reported","Top8")</f>
        <v>45432</v>
      </c>
      <c r="N71" s="68">
        <f>_xll.OneStreamExcelAddIn.XFFunctions.XFGetCell("True","Consol", $B71,"Tot_Entity","USD",N$2,N$3,N$4,$C71,"TopFlow","Top","Top","Tot_Los","TOT_Dept_WO_Addbacks","Tot_FC",$A71,"Top5","Top6","Reported","Top8")</f>
        <v>71564</v>
      </c>
      <c r="O71" s="186">
        <f>_xll.OneStreamExcelAddIn.XFFunctions.XFGetCell("True","Consol", $B71,"Tot_Entity","USD",O$2,O$3,O$4,$C71,"TopFlow","Top","Top","Tot_Los","TOT_Dept_WO_Addbacks","Tot_FC",$A71,"Top5","Top6","Reported","Top8")</f>
        <v>79865</v>
      </c>
      <c r="P71" s="15">
        <f>_xll.OneStreamExcelAddIn.XFFunctions.XFGetCell("True","Consol", $B71,"Tot_Entity","USD",P$2,P$3,P$4,$C71,"TopFlow","Top","Top","Tot_Los","TOT_Dept_WO_Addbacks","Tot_FC",$A71,"Top5","Top6","Reported","Top8")</f>
        <v>26626.685412176001</v>
      </c>
      <c r="Q71" s="69">
        <f>_xll.OneStreamExcelAddIn.XFFunctions.XFGetCell("True","Consol", $B71,"Tot_Entity","USD",Q$2,Q$3,Q$4,$C71,"TopFlow","Top","Top","Tot_Los","TOT_Dept_WO_Addbacks","Tot_FC",$A71,"Top5","Top6","Reported","Top8")</f>
        <v>107745.90237641901</v>
      </c>
    </row>
    <row r="72" spans="1:17" x14ac:dyDescent="0.2">
      <c r="A72" s="16" t="str">
        <f t="shared" si="8"/>
        <v>Acute_DIV1</v>
      </c>
      <c r="B72" s="15">
        <f t="shared" si="9"/>
        <v>127</v>
      </c>
      <c r="C72" s="14" t="s">
        <v>164</v>
      </c>
      <c r="D72" s="14" t="s">
        <v>165</v>
      </c>
      <c r="E72" s="68">
        <f>_xll.OneStreamExcelAddIn.XFFunctions.XFGetCell("True","Consol", $B72,"Tot_Entity","USD",E$2,E$3,E$4,$C72,"TopFlow","Top","Top","Tot_Los","TOT_Dept_WO_Addbacks","Tot_FC",$A72,"Top5","Top6","Reported","Top8")</f>
        <v>103354.85</v>
      </c>
      <c r="F72" s="68">
        <f>_xll.OneStreamExcelAddIn.XFFunctions.XFGetCell("True","Consol", $B72,"Tot_Entity","USD",F$2,F$3,F$4,$C72,"TopFlow","Top","Top","Tot_Los","TOT_Dept_WO_Addbacks","Tot_FC",$A72,"Top5","Top6","Reported","Top8")</f>
        <v>44957.45</v>
      </c>
      <c r="G72" s="68">
        <f>_xll.OneStreamExcelAddIn.XFFunctions.XFGetCell("True","Consol", $B72,"Tot_Entity","USD",G$2,G$3,G$4,$C72,"TopFlow","Top","Top","Tot_Los","TOT_Dept_WO_Addbacks","Tot_FC",$A72,"Top5","Top6","Reported","Top8")</f>
        <v>30055.14</v>
      </c>
      <c r="H72" s="68">
        <f>_xll.OneStreamExcelAddIn.XFFunctions.XFGetCell("True","Consol", $B72,"Tot_Entity","USD",H$2,H$3,H$4,$C72,"TopFlow","Top","Top","Tot_Los","TOT_Dept_WO_Addbacks","Tot_FC",$A72,"Top5","Top6","Reported","Top8")</f>
        <v>52064.86</v>
      </c>
      <c r="I72" s="68">
        <f>_xll.OneStreamExcelAddIn.XFFunctions.XFGetCell("True","Consol", $B72,"Tot_Entity","USD",I$2,I$3,I$4,$C72,"TopFlow","Top","Top","Tot_Los","TOT_Dept_WO_Addbacks","Tot_FC",$A72,"Top5","Top6","Reported","Top8")</f>
        <v>63714</v>
      </c>
      <c r="J72" s="68">
        <f>_xll.OneStreamExcelAddIn.XFFunctions.XFGetCell("True","Consol", $B72,"Tot_Entity","USD",J$2,J$3,J$4,$C72,"TopFlow","Top","Top","Tot_Los","TOT_Dept_WO_Addbacks","Tot_FC",$A72,"Top5","Top6","Reported","Top8")</f>
        <v>28792</v>
      </c>
      <c r="K72" s="68">
        <f>_xll.OneStreamExcelAddIn.XFFunctions.XFGetCell("True","Consol", $B72,"Tot_Entity","USD",K$2,K$3,K$4,$C72,"TopFlow","Top","Top","Tot_Los","TOT_Dept_WO_Addbacks","Tot_FC",$A72,"Top5","Top6","Reported","Top8")</f>
        <v>124870.01</v>
      </c>
      <c r="L72" s="68">
        <f>_xll.OneStreamExcelAddIn.XFFunctions.XFGetCell("True","Consol", $B72,"Tot_Entity","USD",L$2,L$3,L$4,$C72,"TopFlow","Top","Top","Tot_Los","TOT_Dept_WO_Addbacks","Tot_FC",$A72,"Top5","Top6","Reported","Top8")</f>
        <v>119864.88</v>
      </c>
      <c r="M72" s="68">
        <f>_xll.OneStreamExcelAddIn.XFFunctions.XFGetCell("True","Consol", $B72,"Tot_Entity","USD",M$2,M$3,M$4,$C72,"TopFlow","Top","Top","Tot_Los","TOT_Dept_WO_Addbacks","Tot_FC",$A72,"Top5","Top6","Reported","Top8")</f>
        <v>42439.519999999997</v>
      </c>
      <c r="N72" s="68">
        <f>_xll.OneStreamExcelAddIn.XFFunctions.XFGetCell("True","Consol", $B72,"Tot_Entity","USD",N$2,N$3,N$4,$C72,"TopFlow","Top","Top","Tot_Los","TOT_Dept_WO_Addbacks","Tot_FC",$A72,"Top5","Top6","Reported","Top8")</f>
        <v>67160</v>
      </c>
      <c r="O72" s="186">
        <f>_xll.OneStreamExcelAddIn.XFFunctions.XFGetCell("True","Consol", $B72,"Tot_Entity","USD",O$2,O$3,O$4,$C72,"TopFlow","Top","Top","Tot_Los","TOT_Dept_WO_Addbacks","Tot_FC",$A72,"Top5","Top6","Reported","Top8")</f>
        <v>39727.919999999998</v>
      </c>
      <c r="P72" s="15">
        <f>_xll.OneStreamExcelAddIn.XFFunctions.XFGetCell("True","Consol", $B72,"Tot_Entity","USD",P$2,P$3,P$4,$C72,"TopFlow","Top","Top","Tot_Los","TOT_Dept_WO_Addbacks","Tot_FC",$A72,"Top5","Top6","Reported","Top8")</f>
        <v>35502.247216233001</v>
      </c>
      <c r="Q72" s="69">
        <f>_xll.OneStreamExcelAddIn.XFFunctions.XFGetCell("True","Consol", $B72,"Tot_Entity","USD",Q$2,Q$3,Q$4,$C72,"TopFlow","Top","Top","Tot_Los","TOT_Dept_WO_Addbacks","Tot_FC",$A72,"Top5","Top6","Reported","Top8")</f>
        <v>143661.20316855499</v>
      </c>
    </row>
    <row r="73" spans="1:17" x14ac:dyDescent="0.2">
      <c r="A73" s="16" t="str">
        <f t="shared" si="8"/>
        <v>Acute_DIV1</v>
      </c>
      <c r="B73" s="15">
        <f t="shared" si="9"/>
        <v>127</v>
      </c>
      <c r="C73" s="14" t="s">
        <v>166</v>
      </c>
      <c r="D73" s="14" t="s">
        <v>167</v>
      </c>
      <c r="E73" s="68">
        <f>_xll.OneStreamExcelAddIn.XFFunctions.XFGetCell("True","Consol", $B73,"Tot_Entity","USD",E$2,E$3,E$4,$C73,"TopFlow","Top","Top","Tot_Los","TOT_Dept_WO_Addbacks","Tot_FC",$A73,"Top5","Top6","Reported","Top8")</f>
        <v>63731.13</v>
      </c>
      <c r="F73" s="68">
        <f>_xll.OneStreamExcelAddIn.XFFunctions.XFGetCell("True","Consol", $B73,"Tot_Entity","USD",F$2,F$3,F$4,$C73,"TopFlow","Top","Top","Tot_Los","TOT_Dept_WO_Addbacks","Tot_FC",$A73,"Top5","Top6","Reported","Top8")</f>
        <v>111390.77</v>
      </c>
      <c r="G73" s="68">
        <f>_xll.OneStreamExcelAddIn.XFFunctions.XFGetCell("True","Consol", $B73,"Tot_Entity","USD",G$2,G$3,G$4,$C73,"TopFlow","Top","Top","Tot_Los","TOT_Dept_WO_Addbacks","Tot_FC",$A73,"Top5","Top6","Reported","Top8")</f>
        <v>163507.42000000001</v>
      </c>
      <c r="H73" s="68">
        <f>_xll.OneStreamExcelAddIn.XFFunctions.XFGetCell("True","Consol", $B73,"Tot_Entity","USD",H$2,H$3,H$4,$C73,"TopFlow","Top","Top","Tot_Los","TOT_Dept_WO_Addbacks","Tot_FC",$A73,"Top5","Top6","Reported","Top8")</f>
        <v>1991039.7800000003</v>
      </c>
      <c r="I73" s="68">
        <f>_xll.OneStreamExcelAddIn.XFFunctions.XFGetCell("True","Consol", $B73,"Tot_Entity","USD",I$2,I$3,I$4,$C73,"TopFlow","Top","Top","Tot_Los","TOT_Dept_WO_Addbacks","Tot_FC",$A73,"Top5","Top6","Reported","Top8")</f>
        <v>438052.82</v>
      </c>
      <c r="J73" s="68">
        <f>_xll.OneStreamExcelAddIn.XFFunctions.XFGetCell("True","Consol", $B73,"Tot_Entity","USD",J$2,J$3,J$4,$C73,"TopFlow","Top","Top","Tot_Los","TOT_Dept_WO_Addbacks","Tot_FC",$A73,"Top5","Top6","Reported","Top8")</f>
        <v>-230889.57</v>
      </c>
      <c r="K73" s="68">
        <f>_xll.OneStreamExcelAddIn.XFFunctions.XFGetCell("True","Consol", $B73,"Tot_Entity","USD",K$2,K$3,K$4,$C73,"TopFlow","Top","Top","Tot_Los","TOT_Dept_WO_Addbacks","Tot_FC",$A73,"Top5","Top6","Reported","Top8")</f>
        <v>472360.71</v>
      </c>
      <c r="L73" s="68">
        <f>_xll.OneStreamExcelAddIn.XFFunctions.XFGetCell("True","Consol", $B73,"Tot_Entity","USD",L$2,L$3,L$4,$C73,"TopFlow","Top","Top","Tot_Los","TOT_Dept_WO_Addbacks","Tot_FC",$A73,"Top5","Top6","Reported","Top8")</f>
        <v>111222.15</v>
      </c>
      <c r="M73" s="68">
        <f>_xll.OneStreamExcelAddIn.XFFunctions.XFGetCell("True","Consol", $B73,"Tot_Entity","USD",M$2,M$3,M$4,$C73,"TopFlow","Top","Top","Tot_Los","TOT_Dept_WO_Addbacks","Tot_FC",$A73,"Top5","Top6","Reported","Top8")</f>
        <v>80111.839999999997</v>
      </c>
      <c r="N73" s="68">
        <f>_xll.OneStreamExcelAddIn.XFFunctions.XFGetCell("True","Consol", $B73,"Tot_Entity","USD",N$2,N$3,N$4,$C73,"TopFlow","Top","Top","Tot_Los","TOT_Dept_WO_Addbacks","Tot_FC",$A73,"Top5","Top6","Reported","Top8")</f>
        <v>-131385.75</v>
      </c>
      <c r="O73" s="186">
        <f>_xll.OneStreamExcelAddIn.XFFunctions.XFGetCell("True","Consol", $B73,"Tot_Entity","USD",O$2,O$3,O$4,$C73,"TopFlow","Top","Top","Tot_Los","TOT_Dept_WO_Addbacks","Tot_FC",$A73,"Top5","Top6","Reported","Top8")</f>
        <v>-401554.03</v>
      </c>
      <c r="P73" s="15">
        <f>_xll.OneStreamExcelAddIn.XFFunctions.XFGetCell("True","Consol", $B73,"Tot_Entity","USD",P$2,P$3,P$4,$C73,"TopFlow","Top","Top","Tot_Los","TOT_Dept_WO_Addbacks","Tot_FC",$A73,"Top5","Top6","Reported","Top8")</f>
        <v>191440.81914019899</v>
      </c>
      <c r="Q73" s="69">
        <f>_xll.OneStreamExcelAddIn.XFFunctions.XFGetCell("True","Consol", $B73,"Tot_Entity","USD",Q$2,Q$3,Q$4,$C73,"TopFlow","Top","Top","Tot_Los","TOT_Dept_WO_Addbacks","Tot_FC",$A73,"Top5","Top6","Reported","Top8")</f>
        <v>767503.80791781296</v>
      </c>
    </row>
    <row r="74" spans="1:17" x14ac:dyDescent="0.2">
      <c r="B74" s="2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185"/>
    </row>
    <row r="75" spans="1:17" s="24" customFormat="1" x14ac:dyDescent="0.2">
      <c r="B75" s="25"/>
      <c r="C75" s="26"/>
      <c r="D75" s="27" t="s">
        <v>62</v>
      </c>
      <c r="E75" s="28">
        <f>+E55/E17</f>
        <v>10376.283921631091</v>
      </c>
      <c r="F75" s="28">
        <f t="shared" ref="F75:Q75" si="10">+F55/F17</f>
        <v>1885.8721785123967</v>
      </c>
      <c r="G75" s="28">
        <f t="shared" si="10"/>
        <v>2015.1178795714811</v>
      </c>
      <c r="H75" s="28">
        <f t="shared" si="10"/>
        <v>1411.1160729927008</v>
      </c>
      <c r="I75" s="28">
        <f t="shared" si="10"/>
        <v>1868.5941635176914</v>
      </c>
      <c r="J75" s="28">
        <f t="shared" si="10"/>
        <v>1914.4001625708884</v>
      </c>
      <c r="K75" s="28">
        <f t="shared" si="10"/>
        <v>2342.2679174147215</v>
      </c>
      <c r="L75" s="28">
        <f t="shared" si="10"/>
        <v>2208.6361220393414</v>
      </c>
      <c r="M75" s="28">
        <f t="shared" si="10"/>
        <v>2298.8130166270785</v>
      </c>
      <c r="N75" s="28">
        <f t="shared" si="10"/>
        <v>1222.6659003558721</v>
      </c>
      <c r="O75" s="190">
        <f t="shared" si="10"/>
        <v>2313.8556947162424</v>
      </c>
      <c r="P75" s="28">
        <f t="shared" si="10"/>
        <v>1996.9217538106188</v>
      </c>
      <c r="Q75" s="28">
        <f t="shared" si="10"/>
        <v>2069.2003885607805</v>
      </c>
    </row>
    <row r="76" spans="1:17" x14ac:dyDescent="0.2">
      <c r="B76" s="2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185"/>
    </row>
    <row r="77" spans="1:17" s="24" customFormat="1" x14ac:dyDescent="0.2">
      <c r="B77" s="25"/>
      <c r="C77" s="26"/>
      <c r="D77" s="27" t="s">
        <v>168</v>
      </c>
      <c r="E77" s="28">
        <f>+IF(E57=0,0,E57/E21)</f>
        <v>2109.421885714286</v>
      </c>
      <c r="F77" s="28">
        <f t="shared" ref="F77:Q77" si="11">+IF(F57=0,0,F57/F21)</f>
        <v>1342.6855018587362</v>
      </c>
      <c r="G77" s="28">
        <f t="shared" si="11"/>
        <v>276.9808597285068</v>
      </c>
      <c r="H77" s="28">
        <f t="shared" si="11"/>
        <v>845.55821428571426</v>
      </c>
      <c r="I77" s="28">
        <f t="shared" si="11"/>
        <v>771.08360000000005</v>
      </c>
      <c r="J77" s="28">
        <f t="shared" si="11"/>
        <v>837.48265306122448</v>
      </c>
      <c r="K77" s="28">
        <f t="shared" si="11"/>
        <v>1577.3855223880598</v>
      </c>
      <c r="L77" s="28">
        <f t="shared" si="11"/>
        <v>770.75111111111107</v>
      </c>
      <c r="M77" s="28">
        <f t="shared" si="11"/>
        <v>768.04932367149752</v>
      </c>
      <c r="N77" s="28">
        <f t="shared" si="11"/>
        <v>844.57296577946772</v>
      </c>
      <c r="O77" s="190">
        <f t="shared" si="11"/>
        <v>1175.6434431137725</v>
      </c>
      <c r="P77" s="28">
        <f t="shared" si="11"/>
        <v>762.50619602957477</v>
      </c>
      <c r="Q77" s="28">
        <f t="shared" si="11"/>
        <v>802.21056880205924</v>
      </c>
    </row>
    <row r="78" spans="1:17" s="24" customFormat="1" x14ac:dyDescent="0.2">
      <c r="B78" s="25"/>
      <c r="C78" s="26"/>
      <c r="D78" s="27" t="s">
        <v>169</v>
      </c>
      <c r="E78" s="28">
        <f t="shared" ref="E78:Q81" si="12">+IF(E58=0,0,E58/E22)</f>
        <v>14991.50162813102</v>
      </c>
      <c r="F78" s="28">
        <f t="shared" si="12"/>
        <v>2314.4867995961636</v>
      </c>
      <c r="G78" s="28">
        <f t="shared" si="12"/>
        <v>2652.8887589630449</v>
      </c>
      <c r="H78" s="28">
        <f t="shared" si="12"/>
        <v>1492.1781697612732</v>
      </c>
      <c r="I78" s="28">
        <f t="shared" si="12"/>
        <v>2668.6417740286297</v>
      </c>
      <c r="J78" s="28">
        <f t="shared" si="12"/>
        <v>2648.3660550458717</v>
      </c>
      <c r="K78" s="28">
        <f t="shared" si="12"/>
        <v>3241.969390625</v>
      </c>
      <c r="L78" s="28">
        <f t="shared" si="12"/>
        <v>2874.5314571092831</v>
      </c>
      <c r="M78" s="28">
        <f t="shared" si="12"/>
        <v>2735.3673966220153</v>
      </c>
      <c r="N78" s="28">
        <f t="shared" si="12"/>
        <v>1250.7519335511984</v>
      </c>
      <c r="O78" s="190">
        <f t="shared" si="12"/>
        <v>3021.0218852999342</v>
      </c>
      <c r="P78" s="28">
        <f t="shared" si="12"/>
        <v>2690.2217589379343</v>
      </c>
      <c r="Q78" s="28">
        <f t="shared" si="12"/>
        <v>2693.1026451463595</v>
      </c>
    </row>
    <row r="79" spans="1:17" s="24" customFormat="1" x14ac:dyDescent="0.2">
      <c r="B79" s="25"/>
      <c r="C79" s="26"/>
      <c r="D79" s="27" t="s">
        <v>170</v>
      </c>
      <c r="E79" s="28">
        <f t="shared" si="12"/>
        <v>957.87432038834947</v>
      </c>
      <c r="F79" s="28">
        <f t="shared" si="12"/>
        <v>1007.084486111111</v>
      </c>
      <c r="G79" s="28">
        <f t="shared" si="12"/>
        <v>1059.2423088923556</v>
      </c>
      <c r="H79" s="28">
        <f t="shared" si="12"/>
        <v>-1219.0267279411764</v>
      </c>
      <c r="I79" s="28">
        <f t="shared" si="12"/>
        <v>1701.6697409326425</v>
      </c>
      <c r="J79" s="28">
        <f t="shared" si="12"/>
        <v>2291.2313793103449</v>
      </c>
      <c r="K79" s="28">
        <f t="shared" si="12"/>
        <v>860.67530377668311</v>
      </c>
      <c r="L79" s="28">
        <f t="shared" si="12"/>
        <v>1136.3248183556404</v>
      </c>
      <c r="M79" s="28">
        <f t="shared" si="12"/>
        <v>1678.2807575757577</v>
      </c>
      <c r="N79" s="28">
        <f t="shared" si="12"/>
        <v>1329.5767267267267</v>
      </c>
      <c r="O79" s="190">
        <f t="shared" si="12"/>
        <v>1097.5457450076806</v>
      </c>
      <c r="P79" s="28">
        <f t="shared" si="12"/>
        <v>1041.6831733816837</v>
      </c>
      <c r="Q79" s="28">
        <f t="shared" si="12"/>
        <v>1016.282504327626</v>
      </c>
    </row>
    <row r="80" spans="1:17" s="24" customFormat="1" x14ac:dyDescent="0.2">
      <c r="B80" s="25"/>
      <c r="C80" s="26"/>
      <c r="D80" s="27" t="s">
        <v>171</v>
      </c>
      <c r="E80" s="28">
        <f t="shared" si="12"/>
        <v>437.47642857142858</v>
      </c>
      <c r="F80" s="28">
        <f t="shared" si="12"/>
        <v>-659.42</v>
      </c>
      <c r="G80" s="28">
        <f t="shared" si="12"/>
        <v>725.12153846153842</v>
      </c>
      <c r="H80" s="28" t="e">
        <f t="shared" si="12"/>
        <v>#DIV/0!</v>
      </c>
      <c r="I80" s="28">
        <f t="shared" si="12"/>
        <v>695.88702702702699</v>
      </c>
      <c r="J80" s="28">
        <f t="shared" si="12"/>
        <v>827.23599999999999</v>
      </c>
      <c r="K80" s="28">
        <f t="shared" si="12"/>
        <v>2099.9969767441858</v>
      </c>
      <c r="L80" s="28">
        <f t="shared" si="12"/>
        <v>678.41111111111104</v>
      </c>
      <c r="M80" s="28">
        <f t="shared" si="12"/>
        <v>1158.3354545454547</v>
      </c>
      <c r="N80" s="28">
        <f t="shared" si="12"/>
        <v>1067.7940000000001</v>
      </c>
      <c r="O80" s="190">
        <f t="shared" si="12"/>
        <v>583.22090909090912</v>
      </c>
      <c r="P80" s="28">
        <f t="shared" si="12"/>
        <v>682.18718979799132</v>
      </c>
      <c r="Q80" s="28">
        <f t="shared" si="12"/>
        <v>682.18718979792357</v>
      </c>
    </row>
    <row r="81" spans="1:17" s="24" customFormat="1" x14ac:dyDescent="0.2">
      <c r="B81" s="25"/>
      <c r="C81" s="26"/>
      <c r="D81" s="27" t="s">
        <v>172</v>
      </c>
      <c r="E81" s="28">
        <f t="shared" si="12"/>
        <v>1387.7677777777778</v>
      </c>
      <c r="F81" s="28">
        <f>IFERROR(+IF(F61=0,0,F61/F25),0)</f>
        <v>632.24407407407409</v>
      </c>
      <c r="G81" s="28">
        <f t="shared" si="12"/>
        <v>-18967.244999999999</v>
      </c>
      <c r="H81" s="28">
        <f t="shared" si="12"/>
        <v>48270.684193548383</v>
      </c>
      <c r="I81" s="28">
        <f t="shared" si="12"/>
        <v>-74428.747857142851</v>
      </c>
      <c r="J81" s="28">
        <f t="shared" si="12"/>
        <v>-78283.737272727274</v>
      </c>
      <c r="K81" s="28">
        <f t="shared" si="12"/>
        <v>1130.7732142857144</v>
      </c>
      <c r="L81" s="28">
        <f t="shared" si="12"/>
        <v>-5116.6087500000003</v>
      </c>
      <c r="M81" s="28">
        <f t="shared" si="12"/>
        <v>761.03903846153844</v>
      </c>
      <c r="N81" s="28">
        <f t="shared" si="12"/>
        <v>600.34</v>
      </c>
      <c r="O81" s="190">
        <f t="shared" si="12"/>
        <v>5129.2495238095244</v>
      </c>
      <c r="P81" s="28">
        <f t="shared" si="12"/>
        <v>312.94081643785404</v>
      </c>
      <c r="Q81" s="28">
        <f t="shared" si="12"/>
        <v>2868.488555109921</v>
      </c>
    </row>
    <row r="82" spans="1:17" x14ac:dyDescent="0.2">
      <c r="B82" s="2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185"/>
    </row>
    <row r="83" spans="1:17" s="4" customFormat="1" ht="5.0999999999999996" customHeight="1" x14ac:dyDescent="0.2">
      <c r="B83" s="22"/>
      <c r="C83" s="23"/>
      <c r="D83" s="23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185"/>
      <c r="Q83" s="11"/>
    </row>
    <row r="84" spans="1:17" x14ac:dyDescent="0.2">
      <c r="B84" s="2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185"/>
    </row>
    <row r="85" spans="1:17" x14ac:dyDescent="0.2">
      <c r="A85" s="16" t="str">
        <f>+$A$8</f>
        <v>Acute_DIV1</v>
      </c>
      <c r="B85" s="15">
        <f>+$B$8</f>
        <v>127</v>
      </c>
      <c r="C85" s="14">
        <v>92103</v>
      </c>
      <c r="D85" s="14" t="s">
        <v>173</v>
      </c>
      <c r="E85" s="76">
        <f>_xll.OneStreamExcelAddIn.XFFunctions.XFGetCell("True","Consol", $B85,"Tot_Entity","USD",E$2,E$3,E$4,$C85,"TopFlow","Top","Top","Tot_Los","TOT_Dept_WO_Addbacks","Tot_FC",$A85,"Top5","Top6","Reported","Top8")</f>
        <v>2.2906417710141702</v>
      </c>
      <c r="F85" s="76">
        <f>_xll.OneStreamExcelAddIn.XFFunctions.XFGetCell("True","Consol", $B85,"Tot_Entity","USD",F$2,F$3,F$4,$C85,"TopFlow","Top","Top","Tot_Los","TOT_Dept_WO_Addbacks","Tot_FC",$A85,"Top5","Top6","Reported","Top8")</f>
        <v>2.4025492689071299</v>
      </c>
      <c r="G85" s="76">
        <f>_xll.OneStreamExcelAddIn.XFFunctions.XFGetCell("True","Consol", $B85,"Tot_Entity","USD",G$2,G$3,G$4,$C85,"TopFlow","Top","Top","Tot_Los","TOT_Dept_WO_Addbacks","Tot_FC",$A85,"Top5","Top6","Reported","Top8")</f>
        <v>2.4472663465031701</v>
      </c>
      <c r="H85" s="76">
        <f>_xll.OneStreamExcelAddIn.XFFunctions.XFGetCell("True","Consol", $B85,"Tot_Entity","USD",H$2,H$3,H$4,$C85,"TopFlow","Top","Top","Tot_Los","TOT_Dept_WO_Addbacks","Tot_FC",$A85,"Top5","Top6","Reported","Top8")</f>
        <v>2.3333818781527298</v>
      </c>
      <c r="I85" s="76">
        <f>_xll.OneStreamExcelAddIn.XFFunctions.XFGetCell("True","Consol", $B85,"Tot_Entity","USD",I$2,I$3,I$4,$C85,"TopFlow","Top","Top","Tot_Los","TOT_Dept_WO_Addbacks","Tot_FC",$A85,"Top5","Top6","Reported","Top8")</f>
        <v>2.1912490420897002</v>
      </c>
      <c r="J85" s="76">
        <f>_xll.OneStreamExcelAddIn.XFFunctions.XFGetCell("True","Consol", $B85,"Tot_Entity","USD",J$2,J$3,J$4,$C85,"TopFlow","Top","Top","Tot_Los","TOT_Dept_WO_Addbacks","Tot_FC",$A85,"Top5","Top6","Reported","Top8")</f>
        <v>2.1842545804804301</v>
      </c>
      <c r="K85" s="76">
        <f>_xll.OneStreamExcelAddIn.XFFunctions.XFGetCell("True","Consol", $B85,"Tot_Entity","USD",K$2,K$3,K$4,$C85,"TopFlow","Top","Top","Tot_Los","TOT_Dept_WO_Addbacks","Tot_FC",$A85,"Top5","Top6","Reported","Top8")</f>
        <v>2.8100551546680101</v>
      </c>
      <c r="L85" s="76">
        <f>_xll.OneStreamExcelAddIn.XFFunctions.XFGetCell("True","Consol", $B85,"Tot_Entity","USD",L$2,L$3,L$4,$C85,"TopFlow","Top","Top","Tot_Los","TOT_Dept_WO_Addbacks","Tot_FC",$A85,"Top5","Top6","Reported","Top8")</f>
        <v>2.4187604221292598</v>
      </c>
      <c r="M85" s="76">
        <f>_xll.OneStreamExcelAddIn.XFFunctions.XFGetCell("True","Consol", $B85,"Tot_Entity","USD",M$2,M$3,M$4,$C85,"TopFlow","Top","Top","Tot_Los","TOT_Dept_WO_Addbacks","Tot_FC",$A85,"Top5","Top6","Reported","Top8")</f>
        <v>2.2765260521292499</v>
      </c>
      <c r="N85" s="76">
        <f>_xll.OneStreamExcelAddIn.XFFunctions.XFGetCell("True","Consol", $B85,"Tot_Entity","USD",N$2,N$3,N$4,$C85,"TopFlow","Top","Top","Tot_Los","TOT_Dept_WO_Addbacks","Tot_FC",$A85,"Top5","Top6","Reported","Top8")</f>
        <v>2.11767631911618</v>
      </c>
      <c r="O85" s="191">
        <f>_xll.OneStreamExcelAddIn.XFFunctions.XFGetCell("True","Consol", $B85,"Tot_Entity","USD",O$2,O$3,O$4,$C85,"TopFlow","Top","Top","Tot_Los","TOT_Dept_WO_Addbacks","Tot_FC",$A85,"Top5","Top6","Reported","Top8")</f>
        <v>2.23791208790671</v>
      </c>
      <c r="P85" s="34">
        <f>_xll.OneStreamExcelAddIn.XFFunctions.XFGetCell("True","Consol", $B85,"Tot_Entity","USD",P$2,P$3,P$4,$C85,"TopFlow","Top","Top","Tot_Los","TOT_Dept_WO_Addbacks","Tot_FC",$A85,"Top5","Top6","Reported","Top8")</f>
        <v>0</v>
      </c>
      <c r="Q85" s="77">
        <f>_xll.OneStreamExcelAddIn.XFFunctions.XFGetCell("True","Consol", $B85,"Tot_Entity","USD",Q$2,Q$3,Q$4,$C85,"TopFlow","Top","Top","Tot_Los","TOT_Dept_WO_Addbacks","Tot_FC",$A85,"Top5","Top6","Reported","Top8")</f>
        <v>0</v>
      </c>
    </row>
    <row r="86" spans="1:17" x14ac:dyDescent="0.2">
      <c r="A86" s="16" t="str">
        <f>+$A$8</f>
        <v>Acute_DIV1</v>
      </c>
      <c r="B86" s="15">
        <f>+$B$8</f>
        <v>127</v>
      </c>
      <c r="C86" s="14">
        <v>92101</v>
      </c>
      <c r="D86" s="14" t="s">
        <v>175</v>
      </c>
      <c r="E86" s="76">
        <f>_xll.OneStreamExcelAddIn.XFFunctions.XFGetCell("True","Consol", $B86,"Tot_Entity","USD",E$2,E$3,E$4,$C86,"TopFlow","Top","Top","Tot_Los","TOT_Dept_WO_Addbacks","Tot_FC",$A86,"Top5","Top6","Reported","Top8")</f>
        <v>2.28495149951382</v>
      </c>
      <c r="F86" s="76">
        <f>_xll.OneStreamExcelAddIn.XFFunctions.XFGetCell("True","Consol", $B86,"Tot_Entity","USD",F$2,F$3,F$4,$C86,"TopFlow","Top","Top","Tot_Los","TOT_Dept_WO_Addbacks","Tot_FC",$A86,"Top5","Top6","Reported","Top8")</f>
        <v>2.3385870793135601</v>
      </c>
      <c r="G86" s="76">
        <f>_xll.OneStreamExcelAddIn.XFFunctions.XFGetCell("True","Consol", $B86,"Tot_Entity","USD",G$2,G$3,G$4,$C86,"TopFlow","Top","Top","Tot_Los","TOT_Dept_WO_Addbacks","Tot_FC",$A86,"Top5","Top6","Reported","Top8")</f>
        <v>2.4396919480502102</v>
      </c>
      <c r="H86" s="76">
        <f>_xll.OneStreamExcelAddIn.XFFunctions.XFGetCell("True","Consol", $B86,"Tot_Entity","USD",H$2,H$3,H$4,$C86,"TopFlow","Top","Top","Tot_Los","TOT_Dept_WO_Addbacks","Tot_FC",$A86,"Top5","Top6","Reported","Top8")</f>
        <v>2.2990938545029</v>
      </c>
      <c r="I86" s="76">
        <f>_xll.OneStreamExcelAddIn.XFFunctions.XFGetCell("True","Consol", $B86,"Tot_Entity","USD",I$2,I$3,I$4,$C86,"TopFlow","Top","Top","Tot_Los","TOT_Dept_WO_Addbacks","Tot_FC",$A86,"Top5","Top6","Reported","Top8")</f>
        <v>2.1581412252192802</v>
      </c>
      <c r="J86" s="76">
        <f>_xll.OneStreamExcelAddIn.XFFunctions.XFGetCell("True","Consol", $B86,"Tot_Entity","USD",J$2,J$3,J$4,$C86,"TopFlow","Top","Top","Tot_Los","TOT_Dept_WO_Addbacks","Tot_FC",$A86,"Top5","Top6","Reported","Top8")</f>
        <v>2.1393229709204</v>
      </c>
      <c r="K86" s="76">
        <f>_xll.OneStreamExcelAddIn.XFFunctions.XFGetCell("True","Consol", $B86,"Tot_Entity","USD",K$2,K$3,K$4,$C86,"TopFlow","Top","Top","Tot_Los","TOT_Dept_WO_Addbacks","Tot_FC",$A86,"Top5","Top6","Reported","Top8")</f>
        <v>2.77471392107506</v>
      </c>
      <c r="L86" s="76">
        <f>_xll.OneStreamExcelAddIn.XFFunctions.XFGetCell("True","Consol", $B86,"Tot_Entity","USD",L$2,L$3,L$4,$C86,"TopFlow","Top","Top","Tot_Los","TOT_Dept_WO_Addbacks","Tot_FC",$A86,"Top5","Top6","Reported","Top8")</f>
        <v>2.3755271897540302</v>
      </c>
      <c r="M86" s="76">
        <f>_xll.OneStreamExcelAddIn.XFFunctions.XFGetCell("True","Consol", $B86,"Tot_Entity","USD",M$2,M$3,M$4,$C86,"TopFlow","Top","Top","Tot_Los","TOT_Dept_WO_Addbacks","Tot_FC",$A86,"Top5","Top6","Reported","Top8")</f>
        <v>2.23579080940512</v>
      </c>
      <c r="N86" s="76">
        <f>_xll.OneStreamExcelAddIn.XFFunctions.XFGetCell("True","Consol", $B86,"Tot_Entity","USD",N$2,N$3,N$4,$C86,"TopFlow","Top","Top","Tot_Los","TOT_Dept_WO_Addbacks","Tot_FC",$A86,"Top5","Top6","Reported","Top8")</f>
        <v>2.0527258348645998</v>
      </c>
      <c r="O86" s="191">
        <f>_xll.OneStreamExcelAddIn.XFFunctions.XFGetCell("True","Consol", $B86,"Tot_Entity","USD",O$2,O$3,O$4,$C86,"TopFlow","Top","Top","Tot_Los","TOT_Dept_WO_Addbacks","Tot_FC",$A86,"Top5","Top6","Reported","Top8")</f>
        <v>2.2658354027138699</v>
      </c>
      <c r="P86" s="34">
        <f>_xll.OneStreamExcelAddIn.XFFunctions.XFGetCell("True","Consol", $B86,"Tot_Entity","USD",P$2,P$3,P$4,$C86,"TopFlow","Top","Top","Tot_Los","TOT_Dept_WO_Addbacks","Tot_FC",$A86,"Top5","Top6","Reported","Top8")</f>
        <v>0</v>
      </c>
      <c r="Q86" s="77">
        <f>_xll.OneStreamExcelAddIn.XFFunctions.XFGetCell("True","Consol", $B86,"Tot_Entity","USD",Q$2,Q$3,Q$4,$C86,"TopFlow","Top","Top","Tot_Los","TOT_Dept_WO_Addbacks","Tot_FC",$A86,"Top5","Top6","Reported","Top8")</f>
        <v>0</v>
      </c>
    </row>
    <row r="87" spans="1:17" x14ac:dyDescent="0.2">
      <c r="B87" s="2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185"/>
    </row>
    <row r="88" spans="1:17" x14ac:dyDescent="0.2">
      <c r="A88" s="16" t="str">
        <f t="shared" ref="A88:A93" si="13">+$A$8</f>
        <v>Acute_DIV1</v>
      </c>
      <c r="B88" s="15">
        <f t="shared" ref="B88:B93" si="14">+$B$8</f>
        <v>127</v>
      </c>
      <c r="C88" s="14">
        <v>93008</v>
      </c>
      <c r="D88" s="14" t="s">
        <v>177</v>
      </c>
      <c r="E88" s="68">
        <f>_xll.OneStreamExcelAddIn.XFFunctions.XFGetCell("True","Consol", $B88,"Tot_Entity","USD",E$2,E$3,E$4,$C88,"TopFlow","Top","Top","Tot_Los","TOT_Dept_WO_Addbacks","Tot_FC",$A88,"Top5","Top6","Reported","Top8")</f>
        <v>239.12764423019399</v>
      </c>
      <c r="F88" s="68">
        <f>_xll.OneStreamExcelAddIn.XFFunctions.XFGetCell("True","Consol", $B88,"Tot_Entity","USD",F$2,F$3,F$4,$C88,"TopFlow","Top","Top","Tot_Los","TOT_Dept_WO_Addbacks","Tot_FC",$A88,"Top5","Top6","Reported","Top8")</f>
        <v>206.688042803473</v>
      </c>
      <c r="G88" s="68">
        <f>_xll.OneStreamExcelAddIn.XFFunctions.XFGetCell("True","Consol", $B88,"Tot_Entity","USD",G$2,G$3,G$4,$C88,"TopFlow","Top","Top","Tot_Los","TOT_Dept_WO_Addbacks","Tot_FC",$A88,"Top5","Top6","Reported","Top8")</f>
        <v>201.17455024765499</v>
      </c>
      <c r="H88" s="68">
        <f>_xll.OneStreamExcelAddIn.XFFunctions.XFGetCell("True","Consol", $B88,"Tot_Entity","USD",H$2,H$3,H$4,$C88,"TopFlow","Top","Top","Tot_Los","TOT_Dept_WO_Addbacks","Tot_FC",$A88,"Top5","Top6","Reported","Top8")</f>
        <v>192.38541666620401</v>
      </c>
      <c r="I88" s="68">
        <f>_xll.OneStreamExcelAddIn.XFFunctions.XFGetCell("True","Consol", $B88,"Tot_Entity","USD",I$2,I$3,I$4,$C88,"TopFlow","Top","Top","Tot_Los","TOT_Dept_WO_Addbacks","Tot_FC",$A88,"Top5","Top6","Reported","Top8")</f>
        <v>195.91578784071999</v>
      </c>
      <c r="J88" s="68">
        <f>_xll.OneStreamExcelAddIn.XFFunctions.XFGetCell("True","Consol", $B88,"Tot_Entity","USD",J$2,J$3,J$4,$C88,"TopFlow","Top","Top","Tot_Los","TOT_Dept_WO_Addbacks","Tot_FC",$A88,"Top5","Top6","Reported","Top8")</f>
        <v>165.26778846114101</v>
      </c>
      <c r="K88" s="68">
        <f>_xll.OneStreamExcelAddIn.XFFunctions.XFGetCell("True","Consol", $B88,"Tot_Entity","USD",K$2,K$3,K$4,$C88,"TopFlow","Top","Top","Tot_Los","TOT_Dept_WO_Addbacks","Tot_FC",$A88,"Top5","Top6","Reported","Top8")</f>
        <v>178.82622518567399</v>
      </c>
      <c r="L88" s="68">
        <f>_xll.OneStreamExcelAddIn.XFFunctions.XFGetCell("True","Consol", $B88,"Tot_Entity","USD",L$2,L$3,L$4,$C88,"TopFlow","Top","Top","Tot_Los","TOT_Dept_WO_Addbacks","Tot_FC",$A88,"Top5","Top6","Reported","Top8")</f>
        <v>175.61662530975201</v>
      </c>
      <c r="M88" s="68">
        <f>_xll.OneStreamExcelAddIn.XFFunctions.XFGetCell("True","Consol", $B88,"Tot_Entity","USD",M$2,M$3,M$4,$C88,"TopFlow","Top","Top","Tot_Los","TOT_Dept_WO_Addbacks","Tot_FC",$A88,"Top5","Top6","Reported","Top8")</f>
        <v>186.59246222482599</v>
      </c>
      <c r="N88" s="68">
        <f>_xll.OneStreamExcelAddIn.XFFunctions.XFGetCell("True","Consol", $B88,"Tot_Entity","USD",N$2,N$3,N$4,$C88,"TopFlow","Top","Top","Tot_Los","TOT_Dept_WO_Addbacks","Tot_FC",$A88,"Top5","Top6","Reported","Top8")</f>
        <v>185.73037453429299</v>
      </c>
      <c r="O88" s="186">
        <f>_xll.OneStreamExcelAddIn.XFFunctions.XFGetCell("True","Consol", $B88,"Tot_Entity","USD",O$2,O$3,O$4,$C88,"TopFlow","Top","Top","Tot_Los","TOT_Dept_WO_Addbacks","Tot_FC",$A88,"Top5","Top6","Reported","Top8")</f>
        <v>183.792708332892</v>
      </c>
      <c r="P88" s="15">
        <f>_xll.OneStreamExcelAddIn.XFFunctions.XFGetCell("True","Consol", $B88,"Tot_Entity","USD",P$2,P$3,P$4,$C88,"TopFlow","Top","Top","Tot_Los","TOT_Dept_WO_Addbacks","Tot_FC",$A88,"Top5","Top6","Reported","Top8")</f>
        <v>0</v>
      </c>
      <c r="Q88" s="69">
        <f>_xll.OneStreamExcelAddIn.XFFunctions.XFGetCell("True","Consol", $B88,"Tot_Entity","USD",Q$2,Q$3,Q$4,$C88,"TopFlow","Top","Top","Tot_Los","TOT_Dept_WO_Addbacks","Tot_FC",$A88,"Top5","Top6","Reported","Top8")</f>
        <v>0</v>
      </c>
    </row>
    <row r="89" spans="1:17" x14ac:dyDescent="0.2">
      <c r="A89" s="16" t="str">
        <f t="shared" si="13"/>
        <v>Acute_DIV1</v>
      </c>
      <c r="B89" s="15">
        <f t="shared" si="14"/>
        <v>127</v>
      </c>
      <c r="C89" s="14">
        <v>93009</v>
      </c>
      <c r="D89" s="14" t="s">
        <v>79</v>
      </c>
      <c r="E89" s="68">
        <f>_xll.OneStreamExcelAddIn.XFFunctions.XFGetCell("True","Consol", $B89,"Tot_Entity","USD",E$2,E$3,E$4,$C89,"TopFlow","Top","Top","Tot_Los","TOT_Dept_WO_Addbacks","Tot_FC",$A89,"Top5","Top6","Reported","Top8")</f>
        <v>239.67748397378301</v>
      </c>
      <c r="F89" s="68">
        <f>_xll.OneStreamExcelAddIn.XFFunctions.XFGetCell("True","Consol", $B89,"Tot_Entity","USD",F$2,F$3,F$4,$C89,"TopFlow","Top","Top","Tot_Los","TOT_Dept_WO_Addbacks","Tot_FC",$A89,"Top5","Top6","Reported","Top8")</f>
        <v>234.44230769174399</v>
      </c>
      <c r="G89" s="68">
        <f>_xll.OneStreamExcelAddIn.XFFunctions.XFGetCell("True","Consol", $B89,"Tot_Entity","USD",G$2,G$3,G$4,$C89,"TopFlow","Top","Top","Tot_Los","TOT_Dept_WO_Addbacks","Tot_FC",$A89,"Top5","Top6","Reported","Top8")</f>
        <v>213.70161290271199</v>
      </c>
      <c r="H89" s="68">
        <f>_xll.OneStreamExcelAddIn.XFFunctions.XFGetCell("True","Consol", $B89,"Tot_Entity","USD",H$2,H$3,H$4,$C89,"TopFlow","Top","Top","Tot_Los","TOT_Dept_WO_Addbacks","Tot_FC",$A89,"Top5","Top6","Reported","Top8")</f>
        <v>213.11554487128299</v>
      </c>
      <c r="I89" s="68">
        <f>_xll.OneStreamExcelAddIn.XFFunctions.XFGetCell("True","Consol", $B89,"Tot_Entity","USD",I$2,I$3,I$4,$C89,"TopFlow","Top","Top","Tot_Los","TOT_Dept_WO_Addbacks","Tot_FC",$A89,"Top5","Top6","Reported","Top8")</f>
        <v>205.76535359752</v>
      </c>
      <c r="J89" s="68">
        <f>_xll.OneStreamExcelAddIn.XFFunctions.XFGetCell("True","Consol", $B89,"Tot_Entity","USD",J$2,J$3,J$4,$C89,"TopFlow","Top","Top","Tot_Los","TOT_Dept_WO_Addbacks","Tot_FC",$A89,"Top5","Top6","Reported","Top8")</f>
        <v>192.578445512358</v>
      </c>
      <c r="K89" s="68">
        <f>_xll.OneStreamExcelAddIn.XFFunctions.XFGetCell("True","Consol", $B89,"Tot_Entity","USD",K$2,K$3,K$4,$C89,"TopFlow","Top","Top","Tot_Los","TOT_Dept_WO_Addbacks","Tot_FC",$A89,"Top5","Top6","Reported","Top8")</f>
        <v>201.96138337420399</v>
      </c>
      <c r="L89" s="68">
        <f>_xll.OneStreamExcelAddIn.XFFunctions.XFGetCell("True","Consol", $B89,"Tot_Entity","USD",L$2,L$3,L$4,$C89,"TopFlow","Top","Top","Tot_Los","TOT_Dept_WO_Addbacks","Tot_FC",$A89,"Top5","Top6","Reported","Top8")</f>
        <v>194.359103597548</v>
      </c>
      <c r="M89" s="68">
        <f>_xll.OneStreamExcelAddIn.XFFunctions.XFGetCell("True","Consol", $B89,"Tot_Entity","USD",M$2,M$3,M$4,$C89,"TopFlow","Top","Top","Tot_Los","TOT_Dept_WO_Addbacks","Tot_FC",$A89,"Top5","Top6","Reported","Top8")</f>
        <v>205.37517170280299</v>
      </c>
      <c r="N89" s="68">
        <f>_xll.OneStreamExcelAddIn.XFFunctions.XFGetCell("True","Consol", $B89,"Tot_Entity","USD",N$2,N$3,N$4,$C89,"TopFlow","Top","Top","Tot_Los","TOT_Dept_WO_Addbacks","Tot_FC",$A89,"Top5","Top6","Reported","Top8")</f>
        <v>191.95711150698301</v>
      </c>
      <c r="O89" s="186">
        <f>_xll.OneStreamExcelAddIn.XFFunctions.XFGetCell("True","Consol", $B89,"Tot_Entity","USD",O$2,O$3,O$4,$C89,"TopFlow","Top","Top","Tot_Los","TOT_Dept_WO_Addbacks","Tot_FC",$A89,"Top5","Top6","Reported","Top8")</f>
        <v>190.59551282005501</v>
      </c>
      <c r="P89" s="15">
        <f>_xll.OneStreamExcelAddIn.XFFunctions.XFGetCell("True","Consol", $B89,"Tot_Entity","USD",P$2,P$3,P$4,$C89,"TopFlow","Top","Top","Tot_Los","TOT_Dept_WO_Addbacks","Tot_FC",$A89,"Top5","Top6","Reported","Top8")</f>
        <v>0</v>
      </c>
      <c r="Q89" s="69">
        <f>_xll.OneStreamExcelAddIn.XFFunctions.XFGetCell("True","Consol", $B89,"Tot_Entity","USD",Q$2,Q$3,Q$4,$C89,"TopFlow","Top","Top","Tot_Los","TOT_Dept_WO_Addbacks","Tot_FC",$A89,"Top5","Top6","Reported","Top8")</f>
        <v>0</v>
      </c>
    </row>
    <row r="90" spans="1:17" x14ac:dyDescent="0.2">
      <c r="A90" s="16" t="str">
        <f t="shared" si="13"/>
        <v>Acute_DIV1</v>
      </c>
      <c r="B90" s="15">
        <f t="shared" si="14"/>
        <v>127</v>
      </c>
      <c r="C90" s="14">
        <v>93012</v>
      </c>
      <c r="D90" s="14" t="s">
        <v>178</v>
      </c>
      <c r="E90" s="68">
        <f>_xll.OneStreamExcelAddIn.XFFunctions.XFGetCell("True","Consol", $B90,"Tot_Entity","USD",E$2,E$3,E$4,$C90,"TopFlow","Top","Top","Tot_Los","TOT_Dept_WO_Addbacks","Tot_FC",$A90,"Top5","Top6","Reported","Top8")</f>
        <v>0</v>
      </c>
      <c r="F90" s="68">
        <f>_xll.OneStreamExcelAddIn.XFFunctions.XFGetCell("True","Consol", $B90,"Tot_Entity","USD",F$2,F$3,F$4,$C90,"TopFlow","Top","Top","Tot_Los","TOT_Dept_WO_Addbacks","Tot_FC",$A90,"Top5","Top6","Reported","Top8")</f>
        <v>0</v>
      </c>
      <c r="G90" s="68">
        <f>_xll.OneStreamExcelAddIn.XFFunctions.XFGetCell("True","Consol", $B90,"Tot_Entity","USD",G$2,G$3,G$4,$C90,"TopFlow","Top","Top","Tot_Los","TOT_Dept_WO_Addbacks","Tot_FC",$A90,"Top5","Top6","Reported","Top8")</f>
        <v>0</v>
      </c>
      <c r="H90" s="68">
        <f>_xll.OneStreamExcelAddIn.XFFunctions.XFGetCell("True","Consol", $B90,"Tot_Entity","USD",H$2,H$3,H$4,$C90,"TopFlow","Top","Top","Tot_Los","TOT_Dept_WO_Addbacks","Tot_FC",$A90,"Top5","Top6","Reported","Top8")</f>
        <v>0</v>
      </c>
      <c r="I90" s="68">
        <f>_xll.OneStreamExcelAddIn.XFFunctions.XFGetCell("True","Consol", $B90,"Tot_Entity","USD",I$2,I$3,I$4,$C90,"TopFlow","Top","Top","Tot_Los","TOT_Dept_WO_Addbacks","Tot_FC",$A90,"Top5","Top6","Reported","Top8")</f>
        <v>0</v>
      </c>
      <c r="J90" s="68">
        <f>_xll.OneStreamExcelAddIn.XFFunctions.XFGetCell("True","Consol", $B90,"Tot_Entity","USD",J$2,J$3,J$4,$C90,"TopFlow","Top","Top","Tot_Los","TOT_Dept_WO_Addbacks","Tot_FC",$A90,"Top5","Top6","Reported","Top8")</f>
        <v>0</v>
      </c>
      <c r="K90" s="68">
        <f>_xll.OneStreamExcelAddIn.XFFunctions.XFGetCell("True","Consol", $B90,"Tot_Entity","USD",K$2,K$3,K$4,$C90,"TopFlow","Top","Top","Tot_Los","TOT_Dept_WO_Addbacks","Tot_FC",$A90,"Top5","Top6","Reported","Top8")</f>
        <v>0</v>
      </c>
      <c r="L90" s="68">
        <f>_xll.OneStreamExcelAddIn.XFFunctions.XFGetCell("True","Consol", $B90,"Tot_Entity","USD",L$2,L$3,L$4,$C90,"TopFlow","Top","Top","Tot_Los","TOT_Dept_WO_Addbacks","Tot_FC",$A90,"Top5","Top6","Reported","Top8")</f>
        <v>0</v>
      </c>
      <c r="M90" s="68">
        <f>_xll.OneStreamExcelAddIn.XFFunctions.XFGetCell("True","Consol", $B90,"Tot_Entity","USD",M$2,M$3,M$4,$C90,"TopFlow","Top","Top","Tot_Los","TOT_Dept_WO_Addbacks","Tot_FC",$A90,"Top5","Top6","Reported","Top8")</f>
        <v>0</v>
      </c>
      <c r="N90" s="68">
        <f>_xll.OneStreamExcelAddIn.XFFunctions.XFGetCell("True","Consol", $B90,"Tot_Entity","USD",N$2,N$3,N$4,$C90,"TopFlow","Top","Top","Tot_Los","TOT_Dept_WO_Addbacks","Tot_FC",$A90,"Top5","Top6","Reported","Top8")</f>
        <v>0</v>
      </c>
      <c r="O90" s="186">
        <f>_xll.OneStreamExcelAddIn.XFFunctions.XFGetCell("True","Consol", $B90,"Tot_Entity","USD",O$2,O$3,O$4,$C90,"TopFlow","Top","Top","Tot_Los","TOT_Dept_WO_Addbacks","Tot_FC",$A90,"Top5","Top6","Reported","Top8")</f>
        <v>0</v>
      </c>
      <c r="P90" s="15">
        <f>_xll.OneStreamExcelAddIn.XFFunctions.XFGetCell("True","Consol", $B90,"Tot_Entity","USD",P$2,P$3,P$4,$C90,"TopFlow","Top","Top","Tot_Los","TOT_Dept_WO_Addbacks","Tot_FC",$A90,"Top5","Top6","Reported","Top8")</f>
        <v>0</v>
      </c>
      <c r="Q90" s="69">
        <f>_xll.OneStreamExcelAddIn.XFFunctions.XFGetCell("True","Consol", $B90,"Tot_Entity","USD",Q$2,Q$3,Q$4,$C90,"TopFlow","Top","Top","Tot_Los","TOT_Dept_WO_Addbacks","Tot_FC",$A90,"Top5","Top6","Reported","Top8")</f>
        <v>0</v>
      </c>
    </row>
    <row r="91" spans="1:17" x14ac:dyDescent="0.2">
      <c r="A91" s="16" t="str">
        <f t="shared" si="13"/>
        <v>Acute_DIV1</v>
      </c>
      <c r="B91" s="15">
        <f t="shared" si="14"/>
        <v>127</v>
      </c>
      <c r="C91" s="14" t="s">
        <v>179</v>
      </c>
      <c r="D91" s="14" t="s">
        <v>180</v>
      </c>
      <c r="E91" s="68">
        <f>_xll.OneStreamExcelAddIn.XFFunctions.XFGetCell("True","Consol", $B91,"Tot_Entity","USD",E$2,E$3,E$4,$C91,"TopFlow","Top","Top","Tot_Los","TOT_Dept_WO_Addbacks","Tot_FC",$A91,"Top5","Top6","Reported","Top8")</f>
        <v>40881</v>
      </c>
      <c r="F91" s="68">
        <f>_xll.OneStreamExcelAddIn.XFFunctions.XFGetCell("True","Consol", $B91,"Tot_Entity","USD",F$2,F$3,F$4,$C91,"TopFlow","Top","Top","Tot_Los","TOT_Dept_WO_Addbacks","Tot_FC",$A91,"Top5","Top6","Reported","Top8")</f>
        <v>36513</v>
      </c>
      <c r="G91" s="68">
        <f>_xll.OneStreamExcelAddIn.XFFunctions.XFGetCell("True","Consol", $B91,"Tot_Entity","USD",G$2,G$3,G$4,$C91,"TopFlow","Top","Top","Tot_Los","TOT_Dept_WO_Addbacks","Tot_FC",$A91,"Top5","Top6","Reported","Top8")</f>
        <v>35539</v>
      </c>
      <c r="H91" s="68">
        <f>_xll.OneStreamExcelAddIn.XFFunctions.XFGetCell("True","Consol", $B91,"Tot_Entity","USD",H$2,H$3,H$4,$C91,"TopFlow","Top","Top","Tot_Los","TOT_Dept_WO_Addbacks","Tot_FC",$A91,"Top5","Top6","Reported","Top8")</f>
        <v>32890</v>
      </c>
      <c r="I91" s="68">
        <f>_xll.OneStreamExcelAddIn.XFFunctions.XFGetCell("True","Consol", $B91,"Tot_Entity","USD",I$2,I$3,I$4,$C91,"TopFlow","Top","Top","Tot_Los","TOT_Dept_WO_Addbacks","Tot_FC",$A91,"Top5","Top6","Reported","Top8")</f>
        <v>34610</v>
      </c>
      <c r="J91" s="68">
        <f>_xll.OneStreamExcelAddIn.XFFunctions.XFGetCell("True","Consol", $B91,"Tot_Entity","USD",J$2,J$3,J$4,$C91,"TopFlow","Top","Top","Tot_Los","TOT_Dept_WO_Addbacks","Tot_FC",$A91,"Top5","Top6","Reported","Top8")</f>
        <v>28254</v>
      </c>
      <c r="K91" s="68">
        <f>_xll.OneStreamExcelAddIn.XFFunctions.XFGetCell("True","Consol", $B91,"Tot_Entity","USD",K$2,K$3,K$4,$C91,"TopFlow","Top","Top","Tot_Los","TOT_Dept_WO_Addbacks","Tot_FC",$A91,"Top5","Top6","Reported","Top8")</f>
        <v>31591</v>
      </c>
      <c r="L91" s="68">
        <f>_xll.OneStreamExcelAddIn.XFFunctions.XFGetCell("True","Consol", $B91,"Tot_Entity","USD",L$2,L$3,L$4,$C91,"TopFlow","Top","Top","Tot_Los","TOT_Dept_WO_Addbacks","Tot_FC",$A91,"Top5","Top6","Reported","Top8")</f>
        <v>31024</v>
      </c>
      <c r="M91" s="68">
        <f>_xll.OneStreamExcelAddIn.XFFunctions.XFGetCell("True","Consol", $B91,"Tot_Entity","USD",M$2,M$3,M$4,$C91,"TopFlow","Top","Top","Tot_Los","TOT_Dept_WO_Addbacks","Tot_FC",$A91,"Top5","Top6","Reported","Top8")</f>
        <v>29773</v>
      </c>
      <c r="N91" s="68">
        <f>_xll.OneStreamExcelAddIn.XFFunctions.XFGetCell("True","Consol", $B91,"Tot_Entity","USD",N$2,N$3,N$4,$C91,"TopFlow","Top","Top","Tot_Los","TOT_Dept_WO_Addbacks","Tot_FC",$A91,"Top5","Top6","Reported","Top8")</f>
        <v>32810.67</v>
      </c>
      <c r="O91" s="186">
        <f>_xll.OneStreamExcelAddIn.XFFunctions.XFGetCell("True","Consol", $B91,"Tot_Entity","USD",O$2,O$3,O$4,$C91,"TopFlow","Top","Top","Tot_Los","TOT_Dept_WO_Addbacks","Tot_FC",$A91,"Top5","Top6","Reported","Top8")</f>
        <v>31421</v>
      </c>
      <c r="P91" s="15">
        <f>_xll.OneStreamExcelAddIn.XFFunctions.XFGetCell("True","Consol", $B91,"Tot_Entity","USD",P$2,P$3,P$4,$C91,"TopFlow","Top","Top","Tot_Los","TOT_Dept_WO_Addbacks","Tot_FC",$A91,"Top5","Top6","Reported","Top8")</f>
        <v>0</v>
      </c>
      <c r="Q91" s="69">
        <f>_xll.OneStreamExcelAddIn.XFFunctions.XFGetCell("True","Consol", $B91,"Tot_Entity","USD",Q$2,Q$3,Q$4,$C91,"TopFlow","Top","Top","Tot_Los","TOT_Dept_WO_Addbacks","Tot_FC",$A91,"Top5","Top6","Reported","Top8")</f>
        <v>0</v>
      </c>
    </row>
    <row r="92" spans="1:17" x14ac:dyDescent="0.2">
      <c r="A92" s="16" t="str">
        <f t="shared" si="13"/>
        <v>Acute_DIV1</v>
      </c>
      <c r="B92" s="15">
        <f t="shared" si="14"/>
        <v>127</v>
      </c>
      <c r="C92" s="14" t="s">
        <v>181</v>
      </c>
      <c r="D92" s="14" t="s">
        <v>182</v>
      </c>
      <c r="E92" s="68">
        <f>_xll.OneStreamExcelAddIn.XFFunctions.XFGetCell("True","Consol", $B92,"Tot_Entity","USD",E$2,E$3,E$4,$C92,"TopFlow","Top","Top","Tot_Los","TOT_Dept_WO_Addbacks","Tot_FC",$A92,"Top5","Top6","Reported","Top8")</f>
        <v>40975</v>
      </c>
      <c r="F92" s="68">
        <f>_xll.OneStreamExcelAddIn.XFFunctions.XFGetCell("True","Consol", $B92,"Tot_Entity","USD",F$2,F$3,F$4,$C92,"TopFlow","Top","Top","Tot_Los","TOT_Dept_WO_Addbacks","Tot_FC",$A92,"Top5","Top6","Reported","Top8")</f>
        <v>41416</v>
      </c>
      <c r="G92" s="68">
        <f>_xll.OneStreamExcelAddIn.XFFunctions.XFGetCell("True","Consol", $B92,"Tot_Entity","USD",G$2,G$3,G$4,$C92,"TopFlow","Top","Top","Tot_Los","TOT_Dept_WO_Addbacks","Tot_FC",$A92,"Top5","Top6","Reported","Top8")</f>
        <v>37752</v>
      </c>
      <c r="H92" s="68">
        <f>_xll.OneStreamExcelAddIn.XFFunctions.XFGetCell("True","Consol", $B92,"Tot_Entity","USD",H$2,H$3,H$4,$C92,"TopFlow","Top","Top","Tot_Los","TOT_Dept_WO_Addbacks","Tot_FC",$A92,"Top5","Top6","Reported","Top8")</f>
        <v>36434</v>
      </c>
      <c r="I92" s="68">
        <f>_xll.OneStreamExcelAddIn.XFFunctions.XFGetCell("True","Consol", $B92,"Tot_Entity","USD",I$2,I$3,I$4,$C92,"TopFlow","Top","Top","Tot_Los","TOT_Dept_WO_Addbacks","Tot_FC",$A92,"Top5","Top6","Reported","Top8")</f>
        <v>36350</v>
      </c>
      <c r="J92" s="68">
        <f>_xll.OneStreamExcelAddIn.XFFunctions.XFGetCell("True","Consol", $B92,"Tot_Entity","USD",J$2,J$3,J$4,$C92,"TopFlow","Top","Top","Tot_Los","TOT_Dept_WO_Addbacks","Tot_FC",$A92,"Top5","Top6","Reported","Top8")</f>
        <v>32923</v>
      </c>
      <c r="K92" s="68">
        <f>_xll.OneStreamExcelAddIn.XFFunctions.XFGetCell("True","Consol", $B92,"Tot_Entity","USD",K$2,K$3,K$4,$C92,"TopFlow","Top","Top","Tot_Los","TOT_Dept_WO_Addbacks","Tot_FC",$A92,"Top5","Top6","Reported","Top8")</f>
        <v>35678</v>
      </c>
      <c r="L92" s="68">
        <f>_xll.OneStreamExcelAddIn.XFFunctions.XFGetCell("True","Consol", $B92,"Tot_Entity","USD",L$2,L$3,L$4,$C92,"TopFlow","Top","Top","Tot_Los","TOT_Dept_WO_Addbacks","Tot_FC",$A92,"Top5","Top6","Reported","Top8")</f>
        <v>34335</v>
      </c>
      <c r="M92" s="68">
        <f>_xll.OneStreamExcelAddIn.XFFunctions.XFGetCell("True","Consol", $B92,"Tot_Entity","USD",M$2,M$3,M$4,$C92,"TopFlow","Top","Top","Tot_Los","TOT_Dept_WO_Addbacks","Tot_FC",$A92,"Top5","Top6","Reported","Top8")</f>
        <v>32770</v>
      </c>
      <c r="N92" s="68">
        <f>_xll.OneStreamExcelAddIn.XFFunctions.XFGetCell("True","Consol", $B92,"Tot_Entity","USD",N$2,N$3,N$4,$C92,"TopFlow","Top","Top","Tot_Los","TOT_Dept_WO_Addbacks","Tot_FC",$A92,"Top5","Top6","Reported","Top8")</f>
        <v>33910.67</v>
      </c>
      <c r="O92" s="186">
        <f>_xll.OneStreamExcelAddIn.XFFunctions.XFGetCell("True","Consol", $B92,"Tot_Entity","USD",O$2,O$3,O$4,$C92,"TopFlow","Top","Top","Tot_Los","TOT_Dept_WO_Addbacks","Tot_FC",$A92,"Top5","Top6","Reported","Top8")</f>
        <v>32584</v>
      </c>
      <c r="P92" s="15">
        <f>_xll.OneStreamExcelAddIn.XFFunctions.XFGetCell("True","Consol", $B92,"Tot_Entity","USD",P$2,P$3,P$4,$C92,"TopFlow","Top","Top","Tot_Los","TOT_Dept_WO_Addbacks","Tot_FC",$A92,"Top5","Top6","Reported","Top8")</f>
        <v>0</v>
      </c>
      <c r="Q92" s="69">
        <f>_xll.OneStreamExcelAddIn.XFFunctions.XFGetCell("True","Consol", $B92,"Tot_Entity","USD",Q$2,Q$3,Q$4,$C92,"TopFlow","Top","Top","Tot_Los","TOT_Dept_WO_Addbacks","Tot_FC",$A92,"Top5","Top6","Reported","Top8")</f>
        <v>0</v>
      </c>
    </row>
    <row r="93" spans="1:17" x14ac:dyDescent="0.2">
      <c r="A93" s="16" t="str">
        <f t="shared" si="13"/>
        <v>Acute_DIV1</v>
      </c>
      <c r="B93" s="15">
        <f t="shared" si="14"/>
        <v>127</v>
      </c>
      <c r="C93" s="14" t="s">
        <v>183</v>
      </c>
      <c r="D93" s="14" t="s">
        <v>184</v>
      </c>
      <c r="E93" s="68">
        <f>_xll.OneStreamExcelAddIn.XFFunctions.XFGetCell("True","Consol", $B93,"Tot_Entity","USD",E$2,E$3,E$4,$C93,"TopFlow","Top","Top","Tot_Los","TOT_Dept_WO_Addbacks","Tot_FC",$A93,"Top5","Top6","Reported","Top8")</f>
        <v>0</v>
      </c>
      <c r="F93" s="68">
        <f>_xll.OneStreamExcelAddIn.XFFunctions.XFGetCell("True","Consol", $B93,"Tot_Entity","USD",F$2,F$3,F$4,$C93,"TopFlow","Top","Top","Tot_Los","TOT_Dept_WO_Addbacks","Tot_FC",$A93,"Top5","Top6","Reported","Top8")</f>
        <v>0</v>
      </c>
      <c r="G93" s="68">
        <f>_xll.OneStreamExcelAddIn.XFFunctions.XFGetCell("True","Consol", $B93,"Tot_Entity","USD",G$2,G$3,G$4,$C93,"TopFlow","Top","Top","Tot_Los","TOT_Dept_WO_Addbacks","Tot_FC",$A93,"Top5","Top6","Reported","Top8")</f>
        <v>0</v>
      </c>
      <c r="H93" s="68">
        <f>_xll.OneStreamExcelAddIn.XFFunctions.XFGetCell("True","Consol", $B93,"Tot_Entity","USD",H$2,H$3,H$4,$C93,"TopFlow","Top","Top","Tot_Los","TOT_Dept_WO_Addbacks","Tot_FC",$A93,"Top5","Top6","Reported","Top8")</f>
        <v>0</v>
      </c>
      <c r="I93" s="68">
        <f>_xll.OneStreamExcelAddIn.XFFunctions.XFGetCell("True","Consol", $B93,"Tot_Entity","USD",I$2,I$3,I$4,$C93,"TopFlow","Top","Top","Tot_Los","TOT_Dept_WO_Addbacks","Tot_FC",$A93,"Top5","Top6","Reported","Top8")</f>
        <v>0</v>
      </c>
      <c r="J93" s="68">
        <f>_xll.OneStreamExcelAddIn.XFFunctions.XFGetCell("True","Consol", $B93,"Tot_Entity","USD",J$2,J$3,J$4,$C93,"TopFlow","Top","Top","Tot_Los","TOT_Dept_WO_Addbacks","Tot_FC",$A93,"Top5","Top6","Reported","Top8")</f>
        <v>0</v>
      </c>
      <c r="K93" s="68">
        <f>_xll.OneStreamExcelAddIn.XFFunctions.XFGetCell("True","Consol", $B93,"Tot_Entity","USD",K$2,K$3,K$4,$C93,"TopFlow","Top","Top","Tot_Los","TOT_Dept_WO_Addbacks","Tot_FC",$A93,"Top5","Top6","Reported","Top8")</f>
        <v>0</v>
      </c>
      <c r="L93" s="68">
        <f>_xll.OneStreamExcelAddIn.XFFunctions.XFGetCell("True","Consol", $B93,"Tot_Entity","USD",L$2,L$3,L$4,$C93,"TopFlow","Top","Top","Tot_Los","TOT_Dept_WO_Addbacks","Tot_FC",$A93,"Top5","Top6","Reported","Top8")</f>
        <v>0</v>
      </c>
      <c r="M93" s="68">
        <f>_xll.OneStreamExcelAddIn.XFFunctions.XFGetCell("True","Consol", $B93,"Tot_Entity","USD",M$2,M$3,M$4,$C93,"TopFlow","Top","Top","Tot_Los","TOT_Dept_WO_Addbacks","Tot_FC",$A93,"Top5","Top6","Reported","Top8")</f>
        <v>0</v>
      </c>
      <c r="N93" s="68">
        <f>_xll.OneStreamExcelAddIn.XFFunctions.XFGetCell("True","Consol", $B93,"Tot_Entity","USD",N$2,N$3,N$4,$C93,"TopFlow","Top","Top","Tot_Los","TOT_Dept_WO_Addbacks","Tot_FC",$A93,"Top5","Top6","Reported","Top8")</f>
        <v>0</v>
      </c>
      <c r="O93" s="186">
        <f>_xll.OneStreamExcelAddIn.XFFunctions.XFGetCell("True","Consol", $B93,"Tot_Entity","USD",O$2,O$3,O$4,$C93,"TopFlow","Top","Top","Tot_Los","TOT_Dept_WO_Addbacks","Tot_FC",$A93,"Top5","Top6","Reported","Top8")</f>
        <v>0</v>
      </c>
      <c r="P93" s="15">
        <f>_xll.OneStreamExcelAddIn.XFFunctions.XFGetCell("True","Consol", $B93,"Tot_Entity","USD",P$2,P$3,P$4,$C93,"TopFlow","Top","Top","Tot_Los","TOT_Dept_WO_Addbacks","Tot_FC",$A93,"Top5","Top6","Reported","Top8")</f>
        <v>0</v>
      </c>
      <c r="Q93" s="69">
        <f>_xll.OneStreamExcelAddIn.XFFunctions.XFGetCell("True","Consol", $B93,"Tot_Entity","USD",Q$2,Q$3,Q$4,$C93,"TopFlow","Top","Top","Tot_Los","TOT_Dept_WO_Addbacks","Tot_FC",$A93,"Top5","Top6","Reported","Top8")</f>
        <v>0</v>
      </c>
    </row>
    <row r="94" spans="1:17" x14ac:dyDescent="0.2">
      <c r="B94" s="2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185"/>
    </row>
    <row r="95" spans="1:17" x14ac:dyDescent="0.2">
      <c r="A95" s="16" t="str">
        <f>+$A$8</f>
        <v>Acute_DIV1</v>
      </c>
      <c r="B95" s="15">
        <f>+$B$8</f>
        <v>127</v>
      </c>
      <c r="C95" s="14">
        <v>93014</v>
      </c>
      <c r="D95" s="14" t="s">
        <v>186</v>
      </c>
      <c r="E95" s="68">
        <f>_xll.OneStreamExcelAddIn.XFFunctions.XFGetCell("True","Consol", $B95,"Tot_Entity","USD",E$2,E$3,E$4,$C95,"TopFlow","Top","Top","Tot_Los","TOT_Dept_WO_Addbacks","Tot_FC",$A95,"Top5","Top6","Reported","Top8")</f>
        <v>239.67748397378301</v>
      </c>
      <c r="F95" s="68">
        <f>_xll.OneStreamExcelAddIn.XFFunctions.XFGetCell("True","Consol", $B95,"Tot_Entity","USD",F$2,F$3,F$4,$C95,"TopFlow","Top","Top","Tot_Los","TOT_Dept_WO_Addbacks","Tot_FC",$A95,"Top5","Top6","Reported","Top8")</f>
        <v>234.44230769174399</v>
      </c>
      <c r="G95" s="68">
        <f>_xll.OneStreamExcelAddIn.XFFunctions.XFGetCell("True","Consol", $B95,"Tot_Entity","USD",G$2,G$3,G$4,$C95,"TopFlow","Top","Top","Tot_Los","TOT_Dept_WO_Addbacks","Tot_FC",$A95,"Top5","Top6","Reported","Top8")</f>
        <v>213.70161290271199</v>
      </c>
      <c r="H95" s="68">
        <f>_xll.OneStreamExcelAddIn.XFFunctions.XFGetCell("True","Consol", $B95,"Tot_Entity","USD",H$2,H$3,H$4,$C95,"TopFlow","Top","Top","Tot_Los","TOT_Dept_WO_Addbacks","Tot_FC",$A95,"Top5","Top6","Reported","Top8")</f>
        <v>213.11554487128299</v>
      </c>
      <c r="I95" s="68">
        <f>_xll.OneStreamExcelAddIn.XFFunctions.XFGetCell("True","Consol", $B95,"Tot_Entity","USD",I$2,I$3,I$4,$C95,"TopFlow","Top","Top","Tot_Los","TOT_Dept_WO_Addbacks","Tot_FC",$A95,"Top5","Top6","Reported","Top8")</f>
        <v>205.76535359752</v>
      </c>
      <c r="J95" s="68">
        <f>_xll.OneStreamExcelAddIn.XFFunctions.XFGetCell("True","Consol", $B95,"Tot_Entity","USD",J$2,J$3,J$4,$C95,"TopFlow","Top","Top","Tot_Los","TOT_Dept_WO_Addbacks","Tot_FC",$A95,"Top5","Top6","Reported","Top8")</f>
        <v>192.578445512358</v>
      </c>
      <c r="K95" s="68">
        <f>_xll.OneStreamExcelAddIn.XFFunctions.XFGetCell("True","Consol", $B95,"Tot_Entity","USD",K$2,K$3,K$4,$C95,"TopFlow","Top","Top","Tot_Los","TOT_Dept_WO_Addbacks","Tot_FC",$A95,"Top5","Top6","Reported","Top8")</f>
        <v>201.96138337420399</v>
      </c>
      <c r="L95" s="68">
        <f>_xll.OneStreamExcelAddIn.XFFunctions.XFGetCell("True","Consol", $B95,"Tot_Entity","USD",L$2,L$3,L$4,$C95,"TopFlow","Top","Top","Tot_Los","TOT_Dept_WO_Addbacks","Tot_FC",$A95,"Top5","Top6","Reported","Top8")</f>
        <v>194.359103597548</v>
      </c>
      <c r="M95" s="68">
        <f>_xll.OneStreamExcelAddIn.XFFunctions.XFGetCell("True","Consol", $B95,"Tot_Entity","USD",M$2,M$3,M$4,$C95,"TopFlow","Top","Top","Tot_Los","TOT_Dept_WO_Addbacks","Tot_FC",$A95,"Top5","Top6","Reported","Top8")</f>
        <v>205.37517170280299</v>
      </c>
      <c r="N95" s="68">
        <f>_xll.OneStreamExcelAddIn.XFFunctions.XFGetCell("True","Consol", $B95,"Tot_Entity","USD",N$2,N$3,N$4,$C95,"TopFlow","Top","Top","Tot_Los","TOT_Dept_WO_Addbacks","Tot_FC",$A95,"Top5","Top6","Reported","Top8")</f>
        <v>191.95711150698301</v>
      </c>
      <c r="O95" s="186">
        <f>_xll.OneStreamExcelAddIn.XFFunctions.XFGetCell("True","Consol", $B95,"Tot_Entity","USD",O$2,O$3,O$4,$C95,"TopFlow","Top","Top","Tot_Los","TOT_Dept_WO_Addbacks","Tot_FC",$A95,"Top5","Top6","Reported","Top8")</f>
        <v>190.59551282005501</v>
      </c>
      <c r="P95" s="15">
        <f>_xll.OneStreamExcelAddIn.XFFunctions.XFGetCell("True","Consol", $B95,"Tot_Entity","USD",P$2,P$3,P$4,$C95,"TopFlow","Top","Top","Tot_Los","TOT_Dept_WO_Addbacks","Tot_FC",$A95,"Top5","Top6","Reported","Top8")</f>
        <v>0</v>
      </c>
      <c r="Q95" s="69">
        <f>_xll.OneStreamExcelAddIn.XFFunctions.XFGetCell("True","Consol", $B95,"Tot_Entity","USD",Q$2,Q$3,Q$4,$C95,"TopFlow","Top","Top","Tot_Los","TOT_Dept_WO_Addbacks","Tot_FC",$A95,"Top5","Top6","Reported","Top8")</f>
        <v>0</v>
      </c>
    </row>
    <row r="96" spans="1:17" x14ac:dyDescent="0.2">
      <c r="B96" s="2"/>
      <c r="E96" s="31"/>
      <c r="F96" s="31"/>
      <c r="G96" s="31"/>
      <c r="H96" s="31"/>
      <c r="I96" s="31"/>
      <c r="J96" s="31"/>
      <c r="K96" s="31"/>
      <c r="L96" s="31"/>
      <c r="M96" s="175"/>
      <c r="N96" s="175"/>
      <c r="O96" s="185"/>
    </row>
    <row r="97" spans="1:17" x14ac:dyDescent="0.2">
      <c r="A97" s="16" t="str">
        <f>+$A$8</f>
        <v>Acute_DIV1</v>
      </c>
      <c r="B97" s="15">
        <f>+$B$8</f>
        <v>127</v>
      </c>
      <c r="C97" s="14" t="s">
        <v>187</v>
      </c>
      <c r="D97" s="14" t="s">
        <v>188</v>
      </c>
      <c r="E97" s="68">
        <f>_xll.OneStreamExcelAddIn.XFFunctions.XFGetCell("True","Consol", $B97,"Tot_Entity","USD",E$2,E$3,E$4,$C97,"TopFlow","Top","Top","Tot_Los","TOT_Dept_WO_Addbacks","Tot_FC",$A97,"Top5","Top6","Reported","Top8")</f>
        <v>1538860.72</v>
      </c>
      <c r="F97" s="68">
        <f>_xll.OneStreamExcelAddIn.XFFunctions.XFGetCell("True","Consol", $B97,"Tot_Entity","USD",F$2,F$3,F$4,$C97,"TopFlow","Top","Top","Tot_Los","TOT_Dept_WO_Addbacks","Tot_FC",$A97,"Top5","Top6","Reported","Top8")</f>
        <v>1593505.14</v>
      </c>
      <c r="G97" s="68">
        <f>_xll.OneStreamExcelAddIn.XFFunctions.XFGetCell("True","Consol", $B97,"Tot_Entity","USD",G$2,G$3,G$4,$C97,"TopFlow","Top","Top","Tot_Los","TOT_Dept_WO_Addbacks","Tot_FC",$A97,"Top5","Top6","Reported","Top8")</f>
        <v>1490766.74</v>
      </c>
      <c r="H97" s="68">
        <f>_xll.OneStreamExcelAddIn.XFFunctions.XFGetCell("True","Consol", $B97,"Tot_Entity","USD",H$2,H$3,H$4,$C97,"TopFlow","Top","Top","Tot_Los","TOT_Dept_WO_Addbacks","Tot_FC",$A97,"Top5","Top6","Reported","Top8")</f>
        <v>1513505.84</v>
      </c>
      <c r="I97" s="68">
        <f>_xll.OneStreamExcelAddIn.XFFunctions.XFGetCell("True","Consol", $B97,"Tot_Entity","USD",I$2,I$3,I$4,$C97,"TopFlow","Top","Top","Tot_Los","TOT_Dept_WO_Addbacks","Tot_FC",$A97,"Top5","Top6","Reported","Top8")</f>
        <v>1407820.49</v>
      </c>
      <c r="J97" s="68">
        <f>_xll.OneStreamExcelAddIn.XFFunctions.XFGetCell("True","Consol", $B97,"Tot_Entity","USD",J$2,J$3,J$4,$C97,"TopFlow","Top","Top","Tot_Los","TOT_Dept_WO_Addbacks","Tot_FC",$A97,"Top5","Top6","Reported","Top8")</f>
        <v>1338972.3399999999</v>
      </c>
      <c r="K97" s="68">
        <f>_xll.OneStreamExcelAddIn.XFFunctions.XFGetCell("True","Consol", $B97,"Tot_Entity","USD",K$2,K$3,K$4,$C97,"TopFlow","Top","Top","Tot_Los","TOT_Dept_WO_Addbacks","Tot_FC",$A97,"Top5","Top6","Reported","Top8")</f>
        <v>1342024.78</v>
      </c>
      <c r="L97" s="68">
        <f>_xll.OneStreamExcelAddIn.XFFunctions.XFGetCell("True","Consol", $B97,"Tot_Entity","USD",L$2,L$3,L$4,$C97,"TopFlow","Top","Top","Tot_Los","TOT_Dept_WO_Addbacks","Tot_FC",$A97,"Top5","Top6","Reported","Top8")</f>
        <v>1446710.71</v>
      </c>
      <c r="M97" s="68">
        <f>_xll.OneStreamExcelAddIn.XFFunctions.XFGetCell("True","Consol", $B97,"Tot_Entity","USD",M$2,M$3,M$4,$C97,"TopFlow","Top","Top","Tot_Los","TOT_Dept_WO_Addbacks","Tot_FC",$A97,"Top5","Top6","Reported","Top8")</f>
        <v>1417416.5699999998</v>
      </c>
      <c r="N97" s="68">
        <f>_xll.OneStreamExcelAddIn.XFFunctions.XFGetCell("True","Consol", $B97,"Tot_Entity","USD",N$2,N$3,N$4,$C97,"TopFlow","Top","Top","Tot_Los","TOT_Dept_WO_Addbacks","Tot_FC",$A97,"Top5","Top6","Reported","Top8")</f>
        <v>1420771.61</v>
      </c>
      <c r="O97" s="186">
        <f>_xll.OneStreamExcelAddIn.XFFunctions.XFGetCell("True","Consol", $B97,"Tot_Entity","USD",O$2,O$3,O$4,$C97,"TopFlow","Top","Top","Tot_Los","TOT_Dept_WO_Addbacks","Tot_FC",$A97,"Top5","Top6","Reported","Top8")</f>
        <v>1389167.86</v>
      </c>
      <c r="P97" s="15">
        <f>_xll.OneStreamExcelAddIn.XFFunctions.XFGetCell("True","Consol", $B97,"Tot_Entity","USD",P$2,P$3,P$4,$C97,"TopFlow","Top","Top","Tot_Los","TOT_Dept_WO_Addbacks","Tot_FC",$A97,"Top5","Top6","Reported","Top8")</f>
        <v>119050.98334165799</v>
      </c>
      <c r="Q97" s="69">
        <f>_xll.OneStreamExcelAddIn.XFFunctions.XFGetCell("True","Consol", $B97,"Tot_Entity","USD",Q$2,Q$3,Q$4,$C97,"TopFlow","Top","Top","Tot_Los","TOT_Dept_WO_Addbacks","Tot_FC",$A97,"Top5","Top6","Reported","Top8")</f>
        <v>475511.031783288</v>
      </c>
    </row>
    <row r="98" spans="1:17" s="31" customFormat="1" collapsed="1" x14ac:dyDescent="0.2">
      <c r="B98" s="32"/>
      <c r="C98" s="33"/>
      <c r="D98" s="27" t="s">
        <v>189</v>
      </c>
      <c r="E98" s="35">
        <f t="shared" ref="E98:Q98" si="15">+E97/E92</f>
        <v>37.556088346552777</v>
      </c>
      <c r="F98" s="35">
        <f t="shared" si="15"/>
        <v>38.475592524628162</v>
      </c>
      <c r="G98" s="35">
        <f t="shared" si="15"/>
        <v>39.488417567281203</v>
      </c>
      <c r="H98" s="35">
        <f t="shared" si="15"/>
        <v>41.541028709447225</v>
      </c>
      <c r="I98" s="35">
        <f t="shared" si="15"/>
        <v>38.729587070151304</v>
      </c>
      <c r="J98" s="35">
        <f t="shared" si="15"/>
        <v>40.669815630410348</v>
      </c>
      <c r="K98" s="35">
        <f t="shared" si="15"/>
        <v>37.614910589158583</v>
      </c>
      <c r="L98" s="35">
        <f t="shared" si="15"/>
        <v>42.135159749526721</v>
      </c>
      <c r="M98" s="35">
        <f t="shared" si="15"/>
        <v>43.253480927677749</v>
      </c>
      <c r="N98" s="35">
        <f t="shared" si="15"/>
        <v>41.897479760795058</v>
      </c>
      <c r="O98" s="192">
        <f t="shared" si="15"/>
        <v>42.633435428431135</v>
      </c>
      <c r="P98" s="35" t="e">
        <f t="shared" si="15"/>
        <v>#DIV/0!</v>
      </c>
      <c r="Q98" s="35" t="e">
        <f t="shared" si="15"/>
        <v>#DIV/0!</v>
      </c>
    </row>
    <row r="99" spans="1:17" s="31" customFormat="1" collapsed="1" x14ac:dyDescent="0.2">
      <c r="B99" s="32"/>
      <c r="C99" s="33"/>
      <c r="D99" s="27" t="s">
        <v>190</v>
      </c>
      <c r="E99" s="61">
        <f>+E97/E89</f>
        <v>6420.5477063849994</v>
      </c>
      <c r="F99" s="61">
        <f t="shared" ref="F99:Q99" si="16">+F97/F89</f>
        <v>6797.0033040931203</v>
      </c>
      <c r="G99" s="61">
        <f t="shared" si="16"/>
        <v>6975.9264787518196</v>
      </c>
      <c r="H99" s="61">
        <f t="shared" si="16"/>
        <v>7101.8087437691311</v>
      </c>
      <c r="I99" s="61">
        <f t="shared" si="16"/>
        <v>6841.8733542174314</v>
      </c>
      <c r="J99" s="61">
        <f t="shared" si="16"/>
        <v>6952.8671105306867</v>
      </c>
      <c r="K99" s="61">
        <f t="shared" si="16"/>
        <v>6644.9573556021378</v>
      </c>
      <c r="L99" s="61">
        <f t="shared" si="16"/>
        <v>7443.4934264548201</v>
      </c>
      <c r="M99" s="61">
        <f t="shared" si="16"/>
        <v>6901.5965184493371</v>
      </c>
      <c r="N99" s="61">
        <f t="shared" si="16"/>
        <v>7401.5054657056317</v>
      </c>
      <c r="O99" s="193">
        <f t="shared" si="16"/>
        <v>7288.565399289022</v>
      </c>
      <c r="P99" s="61" t="e">
        <f t="shared" si="16"/>
        <v>#DIV/0!</v>
      </c>
      <c r="Q99" s="61" t="e">
        <f t="shared" si="16"/>
        <v>#DIV/0!</v>
      </c>
    </row>
    <row r="100" spans="1:17" hidden="1" outlineLevel="1" x14ac:dyDescent="0.2">
      <c r="B100" s="2"/>
      <c r="E100" s="31" t="b">
        <f>E97=SUM(E102,E105,E108,E111:E114,E116,E120)</f>
        <v>1</v>
      </c>
      <c r="F100" s="31" t="b">
        <f t="shared" ref="F100:Q100" si="17">F97=SUM(F102,F105,F108,F111:F114,F116,F120)</f>
        <v>1</v>
      </c>
      <c r="G100" s="31" t="b">
        <f t="shared" si="17"/>
        <v>1</v>
      </c>
      <c r="H100" s="31" t="b">
        <f t="shared" si="17"/>
        <v>1</v>
      </c>
      <c r="I100" s="31" t="b">
        <f t="shared" si="17"/>
        <v>1</v>
      </c>
      <c r="J100" s="31" t="b">
        <f t="shared" si="17"/>
        <v>1</v>
      </c>
      <c r="K100" s="31" t="b">
        <f t="shared" si="17"/>
        <v>1</v>
      </c>
      <c r="L100" s="31" t="b">
        <f t="shared" si="17"/>
        <v>1</v>
      </c>
      <c r="M100" s="31" t="b">
        <f t="shared" si="17"/>
        <v>1</v>
      </c>
      <c r="N100" s="31" t="b">
        <f t="shared" si="17"/>
        <v>1</v>
      </c>
      <c r="O100" s="185" t="b">
        <f t="shared" si="17"/>
        <v>1</v>
      </c>
      <c r="P100" s="1" t="b">
        <f t="shared" si="17"/>
        <v>1</v>
      </c>
      <c r="Q100" s="12" t="b">
        <f t="shared" si="17"/>
        <v>1</v>
      </c>
    </row>
    <row r="101" spans="1:17" collapsed="1" x14ac:dyDescent="0.2">
      <c r="B101" s="2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185"/>
    </row>
    <row r="102" spans="1:17" x14ac:dyDescent="0.2">
      <c r="A102" s="16" t="str">
        <f>+$A$8</f>
        <v>Acute_DIV1</v>
      </c>
      <c r="B102" s="15">
        <f>+$B$8</f>
        <v>127</v>
      </c>
      <c r="C102" s="14" t="s">
        <v>191</v>
      </c>
      <c r="D102" s="14" t="s">
        <v>192</v>
      </c>
      <c r="E102" s="68">
        <f>_xll.OneStreamExcelAddIn.XFFunctions.XFGetCell("True","Consol", $B102,"Tot_Entity","USD",E$2,E$3,E$4,$C102,"TopFlow","Top","Top","Tot_Los","TOT_Dept_WO_Addbacks","Tot_FC",$A102,"Top5","Top6","Reported","Top8")</f>
        <v>1189111.9400000002</v>
      </c>
      <c r="F102" s="68">
        <f>_xll.OneStreamExcelAddIn.XFFunctions.XFGetCell("True","Consol", $B102,"Tot_Entity","USD",F$2,F$3,F$4,$C102,"TopFlow","Top","Top","Tot_Los","TOT_Dept_WO_Addbacks","Tot_FC",$A102,"Top5","Top6","Reported","Top8")</f>
        <v>1031930.43</v>
      </c>
      <c r="G102" s="68">
        <f>_xll.OneStreamExcelAddIn.XFFunctions.XFGetCell("True","Consol", $B102,"Tot_Entity","USD",G$2,G$3,G$4,$C102,"TopFlow","Top","Top","Tot_Los","TOT_Dept_WO_Addbacks","Tot_FC",$A102,"Top5","Top6","Reported","Top8")</f>
        <v>1098263.9200000002</v>
      </c>
      <c r="H102" s="68">
        <f>_xll.OneStreamExcelAddIn.XFFunctions.XFGetCell("True","Consol", $B102,"Tot_Entity","USD",H$2,H$3,H$4,$C102,"TopFlow","Top","Top","Tot_Los","TOT_Dept_WO_Addbacks","Tot_FC",$A102,"Top5","Top6","Reported","Top8")</f>
        <v>1014504.68</v>
      </c>
      <c r="I102" s="68">
        <f>_xll.OneStreamExcelAddIn.XFFunctions.XFGetCell("True","Consol", $B102,"Tot_Entity","USD",I$2,I$3,I$4,$C102,"TopFlow","Top","Top","Tot_Los","TOT_Dept_WO_Addbacks","Tot_FC",$A102,"Top5","Top6","Reported","Top8")</f>
        <v>1081056.53</v>
      </c>
      <c r="J102" s="68">
        <f>_xll.OneStreamExcelAddIn.XFFunctions.XFGetCell("True","Consol", $B102,"Tot_Entity","USD",J$2,J$3,J$4,$C102,"TopFlow","Top","Top","Tot_Los","TOT_Dept_WO_Addbacks","Tot_FC",$A102,"Top5","Top6","Reported","Top8")</f>
        <v>887071.57</v>
      </c>
      <c r="K102" s="68">
        <f>_xll.OneStreamExcelAddIn.XFFunctions.XFGetCell("True","Consol", $B102,"Tot_Entity","USD",K$2,K$3,K$4,$C102,"TopFlow","Top","Top","Tot_Los","TOT_Dept_WO_Addbacks","Tot_FC",$A102,"Top5","Top6","Reported","Top8")</f>
        <v>980785.44</v>
      </c>
      <c r="L102" s="68">
        <f>_xll.OneStreamExcelAddIn.XFFunctions.XFGetCell("True","Consol", $B102,"Tot_Entity","USD",L$2,L$3,L$4,$C102,"TopFlow","Top","Top","Tot_Los","TOT_Dept_WO_Addbacks","Tot_FC",$A102,"Top5","Top6","Reported","Top8")</f>
        <v>979913.43</v>
      </c>
      <c r="M102" s="68">
        <f>_xll.OneStreamExcelAddIn.XFFunctions.XFGetCell("True","Consol", $B102,"Tot_Entity","USD",M$2,M$3,M$4,$C102,"TopFlow","Top","Top","Tot_Los","TOT_Dept_WO_Addbacks","Tot_FC",$A102,"Top5","Top6","Reported","Top8")</f>
        <v>927466.07</v>
      </c>
      <c r="N102" s="68">
        <f>_xll.OneStreamExcelAddIn.XFFunctions.XFGetCell("True","Consol", $B102,"Tot_Entity","USD",N$2,N$3,N$4,$C102,"TopFlow","Top","Top","Tot_Los","TOT_Dept_WO_Addbacks","Tot_FC",$A102,"Top5","Top6","Reported","Top8")</f>
        <v>1038000.25</v>
      </c>
      <c r="O102" s="186">
        <f>_xll.OneStreamExcelAddIn.XFFunctions.XFGetCell("True","Consol", $B102,"Tot_Entity","USD",O$2,O$3,O$4,$C102,"TopFlow","Top","Top","Tot_Los","TOT_Dept_WO_Addbacks","Tot_FC",$A102,"Top5","Top6","Reported","Top8")</f>
        <v>1022422.64</v>
      </c>
      <c r="P102" s="15">
        <f>_xll.OneStreamExcelAddIn.XFFunctions.XFGetCell("True","Consol", $B102,"Tot_Entity","USD",P$2,P$3,P$4,$C102,"TopFlow","Top","Top","Tot_Los","TOT_Dept_WO_Addbacks","Tot_FC",$A102,"Top5","Top6","Reported","Top8")</f>
        <v>0</v>
      </c>
      <c r="Q102" s="69">
        <f>_xll.OneStreamExcelAddIn.XFFunctions.XFGetCell("True","Consol", $B102,"Tot_Entity","USD",Q$2,Q$3,Q$4,$C102,"TopFlow","Top","Top","Tot_Los","TOT_Dept_WO_Addbacks","Tot_FC",$A102,"Top5","Top6","Reported","Top8")</f>
        <v>0</v>
      </c>
    </row>
    <row r="103" spans="1:17" s="31" customFormat="1" x14ac:dyDescent="0.2">
      <c r="B103" s="32"/>
      <c r="C103" s="33"/>
      <c r="D103" s="27" t="s">
        <v>193</v>
      </c>
      <c r="E103" s="35">
        <f t="shared" ref="E103:Q103" si="18">+E102/E91</f>
        <v>29.087153934590646</v>
      </c>
      <c r="F103" s="35">
        <f t="shared" si="18"/>
        <v>28.262000657300142</v>
      </c>
      <c r="G103" s="35">
        <f t="shared" si="18"/>
        <v>30.903061988238278</v>
      </c>
      <c r="H103" s="35">
        <f t="shared" si="18"/>
        <v>30.845384007297053</v>
      </c>
      <c r="I103" s="35">
        <f t="shared" si="18"/>
        <v>31.235380814793412</v>
      </c>
      <c r="J103" s="35">
        <f t="shared" si="18"/>
        <v>31.39631804346287</v>
      </c>
      <c r="K103" s="35">
        <f t="shared" si="18"/>
        <v>31.046356240701463</v>
      </c>
      <c r="L103" s="35">
        <f t="shared" si="18"/>
        <v>31.585657233109853</v>
      </c>
      <c r="M103" s="35">
        <f t="shared" si="18"/>
        <v>31.151246767205183</v>
      </c>
      <c r="N103" s="35">
        <f t="shared" si="18"/>
        <v>31.63605772146683</v>
      </c>
      <c r="O103" s="192">
        <f t="shared" si="18"/>
        <v>32.539468508322457</v>
      </c>
      <c r="P103" s="35" t="e">
        <f t="shared" si="18"/>
        <v>#DIV/0!</v>
      </c>
      <c r="Q103" s="35" t="e">
        <f t="shared" si="18"/>
        <v>#DIV/0!</v>
      </c>
    </row>
    <row r="104" spans="1:17" x14ac:dyDescent="0.2">
      <c r="B104" s="2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185"/>
    </row>
    <row r="105" spans="1:17" x14ac:dyDescent="0.2">
      <c r="A105" s="16" t="str">
        <f>+$A$8</f>
        <v>Acute_DIV1</v>
      </c>
      <c r="B105" s="15">
        <f>+$B$8</f>
        <v>127</v>
      </c>
      <c r="C105" s="14" t="s">
        <v>194</v>
      </c>
      <c r="D105" s="14" t="s">
        <v>195</v>
      </c>
      <c r="E105" s="68">
        <f>_xll.OneStreamExcelAddIn.XFFunctions.XFGetCell("True","Consol", $B105,"Tot_Entity","USD",E$2,E$3,E$4,$C105,"TopFlow","Top","Top","Tot_Los","TOT_Dept_WO_Addbacks","Tot_FC",$A105,"Top5","Top6","Reported","Top8")</f>
        <v>72029.279999999999</v>
      </c>
      <c r="F105" s="68">
        <f>_xll.OneStreamExcelAddIn.XFFunctions.XFGetCell("True","Consol", $B105,"Tot_Entity","USD",F$2,F$3,F$4,$C105,"TopFlow","Top","Top","Tot_Los","TOT_Dept_WO_Addbacks","Tot_FC",$A105,"Top5","Top6","Reported","Top8")</f>
        <v>71232.960000000006</v>
      </c>
      <c r="G105" s="68">
        <f>_xll.OneStreamExcelAddIn.XFFunctions.XFGetCell("True","Consol", $B105,"Tot_Entity","USD",G$2,G$3,G$4,$C105,"TopFlow","Top","Top","Tot_Los","TOT_Dept_WO_Addbacks","Tot_FC",$A105,"Top5","Top6","Reported","Top8")</f>
        <v>62256.31</v>
      </c>
      <c r="H105" s="68">
        <f>_xll.OneStreamExcelAddIn.XFFunctions.XFGetCell("True","Consol", $B105,"Tot_Entity","USD",H$2,H$3,H$4,$C105,"TopFlow","Top","Top","Tot_Los","TOT_Dept_WO_Addbacks","Tot_FC",$A105,"Top5","Top6","Reported","Top8")</f>
        <v>42688.23</v>
      </c>
      <c r="I105" s="68">
        <f>_xll.OneStreamExcelAddIn.XFFunctions.XFGetCell("True","Consol", $B105,"Tot_Entity","USD",I$2,I$3,I$4,$C105,"TopFlow","Top","Top","Tot_Los","TOT_Dept_WO_Addbacks","Tot_FC",$A105,"Top5","Top6","Reported","Top8")</f>
        <v>54472.71</v>
      </c>
      <c r="J105" s="68">
        <f>_xll.OneStreamExcelAddIn.XFFunctions.XFGetCell("True","Consol", $B105,"Tot_Entity","USD",J$2,J$3,J$4,$C105,"TopFlow","Top","Top","Tot_Los","TOT_Dept_WO_Addbacks","Tot_FC",$A105,"Top5","Top6","Reported","Top8")</f>
        <v>40975.01</v>
      </c>
      <c r="K105" s="68">
        <f>_xll.OneStreamExcelAddIn.XFFunctions.XFGetCell("True","Consol", $B105,"Tot_Entity","USD",K$2,K$3,K$4,$C105,"TopFlow","Top","Top","Tot_Los","TOT_Dept_WO_Addbacks","Tot_FC",$A105,"Top5","Top6","Reported","Top8")</f>
        <v>25859.279999999999</v>
      </c>
      <c r="L105" s="68">
        <f>_xll.OneStreamExcelAddIn.XFFunctions.XFGetCell("True","Consol", $B105,"Tot_Entity","USD",L$2,L$3,L$4,$C105,"TopFlow","Top","Top","Tot_Los","TOT_Dept_WO_Addbacks","Tot_FC",$A105,"Top5","Top6","Reported","Top8")</f>
        <v>36454.67</v>
      </c>
      <c r="M105" s="68">
        <f>_xll.OneStreamExcelAddIn.XFFunctions.XFGetCell("True","Consol", $B105,"Tot_Entity","USD",M$2,M$3,M$4,$C105,"TopFlow","Top","Top","Tot_Los","TOT_Dept_WO_Addbacks","Tot_FC",$A105,"Top5","Top6","Reported","Top8")</f>
        <v>49324.07</v>
      </c>
      <c r="N105" s="68">
        <f>_xll.OneStreamExcelAddIn.XFFunctions.XFGetCell("True","Consol", $B105,"Tot_Entity","USD",N$2,N$3,N$4,$C105,"TopFlow","Top","Top","Tot_Los","TOT_Dept_WO_Addbacks","Tot_FC",$A105,"Top5","Top6","Reported","Top8")</f>
        <v>64045.279999999999</v>
      </c>
      <c r="O105" s="186">
        <f>_xll.OneStreamExcelAddIn.XFFunctions.XFGetCell("True","Consol", $B105,"Tot_Entity","USD",O$2,O$3,O$4,$C105,"TopFlow","Top","Top","Tot_Los","TOT_Dept_WO_Addbacks","Tot_FC",$A105,"Top5","Top6","Reported","Top8")</f>
        <v>61186.18</v>
      </c>
      <c r="P105" s="15">
        <f>_xll.OneStreamExcelAddIn.XFFunctions.XFGetCell("True","Consol", $B105,"Tot_Entity","USD",P$2,P$3,P$4,$C105,"TopFlow","Top","Top","Tot_Los","TOT_Dept_WO_Addbacks","Tot_FC",$A105,"Top5","Top6","Reported","Top8")</f>
        <v>0</v>
      </c>
      <c r="Q105" s="69">
        <f>_xll.OneStreamExcelAddIn.XFFunctions.XFGetCell("True","Consol", $B105,"Tot_Entity","USD",Q$2,Q$3,Q$4,$C105,"TopFlow","Top","Top","Tot_Los","TOT_Dept_WO_Addbacks","Tot_FC",$A105,"Top5","Top6","Reported","Top8")</f>
        <v>0</v>
      </c>
    </row>
    <row r="106" spans="1:17" s="31" customFormat="1" x14ac:dyDescent="0.2">
      <c r="B106" s="32"/>
      <c r="C106" s="33"/>
      <c r="D106" s="27" t="s">
        <v>196</v>
      </c>
      <c r="E106" s="29">
        <f>+E105/E102</f>
        <v>6.0574011223871814E-2</v>
      </c>
      <c r="F106" s="29">
        <f t="shared" ref="F106:Q106" si="19">+F105/F102</f>
        <v>6.9028839473219139E-2</v>
      </c>
      <c r="G106" s="29">
        <f t="shared" si="19"/>
        <v>5.6686110566210708E-2</v>
      </c>
      <c r="H106" s="29">
        <f t="shared" si="19"/>
        <v>4.2077903475023888E-2</v>
      </c>
      <c r="I106" s="29">
        <f t="shared" si="19"/>
        <v>5.0388401057990924E-2</v>
      </c>
      <c r="J106" s="29">
        <f t="shared" si="19"/>
        <v>4.6191323660615125E-2</v>
      </c>
      <c r="K106" s="29">
        <f t="shared" si="19"/>
        <v>2.6365888955284654E-2</v>
      </c>
      <c r="L106" s="29">
        <f t="shared" si="19"/>
        <v>3.7201929154088639E-2</v>
      </c>
      <c r="M106" s="29">
        <f t="shared" si="19"/>
        <v>5.3181535794619421E-2</v>
      </c>
      <c r="N106" s="29">
        <f t="shared" si="19"/>
        <v>6.1700640245510537E-2</v>
      </c>
      <c r="O106" s="194">
        <f t="shared" si="19"/>
        <v>5.9844312524221878E-2</v>
      </c>
      <c r="P106" s="29" t="e">
        <f t="shared" si="19"/>
        <v>#DIV/0!</v>
      </c>
      <c r="Q106" s="29" t="e">
        <f t="shared" si="19"/>
        <v>#DIV/0!</v>
      </c>
    </row>
    <row r="107" spans="1:17" x14ac:dyDescent="0.2">
      <c r="B107" s="2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185"/>
    </row>
    <row r="108" spans="1:17" x14ac:dyDescent="0.2">
      <c r="A108" s="16" t="str">
        <f>+$A$8</f>
        <v>Acute_DIV1</v>
      </c>
      <c r="B108" s="15">
        <f>+$B$8</f>
        <v>127</v>
      </c>
      <c r="C108" s="14" t="s">
        <v>197</v>
      </c>
      <c r="D108" s="14" t="s">
        <v>198</v>
      </c>
      <c r="E108" s="68">
        <f>_xll.OneStreamExcelAddIn.XFFunctions.XFGetCell("True","Consol", $B108,"Tot_Entity","USD",E$2,E$3,E$4,$C108,"TopFlow","Top","Top","Tot_Los","TOT_Dept_WO_Addbacks","Tot_FC",$A108,"Top5","Top6","Reported","Top8")</f>
        <v>31181.759999999998</v>
      </c>
      <c r="F108" s="68">
        <f>_xll.OneStreamExcelAddIn.XFFunctions.XFGetCell("True","Consol", $B108,"Tot_Entity","USD",F$2,F$3,F$4,$C108,"TopFlow","Top","Top","Tot_Los","TOT_Dept_WO_Addbacks","Tot_FC",$A108,"Top5","Top6","Reported","Top8")</f>
        <v>30555.65</v>
      </c>
      <c r="G108" s="68">
        <f>_xll.OneStreamExcelAddIn.XFFunctions.XFGetCell("True","Consol", $B108,"Tot_Entity","USD",G$2,G$3,G$4,$C108,"TopFlow","Top","Top","Tot_Los","TOT_Dept_WO_Addbacks","Tot_FC",$A108,"Top5","Top6","Reported","Top8")</f>
        <v>29269.360000000001</v>
      </c>
      <c r="H108" s="68">
        <f>_xll.OneStreamExcelAddIn.XFFunctions.XFGetCell("True","Consol", $B108,"Tot_Entity","USD",H$2,H$3,H$4,$C108,"TopFlow","Top","Top","Tot_Los","TOT_Dept_WO_Addbacks","Tot_FC",$A108,"Top5","Top6","Reported","Top8")</f>
        <v>27589.22</v>
      </c>
      <c r="I108" s="68">
        <f>_xll.OneStreamExcelAddIn.XFFunctions.XFGetCell("True","Consol", $B108,"Tot_Entity","USD",I$2,I$3,I$4,$C108,"TopFlow","Top","Top","Tot_Los","TOT_Dept_WO_Addbacks","Tot_FC",$A108,"Top5","Top6","Reported","Top8")</f>
        <v>28106.28</v>
      </c>
      <c r="J108" s="68">
        <f>_xll.OneStreamExcelAddIn.XFFunctions.XFGetCell("True","Consol", $B108,"Tot_Entity","USD",J$2,J$3,J$4,$C108,"TopFlow","Top","Top","Tot_Los","TOT_Dept_WO_Addbacks","Tot_FC",$A108,"Top5","Top6","Reported","Top8")</f>
        <v>25009.97</v>
      </c>
      <c r="K108" s="68">
        <f>_xll.OneStreamExcelAddIn.XFFunctions.XFGetCell("True","Consol", $B108,"Tot_Entity","USD",K$2,K$3,K$4,$C108,"TopFlow","Top","Top","Tot_Los","TOT_Dept_WO_Addbacks","Tot_FC",$A108,"Top5","Top6","Reported","Top8")</f>
        <v>22833.93</v>
      </c>
      <c r="L108" s="68">
        <f>_xll.OneStreamExcelAddIn.XFFunctions.XFGetCell("True","Consol", $B108,"Tot_Entity","USD",L$2,L$3,L$4,$C108,"TopFlow","Top","Top","Tot_Los","TOT_Dept_WO_Addbacks","Tot_FC",$A108,"Top5","Top6","Reported","Top8")</f>
        <v>23787.47</v>
      </c>
      <c r="M108" s="68">
        <f>_xll.OneStreamExcelAddIn.XFFunctions.XFGetCell("True","Consol", $B108,"Tot_Entity","USD",M$2,M$3,M$4,$C108,"TopFlow","Top","Top","Tot_Los","TOT_Dept_WO_Addbacks","Tot_FC",$A108,"Top5","Top6","Reported","Top8")</f>
        <v>23903</v>
      </c>
      <c r="N108" s="68">
        <f>_xll.OneStreamExcelAddIn.XFFunctions.XFGetCell("True","Consol", $B108,"Tot_Entity","USD",N$2,N$3,N$4,$C108,"TopFlow","Top","Top","Tot_Los","TOT_Dept_WO_Addbacks","Tot_FC",$A108,"Top5","Top6","Reported","Top8")</f>
        <v>25040.74</v>
      </c>
      <c r="O108" s="186">
        <f>_xll.OneStreamExcelAddIn.XFFunctions.XFGetCell("True","Consol", $B108,"Tot_Entity","USD",O$2,O$3,O$4,$C108,"TopFlow","Top","Top","Tot_Los","TOT_Dept_WO_Addbacks","Tot_FC",$A108,"Top5","Top6","Reported","Top8")</f>
        <v>24072.799999999999</v>
      </c>
      <c r="P108" s="15">
        <f>_xll.OneStreamExcelAddIn.XFFunctions.XFGetCell("True","Consol", $B108,"Tot_Entity","USD",P$2,P$3,P$4,$C108,"TopFlow","Top","Top","Tot_Los","TOT_Dept_WO_Addbacks","Tot_FC",$A108,"Top5","Top6","Reported","Top8")</f>
        <v>0</v>
      </c>
      <c r="Q108" s="69">
        <f>_xll.OneStreamExcelAddIn.XFFunctions.XFGetCell("True","Consol", $B108,"Tot_Entity","USD",Q$2,Q$3,Q$4,$C108,"TopFlow","Top","Top","Tot_Los","TOT_Dept_WO_Addbacks","Tot_FC",$A108,"Top5","Top6","Reported","Top8")</f>
        <v>0</v>
      </c>
    </row>
    <row r="109" spans="1:17" s="31" customFormat="1" x14ac:dyDescent="0.2">
      <c r="B109" s="32"/>
      <c r="C109" s="33"/>
      <c r="D109" s="27" t="s">
        <v>199</v>
      </c>
      <c r="E109" s="29">
        <f>+E108/E102</f>
        <v>2.6222728871093493E-2</v>
      </c>
      <c r="F109" s="29">
        <f t="shared" ref="F109:Q109" si="20">+F108/F102</f>
        <v>2.961018408963868E-2</v>
      </c>
      <c r="G109" s="29">
        <f t="shared" si="20"/>
        <v>2.6650570474900055E-2</v>
      </c>
      <c r="H109" s="29">
        <f t="shared" si="20"/>
        <v>2.7194768584014813E-2</v>
      </c>
      <c r="I109" s="29">
        <f t="shared" si="20"/>
        <v>2.5998899428506295E-2</v>
      </c>
      <c r="J109" s="29">
        <f t="shared" si="20"/>
        <v>2.8193858134806422E-2</v>
      </c>
      <c r="K109" s="29">
        <f t="shared" si="20"/>
        <v>2.3281269346739082E-2</v>
      </c>
      <c r="L109" s="29">
        <f t="shared" si="20"/>
        <v>2.4275072952107617E-2</v>
      </c>
      <c r="M109" s="29">
        <f t="shared" si="20"/>
        <v>2.5772371381736908E-2</v>
      </c>
      <c r="N109" s="29">
        <f t="shared" si="20"/>
        <v>2.4124021164734787E-2</v>
      </c>
      <c r="O109" s="194">
        <f t="shared" si="20"/>
        <v>2.3544862034745238E-2</v>
      </c>
      <c r="P109" s="29" t="e">
        <f t="shared" si="20"/>
        <v>#DIV/0!</v>
      </c>
      <c r="Q109" s="29" t="e">
        <f t="shared" si="20"/>
        <v>#DIV/0!</v>
      </c>
    </row>
    <row r="110" spans="1:17" x14ac:dyDescent="0.2">
      <c r="B110" s="2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185"/>
    </row>
    <row r="111" spans="1:17" x14ac:dyDescent="0.2">
      <c r="A111" s="16" t="str">
        <f>+$A$8</f>
        <v>Acute_DIV1</v>
      </c>
      <c r="B111" s="15">
        <f>+$B$8</f>
        <v>127</v>
      </c>
      <c r="C111" s="14" t="s">
        <v>200</v>
      </c>
      <c r="D111" s="14" t="s">
        <v>201</v>
      </c>
      <c r="E111" s="68">
        <f>_xll.OneStreamExcelAddIn.XFFunctions.XFGetCell("True","Consol", $B111,"Tot_Entity","USD",E$2,E$3,E$4,$C111,"TopFlow","Top","Top","Tot_Los","TOT_Dept_WO_Addbacks","Tot_FC",$A111,"Top5","Top6","Reported","Top8")</f>
        <v>1022.8</v>
      </c>
      <c r="F111" s="68">
        <f>_xll.OneStreamExcelAddIn.XFFunctions.XFGetCell("True","Consol", $B111,"Tot_Entity","USD",F$2,F$3,F$4,$C111,"TopFlow","Top","Top","Tot_Los","TOT_Dept_WO_Addbacks","Tot_FC",$A111,"Top5","Top6","Reported","Top8")</f>
        <v>32658.560000000001</v>
      </c>
      <c r="G111" s="68">
        <f>_xll.OneStreamExcelAddIn.XFFunctions.XFGetCell("True","Consol", $B111,"Tot_Entity","USD",G$2,G$3,G$4,$C111,"TopFlow","Top","Top","Tot_Los","TOT_Dept_WO_Addbacks","Tot_FC",$A111,"Top5","Top6","Reported","Top8")</f>
        <v>0</v>
      </c>
      <c r="H111" s="68">
        <f>_xll.OneStreamExcelAddIn.XFFunctions.XFGetCell("True","Consol", $B111,"Tot_Entity","USD",H$2,H$3,H$4,$C111,"TopFlow","Top","Top","Tot_Los","TOT_Dept_WO_Addbacks","Tot_FC",$A111,"Top5","Top6","Reported","Top8")</f>
        <v>30271.05</v>
      </c>
      <c r="I111" s="68">
        <f>_xll.OneStreamExcelAddIn.XFFunctions.XFGetCell("True","Consol", $B111,"Tot_Entity","USD",I$2,I$3,I$4,$C111,"TopFlow","Top","Top","Tot_Los","TOT_Dept_WO_Addbacks","Tot_FC",$A111,"Top5","Top6","Reported","Top8")</f>
        <v>6.48</v>
      </c>
      <c r="J111" s="68">
        <f>_xll.OneStreamExcelAddIn.XFFunctions.XFGetCell("True","Consol", $B111,"Tot_Entity","USD",J$2,J$3,J$4,$C111,"TopFlow","Top","Top","Tot_Los","TOT_Dept_WO_Addbacks","Tot_FC",$A111,"Top5","Top6","Reported","Top8")</f>
        <v>27416.45</v>
      </c>
      <c r="K111" s="68">
        <f>_xll.OneStreamExcelAddIn.XFFunctions.XFGetCell("True","Consol", $B111,"Tot_Entity","USD",K$2,K$3,K$4,$C111,"TopFlow","Top","Top","Tot_Los","TOT_Dept_WO_Addbacks","Tot_FC",$A111,"Top5","Top6","Reported","Top8")</f>
        <v>21634.89</v>
      </c>
      <c r="L111" s="68">
        <f>_xll.OneStreamExcelAddIn.XFFunctions.XFGetCell("True","Consol", $B111,"Tot_Entity","USD",L$2,L$3,L$4,$C111,"TopFlow","Top","Top","Tot_Los","TOT_Dept_WO_Addbacks","Tot_FC",$A111,"Top5","Top6","Reported","Top8")</f>
        <v>28719.75</v>
      </c>
      <c r="M111" s="68">
        <f>_xll.OneStreamExcelAddIn.XFFunctions.XFGetCell("True","Consol", $B111,"Tot_Entity","USD",M$2,M$3,M$4,$C111,"TopFlow","Top","Top","Tot_Los","TOT_Dept_WO_Addbacks","Tot_FC",$A111,"Top5","Top6","Reported","Top8")</f>
        <v>34092.93</v>
      </c>
      <c r="N111" s="68">
        <f>_xll.OneStreamExcelAddIn.XFFunctions.XFGetCell("True","Consol", $B111,"Tot_Entity","USD",N$2,N$3,N$4,$C111,"TopFlow","Top","Top","Tot_Los","TOT_Dept_WO_Addbacks","Tot_FC",$A111,"Top5","Top6","Reported","Top8")</f>
        <v>0</v>
      </c>
      <c r="O111" s="186">
        <f>_xll.OneStreamExcelAddIn.XFFunctions.XFGetCell("True","Consol", $B111,"Tot_Entity","USD",O$2,O$3,O$4,$C111,"TopFlow","Top","Top","Tot_Los","TOT_Dept_WO_Addbacks","Tot_FC",$A111,"Top5","Top6","Reported","Top8")</f>
        <v>0</v>
      </c>
      <c r="P111" s="15">
        <f>_xll.OneStreamExcelAddIn.XFFunctions.XFGetCell("True","Consol", $B111,"Tot_Entity","USD",P$2,P$3,P$4,$C111,"TopFlow","Top","Top","Tot_Los","TOT_Dept_WO_Addbacks","Tot_FC",$A111,"Top5","Top6","Reported","Top8")</f>
        <v>0</v>
      </c>
      <c r="Q111" s="69">
        <f>_xll.OneStreamExcelAddIn.XFFunctions.XFGetCell("True","Consol", $B111,"Tot_Entity","USD",Q$2,Q$3,Q$4,$C111,"TopFlow","Top","Top","Tot_Los","TOT_Dept_WO_Addbacks","Tot_FC",$A111,"Top5","Top6","Reported","Top8")</f>
        <v>0</v>
      </c>
    </row>
    <row r="112" spans="1:17" x14ac:dyDescent="0.2">
      <c r="A112" s="16" t="str">
        <f>+$A$8</f>
        <v>Acute_DIV1</v>
      </c>
      <c r="B112" s="15">
        <f>+$B$8</f>
        <v>127</v>
      </c>
      <c r="C112" s="14" t="s">
        <v>202</v>
      </c>
      <c r="D112" s="14" t="s">
        <v>203</v>
      </c>
      <c r="E112" s="68">
        <f>_xll.OneStreamExcelAddIn.XFFunctions.XFGetCell("True","Consol", $B112,"Tot_Entity","USD",E$2,E$3,E$4,$C112,"TopFlow","Top","Top","Tot_Los","TOT_Dept_WO_Addbacks","Tot_FC",$A112,"Top5","Top6","Reported","Top8")</f>
        <v>47682.6</v>
      </c>
      <c r="F112" s="68">
        <f>_xll.OneStreamExcelAddIn.XFFunctions.XFGetCell("True","Consol", $B112,"Tot_Entity","USD",F$2,F$3,F$4,$C112,"TopFlow","Top","Top","Tot_Los","TOT_Dept_WO_Addbacks","Tot_FC",$A112,"Top5","Top6","Reported","Top8")</f>
        <v>172018.42</v>
      </c>
      <c r="G112" s="68">
        <f>_xll.OneStreamExcelAddIn.XFFunctions.XFGetCell("True","Consol", $B112,"Tot_Entity","USD",G$2,G$3,G$4,$C112,"TopFlow","Top","Top","Tot_Los","TOT_Dept_WO_Addbacks","Tot_FC",$A112,"Top5","Top6","Reported","Top8")</f>
        <v>61246.92</v>
      </c>
      <c r="H112" s="68">
        <f>_xll.OneStreamExcelAddIn.XFFunctions.XFGetCell("True","Consol", $B112,"Tot_Entity","USD",H$2,H$3,H$4,$C112,"TopFlow","Top","Top","Tot_Los","TOT_Dept_WO_Addbacks","Tot_FC",$A112,"Top5","Top6","Reported","Top8")</f>
        <v>119206.2</v>
      </c>
      <c r="I112" s="68">
        <f>_xll.OneStreamExcelAddIn.XFFunctions.XFGetCell("True","Consol", $B112,"Tot_Entity","USD",I$2,I$3,I$4,$C112,"TopFlow","Top","Top","Tot_Los","TOT_Dept_WO_Addbacks","Tot_FC",$A112,"Top5","Top6","Reported","Top8")</f>
        <v>67880.37</v>
      </c>
      <c r="J112" s="68">
        <f>_xll.OneStreamExcelAddIn.XFFunctions.XFGetCell("True","Consol", $B112,"Tot_Entity","USD",J$2,J$3,J$4,$C112,"TopFlow","Top","Top","Tot_Los","TOT_Dept_WO_Addbacks","Tot_FC",$A112,"Top5","Top6","Reported","Top8")</f>
        <v>172967.1</v>
      </c>
      <c r="K112" s="68">
        <f>_xll.OneStreamExcelAddIn.XFFunctions.XFGetCell("True","Consol", $B112,"Tot_Entity","USD",K$2,K$3,K$4,$C112,"TopFlow","Top","Top","Tot_Los","TOT_Dept_WO_Addbacks","Tot_FC",$A112,"Top5","Top6","Reported","Top8")</f>
        <v>92289.54</v>
      </c>
      <c r="L112" s="68">
        <f>_xll.OneStreamExcelAddIn.XFFunctions.XFGetCell("True","Consol", $B112,"Tot_Entity","USD",L$2,L$3,L$4,$C112,"TopFlow","Top","Top","Tot_Los","TOT_Dept_WO_Addbacks","Tot_FC",$A112,"Top5","Top6","Reported","Top8")</f>
        <v>123449.92</v>
      </c>
      <c r="M112" s="68">
        <f>_xll.OneStreamExcelAddIn.XFFunctions.XFGetCell("True","Consol", $B112,"Tot_Entity","USD",M$2,M$3,M$4,$C112,"TopFlow","Top","Top","Tot_Los","TOT_Dept_WO_Addbacks","Tot_FC",$A112,"Top5","Top6","Reported","Top8")</f>
        <v>110330.57</v>
      </c>
      <c r="N112" s="68">
        <f>_xll.OneStreamExcelAddIn.XFFunctions.XFGetCell("True","Consol", $B112,"Tot_Entity","USD",N$2,N$3,N$4,$C112,"TopFlow","Top","Top","Tot_Los","TOT_Dept_WO_Addbacks","Tot_FC",$A112,"Top5","Top6","Reported","Top8")</f>
        <v>65543.22</v>
      </c>
      <c r="O112" s="186">
        <f>_xll.OneStreamExcelAddIn.XFFunctions.XFGetCell("True","Consol", $B112,"Tot_Entity","USD",O$2,O$3,O$4,$C112,"TopFlow","Top","Top","Tot_Los","TOT_Dept_WO_Addbacks","Tot_FC",$A112,"Top5","Top6","Reported","Top8")</f>
        <v>65571.86</v>
      </c>
      <c r="P112" s="15">
        <f>_xll.OneStreamExcelAddIn.XFFunctions.XFGetCell("True","Consol", $B112,"Tot_Entity","USD",P$2,P$3,P$4,$C112,"TopFlow","Top","Top","Tot_Los","TOT_Dept_WO_Addbacks","Tot_FC",$A112,"Top5","Top6","Reported","Top8")</f>
        <v>0</v>
      </c>
      <c r="Q112" s="69">
        <f>_xll.OneStreamExcelAddIn.XFFunctions.XFGetCell("True","Consol", $B112,"Tot_Entity","USD",Q$2,Q$3,Q$4,$C112,"TopFlow","Top","Top","Tot_Los","TOT_Dept_WO_Addbacks","Tot_FC",$A112,"Top5","Top6","Reported","Top8")</f>
        <v>0</v>
      </c>
    </row>
    <row r="113" spans="1:17" x14ac:dyDescent="0.2">
      <c r="A113" s="16" t="str">
        <f>+$A$8</f>
        <v>Acute_DIV1</v>
      </c>
      <c r="B113" s="15">
        <f>+$B$8</f>
        <v>127</v>
      </c>
      <c r="C113" s="14" t="s">
        <v>204</v>
      </c>
      <c r="D113" s="14" t="s">
        <v>205</v>
      </c>
      <c r="E113" s="68">
        <f>_xll.OneStreamExcelAddIn.XFFunctions.XFGetCell("True","Consol", $B113,"Tot_Entity","USD",E$2,E$3,E$4,$C113,"TopFlow","Top","Top","Tot_Los","TOT_Dept_WO_Addbacks","Tot_FC",$A113,"Top5","Top6","Reported","Top8")</f>
        <v>670.17</v>
      </c>
      <c r="F113" s="68">
        <f>_xll.OneStreamExcelAddIn.XFFunctions.XFGetCell("True","Consol", $B113,"Tot_Entity","USD",F$2,F$3,F$4,$C113,"TopFlow","Top","Top","Tot_Los","TOT_Dept_WO_Addbacks","Tot_FC",$A113,"Top5","Top6","Reported","Top8")</f>
        <v>47831.45</v>
      </c>
      <c r="G113" s="68">
        <f>_xll.OneStreamExcelAddIn.XFFunctions.XFGetCell("True","Consol", $B113,"Tot_Entity","USD",G$2,G$3,G$4,$C113,"TopFlow","Top","Top","Tot_Los","TOT_Dept_WO_Addbacks","Tot_FC",$A113,"Top5","Top6","Reported","Top8")</f>
        <v>28270.16</v>
      </c>
      <c r="H113" s="68">
        <f>_xll.OneStreamExcelAddIn.XFFunctions.XFGetCell("True","Consol", $B113,"Tot_Entity","USD",H$2,H$3,H$4,$C113,"TopFlow","Top","Top","Tot_Los","TOT_Dept_WO_Addbacks","Tot_FC",$A113,"Top5","Top6","Reported","Top8")</f>
        <v>72052.509999999995</v>
      </c>
      <c r="I113" s="68">
        <f>_xll.OneStreamExcelAddIn.XFFunctions.XFGetCell("True","Consol", $B113,"Tot_Entity","USD",I$2,I$3,I$4,$C113,"TopFlow","Top","Top","Tot_Los","TOT_Dept_WO_Addbacks","Tot_FC",$A113,"Top5","Top6","Reported","Top8")</f>
        <v>-17381.53</v>
      </c>
      <c r="J113" s="68">
        <f>_xll.OneStreamExcelAddIn.XFFunctions.XFGetCell("True","Consol", $B113,"Tot_Entity","USD",J$2,J$3,J$4,$C113,"TopFlow","Top","Top","Tot_Los","TOT_Dept_WO_Addbacks","Tot_FC",$A113,"Top5","Top6","Reported","Top8")</f>
        <v>19397.86</v>
      </c>
      <c r="K113" s="68">
        <f>_xll.OneStreamExcelAddIn.XFFunctions.XFGetCell("True","Consol", $B113,"Tot_Entity","USD",K$2,K$3,K$4,$C113,"TopFlow","Top","Top","Tot_Los","TOT_Dept_WO_Addbacks","Tot_FC",$A113,"Top5","Top6","Reported","Top8")</f>
        <v>5805.67</v>
      </c>
      <c r="L113" s="68">
        <f>_xll.OneStreamExcelAddIn.XFFunctions.XFGetCell("True","Consol", $B113,"Tot_Entity","USD",L$2,L$3,L$4,$C113,"TopFlow","Top","Top","Tot_Los","TOT_Dept_WO_Addbacks","Tot_FC",$A113,"Top5","Top6","Reported","Top8")</f>
        <v>15149.67</v>
      </c>
      <c r="M113" s="68">
        <f>_xll.OneStreamExcelAddIn.XFFunctions.XFGetCell("True","Consol", $B113,"Tot_Entity","USD",M$2,M$3,M$4,$C113,"TopFlow","Top","Top","Tot_Los","TOT_Dept_WO_Addbacks","Tot_FC",$A113,"Top5","Top6","Reported","Top8")</f>
        <v>62322.86</v>
      </c>
      <c r="N113" s="68">
        <f>_xll.OneStreamExcelAddIn.XFFunctions.XFGetCell("True","Consol", $B113,"Tot_Entity","USD",N$2,N$3,N$4,$C113,"TopFlow","Top","Top","Tot_Los","TOT_Dept_WO_Addbacks","Tot_FC",$A113,"Top5","Top6","Reported","Top8")</f>
        <v>22600.62</v>
      </c>
      <c r="O113" s="186">
        <f>_xll.OneStreamExcelAddIn.XFFunctions.XFGetCell("True","Consol", $B113,"Tot_Entity","USD",O$2,O$3,O$4,$C113,"TopFlow","Top","Top","Tot_Los","TOT_Dept_WO_Addbacks","Tot_FC",$A113,"Top5","Top6","Reported","Top8")</f>
        <v>14208.56</v>
      </c>
      <c r="P113" s="15">
        <f>_xll.OneStreamExcelAddIn.XFFunctions.XFGetCell("True","Consol", $B113,"Tot_Entity","USD",P$2,P$3,P$4,$C113,"TopFlow","Top","Top","Tot_Los","TOT_Dept_WO_Addbacks","Tot_FC",$A113,"Top5","Top6","Reported","Top8")</f>
        <v>10999.0725</v>
      </c>
      <c r="Q113" s="69">
        <f>_xll.OneStreamExcelAddIn.XFFunctions.XFGetCell("True","Consol", $B113,"Tot_Entity","USD",Q$2,Q$3,Q$4,$C113,"TopFlow","Top","Top","Tot_Los","TOT_Dept_WO_Addbacks","Tot_FC",$A113,"Top5","Top6","Reported","Top8")</f>
        <v>43996.29</v>
      </c>
    </row>
    <row r="114" spans="1:17" x14ac:dyDescent="0.2">
      <c r="A114" s="16" t="str">
        <f>+$A$8</f>
        <v>Acute_DIV1</v>
      </c>
      <c r="B114" s="15">
        <f>+$B$8</f>
        <v>127</v>
      </c>
      <c r="C114" s="14" t="s">
        <v>206</v>
      </c>
      <c r="D114" s="14" t="s">
        <v>207</v>
      </c>
      <c r="E114" s="68">
        <f>_xll.OneStreamExcelAddIn.XFFunctions.XFGetCell("True","Consol", $B114,"Tot_Entity","USD",E$2,E$3,E$4,$C114,"TopFlow","Top","Top","Tot_Los","TOT_Dept_WO_Addbacks","Tot_FC",$A114,"Top5","Top6","Reported","Top8")</f>
        <v>0</v>
      </c>
      <c r="F114" s="68">
        <f>_xll.OneStreamExcelAddIn.XFFunctions.XFGetCell("True","Consol", $B114,"Tot_Entity","USD",F$2,F$3,F$4,$C114,"TopFlow","Top","Top","Tot_Los","TOT_Dept_WO_Addbacks","Tot_FC",$A114,"Top5","Top6","Reported","Top8")</f>
        <v>0</v>
      </c>
      <c r="G114" s="68">
        <f>_xll.OneStreamExcelAddIn.XFFunctions.XFGetCell("True","Consol", $B114,"Tot_Entity","USD",G$2,G$3,G$4,$C114,"TopFlow","Top","Top","Tot_Los","TOT_Dept_WO_Addbacks","Tot_FC",$A114,"Top5","Top6","Reported","Top8")</f>
        <v>21454.7</v>
      </c>
      <c r="H114" s="68">
        <f>_xll.OneStreamExcelAddIn.XFFunctions.XFGetCell("True","Consol", $B114,"Tot_Entity","USD",H$2,H$3,H$4,$C114,"TopFlow","Top","Top","Tot_Los","TOT_Dept_WO_Addbacks","Tot_FC",$A114,"Top5","Top6","Reported","Top8")</f>
        <v>0</v>
      </c>
      <c r="I114" s="68">
        <f>_xll.OneStreamExcelAddIn.XFFunctions.XFGetCell("True","Consol", $B114,"Tot_Entity","USD",I$2,I$3,I$4,$C114,"TopFlow","Top","Top","Tot_Los","TOT_Dept_WO_Addbacks","Tot_FC",$A114,"Top5","Top6","Reported","Top8")</f>
        <v>0</v>
      </c>
      <c r="J114" s="68">
        <f>_xll.OneStreamExcelAddIn.XFFunctions.XFGetCell("True","Consol", $B114,"Tot_Entity","USD",J$2,J$3,J$4,$C114,"TopFlow","Top","Top","Tot_Los","TOT_Dept_WO_Addbacks","Tot_FC",$A114,"Top5","Top6","Reported","Top8")</f>
        <v>0</v>
      </c>
      <c r="K114" s="68">
        <f>_xll.OneStreamExcelAddIn.XFFunctions.XFGetCell("True","Consol", $B114,"Tot_Entity","USD",K$2,K$3,K$4,$C114,"TopFlow","Top","Top","Tot_Los","TOT_Dept_WO_Addbacks","Tot_FC",$A114,"Top5","Top6","Reported","Top8")</f>
        <v>0</v>
      </c>
      <c r="L114" s="68">
        <f>_xll.OneStreamExcelAddIn.XFFunctions.XFGetCell("True","Consol", $B114,"Tot_Entity","USD",L$2,L$3,L$4,$C114,"TopFlow","Top","Top","Tot_Los","TOT_Dept_WO_Addbacks","Tot_FC",$A114,"Top5","Top6","Reported","Top8")</f>
        <v>0</v>
      </c>
      <c r="M114" s="68">
        <f>_xll.OneStreamExcelAddIn.XFFunctions.XFGetCell("True","Consol", $B114,"Tot_Entity","USD",M$2,M$3,M$4,$C114,"TopFlow","Top","Top","Tot_Los","TOT_Dept_WO_Addbacks","Tot_FC",$A114,"Top5","Top6","Reported","Top8")</f>
        <v>0</v>
      </c>
      <c r="N114" s="68">
        <f>_xll.OneStreamExcelAddIn.XFFunctions.XFGetCell("True","Consol", $B114,"Tot_Entity","USD",N$2,N$3,N$4,$C114,"TopFlow","Top","Top","Tot_Los","TOT_Dept_WO_Addbacks","Tot_FC",$A114,"Top5","Top6","Reported","Top8")</f>
        <v>0</v>
      </c>
      <c r="O114" s="186">
        <f>_xll.OneStreamExcelAddIn.XFFunctions.XFGetCell("True","Consol", $B114,"Tot_Entity","USD",O$2,O$3,O$4,$C114,"TopFlow","Top","Top","Tot_Los","TOT_Dept_WO_Addbacks","Tot_FC",$A114,"Top5","Top6","Reported","Top8")</f>
        <v>0</v>
      </c>
      <c r="P114" s="15">
        <f>_xll.OneStreamExcelAddIn.XFFunctions.XFGetCell("True","Consol", $B114,"Tot_Entity","USD",P$2,P$3,P$4,$C114,"TopFlow","Top","Top","Tot_Los","TOT_Dept_WO_Addbacks","Tot_FC",$A114,"Top5","Top6","Reported","Top8")</f>
        <v>0</v>
      </c>
      <c r="Q114" s="69">
        <f>_xll.OneStreamExcelAddIn.XFFunctions.XFGetCell("True","Consol", $B114,"Tot_Entity","USD",Q$2,Q$3,Q$4,$C114,"TopFlow","Top","Top","Tot_Los","TOT_Dept_WO_Addbacks","Tot_FC",$A114,"Top5","Top6","Reported","Top8")</f>
        <v>0</v>
      </c>
    </row>
    <row r="115" spans="1:17" x14ac:dyDescent="0.2">
      <c r="B115" s="2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185"/>
    </row>
    <row r="116" spans="1:17" x14ac:dyDescent="0.2">
      <c r="A116" s="16" t="str">
        <f>+$A$8</f>
        <v>Acute_DIV1</v>
      </c>
      <c r="B116" s="15">
        <f>+$B$8</f>
        <v>127</v>
      </c>
      <c r="C116" s="14" t="s">
        <v>208</v>
      </c>
      <c r="D116" s="14" t="s">
        <v>209</v>
      </c>
      <c r="E116" s="68">
        <f>_xll.OneStreamExcelAddIn.XFFunctions.XFGetCell("True","Consol", $B116,"Tot_Entity","USD",E$2,E$3,E$4,$C116,"TopFlow","Top","Top","Tot_Los","TOT_Dept_WO_Addbacks","Tot_FC",$A116,"Top5","Top6","Reported","Top8")</f>
        <v>197162.17</v>
      </c>
      <c r="F116" s="68">
        <f>_xll.OneStreamExcelAddIn.XFFunctions.XFGetCell("True","Consol", $B116,"Tot_Entity","USD",F$2,F$3,F$4,$C116,"TopFlow","Top","Top","Tot_Los","TOT_Dept_WO_Addbacks","Tot_FC",$A116,"Top5","Top6","Reported","Top8")</f>
        <v>207277.67</v>
      </c>
      <c r="G116" s="68">
        <f>_xll.OneStreamExcelAddIn.XFFunctions.XFGetCell("True","Consol", $B116,"Tot_Entity","USD",G$2,G$3,G$4,$C116,"TopFlow","Top","Top","Tot_Los","TOT_Dept_WO_Addbacks","Tot_FC",$A116,"Top5","Top6","Reported","Top8")</f>
        <v>190005.37</v>
      </c>
      <c r="H116" s="68">
        <f>_xll.OneStreamExcelAddIn.XFFunctions.XFGetCell("True","Consol", $B116,"Tot_Entity","USD",H$2,H$3,H$4,$C116,"TopFlow","Top","Top","Tot_Los","TOT_Dept_WO_Addbacks","Tot_FC",$A116,"Top5","Top6","Reported","Top8")</f>
        <v>207193.95</v>
      </c>
      <c r="I116" s="68">
        <f>_xll.OneStreamExcelAddIn.XFFunctions.XFGetCell("True","Consol", $B116,"Tot_Entity","USD",I$2,I$3,I$4,$C116,"TopFlow","Top","Top","Tot_Los","TOT_Dept_WO_Addbacks","Tot_FC",$A116,"Top5","Top6","Reported","Top8")</f>
        <v>193679.65</v>
      </c>
      <c r="J116" s="68">
        <f>_xll.OneStreamExcelAddIn.XFFunctions.XFGetCell("True","Consol", $B116,"Tot_Entity","USD",J$2,J$3,J$4,$C116,"TopFlow","Top","Top","Tot_Los","TOT_Dept_WO_Addbacks","Tot_FC",$A116,"Top5","Top6","Reported","Top8")</f>
        <v>166134.38</v>
      </c>
      <c r="K116" s="68">
        <f>_xll.OneStreamExcelAddIn.XFFunctions.XFGetCell("True","Consol", $B116,"Tot_Entity","USD",K$2,K$3,K$4,$C116,"TopFlow","Top","Top","Tot_Los","TOT_Dept_WO_Addbacks","Tot_FC",$A116,"Top5","Top6","Reported","Top8")</f>
        <v>192816.03</v>
      </c>
      <c r="L116" s="68">
        <f>_xll.OneStreamExcelAddIn.XFFunctions.XFGetCell("True","Consol", $B116,"Tot_Entity","USD",L$2,L$3,L$4,$C116,"TopFlow","Top","Top","Tot_Los","TOT_Dept_WO_Addbacks","Tot_FC",$A116,"Top5","Top6","Reported","Top8")</f>
        <v>239235.6</v>
      </c>
      <c r="M116" s="68">
        <f>_xll.OneStreamExcelAddIn.XFFunctions.XFGetCell("True","Consol", $B116,"Tot_Entity","USD",M$2,M$3,M$4,$C116,"TopFlow","Top","Top","Tot_Los","TOT_Dept_WO_Addbacks","Tot_FC",$A116,"Top5","Top6","Reported","Top8")</f>
        <v>209977.07</v>
      </c>
      <c r="N116" s="68">
        <f>_xll.OneStreamExcelAddIn.XFFunctions.XFGetCell("True","Consol", $B116,"Tot_Entity","USD",N$2,N$3,N$4,$C116,"TopFlow","Top","Top","Tot_Los","TOT_Dept_WO_Addbacks","Tot_FC",$A116,"Top5","Top6","Reported","Top8")</f>
        <v>205541.5</v>
      </c>
      <c r="O116" s="186">
        <f>_xll.OneStreamExcelAddIn.XFFunctions.XFGetCell("True","Consol", $B116,"Tot_Entity","USD",O$2,O$3,O$4,$C116,"TopFlow","Top","Top","Tot_Los","TOT_Dept_WO_Addbacks","Tot_FC",$A116,"Top5","Top6","Reported","Top8")</f>
        <v>201705.82</v>
      </c>
      <c r="P116" s="15">
        <f>_xll.OneStreamExcelAddIn.XFFunctions.XFGetCell("True","Consol", $B116,"Tot_Entity","USD",P$2,P$3,P$4,$C116,"TopFlow","Top","Top","Tot_Los","TOT_Dept_WO_Addbacks","Tot_FC",$A116,"Top5","Top6","Reported","Top8")</f>
        <v>108051.910841658</v>
      </c>
      <c r="Q116" s="69">
        <f>_xll.OneStreamExcelAddIn.XFFunctions.XFGetCell("True","Consol", $B116,"Tot_Entity","USD",Q$2,Q$3,Q$4,$C116,"TopFlow","Top","Top","Tot_Los","TOT_Dept_WO_Addbacks","Tot_FC",$A116,"Top5","Top6","Reported","Top8")</f>
        <v>431514.74178328802</v>
      </c>
    </row>
    <row r="117" spans="1:17" s="31" customFormat="1" x14ac:dyDescent="0.2">
      <c r="B117" s="32"/>
      <c r="C117" s="33"/>
      <c r="D117" s="27" t="s">
        <v>210</v>
      </c>
      <c r="E117" s="29">
        <f>+E116/SUM(E102,E105,E108)</f>
        <v>0.15256416008326337</v>
      </c>
      <c r="F117" s="29">
        <f t="shared" ref="F117:Q117" si="21">+F116/SUM(F102,F105,F108)</f>
        <v>0.18282983939301223</v>
      </c>
      <c r="G117" s="29">
        <f t="shared" si="21"/>
        <v>0.15969661492835885</v>
      </c>
      <c r="H117" s="29">
        <f t="shared" si="21"/>
        <v>0.19100051915493851</v>
      </c>
      <c r="I117" s="29">
        <f t="shared" si="21"/>
        <v>0.16644356989033815</v>
      </c>
      <c r="J117" s="29">
        <f t="shared" si="21"/>
        <v>0.17431744212869638</v>
      </c>
      <c r="K117" s="29">
        <f t="shared" si="21"/>
        <v>0.18729483122355184</v>
      </c>
      <c r="L117" s="29">
        <f t="shared" si="21"/>
        <v>0.22999982589142889</v>
      </c>
      <c r="M117" s="29">
        <f t="shared" si="21"/>
        <v>0.20983162730584926</v>
      </c>
      <c r="N117" s="29">
        <f t="shared" si="21"/>
        <v>0.18236536587390068</v>
      </c>
      <c r="O117" s="194">
        <f t="shared" si="21"/>
        <v>0.18209728893036972</v>
      </c>
      <c r="P117" s="29" t="e">
        <f t="shared" si="21"/>
        <v>#DIV/0!</v>
      </c>
      <c r="Q117" s="29" t="e">
        <f t="shared" si="21"/>
        <v>#DIV/0!</v>
      </c>
    </row>
    <row r="118" spans="1:17" s="31" customFormat="1" x14ac:dyDescent="0.2">
      <c r="B118" s="32"/>
      <c r="C118" s="33"/>
      <c r="D118" s="27" t="s">
        <v>211</v>
      </c>
      <c r="E118" s="28">
        <f t="shared" ref="E118:Q118" si="22">+E116/E89</f>
        <v>822.61448481145806</v>
      </c>
      <c r="F118" s="28">
        <f t="shared" si="22"/>
        <v>884.13082109965683</v>
      </c>
      <c r="G118" s="28">
        <f t="shared" si="22"/>
        <v>889.1152828429997</v>
      </c>
      <c r="H118" s="28">
        <f t="shared" si="22"/>
        <v>972.2141579355017</v>
      </c>
      <c r="I118" s="28">
        <f t="shared" si="22"/>
        <v>941.26463281491101</v>
      </c>
      <c r="J118" s="28">
        <f t="shared" si="22"/>
        <v>862.68418855493849</v>
      </c>
      <c r="K118" s="28">
        <f t="shared" si="22"/>
        <v>954.71731664038452</v>
      </c>
      <c r="L118" s="28">
        <f t="shared" si="22"/>
        <v>1230.894748801559</v>
      </c>
      <c r="M118" s="28">
        <f t="shared" si="22"/>
        <v>1022.4072766880331</v>
      </c>
      <c r="N118" s="28">
        <f t="shared" si="22"/>
        <v>1070.7678313471747</v>
      </c>
      <c r="O118" s="190">
        <f t="shared" si="22"/>
        <v>1058.2925957466505</v>
      </c>
      <c r="P118" s="28" t="e">
        <f t="shared" si="22"/>
        <v>#DIV/0!</v>
      </c>
      <c r="Q118" s="28" t="e">
        <f t="shared" si="22"/>
        <v>#DIV/0!</v>
      </c>
    </row>
    <row r="119" spans="1:17" x14ac:dyDescent="0.2">
      <c r="B119" s="2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185"/>
    </row>
    <row r="120" spans="1:17" x14ac:dyDescent="0.2">
      <c r="A120" s="16" t="str">
        <f>+$A$8</f>
        <v>Acute_DIV1</v>
      </c>
      <c r="B120" s="15">
        <f>+$B$8</f>
        <v>127</v>
      </c>
      <c r="C120" s="14" t="s">
        <v>212</v>
      </c>
      <c r="D120" s="14" t="s">
        <v>213</v>
      </c>
      <c r="E120" s="68">
        <f>_xll.OneStreamExcelAddIn.XFFunctions.XFGetCell("True","Consol", $B120,"Tot_Entity","USD",E$2,E$3,E$4,$C120,"TopFlow","Top","Top","Tot_Los","TOT_Dept_WO_Addbacks","Tot_FC",$A120,"Top5","Top6","Reported","Top8")</f>
        <v>0</v>
      </c>
      <c r="F120" s="68">
        <f>_xll.OneStreamExcelAddIn.XFFunctions.XFGetCell("True","Consol", $B120,"Tot_Entity","USD",F$2,F$3,F$4,$C120,"TopFlow","Top","Top","Tot_Los","TOT_Dept_WO_Addbacks","Tot_FC",$A120,"Top5","Top6","Reported","Top8")</f>
        <v>0</v>
      </c>
      <c r="G120" s="68">
        <f>_xll.OneStreamExcelAddIn.XFFunctions.XFGetCell("True","Consol", $B120,"Tot_Entity","USD",G$2,G$3,G$4,$C120,"TopFlow","Top","Top","Tot_Los","TOT_Dept_WO_Addbacks","Tot_FC",$A120,"Top5","Top6","Reported","Top8")</f>
        <v>0</v>
      </c>
      <c r="H120" s="68">
        <f>_xll.OneStreamExcelAddIn.XFFunctions.XFGetCell("True","Consol", $B120,"Tot_Entity","USD",H$2,H$3,H$4,$C120,"TopFlow","Top","Top","Tot_Los","TOT_Dept_WO_Addbacks","Tot_FC",$A120,"Top5","Top6","Reported","Top8")</f>
        <v>0</v>
      </c>
      <c r="I120" s="68">
        <f>_xll.OneStreamExcelAddIn.XFFunctions.XFGetCell("True","Consol", $B120,"Tot_Entity","USD",I$2,I$3,I$4,$C120,"TopFlow","Top","Top","Tot_Los","TOT_Dept_WO_Addbacks","Tot_FC",$A120,"Top5","Top6","Reported","Top8")</f>
        <v>0</v>
      </c>
      <c r="J120" s="68">
        <f>_xll.OneStreamExcelAddIn.XFFunctions.XFGetCell("True","Consol", $B120,"Tot_Entity","USD",J$2,J$3,J$4,$C120,"TopFlow","Top","Top","Tot_Los","TOT_Dept_WO_Addbacks","Tot_FC",$A120,"Top5","Top6","Reported","Top8")</f>
        <v>0</v>
      </c>
      <c r="K120" s="68">
        <f>_xll.OneStreamExcelAddIn.XFFunctions.XFGetCell("True","Consol", $B120,"Tot_Entity","USD",K$2,K$3,K$4,$C120,"TopFlow","Top","Top","Tot_Los","TOT_Dept_WO_Addbacks","Tot_FC",$A120,"Top5","Top6","Reported","Top8")</f>
        <v>0</v>
      </c>
      <c r="L120" s="68">
        <f>_xll.OneStreamExcelAddIn.XFFunctions.XFGetCell("True","Consol", $B120,"Tot_Entity","USD",L$2,L$3,L$4,$C120,"TopFlow","Top","Top","Tot_Los","TOT_Dept_WO_Addbacks","Tot_FC",$A120,"Top5","Top6","Reported","Top8")</f>
        <v>0.2</v>
      </c>
      <c r="M120" s="68">
        <f>_xll.OneStreamExcelAddIn.XFFunctions.XFGetCell("True","Consol", $B120,"Tot_Entity","USD",M$2,M$3,M$4,$C120,"TopFlow","Top","Top","Tot_Los","TOT_Dept_WO_Addbacks","Tot_FC",$A120,"Top5","Top6","Reported","Top8")</f>
        <v>0</v>
      </c>
      <c r="N120" s="68">
        <f>_xll.OneStreamExcelAddIn.XFFunctions.XFGetCell("True","Consol", $B120,"Tot_Entity","USD",N$2,N$3,N$4,$C120,"TopFlow","Top","Top","Tot_Los","TOT_Dept_WO_Addbacks","Tot_FC",$A120,"Top5","Top6","Reported","Top8")</f>
        <v>0</v>
      </c>
      <c r="O120" s="186">
        <f>_xll.OneStreamExcelAddIn.XFFunctions.XFGetCell("True","Consol", $B120,"Tot_Entity","USD",O$2,O$3,O$4,$C120,"TopFlow","Top","Top","Tot_Los","TOT_Dept_WO_Addbacks","Tot_FC",$A120,"Top5","Top6","Reported","Top8")</f>
        <v>0</v>
      </c>
      <c r="P120" s="15">
        <f>_xll.OneStreamExcelAddIn.XFFunctions.XFGetCell("True","Consol", $B120,"Tot_Entity","USD",P$2,P$3,P$4,$C120,"TopFlow","Top","Top","Tot_Los","TOT_Dept_WO_Addbacks","Tot_FC",$A120,"Top5","Top6","Reported","Top8")</f>
        <v>0</v>
      </c>
      <c r="Q120" s="69">
        <f>_xll.OneStreamExcelAddIn.XFFunctions.XFGetCell("True","Consol", $B120,"Tot_Entity","USD",Q$2,Q$3,Q$4,$C120,"TopFlow","Top","Top","Tot_Los","TOT_Dept_WO_Addbacks","Tot_FC",$A120,"Top5","Top6","Reported","Top8")</f>
        <v>0</v>
      </c>
    </row>
    <row r="121" spans="1:17" s="31" customFormat="1" x14ac:dyDescent="0.2">
      <c r="B121" s="32"/>
      <c r="C121" s="33"/>
      <c r="D121" s="27" t="s">
        <v>214</v>
      </c>
      <c r="E121" s="35">
        <f t="shared" ref="E121:Q121" si="23">+IF(E93=0,0,E120/E93)</f>
        <v>0</v>
      </c>
      <c r="F121" s="35">
        <f t="shared" si="23"/>
        <v>0</v>
      </c>
      <c r="G121" s="35">
        <f t="shared" si="23"/>
        <v>0</v>
      </c>
      <c r="H121" s="35">
        <f t="shared" si="23"/>
        <v>0</v>
      </c>
      <c r="I121" s="35">
        <f t="shared" si="23"/>
        <v>0</v>
      </c>
      <c r="J121" s="35">
        <f t="shared" si="23"/>
        <v>0</v>
      </c>
      <c r="K121" s="35">
        <f t="shared" si="23"/>
        <v>0</v>
      </c>
      <c r="L121" s="35">
        <f t="shared" si="23"/>
        <v>0</v>
      </c>
      <c r="M121" s="35">
        <f t="shared" si="23"/>
        <v>0</v>
      </c>
      <c r="N121" s="35">
        <f t="shared" si="23"/>
        <v>0</v>
      </c>
      <c r="O121" s="192">
        <f t="shared" si="23"/>
        <v>0</v>
      </c>
      <c r="P121" s="35">
        <f t="shared" si="23"/>
        <v>0</v>
      </c>
      <c r="Q121" s="35">
        <f t="shared" si="23"/>
        <v>0</v>
      </c>
    </row>
    <row r="122" spans="1:17" x14ac:dyDescent="0.2">
      <c r="B122" s="2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185"/>
    </row>
    <row r="123" spans="1:17" s="4" customFormat="1" ht="5.0999999999999996" customHeight="1" x14ac:dyDescent="0.2">
      <c r="B123" s="22"/>
      <c r="C123" s="23"/>
      <c r="D123" s="23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185"/>
      <c r="Q123" s="11"/>
    </row>
    <row r="124" spans="1:17" x14ac:dyDescent="0.2">
      <c r="B124" s="2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185"/>
    </row>
    <row r="125" spans="1:17" x14ac:dyDescent="0.2">
      <c r="A125" s="16" t="str">
        <f>+$A$8</f>
        <v>Acute_DIV1</v>
      </c>
      <c r="B125" s="15">
        <f>+$B$8</f>
        <v>127</v>
      </c>
      <c r="C125" s="14" t="s">
        <v>215</v>
      </c>
      <c r="D125" s="14" t="s">
        <v>84</v>
      </c>
      <c r="E125" s="68">
        <f>_xll.OneStreamExcelAddIn.XFFunctions.XFGetCell("True","Consol", $B125,"Tot_Entity","USD",E$2,E$3,E$4,$C125,"TopFlow","Top","Top","Tot_Los","TOT_Dept_WO_Addbacks","Tot_FC",$A125,"Top5","Top6","Reported","Top8")</f>
        <v>88080.77</v>
      </c>
      <c r="F125" s="68">
        <f>_xll.OneStreamExcelAddIn.XFFunctions.XFGetCell("True","Consol", $B125,"Tot_Entity","USD",F$2,F$3,F$4,$C125,"TopFlow","Top","Top","Tot_Los","TOT_Dept_WO_Addbacks","Tot_FC",$A125,"Top5","Top6","Reported","Top8")</f>
        <v>86534.1</v>
      </c>
      <c r="G125" s="68">
        <f>_xll.OneStreamExcelAddIn.XFFunctions.XFGetCell("True","Consol", $B125,"Tot_Entity","USD",G$2,G$3,G$4,$C125,"TopFlow","Top","Top","Tot_Los","TOT_Dept_WO_Addbacks","Tot_FC",$A125,"Top5","Top6","Reported","Top8")</f>
        <v>90309.35</v>
      </c>
      <c r="H125" s="68">
        <f>_xll.OneStreamExcelAddIn.XFFunctions.XFGetCell("True","Consol", $B125,"Tot_Entity","USD",H$2,H$3,H$4,$C125,"TopFlow","Top","Top","Tot_Los","TOT_Dept_WO_Addbacks","Tot_FC",$A125,"Top5","Top6","Reported","Top8")</f>
        <v>91737.42</v>
      </c>
      <c r="I125" s="68">
        <f>_xll.OneStreamExcelAddIn.XFFunctions.XFGetCell("True","Consol", $B125,"Tot_Entity","USD",I$2,I$3,I$4,$C125,"TopFlow","Top","Top","Tot_Los","TOT_Dept_WO_Addbacks","Tot_FC",$A125,"Top5","Top6","Reported","Top8")</f>
        <v>57150.9</v>
      </c>
      <c r="J125" s="68">
        <f>_xll.OneStreamExcelAddIn.XFFunctions.XFGetCell("True","Consol", $B125,"Tot_Entity","USD",J$2,J$3,J$4,$C125,"TopFlow","Top","Top","Tot_Los","TOT_Dept_WO_Addbacks","Tot_FC",$A125,"Top5","Top6","Reported","Top8")</f>
        <v>66499.77</v>
      </c>
      <c r="K125" s="68">
        <f>_xll.OneStreamExcelAddIn.XFFunctions.XFGetCell("True","Consol", $B125,"Tot_Entity","USD",K$2,K$3,K$4,$C125,"TopFlow","Top","Top","Tot_Los","TOT_Dept_WO_Addbacks","Tot_FC",$A125,"Top5","Top6","Reported","Top8")</f>
        <v>53706.67</v>
      </c>
      <c r="L125" s="68">
        <f>_xll.OneStreamExcelAddIn.XFFunctions.XFGetCell("True","Consol", $B125,"Tot_Entity","USD",L$2,L$3,L$4,$C125,"TopFlow","Top","Top","Tot_Los","TOT_Dept_WO_Addbacks","Tot_FC",$A125,"Top5","Top6","Reported","Top8")</f>
        <v>68107.240000000005</v>
      </c>
      <c r="M125" s="68">
        <f>_xll.OneStreamExcelAddIn.XFFunctions.XFGetCell("True","Consol", $B125,"Tot_Entity","USD",M$2,M$3,M$4,$C125,"TopFlow","Top","Top","Tot_Los","TOT_Dept_WO_Addbacks","Tot_FC",$A125,"Top5","Top6","Reported","Top8")</f>
        <v>78377.429999999993</v>
      </c>
      <c r="N125" s="68">
        <f>_xll.OneStreamExcelAddIn.XFFunctions.XFGetCell("True","Consol", $B125,"Tot_Entity","USD",N$2,N$3,N$4,$C125,"TopFlow","Top","Top","Tot_Los","TOT_Dept_WO_Addbacks","Tot_FC",$A125,"Top5","Top6","Reported","Top8")</f>
        <v>73808.649999999994</v>
      </c>
      <c r="O125" s="186">
        <f>_xll.OneStreamExcelAddIn.XFFunctions.XFGetCell("True","Consol", $B125,"Tot_Entity","USD",O$2,O$3,O$4,$C125,"TopFlow","Top","Top","Tot_Los","TOT_Dept_WO_Addbacks","Tot_FC",$A125,"Top5","Top6","Reported","Top8")</f>
        <v>87018.35</v>
      </c>
      <c r="P125" s="15">
        <f>_xll.OneStreamExcelAddIn.XFFunctions.XFGetCell("True","Consol", $B125,"Tot_Entity","USD",P$2,P$3,P$4,$C125,"TopFlow","Top","Top","Tot_Los","TOT_Dept_WO_Addbacks","Tot_FC",$A125,"Top5","Top6","Reported","Top8")</f>
        <v>105597.27889602901</v>
      </c>
      <c r="Q125" s="69">
        <f>_xll.OneStreamExcelAddIn.XFFunctions.XFGetCell("True","Consol", $B125,"Tot_Entity","USD",Q$2,Q$3,Q$4,$C125,"TopFlow","Top","Top","Tot_Los","TOT_Dept_WO_Addbacks","Tot_FC",$A125,"Top5","Top6","Reported","Top8")</f>
        <v>411666.88830472197</v>
      </c>
    </row>
    <row r="126" spans="1:17" s="31" customFormat="1" x14ac:dyDescent="0.2">
      <c r="B126" s="32"/>
      <c r="C126" s="33"/>
      <c r="D126" s="27" t="s">
        <v>216</v>
      </c>
      <c r="E126" s="35">
        <f t="shared" ref="E126:Q126" si="24">+E125/E17</f>
        <v>28.060136986301369</v>
      </c>
      <c r="F126" s="35">
        <f t="shared" si="24"/>
        <v>28.606314049586778</v>
      </c>
      <c r="G126" s="35">
        <f t="shared" si="24"/>
        <v>33.361414850387888</v>
      </c>
      <c r="H126" s="35">
        <f t="shared" si="24"/>
        <v>33.4808102189781</v>
      </c>
      <c r="I126" s="35">
        <f t="shared" si="24"/>
        <v>19.632737890759191</v>
      </c>
      <c r="J126" s="35">
        <f t="shared" si="24"/>
        <v>25.141689981096409</v>
      </c>
      <c r="K126" s="35">
        <f t="shared" si="24"/>
        <v>24.105327648114901</v>
      </c>
      <c r="L126" s="35">
        <f t="shared" si="24"/>
        <v>27.34132476916901</v>
      </c>
      <c r="M126" s="35">
        <f t="shared" si="24"/>
        <v>31.028277909738716</v>
      </c>
      <c r="N126" s="35">
        <f t="shared" si="24"/>
        <v>26.266423487544483</v>
      </c>
      <c r="O126" s="192">
        <f t="shared" si="24"/>
        <v>34.058062622309201</v>
      </c>
      <c r="P126" s="35">
        <f t="shared" si="24"/>
        <v>36.973837148469542</v>
      </c>
      <c r="Q126" s="35">
        <f t="shared" si="24"/>
        <v>37.043722514597498</v>
      </c>
    </row>
    <row r="127" spans="1:17" x14ac:dyDescent="0.2">
      <c r="B127" s="2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185"/>
    </row>
    <row r="128" spans="1:17" x14ac:dyDescent="0.2">
      <c r="A128" s="16" t="str">
        <f>+$A$8</f>
        <v>Acute_DIV1</v>
      </c>
      <c r="B128" s="15">
        <f>+$B$8</f>
        <v>127</v>
      </c>
      <c r="C128" s="14" t="s">
        <v>217</v>
      </c>
      <c r="D128" s="14" t="s">
        <v>218</v>
      </c>
      <c r="E128" s="68">
        <f>_xll.OneStreamExcelAddIn.XFFunctions.XFGetCell("True","Consol", $B128,"Tot_Entity","USD",E$2,E$3,E$4,$C128,"TopFlow","Top","Top","Tot_Los","TOT_Dept_WO_Addbacks","Tot_FC",$A128,"Top5","Top6","Reported","Top8")</f>
        <v>51594.22</v>
      </c>
      <c r="F128" s="68">
        <f>_xll.OneStreamExcelAddIn.XFFunctions.XFGetCell("True","Consol", $B128,"Tot_Entity","USD",F$2,F$3,F$4,$C128,"TopFlow","Top","Top","Tot_Los","TOT_Dept_WO_Addbacks","Tot_FC",$A128,"Top5","Top6","Reported","Top8")</f>
        <v>49820.02</v>
      </c>
      <c r="G128" s="68">
        <f>_xll.OneStreamExcelAddIn.XFFunctions.XFGetCell("True","Consol", $B128,"Tot_Entity","USD",G$2,G$3,G$4,$C128,"TopFlow","Top","Top","Tot_Los","TOT_Dept_WO_Addbacks","Tot_FC",$A128,"Top5","Top6","Reported","Top8")</f>
        <v>38202.870000000003</v>
      </c>
      <c r="H128" s="68">
        <f>_xll.OneStreamExcelAddIn.XFFunctions.XFGetCell("True","Consol", $B128,"Tot_Entity","USD",H$2,H$3,H$4,$C128,"TopFlow","Top","Top","Tot_Los","TOT_Dept_WO_Addbacks","Tot_FC",$A128,"Top5","Top6","Reported","Top8")</f>
        <v>51461.26</v>
      </c>
      <c r="I128" s="68">
        <f>_xll.OneStreamExcelAddIn.XFFunctions.XFGetCell("True","Consol", $B128,"Tot_Entity","USD",I$2,I$3,I$4,$C128,"TopFlow","Top","Top","Tot_Los","TOT_Dept_WO_Addbacks","Tot_FC",$A128,"Top5","Top6","Reported","Top8")</f>
        <v>25002.48</v>
      </c>
      <c r="J128" s="68">
        <f>_xll.OneStreamExcelAddIn.XFFunctions.XFGetCell("True","Consol", $B128,"Tot_Entity","USD",J$2,J$3,J$4,$C128,"TopFlow","Top","Top","Tot_Los","TOT_Dept_WO_Addbacks","Tot_FC",$A128,"Top5","Top6","Reported","Top8")</f>
        <v>38355.129999999997</v>
      </c>
      <c r="K128" s="68">
        <f>_xll.OneStreamExcelAddIn.XFFunctions.XFGetCell("True","Consol", $B128,"Tot_Entity","USD",K$2,K$3,K$4,$C128,"TopFlow","Top","Top","Tot_Los","TOT_Dept_WO_Addbacks","Tot_FC",$A128,"Top5","Top6","Reported","Top8")</f>
        <v>33420.39</v>
      </c>
      <c r="L128" s="68">
        <f>_xll.OneStreamExcelAddIn.XFFunctions.XFGetCell("True","Consol", $B128,"Tot_Entity","USD",L$2,L$3,L$4,$C128,"TopFlow","Top","Top","Tot_Los","TOT_Dept_WO_Addbacks","Tot_FC",$A128,"Top5","Top6","Reported","Top8")</f>
        <v>42190.64</v>
      </c>
      <c r="M128" s="68">
        <f>_xll.OneStreamExcelAddIn.XFFunctions.XFGetCell("True","Consol", $B128,"Tot_Entity","USD",M$2,M$3,M$4,$C128,"TopFlow","Top","Top","Tot_Los","TOT_Dept_WO_Addbacks","Tot_FC",$A128,"Top5","Top6","Reported","Top8")</f>
        <v>43861.35</v>
      </c>
      <c r="N128" s="68">
        <f>_xll.OneStreamExcelAddIn.XFFunctions.XFGetCell("True","Consol", $B128,"Tot_Entity","USD",N$2,N$3,N$4,$C128,"TopFlow","Top","Top","Tot_Los","TOT_Dept_WO_Addbacks","Tot_FC",$A128,"Top5","Top6","Reported","Top8")</f>
        <v>50954.02</v>
      </c>
      <c r="O128" s="186">
        <f>_xll.OneStreamExcelAddIn.XFFunctions.XFGetCell("True","Consol", $B128,"Tot_Entity","USD",O$2,O$3,O$4,$C128,"TopFlow","Top","Top","Tot_Los","TOT_Dept_WO_Addbacks","Tot_FC",$A128,"Top5","Top6","Reported","Top8")</f>
        <v>44565.73</v>
      </c>
      <c r="P128" s="15">
        <f>_xll.OneStreamExcelAddIn.XFFunctions.XFGetCell("True","Consol", $B128,"Tot_Entity","USD",P$2,P$3,P$4,$C128,"TopFlow","Top","Top","Tot_Los","TOT_Dept_WO_Addbacks","Tot_FC",$A128,"Top5","Top6","Reported","Top8")</f>
        <v>50165.599999999999</v>
      </c>
      <c r="Q128" s="69">
        <f>_xll.OneStreamExcelAddIn.XFFunctions.XFGetCell("True","Consol", $B128,"Tot_Entity","USD",Q$2,Q$3,Q$4,$C128,"TopFlow","Top","Top","Tot_Los","TOT_Dept_WO_Addbacks","Tot_FC",$A128,"Top5","Top6","Reported","Top8")</f>
        <v>195204.56</v>
      </c>
    </row>
    <row r="129" spans="1:17" x14ac:dyDescent="0.2">
      <c r="A129" s="16" t="str">
        <f t="shared" ref="A129:A134" si="25">+$A$8</f>
        <v>Acute_DIV1</v>
      </c>
      <c r="B129" s="15">
        <f t="shared" ref="B129:B134" si="26">+$B$8</f>
        <v>127</v>
      </c>
      <c r="C129" s="14" t="s">
        <v>219</v>
      </c>
      <c r="D129" s="14" t="s">
        <v>220</v>
      </c>
      <c r="E129" s="68">
        <f>_xll.OneStreamExcelAddIn.XFFunctions.XFGetCell("True","Consol", $B129,"Tot_Entity","USD",E$2,E$3,E$4,$C129,"TopFlow","Top","Top","Tot_Los","TOT_Dept_WO_Addbacks","Tot_FC",$A129,"Top5","Top6","Reported","Top8")</f>
        <v>0</v>
      </c>
      <c r="F129" s="68">
        <f>_xll.OneStreamExcelAddIn.XFFunctions.XFGetCell("True","Consol", $B129,"Tot_Entity","USD",F$2,F$3,F$4,$C129,"TopFlow","Top","Top","Tot_Los","TOT_Dept_WO_Addbacks","Tot_FC",$A129,"Top5","Top6","Reported","Top8")</f>
        <v>2389.81</v>
      </c>
      <c r="G129" s="68">
        <f>_xll.OneStreamExcelAddIn.XFFunctions.XFGetCell("True","Consol", $B129,"Tot_Entity","USD",G$2,G$3,G$4,$C129,"TopFlow","Top","Top","Tot_Los","TOT_Dept_WO_Addbacks","Tot_FC",$A129,"Top5","Top6","Reported","Top8")</f>
        <v>0</v>
      </c>
      <c r="H129" s="68">
        <f>_xll.OneStreamExcelAddIn.XFFunctions.XFGetCell("True","Consol", $B129,"Tot_Entity","USD",H$2,H$3,H$4,$C129,"TopFlow","Top","Top","Tot_Los","TOT_Dept_WO_Addbacks","Tot_FC",$A129,"Top5","Top6","Reported","Top8")</f>
        <v>0</v>
      </c>
      <c r="I129" s="68">
        <f>_xll.OneStreamExcelAddIn.XFFunctions.XFGetCell("True","Consol", $B129,"Tot_Entity","USD",I$2,I$3,I$4,$C129,"TopFlow","Top","Top","Tot_Los","TOT_Dept_WO_Addbacks","Tot_FC",$A129,"Top5","Top6","Reported","Top8")</f>
        <v>113.55</v>
      </c>
      <c r="J129" s="68">
        <f>_xll.OneStreamExcelAddIn.XFFunctions.XFGetCell("True","Consol", $B129,"Tot_Entity","USD",J$2,J$3,J$4,$C129,"TopFlow","Top","Top","Tot_Los","TOT_Dept_WO_Addbacks","Tot_FC",$A129,"Top5","Top6","Reported","Top8")</f>
        <v>0</v>
      </c>
      <c r="K129" s="68">
        <f>_xll.OneStreamExcelAddIn.XFFunctions.XFGetCell("True","Consol", $B129,"Tot_Entity","USD",K$2,K$3,K$4,$C129,"TopFlow","Top","Top","Tot_Los","TOT_Dept_WO_Addbacks","Tot_FC",$A129,"Top5","Top6","Reported","Top8")</f>
        <v>0</v>
      </c>
      <c r="L129" s="68">
        <f>_xll.OneStreamExcelAddIn.XFFunctions.XFGetCell("True","Consol", $B129,"Tot_Entity","USD",L$2,L$3,L$4,$C129,"TopFlow","Top","Top","Tot_Los","TOT_Dept_WO_Addbacks","Tot_FC",$A129,"Top5","Top6","Reported","Top8")</f>
        <v>0</v>
      </c>
      <c r="M129" s="68">
        <f>_xll.OneStreamExcelAddIn.XFFunctions.XFGetCell("True","Consol", $B129,"Tot_Entity","USD",M$2,M$3,M$4,$C129,"TopFlow","Top","Top","Tot_Los","TOT_Dept_WO_Addbacks","Tot_FC",$A129,"Top5","Top6","Reported","Top8")</f>
        <v>347.53</v>
      </c>
      <c r="N129" s="68">
        <f>_xll.OneStreamExcelAddIn.XFFunctions.XFGetCell("True","Consol", $B129,"Tot_Entity","USD",N$2,N$3,N$4,$C129,"TopFlow","Top","Top","Tot_Los","TOT_Dept_WO_Addbacks","Tot_FC",$A129,"Top5","Top6","Reported","Top8")</f>
        <v>2917.37</v>
      </c>
      <c r="O129" s="186">
        <f>_xll.OneStreamExcelAddIn.XFFunctions.XFGetCell("True","Consol", $B129,"Tot_Entity","USD",O$2,O$3,O$4,$C129,"TopFlow","Top","Top","Tot_Los","TOT_Dept_WO_Addbacks","Tot_FC",$A129,"Top5","Top6","Reported","Top8")</f>
        <v>0</v>
      </c>
      <c r="P129" s="15">
        <f>_xll.OneStreamExcelAddIn.XFFunctions.XFGetCell("True","Consol", $B129,"Tot_Entity","USD",P$2,P$3,P$4,$C129,"TopFlow","Top","Top","Tot_Los","TOT_Dept_WO_Addbacks","Tot_FC",$A129,"Top5","Top6","Reported","Top8")</f>
        <v>1933.5384684390001</v>
      </c>
      <c r="Q129" s="69">
        <f>_xll.OneStreamExcelAddIn.XFFunctions.XFGetCell("True","Consol", $B129,"Tot_Entity","USD",Q$2,Q$3,Q$4,$C129,"TopFlow","Top","Top","Tot_Los","TOT_Dept_WO_Addbacks","Tot_FC",$A129,"Top5","Top6","Reported","Top8")</f>
        <v>7552.2828632609999</v>
      </c>
    </row>
    <row r="130" spans="1:17" x14ac:dyDescent="0.2">
      <c r="A130" s="16" t="str">
        <f t="shared" si="25"/>
        <v>Acute_DIV1</v>
      </c>
      <c r="B130" s="15">
        <f t="shared" si="26"/>
        <v>127</v>
      </c>
      <c r="C130" s="14" t="s">
        <v>221</v>
      </c>
      <c r="D130" s="14" t="s">
        <v>222</v>
      </c>
      <c r="E130" s="68">
        <f>_xll.OneStreamExcelAddIn.XFFunctions.XFGetCell("True","Consol", $B130,"Tot_Entity","USD",E$2,E$3,E$4,$C130,"TopFlow","Top","Top","Tot_Los","TOT_Dept_WO_Addbacks","Tot_FC",$A130,"Top5","Top6","Reported","Top8")</f>
        <v>4820.6400000000003</v>
      </c>
      <c r="F130" s="68">
        <f>_xll.OneStreamExcelAddIn.XFFunctions.XFGetCell("True","Consol", $B130,"Tot_Entity","USD",F$2,F$3,F$4,$C130,"TopFlow","Top","Top","Tot_Los","TOT_Dept_WO_Addbacks","Tot_FC",$A130,"Top5","Top6","Reported","Top8")</f>
        <v>5407.75</v>
      </c>
      <c r="G130" s="68">
        <f>_xll.OneStreamExcelAddIn.XFFunctions.XFGetCell("True","Consol", $B130,"Tot_Entity","USD",G$2,G$3,G$4,$C130,"TopFlow","Top","Top","Tot_Los","TOT_Dept_WO_Addbacks","Tot_FC",$A130,"Top5","Top6","Reported","Top8")</f>
        <v>13073.95</v>
      </c>
      <c r="H130" s="68">
        <f>_xll.OneStreamExcelAddIn.XFFunctions.XFGetCell("True","Consol", $B130,"Tot_Entity","USD",H$2,H$3,H$4,$C130,"TopFlow","Top","Top","Tot_Los","TOT_Dept_WO_Addbacks","Tot_FC",$A130,"Top5","Top6","Reported","Top8")</f>
        <v>9129.27</v>
      </c>
      <c r="I130" s="68">
        <f>_xll.OneStreamExcelAddIn.XFFunctions.XFGetCell("True","Consol", $B130,"Tot_Entity","USD",I$2,I$3,I$4,$C130,"TopFlow","Top","Top","Tot_Los","TOT_Dept_WO_Addbacks","Tot_FC",$A130,"Top5","Top6","Reported","Top8")</f>
        <v>10288.42</v>
      </c>
      <c r="J130" s="68">
        <f>_xll.OneStreamExcelAddIn.XFFunctions.XFGetCell("True","Consol", $B130,"Tot_Entity","USD",J$2,J$3,J$4,$C130,"TopFlow","Top","Top","Tot_Los","TOT_Dept_WO_Addbacks","Tot_FC",$A130,"Top5","Top6","Reported","Top8")</f>
        <v>9562.36</v>
      </c>
      <c r="K130" s="68">
        <f>_xll.OneStreamExcelAddIn.XFFunctions.XFGetCell("True","Consol", $B130,"Tot_Entity","USD",K$2,K$3,K$4,$C130,"TopFlow","Top","Top","Tot_Los","TOT_Dept_WO_Addbacks","Tot_FC",$A130,"Top5","Top6","Reported","Top8")</f>
        <v>9771.2099999999991</v>
      </c>
      <c r="L130" s="68">
        <f>_xll.OneStreamExcelAddIn.XFFunctions.XFGetCell("True","Consol", $B130,"Tot_Entity","USD",L$2,L$3,L$4,$C130,"TopFlow","Top","Top","Tot_Los","TOT_Dept_WO_Addbacks","Tot_FC",$A130,"Top5","Top6","Reported","Top8")</f>
        <v>4660.91</v>
      </c>
      <c r="M130" s="68">
        <f>_xll.OneStreamExcelAddIn.XFFunctions.XFGetCell("True","Consol", $B130,"Tot_Entity","USD",M$2,M$3,M$4,$C130,"TopFlow","Top","Top","Tot_Los","TOT_Dept_WO_Addbacks","Tot_FC",$A130,"Top5","Top6","Reported","Top8")</f>
        <v>11554.8</v>
      </c>
      <c r="N130" s="68">
        <f>_xll.OneStreamExcelAddIn.XFFunctions.XFGetCell("True","Consol", $B130,"Tot_Entity","USD",N$2,N$3,N$4,$C130,"TopFlow","Top","Top","Tot_Los","TOT_Dept_WO_Addbacks","Tot_FC",$A130,"Top5","Top6","Reported","Top8")</f>
        <v>3532.06</v>
      </c>
      <c r="O130" s="186">
        <f>_xll.OneStreamExcelAddIn.XFFunctions.XFGetCell("True","Consol", $B130,"Tot_Entity","USD",O$2,O$3,O$4,$C130,"TopFlow","Top","Top","Tot_Los","TOT_Dept_WO_Addbacks","Tot_FC",$A130,"Top5","Top6","Reported","Top8")</f>
        <v>9223.0499999999993</v>
      </c>
      <c r="P130" s="15">
        <f>_xll.OneStreamExcelAddIn.XFFunctions.XFGetCell("True","Consol", $B130,"Tot_Entity","USD",P$2,P$3,P$4,$C130,"TopFlow","Top","Top","Tot_Los","TOT_Dept_WO_Addbacks","Tot_FC",$A130,"Top5","Top6","Reported","Top8")</f>
        <v>9510.48</v>
      </c>
      <c r="Q130" s="69">
        <f>_xll.OneStreamExcelAddIn.XFFunctions.XFGetCell("True","Consol", $B130,"Tot_Entity","USD",Q$2,Q$3,Q$4,$C130,"TopFlow","Top","Top","Tot_Los","TOT_Dept_WO_Addbacks","Tot_FC",$A130,"Top5","Top6","Reported","Top8")</f>
        <v>37016.28</v>
      </c>
    </row>
    <row r="131" spans="1:17" x14ac:dyDescent="0.2">
      <c r="A131" s="16" t="str">
        <f t="shared" si="25"/>
        <v>Acute_DIV1</v>
      </c>
      <c r="B131" s="15">
        <f t="shared" si="26"/>
        <v>127</v>
      </c>
      <c r="C131" s="14" t="s">
        <v>223</v>
      </c>
      <c r="D131" s="14" t="s">
        <v>224</v>
      </c>
      <c r="E131" s="68">
        <f>_xll.OneStreamExcelAddIn.XFFunctions.XFGetCell("True","Consol", $B131,"Tot_Entity","USD",E$2,E$3,E$4,$C131,"TopFlow","Top","Top","Tot_Los","TOT_Dept_WO_Addbacks","Tot_FC",$A131,"Top5","Top6","Reported","Top8")</f>
        <v>8568.3799999999992</v>
      </c>
      <c r="F131" s="68">
        <f>_xll.OneStreamExcelAddIn.XFFunctions.XFGetCell("True","Consol", $B131,"Tot_Entity","USD",F$2,F$3,F$4,$C131,"TopFlow","Top","Top","Tot_Los","TOT_Dept_WO_Addbacks","Tot_FC",$A131,"Top5","Top6","Reported","Top8")</f>
        <v>3702.69</v>
      </c>
      <c r="G131" s="68">
        <f>_xll.OneStreamExcelAddIn.XFFunctions.XFGetCell("True","Consol", $B131,"Tot_Entity","USD",G$2,G$3,G$4,$C131,"TopFlow","Top","Top","Tot_Los","TOT_Dept_WO_Addbacks","Tot_FC",$A131,"Top5","Top6","Reported","Top8")</f>
        <v>4163.16</v>
      </c>
      <c r="H131" s="68">
        <f>_xll.OneStreamExcelAddIn.XFFunctions.XFGetCell("True","Consol", $B131,"Tot_Entity","USD",H$2,H$3,H$4,$C131,"TopFlow","Top","Top","Tot_Los","TOT_Dept_WO_Addbacks","Tot_FC",$A131,"Top5","Top6","Reported","Top8")</f>
        <v>4221.3599999999997</v>
      </c>
      <c r="I131" s="68">
        <f>_xll.OneStreamExcelAddIn.XFFunctions.XFGetCell("True","Consol", $B131,"Tot_Entity","USD",I$2,I$3,I$4,$C131,"TopFlow","Top","Top","Tot_Los","TOT_Dept_WO_Addbacks","Tot_FC",$A131,"Top5","Top6","Reported","Top8")</f>
        <v>5031.13</v>
      </c>
      <c r="J131" s="68">
        <f>_xll.OneStreamExcelAddIn.XFFunctions.XFGetCell("True","Consol", $B131,"Tot_Entity","USD",J$2,J$3,J$4,$C131,"TopFlow","Top","Top","Tot_Los","TOT_Dept_WO_Addbacks","Tot_FC",$A131,"Top5","Top6","Reported","Top8")</f>
        <v>3031.31</v>
      </c>
      <c r="K131" s="68">
        <f>_xll.OneStreamExcelAddIn.XFFunctions.XFGetCell("True","Consol", $B131,"Tot_Entity","USD",K$2,K$3,K$4,$C131,"TopFlow","Top","Top","Tot_Los","TOT_Dept_WO_Addbacks","Tot_FC",$A131,"Top5","Top6","Reported","Top8")</f>
        <v>2885.38</v>
      </c>
      <c r="L131" s="68">
        <f>_xll.OneStreamExcelAddIn.XFFunctions.XFGetCell("True","Consol", $B131,"Tot_Entity","USD",L$2,L$3,L$4,$C131,"TopFlow","Top","Top","Tot_Los","TOT_Dept_WO_Addbacks","Tot_FC",$A131,"Top5","Top6","Reported","Top8")</f>
        <v>8023.89</v>
      </c>
      <c r="M131" s="68">
        <f>_xll.OneStreamExcelAddIn.XFFunctions.XFGetCell("True","Consol", $B131,"Tot_Entity","USD",M$2,M$3,M$4,$C131,"TopFlow","Top","Top","Tot_Los","TOT_Dept_WO_Addbacks","Tot_FC",$A131,"Top5","Top6","Reported","Top8")</f>
        <v>3837.77</v>
      </c>
      <c r="N131" s="68">
        <f>_xll.OneStreamExcelAddIn.XFFunctions.XFGetCell("True","Consol", $B131,"Tot_Entity","USD",N$2,N$3,N$4,$C131,"TopFlow","Top","Top","Tot_Los","TOT_Dept_WO_Addbacks","Tot_FC",$A131,"Top5","Top6","Reported","Top8")</f>
        <v>3726.31</v>
      </c>
      <c r="O131" s="186">
        <f>_xll.OneStreamExcelAddIn.XFFunctions.XFGetCell("True","Consol", $B131,"Tot_Entity","USD",O$2,O$3,O$4,$C131,"TopFlow","Top","Top","Tot_Los","TOT_Dept_WO_Addbacks","Tot_FC",$A131,"Top5","Top6","Reported","Top8")</f>
        <v>5077.24</v>
      </c>
      <c r="P131" s="15">
        <f>_xll.OneStreamExcelAddIn.XFFunctions.XFGetCell("True","Consol", $B131,"Tot_Entity","USD",P$2,P$3,P$4,$C131,"TopFlow","Top","Top","Tot_Los","TOT_Dept_WO_Addbacks","Tot_FC",$A131,"Top5","Top6","Reported","Top8")</f>
        <v>4174.9399999999996</v>
      </c>
      <c r="Q131" s="69">
        <f>_xll.OneStreamExcelAddIn.XFFunctions.XFGetCell("True","Consol", $B131,"Tot_Entity","USD",Q$2,Q$3,Q$4,$C131,"TopFlow","Top","Top","Tot_Los","TOT_Dept_WO_Addbacks","Tot_FC",$A131,"Top5","Top6","Reported","Top8")</f>
        <v>16307.06</v>
      </c>
    </row>
    <row r="132" spans="1:17" x14ac:dyDescent="0.2">
      <c r="A132" s="16" t="str">
        <f t="shared" si="25"/>
        <v>Acute_DIV1</v>
      </c>
      <c r="B132" s="15">
        <f t="shared" si="26"/>
        <v>127</v>
      </c>
      <c r="C132" s="14" t="s">
        <v>225</v>
      </c>
      <c r="D132" s="14" t="s">
        <v>226</v>
      </c>
      <c r="E132" s="68">
        <f>_xll.OneStreamExcelAddIn.XFFunctions.XFGetCell("True","Consol", $B132,"Tot_Entity","USD",E$2,E$3,E$4,$C132,"TopFlow","Top","Top","Tot_Los","TOT_Dept_WO_Addbacks","Tot_FC",$A132,"Top5","Top6","Reported","Top8")</f>
        <v>0</v>
      </c>
      <c r="F132" s="68">
        <f>_xll.OneStreamExcelAddIn.XFFunctions.XFGetCell("True","Consol", $B132,"Tot_Entity","USD",F$2,F$3,F$4,$C132,"TopFlow","Top","Top","Tot_Los","TOT_Dept_WO_Addbacks","Tot_FC",$A132,"Top5","Top6","Reported","Top8")</f>
        <v>0</v>
      </c>
      <c r="G132" s="68">
        <f>_xll.OneStreamExcelAddIn.XFFunctions.XFGetCell("True","Consol", $B132,"Tot_Entity","USD",G$2,G$3,G$4,$C132,"TopFlow","Top","Top","Tot_Los","TOT_Dept_WO_Addbacks","Tot_FC",$A132,"Top5","Top6","Reported","Top8")</f>
        <v>0</v>
      </c>
      <c r="H132" s="68">
        <f>_xll.OneStreamExcelAddIn.XFFunctions.XFGetCell("True","Consol", $B132,"Tot_Entity","USD",H$2,H$3,H$4,$C132,"TopFlow","Top","Top","Tot_Los","TOT_Dept_WO_Addbacks","Tot_FC",$A132,"Top5","Top6","Reported","Top8")</f>
        <v>0</v>
      </c>
      <c r="I132" s="68">
        <f>_xll.OneStreamExcelAddIn.XFFunctions.XFGetCell("True","Consol", $B132,"Tot_Entity","USD",I$2,I$3,I$4,$C132,"TopFlow","Top","Top","Tot_Los","TOT_Dept_WO_Addbacks","Tot_FC",$A132,"Top5","Top6","Reported","Top8")</f>
        <v>0</v>
      </c>
      <c r="J132" s="68">
        <f>_xll.OneStreamExcelAddIn.XFFunctions.XFGetCell("True","Consol", $B132,"Tot_Entity","USD",J$2,J$3,J$4,$C132,"TopFlow","Top","Top","Tot_Los","TOT_Dept_WO_Addbacks","Tot_FC",$A132,"Top5","Top6","Reported","Top8")</f>
        <v>0</v>
      </c>
      <c r="K132" s="68">
        <f>_xll.OneStreamExcelAddIn.XFFunctions.XFGetCell("True","Consol", $B132,"Tot_Entity","USD",K$2,K$3,K$4,$C132,"TopFlow","Top","Top","Tot_Los","TOT_Dept_WO_Addbacks","Tot_FC",$A132,"Top5","Top6","Reported","Top8")</f>
        <v>366.05</v>
      </c>
      <c r="L132" s="68">
        <f>_xll.OneStreamExcelAddIn.XFFunctions.XFGetCell("True","Consol", $B132,"Tot_Entity","USD",L$2,L$3,L$4,$C132,"TopFlow","Top","Top","Tot_Los","TOT_Dept_WO_Addbacks","Tot_FC",$A132,"Top5","Top6","Reported","Top8")</f>
        <v>0</v>
      </c>
      <c r="M132" s="68">
        <f>_xll.OneStreamExcelAddIn.XFFunctions.XFGetCell("True","Consol", $B132,"Tot_Entity","USD",M$2,M$3,M$4,$C132,"TopFlow","Top","Top","Tot_Los","TOT_Dept_WO_Addbacks","Tot_FC",$A132,"Top5","Top6","Reported","Top8")</f>
        <v>0</v>
      </c>
      <c r="N132" s="68">
        <f>_xll.OneStreamExcelAddIn.XFFunctions.XFGetCell("True","Consol", $B132,"Tot_Entity","USD",N$2,N$3,N$4,$C132,"TopFlow","Top","Top","Tot_Los","TOT_Dept_WO_Addbacks","Tot_FC",$A132,"Top5","Top6","Reported","Top8")</f>
        <v>169.27</v>
      </c>
      <c r="O132" s="186">
        <f>_xll.OneStreamExcelAddIn.XFFunctions.XFGetCell("True","Consol", $B132,"Tot_Entity","USD",O$2,O$3,O$4,$C132,"TopFlow","Top","Top","Tot_Los","TOT_Dept_WO_Addbacks","Tot_FC",$A132,"Top5","Top6","Reported","Top8")</f>
        <v>105.88</v>
      </c>
      <c r="P132" s="15">
        <f>_xll.OneStreamExcelAddIn.XFFunctions.XFGetCell("True","Consol", $B132,"Tot_Entity","USD",P$2,P$3,P$4,$C132,"TopFlow","Top","Top","Tot_Los","TOT_Dept_WO_Addbacks","Tot_FC",$A132,"Top5","Top6","Reported","Top8")</f>
        <v>0</v>
      </c>
      <c r="Q132" s="69">
        <f>_xll.OneStreamExcelAddIn.XFFunctions.XFGetCell("True","Consol", $B132,"Tot_Entity","USD",Q$2,Q$3,Q$4,$C132,"TopFlow","Top","Top","Tot_Los","TOT_Dept_WO_Addbacks","Tot_FC",$A132,"Top5","Top6","Reported","Top8")</f>
        <v>0</v>
      </c>
    </row>
    <row r="133" spans="1:17" x14ac:dyDescent="0.2">
      <c r="A133" s="16" t="str">
        <f t="shared" si="25"/>
        <v>Acute_DIV1</v>
      </c>
      <c r="B133" s="15">
        <f t="shared" si="26"/>
        <v>127</v>
      </c>
      <c r="C133" s="14" t="s">
        <v>227</v>
      </c>
      <c r="D133" s="14" t="s">
        <v>228</v>
      </c>
      <c r="E133" s="68">
        <f>_xll.OneStreamExcelAddIn.XFFunctions.XFGetCell("True","Consol", $B133,"Tot_Entity","USD",E$2,E$3,E$4,$C133,"TopFlow","Top","Top","Tot_Los","TOT_Dept_WO_Addbacks","Tot_FC",$A133,"Top5","Top6","Reported","Top8")</f>
        <v>116.12</v>
      </c>
      <c r="F133" s="68">
        <f>_xll.OneStreamExcelAddIn.XFFunctions.XFGetCell("True","Consol", $B133,"Tot_Entity","USD",F$2,F$3,F$4,$C133,"TopFlow","Top","Top","Tot_Los","TOT_Dept_WO_Addbacks","Tot_FC",$A133,"Top5","Top6","Reported","Top8")</f>
        <v>-116.12</v>
      </c>
      <c r="G133" s="68">
        <f>_xll.OneStreamExcelAddIn.XFFunctions.XFGetCell("True","Consol", $B133,"Tot_Entity","USD",G$2,G$3,G$4,$C133,"TopFlow","Top","Top","Tot_Los","TOT_Dept_WO_Addbacks","Tot_FC",$A133,"Top5","Top6","Reported","Top8")</f>
        <v>0</v>
      </c>
      <c r="H133" s="68">
        <f>_xll.OneStreamExcelAddIn.XFFunctions.XFGetCell("True","Consol", $B133,"Tot_Entity","USD",H$2,H$3,H$4,$C133,"TopFlow","Top","Top","Tot_Los","TOT_Dept_WO_Addbacks","Tot_FC",$A133,"Top5","Top6","Reported","Top8")</f>
        <v>0</v>
      </c>
      <c r="I133" s="68">
        <f>_xll.OneStreamExcelAddIn.XFFunctions.XFGetCell("True","Consol", $B133,"Tot_Entity","USD",I$2,I$3,I$4,$C133,"TopFlow","Top","Top","Tot_Los","TOT_Dept_WO_Addbacks","Tot_FC",$A133,"Top5","Top6","Reported","Top8")</f>
        <v>-35.22</v>
      </c>
      <c r="J133" s="68">
        <f>_xll.OneStreamExcelAddIn.XFFunctions.XFGetCell("True","Consol", $B133,"Tot_Entity","USD",J$2,J$3,J$4,$C133,"TopFlow","Top","Top","Tot_Los","TOT_Dept_WO_Addbacks","Tot_FC",$A133,"Top5","Top6","Reported","Top8")</f>
        <v>31.77</v>
      </c>
      <c r="K133" s="68">
        <f>_xll.OneStreamExcelAddIn.XFFunctions.XFGetCell("True","Consol", $B133,"Tot_Entity","USD",K$2,K$3,K$4,$C133,"TopFlow","Top","Top","Tot_Los","TOT_Dept_WO_Addbacks","Tot_FC",$A133,"Top5","Top6","Reported","Top8")</f>
        <v>-212.01</v>
      </c>
      <c r="L133" s="68">
        <f>_xll.OneStreamExcelAddIn.XFFunctions.XFGetCell("True","Consol", $B133,"Tot_Entity","USD",L$2,L$3,L$4,$C133,"TopFlow","Top","Top","Tot_Los","TOT_Dept_WO_Addbacks","Tot_FC",$A133,"Top5","Top6","Reported","Top8")</f>
        <v>22.46</v>
      </c>
      <c r="M133" s="68">
        <f>_xll.OneStreamExcelAddIn.XFFunctions.XFGetCell("True","Consol", $B133,"Tot_Entity","USD",M$2,M$3,M$4,$C133,"TopFlow","Top","Top","Tot_Los","TOT_Dept_WO_Addbacks","Tot_FC",$A133,"Top5","Top6","Reported","Top8")</f>
        <v>2163.31</v>
      </c>
      <c r="N133" s="68">
        <f>_xll.OneStreamExcelAddIn.XFFunctions.XFGetCell("True","Consol", $B133,"Tot_Entity","USD",N$2,N$3,N$4,$C133,"TopFlow","Top","Top","Tot_Los","TOT_Dept_WO_Addbacks","Tot_FC",$A133,"Top5","Top6","Reported","Top8")</f>
        <v>-2185.77</v>
      </c>
      <c r="O133" s="186">
        <f>_xll.OneStreamExcelAddIn.XFFunctions.XFGetCell("True","Consol", $B133,"Tot_Entity","USD",O$2,O$3,O$4,$C133,"TopFlow","Top","Top","Tot_Los","TOT_Dept_WO_Addbacks","Tot_FC",$A133,"Top5","Top6","Reported","Top8")</f>
        <v>691.76</v>
      </c>
      <c r="P133" s="15">
        <f>_xll.OneStreamExcelAddIn.XFFunctions.XFGetCell("True","Consol", $B133,"Tot_Entity","USD",P$2,P$3,P$4,$C133,"TopFlow","Top","Top","Tot_Los","TOT_Dept_WO_Addbacks","Tot_FC",$A133,"Top5","Top6","Reported","Top8")</f>
        <v>994.995</v>
      </c>
      <c r="Q133" s="69">
        <f>_xll.OneStreamExcelAddIn.XFFunctions.XFGetCell("True","Consol", $B133,"Tot_Entity","USD",Q$2,Q$3,Q$4,$C133,"TopFlow","Top","Top","Tot_Los","TOT_Dept_WO_Addbacks","Tot_FC",$A133,"Top5","Top6","Reported","Top8")</f>
        <v>3979.98</v>
      </c>
    </row>
    <row r="134" spans="1:17" x14ac:dyDescent="0.2">
      <c r="A134" s="16" t="str">
        <f t="shared" si="25"/>
        <v>Acute_DIV1</v>
      </c>
      <c r="B134" s="15">
        <f t="shared" si="26"/>
        <v>127</v>
      </c>
      <c r="C134" s="14" t="s">
        <v>229</v>
      </c>
      <c r="D134" s="14" t="s">
        <v>230</v>
      </c>
      <c r="E134" s="68">
        <f>_xll.OneStreamExcelAddIn.XFFunctions.XFGetCell("True","Consol", $B134,"Tot_Entity","USD",E$2,E$3,E$4,$C134,"TopFlow","Top","Top","Tot_Los","TOT_Dept_WO_Addbacks","Tot_FC",$A134,"Top5","Top6","Reported","Top8")</f>
        <v>0</v>
      </c>
      <c r="F134" s="68">
        <f>_xll.OneStreamExcelAddIn.XFFunctions.XFGetCell("True","Consol", $B134,"Tot_Entity","USD",F$2,F$3,F$4,$C134,"TopFlow","Top","Top","Tot_Los","TOT_Dept_WO_Addbacks","Tot_FC",$A134,"Top5","Top6","Reported","Top8")</f>
        <v>26.74</v>
      </c>
      <c r="G134" s="68">
        <f>_xll.OneStreamExcelAddIn.XFFunctions.XFGetCell("True","Consol", $B134,"Tot_Entity","USD",G$2,G$3,G$4,$C134,"TopFlow","Top","Top","Tot_Los","TOT_Dept_WO_Addbacks","Tot_FC",$A134,"Top5","Top6","Reported","Top8")</f>
        <v>0</v>
      </c>
      <c r="H134" s="68">
        <f>_xll.OneStreamExcelAddIn.XFFunctions.XFGetCell("True","Consol", $B134,"Tot_Entity","USD",H$2,H$3,H$4,$C134,"TopFlow","Top","Top","Tot_Los","TOT_Dept_WO_Addbacks","Tot_FC",$A134,"Top5","Top6","Reported","Top8")</f>
        <v>0</v>
      </c>
      <c r="I134" s="68">
        <f>_xll.OneStreamExcelAddIn.XFFunctions.XFGetCell("True","Consol", $B134,"Tot_Entity","USD",I$2,I$3,I$4,$C134,"TopFlow","Top","Top","Tot_Los","TOT_Dept_WO_Addbacks","Tot_FC",$A134,"Top5","Top6","Reported","Top8")</f>
        <v>-35</v>
      </c>
      <c r="J134" s="68">
        <f>_xll.OneStreamExcelAddIn.XFFunctions.XFGetCell("True","Consol", $B134,"Tot_Entity","USD",J$2,J$3,J$4,$C134,"TopFlow","Top","Top","Tot_Los","TOT_Dept_WO_Addbacks","Tot_FC",$A134,"Top5","Top6","Reported","Top8")</f>
        <v>0</v>
      </c>
      <c r="K134" s="68">
        <f>_xll.OneStreamExcelAddIn.XFFunctions.XFGetCell("True","Consol", $B134,"Tot_Entity","USD",K$2,K$3,K$4,$C134,"TopFlow","Top","Top","Tot_Los","TOT_Dept_WO_Addbacks","Tot_FC",$A134,"Top5","Top6","Reported","Top8")</f>
        <v>0</v>
      </c>
      <c r="L134" s="68">
        <f>_xll.OneStreamExcelAddIn.XFFunctions.XFGetCell("True","Consol", $B134,"Tot_Entity","USD",L$2,L$3,L$4,$C134,"TopFlow","Top","Top","Tot_Los","TOT_Dept_WO_Addbacks","Tot_FC",$A134,"Top5","Top6","Reported","Top8")</f>
        <v>-45.44</v>
      </c>
      <c r="M134" s="68">
        <f>_xll.OneStreamExcelAddIn.XFFunctions.XFGetCell("True","Consol", $B134,"Tot_Entity","USD",M$2,M$3,M$4,$C134,"TopFlow","Top","Top","Tot_Los","TOT_Dept_WO_Addbacks","Tot_FC",$A134,"Top5","Top6","Reported","Top8")</f>
        <v>0</v>
      </c>
      <c r="N134" s="68">
        <f>_xll.OneStreamExcelAddIn.XFFunctions.XFGetCell("True","Consol", $B134,"Tot_Entity","USD",N$2,N$3,N$4,$C134,"TopFlow","Top","Top","Tot_Los","TOT_Dept_WO_Addbacks","Tot_FC",$A134,"Top5","Top6","Reported","Top8")</f>
        <v>0</v>
      </c>
      <c r="O134" s="186">
        <f>_xll.OneStreamExcelAddIn.XFFunctions.XFGetCell("True","Consol", $B134,"Tot_Entity","USD",O$2,O$3,O$4,$C134,"TopFlow","Top","Top","Tot_Los","TOT_Dept_WO_Addbacks","Tot_FC",$A134,"Top5","Top6","Reported","Top8")</f>
        <v>0</v>
      </c>
      <c r="P134" s="15">
        <f>_xll.OneStreamExcelAddIn.XFFunctions.XFGetCell("True","Consol", $B134,"Tot_Entity","USD",P$2,P$3,P$4,$C134,"TopFlow","Top","Top","Tot_Los","TOT_Dept_WO_Addbacks","Tot_FC",$A134,"Top5","Top6","Reported","Top8")</f>
        <v>7.9753716160000003</v>
      </c>
      <c r="Q134" s="69">
        <f>_xll.OneStreamExcelAddIn.XFFunctions.XFGetCell("True","Consol", $B134,"Tot_Entity","USD",Q$2,Q$3,Q$4,$C134,"TopFlow","Top","Top","Tot_Los","TOT_Dept_WO_Addbacks","Tot_FC",$A134,"Top5","Top6","Reported","Top8")</f>
        <v>31.151313183999999</v>
      </c>
    </row>
    <row r="135" spans="1:17" s="31" customFormat="1" x14ac:dyDescent="0.2">
      <c r="B135" s="32"/>
      <c r="C135" s="33"/>
      <c r="D135" s="47" t="s">
        <v>231</v>
      </c>
      <c r="E135" s="38">
        <f>+SUM(E128:E134)/E125</f>
        <v>0.73908709017870755</v>
      </c>
      <c r="F135" s="38">
        <f t="shared" ref="F135:Q135" si="27">+SUM(F128:F134)/F125</f>
        <v>0.70759261377884541</v>
      </c>
      <c r="G135" s="38">
        <f t="shared" si="27"/>
        <v>0.61388970245052155</v>
      </c>
      <c r="H135" s="38">
        <f t="shared" si="27"/>
        <v>0.70649348978857263</v>
      </c>
      <c r="I135" s="38">
        <f t="shared" si="27"/>
        <v>0.70629438906473896</v>
      </c>
      <c r="J135" s="38">
        <f t="shared" si="27"/>
        <v>0.76662776427647783</v>
      </c>
      <c r="K135" s="38">
        <f t="shared" si="27"/>
        <v>0.86080592969178682</v>
      </c>
      <c r="L135" s="38">
        <f t="shared" si="27"/>
        <v>0.80538368608095112</v>
      </c>
      <c r="M135" s="38">
        <f t="shared" si="27"/>
        <v>0.78804268014401591</v>
      </c>
      <c r="N135" s="38">
        <f t="shared" si="27"/>
        <v>0.80089881064075819</v>
      </c>
      <c r="O135" s="195">
        <f t="shared" si="27"/>
        <v>0.68564457956281621</v>
      </c>
      <c r="P135" s="38">
        <f t="shared" si="27"/>
        <v>0.63247395707813603</v>
      </c>
      <c r="Q135" s="38">
        <f t="shared" si="27"/>
        <v>0.63180042302533101</v>
      </c>
    </row>
    <row r="136" spans="1:17" x14ac:dyDescent="0.2">
      <c r="B136" s="2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185"/>
    </row>
    <row r="137" spans="1:17" s="4" customFormat="1" ht="5.0999999999999996" customHeight="1" x14ac:dyDescent="0.2">
      <c r="B137" s="22"/>
      <c r="C137" s="23"/>
      <c r="D137" s="23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185"/>
      <c r="Q137" s="11"/>
    </row>
    <row r="138" spans="1:17" x14ac:dyDescent="0.2">
      <c r="B138" s="2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185"/>
    </row>
    <row r="139" spans="1:17" x14ac:dyDescent="0.2">
      <c r="A139" s="16" t="str">
        <f>+$A$8</f>
        <v>Acute_DIV1</v>
      </c>
      <c r="B139" s="15">
        <f>+$B$8</f>
        <v>127</v>
      </c>
      <c r="C139" s="14" t="s">
        <v>232</v>
      </c>
      <c r="D139" s="14" t="s">
        <v>233</v>
      </c>
      <c r="E139" s="68">
        <f>_xll.OneStreamExcelAddIn.XFFunctions.XFGetCell("True","Consol", $B139,"Tot_Entity","USD",E$2,E$3,E$4,$C139,"TopFlow","Top","Top","Tot_Los","TOT_Dept_WO_Addbacks","Tot_FC",$A139,"Top5","Top6","Reported","Top8")</f>
        <v>169625.61</v>
      </c>
      <c r="F139" s="68">
        <f>_xll.OneStreamExcelAddIn.XFFunctions.XFGetCell("True","Consol", $B139,"Tot_Entity","USD",F$2,F$3,F$4,$C139,"TopFlow","Top","Top","Tot_Los","TOT_Dept_WO_Addbacks","Tot_FC",$A139,"Top5","Top6","Reported","Top8")</f>
        <v>169098.11</v>
      </c>
      <c r="G139" s="68">
        <f>_xll.OneStreamExcelAddIn.XFFunctions.XFGetCell("True","Consol", $B139,"Tot_Entity","USD",G$2,G$3,G$4,$C139,"TopFlow","Top","Top","Tot_Los","TOT_Dept_WO_Addbacks","Tot_FC",$A139,"Top5","Top6","Reported","Top8")</f>
        <v>167410.38</v>
      </c>
      <c r="H139" s="68">
        <f>_xll.OneStreamExcelAddIn.XFFunctions.XFGetCell("True","Consol", $B139,"Tot_Entity","USD",H$2,H$3,H$4,$C139,"TopFlow","Top","Top","Tot_Los","TOT_Dept_WO_Addbacks","Tot_FC",$A139,"Top5","Top6","Reported","Top8")</f>
        <v>163535.62</v>
      </c>
      <c r="I139" s="68">
        <f>_xll.OneStreamExcelAddIn.XFFunctions.XFGetCell("True","Consol", $B139,"Tot_Entity","USD",I$2,I$3,I$4,$C139,"TopFlow","Top","Top","Tot_Los","TOT_Dept_WO_Addbacks","Tot_FC",$A139,"Top5","Top6","Reported","Top8")</f>
        <v>119093.41</v>
      </c>
      <c r="J139" s="68">
        <f>_xll.OneStreamExcelAddIn.XFFunctions.XFGetCell("True","Consol", $B139,"Tot_Entity","USD",J$2,J$3,J$4,$C139,"TopFlow","Top","Top","Tot_Los","TOT_Dept_WO_Addbacks","Tot_FC",$A139,"Top5","Top6","Reported","Top8")</f>
        <v>144123.85</v>
      </c>
      <c r="K139" s="68">
        <f>_xll.OneStreamExcelAddIn.XFFunctions.XFGetCell("True","Consol", $B139,"Tot_Entity","USD",K$2,K$3,K$4,$C139,"TopFlow","Top","Top","Tot_Los","TOT_Dept_WO_Addbacks","Tot_FC",$A139,"Top5","Top6","Reported","Top8")</f>
        <v>112770.73</v>
      </c>
      <c r="L139" s="68">
        <f>_xll.OneStreamExcelAddIn.XFFunctions.XFGetCell("True","Consol", $B139,"Tot_Entity","USD",L$2,L$3,L$4,$C139,"TopFlow","Top","Top","Tot_Los","TOT_Dept_WO_Addbacks","Tot_FC",$A139,"Top5","Top6","Reported","Top8")</f>
        <v>122291.71</v>
      </c>
      <c r="M139" s="68">
        <f>_xll.OneStreamExcelAddIn.XFFunctions.XFGetCell("True","Consol", $B139,"Tot_Entity","USD",M$2,M$3,M$4,$C139,"TopFlow","Top","Top","Tot_Los","TOT_Dept_WO_Addbacks","Tot_FC",$A139,"Top5","Top6","Reported","Top8")</f>
        <v>151036.85</v>
      </c>
      <c r="N139" s="68">
        <f>_xll.OneStreamExcelAddIn.XFFunctions.XFGetCell("True","Consol", $B139,"Tot_Entity","USD",N$2,N$3,N$4,$C139,"TopFlow","Top","Top","Tot_Los","TOT_Dept_WO_Addbacks","Tot_FC",$A139,"Top5","Top6","Reported","Top8")</f>
        <v>144545.62</v>
      </c>
      <c r="O139" s="186">
        <f>_xll.OneStreamExcelAddIn.XFFunctions.XFGetCell("True","Consol", $B139,"Tot_Entity","USD",O$2,O$3,O$4,$C139,"TopFlow","Top","Top","Tot_Los","TOT_Dept_WO_Addbacks","Tot_FC",$A139,"Top5","Top6","Reported","Top8")</f>
        <v>156895.54</v>
      </c>
      <c r="P139" s="15">
        <f>_xll.OneStreamExcelAddIn.XFFunctions.XFGetCell("True","Consol", $B139,"Tot_Entity","USD",P$2,P$3,P$4,$C139,"TopFlow","Top","Top","Tot_Los","TOT_Dept_WO_Addbacks","Tot_FC",$A139,"Top5","Top6","Reported","Top8")</f>
        <v>168869.76233432401</v>
      </c>
      <c r="Q139" s="69">
        <f>_xll.OneStreamExcelAddIn.XFFunctions.XFGetCell("True","Consol", $B139,"Tot_Entity","USD",Q$2,Q$3,Q$4,$C139,"TopFlow","Top","Top","Tot_Los","TOT_Dept_WO_Addbacks","Tot_FC",$A139,"Top5","Top6","Reported","Top8")</f>
        <v>671130.87389640603</v>
      </c>
    </row>
    <row r="140" spans="1:17" x14ac:dyDescent="0.2">
      <c r="B140" s="2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185"/>
    </row>
    <row r="141" spans="1:17" x14ac:dyDescent="0.2">
      <c r="A141" s="16" t="str">
        <f>+$A$8</f>
        <v>Acute_DIV1</v>
      </c>
      <c r="B141" s="15">
        <f>+$B$8</f>
        <v>127</v>
      </c>
      <c r="C141" s="14" t="s">
        <v>234</v>
      </c>
      <c r="D141" s="14" t="s">
        <v>235</v>
      </c>
      <c r="E141" s="68">
        <f>_xll.OneStreamExcelAddIn.XFFunctions.XFGetCell("True","Consol", $B141,"Tot_Entity","USD",E$2,E$3,E$4,$C141,"TopFlow","Top","Top","Tot_Los","TOT_Dept_WO_Addbacks","Tot_FC",$A141,"Top5","Top6","Reported","Top8")</f>
        <v>42835.63</v>
      </c>
      <c r="F141" s="68">
        <f>_xll.OneStreamExcelAddIn.XFFunctions.XFGetCell("True","Consol", $B141,"Tot_Entity","USD",F$2,F$3,F$4,$C141,"TopFlow","Top","Top","Tot_Los","TOT_Dept_WO_Addbacks","Tot_FC",$A141,"Top5","Top6","Reported","Top8")</f>
        <v>36769.32</v>
      </c>
      <c r="G141" s="68">
        <f>_xll.OneStreamExcelAddIn.XFFunctions.XFGetCell("True","Consol", $B141,"Tot_Entity","USD",G$2,G$3,G$4,$C141,"TopFlow","Top","Top","Tot_Los","TOT_Dept_WO_Addbacks","Tot_FC",$A141,"Top5","Top6","Reported","Top8")</f>
        <v>44575.65</v>
      </c>
      <c r="H141" s="68">
        <f>_xll.OneStreamExcelAddIn.XFFunctions.XFGetCell("True","Consol", $B141,"Tot_Entity","USD",H$2,H$3,H$4,$C141,"TopFlow","Top","Top","Tot_Los","TOT_Dept_WO_Addbacks","Tot_FC",$A141,"Top5","Top6","Reported","Top8")</f>
        <v>49231.99</v>
      </c>
      <c r="I141" s="68">
        <f>_xll.OneStreamExcelAddIn.XFFunctions.XFGetCell("True","Consol", $B141,"Tot_Entity","USD",I$2,I$3,I$4,$C141,"TopFlow","Top","Top","Tot_Los","TOT_Dept_WO_Addbacks","Tot_FC",$A141,"Top5","Top6","Reported","Top8")</f>
        <v>21856.15</v>
      </c>
      <c r="J141" s="68">
        <f>_xll.OneStreamExcelAddIn.XFFunctions.XFGetCell("True","Consol", $B141,"Tot_Entity","USD",J$2,J$3,J$4,$C141,"TopFlow","Top","Top","Tot_Los","TOT_Dept_WO_Addbacks","Tot_FC",$A141,"Top5","Top6","Reported","Top8")</f>
        <v>41354.870000000003</v>
      </c>
      <c r="K141" s="68">
        <f>_xll.OneStreamExcelAddIn.XFFunctions.XFGetCell("True","Consol", $B141,"Tot_Entity","USD",K$2,K$3,K$4,$C141,"TopFlow","Top","Top","Tot_Los","TOT_Dept_WO_Addbacks","Tot_FC",$A141,"Top5","Top6","Reported","Top8")</f>
        <v>40595.379999999997</v>
      </c>
      <c r="L141" s="68">
        <f>_xll.OneStreamExcelAddIn.XFFunctions.XFGetCell("True","Consol", $B141,"Tot_Entity","USD",L$2,L$3,L$4,$C141,"TopFlow","Top","Top","Tot_Los","TOT_Dept_WO_Addbacks","Tot_FC",$A141,"Top5","Top6","Reported","Top8")</f>
        <v>33570.29</v>
      </c>
      <c r="M141" s="68">
        <f>_xll.OneStreamExcelAddIn.XFFunctions.XFGetCell("True","Consol", $B141,"Tot_Entity","USD",M$2,M$3,M$4,$C141,"TopFlow","Top","Top","Tot_Los","TOT_Dept_WO_Addbacks","Tot_FC",$A141,"Top5","Top6","Reported","Top8")</f>
        <v>42422.5</v>
      </c>
      <c r="N141" s="68">
        <f>_xll.OneStreamExcelAddIn.XFFunctions.XFGetCell("True","Consol", $B141,"Tot_Entity","USD",N$2,N$3,N$4,$C141,"TopFlow","Top","Top","Tot_Los","TOT_Dept_WO_Addbacks","Tot_FC",$A141,"Top5","Top6","Reported","Top8")</f>
        <v>29449.34</v>
      </c>
      <c r="O141" s="186">
        <f>_xll.OneStreamExcelAddIn.XFFunctions.XFGetCell("True","Consol", $B141,"Tot_Entity","USD",O$2,O$3,O$4,$C141,"TopFlow","Top","Top","Tot_Los","TOT_Dept_WO_Addbacks","Tot_FC",$A141,"Top5","Top6","Reported","Top8")</f>
        <v>45335.18</v>
      </c>
      <c r="P141" s="15">
        <f>_xll.OneStreamExcelAddIn.XFFunctions.XFGetCell("True","Consol", $B141,"Tot_Entity","USD",P$2,P$3,P$4,$C141,"TopFlow","Top","Top","Tot_Los","TOT_Dept_WO_Addbacks","Tot_FC",$A141,"Top5","Top6","Reported","Top8")</f>
        <v>56910.446333332999</v>
      </c>
      <c r="Q141" s="69">
        <f>_xll.OneStreamExcelAddIn.XFFunctions.XFGetCell("True","Consol", $B141,"Tot_Entity","USD",Q$2,Q$3,Q$4,$C141,"TopFlow","Top","Top","Tot_Los","TOT_Dept_WO_Addbacks","Tot_FC",$A141,"Top5","Top6","Reported","Top8")</f>
        <v>227641.78533333199</v>
      </c>
    </row>
    <row r="142" spans="1:17" x14ac:dyDescent="0.2">
      <c r="A142" s="16" t="str">
        <f>+$A$8</f>
        <v>Acute_DIV1</v>
      </c>
      <c r="B142" s="15">
        <f>+$B$8</f>
        <v>127</v>
      </c>
      <c r="C142" s="14" t="s">
        <v>236</v>
      </c>
      <c r="D142" s="14" t="s">
        <v>237</v>
      </c>
      <c r="E142" s="68">
        <f>_xll.OneStreamExcelAddIn.XFFunctions.XFGetCell("True","Consol", $B142,"Tot_Entity","USD",E$2,E$3,E$4,$C142,"TopFlow","Top","Top","Tot_Los","TOT_Dept_WO_Addbacks","Tot_FC",$A142,"Top5","Top6","Reported","Top8")</f>
        <v>0</v>
      </c>
      <c r="F142" s="68">
        <f>_xll.OneStreamExcelAddIn.XFFunctions.XFGetCell("True","Consol", $B142,"Tot_Entity","USD",F$2,F$3,F$4,$C142,"TopFlow","Top","Top","Tot_Los","TOT_Dept_WO_Addbacks","Tot_FC",$A142,"Top5","Top6","Reported","Top8")</f>
        <v>0</v>
      </c>
      <c r="G142" s="68">
        <f>_xll.OneStreamExcelAddIn.XFFunctions.XFGetCell("True","Consol", $B142,"Tot_Entity","USD",G$2,G$3,G$4,$C142,"TopFlow","Top","Top","Tot_Los","TOT_Dept_WO_Addbacks","Tot_FC",$A142,"Top5","Top6","Reported","Top8")</f>
        <v>0</v>
      </c>
      <c r="H142" s="68">
        <f>_xll.OneStreamExcelAddIn.XFFunctions.XFGetCell("True","Consol", $B142,"Tot_Entity","USD",H$2,H$3,H$4,$C142,"TopFlow","Top","Top","Tot_Los","TOT_Dept_WO_Addbacks","Tot_FC",$A142,"Top5","Top6","Reported","Top8")</f>
        <v>0</v>
      </c>
      <c r="I142" s="68">
        <f>_xll.OneStreamExcelAddIn.XFFunctions.XFGetCell("True","Consol", $B142,"Tot_Entity","USD",I$2,I$3,I$4,$C142,"TopFlow","Top","Top","Tot_Los","TOT_Dept_WO_Addbacks","Tot_FC",$A142,"Top5","Top6","Reported","Top8")</f>
        <v>0</v>
      </c>
      <c r="J142" s="68">
        <f>_xll.OneStreamExcelAddIn.XFFunctions.XFGetCell("True","Consol", $B142,"Tot_Entity","USD",J$2,J$3,J$4,$C142,"TopFlow","Top","Top","Tot_Los","TOT_Dept_WO_Addbacks","Tot_FC",$A142,"Top5","Top6","Reported","Top8")</f>
        <v>0</v>
      </c>
      <c r="K142" s="68">
        <f>_xll.OneStreamExcelAddIn.XFFunctions.XFGetCell("True","Consol", $B142,"Tot_Entity","USD",K$2,K$3,K$4,$C142,"TopFlow","Top","Top","Tot_Los","TOT_Dept_WO_Addbacks","Tot_FC",$A142,"Top5","Top6","Reported","Top8")</f>
        <v>0</v>
      </c>
      <c r="L142" s="68">
        <f>_xll.OneStreamExcelAddIn.XFFunctions.XFGetCell("True","Consol", $B142,"Tot_Entity","USD",L$2,L$3,L$4,$C142,"TopFlow","Top","Top","Tot_Los","TOT_Dept_WO_Addbacks","Tot_FC",$A142,"Top5","Top6","Reported","Top8")</f>
        <v>0</v>
      </c>
      <c r="M142" s="68">
        <f>_xll.OneStreamExcelAddIn.XFFunctions.XFGetCell("True","Consol", $B142,"Tot_Entity","USD",M$2,M$3,M$4,$C142,"TopFlow","Top","Top","Tot_Los","TOT_Dept_WO_Addbacks","Tot_FC",$A142,"Top5","Top6","Reported","Top8")</f>
        <v>440</v>
      </c>
      <c r="N142" s="68">
        <f>_xll.OneStreamExcelAddIn.XFFunctions.XFGetCell("True","Consol", $B142,"Tot_Entity","USD",N$2,N$3,N$4,$C142,"TopFlow","Top","Top","Tot_Los","TOT_Dept_WO_Addbacks","Tot_FC",$A142,"Top5","Top6","Reported","Top8")</f>
        <v>732.8</v>
      </c>
      <c r="O142" s="186">
        <f>_xll.OneStreamExcelAddIn.XFFunctions.XFGetCell("True","Consol", $B142,"Tot_Entity","USD",O$2,O$3,O$4,$C142,"TopFlow","Top","Top","Tot_Los","TOT_Dept_WO_Addbacks","Tot_FC",$A142,"Top5","Top6","Reported","Top8")</f>
        <v>0</v>
      </c>
      <c r="P142" s="15">
        <f>_xll.OneStreamExcelAddIn.XFFunctions.XFGetCell("True","Consol", $B142,"Tot_Entity","USD",P$2,P$3,P$4,$C142,"TopFlow","Top","Top","Tot_Los","TOT_Dept_WO_Addbacks","Tot_FC",$A142,"Top5","Top6","Reported","Top8")</f>
        <v>0</v>
      </c>
      <c r="Q142" s="69">
        <f>_xll.OneStreamExcelAddIn.XFFunctions.XFGetCell("True","Consol", $B142,"Tot_Entity","USD",Q$2,Q$3,Q$4,$C142,"TopFlow","Top","Top","Tot_Los","TOT_Dept_WO_Addbacks","Tot_FC",$A142,"Top5","Top6","Reported","Top8")</f>
        <v>0</v>
      </c>
    </row>
    <row r="143" spans="1:17" x14ac:dyDescent="0.2">
      <c r="A143" s="16" t="str">
        <f>+$A$8</f>
        <v>Acute_DIV1</v>
      </c>
      <c r="B143" s="15">
        <f>+$B$8</f>
        <v>127</v>
      </c>
      <c r="C143" s="14" t="s">
        <v>238</v>
      </c>
      <c r="D143" s="14" t="s">
        <v>239</v>
      </c>
      <c r="E143" s="68">
        <f>_xll.OneStreamExcelAddIn.XFFunctions.XFGetCell("True","Consol", $B143,"Tot_Entity","USD",E$2,E$3,E$4,$C143,"TopFlow","Top","Top","Tot_Los","TOT_Dept_WO_Addbacks","Tot_FC",$A143,"Top5","Top6","Reported","Top8")</f>
        <v>30030.62</v>
      </c>
      <c r="F143" s="68">
        <f>_xll.OneStreamExcelAddIn.XFFunctions.XFGetCell("True","Consol", $B143,"Tot_Entity","USD",F$2,F$3,F$4,$C143,"TopFlow","Top","Top","Tot_Los","TOT_Dept_WO_Addbacks","Tot_FC",$A143,"Top5","Top6","Reported","Top8")</f>
        <v>29875</v>
      </c>
      <c r="G143" s="68">
        <f>_xll.OneStreamExcelAddIn.XFFunctions.XFGetCell("True","Consol", $B143,"Tot_Entity","USD",G$2,G$3,G$4,$C143,"TopFlow","Top","Top","Tot_Los","TOT_Dept_WO_Addbacks","Tot_FC",$A143,"Top5","Top6","Reported","Top8")</f>
        <v>29915.67</v>
      </c>
      <c r="H143" s="68">
        <f>_xll.OneStreamExcelAddIn.XFFunctions.XFGetCell("True","Consol", $B143,"Tot_Entity","USD",H$2,H$3,H$4,$C143,"TopFlow","Top","Top","Tot_Los","TOT_Dept_WO_Addbacks","Tot_FC",$A143,"Top5","Top6","Reported","Top8")</f>
        <v>29875</v>
      </c>
      <c r="I143" s="68">
        <f>_xll.OneStreamExcelAddIn.XFFunctions.XFGetCell("True","Consol", $B143,"Tot_Entity","USD",I$2,I$3,I$4,$C143,"TopFlow","Top","Top","Tot_Los","TOT_Dept_WO_Addbacks","Tot_FC",$A143,"Top5","Top6","Reported","Top8")</f>
        <v>29875</v>
      </c>
      <c r="J143" s="68">
        <f>_xll.OneStreamExcelAddIn.XFFunctions.XFGetCell("True","Consol", $B143,"Tot_Entity","USD",J$2,J$3,J$4,$C143,"TopFlow","Top","Top","Tot_Los","TOT_Dept_WO_Addbacks","Tot_FC",$A143,"Top5","Top6","Reported","Top8")</f>
        <v>29875</v>
      </c>
      <c r="K143" s="68">
        <f>_xll.OneStreamExcelAddIn.XFFunctions.XFGetCell("True","Consol", $B143,"Tot_Entity","USD",K$2,K$3,K$4,$C143,"TopFlow","Top","Top","Tot_Los","TOT_Dept_WO_Addbacks","Tot_FC",$A143,"Top5","Top6","Reported","Top8")</f>
        <v>26195</v>
      </c>
      <c r="L143" s="68">
        <f>_xll.OneStreamExcelAddIn.XFFunctions.XFGetCell("True","Consol", $B143,"Tot_Entity","USD",L$2,L$3,L$4,$C143,"TopFlow","Top","Top","Tot_Los","TOT_Dept_WO_Addbacks","Tot_FC",$A143,"Top5","Top6","Reported","Top8")</f>
        <v>29925.43</v>
      </c>
      <c r="M143" s="68">
        <f>_xll.OneStreamExcelAddIn.XFFunctions.XFGetCell("True","Consol", $B143,"Tot_Entity","USD",M$2,M$3,M$4,$C143,"TopFlow","Top","Top","Tot_Los","TOT_Dept_WO_Addbacks","Tot_FC",$A143,"Top5","Top6","Reported","Top8")</f>
        <v>31989.61</v>
      </c>
      <c r="N143" s="68">
        <f>_xll.OneStreamExcelAddIn.XFFunctions.XFGetCell("True","Consol", $B143,"Tot_Entity","USD",N$2,N$3,N$4,$C143,"TopFlow","Top","Top","Tot_Los","TOT_Dept_WO_Addbacks","Tot_FC",$A143,"Top5","Top6","Reported","Top8")</f>
        <v>2920.4</v>
      </c>
      <c r="O143" s="186">
        <f>_xll.OneStreamExcelAddIn.XFFunctions.XFGetCell("True","Consol", $B143,"Tot_Entity","USD",O$2,O$3,O$4,$C143,"TopFlow","Top","Top","Tot_Los","TOT_Dept_WO_Addbacks","Tot_FC",$A143,"Top5","Top6","Reported","Top8")</f>
        <v>36440.75</v>
      </c>
      <c r="P143" s="15">
        <f>_xll.OneStreamExcelAddIn.XFFunctions.XFGetCell("True","Consol", $B143,"Tot_Entity","USD",P$2,P$3,P$4,$C143,"TopFlow","Top","Top","Tot_Los","TOT_Dept_WO_Addbacks","Tot_FC",$A143,"Top5","Top6","Reported","Top8")</f>
        <v>29902.33</v>
      </c>
      <c r="Q143" s="69">
        <f>_xll.OneStreamExcelAddIn.XFFunctions.XFGetCell("True","Consol", $B143,"Tot_Entity","USD",Q$2,Q$3,Q$4,$C143,"TopFlow","Top","Top","Tot_Los","TOT_Dept_WO_Addbacks","Tot_FC",$A143,"Top5","Top6","Reported","Top8")</f>
        <v>118774.33</v>
      </c>
    </row>
    <row r="144" spans="1:17" x14ac:dyDescent="0.2">
      <c r="A144" s="16" t="str">
        <f>+$A$8</f>
        <v>Acute_DIV1</v>
      </c>
      <c r="B144" s="15">
        <f>+$B$8</f>
        <v>127</v>
      </c>
      <c r="C144" s="14" t="s">
        <v>240</v>
      </c>
      <c r="D144" s="14" t="s">
        <v>241</v>
      </c>
      <c r="E144" s="68">
        <f>_xll.OneStreamExcelAddIn.XFFunctions.XFGetCell("True","Consol", $B144,"Tot_Entity","USD",E$2,E$3,E$4,$C144,"TopFlow","Top","Top","Tot_Los","TOT_Dept_WO_Addbacks","Tot_FC",$A144,"Top5","Top6","Reported","Top8")</f>
        <v>24529.55</v>
      </c>
      <c r="F144" s="68">
        <f>_xll.OneStreamExcelAddIn.XFFunctions.XFGetCell("True","Consol", $B144,"Tot_Entity","USD",F$2,F$3,F$4,$C144,"TopFlow","Top","Top","Tot_Los","TOT_Dept_WO_Addbacks","Tot_FC",$A144,"Top5","Top6","Reported","Top8")</f>
        <v>28056.12</v>
      </c>
      <c r="G144" s="68">
        <f>_xll.OneStreamExcelAddIn.XFFunctions.XFGetCell("True","Consol", $B144,"Tot_Entity","USD",G$2,G$3,G$4,$C144,"TopFlow","Top","Top","Tot_Los","TOT_Dept_WO_Addbacks","Tot_FC",$A144,"Top5","Top6","Reported","Top8")</f>
        <v>27148.86</v>
      </c>
      <c r="H144" s="68">
        <f>_xll.OneStreamExcelAddIn.XFFunctions.XFGetCell("True","Consol", $B144,"Tot_Entity","USD",H$2,H$3,H$4,$C144,"TopFlow","Top","Top","Tot_Los","TOT_Dept_WO_Addbacks","Tot_FC",$A144,"Top5","Top6","Reported","Top8")</f>
        <v>22211.85</v>
      </c>
      <c r="I144" s="68">
        <f>_xll.OneStreamExcelAddIn.XFFunctions.XFGetCell("True","Consol", $B144,"Tot_Entity","USD",I$2,I$3,I$4,$C144,"TopFlow","Top","Top","Tot_Los","TOT_Dept_WO_Addbacks","Tot_FC",$A144,"Top5","Top6","Reported","Top8")</f>
        <v>21761.43</v>
      </c>
      <c r="J144" s="68">
        <f>_xll.OneStreamExcelAddIn.XFFunctions.XFGetCell("True","Consol", $B144,"Tot_Entity","USD",J$2,J$3,J$4,$C144,"TopFlow","Top","Top","Tot_Los","TOT_Dept_WO_Addbacks","Tot_FC",$A144,"Top5","Top6","Reported","Top8")</f>
        <v>17581.36</v>
      </c>
      <c r="K144" s="68">
        <f>_xll.OneStreamExcelAddIn.XFFunctions.XFGetCell("True","Consol", $B144,"Tot_Entity","USD",K$2,K$3,K$4,$C144,"TopFlow","Top","Top","Tot_Los","TOT_Dept_WO_Addbacks","Tot_FC",$A144,"Top5","Top6","Reported","Top8")</f>
        <v>-2280.4499999999998</v>
      </c>
      <c r="L144" s="68">
        <f>_xll.OneStreamExcelAddIn.XFFunctions.XFGetCell("True","Consol", $B144,"Tot_Entity","USD",L$2,L$3,L$4,$C144,"TopFlow","Top","Top","Tot_Los","TOT_Dept_WO_Addbacks","Tot_FC",$A144,"Top5","Top6","Reported","Top8")</f>
        <v>16338.53</v>
      </c>
      <c r="M144" s="68">
        <f>_xll.OneStreamExcelAddIn.XFFunctions.XFGetCell("True","Consol", $B144,"Tot_Entity","USD",M$2,M$3,M$4,$C144,"TopFlow","Top","Top","Tot_Los","TOT_Dept_WO_Addbacks","Tot_FC",$A144,"Top5","Top6","Reported","Top8")</f>
        <v>16615.11</v>
      </c>
      <c r="N144" s="68">
        <f>_xll.OneStreamExcelAddIn.XFFunctions.XFGetCell("True","Consol", $B144,"Tot_Entity","USD",N$2,N$3,N$4,$C144,"TopFlow","Top","Top","Tot_Los","TOT_Dept_WO_Addbacks","Tot_FC",$A144,"Top5","Top6","Reported","Top8")</f>
        <v>38916.99</v>
      </c>
      <c r="O144" s="186">
        <f>_xll.OneStreamExcelAddIn.XFFunctions.XFGetCell("True","Consol", $B144,"Tot_Entity","USD",O$2,O$3,O$4,$C144,"TopFlow","Top","Top","Tot_Los","TOT_Dept_WO_Addbacks","Tot_FC",$A144,"Top5","Top6","Reported","Top8")</f>
        <v>16121.93</v>
      </c>
      <c r="P144" s="15">
        <f>_xll.OneStreamExcelAddIn.XFFunctions.XFGetCell("True","Consol", $B144,"Tot_Entity","USD",P$2,P$3,P$4,$C144,"TopFlow","Top","Top","Tot_Los","TOT_Dept_WO_Addbacks","Tot_FC",$A144,"Top5","Top6","Reported","Top8")</f>
        <v>21959.1</v>
      </c>
      <c r="Q144" s="69">
        <f>_xll.OneStreamExcelAddIn.XFFunctions.XFGetCell("True","Consol", $B144,"Tot_Entity","USD",Q$2,Q$3,Q$4,$C144,"TopFlow","Top","Top","Tot_Los","TOT_Dept_WO_Addbacks","Tot_FC",$A144,"Top5","Top6","Reported","Top8")</f>
        <v>85770.9</v>
      </c>
    </row>
    <row r="145" spans="1:34" s="4" customFormat="1" x14ac:dyDescent="0.2">
      <c r="A145" s="16" t="str">
        <f>+$A$8</f>
        <v>Acute_DIV1</v>
      </c>
      <c r="B145" s="15">
        <f>+$B$8</f>
        <v>127</v>
      </c>
      <c r="C145" s="14" t="s">
        <v>242</v>
      </c>
      <c r="D145" s="14" t="s">
        <v>243</v>
      </c>
      <c r="E145" s="68">
        <f>_xll.OneStreamExcelAddIn.XFFunctions.XFGetCell("True","Consol", $B145,"Tot_Entity","USD",E$2,E$3,E$4,$C145,"TopFlow","Top","Top","Tot_Los","TOT_Dept_WO_Addbacks","Tot_FC",$A145,"Top5","Top6","Reported","Top8")</f>
        <v>72229.81</v>
      </c>
      <c r="F145" s="68">
        <f>_xll.OneStreamExcelAddIn.XFFunctions.XFGetCell("True","Consol", $B145,"Tot_Entity","USD",F$2,F$3,F$4,$C145,"TopFlow","Top","Top","Tot_Los","TOT_Dept_WO_Addbacks","Tot_FC",$A145,"Top5","Top6","Reported","Top8")</f>
        <v>74397.67</v>
      </c>
      <c r="G145" s="68">
        <f>_xll.OneStreamExcelAddIn.XFFunctions.XFGetCell("True","Consol", $B145,"Tot_Entity","USD",G$2,G$3,G$4,$C145,"TopFlow","Top","Top","Tot_Los","TOT_Dept_WO_Addbacks","Tot_FC",$A145,"Top5","Top6","Reported","Top8")</f>
        <v>65770.2</v>
      </c>
      <c r="H145" s="68">
        <f>_xll.OneStreamExcelAddIn.XFFunctions.XFGetCell("True","Consol", $B145,"Tot_Entity","USD",H$2,H$3,H$4,$C145,"TopFlow","Top","Top","Tot_Los","TOT_Dept_WO_Addbacks","Tot_FC",$A145,"Top5","Top6","Reported","Top8")</f>
        <v>62216.78</v>
      </c>
      <c r="I145" s="68">
        <f>_xll.OneStreamExcelAddIn.XFFunctions.XFGetCell("True","Consol", $B145,"Tot_Entity","USD",I$2,I$3,I$4,$C145,"TopFlow","Top","Top","Tot_Los","TOT_Dept_WO_Addbacks","Tot_FC",$A145,"Top5","Top6","Reported","Top8")</f>
        <v>45600.83</v>
      </c>
      <c r="J145" s="68">
        <f>_xll.OneStreamExcelAddIn.XFFunctions.XFGetCell("True","Consol", $B145,"Tot_Entity","USD",J$2,J$3,J$4,$C145,"TopFlow","Top","Top","Tot_Los","TOT_Dept_WO_Addbacks","Tot_FC",$A145,"Top5","Top6","Reported","Top8")</f>
        <v>55312.62</v>
      </c>
      <c r="K145" s="68">
        <f>_xll.OneStreamExcelAddIn.XFFunctions.XFGetCell("True","Consol", $B145,"Tot_Entity","USD",K$2,K$3,K$4,$C145,"TopFlow","Top","Top","Tot_Los","TOT_Dept_WO_Addbacks","Tot_FC",$A145,"Top5","Top6","Reported","Top8")</f>
        <v>48260.800000000003</v>
      </c>
      <c r="L145" s="68">
        <f>_xll.OneStreamExcelAddIn.XFFunctions.XFGetCell("True","Consol", $B145,"Tot_Entity","USD",L$2,L$3,L$4,$C145,"TopFlow","Top","Top","Tot_Los","TOT_Dept_WO_Addbacks","Tot_FC",$A145,"Top5","Top6","Reported","Top8")</f>
        <v>42457.46</v>
      </c>
      <c r="M145" s="68">
        <f>_xll.OneStreamExcelAddIn.XFFunctions.XFGetCell("True","Consol", $B145,"Tot_Entity","USD",M$2,M$3,M$4,$C145,"TopFlow","Top","Top","Tot_Los","TOT_Dept_WO_Addbacks","Tot_FC",$A145,"Top5","Top6","Reported","Top8")</f>
        <v>59569.63</v>
      </c>
      <c r="N145" s="68">
        <f>_xll.OneStreamExcelAddIn.XFFunctions.XFGetCell("True","Consol", $B145,"Tot_Entity","USD",N$2,N$3,N$4,$C145,"TopFlow","Top","Top","Tot_Los","TOT_Dept_WO_Addbacks","Tot_FC",$A145,"Top5","Top6","Reported","Top8")</f>
        <v>72526.09</v>
      </c>
      <c r="O145" s="186">
        <f>_xll.OneStreamExcelAddIn.XFFunctions.XFGetCell("True","Consol", $B145,"Tot_Entity","USD",O$2,O$3,O$4,$C145,"TopFlow","Top","Top","Tot_Los","TOT_Dept_WO_Addbacks","Tot_FC",$A145,"Top5","Top6","Reported","Top8")</f>
        <v>58997.68</v>
      </c>
      <c r="P145" s="15">
        <f>_xll.OneStreamExcelAddIn.XFFunctions.XFGetCell("True","Consol", $B145,"Tot_Entity","USD",P$2,P$3,P$4,$C145,"TopFlow","Top","Top","Tot_Los","TOT_Dept_WO_Addbacks","Tot_FC",$A145,"Top5","Top6","Reported","Top8")</f>
        <v>60097.886000990999</v>
      </c>
      <c r="Q145" s="69">
        <f>_xll.OneStreamExcelAddIn.XFFunctions.XFGetCell("True","Consol", $B145,"Tot_Entity","USD",Q$2,Q$3,Q$4,$C145,"TopFlow","Top","Top","Tot_Los","TOT_Dept_WO_Addbacks","Tot_FC",$A145,"Top5","Top6","Reported","Top8")</f>
        <v>238943.858563074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s="4" customFormat="1" hidden="1" outlineLevel="1" x14ac:dyDescent="0.2">
      <c r="A146" s="1"/>
      <c r="B146" s="2"/>
      <c r="C146" s="3"/>
      <c r="D146" s="36"/>
      <c r="E146" s="78" t="b">
        <f>E139=SUM(E141:E145)</f>
        <v>1</v>
      </c>
      <c r="F146" s="78" t="b">
        <f t="shared" ref="F146:Q146" si="28">F139=SUM(F141:F145)</f>
        <v>1</v>
      </c>
      <c r="G146" s="78" t="b">
        <f t="shared" si="28"/>
        <v>1</v>
      </c>
      <c r="H146" s="78" t="b">
        <f t="shared" si="28"/>
        <v>1</v>
      </c>
      <c r="I146" s="78" t="b">
        <f t="shared" si="28"/>
        <v>1</v>
      </c>
      <c r="J146" s="78" t="b">
        <f t="shared" si="28"/>
        <v>1</v>
      </c>
      <c r="K146" s="78" t="b">
        <f t="shared" si="28"/>
        <v>1</v>
      </c>
      <c r="L146" s="78" t="b">
        <f t="shared" si="28"/>
        <v>1</v>
      </c>
      <c r="M146" s="78" t="b">
        <f t="shared" si="28"/>
        <v>1</v>
      </c>
      <c r="N146" s="78" t="b">
        <f t="shared" si="28"/>
        <v>1</v>
      </c>
      <c r="O146" s="196" t="b">
        <f t="shared" si="28"/>
        <v>1</v>
      </c>
      <c r="P146" s="17" t="b">
        <f t="shared" si="28"/>
        <v>1</v>
      </c>
      <c r="Q146" s="79" t="b">
        <f t="shared" si="28"/>
        <v>1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s="4" customFormat="1" collapsed="1" x14ac:dyDescent="0.2">
      <c r="A147" s="1"/>
      <c r="B147" s="2"/>
      <c r="C147" s="3"/>
      <c r="D147" s="3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185"/>
      <c r="P147" s="1"/>
      <c r="Q147" s="1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s="4" customFormat="1" x14ac:dyDescent="0.2">
      <c r="A148" s="16" t="str">
        <f>+$A$8</f>
        <v>Acute_DIV1</v>
      </c>
      <c r="B148" s="15">
        <f>+$B$8</f>
        <v>127</v>
      </c>
      <c r="C148" s="14" t="s">
        <v>244</v>
      </c>
      <c r="D148" s="14" t="s">
        <v>245</v>
      </c>
      <c r="E148" s="68">
        <f>_xll.OneStreamExcelAddIn.XFFunctions.XFGetCell("True","Consol", $B148,"Tot_Entity","USD",E$2,E$3,E$4,$C148,"TopFlow","Top","Top","Tot_Los","TOT_Dept_WO_Addbacks","Tot_FC",$A148,"Top5","Top6","Reported","Top8")</f>
        <v>127715.7</v>
      </c>
      <c r="F148" s="68">
        <f>_xll.OneStreamExcelAddIn.XFFunctions.XFGetCell("True","Consol", $B148,"Tot_Entity","USD",F$2,F$3,F$4,$C148,"TopFlow","Top","Top","Tot_Los","TOT_Dept_WO_Addbacks","Tot_FC",$A148,"Top5","Top6","Reported","Top8")</f>
        <v>141963.82999999999</v>
      </c>
      <c r="G148" s="68">
        <f>_xll.OneStreamExcelAddIn.XFFunctions.XFGetCell("True","Consol", $B148,"Tot_Entity","USD",G$2,G$3,G$4,$C148,"TopFlow","Top","Top","Tot_Los","TOT_Dept_WO_Addbacks","Tot_FC",$A148,"Top5","Top6","Reported","Top8")</f>
        <v>89350</v>
      </c>
      <c r="H148" s="68">
        <f>_xll.OneStreamExcelAddIn.XFFunctions.XFGetCell("True","Consol", $B148,"Tot_Entity","USD",H$2,H$3,H$4,$C148,"TopFlow","Top","Top","Tot_Los","TOT_Dept_WO_Addbacks","Tot_FC",$A148,"Top5","Top6","Reported","Top8")</f>
        <v>70550</v>
      </c>
      <c r="I148" s="68">
        <f>_xll.OneStreamExcelAddIn.XFFunctions.XFGetCell("True","Consol", $B148,"Tot_Entity","USD",I$2,I$3,I$4,$C148,"TopFlow","Top","Top","Tot_Los","TOT_Dept_WO_Addbacks","Tot_FC",$A148,"Top5","Top6","Reported","Top8")</f>
        <v>80949.73</v>
      </c>
      <c r="J148" s="68">
        <f>_xll.OneStreamExcelAddIn.XFFunctions.XFGetCell("True","Consol", $B148,"Tot_Entity","USD",J$2,J$3,J$4,$C148,"TopFlow","Top","Top","Tot_Los","TOT_Dept_WO_Addbacks","Tot_FC",$A148,"Top5","Top6","Reported","Top8")</f>
        <v>113250</v>
      </c>
      <c r="K148" s="68">
        <f>_xll.OneStreamExcelAddIn.XFFunctions.XFGetCell("True","Consol", $B148,"Tot_Entity","USD",K$2,K$3,K$4,$C148,"TopFlow","Top","Top","Tot_Los","TOT_Dept_WO_Addbacks","Tot_FC",$A148,"Top5","Top6","Reported","Top8")</f>
        <v>117550</v>
      </c>
      <c r="L148" s="68">
        <f>_xll.OneStreamExcelAddIn.XFFunctions.XFGetCell("True","Consol", $B148,"Tot_Entity","USD",L$2,L$3,L$4,$C148,"TopFlow","Top","Top","Tot_Los","TOT_Dept_WO_Addbacks","Tot_FC",$A148,"Top5","Top6","Reported","Top8")</f>
        <v>104200</v>
      </c>
      <c r="M148" s="68">
        <f>_xll.OneStreamExcelAddIn.XFFunctions.XFGetCell("True","Consol", $B148,"Tot_Entity","USD",M$2,M$3,M$4,$C148,"TopFlow","Top","Top","Tot_Los","TOT_Dept_WO_Addbacks","Tot_FC",$A148,"Top5","Top6","Reported","Top8")</f>
        <v>98700</v>
      </c>
      <c r="N148" s="68">
        <f>_xll.OneStreamExcelAddIn.XFFunctions.XFGetCell("True","Consol", $B148,"Tot_Entity","USD",N$2,N$3,N$4,$C148,"TopFlow","Top","Top","Tot_Los","TOT_Dept_WO_Addbacks","Tot_FC",$A148,"Top5","Top6","Reported","Top8")</f>
        <v>106400.11</v>
      </c>
      <c r="O148" s="186">
        <f>_xll.OneStreamExcelAddIn.XFFunctions.XFGetCell("True","Consol", $B148,"Tot_Entity","USD",O$2,O$3,O$4,$C148,"TopFlow","Top","Top","Tot_Los","TOT_Dept_WO_Addbacks","Tot_FC",$A148,"Top5","Top6","Reported","Top8")</f>
        <v>98950</v>
      </c>
      <c r="P148" s="15">
        <f>_xll.OneStreamExcelAddIn.XFFunctions.XFGetCell("True","Consol", $B148,"Tot_Entity","USD",P$2,P$3,P$4,$C148,"TopFlow","Top","Top","Tot_Los","TOT_Dept_WO_Addbacks","Tot_FC",$A148,"Top5","Top6","Reported","Top8")</f>
        <v>87492.5</v>
      </c>
      <c r="Q148" s="69">
        <f>_xll.OneStreamExcelAddIn.XFFunctions.XFGetCell("True","Consol", $B148,"Tot_Entity","USD",Q$2,Q$3,Q$4,$C148,"TopFlow","Top","Top","Tot_Los","TOT_Dept_WO_Addbacks","Tot_FC",$A148,"Top5","Top6","Reported","Top8")</f>
        <v>343212.5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x14ac:dyDescent="0.2">
      <c r="B149" s="2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185"/>
    </row>
    <row r="150" spans="1:34" s="4" customFormat="1" x14ac:dyDescent="0.2">
      <c r="A150" s="16" t="str">
        <f t="shared" ref="A150:A157" si="29">+$A$8</f>
        <v>Acute_DIV1</v>
      </c>
      <c r="B150" s="15">
        <f t="shared" ref="B150:B157" si="30">+$B$8</f>
        <v>127</v>
      </c>
      <c r="C150" s="14" t="s">
        <v>246</v>
      </c>
      <c r="D150" s="14" t="s">
        <v>247</v>
      </c>
      <c r="E150" s="68">
        <f>_xll.OneStreamExcelAddIn.XFFunctions.XFGetCell("True","Consol", $B150,"Tot_Entity","USD",E$2,E$3,E$4,$C150,"TopFlow","Top","Top","Tot_Los","TOT_Dept_WO_Addbacks","Tot_FC",$A150,"Top5","Top6","Reported","Top8")</f>
        <v>0</v>
      </c>
      <c r="F150" s="68">
        <f>_xll.OneStreamExcelAddIn.XFFunctions.XFGetCell("True","Consol", $B150,"Tot_Entity","USD",F$2,F$3,F$4,$C150,"TopFlow","Top","Top","Tot_Los","TOT_Dept_WO_Addbacks","Tot_FC",$A150,"Top5","Top6","Reported","Top8")</f>
        <v>0</v>
      </c>
      <c r="G150" s="68">
        <f>_xll.OneStreamExcelAddIn.XFFunctions.XFGetCell("True","Consol", $B150,"Tot_Entity","USD",G$2,G$3,G$4,$C150,"TopFlow","Top","Top","Tot_Los","TOT_Dept_WO_Addbacks","Tot_FC",$A150,"Top5","Top6","Reported","Top8")</f>
        <v>0</v>
      </c>
      <c r="H150" s="68">
        <f>_xll.OneStreamExcelAddIn.XFFunctions.XFGetCell("True","Consol", $B150,"Tot_Entity","USD",H$2,H$3,H$4,$C150,"TopFlow","Top","Top","Tot_Los","TOT_Dept_WO_Addbacks","Tot_FC",$A150,"Top5","Top6","Reported","Top8")</f>
        <v>0</v>
      </c>
      <c r="I150" s="68">
        <f>_xll.OneStreamExcelAddIn.XFFunctions.XFGetCell("True","Consol", $B150,"Tot_Entity","USD",I$2,I$3,I$4,$C150,"TopFlow","Top","Top","Tot_Los","TOT_Dept_WO_Addbacks","Tot_FC",$A150,"Top5","Top6","Reported","Top8")</f>
        <v>0</v>
      </c>
      <c r="J150" s="68">
        <f>_xll.OneStreamExcelAddIn.XFFunctions.XFGetCell("True","Consol", $B150,"Tot_Entity","USD",J$2,J$3,J$4,$C150,"TopFlow","Top","Top","Tot_Los","TOT_Dept_WO_Addbacks","Tot_FC",$A150,"Top5","Top6","Reported","Top8")</f>
        <v>0</v>
      </c>
      <c r="K150" s="68">
        <f>_xll.OneStreamExcelAddIn.XFFunctions.XFGetCell("True","Consol", $B150,"Tot_Entity","USD",K$2,K$3,K$4,$C150,"TopFlow","Top","Top","Tot_Los","TOT_Dept_WO_Addbacks","Tot_FC",$A150,"Top5","Top6","Reported","Top8")</f>
        <v>0</v>
      </c>
      <c r="L150" s="68">
        <f>_xll.OneStreamExcelAddIn.XFFunctions.XFGetCell("True","Consol", $B150,"Tot_Entity","USD",L$2,L$3,L$4,$C150,"TopFlow","Top","Top","Tot_Los","TOT_Dept_WO_Addbacks","Tot_FC",$A150,"Top5","Top6","Reported","Top8")</f>
        <v>0</v>
      </c>
      <c r="M150" s="68">
        <f>_xll.OneStreamExcelAddIn.XFFunctions.XFGetCell("True","Consol", $B150,"Tot_Entity","USD",M$2,M$3,M$4,$C150,"TopFlow","Top","Top","Tot_Los","TOT_Dept_WO_Addbacks","Tot_FC",$A150,"Top5","Top6","Reported","Top8")</f>
        <v>202900</v>
      </c>
      <c r="N150" s="68">
        <f>_xll.OneStreamExcelAddIn.XFFunctions.XFGetCell("True","Consol", $B150,"Tot_Entity","USD",N$2,N$3,N$4,$C150,"TopFlow","Top","Top","Tot_Los","TOT_Dept_WO_Addbacks","Tot_FC",$A150,"Top5","Top6","Reported","Top8")</f>
        <v>106400.11</v>
      </c>
      <c r="O150" s="186">
        <f>_xll.OneStreamExcelAddIn.XFFunctions.XFGetCell("True","Consol", $B150,"Tot_Entity","USD",O$2,O$3,O$4,$C150,"TopFlow","Top","Top","Tot_Los","TOT_Dept_WO_Addbacks","Tot_FC",$A150,"Top5","Top6","Reported","Top8")</f>
        <v>98950</v>
      </c>
      <c r="P150" s="15">
        <f>_xll.OneStreamExcelAddIn.XFFunctions.XFGetCell("True","Consol", $B150,"Tot_Entity","USD",P$2,P$3,P$4,$C150,"TopFlow","Top","Top","Tot_Los","TOT_Dept_WO_Addbacks","Tot_FC",$A150,"Top5","Top6","Reported","Top8")</f>
        <v>0</v>
      </c>
      <c r="Q150" s="69">
        <f>_xll.OneStreamExcelAddIn.XFFunctions.XFGetCell("True","Consol", $B150,"Tot_Entity","USD",Q$2,Q$3,Q$4,$C150,"TopFlow","Top","Top","Tot_Los","TOT_Dept_WO_Addbacks","Tot_FC",$A150,"Top5","Top6","Reported","Top8")</f>
        <v>0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s="4" customFormat="1" x14ac:dyDescent="0.2">
      <c r="A151" s="16" t="str">
        <f t="shared" si="29"/>
        <v>Acute_DIV1</v>
      </c>
      <c r="B151" s="15">
        <f t="shared" si="30"/>
        <v>127</v>
      </c>
      <c r="C151" s="14" t="s">
        <v>248</v>
      </c>
      <c r="D151" s="14" t="s">
        <v>249</v>
      </c>
      <c r="E151" s="68">
        <f>_xll.OneStreamExcelAddIn.XFFunctions.XFGetCell("True","Consol", $B151,"Tot_Entity","USD",E$2,E$3,E$4,$C151,"TopFlow","Top","Top","Tot_Los","TOT_Dept_WO_Addbacks","Tot_FC",$A151,"Top5","Top6","Reported","Top8")</f>
        <v>0</v>
      </c>
      <c r="F151" s="68">
        <f>_xll.OneStreamExcelAddIn.XFFunctions.XFGetCell("True","Consol", $B151,"Tot_Entity","USD",F$2,F$3,F$4,$C151,"TopFlow","Top","Top","Tot_Los","TOT_Dept_WO_Addbacks","Tot_FC",$A151,"Top5","Top6","Reported","Top8")</f>
        <v>0</v>
      </c>
      <c r="G151" s="68">
        <f>_xll.OneStreamExcelAddIn.XFFunctions.XFGetCell("True","Consol", $B151,"Tot_Entity","USD",G$2,G$3,G$4,$C151,"TopFlow","Top","Top","Tot_Los","TOT_Dept_WO_Addbacks","Tot_FC",$A151,"Top5","Top6","Reported","Top8")</f>
        <v>0</v>
      </c>
      <c r="H151" s="68">
        <f>_xll.OneStreamExcelAddIn.XFFunctions.XFGetCell("True","Consol", $B151,"Tot_Entity","USD",H$2,H$3,H$4,$C151,"TopFlow","Top","Top","Tot_Los","TOT_Dept_WO_Addbacks","Tot_FC",$A151,"Top5","Top6","Reported","Top8")</f>
        <v>0</v>
      </c>
      <c r="I151" s="68">
        <f>_xll.OneStreamExcelAddIn.XFFunctions.XFGetCell("True","Consol", $B151,"Tot_Entity","USD",I$2,I$3,I$4,$C151,"TopFlow","Top","Top","Tot_Los","TOT_Dept_WO_Addbacks","Tot_FC",$A151,"Top5","Top6","Reported","Top8")</f>
        <v>0</v>
      </c>
      <c r="J151" s="68">
        <f>_xll.OneStreamExcelAddIn.XFFunctions.XFGetCell("True","Consol", $B151,"Tot_Entity","USD",J$2,J$3,J$4,$C151,"TopFlow","Top","Top","Tot_Los","TOT_Dept_WO_Addbacks","Tot_FC",$A151,"Top5","Top6","Reported","Top8")</f>
        <v>0</v>
      </c>
      <c r="K151" s="68">
        <f>_xll.OneStreamExcelAddIn.XFFunctions.XFGetCell("True","Consol", $B151,"Tot_Entity","USD",K$2,K$3,K$4,$C151,"TopFlow","Top","Top","Tot_Los","TOT_Dept_WO_Addbacks","Tot_FC",$A151,"Top5","Top6","Reported","Top8")</f>
        <v>0</v>
      </c>
      <c r="L151" s="68">
        <f>_xll.OneStreamExcelAddIn.XFFunctions.XFGetCell("True","Consol", $B151,"Tot_Entity","USD",L$2,L$3,L$4,$C151,"TopFlow","Top","Top","Tot_Los","TOT_Dept_WO_Addbacks","Tot_FC",$A151,"Top5","Top6","Reported","Top8")</f>
        <v>0</v>
      </c>
      <c r="M151" s="68">
        <f>_xll.OneStreamExcelAddIn.XFFunctions.XFGetCell("True","Consol", $B151,"Tot_Entity","USD",M$2,M$3,M$4,$C151,"TopFlow","Top","Top","Tot_Los","TOT_Dept_WO_Addbacks","Tot_FC",$A151,"Top5","Top6","Reported","Top8")</f>
        <v>0</v>
      </c>
      <c r="N151" s="68">
        <f>_xll.OneStreamExcelAddIn.XFFunctions.XFGetCell("True","Consol", $B151,"Tot_Entity","USD",N$2,N$3,N$4,$C151,"TopFlow","Top","Top","Tot_Los","TOT_Dept_WO_Addbacks","Tot_FC",$A151,"Top5","Top6","Reported","Top8")</f>
        <v>0</v>
      </c>
      <c r="O151" s="186">
        <f>_xll.OneStreamExcelAddIn.XFFunctions.XFGetCell("True","Consol", $B151,"Tot_Entity","USD",O$2,O$3,O$4,$C151,"TopFlow","Top","Top","Tot_Los","TOT_Dept_WO_Addbacks","Tot_FC",$A151,"Top5","Top6","Reported","Top8")</f>
        <v>0</v>
      </c>
      <c r="P151" s="15">
        <f>_xll.OneStreamExcelAddIn.XFFunctions.XFGetCell("True","Consol", $B151,"Tot_Entity","USD",P$2,P$3,P$4,$C151,"TopFlow","Top","Top","Tot_Los","TOT_Dept_WO_Addbacks","Tot_FC",$A151,"Top5","Top6","Reported","Top8")</f>
        <v>0</v>
      </c>
      <c r="Q151" s="69">
        <f>_xll.OneStreamExcelAddIn.XFFunctions.XFGetCell("True","Consol", $B151,"Tot_Entity","USD",Q$2,Q$3,Q$4,$C151,"TopFlow","Top","Top","Tot_Los","TOT_Dept_WO_Addbacks","Tot_FC",$A151,"Top5","Top6","Reported","Top8")</f>
        <v>0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s="4" customFormat="1" x14ac:dyDescent="0.2">
      <c r="A152" s="16" t="str">
        <f t="shared" si="29"/>
        <v>Acute_DIV1</v>
      </c>
      <c r="B152" s="15">
        <f t="shared" si="30"/>
        <v>127</v>
      </c>
      <c r="C152" s="14" t="s">
        <v>250</v>
      </c>
      <c r="D152" s="14" t="s">
        <v>251</v>
      </c>
      <c r="E152" s="68">
        <f>_xll.OneStreamExcelAddIn.XFFunctions.XFGetCell("True","Consol", $B152,"Tot_Entity","USD",E$2,E$3,E$4,$C152,"TopFlow","Top","Top","Tot_Los","TOT_Dept_WO_Addbacks","Tot_FC",$A152,"Top5","Top6","Reported","Top8")</f>
        <v>0</v>
      </c>
      <c r="F152" s="68">
        <f>_xll.OneStreamExcelAddIn.XFFunctions.XFGetCell("True","Consol", $B152,"Tot_Entity","USD",F$2,F$3,F$4,$C152,"TopFlow","Top","Top","Tot_Los","TOT_Dept_WO_Addbacks","Tot_FC",$A152,"Top5","Top6","Reported","Top8")</f>
        <v>0</v>
      </c>
      <c r="G152" s="68">
        <f>_xll.OneStreamExcelAddIn.XFFunctions.XFGetCell("True","Consol", $B152,"Tot_Entity","USD",G$2,G$3,G$4,$C152,"TopFlow","Top","Top","Tot_Los","TOT_Dept_WO_Addbacks","Tot_FC",$A152,"Top5","Top6","Reported","Top8")</f>
        <v>0</v>
      </c>
      <c r="H152" s="68">
        <f>_xll.OneStreamExcelAddIn.XFFunctions.XFGetCell("True","Consol", $B152,"Tot_Entity","USD",H$2,H$3,H$4,$C152,"TopFlow","Top","Top","Tot_Los","TOT_Dept_WO_Addbacks","Tot_FC",$A152,"Top5","Top6","Reported","Top8")</f>
        <v>0</v>
      </c>
      <c r="I152" s="68">
        <f>_xll.OneStreamExcelAddIn.XFFunctions.XFGetCell("True","Consol", $B152,"Tot_Entity","USD",I$2,I$3,I$4,$C152,"TopFlow","Top","Top","Tot_Los","TOT_Dept_WO_Addbacks","Tot_FC",$A152,"Top5","Top6","Reported","Top8")</f>
        <v>0</v>
      </c>
      <c r="J152" s="68">
        <f>_xll.OneStreamExcelAddIn.XFFunctions.XFGetCell("True","Consol", $B152,"Tot_Entity","USD",J$2,J$3,J$4,$C152,"TopFlow","Top","Top","Tot_Los","TOT_Dept_WO_Addbacks","Tot_FC",$A152,"Top5","Top6","Reported","Top8")</f>
        <v>0</v>
      </c>
      <c r="K152" s="68">
        <f>_xll.OneStreamExcelAddIn.XFFunctions.XFGetCell("True","Consol", $B152,"Tot_Entity","USD",K$2,K$3,K$4,$C152,"TopFlow","Top","Top","Tot_Los","TOT_Dept_WO_Addbacks","Tot_FC",$A152,"Top5","Top6","Reported","Top8")</f>
        <v>0</v>
      </c>
      <c r="L152" s="68">
        <f>_xll.OneStreamExcelAddIn.XFFunctions.XFGetCell("True","Consol", $B152,"Tot_Entity","USD",L$2,L$3,L$4,$C152,"TopFlow","Top","Top","Tot_Los","TOT_Dept_WO_Addbacks","Tot_FC",$A152,"Top5","Top6","Reported","Top8")</f>
        <v>0</v>
      </c>
      <c r="M152" s="68">
        <f>_xll.OneStreamExcelAddIn.XFFunctions.XFGetCell("True","Consol", $B152,"Tot_Entity","USD",M$2,M$3,M$4,$C152,"TopFlow","Top","Top","Tot_Los","TOT_Dept_WO_Addbacks","Tot_FC",$A152,"Top5","Top6","Reported","Top8")</f>
        <v>0</v>
      </c>
      <c r="N152" s="68">
        <f>_xll.OneStreamExcelAddIn.XFFunctions.XFGetCell("True","Consol", $B152,"Tot_Entity","USD",N$2,N$3,N$4,$C152,"TopFlow","Top","Top","Tot_Los","TOT_Dept_WO_Addbacks","Tot_FC",$A152,"Top5","Top6","Reported","Top8")</f>
        <v>0</v>
      </c>
      <c r="O152" s="186">
        <f>_xll.OneStreamExcelAddIn.XFFunctions.XFGetCell("True","Consol", $B152,"Tot_Entity","USD",O$2,O$3,O$4,$C152,"TopFlow","Top","Top","Tot_Los","TOT_Dept_WO_Addbacks","Tot_FC",$A152,"Top5","Top6","Reported","Top8")</f>
        <v>0</v>
      </c>
      <c r="P152" s="15">
        <f>_xll.OneStreamExcelAddIn.XFFunctions.XFGetCell("True","Consol", $B152,"Tot_Entity","USD",P$2,P$3,P$4,$C152,"TopFlow","Top","Top","Tot_Los","TOT_Dept_WO_Addbacks","Tot_FC",$A152,"Top5","Top6","Reported","Top8")</f>
        <v>0</v>
      </c>
      <c r="Q152" s="69">
        <f>_xll.OneStreamExcelAddIn.XFFunctions.XFGetCell("True","Consol", $B152,"Tot_Entity","USD",Q$2,Q$3,Q$4,$C152,"TopFlow","Top","Top","Tot_Los","TOT_Dept_WO_Addbacks","Tot_FC",$A152,"Top5","Top6","Reported","Top8")</f>
        <v>0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s="4" customFormat="1" x14ac:dyDescent="0.2">
      <c r="A153" s="16" t="str">
        <f t="shared" si="29"/>
        <v>Acute_DIV1</v>
      </c>
      <c r="B153" s="15">
        <f t="shared" si="30"/>
        <v>127</v>
      </c>
      <c r="C153" s="14" t="s">
        <v>252</v>
      </c>
      <c r="D153" s="14" t="s">
        <v>253</v>
      </c>
      <c r="E153" s="68">
        <f>_xll.OneStreamExcelAddIn.XFFunctions.XFGetCell("True","Consol", $B153,"Tot_Entity","USD",E$2,E$3,E$4,$C153,"TopFlow","Top","Top","Tot_Los","TOT_Dept_WO_Addbacks","Tot_FC",$A153,"Top5","Top6","Reported","Top8")</f>
        <v>101731.25</v>
      </c>
      <c r="F153" s="68">
        <f>_xll.OneStreamExcelAddIn.XFFunctions.XFGetCell("True","Consol", $B153,"Tot_Entity","USD",F$2,F$3,F$4,$C153,"TopFlow","Top","Top","Tot_Los","TOT_Dept_WO_Addbacks","Tot_FC",$A153,"Top5","Top6","Reported","Top8")</f>
        <v>128800</v>
      </c>
      <c r="G153" s="68">
        <f>_xll.OneStreamExcelAddIn.XFFunctions.XFGetCell("True","Consol", $B153,"Tot_Entity","USD",G$2,G$3,G$4,$C153,"TopFlow","Top","Top","Tot_Los","TOT_Dept_WO_Addbacks","Tot_FC",$A153,"Top5","Top6","Reported","Top8")</f>
        <v>84850</v>
      </c>
      <c r="H153" s="68">
        <f>_xll.OneStreamExcelAddIn.XFFunctions.XFGetCell("True","Consol", $B153,"Tot_Entity","USD",H$2,H$3,H$4,$C153,"TopFlow","Top","Top","Tot_Los","TOT_Dept_WO_Addbacks","Tot_FC",$A153,"Top5","Top6","Reported","Top8")</f>
        <v>70550</v>
      </c>
      <c r="I153" s="68">
        <f>_xll.OneStreamExcelAddIn.XFFunctions.XFGetCell("True","Consol", $B153,"Tot_Entity","USD",I$2,I$3,I$4,$C153,"TopFlow","Top","Top","Tot_Los","TOT_Dept_WO_Addbacks","Tot_FC",$A153,"Top5","Top6","Reported","Top8")</f>
        <v>80850</v>
      </c>
      <c r="J153" s="68">
        <f>_xll.OneStreamExcelAddIn.XFFunctions.XFGetCell("True","Consol", $B153,"Tot_Entity","USD",J$2,J$3,J$4,$C153,"TopFlow","Top","Top","Tot_Los","TOT_Dept_WO_Addbacks","Tot_FC",$A153,"Top5","Top6","Reported","Top8")</f>
        <v>113250</v>
      </c>
      <c r="K153" s="68">
        <f>_xll.OneStreamExcelAddIn.XFFunctions.XFGetCell("True","Consol", $B153,"Tot_Entity","USD",K$2,K$3,K$4,$C153,"TopFlow","Top","Top","Tot_Los","TOT_Dept_WO_Addbacks","Tot_FC",$A153,"Top5","Top6","Reported","Top8")</f>
        <v>117550</v>
      </c>
      <c r="L153" s="68">
        <f>_xll.OneStreamExcelAddIn.XFFunctions.XFGetCell("True","Consol", $B153,"Tot_Entity","USD",L$2,L$3,L$4,$C153,"TopFlow","Top","Top","Tot_Los","TOT_Dept_WO_Addbacks","Tot_FC",$A153,"Top5","Top6","Reported","Top8")</f>
        <v>104200</v>
      </c>
      <c r="M153" s="68">
        <f>_xll.OneStreamExcelAddIn.XFFunctions.XFGetCell("True","Consol", $B153,"Tot_Entity","USD",M$2,M$3,M$4,$C153,"TopFlow","Top","Top","Tot_Los","TOT_Dept_WO_Addbacks","Tot_FC",$A153,"Top5","Top6","Reported","Top8")</f>
        <v>-104200</v>
      </c>
      <c r="N153" s="68">
        <f>_xll.OneStreamExcelAddIn.XFFunctions.XFGetCell("True","Consol", $B153,"Tot_Entity","USD",N$2,N$3,N$4,$C153,"TopFlow","Top","Top","Tot_Los","TOT_Dept_WO_Addbacks","Tot_FC",$A153,"Top5","Top6","Reported","Top8")</f>
        <v>0</v>
      </c>
      <c r="O153" s="186">
        <f>_xll.OneStreamExcelAddIn.XFFunctions.XFGetCell("True","Consol", $B153,"Tot_Entity","USD",O$2,O$3,O$4,$C153,"TopFlow","Top","Top","Tot_Los","TOT_Dept_WO_Addbacks","Tot_FC",$A153,"Top5","Top6","Reported","Top8")</f>
        <v>0</v>
      </c>
      <c r="P153" s="15">
        <f>_xll.OneStreamExcelAddIn.XFFunctions.XFGetCell("True","Consol", $B153,"Tot_Entity","USD",P$2,P$3,P$4,$C153,"TopFlow","Top","Top","Tot_Los","TOT_Dept_WO_Addbacks","Tot_FC",$A153,"Top5","Top6","Reported","Top8")</f>
        <v>71841.5</v>
      </c>
      <c r="Q153" s="69">
        <f>_xll.OneStreamExcelAddIn.XFFunctions.XFGetCell("True","Consol", $B153,"Tot_Entity","USD",Q$2,Q$3,Q$4,$C153,"TopFlow","Top","Top","Tot_Los","TOT_Dept_WO_Addbacks","Tot_FC",$A153,"Top5","Top6","Reported","Top8")</f>
        <v>280608.5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s="4" customFormat="1" x14ac:dyDescent="0.2">
      <c r="A154" s="16" t="str">
        <f t="shared" si="29"/>
        <v>Acute_DIV1</v>
      </c>
      <c r="B154" s="15">
        <f t="shared" si="30"/>
        <v>127</v>
      </c>
      <c r="C154" s="14" t="s">
        <v>254</v>
      </c>
      <c r="D154" s="14" t="s">
        <v>255</v>
      </c>
      <c r="E154" s="68">
        <f>_xll.OneStreamExcelAddIn.XFFunctions.XFGetCell("True","Consol", $B154,"Tot_Entity","USD",E$2,E$3,E$4,$C154,"TopFlow","Top","Top","Tot_Los","TOT_Dept_WO_Addbacks","Tot_FC",$A154,"Top5","Top6","Reported","Top8")</f>
        <v>0</v>
      </c>
      <c r="F154" s="68">
        <f>_xll.OneStreamExcelAddIn.XFFunctions.XFGetCell("True","Consol", $B154,"Tot_Entity","USD",F$2,F$3,F$4,$C154,"TopFlow","Top","Top","Tot_Los","TOT_Dept_WO_Addbacks","Tot_FC",$A154,"Top5","Top6","Reported","Top8")</f>
        <v>0</v>
      </c>
      <c r="G154" s="68">
        <f>_xll.OneStreamExcelAddIn.XFFunctions.XFGetCell("True","Consol", $B154,"Tot_Entity","USD",G$2,G$3,G$4,$C154,"TopFlow","Top","Top","Tot_Los","TOT_Dept_WO_Addbacks","Tot_FC",$A154,"Top5","Top6","Reported","Top8")</f>
        <v>0</v>
      </c>
      <c r="H154" s="68">
        <f>_xll.OneStreamExcelAddIn.XFFunctions.XFGetCell("True","Consol", $B154,"Tot_Entity","USD",H$2,H$3,H$4,$C154,"TopFlow","Top","Top","Tot_Los","TOT_Dept_WO_Addbacks","Tot_FC",$A154,"Top5","Top6","Reported","Top8")</f>
        <v>0</v>
      </c>
      <c r="I154" s="68">
        <f>_xll.OneStreamExcelAddIn.XFFunctions.XFGetCell("True","Consol", $B154,"Tot_Entity","USD",I$2,I$3,I$4,$C154,"TopFlow","Top","Top","Tot_Los","TOT_Dept_WO_Addbacks","Tot_FC",$A154,"Top5","Top6","Reported","Top8")</f>
        <v>0</v>
      </c>
      <c r="J154" s="68">
        <f>_xll.OneStreamExcelAddIn.XFFunctions.XFGetCell("True","Consol", $B154,"Tot_Entity","USD",J$2,J$3,J$4,$C154,"TopFlow","Top","Top","Tot_Los","TOT_Dept_WO_Addbacks","Tot_FC",$A154,"Top5","Top6","Reported","Top8")</f>
        <v>0</v>
      </c>
      <c r="K154" s="68">
        <f>_xll.OneStreamExcelAddIn.XFFunctions.XFGetCell("True","Consol", $B154,"Tot_Entity","USD",K$2,K$3,K$4,$C154,"TopFlow","Top","Top","Tot_Los","TOT_Dept_WO_Addbacks","Tot_FC",$A154,"Top5","Top6","Reported","Top8")</f>
        <v>0</v>
      </c>
      <c r="L154" s="68">
        <f>_xll.OneStreamExcelAddIn.XFFunctions.XFGetCell("True","Consol", $B154,"Tot_Entity","USD",L$2,L$3,L$4,$C154,"TopFlow","Top","Top","Tot_Los","TOT_Dept_WO_Addbacks","Tot_FC",$A154,"Top5","Top6","Reported","Top8")</f>
        <v>0</v>
      </c>
      <c r="M154" s="68">
        <f>_xll.OneStreamExcelAddIn.XFFunctions.XFGetCell("True","Consol", $B154,"Tot_Entity","USD",M$2,M$3,M$4,$C154,"TopFlow","Top","Top","Tot_Los","TOT_Dept_WO_Addbacks","Tot_FC",$A154,"Top5","Top6","Reported","Top8")</f>
        <v>0</v>
      </c>
      <c r="N154" s="68">
        <f>_xll.OneStreamExcelAddIn.XFFunctions.XFGetCell("True","Consol", $B154,"Tot_Entity","USD",N$2,N$3,N$4,$C154,"TopFlow","Top","Top","Tot_Los","TOT_Dept_WO_Addbacks","Tot_FC",$A154,"Top5","Top6","Reported","Top8")</f>
        <v>0</v>
      </c>
      <c r="O154" s="186">
        <f>_xll.OneStreamExcelAddIn.XFFunctions.XFGetCell("True","Consol", $B154,"Tot_Entity","USD",O$2,O$3,O$4,$C154,"TopFlow","Top","Top","Tot_Los","TOT_Dept_WO_Addbacks","Tot_FC",$A154,"Top5","Top6","Reported","Top8")</f>
        <v>0</v>
      </c>
      <c r="P154" s="15">
        <f>_xll.OneStreamExcelAddIn.XFFunctions.XFGetCell("True","Consol", $B154,"Tot_Entity","USD",P$2,P$3,P$4,$C154,"TopFlow","Top","Top","Tot_Los","TOT_Dept_WO_Addbacks","Tot_FC",$A154,"Top5","Top6","Reported","Top8")</f>
        <v>0</v>
      </c>
      <c r="Q154" s="69">
        <f>_xll.OneStreamExcelAddIn.XFFunctions.XFGetCell("True","Consol", $B154,"Tot_Entity","USD",Q$2,Q$3,Q$4,$C154,"TopFlow","Top","Top","Tot_Los","TOT_Dept_WO_Addbacks","Tot_FC",$A154,"Top5","Top6","Reported","Top8")</f>
        <v>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s="4" customFormat="1" x14ac:dyDescent="0.2">
      <c r="A155" s="16" t="str">
        <f t="shared" si="29"/>
        <v>Acute_DIV1</v>
      </c>
      <c r="B155" s="15">
        <f t="shared" si="30"/>
        <v>127</v>
      </c>
      <c r="C155" s="14" t="s">
        <v>256</v>
      </c>
      <c r="D155" s="14" t="s">
        <v>257</v>
      </c>
      <c r="E155" s="68">
        <f>_xll.OneStreamExcelAddIn.XFFunctions.XFGetCell("True","Consol", $B155,"Tot_Entity","USD",E$2,E$3,E$4,$C155,"TopFlow","Top","Top","Tot_Los","TOT_Dept_WO_Addbacks","Tot_FC",$A155,"Top5","Top6","Reported","Top8")</f>
        <v>0</v>
      </c>
      <c r="F155" s="68">
        <f>_xll.OneStreamExcelAddIn.XFFunctions.XFGetCell("True","Consol", $B155,"Tot_Entity","USD",F$2,F$3,F$4,$C155,"TopFlow","Top","Top","Tot_Los","TOT_Dept_WO_Addbacks","Tot_FC",$A155,"Top5","Top6","Reported","Top8")</f>
        <v>0</v>
      </c>
      <c r="G155" s="68">
        <f>_xll.OneStreamExcelAddIn.XFFunctions.XFGetCell("True","Consol", $B155,"Tot_Entity","USD",G$2,G$3,G$4,$C155,"TopFlow","Top","Top","Tot_Los","TOT_Dept_WO_Addbacks","Tot_FC",$A155,"Top5","Top6","Reported","Top8")</f>
        <v>0</v>
      </c>
      <c r="H155" s="68">
        <f>_xll.OneStreamExcelAddIn.XFFunctions.XFGetCell("True","Consol", $B155,"Tot_Entity","USD",H$2,H$3,H$4,$C155,"TopFlow","Top","Top","Tot_Los","TOT_Dept_WO_Addbacks","Tot_FC",$A155,"Top5","Top6","Reported","Top8")</f>
        <v>0</v>
      </c>
      <c r="I155" s="68">
        <f>_xll.OneStreamExcelAddIn.XFFunctions.XFGetCell("True","Consol", $B155,"Tot_Entity","USD",I$2,I$3,I$4,$C155,"TopFlow","Top","Top","Tot_Los","TOT_Dept_WO_Addbacks","Tot_FC",$A155,"Top5","Top6","Reported","Top8")</f>
        <v>0</v>
      </c>
      <c r="J155" s="68">
        <f>_xll.OneStreamExcelAddIn.XFFunctions.XFGetCell("True","Consol", $B155,"Tot_Entity","USD",J$2,J$3,J$4,$C155,"TopFlow","Top","Top","Tot_Los","TOT_Dept_WO_Addbacks","Tot_FC",$A155,"Top5","Top6","Reported","Top8")</f>
        <v>0</v>
      </c>
      <c r="K155" s="68">
        <f>_xll.OneStreamExcelAddIn.XFFunctions.XFGetCell("True","Consol", $B155,"Tot_Entity","USD",K$2,K$3,K$4,$C155,"TopFlow","Top","Top","Tot_Los","TOT_Dept_WO_Addbacks","Tot_FC",$A155,"Top5","Top6","Reported","Top8")</f>
        <v>0</v>
      </c>
      <c r="L155" s="68">
        <f>_xll.OneStreamExcelAddIn.XFFunctions.XFGetCell("True","Consol", $B155,"Tot_Entity","USD",L$2,L$3,L$4,$C155,"TopFlow","Top","Top","Tot_Los","TOT_Dept_WO_Addbacks","Tot_FC",$A155,"Top5","Top6","Reported","Top8")</f>
        <v>0</v>
      </c>
      <c r="M155" s="68">
        <f>_xll.OneStreamExcelAddIn.XFFunctions.XFGetCell("True","Consol", $B155,"Tot_Entity","USD",M$2,M$3,M$4,$C155,"TopFlow","Top","Top","Tot_Los","TOT_Dept_WO_Addbacks","Tot_FC",$A155,"Top5","Top6","Reported","Top8")</f>
        <v>0</v>
      </c>
      <c r="N155" s="68">
        <f>_xll.OneStreamExcelAddIn.XFFunctions.XFGetCell("True","Consol", $B155,"Tot_Entity","USD",N$2,N$3,N$4,$C155,"TopFlow","Top","Top","Tot_Los","TOT_Dept_WO_Addbacks","Tot_FC",$A155,"Top5","Top6","Reported","Top8")</f>
        <v>0</v>
      </c>
      <c r="O155" s="186">
        <f>_xll.OneStreamExcelAddIn.XFFunctions.XFGetCell("True","Consol", $B155,"Tot_Entity","USD",O$2,O$3,O$4,$C155,"TopFlow","Top","Top","Tot_Los","TOT_Dept_WO_Addbacks","Tot_FC",$A155,"Top5","Top6","Reported","Top8")</f>
        <v>0</v>
      </c>
      <c r="P155" s="15">
        <f>_xll.OneStreamExcelAddIn.XFFunctions.XFGetCell("True","Consol", $B155,"Tot_Entity","USD",P$2,P$3,P$4,$C155,"TopFlow","Top","Top","Tot_Los","TOT_Dept_WO_Addbacks","Tot_FC",$A155,"Top5","Top6","Reported","Top8")</f>
        <v>0</v>
      </c>
      <c r="Q155" s="69">
        <f>_xll.OneStreamExcelAddIn.XFFunctions.XFGetCell("True","Consol", $B155,"Tot_Entity","USD",Q$2,Q$3,Q$4,$C155,"TopFlow","Top","Top","Tot_Los","TOT_Dept_WO_Addbacks","Tot_FC",$A155,"Top5","Top6","Reported","Top8")</f>
        <v>0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s="4" customFormat="1" x14ac:dyDescent="0.2">
      <c r="A156" s="16" t="str">
        <f t="shared" si="29"/>
        <v>Acute_DIV1</v>
      </c>
      <c r="B156" s="15">
        <f t="shared" si="30"/>
        <v>127</v>
      </c>
      <c r="C156" s="14" t="s">
        <v>258</v>
      </c>
      <c r="D156" s="14" t="s">
        <v>259</v>
      </c>
      <c r="E156" s="68">
        <f>_xll.OneStreamExcelAddIn.XFFunctions.XFGetCell("True","Consol", $B156,"Tot_Entity","USD",E$2,E$3,E$4,$C156,"TopFlow","Top","Top","Tot_Los","TOT_Dept_WO_Addbacks","Tot_FC",$A156,"Top5","Top6","Reported","Top8")</f>
        <v>0</v>
      </c>
      <c r="F156" s="68">
        <f>_xll.OneStreamExcelAddIn.XFFunctions.XFGetCell("True","Consol", $B156,"Tot_Entity","USD",F$2,F$3,F$4,$C156,"TopFlow","Top","Top","Tot_Los","TOT_Dept_WO_Addbacks","Tot_FC",$A156,"Top5","Top6","Reported","Top8")</f>
        <v>0</v>
      </c>
      <c r="G156" s="68">
        <f>_xll.OneStreamExcelAddIn.XFFunctions.XFGetCell("True","Consol", $B156,"Tot_Entity","USD",G$2,G$3,G$4,$C156,"TopFlow","Top","Top","Tot_Los","TOT_Dept_WO_Addbacks","Tot_FC",$A156,"Top5","Top6","Reported","Top8")</f>
        <v>0</v>
      </c>
      <c r="H156" s="68">
        <f>_xll.OneStreamExcelAddIn.XFFunctions.XFGetCell("True","Consol", $B156,"Tot_Entity","USD",H$2,H$3,H$4,$C156,"TopFlow","Top","Top","Tot_Los","TOT_Dept_WO_Addbacks","Tot_FC",$A156,"Top5","Top6","Reported","Top8")</f>
        <v>0</v>
      </c>
      <c r="I156" s="68">
        <f>_xll.OneStreamExcelAddIn.XFFunctions.XFGetCell("True","Consol", $B156,"Tot_Entity","USD",I$2,I$3,I$4,$C156,"TopFlow","Top","Top","Tot_Los","TOT_Dept_WO_Addbacks","Tot_FC",$A156,"Top5","Top6","Reported","Top8")</f>
        <v>0</v>
      </c>
      <c r="J156" s="68">
        <f>_xll.OneStreamExcelAddIn.XFFunctions.XFGetCell("True","Consol", $B156,"Tot_Entity","USD",J$2,J$3,J$4,$C156,"TopFlow","Top","Top","Tot_Los","TOT_Dept_WO_Addbacks","Tot_FC",$A156,"Top5","Top6","Reported","Top8")</f>
        <v>0</v>
      </c>
      <c r="K156" s="68">
        <f>_xll.OneStreamExcelAddIn.XFFunctions.XFGetCell("True","Consol", $B156,"Tot_Entity","USD",K$2,K$3,K$4,$C156,"TopFlow","Top","Top","Tot_Los","TOT_Dept_WO_Addbacks","Tot_FC",$A156,"Top5","Top6","Reported","Top8")</f>
        <v>0</v>
      </c>
      <c r="L156" s="68">
        <f>_xll.OneStreamExcelAddIn.XFFunctions.XFGetCell("True","Consol", $B156,"Tot_Entity","USD",L$2,L$3,L$4,$C156,"TopFlow","Top","Top","Tot_Los","TOT_Dept_WO_Addbacks","Tot_FC",$A156,"Top5","Top6","Reported","Top8")</f>
        <v>0</v>
      </c>
      <c r="M156" s="68">
        <f>_xll.OneStreamExcelAddIn.XFFunctions.XFGetCell("True","Consol", $B156,"Tot_Entity","USD",M$2,M$3,M$4,$C156,"TopFlow","Top","Top","Tot_Los","TOT_Dept_WO_Addbacks","Tot_FC",$A156,"Top5","Top6","Reported","Top8")</f>
        <v>0</v>
      </c>
      <c r="N156" s="68">
        <f>_xll.OneStreamExcelAddIn.XFFunctions.XFGetCell("True","Consol", $B156,"Tot_Entity","USD",N$2,N$3,N$4,$C156,"TopFlow","Top","Top","Tot_Los","TOT_Dept_WO_Addbacks","Tot_FC",$A156,"Top5","Top6","Reported","Top8")</f>
        <v>0</v>
      </c>
      <c r="O156" s="186">
        <f>_xll.OneStreamExcelAddIn.XFFunctions.XFGetCell("True","Consol", $B156,"Tot_Entity","USD",O$2,O$3,O$4,$C156,"TopFlow","Top","Top","Tot_Los","TOT_Dept_WO_Addbacks","Tot_FC",$A156,"Top5","Top6","Reported","Top8")</f>
        <v>0</v>
      </c>
      <c r="P156" s="15">
        <f>_xll.OneStreamExcelAddIn.XFFunctions.XFGetCell("True","Consol", $B156,"Tot_Entity","USD",P$2,P$3,P$4,$C156,"TopFlow","Top","Top","Tot_Los","TOT_Dept_WO_Addbacks","Tot_FC",$A156,"Top5","Top6","Reported","Top8")</f>
        <v>0</v>
      </c>
      <c r="Q156" s="69">
        <f>_xll.OneStreamExcelAddIn.XFFunctions.XFGetCell("True","Consol", $B156,"Tot_Entity","USD",Q$2,Q$3,Q$4,$C156,"TopFlow","Top","Top","Tot_Los","TOT_Dept_WO_Addbacks","Tot_FC",$A156,"Top5","Top6","Reported","Top8")</f>
        <v>0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s="4" customFormat="1" x14ac:dyDescent="0.2">
      <c r="A157" s="16" t="str">
        <f t="shared" si="29"/>
        <v>Acute_DIV1</v>
      </c>
      <c r="B157" s="15">
        <f t="shared" si="30"/>
        <v>127</v>
      </c>
      <c r="C157" s="14" t="s">
        <v>260</v>
      </c>
      <c r="D157" s="14" t="s">
        <v>261</v>
      </c>
      <c r="E157" s="68">
        <f>_xll.OneStreamExcelAddIn.XFFunctions.XFGetCell("True","Consol", $B157,"Tot_Entity","USD",E$2,E$3,E$4,$C157,"TopFlow","Top","Top","Tot_Los","TOT_Dept_WO_Addbacks","Tot_FC",$A157,"Top5","Top6","Reported","Top8")</f>
        <v>25984.45</v>
      </c>
      <c r="F157" s="68">
        <f>_xll.OneStreamExcelAddIn.XFFunctions.XFGetCell("True","Consol", $B157,"Tot_Entity","USD",F$2,F$3,F$4,$C157,"TopFlow","Top","Top","Tot_Los","TOT_Dept_WO_Addbacks","Tot_FC",$A157,"Top5","Top6","Reported","Top8")</f>
        <v>13163.83</v>
      </c>
      <c r="G157" s="68">
        <f>_xll.OneStreamExcelAddIn.XFFunctions.XFGetCell("True","Consol", $B157,"Tot_Entity","USD",G$2,G$3,G$4,$C157,"TopFlow","Top","Top","Tot_Los","TOT_Dept_WO_Addbacks","Tot_FC",$A157,"Top5","Top6","Reported","Top8")</f>
        <v>4500</v>
      </c>
      <c r="H157" s="68">
        <f>_xll.OneStreamExcelAddIn.XFFunctions.XFGetCell("True","Consol", $B157,"Tot_Entity","USD",H$2,H$3,H$4,$C157,"TopFlow","Top","Top","Tot_Los","TOT_Dept_WO_Addbacks","Tot_FC",$A157,"Top5","Top6","Reported","Top8")</f>
        <v>0</v>
      </c>
      <c r="I157" s="68">
        <f>_xll.OneStreamExcelAddIn.XFFunctions.XFGetCell("True","Consol", $B157,"Tot_Entity","USD",I$2,I$3,I$4,$C157,"TopFlow","Top","Top","Tot_Los","TOT_Dept_WO_Addbacks","Tot_FC",$A157,"Top5","Top6","Reported","Top8")</f>
        <v>99.73</v>
      </c>
      <c r="J157" s="68">
        <f>_xll.OneStreamExcelAddIn.XFFunctions.XFGetCell("True","Consol", $B157,"Tot_Entity","USD",J$2,J$3,J$4,$C157,"TopFlow","Top","Top","Tot_Los","TOT_Dept_WO_Addbacks","Tot_FC",$A157,"Top5","Top6","Reported","Top8")</f>
        <v>0</v>
      </c>
      <c r="K157" s="68">
        <f>_xll.OneStreamExcelAddIn.XFFunctions.XFGetCell("True","Consol", $B157,"Tot_Entity","USD",K$2,K$3,K$4,$C157,"TopFlow","Top","Top","Tot_Los","TOT_Dept_WO_Addbacks","Tot_FC",$A157,"Top5","Top6","Reported","Top8")</f>
        <v>0</v>
      </c>
      <c r="L157" s="68">
        <f>_xll.OneStreamExcelAddIn.XFFunctions.XFGetCell("True","Consol", $B157,"Tot_Entity","USD",L$2,L$3,L$4,$C157,"TopFlow","Top","Top","Tot_Los","TOT_Dept_WO_Addbacks","Tot_FC",$A157,"Top5","Top6","Reported","Top8")</f>
        <v>0</v>
      </c>
      <c r="M157" s="68">
        <f>_xll.OneStreamExcelAddIn.XFFunctions.XFGetCell("True","Consol", $B157,"Tot_Entity","USD",M$2,M$3,M$4,$C157,"TopFlow","Top","Top","Tot_Los","TOT_Dept_WO_Addbacks","Tot_FC",$A157,"Top5","Top6","Reported","Top8")</f>
        <v>0</v>
      </c>
      <c r="N157" s="68">
        <f>_xll.OneStreamExcelAddIn.XFFunctions.XFGetCell("True","Consol", $B157,"Tot_Entity","USD",N$2,N$3,N$4,$C157,"TopFlow","Top","Top","Tot_Los","TOT_Dept_WO_Addbacks","Tot_FC",$A157,"Top5","Top6","Reported","Top8")</f>
        <v>0</v>
      </c>
      <c r="O157" s="186">
        <f>_xll.OneStreamExcelAddIn.XFFunctions.XFGetCell("True","Consol", $B157,"Tot_Entity","USD",O$2,O$3,O$4,$C157,"TopFlow","Top","Top","Tot_Los","TOT_Dept_WO_Addbacks","Tot_FC",$A157,"Top5","Top6","Reported","Top8")</f>
        <v>0</v>
      </c>
      <c r="P157" s="15">
        <f>_xll.OneStreamExcelAddIn.XFFunctions.XFGetCell("True","Consol", $B157,"Tot_Entity","USD",P$2,P$3,P$4,$C157,"TopFlow","Top","Top","Tot_Los","TOT_Dept_WO_Addbacks","Tot_FC",$A157,"Top5","Top6","Reported","Top8")</f>
        <v>15651</v>
      </c>
      <c r="Q157" s="69">
        <f>_xll.OneStreamExcelAddIn.XFFunctions.XFGetCell("True","Consol", $B157,"Tot_Entity","USD",Q$2,Q$3,Q$4,$C157,"TopFlow","Top","Top","Tot_Los","TOT_Dept_WO_Addbacks","Tot_FC",$A157,"Top5","Top6","Reported","Top8")</f>
        <v>62604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s="4" customFormat="1" hidden="1" outlineLevel="1" x14ac:dyDescent="0.2">
      <c r="A158" s="1"/>
      <c r="B158" s="2"/>
      <c r="C158" s="3"/>
      <c r="D158" s="36"/>
      <c r="E158" s="78" t="b">
        <f>E148=SUM(E150:E157)</f>
        <v>1</v>
      </c>
      <c r="F158" s="78" t="b">
        <f t="shared" ref="F158:Q158" si="31">F148=SUM(F150:F157)</f>
        <v>1</v>
      </c>
      <c r="G158" s="78" t="b">
        <f t="shared" si="31"/>
        <v>1</v>
      </c>
      <c r="H158" s="78" t="b">
        <f t="shared" si="31"/>
        <v>1</v>
      </c>
      <c r="I158" s="78" t="b">
        <f t="shared" si="31"/>
        <v>1</v>
      </c>
      <c r="J158" s="78" t="b">
        <f t="shared" si="31"/>
        <v>1</v>
      </c>
      <c r="K158" s="78" t="b">
        <f t="shared" si="31"/>
        <v>1</v>
      </c>
      <c r="L158" s="78" t="b">
        <f t="shared" si="31"/>
        <v>1</v>
      </c>
      <c r="M158" s="78" t="b">
        <f t="shared" si="31"/>
        <v>1</v>
      </c>
      <c r="N158" s="78" t="b">
        <f t="shared" si="31"/>
        <v>1</v>
      </c>
      <c r="O158" s="196" t="b">
        <f t="shared" si="31"/>
        <v>1</v>
      </c>
      <c r="P158" s="17" t="b">
        <f t="shared" si="31"/>
        <v>1</v>
      </c>
      <c r="Q158" s="79" t="b">
        <f t="shared" si="31"/>
        <v>1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s="4" customFormat="1" collapsed="1" x14ac:dyDescent="0.2">
      <c r="A159" s="1"/>
      <c r="B159" s="2"/>
      <c r="C159" s="3"/>
      <c r="D159" s="3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185"/>
      <c r="P159" s="1"/>
      <c r="Q159" s="1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s="4" customFormat="1" x14ac:dyDescent="0.2">
      <c r="A160" s="16" t="str">
        <f>+$A$8</f>
        <v>Acute_DIV1</v>
      </c>
      <c r="B160" s="15">
        <f>+$B$8</f>
        <v>127</v>
      </c>
      <c r="C160" s="14" t="s">
        <v>262</v>
      </c>
      <c r="D160" s="14" t="s">
        <v>263</v>
      </c>
      <c r="E160" s="68">
        <f>_xll.OneStreamExcelAddIn.XFFunctions.XFGetCell("True","Consol", $B160,"Tot_Entity","USD",E$2,E$3,E$4,$C160,"TopFlow","Top","Top","Tot_Los","TOT_Dept_WO_Addbacks","Tot_FC",$A160,"Top5","Top6","Reported","Top8")</f>
        <v>58225.33</v>
      </c>
      <c r="F160" s="68">
        <f>_xll.OneStreamExcelAddIn.XFFunctions.XFGetCell("True","Consol", $B160,"Tot_Entity","USD",F$2,F$3,F$4,$C160,"TopFlow","Top","Top","Tot_Los","TOT_Dept_WO_Addbacks","Tot_FC",$A160,"Top5","Top6","Reported","Top8")</f>
        <v>70293.8</v>
      </c>
      <c r="G160" s="68">
        <f>_xll.OneStreamExcelAddIn.XFFunctions.XFGetCell("True","Consol", $B160,"Tot_Entity","USD",G$2,G$3,G$4,$C160,"TopFlow","Top","Top","Tot_Los","TOT_Dept_WO_Addbacks","Tot_FC",$A160,"Top5","Top6","Reported","Top8")</f>
        <v>61976.94</v>
      </c>
      <c r="H160" s="68">
        <f>_xll.OneStreamExcelAddIn.XFFunctions.XFGetCell("True","Consol", $B160,"Tot_Entity","USD",H$2,H$3,H$4,$C160,"TopFlow","Top","Top","Tot_Los","TOT_Dept_WO_Addbacks","Tot_FC",$A160,"Top5","Top6","Reported","Top8")</f>
        <v>69319.83</v>
      </c>
      <c r="I160" s="68">
        <f>_xll.OneStreamExcelAddIn.XFFunctions.XFGetCell("True","Consol", $B160,"Tot_Entity","USD",I$2,I$3,I$4,$C160,"TopFlow","Top","Top","Tot_Los","TOT_Dept_WO_Addbacks","Tot_FC",$A160,"Top5","Top6","Reported","Top8")</f>
        <v>46566.49</v>
      </c>
      <c r="J160" s="68">
        <f>_xll.OneStreamExcelAddIn.XFFunctions.XFGetCell("True","Consol", $B160,"Tot_Entity","USD",J$2,J$3,J$4,$C160,"TopFlow","Top","Top","Tot_Los","TOT_Dept_WO_Addbacks","Tot_FC",$A160,"Top5","Top6","Reported","Top8")</f>
        <v>49020.55</v>
      </c>
      <c r="K160" s="68">
        <f>_xll.OneStreamExcelAddIn.XFFunctions.XFGetCell("True","Consol", $B160,"Tot_Entity","USD",K$2,K$3,K$4,$C160,"TopFlow","Top","Top","Tot_Los","TOT_Dept_WO_Addbacks","Tot_FC",$A160,"Top5","Top6","Reported","Top8")</f>
        <v>52024.19</v>
      </c>
      <c r="L160" s="68">
        <f>_xll.OneStreamExcelAddIn.XFFunctions.XFGetCell("True","Consol", $B160,"Tot_Entity","USD",L$2,L$3,L$4,$C160,"TopFlow","Top","Top","Tot_Los","TOT_Dept_WO_Addbacks","Tot_FC",$A160,"Top5","Top6","Reported","Top8")</f>
        <v>51643.92</v>
      </c>
      <c r="M160" s="68">
        <f>_xll.OneStreamExcelAddIn.XFFunctions.XFGetCell("True","Consol", $B160,"Tot_Entity","USD",M$2,M$3,M$4,$C160,"TopFlow","Top","Top","Tot_Los","TOT_Dept_WO_Addbacks","Tot_FC",$A160,"Top5","Top6","Reported","Top8")</f>
        <v>65307.35</v>
      </c>
      <c r="N160" s="68">
        <f>_xll.OneStreamExcelAddIn.XFFunctions.XFGetCell("True","Consol", $B160,"Tot_Entity","USD",N$2,N$3,N$4,$C160,"TopFlow","Top","Top","Tot_Los","TOT_Dept_WO_Addbacks","Tot_FC",$A160,"Top5","Top6","Reported","Top8")</f>
        <v>54264.37</v>
      </c>
      <c r="O160" s="186">
        <f>_xll.OneStreamExcelAddIn.XFFunctions.XFGetCell("True","Consol", $B160,"Tot_Entity","USD",O$2,O$3,O$4,$C160,"TopFlow","Top","Top","Tot_Los","TOT_Dept_WO_Addbacks","Tot_FC",$A160,"Top5","Top6","Reported","Top8")</f>
        <v>39335.43</v>
      </c>
      <c r="P160" s="15">
        <f>_xll.OneStreamExcelAddIn.XFFunctions.XFGetCell("True","Consol", $B160,"Tot_Entity","USD",P$2,P$3,P$4,$C160,"TopFlow","Top","Top","Tot_Los","TOT_Dept_WO_Addbacks","Tot_FC",$A160,"Top5","Top6","Reported","Top8")</f>
        <v>51330.983666665998</v>
      </c>
      <c r="Q160" s="69">
        <f>_xll.OneStreamExcelAddIn.XFFunctions.XFGetCell("True","Consol", $B160,"Tot_Entity","USD",Q$2,Q$3,Q$4,$C160,"TopFlow","Top","Top","Tot_Los","TOT_Dept_WO_Addbacks","Tot_FC",$A160,"Top5","Top6","Reported","Top8")</f>
        <v>229342.414666664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s="4" customFormat="1" x14ac:dyDescent="0.2">
      <c r="A161" s="16" t="str">
        <f>+$A$8</f>
        <v>Acute_DIV1</v>
      </c>
      <c r="B161" s="15">
        <f>+$B$8</f>
        <v>127</v>
      </c>
      <c r="C161" s="14" t="s">
        <v>264</v>
      </c>
      <c r="D161" s="14" t="s">
        <v>265</v>
      </c>
      <c r="E161" s="68">
        <f>_xll.OneStreamExcelAddIn.XFFunctions.XFGetCell("True","Consol", $B161,"Tot_Entity","USD",E$2,E$3,E$4,$C161,"TopFlow","Top","Top","Tot_Los","TOT_Dept_WO_Addbacks","Tot_FC",$A161,"Top5","Top6","Reported","Top8")</f>
        <v>43901.82</v>
      </c>
      <c r="F161" s="68">
        <f>_xll.OneStreamExcelAddIn.XFFunctions.XFGetCell("True","Consol", $B161,"Tot_Entity","USD",F$2,F$3,F$4,$C161,"TopFlow","Top","Top","Tot_Los","TOT_Dept_WO_Addbacks","Tot_FC",$A161,"Top5","Top6","Reported","Top8")</f>
        <v>76633.17</v>
      </c>
      <c r="G161" s="68">
        <f>_xll.OneStreamExcelAddIn.XFFunctions.XFGetCell("True","Consol", $B161,"Tot_Entity","USD",G$2,G$3,G$4,$C161,"TopFlow","Top","Top","Tot_Los","TOT_Dept_WO_Addbacks","Tot_FC",$A161,"Top5","Top6","Reported","Top8")</f>
        <v>71481.06</v>
      </c>
      <c r="H161" s="68">
        <f>_xll.OneStreamExcelAddIn.XFFunctions.XFGetCell("True","Consol", $B161,"Tot_Entity","USD",H$2,H$3,H$4,$C161,"TopFlow","Top","Top","Tot_Los","TOT_Dept_WO_Addbacks","Tot_FC",$A161,"Top5","Top6","Reported","Top8")</f>
        <v>35105.040000000001</v>
      </c>
      <c r="I161" s="68">
        <f>_xll.OneStreamExcelAddIn.XFFunctions.XFGetCell("True","Consol", $B161,"Tot_Entity","USD",I$2,I$3,I$4,$C161,"TopFlow","Top","Top","Tot_Los","TOT_Dept_WO_Addbacks","Tot_FC",$A161,"Top5","Top6","Reported","Top8")</f>
        <v>42789.45</v>
      </c>
      <c r="J161" s="68">
        <f>_xll.OneStreamExcelAddIn.XFFunctions.XFGetCell("True","Consol", $B161,"Tot_Entity","USD",J$2,J$3,J$4,$C161,"TopFlow","Top","Top","Tot_Los","TOT_Dept_WO_Addbacks","Tot_FC",$A161,"Top5","Top6","Reported","Top8")</f>
        <v>22850.41</v>
      </c>
      <c r="K161" s="68">
        <f>_xll.OneStreamExcelAddIn.XFFunctions.XFGetCell("True","Consol", $B161,"Tot_Entity","USD",K$2,K$3,K$4,$C161,"TopFlow","Top","Top","Tot_Los","TOT_Dept_WO_Addbacks","Tot_FC",$A161,"Top5","Top6","Reported","Top8")</f>
        <v>34203.68</v>
      </c>
      <c r="L161" s="68">
        <f>_xll.OneStreamExcelAddIn.XFFunctions.XFGetCell("True","Consol", $B161,"Tot_Entity","USD",L$2,L$3,L$4,$C161,"TopFlow","Top","Top","Tot_Los","TOT_Dept_WO_Addbacks","Tot_FC",$A161,"Top5","Top6","Reported","Top8")</f>
        <v>22892.97</v>
      </c>
      <c r="M161" s="68">
        <f>_xll.OneStreamExcelAddIn.XFFunctions.XFGetCell("True","Consol", $B161,"Tot_Entity","USD",M$2,M$3,M$4,$C161,"TopFlow","Top","Top","Tot_Los","TOT_Dept_WO_Addbacks","Tot_FC",$A161,"Top5","Top6","Reported","Top8")</f>
        <v>35439.86</v>
      </c>
      <c r="N161" s="68">
        <f>_xll.OneStreamExcelAddIn.XFFunctions.XFGetCell("True","Consol", $B161,"Tot_Entity","USD",N$2,N$3,N$4,$C161,"TopFlow","Top","Top","Tot_Los","TOT_Dept_WO_Addbacks","Tot_FC",$A161,"Top5","Top6","Reported","Top8")</f>
        <v>20594.07</v>
      </c>
      <c r="O161" s="186">
        <f>_xll.OneStreamExcelAddIn.XFFunctions.XFGetCell("True","Consol", $B161,"Tot_Entity","USD",O$2,O$3,O$4,$C161,"TopFlow","Top","Top","Tot_Los","TOT_Dept_WO_Addbacks","Tot_FC",$A161,"Top5","Top6","Reported","Top8")</f>
        <v>22978.15</v>
      </c>
      <c r="P161" s="15">
        <f>_xll.OneStreamExcelAddIn.XFFunctions.XFGetCell("True","Consol", $B161,"Tot_Entity","USD",P$2,P$3,P$4,$C161,"TopFlow","Top","Top","Tot_Los","TOT_Dept_WO_Addbacks","Tot_FC",$A161,"Top5","Top6","Reported","Top8")</f>
        <v>34746.967499999999</v>
      </c>
      <c r="Q161" s="69">
        <f>_xll.OneStreamExcelAddIn.XFFunctions.XFGetCell("True","Consol", $B161,"Tot_Entity","USD",Q$2,Q$3,Q$4,$C161,"TopFlow","Top","Top","Tot_Los","TOT_Dept_WO_Addbacks","Tot_FC",$A161,"Top5","Top6","Reported","Top8")</f>
        <v>138987.87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s="4" customFormat="1" x14ac:dyDescent="0.2">
      <c r="A162" s="16" t="str">
        <f>+$A$8</f>
        <v>Acute_DIV1</v>
      </c>
      <c r="B162" s="15">
        <f>+$B$8</f>
        <v>127</v>
      </c>
      <c r="C162" s="14" t="s">
        <v>266</v>
      </c>
      <c r="D162" s="14" t="s">
        <v>267</v>
      </c>
      <c r="E162" s="68">
        <f>_xll.OneStreamExcelAddIn.XFFunctions.XFGetCell("True","Consol", $B162,"Tot_Entity","USD",E$2,E$3,E$4,$C162,"TopFlow","Top","Top","Tot_Los","TOT_Dept_WO_Addbacks","Tot_FC",$A162,"Top5","Top6","Reported","Top8")</f>
        <v>310368.67</v>
      </c>
      <c r="F162" s="68">
        <f>_xll.OneStreamExcelAddIn.XFFunctions.XFGetCell("True","Consol", $B162,"Tot_Entity","USD",F$2,F$3,F$4,$C162,"TopFlow","Top","Top","Tot_Los","TOT_Dept_WO_Addbacks","Tot_FC",$A162,"Top5","Top6","Reported","Top8")</f>
        <v>310487.86</v>
      </c>
      <c r="G162" s="68">
        <f>_xll.OneStreamExcelAddIn.XFFunctions.XFGetCell("True","Consol", $B162,"Tot_Entity","USD",G$2,G$3,G$4,$C162,"TopFlow","Top","Top","Tot_Los","TOT_Dept_WO_Addbacks","Tot_FC",$A162,"Top5","Top6","Reported","Top8")</f>
        <v>311020.67</v>
      </c>
      <c r="H162" s="68">
        <f>_xll.OneStreamExcelAddIn.XFFunctions.XFGetCell("True","Consol", $B162,"Tot_Entity","USD",H$2,H$3,H$4,$C162,"TopFlow","Top","Top","Tot_Los","TOT_Dept_WO_Addbacks","Tot_FC",$A162,"Top5","Top6","Reported","Top8")</f>
        <v>315764.21999999997</v>
      </c>
      <c r="I162" s="68">
        <f>_xll.OneStreamExcelAddIn.XFFunctions.XFGetCell("True","Consol", $B162,"Tot_Entity","USD",I$2,I$3,I$4,$C162,"TopFlow","Top","Top","Tot_Los","TOT_Dept_WO_Addbacks","Tot_FC",$A162,"Top5","Top6","Reported","Top8")</f>
        <v>310820.58</v>
      </c>
      <c r="J162" s="68">
        <f>_xll.OneStreamExcelAddIn.XFFunctions.XFGetCell("True","Consol", $B162,"Tot_Entity","USD",J$2,J$3,J$4,$C162,"TopFlow","Top","Top","Tot_Los","TOT_Dept_WO_Addbacks","Tot_FC",$A162,"Top5","Top6","Reported","Top8")</f>
        <v>312697.63</v>
      </c>
      <c r="K162" s="68">
        <f>_xll.OneStreamExcelAddIn.XFFunctions.XFGetCell("True","Consol", $B162,"Tot_Entity","USD",K$2,K$3,K$4,$C162,"TopFlow","Top","Top","Tot_Los","TOT_Dept_WO_Addbacks","Tot_FC",$A162,"Top5","Top6","Reported","Top8")</f>
        <v>316079.51</v>
      </c>
      <c r="L162" s="68">
        <f>_xll.OneStreamExcelAddIn.XFFunctions.XFGetCell("True","Consol", $B162,"Tot_Entity","USD",L$2,L$3,L$4,$C162,"TopFlow","Top","Top","Tot_Los","TOT_Dept_WO_Addbacks","Tot_FC",$A162,"Top5","Top6","Reported","Top8")</f>
        <v>305515.55</v>
      </c>
      <c r="M162" s="68">
        <f>_xll.OneStreamExcelAddIn.XFFunctions.XFGetCell("True","Consol", $B162,"Tot_Entity","USD",M$2,M$3,M$4,$C162,"TopFlow","Top","Top","Tot_Los","TOT_Dept_WO_Addbacks","Tot_FC",$A162,"Top5","Top6","Reported","Top8")</f>
        <v>306860.09000000003</v>
      </c>
      <c r="N162" s="68">
        <f>_xll.OneStreamExcelAddIn.XFFunctions.XFGetCell("True","Consol", $B162,"Tot_Entity","USD",N$2,N$3,N$4,$C162,"TopFlow","Top","Top","Tot_Los","TOT_Dept_WO_Addbacks","Tot_FC",$A162,"Top5","Top6","Reported","Top8")</f>
        <v>293365.05</v>
      </c>
      <c r="O162" s="186">
        <f>_xll.OneStreamExcelAddIn.XFFunctions.XFGetCell("True","Consol", $B162,"Tot_Entity","USD",O$2,O$3,O$4,$C162,"TopFlow","Top","Top","Tot_Los","TOT_Dept_WO_Addbacks","Tot_FC",$A162,"Top5","Top6","Reported","Top8")</f>
        <v>329255.06</v>
      </c>
      <c r="P162" s="15">
        <f>_xll.OneStreamExcelAddIn.XFFunctions.XFGetCell("True","Consol", $B162,"Tot_Entity","USD",P$2,P$3,P$4,$C162,"TopFlow","Top","Top","Tot_Los","TOT_Dept_WO_Addbacks","Tot_FC",$A162,"Top5","Top6","Reported","Top8")</f>
        <v>306443.13</v>
      </c>
      <c r="Q162" s="69">
        <f>_xll.OneStreamExcelAddIn.XFFunctions.XFGetCell("True","Consol", $B162,"Tot_Entity","USD",Q$2,Q$3,Q$4,$C162,"TopFlow","Top","Top","Tot_Los","TOT_Dept_WO_Addbacks","Tot_FC",$A162,"Top5","Top6","Reported","Top8")</f>
        <v>1225772.52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s="4" customFormat="1" x14ac:dyDescent="0.2">
      <c r="A163" s="16" t="str">
        <f>+$A$8</f>
        <v>Acute_DIV1</v>
      </c>
      <c r="B163" s="15">
        <f>+$B$8</f>
        <v>127</v>
      </c>
      <c r="C163" s="14" t="s">
        <v>268</v>
      </c>
      <c r="D163" s="14" t="s">
        <v>269</v>
      </c>
      <c r="E163" s="68">
        <f>_xll.OneStreamExcelAddIn.XFFunctions.XFGetCell("True","Consol", $B163,"Tot_Entity","USD",E$2,E$3,E$4,$C163,"TopFlow","Top","Top","Tot_Los","TOT_Dept_WO_Addbacks","Tot_FC",$A163,"Top5","Top6","Reported","Top8")</f>
        <v>68851.600000000006</v>
      </c>
      <c r="F163" s="68">
        <f>_xll.OneStreamExcelAddIn.XFFunctions.XFGetCell("True","Consol", $B163,"Tot_Entity","USD",F$2,F$3,F$4,$C163,"TopFlow","Top","Top","Tot_Los","TOT_Dept_WO_Addbacks","Tot_FC",$A163,"Top5","Top6","Reported","Top8")</f>
        <v>64126.74</v>
      </c>
      <c r="G163" s="68">
        <f>_xll.OneStreamExcelAddIn.XFFunctions.XFGetCell("True","Consol", $B163,"Tot_Entity","USD",G$2,G$3,G$4,$C163,"TopFlow","Top","Top","Tot_Los","TOT_Dept_WO_Addbacks","Tot_FC",$A163,"Top5","Top6","Reported","Top8")</f>
        <v>64203.66</v>
      </c>
      <c r="H163" s="68">
        <f>_xll.OneStreamExcelAddIn.XFFunctions.XFGetCell("True","Consol", $B163,"Tot_Entity","USD",H$2,H$3,H$4,$C163,"TopFlow","Top","Top","Tot_Los","TOT_Dept_WO_Addbacks","Tot_FC",$A163,"Top5","Top6","Reported","Top8")</f>
        <v>59216.89</v>
      </c>
      <c r="I163" s="68">
        <f>_xll.OneStreamExcelAddIn.XFFunctions.XFGetCell("True","Consol", $B163,"Tot_Entity","USD",I$2,I$3,I$4,$C163,"TopFlow","Top","Top","Tot_Los","TOT_Dept_WO_Addbacks","Tot_FC",$A163,"Top5","Top6","Reported","Top8")</f>
        <v>64116.56</v>
      </c>
      <c r="J163" s="68">
        <f>_xll.OneStreamExcelAddIn.XFFunctions.XFGetCell("True","Consol", $B163,"Tot_Entity","USD",J$2,J$3,J$4,$C163,"TopFlow","Top","Top","Tot_Los","TOT_Dept_WO_Addbacks","Tot_FC",$A163,"Top5","Top6","Reported","Top8")</f>
        <v>66409.919999999998</v>
      </c>
      <c r="K163" s="68">
        <f>_xll.OneStreamExcelAddIn.XFFunctions.XFGetCell("True","Consol", $B163,"Tot_Entity","USD",K$2,K$3,K$4,$C163,"TopFlow","Top","Top","Tot_Los","TOT_Dept_WO_Addbacks","Tot_FC",$A163,"Top5","Top6","Reported","Top8")</f>
        <v>66409.919999999998</v>
      </c>
      <c r="L163" s="68">
        <f>_xll.OneStreamExcelAddIn.XFFunctions.XFGetCell("True","Consol", $B163,"Tot_Entity","USD",L$2,L$3,L$4,$C163,"TopFlow","Top","Top","Tot_Los","TOT_Dept_WO_Addbacks","Tot_FC",$A163,"Top5","Top6","Reported","Top8")</f>
        <v>66409.919999999998</v>
      </c>
      <c r="M163" s="68">
        <f>_xll.OneStreamExcelAddIn.XFFunctions.XFGetCell("True","Consol", $B163,"Tot_Entity","USD",M$2,M$3,M$4,$C163,"TopFlow","Top","Top","Tot_Los","TOT_Dept_WO_Addbacks","Tot_FC",$A163,"Top5","Top6","Reported","Top8")</f>
        <v>66409.919999999998</v>
      </c>
      <c r="N163" s="68">
        <f>_xll.OneStreamExcelAddIn.XFFunctions.XFGetCell("True","Consol", $B163,"Tot_Entity","USD",N$2,N$3,N$4,$C163,"TopFlow","Top","Top","Tot_Los","TOT_Dept_WO_Addbacks","Tot_FC",$A163,"Top5","Top6","Reported","Top8")</f>
        <v>66409.919999999998</v>
      </c>
      <c r="O163" s="186">
        <f>_xll.OneStreamExcelAddIn.XFFunctions.XFGetCell("True","Consol", $B163,"Tot_Entity","USD",O$2,O$3,O$4,$C163,"TopFlow","Top","Top","Tot_Los","TOT_Dept_WO_Addbacks","Tot_FC",$A163,"Top5","Top6","Reported","Top8")</f>
        <v>102320.17</v>
      </c>
      <c r="P163" s="15">
        <f>_xll.OneStreamExcelAddIn.XFFunctions.XFGetCell("True","Consol", $B163,"Tot_Entity","USD",P$2,P$3,P$4,$C163,"TopFlow","Top","Top","Tot_Los","TOT_Dept_WO_Addbacks","Tot_FC",$A163,"Top5","Top6","Reported","Top8")</f>
        <v>63137.07</v>
      </c>
      <c r="Q163" s="69">
        <f>_xll.OneStreamExcelAddIn.XFFunctions.XFGetCell("True","Consol", $B163,"Tot_Entity","USD",Q$2,Q$3,Q$4,$C163,"TopFlow","Top","Top","Tot_Los","TOT_Dept_WO_Addbacks","Tot_FC",$A163,"Top5","Top6","Reported","Top8")</f>
        <v>252548.28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s="4" customFormat="1" x14ac:dyDescent="0.2">
      <c r="A164" s="16" t="str">
        <f t="shared" ref="A164:A170" si="32">+$A$8</f>
        <v>Acute_DIV1</v>
      </c>
      <c r="B164" s="15">
        <f t="shared" ref="B164:B170" si="33">+$B$8</f>
        <v>127</v>
      </c>
      <c r="C164" s="14" t="s">
        <v>270</v>
      </c>
      <c r="D164" s="14" t="s">
        <v>271</v>
      </c>
      <c r="E164" s="68">
        <f>_xll.OneStreamExcelAddIn.XFFunctions.XFGetCell("True","Consol", $B164,"Tot_Entity","USD",E$2,E$3,E$4,$C164,"TopFlow","Top","Top","Tot_Los","TOT_Dept_WO_Addbacks","Tot_FC",$A164,"Top5","Top6","Reported","Top8")</f>
        <v>5163.7700000000004</v>
      </c>
      <c r="F164" s="68">
        <f>_xll.OneStreamExcelAddIn.XFFunctions.XFGetCell("True","Consol", $B164,"Tot_Entity","USD",F$2,F$3,F$4,$C164,"TopFlow","Top","Top","Tot_Los","TOT_Dept_WO_Addbacks","Tot_FC",$A164,"Top5","Top6","Reported","Top8")</f>
        <v>4934.4399999999996</v>
      </c>
      <c r="G164" s="68">
        <f>_xll.OneStreamExcelAddIn.XFFunctions.XFGetCell("True","Consol", $B164,"Tot_Entity","USD",G$2,G$3,G$4,$C164,"TopFlow","Top","Top","Tot_Los","TOT_Dept_WO_Addbacks","Tot_FC",$A164,"Top5","Top6","Reported","Top8")</f>
        <v>4220.22</v>
      </c>
      <c r="H164" s="68">
        <f>_xll.OneStreamExcelAddIn.XFFunctions.XFGetCell("True","Consol", $B164,"Tot_Entity","USD",H$2,H$3,H$4,$C164,"TopFlow","Top","Top","Tot_Los","TOT_Dept_WO_Addbacks","Tot_FC",$A164,"Top5","Top6","Reported","Top8")</f>
        <v>12715.29</v>
      </c>
      <c r="I164" s="68">
        <f>_xll.OneStreamExcelAddIn.XFFunctions.XFGetCell("True","Consol", $B164,"Tot_Entity","USD",I$2,I$3,I$4,$C164,"TopFlow","Top","Top","Tot_Los","TOT_Dept_WO_Addbacks","Tot_FC",$A164,"Top5","Top6","Reported","Top8")</f>
        <v>8301.6200000000008</v>
      </c>
      <c r="J164" s="68">
        <f>_xll.OneStreamExcelAddIn.XFFunctions.XFGetCell("True","Consol", $B164,"Tot_Entity","USD",J$2,J$3,J$4,$C164,"TopFlow","Top","Top","Tot_Los","TOT_Dept_WO_Addbacks","Tot_FC",$A164,"Top5","Top6","Reported","Top8")</f>
        <v>4443.05</v>
      </c>
      <c r="K164" s="68">
        <f>_xll.OneStreamExcelAddIn.XFFunctions.XFGetCell("True","Consol", $B164,"Tot_Entity","USD",K$2,K$3,K$4,$C164,"TopFlow","Top","Top","Tot_Los","TOT_Dept_WO_Addbacks","Tot_FC",$A164,"Top5","Top6","Reported","Top8")</f>
        <v>5058.7700000000004</v>
      </c>
      <c r="L164" s="68">
        <f>_xll.OneStreamExcelAddIn.XFFunctions.XFGetCell("True","Consol", $B164,"Tot_Entity","USD",L$2,L$3,L$4,$C164,"TopFlow","Top","Top","Tot_Los","TOT_Dept_WO_Addbacks","Tot_FC",$A164,"Top5","Top6","Reported","Top8")</f>
        <v>1703.95</v>
      </c>
      <c r="M164" s="68">
        <f>_xll.OneStreamExcelAddIn.XFFunctions.XFGetCell("True","Consol", $B164,"Tot_Entity","USD",M$2,M$3,M$4,$C164,"TopFlow","Top","Top","Tot_Los","TOT_Dept_WO_Addbacks","Tot_FC",$A164,"Top5","Top6","Reported","Top8")</f>
        <v>2943.53</v>
      </c>
      <c r="N164" s="68">
        <f>_xll.OneStreamExcelAddIn.XFFunctions.XFGetCell("True","Consol", $B164,"Tot_Entity","USD",N$2,N$3,N$4,$C164,"TopFlow","Top","Top","Tot_Los","TOT_Dept_WO_Addbacks","Tot_FC",$A164,"Top5","Top6","Reported","Top8")</f>
        <v>4261.2700000000004</v>
      </c>
      <c r="O164" s="186">
        <f>_xll.OneStreamExcelAddIn.XFFunctions.XFGetCell("True","Consol", $B164,"Tot_Entity","USD",O$2,O$3,O$4,$C164,"TopFlow","Top","Top","Tot_Los","TOT_Dept_WO_Addbacks","Tot_FC",$A164,"Top5","Top6","Reported","Top8")</f>
        <v>6536.79</v>
      </c>
      <c r="P164" s="15">
        <f>_xll.OneStreamExcelAddIn.XFFunctions.XFGetCell("True","Consol", $B164,"Tot_Entity","USD",P$2,P$3,P$4,$C164,"TopFlow","Top","Top","Tot_Los","TOT_Dept_WO_Addbacks","Tot_FC",$A164,"Top5","Top6","Reported","Top8")</f>
        <v>4898.667499999</v>
      </c>
      <c r="Q164" s="69">
        <f>_xll.OneStreamExcelAddIn.XFFunctions.XFGetCell("True","Consol", $B164,"Tot_Entity","USD",Q$2,Q$3,Q$4,$C164,"TopFlow","Top","Top","Tot_Los","TOT_Dept_WO_Addbacks","Tot_FC",$A164,"Top5","Top6","Reported","Top8")</f>
        <v>23002.779999996001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s="4" customFormat="1" x14ac:dyDescent="0.2">
      <c r="A165" s="16" t="str">
        <f t="shared" si="32"/>
        <v>Acute_DIV1</v>
      </c>
      <c r="B165" s="15">
        <f t="shared" si="33"/>
        <v>127</v>
      </c>
      <c r="C165" s="14" t="s">
        <v>272</v>
      </c>
      <c r="D165" s="14" t="s">
        <v>273</v>
      </c>
      <c r="E165" s="68">
        <f>_xll.OneStreamExcelAddIn.XFFunctions.XFGetCell("True","Consol", $B165,"Tot_Entity","USD",E$2,E$3,E$4,$C165,"TopFlow","Top","Top","Tot_Los","TOT_Dept_WO_Addbacks","Tot_FC",$A165,"Top5","Top6","Reported","Top8")</f>
        <v>8430.82</v>
      </c>
      <c r="F165" s="68">
        <f>_xll.OneStreamExcelAddIn.XFFunctions.XFGetCell("True","Consol", $B165,"Tot_Entity","USD",F$2,F$3,F$4,$C165,"TopFlow","Top","Top","Tot_Los","TOT_Dept_WO_Addbacks","Tot_FC",$A165,"Top5","Top6","Reported","Top8")</f>
        <v>20582.79</v>
      </c>
      <c r="G165" s="68">
        <f>_xll.OneStreamExcelAddIn.XFFunctions.XFGetCell("True","Consol", $B165,"Tot_Entity","USD",G$2,G$3,G$4,$C165,"TopFlow","Top","Top","Tot_Los","TOT_Dept_WO_Addbacks","Tot_FC",$A165,"Top5","Top6","Reported","Top8")</f>
        <v>1792.91</v>
      </c>
      <c r="H165" s="68">
        <f>_xll.OneStreamExcelAddIn.XFFunctions.XFGetCell("True","Consol", $B165,"Tot_Entity","USD",H$2,H$3,H$4,$C165,"TopFlow","Top","Top","Tot_Los","TOT_Dept_WO_Addbacks","Tot_FC",$A165,"Top5","Top6","Reported","Top8")</f>
        <v>13236.87</v>
      </c>
      <c r="I165" s="68">
        <f>_xll.OneStreamExcelAddIn.XFFunctions.XFGetCell("True","Consol", $B165,"Tot_Entity","USD",I$2,I$3,I$4,$C165,"TopFlow","Top","Top","Tot_Los","TOT_Dept_WO_Addbacks","Tot_FC",$A165,"Top5","Top6","Reported","Top8")</f>
        <v>46.97</v>
      </c>
      <c r="J165" s="68">
        <f>_xll.OneStreamExcelAddIn.XFFunctions.XFGetCell("True","Consol", $B165,"Tot_Entity","USD",J$2,J$3,J$4,$C165,"TopFlow","Top","Top","Tot_Los","TOT_Dept_WO_Addbacks","Tot_FC",$A165,"Top5","Top6","Reported","Top8")</f>
        <v>858.75</v>
      </c>
      <c r="K165" s="68">
        <f>_xll.OneStreamExcelAddIn.XFFunctions.XFGetCell("True","Consol", $B165,"Tot_Entity","USD",K$2,K$3,K$4,$C165,"TopFlow","Top","Top","Tot_Los","TOT_Dept_WO_Addbacks","Tot_FC",$A165,"Top5","Top6","Reported","Top8")</f>
        <v>8421.92</v>
      </c>
      <c r="L165" s="68">
        <f>_xll.OneStreamExcelAddIn.XFFunctions.XFGetCell("True","Consol", $B165,"Tot_Entity","USD",L$2,L$3,L$4,$C165,"TopFlow","Top","Top","Tot_Los","TOT_Dept_WO_Addbacks","Tot_FC",$A165,"Top5","Top6","Reported","Top8")</f>
        <v>6147.98</v>
      </c>
      <c r="M165" s="68">
        <f>_xll.OneStreamExcelAddIn.XFFunctions.XFGetCell("True","Consol", $B165,"Tot_Entity","USD",M$2,M$3,M$4,$C165,"TopFlow","Top","Top","Tot_Los","TOT_Dept_WO_Addbacks","Tot_FC",$A165,"Top5","Top6","Reported","Top8")</f>
        <v>10659.93</v>
      </c>
      <c r="N165" s="68">
        <f>_xll.OneStreamExcelAddIn.XFFunctions.XFGetCell("True","Consol", $B165,"Tot_Entity","USD",N$2,N$3,N$4,$C165,"TopFlow","Top","Top","Tot_Los","TOT_Dept_WO_Addbacks","Tot_FC",$A165,"Top5","Top6","Reported","Top8")</f>
        <v>5007.55</v>
      </c>
      <c r="O165" s="186">
        <f>_xll.OneStreamExcelAddIn.XFFunctions.XFGetCell("True","Consol", $B165,"Tot_Entity","USD",O$2,O$3,O$4,$C165,"TopFlow","Top","Top","Tot_Los","TOT_Dept_WO_Addbacks","Tot_FC",$A165,"Top5","Top6","Reported","Top8")</f>
        <v>3596.88</v>
      </c>
      <c r="P165" s="15">
        <f>_xll.OneStreamExcelAddIn.XFFunctions.XFGetCell("True","Consol", $B165,"Tot_Entity","USD",P$2,P$3,P$4,$C165,"TopFlow","Top","Top","Tot_Los","TOT_Dept_WO_Addbacks","Tot_FC",$A165,"Top5","Top6","Reported","Top8")</f>
        <v>10144.885</v>
      </c>
      <c r="Q165" s="69">
        <f>_xll.OneStreamExcelAddIn.XFFunctions.XFGetCell("True","Consol", $B165,"Tot_Entity","USD",Q$2,Q$3,Q$4,$C165,"TopFlow","Top","Top","Tot_Los","TOT_Dept_WO_Addbacks","Tot_FC",$A165,"Top5","Top6","Reported","Top8")</f>
        <v>40579.54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s="4" customFormat="1" x14ac:dyDescent="0.2">
      <c r="A166" s="16" t="str">
        <f t="shared" si="32"/>
        <v>Acute_DIV1</v>
      </c>
      <c r="B166" s="15">
        <f t="shared" si="33"/>
        <v>127</v>
      </c>
      <c r="C166" s="14" t="s">
        <v>274</v>
      </c>
      <c r="D166" s="14" t="s">
        <v>275</v>
      </c>
      <c r="E166" s="68">
        <f>_xll.OneStreamExcelAddIn.XFFunctions.XFGetCell("True","Consol", $B166,"Tot_Entity","USD",E$2,E$3,E$4,$C166,"TopFlow","Top","Top","Tot_Los","TOT_Dept_WO_Addbacks","Tot_FC",$A166,"Top5","Top6","Reported","Top8")</f>
        <v>5693.96</v>
      </c>
      <c r="F166" s="68">
        <f>_xll.OneStreamExcelAddIn.XFFunctions.XFGetCell("True","Consol", $B166,"Tot_Entity","USD",F$2,F$3,F$4,$C166,"TopFlow","Top","Top","Tot_Los","TOT_Dept_WO_Addbacks","Tot_FC",$A166,"Top5","Top6","Reported","Top8")</f>
        <v>6353.75</v>
      </c>
      <c r="G166" s="68">
        <f>_xll.OneStreamExcelAddIn.XFFunctions.XFGetCell("True","Consol", $B166,"Tot_Entity","USD",G$2,G$3,G$4,$C166,"TopFlow","Top","Top","Tot_Los","TOT_Dept_WO_Addbacks","Tot_FC",$A166,"Top5","Top6","Reported","Top8")</f>
        <v>9843.11</v>
      </c>
      <c r="H166" s="68">
        <f>_xll.OneStreamExcelAddIn.XFFunctions.XFGetCell("True","Consol", $B166,"Tot_Entity","USD",H$2,H$3,H$4,$C166,"TopFlow","Top","Top","Tot_Los","TOT_Dept_WO_Addbacks","Tot_FC",$A166,"Top5","Top6","Reported","Top8")</f>
        <v>1579.12</v>
      </c>
      <c r="I166" s="68">
        <f>_xll.OneStreamExcelAddIn.XFFunctions.XFGetCell("True","Consol", $B166,"Tot_Entity","USD",I$2,I$3,I$4,$C166,"TopFlow","Top","Top","Tot_Los","TOT_Dept_WO_Addbacks","Tot_FC",$A166,"Top5","Top6","Reported","Top8")</f>
        <v>13206.27</v>
      </c>
      <c r="J166" s="68">
        <f>_xll.OneStreamExcelAddIn.XFFunctions.XFGetCell("True","Consol", $B166,"Tot_Entity","USD",J$2,J$3,J$4,$C166,"TopFlow","Top","Top","Tot_Los","TOT_Dept_WO_Addbacks","Tot_FC",$A166,"Top5","Top6","Reported","Top8")</f>
        <v>4539.6099999999997</v>
      </c>
      <c r="K166" s="68">
        <f>_xll.OneStreamExcelAddIn.XFFunctions.XFGetCell("True","Consol", $B166,"Tot_Entity","USD",K$2,K$3,K$4,$C166,"TopFlow","Top","Top","Tot_Los","TOT_Dept_WO_Addbacks","Tot_FC",$A166,"Top5","Top6","Reported","Top8")</f>
        <v>6664.07</v>
      </c>
      <c r="L166" s="68">
        <f>_xll.OneStreamExcelAddIn.XFFunctions.XFGetCell("True","Consol", $B166,"Tot_Entity","USD",L$2,L$3,L$4,$C166,"TopFlow","Top","Top","Tot_Los","TOT_Dept_WO_Addbacks","Tot_FC",$A166,"Top5","Top6","Reported","Top8")</f>
        <v>547.63</v>
      </c>
      <c r="M166" s="68">
        <f>_xll.OneStreamExcelAddIn.XFFunctions.XFGetCell("True","Consol", $B166,"Tot_Entity","USD",M$2,M$3,M$4,$C166,"TopFlow","Top","Top","Tot_Los","TOT_Dept_WO_Addbacks","Tot_FC",$A166,"Top5","Top6","Reported","Top8")</f>
        <v>10129.07</v>
      </c>
      <c r="N166" s="68">
        <f>_xll.OneStreamExcelAddIn.XFFunctions.XFGetCell("True","Consol", $B166,"Tot_Entity","USD",N$2,N$3,N$4,$C166,"TopFlow","Top","Top","Tot_Los","TOT_Dept_WO_Addbacks","Tot_FC",$A166,"Top5","Top6","Reported","Top8")</f>
        <v>14513.32</v>
      </c>
      <c r="O166" s="186">
        <f>_xll.OneStreamExcelAddIn.XFFunctions.XFGetCell("True","Consol", $B166,"Tot_Entity","USD",O$2,O$3,O$4,$C166,"TopFlow","Top","Top","Tot_Los","TOT_Dept_WO_Addbacks","Tot_FC",$A166,"Top5","Top6","Reported","Top8")</f>
        <v>8933.7999999999993</v>
      </c>
      <c r="P166" s="15">
        <f>_xll.OneStreamExcelAddIn.XFFunctions.XFGetCell("True","Consol", $B166,"Tot_Entity","USD",P$2,P$3,P$4,$C166,"TopFlow","Top","Top","Tot_Los","TOT_Dept_WO_Addbacks","Tot_FC",$A166,"Top5","Top6","Reported","Top8")</f>
        <v>4744.25</v>
      </c>
      <c r="Q166" s="69">
        <f>_xll.OneStreamExcelAddIn.XFFunctions.XFGetCell("True","Consol", $B166,"Tot_Entity","USD",Q$2,Q$3,Q$4,$C166,"TopFlow","Top","Top","Tot_Los","TOT_Dept_WO_Addbacks","Tot_FC",$A166,"Top5","Top6","Reported","Top8")</f>
        <v>18530.75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s="4" customFormat="1" x14ac:dyDescent="0.2">
      <c r="A167" s="16" t="str">
        <f t="shared" si="32"/>
        <v>Acute_DIV1</v>
      </c>
      <c r="B167" s="15">
        <f t="shared" si="33"/>
        <v>127</v>
      </c>
      <c r="C167" s="14" t="s">
        <v>276</v>
      </c>
      <c r="D167" s="14" t="s">
        <v>277</v>
      </c>
      <c r="E167" s="68">
        <f>_xll.OneStreamExcelAddIn.XFFunctions.XFGetCell("True","Consol", $B167,"Tot_Entity","USD",E$2,E$3,E$4,$C167,"TopFlow","Top","Top","Tot_Los","TOT_Dept_WO_Addbacks","Tot_FC",$A167,"Top5","Top6","Reported","Top8")</f>
        <v>15565.63</v>
      </c>
      <c r="F167" s="68">
        <f>_xll.OneStreamExcelAddIn.XFFunctions.XFGetCell("True","Consol", $B167,"Tot_Entity","USD",F$2,F$3,F$4,$C167,"TopFlow","Top","Top","Tot_Los","TOT_Dept_WO_Addbacks","Tot_FC",$A167,"Top5","Top6","Reported","Top8")</f>
        <v>20778.82</v>
      </c>
      <c r="G167" s="68">
        <f>_xll.OneStreamExcelAddIn.XFFunctions.XFGetCell("True","Consol", $B167,"Tot_Entity","USD",G$2,G$3,G$4,$C167,"TopFlow","Top","Top","Tot_Los","TOT_Dept_WO_Addbacks","Tot_FC",$A167,"Top5","Top6","Reported","Top8")</f>
        <v>20645.27</v>
      </c>
      <c r="H167" s="68">
        <f>_xll.OneStreamExcelAddIn.XFFunctions.XFGetCell("True","Consol", $B167,"Tot_Entity","USD",H$2,H$3,H$4,$C167,"TopFlow","Top","Top","Tot_Los","TOT_Dept_WO_Addbacks","Tot_FC",$A167,"Top5","Top6","Reported","Top8")</f>
        <v>23032.799999999999</v>
      </c>
      <c r="I167" s="68">
        <f>_xll.OneStreamExcelAddIn.XFFunctions.XFGetCell("True","Consol", $B167,"Tot_Entity","USD",I$2,I$3,I$4,$C167,"TopFlow","Top","Top","Tot_Los","TOT_Dept_WO_Addbacks","Tot_FC",$A167,"Top5","Top6","Reported","Top8")</f>
        <v>4779.12</v>
      </c>
      <c r="J167" s="68">
        <f>_xll.OneStreamExcelAddIn.XFFunctions.XFGetCell("True","Consol", $B167,"Tot_Entity","USD",J$2,J$3,J$4,$C167,"TopFlow","Top","Top","Tot_Los","TOT_Dept_WO_Addbacks","Tot_FC",$A167,"Top5","Top6","Reported","Top8")</f>
        <v>41875.589999999997</v>
      </c>
      <c r="K167" s="68">
        <f>_xll.OneStreamExcelAddIn.XFFunctions.XFGetCell("True","Consol", $B167,"Tot_Entity","USD",K$2,K$3,K$4,$C167,"TopFlow","Top","Top","Tot_Los","TOT_Dept_WO_Addbacks","Tot_FC",$A167,"Top5","Top6","Reported","Top8")</f>
        <v>9553.15</v>
      </c>
      <c r="L167" s="68">
        <f>_xll.OneStreamExcelAddIn.XFFunctions.XFGetCell("True","Consol", $B167,"Tot_Entity","USD",L$2,L$3,L$4,$C167,"TopFlow","Top","Top","Tot_Los","TOT_Dept_WO_Addbacks","Tot_FC",$A167,"Top5","Top6","Reported","Top8")</f>
        <v>19260.099999999999</v>
      </c>
      <c r="M167" s="68">
        <f>_xll.OneStreamExcelAddIn.XFFunctions.XFGetCell("True","Consol", $B167,"Tot_Entity","USD",M$2,M$3,M$4,$C167,"TopFlow","Top","Top","Tot_Los","TOT_Dept_WO_Addbacks","Tot_FC",$A167,"Top5","Top6","Reported","Top8")</f>
        <v>6498.72</v>
      </c>
      <c r="N167" s="68">
        <f>_xll.OneStreamExcelAddIn.XFFunctions.XFGetCell("True","Consol", $B167,"Tot_Entity","USD",N$2,N$3,N$4,$C167,"TopFlow","Top","Top","Tot_Los","TOT_Dept_WO_Addbacks","Tot_FC",$A167,"Top5","Top6","Reported","Top8")</f>
        <v>8886.5300000000007</v>
      </c>
      <c r="O167" s="186">
        <f>_xll.OneStreamExcelAddIn.XFFunctions.XFGetCell("True","Consol", $B167,"Tot_Entity","USD",O$2,O$3,O$4,$C167,"TopFlow","Top","Top","Tot_Los","TOT_Dept_WO_Addbacks","Tot_FC",$A167,"Top5","Top6","Reported","Top8")</f>
        <v>19712.59</v>
      </c>
      <c r="P167" s="15">
        <f>_xll.OneStreamExcelAddIn.XFFunctions.XFGetCell("True","Consol", $B167,"Tot_Entity","USD",P$2,P$3,P$4,$C167,"TopFlow","Top","Top","Tot_Los","TOT_Dept_WO_Addbacks","Tot_FC",$A167,"Top5","Top6","Reported","Top8")</f>
        <v>17178.084333333001</v>
      </c>
      <c r="Q167" s="69">
        <f>_xll.OneStreamExcelAddIn.XFFunctions.XFGetCell("True","Consol", $B167,"Tot_Entity","USD",Q$2,Q$3,Q$4,$C167,"TopFlow","Top","Top","Tot_Los","TOT_Dept_WO_Addbacks","Tot_FC",$A167,"Top5","Top6","Reported","Top8")</f>
        <v>68462.857333331995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s="4" customFormat="1" x14ac:dyDescent="0.2">
      <c r="A168" s="16" t="str">
        <f t="shared" si="32"/>
        <v>Acute_DIV1</v>
      </c>
      <c r="B168" s="15">
        <f t="shared" si="33"/>
        <v>127</v>
      </c>
      <c r="C168" s="14" t="s">
        <v>278</v>
      </c>
      <c r="D168" s="14" t="s">
        <v>279</v>
      </c>
      <c r="E168" s="68">
        <f>_xll.OneStreamExcelAddIn.XFFunctions.XFGetCell("True","Consol", $B168,"Tot_Entity","USD",E$2,E$3,E$4,$C168,"TopFlow","Top","Top","Tot_Los","TOT_Dept_WO_Addbacks","Tot_FC",$A168,"Top5","Top6","Reported","Top8")</f>
        <v>1511.53</v>
      </c>
      <c r="F168" s="68">
        <f>_xll.OneStreamExcelAddIn.XFFunctions.XFGetCell("True","Consol", $B168,"Tot_Entity","USD",F$2,F$3,F$4,$C168,"TopFlow","Top","Top","Tot_Los","TOT_Dept_WO_Addbacks","Tot_FC",$A168,"Top5","Top6","Reported","Top8")</f>
        <v>800.2</v>
      </c>
      <c r="G168" s="68">
        <f>_xll.OneStreamExcelAddIn.XFFunctions.XFGetCell("True","Consol", $B168,"Tot_Entity","USD",G$2,G$3,G$4,$C168,"TopFlow","Top","Top","Tot_Los","TOT_Dept_WO_Addbacks","Tot_FC",$A168,"Top5","Top6","Reported","Top8")</f>
        <v>391.03</v>
      </c>
      <c r="H168" s="68">
        <f>_xll.OneStreamExcelAddIn.XFFunctions.XFGetCell("True","Consol", $B168,"Tot_Entity","USD",H$2,H$3,H$4,$C168,"TopFlow","Top","Top","Tot_Los","TOT_Dept_WO_Addbacks","Tot_FC",$A168,"Top5","Top6","Reported","Top8")</f>
        <v>4386.7299999999996</v>
      </c>
      <c r="I168" s="68">
        <f>_xll.OneStreamExcelAddIn.XFFunctions.XFGetCell("True","Consol", $B168,"Tot_Entity","USD",I$2,I$3,I$4,$C168,"TopFlow","Top","Top","Tot_Los","TOT_Dept_WO_Addbacks","Tot_FC",$A168,"Top5","Top6","Reported","Top8")</f>
        <v>2319.13</v>
      </c>
      <c r="J168" s="68">
        <f>_xll.OneStreamExcelAddIn.XFFunctions.XFGetCell("True","Consol", $B168,"Tot_Entity","USD",J$2,J$3,J$4,$C168,"TopFlow","Top","Top","Tot_Los","TOT_Dept_WO_Addbacks","Tot_FC",$A168,"Top5","Top6","Reported","Top8")</f>
        <v>226.86</v>
      </c>
      <c r="K168" s="68">
        <f>_xll.OneStreamExcelAddIn.XFFunctions.XFGetCell("True","Consol", $B168,"Tot_Entity","USD",K$2,K$3,K$4,$C168,"TopFlow","Top","Top","Tot_Los","TOT_Dept_WO_Addbacks","Tot_FC",$A168,"Top5","Top6","Reported","Top8")</f>
        <v>2024.92</v>
      </c>
      <c r="L168" s="68">
        <f>_xll.OneStreamExcelAddIn.XFFunctions.XFGetCell("True","Consol", $B168,"Tot_Entity","USD",L$2,L$3,L$4,$C168,"TopFlow","Top","Top","Tot_Los","TOT_Dept_WO_Addbacks","Tot_FC",$A168,"Top5","Top6","Reported","Top8")</f>
        <v>1514.55</v>
      </c>
      <c r="M168" s="68">
        <f>_xll.OneStreamExcelAddIn.XFFunctions.XFGetCell("True","Consol", $B168,"Tot_Entity","USD",M$2,M$3,M$4,$C168,"TopFlow","Top","Top","Tot_Los","TOT_Dept_WO_Addbacks","Tot_FC",$A168,"Top5","Top6","Reported","Top8")</f>
        <v>3828.55</v>
      </c>
      <c r="N168" s="68">
        <f>_xll.OneStreamExcelAddIn.XFFunctions.XFGetCell("True","Consol", $B168,"Tot_Entity","USD",N$2,N$3,N$4,$C168,"TopFlow","Top","Top","Tot_Los","TOT_Dept_WO_Addbacks","Tot_FC",$A168,"Top5","Top6","Reported","Top8")</f>
        <v>3811.79</v>
      </c>
      <c r="O168" s="186">
        <f>_xll.OneStreamExcelAddIn.XFFunctions.XFGetCell("True","Consol", $B168,"Tot_Entity","USD",O$2,O$3,O$4,$C168,"TopFlow","Top","Top","Tot_Los","TOT_Dept_WO_Addbacks","Tot_FC",$A168,"Top5","Top6","Reported","Top8")</f>
        <v>3405.59</v>
      </c>
      <c r="P168" s="15">
        <f>_xll.OneStreamExcelAddIn.XFFunctions.XFGetCell("True","Consol", $B168,"Tot_Entity","USD",P$2,P$3,P$4,$C168,"TopFlow","Top","Top","Tot_Los","TOT_Dept_WO_Addbacks","Tot_FC",$A168,"Top5","Top6","Reported","Top8")</f>
        <v>2028.7873333330001</v>
      </c>
      <c r="Q168" s="69">
        <f>_xll.OneStreamExcelAddIn.XFFunctions.XFGetCell("True","Consol", $B168,"Tot_Entity","USD",Q$2,Q$3,Q$4,$C168,"TopFlow","Top","Top","Tot_Los","TOT_Dept_WO_Addbacks","Tot_FC",$A168,"Top5","Top6","Reported","Top8")</f>
        <v>8115.1493333320004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s="4" customFormat="1" x14ac:dyDescent="0.2">
      <c r="A169" s="16" t="str">
        <f t="shared" si="32"/>
        <v>Acute_DIV1</v>
      </c>
      <c r="B169" s="15">
        <f t="shared" si="33"/>
        <v>127</v>
      </c>
      <c r="C169" s="14" t="s">
        <v>280</v>
      </c>
      <c r="D169" s="14" t="s">
        <v>281</v>
      </c>
      <c r="E169" s="68">
        <f>_xll.OneStreamExcelAddIn.XFFunctions.XFGetCell("True","Consol", $B169,"Tot_Entity","USD",E$2,E$3,E$4,$C169,"TopFlow","Top","Top","Tot_Los","TOT_Dept_WO_Addbacks","Tot_FC",$A169,"Top5","Top6","Reported","Top8")</f>
        <v>2055481.3599999999</v>
      </c>
      <c r="F169" s="68">
        <f>_xll.OneStreamExcelAddIn.XFFunctions.XFGetCell("True","Consol", $B169,"Tot_Entity","USD",F$2,F$3,F$4,$C169,"TopFlow","Top","Top","Tot_Los","TOT_Dept_WO_Addbacks","Tot_FC",$A169,"Top5","Top6","Reported","Top8")</f>
        <v>427570.94</v>
      </c>
      <c r="G169" s="68">
        <f>_xll.OneStreamExcelAddIn.XFFunctions.XFGetCell("True","Consol", $B169,"Tot_Entity","USD",G$2,G$3,G$4,$C169,"TopFlow","Top","Top","Tot_Los","TOT_Dept_WO_Addbacks","Tot_FC",$A169,"Top5","Top6","Reported","Top8")</f>
        <v>428827.38</v>
      </c>
      <c r="H169" s="68">
        <f>_xll.OneStreamExcelAddIn.XFFunctions.XFGetCell("True","Consol", $B169,"Tot_Entity","USD",H$2,H$3,H$4,$C169,"TopFlow","Top","Top","Tot_Los","TOT_Dept_WO_Addbacks","Tot_FC",$A169,"Top5","Top6","Reported","Top8")</f>
        <v>270807.19</v>
      </c>
      <c r="I169" s="68">
        <f>_xll.OneStreamExcelAddIn.XFFunctions.XFGetCell("True","Consol", $B169,"Tot_Entity","USD",I$2,I$3,I$4,$C169,"TopFlow","Top","Top","Tot_Los","TOT_Dept_WO_Addbacks","Tot_FC",$A169,"Top5","Top6","Reported","Top8")</f>
        <v>853217.75</v>
      </c>
      <c r="J169" s="68">
        <f>_xll.OneStreamExcelAddIn.XFFunctions.XFGetCell("True","Consol", $B169,"Tot_Entity","USD",J$2,J$3,J$4,$C169,"TopFlow","Top","Top","Tot_Los","TOT_Dept_WO_Addbacks","Tot_FC",$A169,"Top5","Top6","Reported","Top8")</f>
        <v>754007.71</v>
      </c>
      <c r="K169" s="68">
        <f>_xll.OneStreamExcelAddIn.XFFunctions.XFGetCell("True","Consol", $B169,"Tot_Entity","USD",K$2,K$3,K$4,$C169,"TopFlow","Top","Top","Tot_Los","TOT_Dept_WO_Addbacks","Tot_FC",$A169,"Top5","Top6","Reported","Top8")</f>
        <v>644501.41</v>
      </c>
      <c r="L169" s="68">
        <f>_xll.OneStreamExcelAddIn.XFFunctions.XFGetCell("True","Consol", $B169,"Tot_Entity","USD",L$2,L$3,L$4,$C169,"TopFlow","Top","Top","Tot_Los","TOT_Dept_WO_Addbacks","Tot_FC",$A169,"Top5","Top6","Reported","Top8")</f>
        <v>445339.98</v>
      </c>
      <c r="M169" s="68">
        <f>_xll.OneStreamExcelAddIn.XFFunctions.XFGetCell("True","Consol", $B169,"Tot_Entity","USD",M$2,M$3,M$4,$C169,"TopFlow","Top","Top","Tot_Los","TOT_Dept_WO_Addbacks","Tot_FC",$A169,"Top5","Top6","Reported","Top8")</f>
        <v>442912.43</v>
      </c>
      <c r="N169" s="68">
        <f>_xll.OneStreamExcelAddIn.XFFunctions.XFGetCell("True","Consol", $B169,"Tot_Entity","USD",N$2,N$3,N$4,$C169,"TopFlow","Top","Top","Tot_Los","TOT_Dept_WO_Addbacks","Tot_FC",$A169,"Top5","Top6","Reported","Top8")</f>
        <v>279129.96999999997</v>
      </c>
      <c r="O169" s="186">
        <f>_xll.OneStreamExcelAddIn.XFFunctions.XFGetCell("True","Consol", $B169,"Tot_Entity","USD",O$2,O$3,O$4,$C169,"TopFlow","Top","Top","Tot_Los","TOT_Dept_WO_Addbacks","Tot_FC",$A169,"Top5","Top6","Reported","Top8")</f>
        <v>443219.33</v>
      </c>
      <c r="P169" s="15">
        <f>_xll.OneStreamExcelAddIn.XFFunctions.XFGetCell("True","Consol", $B169,"Tot_Entity","USD",P$2,P$3,P$4,$C169,"TopFlow","Top","Top","Tot_Los","TOT_Dept_WO_Addbacks","Tot_FC",$A169,"Top5","Top6","Reported","Top8")</f>
        <v>389290.28</v>
      </c>
      <c r="Q169" s="69">
        <f>_xll.OneStreamExcelAddIn.XFFunctions.XFGetCell("True","Consol", $B169,"Tot_Entity","USD",Q$2,Q$3,Q$4,$C169,"TopFlow","Top","Top","Tot_Los","TOT_Dept_WO_Addbacks","Tot_FC",$A169,"Top5","Top6","Reported","Top8")</f>
        <v>1564258.81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s="4" customFormat="1" x14ac:dyDescent="0.2">
      <c r="A170" s="16" t="str">
        <f t="shared" si="32"/>
        <v>Acute_DIV1</v>
      </c>
      <c r="B170" s="15">
        <f t="shared" si="33"/>
        <v>127</v>
      </c>
      <c r="C170" s="14" t="s">
        <v>282</v>
      </c>
      <c r="D170" s="14" t="s">
        <v>283</v>
      </c>
      <c r="E170" s="68">
        <f>_xll.OneStreamExcelAddIn.XFFunctions.XFGetCell("True","Consol", $B170,"Tot_Entity","USD",E$2,E$3,E$4,$C170,"TopFlow","Top","Top","Tot_Los","TOT_Dept_WO_Addbacks","Tot_FC",$A170,"Top5","Top6","Reported","Top8")</f>
        <v>50750</v>
      </c>
      <c r="F170" s="68">
        <f>_xll.OneStreamExcelAddIn.XFFunctions.XFGetCell("True","Consol", $B170,"Tot_Entity","USD",F$2,F$3,F$4,$C170,"TopFlow","Top","Top","Tot_Los","TOT_Dept_WO_Addbacks","Tot_FC",$A170,"Top5","Top6","Reported","Top8")</f>
        <v>50750</v>
      </c>
      <c r="G170" s="68">
        <f>_xll.OneStreamExcelAddIn.XFFunctions.XFGetCell("True","Consol", $B170,"Tot_Entity","USD",G$2,G$3,G$4,$C170,"TopFlow","Top","Top","Tot_Los","TOT_Dept_WO_Addbacks","Tot_FC",$A170,"Top5","Top6","Reported","Top8")</f>
        <v>50750</v>
      </c>
      <c r="H170" s="68">
        <f>_xll.OneStreamExcelAddIn.XFFunctions.XFGetCell("True","Consol", $B170,"Tot_Entity","USD",H$2,H$3,H$4,$C170,"TopFlow","Top","Top","Tot_Los","TOT_Dept_WO_Addbacks","Tot_FC",$A170,"Top5","Top6","Reported","Top8")</f>
        <v>50750</v>
      </c>
      <c r="I170" s="68">
        <f>_xll.OneStreamExcelAddIn.XFFunctions.XFGetCell("True","Consol", $B170,"Tot_Entity","USD",I$2,I$3,I$4,$C170,"TopFlow","Top","Top","Tot_Los","TOT_Dept_WO_Addbacks","Tot_FC",$A170,"Top5","Top6","Reported","Top8")</f>
        <v>50750</v>
      </c>
      <c r="J170" s="68">
        <f>_xll.OneStreamExcelAddIn.XFFunctions.XFGetCell("True","Consol", $B170,"Tot_Entity","USD",J$2,J$3,J$4,$C170,"TopFlow","Top","Top","Tot_Los","TOT_Dept_WO_Addbacks","Tot_FC",$A170,"Top5","Top6","Reported","Top8")</f>
        <v>50750</v>
      </c>
      <c r="K170" s="68">
        <f>_xll.OneStreamExcelAddIn.XFFunctions.XFGetCell("True","Consol", $B170,"Tot_Entity","USD",K$2,K$3,K$4,$C170,"TopFlow","Top","Top","Tot_Los","TOT_Dept_WO_Addbacks","Tot_FC",$A170,"Top5","Top6","Reported","Top8")</f>
        <v>50750</v>
      </c>
      <c r="L170" s="68">
        <f>_xll.OneStreamExcelAddIn.XFFunctions.XFGetCell("True","Consol", $B170,"Tot_Entity","USD",L$2,L$3,L$4,$C170,"TopFlow","Top","Top","Tot_Los","TOT_Dept_WO_Addbacks","Tot_FC",$A170,"Top5","Top6","Reported","Top8")</f>
        <v>80838.45</v>
      </c>
      <c r="M170" s="68">
        <f>_xll.OneStreamExcelAddIn.XFFunctions.XFGetCell("True","Consol", $B170,"Tot_Entity","USD",M$2,M$3,M$4,$C170,"TopFlow","Top","Top","Tot_Los","TOT_Dept_WO_Addbacks","Tot_FC",$A170,"Top5","Top6","Reported","Top8")</f>
        <v>82644.45</v>
      </c>
      <c r="N170" s="68">
        <f>_xll.OneStreamExcelAddIn.XFFunctions.XFGetCell("True","Consol", $B170,"Tot_Entity","USD",N$2,N$3,N$4,$C170,"TopFlow","Top","Top","Tot_Los","TOT_Dept_WO_Addbacks","Tot_FC",$A170,"Top5","Top6","Reported","Top8")</f>
        <v>99253.14</v>
      </c>
      <c r="O170" s="186">
        <f>_xll.OneStreamExcelAddIn.XFFunctions.XFGetCell("True","Consol", $B170,"Tot_Entity","USD",O$2,O$3,O$4,$C170,"TopFlow","Top","Top","Tot_Los","TOT_Dept_WO_Addbacks","Tot_FC",$A170,"Top5","Top6","Reported","Top8")</f>
        <v>82404.789999999994</v>
      </c>
      <c r="P170" s="15">
        <f>_xll.OneStreamExcelAddIn.XFFunctions.XFGetCell("True","Consol", $B170,"Tot_Entity","USD",P$2,P$3,P$4,$C170,"TopFlow","Top","Top","Tot_Los","TOT_Dept_WO_Addbacks","Tot_FC",$A170,"Top5","Top6","Reported","Top8")</f>
        <v>78020.458235869999</v>
      </c>
      <c r="Q170" s="69">
        <f>_xll.OneStreamExcelAddIn.XFFunctions.XFGetCell("True","Consol", $B170,"Tot_Entity","USD",Q$2,Q$3,Q$4,$C170,"TopFlow","Top","Top","Tot_Los","TOT_Dept_WO_Addbacks","Tot_FC",$A170,"Top5","Top6","Reported","Top8")</f>
        <v>323219.83762906701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s="4" customFormat="1" x14ac:dyDescent="0.2">
      <c r="A171" s="1"/>
      <c r="B171" s="2"/>
      <c r="C171" s="3"/>
      <c r="D171" s="3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185"/>
      <c r="P171" s="1"/>
      <c r="Q171" s="1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s="4" customFormat="1" ht="5.0999999999999996" customHeight="1" x14ac:dyDescent="0.2">
      <c r="B172" s="22"/>
      <c r="C172" s="23"/>
      <c r="D172" s="23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185"/>
      <c r="Q172" s="11"/>
    </row>
    <row r="173" spans="1:34" x14ac:dyDescent="0.2">
      <c r="B173" s="2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185"/>
    </row>
    <row r="174" spans="1:34" s="4" customFormat="1" x14ac:dyDescent="0.2">
      <c r="A174" s="16" t="str">
        <f>+$A$8</f>
        <v>Acute_DIV1</v>
      </c>
      <c r="B174" s="15">
        <f>+$B$8</f>
        <v>127</v>
      </c>
      <c r="C174" s="14" t="s">
        <v>89</v>
      </c>
      <c r="D174" s="182" t="s">
        <v>89</v>
      </c>
      <c r="E174" s="184">
        <f>_xll.OneStreamExcelAddIn.XFFunctions.XFGetCell("True","Consol", $B174,"Tot_Entity","USD",E$2,E$3,E$4,$C174,"TopFlow","Top","Top","Tot_Los","TOT_Dept_WO_Addbacks","Tot_FC",$A174,"Top5","Top6","Reported","Top8")</f>
        <v>28022927.940000001</v>
      </c>
      <c r="F174" s="184">
        <f>_xll.OneStreamExcelAddIn.XFFunctions.XFGetCell("True","Consol", $B174,"Tot_Entity","USD",F$2,F$3,F$4,$C174,"TopFlow","Top","Top","Tot_Los","TOT_Dept_WO_Addbacks","Tot_FC",$A174,"Top5","Top6","Reported","Top8")</f>
        <v>2660349.65</v>
      </c>
      <c r="G174" s="184">
        <f>_xll.OneStreamExcelAddIn.XFFunctions.XFGetCell("True","Consol", $B174,"Tot_Entity","USD",G$2,G$3,G$4,$C174,"TopFlow","Top","Top","Tot_Los","TOT_Dept_WO_Addbacks","Tot_FC",$A174,"Top5","Top6","Reported","Top8")</f>
        <v>2591935.38</v>
      </c>
      <c r="H174" s="184">
        <f>_xll.OneStreamExcelAddIn.XFFunctions.XFGetCell("True","Consol", $B174,"Tot_Entity","USD",H$2,H$3,H$4,$C174,"TopFlow","Top","Top","Tot_Los","TOT_Dept_WO_Addbacks","Tot_FC",$A174,"Top5","Top6","Reported","Top8")</f>
        <v>1171215.18</v>
      </c>
      <c r="I174" s="184">
        <f>_xll.OneStreamExcelAddIn.XFFunctions.XFGetCell("True","Consol", $B174,"Tot_Entity","USD",I$2,I$3,I$4,$C174,"TopFlow","Top","Top","Tot_Los","TOT_Dept_WO_Addbacks","Tot_FC",$A174,"Top5","Top6","Reported","Top8")</f>
        <v>2377549.14</v>
      </c>
      <c r="J174" s="184">
        <f>_xll.OneStreamExcelAddIn.XFFunctions.XFGetCell("True","Consol", $B174,"Tot_Entity","USD",J$2,J$3,J$4,$C174,"TopFlow","Top","Top","Tot_Los","TOT_Dept_WO_Addbacks","Tot_FC",$A174,"Top5","Top6","Reported","Top8")</f>
        <v>2093062.3900000001</v>
      </c>
      <c r="K174" s="184">
        <f>_xll.OneStreamExcelAddIn.XFFunctions.XFGetCell("True","Consol", $B174,"Tot_Entity","USD",K$2,K$3,K$4,$C174,"TopFlow","Top","Top","Tot_Los","TOT_Dept_WO_Addbacks","Tot_FC",$A174,"Top5","Top6","Reported","Top8")</f>
        <v>2396829.2000000002</v>
      </c>
      <c r="L174" s="184">
        <f>_xll.OneStreamExcelAddIn.XFFunctions.XFGetCell("True","Consol", $B174,"Tot_Entity","USD",L$2,L$3,L$4,$C174,"TopFlow","Top","Top","Tot_Los","TOT_Dept_WO_Addbacks","Tot_FC",$A174,"Top5","Top6","Reported","Top8")</f>
        <v>2758587.92</v>
      </c>
      <c r="M174" s="184">
        <f>_xll.OneStreamExcelAddIn.XFFunctions.XFGetCell("True","Consol", $B174,"Tot_Entity","USD",M$2,M$3,M$4,$C174,"TopFlow","Top","Top","Tot_Los","TOT_Dept_WO_Addbacks","Tot_FC",$A174,"Top5","Top6","Reported","Top8")</f>
        <v>3027636.93</v>
      </c>
      <c r="N174" s="184">
        <f>_xll.OneStreamExcelAddIn.XFFunctions.XFGetCell("True","Consol", $B174,"Tot_Entity","USD",N$2,N$3,N$4,$C174,"TopFlow","Top","Top","Tot_Los","TOT_Dept_WO_Addbacks","Tot_FC",$A174,"Top5","Top6","Reported","Top8")</f>
        <v>840668.21</v>
      </c>
      <c r="O174" s="186">
        <f>_xll.OneStreamExcelAddIn.XFFunctions.XFGetCell("True","Consol", $B174,"Tot_Entity","USD",O$2,O$3,O$4,$C174,"TopFlow","Top","Top","Tot_Los","TOT_Dept_WO_Addbacks","Tot_FC",$A174,"Top5","Top6","Reported","Top8")</f>
        <v>3118170.97</v>
      </c>
      <c r="P174" s="15">
        <f>_xll.OneStreamExcelAddIn.XFFunctions.XFGetCell("True","Consol", $B174,"Tot_Entity","USD",P$2,P$3,P$4,$C174,"TopFlow","Top","Top","Tot_Los","TOT_Dept_WO_Addbacks","Tot_FC",$A174,"Top5","Top6","Reported","Top8")</f>
        <v>4260234.4407419162</v>
      </c>
      <c r="Q174" s="69">
        <f>_xll.OneStreamExcelAddIn.XFFunctions.XFGetCell("True","Consol", $B174,"Tot_Entity","USD",Q$2,Q$3,Q$4,$C174,"TopFlow","Top","Top","Tot_Los","TOT_Dept_WO_Addbacks","Tot_FC",$A174,"Top5","Top6","Reported","Top8")</f>
        <v>17200681.815129146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s="4" customFormat="1" hidden="1" outlineLevel="1" x14ac:dyDescent="0.2">
      <c r="A175" s="20"/>
      <c r="B175" s="21"/>
      <c r="C175" s="21"/>
      <c r="D175" s="21"/>
      <c r="E175" s="74" t="b">
        <f t="shared" ref="E175:Q175" si="34">E174=(E55-SUM(E102,E105,E108,E111:E114,E116,E120,E125,E139,E148,E160:E170))</f>
        <v>1</v>
      </c>
      <c r="F175" s="74" t="b">
        <f t="shared" si="34"/>
        <v>1</v>
      </c>
      <c r="G175" s="74" t="b">
        <f t="shared" si="34"/>
        <v>1</v>
      </c>
      <c r="H175" s="74" t="b">
        <f t="shared" si="34"/>
        <v>1</v>
      </c>
      <c r="I175" s="74" t="b">
        <f t="shared" si="34"/>
        <v>1</v>
      </c>
      <c r="J175" s="74" t="b">
        <f t="shared" si="34"/>
        <v>1</v>
      </c>
      <c r="K175" s="74" t="b">
        <f t="shared" si="34"/>
        <v>1</v>
      </c>
      <c r="L175" s="74" t="b">
        <f t="shared" si="34"/>
        <v>1</v>
      </c>
      <c r="M175" s="74" t="b">
        <f t="shared" si="34"/>
        <v>1</v>
      </c>
      <c r="N175" s="74" t="b">
        <f t="shared" si="34"/>
        <v>0</v>
      </c>
      <c r="O175" s="189" t="b">
        <f t="shared" si="34"/>
        <v>1</v>
      </c>
      <c r="P175" s="21" t="b">
        <f t="shared" si="34"/>
        <v>1</v>
      </c>
      <c r="Q175" s="75" t="b">
        <f t="shared" si="34"/>
        <v>1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s="4" customFormat="1" collapsed="1" x14ac:dyDescent="0.2">
      <c r="A176" s="1"/>
      <c r="B176" s="2"/>
      <c r="C176" s="3"/>
      <c r="D176" s="3" t="s">
        <v>90</v>
      </c>
      <c r="E176" s="78">
        <f t="shared" ref="E176:Q176" si="35">+E174/E55</f>
        <v>0.86036027098569712</v>
      </c>
      <c r="F176" s="78">
        <f t="shared" si="35"/>
        <v>0.46633830212490462</v>
      </c>
      <c r="G176" s="78">
        <f t="shared" si="35"/>
        <v>0.47515516852012663</v>
      </c>
      <c r="H176" s="78">
        <f t="shared" si="35"/>
        <v>0.30291682151553878</v>
      </c>
      <c r="I176" s="78">
        <f t="shared" si="35"/>
        <v>0.43709144709578102</v>
      </c>
      <c r="J176" s="78">
        <f t="shared" si="35"/>
        <v>0.4133555518847728</v>
      </c>
      <c r="K176" s="78">
        <f t="shared" si="35"/>
        <v>0.45928824541556856</v>
      </c>
      <c r="L176" s="78">
        <f t="shared" si="35"/>
        <v>0.5014053133251829</v>
      </c>
      <c r="M176" s="78">
        <f t="shared" si="35"/>
        <v>0.52139492561419809</v>
      </c>
      <c r="N176" s="78">
        <f t="shared" si="35"/>
        <v>0.24468677944447845</v>
      </c>
      <c r="O176" s="197">
        <f t="shared" si="35"/>
        <v>0.52743961912895942</v>
      </c>
      <c r="P176" s="37">
        <f t="shared" si="35"/>
        <v>0.74698907100565159</v>
      </c>
      <c r="Q176" s="80">
        <f t="shared" si="35"/>
        <v>0.74801756573116729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8" spans="13:14" x14ac:dyDescent="0.2">
      <c r="M178" s="51"/>
      <c r="N178" s="51"/>
    </row>
  </sheetData>
  <conditionalFormatting sqref="E15:Q15 E26:Q26 E51:Q51 E62:Q62 E100:Q100 E146:Q146 E158:Q158 E175:Q175">
    <cfRule type="cellIs" dxfId="1" priority="2" operator="equal">
      <formula>FALSE</formula>
    </cfRule>
  </conditionalFormatting>
  <conditionalFormatting sqref="E43:Q43">
    <cfRule type="cellIs" dxfId="0" priority="1" operator="equal">
      <formula>FALSE</formula>
    </cfRule>
  </conditionalFormatting>
  <pageMargins left="0.25" right="0.25" top="0.75" bottom="0.75" header="0.3" footer="0.3"/>
  <pageSetup scale="91" fitToHeight="0" orientation="landscape" r:id="rId1"/>
  <rowBreaks count="2" manualBreakCount="2">
    <brk id="52" min="3" max="15" man="1"/>
    <brk id="122" min="3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7027-3E5D-4326-AC6A-F7E38BE54932}">
  <sheetPr>
    <tabColor theme="4" tint="0.79998168889431442"/>
  </sheetPr>
  <dimension ref="A1:M834"/>
  <sheetViews>
    <sheetView workbookViewId="0">
      <selection activeCell="K126" sqref="K126"/>
    </sheetView>
  </sheetViews>
  <sheetFormatPr defaultColWidth="9.140625" defaultRowHeight="11.25" x14ac:dyDescent="0.25"/>
  <cols>
    <col min="1" max="1" width="17.85546875" style="83" customWidth="1"/>
    <col min="2" max="2" width="17.85546875" style="84" customWidth="1"/>
    <col min="3" max="3" width="17.85546875" style="85" customWidth="1"/>
    <col min="4" max="9" width="17.85546875" style="84" customWidth="1"/>
    <col min="10" max="11" width="17.85546875" style="86" customWidth="1"/>
    <col min="12" max="13" width="17.85546875" style="84" customWidth="1"/>
    <col min="14" max="16384" width="9.140625" style="84"/>
  </cols>
  <sheetData>
    <row r="1" spans="1:13" s="82" customFormat="1" ht="22.5" x14ac:dyDescent="0.25">
      <c r="A1" s="81" t="s">
        <v>292</v>
      </c>
      <c r="B1" s="81" t="s">
        <v>293</v>
      </c>
      <c r="C1" s="81" t="s">
        <v>294</v>
      </c>
      <c r="D1" s="81" t="s">
        <v>295</v>
      </c>
      <c r="E1" s="81" t="s">
        <v>104</v>
      </c>
      <c r="F1" s="81" t="s">
        <v>296</v>
      </c>
      <c r="G1" s="81" t="s">
        <v>297</v>
      </c>
      <c r="H1" s="81" t="s">
        <v>298</v>
      </c>
      <c r="I1" s="81" t="s">
        <v>299</v>
      </c>
      <c r="J1" s="81" t="s">
        <v>300</v>
      </c>
      <c r="K1" s="81" t="s">
        <v>301</v>
      </c>
      <c r="L1" s="81" t="s">
        <v>103</v>
      </c>
      <c r="M1" s="81" t="s">
        <v>302</v>
      </c>
    </row>
    <row r="2" spans="1:13" x14ac:dyDescent="0.25">
      <c r="A2" s="83">
        <v>631465</v>
      </c>
      <c r="B2" s="84" t="s">
        <v>303</v>
      </c>
      <c r="C2" s="85">
        <f t="shared" ref="C2:C65" si="0">DATE(2025,3,1)</f>
        <v>45717</v>
      </c>
      <c r="D2" s="84" t="s">
        <v>304</v>
      </c>
      <c r="E2" s="84" t="s">
        <v>305</v>
      </c>
      <c r="F2" s="84" t="s">
        <v>306</v>
      </c>
      <c r="G2" s="84" t="s">
        <v>306</v>
      </c>
      <c r="H2" s="84" t="s">
        <v>307</v>
      </c>
      <c r="I2" s="84" t="s">
        <v>308</v>
      </c>
      <c r="J2" s="86">
        <v>0</v>
      </c>
      <c r="K2" s="86">
        <v>3225.39</v>
      </c>
      <c r="L2" s="84" t="s">
        <v>309</v>
      </c>
      <c r="M2" s="84" t="s">
        <v>310</v>
      </c>
    </row>
    <row r="3" spans="1:13" x14ac:dyDescent="0.25">
      <c r="A3" s="83">
        <v>631465</v>
      </c>
      <c r="B3" s="84" t="s">
        <v>303</v>
      </c>
      <c r="C3" s="85">
        <f t="shared" si="0"/>
        <v>45717</v>
      </c>
      <c r="D3" s="84" t="s">
        <v>304</v>
      </c>
      <c r="E3" s="84" t="s">
        <v>311</v>
      </c>
      <c r="F3" s="84" t="s">
        <v>306</v>
      </c>
      <c r="G3" s="84" t="s">
        <v>306</v>
      </c>
      <c r="H3" s="84" t="s">
        <v>312</v>
      </c>
      <c r="I3" s="84" t="s">
        <v>313</v>
      </c>
      <c r="J3" s="86">
        <v>0</v>
      </c>
      <c r="K3" s="86">
        <v>191.3</v>
      </c>
      <c r="L3" s="84" t="s">
        <v>314</v>
      </c>
      <c r="M3" s="84" t="s">
        <v>310</v>
      </c>
    </row>
    <row r="4" spans="1:13" x14ac:dyDescent="0.25">
      <c r="A4" s="83">
        <v>631465</v>
      </c>
      <c r="B4" s="84" t="s">
        <v>303</v>
      </c>
      <c r="C4" s="85">
        <f t="shared" si="0"/>
        <v>45717</v>
      </c>
      <c r="D4" s="84" t="s">
        <v>304</v>
      </c>
      <c r="E4" s="84" t="s">
        <v>315</v>
      </c>
      <c r="F4" s="84" t="s">
        <v>306</v>
      </c>
      <c r="G4" s="84" t="s">
        <v>306</v>
      </c>
      <c r="H4" s="84" t="s">
        <v>316</v>
      </c>
      <c r="I4" s="84" t="s">
        <v>317</v>
      </c>
      <c r="J4" s="86">
        <v>0</v>
      </c>
      <c r="K4" s="86">
        <v>44.74</v>
      </c>
      <c r="L4" s="84" t="s">
        <v>318</v>
      </c>
      <c r="M4" s="84" t="s">
        <v>310</v>
      </c>
    </row>
    <row r="5" spans="1:13" x14ac:dyDescent="0.25">
      <c r="A5" s="83">
        <v>631465</v>
      </c>
      <c r="B5" s="84" t="s">
        <v>303</v>
      </c>
      <c r="C5" s="85">
        <f t="shared" si="0"/>
        <v>45717</v>
      </c>
      <c r="D5" s="84" t="s">
        <v>304</v>
      </c>
      <c r="E5" s="84" t="s">
        <v>319</v>
      </c>
      <c r="F5" s="84" t="s">
        <v>306</v>
      </c>
      <c r="G5" s="84" t="s">
        <v>306</v>
      </c>
      <c r="H5" s="84" t="s">
        <v>320</v>
      </c>
      <c r="I5" s="84" t="s">
        <v>321</v>
      </c>
      <c r="J5" s="86">
        <v>0</v>
      </c>
      <c r="K5" s="86">
        <v>16.48</v>
      </c>
      <c r="L5" s="84" t="s">
        <v>322</v>
      </c>
      <c r="M5" s="84" t="s">
        <v>310</v>
      </c>
    </row>
    <row r="6" spans="1:13" x14ac:dyDescent="0.25">
      <c r="A6" s="83">
        <v>631466</v>
      </c>
      <c r="B6" s="84" t="s">
        <v>303</v>
      </c>
      <c r="C6" s="85">
        <f t="shared" si="0"/>
        <v>45717</v>
      </c>
      <c r="D6" s="84" t="s">
        <v>323</v>
      </c>
      <c r="E6" s="84" t="s">
        <v>305</v>
      </c>
      <c r="F6" s="84" t="s">
        <v>306</v>
      </c>
      <c r="G6" s="84" t="s">
        <v>306</v>
      </c>
      <c r="H6" s="84" t="s">
        <v>307</v>
      </c>
      <c r="I6" s="84" t="s">
        <v>308</v>
      </c>
      <c r="J6" s="86">
        <v>0</v>
      </c>
      <c r="K6" s="86">
        <v>387.89</v>
      </c>
      <c r="L6" s="84" t="s">
        <v>309</v>
      </c>
      <c r="M6" s="84" t="s">
        <v>310</v>
      </c>
    </row>
    <row r="7" spans="1:13" x14ac:dyDescent="0.25">
      <c r="A7" s="83">
        <v>631466</v>
      </c>
      <c r="B7" s="84" t="s">
        <v>303</v>
      </c>
      <c r="C7" s="85">
        <f t="shared" si="0"/>
        <v>45717</v>
      </c>
      <c r="D7" s="84" t="s">
        <v>323</v>
      </c>
      <c r="E7" s="84" t="s">
        <v>324</v>
      </c>
      <c r="F7" s="84" t="s">
        <v>306</v>
      </c>
      <c r="G7" s="84" t="s">
        <v>306</v>
      </c>
      <c r="H7" s="84" t="s">
        <v>325</v>
      </c>
      <c r="I7" s="84" t="s">
        <v>326</v>
      </c>
      <c r="J7" s="86">
        <v>0</v>
      </c>
      <c r="K7" s="86">
        <v>6426.98</v>
      </c>
      <c r="L7" s="84" t="s">
        <v>309</v>
      </c>
      <c r="M7" s="84" t="s">
        <v>327</v>
      </c>
    </row>
    <row r="8" spans="1:13" x14ac:dyDescent="0.25">
      <c r="A8" s="83">
        <v>631466</v>
      </c>
      <c r="B8" s="84" t="s">
        <v>303</v>
      </c>
      <c r="C8" s="85">
        <f t="shared" si="0"/>
        <v>45717</v>
      </c>
      <c r="D8" s="84" t="s">
        <v>323</v>
      </c>
      <c r="E8" s="84" t="s">
        <v>328</v>
      </c>
      <c r="F8" s="84" t="s">
        <v>306</v>
      </c>
      <c r="G8" s="84" t="s">
        <v>306</v>
      </c>
      <c r="H8" s="84" t="s">
        <v>329</v>
      </c>
      <c r="I8" s="84" t="s">
        <v>330</v>
      </c>
      <c r="J8" s="86">
        <v>0</v>
      </c>
      <c r="K8" s="86">
        <v>1224.71</v>
      </c>
      <c r="L8" s="84" t="s">
        <v>309</v>
      </c>
      <c r="M8" s="84" t="s">
        <v>331</v>
      </c>
    </row>
    <row r="9" spans="1:13" x14ac:dyDescent="0.25">
      <c r="A9" s="83">
        <v>631466</v>
      </c>
      <c r="B9" s="84" t="s">
        <v>303</v>
      </c>
      <c r="C9" s="85">
        <f t="shared" si="0"/>
        <v>45717</v>
      </c>
      <c r="D9" s="84" t="s">
        <v>323</v>
      </c>
      <c r="E9" s="84" t="s">
        <v>332</v>
      </c>
      <c r="F9" s="84" t="s">
        <v>306</v>
      </c>
      <c r="G9" s="84" t="s">
        <v>306</v>
      </c>
      <c r="H9" s="84" t="s">
        <v>333</v>
      </c>
      <c r="I9" s="84" t="s">
        <v>334</v>
      </c>
      <c r="J9" s="86">
        <v>0</v>
      </c>
      <c r="K9" s="86">
        <v>906.6</v>
      </c>
      <c r="L9" s="84" t="s">
        <v>335</v>
      </c>
      <c r="M9" s="84" t="s">
        <v>336</v>
      </c>
    </row>
    <row r="10" spans="1:13" x14ac:dyDescent="0.25">
      <c r="A10" s="83">
        <v>631466</v>
      </c>
      <c r="B10" s="84" t="s">
        <v>303</v>
      </c>
      <c r="C10" s="85">
        <f t="shared" si="0"/>
        <v>45717</v>
      </c>
      <c r="D10" s="84" t="s">
        <v>323</v>
      </c>
      <c r="E10" s="84" t="s">
        <v>337</v>
      </c>
      <c r="F10" s="84" t="s">
        <v>306</v>
      </c>
      <c r="G10" s="84" t="s">
        <v>306</v>
      </c>
      <c r="H10" s="84" t="s">
        <v>338</v>
      </c>
      <c r="I10" s="84" t="s">
        <v>339</v>
      </c>
      <c r="J10" s="86">
        <v>0</v>
      </c>
      <c r="K10" s="86">
        <v>333</v>
      </c>
      <c r="L10" s="84" t="s">
        <v>309</v>
      </c>
      <c r="M10" s="84" t="s">
        <v>340</v>
      </c>
    </row>
    <row r="11" spans="1:13" x14ac:dyDescent="0.25">
      <c r="A11" s="83">
        <v>631466</v>
      </c>
      <c r="B11" s="84" t="s">
        <v>303</v>
      </c>
      <c r="C11" s="85">
        <f t="shared" si="0"/>
        <v>45717</v>
      </c>
      <c r="D11" s="84" t="s">
        <v>323</v>
      </c>
      <c r="E11" s="84" t="s">
        <v>341</v>
      </c>
      <c r="F11" s="84" t="s">
        <v>306</v>
      </c>
      <c r="G11" s="84" t="s">
        <v>306</v>
      </c>
      <c r="H11" s="84" t="s">
        <v>342</v>
      </c>
      <c r="I11" s="84" t="s">
        <v>343</v>
      </c>
      <c r="J11" s="86">
        <v>0</v>
      </c>
      <c r="K11" s="86">
        <v>1236.27</v>
      </c>
      <c r="L11" s="84" t="s">
        <v>309</v>
      </c>
      <c r="M11" s="84" t="s">
        <v>344</v>
      </c>
    </row>
    <row r="12" spans="1:13" x14ac:dyDescent="0.25">
      <c r="A12" s="83">
        <v>631466</v>
      </c>
      <c r="B12" s="84" t="s">
        <v>303</v>
      </c>
      <c r="C12" s="85">
        <f t="shared" si="0"/>
        <v>45717</v>
      </c>
      <c r="D12" s="84" t="s">
        <v>323</v>
      </c>
      <c r="E12" s="84" t="s">
        <v>345</v>
      </c>
      <c r="F12" s="84" t="s">
        <v>306</v>
      </c>
      <c r="G12" s="84" t="s">
        <v>306</v>
      </c>
      <c r="H12" s="84" t="s">
        <v>346</v>
      </c>
      <c r="I12" s="84" t="s">
        <v>347</v>
      </c>
      <c r="J12" s="86">
        <v>0</v>
      </c>
      <c r="K12" s="86">
        <v>3529.68</v>
      </c>
      <c r="L12" s="84" t="s">
        <v>309</v>
      </c>
      <c r="M12" s="84" t="s">
        <v>348</v>
      </c>
    </row>
    <row r="13" spans="1:13" x14ac:dyDescent="0.25">
      <c r="A13" s="83">
        <v>631466</v>
      </c>
      <c r="B13" s="84" t="s">
        <v>303</v>
      </c>
      <c r="C13" s="85">
        <f t="shared" si="0"/>
        <v>45717</v>
      </c>
      <c r="D13" s="84" t="s">
        <v>323</v>
      </c>
      <c r="E13" s="84" t="s">
        <v>349</v>
      </c>
      <c r="F13" s="84" t="s">
        <v>306</v>
      </c>
      <c r="G13" s="84" t="s">
        <v>306</v>
      </c>
      <c r="H13" s="84" t="s">
        <v>350</v>
      </c>
      <c r="I13" s="84" t="s">
        <v>351</v>
      </c>
      <c r="J13" s="86">
        <v>0</v>
      </c>
      <c r="K13" s="86">
        <v>1357.87</v>
      </c>
      <c r="L13" s="84" t="s">
        <v>309</v>
      </c>
      <c r="M13" s="84" t="s">
        <v>352</v>
      </c>
    </row>
    <row r="14" spans="1:13" x14ac:dyDescent="0.25">
      <c r="A14" s="83">
        <v>631466</v>
      </c>
      <c r="B14" s="84" t="s">
        <v>303</v>
      </c>
      <c r="C14" s="85">
        <f t="shared" si="0"/>
        <v>45717</v>
      </c>
      <c r="D14" s="84" t="s">
        <v>323</v>
      </c>
      <c r="E14" s="84" t="s">
        <v>353</v>
      </c>
      <c r="F14" s="84" t="s">
        <v>306</v>
      </c>
      <c r="G14" s="84" t="s">
        <v>306</v>
      </c>
      <c r="H14" s="84" t="s">
        <v>354</v>
      </c>
      <c r="I14" s="84" t="s">
        <v>355</v>
      </c>
      <c r="J14" s="86">
        <v>0</v>
      </c>
      <c r="K14" s="86">
        <v>595.70000000000005</v>
      </c>
      <c r="L14" s="84" t="s">
        <v>309</v>
      </c>
      <c r="M14" s="84" t="s">
        <v>356</v>
      </c>
    </row>
    <row r="15" spans="1:13" x14ac:dyDescent="0.25">
      <c r="A15" s="83">
        <v>631466</v>
      </c>
      <c r="B15" s="84" t="s">
        <v>303</v>
      </c>
      <c r="C15" s="85">
        <f t="shared" si="0"/>
        <v>45717</v>
      </c>
      <c r="D15" s="84" t="s">
        <v>323</v>
      </c>
      <c r="E15" s="84" t="s">
        <v>357</v>
      </c>
      <c r="F15" s="84" t="s">
        <v>306</v>
      </c>
      <c r="G15" s="84" t="s">
        <v>306</v>
      </c>
      <c r="H15" s="84" t="s">
        <v>358</v>
      </c>
      <c r="I15" s="84" t="s">
        <v>359</v>
      </c>
      <c r="J15" s="86">
        <v>0</v>
      </c>
      <c r="K15" s="86">
        <v>6706.17</v>
      </c>
      <c r="L15" s="84" t="s">
        <v>360</v>
      </c>
      <c r="M15" s="84" t="s">
        <v>361</v>
      </c>
    </row>
    <row r="16" spans="1:13" x14ac:dyDescent="0.25">
      <c r="A16" s="83">
        <v>631466</v>
      </c>
      <c r="B16" s="84" t="s">
        <v>303</v>
      </c>
      <c r="C16" s="85">
        <f t="shared" si="0"/>
        <v>45717</v>
      </c>
      <c r="D16" s="84" t="s">
        <v>323</v>
      </c>
      <c r="E16" s="84" t="s">
        <v>362</v>
      </c>
      <c r="F16" s="84" t="s">
        <v>306</v>
      </c>
      <c r="G16" s="84" t="s">
        <v>306</v>
      </c>
      <c r="H16" s="84" t="s">
        <v>363</v>
      </c>
      <c r="I16" s="84" t="s">
        <v>364</v>
      </c>
      <c r="J16" s="86">
        <v>0</v>
      </c>
      <c r="K16" s="86">
        <v>6957.88</v>
      </c>
      <c r="L16" s="84" t="s">
        <v>365</v>
      </c>
      <c r="M16" s="84" t="s">
        <v>361</v>
      </c>
    </row>
    <row r="17" spans="1:13" x14ac:dyDescent="0.25">
      <c r="A17" s="83">
        <v>631466</v>
      </c>
      <c r="B17" s="84" t="s">
        <v>303</v>
      </c>
      <c r="C17" s="85">
        <f t="shared" si="0"/>
        <v>45717</v>
      </c>
      <c r="D17" s="84" t="s">
        <v>323</v>
      </c>
      <c r="E17" s="84" t="s">
        <v>366</v>
      </c>
      <c r="F17" s="84" t="s">
        <v>306</v>
      </c>
      <c r="G17" s="84" t="s">
        <v>306</v>
      </c>
      <c r="H17" s="84" t="s">
        <v>367</v>
      </c>
      <c r="I17" s="84" t="s">
        <v>368</v>
      </c>
      <c r="J17" s="86">
        <v>0</v>
      </c>
      <c r="K17" s="86">
        <v>1162.79</v>
      </c>
      <c r="L17" s="84" t="s">
        <v>309</v>
      </c>
      <c r="M17" s="84" t="s">
        <v>369</v>
      </c>
    </row>
    <row r="18" spans="1:13" x14ac:dyDescent="0.25">
      <c r="A18" s="83">
        <v>631466</v>
      </c>
      <c r="B18" s="84" t="s">
        <v>303</v>
      </c>
      <c r="C18" s="85">
        <f t="shared" si="0"/>
        <v>45717</v>
      </c>
      <c r="D18" s="84" t="s">
        <v>323</v>
      </c>
      <c r="E18" s="84" t="s">
        <v>341</v>
      </c>
      <c r="F18" s="84" t="s">
        <v>306</v>
      </c>
      <c r="G18" s="84" t="s">
        <v>306</v>
      </c>
      <c r="H18" s="84" t="s">
        <v>370</v>
      </c>
      <c r="I18" s="84" t="s">
        <v>371</v>
      </c>
      <c r="J18" s="86">
        <v>0</v>
      </c>
      <c r="K18" s="86">
        <v>1236.27</v>
      </c>
      <c r="L18" s="84" t="s">
        <v>309</v>
      </c>
      <c r="M18" s="84" t="s">
        <v>372</v>
      </c>
    </row>
    <row r="19" spans="1:13" x14ac:dyDescent="0.25">
      <c r="A19" s="83">
        <v>631466</v>
      </c>
      <c r="B19" s="84" t="s">
        <v>303</v>
      </c>
      <c r="C19" s="85">
        <f t="shared" si="0"/>
        <v>45717</v>
      </c>
      <c r="D19" s="84" t="s">
        <v>323</v>
      </c>
      <c r="E19" s="84" t="s">
        <v>311</v>
      </c>
      <c r="F19" s="84" t="s">
        <v>306</v>
      </c>
      <c r="G19" s="84" t="s">
        <v>306</v>
      </c>
      <c r="H19" s="84" t="s">
        <v>312</v>
      </c>
      <c r="I19" s="84" t="s">
        <v>313</v>
      </c>
      <c r="J19" s="86">
        <v>0</v>
      </c>
      <c r="K19" s="86">
        <v>24.05</v>
      </c>
      <c r="L19" s="84" t="s">
        <v>314</v>
      </c>
      <c r="M19" s="84" t="s">
        <v>310</v>
      </c>
    </row>
    <row r="20" spans="1:13" x14ac:dyDescent="0.25">
      <c r="A20" s="83">
        <v>631466</v>
      </c>
      <c r="B20" s="84" t="s">
        <v>303</v>
      </c>
      <c r="C20" s="85">
        <f t="shared" si="0"/>
        <v>45717</v>
      </c>
      <c r="D20" s="84" t="s">
        <v>323</v>
      </c>
      <c r="E20" s="84" t="s">
        <v>315</v>
      </c>
      <c r="F20" s="84" t="s">
        <v>306</v>
      </c>
      <c r="G20" s="84" t="s">
        <v>306</v>
      </c>
      <c r="H20" s="84" t="s">
        <v>316</v>
      </c>
      <c r="I20" s="84" t="s">
        <v>317</v>
      </c>
      <c r="J20" s="86">
        <v>0</v>
      </c>
      <c r="K20" s="86">
        <v>5.62</v>
      </c>
      <c r="L20" s="84" t="s">
        <v>318</v>
      </c>
      <c r="M20" s="84" t="s">
        <v>310</v>
      </c>
    </row>
    <row r="21" spans="1:13" x14ac:dyDescent="0.25">
      <c r="A21" s="83">
        <v>631466</v>
      </c>
      <c r="B21" s="84" t="s">
        <v>303</v>
      </c>
      <c r="C21" s="85">
        <f t="shared" si="0"/>
        <v>45717</v>
      </c>
      <c r="D21" s="84" t="s">
        <v>323</v>
      </c>
      <c r="E21" s="84" t="s">
        <v>373</v>
      </c>
      <c r="F21" s="84" t="s">
        <v>306</v>
      </c>
      <c r="G21" s="84" t="s">
        <v>306</v>
      </c>
      <c r="H21" s="84" t="s">
        <v>374</v>
      </c>
      <c r="I21" s="84" t="s">
        <v>375</v>
      </c>
      <c r="J21" s="86">
        <v>0</v>
      </c>
      <c r="K21" s="86">
        <v>2.33</v>
      </c>
      <c r="L21" s="84" t="s">
        <v>376</v>
      </c>
      <c r="M21" s="84" t="s">
        <v>310</v>
      </c>
    </row>
    <row r="22" spans="1:13" x14ac:dyDescent="0.25">
      <c r="A22" s="83">
        <v>631466</v>
      </c>
      <c r="B22" s="84" t="s">
        <v>303</v>
      </c>
      <c r="C22" s="85">
        <f t="shared" si="0"/>
        <v>45717</v>
      </c>
      <c r="D22" s="84" t="s">
        <v>323</v>
      </c>
      <c r="E22" s="84" t="s">
        <v>377</v>
      </c>
      <c r="F22" s="84" t="s">
        <v>306</v>
      </c>
      <c r="G22" s="84" t="s">
        <v>306</v>
      </c>
      <c r="H22" s="84" t="s">
        <v>378</v>
      </c>
      <c r="I22" s="84" t="s">
        <v>379</v>
      </c>
      <c r="J22" s="86">
        <v>0</v>
      </c>
      <c r="K22" s="86">
        <v>2.72</v>
      </c>
      <c r="L22" s="84" t="s">
        <v>380</v>
      </c>
      <c r="M22" s="84" t="s">
        <v>310</v>
      </c>
    </row>
    <row r="23" spans="1:13" x14ac:dyDescent="0.25">
      <c r="A23" s="83">
        <v>631466</v>
      </c>
      <c r="B23" s="84" t="s">
        <v>303</v>
      </c>
      <c r="C23" s="85">
        <f t="shared" si="0"/>
        <v>45717</v>
      </c>
      <c r="D23" s="84" t="s">
        <v>323</v>
      </c>
      <c r="E23" s="84" t="s">
        <v>319</v>
      </c>
      <c r="F23" s="84" t="s">
        <v>306</v>
      </c>
      <c r="G23" s="84" t="s">
        <v>306</v>
      </c>
      <c r="H23" s="84" t="s">
        <v>320</v>
      </c>
      <c r="I23" s="84" t="s">
        <v>321</v>
      </c>
      <c r="J23" s="86">
        <v>0</v>
      </c>
      <c r="K23" s="86">
        <v>49.44</v>
      </c>
      <c r="L23" s="84" t="s">
        <v>322</v>
      </c>
      <c r="M23" s="84" t="s">
        <v>310</v>
      </c>
    </row>
    <row r="24" spans="1:13" x14ac:dyDescent="0.25">
      <c r="A24" s="83">
        <v>631466</v>
      </c>
      <c r="B24" s="84" t="s">
        <v>303</v>
      </c>
      <c r="C24" s="85">
        <f t="shared" si="0"/>
        <v>45717</v>
      </c>
      <c r="D24" s="84" t="s">
        <v>323</v>
      </c>
      <c r="E24" s="84" t="s">
        <v>381</v>
      </c>
      <c r="F24" s="84" t="s">
        <v>306</v>
      </c>
      <c r="G24" s="84" t="s">
        <v>306</v>
      </c>
      <c r="H24" s="84" t="s">
        <v>382</v>
      </c>
      <c r="I24" s="84" t="s">
        <v>383</v>
      </c>
      <c r="J24" s="86">
        <v>0</v>
      </c>
      <c r="K24" s="86">
        <v>5431.37</v>
      </c>
      <c r="L24" s="84" t="s">
        <v>309</v>
      </c>
      <c r="M24" s="84" t="s">
        <v>336</v>
      </c>
    </row>
    <row r="25" spans="1:13" x14ac:dyDescent="0.25">
      <c r="A25" s="83">
        <v>631466</v>
      </c>
      <c r="B25" s="84" t="s">
        <v>303</v>
      </c>
      <c r="C25" s="85">
        <f t="shared" si="0"/>
        <v>45717</v>
      </c>
      <c r="D25" s="84" t="s">
        <v>323</v>
      </c>
      <c r="E25" s="84" t="s">
        <v>384</v>
      </c>
      <c r="F25" s="84" t="s">
        <v>306</v>
      </c>
      <c r="G25" s="84" t="s">
        <v>306</v>
      </c>
      <c r="H25" s="84" t="s">
        <v>385</v>
      </c>
      <c r="I25" s="84" t="s">
        <v>383</v>
      </c>
      <c r="J25" s="86">
        <v>0</v>
      </c>
      <c r="K25" s="86">
        <v>1030.22</v>
      </c>
      <c r="L25" s="84" t="s">
        <v>309</v>
      </c>
      <c r="M25" s="84" t="s">
        <v>386</v>
      </c>
    </row>
    <row r="26" spans="1:13" x14ac:dyDescent="0.25">
      <c r="A26" s="83">
        <v>631466</v>
      </c>
      <c r="B26" s="84" t="s">
        <v>303</v>
      </c>
      <c r="C26" s="85">
        <f t="shared" si="0"/>
        <v>45717</v>
      </c>
      <c r="D26" s="84" t="s">
        <v>323</v>
      </c>
      <c r="E26" s="84" t="s">
        <v>387</v>
      </c>
      <c r="F26" s="84" t="s">
        <v>306</v>
      </c>
      <c r="G26" s="84" t="s">
        <v>306</v>
      </c>
      <c r="H26" s="84" t="s">
        <v>388</v>
      </c>
      <c r="I26" s="84" t="s">
        <v>389</v>
      </c>
      <c r="J26" s="86">
        <v>0</v>
      </c>
      <c r="K26" s="86">
        <v>1179.22</v>
      </c>
      <c r="L26" s="84" t="s">
        <v>360</v>
      </c>
      <c r="M26" s="84" t="s">
        <v>336</v>
      </c>
    </row>
    <row r="27" spans="1:13" x14ac:dyDescent="0.25">
      <c r="A27" s="83">
        <v>631466</v>
      </c>
      <c r="B27" s="84" t="s">
        <v>303</v>
      </c>
      <c r="C27" s="85">
        <f t="shared" si="0"/>
        <v>45717</v>
      </c>
      <c r="D27" s="84" t="s">
        <v>323</v>
      </c>
      <c r="E27" s="84" t="s">
        <v>390</v>
      </c>
      <c r="F27" s="84" t="s">
        <v>306</v>
      </c>
      <c r="G27" s="84" t="s">
        <v>306</v>
      </c>
      <c r="H27" s="84" t="s">
        <v>391</v>
      </c>
      <c r="I27" s="84" t="s">
        <v>392</v>
      </c>
      <c r="J27" s="86">
        <v>0</v>
      </c>
      <c r="K27" s="86">
        <v>249.75</v>
      </c>
      <c r="L27" s="84" t="s">
        <v>393</v>
      </c>
      <c r="M27" s="84" t="s">
        <v>394</v>
      </c>
    </row>
    <row r="28" spans="1:13" x14ac:dyDescent="0.25">
      <c r="A28" s="83">
        <v>631466</v>
      </c>
      <c r="B28" s="84" t="s">
        <v>303</v>
      </c>
      <c r="C28" s="85">
        <f t="shared" si="0"/>
        <v>45717</v>
      </c>
      <c r="D28" s="84" t="s">
        <v>323</v>
      </c>
      <c r="E28" s="84" t="s">
        <v>332</v>
      </c>
      <c r="F28" s="84" t="s">
        <v>306</v>
      </c>
      <c r="G28" s="84" t="s">
        <v>306</v>
      </c>
      <c r="H28" s="84" t="s">
        <v>395</v>
      </c>
      <c r="I28" s="84" t="s">
        <v>396</v>
      </c>
      <c r="J28" s="86">
        <v>0</v>
      </c>
      <c r="K28" s="86">
        <v>721.68</v>
      </c>
      <c r="L28" s="84" t="s">
        <v>335</v>
      </c>
      <c r="M28" s="84" t="s">
        <v>361</v>
      </c>
    </row>
    <row r="29" spans="1:13" x14ac:dyDescent="0.25">
      <c r="A29" s="83">
        <v>631466</v>
      </c>
      <c r="B29" s="84" t="s">
        <v>303</v>
      </c>
      <c r="C29" s="85">
        <f t="shared" si="0"/>
        <v>45717</v>
      </c>
      <c r="D29" s="84" t="s">
        <v>323</v>
      </c>
      <c r="E29" s="84" t="s">
        <v>332</v>
      </c>
      <c r="F29" s="84" t="s">
        <v>306</v>
      </c>
      <c r="G29" s="84" t="s">
        <v>306</v>
      </c>
      <c r="H29" s="84" t="s">
        <v>397</v>
      </c>
      <c r="I29" s="84" t="s">
        <v>396</v>
      </c>
      <c r="J29" s="86">
        <v>0</v>
      </c>
      <c r="K29" s="86">
        <v>3665.64</v>
      </c>
      <c r="L29" s="84" t="s">
        <v>335</v>
      </c>
      <c r="M29" s="84" t="s">
        <v>398</v>
      </c>
    </row>
    <row r="30" spans="1:13" x14ac:dyDescent="0.25">
      <c r="A30" s="83">
        <v>631466</v>
      </c>
      <c r="B30" s="84" t="s">
        <v>303</v>
      </c>
      <c r="C30" s="85">
        <f t="shared" si="0"/>
        <v>45717</v>
      </c>
      <c r="D30" s="84" t="s">
        <v>323</v>
      </c>
      <c r="E30" s="84" t="s">
        <v>399</v>
      </c>
      <c r="F30" s="84" t="s">
        <v>306</v>
      </c>
      <c r="G30" s="84" t="s">
        <v>306</v>
      </c>
      <c r="H30" s="84" t="s">
        <v>400</v>
      </c>
      <c r="I30" s="84" t="s">
        <v>396</v>
      </c>
      <c r="J30" s="86">
        <v>0</v>
      </c>
      <c r="K30" s="86">
        <v>1559.19</v>
      </c>
      <c r="L30" s="84" t="s">
        <v>335</v>
      </c>
      <c r="M30" s="84" t="s">
        <v>401</v>
      </c>
    </row>
    <row r="31" spans="1:13" x14ac:dyDescent="0.25">
      <c r="A31" s="83">
        <v>631466</v>
      </c>
      <c r="B31" s="84" t="s">
        <v>303</v>
      </c>
      <c r="C31" s="85">
        <f t="shared" si="0"/>
        <v>45717</v>
      </c>
      <c r="D31" s="84" t="s">
        <v>323</v>
      </c>
      <c r="E31" s="84" t="s">
        <v>402</v>
      </c>
      <c r="F31" s="84" t="s">
        <v>306</v>
      </c>
      <c r="G31" s="84" t="s">
        <v>306</v>
      </c>
      <c r="H31" s="84" t="s">
        <v>403</v>
      </c>
      <c r="I31" s="84" t="s">
        <v>404</v>
      </c>
      <c r="J31" s="86">
        <v>0</v>
      </c>
      <c r="K31" s="86">
        <v>796.36</v>
      </c>
      <c r="L31" s="84" t="s">
        <v>365</v>
      </c>
      <c r="M31" s="84" t="s">
        <v>336</v>
      </c>
    </row>
    <row r="32" spans="1:13" x14ac:dyDescent="0.25">
      <c r="A32" s="83">
        <v>631466</v>
      </c>
      <c r="B32" s="84" t="s">
        <v>303</v>
      </c>
      <c r="C32" s="85">
        <f t="shared" si="0"/>
        <v>45717</v>
      </c>
      <c r="D32" s="84" t="s">
        <v>323</v>
      </c>
      <c r="E32" s="84" t="s">
        <v>405</v>
      </c>
      <c r="F32" s="84" t="s">
        <v>306</v>
      </c>
      <c r="G32" s="84" t="s">
        <v>306</v>
      </c>
      <c r="H32" s="84" t="s">
        <v>406</v>
      </c>
      <c r="I32" s="84" t="s">
        <v>404</v>
      </c>
      <c r="J32" s="86">
        <v>0</v>
      </c>
      <c r="K32" s="86">
        <v>4626.13</v>
      </c>
      <c r="L32" s="84" t="s">
        <v>365</v>
      </c>
      <c r="M32" s="84" t="s">
        <v>394</v>
      </c>
    </row>
    <row r="33" spans="1:13" x14ac:dyDescent="0.25">
      <c r="A33" s="83">
        <v>631466</v>
      </c>
      <c r="B33" s="84" t="s">
        <v>303</v>
      </c>
      <c r="C33" s="85">
        <f t="shared" si="0"/>
        <v>45717</v>
      </c>
      <c r="D33" s="84" t="s">
        <v>323</v>
      </c>
      <c r="E33" s="84" t="s">
        <v>407</v>
      </c>
      <c r="F33" s="84" t="s">
        <v>306</v>
      </c>
      <c r="G33" s="84" t="s">
        <v>306</v>
      </c>
      <c r="H33" s="84" t="s">
        <v>408</v>
      </c>
      <c r="I33" s="84" t="s">
        <v>409</v>
      </c>
      <c r="J33" s="86">
        <v>0</v>
      </c>
      <c r="K33" s="86">
        <v>174.85</v>
      </c>
      <c r="L33" s="84" t="s">
        <v>410</v>
      </c>
      <c r="M33" s="84" t="s">
        <v>361</v>
      </c>
    </row>
    <row r="34" spans="1:13" x14ac:dyDescent="0.25">
      <c r="A34" s="83">
        <v>631466</v>
      </c>
      <c r="B34" s="84" t="s">
        <v>303</v>
      </c>
      <c r="C34" s="85">
        <f t="shared" si="0"/>
        <v>45717</v>
      </c>
      <c r="D34" s="84" t="s">
        <v>323</v>
      </c>
      <c r="E34" s="84" t="s">
        <v>411</v>
      </c>
      <c r="F34" s="84" t="s">
        <v>306</v>
      </c>
      <c r="G34" s="84" t="s">
        <v>306</v>
      </c>
      <c r="H34" s="84" t="s">
        <v>412</v>
      </c>
      <c r="I34" s="84" t="s">
        <v>409</v>
      </c>
      <c r="J34" s="86">
        <v>0</v>
      </c>
      <c r="K34" s="86">
        <v>68.569999999999993</v>
      </c>
      <c r="L34" s="84" t="s">
        <v>410</v>
      </c>
      <c r="M34" s="84" t="s">
        <v>394</v>
      </c>
    </row>
    <row r="35" spans="1:13" x14ac:dyDescent="0.25">
      <c r="A35" s="83">
        <v>631466</v>
      </c>
      <c r="B35" s="84" t="s">
        <v>303</v>
      </c>
      <c r="C35" s="85">
        <f t="shared" si="0"/>
        <v>45717</v>
      </c>
      <c r="D35" s="84" t="s">
        <v>323</v>
      </c>
      <c r="E35" s="84" t="s">
        <v>413</v>
      </c>
      <c r="F35" s="84" t="s">
        <v>306</v>
      </c>
      <c r="G35" s="84" t="s">
        <v>306</v>
      </c>
      <c r="H35" s="84" t="s">
        <v>414</v>
      </c>
      <c r="I35" s="84" t="s">
        <v>313</v>
      </c>
      <c r="J35" s="86">
        <v>0</v>
      </c>
      <c r="K35" s="86">
        <v>986.71</v>
      </c>
      <c r="L35" s="84" t="s">
        <v>314</v>
      </c>
      <c r="M35" s="84" t="s">
        <v>361</v>
      </c>
    </row>
    <row r="36" spans="1:13" x14ac:dyDescent="0.25">
      <c r="A36" s="83">
        <v>631466</v>
      </c>
      <c r="B36" s="84" t="s">
        <v>303</v>
      </c>
      <c r="C36" s="85">
        <f t="shared" si="0"/>
        <v>45717</v>
      </c>
      <c r="D36" s="84" t="s">
        <v>323</v>
      </c>
      <c r="E36" s="84" t="s">
        <v>415</v>
      </c>
      <c r="F36" s="84" t="s">
        <v>306</v>
      </c>
      <c r="G36" s="84" t="s">
        <v>306</v>
      </c>
      <c r="H36" s="84" t="s">
        <v>416</v>
      </c>
      <c r="I36" s="84" t="s">
        <v>313</v>
      </c>
      <c r="J36" s="86">
        <v>0</v>
      </c>
      <c r="K36" s="86">
        <v>211.32</v>
      </c>
      <c r="L36" s="84" t="s">
        <v>314</v>
      </c>
      <c r="M36" s="84" t="s">
        <v>348</v>
      </c>
    </row>
    <row r="37" spans="1:13" x14ac:dyDescent="0.25">
      <c r="A37" s="83">
        <v>631466</v>
      </c>
      <c r="B37" s="84" t="s">
        <v>303</v>
      </c>
      <c r="C37" s="85">
        <f t="shared" si="0"/>
        <v>45717</v>
      </c>
      <c r="D37" s="84" t="s">
        <v>323</v>
      </c>
      <c r="E37" s="84" t="s">
        <v>417</v>
      </c>
      <c r="F37" s="84" t="s">
        <v>306</v>
      </c>
      <c r="G37" s="84" t="s">
        <v>306</v>
      </c>
      <c r="H37" s="84" t="s">
        <v>418</v>
      </c>
      <c r="I37" s="84" t="s">
        <v>313</v>
      </c>
      <c r="J37" s="86">
        <v>0</v>
      </c>
      <c r="K37" s="86">
        <v>221.33</v>
      </c>
      <c r="L37" s="84" t="s">
        <v>314</v>
      </c>
      <c r="M37" s="84" t="s">
        <v>398</v>
      </c>
    </row>
    <row r="38" spans="1:13" x14ac:dyDescent="0.25">
      <c r="A38" s="83">
        <v>631466</v>
      </c>
      <c r="B38" s="84" t="s">
        <v>303</v>
      </c>
      <c r="C38" s="85">
        <f t="shared" si="0"/>
        <v>45717</v>
      </c>
      <c r="D38" s="84" t="s">
        <v>323</v>
      </c>
      <c r="E38" s="84" t="s">
        <v>419</v>
      </c>
      <c r="F38" s="84" t="s">
        <v>306</v>
      </c>
      <c r="G38" s="84" t="s">
        <v>306</v>
      </c>
      <c r="H38" s="84" t="s">
        <v>420</v>
      </c>
      <c r="I38" s="84" t="s">
        <v>313</v>
      </c>
      <c r="J38" s="86">
        <v>0</v>
      </c>
      <c r="K38" s="86">
        <v>72.09</v>
      </c>
      <c r="L38" s="84" t="s">
        <v>314</v>
      </c>
      <c r="M38" s="84" t="s">
        <v>369</v>
      </c>
    </row>
    <row r="39" spans="1:13" x14ac:dyDescent="0.25">
      <c r="A39" s="83">
        <v>631466</v>
      </c>
      <c r="B39" s="84" t="s">
        <v>303</v>
      </c>
      <c r="C39" s="85">
        <f t="shared" si="0"/>
        <v>45717</v>
      </c>
      <c r="D39" s="84" t="s">
        <v>323</v>
      </c>
      <c r="E39" s="84" t="s">
        <v>421</v>
      </c>
      <c r="F39" s="84" t="s">
        <v>306</v>
      </c>
      <c r="G39" s="84" t="s">
        <v>306</v>
      </c>
      <c r="H39" s="84" t="s">
        <v>422</v>
      </c>
      <c r="I39" s="84" t="s">
        <v>313</v>
      </c>
      <c r="J39" s="86">
        <v>0</v>
      </c>
      <c r="K39" s="86">
        <v>72.02</v>
      </c>
      <c r="L39" s="84" t="s">
        <v>314</v>
      </c>
      <c r="M39" s="84" t="s">
        <v>331</v>
      </c>
    </row>
    <row r="40" spans="1:13" x14ac:dyDescent="0.25">
      <c r="A40" s="83">
        <v>631466</v>
      </c>
      <c r="B40" s="84" t="s">
        <v>303</v>
      </c>
      <c r="C40" s="85">
        <f t="shared" si="0"/>
        <v>45717</v>
      </c>
      <c r="D40" s="84" t="s">
        <v>323</v>
      </c>
      <c r="E40" s="84" t="s">
        <v>423</v>
      </c>
      <c r="F40" s="84" t="s">
        <v>306</v>
      </c>
      <c r="G40" s="84" t="s">
        <v>306</v>
      </c>
      <c r="H40" s="84" t="s">
        <v>424</v>
      </c>
      <c r="I40" s="84" t="s">
        <v>313</v>
      </c>
      <c r="J40" s="86">
        <v>0</v>
      </c>
      <c r="K40" s="86">
        <v>72.739999999999995</v>
      </c>
      <c r="L40" s="84" t="s">
        <v>314</v>
      </c>
      <c r="M40" s="84" t="s">
        <v>344</v>
      </c>
    </row>
    <row r="41" spans="1:13" x14ac:dyDescent="0.25">
      <c r="A41" s="83">
        <v>631466</v>
      </c>
      <c r="B41" s="84" t="s">
        <v>303</v>
      </c>
      <c r="C41" s="85">
        <f t="shared" si="0"/>
        <v>45717</v>
      </c>
      <c r="D41" s="84" t="s">
        <v>323</v>
      </c>
      <c r="E41" s="84" t="s">
        <v>425</v>
      </c>
      <c r="F41" s="84" t="s">
        <v>306</v>
      </c>
      <c r="G41" s="84" t="s">
        <v>306</v>
      </c>
      <c r="H41" s="84" t="s">
        <v>426</v>
      </c>
      <c r="I41" s="84" t="s">
        <v>313</v>
      </c>
      <c r="J41" s="86">
        <v>0</v>
      </c>
      <c r="K41" s="86">
        <v>20.76</v>
      </c>
      <c r="L41" s="84" t="s">
        <v>314</v>
      </c>
      <c r="M41" s="84" t="s">
        <v>340</v>
      </c>
    </row>
    <row r="42" spans="1:13" x14ac:dyDescent="0.25">
      <c r="A42" s="83">
        <v>631466</v>
      </c>
      <c r="B42" s="84" t="s">
        <v>303</v>
      </c>
      <c r="C42" s="85">
        <f t="shared" si="0"/>
        <v>45717</v>
      </c>
      <c r="D42" s="84" t="s">
        <v>323</v>
      </c>
      <c r="E42" s="84" t="s">
        <v>427</v>
      </c>
      <c r="F42" s="84" t="s">
        <v>306</v>
      </c>
      <c r="G42" s="84" t="s">
        <v>306</v>
      </c>
      <c r="H42" s="84" t="s">
        <v>428</v>
      </c>
      <c r="I42" s="84" t="s">
        <v>313</v>
      </c>
      <c r="J42" s="86">
        <v>0</v>
      </c>
      <c r="K42" s="86">
        <v>380.42</v>
      </c>
      <c r="L42" s="84" t="s">
        <v>314</v>
      </c>
      <c r="M42" s="84" t="s">
        <v>327</v>
      </c>
    </row>
    <row r="43" spans="1:13" x14ac:dyDescent="0.25">
      <c r="A43" s="83">
        <v>631466</v>
      </c>
      <c r="B43" s="84" t="s">
        <v>303</v>
      </c>
      <c r="C43" s="85">
        <f t="shared" si="0"/>
        <v>45717</v>
      </c>
      <c r="D43" s="84" t="s">
        <v>323</v>
      </c>
      <c r="E43" s="84" t="s">
        <v>429</v>
      </c>
      <c r="F43" s="84" t="s">
        <v>306</v>
      </c>
      <c r="G43" s="84" t="s">
        <v>306</v>
      </c>
      <c r="H43" s="84" t="s">
        <v>430</v>
      </c>
      <c r="I43" s="84" t="s">
        <v>313</v>
      </c>
      <c r="J43" s="86">
        <v>0</v>
      </c>
      <c r="K43" s="86">
        <v>35.46</v>
      </c>
      <c r="L43" s="84" t="s">
        <v>314</v>
      </c>
      <c r="M43" s="84" t="s">
        <v>356</v>
      </c>
    </row>
    <row r="44" spans="1:13" x14ac:dyDescent="0.25">
      <c r="A44" s="83">
        <v>631466</v>
      </c>
      <c r="B44" s="84" t="s">
        <v>303</v>
      </c>
      <c r="C44" s="85">
        <f t="shared" si="0"/>
        <v>45717</v>
      </c>
      <c r="D44" s="84" t="s">
        <v>323</v>
      </c>
      <c r="E44" s="84" t="s">
        <v>431</v>
      </c>
      <c r="F44" s="84" t="s">
        <v>306</v>
      </c>
      <c r="G44" s="84" t="s">
        <v>306</v>
      </c>
      <c r="H44" s="84" t="s">
        <v>432</v>
      </c>
      <c r="I44" s="84" t="s">
        <v>313</v>
      </c>
      <c r="J44" s="86">
        <v>0</v>
      </c>
      <c r="K44" s="86">
        <v>82.68</v>
      </c>
      <c r="L44" s="84" t="s">
        <v>314</v>
      </c>
      <c r="M44" s="84" t="s">
        <v>352</v>
      </c>
    </row>
    <row r="45" spans="1:13" x14ac:dyDescent="0.25">
      <c r="A45" s="83">
        <v>631466</v>
      </c>
      <c r="B45" s="84" t="s">
        <v>303</v>
      </c>
      <c r="C45" s="85">
        <f t="shared" si="0"/>
        <v>45717</v>
      </c>
      <c r="D45" s="84" t="s">
        <v>323</v>
      </c>
      <c r="E45" s="84" t="s">
        <v>433</v>
      </c>
      <c r="F45" s="84" t="s">
        <v>306</v>
      </c>
      <c r="G45" s="84" t="s">
        <v>306</v>
      </c>
      <c r="H45" s="84" t="s">
        <v>434</v>
      </c>
      <c r="I45" s="84" t="s">
        <v>317</v>
      </c>
      <c r="J45" s="86">
        <v>0</v>
      </c>
      <c r="K45" s="86">
        <v>230.77</v>
      </c>
      <c r="L45" s="84" t="s">
        <v>318</v>
      </c>
      <c r="M45" s="84" t="s">
        <v>361</v>
      </c>
    </row>
    <row r="46" spans="1:13" x14ac:dyDescent="0.25">
      <c r="A46" s="83">
        <v>631466</v>
      </c>
      <c r="B46" s="84" t="s">
        <v>303</v>
      </c>
      <c r="C46" s="85">
        <f t="shared" si="0"/>
        <v>45717</v>
      </c>
      <c r="D46" s="84" t="s">
        <v>323</v>
      </c>
      <c r="E46" s="84" t="s">
        <v>435</v>
      </c>
      <c r="F46" s="84" t="s">
        <v>306</v>
      </c>
      <c r="G46" s="84" t="s">
        <v>306</v>
      </c>
      <c r="H46" s="84" t="s">
        <v>436</v>
      </c>
      <c r="I46" s="84" t="s">
        <v>317</v>
      </c>
      <c r="J46" s="86">
        <v>0</v>
      </c>
      <c r="K46" s="86">
        <v>49.41</v>
      </c>
      <c r="L46" s="84" t="s">
        <v>318</v>
      </c>
      <c r="M46" s="84" t="s">
        <v>348</v>
      </c>
    </row>
    <row r="47" spans="1:13" x14ac:dyDescent="0.25">
      <c r="A47" s="83">
        <v>631466</v>
      </c>
      <c r="B47" s="84" t="s">
        <v>303</v>
      </c>
      <c r="C47" s="85">
        <f t="shared" si="0"/>
        <v>45717</v>
      </c>
      <c r="D47" s="84" t="s">
        <v>323</v>
      </c>
      <c r="E47" s="84" t="s">
        <v>437</v>
      </c>
      <c r="F47" s="84" t="s">
        <v>306</v>
      </c>
      <c r="G47" s="84" t="s">
        <v>306</v>
      </c>
      <c r="H47" s="84" t="s">
        <v>438</v>
      </c>
      <c r="I47" s="84" t="s">
        <v>317</v>
      </c>
      <c r="J47" s="86">
        <v>0</v>
      </c>
      <c r="K47" s="86">
        <v>51.75</v>
      </c>
      <c r="L47" s="84" t="s">
        <v>318</v>
      </c>
      <c r="M47" s="84" t="s">
        <v>398</v>
      </c>
    </row>
    <row r="48" spans="1:13" x14ac:dyDescent="0.25">
      <c r="A48" s="83">
        <v>631466</v>
      </c>
      <c r="B48" s="84" t="s">
        <v>303</v>
      </c>
      <c r="C48" s="85">
        <f t="shared" si="0"/>
        <v>45717</v>
      </c>
      <c r="D48" s="84" t="s">
        <v>323</v>
      </c>
      <c r="E48" s="84" t="s">
        <v>439</v>
      </c>
      <c r="F48" s="84" t="s">
        <v>306</v>
      </c>
      <c r="G48" s="84" t="s">
        <v>306</v>
      </c>
      <c r="H48" s="84" t="s">
        <v>440</v>
      </c>
      <c r="I48" s="84" t="s">
        <v>317</v>
      </c>
      <c r="J48" s="86">
        <v>0</v>
      </c>
      <c r="K48" s="86">
        <v>16.86</v>
      </c>
      <c r="L48" s="84" t="s">
        <v>318</v>
      </c>
      <c r="M48" s="84" t="s">
        <v>369</v>
      </c>
    </row>
    <row r="49" spans="1:13" x14ac:dyDescent="0.25">
      <c r="A49" s="83">
        <v>631466</v>
      </c>
      <c r="B49" s="84" t="s">
        <v>303</v>
      </c>
      <c r="C49" s="85">
        <f t="shared" si="0"/>
        <v>45717</v>
      </c>
      <c r="D49" s="84" t="s">
        <v>323</v>
      </c>
      <c r="E49" s="84" t="s">
        <v>441</v>
      </c>
      <c r="F49" s="84" t="s">
        <v>306</v>
      </c>
      <c r="G49" s="84" t="s">
        <v>306</v>
      </c>
      <c r="H49" s="84" t="s">
        <v>442</v>
      </c>
      <c r="I49" s="84" t="s">
        <v>317</v>
      </c>
      <c r="J49" s="86">
        <v>0</v>
      </c>
      <c r="K49" s="86">
        <v>16.850000000000001</v>
      </c>
      <c r="L49" s="84" t="s">
        <v>318</v>
      </c>
      <c r="M49" s="84" t="s">
        <v>331</v>
      </c>
    </row>
    <row r="50" spans="1:13" x14ac:dyDescent="0.25">
      <c r="A50" s="83">
        <v>631466</v>
      </c>
      <c r="B50" s="84" t="s">
        <v>303</v>
      </c>
      <c r="C50" s="85">
        <f t="shared" si="0"/>
        <v>45717</v>
      </c>
      <c r="D50" s="84" t="s">
        <v>323</v>
      </c>
      <c r="E50" s="84" t="s">
        <v>443</v>
      </c>
      <c r="F50" s="84" t="s">
        <v>306</v>
      </c>
      <c r="G50" s="84" t="s">
        <v>306</v>
      </c>
      <c r="H50" s="84" t="s">
        <v>444</v>
      </c>
      <c r="I50" s="84" t="s">
        <v>317</v>
      </c>
      <c r="J50" s="86">
        <v>0</v>
      </c>
      <c r="K50" s="86">
        <v>17.010000000000002</v>
      </c>
      <c r="L50" s="84" t="s">
        <v>318</v>
      </c>
      <c r="M50" s="84" t="s">
        <v>344</v>
      </c>
    </row>
    <row r="51" spans="1:13" x14ac:dyDescent="0.25">
      <c r="A51" s="83">
        <v>631466</v>
      </c>
      <c r="B51" s="84" t="s">
        <v>303</v>
      </c>
      <c r="C51" s="85">
        <f t="shared" si="0"/>
        <v>45717</v>
      </c>
      <c r="D51" s="84" t="s">
        <v>323</v>
      </c>
      <c r="E51" s="84" t="s">
        <v>445</v>
      </c>
      <c r="F51" s="84" t="s">
        <v>306</v>
      </c>
      <c r="G51" s="84" t="s">
        <v>306</v>
      </c>
      <c r="H51" s="84" t="s">
        <v>446</v>
      </c>
      <c r="I51" s="84" t="s">
        <v>317</v>
      </c>
      <c r="J51" s="86">
        <v>0</v>
      </c>
      <c r="K51" s="86">
        <v>4.8600000000000003</v>
      </c>
      <c r="L51" s="84" t="s">
        <v>318</v>
      </c>
      <c r="M51" s="84" t="s">
        <v>340</v>
      </c>
    </row>
    <row r="52" spans="1:13" x14ac:dyDescent="0.25">
      <c r="A52" s="83">
        <v>631466</v>
      </c>
      <c r="B52" s="84" t="s">
        <v>303</v>
      </c>
      <c r="C52" s="85">
        <f t="shared" si="0"/>
        <v>45717</v>
      </c>
      <c r="D52" s="84" t="s">
        <v>323</v>
      </c>
      <c r="E52" s="84" t="s">
        <v>447</v>
      </c>
      <c r="F52" s="84" t="s">
        <v>306</v>
      </c>
      <c r="G52" s="84" t="s">
        <v>306</v>
      </c>
      <c r="H52" s="84" t="s">
        <v>448</v>
      </c>
      <c r="I52" s="84" t="s">
        <v>317</v>
      </c>
      <c r="J52" s="86">
        <v>0</v>
      </c>
      <c r="K52" s="86">
        <v>88.97</v>
      </c>
      <c r="L52" s="84" t="s">
        <v>318</v>
      </c>
      <c r="M52" s="84" t="s">
        <v>327</v>
      </c>
    </row>
    <row r="53" spans="1:13" x14ac:dyDescent="0.25">
      <c r="A53" s="83">
        <v>631466</v>
      </c>
      <c r="B53" s="84" t="s">
        <v>303</v>
      </c>
      <c r="C53" s="85">
        <f t="shared" si="0"/>
        <v>45717</v>
      </c>
      <c r="D53" s="84" t="s">
        <v>323</v>
      </c>
      <c r="E53" s="84" t="s">
        <v>449</v>
      </c>
      <c r="F53" s="84" t="s">
        <v>306</v>
      </c>
      <c r="G53" s="84" t="s">
        <v>306</v>
      </c>
      <c r="H53" s="84" t="s">
        <v>450</v>
      </c>
      <c r="I53" s="84" t="s">
        <v>317</v>
      </c>
      <c r="J53" s="86">
        <v>0</v>
      </c>
      <c r="K53" s="86">
        <v>8.3000000000000007</v>
      </c>
      <c r="L53" s="84" t="s">
        <v>318</v>
      </c>
      <c r="M53" s="84" t="s">
        <v>356</v>
      </c>
    </row>
    <row r="54" spans="1:13" x14ac:dyDescent="0.25">
      <c r="A54" s="83">
        <v>631466</v>
      </c>
      <c r="B54" s="84" t="s">
        <v>303</v>
      </c>
      <c r="C54" s="85">
        <f t="shared" si="0"/>
        <v>45717</v>
      </c>
      <c r="D54" s="84" t="s">
        <v>323</v>
      </c>
      <c r="E54" s="84" t="s">
        <v>451</v>
      </c>
      <c r="F54" s="84" t="s">
        <v>306</v>
      </c>
      <c r="G54" s="84" t="s">
        <v>306</v>
      </c>
      <c r="H54" s="84" t="s">
        <v>452</v>
      </c>
      <c r="I54" s="84" t="s">
        <v>317</v>
      </c>
      <c r="J54" s="86">
        <v>0</v>
      </c>
      <c r="K54" s="86">
        <v>19.329999999999998</v>
      </c>
      <c r="L54" s="84" t="s">
        <v>318</v>
      </c>
      <c r="M54" s="84" t="s">
        <v>352</v>
      </c>
    </row>
    <row r="55" spans="1:13" x14ac:dyDescent="0.25">
      <c r="A55" s="83">
        <v>631466</v>
      </c>
      <c r="B55" s="84" t="s">
        <v>303</v>
      </c>
      <c r="C55" s="85">
        <f t="shared" si="0"/>
        <v>45717</v>
      </c>
      <c r="D55" s="84" t="s">
        <v>323</v>
      </c>
      <c r="E55" s="84" t="s">
        <v>453</v>
      </c>
      <c r="F55" s="84" t="s">
        <v>306</v>
      </c>
      <c r="G55" s="84" t="s">
        <v>306</v>
      </c>
      <c r="H55" s="84" t="s">
        <v>454</v>
      </c>
      <c r="I55" s="84" t="s">
        <v>455</v>
      </c>
      <c r="J55" s="86">
        <v>0</v>
      </c>
      <c r="K55" s="86">
        <v>49.72</v>
      </c>
      <c r="L55" s="84" t="s">
        <v>376</v>
      </c>
      <c r="M55" s="84" t="s">
        <v>361</v>
      </c>
    </row>
    <row r="56" spans="1:13" x14ac:dyDescent="0.25">
      <c r="A56" s="83">
        <v>631466</v>
      </c>
      <c r="B56" s="84" t="s">
        <v>303</v>
      </c>
      <c r="C56" s="85">
        <f t="shared" si="0"/>
        <v>45717</v>
      </c>
      <c r="D56" s="84" t="s">
        <v>323</v>
      </c>
      <c r="E56" s="84" t="s">
        <v>456</v>
      </c>
      <c r="F56" s="84" t="s">
        <v>306</v>
      </c>
      <c r="G56" s="84" t="s">
        <v>306</v>
      </c>
      <c r="H56" s="84" t="s">
        <v>457</v>
      </c>
      <c r="I56" s="84" t="s">
        <v>455</v>
      </c>
      <c r="J56" s="86">
        <v>0</v>
      </c>
      <c r="K56" s="86">
        <v>0.03</v>
      </c>
      <c r="L56" s="84" t="s">
        <v>376</v>
      </c>
      <c r="M56" s="84" t="s">
        <v>348</v>
      </c>
    </row>
    <row r="57" spans="1:13" x14ac:dyDescent="0.25">
      <c r="A57" s="83">
        <v>631466</v>
      </c>
      <c r="B57" s="84" t="s">
        <v>303</v>
      </c>
      <c r="C57" s="85">
        <f t="shared" si="0"/>
        <v>45717</v>
      </c>
      <c r="D57" s="84" t="s">
        <v>323</v>
      </c>
      <c r="E57" s="84" t="s">
        <v>458</v>
      </c>
      <c r="F57" s="84" t="s">
        <v>306</v>
      </c>
      <c r="G57" s="84" t="s">
        <v>306</v>
      </c>
      <c r="H57" s="84" t="s">
        <v>459</v>
      </c>
      <c r="I57" s="84" t="s">
        <v>455</v>
      </c>
      <c r="J57" s="86">
        <v>0</v>
      </c>
      <c r="K57" s="86">
        <v>6.2</v>
      </c>
      <c r="L57" s="84" t="s">
        <v>376</v>
      </c>
      <c r="M57" s="84" t="s">
        <v>398</v>
      </c>
    </row>
    <row r="58" spans="1:13" x14ac:dyDescent="0.25">
      <c r="A58" s="83">
        <v>631466</v>
      </c>
      <c r="B58" s="84" t="s">
        <v>303</v>
      </c>
      <c r="C58" s="85">
        <f t="shared" si="0"/>
        <v>45717</v>
      </c>
      <c r="D58" s="84" t="s">
        <v>323</v>
      </c>
      <c r="E58" s="84" t="s">
        <v>460</v>
      </c>
      <c r="F58" s="84" t="s">
        <v>306</v>
      </c>
      <c r="G58" s="84" t="s">
        <v>306</v>
      </c>
      <c r="H58" s="84" t="s">
        <v>461</v>
      </c>
      <c r="I58" s="84" t="s">
        <v>455</v>
      </c>
      <c r="J58" s="86">
        <v>0</v>
      </c>
      <c r="K58" s="86">
        <v>2.0099999999999998</v>
      </c>
      <c r="L58" s="84" t="s">
        <v>376</v>
      </c>
      <c r="M58" s="84" t="s">
        <v>340</v>
      </c>
    </row>
    <row r="59" spans="1:13" x14ac:dyDescent="0.25">
      <c r="A59" s="83">
        <v>631466</v>
      </c>
      <c r="B59" s="84" t="s">
        <v>303</v>
      </c>
      <c r="C59" s="85">
        <f t="shared" si="0"/>
        <v>45717</v>
      </c>
      <c r="D59" s="84" t="s">
        <v>323</v>
      </c>
      <c r="E59" s="84" t="s">
        <v>462</v>
      </c>
      <c r="F59" s="84" t="s">
        <v>306</v>
      </c>
      <c r="G59" s="84" t="s">
        <v>306</v>
      </c>
      <c r="H59" s="84" t="s">
        <v>463</v>
      </c>
      <c r="I59" s="84" t="s">
        <v>455</v>
      </c>
      <c r="J59" s="86">
        <v>0</v>
      </c>
      <c r="K59" s="86">
        <v>5.92</v>
      </c>
      <c r="L59" s="84" t="s">
        <v>376</v>
      </c>
      <c r="M59" s="84" t="s">
        <v>327</v>
      </c>
    </row>
    <row r="60" spans="1:13" x14ac:dyDescent="0.25">
      <c r="A60" s="83">
        <v>631466</v>
      </c>
      <c r="B60" s="84" t="s">
        <v>303</v>
      </c>
      <c r="C60" s="85">
        <f t="shared" si="0"/>
        <v>45717</v>
      </c>
      <c r="D60" s="84" t="s">
        <v>323</v>
      </c>
      <c r="E60" s="84" t="s">
        <v>464</v>
      </c>
      <c r="F60" s="84" t="s">
        <v>306</v>
      </c>
      <c r="G60" s="84" t="s">
        <v>306</v>
      </c>
      <c r="H60" s="84" t="s">
        <v>465</v>
      </c>
      <c r="I60" s="84" t="s">
        <v>455</v>
      </c>
      <c r="J60" s="86">
        <v>0</v>
      </c>
      <c r="K60" s="86">
        <v>3.43</v>
      </c>
      <c r="L60" s="84" t="s">
        <v>376</v>
      </c>
      <c r="M60" s="84" t="s">
        <v>356</v>
      </c>
    </row>
    <row r="61" spans="1:13" x14ac:dyDescent="0.25">
      <c r="A61" s="83">
        <v>631466</v>
      </c>
      <c r="B61" s="84" t="s">
        <v>303</v>
      </c>
      <c r="C61" s="85">
        <f t="shared" si="0"/>
        <v>45717</v>
      </c>
      <c r="D61" s="84" t="s">
        <v>323</v>
      </c>
      <c r="E61" s="84" t="s">
        <v>466</v>
      </c>
      <c r="F61" s="84" t="s">
        <v>306</v>
      </c>
      <c r="G61" s="84" t="s">
        <v>306</v>
      </c>
      <c r="H61" s="84" t="s">
        <v>467</v>
      </c>
      <c r="I61" s="84" t="s">
        <v>455</v>
      </c>
      <c r="J61" s="86">
        <v>0</v>
      </c>
      <c r="K61" s="86">
        <v>1.92</v>
      </c>
      <c r="L61" s="84" t="s">
        <v>376</v>
      </c>
      <c r="M61" s="84" t="s">
        <v>352</v>
      </c>
    </row>
    <row r="62" spans="1:13" x14ac:dyDescent="0.25">
      <c r="A62" s="83">
        <v>631466</v>
      </c>
      <c r="B62" s="84" t="s">
        <v>303</v>
      </c>
      <c r="C62" s="85">
        <f t="shared" si="0"/>
        <v>45717</v>
      </c>
      <c r="D62" s="84" t="s">
        <v>323</v>
      </c>
      <c r="E62" s="84" t="s">
        <v>468</v>
      </c>
      <c r="F62" s="84" t="s">
        <v>306</v>
      </c>
      <c r="G62" s="84" t="s">
        <v>306</v>
      </c>
      <c r="H62" s="84" t="s">
        <v>469</v>
      </c>
      <c r="I62" s="84" t="s">
        <v>470</v>
      </c>
      <c r="J62" s="86">
        <v>0</v>
      </c>
      <c r="K62" s="86">
        <v>72.02</v>
      </c>
      <c r="L62" s="84" t="s">
        <v>380</v>
      </c>
      <c r="M62" s="84" t="s">
        <v>361</v>
      </c>
    </row>
    <row r="63" spans="1:13" x14ac:dyDescent="0.25">
      <c r="A63" s="83">
        <v>631466</v>
      </c>
      <c r="B63" s="84" t="s">
        <v>303</v>
      </c>
      <c r="C63" s="85">
        <f t="shared" si="0"/>
        <v>45717</v>
      </c>
      <c r="D63" s="84" t="s">
        <v>323</v>
      </c>
      <c r="E63" s="84" t="s">
        <v>471</v>
      </c>
      <c r="F63" s="84" t="s">
        <v>306</v>
      </c>
      <c r="G63" s="84" t="s">
        <v>306</v>
      </c>
      <c r="H63" s="84" t="s">
        <v>472</v>
      </c>
      <c r="I63" s="84" t="s">
        <v>470</v>
      </c>
      <c r="J63" s="86">
        <v>0</v>
      </c>
      <c r="K63" s="86">
        <v>15</v>
      </c>
      <c r="L63" s="84" t="s">
        <v>380</v>
      </c>
      <c r="M63" s="84" t="s">
        <v>348</v>
      </c>
    </row>
    <row r="64" spans="1:13" x14ac:dyDescent="0.25">
      <c r="A64" s="83">
        <v>631466</v>
      </c>
      <c r="B64" s="84" t="s">
        <v>303</v>
      </c>
      <c r="C64" s="85">
        <f t="shared" si="0"/>
        <v>45717</v>
      </c>
      <c r="D64" s="84" t="s">
        <v>323</v>
      </c>
      <c r="E64" s="84" t="s">
        <v>473</v>
      </c>
      <c r="F64" s="84" t="s">
        <v>306</v>
      </c>
      <c r="G64" s="84" t="s">
        <v>306</v>
      </c>
      <c r="H64" s="84" t="s">
        <v>474</v>
      </c>
      <c r="I64" s="84" t="s">
        <v>470</v>
      </c>
      <c r="J64" s="86">
        <v>0</v>
      </c>
      <c r="K64" s="86">
        <v>19.010000000000002</v>
      </c>
      <c r="L64" s="84" t="s">
        <v>380</v>
      </c>
      <c r="M64" s="84" t="s">
        <v>398</v>
      </c>
    </row>
    <row r="65" spans="1:13" x14ac:dyDescent="0.25">
      <c r="A65" s="83">
        <v>631466</v>
      </c>
      <c r="B65" s="84" t="s">
        <v>303</v>
      </c>
      <c r="C65" s="85">
        <f t="shared" si="0"/>
        <v>45717</v>
      </c>
      <c r="D65" s="84" t="s">
        <v>323</v>
      </c>
      <c r="E65" s="84" t="s">
        <v>475</v>
      </c>
      <c r="F65" s="84" t="s">
        <v>306</v>
      </c>
      <c r="G65" s="84" t="s">
        <v>306</v>
      </c>
      <c r="H65" s="84" t="s">
        <v>476</v>
      </c>
      <c r="I65" s="84" t="s">
        <v>470</v>
      </c>
      <c r="J65" s="86">
        <v>0</v>
      </c>
      <c r="K65" s="86">
        <v>2.34</v>
      </c>
      <c r="L65" s="84" t="s">
        <v>380</v>
      </c>
      <c r="M65" s="84" t="s">
        <v>340</v>
      </c>
    </row>
    <row r="66" spans="1:13" x14ac:dyDescent="0.25">
      <c r="A66" s="83">
        <v>631466</v>
      </c>
      <c r="B66" s="84" t="s">
        <v>303</v>
      </c>
      <c r="C66" s="85">
        <f t="shared" ref="C66:C97" si="1">DATE(2025,3,1)</f>
        <v>45717</v>
      </c>
      <c r="D66" s="84" t="s">
        <v>323</v>
      </c>
      <c r="E66" s="84" t="s">
        <v>477</v>
      </c>
      <c r="F66" s="84" t="s">
        <v>306</v>
      </c>
      <c r="G66" s="84" t="s">
        <v>306</v>
      </c>
      <c r="H66" s="84" t="s">
        <v>478</v>
      </c>
      <c r="I66" s="84" t="s">
        <v>470</v>
      </c>
      <c r="J66" s="86">
        <v>0</v>
      </c>
      <c r="K66" s="86">
        <v>6.91</v>
      </c>
      <c r="L66" s="84" t="s">
        <v>380</v>
      </c>
      <c r="M66" s="84" t="s">
        <v>327</v>
      </c>
    </row>
    <row r="67" spans="1:13" x14ac:dyDescent="0.25">
      <c r="A67" s="83">
        <v>631466</v>
      </c>
      <c r="B67" s="84" t="s">
        <v>303</v>
      </c>
      <c r="C67" s="85">
        <f t="shared" si="1"/>
        <v>45717</v>
      </c>
      <c r="D67" s="84" t="s">
        <v>323</v>
      </c>
      <c r="E67" s="84" t="s">
        <v>479</v>
      </c>
      <c r="F67" s="84" t="s">
        <v>306</v>
      </c>
      <c r="G67" s="84" t="s">
        <v>306</v>
      </c>
      <c r="H67" s="84" t="s">
        <v>480</v>
      </c>
      <c r="I67" s="84" t="s">
        <v>470</v>
      </c>
      <c r="J67" s="86">
        <v>0</v>
      </c>
      <c r="K67" s="86">
        <v>4</v>
      </c>
      <c r="L67" s="84" t="s">
        <v>380</v>
      </c>
      <c r="M67" s="84" t="s">
        <v>356</v>
      </c>
    </row>
    <row r="68" spans="1:13" x14ac:dyDescent="0.25">
      <c r="A68" s="83">
        <v>631466</v>
      </c>
      <c r="B68" s="84" t="s">
        <v>303</v>
      </c>
      <c r="C68" s="85">
        <f t="shared" si="1"/>
        <v>45717</v>
      </c>
      <c r="D68" s="84" t="s">
        <v>323</v>
      </c>
      <c r="E68" s="84" t="s">
        <v>481</v>
      </c>
      <c r="F68" s="84" t="s">
        <v>306</v>
      </c>
      <c r="G68" s="84" t="s">
        <v>306</v>
      </c>
      <c r="H68" s="84" t="s">
        <v>482</v>
      </c>
      <c r="I68" s="84" t="s">
        <v>470</v>
      </c>
      <c r="J68" s="86">
        <v>0</v>
      </c>
      <c r="K68" s="86">
        <v>3.5</v>
      </c>
      <c r="L68" s="84" t="s">
        <v>380</v>
      </c>
      <c r="M68" s="84" t="s">
        <v>352</v>
      </c>
    </row>
    <row r="69" spans="1:13" x14ac:dyDescent="0.25">
      <c r="A69" s="83">
        <v>631466</v>
      </c>
      <c r="B69" s="84" t="s">
        <v>303</v>
      </c>
      <c r="C69" s="85">
        <f t="shared" si="1"/>
        <v>45717</v>
      </c>
      <c r="D69" s="84" t="s">
        <v>323</v>
      </c>
      <c r="E69" s="84" t="s">
        <v>483</v>
      </c>
      <c r="F69" s="84" t="s">
        <v>306</v>
      </c>
      <c r="G69" s="84" t="s">
        <v>306</v>
      </c>
      <c r="H69" s="84" t="s">
        <v>484</v>
      </c>
      <c r="I69" s="84" t="s">
        <v>313</v>
      </c>
      <c r="J69" s="86">
        <v>0</v>
      </c>
      <c r="K69" s="86">
        <v>499.87</v>
      </c>
      <c r="L69" s="84" t="s">
        <v>314</v>
      </c>
      <c r="M69" s="84" t="s">
        <v>336</v>
      </c>
    </row>
    <row r="70" spans="1:13" x14ac:dyDescent="0.25">
      <c r="A70" s="83">
        <v>631466</v>
      </c>
      <c r="B70" s="84" t="s">
        <v>303</v>
      </c>
      <c r="C70" s="85">
        <f t="shared" si="1"/>
        <v>45717</v>
      </c>
      <c r="D70" s="84" t="s">
        <v>323</v>
      </c>
      <c r="E70" s="84" t="s">
        <v>485</v>
      </c>
      <c r="F70" s="84" t="s">
        <v>306</v>
      </c>
      <c r="G70" s="84" t="s">
        <v>306</v>
      </c>
      <c r="H70" s="84" t="s">
        <v>486</v>
      </c>
      <c r="I70" s="84" t="s">
        <v>313</v>
      </c>
      <c r="J70" s="86">
        <v>0</v>
      </c>
      <c r="K70" s="86">
        <v>336.62</v>
      </c>
      <c r="L70" s="84" t="s">
        <v>314</v>
      </c>
      <c r="M70" s="84" t="s">
        <v>394</v>
      </c>
    </row>
    <row r="71" spans="1:13" x14ac:dyDescent="0.25">
      <c r="A71" s="83">
        <v>631466</v>
      </c>
      <c r="B71" s="84" t="s">
        <v>303</v>
      </c>
      <c r="C71" s="85">
        <f t="shared" si="1"/>
        <v>45717</v>
      </c>
      <c r="D71" s="84" t="s">
        <v>323</v>
      </c>
      <c r="E71" s="84" t="s">
        <v>487</v>
      </c>
      <c r="F71" s="84" t="s">
        <v>306</v>
      </c>
      <c r="G71" s="84" t="s">
        <v>306</v>
      </c>
      <c r="H71" s="84" t="s">
        <v>488</v>
      </c>
      <c r="I71" s="84" t="s">
        <v>313</v>
      </c>
      <c r="J71" s="86">
        <v>0</v>
      </c>
      <c r="K71" s="86">
        <v>96.75</v>
      </c>
      <c r="L71" s="84" t="s">
        <v>314</v>
      </c>
      <c r="M71" s="84" t="s">
        <v>401</v>
      </c>
    </row>
    <row r="72" spans="1:13" x14ac:dyDescent="0.25">
      <c r="A72" s="83">
        <v>631466</v>
      </c>
      <c r="B72" s="84" t="s">
        <v>303</v>
      </c>
      <c r="C72" s="85">
        <f t="shared" si="1"/>
        <v>45717</v>
      </c>
      <c r="D72" s="84" t="s">
        <v>323</v>
      </c>
      <c r="E72" s="84" t="s">
        <v>489</v>
      </c>
      <c r="F72" s="84" t="s">
        <v>306</v>
      </c>
      <c r="G72" s="84" t="s">
        <v>306</v>
      </c>
      <c r="H72" s="84" t="s">
        <v>490</v>
      </c>
      <c r="I72" s="84" t="s">
        <v>317</v>
      </c>
      <c r="J72" s="86">
        <v>0</v>
      </c>
      <c r="K72" s="86">
        <v>116.92</v>
      </c>
      <c r="L72" s="84" t="s">
        <v>318</v>
      </c>
      <c r="M72" s="84" t="s">
        <v>336</v>
      </c>
    </row>
    <row r="73" spans="1:13" x14ac:dyDescent="0.25">
      <c r="A73" s="83">
        <v>631466</v>
      </c>
      <c r="B73" s="84" t="s">
        <v>303</v>
      </c>
      <c r="C73" s="85">
        <f t="shared" si="1"/>
        <v>45717</v>
      </c>
      <c r="D73" s="84" t="s">
        <v>323</v>
      </c>
      <c r="E73" s="84" t="s">
        <v>491</v>
      </c>
      <c r="F73" s="84" t="s">
        <v>306</v>
      </c>
      <c r="G73" s="84" t="s">
        <v>306</v>
      </c>
      <c r="H73" s="84" t="s">
        <v>492</v>
      </c>
      <c r="I73" s="84" t="s">
        <v>317</v>
      </c>
      <c r="J73" s="86">
        <v>0</v>
      </c>
      <c r="K73" s="86">
        <v>78.72</v>
      </c>
      <c r="L73" s="84" t="s">
        <v>318</v>
      </c>
      <c r="M73" s="84" t="s">
        <v>394</v>
      </c>
    </row>
    <row r="74" spans="1:13" x14ac:dyDescent="0.25">
      <c r="A74" s="83">
        <v>631466</v>
      </c>
      <c r="B74" s="84" t="s">
        <v>303</v>
      </c>
      <c r="C74" s="85">
        <f t="shared" si="1"/>
        <v>45717</v>
      </c>
      <c r="D74" s="84" t="s">
        <v>323</v>
      </c>
      <c r="E74" s="84" t="s">
        <v>493</v>
      </c>
      <c r="F74" s="84" t="s">
        <v>306</v>
      </c>
      <c r="G74" s="84" t="s">
        <v>306</v>
      </c>
      <c r="H74" s="84" t="s">
        <v>494</v>
      </c>
      <c r="I74" s="84" t="s">
        <v>317</v>
      </c>
      <c r="J74" s="86">
        <v>0</v>
      </c>
      <c r="K74" s="86">
        <v>22.63</v>
      </c>
      <c r="L74" s="84" t="s">
        <v>318</v>
      </c>
      <c r="M74" s="84" t="s">
        <v>401</v>
      </c>
    </row>
    <row r="75" spans="1:13" x14ac:dyDescent="0.25">
      <c r="A75" s="83">
        <v>631466</v>
      </c>
      <c r="B75" s="84" t="s">
        <v>303</v>
      </c>
      <c r="C75" s="85">
        <f t="shared" si="1"/>
        <v>45717</v>
      </c>
      <c r="D75" s="84" t="s">
        <v>323</v>
      </c>
      <c r="E75" s="84" t="s">
        <v>464</v>
      </c>
      <c r="F75" s="84" t="s">
        <v>306</v>
      </c>
      <c r="G75" s="84" t="s">
        <v>306</v>
      </c>
      <c r="H75" s="84" t="s">
        <v>495</v>
      </c>
      <c r="I75" s="84" t="s">
        <v>455</v>
      </c>
      <c r="J75" s="86">
        <v>0</v>
      </c>
      <c r="K75" s="86">
        <v>5.21</v>
      </c>
      <c r="L75" s="84" t="s">
        <v>376</v>
      </c>
      <c r="M75" s="84" t="s">
        <v>394</v>
      </c>
    </row>
    <row r="76" spans="1:13" x14ac:dyDescent="0.25">
      <c r="A76" s="83">
        <v>631466</v>
      </c>
      <c r="B76" s="84" t="s">
        <v>303</v>
      </c>
      <c r="C76" s="85">
        <f t="shared" si="1"/>
        <v>45717</v>
      </c>
      <c r="D76" s="84" t="s">
        <v>323</v>
      </c>
      <c r="E76" s="84" t="s">
        <v>496</v>
      </c>
      <c r="F76" s="84" t="s">
        <v>306</v>
      </c>
      <c r="G76" s="84" t="s">
        <v>306</v>
      </c>
      <c r="H76" s="84" t="s">
        <v>497</v>
      </c>
      <c r="I76" s="84" t="s">
        <v>470</v>
      </c>
      <c r="J76" s="86">
        <v>0</v>
      </c>
      <c r="K76" s="86">
        <v>14.6</v>
      </c>
      <c r="L76" s="84" t="s">
        <v>380</v>
      </c>
      <c r="M76" s="84" t="s">
        <v>336</v>
      </c>
    </row>
    <row r="77" spans="1:13" x14ac:dyDescent="0.25">
      <c r="A77" s="83">
        <v>631466</v>
      </c>
      <c r="B77" s="84" t="s">
        <v>303</v>
      </c>
      <c r="C77" s="85">
        <f t="shared" si="1"/>
        <v>45717</v>
      </c>
      <c r="D77" s="84" t="s">
        <v>323</v>
      </c>
      <c r="E77" s="84" t="s">
        <v>479</v>
      </c>
      <c r="F77" s="84" t="s">
        <v>306</v>
      </c>
      <c r="G77" s="84" t="s">
        <v>306</v>
      </c>
      <c r="H77" s="84" t="s">
        <v>498</v>
      </c>
      <c r="I77" s="84" t="s">
        <v>470</v>
      </c>
      <c r="J77" s="86">
        <v>0</v>
      </c>
      <c r="K77" s="86">
        <v>9.36</v>
      </c>
      <c r="L77" s="84" t="s">
        <v>380</v>
      </c>
      <c r="M77" s="84" t="s">
        <v>394</v>
      </c>
    </row>
    <row r="78" spans="1:13" x14ac:dyDescent="0.25">
      <c r="A78" s="83">
        <v>631466</v>
      </c>
      <c r="B78" s="84" t="s">
        <v>303</v>
      </c>
      <c r="C78" s="85">
        <f t="shared" si="1"/>
        <v>45717</v>
      </c>
      <c r="D78" s="84" t="s">
        <v>323</v>
      </c>
      <c r="E78" s="84" t="s">
        <v>499</v>
      </c>
      <c r="F78" s="84" t="s">
        <v>306</v>
      </c>
      <c r="G78" s="84" t="s">
        <v>306</v>
      </c>
      <c r="H78" s="84" t="s">
        <v>500</v>
      </c>
      <c r="I78" s="84" t="s">
        <v>455</v>
      </c>
      <c r="J78" s="86">
        <v>0</v>
      </c>
      <c r="K78" s="86">
        <v>3.93</v>
      </c>
      <c r="L78" s="84" t="s">
        <v>376</v>
      </c>
      <c r="M78" s="84" t="s">
        <v>401</v>
      </c>
    </row>
    <row r="79" spans="1:13" x14ac:dyDescent="0.25">
      <c r="A79" s="83">
        <v>631466</v>
      </c>
      <c r="B79" s="84" t="s">
        <v>303</v>
      </c>
      <c r="C79" s="85">
        <f t="shared" si="1"/>
        <v>45717</v>
      </c>
      <c r="D79" s="84" t="s">
        <v>323</v>
      </c>
      <c r="E79" s="84" t="s">
        <v>501</v>
      </c>
      <c r="F79" s="84" t="s">
        <v>306</v>
      </c>
      <c r="G79" s="84" t="s">
        <v>306</v>
      </c>
      <c r="H79" s="84" t="s">
        <v>502</v>
      </c>
      <c r="I79" s="84" t="s">
        <v>470</v>
      </c>
      <c r="J79" s="86">
        <v>0</v>
      </c>
      <c r="K79" s="86">
        <v>6.13</v>
      </c>
      <c r="L79" s="84" t="s">
        <v>380</v>
      </c>
      <c r="M79" s="84" t="s">
        <v>401</v>
      </c>
    </row>
    <row r="80" spans="1:13" x14ac:dyDescent="0.25">
      <c r="A80" s="83">
        <v>631466</v>
      </c>
      <c r="B80" s="84" t="s">
        <v>303</v>
      </c>
      <c r="C80" s="85">
        <f t="shared" si="1"/>
        <v>45717</v>
      </c>
      <c r="D80" s="84" t="s">
        <v>323</v>
      </c>
      <c r="E80" s="84" t="s">
        <v>503</v>
      </c>
      <c r="F80" s="84" t="s">
        <v>306</v>
      </c>
      <c r="G80" s="84" t="s">
        <v>306</v>
      </c>
      <c r="H80" s="84" t="s">
        <v>504</v>
      </c>
      <c r="I80" s="84" t="s">
        <v>313</v>
      </c>
      <c r="J80" s="86">
        <v>0</v>
      </c>
      <c r="K80" s="86">
        <v>63.87</v>
      </c>
      <c r="L80" s="84" t="s">
        <v>314</v>
      </c>
      <c r="M80" s="84" t="s">
        <v>386</v>
      </c>
    </row>
    <row r="81" spans="1:13" x14ac:dyDescent="0.25">
      <c r="A81" s="83">
        <v>631466</v>
      </c>
      <c r="B81" s="84" t="s">
        <v>303</v>
      </c>
      <c r="C81" s="85">
        <f t="shared" si="1"/>
        <v>45717</v>
      </c>
      <c r="D81" s="84" t="s">
        <v>323</v>
      </c>
      <c r="E81" s="84" t="s">
        <v>505</v>
      </c>
      <c r="F81" s="84" t="s">
        <v>306</v>
      </c>
      <c r="G81" s="84" t="s">
        <v>306</v>
      </c>
      <c r="H81" s="84" t="s">
        <v>506</v>
      </c>
      <c r="I81" s="84" t="s">
        <v>313</v>
      </c>
      <c r="J81" s="86">
        <v>0</v>
      </c>
      <c r="K81" s="86">
        <v>71.510000000000005</v>
      </c>
      <c r="L81" s="84" t="s">
        <v>314</v>
      </c>
      <c r="M81" s="84" t="s">
        <v>372</v>
      </c>
    </row>
    <row r="82" spans="1:13" x14ac:dyDescent="0.25">
      <c r="A82" s="83">
        <v>631466</v>
      </c>
      <c r="B82" s="84" t="s">
        <v>303</v>
      </c>
      <c r="C82" s="85">
        <f t="shared" si="1"/>
        <v>45717</v>
      </c>
      <c r="D82" s="84" t="s">
        <v>323</v>
      </c>
      <c r="E82" s="84" t="s">
        <v>507</v>
      </c>
      <c r="F82" s="84" t="s">
        <v>306</v>
      </c>
      <c r="G82" s="84" t="s">
        <v>306</v>
      </c>
      <c r="H82" s="84" t="s">
        <v>508</v>
      </c>
      <c r="I82" s="84" t="s">
        <v>317</v>
      </c>
      <c r="J82" s="86">
        <v>0</v>
      </c>
      <c r="K82" s="86">
        <v>14.94</v>
      </c>
      <c r="L82" s="84" t="s">
        <v>318</v>
      </c>
      <c r="M82" s="84" t="s">
        <v>386</v>
      </c>
    </row>
    <row r="83" spans="1:13" x14ac:dyDescent="0.25">
      <c r="A83" s="83">
        <v>631466</v>
      </c>
      <c r="B83" s="84" t="s">
        <v>303</v>
      </c>
      <c r="C83" s="85">
        <f t="shared" si="1"/>
        <v>45717</v>
      </c>
      <c r="D83" s="84" t="s">
        <v>323</v>
      </c>
      <c r="E83" s="84" t="s">
        <v>509</v>
      </c>
      <c r="F83" s="84" t="s">
        <v>306</v>
      </c>
      <c r="G83" s="84" t="s">
        <v>306</v>
      </c>
      <c r="H83" s="84" t="s">
        <v>510</v>
      </c>
      <c r="I83" s="84" t="s">
        <v>317</v>
      </c>
      <c r="J83" s="86">
        <v>0</v>
      </c>
      <c r="K83" s="86">
        <v>16.73</v>
      </c>
      <c r="L83" s="84" t="s">
        <v>318</v>
      </c>
      <c r="M83" s="84" t="s">
        <v>372</v>
      </c>
    </row>
    <row r="84" spans="1:13" x14ac:dyDescent="0.25">
      <c r="A84" s="83">
        <v>631466</v>
      </c>
      <c r="B84" s="84" t="s">
        <v>303</v>
      </c>
      <c r="C84" s="85">
        <f t="shared" si="1"/>
        <v>45717</v>
      </c>
      <c r="D84" s="84" t="s">
        <v>323</v>
      </c>
      <c r="E84" s="84" t="s">
        <v>511</v>
      </c>
      <c r="F84" s="84" t="s">
        <v>306</v>
      </c>
      <c r="G84" s="84" t="s">
        <v>306</v>
      </c>
      <c r="H84" s="84" t="s">
        <v>512</v>
      </c>
      <c r="I84" s="84" t="s">
        <v>513</v>
      </c>
      <c r="J84" s="86">
        <v>0</v>
      </c>
      <c r="K84" s="86">
        <v>3.67</v>
      </c>
      <c r="L84" s="84" t="s">
        <v>376</v>
      </c>
      <c r="M84" s="84" t="s">
        <v>336</v>
      </c>
    </row>
    <row r="85" spans="1:13" x14ac:dyDescent="0.25">
      <c r="A85" s="83">
        <v>631753</v>
      </c>
      <c r="B85" s="84" t="s">
        <v>303</v>
      </c>
      <c r="C85" s="85">
        <f t="shared" si="1"/>
        <v>45717</v>
      </c>
      <c r="D85" s="84" t="s">
        <v>514</v>
      </c>
      <c r="E85" s="84" t="s">
        <v>515</v>
      </c>
      <c r="F85" s="84" t="s">
        <v>306</v>
      </c>
      <c r="G85" s="84" t="s">
        <v>306</v>
      </c>
      <c r="H85" s="84" t="s">
        <v>516</v>
      </c>
      <c r="I85" s="84" t="s">
        <v>517</v>
      </c>
      <c r="J85" s="86">
        <v>0</v>
      </c>
      <c r="K85" s="86">
        <v>495.05</v>
      </c>
      <c r="L85" s="84" t="s">
        <v>518</v>
      </c>
      <c r="M85" s="84" t="s">
        <v>327</v>
      </c>
    </row>
    <row r="86" spans="1:13" x14ac:dyDescent="0.25">
      <c r="A86" s="83">
        <v>632831</v>
      </c>
      <c r="B86" s="84" t="s">
        <v>303</v>
      </c>
      <c r="C86" s="85">
        <f t="shared" si="1"/>
        <v>45717</v>
      </c>
      <c r="D86" s="84" t="s">
        <v>519</v>
      </c>
      <c r="E86" s="84" t="s">
        <v>520</v>
      </c>
      <c r="F86" s="84" t="s">
        <v>306</v>
      </c>
      <c r="G86" s="84" t="s">
        <v>306</v>
      </c>
      <c r="H86" s="84" t="s">
        <v>521</v>
      </c>
      <c r="I86" s="84" t="s">
        <v>522</v>
      </c>
      <c r="J86" s="86">
        <v>0</v>
      </c>
      <c r="K86" s="86">
        <v>580.27</v>
      </c>
      <c r="L86" s="84" t="s">
        <v>523</v>
      </c>
      <c r="M86" s="84" t="s">
        <v>344</v>
      </c>
    </row>
    <row r="87" spans="1:13" x14ac:dyDescent="0.25">
      <c r="A87" s="83">
        <v>633529</v>
      </c>
      <c r="B87" s="84" t="s">
        <v>303</v>
      </c>
      <c r="C87" s="85">
        <f t="shared" si="1"/>
        <v>45717</v>
      </c>
      <c r="D87" s="84" t="s">
        <v>524</v>
      </c>
      <c r="E87" s="84" t="s">
        <v>525</v>
      </c>
      <c r="F87" s="84" t="s">
        <v>306</v>
      </c>
      <c r="G87" s="84" t="s">
        <v>306</v>
      </c>
      <c r="H87" s="84" t="s">
        <v>526</v>
      </c>
      <c r="I87" s="84" t="s">
        <v>527</v>
      </c>
      <c r="J87" s="86">
        <v>115.47</v>
      </c>
      <c r="K87" s="86">
        <v>0</v>
      </c>
      <c r="L87" s="84" t="s">
        <v>528</v>
      </c>
      <c r="M87" s="84" t="s">
        <v>310</v>
      </c>
    </row>
    <row r="88" spans="1:13" x14ac:dyDescent="0.25">
      <c r="A88" s="83">
        <v>633529</v>
      </c>
      <c r="B88" s="84" t="s">
        <v>303</v>
      </c>
      <c r="C88" s="85">
        <f t="shared" si="1"/>
        <v>45717</v>
      </c>
      <c r="D88" s="84" t="s">
        <v>524</v>
      </c>
      <c r="E88" s="84" t="s">
        <v>525</v>
      </c>
      <c r="F88" s="84" t="s">
        <v>306</v>
      </c>
      <c r="G88" s="84" t="s">
        <v>306</v>
      </c>
      <c r="H88" s="84" t="s">
        <v>526</v>
      </c>
      <c r="I88" s="84" t="s">
        <v>527</v>
      </c>
      <c r="J88" s="86">
        <v>1935.71</v>
      </c>
      <c r="K88" s="86">
        <v>0</v>
      </c>
      <c r="L88" s="84" t="s">
        <v>528</v>
      </c>
      <c r="M88" s="84" t="s">
        <v>310</v>
      </c>
    </row>
    <row r="89" spans="1:13" x14ac:dyDescent="0.25">
      <c r="A89" s="83">
        <v>634025</v>
      </c>
      <c r="B89" s="84" t="s">
        <v>303</v>
      </c>
      <c r="C89" s="85">
        <f t="shared" si="1"/>
        <v>45717</v>
      </c>
      <c r="D89" s="84" t="s">
        <v>529</v>
      </c>
      <c r="E89" s="84" t="s">
        <v>237</v>
      </c>
      <c r="F89" s="84" t="s">
        <v>306</v>
      </c>
      <c r="G89" s="84" t="s">
        <v>306</v>
      </c>
      <c r="H89" s="84" t="s">
        <v>530</v>
      </c>
      <c r="I89" s="84" t="s">
        <v>237</v>
      </c>
      <c r="J89" s="86">
        <v>0</v>
      </c>
      <c r="K89" s="86">
        <v>37000</v>
      </c>
      <c r="L89" s="84" t="s">
        <v>236</v>
      </c>
      <c r="M89" s="84" t="s">
        <v>531</v>
      </c>
    </row>
    <row r="90" spans="1:13" x14ac:dyDescent="0.25">
      <c r="A90" s="83">
        <v>634025</v>
      </c>
      <c r="B90" s="84" t="s">
        <v>303</v>
      </c>
      <c r="C90" s="85">
        <f t="shared" si="1"/>
        <v>45717</v>
      </c>
      <c r="D90" s="84" t="s">
        <v>529</v>
      </c>
      <c r="E90" s="84" t="s">
        <v>241</v>
      </c>
      <c r="F90" s="84" t="s">
        <v>306</v>
      </c>
      <c r="G90" s="84" t="s">
        <v>306</v>
      </c>
      <c r="H90" s="84" t="s">
        <v>532</v>
      </c>
      <c r="I90" s="84" t="s">
        <v>241</v>
      </c>
      <c r="J90" s="86">
        <v>0</v>
      </c>
      <c r="K90" s="86">
        <v>2417.5300000000002</v>
      </c>
      <c r="L90" s="84" t="s">
        <v>240</v>
      </c>
      <c r="M90" s="84" t="s">
        <v>533</v>
      </c>
    </row>
    <row r="91" spans="1:13" x14ac:dyDescent="0.25">
      <c r="A91" s="83">
        <v>634025</v>
      </c>
      <c r="B91" s="84" t="s">
        <v>303</v>
      </c>
      <c r="C91" s="85">
        <f t="shared" si="1"/>
        <v>45717</v>
      </c>
      <c r="D91" s="84" t="s">
        <v>529</v>
      </c>
      <c r="E91" s="84" t="s">
        <v>534</v>
      </c>
      <c r="F91" s="84" t="s">
        <v>306</v>
      </c>
      <c r="G91" s="84" t="s">
        <v>306</v>
      </c>
      <c r="H91" s="84" t="s">
        <v>535</v>
      </c>
      <c r="I91" s="84" t="s">
        <v>534</v>
      </c>
      <c r="J91" s="86">
        <v>0</v>
      </c>
      <c r="K91" s="86">
        <v>3000</v>
      </c>
      <c r="L91" s="84" t="s">
        <v>536</v>
      </c>
      <c r="M91" s="84" t="s">
        <v>531</v>
      </c>
    </row>
    <row r="92" spans="1:13" x14ac:dyDescent="0.25">
      <c r="A92" s="83">
        <v>634025</v>
      </c>
      <c r="B92" s="84" t="s">
        <v>303</v>
      </c>
      <c r="C92" s="85">
        <f t="shared" si="1"/>
        <v>45717</v>
      </c>
      <c r="D92" s="84" t="s">
        <v>529</v>
      </c>
      <c r="E92" s="84" t="s">
        <v>537</v>
      </c>
      <c r="F92" s="84" t="s">
        <v>306</v>
      </c>
      <c r="G92" s="84" t="s">
        <v>306</v>
      </c>
      <c r="H92" s="84" t="s">
        <v>538</v>
      </c>
      <c r="I92" s="84" t="s">
        <v>537</v>
      </c>
      <c r="J92" s="86">
        <v>0</v>
      </c>
      <c r="K92" s="86">
        <v>3000</v>
      </c>
      <c r="L92" s="84" t="s">
        <v>539</v>
      </c>
      <c r="M92" s="84" t="s">
        <v>352</v>
      </c>
    </row>
    <row r="93" spans="1:13" x14ac:dyDescent="0.25">
      <c r="A93" s="83">
        <v>634025</v>
      </c>
      <c r="B93" s="84" t="s">
        <v>303</v>
      </c>
      <c r="C93" s="85">
        <f t="shared" si="1"/>
        <v>45717</v>
      </c>
      <c r="D93" s="84" t="s">
        <v>529</v>
      </c>
      <c r="E93" s="84" t="s">
        <v>540</v>
      </c>
      <c r="F93" s="84" t="s">
        <v>306</v>
      </c>
      <c r="G93" s="84" t="s">
        <v>306</v>
      </c>
      <c r="H93" s="84" t="s">
        <v>541</v>
      </c>
      <c r="I93" s="84" t="s">
        <v>540</v>
      </c>
      <c r="J93" s="86">
        <v>0</v>
      </c>
      <c r="K93" s="86">
        <v>8157.4</v>
      </c>
      <c r="L93" s="84" t="s">
        <v>542</v>
      </c>
      <c r="M93" s="84" t="s">
        <v>310</v>
      </c>
    </row>
    <row r="94" spans="1:13" x14ac:dyDescent="0.25">
      <c r="A94" s="83">
        <v>634025</v>
      </c>
      <c r="B94" s="84" t="s">
        <v>303</v>
      </c>
      <c r="C94" s="85">
        <f t="shared" si="1"/>
        <v>45717</v>
      </c>
      <c r="D94" s="84" t="s">
        <v>529</v>
      </c>
      <c r="E94" s="84" t="s">
        <v>543</v>
      </c>
      <c r="F94" s="84" t="s">
        <v>306</v>
      </c>
      <c r="G94" s="84" t="s">
        <v>306</v>
      </c>
      <c r="H94" s="84" t="s">
        <v>544</v>
      </c>
      <c r="I94" s="84" t="s">
        <v>545</v>
      </c>
      <c r="J94" s="86">
        <v>0</v>
      </c>
      <c r="K94" s="86">
        <v>12125.33</v>
      </c>
      <c r="L94" s="84" t="s">
        <v>546</v>
      </c>
      <c r="M94" s="84" t="s">
        <v>310</v>
      </c>
    </row>
    <row r="95" spans="1:13" x14ac:dyDescent="0.25">
      <c r="A95" s="83">
        <v>634025</v>
      </c>
      <c r="B95" s="84" t="s">
        <v>303</v>
      </c>
      <c r="C95" s="85">
        <f t="shared" si="1"/>
        <v>45717</v>
      </c>
      <c r="D95" s="84" t="s">
        <v>529</v>
      </c>
      <c r="E95" s="84" t="s">
        <v>547</v>
      </c>
      <c r="F95" s="84" t="s">
        <v>306</v>
      </c>
      <c r="G95" s="84" t="s">
        <v>306</v>
      </c>
      <c r="H95" s="84" t="s">
        <v>548</v>
      </c>
      <c r="I95" s="84" t="s">
        <v>547</v>
      </c>
      <c r="J95" s="86">
        <v>0</v>
      </c>
      <c r="K95" s="86">
        <v>3000</v>
      </c>
      <c r="L95" s="84" t="s">
        <v>549</v>
      </c>
      <c r="M95" s="84" t="s">
        <v>310</v>
      </c>
    </row>
    <row r="96" spans="1:13" x14ac:dyDescent="0.25">
      <c r="A96" s="83">
        <v>634025</v>
      </c>
      <c r="B96" s="84" t="s">
        <v>303</v>
      </c>
      <c r="C96" s="85">
        <f t="shared" si="1"/>
        <v>45717</v>
      </c>
      <c r="D96" s="84" t="s">
        <v>529</v>
      </c>
      <c r="E96" s="84" t="s">
        <v>550</v>
      </c>
      <c r="F96" s="84" t="s">
        <v>306</v>
      </c>
      <c r="G96" s="84" t="s">
        <v>306</v>
      </c>
      <c r="H96" s="84" t="s">
        <v>551</v>
      </c>
      <c r="I96" s="84" t="s">
        <v>550</v>
      </c>
      <c r="J96" s="86">
        <v>0</v>
      </c>
      <c r="K96" s="86">
        <v>1308.42</v>
      </c>
      <c r="L96" s="84" t="s">
        <v>552</v>
      </c>
      <c r="M96" s="84" t="s">
        <v>310</v>
      </c>
    </row>
    <row r="97" spans="1:13" x14ac:dyDescent="0.25">
      <c r="A97" s="83">
        <v>634025</v>
      </c>
      <c r="B97" s="84" t="s">
        <v>303</v>
      </c>
      <c r="C97" s="85">
        <f t="shared" si="1"/>
        <v>45717</v>
      </c>
      <c r="D97" s="84" t="s">
        <v>529</v>
      </c>
      <c r="E97" s="84" t="s">
        <v>553</v>
      </c>
      <c r="F97" s="84" t="s">
        <v>306</v>
      </c>
      <c r="G97" s="84" t="s">
        <v>306</v>
      </c>
      <c r="H97" s="84" t="s">
        <v>554</v>
      </c>
      <c r="I97" s="84" t="s">
        <v>555</v>
      </c>
      <c r="J97" s="86">
        <v>3366</v>
      </c>
      <c r="K97" s="86">
        <v>0</v>
      </c>
      <c r="L97" s="84" t="s">
        <v>556</v>
      </c>
      <c r="M97" s="84" t="s">
        <v>310</v>
      </c>
    </row>
    <row r="98" spans="1:13" x14ac:dyDescent="0.25">
      <c r="A98" s="83">
        <v>634165</v>
      </c>
      <c r="B98" s="84" t="s">
        <v>557</v>
      </c>
      <c r="C98" s="85">
        <f t="shared" ref="C98:C121" si="2">DATE(2025,3,6)</f>
        <v>45722</v>
      </c>
      <c r="D98" s="84" t="s">
        <v>558</v>
      </c>
      <c r="E98" s="84" t="s">
        <v>559</v>
      </c>
      <c r="F98" s="84" t="s">
        <v>560</v>
      </c>
      <c r="G98" s="84" t="s">
        <v>561</v>
      </c>
      <c r="H98" s="84" t="s">
        <v>562</v>
      </c>
      <c r="I98" s="84" t="s">
        <v>563</v>
      </c>
      <c r="J98" s="86">
        <v>15.99</v>
      </c>
      <c r="K98" s="86">
        <v>0</v>
      </c>
      <c r="L98" s="84" t="s">
        <v>564</v>
      </c>
      <c r="M98" s="84" t="s">
        <v>327</v>
      </c>
    </row>
    <row r="99" spans="1:13" x14ac:dyDescent="0.25">
      <c r="A99" s="83">
        <v>634166</v>
      </c>
      <c r="B99" s="84" t="s">
        <v>557</v>
      </c>
      <c r="C99" s="85">
        <f t="shared" si="2"/>
        <v>45722</v>
      </c>
      <c r="D99" s="84" t="s">
        <v>558</v>
      </c>
      <c r="E99" s="84" t="s">
        <v>559</v>
      </c>
      <c r="F99" s="84" t="s">
        <v>565</v>
      </c>
      <c r="G99" s="84" t="s">
        <v>566</v>
      </c>
      <c r="H99" s="84" t="s">
        <v>567</v>
      </c>
      <c r="I99" s="84" t="s">
        <v>275</v>
      </c>
      <c r="J99" s="86">
        <v>899.73</v>
      </c>
      <c r="K99" s="86">
        <v>0</v>
      </c>
      <c r="L99" s="84" t="s">
        <v>568</v>
      </c>
      <c r="M99" s="84" t="s">
        <v>569</v>
      </c>
    </row>
    <row r="100" spans="1:13" x14ac:dyDescent="0.25">
      <c r="A100" s="83">
        <v>634167</v>
      </c>
      <c r="B100" s="84" t="s">
        <v>557</v>
      </c>
      <c r="C100" s="85">
        <f t="shared" si="2"/>
        <v>45722</v>
      </c>
      <c r="D100" s="84" t="s">
        <v>558</v>
      </c>
      <c r="E100" s="84" t="s">
        <v>559</v>
      </c>
      <c r="F100" s="84" t="s">
        <v>570</v>
      </c>
      <c r="G100" s="84" t="s">
        <v>571</v>
      </c>
      <c r="H100" s="84" t="s">
        <v>572</v>
      </c>
      <c r="I100" s="84" t="s">
        <v>573</v>
      </c>
      <c r="J100" s="86">
        <v>275</v>
      </c>
      <c r="K100" s="86">
        <v>0</v>
      </c>
      <c r="L100" s="84" t="s">
        <v>574</v>
      </c>
      <c r="M100" s="84" t="s">
        <v>569</v>
      </c>
    </row>
    <row r="101" spans="1:13" x14ac:dyDescent="0.25">
      <c r="A101" s="83">
        <v>634168</v>
      </c>
      <c r="B101" s="84" t="s">
        <v>557</v>
      </c>
      <c r="C101" s="85">
        <f t="shared" si="2"/>
        <v>45722</v>
      </c>
      <c r="D101" s="84" t="s">
        <v>558</v>
      </c>
      <c r="E101" s="84" t="s">
        <v>559</v>
      </c>
      <c r="F101" s="84" t="s">
        <v>575</v>
      </c>
      <c r="G101" s="84" t="s">
        <v>571</v>
      </c>
      <c r="H101" s="84" t="s">
        <v>576</v>
      </c>
      <c r="I101" s="84" t="s">
        <v>577</v>
      </c>
      <c r="J101" s="86">
        <v>32.26</v>
      </c>
      <c r="K101" s="86">
        <v>0</v>
      </c>
      <c r="L101" s="84" t="s">
        <v>578</v>
      </c>
      <c r="M101" s="84" t="s">
        <v>336</v>
      </c>
    </row>
    <row r="102" spans="1:13" x14ac:dyDescent="0.25">
      <c r="A102" s="83">
        <v>634168</v>
      </c>
      <c r="B102" s="84" t="s">
        <v>557</v>
      </c>
      <c r="C102" s="85">
        <f t="shared" si="2"/>
        <v>45722</v>
      </c>
      <c r="D102" s="84" t="s">
        <v>558</v>
      </c>
      <c r="E102" s="84" t="s">
        <v>559</v>
      </c>
      <c r="F102" s="84" t="s">
        <v>575</v>
      </c>
      <c r="G102" s="84" t="s">
        <v>571</v>
      </c>
      <c r="H102" s="84" t="s">
        <v>572</v>
      </c>
      <c r="I102" s="84" t="s">
        <v>573</v>
      </c>
      <c r="J102" s="86">
        <v>257.39999999999998</v>
      </c>
      <c r="K102" s="86">
        <v>0</v>
      </c>
      <c r="L102" s="84" t="s">
        <v>574</v>
      </c>
      <c r="M102" s="84" t="s">
        <v>569</v>
      </c>
    </row>
    <row r="103" spans="1:13" x14ac:dyDescent="0.25">
      <c r="A103" s="83">
        <v>634170</v>
      </c>
      <c r="B103" s="84" t="s">
        <v>557</v>
      </c>
      <c r="C103" s="85">
        <f t="shared" si="2"/>
        <v>45722</v>
      </c>
      <c r="D103" s="84" t="s">
        <v>558</v>
      </c>
      <c r="E103" s="84" t="s">
        <v>559</v>
      </c>
      <c r="F103" s="84" t="s">
        <v>579</v>
      </c>
      <c r="G103" s="84" t="s">
        <v>580</v>
      </c>
      <c r="H103" s="84" t="s">
        <v>581</v>
      </c>
      <c r="I103" s="84" t="s">
        <v>582</v>
      </c>
      <c r="J103" s="86">
        <v>43.28</v>
      </c>
      <c r="K103" s="86">
        <v>0</v>
      </c>
      <c r="L103" s="84" t="s">
        <v>583</v>
      </c>
      <c r="M103" s="84" t="s">
        <v>336</v>
      </c>
    </row>
    <row r="104" spans="1:13" x14ac:dyDescent="0.25">
      <c r="A104" s="83">
        <v>634171</v>
      </c>
      <c r="B104" s="84" t="s">
        <v>557</v>
      </c>
      <c r="C104" s="85">
        <f t="shared" si="2"/>
        <v>45722</v>
      </c>
      <c r="D104" s="84" t="s">
        <v>558</v>
      </c>
      <c r="E104" s="84" t="s">
        <v>559</v>
      </c>
      <c r="F104" s="84" t="s">
        <v>584</v>
      </c>
      <c r="G104" s="84" t="s">
        <v>585</v>
      </c>
      <c r="H104" s="84" t="s">
        <v>586</v>
      </c>
      <c r="I104" s="84" t="s">
        <v>587</v>
      </c>
      <c r="J104" s="86">
        <v>50</v>
      </c>
      <c r="K104" s="86">
        <v>0</v>
      </c>
      <c r="L104" s="84" t="s">
        <v>588</v>
      </c>
      <c r="M104" s="84" t="s">
        <v>310</v>
      </c>
    </row>
    <row r="105" spans="1:13" x14ac:dyDescent="0.25">
      <c r="A105" s="83">
        <v>634172</v>
      </c>
      <c r="B105" s="84" t="s">
        <v>557</v>
      </c>
      <c r="C105" s="85">
        <f t="shared" si="2"/>
        <v>45722</v>
      </c>
      <c r="D105" s="84" t="s">
        <v>558</v>
      </c>
      <c r="E105" s="84" t="s">
        <v>559</v>
      </c>
      <c r="F105" s="84" t="s">
        <v>589</v>
      </c>
      <c r="G105" s="84" t="s">
        <v>590</v>
      </c>
      <c r="H105" s="84" t="s">
        <v>591</v>
      </c>
      <c r="I105" s="84" t="s">
        <v>592</v>
      </c>
      <c r="J105" s="86">
        <v>230</v>
      </c>
      <c r="K105" s="86">
        <v>0</v>
      </c>
      <c r="L105" s="84" t="s">
        <v>593</v>
      </c>
      <c r="M105" s="84" t="s">
        <v>310</v>
      </c>
    </row>
    <row r="106" spans="1:13" x14ac:dyDescent="0.25">
      <c r="A106" s="83">
        <v>634173</v>
      </c>
      <c r="B106" s="84" t="s">
        <v>557</v>
      </c>
      <c r="C106" s="85">
        <f t="shared" si="2"/>
        <v>45722</v>
      </c>
      <c r="D106" s="84" t="s">
        <v>558</v>
      </c>
      <c r="E106" s="84" t="s">
        <v>559</v>
      </c>
      <c r="F106" s="84" t="s">
        <v>594</v>
      </c>
      <c r="G106" s="84" t="s">
        <v>595</v>
      </c>
      <c r="H106" s="84" t="s">
        <v>596</v>
      </c>
      <c r="I106" s="84" t="s">
        <v>597</v>
      </c>
      <c r="J106" s="86">
        <v>583.11</v>
      </c>
      <c r="K106" s="86">
        <v>0</v>
      </c>
      <c r="L106" s="84" t="s">
        <v>598</v>
      </c>
      <c r="M106" s="84" t="s">
        <v>327</v>
      </c>
    </row>
    <row r="107" spans="1:13" x14ac:dyDescent="0.25">
      <c r="A107" s="83">
        <v>634173</v>
      </c>
      <c r="B107" s="84" t="s">
        <v>557</v>
      </c>
      <c r="C107" s="85">
        <f t="shared" si="2"/>
        <v>45722</v>
      </c>
      <c r="D107" s="84" t="s">
        <v>558</v>
      </c>
      <c r="E107" s="84" t="s">
        <v>559</v>
      </c>
      <c r="F107" s="84" t="s">
        <v>594</v>
      </c>
      <c r="G107" s="84" t="s">
        <v>595</v>
      </c>
      <c r="H107" s="84" t="s">
        <v>596</v>
      </c>
      <c r="I107" s="84" t="s">
        <v>597</v>
      </c>
      <c r="J107" s="86">
        <v>877.32</v>
      </c>
      <c r="K107" s="86">
        <v>0</v>
      </c>
      <c r="L107" s="84" t="s">
        <v>598</v>
      </c>
      <c r="M107" s="84" t="s">
        <v>327</v>
      </c>
    </row>
    <row r="108" spans="1:13" x14ac:dyDescent="0.25">
      <c r="A108" s="83">
        <v>634175</v>
      </c>
      <c r="B108" s="84" t="s">
        <v>557</v>
      </c>
      <c r="C108" s="85">
        <f t="shared" si="2"/>
        <v>45722</v>
      </c>
      <c r="D108" s="84" t="s">
        <v>599</v>
      </c>
      <c r="E108" s="84" t="s">
        <v>559</v>
      </c>
      <c r="F108" s="84" t="s">
        <v>600</v>
      </c>
      <c r="G108" s="84" t="s">
        <v>601</v>
      </c>
      <c r="H108" s="84" t="s">
        <v>602</v>
      </c>
      <c r="I108" s="84" t="s">
        <v>603</v>
      </c>
      <c r="J108" s="86">
        <v>2000</v>
      </c>
      <c r="K108" s="86">
        <v>0</v>
      </c>
      <c r="L108" s="84" t="s">
        <v>604</v>
      </c>
      <c r="M108" s="84" t="s">
        <v>310</v>
      </c>
    </row>
    <row r="109" spans="1:13" x14ac:dyDescent="0.25">
      <c r="A109" s="83">
        <v>634176</v>
      </c>
      <c r="B109" s="84" t="s">
        <v>557</v>
      </c>
      <c r="C109" s="85">
        <f t="shared" si="2"/>
        <v>45722</v>
      </c>
      <c r="D109" s="84" t="s">
        <v>558</v>
      </c>
      <c r="E109" s="84" t="s">
        <v>559</v>
      </c>
      <c r="F109" s="84" t="s">
        <v>589</v>
      </c>
      <c r="G109" s="84" t="s">
        <v>605</v>
      </c>
      <c r="H109" s="84" t="s">
        <v>591</v>
      </c>
      <c r="I109" s="84" t="s">
        <v>592</v>
      </c>
      <c r="J109" s="86">
        <v>492.23</v>
      </c>
      <c r="K109" s="86">
        <v>0</v>
      </c>
      <c r="L109" s="84" t="s">
        <v>593</v>
      </c>
      <c r="M109" s="84" t="s">
        <v>310</v>
      </c>
    </row>
    <row r="110" spans="1:13" x14ac:dyDescent="0.25">
      <c r="A110" s="83">
        <v>634177</v>
      </c>
      <c r="B110" s="84" t="s">
        <v>557</v>
      </c>
      <c r="C110" s="85">
        <f t="shared" si="2"/>
        <v>45722</v>
      </c>
      <c r="D110" s="84" t="s">
        <v>558</v>
      </c>
      <c r="E110" s="84" t="s">
        <v>559</v>
      </c>
      <c r="F110" s="84" t="s">
        <v>606</v>
      </c>
      <c r="G110" s="84" t="s">
        <v>607</v>
      </c>
      <c r="H110" s="84" t="s">
        <v>551</v>
      </c>
      <c r="I110" s="84" t="s">
        <v>550</v>
      </c>
      <c r="J110" s="86">
        <v>1308.42</v>
      </c>
      <c r="K110" s="86">
        <v>0</v>
      </c>
      <c r="L110" s="84" t="s">
        <v>552</v>
      </c>
      <c r="M110" s="84" t="s">
        <v>310</v>
      </c>
    </row>
    <row r="111" spans="1:13" x14ac:dyDescent="0.25">
      <c r="A111" s="83">
        <v>634178</v>
      </c>
      <c r="B111" s="84" t="s">
        <v>557</v>
      </c>
      <c r="C111" s="85">
        <f t="shared" si="2"/>
        <v>45722</v>
      </c>
      <c r="D111" s="84" t="s">
        <v>608</v>
      </c>
      <c r="E111" s="84" t="s">
        <v>559</v>
      </c>
      <c r="F111" s="84" t="s">
        <v>609</v>
      </c>
      <c r="G111" s="84" t="s">
        <v>610</v>
      </c>
      <c r="H111" s="84" t="s">
        <v>611</v>
      </c>
      <c r="I111" s="84" t="s">
        <v>612</v>
      </c>
      <c r="J111" s="86">
        <v>287</v>
      </c>
      <c r="K111" s="86">
        <v>0</v>
      </c>
      <c r="L111" s="84" t="s">
        <v>613</v>
      </c>
      <c r="M111" s="84" t="s">
        <v>352</v>
      </c>
    </row>
    <row r="112" spans="1:13" x14ac:dyDescent="0.25">
      <c r="A112" s="83">
        <v>634179</v>
      </c>
      <c r="B112" s="84" t="s">
        <v>557</v>
      </c>
      <c r="C112" s="85">
        <f t="shared" si="2"/>
        <v>45722</v>
      </c>
      <c r="D112" s="84" t="s">
        <v>558</v>
      </c>
      <c r="E112" s="84" t="s">
        <v>559</v>
      </c>
      <c r="F112" s="84" t="s">
        <v>614</v>
      </c>
      <c r="G112" s="84" t="s">
        <v>615</v>
      </c>
      <c r="H112" s="84" t="s">
        <v>616</v>
      </c>
      <c r="I112" s="84" t="s">
        <v>617</v>
      </c>
      <c r="J112" s="86">
        <v>45</v>
      </c>
      <c r="K112" s="86">
        <v>0</v>
      </c>
      <c r="L112" s="84" t="s">
        <v>618</v>
      </c>
      <c r="M112" s="84" t="s">
        <v>352</v>
      </c>
    </row>
    <row r="113" spans="1:13" x14ac:dyDescent="0.25">
      <c r="A113" s="83">
        <v>634180</v>
      </c>
      <c r="B113" s="84" t="s">
        <v>557</v>
      </c>
      <c r="C113" s="85">
        <f t="shared" si="2"/>
        <v>45722</v>
      </c>
      <c r="D113" s="84" t="s">
        <v>558</v>
      </c>
      <c r="E113" s="84" t="s">
        <v>559</v>
      </c>
      <c r="F113" s="84" t="s">
        <v>619</v>
      </c>
      <c r="G113" s="84" t="s">
        <v>620</v>
      </c>
      <c r="H113" s="84" t="s">
        <v>572</v>
      </c>
      <c r="I113" s="84" t="s">
        <v>573</v>
      </c>
      <c r="J113" s="86">
        <v>188.1</v>
      </c>
      <c r="K113" s="86">
        <v>0</v>
      </c>
      <c r="L113" s="84" t="s">
        <v>574</v>
      </c>
      <c r="M113" s="84" t="s">
        <v>569</v>
      </c>
    </row>
    <row r="114" spans="1:13" x14ac:dyDescent="0.25">
      <c r="A114" s="83">
        <v>634181</v>
      </c>
      <c r="B114" s="84" t="s">
        <v>557</v>
      </c>
      <c r="C114" s="85">
        <f t="shared" si="2"/>
        <v>45722</v>
      </c>
      <c r="D114" s="84" t="s">
        <v>558</v>
      </c>
      <c r="E114" s="84" t="s">
        <v>559</v>
      </c>
      <c r="F114" s="84" t="s">
        <v>621</v>
      </c>
      <c r="G114" s="84" t="s">
        <v>622</v>
      </c>
      <c r="H114" s="84" t="s">
        <v>572</v>
      </c>
      <c r="I114" s="84" t="s">
        <v>573</v>
      </c>
      <c r="J114" s="86">
        <v>342.65</v>
      </c>
      <c r="K114" s="86">
        <v>0</v>
      </c>
      <c r="L114" s="84" t="s">
        <v>574</v>
      </c>
      <c r="M114" s="84" t="s">
        <v>569</v>
      </c>
    </row>
    <row r="115" spans="1:13" x14ac:dyDescent="0.25">
      <c r="A115" s="83">
        <v>634181</v>
      </c>
      <c r="B115" s="84" t="s">
        <v>557</v>
      </c>
      <c r="C115" s="85">
        <f t="shared" si="2"/>
        <v>45722</v>
      </c>
      <c r="D115" s="84" t="s">
        <v>558</v>
      </c>
      <c r="E115" s="84" t="s">
        <v>559</v>
      </c>
      <c r="F115" s="84" t="s">
        <v>621</v>
      </c>
      <c r="G115" s="84" t="s">
        <v>622</v>
      </c>
      <c r="H115" s="84" t="s">
        <v>623</v>
      </c>
      <c r="I115" s="84" t="s">
        <v>624</v>
      </c>
      <c r="J115" s="86">
        <v>217.21</v>
      </c>
      <c r="K115" s="86">
        <v>0</v>
      </c>
      <c r="L115" s="84" t="s">
        <v>625</v>
      </c>
      <c r="M115" s="84" t="s">
        <v>327</v>
      </c>
    </row>
    <row r="116" spans="1:13" x14ac:dyDescent="0.25">
      <c r="A116" s="83">
        <v>634182</v>
      </c>
      <c r="B116" s="84" t="s">
        <v>557</v>
      </c>
      <c r="C116" s="85">
        <f t="shared" si="2"/>
        <v>45722</v>
      </c>
      <c r="D116" s="84" t="s">
        <v>626</v>
      </c>
      <c r="E116" s="84" t="s">
        <v>559</v>
      </c>
      <c r="F116" s="84" t="s">
        <v>627</v>
      </c>
      <c r="G116" s="84" t="s">
        <v>628</v>
      </c>
      <c r="H116" s="84" t="s">
        <v>538</v>
      </c>
      <c r="I116" s="84" t="s">
        <v>537</v>
      </c>
      <c r="J116" s="86">
        <v>3550.43</v>
      </c>
      <c r="K116" s="86">
        <v>0</v>
      </c>
      <c r="L116" s="84" t="s">
        <v>539</v>
      </c>
      <c r="M116" s="84" t="s">
        <v>352</v>
      </c>
    </row>
    <row r="117" spans="1:13" x14ac:dyDescent="0.25">
      <c r="A117" s="83">
        <v>634183</v>
      </c>
      <c r="B117" s="84" t="s">
        <v>557</v>
      </c>
      <c r="C117" s="85">
        <f t="shared" si="2"/>
        <v>45722</v>
      </c>
      <c r="D117" s="84" t="s">
        <v>558</v>
      </c>
      <c r="E117" s="84" t="s">
        <v>559</v>
      </c>
      <c r="F117" s="84" t="s">
        <v>629</v>
      </c>
      <c r="G117" s="84" t="s">
        <v>630</v>
      </c>
      <c r="H117" s="84" t="s">
        <v>596</v>
      </c>
      <c r="I117" s="84" t="s">
        <v>597</v>
      </c>
      <c r="J117" s="86">
        <v>1750</v>
      </c>
      <c r="K117" s="86">
        <v>0</v>
      </c>
      <c r="L117" s="84" t="s">
        <v>598</v>
      </c>
      <c r="M117" s="84" t="s">
        <v>327</v>
      </c>
    </row>
    <row r="118" spans="1:13" x14ac:dyDescent="0.25">
      <c r="A118" s="83">
        <v>634184</v>
      </c>
      <c r="B118" s="84" t="s">
        <v>557</v>
      </c>
      <c r="C118" s="85">
        <f t="shared" si="2"/>
        <v>45722</v>
      </c>
      <c r="D118" s="84" t="s">
        <v>631</v>
      </c>
      <c r="E118" s="84" t="s">
        <v>559</v>
      </c>
      <c r="F118" s="84" t="s">
        <v>632</v>
      </c>
      <c r="G118" s="84" t="s">
        <v>633</v>
      </c>
      <c r="H118" s="84" t="s">
        <v>634</v>
      </c>
      <c r="I118" s="84" t="s">
        <v>635</v>
      </c>
      <c r="J118" s="86">
        <v>280</v>
      </c>
      <c r="K118" s="86">
        <v>0</v>
      </c>
      <c r="L118" s="84" t="s">
        <v>636</v>
      </c>
      <c r="M118" s="84" t="s">
        <v>394</v>
      </c>
    </row>
    <row r="119" spans="1:13" x14ac:dyDescent="0.25">
      <c r="A119" s="83">
        <v>634185</v>
      </c>
      <c r="B119" s="84" t="s">
        <v>557</v>
      </c>
      <c r="C119" s="85">
        <f t="shared" si="2"/>
        <v>45722</v>
      </c>
      <c r="D119" s="84" t="s">
        <v>558</v>
      </c>
      <c r="E119" s="84" t="s">
        <v>559</v>
      </c>
      <c r="F119" s="84" t="s">
        <v>637</v>
      </c>
      <c r="G119" s="84" t="s">
        <v>638</v>
      </c>
      <c r="H119" s="84" t="s">
        <v>572</v>
      </c>
      <c r="I119" s="84" t="s">
        <v>573</v>
      </c>
      <c r="J119" s="86">
        <v>73.7</v>
      </c>
      <c r="K119" s="86">
        <v>0</v>
      </c>
      <c r="L119" s="84" t="s">
        <v>574</v>
      </c>
      <c r="M119" s="84" t="s">
        <v>569</v>
      </c>
    </row>
    <row r="120" spans="1:13" x14ac:dyDescent="0.25">
      <c r="A120" s="83">
        <v>634186</v>
      </c>
      <c r="B120" s="84" t="s">
        <v>557</v>
      </c>
      <c r="C120" s="85">
        <f t="shared" si="2"/>
        <v>45722</v>
      </c>
      <c r="D120" s="84" t="s">
        <v>558</v>
      </c>
      <c r="E120" s="84" t="s">
        <v>559</v>
      </c>
      <c r="F120" s="84" t="s">
        <v>639</v>
      </c>
      <c r="G120" s="84" t="s">
        <v>640</v>
      </c>
      <c r="H120" s="84" t="s">
        <v>641</v>
      </c>
      <c r="I120" s="84" t="s">
        <v>642</v>
      </c>
      <c r="J120" s="86">
        <v>225</v>
      </c>
      <c r="K120" s="86">
        <v>0</v>
      </c>
      <c r="L120" s="84" t="s">
        <v>643</v>
      </c>
      <c r="M120" s="84" t="s">
        <v>352</v>
      </c>
    </row>
    <row r="121" spans="1:13" x14ac:dyDescent="0.25">
      <c r="A121" s="83">
        <v>634256</v>
      </c>
      <c r="B121" s="84" t="s">
        <v>557</v>
      </c>
      <c r="C121" s="85">
        <f t="shared" si="2"/>
        <v>45722</v>
      </c>
      <c r="D121" s="84" t="s">
        <v>644</v>
      </c>
      <c r="E121" s="84" t="s">
        <v>559</v>
      </c>
      <c r="F121" s="84" t="s">
        <v>645</v>
      </c>
      <c r="G121" s="84" t="s">
        <v>646</v>
      </c>
      <c r="H121" s="84" t="s">
        <v>530</v>
      </c>
      <c r="I121" s="84" t="s">
        <v>237</v>
      </c>
      <c r="J121" s="86">
        <v>34554.6</v>
      </c>
      <c r="K121" s="86">
        <v>0</v>
      </c>
      <c r="L121" s="84" t="s">
        <v>236</v>
      </c>
      <c r="M121" s="84" t="s">
        <v>531</v>
      </c>
    </row>
    <row r="122" spans="1:13" x14ac:dyDescent="0.25">
      <c r="A122" s="83">
        <v>634503</v>
      </c>
      <c r="B122" s="84" t="s">
        <v>303</v>
      </c>
      <c r="C122" s="85">
        <f t="shared" ref="C122:C127" si="3">DATE(2025,3,1)</f>
        <v>45717</v>
      </c>
      <c r="D122" s="84" t="s">
        <v>529</v>
      </c>
      <c r="E122" s="84" t="s">
        <v>647</v>
      </c>
      <c r="F122" s="84" t="s">
        <v>306</v>
      </c>
      <c r="G122" s="84" t="s">
        <v>306</v>
      </c>
      <c r="H122" s="84" t="s">
        <v>530</v>
      </c>
      <c r="I122" s="84" t="s">
        <v>237</v>
      </c>
      <c r="J122" s="86">
        <v>2445.4</v>
      </c>
      <c r="K122" s="86">
        <v>0</v>
      </c>
      <c r="L122" s="84" t="s">
        <v>236</v>
      </c>
      <c r="M122" s="84" t="s">
        <v>531</v>
      </c>
    </row>
    <row r="123" spans="1:13" x14ac:dyDescent="0.25">
      <c r="A123" s="83">
        <v>635081</v>
      </c>
      <c r="B123" s="84" t="s">
        <v>303</v>
      </c>
      <c r="C123" s="85">
        <f t="shared" si="3"/>
        <v>45717</v>
      </c>
      <c r="D123" s="84" t="s">
        <v>648</v>
      </c>
      <c r="E123" s="84" t="s">
        <v>649</v>
      </c>
      <c r="F123" s="84" t="s">
        <v>306</v>
      </c>
      <c r="G123" s="84" t="s">
        <v>306</v>
      </c>
      <c r="H123" s="84" t="s">
        <v>650</v>
      </c>
      <c r="I123" s="84" t="s">
        <v>235</v>
      </c>
      <c r="J123" s="86">
        <v>0</v>
      </c>
      <c r="K123" s="86">
        <v>2560.48</v>
      </c>
      <c r="L123" s="84" t="s">
        <v>651</v>
      </c>
      <c r="M123" s="84" t="s">
        <v>652</v>
      </c>
    </row>
    <row r="124" spans="1:13" x14ac:dyDescent="0.25">
      <c r="A124" s="83">
        <v>635120</v>
      </c>
      <c r="B124" s="84" t="s">
        <v>303</v>
      </c>
      <c r="C124" s="85">
        <f t="shared" si="3"/>
        <v>45717</v>
      </c>
      <c r="D124" s="84" t="s">
        <v>653</v>
      </c>
      <c r="E124" s="84" t="s">
        <v>654</v>
      </c>
      <c r="F124" s="84" t="s">
        <v>306</v>
      </c>
      <c r="G124" s="84" t="s">
        <v>306</v>
      </c>
      <c r="H124" s="84" t="s">
        <v>516</v>
      </c>
      <c r="I124" s="84" t="s">
        <v>517</v>
      </c>
      <c r="J124" s="86">
        <v>0</v>
      </c>
      <c r="K124" s="86">
        <v>80</v>
      </c>
      <c r="L124" s="84" t="s">
        <v>518</v>
      </c>
      <c r="M124" s="84" t="s">
        <v>327</v>
      </c>
    </row>
    <row r="125" spans="1:13" x14ac:dyDescent="0.25">
      <c r="A125" s="83">
        <v>635120</v>
      </c>
      <c r="B125" s="84" t="s">
        <v>303</v>
      </c>
      <c r="C125" s="85">
        <f t="shared" si="3"/>
        <v>45717</v>
      </c>
      <c r="D125" s="84" t="s">
        <v>653</v>
      </c>
      <c r="E125" s="84" t="s">
        <v>655</v>
      </c>
      <c r="F125" s="84" t="s">
        <v>306</v>
      </c>
      <c r="G125" s="84" t="s">
        <v>306</v>
      </c>
      <c r="H125" s="84" t="s">
        <v>516</v>
      </c>
      <c r="I125" s="84" t="s">
        <v>517</v>
      </c>
      <c r="J125" s="86">
        <v>0</v>
      </c>
      <c r="K125" s="86">
        <v>80</v>
      </c>
      <c r="L125" s="84" t="s">
        <v>518</v>
      </c>
      <c r="M125" s="84" t="s">
        <v>327</v>
      </c>
    </row>
    <row r="126" spans="1:13" x14ac:dyDescent="0.25">
      <c r="A126" s="83">
        <v>635793</v>
      </c>
      <c r="B126" s="84" t="s">
        <v>303</v>
      </c>
      <c r="C126" s="85">
        <f t="shared" si="3"/>
        <v>45717</v>
      </c>
      <c r="D126" s="84" t="s">
        <v>529</v>
      </c>
      <c r="E126" s="84" t="s">
        <v>656</v>
      </c>
      <c r="F126" s="84" t="s">
        <v>306</v>
      </c>
      <c r="G126" s="84" t="s">
        <v>306</v>
      </c>
      <c r="H126" s="84" t="s">
        <v>657</v>
      </c>
      <c r="I126" s="84" t="s">
        <v>555</v>
      </c>
      <c r="J126" s="86">
        <v>0</v>
      </c>
      <c r="K126" s="86">
        <v>21920.91</v>
      </c>
      <c r="L126" s="84" t="s">
        <v>556</v>
      </c>
      <c r="M126" s="84" t="s">
        <v>310</v>
      </c>
    </row>
    <row r="127" spans="1:13" x14ac:dyDescent="0.25">
      <c r="A127" s="83">
        <v>635832</v>
      </c>
      <c r="B127" s="84" t="s">
        <v>303</v>
      </c>
      <c r="C127" s="85">
        <f t="shared" si="3"/>
        <v>45717</v>
      </c>
      <c r="D127" s="84" t="s">
        <v>529</v>
      </c>
      <c r="E127" s="84" t="s">
        <v>656</v>
      </c>
      <c r="F127" s="84" t="s">
        <v>306</v>
      </c>
      <c r="G127" s="84" t="s">
        <v>306</v>
      </c>
      <c r="H127" s="84" t="s">
        <v>657</v>
      </c>
      <c r="I127" s="84" t="s">
        <v>555</v>
      </c>
      <c r="J127" s="86">
        <v>21920.91</v>
      </c>
      <c r="K127" s="86">
        <v>0</v>
      </c>
      <c r="L127" s="84" t="s">
        <v>556</v>
      </c>
      <c r="M127" s="84" t="s">
        <v>310</v>
      </c>
    </row>
    <row r="128" spans="1:13" x14ac:dyDescent="0.25">
      <c r="A128" s="83">
        <v>636536</v>
      </c>
      <c r="B128" s="84" t="s">
        <v>557</v>
      </c>
      <c r="C128" s="85">
        <f t="shared" ref="C128:C155" si="4">DATE(2025,3,13)</f>
        <v>45729</v>
      </c>
      <c r="D128" s="84" t="s">
        <v>658</v>
      </c>
      <c r="E128" s="84" t="s">
        <v>559</v>
      </c>
      <c r="F128" s="84" t="s">
        <v>659</v>
      </c>
      <c r="G128" s="84" t="s">
        <v>660</v>
      </c>
      <c r="H128" s="84" t="s">
        <v>567</v>
      </c>
      <c r="I128" s="84" t="s">
        <v>275</v>
      </c>
      <c r="J128" s="86">
        <v>292.5</v>
      </c>
      <c r="K128" s="86">
        <v>0</v>
      </c>
      <c r="L128" s="84" t="s">
        <v>568</v>
      </c>
      <c r="M128" s="84" t="s">
        <v>569</v>
      </c>
    </row>
    <row r="129" spans="1:13" x14ac:dyDescent="0.25">
      <c r="A129" s="83">
        <v>636538</v>
      </c>
      <c r="B129" s="84" t="s">
        <v>557</v>
      </c>
      <c r="C129" s="85">
        <f t="shared" si="4"/>
        <v>45729</v>
      </c>
      <c r="D129" s="84" t="s">
        <v>661</v>
      </c>
      <c r="E129" s="84" t="s">
        <v>559</v>
      </c>
      <c r="F129" s="84" t="s">
        <v>662</v>
      </c>
      <c r="G129" s="84" t="s">
        <v>663</v>
      </c>
      <c r="H129" s="84" t="s">
        <v>664</v>
      </c>
      <c r="I129" s="84" t="s">
        <v>665</v>
      </c>
      <c r="J129" s="86">
        <v>228.72</v>
      </c>
      <c r="K129" s="86">
        <v>0</v>
      </c>
      <c r="L129" s="84" t="s">
        <v>666</v>
      </c>
      <c r="M129" s="84" t="s">
        <v>352</v>
      </c>
    </row>
    <row r="130" spans="1:13" x14ac:dyDescent="0.25">
      <c r="A130" s="83">
        <v>636538</v>
      </c>
      <c r="B130" s="84" t="s">
        <v>557</v>
      </c>
      <c r="C130" s="85">
        <f t="shared" si="4"/>
        <v>45729</v>
      </c>
      <c r="D130" s="84" t="s">
        <v>661</v>
      </c>
      <c r="E130" s="84" t="s">
        <v>559</v>
      </c>
      <c r="F130" s="84" t="s">
        <v>662</v>
      </c>
      <c r="G130" s="84" t="s">
        <v>663</v>
      </c>
      <c r="H130" s="84" t="s">
        <v>664</v>
      </c>
      <c r="I130" s="84" t="s">
        <v>665</v>
      </c>
      <c r="J130" s="86">
        <v>468.71</v>
      </c>
      <c r="K130" s="86">
        <v>0</v>
      </c>
      <c r="L130" s="84" t="s">
        <v>666</v>
      </c>
      <c r="M130" s="84" t="s">
        <v>352</v>
      </c>
    </row>
    <row r="131" spans="1:13" x14ac:dyDescent="0.25">
      <c r="A131" s="83">
        <v>636538</v>
      </c>
      <c r="B131" s="84" t="s">
        <v>557</v>
      </c>
      <c r="C131" s="85">
        <f t="shared" si="4"/>
        <v>45729</v>
      </c>
      <c r="D131" s="84" t="s">
        <v>661</v>
      </c>
      <c r="E131" s="84" t="s">
        <v>559</v>
      </c>
      <c r="F131" s="84" t="s">
        <v>662</v>
      </c>
      <c r="G131" s="84" t="s">
        <v>663</v>
      </c>
      <c r="H131" s="84" t="s">
        <v>664</v>
      </c>
      <c r="I131" s="84" t="s">
        <v>665</v>
      </c>
      <c r="J131" s="86">
        <v>1299.0999999999999</v>
      </c>
      <c r="K131" s="86">
        <v>0</v>
      </c>
      <c r="L131" s="84" t="s">
        <v>666</v>
      </c>
      <c r="M131" s="84" t="s">
        <v>352</v>
      </c>
    </row>
    <row r="132" spans="1:13" x14ac:dyDescent="0.25">
      <c r="A132" s="83">
        <v>636539</v>
      </c>
      <c r="B132" s="84" t="s">
        <v>557</v>
      </c>
      <c r="C132" s="85">
        <f t="shared" si="4"/>
        <v>45729</v>
      </c>
      <c r="D132" s="84" t="s">
        <v>558</v>
      </c>
      <c r="E132" s="84" t="s">
        <v>559</v>
      </c>
      <c r="F132" s="84" t="s">
        <v>667</v>
      </c>
      <c r="G132" s="84" t="s">
        <v>668</v>
      </c>
      <c r="H132" s="84" t="s">
        <v>567</v>
      </c>
      <c r="I132" s="84" t="s">
        <v>275</v>
      </c>
      <c r="J132" s="86">
        <v>525</v>
      </c>
      <c r="K132" s="86">
        <v>0</v>
      </c>
      <c r="L132" s="84" t="s">
        <v>568</v>
      </c>
      <c r="M132" s="84" t="s">
        <v>569</v>
      </c>
    </row>
    <row r="133" spans="1:13" x14ac:dyDescent="0.25">
      <c r="A133" s="83">
        <v>636540</v>
      </c>
      <c r="B133" s="84" t="s">
        <v>557</v>
      </c>
      <c r="C133" s="85">
        <f t="shared" si="4"/>
        <v>45729</v>
      </c>
      <c r="D133" s="84" t="s">
        <v>558</v>
      </c>
      <c r="E133" s="84" t="s">
        <v>559</v>
      </c>
      <c r="F133" s="84" t="s">
        <v>669</v>
      </c>
      <c r="G133" s="84" t="s">
        <v>670</v>
      </c>
      <c r="H133" s="84" t="s">
        <v>616</v>
      </c>
      <c r="I133" s="84" t="s">
        <v>617</v>
      </c>
      <c r="J133" s="86">
        <v>191</v>
      </c>
      <c r="K133" s="86">
        <v>0</v>
      </c>
      <c r="L133" s="84" t="s">
        <v>618</v>
      </c>
      <c r="M133" s="84" t="s">
        <v>352</v>
      </c>
    </row>
    <row r="134" spans="1:13" x14ac:dyDescent="0.25">
      <c r="A134" s="83">
        <v>636541</v>
      </c>
      <c r="B134" s="84" t="s">
        <v>557</v>
      </c>
      <c r="C134" s="85">
        <f t="shared" si="4"/>
        <v>45729</v>
      </c>
      <c r="D134" s="84" t="s">
        <v>671</v>
      </c>
      <c r="E134" s="84" t="s">
        <v>559</v>
      </c>
      <c r="F134" s="84" t="s">
        <v>672</v>
      </c>
      <c r="G134" s="84" t="s">
        <v>673</v>
      </c>
      <c r="H134" s="84" t="s">
        <v>674</v>
      </c>
      <c r="I134" s="84" t="s">
        <v>675</v>
      </c>
      <c r="J134" s="86">
        <v>404</v>
      </c>
      <c r="K134" s="86">
        <v>0</v>
      </c>
      <c r="L134" s="84" t="s">
        <v>676</v>
      </c>
      <c r="M134" s="84" t="s">
        <v>352</v>
      </c>
    </row>
    <row r="135" spans="1:13" x14ac:dyDescent="0.25">
      <c r="A135" s="83">
        <v>636542</v>
      </c>
      <c r="B135" s="84" t="s">
        <v>557</v>
      </c>
      <c r="C135" s="85">
        <f t="shared" si="4"/>
        <v>45729</v>
      </c>
      <c r="D135" s="84" t="s">
        <v>558</v>
      </c>
      <c r="E135" s="84" t="s">
        <v>559</v>
      </c>
      <c r="F135" s="84" t="s">
        <v>677</v>
      </c>
      <c r="G135" s="84" t="s">
        <v>678</v>
      </c>
      <c r="H135" s="84" t="s">
        <v>679</v>
      </c>
      <c r="I135" s="84" t="s">
        <v>680</v>
      </c>
      <c r="J135" s="86">
        <v>0.05</v>
      </c>
      <c r="K135" s="86">
        <v>0</v>
      </c>
      <c r="L135" s="84" t="s">
        <v>578</v>
      </c>
      <c r="M135" s="84" t="s">
        <v>327</v>
      </c>
    </row>
    <row r="136" spans="1:13" x14ac:dyDescent="0.25">
      <c r="A136" s="83">
        <v>636542</v>
      </c>
      <c r="B136" s="84" t="s">
        <v>557</v>
      </c>
      <c r="C136" s="85">
        <f t="shared" si="4"/>
        <v>45729</v>
      </c>
      <c r="D136" s="84" t="s">
        <v>558</v>
      </c>
      <c r="E136" s="84" t="s">
        <v>559</v>
      </c>
      <c r="F136" s="84" t="s">
        <v>677</v>
      </c>
      <c r="G136" s="84" t="s">
        <v>678</v>
      </c>
      <c r="H136" s="84" t="s">
        <v>572</v>
      </c>
      <c r="I136" s="84" t="s">
        <v>573</v>
      </c>
      <c r="J136" s="86">
        <v>175.45</v>
      </c>
      <c r="K136" s="86">
        <v>0</v>
      </c>
      <c r="L136" s="84" t="s">
        <v>574</v>
      </c>
      <c r="M136" s="84" t="s">
        <v>569</v>
      </c>
    </row>
    <row r="137" spans="1:13" x14ac:dyDescent="0.25">
      <c r="A137" s="83">
        <v>636542</v>
      </c>
      <c r="B137" s="84" t="s">
        <v>557</v>
      </c>
      <c r="C137" s="85">
        <f t="shared" si="4"/>
        <v>45729</v>
      </c>
      <c r="D137" s="84" t="s">
        <v>558</v>
      </c>
      <c r="E137" s="84" t="s">
        <v>559</v>
      </c>
      <c r="F137" s="84" t="s">
        <v>677</v>
      </c>
      <c r="G137" s="84" t="s">
        <v>678</v>
      </c>
      <c r="H137" s="84" t="s">
        <v>623</v>
      </c>
      <c r="I137" s="84" t="s">
        <v>624</v>
      </c>
      <c r="J137" s="86">
        <v>334.46</v>
      </c>
      <c r="K137" s="86">
        <v>0</v>
      </c>
      <c r="L137" s="84" t="s">
        <v>625</v>
      </c>
      <c r="M137" s="84" t="s">
        <v>327</v>
      </c>
    </row>
    <row r="138" spans="1:13" x14ac:dyDescent="0.25">
      <c r="A138" s="83">
        <v>636542</v>
      </c>
      <c r="B138" s="84" t="s">
        <v>557</v>
      </c>
      <c r="C138" s="85">
        <f t="shared" si="4"/>
        <v>45729</v>
      </c>
      <c r="D138" s="84" t="s">
        <v>558</v>
      </c>
      <c r="E138" s="84" t="s">
        <v>559</v>
      </c>
      <c r="F138" s="84" t="s">
        <v>677</v>
      </c>
      <c r="G138" s="84" t="s">
        <v>678</v>
      </c>
      <c r="H138" s="84" t="s">
        <v>681</v>
      </c>
      <c r="I138" s="84" t="s">
        <v>682</v>
      </c>
      <c r="J138" s="86">
        <v>206</v>
      </c>
      <c r="K138" s="86">
        <v>0</v>
      </c>
      <c r="L138" s="84" t="s">
        <v>683</v>
      </c>
      <c r="M138" s="84" t="s">
        <v>336</v>
      </c>
    </row>
    <row r="139" spans="1:13" x14ac:dyDescent="0.25">
      <c r="A139" s="83">
        <v>636543</v>
      </c>
      <c r="B139" s="84" t="s">
        <v>557</v>
      </c>
      <c r="C139" s="85">
        <f t="shared" si="4"/>
        <v>45729</v>
      </c>
      <c r="D139" s="84" t="s">
        <v>558</v>
      </c>
      <c r="E139" s="84" t="s">
        <v>559</v>
      </c>
      <c r="F139" s="84" t="s">
        <v>684</v>
      </c>
      <c r="G139" s="84" t="s">
        <v>685</v>
      </c>
      <c r="H139" s="84" t="s">
        <v>572</v>
      </c>
      <c r="I139" s="84" t="s">
        <v>573</v>
      </c>
      <c r="J139" s="86">
        <v>181.5</v>
      </c>
      <c r="K139" s="86">
        <v>0</v>
      </c>
      <c r="L139" s="84" t="s">
        <v>574</v>
      </c>
      <c r="M139" s="84" t="s">
        <v>569</v>
      </c>
    </row>
    <row r="140" spans="1:13" x14ac:dyDescent="0.25">
      <c r="A140" s="83">
        <v>636543</v>
      </c>
      <c r="B140" s="84" t="s">
        <v>557</v>
      </c>
      <c r="C140" s="85">
        <f t="shared" si="4"/>
        <v>45729</v>
      </c>
      <c r="D140" s="84" t="s">
        <v>558</v>
      </c>
      <c r="E140" s="84" t="s">
        <v>559</v>
      </c>
      <c r="F140" s="84" t="s">
        <v>684</v>
      </c>
      <c r="G140" s="84" t="s">
        <v>685</v>
      </c>
      <c r="H140" s="84" t="s">
        <v>623</v>
      </c>
      <c r="I140" s="84" t="s">
        <v>624</v>
      </c>
      <c r="J140" s="86">
        <v>364.66</v>
      </c>
      <c r="K140" s="86">
        <v>0</v>
      </c>
      <c r="L140" s="84" t="s">
        <v>625</v>
      </c>
      <c r="M140" s="84" t="s">
        <v>327</v>
      </c>
    </row>
    <row r="141" spans="1:13" x14ac:dyDescent="0.25">
      <c r="A141" s="83">
        <v>636544</v>
      </c>
      <c r="B141" s="84" t="s">
        <v>557</v>
      </c>
      <c r="C141" s="85">
        <f t="shared" si="4"/>
        <v>45729</v>
      </c>
      <c r="D141" s="84" t="s">
        <v>558</v>
      </c>
      <c r="E141" s="84" t="s">
        <v>559</v>
      </c>
      <c r="F141" s="84" t="s">
        <v>686</v>
      </c>
      <c r="G141" s="84" t="s">
        <v>687</v>
      </c>
      <c r="H141" s="84" t="s">
        <v>688</v>
      </c>
      <c r="I141" s="84" t="s">
        <v>689</v>
      </c>
      <c r="J141" s="86">
        <v>132.44</v>
      </c>
      <c r="K141" s="86">
        <v>0</v>
      </c>
      <c r="L141" s="84" t="s">
        <v>690</v>
      </c>
      <c r="M141" s="84" t="s">
        <v>344</v>
      </c>
    </row>
    <row r="142" spans="1:13" x14ac:dyDescent="0.25">
      <c r="A142" s="83">
        <v>636544</v>
      </c>
      <c r="B142" s="84" t="s">
        <v>557</v>
      </c>
      <c r="C142" s="85">
        <f t="shared" si="4"/>
        <v>45729</v>
      </c>
      <c r="D142" s="84" t="s">
        <v>558</v>
      </c>
      <c r="E142" s="84" t="s">
        <v>559</v>
      </c>
      <c r="F142" s="84" t="s">
        <v>686</v>
      </c>
      <c r="G142" s="84" t="s">
        <v>687</v>
      </c>
      <c r="H142" s="84" t="s">
        <v>572</v>
      </c>
      <c r="I142" s="84" t="s">
        <v>573</v>
      </c>
      <c r="J142" s="86">
        <v>198</v>
      </c>
      <c r="K142" s="86">
        <v>0</v>
      </c>
      <c r="L142" s="84" t="s">
        <v>574</v>
      </c>
      <c r="M142" s="84" t="s">
        <v>569</v>
      </c>
    </row>
    <row r="143" spans="1:13" x14ac:dyDescent="0.25">
      <c r="A143" s="83">
        <v>636545</v>
      </c>
      <c r="B143" s="84" t="s">
        <v>557</v>
      </c>
      <c r="C143" s="85">
        <f t="shared" si="4"/>
        <v>45729</v>
      </c>
      <c r="D143" s="84" t="s">
        <v>558</v>
      </c>
      <c r="E143" s="84" t="s">
        <v>559</v>
      </c>
      <c r="F143" s="84" t="s">
        <v>575</v>
      </c>
      <c r="G143" s="84" t="s">
        <v>691</v>
      </c>
      <c r="H143" s="84" t="s">
        <v>692</v>
      </c>
      <c r="I143" s="84" t="s">
        <v>573</v>
      </c>
      <c r="J143" s="86">
        <v>257.39999999999998</v>
      </c>
      <c r="K143" s="86">
        <v>0</v>
      </c>
      <c r="L143" s="84" t="s">
        <v>574</v>
      </c>
      <c r="M143" s="84" t="s">
        <v>569</v>
      </c>
    </row>
    <row r="144" spans="1:13" x14ac:dyDescent="0.25">
      <c r="A144" s="83">
        <v>636546</v>
      </c>
      <c r="B144" s="84" t="s">
        <v>557</v>
      </c>
      <c r="C144" s="85">
        <f t="shared" si="4"/>
        <v>45729</v>
      </c>
      <c r="D144" s="84" t="s">
        <v>558</v>
      </c>
      <c r="E144" s="84" t="s">
        <v>559</v>
      </c>
      <c r="F144" s="84" t="s">
        <v>693</v>
      </c>
      <c r="G144" s="84" t="s">
        <v>694</v>
      </c>
      <c r="H144" s="84" t="s">
        <v>567</v>
      </c>
      <c r="I144" s="84" t="s">
        <v>275</v>
      </c>
      <c r="J144" s="86">
        <v>127.16</v>
      </c>
      <c r="K144" s="86">
        <v>0</v>
      </c>
      <c r="L144" s="84" t="s">
        <v>568</v>
      </c>
      <c r="M144" s="84" t="s">
        <v>569</v>
      </c>
    </row>
    <row r="145" spans="1:13" x14ac:dyDescent="0.25">
      <c r="A145" s="83">
        <v>636546</v>
      </c>
      <c r="B145" s="84" t="s">
        <v>557</v>
      </c>
      <c r="C145" s="85">
        <f t="shared" si="4"/>
        <v>45729</v>
      </c>
      <c r="D145" s="84" t="s">
        <v>558</v>
      </c>
      <c r="E145" s="84" t="s">
        <v>559</v>
      </c>
      <c r="F145" s="84" t="s">
        <v>693</v>
      </c>
      <c r="G145" s="84" t="s">
        <v>694</v>
      </c>
      <c r="H145" s="84" t="s">
        <v>572</v>
      </c>
      <c r="I145" s="84" t="s">
        <v>573</v>
      </c>
      <c r="J145" s="86">
        <v>539</v>
      </c>
      <c r="K145" s="86">
        <v>0</v>
      </c>
      <c r="L145" s="84" t="s">
        <v>574</v>
      </c>
      <c r="M145" s="84" t="s">
        <v>569</v>
      </c>
    </row>
    <row r="146" spans="1:13" x14ac:dyDescent="0.25">
      <c r="A146" s="83">
        <v>636547</v>
      </c>
      <c r="B146" s="84" t="s">
        <v>557</v>
      </c>
      <c r="C146" s="85">
        <f t="shared" si="4"/>
        <v>45729</v>
      </c>
      <c r="D146" s="84" t="s">
        <v>558</v>
      </c>
      <c r="E146" s="84" t="s">
        <v>559</v>
      </c>
      <c r="F146" s="84" t="s">
        <v>570</v>
      </c>
      <c r="G146" s="84" t="s">
        <v>691</v>
      </c>
      <c r="H146" s="84" t="s">
        <v>572</v>
      </c>
      <c r="I146" s="84" t="s">
        <v>573</v>
      </c>
      <c r="J146" s="86">
        <v>275</v>
      </c>
      <c r="K146" s="86">
        <v>0</v>
      </c>
      <c r="L146" s="84" t="s">
        <v>574</v>
      </c>
      <c r="M146" s="84" t="s">
        <v>569</v>
      </c>
    </row>
    <row r="147" spans="1:13" x14ac:dyDescent="0.25">
      <c r="A147" s="83">
        <v>636548</v>
      </c>
      <c r="B147" s="84" t="s">
        <v>557</v>
      </c>
      <c r="C147" s="85">
        <f t="shared" si="4"/>
        <v>45729</v>
      </c>
      <c r="D147" s="84" t="s">
        <v>558</v>
      </c>
      <c r="E147" s="84" t="s">
        <v>559</v>
      </c>
      <c r="F147" s="84" t="s">
        <v>695</v>
      </c>
      <c r="G147" s="84" t="s">
        <v>696</v>
      </c>
      <c r="H147" s="84" t="s">
        <v>572</v>
      </c>
      <c r="I147" s="84" t="s">
        <v>573</v>
      </c>
      <c r="J147" s="86">
        <v>149.05000000000001</v>
      </c>
      <c r="K147" s="86">
        <v>0</v>
      </c>
      <c r="L147" s="84" t="s">
        <v>574</v>
      </c>
      <c r="M147" s="84" t="s">
        <v>569</v>
      </c>
    </row>
    <row r="148" spans="1:13" x14ac:dyDescent="0.25">
      <c r="A148" s="83">
        <v>636548</v>
      </c>
      <c r="B148" s="84" t="s">
        <v>557</v>
      </c>
      <c r="C148" s="85">
        <f t="shared" si="4"/>
        <v>45729</v>
      </c>
      <c r="D148" s="84" t="s">
        <v>558</v>
      </c>
      <c r="E148" s="84" t="s">
        <v>559</v>
      </c>
      <c r="F148" s="84" t="s">
        <v>695</v>
      </c>
      <c r="G148" s="84" t="s">
        <v>696</v>
      </c>
      <c r="H148" s="84" t="s">
        <v>623</v>
      </c>
      <c r="I148" s="84" t="s">
        <v>624</v>
      </c>
      <c r="J148" s="86">
        <v>285.77</v>
      </c>
      <c r="K148" s="86">
        <v>0</v>
      </c>
      <c r="L148" s="84" t="s">
        <v>625</v>
      </c>
      <c r="M148" s="84" t="s">
        <v>327</v>
      </c>
    </row>
    <row r="149" spans="1:13" x14ac:dyDescent="0.25">
      <c r="A149" s="83">
        <v>636549</v>
      </c>
      <c r="B149" s="84" t="s">
        <v>557</v>
      </c>
      <c r="C149" s="85">
        <f t="shared" si="4"/>
        <v>45729</v>
      </c>
      <c r="D149" s="84" t="s">
        <v>558</v>
      </c>
      <c r="E149" s="84" t="s">
        <v>559</v>
      </c>
      <c r="F149" s="84" t="s">
        <v>579</v>
      </c>
      <c r="G149" s="84" t="s">
        <v>697</v>
      </c>
      <c r="H149" s="84" t="s">
        <v>681</v>
      </c>
      <c r="I149" s="84" t="s">
        <v>682</v>
      </c>
      <c r="J149" s="86">
        <v>14</v>
      </c>
      <c r="K149" s="86">
        <v>0</v>
      </c>
      <c r="L149" s="84" t="s">
        <v>683</v>
      </c>
      <c r="M149" s="84" t="s">
        <v>336</v>
      </c>
    </row>
    <row r="150" spans="1:13" x14ac:dyDescent="0.25">
      <c r="A150" s="83">
        <v>636550</v>
      </c>
      <c r="B150" s="84" t="s">
        <v>557</v>
      </c>
      <c r="C150" s="85">
        <f t="shared" si="4"/>
        <v>45729</v>
      </c>
      <c r="D150" s="84" t="s">
        <v>558</v>
      </c>
      <c r="E150" s="84" t="s">
        <v>559</v>
      </c>
      <c r="F150" s="84" t="s">
        <v>565</v>
      </c>
      <c r="G150" s="84" t="s">
        <v>698</v>
      </c>
      <c r="H150" s="84" t="s">
        <v>567</v>
      </c>
      <c r="I150" s="84" t="s">
        <v>275</v>
      </c>
      <c r="J150" s="86">
        <v>1125.6400000000001</v>
      </c>
      <c r="K150" s="86">
        <v>0</v>
      </c>
      <c r="L150" s="84" t="s">
        <v>568</v>
      </c>
      <c r="M150" s="84" t="s">
        <v>569</v>
      </c>
    </row>
    <row r="151" spans="1:13" x14ac:dyDescent="0.25">
      <c r="A151" s="83">
        <v>636551</v>
      </c>
      <c r="B151" s="84" t="s">
        <v>557</v>
      </c>
      <c r="C151" s="85">
        <f t="shared" si="4"/>
        <v>45729</v>
      </c>
      <c r="D151" s="84" t="s">
        <v>558</v>
      </c>
      <c r="E151" s="84" t="s">
        <v>559</v>
      </c>
      <c r="F151" s="84" t="s">
        <v>619</v>
      </c>
      <c r="G151" s="84" t="s">
        <v>699</v>
      </c>
      <c r="H151" s="84" t="s">
        <v>572</v>
      </c>
      <c r="I151" s="84" t="s">
        <v>573</v>
      </c>
      <c r="J151" s="86">
        <v>48.4</v>
      </c>
      <c r="K151" s="86">
        <v>0</v>
      </c>
      <c r="L151" s="84" t="s">
        <v>574</v>
      </c>
      <c r="M151" s="84" t="s">
        <v>569</v>
      </c>
    </row>
    <row r="152" spans="1:13" x14ac:dyDescent="0.25">
      <c r="A152" s="83">
        <v>636552</v>
      </c>
      <c r="B152" s="84" t="s">
        <v>557</v>
      </c>
      <c r="C152" s="85">
        <f t="shared" si="4"/>
        <v>45729</v>
      </c>
      <c r="D152" s="84" t="s">
        <v>558</v>
      </c>
      <c r="E152" s="84" t="s">
        <v>559</v>
      </c>
      <c r="F152" s="84" t="s">
        <v>700</v>
      </c>
      <c r="G152" s="84" t="s">
        <v>701</v>
      </c>
      <c r="H152" s="84" t="s">
        <v>535</v>
      </c>
      <c r="I152" s="84" t="s">
        <v>534</v>
      </c>
      <c r="J152" s="86">
        <v>125</v>
      </c>
      <c r="K152" s="86">
        <v>0</v>
      </c>
      <c r="L152" s="84" t="s">
        <v>536</v>
      </c>
      <c r="M152" s="84" t="s">
        <v>531</v>
      </c>
    </row>
    <row r="153" spans="1:13" x14ac:dyDescent="0.25">
      <c r="A153" s="83">
        <v>636552</v>
      </c>
      <c r="B153" s="84" t="s">
        <v>557</v>
      </c>
      <c r="C153" s="85">
        <f t="shared" si="4"/>
        <v>45729</v>
      </c>
      <c r="D153" s="84" t="s">
        <v>558</v>
      </c>
      <c r="E153" s="84" t="s">
        <v>559</v>
      </c>
      <c r="F153" s="84" t="s">
        <v>700</v>
      </c>
      <c r="G153" s="84" t="s">
        <v>701</v>
      </c>
      <c r="H153" s="84" t="s">
        <v>702</v>
      </c>
      <c r="I153" s="84" t="s">
        <v>703</v>
      </c>
      <c r="J153" s="86">
        <v>96.87</v>
      </c>
      <c r="K153" s="86">
        <v>0</v>
      </c>
      <c r="L153" s="84" t="s">
        <v>578</v>
      </c>
      <c r="M153" s="84" t="s">
        <v>310</v>
      </c>
    </row>
    <row r="154" spans="1:13" x14ac:dyDescent="0.25">
      <c r="A154" s="83">
        <v>636552</v>
      </c>
      <c r="B154" s="84" t="s">
        <v>557</v>
      </c>
      <c r="C154" s="85">
        <f t="shared" si="4"/>
        <v>45729</v>
      </c>
      <c r="D154" s="84" t="s">
        <v>558</v>
      </c>
      <c r="E154" s="84" t="s">
        <v>559</v>
      </c>
      <c r="F154" s="84" t="s">
        <v>700</v>
      </c>
      <c r="G154" s="84" t="s">
        <v>701</v>
      </c>
      <c r="H154" s="84" t="s">
        <v>581</v>
      </c>
      <c r="I154" s="84" t="s">
        <v>582</v>
      </c>
      <c r="J154" s="86">
        <v>175</v>
      </c>
      <c r="K154" s="86">
        <v>0</v>
      </c>
      <c r="L154" s="84" t="s">
        <v>583</v>
      </c>
      <c r="M154" s="84" t="s">
        <v>336</v>
      </c>
    </row>
    <row r="155" spans="1:13" x14ac:dyDescent="0.25">
      <c r="A155" s="83">
        <v>636553</v>
      </c>
      <c r="B155" s="84" t="s">
        <v>557</v>
      </c>
      <c r="C155" s="85">
        <f t="shared" si="4"/>
        <v>45729</v>
      </c>
      <c r="D155" s="84" t="s">
        <v>558</v>
      </c>
      <c r="E155" s="84" t="s">
        <v>559</v>
      </c>
      <c r="F155" s="84" t="s">
        <v>704</v>
      </c>
      <c r="G155" s="84" t="s">
        <v>705</v>
      </c>
      <c r="H155" s="84" t="s">
        <v>596</v>
      </c>
      <c r="I155" s="84" t="s">
        <v>597</v>
      </c>
      <c r="J155" s="86">
        <v>522</v>
      </c>
      <c r="K155" s="86">
        <v>0</v>
      </c>
      <c r="L155" s="84" t="s">
        <v>598</v>
      </c>
      <c r="M155" s="84" t="s">
        <v>327</v>
      </c>
    </row>
    <row r="156" spans="1:13" x14ac:dyDescent="0.25">
      <c r="A156" s="83">
        <v>636575</v>
      </c>
      <c r="B156" s="84" t="s">
        <v>303</v>
      </c>
      <c r="C156" s="85">
        <f t="shared" ref="C156:C219" si="5">DATE(2025,3,14)</f>
        <v>45730</v>
      </c>
      <c r="D156" s="84" t="s">
        <v>706</v>
      </c>
      <c r="E156" s="84" t="s">
        <v>305</v>
      </c>
      <c r="F156" s="84" t="s">
        <v>306</v>
      </c>
      <c r="G156" s="84" t="s">
        <v>306</v>
      </c>
      <c r="H156" s="84" t="s">
        <v>307</v>
      </c>
      <c r="I156" s="84" t="s">
        <v>308</v>
      </c>
      <c r="J156" s="86">
        <v>7525.92</v>
      </c>
      <c r="K156" s="86">
        <v>0</v>
      </c>
      <c r="L156" s="84" t="s">
        <v>309</v>
      </c>
      <c r="M156" s="84" t="s">
        <v>310</v>
      </c>
    </row>
    <row r="157" spans="1:13" x14ac:dyDescent="0.25">
      <c r="A157" s="83">
        <v>636575</v>
      </c>
      <c r="B157" s="84" t="s">
        <v>303</v>
      </c>
      <c r="C157" s="85">
        <f t="shared" si="5"/>
        <v>45730</v>
      </c>
      <c r="D157" s="84" t="s">
        <v>706</v>
      </c>
      <c r="E157" s="84" t="s">
        <v>311</v>
      </c>
      <c r="F157" s="84" t="s">
        <v>306</v>
      </c>
      <c r="G157" s="84" t="s">
        <v>306</v>
      </c>
      <c r="H157" s="84" t="s">
        <v>312</v>
      </c>
      <c r="I157" s="84" t="s">
        <v>313</v>
      </c>
      <c r="J157" s="86">
        <v>453.78</v>
      </c>
      <c r="K157" s="86">
        <v>0</v>
      </c>
      <c r="L157" s="84" t="s">
        <v>314</v>
      </c>
      <c r="M157" s="84" t="s">
        <v>310</v>
      </c>
    </row>
    <row r="158" spans="1:13" x14ac:dyDescent="0.25">
      <c r="A158" s="83">
        <v>636575</v>
      </c>
      <c r="B158" s="84" t="s">
        <v>303</v>
      </c>
      <c r="C158" s="85">
        <f t="shared" si="5"/>
        <v>45730</v>
      </c>
      <c r="D158" s="84" t="s">
        <v>706</v>
      </c>
      <c r="E158" s="84" t="s">
        <v>315</v>
      </c>
      <c r="F158" s="84" t="s">
        <v>306</v>
      </c>
      <c r="G158" s="84" t="s">
        <v>306</v>
      </c>
      <c r="H158" s="84" t="s">
        <v>316</v>
      </c>
      <c r="I158" s="84" t="s">
        <v>317</v>
      </c>
      <c r="J158" s="86">
        <v>106.13</v>
      </c>
      <c r="K158" s="86">
        <v>0</v>
      </c>
      <c r="L158" s="84" t="s">
        <v>318</v>
      </c>
      <c r="M158" s="84" t="s">
        <v>310</v>
      </c>
    </row>
    <row r="159" spans="1:13" x14ac:dyDescent="0.25">
      <c r="A159" s="83">
        <v>636575</v>
      </c>
      <c r="B159" s="84" t="s">
        <v>303</v>
      </c>
      <c r="C159" s="85">
        <f t="shared" si="5"/>
        <v>45730</v>
      </c>
      <c r="D159" s="84" t="s">
        <v>706</v>
      </c>
      <c r="E159" s="84" t="s">
        <v>527</v>
      </c>
      <c r="F159" s="84" t="s">
        <v>306</v>
      </c>
      <c r="G159" s="84" t="s">
        <v>306</v>
      </c>
      <c r="H159" s="84" t="s">
        <v>526</v>
      </c>
      <c r="I159" s="84" t="s">
        <v>527</v>
      </c>
      <c r="J159" s="86">
        <v>0</v>
      </c>
      <c r="K159" s="86">
        <v>269.43</v>
      </c>
      <c r="L159" s="84" t="s">
        <v>528</v>
      </c>
      <c r="M159" s="84" t="s">
        <v>310</v>
      </c>
    </row>
    <row r="160" spans="1:13" x14ac:dyDescent="0.25">
      <c r="A160" s="83">
        <v>636575</v>
      </c>
      <c r="B160" s="84" t="s">
        <v>303</v>
      </c>
      <c r="C160" s="85">
        <f t="shared" si="5"/>
        <v>45730</v>
      </c>
      <c r="D160" s="84" t="s">
        <v>706</v>
      </c>
      <c r="E160" s="84" t="s">
        <v>319</v>
      </c>
      <c r="F160" s="84" t="s">
        <v>306</v>
      </c>
      <c r="G160" s="84" t="s">
        <v>306</v>
      </c>
      <c r="H160" s="84" t="s">
        <v>320</v>
      </c>
      <c r="I160" s="84" t="s">
        <v>321</v>
      </c>
      <c r="J160" s="86">
        <v>38.46</v>
      </c>
      <c r="K160" s="86">
        <v>0</v>
      </c>
      <c r="L160" s="84" t="s">
        <v>322</v>
      </c>
      <c r="M160" s="84" t="s">
        <v>310</v>
      </c>
    </row>
    <row r="161" spans="1:13" x14ac:dyDescent="0.25">
      <c r="A161" s="83">
        <v>636576</v>
      </c>
      <c r="B161" s="84" t="s">
        <v>303</v>
      </c>
      <c r="C161" s="85">
        <f t="shared" si="5"/>
        <v>45730</v>
      </c>
      <c r="D161" s="84" t="s">
        <v>707</v>
      </c>
      <c r="E161" s="84" t="s">
        <v>305</v>
      </c>
      <c r="F161" s="84" t="s">
        <v>306</v>
      </c>
      <c r="G161" s="84" t="s">
        <v>306</v>
      </c>
      <c r="H161" s="84" t="s">
        <v>307</v>
      </c>
      <c r="I161" s="84" t="s">
        <v>308</v>
      </c>
      <c r="J161" s="86">
        <v>920.05</v>
      </c>
      <c r="K161" s="86">
        <v>0</v>
      </c>
      <c r="L161" s="84" t="s">
        <v>309</v>
      </c>
      <c r="M161" s="84" t="s">
        <v>310</v>
      </c>
    </row>
    <row r="162" spans="1:13" x14ac:dyDescent="0.25">
      <c r="A162" s="83">
        <v>636576</v>
      </c>
      <c r="B162" s="84" t="s">
        <v>303</v>
      </c>
      <c r="C162" s="85">
        <f t="shared" si="5"/>
        <v>45730</v>
      </c>
      <c r="D162" s="84" t="s">
        <v>707</v>
      </c>
      <c r="E162" s="84" t="s">
        <v>324</v>
      </c>
      <c r="F162" s="84" t="s">
        <v>306</v>
      </c>
      <c r="G162" s="84" t="s">
        <v>306</v>
      </c>
      <c r="H162" s="84" t="s">
        <v>325</v>
      </c>
      <c r="I162" s="84" t="s">
        <v>326</v>
      </c>
      <c r="J162" s="86">
        <v>15000.27</v>
      </c>
      <c r="K162" s="86">
        <v>0</v>
      </c>
      <c r="L162" s="84" t="s">
        <v>309</v>
      </c>
      <c r="M162" s="84" t="s">
        <v>327</v>
      </c>
    </row>
    <row r="163" spans="1:13" x14ac:dyDescent="0.25">
      <c r="A163" s="83">
        <v>636576</v>
      </c>
      <c r="B163" s="84" t="s">
        <v>303</v>
      </c>
      <c r="C163" s="85">
        <f t="shared" si="5"/>
        <v>45730</v>
      </c>
      <c r="D163" s="84" t="s">
        <v>707</v>
      </c>
      <c r="E163" s="84" t="s">
        <v>328</v>
      </c>
      <c r="F163" s="84" t="s">
        <v>306</v>
      </c>
      <c r="G163" s="84" t="s">
        <v>306</v>
      </c>
      <c r="H163" s="84" t="s">
        <v>329</v>
      </c>
      <c r="I163" s="84" t="s">
        <v>330</v>
      </c>
      <c r="J163" s="86">
        <v>2162.36</v>
      </c>
      <c r="K163" s="86">
        <v>0</v>
      </c>
      <c r="L163" s="84" t="s">
        <v>309</v>
      </c>
      <c r="M163" s="84" t="s">
        <v>331</v>
      </c>
    </row>
    <row r="164" spans="1:13" x14ac:dyDescent="0.25">
      <c r="A164" s="83">
        <v>636576</v>
      </c>
      <c r="B164" s="84" t="s">
        <v>303</v>
      </c>
      <c r="C164" s="85">
        <f t="shared" si="5"/>
        <v>45730</v>
      </c>
      <c r="D164" s="84" t="s">
        <v>707</v>
      </c>
      <c r="E164" s="84" t="s">
        <v>332</v>
      </c>
      <c r="F164" s="84" t="s">
        <v>306</v>
      </c>
      <c r="G164" s="84" t="s">
        <v>306</v>
      </c>
      <c r="H164" s="84" t="s">
        <v>333</v>
      </c>
      <c r="I164" s="84" t="s">
        <v>334</v>
      </c>
      <c r="J164" s="86">
        <v>2115.39</v>
      </c>
      <c r="K164" s="86">
        <v>0</v>
      </c>
      <c r="L164" s="84" t="s">
        <v>335</v>
      </c>
      <c r="M164" s="84" t="s">
        <v>336</v>
      </c>
    </row>
    <row r="165" spans="1:13" x14ac:dyDescent="0.25">
      <c r="A165" s="83">
        <v>636576</v>
      </c>
      <c r="B165" s="84" t="s">
        <v>303</v>
      </c>
      <c r="C165" s="85">
        <f t="shared" si="5"/>
        <v>45730</v>
      </c>
      <c r="D165" s="84" t="s">
        <v>707</v>
      </c>
      <c r="E165" s="84" t="s">
        <v>337</v>
      </c>
      <c r="F165" s="84" t="s">
        <v>306</v>
      </c>
      <c r="G165" s="84" t="s">
        <v>306</v>
      </c>
      <c r="H165" s="84" t="s">
        <v>338</v>
      </c>
      <c r="I165" s="84" t="s">
        <v>339</v>
      </c>
      <c r="J165" s="86">
        <v>1401.48</v>
      </c>
      <c r="K165" s="86">
        <v>0</v>
      </c>
      <c r="L165" s="84" t="s">
        <v>309</v>
      </c>
      <c r="M165" s="84" t="s">
        <v>340</v>
      </c>
    </row>
    <row r="166" spans="1:13" x14ac:dyDescent="0.25">
      <c r="A166" s="83">
        <v>636576</v>
      </c>
      <c r="B166" s="84" t="s">
        <v>303</v>
      </c>
      <c r="C166" s="85">
        <f t="shared" si="5"/>
        <v>45730</v>
      </c>
      <c r="D166" s="84" t="s">
        <v>707</v>
      </c>
      <c r="E166" s="84" t="s">
        <v>341</v>
      </c>
      <c r="F166" s="84" t="s">
        <v>306</v>
      </c>
      <c r="G166" s="84" t="s">
        <v>306</v>
      </c>
      <c r="H166" s="84" t="s">
        <v>342</v>
      </c>
      <c r="I166" s="84" t="s">
        <v>343</v>
      </c>
      <c r="J166" s="86">
        <v>2884.62</v>
      </c>
      <c r="K166" s="86">
        <v>0</v>
      </c>
      <c r="L166" s="84" t="s">
        <v>309</v>
      </c>
      <c r="M166" s="84" t="s">
        <v>344</v>
      </c>
    </row>
    <row r="167" spans="1:13" x14ac:dyDescent="0.25">
      <c r="A167" s="83">
        <v>636576</v>
      </c>
      <c r="B167" s="84" t="s">
        <v>303</v>
      </c>
      <c r="C167" s="85">
        <f t="shared" si="5"/>
        <v>45730</v>
      </c>
      <c r="D167" s="84" t="s">
        <v>707</v>
      </c>
      <c r="E167" s="84" t="s">
        <v>345</v>
      </c>
      <c r="F167" s="84" t="s">
        <v>306</v>
      </c>
      <c r="G167" s="84" t="s">
        <v>306</v>
      </c>
      <c r="H167" s="84" t="s">
        <v>346</v>
      </c>
      <c r="I167" s="84" t="s">
        <v>347</v>
      </c>
      <c r="J167" s="86">
        <v>7991.68</v>
      </c>
      <c r="K167" s="86">
        <v>0</v>
      </c>
      <c r="L167" s="84" t="s">
        <v>309</v>
      </c>
      <c r="M167" s="84" t="s">
        <v>348</v>
      </c>
    </row>
    <row r="168" spans="1:13" x14ac:dyDescent="0.25">
      <c r="A168" s="83">
        <v>636576</v>
      </c>
      <c r="B168" s="84" t="s">
        <v>303</v>
      </c>
      <c r="C168" s="85">
        <f t="shared" si="5"/>
        <v>45730</v>
      </c>
      <c r="D168" s="84" t="s">
        <v>707</v>
      </c>
      <c r="E168" s="84" t="s">
        <v>349</v>
      </c>
      <c r="F168" s="84" t="s">
        <v>306</v>
      </c>
      <c r="G168" s="84" t="s">
        <v>306</v>
      </c>
      <c r="H168" s="84" t="s">
        <v>350</v>
      </c>
      <c r="I168" s="84" t="s">
        <v>351</v>
      </c>
      <c r="J168" s="86">
        <v>3036.49</v>
      </c>
      <c r="K168" s="86">
        <v>0</v>
      </c>
      <c r="L168" s="84" t="s">
        <v>309</v>
      </c>
      <c r="M168" s="84" t="s">
        <v>352</v>
      </c>
    </row>
    <row r="169" spans="1:13" x14ac:dyDescent="0.25">
      <c r="A169" s="83">
        <v>636576</v>
      </c>
      <c r="B169" s="84" t="s">
        <v>303</v>
      </c>
      <c r="C169" s="85">
        <f t="shared" si="5"/>
        <v>45730</v>
      </c>
      <c r="D169" s="84" t="s">
        <v>707</v>
      </c>
      <c r="E169" s="84" t="s">
        <v>353</v>
      </c>
      <c r="F169" s="84" t="s">
        <v>306</v>
      </c>
      <c r="G169" s="84" t="s">
        <v>306</v>
      </c>
      <c r="H169" s="84" t="s">
        <v>354</v>
      </c>
      <c r="I169" s="84" t="s">
        <v>355</v>
      </c>
      <c r="J169" s="86">
        <v>1344.66</v>
      </c>
      <c r="K169" s="86">
        <v>0</v>
      </c>
      <c r="L169" s="84" t="s">
        <v>309</v>
      </c>
      <c r="M169" s="84" t="s">
        <v>356</v>
      </c>
    </row>
    <row r="170" spans="1:13" x14ac:dyDescent="0.25">
      <c r="A170" s="83">
        <v>636576</v>
      </c>
      <c r="B170" s="84" t="s">
        <v>303</v>
      </c>
      <c r="C170" s="85">
        <f t="shared" si="5"/>
        <v>45730</v>
      </c>
      <c r="D170" s="84" t="s">
        <v>707</v>
      </c>
      <c r="E170" s="84" t="s">
        <v>357</v>
      </c>
      <c r="F170" s="84" t="s">
        <v>306</v>
      </c>
      <c r="G170" s="84" t="s">
        <v>306</v>
      </c>
      <c r="H170" s="84" t="s">
        <v>358</v>
      </c>
      <c r="I170" s="84" t="s">
        <v>359</v>
      </c>
      <c r="J170" s="86">
        <v>14524.95</v>
      </c>
      <c r="K170" s="86">
        <v>0</v>
      </c>
      <c r="L170" s="84" t="s">
        <v>360</v>
      </c>
      <c r="M170" s="84" t="s">
        <v>361</v>
      </c>
    </row>
    <row r="171" spans="1:13" x14ac:dyDescent="0.25">
      <c r="A171" s="83">
        <v>636576</v>
      </c>
      <c r="B171" s="84" t="s">
        <v>303</v>
      </c>
      <c r="C171" s="85">
        <f t="shared" si="5"/>
        <v>45730</v>
      </c>
      <c r="D171" s="84" t="s">
        <v>707</v>
      </c>
      <c r="E171" s="84" t="s">
        <v>362</v>
      </c>
      <c r="F171" s="84" t="s">
        <v>306</v>
      </c>
      <c r="G171" s="84" t="s">
        <v>306</v>
      </c>
      <c r="H171" s="84" t="s">
        <v>363</v>
      </c>
      <c r="I171" s="84" t="s">
        <v>364</v>
      </c>
      <c r="J171" s="86">
        <v>15087.45</v>
      </c>
      <c r="K171" s="86">
        <v>0</v>
      </c>
      <c r="L171" s="84" t="s">
        <v>365</v>
      </c>
      <c r="M171" s="84" t="s">
        <v>361</v>
      </c>
    </row>
    <row r="172" spans="1:13" x14ac:dyDescent="0.25">
      <c r="A172" s="83">
        <v>636576</v>
      </c>
      <c r="B172" s="84" t="s">
        <v>303</v>
      </c>
      <c r="C172" s="85">
        <f t="shared" si="5"/>
        <v>45730</v>
      </c>
      <c r="D172" s="84" t="s">
        <v>707</v>
      </c>
      <c r="E172" s="84" t="s">
        <v>366</v>
      </c>
      <c r="F172" s="84" t="s">
        <v>306</v>
      </c>
      <c r="G172" s="84" t="s">
        <v>306</v>
      </c>
      <c r="H172" s="84" t="s">
        <v>367</v>
      </c>
      <c r="I172" s="84" t="s">
        <v>368</v>
      </c>
      <c r="J172" s="86">
        <v>2713.17</v>
      </c>
      <c r="K172" s="86">
        <v>0</v>
      </c>
      <c r="L172" s="84" t="s">
        <v>309</v>
      </c>
      <c r="M172" s="84" t="s">
        <v>369</v>
      </c>
    </row>
    <row r="173" spans="1:13" x14ac:dyDescent="0.25">
      <c r="A173" s="83">
        <v>636576</v>
      </c>
      <c r="B173" s="84" t="s">
        <v>303</v>
      </c>
      <c r="C173" s="85">
        <f t="shared" si="5"/>
        <v>45730</v>
      </c>
      <c r="D173" s="84" t="s">
        <v>707</v>
      </c>
      <c r="E173" s="84" t="s">
        <v>341</v>
      </c>
      <c r="F173" s="84" t="s">
        <v>306</v>
      </c>
      <c r="G173" s="84" t="s">
        <v>306</v>
      </c>
      <c r="H173" s="84" t="s">
        <v>370</v>
      </c>
      <c r="I173" s="84" t="s">
        <v>371</v>
      </c>
      <c r="J173" s="86">
        <v>2884.62</v>
      </c>
      <c r="K173" s="86">
        <v>0</v>
      </c>
      <c r="L173" s="84" t="s">
        <v>309</v>
      </c>
      <c r="M173" s="84" t="s">
        <v>372</v>
      </c>
    </row>
    <row r="174" spans="1:13" x14ac:dyDescent="0.25">
      <c r="A174" s="83">
        <v>636576</v>
      </c>
      <c r="B174" s="84" t="s">
        <v>303</v>
      </c>
      <c r="C174" s="85">
        <f t="shared" si="5"/>
        <v>45730</v>
      </c>
      <c r="D174" s="84" t="s">
        <v>707</v>
      </c>
      <c r="E174" s="84" t="s">
        <v>311</v>
      </c>
      <c r="F174" s="84" t="s">
        <v>306</v>
      </c>
      <c r="G174" s="84" t="s">
        <v>306</v>
      </c>
      <c r="H174" s="84" t="s">
        <v>312</v>
      </c>
      <c r="I174" s="84" t="s">
        <v>313</v>
      </c>
      <c r="J174" s="86">
        <v>57.04</v>
      </c>
      <c r="K174" s="86">
        <v>0</v>
      </c>
      <c r="L174" s="84" t="s">
        <v>314</v>
      </c>
      <c r="M174" s="84" t="s">
        <v>310</v>
      </c>
    </row>
    <row r="175" spans="1:13" x14ac:dyDescent="0.25">
      <c r="A175" s="83">
        <v>636576</v>
      </c>
      <c r="B175" s="84" t="s">
        <v>303</v>
      </c>
      <c r="C175" s="85">
        <f t="shared" si="5"/>
        <v>45730</v>
      </c>
      <c r="D175" s="84" t="s">
        <v>707</v>
      </c>
      <c r="E175" s="84" t="s">
        <v>315</v>
      </c>
      <c r="F175" s="84" t="s">
        <v>306</v>
      </c>
      <c r="G175" s="84" t="s">
        <v>306</v>
      </c>
      <c r="H175" s="84" t="s">
        <v>316</v>
      </c>
      <c r="I175" s="84" t="s">
        <v>317</v>
      </c>
      <c r="J175" s="86">
        <v>13.35</v>
      </c>
      <c r="K175" s="86">
        <v>0</v>
      </c>
      <c r="L175" s="84" t="s">
        <v>318</v>
      </c>
      <c r="M175" s="84" t="s">
        <v>310</v>
      </c>
    </row>
    <row r="176" spans="1:13" x14ac:dyDescent="0.25">
      <c r="A176" s="83">
        <v>636576</v>
      </c>
      <c r="B176" s="84" t="s">
        <v>303</v>
      </c>
      <c r="C176" s="85">
        <f t="shared" si="5"/>
        <v>45730</v>
      </c>
      <c r="D176" s="84" t="s">
        <v>707</v>
      </c>
      <c r="E176" s="84" t="s">
        <v>373</v>
      </c>
      <c r="F176" s="84" t="s">
        <v>306</v>
      </c>
      <c r="G176" s="84" t="s">
        <v>306</v>
      </c>
      <c r="H176" s="84" t="s">
        <v>374</v>
      </c>
      <c r="I176" s="84" t="s">
        <v>375</v>
      </c>
      <c r="J176" s="86">
        <v>5.52</v>
      </c>
      <c r="K176" s="86">
        <v>0</v>
      </c>
      <c r="L176" s="84" t="s">
        <v>376</v>
      </c>
      <c r="M176" s="84" t="s">
        <v>310</v>
      </c>
    </row>
    <row r="177" spans="1:13" x14ac:dyDescent="0.25">
      <c r="A177" s="83">
        <v>636576</v>
      </c>
      <c r="B177" s="84" t="s">
        <v>303</v>
      </c>
      <c r="C177" s="85">
        <f t="shared" si="5"/>
        <v>45730</v>
      </c>
      <c r="D177" s="84" t="s">
        <v>707</v>
      </c>
      <c r="E177" s="84" t="s">
        <v>377</v>
      </c>
      <c r="F177" s="84" t="s">
        <v>306</v>
      </c>
      <c r="G177" s="84" t="s">
        <v>306</v>
      </c>
      <c r="H177" s="84" t="s">
        <v>378</v>
      </c>
      <c r="I177" s="84" t="s">
        <v>379</v>
      </c>
      <c r="J177" s="86">
        <v>6.44</v>
      </c>
      <c r="K177" s="86">
        <v>0</v>
      </c>
      <c r="L177" s="84" t="s">
        <v>380</v>
      </c>
      <c r="M177" s="84" t="s">
        <v>310</v>
      </c>
    </row>
    <row r="178" spans="1:13" x14ac:dyDescent="0.25">
      <c r="A178" s="83">
        <v>636576</v>
      </c>
      <c r="B178" s="84" t="s">
        <v>303</v>
      </c>
      <c r="C178" s="85">
        <f t="shared" si="5"/>
        <v>45730</v>
      </c>
      <c r="D178" s="84" t="s">
        <v>707</v>
      </c>
      <c r="E178" s="84" t="s">
        <v>527</v>
      </c>
      <c r="F178" s="84" t="s">
        <v>306</v>
      </c>
      <c r="G178" s="84" t="s">
        <v>306</v>
      </c>
      <c r="H178" s="84" t="s">
        <v>526</v>
      </c>
      <c r="I178" s="84" t="s">
        <v>527</v>
      </c>
      <c r="J178" s="86">
        <v>0</v>
      </c>
      <c r="K178" s="86">
        <v>4205.8900000000003</v>
      </c>
      <c r="L178" s="84" t="s">
        <v>528</v>
      </c>
      <c r="M178" s="84" t="s">
        <v>310</v>
      </c>
    </row>
    <row r="179" spans="1:13" x14ac:dyDescent="0.25">
      <c r="A179" s="83">
        <v>636576</v>
      </c>
      <c r="B179" s="84" t="s">
        <v>303</v>
      </c>
      <c r="C179" s="85">
        <f t="shared" si="5"/>
        <v>45730</v>
      </c>
      <c r="D179" s="84" t="s">
        <v>707</v>
      </c>
      <c r="E179" s="84" t="s">
        <v>319</v>
      </c>
      <c r="F179" s="84" t="s">
        <v>306</v>
      </c>
      <c r="G179" s="84" t="s">
        <v>306</v>
      </c>
      <c r="H179" s="84" t="s">
        <v>320</v>
      </c>
      <c r="I179" s="84" t="s">
        <v>321</v>
      </c>
      <c r="J179" s="86">
        <v>115.38</v>
      </c>
      <c r="K179" s="86">
        <v>0</v>
      </c>
      <c r="L179" s="84" t="s">
        <v>322</v>
      </c>
      <c r="M179" s="84" t="s">
        <v>310</v>
      </c>
    </row>
    <row r="180" spans="1:13" x14ac:dyDescent="0.25">
      <c r="A180" s="83">
        <v>636576</v>
      </c>
      <c r="B180" s="84" t="s">
        <v>303</v>
      </c>
      <c r="C180" s="85">
        <f t="shared" si="5"/>
        <v>45730</v>
      </c>
      <c r="D180" s="84" t="s">
        <v>707</v>
      </c>
      <c r="E180" s="84" t="s">
        <v>381</v>
      </c>
      <c r="F180" s="84" t="s">
        <v>306</v>
      </c>
      <c r="G180" s="84" t="s">
        <v>306</v>
      </c>
      <c r="H180" s="84" t="s">
        <v>382</v>
      </c>
      <c r="I180" s="84" t="s">
        <v>383</v>
      </c>
      <c r="J180" s="86">
        <v>11685.38</v>
      </c>
      <c r="K180" s="86">
        <v>0</v>
      </c>
      <c r="L180" s="84" t="s">
        <v>309</v>
      </c>
      <c r="M180" s="84" t="s">
        <v>336</v>
      </c>
    </row>
    <row r="181" spans="1:13" x14ac:dyDescent="0.25">
      <c r="A181" s="83">
        <v>636576</v>
      </c>
      <c r="B181" s="84" t="s">
        <v>303</v>
      </c>
      <c r="C181" s="85">
        <f t="shared" si="5"/>
        <v>45730</v>
      </c>
      <c r="D181" s="84" t="s">
        <v>707</v>
      </c>
      <c r="E181" s="84" t="s">
        <v>384</v>
      </c>
      <c r="F181" s="84" t="s">
        <v>306</v>
      </c>
      <c r="G181" s="84" t="s">
        <v>306</v>
      </c>
      <c r="H181" s="84" t="s">
        <v>385</v>
      </c>
      <c r="I181" s="84" t="s">
        <v>383</v>
      </c>
      <c r="J181" s="86">
        <v>2403.85</v>
      </c>
      <c r="K181" s="86">
        <v>0</v>
      </c>
      <c r="L181" s="84" t="s">
        <v>309</v>
      </c>
      <c r="M181" s="84" t="s">
        <v>386</v>
      </c>
    </row>
    <row r="182" spans="1:13" x14ac:dyDescent="0.25">
      <c r="A182" s="83">
        <v>636576</v>
      </c>
      <c r="B182" s="84" t="s">
        <v>303</v>
      </c>
      <c r="C182" s="85">
        <f t="shared" si="5"/>
        <v>45730</v>
      </c>
      <c r="D182" s="84" t="s">
        <v>707</v>
      </c>
      <c r="E182" s="84" t="s">
        <v>387</v>
      </c>
      <c r="F182" s="84" t="s">
        <v>306</v>
      </c>
      <c r="G182" s="84" t="s">
        <v>306</v>
      </c>
      <c r="H182" s="84" t="s">
        <v>388</v>
      </c>
      <c r="I182" s="84" t="s">
        <v>389</v>
      </c>
      <c r="J182" s="86">
        <v>1926.07</v>
      </c>
      <c r="K182" s="86">
        <v>0</v>
      </c>
      <c r="L182" s="84" t="s">
        <v>360</v>
      </c>
      <c r="M182" s="84" t="s">
        <v>336</v>
      </c>
    </row>
    <row r="183" spans="1:13" x14ac:dyDescent="0.25">
      <c r="A183" s="83">
        <v>636576</v>
      </c>
      <c r="B183" s="84" t="s">
        <v>303</v>
      </c>
      <c r="C183" s="85">
        <f t="shared" si="5"/>
        <v>45730</v>
      </c>
      <c r="D183" s="84" t="s">
        <v>707</v>
      </c>
      <c r="E183" s="84" t="s">
        <v>390</v>
      </c>
      <c r="F183" s="84" t="s">
        <v>306</v>
      </c>
      <c r="G183" s="84" t="s">
        <v>306</v>
      </c>
      <c r="H183" s="84" t="s">
        <v>391</v>
      </c>
      <c r="I183" s="84" t="s">
        <v>392</v>
      </c>
      <c r="J183" s="86">
        <v>520.65</v>
      </c>
      <c r="K183" s="86">
        <v>0</v>
      </c>
      <c r="L183" s="84" t="s">
        <v>393</v>
      </c>
      <c r="M183" s="84" t="s">
        <v>394</v>
      </c>
    </row>
    <row r="184" spans="1:13" x14ac:dyDescent="0.25">
      <c r="A184" s="83">
        <v>636576</v>
      </c>
      <c r="B184" s="84" t="s">
        <v>303</v>
      </c>
      <c r="C184" s="85">
        <f t="shared" si="5"/>
        <v>45730</v>
      </c>
      <c r="D184" s="84" t="s">
        <v>707</v>
      </c>
      <c r="E184" s="84" t="s">
        <v>332</v>
      </c>
      <c r="F184" s="84" t="s">
        <v>306</v>
      </c>
      <c r="G184" s="84" t="s">
        <v>306</v>
      </c>
      <c r="H184" s="84" t="s">
        <v>395</v>
      </c>
      <c r="I184" s="84" t="s">
        <v>396</v>
      </c>
      <c r="J184" s="86">
        <v>1509.59</v>
      </c>
      <c r="K184" s="86">
        <v>0</v>
      </c>
      <c r="L184" s="84" t="s">
        <v>335</v>
      </c>
      <c r="M184" s="84" t="s">
        <v>361</v>
      </c>
    </row>
    <row r="185" spans="1:13" x14ac:dyDescent="0.25">
      <c r="A185" s="83">
        <v>636576</v>
      </c>
      <c r="B185" s="84" t="s">
        <v>303</v>
      </c>
      <c r="C185" s="85">
        <f t="shared" si="5"/>
        <v>45730</v>
      </c>
      <c r="D185" s="84" t="s">
        <v>707</v>
      </c>
      <c r="E185" s="84" t="s">
        <v>332</v>
      </c>
      <c r="F185" s="84" t="s">
        <v>306</v>
      </c>
      <c r="G185" s="84" t="s">
        <v>306</v>
      </c>
      <c r="H185" s="84" t="s">
        <v>397</v>
      </c>
      <c r="I185" s="84" t="s">
        <v>396</v>
      </c>
      <c r="J185" s="86">
        <v>6867.95</v>
      </c>
      <c r="K185" s="86">
        <v>0</v>
      </c>
      <c r="L185" s="84" t="s">
        <v>335</v>
      </c>
      <c r="M185" s="84" t="s">
        <v>398</v>
      </c>
    </row>
    <row r="186" spans="1:13" x14ac:dyDescent="0.25">
      <c r="A186" s="83">
        <v>636576</v>
      </c>
      <c r="B186" s="84" t="s">
        <v>303</v>
      </c>
      <c r="C186" s="85">
        <f t="shared" si="5"/>
        <v>45730</v>
      </c>
      <c r="D186" s="84" t="s">
        <v>707</v>
      </c>
      <c r="E186" s="84" t="s">
        <v>399</v>
      </c>
      <c r="F186" s="84" t="s">
        <v>306</v>
      </c>
      <c r="G186" s="84" t="s">
        <v>306</v>
      </c>
      <c r="H186" s="84" t="s">
        <v>400</v>
      </c>
      <c r="I186" s="84" t="s">
        <v>396</v>
      </c>
      <c r="J186" s="86">
        <v>4403.21</v>
      </c>
      <c r="K186" s="86">
        <v>0</v>
      </c>
      <c r="L186" s="84" t="s">
        <v>335</v>
      </c>
      <c r="M186" s="84" t="s">
        <v>401</v>
      </c>
    </row>
    <row r="187" spans="1:13" x14ac:dyDescent="0.25">
      <c r="A187" s="83">
        <v>636576</v>
      </c>
      <c r="B187" s="84" t="s">
        <v>303</v>
      </c>
      <c r="C187" s="85">
        <f t="shared" si="5"/>
        <v>45730</v>
      </c>
      <c r="D187" s="84" t="s">
        <v>707</v>
      </c>
      <c r="E187" s="84" t="s">
        <v>402</v>
      </c>
      <c r="F187" s="84" t="s">
        <v>306</v>
      </c>
      <c r="G187" s="84" t="s">
        <v>306</v>
      </c>
      <c r="H187" s="84" t="s">
        <v>403</v>
      </c>
      <c r="I187" s="84" t="s">
        <v>404</v>
      </c>
      <c r="J187" s="86">
        <v>1492.83</v>
      </c>
      <c r="K187" s="86">
        <v>0</v>
      </c>
      <c r="L187" s="84" t="s">
        <v>365</v>
      </c>
      <c r="M187" s="84" t="s">
        <v>336</v>
      </c>
    </row>
    <row r="188" spans="1:13" x14ac:dyDescent="0.25">
      <c r="A188" s="83">
        <v>636576</v>
      </c>
      <c r="B188" s="84" t="s">
        <v>303</v>
      </c>
      <c r="C188" s="85">
        <f t="shared" si="5"/>
        <v>45730</v>
      </c>
      <c r="D188" s="84" t="s">
        <v>707</v>
      </c>
      <c r="E188" s="84" t="s">
        <v>405</v>
      </c>
      <c r="F188" s="84" t="s">
        <v>306</v>
      </c>
      <c r="G188" s="84" t="s">
        <v>306</v>
      </c>
      <c r="H188" s="84" t="s">
        <v>406</v>
      </c>
      <c r="I188" s="84" t="s">
        <v>404</v>
      </c>
      <c r="J188" s="86">
        <v>10044.16</v>
      </c>
      <c r="K188" s="86">
        <v>0</v>
      </c>
      <c r="L188" s="84" t="s">
        <v>365</v>
      </c>
      <c r="M188" s="84" t="s">
        <v>394</v>
      </c>
    </row>
    <row r="189" spans="1:13" x14ac:dyDescent="0.25">
      <c r="A189" s="83">
        <v>636576</v>
      </c>
      <c r="B189" s="84" t="s">
        <v>303</v>
      </c>
      <c r="C189" s="85">
        <f t="shared" si="5"/>
        <v>45730</v>
      </c>
      <c r="D189" s="84" t="s">
        <v>707</v>
      </c>
      <c r="E189" s="84" t="s">
        <v>708</v>
      </c>
      <c r="F189" s="84" t="s">
        <v>306</v>
      </c>
      <c r="G189" s="84" t="s">
        <v>306</v>
      </c>
      <c r="H189" s="84" t="s">
        <v>709</v>
      </c>
      <c r="I189" s="84" t="s">
        <v>710</v>
      </c>
      <c r="J189" s="86">
        <v>250.92</v>
      </c>
      <c r="K189" s="86">
        <v>0</v>
      </c>
      <c r="L189" s="84" t="s">
        <v>711</v>
      </c>
      <c r="M189" s="84" t="s">
        <v>348</v>
      </c>
    </row>
    <row r="190" spans="1:13" x14ac:dyDescent="0.25">
      <c r="A190" s="83">
        <v>636576</v>
      </c>
      <c r="B190" s="84" t="s">
        <v>303</v>
      </c>
      <c r="C190" s="85">
        <f t="shared" si="5"/>
        <v>45730</v>
      </c>
      <c r="D190" s="84" t="s">
        <v>707</v>
      </c>
      <c r="E190" s="84" t="s">
        <v>712</v>
      </c>
      <c r="F190" s="84" t="s">
        <v>306</v>
      </c>
      <c r="G190" s="84" t="s">
        <v>306</v>
      </c>
      <c r="H190" s="84" t="s">
        <v>713</v>
      </c>
      <c r="I190" s="84" t="s">
        <v>710</v>
      </c>
      <c r="J190" s="86">
        <v>665.64</v>
      </c>
      <c r="K190" s="86">
        <v>0</v>
      </c>
      <c r="L190" s="84" t="s">
        <v>711</v>
      </c>
      <c r="M190" s="84" t="s">
        <v>336</v>
      </c>
    </row>
    <row r="191" spans="1:13" x14ac:dyDescent="0.25">
      <c r="A191" s="83">
        <v>636576</v>
      </c>
      <c r="B191" s="84" t="s">
        <v>303</v>
      </c>
      <c r="C191" s="85">
        <f t="shared" si="5"/>
        <v>45730</v>
      </c>
      <c r="D191" s="84" t="s">
        <v>707</v>
      </c>
      <c r="E191" s="84" t="s">
        <v>714</v>
      </c>
      <c r="F191" s="84" t="s">
        <v>306</v>
      </c>
      <c r="G191" s="84" t="s">
        <v>306</v>
      </c>
      <c r="H191" s="84" t="s">
        <v>715</v>
      </c>
      <c r="I191" s="84" t="s">
        <v>710</v>
      </c>
      <c r="J191" s="86">
        <v>242.31</v>
      </c>
      <c r="K191" s="86">
        <v>0</v>
      </c>
      <c r="L191" s="84" t="s">
        <v>711</v>
      </c>
      <c r="M191" s="84" t="s">
        <v>352</v>
      </c>
    </row>
    <row r="192" spans="1:13" x14ac:dyDescent="0.25">
      <c r="A192" s="83">
        <v>636576</v>
      </c>
      <c r="B192" s="84" t="s">
        <v>303</v>
      </c>
      <c r="C192" s="85">
        <f t="shared" si="5"/>
        <v>45730</v>
      </c>
      <c r="D192" s="84" t="s">
        <v>707</v>
      </c>
      <c r="E192" s="84" t="s">
        <v>716</v>
      </c>
      <c r="F192" s="84" t="s">
        <v>306</v>
      </c>
      <c r="G192" s="84" t="s">
        <v>306</v>
      </c>
      <c r="H192" s="84" t="s">
        <v>717</v>
      </c>
      <c r="I192" s="84" t="s">
        <v>718</v>
      </c>
      <c r="J192" s="86">
        <v>274.24</v>
      </c>
      <c r="K192" s="86">
        <v>0</v>
      </c>
      <c r="L192" s="84" t="s">
        <v>719</v>
      </c>
      <c r="M192" s="84" t="s">
        <v>361</v>
      </c>
    </row>
    <row r="193" spans="1:13" x14ac:dyDescent="0.25">
      <c r="A193" s="83">
        <v>636576</v>
      </c>
      <c r="B193" s="84" t="s">
        <v>303</v>
      </c>
      <c r="C193" s="85">
        <f t="shared" si="5"/>
        <v>45730</v>
      </c>
      <c r="D193" s="84" t="s">
        <v>707</v>
      </c>
      <c r="E193" s="84" t="s">
        <v>720</v>
      </c>
      <c r="F193" s="84" t="s">
        <v>306</v>
      </c>
      <c r="G193" s="84" t="s">
        <v>306</v>
      </c>
      <c r="H193" s="84" t="s">
        <v>721</v>
      </c>
      <c r="I193" s="84" t="s">
        <v>722</v>
      </c>
      <c r="J193" s="86">
        <v>49.53</v>
      </c>
      <c r="K193" s="86">
        <v>0</v>
      </c>
      <c r="L193" s="84" t="s">
        <v>723</v>
      </c>
      <c r="M193" s="84" t="s">
        <v>361</v>
      </c>
    </row>
    <row r="194" spans="1:13" x14ac:dyDescent="0.25">
      <c r="A194" s="83">
        <v>636576</v>
      </c>
      <c r="B194" s="84" t="s">
        <v>303</v>
      </c>
      <c r="C194" s="85">
        <f t="shared" si="5"/>
        <v>45730</v>
      </c>
      <c r="D194" s="84" t="s">
        <v>707</v>
      </c>
      <c r="E194" s="84" t="s">
        <v>724</v>
      </c>
      <c r="F194" s="84" t="s">
        <v>306</v>
      </c>
      <c r="G194" s="84" t="s">
        <v>306</v>
      </c>
      <c r="H194" s="84" t="s">
        <v>725</v>
      </c>
      <c r="I194" s="84" t="s">
        <v>722</v>
      </c>
      <c r="J194" s="86">
        <v>184</v>
      </c>
      <c r="K194" s="86">
        <v>0</v>
      </c>
      <c r="L194" s="84" t="s">
        <v>723</v>
      </c>
      <c r="M194" s="84" t="s">
        <v>336</v>
      </c>
    </row>
    <row r="195" spans="1:13" x14ac:dyDescent="0.25">
      <c r="A195" s="83">
        <v>636576</v>
      </c>
      <c r="B195" s="84" t="s">
        <v>303</v>
      </c>
      <c r="C195" s="85">
        <f t="shared" si="5"/>
        <v>45730</v>
      </c>
      <c r="D195" s="84" t="s">
        <v>707</v>
      </c>
      <c r="E195" s="84" t="s">
        <v>726</v>
      </c>
      <c r="F195" s="84" t="s">
        <v>306</v>
      </c>
      <c r="G195" s="84" t="s">
        <v>306</v>
      </c>
      <c r="H195" s="84" t="s">
        <v>727</v>
      </c>
      <c r="I195" s="84" t="s">
        <v>728</v>
      </c>
      <c r="J195" s="86">
        <v>146</v>
      </c>
      <c r="K195" s="86">
        <v>0</v>
      </c>
      <c r="L195" s="84" t="s">
        <v>729</v>
      </c>
      <c r="M195" s="84" t="s">
        <v>336</v>
      </c>
    </row>
    <row r="196" spans="1:13" x14ac:dyDescent="0.25">
      <c r="A196" s="83">
        <v>636576</v>
      </c>
      <c r="B196" s="84" t="s">
        <v>303</v>
      </c>
      <c r="C196" s="85">
        <f t="shared" si="5"/>
        <v>45730</v>
      </c>
      <c r="D196" s="84" t="s">
        <v>707</v>
      </c>
      <c r="E196" s="84" t="s">
        <v>730</v>
      </c>
      <c r="F196" s="84" t="s">
        <v>306</v>
      </c>
      <c r="G196" s="84" t="s">
        <v>306</v>
      </c>
      <c r="H196" s="84" t="s">
        <v>731</v>
      </c>
      <c r="I196" s="84" t="s">
        <v>728</v>
      </c>
      <c r="J196" s="86">
        <v>695.3</v>
      </c>
      <c r="K196" s="86">
        <v>0</v>
      </c>
      <c r="L196" s="84" t="s">
        <v>729</v>
      </c>
      <c r="M196" s="84" t="s">
        <v>331</v>
      </c>
    </row>
    <row r="197" spans="1:13" x14ac:dyDescent="0.25">
      <c r="A197" s="83">
        <v>636576</v>
      </c>
      <c r="B197" s="84" t="s">
        <v>303</v>
      </c>
      <c r="C197" s="85">
        <f t="shared" si="5"/>
        <v>45730</v>
      </c>
      <c r="D197" s="84" t="s">
        <v>707</v>
      </c>
      <c r="E197" s="84" t="s">
        <v>732</v>
      </c>
      <c r="F197" s="84" t="s">
        <v>306</v>
      </c>
      <c r="G197" s="84" t="s">
        <v>306</v>
      </c>
      <c r="H197" s="84" t="s">
        <v>733</v>
      </c>
      <c r="I197" s="84" t="s">
        <v>728</v>
      </c>
      <c r="J197" s="86">
        <v>81</v>
      </c>
      <c r="K197" s="86">
        <v>0</v>
      </c>
      <c r="L197" s="84" t="s">
        <v>729</v>
      </c>
      <c r="M197" s="84" t="s">
        <v>356</v>
      </c>
    </row>
    <row r="198" spans="1:13" x14ac:dyDescent="0.25">
      <c r="A198" s="83">
        <v>636576</v>
      </c>
      <c r="B198" s="84" t="s">
        <v>303</v>
      </c>
      <c r="C198" s="85">
        <f t="shared" si="5"/>
        <v>45730</v>
      </c>
      <c r="D198" s="84" t="s">
        <v>707</v>
      </c>
      <c r="E198" s="84" t="s">
        <v>734</v>
      </c>
      <c r="F198" s="84" t="s">
        <v>306</v>
      </c>
      <c r="G198" s="84" t="s">
        <v>306</v>
      </c>
      <c r="H198" s="84" t="s">
        <v>735</v>
      </c>
      <c r="I198" s="84" t="s">
        <v>736</v>
      </c>
      <c r="J198" s="86">
        <v>488.84</v>
      </c>
      <c r="K198" s="86">
        <v>0</v>
      </c>
      <c r="L198" s="84" t="s">
        <v>737</v>
      </c>
      <c r="M198" s="84" t="s">
        <v>361</v>
      </c>
    </row>
    <row r="199" spans="1:13" x14ac:dyDescent="0.25">
      <c r="A199" s="83">
        <v>636576</v>
      </c>
      <c r="B199" s="84" t="s">
        <v>303</v>
      </c>
      <c r="C199" s="85">
        <f t="shared" si="5"/>
        <v>45730</v>
      </c>
      <c r="D199" s="84" t="s">
        <v>707</v>
      </c>
      <c r="E199" s="84" t="s">
        <v>738</v>
      </c>
      <c r="F199" s="84" t="s">
        <v>306</v>
      </c>
      <c r="G199" s="84" t="s">
        <v>306</v>
      </c>
      <c r="H199" s="84" t="s">
        <v>739</v>
      </c>
      <c r="I199" s="84" t="s">
        <v>736</v>
      </c>
      <c r="J199" s="86">
        <v>825.46</v>
      </c>
      <c r="K199" s="86">
        <v>0</v>
      </c>
      <c r="L199" s="84" t="s">
        <v>737</v>
      </c>
      <c r="M199" s="84" t="s">
        <v>336</v>
      </c>
    </row>
    <row r="200" spans="1:13" x14ac:dyDescent="0.25">
      <c r="A200" s="83">
        <v>636576</v>
      </c>
      <c r="B200" s="84" t="s">
        <v>303</v>
      </c>
      <c r="C200" s="85">
        <f t="shared" si="5"/>
        <v>45730</v>
      </c>
      <c r="D200" s="84" t="s">
        <v>707</v>
      </c>
      <c r="E200" s="84" t="s">
        <v>740</v>
      </c>
      <c r="F200" s="84" t="s">
        <v>306</v>
      </c>
      <c r="G200" s="84" t="s">
        <v>306</v>
      </c>
      <c r="H200" s="84" t="s">
        <v>741</v>
      </c>
      <c r="I200" s="84" t="s">
        <v>742</v>
      </c>
      <c r="J200" s="86">
        <v>431.22</v>
      </c>
      <c r="K200" s="86">
        <v>0</v>
      </c>
      <c r="L200" s="84" t="s">
        <v>743</v>
      </c>
      <c r="M200" s="84" t="s">
        <v>398</v>
      </c>
    </row>
    <row r="201" spans="1:13" x14ac:dyDescent="0.25">
      <c r="A201" s="83">
        <v>636576</v>
      </c>
      <c r="B201" s="84" t="s">
        <v>303</v>
      </c>
      <c r="C201" s="85">
        <f t="shared" si="5"/>
        <v>45730</v>
      </c>
      <c r="D201" s="84" t="s">
        <v>707</v>
      </c>
      <c r="E201" s="84" t="s">
        <v>744</v>
      </c>
      <c r="F201" s="84" t="s">
        <v>306</v>
      </c>
      <c r="G201" s="84" t="s">
        <v>306</v>
      </c>
      <c r="H201" s="84" t="s">
        <v>745</v>
      </c>
      <c r="I201" s="84" t="s">
        <v>746</v>
      </c>
      <c r="J201" s="86">
        <v>182.27</v>
      </c>
      <c r="K201" s="86">
        <v>0</v>
      </c>
      <c r="L201" s="84" t="s">
        <v>747</v>
      </c>
      <c r="M201" s="84" t="s">
        <v>361</v>
      </c>
    </row>
    <row r="202" spans="1:13" x14ac:dyDescent="0.25">
      <c r="A202" s="83">
        <v>636576</v>
      </c>
      <c r="B202" s="84" t="s">
        <v>303</v>
      </c>
      <c r="C202" s="85">
        <f t="shared" si="5"/>
        <v>45730</v>
      </c>
      <c r="D202" s="84" t="s">
        <v>707</v>
      </c>
      <c r="E202" s="84" t="s">
        <v>748</v>
      </c>
      <c r="F202" s="84" t="s">
        <v>306</v>
      </c>
      <c r="G202" s="84" t="s">
        <v>306</v>
      </c>
      <c r="H202" s="84" t="s">
        <v>749</v>
      </c>
      <c r="I202" s="84" t="s">
        <v>746</v>
      </c>
      <c r="J202" s="86">
        <v>276</v>
      </c>
      <c r="K202" s="86">
        <v>0</v>
      </c>
      <c r="L202" s="84" t="s">
        <v>747</v>
      </c>
      <c r="M202" s="84" t="s">
        <v>336</v>
      </c>
    </row>
    <row r="203" spans="1:13" x14ac:dyDescent="0.25">
      <c r="A203" s="83">
        <v>636576</v>
      </c>
      <c r="B203" s="84" t="s">
        <v>303</v>
      </c>
      <c r="C203" s="85">
        <f t="shared" si="5"/>
        <v>45730</v>
      </c>
      <c r="D203" s="84" t="s">
        <v>707</v>
      </c>
      <c r="E203" s="84" t="s">
        <v>750</v>
      </c>
      <c r="F203" s="84" t="s">
        <v>306</v>
      </c>
      <c r="G203" s="84" t="s">
        <v>306</v>
      </c>
      <c r="H203" s="84" t="s">
        <v>751</v>
      </c>
      <c r="I203" s="84" t="s">
        <v>746</v>
      </c>
      <c r="J203" s="86">
        <v>792</v>
      </c>
      <c r="K203" s="86">
        <v>0</v>
      </c>
      <c r="L203" s="84" t="s">
        <v>747</v>
      </c>
      <c r="M203" s="84" t="s">
        <v>394</v>
      </c>
    </row>
    <row r="204" spans="1:13" x14ac:dyDescent="0.25">
      <c r="A204" s="83">
        <v>636576</v>
      </c>
      <c r="B204" s="84" t="s">
        <v>303</v>
      </c>
      <c r="C204" s="85">
        <f t="shared" si="5"/>
        <v>45730</v>
      </c>
      <c r="D204" s="84" t="s">
        <v>707</v>
      </c>
      <c r="E204" s="84" t="s">
        <v>752</v>
      </c>
      <c r="F204" s="84" t="s">
        <v>306</v>
      </c>
      <c r="G204" s="84" t="s">
        <v>306</v>
      </c>
      <c r="H204" s="84" t="s">
        <v>753</v>
      </c>
      <c r="I204" s="84" t="s">
        <v>754</v>
      </c>
      <c r="J204" s="86">
        <v>351</v>
      </c>
      <c r="K204" s="86">
        <v>0</v>
      </c>
      <c r="L204" s="84" t="s">
        <v>755</v>
      </c>
      <c r="M204" s="84" t="s">
        <v>361</v>
      </c>
    </row>
    <row r="205" spans="1:13" x14ac:dyDescent="0.25">
      <c r="A205" s="83">
        <v>636576</v>
      </c>
      <c r="B205" s="84" t="s">
        <v>303</v>
      </c>
      <c r="C205" s="85">
        <f t="shared" si="5"/>
        <v>45730</v>
      </c>
      <c r="D205" s="84" t="s">
        <v>707</v>
      </c>
      <c r="E205" s="84" t="s">
        <v>756</v>
      </c>
      <c r="F205" s="84" t="s">
        <v>306</v>
      </c>
      <c r="G205" s="84" t="s">
        <v>306</v>
      </c>
      <c r="H205" s="84" t="s">
        <v>757</v>
      </c>
      <c r="I205" s="84" t="s">
        <v>754</v>
      </c>
      <c r="J205" s="86">
        <v>612</v>
      </c>
      <c r="K205" s="86">
        <v>0</v>
      </c>
      <c r="L205" s="84" t="s">
        <v>755</v>
      </c>
      <c r="M205" s="84" t="s">
        <v>398</v>
      </c>
    </row>
    <row r="206" spans="1:13" x14ac:dyDescent="0.25">
      <c r="A206" s="83">
        <v>636576</v>
      </c>
      <c r="B206" s="84" t="s">
        <v>303</v>
      </c>
      <c r="C206" s="85">
        <f t="shared" si="5"/>
        <v>45730</v>
      </c>
      <c r="D206" s="84" t="s">
        <v>707</v>
      </c>
      <c r="E206" s="84" t="s">
        <v>758</v>
      </c>
      <c r="F206" s="84" t="s">
        <v>306</v>
      </c>
      <c r="G206" s="84" t="s">
        <v>306</v>
      </c>
      <c r="H206" s="84" t="s">
        <v>759</v>
      </c>
      <c r="I206" s="84" t="s">
        <v>545</v>
      </c>
      <c r="J206" s="86">
        <v>7275.2</v>
      </c>
      <c r="K206" s="86">
        <v>0</v>
      </c>
      <c r="L206" s="84" t="s">
        <v>546</v>
      </c>
      <c r="M206" s="84" t="s">
        <v>348</v>
      </c>
    </row>
    <row r="207" spans="1:13" x14ac:dyDescent="0.25">
      <c r="A207" s="83">
        <v>636576</v>
      </c>
      <c r="B207" s="84" t="s">
        <v>303</v>
      </c>
      <c r="C207" s="85">
        <f t="shared" si="5"/>
        <v>45730</v>
      </c>
      <c r="D207" s="84" t="s">
        <v>707</v>
      </c>
      <c r="E207" s="84" t="s">
        <v>760</v>
      </c>
      <c r="F207" s="84" t="s">
        <v>306</v>
      </c>
      <c r="G207" s="84" t="s">
        <v>306</v>
      </c>
      <c r="H207" s="84" t="s">
        <v>761</v>
      </c>
      <c r="I207" s="84" t="s">
        <v>545</v>
      </c>
      <c r="J207" s="86">
        <v>10815</v>
      </c>
      <c r="K207" s="86">
        <v>0</v>
      </c>
      <c r="L207" s="84" t="s">
        <v>546</v>
      </c>
      <c r="M207" s="84" t="s">
        <v>327</v>
      </c>
    </row>
    <row r="208" spans="1:13" x14ac:dyDescent="0.25">
      <c r="A208" s="83">
        <v>636576</v>
      </c>
      <c r="B208" s="84" t="s">
        <v>303</v>
      </c>
      <c r="C208" s="85">
        <f t="shared" si="5"/>
        <v>45730</v>
      </c>
      <c r="D208" s="84" t="s">
        <v>707</v>
      </c>
      <c r="E208" s="84" t="s">
        <v>407</v>
      </c>
      <c r="F208" s="84" t="s">
        <v>306</v>
      </c>
      <c r="G208" s="84" t="s">
        <v>306</v>
      </c>
      <c r="H208" s="84" t="s">
        <v>408</v>
      </c>
      <c r="I208" s="84" t="s">
        <v>409</v>
      </c>
      <c r="J208" s="86">
        <v>468</v>
      </c>
      <c r="K208" s="86">
        <v>0</v>
      </c>
      <c r="L208" s="84" t="s">
        <v>410</v>
      </c>
      <c r="M208" s="84" t="s">
        <v>361</v>
      </c>
    </row>
    <row r="209" spans="1:13" x14ac:dyDescent="0.25">
      <c r="A209" s="83">
        <v>636576</v>
      </c>
      <c r="B209" s="84" t="s">
        <v>303</v>
      </c>
      <c r="C209" s="85">
        <f t="shared" si="5"/>
        <v>45730</v>
      </c>
      <c r="D209" s="84" t="s">
        <v>707</v>
      </c>
      <c r="E209" s="84" t="s">
        <v>411</v>
      </c>
      <c r="F209" s="84" t="s">
        <v>306</v>
      </c>
      <c r="G209" s="84" t="s">
        <v>306</v>
      </c>
      <c r="H209" s="84" t="s">
        <v>412</v>
      </c>
      <c r="I209" s="84" t="s">
        <v>409</v>
      </c>
      <c r="J209" s="86">
        <v>36</v>
      </c>
      <c r="K209" s="86">
        <v>0</v>
      </c>
      <c r="L209" s="84" t="s">
        <v>410</v>
      </c>
      <c r="M209" s="84" t="s">
        <v>394</v>
      </c>
    </row>
    <row r="210" spans="1:13" x14ac:dyDescent="0.25">
      <c r="A210" s="83">
        <v>636576</v>
      </c>
      <c r="B210" s="84" t="s">
        <v>303</v>
      </c>
      <c r="C210" s="85">
        <f t="shared" si="5"/>
        <v>45730</v>
      </c>
      <c r="D210" s="84" t="s">
        <v>707</v>
      </c>
      <c r="E210" s="84" t="s">
        <v>762</v>
      </c>
      <c r="F210" s="84" t="s">
        <v>306</v>
      </c>
      <c r="G210" s="84" t="s">
        <v>306</v>
      </c>
      <c r="H210" s="84" t="s">
        <v>763</v>
      </c>
      <c r="I210" s="84" t="s">
        <v>764</v>
      </c>
      <c r="J210" s="86">
        <v>50</v>
      </c>
      <c r="K210" s="86">
        <v>0</v>
      </c>
      <c r="L210" s="84" t="s">
        <v>765</v>
      </c>
      <c r="M210" s="84" t="s">
        <v>361</v>
      </c>
    </row>
    <row r="211" spans="1:13" x14ac:dyDescent="0.25">
      <c r="A211" s="83">
        <v>636576</v>
      </c>
      <c r="B211" s="84" t="s">
        <v>303</v>
      </c>
      <c r="C211" s="85">
        <f t="shared" si="5"/>
        <v>45730</v>
      </c>
      <c r="D211" s="84" t="s">
        <v>707</v>
      </c>
      <c r="E211" s="84" t="s">
        <v>413</v>
      </c>
      <c r="F211" s="84" t="s">
        <v>306</v>
      </c>
      <c r="G211" s="84" t="s">
        <v>306</v>
      </c>
      <c r="H211" s="84" t="s">
        <v>414</v>
      </c>
      <c r="I211" s="84" t="s">
        <v>313</v>
      </c>
      <c r="J211" s="86">
        <v>2298.6</v>
      </c>
      <c r="K211" s="86">
        <v>0</v>
      </c>
      <c r="L211" s="84" t="s">
        <v>314</v>
      </c>
      <c r="M211" s="84" t="s">
        <v>361</v>
      </c>
    </row>
    <row r="212" spans="1:13" x14ac:dyDescent="0.25">
      <c r="A212" s="83">
        <v>636576</v>
      </c>
      <c r="B212" s="84" t="s">
        <v>303</v>
      </c>
      <c r="C212" s="85">
        <f t="shared" si="5"/>
        <v>45730</v>
      </c>
      <c r="D212" s="84" t="s">
        <v>707</v>
      </c>
      <c r="E212" s="84" t="s">
        <v>415</v>
      </c>
      <c r="F212" s="84" t="s">
        <v>306</v>
      </c>
      <c r="G212" s="84" t="s">
        <v>306</v>
      </c>
      <c r="H212" s="84" t="s">
        <v>416</v>
      </c>
      <c r="I212" s="84" t="s">
        <v>313</v>
      </c>
      <c r="J212" s="86">
        <v>952.65</v>
      </c>
      <c r="K212" s="86">
        <v>0</v>
      </c>
      <c r="L212" s="84" t="s">
        <v>314</v>
      </c>
      <c r="M212" s="84" t="s">
        <v>348</v>
      </c>
    </row>
    <row r="213" spans="1:13" x14ac:dyDescent="0.25">
      <c r="A213" s="83">
        <v>636576</v>
      </c>
      <c r="B213" s="84" t="s">
        <v>303</v>
      </c>
      <c r="C213" s="85">
        <f t="shared" si="5"/>
        <v>45730</v>
      </c>
      <c r="D213" s="84" t="s">
        <v>707</v>
      </c>
      <c r="E213" s="84" t="s">
        <v>417</v>
      </c>
      <c r="F213" s="84" t="s">
        <v>306</v>
      </c>
      <c r="G213" s="84" t="s">
        <v>306</v>
      </c>
      <c r="H213" s="84" t="s">
        <v>418</v>
      </c>
      <c r="I213" s="84" t="s">
        <v>313</v>
      </c>
      <c r="J213" s="86">
        <v>475.73</v>
      </c>
      <c r="K213" s="86">
        <v>0</v>
      </c>
      <c r="L213" s="84" t="s">
        <v>314</v>
      </c>
      <c r="M213" s="84" t="s">
        <v>398</v>
      </c>
    </row>
    <row r="214" spans="1:13" x14ac:dyDescent="0.25">
      <c r="A214" s="83">
        <v>636576</v>
      </c>
      <c r="B214" s="84" t="s">
        <v>303</v>
      </c>
      <c r="C214" s="85">
        <f t="shared" si="5"/>
        <v>45730</v>
      </c>
      <c r="D214" s="84" t="s">
        <v>707</v>
      </c>
      <c r="E214" s="84" t="s">
        <v>419</v>
      </c>
      <c r="F214" s="84" t="s">
        <v>306</v>
      </c>
      <c r="G214" s="84" t="s">
        <v>306</v>
      </c>
      <c r="H214" s="84" t="s">
        <v>420</v>
      </c>
      <c r="I214" s="84" t="s">
        <v>313</v>
      </c>
      <c r="J214" s="86">
        <v>168.22</v>
      </c>
      <c r="K214" s="86">
        <v>0</v>
      </c>
      <c r="L214" s="84" t="s">
        <v>314</v>
      </c>
      <c r="M214" s="84" t="s">
        <v>369</v>
      </c>
    </row>
    <row r="215" spans="1:13" x14ac:dyDescent="0.25">
      <c r="A215" s="83">
        <v>636576</v>
      </c>
      <c r="B215" s="84" t="s">
        <v>303</v>
      </c>
      <c r="C215" s="85">
        <f t="shared" si="5"/>
        <v>45730</v>
      </c>
      <c r="D215" s="84" t="s">
        <v>707</v>
      </c>
      <c r="E215" s="84" t="s">
        <v>421</v>
      </c>
      <c r="F215" s="84" t="s">
        <v>306</v>
      </c>
      <c r="G215" s="84" t="s">
        <v>306</v>
      </c>
      <c r="H215" s="84" t="s">
        <v>422</v>
      </c>
      <c r="I215" s="84" t="s">
        <v>313</v>
      </c>
      <c r="J215" s="86">
        <v>168.06</v>
      </c>
      <c r="K215" s="86">
        <v>0</v>
      </c>
      <c r="L215" s="84" t="s">
        <v>314</v>
      </c>
      <c r="M215" s="84" t="s">
        <v>331</v>
      </c>
    </row>
    <row r="216" spans="1:13" x14ac:dyDescent="0.25">
      <c r="A216" s="83">
        <v>636576</v>
      </c>
      <c r="B216" s="84" t="s">
        <v>303</v>
      </c>
      <c r="C216" s="85">
        <f t="shared" si="5"/>
        <v>45730</v>
      </c>
      <c r="D216" s="84" t="s">
        <v>707</v>
      </c>
      <c r="E216" s="84" t="s">
        <v>423</v>
      </c>
      <c r="F216" s="84" t="s">
        <v>306</v>
      </c>
      <c r="G216" s="84" t="s">
        <v>306</v>
      </c>
      <c r="H216" s="84" t="s">
        <v>424</v>
      </c>
      <c r="I216" s="84" t="s">
        <v>313</v>
      </c>
      <c r="J216" s="86">
        <v>169.73</v>
      </c>
      <c r="K216" s="86">
        <v>0</v>
      </c>
      <c r="L216" s="84" t="s">
        <v>314</v>
      </c>
      <c r="M216" s="84" t="s">
        <v>344</v>
      </c>
    </row>
    <row r="217" spans="1:13" x14ac:dyDescent="0.25">
      <c r="A217" s="83">
        <v>636576</v>
      </c>
      <c r="B217" s="84" t="s">
        <v>303</v>
      </c>
      <c r="C217" s="85">
        <f t="shared" si="5"/>
        <v>45730</v>
      </c>
      <c r="D217" s="84" t="s">
        <v>707</v>
      </c>
      <c r="E217" s="84" t="s">
        <v>425</v>
      </c>
      <c r="F217" s="84" t="s">
        <v>306</v>
      </c>
      <c r="G217" s="84" t="s">
        <v>306</v>
      </c>
      <c r="H217" s="84" t="s">
        <v>426</v>
      </c>
      <c r="I217" s="84" t="s">
        <v>313</v>
      </c>
      <c r="J217" s="86">
        <v>86.89</v>
      </c>
      <c r="K217" s="86">
        <v>0</v>
      </c>
      <c r="L217" s="84" t="s">
        <v>314</v>
      </c>
      <c r="M217" s="84" t="s">
        <v>340</v>
      </c>
    </row>
    <row r="218" spans="1:13" x14ac:dyDescent="0.25">
      <c r="A218" s="83">
        <v>636576</v>
      </c>
      <c r="B218" s="84" t="s">
        <v>303</v>
      </c>
      <c r="C218" s="85">
        <f t="shared" si="5"/>
        <v>45730</v>
      </c>
      <c r="D218" s="84" t="s">
        <v>707</v>
      </c>
      <c r="E218" s="84" t="s">
        <v>427</v>
      </c>
      <c r="F218" s="84" t="s">
        <v>306</v>
      </c>
      <c r="G218" s="84" t="s">
        <v>306</v>
      </c>
      <c r="H218" s="84" t="s">
        <v>428</v>
      </c>
      <c r="I218" s="84" t="s">
        <v>313</v>
      </c>
      <c r="J218" s="86">
        <v>1541.49</v>
      </c>
      <c r="K218" s="86">
        <v>0</v>
      </c>
      <c r="L218" s="84" t="s">
        <v>314</v>
      </c>
      <c r="M218" s="84" t="s">
        <v>327</v>
      </c>
    </row>
    <row r="219" spans="1:13" x14ac:dyDescent="0.25">
      <c r="A219" s="83">
        <v>636576</v>
      </c>
      <c r="B219" s="84" t="s">
        <v>303</v>
      </c>
      <c r="C219" s="85">
        <f t="shared" si="5"/>
        <v>45730</v>
      </c>
      <c r="D219" s="84" t="s">
        <v>707</v>
      </c>
      <c r="E219" s="84" t="s">
        <v>429</v>
      </c>
      <c r="F219" s="84" t="s">
        <v>306</v>
      </c>
      <c r="G219" s="84" t="s">
        <v>306</v>
      </c>
      <c r="H219" s="84" t="s">
        <v>430</v>
      </c>
      <c r="I219" s="84" t="s">
        <v>313</v>
      </c>
      <c r="J219" s="86">
        <v>84.09</v>
      </c>
      <c r="K219" s="86">
        <v>0</v>
      </c>
      <c r="L219" s="84" t="s">
        <v>314</v>
      </c>
      <c r="M219" s="84" t="s">
        <v>356</v>
      </c>
    </row>
    <row r="220" spans="1:13" x14ac:dyDescent="0.25">
      <c r="A220" s="83">
        <v>636576</v>
      </c>
      <c r="B220" s="84" t="s">
        <v>303</v>
      </c>
      <c r="C220" s="85">
        <f t="shared" ref="C220:C259" si="6">DATE(2025,3,14)</f>
        <v>45730</v>
      </c>
      <c r="D220" s="84" t="s">
        <v>707</v>
      </c>
      <c r="E220" s="84" t="s">
        <v>431</v>
      </c>
      <c r="F220" s="84" t="s">
        <v>306</v>
      </c>
      <c r="G220" s="84" t="s">
        <v>306</v>
      </c>
      <c r="H220" s="84" t="s">
        <v>432</v>
      </c>
      <c r="I220" s="84" t="s">
        <v>313</v>
      </c>
      <c r="J220" s="86">
        <v>199.77</v>
      </c>
      <c r="K220" s="86">
        <v>0</v>
      </c>
      <c r="L220" s="84" t="s">
        <v>314</v>
      </c>
      <c r="M220" s="84" t="s">
        <v>352</v>
      </c>
    </row>
    <row r="221" spans="1:13" x14ac:dyDescent="0.25">
      <c r="A221" s="83">
        <v>636576</v>
      </c>
      <c r="B221" s="84" t="s">
        <v>303</v>
      </c>
      <c r="C221" s="85">
        <f t="shared" si="6"/>
        <v>45730</v>
      </c>
      <c r="D221" s="84" t="s">
        <v>707</v>
      </c>
      <c r="E221" s="84" t="s">
        <v>433</v>
      </c>
      <c r="F221" s="84" t="s">
        <v>306</v>
      </c>
      <c r="G221" s="84" t="s">
        <v>306</v>
      </c>
      <c r="H221" s="84" t="s">
        <v>434</v>
      </c>
      <c r="I221" s="84" t="s">
        <v>317</v>
      </c>
      <c r="J221" s="86">
        <v>537.54999999999995</v>
      </c>
      <c r="K221" s="86">
        <v>0</v>
      </c>
      <c r="L221" s="84" t="s">
        <v>318</v>
      </c>
      <c r="M221" s="84" t="s">
        <v>361</v>
      </c>
    </row>
    <row r="222" spans="1:13" x14ac:dyDescent="0.25">
      <c r="A222" s="83">
        <v>636576</v>
      </c>
      <c r="B222" s="84" t="s">
        <v>303</v>
      </c>
      <c r="C222" s="85">
        <f t="shared" si="6"/>
        <v>45730</v>
      </c>
      <c r="D222" s="84" t="s">
        <v>707</v>
      </c>
      <c r="E222" s="84" t="s">
        <v>435</v>
      </c>
      <c r="F222" s="84" t="s">
        <v>306</v>
      </c>
      <c r="G222" s="84" t="s">
        <v>306</v>
      </c>
      <c r="H222" s="84" t="s">
        <v>436</v>
      </c>
      <c r="I222" s="84" t="s">
        <v>317</v>
      </c>
      <c r="J222" s="86">
        <v>222.8</v>
      </c>
      <c r="K222" s="86">
        <v>0</v>
      </c>
      <c r="L222" s="84" t="s">
        <v>318</v>
      </c>
      <c r="M222" s="84" t="s">
        <v>348</v>
      </c>
    </row>
    <row r="223" spans="1:13" x14ac:dyDescent="0.25">
      <c r="A223" s="83">
        <v>636576</v>
      </c>
      <c r="B223" s="84" t="s">
        <v>303</v>
      </c>
      <c r="C223" s="85">
        <f t="shared" si="6"/>
        <v>45730</v>
      </c>
      <c r="D223" s="84" t="s">
        <v>707</v>
      </c>
      <c r="E223" s="84" t="s">
        <v>437</v>
      </c>
      <c r="F223" s="84" t="s">
        <v>306</v>
      </c>
      <c r="G223" s="84" t="s">
        <v>306</v>
      </c>
      <c r="H223" s="84" t="s">
        <v>438</v>
      </c>
      <c r="I223" s="84" t="s">
        <v>317</v>
      </c>
      <c r="J223" s="86">
        <v>111.26</v>
      </c>
      <c r="K223" s="86">
        <v>0</v>
      </c>
      <c r="L223" s="84" t="s">
        <v>318</v>
      </c>
      <c r="M223" s="84" t="s">
        <v>398</v>
      </c>
    </row>
    <row r="224" spans="1:13" x14ac:dyDescent="0.25">
      <c r="A224" s="83">
        <v>636576</v>
      </c>
      <c r="B224" s="84" t="s">
        <v>303</v>
      </c>
      <c r="C224" s="85">
        <f t="shared" si="6"/>
        <v>45730</v>
      </c>
      <c r="D224" s="84" t="s">
        <v>707</v>
      </c>
      <c r="E224" s="84" t="s">
        <v>439</v>
      </c>
      <c r="F224" s="84" t="s">
        <v>306</v>
      </c>
      <c r="G224" s="84" t="s">
        <v>306</v>
      </c>
      <c r="H224" s="84" t="s">
        <v>440</v>
      </c>
      <c r="I224" s="84" t="s">
        <v>317</v>
      </c>
      <c r="J224" s="86">
        <v>39.35</v>
      </c>
      <c r="K224" s="86">
        <v>0</v>
      </c>
      <c r="L224" s="84" t="s">
        <v>318</v>
      </c>
      <c r="M224" s="84" t="s">
        <v>369</v>
      </c>
    </row>
    <row r="225" spans="1:13" x14ac:dyDescent="0.25">
      <c r="A225" s="83">
        <v>636576</v>
      </c>
      <c r="B225" s="84" t="s">
        <v>303</v>
      </c>
      <c r="C225" s="85">
        <f t="shared" si="6"/>
        <v>45730</v>
      </c>
      <c r="D225" s="84" t="s">
        <v>707</v>
      </c>
      <c r="E225" s="84" t="s">
        <v>441</v>
      </c>
      <c r="F225" s="84" t="s">
        <v>306</v>
      </c>
      <c r="G225" s="84" t="s">
        <v>306</v>
      </c>
      <c r="H225" s="84" t="s">
        <v>442</v>
      </c>
      <c r="I225" s="84" t="s">
        <v>317</v>
      </c>
      <c r="J225" s="86">
        <v>39.299999999999997</v>
      </c>
      <c r="K225" s="86">
        <v>0</v>
      </c>
      <c r="L225" s="84" t="s">
        <v>318</v>
      </c>
      <c r="M225" s="84" t="s">
        <v>331</v>
      </c>
    </row>
    <row r="226" spans="1:13" x14ac:dyDescent="0.25">
      <c r="A226" s="83">
        <v>636576</v>
      </c>
      <c r="B226" s="84" t="s">
        <v>303</v>
      </c>
      <c r="C226" s="85">
        <f t="shared" si="6"/>
        <v>45730</v>
      </c>
      <c r="D226" s="84" t="s">
        <v>707</v>
      </c>
      <c r="E226" s="84" t="s">
        <v>443</v>
      </c>
      <c r="F226" s="84" t="s">
        <v>306</v>
      </c>
      <c r="G226" s="84" t="s">
        <v>306</v>
      </c>
      <c r="H226" s="84" t="s">
        <v>444</v>
      </c>
      <c r="I226" s="84" t="s">
        <v>317</v>
      </c>
      <c r="J226" s="86">
        <v>39.69</v>
      </c>
      <c r="K226" s="86">
        <v>0</v>
      </c>
      <c r="L226" s="84" t="s">
        <v>318</v>
      </c>
      <c r="M226" s="84" t="s">
        <v>344</v>
      </c>
    </row>
    <row r="227" spans="1:13" x14ac:dyDescent="0.25">
      <c r="A227" s="83">
        <v>636576</v>
      </c>
      <c r="B227" s="84" t="s">
        <v>303</v>
      </c>
      <c r="C227" s="85">
        <f t="shared" si="6"/>
        <v>45730</v>
      </c>
      <c r="D227" s="84" t="s">
        <v>707</v>
      </c>
      <c r="E227" s="84" t="s">
        <v>445</v>
      </c>
      <c r="F227" s="84" t="s">
        <v>306</v>
      </c>
      <c r="G227" s="84" t="s">
        <v>306</v>
      </c>
      <c r="H227" s="84" t="s">
        <v>446</v>
      </c>
      <c r="I227" s="84" t="s">
        <v>317</v>
      </c>
      <c r="J227" s="86">
        <v>20.32</v>
      </c>
      <c r="K227" s="86">
        <v>0</v>
      </c>
      <c r="L227" s="84" t="s">
        <v>318</v>
      </c>
      <c r="M227" s="84" t="s">
        <v>340</v>
      </c>
    </row>
    <row r="228" spans="1:13" x14ac:dyDescent="0.25">
      <c r="A228" s="83">
        <v>636576</v>
      </c>
      <c r="B228" s="84" t="s">
        <v>303</v>
      </c>
      <c r="C228" s="85">
        <f t="shared" si="6"/>
        <v>45730</v>
      </c>
      <c r="D228" s="84" t="s">
        <v>707</v>
      </c>
      <c r="E228" s="84" t="s">
        <v>447</v>
      </c>
      <c r="F228" s="84" t="s">
        <v>306</v>
      </c>
      <c r="G228" s="84" t="s">
        <v>306</v>
      </c>
      <c r="H228" s="84" t="s">
        <v>448</v>
      </c>
      <c r="I228" s="84" t="s">
        <v>317</v>
      </c>
      <c r="J228" s="86">
        <v>360.5</v>
      </c>
      <c r="K228" s="86">
        <v>0</v>
      </c>
      <c r="L228" s="84" t="s">
        <v>318</v>
      </c>
      <c r="M228" s="84" t="s">
        <v>327</v>
      </c>
    </row>
    <row r="229" spans="1:13" x14ac:dyDescent="0.25">
      <c r="A229" s="83">
        <v>636576</v>
      </c>
      <c r="B229" s="84" t="s">
        <v>303</v>
      </c>
      <c r="C229" s="85">
        <f t="shared" si="6"/>
        <v>45730</v>
      </c>
      <c r="D229" s="84" t="s">
        <v>707</v>
      </c>
      <c r="E229" s="84" t="s">
        <v>449</v>
      </c>
      <c r="F229" s="84" t="s">
        <v>306</v>
      </c>
      <c r="G229" s="84" t="s">
        <v>306</v>
      </c>
      <c r="H229" s="84" t="s">
        <v>450</v>
      </c>
      <c r="I229" s="84" t="s">
        <v>317</v>
      </c>
      <c r="J229" s="86">
        <v>19.66</v>
      </c>
      <c r="K229" s="86">
        <v>0</v>
      </c>
      <c r="L229" s="84" t="s">
        <v>318</v>
      </c>
      <c r="M229" s="84" t="s">
        <v>356</v>
      </c>
    </row>
    <row r="230" spans="1:13" x14ac:dyDescent="0.25">
      <c r="A230" s="83">
        <v>636576</v>
      </c>
      <c r="B230" s="84" t="s">
        <v>303</v>
      </c>
      <c r="C230" s="85">
        <f t="shared" si="6"/>
        <v>45730</v>
      </c>
      <c r="D230" s="84" t="s">
        <v>707</v>
      </c>
      <c r="E230" s="84" t="s">
        <v>451</v>
      </c>
      <c r="F230" s="84" t="s">
        <v>306</v>
      </c>
      <c r="G230" s="84" t="s">
        <v>306</v>
      </c>
      <c r="H230" s="84" t="s">
        <v>452</v>
      </c>
      <c r="I230" s="84" t="s">
        <v>317</v>
      </c>
      <c r="J230" s="86">
        <v>46.72</v>
      </c>
      <c r="K230" s="86">
        <v>0</v>
      </c>
      <c r="L230" s="84" t="s">
        <v>318</v>
      </c>
      <c r="M230" s="84" t="s">
        <v>352</v>
      </c>
    </row>
    <row r="231" spans="1:13" x14ac:dyDescent="0.25">
      <c r="A231" s="83">
        <v>636576</v>
      </c>
      <c r="B231" s="84" t="s">
        <v>303</v>
      </c>
      <c r="C231" s="85">
        <f t="shared" si="6"/>
        <v>45730</v>
      </c>
      <c r="D231" s="84" t="s">
        <v>707</v>
      </c>
      <c r="E231" s="84" t="s">
        <v>453</v>
      </c>
      <c r="F231" s="84" t="s">
        <v>306</v>
      </c>
      <c r="G231" s="84" t="s">
        <v>306</v>
      </c>
      <c r="H231" s="84" t="s">
        <v>454</v>
      </c>
      <c r="I231" s="84" t="s">
        <v>455</v>
      </c>
      <c r="J231" s="86">
        <v>63.34</v>
      </c>
      <c r="K231" s="86">
        <v>0</v>
      </c>
      <c r="L231" s="84" t="s">
        <v>376</v>
      </c>
      <c r="M231" s="84" t="s">
        <v>361</v>
      </c>
    </row>
    <row r="232" spans="1:13" x14ac:dyDescent="0.25">
      <c r="A232" s="83">
        <v>636576</v>
      </c>
      <c r="B232" s="84" t="s">
        <v>303</v>
      </c>
      <c r="C232" s="85">
        <f t="shared" si="6"/>
        <v>45730</v>
      </c>
      <c r="D232" s="84" t="s">
        <v>707</v>
      </c>
      <c r="E232" s="84" t="s">
        <v>458</v>
      </c>
      <c r="F232" s="84" t="s">
        <v>306</v>
      </c>
      <c r="G232" s="84" t="s">
        <v>306</v>
      </c>
      <c r="H232" s="84" t="s">
        <v>459</v>
      </c>
      <c r="I232" s="84" t="s">
        <v>455</v>
      </c>
      <c r="J232" s="86">
        <v>8.74</v>
      </c>
      <c r="K232" s="86">
        <v>0</v>
      </c>
      <c r="L232" s="84" t="s">
        <v>376</v>
      </c>
      <c r="M232" s="84" t="s">
        <v>398</v>
      </c>
    </row>
    <row r="233" spans="1:13" x14ac:dyDescent="0.25">
      <c r="A233" s="83">
        <v>636576</v>
      </c>
      <c r="B233" s="84" t="s">
        <v>303</v>
      </c>
      <c r="C233" s="85">
        <f t="shared" si="6"/>
        <v>45730</v>
      </c>
      <c r="D233" s="84" t="s">
        <v>707</v>
      </c>
      <c r="E233" s="84" t="s">
        <v>460</v>
      </c>
      <c r="F233" s="84" t="s">
        <v>306</v>
      </c>
      <c r="G233" s="84" t="s">
        <v>306</v>
      </c>
      <c r="H233" s="84" t="s">
        <v>461</v>
      </c>
      <c r="I233" s="84" t="s">
        <v>455</v>
      </c>
      <c r="J233" s="86">
        <v>8.41</v>
      </c>
      <c r="K233" s="86">
        <v>0</v>
      </c>
      <c r="L233" s="84" t="s">
        <v>376</v>
      </c>
      <c r="M233" s="84" t="s">
        <v>340</v>
      </c>
    </row>
    <row r="234" spans="1:13" x14ac:dyDescent="0.25">
      <c r="A234" s="83">
        <v>636576</v>
      </c>
      <c r="B234" s="84" t="s">
        <v>303</v>
      </c>
      <c r="C234" s="85">
        <f t="shared" si="6"/>
        <v>45730</v>
      </c>
      <c r="D234" s="84" t="s">
        <v>707</v>
      </c>
      <c r="E234" s="84" t="s">
        <v>462</v>
      </c>
      <c r="F234" s="84" t="s">
        <v>306</v>
      </c>
      <c r="G234" s="84" t="s">
        <v>306</v>
      </c>
      <c r="H234" s="84" t="s">
        <v>463</v>
      </c>
      <c r="I234" s="84" t="s">
        <v>455</v>
      </c>
      <c r="J234" s="86">
        <v>0.59</v>
      </c>
      <c r="K234" s="86">
        <v>0</v>
      </c>
      <c r="L234" s="84" t="s">
        <v>376</v>
      </c>
      <c r="M234" s="84" t="s">
        <v>327</v>
      </c>
    </row>
    <row r="235" spans="1:13" x14ac:dyDescent="0.25">
      <c r="A235" s="83">
        <v>636576</v>
      </c>
      <c r="B235" s="84" t="s">
        <v>303</v>
      </c>
      <c r="C235" s="85">
        <f t="shared" si="6"/>
        <v>45730</v>
      </c>
      <c r="D235" s="84" t="s">
        <v>707</v>
      </c>
      <c r="E235" s="84" t="s">
        <v>464</v>
      </c>
      <c r="F235" s="84" t="s">
        <v>306</v>
      </c>
      <c r="G235" s="84" t="s">
        <v>306</v>
      </c>
      <c r="H235" s="84" t="s">
        <v>465</v>
      </c>
      <c r="I235" s="84" t="s">
        <v>455</v>
      </c>
      <c r="J235" s="86">
        <v>1.1000000000000001</v>
      </c>
      <c r="K235" s="86">
        <v>0</v>
      </c>
      <c r="L235" s="84" t="s">
        <v>376</v>
      </c>
      <c r="M235" s="84" t="s">
        <v>356</v>
      </c>
    </row>
    <row r="236" spans="1:13" x14ac:dyDescent="0.25">
      <c r="A236" s="83">
        <v>636576</v>
      </c>
      <c r="B236" s="84" t="s">
        <v>303</v>
      </c>
      <c r="C236" s="85">
        <f t="shared" si="6"/>
        <v>45730</v>
      </c>
      <c r="D236" s="84" t="s">
        <v>707</v>
      </c>
      <c r="E236" s="84" t="s">
        <v>466</v>
      </c>
      <c r="F236" s="84" t="s">
        <v>306</v>
      </c>
      <c r="G236" s="84" t="s">
        <v>306</v>
      </c>
      <c r="H236" s="84" t="s">
        <v>467</v>
      </c>
      <c r="I236" s="84" t="s">
        <v>455</v>
      </c>
      <c r="J236" s="86">
        <v>5.13</v>
      </c>
      <c r="K236" s="86">
        <v>0</v>
      </c>
      <c r="L236" s="84" t="s">
        <v>376</v>
      </c>
      <c r="M236" s="84" t="s">
        <v>352</v>
      </c>
    </row>
    <row r="237" spans="1:13" x14ac:dyDescent="0.25">
      <c r="A237" s="83">
        <v>636576</v>
      </c>
      <c r="B237" s="84" t="s">
        <v>303</v>
      </c>
      <c r="C237" s="85">
        <f t="shared" si="6"/>
        <v>45730</v>
      </c>
      <c r="D237" s="84" t="s">
        <v>707</v>
      </c>
      <c r="E237" s="84" t="s">
        <v>468</v>
      </c>
      <c r="F237" s="84" t="s">
        <v>306</v>
      </c>
      <c r="G237" s="84" t="s">
        <v>306</v>
      </c>
      <c r="H237" s="84" t="s">
        <v>469</v>
      </c>
      <c r="I237" s="84" t="s">
        <v>470</v>
      </c>
      <c r="J237" s="86">
        <v>141.19</v>
      </c>
      <c r="K237" s="86">
        <v>0</v>
      </c>
      <c r="L237" s="84" t="s">
        <v>380</v>
      </c>
      <c r="M237" s="84" t="s">
        <v>361</v>
      </c>
    </row>
    <row r="238" spans="1:13" x14ac:dyDescent="0.25">
      <c r="A238" s="83">
        <v>636576</v>
      </c>
      <c r="B238" s="84" t="s">
        <v>303</v>
      </c>
      <c r="C238" s="85">
        <f t="shared" si="6"/>
        <v>45730</v>
      </c>
      <c r="D238" s="84" t="s">
        <v>707</v>
      </c>
      <c r="E238" s="84" t="s">
        <v>471</v>
      </c>
      <c r="F238" s="84" t="s">
        <v>306</v>
      </c>
      <c r="G238" s="84" t="s">
        <v>306</v>
      </c>
      <c r="H238" s="84" t="s">
        <v>472</v>
      </c>
      <c r="I238" s="84" t="s">
        <v>470</v>
      </c>
      <c r="J238" s="86">
        <v>7.27</v>
      </c>
      <c r="K238" s="86">
        <v>0</v>
      </c>
      <c r="L238" s="84" t="s">
        <v>380</v>
      </c>
      <c r="M238" s="84" t="s">
        <v>348</v>
      </c>
    </row>
    <row r="239" spans="1:13" x14ac:dyDescent="0.25">
      <c r="A239" s="83">
        <v>636576</v>
      </c>
      <c r="B239" s="84" t="s">
        <v>303</v>
      </c>
      <c r="C239" s="85">
        <f t="shared" si="6"/>
        <v>45730</v>
      </c>
      <c r="D239" s="84" t="s">
        <v>707</v>
      </c>
      <c r="E239" s="84" t="s">
        <v>473</v>
      </c>
      <c r="F239" s="84" t="s">
        <v>306</v>
      </c>
      <c r="G239" s="84" t="s">
        <v>306</v>
      </c>
      <c r="H239" s="84" t="s">
        <v>474</v>
      </c>
      <c r="I239" s="84" t="s">
        <v>470</v>
      </c>
      <c r="J239" s="86">
        <v>11.88</v>
      </c>
      <c r="K239" s="86">
        <v>0</v>
      </c>
      <c r="L239" s="84" t="s">
        <v>380</v>
      </c>
      <c r="M239" s="84" t="s">
        <v>398</v>
      </c>
    </row>
    <row r="240" spans="1:13" x14ac:dyDescent="0.25">
      <c r="A240" s="83">
        <v>636576</v>
      </c>
      <c r="B240" s="84" t="s">
        <v>303</v>
      </c>
      <c r="C240" s="85">
        <f t="shared" si="6"/>
        <v>45730</v>
      </c>
      <c r="D240" s="84" t="s">
        <v>707</v>
      </c>
      <c r="E240" s="84" t="s">
        <v>475</v>
      </c>
      <c r="F240" s="84" t="s">
        <v>306</v>
      </c>
      <c r="G240" s="84" t="s">
        <v>306</v>
      </c>
      <c r="H240" s="84" t="s">
        <v>476</v>
      </c>
      <c r="I240" s="84" t="s">
        <v>470</v>
      </c>
      <c r="J240" s="86">
        <v>9.81</v>
      </c>
      <c r="K240" s="86">
        <v>0</v>
      </c>
      <c r="L240" s="84" t="s">
        <v>380</v>
      </c>
      <c r="M240" s="84" t="s">
        <v>340</v>
      </c>
    </row>
    <row r="241" spans="1:13" x14ac:dyDescent="0.25">
      <c r="A241" s="83">
        <v>636576</v>
      </c>
      <c r="B241" s="84" t="s">
        <v>303</v>
      </c>
      <c r="C241" s="85">
        <f t="shared" si="6"/>
        <v>45730</v>
      </c>
      <c r="D241" s="84" t="s">
        <v>707</v>
      </c>
      <c r="E241" s="84" t="s">
        <v>477</v>
      </c>
      <c r="F241" s="84" t="s">
        <v>306</v>
      </c>
      <c r="G241" s="84" t="s">
        <v>306</v>
      </c>
      <c r="H241" s="84" t="s">
        <v>478</v>
      </c>
      <c r="I241" s="84" t="s">
        <v>470</v>
      </c>
      <c r="J241" s="86">
        <v>14.23</v>
      </c>
      <c r="K241" s="86">
        <v>0</v>
      </c>
      <c r="L241" s="84" t="s">
        <v>380</v>
      </c>
      <c r="M241" s="84" t="s">
        <v>327</v>
      </c>
    </row>
    <row r="242" spans="1:13" x14ac:dyDescent="0.25">
      <c r="A242" s="83">
        <v>636576</v>
      </c>
      <c r="B242" s="84" t="s">
        <v>303</v>
      </c>
      <c r="C242" s="85">
        <f t="shared" si="6"/>
        <v>45730</v>
      </c>
      <c r="D242" s="84" t="s">
        <v>707</v>
      </c>
      <c r="E242" s="84" t="s">
        <v>479</v>
      </c>
      <c r="F242" s="84" t="s">
        <v>306</v>
      </c>
      <c r="G242" s="84" t="s">
        <v>306</v>
      </c>
      <c r="H242" s="84" t="s">
        <v>480</v>
      </c>
      <c r="I242" s="84" t="s">
        <v>470</v>
      </c>
      <c r="J242" s="86">
        <v>9.49</v>
      </c>
      <c r="K242" s="86">
        <v>0</v>
      </c>
      <c r="L242" s="84" t="s">
        <v>380</v>
      </c>
      <c r="M242" s="84" t="s">
        <v>356</v>
      </c>
    </row>
    <row r="243" spans="1:13" x14ac:dyDescent="0.25">
      <c r="A243" s="83">
        <v>636576</v>
      </c>
      <c r="B243" s="84" t="s">
        <v>303</v>
      </c>
      <c r="C243" s="85">
        <f t="shared" si="6"/>
        <v>45730</v>
      </c>
      <c r="D243" s="84" t="s">
        <v>707</v>
      </c>
      <c r="E243" s="84" t="s">
        <v>481</v>
      </c>
      <c r="F243" s="84" t="s">
        <v>306</v>
      </c>
      <c r="G243" s="84" t="s">
        <v>306</v>
      </c>
      <c r="H243" s="84" t="s">
        <v>482</v>
      </c>
      <c r="I243" s="84" t="s">
        <v>470</v>
      </c>
      <c r="J243" s="86">
        <v>5.98</v>
      </c>
      <c r="K243" s="86">
        <v>0</v>
      </c>
      <c r="L243" s="84" t="s">
        <v>380</v>
      </c>
      <c r="M243" s="84" t="s">
        <v>352</v>
      </c>
    </row>
    <row r="244" spans="1:13" x14ac:dyDescent="0.25">
      <c r="A244" s="83">
        <v>636576</v>
      </c>
      <c r="B244" s="84" t="s">
        <v>303</v>
      </c>
      <c r="C244" s="85">
        <f t="shared" si="6"/>
        <v>45730</v>
      </c>
      <c r="D244" s="84" t="s">
        <v>707</v>
      </c>
      <c r="E244" s="84" t="s">
        <v>483</v>
      </c>
      <c r="F244" s="84" t="s">
        <v>306</v>
      </c>
      <c r="G244" s="84" t="s">
        <v>306</v>
      </c>
      <c r="H244" s="84" t="s">
        <v>484</v>
      </c>
      <c r="I244" s="84" t="s">
        <v>313</v>
      </c>
      <c r="J244" s="86">
        <v>1152.49</v>
      </c>
      <c r="K244" s="86">
        <v>0</v>
      </c>
      <c r="L244" s="84" t="s">
        <v>314</v>
      </c>
      <c r="M244" s="84" t="s">
        <v>336</v>
      </c>
    </row>
    <row r="245" spans="1:13" x14ac:dyDescent="0.25">
      <c r="A245" s="83">
        <v>636576</v>
      </c>
      <c r="B245" s="84" t="s">
        <v>303</v>
      </c>
      <c r="C245" s="85">
        <f t="shared" si="6"/>
        <v>45730</v>
      </c>
      <c r="D245" s="84" t="s">
        <v>707</v>
      </c>
      <c r="E245" s="84" t="s">
        <v>485</v>
      </c>
      <c r="F245" s="84" t="s">
        <v>306</v>
      </c>
      <c r="G245" s="84" t="s">
        <v>306</v>
      </c>
      <c r="H245" s="84" t="s">
        <v>486</v>
      </c>
      <c r="I245" s="84" t="s">
        <v>313</v>
      </c>
      <c r="J245" s="86">
        <v>736.78</v>
      </c>
      <c r="K245" s="86">
        <v>0</v>
      </c>
      <c r="L245" s="84" t="s">
        <v>314</v>
      </c>
      <c r="M245" s="84" t="s">
        <v>394</v>
      </c>
    </row>
    <row r="246" spans="1:13" x14ac:dyDescent="0.25">
      <c r="A246" s="83">
        <v>636576</v>
      </c>
      <c r="B246" s="84" t="s">
        <v>303</v>
      </c>
      <c r="C246" s="85">
        <f t="shared" si="6"/>
        <v>45730</v>
      </c>
      <c r="D246" s="84" t="s">
        <v>707</v>
      </c>
      <c r="E246" s="84" t="s">
        <v>487</v>
      </c>
      <c r="F246" s="84" t="s">
        <v>306</v>
      </c>
      <c r="G246" s="84" t="s">
        <v>306</v>
      </c>
      <c r="H246" s="84" t="s">
        <v>488</v>
      </c>
      <c r="I246" s="84" t="s">
        <v>313</v>
      </c>
      <c r="J246" s="86">
        <v>278.41000000000003</v>
      </c>
      <c r="K246" s="86">
        <v>0</v>
      </c>
      <c r="L246" s="84" t="s">
        <v>314</v>
      </c>
      <c r="M246" s="84" t="s">
        <v>401</v>
      </c>
    </row>
    <row r="247" spans="1:13" x14ac:dyDescent="0.25">
      <c r="A247" s="83">
        <v>636576</v>
      </c>
      <c r="B247" s="84" t="s">
        <v>303</v>
      </c>
      <c r="C247" s="85">
        <f t="shared" si="6"/>
        <v>45730</v>
      </c>
      <c r="D247" s="84" t="s">
        <v>707</v>
      </c>
      <c r="E247" s="84" t="s">
        <v>489</v>
      </c>
      <c r="F247" s="84" t="s">
        <v>306</v>
      </c>
      <c r="G247" s="84" t="s">
        <v>306</v>
      </c>
      <c r="H247" s="84" t="s">
        <v>490</v>
      </c>
      <c r="I247" s="84" t="s">
        <v>317</v>
      </c>
      <c r="J247" s="86">
        <v>269.52</v>
      </c>
      <c r="K247" s="86">
        <v>0</v>
      </c>
      <c r="L247" s="84" t="s">
        <v>318</v>
      </c>
      <c r="M247" s="84" t="s">
        <v>336</v>
      </c>
    </row>
    <row r="248" spans="1:13" x14ac:dyDescent="0.25">
      <c r="A248" s="83">
        <v>636576</v>
      </c>
      <c r="B248" s="84" t="s">
        <v>303</v>
      </c>
      <c r="C248" s="85">
        <f t="shared" si="6"/>
        <v>45730</v>
      </c>
      <c r="D248" s="84" t="s">
        <v>707</v>
      </c>
      <c r="E248" s="84" t="s">
        <v>491</v>
      </c>
      <c r="F248" s="84" t="s">
        <v>306</v>
      </c>
      <c r="G248" s="84" t="s">
        <v>306</v>
      </c>
      <c r="H248" s="84" t="s">
        <v>492</v>
      </c>
      <c r="I248" s="84" t="s">
        <v>317</v>
      </c>
      <c r="J248" s="86">
        <v>172.29</v>
      </c>
      <c r="K248" s="86">
        <v>0</v>
      </c>
      <c r="L248" s="84" t="s">
        <v>318</v>
      </c>
      <c r="M248" s="84" t="s">
        <v>394</v>
      </c>
    </row>
    <row r="249" spans="1:13" x14ac:dyDescent="0.25">
      <c r="A249" s="83">
        <v>636576</v>
      </c>
      <c r="B249" s="84" t="s">
        <v>303</v>
      </c>
      <c r="C249" s="85">
        <f t="shared" si="6"/>
        <v>45730</v>
      </c>
      <c r="D249" s="84" t="s">
        <v>707</v>
      </c>
      <c r="E249" s="84" t="s">
        <v>493</v>
      </c>
      <c r="F249" s="84" t="s">
        <v>306</v>
      </c>
      <c r="G249" s="84" t="s">
        <v>306</v>
      </c>
      <c r="H249" s="84" t="s">
        <v>494</v>
      </c>
      <c r="I249" s="84" t="s">
        <v>317</v>
      </c>
      <c r="J249" s="86">
        <v>65.11</v>
      </c>
      <c r="K249" s="86">
        <v>0</v>
      </c>
      <c r="L249" s="84" t="s">
        <v>318</v>
      </c>
      <c r="M249" s="84" t="s">
        <v>401</v>
      </c>
    </row>
    <row r="250" spans="1:13" x14ac:dyDescent="0.25">
      <c r="A250" s="83">
        <v>636576</v>
      </c>
      <c r="B250" s="84" t="s">
        <v>303</v>
      </c>
      <c r="C250" s="85">
        <f t="shared" si="6"/>
        <v>45730</v>
      </c>
      <c r="D250" s="84" t="s">
        <v>707</v>
      </c>
      <c r="E250" s="84" t="s">
        <v>464</v>
      </c>
      <c r="F250" s="84" t="s">
        <v>306</v>
      </c>
      <c r="G250" s="84" t="s">
        <v>306</v>
      </c>
      <c r="H250" s="84" t="s">
        <v>495</v>
      </c>
      <c r="I250" s="84" t="s">
        <v>455</v>
      </c>
      <c r="J250" s="86">
        <v>13.13</v>
      </c>
      <c r="K250" s="86">
        <v>0</v>
      </c>
      <c r="L250" s="84" t="s">
        <v>376</v>
      </c>
      <c r="M250" s="84" t="s">
        <v>394</v>
      </c>
    </row>
    <row r="251" spans="1:13" x14ac:dyDescent="0.25">
      <c r="A251" s="83">
        <v>636576</v>
      </c>
      <c r="B251" s="84" t="s">
        <v>303</v>
      </c>
      <c r="C251" s="85">
        <f t="shared" si="6"/>
        <v>45730</v>
      </c>
      <c r="D251" s="84" t="s">
        <v>707</v>
      </c>
      <c r="E251" s="84" t="s">
        <v>496</v>
      </c>
      <c r="F251" s="84" t="s">
        <v>306</v>
      </c>
      <c r="G251" s="84" t="s">
        <v>306</v>
      </c>
      <c r="H251" s="84" t="s">
        <v>497</v>
      </c>
      <c r="I251" s="84" t="s">
        <v>470</v>
      </c>
      <c r="J251" s="86">
        <v>16.41</v>
      </c>
      <c r="K251" s="86">
        <v>0</v>
      </c>
      <c r="L251" s="84" t="s">
        <v>380</v>
      </c>
      <c r="M251" s="84" t="s">
        <v>336</v>
      </c>
    </row>
    <row r="252" spans="1:13" x14ac:dyDescent="0.25">
      <c r="A252" s="83">
        <v>636576</v>
      </c>
      <c r="B252" s="84" t="s">
        <v>303</v>
      </c>
      <c r="C252" s="85">
        <f t="shared" si="6"/>
        <v>45730</v>
      </c>
      <c r="D252" s="84" t="s">
        <v>707</v>
      </c>
      <c r="E252" s="84" t="s">
        <v>479</v>
      </c>
      <c r="F252" s="84" t="s">
        <v>306</v>
      </c>
      <c r="G252" s="84" t="s">
        <v>306</v>
      </c>
      <c r="H252" s="84" t="s">
        <v>498</v>
      </c>
      <c r="I252" s="84" t="s">
        <v>470</v>
      </c>
      <c r="J252" s="86">
        <v>15.3</v>
      </c>
      <c r="K252" s="86">
        <v>0</v>
      </c>
      <c r="L252" s="84" t="s">
        <v>380</v>
      </c>
      <c r="M252" s="84" t="s">
        <v>394</v>
      </c>
    </row>
    <row r="253" spans="1:13" x14ac:dyDescent="0.25">
      <c r="A253" s="83">
        <v>636576</v>
      </c>
      <c r="B253" s="84" t="s">
        <v>303</v>
      </c>
      <c r="C253" s="85">
        <f t="shared" si="6"/>
        <v>45730</v>
      </c>
      <c r="D253" s="84" t="s">
        <v>707</v>
      </c>
      <c r="E253" s="84" t="s">
        <v>499</v>
      </c>
      <c r="F253" s="84" t="s">
        <v>306</v>
      </c>
      <c r="G253" s="84" t="s">
        <v>306</v>
      </c>
      <c r="H253" s="84" t="s">
        <v>500</v>
      </c>
      <c r="I253" s="84" t="s">
        <v>455</v>
      </c>
      <c r="J253" s="86">
        <v>13.73</v>
      </c>
      <c r="K253" s="86">
        <v>0</v>
      </c>
      <c r="L253" s="84" t="s">
        <v>376</v>
      </c>
      <c r="M253" s="84" t="s">
        <v>401</v>
      </c>
    </row>
    <row r="254" spans="1:13" x14ac:dyDescent="0.25">
      <c r="A254" s="83">
        <v>636576</v>
      </c>
      <c r="B254" s="84" t="s">
        <v>303</v>
      </c>
      <c r="C254" s="85">
        <f t="shared" si="6"/>
        <v>45730</v>
      </c>
      <c r="D254" s="84" t="s">
        <v>707</v>
      </c>
      <c r="E254" s="84" t="s">
        <v>501</v>
      </c>
      <c r="F254" s="84" t="s">
        <v>306</v>
      </c>
      <c r="G254" s="84" t="s">
        <v>306</v>
      </c>
      <c r="H254" s="84" t="s">
        <v>502</v>
      </c>
      <c r="I254" s="84" t="s">
        <v>470</v>
      </c>
      <c r="J254" s="86">
        <v>16.03</v>
      </c>
      <c r="K254" s="86">
        <v>0</v>
      </c>
      <c r="L254" s="84" t="s">
        <v>380</v>
      </c>
      <c r="M254" s="84" t="s">
        <v>401</v>
      </c>
    </row>
    <row r="255" spans="1:13" x14ac:dyDescent="0.25">
      <c r="A255" s="83">
        <v>636576</v>
      </c>
      <c r="B255" s="84" t="s">
        <v>303</v>
      </c>
      <c r="C255" s="85">
        <f t="shared" si="6"/>
        <v>45730</v>
      </c>
      <c r="D255" s="84" t="s">
        <v>707</v>
      </c>
      <c r="E255" s="84" t="s">
        <v>503</v>
      </c>
      <c r="F255" s="84" t="s">
        <v>306</v>
      </c>
      <c r="G255" s="84" t="s">
        <v>306</v>
      </c>
      <c r="H255" s="84" t="s">
        <v>504</v>
      </c>
      <c r="I255" s="84" t="s">
        <v>313</v>
      </c>
      <c r="J255" s="86">
        <v>149.04</v>
      </c>
      <c r="K255" s="86">
        <v>0</v>
      </c>
      <c r="L255" s="84" t="s">
        <v>314</v>
      </c>
      <c r="M255" s="84" t="s">
        <v>386</v>
      </c>
    </row>
    <row r="256" spans="1:13" x14ac:dyDescent="0.25">
      <c r="A256" s="83">
        <v>636576</v>
      </c>
      <c r="B256" s="84" t="s">
        <v>303</v>
      </c>
      <c r="C256" s="85">
        <f t="shared" si="6"/>
        <v>45730</v>
      </c>
      <c r="D256" s="84" t="s">
        <v>707</v>
      </c>
      <c r="E256" s="84" t="s">
        <v>505</v>
      </c>
      <c r="F256" s="84" t="s">
        <v>306</v>
      </c>
      <c r="G256" s="84" t="s">
        <v>306</v>
      </c>
      <c r="H256" s="84" t="s">
        <v>506</v>
      </c>
      <c r="I256" s="84" t="s">
        <v>313</v>
      </c>
      <c r="J256" s="86">
        <v>166.85</v>
      </c>
      <c r="K256" s="86">
        <v>0</v>
      </c>
      <c r="L256" s="84" t="s">
        <v>314</v>
      </c>
      <c r="M256" s="84" t="s">
        <v>372</v>
      </c>
    </row>
    <row r="257" spans="1:13" x14ac:dyDescent="0.25">
      <c r="A257" s="83">
        <v>636576</v>
      </c>
      <c r="B257" s="84" t="s">
        <v>303</v>
      </c>
      <c r="C257" s="85">
        <f t="shared" si="6"/>
        <v>45730</v>
      </c>
      <c r="D257" s="84" t="s">
        <v>707</v>
      </c>
      <c r="E257" s="84" t="s">
        <v>507</v>
      </c>
      <c r="F257" s="84" t="s">
        <v>306</v>
      </c>
      <c r="G257" s="84" t="s">
        <v>306</v>
      </c>
      <c r="H257" s="84" t="s">
        <v>508</v>
      </c>
      <c r="I257" s="84" t="s">
        <v>317</v>
      </c>
      <c r="J257" s="86">
        <v>34.86</v>
      </c>
      <c r="K257" s="86">
        <v>0</v>
      </c>
      <c r="L257" s="84" t="s">
        <v>318</v>
      </c>
      <c r="M257" s="84" t="s">
        <v>386</v>
      </c>
    </row>
    <row r="258" spans="1:13" x14ac:dyDescent="0.25">
      <c r="A258" s="83">
        <v>636576</v>
      </c>
      <c r="B258" s="84" t="s">
        <v>303</v>
      </c>
      <c r="C258" s="85">
        <f t="shared" si="6"/>
        <v>45730</v>
      </c>
      <c r="D258" s="84" t="s">
        <v>707</v>
      </c>
      <c r="E258" s="84" t="s">
        <v>509</v>
      </c>
      <c r="F258" s="84" t="s">
        <v>306</v>
      </c>
      <c r="G258" s="84" t="s">
        <v>306</v>
      </c>
      <c r="H258" s="84" t="s">
        <v>510</v>
      </c>
      <c r="I258" s="84" t="s">
        <v>317</v>
      </c>
      <c r="J258" s="86">
        <v>39.020000000000003</v>
      </c>
      <c r="K258" s="86">
        <v>0</v>
      </c>
      <c r="L258" s="84" t="s">
        <v>318</v>
      </c>
      <c r="M258" s="84" t="s">
        <v>372</v>
      </c>
    </row>
    <row r="259" spans="1:13" x14ac:dyDescent="0.25">
      <c r="A259" s="83">
        <v>636576</v>
      </c>
      <c r="B259" s="84" t="s">
        <v>303</v>
      </c>
      <c r="C259" s="85">
        <f t="shared" si="6"/>
        <v>45730</v>
      </c>
      <c r="D259" s="84" t="s">
        <v>707</v>
      </c>
      <c r="E259" s="84" t="s">
        <v>511</v>
      </c>
      <c r="F259" s="84" t="s">
        <v>306</v>
      </c>
      <c r="G259" s="84" t="s">
        <v>306</v>
      </c>
      <c r="H259" s="84" t="s">
        <v>512</v>
      </c>
      <c r="I259" s="84" t="s">
        <v>513</v>
      </c>
      <c r="J259" s="86">
        <v>1.2</v>
      </c>
      <c r="K259" s="86">
        <v>0</v>
      </c>
      <c r="L259" s="84" t="s">
        <v>376</v>
      </c>
      <c r="M259" s="84" t="s">
        <v>336</v>
      </c>
    </row>
    <row r="260" spans="1:13" x14ac:dyDescent="0.25">
      <c r="A260" s="83">
        <v>638675</v>
      </c>
      <c r="B260" s="84" t="s">
        <v>557</v>
      </c>
      <c r="C260" s="85">
        <f>DATE(2025,3,18)</f>
        <v>45734</v>
      </c>
      <c r="D260" s="84" t="s">
        <v>766</v>
      </c>
      <c r="E260" s="84" t="s">
        <v>559</v>
      </c>
      <c r="F260" s="84" t="s">
        <v>767</v>
      </c>
      <c r="G260" s="84" t="s">
        <v>768</v>
      </c>
      <c r="H260" s="84" t="s">
        <v>516</v>
      </c>
      <c r="I260" s="84" t="s">
        <v>517</v>
      </c>
      <c r="J260" s="86">
        <v>80</v>
      </c>
      <c r="K260" s="86">
        <v>0</v>
      </c>
      <c r="L260" s="84" t="s">
        <v>518</v>
      </c>
      <c r="M260" s="84" t="s">
        <v>327</v>
      </c>
    </row>
    <row r="261" spans="1:13" x14ac:dyDescent="0.25">
      <c r="A261" s="83">
        <v>638675</v>
      </c>
      <c r="B261" s="84" t="s">
        <v>557</v>
      </c>
      <c r="C261" s="85">
        <f>DATE(2025,3,18)</f>
        <v>45734</v>
      </c>
      <c r="D261" s="84" t="s">
        <v>766</v>
      </c>
      <c r="E261" s="84" t="s">
        <v>559</v>
      </c>
      <c r="F261" s="84" t="s">
        <v>767</v>
      </c>
      <c r="G261" s="84" t="s">
        <v>768</v>
      </c>
      <c r="H261" s="84" t="s">
        <v>516</v>
      </c>
      <c r="I261" s="84" t="s">
        <v>517</v>
      </c>
      <c r="J261" s="86">
        <v>80</v>
      </c>
      <c r="K261" s="86">
        <v>0</v>
      </c>
      <c r="L261" s="84" t="s">
        <v>518</v>
      </c>
      <c r="M261" s="84" t="s">
        <v>327</v>
      </c>
    </row>
    <row r="262" spans="1:13" x14ac:dyDescent="0.25">
      <c r="A262" s="83">
        <v>638676</v>
      </c>
      <c r="B262" s="84" t="s">
        <v>557</v>
      </c>
      <c r="C262" s="85">
        <f>DATE(2025,3,18)</f>
        <v>45734</v>
      </c>
      <c r="D262" s="84" t="s">
        <v>769</v>
      </c>
      <c r="E262" s="84" t="s">
        <v>559</v>
      </c>
      <c r="F262" s="84" t="s">
        <v>767</v>
      </c>
      <c r="G262" s="84" t="s">
        <v>770</v>
      </c>
      <c r="H262" s="84" t="s">
        <v>516</v>
      </c>
      <c r="I262" s="84" t="s">
        <v>517</v>
      </c>
      <c r="J262" s="86">
        <v>80</v>
      </c>
      <c r="K262" s="86">
        <v>0</v>
      </c>
      <c r="L262" s="84" t="s">
        <v>518</v>
      </c>
      <c r="M262" s="84" t="s">
        <v>327</v>
      </c>
    </row>
    <row r="263" spans="1:13" x14ac:dyDescent="0.25">
      <c r="A263" s="83">
        <v>638676</v>
      </c>
      <c r="B263" s="84" t="s">
        <v>557</v>
      </c>
      <c r="C263" s="85">
        <f>DATE(2025,3,18)</f>
        <v>45734</v>
      </c>
      <c r="D263" s="84" t="s">
        <v>769</v>
      </c>
      <c r="E263" s="84" t="s">
        <v>559</v>
      </c>
      <c r="F263" s="84" t="s">
        <v>767</v>
      </c>
      <c r="G263" s="84" t="s">
        <v>770</v>
      </c>
      <c r="H263" s="84" t="s">
        <v>516</v>
      </c>
      <c r="I263" s="84" t="s">
        <v>517</v>
      </c>
      <c r="J263" s="86">
        <v>80</v>
      </c>
      <c r="K263" s="86">
        <v>0</v>
      </c>
      <c r="L263" s="84" t="s">
        <v>518</v>
      </c>
      <c r="M263" s="84" t="s">
        <v>327</v>
      </c>
    </row>
    <row r="264" spans="1:13" x14ac:dyDescent="0.25">
      <c r="A264" s="83">
        <v>638992</v>
      </c>
      <c r="B264" s="84" t="s">
        <v>557</v>
      </c>
      <c r="C264" s="85">
        <f t="shared" ref="C264:C297" si="7">DATE(2025,3,20)</f>
        <v>45736</v>
      </c>
      <c r="D264" s="84" t="s">
        <v>558</v>
      </c>
      <c r="E264" s="84" t="s">
        <v>559</v>
      </c>
      <c r="F264" s="84" t="s">
        <v>771</v>
      </c>
      <c r="G264" s="84" t="s">
        <v>772</v>
      </c>
      <c r="H264" s="84" t="s">
        <v>773</v>
      </c>
      <c r="I264" s="84" t="s">
        <v>774</v>
      </c>
      <c r="J264" s="86">
        <v>1712.5</v>
      </c>
      <c r="K264" s="86">
        <v>0</v>
      </c>
      <c r="L264" s="84" t="s">
        <v>775</v>
      </c>
      <c r="M264" s="84" t="s">
        <v>352</v>
      </c>
    </row>
    <row r="265" spans="1:13" x14ac:dyDescent="0.25">
      <c r="A265" s="83">
        <v>638993</v>
      </c>
      <c r="B265" s="84" t="s">
        <v>557</v>
      </c>
      <c r="C265" s="85">
        <f t="shared" si="7"/>
        <v>45736</v>
      </c>
      <c r="D265" s="84" t="s">
        <v>558</v>
      </c>
      <c r="E265" s="84" t="s">
        <v>559</v>
      </c>
      <c r="F265" s="84" t="s">
        <v>565</v>
      </c>
      <c r="G265" s="84" t="s">
        <v>776</v>
      </c>
      <c r="H265" s="84" t="s">
        <v>567</v>
      </c>
      <c r="I265" s="84" t="s">
        <v>275</v>
      </c>
      <c r="J265" s="86">
        <v>1304.4100000000001</v>
      </c>
      <c r="K265" s="86">
        <v>0</v>
      </c>
      <c r="L265" s="84" t="s">
        <v>568</v>
      </c>
      <c r="M265" s="84" t="s">
        <v>569</v>
      </c>
    </row>
    <row r="266" spans="1:13" x14ac:dyDescent="0.25">
      <c r="A266" s="83">
        <v>638994</v>
      </c>
      <c r="B266" s="84" t="s">
        <v>557</v>
      </c>
      <c r="C266" s="85">
        <f t="shared" si="7"/>
        <v>45736</v>
      </c>
      <c r="D266" s="84" t="s">
        <v>558</v>
      </c>
      <c r="E266" s="84" t="s">
        <v>559</v>
      </c>
      <c r="F266" s="84" t="s">
        <v>621</v>
      </c>
      <c r="G266" s="84" t="s">
        <v>777</v>
      </c>
      <c r="H266" s="84" t="s">
        <v>778</v>
      </c>
      <c r="I266" s="84" t="s">
        <v>779</v>
      </c>
      <c r="J266" s="86">
        <v>250</v>
      </c>
      <c r="K266" s="86">
        <v>0</v>
      </c>
      <c r="L266" s="84" t="s">
        <v>780</v>
      </c>
      <c r="M266" s="84" t="s">
        <v>310</v>
      </c>
    </row>
    <row r="267" spans="1:13" x14ac:dyDescent="0.25">
      <c r="A267" s="83">
        <v>638994</v>
      </c>
      <c r="B267" s="84" t="s">
        <v>557</v>
      </c>
      <c r="C267" s="85">
        <f t="shared" si="7"/>
        <v>45736</v>
      </c>
      <c r="D267" s="84" t="s">
        <v>558</v>
      </c>
      <c r="E267" s="84" t="s">
        <v>559</v>
      </c>
      <c r="F267" s="84" t="s">
        <v>621</v>
      </c>
      <c r="G267" s="84" t="s">
        <v>777</v>
      </c>
      <c r="H267" s="84" t="s">
        <v>572</v>
      </c>
      <c r="I267" s="84" t="s">
        <v>573</v>
      </c>
      <c r="J267" s="86">
        <v>669.35</v>
      </c>
      <c r="K267" s="86">
        <v>0</v>
      </c>
      <c r="L267" s="84" t="s">
        <v>574</v>
      </c>
      <c r="M267" s="84" t="s">
        <v>569</v>
      </c>
    </row>
    <row r="268" spans="1:13" x14ac:dyDescent="0.25">
      <c r="A268" s="83">
        <v>638994</v>
      </c>
      <c r="B268" s="84" t="s">
        <v>557</v>
      </c>
      <c r="C268" s="85">
        <f t="shared" si="7"/>
        <v>45736</v>
      </c>
      <c r="D268" s="84" t="s">
        <v>558</v>
      </c>
      <c r="E268" s="84" t="s">
        <v>559</v>
      </c>
      <c r="F268" s="84" t="s">
        <v>621</v>
      </c>
      <c r="G268" s="84" t="s">
        <v>777</v>
      </c>
      <c r="H268" s="84" t="s">
        <v>623</v>
      </c>
      <c r="I268" s="84" t="s">
        <v>624</v>
      </c>
      <c r="J268" s="86">
        <v>243.76</v>
      </c>
      <c r="K268" s="86">
        <v>0</v>
      </c>
      <c r="L268" s="84" t="s">
        <v>625</v>
      </c>
      <c r="M268" s="84" t="s">
        <v>327</v>
      </c>
    </row>
    <row r="269" spans="1:13" x14ac:dyDescent="0.25">
      <c r="A269" s="83">
        <v>638995</v>
      </c>
      <c r="B269" s="84" t="s">
        <v>557</v>
      </c>
      <c r="C269" s="85">
        <f t="shared" si="7"/>
        <v>45736</v>
      </c>
      <c r="D269" s="84" t="s">
        <v>558</v>
      </c>
      <c r="E269" s="84" t="s">
        <v>559</v>
      </c>
      <c r="F269" s="84" t="s">
        <v>619</v>
      </c>
      <c r="G269" s="84" t="s">
        <v>781</v>
      </c>
      <c r="H269" s="84" t="s">
        <v>572</v>
      </c>
      <c r="I269" s="84" t="s">
        <v>573</v>
      </c>
      <c r="J269" s="86">
        <v>145.19999999999999</v>
      </c>
      <c r="K269" s="86">
        <v>0</v>
      </c>
      <c r="L269" s="84" t="s">
        <v>574</v>
      </c>
      <c r="M269" s="84" t="s">
        <v>569</v>
      </c>
    </row>
    <row r="270" spans="1:13" x14ac:dyDescent="0.25">
      <c r="A270" s="83">
        <v>638996</v>
      </c>
      <c r="B270" s="84" t="s">
        <v>557</v>
      </c>
      <c r="C270" s="85">
        <f t="shared" si="7"/>
        <v>45736</v>
      </c>
      <c r="D270" s="84" t="s">
        <v>558</v>
      </c>
      <c r="E270" s="84" t="s">
        <v>559</v>
      </c>
      <c r="F270" s="84" t="s">
        <v>570</v>
      </c>
      <c r="G270" s="84" t="s">
        <v>782</v>
      </c>
      <c r="H270" s="84" t="s">
        <v>572</v>
      </c>
      <c r="I270" s="84" t="s">
        <v>573</v>
      </c>
      <c r="J270" s="86">
        <v>275</v>
      </c>
      <c r="K270" s="86">
        <v>0</v>
      </c>
      <c r="L270" s="84" t="s">
        <v>574</v>
      </c>
      <c r="M270" s="84" t="s">
        <v>569</v>
      </c>
    </row>
    <row r="271" spans="1:13" x14ac:dyDescent="0.25">
      <c r="A271" s="83">
        <v>638997</v>
      </c>
      <c r="B271" s="84" t="s">
        <v>557</v>
      </c>
      <c r="C271" s="85">
        <f t="shared" si="7"/>
        <v>45736</v>
      </c>
      <c r="D271" s="84" t="s">
        <v>558</v>
      </c>
      <c r="E271" s="84" t="s">
        <v>559</v>
      </c>
      <c r="F271" s="84" t="s">
        <v>560</v>
      </c>
      <c r="G271" s="84" t="s">
        <v>783</v>
      </c>
      <c r="H271" s="84" t="s">
        <v>784</v>
      </c>
      <c r="I271" s="84" t="s">
        <v>682</v>
      </c>
      <c r="J271" s="86">
        <v>48.14</v>
      </c>
      <c r="K271" s="86">
        <v>0</v>
      </c>
      <c r="L271" s="84" t="s">
        <v>683</v>
      </c>
      <c r="M271" s="84" t="s">
        <v>310</v>
      </c>
    </row>
    <row r="272" spans="1:13" x14ac:dyDescent="0.25">
      <c r="A272" s="83">
        <v>638997</v>
      </c>
      <c r="B272" s="84" t="s">
        <v>557</v>
      </c>
      <c r="C272" s="85">
        <f t="shared" si="7"/>
        <v>45736</v>
      </c>
      <c r="D272" s="84" t="s">
        <v>558</v>
      </c>
      <c r="E272" s="84" t="s">
        <v>559</v>
      </c>
      <c r="F272" s="84" t="s">
        <v>560</v>
      </c>
      <c r="G272" s="84" t="s">
        <v>783</v>
      </c>
      <c r="H272" s="84" t="s">
        <v>623</v>
      </c>
      <c r="I272" s="84" t="s">
        <v>624</v>
      </c>
      <c r="J272" s="86">
        <v>60.91</v>
      </c>
      <c r="K272" s="86">
        <v>0</v>
      </c>
      <c r="L272" s="84" t="s">
        <v>625</v>
      </c>
      <c r="M272" s="84" t="s">
        <v>327</v>
      </c>
    </row>
    <row r="273" spans="1:13" x14ac:dyDescent="0.25">
      <c r="A273" s="83">
        <v>638998</v>
      </c>
      <c r="B273" s="84" t="s">
        <v>557</v>
      </c>
      <c r="C273" s="85">
        <f t="shared" si="7"/>
        <v>45736</v>
      </c>
      <c r="D273" s="84" t="s">
        <v>558</v>
      </c>
      <c r="E273" s="84" t="s">
        <v>559</v>
      </c>
      <c r="F273" s="84" t="s">
        <v>575</v>
      </c>
      <c r="G273" s="84" t="s">
        <v>782</v>
      </c>
      <c r="H273" s="84" t="s">
        <v>692</v>
      </c>
      <c r="I273" s="84" t="s">
        <v>573</v>
      </c>
      <c r="J273" s="86">
        <v>257.39999999999998</v>
      </c>
      <c r="K273" s="86">
        <v>0</v>
      </c>
      <c r="L273" s="84" t="s">
        <v>574</v>
      </c>
      <c r="M273" s="84" t="s">
        <v>569</v>
      </c>
    </row>
    <row r="274" spans="1:13" x14ac:dyDescent="0.25">
      <c r="A274" s="83">
        <v>638998</v>
      </c>
      <c r="B274" s="84" t="s">
        <v>557</v>
      </c>
      <c r="C274" s="85">
        <f t="shared" si="7"/>
        <v>45736</v>
      </c>
      <c r="D274" s="84" t="s">
        <v>558</v>
      </c>
      <c r="E274" s="84" t="s">
        <v>559</v>
      </c>
      <c r="F274" s="84" t="s">
        <v>575</v>
      </c>
      <c r="G274" s="84" t="s">
        <v>782</v>
      </c>
      <c r="H274" s="84" t="s">
        <v>785</v>
      </c>
      <c r="I274" s="84" t="s">
        <v>624</v>
      </c>
      <c r="J274" s="86">
        <v>32.79</v>
      </c>
      <c r="K274" s="86">
        <v>0</v>
      </c>
      <c r="L274" s="84" t="s">
        <v>625</v>
      </c>
      <c r="M274" s="84" t="s">
        <v>336</v>
      </c>
    </row>
    <row r="275" spans="1:13" x14ac:dyDescent="0.25">
      <c r="A275" s="83">
        <v>638999</v>
      </c>
      <c r="B275" s="84" t="s">
        <v>557</v>
      </c>
      <c r="C275" s="85">
        <f t="shared" si="7"/>
        <v>45736</v>
      </c>
      <c r="D275" s="84" t="s">
        <v>558</v>
      </c>
      <c r="E275" s="84" t="s">
        <v>559</v>
      </c>
      <c r="F275" s="84" t="s">
        <v>693</v>
      </c>
      <c r="G275" s="84" t="s">
        <v>786</v>
      </c>
      <c r="H275" s="84" t="s">
        <v>567</v>
      </c>
      <c r="I275" s="84" t="s">
        <v>275</v>
      </c>
      <c r="J275" s="86">
        <v>58.74</v>
      </c>
      <c r="K275" s="86">
        <v>0</v>
      </c>
      <c r="L275" s="84" t="s">
        <v>568</v>
      </c>
      <c r="M275" s="84" t="s">
        <v>569</v>
      </c>
    </row>
    <row r="276" spans="1:13" x14ac:dyDescent="0.25">
      <c r="A276" s="83">
        <v>638999</v>
      </c>
      <c r="B276" s="84" t="s">
        <v>557</v>
      </c>
      <c r="C276" s="85">
        <f t="shared" si="7"/>
        <v>45736</v>
      </c>
      <c r="D276" s="84" t="s">
        <v>558</v>
      </c>
      <c r="E276" s="84" t="s">
        <v>559</v>
      </c>
      <c r="F276" s="84" t="s">
        <v>693</v>
      </c>
      <c r="G276" s="84" t="s">
        <v>786</v>
      </c>
      <c r="H276" s="84" t="s">
        <v>572</v>
      </c>
      <c r="I276" s="84" t="s">
        <v>573</v>
      </c>
      <c r="J276" s="86">
        <v>646.79999999999995</v>
      </c>
      <c r="K276" s="86">
        <v>0</v>
      </c>
      <c r="L276" s="84" t="s">
        <v>574</v>
      </c>
      <c r="M276" s="84" t="s">
        <v>569</v>
      </c>
    </row>
    <row r="277" spans="1:13" x14ac:dyDescent="0.25">
      <c r="A277" s="83">
        <v>639000</v>
      </c>
      <c r="B277" s="84" t="s">
        <v>557</v>
      </c>
      <c r="C277" s="85">
        <f t="shared" si="7"/>
        <v>45736</v>
      </c>
      <c r="D277" s="84" t="s">
        <v>558</v>
      </c>
      <c r="E277" s="84" t="s">
        <v>559</v>
      </c>
      <c r="F277" s="84" t="s">
        <v>787</v>
      </c>
      <c r="G277" s="84" t="s">
        <v>788</v>
      </c>
      <c r="H277" s="84" t="s">
        <v>692</v>
      </c>
      <c r="I277" s="84" t="s">
        <v>573</v>
      </c>
      <c r="J277" s="86">
        <v>130.9</v>
      </c>
      <c r="K277" s="86">
        <v>0</v>
      </c>
      <c r="L277" s="84" t="s">
        <v>574</v>
      </c>
      <c r="M277" s="84" t="s">
        <v>569</v>
      </c>
    </row>
    <row r="278" spans="1:13" x14ac:dyDescent="0.25">
      <c r="A278" s="83">
        <v>639001</v>
      </c>
      <c r="B278" s="84" t="s">
        <v>557</v>
      </c>
      <c r="C278" s="85">
        <f t="shared" si="7"/>
        <v>45736</v>
      </c>
      <c r="D278" s="84" t="s">
        <v>558</v>
      </c>
      <c r="E278" s="84" t="s">
        <v>559</v>
      </c>
      <c r="F278" s="84" t="s">
        <v>695</v>
      </c>
      <c r="G278" s="84" t="s">
        <v>691</v>
      </c>
      <c r="H278" s="84" t="s">
        <v>572</v>
      </c>
      <c r="I278" s="84" t="s">
        <v>573</v>
      </c>
      <c r="J278" s="86">
        <v>170.5</v>
      </c>
      <c r="K278" s="86">
        <v>0</v>
      </c>
      <c r="L278" s="84" t="s">
        <v>574</v>
      </c>
      <c r="M278" s="84" t="s">
        <v>569</v>
      </c>
    </row>
    <row r="279" spans="1:13" x14ac:dyDescent="0.25">
      <c r="A279" s="83">
        <v>639001</v>
      </c>
      <c r="B279" s="84" t="s">
        <v>557</v>
      </c>
      <c r="C279" s="85">
        <f t="shared" si="7"/>
        <v>45736</v>
      </c>
      <c r="D279" s="84" t="s">
        <v>558</v>
      </c>
      <c r="E279" s="84" t="s">
        <v>559</v>
      </c>
      <c r="F279" s="84" t="s">
        <v>695</v>
      </c>
      <c r="G279" s="84" t="s">
        <v>691</v>
      </c>
      <c r="H279" s="84" t="s">
        <v>623</v>
      </c>
      <c r="I279" s="84" t="s">
        <v>624</v>
      </c>
      <c r="J279" s="86">
        <v>139.19</v>
      </c>
      <c r="K279" s="86">
        <v>0</v>
      </c>
      <c r="L279" s="84" t="s">
        <v>625</v>
      </c>
      <c r="M279" s="84" t="s">
        <v>327</v>
      </c>
    </row>
    <row r="280" spans="1:13" x14ac:dyDescent="0.25">
      <c r="A280" s="83">
        <v>639002</v>
      </c>
      <c r="B280" s="84" t="s">
        <v>557</v>
      </c>
      <c r="C280" s="85">
        <f t="shared" si="7"/>
        <v>45736</v>
      </c>
      <c r="D280" s="84" t="s">
        <v>558</v>
      </c>
      <c r="E280" s="84" t="s">
        <v>559</v>
      </c>
      <c r="F280" s="84" t="s">
        <v>700</v>
      </c>
      <c r="G280" s="84" t="s">
        <v>789</v>
      </c>
      <c r="H280" s="84" t="s">
        <v>535</v>
      </c>
      <c r="I280" s="84" t="s">
        <v>534</v>
      </c>
      <c r="J280" s="86">
        <v>56</v>
      </c>
      <c r="K280" s="86">
        <v>0</v>
      </c>
      <c r="L280" s="84" t="s">
        <v>536</v>
      </c>
      <c r="M280" s="84" t="s">
        <v>531</v>
      </c>
    </row>
    <row r="281" spans="1:13" x14ac:dyDescent="0.25">
      <c r="A281" s="83">
        <v>639002</v>
      </c>
      <c r="B281" s="84" t="s">
        <v>557</v>
      </c>
      <c r="C281" s="85">
        <f t="shared" si="7"/>
        <v>45736</v>
      </c>
      <c r="D281" s="84" t="s">
        <v>558</v>
      </c>
      <c r="E281" s="84" t="s">
        <v>559</v>
      </c>
      <c r="F281" s="84" t="s">
        <v>700</v>
      </c>
      <c r="G281" s="84" t="s">
        <v>789</v>
      </c>
      <c r="H281" s="84" t="s">
        <v>576</v>
      </c>
      <c r="I281" s="84" t="s">
        <v>577</v>
      </c>
      <c r="J281" s="86">
        <v>62</v>
      </c>
      <c r="K281" s="86">
        <v>0</v>
      </c>
      <c r="L281" s="84" t="s">
        <v>578</v>
      </c>
      <c r="M281" s="84" t="s">
        <v>336</v>
      </c>
    </row>
    <row r="282" spans="1:13" x14ac:dyDescent="0.25">
      <c r="A282" s="83">
        <v>639002</v>
      </c>
      <c r="B282" s="84" t="s">
        <v>557</v>
      </c>
      <c r="C282" s="85">
        <f t="shared" si="7"/>
        <v>45736</v>
      </c>
      <c r="D282" s="84" t="s">
        <v>558</v>
      </c>
      <c r="E282" s="84" t="s">
        <v>559</v>
      </c>
      <c r="F282" s="84" t="s">
        <v>700</v>
      </c>
      <c r="G282" s="84" t="s">
        <v>789</v>
      </c>
      <c r="H282" s="84" t="s">
        <v>784</v>
      </c>
      <c r="I282" s="84" t="s">
        <v>682</v>
      </c>
      <c r="J282" s="86">
        <v>75.95</v>
      </c>
      <c r="K282" s="86">
        <v>0</v>
      </c>
      <c r="L282" s="84" t="s">
        <v>683</v>
      </c>
      <c r="M282" s="84" t="s">
        <v>310</v>
      </c>
    </row>
    <row r="283" spans="1:13" x14ac:dyDescent="0.25">
      <c r="A283" s="83">
        <v>639002</v>
      </c>
      <c r="B283" s="84" t="s">
        <v>557</v>
      </c>
      <c r="C283" s="85">
        <f t="shared" si="7"/>
        <v>45736</v>
      </c>
      <c r="D283" s="84" t="s">
        <v>558</v>
      </c>
      <c r="E283" s="84" t="s">
        <v>559</v>
      </c>
      <c r="F283" s="84" t="s">
        <v>700</v>
      </c>
      <c r="G283" s="84" t="s">
        <v>789</v>
      </c>
      <c r="H283" s="84" t="s">
        <v>586</v>
      </c>
      <c r="I283" s="84" t="s">
        <v>587</v>
      </c>
      <c r="J283" s="86">
        <v>210</v>
      </c>
      <c r="K283" s="86">
        <v>0</v>
      </c>
      <c r="L283" s="84" t="s">
        <v>588</v>
      </c>
      <c r="M283" s="84" t="s">
        <v>310</v>
      </c>
    </row>
    <row r="284" spans="1:13" x14ac:dyDescent="0.25">
      <c r="A284" s="83">
        <v>639002</v>
      </c>
      <c r="B284" s="84" t="s">
        <v>557</v>
      </c>
      <c r="C284" s="85">
        <f t="shared" si="7"/>
        <v>45736</v>
      </c>
      <c r="D284" s="84" t="s">
        <v>558</v>
      </c>
      <c r="E284" s="84" t="s">
        <v>559</v>
      </c>
      <c r="F284" s="84" t="s">
        <v>700</v>
      </c>
      <c r="G284" s="84" t="s">
        <v>789</v>
      </c>
      <c r="H284" s="84" t="s">
        <v>581</v>
      </c>
      <c r="I284" s="84" t="s">
        <v>582</v>
      </c>
      <c r="J284" s="86">
        <v>70</v>
      </c>
      <c r="K284" s="86">
        <v>0</v>
      </c>
      <c r="L284" s="84" t="s">
        <v>583</v>
      </c>
      <c r="M284" s="84" t="s">
        <v>336</v>
      </c>
    </row>
    <row r="285" spans="1:13" x14ac:dyDescent="0.25">
      <c r="A285" s="83">
        <v>639003</v>
      </c>
      <c r="B285" s="84" t="s">
        <v>557</v>
      </c>
      <c r="C285" s="85">
        <f t="shared" si="7"/>
        <v>45736</v>
      </c>
      <c r="D285" s="84" t="s">
        <v>558</v>
      </c>
      <c r="E285" s="84" t="s">
        <v>559</v>
      </c>
      <c r="F285" s="84" t="s">
        <v>677</v>
      </c>
      <c r="G285" s="84" t="s">
        <v>790</v>
      </c>
      <c r="H285" s="84" t="s">
        <v>572</v>
      </c>
      <c r="I285" s="84" t="s">
        <v>573</v>
      </c>
      <c r="J285" s="86">
        <v>147.94999999999999</v>
      </c>
      <c r="K285" s="86">
        <v>0</v>
      </c>
      <c r="L285" s="84" t="s">
        <v>574</v>
      </c>
      <c r="M285" s="84" t="s">
        <v>569</v>
      </c>
    </row>
    <row r="286" spans="1:13" x14ac:dyDescent="0.25">
      <c r="A286" s="83">
        <v>639003</v>
      </c>
      <c r="B286" s="84" t="s">
        <v>557</v>
      </c>
      <c r="C286" s="85">
        <f t="shared" si="7"/>
        <v>45736</v>
      </c>
      <c r="D286" s="84" t="s">
        <v>558</v>
      </c>
      <c r="E286" s="84" t="s">
        <v>559</v>
      </c>
      <c r="F286" s="84" t="s">
        <v>677</v>
      </c>
      <c r="G286" s="84" t="s">
        <v>790</v>
      </c>
      <c r="H286" s="84" t="s">
        <v>623</v>
      </c>
      <c r="I286" s="84" t="s">
        <v>624</v>
      </c>
      <c r="J286" s="86">
        <v>576.77</v>
      </c>
      <c r="K286" s="86">
        <v>0</v>
      </c>
      <c r="L286" s="84" t="s">
        <v>625</v>
      </c>
      <c r="M286" s="84" t="s">
        <v>327</v>
      </c>
    </row>
    <row r="287" spans="1:13" x14ac:dyDescent="0.25">
      <c r="A287" s="83">
        <v>639003</v>
      </c>
      <c r="B287" s="84" t="s">
        <v>557</v>
      </c>
      <c r="C287" s="85">
        <f t="shared" si="7"/>
        <v>45736</v>
      </c>
      <c r="D287" s="84" t="s">
        <v>558</v>
      </c>
      <c r="E287" s="84" t="s">
        <v>559</v>
      </c>
      <c r="F287" s="84" t="s">
        <v>677</v>
      </c>
      <c r="G287" s="84" t="s">
        <v>790</v>
      </c>
      <c r="H287" s="84" t="s">
        <v>791</v>
      </c>
      <c r="I287" s="84" t="s">
        <v>792</v>
      </c>
      <c r="J287" s="86">
        <v>8.76</v>
      </c>
      <c r="K287" s="86">
        <v>0</v>
      </c>
      <c r="L287" s="84" t="s">
        <v>793</v>
      </c>
      <c r="M287" s="84" t="s">
        <v>327</v>
      </c>
    </row>
    <row r="288" spans="1:13" x14ac:dyDescent="0.25">
      <c r="A288" s="83">
        <v>639004</v>
      </c>
      <c r="B288" s="84" t="s">
        <v>557</v>
      </c>
      <c r="C288" s="85">
        <f t="shared" si="7"/>
        <v>45736</v>
      </c>
      <c r="D288" s="84" t="s">
        <v>558</v>
      </c>
      <c r="E288" s="84" t="s">
        <v>559</v>
      </c>
      <c r="F288" s="84" t="s">
        <v>684</v>
      </c>
      <c r="G288" s="84" t="s">
        <v>794</v>
      </c>
      <c r="H288" s="84" t="s">
        <v>572</v>
      </c>
      <c r="I288" s="84" t="s">
        <v>573</v>
      </c>
      <c r="J288" s="86">
        <v>150.15</v>
      </c>
      <c r="K288" s="86">
        <v>0</v>
      </c>
      <c r="L288" s="84" t="s">
        <v>574</v>
      </c>
      <c r="M288" s="84" t="s">
        <v>569</v>
      </c>
    </row>
    <row r="289" spans="1:13" x14ac:dyDescent="0.25">
      <c r="A289" s="83">
        <v>639004</v>
      </c>
      <c r="B289" s="84" t="s">
        <v>557</v>
      </c>
      <c r="C289" s="85">
        <f t="shared" si="7"/>
        <v>45736</v>
      </c>
      <c r="D289" s="84" t="s">
        <v>558</v>
      </c>
      <c r="E289" s="84" t="s">
        <v>559</v>
      </c>
      <c r="F289" s="84" t="s">
        <v>684</v>
      </c>
      <c r="G289" s="84" t="s">
        <v>794</v>
      </c>
      <c r="H289" s="84" t="s">
        <v>623</v>
      </c>
      <c r="I289" s="84" t="s">
        <v>624</v>
      </c>
      <c r="J289" s="86">
        <v>421.19</v>
      </c>
      <c r="K289" s="86">
        <v>0</v>
      </c>
      <c r="L289" s="84" t="s">
        <v>625</v>
      </c>
      <c r="M289" s="84" t="s">
        <v>327</v>
      </c>
    </row>
    <row r="290" spans="1:13" x14ac:dyDescent="0.25">
      <c r="A290" s="83">
        <v>639005</v>
      </c>
      <c r="B290" s="84" t="s">
        <v>557</v>
      </c>
      <c r="C290" s="85">
        <f t="shared" si="7"/>
        <v>45736</v>
      </c>
      <c r="D290" s="84" t="s">
        <v>558</v>
      </c>
      <c r="E290" s="84" t="s">
        <v>559</v>
      </c>
      <c r="F290" s="84" t="s">
        <v>637</v>
      </c>
      <c r="G290" s="84" t="s">
        <v>795</v>
      </c>
      <c r="H290" s="84" t="s">
        <v>572</v>
      </c>
      <c r="I290" s="84" t="s">
        <v>573</v>
      </c>
      <c r="J290" s="86">
        <v>147.4</v>
      </c>
      <c r="K290" s="86">
        <v>0</v>
      </c>
      <c r="L290" s="84" t="s">
        <v>574</v>
      </c>
      <c r="M290" s="84" t="s">
        <v>569</v>
      </c>
    </row>
    <row r="291" spans="1:13" x14ac:dyDescent="0.25">
      <c r="A291" s="83">
        <v>639006</v>
      </c>
      <c r="B291" s="84" t="s">
        <v>557</v>
      </c>
      <c r="C291" s="85">
        <f t="shared" si="7"/>
        <v>45736</v>
      </c>
      <c r="D291" s="84" t="s">
        <v>796</v>
      </c>
      <c r="E291" s="84" t="s">
        <v>559</v>
      </c>
      <c r="F291" s="84" t="s">
        <v>797</v>
      </c>
      <c r="G291" s="84" t="s">
        <v>798</v>
      </c>
      <c r="H291" s="84" t="s">
        <v>799</v>
      </c>
      <c r="I291" s="84" t="s">
        <v>241</v>
      </c>
      <c r="J291" s="86">
        <v>100</v>
      </c>
      <c r="K291" s="86">
        <v>0</v>
      </c>
      <c r="L291" s="84" t="s">
        <v>240</v>
      </c>
      <c r="M291" s="84" t="s">
        <v>533</v>
      </c>
    </row>
    <row r="292" spans="1:13" x14ac:dyDescent="0.25">
      <c r="A292" s="83">
        <v>639007</v>
      </c>
      <c r="B292" s="84" t="s">
        <v>557</v>
      </c>
      <c r="C292" s="85">
        <f t="shared" si="7"/>
        <v>45736</v>
      </c>
      <c r="D292" s="84" t="s">
        <v>800</v>
      </c>
      <c r="E292" s="84" t="s">
        <v>559</v>
      </c>
      <c r="F292" s="84" t="s">
        <v>797</v>
      </c>
      <c r="G292" s="84" t="s">
        <v>801</v>
      </c>
      <c r="H292" s="84" t="s">
        <v>799</v>
      </c>
      <c r="I292" s="84" t="s">
        <v>241</v>
      </c>
      <c r="J292" s="86">
        <v>1000</v>
      </c>
      <c r="K292" s="86">
        <v>0</v>
      </c>
      <c r="L292" s="84" t="s">
        <v>240</v>
      </c>
      <c r="M292" s="84" t="s">
        <v>533</v>
      </c>
    </row>
    <row r="293" spans="1:13" x14ac:dyDescent="0.25">
      <c r="A293" s="83">
        <v>639008</v>
      </c>
      <c r="B293" s="84" t="s">
        <v>557</v>
      </c>
      <c r="C293" s="85">
        <f t="shared" si="7"/>
        <v>45736</v>
      </c>
      <c r="D293" s="84" t="s">
        <v>802</v>
      </c>
      <c r="E293" s="84" t="s">
        <v>559</v>
      </c>
      <c r="F293" s="84" t="s">
        <v>797</v>
      </c>
      <c r="G293" s="84" t="s">
        <v>803</v>
      </c>
      <c r="H293" s="84" t="s">
        <v>799</v>
      </c>
      <c r="I293" s="84" t="s">
        <v>241</v>
      </c>
      <c r="J293" s="86">
        <v>868.43</v>
      </c>
      <c r="K293" s="86">
        <v>0</v>
      </c>
      <c r="L293" s="84" t="s">
        <v>240</v>
      </c>
      <c r="M293" s="84" t="s">
        <v>533</v>
      </c>
    </row>
    <row r="294" spans="1:13" x14ac:dyDescent="0.25">
      <c r="A294" s="83">
        <v>639009</v>
      </c>
      <c r="B294" s="84" t="s">
        <v>557</v>
      </c>
      <c r="C294" s="85">
        <f t="shared" si="7"/>
        <v>45736</v>
      </c>
      <c r="D294" s="84" t="s">
        <v>558</v>
      </c>
      <c r="E294" s="84" t="s">
        <v>559</v>
      </c>
      <c r="F294" s="84" t="s">
        <v>804</v>
      </c>
      <c r="G294" s="84" t="s">
        <v>781</v>
      </c>
      <c r="H294" s="84" t="s">
        <v>572</v>
      </c>
      <c r="I294" s="84" t="s">
        <v>573</v>
      </c>
      <c r="J294" s="86">
        <v>16.5</v>
      </c>
      <c r="K294" s="86">
        <v>0</v>
      </c>
      <c r="L294" s="84" t="s">
        <v>574</v>
      </c>
      <c r="M294" s="84" t="s">
        <v>569</v>
      </c>
    </row>
    <row r="295" spans="1:13" x14ac:dyDescent="0.25">
      <c r="A295" s="83">
        <v>639010</v>
      </c>
      <c r="B295" s="84" t="s">
        <v>557</v>
      </c>
      <c r="C295" s="85">
        <f t="shared" si="7"/>
        <v>45736</v>
      </c>
      <c r="D295" s="84" t="s">
        <v>558</v>
      </c>
      <c r="E295" s="84" t="s">
        <v>559</v>
      </c>
      <c r="F295" s="84" t="s">
        <v>805</v>
      </c>
      <c r="G295" s="84" t="s">
        <v>806</v>
      </c>
      <c r="H295" s="84" t="s">
        <v>650</v>
      </c>
      <c r="I295" s="84" t="s">
        <v>235</v>
      </c>
      <c r="J295" s="86">
        <v>418</v>
      </c>
      <c r="K295" s="86">
        <v>0</v>
      </c>
      <c r="L295" s="84" t="s">
        <v>651</v>
      </c>
      <c r="M295" s="84" t="s">
        <v>652</v>
      </c>
    </row>
    <row r="296" spans="1:13" x14ac:dyDescent="0.25">
      <c r="A296" s="83">
        <v>639011</v>
      </c>
      <c r="B296" s="84" t="s">
        <v>557</v>
      </c>
      <c r="C296" s="85">
        <f t="shared" si="7"/>
        <v>45736</v>
      </c>
      <c r="D296" s="84" t="s">
        <v>807</v>
      </c>
      <c r="E296" s="84" t="s">
        <v>559</v>
      </c>
      <c r="F296" s="84" t="s">
        <v>632</v>
      </c>
      <c r="G296" s="84" t="s">
        <v>808</v>
      </c>
      <c r="H296" s="84" t="s">
        <v>634</v>
      </c>
      <c r="I296" s="84" t="s">
        <v>635</v>
      </c>
      <c r="J296" s="86">
        <v>390</v>
      </c>
      <c r="K296" s="86">
        <v>0</v>
      </c>
      <c r="L296" s="84" t="s">
        <v>636</v>
      </c>
      <c r="M296" s="84" t="s">
        <v>394</v>
      </c>
    </row>
    <row r="297" spans="1:13" x14ac:dyDescent="0.25">
      <c r="A297" s="83">
        <v>639012</v>
      </c>
      <c r="B297" s="84" t="s">
        <v>557</v>
      </c>
      <c r="C297" s="85">
        <f t="shared" si="7"/>
        <v>45736</v>
      </c>
      <c r="D297" s="84" t="s">
        <v>809</v>
      </c>
      <c r="E297" s="84" t="s">
        <v>559</v>
      </c>
      <c r="F297" s="84" t="s">
        <v>810</v>
      </c>
      <c r="G297" s="84" t="s">
        <v>811</v>
      </c>
      <c r="H297" s="84" t="s">
        <v>554</v>
      </c>
      <c r="I297" s="84" t="s">
        <v>555</v>
      </c>
      <c r="J297" s="86">
        <v>3366</v>
      </c>
      <c r="K297" s="86">
        <v>0</v>
      </c>
      <c r="L297" s="84" t="s">
        <v>556</v>
      </c>
      <c r="M297" s="84" t="s">
        <v>310</v>
      </c>
    </row>
    <row r="298" spans="1:13" x14ac:dyDescent="0.25">
      <c r="A298" s="83">
        <v>639378</v>
      </c>
      <c r="B298" s="84" t="s">
        <v>557</v>
      </c>
      <c r="C298" s="85">
        <f>DATE(2025,3,12)</f>
        <v>45728</v>
      </c>
      <c r="D298" s="84" t="s">
        <v>812</v>
      </c>
      <c r="E298" s="84" t="s">
        <v>559</v>
      </c>
      <c r="F298" s="84" t="s">
        <v>813</v>
      </c>
      <c r="G298" s="84" t="s">
        <v>814</v>
      </c>
      <c r="H298" s="84" t="s">
        <v>591</v>
      </c>
      <c r="I298" s="84" t="s">
        <v>592</v>
      </c>
      <c r="J298" s="86">
        <v>152.88</v>
      </c>
      <c r="K298" s="86">
        <v>0</v>
      </c>
      <c r="L298" s="84" t="s">
        <v>593</v>
      </c>
      <c r="M298" s="84" t="s">
        <v>310</v>
      </c>
    </row>
    <row r="299" spans="1:13" x14ac:dyDescent="0.25">
      <c r="A299" s="83">
        <v>640741</v>
      </c>
      <c r="B299" s="84" t="s">
        <v>303</v>
      </c>
      <c r="C299" s="85">
        <f t="shared" ref="C299:C304" si="8">DATE(2025,3,31)</f>
        <v>45747</v>
      </c>
      <c r="D299" s="84" t="s">
        <v>815</v>
      </c>
      <c r="E299" s="84" t="s">
        <v>816</v>
      </c>
      <c r="F299" s="84" t="s">
        <v>306</v>
      </c>
      <c r="G299" s="84" t="s">
        <v>306</v>
      </c>
      <c r="H299" s="84" t="s">
        <v>817</v>
      </c>
      <c r="I299" s="84" t="s">
        <v>818</v>
      </c>
      <c r="J299" s="86">
        <v>2.92</v>
      </c>
      <c r="K299" s="86">
        <v>0</v>
      </c>
      <c r="L299" s="84" t="s">
        <v>819</v>
      </c>
      <c r="M299" s="84" t="s">
        <v>310</v>
      </c>
    </row>
    <row r="300" spans="1:13" x14ac:dyDescent="0.25">
      <c r="A300" s="83">
        <v>640741</v>
      </c>
      <c r="B300" s="84" t="s">
        <v>303</v>
      </c>
      <c r="C300" s="85">
        <f t="shared" si="8"/>
        <v>45747</v>
      </c>
      <c r="D300" s="84" t="s">
        <v>815</v>
      </c>
      <c r="E300" s="84" t="s">
        <v>820</v>
      </c>
      <c r="F300" s="84" t="s">
        <v>306</v>
      </c>
      <c r="G300" s="84" t="s">
        <v>306</v>
      </c>
      <c r="H300" s="84" t="s">
        <v>817</v>
      </c>
      <c r="I300" s="84" t="s">
        <v>818</v>
      </c>
      <c r="J300" s="86">
        <v>14.25</v>
      </c>
      <c r="K300" s="86">
        <v>0</v>
      </c>
      <c r="L300" s="84" t="s">
        <v>819</v>
      </c>
      <c r="M300" s="84" t="s">
        <v>310</v>
      </c>
    </row>
    <row r="301" spans="1:13" x14ac:dyDescent="0.25">
      <c r="A301" s="83">
        <v>640741</v>
      </c>
      <c r="B301" s="84" t="s">
        <v>303</v>
      </c>
      <c r="C301" s="85">
        <f t="shared" si="8"/>
        <v>45747</v>
      </c>
      <c r="D301" s="84" t="s">
        <v>815</v>
      </c>
      <c r="E301" s="84" t="s">
        <v>821</v>
      </c>
      <c r="F301" s="84" t="s">
        <v>306</v>
      </c>
      <c r="G301" s="84" t="s">
        <v>306</v>
      </c>
      <c r="H301" s="84" t="s">
        <v>817</v>
      </c>
      <c r="I301" s="84" t="s">
        <v>818</v>
      </c>
      <c r="J301" s="86">
        <v>112.5</v>
      </c>
      <c r="K301" s="86">
        <v>0</v>
      </c>
      <c r="L301" s="84" t="s">
        <v>819</v>
      </c>
      <c r="M301" s="84" t="s">
        <v>310</v>
      </c>
    </row>
    <row r="302" spans="1:13" x14ac:dyDescent="0.25">
      <c r="A302" s="83">
        <v>640741</v>
      </c>
      <c r="B302" s="84" t="s">
        <v>303</v>
      </c>
      <c r="C302" s="85">
        <f t="shared" si="8"/>
        <v>45747</v>
      </c>
      <c r="D302" s="84" t="s">
        <v>815</v>
      </c>
      <c r="E302" s="84" t="s">
        <v>822</v>
      </c>
      <c r="F302" s="84" t="s">
        <v>306</v>
      </c>
      <c r="G302" s="84" t="s">
        <v>306</v>
      </c>
      <c r="H302" s="84" t="s">
        <v>817</v>
      </c>
      <c r="I302" s="84" t="s">
        <v>818</v>
      </c>
      <c r="J302" s="86">
        <v>216.67</v>
      </c>
      <c r="K302" s="86">
        <v>0</v>
      </c>
      <c r="L302" s="84" t="s">
        <v>819</v>
      </c>
      <c r="M302" s="84" t="s">
        <v>310</v>
      </c>
    </row>
    <row r="303" spans="1:13" x14ac:dyDescent="0.25">
      <c r="A303" s="83">
        <v>640741</v>
      </c>
      <c r="B303" s="84" t="s">
        <v>303</v>
      </c>
      <c r="C303" s="85">
        <f t="shared" si="8"/>
        <v>45747</v>
      </c>
      <c r="D303" s="84" t="s">
        <v>815</v>
      </c>
      <c r="E303" s="84" t="s">
        <v>823</v>
      </c>
      <c r="F303" s="84" t="s">
        <v>306</v>
      </c>
      <c r="G303" s="84" t="s">
        <v>306</v>
      </c>
      <c r="H303" s="84" t="s">
        <v>817</v>
      </c>
      <c r="I303" s="84" t="s">
        <v>818</v>
      </c>
      <c r="J303" s="86">
        <v>370.75</v>
      </c>
      <c r="K303" s="86">
        <v>0</v>
      </c>
      <c r="L303" s="84" t="s">
        <v>819</v>
      </c>
      <c r="M303" s="84" t="s">
        <v>310</v>
      </c>
    </row>
    <row r="304" spans="1:13" x14ac:dyDescent="0.25">
      <c r="A304" s="83">
        <v>640741</v>
      </c>
      <c r="B304" s="84" t="s">
        <v>303</v>
      </c>
      <c r="C304" s="85">
        <f t="shared" si="8"/>
        <v>45747</v>
      </c>
      <c r="D304" s="84" t="s">
        <v>815</v>
      </c>
      <c r="E304" s="84" t="s">
        <v>824</v>
      </c>
      <c r="F304" s="84" t="s">
        <v>306</v>
      </c>
      <c r="G304" s="84" t="s">
        <v>306</v>
      </c>
      <c r="H304" s="84" t="s">
        <v>817</v>
      </c>
      <c r="I304" s="84" t="s">
        <v>818</v>
      </c>
      <c r="J304" s="86">
        <v>3148.17</v>
      </c>
      <c r="K304" s="86">
        <v>0</v>
      </c>
      <c r="L304" s="84" t="s">
        <v>819</v>
      </c>
      <c r="M304" s="84" t="s">
        <v>310</v>
      </c>
    </row>
    <row r="305" spans="1:13" x14ac:dyDescent="0.25">
      <c r="A305" s="83">
        <v>641261</v>
      </c>
      <c r="B305" s="84" t="s">
        <v>557</v>
      </c>
      <c r="C305" s="85">
        <f>DATE(2025,3,26)</f>
        <v>45742</v>
      </c>
      <c r="D305" s="84" t="s">
        <v>825</v>
      </c>
      <c r="E305" s="84" t="s">
        <v>559</v>
      </c>
      <c r="F305" s="84" t="s">
        <v>826</v>
      </c>
      <c r="G305" s="84" t="s">
        <v>827</v>
      </c>
      <c r="H305" s="84" t="s">
        <v>516</v>
      </c>
      <c r="I305" s="84" t="s">
        <v>517</v>
      </c>
      <c r="J305" s="86">
        <v>45.3</v>
      </c>
      <c r="K305" s="86">
        <v>0</v>
      </c>
      <c r="L305" s="84" t="s">
        <v>518</v>
      </c>
      <c r="M305" s="84" t="s">
        <v>327</v>
      </c>
    </row>
    <row r="306" spans="1:13" x14ac:dyDescent="0.25">
      <c r="A306" s="83">
        <v>641261</v>
      </c>
      <c r="B306" s="84" t="s">
        <v>557</v>
      </c>
      <c r="C306" s="85">
        <f>DATE(2025,3,26)</f>
        <v>45742</v>
      </c>
      <c r="D306" s="84" t="s">
        <v>825</v>
      </c>
      <c r="E306" s="84" t="s">
        <v>559</v>
      </c>
      <c r="F306" s="84" t="s">
        <v>826</v>
      </c>
      <c r="G306" s="84" t="s">
        <v>827</v>
      </c>
      <c r="H306" s="84" t="s">
        <v>516</v>
      </c>
      <c r="I306" s="84" t="s">
        <v>517</v>
      </c>
      <c r="J306" s="86">
        <v>335</v>
      </c>
      <c r="K306" s="86">
        <v>0</v>
      </c>
      <c r="L306" s="84" t="s">
        <v>518</v>
      </c>
      <c r="M306" s="84" t="s">
        <v>327</v>
      </c>
    </row>
    <row r="307" spans="1:13" x14ac:dyDescent="0.25">
      <c r="A307" s="83">
        <v>641380</v>
      </c>
      <c r="B307" s="84" t="s">
        <v>557</v>
      </c>
      <c r="C307" s="85">
        <f t="shared" ref="C307:C314" si="9">DATE(2025,3,20)</f>
        <v>45736</v>
      </c>
      <c r="D307" s="84" t="s">
        <v>828</v>
      </c>
      <c r="E307" s="84" t="s">
        <v>559</v>
      </c>
      <c r="F307" s="84" t="s">
        <v>829</v>
      </c>
      <c r="G307" s="84" t="s">
        <v>830</v>
      </c>
      <c r="H307" s="84" t="s">
        <v>650</v>
      </c>
      <c r="I307" s="84" t="s">
        <v>235</v>
      </c>
      <c r="J307" s="86">
        <v>71.58</v>
      </c>
      <c r="K307" s="86">
        <v>0</v>
      </c>
      <c r="L307" s="84" t="s">
        <v>651</v>
      </c>
      <c r="M307" s="84" t="s">
        <v>652</v>
      </c>
    </row>
    <row r="308" spans="1:13" x14ac:dyDescent="0.25">
      <c r="A308" s="83">
        <v>641438</v>
      </c>
      <c r="B308" s="84" t="s">
        <v>557</v>
      </c>
      <c r="C308" s="85">
        <f t="shared" si="9"/>
        <v>45736</v>
      </c>
      <c r="D308" s="84" t="s">
        <v>831</v>
      </c>
      <c r="E308" s="84" t="s">
        <v>559</v>
      </c>
      <c r="F308" s="84" t="s">
        <v>832</v>
      </c>
      <c r="G308" s="84" t="s">
        <v>833</v>
      </c>
      <c r="H308" s="84" t="s">
        <v>834</v>
      </c>
      <c r="I308" s="84" t="s">
        <v>835</v>
      </c>
      <c r="J308" s="86">
        <v>3825</v>
      </c>
      <c r="K308" s="86">
        <v>0</v>
      </c>
      <c r="L308" s="84" t="s">
        <v>836</v>
      </c>
      <c r="M308" s="84" t="s">
        <v>652</v>
      </c>
    </row>
    <row r="309" spans="1:13" x14ac:dyDescent="0.25">
      <c r="A309" s="83">
        <v>641496</v>
      </c>
      <c r="B309" s="84" t="s">
        <v>557</v>
      </c>
      <c r="C309" s="85">
        <f t="shared" si="9"/>
        <v>45736</v>
      </c>
      <c r="D309" s="84" t="s">
        <v>837</v>
      </c>
      <c r="E309" s="84" t="s">
        <v>559</v>
      </c>
      <c r="F309" s="84" t="s">
        <v>838</v>
      </c>
      <c r="G309" s="84" t="s">
        <v>839</v>
      </c>
      <c r="H309" s="84" t="s">
        <v>791</v>
      </c>
      <c r="I309" s="84" t="s">
        <v>792</v>
      </c>
      <c r="J309" s="86">
        <v>100</v>
      </c>
      <c r="K309" s="86">
        <v>0</v>
      </c>
      <c r="L309" s="84" t="s">
        <v>793</v>
      </c>
      <c r="M309" s="84" t="s">
        <v>327</v>
      </c>
    </row>
    <row r="310" spans="1:13" x14ac:dyDescent="0.25">
      <c r="A310" s="83">
        <v>641496</v>
      </c>
      <c r="B310" s="84" t="s">
        <v>557</v>
      </c>
      <c r="C310" s="85">
        <f t="shared" si="9"/>
        <v>45736</v>
      </c>
      <c r="D310" s="84" t="s">
        <v>837</v>
      </c>
      <c r="E310" s="84" t="s">
        <v>559</v>
      </c>
      <c r="F310" s="84" t="s">
        <v>838</v>
      </c>
      <c r="G310" s="84" t="s">
        <v>839</v>
      </c>
      <c r="H310" s="84" t="s">
        <v>791</v>
      </c>
      <c r="I310" s="84" t="s">
        <v>792</v>
      </c>
      <c r="J310" s="86">
        <v>100</v>
      </c>
      <c r="K310" s="86">
        <v>0</v>
      </c>
      <c r="L310" s="84" t="s">
        <v>793</v>
      </c>
      <c r="M310" s="84" t="s">
        <v>327</v>
      </c>
    </row>
    <row r="311" spans="1:13" x14ac:dyDescent="0.25">
      <c r="A311" s="83">
        <v>641496</v>
      </c>
      <c r="B311" s="84" t="s">
        <v>557</v>
      </c>
      <c r="C311" s="85">
        <f t="shared" si="9"/>
        <v>45736</v>
      </c>
      <c r="D311" s="84" t="s">
        <v>837</v>
      </c>
      <c r="E311" s="84" t="s">
        <v>559</v>
      </c>
      <c r="F311" s="84" t="s">
        <v>838</v>
      </c>
      <c r="G311" s="84" t="s">
        <v>839</v>
      </c>
      <c r="H311" s="84" t="s">
        <v>791</v>
      </c>
      <c r="I311" s="84" t="s">
        <v>792</v>
      </c>
      <c r="J311" s="86">
        <v>125</v>
      </c>
      <c r="K311" s="86">
        <v>0</v>
      </c>
      <c r="L311" s="84" t="s">
        <v>793</v>
      </c>
      <c r="M311" s="84" t="s">
        <v>327</v>
      </c>
    </row>
    <row r="312" spans="1:13" x14ac:dyDescent="0.25">
      <c r="A312" s="83">
        <v>641496</v>
      </c>
      <c r="B312" s="84" t="s">
        <v>557</v>
      </c>
      <c r="C312" s="85">
        <f t="shared" si="9"/>
        <v>45736</v>
      </c>
      <c r="D312" s="84" t="s">
        <v>837</v>
      </c>
      <c r="E312" s="84" t="s">
        <v>559</v>
      </c>
      <c r="F312" s="84" t="s">
        <v>838</v>
      </c>
      <c r="G312" s="84" t="s">
        <v>839</v>
      </c>
      <c r="H312" s="84" t="s">
        <v>791</v>
      </c>
      <c r="I312" s="84" t="s">
        <v>792</v>
      </c>
      <c r="J312" s="86">
        <v>184.5</v>
      </c>
      <c r="K312" s="86">
        <v>0</v>
      </c>
      <c r="L312" s="84" t="s">
        <v>793</v>
      </c>
      <c r="M312" s="84" t="s">
        <v>327</v>
      </c>
    </row>
    <row r="313" spans="1:13" x14ac:dyDescent="0.25">
      <c r="A313" s="83">
        <v>641496</v>
      </c>
      <c r="B313" s="84" t="s">
        <v>557</v>
      </c>
      <c r="C313" s="85">
        <f t="shared" si="9"/>
        <v>45736</v>
      </c>
      <c r="D313" s="84" t="s">
        <v>837</v>
      </c>
      <c r="E313" s="84" t="s">
        <v>559</v>
      </c>
      <c r="F313" s="84" t="s">
        <v>838</v>
      </c>
      <c r="G313" s="84" t="s">
        <v>839</v>
      </c>
      <c r="H313" s="84" t="s">
        <v>791</v>
      </c>
      <c r="I313" s="84" t="s">
        <v>792</v>
      </c>
      <c r="J313" s="86">
        <v>345.2</v>
      </c>
      <c r="K313" s="86">
        <v>0</v>
      </c>
      <c r="L313" s="84" t="s">
        <v>793</v>
      </c>
      <c r="M313" s="84" t="s">
        <v>327</v>
      </c>
    </row>
    <row r="314" spans="1:13" x14ac:dyDescent="0.25">
      <c r="A314" s="83">
        <v>641502</v>
      </c>
      <c r="B314" s="84" t="s">
        <v>557</v>
      </c>
      <c r="C314" s="85">
        <f t="shared" si="9"/>
        <v>45736</v>
      </c>
      <c r="D314" s="84" t="s">
        <v>840</v>
      </c>
      <c r="E314" s="84" t="s">
        <v>559</v>
      </c>
      <c r="F314" s="84" t="s">
        <v>841</v>
      </c>
      <c r="G314" s="84" t="s">
        <v>842</v>
      </c>
      <c r="H314" s="84" t="s">
        <v>843</v>
      </c>
      <c r="I314" s="84" t="s">
        <v>844</v>
      </c>
      <c r="J314" s="86">
        <v>8312.1299999999992</v>
      </c>
      <c r="K314" s="86">
        <v>0</v>
      </c>
      <c r="L314" s="84" t="s">
        <v>845</v>
      </c>
      <c r="M314" s="84" t="s">
        <v>652</v>
      </c>
    </row>
    <row r="315" spans="1:13" x14ac:dyDescent="0.25">
      <c r="A315" s="83">
        <v>641563</v>
      </c>
      <c r="B315" s="84" t="s">
        <v>303</v>
      </c>
      <c r="C315" s="85">
        <f t="shared" ref="C315:C378" si="10">DATE(2025,3,31)</f>
        <v>45747</v>
      </c>
      <c r="D315" s="84" t="s">
        <v>846</v>
      </c>
      <c r="E315" s="84" t="s">
        <v>305</v>
      </c>
      <c r="F315" s="84" t="s">
        <v>306</v>
      </c>
      <c r="G315" s="84" t="s">
        <v>306</v>
      </c>
      <c r="H315" s="84" t="s">
        <v>307</v>
      </c>
      <c r="I315" s="84" t="s">
        <v>308</v>
      </c>
      <c r="J315" s="86">
        <v>4838.09</v>
      </c>
      <c r="K315" s="86">
        <v>0</v>
      </c>
      <c r="L315" s="84" t="s">
        <v>309</v>
      </c>
      <c r="M315" s="84" t="s">
        <v>310</v>
      </c>
    </row>
    <row r="316" spans="1:13" x14ac:dyDescent="0.25">
      <c r="A316" s="83">
        <v>641563</v>
      </c>
      <c r="B316" s="84" t="s">
        <v>303</v>
      </c>
      <c r="C316" s="85">
        <f t="shared" si="10"/>
        <v>45747</v>
      </c>
      <c r="D316" s="84" t="s">
        <v>846</v>
      </c>
      <c r="E316" s="84" t="s">
        <v>311</v>
      </c>
      <c r="F316" s="84" t="s">
        <v>306</v>
      </c>
      <c r="G316" s="84" t="s">
        <v>306</v>
      </c>
      <c r="H316" s="84" t="s">
        <v>312</v>
      </c>
      <c r="I316" s="84" t="s">
        <v>313</v>
      </c>
      <c r="J316" s="86">
        <v>286.95</v>
      </c>
      <c r="K316" s="86">
        <v>0</v>
      </c>
      <c r="L316" s="84" t="s">
        <v>314</v>
      </c>
      <c r="M316" s="84" t="s">
        <v>310</v>
      </c>
    </row>
    <row r="317" spans="1:13" x14ac:dyDescent="0.25">
      <c r="A317" s="83">
        <v>641563</v>
      </c>
      <c r="B317" s="84" t="s">
        <v>303</v>
      </c>
      <c r="C317" s="85">
        <f t="shared" si="10"/>
        <v>45747</v>
      </c>
      <c r="D317" s="84" t="s">
        <v>846</v>
      </c>
      <c r="E317" s="84" t="s">
        <v>315</v>
      </c>
      <c r="F317" s="84" t="s">
        <v>306</v>
      </c>
      <c r="G317" s="84" t="s">
        <v>306</v>
      </c>
      <c r="H317" s="84" t="s">
        <v>316</v>
      </c>
      <c r="I317" s="84" t="s">
        <v>317</v>
      </c>
      <c r="J317" s="86">
        <v>67.11</v>
      </c>
      <c r="K317" s="86">
        <v>0</v>
      </c>
      <c r="L317" s="84" t="s">
        <v>318</v>
      </c>
      <c r="M317" s="84" t="s">
        <v>310</v>
      </c>
    </row>
    <row r="318" spans="1:13" x14ac:dyDescent="0.25">
      <c r="A318" s="83">
        <v>641563</v>
      </c>
      <c r="B318" s="84" t="s">
        <v>303</v>
      </c>
      <c r="C318" s="85">
        <f t="shared" si="10"/>
        <v>45747</v>
      </c>
      <c r="D318" s="84" t="s">
        <v>846</v>
      </c>
      <c r="E318" s="84" t="s">
        <v>319</v>
      </c>
      <c r="F318" s="84" t="s">
        <v>306</v>
      </c>
      <c r="G318" s="84" t="s">
        <v>306</v>
      </c>
      <c r="H318" s="84" t="s">
        <v>320</v>
      </c>
      <c r="I318" s="84" t="s">
        <v>321</v>
      </c>
      <c r="J318" s="86">
        <v>24.72</v>
      </c>
      <c r="K318" s="86">
        <v>0</v>
      </c>
      <c r="L318" s="84" t="s">
        <v>322</v>
      </c>
      <c r="M318" s="84" t="s">
        <v>310</v>
      </c>
    </row>
    <row r="319" spans="1:13" x14ac:dyDescent="0.25">
      <c r="A319" s="83">
        <v>641564</v>
      </c>
      <c r="B319" s="84" t="s">
        <v>303</v>
      </c>
      <c r="C319" s="85">
        <f t="shared" si="10"/>
        <v>45747</v>
      </c>
      <c r="D319" s="84" t="s">
        <v>847</v>
      </c>
      <c r="E319" s="84" t="s">
        <v>305</v>
      </c>
      <c r="F319" s="84" t="s">
        <v>306</v>
      </c>
      <c r="G319" s="84" t="s">
        <v>306</v>
      </c>
      <c r="H319" s="84" t="s">
        <v>307</v>
      </c>
      <c r="I319" s="84" t="s">
        <v>308</v>
      </c>
      <c r="J319" s="86">
        <v>575.92999999999995</v>
      </c>
      <c r="K319" s="86">
        <v>0</v>
      </c>
      <c r="L319" s="84" t="s">
        <v>309</v>
      </c>
      <c r="M319" s="84" t="s">
        <v>310</v>
      </c>
    </row>
    <row r="320" spans="1:13" x14ac:dyDescent="0.25">
      <c r="A320" s="83">
        <v>641564</v>
      </c>
      <c r="B320" s="84" t="s">
        <v>303</v>
      </c>
      <c r="C320" s="85">
        <f t="shared" si="10"/>
        <v>45747</v>
      </c>
      <c r="D320" s="84" t="s">
        <v>847</v>
      </c>
      <c r="E320" s="84" t="s">
        <v>324</v>
      </c>
      <c r="F320" s="84" t="s">
        <v>306</v>
      </c>
      <c r="G320" s="84" t="s">
        <v>306</v>
      </c>
      <c r="H320" s="84" t="s">
        <v>325</v>
      </c>
      <c r="I320" s="84" t="s">
        <v>326</v>
      </c>
      <c r="J320" s="86">
        <v>9337.7099999999991</v>
      </c>
      <c r="K320" s="86">
        <v>0</v>
      </c>
      <c r="L320" s="84" t="s">
        <v>309</v>
      </c>
      <c r="M320" s="84" t="s">
        <v>327</v>
      </c>
    </row>
    <row r="321" spans="1:13" x14ac:dyDescent="0.25">
      <c r="A321" s="83">
        <v>641564</v>
      </c>
      <c r="B321" s="84" t="s">
        <v>303</v>
      </c>
      <c r="C321" s="85">
        <f t="shared" si="10"/>
        <v>45747</v>
      </c>
      <c r="D321" s="84" t="s">
        <v>847</v>
      </c>
      <c r="E321" s="84" t="s">
        <v>328</v>
      </c>
      <c r="F321" s="84" t="s">
        <v>306</v>
      </c>
      <c r="G321" s="84" t="s">
        <v>306</v>
      </c>
      <c r="H321" s="84" t="s">
        <v>329</v>
      </c>
      <c r="I321" s="84" t="s">
        <v>330</v>
      </c>
      <c r="J321" s="86">
        <v>1837.06</v>
      </c>
      <c r="K321" s="86">
        <v>0</v>
      </c>
      <c r="L321" s="84" t="s">
        <v>309</v>
      </c>
      <c r="M321" s="84" t="s">
        <v>331</v>
      </c>
    </row>
    <row r="322" spans="1:13" x14ac:dyDescent="0.25">
      <c r="A322" s="83">
        <v>641564</v>
      </c>
      <c r="B322" s="84" t="s">
        <v>303</v>
      </c>
      <c r="C322" s="85">
        <f t="shared" si="10"/>
        <v>45747</v>
      </c>
      <c r="D322" s="84" t="s">
        <v>847</v>
      </c>
      <c r="E322" s="84" t="s">
        <v>332</v>
      </c>
      <c r="F322" s="84" t="s">
        <v>306</v>
      </c>
      <c r="G322" s="84" t="s">
        <v>306</v>
      </c>
      <c r="H322" s="84" t="s">
        <v>333</v>
      </c>
      <c r="I322" s="84" t="s">
        <v>334</v>
      </c>
      <c r="J322" s="86">
        <v>1359.89</v>
      </c>
      <c r="K322" s="86">
        <v>0</v>
      </c>
      <c r="L322" s="84" t="s">
        <v>335</v>
      </c>
      <c r="M322" s="84" t="s">
        <v>336</v>
      </c>
    </row>
    <row r="323" spans="1:13" x14ac:dyDescent="0.25">
      <c r="A323" s="83">
        <v>641564</v>
      </c>
      <c r="B323" s="84" t="s">
        <v>303</v>
      </c>
      <c r="C323" s="85">
        <f t="shared" si="10"/>
        <v>45747</v>
      </c>
      <c r="D323" s="84" t="s">
        <v>847</v>
      </c>
      <c r="E323" s="84" t="s">
        <v>337</v>
      </c>
      <c r="F323" s="84" t="s">
        <v>306</v>
      </c>
      <c r="G323" s="84" t="s">
        <v>306</v>
      </c>
      <c r="H323" s="84" t="s">
        <v>338</v>
      </c>
      <c r="I323" s="84" t="s">
        <v>339</v>
      </c>
      <c r="J323" s="86">
        <v>887.11</v>
      </c>
      <c r="K323" s="86">
        <v>0</v>
      </c>
      <c r="L323" s="84" t="s">
        <v>309</v>
      </c>
      <c r="M323" s="84" t="s">
        <v>340</v>
      </c>
    </row>
    <row r="324" spans="1:13" x14ac:dyDescent="0.25">
      <c r="A324" s="83">
        <v>641564</v>
      </c>
      <c r="B324" s="84" t="s">
        <v>303</v>
      </c>
      <c r="C324" s="85">
        <f t="shared" si="10"/>
        <v>45747</v>
      </c>
      <c r="D324" s="84" t="s">
        <v>847</v>
      </c>
      <c r="E324" s="84" t="s">
        <v>341</v>
      </c>
      <c r="F324" s="84" t="s">
        <v>306</v>
      </c>
      <c r="G324" s="84" t="s">
        <v>306</v>
      </c>
      <c r="H324" s="84" t="s">
        <v>342</v>
      </c>
      <c r="I324" s="84" t="s">
        <v>343</v>
      </c>
      <c r="J324" s="86">
        <v>1854.41</v>
      </c>
      <c r="K324" s="86">
        <v>0</v>
      </c>
      <c r="L324" s="84" t="s">
        <v>309</v>
      </c>
      <c r="M324" s="84" t="s">
        <v>344</v>
      </c>
    </row>
    <row r="325" spans="1:13" x14ac:dyDescent="0.25">
      <c r="A325" s="83">
        <v>641564</v>
      </c>
      <c r="B325" s="84" t="s">
        <v>303</v>
      </c>
      <c r="C325" s="85">
        <f t="shared" si="10"/>
        <v>45747</v>
      </c>
      <c r="D325" s="84" t="s">
        <v>847</v>
      </c>
      <c r="E325" s="84" t="s">
        <v>345</v>
      </c>
      <c r="F325" s="84" t="s">
        <v>306</v>
      </c>
      <c r="G325" s="84" t="s">
        <v>306</v>
      </c>
      <c r="H325" s="84" t="s">
        <v>346</v>
      </c>
      <c r="I325" s="84" t="s">
        <v>347</v>
      </c>
      <c r="J325" s="86">
        <v>5264.97</v>
      </c>
      <c r="K325" s="86">
        <v>0</v>
      </c>
      <c r="L325" s="84" t="s">
        <v>309</v>
      </c>
      <c r="M325" s="84" t="s">
        <v>348</v>
      </c>
    </row>
    <row r="326" spans="1:13" x14ac:dyDescent="0.25">
      <c r="A326" s="83">
        <v>641564</v>
      </c>
      <c r="B326" s="84" t="s">
        <v>303</v>
      </c>
      <c r="C326" s="85">
        <f t="shared" si="10"/>
        <v>45747</v>
      </c>
      <c r="D326" s="84" t="s">
        <v>847</v>
      </c>
      <c r="E326" s="84" t="s">
        <v>349</v>
      </c>
      <c r="F326" s="84" t="s">
        <v>306</v>
      </c>
      <c r="G326" s="84" t="s">
        <v>306</v>
      </c>
      <c r="H326" s="84" t="s">
        <v>350</v>
      </c>
      <c r="I326" s="84" t="s">
        <v>351</v>
      </c>
      <c r="J326" s="86">
        <v>2157.75</v>
      </c>
      <c r="K326" s="86">
        <v>0</v>
      </c>
      <c r="L326" s="84" t="s">
        <v>309</v>
      </c>
      <c r="M326" s="84" t="s">
        <v>352</v>
      </c>
    </row>
    <row r="327" spans="1:13" x14ac:dyDescent="0.25">
      <c r="A327" s="83">
        <v>641564</v>
      </c>
      <c r="B327" s="84" t="s">
        <v>303</v>
      </c>
      <c r="C327" s="85">
        <f t="shared" si="10"/>
        <v>45747</v>
      </c>
      <c r="D327" s="84" t="s">
        <v>847</v>
      </c>
      <c r="E327" s="84" t="s">
        <v>353</v>
      </c>
      <c r="F327" s="84" t="s">
        <v>306</v>
      </c>
      <c r="G327" s="84" t="s">
        <v>306</v>
      </c>
      <c r="H327" s="84" t="s">
        <v>354</v>
      </c>
      <c r="I327" s="84" t="s">
        <v>355</v>
      </c>
      <c r="J327" s="86">
        <v>907.73</v>
      </c>
      <c r="K327" s="86">
        <v>0</v>
      </c>
      <c r="L327" s="84" t="s">
        <v>309</v>
      </c>
      <c r="M327" s="84" t="s">
        <v>356</v>
      </c>
    </row>
    <row r="328" spans="1:13" x14ac:dyDescent="0.25">
      <c r="A328" s="83">
        <v>641564</v>
      </c>
      <c r="B328" s="84" t="s">
        <v>303</v>
      </c>
      <c r="C328" s="85">
        <f t="shared" si="10"/>
        <v>45747</v>
      </c>
      <c r="D328" s="84" t="s">
        <v>847</v>
      </c>
      <c r="E328" s="84" t="s">
        <v>357</v>
      </c>
      <c r="F328" s="84" t="s">
        <v>306</v>
      </c>
      <c r="G328" s="84" t="s">
        <v>306</v>
      </c>
      <c r="H328" s="84" t="s">
        <v>358</v>
      </c>
      <c r="I328" s="84" t="s">
        <v>359</v>
      </c>
      <c r="J328" s="86">
        <v>10026.950000000001</v>
      </c>
      <c r="K328" s="86">
        <v>0</v>
      </c>
      <c r="L328" s="84" t="s">
        <v>360</v>
      </c>
      <c r="M328" s="84" t="s">
        <v>361</v>
      </c>
    </row>
    <row r="329" spans="1:13" x14ac:dyDescent="0.25">
      <c r="A329" s="83">
        <v>641564</v>
      </c>
      <c r="B329" s="84" t="s">
        <v>303</v>
      </c>
      <c r="C329" s="85">
        <f t="shared" si="10"/>
        <v>45747</v>
      </c>
      <c r="D329" s="84" t="s">
        <v>847</v>
      </c>
      <c r="E329" s="84" t="s">
        <v>362</v>
      </c>
      <c r="F329" s="84" t="s">
        <v>306</v>
      </c>
      <c r="G329" s="84" t="s">
        <v>306</v>
      </c>
      <c r="H329" s="84" t="s">
        <v>363</v>
      </c>
      <c r="I329" s="84" t="s">
        <v>364</v>
      </c>
      <c r="J329" s="86">
        <v>10131.32</v>
      </c>
      <c r="K329" s="86">
        <v>0</v>
      </c>
      <c r="L329" s="84" t="s">
        <v>365</v>
      </c>
      <c r="M329" s="84" t="s">
        <v>361</v>
      </c>
    </row>
    <row r="330" spans="1:13" x14ac:dyDescent="0.25">
      <c r="A330" s="83">
        <v>641564</v>
      </c>
      <c r="B330" s="84" t="s">
        <v>303</v>
      </c>
      <c r="C330" s="85">
        <f t="shared" si="10"/>
        <v>45747</v>
      </c>
      <c r="D330" s="84" t="s">
        <v>847</v>
      </c>
      <c r="E330" s="84" t="s">
        <v>366</v>
      </c>
      <c r="F330" s="84" t="s">
        <v>306</v>
      </c>
      <c r="G330" s="84" t="s">
        <v>306</v>
      </c>
      <c r="H330" s="84" t="s">
        <v>367</v>
      </c>
      <c r="I330" s="84" t="s">
        <v>368</v>
      </c>
      <c r="J330" s="86">
        <v>1744.18</v>
      </c>
      <c r="K330" s="86">
        <v>0</v>
      </c>
      <c r="L330" s="84" t="s">
        <v>309</v>
      </c>
      <c r="M330" s="84" t="s">
        <v>369</v>
      </c>
    </row>
    <row r="331" spans="1:13" x14ac:dyDescent="0.25">
      <c r="A331" s="83">
        <v>641564</v>
      </c>
      <c r="B331" s="84" t="s">
        <v>303</v>
      </c>
      <c r="C331" s="85">
        <f t="shared" si="10"/>
        <v>45747</v>
      </c>
      <c r="D331" s="84" t="s">
        <v>847</v>
      </c>
      <c r="E331" s="84" t="s">
        <v>341</v>
      </c>
      <c r="F331" s="84" t="s">
        <v>306</v>
      </c>
      <c r="G331" s="84" t="s">
        <v>306</v>
      </c>
      <c r="H331" s="84" t="s">
        <v>370</v>
      </c>
      <c r="I331" s="84" t="s">
        <v>371</v>
      </c>
      <c r="J331" s="86">
        <v>1854.4</v>
      </c>
      <c r="K331" s="86">
        <v>0</v>
      </c>
      <c r="L331" s="84" t="s">
        <v>309</v>
      </c>
      <c r="M331" s="84" t="s">
        <v>372</v>
      </c>
    </row>
    <row r="332" spans="1:13" x14ac:dyDescent="0.25">
      <c r="A332" s="83">
        <v>641564</v>
      </c>
      <c r="B332" s="84" t="s">
        <v>303</v>
      </c>
      <c r="C332" s="85">
        <f t="shared" si="10"/>
        <v>45747</v>
      </c>
      <c r="D332" s="84" t="s">
        <v>847</v>
      </c>
      <c r="E332" s="84" t="s">
        <v>311</v>
      </c>
      <c r="F332" s="84" t="s">
        <v>306</v>
      </c>
      <c r="G332" s="84" t="s">
        <v>306</v>
      </c>
      <c r="H332" s="84" t="s">
        <v>312</v>
      </c>
      <c r="I332" s="84" t="s">
        <v>313</v>
      </c>
      <c r="J332" s="86">
        <v>35.71</v>
      </c>
      <c r="K332" s="86">
        <v>0</v>
      </c>
      <c r="L332" s="84" t="s">
        <v>314</v>
      </c>
      <c r="M332" s="84" t="s">
        <v>310</v>
      </c>
    </row>
    <row r="333" spans="1:13" x14ac:dyDescent="0.25">
      <c r="A333" s="83">
        <v>641564</v>
      </c>
      <c r="B333" s="84" t="s">
        <v>303</v>
      </c>
      <c r="C333" s="85">
        <f t="shared" si="10"/>
        <v>45747</v>
      </c>
      <c r="D333" s="84" t="s">
        <v>847</v>
      </c>
      <c r="E333" s="84" t="s">
        <v>315</v>
      </c>
      <c r="F333" s="84" t="s">
        <v>306</v>
      </c>
      <c r="G333" s="84" t="s">
        <v>306</v>
      </c>
      <c r="H333" s="84" t="s">
        <v>316</v>
      </c>
      <c r="I333" s="84" t="s">
        <v>317</v>
      </c>
      <c r="J333" s="86">
        <v>8.35</v>
      </c>
      <c r="K333" s="86">
        <v>0</v>
      </c>
      <c r="L333" s="84" t="s">
        <v>318</v>
      </c>
      <c r="M333" s="84" t="s">
        <v>310</v>
      </c>
    </row>
    <row r="334" spans="1:13" x14ac:dyDescent="0.25">
      <c r="A334" s="83">
        <v>641564</v>
      </c>
      <c r="B334" s="84" t="s">
        <v>303</v>
      </c>
      <c r="C334" s="85">
        <f t="shared" si="10"/>
        <v>45747</v>
      </c>
      <c r="D334" s="84" t="s">
        <v>847</v>
      </c>
      <c r="E334" s="84" t="s">
        <v>373</v>
      </c>
      <c r="F334" s="84" t="s">
        <v>306</v>
      </c>
      <c r="G334" s="84" t="s">
        <v>306</v>
      </c>
      <c r="H334" s="84" t="s">
        <v>374</v>
      </c>
      <c r="I334" s="84" t="s">
        <v>375</v>
      </c>
      <c r="J334" s="86">
        <v>3.45</v>
      </c>
      <c r="K334" s="86">
        <v>0</v>
      </c>
      <c r="L334" s="84" t="s">
        <v>376</v>
      </c>
      <c r="M334" s="84" t="s">
        <v>310</v>
      </c>
    </row>
    <row r="335" spans="1:13" x14ac:dyDescent="0.25">
      <c r="A335" s="83">
        <v>641564</v>
      </c>
      <c r="B335" s="84" t="s">
        <v>303</v>
      </c>
      <c r="C335" s="85">
        <f t="shared" si="10"/>
        <v>45747</v>
      </c>
      <c r="D335" s="84" t="s">
        <v>847</v>
      </c>
      <c r="E335" s="84" t="s">
        <v>377</v>
      </c>
      <c r="F335" s="84" t="s">
        <v>306</v>
      </c>
      <c r="G335" s="84" t="s">
        <v>306</v>
      </c>
      <c r="H335" s="84" t="s">
        <v>378</v>
      </c>
      <c r="I335" s="84" t="s">
        <v>379</v>
      </c>
      <c r="J335" s="86">
        <v>4.03</v>
      </c>
      <c r="K335" s="86">
        <v>0</v>
      </c>
      <c r="L335" s="84" t="s">
        <v>380</v>
      </c>
      <c r="M335" s="84" t="s">
        <v>310</v>
      </c>
    </row>
    <row r="336" spans="1:13" x14ac:dyDescent="0.25">
      <c r="A336" s="83">
        <v>641564</v>
      </c>
      <c r="B336" s="84" t="s">
        <v>303</v>
      </c>
      <c r="C336" s="85">
        <f t="shared" si="10"/>
        <v>45747</v>
      </c>
      <c r="D336" s="84" t="s">
        <v>847</v>
      </c>
      <c r="E336" s="84" t="s">
        <v>319</v>
      </c>
      <c r="F336" s="84" t="s">
        <v>306</v>
      </c>
      <c r="G336" s="84" t="s">
        <v>306</v>
      </c>
      <c r="H336" s="84" t="s">
        <v>320</v>
      </c>
      <c r="I336" s="84" t="s">
        <v>321</v>
      </c>
      <c r="J336" s="86">
        <v>74.16</v>
      </c>
      <c r="K336" s="86">
        <v>0</v>
      </c>
      <c r="L336" s="84" t="s">
        <v>322</v>
      </c>
      <c r="M336" s="84" t="s">
        <v>310</v>
      </c>
    </row>
    <row r="337" spans="1:13" x14ac:dyDescent="0.25">
      <c r="A337" s="83">
        <v>641564</v>
      </c>
      <c r="B337" s="84" t="s">
        <v>303</v>
      </c>
      <c r="C337" s="85">
        <f t="shared" si="10"/>
        <v>45747</v>
      </c>
      <c r="D337" s="84" t="s">
        <v>847</v>
      </c>
      <c r="E337" s="84" t="s">
        <v>381</v>
      </c>
      <c r="F337" s="84" t="s">
        <v>306</v>
      </c>
      <c r="G337" s="84" t="s">
        <v>306</v>
      </c>
      <c r="H337" s="84" t="s">
        <v>382</v>
      </c>
      <c r="I337" s="84" t="s">
        <v>383</v>
      </c>
      <c r="J337" s="86">
        <v>8117.44</v>
      </c>
      <c r="K337" s="86">
        <v>0</v>
      </c>
      <c r="L337" s="84" t="s">
        <v>309</v>
      </c>
      <c r="M337" s="84" t="s">
        <v>336</v>
      </c>
    </row>
    <row r="338" spans="1:13" x14ac:dyDescent="0.25">
      <c r="A338" s="83">
        <v>641564</v>
      </c>
      <c r="B338" s="84" t="s">
        <v>303</v>
      </c>
      <c r="C338" s="85">
        <f t="shared" si="10"/>
        <v>45747</v>
      </c>
      <c r="D338" s="84" t="s">
        <v>847</v>
      </c>
      <c r="E338" s="84" t="s">
        <v>384</v>
      </c>
      <c r="F338" s="84" t="s">
        <v>306</v>
      </c>
      <c r="G338" s="84" t="s">
        <v>306</v>
      </c>
      <c r="H338" s="84" t="s">
        <v>385</v>
      </c>
      <c r="I338" s="84" t="s">
        <v>383</v>
      </c>
      <c r="J338" s="86">
        <v>1545.34</v>
      </c>
      <c r="K338" s="86">
        <v>0</v>
      </c>
      <c r="L338" s="84" t="s">
        <v>309</v>
      </c>
      <c r="M338" s="84" t="s">
        <v>386</v>
      </c>
    </row>
    <row r="339" spans="1:13" x14ac:dyDescent="0.25">
      <c r="A339" s="83">
        <v>641564</v>
      </c>
      <c r="B339" s="84" t="s">
        <v>303</v>
      </c>
      <c r="C339" s="85">
        <f t="shared" si="10"/>
        <v>45747</v>
      </c>
      <c r="D339" s="84" t="s">
        <v>847</v>
      </c>
      <c r="E339" s="84" t="s">
        <v>387</v>
      </c>
      <c r="F339" s="84" t="s">
        <v>306</v>
      </c>
      <c r="G339" s="84" t="s">
        <v>306</v>
      </c>
      <c r="H339" s="84" t="s">
        <v>388</v>
      </c>
      <c r="I339" s="84" t="s">
        <v>389</v>
      </c>
      <c r="J339" s="86">
        <v>1768.85</v>
      </c>
      <c r="K339" s="86">
        <v>0</v>
      </c>
      <c r="L339" s="84" t="s">
        <v>360</v>
      </c>
      <c r="M339" s="84" t="s">
        <v>336</v>
      </c>
    </row>
    <row r="340" spans="1:13" x14ac:dyDescent="0.25">
      <c r="A340" s="83">
        <v>641564</v>
      </c>
      <c r="B340" s="84" t="s">
        <v>303</v>
      </c>
      <c r="C340" s="85">
        <f t="shared" si="10"/>
        <v>45747</v>
      </c>
      <c r="D340" s="84" t="s">
        <v>847</v>
      </c>
      <c r="E340" s="84" t="s">
        <v>390</v>
      </c>
      <c r="F340" s="84" t="s">
        <v>306</v>
      </c>
      <c r="G340" s="84" t="s">
        <v>306</v>
      </c>
      <c r="H340" s="84" t="s">
        <v>391</v>
      </c>
      <c r="I340" s="84" t="s">
        <v>392</v>
      </c>
      <c r="J340" s="86">
        <v>348.16</v>
      </c>
      <c r="K340" s="86">
        <v>0</v>
      </c>
      <c r="L340" s="84" t="s">
        <v>393</v>
      </c>
      <c r="M340" s="84" t="s">
        <v>394</v>
      </c>
    </row>
    <row r="341" spans="1:13" x14ac:dyDescent="0.25">
      <c r="A341" s="83">
        <v>641564</v>
      </c>
      <c r="B341" s="84" t="s">
        <v>303</v>
      </c>
      <c r="C341" s="85">
        <f t="shared" si="10"/>
        <v>45747</v>
      </c>
      <c r="D341" s="84" t="s">
        <v>847</v>
      </c>
      <c r="E341" s="84" t="s">
        <v>332</v>
      </c>
      <c r="F341" s="84" t="s">
        <v>306</v>
      </c>
      <c r="G341" s="84" t="s">
        <v>306</v>
      </c>
      <c r="H341" s="84" t="s">
        <v>395</v>
      </c>
      <c r="I341" s="84" t="s">
        <v>396</v>
      </c>
      <c r="J341" s="86">
        <v>1052.57</v>
      </c>
      <c r="K341" s="86">
        <v>0</v>
      </c>
      <c r="L341" s="84" t="s">
        <v>335</v>
      </c>
      <c r="M341" s="84" t="s">
        <v>361</v>
      </c>
    </row>
    <row r="342" spans="1:13" x14ac:dyDescent="0.25">
      <c r="A342" s="83">
        <v>641564</v>
      </c>
      <c r="B342" s="84" t="s">
        <v>303</v>
      </c>
      <c r="C342" s="85">
        <f t="shared" si="10"/>
        <v>45747</v>
      </c>
      <c r="D342" s="84" t="s">
        <v>847</v>
      </c>
      <c r="E342" s="84" t="s">
        <v>332</v>
      </c>
      <c r="F342" s="84" t="s">
        <v>306</v>
      </c>
      <c r="G342" s="84" t="s">
        <v>306</v>
      </c>
      <c r="H342" s="84" t="s">
        <v>397</v>
      </c>
      <c r="I342" s="84" t="s">
        <v>396</v>
      </c>
      <c r="J342" s="86">
        <v>5387.76</v>
      </c>
      <c r="K342" s="86">
        <v>0</v>
      </c>
      <c r="L342" s="84" t="s">
        <v>335</v>
      </c>
      <c r="M342" s="84" t="s">
        <v>398</v>
      </c>
    </row>
    <row r="343" spans="1:13" x14ac:dyDescent="0.25">
      <c r="A343" s="83">
        <v>641564</v>
      </c>
      <c r="B343" s="84" t="s">
        <v>303</v>
      </c>
      <c r="C343" s="85">
        <f t="shared" si="10"/>
        <v>45747</v>
      </c>
      <c r="D343" s="84" t="s">
        <v>847</v>
      </c>
      <c r="E343" s="84" t="s">
        <v>399</v>
      </c>
      <c r="F343" s="84" t="s">
        <v>306</v>
      </c>
      <c r="G343" s="84" t="s">
        <v>306</v>
      </c>
      <c r="H343" s="84" t="s">
        <v>400</v>
      </c>
      <c r="I343" s="84" t="s">
        <v>396</v>
      </c>
      <c r="J343" s="86">
        <v>2613.75</v>
      </c>
      <c r="K343" s="86">
        <v>0</v>
      </c>
      <c r="L343" s="84" t="s">
        <v>335</v>
      </c>
      <c r="M343" s="84" t="s">
        <v>401</v>
      </c>
    </row>
    <row r="344" spans="1:13" x14ac:dyDescent="0.25">
      <c r="A344" s="83">
        <v>641564</v>
      </c>
      <c r="B344" s="84" t="s">
        <v>303</v>
      </c>
      <c r="C344" s="85">
        <f t="shared" si="10"/>
        <v>45747</v>
      </c>
      <c r="D344" s="84" t="s">
        <v>847</v>
      </c>
      <c r="E344" s="84" t="s">
        <v>402</v>
      </c>
      <c r="F344" s="84" t="s">
        <v>306</v>
      </c>
      <c r="G344" s="84" t="s">
        <v>306</v>
      </c>
      <c r="H344" s="84" t="s">
        <v>403</v>
      </c>
      <c r="I344" s="84" t="s">
        <v>404</v>
      </c>
      <c r="J344" s="86">
        <v>1182.8599999999999</v>
      </c>
      <c r="K344" s="86">
        <v>0</v>
      </c>
      <c r="L344" s="84" t="s">
        <v>365</v>
      </c>
      <c r="M344" s="84" t="s">
        <v>336</v>
      </c>
    </row>
    <row r="345" spans="1:13" x14ac:dyDescent="0.25">
      <c r="A345" s="83">
        <v>641564</v>
      </c>
      <c r="B345" s="84" t="s">
        <v>303</v>
      </c>
      <c r="C345" s="85">
        <f t="shared" si="10"/>
        <v>45747</v>
      </c>
      <c r="D345" s="84" t="s">
        <v>847</v>
      </c>
      <c r="E345" s="84" t="s">
        <v>405</v>
      </c>
      <c r="F345" s="84" t="s">
        <v>306</v>
      </c>
      <c r="G345" s="84" t="s">
        <v>306</v>
      </c>
      <c r="H345" s="84" t="s">
        <v>406</v>
      </c>
      <c r="I345" s="84" t="s">
        <v>404</v>
      </c>
      <c r="J345" s="86">
        <v>6975.31</v>
      </c>
      <c r="K345" s="86">
        <v>0</v>
      </c>
      <c r="L345" s="84" t="s">
        <v>365</v>
      </c>
      <c r="M345" s="84" t="s">
        <v>394</v>
      </c>
    </row>
    <row r="346" spans="1:13" x14ac:dyDescent="0.25">
      <c r="A346" s="83">
        <v>641564</v>
      </c>
      <c r="B346" s="84" t="s">
        <v>303</v>
      </c>
      <c r="C346" s="85">
        <f t="shared" si="10"/>
        <v>45747</v>
      </c>
      <c r="D346" s="84" t="s">
        <v>847</v>
      </c>
      <c r="E346" s="84" t="s">
        <v>407</v>
      </c>
      <c r="F346" s="84" t="s">
        <v>306</v>
      </c>
      <c r="G346" s="84" t="s">
        <v>306</v>
      </c>
      <c r="H346" s="84" t="s">
        <v>408</v>
      </c>
      <c r="I346" s="84" t="s">
        <v>409</v>
      </c>
      <c r="J346" s="86">
        <v>347.14</v>
      </c>
      <c r="K346" s="86">
        <v>0</v>
      </c>
      <c r="L346" s="84" t="s">
        <v>410</v>
      </c>
      <c r="M346" s="84" t="s">
        <v>361</v>
      </c>
    </row>
    <row r="347" spans="1:13" x14ac:dyDescent="0.25">
      <c r="A347" s="83">
        <v>641564</v>
      </c>
      <c r="B347" s="84" t="s">
        <v>303</v>
      </c>
      <c r="C347" s="85">
        <f t="shared" si="10"/>
        <v>45747</v>
      </c>
      <c r="D347" s="84" t="s">
        <v>847</v>
      </c>
      <c r="E347" s="84" t="s">
        <v>848</v>
      </c>
      <c r="F347" s="84" t="s">
        <v>306</v>
      </c>
      <c r="G347" s="84" t="s">
        <v>306</v>
      </c>
      <c r="H347" s="84" t="s">
        <v>849</v>
      </c>
      <c r="I347" s="84" t="s">
        <v>409</v>
      </c>
      <c r="J347" s="86">
        <v>48.21</v>
      </c>
      <c r="K347" s="86">
        <v>0</v>
      </c>
      <c r="L347" s="84" t="s">
        <v>410</v>
      </c>
      <c r="M347" s="84" t="s">
        <v>336</v>
      </c>
    </row>
    <row r="348" spans="1:13" x14ac:dyDescent="0.25">
      <c r="A348" s="83">
        <v>641564</v>
      </c>
      <c r="B348" s="84" t="s">
        <v>303</v>
      </c>
      <c r="C348" s="85">
        <f t="shared" si="10"/>
        <v>45747</v>
      </c>
      <c r="D348" s="84" t="s">
        <v>847</v>
      </c>
      <c r="E348" s="84" t="s">
        <v>413</v>
      </c>
      <c r="F348" s="84" t="s">
        <v>306</v>
      </c>
      <c r="G348" s="84" t="s">
        <v>306</v>
      </c>
      <c r="H348" s="84" t="s">
        <v>414</v>
      </c>
      <c r="I348" s="84" t="s">
        <v>313</v>
      </c>
      <c r="J348" s="86">
        <v>1482.78</v>
      </c>
      <c r="K348" s="86">
        <v>0</v>
      </c>
      <c r="L348" s="84" t="s">
        <v>314</v>
      </c>
      <c r="M348" s="84" t="s">
        <v>361</v>
      </c>
    </row>
    <row r="349" spans="1:13" x14ac:dyDescent="0.25">
      <c r="A349" s="83">
        <v>641564</v>
      </c>
      <c r="B349" s="84" t="s">
        <v>303</v>
      </c>
      <c r="C349" s="85">
        <f t="shared" si="10"/>
        <v>45747</v>
      </c>
      <c r="D349" s="84" t="s">
        <v>847</v>
      </c>
      <c r="E349" s="84" t="s">
        <v>415</v>
      </c>
      <c r="F349" s="84" t="s">
        <v>306</v>
      </c>
      <c r="G349" s="84" t="s">
        <v>306</v>
      </c>
      <c r="H349" s="84" t="s">
        <v>416</v>
      </c>
      <c r="I349" s="84" t="s">
        <v>313</v>
      </c>
      <c r="J349" s="86">
        <v>312.10000000000002</v>
      </c>
      <c r="K349" s="86">
        <v>0</v>
      </c>
      <c r="L349" s="84" t="s">
        <v>314</v>
      </c>
      <c r="M349" s="84" t="s">
        <v>348</v>
      </c>
    </row>
    <row r="350" spans="1:13" x14ac:dyDescent="0.25">
      <c r="A350" s="83">
        <v>641564</v>
      </c>
      <c r="B350" s="84" t="s">
        <v>303</v>
      </c>
      <c r="C350" s="85">
        <f t="shared" si="10"/>
        <v>45747</v>
      </c>
      <c r="D350" s="84" t="s">
        <v>847</v>
      </c>
      <c r="E350" s="84" t="s">
        <v>417</v>
      </c>
      <c r="F350" s="84" t="s">
        <v>306</v>
      </c>
      <c r="G350" s="84" t="s">
        <v>306</v>
      </c>
      <c r="H350" s="84" t="s">
        <v>418</v>
      </c>
      <c r="I350" s="84" t="s">
        <v>313</v>
      </c>
      <c r="J350" s="86">
        <v>324.91000000000003</v>
      </c>
      <c r="K350" s="86">
        <v>0</v>
      </c>
      <c r="L350" s="84" t="s">
        <v>314</v>
      </c>
      <c r="M350" s="84" t="s">
        <v>398</v>
      </c>
    </row>
    <row r="351" spans="1:13" x14ac:dyDescent="0.25">
      <c r="A351" s="83">
        <v>641564</v>
      </c>
      <c r="B351" s="84" t="s">
        <v>303</v>
      </c>
      <c r="C351" s="85">
        <f t="shared" si="10"/>
        <v>45747</v>
      </c>
      <c r="D351" s="84" t="s">
        <v>847</v>
      </c>
      <c r="E351" s="84" t="s">
        <v>419</v>
      </c>
      <c r="F351" s="84" t="s">
        <v>306</v>
      </c>
      <c r="G351" s="84" t="s">
        <v>306</v>
      </c>
      <c r="H351" s="84" t="s">
        <v>420</v>
      </c>
      <c r="I351" s="84" t="s">
        <v>313</v>
      </c>
      <c r="J351" s="86">
        <v>108.14</v>
      </c>
      <c r="K351" s="86">
        <v>0</v>
      </c>
      <c r="L351" s="84" t="s">
        <v>314</v>
      </c>
      <c r="M351" s="84" t="s">
        <v>369</v>
      </c>
    </row>
    <row r="352" spans="1:13" x14ac:dyDescent="0.25">
      <c r="A352" s="83">
        <v>641564</v>
      </c>
      <c r="B352" s="84" t="s">
        <v>303</v>
      </c>
      <c r="C352" s="85">
        <f t="shared" si="10"/>
        <v>45747</v>
      </c>
      <c r="D352" s="84" t="s">
        <v>847</v>
      </c>
      <c r="E352" s="84" t="s">
        <v>421</v>
      </c>
      <c r="F352" s="84" t="s">
        <v>306</v>
      </c>
      <c r="G352" s="84" t="s">
        <v>306</v>
      </c>
      <c r="H352" s="84" t="s">
        <v>422</v>
      </c>
      <c r="I352" s="84" t="s">
        <v>313</v>
      </c>
      <c r="J352" s="86">
        <v>108.04</v>
      </c>
      <c r="K352" s="86">
        <v>0</v>
      </c>
      <c r="L352" s="84" t="s">
        <v>314</v>
      </c>
      <c r="M352" s="84" t="s">
        <v>331</v>
      </c>
    </row>
    <row r="353" spans="1:13" x14ac:dyDescent="0.25">
      <c r="A353" s="83">
        <v>641564</v>
      </c>
      <c r="B353" s="84" t="s">
        <v>303</v>
      </c>
      <c r="C353" s="85">
        <f t="shared" si="10"/>
        <v>45747</v>
      </c>
      <c r="D353" s="84" t="s">
        <v>847</v>
      </c>
      <c r="E353" s="84" t="s">
        <v>423</v>
      </c>
      <c r="F353" s="84" t="s">
        <v>306</v>
      </c>
      <c r="G353" s="84" t="s">
        <v>306</v>
      </c>
      <c r="H353" s="84" t="s">
        <v>424</v>
      </c>
      <c r="I353" s="84" t="s">
        <v>313</v>
      </c>
      <c r="J353" s="86">
        <v>109.11</v>
      </c>
      <c r="K353" s="86">
        <v>0</v>
      </c>
      <c r="L353" s="84" t="s">
        <v>314</v>
      </c>
      <c r="M353" s="84" t="s">
        <v>344</v>
      </c>
    </row>
    <row r="354" spans="1:13" x14ac:dyDescent="0.25">
      <c r="A354" s="83">
        <v>641564</v>
      </c>
      <c r="B354" s="84" t="s">
        <v>303</v>
      </c>
      <c r="C354" s="85">
        <f t="shared" si="10"/>
        <v>45747</v>
      </c>
      <c r="D354" s="84" t="s">
        <v>847</v>
      </c>
      <c r="E354" s="84" t="s">
        <v>425</v>
      </c>
      <c r="F354" s="84" t="s">
        <v>306</v>
      </c>
      <c r="G354" s="84" t="s">
        <v>306</v>
      </c>
      <c r="H354" s="84" t="s">
        <v>426</v>
      </c>
      <c r="I354" s="84" t="s">
        <v>313</v>
      </c>
      <c r="J354" s="86">
        <v>55.14</v>
      </c>
      <c r="K354" s="86">
        <v>0</v>
      </c>
      <c r="L354" s="84" t="s">
        <v>314</v>
      </c>
      <c r="M354" s="84" t="s">
        <v>340</v>
      </c>
    </row>
    <row r="355" spans="1:13" x14ac:dyDescent="0.25">
      <c r="A355" s="83">
        <v>641564</v>
      </c>
      <c r="B355" s="84" t="s">
        <v>303</v>
      </c>
      <c r="C355" s="85">
        <f t="shared" si="10"/>
        <v>45747</v>
      </c>
      <c r="D355" s="84" t="s">
        <v>847</v>
      </c>
      <c r="E355" s="84" t="s">
        <v>427</v>
      </c>
      <c r="F355" s="84" t="s">
        <v>306</v>
      </c>
      <c r="G355" s="84" t="s">
        <v>306</v>
      </c>
      <c r="H355" s="84" t="s">
        <v>428</v>
      </c>
      <c r="I355" s="84" t="s">
        <v>313</v>
      </c>
      <c r="J355" s="86">
        <v>540.49</v>
      </c>
      <c r="K355" s="86">
        <v>0</v>
      </c>
      <c r="L355" s="84" t="s">
        <v>314</v>
      </c>
      <c r="M355" s="84" t="s">
        <v>327</v>
      </c>
    </row>
    <row r="356" spans="1:13" x14ac:dyDescent="0.25">
      <c r="A356" s="83">
        <v>641564</v>
      </c>
      <c r="B356" s="84" t="s">
        <v>303</v>
      </c>
      <c r="C356" s="85">
        <f t="shared" si="10"/>
        <v>45747</v>
      </c>
      <c r="D356" s="84" t="s">
        <v>847</v>
      </c>
      <c r="E356" s="84" t="s">
        <v>429</v>
      </c>
      <c r="F356" s="84" t="s">
        <v>306</v>
      </c>
      <c r="G356" s="84" t="s">
        <v>306</v>
      </c>
      <c r="H356" s="84" t="s">
        <v>430</v>
      </c>
      <c r="I356" s="84" t="s">
        <v>313</v>
      </c>
      <c r="J356" s="86">
        <v>53.51</v>
      </c>
      <c r="K356" s="86">
        <v>0</v>
      </c>
      <c r="L356" s="84" t="s">
        <v>314</v>
      </c>
      <c r="M356" s="84" t="s">
        <v>356</v>
      </c>
    </row>
    <row r="357" spans="1:13" x14ac:dyDescent="0.25">
      <c r="A357" s="83">
        <v>641564</v>
      </c>
      <c r="B357" s="84" t="s">
        <v>303</v>
      </c>
      <c r="C357" s="85">
        <f t="shared" si="10"/>
        <v>45747</v>
      </c>
      <c r="D357" s="84" t="s">
        <v>847</v>
      </c>
      <c r="E357" s="84" t="s">
        <v>431</v>
      </c>
      <c r="F357" s="84" t="s">
        <v>306</v>
      </c>
      <c r="G357" s="84" t="s">
        <v>306</v>
      </c>
      <c r="H357" s="84" t="s">
        <v>432</v>
      </c>
      <c r="I357" s="84" t="s">
        <v>313</v>
      </c>
      <c r="J357" s="86">
        <v>131.51</v>
      </c>
      <c r="K357" s="86">
        <v>0</v>
      </c>
      <c r="L357" s="84" t="s">
        <v>314</v>
      </c>
      <c r="M357" s="84" t="s">
        <v>352</v>
      </c>
    </row>
    <row r="358" spans="1:13" x14ac:dyDescent="0.25">
      <c r="A358" s="83">
        <v>641564</v>
      </c>
      <c r="B358" s="84" t="s">
        <v>303</v>
      </c>
      <c r="C358" s="85">
        <f t="shared" si="10"/>
        <v>45747</v>
      </c>
      <c r="D358" s="84" t="s">
        <v>847</v>
      </c>
      <c r="E358" s="84" t="s">
        <v>433</v>
      </c>
      <c r="F358" s="84" t="s">
        <v>306</v>
      </c>
      <c r="G358" s="84" t="s">
        <v>306</v>
      </c>
      <c r="H358" s="84" t="s">
        <v>434</v>
      </c>
      <c r="I358" s="84" t="s">
        <v>317</v>
      </c>
      <c r="J358" s="86">
        <v>346.81</v>
      </c>
      <c r="K358" s="86">
        <v>0</v>
      </c>
      <c r="L358" s="84" t="s">
        <v>318</v>
      </c>
      <c r="M358" s="84" t="s">
        <v>361</v>
      </c>
    </row>
    <row r="359" spans="1:13" x14ac:dyDescent="0.25">
      <c r="A359" s="83">
        <v>641564</v>
      </c>
      <c r="B359" s="84" t="s">
        <v>303</v>
      </c>
      <c r="C359" s="85">
        <f t="shared" si="10"/>
        <v>45747</v>
      </c>
      <c r="D359" s="84" t="s">
        <v>847</v>
      </c>
      <c r="E359" s="84" t="s">
        <v>435</v>
      </c>
      <c r="F359" s="84" t="s">
        <v>306</v>
      </c>
      <c r="G359" s="84" t="s">
        <v>306</v>
      </c>
      <c r="H359" s="84" t="s">
        <v>436</v>
      </c>
      <c r="I359" s="84" t="s">
        <v>317</v>
      </c>
      <c r="J359" s="86">
        <v>72.989999999999995</v>
      </c>
      <c r="K359" s="86">
        <v>0</v>
      </c>
      <c r="L359" s="84" t="s">
        <v>318</v>
      </c>
      <c r="M359" s="84" t="s">
        <v>348</v>
      </c>
    </row>
    <row r="360" spans="1:13" x14ac:dyDescent="0.25">
      <c r="A360" s="83">
        <v>641564</v>
      </c>
      <c r="B360" s="84" t="s">
        <v>303</v>
      </c>
      <c r="C360" s="85">
        <f t="shared" si="10"/>
        <v>45747</v>
      </c>
      <c r="D360" s="84" t="s">
        <v>847</v>
      </c>
      <c r="E360" s="84" t="s">
        <v>437</v>
      </c>
      <c r="F360" s="84" t="s">
        <v>306</v>
      </c>
      <c r="G360" s="84" t="s">
        <v>306</v>
      </c>
      <c r="H360" s="84" t="s">
        <v>438</v>
      </c>
      <c r="I360" s="84" t="s">
        <v>317</v>
      </c>
      <c r="J360" s="86">
        <v>75.989999999999995</v>
      </c>
      <c r="K360" s="86">
        <v>0</v>
      </c>
      <c r="L360" s="84" t="s">
        <v>318</v>
      </c>
      <c r="M360" s="84" t="s">
        <v>398</v>
      </c>
    </row>
    <row r="361" spans="1:13" x14ac:dyDescent="0.25">
      <c r="A361" s="83">
        <v>641564</v>
      </c>
      <c r="B361" s="84" t="s">
        <v>303</v>
      </c>
      <c r="C361" s="85">
        <f t="shared" si="10"/>
        <v>45747</v>
      </c>
      <c r="D361" s="84" t="s">
        <v>847</v>
      </c>
      <c r="E361" s="84" t="s">
        <v>439</v>
      </c>
      <c r="F361" s="84" t="s">
        <v>306</v>
      </c>
      <c r="G361" s="84" t="s">
        <v>306</v>
      </c>
      <c r="H361" s="84" t="s">
        <v>440</v>
      </c>
      <c r="I361" s="84" t="s">
        <v>317</v>
      </c>
      <c r="J361" s="86">
        <v>25.29</v>
      </c>
      <c r="K361" s="86">
        <v>0</v>
      </c>
      <c r="L361" s="84" t="s">
        <v>318</v>
      </c>
      <c r="M361" s="84" t="s">
        <v>369</v>
      </c>
    </row>
    <row r="362" spans="1:13" x14ac:dyDescent="0.25">
      <c r="A362" s="83">
        <v>641564</v>
      </c>
      <c r="B362" s="84" t="s">
        <v>303</v>
      </c>
      <c r="C362" s="85">
        <f t="shared" si="10"/>
        <v>45747</v>
      </c>
      <c r="D362" s="84" t="s">
        <v>847</v>
      </c>
      <c r="E362" s="84" t="s">
        <v>441</v>
      </c>
      <c r="F362" s="84" t="s">
        <v>306</v>
      </c>
      <c r="G362" s="84" t="s">
        <v>306</v>
      </c>
      <c r="H362" s="84" t="s">
        <v>442</v>
      </c>
      <c r="I362" s="84" t="s">
        <v>317</v>
      </c>
      <c r="J362" s="86">
        <v>25.27</v>
      </c>
      <c r="K362" s="86">
        <v>0</v>
      </c>
      <c r="L362" s="84" t="s">
        <v>318</v>
      </c>
      <c r="M362" s="84" t="s">
        <v>331</v>
      </c>
    </row>
    <row r="363" spans="1:13" x14ac:dyDescent="0.25">
      <c r="A363" s="83">
        <v>641564</v>
      </c>
      <c r="B363" s="84" t="s">
        <v>303</v>
      </c>
      <c r="C363" s="85">
        <f t="shared" si="10"/>
        <v>45747</v>
      </c>
      <c r="D363" s="84" t="s">
        <v>847</v>
      </c>
      <c r="E363" s="84" t="s">
        <v>443</v>
      </c>
      <c r="F363" s="84" t="s">
        <v>306</v>
      </c>
      <c r="G363" s="84" t="s">
        <v>306</v>
      </c>
      <c r="H363" s="84" t="s">
        <v>444</v>
      </c>
      <c r="I363" s="84" t="s">
        <v>317</v>
      </c>
      <c r="J363" s="86">
        <v>25.52</v>
      </c>
      <c r="K363" s="86">
        <v>0</v>
      </c>
      <c r="L363" s="84" t="s">
        <v>318</v>
      </c>
      <c r="M363" s="84" t="s">
        <v>344</v>
      </c>
    </row>
    <row r="364" spans="1:13" x14ac:dyDescent="0.25">
      <c r="A364" s="83">
        <v>641564</v>
      </c>
      <c r="B364" s="84" t="s">
        <v>303</v>
      </c>
      <c r="C364" s="85">
        <f t="shared" si="10"/>
        <v>45747</v>
      </c>
      <c r="D364" s="84" t="s">
        <v>847</v>
      </c>
      <c r="E364" s="84" t="s">
        <v>445</v>
      </c>
      <c r="F364" s="84" t="s">
        <v>306</v>
      </c>
      <c r="G364" s="84" t="s">
        <v>306</v>
      </c>
      <c r="H364" s="84" t="s">
        <v>446</v>
      </c>
      <c r="I364" s="84" t="s">
        <v>317</v>
      </c>
      <c r="J364" s="86">
        <v>12.9</v>
      </c>
      <c r="K364" s="86">
        <v>0</v>
      </c>
      <c r="L364" s="84" t="s">
        <v>318</v>
      </c>
      <c r="M364" s="84" t="s">
        <v>340</v>
      </c>
    </row>
    <row r="365" spans="1:13" x14ac:dyDescent="0.25">
      <c r="A365" s="83">
        <v>641564</v>
      </c>
      <c r="B365" s="84" t="s">
        <v>303</v>
      </c>
      <c r="C365" s="85">
        <f t="shared" si="10"/>
        <v>45747</v>
      </c>
      <c r="D365" s="84" t="s">
        <v>847</v>
      </c>
      <c r="E365" s="84" t="s">
        <v>447</v>
      </c>
      <c r="F365" s="84" t="s">
        <v>306</v>
      </c>
      <c r="G365" s="84" t="s">
        <v>306</v>
      </c>
      <c r="H365" s="84" t="s">
        <v>448</v>
      </c>
      <c r="I365" s="84" t="s">
        <v>317</v>
      </c>
      <c r="J365" s="86">
        <v>126.4</v>
      </c>
      <c r="K365" s="86">
        <v>0</v>
      </c>
      <c r="L365" s="84" t="s">
        <v>318</v>
      </c>
      <c r="M365" s="84" t="s">
        <v>327</v>
      </c>
    </row>
    <row r="366" spans="1:13" x14ac:dyDescent="0.25">
      <c r="A366" s="83">
        <v>641564</v>
      </c>
      <c r="B366" s="84" t="s">
        <v>303</v>
      </c>
      <c r="C366" s="85">
        <f t="shared" si="10"/>
        <v>45747</v>
      </c>
      <c r="D366" s="84" t="s">
        <v>847</v>
      </c>
      <c r="E366" s="84" t="s">
        <v>449</v>
      </c>
      <c r="F366" s="84" t="s">
        <v>306</v>
      </c>
      <c r="G366" s="84" t="s">
        <v>306</v>
      </c>
      <c r="H366" s="84" t="s">
        <v>450</v>
      </c>
      <c r="I366" s="84" t="s">
        <v>317</v>
      </c>
      <c r="J366" s="86">
        <v>12.52</v>
      </c>
      <c r="K366" s="86">
        <v>0</v>
      </c>
      <c r="L366" s="84" t="s">
        <v>318</v>
      </c>
      <c r="M366" s="84" t="s">
        <v>356</v>
      </c>
    </row>
    <row r="367" spans="1:13" x14ac:dyDescent="0.25">
      <c r="A367" s="83">
        <v>641564</v>
      </c>
      <c r="B367" s="84" t="s">
        <v>303</v>
      </c>
      <c r="C367" s="85">
        <f t="shared" si="10"/>
        <v>45747</v>
      </c>
      <c r="D367" s="84" t="s">
        <v>847</v>
      </c>
      <c r="E367" s="84" t="s">
        <v>451</v>
      </c>
      <c r="F367" s="84" t="s">
        <v>306</v>
      </c>
      <c r="G367" s="84" t="s">
        <v>306</v>
      </c>
      <c r="H367" s="84" t="s">
        <v>452</v>
      </c>
      <c r="I367" s="84" t="s">
        <v>317</v>
      </c>
      <c r="J367" s="86">
        <v>30.76</v>
      </c>
      <c r="K367" s="86">
        <v>0</v>
      </c>
      <c r="L367" s="84" t="s">
        <v>318</v>
      </c>
      <c r="M367" s="84" t="s">
        <v>352</v>
      </c>
    </row>
    <row r="368" spans="1:13" x14ac:dyDescent="0.25">
      <c r="A368" s="83">
        <v>641564</v>
      </c>
      <c r="B368" s="84" t="s">
        <v>303</v>
      </c>
      <c r="C368" s="85">
        <f t="shared" si="10"/>
        <v>45747</v>
      </c>
      <c r="D368" s="84" t="s">
        <v>847</v>
      </c>
      <c r="E368" s="84" t="s">
        <v>453</v>
      </c>
      <c r="F368" s="84" t="s">
        <v>306</v>
      </c>
      <c r="G368" s="84" t="s">
        <v>306</v>
      </c>
      <c r="H368" s="84" t="s">
        <v>454</v>
      </c>
      <c r="I368" s="84" t="s">
        <v>455</v>
      </c>
      <c r="J368" s="86">
        <v>29.72</v>
      </c>
      <c r="K368" s="86">
        <v>0</v>
      </c>
      <c r="L368" s="84" t="s">
        <v>376</v>
      </c>
      <c r="M368" s="84" t="s">
        <v>361</v>
      </c>
    </row>
    <row r="369" spans="1:13" x14ac:dyDescent="0.25">
      <c r="A369" s="83">
        <v>641564</v>
      </c>
      <c r="B369" s="84" t="s">
        <v>303</v>
      </c>
      <c r="C369" s="85">
        <f t="shared" si="10"/>
        <v>45747</v>
      </c>
      <c r="D369" s="84" t="s">
        <v>847</v>
      </c>
      <c r="E369" s="84" t="s">
        <v>458</v>
      </c>
      <c r="F369" s="84" t="s">
        <v>306</v>
      </c>
      <c r="G369" s="84" t="s">
        <v>306</v>
      </c>
      <c r="H369" s="84" t="s">
        <v>459</v>
      </c>
      <c r="I369" s="84" t="s">
        <v>455</v>
      </c>
      <c r="J369" s="86">
        <v>8.0299999999999994</v>
      </c>
      <c r="K369" s="86">
        <v>0</v>
      </c>
      <c r="L369" s="84" t="s">
        <v>376</v>
      </c>
      <c r="M369" s="84" t="s">
        <v>398</v>
      </c>
    </row>
    <row r="370" spans="1:13" x14ac:dyDescent="0.25">
      <c r="A370" s="83">
        <v>641564</v>
      </c>
      <c r="B370" s="84" t="s">
        <v>303</v>
      </c>
      <c r="C370" s="85">
        <f t="shared" si="10"/>
        <v>45747</v>
      </c>
      <c r="D370" s="84" t="s">
        <v>847</v>
      </c>
      <c r="E370" s="84" t="s">
        <v>460</v>
      </c>
      <c r="F370" s="84" t="s">
        <v>306</v>
      </c>
      <c r="G370" s="84" t="s">
        <v>306</v>
      </c>
      <c r="H370" s="84" t="s">
        <v>461</v>
      </c>
      <c r="I370" s="84" t="s">
        <v>455</v>
      </c>
      <c r="J370" s="86">
        <v>5.34</v>
      </c>
      <c r="K370" s="86">
        <v>0</v>
      </c>
      <c r="L370" s="84" t="s">
        <v>376</v>
      </c>
      <c r="M370" s="84" t="s">
        <v>340</v>
      </c>
    </row>
    <row r="371" spans="1:13" x14ac:dyDescent="0.25">
      <c r="A371" s="83">
        <v>641564</v>
      </c>
      <c r="B371" s="84" t="s">
        <v>303</v>
      </c>
      <c r="C371" s="85">
        <f t="shared" si="10"/>
        <v>45747</v>
      </c>
      <c r="D371" s="84" t="s">
        <v>847</v>
      </c>
      <c r="E371" s="84" t="s">
        <v>466</v>
      </c>
      <c r="F371" s="84" t="s">
        <v>306</v>
      </c>
      <c r="G371" s="84" t="s">
        <v>306</v>
      </c>
      <c r="H371" s="84" t="s">
        <v>467</v>
      </c>
      <c r="I371" s="84" t="s">
        <v>455</v>
      </c>
      <c r="J371" s="86">
        <v>3.6</v>
      </c>
      <c r="K371" s="86">
        <v>0</v>
      </c>
      <c r="L371" s="84" t="s">
        <v>376</v>
      </c>
      <c r="M371" s="84" t="s">
        <v>352</v>
      </c>
    </row>
    <row r="372" spans="1:13" x14ac:dyDescent="0.25">
      <c r="A372" s="83">
        <v>641564</v>
      </c>
      <c r="B372" s="84" t="s">
        <v>303</v>
      </c>
      <c r="C372" s="85">
        <f t="shared" si="10"/>
        <v>45747</v>
      </c>
      <c r="D372" s="84" t="s">
        <v>847</v>
      </c>
      <c r="E372" s="84" t="s">
        <v>468</v>
      </c>
      <c r="F372" s="84" t="s">
        <v>306</v>
      </c>
      <c r="G372" s="84" t="s">
        <v>306</v>
      </c>
      <c r="H372" s="84" t="s">
        <v>469</v>
      </c>
      <c r="I372" s="84" t="s">
        <v>470</v>
      </c>
      <c r="J372" s="86">
        <v>71.05</v>
      </c>
      <c r="K372" s="86">
        <v>0</v>
      </c>
      <c r="L372" s="84" t="s">
        <v>380</v>
      </c>
      <c r="M372" s="84" t="s">
        <v>361</v>
      </c>
    </row>
    <row r="373" spans="1:13" x14ac:dyDescent="0.25">
      <c r="A373" s="83">
        <v>641564</v>
      </c>
      <c r="B373" s="84" t="s">
        <v>303</v>
      </c>
      <c r="C373" s="85">
        <f t="shared" si="10"/>
        <v>45747</v>
      </c>
      <c r="D373" s="84" t="s">
        <v>847</v>
      </c>
      <c r="E373" s="84" t="s">
        <v>473</v>
      </c>
      <c r="F373" s="84" t="s">
        <v>306</v>
      </c>
      <c r="G373" s="84" t="s">
        <v>306</v>
      </c>
      <c r="H373" s="84" t="s">
        <v>474</v>
      </c>
      <c r="I373" s="84" t="s">
        <v>470</v>
      </c>
      <c r="J373" s="86">
        <v>9.36</v>
      </c>
      <c r="K373" s="86">
        <v>0</v>
      </c>
      <c r="L373" s="84" t="s">
        <v>380</v>
      </c>
      <c r="M373" s="84" t="s">
        <v>398</v>
      </c>
    </row>
    <row r="374" spans="1:13" x14ac:dyDescent="0.25">
      <c r="A374" s="83">
        <v>641564</v>
      </c>
      <c r="B374" s="84" t="s">
        <v>303</v>
      </c>
      <c r="C374" s="85">
        <f t="shared" si="10"/>
        <v>45747</v>
      </c>
      <c r="D374" s="84" t="s">
        <v>847</v>
      </c>
      <c r="E374" s="84" t="s">
        <v>475</v>
      </c>
      <c r="F374" s="84" t="s">
        <v>306</v>
      </c>
      <c r="G374" s="84" t="s">
        <v>306</v>
      </c>
      <c r="H374" s="84" t="s">
        <v>476</v>
      </c>
      <c r="I374" s="84" t="s">
        <v>470</v>
      </c>
      <c r="J374" s="86">
        <v>6.22</v>
      </c>
      <c r="K374" s="86">
        <v>0</v>
      </c>
      <c r="L374" s="84" t="s">
        <v>380</v>
      </c>
      <c r="M374" s="84" t="s">
        <v>340</v>
      </c>
    </row>
    <row r="375" spans="1:13" x14ac:dyDescent="0.25">
      <c r="A375" s="83">
        <v>641564</v>
      </c>
      <c r="B375" s="84" t="s">
        <v>303</v>
      </c>
      <c r="C375" s="85">
        <f t="shared" si="10"/>
        <v>45747</v>
      </c>
      <c r="D375" s="84" t="s">
        <v>847</v>
      </c>
      <c r="E375" s="84" t="s">
        <v>477</v>
      </c>
      <c r="F375" s="84" t="s">
        <v>306</v>
      </c>
      <c r="G375" s="84" t="s">
        <v>306</v>
      </c>
      <c r="H375" s="84" t="s">
        <v>478</v>
      </c>
      <c r="I375" s="84" t="s">
        <v>470</v>
      </c>
      <c r="J375" s="86">
        <v>2.5499999999999998</v>
      </c>
      <c r="K375" s="86">
        <v>0</v>
      </c>
      <c r="L375" s="84" t="s">
        <v>380</v>
      </c>
      <c r="M375" s="84" t="s">
        <v>327</v>
      </c>
    </row>
    <row r="376" spans="1:13" x14ac:dyDescent="0.25">
      <c r="A376" s="83">
        <v>641564</v>
      </c>
      <c r="B376" s="84" t="s">
        <v>303</v>
      </c>
      <c r="C376" s="85">
        <f t="shared" si="10"/>
        <v>45747</v>
      </c>
      <c r="D376" s="84" t="s">
        <v>847</v>
      </c>
      <c r="E376" s="84" t="s">
        <v>479</v>
      </c>
      <c r="F376" s="84" t="s">
        <v>306</v>
      </c>
      <c r="G376" s="84" t="s">
        <v>306</v>
      </c>
      <c r="H376" s="84" t="s">
        <v>480</v>
      </c>
      <c r="I376" s="84" t="s">
        <v>470</v>
      </c>
      <c r="J376" s="86">
        <v>5.97</v>
      </c>
      <c r="K376" s="86">
        <v>0</v>
      </c>
      <c r="L376" s="84" t="s">
        <v>380</v>
      </c>
      <c r="M376" s="84" t="s">
        <v>356</v>
      </c>
    </row>
    <row r="377" spans="1:13" x14ac:dyDescent="0.25">
      <c r="A377" s="83">
        <v>641564</v>
      </c>
      <c r="B377" s="84" t="s">
        <v>303</v>
      </c>
      <c r="C377" s="85">
        <f t="shared" si="10"/>
        <v>45747</v>
      </c>
      <c r="D377" s="84" t="s">
        <v>847</v>
      </c>
      <c r="E377" s="84" t="s">
        <v>481</v>
      </c>
      <c r="F377" s="84" t="s">
        <v>306</v>
      </c>
      <c r="G377" s="84" t="s">
        <v>306</v>
      </c>
      <c r="H377" s="84" t="s">
        <v>482</v>
      </c>
      <c r="I377" s="84" t="s">
        <v>470</v>
      </c>
      <c r="J377" s="86">
        <v>4.2</v>
      </c>
      <c r="K377" s="86">
        <v>0</v>
      </c>
      <c r="L377" s="84" t="s">
        <v>380</v>
      </c>
      <c r="M377" s="84" t="s">
        <v>352</v>
      </c>
    </row>
    <row r="378" spans="1:13" x14ac:dyDescent="0.25">
      <c r="A378" s="83">
        <v>641564</v>
      </c>
      <c r="B378" s="84" t="s">
        <v>303</v>
      </c>
      <c r="C378" s="85">
        <f t="shared" si="10"/>
        <v>45747</v>
      </c>
      <c r="D378" s="84" t="s">
        <v>847</v>
      </c>
      <c r="E378" s="84" t="s">
        <v>483</v>
      </c>
      <c r="F378" s="84" t="s">
        <v>306</v>
      </c>
      <c r="G378" s="84" t="s">
        <v>306</v>
      </c>
      <c r="H378" s="84" t="s">
        <v>484</v>
      </c>
      <c r="I378" s="84" t="s">
        <v>313</v>
      </c>
      <c r="J378" s="86">
        <v>771.15</v>
      </c>
      <c r="K378" s="86">
        <v>0</v>
      </c>
      <c r="L378" s="84" t="s">
        <v>314</v>
      </c>
      <c r="M378" s="84" t="s">
        <v>336</v>
      </c>
    </row>
    <row r="379" spans="1:13" x14ac:dyDescent="0.25">
      <c r="A379" s="83">
        <v>641564</v>
      </c>
      <c r="B379" s="84" t="s">
        <v>303</v>
      </c>
      <c r="C379" s="85">
        <f t="shared" ref="C379:C392" si="11">DATE(2025,3,31)</f>
        <v>45747</v>
      </c>
      <c r="D379" s="84" t="s">
        <v>847</v>
      </c>
      <c r="E379" s="84" t="s">
        <v>485</v>
      </c>
      <c r="F379" s="84" t="s">
        <v>306</v>
      </c>
      <c r="G379" s="84" t="s">
        <v>306</v>
      </c>
      <c r="H379" s="84" t="s">
        <v>486</v>
      </c>
      <c r="I379" s="84" t="s">
        <v>313</v>
      </c>
      <c r="J379" s="86">
        <v>491.45</v>
      </c>
      <c r="K379" s="86">
        <v>0</v>
      </c>
      <c r="L379" s="84" t="s">
        <v>314</v>
      </c>
      <c r="M379" s="84" t="s">
        <v>394</v>
      </c>
    </row>
    <row r="380" spans="1:13" x14ac:dyDescent="0.25">
      <c r="A380" s="83">
        <v>641564</v>
      </c>
      <c r="B380" s="84" t="s">
        <v>303</v>
      </c>
      <c r="C380" s="85">
        <f t="shared" si="11"/>
        <v>45747</v>
      </c>
      <c r="D380" s="84" t="s">
        <v>847</v>
      </c>
      <c r="E380" s="84" t="s">
        <v>487</v>
      </c>
      <c r="F380" s="84" t="s">
        <v>306</v>
      </c>
      <c r="G380" s="84" t="s">
        <v>306</v>
      </c>
      <c r="H380" s="84" t="s">
        <v>488</v>
      </c>
      <c r="I380" s="84" t="s">
        <v>313</v>
      </c>
      <c r="J380" s="86">
        <v>162.04</v>
      </c>
      <c r="K380" s="86">
        <v>0</v>
      </c>
      <c r="L380" s="84" t="s">
        <v>314</v>
      </c>
      <c r="M380" s="84" t="s">
        <v>401</v>
      </c>
    </row>
    <row r="381" spans="1:13" x14ac:dyDescent="0.25">
      <c r="A381" s="83">
        <v>641564</v>
      </c>
      <c r="B381" s="84" t="s">
        <v>303</v>
      </c>
      <c r="C381" s="85">
        <f t="shared" si="11"/>
        <v>45747</v>
      </c>
      <c r="D381" s="84" t="s">
        <v>847</v>
      </c>
      <c r="E381" s="84" t="s">
        <v>489</v>
      </c>
      <c r="F381" s="84" t="s">
        <v>306</v>
      </c>
      <c r="G381" s="84" t="s">
        <v>306</v>
      </c>
      <c r="H381" s="84" t="s">
        <v>490</v>
      </c>
      <c r="I381" s="84" t="s">
        <v>317</v>
      </c>
      <c r="J381" s="86">
        <v>180.36</v>
      </c>
      <c r="K381" s="86">
        <v>0</v>
      </c>
      <c r="L381" s="84" t="s">
        <v>318</v>
      </c>
      <c r="M381" s="84" t="s">
        <v>336</v>
      </c>
    </row>
    <row r="382" spans="1:13" x14ac:dyDescent="0.25">
      <c r="A382" s="83">
        <v>641564</v>
      </c>
      <c r="B382" s="84" t="s">
        <v>303</v>
      </c>
      <c r="C382" s="85">
        <f t="shared" si="11"/>
        <v>45747</v>
      </c>
      <c r="D382" s="84" t="s">
        <v>847</v>
      </c>
      <c r="E382" s="84" t="s">
        <v>491</v>
      </c>
      <c r="F382" s="84" t="s">
        <v>306</v>
      </c>
      <c r="G382" s="84" t="s">
        <v>306</v>
      </c>
      <c r="H382" s="84" t="s">
        <v>492</v>
      </c>
      <c r="I382" s="84" t="s">
        <v>317</v>
      </c>
      <c r="J382" s="86">
        <v>114.95</v>
      </c>
      <c r="K382" s="86">
        <v>0</v>
      </c>
      <c r="L382" s="84" t="s">
        <v>318</v>
      </c>
      <c r="M382" s="84" t="s">
        <v>394</v>
      </c>
    </row>
    <row r="383" spans="1:13" x14ac:dyDescent="0.25">
      <c r="A383" s="83">
        <v>641564</v>
      </c>
      <c r="B383" s="84" t="s">
        <v>303</v>
      </c>
      <c r="C383" s="85">
        <f t="shared" si="11"/>
        <v>45747</v>
      </c>
      <c r="D383" s="84" t="s">
        <v>847</v>
      </c>
      <c r="E383" s="84" t="s">
        <v>493</v>
      </c>
      <c r="F383" s="84" t="s">
        <v>306</v>
      </c>
      <c r="G383" s="84" t="s">
        <v>306</v>
      </c>
      <c r="H383" s="84" t="s">
        <v>494</v>
      </c>
      <c r="I383" s="84" t="s">
        <v>317</v>
      </c>
      <c r="J383" s="86">
        <v>37.909999999999997</v>
      </c>
      <c r="K383" s="86">
        <v>0</v>
      </c>
      <c r="L383" s="84" t="s">
        <v>318</v>
      </c>
      <c r="M383" s="84" t="s">
        <v>401</v>
      </c>
    </row>
    <row r="384" spans="1:13" x14ac:dyDescent="0.25">
      <c r="A384" s="83">
        <v>641564</v>
      </c>
      <c r="B384" s="84" t="s">
        <v>303</v>
      </c>
      <c r="C384" s="85">
        <f t="shared" si="11"/>
        <v>45747</v>
      </c>
      <c r="D384" s="84" t="s">
        <v>847</v>
      </c>
      <c r="E384" s="84" t="s">
        <v>464</v>
      </c>
      <c r="F384" s="84" t="s">
        <v>306</v>
      </c>
      <c r="G384" s="84" t="s">
        <v>306</v>
      </c>
      <c r="H384" s="84" t="s">
        <v>495</v>
      </c>
      <c r="I384" s="84" t="s">
        <v>455</v>
      </c>
      <c r="J384" s="86">
        <v>7.23</v>
      </c>
      <c r="K384" s="86">
        <v>0</v>
      </c>
      <c r="L384" s="84" t="s">
        <v>376</v>
      </c>
      <c r="M384" s="84" t="s">
        <v>394</v>
      </c>
    </row>
    <row r="385" spans="1:13" x14ac:dyDescent="0.25">
      <c r="A385" s="83">
        <v>641564</v>
      </c>
      <c r="B385" s="84" t="s">
        <v>303</v>
      </c>
      <c r="C385" s="85">
        <f t="shared" si="11"/>
        <v>45747</v>
      </c>
      <c r="D385" s="84" t="s">
        <v>847</v>
      </c>
      <c r="E385" s="84" t="s">
        <v>496</v>
      </c>
      <c r="F385" s="84" t="s">
        <v>306</v>
      </c>
      <c r="G385" s="84" t="s">
        <v>306</v>
      </c>
      <c r="H385" s="84" t="s">
        <v>497</v>
      </c>
      <c r="I385" s="84" t="s">
        <v>470</v>
      </c>
      <c r="J385" s="86">
        <v>6.5</v>
      </c>
      <c r="K385" s="86">
        <v>0</v>
      </c>
      <c r="L385" s="84" t="s">
        <v>380</v>
      </c>
      <c r="M385" s="84" t="s">
        <v>336</v>
      </c>
    </row>
    <row r="386" spans="1:13" x14ac:dyDescent="0.25">
      <c r="A386" s="83">
        <v>641564</v>
      </c>
      <c r="B386" s="84" t="s">
        <v>303</v>
      </c>
      <c r="C386" s="85">
        <f t="shared" si="11"/>
        <v>45747</v>
      </c>
      <c r="D386" s="84" t="s">
        <v>847</v>
      </c>
      <c r="E386" s="84" t="s">
        <v>479</v>
      </c>
      <c r="F386" s="84" t="s">
        <v>306</v>
      </c>
      <c r="G386" s="84" t="s">
        <v>306</v>
      </c>
      <c r="H386" s="84" t="s">
        <v>498</v>
      </c>
      <c r="I386" s="84" t="s">
        <v>470</v>
      </c>
      <c r="J386" s="86">
        <v>8.44</v>
      </c>
      <c r="K386" s="86">
        <v>0</v>
      </c>
      <c r="L386" s="84" t="s">
        <v>380</v>
      </c>
      <c r="M386" s="84" t="s">
        <v>394</v>
      </c>
    </row>
    <row r="387" spans="1:13" x14ac:dyDescent="0.25">
      <c r="A387" s="83">
        <v>641564</v>
      </c>
      <c r="B387" s="84" t="s">
        <v>303</v>
      </c>
      <c r="C387" s="85">
        <f t="shared" si="11"/>
        <v>45747</v>
      </c>
      <c r="D387" s="84" t="s">
        <v>847</v>
      </c>
      <c r="E387" s="84" t="s">
        <v>499</v>
      </c>
      <c r="F387" s="84" t="s">
        <v>306</v>
      </c>
      <c r="G387" s="84" t="s">
        <v>306</v>
      </c>
      <c r="H387" s="84" t="s">
        <v>500</v>
      </c>
      <c r="I387" s="84" t="s">
        <v>455</v>
      </c>
      <c r="J387" s="86">
        <v>0.03</v>
      </c>
      <c r="K387" s="86">
        <v>0</v>
      </c>
      <c r="L387" s="84" t="s">
        <v>376</v>
      </c>
      <c r="M387" s="84" t="s">
        <v>401</v>
      </c>
    </row>
    <row r="388" spans="1:13" x14ac:dyDescent="0.25">
      <c r="A388" s="83">
        <v>641564</v>
      </c>
      <c r="B388" s="84" t="s">
        <v>303</v>
      </c>
      <c r="C388" s="85">
        <f t="shared" si="11"/>
        <v>45747</v>
      </c>
      <c r="D388" s="84" t="s">
        <v>847</v>
      </c>
      <c r="E388" s="84" t="s">
        <v>501</v>
      </c>
      <c r="F388" s="84" t="s">
        <v>306</v>
      </c>
      <c r="G388" s="84" t="s">
        <v>306</v>
      </c>
      <c r="H388" s="84" t="s">
        <v>502</v>
      </c>
      <c r="I388" s="84" t="s">
        <v>470</v>
      </c>
      <c r="J388" s="86">
        <v>8.52</v>
      </c>
      <c r="K388" s="86">
        <v>0</v>
      </c>
      <c r="L388" s="84" t="s">
        <v>380</v>
      </c>
      <c r="M388" s="84" t="s">
        <v>401</v>
      </c>
    </row>
    <row r="389" spans="1:13" x14ac:dyDescent="0.25">
      <c r="A389" s="83">
        <v>641564</v>
      </c>
      <c r="B389" s="84" t="s">
        <v>303</v>
      </c>
      <c r="C389" s="85">
        <f t="shared" si="11"/>
        <v>45747</v>
      </c>
      <c r="D389" s="84" t="s">
        <v>847</v>
      </c>
      <c r="E389" s="84" t="s">
        <v>503</v>
      </c>
      <c r="F389" s="84" t="s">
        <v>306</v>
      </c>
      <c r="G389" s="84" t="s">
        <v>306</v>
      </c>
      <c r="H389" s="84" t="s">
        <v>504</v>
      </c>
      <c r="I389" s="84" t="s">
        <v>313</v>
      </c>
      <c r="J389" s="86">
        <v>95.81</v>
      </c>
      <c r="K389" s="86">
        <v>0</v>
      </c>
      <c r="L389" s="84" t="s">
        <v>314</v>
      </c>
      <c r="M389" s="84" t="s">
        <v>386</v>
      </c>
    </row>
    <row r="390" spans="1:13" x14ac:dyDescent="0.25">
      <c r="A390" s="83">
        <v>641564</v>
      </c>
      <c r="B390" s="84" t="s">
        <v>303</v>
      </c>
      <c r="C390" s="85">
        <f t="shared" si="11"/>
        <v>45747</v>
      </c>
      <c r="D390" s="84" t="s">
        <v>847</v>
      </c>
      <c r="E390" s="84" t="s">
        <v>505</v>
      </c>
      <c r="F390" s="84" t="s">
        <v>306</v>
      </c>
      <c r="G390" s="84" t="s">
        <v>306</v>
      </c>
      <c r="H390" s="84" t="s">
        <v>506</v>
      </c>
      <c r="I390" s="84" t="s">
        <v>313</v>
      </c>
      <c r="J390" s="86">
        <v>107.27</v>
      </c>
      <c r="K390" s="86">
        <v>0</v>
      </c>
      <c r="L390" s="84" t="s">
        <v>314</v>
      </c>
      <c r="M390" s="84" t="s">
        <v>372</v>
      </c>
    </row>
    <row r="391" spans="1:13" x14ac:dyDescent="0.25">
      <c r="A391" s="83">
        <v>641564</v>
      </c>
      <c r="B391" s="84" t="s">
        <v>303</v>
      </c>
      <c r="C391" s="85">
        <f t="shared" si="11"/>
        <v>45747</v>
      </c>
      <c r="D391" s="84" t="s">
        <v>847</v>
      </c>
      <c r="E391" s="84" t="s">
        <v>507</v>
      </c>
      <c r="F391" s="84" t="s">
        <v>306</v>
      </c>
      <c r="G391" s="84" t="s">
        <v>306</v>
      </c>
      <c r="H391" s="84" t="s">
        <v>508</v>
      </c>
      <c r="I391" s="84" t="s">
        <v>317</v>
      </c>
      <c r="J391" s="86">
        <v>22.4</v>
      </c>
      <c r="K391" s="86">
        <v>0</v>
      </c>
      <c r="L391" s="84" t="s">
        <v>318</v>
      </c>
      <c r="M391" s="84" t="s">
        <v>386</v>
      </c>
    </row>
    <row r="392" spans="1:13" x14ac:dyDescent="0.25">
      <c r="A392" s="83">
        <v>641564</v>
      </c>
      <c r="B392" s="84" t="s">
        <v>303</v>
      </c>
      <c r="C392" s="85">
        <f t="shared" si="11"/>
        <v>45747</v>
      </c>
      <c r="D392" s="84" t="s">
        <v>847</v>
      </c>
      <c r="E392" s="84" t="s">
        <v>509</v>
      </c>
      <c r="F392" s="84" t="s">
        <v>306</v>
      </c>
      <c r="G392" s="84" t="s">
        <v>306</v>
      </c>
      <c r="H392" s="84" t="s">
        <v>510</v>
      </c>
      <c r="I392" s="84" t="s">
        <v>317</v>
      </c>
      <c r="J392" s="86">
        <v>25.08</v>
      </c>
      <c r="K392" s="86">
        <v>0</v>
      </c>
      <c r="L392" s="84" t="s">
        <v>318</v>
      </c>
      <c r="M392" s="84" t="s">
        <v>372</v>
      </c>
    </row>
    <row r="393" spans="1:13" x14ac:dyDescent="0.25">
      <c r="A393" s="83">
        <v>641587</v>
      </c>
      <c r="B393" s="84" t="s">
        <v>303</v>
      </c>
      <c r="C393" s="85">
        <f t="shared" ref="C393:C456" si="12">DATE(2025,3,28)</f>
        <v>45744</v>
      </c>
      <c r="D393" s="84" t="s">
        <v>850</v>
      </c>
      <c r="E393" s="84" t="s">
        <v>305</v>
      </c>
      <c r="F393" s="84" t="s">
        <v>306</v>
      </c>
      <c r="G393" s="84" t="s">
        <v>306</v>
      </c>
      <c r="H393" s="84" t="s">
        <v>307</v>
      </c>
      <c r="I393" s="84" t="s">
        <v>308</v>
      </c>
      <c r="J393" s="86">
        <v>895.88</v>
      </c>
      <c r="K393" s="86">
        <v>0</v>
      </c>
      <c r="L393" s="84" t="s">
        <v>309</v>
      </c>
      <c r="M393" s="84" t="s">
        <v>310</v>
      </c>
    </row>
    <row r="394" spans="1:13" x14ac:dyDescent="0.25">
      <c r="A394" s="83">
        <v>641587</v>
      </c>
      <c r="B394" s="84" t="s">
        <v>303</v>
      </c>
      <c r="C394" s="85">
        <f t="shared" si="12"/>
        <v>45744</v>
      </c>
      <c r="D394" s="84" t="s">
        <v>850</v>
      </c>
      <c r="E394" s="84" t="s">
        <v>324</v>
      </c>
      <c r="F394" s="84" t="s">
        <v>306</v>
      </c>
      <c r="G394" s="84" t="s">
        <v>306</v>
      </c>
      <c r="H394" s="84" t="s">
        <v>325</v>
      </c>
      <c r="I394" s="84" t="s">
        <v>326</v>
      </c>
      <c r="J394" s="86">
        <v>13544.54</v>
      </c>
      <c r="K394" s="86">
        <v>0</v>
      </c>
      <c r="L394" s="84" t="s">
        <v>309</v>
      </c>
      <c r="M394" s="84" t="s">
        <v>327</v>
      </c>
    </row>
    <row r="395" spans="1:13" x14ac:dyDescent="0.25">
      <c r="A395" s="83">
        <v>641587</v>
      </c>
      <c r="B395" s="84" t="s">
        <v>303</v>
      </c>
      <c r="C395" s="85">
        <f t="shared" si="12"/>
        <v>45744</v>
      </c>
      <c r="D395" s="84" t="s">
        <v>850</v>
      </c>
      <c r="E395" s="84" t="s">
        <v>328</v>
      </c>
      <c r="F395" s="84" t="s">
        <v>306</v>
      </c>
      <c r="G395" s="84" t="s">
        <v>306</v>
      </c>
      <c r="H395" s="84" t="s">
        <v>329</v>
      </c>
      <c r="I395" s="84" t="s">
        <v>330</v>
      </c>
      <c r="J395" s="86">
        <v>2857.65</v>
      </c>
      <c r="K395" s="86">
        <v>0</v>
      </c>
      <c r="L395" s="84" t="s">
        <v>309</v>
      </c>
      <c r="M395" s="84" t="s">
        <v>331</v>
      </c>
    </row>
    <row r="396" spans="1:13" x14ac:dyDescent="0.25">
      <c r="A396" s="83">
        <v>641587</v>
      </c>
      <c r="B396" s="84" t="s">
        <v>303</v>
      </c>
      <c r="C396" s="85">
        <f t="shared" si="12"/>
        <v>45744</v>
      </c>
      <c r="D396" s="84" t="s">
        <v>850</v>
      </c>
      <c r="E396" s="84" t="s">
        <v>332</v>
      </c>
      <c r="F396" s="84" t="s">
        <v>306</v>
      </c>
      <c r="G396" s="84" t="s">
        <v>306</v>
      </c>
      <c r="H396" s="84" t="s">
        <v>333</v>
      </c>
      <c r="I396" s="84" t="s">
        <v>334</v>
      </c>
      <c r="J396" s="86">
        <v>2115.39</v>
      </c>
      <c r="K396" s="86">
        <v>0</v>
      </c>
      <c r="L396" s="84" t="s">
        <v>335</v>
      </c>
      <c r="M396" s="84" t="s">
        <v>336</v>
      </c>
    </row>
    <row r="397" spans="1:13" x14ac:dyDescent="0.25">
      <c r="A397" s="83">
        <v>641587</v>
      </c>
      <c r="B397" s="84" t="s">
        <v>303</v>
      </c>
      <c r="C397" s="85">
        <f t="shared" si="12"/>
        <v>45744</v>
      </c>
      <c r="D397" s="84" t="s">
        <v>850</v>
      </c>
      <c r="E397" s="84" t="s">
        <v>337</v>
      </c>
      <c r="F397" s="84" t="s">
        <v>306</v>
      </c>
      <c r="G397" s="84" t="s">
        <v>306</v>
      </c>
      <c r="H397" s="84" t="s">
        <v>338</v>
      </c>
      <c r="I397" s="84" t="s">
        <v>339</v>
      </c>
      <c r="J397" s="86">
        <v>1379.94</v>
      </c>
      <c r="K397" s="86">
        <v>0</v>
      </c>
      <c r="L397" s="84" t="s">
        <v>309</v>
      </c>
      <c r="M397" s="84" t="s">
        <v>340</v>
      </c>
    </row>
    <row r="398" spans="1:13" x14ac:dyDescent="0.25">
      <c r="A398" s="83">
        <v>641587</v>
      </c>
      <c r="B398" s="84" t="s">
        <v>303</v>
      </c>
      <c r="C398" s="85">
        <f t="shared" si="12"/>
        <v>45744</v>
      </c>
      <c r="D398" s="84" t="s">
        <v>850</v>
      </c>
      <c r="E398" s="84" t="s">
        <v>341</v>
      </c>
      <c r="F398" s="84" t="s">
        <v>306</v>
      </c>
      <c r="G398" s="84" t="s">
        <v>306</v>
      </c>
      <c r="H398" s="84" t="s">
        <v>342</v>
      </c>
      <c r="I398" s="84" t="s">
        <v>343</v>
      </c>
      <c r="J398" s="86">
        <v>2596.16</v>
      </c>
      <c r="K398" s="86">
        <v>0</v>
      </c>
      <c r="L398" s="84" t="s">
        <v>309</v>
      </c>
      <c r="M398" s="84" t="s">
        <v>344</v>
      </c>
    </row>
    <row r="399" spans="1:13" x14ac:dyDescent="0.25">
      <c r="A399" s="83">
        <v>641587</v>
      </c>
      <c r="B399" s="84" t="s">
        <v>303</v>
      </c>
      <c r="C399" s="85">
        <f t="shared" si="12"/>
        <v>45744</v>
      </c>
      <c r="D399" s="84" t="s">
        <v>850</v>
      </c>
      <c r="E399" s="84" t="s">
        <v>345</v>
      </c>
      <c r="F399" s="84" t="s">
        <v>306</v>
      </c>
      <c r="G399" s="84" t="s">
        <v>306</v>
      </c>
      <c r="H399" s="84" t="s">
        <v>346</v>
      </c>
      <c r="I399" s="84" t="s">
        <v>347</v>
      </c>
      <c r="J399" s="86">
        <v>7162.34</v>
      </c>
      <c r="K399" s="86">
        <v>0</v>
      </c>
      <c r="L399" s="84" t="s">
        <v>309</v>
      </c>
      <c r="M399" s="84" t="s">
        <v>348</v>
      </c>
    </row>
    <row r="400" spans="1:13" x14ac:dyDescent="0.25">
      <c r="A400" s="83">
        <v>641587</v>
      </c>
      <c r="B400" s="84" t="s">
        <v>303</v>
      </c>
      <c r="C400" s="85">
        <f t="shared" si="12"/>
        <v>45744</v>
      </c>
      <c r="D400" s="84" t="s">
        <v>850</v>
      </c>
      <c r="E400" s="84" t="s">
        <v>349</v>
      </c>
      <c r="F400" s="84" t="s">
        <v>306</v>
      </c>
      <c r="G400" s="84" t="s">
        <v>306</v>
      </c>
      <c r="H400" s="84" t="s">
        <v>350</v>
      </c>
      <c r="I400" s="84" t="s">
        <v>351</v>
      </c>
      <c r="J400" s="86">
        <v>3114.19</v>
      </c>
      <c r="K400" s="86">
        <v>0</v>
      </c>
      <c r="L400" s="84" t="s">
        <v>309</v>
      </c>
      <c r="M400" s="84" t="s">
        <v>352</v>
      </c>
    </row>
    <row r="401" spans="1:13" x14ac:dyDescent="0.25">
      <c r="A401" s="83">
        <v>641587</v>
      </c>
      <c r="B401" s="84" t="s">
        <v>303</v>
      </c>
      <c r="C401" s="85">
        <f t="shared" si="12"/>
        <v>45744</v>
      </c>
      <c r="D401" s="84" t="s">
        <v>850</v>
      </c>
      <c r="E401" s="84" t="s">
        <v>353</v>
      </c>
      <c r="F401" s="84" t="s">
        <v>306</v>
      </c>
      <c r="G401" s="84" t="s">
        <v>306</v>
      </c>
      <c r="H401" s="84" t="s">
        <v>354</v>
      </c>
      <c r="I401" s="84" t="s">
        <v>355</v>
      </c>
      <c r="J401" s="86">
        <v>1268.04</v>
      </c>
      <c r="K401" s="86">
        <v>0</v>
      </c>
      <c r="L401" s="84" t="s">
        <v>309</v>
      </c>
      <c r="M401" s="84" t="s">
        <v>356</v>
      </c>
    </row>
    <row r="402" spans="1:13" x14ac:dyDescent="0.25">
      <c r="A402" s="83">
        <v>641587</v>
      </c>
      <c r="B402" s="84" t="s">
        <v>303</v>
      </c>
      <c r="C402" s="85">
        <f t="shared" si="12"/>
        <v>45744</v>
      </c>
      <c r="D402" s="84" t="s">
        <v>850</v>
      </c>
      <c r="E402" s="84" t="s">
        <v>357</v>
      </c>
      <c r="F402" s="84" t="s">
        <v>306</v>
      </c>
      <c r="G402" s="84" t="s">
        <v>306</v>
      </c>
      <c r="H402" s="84" t="s">
        <v>358</v>
      </c>
      <c r="I402" s="84" t="s">
        <v>359</v>
      </c>
      <c r="J402" s="86">
        <v>15246.45</v>
      </c>
      <c r="K402" s="86">
        <v>0</v>
      </c>
      <c r="L402" s="84" t="s">
        <v>360</v>
      </c>
      <c r="M402" s="84" t="s">
        <v>361</v>
      </c>
    </row>
    <row r="403" spans="1:13" x14ac:dyDescent="0.25">
      <c r="A403" s="83">
        <v>641587</v>
      </c>
      <c r="B403" s="84" t="s">
        <v>303</v>
      </c>
      <c r="C403" s="85">
        <f t="shared" si="12"/>
        <v>45744</v>
      </c>
      <c r="D403" s="84" t="s">
        <v>850</v>
      </c>
      <c r="E403" s="84" t="s">
        <v>362</v>
      </c>
      <c r="F403" s="84" t="s">
        <v>306</v>
      </c>
      <c r="G403" s="84" t="s">
        <v>306</v>
      </c>
      <c r="H403" s="84" t="s">
        <v>363</v>
      </c>
      <c r="I403" s="84" t="s">
        <v>364</v>
      </c>
      <c r="J403" s="86">
        <v>15841.52</v>
      </c>
      <c r="K403" s="86">
        <v>0</v>
      </c>
      <c r="L403" s="84" t="s">
        <v>365</v>
      </c>
      <c r="M403" s="84" t="s">
        <v>361</v>
      </c>
    </row>
    <row r="404" spans="1:13" x14ac:dyDescent="0.25">
      <c r="A404" s="83">
        <v>641587</v>
      </c>
      <c r="B404" s="84" t="s">
        <v>303</v>
      </c>
      <c r="C404" s="85">
        <f t="shared" si="12"/>
        <v>45744</v>
      </c>
      <c r="D404" s="84" t="s">
        <v>850</v>
      </c>
      <c r="E404" s="84" t="s">
        <v>366</v>
      </c>
      <c r="F404" s="84" t="s">
        <v>306</v>
      </c>
      <c r="G404" s="84" t="s">
        <v>306</v>
      </c>
      <c r="H404" s="84" t="s">
        <v>367</v>
      </c>
      <c r="I404" s="84" t="s">
        <v>368</v>
      </c>
      <c r="J404" s="86">
        <v>2713.17</v>
      </c>
      <c r="K404" s="86">
        <v>0</v>
      </c>
      <c r="L404" s="84" t="s">
        <v>309</v>
      </c>
      <c r="M404" s="84" t="s">
        <v>369</v>
      </c>
    </row>
    <row r="405" spans="1:13" x14ac:dyDescent="0.25">
      <c r="A405" s="83">
        <v>641587</v>
      </c>
      <c r="B405" s="84" t="s">
        <v>303</v>
      </c>
      <c r="C405" s="85">
        <f t="shared" si="12"/>
        <v>45744</v>
      </c>
      <c r="D405" s="84" t="s">
        <v>850</v>
      </c>
      <c r="E405" s="84" t="s">
        <v>341</v>
      </c>
      <c r="F405" s="84" t="s">
        <v>306</v>
      </c>
      <c r="G405" s="84" t="s">
        <v>306</v>
      </c>
      <c r="H405" s="84" t="s">
        <v>370</v>
      </c>
      <c r="I405" s="84" t="s">
        <v>371</v>
      </c>
      <c r="J405" s="86">
        <v>2884.62</v>
      </c>
      <c r="K405" s="86">
        <v>0</v>
      </c>
      <c r="L405" s="84" t="s">
        <v>309</v>
      </c>
      <c r="M405" s="84" t="s">
        <v>372</v>
      </c>
    </row>
    <row r="406" spans="1:13" x14ac:dyDescent="0.25">
      <c r="A406" s="83">
        <v>641587</v>
      </c>
      <c r="B406" s="84" t="s">
        <v>303</v>
      </c>
      <c r="C406" s="85">
        <f t="shared" si="12"/>
        <v>45744</v>
      </c>
      <c r="D406" s="84" t="s">
        <v>850</v>
      </c>
      <c r="E406" s="84" t="s">
        <v>311</v>
      </c>
      <c r="F406" s="84" t="s">
        <v>306</v>
      </c>
      <c r="G406" s="84" t="s">
        <v>306</v>
      </c>
      <c r="H406" s="84" t="s">
        <v>312</v>
      </c>
      <c r="I406" s="84" t="s">
        <v>313</v>
      </c>
      <c r="J406" s="86">
        <v>55.55</v>
      </c>
      <c r="K406" s="86">
        <v>0</v>
      </c>
      <c r="L406" s="84" t="s">
        <v>314</v>
      </c>
      <c r="M406" s="84" t="s">
        <v>310</v>
      </c>
    </row>
    <row r="407" spans="1:13" x14ac:dyDescent="0.25">
      <c r="A407" s="83">
        <v>641587</v>
      </c>
      <c r="B407" s="84" t="s">
        <v>303</v>
      </c>
      <c r="C407" s="85">
        <f t="shared" si="12"/>
        <v>45744</v>
      </c>
      <c r="D407" s="84" t="s">
        <v>850</v>
      </c>
      <c r="E407" s="84" t="s">
        <v>315</v>
      </c>
      <c r="F407" s="84" t="s">
        <v>306</v>
      </c>
      <c r="G407" s="84" t="s">
        <v>306</v>
      </c>
      <c r="H407" s="84" t="s">
        <v>316</v>
      </c>
      <c r="I407" s="84" t="s">
        <v>317</v>
      </c>
      <c r="J407" s="86">
        <v>12.99</v>
      </c>
      <c r="K407" s="86">
        <v>0</v>
      </c>
      <c r="L407" s="84" t="s">
        <v>318</v>
      </c>
      <c r="M407" s="84" t="s">
        <v>310</v>
      </c>
    </row>
    <row r="408" spans="1:13" x14ac:dyDescent="0.25">
      <c r="A408" s="83">
        <v>641587</v>
      </c>
      <c r="B408" s="84" t="s">
        <v>303</v>
      </c>
      <c r="C408" s="85">
        <f t="shared" si="12"/>
        <v>45744</v>
      </c>
      <c r="D408" s="84" t="s">
        <v>850</v>
      </c>
      <c r="E408" s="84" t="s">
        <v>373</v>
      </c>
      <c r="F408" s="84" t="s">
        <v>306</v>
      </c>
      <c r="G408" s="84" t="s">
        <v>306</v>
      </c>
      <c r="H408" s="84" t="s">
        <v>374</v>
      </c>
      <c r="I408" s="84" t="s">
        <v>375</v>
      </c>
      <c r="J408" s="86">
        <v>5.37</v>
      </c>
      <c r="K408" s="86">
        <v>0</v>
      </c>
      <c r="L408" s="84" t="s">
        <v>376</v>
      </c>
      <c r="M408" s="84" t="s">
        <v>310</v>
      </c>
    </row>
    <row r="409" spans="1:13" x14ac:dyDescent="0.25">
      <c r="A409" s="83">
        <v>641587</v>
      </c>
      <c r="B409" s="84" t="s">
        <v>303</v>
      </c>
      <c r="C409" s="85">
        <f t="shared" si="12"/>
        <v>45744</v>
      </c>
      <c r="D409" s="84" t="s">
        <v>850</v>
      </c>
      <c r="E409" s="84" t="s">
        <v>377</v>
      </c>
      <c r="F409" s="84" t="s">
        <v>306</v>
      </c>
      <c r="G409" s="84" t="s">
        <v>306</v>
      </c>
      <c r="H409" s="84" t="s">
        <v>378</v>
      </c>
      <c r="I409" s="84" t="s">
        <v>379</v>
      </c>
      <c r="J409" s="86">
        <v>6.27</v>
      </c>
      <c r="K409" s="86">
        <v>0</v>
      </c>
      <c r="L409" s="84" t="s">
        <v>380</v>
      </c>
      <c r="M409" s="84" t="s">
        <v>310</v>
      </c>
    </row>
    <row r="410" spans="1:13" x14ac:dyDescent="0.25">
      <c r="A410" s="83">
        <v>641587</v>
      </c>
      <c r="B410" s="84" t="s">
        <v>303</v>
      </c>
      <c r="C410" s="85">
        <f t="shared" si="12"/>
        <v>45744</v>
      </c>
      <c r="D410" s="84" t="s">
        <v>850</v>
      </c>
      <c r="E410" s="84" t="s">
        <v>527</v>
      </c>
      <c r="F410" s="84" t="s">
        <v>306</v>
      </c>
      <c r="G410" s="84" t="s">
        <v>306</v>
      </c>
      <c r="H410" s="84" t="s">
        <v>526</v>
      </c>
      <c r="I410" s="84" t="s">
        <v>527</v>
      </c>
      <c r="J410" s="86">
        <v>0</v>
      </c>
      <c r="K410" s="86">
        <v>4205.8900000000003</v>
      </c>
      <c r="L410" s="84" t="s">
        <v>528</v>
      </c>
      <c r="M410" s="84" t="s">
        <v>310</v>
      </c>
    </row>
    <row r="411" spans="1:13" x14ac:dyDescent="0.25">
      <c r="A411" s="83">
        <v>641587</v>
      </c>
      <c r="B411" s="84" t="s">
        <v>303</v>
      </c>
      <c r="C411" s="85">
        <f t="shared" si="12"/>
        <v>45744</v>
      </c>
      <c r="D411" s="84" t="s">
        <v>850</v>
      </c>
      <c r="E411" s="84" t="s">
        <v>319</v>
      </c>
      <c r="F411" s="84" t="s">
        <v>306</v>
      </c>
      <c r="G411" s="84" t="s">
        <v>306</v>
      </c>
      <c r="H411" s="84" t="s">
        <v>320</v>
      </c>
      <c r="I411" s="84" t="s">
        <v>321</v>
      </c>
      <c r="J411" s="86">
        <v>115.38</v>
      </c>
      <c r="K411" s="86">
        <v>0</v>
      </c>
      <c r="L411" s="84" t="s">
        <v>322</v>
      </c>
      <c r="M411" s="84" t="s">
        <v>310</v>
      </c>
    </row>
    <row r="412" spans="1:13" x14ac:dyDescent="0.25">
      <c r="A412" s="83">
        <v>641587</v>
      </c>
      <c r="B412" s="84" t="s">
        <v>303</v>
      </c>
      <c r="C412" s="85">
        <f t="shared" si="12"/>
        <v>45744</v>
      </c>
      <c r="D412" s="84" t="s">
        <v>850</v>
      </c>
      <c r="E412" s="84" t="s">
        <v>381</v>
      </c>
      <c r="F412" s="84" t="s">
        <v>306</v>
      </c>
      <c r="G412" s="84" t="s">
        <v>306</v>
      </c>
      <c r="H412" s="84" t="s">
        <v>382</v>
      </c>
      <c r="I412" s="84" t="s">
        <v>383</v>
      </c>
      <c r="J412" s="86">
        <v>12472.48</v>
      </c>
      <c r="K412" s="86">
        <v>0</v>
      </c>
      <c r="L412" s="84" t="s">
        <v>309</v>
      </c>
      <c r="M412" s="84" t="s">
        <v>336</v>
      </c>
    </row>
    <row r="413" spans="1:13" x14ac:dyDescent="0.25">
      <c r="A413" s="83">
        <v>641587</v>
      </c>
      <c r="B413" s="84" t="s">
        <v>303</v>
      </c>
      <c r="C413" s="85">
        <f t="shared" si="12"/>
        <v>45744</v>
      </c>
      <c r="D413" s="84" t="s">
        <v>850</v>
      </c>
      <c r="E413" s="84" t="s">
        <v>384</v>
      </c>
      <c r="F413" s="84" t="s">
        <v>306</v>
      </c>
      <c r="G413" s="84" t="s">
        <v>306</v>
      </c>
      <c r="H413" s="84" t="s">
        <v>385</v>
      </c>
      <c r="I413" s="84" t="s">
        <v>383</v>
      </c>
      <c r="J413" s="86">
        <v>2163.4699999999998</v>
      </c>
      <c r="K413" s="86">
        <v>0</v>
      </c>
      <c r="L413" s="84" t="s">
        <v>309</v>
      </c>
      <c r="M413" s="84" t="s">
        <v>386</v>
      </c>
    </row>
    <row r="414" spans="1:13" x14ac:dyDescent="0.25">
      <c r="A414" s="83">
        <v>641587</v>
      </c>
      <c r="B414" s="84" t="s">
        <v>303</v>
      </c>
      <c r="C414" s="85">
        <f t="shared" si="12"/>
        <v>45744</v>
      </c>
      <c r="D414" s="84" t="s">
        <v>850</v>
      </c>
      <c r="E414" s="84" t="s">
        <v>387</v>
      </c>
      <c r="F414" s="84" t="s">
        <v>306</v>
      </c>
      <c r="G414" s="84" t="s">
        <v>306</v>
      </c>
      <c r="H414" s="84" t="s">
        <v>388</v>
      </c>
      <c r="I414" s="84" t="s">
        <v>389</v>
      </c>
      <c r="J414" s="86">
        <v>1100.6099999999999</v>
      </c>
      <c r="K414" s="86">
        <v>0</v>
      </c>
      <c r="L414" s="84" t="s">
        <v>360</v>
      </c>
      <c r="M414" s="84" t="s">
        <v>336</v>
      </c>
    </row>
    <row r="415" spans="1:13" x14ac:dyDescent="0.25">
      <c r="A415" s="83">
        <v>641587</v>
      </c>
      <c r="B415" s="84" t="s">
        <v>303</v>
      </c>
      <c r="C415" s="85">
        <f t="shared" si="12"/>
        <v>45744</v>
      </c>
      <c r="D415" s="84" t="s">
        <v>850</v>
      </c>
      <c r="E415" s="84" t="s">
        <v>390</v>
      </c>
      <c r="F415" s="84" t="s">
        <v>306</v>
      </c>
      <c r="G415" s="84" t="s">
        <v>306</v>
      </c>
      <c r="H415" s="84" t="s">
        <v>391</v>
      </c>
      <c r="I415" s="84" t="s">
        <v>392</v>
      </c>
      <c r="J415" s="86">
        <v>541.59</v>
      </c>
      <c r="K415" s="86">
        <v>0</v>
      </c>
      <c r="L415" s="84" t="s">
        <v>393</v>
      </c>
      <c r="M415" s="84" t="s">
        <v>394</v>
      </c>
    </row>
    <row r="416" spans="1:13" x14ac:dyDescent="0.25">
      <c r="A416" s="83">
        <v>641587</v>
      </c>
      <c r="B416" s="84" t="s">
        <v>303</v>
      </c>
      <c r="C416" s="85">
        <f t="shared" si="12"/>
        <v>45744</v>
      </c>
      <c r="D416" s="84" t="s">
        <v>850</v>
      </c>
      <c r="E416" s="84" t="s">
        <v>332</v>
      </c>
      <c r="F416" s="84" t="s">
        <v>306</v>
      </c>
      <c r="G416" s="84" t="s">
        <v>306</v>
      </c>
      <c r="H416" s="84" t="s">
        <v>395</v>
      </c>
      <c r="I416" s="84" t="s">
        <v>396</v>
      </c>
      <c r="J416" s="86">
        <v>1637.32</v>
      </c>
      <c r="K416" s="86">
        <v>0</v>
      </c>
      <c r="L416" s="84" t="s">
        <v>335</v>
      </c>
      <c r="M416" s="84" t="s">
        <v>361</v>
      </c>
    </row>
    <row r="417" spans="1:13" x14ac:dyDescent="0.25">
      <c r="A417" s="83">
        <v>641587</v>
      </c>
      <c r="B417" s="84" t="s">
        <v>303</v>
      </c>
      <c r="C417" s="85">
        <f t="shared" si="12"/>
        <v>45744</v>
      </c>
      <c r="D417" s="84" t="s">
        <v>850</v>
      </c>
      <c r="E417" s="84" t="s">
        <v>332</v>
      </c>
      <c r="F417" s="84" t="s">
        <v>306</v>
      </c>
      <c r="G417" s="84" t="s">
        <v>306</v>
      </c>
      <c r="H417" s="84" t="s">
        <v>397</v>
      </c>
      <c r="I417" s="84" t="s">
        <v>396</v>
      </c>
      <c r="J417" s="86">
        <v>8380.94</v>
      </c>
      <c r="K417" s="86">
        <v>0</v>
      </c>
      <c r="L417" s="84" t="s">
        <v>335</v>
      </c>
      <c r="M417" s="84" t="s">
        <v>398</v>
      </c>
    </row>
    <row r="418" spans="1:13" x14ac:dyDescent="0.25">
      <c r="A418" s="83">
        <v>641587</v>
      </c>
      <c r="B418" s="84" t="s">
        <v>303</v>
      </c>
      <c r="C418" s="85">
        <f t="shared" si="12"/>
        <v>45744</v>
      </c>
      <c r="D418" s="84" t="s">
        <v>850</v>
      </c>
      <c r="E418" s="84" t="s">
        <v>399</v>
      </c>
      <c r="F418" s="84" t="s">
        <v>306</v>
      </c>
      <c r="G418" s="84" t="s">
        <v>306</v>
      </c>
      <c r="H418" s="84" t="s">
        <v>400</v>
      </c>
      <c r="I418" s="84" t="s">
        <v>396</v>
      </c>
      <c r="J418" s="86">
        <v>3854.31</v>
      </c>
      <c r="K418" s="86">
        <v>0</v>
      </c>
      <c r="L418" s="84" t="s">
        <v>335</v>
      </c>
      <c r="M418" s="84" t="s">
        <v>401</v>
      </c>
    </row>
    <row r="419" spans="1:13" x14ac:dyDescent="0.25">
      <c r="A419" s="83">
        <v>641587</v>
      </c>
      <c r="B419" s="84" t="s">
        <v>303</v>
      </c>
      <c r="C419" s="85">
        <f t="shared" si="12"/>
        <v>45744</v>
      </c>
      <c r="D419" s="84" t="s">
        <v>850</v>
      </c>
      <c r="E419" s="84" t="s">
        <v>402</v>
      </c>
      <c r="F419" s="84" t="s">
        <v>306</v>
      </c>
      <c r="G419" s="84" t="s">
        <v>306</v>
      </c>
      <c r="H419" s="84" t="s">
        <v>403</v>
      </c>
      <c r="I419" s="84" t="s">
        <v>404</v>
      </c>
      <c r="J419" s="86">
        <v>1840</v>
      </c>
      <c r="K419" s="86">
        <v>0</v>
      </c>
      <c r="L419" s="84" t="s">
        <v>365</v>
      </c>
      <c r="M419" s="84" t="s">
        <v>336</v>
      </c>
    </row>
    <row r="420" spans="1:13" x14ac:dyDescent="0.25">
      <c r="A420" s="83">
        <v>641587</v>
      </c>
      <c r="B420" s="84" t="s">
        <v>303</v>
      </c>
      <c r="C420" s="85">
        <f t="shared" si="12"/>
        <v>45744</v>
      </c>
      <c r="D420" s="84" t="s">
        <v>850</v>
      </c>
      <c r="E420" s="84" t="s">
        <v>405</v>
      </c>
      <c r="F420" s="84" t="s">
        <v>306</v>
      </c>
      <c r="G420" s="84" t="s">
        <v>306</v>
      </c>
      <c r="H420" s="84" t="s">
        <v>406</v>
      </c>
      <c r="I420" s="84" t="s">
        <v>404</v>
      </c>
      <c r="J420" s="86">
        <v>10850.52</v>
      </c>
      <c r="K420" s="86">
        <v>0</v>
      </c>
      <c r="L420" s="84" t="s">
        <v>365</v>
      </c>
      <c r="M420" s="84" t="s">
        <v>394</v>
      </c>
    </row>
    <row r="421" spans="1:13" x14ac:dyDescent="0.25">
      <c r="A421" s="83">
        <v>641587</v>
      </c>
      <c r="B421" s="84" t="s">
        <v>303</v>
      </c>
      <c r="C421" s="85">
        <f t="shared" si="12"/>
        <v>45744</v>
      </c>
      <c r="D421" s="84" t="s">
        <v>850</v>
      </c>
      <c r="E421" s="84" t="s">
        <v>708</v>
      </c>
      <c r="F421" s="84" t="s">
        <v>306</v>
      </c>
      <c r="G421" s="84" t="s">
        <v>306</v>
      </c>
      <c r="H421" s="84" t="s">
        <v>709</v>
      </c>
      <c r="I421" s="84" t="s">
        <v>710</v>
      </c>
      <c r="J421" s="86">
        <v>781.6</v>
      </c>
      <c r="K421" s="86">
        <v>0</v>
      </c>
      <c r="L421" s="84" t="s">
        <v>711</v>
      </c>
      <c r="M421" s="84" t="s">
        <v>348</v>
      </c>
    </row>
    <row r="422" spans="1:13" x14ac:dyDescent="0.25">
      <c r="A422" s="83">
        <v>641587</v>
      </c>
      <c r="B422" s="84" t="s">
        <v>303</v>
      </c>
      <c r="C422" s="85">
        <f t="shared" si="12"/>
        <v>45744</v>
      </c>
      <c r="D422" s="84" t="s">
        <v>850</v>
      </c>
      <c r="E422" s="84" t="s">
        <v>851</v>
      </c>
      <c r="F422" s="84" t="s">
        <v>306</v>
      </c>
      <c r="G422" s="84" t="s">
        <v>306</v>
      </c>
      <c r="H422" s="84" t="s">
        <v>852</v>
      </c>
      <c r="I422" s="84" t="s">
        <v>710</v>
      </c>
      <c r="J422" s="86">
        <v>288.47000000000003</v>
      </c>
      <c r="K422" s="86">
        <v>0</v>
      </c>
      <c r="L422" s="84" t="s">
        <v>711</v>
      </c>
      <c r="M422" s="84" t="s">
        <v>344</v>
      </c>
    </row>
    <row r="423" spans="1:13" x14ac:dyDescent="0.25">
      <c r="A423" s="83">
        <v>641587</v>
      </c>
      <c r="B423" s="84" t="s">
        <v>303</v>
      </c>
      <c r="C423" s="85">
        <f t="shared" si="12"/>
        <v>45744</v>
      </c>
      <c r="D423" s="84" t="s">
        <v>850</v>
      </c>
      <c r="E423" s="84" t="s">
        <v>853</v>
      </c>
      <c r="F423" s="84" t="s">
        <v>306</v>
      </c>
      <c r="G423" s="84" t="s">
        <v>306</v>
      </c>
      <c r="H423" s="84" t="s">
        <v>854</v>
      </c>
      <c r="I423" s="84" t="s">
        <v>710</v>
      </c>
      <c r="J423" s="86">
        <v>980.77</v>
      </c>
      <c r="K423" s="86">
        <v>0</v>
      </c>
      <c r="L423" s="84" t="s">
        <v>711</v>
      </c>
      <c r="M423" s="84" t="s">
        <v>327</v>
      </c>
    </row>
    <row r="424" spans="1:13" x14ac:dyDescent="0.25">
      <c r="A424" s="83">
        <v>641587</v>
      </c>
      <c r="B424" s="84" t="s">
        <v>303</v>
      </c>
      <c r="C424" s="85">
        <f t="shared" si="12"/>
        <v>45744</v>
      </c>
      <c r="D424" s="84" t="s">
        <v>850</v>
      </c>
      <c r="E424" s="84" t="s">
        <v>855</v>
      </c>
      <c r="F424" s="84" t="s">
        <v>306</v>
      </c>
      <c r="G424" s="84" t="s">
        <v>306</v>
      </c>
      <c r="H424" s="84" t="s">
        <v>856</v>
      </c>
      <c r="I424" s="84" t="s">
        <v>710</v>
      </c>
      <c r="J424" s="86">
        <v>108</v>
      </c>
      <c r="K424" s="86">
        <v>0</v>
      </c>
      <c r="L424" s="84" t="s">
        <v>711</v>
      </c>
      <c r="M424" s="84" t="s">
        <v>356</v>
      </c>
    </row>
    <row r="425" spans="1:13" x14ac:dyDescent="0.25">
      <c r="A425" s="83">
        <v>641587</v>
      </c>
      <c r="B425" s="84" t="s">
        <v>303</v>
      </c>
      <c r="C425" s="85">
        <f t="shared" si="12"/>
        <v>45744</v>
      </c>
      <c r="D425" s="84" t="s">
        <v>850</v>
      </c>
      <c r="E425" s="84" t="s">
        <v>714</v>
      </c>
      <c r="F425" s="84" t="s">
        <v>306</v>
      </c>
      <c r="G425" s="84" t="s">
        <v>306</v>
      </c>
      <c r="H425" s="84" t="s">
        <v>715</v>
      </c>
      <c r="I425" s="84" t="s">
        <v>710</v>
      </c>
      <c r="J425" s="86">
        <v>242.31</v>
      </c>
      <c r="K425" s="86">
        <v>0</v>
      </c>
      <c r="L425" s="84" t="s">
        <v>711</v>
      </c>
      <c r="M425" s="84" t="s">
        <v>352</v>
      </c>
    </row>
    <row r="426" spans="1:13" x14ac:dyDescent="0.25">
      <c r="A426" s="83">
        <v>641587</v>
      </c>
      <c r="B426" s="84" t="s">
        <v>303</v>
      </c>
      <c r="C426" s="85">
        <f t="shared" si="12"/>
        <v>45744</v>
      </c>
      <c r="D426" s="84" t="s">
        <v>850</v>
      </c>
      <c r="E426" s="84" t="s">
        <v>857</v>
      </c>
      <c r="F426" s="84" t="s">
        <v>306</v>
      </c>
      <c r="G426" s="84" t="s">
        <v>306</v>
      </c>
      <c r="H426" s="84" t="s">
        <v>858</v>
      </c>
      <c r="I426" s="84" t="s">
        <v>718</v>
      </c>
      <c r="J426" s="86">
        <v>412.73</v>
      </c>
      <c r="K426" s="86">
        <v>0</v>
      </c>
      <c r="L426" s="84" t="s">
        <v>719</v>
      </c>
      <c r="M426" s="84" t="s">
        <v>336</v>
      </c>
    </row>
    <row r="427" spans="1:13" x14ac:dyDescent="0.25">
      <c r="A427" s="83">
        <v>641587</v>
      </c>
      <c r="B427" s="84" t="s">
        <v>303</v>
      </c>
      <c r="C427" s="85">
        <f t="shared" si="12"/>
        <v>45744</v>
      </c>
      <c r="D427" s="84" t="s">
        <v>850</v>
      </c>
      <c r="E427" s="84" t="s">
        <v>720</v>
      </c>
      <c r="F427" s="84" t="s">
        <v>306</v>
      </c>
      <c r="G427" s="84" t="s">
        <v>306</v>
      </c>
      <c r="H427" s="84" t="s">
        <v>721</v>
      </c>
      <c r="I427" s="84" t="s">
        <v>722</v>
      </c>
      <c r="J427" s="86">
        <v>330.49</v>
      </c>
      <c r="K427" s="86">
        <v>0</v>
      </c>
      <c r="L427" s="84" t="s">
        <v>723</v>
      </c>
      <c r="M427" s="84" t="s">
        <v>361</v>
      </c>
    </row>
    <row r="428" spans="1:13" x14ac:dyDescent="0.25">
      <c r="A428" s="83">
        <v>641587</v>
      </c>
      <c r="B428" s="84" t="s">
        <v>303</v>
      </c>
      <c r="C428" s="85">
        <f t="shared" si="12"/>
        <v>45744</v>
      </c>
      <c r="D428" s="84" t="s">
        <v>850</v>
      </c>
      <c r="E428" s="84" t="s">
        <v>859</v>
      </c>
      <c r="F428" s="84" t="s">
        <v>306</v>
      </c>
      <c r="G428" s="84" t="s">
        <v>306</v>
      </c>
      <c r="H428" s="84" t="s">
        <v>860</v>
      </c>
      <c r="I428" s="84" t="s">
        <v>728</v>
      </c>
      <c r="J428" s="86">
        <v>246</v>
      </c>
      <c r="K428" s="86">
        <v>0</v>
      </c>
      <c r="L428" s="84" t="s">
        <v>729</v>
      </c>
      <c r="M428" s="84" t="s">
        <v>348</v>
      </c>
    </row>
    <row r="429" spans="1:13" x14ac:dyDescent="0.25">
      <c r="A429" s="83">
        <v>641587</v>
      </c>
      <c r="B429" s="84" t="s">
        <v>303</v>
      </c>
      <c r="C429" s="85">
        <f t="shared" si="12"/>
        <v>45744</v>
      </c>
      <c r="D429" s="84" t="s">
        <v>850</v>
      </c>
      <c r="E429" s="84" t="s">
        <v>726</v>
      </c>
      <c r="F429" s="84" t="s">
        <v>306</v>
      </c>
      <c r="G429" s="84" t="s">
        <v>306</v>
      </c>
      <c r="H429" s="84" t="s">
        <v>727</v>
      </c>
      <c r="I429" s="84" t="s">
        <v>728</v>
      </c>
      <c r="J429" s="86">
        <v>154.63999999999999</v>
      </c>
      <c r="K429" s="86">
        <v>0</v>
      </c>
      <c r="L429" s="84" t="s">
        <v>729</v>
      </c>
      <c r="M429" s="84" t="s">
        <v>336</v>
      </c>
    </row>
    <row r="430" spans="1:13" x14ac:dyDescent="0.25">
      <c r="A430" s="83">
        <v>641587</v>
      </c>
      <c r="B430" s="84" t="s">
        <v>303</v>
      </c>
      <c r="C430" s="85">
        <f t="shared" si="12"/>
        <v>45744</v>
      </c>
      <c r="D430" s="84" t="s">
        <v>850</v>
      </c>
      <c r="E430" s="84" t="s">
        <v>861</v>
      </c>
      <c r="F430" s="84" t="s">
        <v>306</v>
      </c>
      <c r="G430" s="84" t="s">
        <v>306</v>
      </c>
      <c r="H430" s="84" t="s">
        <v>862</v>
      </c>
      <c r="I430" s="84" t="s">
        <v>728</v>
      </c>
      <c r="J430" s="86">
        <v>240.39</v>
      </c>
      <c r="K430" s="86">
        <v>0</v>
      </c>
      <c r="L430" s="84" t="s">
        <v>729</v>
      </c>
      <c r="M430" s="84" t="s">
        <v>386</v>
      </c>
    </row>
    <row r="431" spans="1:13" x14ac:dyDescent="0.25">
      <c r="A431" s="83">
        <v>641587</v>
      </c>
      <c r="B431" s="84" t="s">
        <v>303</v>
      </c>
      <c r="C431" s="85">
        <f t="shared" si="12"/>
        <v>45744</v>
      </c>
      <c r="D431" s="84" t="s">
        <v>850</v>
      </c>
      <c r="E431" s="84" t="s">
        <v>732</v>
      </c>
      <c r="F431" s="84" t="s">
        <v>306</v>
      </c>
      <c r="G431" s="84" t="s">
        <v>306</v>
      </c>
      <c r="H431" s="84" t="s">
        <v>733</v>
      </c>
      <c r="I431" s="84" t="s">
        <v>728</v>
      </c>
      <c r="J431" s="86">
        <v>36</v>
      </c>
      <c r="K431" s="86">
        <v>0</v>
      </c>
      <c r="L431" s="84" t="s">
        <v>729</v>
      </c>
      <c r="M431" s="84" t="s">
        <v>356</v>
      </c>
    </row>
    <row r="432" spans="1:13" x14ac:dyDescent="0.25">
      <c r="A432" s="83">
        <v>641587</v>
      </c>
      <c r="B432" s="84" t="s">
        <v>303</v>
      </c>
      <c r="C432" s="85">
        <f t="shared" si="12"/>
        <v>45744</v>
      </c>
      <c r="D432" s="84" t="s">
        <v>850</v>
      </c>
      <c r="E432" s="84" t="s">
        <v>863</v>
      </c>
      <c r="F432" s="84" t="s">
        <v>306</v>
      </c>
      <c r="G432" s="84" t="s">
        <v>306</v>
      </c>
      <c r="H432" s="84" t="s">
        <v>864</v>
      </c>
      <c r="I432" s="84" t="s">
        <v>742</v>
      </c>
      <c r="J432" s="86">
        <v>211.52</v>
      </c>
      <c r="K432" s="86">
        <v>0</v>
      </c>
      <c r="L432" s="84" t="s">
        <v>743</v>
      </c>
      <c r="M432" s="84" t="s">
        <v>401</v>
      </c>
    </row>
    <row r="433" spans="1:13" x14ac:dyDescent="0.25">
      <c r="A433" s="83">
        <v>641587</v>
      </c>
      <c r="B433" s="84" t="s">
        <v>303</v>
      </c>
      <c r="C433" s="85">
        <f t="shared" si="12"/>
        <v>45744</v>
      </c>
      <c r="D433" s="84" t="s">
        <v>850</v>
      </c>
      <c r="E433" s="84" t="s">
        <v>744</v>
      </c>
      <c r="F433" s="84" t="s">
        <v>306</v>
      </c>
      <c r="G433" s="84" t="s">
        <v>306</v>
      </c>
      <c r="H433" s="84" t="s">
        <v>745</v>
      </c>
      <c r="I433" s="84" t="s">
        <v>746</v>
      </c>
      <c r="J433" s="86">
        <v>57.79</v>
      </c>
      <c r="K433" s="86">
        <v>0</v>
      </c>
      <c r="L433" s="84" t="s">
        <v>747</v>
      </c>
      <c r="M433" s="84" t="s">
        <v>361</v>
      </c>
    </row>
    <row r="434" spans="1:13" x14ac:dyDescent="0.25">
      <c r="A434" s="83">
        <v>641587</v>
      </c>
      <c r="B434" s="84" t="s">
        <v>303</v>
      </c>
      <c r="C434" s="85">
        <f t="shared" si="12"/>
        <v>45744</v>
      </c>
      <c r="D434" s="84" t="s">
        <v>850</v>
      </c>
      <c r="E434" s="84" t="s">
        <v>752</v>
      </c>
      <c r="F434" s="84" t="s">
        <v>306</v>
      </c>
      <c r="G434" s="84" t="s">
        <v>306</v>
      </c>
      <c r="H434" s="84" t="s">
        <v>753</v>
      </c>
      <c r="I434" s="84" t="s">
        <v>754</v>
      </c>
      <c r="J434" s="86">
        <v>351</v>
      </c>
      <c r="K434" s="86">
        <v>0</v>
      </c>
      <c r="L434" s="84" t="s">
        <v>755</v>
      </c>
      <c r="M434" s="84" t="s">
        <v>361</v>
      </c>
    </row>
    <row r="435" spans="1:13" x14ac:dyDescent="0.25">
      <c r="A435" s="83">
        <v>641587</v>
      </c>
      <c r="B435" s="84" t="s">
        <v>303</v>
      </c>
      <c r="C435" s="85">
        <f t="shared" si="12"/>
        <v>45744</v>
      </c>
      <c r="D435" s="84" t="s">
        <v>850</v>
      </c>
      <c r="E435" s="84" t="s">
        <v>865</v>
      </c>
      <c r="F435" s="84" t="s">
        <v>306</v>
      </c>
      <c r="G435" s="84" t="s">
        <v>306</v>
      </c>
      <c r="H435" s="84" t="s">
        <v>866</v>
      </c>
      <c r="I435" s="84" t="s">
        <v>754</v>
      </c>
      <c r="J435" s="86">
        <v>1238.19</v>
      </c>
      <c r="K435" s="86">
        <v>0</v>
      </c>
      <c r="L435" s="84" t="s">
        <v>755</v>
      </c>
      <c r="M435" s="84" t="s">
        <v>336</v>
      </c>
    </row>
    <row r="436" spans="1:13" x14ac:dyDescent="0.25">
      <c r="A436" s="83">
        <v>641587</v>
      </c>
      <c r="B436" s="84" t="s">
        <v>303</v>
      </c>
      <c r="C436" s="85">
        <f t="shared" si="12"/>
        <v>45744</v>
      </c>
      <c r="D436" s="84" t="s">
        <v>850</v>
      </c>
      <c r="E436" s="84" t="s">
        <v>407</v>
      </c>
      <c r="F436" s="84" t="s">
        <v>306</v>
      </c>
      <c r="G436" s="84" t="s">
        <v>306</v>
      </c>
      <c r="H436" s="84" t="s">
        <v>408</v>
      </c>
      <c r="I436" s="84" t="s">
        <v>409</v>
      </c>
      <c r="J436" s="86">
        <v>540</v>
      </c>
      <c r="K436" s="86">
        <v>0</v>
      </c>
      <c r="L436" s="84" t="s">
        <v>410</v>
      </c>
      <c r="M436" s="84" t="s">
        <v>361</v>
      </c>
    </row>
    <row r="437" spans="1:13" x14ac:dyDescent="0.25">
      <c r="A437" s="83">
        <v>641587</v>
      </c>
      <c r="B437" s="84" t="s">
        <v>303</v>
      </c>
      <c r="C437" s="85">
        <f t="shared" si="12"/>
        <v>45744</v>
      </c>
      <c r="D437" s="84" t="s">
        <v>850</v>
      </c>
      <c r="E437" s="84" t="s">
        <v>848</v>
      </c>
      <c r="F437" s="84" t="s">
        <v>306</v>
      </c>
      <c r="G437" s="84" t="s">
        <v>306</v>
      </c>
      <c r="H437" s="84" t="s">
        <v>849</v>
      </c>
      <c r="I437" s="84" t="s">
        <v>409</v>
      </c>
      <c r="J437" s="86">
        <v>75</v>
      </c>
      <c r="K437" s="86">
        <v>0</v>
      </c>
      <c r="L437" s="84" t="s">
        <v>410</v>
      </c>
      <c r="M437" s="84" t="s">
        <v>336</v>
      </c>
    </row>
    <row r="438" spans="1:13" x14ac:dyDescent="0.25">
      <c r="A438" s="83">
        <v>641587</v>
      </c>
      <c r="B438" s="84" t="s">
        <v>303</v>
      </c>
      <c r="C438" s="85">
        <f t="shared" si="12"/>
        <v>45744</v>
      </c>
      <c r="D438" s="84" t="s">
        <v>850</v>
      </c>
      <c r="E438" s="84" t="s">
        <v>413</v>
      </c>
      <c r="F438" s="84" t="s">
        <v>306</v>
      </c>
      <c r="G438" s="84" t="s">
        <v>306</v>
      </c>
      <c r="H438" s="84" t="s">
        <v>414</v>
      </c>
      <c r="I438" s="84" t="s">
        <v>313</v>
      </c>
      <c r="J438" s="86">
        <v>2337.59</v>
      </c>
      <c r="K438" s="86">
        <v>0</v>
      </c>
      <c r="L438" s="84" t="s">
        <v>314</v>
      </c>
      <c r="M438" s="84" t="s">
        <v>361</v>
      </c>
    </row>
    <row r="439" spans="1:13" x14ac:dyDescent="0.25">
      <c r="A439" s="83">
        <v>641587</v>
      </c>
      <c r="B439" s="84" t="s">
        <v>303</v>
      </c>
      <c r="C439" s="85">
        <f t="shared" si="12"/>
        <v>45744</v>
      </c>
      <c r="D439" s="84" t="s">
        <v>850</v>
      </c>
      <c r="E439" s="84" t="s">
        <v>415</v>
      </c>
      <c r="F439" s="84" t="s">
        <v>306</v>
      </c>
      <c r="G439" s="84" t="s">
        <v>306</v>
      </c>
      <c r="H439" s="84" t="s">
        <v>416</v>
      </c>
      <c r="I439" s="84" t="s">
        <v>313</v>
      </c>
      <c r="J439" s="86">
        <v>485.48</v>
      </c>
      <c r="K439" s="86">
        <v>0</v>
      </c>
      <c r="L439" s="84" t="s">
        <v>314</v>
      </c>
      <c r="M439" s="84" t="s">
        <v>348</v>
      </c>
    </row>
    <row r="440" spans="1:13" x14ac:dyDescent="0.25">
      <c r="A440" s="83">
        <v>641587</v>
      </c>
      <c r="B440" s="84" t="s">
        <v>303</v>
      </c>
      <c r="C440" s="85">
        <f t="shared" si="12"/>
        <v>45744</v>
      </c>
      <c r="D440" s="84" t="s">
        <v>850</v>
      </c>
      <c r="E440" s="84" t="s">
        <v>417</v>
      </c>
      <c r="F440" s="84" t="s">
        <v>306</v>
      </c>
      <c r="G440" s="84" t="s">
        <v>306</v>
      </c>
      <c r="H440" s="84" t="s">
        <v>418</v>
      </c>
      <c r="I440" s="84" t="s">
        <v>313</v>
      </c>
      <c r="J440" s="86">
        <v>505.42</v>
      </c>
      <c r="K440" s="86">
        <v>0</v>
      </c>
      <c r="L440" s="84" t="s">
        <v>314</v>
      </c>
      <c r="M440" s="84" t="s">
        <v>398</v>
      </c>
    </row>
    <row r="441" spans="1:13" x14ac:dyDescent="0.25">
      <c r="A441" s="83">
        <v>641587</v>
      </c>
      <c r="B441" s="84" t="s">
        <v>303</v>
      </c>
      <c r="C441" s="85">
        <f t="shared" si="12"/>
        <v>45744</v>
      </c>
      <c r="D441" s="84" t="s">
        <v>850</v>
      </c>
      <c r="E441" s="84" t="s">
        <v>419</v>
      </c>
      <c r="F441" s="84" t="s">
        <v>306</v>
      </c>
      <c r="G441" s="84" t="s">
        <v>306</v>
      </c>
      <c r="H441" s="84" t="s">
        <v>420</v>
      </c>
      <c r="I441" s="84" t="s">
        <v>313</v>
      </c>
      <c r="J441" s="86">
        <v>168.22</v>
      </c>
      <c r="K441" s="86">
        <v>0</v>
      </c>
      <c r="L441" s="84" t="s">
        <v>314</v>
      </c>
      <c r="M441" s="84" t="s">
        <v>369</v>
      </c>
    </row>
    <row r="442" spans="1:13" x14ac:dyDescent="0.25">
      <c r="A442" s="83">
        <v>641587</v>
      </c>
      <c r="B442" s="84" t="s">
        <v>303</v>
      </c>
      <c r="C442" s="85">
        <f t="shared" si="12"/>
        <v>45744</v>
      </c>
      <c r="D442" s="84" t="s">
        <v>850</v>
      </c>
      <c r="E442" s="84" t="s">
        <v>421</v>
      </c>
      <c r="F442" s="84" t="s">
        <v>306</v>
      </c>
      <c r="G442" s="84" t="s">
        <v>306</v>
      </c>
      <c r="H442" s="84" t="s">
        <v>422</v>
      </c>
      <c r="I442" s="84" t="s">
        <v>313</v>
      </c>
      <c r="J442" s="86">
        <v>168.06</v>
      </c>
      <c r="K442" s="86">
        <v>0</v>
      </c>
      <c r="L442" s="84" t="s">
        <v>314</v>
      </c>
      <c r="M442" s="84" t="s">
        <v>331</v>
      </c>
    </row>
    <row r="443" spans="1:13" x14ac:dyDescent="0.25">
      <c r="A443" s="83">
        <v>641587</v>
      </c>
      <c r="B443" s="84" t="s">
        <v>303</v>
      </c>
      <c r="C443" s="85">
        <f t="shared" si="12"/>
        <v>45744</v>
      </c>
      <c r="D443" s="84" t="s">
        <v>850</v>
      </c>
      <c r="E443" s="84" t="s">
        <v>423</v>
      </c>
      <c r="F443" s="84" t="s">
        <v>306</v>
      </c>
      <c r="G443" s="84" t="s">
        <v>306</v>
      </c>
      <c r="H443" s="84" t="s">
        <v>424</v>
      </c>
      <c r="I443" s="84" t="s">
        <v>313</v>
      </c>
      <c r="J443" s="86">
        <v>169.73</v>
      </c>
      <c r="K443" s="86">
        <v>0</v>
      </c>
      <c r="L443" s="84" t="s">
        <v>314</v>
      </c>
      <c r="M443" s="84" t="s">
        <v>344</v>
      </c>
    </row>
    <row r="444" spans="1:13" x14ac:dyDescent="0.25">
      <c r="A444" s="83">
        <v>641587</v>
      </c>
      <c r="B444" s="84" t="s">
        <v>303</v>
      </c>
      <c r="C444" s="85">
        <f t="shared" si="12"/>
        <v>45744</v>
      </c>
      <c r="D444" s="84" t="s">
        <v>850</v>
      </c>
      <c r="E444" s="84" t="s">
        <v>425</v>
      </c>
      <c r="F444" s="84" t="s">
        <v>306</v>
      </c>
      <c r="G444" s="84" t="s">
        <v>306</v>
      </c>
      <c r="H444" s="84" t="s">
        <v>426</v>
      </c>
      <c r="I444" s="84" t="s">
        <v>313</v>
      </c>
      <c r="J444" s="86">
        <v>85.78</v>
      </c>
      <c r="K444" s="86">
        <v>0</v>
      </c>
      <c r="L444" s="84" t="s">
        <v>314</v>
      </c>
      <c r="M444" s="84" t="s">
        <v>340</v>
      </c>
    </row>
    <row r="445" spans="1:13" x14ac:dyDescent="0.25">
      <c r="A445" s="83">
        <v>641587</v>
      </c>
      <c r="B445" s="84" t="s">
        <v>303</v>
      </c>
      <c r="C445" s="85">
        <f t="shared" si="12"/>
        <v>45744</v>
      </c>
      <c r="D445" s="84" t="s">
        <v>850</v>
      </c>
      <c r="E445" s="84" t="s">
        <v>427</v>
      </c>
      <c r="F445" s="84" t="s">
        <v>306</v>
      </c>
      <c r="G445" s="84" t="s">
        <v>306</v>
      </c>
      <c r="H445" s="84" t="s">
        <v>428</v>
      </c>
      <c r="I445" s="84" t="s">
        <v>313</v>
      </c>
      <c r="J445" s="86">
        <v>840.77</v>
      </c>
      <c r="K445" s="86">
        <v>0</v>
      </c>
      <c r="L445" s="84" t="s">
        <v>314</v>
      </c>
      <c r="M445" s="84" t="s">
        <v>327</v>
      </c>
    </row>
    <row r="446" spans="1:13" x14ac:dyDescent="0.25">
      <c r="A446" s="83">
        <v>641587</v>
      </c>
      <c r="B446" s="84" t="s">
        <v>303</v>
      </c>
      <c r="C446" s="85">
        <f t="shared" si="12"/>
        <v>45744</v>
      </c>
      <c r="D446" s="84" t="s">
        <v>850</v>
      </c>
      <c r="E446" s="84" t="s">
        <v>429</v>
      </c>
      <c r="F446" s="84" t="s">
        <v>306</v>
      </c>
      <c r="G446" s="84" t="s">
        <v>306</v>
      </c>
      <c r="H446" s="84" t="s">
        <v>430</v>
      </c>
      <c r="I446" s="84" t="s">
        <v>313</v>
      </c>
      <c r="J446" s="86">
        <v>83.24</v>
      </c>
      <c r="K446" s="86">
        <v>0</v>
      </c>
      <c r="L446" s="84" t="s">
        <v>314</v>
      </c>
      <c r="M446" s="84" t="s">
        <v>356</v>
      </c>
    </row>
    <row r="447" spans="1:13" x14ac:dyDescent="0.25">
      <c r="A447" s="83">
        <v>641587</v>
      </c>
      <c r="B447" s="84" t="s">
        <v>303</v>
      </c>
      <c r="C447" s="85">
        <f t="shared" si="12"/>
        <v>45744</v>
      </c>
      <c r="D447" s="84" t="s">
        <v>850</v>
      </c>
      <c r="E447" s="84" t="s">
        <v>431</v>
      </c>
      <c r="F447" s="84" t="s">
        <v>306</v>
      </c>
      <c r="G447" s="84" t="s">
        <v>306</v>
      </c>
      <c r="H447" s="84" t="s">
        <v>432</v>
      </c>
      <c r="I447" s="84" t="s">
        <v>313</v>
      </c>
      <c r="J447" s="86">
        <v>204.58</v>
      </c>
      <c r="K447" s="86">
        <v>0</v>
      </c>
      <c r="L447" s="84" t="s">
        <v>314</v>
      </c>
      <c r="M447" s="84" t="s">
        <v>352</v>
      </c>
    </row>
    <row r="448" spans="1:13" x14ac:dyDescent="0.25">
      <c r="A448" s="83">
        <v>641587</v>
      </c>
      <c r="B448" s="84" t="s">
        <v>303</v>
      </c>
      <c r="C448" s="85">
        <f t="shared" si="12"/>
        <v>45744</v>
      </c>
      <c r="D448" s="84" t="s">
        <v>850</v>
      </c>
      <c r="E448" s="84" t="s">
        <v>433</v>
      </c>
      <c r="F448" s="84" t="s">
        <v>306</v>
      </c>
      <c r="G448" s="84" t="s">
        <v>306</v>
      </c>
      <c r="H448" s="84" t="s">
        <v>434</v>
      </c>
      <c r="I448" s="84" t="s">
        <v>317</v>
      </c>
      <c r="J448" s="86">
        <v>546.71</v>
      </c>
      <c r="K448" s="86">
        <v>0</v>
      </c>
      <c r="L448" s="84" t="s">
        <v>318</v>
      </c>
      <c r="M448" s="84" t="s">
        <v>361</v>
      </c>
    </row>
    <row r="449" spans="1:13" x14ac:dyDescent="0.25">
      <c r="A449" s="83">
        <v>641587</v>
      </c>
      <c r="B449" s="84" t="s">
        <v>303</v>
      </c>
      <c r="C449" s="85">
        <f t="shared" si="12"/>
        <v>45744</v>
      </c>
      <c r="D449" s="84" t="s">
        <v>850</v>
      </c>
      <c r="E449" s="84" t="s">
        <v>435</v>
      </c>
      <c r="F449" s="84" t="s">
        <v>306</v>
      </c>
      <c r="G449" s="84" t="s">
        <v>306</v>
      </c>
      <c r="H449" s="84" t="s">
        <v>436</v>
      </c>
      <c r="I449" s="84" t="s">
        <v>317</v>
      </c>
      <c r="J449" s="86">
        <v>113.55</v>
      </c>
      <c r="K449" s="86">
        <v>0</v>
      </c>
      <c r="L449" s="84" t="s">
        <v>318</v>
      </c>
      <c r="M449" s="84" t="s">
        <v>348</v>
      </c>
    </row>
    <row r="450" spans="1:13" x14ac:dyDescent="0.25">
      <c r="A450" s="83">
        <v>641587</v>
      </c>
      <c r="B450" s="84" t="s">
        <v>303</v>
      </c>
      <c r="C450" s="85">
        <f t="shared" si="12"/>
        <v>45744</v>
      </c>
      <c r="D450" s="84" t="s">
        <v>850</v>
      </c>
      <c r="E450" s="84" t="s">
        <v>437</v>
      </c>
      <c r="F450" s="84" t="s">
        <v>306</v>
      </c>
      <c r="G450" s="84" t="s">
        <v>306</v>
      </c>
      <c r="H450" s="84" t="s">
        <v>438</v>
      </c>
      <c r="I450" s="84" t="s">
        <v>317</v>
      </c>
      <c r="J450" s="86">
        <v>118.19</v>
      </c>
      <c r="K450" s="86">
        <v>0</v>
      </c>
      <c r="L450" s="84" t="s">
        <v>318</v>
      </c>
      <c r="M450" s="84" t="s">
        <v>398</v>
      </c>
    </row>
    <row r="451" spans="1:13" x14ac:dyDescent="0.25">
      <c r="A451" s="83">
        <v>641587</v>
      </c>
      <c r="B451" s="84" t="s">
        <v>303</v>
      </c>
      <c r="C451" s="85">
        <f t="shared" si="12"/>
        <v>45744</v>
      </c>
      <c r="D451" s="84" t="s">
        <v>850</v>
      </c>
      <c r="E451" s="84" t="s">
        <v>439</v>
      </c>
      <c r="F451" s="84" t="s">
        <v>306</v>
      </c>
      <c r="G451" s="84" t="s">
        <v>306</v>
      </c>
      <c r="H451" s="84" t="s">
        <v>440</v>
      </c>
      <c r="I451" s="84" t="s">
        <v>317</v>
      </c>
      <c r="J451" s="86">
        <v>39.340000000000003</v>
      </c>
      <c r="K451" s="86">
        <v>0</v>
      </c>
      <c r="L451" s="84" t="s">
        <v>318</v>
      </c>
      <c r="M451" s="84" t="s">
        <v>369</v>
      </c>
    </row>
    <row r="452" spans="1:13" x14ac:dyDescent="0.25">
      <c r="A452" s="83">
        <v>641587</v>
      </c>
      <c r="B452" s="84" t="s">
        <v>303</v>
      </c>
      <c r="C452" s="85">
        <f t="shared" si="12"/>
        <v>45744</v>
      </c>
      <c r="D452" s="84" t="s">
        <v>850</v>
      </c>
      <c r="E452" s="84" t="s">
        <v>441</v>
      </c>
      <c r="F452" s="84" t="s">
        <v>306</v>
      </c>
      <c r="G452" s="84" t="s">
        <v>306</v>
      </c>
      <c r="H452" s="84" t="s">
        <v>442</v>
      </c>
      <c r="I452" s="84" t="s">
        <v>317</v>
      </c>
      <c r="J452" s="86">
        <v>39.31</v>
      </c>
      <c r="K452" s="86">
        <v>0</v>
      </c>
      <c r="L452" s="84" t="s">
        <v>318</v>
      </c>
      <c r="M452" s="84" t="s">
        <v>331</v>
      </c>
    </row>
    <row r="453" spans="1:13" x14ac:dyDescent="0.25">
      <c r="A453" s="83">
        <v>641587</v>
      </c>
      <c r="B453" s="84" t="s">
        <v>303</v>
      </c>
      <c r="C453" s="85">
        <f t="shared" si="12"/>
        <v>45744</v>
      </c>
      <c r="D453" s="84" t="s">
        <v>850</v>
      </c>
      <c r="E453" s="84" t="s">
        <v>443</v>
      </c>
      <c r="F453" s="84" t="s">
        <v>306</v>
      </c>
      <c r="G453" s="84" t="s">
        <v>306</v>
      </c>
      <c r="H453" s="84" t="s">
        <v>444</v>
      </c>
      <c r="I453" s="84" t="s">
        <v>317</v>
      </c>
      <c r="J453" s="86">
        <v>39.700000000000003</v>
      </c>
      <c r="K453" s="86">
        <v>0</v>
      </c>
      <c r="L453" s="84" t="s">
        <v>318</v>
      </c>
      <c r="M453" s="84" t="s">
        <v>344</v>
      </c>
    </row>
    <row r="454" spans="1:13" x14ac:dyDescent="0.25">
      <c r="A454" s="83">
        <v>641587</v>
      </c>
      <c r="B454" s="84" t="s">
        <v>303</v>
      </c>
      <c r="C454" s="85">
        <f t="shared" si="12"/>
        <v>45744</v>
      </c>
      <c r="D454" s="84" t="s">
        <v>850</v>
      </c>
      <c r="E454" s="84" t="s">
        <v>445</v>
      </c>
      <c r="F454" s="84" t="s">
        <v>306</v>
      </c>
      <c r="G454" s="84" t="s">
        <v>306</v>
      </c>
      <c r="H454" s="84" t="s">
        <v>446</v>
      </c>
      <c r="I454" s="84" t="s">
        <v>317</v>
      </c>
      <c r="J454" s="86">
        <v>20.059999999999999</v>
      </c>
      <c r="K454" s="86">
        <v>0</v>
      </c>
      <c r="L454" s="84" t="s">
        <v>318</v>
      </c>
      <c r="M454" s="84" t="s">
        <v>340</v>
      </c>
    </row>
    <row r="455" spans="1:13" x14ac:dyDescent="0.25">
      <c r="A455" s="83">
        <v>641587</v>
      </c>
      <c r="B455" s="84" t="s">
        <v>303</v>
      </c>
      <c r="C455" s="85">
        <f t="shared" si="12"/>
        <v>45744</v>
      </c>
      <c r="D455" s="84" t="s">
        <v>850</v>
      </c>
      <c r="E455" s="84" t="s">
        <v>447</v>
      </c>
      <c r="F455" s="84" t="s">
        <v>306</v>
      </c>
      <c r="G455" s="84" t="s">
        <v>306</v>
      </c>
      <c r="H455" s="84" t="s">
        <v>448</v>
      </c>
      <c r="I455" s="84" t="s">
        <v>317</v>
      </c>
      <c r="J455" s="86">
        <v>196.63</v>
      </c>
      <c r="K455" s="86">
        <v>0</v>
      </c>
      <c r="L455" s="84" t="s">
        <v>318</v>
      </c>
      <c r="M455" s="84" t="s">
        <v>327</v>
      </c>
    </row>
    <row r="456" spans="1:13" x14ac:dyDescent="0.25">
      <c r="A456" s="83">
        <v>641587</v>
      </c>
      <c r="B456" s="84" t="s">
        <v>303</v>
      </c>
      <c r="C456" s="85">
        <f t="shared" si="12"/>
        <v>45744</v>
      </c>
      <c r="D456" s="84" t="s">
        <v>850</v>
      </c>
      <c r="E456" s="84" t="s">
        <v>449</v>
      </c>
      <c r="F456" s="84" t="s">
        <v>306</v>
      </c>
      <c r="G456" s="84" t="s">
        <v>306</v>
      </c>
      <c r="H456" s="84" t="s">
        <v>450</v>
      </c>
      <c r="I456" s="84" t="s">
        <v>317</v>
      </c>
      <c r="J456" s="86">
        <v>19.47</v>
      </c>
      <c r="K456" s="86">
        <v>0</v>
      </c>
      <c r="L456" s="84" t="s">
        <v>318</v>
      </c>
      <c r="M456" s="84" t="s">
        <v>356</v>
      </c>
    </row>
    <row r="457" spans="1:13" x14ac:dyDescent="0.25">
      <c r="A457" s="83">
        <v>641587</v>
      </c>
      <c r="B457" s="84" t="s">
        <v>303</v>
      </c>
      <c r="C457" s="85">
        <f t="shared" ref="C457:C487" si="13">DATE(2025,3,28)</f>
        <v>45744</v>
      </c>
      <c r="D457" s="84" t="s">
        <v>850</v>
      </c>
      <c r="E457" s="84" t="s">
        <v>451</v>
      </c>
      <c r="F457" s="84" t="s">
        <v>306</v>
      </c>
      <c r="G457" s="84" t="s">
        <v>306</v>
      </c>
      <c r="H457" s="84" t="s">
        <v>452</v>
      </c>
      <c r="I457" s="84" t="s">
        <v>317</v>
      </c>
      <c r="J457" s="86">
        <v>47.85</v>
      </c>
      <c r="K457" s="86">
        <v>0</v>
      </c>
      <c r="L457" s="84" t="s">
        <v>318</v>
      </c>
      <c r="M457" s="84" t="s">
        <v>352</v>
      </c>
    </row>
    <row r="458" spans="1:13" x14ac:dyDescent="0.25">
      <c r="A458" s="83">
        <v>641587</v>
      </c>
      <c r="B458" s="84" t="s">
        <v>303</v>
      </c>
      <c r="C458" s="85">
        <f t="shared" si="13"/>
        <v>45744</v>
      </c>
      <c r="D458" s="84" t="s">
        <v>850</v>
      </c>
      <c r="E458" s="84" t="s">
        <v>453</v>
      </c>
      <c r="F458" s="84" t="s">
        <v>306</v>
      </c>
      <c r="G458" s="84" t="s">
        <v>306</v>
      </c>
      <c r="H458" s="84" t="s">
        <v>454</v>
      </c>
      <c r="I458" s="84" t="s">
        <v>455</v>
      </c>
      <c r="J458" s="86">
        <v>48.14</v>
      </c>
      <c r="K458" s="86">
        <v>0</v>
      </c>
      <c r="L458" s="84" t="s">
        <v>376</v>
      </c>
      <c r="M458" s="84" t="s">
        <v>361</v>
      </c>
    </row>
    <row r="459" spans="1:13" x14ac:dyDescent="0.25">
      <c r="A459" s="83">
        <v>641587</v>
      </c>
      <c r="B459" s="84" t="s">
        <v>303</v>
      </c>
      <c r="C459" s="85">
        <f t="shared" si="13"/>
        <v>45744</v>
      </c>
      <c r="D459" s="84" t="s">
        <v>850</v>
      </c>
      <c r="E459" s="84" t="s">
        <v>458</v>
      </c>
      <c r="F459" s="84" t="s">
        <v>306</v>
      </c>
      <c r="G459" s="84" t="s">
        <v>306</v>
      </c>
      <c r="H459" s="84" t="s">
        <v>459</v>
      </c>
      <c r="I459" s="84" t="s">
        <v>455</v>
      </c>
      <c r="J459" s="86">
        <v>12.48</v>
      </c>
      <c r="K459" s="86">
        <v>0</v>
      </c>
      <c r="L459" s="84" t="s">
        <v>376</v>
      </c>
      <c r="M459" s="84" t="s">
        <v>398</v>
      </c>
    </row>
    <row r="460" spans="1:13" x14ac:dyDescent="0.25">
      <c r="A460" s="83">
        <v>641587</v>
      </c>
      <c r="B460" s="84" t="s">
        <v>303</v>
      </c>
      <c r="C460" s="85">
        <f t="shared" si="13"/>
        <v>45744</v>
      </c>
      <c r="D460" s="84" t="s">
        <v>850</v>
      </c>
      <c r="E460" s="84" t="s">
        <v>460</v>
      </c>
      <c r="F460" s="84" t="s">
        <v>306</v>
      </c>
      <c r="G460" s="84" t="s">
        <v>306</v>
      </c>
      <c r="H460" s="84" t="s">
        <v>461</v>
      </c>
      <c r="I460" s="84" t="s">
        <v>455</v>
      </c>
      <c r="J460" s="86">
        <v>8.3000000000000007</v>
      </c>
      <c r="K460" s="86">
        <v>0</v>
      </c>
      <c r="L460" s="84" t="s">
        <v>376</v>
      </c>
      <c r="M460" s="84" t="s">
        <v>340</v>
      </c>
    </row>
    <row r="461" spans="1:13" x14ac:dyDescent="0.25">
      <c r="A461" s="83">
        <v>641587</v>
      </c>
      <c r="B461" s="84" t="s">
        <v>303</v>
      </c>
      <c r="C461" s="85">
        <f t="shared" si="13"/>
        <v>45744</v>
      </c>
      <c r="D461" s="84" t="s">
        <v>850</v>
      </c>
      <c r="E461" s="84" t="s">
        <v>466</v>
      </c>
      <c r="F461" s="84" t="s">
        <v>306</v>
      </c>
      <c r="G461" s="84" t="s">
        <v>306</v>
      </c>
      <c r="H461" s="84" t="s">
        <v>467</v>
      </c>
      <c r="I461" s="84" t="s">
        <v>455</v>
      </c>
      <c r="J461" s="86">
        <v>5.6</v>
      </c>
      <c r="K461" s="86">
        <v>0</v>
      </c>
      <c r="L461" s="84" t="s">
        <v>376</v>
      </c>
      <c r="M461" s="84" t="s">
        <v>352</v>
      </c>
    </row>
    <row r="462" spans="1:13" x14ac:dyDescent="0.25">
      <c r="A462" s="83">
        <v>641587</v>
      </c>
      <c r="B462" s="84" t="s">
        <v>303</v>
      </c>
      <c r="C462" s="85">
        <f t="shared" si="13"/>
        <v>45744</v>
      </c>
      <c r="D462" s="84" t="s">
        <v>850</v>
      </c>
      <c r="E462" s="84" t="s">
        <v>468</v>
      </c>
      <c r="F462" s="84" t="s">
        <v>306</v>
      </c>
      <c r="G462" s="84" t="s">
        <v>306</v>
      </c>
      <c r="H462" s="84" t="s">
        <v>469</v>
      </c>
      <c r="I462" s="84" t="s">
        <v>470</v>
      </c>
      <c r="J462" s="86">
        <v>114.01</v>
      </c>
      <c r="K462" s="86">
        <v>0</v>
      </c>
      <c r="L462" s="84" t="s">
        <v>380</v>
      </c>
      <c r="M462" s="84" t="s">
        <v>361</v>
      </c>
    </row>
    <row r="463" spans="1:13" x14ac:dyDescent="0.25">
      <c r="A463" s="83">
        <v>641587</v>
      </c>
      <c r="B463" s="84" t="s">
        <v>303</v>
      </c>
      <c r="C463" s="85">
        <f t="shared" si="13"/>
        <v>45744</v>
      </c>
      <c r="D463" s="84" t="s">
        <v>850</v>
      </c>
      <c r="E463" s="84" t="s">
        <v>473</v>
      </c>
      <c r="F463" s="84" t="s">
        <v>306</v>
      </c>
      <c r="G463" s="84" t="s">
        <v>306</v>
      </c>
      <c r="H463" s="84" t="s">
        <v>474</v>
      </c>
      <c r="I463" s="84" t="s">
        <v>470</v>
      </c>
      <c r="J463" s="86">
        <v>14.56</v>
      </c>
      <c r="K463" s="86">
        <v>0</v>
      </c>
      <c r="L463" s="84" t="s">
        <v>380</v>
      </c>
      <c r="M463" s="84" t="s">
        <v>398</v>
      </c>
    </row>
    <row r="464" spans="1:13" x14ac:dyDescent="0.25">
      <c r="A464" s="83">
        <v>641587</v>
      </c>
      <c r="B464" s="84" t="s">
        <v>303</v>
      </c>
      <c r="C464" s="85">
        <f t="shared" si="13"/>
        <v>45744</v>
      </c>
      <c r="D464" s="84" t="s">
        <v>850</v>
      </c>
      <c r="E464" s="84" t="s">
        <v>475</v>
      </c>
      <c r="F464" s="84" t="s">
        <v>306</v>
      </c>
      <c r="G464" s="84" t="s">
        <v>306</v>
      </c>
      <c r="H464" s="84" t="s">
        <v>476</v>
      </c>
      <c r="I464" s="84" t="s">
        <v>470</v>
      </c>
      <c r="J464" s="86">
        <v>9.68</v>
      </c>
      <c r="K464" s="86">
        <v>0</v>
      </c>
      <c r="L464" s="84" t="s">
        <v>380</v>
      </c>
      <c r="M464" s="84" t="s">
        <v>340</v>
      </c>
    </row>
    <row r="465" spans="1:13" x14ac:dyDescent="0.25">
      <c r="A465" s="83">
        <v>641587</v>
      </c>
      <c r="B465" s="84" t="s">
        <v>303</v>
      </c>
      <c r="C465" s="85">
        <f t="shared" si="13"/>
        <v>45744</v>
      </c>
      <c r="D465" s="84" t="s">
        <v>850</v>
      </c>
      <c r="E465" s="84" t="s">
        <v>477</v>
      </c>
      <c r="F465" s="84" t="s">
        <v>306</v>
      </c>
      <c r="G465" s="84" t="s">
        <v>306</v>
      </c>
      <c r="H465" s="84" t="s">
        <v>478</v>
      </c>
      <c r="I465" s="84" t="s">
        <v>470</v>
      </c>
      <c r="J465" s="86">
        <v>3.96</v>
      </c>
      <c r="K465" s="86">
        <v>0</v>
      </c>
      <c r="L465" s="84" t="s">
        <v>380</v>
      </c>
      <c r="M465" s="84" t="s">
        <v>327</v>
      </c>
    </row>
    <row r="466" spans="1:13" x14ac:dyDescent="0.25">
      <c r="A466" s="83">
        <v>641587</v>
      </c>
      <c r="B466" s="84" t="s">
        <v>303</v>
      </c>
      <c r="C466" s="85">
        <f t="shared" si="13"/>
        <v>45744</v>
      </c>
      <c r="D466" s="84" t="s">
        <v>850</v>
      </c>
      <c r="E466" s="84" t="s">
        <v>479</v>
      </c>
      <c r="F466" s="84" t="s">
        <v>306</v>
      </c>
      <c r="G466" s="84" t="s">
        <v>306</v>
      </c>
      <c r="H466" s="84" t="s">
        <v>480</v>
      </c>
      <c r="I466" s="84" t="s">
        <v>470</v>
      </c>
      <c r="J466" s="86">
        <v>9.3000000000000007</v>
      </c>
      <c r="K466" s="86">
        <v>0</v>
      </c>
      <c r="L466" s="84" t="s">
        <v>380</v>
      </c>
      <c r="M466" s="84" t="s">
        <v>356</v>
      </c>
    </row>
    <row r="467" spans="1:13" x14ac:dyDescent="0.25">
      <c r="A467" s="83">
        <v>641587</v>
      </c>
      <c r="B467" s="84" t="s">
        <v>303</v>
      </c>
      <c r="C467" s="85">
        <f t="shared" si="13"/>
        <v>45744</v>
      </c>
      <c r="D467" s="84" t="s">
        <v>850</v>
      </c>
      <c r="E467" s="84" t="s">
        <v>481</v>
      </c>
      <c r="F467" s="84" t="s">
        <v>306</v>
      </c>
      <c r="G467" s="84" t="s">
        <v>306</v>
      </c>
      <c r="H467" s="84" t="s">
        <v>482</v>
      </c>
      <c r="I467" s="84" t="s">
        <v>470</v>
      </c>
      <c r="J467" s="86">
        <v>6.54</v>
      </c>
      <c r="K467" s="86">
        <v>0</v>
      </c>
      <c r="L467" s="84" t="s">
        <v>380</v>
      </c>
      <c r="M467" s="84" t="s">
        <v>352</v>
      </c>
    </row>
    <row r="468" spans="1:13" x14ac:dyDescent="0.25">
      <c r="A468" s="83">
        <v>641587</v>
      </c>
      <c r="B468" s="84" t="s">
        <v>303</v>
      </c>
      <c r="C468" s="85">
        <f t="shared" si="13"/>
        <v>45744</v>
      </c>
      <c r="D468" s="84" t="s">
        <v>850</v>
      </c>
      <c r="E468" s="84" t="s">
        <v>483</v>
      </c>
      <c r="F468" s="84" t="s">
        <v>306</v>
      </c>
      <c r="G468" s="84" t="s">
        <v>306</v>
      </c>
      <c r="H468" s="84" t="s">
        <v>484</v>
      </c>
      <c r="I468" s="84" t="s">
        <v>313</v>
      </c>
      <c r="J468" s="86">
        <v>1199.57</v>
      </c>
      <c r="K468" s="86">
        <v>0</v>
      </c>
      <c r="L468" s="84" t="s">
        <v>314</v>
      </c>
      <c r="M468" s="84" t="s">
        <v>336</v>
      </c>
    </row>
    <row r="469" spans="1:13" x14ac:dyDescent="0.25">
      <c r="A469" s="83">
        <v>641587</v>
      </c>
      <c r="B469" s="84" t="s">
        <v>303</v>
      </c>
      <c r="C469" s="85">
        <f t="shared" si="13"/>
        <v>45744</v>
      </c>
      <c r="D469" s="84" t="s">
        <v>850</v>
      </c>
      <c r="E469" s="84" t="s">
        <v>485</v>
      </c>
      <c r="F469" s="84" t="s">
        <v>306</v>
      </c>
      <c r="G469" s="84" t="s">
        <v>306</v>
      </c>
      <c r="H469" s="84" t="s">
        <v>486</v>
      </c>
      <c r="I469" s="84" t="s">
        <v>313</v>
      </c>
      <c r="J469" s="86">
        <v>764.45</v>
      </c>
      <c r="K469" s="86">
        <v>0</v>
      </c>
      <c r="L469" s="84" t="s">
        <v>314</v>
      </c>
      <c r="M469" s="84" t="s">
        <v>394</v>
      </c>
    </row>
    <row r="470" spans="1:13" x14ac:dyDescent="0.25">
      <c r="A470" s="83">
        <v>641587</v>
      </c>
      <c r="B470" s="84" t="s">
        <v>303</v>
      </c>
      <c r="C470" s="85">
        <f t="shared" si="13"/>
        <v>45744</v>
      </c>
      <c r="D470" s="84" t="s">
        <v>850</v>
      </c>
      <c r="E470" s="84" t="s">
        <v>487</v>
      </c>
      <c r="F470" s="84" t="s">
        <v>306</v>
      </c>
      <c r="G470" s="84" t="s">
        <v>306</v>
      </c>
      <c r="H470" s="84" t="s">
        <v>488</v>
      </c>
      <c r="I470" s="84" t="s">
        <v>313</v>
      </c>
      <c r="J470" s="86">
        <v>252.07</v>
      </c>
      <c r="K470" s="86">
        <v>0</v>
      </c>
      <c r="L470" s="84" t="s">
        <v>314</v>
      </c>
      <c r="M470" s="84" t="s">
        <v>401</v>
      </c>
    </row>
    <row r="471" spans="1:13" x14ac:dyDescent="0.25">
      <c r="A471" s="83">
        <v>641587</v>
      </c>
      <c r="B471" s="84" t="s">
        <v>303</v>
      </c>
      <c r="C471" s="85">
        <f t="shared" si="13"/>
        <v>45744</v>
      </c>
      <c r="D471" s="84" t="s">
        <v>850</v>
      </c>
      <c r="E471" s="84" t="s">
        <v>489</v>
      </c>
      <c r="F471" s="84" t="s">
        <v>306</v>
      </c>
      <c r="G471" s="84" t="s">
        <v>306</v>
      </c>
      <c r="H471" s="84" t="s">
        <v>490</v>
      </c>
      <c r="I471" s="84" t="s">
        <v>317</v>
      </c>
      <c r="J471" s="86">
        <v>280.56</v>
      </c>
      <c r="K471" s="86">
        <v>0</v>
      </c>
      <c r="L471" s="84" t="s">
        <v>318</v>
      </c>
      <c r="M471" s="84" t="s">
        <v>336</v>
      </c>
    </row>
    <row r="472" spans="1:13" x14ac:dyDescent="0.25">
      <c r="A472" s="83">
        <v>641587</v>
      </c>
      <c r="B472" s="84" t="s">
        <v>303</v>
      </c>
      <c r="C472" s="85">
        <f t="shared" si="13"/>
        <v>45744</v>
      </c>
      <c r="D472" s="84" t="s">
        <v>850</v>
      </c>
      <c r="E472" s="84" t="s">
        <v>491</v>
      </c>
      <c r="F472" s="84" t="s">
        <v>306</v>
      </c>
      <c r="G472" s="84" t="s">
        <v>306</v>
      </c>
      <c r="H472" s="84" t="s">
        <v>492</v>
      </c>
      <c r="I472" s="84" t="s">
        <v>317</v>
      </c>
      <c r="J472" s="86">
        <v>178.79</v>
      </c>
      <c r="K472" s="86">
        <v>0</v>
      </c>
      <c r="L472" s="84" t="s">
        <v>318</v>
      </c>
      <c r="M472" s="84" t="s">
        <v>394</v>
      </c>
    </row>
    <row r="473" spans="1:13" x14ac:dyDescent="0.25">
      <c r="A473" s="83">
        <v>641587</v>
      </c>
      <c r="B473" s="84" t="s">
        <v>303</v>
      </c>
      <c r="C473" s="85">
        <f t="shared" si="13"/>
        <v>45744</v>
      </c>
      <c r="D473" s="84" t="s">
        <v>850</v>
      </c>
      <c r="E473" s="84" t="s">
        <v>493</v>
      </c>
      <c r="F473" s="84" t="s">
        <v>306</v>
      </c>
      <c r="G473" s="84" t="s">
        <v>306</v>
      </c>
      <c r="H473" s="84" t="s">
        <v>494</v>
      </c>
      <c r="I473" s="84" t="s">
        <v>317</v>
      </c>
      <c r="J473" s="86">
        <v>58.96</v>
      </c>
      <c r="K473" s="86">
        <v>0</v>
      </c>
      <c r="L473" s="84" t="s">
        <v>318</v>
      </c>
      <c r="M473" s="84" t="s">
        <v>401</v>
      </c>
    </row>
    <row r="474" spans="1:13" x14ac:dyDescent="0.25">
      <c r="A474" s="83">
        <v>641587</v>
      </c>
      <c r="B474" s="84" t="s">
        <v>303</v>
      </c>
      <c r="C474" s="85">
        <f t="shared" si="13"/>
        <v>45744</v>
      </c>
      <c r="D474" s="84" t="s">
        <v>850</v>
      </c>
      <c r="E474" s="84" t="s">
        <v>464</v>
      </c>
      <c r="F474" s="84" t="s">
        <v>306</v>
      </c>
      <c r="G474" s="84" t="s">
        <v>306</v>
      </c>
      <c r="H474" s="84" t="s">
        <v>495</v>
      </c>
      <c r="I474" s="84" t="s">
        <v>455</v>
      </c>
      <c r="J474" s="86">
        <v>11.24</v>
      </c>
      <c r="K474" s="86">
        <v>0</v>
      </c>
      <c r="L474" s="84" t="s">
        <v>376</v>
      </c>
      <c r="M474" s="84" t="s">
        <v>394</v>
      </c>
    </row>
    <row r="475" spans="1:13" x14ac:dyDescent="0.25">
      <c r="A475" s="83">
        <v>641587</v>
      </c>
      <c r="B475" s="84" t="s">
        <v>303</v>
      </c>
      <c r="C475" s="85">
        <f t="shared" si="13"/>
        <v>45744</v>
      </c>
      <c r="D475" s="84" t="s">
        <v>850</v>
      </c>
      <c r="E475" s="84" t="s">
        <v>496</v>
      </c>
      <c r="F475" s="84" t="s">
        <v>306</v>
      </c>
      <c r="G475" s="84" t="s">
        <v>306</v>
      </c>
      <c r="H475" s="84" t="s">
        <v>497</v>
      </c>
      <c r="I475" s="84" t="s">
        <v>470</v>
      </c>
      <c r="J475" s="86">
        <v>10.11</v>
      </c>
      <c r="K475" s="86">
        <v>0</v>
      </c>
      <c r="L475" s="84" t="s">
        <v>380</v>
      </c>
      <c r="M475" s="84" t="s">
        <v>336</v>
      </c>
    </row>
    <row r="476" spans="1:13" x14ac:dyDescent="0.25">
      <c r="A476" s="83">
        <v>641587</v>
      </c>
      <c r="B476" s="84" t="s">
        <v>303</v>
      </c>
      <c r="C476" s="85">
        <f t="shared" si="13"/>
        <v>45744</v>
      </c>
      <c r="D476" s="84" t="s">
        <v>850</v>
      </c>
      <c r="E476" s="84" t="s">
        <v>479</v>
      </c>
      <c r="F476" s="84" t="s">
        <v>306</v>
      </c>
      <c r="G476" s="84" t="s">
        <v>306</v>
      </c>
      <c r="H476" s="84" t="s">
        <v>498</v>
      </c>
      <c r="I476" s="84" t="s">
        <v>470</v>
      </c>
      <c r="J476" s="86">
        <v>13.13</v>
      </c>
      <c r="K476" s="86">
        <v>0</v>
      </c>
      <c r="L476" s="84" t="s">
        <v>380</v>
      </c>
      <c r="M476" s="84" t="s">
        <v>394</v>
      </c>
    </row>
    <row r="477" spans="1:13" x14ac:dyDescent="0.25">
      <c r="A477" s="83">
        <v>641587</v>
      </c>
      <c r="B477" s="84" t="s">
        <v>303</v>
      </c>
      <c r="C477" s="85">
        <f t="shared" si="13"/>
        <v>45744</v>
      </c>
      <c r="D477" s="84" t="s">
        <v>850</v>
      </c>
      <c r="E477" s="84" t="s">
        <v>499</v>
      </c>
      <c r="F477" s="84" t="s">
        <v>306</v>
      </c>
      <c r="G477" s="84" t="s">
        <v>306</v>
      </c>
      <c r="H477" s="84" t="s">
        <v>500</v>
      </c>
      <c r="I477" s="84" t="s">
        <v>455</v>
      </c>
      <c r="J477" s="86">
        <v>0.05</v>
      </c>
      <c r="K477" s="86">
        <v>0</v>
      </c>
      <c r="L477" s="84" t="s">
        <v>376</v>
      </c>
      <c r="M477" s="84" t="s">
        <v>401</v>
      </c>
    </row>
    <row r="478" spans="1:13" x14ac:dyDescent="0.25">
      <c r="A478" s="83">
        <v>641587</v>
      </c>
      <c r="B478" s="84" t="s">
        <v>303</v>
      </c>
      <c r="C478" s="85">
        <f t="shared" si="13"/>
        <v>45744</v>
      </c>
      <c r="D478" s="84" t="s">
        <v>850</v>
      </c>
      <c r="E478" s="84" t="s">
        <v>501</v>
      </c>
      <c r="F478" s="84" t="s">
        <v>306</v>
      </c>
      <c r="G478" s="84" t="s">
        <v>306</v>
      </c>
      <c r="H478" s="84" t="s">
        <v>502</v>
      </c>
      <c r="I478" s="84" t="s">
        <v>470</v>
      </c>
      <c r="J478" s="86">
        <v>13.24</v>
      </c>
      <c r="K478" s="86">
        <v>0</v>
      </c>
      <c r="L478" s="84" t="s">
        <v>380</v>
      </c>
      <c r="M478" s="84" t="s">
        <v>401</v>
      </c>
    </row>
    <row r="479" spans="1:13" x14ac:dyDescent="0.25">
      <c r="A479" s="83">
        <v>641587</v>
      </c>
      <c r="B479" s="84" t="s">
        <v>303</v>
      </c>
      <c r="C479" s="85">
        <f t="shared" si="13"/>
        <v>45744</v>
      </c>
      <c r="D479" s="84" t="s">
        <v>850</v>
      </c>
      <c r="E479" s="84" t="s">
        <v>503</v>
      </c>
      <c r="F479" s="84" t="s">
        <v>306</v>
      </c>
      <c r="G479" s="84" t="s">
        <v>306</v>
      </c>
      <c r="H479" s="84" t="s">
        <v>504</v>
      </c>
      <c r="I479" s="84" t="s">
        <v>313</v>
      </c>
      <c r="J479" s="86">
        <v>149.04</v>
      </c>
      <c r="K479" s="86">
        <v>0</v>
      </c>
      <c r="L479" s="84" t="s">
        <v>314</v>
      </c>
      <c r="M479" s="84" t="s">
        <v>386</v>
      </c>
    </row>
    <row r="480" spans="1:13" x14ac:dyDescent="0.25">
      <c r="A480" s="83">
        <v>641587</v>
      </c>
      <c r="B480" s="84" t="s">
        <v>303</v>
      </c>
      <c r="C480" s="85">
        <f t="shared" si="13"/>
        <v>45744</v>
      </c>
      <c r="D480" s="84" t="s">
        <v>850</v>
      </c>
      <c r="E480" s="84" t="s">
        <v>505</v>
      </c>
      <c r="F480" s="84" t="s">
        <v>306</v>
      </c>
      <c r="G480" s="84" t="s">
        <v>306</v>
      </c>
      <c r="H480" s="84" t="s">
        <v>506</v>
      </c>
      <c r="I480" s="84" t="s">
        <v>313</v>
      </c>
      <c r="J480" s="86">
        <v>166.86</v>
      </c>
      <c r="K480" s="86">
        <v>0</v>
      </c>
      <c r="L480" s="84" t="s">
        <v>314</v>
      </c>
      <c r="M480" s="84" t="s">
        <v>372</v>
      </c>
    </row>
    <row r="481" spans="1:13" x14ac:dyDescent="0.25">
      <c r="A481" s="83">
        <v>641587</v>
      </c>
      <c r="B481" s="84" t="s">
        <v>303</v>
      </c>
      <c r="C481" s="85">
        <f t="shared" si="13"/>
        <v>45744</v>
      </c>
      <c r="D481" s="84" t="s">
        <v>850</v>
      </c>
      <c r="E481" s="84" t="s">
        <v>507</v>
      </c>
      <c r="F481" s="84" t="s">
        <v>306</v>
      </c>
      <c r="G481" s="84" t="s">
        <v>306</v>
      </c>
      <c r="H481" s="84" t="s">
        <v>508</v>
      </c>
      <c r="I481" s="84" t="s">
        <v>317</v>
      </c>
      <c r="J481" s="86">
        <v>34.85</v>
      </c>
      <c r="K481" s="86">
        <v>0</v>
      </c>
      <c r="L481" s="84" t="s">
        <v>318</v>
      </c>
      <c r="M481" s="84" t="s">
        <v>386</v>
      </c>
    </row>
    <row r="482" spans="1:13" x14ac:dyDescent="0.25">
      <c r="A482" s="83">
        <v>641587</v>
      </c>
      <c r="B482" s="84" t="s">
        <v>303</v>
      </c>
      <c r="C482" s="85">
        <f t="shared" si="13"/>
        <v>45744</v>
      </c>
      <c r="D482" s="84" t="s">
        <v>850</v>
      </c>
      <c r="E482" s="84" t="s">
        <v>509</v>
      </c>
      <c r="F482" s="84" t="s">
        <v>306</v>
      </c>
      <c r="G482" s="84" t="s">
        <v>306</v>
      </c>
      <c r="H482" s="84" t="s">
        <v>510</v>
      </c>
      <c r="I482" s="84" t="s">
        <v>317</v>
      </c>
      <c r="J482" s="86">
        <v>39.020000000000003</v>
      </c>
      <c r="K482" s="86">
        <v>0</v>
      </c>
      <c r="L482" s="84" t="s">
        <v>318</v>
      </c>
      <c r="M482" s="84" t="s">
        <v>372</v>
      </c>
    </row>
    <row r="483" spans="1:13" x14ac:dyDescent="0.25">
      <c r="A483" s="83">
        <v>641722</v>
      </c>
      <c r="B483" s="84" t="s">
        <v>303</v>
      </c>
      <c r="C483" s="85">
        <f t="shared" si="13"/>
        <v>45744</v>
      </c>
      <c r="D483" s="84" t="s">
        <v>867</v>
      </c>
      <c r="E483" s="84" t="s">
        <v>305</v>
      </c>
      <c r="F483" s="84" t="s">
        <v>306</v>
      </c>
      <c r="G483" s="84" t="s">
        <v>306</v>
      </c>
      <c r="H483" s="84" t="s">
        <v>307</v>
      </c>
      <c r="I483" s="84" t="s">
        <v>308</v>
      </c>
      <c r="J483" s="86">
        <v>7525.92</v>
      </c>
      <c r="K483" s="86">
        <v>0</v>
      </c>
      <c r="L483" s="84" t="s">
        <v>309</v>
      </c>
      <c r="M483" s="84" t="s">
        <v>310</v>
      </c>
    </row>
    <row r="484" spans="1:13" x14ac:dyDescent="0.25">
      <c r="A484" s="83">
        <v>641722</v>
      </c>
      <c r="B484" s="84" t="s">
        <v>303</v>
      </c>
      <c r="C484" s="85">
        <f t="shared" si="13"/>
        <v>45744</v>
      </c>
      <c r="D484" s="84" t="s">
        <v>867</v>
      </c>
      <c r="E484" s="84" t="s">
        <v>311</v>
      </c>
      <c r="F484" s="84" t="s">
        <v>306</v>
      </c>
      <c r="G484" s="84" t="s">
        <v>306</v>
      </c>
      <c r="H484" s="84" t="s">
        <v>312</v>
      </c>
      <c r="I484" s="84" t="s">
        <v>313</v>
      </c>
      <c r="J484" s="86">
        <v>453.78</v>
      </c>
      <c r="K484" s="86">
        <v>0</v>
      </c>
      <c r="L484" s="84" t="s">
        <v>314</v>
      </c>
      <c r="M484" s="84" t="s">
        <v>310</v>
      </c>
    </row>
    <row r="485" spans="1:13" x14ac:dyDescent="0.25">
      <c r="A485" s="83">
        <v>641722</v>
      </c>
      <c r="B485" s="84" t="s">
        <v>303</v>
      </c>
      <c r="C485" s="85">
        <f t="shared" si="13"/>
        <v>45744</v>
      </c>
      <c r="D485" s="84" t="s">
        <v>867</v>
      </c>
      <c r="E485" s="84" t="s">
        <v>315</v>
      </c>
      <c r="F485" s="84" t="s">
        <v>306</v>
      </c>
      <c r="G485" s="84" t="s">
        <v>306</v>
      </c>
      <c r="H485" s="84" t="s">
        <v>316</v>
      </c>
      <c r="I485" s="84" t="s">
        <v>317</v>
      </c>
      <c r="J485" s="86">
        <v>106.12</v>
      </c>
      <c r="K485" s="86">
        <v>0</v>
      </c>
      <c r="L485" s="84" t="s">
        <v>318</v>
      </c>
      <c r="M485" s="84" t="s">
        <v>310</v>
      </c>
    </row>
    <row r="486" spans="1:13" x14ac:dyDescent="0.25">
      <c r="A486" s="83">
        <v>641722</v>
      </c>
      <c r="B486" s="84" t="s">
        <v>303</v>
      </c>
      <c r="C486" s="85">
        <f t="shared" si="13"/>
        <v>45744</v>
      </c>
      <c r="D486" s="84" t="s">
        <v>867</v>
      </c>
      <c r="E486" s="84" t="s">
        <v>527</v>
      </c>
      <c r="F486" s="84" t="s">
        <v>306</v>
      </c>
      <c r="G486" s="84" t="s">
        <v>306</v>
      </c>
      <c r="H486" s="84" t="s">
        <v>526</v>
      </c>
      <c r="I486" s="84" t="s">
        <v>527</v>
      </c>
      <c r="J486" s="86">
        <v>0</v>
      </c>
      <c r="K486" s="86">
        <v>269.43</v>
      </c>
      <c r="L486" s="84" t="s">
        <v>528</v>
      </c>
      <c r="M486" s="84" t="s">
        <v>310</v>
      </c>
    </row>
    <row r="487" spans="1:13" x14ac:dyDescent="0.25">
      <c r="A487" s="83">
        <v>641722</v>
      </c>
      <c r="B487" s="84" t="s">
        <v>303</v>
      </c>
      <c r="C487" s="85">
        <f t="shared" si="13"/>
        <v>45744</v>
      </c>
      <c r="D487" s="84" t="s">
        <v>867</v>
      </c>
      <c r="E487" s="84" t="s">
        <v>319</v>
      </c>
      <c r="F487" s="84" t="s">
        <v>306</v>
      </c>
      <c r="G487" s="84" t="s">
        <v>306</v>
      </c>
      <c r="H487" s="84" t="s">
        <v>320</v>
      </c>
      <c r="I487" s="84" t="s">
        <v>321</v>
      </c>
      <c r="J487" s="86">
        <v>38.46</v>
      </c>
      <c r="K487" s="86">
        <v>0</v>
      </c>
      <c r="L487" s="84" t="s">
        <v>322</v>
      </c>
      <c r="M487" s="84" t="s">
        <v>310</v>
      </c>
    </row>
    <row r="488" spans="1:13" x14ac:dyDescent="0.25">
      <c r="A488" s="83">
        <v>641782</v>
      </c>
      <c r="B488" s="84" t="s">
        <v>557</v>
      </c>
      <c r="C488" s="85">
        <f>DATE(2025,3,25)</f>
        <v>45741</v>
      </c>
      <c r="D488" s="84" t="s">
        <v>868</v>
      </c>
      <c r="E488" s="84" t="s">
        <v>559</v>
      </c>
      <c r="F488" s="84" t="s">
        <v>838</v>
      </c>
      <c r="G488" s="84" t="s">
        <v>869</v>
      </c>
      <c r="H488" s="84" t="s">
        <v>791</v>
      </c>
      <c r="I488" s="84" t="s">
        <v>792</v>
      </c>
      <c r="J488" s="86">
        <v>1857</v>
      </c>
      <c r="K488" s="86">
        <v>0</v>
      </c>
      <c r="L488" s="84" t="s">
        <v>793</v>
      </c>
      <c r="M488" s="84" t="s">
        <v>327</v>
      </c>
    </row>
    <row r="489" spans="1:13" x14ac:dyDescent="0.25">
      <c r="A489" s="83">
        <v>641813</v>
      </c>
      <c r="B489" s="84" t="s">
        <v>557</v>
      </c>
      <c r="C489" s="85">
        <f>DATE(2025,3,25)</f>
        <v>45741</v>
      </c>
      <c r="D489" s="84" t="s">
        <v>870</v>
      </c>
      <c r="E489" s="84" t="s">
        <v>559</v>
      </c>
      <c r="F489" s="84" t="s">
        <v>871</v>
      </c>
      <c r="G489" s="84" t="s">
        <v>872</v>
      </c>
      <c r="H489" s="84" t="s">
        <v>873</v>
      </c>
      <c r="I489" s="84" t="s">
        <v>874</v>
      </c>
      <c r="J489" s="86">
        <v>150</v>
      </c>
      <c r="K489" s="86">
        <v>0</v>
      </c>
      <c r="L489" s="84" t="s">
        <v>875</v>
      </c>
      <c r="M489" s="84" t="s">
        <v>652</v>
      </c>
    </row>
    <row r="490" spans="1:13" x14ac:dyDescent="0.25">
      <c r="A490" s="83">
        <v>642320</v>
      </c>
      <c r="B490" s="84" t="s">
        <v>303</v>
      </c>
      <c r="C490" s="85">
        <f>DATE(2025,3,31)</f>
        <v>45747</v>
      </c>
      <c r="D490" s="84" t="s">
        <v>876</v>
      </c>
      <c r="E490" s="84" t="s">
        <v>525</v>
      </c>
      <c r="F490" s="84" t="s">
        <v>306</v>
      </c>
      <c r="G490" s="84" t="s">
        <v>306</v>
      </c>
      <c r="H490" s="84" t="s">
        <v>526</v>
      </c>
      <c r="I490" s="84" t="s">
        <v>527</v>
      </c>
      <c r="J490" s="86">
        <v>0</v>
      </c>
      <c r="K490" s="86">
        <v>173.21</v>
      </c>
      <c r="L490" s="84" t="s">
        <v>528</v>
      </c>
      <c r="M490" s="84" t="s">
        <v>310</v>
      </c>
    </row>
    <row r="491" spans="1:13" x14ac:dyDescent="0.25">
      <c r="A491" s="83">
        <v>642320</v>
      </c>
      <c r="B491" s="84" t="s">
        <v>303</v>
      </c>
      <c r="C491" s="85">
        <f>DATE(2025,3,31)</f>
        <v>45747</v>
      </c>
      <c r="D491" s="84" t="s">
        <v>876</v>
      </c>
      <c r="E491" s="84" t="s">
        <v>525</v>
      </c>
      <c r="F491" s="84" t="s">
        <v>306</v>
      </c>
      <c r="G491" s="84" t="s">
        <v>306</v>
      </c>
      <c r="H491" s="84" t="s">
        <v>526</v>
      </c>
      <c r="I491" s="84" t="s">
        <v>527</v>
      </c>
      <c r="J491" s="86">
        <v>0</v>
      </c>
      <c r="K491" s="86">
        <v>2703.79</v>
      </c>
      <c r="L491" s="84" t="s">
        <v>528</v>
      </c>
      <c r="M491" s="84" t="s">
        <v>310</v>
      </c>
    </row>
    <row r="492" spans="1:13" x14ac:dyDescent="0.25">
      <c r="A492" s="83">
        <v>642377</v>
      </c>
      <c r="B492" s="84" t="s">
        <v>557</v>
      </c>
      <c r="C492" s="85">
        <f t="shared" ref="C492:C552" si="14">DATE(2025,3,27)</f>
        <v>45743</v>
      </c>
      <c r="D492" s="84" t="s">
        <v>558</v>
      </c>
      <c r="E492" s="84" t="s">
        <v>559</v>
      </c>
      <c r="F492" s="84" t="s">
        <v>637</v>
      </c>
      <c r="G492" s="84" t="s">
        <v>877</v>
      </c>
      <c r="H492" s="84" t="s">
        <v>572</v>
      </c>
      <c r="I492" s="84" t="s">
        <v>573</v>
      </c>
      <c r="J492" s="86">
        <v>73.7</v>
      </c>
      <c r="K492" s="86">
        <v>0</v>
      </c>
      <c r="L492" s="84" t="s">
        <v>574</v>
      </c>
      <c r="M492" s="84" t="s">
        <v>569</v>
      </c>
    </row>
    <row r="493" spans="1:13" x14ac:dyDescent="0.25">
      <c r="A493" s="83">
        <v>642378</v>
      </c>
      <c r="B493" s="84" t="s">
        <v>557</v>
      </c>
      <c r="C493" s="85">
        <f t="shared" si="14"/>
        <v>45743</v>
      </c>
      <c r="D493" s="84" t="s">
        <v>558</v>
      </c>
      <c r="E493" s="84" t="s">
        <v>559</v>
      </c>
      <c r="F493" s="84" t="s">
        <v>565</v>
      </c>
      <c r="G493" s="84" t="s">
        <v>878</v>
      </c>
      <c r="H493" s="84" t="s">
        <v>567</v>
      </c>
      <c r="I493" s="84" t="s">
        <v>275</v>
      </c>
      <c r="J493" s="86">
        <v>825.45</v>
      </c>
      <c r="K493" s="86">
        <v>0</v>
      </c>
      <c r="L493" s="84" t="s">
        <v>568</v>
      </c>
      <c r="M493" s="84" t="s">
        <v>569</v>
      </c>
    </row>
    <row r="494" spans="1:13" x14ac:dyDescent="0.25">
      <c r="A494" s="83">
        <v>642379</v>
      </c>
      <c r="B494" s="84" t="s">
        <v>557</v>
      </c>
      <c r="C494" s="85">
        <f t="shared" si="14"/>
        <v>45743</v>
      </c>
      <c r="D494" s="84" t="s">
        <v>558</v>
      </c>
      <c r="E494" s="84" t="s">
        <v>559</v>
      </c>
      <c r="F494" s="84" t="s">
        <v>619</v>
      </c>
      <c r="G494" s="84" t="s">
        <v>879</v>
      </c>
      <c r="H494" s="84" t="s">
        <v>880</v>
      </c>
      <c r="I494" s="84" t="s">
        <v>573</v>
      </c>
      <c r="J494" s="86">
        <v>145.19999999999999</v>
      </c>
      <c r="K494" s="86">
        <v>0</v>
      </c>
      <c r="L494" s="84" t="s">
        <v>574</v>
      </c>
      <c r="M494" s="84" t="s">
        <v>372</v>
      </c>
    </row>
    <row r="495" spans="1:13" x14ac:dyDescent="0.25">
      <c r="A495" s="83">
        <v>642380</v>
      </c>
      <c r="B495" s="84" t="s">
        <v>557</v>
      </c>
      <c r="C495" s="85">
        <f t="shared" si="14"/>
        <v>45743</v>
      </c>
      <c r="D495" s="84" t="s">
        <v>558</v>
      </c>
      <c r="E495" s="84" t="s">
        <v>559</v>
      </c>
      <c r="F495" s="84" t="s">
        <v>570</v>
      </c>
      <c r="G495" s="84" t="s">
        <v>881</v>
      </c>
      <c r="H495" s="84" t="s">
        <v>882</v>
      </c>
      <c r="I495" s="84" t="s">
        <v>689</v>
      </c>
      <c r="J495" s="86">
        <v>156.77000000000001</v>
      </c>
      <c r="K495" s="86">
        <v>0</v>
      </c>
      <c r="L495" s="84" t="s">
        <v>690</v>
      </c>
      <c r="M495" s="84" t="s">
        <v>331</v>
      </c>
    </row>
    <row r="496" spans="1:13" x14ac:dyDescent="0.25">
      <c r="A496" s="83">
        <v>642380</v>
      </c>
      <c r="B496" s="84" t="s">
        <v>557</v>
      </c>
      <c r="C496" s="85">
        <f t="shared" si="14"/>
        <v>45743</v>
      </c>
      <c r="D496" s="84" t="s">
        <v>558</v>
      </c>
      <c r="E496" s="84" t="s">
        <v>559</v>
      </c>
      <c r="F496" s="84" t="s">
        <v>570</v>
      </c>
      <c r="G496" s="84" t="s">
        <v>881</v>
      </c>
      <c r="H496" s="84" t="s">
        <v>883</v>
      </c>
      <c r="I496" s="84" t="s">
        <v>573</v>
      </c>
      <c r="J496" s="86">
        <v>275</v>
      </c>
      <c r="K496" s="86">
        <v>0</v>
      </c>
      <c r="L496" s="84" t="s">
        <v>574</v>
      </c>
      <c r="M496" s="84" t="s">
        <v>331</v>
      </c>
    </row>
    <row r="497" spans="1:13" x14ac:dyDescent="0.25">
      <c r="A497" s="83">
        <v>642381</v>
      </c>
      <c r="B497" s="84" t="s">
        <v>557</v>
      </c>
      <c r="C497" s="85">
        <f t="shared" si="14"/>
        <v>45743</v>
      </c>
      <c r="D497" s="84" t="s">
        <v>558</v>
      </c>
      <c r="E497" s="84" t="s">
        <v>559</v>
      </c>
      <c r="F497" s="84" t="s">
        <v>804</v>
      </c>
      <c r="G497" s="84" t="s">
        <v>884</v>
      </c>
      <c r="H497" s="84" t="s">
        <v>885</v>
      </c>
      <c r="I497" s="84" t="s">
        <v>573</v>
      </c>
      <c r="J497" s="86">
        <v>122.21</v>
      </c>
      <c r="K497" s="86">
        <v>0</v>
      </c>
      <c r="L497" s="84" t="s">
        <v>574</v>
      </c>
      <c r="M497" s="84" t="s">
        <v>356</v>
      </c>
    </row>
    <row r="498" spans="1:13" x14ac:dyDescent="0.25">
      <c r="A498" s="83">
        <v>642382</v>
      </c>
      <c r="B498" s="84" t="s">
        <v>557</v>
      </c>
      <c r="C498" s="85">
        <f t="shared" si="14"/>
        <v>45743</v>
      </c>
      <c r="D498" s="84" t="s">
        <v>558</v>
      </c>
      <c r="E498" s="84" t="s">
        <v>559</v>
      </c>
      <c r="F498" s="84" t="s">
        <v>693</v>
      </c>
      <c r="G498" s="84" t="s">
        <v>886</v>
      </c>
      <c r="H498" s="84" t="s">
        <v>567</v>
      </c>
      <c r="I498" s="84" t="s">
        <v>275</v>
      </c>
      <c r="J498" s="86">
        <v>338.37</v>
      </c>
      <c r="K498" s="86">
        <v>0</v>
      </c>
      <c r="L498" s="84" t="s">
        <v>568</v>
      </c>
      <c r="M498" s="84" t="s">
        <v>569</v>
      </c>
    </row>
    <row r="499" spans="1:13" x14ac:dyDescent="0.25">
      <c r="A499" s="83">
        <v>642382</v>
      </c>
      <c r="B499" s="84" t="s">
        <v>557</v>
      </c>
      <c r="C499" s="85">
        <f t="shared" si="14"/>
        <v>45743</v>
      </c>
      <c r="D499" s="84" t="s">
        <v>558</v>
      </c>
      <c r="E499" s="84" t="s">
        <v>559</v>
      </c>
      <c r="F499" s="84" t="s">
        <v>693</v>
      </c>
      <c r="G499" s="84" t="s">
        <v>886</v>
      </c>
      <c r="H499" s="84" t="s">
        <v>572</v>
      </c>
      <c r="I499" s="84" t="s">
        <v>573</v>
      </c>
      <c r="J499" s="86">
        <v>539</v>
      </c>
      <c r="K499" s="86">
        <v>0</v>
      </c>
      <c r="L499" s="84" t="s">
        <v>574</v>
      </c>
      <c r="M499" s="84" t="s">
        <v>569</v>
      </c>
    </row>
    <row r="500" spans="1:13" x14ac:dyDescent="0.25">
      <c r="A500" s="83">
        <v>642383</v>
      </c>
      <c r="B500" s="84" t="s">
        <v>557</v>
      </c>
      <c r="C500" s="85">
        <f t="shared" si="14"/>
        <v>45743</v>
      </c>
      <c r="D500" s="84" t="s">
        <v>558</v>
      </c>
      <c r="E500" s="84" t="s">
        <v>559</v>
      </c>
      <c r="F500" s="84" t="s">
        <v>575</v>
      </c>
      <c r="G500" s="84" t="s">
        <v>881</v>
      </c>
      <c r="H500" s="84" t="s">
        <v>887</v>
      </c>
      <c r="I500" s="84" t="s">
        <v>888</v>
      </c>
      <c r="J500" s="86">
        <v>112</v>
      </c>
      <c r="K500" s="86">
        <v>0</v>
      </c>
      <c r="L500" s="84" t="s">
        <v>604</v>
      </c>
      <c r="M500" s="84" t="s">
        <v>336</v>
      </c>
    </row>
    <row r="501" spans="1:13" x14ac:dyDescent="0.25">
      <c r="A501" s="83">
        <v>642383</v>
      </c>
      <c r="B501" s="84" t="s">
        <v>557</v>
      </c>
      <c r="C501" s="85">
        <f t="shared" si="14"/>
        <v>45743</v>
      </c>
      <c r="D501" s="84" t="s">
        <v>558</v>
      </c>
      <c r="E501" s="84" t="s">
        <v>559</v>
      </c>
      <c r="F501" s="84" t="s">
        <v>575</v>
      </c>
      <c r="G501" s="84" t="s">
        <v>881</v>
      </c>
      <c r="H501" s="84" t="s">
        <v>889</v>
      </c>
      <c r="I501" s="84" t="s">
        <v>573</v>
      </c>
      <c r="J501" s="86">
        <v>240.9</v>
      </c>
      <c r="K501" s="86">
        <v>0</v>
      </c>
      <c r="L501" s="84" t="s">
        <v>574</v>
      </c>
      <c r="M501" s="84" t="s">
        <v>336</v>
      </c>
    </row>
    <row r="502" spans="1:13" x14ac:dyDescent="0.25">
      <c r="A502" s="83">
        <v>642383</v>
      </c>
      <c r="B502" s="84" t="s">
        <v>557</v>
      </c>
      <c r="C502" s="85">
        <f t="shared" si="14"/>
        <v>45743</v>
      </c>
      <c r="D502" s="84" t="s">
        <v>558</v>
      </c>
      <c r="E502" s="84" t="s">
        <v>559</v>
      </c>
      <c r="F502" s="84" t="s">
        <v>575</v>
      </c>
      <c r="G502" s="84" t="s">
        <v>881</v>
      </c>
      <c r="H502" s="84" t="s">
        <v>785</v>
      </c>
      <c r="I502" s="84" t="s">
        <v>624</v>
      </c>
      <c r="J502" s="86">
        <v>58.18</v>
      </c>
      <c r="K502" s="86">
        <v>0</v>
      </c>
      <c r="L502" s="84" t="s">
        <v>625</v>
      </c>
      <c r="M502" s="84" t="s">
        <v>336</v>
      </c>
    </row>
    <row r="503" spans="1:13" x14ac:dyDescent="0.25">
      <c r="A503" s="83">
        <v>642384</v>
      </c>
      <c r="B503" s="84" t="s">
        <v>557</v>
      </c>
      <c r="C503" s="85">
        <f t="shared" si="14"/>
        <v>45743</v>
      </c>
      <c r="D503" s="84" t="s">
        <v>558</v>
      </c>
      <c r="E503" s="84" t="s">
        <v>559</v>
      </c>
      <c r="F503" s="84" t="s">
        <v>560</v>
      </c>
      <c r="G503" s="84" t="s">
        <v>890</v>
      </c>
      <c r="H503" s="84" t="s">
        <v>891</v>
      </c>
      <c r="I503" s="84" t="s">
        <v>573</v>
      </c>
      <c r="J503" s="86">
        <v>117.7</v>
      </c>
      <c r="K503" s="86">
        <v>0</v>
      </c>
      <c r="L503" s="84" t="s">
        <v>574</v>
      </c>
      <c r="M503" s="84" t="s">
        <v>327</v>
      </c>
    </row>
    <row r="504" spans="1:13" x14ac:dyDescent="0.25">
      <c r="A504" s="83">
        <v>642384</v>
      </c>
      <c r="B504" s="84" t="s">
        <v>557</v>
      </c>
      <c r="C504" s="85">
        <f t="shared" si="14"/>
        <v>45743</v>
      </c>
      <c r="D504" s="84" t="s">
        <v>558</v>
      </c>
      <c r="E504" s="84" t="s">
        <v>559</v>
      </c>
      <c r="F504" s="84" t="s">
        <v>560</v>
      </c>
      <c r="G504" s="84" t="s">
        <v>890</v>
      </c>
      <c r="H504" s="84" t="s">
        <v>623</v>
      </c>
      <c r="I504" s="84" t="s">
        <v>624</v>
      </c>
      <c r="J504" s="86">
        <v>543.96</v>
      </c>
      <c r="K504" s="86">
        <v>0</v>
      </c>
      <c r="L504" s="84" t="s">
        <v>625</v>
      </c>
      <c r="M504" s="84" t="s">
        <v>327</v>
      </c>
    </row>
    <row r="505" spans="1:13" x14ac:dyDescent="0.25">
      <c r="A505" s="83">
        <v>642385</v>
      </c>
      <c r="B505" s="84" t="s">
        <v>557</v>
      </c>
      <c r="C505" s="85">
        <f t="shared" si="14"/>
        <v>45743</v>
      </c>
      <c r="D505" s="84" t="s">
        <v>558</v>
      </c>
      <c r="E505" s="84" t="s">
        <v>559</v>
      </c>
      <c r="F505" s="84" t="s">
        <v>700</v>
      </c>
      <c r="G505" s="84" t="s">
        <v>892</v>
      </c>
      <c r="H505" s="84" t="s">
        <v>535</v>
      </c>
      <c r="I505" s="84" t="s">
        <v>534</v>
      </c>
      <c r="J505" s="86">
        <v>139</v>
      </c>
      <c r="K505" s="86">
        <v>0</v>
      </c>
      <c r="L505" s="84" t="s">
        <v>536</v>
      </c>
      <c r="M505" s="84" t="s">
        <v>531</v>
      </c>
    </row>
    <row r="506" spans="1:13" x14ac:dyDescent="0.25">
      <c r="A506" s="83">
        <v>642385</v>
      </c>
      <c r="B506" s="84" t="s">
        <v>557</v>
      </c>
      <c r="C506" s="85">
        <f t="shared" si="14"/>
        <v>45743</v>
      </c>
      <c r="D506" s="84" t="s">
        <v>558</v>
      </c>
      <c r="E506" s="84" t="s">
        <v>559</v>
      </c>
      <c r="F506" s="84" t="s">
        <v>700</v>
      </c>
      <c r="G506" s="84" t="s">
        <v>892</v>
      </c>
      <c r="H506" s="84" t="s">
        <v>893</v>
      </c>
      <c r="I506" s="84" t="s">
        <v>220</v>
      </c>
      <c r="J506" s="86">
        <v>400</v>
      </c>
      <c r="K506" s="86">
        <v>0</v>
      </c>
      <c r="L506" s="84" t="s">
        <v>219</v>
      </c>
      <c r="M506" s="84" t="s">
        <v>340</v>
      </c>
    </row>
    <row r="507" spans="1:13" x14ac:dyDescent="0.25">
      <c r="A507" s="83">
        <v>642385</v>
      </c>
      <c r="B507" s="84" t="s">
        <v>557</v>
      </c>
      <c r="C507" s="85">
        <f t="shared" si="14"/>
        <v>45743</v>
      </c>
      <c r="D507" s="84" t="s">
        <v>558</v>
      </c>
      <c r="E507" s="84" t="s">
        <v>559</v>
      </c>
      <c r="F507" s="84" t="s">
        <v>700</v>
      </c>
      <c r="G507" s="84" t="s">
        <v>892</v>
      </c>
      <c r="H507" s="84" t="s">
        <v>702</v>
      </c>
      <c r="I507" s="84" t="s">
        <v>703</v>
      </c>
      <c r="J507" s="86">
        <v>57.87</v>
      </c>
      <c r="K507" s="86">
        <v>0</v>
      </c>
      <c r="L507" s="84" t="s">
        <v>578</v>
      </c>
      <c r="M507" s="84" t="s">
        <v>310</v>
      </c>
    </row>
    <row r="508" spans="1:13" x14ac:dyDescent="0.25">
      <c r="A508" s="83">
        <v>642385</v>
      </c>
      <c r="B508" s="84" t="s">
        <v>557</v>
      </c>
      <c r="C508" s="85">
        <f t="shared" si="14"/>
        <v>45743</v>
      </c>
      <c r="D508" s="84" t="s">
        <v>558</v>
      </c>
      <c r="E508" s="84" t="s">
        <v>559</v>
      </c>
      <c r="F508" s="84" t="s">
        <v>700</v>
      </c>
      <c r="G508" s="84" t="s">
        <v>892</v>
      </c>
      <c r="H508" s="84" t="s">
        <v>894</v>
      </c>
      <c r="I508" s="84" t="s">
        <v>895</v>
      </c>
      <c r="J508" s="86">
        <v>30</v>
      </c>
      <c r="K508" s="86">
        <v>0</v>
      </c>
      <c r="L508" s="84" t="s">
        <v>896</v>
      </c>
      <c r="M508" s="84" t="s">
        <v>531</v>
      </c>
    </row>
    <row r="509" spans="1:13" x14ac:dyDescent="0.25">
      <c r="A509" s="83">
        <v>642385</v>
      </c>
      <c r="B509" s="84" t="s">
        <v>557</v>
      </c>
      <c r="C509" s="85">
        <f t="shared" si="14"/>
        <v>45743</v>
      </c>
      <c r="D509" s="84" t="s">
        <v>558</v>
      </c>
      <c r="E509" s="84" t="s">
        <v>559</v>
      </c>
      <c r="F509" s="84" t="s">
        <v>700</v>
      </c>
      <c r="G509" s="84" t="s">
        <v>892</v>
      </c>
      <c r="H509" s="84" t="s">
        <v>681</v>
      </c>
      <c r="I509" s="84" t="s">
        <v>682</v>
      </c>
      <c r="J509" s="86">
        <v>75</v>
      </c>
      <c r="K509" s="86">
        <v>0</v>
      </c>
      <c r="L509" s="84" t="s">
        <v>683</v>
      </c>
      <c r="M509" s="84" t="s">
        <v>336</v>
      </c>
    </row>
    <row r="510" spans="1:13" x14ac:dyDescent="0.25">
      <c r="A510" s="83">
        <v>642385</v>
      </c>
      <c r="B510" s="84" t="s">
        <v>557</v>
      </c>
      <c r="C510" s="85">
        <f t="shared" si="14"/>
        <v>45743</v>
      </c>
      <c r="D510" s="84" t="s">
        <v>558</v>
      </c>
      <c r="E510" s="84" t="s">
        <v>559</v>
      </c>
      <c r="F510" s="84" t="s">
        <v>700</v>
      </c>
      <c r="G510" s="84" t="s">
        <v>892</v>
      </c>
      <c r="H510" s="84" t="s">
        <v>581</v>
      </c>
      <c r="I510" s="84" t="s">
        <v>582</v>
      </c>
      <c r="J510" s="86">
        <v>70</v>
      </c>
      <c r="K510" s="86">
        <v>0</v>
      </c>
      <c r="L510" s="84" t="s">
        <v>583</v>
      </c>
      <c r="M510" s="84" t="s">
        <v>336</v>
      </c>
    </row>
    <row r="511" spans="1:13" x14ac:dyDescent="0.25">
      <c r="A511" s="83">
        <v>642386</v>
      </c>
      <c r="B511" s="84" t="s">
        <v>557</v>
      </c>
      <c r="C511" s="85">
        <f t="shared" si="14"/>
        <v>45743</v>
      </c>
      <c r="D511" s="84" t="s">
        <v>558</v>
      </c>
      <c r="E511" s="84" t="s">
        <v>559</v>
      </c>
      <c r="F511" s="84" t="s">
        <v>677</v>
      </c>
      <c r="G511" s="84" t="s">
        <v>890</v>
      </c>
      <c r="H511" s="84" t="s">
        <v>891</v>
      </c>
      <c r="I511" s="84" t="s">
        <v>573</v>
      </c>
      <c r="J511" s="86">
        <v>140.25</v>
      </c>
      <c r="K511" s="86">
        <v>0</v>
      </c>
      <c r="L511" s="84" t="s">
        <v>574</v>
      </c>
      <c r="M511" s="84" t="s">
        <v>327</v>
      </c>
    </row>
    <row r="512" spans="1:13" x14ac:dyDescent="0.25">
      <c r="A512" s="83">
        <v>642386</v>
      </c>
      <c r="B512" s="84" t="s">
        <v>557</v>
      </c>
      <c r="C512" s="85">
        <f t="shared" si="14"/>
        <v>45743</v>
      </c>
      <c r="D512" s="84" t="s">
        <v>558</v>
      </c>
      <c r="E512" s="84" t="s">
        <v>559</v>
      </c>
      <c r="F512" s="84" t="s">
        <v>677</v>
      </c>
      <c r="G512" s="84" t="s">
        <v>890</v>
      </c>
      <c r="H512" s="84" t="s">
        <v>623</v>
      </c>
      <c r="I512" s="84" t="s">
        <v>624</v>
      </c>
      <c r="J512" s="86">
        <v>158.18</v>
      </c>
      <c r="K512" s="86">
        <v>0</v>
      </c>
      <c r="L512" s="84" t="s">
        <v>625</v>
      </c>
      <c r="M512" s="84" t="s">
        <v>327</v>
      </c>
    </row>
    <row r="513" spans="1:13" x14ac:dyDescent="0.25">
      <c r="A513" s="83">
        <v>642387</v>
      </c>
      <c r="B513" s="84" t="s">
        <v>557</v>
      </c>
      <c r="C513" s="85">
        <f t="shared" si="14"/>
        <v>45743</v>
      </c>
      <c r="D513" s="84" t="s">
        <v>558</v>
      </c>
      <c r="E513" s="84" t="s">
        <v>559</v>
      </c>
      <c r="F513" s="84" t="s">
        <v>579</v>
      </c>
      <c r="G513" s="84" t="s">
        <v>897</v>
      </c>
      <c r="H513" s="84" t="s">
        <v>894</v>
      </c>
      <c r="I513" s="84" t="s">
        <v>895</v>
      </c>
      <c r="J513" s="86">
        <v>30.28</v>
      </c>
      <c r="K513" s="86">
        <v>0</v>
      </c>
      <c r="L513" s="84" t="s">
        <v>896</v>
      </c>
      <c r="M513" s="84" t="s">
        <v>531</v>
      </c>
    </row>
    <row r="514" spans="1:13" x14ac:dyDescent="0.25">
      <c r="A514" s="83">
        <v>642388</v>
      </c>
      <c r="B514" s="84" t="s">
        <v>557</v>
      </c>
      <c r="C514" s="85">
        <f t="shared" si="14"/>
        <v>45743</v>
      </c>
      <c r="D514" s="84" t="s">
        <v>558</v>
      </c>
      <c r="E514" s="84" t="s">
        <v>559</v>
      </c>
      <c r="F514" s="84" t="s">
        <v>684</v>
      </c>
      <c r="G514" s="84" t="s">
        <v>898</v>
      </c>
      <c r="H514" s="84" t="s">
        <v>891</v>
      </c>
      <c r="I514" s="84" t="s">
        <v>573</v>
      </c>
      <c r="J514" s="86">
        <v>247.5</v>
      </c>
      <c r="K514" s="86">
        <v>0</v>
      </c>
      <c r="L514" s="84" t="s">
        <v>574</v>
      </c>
      <c r="M514" s="84" t="s">
        <v>327</v>
      </c>
    </row>
    <row r="515" spans="1:13" x14ac:dyDescent="0.25">
      <c r="A515" s="83">
        <v>642388</v>
      </c>
      <c r="B515" s="84" t="s">
        <v>557</v>
      </c>
      <c r="C515" s="85">
        <f t="shared" si="14"/>
        <v>45743</v>
      </c>
      <c r="D515" s="84" t="s">
        <v>558</v>
      </c>
      <c r="E515" s="84" t="s">
        <v>559</v>
      </c>
      <c r="F515" s="84" t="s">
        <v>684</v>
      </c>
      <c r="G515" s="84" t="s">
        <v>898</v>
      </c>
      <c r="H515" s="84" t="s">
        <v>623</v>
      </c>
      <c r="I515" s="84" t="s">
        <v>624</v>
      </c>
      <c r="J515" s="86">
        <v>448.32</v>
      </c>
      <c r="K515" s="86">
        <v>0</v>
      </c>
      <c r="L515" s="84" t="s">
        <v>625</v>
      </c>
      <c r="M515" s="84" t="s">
        <v>327</v>
      </c>
    </row>
    <row r="516" spans="1:13" x14ac:dyDescent="0.25">
      <c r="A516" s="83">
        <v>642389</v>
      </c>
      <c r="B516" s="84" t="s">
        <v>557</v>
      </c>
      <c r="C516" s="85">
        <f t="shared" si="14"/>
        <v>45743</v>
      </c>
      <c r="D516" s="84" t="s">
        <v>558</v>
      </c>
      <c r="E516" s="84" t="s">
        <v>559</v>
      </c>
      <c r="F516" s="84" t="s">
        <v>899</v>
      </c>
      <c r="G516" s="84" t="s">
        <v>900</v>
      </c>
      <c r="H516" s="84" t="s">
        <v>572</v>
      </c>
      <c r="I516" s="84" t="s">
        <v>573</v>
      </c>
      <c r="J516" s="86">
        <v>132</v>
      </c>
      <c r="K516" s="86">
        <v>0</v>
      </c>
      <c r="L516" s="84" t="s">
        <v>574</v>
      </c>
      <c r="M516" s="84" t="s">
        <v>569</v>
      </c>
    </row>
    <row r="517" spans="1:13" x14ac:dyDescent="0.25">
      <c r="A517" s="83">
        <v>642390</v>
      </c>
      <c r="B517" s="84" t="s">
        <v>557</v>
      </c>
      <c r="C517" s="85">
        <f t="shared" si="14"/>
        <v>45743</v>
      </c>
      <c r="D517" s="84" t="s">
        <v>558</v>
      </c>
      <c r="E517" s="84" t="s">
        <v>559</v>
      </c>
      <c r="F517" s="84" t="s">
        <v>901</v>
      </c>
      <c r="G517" s="84" t="s">
        <v>897</v>
      </c>
      <c r="H517" s="84" t="s">
        <v>902</v>
      </c>
      <c r="I517" s="84" t="s">
        <v>689</v>
      </c>
      <c r="J517" s="86">
        <v>94.58</v>
      </c>
      <c r="K517" s="86">
        <v>0</v>
      </c>
      <c r="L517" s="84" t="s">
        <v>690</v>
      </c>
      <c r="M517" s="84" t="s">
        <v>903</v>
      </c>
    </row>
    <row r="518" spans="1:13" x14ac:dyDescent="0.25">
      <c r="A518" s="83">
        <v>642391</v>
      </c>
      <c r="B518" s="84" t="s">
        <v>557</v>
      </c>
      <c r="C518" s="85">
        <f t="shared" si="14"/>
        <v>45743</v>
      </c>
      <c r="D518" s="84" t="s">
        <v>558</v>
      </c>
      <c r="E518" s="84" t="s">
        <v>559</v>
      </c>
      <c r="F518" s="84" t="s">
        <v>904</v>
      </c>
      <c r="G518" s="84" t="s">
        <v>905</v>
      </c>
      <c r="H518" s="84" t="s">
        <v>906</v>
      </c>
      <c r="I518" s="84" t="s">
        <v>907</v>
      </c>
      <c r="J518" s="86">
        <v>845</v>
      </c>
      <c r="K518" s="86">
        <v>0</v>
      </c>
      <c r="L518" s="84" t="s">
        <v>908</v>
      </c>
      <c r="M518" s="84" t="s">
        <v>310</v>
      </c>
    </row>
    <row r="519" spans="1:13" x14ac:dyDescent="0.25">
      <c r="A519" s="83">
        <v>642392</v>
      </c>
      <c r="B519" s="84" t="s">
        <v>557</v>
      </c>
      <c r="C519" s="85">
        <f t="shared" si="14"/>
        <v>45743</v>
      </c>
      <c r="D519" s="84" t="s">
        <v>909</v>
      </c>
      <c r="E519" s="84" t="s">
        <v>559</v>
      </c>
      <c r="F519" s="84" t="s">
        <v>910</v>
      </c>
      <c r="G519" s="84" t="s">
        <v>911</v>
      </c>
      <c r="H519" s="84" t="s">
        <v>799</v>
      </c>
      <c r="I519" s="84" t="s">
        <v>241</v>
      </c>
      <c r="J519" s="86">
        <v>3383.12</v>
      </c>
      <c r="K519" s="86">
        <v>0</v>
      </c>
      <c r="L519" s="84" t="s">
        <v>240</v>
      </c>
      <c r="M519" s="84" t="s">
        <v>533</v>
      </c>
    </row>
    <row r="520" spans="1:13" x14ac:dyDescent="0.25">
      <c r="A520" s="83">
        <v>642393</v>
      </c>
      <c r="B520" s="84" t="s">
        <v>557</v>
      </c>
      <c r="C520" s="85">
        <f t="shared" si="14"/>
        <v>45743</v>
      </c>
      <c r="D520" s="84" t="s">
        <v>558</v>
      </c>
      <c r="E520" s="84" t="s">
        <v>559</v>
      </c>
      <c r="F520" s="84" t="s">
        <v>672</v>
      </c>
      <c r="G520" s="84" t="s">
        <v>912</v>
      </c>
      <c r="H520" s="84" t="s">
        <v>674</v>
      </c>
      <c r="I520" s="84" t="s">
        <v>675</v>
      </c>
      <c r="J520" s="86">
        <v>75</v>
      </c>
      <c r="K520" s="86">
        <v>0</v>
      </c>
      <c r="L520" s="84" t="s">
        <v>676</v>
      </c>
      <c r="M520" s="84" t="s">
        <v>352</v>
      </c>
    </row>
    <row r="521" spans="1:13" x14ac:dyDescent="0.25">
      <c r="A521" s="83">
        <v>642394</v>
      </c>
      <c r="B521" s="84" t="s">
        <v>557</v>
      </c>
      <c r="C521" s="85">
        <f t="shared" si="14"/>
        <v>45743</v>
      </c>
      <c r="D521" s="84" t="s">
        <v>558</v>
      </c>
      <c r="E521" s="84" t="s">
        <v>559</v>
      </c>
      <c r="F521" s="84" t="s">
        <v>805</v>
      </c>
      <c r="G521" s="84" t="s">
        <v>913</v>
      </c>
      <c r="H521" s="84" t="s">
        <v>650</v>
      </c>
      <c r="I521" s="84" t="s">
        <v>235</v>
      </c>
      <c r="J521" s="86">
        <v>107</v>
      </c>
      <c r="K521" s="86">
        <v>0</v>
      </c>
      <c r="L521" s="84" t="s">
        <v>651</v>
      </c>
      <c r="M521" s="84" t="s">
        <v>652</v>
      </c>
    </row>
    <row r="522" spans="1:13" x14ac:dyDescent="0.25">
      <c r="A522" s="83">
        <v>642395</v>
      </c>
      <c r="B522" s="84" t="s">
        <v>557</v>
      </c>
      <c r="C522" s="85">
        <f t="shared" si="14"/>
        <v>45743</v>
      </c>
      <c r="D522" s="84" t="s">
        <v>914</v>
      </c>
      <c r="E522" s="84" t="s">
        <v>559</v>
      </c>
      <c r="F522" s="84" t="s">
        <v>915</v>
      </c>
      <c r="G522" s="84" t="s">
        <v>916</v>
      </c>
      <c r="H522" s="84" t="s">
        <v>917</v>
      </c>
      <c r="I522" s="84" t="s">
        <v>537</v>
      </c>
      <c r="J522" s="86">
        <v>35.26</v>
      </c>
      <c r="K522" s="86">
        <v>0</v>
      </c>
      <c r="L522" s="84" t="s">
        <v>539</v>
      </c>
      <c r="M522" s="84" t="s">
        <v>352</v>
      </c>
    </row>
    <row r="523" spans="1:13" x14ac:dyDescent="0.25">
      <c r="A523" s="83">
        <v>642396</v>
      </c>
      <c r="B523" s="84" t="s">
        <v>557</v>
      </c>
      <c r="C523" s="85">
        <f t="shared" si="14"/>
        <v>45743</v>
      </c>
      <c r="D523" s="84" t="s">
        <v>918</v>
      </c>
      <c r="E523" s="84" t="s">
        <v>559</v>
      </c>
      <c r="F523" s="84" t="s">
        <v>584</v>
      </c>
      <c r="G523" s="84" t="s">
        <v>628</v>
      </c>
      <c r="H523" s="84" t="s">
        <v>586</v>
      </c>
      <c r="I523" s="84" t="s">
        <v>587</v>
      </c>
      <c r="J523" s="86">
        <v>50</v>
      </c>
      <c r="K523" s="86">
        <v>0</v>
      </c>
      <c r="L523" s="84" t="s">
        <v>588</v>
      </c>
      <c r="M523" s="84" t="s">
        <v>310</v>
      </c>
    </row>
    <row r="524" spans="1:13" x14ac:dyDescent="0.25">
      <c r="A524" s="83">
        <v>642397</v>
      </c>
      <c r="B524" s="84" t="s">
        <v>557</v>
      </c>
      <c r="C524" s="85">
        <f t="shared" si="14"/>
        <v>45743</v>
      </c>
      <c r="D524" s="84" t="s">
        <v>809</v>
      </c>
      <c r="E524" s="84" t="s">
        <v>559</v>
      </c>
      <c r="F524" s="84" t="s">
        <v>810</v>
      </c>
      <c r="G524" s="84" t="s">
        <v>919</v>
      </c>
      <c r="H524" s="84" t="s">
        <v>554</v>
      </c>
      <c r="I524" s="84" t="s">
        <v>555</v>
      </c>
      <c r="J524" s="86">
        <v>3366</v>
      </c>
      <c r="K524" s="86">
        <v>0</v>
      </c>
      <c r="L524" s="84" t="s">
        <v>556</v>
      </c>
      <c r="M524" s="84" t="s">
        <v>310</v>
      </c>
    </row>
    <row r="525" spans="1:13" x14ac:dyDescent="0.25">
      <c r="A525" s="83">
        <v>642398</v>
      </c>
      <c r="B525" s="84" t="s">
        <v>557</v>
      </c>
      <c r="C525" s="85">
        <f t="shared" si="14"/>
        <v>45743</v>
      </c>
      <c r="D525" s="84" t="s">
        <v>558</v>
      </c>
      <c r="E525" s="84" t="s">
        <v>559</v>
      </c>
      <c r="F525" s="84" t="s">
        <v>920</v>
      </c>
      <c r="G525" s="84" t="s">
        <v>921</v>
      </c>
      <c r="H525" s="84" t="s">
        <v>922</v>
      </c>
      <c r="I525" s="84" t="s">
        <v>923</v>
      </c>
      <c r="J525" s="86">
        <v>40</v>
      </c>
      <c r="K525" s="86">
        <v>0</v>
      </c>
      <c r="L525" s="84" t="s">
        <v>593</v>
      </c>
      <c r="M525" s="84" t="s">
        <v>352</v>
      </c>
    </row>
    <row r="526" spans="1:13" x14ac:dyDescent="0.25">
      <c r="A526" s="83">
        <v>642399</v>
      </c>
      <c r="B526" s="84" t="s">
        <v>557</v>
      </c>
      <c r="C526" s="85">
        <f t="shared" si="14"/>
        <v>45743</v>
      </c>
      <c r="D526" s="84" t="s">
        <v>558</v>
      </c>
      <c r="E526" s="84" t="s">
        <v>559</v>
      </c>
      <c r="F526" s="84" t="s">
        <v>924</v>
      </c>
      <c r="G526" s="84" t="s">
        <v>925</v>
      </c>
      <c r="H526" s="84" t="s">
        <v>926</v>
      </c>
      <c r="I526" s="84" t="s">
        <v>222</v>
      </c>
      <c r="J526" s="86">
        <v>594.15</v>
      </c>
      <c r="K526" s="86">
        <v>0</v>
      </c>
      <c r="L526" s="84" t="s">
        <v>221</v>
      </c>
      <c r="M526" s="84" t="s">
        <v>394</v>
      </c>
    </row>
    <row r="527" spans="1:13" x14ac:dyDescent="0.25">
      <c r="A527" s="83">
        <v>642400</v>
      </c>
      <c r="B527" s="84" t="s">
        <v>557</v>
      </c>
      <c r="C527" s="85">
        <f t="shared" si="14"/>
        <v>45743</v>
      </c>
      <c r="D527" s="84" t="s">
        <v>558</v>
      </c>
      <c r="E527" s="84" t="s">
        <v>559</v>
      </c>
      <c r="F527" s="84" t="s">
        <v>609</v>
      </c>
      <c r="G527" s="84" t="s">
        <v>927</v>
      </c>
      <c r="H527" s="84" t="s">
        <v>611</v>
      </c>
      <c r="I527" s="84" t="s">
        <v>612</v>
      </c>
      <c r="J527" s="86">
        <v>163.94</v>
      </c>
      <c r="K527" s="86">
        <v>0</v>
      </c>
      <c r="L527" s="84" t="s">
        <v>613</v>
      </c>
      <c r="M527" s="84" t="s">
        <v>352</v>
      </c>
    </row>
    <row r="528" spans="1:13" x14ac:dyDescent="0.25">
      <c r="A528" s="83">
        <v>642401</v>
      </c>
      <c r="B528" s="84" t="s">
        <v>557</v>
      </c>
      <c r="C528" s="85">
        <f t="shared" si="14"/>
        <v>45743</v>
      </c>
      <c r="D528" s="84" t="s">
        <v>558</v>
      </c>
      <c r="E528" s="84" t="s">
        <v>559</v>
      </c>
      <c r="F528" s="84" t="s">
        <v>609</v>
      </c>
      <c r="G528" s="84" t="s">
        <v>928</v>
      </c>
      <c r="H528" s="84" t="s">
        <v>611</v>
      </c>
      <c r="I528" s="84" t="s">
        <v>612</v>
      </c>
      <c r="J528" s="86">
        <v>25.75</v>
      </c>
      <c r="K528" s="86">
        <v>0</v>
      </c>
      <c r="L528" s="84" t="s">
        <v>613</v>
      </c>
      <c r="M528" s="84" t="s">
        <v>352</v>
      </c>
    </row>
    <row r="529" spans="1:13" x14ac:dyDescent="0.25">
      <c r="A529" s="83">
        <v>642402</v>
      </c>
      <c r="B529" s="84" t="s">
        <v>557</v>
      </c>
      <c r="C529" s="85">
        <f t="shared" si="14"/>
        <v>45743</v>
      </c>
      <c r="D529" s="84" t="s">
        <v>558</v>
      </c>
      <c r="E529" s="84" t="s">
        <v>559</v>
      </c>
      <c r="F529" s="84" t="s">
        <v>929</v>
      </c>
      <c r="G529" s="84" t="s">
        <v>930</v>
      </c>
      <c r="H529" s="84" t="s">
        <v>931</v>
      </c>
      <c r="I529" s="84" t="s">
        <v>932</v>
      </c>
      <c r="J529" s="86">
        <v>1736.76</v>
      </c>
      <c r="K529" s="86">
        <v>0</v>
      </c>
      <c r="L529" s="84" t="s">
        <v>933</v>
      </c>
      <c r="M529" s="84" t="s">
        <v>344</v>
      </c>
    </row>
    <row r="530" spans="1:13" x14ac:dyDescent="0.25">
      <c r="A530" s="83">
        <v>642403</v>
      </c>
      <c r="B530" s="84" t="s">
        <v>557</v>
      </c>
      <c r="C530" s="85">
        <f t="shared" si="14"/>
        <v>45743</v>
      </c>
      <c r="D530" s="84" t="s">
        <v>558</v>
      </c>
      <c r="E530" s="84" t="s">
        <v>559</v>
      </c>
      <c r="F530" s="84" t="s">
        <v>934</v>
      </c>
      <c r="G530" s="84" t="s">
        <v>935</v>
      </c>
      <c r="H530" s="84" t="s">
        <v>535</v>
      </c>
      <c r="I530" s="84" t="s">
        <v>534</v>
      </c>
      <c r="J530" s="86">
        <v>55.08</v>
      </c>
      <c r="K530" s="86">
        <v>0</v>
      </c>
      <c r="L530" s="84" t="s">
        <v>536</v>
      </c>
      <c r="M530" s="84" t="s">
        <v>531</v>
      </c>
    </row>
    <row r="531" spans="1:13" x14ac:dyDescent="0.25">
      <c r="A531" s="83">
        <v>642403</v>
      </c>
      <c r="B531" s="84" t="s">
        <v>557</v>
      </c>
      <c r="C531" s="85">
        <f t="shared" si="14"/>
        <v>45743</v>
      </c>
      <c r="D531" s="84" t="s">
        <v>558</v>
      </c>
      <c r="E531" s="84" t="s">
        <v>559</v>
      </c>
      <c r="F531" s="84" t="s">
        <v>934</v>
      </c>
      <c r="G531" s="84" t="s">
        <v>935</v>
      </c>
      <c r="H531" s="84" t="s">
        <v>702</v>
      </c>
      <c r="I531" s="84" t="s">
        <v>703</v>
      </c>
      <c r="J531" s="86">
        <v>300</v>
      </c>
      <c r="K531" s="86">
        <v>0</v>
      </c>
      <c r="L531" s="84" t="s">
        <v>578</v>
      </c>
      <c r="M531" s="84" t="s">
        <v>310</v>
      </c>
    </row>
    <row r="532" spans="1:13" x14ac:dyDescent="0.25">
      <c r="A532" s="83">
        <v>642403</v>
      </c>
      <c r="B532" s="84" t="s">
        <v>557</v>
      </c>
      <c r="C532" s="85">
        <f t="shared" si="14"/>
        <v>45743</v>
      </c>
      <c r="D532" s="84" t="s">
        <v>558</v>
      </c>
      <c r="E532" s="84" t="s">
        <v>559</v>
      </c>
      <c r="F532" s="84" t="s">
        <v>934</v>
      </c>
      <c r="G532" s="84" t="s">
        <v>935</v>
      </c>
      <c r="H532" s="84" t="s">
        <v>576</v>
      </c>
      <c r="I532" s="84" t="s">
        <v>577</v>
      </c>
      <c r="J532" s="86">
        <v>150</v>
      </c>
      <c r="K532" s="86">
        <v>0</v>
      </c>
      <c r="L532" s="84" t="s">
        <v>578</v>
      </c>
      <c r="M532" s="84" t="s">
        <v>336</v>
      </c>
    </row>
    <row r="533" spans="1:13" x14ac:dyDescent="0.25">
      <c r="A533" s="83">
        <v>642403</v>
      </c>
      <c r="B533" s="84" t="s">
        <v>557</v>
      </c>
      <c r="C533" s="85">
        <f t="shared" si="14"/>
        <v>45743</v>
      </c>
      <c r="D533" s="84" t="s">
        <v>558</v>
      </c>
      <c r="E533" s="84" t="s">
        <v>559</v>
      </c>
      <c r="F533" s="84" t="s">
        <v>934</v>
      </c>
      <c r="G533" s="84" t="s">
        <v>935</v>
      </c>
      <c r="H533" s="84" t="s">
        <v>936</v>
      </c>
      <c r="I533" s="84" t="s">
        <v>937</v>
      </c>
      <c r="J533" s="86">
        <v>150</v>
      </c>
      <c r="K533" s="86">
        <v>0</v>
      </c>
      <c r="L533" s="84" t="s">
        <v>578</v>
      </c>
      <c r="M533" s="84" t="s">
        <v>903</v>
      </c>
    </row>
    <row r="534" spans="1:13" x14ac:dyDescent="0.25">
      <c r="A534" s="83">
        <v>642404</v>
      </c>
      <c r="B534" s="84" t="s">
        <v>557</v>
      </c>
      <c r="C534" s="85">
        <f t="shared" si="14"/>
        <v>45743</v>
      </c>
      <c r="D534" s="84" t="s">
        <v>558</v>
      </c>
      <c r="E534" s="84" t="s">
        <v>559</v>
      </c>
      <c r="F534" s="84" t="s">
        <v>934</v>
      </c>
      <c r="G534" s="84" t="s">
        <v>938</v>
      </c>
      <c r="H534" s="84" t="s">
        <v>535</v>
      </c>
      <c r="I534" s="84" t="s">
        <v>534</v>
      </c>
      <c r="J534" s="86">
        <v>200</v>
      </c>
      <c r="K534" s="86">
        <v>0</v>
      </c>
      <c r="L534" s="84" t="s">
        <v>536</v>
      </c>
      <c r="M534" s="84" t="s">
        <v>531</v>
      </c>
    </row>
    <row r="535" spans="1:13" x14ac:dyDescent="0.25">
      <c r="A535" s="83">
        <v>642404</v>
      </c>
      <c r="B535" s="84" t="s">
        <v>557</v>
      </c>
      <c r="C535" s="85">
        <f t="shared" si="14"/>
        <v>45743</v>
      </c>
      <c r="D535" s="84" t="s">
        <v>558</v>
      </c>
      <c r="E535" s="84" t="s">
        <v>559</v>
      </c>
      <c r="F535" s="84" t="s">
        <v>934</v>
      </c>
      <c r="G535" s="84" t="s">
        <v>938</v>
      </c>
      <c r="H535" s="84" t="s">
        <v>702</v>
      </c>
      <c r="I535" s="84" t="s">
        <v>703</v>
      </c>
      <c r="J535" s="86">
        <v>75.88</v>
      </c>
      <c r="K535" s="86">
        <v>0</v>
      </c>
      <c r="L535" s="84" t="s">
        <v>578</v>
      </c>
      <c r="M535" s="84" t="s">
        <v>310</v>
      </c>
    </row>
    <row r="536" spans="1:13" x14ac:dyDescent="0.25">
      <c r="A536" s="83">
        <v>642404</v>
      </c>
      <c r="B536" s="84" t="s">
        <v>557</v>
      </c>
      <c r="C536" s="85">
        <f t="shared" si="14"/>
        <v>45743</v>
      </c>
      <c r="D536" s="84" t="s">
        <v>558</v>
      </c>
      <c r="E536" s="84" t="s">
        <v>559</v>
      </c>
      <c r="F536" s="84" t="s">
        <v>934</v>
      </c>
      <c r="G536" s="84" t="s">
        <v>938</v>
      </c>
      <c r="H536" s="84" t="s">
        <v>894</v>
      </c>
      <c r="I536" s="84" t="s">
        <v>895</v>
      </c>
      <c r="J536" s="86">
        <v>150</v>
      </c>
      <c r="K536" s="86">
        <v>0</v>
      </c>
      <c r="L536" s="84" t="s">
        <v>896</v>
      </c>
      <c r="M536" s="84" t="s">
        <v>531</v>
      </c>
    </row>
    <row r="537" spans="1:13" x14ac:dyDescent="0.25">
      <c r="A537" s="83">
        <v>642404</v>
      </c>
      <c r="B537" s="84" t="s">
        <v>557</v>
      </c>
      <c r="C537" s="85">
        <f t="shared" si="14"/>
        <v>45743</v>
      </c>
      <c r="D537" s="84" t="s">
        <v>558</v>
      </c>
      <c r="E537" s="84" t="s">
        <v>559</v>
      </c>
      <c r="F537" s="84" t="s">
        <v>934</v>
      </c>
      <c r="G537" s="84" t="s">
        <v>938</v>
      </c>
      <c r="H537" s="84" t="s">
        <v>939</v>
      </c>
      <c r="I537" s="84" t="s">
        <v>940</v>
      </c>
      <c r="J537" s="86">
        <v>300</v>
      </c>
      <c r="K537" s="86">
        <v>0</v>
      </c>
      <c r="L537" s="84" t="s">
        <v>578</v>
      </c>
      <c r="M537" s="84" t="s">
        <v>344</v>
      </c>
    </row>
    <row r="538" spans="1:13" x14ac:dyDescent="0.25">
      <c r="A538" s="83">
        <v>642405</v>
      </c>
      <c r="B538" s="84" t="s">
        <v>557</v>
      </c>
      <c r="C538" s="85">
        <f t="shared" si="14"/>
        <v>45743</v>
      </c>
      <c r="D538" s="84" t="s">
        <v>558</v>
      </c>
      <c r="E538" s="84" t="s">
        <v>559</v>
      </c>
      <c r="F538" s="84" t="s">
        <v>589</v>
      </c>
      <c r="G538" s="84" t="s">
        <v>941</v>
      </c>
      <c r="H538" s="84" t="s">
        <v>922</v>
      </c>
      <c r="I538" s="84" t="s">
        <v>923</v>
      </c>
      <c r="J538" s="86">
        <v>230</v>
      </c>
      <c r="K538" s="86">
        <v>0</v>
      </c>
      <c r="L538" s="84" t="s">
        <v>593</v>
      </c>
      <c r="M538" s="84" t="s">
        <v>352</v>
      </c>
    </row>
    <row r="539" spans="1:13" x14ac:dyDescent="0.25">
      <c r="A539" s="83">
        <v>642406</v>
      </c>
      <c r="B539" s="84" t="s">
        <v>557</v>
      </c>
      <c r="C539" s="85">
        <f t="shared" si="14"/>
        <v>45743</v>
      </c>
      <c r="D539" s="84" t="s">
        <v>558</v>
      </c>
      <c r="E539" s="84" t="s">
        <v>559</v>
      </c>
      <c r="F539" s="84" t="s">
        <v>594</v>
      </c>
      <c r="G539" s="84" t="s">
        <v>942</v>
      </c>
      <c r="H539" s="84" t="s">
        <v>596</v>
      </c>
      <c r="I539" s="84" t="s">
        <v>597</v>
      </c>
      <c r="J539" s="86">
        <v>877.32</v>
      </c>
      <c r="K539" s="86">
        <v>0</v>
      </c>
      <c r="L539" s="84" t="s">
        <v>598</v>
      </c>
      <c r="M539" s="84" t="s">
        <v>327</v>
      </c>
    </row>
    <row r="540" spans="1:13" x14ac:dyDescent="0.25">
      <c r="A540" s="83">
        <v>642407</v>
      </c>
      <c r="B540" s="84" t="s">
        <v>557</v>
      </c>
      <c r="C540" s="85">
        <f t="shared" si="14"/>
        <v>45743</v>
      </c>
      <c r="D540" s="84" t="s">
        <v>558</v>
      </c>
      <c r="E540" s="84" t="s">
        <v>559</v>
      </c>
      <c r="F540" s="84" t="s">
        <v>594</v>
      </c>
      <c r="G540" s="84" t="s">
        <v>943</v>
      </c>
      <c r="H540" s="84" t="s">
        <v>596</v>
      </c>
      <c r="I540" s="84" t="s">
        <v>597</v>
      </c>
      <c r="J540" s="86">
        <v>583.11</v>
      </c>
      <c r="K540" s="86">
        <v>0</v>
      </c>
      <c r="L540" s="84" t="s">
        <v>598</v>
      </c>
      <c r="M540" s="84" t="s">
        <v>327</v>
      </c>
    </row>
    <row r="541" spans="1:13" x14ac:dyDescent="0.25">
      <c r="A541" s="83">
        <v>642408</v>
      </c>
      <c r="B541" s="84" t="s">
        <v>557</v>
      </c>
      <c r="C541" s="85">
        <f t="shared" si="14"/>
        <v>45743</v>
      </c>
      <c r="D541" s="84" t="s">
        <v>558</v>
      </c>
      <c r="E541" s="84" t="s">
        <v>559</v>
      </c>
      <c r="F541" s="84" t="s">
        <v>944</v>
      </c>
      <c r="G541" s="84" t="s">
        <v>945</v>
      </c>
      <c r="H541" s="84" t="s">
        <v>702</v>
      </c>
      <c r="I541" s="84" t="s">
        <v>703</v>
      </c>
      <c r="J541" s="86">
        <v>243.59</v>
      </c>
      <c r="K541" s="86">
        <v>0</v>
      </c>
      <c r="L541" s="84" t="s">
        <v>578</v>
      </c>
      <c r="M541" s="84" t="s">
        <v>310</v>
      </c>
    </row>
    <row r="542" spans="1:13" x14ac:dyDescent="0.25">
      <c r="A542" s="83">
        <v>642409</v>
      </c>
      <c r="B542" s="84" t="s">
        <v>557</v>
      </c>
      <c r="C542" s="85">
        <f t="shared" si="14"/>
        <v>45743</v>
      </c>
      <c r="D542" s="84" t="s">
        <v>558</v>
      </c>
      <c r="E542" s="84" t="s">
        <v>559</v>
      </c>
      <c r="F542" s="84" t="s">
        <v>944</v>
      </c>
      <c r="G542" s="84" t="s">
        <v>946</v>
      </c>
      <c r="H542" s="84" t="s">
        <v>702</v>
      </c>
      <c r="I542" s="84" t="s">
        <v>703</v>
      </c>
      <c r="J542" s="86">
        <v>1238.79</v>
      </c>
      <c r="K542" s="86">
        <v>0</v>
      </c>
      <c r="L542" s="84" t="s">
        <v>578</v>
      </c>
      <c r="M542" s="84" t="s">
        <v>310</v>
      </c>
    </row>
    <row r="543" spans="1:13" x14ac:dyDescent="0.25">
      <c r="A543" s="83">
        <v>642410</v>
      </c>
      <c r="B543" s="84" t="s">
        <v>557</v>
      </c>
      <c r="C543" s="85">
        <f t="shared" si="14"/>
        <v>45743</v>
      </c>
      <c r="D543" s="84" t="s">
        <v>558</v>
      </c>
      <c r="E543" s="84" t="s">
        <v>559</v>
      </c>
      <c r="F543" s="84" t="s">
        <v>639</v>
      </c>
      <c r="G543" s="84" t="s">
        <v>947</v>
      </c>
      <c r="H543" s="84" t="s">
        <v>641</v>
      </c>
      <c r="I543" s="84" t="s">
        <v>642</v>
      </c>
      <c r="J543" s="86">
        <v>3650</v>
      </c>
      <c r="K543" s="86">
        <v>0</v>
      </c>
      <c r="L543" s="84" t="s">
        <v>643</v>
      </c>
      <c r="M543" s="84" t="s">
        <v>352</v>
      </c>
    </row>
    <row r="544" spans="1:13" x14ac:dyDescent="0.25">
      <c r="A544" s="83">
        <v>642411</v>
      </c>
      <c r="B544" s="84" t="s">
        <v>557</v>
      </c>
      <c r="C544" s="85">
        <f t="shared" si="14"/>
        <v>45743</v>
      </c>
      <c r="D544" s="84" t="s">
        <v>558</v>
      </c>
      <c r="E544" s="84" t="s">
        <v>559</v>
      </c>
      <c r="F544" s="84" t="s">
        <v>594</v>
      </c>
      <c r="G544" s="84" t="s">
        <v>948</v>
      </c>
      <c r="H544" s="84" t="s">
        <v>596</v>
      </c>
      <c r="I544" s="84" t="s">
        <v>597</v>
      </c>
      <c r="J544" s="86">
        <v>670.35</v>
      </c>
      <c r="K544" s="86">
        <v>0</v>
      </c>
      <c r="L544" s="84" t="s">
        <v>598</v>
      </c>
      <c r="M544" s="84" t="s">
        <v>327</v>
      </c>
    </row>
    <row r="545" spans="1:13" x14ac:dyDescent="0.25">
      <c r="A545" s="83">
        <v>642412</v>
      </c>
      <c r="B545" s="84" t="s">
        <v>557</v>
      </c>
      <c r="C545" s="85">
        <f t="shared" si="14"/>
        <v>45743</v>
      </c>
      <c r="D545" s="84" t="s">
        <v>558</v>
      </c>
      <c r="E545" s="84" t="s">
        <v>559</v>
      </c>
      <c r="F545" s="84" t="s">
        <v>949</v>
      </c>
      <c r="G545" s="84" t="s">
        <v>950</v>
      </c>
      <c r="H545" s="84" t="s">
        <v>951</v>
      </c>
      <c r="I545" s="84" t="s">
        <v>952</v>
      </c>
      <c r="J545" s="86">
        <v>22611.8</v>
      </c>
      <c r="K545" s="86">
        <v>0</v>
      </c>
      <c r="L545" s="84" t="s">
        <v>953</v>
      </c>
      <c r="M545" s="84" t="s">
        <v>954</v>
      </c>
    </row>
    <row r="546" spans="1:13" x14ac:dyDescent="0.25">
      <c r="A546" s="83">
        <v>642413</v>
      </c>
      <c r="B546" s="84" t="s">
        <v>557</v>
      </c>
      <c r="C546" s="85">
        <f t="shared" si="14"/>
        <v>45743</v>
      </c>
      <c r="D546" s="84" t="s">
        <v>558</v>
      </c>
      <c r="E546" s="84" t="s">
        <v>559</v>
      </c>
      <c r="F546" s="84" t="s">
        <v>934</v>
      </c>
      <c r="G546" s="84" t="s">
        <v>955</v>
      </c>
      <c r="H546" s="84" t="s">
        <v>535</v>
      </c>
      <c r="I546" s="84" t="s">
        <v>534</v>
      </c>
      <c r="J546" s="86">
        <v>50</v>
      </c>
      <c r="K546" s="86">
        <v>0</v>
      </c>
      <c r="L546" s="84" t="s">
        <v>536</v>
      </c>
      <c r="M546" s="84" t="s">
        <v>531</v>
      </c>
    </row>
    <row r="547" spans="1:13" x14ac:dyDescent="0.25">
      <c r="A547" s="83">
        <v>642413</v>
      </c>
      <c r="B547" s="84" t="s">
        <v>557</v>
      </c>
      <c r="C547" s="85">
        <f t="shared" si="14"/>
        <v>45743</v>
      </c>
      <c r="D547" s="84" t="s">
        <v>558</v>
      </c>
      <c r="E547" s="84" t="s">
        <v>559</v>
      </c>
      <c r="F547" s="84" t="s">
        <v>934</v>
      </c>
      <c r="G547" s="84" t="s">
        <v>955</v>
      </c>
      <c r="H547" s="84" t="s">
        <v>702</v>
      </c>
      <c r="I547" s="84" t="s">
        <v>703</v>
      </c>
      <c r="J547" s="86">
        <v>144.91999999999999</v>
      </c>
      <c r="K547" s="86">
        <v>0</v>
      </c>
      <c r="L547" s="84" t="s">
        <v>578</v>
      </c>
      <c r="M547" s="84" t="s">
        <v>310</v>
      </c>
    </row>
    <row r="548" spans="1:13" x14ac:dyDescent="0.25">
      <c r="A548" s="83">
        <v>642413</v>
      </c>
      <c r="B548" s="84" t="s">
        <v>557</v>
      </c>
      <c r="C548" s="85">
        <f t="shared" si="14"/>
        <v>45743</v>
      </c>
      <c r="D548" s="84" t="s">
        <v>558</v>
      </c>
      <c r="E548" s="84" t="s">
        <v>559</v>
      </c>
      <c r="F548" s="84" t="s">
        <v>934</v>
      </c>
      <c r="G548" s="84" t="s">
        <v>955</v>
      </c>
      <c r="H548" s="84" t="s">
        <v>956</v>
      </c>
      <c r="I548" s="84" t="s">
        <v>957</v>
      </c>
      <c r="J548" s="86">
        <v>311</v>
      </c>
      <c r="K548" s="86">
        <v>0</v>
      </c>
      <c r="L548" s="84" t="s">
        <v>578</v>
      </c>
      <c r="M548" s="84" t="s">
        <v>331</v>
      </c>
    </row>
    <row r="549" spans="1:13" x14ac:dyDescent="0.25">
      <c r="A549" s="83">
        <v>642413</v>
      </c>
      <c r="B549" s="84" t="s">
        <v>557</v>
      </c>
      <c r="C549" s="85">
        <f t="shared" si="14"/>
        <v>45743</v>
      </c>
      <c r="D549" s="84" t="s">
        <v>558</v>
      </c>
      <c r="E549" s="84" t="s">
        <v>559</v>
      </c>
      <c r="F549" s="84" t="s">
        <v>934</v>
      </c>
      <c r="G549" s="84" t="s">
        <v>955</v>
      </c>
      <c r="H549" s="84" t="s">
        <v>936</v>
      </c>
      <c r="I549" s="84" t="s">
        <v>937</v>
      </c>
      <c r="J549" s="86">
        <v>92</v>
      </c>
      <c r="K549" s="86">
        <v>0</v>
      </c>
      <c r="L549" s="84" t="s">
        <v>578</v>
      </c>
      <c r="M549" s="84" t="s">
        <v>903</v>
      </c>
    </row>
    <row r="550" spans="1:13" x14ac:dyDescent="0.25">
      <c r="A550" s="83">
        <v>642414</v>
      </c>
      <c r="B550" s="84" t="s">
        <v>557</v>
      </c>
      <c r="C550" s="85">
        <f t="shared" si="14"/>
        <v>45743</v>
      </c>
      <c r="D550" s="84" t="s">
        <v>958</v>
      </c>
      <c r="E550" s="84" t="s">
        <v>559</v>
      </c>
      <c r="F550" s="84" t="s">
        <v>959</v>
      </c>
      <c r="G550" s="84" t="s">
        <v>960</v>
      </c>
      <c r="H550" s="84" t="s">
        <v>961</v>
      </c>
      <c r="I550" s="84" t="s">
        <v>962</v>
      </c>
      <c r="J550" s="86">
        <v>219.46</v>
      </c>
      <c r="K550" s="86">
        <v>0</v>
      </c>
      <c r="L550" s="84" t="s">
        <v>963</v>
      </c>
      <c r="M550" s="84" t="s">
        <v>352</v>
      </c>
    </row>
    <row r="551" spans="1:13" x14ac:dyDescent="0.25">
      <c r="A551" s="83">
        <v>642415</v>
      </c>
      <c r="B551" s="84" t="s">
        <v>557</v>
      </c>
      <c r="C551" s="85">
        <f t="shared" si="14"/>
        <v>45743</v>
      </c>
      <c r="D551" s="84" t="s">
        <v>558</v>
      </c>
      <c r="E551" s="84" t="s">
        <v>559</v>
      </c>
      <c r="F551" s="84" t="s">
        <v>614</v>
      </c>
      <c r="G551" s="84" t="s">
        <v>964</v>
      </c>
      <c r="H551" s="84" t="s">
        <v>616</v>
      </c>
      <c r="I551" s="84" t="s">
        <v>617</v>
      </c>
      <c r="J551" s="86">
        <v>45</v>
      </c>
      <c r="K551" s="86">
        <v>0</v>
      </c>
      <c r="L551" s="84" t="s">
        <v>618</v>
      </c>
      <c r="M551" s="84" t="s">
        <v>352</v>
      </c>
    </row>
    <row r="552" spans="1:13" x14ac:dyDescent="0.25">
      <c r="A552" s="83">
        <v>642416</v>
      </c>
      <c r="B552" s="84" t="s">
        <v>557</v>
      </c>
      <c r="C552" s="85">
        <f t="shared" si="14"/>
        <v>45743</v>
      </c>
      <c r="D552" s="84" t="s">
        <v>558</v>
      </c>
      <c r="E552" s="84" t="s">
        <v>559</v>
      </c>
      <c r="F552" s="84" t="s">
        <v>614</v>
      </c>
      <c r="G552" s="84" t="s">
        <v>965</v>
      </c>
      <c r="H552" s="84" t="s">
        <v>616</v>
      </c>
      <c r="I552" s="84" t="s">
        <v>617</v>
      </c>
      <c r="J552" s="86">
        <v>45</v>
      </c>
      <c r="K552" s="86">
        <v>0</v>
      </c>
      <c r="L552" s="84" t="s">
        <v>618</v>
      </c>
      <c r="M552" s="84" t="s">
        <v>352</v>
      </c>
    </row>
    <row r="553" spans="1:13" x14ac:dyDescent="0.25">
      <c r="A553" s="83">
        <v>642795</v>
      </c>
      <c r="B553" s="84" t="s">
        <v>303</v>
      </c>
      <c r="C553" s="85">
        <f t="shared" ref="C553:C616" si="15">DATE(2025,3,31)</f>
        <v>45747</v>
      </c>
      <c r="D553" s="84" t="s">
        <v>966</v>
      </c>
      <c r="E553" s="84" t="s">
        <v>967</v>
      </c>
      <c r="F553" s="84" t="s">
        <v>306</v>
      </c>
      <c r="G553" s="84" t="s">
        <v>306</v>
      </c>
      <c r="H553" s="84" t="s">
        <v>591</v>
      </c>
      <c r="I553" s="84" t="s">
        <v>592</v>
      </c>
      <c r="J553" s="86">
        <v>44.13</v>
      </c>
      <c r="K553" s="86">
        <v>0</v>
      </c>
      <c r="L553" s="84" t="s">
        <v>593</v>
      </c>
      <c r="M553" s="84" t="s">
        <v>310</v>
      </c>
    </row>
    <row r="554" spans="1:13" x14ac:dyDescent="0.25">
      <c r="A554" s="83">
        <v>642795</v>
      </c>
      <c r="B554" s="84" t="s">
        <v>303</v>
      </c>
      <c r="C554" s="85">
        <f t="shared" si="15"/>
        <v>45747</v>
      </c>
      <c r="D554" s="84" t="s">
        <v>966</v>
      </c>
      <c r="E554" s="84" t="s">
        <v>967</v>
      </c>
      <c r="F554" s="84" t="s">
        <v>306</v>
      </c>
      <c r="G554" s="84" t="s">
        <v>306</v>
      </c>
      <c r="H554" s="84" t="s">
        <v>591</v>
      </c>
      <c r="I554" s="84" t="s">
        <v>592</v>
      </c>
      <c r="J554" s="86">
        <v>106.67</v>
      </c>
      <c r="K554" s="86">
        <v>0</v>
      </c>
      <c r="L554" s="84" t="s">
        <v>593</v>
      </c>
      <c r="M554" s="84" t="s">
        <v>310</v>
      </c>
    </row>
    <row r="555" spans="1:13" x14ac:dyDescent="0.25">
      <c r="A555" s="83">
        <v>642795</v>
      </c>
      <c r="B555" s="84" t="s">
        <v>303</v>
      </c>
      <c r="C555" s="85">
        <f t="shared" si="15"/>
        <v>45747</v>
      </c>
      <c r="D555" s="84" t="s">
        <v>966</v>
      </c>
      <c r="E555" s="84" t="s">
        <v>968</v>
      </c>
      <c r="F555" s="84" t="s">
        <v>306</v>
      </c>
      <c r="G555" s="84" t="s">
        <v>306</v>
      </c>
      <c r="H555" s="84" t="s">
        <v>650</v>
      </c>
      <c r="I555" s="84" t="s">
        <v>235</v>
      </c>
      <c r="J555" s="86">
        <v>45.1</v>
      </c>
      <c r="K555" s="86">
        <v>0</v>
      </c>
      <c r="L555" s="84" t="s">
        <v>651</v>
      </c>
      <c r="M555" s="84" t="s">
        <v>652</v>
      </c>
    </row>
    <row r="556" spans="1:13" x14ac:dyDescent="0.25">
      <c r="A556" s="83">
        <v>642795</v>
      </c>
      <c r="B556" s="84" t="s">
        <v>303</v>
      </c>
      <c r="C556" s="85">
        <f t="shared" si="15"/>
        <v>45747</v>
      </c>
      <c r="D556" s="84" t="s">
        <v>966</v>
      </c>
      <c r="E556" s="84" t="s">
        <v>969</v>
      </c>
      <c r="F556" s="84" t="s">
        <v>306</v>
      </c>
      <c r="G556" s="84" t="s">
        <v>306</v>
      </c>
      <c r="H556" s="84" t="s">
        <v>650</v>
      </c>
      <c r="I556" s="84" t="s">
        <v>235</v>
      </c>
      <c r="J556" s="86">
        <v>2190.33</v>
      </c>
      <c r="K556" s="86">
        <v>0</v>
      </c>
      <c r="L556" s="84" t="s">
        <v>651</v>
      </c>
      <c r="M556" s="84" t="s">
        <v>652</v>
      </c>
    </row>
    <row r="557" spans="1:13" x14ac:dyDescent="0.25">
      <c r="A557" s="83">
        <v>642795</v>
      </c>
      <c r="B557" s="84" t="s">
        <v>303</v>
      </c>
      <c r="C557" s="85">
        <f t="shared" si="15"/>
        <v>45747</v>
      </c>
      <c r="D557" s="84" t="s">
        <v>966</v>
      </c>
      <c r="E557" s="84" t="s">
        <v>970</v>
      </c>
      <c r="F557" s="84" t="s">
        <v>306</v>
      </c>
      <c r="G557" s="84" t="s">
        <v>306</v>
      </c>
      <c r="H557" s="84" t="s">
        <v>650</v>
      </c>
      <c r="I557" s="84" t="s">
        <v>235</v>
      </c>
      <c r="J557" s="86">
        <v>4928.2700000000004</v>
      </c>
      <c r="K557" s="86">
        <v>0</v>
      </c>
      <c r="L557" s="84" t="s">
        <v>651</v>
      </c>
      <c r="M557" s="84" t="s">
        <v>652</v>
      </c>
    </row>
    <row r="558" spans="1:13" x14ac:dyDescent="0.25">
      <c r="A558" s="83">
        <v>642795</v>
      </c>
      <c r="B558" s="84" t="s">
        <v>303</v>
      </c>
      <c r="C558" s="85">
        <f t="shared" si="15"/>
        <v>45747</v>
      </c>
      <c r="D558" s="84" t="s">
        <v>966</v>
      </c>
      <c r="E558" s="84" t="s">
        <v>971</v>
      </c>
      <c r="F558" s="84" t="s">
        <v>306</v>
      </c>
      <c r="G558" s="84" t="s">
        <v>306</v>
      </c>
      <c r="H558" s="84" t="s">
        <v>516</v>
      </c>
      <c r="I558" s="84" t="s">
        <v>517</v>
      </c>
      <c r="J558" s="86">
        <v>175.46</v>
      </c>
      <c r="K558" s="86">
        <v>0</v>
      </c>
      <c r="L558" s="84" t="s">
        <v>518</v>
      </c>
      <c r="M558" s="84" t="s">
        <v>327</v>
      </c>
    </row>
    <row r="559" spans="1:13" x14ac:dyDescent="0.25">
      <c r="A559" s="83">
        <v>642795</v>
      </c>
      <c r="B559" s="84" t="s">
        <v>303</v>
      </c>
      <c r="C559" s="85">
        <f t="shared" si="15"/>
        <v>45747</v>
      </c>
      <c r="D559" s="84" t="s">
        <v>966</v>
      </c>
      <c r="E559" s="84" t="s">
        <v>972</v>
      </c>
      <c r="F559" s="84" t="s">
        <v>306</v>
      </c>
      <c r="G559" s="84" t="s">
        <v>306</v>
      </c>
      <c r="H559" s="84" t="s">
        <v>973</v>
      </c>
      <c r="I559" s="84" t="s">
        <v>974</v>
      </c>
      <c r="J559" s="86">
        <v>633.96</v>
      </c>
      <c r="K559" s="86">
        <v>0</v>
      </c>
      <c r="L559" s="84" t="s">
        <v>975</v>
      </c>
      <c r="M559" s="84" t="s">
        <v>310</v>
      </c>
    </row>
    <row r="560" spans="1:13" x14ac:dyDescent="0.25">
      <c r="A560" s="83">
        <v>642795</v>
      </c>
      <c r="B560" s="84" t="s">
        <v>303</v>
      </c>
      <c r="C560" s="85">
        <f t="shared" si="15"/>
        <v>45747</v>
      </c>
      <c r="D560" s="84" t="s">
        <v>966</v>
      </c>
      <c r="E560" s="84" t="s">
        <v>976</v>
      </c>
      <c r="F560" s="84" t="s">
        <v>306</v>
      </c>
      <c r="G560" s="84" t="s">
        <v>306</v>
      </c>
      <c r="H560" s="84" t="s">
        <v>977</v>
      </c>
      <c r="I560" s="84" t="s">
        <v>978</v>
      </c>
      <c r="J560" s="86">
        <v>490.28</v>
      </c>
      <c r="K560" s="86">
        <v>0</v>
      </c>
      <c r="L560" s="84" t="s">
        <v>979</v>
      </c>
      <c r="M560" s="84" t="s">
        <v>327</v>
      </c>
    </row>
    <row r="561" spans="1:13" x14ac:dyDescent="0.25">
      <c r="A561" s="83">
        <v>642795</v>
      </c>
      <c r="B561" s="84" t="s">
        <v>303</v>
      </c>
      <c r="C561" s="85">
        <f t="shared" si="15"/>
        <v>45747</v>
      </c>
      <c r="D561" s="84" t="s">
        <v>966</v>
      </c>
      <c r="E561" s="84" t="s">
        <v>980</v>
      </c>
      <c r="F561" s="84" t="s">
        <v>306</v>
      </c>
      <c r="G561" s="84" t="s">
        <v>306</v>
      </c>
      <c r="H561" s="84" t="s">
        <v>906</v>
      </c>
      <c r="I561" s="84" t="s">
        <v>907</v>
      </c>
      <c r="J561" s="86">
        <v>404.17</v>
      </c>
      <c r="K561" s="86">
        <v>0</v>
      </c>
      <c r="L561" s="84" t="s">
        <v>908</v>
      </c>
      <c r="M561" s="84" t="s">
        <v>310</v>
      </c>
    </row>
    <row r="562" spans="1:13" x14ac:dyDescent="0.25">
      <c r="A562" s="83">
        <v>642795</v>
      </c>
      <c r="B562" s="84" t="s">
        <v>303</v>
      </c>
      <c r="C562" s="85">
        <f t="shared" si="15"/>
        <v>45747</v>
      </c>
      <c r="D562" s="84" t="s">
        <v>966</v>
      </c>
      <c r="E562" s="84" t="s">
        <v>981</v>
      </c>
      <c r="F562" s="84" t="s">
        <v>306</v>
      </c>
      <c r="G562" s="84" t="s">
        <v>306</v>
      </c>
      <c r="H562" s="84" t="s">
        <v>982</v>
      </c>
      <c r="I562" s="84" t="s">
        <v>983</v>
      </c>
      <c r="J562" s="86">
        <v>349</v>
      </c>
      <c r="K562" s="86">
        <v>0</v>
      </c>
      <c r="L562" s="84" t="s">
        <v>984</v>
      </c>
      <c r="M562" s="84" t="s">
        <v>310</v>
      </c>
    </row>
    <row r="563" spans="1:13" x14ac:dyDescent="0.25">
      <c r="A563" s="83">
        <v>642795</v>
      </c>
      <c r="B563" s="84" t="s">
        <v>303</v>
      </c>
      <c r="C563" s="85">
        <f t="shared" si="15"/>
        <v>45747</v>
      </c>
      <c r="D563" s="84" t="s">
        <v>966</v>
      </c>
      <c r="E563" s="84" t="s">
        <v>985</v>
      </c>
      <c r="F563" s="84" t="s">
        <v>306</v>
      </c>
      <c r="G563" s="84" t="s">
        <v>306</v>
      </c>
      <c r="H563" s="84" t="s">
        <v>887</v>
      </c>
      <c r="I563" s="84" t="s">
        <v>888</v>
      </c>
      <c r="J563" s="86">
        <v>137.6</v>
      </c>
      <c r="K563" s="86">
        <v>0</v>
      </c>
      <c r="L563" s="84" t="s">
        <v>604</v>
      </c>
      <c r="M563" s="84" t="s">
        <v>336</v>
      </c>
    </row>
    <row r="564" spans="1:13" x14ac:dyDescent="0.25">
      <c r="A564" s="83">
        <v>642795</v>
      </c>
      <c r="B564" s="84" t="s">
        <v>303</v>
      </c>
      <c r="C564" s="85">
        <f t="shared" si="15"/>
        <v>45747</v>
      </c>
      <c r="D564" s="84" t="s">
        <v>966</v>
      </c>
      <c r="E564" s="84" t="s">
        <v>986</v>
      </c>
      <c r="F564" s="84" t="s">
        <v>306</v>
      </c>
      <c r="G564" s="84" t="s">
        <v>306</v>
      </c>
      <c r="H564" s="84" t="s">
        <v>987</v>
      </c>
      <c r="I564" s="84" t="s">
        <v>988</v>
      </c>
      <c r="J564" s="86">
        <v>625</v>
      </c>
      <c r="K564" s="86">
        <v>0</v>
      </c>
      <c r="L564" s="84" t="s">
        <v>989</v>
      </c>
      <c r="M564" s="84" t="s">
        <v>327</v>
      </c>
    </row>
    <row r="565" spans="1:13" x14ac:dyDescent="0.25">
      <c r="A565" s="83">
        <v>642795</v>
      </c>
      <c r="B565" s="84" t="s">
        <v>303</v>
      </c>
      <c r="C565" s="85">
        <f t="shared" si="15"/>
        <v>45747</v>
      </c>
      <c r="D565" s="84" t="s">
        <v>966</v>
      </c>
      <c r="E565" s="84" t="s">
        <v>990</v>
      </c>
      <c r="F565" s="84" t="s">
        <v>306</v>
      </c>
      <c r="G565" s="84" t="s">
        <v>306</v>
      </c>
      <c r="H565" s="84" t="s">
        <v>873</v>
      </c>
      <c r="I565" s="84" t="s">
        <v>874</v>
      </c>
      <c r="J565" s="86">
        <v>1802.5</v>
      </c>
      <c r="K565" s="86">
        <v>0</v>
      </c>
      <c r="L565" s="84" t="s">
        <v>875</v>
      </c>
      <c r="M565" s="84" t="s">
        <v>652</v>
      </c>
    </row>
    <row r="566" spans="1:13" x14ac:dyDescent="0.25">
      <c r="A566" s="83">
        <v>642795</v>
      </c>
      <c r="B566" s="84" t="s">
        <v>303</v>
      </c>
      <c r="C566" s="85">
        <f t="shared" si="15"/>
        <v>45747</v>
      </c>
      <c r="D566" s="84" t="s">
        <v>966</v>
      </c>
      <c r="E566" s="84" t="s">
        <v>991</v>
      </c>
      <c r="F566" s="84" t="s">
        <v>306</v>
      </c>
      <c r="G566" s="84" t="s">
        <v>306</v>
      </c>
      <c r="H566" s="84" t="s">
        <v>843</v>
      </c>
      <c r="I566" s="84" t="s">
        <v>844</v>
      </c>
      <c r="J566" s="86">
        <v>38.04</v>
      </c>
      <c r="K566" s="86">
        <v>0</v>
      </c>
      <c r="L566" s="84" t="s">
        <v>845</v>
      </c>
      <c r="M566" s="84" t="s">
        <v>652</v>
      </c>
    </row>
    <row r="567" spans="1:13" x14ac:dyDescent="0.25">
      <c r="A567" s="83">
        <v>642795</v>
      </c>
      <c r="B567" s="84" t="s">
        <v>303</v>
      </c>
      <c r="C567" s="85">
        <f t="shared" si="15"/>
        <v>45747</v>
      </c>
      <c r="D567" s="84" t="s">
        <v>966</v>
      </c>
      <c r="E567" s="84" t="s">
        <v>992</v>
      </c>
      <c r="F567" s="84" t="s">
        <v>306</v>
      </c>
      <c r="G567" s="84" t="s">
        <v>306</v>
      </c>
      <c r="H567" s="84" t="s">
        <v>843</v>
      </c>
      <c r="I567" s="84" t="s">
        <v>844</v>
      </c>
      <c r="J567" s="86">
        <v>53.38</v>
      </c>
      <c r="K567" s="86">
        <v>0</v>
      </c>
      <c r="L567" s="84" t="s">
        <v>845</v>
      </c>
      <c r="M567" s="84" t="s">
        <v>652</v>
      </c>
    </row>
    <row r="568" spans="1:13" x14ac:dyDescent="0.25">
      <c r="A568" s="83">
        <v>642795</v>
      </c>
      <c r="B568" s="84" t="s">
        <v>303</v>
      </c>
      <c r="C568" s="85">
        <f t="shared" si="15"/>
        <v>45747</v>
      </c>
      <c r="D568" s="84" t="s">
        <v>966</v>
      </c>
      <c r="E568" s="84" t="s">
        <v>993</v>
      </c>
      <c r="F568" s="84" t="s">
        <v>306</v>
      </c>
      <c r="G568" s="84" t="s">
        <v>306</v>
      </c>
      <c r="H568" s="84" t="s">
        <v>843</v>
      </c>
      <c r="I568" s="84" t="s">
        <v>844</v>
      </c>
      <c r="J568" s="86">
        <v>77.040000000000006</v>
      </c>
      <c r="K568" s="86">
        <v>0</v>
      </c>
      <c r="L568" s="84" t="s">
        <v>845</v>
      </c>
      <c r="M568" s="84" t="s">
        <v>652</v>
      </c>
    </row>
    <row r="569" spans="1:13" x14ac:dyDescent="0.25">
      <c r="A569" s="83">
        <v>643351</v>
      </c>
      <c r="B569" s="84" t="s">
        <v>303</v>
      </c>
      <c r="C569" s="85">
        <f t="shared" si="15"/>
        <v>45747</v>
      </c>
      <c r="D569" s="84" t="s">
        <v>994</v>
      </c>
      <c r="E569" s="84" t="s">
        <v>995</v>
      </c>
      <c r="F569" s="84" t="s">
        <v>306</v>
      </c>
      <c r="G569" s="84" t="s">
        <v>306</v>
      </c>
      <c r="H569" s="84" t="s">
        <v>535</v>
      </c>
      <c r="I569" s="84" t="s">
        <v>534</v>
      </c>
      <c r="J569" s="86">
        <v>37.26</v>
      </c>
      <c r="K569" s="86">
        <v>0</v>
      </c>
      <c r="L569" s="84" t="s">
        <v>536</v>
      </c>
      <c r="M569" s="84" t="s">
        <v>531</v>
      </c>
    </row>
    <row r="570" spans="1:13" x14ac:dyDescent="0.25">
      <c r="A570" s="83">
        <v>643351</v>
      </c>
      <c r="B570" s="84" t="s">
        <v>303</v>
      </c>
      <c r="C570" s="85">
        <f t="shared" si="15"/>
        <v>45747</v>
      </c>
      <c r="D570" s="84" t="s">
        <v>994</v>
      </c>
      <c r="E570" s="84" t="s">
        <v>996</v>
      </c>
      <c r="F570" s="84" t="s">
        <v>306</v>
      </c>
      <c r="G570" s="84" t="s">
        <v>306</v>
      </c>
      <c r="H570" s="84" t="s">
        <v>535</v>
      </c>
      <c r="I570" s="84" t="s">
        <v>534</v>
      </c>
      <c r="J570" s="86">
        <v>90.21</v>
      </c>
      <c r="K570" s="86">
        <v>0</v>
      </c>
      <c r="L570" s="84" t="s">
        <v>536</v>
      </c>
      <c r="M570" s="84" t="s">
        <v>531</v>
      </c>
    </row>
    <row r="571" spans="1:13" x14ac:dyDescent="0.25">
      <c r="A571" s="83">
        <v>643351</v>
      </c>
      <c r="B571" s="84" t="s">
        <v>303</v>
      </c>
      <c r="C571" s="85">
        <f t="shared" si="15"/>
        <v>45747</v>
      </c>
      <c r="D571" s="84" t="s">
        <v>994</v>
      </c>
      <c r="E571" s="84" t="s">
        <v>997</v>
      </c>
      <c r="F571" s="84" t="s">
        <v>306</v>
      </c>
      <c r="G571" s="84" t="s">
        <v>306</v>
      </c>
      <c r="H571" s="84" t="s">
        <v>702</v>
      </c>
      <c r="I571" s="84" t="s">
        <v>703</v>
      </c>
      <c r="J571" s="86">
        <v>265.42</v>
      </c>
      <c r="K571" s="86">
        <v>0</v>
      </c>
      <c r="L571" s="84" t="s">
        <v>578</v>
      </c>
      <c r="M571" s="84" t="s">
        <v>310</v>
      </c>
    </row>
    <row r="572" spans="1:13" x14ac:dyDescent="0.25">
      <c r="A572" s="83">
        <v>643351</v>
      </c>
      <c r="B572" s="84" t="s">
        <v>303</v>
      </c>
      <c r="C572" s="85">
        <f t="shared" si="15"/>
        <v>45747</v>
      </c>
      <c r="D572" s="84" t="s">
        <v>994</v>
      </c>
      <c r="E572" s="84" t="s">
        <v>998</v>
      </c>
      <c r="F572" s="84" t="s">
        <v>306</v>
      </c>
      <c r="G572" s="84" t="s">
        <v>306</v>
      </c>
      <c r="H572" s="84" t="s">
        <v>702</v>
      </c>
      <c r="I572" s="84" t="s">
        <v>703</v>
      </c>
      <c r="J572" s="86">
        <v>326.32</v>
      </c>
      <c r="K572" s="86">
        <v>0</v>
      </c>
      <c r="L572" s="84" t="s">
        <v>578</v>
      </c>
      <c r="M572" s="84" t="s">
        <v>310</v>
      </c>
    </row>
    <row r="573" spans="1:13" x14ac:dyDescent="0.25">
      <c r="A573" s="83">
        <v>643351</v>
      </c>
      <c r="B573" s="84" t="s">
        <v>303</v>
      </c>
      <c r="C573" s="85">
        <f t="shared" si="15"/>
        <v>45747</v>
      </c>
      <c r="D573" s="84" t="s">
        <v>994</v>
      </c>
      <c r="E573" s="84" t="s">
        <v>996</v>
      </c>
      <c r="F573" s="84" t="s">
        <v>306</v>
      </c>
      <c r="G573" s="84" t="s">
        <v>306</v>
      </c>
      <c r="H573" s="84" t="s">
        <v>702</v>
      </c>
      <c r="I573" s="84" t="s">
        <v>703</v>
      </c>
      <c r="J573" s="86">
        <v>345.52</v>
      </c>
      <c r="K573" s="86">
        <v>0</v>
      </c>
      <c r="L573" s="84" t="s">
        <v>578</v>
      </c>
      <c r="M573" s="84" t="s">
        <v>310</v>
      </c>
    </row>
    <row r="574" spans="1:13" x14ac:dyDescent="0.25">
      <c r="A574" s="83">
        <v>643351</v>
      </c>
      <c r="B574" s="84" t="s">
        <v>303</v>
      </c>
      <c r="C574" s="85">
        <f t="shared" si="15"/>
        <v>45747</v>
      </c>
      <c r="D574" s="84" t="s">
        <v>994</v>
      </c>
      <c r="E574" s="84" t="s">
        <v>999</v>
      </c>
      <c r="F574" s="84" t="s">
        <v>306</v>
      </c>
      <c r="G574" s="84" t="s">
        <v>306</v>
      </c>
      <c r="H574" s="84" t="s">
        <v>702</v>
      </c>
      <c r="I574" s="84" t="s">
        <v>703</v>
      </c>
      <c r="J574" s="86">
        <v>358.45</v>
      </c>
      <c r="K574" s="86">
        <v>0</v>
      </c>
      <c r="L574" s="84" t="s">
        <v>578</v>
      </c>
      <c r="M574" s="84" t="s">
        <v>310</v>
      </c>
    </row>
    <row r="575" spans="1:13" x14ac:dyDescent="0.25">
      <c r="A575" s="83">
        <v>643351</v>
      </c>
      <c r="B575" s="84" t="s">
        <v>303</v>
      </c>
      <c r="C575" s="85">
        <f t="shared" si="15"/>
        <v>45747</v>
      </c>
      <c r="D575" s="84" t="s">
        <v>994</v>
      </c>
      <c r="E575" s="84" t="s">
        <v>1000</v>
      </c>
      <c r="F575" s="84" t="s">
        <v>306</v>
      </c>
      <c r="G575" s="84" t="s">
        <v>306</v>
      </c>
      <c r="H575" s="84" t="s">
        <v>1001</v>
      </c>
      <c r="I575" s="84" t="s">
        <v>1002</v>
      </c>
      <c r="J575" s="86">
        <v>589.9</v>
      </c>
      <c r="K575" s="86">
        <v>0</v>
      </c>
      <c r="L575" s="84" t="s">
        <v>227</v>
      </c>
      <c r="M575" s="84" t="s">
        <v>352</v>
      </c>
    </row>
    <row r="576" spans="1:13" x14ac:dyDescent="0.25">
      <c r="A576" s="83">
        <v>643351</v>
      </c>
      <c r="B576" s="84" t="s">
        <v>303</v>
      </c>
      <c r="C576" s="85">
        <f t="shared" si="15"/>
        <v>45747</v>
      </c>
      <c r="D576" s="84" t="s">
        <v>994</v>
      </c>
      <c r="E576" s="84" t="s">
        <v>998</v>
      </c>
      <c r="F576" s="84" t="s">
        <v>306</v>
      </c>
      <c r="G576" s="84" t="s">
        <v>306</v>
      </c>
      <c r="H576" s="84" t="s">
        <v>1001</v>
      </c>
      <c r="I576" s="84" t="s">
        <v>1002</v>
      </c>
      <c r="J576" s="86">
        <v>187.43</v>
      </c>
      <c r="K576" s="86">
        <v>0</v>
      </c>
      <c r="L576" s="84" t="s">
        <v>227</v>
      </c>
      <c r="M576" s="84" t="s">
        <v>352</v>
      </c>
    </row>
    <row r="577" spans="1:13" x14ac:dyDescent="0.25">
      <c r="A577" s="83">
        <v>643351</v>
      </c>
      <c r="B577" s="84" t="s">
        <v>303</v>
      </c>
      <c r="C577" s="85">
        <f t="shared" si="15"/>
        <v>45747</v>
      </c>
      <c r="D577" s="84" t="s">
        <v>994</v>
      </c>
      <c r="E577" s="84" t="s">
        <v>1003</v>
      </c>
      <c r="F577" s="84" t="s">
        <v>306</v>
      </c>
      <c r="G577" s="84" t="s">
        <v>306</v>
      </c>
      <c r="H577" s="84" t="s">
        <v>1001</v>
      </c>
      <c r="I577" s="84" t="s">
        <v>1002</v>
      </c>
      <c r="J577" s="86">
        <v>162.5</v>
      </c>
      <c r="K577" s="86">
        <v>0</v>
      </c>
      <c r="L577" s="84" t="s">
        <v>227</v>
      </c>
      <c r="M577" s="84" t="s">
        <v>352</v>
      </c>
    </row>
    <row r="578" spans="1:13" x14ac:dyDescent="0.25">
      <c r="A578" s="83">
        <v>643351</v>
      </c>
      <c r="B578" s="84" t="s">
        <v>303</v>
      </c>
      <c r="C578" s="85">
        <f t="shared" si="15"/>
        <v>45747</v>
      </c>
      <c r="D578" s="84" t="s">
        <v>994</v>
      </c>
      <c r="E578" s="84" t="s">
        <v>1003</v>
      </c>
      <c r="F578" s="84" t="s">
        <v>306</v>
      </c>
      <c r="G578" s="84" t="s">
        <v>306</v>
      </c>
      <c r="H578" s="84" t="s">
        <v>1001</v>
      </c>
      <c r="I578" s="84" t="s">
        <v>1002</v>
      </c>
      <c r="J578" s="86">
        <v>85.41</v>
      </c>
      <c r="K578" s="86">
        <v>0</v>
      </c>
      <c r="L578" s="84" t="s">
        <v>227</v>
      </c>
      <c r="M578" s="84" t="s">
        <v>352</v>
      </c>
    </row>
    <row r="579" spans="1:13" x14ac:dyDescent="0.25">
      <c r="A579" s="83">
        <v>643351</v>
      </c>
      <c r="B579" s="84" t="s">
        <v>303</v>
      </c>
      <c r="C579" s="85">
        <f t="shared" si="15"/>
        <v>45747</v>
      </c>
      <c r="D579" s="84" t="s">
        <v>994</v>
      </c>
      <c r="E579" s="84" t="s">
        <v>1003</v>
      </c>
      <c r="F579" s="84" t="s">
        <v>306</v>
      </c>
      <c r="G579" s="84" t="s">
        <v>306</v>
      </c>
      <c r="H579" s="84" t="s">
        <v>1001</v>
      </c>
      <c r="I579" s="84" t="s">
        <v>1002</v>
      </c>
      <c r="J579" s="86">
        <v>78.73</v>
      </c>
      <c r="K579" s="86">
        <v>0</v>
      </c>
      <c r="L579" s="84" t="s">
        <v>227</v>
      </c>
      <c r="M579" s="84" t="s">
        <v>352</v>
      </c>
    </row>
    <row r="580" spans="1:13" x14ac:dyDescent="0.25">
      <c r="A580" s="83">
        <v>643351</v>
      </c>
      <c r="B580" s="84" t="s">
        <v>303</v>
      </c>
      <c r="C580" s="85">
        <f t="shared" si="15"/>
        <v>45747</v>
      </c>
      <c r="D580" s="84" t="s">
        <v>994</v>
      </c>
      <c r="E580" s="84" t="s">
        <v>996</v>
      </c>
      <c r="F580" s="84" t="s">
        <v>306</v>
      </c>
      <c r="G580" s="84" t="s">
        <v>306</v>
      </c>
      <c r="H580" s="84" t="s">
        <v>1001</v>
      </c>
      <c r="I580" s="84" t="s">
        <v>1002</v>
      </c>
      <c r="J580" s="86">
        <v>25.33</v>
      </c>
      <c r="K580" s="86">
        <v>0</v>
      </c>
      <c r="L580" s="84" t="s">
        <v>227</v>
      </c>
      <c r="M580" s="84" t="s">
        <v>352</v>
      </c>
    </row>
    <row r="581" spans="1:13" x14ac:dyDescent="0.25">
      <c r="A581" s="83">
        <v>643351</v>
      </c>
      <c r="B581" s="84" t="s">
        <v>303</v>
      </c>
      <c r="C581" s="85">
        <f t="shared" si="15"/>
        <v>45747</v>
      </c>
      <c r="D581" s="84" t="s">
        <v>994</v>
      </c>
      <c r="E581" s="84" t="s">
        <v>1004</v>
      </c>
      <c r="F581" s="84" t="s">
        <v>306</v>
      </c>
      <c r="G581" s="84" t="s">
        <v>306</v>
      </c>
      <c r="H581" s="84" t="s">
        <v>1001</v>
      </c>
      <c r="I581" s="84" t="s">
        <v>1002</v>
      </c>
      <c r="J581" s="86">
        <v>20.27</v>
      </c>
      <c r="K581" s="86">
        <v>0</v>
      </c>
      <c r="L581" s="84" t="s">
        <v>227</v>
      </c>
      <c r="M581" s="84" t="s">
        <v>352</v>
      </c>
    </row>
    <row r="582" spans="1:13" x14ac:dyDescent="0.25">
      <c r="A582" s="83">
        <v>643351</v>
      </c>
      <c r="B582" s="84" t="s">
        <v>303</v>
      </c>
      <c r="C582" s="85">
        <f t="shared" si="15"/>
        <v>45747</v>
      </c>
      <c r="D582" s="84" t="s">
        <v>994</v>
      </c>
      <c r="E582" s="84" t="s">
        <v>1005</v>
      </c>
      <c r="F582" s="84" t="s">
        <v>306</v>
      </c>
      <c r="G582" s="84" t="s">
        <v>306</v>
      </c>
      <c r="H582" s="84" t="s">
        <v>1006</v>
      </c>
      <c r="I582" s="84" t="s">
        <v>1007</v>
      </c>
      <c r="J582" s="86">
        <v>55.02</v>
      </c>
      <c r="K582" s="86">
        <v>0</v>
      </c>
      <c r="L582" s="84" t="s">
        <v>1008</v>
      </c>
      <c r="M582" s="84" t="s">
        <v>569</v>
      </c>
    </row>
    <row r="583" spans="1:13" x14ac:dyDescent="0.25">
      <c r="A583" s="83">
        <v>643351</v>
      </c>
      <c r="B583" s="84" t="s">
        <v>303</v>
      </c>
      <c r="C583" s="85">
        <f t="shared" si="15"/>
        <v>45747</v>
      </c>
      <c r="D583" s="84" t="s">
        <v>994</v>
      </c>
      <c r="E583" s="84" t="s">
        <v>1009</v>
      </c>
      <c r="F583" s="84" t="s">
        <v>306</v>
      </c>
      <c r="G583" s="84" t="s">
        <v>306</v>
      </c>
      <c r="H583" s="84" t="s">
        <v>931</v>
      </c>
      <c r="I583" s="84" t="s">
        <v>932</v>
      </c>
      <c r="J583" s="86">
        <v>2.5</v>
      </c>
      <c r="K583" s="86">
        <v>0</v>
      </c>
      <c r="L583" s="84" t="s">
        <v>933</v>
      </c>
      <c r="M583" s="84" t="s">
        <v>344</v>
      </c>
    </row>
    <row r="584" spans="1:13" x14ac:dyDescent="0.25">
      <c r="A584" s="83">
        <v>643351</v>
      </c>
      <c r="B584" s="84" t="s">
        <v>303</v>
      </c>
      <c r="C584" s="85">
        <f t="shared" si="15"/>
        <v>45747</v>
      </c>
      <c r="D584" s="84" t="s">
        <v>994</v>
      </c>
      <c r="E584" s="84" t="s">
        <v>1010</v>
      </c>
      <c r="F584" s="84" t="s">
        <v>306</v>
      </c>
      <c r="G584" s="84" t="s">
        <v>306</v>
      </c>
      <c r="H584" s="84" t="s">
        <v>973</v>
      </c>
      <c r="I584" s="84" t="s">
        <v>974</v>
      </c>
      <c r="J584" s="86">
        <v>503.93</v>
      </c>
      <c r="K584" s="86">
        <v>0</v>
      </c>
      <c r="L584" s="84" t="s">
        <v>975</v>
      </c>
      <c r="M584" s="84" t="s">
        <v>310</v>
      </c>
    </row>
    <row r="585" spans="1:13" x14ac:dyDescent="0.25">
      <c r="A585" s="83">
        <v>643351</v>
      </c>
      <c r="B585" s="84" t="s">
        <v>303</v>
      </c>
      <c r="C585" s="85">
        <f t="shared" si="15"/>
        <v>45747</v>
      </c>
      <c r="D585" s="84" t="s">
        <v>994</v>
      </c>
      <c r="E585" s="84" t="s">
        <v>1011</v>
      </c>
      <c r="F585" s="84" t="s">
        <v>306</v>
      </c>
      <c r="G585" s="84" t="s">
        <v>306</v>
      </c>
      <c r="H585" s="84" t="s">
        <v>567</v>
      </c>
      <c r="I585" s="84" t="s">
        <v>275</v>
      </c>
      <c r="J585" s="86">
        <v>0.5</v>
      </c>
      <c r="K585" s="86">
        <v>0</v>
      </c>
      <c r="L585" s="84" t="s">
        <v>568</v>
      </c>
      <c r="M585" s="84" t="s">
        <v>569</v>
      </c>
    </row>
    <row r="586" spans="1:13" x14ac:dyDescent="0.25">
      <c r="A586" s="83">
        <v>643351</v>
      </c>
      <c r="B586" s="84" t="s">
        <v>303</v>
      </c>
      <c r="C586" s="85">
        <f t="shared" si="15"/>
        <v>45747</v>
      </c>
      <c r="D586" s="84" t="s">
        <v>994</v>
      </c>
      <c r="E586" s="84" t="s">
        <v>1012</v>
      </c>
      <c r="F586" s="84" t="s">
        <v>306</v>
      </c>
      <c r="G586" s="84" t="s">
        <v>306</v>
      </c>
      <c r="H586" s="84" t="s">
        <v>567</v>
      </c>
      <c r="I586" s="84" t="s">
        <v>275</v>
      </c>
      <c r="J586" s="86">
        <v>7</v>
      </c>
      <c r="K586" s="86">
        <v>0</v>
      </c>
      <c r="L586" s="84" t="s">
        <v>568</v>
      </c>
      <c r="M586" s="84" t="s">
        <v>569</v>
      </c>
    </row>
    <row r="587" spans="1:13" x14ac:dyDescent="0.25">
      <c r="A587" s="83">
        <v>643351</v>
      </c>
      <c r="B587" s="84" t="s">
        <v>303</v>
      </c>
      <c r="C587" s="85">
        <f t="shared" si="15"/>
        <v>45747</v>
      </c>
      <c r="D587" s="84" t="s">
        <v>994</v>
      </c>
      <c r="E587" s="84" t="s">
        <v>1012</v>
      </c>
      <c r="F587" s="84" t="s">
        <v>306</v>
      </c>
      <c r="G587" s="84" t="s">
        <v>306</v>
      </c>
      <c r="H587" s="84" t="s">
        <v>567</v>
      </c>
      <c r="I587" s="84" t="s">
        <v>275</v>
      </c>
      <c r="J587" s="86">
        <v>7</v>
      </c>
      <c r="K587" s="86">
        <v>0</v>
      </c>
      <c r="L587" s="84" t="s">
        <v>568</v>
      </c>
      <c r="M587" s="84" t="s">
        <v>569</v>
      </c>
    </row>
    <row r="588" spans="1:13" x14ac:dyDescent="0.25">
      <c r="A588" s="83">
        <v>643351</v>
      </c>
      <c r="B588" s="84" t="s">
        <v>303</v>
      </c>
      <c r="C588" s="85">
        <f t="shared" si="15"/>
        <v>45747</v>
      </c>
      <c r="D588" s="84" t="s">
        <v>994</v>
      </c>
      <c r="E588" s="84" t="s">
        <v>1013</v>
      </c>
      <c r="F588" s="84" t="s">
        <v>306</v>
      </c>
      <c r="G588" s="84" t="s">
        <v>306</v>
      </c>
      <c r="H588" s="84" t="s">
        <v>567</v>
      </c>
      <c r="I588" s="84" t="s">
        <v>275</v>
      </c>
      <c r="J588" s="86">
        <v>8.1999999999999993</v>
      </c>
      <c r="K588" s="86">
        <v>0</v>
      </c>
      <c r="L588" s="84" t="s">
        <v>568</v>
      </c>
      <c r="M588" s="84" t="s">
        <v>569</v>
      </c>
    </row>
    <row r="589" spans="1:13" x14ac:dyDescent="0.25">
      <c r="A589" s="83">
        <v>643351</v>
      </c>
      <c r="B589" s="84" t="s">
        <v>303</v>
      </c>
      <c r="C589" s="85">
        <f t="shared" si="15"/>
        <v>45747</v>
      </c>
      <c r="D589" s="84" t="s">
        <v>994</v>
      </c>
      <c r="E589" s="84" t="s">
        <v>1012</v>
      </c>
      <c r="F589" s="84" t="s">
        <v>306</v>
      </c>
      <c r="G589" s="84" t="s">
        <v>306</v>
      </c>
      <c r="H589" s="84" t="s">
        <v>567</v>
      </c>
      <c r="I589" s="84" t="s">
        <v>275</v>
      </c>
      <c r="J589" s="86">
        <v>8.43</v>
      </c>
      <c r="K589" s="86">
        <v>0</v>
      </c>
      <c r="L589" s="84" t="s">
        <v>568</v>
      </c>
      <c r="M589" s="84" t="s">
        <v>569</v>
      </c>
    </row>
    <row r="590" spans="1:13" x14ac:dyDescent="0.25">
      <c r="A590" s="83">
        <v>643351</v>
      </c>
      <c r="B590" s="84" t="s">
        <v>303</v>
      </c>
      <c r="C590" s="85">
        <f t="shared" si="15"/>
        <v>45747</v>
      </c>
      <c r="D590" s="84" t="s">
        <v>994</v>
      </c>
      <c r="E590" s="84" t="s">
        <v>1012</v>
      </c>
      <c r="F590" s="84" t="s">
        <v>306</v>
      </c>
      <c r="G590" s="84" t="s">
        <v>306</v>
      </c>
      <c r="H590" s="84" t="s">
        <v>567</v>
      </c>
      <c r="I590" s="84" t="s">
        <v>275</v>
      </c>
      <c r="J590" s="86">
        <v>9.14</v>
      </c>
      <c r="K590" s="86">
        <v>0</v>
      </c>
      <c r="L590" s="84" t="s">
        <v>568</v>
      </c>
      <c r="M590" s="84" t="s">
        <v>569</v>
      </c>
    </row>
    <row r="591" spans="1:13" x14ac:dyDescent="0.25">
      <c r="A591" s="83">
        <v>643351</v>
      </c>
      <c r="B591" s="84" t="s">
        <v>303</v>
      </c>
      <c r="C591" s="85">
        <f t="shared" si="15"/>
        <v>45747</v>
      </c>
      <c r="D591" s="84" t="s">
        <v>994</v>
      </c>
      <c r="E591" s="84" t="s">
        <v>1012</v>
      </c>
      <c r="F591" s="84" t="s">
        <v>306</v>
      </c>
      <c r="G591" s="84" t="s">
        <v>306</v>
      </c>
      <c r="H591" s="84" t="s">
        <v>567</v>
      </c>
      <c r="I591" s="84" t="s">
        <v>275</v>
      </c>
      <c r="J591" s="86">
        <v>9.44</v>
      </c>
      <c r="K591" s="86">
        <v>0</v>
      </c>
      <c r="L591" s="84" t="s">
        <v>568</v>
      </c>
      <c r="M591" s="84" t="s">
        <v>569</v>
      </c>
    </row>
    <row r="592" spans="1:13" x14ac:dyDescent="0.25">
      <c r="A592" s="83">
        <v>643351</v>
      </c>
      <c r="B592" s="84" t="s">
        <v>303</v>
      </c>
      <c r="C592" s="85">
        <f t="shared" si="15"/>
        <v>45747</v>
      </c>
      <c r="D592" s="84" t="s">
        <v>994</v>
      </c>
      <c r="E592" s="84" t="s">
        <v>1014</v>
      </c>
      <c r="F592" s="84" t="s">
        <v>306</v>
      </c>
      <c r="G592" s="84" t="s">
        <v>306</v>
      </c>
      <c r="H592" s="84" t="s">
        <v>567</v>
      </c>
      <c r="I592" s="84" t="s">
        <v>275</v>
      </c>
      <c r="J592" s="86">
        <v>9.99</v>
      </c>
      <c r="K592" s="86">
        <v>0</v>
      </c>
      <c r="L592" s="84" t="s">
        <v>568</v>
      </c>
      <c r="M592" s="84" t="s">
        <v>569</v>
      </c>
    </row>
    <row r="593" spans="1:13" x14ac:dyDescent="0.25">
      <c r="A593" s="83">
        <v>643351</v>
      </c>
      <c r="B593" s="84" t="s">
        <v>303</v>
      </c>
      <c r="C593" s="85">
        <f t="shared" si="15"/>
        <v>45747</v>
      </c>
      <c r="D593" s="84" t="s">
        <v>994</v>
      </c>
      <c r="E593" s="84" t="s">
        <v>1012</v>
      </c>
      <c r="F593" s="84" t="s">
        <v>306</v>
      </c>
      <c r="G593" s="84" t="s">
        <v>306</v>
      </c>
      <c r="H593" s="84" t="s">
        <v>567</v>
      </c>
      <c r="I593" s="84" t="s">
        <v>275</v>
      </c>
      <c r="J593" s="86">
        <v>10</v>
      </c>
      <c r="K593" s="86">
        <v>0</v>
      </c>
      <c r="L593" s="84" t="s">
        <v>568</v>
      </c>
      <c r="M593" s="84" t="s">
        <v>569</v>
      </c>
    </row>
    <row r="594" spans="1:13" x14ac:dyDescent="0.25">
      <c r="A594" s="83">
        <v>643351</v>
      </c>
      <c r="B594" s="84" t="s">
        <v>303</v>
      </c>
      <c r="C594" s="85">
        <f t="shared" si="15"/>
        <v>45747</v>
      </c>
      <c r="D594" s="84" t="s">
        <v>994</v>
      </c>
      <c r="E594" s="84" t="s">
        <v>1012</v>
      </c>
      <c r="F594" s="84" t="s">
        <v>306</v>
      </c>
      <c r="G594" s="84" t="s">
        <v>306</v>
      </c>
      <c r="H594" s="84" t="s">
        <v>567</v>
      </c>
      <c r="I594" s="84" t="s">
        <v>275</v>
      </c>
      <c r="J594" s="86">
        <v>10.81</v>
      </c>
      <c r="K594" s="86">
        <v>0</v>
      </c>
      <c r="L594" s="84" t="s">
        <v>568</v>
      </c>
      <c r="M594" s="84" t="s">
        <v>569</v>
      </c>
    </row>
    <row r="595" spans="1:13" x14ac:dyDescent="0.25">
      <c r="A595" s="83">
        <v>643351</v>
      </c>
      <c r="B595" s="84" t="s">
        <v>303</v>
      </c>
      <c r="C595" s="85">
        <f t="shared" si="15"/>
        <v>45747</v>
      </c>
      <c r="D595" s="84" t="s">
        <v>994</v>
      </c>
      <c r="E595" s="84" t="s">
        <v>1012</v>
      </c>
      <c r="F595" s="84" t="s">
        <v>306</v>
      </c>
      <c r="G595" s="84" t="s">
        <v>306</v>
      </c>
      <c r="H595" s="84" t="s">
        <v>567</v>
      </c>
      <c r="I595" s="84" t="s">
        <v>275</v>
      </c>
      <c r="J595" s="86">
        <v>12.99</v>
      </c>
      <c r="K595" s="86">
        <v>0</v>
      </c>
      <c r="L595" s="84" t="s">
        <v>568</v>
      </c>
      <c r="M595" s="84" t="s">
        <v>569</v>
      </c>
    </row>
    <row r="596" spans="1:13" x14ac:dyDescent="0.25">
      <c r="A596" s="83">
        <v>643351</v>
      </c>
      <c r="B596" s="84" t="s">
        <v>303</v>
      </c>
      <c r="C596" s="85">
        <f t="shared" si="15"/>
        <v>45747</v>
      </c>
      <c r="D596" s="84" t="s">
        <v>994</v>
      </c>
      <c r="E596" s="84" t="s">
        <v>1012</v>
      </c>
      <c r="F596" s="84" t="s">
        <v>306</v>
      </c>
      <c r="G596" s="84" t="s">
        <v>306</v>
      </c>
      <c r="H596" s="84" t="s">
        <v>567</v>
      </c>
      <c r="I596" s="84" t="s">
        <v>275</v>
      </c>
      <c r="J596" s="86">
        <v>13</v>
      </c>
      <c r="K596" s="86">
        <v>0</v>
      </c>
      <c r="L596" s="84" t="s">
        <v>568</v>
      </c>
      <c r="M596" s="84" t="s">
        <v>569</v>
      </c>
    </row>
    <row r="597" spans="1:13" x14ac:dyDescent="0.25">
      <c r="A597" s="83">
        <v>643351</v>
      </c>
      <c r="B597" s="84" t="s">
        <v>303</v>
      </c>
      <c r="C597" s="85">
        <f t="shared" si="15"/>
        <v>45747</v>
      </c>
      <c r="D597" s="84" t="s">
        <v>994</v>
      </c>
      <c r="E597" s="84" t="s">
        <v>1012</v>
      </c>
      <c r="F597" s="84" t="s">
        <v>306</v>
      </c>
      <c r="G597" s="84" t="s">
        <v>306</v>
      </c>
      <c r="H597" s="84" t="s">
        <v>567</v>
      </c>
      <c r="I597" s="84" t="s">
        <v>275</v>
      </c>
      <c r="J597" s="86">
        <v>13.49</v>
      </c>
      <c r="K597" s="86">
        <v>0</v>
      </c>
      <c r="L597" s="84" t="s">
        <v>568</v>
      </c>
      <c r="M597" s="84" t="s">
        <v>569</v>
      </c>
    </row>
    <row r="598" spans="1:13" x14ac:dyDescent="0.25">
      <c r="A598" s="83">
        <v>643351</v>
      </c>
      <c r="B598" s="84" t="s">
        <v>303</v>
      </c>
      <c r="C598" s="85">
        <f t="shared" si="15"/>
        <v>45747</v>
      </c>
      <c r="D598" s="84" t="s">
        <v>994</v>
      </c>
      <c r="E598" s="84" t="s">
        <v>1012</v>
      </c>
      <c r="F598" s="84" t="s">
        <v>306</v>
      </c>
      <c r="G598" s="84" t="s">
        <v>306</v>
      </c>
      <c r="H598" s="84" t="s">
        <v>567</v>
      </c>
      <c r="I598" s="84" t="s">
        <v>275</v>
      </c>
      <c r="J598" s="86">
        <v>14.24</v>
      </c>
      <c r="K598" s="86">
        <v>0</v>
      </c>
      <c r="L598" s="84" t="s">
        <v>568</v>
      </c>
      <c r="M598" s="84" t="s">
        <v>569</v>
      </c>
    </row>
    <row r="599" spans="1:13" x14ac:dyDescent="0.25">
      <c r="A599" s="83">
        <v>643351</v>
      </c>
      <c r="B599" s="84" t="s">
        <v>303</v>
      </c>
      <c r="C599" s="85">
        <f t="shared" si="15"/>
        <v>45747</v>
      </c>
      <c r="D599" s="84" t="s">
        <v>994</v>
      </c>
      <c r="E599" s="84" t="s">
        <v>1012</v>
      </c>
      <c r="F599" s="84" t="s">
        <v>306</v>
      </c>
      <c r="G599" s="84" t="s">
        <v>306</v>
      </c>
      <c r="H599" s="84" t="s">
        <v>567</v>
      </c>
      <c r="I599" s="84" t="s">
        <v>275</v>
      </c>
      <c r="J599" s="86">
        <v>14.74</v>
      </c>
      <c r="K599" s="86">
        <v>0</v>
      </c>
      <c r="L599" s="84" t="s">
        <v>568</v>
      </c>
      <c r="M599" s="84" t="s">
        <v>569</v>
      </c>
    </row>
    <row r="600" spans="1:13" x14ac:dyDescent="0.25">
      <c r="A600" s="83">
        <v>643351</v>
      </c>
      <c r="B600" s="84" t="s">
        <v>303</v>
      </c>
      <c r="C600" s="85">
        <f t="shared" si="15"/>
        <v>45747</v>
      </c>
      <c r="D600" s="84" t="s">
        <v>994</v>
      </c>
      <c r="E600" s="84" t="s">
        <v>1012</v>
      </c>
      <c r="F600" s="84" t="s">
        <v>306</v>
      </c>
      <c r="G600" s="84" t="s">
        <v>306</v>
      </c>
      <c r="H600" s="84" t="s">
        <v>567</v>
      </c>
      <c r="I600" s="84" t="s">
        <v>275</v>
      </c>
      <c r="J600" s="86">
        <v>16.190000000000001</v>
      </c>
      <c r="K600" s="86">
        <v>0</v>
      </c>
      <c r="L600" s="84" t="s">
        <v>568</v>
      </c>
      <c r="M600" s="84" t="s">
        <v>569</v>
      </c>
    </row>
    <row r="601" spans="1:13" x14ac:dyDescent="0.25">
      <c r="A601" s="83">
        <v>643351</v>
      </c>
      <c r="B601" s="84" t="s">
        <v>303</v>
      </c>
      <c r="C601" s="85">
        <f t="shared" si="15"/>
        <v>45747</v>
      </c>
      <c r="D601" s="84" t="s">
        <v>994</v>
      </c>
      <c r="E601" s="84" t="s">
        <v>1012</v>
      </c>
      <c r="F601" s="84" t="s">
        <v>306</v>
      </c>
      <c r="G601" s="84" t="s">
        <v>306</v>
      </c>
      <c r="H601" s="84" t="s">
        <v>567</v>
      </c>
      <c r="I601" s="84" t="s">
        <v>275</v>
      </c>
      <c r="J601" s="86">
        <v>17.940000000000001</v>
      </c>
      <c r="K601" s="86">
        <v>0</v>
      </c>
      <c r="L601" s="84" t="s">
        <v>568</v>
      </c>
      <c r="M601" s="84" t="s">
        <v>569</v>
      </c>
    </row>
    <row r="602" spans="1:13" x14ac:dyDescent="0.25">
      <c r="A602" s="83">
        <v>643351</v>
      </c>
      <c r="B602" s="84" t="s">
        <v>303</v>
      </c>
      <c r="C602" s="85">
        <f t="shared" si="15"/>
        <v>45747</v>
      </c>
      <c r="D602" s="84" t="s">
        <v>994</v>
      </c>
      <c r="E602" s="84" t="s">
        <v>1012</v>
      </c>
      <c r="F602" s="84" t="s">
        <v>306</v>
      </c>
      <c r="G602" s="84" t="s">
        <v>306</v>
      </c>
      <c r="H602" s="84" t="s">
        <v>567</v>
      </c>
      <c r="I602" s="84" t="s">
        <v>275</v>
      </c>
      <c r="J602" s="86">
        <v>17.97</v>
      </c>
      <c r="K602" s="86">
        <v>0</v>
      </c>
      <c r="L602" s="84" t="s">
        <v>568</v>
      </c>
      <c r="M602" s="84" t="s">
        <v>569</v>
      </c>
    </row>
    <row r="603" spans="1:13" x14ac:dyDescent="0.25">
      <c r="A603" s="83">
        <v>643351</v>
      </c>
      <c r="B603" s="84" t="s">
        <v>303</v>
      </c>
      <c r="C603" s="85">
        <f t="shared" si="15"/>
        <v>45747</v>
      </c>
      <c r="D603" s="84" t="s">
        <v>994</v>
      </c>
      <c r="E603" s="84" t="s">
        <v>1012</v>
      </c>
      <c r="F603" s="84" t="s">
        <v>306</v>
      </c>
      <c r="G603" s="84" t="s">
        <v>306</v>
      </c>
      <c r="H603" s="84" t="s">
        <v>567</v>
      </c>
      <c r="I603" s="84" t="s">
        <v>275</v>
      </c>
      <c r="J603" s="86">
        <v>18.190000000000001</v>
      </c>
      <c r="K603" s="86">
        <v>0</v>
      </c>
      <c r="L603" s="84" t="s">
        <v>568</v>
      </c>
      <c r="M603" s="84" t="s">
        <v>569</v>
      </c>
    </row>
    <row r="604" spans="1:13" x14ac:dyDescent="0.25">
      <c r="A604" s="83">
        <v>643351</v>
      </c>
      <c r="B604" s="84" t="s">
        <v>303</v>
      </c>
      <c r="C604" s="85">
        <f t="shared" si="15"/>
        <v>45747</v>
      </c>
      <c r="D604" s="84" t="s">
        <v>994</v>
      </c>
      <c r="E604" s="84" t="s">
        <v>1012</v>
      </c>
      <c r="F604" s="84" t="s">
        <v>306</v>
      </c>
      <c r="G604" s="84" t="s">
        <v>306</v>
      </c>
      <c r="H604" s="84" t="s">
        <v>567</v>
      </c>
      <c r="I604" s="84" t="s">
        <v>275</v>
      </c>
      <c r="J604" s="86">
        <v>18.38</v>
      </c>
      <c r="K604" s="86">
        <v>0</v>
      </c>
      <c r="L604" s="84" t="s">
        <v>568</v>
      </c>
      <c r="M604" s="84" t="s">
        <v>569</v>
      </c>
    </row>
    <row r="605" spans="1:13" x14ac:dyDescent="0.25">
      <c r="A605" s="83">
        <v>643351</v>
      </c>
      <c r="B605" s="84" t="s">
        <v>303</v>
      </c>
      <c r="C605" s="85">
        <f t="shared" si="15"/>
        <v>45747</v>
      </c>
      <c r="D605" s="84" t="s">
        <v>994</v>
      </c>
      <c r="E605" s="84" t="s">
        <v>1012</v>
      </c>
      <c r="F605" s="84" t="s">
        <v>306</v>
      </c>
      <c r="G605" s="84" t="s">
        <v>306</v>
      </c>
      <c r="H605" s="84" t="s">
        <v>567</v>
      </c>
      <c r="I605" s="84" t="s">
        <v>275</v>
      </c>
      <c r="J605" s="86">
        <v>18.88</v>
      </c>
      <c r="K605" s="86">
        <v>0</v>
      </c>
      <c r="L605" s="84" t="s">
        <v>568</v>
      </c>
      <c r="M605" s="84" t="s">
        <v>569</v>
      </c>
    </row>
    <row r="606" spans="1:13" x14ac:dyDescent="0.25">
      <c r="A606" s="83">
        <v>643351</v>
      </c>
      <c r="B606" s="84" t="s">
        <v>303</v>
      </c>
      <c r="C606" s="85">
        <f t="shared" si="15"/>
        <v>45747</v>
      </c>
      <c r="D606" s="84" t="s">
        <v>994</v>
      </c>
      <c r="E606" s="84" t="s">
        <v>1012</v>
      </c>
      <c r="F606" s="84" t="s">
        <v>306</v>
      </c>
      <c r="G606" s="84" t="s">
        <v>306</v>
      </c>
      <c r="H606" s="84" t="s">
        <v>567</v>
      </c>
      <c r="I606" s="84" t="s">
        <v>275</v>
      </c>
      <c r="J606" s="86">
        <v>18.920000000000002</v>
      </c>
      <c r="K606" s="86">
        <v>0</v>
      </c>
      <c r="L606" s="84" t="s">
        <v>568</v>
      </c>
      <c r="M606" s="84" t="s">
        <v>569</v>
      </c>
    </row>
    <row r="607" spans="1:13" x14ac:dyDescent="0.25">
      <c r="A607" s="83">
        <v>643351</v>
      </c>
      <c r="B607" s="84" t="s">
        <v>303</v>
      </c>
      <c r="C607" s="85">
        <f t="shared" si="15"/>
        <v>45747</v>
      </c>
      <c r="D607" s="84" t="s">
        <v>994</v>
      </c>
      <c r="E607" s="84" t="s">
        <v>1012</v>
      </c>
      <c r="F607" s="84" t="s">
        <v>306</v>
      </c>
      <c r="G607" s="84" t="s">
        <v>306</v>
      </c>
      <c r="H607" s="84" t="s">
        <v>567</v>
      </c>
      <c r="I607" s="84" t="s">
        <v>275</v>
      </c>
      <c r="J607" s="86">
        <v>19.93</v>
      </c>
      <c r="K607" s="86">
        <v>0</v>
      </c>
      <c r="L607" s="84" t="s">
        <v>568</v>
      </c>
      <c r="M607" s="84" t="s">
        <v>569</v>
      </c>
    </row>
    <row r="608" spans="1:13" x14ac:dyDescent="0.25">
      <c r="A608" s="83">
        <v>643351</v>
      </c>
      <c r="B608" s="84" t="s">
        <v>303</v>
      </c>
      <c r="C608" s="85">
        <f t="shared" si="15"/>
        <v>45747</v>
      </c>
      <c r="D608" s="84" t="s">
        <v>994</v>
      </c>
      <c r="E608" s="84" t="s">
        <v>1012</v>
      </c>
      <c r="F608" s="84" t="s">
        <v>306</v>
      </c>
      <c r="G608" s="84" t="s">
        <v>306</v>
      </c>
      <c r="H608" s="84" t="s">
        <v>567</v>
      </c>
      <c r="I608" s="84" t="s">
        <v>275</v>
      </c>
      <c r="J608" s="86">
        <v>22.79</v>
      </c>
      <c r="K608" s="86">
        <v>0</v>
      </c>
      <c r="L608" s="84" t="s">
        <v>568</v>
      </c>
      <c r="M608" s="84" t="s">
        <v>569</v>
      </c>
    </row>
    <row r="609" spans="1:13" x14ac:dyDescent="0.25">
      <c r="A609" s="83">
        <v>643351</v>
      </c>
      <c r="B609" s="84" t="s">
        <v>303</v>
      </c>
      <c r="C609" s="85">
        <f t="shared" si="15"/>
        <v>45747</v>
      </c>
      <c r="D609" s="84" t="s">
        <v>994</v>
      </c>
      <c r="E609" s="84" t="s">
        <v>1012</v>
      </c>
      <c r="F609" s="84" t="s">
        <v>306</v>
      </c>
      <c r="G609" s="84" t="s">
        <v>306</v>
      </c>
      <c r="H609" s="84" t="s">
        <v>567</v>
      </c>
      <c r="I609" s="84" t="s">
        <v>275</v>
      </c>
      <c r="J609" s="86">
        <v>22.93</v>
      </c>
      <c r="K609" s="86">
        <v>0</v>
      </c>
      <c r="L609" s="84" t="s">
        <v>568</v>
      </c>
      <c r="M609" s="84" t="s">
        <v>569</v>
      </c>
    </row>
    <row r="610" spans="1:13" x14ac:dyDescent="0.25">
      <c r="A610" s="83">
        <v>643351</v>
      </c>
      <c r="B610" s="84" t="s">
        <v>303</v>
      </c>
      <c r="C610" s="85">
        <f t="shared" si="15"/>
        <v>45747</v>
      </c>
      <c r="D610" s="84" t="s">
        <v>994</v>
      </c>
      <c r="E610" s="84" t="s">
        <v>1012</v>
      </c>
      <c r="F610" s="84" t="s">
        <v>306</v>
      </c>
      <c r="G610" s="84" t="s">
        <v>306</v>
      </c>
      <c r="H610" s="84" t="s">
        <v>567</v>
      </c>
      <c r="I610" s="84" t="s">
        <v>275</v>
      </c>
      <c r="J610" s="86">
        <v>22.96</v>
      </c>
      <c r="K610" s="86">
        <v>0</v>
      </c>
      <c r="L610" s="84" t="s">
        <v>568</v>
      </c>
      <c r="M610" s="84" t="s">
        <v>569</v>
      </c>
    </row>
    <row r="611" spans="1:13" x14ac:dyDescent="0.25">
      <c r="A611" s="83">
        <v>643351</v>
      </c>
      <c r="B611" s="84" t="s">
        <v>303</v>
      </c>
      <c r="C611" s="85">
        <f t="shared" si="15"/>
        <v>45747</v>
      </c>
      <c r="D611" s="84" t="s">
        <v>994</v>
      </c>
      <c r="E611" s="84" t="s">
        <v>1012</v>
      </c>
      <c r="F611" s="84" t="s">
        <v>306</v>
      </c>
      <c r="G611" s="84" t="s">
        <v>306</v>
      </c>
      <c r="H611" s="84" t="s">
        <v>567</v>
      </c>
      <c r="I611" s="84" t="s">
        <v>275</v>
      </c>
      <c r="J611" s="86">
        <v>24.14</v>
      </c>
      <c r="K611" s="86">
        <v>0</v>
      </c>
      <c r="L611" s="84" t="s">
        <v>568</v>
      </c>
      <c r="M611" s="84" t="s">
        <v>569</v>
      </c>
    </row>
    <row r="612" spans="1:13" x14ac:dyDescent="0.25">
      <c r="A612" s="83">
        <v>643351</v>
      </c>
      <c r="B612" s="84" t="s">
        <v>303</v>
      </c>
      <c r="C612" s="85">
        <f t="shared" si="15"/>
        <v>45747</v>
      </c>
      <c r="D612" s="84" t="s">
        <v>994</v>
      </c>
      <c r="E612" s="84" t="s">
        <v>1012</v>
      </c>
      <c r="F612" s="84" t="s">
        <v>306</v>
      </c>
      <c r="G612" s="84" t="s">
        <v>306</v>
      </c>
      <c r="H612" s="84" t="s">
        <v>567</v>
      </c>
      <c r="I612" s="84" t="s">
        <v>275</v>
      </c>
      <c r="J612" s="86">
        <v>24.95</v>
      </c>
      <c r="K612" s="86">
        <v>0</v>
      </c>
      <c r="L612" s="84" t="s">
        <v>568</v>
      </c>
      <c r="M612" s="84" t="s">
        <v>569</v>
      </c>
    </row>
    <row r="613" spans="1:13" x14ac:dyDescent="0.25">
      <c r="A613" s="83">
        <v>643351</v>
      </c>
      <c r="B613" s="84" t="s">
        <v>303</v>
      </c>
      <c r="C613" s="85">
        <f t="shared" si="15"/>
        <v>45747</v>
      </c>
      <c r="D613" s="84" t="s">
        <v>994</v>
      </c>
      <c r="E613" s="84" t="s">
        <v>1012</v>
      </c>
      <c r="F613" s="84" t="s">
        <v>306</v>
      </c>
      <c r="G613" s="84" t="s">
        <v>306</v>
      </c>
      <c r="H613" s="84" t="s">
        <v>567</v>
      </c>
      <c r="I613" s="84" t="s">
        <v>275</v>
      </c>
      <c r="J613" s="86">
        <v>29.18</v>
      </c>
      <c r="K613" s="86">
        <v>0</v>
      </c>
      <c r="L613" s="84" t="s">
        <v>568</v>
      </c>
      <c r="M613" s="84" t="s">
        <v>569</v>
      </c>
    </row>
    <row r="614" spans="1:13" x14ac:dyDescent="0.25">
      <c r="A614" s="83">
        <v>643351</v>
      </c>
      <c r="B614" s="84" t="s">
        <v>303</v>
      </c>
      <c r="C614" s="85">
        <f t="shared" si="15"/>
        <v>45747</v>
      </c>
      <c r="D614" s="84" t="s">
        <v>994</v>
      </c>
      <c r="E614" s="84" t="s">
        <v>1012</v>
      </c>
      <c r="F614" s="84" t="s">
        <v>306</v>
      </c>
      <c r="G614" s="84" t="s">
        <v>306</v>
      </c>
      <c r="H614" s="84" t="s">
        <v>567</v>
      </c>
      <c r="I614" s="84" t="s">
        <v>275</v>
      </c>
      <c r="J614" s="86">
        <v>37.94</v>
      </c>
      <c r="K614" s="86">
        <v>0</v>
      </c>
      <c r="L614" s="84" t="s">
        <v>568</v>
      </c>
      <c r="M614" s="84" t="s">
        <v>569</v>
      </c>
    </row>
    <row r="615" spans="1:13" x14ac:dyDescent="0.25">
      <c r="A615" s="83">
        <v>643351</v>
      </c>
      <c r="B615" s="84" t="s">
        <v>303</v>
      </c>
      <c r="C615" s="85">
        <f t="shared" si="15"/>
        <v>45747</v>
      </c>
      <c r="D615" s="84" t="s">
        <v>994</v>
      </c>
      <c r="E615" s="84" t="s">
        <v>1012</v>
      </c>
      <c r="F615" s="84" t="s">
        <v>306</v>
      </c>
      <c r="G615" s="84" t="s">
        <v>306</v>
      </c>
      <c r="H615" s="84" t="s">
        <v>567</v>
      </c>
      <c r="I615" s="84" t="s">
        <v>275</v>
      </c>
      <c r="J615" s="86">
        <v>47.19</v>
      </c>
      <c r="K615" s="86">
        <v>0</v>
      </c>
      <c r="L615" s="84" t="s">
        <v>568</v>
      </c>
      <c r="M615" s="84" t="s">
        <v>569</v>
      </c>
    </row>
    <row r="616" spans="1:13" x14ac:dyDescent="0.25">
      <c r="A616" s="83">
        <v>643351</v>
      </c>
      <c r="B616" s="84" t="s">
        <v>303</v>
      </c>
      <c r="C616" s="85">
        <f t="shared" si="15"/>
        <v>45747</v>
      </c>
      <c r="D616" s="84" t="s">
        <v>994</v>
      </c>
      <c r="E616" s="84" t="s">
        <v>1012</v>
      </c>
      <c r="F616" s="84" t="s">
        <v>306</v>
      </c>
      <c r="G616" s="84" t="s">
        <v>306</v>
      </c>
      <c r="H616" s="84" t="s">
        <v>567</v>
      </c>
      <c r="I616" s="84" t="s">
        <v>275</v>
      </c>
      <c r="J616" s="86">
        <v>50.94</v>
      </c>
      <c r="K616" s="86">
        <v>0</v>
      </c>
      <c r="L616" s="84" t="s">
        <v>568</v>
      </c>
      <c r="M616" s="84" t="s">
        <v>569</v>
      </c>
    </row>
    <row r="617" spans="1:13" x14ac:dyDescent="0.25">
      <c r="A617" s="83">
        <v>643351</v>
      </c>
      <c r="B617" s="84" t="s">
        <v>303</v>
      </c>
      <c r="C617" s="85">
        <f t="shared" ref="C617:C680" si="16">DATE(2025,3,31)</f>
        <v>45747</v>
      </c>
      <c r="D617" s="84" t="s">
        <v>994</v>
      </c>
      <c r="E617" s="84" t="s">
        <v>1012</v>
      </c>
      <c r="F617" s="84" t="s">
        <v>306</v>
      </c>
      <c r="G617" s="84" t="s">
        <v>306</v>
      </c>
      <c r="H617" s="84" t="s">
        <v>567</v>
      </c>
      <c r="I617" s="84" t="s">
        <v>275</v>
      </c>
      <c r="J617" s="86">
        <v>51.31</v>
      </c>
      <c r="K617" s="86">
        <v>0</v>
      </c>
      <c r="L617" s="84" t="s">
        <v>568</v>
      </c>
      <c r="M617" s="84" t="s">
        <v>569</v>
      </c>
    </row>
    <row r="618" spans="1:13" x14ac:dyDescent="0.25">
      <c r="A618" s="83">
        <v>643351</v>
      </c>
      <c r="B618" s="84" t="s">
        <v>303</v>
      </c>
      <c r="C618" s="85">
        <f t="shared" si="16"/>
        <v>45747</v>
      </c>
      <c r="D618" s="84" t="s">
        <v>994</v>
      </c>
      <c r="E618" s="84" t="s">
        <v>1012</v>
      </c>
      <c r="F618" s="84" t="s">
        <v>306</v>
      </c>
      <c r="G618" s="84" t="s">
        <v>306</v>
      </c>
      <c r="H618" s="84" t="s">
        <v>567</v>
      </c>
      <c r="I618" s="84" t="s">
        <v>275</v>
      </c>
      <c r="J618" s="86">
        <v>51.94</v>
      </c>
      <c r="K618" s="86">
        <v>0</v>
      </c>
      <c r="L618" s="84" t="s">
        <v>568</v>
      </c>
      <c r="M618" s="84" t="s">
        <v>569</v>
      </c>
    </row>
    <row r="619" spans="1:13" x14ac:dyDescent="0.25">
      <c r="A619" s="83">
        <v>643351</v>
      </c>
      <c r="B619" s="84" t="s">
        <v>303</v>
      </c>
      <c r="C619" s="85">
        <f t="shared" si="16"/>
        <v>45747</v>
      </c>
      <c r="D619" s="84" t="s">
        <v>994</v>
      </c>
      <c r="E619" s="84" t="s">
        <v>1012</v>
      </c>
      <c r="F619" s="84" t="s">
        <v>306</v>
      </c>
      <c r="G619" s="84" t="s">
        <v>306</v>
      </c>
      <c r="H619" s="84" t="s">
        <v>567</v>
      </c>
      <c r="I619" s="84" t="s">
        <v>275</v>
      </c>
      <c r="J619" s="86">
        <v>51.96</v>
      </c>
      <c r="K619" s="86">
        <v>0</v>
      </c>
      <c r="L619" s="84" t="s">
        <v>568</v>
      </c>
      <c r="M619" s="84" t="s">
        <v>569</v>
      </c>
    </row>
    <row r="620" spans="1:13" x14ac:dyDescent="0.25">
      <c r="A620" s="83">
        <v>643351</v>
      </c>
      <c r="B620" s="84" t="s">
        <v>303</v>
      </c>
      <c r="C620" s="85">
        <f t="shared" si="16"/>
        <v>45747</v>
      </c>
      <c r="D620" s="84" t="s">
        <v>994</v>
      </c>
      <c r="E620" s="84" t="s">
        <v>1012</v>
      </c>
      <c r="F620" s="84" t="s">
        <v>306</v>
      </c>
      <c r="G620" s="84" t="s">
        <v>306</v>
      </c>
      <c r="H620" s="84" t="s">
        <v>567</v>
      </c>
      <c r="I620" s="84" t="s">
        <v>275</v>
      </c>
      <c r="J620" s="86">
        <v>53.95</v>
      </c>
      <c r="K620" s="86">
        <v>0</v>
      </c>
      <c r="L620" s="84" t="s">
        <v>568</v>
      </c>
      <c r="M620" s="84" t="s">
        <v>569</v>
      </c>
    </row>
    <row r="621" spans="1:13" x14ac:dyDescent="0.25">
      <c r="A621" s="83">
        <v>643351</v>
      </c>
      <c r="B621" s="84" t="s">
        <v>303</v>
      </c>
      <c r="C621" s="85">
        <f t="shared" si="16"/>
        <v>45747</v>
      </c>
      <c r="D621" s="84" t="s">
        <v>994</v>
      </c>
      <c r="E621" s="84" t="s">
        <v>1012</v>
      </c>
      <c r="F621" s="84" t="s">
        <v>306</v>
      </c>
      <c r="G621" s="84" t="s">
        <v>306</v>
      </c>
      <c r="H621" s="84" t="s">
        <v>567</v>
      </c>
      <c r="I621" s="84" t="s">
        <v>275</v>
      </c>
      <c r="J621" s="86">
        <v>54.18</v>
      </c>
      <c r="K621" s="86">
        <v>0</v>
      </c>
      <c r="L621" s="84" t="s">
        <v>568</v>
      </c>
      <c r="M621" s="84" t="s">
        <v>569</v>
      </c>
    </row>
    <row r="622" spans="1:13" x14ac:dyDescent="0.25">
      <c r="A622" s="83">
        <v>643351</v>
      </c>
      <c r="B622" s="84" t="s">
        <v>303</v>
      </c>
      <c r="C622" s="85">
        <f t="shared" si="16"/>
        <v>45747</v>
      </c>
      <c r="D622" s="84" t="s">
        <v>994</v>
      </c>
      <c r="E622" s="84" t="s">
        <v>1012</v>
      </c>
      <c r="F622" s="84" t="s">
        <v>306</v>
      </c>
      <c r="G622" s="84" t="s">
        <v>306</v>
      </c>
      <c r="H622" s="84" t="s">
        <v>567</v>
      </c>
      <c r="I622" s="84" t="s">
        <v>275</v>
      </c>
      <c r="J622" s="86">
        <v>54.67</v>
      </c>
      <c r="K622" s="86">
        <v>0</v>
      </c>
      <c r="L622" s="84" t="s">
        <v>568</v>
      </c>
      <c r="M622" s="84" t="s">
        <v>569</v>
      </c>
    </row>
    <row r="623" spans="1:13" x14ac:dyDescent="0.25">
      <c r="A623" s="83">
        <v>643351</v>
      </c>
      <c r="B623" s="84" t="s">
        <v>303</v>
      </c>
      <c r="C623" s="85">
        <f t="shared" si="16"/>
        <v>45747</v>
      </c>
      <c r="D623" s="84" t="s">
        <v>994</v>
      </c>
      <c r="E623" s="84" t="s">
        <v>1012</v>
      </c>
      <c r="F623" s="84" t="s">
        <v>306</v>
      </c>
      <c r="G623" s="84" t="s">
        <v>306</v>
      </c>
      <c r="H623" s="84" t="s">
        <v>567</v>
      </c>
      <c r="I623" s="84" t="s">
        <v>275</v>
      </c>
      <c r="J623" s="86">
        <v>59.36</v>
      </c>
      <c r="K623" s="86">
        <v>0</v>
      </c>
      <c r="L623" s="84" t="s">
        <v>568</v>
      </c>
      <c r="M623" s="84" t="s">
        <v>569</v>
      </c>
    </row>
    <row r="624" spans="1:13" x14ac:dyDescent="0.25">
      <c r="A624" s="83">
        <v>643351</v>
      </c>
      <c r="B624" s="84" t="s">
        <v>303</v>
      </c>
      <c r="C624" s="85">
        <f t="shared" si="16"/>
        <v>45747</v>
      </c>
      <c r="D624" s="84" t="s">
        <v>994</v>
      </c>
      <c r="E624" s="84" t="s">
        <v>1012</v>
      </c>
      <c r="F624" s="84" t="s">
        <v>306</v>
      </c>
      <c r="G624" s="84" t="s">
        <v>306</v>
      </c>
      <c r="H624" s="84" t="s">
        <v>567</v>
      </c>
      <c r="I624" s="84" t="s">
        <v>275</v>
      </c>
      <c r="J624" s="86">
        <v>69.349999999999994</v>
      </c>
      <c r="K624" s="86">
        <v>0</v>
      </c>
      <c r="L624" s="84" t="s">
        <v>568</v>
      </c>
      <c r="M624" s="84" t="s">
        <v>569</v>
      </c>
    </row>
    <row r="625" spans="1:13" x14ac:dyDescent="0.25">
      <c r="A625" s="83">
        <v>643351</v>
      </c>
      <c r="B625" s="84" t="s">
        <v>303</v>
      </c>
      <c r="C625" s="85">
        <f t="shared" si="16"/>
        <v>45747</v>
      </c>
      <c r="D625" s="84" t="s">
        <v>994</v>
      </c>
      <c r="E625" s="84" t="s">
        <v>1012</v>
      </c>
      <c r="F625" s="84" t="s">
        <v>306</v>
      </c>
      <c r="G625" s="84" t="s">
        <v>306</v>
      </c>
      <c r="H625" s="84" t="s">
        <v>567</v>
      </c>
      <c r="I625" s="84" t="s">
        <v>275</v>
      </c>
      <c r="J625" s="86">
        <v>73.72</v>
      </c>
      <c r="K625" s="86">
        <v>0</v>
      </c>
      <c r="L625" s="84" t="s">
        <v>568</v>
      </c>
      <c r="M625" s="84" t="s">
        <v>569</v>
      </c>
    </row>
    <row r="626" spans="1:13" x14ac:dyDescent="0.25">
      <c r="A626" s="83">
        <v>643351</v>
      </c>
      <c r="B626" s="84" t="s">
        <v>303</v>
      </c>
      <c r="C626" s="85">
        <f t="shared" si="16"/>
        <v>45747</v>
      </c>
      <c r="D626" s="84" t="s">
        <v>994</v>
      </c>
      <c r="E626" s="84" t="s">
        <v>1012</v>
      </c>
      <c r="F626" s="84" t="s">
        <v>306</v>
      </c>
      <c r="G626" s="84" t="s">
        <v>306</v>
      </c>
      <c r="H626" s="84" t="s">
        <v>567</v>
      </c>
      <c r="I626" s="84" t="s">
        <v>275</v>
      </c>
      <c r="J626" s="86">
        <v>75.44</v>
      </c>
      <c r="K626" s="86">
        <v>0</v>
      </c>
      <c r="L626" s="84" t="s">
        <v>568</v>
      </c>
      <c r="M626" s="84" t="s">
        <v>569</v>
      </c>
    </row>
    <row r="627" spans="1:13" x14ac:dyDescent="0.25">
      <c r="A627" s="83">
        <v>643351</v>
      </c>
      <c r="B627" s="84" t="s">
        <v>303</v>
      </c>
      <c r="C627" s="85">
        <f t="shared" si="16"/>
        <v>45747</v>
      </c>
      <c r="D627" s="84" t="s">
        <v>994</v>
      </c>
      <c r="E627" s="84" t="s">
        <v>1012</v>
      </c>
      <c r="F627" s="84" t="s">
        <v>306</v>
      </c>
      <c r="G627" s="84" t="s">
        <v>306</v>
      </c>
      <c r="H627" s="84" t="s">
        <v>567</v>
      </c>
      <c r="I627" s="84" t="s">
        <v>275</v>
      </c>
      <c r="J627" s="86">
        <v>76.86</v>
      </c>
      <c r="K627" s="86">
        <v>0</v>
      </c>
      <c r="L627" s="84" t="s">
        <v>568</v>
      </c>
      <c r="M627" s="84" t="s">
        <v>569</v>
      </c>
    </row>
    <row r="628" spans="1:13" x14ac:dyDescent="0.25">
      <c r="A628" s="83">
        <v>643351</v>
      </c>
      <c r="B628" s="84" t="s">
        <v>303</v>
      </c>
      <c r="C628" s="85">
        <f t="shared" si="16"/>
        <v>45747</v>
      </c>
      <c r="D628" s="84" t="s">
        <v>994</v>
      </c>
      <c r="E628" s="84" t="s">
        <v>1012</v>
      </c>
      <c r="F628" s="84" t="s">
        <v>306</v>
      </c>
      <c r="G628" s="84" t="s">
        <v>306</v>
      </c>
      <c r="H628" s="84" t="s">
        <v>567</v>
      </c>
      <c r="I628" s="84" t="s">
        <v>275</v>
      </c>
      <c r="J628" s="86">
        <v>82.08</v>
      </c>
      <c r="K628" s="86">
        <v>0</v>
      </c>
      <c r="L628" s="84" t="s">
        <v>568</v>
      </c>
      <c r="M628" s="84" t="s">
        <v>569</v>
      </c>
    </row>
    <row r="629" spans="1:13" x14ac:dyDescent="0.25">
      <c r="A629" s="83">
        <v>643351</v>
      </c>
      <c r="B629" s="84" t="s">
        <v>303</v>
      </c>
      <c r="C629" s="85">
        <f t="shared" si="16"/>
        <v>45747</v>
      </c>
      <c r="D629" s="84" t="s">
        <v>994</v>
      </c>
      <c r="E629" s="84" t="s">
        <v>1012</v>
      </c>
      <c r="F629" s="84" t="s">
        <v>306</v>
      </c>
      <c r="G629" s="84" t="s">
        <v>306</v>
      </c>
      <c r="H629" s="84" t="s">
        <v>567</v>
      </c>
      <c r="I629" s="84" t="s">
        <v>275</v>
      </c>
      <c r="J629" s="86">
        <v>82.92</v>
      </c>
      <c r="K629" s="86">
        <v>0</v>
      </c>
      <c r="L629" s="84" t="s">
        <v>568</v>
      </c>
      <c r="M629" s="84" t="s">
        <v>569</v>
      </c>
    </row>
    <row r="630" spans="1:13" x14ac:dyDescent="0.25">
      <c r="A630" s="83">
        <v>643351</v>
      </c>
      <c r="B630" s="84" t="s">
        <v>303</v>
      </c>
      <c r="C630" s="85">
        <f t="shared" si="16"/>
        <v>45747</v>
      </c>
      <c r="D630" s="84" t="s">
        <v>994</v>
      </c>
      <c r="E630" s="84" t="s">
        <v>1012</v>
      </c>
      <c r="F630" s="84" t="s">
        <v>306</v>
      </c>
      <c r="G630" s="84" t="s">
        <v>306</v>
      </c>
      <c r="H630" s="84" t="s">
        <v>567</v>
      </c>
      <c r="I630" s="84" t="s">
        <v>275</v>
      </c>
      <c r="J630" s="86">
        <v>84.36</v>
      </c>
      <c r="K630" s="86">
        <v>0</v>
      </c>
      <c r="L630" s="84" t="s">
        <v>568</v>
      </c>
      <c r="M630" s="84" t="s">
        <v>569</v>
      </c>
    </row>
    <row r="631" spans="1:13" x14ac:dyDescent="0.25">
      <c r="A631" s="83">
        <v>643351</v>
      </c>
      <c r="B631" s="84" t="s">
        <v>303</v>
      </c>
      <c r="C631" s="85">
        <f t="shared" si="16"/>
        <v>45747</v>
      </c>
      <c r="D631" s="84" t="s">
        <v>994</v>
      </c>
      <c r="E631" s="84" t="s">
        <v>1012</v>
      </c>
      <c r="F631" s="84" t="s">
        <v>306</v>
      </c>
      <c r="G631" s="84" t="s">
        <v>306</v>
      </c>
      <c r="H631" s="84" t="s">
        <v>567</v>
      </c>
      <c r="I631" s="84" t="s">
        <v>275</v>
      </c>
      <c r="J631" s="86">
        <v>88.72</v>
      </c>
      <c r="K631" s="86">
        <v>0</v>
      </c>
      <c r="L631" s="84" t="s">
        <v>568</v>
      </c>
      <c r="M631" s="84" t="s">
        <v>569</v>
      </c>
    </row>
    <row r="632" spans="1:13" x14ac:dyDescent="0.25">
      <c r="A632" s="83">
        <v>643351</v>
      </c>
      <c r="B632" s="84" t="s">
        <v>303</v>
      </c>
      <c r="C632" s="85">
        <f t="shared" si="16"/>
        <v>45747</v>
      </c>
      <c r="D632" s="84" t="s">
        <v>994</v>
      </c>
      <c r="E632" s="84" t="s">
        <v>1012</v>
      </c>
      <c r="F632" s="84" t="s">
        <v>306</v>
      </c>
      <c r="G632" s="84" t="s">
        <v>306</v>
      </c>
      <c r="H632" s="84" t="s">
        <v>567</v>
      </c>
      <c r="I632" s="84" t="s">
        <v>275</v>
      </c>
      <c r="J632" s="86">
        <v>89.92</v>
      </c>
      <c r="K632" s="86">
        <v>0</v>
      </c>
      <c r="L632" s="84" t="s">
        <v>568</v>
      </c>
      <c r="M632" s="84" t="s">
        <v>569</v>
      </c>
    </row>
    <row r="633" spans="1:13" x14ac:dyDescent="0.25">
      <c r="A633" s="83">
        <v>643351</v>
      </c>
      <c r="B633" s="84" t="s">
        <v>303</v>
      </c>
      <c r="C633" s="85">
        <f t="shared" si="16"/>
        <v>45747</v>
      </c>
      <c r="D633" s="84" t="s">
        <v>994</v>
      </c>
      <c r="E633" s="84" t="s">
        <v>1012</v>
      </c>
      <c r="F633" s="84" t="s">
        <v>306</v>
      </c>
      <c r="G633" s="84" t="s">
        <v>306</v>
      </c>
      <c r="H633" s="84" t="s">
        <v>567</v>
      </c>
      <c r="I633" s="84" t="s">
        <v>275</v>
      </c>
      <c r="J633" s="86">
        <v>90.96</v>
      </c>
      <c r="K633" s="86">
        <v>0</v>
      </c>
      <c r="L633" s="84" t="s">
        <v>568</v>
      </c>
      <c r="M633" s="84" t="s">
        <v>569</v>
      </c>
    </row>
    <row r="634" spans="1:13" x14ac:dyDescent="0.25">
      <c r="A634" s="83">
        <v>643351</v>
      </c>
      <c r="B634" s="84" t="s">
        <v>303</v>
      </c>
      <c r="C634" s="85">
        <f t="shared" si="16"/>
        <v>45747</v>
      </c>
      <c r="D634" s="84" t="s">
        <v>994</v>
      </c>
      <c r="E634" s="84" t="s">
        <v>1012</v>
      </c>
      <c r="F634" s="84" t="s">
        <v>306</v>
      </c>
      <c r="G634" s="84" t="s">
        <v>306</v>
      </c>
      <c r="H634" s="84" t="s">
        <v>567</v>
      </c>
      <c r="I634" s="84" t="s">
        <v>275</v>
      </c>
      <c r="J634" s="86">
        <v>91.89</v>
      </c>
      <c r="K634" s="86">
        <v>0</v>
      </c>
      <c r="L634" s="84" t="s">
        <v>568</v>
      </c>
      <c r="M634" s="84" t="s">
        <v>569</v>
      </c>
    </row>
    <row r="635" spans="1:13" x14ac:dyDescent="0.25">
      <c r="A635" s="83">
        <v>643351</v>
      </c>
      <c r="B635" s="84" t="s">
        <v>303</v>
      </c>
      <c r="C635" s="85">
        <f t="shared" si="16"/>
        <v>45747</v>
      </c>
      <c r="D635" s="84" t="s">
        <v>994</v>
      </c>
      <c r="E635" s="84" t="s">
        <v>1012</v>
      </c>
      <c r="F635" s="84" t="s">
        <v>306</v>
      </c>
      <c r="G635" s="84" t="s">
        <v>306</v>
      </c>
      <c r="H635" s="84" t="s">
        <v>567</v>
      </c>
      <c r="I635" s="84" t="s">
        <v>275</v>
      </c>
      <c r="J635" s="86">
        <v>94.96</v>
      </c>
      <c r="K635" s="86">
        <v>0</v>
      </c>
      <c r="L635" s="84" t="s">
        <v>568</v>
      </c>
      <c r="M635" s="84" t="s">
        <v>569</v>
      </c>
    </row>
    <row r="636" spans="1:13" x14ac:dyDescent="0.25">
      <c r="A636" s="83">
        <v>643351</v>
      </c>
      <c r="B636" s="84" t="s">
        <v>303</v>
      </c>
      <c r="C636" s="85">
        <f t="shared" si="16"/>
        <v>45747</v>
      </c>
      <c r="D636" s="84" t="s">
        <v>994</v>
      </c>
      <c r="E636" s="84" t="s">
        <v>1012</v>
      </c>
      <c r="F636" s="84" t="s">
        <v>306</v>
      </c>
      <c r="G636" s="84" t="s">
        <v>306</v>
      </c>
      <c r="H636" s="84" t="s">
        <v>567</v>
      </c>
      <c r="I636" s="84" t="s">
        <v>275</v>
      </c>
      <c r="J636" s="86">
        <v>95.94</v>
      </c>
      <c r="K636" s="86">
        <v>0</v>
      </c>
      <c r="L636" s="84" t="s">
        <v>568</v>
      </c>
      <c r="M636" s="84" t="s">
        <v>569</v>
      </c>
    </row>
    <row r="637" spans="1:13" x14ac:dyDescent="0.25">
      <c r="A637" s="83">
        <v>643351</v>
      </c>
      <c r="B637" s="84" t="s">
        <v>303</v>
      </c>
      <c r="C637" s="85">
        <f t="shared" si="16"/>
        <v>45747</v>
      </c>
      <c r="D637" s="84" t="s">
        <v>994</v>
      </c>
      <c r="E637" s="84" t="s">
        <v>1012</v>
      </c>
      <c r="F637" s="84" t="s">
        <v>306</v>
      </c>
      <c r="G637" s="84" t="s">
        <v>306</v>
      </c>
      <c r="H637" s="84" t="s">
        <v>567</v>
      </c>
      <c r="I637" s="84" t="s">
        <v>275</v>
      </c>
      <c r="J637" s="86">
        <v>112.2</v>
      </c>
      <c r="K637" s="86">
        <v>0</v>
      </c>
      <c r="L637" s="84" t="s">
        <v>568</v>
      </c>
      <c r="M637" s="84" t="s">
        <v>569</v>
      </c>
    </row>
    <row r="638" spans="1:13" x14ac:dyDescent="0.25">
      <c r="A638" s="83">
        <v>643351</v>
      </c>
      <c r="B638" s="84" t="s">
        <v>303</v>
      </c>
      <c r="C638" s="85">
        <f t="shared" si="16"/>
        <v>45747</v>
      </c>
      <c r="D638" s="84" t="s">
        <v>994</v>
      </c>
      <c r="E638" s="84" t="s">
        <v>1012</v>
      </c>
      <c r="F638" s="84" t="s">
        <v>306</v>
      </c>
      <c r="G638" s="84" t="s">
        <v>306</v>
      </c>
      <c r="H638" s="84" t="s">
        <v>567</v>
      </c>
      <c r="I638" s="84" t="s">
        <v>275</v>
      </c>
      <c r="J638" s="86">
        <v>113.74</v>
      </c>
      <c r="K638" s="86">
        <v>0</v>
      </c>
      <c r="L638" s="84" t="s">
        <v>568</v>
      </c>
      <c r="M638" s="84" t="s">
        <v>569</v>
      </c>
    </row>
    <row r="639" spans="1:13" x14ac:dyDescent="0.25">
      <c r="A639" s="83">
        <v>643351</v>
      </c>
      <c r="B639" s="84" t="s">
        <v>303</v>
      </c>
      <c r="C639" s="85">
        <f t="shared" si="16"/>
        <v>45747</v>
      </c>
      <c r="D639" s="84" t="s">
        <v>994</v>
      </c>
      <c r="E639" s="84" t="s">
        <v>1012</v>
      </c>
      <c r="F639" s="84" t="s">
        <v>306</v>
      </c>
      <c r="G639" s="84" t="s">
        <v>306</v>
      </c>
      <c r="H639" s="84" t="s">
        <v>567</v>
      </c>
      <c r="I639" s="84" t="s">
        <v>275</v>
      </c>
      <c r="J639" s="86">
        <v>113.95</v>
      </c>
      <c r="K639" s="86">
        <v>0</v>
      </c>
      <c r="L639" s="84" t="s">
        <v>568</v>
      </c>
      <c r="M639" s="84" t="s">
        <v>569</v>
      </c>
    </row>
    <row r="640" spans="1:13" x14ac:dyDescent="0.25">
      <c r="A640" s="83">
        <v>643351</v>
      </c>
      <c r="B640" s="84" t="s">
        <v>303</v>
      </c>
      <c r="C640" s="85">
        <f t="shared" si="16"/>
        <v>45747</v>
      </c>
      <c r="D640" s="84" t="s">
        <v>994</v>
      </c>
      <c r="E640" s="84" t="s">
        <v>1012</v>
      </c>
      <c r="F640" s="84" t="s">
        <v>306</v>
      </c>
      <c r="G640" s="84" t="s">
        <v>306</v>
      </c>
      <c r="H640" s="84" t="s">
        <v>567</v>
      </c>
      <c r="I640" s="84" t="s">
        <v>275</v>
      </c>
      <c r="J640" s="86">
        <v>117.46</v>
      </c>
      <c r="K640" s="86">
        <v>0</v>
      </c>
      <c r="L640" s="84" t="s">
        <v>568</v>
      </c>
      <c r="M640" s="84" t="s">
        <v>569</v>
      </c>
    </row>
    <row r="641" spans="1:13" x14ac:dyDescent="0.25">
      <c r="A641" s="83">
        <v>643351</v>
      </c>
      <c r="B641" s="84" t="s">
        <v>303</v>
      </c>
      <c r="C641" s="85">
        <f t="shared" si="16"/>
        <v>45747</v>
      </c>
      <c r="D641" s="84" t="s">
        <v>994</v>
      </c>
      <c r="E641" s="84" t="s">
        <v>1012</v>
      </c>
      <c r="F641" s="84" t="s">
        <v>306</v>
      </c>
      <c r="G641" s="84" t="s">
        <v>306</v>
      </c>
      <c r="H641" s="84" t="s">
        <v>567</v>
      </c>
      <c r="I641" s="84" t="s">
        <v>275</v>
      </c>
      <c r="J641" s="86">
        <v>119.24</v>
      </c>
      <c r="K641" s="86">
        <v>0</v>
      </c>
      <c r="L641" s="84" t="s">
        <v>568</v>
      </c>
      <c r="M641" s="84" t="s">
        <v>569</v>
      </c>
    </row>
    <row r="642" spans="1:13" x14ac:dyDescent="0.25">
      <c r="A642" s="83">
        <v>643351</v>
      </c>
      <c r="B642" s="84" t="s">
        <v>303</v>
      </c>
      <c r="C642" s="85">
        <f t="shared" si="16"/>
        <v>45747</v>
      </c>
      <c r="D642" s="84" t="s">
        <v>994</v>
      </c>
      <c r="E642" s="84" t="s">
        <v>1012</v>
      </c>
      <c r="F642" s="84" t="s">
        <v>306</v>
      </c>
      <c r="G642" s="84" t="s">
        <v>306</v>
      </c>
      <c r="H642" s="84" t="s">
        <v>567</v>
      </c>
      <c r="I642" s="84" t="s">
        <v>275</v>
      </c>
      <c r="J642" s="86">
        <v>123.56</v>
      </c>
      <c r="K642" s="86">
        <v>0</v>
      </c>
      <c r="L642" s="84" t="s">
        <v>568</v>
      </c>
      <c r="M642" s="84" t="s">
        <v>569</v>
      </c>
    </row>
    <row r="643" spans="1:13" x14ac:dyDescent="0.25">
      <c r="A643" s="83">
        <v>643351</v>
      </c>
      <c r="B643" s="84" t="s">
        <v>303</v>
      </c>
      <c r="C643" s="85">
        <f t="shared" si="16"/>
        <v>45747</v>
      </c>
      <c r="D643" s="84" t="s">
        <v>994</v>
      </c>
      <c r="E643" s="84" t="s">
        <v>1012</v>
      </c>
      <c r="F643" s="84" t="s">
        <v>306</v>
      </c>
      <c r="G643" s="84" t="s">
        <v>306</v>
      </c>
      <c r="H643" s="84" t="s">
        <v>567</v>
      </c>
      <c r="I643" s="84" t="s">
        <v>275</v>
      </c>
      <c r="J643" s="86">
        <v>129.78</v>
      </c>
      <c r="K643" s="86">
        <v>0</v>
      </c>
      <c r="L643" s="84" t="s">
        <v>568</v>
      </c>
      <c r="M643" s="84" t="s">
        <v>569</v>
      </c>
    </row>
    <row r="644" spans="1:13" x14ac:dyDescent="0.25">
      <c r="A644" s="83">
        <v>643351</v>
      </c>
      <c r="B644" s="84" t="s">
        <v>303</v>
      </c>
      <c r="C644" s="85">
        <f t="shared" si="16"/>
        <v>45747</v>
      </c>
      <c r="D644" s="84" t="s">
        <v>994</v>
      </c>
      <c r="E644" s="84" t="s">
        <v>1012</v>
      </c>
      <c r="F644" s="84" t="s">
        <v>306</v>
      </c>
      <c r="G644" s="84" t="s">
        <v>306</v>
      </c>
      <c r="H644" s="84" t="s">
        <v>567</v>
      </c>
      <c r="I644" s="84" t="s">
        <v>275</v>
      </c>
      <c r="J644" s="86">
        <v>130.72999999999999</v>
      </c>
      <c r="K644" s="86">
        <v>0</v>
      </c>
      <c r="L644" s="84" t="s">
        <v>568</v>
      </c>
      <c r="M644" s="84" t="s">
        <v>569</v>
      </c>
    </row>
    <row r="645" spans="1:13" x14ac:dyDescent="0.25">
      <c r="A645" s="83">
        <v>643351</v>
      </c>
      <c r="B645" s="84" t="s">
        <v>303</v>
      </c>
      <c r="C645" s="85">
        <f t="shared" si="16"/>
        <v>45747</v>
      </c>
      <c r="D645" s="84" t="s">
        <v>994</v>
      </c>
      <c r="E645" s="84" t="s">
        <v>1012</v>
      </c>
      <c r="F645" s="84" t="s">
        <v>306</v>
      </c>
      <c r="G645" s="84" t="s">
        <v>306</v>
      </c>
      <c r="H645" s="84" t="s">
        <v>567</v>
      </c>
      <c r="I645" s="84" t="s">
        <v>275</v>
      </c>
      <c r="J645" s="86">
        <v>137.56</v>
      </c>
      <c r="K645" s="86">
        <v>0</v>
      </c>
      <c r="L645" s="84" t="s">
        <v>568</v>
      </c>
      <c r="M645" s="84" t="s">
        <v>569</v>
      </c>
    </row>
    <row r="646" spans="1:13" x14ac:dyDescent="0.25">
      <c r="A646" s="83">
        <v>643351</v>
      </c>
      <c r="B646" s="84" t="s">
        <v>303</v>
      </c>
      <c r="C646" s="85">
        <f t="shared" si="16"/>
        <v>45747</v>
      </c>
      <c r="D646" s="84" t="s">
        <v>994</v>
      </c>
      <c r="E646" s="84" t="s">
        <v>1012</v>
      </c>
      <c r="F646" s="84" t="s">
        <v>306</v>
      </c>
      <c r="G646" s="84" t="s">
        <v>306</v>
      </c>
      <c r="H646" s="84" t="s">
        <v>567</v>
      </c>
      <c r="I646" s="84" t="s">
        <v>275</v>
      </c>
      <c r="J646" s="86">
        <v>239.03</v>
      </c>
      <c r="K646" s="86">
        <v>0</v>
      </c>
      <c r="L646" s="84" t="s">
        <v>568</v>
      </c>
      <c r="M646" s="84" t="s">
        <v>569</v>
      </c>
    </row>
    <row r="647" spans="1:13" x14ac:dyDescent="0.25">
      <c r="A647" s="83">
        <v>643351</v>
      </c>
      <c r="B647" s="84" t="s">
        <v>303</v>
      </c>
      <c r="C647" s="85">
        <f t="shared" si="16"/>
        <v>45747</v>
      </c>
      <c r="D647" s="84" t="s">
        <v>994</v>
      </c>
      <c r="E647" s="84" t="s">
        <v>1012</v>
      </c>
      <c r="F647" s="84" t="s">
        <v>306</v>
      </c>
      <c r="G647" s="84" t="s">
        <v>306</v>
      </c>
      <c r="H647" s="84" t="s">
        <v>567</v>
      </c>
      <c r="I647" s="84" t="s">
        <v>275</v>
      </c>
      <c r="J647" s="86">
        <v>300.5</v>
      </c>
      <c r="K647" s="86">
        <v>0</v>
      </c>
      <c r="L647" s="84" t="s">
        <v>568</v>
      </c>
      <c r="M647" s="84" t="s">
        <v>569</v>
      </c>
    </row>
    <row r="648" spans="1:13" x14ac:dyDescent="0.25">
      <c r="A648" s="83">
        <v>643351</v>
      </c>
      <c r="B648" s="84" t="s">
        <v>303</v>
      </c>
      <c r="C648" s="85">
        <f t="shared" si="16"/>
        <v>45747</v>
      </c>
      <c r="D648" s="84" t="s">
        <v>994</v>
      </c>
      <c r="E648" s="84" t="s">
        <v>1012</v>
      </c>
      <c r="F648" s="84" t="s">
        <v>306</v>
      </c>
      <c r="G648" s="84" t="s">
        <v>306</v>
      </c>
      <c r="H648" s="84" t="s">
        <v>567</v>
      </c>
      <c r="I648" s="84" t="s">
        <v>275</v>
      </c>
      <c r="J648" s="86">
        <v>308.44</v>
      </c>
      <c r="K648" s="86">
        <v>0</v>
      </c>
      <c r="L648" s="84" t="s">
        <v>568</v>
      </c>
      <c r="M648" s="84" t="s">
        <v>569</v>
      </c>
    </row>
    <row r="649" spans="1:13" x14ac:dyDescent="0.25">
      <c r="A649" s="83">
        <v>643351</v>
      </c>
      <c r="B649" s="84" t="s">
        <v>303</v>
      </c>
      <c r="C649" s="85">
        <f t="shared" si="16"/>
        <v>45747</v>
      </c>
      <c r="D649" s="84" t="s">
        <v>994</v>
      </c>
      <c r="E649" s="84" t="s">
        <v>1015</v>
      </c>
      <c r="F649" s="84" t="s">
        <v>306</v>
      </c>
      <c r="G649" s="84" t="s">
        <v>306</v>
      </c>
      <c r="H649" s="84" t="s">
        <v>1016</v>
      </c>
      <c r="I649" s="84" t="s">
        <v>1017</v>
      </c>
      <c r="J649" s="86">
        <v>29.99</v>
      </c>
      <c r="K649" s="86">
        <v>0</v>
      </c>
      <c r="L649" s="84" t="s">
        <v>564</v>
      </c>
      <c r="M649" s="84" t="s">
        <v>310</v>
      </c>
    </row>
    <row r="650" spans="1:13" x14ac:dyDescent="0.25">
      <c r="A650" s="83">
        <v>643351</v>
      </c>
      <c r="B650" s="84" t="s">
        <v>303</v>
      </c>
      <c r="C650" s="85">
        <f t="shared" si="16"/>
        <v>45747</v>
      </c>
      <c r="D650" s="84" t="s">
        <v>994</v>
      </c>
      <c r="E650" s="84" t="s">
        <v>1018</v>
      </c>
      <c r="F650" s="84" t="s">
        <v>306</v>
      </c>
      <c r="G650" s="84" t="s">
        <v>306</v>
      </c>
      <c r="H650" s="84" t="s">
        <v>982</v>
      </c>
      <c r="I650" s="84" t="s">
        <v>983</v>
      </c>
      <c r="J650" s="86">
        <v>41</v>
      </c>
      <c r="K650" s="86">
        <v>0</v>
      </c>
      <c r="L650" s="84" t="s">
        <v>984</v>
      </c>
      <c r="M650" s="84" t="s">
        <v>310</v>
      </c>
    </row>
    <row r="651" spans="1:13" x14ac:dyDescent="0.25">
      <c r="A651" s="83">
        <v>643351</v>
      </c>
      <c r="B651" s="84" t="s">
        <v>303</v>
      </c>
      <c r="C651" s="85">
        <f t="shared" si="16"/>
        <v>45747</v>
      </c>
      <c r="D651" s="84" t="s">
        <v>994</v>
      </c>
      <c r="E651" s="84" t="s">
        <v>1019</v>
      </c>
      <c r="F651" s="84" t="s">
        <v>306</v>
      </c>
      <c r="G651" s="84" t="s">
        <v>306</v>
      </c>
      <c r="H651" s="84" t="s">
        <v>1020</v>
      </c>
      <c r="I651" s="84" t="s">
        <v>1021</v>
      </c>
      <c r="J651" s="86">
        <v>109.87</v>
      </c>
      <c r="K651" s="86">
        <v>0</v>
      </c>
      <c r="L651" s="84" t="s">
        <v>1022</v>
      </c>
      <c r="M651" s="84" t="s">
        <v>310</v>
      </c>
    </row>
    <row r="652" spans="1:13" x14ac:dyDescent="0.25">
      <c r="A652" s="83">
        <v>643351</v>
      </c>
      <c r="B652" s="84" t="s">
        <v>303</v>
      </c>
      <c r="C652" s="85">
        <f t="shared" si="16"/>
        <v>45747</v>
      </c>
      <c r="D652" s="84" t="s">
        <v>994</v>
      </c>
      <c r="E652" s="84" t="s">
        <v>1023</v>
      </c>
      <c r="F652" s="84" t="s">
        <v>306</v>
      </c>
      <c r="G652" s="84" t="s">
        <v>306</v>
      </c>
      <c r="H652" s="84" t="s">
        <v>602</v>
      </c>
      <c r="I652" s="84" t="s">
        <v>603</v>
      </c>
      <c r="J652" s="86">
        <v>1039.02</v>
      </c>
      <c r="K652" s="86">
        <v>0</v>
      </c>
      <c r="L652" s="84" t="s">
        <v>604</v>
      </c>
      <c r="M652" s="84" t="s">
        <v>310</v>
      </c>
    </row>
    <row r="653" spans="1:13" x14ac:dyDescent="0.25">
      <c r="A653" s="83">
        <v>643351</v>
      </c>
      <c r="B653" s="84" t="s">
        <v>303</v>
      </c>
      <c r="C653" s="85">
        <f t="shared" si="16"/>
        <v>45747</v>
      </c>
      <c r="D653" s="84" t="s">
        <v>994</v>
      </c>
      <c r="E653" s="84" t="s">
        <v>1024</v>
      </c>
      <c r="F653" s="84" t="s">
        <v>306</v>
      </c>
      <c r="G653" s="84" t="s">
        <v>306</v>
      </c>
      <c r="H653" s="84" t="s">
        <v>1025</v>
      </c>
      <c r="I653" s="84" t="s">
        <v>1026</v>
      </c>
      <c r="J653" s="86">
        <v>15.8</v>
      </c>
      <c r="K653" s="86">
        <v>0</v>
      </c>
      <c r="L653" s="84" t="s">
        <v>1027</v>
      </c>
      <c r="M653" s="84" t="s">
        <v>394</v>
      </c>
    </row>
    <row r="654" spans="1:13" x14ac:dyDescent="0.25">
      <c r="A654" s="83">
        <v>643351</v>
      </c>
      <c r="B654" s="84" t="s">
        <v>303</v>
      </c>
      <c r="C654" s="85">
        <f t="shared" si="16"/>
        <v>45747</v>
      </c>
      <c r="D654" s="84" t="s">
        <v>994</v>
      </c>
      <c r="E654" s="84" t="s">
        <v>1024</v>
      </c>
      <c r="F654" s="84" t="s">
        <v>306</v>
      </c>
      <c r="G654" s="84" t="s">
        <v>306</v>
      </c>
      <c r="H654" s="84" t="s">
        <v>1025</v>
      </c>
      <c r="I654" s="84" t="s">
        <v>1026</v>
      </c>
      <c r="J654" s="86">
        <v>35.549999999999997</v>
      </c>
      <c r="K654" s="86">
        <v>0</v>
      </c>
      <c r="L654" s="84" t="s">
        <v>1027</v>
      </c>
      <c r="M654" s="84" t="s">
        <v>394</v>
      </c>
    </row>
    <row r="655" spans="1:13" x14ac:dyDescent="0.25">
      <c r="A655" s="83">
        <v>643351</v>
      </c>
      <c r="B655" s="84" t="s">
        <v>303</v>
      </c>
      <c r="C655" s="85">
        <f t="shared" si="16"/>
        <v>45747</v>
      </c>
      <c r="D655" s="84" t="s">
        <v>994</v>
      </c>
      <c r="E655" s="84" t="s">
        <v>1024</v>
      </c>
      <c r="F655" s="84" t="s">
        <v>306</v>
      </c>
      <c r="G655" s="84" t="s">
        <v>306</v>
      </c>
      <c r="H655" s="84" t="s">
        <v>1025</v>
      </c>
      <c r="I655" s="84" t="s">
        <v>1026</v>
      </c>
      <c r="J655" s="86">
        <v>43.45</v>
      </c>
      <c r="K655" s="86">
        <v>0</v>
      </c>
      <c r="L655" s="84" t="s">
        <v>1027</v>
      </c>
      <c r="M655" s="84" t="s">
        <v>394</v>
      </c>
    </row>
    <row r="656" spans="1:13" x14ac:dyDescent="0.25">
      <c r="A656" s="83">
        <v>643351</v>
      </c>
      <c r="B656" s="84" t="s">
        <v>303</v>
      </c>
      <c r="C656" s="85">
        <f t="shared" si="16"/>
        <v>45747</v>
      </c>
      <c r="D656" s="84" t="s">
        <v>994</v>
      </c>
      <c r="E656" s="84" t="s">
        <v>1028</v>
      </c>
      <c r="F656" s="84" t="s">
        <v>306</v>
      </c>
      <c r="G656" s="84" t="s">
        <v>306</v>
      </c>
      <c r="H656" s="84" t="s">
        <v>1029</v>
      </c>
      <c r="I656" s="84" t="s">
        <v>222</v>
      </c>
      <c r="J656" s="86">
        <v>66</v>
      </c>
      <c r="K656" s="86">
        <v>0</v>
      </c>
      <c r="L656" s="84" t="s">
        <v>221</v>
      </c>
      <c r="M656" s="84" t="s">
        <v>954</v>
      </c>
    </row>
    <row r="657" spans="1:13" x14ac:dyDescent="0.25">
      <c r="A657" s="83">
        <v>643351</v>
      </c>
      <c r="B657" s="84" t="s">
        <v>303</v>
      </c>
      <c r="C657" s="85">
        <f t="shared" si="16"/>
        <v>45747</v>
      </c>
      <c r="D657" s="84" t="s">
        <v>994</v>
      </c>
      <c r="E657" s="84" t="s">
        <v>1030</v>
      </c>
      <c r="F657" s="84" t="s">
        <v>306</v>
      </c>
      <c r="G657" s="84" t="s">
        <v>306</v>
      </c>
      <c r="H657" s="84" t="s">
        <v>1031</v>
      </c>
      <c r="I657" s="84" t="s">
        <v>937</v>
      </c>
      <c r="J657" s="86">
        <v>36.869999999999997</v>
      </c>
      <c r="K657" s="86">
        <v>0</v>
      </c>
      <c r="L657" s="84" t="s">
        <v>578</v>
      </c>
      <c r="M657" s="84" t="s">
        <v>394</v>
      </c>
    </row>
    <row r="658" spans="1:13" x14ac:dyDescent="0.25">
      <c r="A658" s="83">
        <v>643351</v>
      </c>
      <c r="B658" s="84" t="s">
        <v>303</v>
      </c>
      <c r="C658" s="85">
        <f t="shared" si="16"/>
        <v>45747</v>
      </c>
      <c r="D658" s="84" t="s">
        <v>994</v>
      </c>
      <c r="E658" s="84" t="s">
        <v>1032</v>
      </c>
      <c r="F658" s="84" t="s">
        <v>306</v>
      </c>
      <c r="G658" s="84" t="s">
        <v>306</v>
      </c>
      <c r="H658" s="84" t="s">
        <v>1031</v>
      </c>
      <c r="I658" s="84" t="s">
        <v>937</v>
      </c>
      <c r="J658" s="86">
        <v>38.979999999999997</v>
      </c>
      <c r="K658" s="86">
        <v>0</v>
      </c>
      <c r="L658" s="84" t="s">
        <v>578</v>
      </c>
      <c r="M658" s="84" t="s">
        <v>394</v>
      </c>
    </row>
    <row r="659" spans="1:13" x14ac:dyDescent="0.25">
      <c r="A659" s="83">
        <v>643351</v>
      </c>
      <c r="B659" s="84" t="s">
        <v>303</v>
      </c>
      <c r="C659" s="85">
        <f t="shared" si="16"/>
        <v>45747</v>
      </c>
      <c r="D659" s="84" t="s">
        <v>994</v>
      </c>
      <c r="E659" s="84" t="s">
        <v>1033</v>
      </c>
      <c r="F659" s="84" t="s">
        <v>306</v>
      </c>
      <c r="G659" s="84" t="s">
        <v>306</v>
      </c>
      <c r="H659" s="84" t="s">
        <v>1031</v>
      </c>
      <c r="I659" s="84" t="s">
        <v>937</v>
      </c>
      <c r="J659" s="86">
        <v>80.59</v>
      </c>
      <c r="K659" s="86">
        <v>0</v>
      </c>
      <c r="L659" s="84" t="s">
        <v>578</v>
      </c>
      <c r="M659" s="84" t="s">
        <v>394</v>
      </c>
    </row>
    <row r="660" spans="1:13" x14ac:dyDescent="0.25">
      <c r="A660" s="83">
        <v>643351</v>
      </c>
      <c r="B660" s="84" t="s">
        <v>303</v>
      </c>
      <c r="C660" s="85">
        <f t="shared" si="16"/>
        <v>45747</v>
      </c>
      <c r="D660" s="84" t="s">
        <v>994</v>
      </c>
      <c r="E660" s="84" t="s">
        <v>1034</v>
      </c>
      <c r="F660" s="84" t="s">
        <v>306</v>
      </c>
      <c r="G660" s="84" t="s">
        <v>306</v>
      </c>
      <c r="H660" s="84" t="s">
        <v>1031</v>
      </c>
      <c r="I660" s="84" t="s">
        <v>937</v>
      </c>
      <c r="J660" s="86">
        <v>112.64</v>
      </c>
      <c r="K660" s="86">
        <v>0</v>
      </c>
      <c r="L660" s="84" t="s">
        <v>578</v>
      </c>
      <c r="M660" s="84" t="s">
        <v>394</v>
      </c>
    </row>
    <row r="661" spans="1:13" x14ac:dyDescent="0.25">
      <c r="A661" s="83">
        <v>643351</v>
      </c>
      <c r="B661" s="84" t="s">
        <v>303</v>
      </c>
      <c r="C661" s="85">
        <f t="shared" si="16"/>
        <v>45747</v>
      </c>
      <c r="D661" s="84" t="s">
        <v>994</v>
      </c>
      <c r="E661" s="84" t="s">
        <v>1033</v>
      </c>
      <c r="F661" s="84" t="s">
        <v>306</v>
      </c>
      <c r="G661" s="84" t="s">
        <v>306</v>
      </c>
      <c r="H661" s="84" t="s">
        <v>1035</v>
      </c>
      <c r="I661" s="84" t="s">
        <v>937</v>
      </c>
      <c r="J661" s="86">
        <v>84.53</v>
      </c>
      <c r="K661" s="86">
        <v>0</v>
      </c>
      <c r="L661" s="84" t="s">
        <v>578</v>
      </c>
      <c r="M661" s="84" t="s">
        <v>352</v>
      </c>
    </row>
    <row r="662" spans="1:13" x14ac:dyDescent="0.25">
      <c r="A662" s="83">
        <v>643351</v>
      </c>
      <c r="B662" s="84" t="s">
        <v>303</v>
      </c>
      <c r="C662" s="85">
        <f t="shared" si="16"/>
        <v>45747</v>
      </c>
      <c r="D662" s="84" t="s">
        <v>994</v>
      </c>
      <c r="E662" s="84" t="s">
        <v>1036</v>
      </c>
      <c r="F662" s="84" t="s">
        <v>306</v>
      </c>
      <c r="G662" s="84" t="s">
        <v>306</v>
      </c>
      <c r="H662" s="84" t="s">
        <v>1037</v>
      </c>
      <c r="I662" s="84" t="s">
        <v>1038</v>
      </c>
      <c r="J662" s="86">
        <v>118.32</v>
      </c>
      <c r="K662" s="86">
        <v>0</v>
      </c>
      <c r="L662" s="84" t="s">
        <v>1039</v>
      </c>
      <c r="M662" s="84" t="s">
        <v>310</v>
      </c>
    </row>
    <row r="663" spans="1:13" x14ac:dyDescent="0.25">
      <c r="A663" s="83">
        <v>643351</v>
      </c>
      <c r="B663" s="84" t="s">
        <v>303</v>
      </c>
      <c r="C663" s="85">
        <f t="shared" si="16"/>
        <v>45747</v>
      </c>
      <c r="D663" s="84" t="s">
        <v>994</v>
      </c>
      <c r="E663" s="84" t="s">
        <v>1015</v>
      </c>
      <c r="F663" s="84" t="s">
        <v>306</v>
      </c>
      <c r="G663" s="84" t="s">
        <v>306</v>
      </c>
      <c r="H663" s="84" t="s">
        <v>1040</v>
      </c>
      <c r="I663" s="84" t="s">
        <v>563</v>
      </c>
      <c r="J663" s="86">
        <v>19.989999999999998</v>
      </c>
      <c r="K663" s="86">
        <v>0</v>
      </c>
      <c r="L663" s="84" t="s">
        <v>564</v>
      </c>
      <c r="M663" s="84" t="s">
        <v>331</v>
      </c>
    </row>
    <row r="664" spans="1:13" x14ac:dyDescent="0.25">
      <c r="A664" s="83">
        <v>643351</v>
      </c>
      <c r="B664" s="84" t="s">
        <v>303</v>
      </c>
      <c r="C664" s="85">
        <f t="shared" si="16"/>
        <v>45747</v>
      </c>
      <c r="D664" s="84" t="s">
        <v>994</v>
      </c>
      <c r="E664" s="84" t="s">
        <v>1041</v>
      </c>
      <c r="F664" s="84" t="s">
        <v>306</v>
      </c>
      <c r="G664" s="84" t="s">
        <v>306</v>
      </c>
      <c r="H664" s="84" t="s">
        <v>1042</v>
      </c>
      <c r="I664" s="84" t="s">
        <v>1021</v>
      </c>
      <c r="J664" s="86">
        <v>104.76</v>
      </c>
      <c r="K664" s="86">
        <v>0</v>
      </c>
      <c r="L664" s="84" t="s">
        <v>1022</v>
      </c>
      <c r="M664" s="84" t="s">
        <v>394</v>
      </c>
    </row>
    <row r="665" spans="1:13" x14ac:dyDescent="0.25">
      <c r="A665" s="83">
        <v>643351</v>
      </c>
      <c r="B665" s="84" t="s">
        <v>303</v>
      </c>
      <c r="C665" s="85">
        <f t="shared" si="16"/>
        <v>45747</v>
      </c>
      <c r="D665" s="84" t="s">
        <v>994</v>
      </c>
      <c r="E665" s="84" t="s">
        <v>1043</v>
      </c>
      <c r="F665" s="84" t="s">
        <v>306</v>
      </c>
      <c r="G665" s="84" t="s">
        <v>306</v>
      </c>
      <c r="H665" s="84" t="s">
        <v>1042</v>
      </c>
      <c r="I665" s="84" t="s">
        <v>1021</v>
      </c>
      <c r="J665" s="86">
        <v>125.99</v>
      </c>
      <c r="K665" s="86">
        <v>0</v>
      </c>
      <c r="L665" s="84" t="s">
        <v>1022</v>
      </c>
      <c r="M665" s="84" t="s">
        <v>394</v>
      </c>
    </row>
    <row r="666" spans="1:13" x14ac:dyDescent="0.25">
      <c r="A666" s="83">
        <v>643390</v>
      </c>
      <c r="B666" s="84" t="s">
        <v>303</v>
      </c>
      <c r="C666" s="85">
        <f t="shared" si="16"/>
        <v>45747</v>
      </c>
      <c r="D666" s="84" t="s">
        <v>1044</v>
      </c>
      <c r="E666" s="84" t="s">
        <v>1045</v>
      </c>
      <c r="F666" s="84" t="s">
        <v>306</v>
      </c>
      <c r="G666" s="84" t="s">
        <v>306</v>
      </c>
      <c r="H666" s="84" t="s">
        <v>834</v>
      </c>
      <c r="I666" s="84" t="s">
        <v>835</v>
      </c>
      <c r="J666" s="86">
        <v>224.06</v>
      </c>
      <c r="K666" s="86">
        <v>0</v>
      </c>
      <c r="L666" s="84" t="s">
        <v>836</v>
      </c>
      <c r="M666" s="84" t="s">
        <v>652</v>
      </c>
    </row>
    <row r="667" spans="1:13" x14ac:dyDescent="0.25">
      <c r="A667" s="83">
        <v>643390</v>
      </c>
      <c r="B667" s="84" t="s">
        <v>303</v>
      </c>
      <c r="C667" s="85">
        <f t="shared" si="16"/>
        <v>45747</v>
      </c>
      <c r="D667" s="84" t="s">
        <v>1044</v>
      </c>
      <c r="E667" s="84" t="s">
        <v>1046</v>
      </c>
      <c r="F667" s="84" t="s">
        <v>306</v>
      </c>
      <c r="G667" s="84" t="s">
        <v>306</v>
      </c>
      <c r="H667" s="84" t="s">
        <v>834</v>
      </c>
      <c r="I667" s="84" t="s">
        <v>835</v>
      </c>
      <c r="J667" s="86">
        <v>548.52</v>
      </c>
      <c r="K667" s="86">
        <v>0</v>
      </c>
      <c r="L667" s="84" t="s">
        <v>836</v>
      </c>
      <c r="M667" s="84" t="s">
        <v>652</v>
      </c>
    </row>
    <row r="668" spans="1:13" x14ac:dyDescent="0.25">
      <c r="A668" s="83">
        <v>643390</v>
      </c>
      <c r="B668" s="84" t="s">
        <v>303</v>
      </c>
      <c r="C668" s="85">
        <f t="shared" si="16"/>
        <v>45747</v>
      </c>
      <c r="D668" s="84" t="s">
        <v>1044</v>
      </c>
      <c r="E668" s="84" t="s">
        <v>1047</v>
      </c>
      <c r="F668" s="84" t="s">
        <v>306</v>
      </c>
      <c r="G668" s="84" t="s">
        <v>306</v>
      </c>
      <c r="H668" s="84" t="s">
        <v>834</v>
      </c>
      <c r="I668" s="84" t="s">
        <v>835</v>
      </c>
      <c r="J668" s="86">
        <v>601.23</v>
      </c>
      <c r="K668" s="86">
        <v>0</v>
      </c>
      <c r="L668" s="84" t="s">
        <v>836</v>
      </c>
      <c r="M668" s="84" t="s">
        <v>652</v>
      </c>
    </row>
    <row r="669" spans="1:13" x14ac:dyDescent="0.25">
      <c r="A669" s="83">
        <v>643392</v>
      </c>
      <c r="B669" s="84" t="s">
        <v>303</v>
      </c>
      <c r="C669" s="85">
        <f t="shared" si="16"/>
        <v>45747</v>
      </c>
      <c r="D669" s="84" t="s">
        <v>1048</v>
      </c>
      <c r="E669" s="84" t="s">
        <v>1049</v>
      </c>
      <c r="F669" s="84" t="s">
        <v>306</v>
      </c>
      <c r="G669" s="84" t="s">
        <v>306</v>
      </c>
      <c r="H669" s="84" t="s">
        <v>521</v>
      </c>
      <c r="I669" s="84" t="s">
        <v>522</v>
      </c>
      <c r="J669" s="86">
        <v>428.35</v>
      </c>
      <c r="K669" s="86">
        <v>0</v>
      </c>
      <c r="L669" s="84" t="s">
        <v>523</v>
      </c>
      <c r="M669" s="84" t="s">
        <v>344</v>
      </c>
    </row>
    <row r="670" spans="1:13" x14ac:dyDescent="0.25">
      <c r="A670" s="83">
        <v>643392</v>
      </c>
      <c r="B670" s="84" t="s">
        <v>303</v>
      </c>
      <c r="C670" s="85">
        <f t="shared" si="16"/>
        <v>45747</v>
      </c>
      <c r="D670" s="84" t="s">
        <v>1048</v>
      </c>
      <c r="E670" s="84" t="s">
        <v>1050</v>
      </c>
      <c r="F670" s="84" t="s">
        <v>306</v>
      </c>
      <c r="G670" s="84" t="s">
        <v>306</v>
      </c>
      <c r="H670" s="84" t="s">
        <v>521</v>
      </c>
      <c r="I670" s="84" t="s">
        <v>522</v>
      </c>
      <c r="J670" s="86">
        <v>788.24</v>
      </c>
      <c r="K670" s="86">
        <v>0</v>
      </c>
      <c r="L670" s="84" t="s">
        <v>523</v>
      </c>
      <c r="M670" s="84" t="s">
        <v>344</v>
      </c>
    </row>
    <row r="671" spans="1:13" x14ac:dyDescent="0.25">
      <c r="A671" s="83">
        <v>643392</v>
      </c>
      <c r="B671" s="84" t="s">
        <v>303</v>
      </c>
      <c r="C671" s="85">
        <f t="shared" si="16"/>
        <v>45747</v>
      </c>
      <c r="D671" s="84" t="s">
        <v>1048</v>
      </c>
      <c r="E671" s="84" t="s">
        <v>1051</v>
      </c>
      <c r="F671" s="84" t="s">
        <v>306</v>
      </c>
      <c r="G671" s="84" t="s">
        <v>306</v>
      </c>
      <c r="H671" s="84" t="s">
        <v>521</v>
      </c>
      <c r="I671" s="84" t="s">
        <v>522</v>
      </c>
      <c r="J671" s="86">
        <v>1126.8599999999999</v>
      </c>
      <c r="K671" s="86">
        <v>0</v>
      </c>
      <c r="L671" s="84" t="s">
        <v>523</v>
      </c>
      <c r="M671" s="84" t="s">
        <v>344</v>
      </c>
    </row>
    <row r="672" spans="1:13" x14ac:dyDescent="0.25">
      <c r="A672" s="83">
        <v>643395</v>
      </c>
      <c r="B672" s="84" t="s">
        <v>303</v>
      </c>
      <c r="C672" s="85">
        <f t="shared" si="16"/>
        <v>45747</v>
      </c>
      <c r="D672" s="84" t="s">
        <v>1052</v>
      </c>
      <c r="E672" s="84" t="s">
        <v>1053</v>
      </c>
      <c r="F672" s="84" t="s">
        <v>306</v>
      </c>
      <c r="G672" s="84" t="s">
        <v>306</v>
      </c>
      <c r="H672" s="84" t="s">
        <v>1054</v>
      </c>
      <c r="I672" s="84" t="s">
        <v>1055</v>
      </c>
      <c r="J672" s="86">
        <v>98.2</v>
      </c>
      <c r="K672" s="86">
        <v>0</v>
      </c>
      <c r="L672" s="84" t="s">
        <v>1056</v>
      </c>
      <c r="M672" s="84" t="s">
        <v>310</v>
      </c>
    </row>
    <row r="673" spans="1:13" x14ac:dyDescent="0.25">
      <c r="A673" s="83">
        <v>643395</v>
      </c>
      <c r="B673" s="84" t="s">
        <v>303</v>
      </c>
      <c r="C673" s="85">
        <f t="shared" si="16"/>
        <v>45747</v>
      </c>
      <c r="D673" s="84" t="s">
        <v>1052</v>
      </c>
      <c r="E673" s="84" t="s">
        <v>1057</v>
      </c>
      <c r="F673" s="84" t="s">
        <v>306</v>
      </c>
      <c r="G673" s="84" t="s">
        <v>306</v>
      </c>
      <c r="H673" s="84" t="s">
        <v>1058</v>
      </c>
      <c r="I673" s="84" t="s">
        <v>1059</v>
      </c>
      <c r="J673" s="86">
        <v>461.83</v>
      </c>
      <c r="K673" s="86">
        <v>0</v>
      </c>
      <c r="L673" s="84" t="s">
        <v>1060</v>
      </c>
      <c r="M673" s="84" t="s">
        <v>310</v>
      </c>
    </row>
    <row r="674" spans="1:13" x14ac:dyDescent="0.25">
      <c r="A674" s="83">
        <v>643395</v>
      </c>
      <c r="B674" s="84" t="s">
        <v>303</v>
      </c>
      <c r="C674" s="85">
        <f t="shared" si="16"/>
        <v>45747</v>
      </c>
      <c r="D674" s="84" t="s">
        <v>1052</v>
      </c>
      <c r="E674" s="84" t="s">
        <v>1061</v>
      </c>
      <c r="F674" s="84" t="s">
        <v>306</v>
      </c>
      <c r="G674" s="84" t="s">
        <v>306</v>
      </c>
      <c r="H674" s="84" t="s">
        <v>1062</v>
      </c>
      <c r="I674" s="84" t="s">
        <v>1063</v>
      </c>
      <c r="J674" s="86">
        <v>415.47</v>
      </c>
      <c r="K674" s="86">
        <v>0</v>
      </c>
      <c r="L674" s="84" t="s">
        <v>1064</v>
      </c>
      <c r="M674" s="84" t="s">
        <v>310</v>
      </c>
    </row>
    <row r="675" spans="1:13" x14ac:dyDescent="0.25">
      <c r="A675" s="83">
        <v>643396</v>
      </c>
      <c r="B675" s="84" t="s">
        <v>303</v>
      </c>
      <c r="C675" s="85">
        <f t="shared" si="16"/>
        <v>45747</v>
      </c>
      <c r="D675" s="84" t="s">
        <v>1065</v>
      </c>
      <c r="E675" s="84" t="s">
        <v>1066</v>
      </c>
      <c r="F675" s="84" t="s">
        <v>306</v>
      </c>
      <c r="G675" s="84" t="s">
        <v>306</v>
      </c>
      <c r="H675" s="84" t="s">
        <v>521</v>
      </c>
      <c r="I675" s="84" t="s">
        <v>522</v>
      </c>
      <c r="J675" s="86">
        <v>714.5</v>
      </c>
      <c r="K675" s="86">
        <v>0</v>
      </c>
      <c r="L675" s="84" t="s">
        <v>523</v>
      </c>
      <c r="M675" s="84" t="s">
        <v>344</v>
      </c>
    </row>
    <row r="676" spans="1:13" x14ac:dyDescent="0.25">
      <c r="A676" s="83">
        <v>643397</v>
      </c>
      <c r="B676" s="84" t="s">
        <v>303</v>
      </c>
      <c r="C676" s="85">
        <f t="shared" si="16"/>
        <v>45747</v>
      </c>
      <c r="D676" s="84" t="s">
        <v>1065</v>
      </c>
      <c r="E676" s="84" t="s">
        <v>1067</v>
      </c>
      <c r="F676" s="84" t="s">
        <v>306</v>
      </c>
      <c r="G676" s="84" t="s">
        <v>306</v>
      </c>
      <c r="H676" s="84" t="s">
        <v>521</v>
      </c>
      <c r="I676" s="84" t="s">
        <v>522</v>
      </c>
      <c r="J676" s="86">
        <v>735.74</v>
      </c>
      <c r="K676" s="86">
        <v>0</v>
      </c>
      <c r="L676" s="84" t="s">
        <v>523</v>
      </c>
      <c r="M676" s="84" t="s">
        <v>344</v>
      </c>
    </row>
    <row r="677" spans="1:13" x14ac:dyDescent="0.25">
      <c r="A677" s="83">
        <v>643398</v>
      </c>
      <c r="B677" s="84" t="s">
        <v>303</v>
      </c>
      <c r="C677" s="85">
        <f t="shared" si="16"/>
        <v>45747</v>
      </c>
      <c r="D677" s="84" t="s">
        <v>1068</v>
      </c>
      <c r="E677" s="84" t="s">
        <v>1069</v>
      </c>
      <c r="F677" s="84" t="s">
        <v>306</v>
      </c>
      <c r="G677" s="84" t="s">
        <v>306</v>
      </c>
      <c r="H677" s="84" t="s">
        <v>1070</v>
      </c>
      <c r="I677" s="84" t="s">
        <v>1071</v>
      </c>
      <c r="J677" s="86">
        <v>146.02000000000001</v>
      </c>
      <c r="K677" s="86">
        <v>0</v>
      </c>
      <c r="L677" s="84" t="s">
        <v>1072</v>
      </c>
      <c r="M677" s="84" t="s">
        <v>310</v>
      </c>
    </row>
    <row r="678" spans="1:13" x14ac:dyDescent="0.25">
      <c r="A678" s="83">
        <v>643398</v>
      </c>
      <c r="B678" s="84" t="s">
        <v>303</v>
      </c>
      <c r="C678" s="85">
        <f t="shared" si="16"/>
        <v>45747</v>
      </c>
      <c r="D678" s="84" t="s">
        <v>1068</v>
      </c>
      <c r="E678" s="84" t="s">
        <v>1073</v>
      </c>
      <c r="F678" s="84" t="s">
        <v>306</v>
      </c>
      <c r="G678" s="84" t="s">
        <v>306</v>
      </c>
      <c r="H678" s="84" t="s">
        <v>1074</v>
      </c>
      <c r="I678" s="84" t="s">
        <v>1075</v>
      </c>
      <c r="J678" s="86">
        <v>111.76</v>
      </c>
      <c r="K678" s="86">
        <v>0</v>
      </c>
      <c r="L678" s="84" t="s">
        <v>1076</v>
      </c>
      <c r="M678" s="84" t="s">
        <v>310</v>
      </c>
    </row>
    <row r="679" spans="1:13" x14ac:dyDescent="0.25">
      <c r="A679" s="83">
        <v>643398</v>
      </c>
      <c r="B679" s="84" t="s">
        <v>303</v>
      </c>
      <c r="C679" s="85">
        <f t="shared" si="16"/>
        <v>45747</v>
      </c>
      <c r="D679" s="84" t="s">
        <v>1068</v>
      </c>
      <c r="E679" s="84" t="s">
        <v>1077</v>
      </c>
      <c r="F679" s="84" t="s">
        <v>306</v>
      </c>
      <c r="G679" s="84" t="s">
        <v>306</v>
      </c>
      <c r="H679" s="84" t="s">
        <v>1078</v>
      </c>
      <c r="I679" s="84" t="s">
        <v>1079</v>
      </c>
      <c r="J679" s="86">
        <v>189.77</v>
      </c>
      <c r="K679" s="86">
        <v>0</v>
      </c>
      <c r="L679" s="84" t="s">
        <v>1080</v>
      </c>
      <c r="M679" s="84" t="s">
        <v>310</v>
      </c>
    </row>
    <row r="680" spans="1:13" x14ac:dyDescent="0.25">
      <c r="A680" s="83">
        <v>643399</v>
      </c>
      <c r="B680" s="84" t="s">
        <v>303</v>
      </c>
      <c r="C680" s="85">
        <f t="shared" si="16"/>
        <v>45747</v>
      </c>
      <c r="D680" s="84" t="s">
        <v>1081</v>
      </c>
      <c r="E680" s="84" t="s">
        <v>1082</v>
      </c>
      <c r="F680" s="84" t="s">
        <v>306</v>
      </c>
      <c r="G680" s="84" t="s">
        <v>306</v>
      </c>
      <c r="H680" s="84" t="s">
        <v>1083</v>
      </c>
      <c r="I680" s="84" t="s">
        <v>1084</v>
      </c>
      <c r="J680" s="86">
        <v>1233.74</v>
      </c>
      <c r="K680" s="86">
        <v>0</v>
      </c>
      <c r="L680" s="84" t="s">
        <v>1085</v>
      </c>
      <c r="M680" s="84" t="s">
        <v>310</v>
      </c>
    </row>
    <row r="681" spans="1:13" x14ac:dyDescent="0.25">
      <c r="A681" s="83">
        <v>643400</v>
      </c>
      <c r="B681" s="84" t="s">
        <v>303</v>
      </c>
      <c r="C681" s="85">
        <f t="shared" ref="C681:C744" si="17">DATE(2025,3,31)</f>
        <v>45747</v>
      </c>
      <c r="D681" s="84" t="s">
        <v>1086</v>
      </c>
      <c r="E681" s="84" t="s">
        <v>1087</v>
      </c>
      <c r="F681" s="84" t="s">
        <v>306</v>
      </c>
      <c r="G681" s="84" t="s">
        <v>306</v>
      </c>
      <c r="H681" s="84" t="s">
        <v>1088</v>
      </c>
      <c r="I681" s="84" t="s">
        <v>1089</v>
      </c>
      <c r="J681" s="86">
        <v>185.74</v>
      </c>
      <c r="K681" s="86">
        <v>0</v>
      </c>
      <c r="L681" s="84" t="s">
        <v>1090</v>
      </c>
      <c r="M681" s="84" t="s">
        <v>310</v>
      </c>
    </row>
    <row r="682" spans="1:13" x14ac:dyDescent="0.25">
      <c r="A682" s="83">
        <v>643478</v>
      </c>
      <c r="B682" s="84" t="s">
        <v>303</v>
      </c>
      <c r="C682" s="85">
        <f t="shared" si="17"/>
        <v>45747</v>
      </c>
      <c r="D682" s="84" t="s">
        <v>1091</v>
      </c>
      <c r="E682" s="84" t="s">
        <v>1045</v>
      </c>
      <c r="F682" s="84" t="s">
        <v>306</v>
      </c>
      <c r="G682" s="84" t="s">
        <v>306</v>
      </c>
      <c r="H682" s="84" t="s">
        <v>834</v>
      </c>
      <c r="I682" s="84" t="s">
        <v>835</v>
      </c>
      <c r="J682" s="86">
        <v>0</v>
      </c>
      <c r="K682" s="86">
        <v>224.06</v>
      </c>
      <c r="L682" s="84" t="s">
        <v>836</v>
      </c>
      <c r="M682" s="84" t="s">
        <v>652</v>
      </c>
    </row>
    <row r="683" spans="1:13" x14ac:dyDescent="0.25">
      <c r="A683" s="83">
        <v>643478</v>
      </c>
      <c r="B683" s="84" t="s">
        <v>303</v>
      </c>
      <c r="C683" s="85">
        <f t="shared" si="17"/>
        <v>45747</v>
      </c>
      <c r="D683" s="84" t="s">
        <v>1091</v>
      </c>
      <c r="E683" s="84" t="s">
        <v>1046</v>
      </c>
      <c r="F683" s="84" t="s">
        <v>306</v>
      </c>
      <c r="G683" s="84" t="s">
        <v>306</v>
      </c>
      <c r="H683" s="84" t="s">
        <v>834</v>
      </c>
      <c r="I683" s="84" t="s">
        <v>835</v>
      </c>
      <c r="J683" s="86">
        <v>0</v>
      </c>
      <c r="K683" s="86">
        <v>548.52</v>
      </c>
      <c r="L683" s="84" t="s">
        <v>836</v>
      </c>
      <c r="M683" s="84" t="s">
        <v>652</v>
      </c>
    </row>
    <row r="684" spans="1:13" x14ac:dyDescent="0.25">
      <c r="A684" s="83">
        <v>643478</v>
      </c>
      <c r="B684" s="84" t="s">
        <v>303</v>
      </c>
      <c r="C684" s="85">
        <f t="shared" si="17"/>
        <v>45747</v>
      </c>
      <c r="D684" s="84" t="s">
        <v>1091</v>
      </c>
      <c r="E684" s="84" t="s">
        <v>1047</v>
      </c>
      <c r="F684" s="84" t="s">
        <v>306</v>
      </c>
      <c r="G684" s="84" t="s">
        <v>306</v>
      </c>
      <c r="H684" s="84" t="s">
        <v>834</v>
      </c>
      <c r="I684" s="84" t="s">
        <v>835</v>
      </c>
      <c r="J684" s="86">
        <v>0</v>
      </c>
      <c r="K684" s="86">
        <v>601.23</v>
      </c>
      <c r="L684" s="84" t="s">
        <v>836</v>
      </c>
      <c r="M684" s="84" t="s">
        <v>652</v>
      </c>
    </row>
    <row r="685" spans="1:13" x14ac:dyDescent="0.25">
      <c r="A685" s="83">
        <v>643479</v>
      </c>
      <c r="B685" s="84" t="s">
        <v>303</v>
      </c>
      <c r="C685" s="85">
        <f t="shared" si="17"/>
        <v>45747</v>
      </c>
      <c r="D685" s="84" t="s">
        <v>1044</v>
      </c>
      <c r="E685" s="84" t="s">
        <v>1045</v>
      </c>
      <c r="F685" s="84" t="s">
        <v>306</v>
      </c>
      <c r="G685" s="84" t="s">
        <v>306</v>
      </c>
      <c r="H685" s="84" t="s">
        <v>834</v>
      </c>
      <c r="I685" s="84" t="s">
        <v>835</v>
      </c>
      <c r="J685" s="86">
        <v>217.84</v>
      </c>
      <c r="K685" s="86">
        <v>0</v>
      </c>
      <c r="L685" s="84" t="s">
        <v>836</v>
      </c>
      <c r="M685" s="84" t="s">
        <v>652</v>
      </c>
    </row>
    <row r="686" spans="1:13" x14ac:dyDescent="0.25">
      <c r="A686" s="83">
        <v>643479</v>
      </c>
      <c r="B686" s="84" t="s">
        <v>303</v>
      </c>
      <c r="C686" s="85">
        <f t="shared" si="17"/>
        <v>45747</v>
      </c>
      <c r="D686" s="84" t="s">
        <v>1044</v>
      </c>
      <c r="E686" s="84" t="s">
        <v>1046</v>
      </c>
      <c r="F686" s="84" t="s">
        <v>306</v>
      </c>
      <c r="G686" s="84" t="s">
        <v>306</v>
      </c>
      <c r="H686" s="84" t="s">
        <v>834</v>
      </c>
      <c r="I686" s="84" t="s">
        <v>835</v>
      </c>
      <c r="J686" s="86">
        <v>533.28</v>
      </c>
      <c r="K686" s="86">
        <v>0</v>
      </c>
      <c r="L686" s="84" t="s">
        <v>836</v>
      </c>
      <c r="M686" s="84" t="s">
        <v>652</v>
      </c>
    </row>
    <row r="687" spans="1:13" x14ac:dyDescent="0.25">
      <c r="A687" s="83">
        <v>643479</v>
      </c>
      <c r="B687" s="84" t="s">
        <v>303</v>
      </c>
      <c r="C687" s="85">
        <f t="shared" si="17"/>
        <v>45747</v>
      </c>
      <c r="D687" s="84" t="s">
        <v>1044</v>
      </c>
      <c r="E687" s="84" t="s">
        <v>1047</v>
      </c>
      <c r="F687" s="84" t="s">
        <v>306</v>
      </c>
      <c r="G687" s="84" t="s">
        <v>306</v>
      </c>
      <c r="H687" s="84" t="s">
        <v>834</v>
      </c>
      <c r="I687" s="84" t="s">
        <v>835</v>
      </c>
      <c r="J687" s="86">
        <v>584.53</v>
      </c>
      <c r="K687" s="86">
        <v>0</v>
      </c>
      <c r="L687" s="84" t="s">
        <v>836</v>
      </c>
      <c r="M687" s="84" t="s">
        <v>652</v>
      </c>
    </row>
    <row r="688" spans="1:13" x14ac:dyDescent="0.25">
      <c r="A688" s="83">
        <v>643480</v>
      </c>
      <c r="B688" s="84" t="s">
        <v>303</v>
      </c>
      <c r="C688" s="85">
        <f t="shared" si="17"/>
        <v>45747</v>
      </c>
      <c r="D688" s="84" t="s">
        <v>1092</v>
      </c>
      <c r="E688" s="84" t="s">
        <v>1049</v>
      </c>
      <c r="F688" s="84" t="s">
        <v>306</v>
      </c>
      <c r="G688" s="84" t="s">
        <v>306</v>
      </c>
      <c r="H688" s="84" t="s">
        <v>521</v>
      </c>
      <c r="I688" s="84" t="s">
        <v>522</v>
      </c>
      <c r="J688" s="86">
        <v>0</v>
      </c>
      <c r="K688" s="86">
        <v>428.35</v>
      </c>
      <c r="L688" s="84" t="s">
        <v>523</v>
      </c>
      <c r="M688" s="84" t="s">
        <v>344</v>
      </c>
    </row>
    <row r="689" spans="1:13" x14ac:dyDescent="0.25">
      <c r="A689" s="83">
        <v>643480</v>
      </c>
      <c r="B689" s="84" t="s">
        <v>303</v>
      </c>
      <c r="C689" s="85">
        <f t="shared" si="17"/>
        <v>45747</v>
      </c>
      <c r="D689" s="84" t="s">
        <v>1092</v>
      </c>
      <c r="E689" s="84" t="s">
        <v>1050</v>
      </c>
      <c r="F689" s="84" t="s">
        <v>306</v>
      </c>
      <c r="G689" s="84" t="s">
        <v>306</v>
      </c>
      <c r="H689" s="84" t="s">
        <v>521</v>
      </c>
      <c r="I689" s="84" t="s">
        <v>522</v>
      </c>
      <c r="J689" s="86">
        <v>0</v>
      </c>
      <c r="K689" s="86">
        <v>788.24</v>
      </c>
      <c r="L689" s="84" t="s">
        <v>523</v>
      </c>
      <c r="M689" s="84" t="s">
        <v>344</v>
      </c>
    </row>
    <row r="690" spans="1:13" x14ac:dyDescent="0.25">
      <c r="A690" s="83">
        <v>643480</v>
      </c>
      <c r="B690" s="84" t="s">
        <v>303</v>
      </c>
      <c r="C690" s="85">
        <f t="shared" si="17"/>
        <v>45747</v>
      </c>
      <c r="D690" s="84" t="s">
        <v>1092</v>
      </c>
      <c r="E690" s="84" t="s">
        <v>1051</v>
      </c>
      <c r="F690" s="84" t="s">
        <v>306</v>
      </c>
      <c r="G690" s="84" t="s">
        <v>306</v>
      </c>
      <c r="H690" s="84" t="s">
        <v>521</v>
      </c>
      <c r="I690" s="84" t="s">
        <v>522</v>
      </c>
      <c r="J690" s="86">
        <v>0</v>
      </c>
      <c r="K690" s="86">
        <v>1126.8599999999999</v>
      </c>
      <c r="L690" s="84" t="s">
        <v>523</v>
      </c>
      <c r="M690" s="84" t="s">
        <v>344</v>
      </c>
    </row>
    <row r="691" spans="1:13" x14ac:dyDescent="0.25">
      <c r="A691" s="83">
        <v>643481</v>
      </c>
      <c r="B691" s="84" t="s">
        <v>303</v>
      </c>
      <c r="C691" s="85">
        <f t="shared" si="17"/>
        <v>45747</v>
      </c>
      <c r="D691" s="84" t="s">
        <v>1048</v>
      </c>
      <c r="E691" s="84" t="s">
        <v>1049</v>
      </c>
      <c r="F691" s="84" t="s">
        <v>306</v>
      </c>
      <c r="G691" s="84" t="s">
        <v>306</v>
      </c>
      <c r="H691" s="84" t="s">
        <v>521</v>
      </c>
      <c r="I691" s="84" t="s">
        <v>522</v>
      </c>
      <c r="J691" s="86">
        <v>416.13</v>
      </c>
      <c r="K691" s="86">
        <v>0</v>
      </c>
      <c r="L691" s="84" t="s">
        <v>523</v>
      </c>
      <c r="M691" s="84" t="s">
        <v>344</v>
      </c>
    </row>
    <row r="692" spans="1:13" x14ac:dyDescent="0.25">
      <c r="A692" s="83">
        <v>643481</v>
      </c>
      <c r="B692" s="84" t="s">
        <v>303</v>
      </c>
      <c r="C692" s="85">
        <f t="shared" si="17"/>
        <v>45747</v>
      </c>
      <c r="D692" s="84" t="s">
        <v>1048</v>
      </c>
      <c r="E692" s="84" t="s">
        <v>1050</v>
      </c>
      <c r="F692" s="84" t="s">
        <v>306</v>
      </c>
      <c r="G692" s="84" t="s">
        <v>306</v>
      </c>
      <c r="H692" s="84" t="s">
        <v>521</v>
      </c>
      <c r="I692" s="84" t="s">
        <v>522</v>
      </c>
      <c r="J692" s="86">
        <v>765.74</v>
      </c>
      <c r="K692" s="86">
        <v>0</v>
      </c>
      <c r="L692" s="84" t="s">
        <v>523</v>
      </c>
      <c r="M692" s="84" t="s">
        <v>344</v>
      </c>
    </row>
    <row r="693" spans="1:13" x14ac:dyDescent="0.25">
      <c r="A693" s="83">
        <v>643481</v>
      </c>
      <c r="B693" s="84" t="s">
        <v>303</v>
      </c>
      <c r="C693" s="85">
        <f t="shared" si="17"/>
        <v>45747</v>
      </c>
      <c r="D693" s="84" t="s">
        <v>1048</v>
      </c>
      <c r="E693" s="84" t="s">
        <v>1051</v>
      </c>
      <c r="F693" s="84" t="s">
        <v>306</v>
      </c>
      <c r="G693" s="84" t="s">
        <v>306</v>
      </c>
      <c r="H693" s="84" t="s">
        <v>521</v>
      </c>
      <c r="I693" s="84" t="s">
        <v>522</v>
      </c>
      <c r="J693" s="86">
        <v>1095.07</v>
      </c>
      <c r="K693" s="86">
        <v>0</v>
      </c>
      <c r="L693" s="84" t="s">
        <v>523</v>
      </c>
      <c r="M693" s="84" t="s">
        <v>344</v>
      </c>
    </row>
    <row r="694" spans="1:13" x14ac:dyDescent="0.25">
      <c r="A694" s="83">
        <v>643482</v>
      </c>
      <c r="B694" s="84" t="s">
        <v>303</v>
      </c>
      <c r="C694" s="85">
        <f t="shared" si="17"/>
        <v>45747</v>
      </c>
      <c r="D694" s="84" t="s">
        <v>1093</v>
      </c>
      <c r="E694" s="84" t="s">
        <v>1067</v>
      </c>
      <c r="F694" s="84" t="s">
        <v>306</v>
      </c>
      <c r="G694" s="84" t="s">
        <v>306</v>
      </c>
      <c r="H694" s="84" t="s">
        <v>521</v>
      </c>
      <c r="I694" s="84" t="s">
        <v>522</v>
      </c>
      <c r="J694" s="86">
        <v>0</v>
      </c>
      <c r="K694" s="86">
        <v>735.74</v>
      </c>
      <c r="L694" s="84" t="s">
        <v>523</v>
      </c>
      <c r="M694" s="84" t="s">
        <v>344</v>
      </c>
    </row>
    <row r="695" spans="1:13" x14ac:dyDescent="0.25">
      <c r="A695" s="83">
        <v>643484</v>
      </c>
      <c r="B695" s="84" t="s">
        <v>303</v>
      </c>
      <c r="C695" s="85">
        <f t="shared" si="17"/>
        <v>45747</v>
      </c>
      <c r="D695" s="84" t="s">
        <v>1065</v>
      </c>
      <c r="E695" s="84" t="s">
        <v>1094</v>
      </c>
      <c r="F695" s="84" t="s">
        <v>306</v>
      </c>
      <c r="G695" s="84" t="s">
        <v>306</v>
      </c>
      <c r="H695" s="84" t="s">
        <v>521</v>
      </c>
      <c r="I695" s="84" t="s">
        <v>522</v>
      </c>
      <c r="J695" s="86">
        <v>714.5</v>
      </c>
      <c r="K695" s="86">
        <v>0</v>
      </c>
      <c r="L695" s="84" t="s">
        <v>523</v>
      </c>
      <c r="M695" s="84" t="s">
        <v>344</v>
      </c>
    </row>
    <row r="696" spans="1:13" x14ac:dyDescent="0.25">
      <c r="A696" s="83">
        <v>643514</v>
      </c>
      <c r="B696" s="84" t="s">
        <v>303</v>
      </c>
      <c r="C696" s="85">
        <f t="shared" si="17"/>
        <v>45747</v>
      </c>
      <c r="D696" s="84" t="s">
        <v>1095</v>
      </c>
      <c r="E696" s="84" t="s">
        <v>1096</v>
      </c>
      <c r="F696" s="84" t="s">
        <v>306</v>
      </c>
      <c r="G696" s="84" t="s">
        <v>306</v>
      </c>
      <c r="H696" s="84" t="s">
        <v>1097</v>
      </c>
      <c r="I696" s="84" t="s">
        <v>1098</v>
      </c>
      <c r="J696" s="86">
        <v>50750</v>
      </c>
      <c r="K696" s="86">
        <v>0</v>
      </c>
      <c r="L696" s="84" t="s">
        <v>1099</v>
      </c>
      <c r="M696" s="84" t="s">
        <v>310</v>
      </c>
    </row>
    <row r="697" spans="1:13" x14ac:dyDescent="0.25">
      <c r="A697" s="83">
        <v>643515</v>
      </c>
      <c r="B697" s="84" t="s">
        <v>303</v>
      </c>
      <c r="C697" s="85">
        <f t="shared" si="17"/>
        <v>45747</v>
      </c>
      <c r="D697" s="84" t="s">
        <v>1100</v>
      </c>
      <c r="E697" s="84" t="s">
        <v>1101</v>
      </c>
      <c r="F697" s="84" t="s">
        <v>306</v>
      </c>
      <c r="G697" s="84" t="s">
        <v>306</v>
      </c>
      <c r="H697" s="84" t="s">
        <v>1102</v>
      </c>
      <c r="I697" s="84" t="s">
        <v>1103</v>
      </c>
      <c r="J697" s="86">
        <v>24529.17</v>
      </c>
      <c r="K697" s="86">
        <v>0</v>
      </c>
      <c r="L697" s="84" t="s">
        <v>1104</v>
      </c>
      <c r="M697" s="84" t="s">
        <v>310</v>
      </c>
    </row>
    <row r="698" spans="1:13" x14ac:dyDescent="0.25">
      <c r="A698" s="83">
        <v>643518</v>
      </c>
      <c r="B698" s="84" t="s">
        <v>303</v>
      </c>
      <c r="C698" s="85">
        <f t="shared" si="17"/>
        <v>45747</v>
      </c>
      <c r="D698" s="84" t="s">
        <v>1105</v>
      </c>
      <c r="E698" s="84" t="s">
        <v>1106</v>
      </c>
      <c r="F698" s="84" t="s">
        <v>306</v>
      </c>
      <c r="G698" s="84" t="s">
        <v>306</v>
      </c>
      <c r="H698" s="84" t="s">
        <v>1107</v>
      </c>
      <c r="I698" s="84" t="s">
        <v>1108</v>
      </c>
      <c r="J698" s="86">
        <v>1136.3800000000001</v>
      </c>
      <c r="K698" s="86">
        <v>0</v>
      </c>
      <c r="L698" s="84" t="s">
        <v>1109</v>
      </c>
      <c r="M698" s="84" t="s">
        <v>310</v>
      </c>
    </row>
    <row r="699" spans="1:13" x14ac:dyDescent="0.25">
      <c r="A699" s="83">
        <v>643871</v>
      </c>
      <c r="B699" s="84" t="s">
        <v>303</v>
      </c>
      <c r="C699" s="85">
        <f t="shared" si="17"/>
        <v>45747</v>
      </c>
      <c r="D699" s="84" t="s">
        <v>1110</v>
      </c>
      <c r="E699" s="84" t="s">
        <v>1111</v>
      </c>
      <c r="F699" s="84" t="s">
        <v>306</v>
      </c>
      <c r="G699" s="84" t="s">
        <v>306</v>
      </c>
      <c r="H699" s="84" t="s">
        <v>541</v>
      </c>
      <c r="I699" s="84" t="s">
        <v>540</v>
      </c>
      <c r="J699" s="86">
        <v>84.53</v>
      </c>
      <c r="K699" s="86">
        <v>0</v>
      </c>
      <c r="L699" s="84" t="s">
        <v>542</v>
      </c>
      <c r="M699" s="84" t="s">
        <v>310</v>
      </c>
    </row>
    <row r="700" spans="1:13" x14ac:dyDescent="0.25">
      <c r="A700" s="83">
        <v>644622</v>
      </c>
      <c r="B700" s="84" t="s">
        <v>303</v>
      </c>
      <c r="C700" s="85">
        <f t="shared" si="17"/>
        <v>45747</v>
      </c>
      <c r="D700" s="84" t="s">
        <v>1112</v>
      </c>
      <c r="E700" s="84" t="s">
        <v>1113</v>
      </c>
      <c r="F700" s="84" t="s">
        <v>306</v>
      </c>
      <c r="G700" s="84" t="s">
        <v>306</v>
      </c>
      <c r="H700" s="84" t="s">
        <v>516</v>
      </c>
      <c r="I700" s="84" t="s">
        <v>517</v>
      </c>
      <c r="J700" s="86">
        <v>468.39</v>
      </c>
      <c r="K700" s="86">
        <v>0</v>
      </c>
      <c r="L700" s="84" t="s">
        <v>518</v>
      </c>
      <c r="M700" s="84" t="s">
        <v>327</v>
      </c>
    </row>
    <row r="701" spans="1:13" x14ac:dyDescent="0.25">
      <c r="A701" s="83">
        <v>645156</v>
      </c>
      <c r="B701" s="84" t="s">
        <v>303</v>
      </c>
      <c r="C701" s="85">
        <f t="shared" si="17"/>
        <v>45747</v>
      </c>
      <c r="D701" s="84" t="s">
        <v>1114</v>
      </c>
      <c r="E701" s="84" t="s">
        <v>1115</v>
      </c>
      <c r="F701" s="84" t="s">
        <v>306</v>
      </c>
      <c r="G701" s="84" t="s">
        <v>306</v>
      </c>
      <c r="H701" s="84" t="s">
        <v>535</v>
      </c>
      <c r="I701" s="84" t="s">
        <v>534</v>
      </c>
      <c r="J701" s="86">
        <v>0</v>
      </c>
      <c r="K701" s="86">
        <v>28.63</v>
      </c>
      <c r="L701" s="84" t="s">
        <v>536</v>
      </c>
      <c r="M701" s="84" t="s">
        <v>531</v>
      </c>
    </row>
    <row r="702" spans="1:13" x14ac:dyDescent="0.25">
      <c r="A702" s="83">
        <v>645156</v>
      </c>
      <c r="B702" s="84" t="s">
        <v>303</v>
      </c>
      <c r="C702" s="85">
        <f t="shared" si="17"/>
        <v>45747</v>
      </c>
      <c r="D702" s="84" t="s">
        <v>1114</v>
      </c>
      <c r="E702" s="84" t="s">
        <v>1115</v>
      </c>
      <c r="F702" s="84" t="s">
        <v>306</v>
      </c>
      <c r="G702" s="84" t="s">
        <v>306</v>
      </c>
      <c r="H702" s="84" t="s">
        <v>535</v>
      </c>
      <c r="I702" s="84" t="s">
        <v>534</v>
      </c>
      <c r="J702" s="86">
        <v>222.01</v>
      </c>
      <c r="K702" s="86">
        <v>0</v>
      </c>
      <c r="L702" s="84" t="s">
        <v>536</v>
      </c>
      <c r="M702" s="84" t="s">
        <v>531</v>
      </c>
    </row>
    <row r="703" spans="1:13" x14ac:dyDescent="0.25">
      <c r="A703" s="83">
        <v>645156</v>
      </c>
      <c r="B703" s="84" t="s">
        <v>303</v>
      </c>
      <c r="C703" s="85">
        <f t="shared" si="17"/>
        <v>45747</v>
      </c>
      <c r="D703" s="84" t="s">
        <v>1114</v>
      </c>
      <c r="E703" s="84" t="s">
        <v>1116</v>
      </c>
      <c r="F703" s="84" t="s">
        <v>306</v>
      </c>
      <c r="G703" s="84" t="s">
        <v>306</v>
      </c>
      <c r="H703" s="84" t="s">
        <v>1006</v>
      </c>
      <c r="I703" s="84" t="s">
        <v>1007</v>
      </c>
      <c r="J703" s="86">
        <v>12.8</v>
      </c>
      <c r="K703" s="86">
        <v>0</v>
      </c>
      <c r="L703" s="84" t="s">
        <v>1008</v>
      </c>
      <c r="M703" s="84" t="s">
        <v>569</v>
      </c>
    </row>
    <row r="704" spans="1:13" x14ac:dyDescent="0.25">
      <c r="A704" s="83">
        <v>645156</v>
      </c>
      <c r="B704" s="84" t="s">
        <v>303</v>
      </c>
      <c r="C704" s="85">
        <f t="shared" si="17"/>
        <v>45747</v>
      </c>
      <c r="D704" s="84" t="s">
        <v>1114</v>
      </c>
      <c r="E704" s="84" t="s">
        <v>1117</v>
      </c>
      <c r="F704" s="84" t="s">
        <v>306</v>
      </c>
      <c r="G704" s="84" t="s">
        <v>306</v>
      </c>
      <c r="H704" s="84" t="s">
        <v>1118</v>
      </c>
      <c r="I704" s="84" t="s">
        <v>1119</v>
      </c>
      <c r="J704" s="86">
        <v>521.4</v>
      </c>
      <c r="K704" s="86">
        <v>0</v>
      </c>
      <c r="L704" s="84" t="s">
        <v>1120</v>
      </c>
      <c r="M704" s="84" t="s">
        <v>352</v>
      </c>
    </row>
    <row r="705" spans="1:13" x14ac:dyDescent="0.25">
      <c r="A705" s="83">
        <v>645156</v>
      </c>
      <c r="B705" s="84" t="s">
        <v>303</v>
      </c>
      <c r="C705" s="85">
        <f t="shared" si="17"/>
        <v>45747</v>
      </c>
      <c r="D705" s="84" t="s">
        <v>1114</v>
      </c>
      <c r="E705" s="84" t="s">
        <v>1014</v>
      </c>
      <c r="F705" s="84" t="s">
        <v>306</v>
      </c>
      <c r="G705" s="84" t="s">
        <v>306</v>
      </c>
      <c r="H705" s="84" t="s">
        <v>567</v>
      </c>
      <c r="I705" s="84" t="s">
        <v>275</v>
      </c>
      <c r="J705" s="86">
        <v>9.99</v>
      </c>
      <c r="K705" s="86">
        <v>0</v>
      </c>
      <c r="L705" s="84" t="s">
        <v>568</v>
      </c>
      <c r="M705" s="84" t="s">
        <v>569</v>
      </c>
    </row>
    <row r="706" spans="1:13" x14ac:dyDescent="0.25">
      <c r="A706" s="83">
        <v>645156</v>
      </c>
      <c r="B706" s="84" t="s">
        <v>303</v>
      </c>
      <c r="C706" s="85">
        <f t="shared" si="17"/>
        <v>45747</v>
      </c>
      <c r="D706" s="84" t="s">
        <v>1114</v>
      </c>
      <c r="E706" s="84" t="s">
        <v>1012</v>
      </c>
      <c r="F706" s="84" t="s">
        <v>306</v>
      </c>
      <c r="G706" s="84" t="s">
        <v>306</v>
      </c>
      <c r="H706" s="84" t="s">
        <v>567</v>
      </c>
      <c r="I706" s="84" t="s">
        <v>275</v>
      </c>
      <c r="J706" s="86">
        <v>15.31</v>
      </c>
      <c r="K706" s="86">
        <v>0</v>
      </c>
      <c r="L706" s="84" t="s">
        <v>568</v>
      </c>
      <c r="M706" s="84" t="s">
        <v>569</v>
      </c>
    </row>
    <row r="707" spans="1:13" x14ac:dyDescent="0.25">
      <c r="A707" s="83">
        <v>645156</v>
      </c>
      <c r="B707" s="84" t="s">
        <v>303</v>
      </c>
      <c r="C707" s="85">
        <f t="shared" si="17"/>
        <v>45747</v>
      </c>
      <c r="D707" s="84" t="s">
        <v>1114</v>
      </c>
      <c r="E707" s="84" t="s">
        <v>1012</v>
      </c>
      <c r="F707" s="84" t="s">
        <v>306</v>
      </c>
      <c r="G707" s="84" t="s">
        <v>306</v>
      </c>
      <c r="H707" s="84" t="s">
        <v>567</v>
      </c>
      <c r="I707" s="84" t="s">
        <v>275</v>
      </c>
      <c r="J707" s="86">
        <v>21.58</v>
      </c>
      <c r="K707" s="86">
        <v>0</v>
      </c>
      <c r="L707" s="84" t="s">
        <v>568</v>
      </c>
      <c r="M707" s="84" t="s">
        <v>569</v>
      </c>
    </row>
    <row r="708" spans="1:13" x14ac:dyDescent="0.25">
      <c r="A708" s="83">
        <v>645156</v>
      </c>
      <c r="B708" s="84" t="s">
        <v>303</v>
      </c>
      <c r="C708" s="85">
        <f t="shared" si="17"/>
        <v>45747</v>
      </c>
      <c r="D708" s="84" t="s">
        <v>1114</v>
      </c>
      <c r="E708" s="84" t="s">
        <v>1012</v>
      </c>
      <c r="F708" s="84" t="s">
        <v>306</v>
      </c>
      <c r="G708" s="84" t="s">
        <v>306</v>
      </c>
      <c r="H708" s="84" t="s">
        <v>567</v>
      </c>
      <c r="I708" s="84" t="s">
        <v>275</v>
      </c>
      <c r="J708" s="86">
        <v>24.93</v>
      </c>
      <c r="K708" s="86">
        <v>0</v>
      </c>
      <c r="L708" s="84" t="s">
        <v>568</v>
      </c>
      <c r="M708" s="84" t="s">
        <v>569</v>
      </c>
    </row>
    <row r="709" spans="1:13" x14ac:dyDescent="0.25">
      <c r="A709" s="83">
        <v>645156</v>
      </c>
      <c r="B709" s="84" t="s">
        <v>303</v>
      </c>
      <c r="C709" s="85">
        <f t="shared" si="17"/>
        <v>45747</v>
      </c>
      <c r="D709" s="84" t="s">
        <v>1114</v>
      </c>
      <c r="E709" s="84" t="s">
        <v>1012</v>
      </c>
      <c r="F709" s="84" t="s">
        <v>306</v>
      </c>
      <c r="G709" s="84" t="s">
        <v>306</v>
      </c>
      <c r="H709" s="84" t="s">
        <v>567</v>
      </c>
      <c r="I709" s="84" t="s">
        <v>275</v>
      </c>
      <c r="J709" s="86">
        <v>34.42</v>
      </c>
      <c r="K709" s="86">
        <v>0</v>
      </c>
      <c r="L709" s="84" t="s">
        <v>568</v>
      </c>
      <c r="M709" s="84" t="s">
        <v>569</v>
      </c>
    </row>
    <row r="710" spans="1:13" x14ac:dyDescent="0.25">
      <c r="A710" s="83">
        <v>645156</v>
      </c>
      <c r="B710" s="84" t="s">
        <v>303</v>
      </c>
      <c r="C710" s="85">
        <f t="shared" si="17"/>
        <v>45747</v>
      </c>
      <c r="D710" s="84" t="s">
        <v>1114</v>
      </c>
      <c r="E710" s="84" t="s">
        <v>1012</v>
      </c>
      <c r="F710" s="84" t="s">
        <v>306</v>
      </c>
      <c r="G710" s="84" t="s">
        <v>306</v>
      </c>
      <c r="H710" s="84" t="s">
        <v>567</v>
      </c>
      <c r="I710" s="84" t="s">
        <v>275</v>
      </c>
      <c r="J710" s="86">
        <v>76.56</v>
      </c>
      <c r="K710" s="86">
        <v>0</v>
      </c>
      <c r="L710" s="84" t="s">
        <v>568</v>
      </c>
      <c r="M710" s="84" t="s">
        <v>569</v>
      </c>
    </row>
    <row r="711" spans="1:13" x14ac:dyDescent="0.25">
      <c r="A711" s="83">
        <v>645156</v>
      </c>
      <c r="B711" s="84" t="s">
        <v>303</v>
      </c>
      <c r="C711" s="85">
        <f t="shared" si="17"/>
        <v>45747</v>
      </c>
      <c r="D711" s="84" t="s">
        <v>1114</v>
      </c>
      <c r="E711" s="84" t="s">
        <v>1012</v>
      </c>
      <c r="F711" s="84" t="s">
        <v>306</v>
      </c>
      <c r="G711" s="84" t="s">
        <v>306</v>
      </c>
      <c r="H711" s="84" t="s">
        <v>567</v>
      </c>
      <c r="I711" s="84" t="s">
        <v>275</v>
      </c>
      <c r="J711" s="86">
        <v>80</v>
      </c>
      <c r="K711" s="86">
        <v>0</v>
      </c>
      <c r="L711" s="84" t="s">
        <v>568</v>
      </c>
      <c r="M711" s="84" t="s">
        <v>569</v>
      </c>
    </row>
    <row r="712" spans="1:13" x14ac:dyDescent="0.25">
      <c r="A712" s="83">
        <v>645156</v>
      </c>
      <c r="B712" s="84" t="s">
        <v>303</v>
      </c>
      <c r="C712" s="85">
        <f t="shared" si="17"/>
        <v>45747</v>
      </c>
      <c r="D712" s="84" t="s">
        <v>1114</v>
      </c>
      <c r="E712" s="84" t="s">
        <v>1012</v>
      </c>
      <c r="F712" s="84" t="s">
        <v>306</v>
      </c>
      <c r="G712" s="84" t="s">
        <v>306</v>
      </c>
      <c r="H712" s="84" t="s">
        <v>567</v>
      </c>
      <c r="I712" s="84" t="s">
        <v>275</v>
      </c>
      <c r="J712" s="86">
        <v>107.91</v>
      </c>
      <c r="K712" s="86">
        <v>0</v>
      </c>
      <c r="L712" s="84" t="s">
        <v>568</v>
      </c>
      <c r="M712" s="84" t="s">
        <v>569</v>
      </c>
    </row>
    <row r="713" spans="1:13" x14ac:dyDescent="0.25">
      <c r="A713" s="83">
        <v>645156</v>
      </c>
      <c r="B713" s="84" t="s">
        <v>303</v>
      </c>
      <c r="C713" s="85">
        <f t="shared" si="17"/>
        <v>45747</v>
      </c>
      <c r="D713" s="84" t="s">
        <v>1114</v>
      </c>
      <c r="E713" s="84" t="s">
        <v>1012</v>
      </c>
      <c r="F713" s="84" t="s">
        <v>306</v>
      </c>
      <c r="G713" s="84" t="s">
        <v>306</v>
      </c>
      <c r="H713" s="84" t="s">
        <v>567</v>
      </c>
      <c r="I713" s="84" t="s">
        <v>275</v>
      </c>
      <c r="J713" s="86">
        <v>114.9</v>
      </c>
      <c r="K713" s="86">
        <v>0</v>
      </c>
      <c r="L713" s="84" t="s">
        <v>568</v>
      </c>
      <c r="M713" s="84" t="s">
        <v>569</v>
      </c>
    </row>
    <row r="714" spans="1:13" x14ac:dyDescent="0.25">
      <c r="A714" s="83">
        <v>645156</v>
      </c>
      <c r="B714" s="84" t="s">
        <v>303</v>
      </c>
      <c r="C714" s="85">
        <f t="shared" si="17"/>
        <v>45747</v>
      </c>
      <c r="D714" s="84" t="s">
        <v>1114</v>
      </c>
      <c r="E714" s="84" t="s">
        <v>1012</v>
      </c>
      <c r="F714" s="84" t="s">
        <v>306</v>
      </c>
      <c r="G714" s="84" t="s">
        <v>306</v>
      </c>
      <c r="H714" s="84" t="s">
        <v>567</v>
      </c>
      <c r="I714" s="84" t="s">
        <v>275</v>
      </c>
      <c r="J714" s="86">
        <v>122.47</v>
      </c>
      <c r="K714" s="86">
        <v>0</v>
      </c>
      <c r="L714" s="84" t="s">
        <v>568</v>
      </c>
      <c r="M714" s="84" t="s">
        <v>569</v>
      </c>
    </row>
    <row r="715" spans="1:13" x14ac:dyDescent="0.25">
      <c r="A715" s="83">
        <v>645156</v>
      </c>
      <c r="B715" s="84" t="s">
        <v>303</v>
      </c>
      <c r="C715" s="85">
        <f t="shared" si="17"/>
        <v>45747</v>
      </c>
      <c r="D715" s="84" t="s">
        <v>1114</v>
      </c>
      <c r="E715" s="84" t="s">
        <v>1012</v>
      </c>
      <c r="F715" s="84" t="s">
        <v>306</v>
      </c>
      <c r="G715" s="84" t="s">
        <v>306</v>
      </c>
      <c r="H715" s="84" t="s">
        <v>567</v>
      </c>
      <c r="I715" s="84" t="s">
        <v>275</v>
      </c>
      <c r="J715" s="86">
        <v>178.24</v>
      </c>
      <c r="K715" s="86">
        <v>0</v>
      </c>
      <c r="L715" s="84" t="s">
        <v>568</v>
      </c>
      <c r="M715" s="84" t="s">
        <v>569</v>
      </c>
    </row>
    <row r="716" spans="1:13" x14ac:dyDescent="0.25">
      <c r="A716" s="83">
        <v>645156</v>
      </c>
      <c r="B716" s="84" t="s">
        <v>303</v>
      </c>
      <c r="C716" s="85">
        <f t="shared" si="17"/>
        <v>45747</v>
      </c>
      <c r="D716" s="84" t="s">
        <v>1114</v>
      </c>
      <c r="E716" s="84" t="s">
        <v>1012</v>
      </c>
      <c r="F716" s="84" t="s">
        <v>306</v>
      </c>
      <c r="G716" s="84" t="s">
        <v>306</v>
      </c>
      <c r="H716" s="84" t="s">
        <v>567</v>
      </c>
      <c r="I716" s="84" t="s">
        <v>275</v>
      </c>
      <c r="J716" s="86">
        <v>229.45</v>
      </c>
      <c r="K716" s="86">
        <v>0</v>
      </c>
      <c r="L716" s="84" t="s">
        <v>568</v>
      </c>
      <c r="M716" s="84" t="s">
        <v>569</v>
      </c>
    </row>
    <row r="717" spans="1:13" x14ac:dyDescent="0.25">
      <c r="A717" s="83">
        <v>645156</v>
      </c>
      <c r="B717" s="84" t="s">
        <v>303</v>
      </c>
      <c r="C717" s="85">
        <f t="shared" si="17"/>
        <v>45747</v>
      </c>
      <c r="D717" s="84" t="s">
        <v>1114</v>
      </c>
      <c r="E717" s="84" t="s">
        <v>1009</v>
      </c>
      <c r="F717" s="84" t="s">
        <v>306</v>
      </c>
      <c r="G717" s="84" t="s">
        <v>306</v>
      </c>
      <c r="H717" s="84" t="s">
        <v>982</v>
      </c>
      <c r="I717" s="84" t="s">
        <v>983</v>
      </c>
      <c r="J717" s="86">
        <v>2.5</v>
      </c>
      <c r="K717" s="86">
        <v>0</v>
      </c>
      <c r="L717" s="84" t="s">
        <v>984</v>
      </c>
      <c r="M717" s="84" t="s">
        <v>310</v>
      </c>
    </row>
    <row r="718" spans="1:13" x14ac:dyDescent="0.25">
      <c r="A718" s="83">
        <v>645156</v>
      </c>
      <c r="B718" s="84" t="s">
        <v>303</v>
      </c>
      <c r="C718" s="85">
        <f t="shared" si="17"/>
        <v>45747</v>
      </c>
      <c r="D718" s="84" t="s">
        <v>1114</v>
      </c>
      <c r="E718" s="84" t="s">
        <v>1121</v>
      </c>
      <c r="F718" s="84" t="s">
        <v>306</v>
      </c>
      <c r="G718" s="84" t="s">
        <v>306</v>
      </c>
      <c r="H718" s="84" t="s">
        <v>982</v>
      </c>
      <c r="I718" s="84" t="s">
        <v>983</v>
      </c>
      <c r="J718" s="86">
        <v>29.95</v>
      </c>
      <c r="K718" s="86">
        <v>0</v>
      </c>
      <c r="L718" s="84" t="s">
        <v>984</v>
      </c>
      <c r="M718" s="84" t="s">
        <v>310</v>
      </c>
    </row>
    <row r="719" spans="1:13" x14ac:dyDescent="0.25">
      <c r="A719" s="83">
        <v>645156</v>
      </c>
      <c r="B719" s="84" t="s">
        <v>303</v>
      </c>
      <c r="C719" s="85">
        <f t="shared" si="17"/>
        <v>45747</v>
      </c>
      <c r="D719" s="84" t="s">
        <v>1114</v>
      </c>
      <c r="E719" s="84" t="s">
        <v>1122</v>
      </c>
      <c r="F719" s="84" t="s">
        <v>306</v>
      </c>
      <c r="G719" s="84" t="s">
        <v>306</v>
      </c>
      <c r="H719" s="84" t="s">
        <v>982</v>
      </c>
      <c r="I719" s="84" t="s">
        <v>983</v>
      </c>
      <c r="J719" s="86">
        <v>81.34</v>
      </c>
      <c r="K719" s="86">
        <v>0</v>
      </c>
      <c r="L719" s="84" t="s">
        <v>984</v>
      </c>
      <c r="M719" s="84" t="s">
        <v>310</v>
      </c>
    </row>
    <row r="720" spans="1:13" x14ac:dyDescent="0.25">
      <c r="A720" s="83">
        <v>645156</v>
      </c>
      <c r="B720" s="84" t="s">
        <v>303</v>
      </c>
      <c r="C720" s="85">
        <f t="shared" si="17"/>
        <v>45747</v>
      </c>
      <c r="D720" s="84" t="s">
        <v>1114</v>
      </c>
      <c r="E720" s="84" t="s">
        <v>1123</v>
      </c>
      <c r="F720" s="84" t="s">
        <v>306</v>
      </c>
      <c r="G720" s="84" t="s">
        <v>306</v>
      </c>
      <c r="H720" s="84" t="s">
        <v>1124</v>
      </c>
      <c r="I720" s="84" t="s">
        <v>1125</v>
      </c>
      <c r="J720" s="86">
        <v>97.5</v>
      </c>
      <c r="K720" s="86">
        <v>0</v>
      </c>
      <c r="L720" s="84" t="s">
        <v>1126</v>
      </c>
      <c r="M720" s="84" t="s">
        <v>352</v>
      </c>
    </row>
    <row r="721" spans="1:13" x14ac:dyDescent="0.25">
      <c r="A721" s="83">
        <v>645156</v>
      </c>
      <c r="B721" s="84" t="s">
        <v>303</v>
      </c>
      <c r="C721" s="85">
        <f t="shared" si="17"/>
        <v>45747</v>
      </c>
      <c r="D721" s="84" t="s">
        <v>1114</v>
      </c>
      <c r="E721" s="84" t="s">
        <v>1015</v>
      </c>
      <c r="F721" s="84" t="s">
        <v>306</v>
      </c>
      <c r="G721" s="84" t="s">
        <v>306</v>
      </c>
      <c r="H721" s="84" t="s">
        <v>1040</v>
      </c>
      <c r="I721" s="84" t="s">
        <v>563</v>
      </c>
      <c r="J721" s="86">
        <v>19.989999999999998</v>
      </c>
      <c r="K721" s="86">
        <v>0</v>
      </c>
      <c r="L721" s="84" t="s">
        <v>564</v>
      </c>
      <c r="M721" s="84" t="s">
        <v>331</v>
      </c>
    </row>
    <row r="722" spans="1:13" x14ac:dyDescent="0.25">
      <c r="A722" s="83">
        <v>645156</v>
      </c>
      <c r="B722" s="84" t="s">
        <v>303</v>
      </c>
      <c r="C722" s="85">
        <f t="shared" si="17"/>
        <v>45747</v>
      </c>
      <c r="D722" s="84" t="s">
        <v>1114</v>
      </c>
      <c r="E722" s="84" t="s">
        <v>1015</v>
      </c>
      <c r="F722" s="84" t="s">
        <v>306</v>
      </c>
      <c r="G722" s="84" t="s">
        <v>306</v>
      </c>
      <c r="H722" s="84" t="s">
        <v>1040</v>
      </c>
      <c r="I722" s="84" t="s">
        <v>563</v>
      </c>
      <c r="J722" s="86">
        <v>29.99</v>
      </c>
      <c r="K722" s="86">
        <v>0</v>
      </c>
      <c r="L722" s="84" t="s">
        <v>564</v>
      </c>
      <c r="M722" s="84" t="s">
        <v>331</v>
      </c>
    </row>
    <row r="723" spans="1:13" x14ac:dyDescent="0.25">
      <c r="A723" s="83">
        <v>645161</v>
      </c>
      <c r="B723" s="84" t="s">
        <v>303</v>
      </c>
      <c r="C723" s="85">
        <f t="shared" si="17"/>
        <v>45747</v>
      </c>
      <c r="D723" s="84" t="s">
        <v>1127</v>
      </c>
      <c r="E723" s="84" t="s">
        <v>1128</v>
      </c>
      <c r="F723" s="84" t="s">
        <v>306</v>
      </c>
      <c r="G723" s="84" t="s">
        <v>306</v>
      </c>
      <c r="H723" s="84" t="s">
        <v>516</v>
      </c>
      <c r="I723" s="84" t="s">
        <v>517</v>
      </c>
      <c r="J723" s="86">
        <v>49</v>
      </c>
      <c r="K723" s="86">
        <v>0</v>
      </c>
      <c r="L723" s="84" t="s">
        <v>518</v>
      </c>
      <c r="M723" s="84" t="s">
        <v>327</v>
      </c>
    </row>
    <row r="724" spans="1:13" x14ac:dyDescent="0.25">
      <c r="A724" s="83">
        <v>645161</v>
      </c>
      <c r="B724" s="84" t="s">
        <v>303</v>
      </c>
      <c r="C724" s="85">
        <f t="shared" si="17"/>
        <v>45747</v>
      </c>
      <c r="D724" s="84" t="s">
        <v>1127</v>
      </c>
      <c r="E724" s="84" t="s">
        <v>1128</v>
      </c>
      <c r="F724" s="84" t="s">
        <v>306</v>
      </c>
      <c r="G724" s="84" t="s">
        <v>306</v>
      </c>
      <c r="H724" s="84" t="s">
        <v>516</v>
      </c>
      <c r="I724" s="84" t="s">
        <v>517</v>
      </c>
      <c r="J724" s="86">
        <v>49</v>
      </c>
      <c r="K724" s="86">
        <v>0</v>
      </c>
      <c r="L724" s="84" t="s">
        <v>518</v>
      </c>
      <c r="M724" s="84" t="s">
        <v>327</v>
      </c>
    </row>
    <row r="725" spans="1:13" x14ac:dyDescent="0.25">
      <c r="A725" s="83">
        <v>645161</v>
      </c>
      <c r="B725" s="84" t="s">
        <v>303</v>
      </c>
      <c r="C725" s="85">
        <f t="shared" si="17"/>
        <v>45747</v>
      </c>
      <c r="D725" s="84" t="s">
        <v>1127</v>
      </c>
      <c r="E725" s="84" t="s">
        <v>1129</v>
      </c>
      <c r="F725" s="84" t="s">
        <v>306</v>
      </c>
      <c r="G725" s="84" t="s">
        <v>306</v>
      </c>
      <c r="H725" s="84" t="s">
        <v>1130</v>
      </c>
      <c r="I725" s="84" t="s">
        <v>1131</v>
      </c>
      <c r="J725" s="86">
        <v>135.54</v>
      </c>
      <c r="K725" s="86">
        <v>0</v>
      </c>
      <c r="L725" s="84" t="s">
        <v>651</v>
      </c>
      <c r="M725" s="84" t="s">
        <v>327</v>
      </c>
    </row>
    <row r="726" spans="1:13" x14ac:dyDescent="0.25">
      <c r="A726" s="83">
        <v>645221</v>
      </c>
      <c r="B726" s="84" t="s">
        <v>557</v>
      </c>
      <c r="C726" s="85">
        <f t="shared" si="17"/>
        <v>45747</v>
      </c>
      <c r="D726" s="84" t="s">
        <v>558</v>
      </c>
      <c r="E726" s="84" t="s">
        <v>559</v>
      </c>
      <c r="F726" s="84" t="s">
        <v>579</v>
      </c>
      <c r="G726" s="84" t="s">
        <v>1132</v>
      </c>
      <c r="H726" s="84" t="s">
        <v>681</v>
      </c>
      <c r="I726" s="84" t="s">
        <v>682</v>
      </c>
      <c r="J726" s="86">
        <v>10.02</v>
      </c>
      <c r="K726" s="86">
        <v>0</v>
      </c>
      <c r="L726" s="84" t="s">
        <v>683</v>
      </c>
      <c r="M726" s="84" t="s">
        <v>336</v>
      </c>
    </row>
    <row r="727" spans="1:13" x14ac:dyDescent="0.25">
      <c r="A727" s="83">
        <v>645222</v>
      </c>
      <c r="B727" s="84" t="s">
        <v>557</v>
      </c>
      <c r="C727" s="85">
        <f t="shared" si="17"/>
        <v>45747</v>
      </c>
      <c r="D727" s="84" t="s">
        <v>558</v>
      </c>
      <c r="E727" s="84" t="s">
        <v>559</v>
      </c>
      <c r="F727" s="84" t="s">
        <v>693</v>
      </c>
      <c r="G727" s="84" t="s">
        <v>1133</v>
      </c>
      <c r="H727" s="84" t="s">
        <v>567</v>
      </c>
      <c r="I727" s="84" t="s">
        <v>275</v>
      </c>
      <c r="J727" s="86">
        <v>118.37</v>
      </c>
      <c r="K727" s="86">
        <v>0</v>
      </c>
      <c r="L727" s="84" t="s">
        <v>568</v>
      </c>
      <c r="M727" s="84" t="s">
        <v>569</v>
      </c>
    </row>
    <row r="728" spans="1:13" x14ac:dyDescent="0.25">
      <c r="A728" s="83">
        <v>645222</v>
      </c>
      <c r="B728" s="84" t="s">
        <v>557</v>
      </c>
      <c r="C728" s="85">
        <f t="shared" si="17"/>
        <v>45747</v>
      </c>
      <c r="D728" s="84" t="s">
        <v>558</v>
      </c>
      <c r="E728" s="84" t="s">
        <v>559</v>
      </c>
      <c r="F728" s="84" t="s">
        <v>693</v>
      </c>
      <c r="G728" s="84" t="s">
        <v>1133</v>
      </c>
      <c r="H728" s="84" t="s">
        <v>572</v>
      </c>
      <c r="I728" s="84" t="s">
        <v>573</v>
      </c>
      <c r="J728" s="86">
        <v>539</v>
      </c>
      <c r="K728" s="86">
        <v>0</v>
      </c>
      <c r="L728" s="84" t="s">
        <v>574</v>
      </c>
      <c r="M728" s="84" t="s">
        <v>569</v>
      </c>
    </row>
    <row r="729" spans="1:13" x14ac:dyDescent="0.25">
      <c r="A729" s="83">
        <v>645223</v>
      </c>
      <c r="B729" s="84" t="s">
        <v>557</v>
      </c>
      <c r="C729" s="85">
        <f t="shared" si="17"/>
        <v>45747</v>
      </c>
      <c r="D729" s="84" t="s">
        <v>558</v>
      </c>
      <c r="E729" s="84" t="s">
        <v>559</v>
      </c>
      <c r="F729" s="84" t="s">
        <v>695</v>
      </c>
      <c r="G729" s="84" t="s">
        <v>881</v>
      </c>
      <c r="H729" s="84" t="s">
        <v>891</v>
      </c>
      <c r="I729" s="84" t="s">
        <v>573</v>
      </c>
      <c r="J729" s="86">
        <v>161.15</v>
      </c>
      <c r="K729" s="86">
        <v>0</v>
      </c>
      <c r="L729" s="84" t="s">
        <v>574</v>
      </c>
      <c r="M729" s="84" t="s">
        <v>327</v>
      </c>
    </row>
    <row r="730" spans="1:13" x14ac:dyDescent="0.25">
      <c r="A730" s="83">
        <v>645223</v>
      </c>
      <c r="B730" s="84" t="s">
        <v>557</v>
      </c>
      <c r="C730" s="85">
        <f t="shared" si="17"/>
        <v>45747</v>
      </c>
      <c r="D730" s="84" t="s">
        <v>558</v>
      </c>
      <c r="E730" s="84" t="s">
        <v>559</v>
      </c>
      <c r="F730" s="84" t="s">
        <v>695</v>
      </c>
      <c r="G730" s="84" t="s">
        <v>881</v>
      </c>
      <c r="H730" s="84" t="s">
        <v>623</v>
      </c>
      <c r="I730" s="84" t="s">
        <v>624</v>
      </c>
      <c r="J730" s="86">
        <v>371.8</v>
      </c>
      <c r="K730" s="86">
        <v>0</v>
      </c>
      <c r="L730" s="84" t="s">
        <v>625</v>
      </c>
      <c r="M730" s="84" t="s">
        <v>327</v>
      </c>
    </row>
    <row r="731" spans="1:13" x14ac:dyDescent="0.25">
      <c r="A731" s="83">
        <v>645224</v>
      </c>
      <c r="B731" s="84" t="s">
        <v>557</v>
      </c>
      <c r="C731" s="85">
        <f t="shared" si="17"/>
        <v>45747</v>
      </c>
      <c r="D731" s="84" t="s">
        <v>558</v>
      </c>
      <c r="E731" s="84" t="s">
        <v>559</v>
      </c>
      <c r="F731" s="84" t="s">
        <v>1134</v>
      </c>
      <c r="G731" s="84" t="s">
        <v>1135</v>
      </c>
      <c r="H731" s="84" t="s">
        <v>1136</v>
      </c>
      <c r="I731" s="84" t="s">
        <v>1137</v>
      </c>
      <c r="J731" s="86">
        <v>2083.56</v>
      </c>
      <c r="K731" s="86">
        <v>0</v>
      </c>
      <c r="L731" s="84" t="s">
        <v>1138</v>
      </c>
      <c r="M731" s="84" t="s">
        <v>310</v>
      </c>
    </row>
    <row r="732" spans="1:13" x14ac:dyDescent="0.25">
      <c r="A732" s="83">
        <v>645225</v>
      </c>
      <c r="B732" s="84" t="s">
        <v>557</v>
      </c>
      <c r="C732" s="85">
        <f t="shared" si="17"/>
        <v>45747</v>
      </c>
      <c r="D732" s="84" t="s">
        <v>558</v>
      </c>
      <c r="E732" s="84" t="s">
        <v>559</v>
      </c>
      <c r="F732" s="84" t="s">
        <v>686</v>
      </c>
      <c r="G732" s="84" t="s">
        <v>1139</v>
      </c>
      <c r="H732" s="84" t="s">
        <v>572</v>
      </c>
      <c r="I732" s="84" t="s">
        <v>573</v>
      </c>
      <c r="J732" s="86">
        <v>297.55</v>
      </c>
      <c r="K732" s="86">
        <v>0</v>
      </c>
      <c r="L732" s="84" t="s">
        <v>574</v>
      </c>
      <c r="M732" s="84" t="s">
        <v>569</v>
      </c>
    </row>
    <row r="733" spans="1:13" x14ac:dyDescent="0.25">
      <c r="A733" s="83">
        <v>645226</v>
      </c>
      <c r="B733" s="84" t="s">
        <v>557</v>
      </c>
      <c r="C733" s="85">
        <f t="shared" si="17"/>
        <v>45747</v>
      </c>
      <c r="D733" s="84" t="s">
        <v>558</v>
      </c>
      <c r="E733" s="84" t="s">
        <v>559</v>
      </c>
      <c r="F733" s="84" t="s">
        <v>1140</v>
      </c>
      <c r="G733" s="84" t="s">
        <v>1141</v>
      </c>
      <c r="H733" s="84" t="s">
        <v>922</v>
      </c>
      <c r="I733" s="84" t="s">
        <v>923</v>
      </c>
      <c r="J733" s="86">
        <v>125</v>
      </c>
      <c r="K733" s="86">
        <v>0</v>
      </c>
      <c r="L733" s="84" t="s">
        <v>593</v>
      </c>
      <c r="M733" s="84" t="s">
        <v>352</v>
      </c>
    </row>
    <row r="734" spans="1:13" x14ac:dyDescent="0.25">
      <c r="A734" s="83">
        <v>645227</v>
      </c>
      <c r="B734" s="84" t="s">
        <v>557</v>
      </c>
      <c r="C734" s="85">
        <f t="shared" si="17"/>
        <v>45747</v>
      </c>
      <c r="D734" s="84" t="s">
        <v>558</v>
      </c>
      <c r="E734" s="84" t="s">
        <v>559</v>
      </c>
      <c r="F734" s="84" t="s">
        <v>1142</v>
      </c>
      <c r="G734" s="84" t="s">
        <v>1143</v>
      </c>
      <c r="H734" s="84" t="s">
        <v>1144</v>
      </c>
      <c r="I734" s="84" t="s">
        <v>547</v>
      </c>
      <c r="J734" s="86">
        <v>670</v>
      </c>
      <c r="K734" s="86">
        <v>0</v>
      </c>
      <c r="L734" s="84" t="s">
        <v>549</v>
      </c>
      <c r="M734" s="84" t="s">
        <v>340</v>
      </c>
    </row>
    <row r="735" spans="1:13" x14ac:dyDescent="0.25">
      <c r="A735" s="83">
        <v>645228</v>
      </c>
      <c r="B735" s="84" t="s">
        <v>557</v>
      </c>
      <c r="C735" s="85">
        <f t="shared" si="17"/>
        <v>45747</v>
      </c>
      <c r="D735" s="84" t="s">
        <v>558</v>
      </c>
      <c r="E735" s="84" t="s">
        <v>559</v>
      </c>
      <c r="F735" s="84" t="s">
        <v>684</v>
      </c>
      <c r="G735" s="84" t="s">
        <v>1145</v>
      </c>
      <c r="H735" s="84" t="s">
        <v>891</v>
      </c>
      <c r="I735" s="84" t="s">
        <v>573</v>
      </c>
      <c r="J735" s="86">
        <v>226.05</v>
      </c>
      <c r="K735" s="86">
        <v>0</v>
      </c>
      <c r="L735" s="84" t="s">
        <v>574</v>
      </c>
      <c r="M735" s="84" t="s">
        <v>327</v>
      </c>
    </row>
    <row r="736" spans="1:13" x14ac:dyDescent="0.25">
      <c r="A736" s="83">
        <v>645228</v>
      </c>
      <c r="B736" s="84" t="s">
        <v>557</v>
      </c>
      <c r="C736" s="85">
        <f t="shared" si="17"/>
        <v>45747</v>
      </c>
      <c r="D736" s="84" t="s">
        <v>558</v>
      </c>
      <c r="E736" s="84" t="s">
        <v>559</v>
      </c>
      <c r="F736" s="84" t="s">
        <v>684</v>
      </c>
      <c r="G736" s="84" t="s">
        <v>1145</v>
      </c>
      <c r="H736" s="84" t="s">
        <v>623</v>
      </c>
      <c r="I736" s="84" t="s">
        <v>624</v>
      </c>
      <c r="J736" s="86">
        <v>84.15</v>
      </c>
      <c r="K736" s="86">
        <v>0</v>
      </c>
      <c r="L736" s="84" t="s">
        <v>625</v>
      </c>
      <c r="M736" s="84" t="s">
        <v>327</v>
      </c>
    </row>
    <row r="737" spans="1:13" x14ac:dyDescent="0.25">
      <c r="A737" s="83">
        <v>645228</v>
      </c>
      <c r="B737" s="84" t="s">
        <v>557</v>
      </c>
      <c r="C737" s="85">
        <f t="shared" si="17"/>
        <v>45747</v>
      </c>
      <c r="D737" s="84" t="s">
        <v>558</v>
      </c>
      <c r="E737" s="84" t="s">
        <v>559</v>
      </c>
      <c r="F737" s="84" t="s">
        <v>684</v>
      </c>
      <c r="G737" s="84" t="s">
        <v>1145</v>
      </c>
      <c r="H737" s="84" t="s">
        <v>1146</v>
      </c>
      <c r="I737" s="84" t="s">
        <v>582</v>
      </c>
      <c r="J737" s="86">
        <v>18.809999999999999</v>
      </c>
      <c r="K737" s="86">
        <v>0</v>
      </c>
      <c r="L737" s="84" t="s">
        <v>583</v>
      </c>
      <c r="M737" s="84" t="s">
        <v>569</v>
      </c>
    </row>
    <row r="738" spans="1:13" x14ac:dyDescent="0.25">
      <c r="A738" s="83">
        <v>645229</v>
      </c>
      <c r="B738" s="84" t="s">
        <v>557</v>
      </c>
      <c r="C738" s="85">
        <f t="shared" si="17"/>
        <v>45747</v>
      </c>
      <c r="D738" s="84" t="s">
        <v>558</v>
      </c>
      <c r="E738" s="84" t="s">
        <v>559</v>
      </c>
      <c r="F738" s="84" t="s">
        <v>677</v>
      </c>
      <c r="G738" s="84" t="s">
        <v>1147</v>
      </c>
      <c r="H738" s="84" t="s">
        <v>891</v>
      </c>
      <c r="I738" s="84" t="s">
        <v>573</v>
      </c>
      <c r="J738" s="86">
        <v>170.5</v>
      </c>
      <c r="K738" s="86">
        <v>0</v>
      </c>
      <c r="L738" s="84" t="s">
        <v>574</v>
      </c>
      <c r="M738" s="84" t="s">
        <v>327</v>
      </c>
    </row>
    <row r="739" spans="1:13" x14ac:dyDescent="0.25">
      <c r="A739" s="83">
        <v>645229</v>
      </c>
      <c r="B739" s="84" t="s">
        <v>557</v>
      </c>
      <c r="C739" s="85">
        <f t="shared" si="17"/>
        <v>45747</v>
      </c>
      <c r="D739" s="84" t="s">
        <v>558</v>
      </c>
      <c r="E739" s="84" t="s">
        <v>559</v>
      </c>
      <c r="F739" s="84" t="s">
        <v>677</v>
      </c>
      <c r="G739" s="84" t="s">
        <v>1147</v>
      </c>
      <c r="H739" s="84" t="s">
        <v>623</v>
      </c>
      <c r="I739" s="84" t="s">
        <v>624</v>
      </c>
      <c r="J739" s="86">
        <v>157.77000000000001</v>
      </c>
      <c r="K739" s="86">
        <v>0</v>
      </c>
      <c r="L739" s="84" t="s">
        <v>625</v>
      </c>
      <c r="M739" s="84" t="s">
        <v>327</v>
      </c>
    </row>
    <row r="740" spans="1:13" x14ac:dyDescent="0.25">
      <c r="A740" s="83">
        <v>645230</v>
      </c>
      <c r="B740" s="84" t="s">
        <v>557</v>
      </c>
      <c r="C740" s="85">
        <f t="shared" si="17"/>
        <v>45747</v>
      </c>
      <c r="D740" s="84" t="s">
        <v>558</v>
      </c>
      <c r="E740" s="84" t="s">
        <v>559</v>
      </c>
      <c r="F740" s="84" t="s">
        <v>1148</v>
      </c>
      <c r="G740" s="84" t="s">
        <v>1149</v>
      </c>
      <c r="H740" s="84" t="s">
        <v>922</v>
      </c>
      <c r="I740" s="84" t="s">
        <v>923</v>
      </c>
      <c r="J740" s="86">
        <v>200</v>
      </c>
      <c r="K740" s="86">
        <v>0</v>
      </c>
      <c r="L740" s="84" t="s">
        <v>593</v>
      </c>
      <c r="M740" s="84" t="s">
        <v>352</v>
      </c>
    </row>
    <row r="741" spans="1:13" x14ac:dyDescent="0.25">
      <c r="A741" s="83">
        <v>645231</v>
      </c>
      <c r="B741" s="84" t="s">
        <v>557</v>
      </c>
      <c r="C741" s="85">
        <f t="shared" si="17"/>
        <v>45747</v>
      </c>
      <c r="D741" s="84" t="s">
        <v>558</v>
      </c>
      <c r="E741" s="84" t="s">
        <v>559</v>
      </c>
      <c r="F741" s="84" t="s">
        <v>1148</v>
      </c>
      <c r="G741" s="84" t="s">
        <v>1150</v>
      </c>
      <c r="H741" s="84" t="s">
        <v>922</v>
      </c>
      <c r="I741" s="84" t="s">
        <v>923</v>
      </c>
      <c r="J741" s="86">
        <v>400</v>
      </c>
      <c r="K741" s="86">
        <v>0</v>
      </c>
      <c r="L741" s="84" t="s">
        <v>593</v>
      </c>
      <c r="M741" s="84" t="s">
        <v>352</v>
      </c>
    </row>
    <row r="742" spans="1:13" x14ac:dyDescent="0.25">
      <c r="A742" s="83">
        <v>645232</v>
      </c>
      <c r="B742" s="84" t="s">
        <v>557</v>
      </c>
      <c r="C742" s="85">
        <f t="shared" si="17"/>
        <v>45747</v>
      </c>
      <c r="D742" s="84" t="s">
        <v>558</v>
      </c>
      <c r="E742" s="84" t="s">
        <v>559</v>
      </c>
      <c r="F742" s="84" t="s">
        <v>1151</v>
      </c>
      <c r="G742" s="84" t="s">
        <v>1152</v>
      </c>
      <c r="H742" s="84" t="s">
        <v>887</v>
      </c>
      <c r="I742" s="84" t="s">
        <v>888</v>
      </c>
      <c r="J742" s="86">
        <v>200</v>
      </c>
      <c r="K742" s="86">
        <v>0</v>
      </c>
      <c r="L742" s="84" t="s">
        <v>604</v>
      </c>
      <c r="M742" s="84" t="s">
        <v>336</v>
      </c>
    </row>
    <row r="743" spans="1:13" x14ac:dyDescent="0.25">
      <c r="A743" s="83">
        <v>645233</v>
      </c>
      <c r="B743" s="84" t="s">
        <v>557</v>
      </c>
      <c r="C743" s="85">
        <f t="shared" si="17"/>
        <v>45747</v>
      </c>
      <c r="D743" s="84" t="s">
        <v>558</v>
      </c>
      <c r="E743" s="84" t="s">
        <v>559</v>
      </c>
      <c r="F743" s="84" t="s">
        <v>570</v>
      </c>
      <c r="G743" s="84" t="s">
        <v>1153</v>
      </c>
      <c r="H743" s="84" t="s">
        <v>572</v>
      </c>
      <c r="I743" s="84" t="s">
        <v>573</v>
      </c>
      <c r="J743" s="86">
        <v>275</v>
      </c>
      <c r="K743" s="86">
        <v>0</v>
      </c>
      <c r="L743" s="84" t="s">
        <v>574</v>
      </c>
      <c r="M743" s="84" t="s">
        <v>569</v>
      </c>
    </row>
    <row r="744" spans="1:13" x14ac:dyDescent="0.25">
      <c r="A744" s="83">
        <v>645234</v>
      </c>
      <c r="B744" s="84" t="s">
        <v>557</v>
      </c>
      <c r="C744" s="85">
        <f t="shared" si="17"/>
        <v>45747</v>
      </c>
      <c r="D744" s="84" t="s">
        <v>558</v>
      </c>
      <c r="E744" s="84" t="s">
        <v>559</v>
      </c>
      <c r="F744" s="84" t="s">
        <v>609</v>
      </c>
      <c r="G744" s="84" t="s">
        <v>1154</v>
      </c>
      <c r="H744" s="84" t="s">
        <v>1155</v>
      </c>
      <c r="I744" s="84" t="s">
        <v>612</v>
      </c>
      <c r="J744" s="86">
        <v>287</v>
      </c>
      <c r="K744" s="86">
        <v>0</v>
      </c>
      <c r="L744" s="84" t="s">
        <v>613</v>
      </c>
      <c r="M744" s="84" t="s">
        <v>310</v>
      </c>
    </row>
    <row r="745" spans="1:13" x14ac:dyDescent="0.25">
      <c r="A745" s="83">
        <v>645235</v>
      </c>
      <c r="B745" s="84" t="s">
        <v>557</v>
      </c>
      <c r="C745" s="85">
        <f t="shared" ref="C745:C800" si="18">DATE(2025,3,31)</f>
        <v>45747</v>
      </c>
      <c r="D745" s="84" t="s">
        <v>558</v>
      </c>
      <c r="E745" s="84" t="s">
        <v>559</v>
      </c>
      <c r="F745" s="84" t="s">
        <v>1156</v>
      </c>
      <c r="G745" s="84" t="s">
        <v>1157</v>
      </c>
      <c r="H745" s="84" t="s">
        <v>1001</v>
      </c>
      <c r="I745" s="84" t="s">
        <v>1002</v>
      </c>
      <c r="J745" s="86">
        <v>1462.15</v>
      </c>
      <c r="K745" s="86">
        <v>0</v>
      </c>
      <c r="L745" s="84" t="s">
        <v>227</v>
      </c>
      <c r="M745" s="84" t="s">
        <v>352</v>
      </c>
    </row>
    <row r="746" spans="1:13" x14ac:dyDescent="0.25">
      <c r="A746" s="83">
        <v>645236</v>
      </c>
      <c r="B746" s="84" t="s">
        <v>557</v>
      </c>
      <c r="C746" s="85">
        <f t="shared" si="18"/>
        <v>45747</v>
      </c>
      <c r="D746" s="84" t="s">
        <v>558</v>
      </c>
      <c r="E746" s="84" t="s">
        <v>559</v>
      </c>
      <c r="F746" s="84" t="s">
        <v>606</v>
      </c>
      <c r="G746" s="84" t="s">
        <v>1158</v>
      </c>
      <c r="H746" s="84" t="s">
        <v>1159</v>
      </c>
      <c r="I746" s="84" t="s">
        <v>550</v>
      </c>
      <c r="J746" s="86">
        <v>1308.42</v>
      </c>
      <c r="K746" s="86">
        <v>0</v>
      </c>
      <c r="L746" s="84" t="s">
        <v>552</v>
      </c>
      <c r="M746" s="84" t="s">
        <v>352</v>
      </c>
    </row>
    <row r="747" spans="1:13" x14ac:dyDescent="0.25">
      <c r="A747" s="83">
        <v>645237</v>
      </c>
      <c r="B747" s="84" t="s">
        <v>557</v>
      </c>
      <c r="C747" s="85">
        <f t="shared" si="18"/>
        <v>45747</v>
      </c>
      <c r="D747" s="84" t="s">
        <v>558</v>
      </c>
      <c r="E747" s="84" t="s">
        <v>559</v>
      </c>
      <c r="F747" s="84" t="s">
        <v>700</v>
      </c>
      <c r="G747" s="84" t="s">
        <v>1160</v>
      </c>
      <c r="H747" s="84" t="s">
        <v>535</v>
      </c>
      <c r="I747" s="84" t="s">
        <v>534</v>
      </c>
      <c r="J747" s="86">
        <v>110.19</v>
      </c>
      <c r="K747" s="86">
        <v>0</v>
      </c>
      <c r="L747" s="84" t="s">
        <v>536</v>
      </c>
      <c r="M747" s="84" t="s">
        <v>531</v>
      </c>
    </row>
    <row r="748" spans="1:13" x14ac:dyDescent="0.25">
      <c r="A748" s="83">
        <v>645237</v>
      </c>
      <c r="B748" s="84" t="s">
        <v>557</v>
      </c>
      <c r="C748" s="85">
        <f t="shared" si="18"/>
        <v>45747</v>
      </c>
      <c r="D748" s="84" t="s">
        <v>558</v>
      </c>
      <c r="E748" s="84" t="s">
        <v>559</v>
      </c>
      <c r="F748" s="84" t="s">
        <v>700</v>
      </c>
      <c r="G748" s="84" t="s">
        <v>1160</v>
      </c>
      <c r="H748" s="84" t="s">
        <v>893</v>
      </c>
      <c r="I748" s="84" t="s">
        <v>220</v>
      </c>
      <c r="J748" s="86">
        <v>120.56</v>
      </c>
      <c r="K748" s="86">
        <v>0</v>
      </c>
      <c r="L748" s="84" t="s">
        <v>219</v>
      </c>
      <c r="M748" s="84" t="s">
        <v>340</v>
      </c>
    </row>
    <row r="749" spans="1:13" x14ac:dyDescent="0.25">
      <c r="A749" s="83">
        <v>645237</v>
      </c>
      <c r="B749" s="84" t="s">
        <v>557</v>
      </c>
      <c r="C749" s="85">
        <f t="shared" si="18"/>
        <v>45747</v>
      </c>
      <c r="D749" s="84" t="s">
        <v>558</v>
      </c>
      <c r="E749" s="84" t="s">
        <v>559</v>
      </c>
      <c r="F749" s="84" t="s">
        <v>700</v>
      </c>
      <c r="G749" s="84" t="s">
        <v>1160</v>
      </c>
      <c r="H749" s="84" t="s">
        <v>702</v>
      </c>
      <c r="I749" s="84" t="s">
        <v>703</v>
      </c>
      <c r="J749" s="86">
        <v>25.18</v>
      </c>
      <c r="K749" s="86">
        <v>0</v>
      </c>
      <c r="L749" s="84" t="s">
        <v>578</v>
      </c>
      <c r="M749" s="84" t="s">
        <v>310</v>
      </c>
    </row>
    <row r="750" spans="1:13" x14ac:dyDescent="0.25">
      <c r="A750" s="83">
        <v>645237</v>
      </c>
      <c r="B750" s="84" t="s">
        <v>557</v>
      </c>
      <c r="C750" s="85">
        <f t="shared" si="18"/>
        <v>45747</v>
      </c>
      <c r="D750" s="84" t="s">
        <v>558</v>
      </c>
      <c r="E750" s="84" t="s">
        <v>559</v>
      </c>
      <c r="F750" s="84" t="s">
        <v>700</v>
      </c>
      <c r="G750" s="84" t="s">
        <v>1160</v>
      </c>
      <c r="H750" s="84" t="s">
        <v>1006</v>
      </c>
      <c r="I750" s="84" t="s">
        <v>1007</v>
      </c>
      <c r="J750" s="86">
        <v>47</v>
      </c>
      <c r="K750" s="86">
        <v>0</v>
      </c>
      <c r="L750" s="84" t="s">
        <v>1008</v>
      </c>
      <c r="M750" s="84" t="s">
        <v>569</v>
      </c>
    </row>
    <row r="751" spans="1:13" x14ac:dyDescent="0.25">
      <c r="A751" s="83">
        <v>645237</v>
      </c>
      <c r="B751" s="84" t="s">
        <v>557</v>
      </c>
      <c r="C751" s="85">
        <f t="shared" si="18"/>
        <v>45747</v>
      </c>
      <c r="D751" s="84" t="s">
        <v>558</v>
      </c>
      <c r="E751" s="84" t="s">
        <v>559</v>
      </c>
      <c r="F751" s="84" t="s">
        <v>700</v>
      </c>
      <c r="G751" s="84" t="s">
        <v>1160</v>
      </c>
      <c r="H751" s="84" t="s">
        <v>586</v>
      </c>
      <c r="I751" s="84" t="s">
        <v>587</v>
      </c>
      <c r="J751" s="86">
        <v>10.1</v>
      </c>
      <c r="K751" s="86">
        <v>0</v>
      </c>
      <c r="L751" s="84" t="s">
        <v>588</v>
      </c>
      <c r="M751" s="84" t="s">
        <v>310</v>
      </c>
    </row>
    <row r="752" spans="1:13" x14ac:dyDescent="0.25">
      <c r="A752" s="83">
        <v>645237</v>
      </c>
      <c r="B752" s="84" t="s">
        <v>557</v>
      </c>
      <c r="C752" s="85">
        <f t="shared" si="18"/>
        <v>45747</v>
      </c>
      <c r="D752" s="84" t="s">
        <v>558</v>
      </c>
      <c r="E752" s="84" t="s">
        <v>559</v>
      </c>
      <c r="F752" s="84" t="s">
        <v>700</v>
      </c>
      <c r="G752" s="84" t="s">
        <v>1160</v>
      </c>
      <c r="H752" s="84" t="s">
        <v>581</v>
      </c>
      <c r="I752" s="84" t="s">
        <v>582</v>
      </c>
      <c r="J752" s="86">
        <v>18.350000000000001</v>
      </c>
      <c r="K752" s="86">
        <v>0</v>
      </c>
      <c r="L752" s="84" t="s">
        <v>583</v>
      </c>
      <c r="M752" s="84" t="s">
        <v>336</v>
      </c>
    </row>
    <row r="753" spans="1:13" x14ac:dyDescent="0.25">
      <c r="A753" s="83">
        <v>645238</v>
      </c>
      <c r="B753" s="84" t="s">
        <v>557</v>
      </c>
      <c r="C753" s="85">
        <f t="shared" si="18"/>
        <v>45747</v>
      </c>
      <c r="D753" s="84" t="s">
        <v>558</v>
      </c>
      <c r="E753" s="84" t="s">
        <v>559</v>
      </c>
      <c r="F753" s="84" t="s">
        <v>1161</v>
      </c>
      <c r="G753" s="84" t="s">
        <v>1162</v>
      </c>
      <c r="H753" s="84" t="s">
        <v>1163</v>
      </c>
      <c r="I753" s="84" t="s">
        <v>1164</v>
      </c>
      <c r="J753" s="86">
        <v>1000</v>
      </c>
      <c r="K753" s="86">
        <v>0</v>
      </c>
      <c r="L753" s="84" t="s">
        <v>1165</v>
      </c>
      <c r="M753" s="84" t="s">
        <v>398</v>
      </c>
    </row>
    <row r="754" spans="1:13" x14ac:dyDescent="0.25">
      <c r="A754" s="83">
        <v>645239</v>
      </c>
      <c r="B754" s="84" t="s">
        <v>557</v>
      </c>
      <c r="C754" s="85">
        <f t="shared" si="18"/>
        <v>45747</v>
      </c>
      <c r="D754" s="84" t="s">
        <v>558</v>
      </c>
      <c r="E754" s="84" t="s">
        <v>559</v>
      </c>
      <c r="F754" s="84" t="s">
        <v>619</v>
      </c>
      <c r="G754" s="84" t="s">
        <v>1166</v>
      </c>
      <c r="H754" s="84" t="s">
        <v>572</v>
      </c>
      <c r="I754" s="84" t="s">
        <v>573</v>
      </c>
      <c r="J754" s="86">
        <v>145.19999999999999</v>
      </c>
      <c r="K754" s="86">
        <v>0</v>
      </c>
      <c r="L754" s="84" t="s">
        <v>574</v>
      </c>
      <c r="M754" s="84" t="s">
        <v>569</v>
      </c>
    </row>
    <row r="755" spans="1:13" x14ac:dyDescent="0.25">
      <c r="A755" s="83">
        <v>645240</v>
      </c>
      <c r="B755" s="84" t="s">
        <v>557</v>
      </c>
      <c r="C755" s="85">
        <f t="shared" si="18"/>
        <v>45747</v>
      </c>
      <c r="D755" s="84" t="s">
        <v>558</v>
      </c>
      <c r="E755" s="84" t="s">
        <v>559</v>
      </c>
      <c r="F755" s="84" t="s">
        <v>1167</v>
      </c>
      <c r="G755" s="84" t="s">
        <v>1168</v>
      </c>
      <c r="H755" s="84" t="s">
        <v>702</v>
      </c>
      <c r="I755" s="84" t="s">
        <v>703</v>
      </c>
      <c r="J755" s="86">
        <v>2451.85</v>
      </c>
      <c r="K755" s="86">
        <v>0</v>
      </c>
      <c r="L755" s="84" t="s">
        <v>578</v>
      </c>
      <c r="M755" s="84" t="s">
        <v>310</v>
      </c>
    </row>
    <row r="756" spans="1:13" x14ac:dyDescent="0.25">
      <c r="A756" s="83">
        <v>645240</v>
      </c>
      <c r="B756" s="84" t="s">
        <v>557</v>
      </c>
      <c r="C756" s="85">
        <f t="shared" si="18"/>
        <v>45747</v>
      </c>
      <c r="D756" s="84" t="s">
        <v>558</v>
      </c>
      <c r="E756" s="84" t="s">
        <v>559</v>
      </c>
      <c r="F756" s="84" t="s">
        <v>1167</v>
      </c>
      <c r="G756" s="84" t="s">
        <v>1168</v>
      </c>
      <c r="H756" s="84" t="s">
        <v>894</v>
      </c>
      <c r="I756" s="84" t="s">
        <v>895</v>
      </c>
      <c r="J756" s="86">
        <v>50</v>
      </c>
      <c r="K756" s="86">
        <v>0</v>
      </c>
      <c r="L756" s="84" t="s">
        <v>896</v>
      </c>
      <c r="M756" s="84" t="s">
        <v>531</v>
      </c>
    </row>
    <row r="757" spans="1:13" x14ac:dyDescent="0.25">
      <c r="A757" s="83">
        <v>645240</v>
      </c>
      <c r="B757" s="84" t="s">
        <v>557</v>
      </c>
      <c r="C757" s="85">
        <f t="shared" si="18"/>
        <v>45747</v>
      </c>
      <c r="D757" s="84" t="s">
        <v>558</v>
      </c>
      <c r="E757" s="84" t="s">
        <v>559</v>
      </c>
      <c r="F757" s="84" t="s">
        <v>1167</v>
      </c>
      <c r="G757" s="84" t="s">
        <v>1168</v>
      </c>
      <c r="H757" s="84" t="s">
        <v>681</v>
      </c>
      <c r="I757" s="84" t="s">
        <v>682</v>
      </c>
      <c r="J757" s="86">
        <v>100</v>
      </c>
      <c r="K757" s="86">
        <v>0</v>
      </c>
      <c r="L757" s="84" t="s">
        <v>683</v>
      </c>
      <c r="M757" s="84" t="s">
        <v>336</v>
      </c>
    </row>
    <row r="758" spans="1:13" x14ac:dyDescent="0.25">
      <c r="A758" s="83">
        <v>645240</v>
      </c>
      <c r="B758" s="84" t="s">
        <v>557</v>
      </c>
      <c r="C758" s="85">
        <f t="shared" si="18"/>
        <v>45747</v>
      </c>
      <c r="D758" s="84" t="s">
        <v>558</v>
      </c>
      <c r="E758" s="84" t="s">
        <v>559</v>
      </c>
      <c r="F758" s="84" t="s">
        <v>1167</v>
      </c>
      <c r="G758" s="84" t="s">
        <v>1168</v>
      </c>
      <c r="H758" s="84" t="s">
        <v>1169</v>
      </c>
      <c r="I758" s="84" t="s">
        <v>563</v>
      </c>
      <c r="J758" s="86">
        <v>200</v>
      </c>
      <c r="K758" s="86">
        <v>0</v>
      </c>
      <c r="L758" s="84" t="s">
        <v>564</v>
      </c>
      <c r="M758" s="84" t="s">
        <v>336</v>
      </c>
    </row>
    <row r="759" spans="1:13" x14ac:dyDescent="0.25">
      <c r="A759" s="83">
        <v>645241</v>
      </c>
      <c r="B759" s="84" t="s">
        <v>557</v>
      </c>
      <c r="C759" s="85">
        <f t="shared" si="18"/>
        <v>45747</v>
      </c>
      <c r="D759" s="84" t="s">
        <v>558</v>
      </c>
      <c r="E759" s="84" t="s">
        <v>559</v>
      </c>
      <c r="F759" s="84" t="s">
        <v>1170</v>
      </c>
      <c r="G759" s="84" t="s">
        <v>1171</v>
      </c>
      <c r="H759" s="84" t="s">
        <v>926</v>
      </c>
      <c r="I759" s="84" t="s">
        <v>222</v>
      </c>
      <c r="J759" s="86">
        <v>1189.04</v>
      </c>
      <c r="K759" s="86">
        <v>0</v>
      </c>
      <c r="L759" s="84" t="s">
        <v>221</v>
      </c>
      <c r="M759" s="84" t="s">
        <v>394</v>
      </c>
    </row>
    <row r="760" spans="1:13" x14ac:dyDescent="0.25">
      <c r="A760" s="83">
        <v>645242</v>
      </c>
      <c r="B760" s="84" t="s">
        <v>557</v>
      </c>
      <c r="C760" s="85">
        <f t="shared" si="18"/>
        <v>45747</v>
      </c>
      <c r="D760" s="84" t="s">
        <v>558</v>
      </c>
      <c r="E760" s="84" t="s">
        <v>559</v>
      </c>
      <c r="F760" s="84" t="s">
        <v>579</v>
      </c>
      <c r="G760" s="84" t="s">
        <v>1172</v>
      </c>
      <c r="H760" s="84" t="s">
        <v>535</v>
      </c>
      <c r="I760" s="84" t="s">
        <v>534</v>
      </c>
      <c r="J760" s="86">
        <v>38.549999999999997</v>
      </c>
      <c r="K760" s="86">
        <v>0</v>
      </c>
      <c r="L760" s="84" t="s">
        <v>536</v>
      </c>
      <c r="M760" s="84" t="s">
        <v>531</v>
      </c>
    </row>
    <row r="761" spans="1:13" x14ac:dyDescent="0.25">
      <c r="A761" s="83">
        <v>645243</v>
      </c>
      <c r="B761" s="84" t="s">
        <v>557</v>
      </c>
      <c r="C761" s="85">
        <f t="shared" si="18"/>
        <v>45747</v>
      </c>
      <c r="D761" s="84" t="s">
        <v>558</v>
      </c>
      <c r="E761" s="84" t="s">
        <v>559</v>
      </c>
      <c r="F761" s="84" t="s">
        <v>1173</v>
      </c>
      <c r="G761" s="84" t="s">
        <v>1174</v>
      </c>
      <c r="H761" s="84" t="s">
        <v>1175</v>
      </c>
      <c r="I761" s="84" t="s">
        <v>1176</v>
      </c>
      <c r="J761" s="86">
        <v>3100</v>
      </c>
      <c r="K761" s="86">
        <v>0</v>
      </c>
      <c r="L761" s="84" t="s">
        <v>256</v>
      </c>
      <c r="M761" s="84" t="s">
        <v>1177</v>
      </c>
    </row>
    <row r="762" spans="1:13" x14ac:dyDescent="0.25">
      <c r="A762" s="83">
        <v>645243</v>
      </c>
      <c r="B762" s="84" t="s">
        <v>557</v>
      </c>
      <c r="C762" s="85">
        <f t="shared" si="18"/>
        <v>45747</v>
      </c>
      <c r="D762" s="84" t="s">
        <v>558</v>
      </c>
      <c r="E762" s="84" t="s">
        <v>559</v>
      </c>
      <c r="F762" s="84" t="s">
        <v>1173</v>
      </c>
      <c r="G762" s="84" t="s">
        <v>1174</v>
      </c>
      <c r="H762" s="84" t="s">
        <v>1178</v>
      </c>
      <c r="I762" s="84" t="s">
        <v>249</v>
      </c>
      <c r="J762" s="86">
        <v>37800</v>
      </c>
      <c r="K762" s="86">
        <v>0</v>
      </c>
      <c r="L762" s="84" t="s">
        <v>248</v>
      </c>
      <c r="M762" s="84" t="s">
        <v>1177</v>
      </c>
    </row>
    <row r="763" spans="1:13" x14ac:dyDescent="0.25">
      <c r="A763" s="83">
        <v>645243</v>
      </c>
      <c r="B763" s="84" t="s">
        <v>557</v>
      </c>
      <c r="C763" s="85">
        <f t="shared" si="18"/>
        <v>45747</v>
      </c>
      <c r="D763" s="84" t="s">
        <v>558</v>
      </c>
      <c r="E763" s="84" t="s">
        <v>559</v>
      </c>
      <c r="F763" s="84" t="s">
        <v>1173</v>
      </c>
      <c r="G763" s="84" t="s">
        <v>1174</v>
      </c>
      <c r="H763" s="84" t="s">
        <v>1179</v>
      </c>
      <c r="I763" s="84" t="s">
        <v>259</v>
      </c>
      <c r="J763" s="86">
        <v>8000</v>
      </c>
      <c r="K763" s="86">
        <v>0</v>
      </c>
      <c r="L763" s="84" t="s">
        <v>258</v>
      </c>
      <c r="M763" s="84" t="s">
        <v>1177</v>
      </c>
    </row>
    <row r="764" spans="1:13" x14ac:dyDescent="0.25">
      <c r="A764" s="83">
        <v>645244</v>
      </c>
      <c r="B764" s="84" t="s">
        <v>557</v>
      </c>
      <c r="C764" s="85">
        <f t="shared" si="18"/>
        <v>45747</v>
      </c>
      <c r="D764" s="84" t="s">
        <v>558</v>
      </c>
      <c r="E764" s="84" t="s">
        <v>559</v>
      </c>
      <c r="F764" s="84" t="s">
        <v>669</v>
      </c>
      <c r="G764" s="84" t="s">
        <v>1180</v>
      </c>
      <c r="H764" s="84" t="s">
        <v>1181</v>
      </c>
      <c r="I764" s="84" t="s">
        <v>617</v>
      </c>
      <c r="J764" s="86">
        <v>26</v>
      </c>
      <c r="K764" s="86">
        <v>0</v>
      </c>
      <c r="L764" s="84" t="s">
        <v>618</v>
      </c>
      <c r="M764" s="84" t="s">
        <v>352</v>
      </c>
    </row>
    <row r="765" spans="1:13" x14ac:dyDescent="0.25">
      <c r="A765" s="83">
        <v>645245</v>
      </c>
      <c r="B765" s="84" t="s">
        <v>557</v>
      </c>
      <c r="C765" s="85">
        <f t="shared" si="18"/>
        <v>45747</v>
      </c>
      <c r="D765" s="84" t="s">
        <v>558</v>
      </c>
      <c r="E765" s="84" t="s">
        <v>559</v>
      </c>
      <c r="F765" s="84" t="s">
        <v>629</v>
      </c>
      <c r="G765" s="84" t="s">
        <v>1182</v>
      </c>
      <c r="H765" s="84" t="s">
        <v>596</v>
      </c>
      <c r="I765" s="84" t="s">
        <v>597</v>
      </c>
      <c r="J765" s="86">
        <v>1750</v>
      </c>
      <c r="K765" s="86">
        <v>0</v>
      </c>
      <c r="L765" s="84" t="s">
        <v>598</v>
      </c>
      <c r="M765" s="84" t="s">
        <v>327</v>
      </c>
    </row>
    <row r="766" spans="1:13" x14ac:dyDescent="0.25">
      <c r="A766" s="83">
        <v>645246</v>
      </c>
      <c r="B766" s="84" t="s">
        <v>557</v>
      </c>
      <c r="C766" s="85">
        <f t="shared" si="18"/>
        <v>45747</v>
      </c>
      <c r="D766" s="84" t="s">
        <v>558</v>
      </c>
      <c r="E766" s="84" t="s">
        <v>559</v>
      </c>
      <c r="F766" s="84" t="s">
        <v>672</v>
      </c>
      <c r="G766" s="84" t="s">
        <v>1183</v>
      </c>
      <c r="H766" s="84" t="s">
        <v>674</v>
      </c>
      <c r="I766" s="84" t="s">
        <v>675</v>
      </c>
      <c r="J766" s="86">
        <v>40</v>
      </c>
      <c r="K766" s="86">
        <v>0</v>
      </c>
      <c r="L766" s="84" t="s">
        <v>676</v>
      </c>
      <c r="M766" s="84" t="s">
        <v>352</v>
      </c>
    </row>
    <row r="767" spans="1:13" x14ac:dyDescent="0.25">
      <c r="A767" s="83">
        <v>645247</v>
      </c>
      <c r="B767" s="84" t="s">
        <v>557</v>
      </c>
      <c r="C767" s="85">
        <f t="shared" si="18"/>
        <v>45747</v>
      </c>
      <c r="D767" s="84" t="s">
        <v>1184</v>
      </c>
      <c r="E767" s="84" t="s">
        <v>559</v>
      </c>
      <c r="F767" s="84" t="s">
        <v>600</v>
      </c>
      <c r="G767" s="84" t="s">
        <v>1185</v>
      </c>
      <c r="H767" s="84" t="s">
        <v>602</v>
      </c>
      <c r="I767" s="84" t="s">
        <v>603</v>
      </c>
      <c r="J767" s="86">
        <v>2000</v>
      </c>
      <c r="K767" s="86">
        <v>0</v>
      </c>
      <c r="L767" s="84" t="s">
        <v>604</v>
      </c>
      <c r="M767" s="84" t="s">
        <v>310</v>
      </c>
    </row>
    <row r="768" spans="1:13" x14ac:dyDescent="0.25">
      <c r="A768" s="83">
        <v>645248</v>
      </c>
      <c r="B768" s="84" t="s">
        <v>557</v>
      </c>
      <c r="C768" s="85">
        <f t="shared" si="18"/>
        <v>45747</v>
      </c>
      <c r="D768" s="84" t="s">
        <v>558</v>
      </c>
      <c r="E768" s="84" t="s">
        <v>559</v>
      </c>
      <c r="F768" s="84" t="s">
        <v>1186</v>
      </c>
      <c r="G768" s="84" t="s">
        <v>1187</v>
      </c>
      <c r="H768" s="84" t="s">
        <v>1175</v>
      </c>
      <c r="I768" s="84" t="s">
        <v>1176</v>
      </c>
      <c r="J768" s="86">
        <v>9750</v>
      </c>
      <c r="K768" s="86">
        <v>0</v>
      </c>
      <c r="L768" s="84" t="s">
        <v>256</v>
      </c>
      <c r="M768" s="84" t="s">
        <v>1177</v>
      </c>
    </row>
    <row r="769" spans="1:13" x14ac:dyDescent="0.25">
      <c r="A769" s="83">
        <v>645249</v>
      </c>
      <c r="B769" s="84" t="s">
        <v>557</v>
      </c>
      <c r="C769" s="85">
        <f t="shared" si="18"/>
        <v>45747</v>
      </c>
      <c r="D769" s="84" t="s">
        <v>558</v>
      </c>
      <c r="E769" s="84" t="s">
        <v>559</v>
      </c>
      <c r="F769" s="84" t="s">
        <v>1186</v>
      </c>
      <c r="G769" s="84" t="s">
        <v>1188</v>
      </c>
      <c r="H769" s="84" t="s">
        <v>1175</v>
      </c>
      <c r="I769" s="84" t="s">
        <v>1176</v>
      </c>
      <c r="J769" s="86">
        <v>1750</v>
      </c>
      <c r="K769" s="86">
        <v>0</v>
      </c>
      <c r="L769" s="84" t="s">
        <v>256</v>
      </c>
      <c r="M769" s="84" t="s">
        <v>1177</v>
      </c>
    </row>
    <row r="770" spans="1:13" x14ac:dyDescent="0.25">
      <c r="A770" s="83">
        <v>645249</v>
      </c>
      <c r="B770" s="84" t="s">
        <v>557</v>
      </c>
      <c r="C770" s="85">
        <f t="shared" si="18"/>
        <v>45747</v>
      </c>
      <c r="D770" s="84" t="s">
        <v>558</v>
      </c>
      <c r="E770" s="84" t="s">
        <v>559</v>
      </c>
      <c r="F770" s="84" t="s">
        <v>1186</v>
      </c>
      <c r="G770" s="84" t="s">
        <v>1188</v>
      </c>
      <c r="H770" s="84" t="s">
        <v>1178</v>
      </c>
      <c r="I770" s="84" t="s">
        <v>249</v>
      </c>
      <c r="J770" s="86">
        <v>6250</v>
      </c>
      <c r="K770" s="86">
        <v>0</v>
      </c>
      <c r="L770" s="84" t="s">
        <v>248</v>
      </c>
      <c r="M770" s="84" t="s">
        <v>1177</v>
      </c>
    </row>
    <row r="771" spans="1:13" x14ac:dyDescent="0.25">
      <c r="A771" s="83">
        <v>645250</v>
      </c>
      <c r="B771" s="84" t="s">
        <v>557</v>
      </c>
      <c r="C771" s="85">
        <f t="shared" si="18"/>
        <v>45747</v>
      </c>
      <c r="D771" s="84" t="s">
        <v>558</v>
      </c>
      <c r="E771" s="84" t="s">
        <v>559</v>
      </c>
      <c r="F771" s="84" t="s">
        <v>1189</v>
      </c>
      <c r="G771" s="84" t="s">
        <v>1190</v>
      </c>
      <c r="H771" s="84" t="s">
        <v>681</v>
      </c>
      <c r="I771" s="84" t="s">
        <v>682</v>
      </c>
      <c r="J771" s="86">
        <v>2268</v>
      </c>
      <c r="K771" s="86">
        <v>0</v>
      </c>
      <c r="L771" s="84" t="s">
        <v>683</v>
      </c>
      <c r="M771" s="84" t="s">
        <v>336</v>
      </c>
    </row>
    <row r="772" spans="1:13" x14ac:dyDescent="0.25">
      <c r="A772" s="83">
        <v>645251</v>
      </c>
      <c r="B772" s="84" t="s">
        <v>557</v>
      </c>
      <c r="C772" s="85">
        <f t="shared" si="18"/>
        <v>45747</v>
      </c>
      <c r="D772" s="84" t="s">
        <v>558</v>
      </c>
      <c r="E772" s="84" t="s">
        <v>559</v>
      </c>
      <c r="F772" s="84" t="s">
        <v>949</v>
      </c>
      <c r="G772" s="84" t="s">
        <v>1191</v>
      </c>
      <c r="H772" s="84" t="s">
        <v>951</v>
      </c>
      <c r="I772" s="84" t="s">
        <v>952</v>
      </c>
      <c r="J772" s="86">
        <v>8343.92</v>
      </c>
      <c r="K772" s="86">
        <v>0</v>
      </c>
      <c r="L772" s="84" t="s">
        <v>953</v>
      </c>
      <c r="M772" s="84" t="s">
        <v>954</v>
      </c>
    </row>
    <row r="773" spans="1:13" x14ac:dyDescent="0.25">
      <c r="A773" s="83">
        <v>645252</v>
      </c>
      <c r="B773" s="84" t="s">
        <v>557</v>
      </c>
      <c r="C773" s="85">
        <f t="shared" si="18"/>
        <v>45747</v>
      </c>
      <c r="D773" s="84" t="s">
        <v>558</v>
      </c>
      <c r="E773" s="84" t="s">
        <v>559</v>
      </c>
      <c r="F773" s="84" t="s">
        <v>1192</v>
      </c>
      <c r="G773" s="84" t="s">
        <v>1193</v>
      </c>
      <c r="H773" s="84" t="s">
        <v>926</v>
      </c>
      <c r="I773" s="84" t="s">
        <v>222</v>
      </c>
      <c r="J773" s="86">
        <v>23.54</v>
      </c>
      <c r="K773" s="86">
        <v>0</v>
      </c>
      <c r="L773" s="84" t="s">
        <v>221</v>
      </c>
      <c r="M773" s="84" t="s">
        <v>394</v>
      </c>
    </row>
    <row r="774" spans="1:13" x14ac:dyDescent="0.25">
      <c r="A774" s="83">
        <v>645253</v>
      </c>
      <c r="B774" s="84" t="s">
        <v>557</v>
      </c>
      <c r="C774" s="85">
        <f t="shared" si="18"/>
        <v>45747</v>
      </c>
      <c r="D774" s="84" t="s">
        <v>558</v>
      </c>
      <c r="E774" s="84" t="s">
        <v>559</v>
      </c>
      <c r="F774" s="84" t="s">
        <v>621</v>
      </c>
      <c r="G774" s="84" t="s">
        <v>1194</v>
      </c>
      <c r="H774" s="84" t="s">
        <v>891</v>
      </c>
      <c r="I774" s="84" t="s">
        <v>573</v>
      </c>
      <c r="J774" s="86">
        <v>664.4</v>
      </c>
      <c r="K774" s="86">
        <v>0</v>
      </c>
      <c r="L774" s="84" t="s">
        <v>574</v>
      </c>
      <c r="M774" s="84" t="s">
        <v>327</v>
      </c>
    </row>
    <row r="775" spans="1:13" x14ac:dyDescent="0.25">
      <c r="A775" s="83">
        <v>645253</v>
      </c>
      <c r="B775" s="84" t="s">
        <v>557</v>
      </c>
      <c r="C775" s="85">
        <f t="shared" si="18"/>
        <v>45747</v>
      </c>
      <c r="D775" s="84" t="s">
        <v>558</v>
      </c>
      <c r="E775" s="84" t="s">
        <v>559</v>
      </c>
      <c r="F775" s="84" t="s">
        <v>621</v>
      </c>
      <c r="G775" s="84" t="s">
        <v>1194</v>
      </c>
      <c r="H775" s="84" t="s">
        <v>623</v>
      </c>
      <c r="I775" s="84" t="s">
        <v>624</v>
      </c>
      <c r="J775" s="86">
        <v>415.47</v>
      </c>
      <c r="K775" s="86">
        <v>0</v>
      </c>
      <c r="L775" s="84" t="s">
        <v>625</v>
      </c>
      <c r="M775" s="84" t="s">
        <v>327</v>
      </c>
    </row>
    <row r="776" spans="1:13" x14ac:dyDescent="0.25">
      <c r="A776" s="83">
        <v>645254</v>
      </c>
      <c r="B776" s="84" t="s">
        <v>557</v>
      </c>
      <c r="C776" s="85">
        <f t="shared" si="18"/>
        <v>45747</v>
      </c>
      <c r="D776" s="84" t="s">
        <v>558</v>
      </c>
      <c r="E776" s="84" t="s">
        <v>559</v>
      </c>
      <c r="F776" s="84" t="s">
        <v>637</v>
      </c>
      <c r="G776" s="84" t="s">
        <v>1147</v>
      </c>
      <c r="H776" s="84" t="s">
        <v>572</v>
      </c>
      <c r="I776" s="84" t="s">
        <v>573</v>
      </c>
      <c r="J776" s="86">
        <v>73.7</v>
      </c>
      <c r="K776" s="86">
        <v>0</v>
      </c>
      <c r="L776" s="84" t="s">
        <v>574</v>
      </c>
      <c r="M776" s="84" t="s">
        <v>569</v>
      </c>
    </row>
    <row r="777" spans="1:13" x14ac:dyDescent="0.25">
      <c r="A777" s="83">
        <v>645255</v>
      </c>
      <c r="B777" s="84" t="s">
        <v>557</v>
      </c>
      <c r="C777" s="85">
        <f t="shared" si="18"/>
        <v>45747</v>
      </c>
      <c r="D777" s="84" t="s">
        <v>608</v>
      </c>
      <c r="E777" s="84" t="s">
        <v>559</v>
      </c>
      <c r="F777" s="84" t="s">
        <v>1195</v>
      </c>
      <c r="G777" s="84" t="s">
        <v>1196</v>
      </c>
      <c r="H777" s="84" t="s">
        <v>1197</v>
      </c>
      <c r="I777" s="84" t="s">
        <v>1198</v>
      </c>
      <c r="J777" s="86">
        <v>75</v>
      </c>
      <c r="K777" s="86">
        <v>0</v>
      </c>
      <c r="L777" s="84" t="s">
        <v>1199</v>
      </c>
      <c r="M777" s="84" t="s">
        <v>352</v>
      </c>
    </row>
    <row r="778" spans="1:13" x14ac:dyDescent="0.25">
      <c r="A778" s="83">
        <v>645256</v>
      </c>
      <c r="B778" s="84" t="s">
        <v>557</v>
      </c>
      <c r="C778" s="85">
        <f t="shared" si="18"/>
        <v>45747</v>
      </c>
      <c r="D778" s="84" t="s">
        <v>558</v>
      </c>
      <c r="E778" s="84" t="s">
        <v>559</v>
      </c>
      <c r="F778" s="84" t="s">
        <v>565</v>
      </c>
      <c r="G778" s="84" t="s">
        <v>1200</v>
      </c>
      <c r="H778" s="84" t="s">
        <v>1201</v>
      </c>
      <c r="I778" s="84" t="s">
        <v>1202</v>
      </c>
      <c r="J778" s="86">
        <v>339.23</v>
      </c>
      <c r="K778" s="86">
        <v>0</v>
      </c>
      <c r="L778" s="84" t="s">
        <v>1203</v>
      </c>
      <c r="M778" s="84" t="s">
        <v>569</v>
      </c>
    </row>
    <row r="779" spans="1:13" x14ac:dyDescent="0.25">
      <c r="A779" s="83">
        <v>645257</v>
      </c>
      <c r="B779" s="84" t="s">
        <v>557</v>
      </c>
      <c r="C779" s="85">
        <f t="shared" si="18"/>
        <v>45747</v>
      </c>
      <c r="D779" s="84" t="s">
        <v>558</v>
      </c>
      <c r="E779" s="84" t="s">
        <v>559</v>
      </c>
      <c r="F779" s="84" t="s">
        <v>575</v>
      </c>
      <c r="G779" s="84" t="s">
        <v>1204</v>
      </c>
      <c r="H779" s="84" t="s">
        <v>572</v>
      </c>
      <c r="I779" s="84" t="s">
        <v>573</v>
      </c>
      <c r="J779" s="86">
        <v>220</v>
      </c>
      <c r="K779" s="86">
        <v>0</v>
      </c>
      <c r="L779" s="84" t="s">
        <v>574</v>
      </c>
      <c r="M779" s="84" t="s">
        <v>569</v>
      </c>
    </row>
    <row r="780" spans="1:13" x14ac:dyDescent="0.25">
      <c r="A780" s="83">
        <v>645258</v>
      </c>
      <c r="B780" s="84" t="s">
        <v>557</v>
      </c>
      <c r="C780" s="85">
        <f t="shared" si="18"/>
        <v>45747</v>
      </c>
      <c r="D780" s="84" t="s">
        <v>558</v>
      </c>
      <c r="E780" s="84" t="s">
        <v>559</v>
      </c>
      <c r="F780" s="84" t="s">
        <v>1205</v>
      </c>
      <c r="G780" s="84" t="s">
        <v>1206</v>
      </c>
      <c r="H780" s="84" t="s">
        <v>702</v>
      </c>
      <c r="I780" s="84" t="s">
        <v>703</v>
      </c>
      <c r="J780" s="86">
        <v>79.33</v>
      </c>
      <c r="K780" s="86">
        <v>0</v>
      </c>
      <c r="L780" s="84" t="s">
        <v>578</v>
      </c>
      <c r="M780" s="84" t="s">
        <v>310</v>
      </c>
    </row>
    <row r="781" spans="1:13" x14ac:dyDescent="0.25">
      <c r="A781" s="83">
        <v>645259</v>
      </c>
      <c r="B781" s="84" t="s">
        <v>557</v>
      </c>
      <c r="C781" s="85">
        <f t="shared" si="18"/>
        <v>45747</v>
      </c>
      <c r="D781" s="84" t="s">
        <v>558</v>
      </c>
      <c r="E781" s="84" t="s">
        <v>559</v>
      </c>
      <c r="F781" s="84" t="s">
        <v>1207</v>
      </c>
      <c r="G781" s="84" t="s">
        <v>1208</v>
      </c>
      <c r="H781" s="84" t="s">
        <v>1209</v>
      </c>
      <c r="I781" s="84" t="s">
        <v>689</v>
      </c>
      <c r="J781" s="86">
        <v>125</v>
      </c>
      <c r="K781" s="86">
        <v>0</v>
      </c>
      <c r="L781" s="84" t="s">
        <v>690</v>
      </c>
      <c r="M781" s="84" t="s">
        <v>352</v>
      </c>
    </row>
    <row r="782" spans="1:13" x14ac:dyDescent="0.25">
      <c r="A782" s="83">
        <v>645259</v>
      </c>
      <c r="B782" s="84" t="s">
        <v>557</v>
      </c>
      <c r="C782" s="85">
        <f t="shared" si="18"/>
        <v>45747</v>
      </c>
      <c r="D782" s="84" t="s">
        <v>558</v>
      </c>
      <c r="E782" s="84" t="s">
        <v>559</v>
      </c>
      <c r="F782" s="84" t="s">
        <v>1207</v>
      </c>
      <c r="G782" s="84" t="s">
        <v>1208</v>
      </c>
      <c r="H782" s="84" t="s">
        <v>572</v>
      </c>
      <c r="I782" s="84" t="s">
        <v>573</v>
      </c>
      <c r="J782" s="86">
        <v>233.75</v>
      </c>
      <c r="K782" s="86">
        <v>0</v>
      </c>
      <c r="L782" s="84" t="s">
        <v>574</v>
      </c>
      <c r="M782" s="84" t="s">
        <v>569</v>
      </c>
    </row>
    <row r="783" spans="1:13" x14ac:dyDescent="0.25">
      <c r="A783" s="83">
        <v>645260</v>
      </c>
      <c r="B783" s="84" t="s">
        <v>557</v>
      </c>
      <c r="C783" s="85">
        <f t="shared" si="18"/>
        <v>45747</v>
      </c>
      <c r="D783" s="84" t="s">
        <v>1210</v>
      </c>
      <c r="E783" s="84" t="s">
        <v>559</v>
      </c>
      <c r="F783" s="84" t="s">
        <v>645</v>
      </c>
      <c r="G783" s="84" t="s">
        <v>1211</v>
      </c>
      <c r="H783" s="84" t="s">
        <v>530</v>
      </c>
      <c r="I783" s="84" t="s">
        <v>237</v>
      </c>
      <c r="J783" s="86">
        <v>38999.339999999997</v>
      </c>
      <c r="K783" s="86">
        <v>0</v>
      </c>
      <c r="L783" s="84" t="s">
        <v>236</v>
      </c>
      <c r="M783" s="84" t="s">
        <v>531</v>
      </c>
    </row>
    <row r="784" spans="1:13" x14ac:dyDescent="0.25">
      <c r="A784" s="83">
        <v>645551</v>
      </c>
      <c r="B784" s="84" t="s">
        <v>557</v>
      </c>
      <c r="C784" s="85">
        <f t="shared" si="18"/>
        <v>45747</v>
      </c>
      <c r="D784" s="84" t="s">
        <v>1212</v>
      </c>
      <c r="E784" s="84" t="s">
        <v>559</v>
      </c>
      <c r="F784" s="84" t="s">
        <v>871</v>
      </c>
      <c r="G784" s="84" t="s">
        <v>1213</v>
      </c>
      <c r="H784" s="84" t="s">
        <v>873</v>
      </c>
      <c r="I784" s="84" t="s">
        <v>874</v>
      </c>
      <c r="J784" s="86">
        <v>150</v>
      </c>
      <c r="K784" s="86">
        <v>0</v>
      </c>
      <c r="L784" s="84" t="s">
        <v>875</v>
      </c>
      <c r="M784" s="84" t="s">
        <v>652</v>
      </c>
    </row>
    <row r="785" spans="1:13" x14ac:dyDescent="0.25">
      <c r="A785" s="83">
        <v>645551</v>
      </c>
      <c r="B785" s="84" t="s">
        <v>557</v>
      </c>
      <c r="C785" s="85">
        <f t="shared" si="18"/>
        <v>45747</v>
      </c>
      <c r="D785" s="84" t="s">
        <v>1212</v>
      </c>
      <c r="E785" s="84" t="s">
        <v>559</v>
      </c>
      <c r="F785" s="84" t="s">
        <v>871</v>
      </c>
      <c r="G785" s="84" t="s">
        <v>1213</v>
      </c>
      <c r="H785" s="84" t="s">
        <v>873</v>
      </c>
      <c r="I785" s="84" t="s">
        <v>874</v>
      </c>
      <c r="J785" s="86">
        <v>625</v>
      </c>
      <c r="K785" s="86">
        <v>0</v>
      </c>
      <c r="L785" s="84" t="s">
        <v>875</v>
      </c>
      <c r="M785" s="84" t="s">
        <v>652</v>
      </c>
    </row>
    <row r="786" spans="1:13" x14ac:dyDescent="0.25">
      <c r="A786" s="83">
        <v>645551</v>
      </c>
      <c r="B786" s="84" t="s">
        <v>557</v>
      </c>
      <c r="C786" s="85">
        <f t="shared" si="18"/>
        <v>45747</v>
      </c>
      <c r="D786" s="84" t="s">
        <v>1212</v>
      </c>
      <c r="E786" s="84" t="s">
        <v>559</v>
      </c>
      <c r="F786" s="84" t="s">
        <v>871</v>
      </c>
      <c r="G786" s="84" t="s">
        <v>1213</v>
      </c>
      <c r="H786" s="84" t="s">
        <v>873</v>
      </c>
      <c r="I786" s="84" t="s">
        <v>874</v>
      </c>
      <c r="J786" s="86">
        <v>1802.5</v>
      </c>
      <c r="K786" s="86">
        <v>0</v>
      </c>
      <c r="L786" s="84" t="s">
        <v>875</v>
      </c>
      <c r="M786" s="84" t="s">
        <v>652</v>
      </c>
    </row>
    <row r="787" spans="1:13" x14ac:dyDescent="0.25">
      <c r="A787" s="83">
        <v>645553</v>
      </c>
      <c r="B787" s="84" t="s">
        <v>557</v>
      </c>
      <c r="C787" s="85">
        <f t="shared" si="18"/>
        <v>45747</v>
      </c>
      <c r="D787" s="84" t="s">
        <v>1214</v>
      </c>
      <c r="E787" s="84" t="s">
        <v>559</v>
      </c>
      <c r="F787" s="84" t="s">
        <v>841</v>
      </c>
      <c r="G787" s="84" t="s">
        <v>1215</v>
      </c>
      <c r="H787" s="84" t="s">
        <v>843</v>
      </c>
      <c r="I787" s="84" t="s">
        <v>844</v>
      </c>
      <c r="J787" s="86">
        <v>8742.9699999999993</v>
      </c>
      <c r="K787" s="86">
        <v>0</v>
      </c>
      <c r="L787" s="84" t="s">
        <v>845</v>
      </c>
      <c r="M787" s="84" t="s">
        <v>652</v>
      </c>
    </row>
    <row r="788" spans="1:13" x14ac:dyDescent="0.25">
      <c r="A788" s="83">
        <v>645576</v>
      </c>
      <c r="B788" s="84" t="s">
        <v>557</v>
      </c>
      <c r="C788" s="85">
        <f t="shared" si="18"/>
        <v>45747</v>
      </c>
      <c r="D788" s="84" t="s">
        <v>1216</v>
      </c>
      <c r="E788" s="84" t="s">
        <v>559</v>
      </c>
      <c r="F788" s="84" t="s">
        <v>1217</v>
      </c>
      <c r="G788" s="84" t="s">
        <v>1218</v>
      </c>
      <c r="H788" s="84" t="s">
        <v>516</v>
      </c>
      <c r="I788" s="84" t="s">
        <v>517</v>
      </c>
      <c r="J788" s="86">
        <v>15231.94</v>
      </c>
      <c r="K788" s="86">
        <v>0</v>
      </c>
      <c r="L788" s="84" t="s">
        <v>518</v>
      </c>
      <c r="M788" s="84" t="s">
        <v>327</v>
      </c>
    </row>
    <row r="789" spans="1:13" x14ac:dyDescent="0.25">
      <c r="A789" s="83">
        <v>645641</v>
      </c>
      <c r="B789" s="84" t="s">
        <v>303</v>
      </c>
      <c r="C789" s="85">
        <f t="shared" si="18"/>
        <v>45747</v>
      </c>
      <c r="D789" s="84" t="s">
        <v>1219</v>
      </c>
      <c r="E789" s="84" t="s">
        <v>1220</v>
      </c>
      <c r="F789" s="84" t="s">
        <v>306</v>
      </c>
      <c r="G789" s="84" t="s">
        <v>306</v>
      </c>
      <c r="H789" s="84" t="s">
        <v>1221</v>
      </c>
      <c r="I789" s="84" t="s">
        <v>1222</v>
      </c>
      <c r="J789" s="86">
        <v>3983.94</v>
      </c>
      <c r="K789" s="86">
        <v>0</v>
      </c>
      <c r="L789" s="84" t="s">
        <v>711</v>
      </c>
      <c r="M789" s="84" t="s">
        <v>310</v>
      </c>
    </row>
    <row r="790" spans="1:13" x14ac:dyDescent="0.25">
      <c r="A790" s="83">
        <v>645668</v>
      </c>
      <c r="B790" s="84" t="s">
        <v>303</v>
      </c>
      <c r="C790" s="85">
        <f t="shared" si="18"/>
        <v>45747</v>
      </c>
      <c r="D790" s="84" t="s">
        <v>1223</v>
      </c>
      <c r="E790" s="84" t="s">
        <v>1224</v>
      </c>
      <c r="F790" s="84" t="s">
        <v>306</v>
      </c>
      <c r="G790" s="84" t="s">
        <v>306</v>
      </c>
      <c r="H790" s="84" t="s">
        <v>1078</v>
      </c>
      <c r="I790" s="84" t="s">
        <v>1079</v>
      </c>
      <c r="J790" s="86">
        <v>84</v>
      </c>
      <c r="K790" s="86">
        <v>0</v>
      </c>
      <c r="L790" s="84" t="s">
        <v>1080</v>
      </c>
      <c r="M790" s="84" t="s">
        <v>310</v>
      </c>
    </row>
    <row r="791" spans="1:13" x14ac:dyDescent="0.25">
      <c r="A791" s="83">
        <v>645668</v>
      </c>
      <c r="B791" s="84" t="s">
        <v>303</v>
      </c>
      <c r="C791" s="85">
        <f t="shared" si="18"/>
        <v>45747</v>
      </c>
      <c r="D791" s="84" t="s">
        <v>1223</v>
      </c>
      <c r="E791" s="84" t="s">
        <v>1225</v>
      </c>
      <c r="F791" s="84" t="s">
        <v>306</v>
      </c>
      <c r="G791" s="84" t="s">
        <v>306</v>
      </c>
      <c r="H791" s="84" t="s">
        <v>516</v>
      </c>
      <c r="I791" s="84" t="s">
        <v>517</v>
      </c>
      <c r="J791" s="86">
        <v>24.83</v>
      </c>
      <c r="K791" s="86">
        <v>0</v>
      </c>
      <c r="L791" s="84" t="s">
        <v>518</v>
      </c>
      <c r="M791" s="84" t="s">
        <v>327</v>
      </c>
    </row>
    <row r="792" spans="1:13" x14ac:dyDescent="0.25">
      <c r="A792" s="83">
        <v>645668</v>
      </c>
      <c r="B792" s="84" t="s">
        <v>303</v>
      </c>
      <c r="C792" s="85">
        <f t="shared" si="18"/>
        <v>45747</v>
      </c>
      <c r="D792" s="84" t="s">
        <v>1223</v>
      </c>
      <c r="E792" s="84" t="s">
        <v>1226</v>
      </c>
      <c r="F792" s="84" t="s">
        <v>306</v>
      </c>
      <c r="G792" s="84" t="s">
        <v>306</v>
      </c>
      <c r="H792" s="84" t="s">
        <v>516</v>
      </c>
      <c r="I792" s="84" t="s">
        <v>517</v>
      </c>
      <c r="J792" s="86">
        <v>70.540000000000006</v>
      </c>
      <c r="K792" s="86">
        <v>0</v>
      </c>
      <c r="L792" s="84" t="s">
        <v>518</v>
      </c>
      <c r="M792" s="84" t="s">
        <v>327</v>
      </c>
    </row>
    <row r="793" spans="1:13" x14ac:dyDescent="0.25">
      <c r="A793" s="83">
        <v>645669</v>
      </c>
      <c r="B793" s="84" t="s">
        <v>303</v>
      </c>
      <c r="C793" s="85">
        <f t="shared" si="18"/>
        <v>45747</v>
      </c>
      <c r="D793" s="84" t="s">
        <v>1227</v>
      </c>
      <c r="E793" s="84" t="s">
        <v>1228</v>
      </c>
      <c r="F793" s="84" t="s">
        <v>306</v>
      </c>
      <c r="G793" s="84" t="s">
        <v>306</v>
      </c>
      <c r="H793" s="84" t="s">
        <v>1229</v>
      </c>
      <c r="I793" s="84" t="s">
        <v>1230</v>
      </c>
      <c r="J793" s="86">
        <v>398.93</v>
      </c>
      <c r="K793" s="86">
        <v>0</v>
      </c>
      <c r="L793" s="84" t="s">
        <v>1231</v>
      </c>
      <c r="M793" s="84" t="s">
        <v>310</v>
      </c>
    </row>
    <row r="794" spans="1:13" x14ac:dyDescent="0.25">
      <c r="A794" s="83">
        <v>645669</v>
      </c>
      <c r="B794" s="84" t="s">
        <v>303</v>
      </c>
      <c r="C794" s="85">
        <f t="shared" si="18"/>
        <v>45747</v>
      </c>
      <c r="D794" s="84" t="s">
        <v>1227</v>
      </c>
      <c r="E794" s="84" t="s">
        <v>1232</v>
      </c>
      <c r="F794" s="84" t="s">
        <v>306</v>
      </c>
      <c r="G794" s="84" t="s">
        <v>306</v>
      </c>
      <c r="H794" s="84" t="s">
        <v>1233</v>
      </c>
      <c r="I794" s="84" t="s">
        <v>1234</v>
      </c>
      <c r="J794" s="86">
        <v>2542.8000000000002</v>
      </c>
      <c r="K794" s="86">
        <v>0</v>
      </c>
      <c r="L794" s="84" t="s">
        <v>1235</v>
      </c>
      <c r="M794" s="84" t="s">
        <v>310</v>
      </c>
    </row>
    <row r="795" spans="1:13" x14ac:dyDescent="0.25">
      <c r="A795" s="83">
        <v>645669</v>
      </c>
      <c r="B795" s="84" t="s">
        <v>303</v>
      </c>
      <c r="C795" s="85">
        <f t="shared" si="18"/>
        <v>45747</v>
      </c>
      <c r="D795" s="84" t="s">
        <v>1227</v>
      </c>
      <c r="E795" s="84" t="s">
        <v>1236</v>
      </c>
      <c r="F795" s="84" t="s">
        <v>306</v>
      </c>
      <c r="G795" s="84" t="s">
        <v>306</v>
      </c>
      <c r="H795" s="84" t="s">
        <v>1237</v>
      </c>
      <c r="I795" s="84" t="s">
        <v>1238</v>
      </c>
      <c r="J795" s="86">
        <v>5812.75</v>
      </c>
      <c r="K795" s="86">
        <v>0</v>
      </c>
      <c r="L795" s="84" t="s">
        <v>1239</v>
      </c>
      <c r="M795" s="84" t="s">
        <v>310</v>
      </c>
    </row>
    <row r="796" spans="1:13" x14ac:dyDescent="0.25">
      <c r="A796" s="83">
        <v>645669</v>
      </c>
      <c r="B796" s="84" t="s">
        <v>303</v>
      </c>
      <c r="C796" s="85">
        <f t="shared" si="18"/>
        <v>45747</v>
      </c>
      <c r="D796" s="84" t="s">
        <v>1227</v>
      </c>
      <c r="E796" s="84" t="s">
        <v>1240</v>
      </c>
      <c r="F796" s="84" t="s">
        <v>306</v>
      </c>
      <c r="G796" s="84" t="s">
        <v>306</v>
      </c>
      <c r="H796" s="84" t="s">
        <v>1241</v>
      </c>
      <c r="I796" s="84" t="s">
        <v>1242</v>
      </c>
      <c r="J796" s="86">
        <v>3301.72</v>
      </c>
      <c r="K796" s="86">
        <v>0</v>
      </c>
      <c r="L796" s="84" t="s">
        <v>1243</v>
      </c>
      <c r="M796" s="84" t="s">
        <v>310</v>
      </c>
    </row>
    <row r="797" spans="1:13" x14ac:dyDescent="0.25">
      <c r="A797" s="83">
        <v>645669</v>
      </c>
      <c r="B797" s="84" t="s">
        <v>303</v>
      </c>
      <c r="C797" s="85">
        <f t="shared" si="18"/>
        <v>45747</v>
      </c>
      <c r="D797" s="84" t="s">
        <v>1227</v>
      </c>
      <c r="E797" s="84" t="s">
        <v>1244</v>
      </c>
      <c r="F797" s="84" t="s">
        <v>306</v>
      </c>
      <c r="G797" s="84" t="s">
        <v>306</v>
      </c>
      <c r="H797" s="84" t="s">
        <v>1245</v>
      </c>
      <c r="I797" s="84" t="s">
        <v>1246</v>
      </c>
      <c r="J797" s="86">
        <v>1792.68</v>
      </c>
      <c r="K797" s="86">
        <v>0</v>
      </c>
      <c r="L797" s="84" t="s">
        <v>1247</v>
      </c>
      <c r="M797" s="84" t="s">
        <v>310</v>
      </c>
    </row>
    <row r="798" spans="1:13" x14ac:dyDescent="0.25">
      <c r="A798" s="83">
        <v>645669</v>
      </c>
      <c r="B798" s="84" t="s">
        <v>303</v>
      </c>
      <c r="C798" s="85">
        <f t="shared" si="18"/>
        <v>45747</v>
      </c>
      <c r="D798" s="84" t="s">
        <v>1227</v>
      </c>
      <c r="E798" s="84" t="s">
        <v>1248</v>
      </c>
      <c r="F798" s="84" t="s">
        <v>306</v>
      </c>
      <c r="G798" s="84" t="s">
        <v>306</v>
      </c>
      <c r="H798" s="84" t="s">
        <v>1249</v>
      </c>
      <c r="I798" s="84" t="s">
        <v>1250</v>
      </c>
      <c r="J798" s="86">
        <v>145.72999999999999</v>
      </c>
      <c r="K798" s="86">
        <v>0</v>
      </c>
      <c r="L798" s="84" t="s">
        <v>1251</v>
      </c>
      <c r="M798" s="84" t="s">
        <v>310</v>
      </c>
    </row>
    <row r="799" spans="1:13" x14ac:dyDescent="0.25">
      <c r="A799" s="83">
        <v>645669</v>
      </c>
      <c r="B799" s="84" t="s">
        <v>303</v>
      </c>
      <c r="C799" s="85">
        <f t="shared" si="18"/>
        <v>45747</v>
      </c>
      <c r="D799" s="84" t="s">
        <v>1227</v>
      </c>
      <c r="E799" s="84" t="s">
        <v>1252</v>
      </c>
      <c r="F799" s="84" t="s">
        <v>306</v>
      </c>
      <c r="G799" s="84" t="s">
        <v>306</v>
      </c>
      <c r="H799" s="84" t="s">
        <v>1249</v>
      </c>
      <c r="I799" s="84" t="s">
        <v>1250</v>
      </c>
      <c r="J799" s="86">
        <v>344.14</v>
      </c>
      <c r="K799" s="86">
        <v>0</v>
      </c>
      <c r="L799" s="84" t="s">
        <v>1251</v>
      </c>
      <c r="M799" s="84" t="s">
        <v>310</v>
      </c>
    </row>
    <row r="800" spans="1:13" x14ac:dyDescent="0.25">
      <c r="A800" s="83">
        <v>645671</v>
      </c>
      <c r="B800" s="84" t="s">
        <v>303</v>
      </c>
      <c r="C800" s="85">
        <f t="shared" si="18"/>
        <v>45747</v>
      </c>
      <c r="D800" s="84" t="s">
        <v>1253</v>
      </c>
      <c r="E800" s="84" t="s">
        <v>1254</v>
      </c>
      <c r="F800" s="84" t="s">
        <v>306</v>
      </c>
      <c r="G800" s="84" t="s">
        <v>306</v>
      </c>
      <c r="H800" s="84" t="s">
        <v>1255</v>
      </c>
      <c r="I800" s="84" t="s">
        <v>1256</v>
      </c>
      <c r="J800" s="86">
        <v>98.59</v>
      </c>
      <c r="K800" s="86">
        <v>0</v>
      </c>
      <c r="L800" s="84" t="s">
        <v>1257</v>
      </c>
      <c r="M800" s="84" t="s">
        <v>352</v>
      </c>
    </row>
    <row r="801" spans="1:13" x14ac:dyDescent="0.25">
      <c r="A801" s="83">
        <v>645672</v>
      </c>
      <c r="B801" s="84" t="s">
        <v>303</v>
      </c>
      <c r="C801" s="85">
        <f>DATE(2025,3,4)</f>
        <v>45720</v>
      </c>
      <c r="D801" s="84" t="s">
        <v>1253</v>
      </c>
      <c r="E801" s="84" t="s">
        <v>1258</v>
      </c>
      <c r="F801" s="84" t="s">
        <v>306</v>
      </c>
      <c r="G801" s="84" t="s">
        <v>306</v>
      </c>
      <c r="H801" s="84" t="s">
        <v>1259</v>
      </c>
      <c r="I801" s="84" t="s">
        <v>1260</v>
      </c>
      <c r="J801" s="86">
        <v>43.52</v>
      </c>
      <c r="K801" s="86">
        <v>0</v>
      </c>
      <c r="L801" s="84" t="s">
        <v>1261</v>
      </c>
      <c r="M801" s="84" t="s">
        <v>352</v>
      </c>
    </row>
    <row r="802" spans="1:13" x14ac:dyDescent="0.25">
      <c r="A802" s="83">
        <v>645672</v>
      </c>
      <c r="B802" s="84" t="s">
        <v>303</v>
      </c>
      <c r="C802" s="85">
        <f>DATE(2025,3,4)</f>
        <v>45720</v>
      </c>
      <c r="D802" s="84" t="s">
        <v>1253</v>
      </c>
      <c r="E802" s="84" t="s">
        <v>1262</v>
      </c>
      <c r="F802" s="84" t="s">
        <v>306</v>
      </c>
      <c r="G802" s="84" t="s">
        <v>306</v>
      </c>
      <c r="H802" s="84" t="s">
        <v>1259</v>
      </c>
      <c r="I802" s="84" t="s">
        <v>1260</v>
      </c>
      <c r="J802" s="86">
        <v>518.28</v>
      </c>
      <c r="K802" s="86">
        <v>0</v>
      </c>
      <c r="L802" s="84" t="s">
        <v>1261</v>
      </c>
      <c r="M802" s="84" t="s">
        <v>352</v>
      </c>
    </row>
    <row r="803" spans="1:13" x14ac:dyDescent="0.25">
      <c r="A803" s="83">
        <v>645672</v>
      </c>
      <c r="B803" s="84" t="s">
        <v>303</v>
      </c>
      <c r="C803" s="85">
        <f>DATE(2025,3,4)</f>
        <v>45720</v>
      </c>
      <c r="D803" s="84" t="s">
        <v>1253</v>
      </c>
      <c r="E803" s="84" t="s">
        <v>1258</v>
      </c>
      <c r="F803" s="84" t="s">
        <v>306</v>
      </c>
      <c r="G803" s="84" t="s">
        <v>306</v>
      </c>
      <c r="H803" s="84" t="s">
        <v>1263</v>
      </c>
      <c r="I803" s="84" t="s">
        <v>1264</v>
      </c>
      <c r="J803" s="86">
        <v>108.15</v>
      </c>
      <c r="K803" s="86">
        <v>0</v>
      </c>
      <c r="L803" s="84" t="s">
        <v>1265</v>
      </c>
      <c r="M803" s="84" t="s">
        <v>352</v>
      </c>
    </row>
    <row r="804" spans="1:13" x14ac:dyDescent="0.25">
      <c r="A804" s="83">
        <v>645672</v>
      </c>
      <c r="B804" s="84" t="s">
        <v>303</v>
      </c>
      <c r="C804" s="85">
        <f>DATE(2025,3,4)</f>
        <v>45720</v>
      </c>
      <c r="D804" s="84" t="s">
        <v>1253</v>
      </c>
      <c r="E804" s="84" t="s">
        <v>1258</v>
      </c>
      <c r="F804" s="84" t="s">
        <v>306</v>
      </c>
      <c r="G804" s="84" t="s">
        <v>306</v>
      </c>
      <c r="H804" s="84" t="s">
        <v>1255</v>
      </c>
      <c r="I804" s="84" t="s">
        <v>1256</v>
      </c>
      <c r="J804" s="86">
        <v>205.11</v>
      </c>
      <c r="K804" s="86">
        <v>0</v>
      </c>
      <c r="L804" s="84" t="s">
        <v>1257</v>
      </c>
      <c r="M804" s="84" t="s">
        <v>352</v>
      </c>
    </row>
    <row r="805" spans="1:13" x14ac:dyDescent="0.25">
      <c r="A805" s="83">
        <v>645672</v>
      </c>
      <c r="B805" s="84" t="s">
        <v>303</v>
      </c>
      <c r="C805" s="85">
        <f>DATE(2025,3,4)</f>
        <v>45720</v>
      </c>
      <c r="D805" s="84" t="s">
        <v>1253</v>
      </c>
      <c r="E805" s="84" t="s">
        <v>1266</v>
      </c>
      <c r="F805" s="84" t="s">
        <v>306</v>
      </c>
      <c r="G805" s="84" t="s">
        <v>306</v>
      </c>
      <c r="H805" s="84" t="s">
        <v>1255</v>
      </c>
      <c r="I805" s="84" t="s">
        <v>1256</v>
      </c>
      <c r="J805" s="86">
        <v>1678.53</v>
      </c>
      <c r="K805" s="86">
        <v>0</v>
      </c>
      <c r="L805" s="84" t="s">
        <v>1257</v>
      </c>
      <c r="M805" s="84" t="s">
        <v>352</v>
      </c>
    </row>
    <row r="806" spans="1:13" x14ac:dyDescent="0.25">
      <c r="A806" s="83">
        <v>645673</v>
      </c>
      <c r="B806" s="84" t="s">
        <v>303</v>
      </c>
      <c r="C806" s="85">
        <f>DATE(2025,3,11)</f>
        <v>45727</v>
      </c>
      <c r="D806" s="84" t="s">
        <v>1253</v>
      </c>
      <c r="E806" s="84" t="s">
        <v>1267</v>
      </c>
      <c r="F806" s="84" t="s">
        <v>306</v>
      </c>
      <c r="G806" s="84" t="s">
        <v>306</v>
      </c>
      <c r="H806" s="84" t="s">
        <v>516</v>
      </c>
      <c r="I806" s="84" t="s">
        <v>517</v>
      </c>
      <c r="J806" s="86">
        <v>480.57</v>
      </c>
      <c r="K806" s="86">
        <v>0</v>
      </c>
      <c r="L806" s="84" t="s">
        <v>518</v>
      </c>
      <c r="M806" s="84" t="s">
        <v>327</v>
      </c>
    </row>
    <row r="807" spans="1:13" x14ac:dyDescent="0.25">
      <c r="A807" s="83">
        <v>645673</v>
      </c>
      <c r="B807" s="84" t="s">
        <v>303</v>
      </c>
      <c r="C807" s="85">
        <f>DATE(2025,3,11)</f>
        <v>45727</v>
      </c>
      <c r="D807" s="84" t="s">
        <v>1253</v>
      </c>
      <c r="E807" s="84" t="s">
        <v>1268</v>
      </c>
      <c r="F807" s="84" t="s">
        <v>306</v>
      </c>
      <c r="G807" s="84" t="s">
        <v>306</v>
      </c>
      <c r="H807" s="84" t="s">
        <v>1263</v>
      </c>
      <c r="I807" s="84" t="s">
        <v>1264</v>
      </c>
      <c r="J807" s="86">
        <v>181.99</v>
      </c>
      <c r="K807" s="86">
        <v>0</v>
      </c>
      <c r="L807" s="84" t="s">
        <v>1265</v>
      </c>
      <c r="M807" s="84" t="s">
        <v>352</v>
      </c>
    </row>
    <row r="808" spans="1:13" x14ac:dyDescent="0.25">
      <c r="A808" s="83">
        <v>645673</v>
      </c>
      <c r="B808" s="84" t="s">
        <v>303</v>
      </c>
      <c r="C808" s="85">
        <f>DATE(2025,3,11)</f>
        <v>45727</v>
      </c>
      <c r="D808" s="84" t="s">
        <v>1253</v>
      </c>
      <c r="E808" s="84" t="s">
        <v>1269</v>
      </c>
      <c r="F808" s="84" t="s">
        <v>306</v>
      </c>
      <c r="G808" s="84" t="s">
        <v>306</v>
      </c>
      <c r="H808" s="84" t="s">
        <v>1255</v>
      </c>
      <c r="I808" s="84" t="s">
        <v>1256</v>
      </c>
      <c r="J808" s="86">
        <v>1144.6300000000001</v>
      </c>
      <c r="K808" s="86">
        <v>0</v>
      </c>
      <c r="L808" s="84" t="s">
        <v>1257</v>
      </c>
      <c r="M808" s="84" t="s">
        <v>352</v>
      </c>
    </row>
    <row r="809" spans="1:13" x14ac:dyDescent="0.25">
      <c r="A809" s="83">
        <v>645735</v>
      </c>
      <c r="B809" s="84" t="s">
        <v>303</v>
      </c>
      <c r="C809" s="85">
        <f t="shared" ref="C809:C830" si="19">DATE(2025,3,31)</f>
        <v>45747</v>
      </c>
      <c r="D809" s="84" t="s">
        <v>1270</v>
      </c>
      <c r="E809" s="84" t="s">
        <v>1271</v>
      </c>
      <c r="F809" s="84" t="s">
        <v>306</v>
      </c>
      <c r="G809" s="84" t="s">
        <v>306</v>
      </c>
      <c r="H809" s="84" t="s">
        <v>541</v>
      </c>
      <c r="I809" s="84" t="s">
        <v>540</v>
      </c>
      <c r="J809" s="86">
        <v>8506.34</v>
      </c>
      <c r="K809" s="86">
        <v>0</v>
      </c>
      <c r="L809" s="84" t="s">
        <v>542</v>
      </c>
      <c r="M809" s="84" t="s">
        <v>310</v>
      </c>
    </row>
    <row r="810" spans="1:13" x14ac:dyDescent="0.25">
      <c r="A810" s="83">
        <v>646307</v>
      </c>
      <c r="B810" s="84" t="s">
        <v>303</v>
      </c>
      <c r="C810" s="85">
        <f t="shared" si="19"/>
        <v>45747</v>
      </c>
      <c r="D810" s="84" t="s">
        <v>1272</v>
      </c>
      <c r="E810" s="84" t="s">
        <v>1273</v>
      </c>
      <c r="F810" s="84" t="s">
        <v>306</v>
      </c>
      <c r="G810" s="84" t="s">
        <v>306</v>
      </c>
      <c r="H810" s="84" t="s">
        <v>650</v>
      </c>
      <c r="I810" s="84" t="s">
        <v>235</v>
      </c>
      <c r="J810" s="86">
        <v>109.12</v>
      </c>
      <c r="K810" s="86">
        <v>0</v>
      </c>
      <c r="L810" s="84" t="s">
        <v>651</v>
      </c>
      <c r="M810" s="84" t="s">
        <v>652</v>
      </c>
    </row>
    <row r="811" spans="1:13" x14ac:dyDescent="0.25">
      <c r="A811" s="83">
        <v>646307</v>
      </c>
      <c r="B811" s="84" t="s">
        <v>303</v>
      </c>
      <c r="C811" s="85">
        <f t="shared" si="19"/>
        <v>45747</v>
      </c>
      <c r="D811" s="84" t="s">
        <v>1272</v>
      </c>
      <c r="E811" s="84" t="s">
        <v>1273</v>
      </c>
      <c r="F811" s="84" t="s">
        <v>306</v>
      </c>
      <c r="G811" s="84" t="s">
        <v>306</v>
      </c>
      <c r="H811" s="84" t="s">
        <v>650</v>
      </c>
      <c r="I811" s="84" t="s">
        <v>235</v>
      </c>
      <c r="J811" s="86">
        <v>1230.08</v>
      </c>
      <c r="K811" s="86">
        <v>0</v>
      </c>
      <c r="L811" s="84" t="s">
        <v>651</v>
      </c>
      <c r="M811" s="84" t="s">
        <v>652</v>
      </c>
    </row>
    <row r="812" spans="1:13" x14ac:dyDescent="0.25">
      <c r="A812" s="83">
        <v>646307</v>
      </c>
      <c r="B812" s="84" t="s">
        <v>303</v>
      </c>
      <c r="C812" s="85">
        <f t="shared" si="19"/>
        <v>45747</v>
      </c>
      <c r="D812" s="84" t="s">
        <v>1272</v>
      </c>
      <c r="E812" s="84" t="s">
        <v>1274</v>
      </c>
      <c r="F812" s="84" t="s">
        <v>306</v>
      </c>
      <c r="G812" s="84" t="s">
        <v>306</v>
      </c>
      <c r="H812" s="84" t="s">
        <v>931</v>
      </c>
      <c r="I812" s="84" t="s">
        <v>932</v>
      </c>
      <c r="J812" s="86">
        <v>2155.6</v>
      </c>
      <c r="K812" s="86">
        <v>0</v>
      </c>
      <c r="L812" s="84" t="s">
        <v>933</v>
      </c>
      <c r="M812" s="84" t="s">
        <v>344</v>
      </c>
    </row>
    <row r="813" spans="1:13" x14ac:dyDescent="0.25">
      <c r="A813" s="83">
        <v>646307</v>
      </c>
      <c r="B813" s="84" t="s">
        <v>303</v>
      </c>
      <c r="C813" s="85">
        <f t="shared" si="19"/>
        <v>45747</v>
      </c>
      <c r="D813" s="84" t="s">
        <v>1272</v>
      </c>
      <c r="E813" s="84" t="s">
        <v>1275</v>
      </c>
      <c r="F813" s="84" t="s">
        <v>306</v>
      </c>
      <c r="G813" s="84" t="s">
        <v>306</v>
      </c>
      <c r="H813" s="84" t="s">
        <v>873</v>
      </c>
      <c r="I813" s="84" t="s">
        <v>874</v>
      </c>
      <c r="J813" s="86">
        <v>150</v>
      </c>
      <c r="K813" s="86">
        <v>0</v>
      </c>
      <c r="L813" s="84" t="s">
        <v>875</v>
      </c>
      <c r="M813" s="84" t="s">
        <v>652</v>
      </c>
    </row>
    <row r="814" spans="1:13" x14ac:dyDescent="0.25">
      <c r="A814" s="83">
        <v>646307</v>
      </c>
      <c r="B814" s="84" t="s">
        <v>303</v>
      </c>
      <c r="C814" s="85">
        <f t="shared" si="19"/>
        <v>45747</v>
      </c>
      <c r="D814" s="84" t="s">
        <v>1272</v>
      </c>
      <c r="E814" s="84" t="s">
        <v>1275</v>
      </c>
      <c r="F814" s="84" t="s">
        <v>306</v>
      </c>
      <c r="G814" s="84" t="s">
        <v>306</v>
      </c>
      <c r="H814" s="84" t="s">
        <v>1276</v>
      </c>
      <c r="I814" s="84" t="s">
        <v>874</v>
      </c>
      <c r="J814" s="86">
        <v>1802.5</v>
      </c>
      <c r="K814" s="86">
        <v>0</v>
      </c>
      <c r="L814" s="84" t="s">
        <v>875</v>
      </c>
      <c r="M814" s="84" t="s">
        <v>327</v>
      </c>
    </row>
    <row r="815" spans="1:13" x14ac:dyDescent="0.25">
      <c r="A815" s="83">
        <v>646311</v>
      </c>
      <c r="B815" s="84" t="s">
        <v>303</v>
      </c>
      <c r="C815" s="85">
        <f t="shared" si="19"/>
        <v>45747</v>
      </c>
      <c r="D815" s="84" t="s">
        <v>1277</v>
      </c>
      <c r="E815" s="84" t="s">
        <v>1186</v>
      </c>
      <c r="F815" s="84" t="s">
        <v>306</v>
      </c>
      <c r="G815" s="84" t="s">
        <v>306</v>
      </c>
      <c r="H815" s="84" t="s">
        <v>1178</v>
      </c>
      <c r="I815" s="84" t="s">
        <v>249</v>
      </c>
      <c r="J815" s="86">
        <v>0</v>
      </c>
      <c r="K815" s="86">
        <v>6250</v>
      </c>
      <c r="L815" s="84" t="s">
        <v>248</v>
      </c>
      <c r="M815" s="84" t="s">
        <v>1177</v>
      </c>
    </row>
    <row r="816" spans="1:13" x14ac:dyDescent="0.25">
      <c r="A816" s="83">
        <v>646311</v>
      </c>
      <c r="B816" s="84" t="s">
        <v>303</v>
      </c>
      <c r="C816" s="85">
        <f t="shared" si="19"/>
        <v>45747</v>
      </c>
      <c r="D816" s="84" t="s">
        <v>1277</v>
      </c>
      <c r="E816" s="84" t="s">
        <v>1278</v>
      </c>
      <c r="F816" s="84" t="s">
        <v>306</v>
      </c>
      <c r="G816" s="84" t="s">
        <v>306</v>
      </c>
      <c r="H816" s="84" t="s">
        <v>1178</v>
      </c>
      <c r="I816" s="84" t="s">
        <v>249</v>
      </c>
      <c r="J816" s="86">
        <v>0</v>
      </c>
      <c r="K816" s="86">
        <v>37800</v>
      </c>
      <c r="L816" s="84" t="s">
        <v>248</v>
      </c>
      <c r="M816" s="84" t="s">
        <v>1177</v>
      </c>
    </row>
    <row r="817" spans="1:13" x14ac:dyDescent="0.25">
      <c r="A817" s="83">
        <v>646311</v>
      </c>
      <c r="B817" s="84" t="s">
        <v>303</v>
      </c>
      <c r="C817" s="85">
        <f t="shared" si="19"/>
        <v>45747</v>
      </c>
      <c r="D817" s="84" t="s">
        <v>1277</v>
      </c>
      <c r="E817" s="84" t="s">
        <v>1278</v>
      </c>
      <c r="F817" s="84" t="s">
        <v>306</v>
      </c>
      <c r="G817" s="84" t="s">
        <v>306</v>
      </c>
      <c r="H817" s="84" t="s">
        <v>1279</v>
      </c>
      <c r="I817" s="84" t="s">
        <v>253</v>
      </c>
      <c r="J817" s="86">
        <v>37800</v>
      </c>
      <c r="K817" s="86">
        <v>0</v>
      </c>
      <c r="L817" s="84" t="s">
        <v>252</v>
      </c>
      <c r="M817" s="84" t="s">
        <v>1177</v>
      </c>
    </row>
    <row r="818" spans="1:13" x14ac:dyDescent="0.25">
      <c r="A818" s="83">
        <v>646311</v>
      </c>
      <c r="B818" s="84" t="s">
        <v>303</v>
      </c>
      <c r="C818" s="85">
        <f t="shared" si="19"/>
        <v>45747</v>
      </c>
      <c r="D818" s="84" t="s">
        <v>1277</v>
      </c>
      <c r="E818" s="84" t="s">
        <v>1186</v>
      </c>
      <c r="F818" s="84" t="s">
        <v>306</v>
      </c>
      <c r="G818" s="84" t="s">
        <v>306</v>
      </c>
      <c r="H818" s="84" t="s">
        <v>1280</v>
      </c>
      <c r="I818" s="84" t="s">
        <v>255</v>
      </c>
      <c r="J818" s="86">
        <v>6250</v>
      </c>
      <c r="K818" s="86">
        <v>0</v>
      </c>
      <c r="L818" s="84" t="s">
        <v>254</v>
      </c>
      <c r="M818" s="84" t="s">
        <v>1177</v>
      </c>
    </row>
    <row r="819" spans="1:13" x14ac:dyDescent="0.25">
      <c r="A819" s="83">
        <v>646312</v>
      </c>
      <c r="B819" s="84" t="s">
        <v>303</v>
      </c>
      <c r="C819" s="85">
        <f t="shared" si="19"/>
        <v>45747</v>
      </c>
      <c r="D819" s="84" t="s">
        <v>1281</v>
      </c>
      <c r="E819" s="84" t="s">
        <v>534</v>
      </c>
      <c r="F819" s="84" t="s">
        <v>306</v>
      </c>
      <c r="G819" s="84" t="s">
        <v>306</v>
      </c>
      <c r="H819" s="84" t="s">
        <v>535</v>
      </c>
      <c r="I819" s="84" t="s">
        <v>534</v>
      </c>
      <c r="J819" s="86">
        <v>4000</v>
      </c>
      <c r="K819" s="86">
        <v>0</v>
      </c>
      <c r="L819" s="84" t="s">
        <v>536</v>
      </c>
      <c r="M819" s="84" t="s">
        <v>531</v>
      </c>
    </row>
    <row r="820" spans="1:13" x14ac:dyDescent="0.25">
      <c r="A820" s="83">
        <v>646312</v>
      </c>
      <c r="B820" s="84" t="s">
        <v>303</v>
      </c>
      <c r="C820" s="85">
        <f t="shared" si="19"/>
        <v>45747</v>
      </c>
      <c r="D820" s="84" t="s">
        <v>1281</v>
      </c>
      <c r="E820" s="84" t="s">
        <v>537</v>
      </c>
      <c r="F820" s="84" t="s">
        <v>306</v>
      </c>
      <c r="G820" s="84" t="s">
        <v>306</v>
      </c>
      <c r="H820" s="84" t="s">
        <v>538</v>
      </c>
      <c r="I820" s="84" t="s">
        <v>537</v>
      </c>
      <c r="J820" s="86">
        <v>2500</v>
      </c>
      <c r="K820" s="86">
        <v>0</v>
      </c>
      <c r="L820" s="84" t="s">
        <v>539</v>
      </c>
      <c r="M820" s="84" t="s">
        <v>352</v>
      </c>
    </row>
    <row r="821" spans="1:13" x14ac:dyDescent="0.25">
      <c r="A821" s="83">
        <v>646312</v>
      </c>
      <c r="B821" s="84" t="s">
        <v>303</v>
      </c>
      <c r="C821" s="85">
        <f t="shared" si="19"/>
        <v>45747</v>
      </c>
      <c r="D821" s="84" t="s">
        <v>1281</v>
      </c>
      <c r="E821" s="84" t="s">
        <v>540</v>
      </c>
      <c r="F821" s="84" t="s">
        <v>306</v>
      </c>
      <c r="G821" s="84" t="s">
        <v>306</v>
      </c>
      <c r="H821" s="84" t="s">
        <v>541</v>
      </c>
      <c r="I821" s="84" t="s">
        <v>540</v>
      </c>
      <c r="J821" s="86">
        <v>6446.01</v>
      </c>
      <c r="K821" s="86">
        <v>0</v>
      </c>
      <c r="L821" s="84" t="s">
        <v>542</v>
      </c>
      <c r="M821" s="84" t="s">
        <v>310</v>
      </c>
    </row>
    <row r="822" spans="1:13" x14ac:dyDescent="0.25">
      <c r="A822" s="83">
        <v>646312</v>
      </c>
      <c r="B822" s="84" t="s">
        <v>303</v>
      </c>
      <c r="C822" s="85">
        <f t="shared" si="19"/>
        <v>45747</v>
      </c>
      <c r="D822" s="84" t="s">
        <v>1281</v>
      </c>
      <c r="E822" s="84" t="s">
        <v>543</v>
      </c>
      <c r="F822" s="84" t="s">
        <v>306</v>
      </c>
      <c r="G822" s="84" t="s">
        <v>306</v>
      </c>
      <c r="H822" s="84" t="s">
        <v>544</v>
      </c>
      <c r="I822" s="84" t="s">
        <v>545</v>
      </c>
      <c r="J822" s="86">
        <v>4850.13</v>
      </c>
      <c r="K822" s="86">
        <v>0</v>
      </c>
      <c r="L822" s="84" t="s">
        <v>546</v>
      </c>
      <c r="M822" s="84" t="s">
        <v>310</v>
      </c>
    </row>
    <row r="823" spans="1:13" x14ac:dyDescent="0.25">
      <c r="A823" s="83">
        <v>646312</v>
      </c>
      <c r="B823" s="84" t="s">
        <v>303</v>
      </c>
      <c r="C823" s="85">
        <f t="shared" si="19"/>
        <v>45747</v>
      </c>
      <c r="D823" s="84" t="s">
        <v>1281</v>
      </c>
      <c r="E823" s="84" t="s">
        <v>1282</v>
      </c>
      <c r="F823" s="84" t="s">
        <v>306</v>
      </c>
      <c r="G823" s="84" t="s">
        <v>306</v>
      </c>
      <c r="H823" s="84" t="s">
        <v>1283</v>
      </c>
      <c r="I823" s="84" t="s">
        <v>1282</v>
      </c>
      <c r="J823" s="86">
        <v>1000</v>
      </c>
      <c r="K823" s="86">
        <v>0</v>
      </c>
      <c r="L823" s="84" t="s">
        <v>896</v>
      </c>
      <c r="M823" s="84" t="s">
        <v>310</v>
      </c>
    </row>
    <row r="824" spans="1:13" x14ac:dyDescent="0.25">
      <c r="A824" s="83">
        <v>646312</v>
      </c>
      <c r="B824" s="84" t="s">
        <v>303</v>
      </c>
      <c r="C824" s="85">
        <f t="shared" si="19"/>
        <v>45747</v>
      </c>
      <c r="D824" s="84" t="s">
        <v>1281</v>
      </c>
      <c r="E824" s="84" t="s">
        <v>553</v>
      </c>
      <c r="F824" s="84" t="s">
        <v>306</v>
      </c>
      <c r="G824" s="84" t="s">
        <v>306</v>
      </c>
      <c r="H824" s="84" t="s">
        <v>554</v>
      </c>
      <c r="I824" s="84" t="s">
        <v>555</v>
      </c>
      <c r="J824" s="86">
        <v>0</v>
      </c>
      <c r="K824" s="86">
        <v>3366</v>
      </c>
      <c r="L824" s="84" t="s">
        <v>556</v>
      </c>
      <c r="M824" s="84" t="s">
        <v>310</v>
      </c>
    </row>
    <row r="825" spans="1:13" x14ac:dyDescent="0.25">
      <c r="A825" s="83">
        <v>646312</v>
      </c>
      <c r="B825" s="84" t="s">
        <v>303</v>
      </c>
      <c r="C825" s="85">
        <f t="shared" si="19"/>
        <v>45747</v>
      </c>
      <c r="D825" s="84" t="s">
        <v>1281</v>
      </c>
      <c r="E825" s="84" t="s">
        <v>553</v>
      </c>
      <c r="F825" s="84" t="s">
        <v>306</v>
      </c>
      <c r="G825" s="84" t="s">
        <v>306</v>
      </c>
      <c r="H825" s="84" t="s">
        <v>554</v>
      </c>
      <c r="I825" s="84" t="s">
        <v>555</v>
      </c>
      <c r="J825" s="86">
        <v>0</v>
      </c>
      <c r="K825" s="86">
        <v>3366</v>
      </c>
      <c r="L825" s="84" t="s">
        <v>556</v>
      </c>
      <c r="M825" s="84" t="s">
        <v>310</v>
      </c>
    </row>
    <row r="826" spans="1:13" x14ac:dyDescent="0.25">
      <c r="A826" s="83">
        <v>646486</v>
      </c>
      <c r="B826" s="84" t="s">
        <v>303</v>
      </c>
      <c r="C826" s="85">
        <f t="shared" si="19"/>
        <v>45747</v>
      </c>
      <c r="D826" s="84" t="s">
        <v>1284</v>
      </c>
      <c r="E826" s="84" t="s">
        <v>1285</v>
      </c>
      <c r="F826" s="84" t="s">
        <v>306</v>
      </c>
      <c r="G826" s="84" t="s">
        <v>306</v>
      </c>
      <c r="H826" s="84" t="s">
        <v>1286</v>
      </c>
      <c r="I826" s="84" t="s">
        <v>1287</v>
      </c>
      <c r="J826" s="86">
        <v>8742.9699999999993</v>
      </c>
      <c r="K826" s="86">
        <v>0</v>
      </c>
      <c r="L826" s="84" t="s">
        <v>1288</v>
      </c>
      <c r="M826" s="84" t="s">
        <v>652</v>
      </c>
    </row>
    <row r="827" spans="1:13" x14ac:dyDescent="0.25">
      <c r="A827" s="83">
        <v>646486</v>
      </c>
      <c r="B827" s="84" t="s">
        <v>303</v>
      </c>
      <c r="C827" s="85">
        <f t="shared" si="19"/>
        <v>45747</v>
      </c>
      <c r="D827" s="84" t="s">
        <v>1284</v>
      </c>
      <c r="E827" s="84" t="s">
        <v>1285</v>
      </c>
      <c r="F827" s="84" t="s">
        <v>306</v>
      </c>
      <c r="G827" s="84" t="s">
        <v>306</v>
      </c>
      <c r="H827" s="84" t="s">
        <v>843</v>
      </c>
      <c r="I827" s="84" t="s">
        <v>844</v>
      </c>
      <c r="J827" s="86">
        <v>0</v>
      </c>
      <c r="K827" s="86">
        <v>8742.9699999999993</v>
      </c>
      <c r="L827" s="84" t="s">
        <v>845</v>
      </c>
      <c r="M827" s="84" t="s">
        <v>652</v>
      </c>
    </row>
    <row r="828" spans="1:13" x14ac:dyDescent="0.25">
      <c r="A828" s="83">
        <v>646588</v>
      </c>
      <c r="B828" s="84" t="s">
        <v>303</v>
      </c>
      <c r="C828" s="85">
        <f t="shared" si="19"/>
        <v>45747</v>
      </c>
      <c r="D828" s="84" t="s">
        <v>1289</v>
      </c>
      <c r="E828" s="84" t="s">
        <v>1290</v>
      </c>
      <c r="F828" s="84" t="s">
        <v>306</v>
      </c>
      <c r="G828" s="84" t="s">
        <v>306</v>
      </c>
      <c r="H828" s="84" t="s">
        <v>650</v>
      </c>
      <c r="I828" s="84" t="s">
        <v>235</v>
      </c>
      <c r="J828" s="86">
        <v>2708.99</v>
      </c>
      <c r="K828" s="86">
        <v>0</v>
      </c>
      <c r="L828" s="84" t="s">
        <v>651</v>
      </c>
      <c r="M828" s="84" t="s">
        <v>652</v>
      </c>
    </row>
    <row r="829" spans="1:13" x14ac:dyDescent="0.25">
      <c r="A829" s="83">
        <v>646588</v>
      </c>
      <c r="B829" s="84" t="s">
        <v>303</v>
      </c>
      <c r="C829" s="85">
        <f t="shared" si="19"/>
        <v>45747</v>
      </c>
      <c r="D829" s="84" t="s">
        <v>1289</v>
      </c>
      <c r="E829" s="84" t="s">
        <v>1291</v>
      </c>
      <c r="F829" s="84" t="s">
        <v>306</v>
      </c>
      <c r="G829" s="84" t="s">
        <v>306</v>
      </c>
      <c r="H829" s="84" t="s">
        <v>516</v>
      </c>
      <c r="I829" s="84" t="s">
        <v>517</v>
      </c>
      <c r="J829" s="86">
        <v>347.37</v>
      </c>
      <c r="K829" s="86">
        <v>0</v>
      </c>
      <c r="L829" s="84" t="s">
        <v>518</v>
      </c>
      <c r="M829" s="84" t="s">
        <v>327</v>
      </c>
    </row>
    <row r="830" spans="1:13" x14ac:dyDescent="0.25">
      <c r="A830" s="83">
        <v>646588</v>
      </c>
      <c r="B830" s="84" t="s">
        <v>303</v>
      </c>
      <c r="C830" s="85">
        <f t="shared" si="19"/>
        <v>45747</v>
      </c>
      <c r="D830" s="84" t="s">
        <v>1289</v>
      </c>
      <c r="E830" s="84" t="s">
        <v>1292</v>
      </c>
      <c r="F830" s="84" t="s">
        <v>306</v>
      </c>
      <c r="G830" s="84" t="s">
        <v>306</v>
      </c>
      <c r="H830" s="84" t="s">
        <v>873</v>
      </c>
      <c r="I830" s="84" t="s">
        <v>874</v>
      </c>
      <c r="J830" s="86">
        <v>1019.06</v>
      </c>
      <c r="K830" s="86">
        <v>0</v>
      </c>
      <c r="L830" s="84" t="s">
        <v>875</v>
      </c>
      <c r="M830" s="84" t="s">
        <v>652</v>
      </c>
    </row>
    <row r="831" spans="1:13" x14ac:dyDescent="0.25">
      <c r="A831" s="83">
        <v>647408</v>
      </c>
      <c r="B831" s="84" t="s">
        <v>303</v>
      </c>
      <c r="C831" s="85">
        <f>DATE(2025,3,1)</f>
        <v>45717</v>
      </c>
      <c r="D831" s="84" t="s">
        <v>1293</v>
      </c>
      <c r="E831" s="84" t="s">
        <v>1294</v>
      </c>
      <c r="F831" s="84" t="s">
        <v>306</v>
      </c>
      <c r="G831" s="84" t="s">
        <v>306</v>
      </c>
      <c r="H831" s="84" t="s">
        <v>1295</v>
      </c>
      <c r="I831" s="84" t="s">
        <v>1296</v>
      </c>
      <c r="J831" s="86">
        <v>0</v>
      </c>
      <c r="K831" s="86">
        <v>66.680000000000007</v>
      </c>
      <c r="L831" s="84" t="s">
        <v>1297</v>
      </c>
      <c r="M831" s="84" t="s">
        <v>310</v>
      </c>
    </row>
    <row r="832" spans="1:13" x14ac:dyDescent="0.25">
      <c r="A832" s="83">
        <v>648227</v>
      </c>
      <c r="B832" s="84" t="s">
        <v>303</v>
      </c>
      <c r="C832" s="85">
        <f>DATE(2025,3,31)</f>
        <v>45747</v>
      </c>
      <c r="D832" s="84" t="s">
        <v>1298</v>
      </c>
      <c r="E832" s="84" t="s">
        <v>1299</v>
      </c>
      <c r="F832" s="84" t="s">
        <v>306</v>
      </c>
      <c r="G832" s="84" t="s">
        <v>306</v>
      </c>
      <c r="H832" s="84" t="s">
        <v>759</v>
      </c>
      <c r="I832" s="84" t="s">
        <v>545</v>
      </c>
      <c r="J832" s="86">
        <v>0</v>
      </c>
      <c r="K832" s="86">
        <v>7275.2</v>
      </c>
      <c r="L832" s="84" t="s">
        <v>546</v>
      </c>
      <c r="M832" s="84" t="s">
        <v>348</v>
      </c>
    </row>
    <row r="833" spans="1:13" x14ac:dyDescent="0.25">
      <c r="A833" s="83">
        <v>648227</v>
      </c>
      <c r="B833" s="84" t="s">
        <v>303</v>
      </c>
      <c r="C833" s="85">
        <f>DATE(2025,3,31)</f>
        <v>45747</v>
      </c>
      <c r="D833" s="84" t="s">
        <v>1298</v>
      </c>
      <c r="E833" s="84" t="s">
        <v>1299</v>
      </c>
      <c r="F833" s="84" t="s">
        <v>306</v>
      </c>
      <c r="G833" s="84" t="s">
        <v>306</v>
      </c>
      <c r="H833" s="84" t="s">
        <v>761</v>
      </c>
      <c r="I833" s="84" t="s">
        <v>545</v>
      </c>
      <c r="J833" s="86">
        <v>0</v>
      </c>
      <c r="K833" s="86">
        <v>10815</v>
      </c>
      <c r="L833" s="84" t="s">
        <v>546</v>
      </c>
      <c r="M833" s="84" t="s">
        <v>327</v>
      </c>
    </row>
    <row r="834" spans="1:13" x14ac:dyDescent="0.25">
      <c r="A834" s="83">
        <v>648695</v>
      </c>
      <c r="B834" s="84" t="s">
        <v>303</v>
      </c>
      <c r="C834" s="85">
        <f>DATE(2025,3,31)</f>
        <v>45747</v>
      </c>
      <c r="D834" s="84" t="s">
        <v>1100</v>
      </c>
      <c r="E834" s="84" t="s">
        <v>1101</v>
      </c>
      <c r="F834" s="84" t="s">
        <v>306</v>
      </c>
      <c r="G834" s="84" t="s">
        <v>306</v>
      </c>
      <c r="H834" s="84" t="s">
        <v>1102</v>
      </c>
      <c r="I834" s="84" t="s">
        <v>1103</v>
      </c>
      <c r="J834" s="86">
        <v>1437.38</v>
      </c>
      <c r="K834" s="86">
        <v>0</v>
      </c>
      <c r="L834" s="84" t="s">
        <v>1104</v>
      </c>
      <c r="M834" s="84" t="s">
        <v>310</v>
      </c>
    </row>
  </sheetData>
  <autoFilter ref="A1:M83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9e505b-c626-4c63-a833-1d637d24bc5f">
      <Terms xmlns="http://schemas.microsoft.com/office/infopath/2007/PartnerControls"/>
    </lcf76f155ced4ddcb4097134ff3c332f>
    <TaxCatchAll xmlns="c4a14aed-1b48-44ca-bcee-e228903df3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04FB193DE0848B1FA5AA46B1D32B4" ma:contentTypeVersion="12" ma:contentTypeDescription="Create a new document." ma:contentTypeScope="" ma:versionID="f40a2cde29b3109d9f221ed6686ecb55">
  <xsd:schema xmlns:xsd="http://www.w3.org/2001/XMLSchema" xmlns:xs="http://www.w3.org/2001/XMLSchema" xmlns:p="http://schemas.microsoft.com/office/2006/metadata/properties" xmlns:ns2="8e9e505b-c626-4c63-a833-1d637d24bc5f" xmlns:ns3="c4a14aed-1b48-44ca-bcee-e228903df3bd" targetNamespace="http://schemas.microsoft.com/office/2006/metadata/properties" ma:root="true" ma:fieldsID="1d2b842a80c8b5ca58da75671bbf8825" ns2:_="" ns3:_="">
    <xsd:import namespace="8e9e505b-c626-4c63-a833-1d637d24bc5f"/>
    <xsd:import namespace="c4a14aed-1b48-44ca-bcee-e228903df3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e505b-c626-4c63-a833-1d637d24b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14aed-1b48-44ca-bcee-e228903df3b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cfde75-1408-418b-bc36-b62c8f18f64d}" ma:internalName="TaxCatchAll" ma:showField="CatchAllData" ma:web="c4a14aed-1b48-44ca-bcee-e228903df3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1C7640-9FB4-42A1-891F-5EBC9EA3D3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308CC9-9A4B-41BA-B332-C3DA72D15728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c4a14aed-1b48-44ca-bcee-e228903df3bd"/>
    <ds:schemaRef ds:uri="http://purl.org/dc/dcmitype/"/>
    <ds:schemaRef ds:uri="8e9e505b-c626-4c63-a833-1d637d24bc5f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2D646D2-AF72-4B2F-BD11-719EA1FD5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9e505b-c626-4c63-a833-1d637d24bc5f"/>
    <ds:schemaRef ds:uri="c4a14aed-1b48-44ca-bcee-e228903df3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Revenue Waterfall</vt:lpstr>
      <vt:lpstr>EBITDA Waterfall</vt:lpstr>
      <vt:lpstr>MOR_MTD</vt:lpstr>
      <vt:lpstr>MOR_YTD</vt:lpstr>
      <vt:lpstr>Mid Month</vt:lpstr>
      <vt:lpstr>Facility</vt:lpstr>
      <vt:lpstr>Trended P&amp;L</vt:lpstr>
      <vt:lpstr>GL Transactions</vt:lpstr>
      <vt:lpstr>Facility!Print_Area</vt:lpstr>
      <vt:lpstr>'Mid Month'!Print_Area</vt:lpstr>
      <vt:lpstr>MOR_MTD!Print_Area</vt:lpstr>
      <vt:lpstr>MOR_YTD!Print_Area</vt:lpstr>
      <vt:lpstr>'Trended P&amp;L'!Print_Area</vt:lpstr>
      <vt:lpstr>Facility!Print_Titles</vt:lpstr>
      <vt:lpstr>'Trended P&amp;L'!Print_Titles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Cameron Popham</dc:creator>
  <cp:keywords/>
  <dc:description/>
  <cp:lastModifiedBy>Gene Preston</cp:lastModifiedBy>
  <cp:revision/>
  <dcterms:created xsi:type="dcterms:W3CDTF">2025-01-26T21:15:58Z</dcterms:created>
  <dcterms:modified xsi:type="dcterms:W3CDTF">2026-05-12T13:08:26Z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0x01010071A04FB193DE0848B1FA5AA46B1D32B4</vt:lpwstr>
  </property>
  <property fmtid="{D5CDD505-2E9C-101B-9397-08002B2CF9AE}" pid="3" name="MediaServiceImageTags">
    <vt:lpwstr/>
  </property>
</Properties>
</file>